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fileVersion appName="xl" lastEdited="7" lowestEdited="7" rupBuild="30006"/>
  <workbookPr showInkAnnotation="0"/>
  <ns2:revisionPtr revIDLastSave="23272" documentId="8_{9303EE05-539C-8843-B727-30064ADACD3B}" ns3:coauthVersionLast="47" ns3:coauthVersionMax="47" ns4:uidLastSave="{A425426F-9A81-4348-AFFB-322D915B782A}"/>
  <bookViews>
    <workbookView xWindow="0" yWindow="0" windowWidth="0" windowHeight="0" firstSheet="2" activeTab="4" ns5:uid="{00000000-000D-0000-FFFF-FFFF00000000}"/>
  </bookViews>
  <sheets>
    <sheet name="Settings" sheetId="1" ns6:id="rId1"/>
    <sheet name="Draft" sheetId="2" ns6:id="rId2"/>
    <sheet name="Lineups" sheetId="17" ns6:id="rId3"/>
    <sheet name="Character List" sheetId="3" ns6:id="rId4"/>
    <sheet name="Bracket" sheetId="4" ns6:id="rId5"/>
    <sheet name="Scorebook" sheetId="5" ns6:id="rId6"/>
    <sheet name="Betting" sheetId="6" ns6:id="rId7"/>
    <sheet name="Data" sheetId="7" ns6:id="rId8"/>
    <sheet name="Current Player Stats" sheetId="19" ns6:id="rId9"/>
    <sheet name="Current Char Stats" sheetId="20" ns6:id="rId10"/>
    <sheet name="Tourney Summary" sheetId="21" ns6:id="rId11"/>
    <sheet name="AT Tourneys" sheetId="10" ns6:id="rId12"/>
    <sheet name="AT Player Stats" sheetId="22" ns6:id="rId13"/>
    <sheet name="AT Char Stats" sheetId="23" ns6:id="rId14"/>
    <sheet name="AT Bet History" sheetId="15" ns6:id="rId15"/>
    <sheet name="Save Stats" sheetId="18" ns6:id="rId16"/>
    <sheet name="Lists" sheetId="16" ns6:id="rId17"/>
    <sheet name="Current Player" sheetId="8" ns6:id="rId18"/>
    <sheet name="Current Character" sheetId="9" ns6:id="rId19"/>
  </sheets>
  <definedNames>
    <definedName name="_xlnm._FilterDatabase" localSheetId="3" hidden="1">'Character List'!$A$3:$H$3</definedName>
    <definedName name="ActiveColors">OFFSET(Settings!$I$3,0,0,Settings!$B$3,1)</definedName>
    <definedName name="ActivePlayers">OFFSET(Settings!$E$3,0,0,Settings!$B$3,1)</definedName>
  </definedNames>
  <calcPr calcId="191028" calcCompleted="0" fullCalcOnLoad="1" forceFullCalc="1" calcMode="auto"/>
  <extLst>
    <ext uri="{140A7094-0E35-4892-8432-C4D2E57EDEB5}">
      <ns7:workbookPr chartTrackingRefBase="1"/>
    </ex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ext>
  </extLst>
</workbook>
</file>

<file path=xl/calcChain.xml><?xml version="1.0" encoding="utf-8"?>
<calcChain xmlns="http://schemas.openxmlformats.org/spreadsheetml/2006/main">
  <c r="S402" i="5" l="1"/>
  <c r="B401" i="5"/>
  <c r="C125" i="17" a="1"/>
  <c r="C125" i="17"/>
  <c r="C124" i="17" a="1"/>
  <c r="C124" i="17"/>
  <c r="C123" i="17" a="1"/>
  <c r="C123" i="17"/>
  <c r="C122" i="17" a="1"/>
  <c r="C122" i="17"/>
  <c r="C121" i="17" a="1"/>
  <c r="C121" i="17"/>
  <c r="C120" i="17" a="1"/>
  <c r="C120" i="17"/>
  <c r="C119" i="17" a="1"/>
  <c r="C119" i="17"/>
  <c r="C118" i="17" a="1"/>
  <c r="C118" i="17"/>
  <c r="C117" i="17" a="1"/>
  <c r="C117" i="17"/>
  <c r="A125" i="17" a="1"/>
  <c r="A125" i="17"/>
  <c r="A124" i="17" a="1"/>
  <c r="A124" i="17"/>
  <c r="A123" i="17" a="1"/>
  <c r="A123" i="17"/>
  <c r="A122" i="17" a="1"/>
  <c r="A122" i="17"/>
  <c r="A121" i="17" a="1"/>
  <c r="A121" i="17"/>
  <c r="A120" i="17" a="1"/>
  <c r="A120" i="17"/>
  <c r="A119" i="17" a="1"/>
  <c r="A119" i="17"/>
  <c r="A118" i="17" a="1"/>
  <c r="A118" i="17"/>
  <c r="A117" i="17" a="1"/>
  <c r="A117" i="17"/>
  <c r="H14" i="4" a="1"/>
  <c r="H14" i="4"/>
  <c r="C364" i="5" a="1"/>
  <c r="C364" i="5"/>
  <c r="C365" i="5" a="1"/>
  <c r="C365" i="5"/>
  <c r="C315" i="5" a="1"/>
  <c r="C315" i="5"/>
  <c r="C336" i="5" a="1"/>
  <c r="C336" i="5"/>
  <c r="B298" i="5" a="1"/>
  <c r="B298" i="5"/>
  <c r="B324" i="5"/>
  <c r="A322" i="5"/>
  <c r="H97" i="17" a="1"/>
  <c r="H97" i="17"/>
  <c r="H96" i="17" a="1"/>
  <c r="H96" i="17"/>
  <c r="H95" i="17" a="1"/>
  <c r="H95" i="17"/>
  <c r="H94" i="17" a="1"/>
  <c r="H94" i="17"/>
  <c r="H93" i="17" a="1"/>
  <c r="H93" i="17"/>
  <c r="H92" i="17" a="1"/>
  <c r="H92" i="17"/>
  <c r="H91" i="17" a="1"/>
  <c r="H91" i="17"/>
  <c r="H90" i="17" a="1"/>
  <c r="H90" i="17"/>
  <c r="H89" i="17" a="1"/>
  <c r="H89" i="17"/>
  <c r="F97" i="17" a="1"/>
  <c r="F97" i="17"/>
  <c r="F96" i="17" a="1"/>
  <c r="F96" i="17"/>
  <c r="F95" i="17" a="1"/>
  <c r="F95" i="17"/>
  <c r="F94" i="17" a="1"/>
  <c r="F94" i="17"/>
  <c r="F93" i="17" a="1"/>
  <c r="F93" i="17"/>
  <c r="F92" i="17" a="1"/>
  <c r="F92" i="17"/>
  <c r="F91" i="17" a="1"/>
  <c r="F91" i="17"/>
  <c r="F89" i="17" a="1"/>
  <c r="F89" i="17"/>
  <c r="F90" i="17" a="1"/>
  <c r="F90" i="17"/>
  <c r="A299" i="5"/>
  <c r="I12" i="4" a="1"/>
  <c r="I12" i="4"/>
  <c r="C267" i="5" a="1"/>
  <c r="C267" i="5"/>
  <c r="C266" i="5" a="1"/>
  <c r="C266" i="5"/>
  <c r="C288" i="5" a="1"/>
  <c r="C288" i="5"/>
  <c r="S277" i="5"/>
  <c r="C287" i="5" a="1"/>
  <c r="C287" i="5"/>
  <c r="L11" i="4"/>
  <c r="N11" i="4"/>
  <c r="M11" i="4"/>
  <c r="K201" i="5"/>
  <c r="K200" i="5"/>
  <c r="C201" i="5" a="1"/>
  <c r="C201" i="5"/>
  <c r="C200" i="5" a="1"/>
  <c r="C200" i="5"/>
  <c r="B201" i="5" a="1"/>
  <c r="B201" i="5"/>
  <c r="B200" i="5" a="1"/>
  <c r="B200" i="5"/>
  <c r="B250" i="5" a="1"/>
  <c r="B250" i="5"/>
  <c r="B249" i="5" a="1"/>
  <c r="B249" i="5"/>
  <c r="I13" i="4" a="1"/>
  <c r="I13" i="4"/>
  <c r="H12" i="4" a="1"/>
  <c r="H12" i="4"/>
  <c r="C217" i="5" a="1"/>
  <c r="C217" i="5"/>
  <c r="F217" i="5" a="1"/>
  <c r="F217" i="5"/>
  <c r="D190" i="5" a="1"/>
  <c r="D190" i="5"/>
  <c r="D189" i="5" a="1"/>
  <c r="D189" i="5"/>
  <c r="C190" i="5" a="1"/>
  <c r="C190" i="5"/>
  <c r="C189" i="5" a="1"/>
  <c r="C189" i="5"/>
  <c r="I169" i="5" a="1"/>
  <c r="I169" i="5"/>
  <c r="I168" i="5" a="1"/>
  <c r="I168" i="5"/>
  <c r="H169" i="5" a="1"/>
  <c r="H169" i="5"/>
  <c r="H168" i="5" a="1"/>
  <c r="H168" i="5"/>
  <c r="G169" i="5" a="1"/>
  <c r="G169" i="5"/>
  <c r="G168" i="5" a="1"/>
  <c r="G168" i="5"/>
  <c r="F169" i="5" a="1"/>
  <c r="F169" i="5"/>
  <c r="F168" i="5" a="1"/>
  <c r="F168" i="5"/>
  <c r="E169" i="5" a="1"/>
  <c r="E169" i="5"/>
  <c r="E168" i="5" a="1"/>
  <c r="E168" i="5"/>
  <c r="D169" i="5" a="1"/>
  <c r="D169" i="5"/>
  <c r="D168" i="5" a="1"/>
  <c r="D168" i="5"/>
  <c r="C169" i="5" a="1"/>
  <c r="C169" i="5"/>
  <c r="C168" i="5" a="1"/>
  <c r="C168" i="5"/>
  <c r="I120" i="5" a="1"/>
  <c r="I120" i="5"/>
  <c r="I119" i="5" a="1"/>
  <c r="I119" i="5"/>
  <c r="H120" i="5" a="1"/>
  <c r="H120" i="5"/>
  <c r="H119" i="5" a="1"/>
  <c r="H119" i="5"/>
  <c r="G120" i="5" a="1"/>
  <c r="G120" i="5"/>
  <c r="G119" i="5" a="1"/>
  <c r="G119" i="5"/>
  <c r="F120" i="5" a="1"/>
  <c r="F120" i="5"/>
  <c r="F119" i="5" a="1"/>
  <c r="F119" i="5"/>
  <c r="E120" i="5" a="1"/>
  <c r="E120" i="5"/>
  <c r="E119" i="5" a="1"/>
  <c r="E119" i="5"/>
  <c r="D120" i="5" a="1"/>
  <c r="D120" i="5"/>
  <c r="D119" i="5" a="1"/>
  <c r="D119" i="5"/>
  <c r="I142" i="5" a="1"/>
  <c r="I142" i="5"/>
  <c r="I141" i="5" a="1"/>
  <c r="I141" i="5"/>
  <c r="I140" i="5" a="1"/>
  <c r="I140" i="5"/>
  <c r="H142" i="5" a="1"/>
  <c r="H142" i="5"/>
  <c r="H141" i="5" a="1"/>
  <c r="H141" i="5"/>
  <c r="H140" i="5" a="1"/>
  <c r="H140" i="5"/>
  <c r="G142" i="5" a="1"/>
  <c r="G142" i="5"/>
  <c r="G141" i="5" a="1"/>
  <c r="G141" i="5"/>
  <c r="G140" i="5" a="1"/>
  <c r="G140" i="5"/>
  <c r="F142" i="5" a="1"/>
  <c r="F142" i="5"/>
  <c r="F141" i="5" a="1"/>
  <c r="F141" i="5"/>
  <c r="F140" i="5" a="1"/>
  <c r="F140" i="5"/>
  <c r="E142" i="5" a="1"/>
  <c r="E142" i="5"/>
  <c r="E141" i="5" a="1"/>
  <c r="E141" i="5"/>
  <c r="E140" i="5" a="1"/>
  <c r="E140" i="5"/>
  <c r="D142" i="5" a="1"/>
  <c r="D142" i="5"/>
  <c r="D141" i="5" a="1"/>
  <c r="D141" i="5"/>
  <c r="D140" i="5" a="1"/>
  <c r="D140" i="5"/>
  <c r="C142" i="5" a="1"/>
  <c r="C142" i="5"/>
  <c r="C140" i="5" a="1"/>
  <c r="C140" i="5"/>
  <c r="C141" i="5" a="1"/>
  <c r="C141" i="5"/>
  <c r="C119" i="5" a="1"/>
  <c r="C119" i="5"/>
  <c r="C120" i="5" a="1"/>
  <c r="C120" i="5"/>
  <c r="I42" i="5" a="1"/>
  <c r="I42" i="5"/>
  <c r="H42" i="5" a="1"/>
  <c r="H42" i="5"/>
  <c r="G42" i="5" a="1"/>
  <c r="G42" i="5"/>
  <c r="F42" i="5" a="1"/>
  <c r="F42" i="5"/>
  <c r="E42" i="5" a="1"/>
  <c r="E42" i="5"/>
  <c r="D42" i="5" a="1"/>
  <c r="D42" i="5"/>
  <c r="C42" i="5" a="1"/>
  <c r="C42" i="5"/>
  <c r="I22" i="5" a="1"/>
  <c r="I22" i="5"/>
  <c r="H22" i="5" a="1"/>
  <c r="H22" i="5"/>
  <c r="G22" i="5" a="1"/>
  <c r="G22" i="5"/>
  <c r="F22" i="5" a="1"/>
  <c r="F22" i="5"/>
  <c r="E22" i="5" a="1"/>
  <c r="E22" i="5"/>
  <c r="D22" i="5" a="1"/>
  <c r="D22" i="5"/>
  <c r="C22" i="5" a="1"/>
  <c r="C22" i="5"/>
  <c r="I21" i="5" a="1"/>
  <c r="I21" i="5"/>
  <c r="H21" i="5" a="1"/>
  <c r="H21" i="5"/>
  <c r="G21" i="5" a="1"/>
  <c r="G21" i="5"/>
  <c r="F21" i="5" a="1"/>
  <c r="F21" i="5"/>
  <c r="E21" i="5" a="1"/>
  <c r="E21" i="5"/>
  <c r="D21" i="5" a="1"/>
  <c r="D21" i="5"/>
  <c r="C21" i="5" a="1"/>
  <c r="C21" i="5"/>
  <c r="I71" i="5" a="1"/>
  <c r="I71" i="5"/>
  <c r="I70" i="5" a="1"/>
  <c r="I70" i="5"/>
  <c r="H71" i="5" a="1"/>
  <c r="H71" i="5"/>
  <c r="H70" i="5" a="1"/>
  <c r="H70" i="5"/>
  <c r="G71" i="5" a="1"/>
  <c r="G71" i="5"/>
  <c r="G70" i="5" a="1"/>
  <c r="G70" i="5"/>
  <c r="F71" i="5" a="1"/>
  <c r="F71" i="5"/>
  <c r="F70" i="5" a="1"/>
  <c r="F70" i="5"/>
  <c r="E71" i="5" a="1"/>
  <c r="E71" i="5"/>
  <c r="E70" i="5" a="1"/>
  <c r="E70" i="5"/>
  <c r="D71" i="5" a="1"/>
  <c r="D71" i="5"/>
  <c r="D70" i="5" a="1"/>
  <c r="D70" i="5"/>
  <c r="H91" i="5" a="1"/>
  <c r="H91" i="5"/>
  <c r="F91" i="5" a="1"/>
  <c r="F91" i="5"/>
  <c r="E91" i="5" a="1"/>
  <c r="E91" i="5"/>
  <c r="D91" i="5" a="1"/>
  <c r="D91" i="5"/>
  <c r="C91" i="5" a="1"/>
  <c r="C91" i="5"/>
  <c r="I91" i="5" a="1"/>
  <c r="I91" i="5"/>
  <c r="G91" i="5" a="1"/>
  <c r="G91" i="5"/>
  <c r="C71" i="5" a="1"/>
  <c r="C71" i="5"/>
  <c r="C70" i="5" a="1"/>
  <c r="C70" i="5"/>
  <c r="L92" i="5" a="1"/>
  <c r="L92" i="5"/>
  <c r="AW23" i="7"/>
  <c r="L93" i="5" a="1"/>
  <c r="L93" i="5"/>
  <c r="AW24" i="7"/>
  <c r="L94" i="5" a="1"/>
  <c r="L94" i="5"/>
  <c r="AW25" i="7"/>
  <c r="L23" i="5" a="1"/>
  <c r="L23" i="5"/>
  <c r="AW6" i="7"/>
  <c r="L24" i="5" a="1"/>
  <c r="L24" i="5"/>
  <c r="AW7" i="7"/>
  <c r="L25" i="5" a="1"/>
  <c r="L25" i="5"/>
  <c r="AW8" i="7"/>
  <c r="L26" i="5" a="1"/>
  <c r="L26" i="5"/>
  <c r="AW9" i="7"/>
  <c r="L43" i="5" a="1"/>
  <c r="L43" i="5"/>
  <c r="AW11" i="7"/>
  <c r="L44" i="5" a="1"/>
  <c r="L44" i="5"/>
  <c r="AW12" i="7"/>
  <c r="L45" i="5" a="1"/>
  <c r="L45" i="5"/>
  <c r="AW13" i="7"/>
  <c r="L46" i="5" a="1"/>
  <c r="L46" i="5"/>
  <c r="AW14" i="7"/>
  <c r="L47" i="5" a="1"/>
  <c r="L47" i="5"/>
  <c r="AW15" i="7"/>
  <c r="L72" i="5" a="1"/>
  <c r="L72" i="5"/>
  <c r="AW18" i="7"/>
  <c r="L73" i="5" a="1"/>
  <c r="L73" i="5"/>
  <c r="AW19" i="7"/>
  <c r="L74" i="5" a="1"/>
  <c r="L74" i="5"/>
  <c r="AW20" i="7"/>
  <c r="L75" i="5" a="1"/>
  <c r="L75" i="5"/>
  <c r="AW21" i="7"/>
  <c r="L95" i="5" a="1"/>
  <c r="L95" i="5"/>
  <c r="AW26" i="7"/>
  <c r="L96" i="5" a="1"/>
  <c r="L96" i="5"/>
  <c r="AW27" i="7"/>
  <c r="L119" i="5" a="1"/>
  <c r="L119" i="5"/>
  <c r="AW28" i="7"/>
  <c r="L120" i="5" a="1"/>
  <c r="L120" i="5"/>
  <c r="AW29" i="7"/>
  <c r="L121" i="5" a="1"/>
  <c r="L121" i="5"/>
  <c r="AW30" i="7"/>
  <c r="L122" i="5" a="1"/>
  <c r="L122" i="5"/>
  <c r="AW31" i="7"/>
  <c r="L123" i="5" a="1"/>
  <c r="L123" i="5"/>
  <c r="AW32" i="7"/>
  <c r="L124" i="5" a="1"/>
  <c r="L124" i="5"/>
  <c r="AW33" i="7"/>
  <c r="L140" i="5" a="1"/>
  <c r="L140" i="5"/>
  <c r="AW34" i="7"/>
  <c r="L141" i="5" a="1"/>
  <c r="L141" i="5"/>
  <c r="AW35" i="7"/>
  <c r="L142" i="5" a="1"/>
  <c r="L142" i="5"/>
  <c r="AW36" i="7"/>
  <c r="L143" i="5" a="1"/>
  <c r="L143" i="5"/>
  <c r="AW37" i="7"/>
  <c r="L144" i="5" a="1"/>
  <c r="L144" i="5"/>
  <c r="AW38" i="7"/>
  <c r="L145" i="5" a="1"/>
  <c r="L145" i="5"/>
  <c r="AW39" i="7"/>
  <c r="L168" i="5" a="1"/>
  <c r="L168" i="5"/>
  <c r="AW40" i="7"/>
  <c r="L169" i="5" a="1"/>
  <c r="L169" i="5"/>
  <c r="AW41" i="7"/>
  <c r="L170" i="5" a="1"/>
  <c r="L170" i="5"/>
  <c r="AW42" i="7"/>
  <c r="L171" i="5" a="1"/>
  <c r="L171" i="5"/>
  <c r="AW43" i="7"/>
  <c r="L172" i="5" a="1"/>
  <c r="L172" i="5"/>
  <c r="AW44" i="7"/>
  <c r="L173" i="5" a="1"/>
  <c r="L173" i="5"/>
  <c r="AW45" i="7"/>
  <c r="L189" i="5" a="1"/>
  <c r="L189" i="5"/>
  <c r="AW46" i="7"/>
  <c r="L190" i="5" a="1"/>
  <c r="L190" i="5"/>
  <c r="AW47" i="7"/>
  <c r="L191" i="5" a="1"/>
  <c r="L191" i="5"/>
  <c r="AW48" i="7"/>
  <c r="L192" i="5" a="1"/>
  <c r="L192" i="5"/>
  <c r="AW49" i="7"/>
  <c r="L193" i="5" a="1"/>
  <c r="L193" i="5"/>
  <c r="AW50" i="7"/>
  <c r="L194" i="5" a="1"/>
  <c r="L194" i="5"/>
  <c r="AW51" i="7"/>
  <c r="L217" i="5" a="1"/>
  <c r="L217" i="5"/>
  <c r="AW52" i="7"/>
  <c r="L218" i="5" a="1"/>
  <c r="L218" i="5"/>
  <c r="AW53" i="7"/>
  <c r="L219" i="5" a="1"/>
  <c r="L219" i="5"/>
  <c r="AW54" i="7"/>
  <c r="L220" i="5" a="1"/>
  <c r="L220" i="5"/>
  <c r="AW55" i="7"/>
  <c r="L221" i="5" a="1"/>
  <c r="L221" i="5"/>
  <c r="AW56" i="7"/>
  <c r="L222" i="5" a="1"/>
  <c r="L222" i="5"/>
  <c r="AW57" i="7"/>
  <c r="L238" i="5" a="1"/>
  <c r="L238" i="5"/>
  <c r="AW58" i="7"/>
  <c r="L239" i="5" a="1"/>
  <c r="L239" i="5"/>
  <c r="AW59" i="7"/>
  <c r="L240" i="5" a="1"/>
  <c r="L240" i="5"/>
  <c r="AW60" i="7"/>
  <c r="L241" i="5" a="1"/>
  <c r="L241" i="5"/>
  <c r="AW61" i="7"/>
  <c r="L242" i="5" a="1"/>
  <c r="L242" i="5"/>
  <c r="AW62" i="7"/>
  <c r="L243" i="5" a="1"/>
  <c r="L243" i="5"/>
  <c r="AW63" i="7"/>
  <c r="L266" i="5" a="1"/>
  <c r="L266" i="5"/>
  <c r="AW64" i="7"/>
  <c r="L267" i="5" a="1"/>
  <c r="L267" i="5"/>
  <c r="AW65" i="7"/>
  <c r="L268" i="5" a="1"/>
  <c r="L268" i="5"/>
  <c r="AW66" i="7"/>
  <c r="L269" i="5" a="1"/>
  <c r="L269" i="5"/>
  <c r="AW67" i="7"/>
  <c r="L270" i="5" a="1"/>
  <c r="L270" i="5"/>
  <c r="AW68" i="7"/>
  <c r="L271" i="5" a="1"/>
  <c r="L271" i="5"/>
  <c r="AW69" i="7"/>
  <c r="L287" i="5" a="1"/>
  <c r="L287" i="5"/>
  <c r="AW70" i="7"/>
  <c r="L288" i="5" a="1"/>
  <c r="L288" i="5"/>
  <c r="AW71" i="7"/>
  <c r="L289" i="5" a="1"/>
  <c r="L289" i="5"/>
  <c r="AW72" i="7"/>
  <c r="L290" i="5" a="1"/>
  <c r="L290" i="5"/>
  <c r="AW73" i="7"/>
  <c r="L291" i="5" a="1"/>
  <c r="L291" i="5"/>
  <c r="AW74" i="7"/>
  <c r="L292" i="5" a="1"/>
  <c r="L292" i="5"/>
  <c r="AW75" i="7"/>
  <c r="L315" i="5" a="1"/>
  <c r="L315" i="5"/>
  <c r="AW76" i="7"/>
  <c r="L316" i="5" a="1"/>
  <c r="L316" i="5"/>
  <c r="AW77" i="7"/>
  <c r="L317" i="5" a="1"/>
  <c r="L317" i="5"/>
  <c r="AW78" i="7"/>
  <c r="L318" i="5" a="1"/>
  <c r="L318" i="5"/>
  <c r="AW79" i="7"/>
  <c r="L319" i="5" a="1"/>
  <c r="L319" i="5"/>
  <c r="AW80" i="7"/>
  <c r="L320" i="5" a="1"/>
  <c r="L320" i="5"/>
  <c r="AW81" i="7"/>
  <c r="L336" i="5" a="1"/>
  <c r="L336" i="5"/>
  <c r="AW82" i="7"/>
  <c r="L337" i="5" a="1"/>
  <c r="L337" i="5"/>
  <c r="AW83" i="7"/>
  <c r="L338" i="5" a="1"/>
  <c r="L338" i="5"/>
  <c r="AW84" i="7"/>
  <c r="L339" i="5" a="1"/>
  <c r="L339" i="5"/>
  <c r="AW85" i="7"/>
  <c r="L340" i="5" a="1"/>
  <c r="L340" i="5"/>
  <c r="AW86" i="7"/>
  <c r="L341" i="5" a="1"/>
  <c r="L341" i="5"/>
  <c r="AW87" i="7"/>
  <c r="L364" i="5" a="1"/>
  <c r="L364" i="5"/>
  <c r="AW88" i="7"/>
  <c r="L365" i="5" a="1"/>
  <c r="L365" i="5"/>
  <c r="AW89" i="7"/>
  <c r="L366" i="5" a="1"/>
  <c r="L366" i="5"/>
  <c r="AW90" i="7"/>
  <c r="L367" i="5" a="1"/>
  <c r="L367" i="5"/>
  <c r="AW91" i="7"/>
  <c r="L368" i="5" a="1"/>
  <c r="L368" i="5"/>
  <c r="AW92" i="7"/>
  <c r="L369" i="5" a="1"/>
  <c r="L369" i="5"/>
  <c r="AW93" i="7"/>
  <c r="L385" i="5" a="1"/>
  <c r="L385" i="5"/>
  <c r="AW94" i="7"/>
  <c r="L386" i="5" a="1"/>
  <c r="L386" i="5"/>
  <c r="AW95" i="7"/>
  <c r="L387" i="5" a="1"/>
  <c r="L387" i="5"/>
  <c r="AW96" i="7"/>
  <c r="L388" i="5" a="1"/>
  <c r="L388" i="5"/>
  <c r="AW97" i="7"/>
  <c r="L389" i="5" a="1"/>
  <c r="L389" i="5"/>
  <c r="AW98" i="7"/>
  <c r="L390" i="5" a="1"/>
  <c r="L390" i="5"/>
  <c r="AW99" i="7"/>
  <c r="L413" i="5" a="1"/>
  <c r="L413" i="5"/>
  <c r="AW100" i="7"/>
  <c r="L414" i="5" a="1"/>
  <c r="L414" i="5"/>
  <c r="AW101" i="7"/>
  <c r="L415" i="5" a="1"/>
  <c r="L415" i="5"/>
  <c r="AW102" i="7"/>
  <c r="L416" i="5" a="1"/>
  <c r="L416" i="5"/>
  <c r="AW103" i="7"/>
  <c r="L417" i="5" a="1"/>
  <c r="L417" i="5"/>
  <c r="AW104" i="7"/>
  <c r="L418" i="5" a="1"/>
  <c r="L418" i="5"/>
  <c r="AW105" i="7"/>
  <c r="L434" i="5" a="1"/>
  <c r="L434" i="5"/>
  <c r="AW106" i="7"/>
  <c r="L435" i="5" a="1"/>
  <c r="L435" i="5"/>
  <c r="AW107" i="7"/>
  <c r="L436" i="5" a="1"/>
  <c r="L436" i="5"/>
  <c r="AW108" i="7"/>
  <c r="L437" i="5" a="1"/>
  <c r="L437" i="5"/>
  <c r="AW109" i="7"/>
  <c r="L438" i="5" a="1"/>
  <c r="L438" i="5"/>
  <c r="AW110" i="7"/>
  <c r="L439" i="5" a="1"/>
  <c r="L439" i="5"/>
  <c r="AW111" i="7"/>
  <c r="L462" i="5" a="1"/>
  <c r="L462" i="5"/>
  <c r="AW112" i="7"/>
  <c r="L463" i="5" a="1"/>
  <c r="L463" i="5"/>
  <c r="AW113" i="7"/>
  <c r="L464" i="5" a="1"/>
  <c r="L464" i="5"/>
  <c r="AW114" i="7"/>
  <c r="L465" i="5" a="1"/>
  <c r="L465" i="5"/>
  <c r="AW115" i="7"/>
  <c r="L466" i="5" a="1"/>
  <c r="L466" i="5"/>
  <c r="AW116" i="7"/>
  <c r="L467" i="5" a="1"/>
  <c r="L467" i="5"/>
  <c r="AW117" i="7"/>
  <c r="L483" i="5" a="1"/>
  <c r="L483" i="5"/>
  <c r="AW118" i="7"/>
  <c r="L484" i="5" a="1"/>
  <c r="L484" i="5"/>
  <c r="AW119" i="7"/>
  <c r="L485" i="5" a="1"/>
  <c r="L485" i="5"/>
  <c r="AW120" i="7"/>
  <c r="L486" i="5" a="1"/>
  <c r="L486" i="5"/>
  <c r="AW121" i="7"/>
  <c r="L487" i="5" a="1"/>
  <c r="L487" i="5"/>
  <c r="AW122" i="7"/>
  <c r="L488" i="5" a="1"/>
  <c r="L488" i="5"/>
  <c r="AW123" i="7"/>
  <c r="L511" i="5" a="1"/>
  <c r="L511" i="5"/>
  <c r="AW124" i="7"/>
  <c r="L512" i="5" a="1"/>
  <c r="L512" i="5"/>
  <c r="AW125" i="7"/>
  <c r="L513" i="5" a="1"/>
  <c r="L513" i="5"/>
  <c r="AW126" i="7"/>
  <c r="L514" i="5" a="1"/>
  <c r="L514" i="5"/>
  <c r="AW127" i="7"/>
  <c r="L515" i="5" a="1"/>
  <c r="L515" i="5"/>
  <c r="AW128" i="7"/>
  <c r="L516" i="5" a="1"/>
  <c r="L516" i="5"/>
  <c r="AW129" i="7"/>
  <c r="L532" i="5" a="1"/>
  <c r="L532" i="5"/>
  <c r="AW130" i="7"/>
  <c r="L533" i="5" a="1"/>
  <c r="L533" i="5"/>
  <c r="AW131" i="7"/>
  <c r="L534" i="5" a="1"/>
  <c r="L534" i="5"/>
  <c r="AW132" i="7"/>
  <c r="L535" i="5" a="1"/>
  <c r="L535" i="5"/>
  <c r="AW133" i="7"/>
  <c r="L536" i="5" a="1"/>
  <c r="L536" i="5"/>
  <c r="AW134" i="7"/>
  <c r="L537" i="5" a="1"/>
  <c r="L537" i="5"/>
  <c r="AW135" i="7"/>
  <c r="L560" i="5" a="1"/>
  <c r="L560" i="5"/>
  <c r="AW136" i="7"/>
  <c r="L561" i="5" a="1"/>
  <c r="L561" i="5"/>
  <c r="AW137" i="7"/>
  <c r="L562" i="5" a="1"/>
  <c r="L562" i="5"/>
  <c r="AW138" i="7"/>
  <c r="L563" i="5" a="1"/>
  <c r="L563" i="5"/>
  <c r="AW139" i="7"/>
  <c r="L564" i="5" a="1"/>
  <c r="L564" i="5"/>
  <c r="AW140" i="7"/>
  <c r="L565" i="5" a="1"/>
  <c r="L565" i="5"/>
  <c r="AW141" i="7"/>
  <c r="L581" i="5" a="1"/>
  <c r="L581" i="5"/>
  <c r="AW142" i="7"/>
  <c r="L582" i="5" a="1"/>
  <c r="L582" i="5"/>
  <c r="AW143" i="7"/>
  <c r="L583" i="5" a="1"/>
  <c r="L583" i="5"/>
  <c r="AW144" i="7"/>
  <c r="L584" i="5" a="1"/>
  <c r="L584" i="5"/>
  <c r="AW145" i="7"/>
  <c r="L585" i="5" a="1"/>
  <c r="L585" i="5"/>
  <c r="AW146" i="7"/>
  <c r="L586" i="5" a="1"/>
  <c r="L586" i="5"/>
  <c r="AW147" i="7"/>
  <c r="L609" i="5" a="1"/>
  <c r="L609" i="5"/>
  <c r="AW148" i="7"/>
  <c r="L610" i="5" a="1"/>
  <c r="L610" i="5"/>
  <c r="AW149" i="7"/>
  <c r="L611" i="5" a="1"/>
  <c r="L611" i="5"/>
  <c r="AW150" i="7"/>
  <c r="L612" i="5" a="1"/>
  <c r="L612" i="5"/>
  <c r="AW151" i="7"/>
  <c r="L613" i="5" a="1"/>
  <c r="L613" i="5"/>
  <c r="AW152" i="7"/>
  <c r="L614" i="5" a="1"/>
  <c r="L614" i="5"/>
  <c r="AW153" i="7"/>
  <c r="L630" i="5" a="1"/>
  <c r="L630" i="5"/>
  <c r="AW154" i="7"/>
  <c r="L631" i="5" a="1"/>
  <c r="L631" i="5"/>
  <c r="AW155" i="7"/>
  <c r="L632" i="5" a="1"/>
  <c r="L632" i="5"/>
  <c r="AW156" i="7"/>
  <c r="L633" i="5" a="1"/>
  <c r="L633" i="5"/>
  <c r="AW157" i="7"/>
  <c r="L634" i="5" a="1"/>
  <c r="L634" i="5"/>
  <c r="AW158" i="7"/>
  <c r="L635" i="5" a="1"/>
  <c r="L635" i="5"/>
  <c r="AW159" i="7"/>
  <c r="L658" i="5" a="1"/>
  <c r="L658" i="5"/>
  <c r="AW160" i="7"/>
  <c r="L659" i="5" a="1"/>
  <c r="L659" i="5"/>
  <c r="AW161" i="7"/>
  <c r="L660" i="5" a="1"/>
  <c r="L660" i="5"/>
  <c r="AW162" i="7"/>
  <c r="L661" i="5" a="1"/>
  <c r="L661" i="5"/>
  <c r="AW163" i="7"/>
  <c r="L662" i="5" a="1"/>
  <c r="L662" i="5"/>
  <c r="AW164" i="7"/>
  <c r="L663" i="5" a="1"/>
  <c r="L663" i="5"/>
  <c r="AW165" i="7"/>
  <c r="L679" i="5" a="1"/>
  <c r="L679" i="5"/>
  <c r="AW166" i="7"/>
  <c r="L680" i="5" a="1"/>
  <c r="L680" i="5"/>
  <c r="AW167" i="7"/>
  <c r="L681" i="5" a="1"/>
  <c r="L681" i="5"/>
  <c r="AW168" i="7"/>
  <c r="L682" i="5" a="1"/>
  <c r="L682" i="5"/>
  <c r="AW169" i="7"/>
  <c r="L683" i="5" a="1"/>
  <c r="L683" i="5"/>
  <c r="AW170" i="7"/>
  <c r="L684" i="5" a="1"/>
  <c r="L684" i="5"/>
  <c r="AW171" i="7"/>
  <c r="L707" i="5" a="1"/>
  <c r="L707" i="5"/>
  <c r="AW172" i="7"/>
  <c r="L708" i="5" a="1"/>
  <c r="L708" i="5"/>
  <c r="AW173" i="7"/>
  <c r="L709" i="5" a="1"/>
  <c r="L709" i="5"/>
  <c r="AW174" i="7"/>
  <c r="L710" i="5" a="1"/>
  <c r="L710" i="5"/>
  <c r="AW175" i="7"/>
  <c r="L711" i="5" a="1"/>
  <c r="L711" i="5"/>
  <c r="AW176" i="7"/>
  <c r="L712" i="5" a="1"/>
  <c r="L712" i="5"/>
  <c r="AW177" i="7"/>
  <c r="L728" i="5" a="1"/>
  <c r="L728" i="5"/>
  <c r="AW178" i="7"/>
  <c r="L729" i="5" a="1"/>
  <c r="L729" i="5"/>
  <c r="AW179" i="7"/>
  <c r="L730" i="5" a="1"/>
  <c r="L730" i="5"/>
  <c r="AW180" i="7"/>
  <c r="L731" i="5" a="1"/>
  <c r="L731" i="5"/>
  <c r="AW181" i="7"/>
  <c r="L732" i="5" a="1"/>
  <c r="L732" i="5"/>
  <c r="AW182" i="7"/>
  <c r="L733" i="5" a="1"/>
  <c r="L733" i="5"/>
  <c r="AW183" i="7"/>
  <c r="AN22" i="7"/>
  <c r="C92" i="5" a="1"/>
  <c r="C92" i="5"/>
  <c r="AN23" i="7"/>
  <c r="C93" i="5" a="1"/>
  <c r="C93" i="5"/>
  <c r="AN24" i="7"/>
  <c r="C94" i="5" a="1"/>
  <c r="C94" i="5"/>
  <c r="AN25" i="7"/>
  <c r="AN4" i="7"/>
  <c r="AN5" i="7"/>
  <c r="C23" i="5" a="1"/>
  <c r="C23" i="5"/>
  <c r="AN6" i="7"/>
  <c r="C24" i="5" a="1"/>
  <c r="C24" i="5"/>
  <c r="AN7" i="7"/>
  <c r="C25" i="5" a="1"/>
  <c r="C25" i="5"/>
  <c r="AN8" i="7"/>
  <c r="C26" i="5" a="1"/>
  <c r="C26" i="5"/>
  <c r="AN9" i="7"/>
  <c r="AN10" i="7"/>
  <c r="C43" i="5" a="1"/>
  <c r="C43" i="5"/>
  <c r="AN11" i="7"/>
  <c r="C44" i="5" a="1"/>
  <c r="C44" i="5"/>
  <c r="AN12" i="7"/>
  <c r="C45" i="5" a="1"/>
  <c r="C45" i="5"/>
  <c r="AN13" i="7"/>
  <c r="C46" i="5" a="1"/>
  <c r="C46" i="5"/>
  <c r="AN14" i="7"/>
  <c r="C47" i="5" a="1"/>
  <c r="C47" i="5"/>
  <c r="AN15" i="7"/>
  <c r="AN16" i="7"/>
  <c r="AN17" i="7"/>
  <c r="C72" i="5" a="1"/>
  <c r="C72" i="5"/>
  <c r="AN18" i="7"/>
  <c r="C73" i="5" a="1"/>
  <c r="C73" i="5"/>
  <c r="AN19" i="7"/>
  <c r="C74" i="5" a="1"/>
  <c r="C74" i="5"/>
  <c r="AN20" i="7"/>
  <c r="C75" i="5" a="1"/>
  <c r="C75" i="5"/>
  <c r="AN21" i="7"/>
  <c r="C95" i="5" a="1"/>
  <c r="C95" i="5"/>
  <c r="AN26" i="7"/>
  <c r="C96" i="5" a="1"/>
  <c r="C96" i="5"/>
  <c r="AN27" i="7"/>
  <c r="AN28" i="7"/>
  <c r="AN29" i="7"/>
  <c r="C121" i="5" a="1"/>
  <c r="C121" i="5"/>
  <c r="AN30" i="7"/>
  <c r="C122" i="5" a="1"/>
  <c r="C122" i="5"/>
  <c r="AN31" i="7"/>
  <c r="C123" i="5" a="1"/>
  <c r="C123" i="5"/>
  <c r="AN32" i="7"/>
  <c r="C124" i="5" a="1"/>
  <c r="C124" i="5"/>
  <c r="AN33" i="7"/>
  <c r="AN34" i="7"/>
  <c r="AN35" i="7"/>
  <c r="AN36" i="7"/>
  <c r="C143" i="5" a="1"/>
  <c r="C143" i="5"/>
  <c r="AN37" i="7"/>
  <c r="C144" i="5" a="1"/>
  <c r="C144" i="5"/>
  <c r="AN38" i="7"/>
  <c r="C145" i="5" a="1"/>
  <c r="C145" i="5"/>
  <c r="AN39" i="7"/>
  <c r="AN40" i="7"/>
  <c r="AN41" i="7"/>
  <c r="C170" i="5" a="1"/>
  <c r="C170" i="5"/>
  <c r="AN42" i="7"/>
  <c r="C171" i="5" a="1"/>
  <c r="C171" i="5"/>
  <c r="AN43" i="7"/>
  <c r="C172" i="5" a="1"/>
  <c r="C172" i="5"/>
  <c r="AN44" i="7"/>
  <c r="C173" i="5" a="1"/>
  <c r="C173" i="5"/>
  <c r="AN45" i="7"/>
  <c r="AN46" i="7"/>
  <c r="AN47" i="7"/>
  <c r="C191" i="5" a="1"/>
  <c r="C191" i="5"/>
  <c r="AN48" i="7"/>
  <c r="C192" i="5" a="1"/>
  <c r="C192" i="5"/>
  <c r="AN49" i="7"/>
  <c r="C193" i="5" a="1"/>
  <c r="C193" i="5"/>
  <c r="AN50" i="7"/>
  <c r="C194" i="5" a="1"/>
  <c r="C194" i="5"/>
  <c r="AN51" i="7"/>
  <c r="AN52" i="7"/>
  <c r="C218" i="5" a="1"/>
  <c r="C218" i="5"/>
  <c r="AN53" i="7"/>
  <c r="C219" i="5" a="1"/>
  <c r="C219" i="5"/>
  <c r="AN54" i="7"/>
  <c r="C220" i="5" a="1"/>
  <c r="C220" i="5"/>
  <c r="AN55" i="7"/>
  <c r="C221" i="5" a="1"/>
  <c r="C221" i="5"/>
  <c r="AN56" i="7"/>
  <c r="C222" i="5" a="1"/>
  <c r="C222" i="5"/>
  <c r="AN57" i="7"/>
  <c r="C238" i="5" a="1"/>
  <c r="C238" i="5"/>
  <c r="AN58" i="7"/>
  <c r="C239" i="5" a="1"/>
  <c r="C239" i="5"/>
  <c r="AN59" i="7"/>
  <c r="C240" i="5" a="1"/>
  <c r="C240" i="5"/>
  <c r="AN60" i="7"/>
  <c r="C241" i="5" a="1"/>
  <c r="C241" i="5"/>
  <c r="AN61" i="7"/>
  <c r="C242" i="5" a="1"/>
  <c r="C242" i="5"/>
  <c r="AN62" i="7"/>
  <c r="C243" i="5" a="1"/>
  <c r="C243" i="5"/>
  <c r="AN63" i="7"/>
  <c r="AN64" i="7"/>
  <c r="AN65" i="7"/>
  <c r="C268" i="5" a="1"/>
  <c r="C268" i="5"/>
  <c r="AN66" i="7"/>
  <c r="C269" i="5" a="1"/>
  <c r="C269" i="5"/>
  <c r="AN67" i="7"/>
  <c r="C270" i="5" a="1"/>
  <c r="C270" i="5"/>
  <c r="AN68" i="7"/>
  <c r="C271" i="5" a="1"/>
  <c r="C271" i="5"/>
  <c r="AN69" i="7"/>
  <c r="AN70" i="7"/>
  <c r="AN71" i="7"/>
  <c r="C289" i="5" a="1"/>
  <c r="C289" i="5"/>
  <c r="AN72" i="7"/>
  <c r="C290" i="5" a="1"/>
  <c r="C290" i="5"/>
  <c r="AN73" i="7"/>
  <c r="C291" i="5" a="1"/>
  <c r="C291" i="5"/>
  <c r="AN74" i="7"/>
  <c r="C292" i="5" a="1"/>
  <c r="C292" i="5"/>
  <c r="AN75" i="7"/>
  <c r="AN76" i="7"/>
  <c r="C316" i="5" a="1"/>
  <c r="C316" i="5"/>
  <c r="AN77" i="7"/>
  <c r="C317" i="5" a="1"/>
  <c r="C317" i="5"/>
  <c r="AN78" i="7"/>
  <c r="C318" i="5" a="1"/>
  <c r="C318" i="5"/>
  <c r="AN79" i="7"/>
  <c r="C319" i="5" a="1"/>
  <c r="C319" i="5"/>
  <c r="AN80" i="7"/>
  <c r="C320" i="5" a="1"/>
  <c r="C320" i="5"/>
  <c r="AN81" i="7"/>
  <c r="AN82" i="7"/>
  <c r="C337" i="5" a="1"/>
  <c r="C337" i="5"/>
  <c r="AN83" i="7"/>
  <c r="C338" i="5" a="1"/>
  <c r="C338" i="5"/>
  <c r="AN84" i="7"/>
  <c r="C339" i="5" a="1"/>
  <c r="C339" i="5"/>
  <c r="AN85" i="7"/>
  <c r="C340" i="5" a="1"/>
  <c r="C340" i="5"/>
  <c r="AN86" i="7"/>
  <c r="C341" i="5" a="1"/>
  <c r="C341" i="5"/>
  <c r="AN87" i="7"/>
  <c r="AN88" i="7"/>
  <c r="AN89" i="7"/>
  <c r="C366" i="5" a="1"/>
  <c r="C366" i="5"/>
  <c r="AN90" i="7"/>
  <c r="C367" i="5" a="1"/>
  <c r="C367" i="5"/>
  <c r="AN91" i="7"/>
  <c r="C368" i="5" a="1"/>
  <c r="C368" i="5"/>
  <c r="AN92" i="7"/>
  <c r="C369" i="5" a="1"/>
  <c r="C369" i="5"/>
  <c r="AN93" i="7"/>
  <c r="C385" i="5" a="1"/>
  <c r="C385" i="5"/>
  <c r="AN94" i="7"/>
  <c r="C386" i="5" a="1"/>
  <c r="C386" i="5"/>
  <c r="AN95" i="7"/>
  <c r="C387" i="5" a="1"/>
  <c r="C387" i="5"/>
  <c r="AN96" i="7"/>
  <c r="C388" i="5" a="1"/>
  <c r="C388" i="5"/>
  <c r="AN97" i="7"/>
  <c r="C389" i="5" a="1"/>
  <c r="C389" i="5"/>
  <c r="AN98" i="7"/>
  <c r="C390" i="5" a="1"/>
  <c r="C390" i="5"/>
  <c r="AN99" i="7"/>
  <c r="C413" i="5" a="1"/>
  <c r="C413" i="5"/>
  <c r="AN100" i="7"/>
  <c r="C414" i="5" a="1"/>
  <c r="C414" i="5"/>
  <c r="AN101" i="7"/>
  <c r="C415" i="5" a="1"/>
  <c r="C415" i="5"/>
  <c r="AN102" i="7"/>
  <c r="C416" i="5" a="1"/>
  <c r="C416" i="5"/>
  <c r="AN103" i="7"/>
  <c r="C417" i="5" a="1"/>
  <c r="C417" i="5"/>
  <c r="AN104" i="7"/>
  <c r="C418" i="5" a="1"/>
  <c r="C418" i="5"/>
  <c r="AN105" i="7"/>
  <c r="C434" i="5" a="1"/>
  <c r="C434" i="5"/>
  <c r="AN106" i="7"/>
  <c r="C435" i="5" a="1"/>
  <c r="C435" i="5"/>
  <c r="AN107" i="7"/>
  <c r="C436" i="5" a="1"/>
  <c r="C436" i="5"/>
  <c r="AN108" i="7"/>
  <c r="C437" i="5" a="1"/>
  <c r="C437" i="5"/>
  <c r="AN109" i="7"/>
  <c r="C438" i="5" a="1"/>
  <c r="C438" i="5"/>
  <c r="AN110" i="7"/>
  <c r="C439" i="5" a="1"/>
  <c r="C439" i="5"/>
  <c r="AN111" i="7"/>
  <c r="C462" i="5" a="1"/>
  <c r="C462" i="5"/>
  <c r="AN112" i="7"/>
  <c r="C463" i="5" a="1"/>
  <c r="C463" i="5"/>
  <c r="AN113" i="7"/>
  <c r="C464" i="5" a="1"/>
  <c r="C464" i="5"/>
  <c r="AN114" i="7"/>
  <c r="C465" i="5" a="1"/>
  <c r="C465" i="5"/>
  <c r="AN115" i="7"/>
  <c r="C466" i="5" a="1"/>
  <c r="C466" i="5"/>
  <c r="AN116" i="7"/>
  <c r="C467" i="5" a="1"/>
  <c r="C467" i="5"/>
  <c r="AN117" i="7"/>
  <c r="C483" i="5" a="1"/>
  <c r="C483" i="5"/>
  <c r="AN118" i="7"/>
  <c r="C484" i="5" a="1"/>
  <c r="C484" i="5"/>
  <c r="AN119" i="7"/>
  <c r="C485" i="5" a="1"/>
  <c r="C485" i="5"/>
  <c r="AN120" i="7"/>
  <c r="C486" i="5" a="1"/>
  <c r="C486" i="5"/>
  <c r="AN121" i="7"/>
  <c r="C487" i="5" a="1"/>
  <c r="C487" i="5"/>
  <c r="AN122" i="7"/>
  <c r="C488" i="5" a="1"/>
  <c r="C488" i="5"/>
  <c r="AN123" i="7"/>
  <c r="C511" i="5" a="1"/>
  <c r="C511" i="5"/>
  <c r="AN124" i="7"/>
  <c r="C512" i="5" a="1"/>
  <c r="C512" i="5"/>
  <c r="AN125" i="7"/>
  <c r="C513" i="5" a="1"/>
  <c r="C513" i="5"/>
  <c r="AN126" i="7"/>
  <c r="C514" i="5" a="1"/>
  <c r="C514" i="5"/>
  <c r="AN127" i="7"/>
  <c r="C515" i="5" a="1"/>
  <c r="C515" i="5"/>
  <c r="AN128" i="7"/>
  <c r="C516" i="5" a="1"/>
  <c r="C516" i="5"/>
  <c r="AN129" i="7"/>
  <c r="C532" i="5" a="1"/>
  <c r="C532" i="5"/>
  <c r="AN130" i="7"/>
  <c r="C533" i="5" a="1"/>
  <c r="C533" i="5"/>
  <c r="AN131" i="7"/>
  <c r="C534" i="5" a="1"/>
  <c r="C534" i="5"/>
  <c r="AN132" i="7"/>
  <c r="C535" i="5" a="1"/>
  <c r="C535" i="5"/>
  <c r="AN133" i="7"/>
  <c r="C536" i="5" a="1"/>
  <c r="C536" i="5"/>
  <c r="AN134" i="7"/>
  <c r="C537" i="5" a="1"/>
  <c r="C537" i="5"/>
  <c r="AN135" i="7"/>
  <c r="C560" i="5" a="1"/>
  <c r="C560" i="5"/>
  <c r="AN136" i="7"/>
  <c r="C561" i="5" a="1"/>
  <c r="C561" i="5"/>
  <c r="AN137" i="7"/>
  <c r="C562" i="5" a="1"/>
  <c r="C562" i="5"/>
  <c r="AN138" i="7"/>
  <c r="C563" i="5" a="1"/>
  <c r="C563" i="5"/>
  <c r="AN139" i="7"/>
  <c r="C564" i="5" a="1"/>
  <c r="C564" i="5"/>
  <c r="AN140" i="7"/>
  <c r="C565" i="5" a="1"/>
  <c r="C565" i="5"/>
  <c r="AN141" i="7"/>
  <c r="C581" i="5" a="1"/>
  <c r="C581" i="5"/>
  <c r="AN142" i="7"/>
  <c r="C582" i="5" a="1"/>
  <c r="C582" i="5"/>
  <c r="AN143" i="7"/>
  <c r="C583" i="5" a="1"/>
  <c r="C583" i="5"/>
  <c r="AN144" i="7"/>
  <c r="C584" i="5" a="1"/>
  <c r="C584" i="5"/>
  <c r="AN145" i="7"/>
  <c r="C585" i="5" a="1"/>
  <c r="C585" i="5"/>
  <c r="AN146" i="7"/>
  <c r="C586" i="5" a="1"/>
  <c r="C586" i="5"/>
  <c r="AN147" i="7"/>
  <c r="C609" i="5" a="1"/>
  <c r="C609" i="5"/>
  <c r="AN148" i="7"/>
  <c r="C610" i="5" a="1"/>
  <c r="C610" i="5"/>
  <c r="AN149" i="7"/>
  <c r="C611" i="5" a="1"/>
  <c r="C611" i="5"/>
  <c r="AN150" i="7"/>
  <c r="C612" i="5" a="1"/>
  <c r="C612" i="5"/>
  <c r="AN151" i="7"/>
  <c r="C613" i="5" a="1"/>
  <c r="C613" i="5"/>
  <c r="AN152" i="7"/>
  <c r="C614" i="5" a="1"/>
  <c r="C614" i="5"/>
  <c r="AN153" i="7"/>
  <c r="C630" i="5" a="1"/>
  <c r="C630" i="5"/>
  <c r="AN154" i="7"/>
  <c r="C631" i="5" a="1"/>
  <c r="C631" i="5"/>
  <c r="AN155" i="7"/>
  <c r="C632" i="5" a="1"/>
  <c r="C632" i="5"/>
  <c r="AN156" i="7"/>
  <c r="C633" i="5" a="1"/>
  <c r="C633" i="5"/>
  <c r="AN157" i="7"/>
  <c r="C634" i="5" a="1"/>
  <c r="C634" i="5"/>
  <c r="AN158" i="7"/>
  <c r="C635" i="5" a="1"/>
  <c r="C635" i="5"/>
  <c r="AN159" i="7"/>
  <c r="C658" i="5" a="1"/>
  <c r="C658" i="5"/>
  <c r="AN160" i="7"/>
  <c r="C659" i="5" a="1"/>
  <c r="C659" i="5"/>
  <c r="AN161" i="7"/>
  <c r="C660" i="5" a="1"/>
  <c r="C660" i="5"/>
  <c r="AN162" i="7"/>
  <c r="C661" i="5" a="1"/>
  <c r="C661" i="5"/>
  <c r="AN163" i="7"/>
  <c r="C662" i="5" a="1"/>
  <c r="C662" i="5"/>
  <c r="AN164" i="7"/>
  <c r="C663" i="5" a="1"/>
  <c r="C663" i="5"/>
  <c r="AN165" i="7"/>
  <c r="C679" i="5" a="1"/>
  <c r="C679" i="5"/>
  <c r="AN166" i="7"/>
  <c r="C680" i="5" a="1"/>
  <c r="C680" i="5"/>
  <c r="AN167" i="7"/>
  <c r="C681" i="5" a="1"/>
  <c r="C681" i="5"/>
  <c r="AN168" i="7"/>
  <c r="C682" i="5" a="1"/>
  <c r="C682" i="5"/>
  <c r="AN169" i="7"/>
  <c r="C683" i="5" a="1"/>
  <c r="C683" i="5"/>
  <c r="AN170" i="7"/>
  <c r="C684" i="5" a="1"/>
  <c r="C684" i="5"/>
  <c r="AN171" i="7"/>
  <c r="C707" i="5" a="1"/>
  <c r="C707" i="5"/>
  <c r="AN172" i="7"/>
  <c r="C708" i="5" a="1"/>
  <c r="C708" i="5"/>
  <c r="AN173" i="7"/>
  <c r="C709" i="5" a="1"/>
  <c r="C709" i="5"/>
  <c r="AN174" i="7"/>
  <c r="C710" i="5" a="1"/>
  <c r="C710" i="5"/>
  <c r="AN175" i="7"/>
  <c r="C711" i="5" a="1"/>
  <c r="C711" i="5"/>
  <c r="AN176" i="7"/>
  <c r="C712" i="5" a="1"/>
  <c r="C712" i="5"/>
  <c r="AN177" i="7"/>
  <c r="C728" i="5" a="1"/>
  <c r="C728" i="5"/>
  <c r="AN178" i="7"/>
  <c r="C729" i="5" a="1"/>
  <c r="C729" i="5"/>
  <c r="AN179" i="7"/>
  <c r="C730" i="5" a="1"/>
  <c r="C730" i="5"/>
  <c r="AN180" i="7"/>
  <c r="C731" i="5" a="1"/>
  <c r="C731" i="5"/>
  <c r="AN181" i="7"/>
  <c r="C732" i="5" a="1"/>
  <c r="C732" i="5"/>
  <c r="AN182" i="7"/>
  <c r="C733" i="5" a="1"/>
  <c r="C733" i="5"/>
  <c r="AN183" i="7"/>
  <c r="AQ22" i="7"/>
  <c r="F92" i="5" a="1"/>
  <c r="F92" i="5"/>
  <c r="AQ23" i="7"/>
  <c r="F93" i="5" a="1"/>
  <c r="F93" i="5"/>
  <c r="AQ24" i="7"/>
  <c r="F94" i="5" a="1"/>
  <c r="F94" i="5"/>
  <c r="AQ25" i="7"/>
  <c r="AQ4" i="7"/>
  <c r="AQ5" i="7"/>
  <c r="F23" i="5" a="1"/>
  <c r="F23" i="5"/>
  <c r="AQ6" i="7"/>
  <c r="F24" i="5" a="1"/>
  <c r="F24" i="5"/>
  <c r="AQ7" i="7"/>
  <c r="F25" i="5" a="1"/>
  <c r="F25" i="5"/>
  <c r="AQ8" i="7"/>
  <c r="F26" i="5" a="1"/>
  <c r="F26" i="5"/>
  <c r="AQ9" i="7"/>
  <c r="AQ10" i="7"/>
  <c r="F43" i="5" a="1"/>
  <c r="F43" i="5"/>
  <c r="AQ11" i="7"/>
  <c r="F44" i="5" a="1"/>
  <c r="F44" i="5"/>
  <c r="AQ12" i="7"/>
  <c r="F45" i="5" a="1"/>
  <c r="F45" i="5"/>
  <c r="AQ13" i="7"/>
  <c r="F46" i="5" a="1"/>
  <c r="F46" i="5"/>
  <c r="AQ14" i="7"/>
  <c r="F47" i="5" a="1"/>
  <c r="F47" i="5"/>
  <c r="AQ15" i="7"/>
  <c r="AQ16" i="7"/>
  <c r="AQ17" i="7"/>
  <c r="F72" i="5" a="1"/>
  <c r="F72" i="5"/>
  <c r="AQ18" i="7"/>
  <c r="F73" i="5" a="1"/>
  <c r="F73" i="5"/>
  <c r="AQ19" i="7"/>
  <c r="F74" i="5" a="1"/>
  <c r="F74" i="5"/>
  <c r="AQ20" i="7"/>
  <c r="F75" i="5" a="1"/>
  <c r="F75" i="5"/>
  <c r="AQ21" i="7"/>
  <c r="F95" i="5" a="1"/>
  <c r="F95" i="5"/>
  <c r="AQ26" i="7"/>
  <c r="F96" i="5" a="1"/>
  <c r="F96" i="5"/>
  <c r="AQ27" i="7"/>
  <c r="AQ28" i="7"/>
  <c r="AQ29" i="7"/>
  <c r="F121" i="5" a="1"/>
  <c r="F121" i="5"/>
  <c r="AQ30" i="7"/>
  <c r="F122" i="5" a="1"/>
  <c r="F122" i="5"/>
  <c r="AQ31" i="7"/>
  <c r="F123" i="5" a="1"/>
  <c r="F123" i="5"/>
  <c r="AQ32" i="7"/>
  <c r="F124" i="5" a="1"/>
  <c r="F124" i="5"/>
  <c r="AQ33" i="7"/>
  <c r="AQ34" i="7"/>
  <c r="AQ35" i="7"/>
  <c r="AQ36" i="7"/>
  <c r="F143" i="5" a="1"/>
  <c r="F143" i="5"/>
  <c r="AQ37" i="7"/>
  <c r="F144" i="5" a="1"/>
  <c r="F144" i="5"/>
  <c r="AQ38" i="7"/>
  <c r="F145" i="5" a="1"/>
  <c r="F145" i="5"/>
  <c r="AQ39" i="7"/>
  <c r="AQ40" i="7"/>
  <c r="AQ41" i="7"/>
  <c r="F170" i="5" a="1"/>
  <c r="F170" i="5"/>
  <c r="AQ42" i="7"/>
  <c r="F171" i="5" a="1"/>
  <c r="F171" i="5"/>
  <c r="AQ43" i="7"/>
  <c r="F172" i="5" a="1"/>
  <c r="F172" i="5"/>
  <c r="AQ44" i="7"/>
  <c r="F173" i="5" a="1"/>
  <c r="F173" i="5"/>
  <c r="AQ45" i="7"/>
  <c r="F189" i="5" a="1"/>
  <c r="F189" i="5"/>
  <c r="AQ46" i="7"/>
  <c r="F190" i="5" a="1"/>
  <c r="F190" i="5"/>
  <c r="AQ47" i="7"/>
  <c r="F191" i="5" a="1"/>
  <c r="F191" i="5"/>
  <c r="AQ48" i="7"/>
  <c r="F192" i="5" a="1"/>
  <c r="F192" i="5"/>
  <c r="AQ49" i="7"/>
  <c r="F193" i="5" a="1"/>
  <c r="F193" i="5"/>
  <c r="AQ50" i="7"/>
  <c r="F194" i="5" a="1"/>
  <c r="F194" i="5"/>
  <c r="AQ51" i="7"/>
  <c r="AQ52" i="7"/>
  <c r="F218" i="5" a="1"/>
  <c r="F218" i="5"/>
  <c r="AQ53" i="7"/>
  <c r="F219" i="5" a="1"/>
  <c r="F219" i="5"/>
  <c r="AQ54" i="7"/>
  <c r="F220" i="5" a="1"/>
  <c r="F220" i="5"/>
  <c r="AQ55" i="7"/>
  <c r="F221" i="5" a="1"/>
  <c r="F221" i="5"/>
  <c r="AQ56" i="7"/>
  <c r="F222" i="5" a="1"/>
  <c r="F222" i="5"/>
  <c r="AQ57" i="7"/>
  <c r="F238" i="5" a="1"/>
  <c r="F238" i="5"/>
  <c r="AQ58" i="7"/>
  <c r="F239" i="5" a="1"/>
  <c r="F239" i="5"/>
  <c r="AQ59" i="7"/>
  <c r="F240" i="5" a="1"/>
  <c r="F240" i="5"/>
  <c r="AQ60" i="7"/>
  <c r="F241" i="5" a="1"/>
  <c r="F241" i="5"/>
  <c r="AQ61" i="7"/>
  <c r="F242" i="5" a="1"/>
  <c r="F242" i="5"/>
  <c r="AQ62" i="7"/>
  <c r="F243" i="5" a="1"/>
  <c r="F243" i="5"/>
  <c r="AQ63" i="7"/>
  <c r="F266" i="5" a="1"/>
  <c r="F266" i="5"/>
  <c r="AQ64" i="7"/>
  <c r="F267" i="5" a="1"/>
  <c r="F267" i="5"/>
  <c r="AQ65" i="7"/>
  <c r="F268" i="5" a="1"/>
  <c r="F268" i="5"/>
  <c r="AQ66" i="7"/>
  <c r="F269" i="5" a="1"/>
  <c r="F269" i="5"/>
  <c r="AQ67" i="7"/>
  <c r="F270" i="5" a="1"/>
  <c r="F270" i="5"/>
  <c r="AQ68" i="7"/>
  <c r="F271" i="5" a="1"/>
  <c r="F271" i="5"/>
  <c r="AQ69" i="7"/>
  <c r="F287" i="5" a="1"/>
  <c r="F287" i="5"/>
  <c r="AQ70" i="7"/>
  <c r="F288" i="5" a="1"/>
  <c r="F288" i="5"/>
  <c r="AQ71" i="7"/>
  <c r="F289" i="5" a="1"/>
  <c r="F289" i="5"/>
  <c r="AQ72" i="7"/>
  <c r="F290" i="5" a="1"/>
  <c r="F290" i="5"/>
  <c r="AQ73" i="7"/>
  <c r="F291" i="5" a="1"/>
  <c r="F291" i="5"/>
  <c r="AQ74" i="7"/>
  <c r="F292" i="5" a="1"/>
  <c r="F292" i="5"/>
  <c r="AQ75" i="7"/>
  <c r="F315" i="5" a="1"/>
  <c r="F315" i="5"/>
  <c r="AQ76" i="7"/>
  <c r="F316" i="5" a="1"/>
  <c r="F316" i="5"/>
  <c r="AQ77" i="7"/>
  <c r="F317" i="5" a="1"/>
  <c r="F317" i="5"/>
  <c r="AQ78" i="7"/>
  <c r="F318" i="5" a="1"/>
  <c r="F318" i="5"/>
  <c r="AQ79" i="7"/>
  <c r="F319" i="5" a="1"/>
  <c r="F319" i="5"/>
  <c r="AQ80" i="7"/>
  <c r="F320" i="5" a="1"/>
  <c r="F320" i="5"/>
  <c r="AQ81" i="7"/>
  <c r="F336" i="5" a="1"/>
  <c r="F336" i="5"/>
  <c r="AQ82" i="7"/>
  <c r="F337" i="5" a="1"/>
  <c r="F337" i="5"/>
  <c r="AQ83" i="7"/>
  <c r="F338" i="5" a="1"/>
  <c r="F338" i="5"/>
  <c r="AQ84" i="7"/>
  <c r="F339" i="5" a="1"/>
  <c r="F339" i="5"/>
  <c r="AQ85" i="7"/>
  <c r="F340" i="5" a="1"/>
  <c r="F340" i="5"/>
  <c r="AQ86" i="7"/>
  <c r="F341" i="5" a="1"/>
  <c r="F341" i="5"/>
  <c r="AQ87" i="7"/>
  <c r="F364" i="5" a="1"/>
  <c r="F364" i="5"/>
  <c r="AQ88" i="7"/>
  <c r="F365" i="5" a="1"/>
  <c r="F365" i="5"/>
  <c r="AQ89" i="7"/>
  <c r="F366" i="5" a="1"/>
  <c r="F366" i="5"/>
  <c r="AQ90" i="7"/>
  <c r="F367" i="5" a="1"/>
  <c r="F367" i="5"/>
  <c r="AQ91" i="7"/>
  <c r="F368" i="5" a="1"/>
  <c r="F368" i="5"/>
  <c r="AQ92" i="7"/>
  <c r="F369" i="5" a="1"/>
  <c r="F369" i="5"/>
  <c r="AQ93" i="7"/>
  <c r="F385" i="5" a="1"/>
  <c r="F385" i="5"/>
  <c r="AQ94" i="7"/>
  <c r="F386" i="5" a="1"/>
  <c r="F386" i="5"/>
  <c r="AQ95" i="7"/>
  <c r="F387" i="5" a="1"/>
  <c r="F387" i="5"/>
  <c r="AQ96" i="7"/>
  <c r="F388" i="5" a="1"/>
  <c r="F388" i="5"/>
  <c r="AQ97" i="7"/>
  <c r="F389" i="5" a="1"/>
  <c r="F389" i="5"/>
  <c r="AQ98" i="7"/>
  <c r="F390" i="5" a="1"/>
  <c r="F390" i="5"/>
  <c r="AQ99" i="7"/>
  <c r="F413" i="5" a="1"/>
  <c r="F413" i="5"/>
  <c r="AQ100" i="7"/>
  <c r="F414" i="5" a="1"/>
  <c r="F414" i="5"/>
  <c r="AQ101" i="7"/>
  <c r="F415" i="5" a="1"/>
  <c r="F415" i="5"/>
  <c r="AQ102" i="7"/>
  <c r="F416" i="5" a="1"/>
  <c r="F416" i="5"/>
  <c r="AQ103" i="7"/>
  <c r="F417" i="5" a="1"/>
  <c r="F417" i="5"/>
  <c r="AQ104" i="7"/>
  <c r="F418" i="5" a="1"/>
  <c r="F418" i="5"/>
  <c r="AQ105" i="7"/>
  <c r="F434" i="5" a="1"/>
  <c r="F434" i="5"/>
  <c r="AQ106" i="7"/>
  <c r="F435" i="5" a="1"/>
  <c r="F435" i="5"/>
  <c r="AQ107" i="7"/>
  <c r="F436" i="5" a="1"/>
  <c r="F436" i="5"/>
  <c r="AQ108" i="7"/>
  <c r="F437" i="5" a="1"/>
  <c r="F437" i="5"/>
  <c r="AQ109" i="7"/>
  <c r="F438" i="5" a="1"/>
  <c r="F438" i="5"/>
  <c r="AQ110" i="7"/>
  <c r="F439" i="5" a="1"/>
  <c r="F439" i="5"/>
  <c r="AQ111" i="7"/>
  <c r="F462" i="5" a="1"/>
  <c r="F462" i="5"/>
  <c r="AQ112" i="7"/>
  <c r="F463" i="5" a="1"/>
  <c r="F463" i="5"/>
  <c r="AQ113" i="7"/>
  <c r="F464" i="5" a="1"/>
  <c r="F464" i="5"/>
  <c r="AQ114" i="7"/>
  <c r="F465" i="5" a="1"/>
  <c r="F465" i="5"/>
  <c r="AQ115" i="7"/>
  <c r="F466" i="5" a="1"/>
  <c r="F466" i="5"/>
  <c r="AQ116" i="7"/>
  <c r="F467" i="5" a="1"/>
  <c r="F467" i="5"/>
  <c r="AQ117" i="7"/>
  <c r="F483" i="5" a="1"/>
  <c r="F483" i="5"/>
  <c r="AQ118" i="7"/>
  <c r="F484" i="5" a="1"/>
  <c r="F484" i="5"/>
  <c r="AQ119" i="7"/>
  <c r="F485" i="5" a="1"/>
  <c r="F485" i="5"/>
  <c r="AQ120" i="7"/>
  <c r="F486" i="5" a="1"/>
  <c r="F486" i="5"/>
  <c r="AQ121" i="7"/>
  <c r="F487" i="5" a="1"/>
  <c r="F487" i="5"/>
  <c r="AQ122" i="7"/>
  <c r="F488" i="5" a="1"/>
  <c r="F488" i="5"/>
  <c r="AQ123" i="7"/>
  <c r="F511" i="5" a="1"/>
  <c r="F511" i="5"/>
  <c r="AQ124" i="7"/>
  <c r="F512" i="5" a="1"/>
  <c r="F512" i="5"/>
  <c r="AQ125" i="7"/>
  <c r="F513" i="5" a="1"/>
  <c r="F513" i="5"/>
  <c r="AQ126" i="7"/>
  <c r="F514" i="5" a="1"/>
  <c r="F514" i="5"/>
  <c r="AQ127" i="7"/>
  <c r="F515" i="5" a="1"/>
  <c r="F515" i="5"/>
  <c r="AQ128" i="7"/>
  <c r="F516" i="5" a="1"/>
  <c r="F516" i="5"/>
  <c r="AQ129" i="7"/>
  <c r="F532" i="5" a="1"/>
  <c r="F532" i="5"/>
  <c r="AQ130" i="7"/>
  <c r="F533" i="5" a="1"/>
  <c r="F533" i="5"/>
  <c r="AQ131" i="7"/>
  <c r="F534" i="5" a="1"/>
  <c r="F534" i="5"/>
  <c r="AQ132" i="7"/>
  <c r="F535" i="5" a="1"/>
  <c r="F535" i="5"/>
  <c r="AQ133" i="7"/>
  <c r="F536" i="5" a="1"/>
  <c r="F536" i="5"/>
  <c r="AQ134" i="7"/>
  <c r="F537" i="5" a="1"/>
  <c r="F537" i="5"/>
  <c r="AQ135" i="7"/>
  <c r="F560" i="5" a="1"/>
  <c r="F560" i="5"/>
  <c r="AQ136" i="7"/>
  <c r="F561" i="5" a="1"/>
  <c r="F561" i="5"/>
  <c r="AQ137" i="7"/>
  <c r="F562" i="5" a="1"/>
  <c r="F562" i="5"/>
  <c r="AQ138" i="7"/>
  <c r="F563" i="5" a="1"/>
  <c r="F563" i="5"/>
  <c r="AQ139" i="7"/>
  <c r="F564" i="5" a="1"/>
  <c r="F564" i="5"/>
  <c r="AQ140" i="7"/>
  <c r="F565" i="5" a="1"/>
  <c r="F565" i="5"/>
  <c r="AQ141" i="7"/>
  <c r="F581" i="5" a="1"/>
  <c r="F581" i="5"/>
  <c r="AQ142" i="7"/>
  <c r="F582" i="5" a="1"/>
  <c r="F582" i="5"/>
  <c r="AQ143" i="7"/>
  <c r="F583" i="5" a="1"/>
  <c r="F583" i="5"/>
  <c r="AQ144" i="7"/>
  <c r="F584" i="5" a="1"/>
  <c r="F584" i="5"/>
  <c r="AQ145" i="7"/>
  <c r="F585" i="5" a="1"/>
  <c r="F585" i="5"/>
  <c r="AQ146" i="7"/>
  <c r="F586" i="5" a="1"/>
  <c r="F586" i="5"/>
  <c r="AQ147" i="7"/>
  <c r="F609" i="5" a="1"/>
  <c r="F609" i="5"/>
  <c r="AQ148" i="7"/>
  <c r="F610" i="5" a="1"/>
  <c r="F610" i="5"/>
  <c r="AQ149" i="7"/>
  <c r="F611" i="5" a="1"/>
  <c r="F611" i="5"/>
  <c r="AQ150" i="7"/>
  <c r="F612" i="5" a="1"/>
  <c r="F612" i="5"/>
  <c r="AQ151" i="7"/>
  <c r="F613" i="5" a="1"/>
  <c r="F613" i="5"/>
  <c r="AQ152" i="7"/>
  <c r="F614" i="5" a="1"/>
  <c r="F614" i="5"/>
  <c r="AQ153" i="7"/>
  <c r="F630" i="5" a="1"/>
  <c r="F630" i="5"/>
  <c r="AQ154" i="7"/>
  <c r="F631" i="5" a="1"/>
  <c r="F631" i="5"/>
  <c r="AQ155" i="7"/>
  <c r="F632" i="5" a="1"/>
  <c r="F632" i="5"/>
  <c r="AQ156" i="7"/>
  <c r="F633" i="5" a="1"/>
  <c r="F633" i="5"/>
  <c r="AQ157" i="7"/>
  <c r="F634" i="5" a="1"/>
  <c r="F634" i="5"/>
  <c r="AQ158" i="7"/>
  <c r="F635" i="5" a="1"/>
  <c r="F635" i="5"/>
  <c r="AQ159" i="7"/>
  <c r="F658" i="5" a="1"/>
  <c r="F658" i="5"/>
  <c r="AQ160" i="7"/>
  <c r="F659" i="5" a="1"/>
  <c r="F659" i="5"/>
  <c r="AQ161" i="7"/>
  <c r="F660" i="5" a="1"/>
  <c r="F660" i="5"/>
  <c r="AQ162" i="7"/>
  <c r="F661" i="5" a="1"/>
  <c r="F661" i="5"/>
  <c r="AQ163" i="7"/>
  <c r="F662" i="5" a="1"/>
  <c r="F662" i="5"/>
  <c r="AQ164" i="7"/>
  <c r="F663" i="5" a="1"/>
  <c r="F663" i="5"/>
  <c r="AQ165" i="7"/>
  <c r="F679" i="5" a="1"/>
  <c r="F679" i="5"/>
  <c r="AQ166" i="7"/>
  <c r="F680" i="5" a="1"/>
  <c r="F680" i="5"/>
  <c r="AQ167" i="7"/>
  <c r="F681" i="5" a="1"/>
  <c r="F681" i="5"/>
  <c r="AQ168" i="7"/>
  <c r="F682" i="5" a="1"/>
  <c r="F682" i="5"/>
  <c r="AQ169" i="7"/>
  <c r="F683" i="5" a="1"/>
  <c r="F683" i="5"/>
  <c r="AQ170" i="7"/>
  <c r="F684" i="5" a="1"/>
  <c r="F684" i="5"/>
  <c r="AQ171" i="7"/>
  <c r="F707" i="5" a="1"/>
  <c r="F707" i="5"/>
  <c r="AQ172" i="7"/>
  <c r="F708" i="5" a="1"/>
  <c r="F708" i="5"/>
  <c r="AQ173" i="7"/>
  <c r="F709" i="5" a="1"/>
  <c r="F709" i="5"/>
  <c r="AQ174" i="7"/>
  <c r="F710" i="5" a="1"/>
  <c r="F710" i="5"/>
  <c r="AQ175" i="7"/>
  <c r="F711" i="5" a="1"/>
  <c r="F711" i="5"/>
  <c r="AQ176" i="7"/>
  <c r="F712" i="5" a="1"/>
  <c r="F712" i="5"/>
  <c r="AQ177" i="7"/>
  <c r="F728" i="5" a="1"/>
  <c r="F728" i="5"/>
  <c r="AQ178" i="7"/>
  <c r="F729" i="5" a="1"/>
  <c r="F729" i="5"/>
  <c r="AQ179" i="7"/>
  <c r="F730" i="5" a="1"/>
  <c r="F730" i="5"/>
  <c r="AQ180" i="7"/>
  <c r="F731" i="5" a="1"/>
  <c r="F731" i="5"/>
  <c r="AQ181" i="7"/>
  <c r="F732" i="5" a="1"/>
  <c r="F732" i="5"/>
  <c r="AQ182" i="7"/>
  <c r="F733" i="5" a="1"/>
  <c r="F733" i="5"/>
  <c r="AQ183" i="7"/>
  <c r="N3" i="1"/>
  <c r="P3" i="1"/>
  <c r="N4" i="1"/>
  <c r="P4" i="1"/>
  <c r="N5" i="1"/>
  <c r="P5" i="1"/>
  <c r="N6" i="1"/>
  <c r="P6" i="1"/>
  <c r="N7" i="1"/>
  <c r="P7" i="1"/>
  <c r="N8" i="1"/>
  <c r="P8" i="1"/>
  <c r="N9" i="1"/>
  <c r="P9" i="1"/>
  <c r="N10" i="1"/>
  <c r="P10" i="1"/>
  <c r="J3" i="1"/>
  <c r="L3" i="1"/>
  <c r="J4" i="1"/>
  <c r="L4" i="1"/>
  <c r="J5" i="1"/>
  <c r="L5" i="1"/>
  <c r="J6" i="1"/>
  <c r="L6" i="1"/>
  <c r="J7" i="1"/>
  <c r="L7" i="1"/>
  <c r="J8" i="1"/>
  <c r="L8" i="1"/>
  <c r="J9" i="1"/>
  <c r="L9" i="1"/>
  <c r="J10" i="1"/>
  <c r="L10" i="1"/>
  <c r="M691" i="5"/>
  <c r="J691" i="5" a="1"/>
  <c r="J691" i="5"/>
  <c r="I691" i="5" a="1"/>
  <c r="I691" i="5"/>
  <c r="H691" i="5" a="1"/>
  <c r="H691" i="5"/>
  <c r="G691" i="5" a="1"/>
  <c r="G691" i="5"/>
  <c r="F691" i="5" a="1"/>
  <c r="F691" i="5"/>
  <c r="E691" i="5" a="1"/>
  <c r="E691" i="5"/>
  <c r="D691" i="5" a="1"/>
  <c r="D691" i="5"/>
  <c r="C691" i="5" a="1"/>
  <c r="C691" i="5"/>
  <c r="B691" i="5" a="1"/>
  <c r="B691" i="5"/>
  <c r="K691" i="5"/>
  <c r="M690" i="5"/>
  <c r="J690" i="5" a="1"/>
  <c r="J690" i="5"/>
  <c r="I690" i="5" a="1"/>
  <c r="I690" i="5"/>
  <c r="H690" i="5" a="1"/>
  <c r="H690" i="5"/>
  <c r="G690" i="5" a="1"/>
  <c r="G690" i="5"/>
  <c r="F690" i="5" a="1"/>
  <c r="F690" i="5"/>
  <c r="E690" i="5" a="1"/>
  <c r="E690" i="5"/>
  <c r="D690" i="5" a="1"/>
  <c r="D690" i="5"/>
  <c r="C690" i="5" a="1"/>
  <c r="C690" i="5"/>
  <c r="B690" i="5" a="1"/>
  <c r="B690" i="5"/>
  <c r="K690" i="5"/>
  <c r="M642" i="5"/>
  <c r="J642" i="5" a="1"/>
  <c r="J642" i="5"/>
  <c r="I642" i="5" a="1"/>
  <c r="I642" i="5"/>
  <c r="H642" i="5" a="1"/>
  <c r="H642" i="5"/>
  <c r="G642" i="5" a="1"/>
  <c r="G642" i="5"/>
  <c r="F642" i="5" a="1"/>
  <c r="F642" i="5"/>
  <c r="E642" i="5" a="1"/>
  <c r="E642" i="5"/>
  <c r="D642" i="5" a="1"/>
  <c r="D642" i="5"/>
  <c r="C642" i="5" a="1"/>
  <c r="C642" i="5"/>
  <c r="B642" i="5" a="1"/>
  <c r="B642" i="5"/>
  <c r="K642" i="5"/>
  <c r="M641" i="5"/>
  <c r="J641" i="5" a="1"/>
  <c r="J641" i="5"/>
  <c r="I641" i="5" a="1"/>
  <c r="I641" i="5"/>
  <c r="H641" i="5" a="1"/>
  <c r="H641" i="5"/>
  <c r="G641" i="5" a="1"/>
  <c r="G641" i="5"/>
  <c r="F641" i="5" a="1"/>
  <c r="F641" i="5"/>
  <c r="E641" i="5" a="1"/>
  <c r="E641" i="5"/>
  <c r="D641" i="5" a="1"/>
  <c r="D641" i="5"/>
  <c r="C641" i="5" a="1"/>
  <c r="C641" i="5"/>
  <c r="B641" i="5" a="1"/>
  <c r="B641" i="5"/>
  <c r="K641" i="5"/>
  <c r="M593" i="5"/>
  <c r="J593" i="5" a="1"/>
  <c r="J593" i="5"/>
  <c r="I593" i="5" a="1"/>
  <c r="I593" i="5"/>
  <c r="H593" i="5" a="1"/>
  <c r="H593" i="5"/>
  <c r="G593" i="5" a="1"/>
  <c r="G593" i="5"/>
  <c r="F593" i="5" a="1"/>
  <c r="F593" i="5"/>
  <c r="E593" i="5" a="1"/>
  <c r="E593" i="5"/>
  <c r="D593" i="5" a="1"/>
  <c r="D593" i="5"/>
  <c r="C593" i="5" a="1"/>
  <c r="C593" i="5"/>
  <c r="B593" i="5" a="1"/>
  <c r="B593" i="5"/>
  <c r="K593" i="5"/>
  <c r="M592" i="5"/>
  <c r="J592" i="5" a="1"/>
  <c r="J592" i="5"/>
  <c r="I592" i="5" a="1"/>
  <c r="I592" i="5"/>
  <c r="H592" i="5" a="1"/>
  <c r="H592" i="5"/>
  <c r="G592" i="5" a="1"/>
  <c r="G592" i="5"/>
  <c r="F592" i="5" a="1"/>
  <c r="F592" i="5"/>
  <c r="E592" i="5" a="1"/>
  <c r="E592" i="5"/>
  <c r="D592" i="5" a="1"/>
  <c r="D592" i="5"/>
  <c r="C592" i="5" a="1"/>
  <c r="C592" i="5"/>
  <c r="B592" i="5" a="1"/>
  <c r="B592" i="5"/>
  <c r="K592" i="5"/>
  <c r="M544" i="5"/>
  <c r="J544" i="5" a="1"/>
  <c r="J544" i="5"/>
  <c r="I544" i="5" a="1"/>
  <c r="I544" i="5"/>
  <c r="H544" i="5" a="1"/>
  <c r="H544" i="5"/>
  <c r="G544" i="5" a="1"/>
  <c r="G544" i="5"/>
  <c r="F544" i="5" a="1"/>
  <c r="F544" i="5"/>
  <c r="E544" i="5" a="1"/>
  <c r="E544" i="5"/>
  <c r="D544" i="5" a="1"/>
  <c r="D544" i="5"/>
  <c r="C544" i="5" a="1"/>
  <c r="C544" i="5"/>
  <c r="B544" i="5" a="1"/>
  <c r="B544" i="5"/>
  <c r="K544" i="5"/>
  <c r="M543" i="5"/>
  <c r="J543" i="5" a="1"/>
  <c r="J543" i="5"/>
  <c r="I543" i="5" a="1"/>
  <c r="I543" i="5"/>
  <c r="H543" i="5" a="1"/>
  <c r="H543" i="5"/>
  <c r="G543" i="5" a="1"/>
  <c r="G543" i="5"/>
  <c r="F543" i="5" a="1"/>
  <c r="F543" i="5"/>
  <c r="E543" i="5" a="1"/>
  <c r="E543" i="5"/>
  <c r="D543" i="5" a="1"/>
  <c r="D543" i="5"/>
  <c r="C543" i="5" a="1"/>
  <c r="C543" i="5"/>
  <c r="B543" i="5" a="1"/>
  <c r="B543" i="5"/>
  <c r="K543" i="5"/>
  <c r="M495" i="5"/>
  <c r="J495" i="5" a="1"/>
  <c r="J495" i="5"/>
  <c r="I495" i="5" a="1"/>
  <c r="I495" i="5"/>
  <c r="H495" i="5" a="1"/>
  <c r="H495" i="5"/>
  <c r="G495" i="5" a="1"/>
  <c r="G495" i="5"/>
  <c r="F495" i="5" a="1"/>
  <c r="F495" i="5"/>
  <c r="E495" i="5" a="1"/>
  <c r="E495" i="5"/>
  <c r="D495" i="5" a="1"/>
  <c r="D495" i="5"/>
  <c r="C495" i="5" a="1"/>
  <c r="C495" i="5"/>
  <c r="B495" i="5" a="1"/>
  <c r="B495" i="5"/>
  <c r="K495" i="5"/>
  <c r="M494" i="5"/>
  <c r="J494" i="5" a="1"/>
  <c r="J494" i="5"/>
  <c r="I494" i="5" a="1"/>
  <c r="I494" i="5"/>
  <c r="H494" i="5" a="1"/>
  <c r="H494" i="5"/>
  <c r="G494" i="5" a="1"/>
  <c r="G494" i="5"/>
  <c r="F494" i="5" a="1"/>
  <c r="F494" i="5"/>
  <c r="E494" i="5" a="1"/>
  <c r="E494" i="5"/>
  <c r="D494" i="5" a="1"/>
  <c r="D494" i="5"/>
  <c r="C494" i="5" a="1"/>
  <c r="C494" i="5"/>
  <c r="B494" i="5" a="1"/>
  <c r="B494" i="5"/>
  <c r="K494" i="5"/>
  <c r="M446" i="5"/>
  <c r="J446" i="5" a="1"/>
  <c r="J446" i="5"/>
  <c r="I446" i="5" a="1"/>
  <c r="I446" i="5"/>
  <c r="H446" i="5" a="1"/>
  <c r="H446" i="5"/>
  <c r="G446" i="5" a="1"/>
  <c r="G446" i="5"/>
  <c r="F446" i="5" a="1"/>
  <c r="F446" i="5"/>
  <c r="E446" i="5" a="1"/>
  <c r="E446" i="5"/>
  <c r="D446" i="5" a="1"/>
  <c r="D446" i="5"/>
  <c r="C446" i="5" a="1"/>
  <c r="C446" i="5"/>
  <c r="B446" i="5" a="1"/>
  <c r="B446" i="5"/>
  <c r="K446" i="5"/>
  <c r="M445" i="5"/>
  <c r="J445" i="5" a="1"/>
  <c r="J445" i="5"/>
  <c r="I445" i="5" a="1"/>
  <c r="I445" i="5"/>
  <c r="H445" i="5" a="1"/>
  <c r="H445" i="5"/>
  <c r="G445" i="5" a="1"/>
  <c r="G445" i="5"/>
  <c r="F445" i="5" a="1"/>
  <c r="F445" i="5"/>
  <c r="E445" i="5" a="1"/>
  <c r="E445" i="5"/>
  <c r="D445" i="5" a="1"/>
  <c r="D445" i="5"/>
  <c r="C445" i="5" a="1"/>
  <c r="C445" i="5"/>
  <c r="B445" i="5" a="1"/>
  <c r="B445" i="5"/>
  <c r="K445" i="5"/>
  <c r="M397" i="5"/>
  <c r="J397" i="5" a="1"/>
  <c r="J397" i="5"/>
  <c r="I397" i="5" a="1"/>
  <c r="I397" i="5"/>
  <c r="H397" i="5" a="1"/>
  <c r="H397" i="5"/>
  <c r="G397" i="5" a="1"/>
  <c r="G397" i="5"/>
  <c r="F397" i="5" a="1"/>
  <c r="F397" i="5"/>
  <c r="E397" i="5" a="1"/>
  <c r="E397" i="5"/>
  <c r="D397" i="5" a="1"/>
  <c r="D397" i="5"/>
  <c r="C397" i="5" a="1"/>
  <c r="C397" i="5"/>
  <c r="B397" i="5" a="1"/>
  <c r="B397" i="5"/>
  <c r="K397" i="5"/>
  <c r="M396" i="5"/>
  <c r="J396" i="5" a="1"/>
  <c r="J396" i="5"/>
  <c r="I396" i="5" a="1"/>
  <c r="I396" i="5"/>
  <c r="H396" i="5" a="1"/>
  <c r="H396" i="5"/>
  <c r="G396" i="5" a="1"/>
  <c r="G396" i="5"/>
  <c r="F396" i="5" a="1"/>
  <c r="F396" i="5"/>
  <c r="E396" i="5" a="1"/>
  <c r="E396" i="5"/>
  <c r="D396" i="5" a="1"/>
  <c r="D396" i="5"/>
  <c r="C396" i="5" a="1"/>
  <c r="C396" i="5"/>
  <c r="B396" i="5" a="1"/>
  <c r="B396" i="5"/>
  <c r="K396" i="5"/>
  <c r="M348" i="5"/>
  <c r="J348" i="5" a="1"/>
  <c r="J348" i="5"/>
  <c r="I348" i="5" a="1"/>
  <c r="I348" i="5"/>
  <c r="H348" i="5" a="1"/>
  <c r="H348" i="5"/>
  <c r="G348" i="5" a="1"/>
  <c r="G348" i="5"/>
  <c r="F348" i="5" a="1"/>
  <c r="F348" i="5"/>
  <c r="E348" i="5" a="1"/>
  <c r="E348" i="5"/>
  <c r="D348" i="5" a="1"/>
  <c r="D348" i="5"/>
  <c r="C348" i="5" a="1"/>
  <c r="C348" i="5"/>
  <c r="B348" i="5" a="1"/>
  <c r="B348" i="5"/>
  <c r="K348" i="5"/>
  <c r="M347" i="5"/>
  <c r="J347" i="5" a="1"/>
  <c r="J347" i="5"/>
  <c r="I347" i="5" a="1"/>
  <c r="I347" i="5"/>
  <c r="H347" i="5" a="1"/>
  <c r="H347" i="5"/>
  <c r="G347" i="5" a="1"/>
  <c r="G347" i="5"/>
  <c r="F347" i="5" a="1"/>
  <c r="F347" i="5"/>
  <c r="E347" i="5" a="1"/>
  <c r="E347" i="5"/>
  <c r="D347" i="5" a="1"/>
  <c r="D347" i="5"/>
  <c r="C347" i="5" a="1"/>
  <c r="C347" i="5"/>
  <c r="B347" i="5" a="1"/>
  <c r="B347" i="5"/>
  <c r="K347" i="5"/>
  <c r="M299" i="5"/>
  <c r="J299" i="5" a="1"/>
  <c r="J299" i="5"/>
  <c r="I299" i="5" a="1"/>
  <c r="I299" i="5"/>
  <c r="H299" i="5" a="1"/>
  <c r="H299" i="5"/>
  <c r="G299" i="5" a="1"/>
  <c r="G299" i="5"/>
  <c r="F299" i="5" a="1"/>
  <c r="F299" i="5"/>
  <c r="E299" i="5" a="1"/>
  <c r="E299" i="5"/>
  <c r="D299" i="5" a="1"/>
  <c r="D299" i="5"/>
  <c r="C299" i="5" a="1"/>
  <c r="C299" i="5"/>
  <c r="B299" i="5" a="1"/>
  <c r="B299" i="5"/>
  <c r="K299" i="5"/>
  <c r="M298" i="5"/>
  <c r="J298" i="5" a="1"/>
  <c r="J298" i="5"/>
  <c r="I298" i="5" a="1"/>
  <c r="I298" i="5"/>
  <c r="H298" i="5" a="1"/>
  <c r="H298" i="5"/>
  <c r="G298" i="5" a="1"/>
  <c r="G298" i="5"/>
  <c r="F298" i="5" a="1"/>
  <c r="F298" i="5"/>
  <c r="E298" i="5" a="1"/>
  <c r="E298" i="5"/>
  <c r="D298" i="5" a="1"/>
  <c r="D298" i="5"/>
  <c r="C298" i="5" a="1"/>
  <c r="C298" i="5"/>
  <c r="K298" i="5"/>
  <c r="M250" i="5"/>
  <c r="J250" i="5" a="1"/>
  <c r="J250" i="5"/>
  <c r="I250" i="5" a="1"/>
  <c r="I250" i="5"/>
  <c r="H250" i="5" a="1"/>
  <c r="H250" i="5"/>
  <c r="G250" i="5" a="1"/>
  <c r="G250" i="5"/>
  <c r="F250" i="5" a="1"/>
  <c r="F250" i="5"/>
  <c r="E250" i="5" a="1"/>
  <c r="E250" i="5"/>
  <c r="D250" i="5" a="1"/>
  <c r="D250" i="5"/>
  <c r="C250" i="5" a="1"/>
  <c r="C250" i="5"/>
  <c r="K250" i="5"/>
  <c r="M249" i="5"/>
  <c r="J249" i="5" a="1"/>
  <c r="J249" i="5"/>
  <c r="I249" i="5" a="1"/>
  <c r="I249" i="5"/>
  <c r="H249" i="5" a="1"/>
  <c r="H249" i="5"/>
  <c r="G249" i="5" a="1"/>
  <c r="G249" i="5"/>
  <c r="F249" i="5" a="1"/>
  <c r="F249" i="5"/>
  <c r="E249" i="5" a="1"/>
  <c r="E249" i="5"/>
  <c r="D249" i="5" a="1"/>
  <c r="D249" i="5"/>
  <c r="C249" i="5" a="1"/>
  <c r="C249" i="5"/>
  <c r="K249" i="5"/>
  <c r="M201" i="5"/>
  <c r="J201" i="5" a="1"/>
  <c r="J201" i="5"/>
  <c r="I201" i="5" a="1"/>
  <c r="I201" i="5"/>
  <c r="H201" i="5" a="1"/>
  <c r="H201" i="5"/>
  <c r="G201" i="5" a="1"/>
  <c r="G201" i="5"/>
  <c r="F201" i="5" a="1"/>
  <c r="F201" i="5"/>
  <c r="E201" i="5" a="1"/>
  <c r="E201" i="5"/>
  <c r="D201" i="5" a="1"/>
  <c r="D201" i="5"/>
  <c r="M200" i="5"/>
  <c r="J200" i="5" a="1"/>
  <c r="J200" i="5"/>
  <c r="I200" i="5" a="1"/>
  <c r="I200" i="5"/>
  <c r="H200" i="5" a="1"/>
  <c r="H200" i="5"/>
  <c r="G200" i="5" a="1"/>
  <c r="G200" i="5"/>
  <c r="F200" i="5" a="1"/>
  <c r="F200" i="5"/>
  <c r="E200" i="5" a="1"/>
  <c r="E200" i="5"/>
  <c r="D200" i="5" a="1"/>
  <c r="D200" i="5"/>
  <c r="M152" i="5"/>
  <c r="J152" i="5" a="1"/>
  <c r="J152" i="5"/>
  <c r="I152" i="5" a="1"/>
  <c r="I152" i="5"/>
  <c r="H152" i="5" a="1"/>
  <c r="H152" i="5"/>
  <c r="G152" i="5" a="1"/>
  <c r="G152" i="5"/>
  <c r="F152" i="5" a="1"/>
  <c r="F152" i="5"/>
  <c r="E152" i="5" a="1"/>
  <c r="E152" i="5"/>
  <c r="D152" i="5" a="1"/>
  <c r="D152" i="5"/>
  <c r="C152" i="5" a="1"/>
  <c r="C152" i="5"/>
  <c r="B152" i="5" a="1"/>
  <c r="B152" i="5"/>
  <c r="K152" i="5"/>
  <c r="M151" i="5"/>
  <c r="J151" i="5" a="1"/>
  <c r="J151" i="5"/>
  <c r="I151" i="5" a="1"/>
  <c r="I151" i="5"/>
  <c r="H151" i="5" a="1"/>
  <c r="H151" i="5"/>
  <c r="G151" i="5" a="1"/>
  <c r="G151" i="5"/>
  <c r="F151" i="5" a="1"/>
  <c r="F151" i="5"/>
  <c r="E151" i="5" a="1"/>
  <c r="E151" i="5"/>
  <c r="D151" i="5" a="1"/>
  <c r="D151" i="5"/>
  <c r="C151" i="5" a="1"/>
  <c r="C151" i="5"/>
  <c r="B151" i="5" a="1"/>
  <c r="B151" i="5"/>
  <c r="K151" i="5"/>
  <c r="M103" i="5"/>
  <c r="J103" i="5" a="1"/>
  <c r="J103" i="5"/>
  <c r="I103" i="5" a="1"/>
  <c r="I103" i="5"/>
  <c r="H103" i="5" a="1"/>
  <c r="H103" i="5"/>
  <c r="G103" i="5" a="1"/>
  <c r="G103" i="5"/>
  <c r="F103" i="5" a="1"/>
  <c r="F103" i="5"/>
  <c r="E103" i="5" a="1"/>
  <c r="E103" i="5"/>
  <c r="D103" i="5" a="1"/>
  <c r="D103" i="5"/>
  <c r="C103" i="5" a="1"/>
  <c r="C103" i="5"/>
  <c r="B103" i="5" a="1"/>
  <c r="B103" i="5"/>
  <c r="K103" i="5"/>
  <c r="M102" i="5"/>
  <c r="J102" i="5" a="1"/>
  <c r="J102" i="5"/>
  <c r="I102" i="5" a="1"/>
  <c r="I102" i="5"/>
  <c r="H102" i="5" a="1"/>
  <c r="H102" i="5"/>
  <c r="G102" i="5" a="1"/>
  <c r="G102" i="5"/>
  <c r="F102" i="5" a="1"/>
  <c r="F102" i="5"/>
  <c r="E102" i="5" a="1"/>
  <c r="E102" i="5"/>
  <c r="D102" i="5" a="1"/>
  <c r="D102" i="5"/>
  <c r="C102" i="5" a="1"/>
  <c r="C102" i="5"/>
  <c r="B102" i="5" a="1"/>
  <c r="B102" i="5"/>
  <c r="K102" i="5"/>
  <c r="M54" i="5"/>
  <c r="J54" i="5" a="1"/>
  <c r="J54" i="5"/>
  <c r="I54" i="5" a="1"/>
  <c r="I54" i="5"/>
  <c r="H54" i="5" a="1"/>
  <c r="H54" i="5"/>
  <c r="G54" i="5" a="1"/>
  <c r="G54" i="5"/>
  <c r="F54" i="5" a="1"/>
  <c r="F54" i="5"/>
  <c r="E54" i="5" a="1"/>
  <c r="E54" i="5"/>
  <c r="D54" i="5" a="1"/>
  <c r="D54" i="5"/>
  <c r="C54" i="5" a="1"/>
  <c r="C54" i="5"/>
  <c r="B54" i="5" a="1"/>
  <c r="B54" i="5"/>
  <c r="K54" i="5"/>
  <c r="M53" i="5"/>
  <c r="J53" i="5" a="1"/>
  <c r="J53" i="5"/>
  <c r="I53" i="5" a="1"/>
  <c r="I53" i="5"/>
  <c r="H53" i="5" a="1"/>
  <c r="H53" i="5"/>
  <c r="G53" i="5" a="1"/>
  <c r="G53" i="5"/>
  <c r="F53" i="5" a="1"/>
  <c r="F53" i="5"/>
  <c r="E53" i="5" a="1"/>
  <c r="E53" i="5"/>
  <c r="D53" i="5" a="1"/>
  <c r="D53" i="5"/>
  <c r="C53" i="5" a="1"/>
  <c r="C53" i="5"/>
  <c r="B53" i="5" a="1"/>
  <c r="B53" i="5"/>
  <c r="K53" i="5"/>
  <c r="L70" i="5" s="1" a="1"/>
  <c r="L70" i="5" s="1"/>
  <c r="AW16" i="7" s="1"/>
  <c r="B5" i="5" a="1"/>
  <c r="B5" i="5"/>
  <c r="C5" i="5" a="1"/>
  <c r="C5" i="5"/>
  <c r="D5" i="5" a="1"/>
  <c r="D5" i="5"/>
  <c r="E5" i="5" a="1"/>
  <c r="E5" i="5"/>
  <c r="F5" i="5" a="1"/>
  <c r="F5" i="5"/>
  <c r="G5" i="5" a="1"/>
  <c r="G5" i="5"/>
  <c r="H5" i="5" a="1"/>
  <c r="H5" i="5"/>
  <c r="I5" i="5" a="1"/>
  <c r="I5" i="5"/>
  <c r="J5" i="5" a="1"/>
  <c r="J5" i="5"/>
  <c r="B4" i="5" a="1"/>
  <c r="B4" i="5"/>
  <c r="C4" i="5" a="1"/>
  <c r="C4" i="5"/>
  <c r="D4" i="5" a="1"/>
  <c r="D4" i="5"/>
  <c r="E4" i="5" a="1"/>
  <c r="E4" i="5"/>
  <c r="F4" i="5" a="1"/>
  <c r="F4" i="5"/>
  <c r="G4" i="5" a="1"/>
  <c r="G4" i="5"/>
  <c r="H4" i="5" a="1"/>
  <c r="H4" i="5"/>
  <c r="I4" i="5" a="1"/>
  <c r="I4" i="5"/>
  <c r="J4" i="5" a="1"/>
  <c r="J4" i="5"/>
  <c r="E728" i="5" a="1"/>
  <c r="E728" i="5"/>
  <c r="E729" i="5" a="1"/>
  <c r="E729" i="5"/>
  <c r="E730" i="5" a="1"/>
  <c r="E730" i="5"/>
  <c r="E731" i="5" a="1"/>
  <c r="E731" i="5"/>
  <c r="E732" i="5" a="1"/>
  <c r="E732" i="5"/>
  <c r="E733" i="5" a="1"/>
  <c r="E733" i="5"/>
  <c r="E707" i="5" a="1"/>
  <c r="E707" i="5"/>
  <c r="E708" i="5" a="1"/>
  <c r="E708" i="5"/>
  <c r="E709" i="5" a="1"/>
  <c r="E709" i="5"/>
  <c r="E710" i="5" a="1"/>
  <c r="E710" i="5"/>
  <c r="E711" i="5" a="1"/>
  <c r="E711" i="5"/>
  <c r="E712" i="5" a="1"/>
  <c r="E712" i="5"/>
  <c r="E679" i="5" a="1"/>
  <c r="E679" i="5"/>
  <c r="E680" i="5" a="1"/>
  <c r="E680" i="5"/>
  <c r="E681" i="5" a="1"/>
  <c r="E681" i="5"/>
  <c r="E682" i="5" a="1"/>
  <c r="E682" i="5"/>
  <c r="E683" i="5" a="1"/>
  <c r="E683" i="5"/>
  <c r="E684" i="5" a="1"/>
  <c r="E684" i="5"/>
  <c r="E658" i="5" a="1"/>
  <c r="E658" i="5"/>
  <c r="E659" i="5" a="1"/>
  <c r="E659" i="5"/>
  <c r="E660" i="5" a="1"/>
  <c r="E660" i="5"/>
  <c r="E661" i="5" a="1"/>
  <c r="E661" i="5"/>
  <c r="E662" i="5" a="1"/>
  <c r="E662" i="5"/>
  <c r="E663" i="5" a="1"/>
  <c r="E663" i="5"/>
  <c r="E630" i="5" a="1"/>
  <c r="E630" i="5"/>
  <c r="E631" i="5" a="1"/>
  <c r="E631" i="5"/>
  <c r="E632" i="5" a="1"/>
  <c r="E632" i="5"/>
  <c r="E633" i="5" a="1"/>
  <c r="E633" i="5"/>
  <c r="E634" i="5" a="1"/>
  <c r="E634" i="5"/>
  <c r="E635" i="5" a="1"/>
  <c r="E635" i="5"/>
  <c r="E609" i="5" a="1"/>
  <c r="E609" i="5"/>
  <c r="E610" i="5" a="1"/>
  <c r="E610" i="5"/>
  <c r="E611" i="5" a="1"/>
  <c r="E611" i="5"/>
  <c r="E612" i="5" a="1"/>
  <c r="E612" i="5"/>
  <c r="E613" i="5" a="1"/>
  <c r="E613" i="5"/>
  <c r="E614" i="5" a="1"/>
  <c r="E614" i="5"/>
  <c r="E581" i="5" a="1"/>
  <c r="E581" i="5"/>
  <c r="E582" i="5" a="1"/>
  <c r="E582" i="5"/>
  <c r="E583" i="5" a="1"/>
  <c r="E583" i="5"/>
  <c r="E584" i="5" a="1"/>
  <c r="E584" i="5"/>
  <c r="E585" i="5" a="1"/>
  <c r="E585" i="5"/>
  <c r="E586" i="5" a="1"/>
  <c r="E586" i="5"/>
  <c r="E560" i="5" a="1"/>
  <c r="E560" i="5"/>
  <c r="E561" i="5" a="1"/>
  <c r="E561" i="5"/>
  <c r="E562" i="5" a="1"/>
  <c r="E562" i="5"/>
  <c r="E563" i="5" a="1"/>
  <c r="E563" i="5"/>
  <c r="E564" i="5" a="1"/>
  <c r="E564" i="5"/>
  <c r="E565" i="5" a="1"/>
  <c r="E565" i="5"/>
  <c r="E532" i="5" a="1"/>
  <c r="E532" i="5"/>
  <c r="E533" i="5" a="1"/>
  <c r="E533" i="5"/>
  <c r="E534" i="5" a="1"/>
  <c r="E534" i="5"/>
  <c r="E535" i="5" a="1"/>
  <c r="E535" i="5"/>
  <c r="E536" i="5" a="1"/>
  <c r="E536" i="5"/>
  <c r="E537" i="5" a="1"/>
  <c r="E537" i="5"/>
  <c r="E511" i="5" a="1"/>
  <c r="E511" i="5"/>
  <c r="E512" i="5" a="1"/>
  <c r="E512" i="5"/>
  <c r="E513" i="5" a="1"/>
  <c r="E513" i="5"/>
  <c r="E514" i="5" a="1"/>
  <c r="E514" i="5"/>
  <c r="E515" i="5" a="1"/>
  <c r="E515" i="5"/>
  <c r="E516" i="5" a="1"/>
  <c r="E516" i="5"/>
  <c r="E483" i="5" a="1"/>
  <c r="E483" i="5"/>
  <c r="E484" i="5" a="1"/>
  <c r="E484" i="5"/>
  <c r="E485" i="5" a="1"/>
  <c r="E485" i="5"/>
  <c r="E486" i="5" a="1"/>
  <c r="E486" i="5"/>
  <c r="E487" i="5" a="1"/>
  <c r="E487" i="5"/>
  <c r="E488" i="5" a="1"/>
  <c r="E488" i="5"/>
  <c r="E462" i="5" a="1"/>
  <c r="E462" i="5"/>
  <c r="E463" i="5" a="1"/>
  <c r="E463" i="5"/>
  <c r="E464" i="5" a="1"/>
  <c r="E464" i="5"/>
  <c r="E465" i="5" a="1"/>
  <c r="E465" i="5"/>
  <c r="E466" i="5" a="1"/>
  <c r="E466" i="5"/>
  <c r="E467" i="5" a="1"/>
  <c r="E467" i="5"/>
  <c r="E434" i="5" a="1"/>
  <c r="E434" i="5"/>
  <c r="E435" i="5" a="1"/>
  <c r="E435" i="5"/>
  <c r="E436" i="5" a="1"/>
  <c r="E436" i="5"/>
  <c r="E437" i="5" a="1"/>
  <c r="E437" i="5"/>
  <c r="E438" i="5" a="1"/>
  <c r="E438" i="5"/>
  <c r="E439" i="5" a="1"/>
  <c r="E439" i="5"/>
  <c r="E413" i="5" a="1"/>
  <c r="E413" i="5"/>
  <c r="E414" i="5" a="1"/>
  <c r="E414" i="5"/>
  <c r="E415" i="5" a="1"/>
  <c r="E415" i="5"/>
  <c r="E416" i="5" a="1"/>
  <c r="E416" i="5"/>
  <c r="E417" i="5" a="1"/>
  <c r="E417" i="5"/>
  <c r="E418" i="5" a="1"/>
  <c r="E418" i="5"/>
  <c r="E385" i="5" a="1"/>
  <c r="E385" i="5"/>
  <c r="E386" i="5" a="1"/>
  <c r="E386" i="5"/>
  <c r="E387" i="5" a="1"/>
  <c r="E387" i="5"/>
  <c r="E388" i="5" a="1"/>
  <c r="E388" i="5"/>
  <c r="E389" i="5" a="1"/>
  <c r="E389" i="5"/>
  <c r="E390" i="5" a="1"/>
  <c r="E390" i="5"/>
  <c r="E364" i="5" a="1"/>
  <c r="E364" i="5"/>
  <c r="E365" i="5" a="1"/>
  <c r="E365" i="5"/>
  <c r="E366" i="5" a="1"/>
  <c r="E366" i="5"/>
  <c r="E367" i="5" a="1"/>
  <c r="E367" i="5"/>
  <c r="E368" i="5" a="1"/>
  <c r="E368" i="5"/>
  <c r="E369" i="5" a="1"/>
  <c r="E369" i="5"/>
  <c r="E336" i="5" a="1"/>
  <c r="E336" i="5"/>
  <c r="E337" i="5" a="1"/>
  <c r="E337" i="5"/>
  <c r="E338" i="5" a="1"/>
  <c r="E338" i="5"/>
  <c r="E339" i="5" a="1"/>
  <c r="E339" i="5"/>
  <c r="E340" i="5" a="1"/>
  <c r="E340" i="5"/>
  <c r="E341" i="5" a="1"/>
  <c r="E341" i="5"/>
  <c r="E315" i="5" a="1"/>
  <c r="E315" i="5"/>
  <c r="E316" i="5" a="1"/>
  <c r="E316" i="5"/>
  <c r="E317" i="5" a="1"/>
  <c r="E317" i="5"/>
  <c r="E318" i="5" a="1"/>
  <c r="E318" i="5"/>
  <c r="E319" i="5" a="1"/>
  <c r="E319" i="5"/>
  <c r="E320" i="5" a="1"/>
  <c r="E320" i="5"/>
  <c r="E287" i="5" a="1"/>
  <c r="E287" i="5"/>
  <c r="E288" i="5" a="1"/>
  <c r="E288" i="5"/>
  <c r="E289" i="5" a="1"/>
  <c r="E289" i="5"/>
  <c r="E290" i="5" a="1"/>
  <c r="E290" i="5"/>
  <c r="E291" i="5" a="1"/>
  <c r="E291" i="5"/>
  <c r="E292" i="5" a="1"/>
  <c r="E292" i="5"/>
  <c r="E266" i="5" a="1"/>
  <c r="E266" i="5"/>
  <c r="E267" i="5" a="1"/>
  <c r="E267" i="5"/>
  <c r="E268" i="5" a="1"/>
  <c r="E268" i="5"/>
  <c r="E269" i="5" a="1"/>
  <c r="E269" i="5"/>
  <c r="E270" i="5" a="1"/>
  <c r="E270" i="5"/>
  <c r="E271" i="5" a="1"/>
  <c r="E271" i="5"/>
  <c r="E238" i="5" a="1"/>
  <c r="E238" i="5"/>
  <c r="E239" i="5" a="1"/>
  <c r="E239" i="5"/>
  <c r="E240" i="5" a="1"/>
  <c r="E240" i="5"/>
  <c r="E241" i="5" a="1"/>
  <c r="E241" i="5"/>
  <c r="E242" i="5" a="1"/>
  <c r="E242" i="5"/>
  <c r="E243" i="5" a="1"/>
  <c r="E243" i="5"/>
  <c r="E217" i="5" a="1"/>
  <c r="E217" i="5"/>
  <c r="E218" i="5" a="1"/>
  <c r="E218" i="5"/>
  <c r="E219" i="5" a="1"/>
  <c r="E219" i="5"/>
  <c r="E220" i="5" a="1"/>
  <c r="E220" i="5"/>
  <c r="E221" i="5" a="1"/>
  <c r="E221" i="5"/>
  <c r="E222" i="5" a="1"/>
  <c r="E222" i="5"/>
  <c r="E189" i="5" a="1"/>
  <c r="E189" i="5"/>
  <c r="E190" i="5" a="1"/>
  <c r="E190" i="5"/>
  <c r="E191" i="5" a="1"/>
  <c r="E191" i="5"/>
  <c r="E192" i="5" a="1"/>
  <c r="E192" i="5"/>
  <c r="E193" i="5" a="1"/>
  <c r="E193" i="5"/>
  <c r="E194" i="5" a="1"/>
  <c r="E194" i="5"/>
  <c r="E170" i="5" a="1"/>
  <c r="E170" i="5"/>
  <c r="E171" i="5" a="1"/>
  <c r="E171" i="5"/>
  <c r="E172" i="5" a="1"/>
  <c r="E172" i="5"/>
  <c r="E173" i="5" a="1"/>
  <c r="E173" i="5"/>
  <c r="E143" i="5" a="1"/>
  <c r="E143" i="5"/>
  <c r="E144" i="5" a="1"/>
  <c r="E144" i="5"/>
  <c r="E145" i="5" a="1"/>
  <c r="E145" i="5"/>
  <c r="E121" i="5" a="1"/>
  <c r="E121" i="5"/>
  <c r="E122" i="5" a="1"/>
  <c r="E122" i="5"/>
  <c r="E123" i="5" a="1"/>
  <c r="E123" i="5"/>
  <c r="E124" i="5" a="1"/>
  <c r="E124" i="5"/>
  <c r="E92" i="5" a="1"/>
  <c r="E92" i="5"/>
  <c r="E93" i="5" a="1"/>
  <c r="E93" i="5"/>
  <c r="E94" i="5" a="1"/>
  <c r="E94" i="5"/>
  <c r="E95" i="5" a="1"/>
  <c r="E95" i="5"/>
  <c r="E96" i="5" a="1"/>
  <c r="E96" i="5"/>
  <c r="E72" i="5" a="1"/>
  <c r="E72" i="5"/>
  <c r="E73" i="5" a="1"/>
  <c r="E73" i="5"/>
  <c r="E74" i="5" a="1"/>
  <c r="E74" i="5"/>
  <c r="E75" i="5" a="1"/>
  <c r="E75" i="5"/>
  <c r="E43" i="5" a="1"/>
  <c r="E43" i="5"/>
  <c r="E44" i="5" a="1"/>
  <c r="E44" i="5"/>
  <c r="E45" i="5" a="1"/>
  <c r="E45" i="5"/>
  <c r="E46" i="5" a="1"/>
  <c r="E46" i="5"/>
  <c r="E47" i="5" a="1"/>
  <c r="E47" i="5"/>
  <c r="E23" i="5" a="1"/>
  <c r="E23" i="5"/>
  <c r="E24" i="5" a="1"/>
  <c r="E24" i="5"/>
  <c r="E25" i="5" a="1"/>
  <c r="E25" i="5"/>
  <c r="E26" i="5" a="1"/>
  <c r="E26" i="5"/>
  <c r="M44" i="5"/>
  <c r="M45" i="5"/>
  <c r="M46" i="5"/>
  <c r="M47" i="5"/>
  <c r="K44" i="5" a="1"/>
  <c r="K44" i="5"/>
  <c r="K45" i="5" a="1"/>
  <c r="K45" i="5"/>
  <c r="K46" i="5" a="1"/>
  <c r="K46" i="5"/>
  <c r="K47" i="5" a="1"/>
  <c r="K47" i="5"/>
  <c r="J44" i="5" a="1"/>
  <c r="J44" i="5"/>
  <c r="J45" i="5" a="1"/>
  <c r="J45" i="5"/>
  <c r="J46" i="5" a="1"/>
  <c r="J46" i="5"/>
  <c r="J47" i="5" a="1"/>
  <c r="J47" i="5"/>
  <c r="M23" i="5"/>
  <c r="M24" i="5"/>
  <c r="M25" i="5"/>
  <c r="M26" i="5"/>
  <c r="K23" i="5" a="1"/>
  <c r="K23" i="5"/>
  <c r="K24" i="5" a="1"/>
  <c r="K24" i="5"/>
  <c r="K25" i="5" a="1"/>
  <c r="K25" i="5"/>
  <c r="K26" i="5" a="1"/>
  <c r="K26" i="5"/>
  <c r="J23" i="5" a="1"/>
  <c r="J23" i="5"/>
  <c r="J24" i="5" a="1"/>
  <c r="J24" i="5"/>
  <c r="J25" i="5" a="1"/>
  <c r="J25" i="5"/>
  <c r="J26" i="5" a="1"/>
  <c r="J26" i="5"/>
  <c r="M93" i="5"/>
  <c r="M94" i="5"/>
  <c r="M95" i="5"/>
  <c r="M96" i="5"/>
  <c r="K93" i="5" a="1"/>
  <c r="K93" i="5"/>
  <c r="K94" i="5" a="1"/>
  <c r="K94" i="5"/>
  <c r="K95" i="5" a="1"/>
  <c r="K95" i="5"/>
  <c r="K96" i="5" a="1"/>
  <c r="K96" i="5"/>
  <c r="J93" i="5" a="1"/>
  <c r="J93" i="5"/>
  <c r="J94" i="5" a="1"/>
  <c r="J94" i="5"/>
  <c r="J95" i="5" a="1"/>
  <c r="J95" i="5"/>
  <c r="J96" i="5" a="1"/>
  <c r="J96" i="5"/>
  <c r="M71" i="5"/>
  <c r="M72" i="5"/>
  <c r="M73" i="5"/>
  <c r="M74" i="5"/>
  <c r="M75" i="5"/>
  <c r="K71" i="5" a="1"/>
  <c r="K71" i="5"/>
  <c r="K72" i="5" a="1"/>
  <c r="K72" i="5"/>
  <c r="K73" i="5" a="1"/>
  <c r="K73" i="5"/>
  <c r="K74" i="5" a="1"/>
  <c r="K74" i="5"/>
  <c r="K75" i="5" a="1"/>
  <c r="K75" i="5"/>
  <c r="J71" i="5" a="1"/>
  <c r="J71" i="5"/>
  <c r="J72" i="5" a="1"/>
  <c r="J72" i="5"/>
  <c r="J73" i="5" a="1"/>
  <c r="J73" i="5"/>
  <c r="J74" i="5" a="1"/>
  <c r="J74" i="5"/>
  <c r="J75" i="5" a="1"/>
  <c r="J75" i="5"/>
  <c r="N733" i="5"/>
  <c r="M733" i="5" a="1"/>
  <c r="M733" i="5"/>
  <c r="K733" i="5" a="1"/>
  <c r="K733" i="5"/>
  <c r="J733" i="5" a="1"/>
  <c r="J733" i="5"/>
  <c r="I733" i="5" a="1"/>
  <c r="I733" i="5"/>
  <c r="H733" i="5" a="1"/>
  <c r="H733" i="5"/>
  <c r="G733" i="5" a="1"/>
  <c r="G733" i="5"/>
  <c r="D733" i="5" a="1"/>
  <c r="D733" i="5"/>
  <c r="N732" i="5"/>
  <c r="M732" i="5" a="1"/>
  <c r="M732" i="5"/>
  <c r="K732" i="5" a="1"/>
  <c r="K732" i="5"/>
  <c r="J732" i="5" a="1"/>
  <c r="J732" i="5"/>
  <c r="I732" i="5" a="1"/>
  <c r="I732" i="5"/>
  <c r="H732" i="5" a="1"/>
  <c r="H732" i="5"/>
  <c r="G732" i="5" a="1"/>
  <c r="G732" i="5"/>
  <c r="D732" i="5" a="1"/>
  <c r="D732" i="5"/>
  <c r="N731" i="5"/>
  <c r="M731" i="5" a="1"/>
  <c r="M731" i="5"/>
  <c r="K731" i="5" a="1"/>
  <c r="K731" i="5"/>
  <c r="J731" i="5" a="1"/>
  <c r="J731" i="5"/>
  <c r="I731" i="5" a="1"/>
  <c r="I731" i="5"/>
  <c r="H731" i="5" a="1"/>
  <c r="H731" i="5"/>
  <c r="G731" i="5" a="1"/>
  <c r="G731" i="5"/>
  <c r="D731" i="5" a="1"/>
  <c r="D731" i="5"/>
  <c r="N730" i="5"/>
  <c r="M730" i="5" a="1"/>
  <c r="M730" i="5"/>
  <c r="K730" i="5" a="1"/>
  <c r="K730" i="5"/>
  <c r="J730" i="5" a="1"/>
  <c r="J730" i="5"/>
  <c r="I730" i="5" a="1"/>
  <c r="I730" i="5"/>
  <c r="H730" i="5" a="1"/>
  <c r="H730" i="5"/>
  <c r="G730" i="5" a="1"/>
  <c r="G730" i="5"/>
  <c r="D730" i="5" a="1"/>
  <c r="D730" i="5"/>
  <c r="N729" i="5"/>
  <c r="M729" i="5" a="1"/>
  <c r="M729" i="5"/>
  <c r="K729" i="5" a="1"/>
  <c r="K729" i="5"/>
  <c r="J729" i="5" a="1"/>
  <c r="J729" i="5"/>
  <c r="I729" i="5" a="1"/>
  <c r="I729" i="5"/>
  <c r="H729" i="5" a="1"/>
  <c r="H729" i="5"/>
  <c r="G729" i="5" a="1"/>
  <c r="G729" i="5"/>
  <c r="D729" i="5" a="1"/>
  <c r="D729" i="5"/>
  <c r="N728" i="5"/>
  <c r="M728" i="5" a="1"/>
  <c r="M728" i="5"/>
  <c r="K728" i="5" a="1"/>
  <c r="K728" i="5"/>
  <c r="J728" i="5" a="1"/>
  <c r="J728" i="5"/>
  <c r="I728" i="5" a="1"/>
  <c r="I728" i="5"/>
  <c r="H728" i="5" a="1"/>
  <c r="H728" i="5"/>
  <c r="G728" i="5" a="1"/>
  <c r="G728" i="5"/>
  <c r="D728" i="5" a="1"/>
  <c r="D728" i="5"/>
  <c r="N684" i="5"/>
  <c r="M684" i="5" a="1"/>
  <c r="M684" i="5"/>
  <c r="K684" i="5" a="1"/>
  <c r="K684" i="5"/>
  <c r="J684" i="5" a="1"/>
  <c r="J684" i="5"/>
  <c r="I684" i="5" a="1"/>
  <c r="I684" i="5"/>
  <c r="H684" i="5" a="1"/>
  <c r="H684" i="5"/>
  <c r="G684" i="5" a="1"/>
  <c r="G684" i="5"/>
  <c r="D684" i="5" a="1"/>
  <c r="D684" i="5"/>
  <c r="N683" i="5"/>
  <c r="M683" i="5" a="1"/>
  <c r="M683" i="5"/>
  <c r="K683" i="5" a="1"/>
  <c r="K683" i="5"/>
  <c r="J683" i="5" a="1"/>
  <c r="J683" i="5"/>
  <c r="I683" i="5" a="1"/>
  <c r="I683" i="5"/>
  <c r="H683" i="5" a="1"/>
  <c r="H683" i="5"/>
  <c r="G683" i="5" a="1"/>
  <c r="G683" i="5"/>
  <c r="D683" i="5" a="1"/>
  <c r="D683" i="5"/>
  <c r="N682" i="5"/>
  <c r="M682" i="5" a="1"/>
  <c r="M682" i="5"/>
  <c r="K682" i="5" a="1"/>
  <c r="K682" i="5"/>
  <c r="J682" i="5" a="1"/>
  <c r="J682" i="5"/>
  <c r="I682" i="5" a="1"/>
  <c r="I682" i="5"/>
  <c r="H682" i="5" a="1"/>
  <c r="H682" i="5"/>
  <c r="G682" i="5" a="1"/>
  <c r="G682" i="5"/>
  <c r="D682" i="5" a="1"/>
  <c r="D682" i="5"/>
  <c r="N681" i="5"/>
  <c r="M681" i="5" a="1"/>
  <c r="M681" i="5"/>
  <c r="K681" i="5" a="1"/>
  <c r="K681" i="5"/>
  <c r="J681" i="5" a="1"/>
  <c r="J681" i="5"/>
  <c r="I681" i="5" a="1"/>
  <c r="I681" i="5"/>
  <c r="H681" i="5" a="1"/>
  <c r="H681" i="5"/>
  <c r="G681" i="5" a="1"/>
  <c r="G681" i="5"/>
  <c r="D681" i="5" a="1"/>
  <c r="D681" i="5"/>
  <c r="N680" i="5"/>
  <c r="M680" i="5" a="1"/>
  <c r="M680" i="5"/>
  <c r="K680" i="5" a="1"/>
  <c r="K680" i="5"/>
  <c r="J680" i="5" a="1"/>
  <c r="J680" i="5"/>
  <c r="I680" i="5" a="1"/>
  <c r="I680" i="5"/>
  <c r="H680" i="5" a="1"/>
  <c r="H680" i="5"/>
  <c r="G680" i="5" a="1"/>
  <c r="G680" i="5"/>
  <c r="D680" i="5" a="1"/>
  <c r="D680" i="5"/>
  <c r="N679" i="5"/>
  <c r="M679" i="5" a="1"/>
  <c r="M679" i="5"/>
  <c r="K679" i="5" a="1"/>
  <c r="K679" i="5"/>
  <c r="J679" i="5" a="1"/>
  <c r="J679" i="5"/>
  <c r="I679" i="5" a="1"/>
  <c r="I679" i="5"/>
  <c r="H679" i="5" a="1"/>
  <c r="H679" i="5"/>
  <c r="G679" i="5" a="1"/>
  <c r="G679" i="5"/>
  <c r="D679" i="5" a="1"/>
  <c r="D679" i="5"/>
  <c r="N635" i="5"/>
  <c r="M635" i="5" a="1"/>
  <c r="M635" i="5"/>
  <c r="K635" i="5" a="1"/>
  <c r="K635" i="5"/>
  <c r="J635" i="5" a="1"/>
  <c r="J635" i="5"/>
  <c r="I635" i="5" a="1"/>
  <c r="I635" i="5"/>
  <c r="H635" i="5" a="1"/>
  <c r="H635" i="5"/>
  <c r="G635" i="5" a="1"/>
  <c r="G635" i="5"/>
  <c r="D635" i="5" a="1"/>
  <c r="D635" i="5"/>
  <c r="N634" i="5"/>
  <c r="M634" i="5" a="1"/>
  <c r="M634" i="5"/>
  <c r="K634" i="5" a="1"/>
  <c r="K634" i="5"/>
  <c r="J634" i="5" a="1"/>
  <c r="J634" i="5"/>
  <c r="I634" i="5" a="1"/>
  <c r="I634" i="5"/>
  <c r="H634" i="5" a="1"/>
  <c r="H634" i="5"/>
  <c r="G634" i="5" a="1"/>
  <c r="G634" i="5"/>
  <c r="D634" i="5" a="1"/>
  <c r="D634" i="5"/>
  <c r="N633" i="5"/>
  <c r="M633" i="5" a="1"/>
  <c r="M633" i="5"/>
  <c r="K633" i="5" a="1"/>
  <c r="K633" i="5"/>
  <c r="J633" i="5" a="1"/>
  <c r="J633" i="5"/>
  <c r="I633" i="5" a="1"/>
  <c r="I633" i="5"/>
  <c r="H633" i="5" a="1"/>
  <c r="H633" i="5"/>
  <c r="G633" i="5" a="1"/>
  <c r="G633" i="5"/>
  <c r="D633" i="5" a="1"/>
  <c r="D633" i="5"/>
  <c r="N632" i="5"/>
  <c r="M632" i="5" a="1"/>
  <c r="M632" i="5"/>
  <c r="K632" i="5" a="1"/>
  <c r="K632" i="5"/>
  <c r="J632" i="5" a="1"/>
  <c r="J632" i="5"/>
  <c r="I632" i="5" a="1"/>
  <c r="I632" i="5"/>
  <c r="H632" i="5" a="1"/>
  <c r="H632" i="5"/>
  <c r="G632" i="5" a="1"/>
  <c r="G632" i="5"/>
  <c r="D632" i="5" a="1"/>
  <c r="D632" i="5"/>
  <c r="N631" i="5"/>
  <c r="M631" i="5" a="1"/>
  <c r="M631" i="5"/>
  <c r="K631" i="5" a="1"/>
  <c r="K631" i="5"/>
  <c r="J631" i="5" a="1"/>
  <c r="J631" i="5"/>
  <c r="I631" i="5" a="1"/>
  <c r="I631" i="5"/>
  <c r="H631" i="5" a="1"/>
  <c r="H631" i="5"/>
  <c r="G631" i="5" a="1"/>
  <c r="G631" i="5"/>
  <c r="D631" i="5" a="1"/>
  <c r="D631" i="5"/>
  <c r="N630" i="5"/>
  <c r="M630" i="5" a="1"/>
  <c r="M630" i="5"/>
  <c r="K630" i="5" a="1"/>
  <c r="K630" i="5"/>
  <c r="J630" i="5" a="1"/>
  <c r="J630" i="5"/>
  <c r="I630" i="5" a="1"/>
  <c r="I630" i="5"/>
  <c r="H630" i="5" a="1"/>
  <c r="H630" i="5"/>
  <c r="G630" i="5" a="1"/>
  <c r="G630" i="5"/>
  <c r="D630" i="5" a="1"/>
  <c r="D630" i="5"/>
  <c r="N586" i="5"/>
  <c r="M586" i="5" a="1"/>
  <c r="M586" i="5"/>
  <c r="K586" i="5" a="1"/>
  <c r="K586" i="5"/>
  <c r="J586" i="5" a="1"/>
  <c r="J586" i="5"/>
  <c r="I586" i="5" a="1"/>
  <c r="I586" i="5"/>
  <c r="H586" i="5" a="1"/>
  <c r="H586" i="5"/>
  <c r="G586" i="5" a="1"/>
  <c r="G586" i="5"/>
  <c r="D586" i="5" a="1"/>
  <c r="D586" i="5"/>
  <c r="N585" i="5"/>
  <c r="M585" i="5" a="1"/>
  <c r="M585" i="5"/>
  <c r="K585" i="5" a="1"/>
  <c r="K585" i="5"/>
  <c r="J585" i="5" a="1"/>
  <c r="J585" i="5"/>
  <c r="I585" i="5" a="1"/>
  <c r="I585" i="5"/>
  <c r="H585" i="5" a="1"/>
  <c r="H585" i="5"/>
  <c r="G585" i="5" a="1"/>
  <c r="G585" i="5"/>
  <c r="D585" i="5" a="1"/>
  <c r="D585" i="5"/>
  <c r="N584" i="5"/>
  <c r="M584" i="5" a="1"/>
  <c r="M584" i="5"/>
  <c r="K584" i="5" a="1"/>
  <c r="K584" i="5"/>
  <c r="J584" i="5" a="1"/>
  <c r="J584" i="5"/>
  <c r="I584" i="5" a="1"/>
  <c r="I584" i="5"/>
  <c r="H584" i="5" a="1"/>
  <c r="H584" i="5"/>
  <c r="G584" i="5" a="1"/>
  <c r="G584" i="5"/>
  <c r="D584" i="5" a="1"/>
  <c r="D584" i="5"/>
  <c r="N583" i="5"/>
  <c r="M583" i="5" a="1"/>
  <c r="M583" i="5"/>
  <c r="K583" i="5" a="1"/>
  <c r="K583" i="5"/>
  <c r="J583" i="5" a="1"/>
  <c r="J583" i="5"/>
  <c r="I583" i="5" a="1"/>
  <c r="I583" i="5"/>
  <c r="H583" i="5" a="1"/>
  <c r="H583" i="5"/>
  <c r="G583" i="5" a="1"/>
  <c r="G583" i="5"/>
  <c r="D583" i="5" a="1"/>
  <c r="D583" i="5"/>
  <c r="N582" i="5"/>
  <c r="M582" i="5" a="1"/>
  <c r="M582" i="5"/>
  <c r="K582" i="5" a="1"/>
  <c r="K582" i="5"/>
  <c r="J582" i="5" a="1"/>
  <c r="J582" i="5"/>
  <c r="I582" i="5" a="1"/>
  <c r="I582" i="5"/>
  <c r="H582" i="5" a="1"/>
  <c r="H582" i="5"/>
  <c r="G582" i="5" a="1"/>
  <c r="G582" i="5"/>
  <c r="D582" i="5" a="1"/>
  <c r="D582" i="5"/>
  <c r="N581" i="5"/>
  <c r="M581" i="5" a="1"/>
  <c r="M581" i="5"/>
  <c r="K581" i="5" a="1"/>
  <c r="K581" i="5"/>
  <c r="J581" i="5" a="1"/>
  <c r="J581" i="5"/>
  <c r="I581" i="5" a="1"/>
  <c r="I581" i="5"/>
  <c r="H581" i="5" a="1"/>
  <c r="H581" i="5"/>
  <c r="G581" i="5" a="1"/>
  <c r="G581" i="5"/>
  <c r="D581" i="5" a="1"/>
  <c r="D581" i="5"/>
  <c r="N537" i="5"/>
  <c r="M537" i="5" a="1"/>
  <c r="M537" i="5"/>
  <c r="K537" i="5" a="1"/>
  <c r="K537" i="5"/>
  <c r="J537" i="5" a="1"/>
  <c r="J537" i="5"/>
  <c r="I537" i="5" a="1"/>
  <c r="I537" i="5"/>
  <c r="H537" i="5" a="1"/>
  <c r="H537" i="5"/>
  <c r="G537" i="5" a="1"/>
  <c r="G537" i="5"/>
  <c r="D537" i="5" a="1"/>
  <c r="D537" i="5"/>
  <c r="N536" i="5"/>
  <c r="M536" i="5" a="1"/>
  <c r="M536" i="5"/>
  <c r="K536" i="5" a="1"/>
  <c r="K536" i="5"/>
  <c r="J536" i="5" a="1"/>
  <c r="J536" i="5"/>
  <c r="I536" i="5" a="1"/>
  <c r="I536" i="5"/>
  <c r="H536" i="5" a="1"/>
  <c r="H536" i="5"/>
  <c r="G536" i="5" a="1"/>
  <c r="G536" i="5"/>
  <c r="D536" i="5" a="1"/>
  <c r="D536" i="5"/>
  <c r="N535" i="5"/>
  <c r="M535" i="5" a="1"/>
  <c r="M535" i="5"/>
  <c r="K535" i="5" a="1"/>
  <c r="K535" i="5"/>
  <c r="J535" i="5" a="1"/>
  <c r="J535" i="5"/>
  <c r="I535" i="5" a="1"/>
  <c r="I535" i="5"/>
  <c r="H535" i="5" a="1"/>
  <c r="H535" i="5"/>
  <c r="G535" i="5" a="1"/>
  <c r="G535" i="5"/>
  <c r="D535" i="5" a="1"/>
  <c r="D535" i="5"/>
  <c r="N534" i="5"/>
  <c r="M534" i="5" a="1"/>
  <c r="M534" i="5"/>
  <c r="K534" i="5" a="1"/>
  <c r="K534" i="5"/>
  <c r="J534" i="5" a="1"/>
  <c r="J534" i="5"/>
  <c r="I534" i="5" a="1"/>
  <c r="I534" i="5"/>
  <c r="H534" i="5" a="1"/>
  <c r="H534" i="5"/>
  <c r="G534" i="5" a="1"/>
  <c r="G534" i="5"/>
  <c r="D534" i="5" a="1"/>
  <c r="D534" i="5"/>
  <c r="N533" i="5"/>
  <c r="M533" i="5" a="1"/>
  <c r="M533" i="5"/>
  <c r="K533" i="5" a="1"/>
  <c r="K533" i="5"/>
  <c r="J533" i="5" a="1"/>
  <c r="J533" i="5"/>
  <c r="I533" i="5" a="1"/>
  <c r="I533" i="5"/>
  <c r="H533" i="5" a="1"/>
  <c r="H533" i="5"/>
  <c r="G533" i="5" a="1"/>
  <c r="G533" i="5"/>
  <c r="D533" i="5" a="1"/>
  <c r="D533" i="5"/>
  <c r="N532" i="5"/>
  <c r="M532" i="5" a="1"/>
  <c r="M532" i="5"/>
  <c r="K532" i="5" a="1"/>
  <c r="K532" i="5"/>
  <c r="J532" i="5" a="1"/>
  <c r="J532" i="5"/>
  <c r="I532" i="5" a="1"/>
  <c r="I532" i="5"/>
  <c r="H532" i="5" a="1"/>
  <c r="H532" i="5"/>
  <c r="G532" i="5" a="1"/>
  <c r="G532" i="5"/>
  <c r="D532" i="5" a="1"/>
  <c r="D532" i="5"/>
  <c r="N488" i="5"/>
  <c r="M488" i="5" a="1"/>
  <c r="M488" i="5"/>
  <c r="K488" i="5" a="1"/>
  <c r="K488" i="5"/>
  <c r="J488" i="5" a="1"/>
  <c r="J488" i="5"/>
  <c r="I488" i="5" a="1"/>
  <c r="I488" i="5"/>
  <c r="H488" i="5" a="1"/>
  <c r="H488" i="5"/>
  <c r="G488" i="5" a="1"/>
  <c r="G488" i="5"/>
  <c r="D488" i="5" a="1"/>
  <c r="D488" i="5"/>
  <c r="N487" i="5"/>
  <c r="M487" i="5" a="1"/>
  <c r="M487" i="5"/>
  <c r="K487" i="5" a="1"/>
  <c r="K487" i="5"/>
  <c r="J487" i="5" a="1"/>
  <c r="J487" i="5"/>
  <c r="I487" i="5" a="1"/>
  <c r="I487" i="5"/>
  <c r="H487" i="5" a="1"/>
  <c r="H487" i="5"/>
  <c r="G487" i="5" a="1"/>
  <c r="G487" i="5"/>
  <c r="D487" i="5" a="1"/>
  <c r="D487" i="5"/>
  <c r="N486" i="5"/>
  <c r="M486" i="5" a="1"/>
  <c r="M486" i="5"/>
  <c r="K486" i="5" a="1"/>
  <c r="K486" i="5"/>
  <c r="J486" i="5" a="1"/>
  <c r="J486" i="5"/>
  <c r="I486" i="5" a="1"/>
  <c r="I486" i="5"/>
  <c r="H486" i="5" a="1"/>
  <c r="H486" i="5"/>
  <c r="G486" i="5" a="1"/>
  <c r="G486" i="5"/>
  <c r="D486" i="5" a="1"/>
  <c r="D486" i="5"/>
  <c r="N485" i="5"/>
  <c r="M485" i="5" a="1"/>
  <c r="M485" i="5"/>
  <c r="K485" i="5" a="1"/>
  <c r="K485" i="5"/>
  <c r="J485" i="5" a="1"/>
  <c r="J485" i="5"/>
  <c r="I485" i="5" a="1"/>
  <c r="I485" i="5"/>
  <c r="H485" i="5" a="1"/>
  <c r="H485" i="5"/>
  <c r="G485" i="5" a="1"/>
  <c r="G485" i="5"/>
  <c r="D485" i="5" a="1"/>
  <c r="D485" i="5"/>
  <c r="N484" i="5"/>
  <c r="M484" i="5" a="1"/>
  <c r="M484" i="5"/>
  <c r="K484" i="5" a="1"/>
  <c r="K484" i="5"/>
  <c r="J484" i="5" a="1"/>
  <c r="J484" i="5"/>
  <c r="I484" i="5" a="1"/>
  <c r="I484" i="5"/>
  <c r="H484" i="5" a="1"/>
  <c r="H484" i="5"/>
  <c r="G484" i="5" a="1"/>
  <c r="G484" i="5"/>
  <c r="D484" i="5" a="1"/>
  <c r="D484" i="5"/>
  <c r="N483" i="5"/>
  <c r="M483" i="5" a="1"/>
  <c r="M483" i="5"/>
  <c r="K483" i="5" a="1"/>
  <c r="K483" i="5"/>
  <c r="J483" i="5" a="1"/>
  <c r="J483" i="5"/>
  <c r="I483" i="5" a="1"/>
  <c r="I483" i="5"/>
  <c r="H483" i="5" a="1"/>
  <c r="H483" i="5"/>
  <c r="G483" i="5" a="1"/>
  <c r="G483" i="5"/>
  <c r="D483" i="5" a="1"/>
  <c r="D483" i="5"/>
  <c r="N439" i="5"/>
  <c r="M439" i="5" a="1"/>
  <c r="M439" i="5"/>
  <c r="K439" i="5" a="1"/>
  <c r="K439" i="5"/>
  <c r="J439" i="5" a="1"/>
  <c r="J439" i="5"/>
  <c r="I439" i="5" a="1"/>
  <c r="I439" i="5"/>
  <c r="H439" i="5" a="1"/>
  <c r="H439" i="5"/>
  <c r="G439" i="5" a="1"/>
  <c r="G439" i="5"/>
  <c r="D439" i="5" a="1"/>
  <c r="D439" i="5"/>
  <c r="N438" i="5"/>
  <c r="M438" i="5" a="1"/>
  <c r="M438" i="5"/>
  <c r="K438" i="5" a="1"/>
  <c r="K438" i="5"/>
  <c r="J438" i="5" a="1"/>
  <c r="J438" i="5"/>
  <c r="I438" i="5" a="1"/>
  <c r="I438" i="5"/>
  <c r="H438" i="5" a="1"/>
  <c r="H438" i="5"/>
  <c r="G438" i="5" a="1"/>
  <c r="G438" i="5"/>
  <c r="D438" i="5" a="1"/>
  <c r="D438" i="5"/>
  <c r="N437" i="5"/>
  <c r="M437" i="5" a="1"/>
  <c r="M437" i="5"/>
  <c r="K437" i="5" a="1"/>
  <c r="K437" i="5"/>
  <c r="J437" i="5" a="1"/>
  <c r="J437" i="5"/>
  <c r="I437" i="5" a="1"/>
  <c r="I437" i="5"/>
  <c r="H437" i="5" a="1"/>
  <c r="H437" i="5"/>
  <c r="G437" i="5" a="1"/>
  <c r="G437" i="5"/>
  <c r="D437" i="5" a="1"/>
  <c r="D437" i="5"/>
  <c r="N436" i="5"/>
  <c r="M436" i="5" a="1"/>
  <c r="M436" i="5"/>
  <c r="K436" i="5" a="1"/>
  <c r="K436" i="5"/>
  <c r="J436" i="5" a="1"/>
  <c r="J436" i="5"/>
  <c r="I436" i="5" a="1"/>
  <c r="I436" i="5"/>
  <c r="H436" i="5" a="1"/>
  <c r="H436" i="5"/>
  <c r="G436" i="5" a="1"/>
  <c r="G436" i="5"/>
  <c r="D436" i="5" a="1"/>
  <c r="D436" i="5"/>
  <c r="N435" i="5"/>
  <c r="M435" i="5" a="1"/>
  <c r="M435" i="5"/>
  <c r="K435" i="5" a="1"/>
  <c r="K435" i="5"/>
  <c r="J435" i="5" a="1"/>
  <c r="J435" i="5"/>
  <c r="I435" i="5" a="1"/>
  <c r="I435" i="5"/>
  <c r="H435" i="5" a="1"/>
  <c r="H435" i="5"/>
  <c r="G435" i="5" a="1"/>
  <c r="G435" i="5"/>
  <c r="D435" i="5" a="1"/>
  <c r="D435" i="5"/>
  <c r="N434" i="5"/>
  <c r="M434" i="5" a="1"/>
  <c r="M434" i="5"/>
  <c r="K434" i="5" a="1"/>
  <c r="K434" i="5"/>
  <c r="J434" i="5" a="1"/>
  <c r="J434" i="5"/>
  <c r="I434" i="5" a="1"/>
  <c r="I434" i="5"/>
  <c r="H434" i="5" a="1"/>
  <c r="H434" i="5"/>
  <c r="G434" i="5" a="1"/>
  <c r="G434" i="5"/>
  <c r="D434" i="5" a="1"/>
  <c r="D434" i="5"/>
  <c r="N390" i="5"/>
  <c r="M390" i="5" a="1"/>
  <c r="M390" i="5"/>
  <c r="K390" i="5" a="1"/>
  <c r="K390" i="5"/>
  <c r="J390" i="5" a="1"/>
  <c r="J390" i="5"/>
  <c r="I390" i="5" a="1"/>
  <c r="I390" i="5"/>
  <c r="H390" i="5" a="1"/>
  <c r="H390" i="5"/>
  <c r="G390" i="5" a="1"/>
  <c r="G390" i="5"/>
  <c r="D390" i="5" a="1"/>
  <c r="D390" i="5"/>
  <c r="N389" i="5"/>
  <c r="M389" i="5" a="1"/>
  <c r="M389" i="5"/>
  <c r="K389" i="5" a="1"/>
  <c r="K389" i="5"/>
  <c r="J389" i="5" a="1"/>
  <c r="J389" i="5"/>
  <c r="I389" i="5" a="1"/>
  <c r="I389" i="5"/>
  <c r="H389" i="5" a="1"/>
  <c r="H389" i="5"/>
  <c r="G389" i="5" a="1"/>
  <c r="G389" i="5"/>
  <c r="D389" i="5" a="1"/>
  <c r="D389" i="5"/>
  <c r="N388" i="5"/>
  <c r="M388" i="5" a="1"/>
  <c r="M388" i="5"/>
  <c r="K388" i="5" a="1"/>
  <c r="K388" i="5"/>
  <c r="J388" i="5" a="1"/>
  <c r="J388" i="5"/>
  <c r="I388" i="5" a="1"/>
  <c r="I388" i="5"/>
  <c r="H388" i="5" a="1"/>
  <c r="H388" i="5"/>
  <c r="G388" i="5" a="1"/>
  <c r="G388" i="5"/>
  <c r="D388" i="5" a="1"/>
  <c r="D388" i="5"/>
  <c r="N387" i="5"/>
  <c r="M387" i="5" a="1"/>
  <c r="M387" i="5"/>
  <c r="K387" i="5" a="1"/>
  <c r="K387" i="5"/>
  <c r="J387" i="5" a="1"/>
  <c r="J387" i="5"/>
  <c r="I387" i="5" a="1"/>
  <c r="I387" i="5"/>
  <c r="H387" i="5" a="1"/>
  <c r="H387" i="5"/>
  <c r="G387" i="5" a="1"/>
  <c r="G387" i="5"/>
  <c r="D387" i="5" a="1"/>
  <c r="D387" i="5"/>
  <c r="N386" i="5"/>
  <c r="M386" i="5" a="1"/>
  <c r="M386" i="5"/>
  <c r="K386" i="5" a="1"/>
  <c r="K386" i="5"/>
  <c r="J386" i="5" a="1"/>
  <c r="J386" i="5"/>
  <c r="I386" i="5" a="1"/>
  <c r="I386" i="5"/>
  <c r="H386" i="5" a="1"/>
  <c r="H386" i="5"/>
  <c r="G386" i="5" a="1"/>
  <c r="G386" i="5"/>
  <c r="D386" i="5" a="1"/>
  <c r="D386" i="5"/>
  <c r="N385" i="5"/>
  <c r="M385" i="5" a="1"/>
  <c r="M385" i="5"/>
  <c r="K385" i="5" a="1"/>
  <c r="K385" i="5"/>
  <c r="J385" i="5" a="1"/>
  <c r="J385" i="5"/>
  <c r="I385" i="5" a="1"/>
  <c r="I385" i="5"/>
  <c r="H385" i="5" a="1"/>
  <c r="H385" i="5"/>
  <c r="G385" i="5" a="1"/>
  <c r="G385" i="5"/>
  <c r="D385" i="5" a="1"/>
  <c r="D385" i="5"/>
  <c r="N341" i="5"/>
  <c r="M341" i="5" a="1"/>
  <c r="M341" i="5"/>
  <c r="K341" i="5" a="1"/>
  <c r="K341" i="5"/>
  <c r="J341" i="5" a="1"/>
  <c r="J341" i="5"/>
  <c r="I341" i="5" a="1"/>
  <c r="I341" i="5"/>
  <c r="H341" i="5" a="1"/>
  <c r="H341" i="5"/>
  <c r="G341" i="5" a="1"/>
  <c r="G341" i="5"/>
  <c r="D341" i="5" a="1"/>
  <c r="D341" i="5"/>
  <c r="N340" i="5"/>
  <c r="M340" i="5" a="1"/>
  <c r="M340" i="5"/>
  <c r="K340" i="5" a="1"/>
  <c r="K340" i="5"/>
  <c r="J340" i="5" a="1"/>
  <c r="J340" i="5"/>
  <c r="I340" i="5" a="1"/>
  <c r="I340" i="5"/>
  <c r="H340" i="5" a="1"/>
  <c r="H340" i="5"/>
  <c r="G340" i="5" a="1"/>
  <c r="G340" i="5"/>
  <c r="D340" i="5" a="1"/>
  <c r="D340" i="5"/>
  <c r="N339" i="5"/>
  <c r="M339" i="5" a="1"/>
  <c r="M339" i="5"/>
  <c r="K339" i="5" a="1"/>
  <c r="K339" i="5"/>
  <c r="J339" i="5" a="1"/>
  <c r="J339" i="5"/>
  <c r="I339" i="5" a="1"/>
  <c r="I339" i="5"/>
  <c r="H339" i="5" a="1"/>
  <c r="H339" i="5"/>
  <c r="G339" i="5" a="1"/>
  <c r="G339" i="5"/>
  <c r="D339" i="5" a="1"/>
  <c r="D339" i="5"/>
  <c r="N338" i="5"/>
  <c r="M338" i="5" a="1"/>
  <c r="M338" i="5"/>
  <c r="K338" i="5" a="1"/>
  <c r="K338" i="5"/>
  <c r="J338" i="5" a="1"/>
  <c r="J338" i="5"/>
  <c r="I338" i="5" a="1"/>
  <c r="I338" i="5"/>
  <c r="H338" i="5" a="1"/>
  <c r="H338" i="5"/>
  <c r="G338" i="5" a="1"/>
  <c r="G338" i="5"/>
  <c r="D338" i="5" a="1"/>
  <c r="D338" i="5"/>
  <c r="N337" i="5"/>
  <c r="M337" i="5" a="1"/>
  <c r="M337" i="5"/>
  <c r="K337" i="5" a="1"/>
  <c r="K337" i="5"/>
  <c r="J337" i="5" a="1"/>
  <c r="J337" i="5"/>
  <c r="I337" i="5" a="1"/>
  <c r="I337" i="5"/>
  <c r="H337" i="5" a="1"/>
  <c r="H337" i="5"/>
  <c r="G337" i="5" a="1"/>
  <c r="G337" i="5"/>
  <c r="D337" i="5" a="1"/>
  <c r="D337" i="5"/>
  <c r="N336" i="5"/>
  <c r="M336" i="5" a="1"/>
  <c r="M336" i="5"/>
  <c r="K336" i="5" a="1"/>
  <c r="K336" i="5"/>
  <c r="J336" i="5" a="1"/>
  <c r="J336" i="5"/>
  <c r="I336" i="5" a="1"/>
  <c r="I336" i="5"/>
  <c r="H336" i="5" a="1"/>
  <c r="H336" i="5"/>
  <c r="G336" i="5" a="1"/>
  <c r="G336" i="5"/>
  <c r="D336" i="5" a="1"/>
  <c r="D336" i="5"/>
  <c r="N292" i="5"/>
  <c r="M292" i="5" a="1"/>
  <c r="M292" i="5"/>
  <c r="K292" i="5" a="1"/>
  <c r="K292" i="5"/>
  <c r="J292" i="5" a="1"/>
  <c r="J292" i="5"/>
  <c r="I292" i="5" a="1"/>
  <c r="I292" i="5"/>
  <c r="H292" i="5" a="1"/>
  <c r="H292" i="5"/>
  <c r="G292" i="5" a="1"/>
  <c r="G292" i="5"/>
  <c r="D292" i="5" a="1"/>
  <c r="D292" i="5"/>
  <c r="N291" i="5"/>
  <c r="M291" i="5" a="1"/>
  <c r="M291" i="5"/>
  <c r="K291" i="5" a="1"/>
  <c r="K291" i="5"/>
  <c r="J291" i="5" a="1"/>
  <c r="J291" i="5"/>
  <c r="I291" i="5" a="1"/>
  <c r="I291" i="5"/>
  <c r="H291" i="5" a="1"/>
  <c r="H291" i="5"/>
  <c r="G291" i="5" a="1"/>
  <c r="G291" i="5"/>
  <c r="D291" i="5" a="1"/>
  <c r="D291" i="5"/>
  <c r="N290" i="5"/>
  <c r="M290" i="5" a="1"/>
  <c r="M290" i="5"/>
  <c r="K290" i="5" a="1"/>
  <c r="K290" i="5"/>
  <c r="J290" i="5" a="1"/>
  <c r="J290" i="5"/>
  <c r="I290" i="5" a="1"/>
  <c r="I290" i="5"/>
  <c r="H290" i="5" a="1"/>
  <c r="H290" i="5"/>
  <c r="G290" i="5" a="1"/>
  <c r="G290" i="5"/>
  <c r="D290" i="5" a="1"/>
  <c r="D290" i="5"/>
  <c r="N289" i="5"/>
  <c r="M289" i="5" a="1"/>
  <c r="M289" i="5"/>
  <c r="K289" i="5" a="1"/>
  <c r="K289" i="5"/>
  <c r="J289" i="5" a="1"/>
  <c r="J289" i="5"/>
  <c r="I289" i="5" a="1"/>
  <c r="I289" i="5"/>
  <c r="H289" i="5" a="1"/>
  <c r="H289" i="5"/>
  <c r="G289" i="5" a="1"/>
  <c r="G289" i="5"/>
  <c r="D289" i="5" a="1"/>
  <c r="D289" i="5"/>
  <c r="N288" i="5"/>
  <c r="M288" i="5" a="1"/>
  <c r="M288" i="5"/>
  <c r="K288" i="5" a="1"/>
  <c r="K288" i="5"/>
  <c r="J288" i="5" a="1"/>
  <c r="J288" i="5"/>
  <c r="I288" i="5" a="1"/>
  <c r="I288" i="5"/>
  <c r="H288" i="5" a="1"/>
  <c r="H288" i="5"/>
  <c r="G288" i="5" a="1"/>
  <c r="G288" i="5"/>
  <c r="D288" i="5" a="1"/>
  <c r="D288" i="5"/>
  <c r="N287" i="5"/>
  <c r="M287" i="5" a="1"/>
  <c r="M287" i="5"/>
  <c r="K287" i="5" a="1"/>
  <c r="K287" i="5"/>
  <c r="J287" i="5" a="1"/>
  <c r="J287" i="5"/>
  <c r="I287" i="5" a="1"/>
  <c r="I287" i="5"/>
  <c r="H287" i="5" a="1"/>
  <c r="H287" i="5"/>
  <c r="G287" i="5" a="1"/>
  <c r="G287" i="5"/>
  <c r="D287" i="5" a="1"/>
  <c r="D287" i="5"/>
  <c r="N243" i="5"/>
  <c r="M243" i="5" a="1"/>
  <c r="M243" i="5"/>
  <c r="K243" i="5" a="1"/>
  <c r="K243" i="5"/>
  <c r="J243" i="5" a="1"/>
  <c r="J243" i="5"/>
  <c r="I243" i="5" a="1"/>
  <c r="I243" i="5"/>
  <c r="H243" i="5" a="1"/>
  <c r="H243" i="5"/>
  <c r="G243" i="5" a="1"/>
  <c r="G243" i="5"/>
  <c r="D243" i="5" a="1"/>
  <c r="D243" i="5"/>
  <c r="N242" i="5"/>
  <c r="M242" i="5" a="1"/>
  <c r="M242" i="5"/>
  <c r="K242" i="5" a="1"/>
  <c r="K242" i="5"/>
  <c r="J242" i="5" a="1"/>
  <c r="J242" i="5"/>
  <c r="I242" i="5" a="1"/>
  <c r="I242" i="5"/>
  <c r="H242" i="5" a="1"/>
  <c r="H242" i="5"/>
  <c r="G242" i="5" a="1"/>
  <c r="G242" i="5"/>
  <c r="D242" i="5" a="1"/>
  <c r="D242" i="5"/>
  <c r="N241" i="5"/>
  <c r="M241" i="5" a="1"/>
  <c r="M241" i="5"/>
  <c r="K241" i="5" a="1"/>
  <c r="K241" i="5"/>
  <c r="J241" i="5" a="1"/>
  <c r="J241" i="5"/>
  <c r="I241" i="5" a="1"/>
  <c r="I241" i="5"/>
  <c r="H241" i="5" a="1"/>
  <c r="H241" i="5"/>
  <c r="G241" i="5" a="1"/>
  <c r="G241" i="5"/>
  <c r="D241" i="5" a="1"/>
  <c r="D241" i="5"/>
  <c r="N240" i="5"/>
  <c r="M240" i="5" a="1"/>
  <c r="M240" i="5"/>
  <c r="K240" i="5" a="1"/>
  <c r="K240" i="5"/>
  <c r="J240" i="5" a="1"/>
  <c r="J240" i="5"/>
  <c r="I240" i="5" a="1"/>
  <c r="I240" i="5"/>
  <c r="H240" i="5" a="1"/>
  <c r="H240" i="5"/>
  <c r="G240" i="5" a="1"/>
  <c r="G240" i="5"/>
  <c r="D240" i="5" a="1"/>
  <c r="D240" i="5"/>
  <c r="N239" i="5"/>
  <c r="M239" i="5" a="1"/>
  <c r="M239" i="5"/>
  <c r="K239" i="5" a="1"/>
  <c r="K239" i="5"/>
  <c r="J239" i="5" a="1"/>
  <c r="J239" i="5"/>
  <c r="I239" i="5" a="1"/>
  <c r="I239" i="5"/>
  <c r="H239" i="5" a="1"/>
  <c r="H239" i="5"/>
  <c r="G239" i="5" a="1"/>
  <c r="G239" i="5"/>
  <c r="D239" i="5" a="1"/>
  <c r="D239" i="5"/>
  <c r="N238" i="5"/>
  <c r="M238" i="5" a="1"/>
  <c r="M238" i="5"/>
  <c r="K238" i="5" a="1"/>
  <c r="K238" i="5"/>
  <c r="J238" i="5" a="1"/>
  <c r="J238" i="5"/>
  <c r="I238" i="5" a="1"/>
  <c r="I238" i="5"/>
  <c r="H238" i="5" a="1"/>
  <c r="H238" i="5"/>
  <c r="G238" i="5" a="1"/>
  <c r="G238" i="5"/>
  <c r="D238" i="5" a="1"/>
  <c r="D238" i="5"/>
  <c r="N194" i="5"/>
  <c r="M194" i="5" a="1"/>
  <c r="M194" i="5"/>
  <c r="K194" i="5" a="1"/>
  <c r="K194" i="5"/>
  <c r="J194" i="5" a="1"/>
  <c r="J194" i="5"/>
  <c r="I194" i="5" a="1"/>
  <c r="I194" i="5"/>
  <c r="H194" i="5" a="1"/>
  <c r="H194" i="5"/>
  <c r="G194" i="5" a="1"/>
  <c r="G194" i="5"/>
  <c r="D194" i="5" a="1"/>
  <c r="D194" i="5"/>
  <c r="N193" i="5"/>
  <c r="M193" i="5" a="1"/>
  <c r="M193" i="5"/>
  <c r="K193" i="5" a="1"/>
  <c r="K193" i="5"/>
  <c r="J193" i="5" a="1"/>
  <c r="J193" i="5"/>
  <c r="I193" i="5" a="1"/>
  <c r="I193" i="5"/>
  <c r="H193" i="5" a="1"/>
  <c r="H193" i="5"/>
  <c r="G193" i="5" a="1"/>
  <c r="G193" i="5"/>
  <c r="D193" i="5" a="1"/>
  <c r="D193" i="5"/>
  <c r="N192" i="5"/>
  <c r="M192" i="5" a="1"/>
  <c r="M192" i="5"/>
  <c r="K192" i="5" a="1"/>
  <c r="K192" i="5"/>
  <c r="J192" i="5" a="1"/>
  <c r="J192" i="5"/>
  <c r="I192" i="5" a="1"/>
  <c r="I192" i="5"/>
  <c r="H192" i="5" a="1"/>
  <c r="H192" i="5"/>
  <c r="G192" i="5" a="1"/>
  <c r="G192" i="5"/>
  <c r="D192" i="5" a="1"/>
  <c r="D192" i="5"/>
  <c r="N191" i="5"/>
  <c r="M191" i="5" a="1"/>
  <c r="M191" i="5"/>
  <c r="K191" i="5" a="1"/>
  <c r="K191" i="5"/>
  <c r="J191" i="5" a="1"/>
  <c r="J191" i="5"/>
  <c r="I191" i="5" a="1"/>
  <c r="I191" i="5"/>
  <c r="H191" i="5" a="1"/>
  <c r="H191" i="5"/>
  <c r="G191" i="5" a="1"/>
  <c r="G191" i="5"/>
  <c r="D191" i="5" a="1"/>
  <c r="D191" i="5"/>
  <c r="N190" i="5"/>
  <c r="M190" i="5" a="1"/>
  <c r="M190" i="5"/>
  <c r="K190" i="5" a="1"/>
  <c r="K190" i="5"/>
  <c r="J190" i="5" a="1"/>
  <c r="J190" i="5"/>
  <c r="I190" i="5" a="1"/>
  <c r="I190" i="5"/>
  <c r="H190" i="5" a="1"/>
  <c r="H190" i="5"/>
  <c r="G190" i="5" a="1"/>
  <c r="G190" i="5"/>
  <c r="N189" i="5"/>
  <c r="M189" i="5" a="1"/>
  <c r="M189" i="5"/>
  <c r="K189" i="5" a="1"/>
  <c r="K189" i="5"/>
  <c r="J189" i="5" a="1"/>
  <c r="J189" i="5"/>
  <c r="I189" i="5" a="1"/>
  <c r="I189" i="5"/>
  <c r="H189" i="5" a="1"/>
  <c r="H189" i="5"/>
  <c r="G189" i="5" a="1"/>
  <c r="G189" i="5"/>
  <c r="N145" i="5"/>
  <c r="M145" i="5" a="1"/>
  <c r="M145" i="5"/>
  <c r="K145" i="5" a="1"/>
  <c r="K145" i="5"/>
  <c r="J145" i="5" a="1"/>
  <c r="J145" i="5"/>
  <c r="I145" i="5" a="1"/>
  <c r="I145" i="5"/>
  <c r="H145" i="5" a="1"/>
  <c r="H145" i="5"/>
  <c r="G145" i="5" a="1"/>
  <c r="G145" i="5"/>
  <c r="D145" i="5" a="1"/>
  <c r="D145" i="5"/>
  <c r="N144" i="5"/>
  <c r="M144" i="5" a="1"/>
  <c r="M144" i="5"/>
  <c r="K144" i="5" a="1"/>
  <c r="K144" i="5"/>
  <c r="J144" i="5" a="1"/>
  <c r="J144" i="5"/>
  <c r="I144" i="5" a="1"/>
  <c r="I144" i="5"/>
  <c r="H144" i="5" a="1"/>
  <c r="H144" i="5"/>
  <c r="G144" i="5" a="1"/>
  <c r="G144" i="5"/>
  <c r="D144" i="5" a="1"/>
  <c r="D144" i="5"/>
  <c r="N143" i="5"/>
  <c r="M143" i="5" a="1"/>
  <c r="M143" i="5"/>
  <c r="K143" i="5" a="1"/>
  <c r="K143" i="5"/>
  <c r="J143" i="5" a="1"/>
  <c r="J143" i="5"/>
  <c r="I143" i="5" a="1"/>
  <c r="I143" i="5"/>
  <c r="H143" i="5" a="1"/>
  <c r="H143" i="5"/>
  <c r="G143" i="5" a="1"/>
  <c r="G143" i="5"/>
  <c r="D143" i="5" a="1"/>
  <c r="D143" i="5"/>
  <c r="N142" i="5"/>
  <c r="M142" i="5" a="1"/>
  <c r="M142" i="5"/>
  <c r="K142" i="5" a="1"/>
  <c r="K142" i="5"/>
  <c r="J142" i="5" a="1"/>
  <c r="J142" i="5"/>
  <c r="N141" i="5"/>
  <c r="M141" i="5" a="1"/>
  <c r="M141" i="5"/>
  <c r="K141" i="5" a="1"/>
  <c r="K141" i="5"/>
  <c r="J141" i="5" a="1"/>
  <c r="J141" i="5"/>
  <c r="N140" i="5"/>
  <c r="M140" i="5" a="1"/>
  <c r="M140" i="5"/>
  <c r="K140" i="5" a="1"/>
  <c r="K140" i="5"/>
  <c r="N96" i="5"/>
  <c r="I96" i="5" a="1"/>
  <c r="I96" i="5"/>
  <c r="H96" i="5" a="1"/>
  <c r="H96" i="5"/>
  <c r="G96" i="5" a="1"/>
  <c r="G96" i="5"/>
  <c r="D96" i="5" a="1"/>
  <c r="D96" i="5"/>
  <c r="N95" i="5"/>
  <c r="I95" i="5" a="1"/>
  <c r="I95" i="5"/>
  <c r="H95" i="5" a="1"/>
  <c r="H95" i="5"/>
  <c r="G95" i="5" a="1"/>
  <c r="G95" i="5"/>
  <c r="D95" i="5" a="1"/>
  <c r="D95" i="5"/>
  <c r="N94" i="5"/>
  <c r="I94" i="5" a="1"/>
  <c r="I94" i="5"/>
  <c r="H94" i="5" a="1"/>
  <c r="H94" i="5"/>
  <c r="G94" i="5" a="1"/>
  <c r="G94" i="5"/>
  <c r="D94" i="5" a="1"/>
  <c r="D94" i="5"/>
  <c r="N93" i="5"/>
  <c r="I93" i="5" a="1"/>
  <c r="I93" i="5"/>
  <c r="H93" i="5" a="1"/>
  <c r="H93" i="5"/>
  <c r="G93" i="5" a="1"/>
  <c r="G93" i="5"/>
  <c r="D93" i="5" a="1"/>
  <c r="D93" i="5"/>
  <c r="N92" i="5"/>
  <c r="I92" i="5" a="1"/>
  <c r="I92" i="5"/>
  <c r="H92" i="5" a="1"/>
  <c r="H92" i="5"/>
  <c r="G92" i="5" a="1"/>
  <c r="G92" i="5"/>
  <c r="D92" i="5" a="1"/>
  <c r="D92" i="5"/>
  <c r="N91" i="5"/>
  <c r="N712" i="5"/>
  <c r="M712" i="5" a="1"/>
  <c r="M712" i="5"/>
  <c r="K712" i="5" a="1"/>
  <c r="K712" i="5"/>
  <c r="J712" i="5" a="1"/>
  <c r="J712" i="5"/>
  <c r="I712" i="5" a="1"/>
  <c r="I712" i="5"/>
  <c r="H712" i="5" a="1"/>
  <c r="H712" i="5"/>
  <c r="G712" i="5" a="1"/>
  <c r="G712" i="5"/>
  <c r="D712" i="5" a="1"/>
  <c r="D712" i="5"/>
  <c r="N711" i="5"/>
  <c r="M711" i="5" a="1"/>
  <c r="M711" i="5"/>
  <c r="K711" i="5" a="1"/>
  <c r="K711" i="5"/>
  <c r="J711" i="5" a="1"/>
  <c r="J711" i="5"/>
  <c r="I711" i="5" a="1"/>
  <c r="I711" i="5"/>
  <c r="H711" i="5" a="1"/>
  <c r="H711" i="5"/>
  <c r="G711" i="5" a="1"/>
  <c r="G711" i="5"/>
  <c r="D711" i="5" a="1"/>
  <c r="D711" i="5"/>
  <c r="N710" i="5"/>
  <c r="M710" i="5" a="1"/>
  <c r="M710" i="5"/>
  <c r="K710" i="5" a="1"/>
  <c r="K710" i="5"/>
  <c r="J710" i="5" a="1"/>
  <c r="J710" i="5"/>
  <c r="I710" i="5" a="1"/>
  <c r="I710" i="5"/>
  <c r="H710" i="5" a="1"/>
  <c r="H710" i="5"/>
  <c r="G710" i="5" a="1"/>
  <c r="G710" i="5"/>
  <c r="D710" i="5" a="1"/>
  <c r="D710" i="5"/>
  <c r="N709" i="5"/>
  <c r="M709" i="5" a="1"/>
  <c r="M709" i="5"/>
  <c r="K709" i="5" a="1"/>
  <c r="K709" i="5"/>
  <c r="J709" i="5" a="1"/>
  <c r="J709" i="5"/>
  <c r="I709" i="5" a="1"/>
  <c r="I709" i="5"/>
  <c r="H709" i="5" a="1"/>
  <c r="H709" i="5"/>
  <c r="G709" i="5" a="1"/>
  <c r="G709" i="5"/>
  <c r="D709" i="5" a="1"/>
  <c r="D709" i="5"/>
  <c r="N708" i="5"/>
  <c r="M708" i="5" a="1"/>
  <c r="M708" i="5"/>
  <c r="K708" i="5" a="1"/>
  <c r="K708" i="5"/>
  <c r="J708" i="5" a="1"/>
  <c r="J708" i="5"/>
  <c r="I708" i="5" a="1"/>
  <c r="I708" i="5"/>
  <c r="H708" i="5" a="1"/>
  <c r="H708" i="5"/>
  <c r="G708" i="5" a="1"/>
  <c r="G708" i="5"/>
  <c r="D708" i="5" a="1"/>
  <c r="D708" i="5"/>
  <c r="N707" i="5"/>
  <c r="M707" i="5" a="1"/>
  <c r="M707" i="5"/>
  <c r="K707" i="5" a="1"/>
  <c r="K707" i="5"/>
  <c r="J707" i="5" a="1"/>
  <c r="J707" i="5"/>
  <c r="I707" i="5" a="1"/>
  <c r="I707" i="5"/>
  <c r="H707" i="5" a="1"/>
  <c r="H707" i="5"/>
  <c r="G707" i="5" a="1"/>
  <c r="G707" i="5"/>
  <c r="D707" i="5" a="1"/>
  <c r="D707" i="5"/>
  <c r="N663" i="5"/>
  <c r="M663" i="5" a="1"/>
  <c r="M663" i="5"/>
  <c r="K663" i="5" a="1"/>
  <c r="K663" i="5"/>
  <c r="J663" i="5" a="1"/>
  <c r="J663" i="5"/>
  <c r="I663" i="5" a="1"/>
  <c r="I663" i="5"/>
  <c r="H663" i="5" a="1"/>
  <c r="H663" i="5"/>
  <c r="G663" i="5" a="1"/>
  <c r="G663" i="5"/>
  <c r="D663" i="5" a="1"/>
  <c r="D663" i="5"/>
  <c r="N662" i="5"/>
  <c r="M662" i="5" a="1"/>
  <c r="M662" i="5"/>
  <c r="K662" i="5" a="1"/>
  <c r="K662" i="5"/>
  <c r="J662" i="5" a="1"/>
  <c r="J662" i="5"/>
  <c r="I662" i="5" a="1"/>
  <c r="I662" i="5"/>
  <c r="H662" i="5" a="1"/>
  <c r="H662" i="5"/>
  <c r="G662" i="5" a="1"/>
  <c r="G662" i="5"/>
  <c r="D662" i="5" a="1"/>
  <c r="D662" i="5"/>
  <c r="N661" i="5"/>
  <c r="M661" i="5" a="1"/>
  <c r="M661" i="5"/>
  <c r="K661" i="5" a="1"/>
  <c r="K661" i="5"/>
  <c r="J661" i="5" a="1"/>
  <c r="J661" i="5"/>
  <c r="I661" i="5" a="1"/>
  <c r="I661" i="5"/>
  <c r="H661" i="5" a="1"/>
  <c r="H661" i="5"/>
  <c r="G661" i="5" a="1"/>
  <c r="G661" i="5"/>
  <c r="D661" i="5" a="1"/>
  <c r="D661" i="5"/>
  <c r="N660" i="5"/>
  <c r="M660" i="5" a="1"/>
  <c r="M660" i="5"/>
  <c r="K660" i="5" a="1"/>
  <c r="K660" i="5"/>
  <c r="J660" i="5" a="1"/>
  <c r="J660" i="5"/>
  <c r="I660" i="5" a="1"/>
  <c r="I660" i="5"/>
  <c r="H660" i="5" a="1"/>
  <c r="H660" i="5"/>
  <c r="G660" i="5" a="1"/>
  <c r="G660" i="5"/>
  <c r="D660" i="5" a="1"/>
  <c r="D660" i="5"/>
  <c r="N659" i="5"/>
  <c r="M659" i="5" a="1"/>
  <c r="M659" i="5"/>
  <c r="K659" i="5" a="1"/>
  <c r="K659" i="5"/>
  <c r="J659" i="5" a="1"/>
  <c r="J659" i="5"/>
  <c r="I659" i="5" a="1"/>
  <c r="I659" i="5"/>
  <c r="H659" i="5" a="1"/>
  <c r="H659" i="5"/>
  <c r="G659" i="5" a="1"/>
  <c r="G659" i="5"/>
  <c r="D659" i="5" a="1"/>
  <c r="D659" i="5"/>
  <c r="N658" i="5"/>
  <c r="M658" i="5" a="1"/>
  <c r="M658" i="5"/>
  <c r="K658" i="5" a="1"/>
  <c r="K658" i="5"/>
  <c r="J658" i="5" a="1"/>
  <c r="J658" i="5"/>
  <c r="I658" i="5" a="1"/>
  <c r="I658" i="5"/>
  <c r="H658" i="5" a="1"/>
  <c r="H658" i="5"/>
  <c r="G658" i="5" a="1"/>
  <c r="G658" i="5"/>
  <c r="D658" i="5" a="1"/>
  <c r="D658" i="5"/>
  <c r="N614" i="5"/>
  <c r="M614" i="5" a="1"/>
  <c r="M614" i="5"/>
  <c r="K614" i="5" a="1"/>
  <c r="K614" i="5"/>
  <c r="J614" i="5" a="1"/>
  <c r="J614" i="5"/>
  <c r="I614" i="5" a="1"/>
  <c r="I614" i="5"/>
  <c r="H614" i="5" a="1"/>
  <c r="H614" i="5"/>
  <c r="G614" i="5" a="1"/>
  <c r="G614" i="5"/>
  <c r="D614" i="5" a="1"/>
  <c r="D614" i="5"/>
  <c r="N613" i="5"/>
  <c r="M613" i="5" a="1"/>
  <c r="M613" i="5"/>
  <c r="K613" i="5" a="1"/>
  <c r="K613" i="5"/>
  <c r="J613" i="5" a="1"/>
  <c r="J613" i="5"/>
  <c r="I613" i="5" a="1"/>
  <c r="I613" i="5"/>
  <c r="H613" i="5" a="1"/>
  <c r="H613" i="5"/>
  <c r="G613" i="5" a="1"/>
  <c r="G613" i="5"/>
  <c r="D613" i="5" a="1"/>
  <c r="D613" i="5"/>
  <c r="N612" i="5"/>
  <c r="M612" i="5" a="1"/>
  <c r="M612" i="5"/>
  <c r="K612" i="5" a="1"/>
  <c r="K612" i="5"/>
  <c r="J612" i="5" a="1"/>
  <c r="J612" i="5"/>
  <c r="I612" i="5" a="1"/>
  <c r="I612" i="5"/>
  <c r="H612" i="5" a="1"/>
  <c r="H612" i="5"/>
  <c r="G612" i="5" a="1"/>
  <c r="G612" i="5"/>
  <c r="D612" i="5" a="1"/>
  <c r="D612" i="5"/>
  <c r="N611" i="5"/>
  <c r="M611" i="5" a="1"/>
  <c r="M611" i="5"/>
  <c r="K611" i="5" a="1"/>
  <c r="K611" i="5"/>
  <c r="J611" i="5" a="1"/>
  <c r="J611" i="5"/>
  <c r="I611" i="5" a="1"/>
  <c r="I611" i="5"/>
  <c r="H611" i="5" a="1"/>
  <c r="H611" i="5"/>
  <c r="G611" i="5" a="1"/>
  <c r="G611" i="5"/>
  <c r="D611" i="5" a="1"/>
  <c r="D611" i="5"/>
  <c r="N610" i="5"/>
  <c r="M610" i="5" a="1"/>
  <c r="M610" i="5"/>
  <c r="K610" i="5" a="1"/>
  <c r="K610" i="5"/>
  <c r="J610" i="5" a="1"/>
  <c r="J610" i="5"/>
  <c r="I610" i="5" a="1"/>
  <c r="I610" i="5"/>
  <c r="H610" i="5" a="1"/>
  <c r="H610" i="5"/>
  <c r="G610" i="5" a="1"/>
  <c r="G610" i="5"/>
  <c r="D610" i="5" a="1"/>
  <c r="D610" i="5"/>
  <c r="N609" i="5"/>
  <c r="M609" i="5" a="1"/>
  <c r="M609" i="5"/>
  <c r="K609" i="5" a="1"/>
  <c r="K609" i="5"/>
  <c r="J609" i="5" a="1"/>
  <c r="J609" i="5"/>
  <c r="I609" i="5" a="1"/>
  <c r="I609" i="5"/>
  <c r="H609" i="5" a="1"/>
  <c r="H609" i="5"/>
  <c r="G609" i="5" a="1"/>
  <c r="G609" i="5"/>
  <c r="D609" i="5" a="1"/>
  <c r="D609" i="5"/>
  <c r="N565" i="5"/>
  <c r="M565" i="5" a="1"/>
  <c r="M565" i="5"/>
  <c r="K565" i="5" a="1"/>
  <c r="K565" i="5"/>
  <c r="J565" i="5" a="1"/>
  <c r="J565" i="5"/>
  <c r="I565" i="5" a="1"/>
  <c r="I565" i="5"/>
  <c r="H565" i="5" a="1"/>
  <c r="H565" i="5"/>
  <c r="G565" i="5" a="1"/>
  <c r="G565" i="5"/>
  <c r="D565" i="5" a="1"/>
  <c r="D565" i="5"/>
  <c r="N564" i="5"/>
  <c r="M564" i="5" a="1"/>
  <c r="M564" i="5"/>
  <c r="K564" i="5" a="1"/>
  <c r="K564" i="5"/>
  <c r="J564" i="5" a="1"/>
  <c r="J564" i="5"/>
  <c r="I564" i="5" a="1"/>
  <c r="I564" i="5"/>
  <c r="H564" i="5" a="1"/>
  <c r="H564" i="5"/>
  <c r="G564" i="5" a="1"/>
  <c r="G564" i="5"/>
  <c r="D564" i="5" a="1"/>
  <c r="D564" i="5"/>
  <c r="N563" i="5"/>
  <c r="M563" i="5" a="1"/>
  <c r="M563" i="5"/>
  <c r="K563" i="5" a="1"/>
  <c r="K563" i="5"/>
  <c r="J563" i="5" a="1"/>
  <c r="J563" i="5"/>
  <c r="I563" i="5" a="1"/>
  <c r="I563" i="5"/>
  <c r="H563" i="5" a="1"/>
  <c r="H563" i="5"/>
  <c r="G563" i="5" a="1"/>
  <c r="G563" i="5"/>
  <c r="D563" i="5" a="1"/>
  <c r="D563" i="5"/>
  <c r="N562" i="5"/>
  <c r="M562" i="5" a="1"/>
  <c r="M562" i="5"/>
  <c r="K562" i="5" a="1"/>
  <c r="K562" i="5"/>
  <c r="J562" i="5" a="1"/>
  <c r="J562" i="5"/>
  <c r="I562" i="5" a="1"/>
  <c r="I562" i="5"/>
  <c r="H562" i="5" a="1"/>
  <c r="H562" i="5"/>
  <c r="G562" i="5" a="1"/>
  <c r="G562" i="5"/>
  <c r="D562" i="5" a="1"/>
  <c r="D562" i="5"/>
  <c r="N561" i="5"/>
  <c r="M561" i="5" a="1"/>
  <c r="M561" i="5"/>
  <c r="K561" i="5" a="1"/>
  <c r="K561" i="5"/>
  <c r="J561" i="5" a="1"/>
  <c r="J561" i="5"/>
  <c r="I561" i="5" a="1"/>
  <c r="I561" i="5"/>
  <c r="H561" i="5" a="1"/>
  <c r="H561" i="5"/>
  <c r="G561" i="5" a="1"/>
  <c r="G561" i="5"/>
  <c r="D561" i="5" a="1"/>
  <c r="D561" i="5"/>
  <c r="N560" i="5"/>
  <c r="M560" i="5" a="1"/>
  <c r="M560" i="5"/>
  <c r="K560" i="5" a="1"/>
  <c r="K560" i="5"/>
  <c r="J560" i="5" a="1"/>
  <c r="J560" i="5"/>
  <c r="I560" i="5" a="1"/>
  <c r="I560" i="5"/>
  <c r="H560" i="5" a="1"/>
  <c r="H560" i="5"/>
  <c r="G560" i="5" a="1"/>
  <c r="G560" i="5"/>
  <c r="D560" i="5" a="1"/>
  <c r="D560" i="5"/>
  <c r="N516" i="5"/>
  <c r="M516" i="5" a="1"/>
  <c r="M516" i="5"/>
  <c r="K516" i="5" a="1"/>
  <c r="K516" i="5"/>
  <c r="J516" i="5" a="1"/>
  <c r="J516" i="5"/>
  <c r="I516" i="5" a="1"/>
  <c r="I516" i="5"/>
  <c r="H516" i="5" a="1"/>
  <c r="H516" i="5"/>
  <c r="G516" i="5" a="1"/>
  <c r="G516" i="5"/>
  <c r="D516" i="5" a="1"/>
  <c r="D516" i="5"/>
  <c r="N515" i="5"/>
  <c r="M515" i="5" a="1"/>
  <c r="M515" i="5"/>
  <c r="K515" i="5" a="1"/>
  <c r="K515" i="5"/>
  <c r="J515" i="5" a="1"/>
  <c r="J515" i="5"/>
  <c r="I515" i="5" a="1"/>
  <c r="I515" i="5"/>
  <c r="H515" i="5" a="1"/>
  <c r="H515" i="5"/>
  <c r="G515" i="5" a="1"/>
  <c r="G515" i="5"/>
  <c r="D515" i="5" a="1"/>
  <c r="D515" i="5"/>
  <c r="N514" i="5"/>
  <c r="M514" i="5" a="1"/>
  <c r="M514" i="5"/>
  <c r="K514" i="5" a="1"/>
  <c r="K514" i="5"/>
  <c r="J514" i="5" a="1"/>
  <c r="J514" i="5"/>
  <c r="I514" i="5" a="1"/>
  <c r="I514" i="5"/>
  <c r="H514" i="5" a="1"/>
  <c r="H514" i="5"/>
  <c r="G514" i="5" a="1"/>
  <c r="G514" i="5"/>
  <c r="D514" i="5" a="1"/>
  <c r="D514" i="5"/>
  <c r="N513" i="5"/>
  <c r="M513" i="5" a="1"/>
  <c r="M513" i="5"/>
  <c r="K513" i="5" a="1"/>
  <c r="K513" i="5"/>
  <c r="J513" i="5" a="1"/>
  <c r="J513" i="5"/>
  <c r="I513" i="5" a="1"/>
  <c r="I513" i="5"/>
  <c r="H513" i="5" a="1"/>
  <c r="H513" i="5"/>
  <c r="G513" i="5" a="1"/>
  <c r="G513" i="5"/>
  <c r="D513" i="5" a="1"/>
  <c r="D513" i="5"/>
  <c r="N512" i="5"/>
  <c r="M512" i="5" a="1"/>
  <c r="M512" i="5"/>
  <c r="K512" i="5" a="1"/>
  <c r="K512" i="5"/>
  <c r="J512" i="5" a="1"/>
  <c r="J512" i="5"/>
  <c r="I512" i="5" a="1"/>
  <c r="I512" i="5"/>
  <c r="H512" i="5" a="1"/>
  <c r="H512" i="5"/>
  <c r="G512" i="5" a="1"/>
  <c r="G512" i="5"/>
  <c r="D512" i="5" a="1"/>
  <c r="D512" i="5"/>
  <c r="N511" i="5"/>
  <c r="M511" i="5" a="1"/>
  <c r="M511" i="5"/>
  <c r="K511" i="5" a="1"/>
  <c r="K511" i="5"/>
  <c r="J511" i="5" a="1"/>
  <c r="J511" i="5"/>
  <c r="I511" i="5" a="1"/>
  <c r="I511" i="5"/>
  <c r="H511" i="5" a="1"/>
  <c r="H511" i="5"/>
  <c r="G511" i="5" a="1"/>
  <c r="G511" i="5"/>
  <c r="D511" i="5" a="1"/>
  <c r="D511" i="5"/>
  <c r="N467" i="5"/>
  <c r="M467" i="5" a="1"/>
  <c r="M467" i="5"/>
  <c r="K467" i="5" a="1"/>
  <c r="K467" i="5"/>
  <c r="J467" i="5" a="1"/>
  <c r="J467" i="5"/>
  <c r="I467" i="5" a="1"/>
  <c r="I467" i="5"/>
  <c r="H467" i="5" a="1"/>
  <c r="H467" i="5"/>
  <c r="G467" i="5" a="1"/>
  <c r="G467" i="5"/>
  <c r="D467" i="5" a="1"/>
  <c r="D467" i="5"/>
  <c r="N466" i="5"/>
  <c r="M466" i="5" a="1"/>
  <c r="M466" i="5"/>
  <c r="K466" i="5" a="1"/>
  <c r="K466" i="5"/>
  <c r="J466" i="5" a="1"/>
  <c r="J466" i="5"/>
  <c r="I466" i="5" a="1"/>
  <c r="I466" i="5"/>
  <c r="H466" i="5" a="1"/>
  <c r="H466" i="5"/>
  <c r="G466" i="5" a="1"/>
  <c r="G466" i="5"/>
  <c r="D466" i="5" a="1"/>
  <c r="D466" i="5"/>
  <c r="N465" i="5"/>
  <c r="M465" i="5" a="1"/>
  <c r="M465" i="5"/>
  <c r="K465" i="5" a="1"/>
  <c r="K465" i="5"/>
  <c r="J465" i="5" a="1"/>
  <c r="J465" i="5"/>
  <c r="I465" i="5" a="1"/>
  <c r="I465" i="5"/>
  <c r="H465" i="5" a="1"/>
  <c r="H465" i="5"/>
  <c r="G465" i="5" a="1"/>
  <c r="G465" i="5"/>
  <c r="D465" i="5" a="1"/>
  <c r="D465" i="5"/>
  <c r="N464" i="5"/>
  <c r="M464" i="5" a="1"/>
  <c r="M464" i="5"/>
  <c r="K464" i="5" a="1"/>
  <c r="K464" i="5"/>
  <c r="J464" i="5" a="1"/>
  <c r="J464" i="5"/>
  <c r="I464" i="5" a="1"/>
  <c r="I464" i="5"/>
  <c r="H464" i="5" a="1"/>
  <c r="H464" i="5"/>
  <c r="G464" i="5" a="1"/>
  <c r="G464" i="5"/>
  <c r="D464" i="5" a="1"/>
  <c r="D464" i="5"/>
  <c r="N463" i="5"/>
  <c r="M463" i="5" a="1"/>
  <c r="M463" i="5"/>
  <c r="K463" i="5" a="1"/>
  <c r="K463" i="5"/>
  <c r="J463" i="5" a="1"/>
  <c r="J463" i="5"/>
  <c r="I463" i="5" a="1"/>
  <c r="I463" i="5"/>
  <c r="H463" i="5" a="1"/>
  <c r="H463" i="5"/>
  <c r="G463" i="5" a="1"/>
  <c r="G463" i="5"/>
  <c r="D463" i="5" a="1"/>
  <c r="D463" i="5"/>
  <c r="N462" i="5"/>
  <c r="M462" i="5" a="1"/>
  <c r="M462" i="5"/>
  <c r="K462" i="5" a="1"/>
  <c r="K462" i="5"/>
  <c r="J462" i="5" a="1"/>
  <c r="J462" i="5"/>
  <c r="I462" i="5" a="1"/>
  <c r="I462" i="5"/>
  <c r="H462" i="5" a="1"/>
  <c r="H462" i="5"/>
  <c r="G462" i="5" a="1"/>
  <c r="G462" i="5"/>
  <c r="D462" i="5" a="1"/>
  <c r="D462" i="5"/>
  <c r="N418" i="5"/>
  <c r="M418" i="5" a="1"/>
  <c r="M418" i="5"/>
  <c r="K418" i="5" a="1"/>
  <c r="K418" i="5"/>
  <c r="J418" i="5" a="1"/>
  <c r="J418" i="5"/>
  <c r="I418" i="5" a="1"/>
  <c r="I418" i="5"/>
  <c r="H418" i="5" a="1"/>
  <c r="H418" i="5"/>
  <c r="G418" i="5" a="1"/>
  <c r="G418" i="5"/>
  <c r="D418" i="5" a="1"/>
  <c r="D418" i="5"/>
  <c r="N417" i="5"/>
  <c r="M417" i="5" a="1"/>
  <c r="M417" i="5"/>
  <c r="K417" i="5" a="1"/>
  <c r="K417" i="5"/>
  <c r="J417" i="5" a="1"/>
  <c r="J417" i="5"/>
  <c r="I417" i="5" a="1"/>
  <c r="I417" i="5"/>
  <c r="H417" i="5" a="1"/>
  <c r="H417" i="5"/>
  <c r="G417" i="5" a="1"/>
  <c r="G417" i="5"/>
  <c r="D417" i="5" a="1"/>
  <c r="D417" i="5"/>
  <c r="N416" i="5"/>
  <c r="M416" i="5" a="1"/>
  <c r="M416" i="5"/>
  <c r="K416" i="5" a="1"/>
  <c r="K416" i="5"/>
  <c r="J416" i="5" a="1"/>
  <c r="J416" i="5"/>
  <c r="I416" i="5" a="1"/>
  <c r="I416" i="5"/>
  <c r="H416" i="5" a="1"/>
  <c r="H416" i="5"/>
  <c r="G416" i="5" a="1"/>
  <c r="G416" i="5"/>
  <c r="D416" i="5" a="1"/>
  <c r="D416" i="5"/>
  <c r="N415" i="5"/>
  <c r="M415" i="5" a="1"/>
  <c r="M415" i="5"/>
  <c r="K415" i="5" a="1"/>
  <c r="K415" i="5"/>
  <c r="J415" i="5" a="1"/>
  <c r="J415" i="5"/>
  <c r="I415" i="5" a="1"/>
  <c r="I415" i="5"/>
  <c r="H415" i="5" a="1"/>
  <c r="H415" i="5"/>
  <c r="G415" i="5" a="1"/>
  <c r="G415" i="5"/>
  <c r="D415" i="5" a="1"/>
  <c r="D415" i="5"/>
  <c r="N414" i="5"/>
  <c r="M414" i="5" a="1"/>
  <c r="M414" i="5"/>
  <c r="K414" i="5" a="1"/>
  <c r="K414" i="5"/>
  <c r="J414" i="5" a="1"/>
  <c r="J414" i="5"/>
  <c r="I414" i="5" a="1"/>
  <c r="I414" i="5"/>
  <c r="H414" i="5" a="1"/>
  <c r="H414" i="5"/>
  <c r="G414" i="5" a="1"/>
  <c r="G414" i="5"/>
  <c r="D414" i="5" a="1"/>
  <c r="D414" i="5"/>
  <c r="N413" i="5"/>
  <c r="M413" i="5" a="1"/>
  <c r="M413" i="5"/>
  <c r="K413" i="5" a="1"/>
  <c r="K413" i="5"/>
  <c r="J413" i="5" a="1"/>
  <c r="J413" i="5"/>
  <c r="I413" i="5" a="1"/>
  <c r="I413" i="5"/>
  <c r="H413" i="5" a="1"/>
  <c r="H413" i="5"/>
  <c r="G413" i="5" a="1"/>
  <c r="G413" i="5"/>
  <c r="D413" i="5" a="1"/>
  <c r="D413" i="5"/>
  <c r="N369" i="5"/>
  <c r="M369" i="5" a="1"/>
  <c r="M369" i="5"/>
  <c r="K369" i="5" a="1"/>
  <c r="K369" i="5"/>
  <c r="J369" i="5" a="1"/>
  <c r="J369" i="5"/>
  <c r="I369" i="5" a="1"/>
  <c r="I369" i="5"/>
  <c r="H369" i="5" a="1"/>
  <c r="H369" i="5"/>
  <c r="G369" i="5" a="1"/>
  <c r="G369" i="5"/>
  <c r="D369" i="5" a="1"/>
  <c r="D369" i="5"/>
  <c r="N368" i="5"/>
  <c r="M368" i="5" a="1"/>
  <c r="M368" i="5"/>
  <c r="K368" i="5" a="1"/>
  <c r="K368" i="5"/>
  <c r="J368" i="5" a="1"/>
  <c r="J368" i="5"/>
  <c r="I368" i="5" a="1"/>
  <c r="I368" i="5"/>
  <c r="H368" i="5" a="1"/>
  <c r="H368" i="5"/>
  <c r="G368" i="5" a="1"/>
  <c r="G368" i="5"/>
  <c r="D368" i="5" a="1"/>
  <c r="D368" i="5"/>
  <c r="N367" i="5"/>
  <c r="M367" i="5" a="1"/>
  <c r="M367" i="5"/>
  <c r="K367" i="5" a="1"/>
  <c r="K367" i="5"/>
  <c r="J367" i="5" a="1"/>
  <c r="J367" i="5"/>
  <c r="I367" i="5" a="1"/>
  <c r="I367" i="5"/>
  <c r="H367" i="5" a="1"/>
  <c r="H367" i="5"/>
  <c r="G367" i="5" a="1"/>
  <c r="G367" i="5"/>
  <c r="D367" i="5" a="1"/>
  <c r="D367" i="5"/>
  <c r="N366" i="5"/>
  <c r="M366" i="5" a="1"/>
  <c r="M366" i="5"/>
  <c r="K366" i="5" a="1"/>
  <c r="K366" i="5"/>
  <c r="J366" i="5" a="1"/>
  <c r="J366" i="5"/>
  <c r="I366" i="5" a="1"/>
  <c r="I366" i="5"/>
  <c r="H366" i="5" a="1"/>
  <c r="H366" i="5"/>
  <c r="G366" i="5" a="1"/>
  <c r="G366" i="5"/>
  <c r="D366" i="5" a="1"/>
  <c r="D366" i="5"/>
  <c r="N365" i="5"/>
  <c r="M365" i="5" a="1"/>
  <c r="M365" i="5"/>
  <c r="K365" i="5" a="1"/>
  <c r="K365" i="5"/>
  <c r="J365" i="5" a="1"/>
  <c r="J365" i="5"/>
  <c r="I365" i="5" a="1"/>
  <c r="I365" i="5"/>
  <c r="H365" i="5" a="1"/>
  <c r="H365" i="5"/>
  <c r="G365" i="5" a="1"/>
  <c r="G365" i="5"/>
  <c r="D365" i="5" a="1"/>
  <c r="D365" i="5"/>
  <c r="N364" i="5"/>
  <c r="M364" i="5" a="1"/>
  <c r="M364" i="5"/>
  <c r="K364" i="5" a="1"/>
  <c r="K364" i="5"/>
  <c r="J364" i="5" a="1"/>
  <c r="J364" i="5"/>
  <c r="I364" i="5" a="1"/>
  <c r="I364" i="5"/>
  <c r="H364" i="5" a="1"/>
  <c r="H364" i="5"/>
  <c r="G364" i="5" a="1"/>
  <c r="G364" i="5"/>
  <c r="D364" i="5" a="1"/>
  <c r="D364" i="5"/>
  <c r="N320" i="5"/>
  <c r="M320" i="5" a="1"/>
  <c r="M320" i="5"/>
  <c r="K320" i="5" a="1"/>
  <c r="K320" i="5"/>
  <c r="J320" i="5" a="1"/>
  <c r="J320" i="5"/>
  <c r="I320" i="5" a="1"/>
  <c r="I320" i="5"/>
  <c r="H320" i="5" a="1"/>
  <c r="H320" i="5"/>
  <c r="G320" i="5" a="1"/>
  <c r="G320" i="5"/>
  <c r="D320" i="5" a="1"/>
  <c r="D320" i="5"/>
  <c r="N319" i="5"/>
  <c r="M319" i="5" a="1"/>
  <c r="M319" i="5"/>
  <c r="K319" i="5" a="1"/>
  <c r="K319" i="5"/>
  <c r="J319" i="5" a="1"/>
  <c r="J319" i="5"/>
  <c r="I319" i="5" a="1"/>
  <c r="I319" i="5"/>
  <c r="H319" i="5" a="1"/>
  <c r="H319" i="5"/>
  <c r="G319" i="5" a="1"/>
  <c r="G319" i="5"/>
  <c r="D319" i="5" a="1"/>
  <c r="D319" i="5"/>
  <c r="N318" i="5"/>
  <c r="M318" i="5" a="1"/>
  <c r="M318" i="5"/>
  <c r="K318" i="5" a="1"/>
  <c r="K318" i="5"/>
  <c r="J318" i="5" a="1"/>
  <c r="J318" i="5"/>
  <c r="I318" i="5" a="1"/>
  <c r="I318" i="5"/>
  <c r="H318" i="5" a="1"/>
  <c r="H318" i="5"/>
  <c r="G318" i="5" a="1"/>
  <c r="G318" i="5"/>
  <c r="D318" i="5" a="1"/>
  <c r="D318" i="5"/>
  <c r="N317" i="5"/>
  <c r="M317" i="5" a="1"/>
  <c r="M317" i="5"/>
  <c r="K317" i="5" a="1"/>
  <c r="K317" i="5"/>
  <c r="J317" i="5" a="1"/>
  <c r="J317" i="5"/>
  <c r="I317" i="5" a="1"/>
  <c r="I317" i="5"/>
  <c r="H317" i="5" a="1"/>
  <c r="H317" i="5"/>
  <c r="G317" i="5" a="1"/>
  <c r="G317" i="5"/>
  <c r="D317" i="5" a="1"/>
  <c r="D317" i="5"/>
  <c r="N316" i="5"/>
  <c r="M316" i="5" a="1"/>
  <c r="M316" i="5"/>
  <c r="K316" i="5" a="1"/>
  <c r="K316" i="5"/>
  <c r="J316" i="5" a="1"/>
  <c r="J316" i="5"/>
  <c r="I316" i="5" a="1"/>
  <c r="I316" i="5"/>
  <c r="H316" i="5" a="1"/>
  <c r="H316" i="5"/>
  <c r="G316" i="5" a="1"/>
  <c r="G316" i="5"/>
  <c r="D316" i="5" a="1"/>
  <c r="D316" i="5"/>
  <c r="N315" i="5"/>
  <c r="M315" i="5" a="1"/>
  <c r="M315" i="5"/>
  <c r="K315" i="5" a="1"/>
  <c r="K315" i="5"/>
  <c r="J315" i="5" a="1"/>
  <c r="J315" i="5"/>
  <c r="I315" i="5" a="1"/>
  <c r="I315" i="5"/>
  <c r="H315" i="5" a="1"/>
  <c r="H315" i="5"/>
  <c r="G315" i="5" a="1"/>
  <c r="G315" i="5"/>
  <c r="D315" i="5" a="1"/>
  <c r="D315" i="5"/>
  <c r="N271" i="5"/>
  <c r="M271" i="5" a="1"/>
  <c r="M271" i="5"/>
  <c r="K271" i="5" a="1"/>
  <c r="K271" i="5"/>
  <c r="J271" i="5" a="1"/>
  <c r="J271" i="5"/>
  <c r="I271" i="5" a="1"/>
  <c r="I271" i="5"/>
  <c r="H271" i="5" a="1"/>
  <c r="H271" i="5"/>
  <c r="G271" i="5" a="1"/>
  <c r="G271" i="5"/>
  <c r="D271" i="5" a="1"/>
  <c r="D271" i="5"/>
  <c r="N270" i="5"/>
  <c r="M270" i="5" a="1"/>
  <c r="M270" i="5"/>
  <c r="K270" i="5" a="1"/>
  <c r="K270" i="5"/>
  <c r="J270" i="5" a="1"/>
  <c r="J270" i="5"/>
  <c r="I270" i="5" a="1"/>
  <c r="I270" i="5"/>
  <c r="H270" i="5" a="1"/>
  <c r="H270" i="5"/>
  <c r="G270" i="5" a="1"/>
  <c r="G270" i="5"/>
  <c r="D270" i="5" a="1"/>
  <c r="D270" i="5"/>
  <c r="N269" i="5"/>
  <c r="M269" i="5" a="1"/>
  <c r="M269" i="5"/>
  <c r="K269" i="5" a="1"/>
  <c r="K269" i="5"/>
  <c r="J269" i="5" a="1"/>
  <c r="J269" i="5"/>
  <c r="I269" i="5" a="1"/>
  <c r="I269" i="5"/>
  <c r="H269" i="5" a="1"/>
  <c r="H269" i="5"/>
  <c r="G269" i="5" a="1"/>
  <c r="G269" i="5"/>
  <c r="D269" i="5" a="1"/>
  <c r="D269" i="5"/>
  <c r="N268" i="5"/>
  <c r="M268" i="5" a="1"/>
  <c r="M268" i="5"/>
  <c r="K268" i="5" a="1"/>
  <c r="K268" i="5"/>
  <c r="J268" i="5" a="1"/>
  <c r="J268" i="5"/>
  <c r="I268" i="5" a="1"/>
  <c r="I268" i="5"/>
  <c r="H268" i="5" a="1"/>
  <c r="H268" i="5"/>
  <c r="G268" i="5" a="1"/>
  <c r="G268" i="5"/>
  <c r="D268" i="5" a="1"/>
  <c r="D268" i="5"/>
  <c r="N267" i="5"/>
  <c r="M267" i="5" a="1"/>
  <c r="M267" i="5"/>
  <c r="K267" i="5" a="1"/>
  <c r="K267" i="5"/>
  <c r="J267" i="5" a="1"/>
  <c r="J267" i="5"/>
  <c r="I267" i="5" a="1"/>
  <c r="I267" i="5"/>
  <c r="H267" i="5" a="1"/>
  <c r="H267" i="5"/>
  <c r="G267" i="5" a="1"/>
  <c r="G267" i="5"/>
  <c r="D267" i="5" a="1"/>
  <c r="D267" i="5"/>
  <c r="N266" i="5"/>
  <c r="M266" i="5" a="1"/>
  <c r="M266" i="5"/>
  <c r="K266" i="5" a="1"/>
  <c r="K266" i="5"/>
  <c r="J266" i="5" a="1"/>
  <c r="J266" i="5"/>
  <c r="I266" i="5" a="1"/>
  <c r="I266" i="5"/>
  <c r="H266" i="5" a="1"/>
  <c r="H266" i="5"/>
  <c r="G266" i="5" a="1"/>
  <c r="G266" i="5"/>
  <c r="D266" i="5" a="1"/>
  <c r="D266" i="5"/>
  <c r="N222" i="5"/>
  <c r="M222" i="5" a="1"/>
  <c r="M222" i="5"/>
  <c r="K222" i="5" a="1"/>
  <c r="K222" i="5"/>
  <c r="J222" i="5" a="1"/>
  <c r="J222" i="5"/>
  <c r="I222" i="5" a="1"/>
  <c r="I222" i="5"/>
  <c r="H222" i="5" a="1"/>
  <c r="H222" i="5"/>
  <c r="G222" i="5" a="1"/>
  <c r="G222" i="5"/>
  <c r="D222" i="5" a="1"/>
  <c r="D222" i="5"/>
  <c r="N221" i="5"/>
  <c r="M221" i="5" a="1"/>
  <c r="M221" i="5"/>
  <c r="K221" i="5" a="1"/>
  <c r="K221" i="5"/>
  <c r="J221" i="5" a="1"/>
  <c r="J221" i="5"/>
  <c r="I221" i="5" a="1"/>
  <c r="I221" i="5"/>
  <c r="H221" i="5" a="1"/>
  <c r="H221" i="5"/>
  <c r="G221" i="5" a="1"/>
  <c r="G221" i="5"/>
  <c r="D221" i="5" a="1"/>
  <c r="D221" i="5"/>
  <c r="N220" i="5"/>
  <c r="M220" i="5" a="1"/>
  <c r="M220" i="5"/>
  <c r="K220" i="5" a="1"/>
  <c r="K220" i="5"/>
  <c r="J220" i="5" a="1"/>
  <c r="J220" i="5"/>
  <c r="I220" i="5" a="1"/>
  <c r="I220" i="5"/>
  <c r="H220" i="5" a="1"/>
  <c r="H220" i="5"/>
  <c r="G220" i="5" a="1"/>
  <c r="G220" i="5"/>
  <c r="D220" i="5" a="1"/>
  <c r="D220" i="5"/>
  <c r="N219" i="5"/>
  <c r="M219" i="5" a="1"/>
  <c r="M219" i="5"/>
  <c r="K219" i="5" a="1"/>
  <c r="K219" i="5"/>
  <c r="J219" i="5" a="1"/>
  <c r="J219" i="5"/>
  <c r="I219" i="5" a="1"/>
  <c r="I219" i="5"/>
  <c r="H219" i="5" a="1"/>
  <c r="H219" i="5"/>
  <c r="G219" i="5" a="1"/>
  <c r="G219" i="5"/>
  <c r="D219" i="5" a="1"/>
  <c r="D219" i="5"/>
  <c r="N218" i="5"/>
  <c r="M218" i="5" a="1"/>
  <c r="M218" i="5"/>
  <c r="K218" i="5" a="1"/>
  <c r="K218" i="5"/>
  <c r="J218" i="5" a="1"/>
  <c r="J218" i="5"/>
  <c r="I218" i="5" a="1"/>
  <c r="I218" i="5"/>
  <c r="H218" i="5" a="1"/>
  <c r="H218" i="5"/>
  <c r="G218" i="5" a="1"/>
  <c r="G218" i="5"/>
  <c r="D218" i="5" a="1"/>
  <c r="D218" i="5"/>
  <c r="N217" i="5"/>
  <c r="M217" i="5" a="1"/>
  <c r="M217" i="5"/>
  <c r="K217" i="5" a="1"/>
  <c r="K217" i="5"/>
  <c r="J217" i="5" a="1"/>
  <c r="J217" i="5"/>
  <c r="I217" i="5" a="1"/>
  <c r="I217" i="5"/>
  <c r="H217" i="5" a="1"/>
  <c r="H217" i="5"/>
  <c r="G217" i="5" a="1"/>
  <c r="G217" i="5"/>
  <c r="D217" i="5" a="1"/>
  <c r="D217" i="5"/>
  <c r="N173" i="5"/>
  <c r="M173" i="5" a="1"/>
  <c r="M173" i="5"/>
  <c r="K173" i="5" a="1"/>
  <c r="K173" i="5"/>
  <c r="J173" i="5" a="1"/>
  <c r="J173" i="5"/>
  <c r="I173" i="5" a="1"/>
  <c r="I173" i="5"/>
  <c r="H173" i="5" a="1"/>
  <c r="H173" i="5"/>
  <c r="G173" i="5" a="1"/>
  <c r="G173" i="5"/>
  <c r="D173" i="5" a="1"/>
  <c r="D173" i="5"/>
  <c r="N172" i="5"/>
  <c r="M172" i="5" a="1"/>
  <c r="M172" i="5"/>
  <c r="K172" i="5" a="1"/>
  <c r="K172" i="5"/>
  <c r="J172" i="5" a="1"/>
  <c r="J172" i="5"/>
  <c r="I172" i="5" a="1"/>
  <c r="I172" i="5"/>
  <c r="H172" i="5" a="1"/>
  <c r="H172" i="5"/>
  <c r="G172" i="5" a="1"/>
  <c r="G172" i="5"/>
  <c r="D172" i="5" a="1"/>
  <c r="D172" i="5"/>
  <c r="N171" i="5"/>
  <c r="M171" i="5" a="1"/>
  <c r="M171" i="5"/>
  <c r="K171" i="5" a="1"/>
  <c r="K171" i="5"/>
  <c r="J171" i="5" a="1"/>
  <c r="J171" i="5"/>
  <c r="I171" i="5" a="1"/>
  <c r="I171" i="5"/>
  <c r="H171" i="5" a="1"/>
  <c r="H171" i="5"/>
  <c r="G171" i="5" a="1"/>
  <c r="G171" i="5"/>
  <c r="D171" i="5" a="1"/>
  <c r="D171" i="5"/>
  <c r="N170" i="5"/>
  <c r="M170" i="5" a="1"/>
  <c r="M170" i="5"/>
  <c r="K170" i="5" a="1"/>
  <c r="K170" i="5"/>
  <c r="J170" i="5" a="1"/>
  <c r="J170" i="5"/>
  <c r="I170" i="5" a="1"/>
  <c r="I170" i="5"/>
  <c r="H170" i="5" a="1"/>
  <c r="H170" i="5"/>
  <c r="G170" i="5" a="1"/>
  <c r="G170" i="5"/>
  <c r="D170" i="5" a="1"/>
  <c r="D170" i="5"/>
  <c r="N169" i="5"/>
  <c r="M169" i="5" a="1"/>
  <c r="M169" i="5"/>
  <c r="K169" i="5" a="1"/>
  <c r="K169" i="5"/>
  <c r="J169" i="5" a="1"/>
  <c r="J169" i="5"/>
  <c r="N168" i="5"/>
  <c r="M168" i="5" a="1"/>
  <c r="M168" i="5"/>
  <c r="K168" i="5" a="1"/>
  <c r="K168" i="5"/>
  <c r="J168" i="5" a="1"/>
  <c r="J168" i="5"/>
  <c r="N124" i="5"/>
  <c r="M124" i="5" a="1"/>
  <c r="M124" i="5"/>
  <c r="K124" i="5" a="1"/>
  <c r="K124" i="5"/>
  <c r="J124" i="5" a="1"/>
  <c r="J124" i="5"/>
  <c r="I124" i="5" a="1"/>
  <c r="I124" i="5"/>
  <c r="H124" i="5" a="1"/>
  <c r="H124" i="5"/>
  <c r="G124" i="5" a="1"/>
  <c r="G124" i="5"/>
  <c r="D124" i="5" a="1"/>
  <c r="D124" i="5"/>
  <c r="N123" i="5"/>
  <c r="M123" i="5" a="1"/>
  <c r="M123" i="5"/>
  <c r="K123" i="5" a="1"/>
  <c r="K123" i="5"/>
  <c r="J123" i="5" a="1"/>
  <c r="J123" i="5"/>
  <c r="I123" i="5" a="1"/>
  <c r="I123" i="5"/>
  <c r="H123" i="5" a="1"/>
  <c r="H123" i="5"/>
  <c r="G123" i="5" a="1"/>
  <c r="G123" i="5"/>
  <c r="D123" i="5" a="1"/>
  <c r="D123" i="5"/>
  <c r="N122" i="5"/>
  <c r="M122" i="5" a="1"/>
  <c r="M122" i="5"/>
  <c r="K122" i="5" a="1"/>
  <c r="K122" i="5"/>
  <c r="J122" i="5" a="1"/>
  <c r="J122" i="5"/>
  <c r="I122" i="5" a="1"/>
  <c r="I122" i="5"/>
  <c r="H122" i="5" a="1"/>
  <c r="H122" i="5"/>
  <c r="G122" i="5" a="1"/>
  <c r="G122" i="5"/>
  <c r="D122" i="5" a="1"/>
  <c r="D122" i="5"/>
  <c r="N121" i="5"/>
  <c r="M121" i="5" a="1"/>
  <c r="M121" i="5"/>
  <c r="K121" i="5" a="1"/>
  <c r="K121" i="5"/>
  <c r="J121" i="5" a="1"/>
  <c r="J121" i="5"/>
  <c r="I121" i="5" a="1"/>
  <c r="I121" i="5"/>
  <c r="H121" i="5" a="1"/>
  <c r="H121" i="5"/>
  <c r="G121" i="5" a="1"/>
  <c r="G121" i="5"/>
  <c r="D121" i="5" a="1"/>
  <c r="D121" i="5"/>
  <c r="N120" i="5"/>
  <c r="M120" i="5" a="1"/>
  <c r="M120" i="5"/>
  <c r="K120" i="5" a="1"/>
  <c r="K120" i="5"/>
  <c r="J120" i="5" a="1"/>
  <c r="J120" i="5"/>
  <c r="N119" i="5"/>
  <c r="M119" i="5" a="1"/>
  <c r="M119" i="5"/>
  <c r="K119" i="5" a="1"/>
  <c r="K119" i="5"/>
  <c r="N75" i="5"/>
  <c r="I75" i="5" a="1"/>
  <c r="I75" i="5"/>
  <c r="H75" i="5" a="1"/>
  <c r="H75" i="5"/>
  <c r="G75" i="5" a="1"/>
  <c r="G75" i="5"/>
  <c r="D75" i="5" a="1"/>
  <c r="D75" i="5"/>
  <c r="N74" i="5"/>
  <c r="I74" i="5" a="1"/>
  <c r="I74" i="5"/>
  <c r="H74" i="5" a="1"/>
  <c r="H74" i="5"/>
  <c r="G74" i="5" a="1"/>
  <c r="G74" i="5"/>
  <c r="D74" i="5" a="1"/>
  <c r="D74" i="5"/>
  <c r="N73" i="5"/>
  <c r="I73" i="5" a="1"/>
  <c r="I73" i="5"/>
  <c r="H73" i="5" a="1"/>
  <c r="H73" i="5"/>
  <c r="G73" i="5" a="1"/>
  <c r="G73" i="5"/>
  <c r="D73" i="5" a="1"/>
  <c r="D73" i="5"/>
  <c r="N72" i="5"/>
  <c r="I72" i="5" a="1"/>
  <c r="I72" i="5"/>
  <c r="H72" i="5" a="1"/>
  <c r="H72" i="5"/>
  <c r="G72" i="5" a="1"/>
  <c r="G72" i="5"/>
  <c r="D72" i="5" a="1"/>
  <c r="D72" i="5"/>
  <c r="N71" i="5"/>
  <c r="N70" i="5"/>
  <c r="N42" i="5"/>
  <c r="D43" i="5" a="1"/>
  <c r="D43" i="5"/>
  <c r="G43" i="5" a="1"/>
  <c r="G43" i="5"/>
  <c r="H43" i="5" a="1"/>
  <c r="H43" i="5"/>
  <c r="I43" i="5" a="1"/>
  <c r="I43" i="5"/>
  <c r="N43" i="5"/>
  <c r="D44" i="5" a="1"/>
  <c r="D44" i="5"/>
  <c r="G44" i="5" a="1"/>
  <c r="G44" i="5"/>
  <c r="H44" i="5" a="1"/>
  <c r="H44" i="5"/>
  <c r="I44" i="5" a="1"/>
  <c r="I44" i="5"/>
  <c r="N44" i="5"/>
  <c r="D45" i="5" a="1"/>
  <c r="D45" i="5"/>
  <c r="G45" i="5" a="1"/>
  <c r="G45" i="5"/>
  <c r="H45" i="5" a="1"/>
  <c r="H45" i="5"/>
  <c r="I45" i="5" a="1"/>
  <c r="I45" i="5"/>
  <c r="N45" i="5"/>
  <c r="D46" i="5" a="1"/>
  <c r="D46" i="5"/>
  <c r="G46" i="5" a="1"/>
  <c r="G46" i="5"/>
  <c r="H46" i="5" a="1"/>
  <c r="H46" i="5"/>
  <c r="I46" i="5" a="1"/>
  <c r="I46" i="5"/>
  <c r="N46" i="5"/>
  <c r="D47" i="5" a="1"/>
  <c r="D47" i="5"/>
  <c r="G47" i="5" a="1"/>
  <c r="G47" i="5"/>
  <c r="H47" i="5" a="1"/>
  <c r="H47" i="5"/>
  <c r="I47" i="5" a="1"/>
  <c r="I47" i="5"/>
  <c r="N47" i="5"/>
  <c r="N21" i="5"/>
  <c r="N22" i="5"/>
  <c r="D23" i="5" a="1"/>
  <c r="D23" i="5"/>
  <c r="G23" i="5" a="1"/>
  <c r="G23" i="5"/>
  <c r="H23" i="5" a="1"/>
  <c r="H23" i="5"/>
  <c r="I23" i="5" a="1"/>
  <c r="I23" i="5"/>
  <c r="N23" i="5"/>
  <c r="D24" i="5" a="1"/>
  <c r="D24" i="5"/>
  <c r="G24" i="5" a="1"/>
  <c r="G24" i="5"/>
  <c r="H24" i="5" a="1"/>
  <c r="H24" i="5"/>
  <c r="I24" i="5" a="1"/>
  <c r="I24" i="5"/>
  <c r="N24" i="5"/>
  <c r="D25" i="5" a="1"/>
  <c r="D25" i="5"/>
  <c r="G25" i="5" a="1"/>
  <c r="G25" i="5"/>
  <c r="H25" i="5" a="1"/>
  <c r="H25" i="5"/>
  <c r="I25" i="5" a="1"/>
  <c r="I25" i="5"/>
  <c r="N25" i="5"/>
  <c r="D26" i="5" a="1"/>
  <c r="D26" i="5"/>
  <c r="G26" i="5" a="1"/>
  <c r="G26" i="5"/>
  <c r="H26" i="5" a="1"/>
  <c r="H26" i="5"/>
  <c r="I26" i="5" a="1"/>
  <c r="I26" i="5"/>
  <c r="N26" i="5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106" i="21"/>
  <c r="B107" i="21"/>
  <c r="B108" i="21"/>
  <c r="B109" i="21"/>
  <c r="B110" i="21"/>
  <c r="B111" i="21"/>
  <c r="B112" i="21"/>
  <c r="B113" i="21"/>
  <c r="B114" i="21"/>
  <c r="B115" i="21"/>
  <c r="B116" i="21"/>
  <c r="B117" i="21"/>
  <c r="B118" i="21"/>
  <c r="B119" i="21"/>
  <c r="B120" i="21"/>
  <c r="B121" i="21"/>
  <c r="B122" i="21"/>
  <c r="B123" i="21"/>
  <c r="B124" i="21"/>
  <c r="B125" i="21"/>
  <c r="B126" i="21"/>
  <c r="B127" i="21"/>
  <c r="B128" i="21"/>
  <c r="B129" i="21"/>
  <c r="B130" i="21"/>
  <c r="B131" i="21"/>
  <c r="B132" i="21"/>
  <c r="B133" i="21"/>
  <c r="B134" i="21"/>
  <c r="B135" i="21"/>
  <c r="B136" i="21"/>
  <c r="B137" i="21"/>
  <c r="B138" i="21"/>
  <c r="B139" i="21"/>
  <c r="B140" i="21"/>
  <c r="B141" i="21"/>
  <c r="B142" i="21"/>
  <c r="B143" i="21"/>
  <c r="B144" i="21"/>
  <c r="B145" i="21"/>
  <c r="B146" i="21"/>
  <c r="B147" i="21"/>
  <c r="B148" i="21"/>
  <c r="B149" i="21"/>
  <c r="B150" i="21"/>
  <c r="B151" i="21"/>
  <c r="B152" i="21"/>
  <c r="B153" i="21"/>
  <c r="B154" i="21"/>
  <c r="B155" i="21"/>
  <c r="B156" i="21"/>
  <c r="B157" i="21"/>
  <c r="B158" i="21"/>
  <c r="B159" i="21"/>
  <c r="B160" i="21"/>
  <c r="B161" i="21"/>
  <c r="B162" i="21"/>
  <c r="B91" i="21"/>
  <c r="A17" i="21"/>
  <c r="B17" i="21"/>
  <c r="K17" i="21"/>
  <c r="L17" i="21"/>
  <c r="A18" i="21"/>
  <c r="B18" i="21"/>
  <c r="K18" i="21"/>
  <c r="L18" i="21"/>
  <c r="A19" i="21"/>
  <c r="B19" i="21"/>
  <c r="K19" i="21"/>
  <c r="L19" i="21"/>
  <c r="A20" i="21"/>
  <c r="B20" i="21"/>
  <c r="K20" i="21"/>
  <c r="L20" i="21"/>
  <c r="A21" i="21"/>
  <c r="B21" i="21"/>
  <c r="K21" i="21"/>
  <c r="L21" i="21"/>
  <c r="A22" i="21"/>
  <c r="B22" i="21"/>
  <c r="K22" i="21"/>
  <c r="L22" i="21"/>
  <c r="A23" i="21"/>
  <c r="B23" i="21"/>
  <c r="K23" i="21"/>
  <c r="L23" i="21"/>
  <c r="A24" i="21"/>
  <c r="B24" i="21"/>
  <c r="K24" i="21"/>
  <c r="A25" i="21"/>
  <c r="B25" i="21"/>
  <c r="K25" i="21"/>
  <c r="L25" i="21"/>
  <c r="A26" i="21"/>
  <c r="B26" i="21"/>
  <c r="K26" i="21"/>
  <c r="L26" i="21"/>
  <c r="A27" i="21"/>
  <c r="B27" i="21"/>
  <c r="K27" i="21"/>
  <c r="L27" i="21"/>
  <c r="A28" i="21"/>
  <c r="B28" i="21"/>
  <c r="K28" i="21"/>
  <c r="L28" i="21"/>
  <c r="A29" i="21"/>
  <c r="B29" i="21"/>
  <c r="K29" i="21"/>
  <c r="L29" i="21"/>
  <c r="A30" i="21"/>
  <c r="B30" i="21"/>
  <c r="K30" i="21"/>
  <c r="L30" i="21"/>
  <c r="A31" i="21"/>
  <c r="B31" i="21"/>
  <c r="K31" i="21"/>
  <c r="L31" i="21"/>
  <c r="A32" i="21"/>
  <c r="B32" i="21"/>
  <c r="K32" i="21"/>
  <c r="L32" i="21"/>
  <c r="A33" i="21"/>
  <c r="B33" i="21"/>
  <c r="K33" i="21"/>
  <c r="L33" i="21"/>
  <c r="A34" i="21"/>
  <c r="B34" i="21"/>
  <c r="K34" i="21"/>
  <c r="A35" i="21"/>
  <c r="B35" i="21"/>
  <c r="K35" i="21"/>
  <c r="L35" i="21"/>
  <c r="A36" i="21"/>
  <c r="B36" i="21"/>
  <c r="K36" i="21"/>
  <c r="L36" i="21"/>
  <c r="A37" i="21"/>
  <c r="B37" i="21"/>
  <c r="K37" i="21"/>
  <c r="L37" i="21"/>
  <c r="A38" i="21"/>
  <c r="B38" i="21"/>
  <c r="K38" i="21"/>
  <c r="L38" i="21"/>
  <c r="A39" i="21"/>
  <c r="B39" i="21"/>
  <c r="K39" i="21"/>
  <c r="L39" i="21"/>
  <c r="A40" i="21"/>
  <c r="B40" i="21"/>
  <c r="K40" i="21"/>
  <c r="L40" i="21"/>
  <c r="A41" i="21"/>
  <c r="B41" i="21"/>
  <c r="K41" i="21"/>
  <c r="L41" i="21"/>
  <c r="A42" i="21"/>
  <c r="B42" i="21"/>
  <c r="K42" i="21"/>
  <c r="L42" i="21"/>
  <c r="A43" i="21"/>
  <c r="B43" i="21"/>
  <c r="K43" i="21"/>
  <c r="L43" i="21"/>
  <c r="A44" i="21"/>
  <c r="B44" i="21"/>
  <c r="K44" i="21"/>
  <c r="L44" i="21"/>
  <c r="A45" i="21"/>
  <c r="B45" i="21"/>
  <c r="K45" i="21"/>
  <c r="L45" i="21"/>
  <c r="A46" i="21"/>
  <c r="B46" i="21"/>
  <c r="K46" i="21"/>
  <c r="L46" i="21"/>
  <c r="A47" i="21"/>
  <c r="B47" i="21"/>
  <c r="K47" i="21"/>
  <c r="L47" i="21"/>
  <c r="A48" i="21"/>
  <c r="B48" i="21"/>
  <c r="K48" i="21"/>
  <c r="L48" i="21"/>
  <c r="A49" i="21"/>
  <c r="B49" i="21"/>
  <c r="K49" i="21"/>
  <c r="L49" i="21"/>
  <c r="A50" i="21"/>
  <c r="B50" i="21"/>
  <c r="K50" i="21"/>
  <c r="L50" i="21"/>
  <c r="A51" i="21"/>
  <c r="B51" i="21"/>
  <c r="K51" i="21"/>
  <c r="L51" i="21"/>
  <c r="A52" i="21"/>
  <c r="B52" i="21"/>
  <c r="K52" i="21"/>
  <c r="L52" i="21"/>
  <c r="A53" i="21"/>
  <c r="B53" i="21"/>
  <c r="K53" i="21"/>
  <c r="L53" i="21"/>
  <c r="A54" i="21"/>
  <c r="B54" i="21"/>
  <c r="K54" i="21"/>
  <c r="L54" i="21"/>
  <c r="A55" i="21"/>
  <c r="B55" i="21"/>
  <c r="K55" i="21"/>
  <c r="L55" i="21"/>
  <c r="A56" i="21"/>
  <c r="B56" i="21"/>
  <c r="K56" i="21"/>
  <c r="L56" i="21"/>
  <c r="A57" i="21"/>
  <c r="B57" i="21"/>
  <c r="K57" i="21"/>
  <c r="L57" i="21"/>
  <c r="A58" i="21"/>
  <c r="B58" i="21"/>
  <c r="K58" i="21"/>
  <c r="L58" i="21"/>
  <c r="A59" i="21"/>
  <c r="B59" i="21"/>
  <c r="K59" i="21"/>
  <c r="L59" i="21"/>
  <c r="A60" i="21"/>
  <c r="B60" i="21"/>
  <c r="K60" i="21"/>
  <c r="L60" i="21"/>
  <c r="A61" i="21"/>
  <c r="B61" i="21"/>
  <c r="K61" i="21"/>
  <c r="L61" i="21"/>
  <c r="A62" i="21"/>
  <c r="B62" i="21"/>
  <c r="K62" i="21"/>
  <c r="L62" i="21"/>
  <c r="A63" i="21"/>
  <c r="B63" i="21"/>
  <c r="K63" i="21"/>
  <c r="L63" i="21"/>
  <c r="A64" i="21"/>
  <c r="B64" i="21"/>
  <c r="K64" i="21"/>
  <c r="L64" i="21"/>
  <c r="A65" i="21"/>
  <c r="B65" i="21"/>
  <c r="K65" i="21"/>
  <c r="L65" i="21"/>
  <c r="A66" i="21"/>
  <c r="B66" i="21"/>
  <c r="K66" i="21"/>
  <c r="L66" i="21"/>
  <c r="A67" i="21"/>
  <c r="B67" i="21"/>
  <c r="K67" i="21"/>
  <c r="L67" i="21"/>
  <c r="A68" i="21"/>
  <c r="B68" i="21"/>
  <c r="K68" i="21"/>
  <c r="L68" i="21"/>
  <c r="A69" i="21"/>
  <c r="B69" i="21"/>
  <c r="K69" i="21"/>
  <c r="L69" i="21"/>
  <c r="A70" i="21"/>
  <c r="B70" i="21"/>
  <c r="H70" i="21" a="1"/>
  <c r="H70" i="21"/>
  <c r="K70" i="21"/>
  <c r="L70" i="21"/>
  <c r="A71" i="21"/>
  <c r="B71" i="21"/>
  <c r="H71" i="21" a="1"/>
  <c r="H71" i="21"/>
  <c r="K71" i="21"/>
  <c r="L71" i="21"/>
  <c r="A72" i="21"/>
  <c r="B72" i="21"/>
  <c r="H72" i="21" a="1"/>
  <c r="H72" i="21"/>
  <c r="K72" i="21"/>
  <c r="L72" i="21"/>
  <c r="A73" i="21"/>
  <c r="B73" i="21"/>
  <c r="H73" i="21" a="1"/>
  <c r="H73" i="21"/>
  <c r="K73" i="21"/>
  <c r="L73" i="21"/>
  <c r="A74" i="21"/>
  <c r="B74" i="21"/>
  <c r="H74" i="21" a="1"/>
  <c r="H74" i="21"/>
  <c r="K74" i="21"/>
  <c r="L74" i="21"/>
  <c r="A75" i="21"/>
  <c r="B75" i="21"/>
  <c r="H75" i="21" a="1"/>
  <c r="H75" i="21"/>
  <c r="K75" i="21"/>
  <c r="L75" i="21"/>
  <c r="A76" i="21"/>
  <c r="B76" i="21"/>
  <c r="H76" i="21" a="1"/>
  <c r="H76" i="21"/>
  <c r="K76" i="21"/>
  <c r="L76" i="21"/>
  <c r="A77" i="21"/>
  <c r="B77" i="21"/>
  <c r="H77" i="21" a="1"/>
  <c r="H77" i="21"/>
  <c r="K77" i="21"/>
  <c r="L77" i="21"/>
  <c r="A78" i="21"/>
  <c r="B78" i="21"/>
  <c r="H78" i="21" a="1"/>
  <c r="H78" i="21"/>
  <c r="K78" i="21"/>
  <c r="L78" i="21"/>
  <c r="A79" i="21"/>
  <c r="B79" i="21"/>
  <c r="H79" i="21" a="1"/>
  <c r="H79" i="21"/>
  <c r="K79" i="21"/>
  <c r="L79" i="21"/>
  <c r="A80" i="21"/>
  <c r="B80" i="21"/>
  <c r="H80" i="21" a="1"/>
  <c r="H80" i="21"/>
  <c r="K80" i="21"/>
  <c r="L80" i="21"/>
  <c r="A81" i="21"/>
  <c r="B81" i="21"/>
  <c r="H81" i="21" a="1"/>
  <c r="H81" i="21"/>
  <c r="K81" i="21"/>
  <c r="L81" i="21"/>
  <c r="A82" i="21"/>
  <c r="B82" i="21"/>
  <c r="H82" i="21" a="1"/>
  <c r="H82" i="21"/>
  <c r="K82" i="21"/>
  <c r="L82" i="21"/>
  <c r="A83" i="21"/>
  <c r="B83" i="21"/>
  <c r="H83" i="21" a="1"/>
  <c r="H83" i="21"/>
  <c r="K83" i="21"/>
  <c r="L83" i="21"/>
  <c r="A84" i="21"/>
  <c r="B84" i="21"/>
  <c r="H84" i="21" a="1"/>
  <c r="H84" i="21"/>
  <c r="K84" i="21"/>
  <c r="L84" i="21"/>
  <c r="A85" i="21"/>
  <c r="B85" i="21"/>
  <c r="H85" i="21" a="1"/>
  <c r="H85" i="21"/>
  <c r="K85" i="21"/>
  <c r="L85" i="21"/>
  <c r="A86" i="21"/>
  <c r="B86" i="21"/>
  <c r="H86" i="21" a="1"/>
  <c r="H86" i="21"/>
  <c r="K86" i="21"/>
  <c r="L86" i="21"/>
  <c r="A87" i="21"/>
  <c r="B87" i="21"/>
  <c r="H87" i="21" a="1"/>
  <c r="H87" i="21"/>
  <c r="K87" i="21"/>
  <c r="L87" i="21"/>
  <c r="A16" i="21"/>
  <c r="K16" i="21"/>
  <c r="A12" i="21"/>
  <c r="A11" i="21"/>
  <c r="A10" i="21"/>
  <c r="A9" i="21"/>
  <c r="A8" i="21"/>
  <c r="A7" i="21"/>
  <c r="A6" i="21"/>
  <c r="A5" i="21"/>
  <c r="R75" i="9"/>
  <c r="Q75" i="9"/>
  <c r="R74" i="9"/>
  <c r="Q74" i="9"/>
  <c r="R73" i="9"/>
  <c r="Q73" i="9"/>
  <c r="R72" i="9"/>
  <c r="Q72" i="9"/>
  <c r="R71" i="9"/>
  <c r="Q71" i="9"/>
  <c r="R70" i="9"/>
  <c r="Q70" i="9"/>
  <c r="R69" i="9"/>
  <c r="Q69" i="9"/>
  <c r="R68" i="9"/>
  <c r="Q68" i="9"/>
  <c r="R67" i="9"/>
  <c r="Q67" i="9"/>
  <c r="R66" i="9"/>
  <c r="Q66" i="9"/>
  <c r="R65" i="9"/>
  <c r="Q65" i="9"/>
  <c r="R64" i="9"/>
  <c r="Q64" i="9"/>
  <c r="R63" i="9"/>
  <c r="Q63" i="9"/>
  <c r="R62" i="9"/>
  <c r="Q62" i="9"/>
  <c r="R61" i="9"/>
  <c r="Q61" i="9"/>
  <c r="R60" i="9"/>
  <c r="Q60" i="9"/>
  <c r="R59" i="9"/>
  <c r="Q59" i="9"/>
  <c r="R58" i="9"/>
  <c r="Q58" i="9"/>
  <c r="R57" i="9"/>
  <c r="Q57" i="9"/>
  <c r="R56" i="9"/>
  <c r="Q56" i="9"/>
  <c r="R55" i="9"/>
  <c r="Q55" i="9"/>
  <c r="R54" i="9"/>
  <c r="Q54" i="9"/>
  <c r="R53" i="9"/>
  <c r="Q53" i="9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Q12" i="9"/>
  <c r="R11" i="9"/>
  <c r="Q11" i="9"/>
  <c r="R10" i="9"/>
  <c r="Q10" i="9"/>
  <c r="R9" i="9"/>
  <c r="Q9" i="9"/>
  <c r="R8" i="9"/>
  <c r="Q8" i="9"/>
  <c r="R7" i="9"/>
  <c r="Q7" i="9"/>
  <c r="R6" i="9"/>
  <c r="Q6" i="9"/>
  <c r="R5" i="9"/>
  <c r="Q5" i="9"/>
  <c r="Q4" i="9"/>
  <c r="O20" i="4"/>
  <c r="P20" i="4"/>
  <c r="Q20" i="4"/>
  <c r="R20" i="4"/>
  <c r="S20" i="4"/>
  <c r="T20" i="4"/>
  <c r="U20" i="4"/>
  <c r="V20" i="4"/>
  <c r="W20" i="4"/>
  <c r="O19" i="4"/>
  <c r="P19" i="4"/>
  <c r="Q19" i="4"/>
  <c r="R19" i="4"/>
  <c r="S19" i="4"/>
  <c r="T19" i="4"/>
  <c r="U19" i="4"/>
  <c r="V19" i="4"/>
  <c r="W19" i="4"/>
  <c r="O18" i="4"/>
  <c r="P18" i="4"/>
  <c r="Q18" i="4"/>
  <c r="R18" i="4"/>
  <c r="S18" i="4"/>
  <c r="T18" i="4"/>
  <c r="U18" i="4"/>
  <c r="V18" i="4"/>
  <c r="W18" i="4"/>
  <c r="O17" i="4"/>
  <c r="P17" i="4"/>
  <c r="Q17" i="4"/>
  <c r="R17" i="4"/>
  <c r="S17" i="4"/>
  <c r="T17" i="4"/>
  <c r="U17" i="4"/>
  <c r="V17" i="4"/>
  <c r="W17" i="4"/>
  <c r="O16" i="4"/>
  <c r="P16" i="4"/>
  <c r="Q16" i="4"/>
  <c r="R16" i="4"/>
  <c r="S16" i="4"/>
  <c r="T16" i="4"/>
  <c r="U16" i="4"/>
  <c r="V16" i="4"/>
  <c r="W16" i="4"/>
  <c r="O15" i="4"/>
  <c r="P15" i="4"/>
  <c r="Q15" i="4"/>
  <c r="R15" i="4"/>
  <c r="S15" i="4"/>
  <c r="T15" i="4"/>
  <c r="U15" i="4"/>
  <c r="V15" i="4"/>
  <c r="W15" i="4"/>
  <c r="O14" i="4"/>
  <c r="P14" i="4"/>
  <c r="Q14" i="4"/>
  <c r="R14" i="4"/>
  <c r="S14" i="4"/>
  <c r="T14" i="4"/>
  <c r="U14" i="4"/>
  <c r="V14" i="4"/>
  <c r="W14" i="4"/>
  <c r="O13" i="4"/>
  <c r="P13" i="4"/>
  <c r="Q13" i="4"/>
  <c r="R13" i="4"/>
  <c r="S13" i="4"/>
  <c r="T13" i="4"/>
  <c r="U13" i="4"/>
  <c r="V13" i="4"/>
  <c r="W13" i="4"/>
  <c r="O12" i="4"/>
  <c r="P12" i="4"/>
  <c r="Q12" i="4"/>
  <c r="R12" i="4"/>
  <c r="S12" i="4"/>
  <c r="T12" i="4"/>
  <c r="U12" i="4"/>
  <c r="V12" i="4"/>
  <c r="W12" i="4"/>
  <c r="O11" i="4"/>
  <c r="P11" i="4"/>
  <c r="Q11" i="4"/>
  <c r="R11" i="4"/>
  <c r="S11" i="4"/>
  <c r="T11" i="4"/>
  <c r="U11" i="4"/>
  <c r="V11" i="4"/>
  <c r="W11" i="4"/>
  <c r="O10" i="4"/>
  <c r="P10" i="4"/>
  <c r="Q10" i="4"/>
  <c r="R10" i="4"/>
  <c r="S10" i="4"/>
  <c r="T10" i="4"/>
  <c r="U10" i="4"/>
  <c r="V10" i="4"/>
  <c r="W10" i="4"/>
  <c r="O9" i="4"/>
  <c r="P9" i="4"/>
  <c r="Q9" i="4"/>
  <c r="R9" i="4"/>
  <c r="S9" i="4"/>
  <c r="T9" i="4"/>
  <c r="U9" i="4"/>
  <c r="V9" i="4"/>
  <c r="W9" i="4"/>
  <c r="A50" i="5"/>
  <c r="A99" i="5"/>
  <c r="A1" i="5"/>
  <c r="B688" i="5"/>
  <c r="B639" i="5"/>
  <c r="B590" i="5"/>
  <c r="B541" i="5"/>
  <c r="B492" i="5"/>
  <c r="B443" i="5"/>
  <c r="B394" i="5"/>
  <c r="B345" i="5"/>
  <c r="B296" i="5"/>
  <c r="B247" i="5"/>
  <c r="B198" i="5"/>
  <c r="B149" i="5"/>
  <c r="B100" i="5"/>
  <c r="M70" i="5"/>
  <c r="B51" i="5"/>
  <c r="M5" i="5"/>
  <c r="M4" i="5"/>
  <c r="K5" i="5"/>
  <c r="K4" i="5"/>
  <c r="AM183" i="7"/>
  <c r="AM182" i="7"/>
  <c r="AM181" i="7"/>
  <c r="AM180" i="7"/>
  <c r="AM179" i="7"/>
  <c r="AM178" i="7"/>
  <c r="AM177" i="7"/>
  <c r="AM176" i="7"/>
  <c r="AM175" i="7"/>
  <c r="AM174" i="7"/>
  <c r="AM173" i="7"/>
  <c r="AM172" i="7"/>
  <c r="AM171" i="7"/>
  <c r="AM170" i="7"/>
  <c r="AM169" i="7"/>
  <c r="AM168" i="7"/>
  <c r="AM167" i="7"/>
  <c r="AM166" i="7"/>
  <c r="AM165" i="7"/>
  <c r="AM164" i="7"/>
  <c r="AM163" i="7"/>
  <c r="AM162" i="7"/>
  <c r="AM161" i="7"/>
  <c r="AM160" i="7"/>
  <c r="AM159" i="7"/>
  <c r="AM158" i="7"/>
  <c r="AM157" i="7"/>
  <c r="AM156" i="7"/>
  <c r="AM155" i="7"/>
  <c r="AM154" i="7"/>
  <c r="AM153" i="7"/>
  <c r="AM152" i="7"/>
  <c r="AM151" i="7"/>
  <c r="AM150" i="7"/>
  <c r="AM149" i="7"/>
  <c r="AM148" i="7"/>
  <c r="AM147" i="7"/>
  <c r="AM146" i="7"/>
  <c r="AM145" i="7"/>
  <c r="AM144" i="7"/>
  <c r="AM143" i="7"/>
  <c r="AM142" i="7"/>
  <c r="AM141" i="7"/>
  <c r="AM140" i="7"/>
  <c r="AM139" i="7"/>
  <c r="AM138" i="7"/>
  <c r="AM137" i="7"/>
  <c r="AM136" i="7"/>
  <c r="AM135" i="7"/>
  <c r="AM134" i="7"/>
  <c r="AM133" i="7"/>
  <c r="AM132" i="7"/>
  <c r="AM131" i="7"/>
  <c r="AM130" i="7"/>
  <c r="AM129" i="7"/>
  <c r="AM128" i="7"/>
  <c r="AM127" i="7"/>
  <c r="AM126" i="7"/>
  <c r="AM125" i="7"/>
  <c r="AM124" i="7"/>
  <c r="AM123" i="7"/>
  <c r="AM122" i="7"/>
  <c r="AM121" i="7"/>
  <c r="AM120" i="7"/>
  <c r="AM119" i="7"/>
  <c r="AM118" i="7"/>
  <c r="AM117" i="7"/>
  <c r="AM116" i="7"/>
  <c r="AM115" i="7"/>
  <c r="AM114" i="7"/>
  <c r="AM113" i="7"/>
  <c r="AM112" i="7"/>
  <c r="AM111" i="7"/>
  <c r="AM110" i="7"/>
  <c r="AM109" i="7"/>
  <c r="AM108" i="7"/>
  <c r="AM107" i="7"/>
  <c r="AM106" i="7"/>
  <c r="AM105" i="7"/>
  <c r="AM104" i="7"/>
  <c r="AM103" i="7"/>
  <c r="AM102" i="7"/>
  <c r="AM101" i="7"/>
  <c r="AM100" i="7"/>
  <c r="AM99" i="7"/>
  <c r="AM98" i="7"/>
  <c r="AM97" i="7"/>
  <c r="AM96" i="7"/>
  <c r="AM95" i="7"/>
  <c r="AM94" i="7"/>
  <c r="AM93" i="7"/>
  <c r="AM92" i="7"/>
  <c r="AM91" i="7"/>
  <c r="AM90" i="7"/>
  <c r="AM89" i="7"/>
  <c r="AM88" i="7"/>
  <c r="AM87" i="7"/>
  <c r="AM86" i="7"/>
  <c r="AM85" i="7"/>
  <c r="AM84" i="7"/>
  <c r="AM83" i="7"/>
  <c r="AM82" i="7"/>
  <c r="AM81" i="7"/>
  <c r="AM80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62" i="7"/>
  <c r="AM61" i="7"/>
  <c r="AM60" i="7"/>
  <c r="AM59" i="7"/>
  <c r="AM58" i="7"/>
  <c r="AM57" i="7"/>
  <c r="AM56" i="7"/>
  <c r="AM55" i="7"/>
  <c r="AM54" i="7"/>
  <c r="AM53" i="7"/>
  <c r="AM52" i="7"/>
  <c r="AM51" i="7"/>
  <c r="AM50" i="7"/>
  <c r="AM49" i="7"/>
  <c r="AM48" i="7"/>
  <c r="AM47" i="7"/>
  <c r="AM46" i="7"/>
  <c r="AM45" i="7"/>
  <c r="AM44" i="7"/>
  <c r="AM43" i="7"/>
  <c r="AM42" i="7"/>
  <c r="AM41" i="7"/>
  <c r="AM40" i="7"/>
  <c r="AM39" i="7"/>
  <c r="AM38" i="7"/>
  <c r="AM37" i="7"/>
  <c r="AM36" i="7"/>
  <c r="AM35" i="7"/>
  <c r="AM34" i="7"/>
  <c r="AM33" i="7"/>
  <c r="AM32" i="7"/>
  <c r="AM31" i="7"/>
  <c r="AM30" i="7"/>
  <c r="AM29" i="7"/>
  <c r="AM28" i="7"/>
  <c r="AM27" i="7"/>
  <c r="AM26" i="7"/>
  <c r="AM25" i="7"/>
  <c r="AM24" i="7"/>
  <c r="AM23" i="7"/>
  <c r="AM22" i="7"/>
  <c r="AM21" i="7"/>
  <c r="AM20" i="7"/>
  <c r="AM19" i="7"/>
  <c r="AM18" i="7"/>
  <c r="AM17" i="7"/>
  <c r="AM16" i="7"/>
  <c r="AM15" i="7"/>
  <c r="AM14" i="7"/>
  <c r="AM13" i="7"/>
  <c r="AM12" i="7"/>
  <c r="AM11" i="7"/>
  <c r="AM10" i="7"/>
  <c r="AM9" i="7"/>
  <c r="AM8" i="7"/>
  <c r="AM7" i="7"/>
  <c r="AM6" i="7"/>
  <c r="AM5" i="7"/>
  <c r="AM4" i="7"/>
  <c r="B2" i="5"/>
  <c r="A197" i="17"/>
  <c r="A183" i="17"/>
  <c r="A169" i="17"/>
  <c r="A155" i="17"/>
  <c r="A141" i="17"/>
  <c r="A127" i="17"/>
  <c r="A113" i="17"/>
  <c r="A99" i="17"/>
  <c r="A85" i="17"/>
  <c r="A71" i="17"/>
  <c r="A57" i="17"/>
  <c r="A43" i="17"/>
  <c r="A29" i="17"/>
  <c r="A15" i="17"/>
  <c r="A1" i="17"/>
  <c r="D5" i="7"/>
  <c r="D10" i="1"/>
  <c r="D9" i="1"/>
  <c r="D8" i="1"/>
  <c r="D7" i="1"/>
  <c r="D6" i="1"/>
  <c r="D5" i="1"/>
  <c r="D4" i="1"/>
  <c r="D3" i="1"/>
  <c r="H9" i="16"/>
  <c r="H8" i="16"/>
  <c r="H7" i="16"/>
  <c r="H6" i="16"/>
  <c r="H5" i="16"/>
  <c r="H4" i="16"/>
  <c r="H3" i="16"/>
  <c r="H2" i="16"/>
  <c r="F3" i="2"/>
  <c r="A77" i="2"/>
  <c r="D75" i="7"/>
  <c r="B152" i="9"/>
  <c r="G3" i="4"/>
  <c r="A76" i="2"/>
  <c r="D74" i="7"/>
  <c r="B151" i="9"/>
  <c r="A75" i="2"/>
  <c r="D73" i="7"/>
  <c r="B150" i="9"/>
  <c r="A74" i="2"/>
  <c r="D72" i="7"/>
  <c r="B149" i="9"/>
  <c r="A73" i="2"/>
  <c r="D71" i="7"/>
  <c r="B148" i="9"/>
  <c r="A72" i="2"/>
  <c r="D70" i="7"/>
  <c r="B147" i="9"/>
  <c r="A71" i="2"/>
  <c r="D69" i="7"/>
  <c r="B146" i="9"/>
  <c r="A70" i="2"/>
  <c r="D68" i="7"/>
  <c r="B145" i="9"/>
  <c r="A69" i="2"/>
  <c r="D67" i="7"/>
  <c r="B144" i="9"/>
  <c r="A68" i="2"/>
  <c r="D66" i="7"/>
  <c r="B143" i="9"/>
  <c r="A67" i="2"/>
  <c r="D65" i="7"/>
  <c r="B142" i="9"/>
  <c r="A66" i="2"/>
  <c r="D64" i="7"/>
  <c r="B141" i="9"/>
  <c r="A65" i="2"/>
  <c r="D63" i="7"/>
  <c r="B140" i="9"/>
  <c r="A64" i="2"/>
  <c r="D62" i="7"/>
  <c r="B139" i="9"/>
  <c r="A63" i="2"/>
  <c r="D61" i="7"/>
  <c r="B138" i="9"/>
  <c r="A62" i="2"/>
  <c r="D60" i="7"/>
  <c r="B137" i="9"/>
  <c r="A61" i="2"/>
  <c r="D59" i="7"/>
  <c r="B136" i="9"/>
  <c r="A60" i="2"/>
  <c r="D58" i="7"/>
  <c r="B135" i="9"/>
  <c r="A59" i="2"/>
  <c r="D3" i="2"/>
  <c r="B59" i="2"/>
  <c r="C59" i="2"/>
  <c r="D57" i="7"/>
  <c r="B134" i="9"/>
  <c r="A58" i="2"/>
  <c r="B58" i="2"/>
  <c r="C58" i="2"/>
  <c r="D56" i="7"/>
  <c r="B133" i="9"/>
  <c r="A57" i="2"/>
  <c r="B57" i="2"/>
  <c r="C57" i="2"/>
  <c r="D58" i="2"/>
  <c r="D57" i="2"/>
  <c r="C55" i="7"/>
  <c r="A132" i="9"/>
  <c r="D55" i="7"/>
  <c r="B132" i="9"/>
  <c r="A56" i="2"/>
  <c r="B56" i="2"/>
  <c r="C56" i="2"/>
  <c r="D59" i="2"/>
  <c r="D56" i="2"/>
  <c r="C54" i="7"/>
  <c r="A131" i="9"/>
  <c r="D54" i="7"/>
  <c r="B131" i="9"/>
  <c r="A55" i="2"/>
  <c r="B55" i="2"/>
  <c r="C55" i="2"/>
  <c r="D53" i="7"/>
  <c r="B130" i="9"/>
  <c r="A54" i="2"/>
  <c r="B54" i="2"/>
  <c r="C54" i="2"/>
  <c r="D52" i="7"/>
  <c r="B129" i="9"/>
  <c r="A53" i="2"/>
  <c r="B53" i="2"/>
  <c r="C53" i="2"/>
  <c r="D53" i="2"/>
  <c r="C51" i="7"/>
  <c r="A128" i="9"/>
  <c r="D51" i="7"/>
  <c r="B128" i="9"/>
  <c r="A52" i="2"/>
  <c r="B52" i="2"/>
  <c r="C52" i="2"/>
  <c r="D52" i="2"/>
  <c r="C50" i="7"/>
  <c r="A127" i="9"/>
  <c r="D50" i="7"/>
  <c r="B127" i="9"/>
  <c r="A51" i="2"/>
  <c r="B51" i="2"/>
  <c r="C51" i="2"/>
  <c r="D51" i="2"/>
  <c r="C49" i="7"/>
  <c r="A126" i="9"/>
  <c r="D49" i="7"/>
  <c r="B126" i="9"/>
  <c r="A50" i="2"/>
  <c r="B50" i="2"/>
  <c r="C50" i="2"/>
  <c r="D50" i="2"/>
  <c r="C48" i="7"/>
  <c r="A125" i="9"/>
  <c r="D48" i="7"/>
  <c r="B125" i="9"/>
  <c r="A49" i="2"/>
  <c r="B49" i="2"/>
  <c r="C49" i="2"/>
  <c r="D49" i="2"/>
  <c r="C47" i="7"/>
  <c r="A124" i="9"/>
  <c r="D47" i="7"/>
  <c r="B124" i="9"/>
  <c r="A48" i="2"/>
  <c r="B48" i="2"/>
  <c r="C48" i="2"/>
  <c r="D48" i="2"/>
  <c r="C46" i="7"/>
  <c r="A123" i="9"/>
  <c r="D46" i="7"/>
  <c r="B123" i="9"/>
  <c r="A47" i="2"/>
  <c r="B47" i="2"/>
  <c r="C47" i="2"/>
  <c r="D45" i="7"/>
  <c r="B122" i="9"/>
  <c r="A46" i="2"/>
  <c r="B46" i="2"/>
  <c r="C46" i="2"/>
  <c r="D44" i="7"/>
  <c r="B121" i="9"/>
  <c r="A45" i="2"/>
  <c r="B45" i="2"/>
  <c r="C45" i="2"/>
  <c r="D43" i="7"/>
  <c r="B120" i="9"/>
  <c r="A44" i="2"/>
  <c r="B44" i="2"/>
  <c r="C44" i="2"/>
  <c r="D42" i="7"/>
  <c r="B119" i="9"/>
  <c r="A43" i="2"/>
  <c r="B43" i="2"/>
  <c r="C43" i="2"/>
  <c r="D43" i="2"/>
  <c r="C41" i="7"/>
  <c r="A118" i="9"/>
  <c r="D41" i="7"/>
  <c r="B118" i="9"/>
  <c r="A42" i="2"/>
  <c r="B42" i="2"/>
  <c r="C42" i="2"/>
  <c r="D42" i="2"/>
  <c r="C40" i="7"/>
  <c r="A117" i="9"/>
  <c r="D40" i="7"/>
  <c r="B117" i="9"/>
  <c r="A41" i="2"/>
  <c r="B41" i="2"/>
  <c r="C41" i="2"/>
  <c r="D39" i="7"/>
  <c r="B116" i="9"/>
  <c r="A40" i="2"/>
  <c r="B40" i="2"/>
  <c r="C40" i="2"/>
  <c r="D38" i="7"/>
  <c r="B115" i="9"/>
  <c r="A39" i="2"/>
  <c r="B39" i="2"/>
  <c r="C39" i="2"/>
  <c r="D39" i="2"/>
  <c r="C37" i="7"/>
  <c r="A114" i="9"/>
  <c r="D37" i="7"/>
  <c r="B114" i="9"/>
  <c r="A38" i="2"/>
  <c r="B38" i="2"/>
  <c r="C38" i="2"/>
  <c r="D38" i="2"/>
  <c r="C36" i="7"/>
  <c r="A113" i="9"/>
  <c r="D36" i="7"/>
  <c r="B113" i="9"/>
  <c r="A37" i="2"/>
  <c r="B37" i="2"/>
  <c r="C37" i="2"/>
  <c r="D37" i="2"/>
  <c r="C35" i="7"/>
  <c r="A112" i="9"/>
  <c r="D35" i="7"/>
  <c r="B112" i="9"/>
  <c r="A36" i="2"/>
  <c r="B36" i="2"/>
  <c r="C36" i="2"/>
  <c r="D36" i="2"/>
  <c r="C34" i="7"/>
  <c r="A111" i="9"/>
  <c r="D34" i="7"/>
  <c r="B111" i="9"/>
  <c r="A35" i="2"/>
  <c r="B35" i="2"/>
  <c r="C35" i="2"/>
  <c r="D35" i="2"/>
  <c r="C33" i="7"/>
  <c r="A110" i="9"/>
  <c r="D33" i="7"/>
  <c r="B110" i="9"/>
  <c r="A34" i="2"/>
  <c r="B34" i="2"/>
  <c r="C34" i="2"/>
  <c r="D34" i="2"/>
  <c r="C32" i="7"/>
  <c r="A109" i="9"/>
  <c r="D32" i="7"/>
  <c r="B109" i="9"/>
  <c r="A33" i="2"/>
  <c r="B33" i="2"/>
  <c r="C33" i="2"/>
  <c r="D33" i="2"/>
  <c r="C31" i="7"/>
  <c r="A108" i="9"/>
  <c r="D31" i="7"/>
  <c r="B108" i="9"/>
  <c r="A32" i="2"/>
  <c r="B32" i="2"/>
  <c r="C32" i="2"/>
  <c r="D32" i="2"/>
  <c r="C30" i="7"/>
  <c r="A107" i="9"/>
  <c r="D30" i="7"/>
  <c r="B107" i="9"/>
  <c r="A31" i="2"/>
  <c r="B31" i="2"/>
  <c r="C31" i="2"/>
  <c r="D29" i="7"/>
  <c r="B106" i="9"/>
  <c r="A30" i="2"/>
  <c r="B30" i="2"/>
  <c r="C30" i="2"/>
  <c r="D28" i="7"/>
  <c r="B105" i="9"/>
  <c r="A29" i="2"/>
  <c r="B29" i="2"/>
  <c r="C29" i="2"/>
  <c r="D27" i="7"/>
  <c r="B104" i="9"/>
  <c r="A28" i="2"/>
  <c r="B28" i="2"/>
  <c r="C28" i="2"/>
  <c r="D26" i="7"/>
  <c r="B103" i="9"/>
  <c r="A27" i="2"/>
  <c r="B27" i="2"/>
  <c r="C27" i="2"/>
  <c r="D25" i="7"/>
  <c r="B102" i="9"/>
  <c r="A26" i="2"/>
  <c r="B26" i="2"/>
  <c r="C26" i="2"/>
  <c r="D24" i="7"/>
  <c r="B101" i="9"/>
  <c r="A25" i="2"/>
  <c r="B25" i="2"/>
  <c r="C25" i="2"/>
  <c r="D25" i="2"/>
  <c r="C23" i="7"/>
  <c r="A100" i="9"/>
  <c r="D23" i="7"/>
  <c r="B100" i="9"/>
  <c r="A24" i="2"/>
  <c r="B24" i="2"/>
  <c r="C24" i="2"/>
  <c r="D24" i="2"/>
  <c r="C22" i="7"/>
  <c r="A99" i="9"/>
  <c r="D22" i="7"/>
  <c r="B99" i="9"/>
  <c r="A23" i="2"/>
  <c r="B23" i="2"/>
  <c r="C23" i="2"/>
  <c r="D23" i="2"/>
  <c r="C21" i="7"/>
  <c r="A98" i="9"/>
  <c r="D21" i="7"/>
  <c r="B98" i="9"/>
  <c r="A22" i="2"/>
  <c r="B22" i="2"/>
  <c r="C22" i="2"/>
  <c r="D22" i="2"/>
  <c r="C20" i="7"/>
  <c r="A97" i="9"/>
  <c r="D20" i="7"/>
  <c r="B97" i="9"/>
  <c r="A21" i="2"/>
  <c r="B21" i="2"/>
  <c r="C21" i="2"/>
  <c r="D21" i="2"/>
  <c r="C19" i="7"/>
  <c r="A96" i="9"/>
  <c r="D19" i="7"/>
  <c r="B96" i="9"/>
  <c r="A20" i="2"/>
  <c r="B20" i="2"/>
  <c r="C20" i="2"/>
  <c r="D20" i="2"/>
  <c r="C18" i="7"/>
  <c r="A95" i="9"/>
  <c r="D18" i="7"/>
  <c r="B95" i="9"/>
  <c r="A19" i="2"/>
  <c r="B19" i="2"/>
  <c r="C19" i="2"/>
  <c r="D19" i="2"/>
  <c r="C17" i="7"/>
  <c r="A94" i="9"/>
  <c r="D17" i="7"/>
  <c r="B94" i="9"/>
  <c r="A18" i="2"/>
  <c r="B18" i="2"/>
  <c r="C18" i="2"/>
  <c r="D18" i="2"/>
  <c r="C16" i="7"/>
  <c r="A93" i="9"/>
  <c r="D16" i="7"/>
  <c r="B93" i="9"/>
  <c r="A17" i="2"/>
  <c r="B17" i="2"/>
  <c r="C17" i="2"/>
  <c r="D17" i="2"/>
  <c r="C15" i="7"/>
  <c r="A92" i="9"/>
  <c r="D15" i="7"/>
  <c r="B92" i="9"/>
  <c r="A16" i="2"/>
  <c r="B16" i="2"/>
  <c r="C16" i="2"/>
  <c r="D16" i="2"/>
  <c r="C14" i="7"/>
  <c r="A91" i="9"/>
  <c r="D14" i="7"/>
  <c r="B91" i="9"/>
  <c r="A15" i="2"/>
  <c r="B15" i="2"/>
  <c r="C15" i="2"/>
  <c r="D13" i="7"/>
  <c r="B90" i="9"/>
  <c r="A14" i="2"/>
  <c r="B14" i="2"/>
  <c r="C14" i="2"/>
  <c r="D12" i="7"/>
  <c r="B89" i="9"/>
  <c r="A13" i="2"/>
  <c r="B13" i="2"/>
  <c r="C13" i="2"/>
  <c r="D11" i="7"/>
  <c r="B88" i="9"/>
  <c r="A12" i="2"/>
  <c r="B12" i="2"/>
  <c r="C12" i="2"/>
  <c r="D10" i="7"/>
  <c r="B87" i="9"/>
  <c r="A11" i="2"/>
  <c r="B11" i="2"/>
  <c r="C11" i="2"/>
  <c r="D11" i="2"/>
  <c r="C9" i="7"/>
  <c r="A86" i="9"/>
  <c r="D9" i="7"/>
  <c r="B86" i="9"/>
  <c r="A10" i="2"/>
  <c r="B10" i="2"/>
  <c r="C10" i="2"/>
  <c r="D10" i="2"/>
  <c r="C8" i="7"/>
  <c r="A85" i="9"/>
  <c r="D8" i="7"/>
  <c r="B85" i="9"/>
  <c r="A9" i="2"/>
  <c r="B9" i="2"/>
  <c r="C9" i="2"/>
  <c r="D9" i="2"/>
  <c r="C7" i="7"/>
  <c r="A84" i="9"/>
  <c r="D7" i="7"/>
  <c r="B84" i="9"/>
  <c r="A8" i="2"/>
  <c r="B8" i="2"/>
  <c r="C8" i="2"/>
  <c r="D8" i="2"/>
  <c r="C6" i="7"/>
  <c r="A83" i="9"/>
  <c r="D6" i="7"/>
  <c r="B83" i="9"/>
  <c r="A7" i="2"/>
  <c r="B7" i="2"/>
  <c r="C7" i="2"/>
  <c r="D7" i="2"/>
  <c r="C5" i="7"/>
  <c r="A82" i="9"/>
  <c r="B82" i="9"/>
  <c r="A6" i="2"/>
  <c r="B6" i="2"/>
  <c r="C6" i="2"/>
  <c r="D6" i="2"/>
  <c r="A91" i="21"/>
  <c r="C4" i="7"/>
  <c r="A81" i="9"/>
  <c r="D4" i="7"/>
  <c r="B81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A22" i="8"/>
  <c r="A21" i="8"/>
  <c r="A20" i="8"/>
  <c r="A19" i="8"/>
  <c r="A18" i="8"/>
  <c r="A17" i="8"/>
  <c r="A16" i="8"/>
  <c r="A15" i="8"/>
  <c r="A11" i="8"/>
  <c r="A10" i="8"/>
  <c r="A9" i="8"/>
  <c r="A8" i="8"/>
  <c r="A7" i="8"/>
  <c r="A6" i="8"/>
  <c r="A5" i="8"/>
  <c r="A4" i="8"/>
  <c r="AI273" i="7"/>
  <c r="AI272" i="7"/>
  <c r="AI271" i="7"/>
  <c r="AI270" i="7"/>
  <c r="AI269" i="7"/>
  <c r="AI268" i="7"/>
  <c r="AI267" i="7"/>
  <c r="AI266" i="7"/>
  <c r="AI265" i="7"/>
  <c r="AI264" i="7"/>
  <c r="AI263" i="7"/>
  <c r="AI262" i="7"/>
  <c r="AI261" i="7"/>
  <c r="AI260" i="7"/>
  <c r="AI259" i="7"/>
  <c r="AI258" i="7"/>
  <c r="AI257" i="7"/>
  <c r="AI256" i="7"/>
  <c r="AI255" i="7"/>
  <c r="AI254" i="7"/>
  <c r="AI253" i="7"/>
  <c r="AI252" i="7"/>
  <c r="AI251" i="7"/>
  <c r="AI250" i="7"/>
  <c r="AI249" i="7"/>
  <c r="AI248" i="7"/>
  <c r="AI247" i="7"/>
  <c r="AI246" i="7"/>
  <c r="AI245" i="7"/>
  <c r="AI244" i="7"/>
  <c r="AI243" i="7"/>
  <c r="AI242" i="7"/>
  <c r="AI241" i="7"/>
  <c r="AI240" i="7"/>
  <c r="AI239" i="7"/>
  <c r="AI238" i="7"/>
  <c r="AI237" i="7"/>
  <c r="AI236" i="7"/>
  <c r="AI235" i="7"/>
  <c r="AI234" i="7"/>
  <c r="AI233" i="7"/>
  <c r="AI232" i="7"/>
  <c r="AI231" i="7"/>
  <c r="AI230" i="7"/>
  <c r="AI229" i="7"/>
  <c r="AI228" i="7"/>
  <c r="AI227" i="7"/>
  <c r="AI226" i="7"/>
  <c r="AI225" i="7"/>
  <c r="AI224" i="7"/>
  <c r="AI223" i="7"/>
  <c r="AI222" i="7"/>
  <c r="AI221" i="7"/>
  <c r="AI220" i="7"/>
  <c r="AI219" i="7"/>
  <c r="AI218" i="7"/>
  <c r="AI217" i="7"/>
  <c r="AI216" i="7"/>
  <c r="AI215" i="7"/>
  <c r="AI214" i="7"/>
  <c r="AI213" i="7"/>
  <c r="AI212" i="7"/>
  <c r="AI211" i="7"/>
  <c r="AI210" i="7"/>
  <c r="AI209" i="7"/>
  <c r="AI208" i="7"/>
  <c r="AI207" i="7"/>
  <c r="AI206" i="7"/>
  <c r="AI205" i="7"/>
  <c r="AI204" i="7"/>
  <c r="AI203" i="7"/>
  <c r="AI202" i="7"/>
  <c r="AI201" i="7"/>
  <c r="AI200" i="7"/>
  <c r="AI199" i="7"/>
  <c r="AI198" i="7"/>
  <c r="AI197" i="7"/>
  <c r="AI196" i="7"/>
  <c r="AI195" i="7"/>
  <c r="AI194" i="7"/>
  <c r="AI193" i="7"/>
  <c r="AI192" i="7"/>
  <c r="AI191" i="7"/>
  <c r="AI190" i="7"/>
  <c r="AI189" i="7"/>
  <c r="AI188" i="7"/>
  <c r="AI187" i="7"/>
  <c r="AI186" i="7"/>
  <c r="AI185" i="7"/>
  <c r="AI184" i="7"/>
  <c r="AZ183" i="7"/>
  <c r="AI183" i="7"/>
  <c r="AZ182" i="7"/>
  <c r="AI182" i="7"/>
  <c r="AZ181" i="7"/>
  <c r="AI181" i="7"/>
  <c r="AZ180" i="7"/>
  <c r="AI180" i="7"/>
  <c r="AZ179" i="7"/>
  <c r="AI179" i="7"/>
  <c r="AZ178" i="7"/>
  <c r="AI178" i="7"/>
  <c r="AZ177" i="7"/>
  <c r="AI177" i="7"/>
  <c r="AZ176" i="7"/>
  <c r="AI176" i="7"/>
  <c r="AZ175" i="7"/>
  <c r="AI175" i="7"/>
  <c r="AZ174" i="7"/>
  <c r="AI174" i="7"/>
  <c r="AZ173" i="7"/>
  <c r="AI173" i="7"/>
  <c r="AZ172" i="7"/>
  <c r="AI172" i="7"/>
  <c r="AZ171" i="7"/>
  <c r="AI171" i="7"/>
  <c r="AZ170" i="7"/>
  <c r="AI170" i="7"/>
  <c r="AZ169" i="7"/>
  <c r="AI169" i="7"/>
  <c r="AZ168" i="7"/>
  <c r="AI168" i="7"/>
  <c r="AZ167" i="7"/>
  <c r="AI167" i="7"/>
  <c r="AZ166" i="7"/>
  <c r="AI166" i="7"/>
  <c r="AZ165" i="7"/>
  <c r="AI165" i="7"/>
  <c r="AZ164" i="7"/>
  <c r="AI164" i="7"/>
  <c r="AZ163" i="7"/>
  <c r="AI163" i="7"/>
  <c r="AZ162" i="7"/>
  <c r="AI162" i="7"/>
  <c r="AZ161" i="7"/>
  <c r="AI161" i="7"/>
  <c r="AZ160" i="7"/>
  <c r="AI160" i="7"/>
  <c r="AZ159" i="7"/>
  <c r="AI159" i="7"/>
  <c r="AZ158" i="7"/>
  <c r="AI158" i="7"/>
  <c r="AZ157" i="7"/>
  <c r="AI157" i="7"/>
  <c r="AZ156" i="7"/>
  <c r="AI156" i="7"/>
  <c r="AZ155" i="7"/>
  <c r="AI155" i="7"/>
  <c r="AZ154" i="7"/>
  <c r="AI154" i="7"/>
  <c r="AZ153" i="7"/>
  <c r="AI153" i="7"/>
  <c r="AZ152" i="7"/>
  <c r="AI152" i="7"/>
  <c r="AZ151" i="7"/>
  <c r="AI151" i="7"/>
  <c r="AZ150" i="7"/>
  <c r="AI150" i="7"/>
  <c r="AZ149" i="7"/>
  <c r="AI149" i="7"/>
  <c r="AZ148" i="7"/>
  <c r="AI148" i="7"/>
  <c r="AZ147" i="7"/>
  <c r="AI147" i="7"/>
  <c r="AZ146" i="7"/>
  <c r="AI146" i="7"/>
  <c r="AZ145" i="7"/>
  <c r="AI145" i="7"/>
  <c r="AZ144" i="7"/>
  <c r="AI144" i="7"/>
  <c r="AZ143" i="7"/>
  <c r="AI143" i="7"/>
  <c r="AZ142" i="7"/>
  <c r="AI142" i="7"/>
  <c r="AZ141" i="7"/>
  <c r="AI141" i="7"/>
  <c r="AZ140" i="7"/>
  <c r="AI140" i="7"/>
  <c r="AZ139" i="7"/>
  <c r="AI139" i="7"/>
  <c r="AZ138" i="7"/>
  <c r="AI138" i="7"/>
  <c r="AZ137" i="7"/>
  <c r="AI137" i="7"/>
  <c r="AZ136" i="7"/>
  <c r="AI136" i="7"/>
  <c r="AZ135" i="7"/>
  <c r="AI135" i="7"/>
  <c r="AZ134" i="7"/>
  <c r="AI134" i="7"/>
  <c r="AZ133" i="7"/>
  <c r="AI133" i="7"/>
  <c r="AZ132" i="7"/>
  <c r="AI132" i="7"/>
  <c r="AZ131" i="7"/>
  <c r="AI131" i="7"/>
  <c r="AZ130" i="7"/>
  <c r="AI130" i="7"/>
  <c r="AZ129" i="7"/>
  <c r="AI129" i="7"/>
  <c r="AZ128" i="7"/>
  <c r="AI128" i="7"/>
  <c r="AZ127" i="7"/>
  <c r="AI127" i="7"/>
  <c r="AZ126" i="7"/>
  <c r="AI126" i="7"/>
  <c r="AZ125" i="7"/>
  <c r="AI125" i="7"/>
  <c r="AZ124" i="7"/>
  <c r="AI124" i="7"/>
  <c r="AZ123" i="7"/>
  <c r="AI123" i="7"/>
  <c r="AZ122" i="7"/>
  <c r="AI122" i="7"/>
  <c r="AZ121" i="7"/>
  <c r="AI121" i="7"/>
  <c r="AZ120" i="7"/>
  <c r="AI120" i="7"/>
  <c r="AZ119" i="7"/>
  <c r="AI119" i="7"/>
  <c r="AZ118" i="7"/>
  <c r="AI118" i="7"/>
  <c r="AZ117" i="7"/>
  <c r="AI117" i="7"/>
  <c r="AZ116" i="7"/>
  <c r="AI116" i="7"/>
  <c r="AZ115" i="7"/>
  <c r="AI115" i="7"/>
  <c r="AZ114" i="7"/>
  <c r="AI114" i="7"/>
  <c r="AZ113" i="7"/>
  <c r="AI113" i="7"/>
  <c r="AZ112" i="7"/>
  <c r="AI112" i="7"/>
  <c r="AZ111" i="7"/>
  <c r="AI111" i="7"/>
  <c r="AZ110" i="7"/>
  <c r="AI110" i="7"/>
  <c r="AZ109" i="7"/>
  <c r="AI109" i="7"/>
  <c r="AZ108" i="7"/>
  <c r="AI108" i="7"/>
  <c r="AZ107" i="7"/>
  <c r="AI107" i="7"/>
  <c r="AZ106" i="7"/>
  <c r="AI106" i="7"/>
  <c r="AZ105" i="7"/>
  <c r="AI105" i="7"/>
  <c r="AZ104" i="7"/>
  <c r="AI104" i="7"/>
  <c r="BJ103" i="7"/>
  <c r="BI103" i="7"/>
  <c r="BH103" i="7"/>
  <c r="BG103" i="7"/>
  <c r="BF103" i="7"/>
  <c r="BE103" i="7"/>
  <c r="BD103" i="7"/>
  <c r="BC103" i="7"/>
  <c r="BB103" i="7"/>
  <c r="AI103" i="7"/>
  <c r="BJ102" i="7"/>
  <c r="BI102" i="7"/>
  <c r="BH102" i="7"/>
  <c r="BG102" i="7"/>
  <c r="BF102" i="7"/>
  <c r="BE102" i="7"/>
  <c r="BD102" i="7"/>
  <c r="BC102" i="7"/>
  <c r="BB102" i="7"/>
  <c r="AI102" i="7"/>
  <c r="BJ101" i="7"/>
  <c r="BI101" i="7"/>
  <c r="BH101" i="7"/>
  <c r="BG101" i="7"/>
  <c r="BF101" i="7"/>
  <c r="BE101" i="7"/>
  <c r="BD101" i="7"/>
  <c r="BC101" i="7"/>
  <c r="BB101" i="7"/>
  <c r="AI101" i="7"/>
  <c r="BJ100" i="7"/>
  <c r="BI100" i="7"/>
  <c r="BH100" i="7"/>
  <c r="BG100" i="7"/>
  <c r="BF100" i="7"/>
  <c r="BE100" i="7"/>
  <c r="BD100" i="7"/>
  <c r="BC100" i="7"/>
  <c r="BB100" i="7"/>
  <c r="AI100" i="7"/>
  <c r="BJ99" i="7"/>
  <c r="BI99" i="7"/>
  <c r="BH99" i="7"/>
  <c r="BG99" i="7"/>
  <c r="BF99" i="7"/>
  <c r="BE99" i="7"/>
  <c r="BD99" i="7"/>
  <c r="BC99" i="7"/>
  <c r="BB99" i="7"/>
  <c r="AI99" i="7"/>
  <c r="BJ98" i="7"/>
  <c r="BI98" i="7"/>
  <c r="BH98" i="7"/>
  <c r="BG98" i="7"/>
  <c r="BF98" i="7"/>
  <c r="BE98" i="7"/>
  <c r="BD98" i="7"/>
  <c r="BC98" i="7"/>
  <c r="BB98" i="7"/>
  <c r="AI98" i="7"/>
  <c r="BJ97" i="7"/>
  <c r="BI97" i="7"/>
  <c r="BH97" i="7"/>
  <c r="BG97" i="7"/>
  <c r="BF97" i="7"/>
  <c r="BE97" i="7"/>
  <c r="BD97" i="7"/>
  <c r="BC97" i="7"/>
  <c r="BB97" i="7"/>
  <c r="AI97" i="7"/>
  <c r="BJ96" i="7"/>
  <c r="BI96" i="7"/>
  <c r="BH96" i="7"/>
  <c r="BG96" i="7"/>
  <c r="BF96" i="7"/>
  <c r="BE96" i="7"/>
  <c r="BD96" i="7"/>
  <c r="BC96" i="7"/>
  <c r="BB96" i="7"/>
  <c r="AI96" i="7"/>
  <c r="BJ95" i="7"/>
  <c r="BI95" i="7"/>
  <c r="BH95" i="7"/>
  <c r="BG95" i="7"/>
  <c r="BF95" i="7"/>
  <c r="BE95" i="7"/>
  <c r="BD95" i="7"/>
  <c r="BC95" i="7"/>
  <c r="BB95" i="7"/>
  <c r="AI95" i="7"/>
  <c r="BJ94" i="7"/>
  <c r="BI94" i="7"/>
  <c r="BH94" i="7"/>
  <c r="BG94" i="7"/>
  <c r="BF94" i="7"/>
  <c r="BE94" i="7"/>
  <c r="BD94" i="7"/>
  <c r="BC94" i="7"/>
  <c r="BB94" i="7"/>
  <c r="AI94" i="7"/>
  <c r="BJ93" i="7"/>
  <c r="BI93" i="7"/>
  <c r="BH93" i="7"/>
  <c r="BG93" i="7"/>
  <c r="BF93" i="7"/>
  <c r="BE93" i="7"/>
  <c r="BD93" i="7"/>
  <c r="BC93" i="7"/>
  <c r="BB93" i="7"/>
  <c r="AI93" i="7"/>
  <c r="BJ92" i="7"/>
  <c r="BI92" i="7"/>
  <c r="BH92" i="7"/>
  <c r="BG92" i="7"/>
  <c r="BF92" i="7"/>
  <c r="BE92" i="7"/>
  <c r="BD92" i="7"/>
  <c r="BC92" i="7"/>
  <c r="BB92" i="7"/>
  <c r="AI92" i="7"/>
  <c r="BJ91" i="7"/>
  <c r="BI91" i="7"/>
  <c r="BH91" i="7"/>
  <c r="BG91" i="7"/>
  <c r="BF91" i="7"/>
  <c r="BE91" i="7"/>
  <c r="BD91" i="7"/>
  <c r="BC91" i="7"/>
  <c r="BB91" i="7"/>
  <c r="AI91" i="7"/>
  <c r="BJ90" i="7"/>
  <c r="BI90" i="7"/>
  <c r="BH90" i="7"/>
  <c r="BG90" i="7"/>
  <c r="BF90" i="7"/>
  <c r="BE90" i="7"/>
  <c r="BD90" i="7"/>
  <c r="BC90" i="7"/>
  <c r="BB90" i="7"/>
  <c r="AI90" i="7"/>
  <c r="BJ89" i="7"/>
  <c r="BI89" i="7"/>
  <c r="BH89" i="7"/>
  <c r="BG89" i="7"/>
  <c r="BF89" i="7"/>
  <c r="BE89" i="7"/>
  <c r="BD89" i="7"/>
  <c r="BC89" i="7"/>
  <c r="BB89" i="7"/>
  <c r="AI89" i="7"/>
  <c r="BJ88" i="7"/>
  <c r="BI88" i="7"/>
  <c r="BH88" i="7"/>
  <c r="BG88" i="7"/>
  <c r="BF88" i="7"/>
  <c r="BE88" i="7"/>
  <c r="BD88" i="7"/>
  <c r="BC88" i="7"/>
  <c r="BB88" i="7"/>
  <c r="AI88" i="7"/>
  <c r="BJ87" i="7"/>
  <c r="BI87" i="7"/>
  <c r="BH87" i="7"/>
  <c r="BG87" i="7"/>
  <c r="BF87" i="7"/>
  <c r="BE87" i="7"/>
  <c r="BD87" i="7"/>
  <c r="BC87" i="7"/>
  <c r="BB87" i="7"/>
  <c r="AI87" i="7"/>
  <c r="BJ86" i="7"/>
  <c r="BI86" i="7"/>
  <c r="BH86" i="7"/>
  <c r="BG86" i="7"/>
  <c r="BF86" i="7"/>
  <c r="BE86" i="7"/>
  <c r="BD86" i="7"/>
  <c r="BC86" i="7"/>
  <c r="BB86" i="7"/>
  <c r="AI86" i="7"/>
  <c r="BJ85" i="7"/>
  <c r="BI85" i="7"/>
  <c r="BH85" i="7"/>
  <c r="BG85" i="7"/>
  <c r="BF85" i="7"/>
  <c r="BE85" i="7"/>
  <c r="BD85" i="7"/>
  <c r="BC85" i="7"/>
  <c r="BB85" i="7"/>
  <c r="AI85" i="7"/>
  <c r="BJ84" i="7"/>
  <c r="BI84" i="7"/>
  <c r="BH84" i="7"/>
  <c r="BG84" i="7"/>
  <c r="BF84" i="7"/>
  <c r="BE84" i="7"/>
  <c r="BD84" i="7"/>
  <c r="BC84" i="7"/>
  <c r="BB84" i="7"/>
  <c r="AI84" i="7"/>
  <c r="BJ83" i="7"/>
  <c r="BI83" i="7"/>
  <c r="BH83" i="7"/>
  <c r="BG83" i="7"/>
  <c r="BF83" i="7"/>
  <c r="BE83" i="7"/>
  <c r="BD83" i="7"/>
  <c r="BC83" i="7"/>
  <c r="BB83" i="7"/>
  <c r="AI83" i="7"/>
  <c r="BJ82" i="7"/>
  <c r="BI82" i="7"/>
  <c r="BH82" i="7"/>
  <c r="BG82" i="7"/>
  <c r="BF82" i="7"/>
  <c r="BE82" i="7"/>
  <c r="BD82" i="7"/>
  <c r="BC82" i="7"/>
  <c r="BB82" i="7"/>
  <c r="AI82" i="7"/>
  <c r="BJ81" i="7"/>
  <c r="BI81" i="7"/>
  <c r="BH81" i="7"/>
  <c r="BG81" i="7"/>
  <c r="BF81" i="7"/>
  <c r="BE81" i="7"/>
  <c r="BD81" i="7"/>
  <c r="BC81" i="7"/>
  <c r="BB81" i="7"/>
  <c r="AI81" i="7"/>
  <c r="BJ80" i="7"/>
  <c r="BI80" i="7"/>
  <c r="BH80" i="7"/>
  <c r="BG80" i="7"/>
  <c r="BF80" i="7"/>
  <c r="BE80" i="7"/>
  <c r="BD80" i="7"/>
  <c r="BC80" i="7"/>
  <c r="BB80" i="7"/>
  <c r="AI80" i="7"/>
  <c r="BJ79" i="7"/>
  <c r="BI79" i="7"/>
  <c r="BH79" i="7"/>
  <c r="BG79" i="7"/>
  <c r="BF79" i="7"/>
  <c r="BE79" i="7"/>
  <c r="BD79" i="7"/>
  <c r="BC79" i="7"/>
  <c r="BB79" i="7"/>
  <c r="AI79" i="7"/>
  <c r="BJ78" i="7"/>
  <c r="BI78" i="7"/>
  <c r="BH78" i="7"/>
  <c r="BG78" i="7"/>
  <c r="BF78" i="7"/>
  <c r="BE78" i="7"/>
  <c r="BD78" i="7"/>
  <c r="BC78" i="7"/>
  <c r="BB78" i="7"/>
  <c r="AI78" i="7"/>
  <c r="BJ77" i="7"/>
  <c r="BI77" i="7"/>
  <c r="BH77" i="7"/>
  <c r="BG77" i="7"/>
  <c r="BF77" i="7"/>
  <c r="BE77" i="7"/>
  <c r="BD77" i="7"/>
  <c r="BC77" i="7"/>
  <c r="BB77" i="7"/>
  <c r="AI77" i="7"/>
  <c r="BJ76" i="7"/>
  <c r="BI76" i="7"/>
  <c r="BH76" i="7"/>
  <c r="BG76" i="7"/>
  <c r="BF76" i="7"/>
  <c r="BE76" i="7"/>
  <c r="BD76" i="7"/>
  <c r="BC76" i="7"/>
  <c r="BB76" i="7"/>
  <c r="AI76" i="7"/>
  <c r="BJ75" i="7"/>
  <c r="BI75" i="7"/>
  <c r="BH75" i="7"/>
  <c r="BG75" i="7"/>
  <c r="BF75" i="7"/>
  <c r="BE75" i="7"/>
  <c r="BD75" i="7"/>
  <c r="BC75" i="7"/>
  <c r="BB75" i="7"/>
  <c r="AI75" i="7"/>
  <c r="E75" i="7"/>
  <c r="A75" i="7"/>
  <c r="B75" i="7"/>
  <c r="BJ74" i="7"/>
  <c r="BI74" i="7"/>
  <c r="BH74" i="7"/>
  <c r="BG74" i="7"/>
  <c r="BF74" i="7"/>
  <c r="BE74" i="7"/>
  <c r="BD74" i="7"/>
  <c r="BC74" i="7"/>
  <c r="BB74" i="7"/>
  <c r="AI74" i="7"/>
  <c r="E74" i="7"/>
  <c r="A74" i="7"/>
  <c r="B74" i="7"/>
  <c r="BJ73" i="7"/>
  <c r="BI73" i="7"/>
  <c r="BH73" i="7"/>
  <c r="BG73" i="7"/>
  <c r="BF73" i="7"/>
  <c r="BE73" i="7"/>
  <c r="BD73" i="7"/>
  <c r="BC73" i="7"/>
  <c r="BB73" i="7"/>
  <c r="AI73" i="7"/>
  <c r="E73" i="7"/>
  <c r="A73" i="7"/>
  <c r="B73" i="7"/>
  <c r="BJ72" i="7"/>
  <c r="BI72" i="7"/>
  <c r="BH72" i="7"/>
  <c r="BG72" i="7"/>
  <c r="BF72" i="7"/>
  <c r="BE72" i="7"/>
  <c r="BD72" i="7"/>
  <c r="BC72" i="7"/>
  <c r="BB72" i="7"/>
  <c r="AI72" i="7"/>
  <c r="E72" i="7"/>
  <c r="A72" i="7"/>
  <c r="B72" i="7"/>
  <c r="BJ71" i="7"/>
  <c r="BI71" i="7"/>
  <c r="BH71" i="7"/>
  <c r="BG71" i="7"/>
  <c r="BF71" i="7"/>
  <c r="BE71" i="7"/>
  <c r="BD71" i="7"/>
  <c r="BC71" i="7"/>
  <c r="BB71" i="7"/>
  <c r="AI71" i="7"/>
  <c r="E71" i="7"/>
  <c r="A71" i="7"/>
  <c r="B71" i="7"/>
  <c r="BJ70" i="7"/>
  <c r="BI70" i="7"/>
  <c r="BH70" i="7"/>
  <c r="BG70" i="7"/>
  <c r="BF70" i="7"/>
  <c r="BE70" i="7"/>
  <c r="BD70" i="7"/>
  <c r="BC70" i="7"/>
  <c r="BB70" i="7"/>
  <c r="AI70" i="7"/>
  <c r="E70" i="7"/>
  <c r="A70" i="7"/>
  <c r="B70" i="7"/>
  <c r="BJ69" i="7"/>
  <c r="BI69" i="7"/>
  <c r="BH69" i="7"/>
  <c r="BG69" i="7"/>
  <c r="BF69" i="7"/>
  <c r="BE69" i="7"/>
  <c r="BD69" i="7"/>
  <c r="BC69" i="7"/>
  <c r="BB69" i="7"/>
  <c r="AI69" i="7"/>
  <c r="E69" i="7"/>
  <c r="A69" i="7"/>
  <c r="B69" i="7"/>
  <c r="BJ68" i="7"/>
  <c r="BI68" i="7"/>
  <c r="BH68" i="7"/>
  <c r="BG68" i="7"/>
  <c r="BF68" i="7"/>
  <c r="BE68" i="7"/>
  <c r="BD68" i="7"/>
  <c r="BC68" i="7"/>
  <c r="BB68" i="7"/>
  <c r="AI68" i="7"/>
  <c r="E68" i="7"/>
  <c r="A68" i="7"/>
  <c r="B68" i="7"/>
  <c r="BJ67" i="7"/>
  <c r="BI67" i="7"/>
  <c r="BH67" i="7"/>
  <c r="BG67" i="7"/>
  <c r="BF67" i="7"/>
  <c r="BE67" i="7"/>
  <c r="BD67" i="7"/>
  <c r="BC67" i="7"/>
  <c r="BB67" i="7"/>
  <c r="AI67" i="7"/>
  <c r="E67" i="7"/>
  <c r="A67" i="7"/>
  <c r="B67" i="7"/>
  <c r="BJ66" i="7"/>
  <c r="BI66" i="7"/>
  <c r="BH66" i="7"/>
  <c r="BG66" i="7"/>
  <c r="BF66" i="7"/>
  <c r="BE66" i="7"/>
  <c r="BD66" i="7"/>
  <c r="BC66" i="7"/>
  <c r="BB66" i="7"/>
  <c r="AI66" i="7"/>
  <c r="E66" i="7"/>
  <c r="A66" i="7"/>
  <c r="B66" i="7"/>
  <c r="BJ65" i="7"/>
  <c r="BI65" i="7"/>
  <c r="BH65" i="7"/>
  <c r="BG65" i="7"/>
  <c r="BF65" i="7"/>
  <c r="BE65" i="7"/>
  <c r="BD65" i="7"/>
  <c r="BC65" i="7"/>
  <c r="BB65" i="7"/>
  <c r="AI65" i="7"/>
  <c r="E65" i="7"/>
  <c r="A65" i="7"/>
  <c r="B65" i="7"/>
  <c r="BJ64" i="7"/>
  <c r="BI64" i="7"/>
  <c r="BH64" i="7"/>
  <c r="BG64" i="7"/>
  <c r="BF64" i="7"/>
  <c r="BE64" i="7"/>
  <c r="BD64" i="7"/>
  <c r="BC64" i="7"/>
  <c r="BB64" i="7"/>
  <c r="AI64" i="7"/>
  <c r="E64" i="7"/>
  <c r="A64" i="7"/>
  <c r="B64" i="7"/>
  <c r="BJ63" i="7"/>
  <c r="BI63" i="7"/>
  <c r="BH63" i="7"/>
  <c r="BG63" i="7"/>
  <c r="BF63" i="7"/>
  <c r="BE63" i="7"/>
  <c r="BD63" i="7"/>
  <c r="BC63" i="7"/>
  <c r="BB63" i="7"/>
  <c r="AI63" i="7"/>
  <c r="E63" i="7"/>
  <c r="A63" i="7"/>
  <c r="B63" i="7"/>
  <c r="BJ62" i="7"/>
  <c r="BI62" i="7"/>
  <c r="BH62" i="7"/>
  <c r="BG62" i="7"/>
  <c r="BF62" i="7"/>
  <c r="BE62" i="7"/>
  <c r="BD62" i="7"/>
  <c r="BC62" i="7"/>
  <c r="BB62" i="7"/>
  <c r="AI62" i="7"/>
  <c r="E62" i="7"/>
  <c r="A62" i="7"/>
  <c r="B62" i="7"/>
  <c r="BJ61" i="7"/>
  <c r="BI61" i="7"/>
  <c r="BH61" i="7"/>
  <c r="BG61" i="7"/>
  <c r="BF61" i="7"/>
  <c r="BE61" i="7"/>
  <c r="BD61" i="7"/>
  <c r="BC61" i="7"/>
  <c r="BB61" i="7"/>
  <c r="AI61" i="7"/>
  <c r="E61" i="7"/>
  <c r="A61" i="7"/>
  <c r="B61" i="7"/>
  <c r="BJ60" i="7"/>
  <c r="BI60" i="7"/>
  <c r="BH60" i="7"/>
  <c r="BG60" i="7"/>
  <c r="BF60" i="7"/>
  <c r="BE60" i="7"/>
  <c r="BD60" i="7"/>
  <c r="BC60" i="7"/>
  <c r="BB60" i="7"/>
  <c r="AI60" i="7"/>
  <c r="E60" i="7"/>
  <c r="A60" i="7"/>
  <c r="B60" i="7"/>
  <c r="BJ59" i="7"/>
  <c r="BI59" i="7"/>
  <c r="BH59" i="7"/>
  <c r="BG59" i="7"/>
  <c r="BF59" i="7"/>
  <c r="BE59" i="7"/>
  <c r="BD59" i="7"/>
  <c r="BC59" i="7"/>
  <c r="BB59" i="7"/>
  <c r="AI59" i="7"/>
  <c r="E59" i="7"/>
  <c r="A59" i="7"/>
  <c r="B59" i="7"/>
  <c r="BJ58" i="7"/>
  <c r="BI58" i="7"/>
  <c r="BH58" i="7"/>
  <c r="BG58" i="7"/>
  <c r="BF58" i="7"/>
  <c r="BE58" i="7"/>
  <c r="BD58" i="7"/>
  <c r="BC58" i="7"/>
  <c r="BB58" i="7"/>
  <c r="AI58" i="7"/>
  <c r="E58" i="7"/>
  <c r="A58" i="7"/>
  <c r="B58" i="7"/>
  <c r="BJ57" i="7"/>
  <c r="BI57" i="7"/>
  <c r="BH57" i="7"/>
  <c r="BG57" i="7"/>
  <c r="BF57" i="7"/>
  <c r="BE57" i="7"/>
  <c r="BD57" i="7"/>
  <c r="BC57" i="7"/>
  <c r="BB57" i="7"/>
  <c r="AI57" i="7"/>
  <c r="E57" i="7"/>
  <c r="A57" i="7"/>
  <c r="B57" i="7"/>
  <c r="BJ56" i="7"/>
  <c r="BI56" i="7"/>
  <c r="BH56" i="7"/>
  <c r="BG56" i="7"/>
  <c r="BF56" i="7"/>
  <c r="BE56" i="7"/>
  <c r="BD56" i="7"/>
  <c r="BC56" i="7"/>
  <c r="BB56" i="7"/>
  <c r="AI56" i="7"/>
  <c r="E56" i="7"/>
  <c r="A56" i="7"/>
  <c r="B56" i="7"/>
  <c r="BJ55" i="7"/>
  <c r="BI55" i="7"/>
  <c r="BH55" i="7"/>
  <c r="BG55" i="7"/>
  <c r="BF55" i="7"/>
  <c r="BE55" i="7"/>
  <c r="BD55" i="7"/>
  <c r="BC55" i="7"/>
  <c r="BB55" i="7"/>
  <c r="AI55" i="7"/>
  <c r="F55" i="7"/>
  <c r="E55" i="7"/>
  <c r="A55" i="7"/>
  <c r="B55" i="7"/>
  <c r="BJ54" i="7"/>
  <c r="BI54" i="7"/>
  <c r="BH54" i="7"/>
  <c r="BG54" i="7"/>
  <c r="BF54" i="7"/>
  <c r="BE54" i="7"/>
  <c r="BD54" i="7"/>
  <c r="BC54" i="7"/>
  <c r="BB54" i="7"/>
  <c r="AI54" i="7"/>
  <c r="F54" i="7"/>
  <c r="E54" i="7"/>
  <c r="A54" i="7"/>
  <c r="B54" i="7"/>
  <c r="BJ53" i="7"/>
  <c r="BI53" i="7"/>
  <c r="BH53" i="7"/>
  <c r="BG53" i="7"/>
  <c r="BF53" i="7"/>
  <c r="BE53" i="7"/>
  <c r="BD53" i="7"/>
  <c r="BC53" i="7"/>
  <c r="BB53" i="7"/>
  <c r="AI53" i="7"/>
  <c r="E53" i="7"/>
  <c r="A53" i="7"/>
  <c r="B53" i="7"/>
  <c r="BJ52" i="7"/>
  <c r="BI52" i="7"/>
  <c r="BH52" i="7"/>
  <c r="BG52" i="7"/>
  <c r="BF52" i="7"/>
  <c r="BE52" i="7"/>
  <c r="BD52" i="7"/>
  <c r="BC52" i="7"/>
  <c r="BB52" i="7"/>
  <c r="AI52" i="7"/>
  <c r="E52" i="7"/>
  <c r="A52" i="7"/>
  <c r="B52" i="7"/>
  <c r="BJ51" i="7"/>
  <c r="BI51" i="7"/>
  <c r="BH51" i="7"/>
  <c r="BG51" i="7"/>
  <c r="BF51" i="7"/>
  <c r="BE51" i="7"/>
  <c r="BD51" i="7"/>
  <c r="BC51" i="7"/>
  <c r="BB51" i="7"/>
  <c r="AI51" i="7"/>
  <c r="F51" i="7"/>
  <c r="E51" i="7"/>
  <c r="A51" i="7"/>
  <c r="B51" i="7"/>
  <c r="BJ50" i="7"/>
  <c r="BI50" i="7"/>
  <c r="BH50" i="7"/>
  <c r="BG50" i="7"/>
  <c r="BF50" i="7"/>
  <c r="BE50" i="7"/>
  <c r="BD50" i="7"/>
  <c r="BC50" i="7"/>
  <c r="BB50" i="7"/>
  <c r="AI50" i="7"/>
  <c r="F50" i="7"/>
  <c r="E50" i="7"/>
  <c r="A50" i="7"/>
  <c r="B50" i="7"/>
  <c r="BJ49" i="7"/>
  <c r="BI49" i="7"/>
  <c r="BH49" i="7"/>
  <c r="BG49" i="7"/>
  <c r="BF49" i="7"/>
  <c r="BE49" i="7"/>
  <c r="BD49" i="7"/>
  <c r="BC49" i="7"/>
  <c r="BB49" i="7"/>
  <c r="AI49" i="7"/>
  <c r="F49" i="7"/>
  <c r="E49" i="7"/>
  <c r="A49" i="7"/>
  <c r="B49" i="7"/>
  <c r="BJ48" i="7"/>
  <c r="BI48" i="7"/>
  <c r="BH48" i="7"/>
  <c r="BG48" i="7"/>
  <c r="BF48" i="7"/>
  <c r="BE48" i="7"/>
  <c r="BD48" i="7"/>
  <c r="BC48" i="7"/>
  <c r="BB48" i="7"/>
  <c r="AI48" i="7"/>
  <c r="F48" i="7"/>
  <c r="E48" i="7"/>
  <c r="A48" i="7"/>
  <c r="B48" i="7"/>
  <c r="BJ47" i="7"/>
  <c r="BI47" i="7"/>
  <c r="BH47" i="7"/>
  <c r="BG47" i="7"/>
  <c r="BF47" i="7"/>
  <c r="BE47" i="7"/>
  <c r="BD47" i="7"/>
  <c r="BC47" i="7"/>
  <c r="BB47" i="7"/>
  <c r="AI47" i="7"/>
  <c r="F47" i="7"/>
  <c r="E47" i="7"/>
  <c r="A47" i="7"/>
  <c r="B47" i="7"/>
  <c r="BJ46" i="7"/>
  <c r="BI46" i="7"/>
  <c r="BH46" i="7"/>
  <c r="BG46" i="7"/>
  <c r="BF46" i="7"/>
  <c r="BE46" i="7"/>
  <c r="BD46" i="7"/>
  <c r="BC46" i="7"/>
  <c r="BB46" i="7"/>
  <c r="AI46" i="7"/>
  <c r="F46" i="7"/>
  <c r="E46" i="7"/>
  <c r="A46" i="7"/>
  <c r="B46" i="7"/>
  <c r="BJ45" i="7"/>
  <c r="BI45" i="7"/>
  <c r="BH45" i="7"/>
  <c r="BG45" i="7"/>
  <c r="BF45" i="7"/>
  <c r="BE45" i="7"/>
  <c r="BD45" i="7"/>
  <c r="BC45" i="7"/>
  <c r="BB45" i="7"/>
  <c r="AI45" i="7"/>
  <c r="E45" i="7"/>
  <c r="A45" i="7"/>
  <c r="B45" i="7"/>
  <c r="BJ44" i="7"/>
  <c r="BI44" i="7"/>
  <c r="BH44" i="7"/>
  <c r="BG44" i="7"/>
  <c r="BF44" i="7"/>
  <c r="BE44" i="7"/>
  <c r="BD44" i="7"/>
  <c r="BC44" i="7"/>
  <c r="BB44" i="7"/>
  <c r="AI44" i="7"/>
  <c r="E44" i="7"/>
  <c r="A44" i="7"/>
  <c r="B44" i="7"/>
  <c r="BJ43" i="7"/>
  <c r="BI43" i="7"/>
  <c r="BH43" i="7"/>
  <c r="BG43" i="7"/>
  <c r="BF43" i="7"/>
  <c r="BE43" i="7"/>
  <c r="BD43" i="7"/>
  <c r="BC43" i="7"/>
  <c r="BB43" i="7"/>
  <c r="AI43" i="7"/>
  <c r="E43" i="7"/>
  <c r="A43" i="7"/>
  <c r="B43" i="7"/>
  <c r="BJ42" i="7"/>
  <c r="BI42" i="7"/>
  <c r="BH42" i="7"/>
  <c r="BG42" i="7"/>
  <c r="BF42" i="7"/>
  <c r="BE42" i="7"/>
  <c r="BD42" i="7"/>
  <c r="BC42" i="7"/>
  <c r="BB42" i="7"/>
  <c r="AI42" i="7"/>
  <c r="E42" i="7"/>
  <c r="A42" i="7"/>
  <c r="B42" i="7"/>
  <c r="BJ41" i="7"/>
  <c r="BI41" i="7"/>
  <c r="BH41" i="7"/>
  <c r="BG41" i="7"/>
  <c r="BF41" i="7"/>
  <c r="BE41" i="7"/>
  <c r="BD41" i="7"/>
  <c r="BC41" i="7"/>
  <c r="BB41" i="7"/>
  <c r="AI41" i="7"/>
  <c r="F41" i="7"/>
  <c r="E41" i="7"/>
  <c r="A41" i="7"/>
  <c r="B41" i="7"/>
  <c r="BJ40" i="7"/>
  <c r="BI40" i="7"/>
  <c r="BH40" i="7"/>
  <c r="BG40" i="7"/>
  <c r="BF40" i="7"/>
  <c r="BE40" i="7"/>
  <c r="BD40" i="7"/>
  <c r="BC40" i="7"/>
  <c r="BB40" i="7"/>
  <c r="AI40" i="7"/>
  <c r="F40" i="7"/>
  <c r="E40" i="7"/>
  <c r="A40" i="7"/>
  <c r="B40" i="7"/>
  <c r="BJ39" i="7"/>
  <c r="BI39" i="7"/>
  <c r="BH39" i="7"/>
  <c r="BG39" i="7"/>
  <c r="BF39" i="7"/>
  <c r="BE39" i="7"/>
  <c r="BD39" i="7"/>
  <c r="BC39" i="7"/>
  <c r="BB39" i="7"/>
  <c r="AI39" i="7"/>
  <c r="E39" i="7"/>
  <c r="A39" i="7"/>
  <c r="B39" i="7"/>
  <c r="BJ38" i="7"/>
  <c r="BI38" i="7"/>
  <c r="BH38" i="7"/>
  <c r="BG38" i="7"/>
  <c r="BF38" i="7"/>
  <c r="BE38" i="7"/>
  <c r="BD38" i="7"/>
  <c r="BC38" i="7"/>
  <c r="BB38" i="7"/>
  <c r="AI38" i="7"/>
  <c r="E38" i="7"/>
  <c r="A38" i="7"/>
  <c r="B38" i="7"/>
  <c r="BJ37" i="7"/>
  <c r="BI37" i="7"/>
  <c r="BH37" i="7"/>
  <c r="BG37" i="7"/>
  <c r="BF37" i="7"/>
  <c r="BE37" i="7"/>
  <c r="BD37" i="7"/>
  <c r="BC37" i="7"/>
  <c r="BB37" i="7"/>
  <c r="AI37" i="7"/>
  <c r="F37" i="7"/>
  <c r="E37" i="7"/>
  <c r="A37" i="7"/>
  <c r="B37" i="7"/>
  <c r="BJ36" i="7"/>
  <c r="BI36" i="7"/>
  <c r="BH36" i="7"/>
  <c r="BG36" i="7"/>
  <c r="BF36" i="7"/>
  <c r="BE36" i="7"/>
  <c r="BD36" i="7"/>
  <c r="BC36" i="7"/>
  <c r="BB36" i="7"/>
  <c r="AI36" i="7"/>
  <c r="F36" i="7"/>
  <c r="E36" i="7"/>
  <c r="A36" i="7"/>
  <c r="B36" i="7"/>
  <c r="BJ35" i="7"/>
  <c r="BI35" i="7"/>
  <c r="BH35" i="7"/>
  <c r="BG35" i="7"/>
  <c r="BF35" i="7"/>
  <c r="BE35" i="7"/>
  <c r="BD35" i="7"/>
  <c r="BC35" i="7"/>
  <c r="BB35" i="7"/>
  <c r="AI35" i="7"/>
  <c r="F35" i="7"/>
  <c r="E35" i="7"/>
  <c r="A35" i="7"/>
  <c r="B35" i="7"/>
  <c r="BJ34" i="7"/>
  <c r="BI34" i="7"/>
  <c r="BH34" i="7"/>
  <c r="BG34" i="7"/>
  <c r="BF34" i="7"/>
  <c r="BE34" i="7"/>
  <c r="BD34" i="7"/>
  <c r="BC34" i="7"/>
  <c r="BB34" i="7"/>
  <c r="AI34" i="7"/>
  <c r="F34" i="7"/>
  <c r="E34" i="7"/>
  <c r="A34" i="7"/>
  <c r="B34" i="7"/>
  <c r="BJ33" i="7"/>
  <c r="BI33" i="7"/>
  <c r="BH33" i="7"/>
  <c r="BG33" i="7"/>
  <c r="BF33" i="7"/>
  <c r="BE33" i="7"/>
  <c r="BD33" i="7"/>
  <c r="BC33" i="7"/>
  <c r="BB33" i="7"/>
  <c r="AI33" i="7"/>
  <c r="F33" i="7"/>
  <c r="E33" i="7"/>
  <c r="A33" i="7"/>
  <c r="B33" i="7"/>
  <c r="BJ32" i="7"/>
  <c r="BI32" i="7"/>
  <c r="BH32" i="7"/>
  <c r="BG32" i="7"/>
  <c r="BF32" i="7"/>
  <c r="BE32" i="7"/>
  <c r="BD32" i="7"/>
  <c r="BC32" i="7"/>
  <c r="BB32" i="7"/>
  <c r="AI32" i="7"/>
  <c r="F32" i="7"/>
  <c r="E32" i="7"/>
  <c r="A32" i="7"/>
  <c r="B32" i="7"/>
  <c r="BJ31" i="7"/>
  <c r="BI31" i="7"/>
  <c r="BH31" i="7"/>
  <c r="BG31" i="7"/>
  <c r="BF31" i="7"/>
  <c r="BE31" i="7"/>
  <c r="BD31" i="7"/>
  <c r="BC31" i="7"/>
  <c r="BB31" i="7"/>
  <c r="AI31" i="7"/>
  <c r="F31" i="7"/>
  <c r="E31" i="7"/>
  <c r="A31" i="7"/>
  <c r="B31" i="7"/>
  <c r="BJ30" i="7"/>
  <c r="BI30" i="7"/>
  <c r="BH30" i="7"/>
  <c r="BG30" i="7"/>
  <c r="BF30" i="7"/>
  <c r="BE30" i="7"/>
  <c r="BD30" i="7"/>
  <c r="BC30" i="7"/>
  <c r="BB30" i="7"/>
  <c r="AI30" i="7"/>
  <c r="F30" i="7"/>
  <c r="E30" i="7"/>
  <c r="A30" i="7"/>
  <c r="B30" i="7"/>
  <c r="BJ29" i="7"/>
  <c r="BI29" i="7"/>
  <c r="BH29" i="7"/>
  <c r="BG29" i="7"/>
  <c r="BF29" i="7"/>
  <c r="BE29" i="7"/>
  <c r="BD29" i="7"/>
  <c r="BC29" i="7"/>
  <c r="BB29" i="7"/>
  <c r="AI29" i="7"/>
  <c r="E29" i="7"/>
  <c r="A29" i="7"/>
  <c r="B29" i="7"/>
  <c r="BJ28" i="7"/>
  <c r="BI28" i="7"/>
  <c r="BH28" i="7"/>
  <c r="BG28" i="7"/>
  <c r="BF28" i="7"/>
  <c r="BE28" i="7"/>
  <c r="BD28" i="7"/>
  <c r="BC28" i="7"/>
  <c r="BB28" i="7"/>
  <c r="AI28" i="7"/>
  <c r="E28" i="7"/>
  <c r="A28" i="7"/>
  <c r="B28" i="7"/>
  <c r="BJ27" i="7"/>
  <c r="BI27" i="7"/>
  <c r="BH27" i="7"/>
  <c r="BG27" i="7"/>
  <c r="BF27" i="7"/>
  <c r="BE27" i="7"/>
  <c r="BD27" i="7"/>
  <c r="BC27" i="7"/>
  <c r="BB27" i="7"/>
  <c r="AI27" i="7"/>
  <c r="E27" i="7"/>
  <c r="A27" i="7"/>
  <c r="B27" i="7"/>
  <c r="BJ26" i="7"/>
  <c r="BI26" i="7"/>
  <c r="BH26" i="7"/>
  <c r="BG26" i="7"/>
  <c r="BF26" i="7"/>
  <c r="BE26" i="7"/>
  <c r="BD26" i="7"/>
  <c r="BC26" i="7"/>
  <c r="BB26" i="7"/>
  <c r="AI26" i="7"/>
  <c r="E26" i="7"/>
  <c r="A26" i="7"/>
  <c r="B26" i="7"/>
  <c r="BJ25" i="7"/>
  <c r="BI25" i="7"/>
  <c r="BH25" i="7"/>
  <c r="BG25" i="7"/>
  <c r="BF25" i="7"/>
  <c r="BE25" i="7"/>
  <c r="BD25" i="7"/>
  <c r="BC25" i="7"/>
  <c r="BB25" i="7"/>
  <c r="AI25" i="7"/>
  <c r="E25" i="7"/>
  <c r="A25" i="7"/>
  <c r="B25" i="7"/>
  <c r="BJ24" i="7"/>
  <c r="BI24" i="7"/>
  <c r="BH24" i="7"/>
  <c r="BG24" i="7"/>
  <c r="BF24" i="7"/>
  <c r="BE24" i="7"/>
  <c r="BD24" i="7"/>
  <c r="BC24" i="7"/>
  <c r="BB24" i="7"/>
  <c r="AI24" i="7"/>
  <c r="E24" i="7"/>
  <c r="A24" i="7"/>
  <c r="B24" i="7"/>
  <c r="BJ23" i="7"/>
  <c r="BI23" i="7"/>
  <c r="BH23" i="7"/>
  <c r="BG23" i="7"/>
  <c r="BF23" i="7"/>
  <c r="BE23" i="7"/>
  <c r="BD23" i="7"/>
  <c r="BC23" i="7"/>
  <c r="BB23" i="7"/>
  <c r="AI23" i="7"/>
  <c r="F23" i="7"/>
  <c r="E23" i="7"/>
  <c r="A23" i="7"/>
  <c r="B23" i="7"/>
  <c r="BJ22" i="7"/>
  <c r="BI22" i="7"/>
  <c r="BH22" i="7"/>
  <c r="BG22" i="7"/>
  <c r="BF22" i="7"/>
  <c r="BE22" i="7"/>
  <c r="BD22" i="7"/>
  <c r="BC22" i="7"/>
  <c r="BB22" i="7"/>
  <c r="AI22" i="7"/>
  <c r="F22" i="7"/>
  <c r="E22" i="7"/>
  <c r="A22" i="7"/>
  <c r="B22" i="7"/>
  <c r="BJ21" i="7"/>
  <c r="BI21" i="7"/>
  <c r="BH21" i="7"/>
  <c r="BG21" i="7"/>
  <c r="BF21" i="7"/>
  <c r="BE21" i="7"/>
  <c r="BD21" i="7"/>
  <c r="BC21" i="7"/>
  <c r="BB21" i="7"/>
  <c r="AI21" i="7"/>
  <c r="F21" i="7"/>
  <c r="E21" i="7"/>
  <c r="A21" i="7"/>
  <c r="B21" i="7"/>
  <c r="BJ20" i="7"/>
  <c r="BI20" i="7"/>
  <c r="BH20" i="7"/>
  <c r="BG20" i="7"/>
  <c r="BF20" i="7"/>
  <c r="BE20" i="7"/>
  <c r="BD20" i="7"/>
  <c r="BC20" i="7"/>
  <c r="BB20" i="7"/>
  <c r="AI20" i="7"/>
  <c r="F20" i="7"/>
  <c r="E20" i="7"/>
  <c r="A20" i="7"/>
  <c r="B20" i="7"/>
  <c r="BJ19" i="7"/>
  <c r="BI19" i="7"/>
  <c r="BH19" i="7"/>
  <c r="BG19" i="7"/>
  <c r="BF19" i="7"/>
  <c r="BE19" i="7"/>
  <c r="BD19" i="7"/>
  <c r="BC19" i="7"/>
  <c r="BB19" i="7"/>
  <c r="AI19" i="7"/>
  <c r="F19" i="7"/>
  <c r="E19" i="7"/>
  <c r="A19" i="7"/>
  <c r="B19" i="7"/>
  <c r="BJ18" i="7"/>
  <c r="BI18" i="7"/>
  <c r="BH18" i="7"/>
  <c r="BG18" i="7"/>
  <c r="BF18" i="7"/>
  <c r="BE18" i="7"/>
  <c r="BD18" i="7"/>
  <c r="BC18" i="7"/>
  <c r="BB18" i="7"/>
  <c r="AI18" i="7"/>
  <c r="Q18" i="7"/>
  <c r="F18" i="7"/>
  <c r="E18" i="7"/>
  <c r="A18" i="7"/>
  <c r="B18" i="7"/>
  <c r="BJ17" i="7"/>
  <c r="BI17" i="7"/>
  <c r="BH17" i="7"/>
  <c r="BG17" i="7"/>
  <c r="BF17" i="7"/>
  <c r="BE17" i="7"/>
  <c r="BD17" i="7"/>
  <c r="BC17" i="7"/>
  <c r="BB17" i="7"/>
  <c r="AI17" i="7"/>
  <c r="Q17" i="7"/>
  <c r="F17" i="7"/>
  <c r="E17" i="7"/>
  <c r="A17" i="7"/>
  <c r="B17" i="7"/>
  <c r="BJ16" i="7"/>
  <c r="BI16" i="7"/>
  <c r="BH16" i="7"/>
  <c r="BG16" i="7"/>
  <c r="BF16" i="7"/>
  <c r="BE16" i="7"/>
  <c r="BD16" i="7"/>
  <c r="BC16" i="7"/>
  <c r="BB16" i="7"/>
  <c r="AI16" i="7"/>
  <c r="Q16" i="7"/>
  <c r="F16" i="7"/>
  <c r="E16" i="7"/>
  <c r="A16" i="7"/>
  <c r="B16" i="7"/>
  <c r="BJ15" i="7"/>
  <c r="BI15" i="7"/>
  <c r="BH15" i="7"/>
  <c r="BG15" i="7"/>
  <c r="BF15" i="7"/>
  <c r="BE15" i="7"/>
  <c r="BD15" i="7"/>
  <c r="BC15" i="7"/>
  <c r="BB15" i="7"/>
  <c r="AI15" i="7"/>
  <c r="Q15" i="7"/>
  <c r="F15" i="7"/>
  <c r="E15" i="7"/>
  <c r="A15" i="7"/>
  <c r="B15" i="7"/>
  <c r="BJ14" i="7"/>
  <c r="BI14" i="7"/>
  <c r="BH14" i="7"/>
  <c r="BG14" i="7"/>
  <c r="BF14" i="7"/>
  <c r="BE14" i="7"/>
  <c r="BD14" i="7"/>
  <c r="BC14" i="7"/>
  <c r="BB14" i="7"/>
  <c r="AI14" i="7"/>
  <c r="Q14" i="7"/>
  <c r="F14" i="7"/>
  <c r="E14" i="7"/>
  <c r="A14" i="7"/>
  <c r="B14" i="7"/>
  <c r="BJ13" i="7"/>
  <c r="BI13" i="7"/>
  <c r="BH13" i="7"/>
  <c r="BG13" i="7"/>
  <c r="BF13" i="7"/>
  <c r="BE13" i="7"/>
  <c r="BD13" i="7"/>
  <c r="BC13" i="7"/>
  <c r="BB13" i="7"/>
  <c r="AI13" i="7"/>
  <c r="Q13" i="7"/>
  <c r="E13" i="7"/>
  <c r="A13" i="7"/>
  <c r="B13" i="7"/>
  <c r="BJ12" i="7"/>
  <c r="BI12" i="7"/>
  <c r="BH12" i="7"/>
  <c r="BG12" i="7"/>
  <c r="BF12" i="7"/>
  <c r="BE12" i="7"/>
  <c r="BD12" i="7"/>
  <c r="BC12" i="7"/>
  <c r="BB12" i="7"/>
  <c r="AI12" i="7"/>
  <c r="Q12" i="7"/>
  <c r="E12" i="7"/>
  <c r="A12" i="7"/>
  <c r="B12" i="7"/>
  <c r="BJ11" i="7"/>
  <c r="BI11" i="7"/>
  <c r="BH11" i="7"/>
  <c r="BG11" i="7"/>
  <c r="BF11" i="7"/>
  <c r="BE11" i="7"/>
  <c r="BD11" i="7"/>
  <c r="BC11" i="7"/>
  <c r="BB11" i="7"/>
  <c r="AI11" i="7"/>
  <c r="Q11" i="7"/>
  <c r="E11" i="7"/>
  <c r="A11" i="7"/>
  <c r="B11" i="7"/>
  <c r="BJ10" i="7"/>
  <c r="BI10" i="7"/>
  <c r="BH10" i="7"/>
  <c r="BG10" i="7"/>
  <c r="BF10" i="7"/>
  <c r="BE10" i="7"/>
  <c r="BD10" i="7"/>
  <c r="BC10" i="7"/>
  <c r="BB10" i="7"/>
  <c r="AI10" i="7"/>
  <c r="Q10" i="7"/>
  <c r="E10" i="7"/>
  <c r="A10" i="7"/>
  <c r="B10" i="7"/>
  <c r="BJ9" i="7"/>
  <c r="BI9" i="7"/>
  <c r="BH9" i="7"/>
  <c r="BG9" i="7"/>
  <c r="BF9" i="7"/>
  <c r="BE9" i="7"/>
  <c r="BD9" i="7"/>
  <c r="BC9" i="7"/>
  <c r="BB9" i="7"/>
  <c r="AI9" i="7"/>
  <c r="Q9" i="7"/>
  <c r="F9" i="7"/>
  <c r="E9" i="7"/>
  <c r="A9" i="7"/>
  <c r="B9" i="7"/>
  <c r="BJ8" i="7"/>
  <c r="BI8" i="7"/>
  <c r="BH8" i="7"/>
  <c r="BG8" i="7"/>
  <c r="BF8" i="7"/>
  <c r="BE8" i="7"/>
  <c r="BD8" i="7"/>
  <c r="BC8" i="7"/>
  <c r="BB8" i="7"/>
  <c r="AI8" i="7"/>
  <c r="Q8" i="7"/>
  <c r="F8" i="7"/>
  <c r="E8" i="7"/>
  <c r="A8" i="7"/>
  <c r="B8" i="7"/>
  <c r="BJ7" i="7"/>
  <c r="BI7" i="7"/>
  <c r="BH7" i="7"/>
  <c r="BG7" i="7"/>
  <c r="BF7" i="7"/>
  <c r="BE7" i="7"/>
  <c r="BD7" i="7"/>
  <c r="BC7" i="7"/>
  <c r="BB7" i="7"/>
  <c r="AI7" i="7"/>
  <c r="Q7" i="7"/>
  <c r="F7" i="7"/>
  <c r="E7" i="7"/>
  <c r="A7" i="7"/>
  <c r="B7" i="7"/>
  <c r="BJ6" i="7"/>
  <c r="BI6" i="7"/>
  <c r="BH6" i="7"/>
  <c r="BG6" i="7"/>
  <c r="BF6" i="7"/>
  <c r="BE6" i="7"/>
  <c r="BD6" i="7"/>
  <c r="BC6" i="7"/>
  <c r="BB6" i="7"/>
  <c r="AI6" i="7"/>
  <c r="Q6" i="7"/>
  <c r="F6" i="7"/>
  <c r="E6" i="7"/>
  <c r="A6" i="7"/>
  <c r="B6" i="7"/>
  <c r="BJ5" i="7"/>
  <c r="BI5" i="7"/>
  <c r="BH5" i="7"/>
  <c r="BG5" i="7"/>
  <c r="BF5" i="7"/>
  <c r="BE5" i="7"/>
  <c r="BD5" i="7"/>
  <c r="BC5" i="7"/>
  <c r="BB5" i="7"/>
  <c r="AI5" i="7"/>
  <c r="Q5" i="7"/>
  <c r="F5" i="7"/>
  <c r="E5" i="7"/>
  <c r="A5" i="7"/>
  <c r="B5" i="7"/>
  <c r="BJ4" i="7"/>
  <c r="BI4" i="7"/>
  <c r="BH4" i="7"/>
  <c r="BG4" i="7"/>
  <c r="BF4" i="7"/>
  <c r="BE4" i="7"/>
  <c r="BD4" i="7"/>
  <c r="BC4" i="7"/>
  <c r="BB4" i="7"/>
  <c r="AI4" i="7"/>
  <c r="Q4" i="7"/>
  <c r="F4" i="7"/>
  <c r="E4" i="7"/>
  <c r="A4" i="7"/>
  <c r="B4" i="7"/>
  <c r="B3" i="6"/>
  <c r="B3" i="4"/>
  <c r="C77" i="2"/>
  <c r="B77" i="2"/>
  <c r="C76" i="2"/>
  <c r="B76" i="2"/>
  <c r="C75" i="2"/>
  <c r="B75" i="2"/>
  <c r="D75" i="2"/>
  <c r="C74" i="2"/>
  <c r="B74" i="2"/>
  <c r="D74" i="2"/>
  <c r="C73" i="2"/>
  <c r="B73" i="2"/>
  <c r="D73" i="2"/>
  <c r="C72" i="2"/>
  <c r="B72" i="2"/>
  <c r="D72" i="2"/>
  <c r="C71" i="2"/>
  <c r="B71" i="2"/>
  <c r="D71" i="2"/>
  <c r="C70" i="2"/>
  <c r="B70" i="2"/>
  <c r="D70" i="2"/>
  <c r="C69" i="2"/>
  <c r="B69" i="2"/>
  <c r="D69" i="2"/>
  <c r="C68" i="2"/>
  <c r="B68" i="2"/>
  <c r="C67" i="2"/>
  <c r="B67" i="2"/>
  <c r="D67" i="2"/>
  <c r="C66" i="2"/>
  <c r="B66" i="2"/>
  <c r="D66" i="2"/>
  <c r="C65" i="2"/>
  <c r="B65" i="2"/>
  <c r="D65" i="2"/>
  <c r="C64" i="2"/>
  <c r="B64" i="2"/>
  <c r="D64" i="2"/>
  <c r="C63" i="2"/>
  <c r="B63" i="2"/>
  <c r="C62" i="2"/>
  <c r="B62" i="2"/>
  <c r="C61" i="2"/>
  <c r="B61" i="2"/>
  <c r="C60" i="2"/>
  <c r="B60" i="2"/>
  <c r="O5" i="2"/>
  <c r="N5" i="2"/>
  <c r="M5" i="2"/>
  <c r="L5" i="2"/>
  <c r="K5" i="2"/>
  <c r="J5" i="2"/>
  <c r="I5" i="2"/>
  <c r="H5" i="2"/>
  <c r="B3" i="2"/>
  <c r="X10" i="8"/>
  <c r="W10" i="8"/>
  <c r="V10" i="8"/>
  <c r="U10" i="8"/>
  <c r="T10" i="8"/>
  <c r="S10" i="8"/>
  <c r="R10" i="8"/>
  <c r="Q10" i="8"/>
  <c r="P10" i="8"/>
  <c r="O10" i="8"/>
  <c r="X11" i="8"/>
  <c r="W11" i="8"/>
  <c r="V11" i="8"/>
  <c r="U11" i="8"/>
  <c r="T11" i="8"/>
  <c r="S11" i="8"/>
  <c r="R11" i="8"/>
  <c r="Q11" i="8"/>
  <c r="P11" i="8"/>
  <c r="O11" i="8"/>
  <c r="P21" i="8"/>
  <c r="O21" i="8"/>
  <c r="N21" i="8"/>
  <c r="P22" i="8"/>
  <c r="O22" i="8"/>
  <c r="N22" i="8"/>
  <c r="AF75" i="9" a="1"/>
  <c r="AF75" i="9"/>
  <c r="W75" i="9" a="1"/>
  <c r="W75" i="9"/>
  <c r="U75" i="9" a="1"/>
  <c r="U75" i="9"/>
  <c r="AF74" i="9" a="1"/>
  <c r="AF74" i="9"/>
  <c r="W74" i="9" a="1"/>
  <c r="W74" i="9"/>
  <c r="U74" i="9" a="1"/>
  <c r="U74" i="9"/>
  <c r="AF73" i="9" a="1"/>
  <c r="AF73" i="9"/>
  <c r="W73" i="9" a="1"/>
  <c r="W73" i="9"/>
  <c r="U73" i="9" a="1"/>
  <c r="U73" i="9"/>
  <c r="AF72" i="9" a="1"/>
  <c r="AF72" i="9"/>
  <c r="W72" i="9" a="1"/>
  <c r="W72" i="9"/>
  <c r="U72" i="9" a="1"/>
  <c r="U72" i="9"/>
  <c r="AF71" i="9" a="1"/>
  <c r="AF71" i="9"/>
  <c r="W71" i="9" a="1"/>
  <c r="W71" i="9"/>
  <c r="U71" i="9" a="1"/>
  <c r="U71" i="9"/>
  <c r="U70" i="9" a="1"/>
  <c r="U70" i="9"/>
  <c r="AF69" i="9" a="1"/>
  <c r="AF69" i="9"/>
  <c r="W69" i="9" a="1"/>
  <c r="W69" i="9"/>
  <c r="U69" i="9" a="1"/>
  <c r="U69" i="9"/>
  <c r="AF68" i="9" a="1"/>
  <c r="AF68" i="9"/>
  <c r="W68" i="9" a="1"/>
  <c r="W68" i="9"/>
  <c r="U68" i="9" a="1"/>
  <c r="U68" i="9"/>
  <c r="AF67" i="9" a="1"/>
  <c r="AF67" i="9"/>
  <c r="W67" i="9" a="1"/>
  <c r="W67" i="9"/>
  <c r="U67" i="9" a="1"/>
  <c r="U67" i="9"/>
  <c r="AF66" i="9" a="1"/>
  <c r="AF66" i="9"/>
  <c r="W66" i="9" a="1"/>
  <c r="W66" i="9"/>
  <c r="U66" i="9" a="1"/>
  <c r="U66" i="9"/>
  <c r="AF65" i="9" a="1"/>
  <c r="AF65" i="9"/>
  <c r="W65" i="9" a="1"/>
  <c r="W65" i="9"/>
  <c r="U65" i="9" a="1"/>
  <c r="U65" i="9"/>
  <c r="AF64" i="9" a="1"/>
  <c r="AF64" i="9"/>
  <c r="W64" i="9" a="1"/>
  <c r="W64" i="9"/>
  <c r="U64" i="9" a="1"/>
  <c r="U64" i="9"/>
  <c r="AF63" i="9" a="1"/>
  <c r="AF63" i="9"/>
  <c r="W63" i="9" a="1"/>
  <c r="W63" i="9"/>
  <c r="U63" i="9" a="1"/>
  <c r="U63" i="9"/>
  <c r="AF62" i="9" a="1"/>
  <c r="AF62" i="9"/>
  <c r="W62" i="9" a="1"/>
  <c r="W62" i="9"/>
  <c r="U62" i="9" a="1"/>
  <c r="U62" i="9"/>
  <c r="AF61" i="9" a="1"/>
  <c r="AF61" i="9"/>
  <c r="W61" i="9" a="1"/>
  <c r="W61" i="9"/>
  <c r="U61" i="9" a="1"/>
  <c r="U61" i="9"/>
  <c r="AF60" i="9" a="1"/>
  <c r="AF60" i="9"/>
  <c r="W60" i="9" a="1"/>
  <c r="W60" i="9"/>
  <c r="U60" i="9" a="1"/>
  <c r="U60" i="9"/>
  <c r="AF59" i="9" a="1"/>
  <c r="AF59" i="9"/>
  <c r="W59" i="9" a="1"/>
  <c r="W59" i="9"/>
  <c r="U59" i="9" a="1"/>
  <c r="U59" i="9"/>
  <c r="AF58" i="9" a="1"/>
  <c r="AF58" i="9"/>
  <c r="W58" i="9" a="1"/>
  <c r="W58" i="9"/>
  <c r="U58" i="9" a="1"/>
  <c r="U58" i="9"/>
  <c r="AF57" i="9" a="1"/>
  <c r="AF57" i="9"/>
  <c r="W57" i="9" a="1"/>
  <c r="W57" i="9"/>
  <c r="U57" i="9" a="1"/>
  <c r="U57" i="9"/>
  <c r="AF56" i="9" a="1"/>
  <c r="AF56" i="9"/>
  <c r="W56" i="9" a="1"/>
  <c r="W56" i="9"/>
  <c r="U56" i="9" a="1"/>
  <c r="U56" i="9"/>
  <c r="U55" i="9" a="1"/>
  <c r="U55" i="9"/>
  <c r="AF54" i="9" a="1"/>
  <c r="AF54" i="9"/>
  <c r="W54" i="9" a="1"/>
  <c r="W54" i="9"/>
  <c r="U54" i="9" a="1"/>
  <c r="U54" i="9"/>
  <c r="AF53" i="9" a="1"/>
  <c r="AF53" i="9"/>
  <c r="W53" i="9" a="1"/>
  <c r="W53" i="9"/>
  <c r="U53" i="9" a="1"/>
  <c r="U53" i="9"/>
  <c r="AF52" i="9" a="1"/>
  <c r="AF52" i="9"/>
  <c r="W52" i="9" a="1"/>
  <c r="W52" i="9"/>
  <c r="U52" i="9" a="1"/>
  <c r="U52" i="9"/>
  <c r="AF51" i="9" a="1"/>
  <c r="AF51" i="9"/>
  <c r="W51" i="9" a="1"/>
  <c r="W51" i="9"/>
  <c r="U51" i="9" a="1"/>
  <c r="U51" i="9"/>
  <c r="AF50" i="9" a="1"/>
  <c r="AF50" i="9"/>
  <c r="W50" i="9" a="1"/>
  <c r="W50" i="9"/>
  <c r="U50" i="9" a="1"/>
  <c r="U50" i="9"/>
  <c r="AF49" i="9" a="1"/>
  <c r="AF49" i="9"/>
  <c r="W49" i="9" a="1"/>
  <c r="W49" i="9"/>
  <c r="U49" i="9" a="1"/>
  <c r="U49" i="9"/>
  <c r="AF48" i="9" a="1"/>
  <c r="AF48" i="9"/>
  <c r="W48" i="9" a="1"/>
  <c r="W48" i="9"/>
  <c r="U48" i="9" a="1"/>
  <c r="U48" i="9"/>
  <c r="AF47" i="9" a="1"/>
  <c r="AF47" i="9"/>
  <c r="W47" i="9" a="1"/>
  <c r="W47" i="9"/>
  <c r="U47" i="9" a="1"/>
  <c r="U47" i="9"/>
  <c r="AF46" i="9" a="1"/>
  <c r="AF46" i="9"/>
  <c r="W46" i="9" a="1"/>
  <c r="W46" i="9"/>
  <c r="U46" i="9" a="1"/>
  <c r="U46" i="9"/>
  <c r="AF45" i="9" a="1"/>
  <c r="AF45" i="9"/>
  <c r="W45" i="9" a="1"/>
  <c r="W45" i="9"/>
  <c r="U45" i="9" a="1"/>
  <c r="U45" i="9"/>
  <c r="AF44" i="9" a="1"/>
  <c r="AF44" i="9"/>
  <c r="W44" i="9" a="1"/>
  <c r="W44" i="9"/>
  <c r="U44" i="9" a="1"/>
  <c r="U44" i="9"/>
  <c r="AF43" i="9" a="1"/>
  <c r="AF43" i="9"/>
  <c r="W43" i="9" a="1"/>
  <c r="W43" i="9"/>
  <c r="U43" i="9" a="1"/>
  <c r="U43" i="9"/>
  <c r="AF42" i="9" a="1"/>
  <c r="AF42" i="9"/>
  <c r="W42" i="9" a="1"/>
  <c r="W42" i="9"/>
  <c r="U42" i="9" a="1"/>
  <c r="U42" i="9"/>
  <c r="AF41" i="9" a="1"/>
  <c r="AF41" i="9"/>
  <c r="W41" i="9" a="1"/>
  <c r="W41" i="9"/>
  <c r="U41" i="9" a="1"/>
  <c r="U41" i="9"/>
  <c r="AF40" i="9" a="1"/>
  <c r="AF40" i="9"/>
  <c r="W40" i="9" a="1"/>
  <c r="W40" i="9"/>
  <c r="U40" i="9" a="1"/>
  <c r="U40" i="9"/>
  <c r="AF39" i="9" a="1"/>
  <c r="AF39" i="9"/>
  <c r="W39" i="9" a="1"/>
  <c r="W39" i="9"/>
  <c r="U39" i="9" a="1"/>
  <c r="U39" i="9"/>
  <c r="U38" i="9" a="1"/>
  <c r="U38" i="9"/>
  <c r="U37" i="9" a="1"/>
  <c r="U37" i="9"/>
  <c r="AF36" i="9" a="1"/>
  <c r="AF36" i="9"/>
  <c r="W36" i="9" a="1"/>
  <c r="W36" i="9"/>
  <c r="U36" i="9" a="1"/>
  <c r="U36" i="9"/>
  <c r="AF35" i="9" a="1"/>
  <c r="AF35" i="9"/>
  <c r="W35" i="9" a="1"/>
  <c r="W35" i="9"/>
  <c r="U35" i="9" a="1"/>
  <c r="U35" i="9"/>
  <c r="AF34" i="9" a="1"/>
  <c r="AF34" i="9"/>
  <c r="W34" i="9" a="1"/>
  <c r="W34" i="9"/>
  <c r="U34" i="9" a="1"/>
  <c r="U34" i="9"/>
  <c r="AF33" i="9" a="1"/>
  <c r="AF33" i="9"/>
  <c r="W33" i="9" a="1"/>
  <c r="W33" i="9"/>
  <c r="U33" i="9" a="1"/>
  <c r="U33" i="9"/>
  <c r="AF32" i="9" a="1"/>
  <c r="AF32" i="9"/>
  <c r="W32" i="9" a="1"/>
  <c r="W32" i="9"/>
  <c r="U32" i="9" a="1"/>
  <c r="U32" i="9"/>
  <c r="AF31" i="9" a="1"/>
  <c r="AF31" i="9"/>
  <c r="W31" i="9" a="1"/>
  <c r="W31" i="9"/>
  <c r="U31" i="9" a="1"/>
  <c r="U31" i="9"/>
  <c r="AF30" i="9" a="1"/>
  <c r="AF30" i="9"/>
  <c r="W30" i="9" a="1"/>
  <c r="W30" i="9"/>
  <c r="U30" i="9" a="1"/>
  <c r="U30" i="9"/>
  <c r="U29" i="9" a="1"/>
  <c r="U29" i="9"/>
  <c r="AF28" i="9" a="1"/>
  <c r="AF28" i="9"/>
  <c r="W28" i="9" a="1"/>
  <c r="W28" i="9"/>
  <c r="U28" i="9" a="1"/>
  <c r="U28" i="9"/>
  <c r="AF27" i="9" a="1"/>
  <c r="AF27" i="9"/>
  <c r="W27" i="9" a="1"/>
  <c r="W27" i="9"/>
  <c r="U27" i="9" a="1"/>
  <c r="U27" i="9"/>
  <c r="AF26" i="9" a="1"/>
  <c r="AF26" i="9"/>
  <c r="W26" i="9" a="1"/>
  <c r="W26" i="9"/>
  <c r="U26" i="9" a="1"/>
  <c r="U26" i="9"/>
  <c r="AF25" i="9" a="1"/>
  <c r="AF25" i="9"/>
  <c r="W25" i="9" a="1"/>
  <c r="W25" i="9"/>
  <c r="U25" i="9" a="1"/>
  <c r="U25" i="9"/>
  <c r="U24" i="9" a="1"/>
  <c r="U24" i="9"/>
  <c r="AF23" i="9" a="1"/>
  <c r="AF23" i="9"/>
  <c r="W23" i="9" a="1"/>
  <c r="W23" i="9"/>
  <c r="U23" i="9" a="1"/>
  <c r="U23" i="9"/>
  <c r="AF22" i="9" a="1"/>
  <c r="AF22" i="9"/>
  <c r="W22" i="9" a="1"/>
  <c r="W22" i="9"/>
  <c r="U22" i="9" a="1"/>
  <c r="U22" i="9"/>
  <c r="AF21" i="9" a="1"/>
  <c r="AF21" i="9"/>
  <c r="W21" i="9" a="1"/>
  <c r="W21" i="9"/>
  <c r="U21" i="9" a="1"/>
  <c r="U21" i="9"/>
  <c r="AF20" i="9" a="1"/>
  <c r="AF20" i="9"/>
  <c r="W20" i="9" a="1"/>
  <c r="W20" i="9"/>
  <c r="U20" i="9" a="1"/>
  <c r="U20" i="9"/>
  <c r="U19" i="9" a="1"/>
  <c r="U19" i="9"/>
  <c r="AF18" i="9" a="1"/>
  <c r="AF18" i="9"/>
  <c r="W18" i="9" a="1"/>
  <c r="W18" i="9"/>
  <c r="U18" i="9" a="1"/>
  <c r="U18" i="9"/>
  <c r="U17" i="9" a="1"/>
  <c r="U17" i="9"/>
  <c r="AF16" i="9" a="1"/>
  <c r="AF16" i="9"/>
  <c r="W16" i="9" a="1"/>
  <c r="W16" i="9"/>
  <c r="U16" i="9" a="1"/>
  <c r="U16" i="9"/>
  <c r="AF15" i="9" a="1"/>
  <c r="AF15" i="9"/>
  <c r="W15" i="9" a="1"/>
  <c r="W15" i="9"/>
  <c r="U15" i="9" a="1"/>
  <c r="U15" i="9"/>
  <c r="AF14" i="9" a="1"/>
  <c r="AF14" i="9"/>
  <c r="W14" i="9" a="1"/>
  <c r="W14" i="9"/>
  <c r="U14" i="9" a="1"/>
  <c r="U14" i="9"/>
  <c r="AF13" i="9" a="1"/>
  <c r="AF13" i="9"/>
  <c r="W13" i="9" a="1"/>
  <c r="W13" i="9"/>
  <c r="U13" i="9" a="1"/>
  <c r="U13" i="9"/>
  <c r="AF12" i="9" a="1"/>
  <c r="AF12" i="9"/>
  <c r="W12" i="9" a="1"/>
  <c r="W12" i="9"/>
  <c r="U12" i="9" a="1"/>
  <c r="U12" i="9"/>
  <c r="AF11" i="9" a="1"/>
  <c r="AF11" i="9"/>
  <c r="W11" i="9" a="1"/>
  <c r="W11" i="9"/>
  <c r="U11" i="9" a="1"/>
  <c r="U11" i="9"/>
  <c r="AF10" i="9" a="1"/>
  <c r="AF10" i="9"/>
  <c r="W10" i="9" a="1"/>
  <c r="W10" i="9"/>
  <c r="U10" i="9" a="1"/>
  <c r="U10" i="9"/>
  <c r="AF9" i="9" a="1"/>
  <c r="AF9" i="9"/>
  <c r="W9" i="9" a="1"/>
  <c r="W9" i="9"/>
  <c r="U9" i="9" a="1"/>
  <c r="U9" i="9"/>
  <c r="U8" i="9" a="1"/>
  <c r="U8" i="9"/>
  <c r="U7" i="9" a="1"/>
  <c r="U7" i="9"/>
  <c r="AF6" i="9" a="1"/>
  <c r="AF6" i="9"/>
  <c r="W6" i="9" a="1"/>
  <c r="W6" i="9"/>
  <c r="U6" i="9" a="1"/>
  <c r="U6" i="9"/>
  <c r="AF5" i="9" a="1"/>
  <c r="AF5" i="9"/>
  <c r="W5" i="9" a="1"/>
  <c r="W5" i="9"/>
  <c r="U5" i="9" a="1"/>
  <c r="U5" i="9"/>
  <c r="U4" i="9" a="1"/>
  <c r="U4" i="9"/>
  <c r="M16" i="21" a="1"/>
  <c r="M16" i="21"/>
  <c r="M87" i="21" a="1"/>
  <c r="M87" i="21"/>
  <c r="M86" i="21" a="1"/>
  <c r="M86" i="21"/>
  <c r="M85" i="21" a="1"/>
  <c r="M85" i="21"/>
  <c r="M84" i="21" a="1"/>
  <c r="M84" i="21"/>
  <c r="M83" i="21" a="1"/>
  <c r="M83" i="21"/>
  <c r="M82" i="21" a="1"/>
  <c r="M82" i="21"/>
  <c r="M81" i="21" a="1"/>
  <c r="M81" i="21"/>
  <c r="M80" i="21" a="1"/>
  <c r="M80" i="21"/>
  <c r="M79" i="21" a="1"/>
  <c r="M79" i="21"/>
  <c r="M78" i="21" a="1"/>
  <c r="M78" i="21"/>
  <c r="M77" i="21" a="1"/>
  <c r="M77" i="21"/>
  <c r="M76" i="21" a="1"/>
  <c r="M76" i="21"/>
  <c r="M75" i="21" a="1"/>
  <c r="M75" i="21"/>
  <c r="M74" i="21" a="1"/>
  <c r="M74" i="21"/>
  <c r="M73" i="21" a="1"/>
  <c r="M73" i="21"/>
  <c r="M72" i="21" a="1"/>
  <c r="M72" i="21"/>
  <c r="M71" i="21" a="1"/>
  <c r="M71" i="21"/>
  <c r="M70" i="21" a="1"/>
  <c r="M70" i="21"/>
  <c r="M69" i="21" a="1"/>
  <c r="M69" i="21"/>
  <c r="M68" i="21" a="1"/>
  <c r="M68" i="21"/>
  <c r="M67" i="21" a="1"/>
  <c r="M67" i="21"/>
  <c r="M66" i="21" a="1"/>
  <c r="M66" i="21"/>
  <c r="M65" i="21" a="1"/>
  <c r="M65" i="21"/>
  <c r="M64" i="21" a="1"/>
  <c r="M64" i="21"/>
  <c r="M63" i="21" a="1"/>
  <c r="M63" i="21"/>
  <c r="M62" i="21" a="1"/>
  <c r="M62" i="21"/>
  <c r="M61" i="21" a="1"/>
  <c r="M61" i="21"/>
  <c r="M60" i="21" a="1"/>
  <c r="M60" i="21"/>
  <c r="M59" i="21" a="1"/>
  <c r="M59" i="21"/>
  <c r="M58" i="21" a="1"/>
  <c r="M58" i="21"/>
  <c r="M57" i="21" a="1"/>
  <c r="M57" i="21"/>
  <c r="M56" i="21" a="1"/>
  <c r="M56" i="21"/>
  <c r="M55" i="21" a="1"/>
  <c r="M55" i="21"/>
  <c r="M54" i="21" a="1"/>
  <c r="M54" i="21"/>
  <c r="M53" i="21" a="1"/>
  <c r="M53" i="21"/>
  <c r="M52" i="21" a="1"/>
  <c r="M52" i="21"/>
  <c r="M51" i="21" a="1"/>
  <c r="M51" i="21"/>
  <c r="M50" i="21" a="1"/>
  <c r="M50" i="21"/>
  <c r="M49" i="21" a="1"/>
  <c r="M49" i="21"/>
  <c r="M48" i="21" a="1"/>
  <c r="M48" i="21"/>
  <c r="M47" i="21" a="1"/>
  <c r="M47" i="21"/>
  <c r="M46" i="21" a="1"/>
  <c r="M46" i="21"/>
  <c r="M45" i="21" a="1"/>
  <c r="M45" i="21"/>
  <c r="M44" i="21" a="1"/>
  <c r="M44" i="21"/>
  <c r="M43" i="21" a="1"/>
  <c r="M43" i="21"/>
  <c r="M42" i="21" a="1"/>
  <c r="M42" i="21"/>
  <c r="M41" i="21" a="1"/>
  <c r="M41" i="21"/>
  <c r="M40" i="21" a="1"/>
  <c r="M40" i="21"/>
  <c r="M39" i="21" a="1"/>
  <c r="M39" i="21"/>
  <c r="M38" i="21" a="1"/>
  <c r="M38" i="21"/>
  <c r="M37" i="21" a="1"/>
  <c r="M37" i="21"/>
  <c r="M36" i="21" a="1"/>
  <c r="M36" i="21"/>
  <c r="M35" i="21" a="1"/>
  <c r="M35" i="21"/>
  <c r="M34" i="21" a="1"/>
  <c r="M34" i="21"/>
  <c r="M33" i="21" a="1"/>
  <c r="M33" i="21"/>
  <c r="M32" i="21" a="1"/>
  <c r="M32" i="21"/>
  <c r="M31" i="21" a="1"/>
  <c r="M31" i="21"/>
  <c r="M30" i="21" a="1"/>
  <c r="M30" i="21"/>
  <c r="M29" i="21" a="1"/>
  <c r="M29" i="21"/>
  <c r="M28" i="21" a="1"/>
  <c r="M28" i="21"/>
  <c r="M27" i="21" a="1"/>
  <c r="M27" i="21"/>
  <c r="M26" i="21" a="1"/>
  <c r="M26" i="21"/>
  <c r="M25" i="21" a="1"/>
  <c r="M25" i="21"/>
  <c r="M24" i="21" a="1"/>
  <c r="M24" i="21"/>
  <c r="M23" i="21" a="1"/>
  <c r="M23" i="21"/>
  <c r="M22" i="21" a="1"/>
  <c r="M22" i="21"/>
  <c r="M21" i="21" a="1"/>
  <c r="M21" i="21"/>
  <c r="M20" i="21" a="1"/>
  <c r="M20" i="21"/>
  <c r="M19" i="21" a="1"/>
  <c r="M19" i="21"/>
  <c r="M18" i="21" a="1"/>
  <c r="M18" i="21"/>
  <c r="M17" i="21" a="1"/>
  <c r="M17" i="21"/>
  <c r="K22" i="5" a="1"/>
  <c r="K22" i="5"/>
  <c r="J22" i="5" a="1"/>
  <c r="J22" i="5"/>
  <c r="M21" i="5"/>
  <c r="M22" i="5"/>
  <c r="M91" i="5"/>
  <c r="M92" i="5"/>
  <c r="K70" i="5" a="1"/>
  <c r="K70" i="5"/>
  <c r="J70" i="5" a="1"/>
  <c r="J70" i="5"/>
  <c r="M42" i="5"/>
  <c r="M43" i="5"/>
  <c r="K21" i="5" a="1"/>
  <c r="K21" i="5"/>
  <c r="J21" i="5" a="1"/>
  <c r="J21" i="5"/>
  <c r="K42" i="5" a="1"/>
  <c r="K42" i="5"/>
  <c r="K43" i="5" a="1"/>
  <c r="K43" i="5"/>
  <c r="J42" i="5" a="1"/>
  <c r="J42" i="5"/>
  <c r="J43" i="5" a="1"/>
  <c r="J43" i="5"/>
  <c r="K91" i="5" a="1"/>
  <c r="K91" i="5"/>
  <c r="K92" i="5" a="1"/>
  <c r="K92" i="5"/>
  <c r="J92" i="5" a="1"/>
  <c r="J92" i="5"/>
  <c r="H21" i="8"/>
  <c r="G21" i="8"/>
  <c r="B21" i="8"/>
  <c r="H22" i="8"/>
  <c r="G22" i="8"/>
  <c r="B22" i="8"/>
  <c r="O11" i="21"/>
  <c r="N11" i="21"/>
  <c r="O12" i="21"/>
  <c r="N12" i="21"/>
  <c r="J140" i="5" a="1"/>
  <c r="J140" i="5"/>
  <c r="J119" i="5" a="1"/>
  <c r="J119" i="5"/>
  <c r="C62" i="7"/>
  <c r="A149" i="21"/>
  <c r="C63" i="7"/>
  <c r="A150" i="21"/>
  <c r="C64" i="7"/>
  <c r="A151" i="21"/>
  <c r="C65" i="7"/>
  <c r="A152" i="21"/>
  <c r="C67" i="7"/>
  <c r="A154" i="21"/>
  <c r="C68" i="7"/>
  <c r="A155" i="21"/>
  <c r="C69" i="7"/>
  <c r="A156" i="21"/>
  <c r="C70" i="7"/>
  <c r="A157" i="21"/>
  <c r="C71" i="7"/>
  <c r="A158" i="21"/>
  <c r="C72" i="7"/>
  <c r="A159" i="21"/>
  <c r="C73" i="7"/>
  <c r="A160" i="21"/>
  <c r="A92" i="21"/>
  <c r="H17" i="21" a="1"/>
  <c r="H17" i="21"/>
  <c r="A93" i="21"/>
  <c r="H18" i="21" a="1"/>
  <c r="H18" i="21"/>
  <c r="A94" i="21"/>
  <c r="H19" i="21" a="1"/>
  <c r="H19" i="21"/>
  <c r="A95" i="21"/>
  <c r="H20" i="21" a="1"/>
  <c r="H20" i="21"/>
  <c r="A96" i="21"/>
  <c r="H21" i="21" a="1"/>
  <c r="H21" i="21"/>
  <c r="A101" i="21"/>
  <c r="H26" i="21" a="1"/>
  <c r="H26" i="21"/>
  <c r="A102" i="21"/>
  <c r="H27" i="21" a="1"/>
  <c r="H27" i="21"/>
  <c r="A103" i="21"/>
  <c r="H28" i="21" a="1"/>
  <c r="H28" i="21"/>
  <c r="A104" i="21"/>
  <c r="H29" i="21" a="1"/>
  <c r="H29" i="21"/>
  <c r="A105" i="21"/>
  <c r="H30" i="21" a="1"/>
  <c r="H30" i="21"/>
  <c r="A106" i="21"/>
  <c r="H31" i="21" a="1"/>
  <c r="H31" i="21"/>
  <c r="A107" i="21"/>
  <c r="H32" i="21" a="1"/>
  <c r="H32" i="21"/>
  <c r="A108" i="21"/>
  <c r="H33" i="21" a="1"/>
  <c r="H33" i="21"/>
  <c r="A109" i="21"/>
  <c r="H34" i="21" a="1"/>
  <c r="H34" i="21"/>
  <c r="A110" i="21"/>
  <c r="H35" i="21" a="1"/>
  <c r="H35" i="21"/>
  <c r="A117" i="21"/>
  <c r="H42" i="21" a="1"/>
  <c r="H42" i="21"/>
  <c r="A118" i="21"/>
  <c r="H43" i="21" a="1"/>
  <c r="H43" i="21"/>
  <c r="A119" i="21"/>
  <c r="H44" i="21" a="1"/>
  <c r="H44" i="21"/>
  <c r="A120" i="21"/>
  <c r="H45" i="21" a="1"/>
  <c r="H45" i="21"/>
  <c r="A121" i="21"/>
  <c r="H46" i="21" a="1"/>
  <c r="H46" i="21"/>
  <c r="A122" i="21"/>
  <c r="H47" i="21" a="1"/>
  <c r="H47" i="21"/>
  <c r="A123" i="21"/>
  <c r="H48" i="21" a="1"/>
  <c r="H48" i="21"/>
  <c r="A124" i="21"/>
  <c r="H49" i="21" a="1"/>
  <c r="H49" i="21"/>
  <c r="A127" i="21"/>
  <c r="H52" i="21" a="1"/>
  <c r="H52" i="21"/>
  <c r="A128" i="21"/>
  <c r="H53" i="21" a="1"/>
  <c r="H53" i="21"/>
  <c r="A133" i="21"/>
  <c r="H58" i="21" a="1"/>
  <c r="H58" i="21"/>
  <c r="A134" i="21"/>
  <c r="H59" i="21" a="1"/>
  <c r="H59" i="21"/>
  <c r="A135" i="21"/>
  <c r="H60" i="21" a="1"/>
  <c r="H60" i="21"/>
  <c r="A136" i="21"/>
  <c r="H61" i="21" a="1"/>
  <c r="H61" i="21"/>
  <c r="A137" i="21"/>
  <c r="H62" i="21" a="1"/>
  <c r="H62" i="21"/>
  <c r="A138" i="21"/>
  <c r="H63" i="21" a="1"/>
  <c r="H63" i="21"/>
  <c r="A141" i="21"/>
  <c r="H66" i="21" a="1"/>
  <c r="H66" i="21"/>
  <c r="C57" i="7"/>
  <c r="A144" i="21"/>
  <c r="H69" i="21" a="1"/>
  <c r="H69" i="21"/>
  <c r="A142" i="21"/>
  <c r="H67" i="21" a="1"/>
  <c r="H67" i="21"/>
  <c r="C56" i="7"/>
  <c r="A143" i="21"/>
  <c r="H68" i="21" a="1"/>
  <c r="H68" i="21"/>
  <c r="P11" i="21"/>
  <c r="M11" i="21"/>
  <c r="L11" i="21"/>
  <c r="K11" i="21"/>
  <c r="J11" i="21"/>
  <c r="I11" i="21"/>
  <c r="H11" i="21"/>
  <c r="G11" i="21"/>
  <c r="F11" i="21"/>
  <c r="E11" i="21"/>
  <c r="D11" i="21"/>
  <c r="C11" i="21"/>
  <c r="B11" i="21" a="1"/>
  <c r="B11" i="21"/>
  <c r="P12" i="21"/>
  <c r="M12" i="21"/>
  <c r="L12" i="21"/>
  <c r="K12" i="21"/>
  <c r="J12" i="21"/>
  <c r="I12" i="21"/>
  <c r="H12" i="21"/>
  <c r="G12" i="21"/>
  <c r="F12" i="21"/>
  <c r="E12" i="21"/>
  <c r="D12" i="21"/>
  <c r="C12" i="21"/>
  <c r="B12" i="21" a="1"/>
  <c r="B12" i="21"/>
  <c r="H16" i="21" a="1"/>
  <c r="H16" i="21"/>
  <c r="B16" i="21"/>
  <c r="F12" i="4"/>
  <c r="G12" i="4" a="1"/>
  <c r="G12" i="4"/>
  <c r="L12" i="4"/>
  <c r="B25" i="4"/>
  <c r="B24" i="4" a="1"/>
  <c r="B24" i="4"/>
  <c r="I18" i="4" a="1"/>
  <c r="I18" i="4"/>
  <c r="R590" i="5"/>
  <c r="A593" i="5"/>
  <c r="I19" i="4" a="1"/>
  <c r="I19" i="4"/>
  <c r="R639" i="5"/>
  <c r="A642" i="5"/>
  <c r="I20" i="4" a="1"/>
  <c r="I20" i="4"/>
  <c r="R688" i="5"/>
  <c r="A691" i="5"/>
  <c r="I21" i="4" a="1"/>
  <c r="I21" i="4"/>
  <c r="H18" i="4" a="1"/>
  <c r="H18" i="4"/>
  <c r="H19" i="4" a="1"/>
  <c r="H19" i="4"/>
  <c r="H20" i="4" a="1"/>
  <c r="H20" i="4"/>
  <c r="H21" i="4" a="1"/>
  <c r="H21" i="4"/>
  <c r="G6" i="4" a="1"/>
  <c r="G6" i="4"/>
  <c r="G7" i="4" a="1"/>
  <c r="G7" i="4"/>
  <c r="G8" i="4" a="1"/>
  <c r="G8" i="4"/>
  <c r="G9" i="4" a="1"/>
  <c r="G9" i="4"/>
  <c r="L9" i="4"/>
  <c r="G10" i="4" a="1"/>
  <c r="G10" i="4"/>
  <c r="L10" i="4"/>
  <c r="G11" i="4" a="1"/>
  <c r="G11" i="4"/>
  <c r="G13" i="4" a="1"/>
  <c r="G13" i="4"/>
  <c r="L13" i="4"/>
  <c r="G14" i="4" a="1"/>
  <c r="G14" i="4"/>
  <c r="L14" i="4"/>
  <c r="G15" i="4" a="1"/>
  <c r="G15" i="4"/>
  <c r="L15" i="4"/>
  <c r="G16" i="4" a="1"/>
  <c r="G16" i="4"/>
  <c r="G17" i="4" a="1"/>
  <c r="G17" i="4"/>
  <c r="L17" i="4"/>
  <c r="G18" i="4" a="1"/>
  <c r="G18" i="4"/>
  <c r="L18" i="4"/>
  <c r="G19" i="4" a="1"/>
  <c r="G19" i="4"/>
  <c r="L19" i="4"/>
  <c r="G20" i="4" a="1"/>
  <c r="G20" i="4"/>
  <c r="L20" i="4"/>
  <c r="G21" i="4" a="1"/>
  <c r="G21" i="4"/>
  <c r="F6" i="4"/>
  <c r="F7" i="4"/>
  <c r="F8" i="4"/>
  <c r="F9" i="4"/>
  <c r="F10" i="4"/>
  <c r="F11" i="4"/>
  <c r="F13" i="4"/>
  <c r="F14" i="4"/>
  <c r="F15" i="4"/>
  <c r="F16" i="4"/>
  <c r="F17" i="4"/>
  <c r="F18" i="4"/>
  <c r="F19" i="4"/>
  <c r="F20" i="4"/>
  <c r="F21" i="4"/>
  <c r="H28" i="3"/>
  <c r="H29" i="3"/>
  <c r="H16" i="3"/>
  <c r="H45" i="3"/>
  <c r="H46" i="3"/>
  <c r="H8" i="3"/>
  <c r="H38" i="3"/>
  <c r="H31" i="3"/>
  <c r="H49" i="3"/>
  <c r="H70" i="3"/>
  <c r="H50" i="3"/>
  <c r="H32" i="3"/>
  <c r="H4" i="3"/>
  <c r="H18" i="3"/>
  <c r="H19" i="3"/>
  <c r="H9" i="3"/>
  <c r="H71" i="3"/>
  <c r="H61" i="3"/>
  <c r="H23" i="3"/>
  <c r="H51" i="3"/>
  <c r="H52" i="3"/>
  <c r="H33" i="3"/>
  <c r="H72" i="3"/>
  <c r="H62" i="3"/>
  <c r="H25" i="3"/>
  <c r="H11" i="3"/>
  <c r="H41" i="3"/>
  <c r="H42" i="3"/>
  <c r="H27" i="3"/>
  <c r="H63" i="3"/>
  <c r="H73" i="3"/>
  <c r="H54" i="3"/>
  <c r="H34" i="3"/>
  <c r="H65" i="3"/>
  <c r="H56" i="3"/>
  <c r="H43" i="3"/>
  <c r="H44" i="3"/>
  <c r="H66" i="3"/>
  <c r="H67" i="3"/>
  <c r="H12" i="3"/>
  <c r="H68" i="3"/>
  <c r="H57" i="3"/>
  <c r="H35" i="3"/>
  <c r="H58" i="3"/>
  <c r="H13" i="3"/>
  <c r="H74" i="3"/>
  <c r="H69" i="3"/>
  <c r="H75" i="3"/>
  <c r="H6" i="3"/>
  <c r="H36" i="3"/>
  <c r="H37" i="3"/>
  <c r="H59" i="3"/>
  <c r="H14" i="3"/>
  <c r="H15" i="3"/>
  <c r="G28" i="3"/>
  <c r="G29" i="3"/>
  <c r="G16" i="3"/>
  <c r="G45" i="3"/>
  <c r="G46" i="3"/>
  <c r="G8" i="3"/>
  <c r="G30" i="3"/>
  <c r="G17" i="3"/>
  <c r="G47" i="3"/>
  <c r="G48" i="3"/>
  <c r="G38" i="3"/>
  <c r="G31" i="3"/>
  <c r="G49" i="3"/>
  <c r="G70" i="3"/>
  <c r="G50" i="3"/>
  <c r="G32" i="3"/>
  <c r="G4" i="3"/>
  <c r="G18" i="3"/>
  <c r="G19" i="3"/>
  <c r="G9" i="3"/>
  <c r="G20" i="3"/>
  <c r="G21" i="3"/>
  <c r="G60" i="3"/>
  <c r="G5" i="3"/>
  <c r="G10" i="3"/>
  <c r="G22" i="3"/>
  <c r="G71" i="3"/>
  <c r="G61" i="3"/>
  <c r="G23" i="3"/>
  <c r="G51" i="3"/>
  <c r="G52" i="3"/>
  <c r="G33" i="3"/>
  <c r="G72" i="3"/>
  <c r="G62" i="3"/>
  <c r="G24" i="3"/>
  <c r="G7" i="3"/>
  <c r="G25" i="3"/>
  <c r="G11" i="3"/>
  <c r="G53" i="3"/>
  <c r="G26" i="3"/>
  <c r="G39" i="3"/>
  <c r="G40" i="3"/>
  <c r="G41" i="3"/>
  <c r="G42" i="3"/>
  <c r="G27" i="3"/>
  <c r="G63" i="3"/>
  <c r="G73" i="3"/>
  <c r="G54" i="3"/>
  <c r="G55" i="3"/>
  <c r="G64" i="3"/>
  <c r="G34" i="3"/>
  <c r="G65" i="3"/>
  <c r="G56" i="3"/>
  <c r="G43" i="3"/>
  <c r="G44" i="3"/>
  <c r="G66" i="3"/>
  <c r="G67" i="3"/>
  <c r="G12" i="3"/>
  <c r="G68" i="3"/>
  <c r="G57" i="3"/>
  <c r="G35" i="3"/>
  <c r="G58" i="3"/>
  <c r="G13" i="3"/>
  <c r="G74" i="3"/>
  <c r="G69" i="3"/>
  <c r="G75" i="3"/>
  <c r="G6" i="3"/>
  <c r="G36" i="3"/>
  <c r="G37" i="3"/>
  <c r="G59" i="3"/>
  <c r="G14" i="3"/>
  <c r="G15" i="3"/>
  <c r="D47" i="2"/>
  <c r="D44" i="2"/>
  <c r="D31" i="2"/>
  <c r="D28" i="2"/>
  <c r="D15" i="2"/>
  <c r="D46" i="2"/>
  <c r="D45" i="2"/>
  <c r="D30" i="2"/>
  <c r="D29" i="2"/>
  <c r="D14" i="2"/>
  <c r="D60" i="2"/>
  <c r="D61" i="2"/>
  <c r="D62" i="2"/>
  <c r="D63" i="2"/>
  <c r="A144" i="9"/>
  <c r="F67" i="7"/>
  <c r="A145" i="9"/>
  <c r="F68" i="7"/>
  <c r="A146" i="9"/>
  <c r="F69" i="7"/>
  <c r="A147" i="9"/>
  <c r="F70" i="7"/>
  <c r="A148" i="9"/>
  <c r="F71" i="7"/>
  <c r="A149" i="9"/>
  <c r="F72" i="7"/>
  <c r="A150" i="9"/>
  <c r="F73" i="7"/>
  <c r="D76" i="2"/>
  <c r="D77" i="2"/>
  <c r="G10" i="1"/>
  <c r="F10" i="1"/>
  <c r="A25" i="4"/>
  <c r="A24" i="4"/>
  <c r="A23" i="4"/>
  <c r="A22" i="4"/>
  <c r="B14" i="4"/>
  <c r="B13" i="4"/>
  <c r="B11" i="4"/>
  <c r="I7" i="4" a="1"/>
  <c r="I7" i="4"/>
  <c r="R51" i="5"/>
  <c r="A54" i="5"/>
  <c r="B10" i="4"/>
  <c r="I6" i="4" a="1"/>
  <c r="I6" i="4"/>
  <c r="R2" i="5"/>
  <c r="B9" i="4"/>
  <c r="H6" i="4" a="1"/>
  <c r="H6" i="4"/>
  <c r="B8" i="4"/>
  <c r="H7" i="4" a="1"/>
  <c r="H7" i="4"/>
  <c r="B7" i="4"/>
  <c r="H9" i="4" a="1"/>
  <c r="H9" i="4"/>
  <c r="B6" i="4"/>
  <c r="H8" i="4" a="1"/>
  <c r="H8" i="4"/>
  <c r="A14" i="4"/>
  <c r="A13" i="4"/>
  <c r="A11" i="4"/>
  <c r="A10" i="4"/>
  <c r="A9" i="4"/>
  <c r="A8" i="4"/>
  <c r="A7" i="4"/>
  <c r="A6" i="4"/>
  <c r="G3" i="1"/>
  <c r="F3" i="1"/>
  <c r="G4" i="1"/>
  <c r="F4" i="1"/>
  <c r="G5" i="1"/>
  <c r="F5" i="1"/>
  <c r="G6" i="1"/>
  <c r="F6" i="1"/>
  <c r="G7" i="1"/>
  <c r="F7" i="1"/>
  <c r="G8" i="1"/>
  <c r="F8" i="1"/>
  <c r="G9" i="1"/>
  <c r="F9" i="1"/>
  <c r="D55" i="2"/>
  <c r="D54" i="2"/>
  <c r="D41" i="2"/>
  <c r="D40" i="2"/>
  <c r="D27" i="2"/>
  <c r="D26" i="2"/>
  <c r="D13" i="2"/>
  <c r="D12" i="2"/>
  <c r="A139" i="9"/>
  <c r="F62" i="7"/>
  <c r="A140" i="9"/>
  <c r="F63" i="7"/>
  <c r="A141" i="9"/>
  <c r="F64" i="7"/>
  <c r="A142" i="9"/>
  <c r="F65" i="7"/>
  <c r="D68" i="2"/>
  <c r="H14" i="2" a="1"/>
  <c r="H14" i="2"/>
  <c r="W8" i="4"/>
  <c r="H13" i="2" a="1"/>
  <c r="H13" i="2"/>
  <c r="V8" i="4"/>
  <c r="H12" i="2" a="1"/>
  <c r="H12" i="2"/>
  <c r="U8" i="4"/>
  <c r="H11" i="2" a="1"/>
  <c r="H11" i="2"/>
  <c r="T8" i="4"/>
  <c r="H10" i="2" a="1"/>
  <c r="H10" i="2"/>
  <c r="S8" i="4"/>
  <c r="H9" i="2" a="1"/>
  <c r="H9" i="2"/>
  <c r="R8" i="4"/>
  <c r="H8" i="2" a="1"/>
  <c r="H8" i="2"/>
  <c r="Q8" i="4"/>
  <c r="H7" i="2" a="1"/>
  <c r="H7" i="2"/>
  <c r="P8" i="4"/>
  <c r="H6" i="2" a="1"/>
  <c r="H6" i="2"/>
  <c r="O8" i="4"/>
  <c r="I14" i="2" a="1"/>
  <c r="I14" i="2"/>
  <c r="I13" i="2" a="1"/>
  <c r="I13" i="2"/>
  <c r="I12" i="2" a="1"/>
  <c r="I12" i="2"/>
  <c r="I11" i="2" a="1"/>
  <c r="I11" i="2"/>
  <c r="I10" i="2" a="1"/>
  <c r="I10" i="2"/>
  <c r="I9" i="2" a="1"/>
  <c r="I9" i="2"/>
  <c r="I8" i="2" a="1"/>
  <c r="I8" i="2"/>
  <c r="I7" i="2" a="1"/>
  <c r="I7" i="2"/>
  <c r="I6" i="2" a="1"/>
  <c r="I6" i="2"/>
  <c r="J14" i="2" a="1"/>
  <c r="J14" i="2"/>
  <c r="J13" i="2" a="1"/>
  <c r="J13" i="2"/>
  <c r="J12" i="2" a="1"/>
  <c r="J12" i="2"/>
  <c r="J11" i="2" a="1"/>
  <c r="J11" i="2"/>
  <c r="J10" i="2" a="1"/>
  <c r="J10" i="2"/>
  <c r="J9" i="2" a="1"/>
  <c r="J9" i="2"/>
  <c r="J8" i="2" a="1"/>
  <c r="J8" i="2"/>
  <c r="J7" i="2" a="1"/>
  <c r="J7" i="2"/>
  <c r="J6" i="2" a="1"/>
  <c r="J6" i="2"/>
  <c r="K14" i="2" a="1"/>
  <c r="K14" i="2"/>
  <c r="W6" i="4"/>
  <c r="K13" i="2" a="1"/>
  <c r="K13" i="2"/>
  <c r="V6" i="4"/>
  <c r="K12" i="2" a="1"/>
  <c r="K12" i="2"/>
  <c r="U6" i="4"/>
  <c r="K11" i="2" a="1"/>
  <c r="K11" i="2"/>
  <c r="T6" i="4"/>
  <c r="K10" i="2" a="1"/>
  <c r="K10" i="2"/>
  <c r="S6" i="4"/>
  <c r="K9" i="2" a="1"/>
  <c r="K9" i="2"/>
  <c r="R6" i="4"/>
  <c r="K8" i="2" a="1"/>
  <c r="K8" i="2"/>
  <c r="Q6" i="4"/>
  <c r="K7" i="2" a="1"/>
  <c r="K7" i="2"/>
  <c r="P6" i="4"/>
  <c r="K6" i="2" a="1"/>
  <c r="K6" i="2"/>
  <c r="O6" i="4"/>
  <c r="L14" i="2" a="1"/>
  <c r="L14" i="2"/>
  <c r="L13" i="2" a="1"/>
  <c r="L13" i="2"/>
  <c r="L12" i="2" a="1"/>
  <c r="L12" i="2"/>
  <c r="L11" i="2" a="1"/>
  <c r="L11" i="2"/>
  <c r="L10" i="2" a="1"/>
  <c r="L10" i="2"/>
  <c r="L9" i="2" a="1"/>
  <c r="L9" i="2"/>
  <c r="L8" i="2" a="1"/>
  <c r="L8" i="2"/>
  <c r="L7" i="2" a="1"/>
  <c r="L7" i="2"/>
  <c r="L6" i="2" a="1"/>
  <c r="L6" i="2"/>
  <c r="M14" i="2" a="1"/>
  <c r="M14" i="2"/>
  <c r="W7" i="4"/>
  <c r="M13" i="2" a="1"/>
  <c r="M13" i="2"/>
  <c r="V7" i="4"/>
  <c r="M12" i="2" a="1"/>
  <c r="M12" i="2"/>
  <c r="U7" i="4"/>
  <c r="M11" i="2" a="1"/>
  <c r="M11" i="2"/>
  <c r="T7" i="4"/>
  <c r="M10" i="2" a="1"/>
  <c r="M10" i="2"/>
  <c r="S7" i="4"/>
  <c r="M9" i="2" a="1"/>
  <c r="M9" i="2"/>
  <c r="R7" i="4"/>
  <c r="M8" i="2" a="1"/>
  <c r="M8" i="2"/>
  <c r="Q7" i="4"/>
  <c r="M7" i="2" a="1"/>
  <c r="M7" i="2"/>
  <c r="P7" i="4"/>
  <c r="M6" i="2" a="1"/>
  <c r="M6" i="2"/>
  <c r="O7" i="4"/>
  <c r="N14" i="2" a="1"/>
  <c r="N14" i="2"/>
  <c r="N13" i="2" a="1"/>
  <c r="N13" i="2"/>
  <c r="N12" i="2" a="1"/>
  <c r="N12" i="2"/>
  <c r="N11" i="2" a="1"/>
  <c r="N11" i="2"/>
  <c r="N10" i="2" a="1"/>
  <c r="N10" i="2"/>
  <c r="N9" i="2" a="1"/>
  <c r="N9" i="2"/>
  <c r="N8" i="2" a="1"/>
  <c r="N8" i="2"/>
  <c r="N7" i="2" a="1"/>
  <c r="N7" i="2"/>
  <c r="N6" i="2" a="1"/>
  <c r="N6" i="2"/>
  <c r="O14" i="2" a="1"/>
  <c r="O14" i="2"/>
  <c r="O13" i="2" a="1"/>
  <c r="O13" i="2"/>
  <c r="O12" i="2" a="1"/>
  <c r="O12" i="2"/>
  <c r="O11" i="2" a="1"/>
  <c r="O11" i="2"/>
  <c r="O10" i="2" a="1"/>
  <c r="O10" i="2"/>
  <c r="O9" i="2" a="1"/>
  <c r="O9" i="2"/>
  <c r="O8" i="2" a="1"/>
  <c r="O8" i="2"/>
  <c r="O7" i="2" a="1"/>
  <c r="O7" i="2"/>
  <c r="O6" i="2" a="1"/>
  <c r="O6" i="2"/>
  <c r="H4" i="9"/>
  <c r="H5" i="9"/>
  <c r="H6" i="9"/>
  <c r="H7" i="9"/>
  <c r="H8" i="9"/>
  <c r="H9" i="9"/>
  <c r="H14" i="9"/>
  <c r="H15" i="9"/>
  <c r="H16" i="9"/>
  <c r="H17" i="9"/>
  <c r="H18" i="9"/>
  <c r="H19" i="9"/>
  <c r="H20" i="9"/>
  <c r="H21" i="9"/>
  <c r="H22" i="9"/>
  <c r="H23" i="9"/>
  <c r="H30" i="9"/>
  <c r="H31" i="9"/>
  <c r="H32" i="9"/>
  <c r="H33" i="9"/>
  <c r="H34" i="9"/>
  <c r="H35" i="9"/>
  <c r="H36" i="9"/>
  <c r="H37" i="9"/>
  <c r="H40" i="9"/>
  <c r="H41" i="9"/>
  <c r="H46" i="9"/>
  <c r="H47" i="9"/>
  <c r="H48" i="9"/>
  <c r="H49" i="9"/>
  <c r="H50" i="9"/>
  <c r="H51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AB142" i="9"/>
  <c r="AA142" i="9" a="1"/>
  <c r="AA142" i="9"/>
  <c r="Z142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AB141" i="9"/>
  <c r="AA141" i="9" a="1"/>
  <c r="AA141" i="9"/>
  <c r="Z141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AB140" i="9"/>
  <c r="AA140" i="9" a="1"/>
  <c r="AA140" i="9"/>
  <c r="Z140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AB139" i="9"/>
  <c r="AA139" i="9" a="1"/>
  <c r="AA139" i="9"/>
  <c r="Z139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AB150" i="9"/>
  <c r="AA150" i="9" a="1"/>
  <c r="AA150" i="9"/>
  <c r="Z150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AB149" i="9"/>
  <c r="AA149" i="9" a="1"/>
  <c r="AA149" i="9"/>
  <c r="Z149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AB148" i="9"/>
  <c r="AA148" i="9" a="1"/>
  <c r="AA148" i="9"/>
  <c r="Z148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AB147" i="9"/>
  <c r="AA147" i="9" a="1"/>
  <c r="AA147" i="9"/>
  <c r="Z147" i="9"/>
  <c r="Y147" i="9"/>
  <c r="X147" i="9"/>
  <c r="W147" i="9"/>
  <c r="V147" i="9"/>
  <c r="U147" i="9"/>
  <c r="T147" i="9"/>
  <c r="S147" i="9"/>
  <c r="R147" i="9"/>
  <c r="Q147" i="9"/>
  <c r="P147" i="9"/>
  <c r="O147" i="9"/>
  <c r="N147" i="9"/>
  <c r="M147" i="9"/>
  <c r="L147" i="9"/>
  <c r="K147" i="9"/>
  <c r="AB146" i="9"/>
  <c r="AA146" i="9" a="1"/>
  <c r="AA146" i="9"/>
  <c r="Z146" i="9"/>
  <c r="Y146" i="9"/>
  <c r="X146" i="9"/>
  <c r="W146" i="9"/>
  <c r="V146" i="9"/>
  <c r="U146" i="9"/>
  <c r="T146" i="9"/>
  <c r="S146" i="9"/>
  <c r="R146" i="9"/>
  <c r="Q146" i="9"/>
  <c r="P146" i="9"/>
  <c r="O146" i="9"/>
  <c r="N146" i="9"/>
  <c r="M146" i="9"/>
  <c r="L146" i="9"/>
  <c r="K146" i="9"/>
  <c r="AB145" i="9"/>
  <c r="AA145" i="9" a="1"/>
  <c r="AA145" i="9"/>
  <c r="Z145" i="9"/>
  <c r="Y145" i="9"/>
  <c r="X145" i="9"/>
  <c r="W145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AB144" i="9"/>
  <c r="AA144" i="9" a="1"/>
  <c r="AA144" i="9"/>
  <c r="Z144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2" i="9"/>
  <c r="H142" i="9"/>
  <c r="J141" i="9"/>
  <c r="H141" i="9"/>
  <c r="J140" i="9"/>
  <c r="H140" i="9"/>
  <c r="J139" i="9"/>
  <c r="H139" i="9"/>
  <c r="J150" i="9"/>
  <c r="H150" i="9"/>
  <c r="J149" i="9"/>
  <c r="H149" i="9"/>
  <c r="J148" i="9"/>
  <c r="H148" i="9"/>
  <c r="J147" i="9"/>
  <c r="H147" i="9"/>
  <c r="J146" i="9"/>
  <c r="H146" i="9"/>
  <c r="J145" i="9"/>
  <c r="H145" i="9"/>
  <c r="J144" i="9"/>
  <c r="H144" i="9"/>
  <c r="J160" i="21"/>
  <c r="H160" i="21"/>
  <c r="J159" i="21"/>
  <c r="H159" i="21"/>
  <c r="J158" i="21"/>
  <c r="H158" i="21"/>
  <c r="J157" i="21"/>
  <c r="H157" i="21"/>
  <c r="J156" i="21"/>
  <c r="H156" i="21"/>
  <c r="J155" i="21"/>
  <c r="H155" i="21"/>
  <c r="J154" i="21"/>
  <c r="H154" i="21"/>
  <c r="J152" i="21"/>
  <c r="H152" i="21"/>
  <c r="J151" i="21"/>
  <c r="H151" i="21"/>
  <c r="J150" i="21"/>
  <c r="H150" i="21"/>
  <c r="J149" i="21"/>
  <c r="H149" i="21"/>
  <c r="C66" i="7"/>
  <c r="A153" i="21"/>
  <c r="C10" i="7"/>
  <c r="A97" i="21"/>
  <c r="H22" i="21" a="1"/>
  <c r="H22" i="21"/>
  <c r="C11" i="7"/>
  <c r="A98" i="21"/>
  <c r="H23" i="21" a="1"/>
  <c r="H23" i="21"/>
  <c r="C24" i="7"/>
  <c r="A111" i="21"/>
  <c r="H36" i="21" a="1"/>
  <c r="H36" i="21"/>
  <c r="C25" i="7"/>
  <c r="A112" i="21"/>
  <c r="H37" i="21" a="1"/>
  <c r="H37" i="21"/>
  <c r="C38" i="7"/>
  <c r="A125" i="21"/>
  <c r="H50" i="21" a="1"/>
  <c r="H50" i="21"/>
  <c r="C39" i="7"/>
  <c r="A126" i="21"/>
  <c r="H51" i="21" a="1"/>
  <c r="H51" i="21"/>
  <c r="C52" i="7"/>
  <c r="A139" i="21"/>
  <c r="H64" i="21" a="1"/>
  <c r="H64" i="21"/>
  <c r="C53" i="7"/>
  <c r="A140" i="21"/>
  <c r="H65" i="21" a="1"/>
  <c r="H65" i="21"/>
  <c r="C75" i="7"/>
  <c r="A162" i="21"/>
  <c r="C74" i="7"/>
  <c r="A161" i="21"/>
  <c r="C61" i="7"/>
  <c r="A148" i="21"/>
  <c r="C60" i="7"/>
  <c r="A147" i="21"/>
  <c r="C59" i="7"/>
  <c r="A146" i="21"/>
  <c r="C58" i="7"/>
  <c r="A145" i="21"/>
  <c r="C12" i="7"/>
  <c r="A99" i="21"/>
  <c r="H24" i="21" a="1"/>
  <c r="H24" i="21"/>
  <c r="C27" i="7"/>
  <c r="A114" i="21"/>
  <c r="H39" i="21" a="1"/>
  <c r="H39" i="21"/>
  <c r="C28" i="7"/>
  <c r="A115" i="21"/>
  <c r="H40" i="21" a="1"/>
  <c r="H40" i="21"/>
  <c r="C43" i="7"/>
  <c r="A130" i="21"/>
  <c r="H55" i="21" a="1"/>
  <c r="H55" i="21"/>
  <c r="C44" i="7"/>
  <c r="A131" i="21"/>
  <c r="H56" i="21" a="1"/>
  <c r="H56" i="21"/>
  <c r="C13" i="7"/>
  <c r="A100" i="21"/>
  <c r="H25" i="21" a="1"/>
  <c r="H25" i="21"/>
  <c r="C26" i="7"/>
  <c r="A113" i="21"/>
  <c r="H38" i="21" a="1"/>
  <c r="H38" i="21"/>
  <c r="C29" i="7"/>
  <c r="A116" i="21"/>
  <c r="H41" i="21" a="1"/>
  <c r="H41" i="21"/>
  <c r="C42" i="7"/>
  <c r="A129" i="21"/>
  <c r="H54" i="21" a="1"/>
  <c r="H54" i="21"/>
  <c r="C45" i="7"/>
  <c r="A132" i="21"/>
  <c r="H57" i="21" a="1"/>
  <c r="H57" i="21"/>
  <c r="L16" i="21"/>
  <c r="R4" i="9"/>
  <c r="L8" i="4"/>
  <c r="L34" i="21"/>
  <c r="R22" i="9"/>
  <c r="L7" i="4"/>
  <c r="L24" i="21"/>
  <c r="R12" i="9"/>
  <c r="L6" i="4"/>
  <c r="A133" i="9"/>
  <c r="F56" i="7"/>
  <c r="A134" i="9"/>
  <c r="F57" i="7"/>
  <c r="C160" i="21"/>
  <c r="D160" i="21"/>
  <c r="E160" i="21"/>
  <c r="F160" i="21"/>
  <c r="G160" i="21"/>
  <c r="I160" i="21"/>
  <c r="C159" i="21"/>
  <c r="D159" i="21"/>
  <c r="E159" i="21"/>
  <c r="F159" i="21"/>
  <c r="G159" i="21"/>
  <c r="I159" i="21"/>
  <c r="C158" i="21"/>
  <c r="D158" i="21"/>
  <c r="E158" i="21"/>
  <c r="F158" i="21"/>
  <c r="G158" i="21"/>
  <c r="I158" i="21"/>
  <c r="C157" i="21"/>
  <c r="D157" i="21"/>
  <c r="E157" i="21"/>
  <c r="F157" i="21"/>
  <c r="G157" i="21"/>
  <c r="I157" i="21"/>
  <c r="C156" i="21"/>
  <c r="D156" i="21"/>
  <c r="E156" i="21"/>
  <c r="F156" i="21"/>
  <c r="G156" i="21"/>
  <c r="I156" i="21"/>
  <c r="C155" i="21"/>
  <c r="D155" i="21"/>
  <c r="E155" i="21"/>
  <c r="F155" i="21"/>
  <c r="G155" i="21"/>
  <c r="I155" i="21"/>
  <c r="C154" i="21"/>
  <c r="D154" i="21"/>
  <c r="E154" i="21"/>
  <c r="F154" i="21"/>
  <c r="G154" i="21"/>
  <c r="I154" i="21"/>
  <c r="C152" i="21"/>
  <c r="D152" i="21"/>
  <c r="E152" i="21"/>
  <c r="F152" i="21"/>
  <c r="G152" i="21"/>
  <c r="I152" i="21"/>
  <c r="C151" i="21"/>
  <c r="D151" i="21"/>
  <c r="E151" i="21"/>
  <c r="F151" i="21"/>
  <c r="G151" i="21"/>
  <c r="I151" i="21"/>
  <c r="C150" i="21"/>
  <c r="D150" i="21"/>
  <c r="E150" i="21"/>
  <c r="F150" i="21"/>
  <c r="G150" i="21"/>
  <c r="I150" i="21"/>
  <c r="C149" i="21"/>
  <c r="D149" i="21"/>
  <c r="E149" i="21"/>
  <c r="F149" i="21"/>
  <c r="G149" i="21"/>
  <c r="I149" i="21"/>
  <c r="N5" i="7"/>
  <c r="O5" i="7"/>
  <c r="N4" i="7"/>
  <c r="O4" i="7"/>
  <c r="N18" i="7"/>
  <c r="O18" i="7"/>
  <c r="N17" i="7"/>
  <c r="O17" i="7"/>
  <c r="N16" i="7"/>
  <c r="O16" i="7"/>
  <c r="N15" i="7"/>
  <c r="O15" i="7"/>
  <c r="M20" i="4"/>
  <c r="N20" i="4"/>
  <c r="M19" i="4"/>
  <c r="N19" i="4"/>
  <c r="M18" i="4"/>
  <c r="N18" i="4"/>
  <c r="M7" i="4"/>
  <c r="N7" i="4"/>
  <c r="M6" i="4"/>
  <c r="N6" i="4"/>
  <c r="N100" i="5"/>
  <c r="A102" i="5"/>
  <c r="N149" i="5"/>
  <c r="A151" i="5"/>
  <c r="N51" i="5"/>
  <c r="A53" i="5"/>
  <c r="N2" i="5"/>
  <c r="A7" i="5" s="1"/>
  <c r="A40" i="5"/>
  <c r="A28" i="5"/>
  <c r="A5" i="5"/>
  <c r="A89" i="5"/>
  <c r="A77" i="5"/>
  <c r="F688" i="5"/>
  <c r="B198" i="17" a="1"/>
  <c r="B198" i="17"/>
  <c r="F639" i="5"/>
  <c r="B184" i="17" a="1"/>
  <c r="B184" i="17"/>
  <c r="F590" i="5"/>
  <c r="B170" i="17" a="1"/>
  <c r="B170" i="17"/>
  <c r="F541" i="5"/>
  <c r="B156" i="17" a="1"/>
  <c r="B156" i="17"/>
  <c r="F492" i="5"/>
  <c r="B142" i="17" a="1"/>
  <c r="B142" i="17"/>
  <c r="F443" i="5"/>
  <c r="B128" i="17" a="1"/>
  <c r="B128" i="17"/>
  <c r="F394" i="5"/>
  <c r="B114" i="17" a="1"/>
  <c r="B114" i="17"/>
  <c r="F345" i="5"/>
  <c r="B100" i="17" a="1"/>
  <c r="B100" i="17"/>
  <c r="F247" i="5"/>
  <c r="B72" i="17" a="1"/>
  <c r="B72" i="17"/>
  <c r="F198" i="5"/>
  <c r="B58" i="17" a="1"/>
  <c r="B58" i="17"/>
  <c r="F149" i="5"/>
  <c r="B44" i="17" a="1"/>
  <c r="B44" i="17"/>
  <c r="F100" i="5"/>
  <c r="B30" i="17" a="1"/>
  <c r="B30" i="17"/>
  <c r="F51" i="5"/>
  <c r="B16" i="17" a="1"/>
  <c r="B16" i="17"/>
  <c r="F2" i="5"/>
  <c r="B2" i="17" a="1"/>
  <c r="B2" i="17"/>
  <c r="J688" i="5"/>
  <c r="E198" i="17" a="1"/>
  <c r="E198" i="17"/>
  <c r="J639" i="5"/>
  <c r="E184" i="17" a="1"/>
  <c r="E184" i="17"/>
  <c r="J590" i="5"/>
  <c r="E170" i="17" a="1"/>
  <c r="E170" i="17"/>
  <c r="J541" i="5"/>
  <c r="E156" i="17" a="1"/>
  <c r="E156" i="17"/>
  <c r="J492" i="5"/>
  <c r="E142" i="17" a="1"/>
  <c r="E142" i="17"/>
  <c r="J443" i="5"/>
  <c r="E128" i="17" a="1"/>
  <c r="E128" i="17"/>
  <c r="J394" i="5"/>
  <c r="E114" i="17" a="1"/>
  <c r="E114" i="17"/>
  <c r="J345" i="5"/>
  <c r="E100" i="17" a="1"/>
  <c r="E100" i="17"/>
  <c r="J247" i="5"/>
  <c r="E72" i="17" a="1"/>
  <c r="E72" i="17"/>
  <c r="J198" i="5"/>
  <c r="E58" i="17" a="1"/>
  <c r="E58" i="17"/>
  <c r="J149" i="5"/>
  <c r="E44" i="17" a="1"/>
  <c r="E44" i="17"/>
  <c r="J100" i="5"/>
  <c r="E30" i="17" a="1"/>
  <c r="E30" i="17"/>
  <c r="J51" i="5"/>
  <c r="E16" i="17" a="1"/>
  <c r="E16" i="17"/>
  <c r="J2" i="5"/>
  <c r="E2" i="17" a="1"/>
  <c r="E2" i="17"/>
  <c r="N688" i="5"/>
  <c r="A690" i="5"/>
  <c r="N639" i="5"/>
  <c r="A641" i="5"/>
  <c r="N590" i="5"/>
  <c r="A592" i="5"/>
  <c r="A726" i="5"/>
  <c r="A714" i="5"/>
  <c r="A677" i="5"/>
  <c r="A665" i="5"/>
  <c r="A628" i="5"/>
  <c r="A616" i="5"/>
  <c r="J296" i="5"/>
  <c r="E86" i="17" a="1"/>
  <c r="E86" i="17"/>
  <c r="F296" i="5"/>
  <c r="B86" i="17" a="1"/>
  <c r="B86" i="17"/>
  <c r="B31" i="17" a="1"/>
  <c r="B31" i="17"/>
  <c r="B45" i="17" a="1"/>
  <c r="B45" i="17"/>
  <c r="B17" i="17" a="1"/>
  <c r="B17" i="17"/>
  <c r="B3" i="17" a="1"/>
  <c r="B3" i="17"/>
  <c r="G3" i="17" a="1"/>
  <c r="G3" i="17"/>
  <c r="G17" i="17" a="1"/>
  <c r="G17" i="17"/>
  <c r="B199" i="17" a="1"/>
  <c r="B199" i="17"/>
  <c r="B185" i="17" a="1"/>
  <c r="B185" i="17"/>
  <c r="B171" i="17" a="1"/>
  <c r="B171" i="17"/>
  <c r="G199" i="17" a="1"/>
  <c r="G199" i="17"/>
  <c r="G185" i="17" a="1"/>
  <c r="G185" i="17"/>
  <c r="G171" i="17" a="1"/>
  <c r="G171" i="17"/>
  <c r="L21" i="4"/>
  <c r="V688" i="5"/>
  <c r="V639" i="5"/>
  <c r="V590" i="5"/>
  <c r="V443" i="5"/>
  <c r="V394" i="5"/>
  <c r="V345" i="5"/>
  <c r="V247" i="5"/>
  <c r="V198" i="5"/>
  <c r="V149" i="5"/>
  <c r="V100" i="5"/>
  <c r="V51" i="5"/>
  <c r="V2" i="5"/>
  <c r="I11" i="4" a="1"/>
  <c r="I11" i="4"/>
  <c r="R247" i="5"/>
  <c r="A250" i="5"/>
  <c r="I4" i="7"/>
  <c r="H4" i="7"/>
  <c r="AL4" i="7"/>
  <c r="AL5" i="7"/>
  <c r="AL6" i="7"/>
  <c r="AL7" i="7"/>
  <c r="AL8" i="7"/>
  <c r="AL9" i="7"/>
  <c r="AL10" i="7"/>
  <c r="AL11" i="7"/>
  <c r="AL12" i="7"/>
  <c r="AL13" i="7"/>
  <c r="AL14" i="7"/>
  <c r="AL15" i="7"/>
  <c r="AK4" i="7"/>
  <c r="AJ4" i="7"/>
  <c r="AK5" i="7"/>
  <c r="AJ5" i="7"/>
  <c r="AK6" i="7"/>
  <c r="AJ6" i="7"/>
  <c r="AK7" i="7"/>
  <c r="AJ7" i="7"/>
  <c r="AK8" i="7"/>
  <c r="AJ8" i="7"/>
  <c r="AK9" i="7"/>
  <c r="AJ9" i="7"/>
  <c r="AK10" i="7"/>
  <c r="AJ10" i="7"/>
  <c r="AK11" i="7"/>
  <c r="AJ11" i="7"/>
  <c r="AK12" i="7"/>
  <c r="AJ12" i="7"/>
  <c r="AK13" i="7"/>
  <c r="AJ13" i="7"/>
  <c r="AK14" i="7"/>
  <c r="AJ14" i="7"/>
  <c r="AK15" i="7"/>
  <c r="AJ15" i="7"/>
  <c r="T4" i="7"/>
  <c r="A4" i="20"/>
  <c r="T5" i="7"/>
  <c r="A5" i="20"/>
  <c r="T6" i="7"/>
  <c r="A6" i="20"/>
  <c r="T7" i="7"/>
  <c r="A7" i="20"/>
  <c r="T8" i="7"/>
  <c r="A8" i="20"/>
  <c r="T9" i="7"/>
  <c r="A9" i="20"/>
  <c r="T10" i="7"/>
  <c r="A10" i="20"/>
  <c r="T11" i="7"/>
  <c r="A11" i="20"/>
  <c r="T12" i="7"/>
  <c r="A12" i="20"/>
  <c r="T13" i="7"/>
  <c r="A13" i="20"/>
  <c r="T14" i="7"/>
  <c r="A14" i="20"/>
  <c r="T15" i="7"/>
  <c r="A15" i="20"/>
  <c r="T16" i="7"/>
  <c r="A16" i="20"/>
  <c r="T17" i="7"/>
  <c r="A17" i="20"/>
  <c r="T18" i="7"/>
  <c r="A18" i="20"/>
  <c r="T19" i="7"/>
  <c r="A19" i="20"/>
  <c r="T20" i="7"/>
  <c r="A20" i="20"/>
  <c r="T21" i="7"/>
  <c r="A21" i="20"/>
  <c r="S4" i="7"/>
  <c r="C4" i="20"/>
  <c r="S5" i="7"/>
  <c r="C5" i="20"/>
  <c r="S6" i="7"/>
  <c r="C6" i="20"/>
  <c r="S7" i="7"/>
  <c r="C7" i="20"/>
  <c r="S8" i="7"/>
  <c r="C8" i="20"/>
  <c r="S9" i="7"/>
  <c r="C9" i="20"/>
  <c r="S10" i="7"/>
  <c r="C10" i="20"/>
  <c r="S11" i="7"/>
  <c r="C11" i="20"/>
  <c r="S12" i="7"/>
  <c r="C12" i="20"/>
  <c r="S13" i="7"/>
  <c r="C13" i="20"/>
  <c r="S14" i="7"/>
  <c r="C14" i="20"/>
  <c r="S15" i="7"/>
  <c r="C15" i="20"/>
  <c r="S16" i="7"/>
  <c r="C16" i="20"/>
  <c r="S17" i="7"/>
  <c r="C17" i="20"/>
  <c r="S18" i="7"/>
  <c r="C18" i="20"/>
  <c r="S19" i="7"/>
  <c r="C19" i="20"/>
  <c r="S20" i="7"/>
  <c r="C20" i="20"/>
  <c r="S21" i="7"/>
  <c r="C21" i="20"/>
  <c r="I5" i="7"/>
  <c r="H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K16" i="7"/>
  <c r="AJ16" i="7"/>
  <c r="AK17" i="7"/>
  <c r="AJ17" i="7"/>
  <c r="AK18" i="7"/>
  <c r="AJ18" i="7"/>
  <c r="AK19" i="7"/>
  <c r="AJ19" i="7"/>
  <c r="AK20" i="7"/>
  <c r="AJ20" i="7"/>
  <c r="AK21" i="7"/>
  <c r="AJ21" i="7"/>
  <c r="AK22" i="7"/>
  <c r="AJ22" i="7"/>
  <c r="AK23" i="7"/>
  <c r="AJ23" i="7"/>
  <c r="AK24" i="7"/>
  <c r="AJ24" i="7"/>
  <c r="AK25" i="7"/>
  <c r="AJ25" i="7"/>
  <c r="AK26" i="7"/>
  <c r="AJ26" i="7"/>
  <c r="AK27" i="7"/>
  <c r="AJ27" i="7"/>
  <c r="T22" i="7"/>
  <c r="A22" i="20"/>
  <c r="T23" i="7"/>
  <c r="A23" i="20"/>
  <c r="T24" i="7"/>
  <c r="A24" i="20"/>
  <c r="T25" i="7"/>
  <c r="A25" i="20"/>
  <c r="T26" i="7"/>
  <c r="A26" i="20"/>
  <c r="T27" i="7"/>
  <c r="A27" i="20"/>
  <c r="T28" i="7"/>
  <c r="A28" i="20"/>
  <c r="T29" i="7"/>
  <c r="A29" i="20"/>
  <c r="T30" i="7"/>
  <c r="A30" i="20"/>
  <c r="T31" i="7"/>
  <c r="A31" i="20"/>
  <c r="T32" i="7"/>
  <c r="A32" i="20"/>
  <c r="T33" i="7"/>
  <c r="A33" i="20"/>
  <c r="T34" i="7"/>
  <c r="A34" i="20"/>
  <c r="T35" i="7"/>
  <c r="A35" i="20"/>
  <c r="T36" i="7"/>
  <c r="A36" i="20"/>
  <c r="T37" i="7"/>
  <c r="A37" i="20"/>
  <c r="T38" i="7"/>
  <c r="A38" i="20"/>
  <c r="T39" i="7"/>
  <c r="A39" i="20"/>
  <c r="S22" i="7"/>
  <c r="C22" i="20"/>
  <c r="S23" i="7"/>
  <c r="C23" i="20"/>
  <c r="S24" i="7"/>
  <c r="C24" i="20"/>
  <c r="S25" i="7"/>
  <c r="C25" i="20"/>
  <c r="S26" i="7"/>
  <c r="C26" i="20"/>
  <c r="S27" i="7"/>
  <c r="C27" i="20"/>
  <c r="S28" i="7"/>
  <c r="C28" i="20"/>
  <c r="S29" i="7"/>
  <c r="C29" i="20"/>
  <c r="S30" i="7"/>
  <c r="C30" i="20"/>
  <c r="S31" i="7"/>
  <c r="C31" i="20"/>
  <c r="S32" i="7"/>
  <c r="C32" i="20"/>
  <c r="S33" i="7"/>
  <c r="C33" i="20"/>
  <c r="S34" i="7"/>
  <c r="C34" i="20"/>
  <c r="S35" i="7"/>
  <c r="C35" i="20"/>
  <c r="S36" i="7"/>
  <c r="C36" i="20"/>
  <c r="S37" i="7"/>
  <c r="C37" i="20"/>
  <c r="S38" i="7"/>
  <c r="C38" i="20"/>
  <c r="S39" i="7"/>
  <c r="C39" i="20"/>
  <c r="M4" i="7"/>
  <c r="L4" i="7"/>
  <c r="P4" i="7"/>
  <c r="K4" i="7"/>
  <c r="A5" i="19"/>
  <c r="J4" i="7"/>
  <c r="A4" i="19"/>
  <c r="K5" i="7"/>
  <c r="A7" i="19"/>
  <c r="J5" i="7"/>
  <c r="A6" i="19"/>
  <c r="BK5" i="7"/>
  <c r="A152" i="9"/>
  <c r="F75" i="7"/>
  <c r="A151" i="9"/>
  <c r="F74" i="7"/>
  <c r="A89" i="9"/>
  <c r="F12" i="7"/>
  <c r="A104" i="9"/>
  <c r="F27" i="7"/>
  <c r="A105" i="9"/>
  <c r="F28" i="7"/>
  <c r="A120" i="9"/>
  <c r="F43" i="7"/>
  <c r="A121" i="9"/>
  <c r="F44" i="7"/>
  <c r="A90" i="9"/>
  <c r="F13" i="7"/>
  <c r="A103" i="9"/>
  <c r="F26" i="7"/>
  <c r="A106" i="9"/>
  <c r="F29" i="7"/>
  <c r="A119" i="9"/>
  <c r="F42" i="7"/>
  <c r="A122" i="9"/>
  <c r="F45" i="7"/>
  <c r="BP5" i="7"/>
  <c r="BN5" i="7"/>
  <c r="BL5" i="7"/>
  <c r="BM5" i="7"/>
  <c r="A143" i="9"/>
  <c r="F66" i="7"/>
  <c r="A87" i="9"/>
  <c r="F10" i="7"/>
  <c r="A88" i="9"/>
  <c r="F11" i="7"/>
  <c r="A101" i="9"/>
  <c r="F24" i="7"/>
  <c r="A102" i="9"/>
  <c r="F25" i="7"/>
  <c r="A115" i="9"/>
  <c r="F38" i="7"/>
  <c r="A116" i="9"/>
  <c r="F39" i="7"/>
  <c r="A129" i="9"/>
  <c r="F52" i="7"/>
  <c r="A130" i="9"/>
  <c r="F53" i="7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1" i="9"/>
  <c r="I50" i="9"/>
  <c r="I49" i="9"/>
  <c r="I48" i="9"/>
  <c r="I47" i="9"/>
  <c r="I46" i="9"/>
  <c r="I41" i="9"/>
  <c r="I40" i="9"/>
  <c r="I37" i="9"/>
  <c r="I36" i="9"/>
  <c r="I35" i="9"/>
  <c r="I34" i="9"/>
  <c r="I33" i="9"/>
  <c r="I32" i="9"/>
  <c r="I31" i="9"/>
  <c r="I30" i="9"/>
  <c r="I23" i="9"/>
  <c r="I22" i="9"/>
  <c r="I21" i="9"/>
  <c r="I20" i="9"/>
  <c r="I19" i="9"/>
  <c r="I18" i="9"/>
  <c r="I17" i="9"/>
  <c r="I16" i="9"/>
  <c r="I15" i="9"/>
  <c r="I14" i="9"/>
  <c r="AB143" i="9"/>
  <c r="AA143" i="9" a="1"/>
  <c r="AA143" i="9"/>
  <c r="Z143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AB151" i="9"/>
  <c r="AA151" i="9" a="1"/>
  <c r="AA151" i="9"/>
  <c r="Z151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AB152" i="9"/>
  <c r="AA152" i="9" a="1"/>
  <c r="AA152" i="9"/>
  <c r="Z152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43" i="9"/>
  <c r="H143" i="9"/>
  <c r="J151" i="9"/>
  <c r="H151" i="9"/>
  <c r="J152" i="9"/>
  <c r="H152" i="9"/>
  <c r="J145" i="21"/>
  <c r="H145" i="21"/>
  <c r="J146" i="21"/>
  <c r="H146" i="21"/>
  <c r="J147" i="21"/>
  <c r="H147" i="21"/>
  <c r="J148" i="21"/>
  <c r="H148" i="21"/>
  <c r="J161" i="21"/>
  <c r="H161" i="21"/>
  <c r="J162" i="21"/>
  <c r="H162" i="21"/>
  <c r="J153" i="21"/>
  <c r="H153" i="21"/>
  <c r="AO27" i="7" a="1"/>
  <c r="AO27" i="7"/>
  <c r="AP27" i="7" a="1"/>
  <c r="AP27" i="7"/>
  <c r="AR27" i="7" a="1"/>
  <c r="AR27" i="7"/>
  <c r="AS27" i="7" a="1"/>
  <c r="AS27" i="7"/>
  <c r="AT27" i="7" a="1"/>
  <c r="AT27" i="7"/>
  <c r="AU27" i="7" a="1"/>
  <c r="AU27" i="7"/>
  <c r="AV27" i="7" a="1"/>
  <c r="AV27" i="7"/>
  <c r="AX27" i="7" a="1"/>
  <c r="AX27" i="7"/>
  <c r="AY27" i="7" a="1"/>
  <c r="AY27" i="7"/>
  <c r="AO26" i="7" a="1"/>
  <c r="AO26" i="7"/>
  <c r="AP26" i="7" a="1"/>
  <c r="AP26" i="7"/>
  <c r="AR26" i="7" a="1"/>
  <c r="AR26" i="7"/>
  <c r="AS26" i="7" a="1"/>
  <c r="AS26" i="7"/>
  <c r="AT26" i="7" a="1"/>
  <c r="AT26" i="7"/>
  <c r="AU26" i="7" a="1"/>
  <c r="AU26" i="7"/>
  <c r="AV26" i="7" a="1"/>
  <c r="AV26" i="7"/>
  <c r="AX26" i="7" a="1"/>
  <c r="AX26" i="7"/>
  <c r="AY26" i="7" a="1"/>
  <c r="AY26" i="7"/>
  <c r="AO25" i="7" a="1"/>
  <c r="AO25" i="7"/>
  <c r="AP25" i="7" a="1"/>
  <c r="AP25" i="7"/>
  <c r="AR25" i="7" a="1"/>
  <c r="AR25" i="7"/>
  <c r="AS25" i="7" a="1"/>
  <c r="AS25" i="7"/>
  <c r="AT25" i="7" a="1"/>
  <c r="AT25" i="7"/>
  <c r="AU25" i="7" a="1"/>
  <c r="AU25" i="7"/>
  <c r="AV25" i="7" a="1"/>
  <c r="AV25" i="7"/>
  <c r="AX25" i="7" a="1"/>
  <c r="AX25" i="7"/>
  <c r="AY25" i="7" a="1"/>
  <c r="AY25" i="7"/>
  <c r="AO24" i="7" a="1"/>
  <c r="AO24" i="7"/>
  <c r="AP24" i="7" a="1"/>
  <c r="AP24" i="7"/>
  <c r="AR24" i="7" a="1"/>
  <c r="AR24" i="7"/>
  <c r="AS24" i="7" a="1"/>
  <c r="AS24" i="7"/>
  <c r="AT24" i="7" a="1"/>
  <c r="AT24" i="7"/>
  <c r="AU24" i="7" a="1"/>
  <c r="AU24" i="7"/>
  <c r="AV24" i="7" a="1"/>
  <c r="AV24" i="7"/>
  <c r="AX24" i="7" a="1"/>
  <c r="AX24" i="7"/>
  <c r="AY24" i="7" a="1"/>
  <c r="AY24" i="7"/>
  <c r="AO23" i="7" a="1"/>
  <c r="AO23" i="7"/>
  <c r="AP23" i="7" a="1"/>
  <c r="AP23" i="7"/>
  <c r="AR23" i="7" a="1"/>
  <c r="AR23" i="7"/>
  <c r="AS23" i="7" a="1"/>
  <c r="AS23" i="7"/>
  <c r="AT23" i="7" a="1"/>
  <c r="AT23" i="7"/>
  <c r="AU23" i="7" a="1"/>
  <c r="AU23" i="7"/>
  <c r="AV23" i="7" a="1"/>
  <c r="AV23" i="7"/>
  <c r="AX23" i="7" a="1"/>
  <c r="AX23" i="7"/>
  <c r="AY23" i="7" a="1"/>
  <c r="AY23" i="7"/>
  <c r="AP22" i="7" a="1"/>
  <c r="AP22" i="7"/>
  <c r="AX22" i="7" a="1"/>
  <c r="AX22" i="7"/>
  <c r="AY22" i="7" a="1"/>
  <c r="AY22" i="7"/>
  <c r="AO21" i="7" a="1"/>
  <c r="AO21" i="7"/>
  <c r="AP21" i="7" a="1"/>
  <c r="AP21" i="7"/>
  <c r="AR21" i="7" a="1"/>
  <c r="AR21" i="7"/>
  <c r="AS21" i="7" a="1"/>
  <c r="AS21" i="7"/>
  <c r="AT21" i="7" a="1"/>
  <c r="AT21" i="7"/>
  <c r="AU21" i="7" a="1"/>
  <c r="AU21" i="7"/>
  <c r="AV21" i="7" a="1"/>
  <c r="AV21" i="7"/>
  <c r="AX21" i="7" a="1"/>
  <c r="AX21" i="7"/>
  <c r="AY21" i="7" a="1"/>
  <c r="AY21" i="7"/>
  <c r="AO20" i="7" a="1"/>
  <c r="AO20" i="7"/>
  <c r="AP20" i="7" a="1"/>
  <c r="AP20" i="7"/>
  <c r="AR20" i="7" a="1"/>
  <c r="AR20" i="7"/>
  <c r="AS20" i="7" a="1"/>
  <c r="AS20" i="7"/>
  <c r="AT20" i="7" a="1"/>
  <c r="AT20" i="7"/>
  <c r="AU20" i="7" a="1"/>
  <c r="AU20" i="7"/>
  <c r="AV20" i="7" a="1"/>
  <c r="AV20" i="7"/>
  <c r="AX20" i="7" a="1"/>
  <c r="AX20" i="7"/>
  <c r="AY20" i="7" a="1"/>
  <c r="AY20" i="7"/>
  <c r="AO19" i="7" a="1"/>
  <c r="AO19" i="7"/>
  <c r="AP19" i="7" a="1"/>
  <c r="AP19" i="7"/>
  <c r="AR19" i="7" a="1"/>
  <c r="AR19" i="7"/>
  <c r="AS19" i="7" a="1"/>
  <c r="AS19" i="7"/>
  <c r="AT19" i="7" a="1"/>
  <c r="AT19" i="7"/>
  <c r="AU19" i="7" a="1"/>
  <c r="AU19" i="7"/>
  <c r="AV19" i="7" a="1"/>
  <c r="AV19" i="7"/>
  <c r="AX19" i="7" a="1"/>
  <c r="AX19" i="7"/>
  <c r="AY19" i="7" a="1"/>
  <c r="AY19" i="7"/>
  <c r="AO18" i="7" a="1"/>
  <c r="AO18" i="7"/>
  <c r="AP18" i="7" a="1"/>
  <c r="AP18" i="7"/>
  <c r="AR18" i="7" a="1"/>
  <c r="AR18" i="7"/>
  <c r="AS18" i="7" a="1"/>
  <c r="AS18" i="7"/>
  <c r="AT18" i="7" a="1"/>
  <c r="AT18" i="7"/>
  <c r="AU18" i="7" a="1"/>
  <c r="AU18" i="7"/>
  <c r="AV18" i="7" a="1"/>
  <c r="AV18" i="7"/>
  <c r="AX18" i="7" a="1"/>
  <c r="AX18" i="7"/>
  <c r="AY18" i="7" a="1"/>
  <c r="AY18" i="7"/>
  <c r="AO17" i="7" a="1"/>
  <c r="AO17" i="7"/>
  <c r="AP17" i="7" a="1"/>
  <c r="AP17" i="7"/>
  <c r="AR17" i="7" a="1"/>
  <c r="AR17" i="7"/>
  <c r="AS17" i="7" a="1"/>
  <c r="AS17" i="7"/>
  <c r="AT17" i="7" a="1"/>
  <c r="AT17" i="7"/>
  <c r="AU17" i="7" a="1"/>
  <c r="AU17" i="7"/>
  <c r="AV17" i="7" a="1"/>
  <c r="AV17" i="7"/>
  <c r="AX17" i="7" a="1"/>
  <c r="AX17" i="7"/>
  <c r="AY17" i="7" a="1"/>
  <c r="AY17" i="7"/>
  <c r="AP16" i="7" a="1"/>
  <c r="AP16" i="7"/>
  <c r="AX16" i="7" a="1"/>
  <c r="AX16" i="7"/>
  <c r="AY16" i="7" a="1"/>
  <c r="AY16" i="7"/>
  <c r="AO15" i="7" a="1"/>
  <c r="AO15" i="7"/>
  <c r="AP15" i="7" a="1"/>
  <c r="AP15" i="7"/>
  <c r="AR15" i="7" a="1"/>
  <c r="AR15" i="7"/>
  <c r="AS15" i="7" a="1"/>
  <c r="AS15" i="7"/>
  <c r="AT15" i="7" a="1"/>
  <c r="AT15" i="7"/>
  <c r="AU15" i="7" a="1"/>
  <c r="AU15" i="7"/>
  <c r="AV15" i="7" a="1"/>
  <c r="AV15" i="7"/>
  <c r="AX15" i="7" a="1"/>
  <c r="AX15" i="7"/>
  <c r="AY15" i="7" a="1"/>
  <c r="AY15" i="7"/>
  <c r="AO14" i="7" a="1"/>
  <c r="AO14" i="7"/>
  <c r="AP14" i="7" a="1"/>
  <c r="AP14" i="7"/>
  <c r="AR14" i="7" a="1"/>
  <c r="AR14" i="7"/>
  <c r="AS14" i="7" a="1"/>
  <c r="AS14" i="7"/>
  <c r="AT14" i="7" a="1"/>
  <c r="AT14" i="7"/>
  <c r="AU14" i="7" a="1"/>
  <c r="AU14" i="7"/>
  <c r="AV14" i="7" a="1"/>
  <c r="AV14" i="7"/>
  <c r="AX14" i="7" a="1"/>
  <c r="AX14" i="7"/>
  <c r="AY14" i="7" a="1"/>
  <c r="AY14" i="7"/>
  <c r="AO13" i="7" a="1"/>
  <c r="AO13" i="7"/>
  <c r="AP13" i="7" a="1"/>
  <c r="AP13" i="7"/>
  <c r="AR13" i="7" a="1"/>
  <c r="AR13" i="7"/>
  <c r="AS13" i="7" a="1"/>
  <c r="AS13" i="7"/>
  <c r="AT13" i="7" a="1"/>
  <c r="AT13" i="7"/>
  <c r="AU13" i="7" a="1"/>
  <c r="AU13" i="7"/>
  <c r="AV13" i="7" a="1"/>
  <c r="AV13" i="7"/>
  <c r="AX13" i="7" a="1"/>
  <c r="AX13" i="7"/>
  <c r="AY13" i="7" a="1"/>
  <c r="AY13" i="7"/>
  <c r="AO12" i="7" a="1"/>
  <c r="AO12" i="7"/>
  <c r="AP12" i="7" a="1"/>
  <c r="AP12" i="7"/>
  <c r="AR12" i="7" a="1"/>
  <c r="AR12" i="7"/>
  <c r="AS12" i="7" a="1"/>
  <c r="AS12" i="7"/>
  <c r="AT12" i="7" a="1"/>
  <c r="AT12" i="7"/>
  <c r="AU12" i="7" a="1"/>
  <c r="AU12" i="7"/>
  <c r="AV12" i="7" a="1"/>
  <c r="AV12" i="7"/>
  <c r="AX12" i="7" a="1"/>
  <c r="AX12" i="7"/>
  <c r="AY12" i="7" a="1"/>
  <c r="AY12" i="7"/>
  <c r="AO11" i="7" a="1"/>
  <c r="AO11" i="7"/>
  <c r="AP11" i="7" a="1"/>
  <c r="AP11" i="7"/>
  <c r="AR11" i="7" a="1"/>
  <c r="AR11" i="7"/>
  <c r="AS11" i="7" a="1"/>
  <c r="AS11" i="7"/>
  <c r="AT11" i="7" a="1"/>
  <c r="AT11" i="7"/>
  <c r="AU11" i="7" a="1"/>
  <c r="AU11" i="7"/>
  <c r="AV11" i="7" a="1"/>
  <c r="AV11" i="7"/>
  <c r="AX11" i="7" a="1"/>
  <c r="AX11" i="7"/>
  <c r="AY11" i="7" a="1"/>
  <c r="AY11" i="7"/>
  <c r="AY10" i="7" a="1"/>
  <c r="AY10" i="7"/>
  <c r="AO9" i="7" a="1"/>
  <c r="AO9" i="7"/>
  <c r="AP9" i="7" a="1"/>
  <c r="AP9" i="7"/>
  <c r="AR9" i="7" a="1"/>
  <c r="AR9" i="7"/>
  <c r="AS9" i="7" a="1"/>
  <c r="AS9" i="7"/>
  <c r="AT9" i="7" a="1"/>
  <c r="AT9" i="7"/>
  <c r="AU9" i="7" a="1"/>
  <c r="AU9" i="7"/>
  <c r="AV9" i="7" a="1"/>
  <c r="AV9" i="7"/>
  <c r="AX9" i="7" a="1"/>
  <c r="AX9" i="7"/>
  <c r="AY9" i="7" a="1"/>
  <c r="AY9" i="7"/>
  <c r="AO8" i="7" a="1"/>
  <c r="AO8" i="7"/>
  <c r="AP8" i="7" a="1"/>
  <c r="AP8" i="7"/>
  <c r="AR8" i="7" a="1"/>
  <c r="AR8" i="7"/>
  <c r="AS8" i="7" a="1"/>
  <c r="AS8" i="7"/>
  <c r="AT8" i="7" a="1"/>
  <c r="AT8" i="7"/>
  <c r="AU8" i="7" a="1"/>
  <c r="AU8" i="7"/>
  <c r="AV8" i="7" a="1"/>
  <c r="AV8" i="7"/>
  <c r="AX8" i="7" a="1"/>
  <c r="AX8" i="7"/>
  <c r="AY8" i="7" a="1"/>
  <c r="AY8" i="7"/>
  <c r="AO7" i="7" a="1"/>
  <c r="AO7" i="7"/>
  <c r="AP7" i="7" a="1"/>
  <c r="AP7" i="7"/>
  <c r="AR7" i="7" a="1"/>
  <c r="AR7" i="7"/>
  <c r="AS7" i="7" a="1"/>
  <c r="AS7" i="7"/>
  <c r="AT7" i="7" a="1"/>
  <c r="AT7" i="7"/>
  <c r="AU7" i="7" a="1"/>
  <c r="AU7" i="7"/>
  <c r="AV7" i="7" a="1"/>
  <c r="AV7" i="7"/>
  <c r="AX7" i="7" a="1"/>
  <c r="AX7" i="7"/>
  <c r="AY7" i="7" a="1"/>
  <c r="AY7" i="7"/>
  <c r="AO6" i="7" a="1"/>
  <c r="AO6" i="7"/>
  <c r="AP6" i="7" a="1"/>
  <c r="AP6" i="7"/>
  <c r="AR6" i="7" a="1"/>
  <c r="AR6" i="7"/>
  <c r="AS6" i="7" a="1"/>
  <c r="AS6" i="7"/>
  <c r="AT6" i="7" a="1"/>
  <c r="AT6" i="7"/>
  <c r="AU6" i="7" a="1"/>
  <c r="AU6" i="7"/>
  <c r="AV6" i="7" a="1"/>
  <c r="AV6" i="7"/>
  <c r="AX6" i="7" a="1"/>
  <c r="AX6" i="7"/>
  <c r="AY6" i="7" a="1"/>
  <c r="AY6" i="7"/>
  <c r="AO5" i="7" a="1"/>
  <c r="AO5" i="7"/>
  <c r="AP5" i="7" a="1"/>
  <c r="AP5" i="7"/>
  <c r="AR5" i="7" a="1"/>
  <c r="AR5" i="7"/>
  <c r="AS5" i="7" a="1"/>
  <c r="AS5" i="7"/>
  <c r="AT5" i="7" a="1"/>
  <c r="AT5" i="7"/>
  <c r="AU5" i="7" a="1"/>
  <c r="AU5" i="7"/>
  <c r="AV5" i="7" a="1"/>
  <c r="AV5" i="7"/>
  <c r="AX5" i="7" a="1"/>
  <c r="AX5" i="7"/>
  <c r="AY5" i="7" a="1"/>
  <c r="AY5" i="7"/>
  <c r="AP4" i="7" a="1"/>
  <c r="AP4" i="7"/>
  <c r="AU4" i="7" a="1"/>
  <c r="AU4" i="7"/>
  <c r="AV4" i="7" a="1"/>
  <c r="AV4" i="7"/>
  <c r="AX4" i="7" a="1"/>
  <c r="AX4" i="7"/>
  <c r="AY4" i="7" a="1"/>
  <c r="AY4" i="7"/>
  <c r="AV10" i="7" a="1"/>
  <c r="AV10" i="7"/>
  <c r="AU10" i="7" a="1"/>
  <c r="AU10" i="7"/>
  <c r="H40" i="3"/>
  <c r="H45" i="9"/>
  <c r="I45" i="9"/>
  <c r="H53" i="3"/>
  <c r="H42" i="9"/>
  <c r="I42" i="9"/>
  <c r="H22" i="3"/>
  <c r="H29" i="9"/>
  <c r="I29" i="9"/>
  <c r="H60" i="3"/>
  <c r="H26" i="9"/>
  <c r="I26" i="9"/>
  <c r="H48" i="3"/>
  <c r="H13" i="9"/>
  <c r="I13" i="9"/>
  <c r="H39" i="3"/>
  <c r="H44" i="9"/>
  <c r="I44" i="9"/>
  <c r="H26" i="3"/>
  <c r="H43" i="9"/>
  <c r="I43" i="9"/>
  <c r="H10" i="3"/>
  <c r="H28" i="9"/>
  <c r="I28" i="9"/>
  <c r="H5" i="3"/>
  <c r="H27" i="9"/>
  <c r="I27" i="9"/>
  <c r="H47" i="3"/>
  <c r="H12" i="9"/>
  <c r="I12" i="9"/>
  <c r="C145" i="21"/>
  <c r="D145" i="21"/>
  <c r="E145" i="21"/>
  <c r="F145" i="21"/>
  <c r="G145" i="21"/>
  <c r="I145" i="21"/>
  <c r="A135" i="9"/>
  <c r="F58" i="7"/>
  <c r="C146" i="21"/>
  <c r="D146" i="21"/>
  <c r="E146" i="21"/>
  <c r="F146" i="21"/>
  <c r="G146" i="21"/>
  <c r="I146" i="21"/>
  <c r="A136" i="9"/>
  <c r="F59" i="7"/>
  <c r="C147" i="21"/>
  <c r="D147" i="21"/>
  <c r="E147" i="21"/>
  <c r="F147" i="21"/>
  <c r="G147" i="21"/>
  <c r="I147" i="21"/>
  <c r="A137" i="9"/>
  <c r="F60" i="7"/>
  <c r="C148" i="21"/>
  <c r="D148" i="21"/>
  <c r="E148" i="21"/>
  <c r="F148" i="21"/>
  <c r="G148" i="21"/>
  <c r="I148" i="21"/>
  <c r="A138" i="9"/>
  <c r="F61" i="7"/>
  <c r="C161" i="21"/>
  <c r="D161" i="21"/>
  <c r="E161" i="21"/>
  <c r="F161" i="21"/>
  <c r="G161" i="21"/>
  <c r="I161" i="21"/>
  <c r="C162" i="21"/>
  <c r="D162" i="21"/>
  <c r="E162" i="21"/>
  <c r="F162" i="21"/>
  <c r="G162" i="21"/>
  <c r="I162" i="21"/>
  <c r="H64" i="3"/>
  <c r="H53" i="9"/>
  <c r="I53" i="9"/>
  <c r="H55" i="3"/>
  <c r="H52" i="9"/>
  <c r="I52" i="9"/>
  <c r="H7" i="3"/>
  <c r="H39" i="9"/>
  <c r="I39" i="9"/>
  <c r="H24" i="3"/>
  <c r="H38" i="9"/>
  <c r="I38" i="9"/>
  <c r="H21" i="3"/>
  <c r="H25" i="9"/>
  <c r="I25" i="9"/>
  <c r="H20" i="3"/>
  <c r="H24" i="9"/>
  <c r="I24" i="9"/>
  <c r="H17" i="3"/>
  <c r="H11" i="9"/>
  <c r="H30" i="3"/>
  <c r="H10" i="9"/>
  <c r="C153" i="21"/>
  <c r="D153" i="21"/>
  <c r="E153" i="21"/>
  <c r="F153" i="21"/>
  <c r="G153" i="21"/>
  <c r="I153" i="21"/>
  <c r="AP10" i="7" a="1"/>
  <c r="AP10" i="7"/>
  <c r="AX10" i="7" a="1"/>
  <c r="AX10" i="7"/>
  <c r="F6" i="19"/>
  <c r="E6" i="19"/>
  <c r="F7" i="19"/>
  <c r="E7" i="19"/>
  <c r="F4" i="19"/>
  <c r="E4" i="19"/>
  <c r="D4" i="19"/>
  <c r="C4" i="19"/>
  <c r="F5" i="19"/>
  <c r="E5" i="19"/>
  <c r="D5" i="19"/>
  <c r="C5" i="19"/>
  <c r="B7" i="19"/>
  <c r="B6" i="19"/>
  <c r="B5" i="19"/>
  <c r="B4" i="19"/>
  <c r="A285" i="5"/>
  <c r="A273" i="5"/>
  <c r="V296" i="5"/>
  <c r="I14" i="4" a="1"/>
  <c r="I14" i="4"/>
  <c r="A607" i="5"/>
  <c r="A595" i="5"/>
  <c r="A656" i="5"/>
  <c r="A644" i="5"/>
  <c r="A705" i="5"/>
  <c r="A693" i="5"/>
  <c r="A19" i="5"/>
  <c r="A4" i="5"/>
  <c r="A68" i="5"/>
  <c r="A56" i="5"/>
  <c r="A166" i="5"/>
  <c r="A154" i="5"/>
  <c r="A117" i="5"/>
  <c r="A105" i="5"/>
  <c r="G73" i="17" a="1"/>
  <c r="G73" i="17"/>
  <c r="I8" i="4" a="1"/>
  <c r="I8" i="4"/>
  <c r="F181" i="17" a="1"/>
  <c r="F181" i="17"/>
  <c r="F180" i="17" a="1"/>
  <c r="F180" i="17"/>
  <c r="F179" i="17" a="1"/>
  <c r="F179" i="17"/>
  <c r="F178" i="17" a="1"/>
  <c r="F178" i="17"/>
  <c r="F177" i="17" a="1"/>
  <c r="F177" i="17"/>
  <c r="F176" i="17" a="1"/>
  <c r="F176" i="17"/>
  <c r="F175" i="17" a="1"/>
  <c r="F175" i="17"/>
  <c r="F174" i="17" a="1"/>
  <c r="F174" i="17"/>
  <c r="F173" i="17" a="1"/>
  <c r="F173" i="17"/>
  <c r="F195" i="17" a="1"/>
  <c r="F195" i="17"/>
  <c r="F194" i="17" a="1"/>
  <c r="F194" i="17"/>
  <c r="F193" i="17" a="1"/>
  <c r="F193" i="17"/>
  <c r="F192" i="17" a="1"/>
  <c r="F192" i="17"/>
  <c r="F191" i="17" a="1"/>
  <c r="F191" i="17"/>
  <c r="F190" i="17" a="1"/>
  <c r="F190" i="17"/>
  <c r="F189" i="17" a="1"/>
  <c r="F189" i="17"/>
  <c r="F188" i="17" a="1"/>
  <c r="F188" i="17"/>
  <c r="F187" i="17" a="1"/>
  <c r="F187" i="17"/>
  <c r="F209" i="17" a="1"/>
  <c r="F209" i="17"/>
  <c r="F208" i="17" a="1"/>
  <c r="F208" i="17"/>
  <c r="F207" i="17" a="1"/>
  <c r="F207" i="17"/>
  <c r="F206" i="17" a="1"/>
  <c r="F206" i="17"/>
  <c r="F205" i="17" a="1"/>
  <c r="F205" i="17"/>
  <c r="F204" i="17" a="1"/>
  <c r="F204" i="17"/>
  <c r="F203" i="17" a="1"/>
  <c r="F203" i="17"/>
  <c r="F202" i="17" a="1"/>
  <c r="F202" i="17"/>
  <c r="F201" i="17" a="1"/>
  <c r="F201" i="17"/>
  <c r="A181" i="17" a="1"/>
  <c r="A181" i="17"/>
  <c r="A180" i="17" a="1"/>
  <c r="A180" i="17"/>
  <c r="A179" i="17" a="1"/>
  <c r="A179" i="17"/>
  <c r="A178" i="17" a="1"/>
  <c r="A178" i="17"/>
  <c r="A177" i="17" a="1"/>
  <c r="A177" i="17"/>
  <c r="A176" i="17" a="1"/>
  <c r="A176" i="17"/>
  <c r="A175" i="17" a="1"/>
  <c r="A175" i="17"/>
  <c r="A174" i="17" a="1"/>
  <c r="A174" i="17"/>
  <c r="A173" i="17" a="1"/>
  <c r="A173" i="17"/>
  <c r="A195" i="17" a="1"/>
  <c r="A195" i="17"/>
  <c r="A194" i="17" a="1"/>
  <c r="A194" i="17"/>
  <c r="A193" i="17" a="1"/>
  <c r="A193" i="17"/>
  <c r="A192" i="17" a="1"/>
  <c r="A192" i="17"/>
  <c r="A191" i="17" a="1"/>
  <c r="A191" i="17"/>
  <c r="A190" i="17" a="1"/>
  <c r="A190" i="17"/>
  <c r="A189" i="17" a="1"/>
  <c r="A189" i="17"/>
  <c r="A188" i="17" a="1"/>
  <c r="A188" i="17"/>
  <c r="A187" i="17" a="1"/>
  <c r="A187" i="17"/>
  <c r="A209" i="17" a="1"/>
  <c r="A209" i="17"/>
  <c r="A208" i="17" a="1"/>
  <c r="A208" i="17"/>
  <c r="A207" i="17" a="1"/>
  <c r="A207" i="17"/>
  <c r="A206" i="17" a="1"/>
  <c r="A206" i="17"/>
  <c r="A205" i="17" a="1"/>
  <c r="A205" i="17"/>
  <c r="A204" i="17" a="1"/>
  <c r="A204" i="17"/>
  <c r="A203" i="17" a="1"/>
  <c r="A203" i="17"/>
  <c r="A202" i="17" a="1"/>
  <c r="A202" i="17"/>
  <c r="A201" i="17" a="1"/>
  <c r="A201" i="17"/>
  <c r="F27" i="17" a="1"/>
  <c r="F27" i="17"/>
  <c r="F26" i="17" a="1"/>
  <c r="F26" i="17"/>
  <c r="F25" i="17" a="1"/>
  <c r="F25" i="17"/>
  <c r="F24" i="17" a="1"/>
  <c r="F24" i="17"/>
  <c r="F23" i="17" a="1"/>
  <c r="F23" i="17"/>
  <c r="F22" i="17" a="1"/>
  <c r="F22" i="17"/>
  <c r="F21" i="17" a="1"/>
  <c r="F21" i="17"/>
  <c r="F20" i="17" a="1"/>
  <c r="F20" i="17"/>
  <c r="F19" i="17" a="1"/>
  <c r="F19" i="17"/>
  <c r="F13" i="17" a="1"/>
  <c r="F13" i="17"/>
  <c r="F12" i="17" a="1"/>
  <c r="F12" i="17"/>
  <c r="F11" i="17" a="1"/>
  <c r="F11" i="17"/>
  <c r="F10" i="17" a="1"/>
  <c r="F10" i="17"/>
  <c r="F9" i="17" a="1"/>
  <c r="F9" i="17"/>
  <c r="F8" i="17" a="1"/>
  <c r="F8" i="17"/>
  <c r="F7" i="17" a="1"/>
  <c r="F7" i="17"/>
  <c r="F6" i="17" a="1"/>
  <c r="F6" i="17"/>
  <c r="F5" i="17" a="1"/>
  <c r="F5" i="17"/>
  <c r="A13" i="17" a="1"/>
  <c r="A13" i="17"/>
  <c r="A12" i="17" a="1"/>
  <c r="A12" i="17"/>
  <c r="A11" i="17" a="1"/>
  <c r="A11" i="17"/>
  <c r="A10" i="17" a="1"/>
  <c r="A10" i="17"/>
  <c r="A9" i="17" a="1"/>
  <c r="A9" i="17"/>
  <c r="A8" i="17" a="1"/>
  <c r="A8" i="17"/>
  <c r="A7" i="17" a="1"/>
  <c r="A7" i="17"/>
  <c r="A6" i="17" a="1"/>
  <c r="A6" i="17"/>
  <c r="A5" i="17" a="1"/>
  <c r="A5" i="17"/>
  <c r="A27" i="17" a="1"/>
  <c r="A27" i="17"/>
  <c r="A26" i="17" a="1"/>
  <c r="A26" i="17"/>
  <c r="A25" i="17" a="1"/>
  <c r="A25" i="17"/>
  <c r="A24" i="17" a="1"/>
  <c r="A24" i="17"/>
  <c r="A23" i="17" a="1"/>
  <c r="A23" i="17"/>
  <c r="A22" i="17" a="1"/>
  <c r="A22" i="17"/>
  <c r="A21" i="17" a="1"/>
  <c r="A21" i="17"/>
  <c r="A20" i="17" a="1"/>
  <c r="A20" i="17"/>
  <c r="A19" i="17" a="1"/>
  <c r="A19" i="17"/>
  <c r="A55" i="17" a="1"/>
  <c r="A55" i="17"/>
  <c r="A54" i="17" a="1"/>
  <c r="A54" i="17"/>
  <c r="A53" i="17" a="1"/>
  <c r="A53" i="17"/>
  <c r="A52" i="17" a="1"/>
  <c r="A52" i="17"/>
  <c r="A51" i="17" a="1"/>
  <c r="A51" i="17"/>
  <c r="A50" i="17" a="1"/>
  <c r="A50" i="17"/>
  <c r="A49" i="17" a="1"/>
  <c r="A49" i="17"/>
  <c r="A48" i="17" a="1"/>
  <c r="A48" i="17"/>
  <c r="A47" i="17" a="1"/>
  <c r="A47" i="17"/>
  <c r="A41" i="17" a="1"/>
  <c r="A41" i="17"/>
  <c r="A40" i="17" a="1"/>
  <c r="A40" i="17"/>
  <c r="A39" i="17" a="1"/>
  <c r="A39" i="17"/>
  <c r="A38" i="17" a="1"/>
  <c r="A38" i="17"/>
  <c r="A37" i="17" a="1"/>
  <c r="A37" i="17"/>
  <c r="A36" i="17" a="1"/>
  <c r="A36" i="17"/>
  <c r="A35" i="17" a="1"/>
  <c r="A35" i="17"/>
  <c r="A34" i="17" a="1"/>
  <c r="A34" i="17"/>
  <c r="A33" i="17" a="1"/>
  <c r="A33" i="17"/>
  <c r="C26" i="17" a="1"/>
  <c r="C26" i="17"/>
  <c r="B65" i="5"/>
  <c r="N65" i="5"/>
  <c r="C25" i="17" a="1"/>
  <c r="C25" i="17"/>
  <c r="B64" i="5"/>
  <c r="N64" i="5"/>
  <c r="C24" i="17" a="1"/>
  <c r="C24" i="17"/>
  <c r="B63" i="5"/>
  <c r="N63" i="5"/>
  <c r="C23" i="17" a="1"/>
  <c r="C23" i="17"/>
  <c r="B62" i="5"/>
  <c r="N62" i="5"/>
  <c r="C22" i="17" a="1"/>
  <c r="C22" i="17"/>
  <c r="B61" i="5"/>
  <c r="N61" i="5"/>
  <c r="C21" i="17" a="1"/>
  <c r="C21" i="17"/>
  <c r="B60" i="5"/>
  <c r="N60" i="5"/>
  <c r="C20" i="17" a="1"/>
  <c r="C20" i="17"/>
  <c r="B59" i="5"/>
  <c r="N59" i="5"/>
  <c r="C19" i="17" a="1"/>
  <c r="C19" i="17"/>
  <c r="B58" i="5"/>
  <c r="N58" i="5"/>
  <c r="H26" i="17" a="1"/>
  <c r="H26" i="17"/>
  <c r="H25" i="17" a="1"/>
  <c r="H25" i="17"/>
  <c r="H24" i="17" a="1"/>
  <c r="H24" i="17"/>
  <c r="H23" i="17" a="1"/>
  <c r="H23" i="17"/>
  <c r="H22" i="17" a="1"/>
  <c r="H22" i="17"/>
  <c r="B82" i="5"/>
  <c r="N82" i="5"/>
  <c r="H21" i="17" a="1"/>
  <c r="H21" i="17"/>
  <c r="H20" i="17" a="1"/>
  <c r="H20" i="17"/>
  <c r="B80" i="5"/>
  <c r="N80" i="5"/>
  <c r="H19" i="17" a="1"/>
  <c r="H19" i="17"/>
  <c r="B79" i="5"/>
  <c r="N79" i="5"/>
  <c r="C40" i="17" a="1"/>
  <c r="C40" i="17"/>
  <c r="B114" i="5"/>
  <c r="N114" i="5"/>
  <c r="C39" i="17" a="1"/>
  <c r="C39" i="17"/>
  <c r="B113" i="5"/>
  <c r="N113" i="5"/>
  <c r="C38" i="17" a="1"/>
  <c r="C38" i="17"/>
  <c r="B112" i="5"/>
  <c r="N112" i="5"/>
  <c r="C37" i="17" a="1"/>
  <c r="C37" i="17"/>
  <c r="B111" i="5"/>
  <c r="N111" i="5"/>
  <c r="C36" i="17" a="1"/>
  <c r="C36" i="17"/>
  <c r="B110" i="5"/>
  <c r="N110" i="5"/>
  <c r="C35" i="17" a="1"/>
  <c r="C35" i="17"/>
  <c r="B109" i="5"/>
  <c r="N109" i="5"/>
  <c r="C34" i="17" a="1"/>
  <c r="C34" i="17"/>
  <c r="B108" i="5"/>
  <c r="N108" i="5"/>
  <c r="C33" i="17" a="1"/>
  <c r="C33" i="17"/>
  <c r="B107" i="5"/>
  <c r="N107" i="5"/>
  <c r="C54" i="17" a="1"/>
  <c r="C54" i="17"/>
  <c r="B163" i="5"/>
  <c r="N163" i="5"/>
  <c r="C53" i="17" a="1"/>
  <c r="C53" i="17"/>
  <c r="B162" i="5"/>
  <c r="N162" i="5"/>
  <c r="C52" i="17" a="1"/>
  <c r="C52" i="17"/>
  <c r="B161" i="5"/>
  <c r="N161" i="5"/>
  <c r="C51" i="17" a="1"/>
  <c r="C51" i="17"/>
  <c r="B160" i="5"/>
  <c r="N160" i="5"/>
  <c r="C50" i="17" a="1"/>
  <c r="C50" i="17"/>
  <c r="B159" i="5"/>
  <c r="N159" i="5"/>
  <c r="C49" i="17" a="1"/>
  <c r="C49" i="17"/>
  <c r="B158" i="5"/>
  <c r="N158" i="5"/>
  <c r="C48" i="17" a="1"/>
  <c r="C48" i="17"/>
  <c r="B157" i="5"/>
  <c r="N157" i="5"/>
  <c r="C47" i="17" a="1"/>
  <c r="C47" i="17"/>
  <c r="B156" i="5"/>
  <c r="N156" i="5"/>
  <c r="I10" i="4" a="1"/>
  <c r="I10" i="4"/>
  <c r="R198" i="5"/>
  <c r="A201" i="5"/>
  <c r="I9" i="4" a="1"/>
  <c r="I9" i="4"/>
  <c r="N21" i="4"/>
  <c r="M21" i="4"/>
  <c r="H13" i="4" a="1"/>
  <c r="H13" i="4"/>
  <c r="L5" i="7"/>
  <c r="AU22" i="7" s="1" a="1"/>
  <c r="AU22" i="7" s="1"/>
  <c r="AU16" i="7" a="1"/>
  <c r="AU16" i="7"/>
  <c r="L6" i="7"/>
  <c r="BK6" i="7"/>
  <c r="BK7" i="7"/>
  <c r="BK8" i="7"/>
  <c r="BK9" i="7"/>
  <c r="BK10" i="7"/>
  <c r="BK11" i="7"/>
  <c r="BK12" i="7"/>
  <c r="BK13" i="7"/>
  <c r="BK14" i="7"/>
  <c r="BM6" i="7"/>
  <c r="BM7" i="7"/>
  <c r="BM8" i="7"/>
  <c r="BM9" i="7"/>
  <c r="BM10" i="7"/>
  <c r="BM11" i="7"/>
  <c r="BM12" i="7"/>
  <c r="BM13" i="7"/>
  <c r="BM14" i="7"/>
  <c r="BL6" i="7"/>
  <c r="BL7" i="7"/>
  <c r="BL8" i="7"/>
  <c r="BL9" i="7"/>
  <c r="BL10" i="7"/>
  <c r="BL11" i="7"/>
  <c r="BL12" i="7"/>
  <c r="BL13" i="7"/>
  <c r="BL14" i="7"/>
  <c r="M5" i="7"/>
  <c r="AV22" i="7" s="1" a="1"/>
  <c r="AV22" i="7" s="1"/>
  <c r="AV16" i="7" a="1"/>
  <c r="AV16" i="7"/>
  <c r="BN6" i="7"/>
  <c r="BN7" i="7"/>
  <c r="BN8" i="7"/>
  <c r="BN9" i="7"/>
  <c r="BN10" i="7"/>
  <c r="BN11" i="7"/>
  <c r="BN12" i="7"/>
  <c r="BN13" i="7"/>
  <c r="BN14" i="7"/>
  <c r="BP6" i="7"/>
  <c r="BP7" i="7"/>
  <c r="BP8" i="7"/>
  <c r="BP9" i="7"/>
  <c r="BP10" i="7"/>
  <c r="BP11" i="7"/>
  <c r="BP12" i="7"/>
  <c r="BP13" i="7"/>
  <c r="BP14" i="7"/>
  <c r="AB138" i="9"/>
  <c r="AA138" i="9" a="1"/>
  <c r="AA138" i="9"/>
  <c r="Z138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AB137" i="9"/>
  <c r="AA137" i="9" a="1"/>
  <c r="AA137" i="9"/>
  <c r="Z137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AB136" i="9"/>
  <c r="AA136" i="9" a="1"/>
  <c r="AA136" i="9"/>
  <c r="Z136" i="9"/>
  <c r="Y136" i="9"/>
  <c r="X136" i="9"/>
  <c r="W136" i="9"/>
  <c r="V136" i="9"/>
  <c r="U136" i="9"/>
  <c r="T136" i="9"/>
  <c r="S136" i="9"/>
  <c r="R136" i="9"/>
  <c r="Q136" i="9"/>
  <c r="P136" i="9"/>
  <c r="O136" i="9"/>
  <c r="N136" i="9"/>
  <c r="M136" i="9"/>
  <c r="L136" i="9"/>
  <c r="K136" i="9"/>
  <c r="AB135" i="9"/>
  <c r="AA135" i="9" a="1"/>
  <c r="AA135" i="9"/>
  <c r="Z135" i="9"/>
  <c r="Y135" i="9"/>
  <c r="X135" i="9"/>
  <c r="W135" i="9"/>
  <c r="V135" i="9"/>
  <c r="U135" i="9"/>
  <c r="T135" i="9"/>
  <c r="S135" i="9"/>
  <c r="R135" i="9"/>
  <c r="Q135" i="9"/>
  <c r="P135" i="9"/>
  <c r="O135" i="9"/>
  <c r="N135" i="9"/>
  <c r="M135" i="9"/>
  <c r="L135" i="9"/>
  <c r="K135" i="9"/>
  <c r="J138" i="9"/>
  <c r="H138" i="9"/>
  <c r="J137" i="9"/>
  <c r="H137" i="9"/>
  <c r="J136" i="9"/>
  <c r="H136" i="9"/>
  <c r="J135" i="9"/>
  <c r="H135" i="9"/>
  <c r="M156" i="5"/>
  <c r="X58" i="7"/>
  <c r="O156" i="5"/>
  <c r="P156" i="5"/>
  <c r="Z58" i="7"/>
  <c r="Q156" i="5"/>
  <c r="AA58" i="7"/>
  <c r="R156" i="5"/>
  <c r="AB58" i="7"/>
  <c r="S156" i="5"/>
  <c r="AC58" i="7"/>
  <c r="T156" i="5"/>
  <c r="AD58" i="7"/>
  <c r="U156" i="5"/>
  <c r="AE58" i="7"/>
  <c r="V156" i="5"/>
  <c r="AF58" i="7"/>
  <c r="W156" i="5"/>
  <c r="AG58" i="7"/>
  <c r="X156" i="5"/>
  <c r="AH58" i="7"/>
  <c r="M157" i="5"/>
  <c r="X59" i="7"/>
  <c r="O157" i="5"/>
  <c r="P157" i="5"/>
  <c r="Z59" i="7"/>
  <c r="Q157" i="5"/>
  <c r="AA59" i="7"/>
  <c r="R157" i="5"/>
  <c r="AB59" i="7"/>
  <c r="S157" i="5"/>
  <c r="AC59" i="7"/>
  <c r="T157" i="5"/>
  <c r="AD59" i="7"/>
  <c r="U157" i="5"/>
  <c r="AE59" i="7"/>
  <c r="V157" i="5"/>
  <c r="AF59" i="7"/>
  <c r="W157" i="5"/>
  <c r="AG59" i="7"/>
  <c r="X157" i="5"/>
  <c r="AH59" i="7"/>
  <c r="M158" i="5"/>
  <c r="X60" i="7"/>
  <c r="O158" i="5"/>
  <c r="P158" i="5"/>
  <c r="Z60" i="7"/>
  <c r="Q158" i="5"/>
  <c r="AA60" i="7"/>
  <c r="R158" i="5"/>
  <c r="AB60" i="7"/>
  <c r="S158" i="5"/>
  <c r="AC60" i="7"/>
  <c r="T158" i="5"/>
  <c r="AD60" i="7"/>
  <c r="U158" i="5"/>
  <c r="AE60" i="7"/>
  <c r="V158" i="5"/>
  <c r="AF60" i="7"/>
  <c r="W158" i="5"/>
  <c r="AG60" i="7"/>
  <c r="X158" i="5"/>
  <c r="AH60" i="7"/>
  <c r="M159" i="5"/>
  <c r="X61" i="7"/>
  <c r="O159" i="5"/>
  <c r="P159" i="5"/>
  <c r="Z61" i="7"/>
  <c r="Q159" i="5"/>
  <c r="AA61" i="7"/>
  <c r="R159" i="5"/>
  <c r="AB61" i="7"/>
  <c r="S159" i="5"/>
  <c r="AC61" i="7"/>
  <c r="T159" i="5"/>
  <c r="AD61" i="7"/>
  <c r="U159" i="5"/>
  <c r="AE61" i="7"/>
  <c r="V159" i="5"/>
  <c r="AF61" i="7"/>
  <c r="W159" i="5"/>
  <c r="AG61" i="7"/>
  <c r="X159" i="5"/>
  <c r="AH61" i="7"/>
  <c r="M160" i="5"/>
  <c r="X62" i="7"/>
  <c r="O160" i="5"/>
  <c r="P160" i="5"/>
  <c r="Z62" i="7"/>
  <c r="Q160" i="5"/>
  <c r="AA62" i="7"/>
  <c r="R160" i="5"/>
  <c r="AB62" i="7"/>
  <c r="S160" i="5"/>
  <c r="AC62" i="7"/>
  <c r="T160" i="5"/>
  <c r="AD62" i="7"/>
  <c r="U160" i="5"/>
  <c r="AE62" i="7"/>
  <c r="V160" i="5"/>
  <c r="AF62" i="7"/>
  <c r="W160" i="5"/>
  <c r="AG62" i="7"/>
  <c r="X160" i="5"/>
  <c r="AH62" i="7"/>
  <c r="M161" i="5"/>
  <c r="X63" i="7"/>
  <c r="O161" i="5"/>
  <c r="P161" i="5"/>
  <c r="Z63" i="7"/>
  <c r="Q161" i="5"/>
  <c r="AA63" i="7"/>
  <c r="R161" i="5"/>
  <c r="AB63" i="7"/>
  <c r="S161" i="5"/>
  <c r="AC63" i="7"/>
  <c r="T161" i="5"/>
  <c r="AD63" i="7"/>
  <c r="U161" i="5"/>
  <c r="AE63" i="7"/>
  <c r="V161" i="5"/>
  <c r="AF63" i="7"/>
  <c r="W161" i="5"/>
  <c r="AG63" i="7"/>
  <c r="X161" i="5"/>
  <c r="AH63" i="7"/>
  <c r="M162" i="5"/>
  <c r="X64" i="7"/>
  <c r="O162" i="5"/>
  <c r="P162" i="5"/>
  <c r="Z64" i="7"/>
  <c r="Q162" i="5"/>
  <c r="AA64" i="7"/>
  <c r="R162" i="5"/>
  <c r="AB64" i="7"/>
  <c r="S162" i="5"/>
  <c r="AC64" i="7"/>
  <c r="T162" i="5"/>
  <c r="AD64" i="7"/>
  <c r="U162" i="5"/>
  <c r="AE64" i="7"/>
  <c r="V162" i="5"/>
  <c r="AF64" i="7"/>
  <c r="W162" i="5"/>
  <c r="AG64" i="7"/>
  <c r="X162" i="5"/>
  <c r="AH64" i="7"/>
  <c r="M163" i="5"/>
  <c r="X65" i="7"/>
  <c r="O163" i="5"/>
  <c r="P163" i="5"/>
  <c r="Z65" i="7"/>
  <c r="Q163" i="5"/>
  <c r="AA65" i="7"/>
  <c r="R163" i="5"/>
  <c r="AB65" i="7"/>
  <c r="S163" i="5"/>
  <c r="AC65" i="7"/>
  <c r="T163" i="5"/>
  <c r="AD65" i="7"/>
  <c r="U163" i="5"/>
  <c r="AE65" i="7"/>
  <c r="V163" i="5"/>
  <c r="AF65" i="7"/>
  <c r="W163" i="5"/>
  <c r="AG65" i="7"/>
  <c r="X163" i="5"/>
  <c r="AH65" i="7"/>
  <c r="M107" i="5"/>
  <c r="O107" i="5"/>
  <c r="P107" i="5"/>
  <c r="Q107" i="5"/>
  <c r="R107" i="5"/>
  <c r="S107" i="5"/>
  <c r="T107" i="5"/>
  <c r="U107" i="5"/>
  <c r="V107" i="5"/>
  <c r="W107" i="5"/>
  <c r="X107" i="5"/>
  <c r="M108" i="5"/>
  <c r="O108" i="5"/>
  <c r="P108" i="5"/>
  <c r="Q108" i="5"/>
  <c r="R108" i="5"/>
  <c r="S108" i="5"/>
  <c r="T108" i="5"/>
  <c r="U108" i="5"/>
  <c r="V108" i="5"/>
  <c r="W108" i="5"/>
  <c r="X108" i="5"/>
  <c r="M109" i="5"/>
  <c r="O109" i="5"/>
  <c r="P109" i="5"/>
  <c r="Q109" i="5"/>
  <c r="R109" i="5"/>
  <c r="AB42" i="7"/>
  <c r="S109" i="5"/>
  <c r="T109" i="5"/>
  <c r="U109" i="5"/>
  <c r="AE42" i="7"/>
  <c r="V109" i="5"/>
  <c r="W109" i="5"/>
  <c r="X109" i="5"/>
  <c r="AH42" i="7"/>
  <c r="M110" i="5"/>
  <c r="O110" i="5"/>
  <c r="P110" i="5"/>
  <c r="Z43" i="7"/>
  <c r="Q110" i="5"/>
  <c r="R110" i="5"/>
  <c r="S110" i="5"/>
  <c r="AC43" i="7"/>
  <c r="T110" i="5"/>
  <c r="U110" i="5"/>
  <c r="V110" i="5"/>
  <c r="AF43" i="7"/>
  <c r="W110" i="5"/>
  <c r="X110" i="5"/>
  <c r="M111" i="5"/>
  <c r="O111" i="5"/>
  <c r="P111" i="5"/>
  <c r="Q111" i="5"/>
  <c r="R111" i="5"/>
  <c r="S111" i="5"/>
  <c r="T111" i="5"/>
  <c r="U111" i="5"/>
  <c r="V111" i="5"/>
  <c r="W111" i="5"/>
  <c r="X111" i="5"/>
  <c r="M112" i="5"/>
  <c r="O112" i="5"/>
  <c r="P112" i="5"/>
  <c r="Q112" i="5"/>
  <c r="R112" i="5"/>
  <c r="AB45" i="7"/>
  <c r="S112" i="5"/>
  <c r="T112" i="5"/>
  <c r="U112" i="5"/>
  <c r="AE45" i="7"/>
  <c r="V112" i="5"/>
  <c r="W112" i="5"/>
  <c r="X112" i="5"/>
  <c r="AH45" i="7"/>
  <c r="M113" i="5"/>
  <c r="O113" i="5"/>
  <c r="P113" i="5"/>
  <c r="Z46" i="7"/>
  <c r="Q113" i="5"/>
  <c r="R113" i="5"/>
  <c r="S113" i="5"/>
  <c r="AC46" i="7"/>
  <c r="T113" i="5"/>
  <c r="U113" i="5"/>
  <c r="V113" i="5"/>
  <c r="AF46" i="7"/>
  <c r="W113" i="5"/>
  <c r="X113" i="5"/>
  <c r="M114" i="5"/>
  <c r="O114" i="5"/>
  <c r="P114" i="5"/>
  <c r="Q114" i="5"/>
  <c r="R114" i="5"/>
  <c r="S114" i="5"/>
  <c r="T114" i="5"/>
  <c r="U114" i="5"/>
  <c r="V114" i="5"/>
  <c r="W114" i="5"/>
  <c r="X114" i="5"/>
  <c r="M79" i="5"/>
  <c r="O79" i="5"/>
  <c r="P79" i="5"/>
  <c r="Q79" i="5"/>
  <c r="R79" i="5"/>
  <c r="AB31" i="7"/>
  <c r="S79" i="5"/>
  <c r="T79" i="5"/>
  <c r="U79" i="5"/>
  <c r="AE31" i="7"/>
  <c r="V79" i="5"/>
  <c r="W79" i="5"/>
  <c r="X79" i="5"/>
  <c r="AH31" i="7"/>
  <c r="M80" i="5"/>
  <c r="O80" i="5"/>
  <c r="P80" i="5"/>
  <c r="Z32" i="7"/>
  <c r="Q80" i="5"/>
  <c r="R80" i="5"/>
  <c r="S80" i="5"/>
  <c r="AC32" i="7"/>
  <c r="H32" i="20"/>
  <c r="I163" i="18"/>
  <c r="T80" i="5"/>
  <c r="U80" i="5"/>
  <c r="V80" i="5"/>
  <c r="AF32" i="7"/>
  <c r="W80" i="5"/>
  <c r="X80" i="5"/>
  <c r="M82" i="5"/>
  <c r="O82" i="5"/>
  <c r="P82" i="5"/>
  <c r="Q82" i="5"/>
  <c r="AA34" i="7"/>
  <c r="R82" i="5"/>
  <c r="S82" i="5"/>
  <c r="T82" i="5"/>
  <c r="AD34" i="7"/>
  <c r="U82" i="5"/>
  <c r="V82" i="5"/>
  <c r="W82" i="5"/>
  <c r="AG34" i="7"/>
  <c r="X82" i="5"/>
  <c r="M58" i="5"/>
  <c r="O58" i="5"/>
  <c r="Y22" i="7"/>
  <c r="E22" i="20"/>
  <c r="F153" i="18"/>
  <c r="P58" i="5"/>
  <c r="Q58" i="5"/>
  <c r="R58" i="5"/>
  <c r="AB22" i="7"/>
  <c r="S58" i="5"/>
  <c r="AC22" i="7"/>
  <c r="T58" i="5"/>
  <c r="U58" i="5"/>
  <c r="V58" i="5"/>
  <c r="AF22" i="7"/>
  <c r="W58" i="5"/>
  <c r="X58" i="5"/>
  <c r="AH22" i="7"/>
  <c r="M59" i="5"/>
  <c r="O59" i="5"/>
  <c r="P59" i="5"/>
  <c r="Z23" i="7"/>
  <c r="Q59" i="5"/>
  <c r="R59" i="5"/>
  <c r="S59" i="5"/>
  <c r="AC23" i="7"/>
  <c r="H23" i="20"/>
  <c r="I154" i="18"/>
  <c r="T59" i="5"/>
  <c r="U59" i="5"/>
  <c r="V59" i="5"/>
  <c r="AF23" i="7"/>
  <c r="W59" i="5"/>
  <c r="X59" i="5"/>
  <c r="M60" i="5"/>
  <c r="W24" i="7"/>
  <c r="D24" i="20"/>
  <c r="O60" i="5"/>
  <c r="P60" i="5"/>
  <c r="Q60" i="5"/>
  <c r="AA24" i="7"/>
  <c r="R60" i="5"/>
  <c r="S60" i="5"/>
  <c r="T60" i="5"/>
  <c r="AD24" i="7"/>
  <c r="U60" i="5"/>
  <c r="V60" i="5"/>
  <c r="W60" i="5"/>
  <c r="AG24" i="7"/>
  <c r="X60" i="5"/>
  <c r="M61" i="5"/>
  <c r="O61" i="5"/>
  <c r="P61" i="5"/>
  <c r="Z25" i="7"/>
  <c r="Q61" i="5"/>
  <c r="R61" i="5"/>
  <c r="AB25" i="7"/>
  <c r="G25" i="20"/>
  <c r="H156" i="18"/>
  <c r="S61" i="5"/>
  <c r="AC25" i="7"/>
  <c r="H25" i="20"/>
  <c r="I156" i="18"/>
  <c r="T61" i="5"/>
  <c r="U61" i="5"/>
  <c r="V61" i="5"/>
  <c r="AF25" i="7"/>
  <c r="W61" i="5"/>
  <c r="X61" i="5"/>
  <c r="AH25" i="7"/>
  <c r="M62" i="5"/>
  <c r="O62" i="5"/>
  <c r="P62" i="5"/>
  <c r="Z26" i="7"/>
  <c r="Q62" i="5"/>
  <c r="R62" i="5"/>
  <c r="S62" i="5"/>
  <c r="AC26" i="7"/>
  <c r="H26" i="20"/>
  <c r="I157" i="18"/>
  <c r="T62" i="5"/>
  <c r="AD26" i="7"/>
  <c r="U62" i="5"/>
  <c r="V62" i="5"/>
  <c r="AF26" i="7"/>
  <c r="W62" i="5"/>
  <c r="X62" i="5"/>
  <c r="M63" i="5"/>
  <c r="W27" i="7"/>
  <c r="D27" i="20"/>
  <c r="O63" i="5"/>
  <c r="Y27" i="7"/>
  <c r="E27" i="20"/>
  <c r="F158" i="18"/>
  <c r="P63" i="5"/>
  <c r="Q63" i="5"/>
  <c r="AA27" i="7"/>
  <c r="R63" i="5"/>
  <c r="AB27" i="7"/>
  <c r="G27" i="20"/>
  <c r="H158" i="18"/>
  <c r="S63" i="5"/>
  <c r="T63" i="5"/>
  <c r="AD27" i="7"/>
  <c r="U63" i="5"/>
  <c r="V63" i="5"/>
  <c r="W63" i="5"/>
  <c r="AG27" i="7"/>
  <c r="X63" i="5"/>
  <c r="AH27" i="7"/>
  <c r="M64" i="5"/>
  <c r="O64" i="5"/>
  <c r="Y28" i="7"/>
  <c r="E28" i="20"/>
  <c r="F159" i="18"/>
  <c r="P64" i="5"/>
  <c r="Z28" i="7"/>
  <c r="Q64" i="5"/>
  <c r="R64" i="5"/>
  <c r="AB28" i="7"/>
  <c r="G28" i="20"/>
  <c r="H159" i="18"/>
  <c r="S64" i="5"/>
  <c r="AC28" i="7"/>
  <c r="H28" i="20"/>
  <c r="I159" i="18"/>
  <c r="T64" i="5"/>
  <c r="U64" i="5"/>
  <c r="AE28" i="7"/>
  <c r="V64" i="5"/>
  <c r="AF28" i="7"/>
  <c r="W64" i="5"/>
  <c r="X64" i="5"/>
  <c r="AH28" i="7"/>
  <c r="M65" i="5"/>
  <c r="O65" i="5"/>
  <c r="P65" i="5"/>
  <c r="Z29" i="7"/>
  <c r="Q65" i="5"/>
  <c r="R65" i="5"/>
  <c r="S65" i="5"/>
  <c r="AC29" i="7"/>
  <c r="H29" i="20"/>
  <c r="I160" i="18"/>
  <c r="T65" i="5"/>
  <c r="AD29" i="7"/>
  <c r="U65" i="5"/>
  <c r="V65" i="5"/>
  <c r="AF29" i="7"/>
  <c r="W65" i="5"/>
  <c r="X65" i="5"/>
  <c r="X40" i="7"/>
  <c r="Z40" i="7"/>
  <c r="AA40" i="7"/>
  <c r="AB40" i="7"/>
  <c r="AC40" i="7"/>
  <c r="AD40" i="7"/>
  <c r="AE40" i="7"/>
  <c r="AF40" i="7"/>
  <c r="AG40" i="7"/>
  <c r="AH40" i="7"/>
  <c r="X41" i="7"/>
  <c r="Z41" i="7"/>
  <c r="AA41" i="7"/>
  <c r="AB41" i="7"/>
  <c r="AC41" i="7"/>
  <c r="AD41" i="7"/>
  <c r="AE41" i="7"/>
  <c r="AF41" i="7"/>
  <c r="AG41" i="7"/>
  <c r="AH41" i="7"/>
  <c r="X42" i="7"/>
  <c r="Z42" i="7"/>
  <c r="AA42" i="7"/>
  <c r="AC42" i="7"/>
  <c r="AD42" i="7"/>
  <c r="AF42" i="7"/>
  <c r="AG42" i="7"/>
  <c r="X43" i="7"/>
  <c r="AA43" i="7"/>
  <c r="AB43" i="7"/>
  <c r="AD43" i="7"/>
  <c r="AE43" i="7"/>
  <c r="AG43" i="7"/>
  <c r="AH43" i="7"/>
  <c r="X44" i="7"/>
  <c r="Z44" i="7"/>
  <c r="AA44" i="7"/>
  <c r="AB44" i="7"/>
  <c r="AC44" i="7"/>
  <c r="AD44" i="7"/>
  <c r="AE44" i="7"/>
  <c r="AF44" i="7"/>
  <c r="AG44" i="7"/>
  <c r="AH44" i="7"/>
  <c r="X45" i="7"/>
  <c r="Z45" i="7"/>
  <c r="AA45" i="7"/>
  <c r="AC45" i="7"/>
  <c r="AD45" i="7"/>
  <c r="AF45" i="7"/>
  <c r="AG45" i="7"/>
  <c r="X46" i="7"/>
  <c r="AA46" i="7"/>
  <c r="AB46" i="7"/>
  <c r="AD46" i="7"/>
  <c r="AE46" i="7"/>
  <c r="AG46" i="7"/>
  <c r="AH46" i="7"/>
  <c r="X47" i="7"/>
  <c r="Z47" i="7"/>
  <c r="AA47" i="7"/>
  <c r="AB47" i="7"/>
  <c r="AC47" i="7"/>
  <c r="AD47" i="7"/>
  <c r="AE47" i="7"/>
  <c r="AF47" i="7"/>
  <c r="AG47" i="7"/>
  <c r="AH47" i="7"/>
  <c r="X31" i="7"/>
  <c r="Z31" i="7"/>
  <c r="AA31" i="7"/>
  <c r="AC31" i="7"/>
  <c r="AD31" i="7"/>
  <c r="AF31" i="7"/>
  <c r="AG31" i="7"/>
  <c r="X32" i="7"/>
  <c r="Y32" i="7"/>
  <c r="E32" i="20"/>
  <c r="F163" i="18"/>
  <c r="AA32" i="7"/>
  <c r="AB32" i="7"/>
  <c r="G32" i="20"/>
  <c r="H163" i="18"/>
  <c r="AD32" i="7"/>
  <c r="AE32" i="7"/>
  <c r="AG32" i="7"/>
  <c r="AH32" i="7"/>
  <c r="X34" i="7"/>
  <c r="Y34" i="7"/>
  <c r="E34" i="20"/>
  <c r="F165" i="18"/>
  <c r="Z34" i="7"/>
  <c r="AB34" i="7"/>
  <c r="G34" i="20"/>
  <c r="H165" i="18"/>
  <c r="AC34" i="7"/>
  <c r="H34" i="20"/>
  <c r="I165" i="18"/>
  <c r="AE34" i="7"/>
  <c r="AF34" i="7"/>
  <c r="AH34" i="7"/>
  <c r="X22" i="7"/>
  <c r="Z22" i="7"/>
  <c r="AA22" i="7"/>
  <c r="AD22" i="7"/>
  <c r="AE22" i="7"/>
  <c r="AG22" i="7"/>
  <c r="X23" i="7"/>
  <c r="AA23" i="7"/>
  <c r="AB23" i="7"/>
  <c r="G23" i="20"/>
  <c r="H154" i="18"/>
  <c r="AD23" i="7"/>
  <c r="AE23" i="7"/>
  <c r="AG23" i="7"/>
  <c r="AH23" i="7"/>
  <c r="X24" i="7"/>
  <c r="Z24" i="7"/>
  <c r="AB24" i="7"/>
  <c r="G24" i="20"/>
  <c r="H155" i="18"/>
  <c r="AC24" i="7"/>
  <c r="H24" i="20"/>
  <c r="I155" i="18"/>
  <c r="AE24" i="7"/>
  <c r="AF24" i="7"/>
  <c r="AH24" i="7"/>
  <c r="X25" i="7"/>
  <c r="AA25" i="7"/>
  <c r="AD25" i="7"/>
  <c r="AE25" i="7"/>
  <c r="AG25" i="7"/>
  <c r="X26" i="7"/>
  <c r="AA26" i="7"/>
  <c r="AB26" i="7"/>
  <c r="G26" i="20"/>
  <c r="H157" i="18"/>
  <c r="AE26" i="7"/>
  <c r="AG26" i="7"/>
  <c r="AH26" i="7"/>
  <c r="X27" i="7"/>
  <c r="Z27" i="7"/>
  <c r="AC27" i="7"/>
  <c r="H27" i="20"/>
  <c r="I158" i="18"/>
  <c r="AE27" i="7"/>
  <c r="AF27" i="7"/>
  <c r="X28" i="7"/>
  <c r="AA28" i="7"/>
  <c r="AD28" i="7"/>
  <c r="AG28" i="7"/>
  <c r="X29" i="7"/>
  <c r="AA29" i="7"/>
  <c r="AB29" i="7"/>
  <c r="G29" i="20"/>
  <c r="H160" i="18"/>
  <c r="AE29" i="7"/>
  <c r="AG29" i="7"/>
  <c r="AH29" i="7"/>
  <c r="D6" i="19"/>
  <c r="D7" i="19"/>
  <c r="C6" i="19"/>
  <c r="C7" i="19"/>
  <c r="N7" i="7"/>
  <c r="O7" i="7"/>
  <c r="N6" i="7"/>
  <c r="O6" i="7"/>
  <c r="N12" i="4"/>
  <c r="N296" i="5"/>
  <c r="A298" i="5"/>
  <c r="M12" i="4"/>
  <c r="M9" i="4"/>
  <c r="N9" i="4"/>
  <c r="M8" i="4"/>
  <c r="M6" i="7"/>
  <c r="N8" i="4"/>
  <c r="N345" i="5"/>
  <c r="A347" i="5"/>
  <c r="R149" i="5"/>
  <c r="A152" i="5"/>
  <c r="A236" i="5"/>
  <c r="A224" i="5"/>
  <c r="A334" i="5"/>
  <c r="A313" i="5"/>
  <c r="A301" i="5"/>
  <c r="R100" i="5"/>
  <c r="A103" i="5"/>
  <c r="R394" i="5"/>
  <c r="A397" i="5"/>
  <c r="G115" i="17" a="1"/>
  <c r="G115" i="17"/>
  <c r="Y29" i="7"/>
  <c r="E29" i="20"/>
  <c r="F160" i="18"/>
  <c r="B86" i="5"/>
  <c r="N86" i="5"/>
  <c r="B85" i="5"/>
  <c r="N85" i="5"/>
  <c r="B84" i="5"/>
  <c r="N84" i="5"/>
  <c r="Y26" i="7"/>
  <c r="E26" i="20"/>
  <c r="F157" i="18"/>
  <c r="B83" i="5"/>
  <c r="N83" i="5"/>
  <c r="Y24" i="7"/>
  <c r="E24" i="20"/>
  <c r="F155" i="18"/>
  <c r="B81" i="5"/>
  <c r="N81" i="5"/>
  <c r="Y25" i="7"/>
  <c r="E25" i="20"/>
  <c r="F156" i="18"/>
  <c r="B101" i="17" a="1"/>
  <c r="B101" i="17"/>
  <c r="G45" i="17" a="1"/>
  <c r="G45" i="17"/>
  <c r="G59" i="17" a="1"/>
  <c r="G59" i="17"/>
  <c r="C41" i="17" a="1"/>
  <c r="C41" i="17"/>
  <c r="B115" i="5"/>
  <c r="N115" i="5"/>
  <c r="C55" i="17" a="1"/>
  <c r="C55" i="17"/>
  <c r="B164" i="5"/>
  <c r="N164" i="5"/>
  <c r="C27" i="17" a="1"/>
  <c r="C27" i="17"/>
  <c r="B66" i="5"/>
  <c r="N66" i="5"/>
  <c r="C11" i="17" a="1"/>
  <c r="C11" i="17"/>
  <c r="B15" i="5"/>
  <c r="N15" i="5"/>
  <c r="C12" i="17" a="1"/>
  <c r="C12" i="17"/>
  <c r="B16" i="5"/>
  <c r="N16" i="5"/>
  <c r="C13" i="17" a="1"/>
  <c r="C13" i="17"/>
  <c r="B17" i="5"/>
  <c r="N17" i="5"/>
  <c r="H11" i="17" a="1"/>
  <c r="H11" i="17"/>
  <c r="B36" i="5"/>
  <c r="N36" i="5"/>
  <c r="H12" i="17" a="1"/>
  <c r="H12" i="17"/>
  <c r="B37" i="5"/>
  <c r="N37" i="5"/>
  <c r="H13" i="17" a="1"/>
  <c r="H13" i="17"/>
  <c r="B38" i="5"/>
  <c r="N38" i="5"/>
  <c r="H27" i="17" a="1"/>
  <c r="H27" i="17"/>
  <c r="C201" i="17" a="1"/>
  <c r="C201" i="17"/>
  <c r="B695" i="5"/>
  <c r="N695" i="5"/>
  <c r="C202" i="17" a="1"/>
  <c r="C202" i="17"/>
  <c r="B696" i="5"/>
  <c r="N696" i="5"/>
  <c r="C203" i="17" a="1"/>
  <c r="C203" i="17"/>
  <c r="B697" i="5"/>
  <c r="N697" i="5"/>
  <c r="C204" i="17" a="1"/>
  <c r="C204" i="17"/>
  <c r="B698" i="5"/>
  <c r="N698" i="5"/>
  <c r="C205" i="17" a="1"/>
  <c r="C205" i="17"/>
  <c r="B699" i="5"/>
  <c r="N699" i="5"/>
  <c r="C206" i="17" a="1"/>
  <c r="C206" i="17"/>
  <c r="B700" i="5"/>
  <c r="N700" i="5"/>
  <c r="C207" i="17" a="1"/>
  <c r="C207" i="17"/>
  <c r="B701" i="5"/>
  <c r="N701" i="5"/>
  <c r="C208" i="17" a="1"/>
  <c r="C208" i="17"/>
  <c r="B702" i="5"/>
  <c r="N702" i="5"/>
  <c r="C209" i="17" a="1"/>
  <c r="C209" i="17"/>
  <c r="B703" i="5"/>
  <c r="N703" i="5"/>
  <c r="C187" i="17" a="1"/>
  <c r="C187" i="17"/>
  <c r="B646" i="5"/>
  <c r="N646" i="5"/>
  <c r="C188" i="17" a="1"/>
  <c r="C188" i="17"/>
  <c r="B647" i="5"/>
  <c r="N647" i="5"/>
  <c r="C189" i="17" a="1"/>
  <c r="C189" i="17"/>
  <c r="B648" i="5"/>
  <c r="N648" i="5"/>
  <c r="C190" i="17" a="1"/>
  <c r="C190" i="17"/>
  <c r="B649" i="5"/>
  <c r="N649" i="5"/>
  <c r="C191" i="17" a="1"/>
  <c r="C191" i="17"/>
  <c r="B650" i="5"/>
  <c r="N650" i="5"/>
  <c r="C192" i="17" a="1"/>
  <c r="C192" i="17"/>
  <c r="B651" i="5"/>
  <c r="N651" i="5"/>
  <c r="C193" i="17" a="1"/>
  <c r="C193" i="17"/>
  <c r="B652" i="5"/>
  <c r="N652" i="5"/>
  <c r="C194" i="17" a="1"/>
  <c r="C194" i="17"/>
  <c r="B653" i="5"/>
  <c r="N653" i="5"/>
  <c r="C195" i="17" a="1"/>
  <c r="C195" i="17"/>
  <c r="B654" i="5"/>
  <c r="N654" i="5"/>
  <c r="C173" i="17" a="1"/>
  <c r="C173" i="17"/>
  <c r="B597" i="5"/>
  <c r="N597" i="5"/>
  <c r="C174" i="17" a="1"/>
  <c r="C174" i="17"/>
  <c r="B598" i="5"/>
  <c r="N598" i="5"/>
  <c r="C175" i="17" a="1"/>
  <c r="C175" i="17"/>
  <c r="B599" i="5"/>
  <c r="N599" i="5"/>
  <c r="C176" i="17" a="1"/>
  <c r="C176" i="17"/>
  <c r="B600" i="5"/>
  <c r="N600" i="5"/>
  <c r="C177" i="17" a="1"/>
  <c r="C177" i="17"/>
  <c r="B601" i="5"/>
  <c r="N601" i="5"/>
  <c r="C178" i="17" a="1"/>
  <c r="C178" i="17"/>
  <c r="B602" i="5"/>
  <c r="N602" i="5"/>
  <c r="C179" i="17" a="1"/>
  <c r="C179" i="17"/>
  <c r="B603" i="5"/>
  <c r="N603" i="5"/>
  <c r="C180" i="17" a="1"/>
  <c r="C180" i="17"/>
  <c r="B604" i="5"/>
  <c r="N604" i="5"/>
  <c r="C181" i="17" a="1"/>
  <c r="C181" i="17"/>
  <c r="B605" i="5"/>
  <c r="N605" i="5"/>
  <c r="H201" i="17" a="1"/>
  <c r="H201" i="17"/>
  <c r="B716" i="5"/>
  <c r="N716" i="5"/>
  <c r="H202" i="17" a="1"/>
  <c r="H202" i="17"/>
  <c r="H203" i="17" a="1"/>
  <c r="H203" i="17"/>
  <c r="H204" i="17" a="1"/>
  <c r="H204" i="17"/>
  <c r="H205" i="17" a="1"/>
  <c r="H205" i="17"/>
  <c r="H206" i="17" a="1"/>
  <c r="H206" i="17"/>
  <c r="H207" i="17" a="1"/>
  <c r="H207" i="17"/>
  <c r="H208" i="17" a="1"/>
  <c r="H208" i="17"/>
  <c r="H209" i="17" a="1"/>
  <c r="H209" i="17"/>
  <c r="H187" i="17" a="1"/>
  <c r="H187" i="17"/>
  <c r="B667" i="5"/>
  <c r="N667" i="5"/>
  <c r="H188" i="17" a="1"/>
  <c r="H188" i="17"/>
  <c r="H189" i="17" a="1"/>
  <c r="H189" i="17"/>
  <c r="H190" i="17" a="1"/>
  <c r="H190" i="17"/>
  <c r="H191" i="17" a="1"/>
  <c r="H191" i="17"/>
  <c r="H192" i="17" a="1"/>
  <c r="H192" i="17"/>
  <c r="H193" i="17" a="1"/>
  <c r="H193" i="17"/>
  <c r="H194" i="17" a="1"/>
  <c r="H194" i="17"/>
  <c r="H195" i="17" a="1"/>
  <c r="H195" i="17"/>
  <c r="H173" i="17" a="1"/>
  <c r="H173" i="17"/>
  <c r="B618" i="5"/>
  <c r="N618" i="5"/>
  <c r="H174" i="17" a="1"/>
  <c r="H174" i="17"/>
  <c r="H175" i="17" a="1"/>
  <c r="H175" i="17"/>
  <c r="H176" i="17" a="1"/>
  <c r="H176" i="17"/>
  <c r="H177" i="17" a="1"/>
  <c r="H177" i="17"/>
  <c r="H178" i="17" a="1"/>
  <c r="H178" i="17"/>
  <c r="H179" i="17" a="1"/>
  <c r="H179" i="17"/>
  <c r="H180" i="17" a="1"/>
  <c r="H180" i="17"/>
  <c r="H181" i="17" a="1"/>
  <c r="H181" i="17"/>
  <c r="B87" i="17" a="1"/>
  <c r="B87" i="17"/>
  <c r="G31" i="17" a="1"/>
  <c r="G31" i="17"/>
  <c r="H10" i="4" a="1"/>
  <c r="H10" i="4"/>
  <c r="I6" i="7"/>
  <c r="H6" i="7"/>
  <c r="AL28" i="7"/>
  <c r="AL29" i="7"/>
  <c r="AL30" i="7"/>
  <c r="AL31" i="7"/>
  <c r="AL32" i="7"/>
  <c r="AL33" i="7"/>
  <c r="AL34" i="7"/>
  <c r="AL35" i="7"/>
  <c r="AL36" i="7"/>
  <c r="AL37" i="7"/>
  <c r="AL38" i="7"/>
  <c r="AL39" i="7"/>
  <c r="AK28" i="7"/>
  <c r="AJ28" i="7"/>
  <c r="AK29" i="7"/>
  <c r="AJ29" i="7"/>
  <c r="AK30" i="7"/>
  <c r="AJ30" i="7"/>
  <c r="AK31" i="7"/>
  <c r="AJ31" i="7"/>
  <c r="AK32" i="7"/>
  <c r="AJ32" i="7"/>
  <c r="AK33" i="7"/>
  <c r="AJ33" i="7"/>
  <c r="AK34" i="7"/>
  <c r="AJ34" i="7"/>
  <c r="AK35" i="7"/>
  <c r="AJ35" i="7"/>
  <c r="AK36" i="7"/>
  <c r="AJ36" i="7"/>
  <c r="AK37" i="7"/>
  <c r="AJ37" i="7"/>
  <c r="AK38" i="7"/>
  <c r="AJ38" i="7"/>
  <c r="AK39" i="7"/>
  <c r="AJ39" i="7"/>
  <c r="T40" i="7"/>
  <c r="T41" i="7"/>
  <c r="A41" i="20"/>
  <c r="T42" i="7"/>
  <c r="A42" i="20"/>
  <c r="T43" i="7"/>
  <c r="A43" i="20"/>
  <c r="T44" i="7"/>
  <c r="A44" i="20"/>
  <c r="T45" i="7"/>
  <c r="A45" i="20"/>
  <c r="T46" i="7"/>
  <c r="A46" i="20"/>
  <c r="T47" i="7"/>
  <c r="A47" i="20"/>
  <c r="T48" i="7"/>
  <c r="A48" i="20"/>
  <c r="T49" i="7"/>
  <c r="A49" i="20"/>
  <c r="T50" i="7"/>
  <c r="A50" i="20"/>
  <c r="T51" i="7"/>
  <c r="A51" i="20"/>
  <c r="T52" i="7"/>
  <c r="A52" i="20"/>
  <c r="T53" i="7"/>
  <c r="A53" i="20"/>
  <c r="T54" i="7"/>
  <c r="A54" i="20"/>
  <c r="T55" i="7"/>
  <c r="A55" i="20"/>
  <c r="T56" i="7"/>
  <c r="A56" i="20"/>
  <c r="T57" i="7"/>
  <c r="A57" i="20"/>
  <c r="S40" i="7"/>
  <c r="S41" i="7"/>
  <c r="C41" i="20"/>
  <c r="S42" i="7"/>
  <c r="C42" i="20"/>
  <c r="S43" i="7"/>
  <c r="C43" i="20"/>
  <c r="S44" i="7"/>
  <c r="C44" i="20"/>
  <c r="S45" i="7"/>
  <c r="C45" i="20"/>
  <c r="S46" i="7"/>
  <c r="C46" i="20"/>
  <c r="S47" i="7"/>
  <c r="C47" i="20"/>
  <c r="S48" i="7"/>
  <c r="C48" i="20"/>
  <c r="S49" i="7"/>
  <c r="C49" i="20"/>
  <c r="S50" i="7"/>
  <c r="C50" i="20"/>
  <c r="S51" i="7"/>
  <c r="C51" i="20"/>
  <c r="S52" i="7"/>
  <c r="C52" i="20"/>
  <c r="S53" i="7"/>
  <c r="C53" i="20"/>
  <c r="S54" i="7"/>
  <c r="C54" i="20"/>
  <c r="S55" i="7"/>
  <c r="C55" i="20"/>
  <c r="S56" i="7"/>
  <c r="C56" i="20"/>
  <c r="S57" i="7"/>
  <c r="C57" i="20"/>
  <c r="K6" i="7"/>
  <c r="A9" i="19"/>
  <c r="J6" i="7"/>
  <c r="A8" i="19"/>
  <c r="BO5" i="7"/>
  <c r="F83" i="17" a="1"/>
  <c r="F83" i="17"/>
  <c r="H83" i="17" a="1"/>
  <c r="H83" i="17"/>
  <c r="F82" i="17" a="1"/>
  <c r="F82" i="17"/>
  <c r="F81" i="17" a="1"/>
  <c r="F81" i="17"/>
  <c r="F80" i="17" a="1"/>
  <c r="F80" i="17"/>
  <c r="F79" i="17" a="1"/>
  <c r="F79" i="17"/>
  <c r="F78" i="17" a="1"/>
  <c r="F78" i="17"/>
  <c r="F77" i="17" a="1"/>
  <c r="F77" i="17"/>
  <c r="F76" i="17" a="1"/>
  <c r="F76" i="17"/>
  <c r="F75" i="17" a="1"/>
  <c r="F75" i="17"/>
  <c r="W59" i="7"/>
  <c r="W41" i="7"/>
  <c r="W32" i="7"/>
  <c r="D32" i="20"/>
  <c r="W23" i="7"/>
  <c r="D23" i="20"/>
  <c r="E154" i="18"/>
  <c r="W63" i="7"/>
  <c r="W60" i="7"/>
  <c r="W45" i="7"/>
  <c r="W42" i="7"/>
  <c r="H11" i="4" a="1"/>
  <c r="H11" i="4"/>
  <c r="I7" i="7"/>
  <c r="H7" i="7"/>
  <c r="AL40" i="7"/>
  <c r="AL41" i="7"/>
  <c r="AL42" i="7"/>
  <c r="AL43" i="7"/>
  <c r="AL44" i="7"/>
  <c r="AL45" i="7"/>
  <c r="AL46" i="7"/>
  <c r="AL47" i="7"/>
  <c r="AL48" i="7"/>
  <c r="AL49" i="7"/>
  <c r="AL50" i="7"/>
  <c r="AL51" i="7"/>
  <c r="AK40" i="7"/>
  <c r="AJ40" i="7"/>
  <c r="AK41" i="7"/>
  <c r="AJ41" i="7"/>
  <c r="AK42" i="7"/>
  <c r="AJ42" i="7"/>
  <c r="AK43" i="7"/>
  <c r="AJ43" i="7"/>
  <c r="AK44" i="7"/>
  <c r="AJ44" i="7"/>
  <c r="AK45" i="7"/>
  <c r="AJ45" i="7"/>
  <c r="AK46" i="7"/>
  <c r="AJ46" i="7"/>
  <c r="AK47" i="7"/>
  <c r="AJ47" i="7"/>
  <c r="AK48" i="7"/>
  <c r="AJ48" i="7"/>
  <c r="AK49" i="7"/>
  <c r="AJ49" i="7"/>
  <c r="AK50" i="7"/>
  <c r="AJ50" i="7"/>
  <c r="AK51" i="7"/>
  <c r="AJ51" i="7"/>
  <c r="T58" i="7"/>
  <c r="A58" i="20"/>
  <c r="T59" i="7"/>
  <c r="A59" i="20"/>
  <c r="T60" i="7"/>
  <c r="A60" i="20"/>
  <c r="T61" i="7"/>
  <c r="A61" i="20"/>
  <c r="T62" i="7"/>
  <c r="A62" i="20"/>
  <c r="T63" i="7"/>
  <c r="A63" i="20"/>
  <c r="T64" i="7"/>
  <c r="A64" i="20"/>
  <c r="T65" i="7"/>
  <c r="A65" i="20"/>
  <c r="T66" i="7"/>
  <c r="A66" i="20"/>
  <c r="T67" i="7"/>
  <c r="A67" i="20"/>
  <c r="T68" i="7"/>
  <c r="A68" i="20"/>
  <c r="T69" i="7"/>
  <c r="A69" i="20"/>
  <c r="T70" i="7"/>
  <c r="A70" i="20"/>
  <c r="T71" i="7"/>
  <c r="A71" i="20"/>
  <c r="T72" i="7"/>
  <c r="A72" i="20"/>
  <c r="T73" i="7"/>
  <c r="A73" i="20"/>
  <c r="T74" i="7"/>
  <c r="A74" i="20"/>
  <c r="T75" i="7"/>
  <c r="A75" i="20"/>
  <c r="S58" i="7"/>
  <c r="C58" i="20"/>
  <c r="S59" i="7"/>
  <c r="C59" i="20"/>
  <c r="S60" i="7"/>
  <c r="C60" i="20"/>
  <c r="S61" i="7"/>
  <c r="C61" i="20"/>
  <c r="S62" i="7"/>
  <c r="C62" i="20"/>
  <c r="S63" i="7"/>
  <c r="C63" i="20"/>
  <c r="S64" i="7"/>
  <c r="C64" i="20"/>
  <c r="S65" i="7"/>
  <c r="C65" i="20"/>
  <c r="S66" i="7"/>
  <c r="C66" i="20"/>
  <c r="S67" i="7"/>
  <c r="C67" i="20"/>
  <c r="S68" i="7"/>
  <c r="C68" i="20"/>
  <c r="S69" i="7"/>
  <c r="C69" i="20"/>
  <c r="S70" i="7"/>
  <c r="C70" i="20"/>
  <c r="S71" i="7"/>
  <c r="C71" i="20"/>
  <c r="S72" i="7"/>
  <c r="C72" i="20"/>
  <c r="S73" i="7"/>
  <c r="C73" i="20"/>
  <c r="S74" i="7"/>
  <c r="C74" i="20"/>
  <c r="S75" i="7"/>
  <c r="C75" i="20"/>
  <c r="M7" i="7"/>
  <c r="L7" i="7"/>
  <c r="P7" i="7"/>
  <c r="K7" i="7"/>
  <c r="A11" i="19"/>
  <c r="J7" i="7"/>
  <c r="A10" i="19"/>
  <c r="BQ5" i="7"/>
  <c r="I8" i="7"/>
  <c r="H8" i="7"/>
  <c r="AL52" i="7"/>
  <c r="AL53" i="7"/>
  <c r="AL54" i="7"/>
  <c r="AL55" i="7"/>
  <c r="AL56" i="7"/>
  <c r="AL57" i="7"/>
  <c r="AL58" i="7"/>
  <c r="AL59" i="7"/>
  <c r="AL60" i="7"/>
  <c r="AL61" i="7"/>
  <c r="AL62" i="7"/>
  <c r="AL63" i="7"/>
  <c r="AK52" i="7"/>
  <c r="AJ52" i="7"/>
  <c r="AK53" i="7"/>
  <c r="AJ53" i="7"/>
  <c r="AK54" i="7"/>
  <c r="AJ54" i="7"/>
  <c r="AK55" i="7"/>
  <c r="AJ55" i="7"/>
  <c r="AK56" i="7"/>
  <c r="AJ56" i="7"/>
  <c r="AK57" i="7"/>
  <c r="AJ57" i="7"/>
  <c r="AK58" i="7"/>
  <c r="AJ58" i="7"/>
  <c r="AK59" i="7"/>
  <c r="AJ59" i="7"/>
  <c r="AK60" i="7"/>
  <c r="AJ60" i="7"/>
  <c r="AK61" i="7"/>
  <c r="AJ61" i="7"/>
  <c r="AK62" i="7"/>
  <c r="AJ62" i="7"/>
  <c r="AK63" i="7"/>
  <c r="AJ63" i="7"/>
  <c r="T76" i="7"/>
  <c r="A76" i="20"/>
  <c r="T77" i="7"/>
  <c r="A77" i="20"/>
  <c r="T78" i="7"/>
  <c r="A78" i="20"/>
  <c r="T79" i="7"/>
  <c r="A79" i="20"/>
  <c r="T80" i="7"/>
  <c r="A80" i="20"/>
  <c r="T81" i="7"/>
  <c r="A81" i="20"/>
  <c r="T82" i="7"/>
  <c r="A82" i="20"/>
  <c r="T83" i="7"/>
  <c r="A83" i="20"/>
  <c r="T84" i="7"/>
  <c r="A84" i="20"/>
  <c r="T85" i="7"/>
  <c r="A85" i="20"/>
  <c r="T86" i="7"/>
  <c r="A86" i="20"/>
  <c r="T87" i="7"/>
  <c r="A87" i="20"/>
  <c r="T88" i="7"/>
  <c r="A88" i="20"/>
  <c r="T89" i="7"/>
  <c r="A89" i="20"/>
  <c r="T90" i="7"/>
  <c r="A90" i="20"/>
  <c r="T91" i="7"/>
  <c r="A91" i="20"/>
  <c r="T92" i="7"/>
  <c r="A92" i="20"/>
  <c r="T93" i="7"/>
  <c r="A93" i="20"/>
  <c r="S76" i="7"/>
  <c r="C76" i="20"/>
  <c r="S77" i="7"/>
  <c r="C77" i="20"/>
  <c r="S78" i="7"/>
  <c r="C78" i="20"/>
  <c r="S79" i="7"/>
  <c r="C79" i="20"/>
  <c r="S80" i="7"/>
  <c r="C80" i="20"/>
  <c r="S81" i="7"/>
  <c r="C81" i="20"/>
  <c r="S82" i="7"/>
  <c r="C82" i="20"/>
  <c r="S83" i="7"/>
  <c r="C83" i="20"/>
  <c r="S84" i="7"/>
  <c r="C84" i="20"/>
  <c r="S85" i="7"/>
  <c r="C85" i="20"/>
  <c r="S86" i="7"/>
  <c r="C86" i="20"/>
  <c r="S87" i="7"/>
  <c r="C87" i="20"/>
  <c r="S88" i="7"/>
  <c r="C88" i="20"/>
  <c r="S89" i="7"/>
  <c r="C89" i="20"/>
  <c r="S90" i="7"/>
  <c r="C90" i="20"/>
  <c r="S91" i="7"/>
  <c r="C91" i="20"/>
  <c r="S92" i="7"/>
  <c r="C92" i="20"/>
  <c r="S93" i="7"/>
  <c r="C93" i="20"/>
  <c r="I9" i="7"/>
  <c r="H9" i="7"/>
  <c r="AL64" i="7"/>
  <c r="AL65" i="7"/>
  <c r="AL66" i="7"/>
  <c r="AL67" i="7"/>
  <c r="AL68" i="7"/>
  <c r="AL69" i="7"/>
  <c r="AL70" i="7"/>
  <c r="AL71" i="7"/>
  <c r="AL72" i="7"/>
  <c r="AL73" i="7"/>
  <c r="AL74" i="7"/>
  <c r="AL75" i="7"/>
  <c r="AK64" i="7"/>
  <c r="AJ64" i="7"/>
  <c r="AK65" i="7"/>
  <c r="AJ65" i="7"/>
  <c r="AK66" i="7"/>
  <c r="AJ66" i="7"/>
  <c r="AK67" i="7"/>
  <c r="AJ67" i="7"/>
  <c r="AK68" i="7"/>
  <c r="AJ68" i="7"/>
  <c r="AK69" i="7"/>
  <c r="AJ69" i="7"/>
  <c r="AK70" i="7"/>
  <c r="AJ70" i="7"/>
  <c r="AK71" i="7"/>
  <c r="AJ71" i="7"/>
  <c r="AK72" i="7"/>
  <c r="AJ72" i="7"/>
  <c r="AK73" i="7"/>
  <c r="AJ73" i="7"/>
  <c r="AK74" i="7"/>
  <c r="AJ74" i="7"/>
  <c r="AK75" i="7"/>
  <c r="AJ75" i="7"/>
  <c r="T94" i="7"/>
  <c r="A94" i="20"/>
  <c r="T95" i="7"/>
  <c r="A95" i="20"/>
  <c r="T96" i="7"/>
  <c r="A96" i="20"/>
  <c r="T97" i="7"/>
  <c r="A97" i="20"/>
  <c r="T98" i="7"/>
  <c r="A98" i="20"/>
  <c r="T99" i="7"/>
  <c r="A99" i="20"/>
  <c r="T100" i="7"/>
  <c r="A100" i="20"/>
  <c r="T101" i="7"/>
  <c r="A101" i="20"/>
  <c r="T102" i="7"/>
  <c r="A102" i="20"/>
  <c r="T103" i="7"/>
  <c r="A103" i="20"/>
  <c r="T104" i="7"/>
  <c r="A104" i="20"/>
  <c r="T105" i="7"/>
  <c r="A105" i="20"/>
  <c r="T106" i="7"/>
  <c r="A106" i="20"/>
  <c r="T107" i="7"/>
  <c r="A107" i="20"/>
  <c r="T108" i="7"/>
  <c r="A108" i="20"/>
  <c r="T109" i="7"/>
  <c r="A109" i="20"/>
  <c r="T110" i="7"/>
  <c r="A110" i="20"/>
  <c r="T111" i="7"/>
  <c r="A111" i="20"/>
  <c r="S94" i="7"/>
  <c r="C94" i="20"/>
  <c r="S95" i="7"/>
  <c r="C95" i="20"/>
  <c r="S96" i="7"/>
  <c r="C96" i="20"/>
  <c r="S97" i="7"/>
  <c r="C97" i="20"/>
  <c r="S98" i="7"/>
  <c r="C98" i="20"/>
  <c r="S99" i="7"/>
  <c r="C99" i="20"/>
  <c r="S100" i="7"/>
  <c r="C100" i="20"/>
  <c r="S101" i="7"/>
  <c r="C101" i="20"/>
  <c r="S102" i="7"/>
  <c r="C102" i="20"/>
  <c r="S103" i="7"/>
  <c r="C103" i="20"/>
  <c r="S104" i="7"/>
  <c r="C104" i="20"/>
  <c r="S105" i="7"/>
  <c r="C105" i="20"/>
  <c r="S106" i="7"/>
  <c r="C106" i="20"/>
  <c r="S107" i="7"/>
  <c r="C107" i="20"/>
  <c r="S108" i="7"/>
  <c r="C108" i="20"/>
  <c r="S109" i="7"/>
  <c r="C109" i="20"/>
  <c r="S110" i="7"/>
  <c r="C110" i="20"/>
  <c r="S111" i="7"/>
  <c r="C111" i="20"/>
  <c r="L8" i="7"/>
  <c r="K8" i="7"/>
  <c r="A13" i="19"/>
  <c r="J8" i="7"/>
  <c r="A12" i="19"/>
  <c r="L9" i="7"/>
  <c r="K9" i="7"/>
  <c r="A15" i="19"/>
  <c r="J9" i="7"/>
  <c r="A14" i="19"/>
  <c r="P6" i="7"/>
  <c r="P5" i="7"/>
  <c r="BR5" i="7"/>
  <c r="BT5" i="7"/>
  <c r="BS5" i="7"/>
  <c r="BU5" i="7"/>
  <c r="F32" i="20"/>
  <c r="G163" i="18"/>
  <c r="E163" i="18"/>
  <c r="F27" i="20"/>
  <c r="G158" i="18"/>
  <c r="E158" i="18"/>
  <c r="F24" i="20"/>
  <c r="G155" i="18"/>
  <c r="E155" i="18"/>
  <c r="H22" i="20"/>
  <c r="I153" i="18"/>
  <c r="G22" i="20"/>
  <c r="H153" i="18"/>
  <c r="H31" i="20"/>
  <c r="I162" i="18"/>
  <c r="G31" i="20"/>
  <c r="H162" i="18"/>
  <c r="X716" i="5"/>
  <c r="AH265" i="7"/>
  <c r="W716" i="5"/>
  <c r="AG265" i="7"/>
  <c r="V716" i="5"/>
  <c r="AF265" i="7"/>
  <c r="U716" i="5"/>
  <c r="AE265" i="7"/>
  <c r="T716" i="5"/>
  <c r="AD265" i="7"/>
  <c r="S716" i="5"/>
  <c r="AC265" i="7"/>
  <c r="R716" i="5"/>
  <c r="AB265" i="7"/>
  <c r="Q716" i="5"/>
  <c r="AA265" i="7"/>
  <c r="P716" i="5"/>
  <c r="Z265" i="7"/>
  <c r="O716" i="5"/>
  <c r="X265" i="7"/>
  <c r="M716" i="5"/>
  <c r="W265" i="7"/>
  <c r="X667" i="5"/>
  <c r="AH247" i="7"/>
  <c r="W667" i="5"/>
  <c r="AG247" i="7"/>
  <c r="V667" i="5"/>
  <c r="AF247" i="7"/>
  <c r="U667" i="5"/>
  <c r="AE247" i="7"/>
  <c r="T667" i="5"/>
  <c r="AD247" i="7"/>
  <c r="S667" i="5"/>
  <c r="AC247" i="7"/>
  <c r="R667" i="5"/>
  <c r="AB247" i="7"/>
  <c r="Q667" i="5"/>
  <c r="AA247" i="7"/>
  <c r="P667" i="5"/>
  <c r="Z247" i="7"/>
  <c r="O667" i="5"/>
  <c r="X247" i="7"/>
  <c r="M667" i="5"/>
  <c r="W247" i="7"/>
  <c r="X618" i="5"/>
  <c r="AH229" i="7"/>
  <c r="W618" i="5"/>
  <c r="AG229" i="7"/>
  <c r="V618" i="5"/>
  <c r="AF229" i="7"/>
  <c r="U618" i="5"/>
  <c r="AE229" i="7"/>
  <c r="T618" i="5"/>
  <c r="AD229" i="7"/>
  <c r="S618" i="5"/>
  <c r="AC229" i="7"/>
  <c r="R618" i="5"/>
  <c r="AB229" i="7"/>
  <c r="Q618" i="5"/>
  <c r="AA229" i="7"/>
  <c r="P618" i="5"/>
  <c r="Z229" i="7"/>
  <c r="O618" i="5"/>
  <c r="X229" i="7"/>
  <c r="M618" i="5"/>
  <c r="W229" i="7"/>
  <c r="X703" i="5"/>
  <c r="AH264" i="7"/>
  <c r="W703" i="5"/>
  <c r="AG264" i="7"/>
  <c r="V703" i="5"/>
  <c r="AF264" i="7"/>
  <c r="U703" i="5"/>
  <c r="AE264" i="7"/>
  <c r="T703" i="5"/>
  <c r="AD264" i="7"/>
  <c r="S703" i="5"/>
  <c r="AC264" i="7"/>
  <c r="R703" i="5"/>
  <c r="AB264" i="7"/>
  <c r="Q703" i="5"/>
  <c r="AA264" i="7"/>
  <c r="P703" i="5"/>
  <c r="Z264" i="7"/>
  <c r="O703" i="5"/>
  <c r="X264" i="7"/>
  <c r="M703" i="5"/>
  <c r="W264" i="7"/>
  <c r="X702" i="5"/>
  <c r="AH263" i="7"/>
  <c r="W702" i="5"/>
  <c r="AG263" i="7"/>
  <c r="V702" i="5"/>
  <c r="AF263" i="7"/>
  <c r="U702" i="5"/>
  <c r="AE263" i="7"/>
  <c r="T702" i="5"/>
  <c r="AD263" i="7"/>
  <c r="S702" i="5"/>
  <c r="AC263" i="7"/>
  <c r="R702" i="5"/>
  <c r="AB263" i="7"/>
  <c r="Q702" i="5"/>
  <c r="AA263" i="7"/>
  <c r="P702" i="5"/>
  <c r="Z263" i="7"/>
  <c r="O702" i="5"/>
  <c r="X263" i="7"/>
  <c r="M702" i="5"/>
  <c r="W263" i="7"/>
  <c r="X701" i="5"/>
  <c r="AH262" i="7"/>
  <c r="W701" i="5"/>
  <c r="AG262" i="7"/>
  <c r="V701" i="5"/>
  <c r="AF262" i="7"/>
  <c r="U701" i="5"/>
  <c r="AE262" i="7"/>
  <c r="T701" i="5"/>
  <c r="AD262" i="7"/>
  <c r="S701" i="5"/>
  <c r="AC262" i="7"/>
  <c r="R701" i="5"/>
  <c r="AB262" i="7"/>
  <c r="Q701" i="5"/>
  <c r="AA262" i="7"/>
  <c r="P701" i="5"/>
  <c r="Z262" i="7"/>
  <c r="O701" i="5"/>
  <c r="X262" i="7"/>
  <c r="M701" i="5"/>
  <c r="W262" i="7"/>
  <c r="X700" i="5"/>
  <c r="AH261" i="7"/>
  <c r="W700" i="5"/>
  <c r="AG261" i="7"/>
  <c r="V700" i="5"/>
  <c r="AF261" i="7"/>
  <c r="U700" i="5"/>
  <c r="AE261" i="7"/>
  <c r="T700" i="5"/>
  <c r="AD261" i="7"/>
  <c r="S700" i="5"/>
  <c r="AC261" i="7"/>
  <c r="R700" i="5"/>
  <c r="AB261" i="7"/>
  <c r="Q700" i="5"/>
  <c r="AA261" i="7"/>
  <c r="P700" i="5"/>
  <c r="Z261" i="7"/>
  <c r="O700" i="5"/>
  <c r="X261" i="7"/>
  <c r="M700" i="5"/>
  <c r="W261" i="7"/>
  <c r="X699" i="5"/>
  <c r="AH260" i="7"/>
  <c r="W699" i="5"/>
  <c r="AG260" i="7"/>
  <c r="V699" i="5"/>
  <c r="AF260" i="7"/>
  <c r="U699" i="5"/>
  <c r="AE260" i="7"/>
  <c r="T699" i="5"/>
  <c r="AD260" i="7"/>
  <c r="S699" i="5"/>
  <c r="AC260" i="7"/>
  <c r="R699" i="5"/>
  <c r="AB260" i="7"/>
  <c r="Q699" i="5"/>
  <c r="AA260" i="7"/>
  <c r="P699" i="5"/>
  <c r="Z260" i="7"/>
  <c r="O699" i="5"/>
  <c r="X260" i="7"/>
  <c r="M699" i="5"/>
  <c r="W260" i="7"/>
  <c r="X698" i="5"/>
  <c r="AH259" i="7"/>
  <c r="W698" i="5"/>
  <c r="AG259" i="7"/>
  <c r="V698" i="5"/>
  <c r="AF259" i="7"/>
  <c r="U698" i="5"/>
  <c r="AE259" i="7"/>
  <c r="T698" i="5"/>
  <c r="AD259" i="7"/>
  <c r="S698" i="5"/>
  <c r="AC259" i="7"/>
  <c r="R698" i="5"/>
  <c r="AB259" i="7"/>
  <c r="Q698" i="5"/>
  <c r="AA259" i="7"/>
  <c r="P698" i="5"/>
  <c r="Z259" i="7"/>
  <c r="O698" i="5"/>
  <c r="X259" i="7"/>
  <c r="M698" i="5"/>
  <c r="W259" i="7"/>
  <c r="X697" i="5"/>
  <c r="AH258" i="7"/>
  <c r="W697" i="5"/>
  <c r="AG258" i="7"/>
  <c r="V697" i="5"/>
  <c r="AF258" i="7"/>
  <c r="U697" i="5"/>
  <c r="AE258" i="7"/>
  <c r="T697" i="5"/>
  <c r="AD258" i="7"/>
  <c r="S697" i="5"/>
  <c r="AC258" i="7"/>
  <c r="R697" i="5"/>
  <c r="AB258" i="7"/>
  <c r="Q697" i="5"/>
  <c r="AA258" i="7"/>
  <c r="P697" i="5"/>
  <c r="Z258" i="7"/>
  <c r="O697" i="5"/>
  <c r="X258" i="7"/>
  <c r="M697" i="5"/>
  <c r="W258" i="7"/>
  <c r="X696" i="5"/>
  <c r="AH257" i="7"/>
  <c r="W696" i="5"/>
  <c r="AG257" i="7"/>
  <c r="V696" i="5"/>
  <c r="AF257" i="7"/>
  <c r="U696" i="5"/>
  <c r="AE257" i="7"/>
  <c r="T696" i="5"/>
  <c r="AD257" i="7"/>
  <c r="S696" i="5"/>
  <c r="AC257" i="7"/>
  <c r="R696" i="5"/>
  <c r="AB257" i="7"/>
  <c r="Q696" i="5"/>
  <c r="AA257" i="7"/>
  <c r="P696" i="5"/>
  <c r="Z257" i="7"/>
  <c r="O696" i="5"/>
  <c r="X257" i="7"/>
  <c r="M696" i="5"/>
  <c r="W257" i="7"/>
  <c r="X695" i="5"/>
  <c r="AH256" i="7"/>
  <c r="W695" i="5"/>
  <c r="AG256" i="7"/>
  <c r="V695" i="5"/>
  <c r="AF256" i="7"/>
  <c r="U695" i="5"/>
  <c r="AE256" i="7"/>
  <c r="T695" i="5"/>
  <c r="AD256" i="7"/>
  <c r="S695" i="5"/>
  <c r="AC256" i="7"/>
  <c r="R695" i="5"/>
  <c r="AB256" i="7"/>
  <c r="Q695" i="5"/>
  <c r="AA256" i="7"/>
  <c r="P695" i="5"/>
  <c r="Z256" i="7"/>
  <c r="O695" i="5"/>
  <c r="L690" i="5"/>
  <c r="X256" i="7"/>
  <c r="M695" i="5"/>
  <c r="W256" i="7"/>
  <c r="X654" i="5"/>
  <c r="AH246" i="7"/>
  <c r="W654" i="5"/>
  <c r="AG246" i="7"/>
  <c r="V654" i="5"/>
  <c r="AF246" i="7"/>
  <c r="U654" i="5"/>
  <c r="AE246" i="7"/>
  <c r="T654" i="5"/>
  <c r="AD246" i="7"/>
  <c r="S654" i="5"/>
  <c r="AC246" i="7"/>
  <c r="R654" i="5"/>
  <c r="AB246" i="7"/>
  <c r="Q654" i="5"/>
  <c r="AA246" i="7"/>
  <c r="P654" i="5"/>
  <c r="Z246" i="7"/>
  <c r="O654" i="5"/>
  <c r="X246" i="7"/>
  <c r="M654" i="5"/>
  <c r="W246" i="7"/>
  <c r="X653" i="5"/>
  <c r="AH245" i="7"/>
  <c r="W653" i="5"/>
  <c r="AG245" i="7"/>
  <c r="V653" i="5"/>
  <c r="AF245" i="7"/>
  <c r="U653" i="5"/>
  <c r="AE245" i="7"/>
  <c r="T653" i="5"/>
  <c r="AD245" i="7"/>
  <c r="S653" i="5"/>
  <c r="AC245" i="7"/>
  <c r="R653" i="5"/>
  <c r="AB245" i="7"/>
  <c r="Q653" i="5"/>
  <c r="AA245" i="7"/>
  <c r="P653" i="5"/>
  <c r="Z245" i="7"/>
  <c r="O653" i="5"/>
  <c r="X245" i="7"/>
  <c r="M653" i="5"/>
  <c r="W245" i="7"/>
  <c r="X652" i="5"/>
  <c r="AH244" i="7"/>
  <c r="W652" i="5"/>
  <c r="AG244" i="7"/>
  <c r="V652" i="5"/>
  <c r="AF244" i="7"/>
  <c r="U652" i="5"/>
  <c r="AE244" i="7"/>
  <c r="T652" i="5"/>
  <c r="AD244" i="7"/>
  <c r="S652" i="5"/>
  <c r="AC244" i="7"/>
  <c r="R652" i="5"/>
  <c r="AB244" i="7"/>
  <c r="Q652" i="5"/>
  <c r="AA244" i="7"/>
  <c r="P652" i="5"/>
  <c r="Z244" i="7"/>
  <c r="O652" i="5"/>
  <c r="X244" i="7"/>
  <c r="M652" i="5"/>
  <c r="W244" i="7"/>
  <c r="X651" i="5"/>
  <c r="AH243" i="7"/>
  <c r="W651" i="5"/>
  <c r="AG243" i="7"/>
  <c r="V651" i="5"/>
  <c r="AF243" i="7"/>
  <c r="U651" i="5"/>
  <c r="AE243" i="7"/>
  <c r="T651" i="5"/>
  <c r="AD243" i="7"/>
  <c r="S651" i="5"/>
  <c r="AC243" i="7"/>
  <c r="R651" i="5"/>
  <c r="AB243" i="7"/>
  <c r="Q651" i="5"/>
  <c r="AA243" i="7"/>
  <c r="P651" i="5"/>
  <c r="Z243" i="7"/>
  <c r="O651" i="5"/>
  <c r="X243" i="7"/>
  <c r="M651" i="5"/>
  <c r="W243" i="7"/>
  <c r="X650" i="5"/>
  <c r="AH242" i="7"/>
  <c r="W650" i="5"/>
  <c r="AG242" i="7"/>
  <c r="V650" i="5"/>
  <c r="AF242" i="7"/>
  <c r="U650" i="5"/>
  <c r="AE242" i="7"/>
  <c r="T650" i="5"/>
  <c r="AD242" i="7"/>
  <c r="S650" i="5"/>
  <c r="AC242" i="7"/>
  <c r="R650" i="5"/>
  <c r="AB242" i="7"/>
  <c r="Q650" i="5"/>
  <c r="AA242" i="7"/>
  <c r="P650" i="5"/>
  <c r="Z242" i="7"/>
  <c r="O650" i="5"/>
  <c r="X242" i="7"/>
  <c r="M650" i="5"/>
  <c r="W242" i="7"/>
  <c r="X649" i="5"/>
  <c r="AH241" i="7"/>
  <c r="W649" i="5"/>
  <c r="AG241" i="7"/>
  <c r="V649" i="5"/>
  <c r="AF241" i="7"/>
  <c r="U649" i="5"/>
  <c r="AE241" i="7"/>
  <c r="T649" i="5"/>
  <c r="AD241" i="7"/>
  <c r="S649" i="5"/>
  <c r="AC241" i="7"/>
  <c r="R649" i="5"/>
  <c r="AB241" i="7"/>
  <c r="Q649" i="5"/>
  <c r="AA241" i="7"/>
  <c r="P649" i="5"/>
  <c r="Z241" i="7"/>
  <c r="O649" i="5"/>
  <c r="X241" i="7"/>
  <c r="M649" i="5"/>
  <c r="W241" i="7"/>
  <c r="X648" i="5"/>
  <c r="AH240" i="7"/>
  <c r="W648" i="5"/>
  <c r="AG240" i="7"/>
  <c r="V648" i="5"/>
  <c r="AF240" i="7"/>
  <c r="U648" i="5"/>
  <c r="AE240" i="7"/>
  <c r="T648" i="5"/>
  <c r="AD240" i="7"/>
  <c r="S648" i="5"/>
  <c r="AC240" i="7"/>
  <c r="R648" i="5"/>
  <c r="AB240" i="7"/>
  <c r="Q648" i="5"/>
  <c r="AA240" i="7"/>
  <c r="P648" i="5"/>
  <c r="Z240" i="7"/>
  <c r="O648" i="5"/>
  <c r="X240" i="7"/>
  <c r="M648" i="5"/>
  <c r="W240" i="7"/>
  <c r="X647" i="5"/>
  <c r="AH239" i="7"/>
  <c r="W647" i="5"/>
  <c r="AG239" i="7"/>
  <c r="V647" i="5"/>
  <c r="AF239" i="7"/>
  <c r="U647" i="5"/>
  <c r="AE239" i="7"/>
  <c r="T647" i="5"/>
  <c r="AD239" i="7"/>
  <c r="S647" i="5"/>
  <c r="AC239" i="7"/>
  <c r="R647" i="5"/>
  <c r="AB239" i="7"/>
  <c r="Q647" i="5"/>
  <c r="AA239" i="7"/>
  <c r="P647" i="5"/>
  <c r="Z239" i="7"/>
  <c r="O647" i="5"/>
  <c r="X239" i="7"/>
  <c r="M647" i="5"/>
  <c r="W239" i="7"/>
  <c r="X646" i="5"/>
  <c r="AH238" i="7"/>
  <c r="W646" i="5"/>
  <c r="AG238" i="7"/>
  <c r="V646" i="5"/>
  <c r="AF238" i="7"/>
  <c r="U646" i="5"/>
  <c r="AE238" i="7"/>
  <c r="T646" i="5"/>
  <c r="AD238" i="7"/>
  <c r="S646" i="5"/>
  <c r="AC238" i="7"/>
  <c r="R646" i="5"/>
  <c r="AB238" i="7"/>
  <c r="Q646" i="5"/>
  <c r="AA238" i="7"/>
  <c r="P646" i="5"/>
  <c r="Z238" i="7"/>
  <c r="O646" i="5"/>
  <c r="L641" i="5"/>
  <c r="X238" i="7"/>
  <c r="M646" i="5"/>
  <c r="W238" i="7"/>
  <c r="X605" i="5"/>
  <c r="AH228" i="7"/>
  <c r="W605" i="5"/>
  <c r="AG228" i="7"/>
  <c r="V605" i="5"/>
  <c r="AF228" i="7"/>
  <c r="U605" i="5"/>
  <c r="AE228" i="7"/>
  <c r="T605" i="5"/>
  <c r="AD228" i="7"/>
  <c r="S605" i="5"/>
  <c r="AC228" i="7"/>
  <c r="R605" i="5"/>
  <c r="AB228" i="7"/>
  <c r="Q605" i="5"/>
  <c r="AA228" i="7"/>
  <c r="P605" i="5"/>
  <c r="Z228" i="7"/>
  <c r="O605" i="5"/>
  <c r="X228" i="7"/>
  <c r="M605" i="5"/>
  <c r="W228" i="7"/>
  <c r="X604" i="5"/>
  <c r="AH227" i="7"/>
  <c r="W604" i="5"/>
  <c r="AG227" i="7"/>
  <c r="V604" i="5"/>
  <c r="AF227" i="7"/>
  <c r="U604" i="5"/>
  <c r="AE227" i="7"/>
  <c r="T604" i="5"/>
  <c r="AD227" i="7"/>
  <c r="S604" i="5"/>
  <c r="AC227" i="7"/>
  <c r="R604" i="5"/>
  <c r="AB227" i="7"/>
  <c r="Q604" i="5"/>
  <c r="AA227" i="7"/>
  <c r="P604" i="5"/>
  <c r="Z227" i="7"/>
  <c r="O604" i="5"/>
  <c r="X227" i="7"/>
  <c r="M604" i="5"/>
  <c r="W227" i="7"/>
  <c r="X603" i="5"/>
  <c r="AH226" i="7"/>
  <c r="W603" i="5"/>
  <c r="AG226" i="7"/>
  <c r="V603" i="5"/>
  <c r="AF226" i="7"/>
  <c r="U603" i="5"/>
  <c r="AE226" i="7"/>
  <c r="T603" i="5"/>
  <c r="AD226" i="7"/>
  <c r="S603" i="5"/>
  <c r="AC226" i="7"/>
  <c r="R603" i="5"/>
  <c r="AB226" i="7"/>
  <c r="Q603" i="5"/>
  <c r="AA226" i="7"/>
  <c r="P603" i="5"/>
  <c r="Z226" i="7"/>
  <c r="O603" i="5"/>
  <c r="X226" i="7"/>
  <c r="M603" i="5"/>
  <c r="W226" i="7"/>
  <c r="X602" i="5"/>
  <c r="AH225" i="7"/>
  <c r="W602" i="5"/>
  <c r="AG225" i="7"/>
  <c r="V602" i="5"/>
  <c r="AF225" i="7"/>
  <c r="U602" i="5"/>
  <c r="AE225" i="7"/>
  <c r="T602" i="5"/>
  <c r="AD225" i="7"/>
  <c r="S602" i="5"/>
  <c r="AC225" i="7"/>
  <c r="R602" i="5"/>
  <c r="AB225" i="7"/>
  <c r="Q602" i="5"/>
  <c r="AA225" i="7"/>
  <c r="P602" i="5"/>
  <c r="Z225" i="7"/>
  <c r="O602" i="5"/>
  <c r="X225" i="7"/>
  <c r="M602" i="5"/>
  <c r="W225" i="7"/>
  <c r="X601" i="5"/>
  <c r="AH224" i="7"/>
  <c r="W601" i="5"/>
  <c r="AG224" i="7"/>
  <c r="V601" i="5"/>
  <c r="AF224" i="7"/>
  <c r="U601" i="5"/>
  <c r="AE224" i="7"/>
  <c r="T601" i="5"/>
  <c r="AD224" i="7"/>
  <c r="S601" i="5"/>
  <c r="AC224" i="7"/>
  <c r="R601" i="5"/>
  <c r="AB224" i="7"/>
  <c r="Q601" i="5"/>
  <c r="AA224" i="7"/>
  <c r="P601" i="5"/>
  <c r="Z224" i="7"/>
  <c r="O601" i="5"/>
  <c r="X224" i="7"/>
  <c r="M601" i="5"/>
  <c r="W224" i="7"/>
  <c r="X600" i="5"/>
  <c r="AH223" i="7"/>
  <c r="W600" i="5"/>
  <c r="AG223" i="7"/>
  <c r="V600" i="5"/>
  <c r="AF223" i="7"/>
  <c r="U600" i="5"/>
  <c r="AE223" i="7"/>
  <c r="T600" i="5"/>
  <c r="AD223" i="7"/>
  <c r="S600" i="5"/>
  <c r="AC223" i="7"/>
  <c r="R600" i="5"/>
  <c r="AB223" i="7"/>
  <c r="Q600" i="5"/>
  <c r="AA223" i="7"/>
  <c r="P600" i="5"/>
  <c r="Z223" i="7"/>
  <c r="O600" i="5"/>
  <c r="X223" i="7"/>
  <c r="M600" i="5"/>
  <c r="W223" i="7"/>
  <c r="X599" i="5"/>
  <c r="AH222" i="7"/>
  <c r="W599" i="5"/>
  <c r="AG222" i="7"/>
  <c r="V599" i="5"/>
  <c r="AF222" i="7"/>
  <c r="U599" i="5"/>
  <c r="AE222" i="7"/>
  <c r="T599" i="5"/>
  <c r="AD222" i="7"/>
  <c r="S599" i="5"/>
  <c r="AC222" i="7"/>
  <c r="R599" i="5"/>
  <c r="AB222" i="7"/>
  <c r="Q599" i="5"/>
  <c r="AA222" i="7"/>
  <c r="P599" i="5"/>
  <c r="Z222" i="7"/>
  <c r="O599" i="5"/>
  <c r="X222" i="7"/>
  <c r="M599" i="5"/>
  <c r="W222" i="7"/>
  <c r="X598" i="5"/>
  <c r="AH221" i="7"/>
  <c r="W598" i="5"/>
  <c r="AG221" i="7"/>
  <c r="V598" i="5"/>
  <c r="AF221" i="7"/>
  <c r="U598" i="5"/>
  <c r="AE221" i="7"/>
  <c r="T598" i="5"/>
  <c r="AD221" i="7"/>
  <c r="S598" i="5"/>
  <c r="AC221" i="7"/>
  <c r="R598" i="5"/>
  <c r="AB221" i="7"/>
  <c r="Q598" i="5"/>
  <c r="AA221" i="7"/>
  <c r="P598" i="5"/>
  <c r="Z221" i="7"/>
  <c r="O598" i="5"/>
  <c r="X221" i="7"/>
  <c r="M598" i="5"/>
  <c r="W221" i="7"/>
  <c r="X597" i="5"/>
  <c r="AH220" i="7"/>
  <c r="W597" i="5"/>
  <c r="AG220" i="7"/>
  <c r="V597" i="5"/>
  <c r="AF220" i="7"/>
  <c r="U597" i="5"/>
  <c r="AE220" i="7"/>
  <c r="T597" i="5"/>
  <c r="AD220" i="7"/>
  <c r="S597" i="5"/>
  <c r="AC220" i="7"/>
  <c r="R597" i="5"/>
  <c r="AB220" i="7"/>
  <c r="Q597" i="5"/>
  <c r="AA220" i="7"/>
  <c r="P597" i="5"/>
  <c r="Z220" i="7"/>
  <c r="O597" i="5"/>
  <c r="L592" i="5"/>
  <c r="X220" i="7"/>
  <c r="M597" i="5"/>
  <c r="W220" i="7"/>
  <c r="M164" i="5"/>
  <c r="X66" i="7"/>
  <c r="O164" i="5"/>
  <c r="L151" i="5"/>
  <c r="P164" i="5"/>
  <c r="Z66" i="7"/>
  <c r="Q164" i="5"/>
  <c r="AA66" i="7"/>
  <c r="R164" i="5"/>
  <c r="AB66" i="7"/>
  <c r="S164" i="5"/>
  <c r="AC66" i="7"/>
  <c r="T164" i="5"/>
  <c r="AD66" i="7"/>
  <c r="U164" i="5"/>
  <c r="AE66" i="7"/>
  <c r="V164" i="5"/>
  <c r="AF66" i="7"/>
  <c r="W164" i="5"/>
  <c r="AG66" i="7"/>
  <c r="X164" i="5"/>
  <c r="AH66" i="7"/>
  <c r="M115" i="5"/>
  <c r="O115" i="5"/>
  <c r="L102" i="5"/>
  <c r="P115" i="5"/>
  <c r="Q115" i="5"/>
  <c r="R115" i="5"/>
  <c r="S115" i="5"/>
  <c r="T115" i="5"/>
  <c r="U115" i="5"/>
  <c r="V115" i="5"/>
  <c r="AF48" i="7"/>
  <c r="W115" i="5"/>
  <c r="X115" i="5"/>
  <c r="M81" i="5"/>
  <c r="W33" i="7"/>
  <c r="D33" i="20"/>
  <c r="E164" i="18"/>
  <c r="O81" i="5"/>
  <c r="P81" i="5"/>
  <c r="Q81" i="5"/>
  <c r="R81" i="5"/>
  <c r="S81" i="5"/>
  <c r="T81" i="5"/>
  <c r="U81" i="5"/>
  <c r="V81" i="5"/>
  <c r="W81" i="5"/>
  <c r="X81" i="5"/>
  <c r="M83" i="5"/>
  <c r="O83" i="5"/>
  <c r="P83" i="5"/>
  <c r="Q83" i="5"/>
  <c r="R83" i="5"/>
  <c r="S83" i="5"/>
  <c r="T83" i="5"/>
  <c r="U83" i="5"/>
  <c r="V83" i="5"/>
  <c r="W83" i="5"/>
  <c r="X83" i="5"/>
  <c r="M84" i="5"/>
  <c r="O84" i="5"/>
  <c r="P84" i="5"/>
  <c r="Q84" i="5"/>
  <c r="R84" i="5"/>
  <c r="S84" i="5"/>
  <c r="T84" i="5"/>
  <c r="U84" i="5"/>
  <c r="V84" i="5"/>
  <c r="W84" i="5"/>
  <c r="X84" i="5"/>
  <c r="M85" i="5"/>
  <c r="O85" i="5"/>
  <c r="P85" i="5"/>
  <c r="Q85" i="5"/>
  <c r="R85" i="5"/>
  <c r="S85" i="5"/>
  <c r="T85" i="5"/>
  <c r="U85" i="5"/>
  <c r="V85" i="5"/>
  <c r="W85" i="5"/>
  <c r="X85" i="5"/>
  <c r="M86" i="5"/>
  <c r="O86" i="5"/>
  <c r="P86" i="5"/>
  <c r="Q86" i="5"/>
  <c r="R86" i="5"/>
  <c r="S86" i="5"/>
  <c r="T86" i="5"/>
  <c r="U86" i="5"/>
  <c r="V86" i="5"/>
  <c r="W86" i="5"/>
  <c r="X86" i="5"/>
  <c r="M66" i="5"/>
  <c r="O66" i="5"/>
  <c r="L53" i="5"/>
  <c r="P66" i="5"/>
  <c r="Q66" i="5"/>
  <c r="R66" i="5"/>
  <c r="S66" i="5"/>
  <c r="T66" i="5"/>
  <c r="U66" i="5"/>
  <c r="V66" i="5"/>
  <c r="W66" i="5"/>
  <c r="X66" i="5"/>
  <c r="M38" i="5"/>
  <c r="O38" i="5"/>
  <c r="P38" i="5"/>
  <c r="Q38" i="5"/>
  <c r="AA21" i="7"/>
  <c r="R38" i="5"/>
  <c r="AB21" i="7"/>
  <c r="G21" i="20"/>
  <c r="H152" i="18"/>
  <c r="S38" i="5"/>
  <c r="T38" i="5"/>
  <c r="U38" i="5"/>
  <c r="AE21" i="7"/>
  <c r="V38" i="5"/>
  <c r="AF21" i="7"/>
  <c r="W38" i="5"/>
  <c r="AG21" i="7"/>
  <c r="X38" i="5"/>
  <c r="AH21" i="7"/>
  <c r="M37" i="5"/>
  <c r="O37" i="5"/>
  <c r="Y20" i="7"/>
  <c r="E20" i="20"/>
  <c r="F151" i="18"/>
  <c r="P37" i="5"/>
  <c r="Q37" i="5"/>
  <c r="R37" i="5"/>
  <c r="AB20" i="7"/>
  <c r="G20" i="20"/>
  <c r="H151" i="18"/>
  <c r="S37" i="5"/>
  <c r="T37" i="5"/>
  <c r="U37" i="5"/>
  <c r="AE20" i="7"/>
  <c r="V37" i="5"/>
  <c r="W37" i="5"/>
  <c r="AG20" i="7"/>
  <c r="X37" i="5"/>
  <c r="AH20" i="7"/>
  <c r="M36" i="5"/>
  <c r="W19" i="7"/>
  <c r="D19" i="20"/>
  <c r="E150" i="18"/>
  <c r="O36" i="5"/>
  <c r="P36" i="5"/>
  <c r="Z19" i="7"/>
  <c r="Q36" i="5"/>
  <c r="R36" i="5"/>
  <c r="S36" i="5"/>
  <c r="AC19" i="7"/>
  <c r="H19" i="20"/>
  <c r="I150" i="18"/>
  <c r="T36" i="5"/>
  <c r="AD19" i="7"/>
  <c r="U36" i="5"/>
  <c r="V36" i="5"/>
  <c r="W36" i="5"/>
  <c r="AG19" i="7"/>
  <c r="X36" i="5"/>
  <c r="AH19" i="7"/>
  <c r="M17" i="5"/>
  <c r="W12" i="7"/>
  <c r="D12" i="20"/>
  <c r="E143" i="18"/>
  <c r="O17" i="5"/>
  <c r="Y12" i="7"/>
  <c r="E12" i="20"/>
  <c r="F143" i="18"/>
  <c r="P17" i="5"/>
  <c r="Z12" i="7"/>
  <c r="Q17" i="5"/>
  <c r="AA12" i="7"/>
  <c r="R17" i="5"/>
  <c r="AB12" i="7"/>
  <c r="G12" i="20"/>
  <c r="H143" i="18"/>
  <c r="S17" i="5"/>
  <c r="T17" i="5"/>
  <c r="AD12" i="7"/>
  <c r="U17" i="5"/>
  <c r="AE12" i="7"/>
  <c r="V17" i="5"/>
  <c r="W17" i="5"/>
  <c r="X17" i="5"/>
  <c r="AH12" i="7"/>
  <c r="M16" i="5"/>
  <c r="W11" i="7"/>
  <c r="D11" i="20"/>
  <c r="E142" i="18"/>
  <c r="O16" i="5"/>
  <c r="Y11" i="7"/>
  <c r="E11" i="20"/>
  <c r="F142" i="18"/>
  <c r="P16" i="5"/>
  <c r="Z11" i="7"/>
  <c r="Q16" i="5"/>
  <c r="R16" i="5"/>
  <c r="AB11" i="7"/>
  <c r="G11" i="20"/>
  <c r="H142" i="18"/>
  <c r="S16" i="5"/>
  <c r="AC11" i="7"/>
  <c r="H11" i="20"/>
  <c r="I142" i="18"/>
  <c r="T16" i="5"/>
  <c r="AD11" i="7"/>
  <c r="U16" i="5"/>
  <c r="AE11" i="7"/>
  <c r="V16" i="5"/>
  <c r="W16" i="5"/>
  <c r="X16" i="5"/>
  <c r="AH11" i="7"/>
  <c r="M15" i="5"/>
  <c r="W10" i="7"/>
  <c r="D10" i="20"/>
  <c r="E141" i="18"/>
  <c r="O15" i="5"/>
  <c r="P15" i="5"/>
  <c r="Q15" i="5"/>
  <c r="R15" i="5"/>
  <c r="S15" i="5"/>
  <c r="T15" i="5"/>
  <c r="U15" i="5"/>
  <c r="V15" i="5"/>
  <c r="W15" i="5"/>
  <c r="X15" i="5"/>
  <c r="X48" i="7"/>
  <c r="Z48" i="7"/>
  <c r="AA48" i="7"/>
  <c r="AB48" i="7"/>
  <c r="AC48" i="7"/>
  <c r="AD48" i="7"/>
  <c r="AE48" i="7"/>
  <c r="AG48" i="7"/>
  <c r="AH48" i="7"/>
  <c r="X33" i="7"/>
  <c r="Y33" i="7"/>
  <c r="E33" i="20"/>
  <c r="F164" i="18"/>
  <c r="Z33" i="7"/>
  <c r="AA33" i="7"/>
  <c r="AB33" i="7"/>
  <c r="AC33" i="7"/>
  <c r="AD33" i="7"/>
  <c r="AE33" i="7"/>
  <c r="AF33" i="7"/>
  <c r="AG33" i="7"/>
  <c r="AH33" i="7"/>
  <c r="X35" i="7"/>
  <c r="Y35" i="7"/>
  <c r="E35" i="20"/>
  <c r="F166" i="18"/>
  <c r="Z35" i="7"/>
  <c r="AA35" i="7"/>
  <c r="AB35" i="7"/>
  <c r="G35" i="20"/>
  <c r="H166" i="18"/>
  <c r="AC35" i="7"/>
  <c r="H35" i="20"/>
  <c r="I166" i="18"/>
  <c r="AD35" i="7"/>
  <c r="AE35" i="7"/>
  <c r="AF35" i="7"/>
  <c r="AG35" i="7"/>
  <c r="AH35" i="7"/>
  <c r="W36" i="7"/>
  <c r="D36" i="20"/>
  <c r="E167" i="18"/>
  <c r="X36" i="7"/>
  <c r="Y36" i="7"/>
  <c r="E36" i="20"/>
  <c r="F167" i="18"/>
  <c r="Z36" i="7"/>
  <c r="AA36" i="7"/>
  <c r="AB36" i="7"/>
  <c r="G36" i="20"/>
  <c r="H167" i="18"/>
  <c r="AC36" i="7"/>
  <c r="H36" i="20"/>
  <c r="I167" i="18"/>
  <c r="AD36" i="7"/>
  <c r="AE36" i="7"/>
  <c r="AF36" i="7"/>
  <c r="AG36" i="7"/>
  <c r="AH36" i="7"/>
  <c r="X37" i="7"/>
  <c r="Y37" i="7"/>
  <c r="E37" i="20"/>
  <c r="F168" i="18"/>
  <c r="Z37" i="7"/>
  <c r="AA37" i="7"/>
  <c r="AB37" i="7"/>
  <c r="G37" i="20"/>
  <c r="H168" i="18"/>
  <c r="AC37" i="7"/>
  <c r="H37" i="20"/>
  <c r="I168" i="18"/>
  <c r="AD37" i="7"/>
  <c r="AE37" i="7"/>
  <c r="AF37" i="7"/>
  <c r="AG37" i="7"/>
  <c r="AH37" i="7"/>
  <c r="X38" i="7"/>
  <c r="Y38" i="7"/>
  <c r="E38" i="20"/>
  <c r="F169" i="18"/>
  <c r="Z38" i="7"/>
  <c r="AA38" i="7"/>
  <c r="AB38" i="7"/>
  <c r="G38" i="20"/>
  <c r="H169" i="18"/>
  <c r="AC38" i="7"/>
  <c r="H38" i="20"/>
  <c r="I169" i="18"/>
  <c r="AD38" i="7"/>
  <c r="AE38" i="7"/>
  <c r="AF38" i="7"/>
  <c r="AG38" i="7"/>
  <c r="AH38" i="7"/>
  <c r="Y31" i="7"/>
  <c r="E31" i="20"/>
  <c r="F162" i="18"/>
  <c r="X30" i="7"/>
  <c r="Z30" i="7"/>
  <c r="AA30" i="7"/>
  <c r="AB30" i="7"/>
  <c r="AC30" i="7"/>
  <c r="AD30" i="7"/>
  <c r="AE30" i="7"/>
  <c r="AF30" i="7"/>
  <c r="AG30" i="7"/>
  <c r="AH30" i="7"/>
  <c r="W21" i="7"/>
  <c r="D21" i="20"/>
  <c r="E152" i="18"/>
  <c r="X21" i="7"/>
  <c r="Y21" i="7"/>
  <c r="E21" i="20"/>
  <c r="F152" i="18"/>
  <c r="Z21" i="7"/>
  <c r="AC21" i="7"/>
  <c r="H21" i="20"/>
  <c r="I152" i="18"/>
  <c r="AD21" i="7"/>
  <c r="W20" i="7"/>
  <c r="D20" i="20"/>
  <c r="E151" i="18"/>
  <c r="X20" i="7"/>
  <c r="Z20" i="7"/>
  <c r="AA20" i="7"/>
  <c r="AC20" i="7"/>
  <c r="H20" i="20"/>
  <c r="I151" i="18"/>
  <c r="AD20" i="7"/>
  <c r="AF20" i="7"/>
  <c r="X19" i="7"/>
  <c r="Y19" i="7"/>
  <c r="E19" i="20"/>
  <c r="F150" i="18"/>
  <c r="AA19" i="7"/>
  <c r="AB19" i="7"/>
  <c r="G19" i="20"/>
  <c r="H150" i="18"/>
  <c r="AE19" i="7"/>
  <c r="AF19" i="7"/>
  <c r="X12" i="7"/>
  <c r="AC12" i="7"/>
  <c r="H12" i="20"/>
  <c r="I143" i="18"/>
  <c r="AF12" i="7"/>
  <c r="AG12" i="7"/>
  <c r="X11" i="7"/>
  <c r="AA11" i="7"/>
  <c r="AF11" i="7"/>
  <c r="AG11" i="7"/>
  <c r="X10" i="7"/>
  <c r="Y10" i="7"/>
  <c r="E10" i="20"/>
  <c r="F141" i="18"/>
  <c r="Z10" i="7"/>
  <c r="AA10" i="7"/>
  <c r="AB10" i="7"/>
  <c r="G10" i="20"/>
  <c r="H141" i="18"/>
  <c r="AC10" i="7"/>
  <c r="H10" i="20"/>
  <c r="I141" i="18"/>
  <c r="AD10" i="7"/>
  <c r="AE10" i="7"/>
  <c r="AF10" i="7"/>
  <c r="AG10" i="7"/>
  <c r="AH10" i="7"/>
  <c r="AO75" i="7" a="1"/>
  <c r="AO75" i="7"/>
  <c r="AP75" i="7" a="1"/>
  <c r="AP75" i="7"/>
  <c r="AR75" i="7" a="1"/>
  <c r="AR75" i="7"/>
  <c r="AS75" i="7" a="1"/>
  <c r="AS75" i="7"/>
  <c r="AT75" i="7" a="1"/>
  <c r="AT75" i="7"/>
  <c r="AU75" i="7" a="1"/>
  <c r="AU75" i="7"/>
  <c r="AV75" i="7" a="1"/>
  <c r="AV75" i="7"/>
  <c r="AX75" i="7" a="1"/>
  <c r="AX75" i="7"/>
  <c r="AY75" i="7" a="1"/>
  <c r="AY75" i="7"/>
  <c r="AO74" i="7" a="1"/>
  <c r="AO74" i="7"/>
  <c r="AP74" i="7" a="1"/>
  <c r="AP74" i="7"/>
  <c r="AR74" i="7" a="1"/>
  <c r="AR74" i="7"/>
  <c r="AS74" i="7" a="1"/>
  <c r="AS74" i="7"/>
  <c r="AT74" i="7" a="1"/>
  <c r="AT74" i="7"/>
  <c r="AU74" i="7" a="1"/>
  <c r="AU74" i="7"/>
  <c r="AV74" i="7" a="1"/>
  <c r="AV74" i="7"/>
  <c r="AX74" i="7" a="1"/>
  <c r="AX74" i="7"/>
  <c r="AY74" i="7" a="1"/>
  <c r="AY74" i="7"/>
  <c r="AO73" i="7" a="1"/>
  <c r="AO73" i="7"/>
  <c r="AP73" i="7" a="1"/>
  <c r="AP73" i="7"/>
  <c r="AR73" i="7" a="1"/>
  <c r="AR73" i="7"/>
  <c r="AS73" i="7" a="1"/>
  <c r="AS73" i="7"/>
  <c r="AT73" i="7" a="1"/>
  <c r="AT73" i="7"/>
  <c r="AU73" i="7" a="1"/>
  <c r="AU73" i="7"/>
  <c r="AV73" i="7" a="1"/>
  <c r="AV73" i="7"/>
  <c r="AX73" i="7" a="1"/>
  <c r="AX73" i="7"/>
  <c r="AY73" i="7" a="1"/>
  <c r="AY73" i="7"/>
  <c r="AO72" i="7" a="1"/>
  <c r="AO72" i="7"/>
  <c r="AP72" i="7" a="1"/>
  <c r="AP72" i="7"/>
  <c r="AR72" i="7" a="1"/>
  <c r="AR72" i="7"/>
  <c r="AS72" i="7" a="1"/>
  <c r="AS72" i="7"/>
  <c r="AT72" i="7" a="1"/>
  <c r="AT72" i="7"/>
  <c r="AU72" i="7" a="1"/>
  <c r="AU72" i="7"/>
  <c r="AV72" i="7" a="1"/>
  <c r="AV72" i="7"/>
  <c r="AX72" i="7" a="1"/>
  <c r="AX72" i="7"/>
  <c r="AY72" i="7" a="1"/>
  <c r="AY72" i="7"/>
  <c r="AO71" i="7" a="1"/>
  <c r="AO71" i="7"/>
  <c r="AP71" i="7" a="1"/>
  <c r="AP71" i="7"/>
  <c r="AR71" i="7" a="1"/>
  <c r="AR71" i="7"/>
  <c r="AS71" i="7" a="1"/>
  <c r="AS71" i="7"/>
  <c r="AT71" i="7" a="1"/>
  <c r="AT71" i="7"/>
  <c r="AU71" i="7" a="1"/>
  <c r="AU71" i="7"/>
  <c r="AV71" i="7" a="1"/>
  <c r="AV71" i="7"/>
  <c r="AX71" i="7" a="1"/>
  <c r="AX71" i="7"/>
  <c r="AY71" i="7" a="1"/>
  <c r="AY71" i="7"/>
  <c r="AO70" i="7" a="1"/>
  <c r="AO70" i="7"/>
  <c r="AP70" i="7" a="1"/>
  <c r="AP70" i="7"/>
  <c r="AR70" i="7" a="1"/>
  <c r="AR70" i="7"/>
  <c r="AS70" i="7" a="1"/>
  <c r="AS70" i="7"/>
  <c r="AT70" i="7" a="1"/>
  <c r="AT70" i="7"/>
  <c r="AU70" i="7" a="1"/>
  <c r="AU70" i="7"/>
  <c r="AV70" i="7" a="1"/>
  <c r="AV70" i="7"/>
  <c r="AX70" i="7" a="1"/>
  <c r="AX70" i="7"/>
  <c r="AY70" i="7" a="1"/>
  <c r="AY70" i="7"/>
  <c r="AO69" i="7" a="1"/>
  <c r="AO69" i="7"/>
  <c r="AP69" i="7" a="1"/>
  <c r="AP69" i="7"/>
  <c r="AR69" i="7" a="1"/>
  <c r="AR69" i="7"/>
  <c r="AS69" i="7" a="1"/>
  <c r="AS69" i="7"/>
  <c r="AT69" i="7" a="1"/>
  <c r="AT69" i="7"/>
  <c r="AU69" i="7" a="1"/>
  <c r="AU69" i="7"/>
  <c r="AV69" i="7" a="1"/>
  <c r="AV69" i="7"/>
  <c r="AX69" i="7" a="1"/>
  <c r="AX69" i="7"/>
  <c r="AY69" i="7" a="1"/>
  <c r="AY69" i="7"/>
  <c r="AO68" i="7" a="1"/>
  <c r="AO68" i="7"/>
  <c r="AP68" i="7" a="1"/>
  <c r="AP68" i="7"/>
  <c r="AR68" i="7" a="1"/>
  <c r="AR68" i="7"/>
  <c r="AS68" i="7" a="1"/>
  <c r="AS68" i="7"/>
  <c r="AT68" i="7" a="1"/>
  <c r="AT68" i="7"/>
  <c r="AU68" i="7" a="1"/>
  <c r="AU68" i="7"/>
  <c r="AV68" i="7" a="1"/>
  <c r="AV68" i="7"/>
  <c r="AX68" i="7" a="1"/>
  <c r="AX68" i="7"/>
  <c r="AY68" i="7" a="1"/>
  <c r="AY68" i="7"/>
  <c r="AO67" i="7" a="1"/>
  <c r="AO67" i="7"/>
  <c r="AP67" i="7" a="1"/>
  <c r="AP67" i="7"/>
  <c r="AR67" i="7" a="1"/>
  <c r="AR67" i="7"/>
  <c r="AS67" i="7" a="1"/>
  <c r="AS67" i="7"/>
  <c r="AT67" i="7" a="1"/>
  <c r="AT67" i="7"/>
  <c r="AU67" i="7" a="1"/>
  <c r="AU67" i="7"/>
  <c r="AV67" i="7" a="1"/>
  <c r="AV67" i="7"/>
  <c r="AX67" i="7" a="1"/>
  <c r="AX67" i="7"/>
  <c r="AY67" i="7" a="1"/>
  <c r="AY67" i="7"/>
  <c r="AO66" i="7" a="1"/>
  <c r="AO66" i="7"/>
  <c r="AP66" i="7" a="1"/>
  <c r="AP66" i="7"/>
  <c r="AR66" i="7" a="1"/>
  <c r="AR66" i="7"/>
  <c r="AS66" i="7" a="1"/>
  <c r="AS66" i="7"/>
  <c r="AT66" i="7" a="1"/>
  <c r="AT66" i="7"/>
  <c r="AU66" i="7" a="1"/>
  <c r="AU66" i="7"/>
  <c r="AV66" i="7" a="1"/>
  <c r="AV66" i="7"/>
  <c r="AX66" i="7" a="1"/>
  <c r="AX66" i="7"/>
  <c r="AY66" i="7" a="1"/>
  <c r="AY66" i="7"/>
  <c r="AO65" i="7" a="1"/>
  <c r="AO65" i="7"/>
  <c r="AP65" i="7" a="1"/>
  <c r="AP65" i="7"/>
  <c r="AR65" i="7" a="1"/>
  <c r="AR65" i="7"/>
  <c r="AS65" i="7" a="1"/>
  <c r="AS65" i="7"/>
  <c r="AT65" i="7" a="1"/>
  <c r="AT65" i="7"/>
  <c r="AU65" i="7" a="1"/>
  <c r="AU65" i="7"/>
  <c r="AV65" i="7" a="1"/>
  <c r="AV65" i="7"/>
  <c r="AX65" i="7" a="1"/>
  <c r="AX65" i="7"/>
  <c r="AY65" i="7" a="1"/>
  <c r="AY65" i="7"/>
  <c r="AO64" i="7" a="1"/>
  <c r="AO64" i="7"/>
  <c r="AP64" i="7" a="1"/>
  <c r="AP64" i="7"/>
  <c r="AR64" i="7" a="1"/>
  <c r="AR64" i="7"/>
  <c r="AS64" i="7" a="1"/>
  <c r="AS64" i="7"/>
  <c r="AT64" i="7" a="1"/>
  <c r="AT64" i="7"/>
  <c r="AU64" i="7" a="1"/>
  <c r="AU64" i="7"/>
  <c r="AV64" i="7" a="1"/>
  <c r="AV64" i="7"/>
  <c r="AX64" i="7" a="1"/>
  <c r="AX64" i="7"/>
  <c r="AY64" i="7" a="1"/>
  <c r="AY64" i="7"/>
  <c r="AO63" i="7" a="1"/>
  <c r="AO63" i="7"/>
  <c r="AP63" i="7" a="1"/>
  <c r="AP63" i="7"/>
  <c r="AR63" i="7" a="1"/>
  <c r="AR63" i="7"/>
  <c r="AS63" i="7" a="1"/>
  <c r="AS63" i="7"/>
  <c r="AT63" i="7" a="1"/>
  <c r="AT63" i="7"/>
  <c r="AU63" i="7" a="1"/>
  <c r="AU63" i="7"/>
  <c r="AV63" i="7" a="1"/>
  <c r="AV63" i="7"/>
  <c r="AX63" i="7" a="1"/>
  <c r="AX63" i="7"/>
  <c r="AY63" i="7" a="1"/>
  <c r="AY63" i="7"/>
  <c r="AO62" i="7" a="1"/>
  <c r="AO62" i="7"/>
  <c r="AP62" i="7" a="1"/>
  <c r="AP62" i="7"/>
  <c r="AR62" i="7" a="1"/>
  <c r="AR62" i="7"/>
  <c r="AS62" i="7" a="1"/>
  <c r="AS62" i="7"/>
  <c r="AT62" i="7" a="1"/>
  <c r="AT62" i="7"/>
  <c r="AU62" i="7" a="1"/>
  <c r="AU62" i="7"/>
  <c r="AV62" i="7" a="1"/>
  <c r="AV62" i="7"/>
  <c r="AX62" i="7" a="1"/>
  <c r="AX62" i="7"/>
  <c r="AY62" i="7" a="1"/>
  <c r="AY62" i="7"/>
  <c r="AO61" i="7" a="1"/>
  <c r="AO61" i="7"/>
  <c r="AP61" i="7" a="1"/>
  <c r="AP61" i="7"/>
  <c r="AR61" i="7" a="1"/>
  <c r="AR61" i="7"/>
  <c r="AS61" i="7" a="1"/>
  <c r="AS61" i="7"/>
  <c r="AT61" i="7" a="1"/>
  <c r="AT61" i="7"/>
  <c r="AU61" i="7" a="1"/>
  <c r="AU61" i="7"/>
  <c r="AV61" i="7" a="1"/>
  <c r="AV61" i="7"/>
  <c r="AX61" i="7" a="1"/>
  <c r="AX61" i="7"/>
  <c r="AY61" i="7" a="1"/>
  <c r="AY61" i="7"/>
  <c r="AO60" i="7" a="1"/>
  <c r="AO60" i="7"/>
  <c r="AP60" i="7" a="1"/>
  <c r="AP60" i="7"/>
  <c r="AR60" i="7" a="1"/>
  <c r="AR60" i="7"/>
  <c r="AS60" i="7" a="1"/>
  <c r="AS60" i="7"/>
  <c r="AT60" i="7" a="1"/>
  <c r="AT60" i="7"/>
  <c r="AU60" i="7" a="1"/>
  <c r="AU60" i="7"/>
  <c r="AV60" i="7" a="1"/>
  <c r="AV60" i="7"/>
  <c r="AX60" i="7" a="1"/>
  <c r="AX60" i="7"/>
  <c r="AY60" i="7" a="1"/>
  <c r="AY60" i="7"/>
  <c r="AO59" i="7" a="1"/>
  <c r="AO59" i="7"/>
  <c r="AP59" i="7" a="1"/>
  <c r="AP59" i="7"/>
  <c r="AR59" i="7" a="1"/>
  <c r="AR59" i="7"/>
  <c r="AS59" i="7" a="1"/>
  <c r="AS59" i="7"/>
  <c r="AT59" i="7" a="1"/>
  <c r="AT59" i="7"/>
  <c r="AU59" i="7" a="1"/>
  <c r="AU59" i="7"/>
  <c r="AV59" i="7" a="1"/>
  <c r="AV59" i="7"/>
  <c r="AX59" i="7" a="1"/>
  <c r="AX59" i="7"/>
  <c r="AY59" i="7" a="1"/>
  <c r="AY59" i="7"/>
  <c r="AO58" i="7" a="1"/>
  <c r="AO58" i="7"/>
  <c r="AP58" i="7" a="1"/>
  <c r="AP58" i="7"/>
  <c r="AR58" i="7" a="1"/>
  <c r="AR58" i="7"/>
  <c r="AS58" i="7" a="1"/>
  <c r="AS58" i="7"/>
  <c r="AT58" i="7" a="1"/>
  <c r="AT58" i="7"/>
  <c r="AU58" i="7" a="1"/>
  <c r="AU58" i="7"/>
  <c r="AV58" i="7" a="1"/>
  <c r="AV58" i="7"/>
  <c r="AX58" i="7" a="1"/>
  <c r="AX58" i="7"/>
  <c r="AY58" i="7" a="1"/>
  <c r="AY58" i="7"/>
  <c r="AO57" i="7" a="1"/>
  <c r="AO57" i="7"/>
  <c r="AP57" i="7" a="1"/>
  <c r="AP57" i="7"/>
  <c r="AR57" i="7" a="1"/>
  <c r="AR57" i="7"/>
  <c r="AS57" i="7" a="1"/>
  <c r="AS57" i="7"/>
  <c r="AT57" i="7" a="1"/>
  <c r="AT57" i="7"/>
  <c r="AU57" i="7" a="1"/>
  <c r="AU57" i="7"/>
  <c r="AV57" i="7" a="1"/>
  <c r="AV57" i="7"/>
  <c r="AX57" i="7" a="1"/>
  <c r="AX57" i="7"/>
  <c r="AY57" i="7" a="1"/>
  <c r="AY57" i="7"/>
  <c r="AO56" i="7" a="1"/>
  <c r="AO56" i="7"/>
  <c r="AP56" i="7" a="1"/>
  <c r="AP56" i="7"/>
  <c r="AR56" i="7" a="1"/>
  <c r="AR56" i="7"/>
  <c r="AS56" i="7" a="1"/>
  <c r="AS56" i="7"/>
  <c r="AT56" i="7" a="1"/>
  <c r="AT56" i="7"/>
  <c r="AU56" i="7" a="1"/>
  <c r="AU56" i="7"/>
  <c r="AV56" i="7" a="1"/>
  <c r="AV56" i="7"/>
  <c r="AX56" i="7" a="1"/>
  <c r="AX56" i="7"/>
  <c r="AY56" i="7" a="1"/>
  <c r="AY56" i="7"/>
  <c r="AO55" i="7" a="1"/>
  <c r="AO55" i="7"/>
  <c r="AP55" i="7" a="1"/>
  <c r="AP55" i="7"/>
  <c r="AR55" i="7" a="1"/>
  <c r="AR55" i="7"/>
  <c r="AS55" i="7" a="1"/>
  <c r="AS55" i="7"/>
  <c r="AT55" i="7" a="1"/>
  <c r="AT55" i="7"/>
  <c r="AU55" i="7" a="1"/>
  <c r="AU55" i="7"/>
  <c r="AV55" i="7" a="1"/>
  <c r="AV55" i="7"/>
  <c r="AX55" i="7" a="1"/>
  <c r="AX55" i="7"/>
  <c r="AY55" i="7" a="1"/>
  <c r="AY55" i="7"/>
  <c r="AO54" i="7" a="1"/>
  <c r="AO54" i="7"/>
  <c r="AP54" i="7" a="1"/>
  <c r="AP54" i="7"/>
  <c r="AR54" i="7" a="1"/>
  <c r="AR54" i="7"/>
  <c r="AS54" i="7" a="1"/>
  <c r="AS54" i="7"/>
  <c r="AT54" i="7" a="1"/>
  <c r="AT54" i="7"/>
  <c r="AU54" i="7" a="1"/>
  <c r="AU54" i="7"/>
  <c r="AV54" i="7" a="1"/>
  <c r="AV54" i="7"/>
  <c r="AX54" i="7" a="1"/>
  <c r="AX54" i="7"/>
  <c r="AY54" i="7" a="1"/>
  <c r="AY54" i="7"/>
  <c r="AO53" i="7" a="1"/>
  <c r="AO53" i="7"/>
  <c r="AP53" i="7" a="1"/>
  <c r="AP53" i="7"/>
  <c r="AR53" i="7" a="1"/>
  <c r="AR53" i="7"/>
  <c r="AS53" i="7" a="1"/>
  <c r="AS53" i="7"/>
  <c r="AT53" i="7" a="1"/>
  <c r="AT53" i="7"/>
  <c r="AU53" i="7" a="1"/>
  <c r="AU53" i="7"/>
  <c r="AV53" i="7" a="1"/>
  <c r="AV53" i="7"/>
  <c r="AX53" i="7" a="1"/>
  <c r="AX53" i="7"/>
  <c r="AY53" i="7" a="1"/>
  <c r="AY53" i="7"/>
  <c r="AO52" i="7" a="1"/>
  <c r="AO52" i="7"/>
  <c r="AP52" i="7" a="1"/>
  <c r="AP52" i="7"/>
  <c r="AR52" i="7" a="1"/>
  <c r="AR52" i="7"/>
  <c r="AS52" i="7" a="1"/>
  <c r="AS52" i="7"/>
  <c r="AT52" i="7" a="1"/>
  <c r="AT52" i="7"/>
  <c r="AU52" i="7" a="1"/>
  <c r="AU52" i="7"/>
  <c r="AV52" i="7" a="1"/>
  <c r="AV52" i="7"/>
  <c r="AX52" i="7" a="1"/>
  <c r="AX52" i="7"/>
  <c r="AY52" i="7" a="1"/>
  <c r="AY52" i="7"/>
  <c r="AO51" i="7" a="1"/>
  <c r="AO51" i="7"/>
  <c r="AP51" i="7" a="1"/>
  <c r="AP51" i="7"/>
  <c r="AR51" i="7" a="1"/>
  <c r="AR51" i="7"/>
  <c r="AS51" i="7" a="1"/>
  <c r="AS51" i="7"/>
  <c r="AT51" i="7" a="1"/>
  <c r="AT51" i="7"/>
  <c r="AU51" i="7" a="1"/>
  <c r="AU51" i="7"/>
  <c r="AV51" i="7" a="1"/>
  <c r="AV51" i="7"/>
  <c r="AX51" i="7" a="1"/>
  <c r="AX51" i="7"/>
  <c r="AY51" i="7" a="1"/>
  <c r="AY51" i="7"/>
  <c r="AO50" i="7" a="1"/>
  <c r="AO50" i="7"/>
  <c r="AP50" i="7" a="1"/>
  <c r="AP50" i="7"/>
  <c r="AR50" i="7" a="1"/>
  <c r="AR50" i="7"/>
  <c r="AS50" i="7" a="1"/>
  <c r="AS50" i="7"/>
  <c r="AT50" i="7" a="1"/>
  <c r="AT50" i="7"/>
  <c r="AU50" i="7" a="1"/>
  <c r="AU50" i="7"/>
  <c r="AV50" i="7" a="1"/>
  <c r="AV50" i="7"/>
  <c r="AX50" i="7" a="1"/>
  <c r="AX50" i="7"/>
  <c r="AY50" i="7" a="1"/>
  <c r="AY50" i="7"/>
  <c r="AO49" i="7" a="1"/>
  <c r="AO49" i="7"/>
  <c r="AP49" i="7" a="1"/>
  <c r="AP49" i="7"/>
  <c r="AR49" i="7" a="1"/>
  <c r="AR49" i="7"/>
  <c r="AS49" i="7" a="1"/>
  <c r="AS49" i="7"/>
  <c r="AT49" i="7" a="1"/>
  <c r="AT49" i="7"/>
  <c r="AU49" i="7" a="1"/>
  <c r="AU49" i="7"/>
  <c r="AV49" i="7" a="1"/>
  <c r="AV49" i="7"/>
  <c r="AX49" i="7" a="1"/>
  <c r="AX49" i="7"/>
  <c r="AY49" i="7" a="1"/>
  <c r="AY49" i="7"/>
  <c r="AO48" i="7" a="1"/>
  <c r="AO48" i="7"/>
  <c r="AP48" i="7" a="1"/>
  <c r="AP48" i="7"/>
  <c r="AR48" i="7" a="1"/>
  <c r="AR48" i="7"/>
  <c r="AS48" i="7" a="1"/>
  <c r="AS48" i="7"/>
  <c r="AT48" i="7" a="1"/>
  <c r="AT48" i="7"/>
  <c r="AU48" i="7" a="1"/>
  <c r="AU48" i="7"/>
  <c r="AV48" i="7" a="1"/>
  <c r="AV48" i="7"/>
  <c r="AX48" i="7" a="1"/>
  <c r="AX48" i="7"/>
  <c r="AY48" i="7" a="1"/>
  <c r="AY48" i="7"/>
  <c r="AO47" i="7" a="1"/>
  <c r="AO47" i="7"/>
  <c r="AP47" i="7" a="1"/>
  <c r="AP47" i="7"/>
  <c r="AR47" i="7" a="1"/>
  <c r="AR47" i="7"/>
  <c r="AS47" i="7" a="1"/>
  <c r="AS47" i="7"/>
  <c r="AT47" i="7" a="1"/>
  <c r="AT47" i="7"/>
  <c r="AU47" i="7" a="1"/>
  <c r="AU47" i="7"/>
  <c r="AV47" i="7" a="1"/>
  <c r="AV47" i="7"/>
  <c r="AX47" i="7" a="1"/>
  <c r="AX47" i="7"/>
  <c r="AY47" i="7" a="1"/>
  <c r="AY47" i="7"/>
  <c r="AP46" i="7" a="1"/>
  <c r="AP46" i="7"/>
  <c r="AR46" i="7" a="1"/>
  <c r="AR46" i="7"/>
  <c r="AS46" i="7" a="1"/>
  <c r="AS46" i="7"/>
  <c r="AT46" i="7" a="1"/>
  <c r="AT46" i="7"/>
  <c r="AU46" i="7" a="1"/>
  <c r="AU46" i="7"/>
  <c r="AV46" i="7" a="1"/>
  <c r="AV46" i="7"/>
  <c r="AX46" i="7" a="1"/>
  <c r="AX46" i="7"/>
  <c r="AY46" i="7" a="1"/>
  <c r="AY46" i="7"/>
  <c r="AO45" i="7" a="1"/>
  <c r="AO45" i="7"/>
  <c r="AP45" i="7" a="1"/>
  <c r="AP45" i="7"/>
  <c r="AR45" i="7" a="1"/>
  <c r="AR45" i="7"/>
  <c r="AS45" i="7" a="1"/>
  <c r="AS45" i="7"/>
  <c r="AT45" i="7" a="1"/>
  <c r="AT45" i="7"/>
  <c r="AU45" i="7" a="1"/>
  <c r="AU45" i="7"/>
  <c r="AV45" i="7" a="1"/>
  <c r="AV45" i="7"/>
  <c r="AX45" i="7" a="1"/>
  <c r="AX45" i="7"/>
  <c r="AY45" i="7" a="1"/>
  <c r="AY45" i="7"/>
  <c r="AO44" i="7" a="1"/>
  <c r="AO44" i="7"/>
  <c r="AP44" i="7" a="1"/>
  <c r="AP44" i="7"/>
  <c r="AR44" i="7" a="1"/>
  <c r="AR44" i="7"/>
  <c r="AS44" i="7" a="1"/>
  <c r="AS44" i="7"/>
  <c r="AT44" i="7" a="1"/>
  <c r="AT44" i="7"/>
  <c r="AU44" i="7" a="1"/>
  <c r="AU44" i="7"/>
  <c r="AV44" i="7" a="1"/>
  <c r="AV44" i="7"/>
  <c r="AX44" i="7" a="1"/>
  <c r="AX44" i="7"/>
  <c r="AY44" i="7" a="1"/>
  <c r="AY44" i="7"/>
  <c r="AO43" i="7" a="1"/>
  <c r="AO43" i="7"/>
  <c r="AP43" i="7" a="1"/>
  <c r="AP43" i="7"/>
  <c r="AR43" i="7" a="1"/>
  <c r="AR43" i="7"/>
  <c r="AS43" i="7" a="1"/>
  <c r="AS43" i="7"/>
  <c r="AT43" i="7" a="1"/>
  <c r="AT43" i="7"/>
  <c r="AU43" i="7" a="1"/>
  <c r="AU43" i="7"/>
  <c r="AV43" i="7" a="1"/>
  <c r="AV43" i="7"/>
  <c r="AX43" i="7" a="1"/>
  <c r="AX43" i="7"/>
  <c r="AY43" i="7" a="1"/>
  <c r="AY43" i="7"/>
  <c r="AO42" i="7" a="1"/>
  <c r="AO42" i="7"/>
  <c r="AP42" i="7" a="1"/>
  <c r="AP42" i="7"/>
  <c r="AR42" i="7" a="1"/>
  <c r="AR42" i="7"/>
  <c r="AS42" i="7" a="1"/>
  <c r="AS42" i="7"/>
  <c r="AT42" i="7" a="1"/>
  <c r="AT42" i="7"/>
  <c r="AU42" i="7" a="1"/>
  <c r="AU42" i="7"/>
  <c r="AV42" i="7" a="1"/>
  <c r="AV42" i="7"/>
  <c r="AX42" i="7" a="1"/>
  <c r="AX42" i="7"/>
  <c r="AY42" i="7" a="1"/>
  <c r="AY42" i="7"/>
  <c r="AO41" i="7" a="1"/>
  <c r="AO41" i="7"/>
  <c r="AP41" i="7" a="1"/>
  <c r="AP41" i="7"/>
  <c r="AR41" i="7" a="1"/>
  <c r="AR41" i="7"/>
  <c r="AS41" i="7" a="1"/>
  <c r="AS41" i="7"/>
  <c r="AT41" i="7" a="1"/>
  <c r="AT41" i="7"/>
  <c r="AU41" i="7" a="1"/>
  <c r="AU41" i="7"/>
  <c r="AV41" i="7" a="1"/>
  <c r="AV41" i="7"/>
  <c r="AX41" i="7" a="1"/>
  <c r="AX41" i="7"/>
  <c r="AY41" i="7" a="1"/>
  <c r="AY41" i="7"/>
  <c r="AP40" i="7" a="1"/>
  <c r="AP40" i="7"/>
  <c r="AU40" i="7" a="1"/>
  <c r="AU40" i="7"/>
  <c r="AV40" i="7" a="1"/>
  <c r="AV40" i="7"/>
  <c r="AX40" i="7" a="1"/>
  <c r="AX40" i="7"/>
  <c r="AY40" i="7" a="1"/>
  <c r="AY40" i="7"/>
  <c r="C40" i="20"/>
  <c r="AO39" i="7" a="1"/>
  <c r="AO39" i="7"/>
  <c r="AP39" i="7" a="1"/>
  <c r="AP39" i="7"/>
  <c r="AR39" i="7" a="1"/>
  <c r="AR39" i="7"/>
  <c r="AS39" i="7" a="1"/>
  <c r="AS39" i="7"/>
  <c r="AT39" i="7" a="1"/>
  <c r="AT39" i="7"/>
  <c r="AU39" i="7" a="1"/>
  <c r="AU39" i="7"/>
  <c r="AV39" i="7" a="1"/>
  <c r="AV39" i="7"/>
  <c r="AX39" i="7" a="1"/>
  <c r="AX39" i="7"/>
  <c r="AY39" i="7" a="1"/>
  <c r="AY39" i="7"/>
  <c r="AO38" i="7" a="1"/>
  <c r="AO38" i="7"/>
  <c r="AP38" i="7" a="1"/>
  <c r="AP38" i="7"/>
  <c r="AR38" i="7" a="1"/>
  <c r="AR38" i="7"/>
  <c r="AS38" i="7" a="1"/>
  <c r="AS38" i="7"/>
  <c r="AT38" i="7" a="1"/>
  <c r="AT38" i="7"/>
  <c r="AU38" i="7" a="1"/>
  <c r="AU38" i="7"/>
  <c r="AV38" i="7" a="1"/>
  <c r="AV38" i="7"/>
  <c r="AX38" i="7" a="1"/>
  <c r="AX38" i="7"/>
  <c r="AY38" i="7" a="1"/>
  <c r="AY38" i="7"/>
  <c r="AO37" i="7" a="1"/>
  <c r="AO37" i="7"/>
  <c r="AP37" i="7" a="1"/>
  <c r="AP37" i="7"/>
  <c r="AR37" i="7" a="1"/>
  <c r="AR37" i="7"/>
  <c r="AS37" i="7" a="1"/>
  <c r="AS37" i="7"/>
  <c r="AT37" i="7" a="1"/>
  <c r="AT37" i="7"/>
  <c r="AU37" i="7" a="1"/>
  <c r="AU37" i="7"/>
  <c r="AV37" i="7" a="1"/>
  <c r="AV37" i="7"/>
  <c r="AX37" i="7" a="1"/>
  <c r="AX37" i="7"/>
  <c r="AY37" i="7" a="1"/>
  <c r="AY37" i="7"/>
  <c r="AO36" i="7" a="1"/>
  <c r="AO36" i="7"/>
  <c r="AP36" i="7" a="1"/>
  <c r="AP36" i="7"/>
  <c r="AR36" i="7" a="1"/>
  <c r="AR36" i="7"/>
  <c r="AS36" i="7" a="1"/>
  <c r="AS36" i="7"/>
  <c r="AT36" i="7" a="1"/>
  <c r="AT36" i="7"/>
  <c r="AU36" i="7" a="1"/>
  <c r="AU36" i="7"/>
  <c r="AV36" i="7" a="1"/>
  <c r="AV36" i="7"/>
  <c r="AX36" i="7" a="1"/>
  <c r="AX36" i="7"/>
  <c r="AY36" i="7" a="1"/>
  <c r="AY36" i="7"/>
  <c r="AO35" i="7" a="1"/>
  <c r="AO35" i="7"/>
  <c r="AP35" i="7" a="1"/>
  <c r="AP35" i="7"/>
  <c r="AR35" i="7" a="1"/>
  <c r="AR35" i="7"/>
  <c r="AS35" i="7" a="1"/>
  <c r="AS35" i="7"/>
  <c r="AT35" i="7" a="1"/>
  <c r="AT35" i="7"/>
  <c r="AU35" i="7" a="1"/>
  <c r="AU35" i="7"/>
  <c r="AV35" i="7" a="1"/>
  <c r="AV35" i="7"/>
  <c r="AX35" i="7" a="1"/>
  <c r="AX35" i="7"/>
  <c r="AY35" i="7" a="1"/>
  <c r="AY35" i="7"/>
  <c r="AP34" i="7" a="1"/>
  <c r="AP34" i="7"/>
  <c r="AU34" i="7" a="1"/>
  <c r="AU34" i="7"/>
  <c r="AV34" i="7" a="1"/>
  <c r="AV34" i="7"/>
  <c r="AX34" i="7" a="1"/>
  <c r="AX34" i="7"/>
  <c r="AY34" i="7" a="1"/>
  <c r="AY34" i="7"/>
  <c r="AO33" i="7" a="1"/>
  <c r="AO33" i="7"/>
  <c r="AP33" i="7" a="1"/>
  <c r="AP33" i="7"/>
  <c r="AR33" i="7" a="1"/>
  <c r="AR33" i="7"/>
  <c r="AS33" i="7" a="1"/>
  <c r="AS33" i="7"/>
  <c r="AT33" i="7" a="1"/>
  <c r="AT33" i="7"/>
  <c r="AU33" i="7" a="1"/>
  <c r="AU33" i="7"/>
  <c r="AV33" i="7" a="1"/>
  <c r="AV33" i="7"/>
  <c r="AX33" i="7" a="1"/>
  <c r="AX33" i="7"/>
  <c r="AY33" i="7" a="1"/>
  <c r="AY33" i="7"/>
  <c r="AO32" i="7" a="1"/>
  <c r="AO32" i="7"/>
  <c r="AP32" i="7" a="1"/>
  <c r="AP32" i="7"/>
  <c r="AR32" i="7" a="1"/>
  <c r="AR32" i="7"/>
  <c r="AS32" i="7" a="1"/>
  <c r="AS32" i="7"/>
  <c r="AT32" i="7" a="1"/>
  <c r="AT32" i="7"/>
  <c r="AU32" i="7" a="1"/>
  <c r="AU32" i="7"/>
  <c r="AV32" i="7" a="1"/>
  <c r="AV32" i="7"/>
  <c r="AX32" i="7" a="1"/>
  <c r="AX32" i="7"/>
  <c r="AY32" i="7" a="1"/>
  <c r="AY32" i="7"/>
  <c r="AO31" i="7" a="1"/>
  <c r="AO31" i="7"/>
  <c r="AP31" i="7" a="1"/>
  <c r="AP31" i="7"/>
  <c r="AR31" i="7" a="1"/>
  <c r="AR31" i="7"/>
  <c r="AS31" i="7" a="1"/>
  <c r="AS31" i="7"/>
  <c r="AT31" i="7" a="1"/>
  <c r="AT31" i="7"/>
  <c r="AU31" i="7" a="1"/>
  <c r="AU31" i="7"/>
  <c r="AV31" i="7" a="1"/>
  <c r="AV31" i="7"/>
  <c r="AX31" i="7" a="1"/>
  <c r="AX31" i="7"/>
  <c r="AY31" i="7" a="1"/>
  <c r="AY31" i="7"/>
  <c r="AO30" i="7" a="1"/>
  <c r="AO30" i="7"/>
  <c r="AP30" i="7" a="1"/>
  <c r="AP30" i="7"/>
  <c r="AR30" i="7" a="1"/>
  <c r="AR30" i="7"/>
  <c r="AS30" i="7" a="1"/>
  <c r="AS30" i="7"/>
  <c r="AT30" i="7" a="1"/>
  <c r="AT30" i="7"/>
  <c r="AU30" i="7" a="1"/>
  <c r="AU30" i="7"/>
  <c r="AV30" i="7" a="1"/>
  <c r="AV30" i="7"/>
  <c r="AX30" i="7" a="1"/>
  <c r="AX30" i="7"/>
  <c r="AY30" i="7" a="1"/>
  <c r="AY30" i="7"/>
  <c r="AO29" i="7" a="1"/>
  <c r="AO29" i="7"/>
  <c r="AP29" i="7" a="1"/>
  <c r="AP29" i="7"/>
  <c r="AR29" i="7" a="1"/>
  <c r="AR29" i="7"/>
  <c r="AS29" i="7" a="1"/>
  <c r="AS29" i="7"/>
  <c r="AT29" i="7" a="1"/>
  <c r="AT29" i="7"/>
  <c r="AU29" i="7" a="1"/>
  <c r="AU29" i="7"/>
  <c r="AV29" i="7" a="1"/>
  <c r="AV29" i="7"/>
  <c r="AX29" i="7" a="1"/>
  <c r="AX29" i="7"/>
  <c r="AY29" i="7" a="1"/>
  <c r="AY29" i="7"/>
  <c r="AP28" i="7" a="1"/>
  <c r="AP28" i="7"/>
  <c r="AU28" i="7" a="1"/>
  <c r="AU28" i="7"/>
  <c r="AV28" i="7" a="1"/>
  <c r="AV28" i="7"/>
  <c r="AX28" i="7" a="1"/>
  <c r="AX28" i="7"/>
  <c r="AY28" i="7" a="1"/>
  <c r="AY28" i="7"/>
  <c r="C14" i="19"/>
  <c r="C15" i="19"/>
  <c r="C12" i="19"/>
  <c r="C13" i="19"/>
  <c r="B15" i="19"/>
  <c r="B14" i="19"/>
  <c r="B13" i="19"/>
  <c r="B12" i="19"/>
  <c r="N10" i="7"/>
  <c r="O10" i="7"/>
  <c r="F10" i="19"/>
  <c r="E10" i="19"/>
  <c r="D10" i="19"/>
  <c r="C10" i="19"/>
  <c r="F11" i="19"/>
  <c r="E11" i="19"/>
  <c r="D11" i="19"/>
  <c r="C11" i="19"/>
  <c r="G66" i="20"/>
  <c r="H66" i="20"/>
  <c r="G65" i="20"/>
  <c r="H65" i="20"/>
  <c r="G64" i="20"/>
  <c r="H64" i="20"/>
  <c r="D63" i="20"/>
  <c r="G63" i="20"/>
  <c r="H63" i="20"/>
  <c r="G62" i="20"/>
  <c r="H62" i="20"/>
  <c r="G61" i="20"/>
  <c r="H61" i="20"/>
  <c r="D60" i="20"/>
  <c r="G60" i="20"/>
  <c r="H60" i="20"/>
  <c r="D59" i="20"/>
  <c r="G59" i="20"/>
  <c r="H59" i="20"/>
  <c r="G58" i="20"/>
  <c r="H58" i="20"/>
  <c r="B11" i="19"/>
  <c r="B10" i="19"/>
  <c r="N9" i="7"/>
  <c r="O9" i="7"/>
  <c r="F8" i="19"/>
  <c r="E8" i="19"/>
  <c r="D8" i="19"/>
  <c r="C8" i="19"/>
  <c r="F9" i="19"/>
  <c r="E9" i="19"/>
  <c r="D9" i="19"/>
  <c r="C9" i="19"/>
  <c r="G48" i="20"/>
  <c r="H48" i="20"/>
  <c r="G47" i="20"/>
  <c r="H47" i="20"/>
  <c r="G46" i="20"/>
  <c r="H46" i="20"/>
  <c r="D45" i="20"/>
  <c r="G45" i="20"/>
  <c r="H45" i="20"/>
  <c r="G44" i="20"/>
  <c r="H44" i="20"/>
  <c r="G43" i="20"/>
  <c r="H43" i="20"/>
  <c r="D42" i="20"/>
  <c r="G42" i="20"/>
  <c r="H42" i="20"/>
  <c r="D41" i="20"/>
  <c r="G41" i="20"/>
  <c r="H41" i="20"/>
  <c r="A40" i="20"/>
  <c r="B9" i="19"/>
  <c r="B8" i="19"/>
  <c r="N8" i="7"/>
  <c r="O8" i="7"/>
  <c r="M13" i="4"/>
  <c r="N13" i="4"/>
  <c r="M9" i="7"/>
  <c r="B23" i="4" a="1"/>
  <c r="B23" i="4"/>
  <c r="M10" i="4"/>
  <c r="M8" i="7"/>
  <c r="N10" i="4"/>
  <c r="R345" i="5"/>
  <c r="A348" i="5"/>
  <c r="N247" i="5"/>
  <c r="A249" i="5"/>
  <c r="N198" i="5"/>
  <c r="A200" i="5"/>
  <c r="F125" i="17" a="1"/>
  <c r="F125" i="17"/>
  <c r="H125" i="17" a="1"/>
  <c r="H125" i="17"/>
  <c r="B430" i="5"/>
  <c r="N430" i="5"/>
  <c r="F124" i="17" a="1"/>
  <c r="F124" i="17"/>
  <c r="H124" i="17" a="1"/>
  <c r="H124" i="17"/>
  <c r="B429" i="5"/>
  <c r="N429" i="5"/>
  <c r="F123" i="17" a="1"/>
  <c r="F123" i="17"/>
  <c r="H123" i="17" a="1"/>
  <c r="H123" i="17"/>
  <c r="B428" i="5"/>
  <c r="N428" i="5"/>
  <c r="F122" i="17" a="1"/>
  <c r="F122" i="17"/>
  <c r="H122" i="17" a="1"/>
  <c r="H122" i="17"/>
  <c r="B427" i="5"/>
  <c r="N427" i="5"/>
  <c r="F121" i="17" a="1"/>
  <c r="F121" i="17"/>
  <c r="H121" i="17" a="1"/>
  <c r="H121" i="17"/>
  <c r="B426" i="5"/>
  <c r="N426" i="5"/>
  <c r="F120" i="17" a="1"/>
  <c r="F120" i="17"/>
  <c r="H120" i="17" a="1"/>
  <c r="H120" i="17"/>
  <c r="B425" i="5"/>
  <c r="N425" i="5"/>
  <c r="F119" i="17" a="1"/>
  <c r="F119" i="17"/>
  <c r="H119" i="17" a="1"/>
  <c r="H119" i="17"/>
  <c r="B424" i="5"/>
  <c r="N424" i="5"/>
  <c r="F118" i="17" a="1"/>
  <c r="F118" i="17"/>
  <c r="H118" i="17" a="1"/>
  <c r="H118" i="17"/>
  <c r="B423" i="5"/>
  <c r="N423" i="5"/>
  <c r="F117" i="17" a="1"/>
  <c r="F117" i="17"/>
  <c r="H117" i="17" a="1"/>
  <c r="H117" i="17"/>
  <c r="B422" i="5"/>
  <c r="N422" i="5"/>
  <c r="A432" i="5"/>
  <c r="A420" i="5"/>
  <c r="A138" i="5"/>
  <c r="A126" i="5"/>
  <c r="A187" i="5"/>
  <c r="A175" i="5"/>
  <c r="A362" i="5"/>
  <c r="A350" i="5"/>
  <c r="Y264" i="7"/>
  <c r="B724" i="5"/>
  <c r="N724" i="5"/>
  <c r="Y263" i="7"/>
  <c r="B723" i="5"/>
  <c r="N723" i="5"/>
  <c r="Y262" i="7"/>
  <c r="B722" i="5"/>
  <c r="N722" i="5"/>
  <c r="Y261" i="7"/>
  <c r="B721" i="5"/>
  <c r="N721" i="5"/>
  <c r="Y260" i="7"/>
  <c r="B720" i="5"/>
  <c r="N720" i="5"/>
  <c r="Y259" i="7"/>
  <c r="B719" i="5"/>
  <c r="N719" i="5"/>
  <c r="Y258" i="7"/>
  <c r="B718" i="5"/>
  <c r="N718" i="5"/>
  <c r="Y257" i="7"/>
  <c r="B717" i="5"/>
  <c r="N717" i="5"/>
  <c r="Y246" i="7"/>
  <c r="B675" i="5"/>
  <c r="N675" i="5"/>
  <c r="Y245" i="7"/>
  <c r="B674" i="5"/>
  <c r="N674" i="5"/>
  <c r="Y244" i="7"/>
  <c r="B673" i="5"/>
  <c r="N673" i="5"/>
  <c r="Y243" i="7"/>
  <c r="B672" i="5"/>
  <c r="N672" i="5"/>
  <c r="Y242" i="7"/>
  <c r="B671" i="5"/>
  <c r="N671" i="5"/>
  <c r="Y241" i="7"/>
  <c r="B670" i="5"/>
  <c r="N670" i="5"/>
  <c r="Y240" i="7"/>
  <c r="B669" i="5"/>
  <c r="N669" i="5"/>
  <c r="Y239" i="7"/>
  <c r="B668" i="5"/>
  <c r="N668" i="5"/>
  <c r="Y228" i="7"/>
  <c r="B626" i="5"/>
  <c r="N626" i="5"/>
  <c r="Y227" i="7"/>
  <c r="B625" i="5"/>
  <c r="N625" i="5"/>
  <c r="Y226" i="7"/>
  <c r="B624" i="5"/>
  <c r="N624" i="5"/>
  <c r="Y225" i="7"/>
  <c r="B623" i="5"/>
  <c r="N623" i="5"/>
  <c r="Y224" i="7"/>
  <c r="B622" i="5"/>
  <c r="N622" i="5"/>
  <c r="Y223" i="7"/>
  <c r="B621" i="5"/>
  <c r="N621" i="5"/>
  <c r="Y222" i="7"/>
  <c r="B620" i="5"/>
  <c r="N620" i="5"/>
  <c r="Y221" i="7"/>
  <c r="B619" i="5"/>
  <c r="N619" i="5"/>
  <c r="B283" i="5"/>
  <c r="N283" i="5"/>
  <c r="Y30" i="7"/>
  <c r="E30" i="20"/>
  <c r="F161" i="18"/>
  <c r="B87" i="5"/>
  <c r="N87" i="5"/>
  <c r="U255" i="7"/>
  <c r="B255" i="20"/>
  <c r="U236" i="7"/>
  <c r="B236" i="20"/>
  <c r="U271" i="7"/>
  <c r="B271" i="20"/>
  <c r="U264" i="7"/>
  <c r="B264" i="20"/>
  <c r="U246" i="7"/>
  <c r="B246" i="20"/>
  <c r="U228" i="7"/>
  <c r="B228" i="20"/>
  <c r="U263" i="7"/>
  <c r="B263" i="20"/>
  <c r="U245" i="7"/>
  <c r="B245" i="20"/>
  <c r="U227" i="7"/>
  <c r="B227" i="20"/>
  <c r="U262" i="7"/>
  <c r="B262" i="20"/>
  <c r="U244" i="7"/>
  <c r="B244" i="20"/>
  <c r="U226" i="7"/>
  <c r="B226" i="20"/>
  <c r="Y256" i="7"/>
  <c r="Y238" i="7"/>
  <c r="Y220" i="7"/>
  <c r="Y23" i="7"/>
  <c r="E23" i="20"/>
  <c r="W61" i="7"/>
  <c r="D61" i="20"/>
  <c r="W43" i="7"/>
  <c r="D43" i="20"/>
  <c r="W25" i="7"/>
  <c r="D25" i="20"/>
  <c r="W34" i="7"/>
  <c r="D34" i="20"/>
  <c r="G101" i="17" a="1"/>
  <c r="G101" i="17"/>
  <c r="B73" i="17" a="1"/>
  <c r="B73" i="17"/>
  <c r="H75" i="17" a="1"/>
  <c r="H75" i="17"/>
  <c r="B275" i="5"/>
  <c r="N275" i="5"/>
  <c r="H76" i="17" a="1"/>
  <c r="H76" i="17"/>
  <c r="B276" i="5"/>
  <c r="N276" i="5"/>
  <c r="H77" i="17" a="1"/>
  <c r="H77" i="17"/>
  <c r="H78" i="17" a="1"/>
  <c r="H78" i="17"/>
  <c r="B278" i="5"/>
  <c r="N278" i="5"/>
  <c r="H79" i="17" a="1"/>
  <c r="H79" i="17"/>
  <c r="H80" i="17" a="1"/>
  <c r="H80" i="17"/>
  <c r="H81" i="17" a="1"/>
  <c r="H81" i="17"/>
  <c r="H82" i="17" a="1"/>
  <c r="H82" i="17"/>
  <c r="BO6" i="7"/>
  <c r="BO7" i="7"/>
  <c r="BO8" i="7"/>
  <c r="BO9" i="7"/>
  <c r="BO10" i="7"/>
  <c r="BO11" i="7"/>
  <c r="BO12" i="7"/>
  <c r="BO13" i="7"/>
  <c r="BO14" i="7"/>
  <c r="B59" i="17" a="1"/>
  <c r="B59" i="17"/>
  <c r="B22" i="4" a="1"/>
  <c r="B22" i="4"/>
  <c r="F41" i="17" a="1"/>
  <c r="F41" i="17"/>
  <c r="F40" i="17" a="1"/>
  <c r="F40" i="17"/>
  <c r="F39" i="17" a="1"/>
  <c r="F39" i="17"/>
  <c r="F38" i="17" a="1"/>
  <c r="F38" i="17"/>
  <c r="F37" i="17" a="1"/>
  <c r="F37" i="17"/>
  <c r="F36" i="17" a="1"/>
  <c r="F36" i="17"/>
  <c r="F35" i="17" a="1"/>
  <c r="F35" i="17"/>
  <c r="F34" i="17" a="1"/>
  <c r="F34" i="17"/>
  <c r="F33" i="17" a="1"/>
  <c r="F33" i="17"/>
  <c r="A97" i="17" a="1"/>
  <c r="A97" i="17"/>
  <c r="C97" i="17" a="1"/>
  <c r="C97" i="17"/>
  <c r="B311" i="5"/>
  <c r="N311" i="5"/>
  <c r="A96" i="17" a="1"/>
  <c r="A96" i="17"/>
  <c r="A95" i="17" a="1"/>
  <c r="A95" i="17"/>
  <c r="A94" i="17" a="1"/>
  <c r="A94" i="17"/>
  <c r="A93" i="17" a="1"/>
  <c r="A93" i="17"/>
  <c r="A92" i="17" a="1"/>
  <c r="A92" i="17"/>
  <c r="A91" i="17" a="1"/>
  <c r="A91" i="17"/>
  <c r="A90" i="17" a="1"/>
  <c r="A90" i="17"/>
  <c r="A89" i="17" a="1"/>
  <c r="A89" i="17"/>
  <c r="H10" i="17" a="1"/>
  <c r="H10" i="17"/>
  <c r="B35" i="5"/>
  <c r="N35" i="5"/>
  <c r="H9" i="17" a="1"/>
  <c r="H9" i="17"/>
  <c r="B34" i="5"/>
  <c r="N34" i="5"/>
  <c r="H8" i="17" a="1"/>
  <c r="H8" i="17"/>
  <c r="B33" i="5"/>
  <c r="N33" i="5"/>
  <c r="H7" i="17" a="1"/>
  <c r="H7" i="17"/>
  <c r="B32" i="5"/>
  <c r="N32" i="5"/>
  <c r="H6" i="17" a="1"/>
  <c r="H6" i="17"/>
  <c r="B31" i="5"/>
  <c r="N31" i="5"/>
  <c r="H5" i="17" a="1"/>
  <c r="H5" i="17"/>
  <c r="B30" i="5"/>
  <c r="N30" i="5"/>
  <c r="C10" i="17" a="1"/>
  <c r="C10" i="17"/>
  <c r="B14" i="5"/>
  <c r="N14" i="5"/>
  <c r="C9" i="17" a="1"/>
  <c r="C9" i="17"/>
  <c r="B13" i="5"/>
  <c r="N13" i="5"/>
  <c r="C8" i="17" a="1"/>
  <c r="C8" i="17"/>
  <c r="B12" i="5"/>
  <c r="N12" i="5"/>
  <c r="C7" i="17" a="1"/>
  <c r="C7" i="17"/>
  <c r="B11" i="5"/>
  <c r="N11" i="5"/>
  <c r="C6" i="17" a="1"/>
  <c r="C6" i="17"/>
  <c r="B10" i="5"/>
  <c r="N10" i="5"/>
  <c r="C5" i="17" a="1"/>
  <c r="C5" i="17"/>
  <c r="B9" i="5"/>
  <c r="N9" i="5"/>
  <c r="F69" i="17" a="1"/>
  <c r="F69" i="17"/>
  <c r="H69" i="17" a="1"/>
  <c r="H69" i="17"/>
  <c r="F68" i="17" a="1"/>
  <c r="F68" i="17"/>
  <c r="F67" i="17" a="1"/>
  <c r="F67" i="17"/>
  <c r="F66" i="17" a="1"/>
  <c r="F66" i="17"/>
  <c r="F65" i="17" a="1"/>
  <c r="F65" i="17"/>
  <c r="F64" i="17" a="1"/>
  <c r="F64" i="17"/>
  <c r="F63" i="17" a="1"/>
  <c r="F63" i="17"/>
  <c r="F62" i="17" a="1"/>
  <c r="F62" i="17"/>
  <c r="F61" i="17" a="1"/>
  <c r="F61" i="17"/>
  <c r="F55" i="17" a="1"/>
  <c r="F55" i="17"/>
  <c r="F54" i="17" a="1"/>
  <c r="F54" i="17"/>
  <c r="F53" i="17" a="1"/>
  <c r="F53" i="17"/>
  <c r="F52" i="17" a="1"/>
  <c r="F52" i="17"/>
  <c r="F51" i="17" a="1"/>
  <c r="F51" i="17"/>
  <c r="F50" i="17" a="1"/>
  <c r="F50" i="17"/>
  <c r="F49" i="17" a="1"/>
  <c r="F49" i="17"/>
  <c r="F48" i="17" a="1"/>
  <c r="F48" i="17"/>
  <c r="F47" i="17" a="1"/>
  <c r="F47" i="17"/>
  <c r="A111" i="17" a="1"/>
  <c r="A111" i="17"/>
  <c r="C111" i="17" a="1"/>
  <c r="C111" i="17"/>
  <c r="B360" i="5"/>
  <c r="N360" i="5"/>
  <c r="A110" i="17" a="1"/>
  <c r="A110" i="17"/>
  <c r="A109" i="17" a="1"/>
  <c r="A109" i="17"/>
  <c r="A108" i="17" a="1"/>
  <c r="A108" i="17"/>
  <c r="A107" i="17" a="1"/>
  <c r="A107" i="17"/>
  <c r="A106" i="17" a="1"/>
  <c r="A106" i="17"/>
  <c r="A105" i="17" a="1"/>
  <c r="A105" i="17"/>
  <c r="A104" i="17" a="1"/>
  <c r="A104" i="17"/>
  <c r="A103" i="17" a="1"/>
  <c r="A103" i="17"/>
  <c r="W29" i="7"/>
  <c r="D29" i="20"/>
  <c r="W38" i="7"/>
  <c r="D38" i="20"/>
  <c r="W47" i="7"/>
  <c r="D47" i="20"/>
  <c r="W65" i="7"/>
  <c r="D65" i="20"/>
  <c r="U29" i="7"/>
  <c r="B29" i="20"/>
  <c r="C160" i="18"/>
  <c r="U38" i="7"/>
  <c r="B38" i="20"/>
  <c r="C169" i="18"/>
  <c r="U47" i="7"/>
  <c r="B47" i="20"/>
  <c r="U65" i="7"/>
  <c r="B65" i="20"/>
  <c r="U164" i="7"/>
  <c r="B164" i="20"/>
  <c r="BQ6" i="7"/>
  <c r="BQ7" i="7"/>
  <c r="BQ8" i="7"/>
  <c r="BQ9" i="7"/>
  <c r="BQ10" i="7"/>
  <c r="BQ11" i="7"/>
  <c r="BQ12" i="7"/>
  <c r="BQ13" i="7"/>
  <c r="BQ14" i="7"/>
  <c r="I15" i="4" a="1"/>
  <c r="I15" i="4"/>
  <c r="R443" i="5"/>
  <c r="A446" i="5"/>
  <c r="I10" i="7"/>
  <c r="H10" i="7"/>
  <c r="AL76" i="7"/>
  <c r="AL77" i="7"/>
  <c r="AL78" i="7"/>
  <c r="AL79" i="7"/>
  <c r="AL80" i="7"/>
  <c r="AL81" i="7"/>
  <c r="AL82" i="7"/>
  <c r="AL83" i="7"/>
  <c r="AL84" i="7"/>
  <c r="AL85" i="7"/>
  <c r="AL86" i="7"/>
  <c r="AL87" i="7"/>
  <c r="AK76" i="7"/>
  <c r="AJ76" i="7"/>
  <c r="AK77" i="7"/>
  <c r="AJ77" i="7"/>
  <c r="AK78" i="7"/>
  <c r="AJ78" i="7"/>
  <c r="AK79" i="7"/>
  <c r="AJ79" i="7"/>
  <c r="AK80" i="7"/>
  <c r="AJ80" i="7"/>
  <c r="AK81" i="7"/>
  <c r="AJ81" i="7"/>
  <c r="AK82" i="7"/>
  <c r="AJ82" i="7"/>
  <c r="AK83" i="7"/>
  <c r="AJ83" i="7"/>
  <c r="AK84" i="7"/>
  <c r="AJ84" i="7"/>
  <c r="AK85" i="7"/>
  <c r="AJ85" i="7"/>
  <c r="AK86" i="7"/>
  <c r="AJ86" i="7"/>
  <c r="AK87" i="7"/>
  <c r="AJ87" i="7"/>
  <c r="T112" i="7"/>
  <c r="T113" i="7"/>
  <c r="A113" i="20"/>
  <c r="T114" i="7"/>
  <c r="A114" i="20"/>
  <c r="T115" i="7"/>
  <c r="A115" i="20"/>
  <c r="T116" i="7"/>
  <c r="A116" i="20"/>
  <c r="T117" i="7"/>
  <c r="A117" i="20"/>
  <c r="T118" i="7"/>
  <c r="A118" i="20"/>
  <c r="T119" i="7"/>
  <c r="A119" i="20"/>
  <c r="T120" i="7"/>
  <c r="A120" i="20"/>
  <c r="T121" i="7"/>
  <c r="A121" i="20"/>
  <c r="T122" i="7"/>
  <c r="A122" i="20"/>
  <c r="T123" i="7"/>
  <c r="A123" i="20"/>
  <c r="T124" i="7"/>
  <c r="A124" i="20"/>
  <c r="T125" i="7"/>
  <c r="A125" i="20"/>
  <c r="T126" i="7"/>
  <c r="A126" i="20"/>
  <c r="T127" i="7"/>
  <c r="A127" i="20"/>
  <c r="T128" i="7"/>
  <c r="A128" i="20"/>
  <c r="T129" i="7"/>
  <c r="A129" i="20"/>
  <c r="S112" i="7"/>
  <c r="S113" i="7"/>
  <c r="C113" i="20"/>
  <c r="S114" i="7"/>
  <c r="C114" i="20"/>
  <c r="S115" i="7"/>
  <c r="C115" i="20"/>
  <c r="S116" i="7"/>
  <c r="C116" i="20"/>
  <c r="S117" i="7"/>
  <c r="C117" i="20"/>
  <c r="S118" i="7"/>
  <c r="C118" i="20"/>
  <c r="S119" i="7"/>
  <c r="C119" i="20"/>
  <c r="S120" i="7"/>
  <c r="C120" i="20"/>
  <c r="S121" i="7"/>
  <c r="C121" i="20"/>
  <c r="S122" i="7"/>
  <c r="C122" i="20"/>
  <c r="S123" i="7"/>
  <c r="C123" i="20"/>
  <c r="S124" i="7"/>
  <c r="C124" i="20"/>
  <c r="S125" i="7"/>
  <c r="C125" i="20"/>
  <c r="S126" i="7"/>
  <c r="C126" i="20"/>
  <c r="S127" i="7"/>
  <c r="C127" i="20"/>
  <c r="S128" i="7"/>
  <c r="C128" i="20"/>
  <c r="S129" i="7"/>
  <c r="C129" i="20"/>
  <c r="M10" i="7"/>
  <c r="L10" i="7"/>
  <c r="P10" i="7"/>
  <c r="K10" i="7"/>
  <c r="A17" i="19"/>
  <c r="J10" i="7"/>
  <c r="A16" i="19"/>
  <c r="BS6" i="7"/>
  <c r="BS7" i="7"/>
  <c r="BS8" i="7"/>
  <c r="BS9" i="7"/>
  <c r="BS10" i="7"/>
  <c r="BS11" i="7"/>
  <c r="BS12" i="7"/>
  <c r="BS13" i="7"/>
  <c r="BS14" i="7"/>
  <c r="BW5" i="7"/>
  <c r="BT6" i="7"/>
  <c r="BT7" i="7"/>
  <c r="BT8" i="7"/>
  <c r="BT9" i="7"/>
  <c r="BT10" i="7"/>
  <c r="BT11" i="7"/>
  <c r="BT12" i="7"/>
  <c r="BT13" i="7"/>
  <c r="BT14" i="7"/>
  <c r="BR6" i="7"/>
  <c r="BR7" i="7"/>
  <c r="BR8" i="7"/>
  <c r="BR9" i="7"/>
  <c r="BR10" i="7"/>
  <c r="BR11" i="7"/>
  <c r="BR12" i="7"/>
  <c r="BR13" i="7"/>
  <c r="BR14" i="7"/>
  <c r="BV5" i="7"/>
  <c r="BU6" i="7"/>
  <c r="BU7" i="7"/>
  <c r="BU8" i="7"/>
  <c r="BU9" i="7"/>
  <c r="BU10" i="7"/>
  <c r="BU11" i="7"/>
  <c r="BU12" i="7"/>
  <c r="BU13" i="7"/>
  <c r="BU14" i="7"/>
  <c r="BY5" i="7"/>
  <c r="F38" i="20"/>
  <c r="G169" i="18"/>
  <c r="E169" i="18"/>
  <c r="F29" i="20"/>
  <c r="G160" i="18"/>
  <c r="E160" i="18"/>
  <c r="F34" i="20"/>
  <c r="G165" i="18"/>
  <c r="E165" i="18"/>
  <c r="F25" i="20"/>
  <c r="G156" i="18"/>
  <c r="E156" i="18"/>
  <c r="F23" i="20"/>
  <c r="G154" i="18"/>
  <c r="F154" i="18"/>
  <c r="AE47" i="20"/>
  <c r="AC47" i="20"/>
  <c r="AB47" i="20"/>
  <c r="AA47" i="20"/>
  <c r="Z47" i="20"/>
  <c r="Y47" i="20"/>
  <c r="X47" i="20"/>
  <c r="W47" i="20"/>
  <c r="V47" i="20"/>
  <c r="U272" i="7"/>
  <c r="B272" i="20"/>
  <c r="U253" i="7"/>
  <c r="B253" i="20"/>
  <c r="U254" i="7"/>
  <c r="B254" i="20"/>
  <c r="U273" i="7"/>
  <c r="B273" i="20"/>
  <c r="U235" i="7"/>
  <c r="B235" i="20"/>
  <c r="U237" i="7"/>
  <c r="B237" i="20"/>
  <c r="AE38" i="20"/>
  <c r="AF169" i="18"/>
  <c r="AC38" i="20"/>
  <c r="AD169" i="18"/>
  <c r="AB38" i="20"/>
  <c r="AC169" i="18"/>
  <c r="AA38" i="20"/>
  <c r="AB169" i="18"/>
  <c r="Z38" i="20"/>
  <c r="AA169" i="18"/>
  <c r="Y38" i="20"/>
  <c r="Z169" i="18"/>
  <c r="X38" i="20"/>
  <c r="Y169" i="18"/>
  <c r="W38" i="20"/>
  <c r="X169" i="18"/>
  <c r="V38" i="20"/>
  <c r="W169" i="18"/>
  <c r="AE29" i="20"/>
  <c r="AF160" i="18"/>
  <c r="AC29" i="20"/>
  <c r="AD160" i="18"/>
  <c r="AB29" i="20"/>
  <c r="AC160" i="18"/>
  <c r="AA29" i="20"/>
  <c r="AB160" i="18"/>
  <c r="W29" i="20"/>
  <c r="X160" i="18"/>
  <c r="H30" i="20"/>
  <c r="I161" i="18"/>
  <c r="G30" i="20"/>
  <c r="H161" i="18"/>
  <c r="H33" i="20"/>
  <c r="I164" i="18"/>
  <c r="G33" i="20"/>
  <c r="H164" i="18"/>
  <c r="X717" i="5"/>
  <c r="AH266" i="7"/>
  <c r="W717" i="5"/>
  <c r="AG266" i="7"/>
  <c r="V717" i="5"/>
  <c r="AF266" i="7"/>
  <c r="U717" i="5"/>
  <c r="AE266" i="7"/>
  <c r="T717" i="5"/>
  <c r="AD266" i="7"/>
  <c r="S717" i="5"/>
  <c r="AC266" i="7"/>
  <c r="R717" i="5"/>
  <c r="AB266" i="7"/>
  <c r="Q717" i="5"/>
  <c r="AA266" i="7"/>
  <c r="P717" i="5"/>
  <c r="Z266" i="7"/>
  <c r="O717" i="5"/>
  <c r="X266" i="7"/>
  <c r="M717" i="5"/>
  <c r="W266" i="7"/>
  <c r="X718" i="5"/>
  <c r="AH267" i="7"/>
  <c r="W718" i="5"/>
  <c r="AG267" i="7"/>
  <c r="V718" i="5"/>
  <c r="AF267" i="7"/>
  <c r="U718" i="5"/>
  <c r="AE267" i="7"/>
  <c r="T718" i="5"/>
  <c r="AD267" i="7"/>
  <c r="S718" i="5"/>
  <c r="AC267" i="7"/>
  <c r="R718" i="5"/>
  <c r="AB267" i="7"/>
  <c r="Q718" i="5"/>
  <c r="AA267" i="7"/>
  <c r="P718" i="5"/>
  <c r="Z267" i="7"/>
  <c r="O718" i="5"/>
  <c r="Y267" i="7"/>
  <c r="X267" i="7"/>
  <c r="M718" i="5"/>
  <c r="W267" i="7"/>
  <c r="X719" i="5"/>
  <c r="AH268" i="7"/>
  <c r="W719" i="5"/>
  <c r="AG268" i="7"/>
  <c r="V719" i="5"/>
  <c r="AF268" i="7"/>
  <c r="U719" i="5"/>
  <c r="AE268" i="7"/>
  <c r="T719" i="5"/>
  <c r="AD268" i="7"/>
  <c r="S719" i="5"/>
  <c r="AC268" i="7"/>
  <c r="R719" i="5"/>
  <c r="AB268" i="7"/>
  <c r="Q719" i="5"/>
  <c r="AA268" i="7"/>
  <c r="P719" i="5"/>
  <c r="Z268" i="7"/>
  <c r="O719" i="5"/>
  <c r="Y268" i="7"/>
  <c r="X268" i="7"/>
  <c r="M719" i="5"/>
  <c r="W268" i="7"/>
  <c r="X720" i="5"/>
  <c r="AH269" i="7"/>
  <c r="W720" i="5"/>
  <c r="AG269" i="7"/>
  <c r="V720" i="5"/>
  <c r="AF269" i="7"/>
  <c r="U720" i="5"/>
  <c r="AE269" i="7"/>
  <c r="T720" i="5"/>
  <c r="AD269" i="7"/>
  <c r="S720" i="5"/>
  <c r="AC269" i="7"/>
  <c r="R720" i="5"/>
  <c r="AB269" i="7"/>
  <c r="Q720" i="5"/>
  <c r="AA269" i="7"/>
  <c r="P720" i="5"/>
  <c r="Z269" i="7"/>
  <c r="O720" i="5"/>
  <c r="Y269" i="7"/>
  <c r="X269" i="7"/>
  <c r="M720" i="5"/>
  <c r="W269" i="7"/>
  <c r="X721" i="5"/>
  <c r="AH270" i="7"/>
  <c r="W721" i="5"/>
  <c r="AG270" i="7"/>
  <c r="V721" i="5"/>
  <c r="AF270" i="7"/>
  <c r="U721" i="5"/>
  <c r="AE270" i="7"/>
  <c r="T721" i="5"/>
  <c r="AD270" i="7"/>
  <c r="S721" i="5"/>
  <c r="AC270" i="7"/>
  <c r="R721" i="5"/>
  <c r="AB270" i="7"/>
  <c r="Q721" i="5"/>
  <c r="AA270" i="7"/>
  <c r="P721" i="5"/>
  <c r="Z270" i="7"/>
  <c r="O721" i="5"/>
  <c r="Y270" i="7"/>
  <c r="X270" i="7"/>
  <c r="M721" i="5"/>
  <c r="W270" i="7"/>
  <c r="X722" i="5"/>
  <c r="AH271" i="7"/>
  <c r="W722" i="5"/>
  <c r="AG271" i="7"/>
  <c r="V722" i="5"/>
  <c r="AF271" i="7"/>
  <c r="U722" i="5"/>
  <c r="AE271" i="7"/>
  <c r="T722" i="5"/>
  <c r="AD271" i="7"/>
  <c r="S722" i="5"/>
  <c r="AC271" i="7"/>
  <c r="R722" i="5"/>
  <c r="AB271" i="7"/>
  <c r="Q722" i="5"/>
  <c r="AA271" i="7"/>
  <c r="P722" i="5"/>
  <c r="Z271" i="7"/>
  <c r="O722" i="5"/>
  <c r="Y271" i="7"/>
  <c r="X271" i="7"/>
  <c r="M722" i="5"/>
  <c r="W271" i="7"/>
  <c r="X723" i="5"/>
  <c r="AH272" i="7"/>
  <c r="W723" i="5"/>
  <c r="AG272" i="7"/>
  <c r="V723" i="5"/>
  <c r="AF272" i="7"/>
  <c r="U723" i="5"/>
  <c r="AE272" i="7"/>
  <c r="T723" i="5"/>
  <c r="AD272" i="7"/>
  <c r="S723" i="5"/>
  <c r="AC272" i="7"/>
  <c r="R723" i="5"/>
  <c r="AB272" i="7"/>
  <c r="Q723" i="5"/>
  <c r="AA272" i="7"/>
  <c r="P723" i="5"/>
  <c r="Z272" i="7"/>
  <c r="O723" i="5"/>
  <c r="Y272" i="7"/>
  <c r="X272" i="7"/>
  <c r="M723" i="5"/>
  <c r="W272" i="7"/>
  <c r="X724" i="5"/>
  <c r="AH273" i="7"/>
  <c r="W724" i="5"/>
  <c r="AG273" i="7"/>
  <c r="V724" i="5"/>
  <c r="AF273" i="7"/>
  <c r="U724" i="5"/>
  <c r="AE273" i="7"/>
  <c r="T724" i="5"/>
  <c r="AD273" i="7"/>
  <c r="S724" i="5"/>
  <c r="AC273" i="7"/>
  <c r="R724" i="5"/>
  <c r="AB273" i="7"/>
  <c r="Q724" i="5"/>
  <c r="AA273" i="7"/>
  <c r="P724" i="5"/>
  <c r="Z273" i="7"/>
  <c r="O724" i="5"/>
  <c r="Y273" i="7"/>
  <c r="X273" i="7"/>
  <c r="M724" i="5"/>
  <c r="W273" i="7"/>
  <c r="Y265" i="7"/>
  <c r="X668" i="5"/>
  <c r="AH248" i="7"/>
  <c r="W668" i="5"/>
  <c r="AG248" i="7"/>
  <c r="V668" i="5"/>
  <c r="AF248" i="7"/>
  <c r="U668" i="5"/>
  <c r="AE248" i="7"/>
  <c r="T668" i="5"/>
  <c r="AD248" i="7"/>
  <c r="S668" i="5"/>
  <c r="AC248" i="7"/>
  <c r="R668" i="5"/>
  <c r="AB248" i="7"/>
  <c r="Q668" i="5"/>
  <c r="AA248" i="7"/>
  <c r="P668" i="5"/>
  <c r="Z248" i="7"/>
  <c r="O668" i="5"/>
  <c r="X248" i="7"/>
  <c r="M668" i="5"/>
  <c r="W248" i="7"/>
  <c r="X669" i="5"/>
  <c r="AH249" i="7"/>
  <c r="W669" i="5"/>
  <c r="AG249" i="7"/>
  <c r="V669" i="5"/>
  <c r="AF249" i="7"/>
  <c r="U669" i="5"/>
  <c r="AE249" i="7"/>
  <c r="T669" i="5"/>
  <c r="AD249" i="7"/>
  <c r="S669" i="5"/>
  <c r="AC249" i="7"/>
  <c r="R669" i="5"/>
  <c r="AB249" i="7"/>
  <c r="Q669" i="5"/>
  <c r="AA249" i="7"/>
  <c r="P669" i="5"/>
  <c r="Z249" i="7"/>
  <c r="O669" i="5"/>
  <c r="Y249" i="7"/>
  <c r="X249" i="7"/>
  <c r="M669" i="5"/>
  <c r="W249" i="7"/>
  <c r="X670" i="5"/>
  <c r="AH250" i="7"/>
  <c r="W670" i="5"/>
  <c r="AG250" i="7"/>
  <c r="V670" i="5"/>
  <c r="AF250" i="7"/>
  <c r="U670" i="5"/>
  <c r="AE250" i="7"/>
  <c r="T670" i="5"/>
  <c r="AD250" i="7"/>
  <c r="S670" i="5"/>
  <c r="AC250" i="7"/>
  <c r="R670" i="5"/>
  <c r="AB250" i="7"/>
  <c r="Q670" i="5"/>
  <c r="AA250" i="7"/>
  <c r="P670" i="5"/>
  <c r="Z250" i="7"/>
  <c r="O670" i="5"/>
  <c r="Y250" i="7"/>
  <c r="X250" i="7"/>
  <c r="M670" i="5"/>
  <c r="W250" i="7"/>
  <c r="X671" i="5"/>
  <c r="AH251" i="7"/>
  <c r="W671" i="5"/>
  <c r="AG251" i="7"/>
  <c r="V671" i="5"/>
  <c r="AF251" i="7"/>
  <c r="U671" i="5"/>
  <c r="AE251" i="7"/>
  <c r="T671" i="5"/>
  <c r="AD251" i="7"/>
  <c r="S671" i="5"/>
  <c r="AC251" i="7"/>
  <c r="R671" i="5"/>
  <c r="AB251" i="7"/>
  <c r="Q671" i="5"/>
  <c r="AA251" i="7"/>
  <c r="P671" i="5"/>
  <c r="Z251" i="7"/>
  <c r="O671" i="5"/>
  <c r="Y251" i="7"/>
  <c r="X251" i="7"/>
  <c r="M671" i="5"/>
  <c r="W251" i="7"/>
  <c r="X672" i="5"/>
  <c r="AH252" i="7"/>
  <c r="W672" i="5"/>
  <c r="AG252" i="7"/>
  <c r="V672" i="5"/>
  <c r="AF252" i="7"/>
  <c r="U672" i="5"/>
  <c r="AE252" i="7"/>
  <c r="T672" i="5"/>
  <c r="AD252" i="7"/>
  <c r="S672" i="5"/>
  <c r="AC252" i="7"/>
  <c r="R672" i="5"/>
  <c r="AB252" i="7"/>
  <c r="Q672" i="5"/>
  <c r="AA252" i="7"/>
  <c r="P672" i="5"/>
  <c r="Z252" i="7"/>
  <c r="O672" i="5"/>
  <c r="Y252" i="7"/>
  <c r="X252" i="7"/>
  <c r="M672" i="5"/>
  <c r="W252" i="7"/>
  <c r="X673" i="5"/>
  <c r="AH253" i="7"/>
  <c r="W673" i="5"/>
  <c r="AG253" i="7"/>
  <c r="V673" i="5"/>
  <c r="AF253" i="7"/>
  <c r="U673" i="5"/>
  <c r="AE253" i="7"/>
  <c r="T673" i="5"/>
  <c r="AD253" i="7"/>
  <c r="S673" i="5"/>
  <c r="AC253" i="7"/>
  <c r="R673" i="5"/>
  <c r="AB253" i="7"/>
  <c r="Q673" i="5"/>
  <c r="AA253" i="7"/>
  <c r="P673" i="5"/>
  <c r="Z253" i="7"/>
  <c r="O673" i="5"/>
  <c r="Y253" i="7"/>
  <c r="X253" i="7"/>
  <c r="M673" i="5"/>
  <c r="W253" i="7"/>
  <c r="X674" i="5"/>
  <c r="AH254" i="7"/>
  <c r="W674" i="5"/>
  <c r="AG254" i="7"/>
  <c r="V674" i="5"/>
  <c r="AF254" i="7"/>
  <c r="U674" i="5"/>
  <c r="AE254" i="7"/>
  <c r="T674" i="5"/>
  <c r="AD254" i="7"/>
  <c r="S674" i="5"/>
  <c r="AC254" i="7"/>
  <c r="R674" i="5"/>
  <c r="AB254" i="7"/>
  <c r="Q674" i="5"/>
  <c r="AA254" i="7"/>
  <c r="P674" i="5"/>
  <c r="Z254" i="7"/>
  <c r="O674" i="5"/>
  <c r="Y254" i="7"/>
  <c r="X254" i="7"/>
  <c r="M674" i="5"/>
  <c r="W254" i="7"/>
  <c r="X675" i="5"/>
  <c r="AH255" i="7"/>
  <c r="W675" i="5"/>
  <c r="AG255" i="7"/>
  <c r="V675" i="5"/>
  <c r="AF255" i="7"/>
  <c r="U675" i="5"/>
  <c r="AE255" i="7"/>
  <c r="T675" i="5"/>
  <c r="AD255" i="7"/>
  <c r="S675" i="5"/>
  <c r="AC255" i="7"/>
  <c r="R675" i="5"/>
  <c r="AB255" i="7"/>
  <c r="Q675" i="5"/>
  <c r="AA255" i="7"/>
  <c r="P675" i="5"/>
  <c r="Z255" i="7"/>
  <c r="O675" i="5"/>
  <c r="Y255" i="7"/>
  <c r="X255" i="7"/>
  <c r="M675" i="5"/>
  <c r="W255" i="7"/>
  <c r="Y247" i="7"/>
  <c r="X619" i="5"/>
  <c r="AH230" i="7"/>
  <c r="W619" i="5"/>
  <c r="AG230" i="7"/>
  <c r="V619" i="5"/>
  <c r="AF230" i="7"/>
  <c r="U619" i="5"/>
  <c r="AE230" i="7"/>
  <c r="T619" i="5"/>
  <c r="AD230" i="7"/>
  <c r="S619" i="5"/>
  <c r="AC230" i="7"/>
  <c r="R619" i="5"/>
  <c r="AB230" i="7"/>
  <c r="Q619" i="5"/>
  <c r="AA230" i="7"/>
  <c r="P619" i="5"/>
  <c r="Z230" i="7"/>
  <c r="O619" i="5"/>
  <c r="X230" i="7"/>
  <c r="M619" i="5"/>
  <c r="W230" i="7"/>
  <c r="X620" i="5"/>
  <c r="AH231" i="7"/>
  <c r="W620" i="5"/>
  <c r="AG231" i="7"/>
  <c r="V620" i="5"/>
  <c r="AF231" i="7"/>
  <c r="U620" i="5"/>
  <c r="AE231" i="7"/>
  <c r="T620" i="5"/>
  <c r="AD231" i="7"/>
  <c r="S620" i="5"/>
  <c r="AC231" i="7"/>
  <c r="R620" i="5"/>
  <c r="AB231" i="7"/>
  <c r="Q620" i="5"/>
  <c r="AA231" i="7"/>
  <c r="P620" i="5"/>
  <c r="Z231" i="7"/>
  <c r="O620" i="5"/>
  <c r="Y231" i="7"/>
  <c r="X231" i="7"/>
  <c r="M620" i="5"/>
  <c r="W231" i="7"/>
  <c r="X621" i="5"/>
  <c r="AH232" i="7"/>
  <c r="W621" i="5"/>
  <c r="AG232" i="7"/>
  <c r="V621" i="5"/>
  <c r="AF232" i="7"/>
  <c r="U621" i="5"/>
  <c r="AE232" i="7"/>
  <c r="T621" i="5"/>
  <c r="AD232" i="7"/>
  <c r="S621" i="5"/>
  <c r="AC232" i="7"/>
  <c r="R621" i="5"/>
  <c r="AB232" i="7"/>
  <c r="Q621" i="5"/>
  <c r="AA232" i="7"/>
  <c r="P621" i="5"/>
  <c r="Z232" i="7"/>
  <c r="O621" i="5"/>
  <c r="Y232" i="7"/>
  <c r="X232" i="7"/>
  <c r="M621" i="5"/>
  <c r="W232" i="7"/>
  <c r="X622" i="5"/>
  <c r="AH233" i="7"/>
  <c r="W622" i="5"/>
  <c r="AG233" i="7"/>
  <c r="V622" i="5"/>
  <c r="AF233" i="7"/>
  <c r="U622" i="5"/>
  <c r="AE233" i="7"/>
  <c r="T622" i="5"/>
  <c r="AD233" i="7"/>
  <c r="S622" i="5"/>
  <c r="AC233" i="7"/>
  <c r="R622" i="5"/>
  <c r="AB233" i="7"/>
  <c r="Q622" i="5"/>
  <c r="AA233" i="7"/>
  <c r="P622" i="5"/>
  <c r="Z233" i="7"/>
  <c r="O622" i="5"/>
  <c r="Y233" i="7"/>
  <c r="X233" i="7"/>
  <c r="M622" i="5"/>
  <c r="W233" i="7"/>
  <c r="X623" i="5"/>
  <c r="AH234" i="7"/>
  <c r="W623" i="5"/>
  <c r="AG234" i="7"/>
  <c r="V623" i="5"/>
  <c r="AF234" i="7"/>
  <c r="U623" i="5"/>
  <c r="AE234" i="7"/>
  <c r="T623" i="5"/>
  <c r="AD234" i="7"/>
  <c r="S623" i="5"/>
  <c r="AC234" i="7"/>
  <c r="R623" i="5"/>
  <c r="AB234" i="7"/>
  <c r="Q623" i="5"/>
  <c r="AA234" i="7"/>
  <c r="P623" i="5"/>
  <c r="Z234" i="7"/>
  <c r="O623" i="5"/>
  <c r="Y234" i="7"/>
  <c r="X234" i="7"/>
  <c r="M623" i="5"/>
  <c r="W234" i="7"/>
  <c r="X624" i="5"/>
  <c r="AH235" i="7"/>
  <c r="W624" i="5"/>
  <c r="AG235" i="7"/>
  <c r="V624" i="5"/>
  <c r="AF235" i="7"/>
  <c r="U624" i="5"/>
  <c r="AE235" i="7"/>
  <c r="T624" i="5"/>
  <c r="AD235" i="7"/>
  <c r="S624" i="5"/>
  <c r="AC235" i="7"/>
  <c r="R624" i="5"/>
  <c r="AB235" i="7"/>
  <c r="Q624" i="5"/>
  <c r="AA235" i="7"/>
  <c r="P624" i="5"/>
  <c r="Z235" i="7"/>
  <c r="O624" i="5"/>
  <c r="Y235" i="7"/>
  <c r="X235" i="7"/>
  <c r="M624" i="5"/>
  <c r="W235" i="7"/>
  <c r="X625" i="5"/>
  <c r="AH236" i="7"/>
  <c r="W625" i="5"/>
  <c r="AG236" i="7"/>
  <c r="V625" i="5"/>
  <c r="AF236" i="7"/>
  <c r="U625" i="5"/>
  <c r="AE236" i="7"/>
  <c r="T625" i="5"/>
  <c r="AD236" i="7"/>
  <c r="S625" i="5"/>
  <c r="AC236" i="7"/>
  <c r="R625" i="5"/>
  <c r="AB236" i="7"/>
  <c r="Q625" i="5"/>
  <c r="AA236" i="7"/>
  <c r="P625" i="5"/>
  <c r="Z236" i="7"/>
  <c r="O625" i="5"/>
  <c r="Y236" i="7"/>
  <c r="X236" i="7"/>
  <c r="M625" i="5"/>
  <c r="W236" i="7"/>
  <c r="X626" i="5"/>
  <c r="AH237" i="7"/>
  <c r="W626" i="5"/>
  <c r="AG237" i="7"/>
  <c r="V626" i="5"/>
  <c r="AF237" i="7"/>
  <c r="U626" i="5"/>
  <c r="AE237" i="7"/>
  <c r="T626" i="5"/>
  <c r="AD237" i="7"/>
  <c r="S626" i="5"/>
  <c r="AC237" i="7"/>
  <c r="R626" i="5"/>
  <c r="AB237" i="7"/>
  <c r="Q626" i="5"/>
  <c r="AA237" i="7"/>
  <c r="P626" i="5"/>
  <c r="Z237" i="7"/>
  <c r="O626" i="5"/>
  <c r="Y237" i="7"/>
  <c r="X237" i="7"/>
  <c r="M626" i="5"/>
  <c r="W237" i="7"/>
  <c r="Y229" i="7"/>
  <c r="X422" i="5"/>
  <c r="AH157" i="7"/>
  <c r="W422" i="5"/>
  <c r="AG157" i="7"/>
  <c r="V422" i="5"/>
  <c r="AF157" i="7"/>
  <c r="U422" i="5"/>
  <c r="AE157" i="7"/>
  <c r="T422" i="5"/>
  <c r="AD157" i="7"/>
  <c r="S422" i="5"/>
  <c r="AC157" i="7"/>
  <c r="R422" i="5"/>
  <c r="AB157" i="7"/>
  <c r="Q422" i="5"/>
  <c r="AA157" i="7"/>
  <c r="P422" i="5"/>
  <c r="Z157" i="7"/>
  <c r="O422" i="5"/>
  <c r="X157" i="7"/>
  <c r="M422" i="5"/>
  <c r="X423" i="5"/>
  <c r="AH158" i="7"/>
  <c r="W423" i="5"/>
  <c r="AG158" i="7"/>
  <c r="V423" i="5"/>
  <c r="AF158" i="7"/>
  <c r="U423" i="5"/>
  <c r="AE158" i="7"/>
  <c r="T423" i="5"/>
  <c r="AD158" i="7"/>
  <c r="S423" i="5"/>
  <c r="AC158" i="7"/>
  <c r="R423" i="5"/>
  <c r="AB158" i="7"/>
  <c r="Q423" i="5"/>
  <c r="AA158" i="7"/>
  <c r="P423" i="5"/>
  <c r="Z158" i="7"/>
  <c r="O423" i="5"/>
  <c r="Y158" i="7"/>
  <c r="X158" i="7"/>
  <c r="M423" i="5"/>
  <c r="W158" i="7"/>
  <c r="X424" i="5"/>
  <c r="AH159" i="7"/>
  <c r="W424" i="5"/>
  <c r="AG159" i="7"/>
  <c r="V424" i="5"/>
  <c r="AF159" i="7"/>
  <c r="U424" i="5"/>
  <c r="AE159" i="7"/>
  <c r="T424" i="5"/>
  <c r="AD159" i="7"/>
  <c r="S424" i="5"/>
  <c r="AC159" i="7"/>
  <c r="R424" i="5"/>
  <c r="AB159" i="7"/>
  <c r="Q424" i="5"/>
  <c r="AA159" i="7"/>
  <c r="P424" i="5"/>
  <c r="Z159" i="7"/>
  <c r="O424" i="5"/>
  <c r="Y159" i="7"/>
  <c r="X159" i="7"/>
  <c r="M424" i="5"/>
  <c r="W159" i="7"/>
  <c r="X425" i="5"/>
  <c r="AH160" i="7"/>
  <c r="W425" i="5"/>
  <c r="AG160" i="7"/>
  <c r="V425" i="5"/>
  <c r="AF160" i="7"/>
  <c r="U425" i="5"/>
  <c r="AE160" i="7"/>
  <c r="T425" i="5"/>
  <c r="AD160" i="7"/>
  <c r="S425" i="5"/>
  <c r="AC160" i="7"/>
  <c r="R425" i="5"/>
  <c r="AB160" i="7"/>
  <c r="Q425" i="5"/>
  <c r="AA160" i="7"/>
  <c r="P425" i="5"/>
  <c r="Z160" i="7"/>
  <c r="O425" i="5"/>
  <c r="Y160" i="7"/>
  <c r="X160" i="7"/>
  <c r="M425" i="5"/>
  <c r="W160" i="7"/>
  <c r="X426" i="5"/>
  <c r="AH161" i="7"/>
  <c r="W426" i="5"/>
  <c r="AG161" i="7"/>
  <c r="V426" i="5"/>
  <c r="AF161" i="7"/>
  <c r="U426" i="5"/>
  <c r="AE161" i="7"/>
  <c r="T426" i="5"/>
  <c r="AD161" i="7"/>
  <c r="S426" i="5"/>
  <c r="AC161" i="7"/>
  <c r="R426" i="5"/>
  <c r="AB161" i="7"/>
  <c r="Q426" i="5"/>
  <c r="AA161" i="7"/>
  <c r="P426" i="5"/>
  <c r="Z161" i="7"/>
  <c r="O426" i="5"/>
  <c r="Y161" i="7"/>
  <c r="X161" i="7"/>
  <c r="M426" i="5"/>
  <c r="X427" i="5"/>
  <c r="AH162" i="7"/>
  <c r="W427" i="5"/>
  <c r="AG162" i="7"/>
  <c r="V427" i="5"/>
  <c r="AF162" i="7"/>
  <c r="U427" i="5"/>
  <c r="AE162" i="7"/>
  <c r="T427" i="5"/>
  <c r="AD162" i="7"/>
  <c r="S427" i="5"/>
  <c r="AC162" i="7"/>
  <c r="R427" i="5"/>
  <c r="AB162" i="7"/>
  <c r="Q427" i="5"/>
  <c r="AA162" i="7"/>
  <c r="P427" i="5"/>
  <c r="Z162" i="7"/>
  <c r="O427" i="5"/>
  <c r="Y162" i="7"/>
  <c r="X162" i="7"/>
  <c r="M427" i="5"/>
  <c r="W162" i="7"/>
  <c r="X428" i="5"/>
  <c r="AH163" i="7"/>
  <c r="W428" i="5"/>
  <c r="AG163" i="7"/>
  <c r="V428" i="5"/>
  <c r="AF163" i="7"/>
  <c r="U428" i="5"/>
  <c r="AE163" i="7"/>
  <c r="T428" i="5"/>
  <c r="AD163" i="7"/>
  <c r="S428" i="5"/>
  <c r="AC163" i="7"/>
  <c r="R428" i="5"/>
  <c r="AB163" i="7"/>
  <c r="Q428" i="5"/>
  <c r="AA163" i="7"/>
  <c r="P428" i="5"/>
  <c r="Z163" i="7"/>
  <c r="O428" i="5"/>
  <c r="Y163" i="7"/>
  <c r="X163" i="7"/>
  <c r="M428" i="5"/>
  <c r="X429" i="5"/>
  <c r="AH164" i="7"/>
  <c r="W429" i="5"/>
  <c r="AG164" i="7"/>
  <c r="V429" i="5"/>
  <c r="AF164" i="7"/>
  <c r="U429" i="5"/>
  <c r="AE164" i="7"/>
  <c r="T429" i="5"/>
  <c r="AD164" i="7"/>
  <c r="S429" i="5"/>
  <c r="AC164" i="7"/>
  <c r="R429" i="5"/>
  <c r="AB164" i="7"/>
  <c r="Q429" i="5"/>
  <c r="AA164" i="7"/>
  <c r="P429" i="5"/>
  <c r="Z164" i="7"/>
  <c r="O429" i="5"/>
  <c r="Y164" i="7"/>
  <c r="X164" i="7"/>
  <c r="M429" i="5"/>
  <c r="W164" i="7"/>
  <c r="X430" i="5"/>
  <c r="AH165" i="7"/>
  <c r="W430" i="5"/>
  <c r="AG165" i="7"/>
  <c r="V430" i="5"/>
  <c r="AF165" i="7"/>
  <c r="U430" i="5"/>
  <c r="AE165" i="7"/>
  <c r="T430" i="5"/>
  <c r="AD165" i="7"/>
  <c r="S430" i="5"/>
  <c r="AC165" i="7"/>
  <c r="R430" i="5"/>
  <c r="AB165" i="7"/>
  <c r="Q430" i="5"/>
  <c r="AA165" i="7"/>
  <c r="P430" i="5"/>
  <c r="Z165" i="7"/>
  <c r="O430" i="5"/>
  <c r="Y165" i="7"/>
  <c r="X165" i="7"/>
  <c r="M430" i="5"/>
  <c r="X278" i="5"/>
  <c r="AH106" i="7"/>
  <c r="W278" i="5"/>
  <c r="AG106" i="7"/>
  <c r="V278" i="5"/>
  <c r="AF106" i="7"/>
  <c r="U278" i="5"/>
  <c r="AE106" i="7"/>
  <c r="T278" i="5"/>
  <c r="AD106" i="7"/>
  <c r="S278" i="5"/>
  <c r="AC106" i="7"/>
  <c r="H106" i="20" s="1"/>
  <c r="R278" i="5"/>
  <c r="AB106" i="7"/>
  <c r="G106" i="20" s="1"/>
  <c r="Q278" i="5"/>
  <c r="AA106" i="7"/>
  <c r="P278" i="5"/>
  <c r="Z106" i="7"/>
  <c r="O278" i="5"/>
  <c r="Y106" i="7"/>
  <c r="E106" i="20" s="1"/>
  <c r="X106" i="7"/>
  <c r="M278" i="5"/>
  <c r="X276" i="5"/>
  <c r="AH104" i="7"/>
  <c r="W276" i="5"/>
  <c r="AG104" i="7"/>
  <c r="V276" i="5"/>
  <c r="AF104" i="7"/>
  <c r="U276" i="5"/>
  <c r="AE104" i="7"/>
  <c r="T276" i="5"/>
  <c r="AD104" i="7"/>
  <c r="S276" i="5"/>
  <c r="AC104" i="7"/>
  <c r="H104" i="20" s="1"/>
  <c r="R276" i="5"/>
  <c r="AB104" i="7"/>
  <c r="G104" i="20" s="1"/>
  <c r="Q276" i="5"/>
  <c r="AA104" i="7"/>
  <c r="P276" i="5"/>
  <c r="Z104" i="7"/>
  <c r="O276" i="5"/>
  <c r="Y104" i="7"/>
  <c r="E104" i="20" s="1"/>
  <c r="X104" i="7"/>
  <c r="M276" i="5"/>
  <c r="X275" i="5"/>
  <c r="AH103" i="7"/>
  <c r="W275" i="5"/>
  <c r="AG103" i="7"/>
  <c r="V275" i="5"/>
  <c r="AF103" i="7"/>
  <c r="U275" i="5"/>
  <c r="AE103" i="7"/>
  <c r="T275" i="5"/>
  <c r="AD103" i="7"/>
  <c r="S275" i="5"/>
  <c r="AC103" i="7"/>
  <c r="H103" i="20" s="1"/>
  <c r="R275" i="5"/>
  <c r="AB103" i="7"/>
  <c r="G103" i="20" s="1"/>
  <c r="Q275" i="5"/>
  <c r="AA103" i="7"/>
  <c r="P275" i="5"/>
  <c r="Z103" i="7"/>
  <c r="O275" i="5"/>
  <c r="X103" i="7"/>
  <c r="M275" i="5"/>
  <c r="X283" i="5"/>
  <c r="AH111" i="7"/>
  <c r="W283" i="5"/>
  <c r="AG111" i="7"/>
  <c r="V283" i="5"/>
  <c r="AF111" i="7"/>
  <c r="U283" i="5"/>
  <c r="AE111" i="7"/>
  <c r="T283" i="5"/>
  <c r="AD111" i="7"/>
  <c r="S283" i="5"/>
  <c r="AC111" i="7"/>
  <c r="H111" i="20" s="1"/>
  <c r="R283" i="5"/>
  <c r="AB111" i="7"/>
  <c r="G111" i="20" s="1"/>
  <c r="Q283" i="5"/>
  <c r="AA111" i="7"/>
  <c r="P283" i="5"/>
  <c r="Z111" i="7"/>
  <c r="O283" i="5"/>
  <c r="Y111" i="7"/>
  <c r="E111" i="20" s="1"/>
  <c r="X111" i="7"/>
  <c r="M283" i="5"/>
  <c r="X360" i="5"/>
  <c r="AH138" i="7"/>
  <c r="W360" i="5"/>
  <c r="AG138" i="7"/>
  <c r="V360" i="5"/>
  <c r="AF138" i="7"/>
  <c r="U360" i="5"/>
  <c r="AE138" i="7"/>
  <c r="T360" i="5"/>
  <c r="AD138" i="7"/>
  <c r="S360" i="5"/>
  <c r="AC138" i="7"/>
  <c r="R360" i="5"/>
  <c r="AB138" i="7"/>
  <c r="Q360" i="5"/>
  <c r="AA138" i="7"/>
  <c r="P360" i="5"/>
  <c r="Z138" i="7"/>
  <c r="O360" i="5"/>
  <c r="X138" i="7"/>
  <c r="M360" i="5"/>
  <c r="X311" i="5"/>
  <c r="AH120" i="7"/>
  <c r="W311" i="5"/>
  <c r="AG120" i="7"/>
  <c r="V311" i="5"/>
  <c r="AF120" i="7"/>
  <c r="U311" i="5"/>
  <c r="AE120" i="7"/>
  <c r="T311" i="5"/>
  <c r="AD120" i="7"/>
  <c r="S311" i="5"/>
  <c r="AC120" i="7"/>
  <c r="R311" i="5"/>
  <c r="AB120" i="7"/>
  <c r="Q311" i="5"/>
  <c r="AA120" i="7"/>
  <c r="P311" i="5"/>
  <c r="Z120" i="7"/>
  <c r="O311" i="5"/>
  <c r="X120" i="7"/>
  <c r="M311" i="5"/>
  <c r="M87" i="5"/>
  <c r="O87" i="5"/>
  <c r="L54" i="5"/>
  <c r="P87" i="5"/>
  <c r="Q87" i="5"/>
  <c r="R87" i="5"/>
  <c r="S87" i="5"/>
  <c r="T87" i="5"/>
  <c r="U87" i="5"/>
  <c r="V87" i="5"/>
  <c r="W87" i="5"/>
  <c r="X87" i="5"/>
  <c r="M30" i="5"/>
  <c r="O30" i="5"/>
  <c r="P30" i="5"/>
  <c r="Q30" i="5"/>
  <c r="R30" i="5"/>
  <c r="S30" i="5"/>
  <c r="T30" i="5"/>
  <c r="U30" i="5"/>
  <c r="V30" i="5"/>
  <c r="W30" i="5"/>
  <c r="X30" i="5"/>
  <c r="M31" i="5"/>
  <c r="O31" i="5"/>
  <c r="P31" i="5"/>
  <c r="Q31" i="5"/>
  <c r="R31" i="5"/>
  <c r="S31" i="5"/>
  <c r="T31" i="5"/>
  <c r="U31" i="5"/>
  <c r="V31" i="5"/>
  <c r="W31" i="5"/>
  <c r="X31" i="5"/>
  <c r="M32" i="5"/>
  <c r="O32" i="5"/>
  <c r="P32" i="5"/>
  <c r="Q32" i="5"/>
  <c r="R32" i="5"/>
  <c r="S32" i="5"/>
  <c r="T32" i="5"/>
  <c r="U32" i="5"/>
  <c r="V32" i="5"/>
  <c r="W32" i="5"/>
  <c r="X32" i="5"/>
  <c r="M33" i="5"/>
  <c r="O33" i="5"/>
  <c r="P33" i="5"/>
  <c r="Q33" i="5"/>
  <c r="R33" i="5"/>
  <c r="S33" i="5"/>
  <c r="T33" i="5"/>
  <c r="U33" i="5"/>
  <c r="V33" i="5"/>
  <c r="W33" i="5"/>
  <c r="X33" i="5"/>
  <c r="M34" i="5"/>
  <c r="O34" i="5"/>
  <c r="P34" i="5"/>
  <c r="Q34" i="5"/>
  <c r="R34" i="5"/>
  <c r="S34" i="5"/>
  <c r="T34" i="5"/>
  <c r="U34" i="5"/>
  <c r="V34" i="5"/>
  <c r="W34" i="5"/>
  <c r="X34" i="5"/>
  <c r="M35" i="5"/>
  <c r="O35" i="5"/>
  <c r="P35" i="5"/>
  <c r="Q35" i="5"/>
  <c r="R35" i="5"/>
  <c r="S35" i="5"/>
  <c r="T35" i="5"/>
  <c r="AD18" i="7"/>
  <c r="U35" i="5"/>
  <c r="V35" i="5"/>
  <c r="W35" i="5"/>
  <c r="AG18" i="7"/>
  <c r="X35" i="5"/>
  <c r="AH18" i="7"/>
  <c r="M9" i="5"/>
  <c r="W4" i="7"/>
  <c r="D4" i="20"/>
  <c r="E135" i="18"/>
  <c r="O9" i="5"/>
  <c r="P9" i="5"/>
  <c r="Z4" i="7"/>
  <c r="Q9" i="5"/>
  <c r="R9" i="5"/>
  <c r="AB4" i="7"/>
  <c r="S9" i="5"/>
  <c r="AC4" i="7"/>
  <c r="T9" i="5"/>
  <c r="U9" i="5"/>
  <c r="AE4" i="7"/>
  <c r="V9" i="5"/>
  <c r="AF4" i="7"/>
  <c r="W9" i="5"/>
  <c r="AG4" i="7"/>
  <c r="X9" i="5"/>
  <c r="AH4" i="7"/>
  <c r="M10" i="5"/>
  <c r="W5" i="7"/>
  <c r="D5" i="20"/>
  <c r="E136" i="18"/>
  <c r="O10" i="5"/>
  <c r="Y5" i="7"/>
  <c r="E5" i="20"/>
  <c r="F136" i="18"/>
  <c r="P10" i="5"/>
  <c r="Z5" i="7"/>
  <c r="Q10" i="5"/>
  <c r="R10" i="5"/>
  <c r="AB5" i="7"/>
  <c r="G5" i="20"/>
  <c r="H136" i="18"/>
  <c r="S10" i="5"/>
  <c r="T10" i="5"/>
  <c r="U10" i="5"/>
  <c r="AE5" i="7"/>
  <c r="V10" i="5"/>
  <c r="AF5" i="7"/>
  <c r="W10" i="5"/>
  <c r="X10" i="5"/>
  <c r="AH5" i="7"/>
  <c r="M11" i="5"/>
  <c r="W6" i="7"/>
  <c r="D6" i="20"/>
  <c r="E137" i="18"/>
  <c r="O11" i="5"/>
  <c r="P11" i="5"/>
  <c r="Z6" i="7"/>
  <c r="Q11" i="5"/>
  <c r="AA6" i="7"/>
  <c r="R11" i="5"/>
  <c r="S11" i="5"/>
  <c r="AC6" i="7"/>
  <c r="H6" i="20"/>
  <c r="I137" i="18"/>
  <c r="T11" i="5"/>
  <c r="U11" i="5"/>
  <c r="V11" i="5"/>
  <c r="AF6" i="7"/>
  <c r="W11" i="5"/>
  <c r="AG6" i="7"/>
  <c r="X11" i="5"/>
  <c r="M12" i="5"/>
  <c r="W7" i="7"/>
  <c r="D7" i="20"/>
  <c r="E138" i="18"/>
  <c r="O12" i="5"/>
  <c r="Y7" i="7"/>
  <c r="E7" i="20"/>
  <c r="F138" i="18"/>
  <c r="P12" i="5"/>
  <c r="Z7" i="7"/>
  <c r="Q12" i="5"/>
  <c r="AA7" i="7"/>
  <c r="R12" i="5"/>
  <c r="S12" i="5"/>
  <c r="AC7" i="7"/>
  <c r="H7" i="20"/>
  <c r="I138" i="18"/>
  <c r="T12" i="5"/>
  <c r="U12" i="5"/>
  <c r="AE7" i="7"/>
  <c r="V12" i="5"/>
  <c r="AF7" i="7"/>
  <c r="W12" i="5"/>
  <c r="AG7" i="7"/>
  <c r="X12" i="5"/>
  <c r="M13" i="5"/>
  <c r="W8" i="7"/>
  <c r="D8" i="20"/>
  <c r="E139" i="18"/>
  <c r="O13" i="5"/>
  <c r="Y8" i="7"/>
  <c r="E8" i="20"/>
  <c r="F139" i="18"/>
  <c r="P13" i="5"/>
  <c r="Z8" i="7"/>
  <c r="Q13" i="5"/>
  <c r="R13" i="5"/>
  <c r="AB8" i="7"/>
  <c r="G8" i="20"/>
  <c r="H139" i="18"/>
  <c r="S13" i="5"/>
  <c r="AC8" i="7"/>
  <c r="H8" i="20"/>
  <c r="I139" i="18"/>
  <c r="T13" i="5"/>
  <c r="U13" i="5"/>
  <c r="AE8" i="7"/>
  <c r="V13" i="5"/>
  <c r="W13" i="5"/>
  <c r="X13" i="5"/>
  <c r="AH8" i="7"/>
  <c r="M14" i="5"/>
  <c r="W9" i="7"/>
  <c r="D9" i="20"/>
  <c r="E140" i="18"/>
  <c r="O14" i="5"/>
  <c r="P14" i="5"/>
  <c r="Z9" i="7"/>
  <c r="Q14" i="5"/>
  <c r="AA9" i="7"/>
  <c r="R14" i="5"/>
  <c r="S14" i="5"/>
  <c r="AC9" i="7"/>
  <c r="H9" i="20"/>
  <c r="I140" i="18"/>
  <c r="T14" i="5"/>
  <c r="AD9" i="7"/>
  <c r="U14" i="5"/>
  <c r="V14" i="5"/>
  <c r="AF9" i="7"/>
  <c r="W14" i="5"/>
  <c r="AG9" i="7"/>
  <c r="X14" i="5"/>
  <c r="X39" i="7"/>
  <c r="Z39" i="7"/>
  <c r="AA39" i="7"/>
  <c r="AB39" i="7"/>
  <c r="AC39" i="7"/>
  <c r="AD39" i="7"/>
  <c r="AE39" i="7"/>
  <c r="AF39" i="7"/>
  <c r="AG39" i="7"/>
  <c r="AH39" i="7"/>
  <c r="F36" i="20"/>
  <c r="G167" i="18"/>
  <c r="F33" i="20"/>
  <c r="G164" i="18"/>
  <c r="W13" i="7"/>
  <c r="D13" i="20"/>
  <c r="E144" i="18"/>
  <c r="X13" i="7"/>
  <c r="Z13" i="7"/>
  <c r="AA13" i="7"/>
  <c r="AB13" i="7"/>
  <c r="AC13" i="7"/>
  <c r="AD13" i="7"/>
  <c r="AE13" i="7"/>
  <c r="AF13" i="7"/>
  <c r="AG13" i="7"/>
  <c r="AH13" i="7"/>
  <c r="W14" i="7"/>
  <c r="D14" i="20"/>
  <c r="E145" i="18"/>
  <c r="X14" i="7"/>
  <c r="Y14" i="7"/>
  <c r="E14" i="20"/>
  <c r="F145" i="18"/>
  <c r="Z14" i="7"/>
  <c r="AA14" i="7"/>
  <c r="AB14" i="7"/>
  <c r="G14" i="20"/>
  <c r="H145" i="18"/>
  <c r="AC14" i="7"/>
  <c r="H14" i="20"/>
  <c r="I145" i="18"/>
  <c r="AD14" i="7"/>
  <c r="AE14" i="7"/>
  <c r="AF14" i="7"/>
  <c r="AG14" i="7"/>
  <c r="AH14" i="7"/>
  <c r="W15" i="7"/>
  <c r="D15" i="20"/>
  <c r="E146" i="18"/>
  <c r="X15" i="7"/>
  <c r="Y15" i="7"/>
  <c r="E15" i="20"/>
  <c r="F146" i="18"/>
  <c r="Z15" i="7"/>
  <c r="AA15" i="7"/>
  <c r="AB15" i="7"/>
  <c r="G15" i="20"/>
  <c r="H146" i="18"/>
  <c r="AC15" i="7"/>
  <c r="H15" i="20"/>
  <c r="I146" i="18"/>
  <c r="AD15" i="7"/>
  <c r="AE15" i="7"/>
  <c r="AF15" i="7"/>
  <c r="AG15" i="7"/>
  <c r="AH15" i="7"/>
  <c r="W16" i="7"/>
  <c r="D16" i="20"/>
  <c r="E147" i="18"/>
  <c r="X16" i="7"/>
  <c r="Y16" i="7"/>
  <c r="E16" i="20"/>
  <c r="F147" i="18"/>
  <c r="Z16" i="7"/>
  <c r="AA16" i="7"/>
  <c r="AB16" i="7"/>
  <c r="G16" i="20"/>
  <c r="H147" i="18"/>
  <c r="AC16" i="7"/>
  <c r="H16" i="20"/>
  <c r="I147" i="18"/>
  <c r="AD16" i="7"/>
  <c r="AE16" i="7"/>
  <c r="AF16" i="7"/>
  <c r="AG16" i="7"/>
  <c r="AH16" i="7"/>
  <c r="W17" i="7"/>
  <c r="D17" i="20"/>
  <c r="E148" i="18"/>
  <c r="X17" i="7"/>
  <c r="Y17" i="7"/>
  <c r="E17" i="20"/>
  <c r="F148" i="18"/>
  <c r="Z17" i="7"/>
  <c r="AA17" i="7"/>
  <c r="AB17" i="7"/>
  <c r="G17" i="20"/>
  <c r="H148" i="18"/>
  <c r="AC17" i="7"/>
  <c r="H17" i="20"/>
  <c r="I148" i="18"/>
  <c r="AD17" i="7"/>
  <c r="AE17" i="7"/>
  <c r="AF17" i="7"/>
  <c r="AG17" i="7"/>
  <c r="AH17" i="7"/>
  <c r="W18" i="7"/>
  <c r="D18" i="20"/>
  <c r="E149" i="18"/>
  <c r="X18" i="7"/>
  <c r="Y18" i="7"/>
  <c r="E18" i="20"/>
  <c r="F149" i="18"/>
  <c r="Z18" i="7"/>
  <c r="AA18" i="7"/>
  <c r="AB18" i="7"/>
  <c r="G18" i="20"/>
  <c r="H149" i="18"/>
  <c r="AC18" i="7"/>
  <c r="H18" i="20"/>
  <c r="I149" i="18"/>
  <c r="AE18" i="7"/>
  <c r="AF18" i="7"/>
  <c r="F19" i="20"/>
  <c r="G150" i="18"/>
  <c r="F20" i="20"/>
  <c r="G151" i="18"/>
  <c r="F21" i="20"/>
  <c r="G152" i="18"/>
  <c r="X4" i="7"/>
  <c r="AA4" i="7"/>
  <c r="AD4" i="7"/>
  <c r="X5" i="7"/>
  <c r="AA5" i="7"/>
  <c r="AC5" i="7"/>
  <c r="H5" i="20"/>
  <c r="I136" i="18"/>
  <c r="AD5" i="7"/>
  <c r="AG5" i="7"/>
  <c r="X6" i="7"/>
  <c r="Y6" i="7"/>
  <c r="E6" i="20"/>
  <c r="F137" i="18"/>
  <c r="AB6" i="7"/>
  <c r="G6" i="20"/>
  <c r="H137" i="18"/>
  <c r="AD6" i="7"/>
  <c r="AE6" i="7"/>
  <c r="AH6" i="7"/>
  <c r="X7" i="7"/>
  <c r="AB7" i="7"/>
  <c r="G7" i="20"/>
  <c r="H138" i="18"/>
  <c r="AD7" i="7"/>
  <c r="AH7" i="7"/>
  <c r="X8" i="7"/>
  <c r="AA8" i="7"/>
  <c r="AD8" i="7"/>
  <c r="AF8" i="7"/>
  <c r="AG8" i="7"/>
  <c r="X9" i="7"/>
  <c r="Y9" i="7"/>
  <c r="E9" i="20"/>
  <c r="F140" i="18"/>
  <c r="AB9" i="7"/>
  <c r="G9" i="20"/>
  <c r="H140" i="18"/>
  <c r="AE9" i="7"/>
  <c r="AH9" i="7"/>
  <c r="F10" i="20"/>
  <c r="G141" i="18"/>
  <c r="F11" i="20"/>
  <c r="G142" i="18"/>
  <c r="F12" i="20"/>
  <c r="G143" i="18"/>
  <c r="I65" i="20"/>
  <c r="AD65" i="20" s="1"/>
  <c r="K65" i="20"/>
  <c r="I47" i="20"/>
  <c r="AD47" i="20"/>
  <c r="K47" i="20"/>
  <c r="I38" i="20"/>
  <c r="K38" i="20"/>
  <c r="L169" i="18"/>
  <c r="I29" i="20"/>
  <c r="C112" i="20"/>
  <c r="AO87" i="7" a="1"/>
  <c r="AO87" i="7"/>
  <c r="AP87" i="7" a="1"/>
  <c r="AP87" i="7"/>
  <c r="AR87" i="7" a="1"/>
  <c r="AR87" i="7"/>
  <c r="AS87" i="7" a="1"/>
  <c r="AS87" i="7"/>
  <c r="AT87" i="7" a="1"/>
  <c r="AT87" i="7"/>
  <c r="AU87" i="7" a="1"/>
  <c r="AU87" i="7"/>
  <c r="AV87" i="7" a="1"/>
  <c r="AV87" i="7"/>
  <c r="AX87" i="7" a="1"/>
  <c r="AX87" i="7"/>
  <c r="AY87" i="7" a="1"/>
  <c r="AY87" i="7"/>
  <c r="AO86" i="7" a="1"/>
  <c r="AO86" i="7"/>
  <c r="AP86" i="7" a="1"/>
  <c r="AP86" i="7"/>
  <c r="AR86" i="7" a="1"/>
  <c r="AR86" i="7"/>
  <c r="AS86" i="7" a="1"/>
  <c r="AS86" i="7"/>
  <c r="AT86" i="7" a="1"/>
  <c r="AT86" i="7"/>
  <c r="AU86" i="7" a="1"/>
  <c r="AU86" i="7"/>
  <c r="AV86" i="7" a="1"/>
  <c r="AV86" i="7"/>
  <c r="AX86" i="7" a="1"/>
  <c r="AX86" i="7"/>
  <c r="AY86" i="7" a="1"/>
  <c r="AY86" i="7"/>
  <c r="AO85" i="7" a="1"/>
  <c r="AO85" i="7"/>
  <c r="AP85" i="7" a="1"/>
  <c r="AP85" i="7"/>
  <c r="AR85" i="7" a="1"/>
  <c r="AR85" i="7"/>
  <c r="AS85" i="7" a="1"/>
  <c r="AS85" i="7"/>
  <c r="AT85" i="7" a="1"/>
  <c r="AT85" i="7"/>
  <c r="AU85" i="7" a="1"/>
  <c r="AU85" i="7"/>
  <c r="AV85" i="7" a="1"/>
  <c r="AV85" i="7"/>
  <c r="AX85" i="7" a="1"/>
  <c r="AX85" i="7"/>
  <c r="AY85" i="7" a="1"/>
  <c r="AY85" i="7"/>
  <c r="AO84" i="7" a="1"/>
  <c r="AO84" i="7"/>
  <c r="AP84" i="7" a="1"/>
  <c r="AP84" i="7"/>
  <c r="AR84" i="7" a="1"/>
  <c r="AR84" i="7"/>
  <c r="AS84" i="7" a="1"/>
  <c r="AS84" i="7"/>
  <c r="AT84" i="7" a="1"/>
  <c r="AT84" i="7"/>
  <c r="AU84" i="7" a="1"/>
  <c r="AU84" i="7"/>
  <c r="AV84" i="7" a="1"/>
  <c r="AV84" i="7"/>
  <c r="AX84" i="7" a="1"/>
  <c r="AX84" i="7"/>
  <c r="AY84" i="7" a="1"/>
  <c r="AY84" i="7"/>
  <c r="AO83" i="7" a="1"/>
  <c r="AO83" i="7"/>
  <c r="AP83" i="7" a="1"/>
  <c r="AP83" i="7"/>
  <c r="AR83" i="7" a="1"/>
  <c r="AR83" i="7"/>
  <c r="AS83" i="7" a="1"/>
  <c r="AS83" i="7"/>
  <c r="AT83" i="7" a="1"/>
  <c r="AT83" i="7"/>
  <c r="AU83" i="7" a="1"/>
  <c r="AU83" i="7"/>
  <c r="AV83" i="7" a="1"/>
  <c r="AV83" i="7"/>
  <c r="AX83" i="7" a="1"/>
  <c r="AX83" i="7"/>
  <c r="AY83" i="7" a="1"/>
  <c r="AY83" i="7"/>
  <c r="AO82" i="7" a="1"/>
  <c r="AO82" i="7"/>
  <c r="AP82" i="7" a="1"/>
  <c r="AP82" i="7"/>
  <c r="AR82" i="7" a="1"/>
  <c r="AR82" i="7"/>
  <c r="AS82" i="7" a="1"/>
  <c r="AS82" i="7"/>
  <c r="AT82" i="7" a="1"/>
  <c r="AT82" i="7"/>
  <c r="AU82" i="7" a="1"/>
  <c r="AU82" i="7"/>
  <c r="AV82" i="7" a="1"/>
  <c r="AV82" i="7"/>
  <c r="AX82" i="7" a="1"/>
  <c r="AX82" i="7"/>
  <c r="AY82" i="7" a="1"/>
  <c r="AY82" i="7"/>
  <c r="AO81" i="7" a="1"/>
  <c r="AO81" i="7"/>
  <c r="AP81" i="7" a="1"/>
  <c r="AP81" i="7"/>
  <c r="AR81" i="7" a="1"/>
  <c r="AR81" i="7"/>
  <c r="AS81" i="7" a="1"/>
  <c r="AS81" i="7"/>
  <c r="AT81" i="7" a="1"/>
  <c r="AT81" i="7"/>
  <c r="AU81" i="7" a="1"/>
  <c r="AU81" i="7"/>
  <c r="AV81" i="7" a="1"/>
  <c r="AV81" i="7"/>
  <c r="AX81" i="7" a="1"/>
  <c r="AX81" i="7"/>
  <c r="AY81" i="7" a="1"/>
  <c r="AY81" i="7"/>
  <c r="AO80" i="7" a="1"/>
  <c r="AO80" i="7"/>
  <c r="AP80" i="7" a="1"/>
  <c r="AP80" i="7"/>
  <c r="AR80" i="7" a="1"/>
  <c r="AR80" i="7"/>
  <c r="AS80" i="7" a="1"/>
  <c r="AS80" i="7"/>
  <c r="AT80" i="7" a="1"/>
  <c r="AT80" i="7"/>
  <c r="AU80" i="7" a="1"/>
  <c r="AU80" i="7"/>
  <c r="AV80" i="7" a="1"/>
  <c r="AV80" i="7"/>
  <c r="AX80" i="7" a="1"/>
  <c r="AX80" i="7"/>
  <c r="AY80" i="7" a="1"/>
  <c r="AY80" i="7"/>
  <c r="AO79" i="7" a="1"/>
  <c r="AO79" i="7"/>
  <c r="AP79" i="7" a="1"/>
  <c r="AP79" i="7"/>
  <c r="AR79" i="7" a="1"/>
  <c r="AR79" i="7"/>
  <c r="AS79" i="7" a="1"/>
  <c r="AS79" i="7"/>
  <c r="AT79" i="7" a="1"/>
  <c r="AT79" i="7"/>
  <c r="AU79" i="7" a="1"/>
  <c r="AU79" i="7"/>
  <c r="AV79" i="7" a="1"/>
  <c r="AV79" i="7"/>
  <c r="AX79" i="7" a="1"/>
  <c r="AX79" i="7"/>
  <c r="AY79" i="7" a="1"/>
  <c r="AY79" i="7"/>
  <c r="AO78" i="7" a="1"/>
  <c r="AO78" i="7"/>
  <c r="AP78" i="7" a="1"/>
  <c r="AP78" i="7"/>
  <c r="AR78" i="7" a="1"/>
  <c r="AR78" i="7"/>
  <c r="AS78" i="7" a="1"/>
  <c r="AS78" i="7"/>
  <c r="AT78" i="7" a="1"/>
  <c r="AT78" i="7"/>
  <c r="AU78" i="7" a="1"/>
  <c r="AU78" i="7"/>
  <c r="AV78" i="7" a="1"/>
  <c r="AV78" i="7"/>
  <c r="AX78" i="7" a="1"/>
  <c r="AX78" i="7"/>
  <c r="AY78" i="7" a="1"/>
  <c r="AY78" i="7"/>
  <c r="AO77" i="7" a="1"/>
  <c r="AO77" i="7"/>
  <c r="AP77" i="7" a="1"/>
  <c r="AP77" i="7"/>
  <c r="AR77" i="7" a="1"/>
  <c r="AR77" i="7"/>
  <c r="AS77" i="7" a="1"/>
  <c r="AS77" i="7"/>
  <c r="AT77" i="7" a="1"/>
  <c r="AT77" i="7"/>
  <c r="AU77" i="7" a="1"/>
  <c r="AU77" i="7"/>
  <c r="AV77" i="7" a="1"/>
  <c r="AV77" i="7"/>
  <c r="AX77" i="7" a="1"/>
  <c r="AX77" i="7"/>
  <c r="AY77" i="7" a="1"/>
  <c r="AY77" i="7"/>
  <c r="AO76" i="7" a="1"/>
  <c r="AO76" i="7"/>
  <c r="AP76" i="7" a="1"/>
  <c r="AP76" i="7"/>
  <c r="AR76" i="7" a="1"/>
  <c r="AR76" i="7"/>
  <c r="AS76" i="7" a="1"/>
  <c r="AS76" i="7"/>
  <c r="AT76" i="7" a="1"/>
  <c r="AT76" i="7"/>
  <c r="AU76" i="7" a="1"/>
  <c r="AU76" i="7"/>
  <c r="AV76" i="7" a="1"/>
  <c r="AV76" i="7"/>
  <c r="AX76" i="7" a="1"/>
  <c r="AX76" i="7"/>
  <c r="AY76" i="7" a="1"/>
  <c r="AY76" i="7"/>
  <c r="P8" i="7"/>
  <c r="D12" i="19"/>
  <c r="D13" i="19"/>
  <c r="F12" i="19"/>
  <c r="E13" i="19"/>
  <c r="E12" i="19"/>
  <c r="F13" i="19"/>
  <c r="F16" i="19"/>
  <c r="E16" i="19"/>
  <c r="D16" i="19"/>
  <c r="C16" i="19"/>
  <c r="F17" i="19"/>
  <c r="E17" i="19"/>
  <c r="D17" i="19"/>
  <c r="C17" i="19"/>
  <c r="G120" i="20"/>
  <c r="H120" i="20"/>
  <c r="A112" i="20"/>
  <c r="B17" i="19"/>
  <c r="B16" i="19"/>
  <c r="J65" i="20"/>
  <c r="L65" i="20"/>
  <c r="M65" i="20"/>
  <c r="G40" i="20"/>
  <c r="H40" i="20"/>
  <c r="J47" i="20"/>
  <c r="L47" i="20"/>
  <c r="M47" i="20"/>
  <c r="J38" i="20"/>
  <c r="K169" i="18"/>
  <c r="L38" i="20"/>
  <c r="M169" i="18"/>
  <c r="M38" i="20"/>
  <c r="N169" i="18"/>
  <c r="J29" i="20"/>
  <c r="K29" i="20" s="1"/>
  <c r="L160" i="18" s="1"/>
  <c r="K160" i="18"/>
  <c r="L29" i="20"/>
  <c r="M160" i="18"/>
  <c r="M29" i="20"/>
  <c r="N160" i="18"/>
  <c r="A481" i="5"/>
  <c r="A469" i="5"/>
  <c r="A215" i="5"/>
  <c r="A203" i="5"/>
  <c r="A264" i="5"/>
  <c r="A252" i="5"/>
  <c r="A383" i="5"/>
  <c r="A371" i="5"/>
  <c r="Y120" i="7"/>
  <c r="E120" i="20" s="1"/>
  <c r="B332" i="5"/>
  <c r="N332" i="5"/>
  <c r="B282" i="5"/>
  <c r="N282" i="5"/>
  <c r="B281" i="5"/>
  <c r="N281" i="5"/>
  <c r="B280" i="5"/>
  <c r="N280" i="5"/>
  <c r="B279" i="5"/>
  <c r="N279" i="5"/>
  <c r="B277" i="5"/>
  <c r="N277" i="5"/>
  <c r="B234" i="5"/>
  <c r="N234" i="5"/>
  <c r="Y66" i="7"/>
  <c r="E66" i="20"/>
  <c r="Y48" i="7"/>
  <c r="E48" i="20"/>
  <c r="U256" i="7"/>
  <c r="B256" i="20"/>
  <c r="U238" i="7"/>
  <c r="B238" i="20"/>
  <c r="U220" i="7"/>
  <c r="B220" i="20"/>
  <c r="U257" i="7"/>
  <c r="B257" i="20"/>
  <c r="U239" i="7"/>
  <c r="B239" i="20"/>
  <c r="U221" i="7"/>
  <c r="B221" i="20"/>
  <c r="U59" i="7"/>
  <c r="B59" i="20"/>
  <c r="U41" i="7"/>
  <c r="B41" i="20"/>
  <c r="U23" i="7"/>
  <c r="B23" i="20"/>
  <c r="C154" i="18"/>
  <c r="U258" i="7"/>
  <c r="B258" i="20"/>
  <c r="U240" i="7"/>
  <c r="B240" i="20"/>
  <c r="U222" i="7"/>
  <c r="B222" i="20"/>
  <c r="U60" i="7"/>
  <c r="B60" i="20"/>
  <c r="U42" i="7"/>
  <c r="B42" i="20"/>
  <c r="U24" i="7"/>
  <c r="B24" i="20"/>
  <c r="C155" i="18"/>
  <c r="U259" i="7"/>
  <c r="B259" i="20"/>
  <c r="U241" i="7"/>
  <c r="B241" i="20"/>
  <c r="U223" i="7"/>
  <c r="B223" i="20"/>
  <c r="U61" i="7"/>
  <c r="B61" i="20"/>
  <c r="U43" i="7"/>
  <c r="B43" i="20"/>
  <c r="U25" i="7"/>
  <c r="B25" i="20"/>
  <c r="C156" i="18"/>
  <c r="U260" i="7"/>
  <c r="B260" i="20"/>
  <c r="U242" i="7"/>
  <c r="B242" i="20"/>
  <c r="U224" i="7"/>
  <c r="B224" i="20"/>
  <c r="U261" i="7"/>
  <c r="B261" i="20"/>
  <c r="U243" i="7"/>
  <c r="B243" i="20"/>
  <c r="U225" i="7"/>
  <c r="B225" i="20"/>
  <c r="U63" i="7"/>
  <c r="B63" i="20"/>
  <c r="U45" i="7"/>
  <c r="B45" i="20"/>
  <c r="U27" i="7"/>
  <c r="B27" i="20"/>
  <c r="C158" i="18"/>
  <c r="U265" i="7"/>
  <c r="B265" i="20"/>
  <c r="U247" i="7"/>
  <c r="B247" i="20"/>
  <c r="U229" i="7"/>
  <c r="B229" i="20"/>
  <c r="U266" i="7"/>
  <c r="B266" i="20"/>
  <c r="U248" i="7"/>
  <c r="B248" i="20"/>
  <c r="U230" i="7"/>
  <c r="B230" i="20"/>
  <c r="U158" i="7"/>
  <c r="B158" i="20"/>
  <c r="U32" i="7"/>
  <c r="B32" i="20"/>
  <c r="C163" i="18"/>
  <c r="U267" i="7"/>
  <c r="B267" i="20"/>
  <c r="U249" i="7"/>
  <c r="B249" i="20"/>
  <c r="U231" i="7"/>
  <c r="B231" i="20"/>
  <c r="U159" i="7"/>
  <c r="B159" i="20"/>
  <c r="U105" i="7"/>
  <c r="B105" i="20"/>
  <c r="U33" i="7"/>
  <c r="B33" i="20"/>
  <c r="C164" i="18"/>
  <c r="U268" i="7"/>
  <c r="B268" i="20"/>
  <c r="U250" i="7"/>
  <c r="B250" i="20"/>
  <c r="U232" i="7"/>
  <c r="B232" i="20"/>
  <c r="U160" i="7"/>
  <c r="B160" i="20"/>
  <c r="U34" i="7"/>
  <c r="B34" i="20"/>
  <c r="C165" i="18"/>
  <c r="U269" i="7"/>
  <c r="B269" i="20"/>
  <c r="U251" i="7"/>
  <c r="B251" i="20"/>
  <c r="U233" i="7"/>
  <c r="B233" i="20"/>
  <c r="U270" i="7"/>
  <c r="B270" i="20"/>
  <c r="U252" i="7"/>
  <c r="B252" i="20"/>
  <c r="U234" i="7"/>
  <c r="B234" i="20"/>
  <c r="U162" i="7"/>
  <c r="B162" i="20"/>
  <c r="U36" i="7"/>
  <c r="B36" i="20"/>
  <c r="C167" i="18"/>
  <c r="G129" i="17" a="1"/>
  <c r="G129" i="17"/>
  <c r="C103" i="17" a="1"/>
  <c r="C103" i="17"/>
  <c r="B352" i="5"/>
  <c r="N352" i="5"/>
  <c r="C104" i="17" a="1"/>
  <c r="C104" i="17"/>
  <c r="B353" i="5"/>
  <c r="N353" i="5"/>
  <c r="C105" i="17" a="1"/>
  <c r="C105" i="17"/>
  <c r="B354" i="5"/>
  <c r="N354" i="5"/>
  <c r="C106" i="17" a="1"/>
  <c r="C106" i="17"/>
  <c r="B355" i="5"/>
  <c r="N355" i="5"/>
  <c r="C107" i="17" a="1"/>
  <c r="C107" i="17"/>
  <c r="B356" i="5"/>
  <c r="N356" i="5"/>
  <c r="C108" i="17" a="1"/>
  <c r="C108" i="17"/>
  <c r="B357" i="5"/>
  <c r="N357" i="5"/>
  <c r="C109" i="17" a="1"/>
  <c r="C109" i="17"/>
  <c r="B358" i="5"/>
  <c r="N358" i="5"/>
  <c r="C110" i="17" a="1"/>
  <c r="C110" i="17"/>
  <c r="B359" i="5"/>
  <c r="N359" i="5"/>
  <c r="H47" i="17" a="1"/>
  <c r="H47" i="17"/>
  <c r="B177" i="5"/>
  <c r="N177" i="5"/>
  <c r="H48" i="17" a="1"/>
  <c r="H48" i="17"/>
  <c r="B178" i="5"/>
  <c r="N178" i="5"/>
  <c r="H49" i="17" a="1"/>
  <c r="H49" i="17"/>
  <c r="H50" i="17" a="1"/>
  <c r="H50" i="17"/>
  <c r="B180" i="5"/>
  <c r="N180" i="5"/>
  <c r="H51" i="17" a="1"/>
  <c r="H51" i="17"/>
  <c r="H52" i="17" a="1"/>
  <c r="H52" i="17"/>
  <c r="H53" i="17" a="1"/>
  <c r="H53" i="17"/>
  <c r="H54" i="17" a="1"/>
  <c r="H54" i="17"/>
  <c r="H61" i="17" a="1"/>
  <c r="H61" i="17"/>
  <c r="B226" i="5"/>
  <c r="N226" i="5"/>
  <c r="H62" i="17" a="1"/>
  <c r="H62" i="17"/>
  <c r="B227" i="5"/>
  <c r="N227" i="5"/>
  <c r="H63" i="17" a="1"/>
  <c r="H63" i="17"/>
  <c r="H64" i="17" a="1"/>
  <c r="H64" i="17"/>
  <c r="B229" i="5"/>
  <c r="N229" i="5"/>
  <c r="H65" i="17" a="1"/>
  <c r="H65" i="17"/>
  <c r="H66" i="17" a="1"/>
  <c r="H66" i="17"/>
  <c r="H67" i="17" a="1"/>
  <c r="H67" i="17"/>
  <c r="H68" i="17" a="1"/>
  <c r="H68" i="17"/>
  <c r="U5" i="7"/>
  <c r="B5" i="20"/>
  <c r="C136" i="18"/>
  <c r="U6" i="7"/>
  <c r="B6" i="20"/>
  <c r="C137" i="18"/>
  <c r="U7" i="7"/>
  <c r="B7" i="20"/>
  <c r="C138" i="18"/>
  <c r="U14" i="7"/>
  <c r="B14" i="20"/>
  <c r="C145" i="18"/>
  <c r="U15" i="7"/>
  <c r="B15" i="20"/>
  <c r="C146" i="18"/>
  <c r="U16" i="7"/>
  <c r="B16" i="20"/>
  <c r="C147" i="18"/>
  <c r="N324" i="5"/>
  <c r="B325" i="5"/>
  <c r="N325" i="5"/>
  <c r="B327" i="5"/>
  <c r="N327" i="5"/>
  <c r="C89" i="17" a="1"/>
  <c r="C89" i="17"/>
  <c r="B303" i="5"/>
  <c r="N303" i="5"/>
  <c r="C90" i="17" a="1"/>
  <c r="C90" i="17"/>
  <c r="B304" i="5"/>
  <c r="N304" i="5"/>
  <c r="C91" i="17" a="1"/>
  <c r="C91" i="17"/>
  <c r="B305" i="5"/>
  <c r="N305" i="5"/>
  <c r="C92" i="17" a="1"/>
  <c r="C92" i="17"/>
  <c r="B306" i="5"/>
  <c r="N306" i="5"/>
  <c r="C93" i="17" a="1"/>
  <c r="C93" i="17"/>
  <c r="B307" i="5"/>
  <c r="N307" i="5"/>
  <c r="C94" i="17" a="1"/>
  <c r="C94" i="17"/>
  <c r="B308" i="5"/>
  <c r="N308" i="5"/>
  <c r="C95" i="17" a="1"/>
  <c r="C95" i="17"/>
  <c r="B309" i="5"/>
  <c r="N309" i="5"/>
  <c r="C96" i="17" a="1"/>
  <c r="C96" i="17"/>
  <c r="B310" i="5"/>
  <c r="N310" i="5"/>
  <c r="H33" i="17" a="1"/>
  <c r="H33" i="17"/>
  <c r="B128" i="5"/>
  <c r="N128" i="5"/>
  <c r="H34" i="17" a="1"/>
  <c r="H34" i="17"/>
  <c r="B129" i="5"/>
  <c r="N129" i="5"/>
  <c r="H35" i="17" a="1"/>
  <c r="H35" i="17"/>
  <c r="H36" i="17" a="1"/>
  <c r="H36" i="17"/>
  <c r="B131" i="5"/>
  <c r="N131" i="5"/>
  <c r="H37" i="17" a="1"/>
  <c r="H37" i="17"/>
  <c r="H38" i="17" a="1"/>
  <c r="H38" i="17"/>
  <c r="H39" i="17" a="1"/>
  <c r="H39" i="17"/>
  <c r="H40" i="17" a="1"/>
  <c r="H40" i="17"/>
  <c r="A69" i="17" a="1"/>
  <c r="A69" i="17"/>
  <c r="A68" i="17" a="1"/>
  <c r="A68" i="17"/>
  <c r="A67" i="17" a="1"/>
  <c r="A67" i="17"/>
  <c r="A66" i="17" a="1"/>
  <c r="A66" i="17"/>
  <c r="A65" i="17" a="1"/>
  <c r="A65" i="17"/>
  <c r="A64" i="17" a="1"/>
  <c r="A64" i="17"/>
  <c r="A63" i="17" a="1"/>
  <c r="A63" i="17"/>
  <c r="A62" i="17" a="1"/>
  <c r="A62" i="17"/>
  <c r="A61" i="17" a="1"/>
  <c r="A61" i="17"/>
  <c r="W106" i="7"/>
  <c r="D106" i="20" s="1"/>
  <c r="F106" i="20" s="1"/>
  <c r="U106" i="7"/>
  <c r="B106" i="20"/>
  <c r="W104" i="7"/>
  <c r="D104" i="20" s="1"/>
  <c r="F104" i="20" s="1"/>
  <c r="U104" i="7"/>
  <c r="B104" i="20"/>
  <c r="A83" i="17" a="1"/>
  <c r="A83" i="17"/>
  <c r="C83" i="17" a="1"/>
  <c r="C83" i="17"/>
  <c r="B262" i="5"/>
  <c r="N262" i="5"/>
  <c r="A82" i="17" a="1"/>
  <c r="A82" i="17"/>
  <c r="A81" i="17" a="1"/>
  <c r="A81" i="17"/>
  <c r="A80" i="17" a="1"/>
  <c r="A80" i="17"/>
  <c r="A79" i="17" a="1"/>
  <c r="A79" i="17"/>
  <c r="A78" i="17" a="1"/>
  <c r="A78" i="17"/>
  <c r="A77" i="17" a="1"/>
  <c r="A77" i="17"/>
  <c r="A76" i="17" a="1"/>
  <c r="A76" i="17"/>
  <c r="A75" i="17" a="1"/>
  <c r="A75" i="17"/>
  <c r="F111" i="17" a="1"/>
  <c r="F111" i="17"/>
  <c r="H111" i="17" a="1"/>
  <c r="H111" i="17"/>
  <c r="F110" i="17" a="1"/>
  <c r="F110" i="17"/>
  <c r="F109" i="17" a="1"/>
  <c r="F109" i="17"/>
  <c r="F108" i="17" a="1"/>
  <c r="F108" i="17"/>
  <c r="F107" i="17" a="1"/>
  <c r="F107" i="17"/>
  <c r="F106" i="17" a="1"/>
  <c r="F106" i="17"/>
  <c r="F105" i="17" a="1"/>
  <c r="F105" i="17"/>
  <c r="F104" i="17" a="1"/>
  <c r="F104" i="17"/>
  <c r="F103" i="17" a="1"/>
  <c r="F103" i="17"/>
  <c r="W161" i="7"/>
  <c r="W62" i="7"/>
  <c r="D62" i="20"/>
  <c r="W44" i="7"/>
  <c r="D44" i="20"/>
  <c r="W35" i="7"/>
  <c r="D35" i="20"/>
  <c r="W26" i="7"/>
  <c r="D26" i="20"/>
  <c r="U161" i="7"/>
  <c r="B161" i="20"/>
  <c r="U107" i="7"/>
  <c r="B107" i="20"/>
  <c r="U62" i="7"/>
  <c r="B62" i="20"/>
  <c r="U44" i="7"/>
  <c r="B44" i="20"/>
  <c r="U35" i="7"/>
  <c r="B35" i="20"/>
  <c r="C166" i="18"/>
  <c r="U26" i="7"/>
  <c r="B26" i="20"/>
  <c r="C157" i="18"/>
  <c r="U18" i="7"/>
  <c r="B18" i="20"/>
  <c r="C149" i="18"/>
  <c r="U9" i="7"/>
  <c r="B9" i="20"/>
  <c r="C140" i="18"/>
  <c r="B21" i="4" a="1"/>
  <c r="B21" i="4"/>
  <c r="I16" i="4" a="1"/>
  <c r="I16" i="4"/>
  <c r="R492" i="5"/>
  <c r="A495" i="5"/>
  <c r="BV6" i="7"/>
  <c r="BV7" i="7"/>
  <c r="BV8" i="7"/>
  <c r="BV9" i="7"/>
  <c r="BV10" i="7"/>
  <c r="BV11" i="7"/>
  <c r="BV12" i="7"/>
  <c r="BV13" i="7"/>
  <c r="BV14" i="7"/>
  <c r="BW6" i="7"/>
  <c r="BW7" i="7"/>
  <c r="BW8" i="7"/>
  <c r="BW9" i="7"/>
  <c r="BW10" i="7"/>
  <c r="BW11" i="7"/>
  <c r="BW12" i="7"/>
  <c r="BW13" i="7"/>
  <c r="BW14" i="7"/>
  <c r="BY6" i="7"/>
  <c r="BY7" i="7"/>
  <c r="BY8" i="7"/>
  <c r="BY9" i="7"/>
  <c r="BY10" i="7"/>
  <c r="BY11" i="7"/>
  <c r="BY12" i="7"/>
  <c r="BY13" i="7"/>
  <c r="BY14" i="7"/>
  <c r="F26" i="20"/>
  <c r="G157" i="18"/>
  <c r="E157" i="18"/>
  <c r="F35" i="20"/>
  <c r="G166" i="18"/>
  <c r="E166" i="18"/>
  <c r="J160" i="18"/>
  <c r="AD38" i="20"/>
  <c r="AE169" i="18"/>
  <c r="J169" i="18"/>
  <c r="AE44" i="20"/>
  <c r="AC44" i="20"/>
  <c r="AB44" i="20"/>
  <c r="AA44" i="20"/>
  <c r="Z44" i="20"/>
  <c r="Y44" i="20"/>
  <c r="X44" i="20"/>
  <c r="W44" i="20"/>
  <c r="V44" i="20"/>
  <c r="AE45" i="20"/>
  <c r="AC45" i="20"/>
  <c r="AB45" i="20"/>
  <c r="AA45" i="20"/>
  <c r="Z45" i="20"/>
  <c r="Y45" i="20"/>
  <c r="X45" i="20"/>
  <c r="W45" i="20"/>
  <c r="V45" i="20"/>
  <c r="AE43" i="20"/>
  <c r="AC43" i="20"/>
  <c r="AB43" i="20"/>
  <c r="AA43" i="20"/>
  <c r="Z43" i="20"/>
  <c r="Y43" i="20"/>
  <c r="X43" i="20"/>
  <c r="W43" i="20"/>
  <c r="V43" i="20"/>
  <c r="AE42" i="20"/>
  <c r="AC42" i="20"/>
  <c r="AB42" i="20"/>
  <c r="AA42" i="20"/>
  <c r="W42" i="20"/>
  <c r="AE41" i="20"/>
  <c r="AC41" i="20"/>
  <c r="AB41" i="20"/>
  <c r="AA41" i="20"/>
  <c r="Z41" i="20"/>
  <c r="Y41" i="20"/>
  <c r="X41" i="20"/>
  <c r="W41" i="20"/>
  <c r="V41" i="20"/>
  <c r="U134" i="7"/>
  <c r="B134" i="20"/>
  <c r="U117" i="7"/>
  <c r="B117" i="20"/>
  <c r="U114" i="7"/>
  <c r="B114" i="20"/>
  <c r="U116" i="7"/>
  <c r="B116" i="20"/>
  <c r="U132" i="7"/>
  <c r="B132" i="20"/>
  <c r="U108" i="7"/>
  <c r="B108" i="20"/>
  <c r="U135" i="7"/>
  <c r="B135" i="20"/>
  <c r="AE9" i="20"/>
  <c r="AF140" i="18"/>
  <c r="AC9" i="20"/>
  <c r="AD140" i="18"/>
  <c r="AB9" i="20"/>
  <c r="AC140" i="18"/>
  <c r="AA9" i="20"/>
  <c r="AB140" i="18"/>
  <c r="Z9" i="20"/>
  <c r="AA140" i="18"/>
  <c r="Y9" i="20"/>
  <c r="Z140" i="18"/>
  <c r="X9" i="20"/>
  <c r="Y140" i="18"/>
  <c r="W9" i="20"/>
  <c r="X140" i="18"/>
  <c r="V9" i="20"/>
  <c r="W140" i="18"/>
  <c r="AE18" i="20"/>
  <c r="AF149" i="18"/>
  <c r="AC18" i="20"/>
  <c r="AD149" i="18"/>
  <c r="AB18" i="20"/>
  <c r="AC149" i="18"/>
  <c r="AA18" i="20"/>
  <c r="AB149" i="18"/>
  <c r="Z18" i="20"/>
  <c r="AA149" i="18"/>
  <c r="Y18" i="20"/>
  <c r="Z149" i="18"/>
  <c r="X18" i="20"/>
  <c r="Y149" i="18"/>
  <c r="W18" i="20"/>
  <c r="X149" i="18"/>
  <c r="V18" i="20"/>
  <c r="W149" i="18"/>
  <c r="AE26" i="20"/>
  <c r="AF157" i="18"/>
  <c r="AC26" i="20"/>
  <c r="AD157" i="18"/>
  <c r="AB26" i="20"/>
  <c r="AC157" i="18"/>
  <c r="Z26" i="20"/>
  <c r="AA157" i="18"/>
  <c r="Y26" i="20"/>
  <c r="Z157" i="18"/>
  <c r="X26" i="20"/>
  <c r="Y157" i="18"/>
  <c r="W26" i="20"/>
  <c r="X157" i="18"/>
  <c r="V26" i="20"/>
  <c r="W157" i="18"/>
  <c r="AE35" i="20"/>
  <c r="AF166" i="18"/>
  <c r="AC35" i="20"/>
  <c r="AD166" i="18"/>
  <c r="AB35" i="20"/>
  <c r="AC166" i="18"/>
  <c r="AA35" i="20"/>
  <c r="AB166" i="18"/>
  <c r="Z35" i="20"/>
  <c r="AA166" i="18"/>
  <c r="Y35" i="20"/>
  <c r="Z166" i="18"/>
  <c r="X35" i="20"/>
  <c r="Y166" i="18"/>
  <c r="W35" i="20"/>
  <c r="X166" i="18"/>
  <c r="V35" i="20"/>
  <c r="W166" i="18"/>
  <c r="AE16" i="20"/>
  <c r="AF147" i="18"/>
  <c r="AC16" i="20"/>
  <c r="AD147" i="18"/>
  <c r="AB16" i="20"/>
  <c r="AC147" i="18"/>
  <c r="AA16" i="20"/>
  <c r="AB147" i="18"/>
  <c r="Z16" i="20"/>
  <c r="AA147" i="18"/>
  <c r="Y16" i="20"/>
  <c r="Z147" i="18"/>
  <c r="X16" i="20"/>
  <c r="Y147" i="18"/>
  <c r="W16" i="20"/>
  <c r="X147" i="18"/>
  <c r="V16" i="20"/>
  <c r="W147" i="18"/>
  <c r="AE15" i="20"/>
  <c r="AF146" i="18"/>
  <c r="AC15" i="20"/>
  <c r="AD146" i="18"/>
  <c r="AB15" i="20"/>
  <c r="AC146" i="18"/>
  <c r="AA15" i="20"/>
  <c r="AB146" i="18"/>
  <c r="Z15" i="20"/>
  <c r="AA146" i="18"/>
  <c r="Y15" i="20"/>
  <c r="Z146" i="18"/>
  <c r="X15" i="20"/>
  <c r="Y146" i="18"/>
  <c r="W15" i="20"/>
  <c r="X146" i="18"/>
  <c r="V15" i="20"/>
  <c r="W146" i="18"/>
  <c r="AE14" i="20"/>
  <c r="AF145" i="18"/>
  <c r="AC14" i="20"/>
  <c r="AD145" i="18"/>
  <c r="AB14" i="20"/>
  <c r="AC145" i="18"/>
  <c r="W14" i="20"/>
  <c r="X145" i="18"/>
  <c r="AE7" i="20"/>
  <c r="AF138" i="18"/>
  <c r="AC7" i="20"/>
  <c r="AD138" i="18"/>
  <c r="AB7" i="20"/>
  <c r="AC138" i="18"/>
  <c r="AA7" i="20"/>
  <c r="AB138" i="18"/>
  <c r="Z7" i="20"/>
  <c r="AA138" i="18"/>
  <c r="Y7" i="20"/>
  <c r="Z138" i="18"/>
  <c r="X7" i="20"/>
  <c r="Y138" i="18"/>
  <c r="W7" i="20"/>
  <c r="X138" i="18"/>
  <c r="V7" i="20"/>
  <c r="W138" i="18"/>
  <c r="AE6" i="20"/>
  <c r="AF137" i="18"/>
  <c r="AC6" i="20"/>
  <c r="AD137" i="18"/>
  <c r="AB6" i="20"/>
  <c r="AC137" i="18"/>
  <c r="W6" i="20"/>
  <c r="X137" i="18"/>
  <c r="AE5" i="20"/>
  <c r="AF136" i="18"/>
  <c r="AC5" i="20"/>
  <c r="AD136" i="18"/>
  <c r="AB5" i="20"/>
  <c r="AC136" i="18"/>
  <c r="AA5" i="20"/>
  <c r="AB136" i="18"/>
  <c r="Z5" i="20"/>
  <c r="AA136" i="18"/>
  <c r="Y5" i="20"/>
  <c r="Z136" i="18"/>
  <c r="X5" i="20"/>
  <c r="Y136" i="18"/>
  <c r="W5" i="20"/>
  <c r="X136" i="18"/>
  <c r="V5" i="20"/>
  <c r="W136" i="18"/>
  <c r="AE36" i="20"/>
  <c r="AF167" i="18"/>
  <c r="AC36" i="20"/>
  <c r="AD167" i="18"/>
  <c r="AB36" i="20"/>
  <c r="AC167" i="18"/>
  <c r="AA36" i="20"/>
  <c r="AB167" i="18"/>
  <c r="Z36" i="20"/>
  <c r="AA167" i="18"/>
  <c r="Y36" i="20"/>
  <c r="Z167" i="18"/>
  <c r="X36" i="20"/>
  <c r="Y167" i="18"/>
  <c r="W36" i="20"/>
  <c r="X167" i="18"/>
  <c r="V36" i="20"/>
  <c r="W167" i="18"/>
  <c r="AE34" i="20"/>
  <c r="AF165" i="18"/>
  <c r="AC34" i="20"/>
  <c r="AD165" i="18"/>
  <c r="AB34" i="20"/>
  <c r="AC165" i="18"/>
  <c r="AA34" i="20"/>
  <c r="AB165" i="18"/>
  <c r="Z34" i="20"/>
  <c r="AA165" i="18"/>
  <c r="Y34" i="20"/>
  <c r="Z165" i="18"/>
  <c r="X34" i="20"/>
  <c r="Y165" i="18"/>
  <c r="W34" i="20"/>
  <c r="X165" i="18"/>
  <c r="V34" i="20"/>
  <c r="W165" i="18"/>
  <c r="AE33" i="20"/>
  <c r="AF164" i="18"/>
  <c r="AC33" i="20"/>
  <c r="AD164" i="18"/>
  <c r="AB33" i="20"/>
  <c r="AC164" i="18"/>
  <c r="AA33" i="20"/>
  <c r="AB164" i="18"/>
  <c r="Z33" i="20"/>
  <c r="AA164" i="18"/>
  <c r="Y33" i="20"/>
  <c r="Z164" i="18"/>
  <c r="X33" i="20"/>
  <c r="Y164" i="18"/>
  <c r="W33" i="20"/>
  <c r="X164" i="18"/>
  <c r="V33" i="20"/>
  <c r="W164" i="18"/>
  <c r="AE32" i="20"/>
  <c r="AF163" i="18"/>
  <c r="AC32" i="20"/>
  <c r="AD163" i="18"/>
  <c r="AB32" i="20"/>
  <c r="AC163" i="18"/>
  <c r="AA32" i="20"/>
  <c r="AB163" i="18"/>
  <c r="Z32" i="20"/>
  <c r="AA163" i="18"/>
  <c r="Y32" i="20"/>
  <c r="Z163" i="18"/>
  <c r="X32" i="20"/>
  <c r="Y163" i="18"/>
  <c r="W32" i="20"/>
  <c r="X163" i="18"/>
  <c r="V32" i="20"/>
  <c r="W163" i="18"/>
  <c r="AE27" i="20"/>
  <c r="AF158" i="18"/>
  <c r="AC27" i="20"/>
  <c r="AD158" i="18"/>
  <c r="AB27" i="20"/>
  <c r="AC158" i="18"/>
  <c r="AA27" i="20"/>
  <c r="AB158" i="18"/>
  <c r="Z27" i="20"/>
  <c r="AA158" i="18"/>
  <c r="Y27" i="20"/>
  <c r="Z158" i="18"/>
  <c r="X27" i="20"/>
  <c r="Y158" i="18"/>
  <c r="W27" i="20"/>
  <c r="X158" i="18"/>
  <c r="V27" i="20"/>
  <c r="W158" i="18"/>
  <c r="AE25" i="20"/>
  <c r="AF156" i="18"/>
  <c r="AC25" i="20"/>
  <c r="AD156" i="18"/>
  <c r="AB25" i="20"/>
  <c r="AC156" i="18"/>
  <c r="AA25" i="20"/>
  <c r="AB156" i="18"/>
  <c r="Z25" i="20"/>
  <c r="AA156" i="18"/>
  <c r="Y25" i="20"/>
  <c r="Z156" i="18"/>
  <c r="X25" i="20"/>
  <c r="Y156" i="18"/>
  <c r="W25" i="20"/>
  <c r="X156" i="18"/>
  <c r="V25" i="20"/>
  <c r="W156" i="18"/>
  <c r="AE24" i="20"/>
  <c r="AF155" i="18"/>
  <c r="AC24" i="20"/>
  <c r="AD155" i="18"/>
  <c r="AB24" i="20"/>
  <c r="AC155" i="18"/>
  <c r="AA24" i="20"/>
  <c r="AB155" i="18"/>
  <c r="Z24" i="20"/>
  <c r="AA155" i="18"/>
  <c r="Y24" i="20"/>
  <c r="Z155" i="18"/>
  <c r="X24" i="20"/>
  <c r="Y155" i="18"/>
  <c r="W24" i="20"/>
  <c r="X155" i="18"/>
  <c r="V24" i="20"/>
  <c r="W155" i="18"/>
  <c r="AE23" i="20"/>
  <c r="AF154" i="18"/>
  <c r="AC23" i="20"/>
  <c r="AD154" i="18"/>
  <c r="AB23" i="20"/>
  <c r="AC154" i="18"/>
  <c r="AA23" i="20"/>
  <c r="AB154" i="18"/>
  <c r="Z23" i="20"/>
  <c r="AA154" i="18"/>
  <c r="Y23" i="20"/>
  <c r="Z154" i="18"/>
  <c r="X23" i="20"/>
  <c r="Y154" i="18"/>
  <c r="W23" i="20"/>
  <c r="X154" i="18"/>
  <c r="V23" i="20"/>
  <c r="W154" i="18"/>
  <c r="H13" i="20"/>
  <c r="I144" i="18"/>
  <c r="G13" i="20"/>
  <c r="H144" i="18"/>
  <c r="H39" i="20"/>
  <c r="I170" i="18"/>
  <c r="G39" i="20"/>
  <c r="H170" i="18"/>
  <c r="H4" i="20"/>
  <c r="I135" i="18"/>
  <c r="G4" i="20"/>
  <c r="H135" i="18"/>
  <c r="Y266" i="7"/>
  <c r="L691" i="5"/>
  <c r="Y248" i="7"/>
  <c r="L642" i="5"/>
  <c r="Y230" i="7"/>
  <c r="L593" i="5"/>
  <c r="L397" i="5"/>
  <c r="Y157" i="7"/>
  <c r="X327" i="5"/>
  <c r="AH124" i="7"/>
  <c r="W327" i="5"/>
  <c r="AG124" i="7"/>
  <c r="V327" i="5"/>
  <c r="AF124" i="7"/>
  <c r="U327" i="5"/>
  <c r="AE124" i="7"/>
  <c r="T327" i="5"/>
  <c r="AD124" i="7"/>
  <c r="S327" i="5"/>
  <c r="AC124" i="7"/>
  <c r="H124" i="20" s="1"/>
  <c r="R327" i="5"/>
  <c r="AB124" i="7"/>
  <c r="G124" i="20" s="1"/>
  <c r="Q327" i="5"/>
  <c r="AA124" i="7"/>
  <c r="P327" i="5"/>
  <c r="Z124" i="7"/>
  <c r="O327" i="5"/>
  <c r="Y124" i="7"/>
  <c r="E124" i="20" s="1"/>
  <c r="X124" i="7"/>
  <c r="M327" i="5"/>
  <c r="X325" i="5"/>
  <c r="AH122" i="7"/>
  <c r="W325" i="5"/>
  <c r="AG122" i="7"/>
  <c r="V325" i="5"/>
  <c r="AF122" i="7"/>
  <c r="U325" i="5"/>
  <c r="AE122" i="7"/>
  <c r="T325" i="5"/>
  <c r="AD122" i="7"/>
  <c r="S325" i="5"/>
  <c r="AC122" i="7"/>
  <c r="H122" i="20" s="1"/>
  <c r="R325" i="5"/>
  <c r="AB122" i="7"/>
  <c r="G122" i="20" s="1"/>
  <c r="Q325" i="5"/>
  <c r="AA122" i="7"/>
  <c r="P325" i="5"/>
  <c r="Z122" i="7"/>
  <c r="O325" i="5"/>
  <c r="Y122" i="7"/>
  <c r="E122" i="20" s="1"/>
  <c r="X122" i="7"/>
  <c r="M325" i="5"/>
  <c r="X324" i="5"/>
  <c r="AH121" i="7"/>
  <c r="W324" i="5"/>
  <c r="AG121" i="7"/>
  <c r="V324" i="5"/>
  <c r="AF121" i="7"/>
  <c r="U324" i="5"/>
  <c r="AE121" i="7"/>
  <c r="T324" i="5"/>
  <c r="AD121" i="7"/>
  <c r="S324" i="5"/>
  <c r="AC121" i="7"/>
  <c r="H121" i="20" s="1"/>
  <c r="R324" i="5"/>
  <c r="AB121" i="7"/>
  <c r="G121" i="20" s="1"/>
  <c r="Q324" i="5"/>
  <c r="AA121" i="7"/>
  <c r="P324" i="5"/>
  <c r="Z121" i="7"/>
  <c r="O324" i="5"/>
  <c r="X121" i="7"/>
  <c r="M324" i="5"/>
  <c r="X332" i="5"/>
  <c r="AH129" i="7"/>
  <c r="W332" i="5"/>
  <c r="AG129" i="7"/>
  <c r="V332" i="5"/>
  <c r="AF129" i="7"/>
  <c r="U332" i="5"/>
  <c r="AE129" i="7"/>
  <c r="T332" i="5"/>
  <c r="AD129" i="7"/>
  <c r="S332" i="5"/>
  <c r="AC129" i="7"/>
  <c r="H129" i="20" s="1"/>
  <c r="R332" i="5"/>
  <c r="AB129" i="7"/>
  <c r="G129" i="20" s="1"/>
  <c r="Q332" i="5"/>
  <c r="AA129" i="7"/>
  <c r="P332" i="5"/>
  <c r="Z129" i="7"/>
  <c r="O332" i="5"/>
  <c r="Y129" i="7"/>
  <c r="E129" i="20" s="1"/>
  <c r="X129" i="7"/>
  <c r="M332" i="5"/>
  <c r="X277" i="5"/>
  <c r="AH105" i="7"/>
  <c r="W277" i="5"/>
  <c r="AG105" i="7"/>
  <c r="V277" i="5"/>
  <c r="AF105" i="7"/>
  <c r="U277" i="5"/>
  <c r="AE105" i="7"/>
  <c r="T277" i="5"/>
  <c r="AD105" i="7"/>
  <c r="AC105" i="7"/>
  <c r="H105" i="20" s="1"/>
  <c r="R277" i="5"/>
  <c r="AB105" i="7"/>
  <c r="G105" i="20" s="1"/>
  <c r="Q277" i="5"/>
  <c r="AA105" i="7"/>
  <c r="P277" i="5"/>
  <c r="Z105" i="7"/>
  <c r="O277" i="5"/>
  <c r="X105" i="7"/>
  <c r="M277" i="5"/>
  <c r="W105" i="7"/>
  <c r="D105" i="20" s="1"/>
  <c r="F105" i="20" s="1"/>
  <c r="X279" i="5"/>
  <c r="AH107" i="7"/>
  <c r="W279" i="5"/>
  <c r="AG107" i="7"/>
  <c r="V279" i="5"/>
  <c r="AF107" i="7"/>
  <c r="U279" i="5"/>
  <c r="AE107" i="7"/>
  <c r="T279" i="5"/>
  <c r="AD107" i="7"/>
  <c r="S279" i="5"/>
  <c r="AC107" i="7"/>
  <c r="H107" i="20" s="1"/>
  <c r="R279" i="5"/>
  <c r="AB107" i="7"/>
  <c r="G107" i="20" s="1"/>
  <c r="Q279" i="5"/>
  <c r="AA107" i="7"/>
  <c r="P279" i="5"/>
  <c r="Z107" i="7"/>
  <c r="O279" i="5"/>
  <c r="Y107" i="7"/>
  <c r="E107" i="20" s="1"/>
  <c r="X107" i="7"/>
  <c r="M279" i="5"/>
  <c r="W107" i="7"/>
  <c r="D107" i="20" s="1"/>
  <c r="F107" i="20" s="1"/>
  <c r="X280" i="5"/>
  <c r="AH108" i="7"/>
  <c r="W280" i="5"/>
  <c r="AG108" i="7"/>
  <c r="V280" i="5"/>
  <c r="AF108" i="7"/>
  <c r="U280" i="5"/>
  <c r="AE108" i="7"/>
  <c r="T280" i="5"/>
  <c r="AD108" i="7"/>
  <c r="S280" i="5"/>
  <c r="AC108" i="7"/>
  <c r="H108" i="20" s="1"/>
  <c r="R280" i="5"/>
  <c r="AB108" i="7"/>
  <c r="G108" i="20" s="1"/>
  <c r="Q280" i="5"/>
  <c r="AA108" i="7"/>
  <c r="P280" i="5"/>
  <c r="Z108" i="7"/>
  <c r="O280" i="5"/>
  <c r="Y108" i="7"/>
  <c r="E108" i="20" s="1"/>
  <c r="X108" i="7"/>
  <c r="M280" i="5"/>
  <c r="W108" i="7"/>
  <c r="D108" i="20" s="1"/>
  <c r="F108" i="20" s="1"/>
  <c r="X281" i="5"/>
  <c r="AH109" i="7"/>
  <c r="W281" i="5"/>
  <c r="AG109" i="7"/>
  <c r="V281" i="5"/>
  <c r="AF109" i="7"/>
  <c r="U281" i="5"/>
  <c r="AE109" i="7"/>
  <c r="T281" i="5"/>
  <c r="AD109" i="7"/>
  <c r="S281" i="5"/>
  <c r="AC109" i="7"/>
  <c r="H109" i="20" s="1"/>
  <c r="R281" i="5"/>
  <c r="AB109" i="7"/>
  <c r="G109" i="20" s="1"/>
  <c r="Q281" i="5"/>
  <c r="AA109" i="7"/>
  <c r="P281" i="5"/>
  <c r="Z109" i="7"/>
  <c r="O281" i="5"/>
  <c r="Y109" i="7"/>
  <c r="E109" i="20" s="1"/>
  <c r="X109" i="7"/>
  <c r="M281" i="5"/>
  <c r="U110" i="7"/>
  <c r="B110" i="20"/>
  <c r="X282" i="5"/>
  <c r="AH110" i="7"/>
  <c r="W282" i="5"/>
  <c r="AG110" i="7"/>
  <c r="V282" i="5"/>
  <c r="AF110" i="7"/>
  <c r="U282" i="5"/>
  <c r="AE110" i="7"/>
  <c r="T282" i="5"/>
  <c r="AD110" i="7"/>
  <c r="S282" i="5"/>
  <c r="AC110" i="7"/>
  <c r="H110" i="20" s="1"/>
  <c r="R282" i="5"/>
  <c r="AB110" i="7"/>
  <c r="G110" i="20" s="1"/>
  <c r="Q282" i="5"/>
  <c r="AA110" i="7"/>
  <c r="P282" i="5"/>
  <c r="Z110" i="7"/>
  <c r="O282" i="5"/>
  <c r="Y110" i="7"/>
  <c r="E110" i="20" s="1"/>
  <c r="X110" i="7"/>
  <c r="M282" i="5"/>
  <c r="W110" i="7"/>
  <c r="D110" i="20" s="1"/>
  <c r="F110" i="20" s="1"/>
  <c r="Y103" i="7"/>
  <c r="E103" i="20" s="1"/>
  <c r="X229" i="5"/>
  <c r="AH88" i="7"/>
  <c r="W229" i="5"/>
  <c r="AG88" i="7"/>
  <c r="V229" i="5"/>
  <c r="AF88" i="7"/>
  <c r="U229" i="5"/>
  <c r="AE88" i="7"/>
  <c r="T229" i="5"/>
  <c r="AD88" i="7"/>
  <c r="S229" i="5"/>
  <c r="AC88" i="7"/>
  <c r="H88" i="20"/>
  <c r="R229" i="5"/>
  <c r="AB88" i="7"/>
  <c r="G88" i="20"/>
  <c r="Q229" i="5"/>
  <c r="AA88" i="7"/>
  <c r="P229" i="5"/>
  <c r="Z88" i="7"/>
  <c r="O229" i="5"/>
  <c r="Y88" i="7"/>
  <c r="E88" i="20"/>
  <c r="X88" i="7"/>
  <c r="M229" i="5"/>
  <c r="X227" i="5"/>
  <c r="AH86" i="7"/>
  <c r="W227" i="5"/>
  <c r="AG86" i="7"/>
  <c r="V227" i="5"/>
  <c r="AF86" i="7"/>
  <c r="U227" i="5"/>
  <c r="AE86" i="7"/>
  <c r="T227" i="5"/>
  <c r="AD86" i="7"/>
  <c r="S227" i="5"/>
  <c r="AC86" i="7"/>
  <c r="H86" i="20"/>
  <c r="R227" i="5"/>
  <c r="AB86" i="7"/>
  <c r="G86" i="20"/>
  <c r="Q227" i="5"/>
  <c r="AA86" i="7"/>
  <c r="P227" i="5"/>
  <c r="Z86" i="7"/>
  <c r="O227" i="5"/>
  <c r="Y86" i="7"/>
  <c r="E86" i="20"/>
  <c r="X86" i="7"/>
  <c r="M227" i="5"/>
  <c r="X226" i="5"/>
  <c r="AH85" i="7"/>
  <c r="W226" i="5"/>
  <c r="AG85" i="7"/>
  <c r="V226" i="5"/>
  <c r="AF85" i="7"/>
  <c r="U226" i="5"/>
  <c r="AE85" i="7"/>
  <c r="T226" i="5"/>
  <c r="AD85" i="7"/>
  <c r="S226" i="5"/>
  <c r="AC85" i="7"/>
  <c r="H85" i="20"/>
  <c r="R226" i="5"/>
  <c r="AB85" i="7"/>
  <c r="G85" i="20"/>
  <c r="Q226" i="5"/>
  <c r="AA85" i="7"/>
  <c r="P226" i="5"/>
  <c r="Z85" i="7"/>
  <c r="O226" i="5"/>
  <c r="X85" i="7"/>
  <c r="M226" i="5"/>
  <c r="X234" i="5"/>
  <c r="AH93" i="7"/>
  <c r="W234" i="5"/>
  <c r="AG93" i="7"/>
  <c r="V234" i="5"/>
  <c r="AF93" i="7"/>
  <c r="U234" i="5"/>
  <c r="AE93" i="7"/>
  <c r="T234" i="5"/>
  <c r="AD93" i="7"/>
  <c r="S234" i="5"/>
  <c r="AC93" i="7"/>
  <c r="H93" i="20"/>
  <c r="R234" i="5"/>
  <c r="AB93" i="7"/>
  <c r="G93" i="20"/>
  <c r="Q234" i="5"/>
  <c r="AA93" i="7"/>
  <c r="P234" i="5"/>
  <c r="Z93" i="7"/>
  <c r="O234" i="5"/>
  <c r="Y93" i="7"/>
  <c r="E93" i="20"/>
  <c r="X93" i="7"/>
  <c r="M234" i="5"/>
  <c r="U137" i="7"/>
  <c r="B137" i="20"/>
  <c r="X359" i="5"/>
  <c r="AH137" i="7"/>
  <c r="W359" i="5"/>
  <c r="AG137" i="7"/>
  <c r="V359" i="5"/>
  <c r="AF137" i="7"/>
  <c r="U359" i="5"/>
  <c r="AE137" i="7"/>
  <c r="T359" i="5"/>
  <c r="AD137" i="7"/>
  <c r="S359" i="5"/>
  <c r="AC137" i="7"/>
  <c r="R359" i="5"/>
  <c r="AB137" i="7"/>
  <c r="Q359" i="5"/>
  <c r="AA137" i="7"/>
  <c r="P359" i="5"/>
  <c r="Z137" i="7"/>
  <c r="O359" i="5"/>
  <c r="X137" i="7"/>
  <c r="M359" i="5"/>
  <c r="W137" i="7"/>
  <c r="X358" i="5"/>
  <c r="AH136" i="7"/>
  <c r="W358" i="5"/>
  <c r="AG136" i="7"/>
  <c r="V358" i="5"/>
  <c r="AF136" i="7"/>
  <c r="U358" i="5"/>
  <c r="AE136" i="7"/>
  <c r="T358" i="5"/>
  <c r="AD136" i="7"/>
  <c r="S358" i="5"/>
  <c r="AC136" i="7"/>
  <c r="R358" i="5"/>
  <c r="AB136" i="7"/>
  <c r="Q358" i="5"/>
  <c r="AA136" i="7"/>
  <c r="P358" i="5"/>
  <c r="Z136" i="7"/>
  <c r="O358" i="5"/>
  <c r="X136" i="7"/>
  <c r="M358" i="5"/>
  <c r="X357" i="5"/>
  <c r="AH135" i="7"/>
  <c r="W357" i="5"/>
  <c r="AG135" i="7"/>
  <c r="V357" i="5"/>
  <c r="AF135" i="7"/>
  <c r="U357" i="5"/>
  <c r="AE135" i="7"/>
  <c r="T357" i="5"/>
  <c r="AD135" i="7"/>
  <c r="S357" i="5"/>
  <c r="AC135" i="7"/>
  <c r="R357" i="5"/>
  <c r="AB135" i="7"/>
  <c r="Q357" i="5"/>
  <c r="AA135" i="7"/>
  <c r="P357" i="5"/>
  <c r="Z135" i="7"/>
  <c r="O357" i="5"/>
  <c r="X135" i="7"/>
  <c r="M357" i="5"/>
  <c r="W135" i="7"/>
  <c r="X356" i="5"/>
  <c r="AH134" i="7"/>
  <c r="W356" i="5"/>
  <c r="AG134" i="7"/>
  <c r="V356" i="5"/>
  <c r="AF134" i="7"/>
  <c r="U356" i="5"/>
  <c r="AE134" i="7"/>
  <c r="T356" i="5"/>
  <c r="AD134" i="7"/>
  <c r="S356" i="5"/>
  <c r="AC134" i="7"/>
  <c r="R356" i="5"/>
  <c r="AB134" i="7"/>
  <c r="Q356" i="5"/>
  <c r="AA134" i="7"/>
  <c r="P356" i="5"/>
  <c r="Z134" i="7"/>
  <c r="O356" i="5"/>
  <c r="X134" i="7"/>
  <c r="M356" i="5"/>
  <c r="W134" i="7"/>
  <c r="X355" i="5"/>
  <c r="AH133" i="7"/>
  <c r="W355" i="5"/>
  <c r="AG133" i="7"/>
  <c r="V355" i="5"/>
  <c r="AF133" i="7"/>
  <c r="U355" i="5"/>
  <c r="AE133" i="7"/>
  <c r="T355" i="5"/>
  <c r="AD133" i="7"/>
  <c r="S355" i="5"/>
  <c r="AC133" i="7"/>
  <c r="R355" i="5"/>
  <c r="AB133" i="7"/>
  <c r="Q355" i="5"/>
  <c r="AA133" i="7"/>
  <c r="P355" i="5"/>
  <c r="Z133" i="7"/>
  <c r="O355" i="5"/>
  <c r="X133" i="7"/>
  <c r="M355" i="5"/>
  <c r="X354" i="5"/>
  <c r="AH132" i="7"/>
  <c r="W354" i="5"/>
  <c r="AG132" i="7"/>
  <c r="V354" i="5"/>
  <c r="AF132" i="7"/>
  <c r="U354" i="5"/>
  <c r="AE132" i="7"/>
  <c r="T354" i="5"/>
  <c r="AD132" i="7"/>
  <c r="S354" i="5"/>
  <c r="AC132" i="7"/>
  <c r="R354" i="5"/>
  <c r="AB132" i="7"/>
  <c r="Q354" i="5"/>
  <c r="AA132" i="7"/>
  <c r="P354" i="5"/>
  <c r="Z132" i="7"/>
  <c r="O354" i="5"/>
  <c r="X132" i="7"/>
  <c r="M354" i="5"/>
  <c r="W132" i="7"/>
  <c r="X353" i="5"/>
  <c r="AH131" i="7"/>
  <c r="W353" i="5"/>
  <c r="AG131" i="7"/>
  <c r="V353" i="5"/>
  <c r="AF131" i="7"/>
  <c r="U353" i="5"/>
  <c r="AE131" i="7"/>
  <c r="T353" i="5"/>
  <c r="AD131" i="7"/>
  <c r="S353" i="5"/>
  <c r="AC131" i="7"/>
  <c r="R353" i="5"/>
  <c r="AB131" i="7"/>
  <c r="Q353" i="5"/>
  <c r="AA131" i="7"/>
  <c r="P353" i="5"/>
  <c r="Z131" i="7"/>
  <c r="O353" i="5"/>
  <c r="X131" i="7"/>
  <c r="M353" i="5"/>
  <c r="X352" i="5"/>
  <c r="AH130" i="7"/>
  <c r="W352" i="5"/>
  <c r="AG130" i="7"/>
  <c r="V352" i="5"/>
  <c r="AF130" i="7"/>
  <c r="U352" i="5"/>
  <c r="AE130" i="7"/>
  <c r="T352" i="5"/>
  <c r="AD130" i="7"/>
  <c r="S352" i="5"/>
  <c r="AC130" i="7"/>
  <c r="R352" i="5"/>
  <c r="AB130" i="7"/>
  <c r="Q352" i="5"/>
  <c r="AA130" i="7"/>
  <c r="P352" i="5"/>
  <c r="Z130" i="7"/>
  <c r="O352" i="5"/>
  <c r="L347" i="5"/>
  <c r="X130" i="7"/>
  <c r="M352" i="5"/>
  <c r="U119" i="7"/>
  <c r="B119" i="20"/>
  <c r="X310" i="5"/>
  <c r="AH119" i="7"/>
  <c r="W310" i="5"/>
  <c r="AG119" i="7"/>
  <c r="V310" i="5"/>
  <c r="AF119" i="7"/>
  <c r="U310" i="5"/>
  <c r="AE119" i="7"/>
  <c r="T310" i="5"/>
  <c r="AD119" i="7"/>
  <c r="S310" i="5"/>
  <c r="AC119" i="7"/>
  <c r="H119" i="20" s="1"/>
  <c r="R310" i="5"/>
  <c r="AB119" i="7"/>
  <c r="G119" i="20" s="1"/>
  <c r="Q310" i="5"/>
  <c r="AA119" i="7"/>
  <c r="P310" i="5"/>
  <c r="Z119" i="7"/>
  <c r="O310" i="5"/>
  <c r="X119" i="7"/>
  <c r="M310" i="5"/>
  <c r="W119" i="7"/>
  <c r="D119" i="20" s="1"/>
  <c r="X309" i="5"/>
  <c r="AH118" i="7"/>
  <c r="W309" i="5"/>
  <c r="AG118" i="7"/>
  <c r="V309" i="5"/>
  <c r="AF118" i="7"/>
  <c r="U309" i="5"/>
  <c r="AE118" i="7"/>
  <c r="T309" i="5"/>
  <c r="AD118" i="7"/>
  <c r="S309" i="5"/>
  <c r="AC118" i="7"/>
  <c r="H118" i="20" s="1"/>
  <c r="R309" i="5"/>
  <c r="AB118" i="7"/>
  <c r="G118" i="20" s="1"/>
  <c r="Q309" i="5"/>
  <c r="AA118" i="7"/>
  <c r="P309" i="5"/>
  <c r="Z118" i="7"/>
  <c r="O309" i="5"/>
  <c r="X118" i="7"/>
  <c r="M309" i="5"/>
  <c r="X308" i="5"/>
  <c r="AH117" i="7"/>
  <c r="W308" i="5"/>
  <c r="AG117" i="7"/>
  <c r="V308" i="5"/>
  <c r="AF117" i="7"/>
  <c r="U308" i="5"/>
  <c r="AE117" i="7"/>
  <c r="T308" i="5"/>
  <c r="AD117" i="7"/>
  <c r="S308" i="5"/>
  <c r="AC117" i="7"/>
  <c r="H117" i="20" s="1"/>
  <c r="R308" i="5"/>
  <c r="AB117" i="7"/>
  <c r="G117" i="20" s="1"/>
  <c r="Q308" i="5"/>
  <c r="AA117" i="7"/>
  <c r="P308" i="5"/>
  <c r="Z117" i="7"/>
  <c r="O308" i="5"/>
  <c r="X117" i="7"/>
  <c r="M308" i="5"/>
  <c r="W117" i="7"/>
  <c r="D117" i="20" s="1"/>
  <c r="X307" i="5"/>
  <c r="AH116" i="7"/>
  <c r="W307" i="5"/>
  <c r="AG116" i="7"/>
  <c r="V307" i="5"/>
  <c r="AF116" i="7"/>
  <c r="U307" i="5"/>
  <c r="AE116" i="7"/>
  <c r="T307" i="5"/>
  <c r="AD116" i="7"/>
  <c r="S307" i="5"/>
  <c r="AC116" i="7"/>
  <c r="H116" i="20" s="1"/>
  <c r="R307" i="5"/>
  <c r="AB116" i="7"/>
  <c r="G116" i="20" s="1"/>
  <c r="Q307" i="5"/>
  <c r="AA116" i="7"/>
  <c r="P307" i="5"/>
  <c r="Z116" i="7"/>
  <c r="O307" i="5"/>
  <c r="X116" i="7"/>
  <c r="M307" i="5"/>
  <c r="W116" i="7"/>
  <c r="D116" i="20" s="1"/>
  <c r="X306" i="5"/>
  <c r="AH115" i="7"/>
  <c r="W306" i="5"/>
  <c r="AG115" i="7"/>
  <c r="V306" i="5"/>
  <c r="AF115" i="7"/>
  <c r="U306" i="5"/>
  <c r="AE115" i="7"/>
  <c r="T306" i="5"/>
  <c r="AD115" i="7"/>
  <c r="S306" i="5"/>
  <c r="AC115" i="7"/>
  <c r="H115" i="20" s="1"/>
  <c r="R306" i="5"/>
  <c r="AB115" i="7"/>
  <c r="G115" i="20" s="1"/>
  <c r="Q306" i="5"/>
  <c r="AA115" i="7"/>
  <c r="P306" i="5"/>
  <c r="Z115" i="7"/>
  <c r="O306" i="5"/>
  <c r="X115" i="7"/>
  <c r="M306" i="5"/>
  <c r="X305" i="5"/>
  <c r="AH114" i="7"/>
  <c r="W305" i="5"/>
  <c r="AG114" i="7"/>
  <c r="V305" i="5"/>
  <c r="AF114" i="7"/>
  <c r="U305" i="5"/>
  <c r="AE114" i="7"/>
  <c r="T305" i="5"/>
  <c r="AD114" i="7"/>
  <c r="S305" i="5"/>
  <c r="AC114" i="7"/>
  <c r="H114" i="20" s="1"/>
  <c r="R305" i="5"/>
  <c r="AB114" i="7"/>
  <c r="G114" i="20" s="1"/>
  <c r="Q305" i="5"/>
  <c r="AA114" i="7"/>
  <c r="P305" i="5"/>
  <c r="Z114" i="7"/>
  <c r="O305" i="5"/>
  <c r="X114" i="7"/>
  <c r="M305" i="5"/>
  <c r="W114" i="7"/>
  <c r="D114" i="20" s="1"/>
  <c r="X304" i="5"/>
  <c r="AH113" i="7"/>
  <c r="W304" i="5"/>
  <c r="AG113" i="7"/>
  <c r="V304" i="5"/>
  <c r="AF113" i="7"/>
  <c r="U304" i="5"/>
  <c r="AE113" i="7"/>
  <c r="T304" i="5"/>
  <c r="AD113" i="7"/>
  <c r="S304" i="5"/>
  <c r="AC113" i="7"/>
  <c r="H113" i="20" s="1"/>
  <c r="R304" i="5"/>
  <c r="AB113" i="7"/>
  <c r="G113" i="20" s="1"/>
  <c r="Q304" i="5"/>
  <c r="AA113" i="7"/>
  <c r="P304" i="5"/>
  <c r="Z113" i="7"/>
  <c r="O304" i="5"/>
  <c r="X113" i="7"/>
  <c r="M304" i="5"/>
  <c r="X303" i="5"/>
  <c r="AH112" i="7"/>
  <c r="W303" i="5"/>
  <c r="AG112" i="7"/>
  <c r="V303" i="5"/>
  <c r="AF112" i="7"/>
  <c r="U303" i="5"/>
  <c r="AE112" i="7"/>
  <c r="T303" i="5"/>
  <c r="AD112" i="7"/>
  <c r="S303" i="5"/>
  <c r="AC112" i="7"/>
  <c r="R303" i="5"/>
  <c r="AB112" i="7"/>
  <c r="Q303" i="5"/>
  <c r="AA112" i="7"/>
  <c r="P303" i="5"/>
  <c r="Z112" i="7"/>
  <c r="O303" i="5"/>
  <c r="L298" i="5"/>
  <c r="X112" i="7"/>
  <c r="M303" i="5"/>
  <c r="X262" i="5"/>
  <c r="AH102" i="7"/>
  <c r="W262" i="5"/>
  <c r="AG102" i="7"/>
  <c r="V262" i="5"/>
  <c r="AF102" i="7"/>
  <c r="U262" i="5"/>
  <c r="AE102" i="7"/>
  <c r="T262" i="5"/>
  <c r="AD102" i="7"/>
  <c r="S262" i="5"/>
  <c r="AC102" i="7"/>
  <c r="H102" i="20" s="1"/>
  <c r="R262" i="5"/>
  <c r="AB102" i="7"/>
  <c r="G102" i="20" s="1"/>
  <c r="Q262" i="5"/>
  <c r="AA102" i="7"/>
  <c r="P262" i="5"/>
  <c r="Z102" i="7"/>
  <c r="O262" i="5"/>
  <c r="Y102" i="7"/>
  <c r="E102" i="20" s="1"/>
  <c r="X102" i="7"/>
  <c r="M262" i="5"/>
  <c r="M180" i="5"/>
  <c r="X70" i="7"/>
  <c r="O180" i="5"/>
  <c r="Y70" i="7"/>
  <c r="E70" i="20"/>
  <c r="P180" i="5"/>
  <c r="Z70" i="7"/>
  <c r="Q180" i="5"/>
  <c r="AA70" i="7"/>
  <c r="R180" i="5"/>
  <c r="AB70" i="7"/>
  <c r="G70" i="20"/>
  <c r="S180" i="5"/>
  <c r="AC70" i="7"/>
  <c r="H70" i="20"/>
  <c r="T180" i="5"/>
  <c r="AD70" i="7"/>
  <c r="U180" i="5"/>
  <c r="AE70" i="7"/>
  <c r="V180" i="5"/>
  <c r="AF70" i="7"/>
  <c r="W180" i="5"/>
  <c r="AG70" i="7"/>
  <c r="X180" i="5"/>
  <c r="AH70" i="7"/>
  <c r="M178" i="5"/>
  <c r="X68" i="7"/>
  <c r="O178" i="5"/>
  <c r="Y68" i="7"/>
  <c r="E68" i="20"/>
  <c r="P178" i="5"/>
  <c r="Z68" i="7"/>
  <c r="Q178" i="5"/>
  <c r="AA68" i="7"/>
  <c r="R178" i="5"/>
  <c r="AB68" i="7"/>
  <c r="G68" i="20"/>
  <c r="S178" i="5"/>
  <c r="AC68" i="7"/>
  <c r="H68" i="20"/>
  <c r="T178" i="5"/>
  <c r="AD68" i="7"/>
  <c r="U178" i="5"/>
  <c r="AE68" i="7"/>
  <c r="V178" i="5"/>
  <c r="AF68" i="7"/>
  <c r="W178" i="5"/>
  <c r="AG68" i="7"/>
  <c r="X178" i="5"/>
  <c r="AH68" i="7"/>
  <c r="M177" i="5"/>
  <c r="X67" i="7"/>
  <c r="O177" i="5"/>
  <c r="P177" i="5"/>
  <c r="Z67" i="7"/>
  <c r="Q177" i="5"/>
  <c r="AA67" i="7"/>
  <c r="R177" i="5"/>
  <c r="AB67" i="7"/>
  <c r="G67" i="20"/>
  <c r="S177" i="5"/>
  <c r="AC67" i="7"/>
  <c r="H67" i="20"/>
  <c r="T177" i="5"/>
  <c r="AD67" i="7"/>
  <c r="U177" i="5"/>
  <c r="AE67" i="7"/>
  <c r="V177" i="5"/>
  <c r="AF67" i="7"/>
  <c r="W177" i="5"/>
  <c r="AG67" i="7"/>
  <c r="X177" i="5"/>
  <c r="AH67" i="7"/>
  <c r="M131" i="5"/>
  <c r="O131" i="5"/>
  <c r="Y52" i="7"/>
  <c r="E52" i="20"/>
  <c r="P131" i="5"/>
  <c r="Z52" i="7"/>
  <c r="Q131" i="5"/>
  <c r="R131" i="5"/>
  <c r="AB52" i="7"/>
  <c r="G52" i="20"/>
  <c r="S131" i="5"/>
  <c r="AC52" i="7"/>
  <c r="H52" i="20"/>
  <c r="T131" i="5"/>
  <c r="U131" i="5"/>
  <c r="AE52" i="7"/>
  <c r="V131" i="5"/>
  <c r="AF52" i="7"/>
  <c r="W131" i="5"/>
  <c r="AG52" i="7"/>
  <c r="X131" i="5"/>
  <c r="AH52" i="7"/>
  <c r="M129" i="5"/>
  <c r="O129" i="5"/>
  <c r="Y50" i="7"/>
  <c r="E50" i="20"/>
  <c r="P129" i="5"/>
  <c r="Z50" i="7"/>
  <c r="Q129" i="5"/>
  <c r="AA50" i="7"/>
  <c r="R129" i="5"/>
  <c r="S129" i="5"/>
  <c r="AC50" i="7"/>
  <c r="H50" i="20"/>
  <c r="T129" i="5"/>
  <c r="AD50" i="7"/>
  <c r="U129" i="5"/>
  <c r="V129" i="5"/>
  <c r="W129" i="5"/>
  <c r="AG50" i="7"/>
  <c r="X129" i="5"/>
  <c r="AH50" i="7"/>
  <c r="M128" i="5"/>
  <c r="O128" i="5"/>
  <c r="P128" i="5"/>
  <c r="Q128" i="5"/>
  <c r="AA49" i="7"/>
  <c r="R128" i="5"/>
  <c r="AB49" i="7"/>
  <c r="S128" i="5"/>
  <c r="T128" i="5"/>
  <c r="AD49" i="7"/>
  <c r="U128" i="5"/>
  <c r="AE49" i="7"/>
  <c r="V128" i="5"/>
  <c r="AF49" i="7"/>
  <c r="W128" i="5"/>
  <c r="AG49" i="7"/>
  <c r="X128" i="5"/>
  <c r="AH49" i="7"/>
  <c r="X52" i="7"/>
  <c r="AA52" i="7"/>
  <c r="AD52" i="7"/>
  <c r="X50" i="7"/>
  <c r="AB50" i="7"/>
  <c r="G50" i="20"/>
  <c r="AE50" i="7"/>
  <c r="AF50" i="7"/>
  <c r="X49" i="7"/>
  <c r="Z49" i="7"/>
  <c r="AC49" i="7"/>
  <c r="Y39" i="7"/>
  <c r="E39" i="20"/>
  <c r="F170" i="18"/>
  <c r="F18" i="20"/>
  <c r="G149" i="18"/>
  <c r="F17" i="20"/>
  <c r="G148" i="18"/>
  <c r="F16" i="20"/>
  <c r="G147" i="18"/>
  <c r="F15" i="20"/>
  <c r="G146" i="18"/>
  <c r="F14" i="20"/>
  <c r="G145" i="18"/>
  <c r="L5" i="5"/>
  <c r="Y13" i="7"/>
  <c r="E13" i="20"/>
  <c r="F9" i="20"/>
  <c r="G140" i="18"/>
  <c r="F8" i="20"/>
  <c r="G139" i="18"/>
  <c r="F7" i="20"/>
  <c r="G138" i="18"/>
  <c r="F6" i="20"/>
  <c r="G137" i="18"/>
  <c r="F5" i="20"/>
  <c r="G136" i="18"/>
  <c r="Y4" i="7"/>
  <c r="E4" i="20"/>
  <c r="F135" i="18"/>
  <c r="L4" i="5"/>
  <c r="F4" i="20"/>
  <c r="G135" i="18"/>
  <c r="I9" i="20"/>
  <c r="K9" i="20"/>
  <c r="L140" i="18"/>
  <c r="I18" i="20"/>
  <c r="K18" i="20"/>
  <c r="L149" i="18"/>
  <c r="I26" i="20"/>
  <c r="I35" i="20"/>
  <c r="K35" i="20"/>
  <c r="L166" i="18"/>
  <c r="I44" i="20"/>
  <c r="AD44" i="20"/>
  <c r="K44" i="20"/>
  <c r="I62" i="20"/>
  <c r="AD62" i="20" s="1"/>
  <c r="K62" i="20"/>
  <c r="I16" i="20"/>
  <c r="K16" i="20"/>
  <c r="L147" i="18"/>
  <c r="I15" i="20"/>
  <c r="K15" i="20"/>
  <c r="L146" i="18"/>
  <c r="I14" i="20"/>
  <c r="I7" i="20"/>
  <c r="K7" i="20"/>
  <c r="L138" i="18"/>
  <c r="I6" i="20"/>
  <c r="I5" i="20"/>
  <c r="I36" i="20"/>
  <c r="K36" i="20"/>
  <c r="L167" i="18"/>
  <c r="I34" i="20"/>
  <c r="K34" i="20"/>
  <c r="L165" i="18"/>
  <c r="I33" i="20"/>
  <c r="K33" i="20"/>
  <c r="L164" i="18"/>
  <c r="I32" i="20"/>
  <c r="I27" i="20"/>
  <c r="K27" i="20"/>
  <c r="L158" i="18"/>
  <c r="I45" i="20"/>
  <c r="AD45" i="20"/>
  <c r="K45" i="20"/>
  <c r="I63" i="20"/>
  <c r="AD63" i="20" s="1"/>
  <c r="K63" i="20"/>
  <c r="I25" i="20"/>
  <c r="K25" i="20"/>
  <c r="L156" i="18"/>
  <c r="I43" i="20"/>
  <c r="AD43" i="20"/>
  <c r="K43" i="20"/>
  <c r="I61" i="20"/>
  <c r="I24" i="20"/>
  <c r="K24" i="20"/>
  <c r="L155" i="18"/>
  <c r="I42" i="20"/>
  <c r="I60" i="20"/>
  <c r="AD60" i="20" s="1"/>
  <c r="K60" i="20"/>
  <c r="I23" i="20"/>
  <c r="K23" i="20"/>
  <c r="L154" i="18"/>
  <c r="I41" i="20"/>
  <c r="AD41" i="20"/>
  <c r="K41" i="20"/>
  <c r="I59" i="20"/>
  <c r="AD59" i="20" s="1"/>
  <c r="K59" i="20"/>
  <c r="N11" i="7"/>
  <c r="O11" i="7"/>
  <c r="J62" i="20"/>
  <c r="L62" i="20"/>
  <c r="M62" i="20"/>
  <c r="J63" i="20"/>
  <c r="L63" i="20"/>
  <c r="M63" i="20"/>
  <c r="J61" i="20"/>
  <c r="K61" i="20" s="1"/>
  <c r="L61" i="20"/>
  <c r="M61" i="20"/>
  <c r="J60" i="20"/>
  <c r="L60" i="20"/>
  <c r="M60" i="20"/>
  <c r="J59" i="20"/>
  <c r="L59" i="20"/>
  <c r="M59" i="20"/>
  <c r="G112" i="20"/>
  <c r="H112" i="20"/>
  <c r="J9" i="20"/>
  <c r="K140" i="18"/>
  <c r="L9" i="20"/>
  <c r="M140" i="18"/>
  <c r="M9" i="20"/>
  <c r="N140" i="18"/>
  <c r="J18" i="20"/>
  <c r="K149" i="18"/>
  <c r="L18" i="20"/>
  <c r="M149" i="18"/>
  <c r="M18" i="20"/>
  <c r="N149" i="18"/>
  <c r="J26" i="20"/>
  <c r="K26" i="20" s="1"/>
  <c r="L157" i="18" s="1"/>
  <c r="K157" i="18"/>
  <c r="L26" i="20"/>
  <c r="M157" i="18"/>
  <c r="M26" i="20"/>
  <c r="N157" i="18"/>
  <c r="J35" i="20"/>
  <c r="K166" i="18"/>
  <c r="L35" i="20"/>
  <c r="M166" i="18"/>
  <c r="M35" i="20"/>
  <c r="N166" i="18"/>
  <c r="J44" i="20"/>
  <c r="L44" i="20"/>
  <c r="M44" i="20"/>
  <c r="J16" i="20"/>
  <c r="K147" i="18"/>
  <c r="L16" i="20"/>
  <c r="M147" i="18"/>
  <c r="M16" i="20"/>
  <c r="N147" i="18"/>
  <c r="J15" i="20"/>
  <c r="K146" i="18"/>
  <c r="L15" i="20"/>
  <c r="M146" i="18"/>
  <c r="M15" i="20"/>
  <c r="N146" i="18"/>
  <c r="J14" i="20"/>
  <c r="L14" i="20"/>
  <c r="M145" i="18"/>
  <c r="M14" i="20"/>
  <c r="N145" i="18"/>
  <c r="J7" i="20"/>
  <c r="K138" i="18"/>
  <c r="L7" i="20"/>
  <c r="M138" i="18"/>
  <c r="M7" i="20"/>
  <c r="N138" i="18"/>
  <c r="J6" i="20"/>
  <c r="K6" i="20" s="1"/>
  <c r="L137" i="18" s="1"/>
  <c r="K137" i="18"/>
  <c r="L6" i="20"/>
  <c r="M137" i="18"/>
  <c r="M6" i="20"/>
  <c r="N137" i="18"/>
  <c r="J5" i="20"/>
  <c r="L5" i="20"/>
  <c r="M136" i="18"/>
  <c r="M5" i="20"/>
  <c r="N136" i="18"/>
  <c r="J36" i="20"/>
  <c r="K167" i="18"/>
  <c r="L36" i="20"/>
  <c r="M167" i="18"/>
  <c r="M36" i="20"/>
  <c r="N167" i="18"/>
  <c r="J34" i="20"/>
  <c r="K165" i="18"/>
  <c r="L34" i="20"/>
  <c r="M165" i="18"/>
  <c r="M34" i="20"/>
  <c r="N165" i="18"/>
  <c r="J33" i="20"/>
  <c r="K164" i="18"/>
  <c r="L33" i="20"/>
  <c r="M164" i="18"/>
  <c r="M33" i="20"/>
  <c r="N164" i="18"/>
  <c r="J32" i="20"/>
  <c r="L32" i="20"/>
  <c r="M163" i="18"/>
  <c r="M32" i="20"/>
  <c r="N163" i="18"/>
  <c r="J27" i="20"/>
  <c r="K158" i="18"/>
  <c r="L27" i="20"/>
  <c r="M158" i="18"/>
  <c r="M27" i="20"/>
  <c r="N158" i="18"/>
  <c r="J45" i="20"/>
  <c r="L45" i="20"/>
  <c r="M45" i="20"/>
  <c r="J25" i="20"/>
  <c r="K156" i="18"/>
  <c r="L25" i="20"/>
  <c r="M156" i="18"/>
  <c r="M25" i="20"/>
  <c r="N156" i="18"/>
  <c r="J43" i="20"/>
  <c r="L43" i="20"/>
  <c r="M43" i="20"/>
  <c r="J24" i="20"/>
  <c r="K155" i="18"/>
  <c r="L24" i="20"/>
  <c r="M155" i="18"/>
  <c r="M24" i="20"/>
  <c r="N155" i="18"/>
  <c r="J42" i="20"/>
  <c r="K42" i="20" s="1"/>
  <c r="L42" i="20"/>
  <c r="M42" i="20"/>
  <c r="J23" i="20"/>
  <c r="K154" i="18"/>
  <c r="L23" i="20"/>
  <c r="M154" i="18"/>
  <c r="M23" i="20"/>
  <c r="N154" i="18"/>
  <c r="J41" i="20"/>
  <c r="L41" i="20"/>
  <c r="M41" i="20"/>
  <c r="M14" i="4"/>
  <c r="N14" i="4"/>
  <c r="A530" i="5"/>
  <c r="A518" i="5"/>
  <c r="Y138" i="7"/>
  <c r="B381" i="5"/>
  <c r="N381" i="5"/>
  <c r="Y119" i="7"/>
  <c r="E119" i="20" s="1"/>
  <c r="B331" i="5"/>
  <c r="N331" i="5"/>
  <c r="Y118" i="7"/>
  <c r="E118" i="20" s="1"/>
  <c r="B330" i="5"/>
  <c r="N330" i="5"/>
  <c r="Y117" i="7"/>
  <c r="E117" i="20" s="1"/>
  <c r="B329" i="5"/>
  <c r="N329" i="5"/>
  <c r="Y116" i="7"/>
  <c r="E116" i="20" s="1"/>
  <c r="B328" i="5"/>
  <c r="N328" i="5"/>
  <c r="Y114" i="7"/>
  <c r="E114" i="20" s="1"/>
  <c r="B326" i="5"/>
  <c r="N326" i="5"/>
  <c r="B233" i="5"/>
  <c r="N233" i="5"/>
  <c r="B232" i="5"/>
  <c r="N232" i="5"/>
  <c r="B231" i="5"/>
  <c r="N231" i="5"/>
  <c r="B230" i="5"/>
  <c r="N230" i="5"/>
  <c r="B228" i="5"/>
  <c r="N228" i="5"/>
  <c r="Y65" i="7"/>
  <c r="E65" i="20"/>
  <c r="F65" i="20" s="1"/>
  <c r="B184" i="5"/>
  <c r="N184" i="5"/>
  <c r="Y64" i="7"/>
  <c r="E64" i="20"/>
  <c r="B183" i="5"/>
  <c r="N183" i="5"/>
  <c r="Y63" i="7"/>
  <c r="E63" i="20"/>
  <c r="F63" i="20" s="1"/>
  <c r="B182" i="5"/>
  <c r="N182" i="5"/>
  <c r="Y62" i="7"/>
  <c r="E62" i="20"/>
  <c r="F62" i="20" s="1"/>
  <c r="B181" i="5"/>
  <c r="N181" i="5"/>
  <c r="Y60" i="7"/>
  <c r="E60" i="20"/>
  <c r="F60" i="20" s="1"/>
  <c r="B179" i="5"/>
  <c r="N179" i="5"/>
  <c r="Y47" i="7"/>
  <c r="E47" i="20"/>
  <c r="F47" i="20"/>
  <c r="B135" i="5"/>
  <c r="N135" i="5"/>
  <c r="Y46" i="7"/>
  <c r="E46" i="20"/>
  <c r="B134" i="5"/>
  <c r="N134" i="5"/>
  <c r="Y45" i="7"/>
  <c r="E45" i="20"/>
  <c r="F45" i="20"/>
  <c r="B133" i="5"/>
  <c r="N133" i="5"/>
  <c r="Y44" i="7"/>
  <c r="E44" i="20"/>
  <c r="F44" i="20"/>
  <c r="B132" i="5"/>
  <c r="N132" i="5"/>
  <c r="Y42" i="7"/>
  <c r="E42" i="20"/>
  <c r="F42" i="20"/>
  <c r="B130" i="5"/>
  <c r="N130" i="5"/>
  <c r="Y112" i="7"/>
  <c r="E112" i="20" s="1"/>
  <c r="Y58" i="7"/>
  <c r="E58" i="20"/>
  <c r="Y40" i="7"/>
  <c r="Y115" i="7"/>
  <c r="E115" i="20" s="1"/>
  <c r="Y61" i="7"/>
  <c r="E61" i="20"/>
  <c r="F61" i="20" s="1"/>
  <c r="Y43" i="7"/>
  <c r="E43" i="20"/>
  <c r="F43" i="20"/>
  <c r="U17" i="7"/>
  <c r="B17" i="20"/>
  <c r="C148" i="18"/>
  <c r="U8" i="7"/>
  <c r="B8" i="20"/>
  <c r="C139" i="18"/>
  <c r="G143" i="17" a="1"/>
  <c r="G143" i="17"/>
  <c r="H103" i="17" a="1"/>
  <c r="H103" i="17"/>
  <c r="B373" i="5"/>
  <c r="N373" i="5"/>
  <c r="H104" i="17" a="1"/>
  <c r="H104" i="17"/>
  <c r="B374" i="5"/>
  <c r="N374" i="5"/>
  <c r="H105" i="17" a="1"/>
  <c r="H105" i="17"/>
  <c r="H106" i="17" a="1"/>
  <c r="H106" i="17"/>
  <c r="B376" i="5"/>
  <c r="N376" i="5"/>
  <c r="H107" i="17" a="1"/>
  <c r="H107" i="17"/>
  <c r="H108" i="17" a="1"/>
  <c r="H108" i="17"/>
  <c r="H109" i="17" a="1"/>
  <c r="H109" i="17"/>
  <c r="H110" i="17" a="1"/>
  <c r="H110" i="17"/>
  <c r="C75" i="17" a="1"/>
  <c r="C75" i="17"/>
  <c r="B254" i="5"/>
  <c r="N254" i="5"/>
  <c r="C76" i="17" a="1"/>
  <c r="C76" i="17"/>
  <c r="B255" i="5"/>
  <c r="N255" i="5"/>
  <c r="C77" i="17" a="1"/>
  <c r="C77" i="17"/>
  <c r="B256" i="5"/>
  <c r="N256" i="5"/>
  <c r="C78" i="17" a="1"/>
  <c r="C78" i="17"/>
  <c r="B257" i="5"/>
  <c r="N257" i="5"/>
  <c r="C79" i="17" a="1"/>
  <c r="C79" i="17"/>
  <c r="B258" i="5"/>
  <c r="N258" i="5"/>
  <c r="C80" i="17" a="1"/>
  <c r="C80" i="17"/>
  <c r="B259" i="5"/>
  <c r="N259" i="5"/>
  <c r="C81" i="17" a="1"/>
  <c r="C81" i="17"/>
  <c r="B260" i="5"/>
  <c r="N260" i="5"/>
  <c r="C82" i="17" a="1"/>
  <c r="C82" i="17"/>
  <c r="B261" i="5"/>
  <c r="N261" i="5"/>
  <c r="C61" i="17" a="1"/>
  <c r="C61" i="17"/>
  <c r="B205" i="5"/>
  <c r="N205" i="5"/>
  <c r="C62" i="17" a="1"/>
  <c r="C62" i="17"/>
  <c r="B206" i="5"/>
  <c r="N206" i="5"/>
  <c r="C63" i="17" a="1"/>
  <c r="C63" i="17"/>
  <c r="B207" i="5"/>
  <c r="N207" i="5"/>
  <c r="C64" i="17" a="1"/>
  <c r="C64" i="17"/>
  <c r="B208" i="5"/>
  <c r="N208" i="5"/>
  <c r="C65" i="17" a="1"/>
  <c r="C65" i="17"/>
  <c r="B209" i="5"/>
  <c r="N209" i="5"/>
  <c r="C66" i="17" a="1"/>
  <c r="C66" i="17"/>
  <c r="B210" i="5"/>
  <c r="N210" i="5"/>
  <c r="C67" i="17" a="1"/>
  <c r="C67" i="17"/>
  <c r="B211" i="5"/>
  <c r="N211" i="5"/>
  <c r="C68" i="17" a="1"/>
  <c r="C68" i="17"/>
  <c r="B212" i="5"/>
  <c r="N212" i="5"/>
  <c r="U81" i="7"/>
  <c r="B81" i="20"/>
  <c r="U78" i="7"/>
  <c r="B78" i="20"/>
  <c r="W52" i="7"/>
  <c r="D52" i="20"/>
  <c r="F52" i="20"/>
  <c r="U52" i="7"/>
  <c r="B52" i="20"/>
  <c r="W50" i="7"/>
  <c r="D50" i="20"/>
  <c r="F50" i="20"/>
  <c r="U50" i="7"/>
  <c r="B50" i="20"/>
  <c r="W115" i="7"/>
  <c r="D115" i="20" s="1"/>
  <c r="F115" i="20" s="1"/>
  <c r="U115" i="7"/>
  <c r="B115" i="20"/>
  <c r="W113" i="7"/>
  <c r="D113" i="20" s="1"/>
  <c r="U113" i="7"/>
  <c r="B113" i="20"/>
  <c r="W124" i="7"/>
  <c r="D124" i="20" s="1"/>
  <c r="F124" i="20" s="1"/>
  <c r="U124" i="7"/>
  <c r="B124" i="20"/>
  <c r="W122" i="7"/>
  <c r="D122" i="20" s="1"/>
  <c r="F122" i="20" s="1"/>
  <c r="U122" i="7"/>
  <c r="B122" i="20"/>
  <c r="W88" i="7"/>
  <c r="D88" i="20"/>
  <c r="F88" i="20"/>
  <c r="U88" i="7"/>
  <c r="B88" i="20"/>
  <c r="W86" i="7"/>
  <c r="D86" i="20"/>
  <c r="F86" i="20"/>
  <c r="U86" i="7"/>
  <c r="B86" i="20"/>
  <c r="W70" i="7"/>
  <c r="D70" i="20"/>
  <c r="F70" i="20"/>
  <c r="U70" i="7"/>
  <c r="B70" i="20"/>
  <c r="W68" i="7"/>
  <c r="D68" i="20"/>
  <c r="F68" i="20"/>
  <c r="U68" i="7"/>
  <c r="B68" i="20"/>
  <c r="W133" i="7"/>
  <c r="U133" i="7"/>
  <c r="B133" i="20"/>
  <c r="W131" i="7"/>
  <c r="U131" i="7"/>
  <c r="B131" i="20"/>
  <c r="F139" i="17" a="1"/>
  <c r="F139" i="17"/>
  <c r="H139" i="17" a="1"/>
  <c r="H139" i="17"/>
  <c r="F138" i="17" a="1"/>
  <c r="F138" i="17"/>
  <c r="F137" i="17" a="1"/>
  <c r="F137" i="17"/>
  <c r="F136" i="17" a="1"/>
  <c r="F136" i="17"/>
  <c r="F135" i="17" a="1"/>
  <c r="F135" i="17"/>
  <c r="F134" i="17" a="1"/>
  <c r="F134" i="17"/>
  <c r="F133" i="17" a="1"/>
  <c r="F133" i="17"/>
  <c r="F132" i="17" a="1"/>
  <c r="F132" i="17"/>
  <c r="F131" i="17" a="1"/>
  <c r="F131" i="17"/>
  <c r="U19" i="7"/>
  <c r="B19" i="20"/>
  <c r="C150" i="18"/>
  <c r="U10" i="7"/>
  <c r="B10" i="20"/>
  <c r="C141" i="18"/>
  <c r="H15" i="4" a="1"/>
  <c r="H15" i="4"/>
  <c r="I11" i="7"/>
  <c r="H11" i="7"/>
  <c r="AL88" i="7"/>
  <c r="AL89" i="7"/>
  <c r="AL90" i="7"/>
  <c r="AL91" i="7"/>
  <c r="AL92" i="7"/>
  <c r="AL93" i="7"/>
  <c r="AL94" i="7"/>
  <c r="AL95" i="7"/>
  <c r="AL96" i="7"/>
  <c r="AL97" i="7"/>
  <c r="AL98" i="7"/>
  <c r="AL99" i="7"/>
  <c r="AK88" i="7"/>
  <c r="AJ88" i="7"/>
  <c r="AK89" i="7"/>
  <c r="AJ89" i="7"/>
  <c r="AK90" i="7"/>
  <c r="AJ90" i="7"/>
  <c r="AK91" i="7"/>
  <c r="AJ91" i="7"/>
  <c r="AK92" i="7"/>
  <c r="AJ92" i="7"/>
  <c r="AK93" i="7"/>
  <c r="AJ93" i="7"/>
  <c r="AK94" i="7"/>
  <c r="AJ94" i="7"/>
  <c r="AK95" i="7"/>
  <c r="AJ95" i="7"/>
  <c r="AK96" i="7"/>
  <c r="AJ96" i="7"/>
  <c r="AK97" i="7"/>
  <c r="AJ97" i="7"/>
  <c r="AK98" i="7"/>
  <c r="AJ98" i="7"/>
  <c r="AK99" i="7"/>
  <c r="AJ99" i="7"/>
  <c r="T130" i="7"/>
  <c r="T131" i="7"/>
  <c r="A131" i="20"/>
  <c r="T132" i="7"/>
  <c r="A132" i="20"/>
  <c r="T133" i="7"/>
  <c r="A133" i="20"/>
  <c r="T134" i="7"/>
  <c r="A134" i="20"/>
  <c r="T135" i="7"/>
  <c r="A135" i="20"/>
  <c r="T136" i="7"/>
  <c r="A136" i="20"/>
  <c r="T137" i="7"/>
  <c r="A137" i="20"/>
  <c r="T138" i="7"/>
  <c r="A138" i="20"/>
  <c r="T139" i="7"/>
  <c r="A139" i="20"/>
  <c r="T140" i="7"/>
  <c r="A140" i="20"/>
  <c r="T141" i="7"/>
  <c r="A141" i="20"/>
  <c r="T142" i="7"/>
  <c r="A142" i="20"/>
  <c r="T143" i="7"/>
  <c r="A143" i="20"/>
  <c r="T144" i="7"/>
  <c r="A144" i="20"/>
  <c r="T145" i="7"/>
  <c r="A145" i="20"/>
  <c r="T146" i="7"/>
  <c r="A146" i="20"/>
  <c r="T147" i="7"/>
  <c r="A147" i="20"/>
  <c r="S130" i="7"/>
  <c r="S131" i="7"/>
  <c r="C131" i="20"/>
  <c r="S132" i="7"/>
  <c r="C132" i="20"/>
  <c r="S133" i="7"/>
  <c r="C133" i="20"/>
  <c r="S134" i="7"/>
  <c r="C134" i="20"/>
  <c r="S135" i="7"/>
  <c r="C135" i="20"/>
  <c r="S136" i="7"/>
  <c r="C136" i="20"/>
  <c r="S137" i="7"/>
  <c r="C137" i="20"/>
  <c r="S138" i="7"/>
  <c r="C138" i="20"/>
  <c r="S139" i="7"/>
  <c r="C139" i="20"/>
  <c r="S140" i="7"/>
  <c r="C140" i="20"/>
  <c r="S141" i="7"/>
  <c r="C141" i="20"/>
  <c r="S142" i="7"/>
  <c r="C142" i="20"/>
  <c r="S143" i="7"/>
  <c r="C143" i="20"/>
  <c r="S144" i="7"/>
  <c r="C144" i="20"/>
  <c r="S145" i="7"/>
  <c r="C145" i="20"/>
  <c r="S146" i="7"/>
  <c r="C146" i="20"/>
  <c r="S147" i="7"/>
  <c r="C147" i="20"/>
  <c r="M11" i="7"/>
  <c r="L11" i="7"/>
  <c r="P11" i="7"/>
  <c r="K11" i="7"/>
  <c r="A19" i="19"/>
  <c r="J11" i="7"/>
  <c r="A18" i="19"/>
  <c r="BX5" i="7"/>
  <c r="I17" i="4" a="1"/>
  <c r="I17" i="4"/>
  <c r="R541" i="5"/>
  <c r="A544" i="5"/>
  <c r="I12" i="7"/>
  <c r="H12" i="7"/>
  <c r="AL100" i="7"/>
  <c r="AL101" i="7"/>
  <c r="AL102" i="7"/>
  <c r="AL103" i="7"/>
  <c r="AL104" i="7"/>
  <c r="AL105" i="7"/>
  <c r="AL106" i="7"/>
  <c r="AL107" i="7"/>
  <c r="AL108" i="7"/>
  <c r="AL109" i="7"/>
  <c r="AL110" i="7"/>
  <c r="AL111" i="7"/>
  <c r="AK100" i="7"/>
  <c r="AJ100" i="7"/>
  <c r="AK101" i="7"/>
  <c r="AJ101" i="7"/>
  <c r="AK102" i="7"/>
  <c r="AJ102" i="7"/>
  <c r="AK103" i="7"/>
  <c r="AJ103" i="7"/>
  <c r="AK104" i="7"/>
  <c r="AJ104" i="7"/>
  <c r="AK105" i="7"/>
  <c r="AJ105" i="7"/>
  <c r="AK106" i="7"/>
  <c r="AJ106" i="7"/>
  <c r="AK107" i="7"/>
  <c r="AJ107" i="7"/>
  <c r="AK108" i="7"/>
  <c r="AJ108" i="7"/>
  <c r="AK109" i="7"/>
  <c r="AJ109" i="7"/>
  <c r="AK110" i="7"/>
  <c r="AJ110" i="7"/>
  <c r="AK111" i="7"/>
  <c r="AJ111" i="7"/>
  <c r="T148" i="7"/>
  <c r="A148" i="20"/>
  <c r="T149" i="7"/>
  <c r="A149" i="20"/>
  <c r="T150" i="7"/>
  <c r="A150" i="20"/>
  <c r="T151" i="7"/>
  <c r="A151" i="20"/>
  <c r="T152" i="7"/>
  <c r="A152" i="20"/>
  <c r="T153" i="7"/>
  <c r="A153" i="20"/>
  <c r="T154" i="7"/>
  <c r="A154" i="20"/>
  <c r="T155" i="7"/>
  <c r="A155" i="20"/>
  <c r="T156" i="7"/>
  <c r="A156" i="20"/>
  <c r="T157" i="7"/>
  <c r="A157" i="20"/>
  <c r="T158" i="7"/>
  <c r="A158" i="20"/>
  <c r="T159" i="7"/>
  <c r="A159" i="20"/>
  <c r="T160" i="7"/>
  <c r="A160" i="20"/>
  <c r="T161" i="7"/>
  <c r="A161" i="20"/>
  <c r="T162" i="7"/>
  <c r="A162" i="20"/>
  <c r="T163" i="7"/>
  <c r="A163" i="20"/>
  <c r="T164" i="7"/>
  <c r="A164" i="20"/>
  <c r="T165" i="7"/>
  <c r="A165" i="20"/>
  <c r="S148" i="7"/>
  <c r="C148" i="20"/>
  <c r="S149" i="7"/>
  <c r="C149" i="20"/>
  <c r="S150" i="7"/>
  <c r="C150" i="20"/>
  <c r="S151" i="7"/>
  <c r="C151" i="20"/>
  <c r="S152" i="7"/>
  <c r="C152" i="20"/>
  <c r="S153" i="7"/>
  <c r="C153" i="20"/>
  <c r="S154" i="7"/>
  <c r="C154" i="20"/>
  <c r="S155" i="7"/>
  <c r="C155" i="20"/>
  <c r="S156" i="7"/>
  <c r="C156" i="20"/>
  <c r="S157" i="7"/>
  <c r="C157" i="20"/>
  <c r="S158" i="7"/>
  <c r="C158" i="20"/>
  <c r="S159" i="7"/>
  <c r="C159" i="20"/>
  <c r="S160" i="7"/>
  <c r="C160" i="20"/>
  <c r="S161" i="7"/>
  <c r="C161" i="20"/>
  <c r="S162" i="7"/>
  <c r="C162" i="20"/>
  <c r="S163" i="7"/>
  <c r="C163" i="20"/>
  <c r="S164" i="7"/>
  <c r="C164" i="20"/>
  <c r="S165" i="7"/>
  <c r="C165" i="20"/>
  <c r="L12" i="7"/>
  <c r="K12" i="7"/>
  <c r="A21" i="19"/>
  <c r="J12" i="7"/>
  <c r="A20" i="19"/>
  <c r="CC5" i="7"/>
  <c r="BZ5" i="7"/>
  <c r="CA5" i="7"/>
  <c r="K32" i="20"/>
  <c r="L163" i="18"/>
  <c r="K163" i="18"/>
  <c r="K5" i="20"/>
  <c r="L136" i="18"/>
  <c r="K136" i="18"/>
  <c r="K14" i="20"/>
  <c r="L145" i="18"/>
  <c r="K145" i="18"/>
  <c r="AD23" i="20"/>
  <c r="AE154" i="18"/>
  <c r="J154" i="18"/>
  <c r="AD24" i="20"/>
  <c r="AE155" i="18"/>
  <c r="J155" i="18"/>
  <c r="AD25" i="20"/>
  <c r="AE156" i="18"/>
  <c r="J156" i="18"/>
  <c r="AD27" i="20"/>
  <c r="AE158" i="18"/>
  <c r="J158" i="18"/>
  <c r="AD32" i="20"/>
  <c r="AE163" i="18"/>
  <c r="J163" i="18"/>
  <c r="AD33" i="20"/>
  <c r="AE164" i="18"/>
  <c r="J164" i="18"/>
  <c r="AD34" i="20"/>
  <c r="AE165" i="18"/>
  <c r="J165" i="18"/>
  <c r="AD36" i="20"/>
  <c r="AE167" i="18"/>
  <c r="J167" i="18"/>
  <c r="AD5" i="20"/>
  <c r="AE136" i="18"/>
  <c r="J136" i="18"/>
  <c r="J137" i="18"/>
  <c r="AD7" i="20"/>
  <c r="AE138" i="18"/>
  <c r="J138" i="18"/>
  <c r="J145" i="18"/>
  <c r="AD15" i="20"/>
  <c r="AE146" i="18"/>
  <c r="J146" i="18"/>
  <c r="AD16" i="20"/>
  <c r="AE147" i="18"/>
  <c r="J147" i="18"/>
  <c r="AD35" i="20"/>
  <c r="AE166" i="18"/>
  <c r="J166" i="18"/>
  <c r="AD26" i="20"/>
  <c r="AE157" i="18"/>
  <c r="J157" i="18"/>
  <c r="AD18" i="20"/>
  <c r="AE149" i="18"/>
  <c r="J149" i="18"/>
  <c r="AD9" i="20"/>
  <c r="AE140" i="18"/>
  <c r="J140" i="18"/>
  <c r="F13" i="20"/>
  <c r="G144" i="18"/>
  <c r="F144" i="18"/>
  <c r="U101" i="7"/>
  <c r="B101" i="20"/>
  <c r="AE50" i="20"/>
  <c r="AC50" i="20"/>
  <c r="AB50" i="20"/>
  <c r="AA50" i="20"/>
  <c r="Z50" i="20"/>
  <c r="Y50" i="20"/>
  <c r="X50" i="20"/>
  <c r="W50" i="20"/>
  <c r="V50" i="20"/>
  <c r="AE52" i="20"/>
  <c r="AC52" i="20"/>
  <c r="AB52" i="20"/>
  <c r="AA52" i="20"/>
  <c r="Z52" i="20"/>
  <c r="Y52" i="20"/>
  <c r="X52" i="20"/>
  <c r="W52" i="20"/>
  <c r="V52" i="20"/>
  <c r="H49" i="20"/>
  <c r="G49" i="20"/>
  <c r="U99" i="7"/>
  <c r="B99" i="20"/>
  <c r="U83" i="7"/>
  <c r="B83" i="20"/>
  <c r="U96" i="7"/>
  <c r="B96" i="20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AE165" i="20"/>
  <c r="AD165" i="20"/>
  <c r="AC165" i="20"/>
  <c r="AB165" i="20"/>
  <c r="AA165" i="20"/>
  <c r="Z165" i="20"/>
  <c r="Y165" i="20"/>
  <c r="X165" i="20"/>
  <c r="W165" i="20"/>
  <c r="V165" i="20"/>
  <c r="U165" i="20"/>
  <c r="T165" i="20"/>
  <c r="S165" i="20"/>
  <c r="R165" i="20"/>
  <c r="Q165" i="20"/>
  <c r="P165" i="20"/>
  <c r="O165" i="20"/>
  <c r="N165" i="20"/>
  <c r="AE164" i="20"/>
  <c r="AD164" i="20"/>
  <c r="AC164" i="20"/>
  <c r="AB164" i="20"/>
  <c r="AA164" i="20"/>
  <c r="Z164" i="20"/>
  <c r="Y164" i="20"/>
  <c r="X164" i="20"/>
  <c r="W164" i="20"/>
  <c r="V164" i="20"/>
  <c r="U164" i="20"/>
  <c r="T164" i="20"/>
  <c r="S164" i="20"/>
  <c r="R164" i="20"/>
  <c r="Q164" i="20"/>
  <c r="P164" i="20"/>
  <c r="O164" i="20"/>
  <c r="N164" i="20"/>
  <c r="AE163" i="20"/>
  <c r="AD163" i="20"/>
  <c r="AC163" i="20"/>
  <c r="AB163" i="20"/>
  <c r="AA163" i="20"/>
  <c r="Z163" i="20"/>
  <c r="Y163" i="20"/>
  <c r="X163" i="20"/>
  <c r="W163" i="20"/>
  <c r="V163" i="20"/>
  <c r="U163" i="20"/>
  <c r="T163" i="20"/>
  <c r="S163" i="20"/>
  <c r="R163" i="20"/>
  <c r="Q163" i="20"/>
  <c r="P163" i="20"/>
  <c r="O163" i="20"/>
  <c r="N163" i="20"/>
  <c r="AE162" i="20"/>
  <c r="AD162" i="20"/>
  <c r="AC162" i="20"/>
  <c r="AB162" i="20"/>
  <c r="AA162" i="20"/>
  <c r="Z162" i="20"/>
  <c r="Y162" i="20"/>
  <c r="X162" i="20"/>
  <c r="W162" i="20"/>
  <c r="V162" i="20"/>
  <c r="U162" i="20"/>
  <c r="T162" i="20"/>
  <c r="S162" i="20"/>
  <c r="R162" i="20"/>
  <c r="Q162" i="20"/>
  <c r="P162" i="20"/>
  <c r="O162" i="20"/>
  <c r="N162" i="20"/>
  <c r="AE161" i="20"/>
  <c r="AD161" i="20"/>
  <c r="AC161" i="20"/>
  <c r="AB161" i="20"/>
  <c r="AA161" i="20"/>
  <c r="Z161" i="20"/>
  <c r="Y161" i="20"/>
  <c r="X161" i="20"/>
  <c r="W161" i="20"/>
  <c r="V161" i="20"/>
  <c r="U161" i="20"/>
  <c r="T161" i="20"/>
  <c r="S161" i="20"/>
  <c r="R161" i="20"/>
  <c r="Q161" i="20"/>
  <c r="P161" i="20"/>
  <c r="O161" i="20"/>
  <c r="N161" i="20"/>
  <c r="AE160" i="20"/>
  <c r="AD160" i="20"/>
  <c r="AC160" i="20"/>
  <c r="AB160" i="20"/>
  <c r="AA160" i="20"/>
  <c r="Z160" i="20"/>
  <c r="Y160" i="20"/>
  <c r="X160" i="20"/>
  <c r="W160" i="20"/>
  <c r="V160" i="20"/>
  <c r="U160" i="20"/>
  <c r="T160" i="20"/>
  <c r="S160" i="20"/>
  <c r="R160" i="20"/>
  <c r="Q160" i="20"/>
  <c r="P160" i="20"/>
  <c r="O160" i="20"/>
  <c r="N160" i="20"/>
  <c r="AE159" i="20"/>
  <c r="AD159" i="20"/>
  <c r="AC159" i="20"/>
  <c r="AB159" i="20"/>
  <c r="AA159" i="20"/>
  <c r="Z159" i="20"/>
  <c r="Y159" i="20"/>
  <c r="X159" i="20"/>
  <c r="W159" i="20"/>
  <c r="V159" i="20"/>
  <c r="U159" i="20"/>
  <c r="T159" i="20"/>
  <c r="S159" i="20"/>
  <c r="R159" i="20"/>
  <c r="Q159" i="20"/>
  <c r="P159" i="20"/>
  <c r="O159" i="20"/>
  <c r="N159" i="20"/>
  <c r="AE158" i="20"/>
  <c r="AD158" i="20"/>
  <c r="AC158" i="20"/>
  <c r="AB158" i="20"/>
  <c r="AA158" i="20"/>
  <c r="Z158" i="20"/>
  <c r="Y158" i="20"/>
  <c r="X158" i="20"/>
  <c r="W158" i="20"/>
  <c r="V158" i="20"/>
  <c r="U158" i="20"/>
  <c r="T158" i="20"/>
  <c r="S158" i="20"/>
  <c r="R158" i="20"/>
  <c r="Q158" i="20"/>
  <c r="P158" i="20"/>
  <c r="O158" i="20"/>
  <c r="N158" i="20"/>
  <c r="AE157" i="20"/>
  <c r="AD157" i="20"/>
  <c r="AC157" i="20"/>
  <c r="AB157" i="20"/>
  <c r="AA157" i="20"/>
  <c r="Z157" i="20"/>
  <c r="Y157" i="20"/>
  <c r="X157" i="20"/>
  <c r="W157" i="20"/>
  <c r="V157" i="20"/>
  <c r="U157" i="20"/>
  <c r="T157" i="20"/>
  <c r="S157" i="20"/>
  <c r="R157" i="20"/>
  <c r="Q157" i="20"/>
  <c r="P157" i="20"/>
  <c r="O157" i="20"/>
  <c r="N157" i="20"/>
  <c r="AE156" i="20"/>
  <c r="AD156" i="20"/>
  <c r="AC156" i="20"/>
  <c r="AB156" i="20"/>
  <c r="AA156" i="20"/>
  <c r="Z156" i="20"/>
  <c r="Y156" i="20"/>
  <c r="X156" i="20"/>
  <c r="W156" i="20"/>
  <c r="V156" i="20"/>
  <c r="U156" i="20"/>
  <c r="T156" i="20"/>
  <c r="S156" i="20"/>
  <c r="R156" i="20"/>
  <c r="Q156" i="20"/>
  <c r="P156" i="20"/>
  <c r="O156" i="20"/>
  <c r="N156" i="20"/>
  <c r="AE155" i="20"/>
  <c r="AD155" i="20"/>
  <c r="AC155" i="20"/>
  <c r="AB155" i="20"/>
  <c r="AA155" i="20"/>
  <c r="Z155" i="20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AE154" i="20"/>
  <c r="AD154" i="20"/>
  <c r="AC154" i="20"/>
  <c r="AB154" i="20"/>
  <c r="AA154" i="20"/>
  <c r="Z154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AE153" i="20"/>
  <c r="AD153" i="20"/>
  <c r="AC153" i="20"/>
  <c r="AB153" i="20"/>
  <c r="AA153" i="20"/>
  <c r="Z153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AE152" i="20"/>
  <c r="AD152" i="20"/>
  <c r="AC152" i="20"/>
  <c r="AB152" i="20"/>
  <c r="AA152" i="20"/>
  <c r="Z152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AE151" i="20"/>
  <c r="AD151" i="20"/>
  <c r="AC151" i="20"/>
  <c r="AB151" i="20"/>
  <c r="AA151" i="20"/>
  <c r="Z151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AE150" i="20"/>
  <c r="AD150" i="20"/>
  <c r="AC150" i="20"/>
  <c r="AB150" i="20"/>
  <c r="AA150" i="20"/>
  <c r="Z150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AE149" i="20"/>
  <c r="AD149" i="20"/>
  <c r="AC149" i="20"/>
  <c r="AB149" i="20"/>
  <c r="AA149" i="20"/>
  <c r="Z149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AE148" i="20"/>
  <c r="AD148" i="20"/>
  <c r="AC148" i="20"/>
  <c r="AB148" i="20"/>
  <c r="AA148" i="20"/>
  <c r="Z148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AE147" i="20"/>
  <c r="AD147" i="20"/>
  <c r="AC147" i="20"/>
  <c r="AB147" i="20"/>
  <c r="AA147" i="20"/>
  <c r="Z147" i="20"/>
  <c r="Y147" i="20"/>
  <c r="X147" i="20"/>
  <c r="W147" i="20"/>
  <c r="V147" i="20"/>
  <c r="U147" i="20"/>
  <c r="T147" i="20"/>
  <c r="S147" i="20"/>
  <c r="R147" i="20"/>
  <c r="Q147" i="20"/>
  <c r="P147" i="20"/>
  <c r="O147" i="20"/>
  <c r="N147" i="20"/>
  <c r="AE146" i="20"/>
  <c r="AD146" i="20"/>
  <c r="AC146" i="20"/>
  <c r="AB146" i="20"/>
  <c r="AA146" i="20"/>
  <c r="Z146" i="20"/>
  <c r="Y146" i="20"/>
  <c r="X146" i="20"/>
  <c r="W146" i="20"/>
  <c r="V146" i="20"/>
  <c r="U146" i="20"/>
  <c r="T146" i="20"/>
  <c r="S146" i="20"/>
  <c r="R146" i="20"/>
  <c r="Q146" i="20"/>
  <c r="P146" i="20"/>
  <c r="O146" i="20"/>
  <c r="N146" i="20"/>
  <c r="AE145" i="20"/>
  <c r="AD145" i="20"/>
  <c r="AC145" i="20"/>
  <c r="AB145" i="20"/>
  <c r="AA145" i="20"/>
  <c r="Z145" i="20"/>
  <c r="Y145" i="20"/>
  <c r="X145" i="20"/>
  <c r="W145" i="20"/>
  <c r="V145" i="20"/>
  <c r="U145" i="20"/>
  <c r="T145" i="20"/>
  <c r="S145" i="20"/>
  <c r="R145" i="20"/>
  <c r="Q145" i="20"/>
  <c r="P145" i="20"/>
  <c r="O145" i="20"/>
  <c r="N145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AE136" i="20"/>
  <c r="AD136" i="20"/>
  <c r="AC136" i="20"/>
  <c r="AB136" i="20"/>
  <c r="AA136" i="20"/>
  <c r="Z136" i="20"/>
  <c r="Y136" i="20"/>
  <c r="X136" i="20"/>
  <c r="W136" i="20"/>
  <c r="V136" i="20"/>
  <c r="U136" i="20"/>
  <c r="T136" i="20"/>
  <c r="S136" i="20"/>
  <c r="R136" i="20"/>
  <c r="Q136" i="20"/>
  <c r="P136" i="20"/>
  <c r="O136" i="20"/>
  <c r="N136" i="20"/>
  <c r="AE135" i="20"/>
  <c r="AD135" i="20"/>
  <c r="AC135" i="20"/>
  <c r="AB135" i="20"/>
  <c r="AA135" i="20"/>
  <c r="Z135" i="20"/>
  <c r="Y135" i="20"/>
  <c r="X135" i="20"/>
  <c r="W135" i="20"/>
  <c r="V135" i="20"/>
  <c r="U135" i="20"/>
  <c r="T135" i="20"/>
  <c r="S135" i="20"/>
  <c r="R135" i="20"/>
  <c r="Q135" i="20"/>
  <c r="P135" i="20"/>
  <c r="O135" i="20"/>
  <c r="N135" i="20"/>
  <c r="AE134" i="20"/>
  <c r="AD134" i="20"/>
  <c r="AC134" i="20"/>
  <c r="AB134" i="20"/>
  <c r="AA134" i="20"/>
  <c r="Z134" i="20"/>
  <c r="Y134" i="20"/>
  <c r="X134" i="20"/>
  <c r="W134" i="20"/>
  <c r="V134" i="20"/>
  <c r="U134" i="20"/>
  <c r="T134" i="20"/>
  <c r="S134" i="20"/>
  <c r="R134" i="20"/>
  <c r="Q134" i="20"/>
  <c r="P134" i="20"/>
  <c r="O134" i="20"/>
  <c r="N134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AE10" i="20"/>
  <c r="AF141" i="18"/>
  <c r="AC10" i="20"/>
  <c r="AD141" i="18"/>
  <c r="AB10" i="20"/>
  <c r="AC141" i="18"/>
  <c r="AA10" i="20"/>
  <c r="AB141" i="18"/>
  <c r="Z10" i="20"/>
  <c r="AA141" i="18"/>
  <c r="Y10" i="20"/>
  <c r="Z141" i="18"/>
  <c r="X10" i="20"/>
  <c r="Y141" i="18"/>
  <c r="W10" i="20"/>
  <c r="X141" i="18"/>
  <c r="V10" i="20"/>
  <c r="W141" i="18"/>
  <c r="AE19" i="20"/>
  <c r="AF150" i="18"/>
  <c r="AC19" i="20"/>
  <c r="AD150" i="18"/>
  <c r="AB19" i="20"/>
  <c r="AC150" i="18"/>
  <c r="AA19" i="20"/>
  <c r="AB150" i="18"/>
  <c r="Z19" i="20"/>
  <c r="AA150" i="18"/>
  <c r="Y19" i="20"/>
  <c r="Z150" i="18"/>
  <c r="X19" i="20"/>
  <c r="Y150" i="18"/>
  <c r="W19" i="20"/>
  <c r="X150" i="18"/>
  <c r="V19" i="20"/>
  <c r="W150" i="18"/>
  <c r="AE8" i="20"/>
  <c r="AF139" i="18"/>
  <c r="AC8" i="20"/>
  <c r="AD139" i="18"/>
  <c r="AB8" i="20"/>
  <c r="AC139" i="18"/>
  <c r="Z8" i="20"/>
  <c r="AA139" i="18"/>
  <c r="Y8" i="20"/>
  <c r="Z139" i="18"/>
  <c r="X8" i="20"/>
  <c r="Y139" i="18"/>
  <c r="W8" i="20"/>
  <c r="X139" i="18"/>
  <c r="V8" i="20"/>
  <c r="W139" i="18"/>
  <c r="AE17" i="20"/>
  <c r="AF148" i="18"/>
  <c r="AC17" i="20"/>
  <c r="AD148" i="18"/>
  <c r="AB17" i="20"/>
  <c r="AC148" i="18"/>
  <c r="AA17" i="20"/>
  <c r="AB148" i="18"/>
  <c r="Z17" i="20"/>
  <c r="AA148" i="18"/>
  <c r="Y17" i="20"/>
  <c r="Z148" i="18"/>
  <c r="X17" i="20"/>
  <c r="Y148" i="18"/>
  <c r="W17" i="20"/>
  <c r="X148" i="18"/>
  <c r="V17" i="20"/>
  <c r="W148" i="18"/>
  <c r="Y105" i="7"/>
  <c r="E105" i="20" s="1"/>
  <c r="L250" i="5"/>
  <c r="S20" i="19"/>
  <c r="R20" i="19"/>
  <c r="M20" i="19"/>
  <c r="S21" i="19"/>
  <c r="R21" i="19"/>
  <c r="M21" i="19"/>
  <c r="K165" i="20"/>
  <c r="I165" i="20"/>
  <c r="K164" i="20"/>
  <c r="I164" i="20"/>
  <c r="K163" i="20"/>
  <c r="I163" i="20"/>
  <c r="K162" i="20"/>
  <c r="I162" i="20"/>
  <c r="K161" i="20"/>
  <c r="I161" i="20"/>
  <c r="K160" i="20"/>
  <c r="I160" i="20"/>
  <c r="K159" i="20"/>
  <c r="I159" i="20"/>
  <c r="K158" i="20"/>
  <c r="I158" i="20"/>
  <c r="K157" i="20"/>
  <c r="I157" i="20"/>
  <c r="K156" i="20"/>
  <c r="I156" i="20"/>
  <c r="K155" i="20"/>
  <c r="I155" i="20"/>
  <c r="K154" i="20"/>
  <c r="I154" i="20"/>
  <c r="K153" i="20"/>
  <c r="I153" i="20"/>
  <c r="K152" i="20"/>
  <c r="I152" i="20"/>
  <c r="K151" i="20"/>
  <c r="I151" i="20"/>
  <c r="K150" i="20"/>
  <c r="I150" i="20"/>
  <c r="K149" i="20"/>
  <c r="I149" i="20"/>
  <c r="K148" i="20"/>
  <c r="I148" i="20"/>
  <c r="S18" i="19"/>
  <c r="R18" i="19"/>
  <c r="M18" i="19"/>
  <c r="S19" i="19"/>
  <c r="R19" i="19"/>
  <c r="M19" i="19"/>
  <c r="K147" i="20"/>
  <c r="I147" i="20"/>
  <c r="K146" i="20"/>
  <c r="I146" i="20"/>
  <c r="K145" i="20"/>
  <c r="I145" i="20"/>
  <c r="K144" i="20"/>
  <c r="I144" i="20"/>
  <c r="K143" i="20"/>
  <c r="I143" i="20"/>
  <c r="K142" i="20"/>
  <c r="I142" i="20"/>
  <c r="K141" i="20"/>
  <c r="I141" i="20"/>
  <c r="K140" i="20"/>
  <c r="I140" i="20"/>
  <c r="K139" i="20"/>
  <c r="I139" i="20"/>
  <c r="K138" i="20"/>
  <c r="I138" i="20"/>
  <c r="K137" i="20"/>
  <c r="I137" i="20"/>
  <c r="K136" i="20"/>
  <c r="I136" i="20"/>
  <c r="K135" i="20"/>
  <c r="I135" i="20"/>
  <c r="K134" i="20"/>
  <c r="I134" i="20"/>
  <c r="K133" i="20"/>
  <c r="I133" i="20"/>
  <c r="K132" i="20"/>
  <c r="I132" i="20"/>
  <c r="K131" i="20"/>
  <c r="I131" i="20"/>
  <c r="X376" i="5"/>
  <c r="AH142" i="7"/>
  <c r="W376" i="5"/>
  <c r="AG142" i="7"/>
  <c r="V376" i="5"/>
  <c r="AF142" i="7"/>
  <c r="U376" i="5"/>
  <c r="AE142" i="7"/>
  <c r="T376" i="5"/>
  <c r="AD142" i="7"/>
  <c r="S376" i="5"/>
  <c r="AC142" i="7"/>
  <c r="R376" i="5"/>
  <c r="AB142" i="7"/>
  <c r="Q376" i="5"/>
  <c r="AA142" i="7"/>
  <c r="P376" i="5"/>
  <c r="Z142" i="7"/>
  <c r="O376" i="5"/>
  <c r="Y142" i="7"/>
  <c r="X142" i="7"/>
  <c r="M376" i="5"/>
  <c r="X374" i="5"/>
  <c r="AH140" i="7"/>
  <c r="W374" i="5"/>
  <c r="AG140" i="7"/>
  <c r="V374" i="5"/>
  <c r="AF140" i="7"/>
  <c r="U374" i="5"/>
  <c r="AE140" i="7"/>
  <c r="T374" i="5"/>
  <c r="AD140" i="7"/>
  <c r="S374" i="5"/>
  <c r="AC140" i="7"/>
  <c r="R374" i="5"/>
  <c r="AB140" i="7"/>
  <c r="Q374" i="5"/>
  <c r="AA140" i="7"/>
  <c r="P374" i="5"/>
  <c r="Z140" i="7"/>
  <c r="O374" i="5"/>
  <c r="Y140" i="7"/>
  <c r="X140" i="7"/>
  <c r="M374" i="5"/>
  <c r="X373" i="5"/>
  <c r="AH139" i="7"/>
  <c r="W373" i="5"/>
  <c r="AG139" i="7"/>
  <c r="V373" i="5"/>
  <c r="AF139" i="7"/>
  <c r="U373" i="5"/>
  <c r="AE139" i="7"/>
  <c r="T373" i="5"/>
  <c r="AD139" i="7"/>
  <c r="S373" i="5"/>
  <c r="AC139" i="7"/>
  <c r="R373" i="5"/>
  <c r="AB139" i="7"/>
  <c r="Q373" i="5"/>
  <c r="AA139" i="7"/>
  <c r="P373" i="5"/>
  <c r="Z139" i="7"/>
  <c r="O373" i="5"/>
  <c r="X139" i="7"/>
  <c r="M373" i="5"/>
  <c r="X381" i="5"/>
  <c r="AH147" i="7"/>
  <c r="W381" i="5"/>
  <c r="AG147" i="7"/>
  <c r="V381" i="5"/>
  <c r="AF147" i="7"/>
  <c r="U381" i="5"/>
  <c r="AE147" i="7"/>
  <c r="T381" i="5"/>
  <c r="AD147" i="7"/>
  <c r="S381" i="5"/>
  <c r="AC147" i="7"/>
  <c r="R381" i="5"/>
  <c r="AB147" i="7"/>
  <c r="Q381" i="5"/>
  <c r="AA147" i="7"/>
  <c r="P381" i="5"/>
  <c r="Z147" i="7"/>
  <c r="O381" i="5"/>
  <c r="Y147" i="7"/>
  <c r="X147" i="7"/>
  <c r="M381" i="5"/>
  <c r="U123" i="7"/>
  <c r="B123" i="20"/>
  <c r="X326" i="5"/>
  <c r="AH123" i="7"/>
  <c r="W326" i="5"/>
  <c r="AG123" i="7"/>
  <c r="V326" i="5"/>
  <c r="AF123" i="7"/>
  <c r="U326" i="5"/>
  <c r="AE123" i="7"/>
  <c r="T326" i="5"/>
  <c r="AD123" i="7"/>
  <c r="S326" i="5"/>
  <c r="AC123" i="7"/>
  <c r="H123" i="20" s="1"/>
  <c r="R326" i="5"/>
  <c r="AB123" i="7"/>
  <c r="G123" i="20" s="1"/>
  <c r="Q326" i="5"/>
  <c r="AA123" i="7"/>
  <c r="P326" i="5"/>
  <c r="Z123" i="7"/>
  <c r="O326" i="5"/>
  <c r="X123" i="7"/>
  <c r="M326" i="5"/>
  <c r="W123" i="7"/>
  <c r="D123" i="20" s="1"/>
  <c r="U125" i="7"/>
  <c r="B125" i="20"/>
  <c r="X328" i="5"/>
  <c r="AH125" i="7"/>
  <c r="W328" i="5"/>
  <c r="AG125" i="7"/>
  <c r="V328" i="5"/>
  <c r="AF125" i="7"/>
  <c r="U328" i="5"/>
  <c r="AE125" i="7"/>
  <c r="T328" i="5"/>
  <c r="AD125" i="7"/>
  <c r="S328" i="5"/>
  <c r="AC125" i="7"/>
  <c r="H125" i="20" s="1"/>
  <c r="R328" i="5"/>
  <c r="AB125" i="7"/>
  <c r="G125" i="20" s="1"/>
  <c r="Q328" i="5"/>
  <c r="AA125" i="7"/>
  <c r="P328" i="5"/>
  <c r="Z125" i="7"/>
  <c r="O328" i="5"/>
  <c r="Y125" i="7"/>
  <c r="E125" i="20" s="1"/>
  <c r="X125" i="7"/>
  <c r="M328" i="5"/>
  <c r="W125" i="7"/>
  <c r="D125" i="20" s="1"/>
  <c r="F125" i="20" s="1"/>
  <c r="U126" i="7"/>
  <c r="B126" i="20"/>
  <c r="X329" i="5"/>
  <c r="AH126" i="7"/>
  <c r="W329" i="5"/>
  <c r="AG126" i="7"/>
  <c r="V329" i="5"/>
  <c r="AF126" i="7"/>
  <c r="U329" i="5"/>
  <c r="AE126" i="7"/>
  <c r="T329" i="5"/>
  <c r="AD126" i="7"/>
  <c r="S329" i="5"/>
  <c r="AC126" i="7"/>
  <c r="H126" i="20" s="1"/>
  <c r="R329" i="5"/>
  <c r="AB126" i="7"/>
  <c r="G126" i="20" s="1"/>
  <c r="Q329" i="5"/>
  <c r="AA126" i="7"/>
  <c r="P329" i="5"/>
  <c r="Z126" i="7"/>
  <c r="O329" i="5"/>
  <c r="Y126" i="7"/>
  <c r="E126" i="20" s="1"/>
  <c r="X126" i="7"/>
  <c r="M329" i="5"/>
  <c r="W126" i="7"/>
  <c r="D126" i="20" s="1"/>
  <c r="F126" i="20" s="1"/>
  <c r="X330" i="5"/>
  <c r="AH127" i="7"/>
  <c r="W330" i="5"/>
  <c r="AG127" i="7"/>
  <c r="V330" i="5"/>
  <c r="AF127" i="7"/>
  <c r="U330" i="5"/>
  <c r="AE127" i="7"/>
  <c r="T330" i="5"/>
  <c r="AD127" i="7"/>
  <c r="S330" i="5"/>
  <c r="AC127" i="7"/>
  <c r="H127" i="20" s="1"/>
  <c r="R330" i="5"/>
  <c r="AB127" i="7"/>
  <c r="G127" i="20" s="1"/>
  <c r="Q330" i="5"/>
  <c r="AA127" i="7"/>
  <c r="P330" i="5"/>
  <c r="Z127" i="7"/>
  <c r="O330" i="5"/>
  <c r="Y127" i="7"/>
  <c r="E127" i="20" s="1"/>
  <c r="X127" i="7"/>
  <c r="M330" i="5"/>
  <c r="U128" i="7"/>
  <c r="B128" i="20"/>
  <c r="X331" i="5"/>
  <c r="AH128" i="7"/>
  <c r="W331" i="5"/>
  <c r="AG128" i="7"/>
  <c r="V331" i="5"/>
  <c r="AF128" i="7"/>
  <c r="U331" i="5"/>
  <c r="AE128" i="7"/>
  <c r="T331" i="5"/>
  <c r="AD128" i="7"/>
  <c r="S331" i="5"/>
  <c r="AC128" i="7"/>
  <c r="H128" i="20" s="1"/>
  <c r="R331" i="5"/>
  <c r="AB128" i="7"/>
  <c r="G128" i="20" s="1"/>
  <c r="Q331" i="5"/>
  <c r="AA128" i="7"/>
  <c r="P331" i="5"/>
  <c r="Z128" i="7"/>
  <c r="O331" i="5"/>
  <c r="Y128" i="7"/>
  <c r="E128" i="20" s="1"/>
  <c r="X128" i="7"/>
  <c r="M331" i="5"/>
  <c r="W128" i="7"/>
  <c r="D128" i="20" s="1"/>
  <c r="F128" i="20" s="1"/>
  <c r="Y121" i="7"/>
  <c r="E121" i="20" s="1"/>
  <c r="U87" i="7"/>
  <c r="B87" i="20"/>
  <c r="X228" i="5"/>
  <c r="AH87" i="7"/>
  <c r="W228" i="5"/>
  <c r="AG87" i="7"/>
  <c r="V228" i="5"/>
  <c r="AF87" i="7"/>
  <c r="U228" i="5"/>
  <c r="AE87" i="7"/>
  <c r="T228" i="5"/>
  <c r="AD87" i="7"/>
  <c r="S228" i="5"/>
  <c r="AC87" i="7"/>
  <c r="H87" i="20"/>
  <c r="R228" i="5"/>
  <c r="AB87" i="7"/>
  <c r="G87" i="20"/>
  <c r="Q228" i="5"/>
  <c r="AA87" i="7"/>
  <c r="P228" i="5"/>
  <c r="Z87" i="7"/>
  <c r="O228" i="5"/>
  <c r="X87" i="7"/>
  <c r="M228" i="5"/>
  <c r="W87" i="7"/>
  <c r="D87" i="20"/>
  <c r="F87" i="20"/>
  <c r="U89" i="7"/>
  <c r="B89" i="20"/>
  <c r="X230" i="5"/>
  <c r="AH89" i="7"/>
  <c r="W230" i="5"/>
  <c r="AG89" i="7"/>
  <c r="V230" i="5"/>
  <c r="AF89" i="7"/>
  <c r="U230" i="5"/>
  <c r="AE89" i="7"/>
  <c r="T230" i="5"/>
  <c r="AD89" i="7"/>
  <c r="S230" i="5"/>
  <c r="AC89" i="7"/>
  <c r="H89" i="20"/>
  <c r="R230" i="5"/>
  <c r="AB89" i="7"/>
  <c r="G89" i="20"/>
  <c r="Q230" i="5"/>
  <c r="AA89" i="7"/>
  <c r="P230" i="5"/>
  <c r="Z89" i="7"/>
  <c r="O230" i="5"/>
  <c r="Y89" i="7"/>
  <c r="E89" i="20"/>
  <c r="X89" i="7"/>
  <c r="M230" i="5"/>
  <c r="W89" i="7"/>
  <c r="D89" i="20"/>
  <c r="F89" i="20"/>
  <c r="U90" i="7"/>
  <c r="B90" i="20"/>
  <c r="X231" i="5"/>
  <c r="AH90" i="7"/>
  <c r="W231" i="5"/>
  <c r="AG90" i="7"/>
  <c r="V231" i="5"/>
  <c r="AF90" i="7"/>
  <c r="U231" i="5"/>
  <c r="AE90" i="7"/>
  <c r="T231" i="5"/>
  <c r="AD90" i="7"/>
  <c r="S231" i="5"/>
  <c r="AC90" i="7"/>
  <c r="H90" i="20"/>
  <c r="R231" i="5"/>
  <c r="AB90" i="7"/>
  <c r="G90" i="20"/>
  <c r="Q231" i="5"/>
  <c r="AA90" i="7"/>
  <c r="P231" i="5"/>
  <c r="Z90" i="7"/>
  <c r="O231" i="5"/>
  <c r="Y90" i="7"/>
  <c r="E90" i="20"/>
  <c r="X90" i="7"/>
  <c r="M231" i="5"/>
  <c r="W90" i="7"/>
  <c r="D90" i="20"/>
  <c r="F90" i="20"/>
  <c r="X232" i="5"/>
  <c r="AH91" i="7"/>
  <c r="W232" i="5"/>
  <c r="AG91" i="7"/>
  <c r="V232" i="5"/>
  <c r="AF91" i="7"/>
  <c r="U232" i="5"/>
  <c r="AE91" i="7"/>
  <c r="T232" i="5"/>
  <c r="AD91" i="7"/>
  <c r="S232" i="5"/>
  <c r="AC91" i="7"/>
  <c r="H91" i="20"/>
  <c r="R232" i="5"/>
  <c r="AB91" i="7"/>
  <c r="G91" i="20"/>
  <c r="Q232" i="5"/>
  <c r="AA91" i="7"/>
  <c r="P232" i="5"/>
  <c r="Z91" i="7"/>
  <c r="O232" i="5"/>
  <c r="Y91" i="7"/>
  <c r="E91" i="20"/>
  <c r="X91" i="7"/>
  <c r="M232" i="5"/>
  <c r="U92" i="7"/>
  <c r="B92" i="20"/>
  <c r="X233" i="5"/>
  <c r="AH92" i="7"/>
  <c r="W233" i="5"/>
  <c r="AG92" i="7"/>
  <c r="V233" i="5"/>
  <c r="AF92" i="7"/>
  <c r="U233" i="5"/>
  <c r="AE92" i="7"/>
  <c r="T233" i="5"/>
  <c r="AD92" i="7"/>
  <c r="S233" i="5"/>
  <c r="AC92" i="7"/>
  <c r="H92" i="20"/>
  <c r="R233" i="5"/>
  <c r="AB92" i="7"/>
  <c r="G92" i="20"/>
  <c r="Q233" i="5"/>
  <c r="AA92" i="7"/>
  <c r="P233" i="5"/>
  <c r="Z92" i="7"/>
  <c r="O233" i="5"/>
  <c r="Y92" i="7"/>
  <c r="E92" i="20"/>
  <c r="X92" i="7"/>
  <c r="M233" i="5"/>
  <c r="W92" i="7"/>
  <c r="D92" i="20"/>
  <c r="F92" i="20"/>
  <c r="Y85" i="7"/>
  <c r="E85" i="20"/>
  <c r="X261" i="5"/>
  <c r="AH101" i="7"/>
  <c r="W261" i="5"/>
  <c r="AG101" i="7"/>
  <c r="V261" i="5"/>
  <c r="AF101" i="7"/>
  <c r="U261" i="5"/>
  <c r="AE101" i="7"/>
  <c r="T261" i="5"/>
  <c r="AD101" i="7"/>
  <c r="S261" i="5"/>
  <c r="AC101" i="7"/>
  <c r="H101" i="20" s="1"/>
  <c r="R261" i="5"/>
  <c r="AB101" i="7"/>
  <c r="G101" i="20" s="1"/>
  <c r="Q261" i="5"/>
  <c r="AA101" i="7"/>
  <c r="P261" i="5"/>
  <c r="Z101" i="7"/>
  <c r="O261" i="5"/>
  <c r="Y101" i="7"/>
  <c r="E101" i="20" s="1"/>
  <c r="X101" i="7"/>
  <c r="M261" i="5"/>
  <c r="W101" i="7"/>
  <c r="D101" i="20" s="1"/>
  <c r="F101" i="20" s="1"/>
  <c r="X260" i="5"/>
  <c r="AH100" i="7"/>
  <c r="W260" i="5"/>
  <c r="AG100" i="7"/>
  <c r="V260" i="5"/>
  <c r="AF100" i="7"/>
  <c r="U260" i="5"/>
  <c r="AE100" i="7"/>
  <c r="T260" i="5"/>
  <c r="AD100" i="7"/>
  <c r="S260" i="5"/>
  <c r="AC100" i="7"/>
  <c r="H100" i="20" s="1"/>
  <c r="R260" i="5"/>
  <c r="AB100" i="7"/>
  <c r="G100" i="20" s="1"/>
  <c r="Q260" i="5"/>
  <c r="AA100" i="7"/>
  <c r="P260" i="5"/>
  <c r="Z100" i="7"/>
  <c r="O260" i="5"/>
  <c r="Y100" i="7"/>
  <c r="E100" i="20" s="1"/>
  <c r="X100" i="7"/>
  <c r="M260" i="5"/>
  <c r="X259" i="5"/>
  <c r="AH99" i="7"/>
  <c r="W259" i="5"/>
  <c r="AG99" i="7"/>
  <c r="V259" i="5"/>
  <c r="AF99" i="7"/>
  <c r="U259" i="5"/>
  <c r="AE99" i="7"/>
  <c r="T259" i="5"/>
  <c r="AD99" i="7"/>
  <c r="S259" i="5"/>
  <c r="AC99" i="7"/>
  <c r="H99" i="20" s="1"/>
  <c r="R259" i="5"/>
  <c r="AB99" i="7"/>
  <c r="G99" i="20" s="1"/>
  <c r="Q259" i="5"/>
  <c r="AA99" i="7"/>
  <c r="P259" i="5"/>
  <c r="Z99" i="7"/>
  <c r="O259" i="5"/>
  <c r="Y99" i="7"/>
  <c r="E99" i="20" s="1"/>
  <c r="X99" i="7"/>
  <c r="M259" i="5"/>
  <c r="W99" i="7"/>
  <c r="D99" i="20" s="1"/>
  <c r="F99" i="20" s="1"/>
  <c r="U98" i="7"/>
  <c r="B98" i="20"/>
  <c r="X258" i="5"/>
  <c r="AH98" i="7"/>
  <c r="W258" i="5"/>
  <c r="AG98" i="7"/>
  <c r="V258" i="5"/>
  <c r="AF98" i="7"/>
  <c r="U258" i="5"/>
  <c r="AE98" i="7"/>
  <c r="T258" i="5"/>
  <c r="AD98" i="7"/>
  <c r="S258" i="5"/>
  <c r="AC98" i="7"/>
  <c r="H98" i="20" s="1"/>
  <c r="R258" i="5"/>
  <c r="AB98" i="7"/>
  <c r="G98" i="20" s="1"/>
  <c r="Q258" i="5"/>
  <c r="AA98" i="7"/>
  <c r="P258" i="5"/>
  <c r="Z98" i="7"/>
  <c r="O258" i="5"/>
  <c r="Y98" i="7"/>
  <c r="E98" i="20" s="1"/>
  <c r="X98" i="7"/>
  <c r="M258" i="5"/>
  <c r="W98" i="7"/>
  <c r="D98" i="20" s="1"/>
  <c r="F98" i="20" s="1"/>
  <c r="X257" i="5"/>
  <c r="AH97" i="7"/>
  <c r="W257" i="5"/>
  <c r="AG97" i="7"/>
  <c r="V257" i="5"/>
  <c r="AF97" i="7"/>
  <c r="U257" i="5"/>
  <c r="AE97" i="7"/>
  <c r="T257" i="5"/>
  <c r="AD97" i="7"/>
  <c r="S257" i="5"/>
  <c r="AC97" i="7"/>
  <c r="H97" i="20" s="1"/>
  <c r="R257" i="5"/>
  <c r="AB97" i="7"/>
  <c r="G97" i="20" s="1"/>
  <c r="Q257" i="5"/>
  <c r="AA97" i="7"/>
  <c r="P257" i="5"/>
  <c r="Z97" i="7"/>
  <c r="O257" i="5"/>
  <c r="Y97" i="7"/>
  <c r="E97" i="20" s="1"/>
  <c r="X97" i="7"/>
  <c r="M257" i="5"/>
  <c r="X256" i="5"/>
  <c r="AH96" i="7"/>
  <c r="W256" i="5"/>
  <c r="AG96" i="7"/>
  <c r="V256" i="5"/>
  <c r="AF96" i="7"/>
  <c r="U256" i="5"/>
  <c r="AE96" i="7"/>
  <c r="T256" i="5"/>
  <c r="AD96" i="7"/>
  <c r="S256" i="5"/>
  <c r="AC96" i="7"/>
  <c r="H96" i="20" s="1"/>
  <c r="R256" i="5"/>
  <c r="AB96" i="7"/>
  <c r="G96" i="20" s="1"/>
  <c r="Q256" i="5"/>
  <c r="AA96" i="7"/>
  <c r="P256" i="5"/>
  <c r="Z96" i="7"/>
  <c r="O256" i="5"/>
  <c r="Y96" i="7"/>
  <c r="E96" i="20" s="1"/>
  <c r="X96" i="7"/>
  <c r="M256" i="5"/>
  <c r="W96" i="7"/>
  <c r="D96" i="20" s="1"/>
  <c r="F96" i="20" s="1"/>
  <c r="X255" i="5"/>
  <c r="AH95" i="7"/>
  <c r="W255" i="5"/>
  <c r="AG95" i="7"/>
  <c r="V255" i="5"/>
  <c r="AF95" i="7"/>
  <c r="U255" i="5"/>
  <c r="AE95" i="7"/>
  <c r="T255" i="5"/>
  <c r="AD95" i="7"/>
  <c r="S255" i="5"/>
  <c r="AC95" i="7"/>
  <c r="H95" i="20" s="1"/>
  <c r="R255" i="5"/>
  <c r="AB95" i="7"/>
  <c r="G95" i="20" s="1"/>
  <c r="Q255" i="5"/>
  <c r="AA95" i="7"/>
  <c r="P255" i="5"/>
  <c r="Z95" i="7"/>
  <c r="O255" i="5"/>
  <c r="Y95" i="7"/>
  <c r="E95" i="20" s="1"/>
  <c r="X95" i="7"/>
  <c r="M255" i="5"/>
  <c r="X254" i="5"/>
  <c r="AH94" i="7"/>
  <c r="W254" i="5"/>
  <c r="AG94" i="7"/>
  <c r="V254" i="5"/>
  <c r="AF94" i="7"/>
  <c r="U254" i="5"/>
  <c r="AE94" i="7"/>
  <c r="T254" i="5"/>
  <c r="AD94" i="7"/>
  <c r="S254" i="5"/>
  <c r="AC94" i="7"/>
  <c r="H94" i="20" s="1"/>
  <c r="R254" i="5"/>
  <c r="AB94" i="7"/>
  <c r="G94" i="20" s="1"/>
  <c r="Q254" i="5"/>
  <c r="AA94" i="7"/>
  <c r="P254" i="5"/>
  <c r="Z94" i="7"/>
  <c r="O254" i="5"/>
  <c r="X94" i="7"/>
  <c r="M254" i="5"/>
  <c r="X212" i="5"/>
  <c r="AH83" i="7"/>
  <c r="W212" i="5"/>
  <c r="AG83" i="7"/>
  <c r="V212" i="5"/>
  <c r="AF83" i="7"/>
  <c r="U212" i="5"/>
  <c r="AE83" i="7"/>
  <c r="T212" i="5"/>
  <c r="AD83" i="7"/>
  <c r="S212" i="5"/>
  <c r="AC83" i="7"/>
  <c r="H83" i="20"/>
  <c r="R212" i="5"/>
  <c r="AB83" i="7"/>
  <c r="G83" i="20"/>
  <c r="Q212" i="5"/>
  <c r="AA83" i="7"/>
  <c r="P212" i="5"/>
  <c r="Z83" i="7"/>
  <c r="O212" i="5"/>
  <c r="Y83" i="7"/>
  <c r="E83" i="20"/>
  <c r="X83" i="7"/>
  <c r="M212" i="5"/>
  <c r="W83" i="7"/>
  <c r="D83" i="20"/>
  <c r="F83" i="20"/>
  <c r="X211" i="5"/>
  <c r="AH82" i="7"/>
  <c r="W211" i="5"/>
  <c r="AG82" i="7"/>
  <c r="V211" i="5"/>
  <c r="AF82" i="7"/>
  <c r="U211" i="5"/>
  <c r="AE82" i="7"/>
  <c r="T211" i="5"/>
  <c r="AD82" i="7"/>
  <c r="S211" i="5"/>
  <c r="AC82" i="7"/>
  <c r="H82" i="20"/>
  <c r="R211" i="5"/>
  <c r="AB82" i="7"/>
  <c r="G82" i="20"/>
  <c r="Q211" i="5"/>
  <c r="AA82" i="7"/>
  <c r="P211" i="5"/>
  <c r="Z82" i="7"/>
  <c r="O211" i="5"/>
  <c r="Y82" i="7"/>
  <c r="E82" i="20"/>
  <c r="X82" i="7"/>
  <c r="M211" i="5"/>
  <c r="X210" i="5"/>
  <c r="AH81" i="7"/>
  <c r="W210" i="5"/>
  <c r="AG81" i="7"/>
  <c r="V210" i="5"/>
  <c r="AF81" i="7"/>
  <c r="U210" i="5"/>
  <c r="AE81" i="7"/>
  <c r="T210" i="5"/>
  <c r="AD81" i="7"/>
  <c r="S210" i="5"/>
  <c r="AC81" i="7"/>
  <c r="H81" i="20"/>
  <c r="R210" i="5"/>
  <c r="AB81" i="7"/>
  <c r="G81" i="20"/>
  <c r="Q210" i="5"/>
  <c r="AA81" i="7"/>
  <c r="P210" i="5"/>
  <c r="Z81" i="7"/>
  <c r="O210" i="5"/>
  <c r="Y81" i="7"/>
  <c r="E81" i="20"/>
  <c r="X81" i="7"/>
  <c r="M210" i="5"/>
  <c r="W81" i="7"/>
  <c r="D81" i="20"/>
  <c r="F81" i="20"/>
  <c r="U80" i="7"/>
  <c r="B80" i="20"/>
  <c r="X209" i="5"/>
  <c r="AH80" i="7"/>
  <c r="W209" i="5"/>
  <c r="AG80" i="7"/>
  <c r="V209" i="5"/>
  <c r="AF80" i="7"/>
  <c r="U209" i="5"/>
  <c r="AE80" i="7"/>
  <c r="T209" i="5"/>
  <c r="AD80" i="7"/>
  <c r="S209" i="5"/>
  <c r="AC80" i="7"/>
  <c r="H80" i="20"/>
  <c r="R209" i="5"/>
  <c r="AB80" i="7"/>
  <c r="G80" i="20"/>
  <c r="Q209" i="5"/>
  <c r="AA80" i="7"/>
  <c r="P209" i="5"/>
  <c r="Z80" i="7"/>
  <c r="O209" i="5"/>
  <c r="Y80" i="7"/>
  <c r="E80" i="20"/>
  <c r="X80" i="7"/>
  <c r="M209" i="5"/>
  <c r="W80" i="7"/>
  <c r="D80" i="20"/>
  <c r="F80" i="20"/>
  <c r="X208" i="5"/>
  <c r="AH79" i="7"/>
  <c r="W208" i="5"/>
  <c r="AG79" i="7"/>
  <c r="V208" i="5"/>
  <c r="AF79" i="7"/>
  <c r="U208" i="5"/>
  <c r="AE79" i="7"/>
  <c r="T208" i="5"/>
  <c r="AD79" i="7"/>
  <c r="S208" i="5"/>
  <c r="AC79" i="7"/>
  <c r="H79" i="20"/>
  <c r="R208" i="5"/>
  <c r="AB79" i="7"/>
  <c r="G79" i="20"/>
  <c r="Q208" i="5"/>
  <c r="AA79" i="7"/>
  <c r="P208" i="5"/>
  <c r="Z79" i="7"/>
  <c r="O208" i="5"/>
  <c r="Y79" i="7"/>
  <c r="E79" i="20"/>
  <c r="X79" i="7"/>
  <c r="M208" i="5"/>
  <c r="X207" i="5"/>
  <c r="AH78" i="7"/>
  <c r="W207" i="5"/>
  <c r="AG78" i="7"/>
  <c r="V207" i="5"/>
  <c r="AF78" i="7"/>
  <c r="U207" i="5"/>
  <c r="AE78" i="7"/>
  <c r="T207" i="5"/>
  <c r="AD78" i="7"/>
  <c r="S207" i="5"/>
  <c r="AC78" i="7"/>
  <c r="H78" i="20"/>
  <c r="R207" i="5"/>
  <c r="AB78" i="7"/>
  <c r="G78" i="20"/>
  <c r="Q207" i="5"/>
  <c r="AA78" i="7"/>
  <c r="P207" i="5"/>
  <c r="Z78" i="7"/>
  <c r="O207" i="5"/>
  <c r="Y78" i="7"/>
  <c r="E78" i="20"/>
  <c r="X78" i="7"/>
  <c r="M207" i="5"/>
  <c r="W78" i="7"/>
  <c r="D78" i="20"/>
  <c r="F78" i="20"/>
  <c r="X206" i="5"/>
  <c r="AH77" i="7"/>
  <c r="W206" i="5"/>
  <c r="AG77" i="7"/>
  <c r="V206" i="5"/>
  <c r="AF77" i="7"/>
  <c r="U206" i="5"/>
  <c r="AE77" i="7"/>
  <c r="T206" i="5"/>
  <c r="AD77" i="7"/>
  <c r="S206" i="5"/>
  <c r="AC77" i="7"/>
  <c r="H77" i="20"/>
  <c r="R206" i="5"/>
  <c r="AB77" i="7"/>
  <c r="G77" i="20"/>
  <c r="Q206" i="5"/>
  <c r="AA77" i="7"/>
  <c r="P206" i="5"/>
  <c r="Z77" i="7"/>
  <c r="O206" i="5"/>
  <c r="X77" i="7"/>
  <c r="M206" i="5"/>
  <c r="X205" i="5"/>
  <c r="AH76" i="7"/>
  <c r="W205" i="5"/>
  <c r="AG76" i="7"/>
  <c r="V205" i="5"/>
  <c r="AF76" i="7"/>
  <c r="U205" i="5"/>
  <c r="AE76" i="7"/>
  <c r="T205" i="5"/>
  <c r="AD76" i="7"/>
  <c r="S205" i="5"/>
  <c r="AC76" i="7"/>
  <c r="H76" i="20"/>
  <c r="R205" i="5"/>
  <c r="AB76" i="7"/>
  <c r="G76" i="20"/>
  <c r="Q205" i="5"/>
  <c r="AA76" i="7"/>
  <c r="P205" i="5"/>
  <c r="Z76" i="7"/>
  <c r="O205" i="5"/>
  <c r="X76" i="7"/>
  <c r="M205" i="5"/>
  <c r="U69" i="7"/>
  <c r="B69" i="20"/>
  <c r="M179" i="5"/>
  <c r="W69" i="7"/>
  <c r="D69" i="20"/>
  <c r="X69" i="7"/>
  <c r="O179" i="5"/>
  <c r="P179" i="5"/>
  <c r="Z69" i="7"/>
  <c r="Q179" i="5"/>
  <c r="AA69" i="7"/>
  <c r="R179" i="5"/>
  <c r="AB69" i="7"/>
  <c r="G69" i="20"/>
  <c r="S179" i="5"/>
  <c r="AC69" i="7"/>
  <c r="H69" i="20"/>
  <c r="T179" i="5"/>
  <c r="AD69" i="7"/>
  <c r="U179" i="5"/>
  <c r="AE69" i="7"/>
  <c r="V179" i="5"/>
  <c r="AF69" i="7"/>
  <c r="W179" i="5"/>
  <c r="AG69" i="7"/>
  <c r="X179" i="5"/>
  <c r="AH69" i="7"/>
  <c r="U71" i="7"/>
  <c r="B71" i="20"/>
  <c r="M181" i="5"/>
  <c r="W71" i="7"/>
  <c r="D71" i="20"/>
  <c r="X71" i="7"/>
  <c r="O181" i="5"/>
  <c r="Y71" i="7"/>
  <c r="E71" i="20"/>
  <c r="F71" i="20" s="1"/>
  <c r="P181" i="5"/>
  <c r="Z71" i="7"/>
  <c r="Q181" i="5"/>
  <c r="AA71" i="7"/>
  <c r="R181" i="5"/>
  <c r="AB71" i="7"/>
  <c r="G71" i="20"/>
  <c r="S181" i="5"/>
  <c r="AC71" i="7"/>
  <c r="H71" i="20"/>
  <c r="T181" i="5"/>
  <c r="AD71" i="7"/>
  <c r="U181" i="5"/>
  <c r="AE71" i="7"/>
  <c r="V181" i="5"/>
  <c r="AF71" i="7"/>
  <c r="W181" i="5"/>
  <c r="AG71" i="7"/>
  <c r="X181" i="5"/>
  <c r="AH71" i="7"/>
  <c r="U72" i="7"/>
  <c r="B72" i="20"/>
  <c r="M182" i="5"/>
  <c r="W72" i="7"/>
  <c r="D72" i="20"/>
  <c r="X72" i="7"/>
  <c r="O182" i="5"/>
  <c r="Y72" i="7"/>
  <c r="E72" i="20"/>
  <c r="F72" i="20" s="1"/>
  <c r="P182" i="5"/>
  <c r="Z72" i="7"/>
  <c r="Q182" i="5"/>
  <c r="AA72" i="7"/>
  <c r="R182" i="5"/>
  <c r="AB72" i="7"/>
  <c r="G72" i="20"/>
  <c r="S182" i="5"/>
  <c r="AC72" i="7"/>
  <c r="H72" i="20"/>
  <c r="T182" i="5"/>
  <c r="AD72" i="7"/>
  <c r="U182" i="5"/>
  <c r="AE72" i="7"/>
  <c r="V182" i="5"/>
  <c r="AF72" i="7"/>
  <c r="W182" i="5"/>
  <c r="AG72" i="7"/>
  <c r="X182" i="5"/>
  <c r="AH72" i="7"/>
  <c r="M183" i="5"/>
  <c r="X73" i="7"/>
  <c r="O183" i="5"/>
  <c r="Y73" i="7"/>
  <c r="E73" i="20"/>
  <c r="P183" i="5"/>
  <c r="Z73" i="7"/>
  <c r="Q183" i="5"/>
  <c r="AA73" i="7"/>
  <c r="R183" i="5"/>
  <c r="AB73" i="7"/>
  <c r="G73" i="20"/>
  <c r="S183" i="5"/>
  <c r="AC73" i="7"/>
  <c r="H73" i="20"/>
  <c r="T183" i="5"/>
  <c r="AD73" i="7"/>
  <c r="U183" i="5"/>
  <c r="AE73" i="7"/>
  <c r="V183" i="5"/>
  <c r="AF73" i="7"/>
  <c r="W183" i="5"/>
  <c r="AG73" i="7"/>
  <c r="X183" i="5"/>
  <c r="AH73" i="7"/>
  <c r="U74" i="7"/>
  <c r="B74" i="20"/>
  <c r="M184" i="5"/>
  <c r="W74" i="7"/>
  <c r="D74" i="20"/>
  <c r="X74" i="7"/>
  <c r="O184" i="5"/>
  <c r="Y74" i="7"/>
  <c r="E74" i="20"/>
  <c r="F74" i="20" s="1"/>
  <c r="P184" i="5"/>
  <c r="Z74" i="7"/>
  <c r="Q184" i="5"/>
  <c r="AA74" i="7"/>
  <c r="R184" i="5"/>
  <c r="AB74" i="7"/>
  <c r="G74" i="20"/>
  <c r="S184" i="5"/>
  <c r="AC74" i="7"/>
  <c r="H74" i="20"/>
  <c r="T184" i="5"/>
  <c r="AD74" i="7"/>
  <c r="U184" i="5"/>
  <c r="AE74" i="7"/>
  <c r="V184" i="5"/>
  <c r="AF74" i="7"/>
  <c r="W184" i="5"/>
  <c r="AG74" i="7"/>
  <c r="X184" i="5"/>
  <c r="AH74" i="7"/>
  <c r="Y67" i="7"/>
  <c r="E67" i="20"/>
  <c r="M130" i="5"/>
  <c r="W51" i="7"/>
  <c r="D51" i="20"/>
  <c r="O130" i="5"/>
  <c r="Y51" i="7"/>
  <c r="E51" i="20"/>
  <c r="P130" i="5"/>
  <c r="Q130" i="5"/>
  <c r="AA51" i="7"/>
  <c r="R130" i="5"/>
  <c r="AB51" i="7"/>
  <c r="S130" i="5"/>
  <c r="T130" i="5"/>
  <c r="U130" i="5"/>
  <c r="AE51" i="7"/>
  <c r="V130" i="5"/>
  <c r="AF51" i="7"/>
  <c r="W130" i="5"/>
  <c r="AG51" i="7"/>
  <c r="X130" i="5"/>
  <c r="AH51" i="7"/>
  <c r="M132" i="5"/>
  <c r="W53" i="7"/>
  <c r="D53" i="20"/>
  <c r="O132" i="5"/>
  <c r="Y53" i="7"/>
  <c r="E53" i="20"/>
  <c r="P132" i="5"/>
  <c r="Z53" i="7"/>
  <c r="Q132" i="5"/>
  <c r="AA53" i="7"/>
  <c r="R132" i="5"/>
  <c r="AB53" i="7"/>
  <c r="G53" i="20"/>
  <c r="S132" i="5"/>
  <c r="AC53" i="7"/>
  <c r="H53" i="20"/>
  <c r="T132" i="5"/>
  <c r="U132" i="5"/>
  <c r="AE53" i="7"/>
  <c r="V132" i="5"/>
  <c r="W132" i="5"/>
  <c r="AG53" i="7"/>
  <c r="X132" i="5"/>
  <c r="AH53" i="7"/>
  <c r="M133" i="5"/>
  <c r="W54" i="7"/>
  <c r="D54" i="20"/>
  <c r="O133" i="5"/>
  <c r="Y54" i="7"/>
  <c r="E54" i="20"/>
  <c r="P133" i="5"/>
  <c r="Z54" i="7"/>
  <c r="Q133" i="5"/>
  <c r="AA54" i="7"/>
  <c r="R133" i="5"/>
  <c r="S133" i="5"/>
  <c r="AC54" i="7"/>
  <c r="H54" i="20"/>
  <c r="T133" i="5"/>
  <c r="AD54" i="7"/>
  <c r="U133" i="5"/>
  <c r="AE54" i="7"/>
  <c r="V133" i="5"/>
  <c r="AF54" i="7"/>
  <c r="W133" i="5"/>
  <c r="AG54" i="7"/>
  <c r="X133" i="5"/>
  <c r="M134" i="5"/>
  <c r="O134" i="5"/>
  <c r="Y55" i="7"/>
  <c r="E55" i="20"/>
  <c r="P134" i="5"/>
  <c r="Z55" i="7"/>
  <c r="Q134" i="5"/>
  <c r="AA55" i="7"/>
  <c r="R134" i="5"/>
  <c r="AB55" i="7"/>
  <c r="G55" i="20"/>
  <c r="S134" i="5"/>
  <c r="T134" i="5"/>
  <c r="AD55" i="7"/>
  <c r="U134" i="5"/>
  <c r="AE55" i="7"/>
  <c r="V134" i="5"/>
  <c r="W134" i="5"/>
  <c r="AG55" i="7"/>
  <c r="X134" i="5"/>
  <c r="AH55" i="7"/>
  <c r="M135" i="5"/>
  <c r="O135" i="5"/>
  <c r="Y56" i="7"/>
  <c r="E56" i="20"/>
  <c r="P135" i="5"/>
  <c r="Q135" i="5"/>
  <c r="R135" i="5"/>
  <c r="AB56" i="7"/>
  <c r="G56" i="20"/>
  <c r="S135" i="5"/>
  <c r="AC56" i="7"/>
  <c r="H56" i="20"/>
  <c r="T135" i="5"/>
  <c r="U135" i="5"/>
  <c r="AE56" i="7"/>
  <c r="V135" i="5"/>
  <c r="AF56" i="7"/>
  <c r="W135" i="5"/>
  <c r="X135" i="5"/>
  <c r="AH56" i="7"/>
  <c r="U51" i="7"/>
  <c r="B51" i="20"/>
  <c r="X51" i="7"/>
  <c r="Z51" i="7"/>
  <c r="AC51" i="7"/>
  <c r="AD51" i="7"/>
  <c r="U53" i="7"/>
  <c r="B53" i="20"/>
  <c r="X53" i="7"/>
  <c r="AD53" i="7"/>
  <c r="AF53" i="7"/>
  <c r="U54" i="7"/>
  <c r="B54" i="20"/>
  <c r="X54" i="7"/>
  <c r="AB54" i="7"/>
  <c r="G54" i="20"/>
  <c r="AH54" i="7"/>
  <c r="X55" i="7"/>
  <c r="AC55" i="7"/>
  <c r="H55" i="20"/>
  <c r="AF55" i="7"/>
  <c r="U56" i="7"/>
  <c r="B56" i="20"/>
  <c r="W56" i="7"/>
  <c r="D56" i="20"/>
  <c r="X56" i="7"/>
  <c r="Z56" i="7"/>
  <c r="AA56" i="7"/>
  <c r="AD56" i="7"/>
  <c r="AG56" i="7"/>
  <c r="Y49" i="7"/>
  <c r="E49" i="20"/>
  <c r="I10" i="20"/>
  <c r="K10" i="20"/>
  <c r="L141" i="18"/>
  <c r="I19" i="20"/>
  <c r="K19" i="20"/>
  <c r="L150" i="18"/>
  <c r="I68" i="20"/>
  <c r="AD68" i="20" s="1"/>
  <c r="K68" i="20"/>
  <c r="I70" i="20"/>
  <c r="AD70" i="20" s="1"/>
  <c r="K70" i="20"/>
  <c r="I86" i="20"/>
  <c r="AD86" i="20" s="1"/>
  <c r="K86" i="20"/>
  <c r="I88" i="20"/>
  <c r="AD88" i="20" s="1"/>
  <c r="K88" i="20"/>
  <c r="I50" i="20"/>
  <c r="AD50" i="20"/>
  <c r="I52" i="20"/>
  <c r="AD52" i="20"/>
  <c r="K52" i="20"/>
  <c r="I78" i="20"/>
  <c r="AD78" i="20" s="1"/>
  <c r="K78" i="20"/>
  <c r="I81" i="20"/>
  <c r="AD81" i="20" s="1"/>
  <c r="K81" i="20"/>
  <c r="I83" i="20"/>
  <c r="AD83" i="20" s="1"/>
  <c r="K83" i="20"/>
  <c r="I80" i="20"/>
  <c r="AD80" i="20" s="1"/>
  <c r="K80" i="20"/>
  <c r="I8" i="20"/>
  <c r="I17" i="20"/>
  <c r="K17" i="20"/>
  <c r="L148" i="18"/>
  <c r="I51" i="20"/>
  <c r="I53" i="20"/>
  <c r="AD53" i="20"/>
  <c r="K53" i="20"/>
  <c r="I54" i="20"/>
  <c r="AD54" i="20"/>
  <c r="K54" i="20"/>
  <c r="I56" i="20"/>
  <c r="AD56" i="20"/>
  <c r="K56" i="20"/>
  <c r="I69" i="20"/>
  <c r="AD69" i="20" s="1"/>
  <c r="K69" i="20"/>
  <c r="I71" i="20"/>
  <c r="AD71" i="20" s="1"/>
  <c r="K71" i="20"/>
  <c r="I72" i="20"/>
  <c r="AD72" i="20" s="1"/>
  <c r="K72" i="20"/>
  <c r="I74" i="20"/>
  <c r="AD74" i="20" s="1"/>
  <c r="K74" i="20"/>
  <c r="I87" i="20"/>
  <c r="AD87" i="20" s="1"/>
  <c r="K87" i="20"/>
  <c r="I89" i="20"/>
  <c r="AD89" i="20" s="1"/>
  <c r="K89" i="20"/>
  <c r="I90" i="20"/>
  <c r="AD90" i="20" s="1"/>
  <c r="K90" i="20"/>
  <c r="I92" i="20"/>
  <c r="AD92" i="20" s="1"/>
  <c r="K92" i="20"/>
  <c r="AO111" i="7" a="1"/>
  <c r="AO111" i="7"/>
  <c r="AP111" i="7" a="1"/>
  <c r="AP111" i="7"/>
  <c r="AR111" i="7" a="1"/>
  <c r="AR111" i="7"/>
  <c r="AS111" i="7" a="1"/>
  <c r="AS111" i="7"/>
  <c r="AT111" i="7" a="1"/>
  <c r="AT111" i="7"/>
  <c r="AU111" i="7" a="1"/>
  <c r="AU111" i="7"/>
  <c r="AV111" i="7" a="1"/>
  <c r="AV111" i="7"/>
  <c r="AX111" i="7" a="1"/>
  <c r="AX111" i="7"/>
  <c r="AY111" i="7" a="1"/>
  <c r="AY111" i="7"/>
  <c r="AO110" i="7" a="1"/>
  <c r="AO110" i="7"/>
  <c r="AP110" i="7" a="1"/>
  <c r="AP110" i="7"/>
  <c r="AR110" i="7" a="1"/>
  <c r="AR110" i="7"/>
  <c r="AS110" i="7" a="1"/>
  <c r="AS110" i="7"/>
  <c r="AT110" i="7" a="1"/>
  <c r="AT110" i="7"/>
  <c r="AU110" i="7" a="1"/>
  <c r="AU110" i="7"/>
  <c r="AV110" i="7" a="1"/>
  <c r="AV110" i="7"/>
  <c r="AX110" i="7" a="1"/>
  <c r="AX110" i="7"/>
  <c r="AY110" i="7" a="1"/>
  <c r="AY110" i="7"/>
  <c r="AO109" i="7" a="1"/>
  <c r="AO109" i="7"/>
  <c r="AP109" i="7" a="1"/>
  <c r="AP109" i="7"/>
  <c r="AR109" i="7" a="1"/>
  <c r="AR109" i="7"/>
  <c r="AS109" i="7" a="1"/>
  <c r="AS109" i="7"/>
  <c r="AT109" i="7" a="1"/>
  <c r="AT109" i="7"/>
  <c r="AU109" i="7" a="1"/>
  <c r="AU109" i="7"/>
  <c r="AV109" i="7" a="1"/>
  <c r="AV109" i="7"/>
  <c r="AX109" i="7" a="1"/>
  <c r="AX109" i="7"/>
  <c r="AY109" i="7" a="1"/>
  <c r="AY109" i="7"/>
  <c r="AO108" i="7" a="1"/>
  <c r="AO108" i="7"/>
  <c r="AP108" i="7" a="1"/>
  <c r="AP108" i="7"/>
  <c r="AR108" i="7" a="1"/>
  <c r="AR108" i="7"/>
  <c r="AS108" i="7" a="1"/>
  <c r="AS108" i="7"/>
  <c r="AT108" i="7" a="1"/>
  <c r="AT108" i="7"/>
  <c r="AU108" i="7" a="1"/>
  <c r="AU108" i="7"/>
  <c r="AV108" i="7" a="1"/>
  <c r="AV108" i="7"/>
  <c r="AX108" i="7" a="1"/>
  <c r="AX108" i="7"/>
  <c r="AY108" i="7" a="1"/>
  <c r="AY108" i="7"/>
  <c r="AO107" i="7" a="1"/>
  <c r="AO107" i="7"/>
  <c r="AP107" i="7" a="1"/>
  <c r="AP107" i="7"/>
  <c r="AR107" i="7" a="1"/>
  <c r="AR107" i="7"/>
  <c r="AS107" i="7" a="1"/>
  <c r="AS107" i="7"/>
  <c r="AT107" i="7" a="1"/>
  <c r="AT107" i="7"/>
  <c r="AU107" i="7" a="1"/>
  <c r="AU107" i="7"/>
  <c r="AV107" i="7" a="1"/>
  <c r="AV107" i="7"/>
  <c r="AX107" i="7" a="1"/>
  <c r="AX107" i="7"/>
  <c r="AY107" i="7" a="1"/>
  <c r="AY107" i="7"/>
  <c r="AO106" i="7" a="1"/>
  <c r="AO106" i="7"/>
  <c r="AP106" i="7" a="1"/>
  <c r="AP106" i="7"/>
  <c r="AR106" i="7" a="1"/>
  <c r="AR106" i="7"/>
  <c r="AS106" i="7" a="1"/>
  <c r="AS106" i="7"/>
  <c r="AT106" i="7" a="1"/>
  <c r="AT106" i="7"/>
  <c r="AU106" i="7" a="1"/>
  <c r="AU106" i="7"/>
  <c r="AV106" i="7" a="1"/>
  <c r="AV106" i="7"/>
  <c r="AX106" i="7" a="1"/>
  <c r="AX106" i="7"/>
  <c r="AY106" i="7" a="1"/>
  <c r="AY106" i="7"/>
  <c r="AO105" i="7" a="1"/>
  <c r="AO105" i="7"/>
  <c r="AP105" i="7" a="1"/>
  <c r="AP105" i="7"/>
  <c r="AR105" i="7" a="1"/>
  <c r="AR105" i="7"/>
  <c r="AS105" i="7" a="1"/>
  <c r="AS105" i="7"/>
  <c r="AT105" i="7" a="1"/>
  <c r="AT105" i="7"/>
  <c r="AU105" i="7" a="1"/>
  <c r="AU105" i="7"/>
  <c r="AV105" i="7" a="1"/>
  <c r="AV105" i="7"/>
  <c r="AX105" i="7" a="1"/>
  <c r="AX105" i="7"/>
  <c r="AY105" i="7" a="1"/>
  <c r="AY105" i="7"/>
  <c r="AO104" i="7" a="1"/>
  <c r="AO104" i="7"/>
  <c r="AP104" i="7" a="1"/>
  <c r="AP104" i="7"/>
  <c r="AR104" i="7" a="1"/>
  <c r="AR104" i="7"/>
  <c r="AS104" i="7" a="1"/>
  <c r="AS104" i="7"/>
  <c r="AT104" i="7" a="1"/>
  <c r="AT104" i="7"/>
  <c r="AU104" i="7" a="1"/>
  <c r="AU104" i="7"/>
  <c r="AV104" i="7" a="1"/>
  <c r="AV104" i="7"/>
  <c r="AX104" i="7" a="1"/>
  <c r="AX104" i="7"/>
  <c r="AY104" i="7" a="1"/>
  <c r="AY104" i="7"/>
  <c r="AO103" i="7" a="1"/>
  <c r="AO103" i="7"/>
  <c r="AP103" i="7" a="1"/>
  <c r="AP103" i="7"/>
  <c r="AR103" i="7" a="1"/>
  <c r="AR103" i="7"/>
  <c r="AS103" i="7" a="1"/>
  <c r="AS103" i="7"/>
  <c r="AT103" i="7" a="1"/>
  <c r="AT103" i="7"/>
  <c r="AU103" i="7" a="1"/>
  <c r="AU103" i="7"/>
  <c r="AV103" i="7" a="1"/>
  <c r="AV103" i="7"/>
  <c r="AX103" i="7" a="1"/>
  <c r="AX103" i="7"/>
  <c r="AY103" i="7" a="1"/>
  <c r="AY103" i="7"/>
  <c r="AO102" i="7" a="1"/>
  <c r="AO102" i="7"/>
  <c r="AP102" i="7" a="1"/>
  <c r="AP102" i="7"/>
  <c r="AR102" i="7" a="1"/>
  <c r="AR102" i="7"/>
  <c r="AS102" i="7" a="1"/>
  <c r="AS102" i="7"/>
  <c r="AT102" i="7" a="1"/>
  <c r="AT102" i="7"/>
  <c r="AU102" i="7" a="1"/>
  <c r="AU102" i="7"/>
  <c r="AV102" i="7" a="1"/>
  <c r="AV102" i="7"/>
  <c r="AX102" i="7" a="1"/>
  <c r="AX102" i="7"/>
  <c r="AY102" i="7" a="1"/>
  <c r="AY102" i="7"/>
  <c r="AO101" i="7" a="1"/>
  <c r="AO101" i="7"/>
  <c r="AP101" i="7" a="1"/>
  <c r="AP101" i="7"/>
  <c r="AR101" i="7" a="1"/>
  <c r="AR101" i="7"/>
  <c r="AS101" i="7" a="1"/>
  <c r="AS101" i="7"/>
  <c r="AT101" i="7" a="1"/>
  <c r="AT101" i="7"/>
  <c r="AU101" i="7" a="1"/>
  <c r="AU101" i="7"/>
  <c r="AV101" i="7" a="1"/>
  <c r="AV101" i="7"/>
  <c r="AX101" i="7" a="1"/>
  <c r="AX101" i="7"/>
  <c r="AY101" i="7" a="1"/>
  <c r="AY101" i="7"/>
  <c r="AO100" i="7" a="1"/>
  <c r="AO100" i="7"/>
  <c r="AP100" i="7" a="1"/>
  <c r="AP100" i="7"/>
  <c r="AR100" i="7" a="1"/>
  <c r="AR100" i="7"/>
  <c r="AS100" i="7" a="1"/>
  <c r="AS100" i="7"/>
  <c r="AT100" i="7" a="1"/>
  <c r="AT100" i="7"/>
  <c r="AU100" i="7" a="1"/>
  <c r="AU100" i="7"/>
  <c r="AV100" i="7" a="1"/>
  <c r="AV100" i="7"/>
  <c r="AX100" i="7" a="1"/>
  <c r="AX100" i="7"/>
  <c r="AY100" i="7" a="1"/>
  <c r="AY100" i="7"/>
  <c r="C130" i="20"/>
  <c r="AO99" i="7" a="1"/>
  <c r="AO99" i="7"/>
  <c r="AP99" i="7" a="1"/>
  <c r="AP99" i="7"/>
  <c r="AR99" i="7" a="1"/>
  <c r="AR99" i="7"/>
  <c r="AS99" i="7" a="1"/>
  <c r="AS99" i="7"/>
  <c r="AT99" i="7" a="1"/>
  <c r="AT99" i="7"/>
  <c r="AU99" i="7" a="1"/>
  <c r="AU99" i="7"/>
  <c r="AV99" i="7" a="1"/>
  <c r="AV99" i="7"/>
  <c r="AX99" i="7" a="1"/>
  <c r="AX99" i="7"/>
  <c r="AY99" i="7" a="1"/>
  <c r="AY99" i="7"/>
  <c r="AO98" i="7" a="1"/>
  <c r="AO98" i="7"/>
  <c r="AP98" i="7" a="1"/>
  <c r="AP98" i="7"/>
  <c r="AR98" i="7" a="1"/>
  <c r="AR98" i="7"/>
  <c r="AS98" i="7" a="1"/>
  <c r="AS98" i="7"/>
  <c r="AT98" i="7" a="1"/>
  <c r="AT98" i="7"/>
  <c r="AU98" i="7" a="1"/>
  <c r="AU98" i="7"/>
  <c r="AV98" i="7" a="1"/>
  <c r="AV98" i="7"/>
  <c r="AX98" i="7" a="1"/>
  <c r="AX98" i="7"/>
  <c r="AY98" i="7" a="1"/>
  <c r="AY98" i="7"/>
  <c r="AO97" i="7" a="1"/>
  <c r="AO97" i="7"/>
  <c r="AP97" i="7" a="1"/>
  <c r="AP97" i="7"/>
  <c r="AR97" i="7" a="1"/>
  <c r="AR97" i="7"/>
  <c r="AS97" i="7" a="1"/>
  <c r="AS97" i="7"/>
  <c r="AT97" i="7" a="1"/>
  <c r="AT97" i="7"/>
  <c r="AU97" i="7" a="1"/>
  <c r="AU97" i="7"/>
  <c r="AV97" i="7" a="1"/>
  <c r="AV97" i="7"/>
  <c r="AX97" i="7" a="1"/>
  <c r="AX97" i="7"/>
  <c r="AY97" i="7" a="1"/>
  <c r="AY97" i="7"/>
  <c r="AO96" i="7" a="1"/>
  <c r="AO96" i="7"/>
  <c r="AP96" i="7" a="1"/>
  <c r="AP96" i="7"/>
  <c r="AR96" i="7" a="1"/>
  <c r="AR96" i="7"/>
  <c r="AS96" i="7" a="1"/>
  <c r="AS96" i="7"/>
  <c r="AT96" i="7" a="1"/>
  <c r="AT96" i="7"/>
  <c r="AU96" i="7" a="1"/>
  <c r="AU96" i="7"/>
  <c r="AV96" i="7" a="1"/>
  <c r="AV96" i="7"/>
  <c r="AX96" i="7" a="1"/>
  <c r="AX96" i="7"/>
  <c r="AY96" i="7" a="1"/>
  <c r="AY96" i="7"/>
  <c r="AO95" i="7" a="1"/>
  <c r="AO95" i="7"/>
  <c r="AP95" i="7" a="1"/>
  <c r="AP95" i="7"/>
  <c r="AR95" i="7" a="1"/>
  <c r="AR95" i="7"/>
  <c r="AS95" i="7" a="1"/>
  <c r="AS95" i="7"/>
  <c r="AT95" i="7" a="1"/>
  <c r="AT95" i="7"/>
  <c r="AU95" i="7" a="1"/>
  <c r="AU95" i="7"/>
  <c r="AV95" i="7" a="1"/>
  <c r="AV95" i="7"/>
  <c r="AX95" i="7" a="1"/>
  <c r="AX95" i="7"/>
  <c r="AY95" i="7" a="1"/>
  <c r="AY95" i="7"/>
  <c r="AO94" i="7" a="1"/>
  <c r="AO94" i="7"/>
  <c r="AP94" i="7" a="1"/>
  <c r="AP94" i="7"/>
  <c r="AR94" i="7" a="1"/>
  <c r="AR94" i="7"/>
  <c r="AS94" i="7" a="1"/>
  <c r="AS94" i="7"/>
  <c r="AT94" i="7" a="1"/>
  <c r="AT94" i="7"/>
  <c r="AU94" i="7" a="1"/>
  <c r="AU94" i="7"/>
  <c r="AV94" i="7" a="1"/>
  <c r="AV94" i="7"/>
  <c r="AX94" i="7" a="1"/>
  <c r="AX94" i="7"/>
  <c r="AY94" i="7" a="1"/>
  <c r="AY94" i="7"/>
  <c r="AO93" i="7" a="1"/>
  <c r="AO93" i="7"/>
  <c r="AP93" i="7" a="1"/>
  <c r="AP93" i="7"/>
  <c r="AR93" i="7" a="1"/>
  <c r="AR93" i="7"/>
  <c r="AS93" i="7" a="1"/>
  <c r="AS93" i="7"/>
  <c r="AT93" i="7" a="1"/>
  <c r="AT93" i="7"/>
  <c r="AU93" i="7" a="1"/>
  <c r="AU93" i="7"/>
  <c r="AV93" i="7" a="1"/>
  <c r="AV93" i="7"/>
  <c r="AX93" i="7" a="1"/>
  <c r="AX93" i="7"/>
  <c r="AY93" i="7" a="1"/>
  <c r="AY93" i="7"/>
  <c r="AO92" i="7" a="1"/>
  <c r="AO92" i="7"/>
  <c r="AP92" i="7" a="1"/>
  <c r="AP92" i="7"/>
  <c r="AR92" i="7" a="1"/>
  <c r="AR92" i="7"/>
  <c r="AS92" i="7" a="1"/>
  <c r="AS92" i="7"/>
  <c r="AT92" i="7" a="1"/>
  <c r="AT92" i="7"/>
  <c r="AU92" i="7" a="1"/>
  <c r="AU92" i="7"/>
  <c r="AV92" i="7" a="1"/>
  <c r="AV92" i="7"/>
  <c r="AX92" i="7" a="1"/>
  <c r="AX92" i="7"/>
  <c r="AY92" i="7" a="1"/>
  <c r="AY92" i="7"/>
  <c r="AO91" i="7" a="1"/>
  <c r="AO91" i="7"/>
  <c r="AP91" i="7" a="1"/>
  <c r="AP91" i="7"/>
  <c r="AR91" i="7" a="1"/>
  <c r="AR91" i="7"/>
  <c r="AS91" i="7" a="1"/>
  <c r="AS91" i="7"/>
  <c r="AT91" i="7" a="1"/>
  <c r="AT91" i="7"/>
  <c r="AU91" i="7" a="1"/>
  <c r="AU91" i="7"/>
  <c r="AV91" i="7" a="1"/>
  <c r="AV91" i="7"/>
  <c r="AX91" i="7" a="1"/>
  <c r="AX91" i="7"/>
  <c r="AY91" i="7" a="1"/>
  <c r="AY91" i="7"/>
  <c r="AO90" i="7" a="1"/>
  <c r="AO90" i="7"/>
  <c r="AP90" i="7" a="1"/>
  <c r="AP90" i="7"/>
  <c r="AR90" i="7" a="1"/>
  <c r="AR90" i="7"/>
  <c r="AS90" i="7" a="1"/>
  <c r="AS90" i="7"/>
  <c r="AT90" i="7" a="1"/>
  <c r="AT90" i="7"/>
  <c r="AU90" i="7" a="1"/>
  <c r="AU90" i="7"/>
  <c r="AV90" i="7" a="1"/>
  <c r="AV90" i="7"/>
  <c r="AX90" i="7" a="1"/>
  <c r="AX90" i="7"/>
  <c r="AY90" i="7" a="1"/>
  <c r="AY90" i="7"/>
  <c r="AO89" i="7" a="1"/>
  <c r="AO89" i="7"/>
  <c r="AP89" i="7" a="1"/>
  <c r="AP89" i="7"/>
  <c r="AR89" i="7" a="1"/>
  <c r="AR89" i="7"/>
  <c r="AS89" i="7" a="1"/>
  <c r="AS89" i="7"/>
  <c r="AT89" i="7" a="1"/>
  <c r="AT89" i="7"/>
  <c r="AU89" i="7" a="1"/>
  <c r="AU89" i="7"/>
  <c r="AV89" i="7" a="1"/>
  <c r="AV89" i="7"/>
  <c r="AX89" i="7" a="1"/>
  <c r="AX89" i="7"/>
  <c r="AY89" i="7" a="1"/>
  <c r="AY89" i="7"/>
  <c r="AO88" i="7" a="1"/>
  <c r="AO88" i="7"/>
  <c r="AP88" i="7" a="1"/>
  <c r="AP88" i="7"/>
  <c r="AR88" i="7" a="1"/>
  <c r="AR88" i="7"/>
  <c r="AS88" i="7" a="1"/>
  <c r="AS88" i="7"/>
  <c r="AT88" i="7" a="1"/>
  <c r="AT88" i="7"/>
  <c r="AU88" i="7" a="1"/>
  <c r="AU88" i="7"/>
  <c r="AV88" i="7" a="1"/>
  <c r="AV88" i="7"/>
  <c r="AX88" i="7" a="1"/>
  <c r="AX88" i="7"/>
  <c r="AY88" i="7" a="1"/>
  <c r="AY88" i="7"/>
  <c r="E40" i="20"/>
  <c r="J86" i="20"/>
  <c r="L86" i="20"/>
  <c r="M86" i="20"/>
  <c r="J88" i="20"/>
  <c r="L88" i="20"/>
  <c r="M88" i="20"/>
  <c r="J78" i="20"/>
  <c r="L78" i="20"/>
  <c r="M78" i="20"/>
  <c r="J81" i="20"/>
  <c r="L81" i="20"/>
  <c r="M81" i="20"/>
  <c r="J83" i="20"/>
  <c r="L83" i="20"/>
  <c r="M83" i="20"/>
  <c r="J80" i="20"/>
  <c r="L80" i="20"/>
  <c r="M80" i="20"/>
  <c r="J87" i="20"/>
  <c r="L87" i="20"/>
  <c r="M87" i="20"/>
  <c r="J89" i="20"/>
  <c r="L89" i="20"/>
  <c r="M89" i="20"/>
  <c r="J90" i="20"/>
  <c r="L90" i="20"/>
  <c r="M90" i="20"/>
  <c r="J92" i="20"/>
  <c r="L92" i="20"/>
  <c r="M92" i="20"/>
  <c r="G20" i="19"/>
  <c r="H20" i="19"/>
  <c r="I20" i="19"/>
  <c r="J20" i="19"/>
  <c r="K20" i="19"/>
  <c r="L20" i="19"/>
  <c r="N20" i="19"/>
  <c r="O20" i="19"/>
  <c r="P20" i="19"/>
  <c r="Q20" i="19"/>
  <c r="T20" i="19"/>
  <c r="U20" i="19"/>
  <c r="V20" i="19"/>
  <c r="F20" i="19"/>
  <c r="E20" i="19"/>
  <c r="D20" i="19"/>
  <c r="C20" i="19"/>
  <c r="G21" i="19"/>
  <c r="H21" i="19"/>
  <c r="I21" i="19"/>
  <c r="J21" i="19"/>
  <c r="K21" i="19"/>
  <c r="L21" i="19"/>
  <c r="N21" i="19"/>
  <c r="O21" i="19"/>
  <c r="P21" i="19"/>
  <c r="Q21" i="19"/>
  <c r="T21" i="19"/>
  <c r="U21" i="19"/>
  <c r="V21" i="19"/>
  <c r="F21" i="19"/>
  <c r="E21" i="19"/>
  <c r="D21" i="19"/>
  <c r="C21" i="19"/>
  <c r="D165" i="20"/>
  <c r="E165" i="20"/>
  <c r="F165" i="20"/>
  <c r="G165" i="20"/>
  <c r="H165" i="20"/>
  <c r="J165" i="20"/>
  <c r="L165" i="20"/>
  <c r="M165" i="20"/>
  <c r="D164" i="20"/>
  <c r="E164" i="20"/>
  <c r="F164" i="20"/>
  <c r="G164" i="20"/>
  <c r="H164" i="20"/>
  <c r="J164" i="20"/>
  <c r="L164" i="20"/>
  <c r="M164" i="20"/>
  <c r="D163" i="20"/>
  <c r="E163" i="20"/>
  <c r="F163" i="20"/>
  <c r="G163" i="20"/>
  <c r="H163" i="20"/>
  <c r="J163" i="20"/>
  <c r="L163" i="20"/>
  <c r="M163" i="20"/>
  <c r="D162" i="20"/>
  <c r="E162" i="20"/>
  <c r="F162" i="20"/>
  <c r="G162" i="20"/>
  <c r="H162" i="20"/>
  <c r="J162" i="20"/>
  <c r="L162" i="20"/>
  <c r="M162" i="20"/>
  <c r="D161" i="20"/>
  <c r="E161" i="20"/>
  <c r="F161" i="20"/>
  <c r="G161" i="20"/>
  <c r="H161" i="20"/>
  <c r="J161" i="20"/>
  <c r="L161" i="20"/>
  <c r="M161" i="20"/>
  <c r="D160" i="20"/>
  <c r="E160" i="20"/>
  <c r="F160" i="20"/>
  <c r="G160" i="20"/>
  <c r="H160" i="20"/>
  <c r="J160" i="20"/>
  <c r="L160" i="20"/>
  <c r="M160" i="20"/>
  <c r="D159" i="20"/>
  <c r="E159" i="20"/>
  <c r="F159" i="20"/>
  <c r="G159" i="20"/>
  <c r="H159" i="20"/>
  <c r="J159" i="20"/>
  <c r="L159" i="20"/>
  <c r="M159" i="20"/>
  <c r="D158" i="20"/>
  <c r="E158" i="20"/>
  <c r="F158" i="20"/>
  <c r="G158" i="20"/>
  <c r="H158" i="20"/>
  <c r="J158" i="20"/>
  <c r="L158" i="20"/>
  <c r="M158" i="20"/>
  <c r="D157" i="20"/>
  <c r="E157" i="20"/>
  <c r="F157" i="20"/>
  <c r="G157" i="20"/>
  <c r="H157" i="20"/>
  <c r="J157" i="20"/>
  <c r="L157" i="20"/>
  <c r="M157" i="20"/>
  <c r="D156" i="20"/>
  <c r="E156" i="20"/>
  <c r="F156" i="20"/>
  <c r="G156" i="20"/>
  <c r="H156" i="20"/>
  <c r="J156" i="20"/>
  <c r="L156" i="20"/>
  <c r="M156" i="20"/>
  <c r="D155" i="20"/>
  <c r="E155" i="20"/>
  <c r="F155" i="20"/>
  <c r="G155" i="20"/>
  <c r="H155" i="20"/>
  <c r="J155" i="20"/>
  <c r="L155" i="20"/>
  <c r="M155" i="20"/>
  <c r="D154" i="20"/>
  <c r="E154" i="20"/>
  <c r="F154" i="20"/>
  <c r="G154" i="20"/>
  <c r="H154" i="20"/>
  <c r="J154" i="20"/>
  <c r="L154" i="20"/>
  <c r="M154" i="20"/>
  <c r="D153" i="20"/>
  <c r="E153" i="20"/>
  <c r="F153" i="20"/>
  <c r="G153" i="20"/>
  <c r="H153" i="20"/>
  <c r="J153" i="20"/>
  <c r="L153" i="20"/>
  <c r="M153" i="20"/>
  <c r="D152" i="20"/>
  <c r="E152" i="20"/>
  <c r="F152" i="20"/>
  <c r="G152" i="20"/>
  <c r="H152" i="20"/>
  <c r="J152" i="20"/>
  <c r="L152" i="20"/>
  <c r="M152" i="20"/>
  <c r="D151" i="20"/>
  <c r="E151" i="20"/>
  <c r="F151" i="20"/>
  <c r="G151" i="20"/>
  <c r="H151" i="20"/>
  <c r="J151" i="20"/>
  <c r="L151" i="20"/>
  <c r="M151" i="20"/>
  <c r="D150" i="20"/>
  <c r="E150" i="20"/>
  <c r="F150" i="20"/>
  <c r="G150" i="20"/>
  <c r="H150" i="20"/>
  <c r="J150" i="20"/>
  <c r="L150" i="20"/>
  <c r="M150" i="20"/>
  <c r="D149" i="20"/>
  <c r="E149" i="20"/>
  <c r="F149" i="20"/>
  <c r="G149" i="20"/>
  <c r="H149" i="20"/>
  <c r="J149" i="20"/>
  <c r="L149" i="20"/>
  <c r="M149" i="20"/>
  <c r="D148" i="20"/>
  <c r="E148" i="20"/>
  <c r="F148" i="20"/>
  <c r="G148" i="20"/>
  <c r="H148" i="20"/>
  <c r="J148" i="20"/>
  <c r="L148" i="20"/>
  <c r="M148" i="20"/>
  <c r="B21" i="19"/>
  <c r="B20" i="19"/>
  <c r="G18" i="19"/>
  <c r="H18" i="19"/>
  <c r="I18" i="19"/>
  <c r="J18" i="19"/>
  <c r="K18" i="19"/>
  <c r="L18" i="19"/>
  <c r="N18" i="19"/>
  <c r="O18" i="19"/>
  <c r="P18" i="19"/>
  <c r="Q18" i="19"/>
  <c r="T18" i="19"/>
  <c r="U18" i="19"/>
  <c r="V18" i="19"/>
  <c r="F18" i="19"/>
  <c r="E18" i="19"/>
  <c r="D18" i="19"/>
  <c r="C18" i="19"/>
  <c r="G19" i="19"/>
  <c r="H19" i="19"/>
  <c r="I19" i="19"/>
  <c r="J19" i="19"/>
  <c r="K19" i="19"/>
  <c r="L19" i="19"/>
  <c r="N19" i="19"/>
  <c r="O19" i="19"/>
  <c r="P19" i="19"/>
  <c r="Q19" i="19"/>
  <c r="T19" i="19"/>
  <c r="U19" i="19"/>
  <c r="V19" i="19"/>
  <c r="F19" i="19"/>
  <c r="E19" i="19"/>
  <c r="D19" i="19"/>
  <c r="C19" i="19"/>
  <c r="D147" i="20"/>
  <c r="E147" i="20"/>
  <c r="F147" i="20"/>
  <c r="G147" i="20"/>
  <c r="H147" i="20"/>
  <c r="J147" i="20"/>
  <c r="L147" i="20"/>
  <c r="M147" i="20"/>
  <c r="D146" i="20"/>
  <c r="E146" i="20"/>
  <c r="F146" i="20"/>
  <c r="G146" i="20"/>
  <c r="H146" i="20"/>
  <c r="J146" i="20"/>
  <c r="L146" i="20"/>
  <c r="M146" i="20"/>
  <c r="D145" i="20"/>
  <c r="E145" i="20"/>
  <c r="F145" i="20"/>
  <c r="G145" i="20"/>
  <c r="H145" i="20"/>
  <c r="J145" i="20"/>
  <c r="L145" i="20"/>
  <c r="M145" i="20"/>
  <c r="D144" i="20"/>
  <c r="E144" i="20"/>
  <c r="F144" i="20"/>
  <c r="G144" i="20"/>
  <c r="H144" i="20"/>
  <c r="J144" i="20"/>
  <c r="L144" i="20"/>
  <c r="M144" i="20"/>
  <c r="D143" i="20"/>
  <c r="E143" i="20"/>
  <c r="F143" i="20"/>
  <c r="G143" i="20"/>
  <c r="H143" i="20"/>
  <c r="J143" i="20"/>
  <c r="L143" i="20"/>
  <c r="M143" i="20"/>
  <c r="D142" i="20"/>
  <c r="E142" i="20"/>
  <c r="F142" i="20"/>
  <c r="G142" i="20"/>
  <c r="H142" i="20"/>
  <c r="J142" i="20"/>
  <c r="L142" i="20"/>
  <c r="M142" i="20"/>
  <c r="D141" i="20"/>
  <c r="E141" i="20"/>
  <c r="F141" i="20"/>
  <c r="G141" i="20"/>
  <c r="H141" i="20"/>
  <c r="J141" i="20"/>
  <c r="L141" i="20"/>
  <c r="M141" i="20"/>
  <c r="D140" i="20"/>
  <c r="E140" i="20"/>
  <c r="F140" i="20"/>
  <c r="G140" i="20"/>
  <c r="H140" i="20"/>
  <c r="J140" i="20"/>
  <c r="L140" i="20"/>
  <c r="M140" i="20"/>
  <c r="D139" i="20"/>
  <c r="E139" i="20"/>
  <c r="F139" i="20"/>
  <c r="G139" i="20"/>
  <c r="H139" i="20"/>
  <c r="J139" i="20"/>
  <c r="L139" i="20"/>
  <c r="M139" i="20"/>
  <c r="D138" i="20"/>
  <c r="E138" i="20"/>
  <c r="F138" i="20"/>
  <c r="G138" i="20"/>
  <c r="H138" i="20"/>
  <c r="J138" i="20"/>
  <c r="L138" i="20"/>
  <c r="M138" i="20"/>
  <c r="D137" i="20"/>
  <c r="E137" i="20"/>
  <c r="F137" i="20"/>
  <c r="G137" i="20"/>
  <c r="H137" i="20"/>
  <c r="J137" i="20"/>
  <c r="L137" i="20"/>
  <c r="M137" i="20"/>
  <c r="D136" i="20"/>
  <c r="E136" i="20"/>
  <c r="F136" i="20"/>
  <c r="G136" i="20"/>
  <c r="H136" i="20"/>
  <c r="J136" i="20"/>
  <c r="L136" i="20"/>
  <c r="M136" i="20"/>
  <c r="D135" i="20"/>
  <c r="E135" i="20"/>
  <c r="F135" i="20"/>
  <c r="G135" i="20"/>
  <c r="H135" i="20"/>
  <c r="J135" i="20"/>
  <c r="L135" i="20"/>
  <c r="M135" i="20"/>
  <c r="D134" i="20"/>
  <c r="E134" i="20"/>
  <c r="F134" i="20"/>
  <c r="G134" i="20"/>
  <c r="H134" i="20"/>
  <c r="J134" i="20"/>
  <c r="L134" i="20"/>
  <c r="M134" i="20"/>
  <c r="D133" i="20"/>
  <c r="E133" i="20"/>
  <c r="F133" i="20"/>
  <c r="G133" i="20"/>
  <c r="H133" i="20"/>
  <c r="J133" i="20"/>
  <c r="L133" i="20"/>
  <c r="M133" i="20"/>
  <c r="D132" i="20"/>
  <c r="E132" i="20"/>
  <c r="F132" i="20"/>
  <c r="G132" i="20"/>
  <c r="H132" i="20"/>
  <c r="J132" i="20"/>
  <c r="L132" i="20"/>
  <c r="M132" i="20"/>
  <c r="D131" i="20"/>
  <c r="E131" i="20"/>
  <c r="F131" i="20"/>
  <c r="G131" i="20"/>
  <c r="H131" i="20"/>
  <c r="J131" i="20"/>
  <c r="L131" i="20"/>
  <c r="M131" i="20"/>
  <c r="A130" i="20"/>
  <c r="B19" i="19"/>
  <c r="B18" i="19"/>
  <c r="N12" i="7"/>
  <c r="O12" i="7"/>
  <c r="J68" i="20"/>
  <c r="L68" i="20"/>
  <c r="M68" i="20"/>
  <c r="J70" i="20"/>
  <c r="L70" i="20"/>
  <c r="M70" i="20"/>
  <c r="J69" i="20"/>
  <c r="L69" i="20"/>
  <c r="M69" i="20"/>
  <c r="J71" i="20"/>
  <c r="L71" i="20"/>
  <c r="M71" i="20"/>
  <c r="J72" i="20"/>
  <c r="L72" i="20"/>
  <c r="M72" i="20"/>
  <c r="J74" i="20"/>
  <c r="L74" i="20"/>
  <c r="M74" i="20"/>
  <c r="J10" i="20"/>
  <c r="K141" i="18"/>
  <c r="L10" i="20"/>
  <c r="M141" i="18"/>
  <c r="M10" i="20"/>
  <c r="N141" i="18"/>
  <c r="J19" i="20"/>
  <c r="K150" i="18"/>
  <c r="L19" i="20"/>
  <c r="M150" i="18"/>
  <c r="M19" i="20"/>
  <c r="N150" i="18"/>
  <c r="J50" i="20"/>
  <c r="K50" i="20" s="1"/>
  <c r="L50" i="20"/>
  <c r="M50" i="20"/>
  <c r="J52" i="20"/>
  <c r="L52" i="20"/>
  <c r="M52" i="20"/>
  <c r="J8" i="20"/>
  <c r="K8" i="20" s="1"/>
  <c r="L139" i="18" s="1"/>
  <c r="K139" i="18"/>
  <c r="L8" i="20"/>
  <c r="M139" i="18"/>
  <c r="M8" i="20"/>
  <c r="N139" i="18"/>
  <c r="J17" i="20"/>
  <c r="K148" i="18"/>
  <c r="L17" i="20"/>
  <c r="M148" i="18"/>
  <c r="M17" i="20"/>
  <c r="N148" i="18"/>
  <c r="J51" i="20"/>
  <c r="K51" i="20" s="1"/>
  <c r="L51" i="20"/>
  <c r="M51" i="20"/>
  <c r="J53" i="20"/>
  <c r="L53" i="20"/>
  <c r="M53" i="20"/>
  <c r="J54" i="20"/>
  <c r="L54" i="20"/>
  <c r="M54" i="20"/>
  <c r="J56" i="20"/>
  <c r="L56" i="20"/>
  <c r="M56" i="20"/>
  <c r="M15" i="4"/>
  <c r="N15" i="4"/>
  <c r="A579" i="5"/>
  <c r="A567" i="5"/>
  <c r="N443" i="5"/>
  <c r="A445" i="5"/>
  <c r="A411" i="5"/>
  <c r="A399" i="5"/>
  <c r="B479" i="5"/>
  <c r="N479" i="5"/>
  <c r="Y137" i="7"/>
  <c r="B380" i="5"/>
  <c r="N380" i="5"/>
  <c r="Y136" i="7"/>
  <c r="B379" i="5"/>
  <c r="N379" i="5"/>
  <c r="Y135" i="7"/>
  <c r="B378" i="5"/>
  <c r="N378" i="5"/>
  <c r="Y134" i="7"/>
  <c r="B377" i="5"/>
  <c r="N377" i="5"/>
  <c r="Y132" i="7"/>
  <c r="B375" i="5"/>
  <c r="N375" i="5"/>
  <c r="Y130" i="7"/>
  <c r="Y41" i="7"/>
  <c r="Y59" i="7"/>
  <c r="E59" i="20"/>
  <c r="F59" i="20" s="1"/>
  <c r="Y77" i="7"/>
  <c r="E77" i="20"/>
  <c r="Y113" i="7"/>
  <c r="E113" i="20" s="1"/>
  <c r="Y133" i="7"/>
  <c r="G157" i="17" a="1"/>
  <c r="G157" i="17"/>
  <c r="B129" i="17" a="1"/>
  <c r="B129" i="17"/>
  <c r="H131" i="17" a="1"/>
  <c r="H131" i="17"/>
  <c r="B471" i="5"/>
  <c r="N471" i="5"/>
  <c r="H132" i="17" a="1"/>
  <c r="H132" i="17"/>
  <c r="B472" i="5"/>
  <c r="N472" i="5"/>
  <c r="H133" i="17" a="1"/>
  <c r="H133" i="17"/>
  <c r="H134" i="17" a="1"/>
  <c r="H134" i="17"/>
  <c r="B474" i="5"/>
  <c r="N474" i="5"/>
  <c r="H135" i="17" a="1"/>
  <c r="H135" i="17"/>
  <c r="H136" i="17" a="1"/>
  <c r="H136" i="17"/>
  <c r="H137" i="17" a="1"/>
  <c r="H137" i="17"/>
  <c r="H138" i="17" a="1"/>
  <c r="H138" i="17"/>
  <c r="W79" i="7"/>
  <c r="D79" i="20"/>
  <c r="F79" i="20"/>
  <c r="U79" i="7"/>
  <c r="B79" i="20"/>
  <c r="W77" i="7"/>
  <c r="D77" i="20"/>
  <c r="F77" i="20"/>
  <c r="U77" i="7"/>
  <c r="B77" i="20"/>
  <c r="W97" i="7"/>
  <c r="D97" i="20" s="1"/>
  <c r="F97" i="20" s="1"/>
  <c r="U97" i="7"/>
  <c r="B97" i="20"/>
  <c r="W95" i="7"/>
  <c r="D95" i="20" s="1"/>
  <c r="F95" i="20" s="1"/>
  <c r="U95" i="7"/>
  <c r="B95" i="20"/>
  <c r="W142" i="7"/>
  <c r="U142" i="7"/>
  <c r="B142" i="20"/>
  <c r="W140" i="7"/>
  <c r="U140" i="7"/>
  <c r="B140" i="20"/>
  <c r="B409" i="5"/>
  <c r="N409" i="5"/>
  <c r="F153" i="17" a="1"/>
  <c r="F153" i="17"/>
  <c r="H153" i="17" a="1"/>
  <c r="H153" i="17"/>
  <c r="F152" i="17" a="1"/>
  <c r="F152" i="17"/>
  <c r="F151" i="17" a="1"/>
  <c r="F151" i="17"/>
  <c r="F150" i="17" a="1"/>
  <c r="F150" i="17"/>
  <c r="F149" i="17" a="1"/>
  <c r="F149" i="17"/>
  <c r="F148" i="17" a="1"/>
  <c r="F148" i="17"/>
  <c r="F147" i="17" a="1"/>
  <c r="F147" i="17"/>
  <c r="F146" i="17" a="1"/>
  <c r="F146" i="17"/>
  <c r="F145" i="17" a="1"/>
  <c r="F145" i="17"/>
  <c r="W163" i="7"/>
  <c r="W136" i="7"/>
  <c r="W127" i="7"/>
  <c r="D127" i="20" s="1"/>
  <c r="F127" i="20" s="1"/>
  <c r="W118" i="7"/>
  <c r="D118" i="20" s="1"/>
  <c r="F118" i="20" s="1"/>
  <c r="W109" i="7"/>
  <c r="D109" i="20" s="1"/>
  <c r="F109" i="20" s="1"/>
  <c r="W100" i="7"/>
  <c r="D100" i="20" s="1"/>
  <c r="F100" i="20" s="1"/>
  <c r="W91" i="7"/>
  <c r="D91" i="20"/>
  <c r="F91" i="20"/>
  <c r="W82" i="7"/>
  <c r="D82" i="20"/>
  <c r="F82" i="20"/>
  <c r="W73" i="7"/>
  <c r="D73" i="20"/>
  <c r="F73" i="20"/>
  <c r="W64" i="7"/>
  <c r="D64" i="20"/>
  <c r="F64" i="20"/>
  <c r="W55" i="7"/>
  <c r="D55" i="20"/>
  <c r="F55" i="20"/>
  <c r="W46" i="7"/>
  <c r="D46" i="20"/>
  <c r="F46" i="20"/>
  <c r="W37" i="7"/>
  <c r="D37" i="20"/>
  <c r="W28" i="7"/>
  <c r="D28" i="20"/>
  <c r="U163" i="7"/>
  <c r="B163" i="20"/>
  <c r="U136" i="7"/>
  <c r="B136" i="20"/>
  <c r="U127" i="7"/>
  <c r="B127" i="20"/>
  <c r="U118" i="7"/>
  <c r="B118" i="20"/>
  <c r="U109" i="7"/>
  <c r="B109" i="20"/>
  <c r="U100" i="7"/>
  <c r="B100" i="20"/>
  <c r="U91" i="7"/>
  <c r="B91" i="20"/>
  <c r="U82" i="7"/>
  <c r="B82" i="20"/>
  <c r="U73" i="7"/>
  <c r="B73" i="20"/>
  <c r="U64" i="7"/>
  <c r="B64" i="20"/>
  <c r="U55" i="7"/>
  <c r="B55" i="20"/>
  <c r="U46" i="7"/>
  <c r="B46" i="20"/>
  <c r="U37" i="7"/>
  <c r="B37" i="20"/>
  <c r="C168" i="18"/>
  <c r="U28" i="7"/>
  <c r="B28" i="20"/>
  <c r="C159" i="18"/>
  <c r="U20" i="7"/>
  <c r="B20" i="20"/>
  <c r="C151" i="18"/>
  <c r="U11" i="7"/>
  <c r="B11" i="20"/>
  <c r="C142" i="18"/>
  <c r="BX6" i="7"/>
  <c r="BX7" i="7"/>
  <c r="BX8" i="7"/>
  <c r="BX9" i="7"/>
  <c r="BX10" i="7"/>
  <c r="BX11" i="7"/>
  <c r="BX12" i="7"/>
  <c r="BX13" i="7"/>
  <c r="BX14" i="7"/>
  <c r="M12" i="7"/>
  <c r="P12" i="7"/>
  <c r="V541" i="5"/>
  <c r="CE5" i="7"/>
  <c r="BZ6" i="7"/>
  <c r="BZ7" i="7"/>
  <c r="BZ8" i="7"/>
  <c r="BZ9" i="7"/>
  <c r="BZ10" i="7"/>
  <c r="BZ11" i="7"/>
  <c r="BZ12" i="7"/>
  <c r="BZ13" i="7"/>
  <c r="BZ14" i="7"/>
  <c r="CC6" i="7"/>
  <c r="CC7" i="7"/>
  <c r="CC8" i="7"/>
  <c r="CC9" i="7"/>
  <c r="CC10" i="7"/>
  <c r="CC11" i="7"/>
  <c r="CC12" i="7"/>
  <c r="CC13" i="7"/>
  <c r="CC14" i="7"/>
  <c r="CJ5" i="7"/>
  <c r="CA6" i="7"/>
  <c r="CA7" i="7"/>
  <c r="CA8" i="7"/>
  <c r="CA9" i="7"/>
  <c r="CA10" i="7"/>
  <c r="CA11" i="7"/>
  <c r="CA12" i="7"/>
  <c r="CA13" i="7"/>
  <c r="CA14" i="7"/>
  <c r="F28" i="20"/>
  <c r="G159" i="18"/>
  <c r="E159" i="18"/>
  <c r="F37" i="20"/>
  <c r="G168" i="18"/>
  <c r="E168" i="18"/>
  <c r="AD17" i="20"/>
  <c r="AE148" i="18"/>
  <c r="J148" i="18"/>
  <c r="AD8" i="20"/>
  <c r="AE139" i="18"/>
  <c r="J139" i="18"/>
  <c r="AD19" i="20"/>
  <c r="AE150" i="18"/>
  <c r="J150" i="18"/>
  <c r="AD10" i="20"/>
  <c r="AE141" i="18"/>
  <c r="J141" i="18"/>
  <c r="AE46" i="20"/>
  <c r="AC46" i="20"/>
  <c r="AB46" i="20"/>
  <c r="AA46" i="20"/>
  <c r="Z46" i="20"/>
  <c r="Y46" i="20"/>
  <c r="X46" i="20"/>
  <c r="W46" i="20"/>
  <c r="V46" i="20"/>
  <c r="AE55" i="20"/>
  <c r="AC55" i="20"/>
  <c r="AB55" i="20"/>
  <c r="AA55" i="20"/>
  <c r="W55" i="20"/>
  <c r="AE56" i="20"/>
  <c r="AC56" i="20"/>
  <c r="AB56" i="20"/>
  <c r="AA56" i="20"/>
  <c r="Z56" i="20"/>
  <c r="Y56" i="20"/>
  <c r="X56" i="20"/>
  <c r="W56" i="20"/>
  <c r="V56" i="20"/>
  <c r="AE54" i="20"/>
  <c r="AC54" i="20"/>
  <c r="AB54" i="20"/>
  <c r="AA54" i="20"/>
  <c r="Z54" i="20"/>
  <c r="Y54" i="20"/>
  <c r="X54" i="20"/>
  <c r="W54" i="20"/>
  <c r="V54" i="20"/>
  <c r="AE53" i="20"/>
  <c r="AC53" i="20"/>
  <c r="AB53" i="20"/>
  <c r="AA53" i="20"/>
  <c r="Z53" i="20"/>
  <c r="Y53" i="20"/>
  <c r="X53" i="20"/>
  <c r="W53" i="20"/>
  <c r="V53" i="20"/>
  <c r="H51" i="20"/>
  <c r="AE51" i="20"/>
  <c r="AC51" i="20"/>
  <c r="AB51" i="20"/>
  <c r="AA51" i="20"/>
  <c r="Z51" i="20"/>
  <c r="Y51" i="20"/>
  <c r="X51" i="20"/>
  <c r="W51" i="20"/>
  <c r="V51" i="20"/>
  <c r="AD51" i="20" s="1"/>
  <c r="G51" i="20"/>
  <c r="U145" i="7"/>
  <c r="B145" i="20"/>
  <c r="L249" i="5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AE11" i="20"/>
  <c r="AF142" i="18"/>
  <c r="AC11" i="20"/>
  <c r="AD142" i="18"/>
  <c r="AB11" i="20"/>
  <c r="AC142" i="18"/>
  <c r="AA11" i="20"/>
  <c r="AB142" i="18"/>
  <c r="Z11" i="20"/>
  <c r="AA142" i="18"/>
  <c r="Y11" i="20"/>
  <c r="Z142" i="18"/>
  <c r="X11" i="20"/>
  <c r="Y142" i="18"/>
  <c r="W11" i="20"/>
  <c r="X142" i="18"/>
  <c r="V11" i="20"/>
  <c r="W142" i="18"/>
  <c r="AE20" i="20"/>
  <c r="AF151" i="18"/>
  <c r="AC20" i="20"/>
  <c r="AD151" i="18"/>
  <c r="AB20" i="20"/>
  <c r="AC151" i="18"/>
  <c r="AA20" i="20"/>
  <c r="AB151" i="18"/>
  <c r="Z20" i="20"/>
  <c r="AA151" i="18"/>
  <c r="Y20" i="20"/>
  <c r="Z151" i="18"/>
  <c r="X20" i="20"/>
  <c r="Y151" i="18"/>
  <c r="W20" i="20"/>
  <c r="X151" i="18"/>
  <c r="V20" i="20"/>
  <c r="W151" i="18"/>
  <c r="AE28" i="20"/>
  <c r="AF159" i="18"/>
  <c r="AC28" i="20"/>
  <c r="AD159" i="18"/>
  <c r="AB28" i="20"/>
  <c r="AC159" i="18"/>
  <c r="AA28" i="20"/>
  <c r="AB159" i="18"/>
  <c r="Z28" i="20"/>
  <c r="AA159" i="18"/>
  <c r="Y28" i="20"/>
  <c r="Z159" i="18"/>
  <c r="X28" i="20"/>
  <c r="Y159" i="18"/>
  <c r="W28" i="20"/>
  <c r="X159" i="18"/>
  <c r="V28" i="20"/>
  <c r="W159" i="18"/>
  <c r="AE37" i="20"/>
  <c r="AF168" i="18"/>
  <c r="AC37" i="20"/>
  <c r="AD168" i="18"/>
  <c r="AB37" i="20"/>
  <c r="AC168" i="18"/>
  <c r="AA37" i="20"/>
  <c r="AB168" i="18"/>
  <c r="Z37" i="20"/>
  <c r="AA168" i="18"/>
  <c r="Y37" i="20"/>
  <c r="Z168" i="18"/>
  <c r="X37" i="20"/>
  <c r="Y168" i="18"/>
  <c r="W37" i="20"/>
  <c r="X168" i="18"/>
  <c r="V37" i="20"/>
  <c r="W168" i="18"/>
  <c r="Y123" i="7"/>
  <c r="E123" i="20" s="1"/>
  <c r="L299" i="5"/>
  <c r="Y87" i="7"/>
  <c r="E87" i="20"/>
  <c r="L201" i="5"/>
  <c r="Y69" i="7"/>
  <c r="E69" i="20"/>
  <c r="F69" i="20" s="1"/>
  <c r="K130" i="20"/>
  <c r="I130" i="20"/>
  <c r="X474" i="5"/>
  <c r="AH178" i="7"/>
  <c r="W474" i="5"/>
  <c r="AG178" i="7"/>
  <c r="V474" i="5"/>
  <c r="AF178" i="7"/>
  <c r="U474" i="5"/>
  <c r="AE178" i="7"/>
  <c r="T474" i="5"/>
  <c r="AD178" i="7"/>
  <c r="S474" i="5"/>
  <c r="AC178" i="7"/>
  <c r="R474" i="5"/>
  <c r="AB178" i="7"/>
  <c r="Q474" i="5"/>
  <c r="AA178" i="7"/>
  <c r="P474" i="5"/>
  <c r="Z178" i="7"/>
  <c r="O474" i="5"/>
  <c r="Y178" i="7"/>
  <c r="X178" i="7"/>
  <c r="M474" i="5"/>
  <c r="X472" i="5"/>
  <c r="AH176" i="7"/>
  <c r="W472" i="5"/>
  <c r="AG176" i="7"/>
  <c r="V472" i="5"/>
  <c r="AF176" i="7"/>
  <c r="U472" i="5"/>
  <c r="AE176" i="7"/>
  <c r="T472" i="5"/>
  <c r="AD176" i="7"/>
  <c r="S472" i="5"/>
  <c r="AC176" i="7"/>
  <c r="R472" i="5"/>
  <c r="AB176" i="7"/>
  <c r="Q472" i="5"/>
  <c r="AA176" i="7"/>
  <c r="P472" i="5"/>
  <c r="Z176" i="7"/>
  <c r="O472" i="5"/>
  <c r="Y176" i="7"/>
  <c r="X176" i="7"/>
  <c r="M472" i="5"/>
  <c r="X471" i="5"/>
  <c r="AH175" i="7"/>
  <c r="W471" i="5"/>
  <c r="AG175" i="7"/>
  <c r="V471" i="5"/>
  <c r="AF175" i="7"/>
  <c r="U471" i="5"/>
  <c r="AE175" i="7"/>
  <c r="T471" i="5"/>
  <c r="AD175" i="7"/>
  <c r="S471" i="5"/>
  <c r="AC175" i="7"/>
  <c r="R471" i="5"/>
  <c r="AB175" i="7"/>
  <c r="Q471" i="5"/>
  <c r="AA175" i="7"/>
  <c r="P471" i="5"/>
  <c r="Z175" i="7"/>
  <c r="O471" i="5"/>
  <c r="X175" i="7"/>
  <c r="M471" i="5"/>
  <c r="X479" i="5"/>
  <c r="AH183" i="7"/>
  <c r="W479" i="5"/>
  <c r="AG183" i="7"/>
  <c r="V479" i="5"/>
  <c r="AF183" i="7"/>
  <c r="U479" i="5"/>
  <c r="AE183" i="7"/>
  <c r="T479" i="5"/>
  <c r="AD183" i="7"/>
  <c r="S479" i="5"/>
  <c r="AC183" i="7"/>
  <c r="R479" i="5"/>
  <c r="AB183" i="7"/>
  <c r="Q479" i="5"/>
  <c r="AA183" i="7"/>
  <c r="P479" i="5"/>
  <c r="Z183" i="7"/>
  <c r="O479" i="5"/>
  <c r="Y183" i="7"/>
  <c r="X183" i="7"/>
  <c r="M479" i="5"/>
  <c r="U141" i="7"/>
  <c r="B141" i="20"/>
  <c r="X375" i="5"/>
  <c r="AH141" i="7"/>
  <c r="W375" i="5"/>
  <c r="AG141" i="7"/>
  <c r="V375" i="5"/>
  <c r="AF141" i="7"/>
  <c r="U375" i="5"/>
  <c r="AE141" i="7"/>
  <c r="T375" i="5"/>
  <c r="AD141" i="7"/>
  <c r="S375" i="5"/>
  <c r="AC141" i="7"/>
  <c r="R375" i="5"/>
  <c r="AB141" i="7"/>
  <c r="Q375" i="5"/>
  <c r="AA141" i="7"/>
  <c r="P375" i="5"/>
  <c r="Z141" i="7"/>
  <c r="O375" i="5"/>
  <c r="X141" i="7"/>
  <c r="M375" i="5"/>
  <c r="W141" i="7"/>
  <c r="U143" i="7"/>
  <c r="B143" i="20"/>
  <c r="X377" i="5"/>
  <c r="AH143" i="7"/>
  <c r="W377" i="5"/>
  <c r="AG143" i="7"/>
  <c r="V377" i="5"/>
  <c r="AF143" i="7"/>
  <c r="U377" i="5"/>
  <c r="AE143" i="7"/>
  <c r="T377" i="5"/>
  <c r="AD143" i="7"/>
  <c r="S377" i="5"/>
  <c r="AC143" i="7"/>
  <c r="R377" i="5"/>
  <c r="AB143" i="7"/>
  <c r="Q377" i="5"/>
  <c r="AA143" i="7"/>
  <c r="P377" i="5"/>
  <c r="Z143" i="7"/>
  <c r="O377" i="5"/>
  <c r="Y143" i="7"/>
  <c r="X143" i="7"/>
  <c r="M377" i="5"/>
  <c r="W143" i="7"/>
  <c r="U144" i="7"/>
  <c r="B144" i="20"/>
  <c r="X378" i="5"/>
  <c r="AH144" i="7"/>
  <c r="W378" i="5"/>
  <c r="AG144" i="7"/>
  <c r="V378" i="5"/>
  <c r="AF144" i="7"/>
  <c r="U378" i="5"/>
  <c r="AE144" i="7"/>
  <c r="T378" i="5"/>
  <c r="AD144" i="7"/>
  <c r="S378" i="5"/>
  <c r="AC144" i="7"/>
  <c r="R378" i="5"/>
  <c r="AB144" i="7"/>
  <c r="Q378" i="5"/>
  <c r="AA144" i="7"/>
  <c r="P378" i="5"/>
  <c r="Z144" i="7"/>
  <c r="O378" i="5"/>
  <c r="Y144" i="7"/>
  <c r="X144" i="7"/>
  <c r="M378" i="5"/>
  <c r="W144" i="7"/>
  <c r="X379" i="5"/>
  <c r="AH145" i="7"/>
  <c r="W379" i="5"/>
  <c r="AG145" i="7"/>
  <c r="V379" i="5"/>
  <c r="AF145" i="7"/>
  <c r="U379" i="5"/>
  <c r="AE145" i="7"/>
  <c r="T379" i="5"/>
  <c r="AD145" i="7"/>
  <c r="S379" i="5"/>
  <c r="AC145" i="7"/>
  <c r="R379" i="5"/>
  <c r="AB145" i="7"/>
  <c r="Q379" i="5"/>
  <c r="AA145" i="7"/>
  <c r="P379" i="5"/>
  <c r="Z145" i="7"/>
  <c r="O379" i="5"/>
  <c r="Y145" i="7"/>
  <c r="X145" i="7"/>
  <c r="M379" i="5"/>
  <c r="W145" i="7"/>
  <c r="U146" i="7"/>
  <c r="B146" i="20"/>
  <c r="X380" i="5"/>
  <c r="AH146" i="7"/>
  <c r="W380" i="5"/>
  <c r="AG146" i="7"/>
  <c r="V380" i="5"/>
  <c r="AF146" i="7"/>
  <c r="U380" i="5"/>
  <c r="AE146" i="7"/>
  <c r="T380" i="5"/>
  <c r="AD146" i="7"/>
  <c r="S380" i="5"/>
  <c r="AC146" i="7"/>
  <c r="R380" i="5"/>
  <c r="AB146" i="7"/>
  <c r="Q380" i="5"/>
  <c r="AA146" i="7"/>
  <c r="P380" i="5"/>
  <c r="Z146" i="7"/>
  <c r="O380" i="5"/>
  <c r="Y146" i="7"/>
  <c r="X146" i="7"/>
  <c r="M380" i="5"/>
  <c r="W146" i="7"/>
  <c r="Y139" i="7"/>
  <c r="X409" i="5"/>
  <c r="AH156" i="7"/>
  <c r="W409" i="5"/>
  <c r="AG156" i="7"/>
  <c r="V409" i="5"/>
  <c r="AF156" i="7"/>
  <c r="U409" i="5"/>
  <c r="AE156" i="7"/>
  <c r="T409" i="5"/>
  <c r="AD156" i="7"/>
  <c r="S409" i="5"/>
  <c r="AC156" i="7"/>
  <c r="R409" i="5"/>
  <c r="AB156" i="7"/>
  <c r="Q409" i="5"/>
  <c r="AA156" i="7"/>
  <c r="P409" i="5"/>
  <c r="Z156" i="7"/>
  <c r="O409" i="5"/>
  <c r="Y156" i="7"/>
  <c r="X156" i="7"/>
  <c r="M409" i="5"/>
  <c r="Y94" i="7"/>
  <c r="E94" i="20" s="1"/>
  <c r="Y76" i="7"/>
  <c r="E76" i="20"/>
  <c r="F56" i="20"/>
  <c r="F54" i="20"/>
  <c r="F53" i="20"/>
  <c r="F51" i="20"/>
  <c r="I11" i="20"/>
  <c r="K11" i="20"/>
  <c r="L142" i="18"/>
  <c r="I20" i="20"/>
  <c r="K20" i="20"/>
  <c r="L151" i="18"/>
  <c r="I28" i="20"/>
  <c r="K28" i="20"/>
  <c r="L159" i="18"/>
  <c r="I37" i="20"/>
  <c r="K37" i="20"/>
  <c r="L168" i="18"/>
  <c r="I46" i="20"/>
  <c r="AD46" i="20"/>
  <c r="K46" i="20"/>
  <c r="I55" i="20"/>
  <c r="I64" i="20"/>
  <c r="I73" i="20"/>
  <c r="I82" i="20"/>
  <c r="AD82" i="20" s="1"/>
  <c r="K82" i="20"/>
  <c r="I91" i="20"/>
  <c r="AD91" i="20" s="1"/>
  <c r="K91" i="20"/>
  <c r="I77" i="20"/>
  <c r="AD77" i="20" s="1"/>
  <c r="K77" i="20"/>
  <c r="I79" i="20"/>
  <c r="AD79" i="20" s="1"/>
  <c r="K79" i="20"/>
  <c r="E41" i="20"/>
  <c r="F41" i="20"/>
  <c r="J82" i="20"/>
  <c r="L82" i="20"/>
  <c r="M82" i="20"/>
  <c r="J91" i="20"/>
  <c r="L91" i="20"/>
  <c r="M91" i="20"/>
  <c r="J77" i="20"/>
  <c r="L77" i="20"/>
  <c r="M77" i="20"/>
  <c r="J79" i="20"/>
  <c r="L79" i="20"/>
  <c r="M79" i="20"/>
  <c r="J64" i="20"/>
  <c r="K64" i="20" s="1"/>
  <c r="L64" i="20"/>
  <c r="M64" i="20"/>
  <c r="J73" i="20"/>
  <c r="K73" i="20" s="1"/>
  <c r="L73" i="20"/>
  <c r="M73" i="20"/>
  <c r="D130" i="20"/>
  <c r="E130" i="20"/>
  <c r="F130" i="20"/>
  <c r="G130" i="20"/>
  <c r="H130" i="20"/>
  <c r="J130" i="20"/>
  <c r="L130" i="20"/>
  <c r="M130" i="20"/>
  <c r="J11" i="20"/>
  <c r="K142" i="18"/>
  <c r="L11" i="20"/>
  <c r="M142" i="18"/>
  <c r="M11" i="20"/>
  <c r="N142" i="18"/>
  <c r="J20" i="20"/>
  <c r="K151" i="18"/>
  <c r="L20" i="20"/>
  <c r="M151" i="18"/>
  <c r="M20" i="20"/>
  <c r="N151" i="18"/>
  <c r="J28" i="20"/>
  <c r="K159" i="18"/>
  <c r="L28" i="20"/>
  <c r="M159" i="18"/>
  <c r="M28" i="20"/>
  <c r="N159" i="18"/>
  <c r="J37" i="20"/>
  <c r="K168" i="18"/>
  <c r="L37" i="20"/>
  <c r="M168" i="18"/>
  <c r="M37" i="20"/>
  <c r="N168" i="18"/>
  <c r="J46" i="20"/>
  <c r="L46" i="20"/>
  <c r="M46" i="20"/>
  <c r="J55" i="20"/>
  <c r="K55" i="20" s="1"/>
  <c r="L55" i="20"/>
  <c r="M55" i="20"/>
  <c r="A460" i="5"/>
  <c r="A448" i="5"/>
  <c r="B528" i="5"/>
  <c r="N528" i="5"/>
  <c r="B478" i="5"/>
  <c r="N478" i="5"/>
  <c r="B477" i="5"/>
  <c r="N477" i="5"/>
  <c r="B476" i="5"/>
  <c r="N476" i="5"/>
  <c r="B475" i="5"/>
  <c r="N475" i="5"/>
  <c r="B473" i="5"/>
  <c r="N473" i="5"/>
  <c r="Y131" i="7"/>
  <c r="H145" i="17" a="1"/>
  <c r="H145" i="17"/>
  <c r="B520" i="5"/>
  <c r="N520" i="5"/>
  <c r="H146" i="17" a="1"/>
  <c r="H146" i="17"/>
  <c r="B521" i="5"/>
  <c r="N521" i="5"/>
  <c r="H147" i="17" a="1"/>
  <c r="H147" i="17"/>
  <c r="H148" i="17" a="1"/>
  <c r="H148" i="17"/>
  <c r="B523" i="5"/>
  <c r="N523" i="5"/>
  <c r="H149" i="17" a="1"/>
  <c r="H149" i="17"/>
  <c r="H150" i="17" a="1"/>
  <c r="H150" i="17"/>
  <c r="H151" i="17" a="1"/>
  <c r="H151" i="17"/>
  <c r="H152" i="17" a="1"/>
  <c r="H152" i="17"/>
  <c r="N401" i="5"/>
  <c r="B402" i="5"/>
  <c r="N402" i="5"/>
  <c r="B403" i="5"/>
  <c r="N403" i="5"/>
  <c r="B404" i="5"/>
  <c r="N404" i="5"/>
  <c r="B405" i="5"/>
  <c r="N405" i="5"/>
  <c r="B406" i="5"/>
  <c r="N406" i="5"/>
  <c r="B407" i="5"/>
  <c r="N407" i="5"/>
  <c r="B408" i="5"/>
  <c r="N408" i="5"/>
  <c r="W178" i="7"/>
  <c r="U178" i="7"/>
  <c r="B178" i="20"/>
  <c r="W176" i="7"/>
  <c r="U176" i="7"/>
  <c r="B176" i="20"/>
  <c r="A139" i="17" a="1"/>
  <c r="A139" i="17"/>
  <c r="C139" i="17" a="1"/>
  <c r="C139" i="17"/>
  <c r="B458" i="5"/>
  <c r="N458" i="5"/>
  <c r="A138" i="17" a="1"/>
  <c r="A138" i="17"/>
  <c r="A137" i="17" a="1"/>
  <c r="A137" i="17"/>
  <c r="A136" i="17" a="1"/>
  <c r="A136" i="17"/>
  <c r="A135" i="17" a="1"/>
  <c r="A135" i="17"/>
  <c r="A134" i="17" a="1"/>
  <c r="A134" i="17"/>
  <c r="A133" i="17" a="1"/>
  <c r="A133" i="17"/>
  <c r="A132" i="17" a="1"/>
  <c r="A132" i="17"/>
  <c r="A131" i="17" a="1"/>
  <c r="A131" i="17"/>
  <c r="F167" i="17" a="1"/>
  <c r="F167" i="17"/>
  <c r="F166" i="17" a="1"/>
  <c r="F166" i="17"/>
  <c r="F165" i="17" a="1"/>
  <c r="F165" i="17"/>
  <c r="F164" i="17" a="1"/>
  <c r="F164" i="17"/>
  <c r="F163" i="17" a="1"/>
  <c r="F163" i="17"/>
  <c r="F162" i="17" a="1"/>
  <c r="F162" i="17"/>
  <c r="F161" i="17" a="1"/>
  <c r="F161" i="17"/>
  <c r="F160" i="17" a="1"/>
  <c r="F160" i="17"/>
  <c r="F159" i="17" a="1"/>
  <c r="F159" i="17"/>
  <c r="U21" i="7"/>
  <c r="B21" i="20"/>
  <c r="C152" i="18"/>
  <c r="U12" i="7"/>
  <c r="B12" i="20"/>
  <c r="C143" i="18"/>
  <c r="U13" i="7"/>
  <c r="U4" i="7"/>
  <c r="B20" i="4"/>
  <c r="H16" i="4" a="1"/>
  <c r="H16" i="4"/>
  <c r="CE6" i="7"/>
  <c r="CE7" i="7"/>
  <c r="CE8" i="7"/>
  <c r="CE9" i="7"/>
  <c r="CE10" i="7"/>
  <c r="CE11" i="7"/>
  <c r="CE12" i="7"/>
  <c r="CE13" i="7"/>
  <c r="CE14" i="7"/>
  <c r="I15" i="7"/>
  <c r="H15" i="7"/>
  <c r="AL136" i="7"/>
  <c r="AL137" i="7"/>
  <c r="AL138" i="7"/>
  <c r="AL139" i="7"/>
  <c r="AL140" i="7"/>
  <c r="AL141" i="7"/>
  <c r="AL142" i="7"/>
  <c r="AL143" i="7"/>
  <c r="AL144" i="7"/>
  <c r="AL145" i="7"/>
  <c r="AL146" i="7"/>
  <c r="AL147" i="7"/>
  <c r="AK136" i="7"/>
  <c r="AJ136" i="7"/>
  <c r="AK137" i="7"/>
  <c r="AJ137" i="7"/>
  <c r="AK138" i="7"/>
  <c r="AJ138" i="7"/>
  <c r="AK139" i="7"/>
  <c r="AJ139" i="7"/>
  <c r="AK140" i="7"/>
  <c r="AJ140" i="7"/>
  <c r="AK141" i="7"/>
  <c r="AJ141" i="7"/>
  <c r="AK142" i="7"/>
  <c r="AJ142" i="7"/>
  <c r="AK143" i="7"/>
  <c r="AJ143" i="7"/>
  <c r="AK144" i="7"/>
  <c r="AJ144" i="7"/>
  <c r="AK145" i="7"/>
  <c r="AJ145" i="7"/>
  <c r="AK146" i="7"/>
  <c r="AJ146" i="7"/>
  <c r="AK147" i="7"/>
  <c r="AJ147" i="7"/>
  <c r="T202" i="7"/>
  <c r="A202" i="20"/>
  <c r="T203" i="7"/>
  <c r="A203" i="20"/>
  <c r="T204" i="7"/>
  <c r="A204" i="20"/>
  <c r="T205" i="7"/>
  <c r="A205" i="20"/>
  <c r="T206" i="7"/>
  <c r="A206" i="20"/>
  <c r="T207" i="7"/>
  <c r="A207" i="20"/>
  <c r="T208" i="7"/>
  <c r="A208" i="20"/>
  <c r="T209" i="7"/>
  <c r="A209" i="20"/>
  <c r="T210" i="7"/>
  <c r="A210" i="20"/>
  <c r="T211" i="7"/>
  <c r="A211" i="20"/>
  <c r="T212" i="7"/>
  <c r="A212" i="20"/>
  <c r="T213" i="7"/>
  <c r="A213" i="20"/>
  <c r="T214" i="7"/>
  <c r="A214" i="20"/>
  <c r="T215" i="7"/>
  <c r="A215" i="20"/>
  <c r="T216" i="7"/>
  <c r="A216" i="20"/>
  <c r="T217" i="7"/>
  <c r="A217" i="20"/>
  <c r="T218" i="7"/>
  <c r="A218" i="20"/>
  <c r="T219" i="7"/>
  <c r="A219" i="20"/>
  <c r="S202" i="7"/>
  <c r="C202" i="20"/>
  <c r="S203" i="7"/>
  <c r="C203" i="20"/>
  <c r="S204" i="7"/>
  <c r="C204" i="20"/>
  <c r="S205" i="7"/>
  <c r="C205" i="20"/>
  <c r="S206" i="7"/>
  <c r="C206" i="20"/>
  <c r="S207" i="7"/>
  <c r="C207" i="20"/>
  <c r="S208" i="7"/>
  <c r="C208" i="20"/>
  <c r="S209" i="7"/>
  <c r="C209" i="20"/>
  <c r="S210" i="7"/>
  <c r="C210" i="20"/>
  <c r="S211" i="7"/>
  <c r="C211" i="20"/>
  <c r="S212" i="7"/>
  <c r="C212" i="20"/>
  <c r="S213" i="7"/>
  <c r="C213" i="20"/>
  <c r="S214" i="7"/>
  <c r="C214" i="20"/>
  <c r="S215" i="7"/>
  <c r="C215" i="20"/>
  <c r="S216" i="7"/>
  <c r="C216" i="20"/>
  <c r="S217" i="7"/>
  <c r="C217" i="20"/>
  <c r="S218" i="7"/>
  <c r="C218" i="20"/>
  <c r="S219" i="7"/>
  <c r="C219" i="20"/>
  <c r="M15" i="7"/>
  <c r="L15" i="7"/>
  <c r="P15" i="7"/>
  <c r="K15" i="7"/>
  <c r="A27" i="19"/>
  <c r="J15" i="7"/>
  <c r="A26" i="19"/>
  <c r="CF5" i="7"/>
  <c r="CH5" i="7"/>
  <c r="CJ6" i="7"/>
  <c r="CJ7" i="7"/>
  <c r="CJ8" i="7"/>
  <c r="CJ9" i="7"/>
  <c r="CJ10" i="7"/>
  <c r="CJ11" i="7"/>
  <c r="CJ12" i="7"/>
  <c r="CJ13" i="7"/>
  <c r="CJ14" i="7"/>
  <c r="CG5" i="7"/>
  <c r="AD37" i="20"/>
  <c r="AE168" i="18"/>
  <c r="J168" i="18"/>
  <c r="AD28" i="20"/>
  <c r="AE159" i="18"/>
  <c r="J159" i="18"/>
  <c r="AD20" i="20"/>
  <c r="AE151" i="18"/>
  <c r="J151" i="18"/>
  <c r="AD11" i="20"/>
  <c r="AE142" i="18"/>
  <c r="J142" i="18"/>
  <c r="U150" i="7"/>
  <c r="B150" i="20"/>
  <c r="U152" i="7"/>
  <c r="B152" i="20"/>
  <c r="U153" i="7"/>
  <c r="B153" i="20"/>
  <c r="U155" i="7"/>
  <c r="B155" i="20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AE219" i="20"/>
  <c r="AD219" i="20"/>
  <c r="AC219" i="20"/>
  <c r="AB219" i="20"/>
  <c r="AA219" i="20"/>
  <c r="Z219" i="20"/>
  <c r="Y219" i="20"/>
  <c r="X219" i="20"/>
  <c r="W219" i="20"/>
  <c r="V219" i="20"/>
  <c r="U219" i="20"/>
  <c r="T219" i="20"/>
  <c r="S219" i="20"/>
  <c r="R219" i="20"/>
  <c r="Q219" i="20"/>
  <c r="P219" i="20"/>
  <c r="O219" i="20"/>
  <c r="N219" i="20"/>
  <c r="AE218" i="20"/>
  <c r="AD218" i="20"/>
  <c r="AC218" i="20"/>
  <c r="AB218" i="20"/>
  <c r="AA218" i="20"/>
  <c r="Z218" i="20"/>
  <c r="Y218" i="20"/>
  <c r="X218" i="20"/>
  <c r="W218" i="20"/>
  <c r="V218" i="20"/>
  <c r="U218" i="20"/>
  <c r="T218" i="20"/>
  <c r="S218" i="20"/>
  <c r="R218" i="20"/>
  <c r="Q218" i="20"/>
  <c r="P218" i="20"/>
  <c r="O218" i="20"/>
  <c r="N218" i="20"/>
  <c r="AE217" i="20"/>
  <c r="AD217" i="20"/>
  <c r="AC217" i="20"/>
  <c r="AB217" i="20"/>
  <c r="AA217" i="20"/>
  <c r="Z217" i="20"/>
  <c r="Y217" i="20"/>
  <c r="X217" i="20"/>
  <c r="W217" i="20"/>
  <c r="V217" i="20"/>
  <c r="U217" i="20"/>
  <c r="T217" i="20"/>
  <c r="S217" i="20"/>
  <c r="R217" i="20"/>
  <c r="Q217" i="20"/>
  <c r="P217" i="20"/>
  <c r="O217" i="20"/>
  <c r="N217" i="20"/>
  <c r="AE216" i="20"/>
  <c r="AD216" i="20"/>
  <c r="AC216" i="20"/>
  <c r="AB216" i="20"/>
  <c r="AA216" i="20"/>
  <c r="Z216" i="20"/>
  <c r="Y216" i="20"/>
  <c r="X216" i="20"/>
  <c r="W216" i="20"/>
  <c r="V216" i="20"/>
  <c r="U216" i="20"/>
  <c r="T216" i="20"/>
  <c r="S216" i="20"/>
  <c r="R216" i="20"/>
  <c r="Q216" i="20"/>
  <c r="P216" i="20"/>
  <c r="O216" i="20"/>
  <c r="N216" i="20"/>
  <c r="AE215" i="20"/>
  <c r="AD215" i="20"/>
  <c r="AC215" i="20"/>
  <c r="AB215" i="20"/>
  <c r="AA215" i="20"/>
  <c r="Z215" i="20"/>
  <c r="Y215" i="20"/>
  <c r="X215" i="20"/>
  <c r="W215" i="20"/>
  <c r="V215" i="20"/>
  <c r="U215" i="20"/>
  <c r="T215" i="20"/>
  <c r="S215" i="20"/>
  <c r="R215" i="20"/>
  <c r="Q215" i="20"/>
  <c r="P215" i="20"/>
  <c r="O215" i="20"/>
  <c r="N215" i="20"/>
  <c r="AE214" i="20"/>
  <c r="AD214" i="20"/>
  <c r="AC214" i="20"/>
  <c r="AB214" i="20"/>
  <c r="AA214" i="20"/>
  <c r="Z214" i="20"/>
  <c r="Y214" i="20"/>
  <c r="X214" i="20"/>
  <c r="W214" i="20"/>
  <c r="V214" i="20"/>
  <c r="U214" i="20"/>
  <c r="T214" i="20"/>
  <c r="S214" i="20"/>
  <c r="R214" i="20"/>
  <c r="Q214" i="20"/>
  <c r="P214" i="20"/>
  <c r="O214" i="20"/>
  <c r="N214" i="20"/>
  <c r="AE213" i="20"/>
  <c r="AD213" i="20"/>
  <c r="AC213" i="20"/>
  <c r="AB213" i="20"/>
  <c r="AA213" i="20"/>
  <c r="Z213" i="20"/>
  <c r="Y213" i="20"/>
  <c r="X213" i="20"/>
  <c r="W213" i="20"/>
  <c r="V213" i="20"/>
  <c r="U213" i="20"/>
  <c r="T213" i="20"/>
  <c r="S213" i="20"/>
  <c r="R213" i="20"/>
  <c r="Q213" i="20"/>
  <c r="P213" i="20"/>
  <c r="O213" i="20"/>
  <c r="N213" i="20"/>
  <c r="AE212" i="20"/>
  <c r="AD212" i="20"/>
  <c r="AC212" i="20"/>
  <c r="AB212" i="20"/>
  <c r="AA212" i="20"/>
  <c r="Z212" i="20"/>
  <c r="Y212" i="20"/>
  <c r="X212" i="20"/>
  <c r="W212" i="20"/>
  <c r="V212" i="20"/>
  <c r="U212" i="20"/>
  <c r="T212" i="20"/>
  <c r="S212" i="20"/>
  <c r="R212" i="20"/>
  <c r="Q212" i="20"/>
  <c r="P212" i="20"/>
  <c r="O212" i="20"/>
  <c r="N212" i="20"/>
  <c r="AE211" i="20"/>
  <c r="AD211" i="20"/>
  <c r="AC211" i="20"/>
  <c r="AB211" i="20"/>
  <c r="AA211" i="20"/>
  <c r="Z211" i="20"/>
  <c r="Y211" i="20"/>
  <c r="X211" i="20"/>
  <c r="W211" i="20"/>
  <c r="V211" i="20"/>
  <c r="U211" i="20"/>
  <c r="T211" i="20"/>
  <c r="S211" i="20"/>
  <c r="R211" i="20"/>
  <c r="Q211" i="20"/>
  <c r="P211" i="20"/>
  <c r="O211" i="20"/>
  <c r="N211" i="20"/>
  <c r="AE210" i="20"/>
  <c r="AD210" i="20"/>
  <c r="AC210" i="20"/>
  <c r="AB210" i="20"/>
  <c r="AA210" i="20"/>
  <c r="Z210" i="20"/>
  <c r="Y210" i="20"/>
  <c r="X210" i="20"/>
  <c r="W210" i="20"/>
  <c r="V210" i="20"/>
  <c r="U210" i="20"/>
  <c r="T210" i="20"/>
  <c r="S210" i="20"/>
  <c r="R210" i="20"/>
  <c r="Q210" i="20"/>
  <c r="P210" i="20"/>
  <c r="O210" i="20"/>
  <c r="N210" i="20"/>
  <c r="AE209" i="20"/>
  <c r="AD209" i="20"/>
  <c r="AC209" i="20"/>
  <c r="AB209" i="20"/>
  <c r="AA209" i="20"/>
  <c r="Z209" i="20"/>
  <c r="Y209" i="20"/>
  <c r="X209" i="20"/>
  <c r="W209" i="20"/>
  <c r="V209" i="20"/>
  <c r="U209" i="20"/>
  <c r="T209" i="20"/>
  <c r="S209" i="20"/>
  <c r="R209" i="20"/>
  <c r="Q209" i="20"/>
  <c r="P209" i="20"/>
  <c r="O209" i="20"/>
  <c r="N209" i="20"/>
  <c r="AE208" i="20"/>
  <c r="AD208" i="20"/>
  <c r="AC208" i="20"/>
  <c r="AB208" i="20"/>
  <c r="AA208" i="20"/>
  <c r="Z208" i="20"/>
  <c r="Y208" i="20"/>
  <c r="X208" i="20"/>
  <c r="W208" i="20"/>
  <c r="V208" i="20"/>
  <c r="U208" i="20"/>
  <c r="T208" i="20"/>
  <c r="S208" i="20"/>
  <c r="R208" i="20"/>
  <c r="Q208" i="20"/>
  <c r="P208" i="20"/>
  <c r="O208" i="20"/>
  <c r="N208" i="20"/>
  <c r="AE207" i="20"/>
  <c r="AD207" i="20"/>
  <c r="AC207" i="20"/>
  <c r="AB207" i="20"/>
  <c r="AA207" i="20"/>
  <c r="Z207" i="20"/>
  <c r="Y207" i="20"/>
  <c r="X207" i="20"/>
  <c r="W207" i="20"/>
  <c r="V207" i="20"/>
  <c r="U207" i="20"/>
  <c r="T207" i="20"/>
  <c r="S207" i="20"/>
  <c r="R207" i="20"/>
  <c r="Q207" i="20"/>
  <c r="P207" i="20"/>
  <c r="O207" i="20"/>
  <c r="N207" i="20"/>
  <c r="AE206" i="20"/>
  <c r="AD206" i="20"/>
  <c r="AC206" i="20"/>
  <c r="AB206" i="20"/>
  <c r="AA206" i="20"/>
  <c r="Z206" i="20"/>
  <c r="Y206" i="20"/>
  <c r="X206" i="20"/>
  <c r="W206" i="20"/>
  <c r="V206" i="20"/>
  <c r="U206" i="20"/>
  <c r="T206" i="20"/>
  <c r="S206" i="20"/>
  <c r="R206" i="20"/>
  <c r="Q206" i="20"/>
  <c r="P206" i="20"/>
  <c r="O206" i="20"/>
  <c r="N206" i="20"/>
  <c r="AE205" i="20"/>
  <c r="AD205" i="20"/>
  <c r="AC205" i="20"/>
  <c r="AB205" i="20"/>
  <c r="AA205" i="20"/>
  <c r="Z205" i="20"/>
  <c r="Y205" i="20"/>
  <c r="X205" i="20"/>
  <c r="W205" i="20"/>
  <c r="V205" i="20"/>
  <c r="U205" i="20"/>
  <c r="T205" i="20"/>
  <c r="S205" i="20"/>
  <c r="R205" i="20"/>
  <c r="Q205" i="20"/>
  <c r="P205" i="20"/>
  <c r="O205" i="20"/>
  <c r="N205" i="20"/>
  <c r="AE204" i="20"/>
  <c r="AD204" i="20"/>
  <c r="AC204" i="20"/>
  <c r="AB204" i="20"/>
  <c r="AA204" i="20"/>
  <c r="Z204" i="20"/>
  <c r="Y204" i="20"/>
  <c r="X204" i="20"/>
  <c r="W204" i="20"/>
  <c r="V204" i="20"/>
  <c r="U204" i="20"/>
  <c r="T204" i="20"/>
  <c r="S204" i="20"/>
  <c r="R204" i="20"/>
  <c r="Q204" i="20"/>
  <c r="P204" i="20"/>
  <c r="O204" i="20"/>
  <c r="N204" i="20"/>
  <c r="AE203" i="20"/>
  <c r="AD203" i="20"/>
  <c r="AC203" i="20"/>
  <c r="AB203" i="20"/>
  <c r="AA203" i="20"/>
  <c r="Z203" i="20"/>
  <c r="Y203" i="20"/>
  <c r="X203" i="20"/>
  <c r="W203" i="20"/>
  <c r="V203" i="20"/>
  <c r="U203" i="20"/>
  <c r="T203" i="20"/>
  <c r="S203" i="20"/>
  <c r="R203" i="20"/>
  <c r="Q203" i="20"/>
  <c r="P203" i="20"/>
  <c r="O203" i="20"/>
  <c r="N203" i="20"/>
  <c r="AE202" i="20"/>
  <c r="AD202" i="20"/>
  <c r="AC202" i="20"/>
  <c r="AB202" i="20"/>
  <c r="AA202" i="20"/>
  <c r="Z202" i="20"/>
  <c r="Y202" i="20"/>
  <c r="X202" i="20"/>
  <c r="W202" i="20"/>
  <c r="V202" i="20"/>
  <c r="U202" i="20"/>
  <c r="T202" i="20"/>
  <c r="S202" i="20"/>
  <c r="R202" i="20"/>
  <c r="Q202" i="20"/>
  <c r="P202" i="20"/>
  <c r="O202" i="20"/>
  <c r="N202" i="20"/>
  <c r="B4" i="20"/>
  <c r="C135" i="18"/>
  <c r="B13" i="20"/>
  <c r="C144" i="18"/>
  <c r="AE12" i="20"/>
  <c r="AF143" i="18"/>
  <c r="AC12" i="20"/>
  <c r="AD143" i="18"/>
  <c r="AB12" i="20"/>
  <c r="AC143" i="18"/>
  <c r="AA12" i="20"/>
  <c r="AB143" i="18"/>
  <c r="Z12" i="20"/>
  <c r="AA143" i="18"/>
  <c r="Y12" i="20"/>
  <c r="Z143" i="18"/>
  <c r="X12" i="20"/>
  <c r="Y143" i="18"/>
  <c r="W12" i="20"/>
  <c r="X143" i="18"/>
  <c r="V12" i="20"/>
  <c r="W143" i="18"/>
  <c r="AE21" i="20"/>
  <c r="AF152" i="18"/>
  <c r="AC21" i="20"/>
  <c r="AD152" i="18"/>
  <c r="AB21" i="20"/>
  <c r="AC152" i="18"/>
  <c r="AA21" i="20"/>
  <c r="AB152" i="18"/>
  <c r="Z21" i="20"/>
  <c r="AA152" i="18"/>
  <c r="Y21" i="20"/>
  <c r="Z152" i="18"/>
  <c r="X21" i="20"/>
  <c r="Y152" i="18"/>
  <c r="W21" i="20"/>
  <c r="X152" i="18"/>
  <c r="V21" i="20"/>
  <c r="W152" i="18"/>
  <c r="W4" i="20"/>
  <c r="X135" i="18"/>
  <c r="AA4" i="20"/>
  <c r="AB135" i="18"/>
  <c r="AC4" i="20"/>
  <c r="AD135" i="18"/>
  <c r="AE4" i="20"/>
  <c r="AF135" i="18"/>
  <c r="Y141" i="7"/>
  <c r="L348" i="5"/>
  <c r="S26" i="19"/>
  <c r="R26" i="19"/>
  <c r="M26" i="19"/>
  <c r="S27" i="19"/>
  <c r="R27" i="19"/>
  <c r="M27" i="19"/>
  <c r="K219" i="20"/>
  <c r="I219" i="20"/>
  <c r="K218" i="20"/>
  <c r="I218" i="20"/>
  <c r="K217" i="20"/>
  <c r="I217" i="20"/>
  <c r="K216" i="20"/>
  <c r="I216" i="20"/>
  <c r="K215" i="20"/>
  <c r="I215" i="20"/>
  <c r="K214" i="20"/>
  <c r="I214" i="20"/>
  <c r="K213" i="20"/>
  <c r="I213" i="20"/>
  <c r="K212" i="20"/>
  <c r="I212" i="20"/>
  <c r="K211" i="20"/>
  <c r="I211" i="20"/>
  <c r="K210" i="20"/>
  <c r="I210" i="20"/>
  <c r="K209" i="20"/>
  <c r="I209" i="20"/>
  <c r="K208" i="20"/>
  <c r="I208" i="20"/>
  <c r="K207" i="20"/>
  <c r="I207" i="20"/>
  <c r="K206" i="20"/>
  <c r="I206" i="20"/>
  <c r="K205" i="20"/>
  <c r="I205" i="20"/>
  <c r="K204" i="20"/>
  <c r="I204" i="20"/>
  <c r="K203" i="20"/>
  <c r="I203" i="20"/>
  <c r="K202" i="20"/>
  <c r="I202" i="20"/>
  <c r="X523" i="5"/>
  <c r="AH196" i="7"/>
  <c r="W523" i="5"/>
  <c r="AG196" i="7"/>
  <c r="V523" i="5"/>
  <c r="AF196" i="7"/>
  <c r="U523" i="5"/>
  <c r="AE196" i="7"/>
  <c r="T523" i="5"/>
  <c r="AD196" i="7"/>
  <c r="S523" i="5"/>
  <c r="AC196" i="7"/>
  <c r="R523" i="5"/>
  <c r="AB196" i="7"/>
  <c r="Q523" i="5"/>
  <c r="AA196" i="7"/>
  <c r="P523" i="5"/>
  <c r="Z196" i="7"/>
  <c r="O523" i="5"/>
  <c r="Y196" i="7"/>
  <c r="X196" i="7"/>
  <c r="M523" i="5"/>
  <c r="X521" i="5"/>
  <c r="AH194" i="7"/>
  <c r="W521" i="5"/>
  <c r="AG194" i="7"/>
  <c r="V521" i="5"/>
  <c r="AF194" i="7"/>
  <c r="U521" i="5"/>
  <c r="AE194" i="7"/>
  <c r="T521" i="5"/>
  <c r="AD194" i="7"/>
  <c r="S521" i="5"/>
  <c r="AC194" i="7"/>
  <c r="R521" i="5"/>
  <c r="AB194" i="7"/>
  <c r="Q521" i="5"/>
  <c r="AA194" i="7"/>
  <c r="P521" i="5"/>
  <c r="Z194" i="7"/>
  <c r="O521" i="5"/>
  <c r="Y194" i="7"/>
  <c r="X194" i="7"/>
  <c r="M521" i="5"/>
  <c r="X520" i="5"/>
  <c r="AH193" i="7"/>
  <c r="W520" i="5"/>
  <c r="AG193" i="7"/>
  <c r="V520" i="5"/>
  <c r="AF193" i="7"/>
  <c r="U520" i="5"/>
  <c r="AE193" i="7"/>
  <c r="T520" i="5"/>
  <c r="AD193" i="7"/>
  <c r="S520" i="5"/>
  <c r="AC193" i="7"/>
  <c r="R520" i="5"/>
  <c r="AB193" i="7"/>
  <c r="Q520" i="5"/>
  <c r="AA193" i="7"/>
  <c r="P520" i="5"/>
  <c r="Z193" i="7"/>
  <c r="O520" i="5"/>
  <c r="X193" i="7"/>
  <c r="M520" i="5"/>
  <c r="W193" i="7"/>
  <c r="X528" i="5"/>
  <c r="AH201" i="7"/>
  <c r="W528" i="5"/>
  <c r="AG201" i="7"/>
  <c r="V528" i="5"/>
  <c r="AF201" i="7"/>
  <c r="U528" i="5"/>
  <c r="AE201" i="7"/>
  <c r="T528" i="5"/>
  <c r="AD201" i="7"/>
  <c r="S528" i="5"/>
  <c r="AC201" i="7"/>
  <c r="R528" i="5"/>
  <c r="AB201" i="7"/>
  <c r="Q528" i="5"/>
  <c r="AA201" i="7"/>
  <c r="P528" i="5"/>
  <c r="Z201" i="7"/>
  <c r="O528" i="5"/>
  <c r="Y201" i="7"/>
  <c r="X201" i="7"/>
  <c r="M528" i="5"/>
  <c r="U177" i="7"/>
  <c r="B177" i="20"/>
  <c r="X473" i="5"/>
  <c r="AH177" i="7"/>
  <c r="W473" i="5"/>
  <c r="AG177" i="7"/>
  <c r="V473" i="5"/>
  <c r="AF177" i="7"/>
  <c r="U473" i="5"/>
  <c r="AE177" i="7"/>
  <c r="T473" i="5"/>
  <c r="AD177" i="7"/>
  <c r="S473" i="5"/>
  <c r="AC177" i="7"/>
  <c r="R473" i="5"/>
  <c r="AB177" i="7"/>
  <c r="Q473" i="5"/>
  <c r="AA177" i="7"/>
  <c r="P473" i="5"/>
  <c r="Z177" i="7"/>
  <c r="O473" i="5"/>
  <c r="X177" i="7"/>
  <c r="M473" i="5"/>
  <c r="W177" i="7"/>
  <c r="U179" i="7"/>
  <c r="B179" i="20"/>
  <c r="X475" i="5"/>
  <c r="AH179" i="7"/>
  <c r="W475" i="5"/>
  <c r="AG179" i="7"/>
  <c r="V475" i="5"/>
  <c r="AF179" i="7"/>
  <c r="U475" i="5"/>
  <c r="AE179" i="7"/>
  <c r="T475" i="5"/>
  <c r="AD179" i="7"/>
  <c r="S475" i="5"/>
  <c r="AC179" i="7"/>
  <c r="R475" i="5"/>
  <c r="AB179" i="7"/>
  <c r="Q475" i="5"/>
  <c r="AA179" i="7"/>
  <c r="P475" i="5"/>
  <c r="Z179" i="7"/>
  <c r="O475" i="5"/>
  <c r="Y179" i="7"/>
  <c r="X179" i="7"/>
  <c r="M475" i="5"/>
  <c r="W179" i="7"/>
  <c r="U180" i="7"/>
  <c r="B180" i="20"/>
  <c r="X476" i="5"/>
  <c r="AH180" i="7"/>
  <c r="W476" i="5"/>
  <c r="AG180" i="7"/>
  <c r="V476" i="5"/>
  <c r="AF180" i="7"/>
  <c r="U476" i="5"/>
  <c r="AE180" i="7"/>
  <c r="T476" i="5"/>
  <c r="AD180" i="7"/>
  <c r="S476" i="5"/>
  <c r="AC180" i="7"/>
  <c r="R476" i="5"/>
  <c r="AB180" i="7"/>
  <c r="Q476" i="5"/>
  <c r="AA180" i="7"/>
  <c r="P476" i="5"/>
  <c r="Z180" i="7"/>
  <c r="O476" i="5"/>
  <c r="Y180" i="7"/>
  <c r="X180" i="7"/>
  <c r="M476" i="5"/>
  <c r="W180" i="7"/>
  <c r="U181" i="7"/>
  <c r="B181" i="20"/>
  <c r="X477" i="5"/>
  <c r="AH181" i="7"/>
  <c r="W477" i="5"/>
  <c r="AG181" i="7"/>
  <c r="V477" i="5"/>
  <c r="AF181" i="7"/>
  <c r="U477" i="5"/>
  <c r="AE181" i="7"/>
  <c r="T477" i="5"/>
  <c r="AD181" i="7"/>
  <c r="S477" i="5"/>
  <c r="AC181" i="7"/>
  <c r="R477" i="5"/>
  <c r="AB181" i="7"/>
  <c r="Q477" i="5"/>
  <c r="AA181" i="7"/>
  <c r="P477" i="5"/>
  <c r="Z181" i="7"/>
  <c r="O477" i="5"/>
  <c r="Y181" i="7"/>
  <c r="X181" i="7"/>
  <c r="M477" i="5"/>
  <c r="W181" i="7"/>
  <c r="U182" i="7"/>
  <c r="B182" i="20"/>
  <c r="X478" i="5"/>
  <c r="AH182" i="7"/>
  <c r="W478" i="5"/>
  <c r="AG182" i="7"/>
  <c r="V478" i="5"/>
  <c r="AF182" i="7"/>
  <c r="U478" i="5"/>
  <c r="AE182" i="7"/>
  <c r="T478" i="5"/>
  <c r="AD182" i="7"/>
  <c r="S478" i="5"/>
  <c r="AC182" i="7"/>
  <c r="R478" i="5"/>
  <c r="AB182" i="7"/>
  <c r="Q478" i="5"/>
  <c r="AA182" i="7"/>
  <c r="P478" i="5"/>
  <c r="Z182" i="7"/>
  <c r="O478" i="5"/>
  <c r="Y182" i="7"/>
  <c r="X182" i="7"/>
  <c r="M478" i="5"/>
  <c r="W182" i="7"/>
  <c r="Y175" i="7"/>
  <c r="X458" i="5"/>
  <c r="AH174" i="7"/>
  <c r="W458" i="5"/>
  <c r="AG174" i="7"/>
  <c r="V458" i="5"/>
  <c r="AF174" i="7"/>
  <c r="U458" i="5"/>
  <c r="AE174" i="7"/>
  <c r="T458" i="5"/>
  <c r="AD174" i="7"/>
  <c r="S458" i="5"/>
  <c r="AC174" i="7"/>
  <c r="R458" i="5"/>
  <c r="AB174" i="7"/>
  <c r="Q458" i="5"/>
  <c r="AA174" i="7"/>
  <c r="P458" i="5"/>
  <c r="Z174" i="7"/>
  <c r="O458" i="5"/>
  <c r="Y174" i="7"/>
  <c r="X174" i="7"/>
  <c r="M458" i="5"/>
  <c r="X408" i="5"/>
  <c r="AH155" i="7"/>
  <c r="W408" i="5"/>
  <c r="AG155" i="7"/>
  <c r="V408" i="5"/>
  <c r="AF155" i="7"/>
  <c r="U408" i="5"/>
  <c r="AE155" i="7"/>
  <c r="T408" i="5"/>
  <c r="AD155" i="7"/>
  <c r="S408" i="5"/>
  <c r="AC155" i="7"/>
  <c r="R408" i="5"/>
  <c r="AB155" i="7"/>
  <c r="Q408" i="5"/>
  <c r="AA155" i="7"/>
  <c r="P408" i="5"/>
  <c r="Z155" i="7"/>
  <c r="O408" i="5"/>
  <c r="Y155" i="7"/>
  <c r="X155" i="7"/>
  <c r="M408" i="5"/>
  <c r="W155" i="7"/>
  <c r="U154" i="7"/>
  <c r="B154" i="20"/>
  <c r="X407" i="5"/>
  <c r="AH154" i="7"/>
  <c r="W407" i="5"/>
  <c r="AG154" i="7"/>
  <c r="V407" i="5"/>
  <c r="AF154" i="7"/>
  <c r="U407" i="5"/>
  <c r="AE154" i="7"/>
  <c r="T407" i="5"/>
  <c r="AD154" i="7"/>
  <c r="S407" i="5"/>
  <c r="AC154" i="7"/>
  <c r="R407" i="5"/>
  <c r="AB154" i="7"/>
  <c r="Q407" i="5"/>
  <c r="AA154" i="7"/>
  <c r="P407" i="5"/>
  <c r="Z154" i="7"/>
  <c r="O407" i="5"/>
  <c r="Y154" i="7"/>
  <c r="X154" i="7"/>
  <c r="M407" i="5"/>
  <c r="W154" i="7"/>
  <c r="X406" i="5"/>
  <c r="AH153" i="7"/>
  <c r="W406" i="5"/>
  <c r="AG153" i="7"/>
  <c r="V406" i="5"/>
  <c r="AF153" i="7"/>
  <c r="U406" i="5"/>
  <c r="AE153" i="7"/>
  <c r="T406" i="5"/>
  <c r="AD153" i="7"/>
  <c r="S406" i="5"/>
  <c r="AC153" i="7"/>
  <c r="R406" i="5"/>
  <c r="AB153" i="7"/>
  <c r="Q406" i="5"/>
  <c r="AA153" i="7"/>
  <c r="P406" i="5"/>
  <c r="Z153" i="7"/>
  <c r="O406" i="5"/>
  <c r="Y153" i="7"/>
  <c r="X153" i="7"/>
  <c r="M406" i="5"/>
  <c r="W153" i="7"/>
  <c r="X405" i="5"/>
  <c r="AH152" i="7"/>
  <c r="W405" i="5"/>
  <c r="AG152" i="7"/>
  <c r="V405" i="5"/>
  <c r="AF152" i="7"/>
  <c r="U405" i="5"/>
  <c r="AE152" i="7"/>
  <c r="T405" i="5"/>
  <c r="AD152" i="7"/>
  <c r="S405" i="5"/>
  <c r="AC152" i="7"/>
  <c r="R405" i="5"/>
  <c r="AB152" i="7"/>
  <c r="Q405" i="5"/>
  <c r="AA152" i="7"/>
  <c r="P405" i="5"/>
  <c r="Z152" i="7"/>
  <c r="O405" i="5"/>
  <c r="Y152" i="7"/>
  <c r="X152" i="7"/>
  <c r="M405" i="5"/>
  <c r="W152" i="7"/>
  <c r="X404" i="5"/>
  <c r="AH151" i="7"/>
  <c r="W404" i="5"/>
  <c r="AG151" i="7"/>
  <c r="V404" i="5"/>
  <c r="AF151" i="7"/>
  <c r="U404" i="5"/>
  <c r="AE151" i="7"/>
  <c r="T404" i="5"/>
  <c r="AD151" i="7"/>
  <c r="S404" i="5"/>
  <c r="AC151" i="7"/>
  <c r="R404" i="5"/>
  <c r="AB151" i="7"/>
  <c r="Q404" i="5"/>
  <c r="AA151" i="7"/>
  <c r="P404" i="5"/>
  <c r="Z151" i="7"/>
  <c r="O404" i="5"/>
  <c r="Y151" i="7"/>
  <c r="X151" i="7"/>
  <c r="M404" i="5"/>
  <c r="X403" i="5"/>
  <c r="AH150" i="7"/>
  <c r="W403" i="5"/>
  <c r="AG150" i="7"/>
  <c r="V403" i="5"/>
  <c r="AF150" i="7"/>
  <c r="U403" i="5"/>
  <c r="AE150" i="7"/>
  <c r="T403" i="5"/>
  <c r="AD150" i="7"/>
  <c r="S403" i="5"/>
  <c r="AC150" i="7"/>
  <c r="R403" i="5"/>
  <c r="AB150" i="7"/>
  <c r="Q403" i="5"/>
  <c r="AA150" i="7"/>
  <c r="P403" i="5"/>
  <c r="Z150" i="7"/>
  <c r="O403" i="5"/>
  <c r="Y150" i="7"/>
  <c r="X150" i="7"/>
  <c r="M403" i="5"/>
  <c r="W150" i="7"/>
  <c r="X402" i="5"/>
  <c r="AH149" i="7"/>
  <c r="W402" i="5"/>
  <c r="AG149" i="7"/>
  <c r="V402" i="5"/>
  <c r="AF149" i="7"/>
  <c r="U402" i="5"/>
  <c r="AE149" i="7"/>
  <c r="T402" i="5"/>
  <c r="AD149" i="7"/>
  <c r="AC149" i="7"/>
  <c r="R402" i="5"/>
  <c r="AB149" i="7"/>
  <c r="Q402" i="5"/>
  <c r="AA149" i="7"/>
  <c r="P402" i="5"/>
  <c r="Z149" i="7"/>
  <c r="O402" i="5"/>
  <c r="Y149" i="7"/>
  <c r="X149" i="7"/>
  <c r="M402" i="5"/>
  <c r="X401" i="5"/>
  <c r="AH148" i="7"/>
  <c r="W401" i="5"/>
  <c r="AG148" i="7"/>
  <c r="V401" i="5"/>
  <c r="AF148" i="7"/>
  <c r="U401" i="5"/>
  <c r="AE148" i="7"/>
  <c r="T401" i="5"/>
  <c r="AD148" i="7"/>
  <c r="S401" i="5"/>
  <c r="AC148" i="7"/>
  <c r="R401" i="5"/>
  <c r="AB148" i="7"/>
  <c r="Q401" i="5"/>
  <c r="AA148" i="7"/>
  <c r="P401" i="5"/>
  <c r="Z148" i="7"/>
  <c r="O401" i="5"/>
  <c r="X148" i="7"/>
  <c r="M401" i="5"/>
  <c r="I13" i="20"/>
  <c r="J144" i="18"/>
  <c r="I12" i="20"/>
  <c r="K12" i="20"/>
  <c r="L143" i="18"/>
  <c r="I21" i="20"/>
  <c r="K21" i="20"/>
  <c r="L152" i="18"/>
  <c r="I4" i="20"/>
  <c r="J135" i="18"/>
  <c r="AO147" i="7" a="1"/>
  <c r="AO147" i="7"/>
  <c r="AP147" i="7" a="1"/>
  <c r="AP147" i="7"/>
  <c r="AR147" i="7" a="1"/>
  <c r="AR147" i="7"/>
  <c r="AS147" i="7" a="1"/>
  <c r="AS147" i="7"/>
  <c r="AT147" i="7" a="1"/>
  <c r="AT147" i="7"/>
  <c r="AU147" i="7" a="1"/>
  <c r="AU147" i="7"/>
  <c r="AV147" i="7" a="1"/>
  <c r="AV147" i="7"/>
  <c r="AX147" i="7" a="1"/>
  <c r="AX147" i="7"/>
  <c r="AY147" i="7" a="1"/>
  <c r="AY147" i="7"/>
  <c r="AO146" i="7" a="1"/>
  <c r="AO146" i="7"/>
  <c r="AP146" i="7" a="1"/>
  <c r="AP146" i="7"/>
  <c r="AR146" i="7" a="1"/>
  <c r="AR146" i="7"/>
  <c r="AS146" i="7" a="1"/>
  <c r="AS146" i="7"/>
  <c r="AT146" i="7" a="1"/>
  <c r="AT146" i="7"/>
  <c r="AU146" i="7" a="1"/>
  <c r="AU146" i="7"/>
  <c r="AV146" i="7" a="1"/>
  <c r="AV146" i="7"/>
  <c r="AX146" i="7" a="1"/>
  <c r="AX146" i="7"/>
  <c r="AY146" i="7" a="1"/>
  <c r="AY146" i="7"/>
  <c r="AO145" i="7" a="1"/>
  <c r="AO145" i="7"/>
  <c r="AP145" i="7" a="1"/>
  <c r="AP145" i="7"/>
  <c r="AR145" i="7" a="1"/>
  <c r="AR145" i="7"/>
  <c r="AS145" i="7" a="1"/>
  <c r="AS145" i="7"/>
  <c r="AT145" i="7" a="1"/>
  <c r="AT145" i="7"/>
  <c r="AU145" i="7" a="1"/>
  <c r="AU145" i="7"/>
  <c r="AV145" i="7" a="1"/>
  <c r="AV145" i="7"/>
  <c r="AX145" i="7" a="1"/>
  <c r="AX145" i="7"/>
  <c r="AY145" i="7" a="1"/>
  <c r="AY145" i="7"/>
  <c r="AO144" i="7" a="1"/>
  <c r="AO144" i="7"/>
  <c r="AP144" i="7" a="1"/>
  <c r="AP144" i="7"/>
  <c r="AR144" i="7" a="1"/>
  <c r="AR144" i="7"/>
  <c r="AS144" i="7" a="1"/>
  <c r="AS144" i="7"/>
  <c r="AT144" i="7" a="1"/>
  <c r="AT144" i="7"/>
  <c r="AU144" i="7" a="1"/>
  <c r="AU144" i="7"/>
  <c r="AV144" i="7" a="1"/>
  <c r="AV144" i="7"/>
  <c r="AX144" i="7" a="1"/>
  <c r="AX144" i="7"/>
  <c r="AY144" i="7" a="1"/>
  <c r="AY144" i="7"/>
  <c r="AO143" i="7" a="1"/>
  <c r="AO143" i="7"/>
  <c r="AP143" i="7" a="1"/>
  <c r="AP143" i="7"/>
  <c r="AR143" i="7" a="1"/>
  <c r="AR143" i="7"/>
  <c r="AS143" i="7" a="1"/>
  <c r="AS143" i="7"/>
  <c r="AT143" i="7" a="1"/>
  <c r="AT143" i="7"/>
  <c r="AU143" i="7" a="1"/>
  <c r="AU143" i="7"/>
  <c r="AV143" i="7" a="1"/>
  <c r="AV143" i="7"/>
  <c r="AX143" i="7" a="1"/>
  <c r="AX143" i="7"/>
  <c r="AY143" i="7" a="1"/>
  <c r="AY143" i="7"/>
  <c r="AO142" i="7" a="1"/>
  <c r="AO142" i="7"/>
  <c r="AP142" i="7" a="1"/>
  <c r="AP142" i="7"/>
  <c r="AR142" i="7" a="1"/>
  <c r="AR142" i="7"/>
  <c r="AS142" i="7" a="1"/>
  <c r="AS142" i="7"/>
  <c r="AT142" i="7" a="1"/>
  <c r="AT142" i="7"/>
  <c r="AU142" i="7" a="1"/>
  <c r="AU142" i="7"/>
  <c r="AV142" i="7" a="1"/>
  <c r="AV142" i="7"/>
  <c r="AX142" i="7" a="1"/>
  <c r="AX142" i="7"/>
  <c r="AY142" i="7" a="1"/>
  <c r="AY142" i="7"/>
  <c r="AO141" i="7" a="1"/>
  <c r="AO141" i="7"/>
  <c r="AP141" i="7" a="1"/>
  <c r="AP141" i="7"/>
  <c r="AR141" i="7" a="1"/>
  <c r="AR141" i="7"/>
  <c r="AS141" i="7" a="1"/>
  <c r="AS141" i="7"/>
  <c r="AT141" i="7" a="1"/>
  <c r="AT141" i="7"/>
  <c r="AU141" i="7" a="1"/>
  <c r="AU141" i="7"/>
  <c r="AV141" i="7" a="1"/>
  <c r="AV141" i="7"/>
  <c r="AX141" i="7" a="1"/>
  <c r="AX141" i="7"/>
  <c r="AY141" i="7" a="1"/>
  <c r="AY141" i="7"/>
  <c r="AO140" i="7" a="1"/>
  <c r="AO140" i="7"/>
  <c r="AP140" i="7" a="1"/>
  <c r="AP140" i="7"/>
  <c r="AR140" i="7" a="1"/>
  <c r="AR140" i="7"/>
  <c r="AS140" i="7" a="1"/>
  <c r="AS140" i="7"/>
  <c r="AT140" i="7" a="1"/>
  <c r="AT140" i="7"/>
  <c r="AU140" i="7" a="1"/>
  <c r="AU140" i="7"/>
  <c r="AV140" i="7" a="1"/>
  <c r="AV140" i="7"/>
  <c r="AX140" i="7" a="1"/>
  <c r="AX140" i="7"/>
  <c r="AY140" i="7" a="1"/>
  <c r="AY140" i="7"/>
  <c r="AO139" i="7" a="1"/>
  <c r="AO139" i="7"/>
  <c r="AP139" i="7" a="1"/>
  <c r="AP139" i="7"/>
  <c r="AR139" i="7" a="1"/>
  <c r="AR139" i="7"/>
  <c r="AS139" i="7" a="1"/>
  <c r="AS139" i="7"/>
  <c r="AT139" i="7" a="1"/>
  <c r="AT139" i="7"/>
  <c r="AU139" i="7" a="1"/>
  <c r="AU139" i="7"/>
  <c r="AV139" i="7" a="1"/>
  <c r="AV139" i="7"/>
  <c r="AX139" i="7" a="1"/>
  <c r="AX139" i="7"/>
  <c r="AY139" i="7" a="1"/>
  <c r="AY139" i="7"/>
  <c r="AO138" i="7" a="1"/>
  <c r="AO138" i="7"/>
  <c r="AP138" i="7" a="1"/>
  <c r="AP138" i="7"/>
  <c r="AR138" i="7" a="1"/>
  <c r="AR138" i="7"/>
  <c r="AS138" i="7" a="1"/>
  <c r="AS138" i="7"/>
  <c r="AT138" i="7" a="1"/>
  <c r="AT138" i="7"/>
  <c r="AU138" i="7" a="1"/>
  <c r="AU138" i="7"/>
  <c r="AV138" i="7" a="1"/>
  <c r="AV138" i="7"/>
  <c r="AX138" i="7" a="1"/>
  <c r="AX138" i="7"/>
  <c r="AY138" i="7" a="1"/>
  <c r="AY138" i="7"/>
  <c r="AO137" i="7" a="1"/>
  <c r="AO137" i="7"/>
  <c r="AP137" i="7" a="1"/>
  <c r="AP137" i="7"/>
  <c r="AR137" i="7" a="1"/>
  <c r="AR137" i="7"/>
  <c r="AS137" i="7" a="1"/>
  <c r="AS137" i="7"/>
  <c r="AT137" i="7" a="1"/>
  <c r="AT137" i="7"/>
  <c r="AU137" i="7" a="1"/>
  <c r="AU137" i="7"/>
  <c r="AV137" i="7" a="1"/>
  <c r="AV137" i="7"/>
  <c r="AX137" i="7" a="1"/>
  <c r="AX137" i="7"/>
  <c r="AY137" i="7" a="1"/>
  <c r="AY137" i="7"/>
  <c r="AO136" i="7" a="1"/>
  <c r="AO136" i="7"/>
  <c r="AP136" i="7" a="1"/>
  <c r="AP136" i="7"/>
  <c r="AR136" i="7" a="1"/>
  <c r="AR136" i="7"/>
  <c r="AS136" i="7" a="1"/>
  <c r="AS136" i="7"/>
  <c r="AT136" i="7" a="1"/>
  <c r="AT136" i="7"/>
  <c r="AU136" i="7" a="1"/>
  <c r="AU136" i="7"/>
  <c r="AV136" i="7" a="1"/>
  <c r="AV136" i="7"/>
  <c r="AX136" i="7" a="1"/>
  <c r="AX136" i="7"/>
  <c r="AY136" i="7" a="1"/>
  <c r="AY136" i="7"/>
  <c r="G26" i="19"/>
  <c r="H26" i="19"/>
  <c r="I26" i="19"/>
  <c r="J26" i="19"/>
  <c r="K26" i="19"/>
  <c r="L26" i="19"/>
  <c r="N26" i="19"/>
  <c r="O26" i="19"/>
  <c r="P26" i="19"/>
  <c r="Q26" i="19"/>
  <c r="T26" i="19"/>
  <c r="U26" i="19"/>
  <c r="V26" i="19"/>
  <c r="F26" i="19"/>
  <c r="E26" i="19"/>
  <c r="D26" i="19"/>
  <c r="C26" i="19"/>
  <c r="G27" i="19"/>
  <c r="H27" i="19"/>
  <c r="I27" i="19"/>
  <c r="J27" i="19"/>
  <c r="K27" i="19"/>
  <c r="L27" i="19"/>
  <c r="N27" i="19"/>
  <c r="O27" i="19"/>
  <c r="P27" i="19"/>
  <c r="Q27" i="19"/>
  <c r="T27" i="19"/>
  <c r="U27" i="19"/>
  <c r="V27" i="19"/>
  <c r="F27" i="19"/>
  <c r="E27" i="19"/>
  <c r="D27" i="19"/>
  <c r="C27" i="19"/>
  <c r="D219" i="20"/>
  <c r="E219" i="20"/>
  <c r="F219" i="20"/>
  <c r="G219" i="20"/>
  <c r="H219" i="20"/>
  <c r="J219" i="20"/>
  <c r="L219" i="20"/>
  <c r="M219" i="20"/>
  <c r="D218" i="20"/>
  <c r="E218" i="20"/>
  <c r="F218" i="20"/>
  <c r="G218" i="20"/>
  <c r="H218" i="20"/>
  <c r="J218" i="20"/>
  <c r="L218" i="20"/>
  <c r="M218" i="20"/>
  <c r="D217" i="20"/>
  <c r="E217" i="20"/>
  <c r="F217" i="20"/>
  <c r="G217" i="20"/>
  <c r="H217" i="20"/>
  <c r="J217" i="20"/>
  <c r="L217" i="20"/>
  <c r="M217" i="20"/>
  <c r="D216" i="20"/>
  <c r="E216" i="20"/>
  <c r="F216" i="20"/>
  <c r="G216" i="20"/>
  <c r="H216" i="20"/>
  <c r="J216" i="20"/>
  <c r="L216" i="20"/>
  <c r="M216" i="20"/>
  <c r="D215" i="20"/>
  <c r="E215" i="20"/>
  <c r="F215" i="20"/>
  <c r="G215" i="20"/>
  <c r="H215" i="20"/>
  <c r="J215" i="20"/>
  <c r="L215" i="20"/>
  <c r="M215" i="20"/>
  <c r="D214" i="20"/>
  <c r="E214" i="20"/>
  <c r="F214" i="20"/>
  <c r="G214" i="20"/>
  <c r="H214" i="20"/>
  <c r="J214" i="20"/>
  <c r="L214" i="20"/>
  <c r="M214" i="20"/>
  <c r="D213" i="20"/>
  <c r="E213" i="20"/>
  <c r="F213" i="20"/>
  <c r="G213" i="20"/>
  <c r="H213" i="20"/>
  <c r="J213" i="20"/>
  <c r="L213" i="20"/>
  <c r="M213" i="20"/>
  <c r="D212" i="20"/>
  <c r="E212" i="20"/>
  <c r="F212" i="20"/>
  <c r="G212" i="20"/>
  <c r="H212" i="20"/>
  <c r="J212" i="20"/>
  <c r="L212" i="20"/>
  <c r="M212" i="20"/>
  <c r="D211" i="20"/>
  <c r="E211" i="20"/>
  <c r="F211" i="20"/>
  <c r="G211" i="20"/>
  <c r="H211" i="20"/>
  <c r="J211" i="20"/>
  <c r="L211" i="20"/>
  <c r="M211" i="20"/>
  <c r="D210" i="20"/>
  <c r="E210" i="20"/>
  <c r="F210" i="20"/>
  <c r="G210" i="20"/>
  <c r="H210" i="20"/>
  <c r="J210" i="20"/>
  <c r="L210" i="20"/>
  <c r="M210" i="20"/>
  <c r="D209" i="20"/>
  <c r="E209" i="20"/>
  <c r="F209" i="20"/>
  <c r="G209" i="20"/>
  <c r="H209" i="20"/>
  <c r="J209" i="20"/>
  <c r="L209" i="20"/>
  <c r="M209" i="20"/>
  <c r="D208" i="20"/>
  <c r="E208" i="20"/>
  <c r="F208" i="20"/>
  <c r="G208" i="20"/>
  <c r="H208" i="20"/>
  <c r="J208" i="20"/>
  <c r="L208" i="20"/>
  <c r="M208" i="20"/>
  <c r="D207" i="20"/>
  <c r="E207" i="20"/>
  <c r="F207" i="20"/>
  <c r="G207" i="20"/>
  <c r="H207" i="20"/>
  <c r="J207" i="20"/>
  <c r="L207" i="20"/>
  <c r="M207" i="20"/>
  <c r="D206" i="20"/>
  <c r="E206" i="20"/>
  <c r="F206" i="20"/>
  <c r="G206" i="20"/>
  <c r="H206" i="20"/>
  <c r="J206" i="20"/>
  <c r="L206" i="20"/>
  <c r="M206" i="20"/>
  <c r="D205" i="20"/>
  <c r="E205" i="20"/>
  <c r="F205" i="20"/>
  <c r="G205" i="20"/>
  <c r="H205" i="20"/>
  <c r="J205" i="20"/>
  <c r="L205" i="20"/>
  <c r="M205" i="20"/>
  <c r="D204" i="20"/>
  <c r="E204" i="20"/>
  <c r="F204" i="20"/>
  <c r="G204" i="20"/>
  <c r="H204" i="20"/>
  <c r="J204" i="20"/>
  <c r="L204" i="20"/>
  <c r="M204" i="20"/>
  <c r="D203" i="20"/>
  <c r="E203" i="20"/>
  <c r="F203" i="20"/>
  <c r="G203" i="20"/>
  <c r="H203" i="20"/>
  <c r="J203" i="20"/>
  <c r="L203" i="20"/>
  <c r="M203" i="20"/>
  <c r="D202" i="20"/>
  <c r="E202" i="20"/>
  <c r="F202" i="20"/>
  <c r="G202" i="20"/>
  <c r="H202" i="20"/>
  <c r="J202" i="20"/>
  <c r="L202" i="20"/>
  <c r="M202" i="20"/>
  <c r="B27" i="19"/>
  <c r="B26" i="19"/>
  <c r="L16" i="4"/>
  <c r="N13" i="7"/>
  <c r="O13" i="7"/>
  <c r="J13" i="20"/>
  <c r="L13" i="20"/>
  <c r="M144" i="18"/>
  <c r="M13" i="20"/>
  <c r="N144" i="18"/>
  <c r="J12" i="20"/>
  <c r="K143" i="18"/>
  <c r="L12" i="20"/>
  <c r="M143" i="18"/>
  <c r="M12" i="20"/>
  <c r="N143" i="18"/>
  <c r="J21" i="20"/>
  <c r="K152" i="18"/>
  <c r="L21" i="20"/>
  <c r="M152" i="18"/>
  <c r="M21" i="20"/>
  <c r="N152" i="18"/>
  <c r="L4" i="20"/>
  <c r="M135" i="18"/>
  <c r="M4" i="20"/>
  <c r="N135" i="18"/>
  <c r="J4" i="20"/>
  <c r="M16" i="4"/>
  <c r="N16" i="4"/>
  <c r="N492" i="5"/>
  <c r="A494" i="5"/>
  <c r="B527" i="5"/>
  <c r="N527" i="5"/>
  <c r="B526" i="5"/>
  <c r="N526" i="5"/>
  <c r="B525" i="5"/>
  <c r="N525" i="5"/>
  <c r="B524" i="5"/>
  <c r="N524" i="5"/>
  <c r="B522" i="5"/>
  <c r="N522" i="5"/>
  <c r="B143" i="17" a="1"/>
  <c r="B143" i="17"/>
  <c r="H159" i="17" a="1"/>
  <c r="H159" i="17"/>
  <c r="B569" i="5"/>
  <c r="N569" i="5"/>
  <c r="H160" i="17" a="1"/>
  <c r="H160" i="17"/>
  <c r="H161" i="17" a="1"/>
  <c r="H161" i="17"/>
  <c r="H162" i="17" a="1"/>
  <c r="H162" i="17"/>
  <c r="H163" i="17" a="1"/>
  <c r="H163" i="17"/>
  <c r="H164" i="17" a="1"/>
  <c r="H164" i="17"/>
  <c r="H165" i="17" a="1"/>
  <c r="H165" i="17"/>
  <c r="H166" i="17" a="1"/>
  <c r="H166" i="17"/>
  <c r="H167" i="17" a="1"/>
  <c r="H167" i="17"/>
  <c r="U211" i="7"/>
  <c r="B211" i="20"/>
  <c r="C131" i="17" a="1"/>
  <c r="C131" i="17"/>
  <c r="B450" i="5"/>
  <c r="N450" i="5"/>
  <c r="C132" i="17" a="1"/>
  <c r="C132" i="17"/>
  <c r="B451" i="5"/>
  <c r="N451" i="5"/>
  <c r="C133" i="17" a="1"/>
  <c r="C133" i="17"/>
  <c r="B452" i="5"/>
  <c r="N452" i="5"/>
  <c r="C134" i="17" a="1"/>
  <c r="C134" i="17"/>
  <c r="B453" i="5"/>
  <c r="N453" i="5"/>
  <c r="C135" i="17" a="1"/>
  <c r="C135" i="17"/>
  <c r="B454" i="5"/>
  <c r="N454" i="5"/>
  <c r="C136" i="17" a="1"/>
  <c r="C136" i="17"/>
  <c r="B455" i="5"/>
  <c r="N455" i="5"/>
  <c r="C137" i="17" a="1"/>
  <c r="C137" i="17"/>
  <c r="B456" i="5"/>
  <c r="N456" i="5"/>
  <c r="C138" i="17" a="1"/>
  <c r="C138" i="17"/>
  <c r="B457" i="5"/>
  <c r="N457" i="5"/>
  <c r="U171" i="7"/>
  <c r="B171" i="20"/>
  <c r="W151" i="7"/>
  <c r="U151" i="7"/>
  <c r="B151" i="20"/>
  <c r="W149" i="7"/>
  <c r="U149" i="7"/>
  <c r="B149" i="20"/>
  <c r="W196" i="7"/>
  <c r="U196" i="7"/>
  <c r="B196" i="20"/>
  <c r="W194" i="7"/>
  <c r="U194" i="7"/>
  <c r="B194" i="20"/>
  <c r="W201" i="7"/>
  <c r="W175" i="7"/>
  <c r="W183" i="7"/>
  <c r="W174" i="7"/>
  <c r="W157" i="7"/>
  <c r="W165" i="7"/>
  <c r="W148" i="7"/>
  <c r="W156" i="7"/>
  <c r="W139" i="7"/>
  <c r="W147" i="7"/>
  <c r="W130" i="7"/>
  <c r="W138" i="7"/>
  <c r="W121" i="7"/>
  <c r="D121" i="20" s="1"/>
  <c r="F121" i="20" s="1"/>
  <c r="W129" i="7"/>
  <c r="D129" i="20" s="1"/>
  <c r="F129" i="20" s="1"/>
  <c r="W112" i="7"/>
  <c r="D112" i="20" s="1"/>
  <c r="F112" i="20" s="1"/>
  <c r="W120" i="7"/>
  <c r="D120" i="20" s="1"/>
  <c r="F120" i="20" s="1"/>
  <c r="W103" i="7"/>
  <c r="D103" i="20" s="1"/>
  <c r="F103" i="20" s="1"/>
  <c r="W111" i="7"/>
  <c r="D111" i="20" s="1"/>
  <c r="F111" i="20" s="1"/>
  <c r="W94" i="7"/>
  <c r="D94" i="20" s="1"/>
  <c r="F94" i="20" s="1"/>
  <c r="W102" i="7"/>
  <c r="D102" i="20" s="1"/>
  <c r="F102" i="20" s="1"/>
  <c r="W85" i="7"/>
  <c r="D85" i="20"/>
  <c r="F85" i="20"/>
  <c r="W93" i="7"/>
  <c r="D93" i="20"/>
  <c r="F93" i="20"/>
  <c r="W76" i="7"/>
  <c r="D76" i="20"/>
  <c r="F76" i="20"/>
  <c r="W67" i="7"/>
  <c r="D67" i="20"/>
  <c r="F67" i="20"/>
  <c r="W58" i="7"/>
  <c r="D58" i="20"/>
  <c r="F58" i="20"/>
  <c r="W66" i="7"/>
  <c r="D66" i="20"/>
  <c r="F66" i="20"/>
  <c r="W49" i="7"/>
  <c r="D49" i="20"/>
  <c r="F49" i="20"/>
  <c r="W40" i="7"/>
  <c r="D40" i="20"/>
  <c r="F40" i="20"/>
  <c r="W48" i="7"/>
  <c r="D48" i="20"/>
  <c r="F48" i="20"/>
  <c r="W31" i="7"/>
  <c r="D31" i="20"/>
  <c r="W39" i="7"/>
  <c r="D39" i="20"/>
  <c r="W22" i="7"/>
  <c r="D22" i="20"/>
  <c r="W30" i="7"/>
  <c r="D30" i="20"/>
  <c r="U193" i="7"/>
  <c r="B193" i="20"/>
  <c r="U201" i="7"/>
  <c r="B201" i="20"/>
  <c r="U175" i="7"/>
  <c r="B175" i="20"/>
  <c r="U183" i="7"/>
  <c r="B183" i="20"/>
  <c r="U174" i="7"/>
  <c r="B174" i="20"/>
  <c r="U157" i="7"/>
  <c r="B157" i="20"/>
  <c r="U165" i="7"/>
  <c r="B165" i="20"/>
  <c r="U148" i="7"/>
  <c r="B148" i="20"/>
  <c r="U156" i="7"/>
  <c r="B156" i="20"/>
  <c r="U139" i="7"/>
  <c r="B139" i="20"/>
  <c r="U147" i="7"/>
  <c r="B147" i="20"/>
  <c r="U130" i="7"/>
  <c r="B130" i="20"/>
  <c r="U138" i="7"/>
  <c r="B138" i="20"/>
  <c r="U121" i="7"/>
  <c r="B121" i="20"/>
  <c r="U129" i="7"/>
  <c r="B129" i="20"/>
  <c r="U112" i="7"/>
  <c r="B112" i="20"/>
  <c r="U120" i="7"/>
  <c r="B120" i="20"/>
  <c r="U103" i="7"/>
  <c r="B103" i="20"/>
  <c r="U111" i="7"/>
  <c r="B111" i="20"/>
  <c r="U94" i="7"/>
  <c r="B94" i="20"/>
  <c r="U102" i="7"/>
  <c r="B102" i="20"/>
  <c r="U85" i="7"/>
  <c r="B85" i="20"/>
  <c r="U93" i="7"/>
  <c r="B93" i="20"/>
  <c r="U76" i="7"/>
  <c r="B76" i="20"/>
  <c r="U67" i="7"/>
  <c r="B67" i="20"/>
  <c r="U58" i="7"/>
  <c r="B58" i="20"/>
  <c r="U66" i="7"/>
  <c r="B66" i="20"/>
  <c r="U49" i="7"/>
  <c r="U40" i="7"/>
  <c r="U48" i="7"/>
  <c r="B48" i="20"/>
  <c r="U31" i="7"/>
  <c r="U39" i="7"/>
  <c r="B39" i="20"/>
  <c r="C170" i="18"/>
  <c r="U22" i="7"/>
  <c r="U30" i="7"/>
  <c r="B30" i="20"/>
  <c r="C161" i="18"/>
  <c r="V492" i="5"/>
  <c r="I13" i="7"/>
  <c r="H13" i="7"/>
  <c r="AL112" i="7"/>
  <c r="AL113" i="7"/>
  <c r="AL114" i="7"/>
  <c r="AL115" i="7"/>
  <c r="AL116" i="7"/>
  <c r="AL117" i="7"/>
  <c r="AL118" i="7"/>
  <c r="AL119" i="7"/>
  <c r="AL120" i="7"/>
  <c r="AL121" i="7"/>
  <c r="AL122" i="7"/>
  <c r="AL123" i="7"/>
  <c r="AK112" i="7"/>
  <c r="AJ112" i="7"/>
  <c r="AK113" i="7"/>
  <c r="AJ113" i="7"/>
  <c r="AK114" i="7"/>
  <c r="AJ114" i="7"/>
  <c r="AK115" i="7"/>
  <c r="AJ115" i="7"/>
  <c r="AK116" i="7"/>
  <c r="AJ116" i="7"/>
  <c r="AK117" i="7"/>
  <c r="AJ117" i="7"/>
  <c r="AK118" i="7"/>
  <c r="AJ118" i="7"/>
  <c r="AK119" i="7"/>
  <c r="AJ119" i="7"/>
  <c r="AK120" i="7"/>
  <c r="AJ120" i="7"/>
  <c r="AK121" i="7"/>
  <c r="AJ121" i="7"/>
  <c r="AK122" i="7"/>
  <c r="AJ122" i="7"/>
  <c r="AK123" i="7"/>
  <c r="AJ123" i="7"/>
  <c r="T166" i="7"/>
  <c r="T167" i="7"/>
  <c r="A167" i="20"/>
  <c r="T168" i="7"/>
  <c r="A168" i="20"/>
  <c r="T169" i="7"/>
  <c r="A169" i="20"/>
  <c r="T170" i="7"/>
  <c r="A170" i="20"/>
  <c r="T171" i="7"/>
  <c r="A171" i="20"/>
  <c r="T172" i="7"/>
  <c r="A172" i="20"/>
  <c r="T173" i="7"/>
  <c r="A173" i="20"/>
  <c r="T174" i="7"/>
  <c r="A174" i="20"/>
  <c r="T175" i="7"/>
  <c r="A175" i="20"/>
  <c r="T176" i="7"/>
  <c r="A176" i="20"/>
  <c r="T177" i="7"/>
  <c r="A177" i="20"/>
  <c r="T178" i="7"/>
  <c r="A178" i="20"/>
  <c r="T179" i="7"/>
  <c r="A179" i="20"/>
  <c r="T180" i="7"/>
  <c r="A180" i="20"/>
  <c r="T181" i="7"/>
  <c r="A181" i="20"/>
  <c r="T182" i="7"/>
  <c r="A182" i="20"/>
  <c r="T183" i="7"/>
  <c r="A183" i="20"/>
  <c r="S166" i="7"/>
  <c r="S167" i="7"/>
  <c r="C167" i="20"/>
  <c r="S168" i="7"/>
  <c r="C168" i="20"/>
  <c r="S169" i="7"/>
  <c r="C169" i="20"/>
  <c r="S170" i="7"/>
  <c r="C170" i="20"/>
  <c r="S171" i="7"/>
  <c r="C171" i="20"/>
  <c r="S172" i="7"/>
  <c r="C172" i="20"/>
  <c r="S173" i="7"/>
  <c r="C173" i="20"/>
  <c r="S174" i="7"/>
  <c r="C174" i="20"/>
  <c r="S175" i="7"/>
  <c r="C175" i="20"/>
  <c r="S176" i="7"/>
  <c r="C176" i="20"/>
  <c r="S177" i="7"/>
  <c r="C177" i="20"/>
  <c r="S178" i="7"/>
  <c r="C178" i="20"/>
  <c r="S179" i="7"/>
  <c r="C179" i="20"/>
  <c r="S180" i="7"/>
  <c r="C180" i="20"/>
  <c r="S181" i="7"/>
  <c r="C181" i="20"/>
  <c r="S182" i="7"/>
  <c r="C182" i="20"/>
  <c r="S183" i="7"/>
  <c r="C183" i="20"/>
  <c r="L13" i="7"/>
  <c r="K13" i="7"/>
  <c r="A23" i="19"/>
  <c r="J13" i="7"/>
  <c r="A22" i="19"/>
  <c r="CB5" i="7"/>
  <c r="CG6" i="7"/>
  <c r="CG7" i="7"/>
  <c r="CG8" i="7"/>
  <c r="CG9" i="7"/>
  <c r="CG10" i="7"/>
  <c r="CG11" i="7"/>
  <c r="CG12" i="7"/>
  <c r="CG13" i="7"/>
  <c r="CG14" i="7"/>
  <c r="CH6" i="7"/>
  <c r="CH7" i="7"/>
  <c r="CH8" i="7"/>
  <c r="CH9" i="7"/>
  <c r="CH10" i="7"/>
  <c r="CH11" i="7"/>
  <c r="CH12" i="7"/>
  <c r="CH13" i="7"/>
  <c r="CH14" i="7"/>
  <c r="CF6" i="7"/>
  <c r="CF7" i="7"/>
  <c r="CF8" i="7"/>
  <c r="CF9" i="7"/>
  <c r="CF10" i="7"/>
  <c r="CF11" i="7"/>
  <c r="CF12" i="7"/>
  <c r="CF13" i="7"/>
  <c r="CF14" i="7"/>
  <c r="F30" i="20"/>
  <c r="G161" i="18"/>
  <c r="E161" i="18"/>
  <c r="F22" i="20"/>
  <c r="G153" i="18"/>
  <c r="E153" i="18"/>
  <c r="F39" i="20"/>
  <c r="G170" i="18"/>
  <c r="E170" i="18"/>
  <c r="F31" i="20"/>
  <c r="G162" i="18"/>
  <c r="E162" i="18"/>
  <c r="K13" i="20"/>
  <c r="L144" i="18"/>
  <c r="K144" i="18"/>
  <c r="AD21" i="20"/>
  <c r="AE152" i="18"/>
  <c r="J152" i="18"/>
  <c r="AD12" i="20"/>
  <c r="AE143" i="18"/>
  <c r="J143" i="18"/>
  <c r="K4" i="20"/>
  <c r="L135" i="18"/>
  <c r="K135" i="18"/>
  <c r="AE48" i="20"/>
  <c r="AC48" i="20"/>
  <c r="AB48" i="20"/>
  <c r="AA48" i="20"/>
  <c r="Z48" i="20"/>
  <c r="Y48" i="20"/>
  <c r="X48" i="20"/>
  <c r="W48" i="20"/>
  <c r="V48" i="20"/>
  <c r="B40" i="20"/>
  <c r="B49" i="20"/>
  <c r="AB4" i="20"/>
  <c r="AC135" i="18"/>
  <c r="U166" i="7"/>
  <c r="B166" i="20"/>
  <c r="U173" i="7"/>
  <c r="B173" i="20"/>
  <c r="U170" i="7"/>
  <c r="B170" i="20"/>
  <c r="U172" i="7"/>
  <c r="B172" i="20"/>
  <c r="L396" i="5"/>
  <c r="U168" i="7"/>
  <c r="B168" i="20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AE183" i="20"/>
  <c r="AD183" i="20"/>
  <c r="AC183" i="20"/>
  <c r="AB183" i="20"/>
  <c r="AA183" i="20"/>
  <c r="Z183" i="20"/>
  <c r="Y183" i="20"/>
  <c r="X183" i="20"/>
  <c r="W183" i="20"/>
  <c r="V183" i="20"/>
  <c r="U183" i="20"/>
  <c r="T183" i="20"/>
  <c r="S183" i="20"/>
  <c r="R183" i="20"/>
  <c r="Q183" i="20"/>
  <c r="P183" i="20"/>
  <c r="O183" i="20"/>
  <c r="N183" i="20"/>
  <c r="AE182" i="20"/>
  <c r="AD182" i="20"/>
  <c r="AC182" i="20"/>
  <c r="AB182" i="20"/>
  <c r="AA182" i="20"/>
  <c r="Z182" i="20"/>
  <c r="Y182" i="20"/>
  <c r="X182" i="20"/>
  <c r="W182" i="20"/>
  <c r="V182" i="20"/>
  <c r="U182" i="20"/>
  <c r="T182" i="20"/>
  <c r="S182" i="20"/>
  <c r="R182" i="20"/>
  <c r="Q182" i="20"/>
  <c r="P182" i="20"/>
  <c r="O182" i="20"/>
  <c r="N182" i="20"/>
  <c r="AE181" i="20"/>
  <c r="AD181" i="20"/>
  <c r="AC181" i="20"/>
  <c r="AB181" i="20"/>
  <c r="AA181" i="20"/>
  <c r="Z181" i="20"/>
  <c r="Y181" i="20"/>
  <c r="X181" i="20"/>
  <c r="W181" i="20"/>
  <c r="V181" i="20"/>
  <c r="U181" i="20"/>
  <c r="T181" i="20"/>
  <c r="S181" i="20"/>
  <c r="R181" i="20"/>
  <c r="Q181" i="20"/>
  <c r="P181" i="20"/>
  <c r="O181" i="20"/>
  <c r="N181" i="20"/>
  <c r="AE180" i="20"/>
  <c r="AD180" i="20"/>
  <c r="AC180" i="20"/>
  <c r="AB180" i="20"/>
  <c r="AA180" i="20"/>
  <c r="Z180" i="20"/>
  <c r="Y180" i="20"/>
  <c r="X180" i="20"/>
  <c r="W180" i="20"/>
  <c r="V180" i="20"/>
  <c r="U180" i="20"/>
  <c r="T180" i="20"/>
  <c r="S180" i="20"/>
  <c r="R180" i="20"/>
  <c r="Q180" i="20"/>
  <c r="P180" i="20"/>
  <c r="O180" i="20"/>
  <c r="N180" i="20"/>
  <c r="AE179" i="20"/>
  <c r="AD179" i="20"/>
  <c r="AC179" i="20"/>
  <c r="AB179" i="20"/>
  <c r="AA179" i="20"/>
  <c r="Z179" i="20"/>
  <c r="Y179" i="20"/>
  <c r="X179" i="20"/>
  <c r="W179" i="20"/>
  <c r="V179" i="20"/>
  <c r="U179" i="20"/>
  <c r="T179" i="20"/>
  <c r="S179" i="20"/>
  <c r="R179" i="20"/>
  <c r="Q179" i="20"/>
  <c r="P179" i="20"/>
  <c r="O179" i="20"/>
  <c r="N179" i="20"/>
  <c r="AE178" i="20"/>
  <c r="AD178" i="20"/>
  <c r="AC178" i="20"/>
  <c r="AB178" i="20"/>
  <c r="AA178" i="20"/>
  <c r="Z178" i="20"/>
  <c r="Y178" i="20"/>
  <c r="X178" i="20"/>
  <c r="W178" i="20"/>
  <c r="V178" i="20"/>
  <c r="U178" i="20"/>
  <c r="T178" i="20"/>
  <c r="S178" i="20"/>
  <c r="R178" i="20"/>
  <c r="Q178" i="20"/>
  <c r="P178" i="20"/>
  <c r="O178" i="20"/>
  <c r="N178" i="20"/>
  <c r="AE177" i="20"/>
  <c r="AD177" i="20"/>
  <c r="AC177" i="20"/>
  <c r="AB177" i="20"/>
  <c r="AA177" i="20"/>
  <c r="Z177" i="20"/>
  <c r="Y177" i="20"/>
  <c r="X177" i="20"/>
  <c r="W177" i="20"/>
  <c r="V177" i="20"/>
  <c r="U177" i="20"/>
  <c r="T177" i="20"/>
  <c r="S177" i="20"/>
  <c r="R177" i="20"/>
  <c r="Q177" i="20"/>
  <c r="P177" i="20"/>
  <c r="O177" i="20"/>
  <c r="N177" i="20"/>
  <c r="AE176" i="20"/>
  <c r="AD176" i="20"/>
  <c r="AC176" i="20"/>
  <c r="AB176" i="20"/>
  <c r="AA176" i="20"/>
  <c r="Z176" i="20"/>
  <c r="Y176" i="20"/>
  <c r="X176" i="20"/>
  <c r="W176" i="20"/>
  <c r="V176" i="20"/>
  <c r="U176" i="20"/>
  <c r="T176" i="20"/>
  <c r="S176" i="20"/>
  <c r="R176" i="20"/>
  <c r="Q176" i="20"/>
  <c r="P176" i="20"/>
  <c r="O176" i="20"/>
  <c r="N176" i="20"/>
  <c r="AE175" i="20"/>
  <c r="AD175" i="20"/>
  <c r="AC175" i="20"/>
  <c r="AB175" i="20"/>
  <c r="AA175" i="20"/>
  <c r="Z175" i="20"/>
  <c r="Y175" i="20"/>
  <c r="X175" i="20"/>
  <c r="W175" i="20"/>
  <c r="V175" i="20"/>
  <c r="U175" i="20"/>
  <c r="T175" i="20"/>
  <c r="S175" i="20"/>
  <c r="R175" i="20"/>
  <c r="Q175" i="20"/>
  <c r="P175" i="20"/>
  <c r="O175" i="20"/>
  <c r="N175" i="20"/>
  <c r="AE174" i="20"/>
  <c r="AD174" i="20"/>
  <c r="AC174" i="20"/>
  <c r="AB174" i="20"/>
  <c r="AA174" i="20"/>
  <c r="Z174" i="20"/>
  <c r="Y174" i="20"/>
  <c r="X174" i="20"/>
  <c r="W174" i="20"/>
  <c r="V174" i="20"/>
  <c r="U174" i="20"/>
  <c r="T174" i="20"/>
  <c r="S174" i="20"/>
  <c r="R174" i="20"/>
  <c r="Q174" i="20"/>
  <c r="P174" i="20"/>
  <c r="O174" i="20"/>
  <c r="N174" i="20"/>
  <c r="AE173" i="20"/>
  <c r="AD173" i="20"/>
  <c r="AC173" i="20"/>
  <c r="AB173" i="20"/>
  <c r="AA173" i="20"/>
  <c r="Z173" i="20"/>
  <c r="Y173" i="20"/>
  <c r="X173" i="20"/>
  <c r="W173" i="20"/>
  <c r="V173" i="20"/>
  <c r="U173" i="20"/>
  <c r="T173" i="20"/>
  <c r="S173" i="20"/>
  <c r="R173" i="20"/>
  <c r="Q173" i="20"/>
  <c r="P173" i="20"/>
  <c r="O173" i="20"/>
  <c r="N173" i="20"/>
  <c r="AE172" i="20"/>
  <c r="AD172" i="20"/>
  <c r="AC172" i="20"/>
  <c r="AB172" i="20"/>
  <c r="AA172" i="20"/>
  <c r="Z172" i="20"/>
  <c r="Y172" i="20"/>
  <c r="X172" i="20"/>
  <c r="W172" i="20"/>
  <c r="V172" i="20"/>
  <c r="U172" i="20"/>
  <c r="T172" i="20"/>
  <c r="S172" i="20"/>
  <c r="R172" i="20"/>
  <c r="Q172" i="20"/>
  <c r="P172" i="20"/>
  <c r="O172" i="20"/>
  <c r="N172" i="20"/>
  <c r="AE171" i="20"/>
  <c r="AD171" i="20"/>
  <c r="AC171" i="20"/>
  <c r="AB171" i="20"/>
  <c r="AA171" i="20"/>
  <c r="Z171" i="20"/>
  <c r="Y171" i="20"/>
  <c r="X171" i="20"/>
  <c r="W171" i="20"/>
  <c r="V171" i="20"/>
  <c r="U171" i="20"/>
  <c r="T171" i="20"/>
  <c r="S171" i="20"/>
  <c r="R171" i="20"/>
  <c r="Q171" i="20"/>
  <c r="P171" i="20"/>
  <c r="O171" i="20"/>
  <c r="N171" i="20"/>
  <c r="AE170" i="20"/>
  <c r="AD170" i="20"/>
  <c r="AC170" i="20"/>
  <c r="AB170" i="20"/>
  <c r="AA170" i="20"/>
  <c r="Z170" i="20"/>
  <c r="Y170" i="20"/>
  <c r="X170" i="20"/>
  <c r="W170" i="20"/>
  <c r="V170" i="20"/>
  <c r="U170" i="20"/>
  <c r="T170" i="20"/>
  <c r="S170" i="20"/>
  <c r="R170" i="20"/>
  <c r="Q170" i="20"/>
  <c r="P170" i="20"/>
  <c r="O170" i="20"/>
  <c r="N170" i="20"/>
  <c r="AE169" i="20"/>
  <c r="AD169" i="20"/>
  <c r="AC169" i="20"/>
  <c r="AB169" i="20"/>
  <c r="AA169" i="20"/>
  <c r="Z169" i="20"/>
  <c r="Y169" i="20"/>
  <c r="X169" i="20"/>
  <c r="W169" i="20"/>
  <c r="V169" i="20"/>
  <c r="U169" i="20"/>
  <c r="T169" i="20"/>
  <c r="S169" i="20"/>
  <c r="R169" i="20"/>
  <c r="Q169" i="20"/>
  <c r="P169" i="20"/>
  <c r="O169" i="20"/>
  <c r="N169" i="20"/>
  <c r="AE168" i="20"/>
  <c r="AD168" i="20"/>
  <c r="AC168" i="20"/>
  <c r="AB168" i="20"/>
  <c r="AA168" i="20"/>
  <c r="Z168" i="20"/>
  <c r="Y168" i="20"/>
  <c r="X168" i="20"/>
  <c r="W168" i="20"/>
  <c r="V168" i="20"/>
  <c r="U168" i="20"/>
  <c r="T168" i="20"/>
  <c r="S168" i="20"/>
  <c r="R168" i="20"/>
  <c r="Q168" i="20"/>
  <c r="P168" i="20"/>
  <c r="O168" i="20"/>
  <c r="N168" i="20"/>
  <c r="AE167" i="20"/>
  <c r="AD167" i="20"/>
  <c r="AC167" i="20"/>
  <c r="AB167" i="20"/>
  <c r="AA167" i="20"/>
  <c r="Z167" i="20"/>
  <c r="Y167" i="20"/>
  <c r="X167" i="20"/>
  <c r="W167" i="20"/>
  <c r="V167" i="20"/>
  <c r="U167" i="20"/>
  <c r="T167" i="20"/>
  <c r="S167" i="20"/>
  <c r="R167" i="20"/>
  <c r="Q167" i="20"/>
  <c r="P167" i="20"/>
  <c r="O167" i="20"/>
  <c r="N167" i="20"/>
  <c r="AE30" i="20"/>
  <c r="AF161" i="18"/>
  <c r="AC30" i="20"/>
  <c r="AD161" i="18"/>
  <c r="AB30" i="20"/>
  <c r="AC161" i="18"/>
  <c r="AA30" i="20"/>
  <c r="AB161" i="18"/>
  <c r="Z30" i="20"/>
  <c r="AA161" i="18"/>
  <c r="Y30" i="20"/>
  <c r="Z161" i="18"/>
  <c r="X30" i="20"/>
  <c r="Y161" i="18"/>
  <c r="W30" i="20"/>
  <c r="X161" i="18"/>
  <c r="V30" i="20"/>
  <c r="W161" i="18"/>
  <c r="B22" i="20"/>
  <c r="C153" i="18"/>
  <c r="AE39" i="20"/>
  <c r="AF170" i="18"/>
  <c r="AC39" i="20"/>
  <c r="AD170" i="18"/>
  <c r="AB39" i="20"/>
  <c r="AC170" i="18"/>
  <c r="W39" i="20"/>
  <c r="X170" i="18"/>
  <c r="B31" i="20"/>
  <c r="AE13" i="20"/>
  <c r="AF144" i="18"/>
  <c r="AC13" i="20"/>
  <c r="AD144" i="18"/>
  <c r="AB13" i="20"/>
  <c r="AC144" i="18"/>
  <c r="AA13" i="20"/>
  <c r="AB144" i="18"/>
  <c r="W13" i="20"/>
  <c r="X144" i="18"/>
  <c r="Y177" i="7"/>
  <c r="L446" i="5"/>
  <c r="S22" i="19"/>
  <c r="R22" i="19"/>
  <c r="M22" i="19"/>
  <c r="S23" i="19"/>
  <c r="R23" i="19"/>
  <c r="M23" i="19"/>
  <c r="K183" i="20"/>
  <c r="I183" i="20"/>
  <c r="K182" i="20"/>
  <c r="I182" i="20"/>
  <c r="K181" i="20"/>
  <c r="I181" i="20"/>
  <c r="K180" i="20"/>
  <c r="I180" i="20"/>
  <c r="K179" i="20"/>
  <c r="I179" i="20"/>
  <c r="K178" i="20"/>
  <c r="I178" i="20"/>
  <c r="K177" i="20"/>
  <c r="I177" i="20"/>
  <c r="K176" i="20"/>
  <c r="I176" i="20"/>
  <c r="K175" i="20"/>
  <c r="I175" i="20"/>
  <c r="K174" i="20"/>
  <c r="I174" i="20"/>
  <c r="K173" i="20"/>
  <c r="I173" i="20"/>
  <c r="K172" i="20"/>
  <c r="I172" i="20"/>
  <c r="K171" i="20"/>
  <c r="I171" i="20"/>
  <c r="K170" i="20"/>
  <c r="I170" i="20"/>
  <c r="K169" i="20"/>
  <c r="I169" i="20"/>
  <c r="K168" i="20"/>
  <c r="I168" i="20"/>
  <c r="K167" i="20"/>
  <c r="I167" i="20"/>
  <c r="X569" i="5"/>
  <c r="AH211" i="7"/>
  <c r="W569" i="5"/>
  <c r="AG211" i="7"/>
  <c r="V569" i="5"/>
  <c r="AF211" i="7"/>
  <c r="U569" i="5"/>
  <c r="AE211" i="7"/>
  <c r="T569" i="5"/>
  <c r="AD211" i="7"/>
  <c r="S569" i="5"/>
  <c r="AC211" i="7"/>
  <c r="R569" i="5"/>
  <c r="AB211" i="7"/>
  <c r="Q569" i="5"/>
  <c r="AA211" i="7"/>
  <c r="P569" i="5"/>
  <c r="Z211" i="7"/>
  <c r="O569" i="5"/>
  <c r="X211" i="7"/>
  <c r="M569" i="5"/>
  <c r="W211" i="7"/>
  <c r="U195" i="7"/>
  <c r="B195" i="20"/>
  <c r="X522" i="5"/>
  <c r="AH195" i="7"/>
  <c r="W522" i="5"/>
  <c r="AG195" i="7"/>
  <c r="V522" i="5"/>
  <c r="AF195" i="7"/>
  <c r="U522" i="5"/>
  <c r="AE195" i="7"/>
  <c r="T522" i="5"/>
  <c r="AD195" i="7"/>
  <c r="S522" i="5"/>
  <c r="AC195" i="7"/>
  <c r="R522" i="5"/>
  <c r="AB195" i="7"/>
  <c r="Q522" i="5"/>
  <c r="AA195" i="7"/>
  <c r="P522" i="5"/>
  <c r="Z195" i="7"/>
  <c r="O522" i="5"/>
  <c r="X195" i="7"/>
  <c r="M522" i="5"/>
  <c r="W195" i="7"/>
  <c r="U197" i="7"/>
  <c r="B197" i="20"/>
  <c r="X524" i="5"/>
  <c r="AH197" i="7"/>
  <c r="W524" i="5"/>
  <c r="AG197" i="7"/>
  <c r="V524" i="5"/>
  <c r="AF197" i="7"/>
  <c r="U524" i="5"/>
  <c r="AE197" i="7"/>
  <c r="T524" i="5"/>
  <c r="AD197" i="7"/>
  <c r="S524" i="5"/>
  <c r="AC197" i="7"/>
  <c r="R524" i="5"/>
  <c r="AB197" i="7"/>
  <c r="Q524" i="5"/>
  <c r="AA197" i="7"/>
  <c r="P524" i="5"/>
  <c r="Z197" i="7"/>
  <c r="O524" i="5"/>
  <c r="Y197" i="7"/>
  <c r="X197" i="7"/>
  <c r="M524" i="5"/>
  <c r="W197" i="7"/>
  <c r="U198" i="7"/>
  <c r="B198" i="20"/>
  <c r="X525" i="5"/>
  <c r="AH198" i="7"/>
  <c r="W525" i="5"/>
  <c r="AG198" i="7"/>
  <c r="V525" i="5"/>
  <c r="AF198" i="7"/>
  <c r="U525" i="5"/>
  <c r="AE198" i="7"/>
  <c r="T525" i="5"/>
  <c r="AD198" i="7"/>
  <c r="S525" i="5"/>
  <c r="AC198" i="7"/>
  <c r="R525" i="5"/>
  <c r="AB198" i="7"/>
  <c r="Q525" i="5"/>
  <c r="AA198" i="7"/>
  <c r="P525" i="5"/>
  <c r="Z198" i="7"/>
  <c r="O525" i="5"/>
  <c r="Y198" i="7"/>
  <c r="X198" i="7"/>
  <c r="M525" i="5"/>
  <c r="W198" i="7"/>
  <c r="U199" i="7"/>
  <c r="B199" i="20"/>
  <c r="X526" i="5"/>
  <c r="AH199" i="7"/>
  <c r="W526" i="5"/>
  <c r="AG199" i="7"/>
  <c r="V526" i="5"/>
  <c r="AF199" i="7"/>
  <c r="U526" i="5"/>
  <c r="AE199" i="7"/>
  <c r="T526" i="5"/>
  <c r="AD199" i="7"/>
  <c r="S526" i="5"/>
  <c r="AC199" i="7"/>
  <c r="R526" i="5"/>
  <c r="AB199" i="7"/>
  <c r="Q526" i="5"/>
  <c r="AA199" i="7"/>
  <c r="P526" i="5"/>
  <c r="Z199" i="7"/>
  <c r="O526" i="5"/>
  <c r="Y199" i="7"/>
  <c r="X199" i="7"/>
  <c r="M526" i="5"/>
  <c r="W199" i="7"/>
  <c r="U200" i="7"/>
  <c r="B200" i="20"/>
  <c r="X527" i="5"/>
  <c r="AH200" i="7"/>
  <c r="W527" i="5"/>
  <c r="AG200" i="7"/>
  <c r="V527" i="5"/>
  <c r="AF200" i="7"/>
  <c r="U527" i="5"/>
  <c r="AE200" i="7"/>
  <c r="T527" i="5"/>
  <c r="AD200" i="7"/>
  <c r="S527" i="5"/>
  <c r="AC200" i="7"/>
  <c r="R527" i="5"/>
  <c r="AB200" i="7"/>
  <c r="Q527" i="5"/>
  <c r="AA200" i="7"/>
  <c r="P527" i="5"/>
  <c r="Z200" i="7"/>
  <c r="O527" i="5"/>
  <c r="Y200" i="7"/>
  <c r="X200" i="7"/>
  <c r="M527" i="5"/>
  <c r="W200" i="7"/>
  <c r="Y193" i="7"/>
  <c r="X457" i="5"/>
  <c r="AH173" i="7"/>
  <c r="W457" i="5"/>
  <c r="AG173" i="7"/>
  <c r="V457" i="5"/>
  <c r="AF173" i="7"/>
  <c r="U457" i="5"/>
  <c r="AE173" i="7"/>
  <c r="T457" i="5"/>
  <c r="AD173" i="7"/>
  <c r="S457" i="5"/>
  <c r="AC173" i="7"/>
  <c r="R457" i="5"/>
  <c r="AB173" i="7"/>
  <c r="Q457" i="5"/>
  <c r="AA173" i="7"/>
  <c r="P457" i="5"/>
  <c r="Z173" i="7"/>
  <c r="O457" i="5"/>
  <c r="Y173" i="7"/>
  <c r="X173" i="7"/>
  <c r="M457" i="5"/>
  <c r="W173" i="7"/>
  <c r="X456" i="5"/>
  <c r="AH172" i="7"/>
  <c r="W456" i="5"/>
  <c r="AG172" i="7"/>
  <c r="V456" i="5"/>
  <c r="AF172" i="7"/>
  <c r="U456" i="5"/>
  <c r="AE172" i="7"/>
  <c r="T456" i="5"/>
  <c r="AD172" i="7"/>
  <c r="S456" i="5"/>
  <c r="AC172" i="7"/>
  <c r="R456" i="5"/>
  <c r="AB172" i="7"/>
  <c r="Q456" i="5"/>
  <c r="AA172" i="7"/>
  <c r="P456" i="5"/>
  <c r="Z172" i="7"/>
  <c r="O456" i="5"/>
  <c r="Y172" i="7"/>
  <c r="X172" i="7"/>
  <c r="M456" i="5"/>
  <c r="W172" i="7"/>
  <c r="X455" i="5"/>
  <c r="AH171" i="7"/>
  <c r="W455" i="5"/>
  <c r="AG171" i="7"/>
  <c r="V455" i="5"/>
  <c r="AF171" i="7"/>
  <c r="U455" i="5"/>
  <c r="AE171" i="7"/>
  <c r="T455" i="5"/>
  <c r="AD171" i="7"/>
  <c r="S455" i="5"/>
  <c r="AC171" i="7"/>
  <c r="R455" i="5"/>
  <c r="AB171" i="7"/>
  <c r="Q455" i="5"/>
  <c r="AA171" i="7"/>
  <c r="P455" i="5"/>
  <c r="Z171" i="7"/>
  <c r="O455" i="5"/>
  <c r="Y171" i="7"/>
  <c r="X171" i="7"/>
  <c r="M455" i="5"/>
  <c r="W171" i="7"/>
  <c r="X454" i="5"/>
  <c r="AH170" i="7"/>
  <c r="W454" i="5"/>
  <c r="AG170" i="7"/>
  <c r="V454" i="5"/>
  <c r="AF170" i="7"/>
  <c r="U454" i="5"/>
  <c r="AE170" i="7"/>
  <c r="T454" i="5"/>
  <c r="AD170" i="7"/>
  <c r="S454" i="5"/>
  <c r="AC170" i="7"/>
  <c r="R454" i="5"/>
  <c r="AB170" i="7"/>
  <c r="Q454" i="5"/>
  <c r="AA170" i="7"/>
  <c r="P454" i="5"/>
  <c r="Z170" i="7"/>
  <c r="O454" i="5"/>
  <c r="Y170" i="7"/>
  <c r="X170" i="7"/>
  <c r="M454" i="5"/>
  <c r="W170" i="7"/>
  <c r="X453" i="5"/>
  <c r="AH169" i="7"/>
  <c r="W453" i="5"/>
  <c r="AG169" i="7"/>
  <c r="V453" i="5"/>
  <c r="AF169" i="7"/>
  <c r="U453" i="5"/>
  <c r="AE169" i="7"/>
  <c r="T453" i="5"/>
  <c r="AD169" i="7"/>
  <c r="S453" i="5"/>
  <c r="AC169" i="7"/>
  <c r="R453" i="5"/>
  <c r="AB169" i="7"/>
  <c r="Q453" i="5"/>
  <c r="AA169" i="7"/>
  <c r="P453" i="5"/>
  <c r="Z169" i="7"/>
  <c r="O453" i="5"/>
  <c r="Y169" i="7"/>
  <c r="X169" i="7"/>
  <c r="M453" i="5"/>
  <c r="X452" i="5"/>
  <c r="AH168" i="7"/>
  <c r="W452" i="5"/>
  <c r="AG168" i="7"/>
  <c r="V452" i="5"/>
  <c r="AF168" i="7"/>
  <c r="U452" i="5"/>
  <c r="AE168" i="7"/>
  <c r="T452" i="5"/>
  <c r="AD168" i="7"/>
  <c r="S452" i="5"/>
  <c r="AC168" i="7"/>
  <c r="R452" i="5"/>
  <c r="AB168" i="7"/>
  <c r="Q452" i="5"/>
  <c r="AA168" i="7"/>
  <c r="P452" i="5"/>
  <c r="Z168" i="7"/>
  <c r="O452" i="5"/>
  <c r="Y168" i="7"/>
  <c r="X168" i="7"/>
  <c r="M452" i="5"/>
  <c r="W168" i="7"/>
  <c r="X451" i="5"/>
  <c r="AH167" i="7"/>
  <c r="W451" i="5"/>
  <c r="AG167" i="7"/>
  <c r="V451" i="5"/>
  <c r="AF167" i="7"/>
  <c r="U451" i="5"/>
  <c r="AE167" i="7"/>
  <c r="T451" i="5"/>
  <c r="AD167" i="7"/>
  <c r="S451" i="5"/>
  <c r="AC167" i="7"/>
  <c r="R451" i="5"/>
  <c r="AB167" i="7"/>
  <c r="Q451" i="5"/>
  <c r="AA167" i="7"/>
  <c r="P451" i="5"/>
  <c r="Z167" i="7"/>
  <c r="O451" i="5"/>
  <c r="Y167" i="7"/>
  <c r="X167" i="7"/>
  <c r="M451" i="5"/>
  <c r="W167" i="7"/>
  <c r="X450" i="5"/>
  <c r="AH166" i="7"/>
  <c r="W450" i="5"/>
  <c r="AG166" i="7"/>
  <c r="V450" i="5"/>
  <c r="AF166" i="7"/>
  <c r="U450" i="5"/>
  <c r="AE166" i="7"/>
  <c r="T450" i="5"/>
  <c r="AD166" i="7"/>
  <c r="S450" i="5"/>
  <c r="AC166" i="7"/>
  <c r="R450" i="5"/>
  <c r="AB166" i="7"/>
  <c r="Q450" i="5"/>
  <c r="AA166" i="7"/>
  <c r="P450" i="5"/>
  <c r="Z166" i="7"/>
  <c r="O450" i="5"/>
  <c r="L445" i="5"/>
  <c r="X166" i="7"/>
  <c r="M450" i="5"/>
  <c r="W166" i="7"/>
  <c r="Y148" i="7"/>
  <c r="I30" i="20"/>
  <c r="K30" i="20"/>
  <c r="L161" i="18"/>
  <c r="I39" i="20"/>
  <c r="I48" i="20"/>
  <c r="AD48" i="20"/>
  <c r="I40" i="20"/>
  <c r="AD40" i="20"/>
  <c r="I49" i="20"/>
  <c r="AD49" i="20"/>
  <c r="I66" i="20"/>
  <c r="AD66" i="20" s="1"/>
  <c r="K66" i="20"/>
  <c r="I58" i="20"/>
  <c r="AD58" i="20" s="1"/>
  <c r="K58" i="20"/>
  <c r="I67" i="20"/>
  <c r="I76" i="20"/>
  <c r="AD76" i="20" s="1"/>
  <c r="K76" i="20"/>
  <c r="I93" i="20"/>
  <c r="AD93" i="20" s="1"/>
  <c r="K93" i="20"/>
  <c r="I85" i="20"/>
  <c r="AD85" i="20" s="1"/>
  <c r="K85" i="20"/>
  <c r="C166" i="20"/>
  <c r="AO123" i="7" a="1"/>
  <c r="AO123" i="7"/>
  <c r="AP123" i="7" a="1"/>
  <c r="AP123" i="7"/>
  <c r="AR123" i="7" a="1"/>
  <c r="AR123" i="7"/>
  <c r="AS123" i="7" a="1"/>
  <c r="AS123" i="7"/>
  <c r="AT123" i="7" a="1"/>
  <c r="AT123" i="7"/>
  <c r="AU123" i="7" a="1"/>
  <c r="AU123" i="7"/>
  <c r="AV123" i="7" a="1"/>
  <c r="AV123" i="7"/>
  <c r="AX123" i="7" a="1"/>
  <c r="AX123" i="7"/>
  <c r="AY123" i="7" a="1"/>
  <c r="AY123" i="7"/>
  <c r="AO122" i="7" a="1"/>
  <c r="AO122" i="7"/>
  <c r="AP122" i="7" a="1"/>
  <c r="AP122" i="7"/>
  <c r="AR122" i="7" a="1"/>
  <c r="AR122" i="7"/>
  <c r="AS122" i="7" a="1"/>
  <c r="AS122" i="7"/>
  <c r="AT122" i="7" a="1"/>
  <c r="AT122" i="7"/>
  <c r="AU122" i="7" a="1"/>
  <c r="AU122" i="7"/>
  <c r="AV122" i="7" a="1"/>
  <c r="AV122" i="7"/>
  <c r="AX122" i="7" a="1"/>
  <c r="AX122" i="7"/>
  <c r="AY122" i="7" a="1"/>
  <c r="AY122" i="7"/>
  <c r="AO121" i="7" a="1"/>
  <c r="AO121" i="7"/>
  <c r="AP121" i="7" a="1"/>
  <c r="AP121" i="7"/>
  <c r="AR121" i="7" a="1"/>
  <c r="AR121" i="7"/>
  <c r="AS121" i="7" a="1"/>
  <c r="AS121" i="7"/>
  <c r="AT121" i="7" a="1"/>
  <c r="AT121" i="7"/>
  <c r="AU121" i="7" a="1"/>
  <c r="AU121" i="7"/>
  <c r="AV121" i="7" a="1"/>
  <c r="AV121" i="7"/>
  <c r="AX121" i="7" a="1"/>
  <c r="AX121" i="7"/>
  <c r="AY121" i="7" a="1"/>
  <c r="AY121" i="7"/>
  <c r="AO120" i="7" a="1"/>
  <c r="AO120" i="7"/>
  <c r="AP120" i="7" a="1"/>
  <c r="AP120" i="7"/>
  <c r="AR120" i="7" a="1"/>
  <c r="AR120" i="7"/>
  <c r="AS120" i="7" a="1"/>
  <c r="AS120" i="7"/>
  <c r="AT120" i="7" a="1"/>
  <c r="AT120" i="7"/>
  <c r="AU120" i="7" a="1"/>
  <c r="AU120" i="7"/>
  <c r="AV120" i="7" a="1"/>
  <c r="AV120" i="7"/>
  <c r="AX120" i="7" a="1"/>
  <c r="AX120" i="7"/>
  <c r="AY120" i="7" a="1"/>
  <c r="AY120" i="7"/>
  <c r="AO119" i="7" a="1"/>
  <c r="AO119" i="7"/>
  <c r="AP119" i="7" a="1"/>
  <c r="AP119" i="7"/>
  <c r="AR119" i="7" a="1"/>
  <c r="AR119" i="7"/>
  <c r="AS119" i="7" a="1"/>
  <c r="AS119" i="7"/>
  <c r="AT119" i="7" a="1"/>
  <c r="AT119" i="7"/>
  <c r="AU119" i="7" a="1"/>
  <c r="AU119" i="7"/>
  <c r="AV119" i="7" a="1"/>
  <c r="AV119" i="7"/>
  <c r="AX119" i="7" a="1"/>
  <c r="AX119" i="7"/>
  <c r="AY119" i="7" a="1"/>
  <c r="AY119" i="7"/>
  <c r="AO118" i="7" a="1"/>
  <c r="AO118" i="7"/>
  <c r="AP118" i="7" a="1"/>
  <c r="AP118" i="7"/>
  <c r="AR118" i="7" a="1"/>
  <c r="AR118" i="7"/>
  <c r="AS118" i="7" a="1"/>
  <c r="AS118" i="7"/>
  <c r="AT118" i="7" a="1"/>
  <c r="AT118" i="7"/>
  <c r="AU118" i="7" a="1"/>
  <c r="AU118" i="7"/>
  <c r="AV118" i="7" a="1"/>
  <c r="AV118" i="7"/>
  <c r="AX118" i="7" a="1"/>
  <c r="AX118" i="7"/>
  <c r="AY118" i="7" a="1"/>
  <c r="AY118" i="7"/>
  <c r="AO117" i="7" a="1"/>
  <c r="AO117" i="7"/>
  <c r="AP117" i="7" a="1"/>
  <c r="AP117" i="7"/>
  <c r="AR117" i="7" a="1"/>
  <c r="AR117" i="7"/>
  <c r="AS117" i="7" a="1"/>
  <c r="AS117" i="7"/>
  <c r="AT117" i="7" a="1"/>
  <c r="AT117" i="7"/>
  <c r="AU117" i="7" a="1"/>
  <c r="AU117" i="7"/>
  <c r="AV117" i="7" a="1"/>
  <c r="AV117" i="7"/>
  <c r="AX117" i="7" a="1"/>
  <c r="AX117" i="7"/>
  <c r="AY117" i="7" a="1"/>
  <c r="AY117" i="7"/>
  <c r="AO116" i="7" a="1"/>
  <c r="AO116" i="7"/>
  <c r="AP116" i="7" a="1"/>
  <c r="AP116" i="7"/>
  <c r="AR116" i="7" a="1"/>
  <c r="AR116" i="7"/>
  <c r="AS116" i="7" a="1"/>
  <c r="AS116" i="7"/>
  <c r="AT116" i="7" a="1"/>
  <c r="AT116" i="7"/>
  <c r="AU116" i="7" a="1"/>
  <c r="AU116" i="7"/>
  <c r="AV116" i="7" a="1"/>
  <c r="AV116" i="7"/>
  <c r="AX116" i="7" a="1"/>
  <c r="AX116" i="7"/>
  <c r="AY116" i="7" a="1"/>
  <c r="AY116" i="7"/>
  <c r="AO115" i="7" a="1"/>
  <c r="AO115" i="7"/>
  <c r="AP115" i="7" a="1"/>
  <c r="AP115" i="7"/>
  <c r="AR115" i="7" a="1"/>
  <c r="AR115" i="7"/>
  <c r="AS115" i="7" a="1"/>
  <c r="AS115" i="7"/>
  <c r="AT115" i="7" a="1"/>
  <c r="AT115" i="7"/>
  <c r="AU115" i="7" a="1"/>
  <c r="AU115" i="7"/>
  <c r="AV115" i="7" a="1"/>
  <c r="AV115" i="7"/>
  <c r="AX115" i="7" a="1"/>
  <c r="AX115" i="7"/>
  <c r="AY115" i="7" a="1"/>
  <c r="AY115" i="7"/>
  <c r="AO114" i="7" a="1"/>
  <c r="AO114" i="7"/>
  <c r="AP114" i="7" a="1"/>
  <c r="AP114" i="7"/>
  <c r="AR114" i="7" a="1"/>
  <c r="AR114" i="7"/>
  <c r="AS114" i="7" a="1"/>
  <c r="AS114" i="7"/>
  <c r="AT114" i="7" a="1"/>
  <c r="AT114" i="7"/>
  <c r="AU114" i="7" a="1"/>
  <c r="AU114" i="7"/>
  <c r="AV114" i="7" a="1"/>
  <c r="AV114" i="7"/>
  <c r="AX114" i="7" a="1"/>
  <c r="AX114" i="7"/>
  <c r="AY114" i="7" a="1"/>
  <c r="AY114" i="7"/>
  <c r="AO113" i="7" a="1"/>
  <c r="AO113" i="7"/>
  <c r="AP113" i="7" a="1"/>
  <c r="AP113" i="7"/>
  <c r="AR113" i="7" a="1"/>
  <c r="AR113" i="7"/>
  <c r="AS113" i="7" a="1"/>
  <c r="AS113" i="7"/>
  <c r="AT113" i="7" a="1"/>
  <c r="AT113" i="7"/>
  <c r="AU113" i="7" a="1"/>
  <c r="AU113" i="7"/>
  <c r="AV113" i="7" a="1"/>
  <c r="AV113" i="7"/>
  <c r="AX113" i="7" a="1"/>
  <c r="AX113" i="7"/>
  <c r="AY113" i="7" a="1"/>
  <c r="AY113" i="7"/>
  <c r="AO112" i="7" a="1"/>
  <c r="AO112" i="7"/>
  <c r="AP112" i="7" a="1"/>
  <c r="AP112" i="7"/>
  <c r="AR112" i="7" a="1"/>
  <c r="AR112" i="7"/>
  <c r="AS112" i="7" a="1"/>
  <c r="AS112" i="7"/>
  <c r="AT112" i="7" a="1"/>
  <c r="AT112" i="7"/>
  <c r="AU112" i="7" a="1"/>
  <c r="AU112" i="7"/>
  <c r="AV112" i="7" a="1"/>
  <c r="AV112" i="7"/>
  <c r="AX112" i="7" a="1"/>
  <c r="AX112" i="7"/>
  <c r="AY112" i="7" a="1"/>
  <c r="AY112" i="7"/>
  <c r="J76" i="20"/>
  <c r="L76" i="20"/>
  <c r="M76" i="20"/>
  <c r="J93" i="20"/>
  <c r="L93" i="20"/>
  <c r="M93" i="20"/>
  <c r="J85" i="20"/>
  <c r="L85" i="20"/>
  <c r="M85" i="20"/>
  <c r="G22" i="19"/>
  <c r="H22" i="19"/>
  <c r="I22" i="19"/>
  <c r="J22" i="19"/>
  <c r="K22" i="19"/>
  <c r="L22" i="19"/>
  <c r="N22" i="19"/>
  <c r="O22" i="19"/>
  <c r="P22" i="19"/>
  <c r="Q22" i="19"/>
  <c r="T22" i="19"/>
  <c r="U22" i="19"/>
  <c r="V22" i="19"/>
  <c r="F22" i="19"/>
  <c r="E22" i="19"/>
  <c r="D22" i="19"/>
  <c r="C22" i="19"/>
  <c r="G23" i="19"/>
  <c r="H23" i="19"/>
  <c r="I23" i="19"/>
  <c r="J23" i="19"/>
  <c r="K23" i="19"/>
  <c r="L23" i="19"/>
  <c r="N23" i="19"/>
  <c r="O23" i="19"/>
  <c r="P23" i="19"/>
  <c r="Q23" i="19"/>
  <c r="T23" i="19"/>
  <c r="U23" i="19"/>
  <c r="V23" i="19"/>
  <c r="F23" i="19"/>
  <c r="E23" i="19"/>
  <c r="D23" i="19"/>
  <c r="C23" i="19"/>
  <c r="D183" i="20"/>
  <c r="E183" i="20"/>
  <c r="F183" i="20"/>
  <c r="G183" i="20"/>
  <c r="H183" i="20"/>
  <c r="J183" i="20"/>
  <c r="L183" i="20"/>
  <c r="M183" i="20"/>
  <c r="D182" i="20"/>
  <c r="E182" i="20"/>
  <c r="F182" i="20"/>
  <c r="G182" i="20"/>
  <c r="H182" i="20"/>
  <c r="J182" i="20"/>
  <c r="L182" i="20"/>
  <c r="M182" i="20"/>
  <c r="D181" i="20"/>
  <c r="E181" i="20"/>
  <c r="F181" i="20"/>
  <c r="G181" i="20"/>
  <c r="H181" i="20"/>
  <c r="J181" i="20"/>
  <c r="L181" i="20"/>
  <c r="M181" i="20"/>
  <c r="D180" i="20"/>
  <c r="E180" i="20"/>
  <c r="F180" i="20"/>
  <c r="G180" i="20"/>
  <c r="H180" i="20"/>
  <c r="J180" i="20"/>
  <c r="L180" i="20"/>
  <c r="M180" i="20"/>
  <c r="D179" i="20"/>
  <c r="E179" i="20"/>
  <c r="F179" i="20"/>
  <c r="G179" i="20"/>
  <c r="H179" i="20"/>
  <c r="J179" i="20"/>
  <c r="L179" i="20"/>
  <c r="M179" i="20"/>
  <c r="D178" i="20"/>
  <c r="E178" i="20"/>
  <c r="F178" i="20"/>
  <c r="G178" i="20"/>
  <c r="H178" i="20"/>
  <c r="J178" i="20"/>
  <c r="L178" i="20"/>
  <c r="M178" i="20"/>
  <c r="D177" i="20"/>
  <c r="E177" i="20"/>
  <c r="F177" i="20"/>
  <c r="G177" i="20"/>
  <c r="H177" i="20"/>
  <c r="J177" i="20"/>
  <c r="L177" i="20"/>
  <c r="M177" i="20"/>
  <c r="D176" i="20"/>
  <c r="E176" i="20"/>
  <c r="F176" i="20"/>
  <c r="G176" i="20"/>
  <c r="H176" i="20"/>
  <c r="J176" i="20"/>
  <c r="L176" i="20"/>
  <c r="M176" i="20"/>
  <c r="D175" i="20"/>
  <c r="E175" i="20"/>
  <c r="F175" i="20"/>
  <c r="G175" i="20"/>
  <c r="H175" i="20"/>
  <c r="J175" i="20"/>
  <c r="L175" i="20"/>
  <c r="M175" i="20"/>
  <c r="D174" i="20"/>
  <c r="E174" i="20"/>
  <c r="F174" i="20"/>
  <c r="G174" i="20"/>
  <c r="H174" i="20"/>
  <c r="J174" i="20"/>
  <c r="L174" i="20"/>
  <c r="M174" i="20"/>
  <c r="D173" i="20"/>
  <c r="E173" i="20"/>
  <c r="F173" i="20"/>
  <c r="G173" i="20"/>
  <c r="H173" i="20"/>
  <c r="J173" i="20"/>
  <c r="L173" i="20"/>
  <c r="M173" i="20"/>
  <c r="D172" i="20"/>
  <c r="E172" i="20"/>
  <c r="F172" i="20"/>
  <c r="G172" i="20"/>
  <c r="H172" i="20"/>
  <c r="J172" i="20"/>
  <c r="L172" i="20"/>
  <c r="M172" i="20"/>
  <c r="D171" i="20"/>
  <c r="E171" i="20"/>
  <c r="F171" i="20"/>
  <c r="G171" i="20"/>
  <c r="H171" i="20"/>
  <c r="J171" i="20"/>
  <c r="L171" i="20"/>
  <c r="M171" i="20"/>
  <c r="D170" i="20"/>
  <c r="E170" i="20"/>
  <c r="F170" i="20"/>
  <c r="G170" i="20"/>
  <c r="H170" i="20"/>
  <c r="J170" i="20"/>
  <c r="L170" i="20"/>
  <c r="M170" i="20"/>
  <c r="D169" i="20"/>
  <c r="E169" i="20"/>
  <c r="F169" i="20"/>
  <c r="G169" i="20"/>
  <c r="H169" i="20"/>
  <c r="J169" i="20"/>
  <c r="L169" i="20"/>
  <c r="M169" i="20"/>
  <c r="D168" i="20"/>
  <c r="E168" i="20"/>
  <c r="F168" i="20"/>
  <c r="G168" i="20"/>
  <c r="H168" i="20"/>
  <c r="J168" i="20"/>
  <c r="L168" i="20"/>
  <c r="M168" i="20"/>
  <c r="D167" i="20"/>
  <c r="E167" i="20"/>
  <c r="F167" i="20"/>
  <c r="G167" i="20"/>
  <c r="H167" i="20"/>
  <c r="J167" i="20"/>
  <c r="L167" i="20"/>
  <c r="M167" i="20"/>
  <c r="A166" i="20"/>
  <c r="B23" i="19"/>
  <c r="B22" i="19"/>
  <c r="J66" i="20"/>
  <c r="L66" i="20"/>
  <c r="M66" i="20"/>
  <c r="J58" i="20"/>
  <c r="L58" i="20"/>
  <c r="M58" i="20"/>
  <c r="J67" i="20"/>
  <c r="K67" i="20" s="1"/>
  <c r="L67" i="20"/>
  <c r="M67" i="20"/>
  <c r="J30" i="20"/>
  <c r="K161" i="18"/>
  <c r="L30" i="20"/>
  <c r="M161" i="18"/>
  <c r="M30" i="20"/>
  <c r="N161" i="18"/>
  <c r="J22" i="20"/>
  <c r="L22" i="20"/>
  <c r="M153" i="18"/>
  <c r="J39" i="20"/>
  <c r="K39" i="20" s="1"/>
  <c r="L170" i="18" s="1"/>
  <c r="K170" i="18"/>
  <c r="L39" i="20"/>
  <c r="M170" i="18"/>
  <c r="M39" i="20"/>
  <c r="N170" i="18"/>
  <c r="J31" i="20"/>
  <c r="L31" i="20"/>
  <c r="M162" i="18"/>
  <c r="J48" i="20"/>
  <c r="K48" i="20" s="1"/>
  <c r="L48" i="20"/>
  <c r="M48" i="20"/>
  <c r="J40" i="20"/>
  <c r="K40" i="20"/>
  <c r="L40" i="20"/>
  <c r="M40" i="20"/>
  <c r="J49" i="20"/>
  <c r="K49" i="20"/>
  <c r="L49" i="20"/>
  <c r="M49" i="20"/>
  <c r="A509" i="5"/>
  <c r="A497" i="5"/>
  <c r="B577" i="5"/>
  <c r="N577" i="5"/>
  <c r="B576" i="5"/>
  <c r="N576" i="5"/>
  <c r="B575" i="5"/>
  <c r="N575" i="5"/>
  <c r="B574" i="5"/>
  <c r="N574" i="5"/>
  <c r="B573" i="5"/>
  <c r="N573" i="5"/>
  <c r="B572" i="5"/>
  <c r="N572" i="5"/>
  <c r="B571" i="5"/>
  <c r="N571" i="5"/>
  <c r="B570" i="5"/>
  <c r="N570" i="5"/>
  <c r="W169" i="7"/>
  <c r="U169" i="7"/>
  <c r="B169" i="20"/>
  <c r="U167" i="7"/>
  <c r="B167" i="20"/>
  <c r="A153" i="17" a="1"/>
  <c r="A153" i="17"/>
  <c r="C153" i="17" a="1"/>
  <c r="C153" i="17"/>
  <c r="B507" i="5"/>
  <c r="N507" i="5"/>
  <c r="A152" i="17" a="1"/>
  <c r="A152" i="17"/>
  <c r="A151" i="17" a="1"/>
  <c r="A151" i="17"/>
  <c r="A150" i="17" a="1"/>
  <c r="A150" i="17"/>
  <c r="A149" i="17" a="1"/>
  <c r="A149" i="17"/>
  <c r="A148" i="17" a="1"/>
  <c r="A148" i="17"/>
  <c r="A147" i="17" a="1"/>
  <c r="A147" i="17"/>
  <c r="A146" i="17" a="1"/>
  <c r="A146" i="17"/>
  <c r="A145" i="17" a="1"/>
  <c r="A145" i="17"/>
  <c r="CB6" i="7"/>
  <c r="CB7" i="7"/>
  <c r="CB8" i="7"/>
  <c r="CB9" i="7"/>
  <c r="CB10" i="7"/>
  <c r="CB11" i="7"/>
  <c r="CB12" i="7"/>
  <c r="CB13" i="7"/>
  <c r="CB14" i="7"/>
  <c r="B19" i="4" a="1"/>
  <c r="B19" i="4"/>
  <c r="B18" i="4" a="1"/>
  <c r="B18" i="4"/>
  <c r="I16" i="7"/>
  <c r="H16" i="7"/>
  <c r="AL148" i="7"/>
  <c r="AL149" i="7"/>
  <c r="AL150" i="7"/>
  <c r="AL151" i="7"/>
  <c r="AL152" i="7"/>
  <c r="AL153" i="7"/>
  <c r="AL154" i="7"/>
  <c r="AL155" i="7"/>
  <c r="AL156" i="7"/>
  <c r="AL157" i="7"/>
  <c r="AL158" i="7"/>
  <c r="AL159" i="7"/>
  <c r="AK148" i="7"/>
  <c r="AJ148" i="7"/>
  <c r="AK149" i="7"/>
  <c r="AJ149" i="7"/>
  <c r="AK150" i="7"/>
  <c r="AJ150" i="7"/>
  <c r="AK151" i="7"/>
  <c r="AJ151" i="7"/>
  <c r="AK152" i="7"/>
  <c r="AJ152" i="7"/>
  <c r="AK153" i="7"/>
  <c r="AJ153" i="7"/>
  <c r="AK154" i="7"/>
  <c r="AJ154" i="7"/>
  <c r="AK155" i="7"/>
  <c r="AJ155" i="7"/>
  <c r="AK156" i="7"/>
  <c r="AJ156" i="7"/>
  <c r="AK157" i="7"/>
  <c r="AJ157" i="7"/>
  <c r="AK158" i="7"/>
  <c r="AJ158" i="7"/>
  <c r="AK159" i="7"/>
  <c r="AJ159" i="7"/>
  <c r="T220" i="7"/>
  <c r="A220" i="20"/>
  <c r="T221" i="7"/>
  <c r="A221" i="20"/>
  <c r="T222" i="7"/>
  <c r="A222" i="20"/>
  <c r="T223" i="7"/>
  <c r="A223" i="20"/>
  <c r="T224" i="7"/>
  <c r="A224" i="20"/>
  <c r="T225" i="7"/>
  <c r="A225" i="20"/>
  <c r="T226" i="7"/>
  <c r="A226" i="20"/>
  <c r="T227" i="7"/>
  <c r="A227" i="20"/>
  <c r="T228" i="7"/>
  <c r="A228" i="20"/>
  <c r="T229" i="7"/>
  <c r="A229" i="20"/>
  <c r="T230" i="7"/>
  <c r="A230" i="20"/>
  <c r="T231" i="7"/>
  <c r="A231" i="20"/>
  <c r="T232" i="7"/>
  <c r="A232" i="20"/>
  <c r="T233" i="7"/>
  <c r="A233" i="20"/>
  <c r="T234" i="7"/>
  <c r="A234" i="20"/>
  <c r="T235" i="7"/>
  <c r="A235" i="20"/>
  <c r="T236" i="7"/>
  <c r="A236" i="20"/>
  <c r="T237" i="7"/>
  <c r="A237" i="20"/>
  <c r="S220" i="7"/>
  <c r="C220" i="20"/>
  <c r="S221" i="7"/>
  <c r="C221" i="20"/>
  <c r="S222" i="7"/>
  <c r="C222" i="20"/>
  <c r="S223" i="7"/>
  <c r="C223" i="20"/>
  <c r="S224" i="7"/>
  <c r="C224" i="20"/>
  <c r="S225" i="7"/>
  <c r="C225" i="20"/>
  <c r="S226" i="7"/>
  <c r="C226" i="20"/>
  <c r="S227" i="7"/>
  <c r="C227" i="20"/>
  <c r="S228" i="7"/>
  <c r="C228" i="20"/>
  <c r="S229" i="7"/>
  <c r="C229" i="20"/>
  <c r="S230" i="7"/>
  <c r="C230" i="20"/>
  <c r="S231" i="7"/>
  <c r="C231" i="20"/>
  <c r="S232" i="7"/>
  <c r="C232" i="20"/>
  <c r="S233" i="7"/>
  <c r="C233" i="20"/>
  <c r="S234" i="7"/>
  <c r="C234" i="20"/>
  <c r="S235" i="7"/>
  <c r="C235" i="20"/>
  <c r="S236" i="7"/>
  <c r="C236" i="20"/>
  <c r="S237" i="7"/>
  <c r="C237" i="20"/>
  <c r="M16" i="7"/>
  <c r="L16" i="7"/>
  <c r="K16" i="7"/>
  <c r="A29" i="19"/>
  <c r="J16" i="7"/>
  <c r="A28" i="19"/>
  <c r="CI5" i="7"/>
  <c r="K31" i="20"/>
  <c r="L162" i="18"/>
  <c r="K162" i="18"/>
  <c r="K22" i="20"/>
  <c r="L153" i="18"/>
  <c r="K153" i="18"/>
  <c r="J170" i="18"/>
  <c r="AD30" i="20"/>
  <c r="AE161" i="18"/>
  <c r="J161" i="18"/>
  <c r="M31" i="20"/>
  <c r="N162" i="18"/>
  <c r="C162" i="18"/>
  <c r="AE49" i="20"/>
  <c r="AC49" i="20"/>
  <c r="AB49" i="20"/>
  <c r="AA49" i="20"/>
  <c r="Z49" i="20"/>
  <c r="Y49" i="20"/>
  <c r="X49" i="20"/>
  <c r="W49" i="20"/>
  <c r="V49" i="20"/>
  <c r="AE40" i="20"/>
  <c r="AC40" i="20"/>
  <c r="AB40" i="20"/>
  <c r="AA40" i="20"/>
  <c r="Z40" i="20"/>
  <c r="Y40" i="20"/>
  <c r="X40" i="20"/>
  <c r="W40" i="20"/>
  <c r="V40" i="20"/>
  <c r="P16" i="7"/>
  <c r="M22" i="20"/>
  <c r="N153" i="18"/>
  <c r="I31" i="20"/>
  <c r="I22" i="20"/>
  <c r="J153" i="18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AE237" i="20"/>
  <c r="AD237" i="20"/>
  <c r="AC237" i="20"/>
  <c r="AB237" i="20"/>
  <c r="AA237" i="20"/>
  <c r="Z237" i="20"/>
  <c r="Y237" i="20"/>
  <c r="X237" i="20"/>
  <c r="W237" i="20"/>
  <c r="V237" i="20"/>
  <c r="U237" i="20"/>
  <c r="T237" i="20"/>
  <c r="S237" i="20"/>
  <c r="R237" i="20"/>
  <c r="Q237" i="20"/>
  <c r="P237" i="20"/>
  <c r="O237" i="20"/>
  <c r="N237" i="20"/>
  <c r="AE236" i="20"/>
  <c r="AD236" i="20"/>
  <c r="AC236" i="20"/>
  <c r="AB236" i="20"/>
  <c r="AA236" i="20"/>
  <c r="Z236" i="20"/>
  <c r="Y236" i="20"/>
  <c r="X236" i="20"/>
  <c r="W236" i="20"/>
  <c r="V236" i="20"/>
  <c r="U236" i="20"/>
  <c r="T236" i="20"/>
  <c r="S236" i="20"/>
  <c r="R236" i="20"/>
  <c r="Q236" i="20"/>
  <c r="P236" i="20"/>
  <c r="O236" i="20"/>
  <c r="N236" i="20"/>
  <c r="AE235" i="20"/>
  <c r="AD235" i="20"/>
  <c r="AC235" i="20"/>
  <c r="AB235" i="20"/>
  <c r="AA235" i="20"/>
  <c r="Z235" i="20"/>
  <c r="Y235" i="20"/>
  <c r="X235" i="20"/>
  <c r="W235" i="20"/>
  <c r="V235" i="20"/>
  <c r="U235" i="20"/>
  <c r="T235" i="20"/>
  <c r="S235" i="20"/>
  <c r="R235" i="20"/>
  <c r="Q235" i="20"/>
  <c r="P235" i="20"/>
  <c r="O235" i="20"/>
  <c r="N235" i="20"/>
  <c r="AE234" i="20"/>
  <c r="AD234" i="20"/>
  <c r="AC234" i="20"/>
  <c r="AB234" i="20"/>
  <c r="AA234" i="20"/>
  <c r="Z234" i="20"/>
  <c r="Y234" i="20"/>
  <c r="X234" i="20"/>
  <c r="W234" i="20"/>
  <c r="V234" i="20"/>
  <c r="U234" i="20"/>
  <c r="T234" i="20"/>
  <c r="S234" i="20"/>
  <c r="R234" i="20"/>
  <c r="Q234" i="20"/>
  <c r="P234" i="20"/>
  <c r="O234" i="20"/>
  <c r="N234" i="20"/>
  <c r="AE233" i="20"/>
  <c r="AD233" i="20"/>
  <c r="AC233" i="20"/>
  <c r="AB233" i="20"/>
  <c r="AA233" i="20"/>
  <c r="Z233" i="20"/>
  <c r="Y233" i="20"/>
  <c r="X233" i="20"/>
  <c r="W233" i="20"/>
  <c r="V233" i="20"/>
  <c r="U233" i="20"/>
  <c r="T233" i="20"/>
  <c r="S233" i="20"/>
  <c r="R233" i="20"/>
  <c r="Q233" i="20"/>
  <c r="P233" i="20"/>
  <c r="O233" i="20"/>
  <c r="N233" i="20"/>
  <c r="AE232" i="20"/>
  <c r="AD232" i="20"/>
  <c r="AC232" i="20"/>
  <c r="AB232" i="20"/>
  <c r="AA232" i="20"/>
  <c r="Z232" i="20"/>
  <c r="Y232" i="20"/>
  <c r="X232" i="20"/>
  <c r="W232" i="20"/>
  <c r="V232" i="20"/>
  <c r="U232" i="20"/>
  <c r="T232" i="20"/>
  <c r="S232" i="20"/>
  <c r="R232" i="20"/>
  <c r="Q232" i="20"/>
  <c r="P232" i="20"/>
  <c r="O232" i="20"/>
  <c r="N232" i="20"/>
  <c r="AE231" i="20"/>
  <c r="AD231" i="20"/>
  <c r="AC231" i="20"/>
  <c r="AB231" i="20"/>
  <c r="AA231" i="20"/>
  <c r="Z231" i="20"/>
  <c r="Y231" i="20"/>
  <c r="X231" i="20"/>
  <c r="W231" i="20"/>
  <c r="V231" i="20"/>
  <c r="U231" i="20"/>
  <c r="T231" i="20"/>
  <c r="S231" i="20"/>
  <c r="R231" i="20"/>
  <c r="Q231" i="20"/>
  <c r="P231" i="20"/>
  <c r="O231" i="20"/>
  <c r="N231" i="20"/>
  <c r="AE230" i="20"/>
  <c r="AD230" i="20"/>
  <c r="AC230" i="20"/>
  <c r="AB230" i="20"/>
  <c r="AA230" i="20"/>
  <c r="Z230" i="20"/>
  <c r="Y230" i="20"/>
  <c r="X230" i="20"/>
  <c r="W230" i="20"/>
  <c r="V230" i="20"/>
  <c r="U230" i="20"/>
  <c r="T230" i="20"/>
  <c r="S230" i="20"/>
  <c r="R230" i="20"/>
  <c r="Q230" i="20"/>
  <c r="P230" i="20"/>
  <c r="O230" i="20"/>
  <c r="N230" i="20"/>
  <c r="AE229" i="20"/>
  <c r="AD229" i="20"/>
  <c r="AC229" i="20"/>
  <c r="AB229" i="20"/>
  <c r="AA229" i="20"/>
  <c r="Z229" i="20"/>
  <c r="Y229" i="20"/>
  <c r="X229" i="20"/>
  <c r="W229" i="20"/>
  <c r="V229" i="20"/>
  <c r="U229" i="20"/>
  <c r="T229" i="20"/>
  <c r="S229" i="20"/>
  <c r="R229" i="20"/>
  <c r="Q229" i="20"/>
  <c r="P229" i="20"/>
  <c r="O229" i="20"/>
  <c r="N229" i="20"/>
  <c r="AE228" i="20"/>
  <c r="AD228" i="20"/>
  <c r="AC228" i="20"/>
  <c r="AB228" i="20"/>
  <c r="AA228" i="20"/>
  <c r="Z228" i="20"/>
  <c r="Y228" i="20"/>
  <c r="X228" i="20"/>
  <c r="W228" i="20"/>
  <c r="V228" i="20"/>
  <c r="U228" i="20"/>
  <c r="T228" i="20"/>
  <c r="S228" i="20"/>
  <c r="R228" i="20"/>
  <c r="Q228" i="20"/>
  <c r="P228" i="20"/>
  <c r="O228" i="20"/>
  <c r="N228" i="20"/>
  <c r="AE227" i="20"/>
  <c r="AD227" i="20"/>
  <c r="AC227" i="20"/>
  <c r="AB227" i="20"/>
  <c r="AA227" i="20"/>
  <c r="Z227" i="20"/>
  <c r="Y227" i="20"/>
  <c r="X227" i="20"/>
  <c r="W227" i="20"/>
  <c r="V227" i="20"/>
  <c r="U227" i="20"/>
  <c r="T227" i="20"/>
  <c r="S227" i="20"/>
  <c r="R227" i="20"/>
  <c r="Q227" i="20"/>
  <c r="P227" i="20"/>
  <c r="O227" i="20"/>
  <c r="N227" i="20"/>
  <c r="AE226" i="20"/>
  <c r="AD226" i="20"/>
  <c r="AC226" i="20"/>
  <c r="AB226" i="20"/>
  <c r="AA226" i="20"/>
  <c r="Z226" i="20"/>
  <c r="Y226" i="20"/>
  <c r="X226" i="20"/>
  <c r="W226" i="20"/>
  <c r="V226" i="20"/>
  <c r="U226" i="20"/>
  <c r="T226" i="20"/>
  <c r="S226" i="20"/>
  <c r="R226" i="20"/>
  <c r="Q226" i="20"/>
  <c r="P226" i="20"/>
  <c r="O226" i="20"/>
  <c r="N226" i="20"/>
  <c r="AE225" i="20"/>
  <c r="AD225" i="20"/>
  <c r="AC225" i="20"/>
  <c r="AB225" i="20"/>
  <c r="AA225" i="20"/>
  <c r="Z225" i="20"/>
  <c r="Y225" i="20"/>
  <c r="X225" i="20"/>
  <c r="W225" i="20"/>
  <c r="V225" i="20"/>
  <c r="U225" i="20"/>
  <c r="T225" i="20"/>
  <c r="S225" i="20"/>
  <c r="R225" i="20"/>
  <c r="Q225" i="20"/>
  <c r="P225" i="20"/>
  <c r="O225" i="20"/>
  <c r="N225" i="20"/>
  <c r="AE224" i="20"/>
  <c r="AD224" i="20"/>
  <c r="AC224" i="20"/>
  <c r="AB224" i="20"/>
  <c r="AA224" i="20"/>
  <c r="Z224" i="20"/>
  <c r="Y224" i="20"/>
  <c r="X224" i="20"/>
  <c r="W224" i="20"/>
  <c r="V224" i="20"/>
  <c r="U224" i="20"/>
  <c r="T224" i="20"/>
  <c r="S224" i="20"/>
  <c r="R224" i="20"/>
  <c r="Q224" i="20"/>
  <c r="P224" i="20"/>
  <c r="O224" i="20"/>
  <c r="N224" i="20"/>
  <c r="AE223" i="20"/>
  <c r="AD223" i="20"/>
  <c r="AC223" i="20"/>
  <c r="AB223" i="20"/>
  <c r="AA223" i="20"/>
  <c r="Z223" i="20"/>
  <c r="Y223" i="20"/>
  <c r="X223" i="20"/>
  <c r="W223" i="20"/>
  <c r="V223" i="20"/>
  <c r="U223" i="20"/>
  <c r="T223" i="20"/>
  <c r="S223" i="20"/>
  <c r="R223" i="20"/>
  <c r="Q223" i="20"/>
  <c r="P223" i="20"/>
  <c r="O223" i="20"/>
  <c r="N223" i="20"/>
  <c r="AE222" i="20"/>
  <c r="AD222" i="20"/>
  <c r="AC222" i="20"/>
  <c r="AB222" i="20"/>
  <c r="AA222" i="20"/>
  <c r="Z222" i="20"/>
  <c r="Y222" i="20"/>
  <c r="X222" i="20"/>
  <c r="W222" i="20"/>
  <c r="V222" i="20"/>
  <c r="U222" i="20"/>
  <c r="T222" i="20"/>
  <c r="S222" i="20"/>
  <c r="R222" i="20"/>
  <c r="Q222" i="20"/>
  <c r="P222" i="20"/>
  <c r="O222" i="20"/>
  <c r="N222" i="20"/>
  <c r="AE221" i="20"/>
  <c r="AD221" i="20"/>
  <c r="AC221" i="20"/>
  <c r="AB221" i="20"/>
  <c r="AA221" i="20"/>
  <c r="Z221" i="20"/>
  <c r="Y221" i="20"/>
  <c r="X221" i="20"/>
  <c r="W221" i="20"/>
  <c r="V221" i="20"/>
  <c r="U221" i="20"/>
  <c r="T221" i="20"/>
  <c r="S221" i="20"/>
  <c r="R221" i="20"/>
  <c r="Q221" i="20"/>
  <c r="P221" i="20"/>
  <c r="O221" i="20"/>
  <c r="N221" i="20"/>
  <c r="AE220" i="20"/>
  <c r="AD220" i="20"/>
  <c r="AC220" i="20"/>
  <c r="AB220" i="20"/>
  <c r="AA220" i="20"/>
  <c r="Z220" i="20"/>
  <c r="Y220" i="20"/>
  <c r="X220" i="20"/>
  <c r="W220" i="20"/>
  <c r="V220" i="20"/>
  <c r="U220" i="20"/>
  <c r="T220" i="20"/>
  <c r="S220" i="20"/>
  <c r="R220" i="20"/>
  <c r="Q220" i="20"/>
  <c r="P220" i="20"/>
  <c r="O220" i="20"/>
  <c r="N220" i="20"/>
  <c r="AE166" i="20"/>
  <c r="AD166" i="20"/>
  <c r="AC166" i="20"/>
  <c r="AB166" i="20"/>
  <c r="AA166" i="20"/>
  <c r="Z166" i="20"/>
  <c r="Y166" i="20"/>
  <c r="X166" i="20"/>
  <c r="W166" i="20"/>
  <c r="V166" i="20"/>
  <c r="U166" i="20"/>
  <c r="T166" i="20"/>
  <c r="S166" i="20"/>
  <c r="R166" i="20"/>
  <c r="Q166" i="20"/>
  <c r="P166" i="20"/>
  <c r="O166" i="20"/>
  <c r="N166" i="20"/>
  <c r="AE31" i="20"/>
  <c r="AF162" i="18"/>
  <c r="AC31" i="20"/>
  <c r="AD162" i="18"/>
  <c r="AB31" i="20"/>
  <c r="AC162" i="18"/>
  <c r="AA31" i="20"/>
  <c r="AB162" i="18"/>
  <c r="Z31" i="20"/>
  <c r="AA162" i="18"/>
  <c r="Y31" i="20"/>
  <c r="Z162" i="18"/>
  <c r="X31" i="20"/>
  <c r="Y162" i="18"/>
  <c r="W31" i="20"/>
  <c r="X162" i="18"/>
  <c r="V31" i="20"/>
  <c r="W162" i="18"/>
  <c r="AE22" i="20"/>
  <c r="AF153" i="18"/>
  <c r="AC22" i="20"/>
  <c r="AD153" i="18"/>
  <c r="AB22" i="20"/>
  <c r="AC153" i="18"/>
  <c r="AA22" i="20"/>
  <c r="AB153" i="18"/>
  <c r="Z22" i="20"/>
  <c r="AA153" i="18"/>
  <c r="Y22" i="20"/>
  <c r="Z153" i="18"/>
  <c r="X22" i="20"/>
  <c r="Y153" i="18"/>
  <c r="W22" i="20"/>
  <c r="X153" i="18"/>
  <c r="V22" i="20"/>
  <c r="W153" i="18"/>
  <c r="Y195" i="7"/>
  <c r="L495" i="5"/>
  <c r="S28" i="19"/>
  <c r="R28" i="19"/>
  <c r="M28" i="19"/>
  <c r="S29" i="19"/>
  <c r="R29" i="19"/>
  <c r="M29" i="19"/>
  <c r="K237" i="20"/>
  <c r="I237" i="20"/>
  <c r="K236" i="20"/>
  <c r="I236" i="20"/>
  <c r="K235" i="20"/>
  <c r="I235" i="20"/>
  <c r="K234" i="20"/>
  <c r="I234" i="20"/>
  <c r="K233" i="20"/>
  <c r="I233" i="20"/>
  <c r="K232" i="20"/>
  <c r="I232" i="20"/>
  <c r="K231" i="20"/>
  <c r="I231" i="20"/>
  <c r="K230" i="20"/>
  <c r="I230" i="20"/>
  <c r="K229" i="20"/>
  <c r="I229" i="20"/>
  <c r="K228" i="20"/>
  <c r="I228" i="20"/>
  <c r="K227" i="20"/>
  <c r="I227" i="20"/>
  <c r="K226" i="20"/>
  <c r="I226" i="20"/>
  <c r="K225" i="20"/>
  <c r="I225" i="20"/>
  <c r="K224" i="20"/>
  <c r="I224" i="20"/>
  <c r="K223" i="20"/>
  <c r="I223" i="20"/>
  <c r="K222" i="20"/>
  <c r="I222" i="20"/>
  <c r="K221" i="20"/>
  <c r="I221" i="20"/>
  <c r="K220" i="20"/>
  <c r="I220" i="20"/>
  <c r="K166" i="20"/>
  <c r="I166" i="20"/>
  <c r="U212" i="7"/>
  <c r="B212" i="20"/>
  <c r="X570" i="5"/>
  <c r="AH212" i="7"/>
  <c r="W570" i="5"/>
  <c r="AG212" i="7"/>
  <c r="V570" i="5"/>
  <c r="AF212" i="7"/>
  <c r="U570" i="5"/>
  <c r="AE212" i="7"/>
  <c r="T570" i="5"/>
  <c r="AD212" i="7"/>
  <c r="S570" i="5"/>
  <c r="AC212" i="7"/>
  <c r="R570" i="5"/>
  <c r="AB212" i="7"/>
  <c r="Q570" i="5"/>
  <c r="AA212" i="7"/>
  <c r="P570" i="5"/>
  <c r="Z212" i="7"/>
  <c r="O570" i="5"/>
  <c r="X212" i="7"/>
  <c r="M570" i="5"/>
  <c r="W212" i="7"/>
  <c r="U213" i="7"/>
  <c r="B213" i="20"/>
  <c r="X571" i="5"/>
  <c r="AH213" i="7"/>
  <c r="W571" i="5"/>
  <c r="AG213" i="7"/>
  <c r="V571" i="5"/>
  <c r="AF213" i="7"/>
  <c r="U571" i="5"/>
  <c r="AE213" i="7"/>
  <c r="T571" i="5"/>
  <c r="AD213" i="7"/>
  <c r="S571" i="5"/>
  <c r="AC213" i="7"/>
  <c r="R571" i="5"/>
  <c r="AB213" i="7"/>
  <c r="Q571" i="5"/>
  <c r="AA213" i="7"/>
  <c r="P571" i="5"/>
  <c r="Z213" i="7"/>
  <c r="O571" i="5"/>
  <c r="Y213" i="7"/>
  <c r="X213" i="7"/>
  <c r="M571" i="5"/>
  <c r="W213" i="7"/>
  <c r="U214" i="7"/>
  <c r="B214" i="20"/>
  <c r="X572" i="5"/>
  <c r="AH214" i="7"/>
  <c r="W572" i="5"/>
  <c r="AG214" i="7"/>
  <c r="V572" i="5"/>
  <c r="AF214" i="7"/>
  <c r="U572" i="5"/>
  <c r="AE214" i="7"/>
  <c r="T572" i="5"/>
  <c r="AD214" i="7"/>
  <c r="S572" i="5"/>
  <c r="AC214" i="7"/>
  <c r="R572" i="5"/>
  <c r="AB214" i="7"/>
  <c r="Q572" i="5"/>
  <c r="AA214" i="7"/>
  <c r="P572" i="5"/>
  <c r="Z214" i="7"/>
  <c r="O572" i="5"/>
  <c r="Y214" i="7"/>
  <c r="X214" i="7"/>
  <c r="M572" i="5"/>
  <c r="W214" i="7"/>
  <c r="U215" i="7"/>
  <c r="B215" i="20"/>
  <c r="X573" i="5"/>
  <c r="AH215" i="7"/>
  <c r="W573" i="5"/>
  <c r="AG215" i="7"/>
  <c r="V573" i="5"/>
  <c r="AF215" i="7"/>
  <c r="U573" i="5"/>
  <c r="AE215" i="7"/>
  <c r="T573" i="5"/>
  <c r="AD215" i="7"/>
  <c r="S573" i="5"/>
  <c r="AC215" i="7"/>
  <c r="R573" i="5"/>
  <c r="AB215" i="7"/>
  <c r="Q573" i="5"/>
  <c r="AA215" i="7"/>
  <c r="P573" i="5"/>
  <c r="Z215" i="7"/>
  <c r="O573" i="5"/>
  <c r="Y215" i="7"/>
  <c r="X215" i="7"/>
  <c r="M573" i="5"/>
  <c r="W215" i="7"/>
  <c r="U216" i="7"/>
  <c r="B216" i="20"/>
  <c r="X574" i="5"/>
  <c r="AH216" i="7"/>
  <c r="W574" i="5"/>
  <c r="AG216" i="7"/>
  <c r="V574" i="5"/>
  <c r="AF216" i="7"/>
  <c r="U574" i="5"/>
  <c r="AE216" i="7"/>
  <c r="T574" i="5"/>
  <c r="AD216" i="7"/>
  <c r="S574" i="5"/>
  <c r="AC216" i="7"/>
  <c r="R574" i="5"/>
  <c r="AB216" i="7"/>
  <c r="Q574" i="5"/>
  <c r="AA216" i="7"/>
  <c r="P574" i="5"/>
  <c r="Z216" i="7"/>
  <c r="O574" i="5"/>
  <c r="Y216" i="7"/>
  <c r="X216" i="7"/>
  <c r="M574" i="5"/>
  <c r="W216" i="7"/>
  <c r="U217" i="7"/>
  <c r="B217" i="20"/>
  <c r="X575" i="5"/>
  <c r="AH217" i="7"/>
  <c r="W575" i="5"/>
  <c r="AG217" i="7"/>
  <c r="V575" i="5"/>
  <c r="AF217" i="7"/>
  <c r="U575" i="5"/>
  <c r="AE217" i="7"/>
  <c r="T575" i="5"/>
  <c r="AD217" i="7"/>
  <c r="S575" i="5"/>
  <c r="AC217" i="7"/>
  <c r="R575" i="5"/>
  <c r="AB217" i="7"/>
  <c r="Q575" i="5"/>
  <c r="AA217" i="7"/>
  <c r="P575" i="5"/>
  <c r="Z217" i="7"/>
  <c r="O575" i="5"/>
  <c r="Y217" i="7"/>
  <c r="X217" i="7"/>
  <c r="M575" i="5"/>
  <c r="W217" i="7"/>
  <c r="U218" i="7"/>
  <c r="B218" i="20"/>
  <c r="X576" i="5"/>
  <c r="AH218" i="7"/>
  <c r="W576" i="5"/>
  <c r="AG218" i="7"/>
  <c r="V576" i="5"/>
  <c r="AF218" i="7"/>
  <c r="U576" i="5"/>
  <c r="AE218" i="7"/>
  <c r="T576" i="5"/>
  <c r="AD218" i="7"/>
  <c r="S576" i="5"/>
  <c r="AC218" i="7"/>
  <c r="R576" i="5"/>
  <c r="AB218" i="7"/>
  <c r="Q576" i="5"/>
  <c r="AA218" i="7"/>
  <c r="P576" i="5"/>
  <c r="Z218" i="7"/>
  <c r="O576" i="5"/>
  <c r="Y218" i="7"/>
  <c r="X218" i="7"/>
  <c r="M576" i="5"/>
  <c r="W218" i="7"/>
  <c r="U219" i="7"/>
  <c r="B219" i="20"/>
  <c r="X577" i="5"/>
  <c r="AH219" i="7"/>
  <c r="W577" i="5"/>
  <c r="AG219" i="7"/>
  <c r="V577" i="5"/>
  <c r="AF219" i="7"/>
  <c r="U577" i="5"/>
  <c r="AE219" i="7"/>
  <c r="T577" i="5"/>
  <c r="AD219" i="7"/>
  <c r="S577" i="5"/>
  <c r="AC219" i="7"/>
  <c r="R577" i="5"/>
  <c r="AB219" i="7"/>
  <c r="Q577" i="5"/>
  <c r="AA219" i="7"/>
  <c r="P577" i="5"/>
  <c r="Z219" i="7"/>
  <c r="O577" i="5"/>
  <c r="Y219" i="7"/>
  <c r="X219" i="7"/>
  <c r="M577" i="5"/>
  <c r="W219" i="7"/>
  <c r="Y211" i="7"/>
  <c r="X507" i="5"/>
  <c r="AH192" i="7"/>
  <c r="W507" i="5"/>
  <c r="AG192" i="7"/>
  <c r="V507" i="5"/>
  <c r="AF192" i="7"/>
  <c r="U507" i="5"/>
  <c r="AE192" i="7"/>
  <c r="T507" i="5"/>
  <c r="AD192" i="7"/>
  <c r="S507" i="5"/>
  <c r="AC192" i="7"/>
  <c r="R507" i="5"/>
  <c r="AB192" i="7"/>
  <c r="Q507" i="5"/>
  <c r="AA192" i="7"/>
  <c r="P507" i="5"/>
  <c r="Z192" i="7"/>
  <c r="O507" i="5"/>
  <c r="Y192" i="7"/>
  <c r="X192" i="7"/>
  <c r="M507" i="5"/>
  <c r="W192" i="7"/>
  <c r="Y166" i="7"/>
  <c r="AO159" i="7" a="1"/>
  <c r="AO159" i="7"/>
  <c r="AP159" i="7" a="1"/>
  <c r="AP159" i="7"/>
  <c r="AR159" i="7" a="1"/>
  <c r="AR159" i="7"/>
  <c r="AS159" i="7" a="1"/>
  <c r="AS159" i="7"/>
  <c r="AT159" i="7" a="1"/>
  <c r="AT159" i="7"/>
  <c r="AU159" i="7" a="1"/>
  <c r="AU159" i="7"/>
  <c r="AV159" i="7" a="1"/>
  <c r="AV159" i="7"/>
  <c r="AX159" i="7" a="1"/>
  <c r="AX159" i="7"/>
  <c r="AY159" i="7" a="1"/>
  <c r="AY159" i="7"/>
  <c r="AO158" i="7" a="1"/>
  <c r="AO158" i="7"/>
  <c r="AP158" i="7" a="1"/>
  <c r="AP158" i="7"/>
  <c r="AR158" i="7" a="1"/>
  <c r="AR158" i="7"/>
  <c r="AS158" i="7" a="1"/>
  <c r="AS158" i="7"/>
  <c r="AT158" i="7" a="1"/>
  <c r="AT158" i="7"/>
  <c r="AU158" i="7" a="1"/>
  <c r="AU158" i="7"/>
  <c r="AV158" i="7" a="1"/>
  <c r="AV158" i="7"/>
  <c r="AX158" i="7" a="1"/>
  <c r="AX158" i="7"/>
  <c r="AY158" i="7" a="1"/>
  <c r="AY158" i="7"/>
  <c r="AO157" i="7" a="1"/>
  <c r="AO157" i="7"/>
  <c r="AP157" i="7" a="1"/>
  <c r="AP157" i="7"/>
  <c r="AR157" i="7" a="1"/>
  <c r="AR157" i="7"/>
  <c r="AS157" i="7" a="1"/>
  <c r="AS157" i="7"/>
  <c r="AT157" i="7" a="1"/>
  <c r="AT157" i="7"/>
  <c r="AU157" i="7" a="1"/>
  <c r="AU157" i="7"/>
  <c r="AV157" i="7" a="1"/>
  <c r="AV157" i="7"/>
  <c r="AX157" i="7" a="1"/>
  <c r="AX157" i="7"/>
  <c r="AY157" i="7" a="1"/>
  <c r="AY157" i="7"/>
  <c r="AO156" i="7" a="1"/>
  <c r="AO156" i="7"/>
  <c r="AP156" i="7" a="1"/>
  <c r="AP156" i="7"/>
  <c r="AR156" i="7" a="1"/>
  <c r="AR156" i="7"/>
  <c r="AS156" i="7" a="1"/>
  <c r="AS156" i="7"/>
  <c r="AT156" i="7" a="1"/>
  <c r="AT156" i="7"/>
  <c r="AU156" i="7" a="1"/>
  <c r="AU156" i="7"/>
  <c r="AV156" i="7" a="1"/>
  <c r="AV156" i="7"/>
  <c r="AX156" i="7" a="1"/>
  <c r="AX156" i="7"/>
  <c r="AY156" i="7" a="1"/>
  <c r="AY156" i="7"/>
  <c r="AO155" i="7" a="1"/>
  <c r="AO155" i="7"/>
  <c r="AP155" i="7" a="1"/>
  <c r="AP155" i="7"/>
  <c r="AR155" i="7" a="1"/>
  <c r="AR155" i="7"/>
  <c r="AS155" i="7" a="1"/>
  <c r="AS155" i="7"/>
  <c r="AT155" i="7" a="1"/>
  <c r="AT155" i="7"/>
  <c r="AU155" i="7" a="1"/>
  <c r="AU155" i="7"/>
  <c r="AV155" i="7" a="1"/>
  <c r="AV155" i="7"/>
  <c r="AX155" i="7" a="1"/>
  <c r="AX155" i="7"/>
  <c r="AY155" i="7" a="1"/>
  <c r="AY155" i="7"/>
  <c r="AO154" i="7" a="1"/>
  <c r="AO154" i="7"/>
  <c r="AP154" i="7" a="1"/>
  <c r="AP154" i="7"/>
  <c r="AR154" i="7" a="1"/>
  <c r="AR154" i="7"/>
  <c r="AS154" i="7" a="1"/>
  <c r="AS154" i="7"/>
  <c r="AT154" i="7" a="1"/>
  <c r="AT154" i="7"/>
  <c r="AU154" i="7" a="1"/>
  <c r="AU154" i="7"/>
  <c r="AV154" i="7" a="1"/>
  <c r="AV154" i="7"/>
  <c r="AX154" i="7" a="1"/>
  <c r="AX154" i="7"/>
  <c r="AY154" i="7" a="1"/>
  <c r="AY154" i="7"/>
  <c r="AO153" i="7" a="1"/>
  <c r="AO153" i="7"/>
  <c r="AP153" i="7" a="1"/>
  <c r="AP153" i="7"/>
  <c r="AR153" i="7" a="1"/>
  <c r="AR153" i="7"/>
  <c r="AS153" i="7" a="1"/>
  <c r="AS153" i="7"/>
  <c r="AT153" i="7" a="1"/>
  <c r="AT153" i="7"/>
  <c r="AU153" i="7" a="1"/>
  <c r="AU153" i="7"/>
  <c r="AV153" i="7" a="1"/>
  <c r="AV153" i="7"/>
  <c r="AX153" i="7" a="1"/>
  <c r="AX153" i="7"/>
  <c r="AY153" i="7" a="1"/>
  <c r="AY153" i="7"/>
  <c r="AO152" i="7" a="1"/>
  <c r="AO152" i="7"/>
  <c r="AP152" i="7" a="1"/>
  <c r="AP152" i="7"/>
  <c r="AR152" i="7" a="1"/>
  <c r="AR152" i="7"/>
  <c r="AS152" i="7" a="1"/>
  <c r="AS152" i="7"/>
  <c r="AT152" i="7" a="1"/>
  <c r="AT152" i="7"/>
  <c r="AU152" i="7" a="1"/>
  <c r="AU152" i="7"/>
  <c r="AV152" i="7" a="1"/>
  <c r="AV152" i="7"/>
  <c r="AX152" i="7" a="1"/>
  <c r="AX152" i="7"/>
  <c r="AY152" i="7" a="1"/>
  <c r="AY152" i="7"/>
  <c r="AO151" i="7" a="1"/>
  <c r="AO151" i="7"/>
  <c r="AP151" i="7" a="1"/>
  <c r="AP151" i="7"/>
  <c r="AR151" i="7" a="1"/>
  <c r="AR151" i="7"/>
  <c r="AS151" i="7" a="1"/>
  <c r="AS151" i="7"/>
  <c r="AT151" i="7" a="1"/>
  <c r="AT151" i="7"/>
  <c r="AU151" i="7" a="1"/>
  <c r="AU151" i="7"/>
  <c r="AV151" i="7" a="1"/>
  <c r="AV151" i="7"/>
  <c r="AX151" i="7" a="1"/>
  <c r="AX151" i="7"/>
  <c r="AY151" i="7" a="1"/>
  <c r="AY151" i="7"/>
  <c r="AO150" i="7" a="1"/>
  <c r="AO150" i="7"/>
  <c r="AP150" i="7" a="1"/>
  <c r="AP150" i="7"/>
  <c r="AR150" i="7" a="1"/>
  <c r="AR150" i="7"/>
  <c r="AS150" i="7" a="1"/>
  <c r="AS150" i="7"/>
  <c r="AT150" i="7" a="1"/>
  <c r="AT150" i="7"/>
  <c r="AU150" i="7" a="1"/>
  <c r="AU150" i="7"/>
  <c r="AV150" i="7" a="1"/>
  <c r="AV150" i="7"/>
  <c r="AX150" i="7" a="1"/>
  <c r="AX150" i="7"/>
  <c r="AY150" i="7" a="1"/>
  <c r="AY150" i="7"/>
  <c r="AO149" i="7" a="1"/>
  <c r="AO149" i="7"/>
  <c r="AP149" i="7" a="1"/>
  <c r="AP149" i="7"/>
  <c r="AR149" i="7" a="1"/>
  <c r="AR149" i="7"/>
  <c r="AS149" i="7" a="1"/>
  <c r="AS149" i="7"/>
  <c r="AT149" i="7" a="1"/>
  <c r="AT149" i="7"/>
  <c r="AU149" i="7" a="1"/>
  <c r="AU149" i="7"/>
  <c r="AV149" i="7" a="1"/>
  <c r="AV149" i="7"/>
  <c r="AX149" i="7" a="1"/>
  <c r="AX149" i="7"/>
  <c r="AY149" i="7" a="1"/>
  <c r="AY149" i="7"/>
  <c r="AO148" i="7" a="1"/>
  <c r="AO148" i="7"/>
  <c r="AP148" i="7" a="1"/>
  <c r="AP148" i="7"/>
  <c r="AR148" i="7" a="1"/>
  <c r="AR148" i="7"/>
  <c r="AS148" i="7" a="1"/>
  <c r="AS148" i="7"/>
  <c r="AT148" i="7" a="1"/>
  <c r="AT148" i="7"/>
  <c r="AU148" i="7" a="1"/>
  <c r="AU148" i="7"/>
  <c r="AV148" i="7" a="1"/>
  <c r="AV148" i="7"/>
  <c r="AX148" i="7" a="1"/>
  <c r="AX148" i="7"/>
  <c r="AY148" i="7" a="1"/>
  <c r="AY148" i="7"/>
  <c r="G28" i="19"/>
  <c r="H28" i="19"/>
  <c r="I28" i="19"/>
  <c r="J28" i="19"/>
  <c r="K28" i="19"/>
  <c r="L28" i="19"/>
  <c r="N28" i="19"/>
  <c r="O28" i="19"/>
  <c r="P28" i="19"/>
  <c r="Q28" i="19"/>
  <c r="T28" i="19"/>
  <c r="U28" i="19"/>
  <c r="V28" i="19"/>
  <c r="F28" i="19"/>
  <c r="E28" i="19"/>
  <c r="D28" i="19"/>
  <c r="C28" i="19"/>
  <c r="G29" i="19"/>
  <c r="H29" i="19"/>
  <c r="I29" i="19"/>
  <c r="J29" i="19"/>
  <c r="K29" i="19"/>
  <c r="L29" i="19"/>
  <c r="N29" i="19"/>
  <c r="O29" i="19"/>
  <c r="P29" i="19"/>
  <c r="Q29" i="19"/>
  <c r="T29" i="19"/>
  <c r="U29" i="19"/>
  <c r="V29" i="19"/>
  <c r="F29" i="19"/>
  <c r="E29" i="19"/>
  <c r="D29" i="19"/>
  <c r="C29" i="19"/>
  <c r="D237" i="20"/>
  <c r="E237" i="20"/>
  <c r="F237" i="20"/>
  <c r="G237" i="20"/>
  <c r="H237" i="20"/>
  <c r="J237" i="20"/>
  <c r="L237" i="20"/>
  <c r="M237" i="20"/>
  <c r="D236" i="20"/>
  <c r="E236" i="20"/>
  <c r="F236" i="20"/>
  <c r="G236" i="20"/>
  <c r="H236" i="20"/>
  <c r="J236" i="20"/>
  <c r="L236" i="20"/>
  <c r="M236" i="20"/>
  <c r="D235" i="20"/>
  <c r="E235" i="20"/>
  <c r="F235" i="20"/>
  <c r="G235" i="20"/>
  <c r="H235" i="20"/>
  <c r="J235" i="20"/>
  <c r="L235" i="20"/>
  <c r="M235" i="20"/>
  <c r="D234" i="20"/>
  <c r="E234" i="20"/>
  <c r="F234" i="20"/>
  <c r="G234" i="20"/>
  <c r="H234" i="20"/>
  <c r="J234" i="20"/>
  <c r="L234" i="20"/>
  <c r="M234" i="20"/>
  <c r="D233" i="20"/>
  <c r="E233" i="20"/>
  <c r="F233" i="20"/>
  <c r="G233" i="20"/>
  <c r="H233" i="20"/>
  <c r="J233" i="20"/>
  <c r="L233" i="20"/>
  <c r="M233" i="20"/>
  <c r="D232" i="20"/>
  <c r="E232" i="20"/>
  <c r="F232" i="20"/>
  <c r="G232" i="20"/>
  <c r="H232" i="20"/>
  <c r="J232" i="20"/>
  <c r="L232" i="20"/>
  <c r="M232" i="20"/>
  <c r="D231" i="20"/>
  <c r="E231" i="20"/>
  <c r="F231" i="20"/>
  <c r="G231" i="20"/>
  <c r="H231" i="20"/>
  <c r="J231" i="20"/>
  <c r="L231" i="20"/>
  <c r="M231" i="20"/>
  <c r="D230" i="20"/>
  <c r="E230" i="20"/>
  <c r="F230" i="20"/>
  <c r="G230" i="20"/>
  <c r="H230" i="20"/>
  <c r="J230" i="20"/>
  <c r="L230" i="20"/>
  <c r="M230" i="20"/>
  <c r="D229" i="20"/>
  <c r="E229" i="20"/>
  <c r="F229" i="20"/>
  <c r="G229" i="20"/>
  <c r="H229" i="20"/>
  <c r="J229" i="20"/>
  <c r="L229" i="20"/>
  <c r="M229" i="20"/>
  <c r="D228" i="20"/>
  <c r="E228" i="20"/>
  <c r="F228" i="20"/>
  <c r="G228" i="20"/>
  <c r="H228" i="20"/>
  <c r="J228" i="20"/>
  <c r="L228" i="20"/>
  <c r="M228" i="20"/>
  <c r="D227" i="20"/>
  <c r="E227" i="20"/>
  <c r="F227" i="20"/>
  <c r="G227" i="20"/>
  <c r="H227" i="20"/>
  <c r="J227" i="20"/>
  <c r="L227" i="20"/>
  <c r="M227" i="20"/>
  <c r="D226" i="20"/>
  <c r="E226" i="20"/>
  <c r="F226" i="20"/>
  <c r="G226" i="20"/>
  <c r="H226" i="20"/>
  <c r="J226" i="20"/>
  <c r="L226" i="20"/>
  <c r="M226" i="20"/>
  <c r="D225" i="20"/>
  <c r="E225" i="20"/>
  <c r="F225" i="20"/>
  <c r="G225" i="20"/>
  <c r="H225" i="20"/>
  <c r="J225" i="20"/>
  <c r="L225" i="20"/>
  <c r="M225" i="20"/>
  <c r="D224" i="20"/>
  <c r="E224" i="20"/>
  <c r="F224" i="20"/>
  <c r="G224" i="20"/>
  <c r="H224" i="20"/>
  <c r="J224" i="20"/>
  <c r="L224" i="20"/>
  <c r="M224" i="20"/>
  <c r="D223" i="20"/>
  <c r="E223" i="20"/>
  <c r="F223" i="20"/>
  <c r="G223" i="20"/>
  <c r="H223" i="20"/>
  <c r="J223" i="20"/>
  <c r="L223" i="20"/>
  <c r="M223" i="20"/>
  <c r="D222" i="20"/>
  <c r="E222" i="20"/>
  <c r="F222" i="20"/>
  <c r="G222" i="20"/>
  <c r="H222" i="20"/>
  <c r="J222" i="20"/>
  <c r="L222" i="20"/>
  <c r="M222" i="20"/>
  <c r="D221" i="20"/>
  <c r="E221" i="20"/>
  <c r="F221" i="20"/>
  <c r="G221" i="20"/>
  <c r="H221" i="20"/>
  <c r="J221" i="20"/>
  <c r="L221" i="20"/>
  <c r="M221" i="20"/>
  <c r="D220" i="20"/>
  <c r="E220" i="20"/>
  <c r="F220" i="20"/>
  <c r="G220" i="20"/>
  <c r="H220" i="20"/>
  <c r="J220" i="20"/>
  <c r="L220" i="20"/>
  <c r="M220" i="20"/>
  <c r="B29" i="19"/>
  <c r="B28" i="1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J63" i="21"/>
  <c r="J64" i="21"/>
  <c r="J65" i="21"/>
  <c r="J66" i="21"/>
  <c r="J67" i="21"/>
  <c r="J68" i="21"/>
  <c r="J69" i="21"/>
  <c r="J70" i="21"/>
  <c r="J71" i="21"/>
  <c r="J72" i="21"/>
  <c r="J73" i="21"/>
  <c r="J74" i="21"/>
  <c r="J75" i="21"/>
  <c r="J76" i="21"/>
  <c r="J77" i="21"/>
  <c r="J78" i="21"/>
  <c r="J79" i="21"/>
  <c r="J80" i="21"/>
  <c r="J81" i="21"/>
  <c r="J82" i="21"/>
  <c r="J83" i="21"/>
  <c r="J84" i="21"/>
  <c r="J85" i="21"/>
  <c r="J86" i="21"/>
  <c r="J87" i="21"/>
  <c r="J16" i="21"/>
  <c r="P10" i="21"/>
  <c r="P9" i="21"/>
  <c r="P8" i="21"/>
  <c r="P7" i="21"/>
  <c r="P6" i="21"/>
  <c r="P5" i="21"/>
  <c r="A4" i="18" a="1"/>
  <c r="A4" i="18"/>
  <c r="D166" i="20"/>
  <c r="E166" i="20"/>
  <c r="F166" i="20"/>
  <c r="G166" i="20"/>
  <c r="H166" i="20"/>
  <c r="J166" i="20"/>
  <c r="L166" i="20"/>
  <c r="M166" i="20"/>
  <c r="C145" i="17" a="1"/>
  <c r="C145" i="17"/>
  <c r="B499" i="5"/>
  <c r="N499" i="5"/>
  <c r="C146" i="17" a="1"/>
  <c r="C146" i="17"/>
  <c r="B500" i="5"/>
  <c r="N500" i="5"/>
  <c r="C147" i="17" a="1"/>
  <c r="C147" i="17"/>
  <c r="B501" i="5"/>
  <c r="N501" i="5"/>
  <c r="C148" i="17" a="1"/>
  <c r="C148" i="17"/>
  <c r="B502" i="5"/>
  <c r="N502" i="5"/>
  <c r="C149" i="17" a="1"/>
  <c r="C149" i="17"/>
  <c r="B503" i="5"/>
  <c r="N503" i="5"/>
  <c r="C150" i="17" a="1"/>
  <c r="C150" i="17"/>
  <c r="B504" i="5"/>
  <c r="N504" i="5"/>
  <c r="C151" i="17" a="1"/>
  <c r="C151" i="17"/>
  <c r="B505" i="5"/>
  <c r="N505" i="5"/>
  <c r="C152" i="17" a="1"/>
  <c r="C152" i="17"/>
  <c r="B506" i="5"/>
  <c r="N506" i="5"/>
  <c r="U192" i="7"/>
  <c r="B192" i="20"/>
  <c r="H17" i="4" a="1"/>
  <c r="H17" i="4"/>
  <c r="L14" i="7"/>
  <c r="M13" i="7"/>
  <c r="P13" i="7"/>
  <c r="M14" i="7"/>
  <c r="AL124" i="7"/>
  <c r="AL127" i="7"/>
  <c r="AL130" i="7"/>
  <c r="AL133" i="7"/>
  <c r="AK124" i="7"/>
  <c r="AJ124" i="7"/>
  <c r="AK127" i="7"/>
  <c r="AJ127" i="7"/>
  <c r="AK130" i="7"/>
  <c r="AJ130" i="7"/>
  <c r="AK133" i="7"/>
  <c r="AJ133" i="7"/>
  <c r="T184" i="7"/>
  <c r="T187" i="7"/>
  <c r="A187" i="20"/>
  <c r="T190" i="7"/>
  <c r="A190" i="20"/>
  <c r="T193" i="7"/>
  <c r="A193" i="20"/>
  <c r="T196" i="7"/>
  <c r="A196" i="20"/>
  <c r="T199" i="7"/>
  <c r="A199" i="20"/>
  <c r="S184" i="7"/>
  <c r="S187" i="7"/>
  <c r="C187" i="20"/>
  <c r="S190" i="7"/>
  <c r="C190" i="20"/>
  <c r="S193" i="7"/>
  <c r="C193" i="20"/>
  <c r="S196" i="7"/>
  <c r="C196" i="20"/>
  <c r="S199" i="7"/>
  <c r="C199" i="20"/>
  <c r="K14" i="7"/>
  <c r="A25" i="19"/>
  <c r="CI6" i="7"/>
  <c r="CI7" i="7"/>
  <c r="CI8" i="7"/>
  <c r="CI9" i="7"/>
  <c r="CI10" i="7"/>
  <c r="CI11" i="7"/>
  <c r="CI12" i="7"/>
  <c r="CI13" i="7"/>
  <c r="CI14" i="7"/>
  <c r="AD31" i="20"/>
  <c r="AE162" i="18"/>
  <c r="J162" i="18"/>
  <c r="P14" i="7"/>
  <c r="J14" i="7"/>
  <c r="A24" i="19"/>
  <c r="S200" i="7"/>
  <c r="C200" i="20"/>
  <c r="S197" i="7"/>
  <c r="C197" i="20"/>
  <c r="S194" i="7"/>
  <c r="C194" i="20"/>
  <c r="S191" i="7"/>
  <c r="C191" i="20"/>
  <c r="S188" i="7"/>
  <c r="C188" i="20"/>
  <c r="S185" i="7"/>
  <c r="C185" i="20"/>
  <c r="T200" i="7"/>
  <c r="A200" i="20"/>
  <c r="T197" i="7"/>
  <c r="A197" i="20"/>
  <c r="T194" i="7"/>
  <c r="A194" i="20"/>
  <c r="T191" i="7"/>
  <c r="A191" i="20"/>
  <c r="T188" i="7"/>
  <c r="A188" i="20"/>
  <c r="T185" i="7"/>
  <c r="AK134" i="7"/>
  <c r="AJ134" i="7"/>
  <c r="AK131" i="7"/>
  <c r="AJ131" i="7"/>
  <c r="AK128" i="7"/>
  <c r="AJ128" i="7"/>
  <c r="AK125" i="7"/>
  <c r="AJ125" i="7"/>
  <c r="AL134" i="7"/>
  <c r="AL131" i="7"/>
  <c r="AL128" i="7"/>
  <c r="AL125" i="7"/>
  <c r="I14" i="7"/>
  <c r="CD5" i="7"/>
  <c r="S201" i="7"/>
  <c r="C201" i="20"/>
  <c r="S198" i="7"/>
  <c r="C198" i="20"/>
  <c r="S195" i="7"/>
  <c r="C195" i="20"/>
  <c r="S192" i="7"/>
  <c r="C192" i="20"/>
  <c r="S189" i="7"/>
  <c r="C189" i="20"/>
  <c r="S186" i="7"/>
  <c r="C186" i="20"/>
  <c r="T201" i="7"/>
  <c r="A201" i="20"/>
  <c r="AD201" i="20"/>
  <c r="T198" i="7"/>
  <c r="A198" i="20"/>
  <c r="T195" i="7"/>
  <c r="A195" i="20"/>
  <c r="AD195" i="20"/>
  <c r="T192" i="7"/>
  <c r="A192" i="20"/>
  <c r="T189" i="7"/>
  <c r="A189" i="20"/>
  <c r="T186" i="7"/>
  <c r="A186" i="20"/>
  <c r="AD186" i="20"/>
  <c r="AK135" i="7"/>
  <c r="AJ135" i="7"/>
  <c r="AK132" i="7"/>
  <c r="AJ132" i="7"/>
  <c r="AK129" i="7"/>
  <c r="AJ129" i="7"/>
  <c r="AK126" i="7"/>
  <c r="AJ126" i="7"/>
  <c r="AL135" i="7"/>
  <c r="AL132" i="7"/>
  <c r="AL129" i="7"/>
  <c r="AL126" i="7"/>
  <c r="H14" i="7"/>
  <c r="AD22" i="20"/>
  <c r="AE153" i="18"/>
  <c r="U190" i="7"/>
  <c r="B190" i="20"/>
  <c r="U189" i="7"/>
  <c r="B189" i="20"/>
  <c r="U191" i="7"/>
  <c r="B191" i="20"/>
  <c r="U184" i="7"/>
  <c r="B184" i="20"/>
  <c r="U186" i="7"/>
  <c r="B186" i="20"/>
  <c r="U188" i="7"/>
  <c r="B188" i="20"/>
  <c r="AI24" i="19"/>
  <c r="AH24" i="19"/>
  <c r="AG24" i="19"/>
  <c r="AF24" i="19"/>
  <c r="AE24" i="19"/>
  <c r="AD24" i="19"/>
  <c r="AC24" i="19"/>
  <c r="AB24" i="19"/>
  <c r="AA24" i="19"/>
  <c r="Z24" i="19"/>
  <c r="Y24" i="19"/>
  <c r="X24" i="19"/>
  <c r="W24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AE201" i="20"/>
  <c r="AC201" i="20"/>
  <c r="AB201" i="20"/>
  <c r="Z201" i="20"/>
  <c r="Y201" i="20"/>
  <c r="W201" i="20"/>
  <c r="V201" i="20"/>
  <c r="T201" i="20"/>
  <c r="S201" i="20"/>
  <c r="Q201" i="20"/>
  <c r="P201" i="20"/>
  <c r="O201" i="20"/>
  <c r="N201" i="20"/>
  <c r="AE200" i="20"/>
  <c r="AD200" i="20"/>
  <c r="AC200" i="20"/>
  <c r="AB200" i="20"/>
  <c r="AA200" i="20"/>
  <c r="Z200" i="20"/>
  <c r="Y200" i="20"/>
  <c r="X200" i="20"/>
  <c r="W200" i="20"/>
  <c r="V200" i="20"/>
  <c r="U200" i="20"/>
  <c r="T200" i="20"/>
  <c r="S200" i="20"/>
  <c r="R200" i="20"/>
  <c r="Q200" i="20"/>
  <c r="P200" i="20"/>
  <c r="O200" i="20"/>
  <c r="N200" i="20"/>
  <c r="AE199" i="20"/>
  <c r="AD199" i="20"/>
  <c r="AC199" i="20"/>
  <c r="AB199" i="20"/>
  <c r="AA199" i="20"/>
  <c r="Z199" i="20"/>
  <c r="Y199" i="20"/>
  <c r="X199" i="20"/>
  <c r="W199" i="20"/>
  <c r="V199" i="20"/>
  <c r="U199" i="20"/>
  <c r="T199" i="20"/>
  <c r="S199" i="20"/>
  <c r="R199" i="20"/>
  <c r="Q199" i="20"/>
  <c r="P199" i="20"/>
  <c r="O199" i="20"/>
  <c r="N199" i="20"/>
  <c r="AE198" i="20"/>
  <c r="AD198" i="20"/>
  <c r="AC198" i="20"/>
  <c r="AB198" i="20"/>
  <c r="AA198" i="20"/>
  <c r="Z198" i="20"/>
  <c r="Y198" i="20"/>
  <c r="X198" i="20"/>
  <c r="W198" i="20"/>
  <c r="V198" i="20"/>
  <c r="U198" i="20"/>
  <c r="T198" i="20"/>
  <c r="S198" i="20"/>
  <c r="R198" i="20"/>
  <c r="Q198" i="20"/>
  <c r="P198" i="20"/>
  <c r="O198" i="20"/>
  <c r="N198" i="20"/>
  <c r="AE197" i="20"/>
  <c r="AD197" i="20"/>
  <c r="AC197" i="20"/>
  <c r="AB197" i="20"/>
  <c r="AA197" i="20"/>
  <c r="Z197" i="20"/>
  <c r="Y197" i="20"/>
  <c r="X197" i="20"/>
  <c r="W197" i="20"/>
  <c r="V197" i="20"/>
  <c r="U197" i="20"/>
  <c r="T197" i="20"/>
  <c r="S197" i="20"/>
  <c r="R197" i="20"/>
  <c r="Q197" i="20"/>
  <c r="P197" i="20"/>
  <c r="O197" i="20"/>
  <c r="N197" i="20"/>
  <c r="AE196" i="20"/>
  <c r="AD196" i="20"/>
  <c r="AC196" i="20"/>
  <c r="AB196" i="20"/>
  <c r="AA196" i="20"/>
  <c r="Z196" i="20"/>
  <c r="Y196" i="20"/>
  <c r="X196" i="20"/>
  <c r="W196" i="20"/>
  <c r="V196" i="20"/>
  <c r="U196" i="20"/>
  <c r="T196" i="20"/>
  <c r="S196" i="20"/>
  <c r="R196" i="20"/>
  <c r="Q196" i="20"/>
  <c r="P196" i="20"/>
  <c r="O196" i="20"/>
  <c r="N196" i="20"/>
  <c r="AC195" i="20"/>
  <c r="Z195" i="20"/>
  <c r="W195" i="20"/>
  <c r="T195" i="20"/>
  <c r="Q195" i="20"/>
  <c r="N195" i="20"/>
  <c r="AE194" i="20"/>
  <c r="AD194" i="20"/>
  <c r="AC194" i="20"/>
  <c r="AB194" i="20"/>
  <c r="AA194" i="20"/>
  <c r="Z194" i="20"/>
  <c r="Y194" i="20"/>
  <c r="X194" i="20"/>
  <c r="W194" i="20"/>
  <c r="V194" i="20"/>
  <c r="U194" i="20"/>
  <c r="T194" i="20"/>
  <c r="S194" i="20"/>
  <c r="R194" i="20"/>
  <c r="Q194" i="20"/>
  <c r="P194" i="20"/>
  <c r="O194" i="20"/>
  <c r="N194" i="20"/>
  <c r="AE193" i="20"/>
  <c r="AD193" i="20"/>
  <c r="AC193" i="20"/>
  <c r="AB193" i="20"/>
  <c r="AA193" i="20"/>
  <c r="Z193" i="20"/>
  <c r="Y193" i="20"/>
  <c r="X193" i="20"/>
  <c r="W193" i="20"/>
  <c r="V193" i="20"/>
  <c r="U193" i="20"/>
  <c r="T193" i="20"/>
  <c r="S193" i="20"/>
  <c r="R193" i="20"/>
  <c r="Q193" i="20"/>
  <c r="P193" i="20"/>
  <c r="O193" i="20"/>
  <c r="N193" i="20"/>
  <c r="AE192" i="20"/>
  <c r="AD192" i="20"/>
  <c r="AC192" i="20"/>
  <c r="AB192" i="20"/>
  <c r="AA192" i="20"/>
  <c r="Z192" i="20"/>
  <c r="Y192" i="20"/>
  <c r="X192" i="20"/>
  <c r="W192" i="20"/>
  <c r="V192" i="20"/>
  <c r="U192" i="20"/>
  <c r="T192" i="20"/>
  <c r="S192" i="20"/>
  <c r="R192" i="20"/>
  <c r="Q192" i="20"/>
  <c r="P192" i="20"/>
  <c r="O192" i="20"/>
  <c r="N192" i="20"/>
  <c r="AE191" i="20"/>
  <c r="AD191" i="20"/>
  <c r="AC191" i="20"/>
  <c r="AB191" i="20"/>
  <c r="AA191" i="20"/>
  <c r="Z191" i="20"/>
  <c r="Y191" i="20"/>
  <c r="X191" i="20"/>
  <c r="W191" i="20"/>
  <c r="V191" i="20"/>
  <c r="U191" i="20"/>
  <c r="T191" i="20"/>
  <c r="S191" i="20"/>
  <c r="R191" i="20"/>
  <c r="Q191" i="20"/>
  <c r="P191" i="20"/>
  <c r="O191" i="20"/>
  <c r="N191" i="20"/>
  <c r="AE190" i="20"/>
  <c r="AD190" i="20"/>
  <c r="AC190" i="20"/>
  <c r="AB190" i="20"/>
  <c r="AA190" i="20"/>
  <c r="Z190" i="20"/>
  <c r="Y190" i="20"/>
  <c r="X190" i="20"/>
  <c r="W190" i="20"/>
  <c r="V190" i="20"/>
  <c r="U190" i="20"/>
  <c r="T190" i="20"/>
  <c r="S190" i="20"/>
  <c r="R190" i="20"/>
  <c r="Q190" i="20"/>
  <c r="P190" i="20"/>
  <c r="O190" i="20"/>
  <c r="N190" i="20"/>
  <c r="AE189" i="20"/>
  <c r="AD189" i="20"/>
  <c r="AC189" i="20"/>
  <c r="AB189" i="20"/>
  <c r="AA189" i="20"/>
  <c r="Z189" i="20"/>
  <c r="Y189" i="20"/>
  <c r="X189" i="20"/>
  <c r="W189" i="20"/>
  <c r="V189" i="20"/>
  <c r="U189" i="20"/>
  <c r="T189" i="20"/>
  <c r="S189" i="20"/>
  <c r="R189" i="20"/>
  <c r="Q189" i="20"/>
  <c r="P189" i="20"/>
  <c r="O189" i="20"/>
  <c r="N189" i="20"/>
  <c r="AE188" i="20"/>
  <c r="AD188" i="20"/>
  <c r="AC188" i="20"/>
  <c r="AB188" i="20"/>
  <c r="AA188" i="20"/>
  <c r="Z188" i="20"/>
  <c r="Y188" i="20"/>
  <c r="X188" i="20"/>
  <c r="W188" i="20"/>
  <c r="V188" i="20"/>
  <c r="U188" i="20"/>
  <c r="T188" i="20"/>
  <c r="S188" i="20"/>
  <c r="R188" i="20"/>
  <c r="Q188" i="20"/>
  <c r="P188" i="20"/>
  <c r="O188" i="20"/>
  <c r="N188" i="20"/>
  <c r="AE187" i="20"/>
  <c r="AD187" i="20"/>
  <c r="AC187" i="20"/>
  <c r="AB187" i="20"/>
  <c r="AA187" i="20"/>
  <c r="Z187" i="20"/>
  <c r="Y187" i="20"/>
  <c r="X187" i="20"/>
  <c r="W187" i="20"/>
  <c r="V187" i="20"/>
  <c r="U187" i="20"/>
  <c r="T187" i="20"/>
  <c r="S187" i="20"/>
  <c r="R187" i="20"/>
  <c r="Q187" i="20"/>
  <c r="P187" i="20"/>
  <c r="O187" i="20"/>
  <c r="N187" i="20"/>
  <c r="AC186" i="20"/>
  <c r="Z186" i="20"/>
  <c r="W186" i="20"/>
  <c r="T186" i="20"/>
  <c r="Q186" i="20"/>
  <c r="N186" i="20"/>
  <c r="Y212" i="7"/>
  <c r="L544" i="5"/>
  <c r="S24" i="19"/>
  <c r="R24" i="19"/>
  <c r="M24" i="19"/>
  <c r="S25" i="19"/>
  <c r="R25" i="19"/>
  <c r="M25" i="19"/>
  <c r="K201" i="20"/>
  <c r="I201" i="20"/>
  <c r="K200" i="20"/>
  <c r="I200" i="20"/>
  <c r="K199" i="20"/>
  <c r="I199" i="20"/>
  <c r="K198" i="20"/>
  <c r="I198" i="20"/>
  <c r="K197" i="20"/>
  <c r="I197" i="20"/>
  <c r="K196" i="20"/>
  <c r="I196" i="20"/>
  <c r="K195" i="20"/>
  <c r="K194" i="20"/>
  <c r="I194" i="20"/>
  <c r="K193" i="20"/>
  <c r="I193" i="20"/>
  <c r="K192" i="20"/>
  <c r="I192" i="20"/>
  <c r="K191" i="20"/>
  <c r="I191" i="20"/>
  <c r="K190" i="20"/>
  <c r="I190" i="20"/>
  <c r="K189" i="20"/>
  <c r="I189" i="20"/>
  <c r="K188" i="20"/>
  <c r="I188" i="20"/>
  <c r="K187" i="20"/>
  <c r="I187" i="20"/>
  <c r="K186" i="20"/>
  <c r="I186" i="20"/>
  <c r="X506" i="5"/>
  <c r="AH191" i="7"/>
  <c r="W506" i="5"/>
  <c r="AG191" i="7"/>
  <c r="V506" i="5"/>
  <c r="AF191" i="7"/>
  <c r="U506" i="5"/>
  <c r="AE191" i="7"/>
  <c r="T506" i="5"/>
  <c r="AD191" i="7"/>
  <c r="S506" i="5"/>
  <c r="AC191" i="7"/>
  <c r="R506" i="5"/>
  <c r="AB191" i="7"/>
  <c r="Q506" i="5"/>
  <c r="AA191" i="7"/>
  <c r="P506" i="5"/>
  <c r="Z191" i="7"/>
  <c r="O506" i="5"/>
  <c r="Y191" i="7"/>
  <c r="X191" i="7"/>
  <c r="M506" i="5"/>
  <c r="W191" i="7"/>
  <c r="X505" i="5"/>
  <c r="AH190" i="7"/>
  <c r="W505" i="5"/>
  <c r="AG190" i="7"/>
  <c r="V505" i="5"/>
  <c r="AF190" i="7"/>
  <c r="U505" i="5"/>
  <c r="AE190" i="7"/>
  <c r="T505" i="5"/>
  <c r="AD190" i="7"/>
  <c r="S505" i="5"/>
  <c r="AC190" i="7"/>
  <c r="R505" i="5"/>
  <c r="AB190" i="7"/>
  <c r="Q505" i="5"/>
  <c r="AA190" i="7"/>
  <c r="P505" i="5"/>
  <c r="Z190" i="7"/>
  <c r="O505" i="5"/>
  <c r="Y190" i="7"/>
  <c r="X190" i="7"/>
  <c r="M505" i="5"/>
  <c r="W190" i="7"/>
  <c r="X504" i="5"/>
  <c r="AH189" i="7"/>
  <c r="W504" i="5"/>
  <c r="AG189" i="7"/>
  <c r="V504" i="5"/>
  <c r="AF189" i="7"/>
  <c r="U504" i="5"/>
  <c r="AE189" i="7"/>
  <c r="T504" i="5"/>
  <c r="AD189" i="7"/>
  <c r="S504" i="5"/>
  <c r="AC189" i="7"/>
  <c r="R504" i="5"/>
  <c r="AB189" i="7"/>
  <c r="Q504" i="5"/>
  <c r="AA189" i="7"/>
  <c r="P504" i="5"/>
  <c r="Z189" i="7"/>
  <c r="O504" i="5"/>
  <c r="Y189" i="7"/>
  <c r="X189" i="7"/>
  <c r="M504" i="5"/>
  <c r="W189" i="7"/>
  <c r="X503" i="5"/>
  <c r="AH188" i="7"/>
  <c r="W503" i="5"/>
  <c r="AG188" i="7"/>
  <c r="V503" i="5"/>
  <c r="AF188" i="7"/>
  <c r="U503" i="5"/>
  <c r="AE188" i="7"/>
  <c r="T503" i="5"/>
  <c r="AD188" i="7"/>
  <c r="S503" i="5"/>
  <c r="AC188" i="7"/>
  <c r="R503" i="5"/>
  <c r="AB188" i="7"/>
  <c r="Q503" i="5"/>
  <c r="AA188" i="7"/>
  <c r="P503" i="5"/>
  <c r="Z188" i="7"/>
  <c r="O503" i="5"/>
  <c r="Y188" i="7"/>
  <c r="X188" i="7"/>
  <c r="M503" i="5"/>
  <c r="W188" i="7"/>
  <c r="X502" i="5"/>
  <c r="AH187" i="7"/>
  <c r="W502" i="5"/>
  <c r="AG187" i="7"/>
  <c r="V502" i="5"/>
  <c r="AF187" i="7"/>
  <c r="U502" i="5"/>
  <c r="AE187" i="7"/>
  <c r="T502" i="5"/>
  <c r="AD187" i="7"/>
  <c r="S502" i="5"/>
  <c r="AC187" i="7"/>
  <c r="R502" i="5"/>
  <c r="AB187" i="7"/>
  <c r="Q502" i="5"/>
  <c r="AA187" i="7"/>
  <c r="P502" i="5"/>
  <c r="Z187" i="7"/>
  <c r="O502" i="5"/>
  <c r="Y187" i="7"/>
  <c r="X187" i="7"/>
  <c r="M502" i="5"/>
  <c r="X501" i="5"/>
  <c r="AH186" i="7"/>
  <c r="W501" i="5"/>
  <c r="AG186" i="7"/>
  <c r="V501" i="5"/>
  <c r="AF186" i="7"/>
  <c r="U501" i="5"/>
  <c r="AE186" i="7"/>
  <c r="T501" i="5"/>
  <c r="AD186" i="7"/>
  <c r="S501" i="5"/>
  <c r="AC186" i="7"/>
  <c r="R501" i="5"/>
  <c r="AB186" i="7"/>
  <c r="Q501" i="5"/>
  <c r="AA186" i="7"/>
  <c r="P501" i="5"/>
  <c r="Z186" i="7"/>
  <c r="O501" i="5"/>
  <c r="Y186" i="7"/>
  <c r="X186" i="7"/>
  <c r="M501" i="5"/>
  <c r="W186" i="7"/>
  <c r="X500" i="5"/>
  <c r="AH185" i="7"/>
  <c r="W500" i="5"/>
  <c r="AG185" i="7"/>
  <c r="V500" i="5"/>
  <c r="AF185" i="7"/>
  <c r="U500" i="5"/>
  <c r="AE185" i="7"/>
  <c r="T500" i="5"/>
  <c r="AD185" i="7"/>
  <c r="S500" i="5"/>
  <c r="AC185" i="7"/>
  <c r="R500" i="5"/>
  <c r="AB185" i="7"/>
  <c r="Q500" i="5"/>
  <c r="AA185" i="7"/>
  <c r="P500" i="5"/>
  <c r="Z185" i="7"/>
  <c r="O500" i="5"/>
  <c r="Y185" i="7"/>
  <c r="X185" i="7"/>
  <c r="M500" i="5"/>
  <c r="X499" i="5"/>
  <c r="AH184" i="7"/>
  <c r="W499" i="5"/>
  <c r="AG184" i="7"/>
  <c r="V499" i="5"/>
  <c r="AF184" i="7"/>
  <c r="U499" i="5"/>
  <c r="AE184" i="7"/>
  <c r="T499" i="5"/>
  <c r="AD184" i="7"/>
  <c r="S499" i="5"/>
  <c r="AC184" i="7"/>
  <c r="R499" i="5"/>
  <c r="AB184" i="7"/>
  <c r="Q499" i="5"/>
  <c r="AA184" i="7"/>
  <c r="P499" i="5"/>
  <c r="Z184" i="7"/>
  <c r="O499" i="5"/>
  <c r="L494" i="5"/>
  <c r="X184" i="7"/>
  <c r="M499" i="5"/>
  <c r="W184" i="7"/>
  <c r="C184" i="20"/>
  <c r="AO135" i="7" a="1"/>
  <c r="AO135" i="7"/>
  <c r="AP135" i="7" a="1"/>
  <c r="AP135" i="7"/>
  <c r="AR135" i="7" a="1"/>
  <c r="AR135" i="7"/>
  <c r="AS135" i="7" a="1"/>
  <c r="AS135" i="7"/>
  <c r="AT135" i="7" a="1"/>
  <c r="AT135" i="7"/>
  <c r="AU135" i="7" a="1"/>
  <c r="AU135" i="7"/>
  <c r="AV135" i="7" a="1"/>
  <c r="AV135" i="7"/>
  <c r="AX135" i="7" a="1"/>
  <c r="AX135" i="7"/>
  <c r="AY135" i="7" a="1"/>
  <c r="AY135" i="7"/>
  <c r="AO134" i="7" a="1"/>
  <c r="AO134" i="7"/>
  <c r="AP134" i="7" a="1"/>
  <c r="AP134" i="7"/>
  <c r="AR134" i="7" a="1"/>
  <c r="AR134" i="7"/>
  <c r="AS134" i="7" a="1"/>
  <c r="AS134" i="7"/>
  <c r="AT134" i="7" a="1"/>
  <c r="AT134" i="7"/>
  <c r="AU134" i="7" a="1"/>
  <c r="AU134" i="7"/>
  <c r="AV134" i="7" a="1"/>
  <c r="AV134" i="7"/>
  <c r="AX134" i="7" a="1"/>
  <c r="AX134" i="7"/>
  <c r="AY134" i="7" a="1"/>
  <c r="AY134" i="7"/>
  <c r="AO133" i="7" a="1"/>
  <c r="AO133" i="7"/>
  <c r="AP133" i="7" a="1"/>
  <c r="AP133" i="7"/>
  <c r="AR133" i="7" a="1"/>
  <c r="AR133" i="7"/>
  <c r="AS133" i="7" a="1"/>
  <c r="AS133" i="7"/>
  <c r="AT133" i="7" a="1"/>
  <c r="AT133" i="7"/>
  <c r="AU133" i="7" a="1"/>
  <c r="AU133" i="7"/>
  <c r="AV133" i="7" a="1"/>
  <c r="AV133" i="7"/>
  <c r="AX133" i="7" a="1"/>
  <c r="AX133" i="7"/>
  <c r="AY133" i="7" a="1"/>
  <c r="AY133" i="7"/>
  <c r="AO132" i="7" a="1"/>
  <c r="AO132" i="7"/>
  <c r="AP132" i="7" a="1"/>
  <c r="AP132" i="7"/>
  <c r="AR132" i="7" a="1"/>
  <c r="AR132" i="7"/>
  <c r="AS132" i="7" a="1"/>
  <c r="AS132" i="7"/>
  <c r="AT132" i="7" a="1"/>
  <c r="AT132" i="7"/>
  <c r="AU132" i="7" a="1"/>
  <c r="AU132" i="7"/>
  <c r="AV132" i="7" a="1"/>
  <c r="AV132" i="7"/>
  <c r="AX132" i="7" a="1"/>
  <c r="AX132" i="7"/>
  <c r="AY132" i="7" a="1"/>
  <c r="AY132" i="7"/>
  <c r="AO131" i="7" a="1"/>
  <c r="AO131" i="7"/>
  <c r="AP131" i="7" a="1"/>
  <c r="AP131" i="7"/>
  <c r="AR131" i="7" a="1"/>
  <c r="AR131" i="7"/>
  <c r="AS131" i="7" a="1"/>
  <c r="AS131" i="7"/>
  <c r="AT131" i="7" a="1"/>
  <c r="AT131" i="7"/>
  <c r="AU131" i="7" a="1"/>
  <c r="AU131" i="7"/>
  <c r="AV131" i="7" a="1"/>
  <c r="AV131" i="7"/>
  <c r="AX131" i="7" a="1"/>
  <c r="AX131" i="7"/>
  <c r="AY131" i="7" a="1"/>
  <c r="AY131" i="7"/>
  <c r="AO130" i="7" a="1"/>
  <c r="AO130" i="7"/>
  <c r="AP130" i="7" a="1"/>
  <c r="AP130" i="7"/>
  <c r="AR130" i="7" a="1"/>
  <c r="AR130" i="7"/>
  <c r="AS130" i="7" a="1"/>
  <c r="AS130" i="7"/>
  <c r="AT130" i="7" a="1"/>
  <c r="AT130" i="7"/>
  <c r="AU130" i="7" a="1"/>
  <c r="AU130" i="7"/>
  <c r="AV130" i="7" a="1"/>
  <c r="AV130" i="7"/>
  <c r="AX130" i="7" a="1"/>
  <c r="AX130" i="7"/>
  <c r="AY130" i="7" a="1"/>
  <c r="AY130" i="7"/>
  <c r="AO129" i="7" a="1"/>
  <c r="AO129" i="7"/>
  <c r="AP129" i="7" a="1"/>
  <c r="AP129" i="7"/>
  <c r="AR129" i="7" a="1"/>
  <c r="AR129" i="7"/>
  <c r="AS129" i="7" a="1"/>
  <c r="AS129" i="7"/>
  <c r="AT129" i="7" a="1"/>
  <c r="AT129" i="7"/>
  <c r="AU129" i="7" a="1"/>
  <c r="AU129" i="7"/>
  <c r="AV129" i="7" a="1"/>
  <c r="AV129" i="7"/>
  <c r="AX129" i="7" a="1"/>
  <c r="AX129" i="7"/>
  <c r="AY129" i="7" a="1"/>
  <c r="AY129" i="7"/>
  <c r="AO128" i="7" a="1"/>
  <c r="AO128" i="7"/>
  <c r="AP128" i="7" a="1"/>
  <c r="AP128" i="7"/>
  <c r="AR128" i="7" a="1"/>
  <c r="AR128" i="7"/>
  <c r="AS128" i="7" a="1"/>
  <c r="AS128" i="7"/>
  <c r="AT128" i="7" a="1"/>
  <c r="AT128" i="7"/>
  <c r="AU128" i="7" a="1"/>
  <c r="AU128" i="7"/>
  <c r="AV128" i="7" a="1"/>
  <c r="AV128" i="7"/>
  <c r="AX128" i="7" a="1"/>
  <c r="AX128" i="7"/>
  <c r="AY128" i="7" a="1"/>
  <c r="AY128" i="7"/>
  <c r="AO127" i="7" a="1"/>
  <c r="AO127" i="7"/>
  <c r="AP127" i="7" a="1"/>
  <c r="AP127" i="7"/>
  <c r="AR127" i="7" a="1"/>
  <c r="AR127" i="7"/>
  <c r="AS127" i="7" a="1"/>
  <c r="AS127" i="7"/>
  <c r="AT127" i="7" a="1"/>
  <c r="AT127" i="7"/>
  <c r="AU127" i="7" a="1"/>
  <c r="AU127" i="7"/>
  <c r="AV127" i="7" a="1"/>
  <c r="AV127" i="7"/>
  <c r="AX127" i="7" a="1"/>
  <c r="AX127" i="7"/>
  <c r="AY127" i="7" a="1"/>
  <c r="AY127" i="7"/>
  <c r="AO126" i="7" a="1"/>
  <c r="AO126" i="7"/>
  <c r="AP126" i="7" a="1"/>
  <c r="AP126" i="7"/>
  <c r="AR126" i="7" a="1"/>
  <c r="AR126" i="7"/>
  <c r="AS126" i="7" a="1"/>
  <c r="AS126" i="7"/>
  <c r="AT126" i="7" a="1"/>
  <c r="AT126" i="7"/>
  <c r="AU126" i="7" a="1"/>
  <c r="AU126" i="7"/>
  <c r="AV126" i="7" a="1"/>
  <c r="AV126" i="7"/>
  <c r="AX126" i="7" a="1"/>
  <c r="AX126" i="7"/>
  <c r="AY126" i="7" a="1"/>
  <c r="AY126" i="7"/>
  <c r="AO125" i="7" a="1"/>
  <c r="AO125" i="7"/>
  <c r="AP125" i="7" a="1"/>
  <c r="AP125" i="7"/>
  <c r="AR125" i="7" a="1"/>
  <c r="AR125" i="7"/>
  <c r="AS125" i="7" a="1"/>
  <c r="AS125" i="7"/>
  <c r="AT125" i="7" a="1"/>
  <c r="AT125" i="7"/>
  <c r="AU125" i="7" a="1"/>
  <c r="AU125" i="7"/>
  <c r="AV125" i="7" a="1"/>
  <c r="AV125" i="7"/>
  <c r="AX125" i="7" a="1"/>
  <c r="AX125" i="7"/>
  <c r="AY125" i="7" a="1"/>
  <c r="AY125" i="7"/>
  <c r="AO124" i="7" a="1"/>
  <c r="AO124" i="7"/>
  <c r="AP124" i="7" a="1"/>
  <c r="AP124" i="7"/>
  <c r="AR124" i="7" a="1"/>
  <c r="AR124" i="7"/>
  <c r="AS124" i="7" a="1"/>
  <c r="AS124" i="7"/>
  <c r="AT124" i="7" a="1"/>
  <c r="AT124" i="7"/>
  <c r="AU124" i="7" a="1"/>
  <c r="AU124" i="7"/>
  <c r="AV124" i="7" a="1"/>
  <c r="AV124" i="7"/>
  <c r="AX124" i="7" a="1"/>
  <c r="AX124" i="7"/>
  <c r="AY124" i="7" a="1"/>
  <c r="AY124" i="7"/>
  <c r="G24" i="19"/>
  <c r="H24" i="19"/>
  <c r="I24" i="19"/>
  <c r="J24" i="19"/>
  <c r="K24" i="19"/>
  <c r="L24" i="19"/>
  <c r="N24" i="19"/>
  <c r="O24" i="19"/>
  <c r="P24" i="19"/>
  <c r="Q24" i="19"/>
  <c r="T24" i="19"/>
  <c r="U24" i="19"/>
  <c r="V24" i="19"/>
  <c r="F24" i="19"/>
  <c r="E24" i="19"/>
  <c r="D24" i="19"/>
  <c r="C24" i="19"/>
  <c r="G25" i="19"/>
  <c r="H25" i="19"/>
  <c r="I25" i="19"/>
  <c r="J25" i="19"/>
  <c r="K25" i="19"/>
  <c r="L25" i="19"/>
  <c r="N25" i="19"/>
  <c r="O25" i="19"/>
  <c r="P25" i="19"/>
  <c r="Q25" i="19"/>
  <c r="T25" i="19"/>
  <c r="U25" i="19"/>
  <c r="V25" i="19"/>
  <c r="F25" i="19"/>
  <c r="E25" i="19"/>
  <c r="D25" i="19"/>
  <c r="C25" i="19"/>
  <c r="D201" i="20"/>
  <c r="E201" i="20"/>
  <c r="F201" i="20"/>
  <c r="G201" i="20"/>
  <c r="H201" i="20"/>
  <c r="J201" i="20"/>
  <c r="L201" i="20"/>
  <c r="M201" i="20"/>
  <c r="D200" i="20"/>
  <c r="E200" i="20"/>
  <c r="F200" i="20"/>
  <c r="G200" i="20"/>
  <c r="H200" i="20"/>
  <c r="J200" i="20"/>
  <c r="L200" i="20"/>
  <c r="M200" i="20"/>
  <c r="D199" i="20"/>
  <c r="E199" i="20"/>
  <c r="F199" i="20"/>
  <c r="G199" i="20"/>
  <c r="H199" i="20"/>
  <c r="J199" i="20"/>
  <c r="L199" i="20"/>
  <c r="M199" i="20"/>
  <c r="D198" i="20"/>
  <c r="E198" i="20"/>
  <c r="F198" i="20"/>
  <c r="G198" i="20"/>
  <c r="H198" i="20"/>
  <c r="J198" i="20"/>
  <c r="L198" i="20"/>
  <c r="M198" i="20"/>
  <c r="D197" i="20"/>
  <c r="E197" i="20"/>
  <c r="F197" i="20"/>
  <c r="G197" i="20"/>
  <c r="H197" i="20"/>
  <c r="J197" i="20"/>
  <c r="L197" i="20"/>
  <c r="M197" i="20"/>
  <c r="D196" i="20"/>
  <c r="E196" i="20"/>
  <c r="F196" i="20"/>
  <c r="G196" i="20"/>
  <c r="H196" i="20"/>
  <c r="J196" i="20"/>
  <c r="L196" i="20"/>
  <c r="M196" i="20"/>
  <c r="D195" i="20"/>
  <c r="E195" i="20"/>
  <c r="F195" i="20"/>
  <c r="G195" i="20"/>
  <c r="H195" i="20"/>
  <c r="J195" i="20"/>
  <c r="L195" i="20"/>
  <c r="M195" i="20"/>
  <c r="D194" i="20"/>
  <c r="E194" i="20"/>
  <c r="F194" i="20"/>
  <c r="G194" i="20"/>
  <c r="H194" i="20"/>
  <c r="J194" i="20"/>
  <c r="L194" i="20"/>
  <c r="M194" i="20"/>
  <c r="D193" i="20"/>
  <c r="E193" i="20"/>
  <c r="F193" i="20"/>
  <c r="G193" i="20"/>
  <c r="H193" i="20"/>
  <c r="J193" i="20"/>
  <c r="L193" i="20"/>
  <c r="M193" i="20"/>
  <c r="D192" i="20"/>
  <c r="E192" i="20"/>
  <c r="F192" i="20"/>
  <c r="G192" i="20"/>
  <c r="H192" i="20"/>
  <c r="J192" i="20"/>
  <c r="L192" i="20"/>
  <c r="M192" i="20"/>
  <c r="D191" i="20"/>
  <c r="E191" i="20"/>
  <c r="F191" i="20"/>
  <c r="G191" i="20"/>
  <c r="H191" i="20"/>
  <c r="J191" i="20"/>
  <c r="L191" i="20"/>
  <c r="M191" i="20"/>
  <c r="D190" i="20"/>
  <c r="E190" i="20"/>
  <c r="F190" i="20"/>
  <c r="G190" i="20"/>
  <c r="H190" i="20"/>
  <c r="J190" i="20"/>
  <c r="L190" i="20"/>
  <c r="M190" i="20"/>
  <c r="D189" i="20"/>
  <c r="E189" i="20"/>
  <c r="F189" i="20"/>
  <c r="G189" i="20"/>
  <c r="H189" i="20"/>
  <c r="J189" i="20"/>
  <c r="L189" i="20"/>
  <c r="M189" i="20"/>
  <c r="D188" i="20"/>
  <c r="E188" i="20"/>
  <c r="F188" i="20"/>
  <c r="G188" i="20"/>
  <c r="H188" i="20"/>
  <c r="J188" i="20"/>
  <c r="L188" i="20"/>
  <c r="M188" i="20"/>
  <c r="D187" i="20"/>
  <c r="E187" i="20"/>
  <c r="F187" i="20"/>
  <c r="G187" i="20"/>
  <c r="H187" i="20"/>
  <c r="J187" i="20"/>
  <c r="L187" i="20"/>
  <c r="M187" i="20"/>
  <c r="D186" i="20"/>
  <c r="E186" i="20"/>
  <c r="F186" i="20"/>
  <c r="G186" i="20"/>
  <c r="H186" i="20"/>
  <c r="J186" i="20"/>
  <c r="L186" i="20"/>
  <c r="M186" i="20"/>
  <c r="A184" i="20"/>
  <c r="B25" i="19"/>
  <c r="B24" i="19"/>
  <c r="N14" i="7"/>
  <c r="O14" i="7"/>
  <c r="M17" i="4"/>
  <c r="N17" i="4"/>
  <c r="N541" i="5"/>
  <c r="A543" i="5"/>
  <c r="B157" i="17" a="1"/>
  <c r="B157" i="17"/>
  <c r="W187" i="7"/>
  <c r="U187" i="7"/>
  <c r="B187" i="20"/>
  <c r="W185" i="7"/>
  <c r="U185" i="7"/>
  <c r="B185" i="20"/>
  <c r="CD6" i="7"/>
  <c r="CD7" i="7"/>
  <c r="CD8" i="7"/>
  <c r="CD9" i="7"/>
  <c r="CD10" i="7"/>
  <c r="CD11" i="7"/>
  <c r="CD12" i="7"/>
  <c r="CD13" i="7"/>
  <c r="CD14" i="7"/>
  <c r="I17" i="7"/>
  <c r="H17" i="7"/>
  <c r="AL160" i="7"/>
  <c r="AL161" i="7"/>
  <c r="AL162" i="7"/>
  <c r="AL163" i="7"/>
  <c r="AL164" i="7"/>
  <c r="AL165" i="7"/>
  <c r="AL166" i="7"/>
  <c r="AL167" i="7"/>
  <c r="AL168" i="7"/>
  <c r="AL169" i="7"/>
  <c r="AL170" i="7"/>
  <c r="AL171" i="7"/>
  <c r="AK160" i="7"/>
  <c r="AJ160" i="7"/>
  <c r="AK161" i="7"/>
  <c r="AJ161" i="7"/>
  <c r="AK162" i="7"/>
  <c r="AJ162" i="7"/>
  <c r="AK163" i="7"/>
  <c r="AJ163" i="7"/>
  <c r="AK164" i="7"/>
  <c r="AJ164" i="7"/>
  <c r="AK165" i="7"/>
  <c r="AJ165" i="7"/>
  <c r="AK166" i="7"/>
  <c r="AJ166" i="7"/>
  <c r="AK167" i="7"/>
  <c r="AJ167" i="7"/>
  <c r="AK168" i="7"/>
  <c r="AJ168" i="7"/>
  <c r="AK169" i="7"/>
  <c r="AJ169" i="7"/>
  <c r="AK170" i="7"/>
  <c r="AJ170" i="7"/>
  <c r="AK171" i="7"/>
  <c r="AJ171" i="7"/>
  <c r="T238" i="7"/>
  <c r="T239" i="7"/>
  <c r="A239" i="20"/>
  <c r="T240" i="7"/>
  <c r="A240" i="20"/>
  <c r="T241" i="7"/>
  <c r="A241" i="20"/>
  <c r="T242" i="7"/>
  <c r="A242" i="20"/>
  <c r="T243" i="7"/>
  <c r="A243" i="20"/>
  <c r="T244" i="7"/>
  <c r="A244" i="20"/>
  <c r="T245" i="7"/>
  <c r="A245" i="20"/>
  <c r="T246" i="7"/>
  <c r="A246" i="20"/>
  <c r="T247" i="7"/>
  <c r="A247" i="20"/>
  <c r="T248" i="7"/>
  <c r="A248" i="20"/>
  <c r="T249" i="7"/>
  <c r="A249" i="20"/>
  <c r="T250" i="7"/>
  <c r="A250" i="20"/>
  <c r="T251" i="7"/>
  <c r="A251" i="20"/>
  <c r="T252" i="7"/>
  <c r="A252" i="20"/>
  <c r="T253" i="7"/>
  <c r="A253" i="20"/>
  <c r="T254" i="7"/>
  <c r="A254" i="20"/>
  <c r="T255" i="7"/>
  <c r="A255" i="20"/>
  <c r="S238" i="7"/>
  <c r="S239" i="7"/>
  <c r="C239" i="20"/>
  <c r="S240" i="7"/>
  <c r="C240" i="20"/>
  <c r="S241" i="7"/>
  <c r="C241" i="20"/>
  <c r="S242" i="7"/>
  <c r="C242" i="20"/>
  <c r="S243" i="7"/>
  <c r="C243" i="20"/>
  <c r="S244" i="7"/>
  <c r="C244" i="20"/>
  <c r="S245" i="7"/>
  <c r="C245" i="20"/>
  <c r="S246" i="7"/>
  <c r="C246" i="20"/>
  <c r="S247" i="7"/>
  <c r="C247" i="20"/>
  <c r="S248" i="7"/>
  <c r="C248" i="20"/>
  <c r="S249" i="7"/>
  <c r="C249" i="20"/>
  <c r="S250" i="7"/>
  <c r="C250" i="20"/>
  <c r="S251" i="7"/>
  <c r="C251" i="20"/>
  <c r="S252" i="7"/>
  <c r="C252" i="20"/>
  <c r="S253" i="7"/>
  <c r="C253" i="20"/>
  <c r="S254" i="7"/>
  <c r="C254" i="20"/>
  <c r="S255" i="7"/>
  <c r="C255" i="20"/>
  <c r="M17" i="7"/>
  <c r="L17" i="7"/>
  <c r="K17" i="7"/>
  <c r="A31" i="19"/>
  <c r="J17" i="7"/>
  <c r="A30" i="19"/>
  <c r="CK5" i="7"/>
  <c r="A185" i="20"/>
  <c r="I195" i="20"/>
  <c r="P186" i="20"/>
  <c r="S186" i="20"/>
  <c r="V186" i="20"/>
  <c r="Y186" i="20"/>
  <c r="AB186" i="20"/>
  <c r="AE186" i="20"/>
  <c r="P195" i="20"/>
  <c r="S195" i="20"/>
  <c r="V195" i="20"/>
  <c r="Y195" i="20"/>
  <c r="AB195" i="20"/>
  <c r="AE195" i="20"/>
  <c r="P17" i="7"/>
  <c r="O186" i="20"/>
  <c r="R186" i="20"/>
  <c r="U186" i="20"/>
  <c r="X186" i="20"/>
  <c r="AA186" i="20"/>
  <c r="O195" i="20"/>
  <c r="R195" i="20"/>
  <c r="U195" i="20"/>
  <c r="X195" i="20"/>
  <c r="AA195" i="20"/>
  <c r="R201" i="20"/>
  <c r="U201" i="20"/>
  <c r="X201" i="20"/>
  <c r="AA201" i="20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AE255" i="20"/>
  <c r="AD255" i="20"/>
  <c r="AC255" i="20"/>
  <c r="AB255" i="20"/>
  <c r="AA255" i="20"/>
  <c r="Z255" i="20"/>
  <c r="Y255" i="20"/>
  <c r="X255" i="20"/>
  <c r="W255" i="20"/>
  <c r="V255" i="20"/>
  <c r="U255" i="20"/>
  <c r="T255" i="20"/>
  <c r="S255" i="20"/>
  <c r="R255" i="20"/>
  <c r="Q255" i="20"/>
  <c r="P255" i="20"/>
  <c r="O255" i="20"/>
  <c r="N255" i="20"/>
  <c r="AE254" i="20"/>
  <c r="AD254" i="20"/>
  <c r="AC254" i="20"/>
  <c r="AB254" i="20"/>
  <c r="AA254" i="20"/>
  <c r="Z254" i="20"/>
  <c r="Y254" i="20"/>
  <c r="X254" i="20"/>
  <c r="W254" i="20"/>
  <c r="V254" i="20"/>
  <c r="U254" i="20"/>
  <c r="T254" i="20"/>
  <c r="S254" i="20"/>
  <c r="R254" i="20"/>
  <c r="Q254" i="20"/>
  <c r="P254" i="20"/>
  <c r="O254" i="20"/>
  <c r="N254" i="20"/>
  <c r="AE253" i="20"/>
  <c r="AD253" i="20"/>
  <c r="AC253" i="20"/>
  <c r="AB253" i="20"/>
  <c r="AA253" i="20"/>
  <c r="Z253" i="20"/>
  <c r="Y253" i="20"/>
  <c r="X253" i="20"/>
  <c r="W253" i="20"/>
  <c r="V253" i="20"/>
  <c r="U253" i="20"/>
  <c r="T253" i="20"/>
  <c r="S253" i="20"/>
  <c r="R253" i="20"/>
  <c r="Q253" i="20"/>
  <c r="P253" i="20"/>
  <c r="O253" i="20"/>
  <c r="N253" i="20"/>
  <c r="AE252" i="20"/>
  <c r="AD252" i="20"/>
  <c r="AC252" i="20"/>
  <c r="AB252" i="20"/>
  <c r="AA252" i="20"/>
  <c r="Z252" i="20"/>
  <c r="Y252" i="20"/>
  <c r="X252" i="20"/>
  <c r="W252" i="20"/>
  <c r="V252" i="20"/>
  <c r="U252" i="20"/>
  <c r="T252" i="20"/>
  <c r="S252" i="20"/>
  <c r="R252" i="20"/>
  <c r="Q252" i="20"/>
  <c r="P252" i="20"/>
  <c r="O252" i="20"/>
  <c r="N252" i="20"/>
  <c r="AE251" i="20"/>
  <c r="AD251" i="20"/>
  <c r="AC251" i="20"/>
  <c r="AB251" i="20"/>
  <c r="AA251" i="20"/>
  <c r="Z251" i="20"/>
  <c r="Y251" i="20"/>
  <c r="X251" i="20"/>
  <c r="W251" i="20"/>
  <c r="V251" i="20"/>
  <c r="U251" i="20"/>
  <c r="T251" i="20"/>
  <c r="S251" i="20"/>
  <c r="R251" i="20"/>
  <c r="Q251" i="20"/>
  <c r="P251" i="20"/>
  <c r="O251" i="20"/>
  <c r="N251" i="20"/>
  <c r="AE250" i="20"/>
  <c r="AD250" i="20"/>
  <c r="AC250" i="20"/>
  <c r="AB250" i="20"/>
  <c r="AA250" i="20"/>
  <c r="Z250" i="20"/>
  <c r="Y250" i="20"/>
  <c r="X250" i="20"/>
  <c r="W250" i="20"/>
  <c r="V250" i="20"/>
  <c r="U250" i="20"/>
  <c r="T250" i="20"/>
  <c r="S250" i="20"/>
  <c r="R250" i="20"/>
  <c r="Q250" i="20"/>
  <c r="P250" i="20"/>
  <c r="O250" i="20"/>
  <c r="N250" i="20"/>
  <c r="AE249" i="20"/>
  <c r="AD249" i="20"/>
  <c r="AC249" i="20"/>
  <c r="AB249" i="20"/>
  <c r="AA249" i="20"/>
  <c r="Z249" i="20"/>
  <c r="Y249" i="20"/>
  <c r="X249" i="20"/>
  <c r="W249" i="20"/>
  <c r="V249" i="20"/>
  <c r="U249" i="20"/>
  <c r="T249" i="20"/>
  <c r="S249" i="20"/>
  <c r="R249" i="20"/>
  <c r="Q249" i="20"/>
  <c r="P249" i="20"/>
  <c r="O249" i="20"/>
  <c r="N249" i="20"/>
  <c r="AE248" i="20"/>
  <c r="AD248" i="20"/>
  <c r="AC248" i="20"/>
  <c r="AB248" i="20"/>
  <c r="AA248" i="20"/>
  <c r="Z248" i="20"/>
  <c r="Y248" i="20"/>
  <c r="X248" i="20"/>
  <c r="W248" i="20"/>
  <c r="V248" i="20"/>
  <c r="U248" i="20"/>
  <c r="T248" i="20"/>
  <c r="S248" i="20"/>
  <c r="R248" i="20"/>
  <c r="Q248" i="20"/>
  <c r="P248" i="20"/>
  <c r="O248" i="20"/>
  <c r="N248" i="20"/>
  <c r="AE247" i="20"/>
  <c r="AD247" i="20"/>
  <c r="AC247" i="20"/>
  <c r="AB247" i="20"/>
  <c r="AA247" i="20"/>
  <c r="Z247" i="20"/>
  <c r="Y247" i="20"/>
  <c r="X247" i="20"/>
  <c r="W247" i="20"/>
  <c r="V247" i="20"/>
  <c r="U247" i="20"/>
  <c r="T247" i="20"/>
  <c r="S247" i="20"/>
  <c r="R247" i="20"/>
  <c r="Q247" i="20"/>
  <c r="P247" i="20"/>
  <c r="O247" i="20"/>
  <c r="N247" i="20"/>
  <c r="AE246" i="20"/>
  <c r="AD246" i="20"/>
  <c r="AC246" i="20"/>
  <c r="AB246" i="20"/>
  <c r="AA246" i="20"/>
  <c r="Z246" i="20"/>
  <c r="Y246" i="20"/>
  <c r="X246" i="20"/>
  <c r="W246" i="20"/>
  <c r="V246" i="20"/>
  <c r="U246" i="20"/>
  <c r="T246" i="20"/>
  <c r="S246" i="20"/>
  <c r="R246" i="20"/>
  <c r="Q246" i="20"/>
  <c r="P246" i="20"/>
  <c r="O246" i="20"/>
  <c r="N246" i="20"/>
  <c r="AE245" i="20"/>
  <c r="AD245" i="20"/>
  <c r="AC245" i="20"/>
  <c r="AB245" i="20"/>
  <c r="AA245" i="20"/>
  <c r="Z245" i="20"/>
  <c r="Y245" i="20"/>
  <c r="X245" i="20"/>
  <c r="W245" i="20"/>
  <c r="V245" i="20"/>
  <c r="U245" i="20"/>
  <c r="T245" i="20"/>
  <c r="S245" i="20"/>
  <c r="R245" i="20"/>
  <c r="Q245" i="20"/>
  <c r="P245" i="20"/>
  <c r="O245" i="20"/>
  <c r="N245" i="20"/>
  <c r="AE244" i="20"/>
  <c r="AD244" i="20"/>
  <c r="AC244" i="20"/>
  <c r="AB244" i="20"/>
  <c r="AA244" i="20"/>
  <c r="Z244" i="20"/>
  <c r="Y244" i="20"/>
  <c r="X244" i="20"/>
  <c r="W244" i="20"/>
  <c r="V244" i="20"/>
  <c r="U244" i="20"/>
  <c r="T244" i="20"/>
  <c r="S244" i="20"/>
  <c r="R244" i="20"/>
  <c r="Q244" i="20"/>
  <c r="P244" i="20"/>
  <c r="O244" i="20"/>
  <c r="N244" i="20"/>
  <c r="AE243" i="20"/>
  <c r="AD243" i="20"/>
  <c r="AC243" i="20"/>
  <c r="AB243" i="20"/>
  <c r="AA243" i="20"/>
  <c r="Z243" i="20"/>
  <c r="Y243" i="20"/>
  <c r="X243" i="20"/>
  <c r="W243" i="20"/>
  <c r="V243" i="20"/>
  <c r="U243" i="20"/>
  <c r="T243" i="20"/>
  <c r="S243" i="20"/>
  <c r="R243" i="20"/>
  <c r="Q243" i="20"/>
  <c r="P243" i="20"/>
  <c r="O243" i="20"/>
  <c r="N243" i="20"/>
  <c r="AE242" i="20"/>
  <c r="AD242" i="20"/>
  <c r="AC242" i="20"/>
  <c r="AB242" i="20"/>
  <c r="AA242" i="20"/>
  <c r="Z242" i="20"/>
  <c r="Y242" i="20"/>
  <c r="X242" i="20"/>
  <c r="W242" i="20"/>
  <c r="V242" i="20"/>
  <c r="U242" i="20"/>
  <c r="T242" i="20"/>
  <c r="S242" i="20"/>
  <c r="R242" i="20"/>
  <c r="Q242" i="20"/>
  <c r="P242" i="20"/>
  <c r="O242" i="20"/>
  <c r="N242" i="20"/>
  <c r="AE241" i="20"/>
  <c r="AD241" i="20"/>
  <c r="AC241" i="20"/>
  <c r="AB241" i="20"/>
  <c r="AA241" i="20"/>
  <c r="Z241" i="20"/>
  <c r="Y241" i="20"/>
  <c r="X241" i="20"/>
  <c r="W241" i="20"/>
  <c r="V241" i="20"/>
  <c r="U241" i="20"/>
  <c r="T241" i="20"/>
  <c r="S241" i="20"/>
  <c r="R241" i="20"/>
  <c r="Q241" i="20"/>
  <c r="P241" i="20"/>
  <c r="O241" i="20"/>
  <c r="N241" i="20"/>
  <c r="AE240" i="20"/>
  <c r="AD240" i="20"/>
  <c r="AC240" i="20"/>
  <c r="AB240" i="20"/>
  <c r="AA240" i="20"/>
  <c r="Z240" i="20"/>
  <c r="Y240" i="20"/>
  <c r="X240" i="20"/>
  <c r="W240" i="20"/>
  <c r="V240" i="20"/>
  <c r="U240" i="20"/>
  <c r="T240" i="20"/>
  <c r="S240" i="20"/>
  <c r="R240" i="20"/>
  <c r="Q240" i="20"/>
  <c r="P240" i="20"/>
  <c r="O240" i="20"/>
  <c r="N240" i="20"/>
  <c r="AE239" i="20"/>
  <c r="AD239" i="20"/>
  <c r="AC239" i="20"/>
  <c r="AB239" i="20"/>
  <c r="AA239" i="20"/>
  <c r="Z239" i="20"/>
  <c r="Y239" i="20"/>
  <c r="X239" i="20"/>
  <c r="W239" i="20"/>
  <c r="V239" i="20"/>
  <c r="U239" i="20"/>
  <c r="T239" i="20"/>
  <c r="S239" i="20"/>
  <c r="R239" i="20"/>
  <c r="Q239" i="20"/>
  <c r="P239" i="20"/>
  <c r="O239" i="20"/>
  <c r="N239" i="20"/>
  <c r="AE184" i="20"/>
  <c r="AD184" i="20"/>
  <c r="AC184" i="20"/>
  <c r="AB184" i="20"/>
  <c r="AA184" i="20"/>
  <c r="Z184" i="20"/>
  <c r="Y184" i="20"/>
  <c r="X184" i="20"/>
  <c r="W184" i="20"/>
  <c r="V184" i="20"/>
  <c r="U184" i="20"/>
  <c r="T184" i="20"/>
  <c r="S184" i="20"/>
  <c r="R184" i="20"/>
  <c r="Q184" i="20"/>
  <c r="P184" i="20"/>
  <c r="O184" i="20"/>
  <c r="N184" i="20"/>
  <c r="S30" i="19"/>
  <c r="R30" i="19"/>
  <c r="M30" i="19"/>
  <c r="S31" i="19"/>
  <c r="R31" i="19"/>
  <c r="M31" i="19"/>
  <c r="K255" i="20"/>
  <c r="I255" i="20"/>
  <c r="K254" i="20"/>
  <c r="I254" i="20"/>
  <c r="K253" i="20"/>
  <c r="I253" i="20"/>
  <c r="K252" i="20"/>
  <c r="I252" i="20"/>
  <c r="K251" i="20"/>
  <c r="I251" i="20"/>
  <c r="K250" i="20"/>
  <c r="I250" i="20"/>
  <c r="K249" i="20"/>
  <c r="I249" i="20"/>
  <c r="K248" i="20"/>
  <c r="I248" i="20"/>
  <c r="K247" i="20"/>
  <c r="I247" i="20"/>
  <c r="K246" i="20"/>
  <c r="I246" i="20"/>
  <c r="K245" i="20"/>
  <c r="I245" i="20"/>
  <c r="K244" i="20"/>
  <c r="I244" i="20"/>
  <c r="K243" i="20"/>
  <c r="I243" i="20"/>
  <c r="K242" i="20"/>
  <c r="I242" i="20"/>
  <c r="K241" i="20"/>
  <c r="I241" i="20"/>
  <c r="K240" i="20"/>
  <c r="I240" i="20"/>
  <c r="K239" i="20"/>
  <c r="I239" i="20"/>
  <c r="K184" i="20"/>
  <c r="I184" i="20"/>
  <c r="Y184" i="7"/>
  <c r="C238" i="20"/>
  <c r="AO171" i="7" a="1"/>
  <c r="AO171" i="7"/>
  <c r="AP171" i="7" a="1"/>
  <c r="AP171" i="7"/>
  <c r="AR171" i="7" a="1"/>
  <c r="AR171" i="7"/>
  <c r="AS171" i="7" a="1"/>
  <c r="AS171" i="7"/>
  <c r="AT171" i="7" a="1"/>
  <c r="AT171" i="7"/>
  <c r="AU171" i="7" a="1"/>
  <c r="AU171" i="7"/>
  <c r="AV171" i="7" a="1"/>
  <c r="AV171" i="7"/>
  <c r="AX171" i="7" a="1"/>
  <c r="AX171" i="7"/>
  <c r="AY171" i="7" a="1"/>
  <c r="AY171" i="7"/>
  <c r="AO170" i="7" a="1"/>
  <c r="AO170" i="7"/>
  <c r="AP170" i="7" a="1"/>
  <c r="AP170" i="7"/>
  <c r="AR170" i="7" a="1"/>
  <c r="AR170" i="7"/>
  <c r="AS170" i="7" a="1"/>
  <c r="AS170" i="7"/>
  <c r="AT170" i="7" a="1"/>
  <c r="AT170" i="7"/>
  <c r="AU170" i="7" a="1"/>
  <c r="AU170" i="7"/>
  <c r="AV170" i="7" a="1"/>
  <c r="AV170" i="7"/>
  <c r="AX170" i="7" a="1"/>
  <c r="AX170" i="7"/>
  <c r="AY170" i="7" a="1"/>
  <c r="AY170" i="7"/>
  <c r="AO169" i="7" a="1"/>
  <c r="AO169" i="7"/>
  <c r="AP169" i="7" a="1"/>
  <c r="AP169" i="7"/>
  <c r="AR169" i="7" a="1"/>
  <c r="AR169" i="7"/>
  <c r="AS169" i="7" a="1"/>
  <c r="AS169" i="7"/>
  <c r="AT169" i="7" a="1"/>
  <c r="AT169" i="7"/>
  <c r="AU169" i="7" a="1"/>
  <c r="AU169" i="7"/>
  <c r="AV169" i="7" a="1"/>
  <c r="AV169" i="7"/>
  <c r="AX169" i="7" a="1"/>
  <c r="AX169" i="7"/>
  <c r="AY169" i="7" a="1"/>
  <c r="AY169" i="7"/>
  <c r="AO168" i="7" a="1"/>
  <c r="AO168" i="7"/>
  <c r="AP168" i="7" a="1"/>
  <c r="AP168" i="7"/>
  <c r="AR168" i="7" a="1"/>
  <c r="AR168" i="7"/>
  <c r="AS168" i="7" a="1"/>
  <c r="AS168" i="7"/>
  <c r="AT168" i="7" a="1"/>
  <c r="AT168" i="7"/>
  <c r="AU168" i="7" a="1"/>
  <c r="AU168" i="7"/>
  <c r="AV168" i="7" a="1"/>
  <c r="AV168" i="7"/>
  <c r="AX168" i="7" a="1"/>
  <c r="AX168" i="7"/>
  <c r="AY168" i="7" a="1"/>
  <c r="AY168" i="7"/>
  <c r="AO167" i="7" a="1"/>
  <c r="AO167" i="7"/>
  <c r="AP167" i="7" a="1"/>
  <c r="AP167" i="7"/>
  <c r="AR167" i="7" a="1"/>
  <c r="AR167" i="7"/>
  <c r="AS167" i="7" a="1"/>
  <c r="AS167" i="7"/>
  <c r="AT167" i="7" a="1"/>
  <c r="AT167" i="7"/>
  <c r="AU167" i="7" a="1"/>
  <c r="AU167" i="7"/>
  <c r="AV167" i="7" a="1"/>
  <c r="AV167" i="7"/>
  <c r="AX167" i="7" a="1"/>
  <c r="AX167" i="7"/>
  <c r="AY167" i="7" a="1"/>
  <c r="AY167" i="7"/>
  <c r="AO166" i="7" a="1"/>
  <c r="AO166" i="7"/>
  <c r="AP166" i="7" a="1"/>
  <c r="AP166" i="7"/>
  <c r="AR166" i="7" a="1"/>
  <c r="AR166" i="7"/>
  <c r="AS166" i="7" a="1"/>
  <c r="AS166" i="7"/>
  <c r="AT166" i="7" a="1"/>
  <c r="AT166" i="7"/>
  <c r="AU166" i="7" a="1"/>
  <c r="AU166" i="7"/>
  <c r="AV166" i="7" a="1"/>
  <c r="AV166" i="7"/>
  <c r="AX166" i="7" a="1"/>
  <c r="AX166" i="7"/>
  <c r="AY166" i="7" a="1"/>
  <c r="AY166" i="7"/>
  <c r="AO165" i="7" a="1"/>
  <c r="AO165" i="7"/>
  <c r="AP165" i="7" a="1"/>
  <c r="AP165" i="7"/>
  <c r="AR165" i="7" a="1"/>
  <c r="AR165" i="7"/>
  <c r="AS165" i="7" a="1"/>
  <c r="AS165" i="7"/>
  <c r="AT165" i="7" a="1"/>
  <c r="AT165" i="7"/>
  <c r="AU165" i="7" a="1"/>
  <c r="AU165" i="7"/>
  <c r="AV165" i="7" a="1"/>
  <c r="AV165" i="7"/>
  <c r="AX165" i="7" a="1"/>
  <c r="AX165" i="7"/>
  <c r="AY165" i="7" a="1"/>
  <c r="AY165" i="7"/>
  <c r="AO164" i="7" a="1"/>
  <c r="AO164" i="7"/>
  <c r="AP164" i="7" a="1"/>
  <c r="AP164" i="7"/>
  <c r="AR164" i="7" a="1"/>
  <c r="AR164" i="7"/>
  <c r="AS164" i="7" a="1"/>
  <c r="AS164" i="7"/>
  <c r="AT164" i="7" a="1"/>
  <c r="AT164" i="7"/>
  <c r="AU164" i="7" a="1"/>
  <c r="AU164" i="7"/>
  <c r="AV164" i="7" a="1"/>
  <c r="AV164" i="7"/>
  <c r="AX164" i="7" a="1"/>
  <c r="AX164" i="7"/>
  <c r="AY164" i="7" a="1"/>
  <c r="AY164" i="7"/>
  <c r="AO163" i="7" a="1"/>
  <c r="AO163" i="7"/>
  <c r="AP163" i="7" a="1"/>
  <c r="AP163" i="7"/>
  <c r="AR163" i="7" a="1"/>
  <c r="AR163" i="7"/>
  <c r="AS163" i="7" a="1"/>
  <c r="AS163" i="7"/>
  <c r="AT163" i="7" a="1"/>
  <c r="AT163" i="7"/>
  <c r="AU163" i="7" a="1"/>
  <c r="AU163" i="7"/>
  <c r="AV163" i="7" a="1"/>
  <c r="AV163" i="7"/>
  <c r="AX163" i="7" a="1"/>
  <c r="AX163" i="7"/>
  <c r="AY163" i="7" a="1"/>
  <c r="AY163" i="7"/>
  <c r="AO162" i="7" a="1"/>
  <c r="AO162" i="7"/>
  <c r="AP162" i="7" a="1"/>
  <c r="AP162" i="7"/>
  <c r="AR162" i="7" a="1"/>
  <c r="AR162" i="7"/>
  <c r="AS162" i="7" a="1"/>
  <c r="AS162" i="7"/>
  <c r="AT162" i="7" a="1"/>
  <c r="AT162" i="7"/>
  <c r="AU162" i="7" a="1"/>
  <c r="AU162" i="7"/>
  <c r="AV162" i="7" a="1"/>
  <c r="AV162" i="7"/>
  <c r="AX162" i="7" a="1"/>
  <c r="AX162" i="7"/>
  <c r="AY162" i="7" a="1"/>
  <c r="AY162" i="7"/>
  <c r="AO161" i="7" a="1"/>
  <c r="AO161" i="7"/>
  <c r="AP161" i="7" a="1"/>
  <c r="AP161" i="7"/>
  <c r="AR161" i="7" a="1"/>
  <c r="AR161" i="7"/>
  <c r="AS161" i="7" a="1"/>
  <c r="AS161" i="7"/>
  <c r="AT161" i="7" a="1"/>
  <c r="AT161" i="7"/>
  <c r="AU161" i="7" a="1"/>
  <c r="AU161" i="7"/>
  <c r="AV161" i="7" a="1"/>
  <c r="AV161" i="7"/>
  <c r="AX161" i="7" a="1"/>
  <c r="AX161" i="7"/>
  <c r="AY161" i="7" a="1"/>
  <c r="AY161" i="7"/>
  <c r="AO160" i="7" a="1"/>
  <c r="AO160" i="7"/>
  <c r="AP160" i="7" a="1"/>
  <c r="AP160" i="7"/>
  <c r="AR160" i="7" a="1"/>
  <c r="AR160" i="7"/>
  <c r="AS160" i="7" a="1"/>
  <c r="AS160" i="7"/>
  <c r="AT160" i="7" a="1"/>
  <c r="AT160" i="7"/>
  <c r="AU160" i="7" a="1"/>
  <c r="AU160" i="7"/>
  <c r="AV160" i="7" a="1"/>
  <c r="AV160" i="7"/>
  <c r="AX160" i="7" a="1"/>
  <c r="AX160" i="7"/>
  <c r="AY160" i="7" a="1"/>
  <c r="AY160" i="7"/>
  <c r="G30" i="19"/>
  <c r="H30" i="19"/>
  <c r="I30" i="19"/>
  <c r="J30" i="19"/>
  <c r="K30" i="19"/>
  <c r="L30" i="19"/>
  <c r="N30" i="19"/>
  <c r="O30" i="19"/>
  <c r="P30" i="19"/>
  <c r="Q30" i="19"/>
  <c r="T30" i="19"/>
  <c r="U30" i="19"/>
  <c r="V30" i="19"/>
  <c r="F30" i="19"/>
  <c r="E30" i="19"/>
  <c r="D30" i="19"/>
  <c r="C30" i="19"/>
  <c r="G31" i="19"/>
  <c r="H31" i="19"/>
  <c r="I31" i="19"/>
  <c r="J31" i="19"/>
  <c r="K31" i="19"/>
  <c r="L31" i="19"/>
  <c r="N31" i="19"/>
  <c r="O31" i="19"/>
  <c r="P31" i="19"/>
  <c r="Q31" i="19"/>
  <c r="T31" i="19"/>
  <c r="U31" i="19"/>
  <c r="V31" i="19"/>
  <c r="F31" i="19"/>
  <c r="E31" i="19"/>
  <c r="D31" i="19"/>
  <c r="C31" i="19"/>
  <c r="D255" i="20"/>
  <c r="E255" i="20"/>
  <c r="F255" i="20"/>
  <c r="G255" i="20"/>
  <c r="H255" i="20"/>
  <c r="J255" i="20"/>
  <c r="L255" i="20"/>
  <c r="M255" i="20"/>
  <c r="D254" i="20"/>
  <c r="E254" i="20"/>
  <c r="F254" i="20"/>
  <c r="G254" i="20"/>
  <c r="H254" i="20"/>
  <c r="J254" i="20"/>
  <c r="L254" i="20"/>
  <c r="M254" i="20"/>
  <c r="D253" i="20"/>
  <c r="E253" i="20"/>
  <c r="F253" i="20"/>
  <c r="G253" i="20"/>
  <c r="H253" i="20"/>
  <c r="J253" i="20"/>
  <c r="L253" i="20"/>
  <c r="M253" i="20"/>
  <c r="D252" i="20"/>
  <c r="E252" i="20"/>
  <c r="F252" i="20"/>
  <c r="G252" i="20"/>
  <c r="H252" i="20"/>
  <c r="J252" i="20"/>
  <c r="L252" i="20"/>
  <c r="M252" i="20"/>
  <c r="D251" i="20"/>
  <c r="E251" i="20"/>
  <c r="F251" i="20"/>
  <c r="G251" i="20"/>
  <c r="H251" i="20"/>
  <c r="J251" i="20"/>
  <c r="L251" i="20"/>
  <c r="M251" i="20"/>
  <c r="D250" i="20"/>
  <c r="E250" i="20"/>
  <c r="F250" i="20"/>
  <c r="G250" i="20"/>
  <c r="H250" i="20"/>
  <c r="J250" i="20"/>
  <c r="L250" i="20"/>
  <c r="M250" i="20"/>
  <c r="D249" i="20"/>
  <c r="E249" i="20"/>
  <c r="F249" i="20"/>
  <c r="G249" i="20"/>
  <c r="H249" i="20"/>
  <c r="J249" i="20"/>
  <c r="L249" i="20"/>
  <c r="M249" i="20"/>
  <c r="D248" i="20"/>
  <c r="E248" i="20"/>
  <c r="F248" i="20"/>
  <c r="G248" i="20"/>
  <c r="H248" i="20"/>
  <c r="J248" i="20"/>
  <c r="L248" i="20"/>
  <c r="M248" i="20"/>
  <c r="D247" i="20"/>
  <c r="E247" i="20"/>
  <c r="F247" i="20"/>
  <c r="G247" i="20"/>
  <c r="H247" i="20"/>
  <c r="J247" i="20"/>
  <c r="L247" i="20"/>
  <c r="M247" i="20"/>
  <c r="D246" i="20"/>
  <c r="E246" i="20"/>
  <c r="F246" i="20"/>
  <c r="G246" i="20"/>
  <c r="H246" i="20"/>
  <c r="J246" i="20"/>
  <c r="L246" i="20"/>
  <c r="M246" i="20"/>
  <c r="D245" i="20"/>
  <c r="E245" i="20"/>
  <c r="F245" i="20"/>
  <c r="G245" i="20"/>
  <c r="H245" i="20"/>
  <c r="J245" i="20"/>
  <c r="L245" i="20"/>
  <c r="M245" i="20"/>
  <c r="D244" i="20"/>
  <c r="E244" i="20"/>
  <c r="F244" i="20"/>
  <c r="G244" i="20"/>
  <c r="H244" i="20"/>
  <c r="J244" i="20"/>
  <c r="L244" i="20"/>
  <c r="M244" i="20"/>
  <c r="D243" i="20"/>
  <c r="E243" i="20"/>
  <c r="F243" i="20"/>
  <c r="G243" i="20"/>
  <c r="H243" i="20"/>
  <c r="J243" i="20"/>
  <c r="L243" i="20"/>
  <c r="M243" i="20"/>
  <c r="D242" i="20"/>
  <c r="E242" i="20"/>
  <c r="F242" i="20"/>
  <c r="G242" i="20"/>
  <c r="H242" i="20"/>
  <c r="J242" i="20"/>
  <c r="L242" i="20"/>
  <c r="M242" i="20"/>
  <c r="D241" i="20"/>
  <c r="E241" i="20"/>
  <c r="F241" i="20"/>
  <c r="G241" i="20"/>
  <c r="H241" i="20"/>
  <c r="J241" i="20"/>
  <c r="L241" i="20"/>
  <c r="M241" i="20"/>
  <c r="D240" i="20"/>
  <c r="E240" i="20"/>
  <c r="F240" i="20"/>
  <c r="G240" i="20"/>
  <c r="H240" i="20"/>
  <c r="J240" i="20"/>
  <c r="L240" i="20"/>
  <c r="M240" i="20"/>
  <c r="D239" i="20"/>
  <c r="E239" i="20"/>
  <c r="F239" i="20"/>
  <c r="G239" i="20"/>
  <c r="H239" i="20"/>
  <c r="J239" i="20"/>
  <c r="L239" i="20"/>
  <c r="M239" i="20"/>
  <c r="A238" i="20"/>
  <c r="B31" i="19"/>
  <c r="B30" i="19"/>
  <c r="D184" i="20"/>
  <c r="E184" i="20"/>
  <c r="F184" i="20"/>
  <c r="G184" i="20"/>
  <c r="H184" i="20"/>
  <c r="J184" i="20"/>
  <c r="L184" i="20"/>
  <c r="M184" i="20"/>
  <c r="A558" i="5"/>
  <c r="A546" i="5"/>
  <c r="A167" i="17" a="1"/>
  <c r="A167" i="17"/>
  <c r="A166" i="17" a="1"/>
  <c r="A166" i="17"/>
  <c r="A165" i="17" a="1"/>
  <c r="A165" i="17"/>
  <c r="A164" i="17" a="1"/>
  <c r="A164" i="17"/>
  <c r="A163" i="17" a="1"/>
  <c r="A163" i="17"/>
  <c r="A162" i="17" a="1"/>
  <c r="A162" i="17"/>
  <c r="A161" i="17" a="1"/>
  <c r="A161" i="17"/>
  <c r="A160" i="17" a="1"/>
  <c r="A160" i="17"/>
  <c r="A159" i="17" a="1"/>
  <c r="A159" i="17"/>
  <c r="CK6" i="7"/>
  <c r="CK7" i="7"/>
  <c r="CK8" i="7"/>
  <c r="CK9" i="7"/>
  <c r="CK10" i="7"/>
  <c r="CK11" i="7"/>
  <c r="CK12" i="7"/>
  <c r="CK13" i="7"/>
  <c r="CK14" i="7"/>
  <c r="AE185" i="20"/>
  <c r="AD185" i="20"/>
  <c r="AC185" i="20"/>
  <c r="AB185" i="20"/>
  <c r="AA185" i="20"/>
  <c r="Z185" i="20"/>
  <c r="Y185" i="20"/>
  <c r="X185" i="20"/>
  <c r="W185" i="20"/>
  <c r="V185" i="20"/>
  <c r="U185" i="20"/>
  <c r="T185" i="20"/>
  <c r="S185" i="20"/>
  <c r="R185" i="20"/>
  <c r="Q185" i="20"/>
  <c r="P185" i="20"/>
  <c r="O185" i="20"/>
  <c r="N185" i="20"/>
  <c r="K185" i="20"/>
  <c r="I185" i="20"/>
  <c r="D185" i="20"/>
  <c r="E185" i="20"/>
  <c r="F185" i="20"/>
  <c r="G185" i="20"/>
  <c r="H185" i="20"/>
  <c r="J185" i="20"/>
  <c r="L185" i="20"/>
  <c r="M185" i="20"/>
  <c r="AE238" i="20"/>
  <c r="AD238" i="20"/>
  <c r="AC238" i="20"/>
  <c r="AB238" i="20"/>
  <c r="AA238" i="20"/>
  <c r="Z238" i="20"/>
  <c r="Y238" i="20"/>
  <c r="X238" i="20"/>
  <c r="W238" i="20"/>
  <c r="V238" i="20"/>
  <c r="U238" i="20"/>
  <c r="T238" i="20"/>
  <c r="S238" i="20"/>
  <c r="R238" i="20"/>
  <c r="Q238" i="20"/>
  <c r="P238" i="20"/>
  <c r="O238" i="20"/>
  <c r="N238" i="20"/>
  <c r="K238" i="20"/>
  <c r="I238" i="20"/>
  <c r="D238" i="20"/>
  <c r="E238" i="20"/>
  <c r="F238" i="20"/>
  <c r="G238" i="20"/>
  <c r="H238" i="20"/>
  <c r="J238" i="20"/>
  <c r="L238" i="20"/>
  <c r="M238" i="20"/>
  <c r="C159" i="17" a="1"/>
  <c r="C159" i="17"/>
  <c r="B548" i="5"/>
  <c r="N548" i="5"/>
  <c r="C160" i="17" a="1"/>
  <c r="C160" i="17"/>
  <c r="B549" i="5"/>
  <c r="N549" i="5"/>
  <c r="C161" i="17" a="1"/>
  <c r="C161" i="17"/>
  <c r="B550" i="5"/>
  <c r="N550" i="5"/>
  <c r="C162" i="17" a="1"/>
  <c r="C162" i="17"/>
  <c r="B551" i="5"/>
  <c r="N551" i="5"/>
  <c r="C163" i="17" a="1"/>
  <c r="C163" i="17"/>
  <c r="B552" i="5"/>
  <c r="N552" i="5"/>
  <c r="C164" i="17" a="1"/>
  <c r="C164" i="17"/>
  <c r="B553" i="5"/>
  <c r="N553" i="5"/>
  <c r="C165" i="17" a="1"/>
  <c r="C165" i="17"/>
  <c r="B554" i="5"/>
  <c r="N554" i="5"/>
  <c r="C166" i="17" a="1"/>
  <c r="C166" i="17"/>
  <c r="B555" i="5"/>
  <c r="N555" i="5"/>
  <c r="C167" i="17" a="1"/>
  <c r="C167" i="17"/>
  <c r="B556" i="5"/>
  <c r="N556" i="5"/>
  <c r="U202" i="7"/>
  <c r="B202" i="20"/>
  <c r="U203" i="7"/>
  <c r="B203" i="20"/>
  <c r="U204" i="7"/>
  <c r="B204" i="20"/>
  <c r="U205" i="7"/>
  <c r="B205" i="20"/>
  <c r="U206" i="7"/>
  <c r="B206" i="20"/>
  <c r="U207" i="7"/>
  <c r="B207" i="20"/>
  <c r="U209" i="7"/>
  <c r="B209" i="20"/>
  <c r="U210" i="7"/>
  <c r="B210" i="20"/>
  <c r="CM5" i="7"/>
  <c r="U208" i="7"/>
  <c r="B208" i="20"/>
  <c r="X556" i="5"/>
  <c r="AH210" i="7"/>
  <c r="W556" i="5"/>
  <c r="AG210" i="7"/>
  <c r="V556" i="5"/>
  <c r="AF210" i="7"/>
  <c r="U556" i="5"/>
  <c r="AE210" i="7"/>
  <c r="T556" i="5"/>
  <c r="AD210" i="7"/>
  <c r="S556" i="5"/>
  <c r="AC210" i="7"/>
  <c r="R556" i="5"/>
  <c r="AB210" i="7"/>
  <c r="Q556" i="5"/>
  <c r="AA210" i="7"/>
  <c r="P556" i="5"/>
  <c r="Z210" i="7"/>
  <c r="O556" i="5"/>
  <c r="Y210" i="7"/>
  <c r="X210" i="7"/>
  <c r="M556" i="5"/>
  <c r="W210" i="7"/>
  <c r="X555" i="5"/>
  <c r="AH209" i="7"/>
  <c r="W555" i="5"/>
  <c r="AG209" i="7"/>
  <c r="V555" i="5"/>
  <c r="AF209" i="7"/>
  <c r="U555" i="5"/>
  <c r="AE209" i="7"/>
  <c r="T555" i="5"/>
  <c r="AD209" i="7"/>
  <c r="S555" i="5"/>
  <c r="AC209" i="7"/>
  <c r="R555" i="5"/>
  <c r="AB209" i="7"/>
  <c r="Q555" i="5"/>
  <c r="AA209" i="7"/>
  <c r="P555" i="5"/>
  <c r="Z209" i="7"/>
  <c r="O555" i="5"/>
  <c r="Y209" i="7"/>
  <c r="X209" i="7"/>
  <c r="M555" i="5"/>
  <c r="W209" i="7"/>
  <c r="X554" i="5"/>
  <c r="AH208" i="7"/>
  <c r="W554" i="5"/>
  <c r="AG208" i="7"/>
  <c r="V554" i="5"/>
  <c r="AF208" i="7"/>
  <c r="U554" i="5"/>
  <c r="AE208" i="7"/>
  <c r="T554" i="5"/>
  <c r="AD208" i="7"/>
  <c r="S554" i="5"/>
  <c r="AC208" i="7"/>
  <c r="R554" i="5"/>
  <c r="AB208" i="7"/>
  <c r="Q554" i="5"/>
  <c r="AA208" i="7"/>
  <c r="P554" i="5"/>
  <c r="Z208" i="7"/>
  <c r="O554" i="5"/>
  <c r="Y208" i="7"/>
  <c r="X208" i="7"/>
  <c r="M554" i="5"/>
  <c r="W208" i="7"/>
  <c r="X553" i="5"/>
  <c r="AH207" i="7"/>
  <c r="W553" i="5"/>
  <c r="AG207" i="7"/>
  <c r="V553" i="5"/>
  <c r="AF207" i="7"/>
  <c r="U553" i="5"/>
  <c r="AE207" i="7"/>
  <c r="T553" i="5"/>
  <c r="AD207" i="7"/>
  <c r="S553" i="5"/>
  <c r="AC207" i="7"/>
  <c r="R553" i="5"/>
  <c r="AB207" i="7"/>
  <c r="Q553" i="5"/>
  <c r="AA207" i="7"/>
  <c r="P553" i="5"/>
  <c r="Z207" i="7"/>
  <c r="O553" i="5"/>
  <c r="Y207" i="7"/>
  <c r="X207" i="7"/>
  <c r="M553" i="5"/>
  <c r="W207" i="7"/>
  <c r="X552" i="5"/>
  <c r="AH206" i="7"/>
  <c r="W552" i="5"/>
  <c r="AG206" i="7"/>
  <c r="V552" i="5"/>
  <c r="AF206" i="7"/>
  <c r="U552" i="5"/>
  <c r="AE206" i="7"/>
  <c r="T552" i="5"/>
  <c r="AD206" i="7"/>
  <c r="S552" i="5"/>
  <c r="AC206" i="7"/>
  <c r="R552" i="5"/>
  <c r="AB206" i="7"/>
  <c r="Q552" i="5"/>
  <c r="AA206" i="7"/>
  <c r="P552" i="5"/>
  <c r="Z206" i="7"/>
  <c r="O552" i="5"/>
  <c r="Y206" i="7"/>
  <c r="X206" i="7"/>
  <c r="M552" i="5"/>
  <c r="W206" i="7"/>
  <c r="X551" i="5"/>
  <c r="AH205" i="7"/>
  <c r="W551" i="5"/>
  <c r="AG205" i="7"/>
  <c r="V551" i="5"/>
  <c r="AF205" i="7"/>
  <c r="U551" i="5"/>
  <c r="AE205" i="7"/>
  <c r="T551" i="5"/>
  <c r="AD205" i="7"/>
  <c r="S551" i="5"/>
  <c r="AC205" i="7"/>
  <c r="R551" i="5"/>
  <c r="AB205" i="7"/>
  <c r="Q551" i="5"/>
  <c r="AA205" i="7"/>
  <c r="P551" i="5"/>
  <c r="Z205" i="7"/>
  <c r="O551" i="5"/>
  <c r="Y205" i="7"/>
  <c r="X205" i="7"/>
  <c r="M551" i="5"/>
  <c r="W205" i="7"/>
  <c r="X550" i="5"/>
  <c r="AH204" i="7"/>
  <c r="W550" i="5"/>
  <c r="AG204" i="7"/>
  <c r="V550" i="5"/>
  <c r="AF204" i="7"/>
  <c r="U550" i="5"/>
  <c r="AE204" i="7"/>
  <c r="T550" i="5"/>
  <c r="AD204" i="7"/>
  <c r="S550" i="5"/>
  <c r="AC204" i="7"/>
  <c r="R550" i="5"/>
  <c r="AB204" i="7"/>
  <c r="Q550" i="5"/>
  <c r="AA204" i="7"/>
  <c r="P550" i="5"/>
  <c r="Z204" i="7"/>
  <c r="O550" i="5"/>
  <c r="Y204" i="7"/>
  <c r="X204" i="7"/>
  <c r="M550" i="5"/>
  <c r="W204" i="7"/>
  <c r="X549" i="5"/>
  <c r="AH203" i="7"/>
  <c r="W549" i="5"/>
  <c r="AG203" i="7"/>
  <c r="V549" i="5"/>
  <c r="AF203" i="7"/>
  <c r="U549" i="5"/>
  <c r="AE203" i="7"/>
  <c r="T549" i="5"/>
  <c r="AD203" i="7"/>
  <c r="S549" i="5"/>
  <c r="AC203" i="7"/>
  <c r="R549" i="5"/>
  <c r="AB203" i="7"/>
  <c r="Q549" i="5"/>
  <c r="AA203" i="7"/>
  <c r="P549" i="5"/>
  <c r="Z203" i="7"/>
  <c r="O549" i="5"/>
  <c r="Y203" i="7"/>
  <c r="X203" i="7"/>
  <c r="M549" i="5"/>
  <c r="W203" i="7"/>
  <c r="X548" i="5"/>
  <c r="AH202" i="7"/>
  <c r="W548" i="5"/>
  <c r="AG202" i="7"/>
  <c r="V548" i="5"/>
  <c r="AF202" i="7"/>
  <c r="U548" i="5"/>
  <c r="AE202" i="7"/>
  <c r="T548" i="5"/>
  <c r="AD202" i="7"/>
  <c r="S548" i="5"/>
  <c r="AC202" i="7"/>
  <c r="R548" i="5"/>
  <c r="AB202" i="7"/>
  <c r="Q548" i="5"/>
  <c r="AA202" i="7"/>
  <c r="P548" i="5"/>
  <c r="Z202" i="7"/>
  <c r="O548" i="5"/>
  <c r="L543" i="5"/>
  <c r="X202" i="7"/>
  <c r="M548" i="5"/>
  <c r="W202" i="7"/>
  <c r="I18" i="7"/>
  <c r="H18" i="7"/>
  <c r="AL172" i="7"/>
  <c r="AL173" i="7"/>
  <c r="AL174" i="7"/>
  <c r="AL175" i="7"/>
  <c r="AL176" i="7"/>
  <c r="AL177" i="7"/>
  <c r="AL178" i="7"/>
  <c r="AL179" i="7"/>
  <c r="AL180" i="7"/>
  <c r="AL181" i="7"/>
  <c r="AL182" i="7"/>
  <c r="AL183" i="7"/>
  <c r="AK172" i="7"/>
  <c r="AJ172" i="7"/>
  <c r="AK173" i="7"/>
  <c r="AJ173" i="7"/>
  <c r="AK174" i="7"/>
  <c r="AJ174" i="7"/>
  <c r="AK175" i="7"/>
  <c r="AJ175" i="7"/>
  <c r="AK176" i="7"/>
  <c r="AJ176" i="7"/>
  <c r="AK177" i="7"/>
  <c r="AJ177" i="7"/>
  <c r="AK178" i="7"/>
  <c r="AJ178" i="7"/>
  <c r="AK179" i="7"/>
  <c r="AJ179" i="7"/>
  <c r="AK180" i="7"/>
  <c r="AJ180" i="7"/>
  <c r="AK181" i="7"/>
  <c r="AJ181" i="7"/>
  <c r="AK182" i="7"/>
  <c r="AJ182" i="7"/>
  <c r="AK183" i="7"/>
  <c r="AJ183" i="7"/>
  <c r="T256" i="7"/>
  <c r="T257" i="7"/>
  <c r="A257" i="20"/>
  <c r="T258" i="7"/>
  <c r="A258" i="20"/>
  <c r="T259" i="7"/>
  <c r="A259" i="20"/>
  <c r="T260" i="7"/>
  <c r="A260" i="20"/>
  <c r="T261" i="7"/>
  <c r="A261" i="20"/>
  <c r="T262" i="7"/>
  <c r="A262" i="20"/>
  <c r="T263" i="7"/>
  <c r="A263" i="20"/>
  <c r="T264" i="7"/>
  <c r="A264" i="20"/>
  <c r="T265" i="7"/>
  <c r="A265" i="20"/>
  <c r="T266" i="7"/>
  <c r="A266" i="20"/>
  <c r="T267" i="7"/>
  <c r="A267" i="20"/>
  <c r="T268" i="7"/>
  <c r="A268" i="20"/>
  <c r="T269" i="7"/>
  <c r="A269" i="20"/>
  <c r="T270" i="7"/>
  <c r="A270" i="20"/>
  <c r="T271" i="7"/>
  <c r="A271" i="20"/>
  <c r="T272" i="7"/>
  <c r="A272" i="20"/>
  <c r="T273" i="7"/>
  <c r="A273" i="20"/>
  <c r="S256" i="7"/>
  <c r="S257" i="7"/>
  <c r="C257" i="20"/>
  <c r="S258" i="7"/>
  <c r="C258" i="20"/>
  <c r="S259" i="7"/>
  <c r="C259" i="20"/>
  <c r="S260" i="7"/>
  <c r="C260" i="20"/>
  <c r="S261" i="7"/>
  <c r="C261" i="20"/>
  <c r="S262" i="7"/>
  <c r="C262" i="20"/>
  <c r="S263" i="7"/>
  <c r="C263" i="20"/>
  <c r="S264" i="7"/>
  <c r="C264" i="20"/>
  <c r="S265" i="7"/>
  <c r="C265" i="20"/>
  <c r="S266" i="7"/>
  <c r="C266" i="20"/>
  <c r="S267" i="7"/>
  <c r="C267" i="20"/>
  <c r="S268" i="7"/>
  <c r="C268" i="20"/>
  <c r="S269" i="7"/>
  <c r="C269" i="20"/>
  <c r="S270" i="7"/>
  <c r="C270" i="20"/>
  <c r="S271" i="7"/>
  <c r="C271" i="20"/>
  <c r="S272" i="7"/>
  <c r="C272" i="20"/>
  <c r="S273" i="7"/>
  <c r="C273" i="20"/>
  <c r="M18" i="7"/>
  <c r="L18" i="7"/>
  <c r="K18" i="7"/>
  <c r="A33" i="19"/>
  <c r="J18" i="7"/>
  <c r="A32" i="19"/>
  <c r="CL5" i="7"/>
  <c r="CM6" i="7"/>
  <c r="CM7" i="7"/>
  <c r="CM8" i="7"/>
  <c r="CM9" i="7"/>
  <c r="CM10" i="7"/>
  <c r="CM11" i="7"/>
  <c r="CM12" i="7"/>
  <c r="CM13" i="7"/>
  <c r="CM14" i="7"/>
  <c r="AF8" i="19"/>
  <c r="AE8" i="19"/>
  <c r="AD8" i="19"/>
  <c r="AC8" i="19"/>
  <c r="AB8" i="19"/>
  <c r="AA8" i="19"/>
  <c r="Z8" i="19"/>
  <c r="Y8" i="19"/>
  <c r="X8" i="19"/>
  <c r="W8" i="19"/>
  <c r="AI8" i="19"/>
  <c r="AG8" i="19"/>
  <c r="AI9" i="19"/>
  <c r="AG9" i="19"/>
  <c r="AA131" i="9" a="1"/>
  <c r="AA131" i="9"/>
  <c r="AA86" i="9" a="1"/>
  <c r="AA86" i="9"/>
  <c r="AA120" i="9" a="1"/>
  <c r="AA120" i="9"/>
  <c r="AA113" i="9" a="1"/>
  <c r="AA113" i="9"/>
  <c r="AA121" i="9" a="1"/>
  <c r="AA121" i="9"/>
  <c r="AA112" i="9" a="1"/>
  <c r="AA112" i="9"/>
  <c r="AA90" i="9" a="1"/>
  <c r="AA90" i="9"/>
  <c r="AA103" i="9" a="1"/>
  <c r="AA103" i="9"/>
  <c r="AA110" i="9" a="1"/>
  <c r="AA110" i="9"/>
  <c r="AA106" i="9" a="1"/>
  <c r="AA106" i="9"/>
  <c r="AA109" i="9" a="1"/>
  <c r="AA109" i="9"/>
  <c r="AA123" i="9" a="1"/>
  <c r="AA123" i="9"/>
  <c r="AA89" i="9" a="1"/>
  <c r="AA89" i="9"/>
  <c r="AA118" i="9" a="1"/>
  <c r="AA118" i="9"/>
  <c r="AA104" i="9" a="1"/>
  <c r="AA104" i="9"/>
  <c r="AA105" i="9" a="1"/>
  <c r="AA105" i="9"/>
  <c r="AA114" i="9" a="1"/>
  <c r="AA114" i="9"/>
  <c r="AA101" i="9" a="1"/>
  <c r="AA101" i="9"/>
  <c r="AA102" i="9" a="1"/>
  <c r="AA102" i="9"/>
  <c r="AA97" i="9" a="1"/>
  <c r="AA97" i="9"/>
  <c r="AA115" i="9" a="1"/>
  <c r="AA115" i="9"/>
  <c r="AA96" i="9" a="1"/>
  <c r="AA96" i="9"/>
  <c r="AA116" i="9" a="1"/>
  <c r="AA116" i="9"/>
  <c r="AA95" i="9" a="1"/>
  <c r="AA95" i="9"/>
  <c r="AA129" i="9" a="1"/>
  <c r="AA129" i="9"/>
  <c r="AA94" i="9" a="1"/>
  <c r="AA94" i="9"/>
  <c r="AA130" i="9" a="1"/>
  <c r="AA130" i="9"/>
  <c r="AA122" i="9" a="1"/>
  <c r="AA122" i="9"/>
  <c r="AA107" i="9" a="1"/>
  <c r="AA107" i="9"/>
  <c r="AA87" i="9" a="1"/>
  <c r="AA87" i="9"/>
  <c r="AA99" i="9" a="1"/>
  <c r="AA99" i="9"/>
  <c r="AA128" i="9" a="1"/>
  <c r="AA128" i="9"/>
  <c r="AA85" i="9" a="1"/>
  <c r="AA85" i="9"/>
  <c r="AA127" i="9" a="1"/>
  <c r="AA127" i="9"/>
  <c r="AA84" i="9" a="1"/>
  <c r="AA84" i="9"/>
  <c r="AA82" i="9" a="1"/>
  <c r="AA82" i="9"/>
  <c r="AA124" i="9" a="1"/>
  <c r="AA124" i="9"/>
  <c r="AA81" i="9" a="1"/>
  <c r="AA81" i="9"/>
  <c r="AA133" i="9" a="1"/>
  <c r="AA133" i="9"/>
  <c r="AA93" i="9" a="1"/>
  <c r="AA93" i="9"/>
  <c r="AA134" i="9" a="1"/>
  <c r="AA134" i="9"/>
  <c r="AA132" i="9" a="1"/>
  <c r="AA132" i="9"/>
  <c r="AA117" i="9" a="1"/>
  <c r="AA117" i="9"/>
  <c r="P18" i="7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AE273" i="20"/>
  <c r="AD273" i="20"/>
  <c r="AC273" i="20"/>
  <c r="AB273" i="20"/>
  <c r="AA273" i="20"/>
  <c r="Z273" i="20"/>
  <c r="Y273" i="20"/>
  <c r="X273" i="20"/>
  <c r="W273" i="20"/>
  <c r="V273" i="20"/>
  <c r="U273" i="20"/>
  <c r="T273" i="20"/>
  <c r="S273" i="20"/>
  <c r="R273" i="20"/>
  <c r="Q273" i="20"/>
  <c r="P273" i="20"/>
  <c r="O273" i="20"/>
  <c r="N273" i="20"/>
  <c r="AE272" i="20"/>
  <c r="AD272" i="20"/>
  <c r="AC272" i="20"/>
  <c r="AB272" i="20"/>
  <c r="AA272" i="20"/>
  <c r="Z272" i="20"/>
  <c r="Y272" i="20"/>
  <c r="X272" i="20"/>
  <c r="W272" i="20"/>
  <c r="V272" i="20"/>
  <c r="U272" i="20"/>
  <c r="T272" i="20"/>
  <c r="S272" i="20"/>
  <c r="R272" i="20"/>
  <c r="Q272" i="20"/>
  <c r="P272" i="20"/>
  <c r="O272" i="20"/>
  <c r="N272" i="20"/>
  <c r="AE271" i="20"/>
  <c r="AD271" i="20"/>
  <c r="AC271" i="20"/>
  <c r="AB271" i="20"/>
  <c r="AA271" i="20"/>
  <c r="Z271" i="20"/>
  <c r="Y271" i="20"/>
  <c r="X271" i="20"/>
  <c r="W271" i="20"/>
  <c r="V271" i="20"/>
  <c r="U271" i="20"/>
  <c r="T271" i="20"/>
  <c r="S271" i="20"/>
  <c r="R271" i="20"/>
  <c r="Q271" i="20"/>
  <c r="P271" i="20"/>
  <c r="O271" i="20"/>
  <c r="N271" i="20"/>
  <c r="AE270" i="20"/>
  <c r="AD270" i="20"/>
  <c r="AC270" i="20"/>
  <c r="AB270" i="20"/>
  <c r="AA270" i="20"/>
  <c r="Z270" i="20"/>
  <c r="Y270" i="20"/>
  <c r="X270" i="20"/>
  <c r="W270" i="20"/>
  <c r="V270" i="20"/>
  <c r="U270" i="20"/>
  <c r="T270" i="20"/>
  <c r="S270" i="20"/>
  <c r="R270" i="20"/>
  <c r="Q270" i="20"/>
  <c r="P270" i="20"/>
  <c r="O270" i="20"/>
  <c r="N270" i="20"/>
  <c r="AE269" i="20"/>
  <c r="AD269" i="20"/>
  <c r="AC269" i="20"/>
  <c r="AB269" i="20"/>
  <c r="AA269" i="20"/>
  <c r="Z269" i="20"/>
  <c r="Y269" i="20"/>
  <c r="X269" i="20"/>
  <c r="W269" i="20"/>
  <c r="V269" i="20"/>
  <c r="U269" i="20"/>
  <c r="T269" i="20"/>
  <c r="S269" i="20"/>
  <c r="R269" i="20"/>
  <c r="Q269" i="20"/>
  <c r="P269" i="20"/>
  <c r="O269" i="20"/>
  <c r="N269" i="20"/>
  <c r="AE268" i="20"/>
  <c r="AD268" i="20"/>
  <c r="AC268" i="20"/>
  <c r="AB268" i="20"/>
  <c r="AA268" i="20"/>
  <c r="Z268" i="20"/>
  <c r="Y268" i="20"/>
  <c r="X268" i="20"/>
  <c r="W268" i="20"/>
  <c r="V268" i="20"/>
  <c r="U268" i="20"/>
  <c r="T268" i="20"/>
  <c r="S268" i="20"/>
  <c r="R268" i="20"/>
  <c r="Q268" i="20"/>
  <c r="P268" i="20"/>
  <c r="O268" i="20"/>
  <c r="N268" i="20"/>
  <c r="AE267" i="20"/>
  <c r="AD267" i="20"/>
  <c r="AC267" i="20"/>
  <c r="AB267" i="20"/>
  <c r="AA267" i="20"/>
  <c r="Z267" i="20"/>
  <c r="Y267" i="20"/>
  <c r="X267" i="20"/>
  <c r="W267" i="20"/>
  <c r="V267" i="20"/>
  <c r="U267" i="20"/>
  <c r="T267" i="20"/>
  <c r="S267" i="20"/>
  <c r="R267" i="20"/>
  <c r="Q267" i="20"/>
  <c r="P267" i="20"/>
  <c r="O267" i="20"/>
  <c r="N267" i="20"/>
  <c r="AE266" i="20"/>
  <c r="AD266" i="20"/>
  <c r="AC266" i="20"/>
  <c r="AB266" i="20"/>
  <c r="AA266" i="20"/>
  <c r="Z266" i="20"/>
  <c r="Y266" i="20"/>
  <c r="X266" i="20"/>
  <c r="W266" i="20"/>
  <c r="V266" i="20"/>
  <c r="U266" i="20"/>
  <c r="T266" i="20"/>
  <c r="S266" i="20"/>
  <c r="R266" i="20"/>
  <c r="Q266" i="20"/>
  <c r="P266" i="20"/>
  <c r="O266" i="20"/>
  <c r="N266" i="20"/>
  <c r="AE265" i="20"/>
  <c r="AD265" i="20"/>
  <c r="AC265" i="20"/>
  <c r="AB265" i="20"/>
  <c r="AA265" i="20"/>
  <c r="Z265" i="20"/>
  <c r="Y265" i="20"/>
  <c r="X265" i="20"/>
  <c r="W265" i="20"/>
  <c r="V265" i="20"/>
  <c r="U265" i="20"/>
  <c r="T265" i="20"/>
  <c r="S265" i="20"/>
  <c r="R265" i="20"/>
  <c r="Q265" i="20"/>
  <c r="P265" i="20"/>
  <c r="O265" i="20"/>
  <c r="N265" i="20"/>
  <c r="AE264" i="20"/>
  <c r="AD264" i="20"/>
  <c r="AC264" i="20"/>
  <c r="AB264" i="20"/>
  <c r="AA264" i="20"/>
  <c r="Z264" i="20"/>
  <c r="Y264" i="20"/>
  <c r="X264" i="20"/>
  <c r="W264" i="20"/>
  <c r="V264" i="20"/>
  <c r="U264" i="20"/>
  <c r="T264" i="20"/>
  <c r="S264" i="20"/>
  <c r="R264" i="20"/>
  <c r="Q264" i="20"/>
  <c r="P264" i="20"/>
  <c r="O264" i="20"/>
  <c r="N264" i="20"/>
  <c r="AE263" i="20"/>
  <c r="AD263" i="20"/>
  <c r="AC263" i="20"/>
  <c r="AB263" i="20"/>
  <c r="AA263" i="20"/>
  <c r="Z263" i="20"/>
  <c r="Y263" i="20"/>
  <c r="X263" i="20"/>
  <c r="W263" i="20"/>
  <c r="V263" i="20"/>
  <c r="U263" i="20"/>
  <c r="T263" i="20"/>
  <c r="S263" i="20"/>
  <c r="R263" i="20"/>
  <c r="Q263" i="20"/>
  <c r="P263" i="20"/>
  <c r="O263" i="20"/>
  <c r="N263" i="20"/>
  <c r="AE262" i="20"/>
  <c r="AD262" i="20"/>
  <c r="AC262" i="20"/>
  <c r="AB262" i="20"/>
  <c r="AA262" i="20"/>
  <c r="Z262" i="20"/>
  <c r="Y262" i="20"/>
  <c r="X262" i="20"/>
  <c r="W262" i="20"/>
  <c r="V262" i="20"/>
  <c r="U262" i="20"/>
  <c r="T262" i="20"/>
  <c r="S262" i="20"/>
  <c r="R262" i="20"/>
  <c r="Q262" i="20"/>
  <c r="P262" i="20"/>
  <c r="O262" i="20"/>
  <c r="N262" i="20"/>
  <c r="AE261" i="20"/>
  <c r="AD261" i="20"/>
  <c r="AC261" i="20"/>
  <c r="AB261" i="20"/>
  <c r="AA261" i="20"/>
  <c r="Z261" i="20"/>
  <c r="Y261" i="20"/>
  <c r="X261" i="20"/>
  <c r="W261" i="20"/>
  <c r="V261" i="20"/>
  <c r="U261" i="20"/>
  <c r="T261" i="20"/>
  <c r="S261" i="20"/>
  <c r="R261" i="20"/>
  <c r="Q261" i="20"/>
  <c r="P261" i="20"/>
  <c r="O261" i="20"/>
  <c r="N261" i="20"/>
  <c r="AE260" i="20"/>
  <c r="AD260" i="20"/>
  <c r="AC260" i="20"/>
  <c r="AB260" i="20"/>
  <c r="AA260" i="20"/>
  <c r="Z260" i="20"/>
  <c r="Y260" i="20"/>
  <c r="X260" i="20"/>
  <c r="W260" i="20"/>
  <c r="V260" i="20"/>
  <c r="U260" i="20"/>
  <c r="T260" i="20"/>
  <c r="S260" i="20"/>
  <c r="R260" i="20"/>
  <c r="Q260" i="20"/>
  <c r="P260" i="20"/>
  <c r="O260" i="20"/>
  <c r="N260" i="20"/>
  <c r="AE259" i="20"/>
  <c r="AD259" i="20"/>
  <c r="AC259" i="20"/>
  <c r="AB259" i="20"/>
  <c r="AA259" i="20"/>
  <c r="Z259" i="20"/>
  <c r="Y259" i="20"/>
  <c r="X259" i="20"/>
  <c r="W259" i="20"/>
  <c r="V259" i="20"/>
  <c r="U259" i="20"/>
  <c r="T259" i="20"/>
  <c r="S259" i="20"/>
  <c r="R259" i="20"/>
  <c r="Q259" i="20"/>
  <c r="P259" i="20"/>
  <c r="O259" i="20"/>
  <c r="N259" i="20"/>
  <c r="AE258" i="20"/>
  <c r="AD258" i="20"/>
  <c r="AC258" i="20"/>
  <c r="AB258" i="20"/>
  <c r="AA258" i="20"/>
  <c r="Z258" i="20"/>
  <c r="Y258" i="20"/>
  <c r="X258" i="20"/>
  <c r="W258" i="20"/>
  <c r="V258" i="20"/>
  <c r="U258" i="20"/>
  <c r="T258" i="20"/>
  <c r="S258" i="20"/>
  <c r="R258" i="20"/>
  <c r="Q258" i="20"/>
  <c r="P258" i="20"/>
  <c r="O258" i="20"/>
  <c r="N258" i="20"/>
  <c r="AE257" i="20"/>
  <c r="AD257" i="20"/>
  <c r="AC257" i="20"/>
  <c r="AB257" i="20"/>
  <c r="AA257" i="20"/>
  <c r="Z257" i="20"/>
  <c r="Y257" i="20"/>
  <c r="X257" i="20"/>
  <c r="W257" i="20"/>
  <c r="V257" i="20"/>
  <c r="U257" i="20"/>
  <c r="T257" i="20"/>
  <c r="S257" i="20"/>
  <c r="R257" i="20"/>
  <c r="Q257" i="20"/>
  <c r="P257" i="20"/>
  <c r="O257" i="20"/>
  <c r="N257" i="20"/>
  <c r="AF6" i="19"/>
  <c r="AE6" i="19"/>
  <c r="AD6" i="19"/>
  <c r="AC6" i="19"/>
  <c r="AB6" i="19"/>
  <c r="Y6" i="19"/>
  <c r="X6" i="19"/>
  <c r="W6" i="19"/>
  <c r="AA6" i="19"/>
  <c r="Z6" i="19"/>
  <c r="AF7" i="19"/>
  <c r="AE7" i="19"/>
  <c r="AD7" i="19"/>
  <c r="AC7" i="19"/>
  <c r="AB7" i="19"/>
  <c r="Y7" i="19"/>
  <c r="X7" i="19"/>
  <c r="W7" i="19"/>
  <c r="AF5" i="19"/>
  <c r="AE5" i="19"/>
  <c r="AD5" i="19"/>
  <c r="AC5" i="19"/>
  <c r="AB5" i="19"/>
  <c r="AA5" i="19"/>
  <c r="Z5" i="19"/>
  <c r="Y5" i="19"/>
  <c r="X5" i="19"/>
  <c r="W5" i="19"/>
  <c r="AA7" i="19"/>
  <c r="Z7" i="19"/>
  <c r="AF4" i="19"/>
  <c r="AE4" i="19"/>
  <c r="AD4" i="19"/>
  <c r="AC4" i="19"/>
  <c r="AB4" i="19"/>
  <c r="AA4" i="19"/>
  <c r="Z4" i="19"/>
  <c r="Y4" i="19"/>
  <c r="X4" i="19"/>
  <c r="W4" i="19"/>
  <c r="U18" i="20"/>
  <c r="V149" i="18"/>
  <c r="T18" i="20"/>
  <c r="U149" i="18"/>
  <c r="S18" i="20"/>
  <c r="T149" i="18"/>
  <c r="R18" i="20"/>
  <c r="S149" i="18"/>
  <c r="Q18" i="20"/>
  <c r="R149" i="18"/>
  <c r="P18" i="20"/>
  <c r="Q149" i="18"/>
  <c r="O18" i="20"/>
  <c r="P149" i="18"/>
  <c r="N18" i="20"/>
  <c r="O149" i="18"/>
  <c r="U16" i="20"/>
  <c r="V147" i="18"/>
  <c r="T16" i="20"/>
  <c r="U147" i="18"/>
  <c r="S16" i="20"/>
  <c r="T147" i="18"/>
  <c r="R16" i="20"/>
  <c r="S147" i="18"/>
  <c r="Q16" i="20"/>
  <c r="R147" i="18"/>
  <c r="P16" i="20"/>
  <c r="Q147" i="18"/>
  <c r="O16" i="20"/>
  <c r="P147" i="18"/>
  <c r="N16" i="20"/>
  <c r="O147" i="18"/>
  <c r="U15" i="20"/>
  <c r="V146" i="18"/>
  <c r="T15" i="20"/>
  <c r="U146" i="18"/>
  <c r="S15" i="20"/>
  <c r="T146" i="18"/>
  <c r="R15" i="20"/>
  <c r="S146" i="18"/>
  <c r="Q15" i="20"/>
  <c r="R146" i="18"/>
  <c r="P15" i="20"/>
  <c r="Q146" i="18"/>
  <c r="O15" i="20"/>
  <c r="P146" i="18"/>
  <c r="N15" i="20"/>
  <c r="O146" i="18"/>
  <c r="U14" i="20"/>
  <c r="V145" i="18"/>
  <c r="T14" i="20"/>
  <c r="U145" i="18"/>
  <c r="S14" i="20"/>
  <c r="T145" i="18"/>
  <c r="R14" i="20"/>
  <c r="S145" i="18"/>
  <c r="Q14" i="20"/>
  <c r="R145" i="18"/>
  <c r="P14" i="20"/>
  <c r="Q145" i="18"/>
  <c r="O14" i="20"/>
  <c r="P145" i="18"/>
  <c r="N14" i="20"/>
  <c r="O145" i="18"/>
  <c r="U19" i="20"/>
  <c r="V150" i="18"/>
  <c r="T19" i="20"/>
  <c r="U150" i="18"/>
  <c r="S19" i="20"/>
  <c r="T150" i="18"/>
  <c r="R19" i="20"/>
  <c r="S150" i="18"/>
  <c r="Q19" i="20"/>
  <c r="R150" i="18"/>
  <c r="P19" i="20"/>
  <c r="Q150" i="18"/>
  <c r="O19" i="20"/>
  <c r="P150" i="18"/>
  <c r="N19" i="20"/>
  <c r="O150" i="18"/>
  <c r="U17" i="20"/>
  <c r="V148" i="18"/>
  <c r="T17" i="20"/>
  <c r="U148" i="18"/>
  <c r="S17" i="20"/>
  <c r="T148" i="18"/>
  <c r="R17" i="20"/>
  <c r="S148" i="18"/>
  <c r="Q17" i="20"/>
  <c r="R148" i="18"/>
  <c r="P17" i="20"/>
  <c r="Q148" i="18"/>
  <c r="O17" i="20"/>
  <c r="P148" i="18"/>
  <c r="N17" i="20"/>
  <c r="O148" i="18"/>
  <c r="U20" i="20"/>
  <c r="V151" i="18"/>
  <c r="T20" i="20"/>
  <c r="U151" i="18"/>
  <c r="S20" i="20"/>
  <c r="T151" i="18"/>
  <c r="R20" i="20"/>
  <c r="S151" i="18"/>
  <c r="Q20" i="20"/>
  <c r="R151" i="18"/>
  <c r="P20" i="20"/>
  <c r="Q151" i="18"/>
  <c r="O20" i="20"/>
  <c r="P151" i="18"/>
  <c r="N20" i="20"/>
  <c r="O151" i="18"/>
  <c r="U21" i="20"/>
  <c r="V152" i="18"/>
  <c r="T21" i="20"/>
  <c r="U152" i="18"/>
  <c r="S21" i="20"/>
  <c r="T152" i="18"/>
  <c r="R21" i="20"/>
  <c r="S152" i="18"/>
  <c r="Q21" i="20"/>
  <c r="R152" i="18"/>
  <c r="P21" i="20"/>
  <c r="Q152" i="18"/>
  <c r="O21" i="20"/>
  <c r="P152" i="18"/>
  <c r="N21" i="20"/>
  <c r="O152" i="18"/>
  <c r="U39" i="20"/>
  <c r="V170" i="18"/>
  <c r="T39" i="20"/>
  <c r="U170" i="18"/>
  <c r="S39" i="20"/>
  <c r="T170" i="18"/>
  <c r="R39" i="20"/>
  <c r="S170" i="18"/>
  <c r="Q39" i="20"/>
  <c r="R170" i="18"/>
  <c r="P39" i="20"/>
  <c r="Q170" i="18"/>
  <c r="O39" i="20"/>
  <c r="P170" i="18"/>
  <c r="N39" i="20"/>
  <c r="O170" i="18"/>
  <c r="U38" i="20"/>
  <c r="V169" i="18"/>
  <c r="T38" i="20"/>
  <c r="U169" i="18"/>
  <c r="S38" i="20"/>
  <c r="T169" i="18"/>
  <c r="R38" i="20"/>
  <c r="S169" i="18"/>
  <c r="Q38" i="20"/>
  <c r="R169" i="18"/>
  <c r="P38" i="20"/>
  <c r="Q169" i="18"/>
  <c r="O38" i="20"/>
  <c r="P169" i="18"/>
  <c r="N38" i="20"/>
  <c r="O169" i="18"/>
  <c r="U35" i="20"/>
  <c r="V166" i="18"/>
  <c r="T35" i="20"/>
  <c r="U166" i="18"/>
  <c r="S35" i="20"/>
  <c r="T166" i="18"/>
  <c r="R35" i="20"/>
  <c r="S166" i="18"/>
  <c r="Q35" i="20"/>
  <c r="R166" i="18"/>
  <c r="P35" i="20"/>
  <c r="Q166" i="18"/>
  <c r="O35" i="20"/>
  <c r="P166" i="18"/>
  <c r="N35" i="20"/>
  <c r="O166" i="18"/>
  <c r="U36" i="20"/>
  <c r="V167" i="18"/>
  <c r="T36" i="20"/>
  <c r="U167" i="18"/>
  <c r="S36" i="20"/>
  <c r="T167" i="18"/>
  <c r="R36" i="20"/>
  <c r="S167" i="18"/>
  <c r="Q36" i="20"/>
  <c r="R167" i="18"/>
  <c r="P36" i="20"/>
  <c r="Q167" i="18"/>
  <c r="O36" i="20"/>
  <c r="P167" i="18"/>
  <c r="N36" i="20"/>
  <c r="O167" i="18"/>
  <c r="U34" i="20"/>
  <c r="V165" i="18"/>
  <c r="T34" i="20"/>
  <c r="U165" i="18"/>
  <c r="S34" i="20"/>
  <c r="T165" i="18"/>
  <c r="R34" i="20"/>
  <c r="S165" i="18"/>
  <c r="Q34" i="20"/>
  <c r="R165" i="18"/>
  <c r="P34" i="20"/>
  <c r="Q165" i="18"/>
  <c r="O34" i="20"/>
  <c r="P165" i="18"/>
  <c r="N34" i="20"/>
  <c r="O165" i="18"/>
  <c r="U33" i="20"/>
  <c r="V164" i="18"/>
  <c r="T33" i="20"/>
  <c r="U164" i="18"/>
  <c r="S33" i="20"/>
  <c r="T164" i="18"/>
  <c r="R33" i="20"/>
  <c r="S164" i="18"/>
  <c r="Q33" i="20"/>
  <c r="R164" i="18"/>
  <c r="P33" i="20"/>
  <c r="Q164" i="18"/>
  <c r="O33" i="20"/>
  <c r="P164" i="18"/>
  <c r="N33" i="20"/>
  <c r="O164" i="18"/>
  <c r="U32" i="20"/>
  <c r="V163" i="18"/>
  <c r="T32" i="20"/>
  <c r="U163" i="18"/>
  <c r="S32" i="20"/>
  <c r="T163" i="18"/>
  <c r="R32" i="20"/>
  <c r="S163" i="18"/>
  <c r="Q32" i="20"/>
  <c r="R163" i="18"/>
  <c r="P32" i="20"/>
  <c r="Q163" i="18"/>
  <c r="O32" i="20"/>
  <c r="P163" i="18"/>
  <c r="N32" i="20"/>
  <c r="O163" i="18"/>
  <c r="U37" i="20"/>
  <c r="V168" i="18"/>
  <c r="T37" i="20"/>
  <c r="U168" i="18"/>
  <c r="S37" i="20"/>
  <c r="T168" i="18"/>
  <c r="R37" i="20"/>
  <c r="S168" i="18"/>
  <c r="Q37" i="20"/>
  <c r="R168" i="18"/>
  <c r="P37" i="20"/>
  <c r="Q168" i="18"/>
  <c r="O37" i="20"/>
  <c r="P168" i="18"/>
  <c r="N37" i="20"/>
  <c r="O168" i="18"/>
  <c r="U13" i="20"/>
  <c r="V144" i="18"/>
  <c r="T13" i="20"/>
  <c r="U144" i="18"/>
  <c r="S13" i="20"/>
  <c r="T144" i="18"/>
  <c r="R13" i="20"/>
  <c r="S144" i="18"/>
  <c r="Q13" i="20"/>
  <c r="R144" i="18"/>
  <c r="P13" i="20"/>
  <c r="Q144" i="18"/>
  <c r="O13" i="20"/>
  <c r="P144" i="18"/>
  <c r="N13" i="20"/>
  <c r="O144" i="18"/>
  <c r="U31" i="20"/>
  <c r="V162" i="18"/>
  <c r="T31" i="20"/>
  <c r="U162" i="18"/>
  <c r="S31" i="20"/>
  <c r="T162" i="18"/>
  <c r="R31" i="20"/>
  <c r="S162" i="18"/>
  <c r="Q31" i="20"/>
  <c r="R162" i="18"/>
  <c r="P31" i="20"/>
  <c r="Q162" i="18"/>
  <c r="O31" i="20"/>
  <c r="P162" i="18"/>
  <c r="N31" i="20"/>
  <c r="O162" i="18"/>
  <c r="AI4" i="19"/>
  <c r="AI5" i="19"/>
  <c r="AI6" i="19"/>
  <c r="AI7" i="19"/>
  <c r="AG5" i="19"/>
  <c r="AG4" i="19"/>
  <c r="AG6" i="19"/>
  <c r="AG7" i="19"/>
  <c r="S32" i="19"/>
  <c r="R32" i="19"/>
  <c r="M32" i="19"/>
  <c r="S33" i="19"/>
  <c r="R33" i="19"/>
  <c r="M33" i="19"/>
  <c r="K273" i="20"/>
  <c r="I273" i="20"/>
  <c r="K272" i="20"/>
  <c r="I272" i="20"/>
  <c r="K271" i="20"/>
  <c r="I271" i="20"/>
  <c r="K270" i="20"/>
  <c r="I270" i="20"/>
  <c r="K269" i="20"/>
  <c r="I269" i="20"/>
  <c r="K268" i="20"/>
  <c r="I268" i="20"/>
  <c r="K267" i="20"/>
  <c r="I267" i="20"/>
  <c r="K266" i="20"/>
  <c r="I266" i="20"/>
  <c r="K265" i="20"/>
  <c r="I265" i="20"/>
  <c r="K264" i="20"/>
  <c r="I264" i="20"/>
  <c r="K263" i="20"/>
  <c r="I263" i="20"/>
  <c r="K262" i="20"/>
  <c r="I262" i="20"/>
  <c r="K261" i="20"/>
  <c r="I261" i="20"/>
  <c r="K260" i="20"/>
  <c r="I260" i="20"/>
  <c r="K259" i="20"/>
  <c r="I259" i="20"/>
  <c r="K258" i="20"/>
  <c r="I258" i="20"/>
  <c r="K257" i="20"/>
  <c r="I257" i="20"/>
  <c r="J130" i="9"/>
  <c r="H130" i="9"/>
  <c r="J129" i="9"/>
  <c r="H129" i="9"/>
  <c r="J116" i="9"/>
  <c r="H116" i="9"/>
  <c r="J115" i="9"/>
  <c r="H115" i="9"/>
  <c r="J102" i="9"/>
  <c r="H102" i="9"/>
  <c r="J101" i="9"/>
  <c r="H101" i="9"/>
  <c r="H88" i="9"/>
  <c r="H87" i="9"/>
  <c r="J122" i="9"/>
  <c r="H122" i="9"/>
  <c r="H119" i="9"/>
  <c r="J106" i="9"/>
  <c r="H106" i="9"/>
  <c r="J103" i="9"/>
  <c r="H103" i="9"/>
  <c r="J90" i="9"/>
  <c r="H90" i="9"/>
  <c r="J121" i="9"/>
  <c r="H121" i="9"/>
  <c r="J120" i="9"/>
  <c r="H120" i="9"/>
  <c r="J105" i="9"/>
  <c r="H105" i="9"/>
  <c r="J104" i="9"/>
  <c r="H104" i="9"/>
  <c r="H89" i="9"/>
  <c r="J82" i="9"/>
  <c r="H82" i="9"/>
  <c r="H91" i="9"/>
  <c r="H92" i="9"/>
  <c r="J93" i="9"/>
  <c r="H93" i="9"/>
  <c r="J94" i="9"/>
  <c r="H94" i="9"/>
  <c r="J95" i="9"/>
  <c r="H95" i="9"/>
  <c r="J96" i="9"/>
  <c r="H96" i="9"/>
  <c r="J97" i="9"/>
  <c r="H97" i="9"/>
  <c r="H98" i="9"/>
  <c r="J99" i="9"/>
  <c r="H99" i="9"/>
  <c r="H100" i="9"/>
  <c r="J107" i="9"/>
  <c r="H107" i="9"/>
  <c r="H108" i="9"/>
  <c r="J109" i="9"/>
  <c r="H109" i="9"/>
  <c r="J110" i="9"/>
  <c r="H110" i="9"/>
  <c r="H111" i="9"/>
  <c r="J112" i="9"/>
  <c r="H112" i="9"/>
  <c r="J113" i="9"/>
  <c r="H113" i="9"/>
  <c r="J114" i="9"/>
  <c r="H114" i="9"/>
  <c r="J117" i="9"/>
  <c r="H117" i="9"/>
  <c r="J118" i="9"/>
  <c r="H118" i="9"/>
  <c r="J123" i="9"/>
  <c r="H123" i="9"/>
  <c r="J124" i="9"/>
  <c r="H124" i="9"/>
  <c r="H125" i="9"/>
  <c r="H126" i="9"/>
  <c r="J127" i="9"/>
  <c r="H127" i="9"/>
  <c r="J128" i="9"/>
  <c r="H128" i="9"/>
  <c r="J131" i="9"/>
  <c r="H131" i="9"/>
  <c r="J132" i="9"/>
  <c r="H132" i="9"/>
  <c r="N6" i="21"/>
  <c r="B16" i="8"/>
  <c r="H91" i="21"/>
  <c r="N5" i="21"/>
  <c r="H81" i="9"/>
  <c r="B15" i="8"/>
  <c r="H84" i="9"/>
  <c r="N7" i="21"/>
  <c r="H83" i="9"/>
  <c r="B17" i="8"/>
  <c r="N10" i="21"/>
  <c r="H86" i="9"/>
  <c r="B20" i="8"/>
  <c r="B18" i="8"/>
  <c r="H85" i="9"/>
  <c r="B19" i="8"/>
  <c r="N9" i="21"/>
  <c r="N8" i="21"/>
  <c r="J143" i="21"/>
  <c r="H143" i="21"/>
  <c r="J142" i="21"/>
  <c r="H142" i="21"/>
  <c r="J144" i="21"/>
  <c r="H144" i="21"/>
  <c r="J141" i="21"/>
  <c r="H141" i="21"/>
  <c r="J138" i="21"/>
  <c r="H138" i="21"/>
  <c r="J137" i="21"/>
  <c r="H137" i="21"/>
  <c r="H136" i="21"/>
  <c r="H135" i="21"/>
  <c r="J134" i="21"/>
  <c r="H134" i="21"/>
  <c r="J133" i="21"/>
  <c r="H133" i="21"/>
  <c r="J128" i="21"/>
  <c r="H128" i="21"/>
  <c r="J127" i="21"/>
  <c r="H127" i="21"/>
  <c r="J124" i="21"/>
  <c r="H124" i="21"/>
  <c r="J123" i="21"/>
  <c r="H123" i="21"/>
  <c r="J122" i="21"/>
  <c r="H122" i="21"/>
  <c r="H121" i="21"/>
  <c r="J120" i="21"/>
  <c r="H120" i="21"/>
  <c r="J119" i="21"/>
  <c r="H119" i="21"/>
  <c r="H118" i="21"/>
  <c r="J117" i="21"/>
  <c r="H117" i="21"/>
  <c r="H110" i="21"/>
  <c r="J109" i="21"/>
  <c r="H109" i="21"/>
  <c r="H108" i="21"/>
  <c r="J107" i="21"/>
  <c r="H107" i="21"/>
  <c r="J106" i="21"/>
  <c r="H106" i="21"/>
  <c r="J105" i="21"/>
  <c r="H105" i="21"/>
  <c r="J104" i="21"/>
  <c r="H104" i="21"/>
  <c r="J103" i="21"/>
  <c r="H103" i="21"/>
  <c r="H102" i="21"/>
  <c r="H101" i="21"/>
  <c r="H96" i="21"/>
  <c r="H95" i="21"/>
  <c r="H94" i="21"/>
  <c r="H93" i="21"/>
  <c r="J92" i="21"/>
  <c r="H92" i="21"/>
  <c r="J134" i="9"/>
  <c r="H134" i="9"/>
  <c r="J133" i="9"/>
  <c r="H133" i="9"/>
  <c r="J132" i="21"/>
  <c r="H132" i="21"/>
  <c r="H129" i="21"/>
  <c r="J116" i="21"/>
  <c r="H116" i="21"/>
  <c r="J113" i="21"/>
  <c r="H113" i="21"/>
  <c r="J100" i="21"/>
  <c r="H100" i="21"/>
  <c r="J131" i="21"/>
  <c r="H131" i="21"/>
  <c r="J130" i="21"/>
  <c r="H130" i="21"/>
  <c r="J115" i="21"/>
  <c r="H115" i="21"/>
  <c r="J114" i="21"/>
  <c r="H114" i="21"/>
  <c r="H99" i="21"/>
  <c r="J140" i="21"/>
  <c r="H140" i="21"/>
  <c r="J139" i="21"/>
  <c r="H139" i="21"/>
  <c r="J126" i="21"/>
  <c r="H126" i="21"/>
  <c r="J125" i="21"/>
  <c r="H125" i="21"/>
  <c r="J112" i="21"/>
  <c r="H112" i="21"/>
  <c r="J111" i="21"/>
  <c r="H111" i="21"/>
  <c r="H98" i="21"/>
  <c r="H97" i="21"/>
  <c r="M8" i="19"/>
  <c r="M9" i="19"/>
  <c r="M10" i="19"/>
  <c r="M11" i="19"/>
  <c r="S12" i="19"/>
  <c r="R12" i="19"/>
  <c r="M12" i="19"/>
  <c r="S13" i="19"/>
  <c r="R13" i="19"/>
  <c r="M13" i="19"/>
  <c r="Y202" i="7"/>
  <c r="D151" i="9"/>
  <c r="C256" i="20"/>
  <c r="AO16" i="7" a="1"/>
  <c r="AO16" i="7"/>
  <c r="V29" i="20" s="1"/>
  <c r="AR16" i="7" a="1"/>
  <c r="AR16" i="7" s="1"/>
  <c r="X29" i="20" s="1"/>
  <c r="AS16" i="7" a="1"/>
  <c r="AS16" i="7"/>
  <c r="AT16" i="7" a="1"/>
  <c r="AT16" i="7" s="1"/>
  <c r="Z29" i="20" s="1"/>
  <c r="AO10" i="7" a="1"/>
  <c r="AO10" i="7" s="1"/>
  <c r="V14" i="20" s="1"/>
  <c r="V13" i="20"/>
  <c r="W144" i="18"/>
  <c r="AR10" i="7" a="1"/>
  <c r="AR10" i="7"/>
  <c r="X14" i="20" s="1"/>
  <c r="Y145" i="18" s="1"/>
  <c r="X13" i="20"/>
  <c r="AS10" i="7" a="1"/>
  <c r="AS10" i="7"/>
  <c r="Y14" i="20" s="1"/>
  <c r="Z145" i="18" s="1"/>
  <c r="Y13" i="20"/>
  <c r="Z144" i="18"/>
  <c r="AT10" i="7" a="1"/>
  <c r="AT10" i="7" s="1"/>
  <c r="AO4" i="7" a="1"/>
  <c r="AO4" i="7"/>
  <c r="V4" i="20"/>
  <c r="W135" i="18"/>
  <c r="AR4" i="7" a="1"/>
  <c r="AR4" i="7" s="1"/>
  <c r="X6" i="20" s="1"/>
  <c r="Y137" i="18" s="1"/>
  <c r="X4" i="20"/>
  <c r="Y135" i="18"/>
  <c r="AS4" i="7" a="1"/>
  <c r="AS4" i="7"/>
  <c r="Y6" i="20" s="1"/>
  <c r="Z137" i="18" s="1"/>
  <c r="Y4" i="20"/>
  <c r="AT4" i="7" a="1"/>
  <c r="AT4" i="7"/>
  <c r="Z6" i="20" s="1"/>
  <c r="AA137" i="18" s="1"/>
  <c r="AR34" i="7" a="1"/>
  <c r="AR34" i="7"/>
  <c r="X55" i="20" s="1"/>
  <c r="AS34" i="7" a="1"/>
  <c r="AS34" i="7" s="1"/>
  <c r="Y55" i="20" s="1"/>
  <c r="AT34" i="7" a="1"/>
  <c r="AT34" i="7"/>
  <c r="Z55" i="20" s="1"/>
  <c r="AH9" i="19"/>
  <c r="AO34" i="7" a="1"/>
  <c r="AO34" i="7"/>
  <c r="V55" i="20" s="1"/>
  <c r="AD55" i="20" s="1"/>
  <c r="AO183" i="7" a="1"/>
  <c r="AO183" i="7" s="1"/>
  <c r="AP183" i="7" a="1"/>
  <c r="AP183" i="7"/>
  <c r="AR183" i="7" a="1"/>
  <c r="AR183" i="7"/>
  <c r="AS183" i="7" a="1"/>
  <c r="AS183" i="7" s="1"/>
  <c r="AT183" i="7" a="1"/>
  <c r="AT183" i="7"/>
  <c r="AU183" i="7" a="1"/>
  <c r="AU183" i="7"/>
  <c r="AV183" i="7" a="1"/>
  <c r="AV183" i="7" s="1"/>
  <c r="AX183" i="7" a="1"/>
  <c r="AX183" i="7"/>
  <c r="AY183" i="7" a="1"/>
  <c r="AY183" i="7"/>
  <c r="AO182" i="7" a="1"/>
  <c r="AO182" i="7" s="1"/>
  <c r="AP182" i="7" a="1"/>
  <c r="AP182" i="7"/>
  <c r="AR182" i="7" a="1"/>
  <c r="AR182" i="7"/>
  <c r="AS182" i="7" a="1"/>
  <c r="AS182" i="7" s="1"/>
  <c r="AT182" i="7" a="1"/>
  <c r="AT182" i="7"/>
  <c r="AU182" i="7" a="1"/>
  <c r="AU182" i="7"/>
  <c r="AV182" i="7" a="1"/>
  <c r="AV182" i="7" s="1"/>
  <c r="AX182" i="7" a="1"/>
  <c r="AX182" i="7"/>
  <c r="AY182" i="7" a="1"/>
  <c r="AY182" i="7"/>
  <c r="AO181" i="7" a="1"/>
  <c r="AO181" i="7" s="1"/>
  <c r="AP181" i="7" a="1"/>
  <c r="AP181" i="7"/>
  <c r="AR181" i="7" a="1"/>
  <c r="AR181" i="7"/>
  <c r="AS181" i="7" a="1"/>
  <c r="AS181" i="7" s="1"/>
  <c r="AT181" i="7" a="1"/>
  <c r="AT181" i="7"/>
  <c r="AU181" i="7" a="1"/>
  <c r="AU181" i="7"/>
  <c r="AV181" i="7" a="1"/>
  <c r="AV181" i="7" s="1"/>
  <c r="AX181" i="7" a="1"/>
  <c r="AX181" i="7"/>
  <c r="AY181" i="7" a="1"/>
  <c r="AY181" i="7"/>
  <c r="AO180" i="7" a="1"/>
  <c r="AO180" i="7" s="1"/>
  <c r="AP180" i="7" a="1"/>
  <c r="AP180" i="7"/>
  <c r="AR180" i="7" a="1"/>
  <c r="AR180" i="7"/>
  <c r="AS180" i="7" a="1"/>
  <c r="AS180" i="7" s="1"/>
  <c r="AT180" i="7" a="1"/>
  <c r="AT180" i="7"/>
  <c r="AU180" i="7" a="1"/>
  <c r="AU180" i="7"/>
  <c r="AV180" i="7" a="1"/>
  <c r="AV180" i="7" s="1"/>
  <c r="AX180" i="7" a="1"/>
  <c r="AX180" i="7"/>
  <c r="AY180" i="7" a="1"/>
  <c r="AY180" i="7"/>
  <c r="AO179" i="7" a="1"/>
  <c r="AO179" i="7" s="1"/>
  <c r="AP179" i="7" a="1"/>
  <c r="AP179" i="7"/>
  <c r="AR179" i="7" a="1"/>
  <c r="AR179" i="7"/>
  <c r="AS179" i="7" a="1"/>
  <c r="AS179" i="7" s="1"/>
  <c r="AT179" i="7" a="1"/>
  <c r="AT179" i="7"/>
  <c r="AU179" i="7" a="1"/>
  <c r="AU179" i="7"/>
  <c r="AV179" i="7" a="1"/>
  <c r="AV179" i="7" s="1"/>
  <c r="AX179" i="7" a="1"/>
  <c r="AX179" i="7"/>
  <c r="AY179" i="7" a="1"/>
  <c r="AY179" i="7"/>
  <c r="AO178" i="7" a="1"/>
  <c r="AO178" i="7" s="1"/>
  <c r="AP178" i="7" a="1"/>
  <c r="AP178" i="7"/>
  <c r="AR178" i="7" a="1"/>
  <c r="AR178" i="7"/>
  <c r="AS178" i="7" a="1"/>
  <c r="AS178" i="7" s="1"/>
  <c r="AT178" i="7" a="1"/>
  <c r="AT178" i="7"/>
  <c r="AU178" i="7" a="1"/>
  <c r="AU178" i="7"/>
  <c r="AV178" i="7" a="1"/>
  <c r="AV178" i="7" s="1"/>
  <c r="AX178" i="7" a="1"/>
  <c r="AX178" i="7"/>
  <c r="AY178" i="7" a="1"/>
  <c r="AY178" i="7"/>
  <c r="AO177" i="7" a="1"/>
  <c r="AO177" i="7" s="1"/>
  <c r="AP177" i="7" a="1"/>
  <c r="AP177" i="7"/>
  <c r="AR177" i="7" a="1"/>
  <c r="AR177" i="7"/>
  <c r="AS177" i="7" a="1"/>
  <c r="AS177" i="7" s="1"/>
  <c r="AT177" i="7" a="1"/>
  <c r="AT177" i="7"/>
  <c r="AU177" i="7" a="1"/>
  <c r="AU177" i="7"/>
  <c r="AV177" i="7" a="1"/>
  <c r="AV177" i="7" s="1"/>
  <c r="AX177" i="7" a="1"/>
  <c r="AX177" i="7"/>
  <c r="AY177" i="7" a="1"/>
  <c r="AY177" i="7"/>
  <c r="AO176" i="7" a="1"/>
  <c r="AO176" i="7" s="1"/>
  <c r="AP176" i="7" a="1"/>
  <c r="AP176" i="7"/>
  <c r="AR176" i="7" a="1"/>
  <c r="AR176" i="7"/>
  <c r="AS176" i="7" a="1"/>
  <c r="AS176" i="7" s="1"/>
  <c r="AT176" i="7" a="1"/>
  <c r="AT176" i="7"/>
  <c r="AU176" i="7" a="1"/>
  <c r="AU176" i="7"/>
  <c r="AV176" i="7" a="1"/>
  <c r="AV176" i="7" s="1"/>
  <c r="AX176" i="7" a="1"/>
  <c r="AX176" i="7"/>
  <c r="AY176" i="7" a="1"/>
  <c r="AY176" i="7"/>
  <c r="AO175" i="7" a="1"/>
  <c r="AO175" i="7" s="1"/>
  <c r="AP175" i="7" a="1"/>
  <c r="AP175" i="7"/>
  <c r="AR175" i="7" a="1"/>
  <c r="AR175" i="7"/>
  <c r="AS175" i="7" a="1"/>
  <c r="AS175" i="7" s="1"/>
  <c r="AT175" i="7" a="1"/>
  <c r="AT175" i="7"/>
  <c r="AU175" i="7" a="1"/>
  <c r="AU175" i="7"/>
  <c r="AV175" i="7" a="1"/>
  <c r="AV175" i="7" s="1"/>
  <c r="AX175" i="7" a="1"/>
  <c r="AX175" i="7"/>
  <c r="AY175" i="7" a="1"/>
  <c r="AY175" i="7"/>
  <c r="AO174" i="7" a="1"/>
  <c r="AO174" i="7" s="1"/>
  <c r="AP174" i="7" a="1"/>
  <c r="AP174" i="7"/>
  <c r="AR174" i="7" a="1"/>
  <c r="AR174" i="7"/>
  <c r="AS174" i="7" a="1"/>
  <c r="AS174" i="7" s="1"/>
  <c r="AT174" i="7" a="1"/>
  <c r="AT174" i="7"/>
  <c r="AU174" i="7" a="1"/>
  <c r="AU174" i="7"/>
  <c r="AV174" i="7" a="1"/>
  <c r="AV174" i="7" s="1"/>
  <c r="AX174" i="7" a="1"/>
  <c r="AX174" i="7"/>
  <c r="AY174" i="7" a="1"/>
  <c r="AY174" i="7"/>
  <c r="AO173" i="7" a="1"/>
  <c r="AO173" i="7" s="1"/>
  <c r="AP173" i="7" a="1"/>
  <c r="AP173" i="7"/>
  <c r="AR173" i="7" a="1"/>
  <c r="AR173" i="7"/>
  <c r="AS173" i="7" a="1"/>
  <c r="AS173" i="7" s="1"/>
  <c r="AT173" i="7" a="1"/>
  <c r="AT173" i="7"/>
  <c r="AU173" i="7" a="1"/>
  <c r="AU173" i="7"/>
  <c r="AV173" i="7" a="1"/>
  <c r="AV173" i="7" s="1"/>
  <c r="AX173" i="7" a="1"/>
  <c r="AX173" i="7"/>
  <c r="AY173" i="7" a="1"/>
  <c r="AY173" i="7"/>
  <c r="AO172" i="7" a="1"/>
  <c r="AO172" i="7" s="1"/>
  <c r="AP172" i="7" a="1"/>
  <c r="AP172" i="7"/>
  <c r="AR172" i="7" a="1"/>
  <c r="AR172" i="7"/>
  <c r="AS172" i="7" a="1"/>
  <c r="AS172" i="7" s="1"/>
  <c r="AT172" i="7" a="1"/>
  <c r="AT172" i="7"/>
  <c r="AU172" i="7" a="1"/>
  <c r="AU172" i="7"/>
  <c r="AV172" i="7" a="1"/>
  <c r="AV172" i="7" s="1"/>
  <c r="AX172" i="7" a="1"/>
  <c r="AX172" i="7"/>
  <c r="AY172" i="7" a="1"/>
  <c r="AY172" i="7" s="1"/>
  <c r="G13" i="19"/>
  <c r="H13" i="19"/>
  <c r="N12" i="19"/>
  <c r="O12" i="19"/>
  <c r="P12" i="19"/>
  <c r="Q12" i="19"/>
  <c r="T12" i="19"/>
  <c r="U12" i="19"/>
  <c r="V12" i="19"/>
  <c r="N13" i="19"/>
  <c r="O13" i="19"/>
  <c r="P13" i="19"/>
  <c r="Q13" i="19"/>
  <c r="T13" i="19"/>
  <c r="U13" i="19"/>
  <c r="V13" i="19"/>
  <c r="G32" i="19"/>
  <c r="H32" i="19"/>
  <c r="I32" i="19"/>
  <c r="J32" i="19"/>
  <c r="K32" i="19"/>
  <c r="L32" i="19"/>
  <c r="N32" i="19"/>
  <c r="O32" i="19"/>
  <c r="P32" i="19"/>
  <c r="Q32" i="19"/>
  <c r="T32" i="19"/>
  <c r="U32" i="19"/>
  <c r="V32" i="19"/>
  <c r="F32" i="19"/>
  <c r="E32" i="19"/>
  <c r="D32" i="19"/>
  <c r="C32" i="19"/>
  <c r="F10" i="21"/>
  <c r="E10" i="21"/>
  <c r="G10" i="21"/>
  <c r="B10" i="21" a="1"/>
  <c r="B10" i="21"/>
  <c r="B9" i="21" a="1"/>
  <c r="B9" i="21"/>
  <c r="B8" i="21" a="1"/>
  <c r="B8" i="21"/>
  <c r="F7" i="21"/>
  <c r="E7" i="21"/>
  <c r="B7" i="21" a="1"/>
  <c r="B7" i="21"/>
  <c r="C6" i="21"/>
  <c r="B6" i="21" a="1"/>
  <c r="B6" i="21"/>
  <c r="C5" i="21"/>
  <c r="B5" i="21" a="1"/>
  <c r="B5" i="21"/>
  <c r="C9" i="21"/>
  <c r="D9" i="21"/>
  <c r="E9" i="21"/>
  <c r="F9" i="21"/>
  <c r="C10" i="21"/>
  <c r="C7" i="21"/>
  <c r="D10" i="21"/>
  <c r="D7" i="21"/>
  <c r="C8" i="21"/>
  <c r="D8" i="21"/>
  <c r="E8" i="21"/>
  <c r="F8" i="21"/>
  <c r="G33" i="19"/>
  <c r="H33" i="19"/>
  <c r="I33" i="19"/>
  <c r="J33" i="19"/>
  <c r="K33" i="19"/>
  <c r="L33" i="19"/>
  <c r="N33" i="19"/>
  <c r="O33" i="19"/>
  <c r="P33" i="19"/>
  <c r="Q33" i="19"/>
  <c r="T33" i="19"/>
  <c r="U33" i="19"/>
  <c r="V33" i="19"/>
  <c r="F33" i="19"/>
  <c r="E33" i="19"/>
  <c r="D33" i="19"/>
  <c r="C33" i="19"/>
  <c r="D273" i="20"/>
  <c r="E273" i="20"/>
  <c r="F273" i="20"/>
  <c r="G273" i="20"/>
  <c r="H273" i="20"/>
  <c r="J273" i="20"/>
  <c r="L273" i="20"/>
  <c r="M273" i="20"/>
  <c r="D272" i="20"/>
  <c r="E272" i="20"/>
  <c r="F272" i="20"/>
  <c r="G272" i="20"/>
  <c r="H272" i="20"/>
  <c r="J272" i="20"/>
  <c r="L272" i="20"/>
  <c r="M272" i="20"/>
  <c r="D271" i="20"/>
  <c r="E271" i="20"/>
  <c r="F271" i="20"/>
  <c r="G271" i="20"/>
  <c r="H271" i="20"/>
  <c r="J271" i="20"/>
  <c r="L271" i="20"/>
  <c r="M271" i="20"/>
  <c r="D270" i="20"/>
  <c r="E270" i="20"/>
  <c r="F270" i="20"/>
  <c r="G270" i="20"/>
  <c r="H270" i="20"/>
  <c r="J270" i="20"/>
  <c r="L270" i="20"/>
  <c r="M270" i="20"/>
  <c r="D269" i="20"/>
  <c r="E269" i="20"/>
  <c r="F269" i="20"/>
  <c r="G269" i="20"/>
  <c r="H269" i="20"/>
  <c r="J269" i="20"/>
  <c r="L269" i="20"/>
  <c r="M269" i="20"/>
  <c r="D268" i="20"/>
  <c r="E268" i="20"/>
  <c r="F268" i="20"/>
  <c r="G268" i="20"/>
  <c r="H268" i="20"/>
  <c r="J268" i="20"/>
  <c r="L268" i="20"/>
  <c r="M268" i="20"/>
  <c r="D267" i="20"/>
  <c r="E267" i="20"/>
  <c r="F267" i="20"/>
  <c r="G267" i="20"/>
  <c r="H267" i="20"/>
  <c r="J267" i="20"/>
  <c r="L267" i="20"/>
  <c r="M267" i="20"/>
  <c r="D266" i="20"/>
  <c r="E266" i="20"/>
  <c r="F266" i="20"/>
  <c r="G266" i="20"/>
  <c r="H266" i="20"/>
  <c r="J266" i="20"/>
  <c r="L266" i="20"/>
  <c r="M266" i="20"/>
  <c r="D265" i="20"/>
  <c r="E265" i="20"/>
  <c r="F265" i="20"/>
  <c r="G265" i="20"/>
  <c r="H265" i="20"/>
  <c r="J265" i="20"/>
  <c r="L265" i="20"/>
  <c r="M265" i="20"/>
  <c r="D264" i="20"/>
  <c r="E264" i="20"/>
  <c r="F264" i="20"/>
  <c r="G264" i="20"/>
  <c r="H264" i="20"/>
  <c r="J264" i="20"/>
  <c r="L264" i="20"/>
  <c r="M264" i="20"/>
  <c r="D263" i="20"/>
  <c r="E263" i="20"/>
  <c r="F263" i="20"/>
  <c r="G263" i="20"/>
  <c r="H263" i="20"/>
  <c r="J263" i="20"/>
  <c r="L263" i="20"/>
  <c r="M263" i="20"/>
  <c r="D262" i="20"/>
  <c r="E262" i="20"/>
  <c r="F262" i="20"/>
  <c r="G262" i="20"/>
  <c r="H262" i="20"/>
  <c r="J262" i="20"/>
  <c r="L262" i="20"/>
  <c r="M262" i="20"/>
  <c r="D261" i="20"/>
  <c r="E261" i="20"/>
  <c r="F261" i="20"/>
  <c r="G261" i="20"/>
  <c r="H261" i="20"/>
  <c r="J261" i="20"/>
  <c r="L261" i="20"/>
  <c r="M261" i="20"/>
  <c r="D260" i="20"/>
  <c r="E260" i="20"/>
  <c r="F260" i="20"/>
  <c r="G260" i="20"/>
  <c r="H260" i="20"/>
  <c r="J260" i="20"/>
  <c r="L260" i="20"/>
  <c r="M260" i="20"/>
  <c r="D259" i="20"/>
  <c r="E259" i="20"/>
  <c r="F259" i="20"/>
  <c r="G259" i="20"/>
  <c r="H259" i="20"/>
  <c r="J259" i="20"/>
  <c r="L259" i="20"/>
  <c r="M259" i="20"/>
  <c r="D258" i="20"/>
  <c r="E258" i="20"/>
  <c r="F258" i="20"/>
  <c r="G258" i="20"/>
  <c r="H258" i="20"/>
  <c r="J258" i="20"/>
  <c r="L258" i="20"/>
  <c r="M258" i="20"/>
  <c r="D257" i="20"/>
  <c r="E257" i="20"/>
  <c r="F257" i="20"/>
  <c r="G257" i="20"/>
  <c r="H257" i="20"/>
  <c r="J257" i="20"/>
  <c r="L257" i="20"/>
  <c r="M257" i="20"/>
  <c r="A256" i="20"/>
  <c r="H4" i="19"/>
  <c r="I23" i="18" s="1"/>
  <c r="G4" i="19"/>
  <c r="H23" i="18"/>
  <c r="G5" i="19"/>
  <c r="H24" i="18"/>
  <c r="H5" i="19"/>
  <c r="I24" i="18" s="1"/>
  <c r="G6" i="19"/>
  <c r="H25" i="18"/>
  <c r="H6" i="19"/>
  <c r="I25" i="18"/>
  <c r="G7" i="19"/>
  <c r="H26" i="18" s="1"/>
  <c r="H7" i="19"/>
  <c r="I26" i="18"/>
  <c r="G8" i="19"/>
  <c r="H8" i="19"/>
  <c r="G10" i="19"/>
  <c r="H10" i="19"/>
  <c r="V4" i="19"/>
  <c r="W23" i="18"/>
  <c r="U4" i="19"/>
  <c r="V23" i="18"/>
  <c r="Q5" i="19"/>
  <c r="R24" i="18"/>
  <c r="U5" i="19"/>
  <c r="V24" i="18"/>
  <c r="V5" i="19"/>
  <c r="W24" i="18" s="1"/>
  <c r="N6" i="19"/>
  <c r="O25" i="18"/>
  <c r="U6" i="19"/>
  <c r="V25" i="18"/>
  <c r="V6" i="19"/>
  <c r="W25" i="18" s="1"/>
  <c r="U7" i="19"/>
  <c r="V26" i="18"/>
  <c r="V7" i="19"/>
  <c r="W26" i="18"/>
  <c r="O8" i="19"/>
  <c r="R8" i="19"/>
  <c r="T8" i="19"/>
  <c r="U8" i="19"/>
  <c r="V8" i="19"/>
  <c r="N9" i="19"/>
  <c r="O9" i="19"/>
  <c r="R9" i="19"/>
  <c r="P9" i="19"/>
  <c r="Q9" i="19"/>
  <c r="T9" i="19"/>
  <c r="U9" i="19"/>
  <c r="V9" i="19"/>
  <c r="O10" i="19"/>
  <c r="R10" i="19" s="1"/>
  <c r="T10" i="19"/>
  <c r="U10" i="19"/>
  <c r="V10" i="19"/>
  <c r="O11" i="19"/>
  <c r="R11" i="19" s="1"/>
  <c r="P11" i="19"/>
  <c r="Q11" i="19"/>
  <c r="T11" i="19"/>
  <c r="U11" i="19"/>
  <c r="V11" i="19"/>
  <c r="B33" i="19"/>
  <c r="B32" i="19"/>
  <c r="F11" i="8"/>
  <c r="E11" i="8"/>
  <c r="G11" i="8"/>
  <c r="B11" i="8"/>
  <c r="I11" i="8"/>
  <c r="H11" i="8"/>
  <c r="M22" i="8"/>
  <c r="L22" i="8"/>
  <c r="K22" i="8"/>
  <c r="J22" i="8"/>
  <c r="I22" i="8"/>
  <c r="F22" i="8"/>
  <c r="E22" i="8"/>
  <c r="D22" i="8"/>
  <c r="C22" i="8"/>
  <c r="CL6" i="7"/>
  <c r="CL7" i="7"/>
  <c r="CL8" i="7"/>
  <c r="CL9" i="7"/>
  <c r="CL10" i="7"/>
  <c r="CL11" i="7"/>
  <c r="CL12" i="7"/>
  <c r="CL13" i="7"/>
  <c r="CL14" i="7"/>
  <c r="F4" i="8"/>
  <c r="E4" i="8"/>
  <c r="B4" i="8"/>
  <c r="F5" i="8"/>
  <c r="E5" i="8"/>
  <c r="B5" i="8"/>
  <c r="F6" i="8"/>
  <c r="E6" i="8"/>
  <c r="B6" i="8"/>
  <c r="F7" i="8"/>
  <c r="E7" i="8"/>
  <c r="B7" i="8"/>
  <c r="F8" i="8"/>
  <c r="E8" i="8"/>
  <c r="B8" i="8"/>
  <c r="F9" i="8"/>
  <c r="E9" i="8"/>
  <c r="B9" i="8"/>
  <c r="F10" i="8"/>
  <c r="E10" i="8"/>
  <c r="G10" i="8"/>
  <c r="B10" i="8"/>
  <c r="N11" i="8"/>
  <c r="D11" i="8"/>
  <c r="C11" i="8"/>
  <c r="G152" i="9"/>
  <c r="F152" i="9"/>
  <c r="C152" i="9"/>
  <c r="D152" i="9"/>
  <c r="G151" i="9"/>
  <c r="F151" i="9"/>
  <c r="C151" i="9"/>
  <c r="G150" i="9"/>
  <c r="F150" i="9"/>
  <c r="C150" i="9"/>
  <c r="G149" i="9"/>
  <c r="F149" i="9"/>
  <c r="C149" i="9"/>
  <c r="D149" i="9"/>
  <c r="G148" i="9"/>
  <c r="F148" i="9"/>
  <c r="C148" i="9"/>
  <c r="G147" i="9"/>
  <c r="F147" i="9"/>
  <c r="C147" i="9"/>
  <c r="G146" i="9"/>
  <c r="F146" i="9"/>
  <c r="C146" i="9"/>
  <c r="D146" i="9"/>
  <c r="G145" i="9"/>
  <c r="F145" i="9"/>
  <c r="C145" i="9"/>
  <c r="G144" i="9"/>
  <c r="F144" i="9"/>
  <c r="C144" i="9"/>
  <c r="G128" i="9"/>
  <c r="F128" i="9"/>
  <c r="C128" i="9"/>
  <c r="D128" i="9"/>
  <c r="G127" i="9"/>
  <c r="F127" i="9"/>
  <c r="C127" i="9"/>
  <c r="D127" i="9"/>
  <c r="G124" i="9"/>
  <c r="F124" i="9"/>
  <c r="C124" i="9"/>
  <c r="D124" i="9"/>
  <c r="G121" i="9"/>
  <c r="F121" i="9"/>
  <c r="C121" i="9"/>
  <c r="D121" i="9"/>
  <c r="G118" i="9"/>
  <c r="F118" i="9"/>
  <c r="C118" i="9"/>
  <c r="D118" i="9"/>
  <c r="G117" i="9"/>
  <c r="F117" i="9"/>
  <c r="C117" i="9"/>
  <c r="D117" i="9"/>
  <c r="G112" i="9"/>
  <c r="F112" i="9"/>
  <c r="C112" i="9"/>
  <c r="D112" i="9"/>
  <c r="G109" i="9"/>
  <c r="F109" i="9"/>
  <c r="C109" i="9"/>
  <c r="D109" i="9"/>
  <c r="G106" i="9"/>
  <c r="F106" i="9"/>
  <c r="C106" i="9"/>
  <c r="D106" i="9"/>
  <c r="G105" i="9"/>
  <c r="F105" i="9"/>
  <c r="C105" i="9"/>
  <c r="D105" i="9"/>
  <c r="G104" i="9"/>
  <c r="F104" i="9"/>
  <c r="C104" i="9"/>
  <c r="D104" i="9"/>
  <c r="G103" i="9"/>
  <c r="F103" i="9"/>
  <c r="C103" i="9"/>
  <c r="D103" i="9"/>
  <c r="G100" i="9"/>
  <c r="F100" i="9"/>
  <c r="C100" i="9"/>
  <c r="D100" i="9"/>
  <c r="G97" i="9"/>
  <c r="F97" i="9"/>
  <c r="C97" i="9"/>
  <c r="D97" i="9"/>
  <c r="G94" i="9"/>
  <c r="F94" i="9"/>
  <c r="C94" i="9"/>
  <c r="D94" i="9"/>
  <c r="G93" i="9"/>
  <c r="F93" i="9"/>
  <c r="C93" i="9"/>
  <c r="D93" i="9"/>
  <c r="G92" i="9"/>
  <c r="F92" i="9"/>
  <c r="C92" i="9"/>
  <c r="D92" i="9"/>
  <c r="G91" i="9"/>
  <c r="F91" i="9"/>
  <c r="C91" i="9"/>
  <c r="D91" i="9"/>
  <c r="G85" i="9"/>
  <c r="F85" i="9"/>
  <c r="C85" i="9"/>
  <c r="D85" i="9"/>
  <c r="G82" i="9"/>
  <c r="F82" i="9"/>
  <c r="C82" i="9"/>
  <c r="D82" i="9"/>
  <c r="G81" i="9"/>
  <c r="F81" i="9"/>
  <c r="C81" i="9"/>
  <c r="D81" i="9"/>
  <c r="G133" i="9"/>
  <c r="F133" i="9"/>
  <c r="C133" i="9"/>
  <c r="D133" i="9"/>
  <c r="I5" i="8"/>
  <c r="H5" i="8"/>
  <c r="I6" i="8"/>
  <c r="H6" i="8"/>
  <c r="I7" i="8"/>
  <c r="H7" i="8"/>
  <c r="I10" i="8"/>
  <c r="H10" i="8"/>
  <c r="G142" i="9"/>
  <c r="F142" i="9"/>
  <c r="C142" i="9"/>
  <c r="D142" i="9"/>
  <c r="G141" i="9"/>
  <c r="F141" i="9"/>
  <c r="C141" i="9"/>
  <c r="D141" i="9"/>
  <c r="G140" i="9"/>
  <c r="F140" i="9"/>
  <c r="C140" i="9"/>
  <c r="D140" i="9"/>
  <c r="G139" i="9"/>
  <c r="F139" i="9"/>
  <c r="C139" i="9"/>
  <c r="D139" i="9"/>
  <c r="G138" i="9"/>
  <c r="F138" i="9"/>
  <c r="C138" i="9"/>
  <c r="D138" i="9"/>
  <c r="G137" i="9"/>
  <c r="F137" i="9"/>
  <c r="C137" i="9"/>
  <c r="D137" i="9"/>
  <c r="G136" i="9"/>
  <c r="F136" i="9"/>
  <c r="C136" i="9"/>
  <c r="D136" i="9"/>
  <c r="G135" i="9"/>
  <c r="F135" i="9"/>
  <c r="C135" i="9"/>
  <c r="D135" i="9"/>
  <c r="G130" i="9"/>
  <c r="F130" i="9"/>
  <c r="C130" i="9"/>
  <c r="D130" i="9"/>
  <c r="G129" i="9"/>
  <c r="F129" i="9"/>
  <c r="C129" i="9"/>
  <c r="D129" i="9"/>
  <c r="G116" i="9"/>
  <c r="F116" i="9"/>
  <c r="C116" i="9"/>
  <c r="D116" i="9"/>
  <c r="G115" i="9"/>
  <c r="F115" i="9"/>
  <c r="C115" i="9"/>
  <c r="D115" i="9"/>
  <c r="G88" i="9"/>
  <c r="F88" i="9"/>
  <c r="C88" i="9"/>
  <c r="D88" i="9"/>
  <c r="G143" i="9"/>
  <c r="F143" i="9"/>
  <c r="C143" i="9"/>
  <c r="D143" i="9"/>
  <c r="I152" i="9"/>
  <c r="I151" i="9"/>
  <c r="I150" i="9"/>
  <c r="I149" i="9"/>
  <c r="I148" i="9"/>
  <c r="I147" i="9"/>
  <c r="I146" i="9"/>
  <c r="I145" i="9"/>
  <c r="I144" i="9"/>
  <c r="I132" i="9"/>
  <c r="I131" i="9"/>
  <c r="I128" i="9"/>
  <c r="I127" i="9"/>
  <c r="I126" i="9"/>
  <c r="J126" i="9" s="1"/>
  <c r="I125" i="9"/>
  <c r="J125" i="9" s="1"/>
  <c r="I124" i="9"/>
  <c r="I123" i="9"/>
  <c r="I122" i="9"/>
  <c r="I121" i="9"/>
  <c r="I120" i="9"/>
  <c r="I119" i="9"/>
  <c r="J119" i="9" s="1"/>
  <c r="I118" i="9"/>
  <c r="I117" i="9"/>
  <c r="I114" i="9"/>
  <c r="I113" i="9"/>
  <c r="I112" i="9"/>
  <c r="I111" i="9"/>
  <c r="J111" i="9" s="1"/>
  <c r="I110" i="9"/>
  <c r="I109" i="9"/>
  <c r="I108" i="9"/>
  <c r="J108" i="9" s="1"/>
  <c r="I107" i="9"/>
  <c r="I106" i="9"/>
  <c r="I105" i="9"/>
  <c r="I104" i="9"/>
  <c r="I103" i="9"/>
  <c r="I100" i="9"/>
  <c r="J100" i="9" s="1"/>
  <c r="I99" i="9"/>
  <c r="I98" i="9"/>
  <c r="J98" i="9" s="1"/>
  <c r="I97" i="9"/>
  <c r="I96" i="9"/>
  <c r="I95" i="9"/>
  <c r="I94" i="9"/>
  <c r="I93" i="9"/>
  <c r="I92" i="9"/>
  <c r="J92" i="9" s="1"/>
  <c r="I91" i="9"/>
  <c r="J91" i="9" s="1"/>
  <c r="I90" i="9"/>
  <c r="I89" i="9"/>
  <c r="J89" i="9"/>
  <c r="I86" i="9"/>
  <c r="J86" i="9"/>
  <c r="I85" i="9"/>
  <c r="J85" i="9"/>
  <c r="I84" i="9"/>
  <c r="J84" i="9"/>
  <c r="I83" i="9"/>
  <c r="J83" i="9"/>
  <c r="I82" i="9"/>
  <c r="I81" i="9"/>
  <c r="J81" i="9"/>
  <c r="I134" i="9"/>
  <c r="I133" i="9"/>
  <c r="M15" i="8"/>
  <c r="L15" i="8"/>
  <c r="J15" i="8"/>
  <c r="I15" i="8"/>
  <c r="F15" i="8"/>
  <c r="E15" i="8"/>
  <c r="D15" i="8"/>
  <c r="G15" i="8"/>
  <c r="M16" i="8"/>
  <c r="L16" i="8"/>
  <c r="J16" i="8"/>
  <c r="I16" i="8"/>
  <c r="F16" i="8"/>
  <c r="E16" i="8"/>
  <c r="D16" i="8"/>
  <c r="G16" i="8"/>
  <c r="C16" i="8"/>
  <c r="H16" i="8"/>
  <c r="M17" i="8"/>
  <c r="L17" i="8"/>
  <c r="K17" i="8"/>
  <c r="J17" i="8"/>
  <c r="I17" i="8"/>
  <c r="D17" i="8"/>
  <c r="G17" i="8"/>
  <c r="M18" i="8"/>
  <c r="L18" i="8"/>
  <c r="J18" i="8"/>
  <c r="I18" i="8"/>
  <c r="D18" i="8"/>
  <c r="G18" i="8"/>
  <c r="M19" i="8"/>
  <c r="L19" i="8"/>
  <c r="K19" i="8"/>
  <c r="J19" i="8"/>
  <c r="I19" i="8"/>
  <c r="D19" i="8"/>
  <c r="G19" i="8"/>
  <c r="M20" i="8"/>
  <c r="L20" i="8"/>
  <c r="J20" i="8"/>
  <c r="I20" i="8"/>
  <c r="F20" i="8"/>
  <c r="E20" i="8"/>
  <c r="D20" i="8"/>
  <c r="G20" i="8"/>
  <c r="C20" i="8"/>
  <c r="H20" i="8"/>
  <c r="M21" i="8"/>
  <c r="L21" i="8"/>
  <c r="K21" i="8"/>
  <c r="J21" i="8"/>
  <c r="I21" i="8"/>
  <c r="F21" i="8"/>
  <c r="E21" i="8"/>
  <c r="D21" i="8"/>
  <c r="C21" i="8"/>
  <c r="I142" i="9"/>
  <c r="I141" i="9"/>
  <c r="I140" i="9"/>
  <c r="I139" i="9"/>
  <c r="I138" i="9"/>
  <c r="I137" i="9"/>
  <c r="I136" i="9"/>
  <c r="I135" i="9"/>
  <c r="I130" i="9"/>
  <c r="I129" i="9"/>
  <c r="I116" i="9"/>
  <c r="I115" i="9"/>
  <c r="I102" i="9"/>
  <c r="I101" i="9"/>
  <c r="I88" i="9"/>
  <c r="J88" i="9"/>
  <c r="I87" i="9"/>
  <c r="J87" i="9"/>
  <c r="I143" i="9"/>
  <c r="AH26" i="18"/>
  <c r="AH25" i="18"/>
  <c r="AH24" i="18"/>
  <c r="AA26" i="18"/>
  <c r="AB26" i="18"/>
  <c r="X24" i="18"/>
  <c r="Y24" i="18"/>
  <c r="Z24" i="18"/>
  <c r="AA24" i="18"/>
  <c r="AB24" i="18"/>
  <c r="AC24" i="18"/>
  <c r="AD24" i="18"/>
  <c r="AE24" i="18"/>
  <c r="AF24" i="18"/>
  <c r="AG24" i="18"/>
  <c r="X26" i="18"/>
  <c r="Y26" i="18"/>
  <c r="Z26" i="18"/>
  <c r="AC26" i="18"/>
  <c r="AD26" i="18"/>
  <c r="AE26" i="18"/>
  <c r="AF26" i="18"/>
  <c r="AG26" i="18"/>
  <c r="AA25" i="18"/>
  <c r="AB25" i="18"/>
  <c r="X25" i="18"/>
  <c r="Y25" i="18"/>
  <c r="Z25" i="18"/>
  <c r="AC25" i="18"/>
  <c r="AD25" i="18"/>
  <c r="AE25" i="18"/>
  <c r="AF25" i="18"/>
  <c r="AG25" i="18"/>
  <c r="AH23" i="18"/>
  <c r="AG23" i="18"/>
  <c r="AF23" i="18"/>
  <c r="AE23" i="18"/>
  <c r="AD23" i="18"/>
  <c r="AC23" i="18"/>
  <c r="AB23" i="18"/>
  <c r="AA23" i="18"/>
  <c r="Z23" i="18"/>
  <c r="Y23" i="18"/>
  <c r="X23" i="18"/>
  <c r="N4" i="19"/>
  <c r="O23" i="18" s="1"/>
  <c r="P5" i="19"/>
  <c r="Q24" i="18"/>
  <c r="G9" i="8"/>
  <c r="G8" i="8"/>
  <c r="G7" i="8"/>
  <c r="G6" i="8"/>
  <c r="G5" i="8"/>
  <c r="G4" i="8"/>
  <c r="G7" i="21"/>
  <c r="D144" i="9"/>
  <c r="D147" i="9"/>
  <c r="D150" i="9"/>
  <c r="D145" i="9"/>
  <c r="D148" i="9"/>
  <c r="Q4" i="19"/>
  <c r="R23" i="18" s="1"/>
  <c r="AE256" i="20"/>
  <c r="AD256" i="20"/>
  <c r="AC256" i="20"/>
  <c r="AB256" i="20"/>
  <c r="AA256" i="20"/>
  <c r="Z256" i="20"/>
  <c r="Y256" i="20"/>
  <c r="X256" i="20"/>
  <c r="W256" i="20"/>
  <c r="V256" i="20"/>
  <c r="U256" i="20"/>
  <c r="T256" i="20"/>
  <c r="S256" i="20"/>
  <c r="R256" i="20"/>
  <c r="Q256" i="20"/>
  <c r="P256" i="20"/>
  <c r="O256" i="20"/>
  <c r="N256" i="20"/>
  <c r="Z13" i="20"/>
  <c r="AD13" i="20"/>
  <c r="AE144" i="18"/>
  <c r="AH4" i="19"/>
  <c r="Z4" i="20"/>
  <c r="AD4" i="20"/>
  <c r="AE135" i="18" s="1"/>
  <c r="E115" i="9"/>
  <c r="E130" i="9"/>
  <c r="E91" i="9"/>
  <c r="E94" i="9"/>
  <c r="E103" i="9"/>
  <c r="E106" i="9"/>
  <c r="E118" i="9"/>
  <c r="E127" i="9"/>
  <c r="O6" i="21"/>
  <c r="K256" i="20"/>
  <c r="I256" i="20"/>
  <c r="S9" i="19"/>
  <c r="I13" i="19"/>
  <c r="J13" i="19"/>
  <c r="K13" i="19"/>
  <c r="E116" i="9"/>
  <c r="E129" i="9"/>
  <c r="E92" i="9"/>
  <c r="E93" i="9"/>
  <c r="E104" i="9"/>
  <c r="E105" i="9"/>
  <c r="E117" i="9"/>
  <c r="E128" i="9"/>
  <c r="E82" i="9"/>
  <c r="I10" i="19"/>
  <c r="J10" i="19"/>
  <c r="K10" i="19"/>
  <c r="I8" i="19"/>
  <c r="J8" i="19"/>
  <c r="K8" i="19"/>
  <c r="I7" i="19"/>
  <c r="J26" i="18" s="1"/>
  <c r="J7" i="19"/>
  <c r="K26" i="18" s="1"/>
  <c r="K7" i="19"/>
  <c r="L26" i="18" s="1"/>
  <c r="I6" i="19"/>
  <c r="J25" i="18" s="1"/>
  <c r="J6" i="19"/>
  <c r="K25" i="18" s="1"/>
  <c r="K6" i="19"/>
  <c r="L25" i="18" s="1"/>
  <c r="I5" i="19"/>
  <c r="J24" i="18" s="1"/>
  <c r="J5" i="19"/>
  <c r="K24" i="18" s="1"/>
  <c r="K5" i="19"/>
  <c r="L24" i="18" s="1"/>
  <c r="H8" i="21"/>
  <c r="K4" i="19"/>
  <c r="L23" i="18" s="1"/>
  <c r="J4" i="19"/>
  <c r="K23" i="18" s="1"/>
  <c r="I4" i="19"/>
  <c r="J23" i="18" s="1"/>
  <c r="I8" i="21"/>
  <c r="D256" i="20"/>
  <c r="E256" i="20"/>
  <c r="F256" i="20"/>
  <c r="G256" i="20"/>
  <c r="H256" i="20"/>
  <c r="J256" i="20"/>
  <c r="L256" i="20"/>
  <c r="M256" i="20"/>
  <c r="C92" i="21"/>
  <c r="D92" i="21"/>
  <c r="F92" i="21"/>
  <c r="G92" i="21"/>
  <c r="C101" i="21"/>
  <c r="D101" i="21"/>
  <c r="F101" i="21"/>
  <c r="G101" i="21"/>
  <c r="C104" i="21"/>
  <c r="D104" i="21"/>
  <c r="F104" i="21"/>
  <c r="G104" i="21"/>
  <c r="C113" i="21"/>
  <c r="D113" i="21"/>
  <c r="F113" i="21"/>
  <c r="G113" i="21"/>
  <c r="C116" i="21"/>
  <c r="D116" i="21"/>
  <c r="F116" i="21"/>
  <c r="G116" i="21"/>
  <c r="C125" i="21"/>
  <c r="D125" i="21"/>
  <c r="F125" i="21"/>
  <c r="G125" i="21"/>
  <c r="C128" i="21"/>
  <c r="D128" i="21"/>
  <c r="F128" i="21"/>
  <c r="G128" i="21"/>
  <c r="C137" i="21"/>
  <c r="D137" i="21"/>
  <c r="F137" i="21"/>
  <c r="G137" i="21"/>
  <c r="C140" i="21"/>
  <c r="D140" i="21"/>
  <c r="F140" i="21"/>
  <c r="G140" i="21"/>
  <c r="I143" i="21"/>
  <c r="I95" i="21"/>
  <c r="J95" i="21"/>
  <c r="J97" i="21"/>
  <c r="C102" i="21"/>
  <c r="D102" i="21"/>
  <c r="F102" i="21"/>
  <c r="G102" i="21"/>
  <c r="I102" i="21"/>
  <c r="J102" i="21" s="1"/>
  <c r="C103" i="21"/>
  <c r="D103" i="21"/>
  <c r="F103" i="21"/>
  <c r="G103" i="21"/>
  <c r="I103" i="21"/>
  <c r="C114" i="21"/>
  <c r="D114" i="21"/>
  <c r="F114" i="21"/>
  <c r="G114" i="21"/>
  <c r="I114" i="21"/>
  <c r="C115" i="21"/>
  <c r="D115" i="21"/>
  <c r="F115" i="21"/>
  <c r="G115" i="21"/>
  <c r="I115" i="21"/>
  <c r="C126" i="21"/>
  <c r="D126" i="21"/>
  <c r="F126" i="21"/>
  <c r="G126" i="21"/>
  <c r="I126" i="21"/>
  <c r="C127" i="21"/>
  <c r="D127" i="21"/>
  <c r="F127" i="21"/>
  <c r="G127" i="21"/>
  <c r="I127" i="21"/>
  <c r="C138" i="21"/>
  <c r="D138" i="21"/>
  <c r="F138" i="21"/>
  <c r="G138" i="21"/>
  <c r="I138" i="21"/>
  <c r="C139" i="21"/>
  <c r="D139" i="21"/>
  <c r="F139" i="21"/>
  <c r="G139" i="21"/>
  <c r="J99" i="21"/>
  <c r="G91" i="21"/>
  <c r="F91" i="21"/>
  <c r="D91" i="21"/>
  <c r="C91" i="21"/>
  <c r="J94" i="21"/>
  <c r="I91" i="21"/>
  <c r="J91" i="21"/>
  <c r="I139" i="21"/>
  <c r="J96" i="21"/>
  <c r="C95" i="21"/>
  <c r="D95" i="21"/>
  <c r="F95" i="21"/>
  <c r="G95" i="21"/>
  <c r="C98" i="21"/>
  <c r="D98" i="21"/>
  <c r="F98" i="21"/>
  <c r="G98" i="21"/>
  <c r="I98" i="21"/>
  <c r="J98" i="21"/>
  <c r="C107" i="21"/>
  <c r="D107" i="21"/>
  <c r="F107" i="21"/>
  <c r="G107" i="21"/>
  <c r="I107" i="21"/>
  <c r="C110" i="21"/>
  <c r="D110" i="21"/>
  <c r="F110" i="21"/>
  <c r="G110" i="21"/>
  <c r="I110" i="21"/>
  <c r="J110" i="21" s="1"/>
  <c r="C119" i="21"/>
  <c r="D119" i="21"/>
  <c r="F119" i="21"/>
  <c r="G119" i="21"/>
  <c r="I119" i="21"/>
  <c r="C122" i="21"/>
  <c r="D122" i="21"/>
  <c r="F122" i="21"/>
  <c r="G122" i="21"/>
  <c r="I122" i="21"/>
  <c r="C131" i="21"/>
  <c r="D131" i="21"/>
  <c r="F131" i="21"/>
  <c r="G131" i="21"/>
  <c r="I131" i="21"/>
  <c r="C134" i="21"/>
  <c r="D134" i="21"/>
  <c r="F134" i="21"/>
  <c r="G134" i="21"/>
  <c r="I134" i="21"/>
  <c r="C143" i="21"/>
  <c r="D143" i="21"/>
  <c r="F143" i="21"/>
  <c r="G143" i="21"/>
  <c r="G8" i="21"/>
  <c r="G9" i="21"/>
  <c r="E133" i="9"/>
  <c r="E97" i="9"/>
  <c r="E100" i="9"/>
  <c r="E109" i="9"/>
  <c r="E112" i="9"/>
  <c r="E121" i="9"/>
  <c r="E124" i="9"/>
  <c r="E88" i="9"/>
  <c r="E85" i="9"/>
  <c r="E81" i="9"/>
  <c r="E143" i="9"/>
  <c r="E135" i="9"/>
  <c r="E136" i="9"/>
  <c r="E137" i="9"/>
  <c r="E138" i="9"/>
  <c r="E139" i="9"/>
  <c r="E140" i="9"/>
  <c r="E141" i="9"/>
  <c r="E142" i="9"/>
  <c r="E144" i="9"/>
  <c r="E145" i="9"/>
  <c r="E146" i="9"/>
  <c r="E147" i="9"/>
  <c r="E148" i="9"/>
  <c r="E149" i="9"/>
  <c r="E150" i="9"/>
  <c r="E151" i="9"/>
  <c r="E152" i="9"/>
  <c r="I11" i="9"/>
  <c r="L11" i="8"/>
  <c r="K11" i="8"/>
  <c r="M11" i="8"/>
  <c r="J11" i="8"/>
  <c r="L10" i="8"/>
  <c r="K10" i="8"/>
  <c r="M10" i="8"/>
  <c r="J10" i="8"/>
  <c r="L7" i="8"/>
  <c r="K7" i="8"/>
  <c r="J7" i="8"/>
  <c r="L6" i="8"/>
  <c r="K6" i="8"/>
  <c r="J6" i="8"/>
  <c r="L5" i="8"/>
  <c r="K5" i="8"/>
  <c r="J5" i="8"/>
  <c r="C4" i="8"/>
  <c r="I4" i="9"/>
  <c r="C5" i="8"/>
  <c r="I5" i="9" s="1"/>
  <c r="C6" i="8"/>
  <c r="I6" i="9"/>
  <c r="C7" i="8"/>
  <c r="I7" i="9"/>
  <c r="C8" i="8"/>
  <c r="I8" i="9" s="1"/>
  <c r="C9" i="8"/>
  <c r="I9" i="9"/>
  <c r="C10" i="8"/>
  <c r="I10" i="9"/>
  <c r="D4" i="8"/>
  <c r="D5" i="8"/>
  <c r="D6" i="8"/>
  <c r="D7" i="8"/>
  <c r="D8" i="8"/>
  <c r="D9" i="8"/>
  <c r="D10" i="8"/>
  <c r="N4" i="8"/>
  <c r="N5" i="8"/>
  <c r="N6" i="8"/>
  <c r="N7" i="8"/>
  <c r="N8" i="8"/>
  <c r="N9" i="8"/>
  <c r="N10" i="8"/>
  <c r="AI23" i="18"/>
  <c r="L4" i="19"/>
  <c r="M23" i="18" s="1"/>
  <c r="E140" i="21"/>
  <c r="E137" i="21"/>
  <c r="E128" i="21"/>
  <c r="E125" i="21"/>
  <c r="E116" i="21"/>
  <c r="E113" i="21"/>
  <c r="E104" i="21"/>
  <c r="E101" i="21"/>
  <c r="E91" i="21"/>
  <c r="L13" i="19"/>
  <c r="E139" i="21"/>
  <c r="E138" i="21"/>
  <c r="E127" i="21"/>
  <c r="E126" i="21"/>
  <c r="E115" i="21"/>
  <c r="E114" i="21"/>
  <c r="E103" i="21"/>
  <c r="E102" i="21"/>
  <c r="E143" i="21"/>
  <c r="E134" i="21"/>
  <c r="E131" i="21"/>
  <c r="E122" i="21"/>
  <c r="E119" i="21"/>
  <c r="E110" i="21"/>
  <c r="E107" i="21"/>
  <c r="E98" i="21"/>
  <c r="E95" i="21"/>
  <c r="E92" i="21"/>
  <c r="L8" i="21"/>
  <c r="K8" i="21"/>
  <c r="J8" i="21"/>
  <c r="L5" i="19"/>
  <c r="M24" i="18" s="1"/>
  <c r="L6" i="19"/>
  <c r="M25" i="18" s="1"/>
  <c r="L7" i="19"/>
  <c r="M26" i="18" s="1"/>
  <c r="L8" i="19"/>
  <c r="L10" i="19"/>
  <c r="AE102" i="20" l="1"/>
  <c r="AC102" i="20"/>
  <c r="AB102" i="20"/>
  <c r="AA102" i="20"/>
  <c r="Z102" i="20"/>
  <c r="Y102" i="20"/>
  <c r="X102" i="20"/>
  <c r="W102" i="20"/>
  <c r="V102" i="20"/>
  <c r="K102" i="20"/>
  <c r="I102" i="20"/>
  <c r="AD102" i="20" s="1"/>
  <c r="J102" i="20"/>
  <c r="L102" i="20"/>
  <c r="M102" i="20"/>
  <c r="AE94" i="20"/>
  <c r="AC94" i="20"/>
  <c r="AB94" i="20"/>
  <c r="AA94" i="20"/>
  <c r="Z94" i="20"/>
  <c r="Y94" i="20"/>
  <c r="X94" i="20"/>
  <c r="W94" i="20"/>
  <c r="V94" i="20"/>
  <c r="K94" i="20"/>
  <c r="I94" i="20"/>
  <c r="AD94" i="20" s="1"/>
  <c r="J94" i="20"/>
  <c r="L94" i="20"/>
  <c r="M94" i="20"/>
  <c r="AE111" i="20"/>
  <c r="AB130" i="9" s="1"/>
  <c r="AC111" i="20"/>
  <c r="Z130" i="9" s="1"/>
  <c r="AB111" i="20"/>
  <c r="Y130" i="9" s="1"/>
  <c r="AA111" i="20"/>
  <c r="X130" i="9" s="1"/>
  <c r="Z111" i="20"/>
  <c r="Y111" i="20"/>
  <c r="V130" i="9" s="1"/>
  <c r="X111" i="20"/>
  <c r="U130" i="9" s="1"/>
  <c r="W111" i="20"/>
  <c r="T130" i="9" s="1"/>
  <c r="V111" i="20"/>
  <c r="S130" i="9" s="1"/>
  <c r="U111" i="20"/>
  <c r="R130" i="9" s="1"/>
  <c r="T111" i="20"/>
  <c r="Q130" i="9" s="1"/>
  <c r="S111" i="20"/>
  <c r="P130" i="9" s="1"/>
  <c r="R111" i="20"/>
  <c r="O130" i="9" s="1"/>
  <c r="Q111" i="20"/>
  <c r="N130" i="9" s="1"/>
  <c r="P111" i="20"/>
  <c r="M130" i="9" s="1"/>
  <c r="O111" i="20"/>
  <c r="L130" i="9" s="1"/>
  <c r="N111" i="20"/>
  <c r="K130" i="9" s="1"/>
  <c r="K111" i="20"/>
  <c r="I111" i="20"/>
  <c r="AD111" i="20" s="1"/>
  <c r="J111" i="20"/>
  <c r="I140" i="21" s="1"/>
  <c r="L111" i="20"/>
  <c r="M111" i="20"/>
  <c r="AE103" i="20"/>
  <c r="AB82" i="9" s="1"/>
  <c r="AC103" i="20"/>
  <c r="Z82" i="9" s="1"/>
  <c r="AB103" i="20"/>
  <c r="Y82" i="9" s="1"/>
  <c r="AA103" i="20"/>
  <c r="X82" i="9" s="1"/>
  <c r="Z103" i="20"/>
  <c r="Y103" i="20"/>
  <c r="V82" i="9" s="1"/>
  <c r="X103" i="20"/>
  <c r="U82" i="9" s="1"/>
  <c r="W103" i="20"/>
  <c r="T82" i="9" s="1"/>
  <c r="V103" i="20"/>
  <c r="S82" i="9" s="1"/>
  <c r="U103" i="20"/>
  <c r="R82" i="9" s="1"/>
  <c r="T103" i="20"/>
  <c r="Q82" i="9" s="1"/>
  <c r="S103" i="20"/>
  <c r="P82" i="9" s="1"/>
  <c r="R103" i="20"/>
  <c r="O82" i="9" s="1"/>
  <c r="Q103" i="20"/>
  <c r="N82" i="9" s="1"/>
  <c r="P103" i="20"/>
  <c r="M82" i="9" s="1"/>
  <c r="O103" i="20"/>
  <c r="L82" i="9" s="1"/>
  <c r="N103" i="20"/>
  <c r="K82" i="9" s="1"/>
  <c r="K103" i="20"/>
  <c r="I103" i="20"/>
  <c r="AD103" i="20" s="1"/>
  <c r="J103" i="20"/>
  <c r="I92" i="21" s="1"/>
  <c r="L103" i="20"/>
  <c r="M103" i="20"/>
  <c r="AE120" i="20"/>
  <c r="AC120" i="20"/>
  <c r="AB120" i="20"/>
  <c r="AA120" i="20"/>
  <c r="Z120" i="20"/>
  <c r="Y120" i="20"/>
  <c r="X120" i="20"/>
  <c r="W120" i="20"/>
  <c r="V120" i="20"/>
  <c r="K120" i="20"/>
  <c r="I120" i="20"/>
  <c r="AD120" i="20" s="1"/>
  <c r="J120" i="20"/>
  <c r="L120" i="20"/>
  <c r="M120" i="20"/>
  <c r="AE112" i="20"/>
  <c r="AC112" i="20"/>
  <c r="AB112" i="20"/>
  <c r="AA112" i="20"/>
  <c r="Z112" i="20"/>
  <c r="Y112" i="20"/>
  <c r="X112" i="20"/>
  <c r="W112" i="20"/>
  <c r="V112" i="20"/>
  <c r="K112" i="20"/>
  <c r="I112" i="20"/>
  <c r="AD112" i="20" s="1"/>
  <c r="J112" i="20"/>
  <c r="L112" i="20"/>
  <c r="M112" i="20"/>
  <c r="AE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K129" i="20"/>
  <c r="I129" i="20"/>
  <c r="AD129" i="20" s="1"/>
  <c r="J129" i="20"/>
  <c r="L129" i="20"/>
  <c r="M129" i="20"/>
  <c r="AE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K121" i="20"/>
  <c r="I121" i="20"/>
  <c r="AD121" i="20" s="1"/>
  <c r="J121" i="20"/>
  <c r="L121" i="20"/>
  <c r="M121" i="20"/>
  <c r="AE100" i="20"/>
  <c r="AC100" i="20"/>
  <c r="AB100" i="20"/>
  <c r="AA100" i="20"/>
  <c r="Z100" i="20"/>
  <c r="Y100" i="20"/>
  <c r="X100" i="20"/>
  <c r="W100" i="20"/>
  <c r="V100" i="20"/>
  <c r="K100" i="20"/>
  <c r="I100" i="20"/>
  <c r="AD100" i="20" s="1"/>
  <c r="J100" i="20"/>
  <c r="L100" i="20"/>
  <c r="M100" i="20"/>
  <c r="AE109" i="20"/>
  <c r="AB118" i="9" s="1"/>
  <c r="AC109" i="20"/>
  <c r="Z118" i="9" s="1"/>
  <c r="AB109" i="20"/>
  <c r="Y118" i="9" s="1"/>
  <c r="AA109" i="20"/>
  <c r="X118" i="9" s="1"/>
  <c r="Z109" i="20"/>
  <c r="Y109" i="20"/>
  <c r="V118" i="9" s="1"/>
  <c r="X109" i="20"/>
  <c r="U118" i="9" s="1"/>
  <c r="W109" i="20"/>
  <c r="T118" i="9" s="1"/>
  <c r="V109" i="20"/>
  <c r="S118" i="9" s="1"/>
  <c r="U109" i="20"/>
  <c r="R118" i="9" s="1"/>
  <c r="T109" i="20"/>
  <c r="Q118" i="9" s="1"/>
  <c r="S109" i="20"/>
  <c r="P118" i="9" s="1"/>
  <c r="R109" i="20"/>
  <c r="O118" i="9" s="1"/>
  <c r="Q109" i="20"/>
  <c r="N118" i="9" s="1"/>
  <c r="P109" i="20"/>
  <c r="M118" i="9" s="1"/>
  <c r="O109" i="20"/>
  <c r="L118" i="9" s="1"/>
  <c r="N109" i="20"/>
  <c r="K118" i="9" s="1"/>
  <c r="K109" i="20"/>
  <c r="I109" i="20"/>
  <c r="AD109" i="20" s="1"/>
  <c r="J109" i="20"/>
  <c r="I128" i="21" s="1"/>
  <c r="L109" i="20"/>
  <c r="M109" i="20"/>
  <c r="AE118" i="20"/>
  <c r="AC118" i="20"/>
  <c r="AB118" i="20"/>
  <c r="AA118" i="20"/>
  <c r="Z118" i="20"/>
  <c r="Y118" i="20"/>
  <c r="X118" i="20"/>
  <c r="W118" i="20"/>
  <c r="V118" i="20"/>
  <c r="K118" i="20"/>
  <c r="I118" i="20"/>
  <c r="AD118" i="20" s="1"/>
  <c r="J118" i="20"/>
  <c r="L118" i="20"/>
  <c r="M118" i="20"/>
  <c r="AE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K127" i="20"/>
  <c r="I127" i="20"/>
  <c r="AD127" i="20" s="1"/>
  <c r="J127" i="20"/>
  <c r="L127" i="20"/>
  <c r="M127" i="20"/>
  <c r="AE95" i="20"/>
  <c r="AC95" i="20"/>
  <c r="AB95" i="20"/>
  <c r="AA95" i="20"/>
  <c r="Z95" i="20"/>
  <c r="Y95" i="20"/>
  <c r="X95" i="20"/>
  <c r="W95" i="20"/>
  <c r="V95" i="20"/>
  <c r="K95" i="20"/>
  <c r="I95" i="20"/>
  <c r="AD95" i="20" s="1"/>
  <c r="J95" i="20"/>
  <c r="L95" i="20"/>
  <c r="M95" i="20"/>
  <c r="AE97" i="20"/>
  <c r="AC97" i="20"/>
  <c r="AB97" i="20"/>
  <c r="AA97" i="20"/>
  <c r="Z97" i="20"/>
  <c r="Y97" i="20"/>
  <c r="X97" i="20"/>
  <c r="W97" i="20"/>
  <c r="V97" i="20"/>
  <c r="K97" i="20"/>
  <c r="I97" i="20"/>
  <c r="AD97" i="20" s="1"/>
  <c r="J97" i="20"/>
  <c r="L97" i="20"/>
  <c r="M97" i="20"/>
  <c r="AE98" i="20"/>
  <c r="AC98" i="20"/>
  <c r="AB98" i="20"/>
  <c r="AA98" i="20"/>
  <c r="Z98" i="20"/>
  <c r="Y98" i="20"/>
  <c r="X98" i="20"/>
  <c r="W98" i="20"/>
  <c r="V98" i="20"/>
  <c r="K98" i="20"/>
  <c r="I98" i="20"/>
  <c r="AD98" i="20" s="1"/>
  <c r="J98" i="20"/>
  <c r="L98" i="20"/>
  <c r="M98" i="20"/>
  <c r="AE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K128" i="20"/>
  <c r="I128" i="20"/>
  <c r="AD128" i="20" s="1"/>
  <c r="J128" i="20"/>
  <c r="L128" i="20"/>
  <c r="M128" i="20"/>
  <c r="AE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K126" i="20"/>
  <c r="I126" i="20"/>
  <c r="AD126" i="20" s="1"/>
  <c r="J126" i="20"/>
  <c r="L126" i="20"/>
  <c r="M126" i="20"/>
  <c r="AE125" i="20"/>
  <c r="AC125" i="20"/>
  <c r="AB125" i="20"/>
  <c r="AA125" i="20"/>
  <c r="Z125" i="20"/>
  <c r="Y125" i="20"/>
  <c r="X125" i="20"/>
  <c r="W125" i="20"/>
  <c r="V125" i="20"/>
  <c r="U125" i="20"/>
  <c r="T125" i="20"/>
  <c r="S125" i="20"/>
  <c r="R125" i="20"/>
  <c r="Q125" i="20"/>
  <c r="P125" i="20"/>
  <c r="O125" i="20"/>
  <c r="N125" i="20"/>
  <c r="K125" i="20"/>
  <c r="I125" i="20"/>
  <c r="AD125" i="20" s="1"/>
  <c r="J125" i="20"/>
  <c r="L125" i="20"/>
  <c r="M125" i="20"/>
  <c r="F123" i="20"/>
  <c r="AE123" i="20"/>
  <c r="AC123" i="20"/>
  <c r="AB123" i="20"/>
  <c r="AA123" i="20"/>
  <c r="Z123" i="20"/>
  <c r="Y123" i="20"/>
  <c r="X123" i="20"/>
  <c r="W123" i="20"/>
  <c r="V123" i="20"/>
  <c r="U123" i="20"/>
  <c r="T123" i="20"/>
  <c r="S123" i="20"/>
  <c r="R123" i="20"/>
  <c r="Q123" i="20"/>
  <c r="P123" i="20"/>
  <c r="O123" i="20"/>
  <c r="N123" i="20"/>
  <c r="K123" i="20"/>
  <c r="I123" i="20"/>
  <c r="AD123" i="20" s="1"/>
  <c r="J123" i="20"/>
  <c r="L123" i="20"/>
  <c r="M123" i="20"/>
  <c r="AE96" i="20"/>
  <c r="AC96" i="20"/>
  <c r="AB96" i="20"/>
  <c r="AA96" i="20"/>
  <c r="Z96" i="20"/>
  <c r="Y96" i="20"/>
  <c r="X96" i="20"/>
  <c r="W96" i="20"/>
  <c r="V96" i="20"/>
  <c r="K96" i="20"/>
  <c r="I96" i="20"/>
  <c r="AD96" i="20" s="1"/>
  <c r="J96" i="20"/>
  <c r="L96" i="20"/>
  <c r="M96" i="20"/>
  <c r="AE99" i="20"/>
  <c r="AC99" i="20"/>
  <c r="AB99" i="20"/>
  <c r="AA99" i="20"/>
  <c r="Z99" i="20"/>
  <c r="Y99" i="20"/>
  <c r="X99" i="20"/>
  <c r="W99" i="20"/>
  <c r="V99" i="20"/>
  <c r="K99" i="20"/>
  <c r="I99" i="20"/>
  <c r="AD99" i="20" s="1"/>
  <c r="J99" i="20"/>
  <c r="L99" i="20"/>
  <c r="M99" i="20"/>
  <c r="AE101" i="20"/>
  <c r="AC101" i="20"/>
  <c r="AB101" i="20"/>
  <c r="AA101" i="20"/>
  <c r="Z101" i="20"/>
  <c r="Y101" i="20"/>
  <c r="X101" i="20"/>
  <c r="W101" i="20"/>
  <c r="V101" i="20"/>
  <c r="K101" i="20"/>
  <c r="I101" i="20"/>
  <c r="AD101" i="20" s="1"/>
  <c r="J101" i="20"/>
  <c r="L101" i="20"/>
  <c r="M101" i="20"/>
  <c r="AE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K122" i="20"/>
  <c r="I122" i="20"/>
  <c r="AD122" i="20" s="1"/>
  <c r="J122" i="20"/>
  <c r="L122" i="20"/>
  <c r="M122" i="20"/>
  <c r="AE124" i="20"/>
  <c r="AC124" i="20"/>
  <c r="AB124" i="20"/>
  <c r="AA124" i="20"/>
  <c r="Z124" i="20"/>
  <c r="Y124" i="20"/>
  <c r="X124" i="20"/>
  <c r="W124" i="20"/>
  <c r="V124" i="20"/>
  <c r="U124" i="20"/>
  <c r="T124" i="20"/>
  <c r="S124" i="20"/>
  <c r="R124" i="20"/>
  <c r="Q124" i="20"/>
  <c r="P124" i="20"/>
  <c r="O124" i="20"/>
  <c r="N124" i="20"/>
  <c r="K124" i="20"/>
  <c r="I124" i="20"/>
  <c r="AD124" i="20" s="1"/>
  <c r="J124" i="20"/>
  <c r="L124" i="20"/>
  <c r="M124" i="20"/>
  <c r="AE113" i="20"/>
  <c r="AC113" i="20"/>
  <c r="AB113" i="20"/>
  <c r="AA113" i="20"/>
  <c r="Z113" i="20"/>
  <c r="Y113" i="20"/>
  <c r="X113" i="20"/>
  <c r="W113" i="20"/>
  <c r="V113" i="20"/>
  <c r="K113" i="20"/>
  <c r="I113" i="20"/>
  <c r="AD113" i="20" s="1"/>
  <c r="J113" i="20"/>
  <c r="L113" i="20"/>
  <c r="M113" i="20"/>
  <c r="F113" i="20"/>
  <c r="AE115" i="20"/>
  <c r="AC115" i="20"/>
  <c r="AB115" i="20"/>
  <c r="AA115" i="20"/>
  <c r="Z115" i="20"/>
  <c r="Y115" i="20"/>
  <c r="X115" i="20"/>
  <c r="W115" i="20"/>
  <c r="V115" i="20"/>
  <c r="K115" i="20"/>
  <c r="I115" i="20"/>
  <c r="AD115" i="20" s="1"/>
  <c r="J115" i="20"/>
  <c r="L115" i="20"/>
  <c r="M115" i="20"/>
  <c r="F114" i="20"/>
  <c r="F116" i="20"/>
  <c r="F117" i="20"/>
  <c r="F119" i="20"/>
  <c r="AE119" i="20"/>
  <c r="AC119" i="20"/>
  <c r="AB119" i="20"/>
  <c r="AA119" i="20"/>
  <c r="Z119" i="20"/>
  <c r="Y119" i="20"/>
  <c r="X119" i="20"/>
  <c r="W119" i="20"/>
  <c r="V119" i="20"/>
  <c r="K119" i="20"/>
  <c r="I119" i="20"/>
  <c r="AD119" i="20" s="1"/>
  <c r="J119" i="20"/>
  <c r="L119" i="20"/>
  <c r="M119" i="20"/>
  <c r="AE110" i="20"/>
  <c r="AB127" i="9" s="1"/>
  <c r="AC110" i="20"/>
  <c r="Z127" i="9" s="1"/>
  <c r="AB110" i="20"/>
  <c r="Y127" i="9" s="1"/>
  <c r="AA110" i="20"/>
  <c r="X127" i="9" s="1"/>
  <c r="Z110" i="20"/>
  <c r="Y110" i="20"/>
  <c r="V127" i="9" s="1"/>
  <c r="X110" i="20"/>
  <c r="U127" i="9" s="1"/>
  <c r="W110" i="20"/>
  <c r="T127" i="9" s="1"/>
  <c r="V110" i="20"/>
  <c r="S127" i="9" s="1"/>
  <c r="U110" i="20"/>
  <c r="R127" i="9" s="1"/>
  <c r="T110" i="20"/>
  <c r="Q127" i="9" s="1"/>
  <c r="S110" i="20"/>
  <c r="P127" i="9" s="1"/>
  <c r="R110" i="20"/>
  <c r="O127" i="9" s="1"/>
  <c r="Q110" i="20"/>
  <c r="N127" i="9" s="1"/>
  <c r="P110" i="20"/>
  <c r="M127" i="9" s="1"/>
  <c r="O110" i="20"/>
  <c r="L127" i="9" s="1"/>
  <c r="N110" i="20"/>
  <c r="K127" i="9" s="1"/>
  <c r="K110" i="20"/>
  <c r="I110" i="20"/>
  <c r="AD110" i="20" s="1"/>
  <c r="J110" i="20"/>
  <c r="I137" i="21" s="1"/>
  <c r="L110" i="20"/>
  <c r="M110" i="20"/>
  <c r="AE108" i="20"/>
  <c r="AB115" i="9" s="1"/>
  <c r="AC108" i="20"/>
  <c r="Z115" i="9" s="1"/>
  <c r="AB108" i="20"/>
  <c r="Y115" i="9" s="1"/>
  <c r="AA108" i="20"/>
  <c r="X115" i="9" s="1"/>
  <c r="Z108" i="20"/>
  <c r="Y108" i="20"/>
  <c r="V115" i="9" s="1"/>
  <c r="X108" i="20"/>
  <c r="U115" i="9" s="1"/>
  <c r="W108" i="20"/>
  <c r="T115" i="9" s="1"/>
  <c r="V108" i="20"/>
  <c r="S115" i="9" s="1"/>
  <c r="U108" i="20"/>
  <c r="R115" i="9" s="1"/>
  <c r="T108" i="20"/>
  <c r="Q115" i="9" s="1"/>
  <c r="S108" i="20"/>
  <c r="P115" i="9" s="1"/>
  <c r="R108" i="20"/>
  <c r="O115" i="9" s="1"/>
  <c r="Q108" i="20"/>
  <c r="N115" i="9" s="1"/>
  <c r="P108" i="20"/>
  <c r="M115" i="9" s="1"/>
  <c r="O108" i="20"/>
  <c r="L115" i="9" s="1"/>
  <c r="N108" i="20"/>
  <c r="K115" i="9" s="1"/>
  <c r="K108" i="20"/>
  <c r="I108" i="20"/>
  <c r="AD108" i="20" s="1"/>
  <c r="J108" i="20"/>
  <c r="I125" i="21" s="1"/>
  <c r="L108" i="20"/>
  <c r="M108" i="20"/>
  <c r="AE116" i="20"/>
  <c r="AC116" i="20"/>
  <c r="AB116" i="20"/>
  <c r="AA116" i="20"/>
  <c r="Z116" i="20"/>
  <c r="Y116" i="20"/>
  <c r="X116" i="20"/>
  <c r="W116" i="20"/>
  <c r="V116" i="20"/>
  <c r="K116" i="20"/>
  <c r="I116" i="20"/>
  <c r="AD116" i="20" s="1"/>
  <c r="J116" i="20"/>
  <c r="L116" i="20"/>
  <c r="M116" i="20"/>
  <c r="AE114" i="20"/>
  <c r="AC114" i="20"/>
  <c r="AB114" i="20"/>
  <c r="AA114" i="20"/>
  <c r="Z114" i="20"/>
  <c r="Y114" i="20"/>
  <c r="X114" i="20"/>
  <c r="W114" i="20"/>
  <c r="V114" i="20"/>
  <c r="K114" i="20"/>
  <c r="I114" i="20"/>
  <c r="AD114" i="20" s="1"/>
  <c r="J114" i="20"/>
  <c r="L114" i="20"/>
  <c r="M114" i="20"/>
  <c r="AE117" i="20"/>
  <c r="AC117" i="20"/>
  <c r="AB117" i="20"/>
  <c r="AA117" i="20"/>
  <c r="Z117" i="20"/>
  <c r="Y117" i="20"/>
  <c r="X117" i="20"/>
  <c r="W117" i="20"/>
  <c r="V117" i="20"/>
  <c r="K117" i="20"/>
  <c r="I117" i="20"/>
  <c r="AD117" i="20" s="1"/>
  <c r="J117" i="20"/>
  <c r="L117" i="20"/>
  <c r="M117" i="20"/>
  <c r="AE107" i="20"/>
  <c r="AB106" i="9" s="1"/>
  <c r="AC107" i="20"/>
  <c r="Z106" i="9" s="1"/>
  <c r="AB107" i="20"/>
  <c r="Y106" i="9" s="1"/>
  <c r="AA107" i="20"/>
  <c r="X106" i="9" s="1"/>
  <c r="Z107" i="20"/>
  <c r="Y107" i="20"/>
  <c r="V106" i="9" s="1"/>
  <c r="X107" i="20"/>
  <c r="U106" i="9" s="1"/>
  <c r="W107" i="20"/>
  <c r="T106" i="9" s="1"/>
  <c r="V107" i="20"/>
  <c r="S106" i="9" s="1"/>
  <c r="U107" i="20"/>
  <c r="R106" i="9" s="1"/>
  <c r="T107" i="20"/>
  <c r="Q106" i="9" s="1"/>
  <c r="S107" i="20"/>
  <c r="P106" i="9" s="1"/>
  <c r="R107" i="20"/>
  <c r="O106" i="9" s="1"/>
  <c r="Q107" i="20"/>
  <c r="N106" i="9" s="1"/>
  <c r="P107" i="20"/>
  <c r="M106" i="9" s="1"/>
  <c r="O107" i="20"/>
  <c r="L106" i="9" s="1"/>
  <c r="N107" i="20"/>
  <c r="K106" i="9" s="1"/>
  <c r="K107" i="20"/>
  <c r="I107" i="20"/>
  <c r="AD107" i="20" s="1"/>
  <c r="J107" i="20"/>
  <c r="I116" i="21" s="1"/>
  <c r="L107" i="20"/>
  <c r="M107" i="20"/>
  <c r="AE104" i="20"/>
  <c r="AB91" i="9" s="1"/>
  <c r="AC104" i="20"/>
  <c r="Z91" i="9" s="1"/>
  <c r="AB104" i="20"/>
  <c r="Y91" i="9" s="1"/>
  <c r="AA104" i="20"/>
  <c r="Z104" i="20"/>
  <c r="Y104" i="20"/>
  <c r="V91" i="9" s="1"/>
  <c r="X104" i="20"/>
  <c r="U91" i="9" s="1"/>
  <c r="W104" i="20"/>
  <c r="T91" i="9" s="1"/>
  <c r="V104" i="20"/>
  <c r="S91" i="9" s="1"/>
  <c r="U104" i="20"/>
  <c r="R91" i="9" s="1"/>
  <c r="T104" i="20"/>
  <c r="Q91" i="9" s="1"/>
  <c r="S104" i="20"/>
  <c r="P91" i="9" s="1"/>
  <c r="R104" i="20"/>
  <c r="O91" i="9" s="1"/>
  <c r="Q104" i="20"/>
  <c r="N91" i="9" s="1"/>
  <c r="P104" i="20"/>
  <c r="M91" i="9" s="1"/>
  <c r="O104" i="20"/>
  <c r="L91" i="9" s="1"/>
  <c r="N104" i="20"/>
  <c r="K91" i="9" s="1"/>
  <c r="K104" i="20"/>
  <c r="I104" i="20"/>
  <c r="AD104" i="20" s="1"/>
  <c r="J104" i="20"/>
  <c r="I101" i="21" s="1"/>
  <c r="J101" i="21" s="1"/>
  <c r="L104" i="20"/>
  <c r="M104" i="20"/>
  <c r="AE106" i="20"/>
  <c r="AB103" i="9" s="1"/>
  <c r="AC106" i="20"/>
  <c r="Z103" i="9" s="1"/>
  <c r="AB106" i="20"/>
  <c r="Y103" i="9" s="1"/>
  <c r="AA106" i="20"/>
  <c r="X103" i="9" s="1"/>
  <c r="Z106" i="20"/>
  <c r="Y106" i="20"/>
  <c r="V103" i="9" s="1"/>
  <c r="X106" i="20"/>
  <c r="U103" i="9" s="1"/>
  <c r="W106" i="20"/>
  <c r="T103" i="9" s="1"/>
  <c r="V106" i="20"/>
  <c r="S103" i="9" s="1"/>
  <c r="U106" i="20"/>
  <c r="R103" i="9" s="1"/>
  <c r="T106" i="20"/>
  <c r="Q103" i="9" s="1"/>
  <c r="S106" i="20"/>
  <c r="P103" i="9" s="1"/>
  <c r="R106" i="20"/>
  <c r="O103" i="9" s="1"/>
  <c r="Q106" i="20"/>
  <c r="N103" i="9" s="1"/>
  <c r="P106" i="20"/>
  <c r="M103" i="9" s="1"/>
  <c r="O106" i="20"/>
  <c r="L103" i="9" s="1"/>
  <c r="N106" i="20"/>
  <c r="K103" i="9" s="1"/>
  <c r="K106" i="20"/>
  <c r="I106" i="20"/>
  <c r="AD106" i="20" s="1"/>
  <c r="J106" i="20"/>
  <c r="I113" i="21" s="1"/>
  <c r="L106" i="20"/>
  <c r="M106" i="20"/>
  <c r="AE105" i="20"/>
  <c r="AB94" i="9" s="1"/>
  <c r="AC105" i="20"/>
  <c r="Z94" i="9" s="1"/>
  <c r="AB105" i="20"/>
  <c r="Y94" i="9" s="1"/>
  <c r="AA105" i="20"/>
  <c r="X94" i="9" s="1"/>
  <c r="Z105" i="20"/>
  <c r="Y105" i="20"/>
  <c r="V94" i="9" s="1"/>
  <c r="X105" i="20"/>
  <c r="U94" i="9" s="1"/>
  <c r="W105" i="20"/>
  <c r="T94" i="9" s="1"/>
  <c r="V105" i="20"/>
  <c r="S94" i="9" s="1"/>
  <c r="U105" i="20"/>
  <c r="R94" i="9" s="1"/>
  <c r="T105" i="20"/>
  <c r="Q94" i="9" s="1"/>
  <c r="S105" i="20"/>
  <c r="P94" i="9" s="1"/>
  <c r="R105" i="20"/>
  <c r="O94" i="9" s="1"/>
  <c r="Q105" i="20"/>
  <c r="N94" i="9" s="1"/>
  <c r="P105" i="20"/>
  <c r="M94" i="9" s="1"/>
  <c r="O105" i="20"/>
  <c r="L94" i="9" s="1"/>
  <c r="N105" i="20"/>
  <c r="K94" i="9" s="1"/>
  <c r="K105" i="20"/>
  <c r="I105" i="20"/>
  <c r="AD105" i="20" s="1"/>
  <c r="J105" i="20"/>
  <c r="I104" i="21" s="1"/>
  <c r="L105" i="20"/>
  <c r="M105" i="20"/>
  <c r="AI16" i="19"/>
  <c r="P20" i="8" s="1"/>
  <c r="AH16" i="19"/>
  <c r="O20" i="8" s="1"/>
  <c r="AG16" i="19"/>
  <c r="N20" i="8" s="1"/>
  <c r="AF16" i="19"/>
  <c r="AE16" i="19"/>
  <c r="AD16" i="19"/>
  <c r="AC16" i="19"/>
  <c r="AB16" i="19"/>
  <c r="AA16" i="19"/>
  <c r="Z16" i="19"/>
  <c r="Y16" i="19"/>
  <c r="X16" i="19"/>
  <c r="W16" i="19"/>
  <c r="S16" i="19"/>
  <c r="R16" i="19"/>
  <c r="M16" i="19"/>
  <c r="G16" i="19"/>
  <c r="H16" i="19"/>
  <c r="N16" i="19"/>
  <c r="O16" i="19"/>
  <c r="P16" i="19"/>
  <c r="Q16" i="19"/>
  <c r="T16" i="19"/>
  <c r="U16" i="19"/>
  <c r="V16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S17" i="19"/>
  <c r="R17" i="19"/>
  <c r="M17" i="19"/>
  <c r="G17" i="19"/>
  <c r="H17" i="19"/>
  <c r="I7" i="21" s="1"/>
  <c r="N17" i="19"/>
  <c r="O17" i="19"/>
  <c r="P17" i="19"/>
  <c r="Q17" i="19"/>
  <c r="T17" i="19"/>
  <c r="U17" i="19"/>
  <c r="V17" i="19"/>
  <c r="P9" i="7"/>
  <c r="D14" i="19"/>
  <c r="D5" i="21" s="1"/>
  <c r="D15" i="19"/>
  <c r="D6" i="21" s="1"/>
  <c r="F14" i="19"/>
  <c r="F5" i="21" s="1"/>
  <c r="E15" i="19"/>
  <c r="E6" i="21" s="1"/>
  <c r="E14" i="19"/>
  <c r="E5" i="21" s="1"/>
  <c r="G5" i="21" s="1"/>
  <c r="F15" i="19"/>
  <c r="F6" i="21" s="1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S14" i="19"/>
  <c r="R14" i="19"/>
  <c r="M14" i="19"/>
  <c r="G14" i="19"/>
  <c r="H14" i="19"/>
  <c r="N14" i="19"/>
  <c r="O14" i="19"/>
  <c r="P14" i="19"/>
  <c r="Q14" i="19"/>
  <c r="T14" i="19"/>
  <c r="U14" i="19"/>
  <c r="V14" i="19"/>
  <c r="AI15" i="19"/>
  <c r="P16" i="8" s="1"/>
  <c r="AH15" i="19"/>
  <c r="AG15" i="19"/>
  <c r="N16" i="8" s="1"/>
  <c r="AF15" i="19"/>
  <c r="X5" i="8" s="1"/>
  <c r="AE15" i="19"/>
  <c r="W5" i="8" s="1"/>
  <c r="AD15" i="19"/>
  <c r="V5" i="8" s="1"/>
  <c r="AC15" i="19"/>
  <c r="U5" i="8" s="1"/>
  <c r="AB15" i="19"/>
  <c r="T5" i="8" s="1"/>
  <c r="AA15" i="19"/>
  <c r="S5" i="8" s="1"/>
  <c r="Z15" i="19"/>
  <c r="R5" i="8" s="1"/>
  <c r="Y15" i="19"/>
  <c r="Q5" i="8" s="1"/>
  <c r="X15" i="19"/>
  <c r="P5" i="8" s="1"/>
  <c r="W15" i="19"/>
  <c r="O5" i="8" s="1"/>
  <c r="S15" i="19"/>
  <c r="R15" i="19"/>
  <c r="M15" i="19"/>
  <c r="G15" i="19"/>
  <c r="H15" i="19"/>
  <c r="I6" i="21" s="1"/>
  <c r="N15" i="19"/>
  <c r="O15" i="19"/>
  <c r="P15" i="19"/>
  <c r="Q15" i="19"/>
  <c r="T15" i="19"/>
  <c r="U15" i="19"/>
  <c r="V15" i="19"/>
  <c r="AO46" i="7" a="1"/>
  <c r="AO46" i="7" s="1"/>
  <c r="AE76" i="20"/>
  <c r="AC76" i="20"/>
  <c r="AB76" i="20"/>
  <c r="AA76" i="20"/>
  <c r="Z76" i="20"/>
  <c r="Y76" i="20"/>
  <c r="X76" i="20"/>
  <c r="W76" i="20"/>
  <c r="V76" i="20"/>
  <c r="AE93" i="20"/>
  <c r="AB129" i="9" s="1"/>
  <c r="AC93" i="20"/>
  <c r="Z129" i="9" s="1"/>
  <c r="AB93" i="20"/>
  <c r="Y129" i="9" s="1"/>
  <c r="AA93" i="20"/>
  <c r="X129" i="9" s="1"/>
  <c r="Z93" i="20"/>
  <c r="W129" i="9" s="1"/>
  <c r="Y93" i="20"/>
  <c r="V129" i="9" s="1"/>
  <c r="X93" i="20"/>
  <c r="U129" i="9" s="1"/>
  <c r="W93" i="20"/>
  <c r="T129" i="9" s="1"/>
  <c r="V93" i="20"/>
  <c r="S129" i="9" s="1"/>
  <c r="U93" i="20"/>
  <c r="R129" i="9" s="1"/>
  <c r="T93" i="20"/>
  <c r="Q129" i="9" s="1"/>
  <c r="S93" i="20"/>
  <c r="P129" i="9" s="1"/>
  <c r="R93" i="20"/>
  <c r="O129" i="9" s="1"/>
  <c r="Q93" i="20"/>
  <c r="N129" i="9" s="1"/>
  <c r="P93" i="20"/>
  <c r="M129" i="9" s="1"/>
  <c r="O93" i="20"/>
  <c r="L129" i="9" s="1"/>
  <c r="N93" i="20"/>
  <c r="K129" i="9" s="1"/>
  <c r="AE85" i="20"/>
  <c r="AB81" i="9" s="1"/>
  <c r="AC85" i="20"/>
  <c r="Z81" i="9" s="1"/>
  <c r="AB85" i="20"/>
  <c r="Y81" i="9" s="1"/>
  <c r="AA85" i="20"/>
  <c r="X81" i="9" s="1"/>
  <c r="Z85" i="20"/>
  <c r="W81" i="9" s="1"/>
  <c r="Y85" i="20"/>
  <c r="V81" i="9" s="1"/>
  <c r="X85" i="20"/>
  <c r="U81" i="9" s="1"/>
  <c r="W85" i="20"/>
  <c r="T81" i="9" s="1"/>
  <c r="V85" i="20"/>
  <c r="S81" i="9" s="1"/>
  <c r="U85" i="20"/>
  <c r="R81" i="9" s="1"/>
  <c r="T85" i="20"/>
  <c r="Q81" i="9" s="1"/>
  <c r="S85" i="20"/>
  <c r="P81" i="9" s="1"/>
  <c r="R85" i="20"/>
  <c r="O81" i="9" s="1"/>
  <c r="Q85" i="20"/>
  <c r="N81" i="9" s="1"/>
  <c r="P85" i="20"/>
  <c r="M81" i="9" s="1"/>
  <c r="O85" i="20"/>
  <c r="L81" i="9" s="1"/>
  <c r="N85" i="20"/>
  <c r="K81" i="9" s="1"/>
  <c r="AE82" i="20"/>
  <c r="AC82" i="20"/>
  <c r="AB82" i="20"/>
  <c r="AA82" i="20"/>
  <c r="Z82" i="20"/>
  <c r="Y82" i="20"/>
  <c r="X82" i="20"/>
  <c r="W82" i="20"/>
  <c r="V82" i="20"/>
  <c r="AE91" i="20"/>
  <c r="AB117" i="9" s="1"/>
  <c r="AC91" i="20"/>
  <c r="Z117" i="9" s="1"/>
  <c r="AB91" i="20"/>
  <c r="Y117" i="9" s="1"/>
  <c r="AA91" i="20"/>
  <c r="X117" i="9" s="1"/>
  <c r="Z91" i="20"/>
  <c r="W117" i="9" s="1"/>
  <c r="Y91" i="20"/>
  <c r="V117" i="9" s="1"/>
  <c r="X91" i="20"/>
  <c r="U117" i="9" s="1"/>
  <c r="W91" i="20"/>
  <c r="T117" i="9" s="1"/>
  <c r="V91" i="20"/>
  <c r="S117" i="9" s="1"/>
  <c r="U91" i="20"/>
  <c r="R117" i="9" s="1"/>
  <c r="T91" i="20"/>
  <c r="Q117" i="9" s="1"/>
  <c r="S91" i="20"/>
  <c r="P117" i="9" s="1"/>
  <c r="R91" i="20"/>
  <c r="O117" i="9" s="1"/>
  <c r="Q91" i="20"/>
  <c r="N117" i="9" s="1"/>
  <c r="P91" i="20"/>
  <c r="M117" i="9" s="1"/>
  <c r="O91" i="20"/>
  <c r="L117" i="9" s="1"/>
  <c r="N91" i="20"/>
  <c r="K117" i="9" s="1"/>
  <c r="AE77" i="20"/>
  <c r="AC77" i="20"/>
  <c r="AB77" i="20"/>
  <c r="AA77" i="20"/>
  <c r="Z77" i="20"/>
  <c r="Y77" i="20"/>
  <c r="X77" i="20"/>
  <c r="W77" i="20"/>
  <c r="V77" i="20"/>
  <c r="AE79" i="20"/>
  <c r="AC79" i="20"/>
  <c r="AB79" i="20"/>
  <c r="AA79" i="20"/>
  <c r="Z79" i="20"/>
  <c r="Y79" i="20"/>
  <c r="X79" i="20"/>
  <c r="W79" i="20"/>
  <c r="V79" i="20"/>
  <c r="AE80" i="20"/>
  <c r="AC80" i="20"/>
  <c r="AB80" i="20"/>
  <c r="AA80" i="20"/>
  <c r="Z80" i="20"/>
  <c r="Y80" i="20"/>
  <c r="X80" i="20"/>
  <c r="W80" i="20"/>
  <c r="V80" i="20"/>
  <c r="AE92" i="20"/>
  <c r="AB128" i="9" s="1"/>
  <c r="AC92" i="20"/>
  <c r="Z128" i="9" s="1"/>
  <c r="AB92" i="20"/>
  <c r="Y128" i="9" s="1"/>
  <c r="AA92" i="20"/>
  <c r="X128" i="9" s="1"/>
  <c r="Z92" i="20"/>
  <c r="W128" i="9" s="1"/>
  <c r="Y92" i="20"/>
  <c r="V128" i="9" s="1"/>
  <c r="X92" i="20"/>
  <c r="U128" i="9" s="1"/>
  <c r="W92" i="20"/>
  <c r="T128" i="9" s="1"/>
  <c r="V92" i="20"/>
  <c r="S128" i="9" s="1"/>
  <c r="U92" i="20"/>
  <c r="R128" i="9" s="1"/>
  <c r="T92" i="20"/>
  <c r="Q128" i="9" s="1"/>
  <c r="S92" i="20"/>
  <c r="P128" i="9" s="1"/>
  <c r="R92" i="20"/>
  <c r="O128" i="9" s="1"/>
  <c r="Q92" i="20"/>
  <c r="N128" i="9" s="1"/>
  <c r="P92" i="20"/>
  <c r="M128" i="9" s="1"/>
  <c r="O92" i="20"/>
  <c r="L128" i="9" s="1"/>
  <c r="N92" i="20"/>
  <c r="K128" i="9" s="1"/>
  <c r="AE90" i="20"/>
  <c r="AB116" i="9" s="1"/>
  <c r="AC90" i="20"/>
  <c r="Z116" i="9" s="1"/>
  <c r="AB90" i="20"/>
  <c r="Y116" i="9" s="1"/>
  <c r="AA90" i="20"/>
  <c r="X116" i="9" s="1"/>
  <c r="Z90" i="20"/>
  <c r="W116" i="9" s="1"/>
  <c r="Y90" i="20"/>
  <c r="V116" i="9" s="1"/>
  <c r="X90" i="20"/>
  <c r="U116" i="9" s="1"/>
  <c r="W90" i="20"/>
  <c r="T116" i="9" s="1"/>
  <c r="V90" i="20"/>
  <c r="S116" i="9" s="1"/>
  <c r="U90" i="20"/>
  <c r="R116" i="9" s="1"/>
  <c r="T90" i="20"/>
  <c r="Q116" i="9" s="1"/>
  <c r="S90" i="20"/>
  <c r="P116" i="9" s="1"/>
  <c r="R90" i="20"/>
  <c r="O116" i="9" s="1"/>
  <c r="Q90" i="20"/>
  <c r="N116" i="9" s="1"/>
  <c r="P90" i="20"/>
  <c r="M116" i="9" s="1"/>
  <c r="O90" i="20"/>
  <c r="L116" i="9" s="1"/>
  <c r="N90" i="20"/>
  <c r="K116" i="9" s="1"/>
  <c r="AE89" i="20"/>
  <c r="AB105" i="9" s="1"/>
  <c r="AC89" i="20"/>
  <c r="Z105" i="9" s="1"/>
  <c r="AB89" i="20"/>
  <c r="Y105" i="9" s="1"/>
  <c r="AA89" i="20"/>
  <c r="X105" i="9" s="1"/>
  <c r="Z89" i="20"/>
  <c r="W105" i="9" s="1"/>
  <c r="Y89" i="20"/>
  <c r="V105" i="9" s="1"/>
  <c r="X89" i="20"/>
  <c r="U105" i="9" s="1"/>
  <c r="W89" i="20"/>
  <c r="T105" i="9" s="1"/>
  <c r="V89" i="20"/>
  <c r="S105" i="9" s="1"/>
  <c r="U89" i="20"/>
  <c r="R105" i="9" s="1"/>
  <c r="T89" i="20"/>
  <c r="Q105" i="9" s="1"/>
  <c r="S89" i="20"/>
  <c r="P105" i="9" s="1"/>
  <c r="R89" i="20"/>
  <c r="O105" i="9" s="1"/>
  <c r="Q89" i="20"/>
  <c r="N105" i="9" s="1"/>
  <c r="P89" i="20"/>
  <c r="M105" i="9" s="1"/>
  <c r="O89" i="20"/>
  <c r="L105" i="9" s="1"/>
  <c r="N89" i="20"/>
  <c r="K105" i="9" s="1"/>
  <c r="AE87" i="20"/>
  <c r="AB93" i="9" s="1"/>
  <c r="AC87" i="20"/>
  <c r="Z93" i="9" s="1"/>
  <c r="AB87" i="20"/>
  <c r="Y93" i="9" s="1"/>
  <c r="AA87" i="20"/>
  <c r="X93" i="9" s="1"/>
  <c r="Z87" i="20"/>
  <c r="W93" i="9" s="1"/>
  <c r="Y87" i="20"/>
  <c r="V93" i="9" s="1"/>
  <c r="X87" i="20"/>
  <c r="U93" i="9" s="1"/>
  <c r="W87" i="20"/>
  <c r="T93" i="9" s="1"/>
  <c r="V87" i="20"/>
  <c r="S93" i="9" s="1"/>
  <c r="U87" i="20"/>
  <c r="R93" i="9" s="1"/>
  <c r="T87" i="20"/>
  <c r="Q93" i="9" s="1"/>
  <c r="S87" i="20"/>
  <c r="P93" i="9" s="1"/>
  <c r="R87" i="20"/>
  <c r="O93" i="9" s="1"/>
  <c r="Q87" i="20"/>
  <c r="N93" i="9" s="1"/>
  <c r="P87" i="20"/>
  <c r="M93" i="9" s="1"/>
  <c r="O87" i="20"/>
  <c r="L93" i="9" s="1"/>
  <c r="N87" i="20"/>
  <c r="K93" i="9" s="1"/>
  <c r="AE83" i="20"/>
  <c r="AC83" i="20"/>
  <c r="AB83" i="20"/>
  <c r="AA83" i="20"/>
  <c r="Z83" i="20"/>
  <c r="Y83" i="20"/>
  <c r="X83" i="20"/>
  <c r="W83" i="20"/>
  <c r="V83" i="20"/>
  <c r="AE86" i="20"/>
  <c r="AB92" i="9" s="1"/>
  <c r="AC86" i="20"/>
  <c r="Z92" i="9" s="1"/>
  <c r="AB86" i="20"/>
  <c r="Y92" i="9" s="1"/>
  <c r="AA86" i="20"/>
  <c r="Z86" i="20"/>
  <c r="Y86" i="20"/>
  <c r="X86" i="20"/>
  <c r="W86" i="20"/>
  <c r="T92" i="9" s="1"/>
  <c r="V86" i="20"/>
  <c r="U86" i="20"/>
  <c r="R92" i="9" s="1"/>
  <c r="T86" i="20"/>
  <c r="Q92" i="9" s="1"/>
  <c r="S86" i="20"/>
  <c r="P92" i="9" s="1"/>
  <c r="R86" i="20"/>
  <c r="O92" i="9" s="1"/>
  <c r="Q86" i="20"/>
  <c r="N92" i="9" s="1"/>
  <c r="P86" i="20"/>
  <c r="M92" i="9" s="1"/>
  <c r="O86" i="20"/>
  <c r="L92" i="9" s="1"/>
  <c r="N86" i="20"/>
  <c r="K92" i="9" s="1"/>
  <c r="AE88" i="20"/>
  <c r="AB104" i="9" s="1"/>
  <c r="AC88" i="20"/>
  <c r="Z104" i="9" s="1"/>
  <c r="AB88" i="20"/>
  <c r="Y104" i="9" s="1"/>
  <c r="AA88" i="20"/>
  <c r="X104" i="9" s="1"/>
  <c r="Z88" i="20"/>
  <c r="W104" i="9" s="1"/>
  <c r="Y88" i="20"/>
  <c r="V104" i="9" s="1"/>
  <c r="X88" i="20"/>
  <c r="U104" i="9" s="1"/>
  <c r="W88" i="20"/>
  <c r="T104" i="9" s="1"/>
  <c r="V88" i="20"/>
  <c r="S104" i="9" s="1"/>
  <c r="U88" i="20"/>
  <c r="R104" i="9" s="1"/>
  <c r="T88" i="20"/>
  <c r="Q104" i="9" s="1"/>
  <c r="S88" i="20"/>
  <c r="P104" i="9" s="1"/>
  <c r="R88" i="20"/>
  <c r="O104" i="9" s="1"/>
  <c r="Q88" i="20"/>
  <c r="N104" i="9" s="1"/>
  <c r="P88" i="20"/>
  <c r="M104" i="9" s="1"/>
  <c r="O88" i="20"/>
  <c r="L104" i="9" s="1"/>
  <c r="N88" i="20"/>
  <c r="K104" i="9" s="1"/>
  <c r="AE78" i="20"/>
  <c r="AC78" i="20"/>
  <c r="AB78" i="20"/>
  <c r="AA78" i="20"/>
  <c r="Z78" i="20"/>
  <c r="Y78" i="20"/>
  <c r="X78" i="20"/>
  <c r="W78" i="20"/>
  <c r="V78" i="20"/>
  <c r="AE81" i="20"/>
  <c r="AC81" i="20"/>
  <c r="AB81" i="20"/>
  <c r="AA81" i="20"/>
  <c r="Z81" i="20"/>
  <c r="Y81" i="20"/>
  <c r="X81" i="20"/>
  <c r="W81" i="20"/>
  <c r="V81" i="20"/>
  <c r="AI12" i="19"/>
  <c r="P19" i="8" s="1"/>
  <c r="AH12" i="19"/>
  <c r="AG12" i="19"/>
  <c r="N19" i="8" s="1"/>
  <c r="AI13" i="19"/>
  <c r="P18" i="8" s="1"/>
  <c r="AH13" i="19"/>
  <c r="AG13" i="19"/>
  <c r="N18" i="8" s="1"/>
  <c r="AF13" i="19"/>
  <c r="X7" i="8" s="1"/>
  <c r="AE13" i="19"/>
  <c r="W7" i="8" s="1"/>
  <c r="AD13" i="19"/>
  <c r="V7" i="8" s="1"/>
  <c r="AC13" i="19"/>
  <c r="U7" i="8" s="1"/>
  <c r="AB13" i="19"/>
  <c r="T7" i="8" s="1"/>
  <c r="AA13" i="19"/>
  <c r="S7" i="8" s="1"/>
  <c r="Z13" i="19"/>
  <c r="R7" i="8" s="1"/>
  <c r="Y13" i="19"/>
  <c r="Q7" i="8" s="1"/>
  <c r="X13" i="19"/>
  <c r="P7" i="8" s="1"/>
  <c r="W13" i="19"/>
  <c r="O7" i="8" s="1"/>
  <c r="AA91" i="9" a="1"/>
  <c r="AA91" i="9" s="1"/>
  <c r="W145" i="18"/>
  <c r="AD14" i="20"/>
  <c r="AE145" i="18" s="1"/>
  <c r="V6" i="20"/>
  <c r="O10" i="21"/>
  <c r="L42" i="5" a="1"/>
  <c r="L42" i="5" s="1"/>
  <c r="AW10" i="7" s="1"/>
  <c r="L22" i="5" a="1"/>
  <c r="L22" i="5" s="1"/>
  <c r="AW5" i="7" s="1"/>
  <c r="AA8" i="20" s="1"/>
  <c r="L21" i="5" a="1"/>
  <c r="L21" i="5" s="1"/>
  <c r="AW4" i="7" s="1"/>
  <c r="AH5" i="19"/>
  <c r="Z14" i="20"/>
  <c r="AA135" i="18"/>
  <c r="AE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AE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AE67" i="20"/>
  <c r="AC67" i="20"/>
  <c r="AB67" i="20"/>
  <c r="AA67" i="20"/>
  <c r="Z67" i="20"/>
  <c r="Y67" i="20"/>
  <c r="X67" i="20"/>
  <c r="W67" i="20"/>
  <c r="V67" i="20"/>
  <c r="AD67" i="20" s="1"/>
  <c r="AE64" i="20"/>
  <c r="AC64" i="20"/>
  <c r="AB64" i="20"/>
  <c r="AA64" i="20"/>
  <c r="W64" i="20"/>
  <c r="U64" i="20"/>
  <c r="T64" i="20"/>
  <c r="S64" i="20"/>
  <c r="R64" i="20"/>
  <c r="Q64" i="20"/>
  <c r="P64" i="20"/>
  <c r="O64" i="20"/>
  <c r="N64" i="20"/>
  <c r="AE73" i="20"/>
  <c r="AC73" i="20"/>
  <c r="AB73" i="20"/>
  <c r="AA73" i="20"/>
  <c r="Z73" i="20"/>
  <c r="Y73" i="20"/>
  <c r="X73" i="20"/>
  <c r="W73" i="20"/>
  <c r="V73" i="20"/>
  <c r="AD73" i="20" s="1"/>
  <c r="AE74" i="20"/>
  <c r="AC74" i="20"/>
  <c r="AB74" i="20"/>
  <c r="AA74" i="20"/>
  <c r="Z74" i="20"/>
  <c r="Y74" i="20"/>
  <c r="X74" i="20"/>
  <c r="W74" i="20"/>
  <c r="V74" i="20"/>
  <c r="AE72" i="20"/>
  <c r="AC72" i="20"/>
  <c r="AB72" i="20"/>
  <c r="AA72" i="20"/>
  <c r="Z72" i="20"/>
  <c r="Y72" i="20"/>
  <c r="X72" i="20"/>
  <c r="W72" i="20"/>
  <c r="V72" i="20"/>
  <c r="AE71" i="20"/>
  <c r="AC71" i="20"/>
  <c r="AB71" i="20"/>
  <c r="AA71" i="20"/>
  <c r="Z71" i="20"/>
  <c r="Y71" i="20"/>
  <c r="X71" i="20"/>
  <c r="W71" i="20"/>
  <c r="V71" i="20"/>
  <c r="AE69" i="20"/>
  <c r="AC69" i="20"/>
  <c r="AB69" i="20"/>
  <c r="AA69" i="20"/>
  <c r="Z69" i="20"/>
  <c r="Y69" i="20"/>
  <c r="X69" i="20"/>
  <c r="W69" i="20"/>
  <c r="V69" i="20"/>
  <c r="AE68" i="20"/>
  <c r="AC68" i="20"/>
  <c r="AB68" i="20"/>
  <c r="AA68" i="20"/>
  <c r="Z68" i="20"/>
  <c r="Y68" i="20"/>
  <c r="X68" i="20"/>
  <c r="W68" i="20"/>
  <c r="V68" i="20"/>
  <c r="AE70" i="20"/>
  <c r="AC70" i="20"/>
  <c r="AB70" i="20"/>
  <c r="AA70" i="20"/>
  <c r="Z70" i="20"/>
  <c r="Y70" i="20"/>
  <c r="X70" i="20"/>
  <c r="W70" i="20"/>
  <c r="V70" i="20"/>
  <c r="AE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AE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AE61" i="20"/>
  <c r="AC61" i="20"/>
  <c r="AB61" i="20"/>
  <c r="AA61" i="20"/>
  <c r="Z61" i="20"/>
  <c r="Y61" i="20"/>
  <c r="X61" i="20"/>
  <c r="W61" i="20"/>
  <c r="V61" i="20"/>
  <c r="AD61" i="20" s="1"/>
  <c r="U61" i="20"/>
  <c r="T61" i="20"/>
  <c r="S61" i="20"/>
  <c r="R61" i="20"/>
  <c r="Q61" i="20"/>
  <c r="P61" i="20"/>
  <c r="O61" i="20"/>
  <c r="N61" i="20"/>
  <c r="AE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AE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AE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AI10" i="19"/>
  <c r="P17" i="8" s="1"/>
  <c r="AG10" i="19"/>
  <c r="N17" i="8" s="1"/>
  <c r="AF10" i="19"/>
  <c r="X6" i="8" s="1"/>
  <c r="AE10" i="19"/>
  <c r="W6" i="8" s="1"/>
  <c r="AD10" i="19"/>
  <c r="V6" i="8" s="1"/>
  <c r="AC10" i="19"/>
  <c r="U6" i="8" s="1"/>
  <c r="AB10" i="19"/>
  <c r="T6" i="8" s="1"/>
  <c r="AA10" i="19"/>
  <c r="S6" i="8" s="1"/>
  <c r="Z10" i="19"/>
  <c r="R6" i="8" s="1"/>
  <c r="Y10" i="19"/>
  <c r="Q6" i="8" s="1"/>
  <c r="X10" i="19"/>
  <c r="P6" i="8" s="1"/>
  <c r="W10" i="19"/>
  <c r="O6" i="8" s="1"/>
  <c r="AI11" i="19"/>
  <c r="AH11" i="19"/>
  <c r="AG11" i="19"/>
  <c r="L71" i="5" a="1"/>
  <c r="L71" i="5" s="1"/>
  <c r="AW17" i="7" s="1"/>
  <c r="M5" i="8"/>
  <c r="AD29" i="20"/>
  <c r="AE160" i="18" s="1"/>
  <c r="J91" i="5" a="1"/>
  <c r="J91" i="5" s="1"/>
  <c r="L91" i="5" a="1"/>
  <c r="L91" i="5" s="1"/>
  <c r="AW22" i="7" s="1"/>
  <c r="AS22" i="7" a="1"/>
  <c r="AS22" i="7" s="1"/>
  <c r="AR22" i="7" a="1"/>
  <c r="AR22" i="7" s="1"/>
  <c r="AT22" i="7" a="1"/>
  <c r="AT22" i="7" s="1"/>
  <c r="Z39" i="20" s="1"/>
  <c r="AO22" i="7" a="1"/>
  <c r="AO22" i="7" s="1"/>
  <c r="AA160" i="18"/>
  <c r="Q6" i="19"/>
  <c r="R25" i="18" s="1"/>
  <c r="Y29" i="20"/>
  <c r="Y160" i="18"/>
  <c r="W160" i="18"/>
  <c r="Z135" i="18"/>
  <c r="Y144" i="18"/>
  <c r="AH6" i="19"/>
  <c r="N15" i="8"/>
  <c r="P15" i="8"/>
  <c r="W130" i="9"/>
  <c r="W115" i="9"/>
  <c r="W94" i="9"/>
  <c r="W106" i="9"/>
  <c r="W118" i="9"/>
  <c r="W127" i="9"/>
  <c r="W82" i="9"/>
  <c r="W103" i="9"/>
  <c r="W91" i="9"/>
  <c r="AI24" i="18"/>
  <c r="O16" i="8"/>
  <c r="AF387" i="18"/>
  <c r="AE387" i="18"/>
  <c r="AD387" i="18"/>
  <c r="AC387" i="18"/>
  <c r="AB387" i="18"/>
  <c r="AA387" i="18"/>
  <c r="Z387" i="18"/>
  <c r="Y387" i="18"/>
  <c r="X387" i="18"/>
  <c r="W387" i="18"/>
  <c r="V387" i="18"/>
  <c r="U387" i="18"/>
  <c r="T387" i="18"/>
  <c r="S387" i="18"/>
  <c r="R387" i="18"/>
  <c r="Q387" i="18"/>
  <c r="P387" i="18"/>
  <c r="O387" i="18"/>
  <c r="N387" i="18"/>
  <c r="M387" i="18"/>
  <c r="L387" i="18"/>
  <c r="K387" i="18"/>
  <c r="J387" i="18"/>
  <c r="I387" i="18"/>
  <c r="H387" i="18"/>
  <c r="G387" i="18"/>
  <c r="F387" i="18"/>
  <c r="E387" i="18"/>
  <c r="D387" i="18"/>
  <c r="C387" i="18"/>
  <c r="B387" i="18"/>
  <c r="A387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A51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A52" i="18"/>
  <c r="AF404" i="18"/>
  <c r="AE404" i="18"/>
  <c r="AD404" i="18"/>
  <c r="AC404" i="18"/>
  <c r="AB404" i="18"/>
  <c r="AA404" i="18"/>
  <c r="Z404" i="18"/>
  <c r="Y404" i="18"/>
  <c r="X404" i="18"/>
  <c r="W404" i="18"/>
  <c r="V404" i="18"/>
  <c r="U404" i="18"/>
  <c r="T404" i="18"/>
  <c r="S404" i="18"/>
  <c r="R404" i="18"/>
  <c r="Q404" i="18"/>
  <c r="P404" i="18"/>
  <c r="O404" i="18"/>
  <c r="N404" i="18"/>
  <c r="M404" i="18"/>
  <c r="L404" i="18"/>
  <c r="K404" i="18"/>
  <c r="J404" i="18"/>
  <c r="I404" i="18"/>
  <c r="H404" i="18"/>
  <c r="G404" i="18"/>
  <c r="F404" i="18"/>
  <c r="E404" i="18"/>
  <c r="D404" i="18"/>
  <c r="C404" i="18"/>
  <c r="B404" i="18"/>
  <c r="A404" i="18"/>
  <c r="AF403" i="18"/>
  <c r="AE403" i="18"/>
  <c r="AD403" i="18"/>
  <c r="AC403" i="18"/>
  <c r="AB403" i="18"/>
  <c r="AA403" i="18"/>
  <c r="Z403" i="18"/>
  <c r="Y403" i="18"/>
  <c r="X403" i="18"/>
  <c r="W403" i="18"/>
  <c r="V403" i="18"/>
  <c r="U403" i="18"/>
  <c r="T403" i="18"/>
  <c r="S403" i="18"/>
  <c r="R403" i="18"/>
  <c r="Q403" i="18"/>
  <c r="P403" i="18"/>
  <c r="O403" i="18"/>
  <c r="N403" i="18"/>
  <c r="M403" i="18"/>
  <c r="L403" i="18"/>
  <c r="K403" i="18"/>
  <c r="J403" i="18"/>
  <c r="I403" i="18"/>
  <c r="H403" i="18"/>
  <c r="G403" i="18"/>
  <c r="F403" i="18"/>
  <c r="E403" i="18"/>
  <c r="D403" i="18"/>
  <c r="C403" i="18"/>
  <c r="B403" i="18"/>
  <c r="A403" i="18"/>
  <c r="AF402" i="18"/>
  <c r="AE402" i="18"/>
  <c r="AD402" i="18"/>
  <c r="AC402" i="18"/>
  <c r="AB402" i="18"/>
  <c r="AA402" i="18"/>
  <c r="Z402" i="18"/>
  <c r="Y402" i="18"/>
  <c r="X402" i="18"/>
  <c r="W402" i="18"/>
  <c r="V402" i="18"/>
  <c r="U402" i="18"/>
  <c r="T402" i="18"/>
  <c r="S402" i="18"/>
  <c r="R402" i="18"/>
  <c r="Q402" i="18"/>
  <c r="P402" i="18"/>
  <c r="O402" i="18"/>
  <c r="N402" i="18"/>
  <c r="M402" i="18"/>
  <c r="L402" i="18"/>
  <c r="K402" i="18"/>
  <c r="J402" i="18"/>
  <c r="I402" i="18"/>
  <c r="H402" i="18"/>
  <c r="G402" i="18"/>
  <c r="F402" i="18"/>
  <c r="E402" i="18"/>
  <c r="D402" i="18"/>
  <c r="C402" i="18"/>
  <c r="B402" i="18"/>
  <c r="A402" i="18"/>
  <c r="AF401" i="18"/>
  <c r="AE401" i="18"/>
  <c r="AD401" i="18"/>
  <c r="AC401" i="18"/>
  <c r="AB401" i="18"/>
  <c r="AA401" i="18"/>
  <c r="Z401" i="18"/>
  <c r="Y401" i="18"/>
  <c r="X401" i="18"/>
  <c r="W401" i="18"/>
  <c r="V401" i="18"/>
  <c r="U401" i="18"/>
  <c r="T401" i="18"/>
  <c r="S401" i="18"/>
  <c r="R401" i="18"/>
  <c r="Q401" i="18"/>
  <c r="P401" i="18"/>
  <c r="O401" i="18"/>
  <c r="N401" i="18"/>
  <c r="M401" i="18"/>
  <c r="L401" i="18"/>
  <c r="K401" i="18"/>
  <c r="J401" i="18"/>
  <c r="I401" i="18"/>
  <c r="H401" i="18"/>
  <c r="G401" i="18"/>
  <c r="F401" i="18"/>
  <c r="E401" i="18"/>
  <c r="D401" i="18"/>
  <c r="C401" i="18"/>
  <c r="B401" i="18"/>
  <c r="A401" i="18"/>
  <c r="AF400" i="18"/>
  <c r="AE400" i="18"/>
  <c r="AD400" i="18"/>
  <c r="AC400" i="18"/>
  <c r="AB400" i="18"/>
  <c r="AA400" i="18"/>
  <c r="Z400" i="18"/>
  <c r="Y400" i="18"/>
  <c r="X400" i="18"/>
  <c r="W400" i="18"/>
  <c r="V400" i="18"/>
  <c r="U400" i="18"/>
  <c r="T400" i="18"/>
  <c r="S400" i="18"/>
  <c r="R400" i="18"/>
  <c r="Q400" i="18"/>
  <c r="P400" i="18"/>
  <c r="O400" i="18"/>
  <c r="N400" i="18"/>
  <c r="M400" i="18"/>
  <c r="L400" i="18"/>
  <c r="K400" i="18"/>
  <c r="J400" i="18"/>
  <c r="I400" i="18"/>
  <c r="H400" i="18"/>
  <c r="G400" i="18"/>
  <c r="F400" i="18"/>
  <c r="E400" i="18"/>
  <c r="D400" i="18"/>
  <c r="C400" i="18"/>
  <c r="B400" i="18"/>
  <c r="A400" i="18"/>
  <c r="AF399" i="18"/>
  <c r="AE399" i="18"/>
  <c r="AD399" i="18"/>
  <c r="AC399" i="18"/>
  <c r="AB399" i="18"/>
  <c r="AA399" i="18"/>
  <c r="Z399" i="18"/>
  <c r="Y399" i="18"/>
  <c r="X399" i="18"/>
  <c r="W399" i="18"/>
  <c r="V399" i="18"/>
  <c r="U399" i="18"/>
  <c r="T399" i="18"/>
  <c r="S399" i="18"/>
  <c r="R399" i="18"/>
  <c r="Q399" i="18"/>
  <c r="P399" i="18"/>
  <c r="O399" i="18"/>
  <c r="N399" i="18"/>
  <c r="M399" i="18"/>
  <c r="L399" i="18"/>
  <c r="K399" i="18"/>
  <c r="J399" i="18"/>
  <c r="I399" i="18"/>
  <c r="H399" i="18"/>
  <c r="G399" i="18"/>
  <c r="F399" i="18"/>
  <c r="E399" i="18"/>
  <c r="D399" i="18"/>
  <c r="C399" i="18"/>
  <c r="B399" i="18"/>
  <c r="A399" i="18"/>
  <c r="AF398" i="18"/>
  <c r="AE398" i="18"/>
  <c r="AD398" i="18"/>
  <c r="AC398" i="18"/>
  <c r="AB398" i="18"/>
  <c r="AA398" i="18"/>
  <c r="Z398" i="18"/>
  <c r="Y398" i="18"/>
  <c r="X398" i="18"/>
  <c r="W398" i="18"/>
  <c r="V398" i="18"/>
  <c r="U398" i="18"/>
  <c r="T398" i="18"/>
  <c r="S398" i="18"/>
  <c r="R398" i="18"/>
  <c r="Q398" i="18"/>
  <c r="P398" i="18"/>
  <c r="O398" i="18"/>
  <c r="N398" i="18"/>
  <c r="M398" i="18"/>
  <c r="L398" i="18"/>
  <c r="K398" i="18"/>
  <c r="J398" i="18"/>
  <c r="I398" i="18"/>
  <c r="H398" i="18"/>
  <c r="G398" i="18"/>
  <c r="F398" i="18"/>
  <c r="E398" i="18"/>
  <c r="D398" i="18"/>
  <c r="C398" i="18"/>
  <c r="B398" i="18"/>
  <c r="A398" i="18"/>
  <c r="AF397" i="18"/>
  <c r="AE397" i="18"/>
  <c r="AD397" i="18"/>
  <c r="AC397" i="18"/>
  <c r="AB397" i="18"/>
  <c r="AA397" i="18"/>
  <c r="Z397" i="18"/>
  <c r="Y397" i="18"/>
  <c r="X397" i="18"/>
  <c r="W397" i="18"/>
  <c r="V397" i="18"/>
  <c r="U397" i="18"/>
  <c r="T397" i="18"/>
  <c r="S397" i="18"/>
  <c r="R397" i="18"/>
  <c r="Q397" i="18"/>
  <c r="P397" i="18"/>
  <c r="O397" i="18"/>
  <c r="N397" i="18"/>
  <c r="M397" i="18"/>
  <c r="L397" i="18"/>
  <c r="K397" i="18"/>
  <c r="J397" i="18"/>
  <c r="I397" i="18"/>
  <c r="H397" i="18"/>
  <c r="G397" i="18"/>
  <c r="F397" i="18"/>
  <c r="E397" i="18"/>
  <c r="D397" i="18"/>
  <c r="C397" i="18"/>
  <c r="B397" i="18"/>
  <c r="A397" i="18"/>
  <c r="AF396" i="18"/>
  <c r="AE396" i="18"/>
  <c r="AD396" i="18"/>
  <c r="AC396" i="18"/>
  <c r="AB396" i="18"/>
  <c r="AA396" i="18"/>
  <c r="Z396" i="18"/>
  <c r="Y396" i="18"/>
  <c r="X396" i="18"/>
  <c r="W396" i="18"/>
  <c r="V396" i="18"/>
  <c r="U396" i="18"/>
  <c r="T396" i="18"/>
  <c r="S396" i="18"/>
  <c r="R396" i="18"/>
  <c r="Q396" i="18"/>
  <c r="P396" i="18"/>
  <c r="O396" i="18"/>
  <c r="N396" i="18"/>
  <c r="M396" i="18"/>
  <c r="L396" i="18"/>
  <c r="K396" i="18"/>
  <c r="J396" i="18"/>
  <c r="I396" i="18"/>
  <c r="H396" i="18"/>
  <c r="G396" i="18"/>
  <c r="F396" i="18"/>
  <c r="E396" i="18"/>
  <c r="D396" i="18"/>
  <c r="C396" i="18"/>
  <c r="B396" i="18"/>
  <c r="A396" i="18"/>
  <c r="AF395" i="18"/>
  <c r="AE395" i="18"/>
  <c r="AD395" i="18"/>
  <c r="AC395" i="18"/>
  <c r="AB395" i="18"/>
  <c r="AA395" i="18"/>
  <c r="Z395" i="18"/>
  <c r="Y395" i="18"/>
  <c r="X395" i="18"/>
  <c r="W395" i="18"/>
  <c r="V395" i="18"/>
  <c r="U395" i="18"/>
  <c r="T395" i="18"/>
  <c r="S395" i="18"/>
  <c r="R395" i="18"/>
  <c r="Q395" i="18"/>
  <c r="P395" i="18"/>
  <c r="O395" i="18"/>
  <c r="N395" i="18"/>
  <c r="M395" i="18"/>
  <c r="L395" i="18"/>
  <c r="K395" i="18"/>
  <c r="J395" i="18"/>
  <c r="I395" i="18"/>
  <c r="H395" i="18"/>
  <c r="G395" i="18"/>
  <c r="F395" i="18"/>
  <c r="E395" i="18"/>
  <c r="D395" i="18"/>
  <c r="C395" i="18"/>
  <c r="B395" i="18"/>
  <c r="A395" i="18"/>
  <c r="AF394" i="18"/>
  <c r="AE394" i="18"/>
  <c r="AD394" i="18"/>
  <c r="AC394" i="18"/>
  <c r="AB394" i="18"/>
  <c r="AA394" i="18"/>
  <c r="Z394" i="18"/>
  <c r="Y394" i="18"/>
  <c r="X394" i="18"/>
  <c r="W394" i="18"/>
  <c r="V394" i="18"/>
  <c r="U394" i="18"/>
  <c r="T394" i="18"/>
  <c r="S394" i="18"/>
  <c r="R394" i="18"/>
  <c r="Q394" i="18"/>
  <c r="P394" i="18"/>
  <c r="O394" i="18"/>
  <c r="N394" i="18"/>
  <c r="M394" i="18"/>
  <c r="L394" i="18"/>
  <c r="K394" i="18"/>
  <c r="J394" i="18"/>
  <c r="I394" i="18"/>
  <c r="H394" i="18"/>
  <c r="G394" i="18"/>
  <c r="F394" i="18"/>
  <c r="E394" i="18"/>
  <c r="D394" i="18"/>
  <c r="C394" i="18"/>
  <c r="B394" i="18"/>
  <c r="A394" i="18"/>
  <c r="AF393" i="18"/>
  <c r="AE393" i="18"/>
  <c r="AD393" i="18"/>
  <c r="AC393" i="18"/>
  <c r="AB393" i="18"/>
  <c r="AA393" i="18"/>
  <c r="Z393" i="18"/>
  <c r="Y393" i="18"/>
  <c r="X393" i="18"/>
  <c r="W393" i="18"/>
  <c r="V393" i="18"/>
  <c r="U393" i="18"/>
  <c r="T393" i="18"/>
  <c r="S393" i="18"/>
  <c r="R393" i="18"/>
  <c r="Q393" i="18"/>
  <c r="P393" i="18"/>
  <c r="O393" i="18"/>
  <c r="N393" i="18"/>
  <c r="M393" i="18"/>
  <c r="L393" i="18"/>
  <c r="K393" i="18"/>
  <c r="J393" i="18"/>
  <c r="I393" i="18"/>
  <c r="H393" i="18"/>
  <c r="G393" i="18"/>
  <c r="F393" i="18"/>
  <c r="E393" i="18"/>
  <c r="D393" i="18"/>
  <c r="C393" i="18"/>
  <c r="B393" i="18"/>
  <c r="A393" i="18"/>
  <c r="AF392" i="18"/>
  <c r="AE392" i="18"/>
  <c r="AD392" i="18"/>
  <c r="AC392" i="18"/>
  <c r="AB392" i="18"/>
  <c r="AA392" i="18"/>
  <c r="Z392" i="18"/>
  <c r="Y392" i="18"/>
  <c r="X392" i="18"/>
  <c r="W392" i="18"/>
  <c r="V392" i="18"/>
  <c r="U392" i="18"/>
  <c r="T392" i="18"/>
  <c r="S392" i="18"/>
  <c r="R392" i="18"/>
  <c r="Q392" i="18"/>
  <c r="P392" i="18"/>
  <c r="O392" i="18"/>
  <c r="N392" i="18"/>
  <c r="M392" i="18"/>
  <c r="L392" i="18"/>
  <c r="K392" i="18"/>
  <c r="J392" i="18"/>
  <c r="I392" i="18"/>
  <c r="H392" i="18"/>
  <c r="G392" i="18"/>
  <c r="F392" i="18"/>
  <c r="E392" i="18"/>
  <c r="D392" i="18"/>
  <c r="C392" i="18"/>
  <c r="B392" i="18"/>
  <c r="A392" i="18"/>
  <c r="AF391" i="18"/>
  <c r="AE391" i="18"/>
  <c r="AD391" i="18"/>
  <c r="AC391" i="18"/>
  <c r="AB391" i="18"/>
  <c r="AA391" i="18"/>
  <c r="Z391" i="18"/>
  <c r="Y391" i="18"/>
  <c r="X391" i="18"/>
  <c r="W391" i="18"/>
  <c r="V391" i="18"/>
  <c r="U391" i="18"/>
  <c r="T391" i="18"/>
  <c r="S391" i="18"/>
  <c r="R391" i="18"/>
  <c r="Q391" i="18"/>
  <c r="P391" i="18"/>
  <c r="O391" i="18"/>
  <c r="N391" i="18"/>
  <c r="M391" i="18"/>
  <c r="L391" i="18"/>
  <c r="K391" i="18"/>
  <c r="J391" i="18"/>
  <c r="I391" i="18"/>
  <c r="H391" i="18"/>
  <c r="G391" i="18"/>
  <c r="F391" i="18"/>
  <c r="E391" i="18"/>
  <c r="D391" i="18"/>
  <c r="C391" i="18"/>
  <c r="B391" i="18"/>
  <c r="A391" i="18"/>
  <c r="AF390" i="18"/>
  <c r="AE390" i="18"/>
  <c r="AD390" i="18"/>
  <c r="AC390" i="18"/>
  <c r="AB390" i="18"/>
  <c r="AA390" i="18"/>
  <c r="Z390" i="18"/>
  <c r="Y390" i="18"/>
  <c r="X390" i="18"/>
  <c r="W390" i="18"/>
  <c r="V390" i="18"/>
  <c r="U390" i="18"/>
  <c r="T390" i="18"/>
  <c r="S390" i="18"/>
  <c r="R390" i="18"/>
  <c r="Q390" i="18"/>
  <c r="P390" i="18"/>
  <c r="O390" i="18"/>
  <c r="N390" i="18"/>
  <c r="M390" i="18"/>
  <c r="L390" i="18"/>
  <c r="K390" i="18"/>
  <c r="J390" i="18"/>
  <c r="I390" i="18"/>
  <c r="H390" i="18"/>
  <c r="G390" i="18"/>
  <c r="F390" i="18"/>
  <c r="E390" i="18"/>
  <c r="D390" i="18"/>
  <c r="C390" i="18"/>
  <c r="B390" i="18"/>
  <c r="A390" i="18"/>
  <c r="AF389" i="18"/>
  <c r="AE389" i="18"/>
  <c r="AD389" i="18"/>
  <c r="AC389" i="18"/>
  <c r="AB389" i="18"/>
  <c r="AA389" i="18"/>
  <c r="Z389" i="18"/>
  <c r="Y389" i="18"/>
  <c r="X389" i="18"/>
  <c r="W389" i="18"/>
  <c r="V389" i="18"/>
  <c r="U389" i="18"/>
  <c r="T389" i="18"/>
  <c r="S389" i="18"/>
  <c r="R389" i="18"/>
  <c r="Q389" i="18"/>
  <c r="P389" i="18"/>
  <c r="O389" i="18"/>
  <c r="N389" i="18"/>
  <c r="M389" i="18"/>
  <c r="L389" i="18"/>
  <c r="K389" i="18"/>
  <c r="J389" i="18"/>
  <c r="I389" i="18"/>
  <c r="H389" i="18"/>
  <c r="G389" i="18"/>
  <c r="F389" i="18"/>
  <c r="E389" i="18"/>
  <c r="D389" i="18"/>
  <c r="C389" i="18"/>
  <c r="B389" i="18"/>
  <c r="A389" i="18"/>
  <c r="AF388" i="18"/>
  <c r="AE388" i="18"/>
  <c r="AD388" i="18"/>
  <c r="AC388" i="18"/>
  <c r="AB388" i="18"/>
  <c r="AA388" i="18"/>
  <c r="Z388" i="18"/>
  <c r="Y388" i="18"/>
  <c r="X388" i="18"/>
  <c r="W388" i="18"/>
  <c r="V388" i="18"/>
  <c r="U388" i="18"/>
  <c r="T388" i="18"/>
  <c r="S388" i="18"/>
  <c r="R388" i="18"/>
  <c r="Q388" i="18"/>
  <c r="P388" i="18"/>
  <c r="O388" i="18"/>
  <c r="N388" i="18"/>
  <c r="M388" i="18"/>
  <c r="L388" i="18"/>
  <c r="K388" i="18"/>
  <c r="J388" i="18"/>
  <c r="I388" i="18"/>
  <c r="H388" i="18"/>
  <c r="G388" i="18"/>
  <c r="F388" i="18"/>
  <c r="E388" i="18"/>
  <c r="D388" i="18"/>
  <c r="C388" i="18"/>
  <c r="B388" i="18"/>
  <c r="A388" i="18"/>
  <c r="AF369" i="18"/>
  <c r="AE369" i="18"/>
  <c r="AD369" i="18"/>
  <c r="AC369" i="18"/>
  <c r="AB369" i="18"/>
  <c r="AA369" i="18"/>
  <c r="Z369" i="18"/>
  <c r="Y369" i="18"/>
  <c r="X369" i="18"/>
  <c r="W369" i="18"/>
  <c r="V369" i="18"/>
  <c r="U369" i="18"/>
  <c r="T369" i="18"/>
  <c r="S369" i="18"/>
  <c r="R369" i="18"/>
  <c r="Q369" i="18"/>
  <c r="P369" i="18"/>
  <c r="O369" i="18"/>
  <c r="N369" i="18"/>
  <c r="M369" i="18"/>
  <c r="L369" i="18"/>
  <c r="K369" i="18"/>
  <c r="J369" i="18"/>
  <c r="I369" i="18"/>
  <c r="H369" i="18"/>
  <c r="G369" i="18"/>
  <c r="F369" i="18"/>
  <c r="E369" i="18"/>
  <c r="D369" i="18"/>
  <c r="C369" i="18"/>
  <c r="B369" i="18"/>
  <c r="A369" i="18"/>
  <c r="AF316" i="18"/>
  <c r="AE316" i="18"/>
  <c r="AD316" i="18"/>
  <c r="AC316" i="18"/>
  <c r="AB316" i="18"/>
  <c r="AA316" i="18"/>
  <c r="Z316" i="18"/>
  <c r="Y316" i="18"/>
  <c r="X316" i="18"/>
  <c r="W316" i="18"/>
  <c r="V316" i="18"/>
  <c r="U316" i="18"/>
  <c r="T316" i="18"/>
  <c r="S316" i="18"/>
  <c r="R316" i="18"/>
  <c r="Q316" i="18"/>
  <c r="P316" i="18"/>
  <c r="O316" i="18"/>
  <c r="N316" i="18"/>
  <c r="M316" i="18"/>
  <c r="L316" i="18"/>
  <c r="K316" i="18"/>
  <c r="J316" i="18"/>
  <c r="I316" i="18"/>
  <c r="H316" i="18"/>
  <c r="G316" i="18"/>
  <c r="F316" i="18"/>
  <c r="E316" i="18"/>
  <c r="D316" i="18"/>
  <c r="C316" i="18"/>
  <c r="B316" i="18"/>
  <c r="A316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A49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A50" i="18"/>
  <c r="AF386" i="18"/>
  <c r="AE386" i="18"/>
  <c r="AD386" i="18"/>
  <c r="AC386" i="18"/>
  <c r="AB386" i="18"/>
  <c r="AA386" i="18"/>
  <c r="Z386" i="18"/>
  <c r="Y386" i="18"/>
  <c r="X386" i="18"/>
  <c r="W386" i="18"/>
  <c r="V386" i="18"/>
  <c r="U386" i="18"/>
  <c r="T386" i="18"/>
  <c r="S386" i="18"/>
  <c r="R386" i="18"/>
  <c r="Q386" i="18"/>
  <c r="P386" i="18"/>
  <c r="O386" i="18"/>
  <c r="N386" i="18"/>
  <c r="M386" i="18"/>
  <c r="L386" i="18"/>
  <c r="K386" i="18"/>
  <c r="J386" i="18"/>
  <c r="I386" i="18"/>
  <c r="H386" i="18"/>
  <c r="G386" i="18"/>
  <c r="F386" i="18"/>
  <c r="E386" i="18"/>
  <c r="D386" i="18"/>
  <c r="C386" i="18"/>
  <c r="B386" i="18"/>
  <c r="A386" i="18"/>
  <c r="AF385" i="18"/>
  <c r="AE385" i="18"/>
  <c r="AD385" i="18"/>
  <c r="AC385" i="18"/>
  <c r="AB385" i="18"/>
  <c r="AA385" i="18"/>
  <c r="Z385" i="18"/>
  <c r="Y385" i="18"/>
  <c r="X385" i="18"/>
  <c r="W385" i="18"/>
  <c r="V385" i="18"/>
  <c r="U385" i="18"/>
  <c r="T385" i="18"/>
  <c r="S385" i="18"/>
  <c r="R385" i="18"/>
  <c r="Q385" i="18"/>
  <c r="P385" i="18"/>
  <c r="O385" i="18"/>
  <c r="N385" i="18"/>
  <c r="M385" i="18"/>
  <c r="L385" i="18"/>
  <c r="K385" i="18"/>
  <c r="J385" i="18"/>
  <c r="I385" i="18"/>
  <c r="H385" i="18"/>
  <c r="G385" i="18"/>
  <c r="F385" i="18"/>
  <c r="E385" i="18"/>
  <c r="D385" i="18"/>
  <c r="C385" i="18"/>
  <c r="B385" i="18"/>
  <c r="A385" i="18"/>
  <c r="AF384" i="18"/>
  <c r="AE384" i="18"/>
  <c r="AD384" i="18"/>
  <c r="AC384" i="18"/>
  <c r="AB384" i="18"/>
  <c r="AA384" i="18"/>
  <c r="Z384" i="18"/>
  <c r="Y384" i="18"/>
  <c r="X384" i="18"/>
  <c r="W384" i="18"/>
  <c r="V384" i="18"/>
  <c r="U384" i="18"/>
  <c r="T384" i="18"/>
  <c r="S384" i="18"/>
  <c r="R384" i="18"/>
  <c r="Q384" i="18"/>
  <c r="P384" i="18"/>
  <c r="O384" i="18"/>
  <c r="N384" i="18"/>
  <c r="M384" i="18"/>
  <c r="L384" i="18"/>
  <c r="K384" i="18"/>
  <c r="J384" i="18"/>
  <c r="I384" i="18"/>
  <c r="H384" i="18"/>
  <c r="G384" i="18"/>
  <c r="F384" i="18"/>
  <c r="E384" i="18"/>
  <c r="D384" i="18"/>
  <c r="C384" i="18"/>
  <c r="B384" i="18"/>
  <c r="A384" i="18"/>
  <c r="AF383" i="18"/>
  <c r="AE383" i="18"/>
  <c r="AD383" i="18"/>
  <c r="AC383" i="18"/>
  <c r="AB383" i="18"/>
  <c r="AA383" i="18"/>
  <c r="Z383" i="18"/>
  <c r="Y383" i="18"/>
  <c r="X383" i="18"/>
  <c r="W383" i="18"/>
  <c r="V383" i="18"/>
  <c r="U383" i="18"/>
  <c r="T383" i="18"/>
  <c r="S383" i="18"/>
  <c r="R383" i="18"/>
  <c r="Q383" i="18"/>
  <c r="P383" i="18"/>
  <c r="O383" i="18"/>
  <c r="N383" i="18"/>
  <c r="M383" i="18"/>
  <c r="L383" i="18"/>
  <c r="K383" i="18"/>
  <c r="J383" i="18"/>
  <c r="I383" i="18"/>
  <c r="H383" i="18"/>
  <c r="G383" i="18"/>
  <c r="F383" i="18"/>
  <c r="E383" i="18"/>
  <c r="D383" i="18"/>
  <c r="C383" i="18"/>
  <c r="B383" i="18"/>
  <c r="A383" i="18"/>
  <c r="AF382" i="18"/>
  <c r="AE382" i="18"/>
  <c r="AD382" i="18"/>
  <c r="AC382" i="18"/>
  <c r="AB382" i="18"/>
  <c r="AA382" i="18"/>
  <c r="Z382" i="18"/>
  <c r="Y382" i="18"/>
  <c r="X382" i="18"/>
  <c r="W382" i="18"/>
  <c r="V382" i="18"/>
  <c r="U382" i="18"/>
  <c r="T382" i="18"/>
  <c r="S382" i="18"/>
  <c r="R382" i="18"/>
  <c r="Q382" i="18"/>
  <c r="P382" i="18"/>
  <c r="O382" i="18"/>
  <c r="N382" i="18"/>
  <c r="M382" i="18"/>
  <c r="L382" i="18"/>
  <c r="K382" i="18"/>
  <c r="J382" i="18"/>
  <c r="I382" i="18"/>
  <c r="H382" i="18"/>
  <c r="G382" i="18"/>
  <c r="F382" i="18"/>
  <c r="E382" i="18"/>
  <c r="D382" i="18"/>
  <c r="C382" i="18"/>
  <c r="B382" i="18"/>
  <c r="A382" i="18"/>
  <c r="AF381" i="18"/>
  <c r="AE381" i="18"/>
  <c r="AD381" i="18"/>
  <c r="AC381" i="18"/>
  <c r="AB381" i="18"/>
  <c r="AA381" i="18"/>
  <c r="Z381" i="18"/>
  <c r="Y381" i="18"/>
  <c r="X381" i="18"/>
  <c r="W381" i="18"/>
  <c r="V381" i="18"/>
  <c r="U381" i="18"/>
  <c r="T381" i="18"/>
  <c r="S381" i="18"/>
  <c r="R381" i="18"/>
  <c r="Q381" i="18"/>
  <c r="P381" i="18"/>
  <c r="O381" i="18"/>
  <c r="N381" i="18"/>
  <c r="M381" i="18"/>
  <c r="L381" i="18"/>
  <c r="K381" i="18"/>
  <c r="J381" i="18"/>
  <c r="I381" i="18"/>
  <c r="H381" i="18"/>
  <c r="G381" i="18"/>
  <c r="F381" i="18"/>
  <c r="E381" i="18"/>
  <c r="D381" i="18"/>
  <c r="C381" i="18"/>
  <c r="B381" i="18"/>
  <c r="A381" i="18"/>
  <c r="AF380" i="18"/>
  <c r="AE380" i="18"/>
  <c r="AD380" i="18"/>
  <c r="AC380" i="18"/>
  <c r="AB380" i="18"/>
  <c r="AA380" i="18"/>
  <c r="Z380" i="18"/>
  <c r="Y380" i="18"/>
  <c r="X380" i="18"/>
  <c r="W380" i="18"/>
  <c r="V380" i="18"/>
  <c r="U380" i="18"/>
  <c r="T380" i="18"/>
  <c r="S380" i="18"/>
  <c r="R380" i="18"/>
  <c r="Q380" i="18"/>
  <c r="P380" i="18"/>
  <c r="O380" i="18"/>
  <c r="N380" i="18"/>
  <c r="M380" i="18"/>
  <c r="L380" i="18"/>
  <c r="K380" i="18"/>
  <c r="J380" i="18"/>
  <c r="I380" i="18"/>
  <c r="H380" i="18"/>
  <c r="G380" i="18"/>
  <c r="F380" i="18"/>
  <c r="E380" i="18"/>
  <c r="D380" i="18"/>
  <c r="C380" i="18"/>
  <c r="B380" i="18"/>
  <c r="A380" i="18"/>
  <c r="AF379" i="18"/>
  <c r="AE379" i="18"/>
  <c r="AD379" i="18"/>
  <c r="AC379" i="18"/>
  <c r="AB379" i="18"/>
  <c r="AA379" i="18"/>
  <c r="Z379" i="18"/>
  <c r="Y379" i="18"/>
  <c r="X379" i="18"/>
  <c r="W379" i="18"/>
  <c r="V379" i="18"/>
  <c r="U379" i="18"/>
  <c r="T379" i="18"/>
  <c r="S379" i="18"/>
  <c r="R379" i="18"/>
  <c r="Q379" i="18"/>
  <c r="P379" i="18"/>
  <c r="O379" i="18"/>
  <c r="N379" i="18"/>
  <c r="M379" i="18"/>
  <c r="L379" i="18"/>
  <c r="K379" i="18"/>
  <c r="J379" i="18"/>
  <c r="I379" i="18"/>
  <c r="H379" i="18"/>
  <c r="G379" i="18"/>
  <c r="F379" i="18"/>
  <c r="E379" i="18"/>
  <c r="D379" i="18"/>
  <c r="C379" i="18"/>
  <c r="B379" i="18"/>
  <c r="A379" i="18"/>
  <c r="AF378" i="18"/>
  <c r="AE378" i="18"/>
  <c r="AD378" i="18"/>
  <c r="AC378" i="18"/>
  <c r="AB378" i="18"/>
  <c r="AA378" i="18"/>
  <c r="Z378" i="18"/>
  <c r="Y378" i="18"/>
  <c r="X378" i="18"/>
  <c r="W378" i="18"/>
  <c r="V378" i="18"/>
  <c r="U378" i="18"/>
  <c r="T378" i="18"/>
  <c r="S378" i="18"/>
  <c r="R378" i="18"/>
  <c r="Q378" i="18"/>
  <c r="P378" i="18"/>
  <c r="O378" i="18"/>
  <c r="N378" i="18"/>
  <c r="M378" i="18"/>
  <c r="L378" i="18"/>
  <c r="K378" i="18"/>
  <c r="J378" i="18"/>
  <c r="I378" i="18"/>
  <c r="H378" i="18"/>
  <c r="G378" i="18"/>
  <c r="F378" i="18"/>
  <c r="E378" i="18"/>
  <c r="D378" i="18"/>
  <c r="C378" i="18"/>
  <c r="B378" i="18"/>
  <c r="A378" i="18"/>
  <c r="AF377" i="18"/>
  <c r="AE377" i="18"/>
  <c r="AD377" i="18"/>
  <c r="AC377" i="18"/>
  <c r="AB377" i="18"/>
  <c r="AA377" i="18"/>
  <c r="Z377" i="18"/>
  <c r="Y377" i="18"/>
  <c r="X377" i="18"/>
  <c r="W377" i="18"/>
  <c r="V377" i="18"/>
  <c r="U377" i="18"/>
  <c r="T377" i="18"/>
  <c r="S377" i="18"/>
  <c r="R377" i="18"/>
  <c r="Q377" i="18"/>
  <c r="P377" i="18"/>
  <c r="O377" i="18"/>
  <c r="N377" i="18"/>
  <c r="M377" i="18"/>
  <c r="L377" i="18"/>
  <c r="K377" i="18"/>
  <c r="J377" i="18"/>
  <c r="I377" i="18"/>
  <c r="H377" i="18"/>
  <c r="G377" i="18"/>
  <c r="F377" i="18"/>
  <c r="E377" i="18"/>
  <c r="D377" i="18"/>
  <c r="C377" i="18"/>
  <c r="B377" i="18"/>
  <c r="A377" i="18"/>
  <c r="AF376" i="18"/>
  <c r="AE376" i="18"/>
  <c r="AD376" i="18"/>
  <c r="AC376" i="18"/>
  <c r="AB376" i="18"/>
  <c r="AA376" i="18"/>
  <c r="Z376" i="18"/>
  <c r="Y376" i="18"/>
  <c r="X376" i="18"/>
  <c r="W376" i="18"/>
  <c r="V376" i="18"/>
  <c r="U376" i="18"/>
  <c r="T376" i="18"/>
  <c r="S376" i="18"/>
  <c r="R376" i="18"/>
  <c r="Q376" i="18"/>
  <c r="P376" i="18"/>
  <c r="O376" i="18"/>
  <c r="N376" i="18"/>
  <c r="M376" i="18"/>
  <c r="L376" i="18"/>
  <c r="K376" i="18"/>
  <c r="J376" i="18"/>
  <c r="I376" i="18"/>
  <c r="H376" i="18"/>
  <c r="G376" i="18"/>
  <c r="F376" i="18"/>
  <c r="E376" i="18"/>
  <c r="D376" i="18"/>
  <c r="C376" i="18"/>
  <c r="B376" i="18"/>
  <c r="A376" i="18"/>
  <c r="AF375" i="18"/>
  <c r="AE375" i="18"/>
  <c r="AD375" i="18"/>
  <c r="AC375" i="18"/>
  <c r="AB375" i="18"/>
  <c r="AA375" i="18"/>
  <c r="Z375" i="18"/>
  <c r="Y375" i="18"/>
  <c r="X375" i="18"/>
  <c r="W375" i="18"/>
  <c r="V375" i="18"/>
  <c r="U375" i="18"/>
  <c r="T375" i="18"/>
  <c r="S375" i="18"/>
  <c r="R375" i="18"/>
  <c r="Q375" i="18"/>
  <c r="P375" i="18"/>
  <c r="O375" i="18"/>
  <c r="N375" i="18"/>
  <c r="M375" i="18"/>
  <c r="L375" i="18"/>
  <c r="K375" i="18"/>
  <c r="J375" i="18"/>
  <c r="I375" i="18"/>
  <c r="H375" i="18"/>
  <c r="G375" i="18"/>
  <c r="F375" i="18"/>
  <c r="E375" i="18"/>
  <c r="D375" i="18"/>
  <c r="C375" i="18"/>
  <c r="B375" i="18"/>
  <c r="A375" i="18"/>
  <c r="AF374" i="18"/>
  <c r="AE374" i="18"/>
  <c r="AD374" i="18"/>
  <c r="AC374" i="18"/>
  <c r="AB374" i="18"/>
  <c r="AA374" i="18"/>
  <c r="Z374" i="18"/>
  <c r="Y374" i="18"/>
  <c r="X374" i="18"/>
  <c r="W374" i="18"/>
  <c r="V374" i="18"/>
  <c r="U374" i="18"/>
  <c r="T374" i="18"/>
  <c r="S374" i="18"/>
  <c r="R374" i="18"/>
  <c r="Q374" i="18"/>
  <c r="P374" i="18"/>
  <c r="O374" i="18"/>
  <c r="N374" i="18"/>
  <c r="M374" i="18"/>
  <c r="L374" i="18"/>
  <c r="K374" i="18"/>
  <c r="J374" i="18"/>
  <c r="I374" i="18"/>
  <c r="H374" i="18"/>
  <c r="G374" i="18"/>
  <c r="F374" i="18"/>
  <c r="E374" i="18"/>
  <c r="D374" i="18"/>
  <c r="C374" i="18"/>
  <c r="B374" i="18"/>
  <c r="A374" i="18"/>
  <c r="AF373" i="18"/>
  <c r="AE373" i="18"/>
  <c r="AD373" i="18"/>
  <c r="AC373" i="18"/>
  <c r="AB373" i="18"/>
  <c r="AA373" i="18"/>
  <c r="Z373" i="18"/>
  <c r="Y373" i="18"/>
  <c r="X373" i="18"/>
  <c r="W373" i="18"/>
  <c r="V373" i="18"/>
  <c r="U373" i="18"/>
  <c r="T373" i="18"/>
  <c r="S373" i="18"/>
  <c r="R373" i="18"/>
  <c r="Q373" i="18"/>
  <c r="P373" i="18"/>
  <c r="O373" i="18"/>
  <c r="N373" i="18"/>
  <c r="M373" i="18"/>
  <c r="L373" i="18"/>
  <c r="K373" i="18"/>
  <c r="J373" i="18"/>
  <c r="I373" i="18"/>
  <c r="H373" i="18"/>
  <c r="G373" i="18"/>
  <c r="F373" i="18"/>
  <c r="E373" i="18"/>
  <c r="D373" i="18"/>
  <c r="C373" i="18"/>
  <c r="B373" i="18"/>
  <c r="A373" i="18"/>
  <c r="AF372" i="18"/>
  <c r="AE372" i="18"/>
  <c r="AD372" i="18"/>
  <c r="AC372" i="18"/>
  <c r="AB372" i="18"/>
  <c r="AA372" i="18"/>
  <c r="Z372" i="18"/>
  <c r="Y372" i="18"/>
  <c r="X372" i="18"/>
  <c r="W372" i="18"/>
  <c r="V372" i="18"/>
  <c r="U372" i="18"/>
  <c r="T372" i="18"/>
  <c r="S372" i="18"/>
  <c r="R372" i="18"/>
  <c r="Q372" i="18"/>
  <c r="P372" i="18"/>
  <c r="O372" i="18"/>
  <c r="N372" i="18"/>
  <c r="M372" i="18"/>
  <c r="L372" i="18"/>
  <c r="K372" i="18"/>
  <c r="J372" i="18"/>
  <c r="I372" i="18"/>
  <c r="H372" i="18"/>
  <c r="G372" i="18"/>
  <c r="F372" i="18"/>
  <c r="E372" i="18"/>
  <c r="D372" i="18"/>
  <c r="C372" i="18"/>
  <c r="B372" i="18"/>
  <c r="A372" i="18"/>
  <c r="AF371" i="18"/>
  <c r="AE371" i="18"/>
  <c r="AD371" i="18"/>
  <c r="AC371" i="18"/>
  <c r="AB371" i="18"/>
  <c r="AA371" i="18"/>
  <c r="Z371" i="18"/>
  <c r="Y371" i="18"/>
  <c r="X371" i="18"/>
  <c r="W371" i="18"/>
  <c r="V371" i="18"/>
  <c r="U371" i="18"/>
  <c r="T371" i="18"/>
  <c r="S371" i="18"/>
  <c r="R371" i="18"/>
  <c r="Q371" i="18"/>
  <c r="P371" i="18"/>
  <c r="O371" i="18"/>
  <c r="N371" i="18"/>
  <c r="M371" i="18"/>
  <c r="L371" i="18"/>
  <c r="K371" i="18"/>
  <c r="J371" i="18"/>
  <c r="I371" i="18"/>
  <c r="H371" i="18"/>
  <c r="G371" i="18"/>
  <c r="F371" i="18"/>
  <c r="E371" i="18"/>
  <c r="D371" i="18"/>
  <c r="C371" i="18"/>
  <c r="B371" i="18"/>
  <c r="A371" i="18"/>
  <c r="AF370" i="18"/>
  <c r="AE370" i="18"/>
  <c r="AD370" i="18"/>
  <c r="AC370" i="18"/>
  <c r="AB370" i="18"/>
  <c r="AA370" i="18"/>
  <c r="Z370" i="18"/>
  <c r="Y370" i="18"/>
  <c r="X370" i="18"/>
  <c r="W370" i="18"/>
  <c r="V370" i="18"/>
  <c r="U370" i="18"/>
  <c r="T370" i="18"/>
  <c r="S370" i="18"/>
  <c r="R370" i="18"/>
  <c r="Q370" i="18"/>
  <c r="P370" i="18"/>
  <c r="O370" i="18"/>
  <c r="N370" i="18"/>
  <c r="M370" i="18"/>
  <c r="L370" i="18"/>
  <c r="K370" i="18"/>
  <c r="J370" i="18"/>
  <c r="I370" i="18"/>
  <c r="H370" i="18"/>
  <c r="G370" i="18"/>
  <c r="F370" i="18"/>
  <c r="E370" i="18"/>
  <c r="D370" i="18"/>
  <c r="C370" i="18"/>
  <c r="B370" i="18"/>
  <c r="A370" i="18"/>
  <c r="AF315" i="18"/>
  <c r="AE315" i="18"/>
  <c r="AD315" i="18"/>
  <c r="AC315" i="18"/>
  <c r="AB315" i="18"/>
  <c r="AA315" i="18"/>
  <c r="Z315" i="18"/>
  <c r="Y315" i="18"/>
  <c r="X315" i="18"/>
  <c r="W315" i="18"/>
  <c r="V315" i="18"/>
  <c r="U315" i="18"/>
  <c r="T315" i="18"/>
  <c r="S315" i="18"/>
  <c r="R315" i="18"/>
  <c r="Q315" i="18"/>
  <c r="P315" i="18"/>
  <c r="O315" i="18"/>
  <c r="N315" i="18"/>
  <c r="M315" i="18"/>
  <c r="L315" i="18"/>
  <c r="K315" i="18"/>
  <c r="J315" i="18"/>
  <c r="I315" i="18"/>
  <c r="H315" i="18"/>
  <c r="G315" i="18"/>
  <c r="F315" i="18"/>
  <c r="E315" i="18"/>
  <c r="D315" i="18"/>
  <c r="C315" i="18"/>
  <c r="B315" i="18"/>
  <c r="A315" i="18"/>
  <c r="AF317" i="18"/>
  <c r="AE317" i="18"/>
  <c r="AD317" i="18"/>
  <c r="AC317" i="18"/>
  <c r="AB317" i="18"/>
  <c r="AA317" i="18"/>
  <c r="Z317" i="18"/>
  <c r="Y317" i="18"/>
  <c r="X317" i="18"/>
  <c r="W317" i="18"/>
  <c r="V317" i="18"/>
  <c r="U317" i="18"/>
  <c r="T317" i="18"/>
  <c r="S317" i="18"/>
  <c r="R317" i="18"/>
  <c r="Q317" i="18"/>
  <c r="P317" i="18"/>
  <c r="O317" i="18"/>
  <c r="N317" i="18"/>
  <c r="M317" i="18"/>
  <c r="L317" i="18"/>
  <c r="K317" i="18"/>
  <c r="J317" i="18"/>
  <c r="I317" i="18"/>
  <c r="H317" i="18"/>
  <c r="G317" i="18"/>
  <c r="F317" i="18"/>
  <c r="E317" i="18"/>
  <c r="D317" i="18"/>
  <c r="C317" i="18"/>
  <c r="B317" i="18"/>
  <c r="A317" i="18"/>
  <c r="AF320" i="18"/>
  <c r="AE320" i="18"/>
  <c r="AD320" i="18"/>
  <c r="AC320" i="18"/>
  <c r="AB320" i="18"/>
  <c r="AA320" i="18"/>
  <c r="Z320" i="18"/>
  <c r="Y320" i="18"/>
  <c r="X320" i="18"/>
  <c r="W320" i="18"/>
  <c r="V320" i="18"/>
  <c r="U320" i="18"/>
  <c r="T320" i="18"/>
  <c r="S320" i="18"/>
  <c r="R320" i="18"/>
  <c r="Q320" i="18"/>
  <c r="P320" i="18"/>
  <c r="O320" i="18"/>
  <c r="N320" i="18"/>
  <c r="M320" i="18"/>
  <c r="L320" i="18"/>
  <c r="K320" i="18"/>
  <c r="J320" i="18"/>
  <c r="I320" i="18"/>
  <c r="H320" i="18"/>
  <c r="G320" i="18"/>
  <c r="F320" i="18"/>
  <c r="E320" i="18"/>
  <c r="D320" i="18"/>
  <c r="C320" i="18"/>
  <c r="B320" i="18"/>
  <c r="A320" i="18"/>
  <c r="AF323" i="18"/>
  <c r="AE323" i="18"/>
  <c r="AD323" i="18"/>
  <c r="AC323" i="18"/>
  <c r="AB323" i="18"/>
  <c r="AA323" i="18"/>
  <c r="Z323" i="18"/>
  <c r="Y323" i="18"/>
  <c r="X323" i="18"/>
  <c r="W323" i="18"/>
  <c r="V323" i="18"/>
  <c r="U323" i="18"/>
  <c r="T323" i="18"/>
  <c r="S323" i="18"/>
  <c r="R323" i="18"/>
  <c r="Q323" i="18"/>
  <c r="P323" i="18"/>
  <c r="O323" i="18"/>
  <c r="N323" i="18"/>
  <c r="M323" i="18"/>
  <c r="L323" i="18"/>
  <c r="K323" i="18"/>
  <c r="J323" i="18"/>
  <c r="I323" i="18"/>
  <c r="H323" i="18"/>
  <c r="G323" i="18"/>
  <c r="F323" i="18"/>
  <c r="E323" i="18"/>
  <c r="D323" i="18"/>
  <c r="C323" i="18"/>
  <c r="B323" i="18"/>
  <c r="A323" i="18"/>
  <c r="AF326" i="18"/>
  <c r="AE326" i="18"/>
  <c r="AD326" i="18"/>
  <c r="AC326" i="18"/>
  <c r="AB326" i="18"/>
  <c r="AA326" i="18"/>
  <c r="Z326" i="18"/>
  <c r="Y326" i="18"/>
  <c r="X326" i="18"/>
  <c r="W326" i="18"/>
  <c r="V326" i="18"/>
  <c r="U326" i="18"/>
  <c r="T326" i="18"/>
  <c r="S326" i="18"/>
  <c r="R326" i="18"/>
  <c r="Q326" i="18"/>
  <c r="P326" i="18"/>
  <c r="O326" i="18"/>
  <c r="N326" i="18"/>
  <c r="M326" i="18"/>
  <c r="L326" i="18"/>
  <c r="K326" i="18"/>
  <c r="J326" i="18"/>
  <c r="I326" i="18"/>
  <c r="H326" i="18"/>
  <c r="G326" i="18"/>
  <c r="F326" i="18"/>
  <c r="E326" i="18"/>
  <c r="D326" i="18"/>
  <c r="C326" i="18"/>
  <c r="B326" i="18"/>
  <c r="A326" i="18"/>
  <c r="AF329" i="18"/>
  <c r="AE329" i="18"/>
  <c r="AD329" i="18"/>
  <c r="AC329" i="18"/>
  <c r="AB329" i="18"/>
  <c r="AA329" i="18"/>
  <c r="Z329" i="18"/>
  <c r="Y329" i="18"/>
  <c r="X329" i="18"/>
  <c r="W329" i="18"/>
  <c r="V329" i="18"/>
  <c r="U329" i="18"/>
  <c r="T329" i="18"/>
  <c r="S329" i="18"/>
  <c r="R329" i="18"/>
  <c r="Q329" i="18"/>
  <c r="P329" i="18"/>
  <c r="O329" i="18"/>
  <c r="N329" i="18"/>
  <c r="M329" i="18"/>
  <c r="L329" i="18"/>
  <c r="K329" i="18"/>
  <c r="J329" i="18"/>
  <c r="I329" i="18"/>
  <c r="H329" i="18"/>
  <c r="G329" i="18"/>
  <c r="F329" i="18"/>
  <c r="E329" i="18"/>
  <c r="D329" i="18"/>
  <c r="C329" i="18"/>
  <c r="B329" i="18"/>
  <c r="A329" i="18"/>
  <c r="AF332" i="18"/>
  <c r="AE332" i="18"/>
  <c r="AD332" i="18"/>
  <c r="AC332" i="18"/>
  <c r="AB332" i="18"/>
  <c r="AA332" i="18"/>
  <c r="Z332" i="18"/>
  <c r="Y332" i="18"/>
  <c r="X332" i="18"/>
  <c r="W332" i="18"/>
  <c r="V332" i="18"/>
  <c r="U332" i="18"/>
  <c r="T332" i="18"/>
  <c r="S332" i="18"/>
  <c r="R332" i="18"/>
  <c r="Q332" i="18"/>
  <c r="P332" i="18"/>
  <c r="O332" i="18"/>
  <c r="N332" i="18"/>
  <c r="M332" i="18"/>
  <c r="L332" i="18"/>
  <c r="K332" i="18"/>
  <c r="J332" i="18"/>
  <c r="I332" i="18"/>
  <c r="H332" i="18"/>
  <c r="G332" i="18"/>
  <c r="F332" i="18"/>
  <c r="E332" i="18"/>
  <c r="D332" i="18"/>
  <c r="C332" i="18"/>
  <c r="B332" i="18"/>
  <c r="A332" i="18"/>
  <c r="AF319" i="18"/>
  <c r="AE319" i="18"/>
  <c r="AD319" i="18"/>
  <c r="AC319" i="18"/>
  <c r="AB319" i="18"/>
  <c r="AA319" i="18"/>
  <c r="Z319" i="18"/>
  <c r="Y319" i="18"/>
  <c r="X319" i="18"/>
  <c r="W319" i="18"/>
  <c r="V319" i="18"/>
  <c r="U319" i="18"/>
  <c r="T319" i="18"/>
  <c r="S319" i="18"/>
  <c r="R319" i="18"/>
  <c r="Q319" i="18"/>
  <c r="P319" i="18"/>
  <c r="O319" i="18"/>
  <c r="N319" i="18"/>
  <c r="M319" i="18"/>
  <c r="L319" i="18"/>
  <c r="K319" i="18"/>
  <c r="J319" i="18"/>
  <c r="I319" i="18"/>
  <c r="H319" i="18"/>
  <c r="G319" i="18"/>
  <c r="F319" i="18"/>
  <c r="E319" i="18"/>
  <c r="D319" i="18"/>
  <c r="C319" i="18"/>
  <c r="B319" i="18"/>
  <c r="A319" i="18"/>
  <c r="AF322" i="18"/>
  <c r="AE322" i="18"/>
  <c r="AD322" i="18"/>
  <c r="AC322" i="18"/>
  <c r="AB322" i="18"/>
  <c r="AA322" i="18"/>
  <c r="Z322" i="18"/>
  <c r="Y322" i="18"/>
  <c r="X322" i="18"/>
  <c r="W322" i="18"/>
  <c r="V322" i="18"/>
  <c r="U322" i="18"/>
  <c r="T322" i="18"/>
  <c r="S322" i="18"/>
  <c r="R322" i="18"/>
  <c r="Q322" i="18"/>
  <c r="P322" i="18"/>
  <c r="O322" i="18"/>
  <c r="N322" i="18"/>
  <c r="M322" i="18"/>
  <c r="L322" i="18"/>
  <c r="K322" i="18"/>
  <c r="J322" i="18"/>
  <c r="I322" i="18"/>
  <c r="H322" i="18"/>
  <c r="G322" i="18"/>
  <c r="F322" i="18"/>
  <c r="E322" i="18"/>
  <c r="D322" i="18"/>
  <c r="C322" i="18"/>
  <c r="B322" i="18"/>
  <c r="A322" i="18"/>
  <c r="AF325" i="18"/>
  <c r="AE325" i="18"/>
  <c r="AD325" i="18"/>
  <c r="AC325" i="18"/>
  <c r="AB325" i="18"/>
  <c r="AA325" i="18"/>
  <c r="Z325" i="18"/>
  <c r="Y325" i="18"/>
  <c r="X325" i="18"/>
  <c r="W325" i="18"/>
  <c r="V325" i="18"/>
  <c r="U325" i="18"/>
  <c r="T325" i="18"/>
  <c r="S325" i="18"/>
  <c r="R325" i="18"/>
  <c r="Q325" i="18"/>
  <c r="P325" i="18"/>
  <c r="O325" i="18"/>
  <c r="N325" i="18"/>
  <c r="M325" i="18"/>
  <c r="L325" i="18"/>
  <c r="K325" i="18"/>
  <c r="J325" i="18"/>
  <c r="I325" i="18"/>
  <c r="H325" i="18"/>
  <c r="G325" i="18"/>
  <c r="F325" i="18"/>
  <c r="E325" i="18"/>
  <c r="D325" i="18"/>
  <c r="C325" i="18"/>
  <c r="B325" i="18"/>
  <c r="A325" i="18"/>
  <c r="AF328" i="18"/>
  <c r="AE328" i="18"/>
  <c r="AD328" i="18"/>
  <c r="AC328" i="18"/>
  <c r="AB328" i="18"/>
  <c r="AA328" i="18"/>
  <c r="Z328" i="18"/>
  <c r="Y328" i="18"/>
  <c r="X328" i="18"/>
  <c r="W328" i="18"/>
  <c r="V328" i="18"/>
  <c r="U328" i="18"/>
  <c r="T328" i="18"/>
  <c r="S328" i="18"/>
  <c r="R328" i="18"/>
  <c r="Q328" i="18"/>
  <c r="P328" i="18"/>
  <c r="O328" i="18"/>
  <c r="N328" i="18"/>
  <c r="M328" i="18"/>
  <c r="L328" i="18"/>
  <c r="K328" i="18"/>
  <c r="J328" i="18"/>
  <c r="I328" i="18"/>
  <c r="H328" i="18"/>
  <c r="G328" i="18"/>
  <c r="F328" i="18"/>
  <c r="E328" i="18"/>
  <c r="D328" i="18"/>
  <c r="C328" i="18"/>
  <c r="B328" i="18"/>
  <c r="A328" i="18"/>
  <c r="AF331" i="18"/>
  <c r="AE331" i="18"/>
  <c r="AD331" i="18"/>
  <c r="AC331" i="18"/>
  <c r="AB331" i="18"/>
  <c r="AA331" i="18"/>
  <c r="Z331" i="18"/>
  <c r="Y331" i="18"/>
  <c r="X331" i="18"/>
  <c r="W331" i="18"/>
  <c r="V331" i="18"/>
  <c r="U331" i="18"/>
  <c r="T331" i="18"/>
  <c r="S331" i="18"/>
  <c r="R331" i="18"/>
  <c r="Q331" i="18"/>
  <c r="P331" i="18"/>
  <c r="O331" i="18"/>
  <c r="N331" i="18"/>
  <c r="M331" i="18"/>
  <c r="L331" i="18"/>
  <c r="K331" i="18"/>
  <c r="J331" i="18"/>
  <c r="I331" i="18"/>
  <c r="H331" i="18"/>
  <c r="G331" i="18"/>
  <c r="F331" i="18"/>
  <c r="E331" i="18"/>
  <c r="D331" i="18"/>
  <c r="C331" i="18"/>
  <c r="B331" i="18"/>
  <c r="A331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A43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A44" i="18"/>
  <c r="AF330" i="18"/>
  <c r="AE330" i="18"/>
  <c r="AD330" i="18"/>
  <c r="AC330" i="18"/>
  <c r="AB330" i="18"/>
  <c r="AA330" i="18"/>
  <c r="Z330" i="18"/>
  <c r="Y330" i="18"/>
  <c r="X330" i="18"/>
  <c r="W330" i="18"/>
  <c r="V330" i="18"/>
  <c r="U330" i="18"/>
  <c r="T330" i="18"/>
  <c r="S330" i="18"/>
  <c r="R330" i="18"/>
  <c r="Q330" i="18"/>
  <c r="P330" i="18"/>
  <c r="O330" i="18"/>
  <c r="N330" i="18"/>
  <c r="M330" i="18"/>
  <c r="L330" i="18"/>
  <c r="K330" i="18"/>
  <c r="J330" i="18"/>
  <c r="I330" i="18"/>
  <c r="H330" i="18"/>
  <c r="G330" i="18"/>
  <c r="F330" i="18"/>
  <c r="E330" i="18"/>
  <c r="D330" i="18"/>
  <c r="C330" i="18"/>
  <c r="B330" i="18"/>
  <c r="A330" i="18"/>
  <c r="AF327" i="18"/>
  <c r="AE327" i="18"/>
  <c r="AD327" i="18"/>
  <c r="AC327" i="18"/>
  <c r="AB327" i="18"/>
  <c r="AA327" i="18"/>
  <c r="Z327" i="18"/>
  <c r="Y327" i="18"/>
  <c r="X327" i="18"/>
  <c r="W327" i="18"/>
  <c r="V327" i="18"/>
  <c r="U327" i="18"/>
  <c r="T327" i="18"/>
  <c r="S327" i="18"/>
  <c r="R327" i="18"/>
  <c r="Q327" i="18"/>
  <c r="P327" i="18"/>
  <c r="O327" i="18"/>
  <c r="N327" i="18"/>
  <c r="M327" i="18"/>
  <c r="L327" i="18"/>
  <c r="K327" i="18"/>
  <c r="J327" i="18"/>
  <c r="I327" i="18"/>
  <c r="H327" i="18"/>
  <c r="G327" i="18"/>
  <c r="F327" i="18"/>
  <c r="E327" i="18"/>
  <c r="D327" i="18"/>
  <c r="C327" i="18"/>
  <c r="B327" i="18"/>
  <c r="A327" i="18"/>
  <c r="AF324" i="18"/>
  <c r="AE324" i="18"/>
  <c r="AD324" i="18"/>
  <c r="AC324" i="18"/>
  <c r="AB324" i="18"/>
  <c r="AA324" i="18"/>
  <c r="Z324" i="18"/>
  <c r="Y324" i="18"/>
  <c r="X324" i="18"/>
  <c r="W324" i="18"/>
  <c r="V324" i="18"/>
  <c r="U324" i="18"/>
  <c r="T324" i="18"/>
  <c r="S324" i="18"/>
  <c r="R324" i="18"/>
  <c r="Q324" i="18"/>
  <c r="P324" i="18"/>
  <c r="O324" i="18"/>
  <c r="N324" i="18"/>
  <c r="M324" i="18"/>
  <c r="L324" i="18"/>
  <c r="K324" i="18"/>
  <c r="J324" i="18"/>
  <c r="I324" i="18"/>
  <c r="H324" i="18"/>
  <c r="G324" i="18"/>
  <c r="F324" i="18"/>
  <c r="E324" i="18"/>
  <c r="D324" i="18"/>
  <c r="C324" i="18"/>
  <c r="B324" i="18"/>
  <c r="A324" i="18"/>
  <c r="AF321" i="18"/>
  <c r="AE321" i="18"/>
  <c r="AD321" i="18"/>
  <c r="AC321" i="18"/>
  <c r="AB321" i="18"/>
  <c r="AA321" i="18"/>
  <c r="Z321" i="18"/>
  <c r="Y321" i="18"/>
  <c r="X321" i="18"/>
  <c r="W321" i="18"/>
  <c r="V321" i="18"/>
  <c r="U321" i="18"/>
  <c r="T321" i="18"/>
  <c r="S321" i="18"/>
  <c r="R321" i="18"/>
  <c r="Q321" i="18"/>
  <c r="P321" i="18"/>
  <c r="O321" i="18"/>
  <c r="N321" i="18"/>
  <c r="M321" i="18"/>
  <c r="L321" i="18"/>
  <c r="K321" i="18"/>
  <c r="J321" i="18"/>
  <c r="I321" i="18"/>
  <c r="H321" i="18"/>
  <c r="G321" i="18"/>
  <c r="F321" i="18"/>
  <c r="E321" i="18"/>
  <c r="D321" i="18"/>
  <c r="C321" i="18"/>
  <c r="B321" i="18"/>
  <c r="A321" i="18"/>
  <c r="AF318" i="18"/>
  <c r="AE318" i="18"/>
  <c r="AD318" i="18"/>
  <c r="AC318" i="18"/>
  <c r="AB318" i="18"/>
  <c r="AA318" i="18"/>
  <c r="Z318" i="18"/>
  <c r="Y318" i="18"/>
  <c r="X318" i="18"/>
  <c r="W318" i="18"/>
  <c r="V318" i="18"/>
  <c r="U318" i="18"/>
  <c r="T318" i="18"/>
  <c r="S318" i="18"/>
  <c r="R318" i="18"/>
  <c r="Q318" i="18"/>
  <c r="P318" i="18"/>
  <c r="O318" i="18"/>
  <c r="N318" i="18"/>
  <c r="M318" i="18"/>
  <c r="L318" i="18"/>
  <c r="K318" i="18"/>
  <c r="J318" i="18"/>
  <c r="I318" i="18"/>
  <c r="H318" i="18"/>
  <c r="G318" i="18"/>
  <c r="F318" i="18"/>
  <c r="E318" i="18"/>
  <c r="D318" i="18"/>
  <c r="C318" i="18"/>
  <c r="B318" i="18"/>
  <c r="A318" i="18"/>
  <c r="AJ47" i="18"/>
  <c r="AI47" i="18"/>
  <c r="AH47" i="18"/>
  <c r="AG47" i="18"/>
  <c r="AF47" i="18"/>
  <c r="AE47" i="18"/>
  <c r="AD47" i="18"/>
  <c r="AC47" i="18"/>
  <c r="AB47" i="18"/>
  <c r="AA47" i="18"/>
  <c r="Z47" i="18"/>
  <c r="Y47" i="18"/>
  <c r="X47" i="18"/>
  <c r="W47" i="18"/>
  <c r="V47" i="18"/>
  <c r="U47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B47" i="18"/>
  <c r="A47" i="18"/>
  <c r="AJ48" i="18"/>
  <c r="AI48" i="18"/>
  <c r="AH48" i="18"/>
  <c r="AG48" i="18"/>
  <c r="AF48" i="18"/>
  <c r="AE48" i="18"/>
  <c r="AD48" i="18"/>
  <c r="AC48" i="18"/>
  <c r="AB48" i="18"/>
  <c r="AA48" i="18"/>
  <c r="Z48" i="18"/>
  <c r="Y48" i="18"/>
  <c r="X48" i="18"/>
  <c r="W48" i="18"/>
  <c r="V48" i="18"/>
  <c r="U48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B48" i="18"/>
  <c r="A48" i="18"/>
  <c r="AF368" i="18"/>
  <c r="AE368" i="18"/>
  <c r="AD368" i="18"/>
  <c r="AC368" i="18"/>
  <c r="AB368" i="18"/>
  <c r="AA368" i="18"/>
  <c r="Z368" i="18"/>
  <c r="Y368" i="18"/>
  <c r="X368" i="18"/>
  <c r="W368" i="18"/>
  <c r="V368" i="18"/>
  <c r="U368" i="18"/>
  <c r="T368" i="18"/>
  <c r="S368" i="18"/>
  <c r="R368" i="18"/>
  <c r="Q368" i="18"/>
  <c r="P368" i="18"/>
  <c r="O368" i="18"/>
  <c r="N368" i="18"/>
  <c r="M368" i="18"/>
  <c r="L368" i="18"/>
  <c r="K368" i="18"/>
  <c r="J368" i="18"/>
  <c r="I368" i="18"/>
  <c r="H368" i="18"/>
  <c r="G368" i="18"/>
  <c r="F368" i="18"/>
  <c r="E368" i="18"/>
  <c r="D368" i="18"/>
  <c r="C368" i="18"/>
  <c r="B368" i="18"/>
  <c r="A368" i="18"/>
  <c r="AF367" i="18"/>
  <c r="AE367" i="18"/>
  <c r="AD367" i="18"/>
  <c r="AC367" i="18"/>
  <c r="AB367" i="18"/>
  <c r="AA367" i="18"/>
  <c r="Z367" i="18"/>
  <c r="Y367" i="18"/>
  <c r="X367" i="18"/>
  <c r="W367" i="18"/>
  <c r="V367" i="18"/>
  <c r="U367" i="18"/>
  <c r="T367" i="18"/>
  <c r="S367" i="18"/>
  <c r="R367" i="18"/>
  <c r="Q367" i="18"/>
  <c r="P367" i="18"/>
  <c r="O367" i="18"/>
  <c r="N367" i="18"/>
  <c r="M367" i="18"/>
  <c r="L367" i="18"/>
  <c r="K367" i="18"/>
  <c r="J367" i="18"/>
  <c r="I367" i="18"/>
  <c r="H367" i="18"/>
  <c r="G367" i="18"/>
  <c r="F367" i="18"/>
  <c r="E367" i="18"/>
  <c r="D367" i="18"/>
  <c r="C367" i="18"/>
  <c r="B367" i="18"/>
  <c r="A367" i="18"/>
  <c r="AF366" i="18"/>
  <c r="AE366" i="18"/>
  <c r="AD366" i="18"/>
  <c r="AC366" i="18"/>
  <c r="AB366" i="18"/>
  <c r="AA366" i="18"/>
  <c r="Z366" i="18"/>
  <c r="Y366" i="18"/>
  <c r="X366" i="18"/>
  <c r="W366" i="18"/>
  <c r="V366" i="18"/>
  <c r="U366" i="18"/>
  <c r="T366" i="18"/>
  <c r="S366" i="18"/>
  <c r="R366" i="18"/>
  <c r="Q366" i="18"/>
  <c r="P366" i="18"/>
  <c r="O366" i="18"/>
  <c r="N366" i="18"/>
  <c r="M366" i="18"/>
  <c r="L366" i="18"/>
  <c r="K366" i="18"/>
  <c r="J366" i="18"/>
  <c r="I366" i="18"/>
  <c r="H366" i="18"/>
  <c r="G366" i="18"/>
  <c r="F366" i="18"/>
  <c r="E366" i="18"/>
  <c r="D366" i="18"/>
  <c r="C366" i="18"/>
  <c r="B366" i="18"/>
  <c r="A366" i="18"/>
  <c r="AF365" i="18"/>
  <c r="AE365" i="18"/>
  <c r="AD365" i="18"/>
  <c r="AC365" i="18"/>
  <c r="AB365" i="18"/>
  <c r="AA365" i="18"/>
  <c r="Z365" i="18"/>
  <c r="Y365" i="18"/>
  <c r="X365" i="18"/>
  <c r="W365" i="18"/>
  <c r="V365" i="18"/>
  <c r="U365" i="18"/>
  <c r="T365" i="18"/>
  <c r="S365" i="18"/>
  <c r="R365" i="18"/>
  <c r="Q365" i="18"/>
  <c r="P365" i="18"/>
  <c r="O365" i="18"/>
  <c r="N365" i="18"/>
  <c r="M365" i="18"/>
  <c r="L365" i="18"/>
  <c r="K365" i="18"/>
  <c r="J365" i="18"/>
  <c r="I365" i="18"/>
  <c r="H365" i="18"/>
  <c r="G365" i="18"/>
  <c r="F365" i="18"/>
  <c r="E365" i="18"/>
  <c r="D365" i="18"/>
  <c r="C365" i="18"/>
  <c r="B365" i="18"/>
  <c r="A365" i="18"/>
  <c r="AF364" i="18"/>
  <c r="AE364" i="18"/>
  <c r="AD364" i="18"/>
  <c r="AC364" i="18"/>
  <c r="AB364" i="18"/>
  <c r="AA364" i="18"/>
  <c r="Z364" i="18"/>
  <c r="Y364" i="18"/>
  <c r="X364" i="18"/>
  <c r="W364" i="18"/>
  <c r="V364" i="18"/>
  <c r="U364" i="18"/>
  <c r="T364" i="18"/>
  <c r="S364" i="18"/>
  <c r="R364" i="18"/>
  <c r="Q364" i="18"/>
  <c r="P364" i="18"/>
  <c r="O364" i="18"/>
  <c r="N364" i="18"/>
  <c r="M364" i="18"/>
  <c r="L364" i="18"/>
  <c r="K364" i="18"/>
  <c r="J364" i="18"/>
  <c r="I364" i="18"/>
  <c r="H364" i="18"/>
  <c r="G364" i="18"/>
  <c r="F364" i="18"/>
  <c r="E364" i="18"/>
  <c r="D364" i="18"/>
  <c r="C364" i="18"/>
  <c r="B364" i="18"/>
  <c r="A364" i="18"/>
  <c r="AF363" i="18"/>
  <c r="AE363" i="18"/>
  <c r="AD363" i="18"/>
  <c r="AC363" i="18"/>
  <c r="AB363" i="18"/>
  <c r="AA363" i="18"/>
  <c r="Z363" i="18"/>
  <c r="Y363" i="18"/>
  <c r="X363" i="18"/>
  <c r="W363" i="18"/>
  <c r="V363" i="18"/>
  <c r="U363" i="18"/>
  <c r="T363" i="18"/>
  <c r="S363" i="18"/>
  <c r="R363" i="18"/>
  <c r="Q363" i="18"/>
  <c r="P363" i="18"/>
  <c r="O363" i="18"/>
  <c r="N363" i="18"/>
  <c r="M363" i="18"/>
  <c r="L363" i="18"/>
  <c r="K363" i="18"/>
  <c r="J363" i="18"/>
  <c r="I363" i="18"/>
  <c r="H363" i="18"/>
  <c r="G363" i="18"/>
  <c r="F363" i="18"/>
  <c r="E363" i="18"/>
  <c r="D363" i="18"/>
  <c r="C363" i="18"/>
  <c r="B363" i="18"/>
  <c r="A363" i="18"/>
  <c r="AF362" i="18"/>
  <c r="AE362" i="18"/>
  <c r="AD362" i="18"/>
  <c r="AC362" i="18"/>
  <c r="AB362" i="18"/>
  <c r="AA362" i="18"/>
  <c r="Z362" i="18"/>
  <c r="Y362" i="18"/>
  <c r="X362" i="18"/>
  <c r="W362" i="18"/>
  <c r="V362" i="18"/>
  <c r="U362" i="18"/>
  <c r="T362" i="18"/>
  <c r="S362" i="18"/>
  <c r="R362" i="18"/>
  <c r="Q362" i="18"/>
  <c r="P362" i="18"/>
  <c r="O362" i="18"/>
  <c r="N362" i="18"/>
  <c r="M362" i="18"/>
  <c r="L362" i="18"/>
  <c r="K362" i="18"/>
  <c r="J362" i="18"/>
  <c r="I362" i="18"/>
  <c r="H362" i="18"/>
  <c r="G362" i="18"/>
  <c r="F362" i="18"/>
  <c r="E362" i="18"/>
  <c r="D362" i="18"/>
  <c r="C362" i="18"/>
  <c r="B362" i="18"/>
  <c r="A362" i="18"/>
  <c r="AF361" i="18"/>
  <c r="AE361" i="18"/>
  <c r="AD361" i="18"/>
  <c r="AC361" i="18"/>
  <c r="AB361" i="18"/>
  <c r="AA361" i="18"/>
  <c r="Z361" i="18"/>
  <c r="Y361" i="18"/>
  <c r="X361" i="18"/>
  <c r="W361" i="18"/>
  <c r="V361" i="18"/>
  <c r="U361" i="18"/>
  <c r="T361" i="18"/>
  <c r="S361" i="18"/>
  <c r="R361" i="18"/>
  <c r="Q361" i="18"/>
  <c r="P361" i="18"/>
  <c r="O361" i="18"/>
  <c r="N361" i="18"/>
  <c r="M361" i="18"/>
  <c r="L361" i="18"/>
  <c r="K361" i="18"/>
  <c r="J361" i="18"/>
  <c r="I361" i="18"/>
  <c r="H361" i="18"/>
  <c r="G361" i="18"/>
  <c r="F361" i="18"/>
  <c r="E361" i="18"/>
  <c r="D361" i="18"/>
  <c r="C361" i="18"/>
  <c r="B361" i="18"/>
  <c r="A361" i="18"/>
  <c r="AF360" i="18"/>
  <c r="AE360" i="18"/>
  <c r="AD360" i="18"/>
  <c r="AC360" i="18"/>
  <c r="AB360" i="18"/>
  <c r="AA360" i="18"/>
  <c r="Z360" i="18"/>
  <c r="Y360" i="18"/>
  <c r="X360" i="18"/>
  <c r="W360" i="18"/>
  <c r="V360" i="18"/>
  <c r="U360" i="18"/>
  <c r="T360" i="18"/>
  <c r="S360" i="18"/>
  <c r="R360" i="18"/>
  <c r="Q360" i="18"/>
  <c r="P360" i="18"/>
  <c r="O360" i="18"/>
  <c r="N360" i="18"/>
  <c r="M360" i="18"/>
  <c r="L360" i="18"/>
  <c r="K360" i="18"/>
  <c r="J360" i="18"/>
  <c r="I360" i="18"/>
  <c r="H360" i="18"/>
  <c r="G360" i="18"/>
  <c r="F360" i="18"/>
  <c r="E360" i="18"/>
  <c r="D360" i="18"/>
  <c r="C360" i="18"/>
  <c r="B360" i="18"/>
  <c r="A360" i="18"/>
  <c r="AF359" i="18"/>
  <c r="AE359" i="18"/>
  <c r="AD359" i="18"/>
  <c r="AC359" i="18"/>
  <c r="AB359" i="18"/>
  <c r="AA359" i="18"/>
  <c r="Z359" i="18"/>
  <c r="Y359" i="18"/>
  <c r="X359" i="18"/>
  <c r="W359" i="18"/>
  <c r="V359" i="18"/>
  <c r="U359" i="18"/>
  <c r="T359" i="18"/>
  <c r="S359" i="18"/>
  <c r="R359" i="18"/>
  <c r="Q359" i="18"/>
  <c r="P359" i="18"/>
  <c r="O359" i="18"/>
  <c r="N359" i="18"/>
  <c r="M359" i="18"/>
  <c r="L359" i="18"/>
  <c r="K359" i="18"/>
  <c r="J359" i="18"/>
  <c r="I359" i="18"/>
  <c r="H359" i="18"/>
  <c r="G359" i="18"/>
  <c r="F359" i="18"/>
  <c r="E359" i="18"/>
  <c r="D359" i="18"/>
  <c r="C359" i="18"/>
  <c r="B359" i="18"/>
  <c r="A359" i="18"/>
  <c r="AF358" i="18"/>
  <c r="AE358" i="18"/>
  <c r="AD358" i="18"/>
  <c r="AC358" i="18"/>
  <c r="AB358" i="18"/>
  <c r="AA358" i="18"/>
  <c r="Z358" i="18"/>
  <c r="Y358" i="18"/>
  <c r="X358" i="18"/>
  <c r="W358" i="18"/>
  <c r="V358" i="18"/>
  <c r="U358" i="18"/>
  <c r="T358" i="18"/>
  <c r="S358" i="18"/>
  <c r="R358" i="18"/>
  <c r="Q358" i="18"/>
  <c r="P358" i="18"/>
  <c r="O358" i="18"/>
  <c r="N358" i="18"/>
  <c r="M358" i="18"/>
  <c r="L358" i="18"/>
  <c r="K358" i="18"/>
  <c r="J358" i="18"/>
  <c r="I358" i="18"/>
  <c r="H358" i="18"/>
  <c r="G358" i="18"/>
  <c r="F358" i="18"/>
  <c r="E358" i="18"/>
  <c r="D358" i="18"/>
  <c r="C358" i="18"/>
  <c r="B358" i="18"/>
  <c r="A358" i="18"/>
  <c r="AF357" i="18"/>
  <c r="AE357" i="18"/>
  <c r="AD357" i="18"/>
  <c r="AC357" i="18"/>
  <c r="AB357" i="18"/>
  <c r="AA357" i="18"/>
  <c r="Z357" i="18"/>
  <c r="Y357" i="18"/>
  <c r="X357" i="18"/>
  <c r="W357" i="18"/>
  <c r="V357" i="18"/>
  <c r="U357" i="18"/>
  <c r="T357" i="18"/>
  <c r="S357" i="18"/>
  <c r="R357" i="18"/>
  <c r="Q357" i="18"/>
  <c r="P357" i="18"/>
  <c r="O357" i="18"/>
  <c r="N357" i="18"/>
  <c r="M357" i="18"/>
  <c r="L357" i="18"/>
  <c r="K357" i="18"/>
  <c r="J357" i="18"/>
  <c r="I357" i="18"/>
  <c r="H357" i="18"/>
  <c r="G357" i="18"/>
  <c r="F357" i="18"/>
  <c r="E357" i="18"/>
  <c r="D357" i="18"/>
  <c r="C357" i="18"/>
  <c r="B357" i="18"/>
  <c r="A357" i="18"/>
  <c r="AF356" i="18"/>
  <c r="AE356" i="18"/>
  <c r="AD356" i="18"/>
  <c r="AC356" i="18"/>
  <c r="AB356" i="18"/>
  <c r="AA356" i="18"/>
  <c r="Z356" i="18"/>
  <c r="Y356" i="18"/>
  <c r="X356" i="18"/>
  <c r="W356" i="18"/>
  <c r="V356" i="18"/>
  <c r="U356" i="18"/>
  <c r="T356" i="18"/>
  <c r="S356" i="18"/>
  <c r="R356" i="18"/>
  <c r="Q356" i="18"/>
  <c r="P356" i="18"/>
  <c r="O356" i="18"/>
  <c r="N356" i="18"/>
  <c r="M356" i="18"/>
  <c r="L356" i="18"/>
  <c r="K356" i="18"/>
  <c r="J356" i="18"/>
  <c r="I356" i="18"/>
  <c r="H356" i="18"/>
  <c r="G356" i="18"/>
  <c r="F356" i="18"/>
  <c r="E356" i="18"/>
  <c r="D356" i="18"/>
  <c r="C356" i="18"/>
  <c r="B356" i="18"/>
  <c r="A356" i="18"/>
  <c r="AF355" i="18"/>
  <c r="AE355" i="18"/>
  <c r="AD355" i="18"/>
  <c r="AC355" i="18"/>
  <c r="AB355" i="18"/>
  <c r="AA355" i="18"/>
  <c r="Z355" i="18"/>
  <c r="Y355" i="18"/>
  <c r="X355" i="18"/>
  <c r="W355" i="18"/>
  <c r="V355" i="18"/>
  <c r="U355" i="18"/>
  <c r="T355" i="18"/>
  <c r="S355" i="18"/>
  <c r="R355" i="18"/>
  <c r="Q355" i="18"/>
  <c r="P355" i="18"/>
  <c r="O355" i="18"/>
  <c r="N355" i="18"/>
  <c r="M355" i="18"/>
  <c r="L355" i="18"/>
  <c r="K355" i="18"/>
  <c r="J355" i="18"/>
  <c r="I355" i="18"/>
  <c r="H355" i="18"/>
  <c r="G355" i="18"/>
  <c r="F355" i="18"/>
  <c r="E355" i="18"/>
  <c r="D355" i="18"/>
  <c r="C355" i="18"/>
  <c r="B355" i="18"/>
  <c r="A355" i="18"/>
  <c r="AF354" i="18"/>
  <c r="AE354" i="18"/>
  <c r="AD354" i="18"/>
  <c r="AC354" i="18"/>
  <c r="AB354" i="18"/>
  <c r="AA354" i="18"/>
  <c r="Z354" i="18"/>
  <c r="Y354" i="18"/>
  <c r="X354" i="18"/>
  <c r="W354" i="18"/>
  <c r="V354" i="18"/>
  <c r="U354" i="18"/>
  <c r="T354" i="18"/>
  <c r="S354" i="18"/>
  <c r="R354" i="18"/>
  <c r="Q354" i="18"/>
  <c r="P354" i="18"/>
  <c r="O354" i="18"/>
  <c r="N354" i="18"/>
  <c r="M354" i="18"/>
  <c r="L354" i="18"/>
  <c r="K354" i="18"/>
  <c r="J354" i="18"/>
  <c r="I354" i="18"/>
  <c r="H354" i="18"/>
  <c r="G354" i="18"/>
  <c r="F354" i="18"/>
  <c r="E354" i="18"/>
  <c r="D354" i="18"/>
  <c r="C354" i="18"/>
  <c r="B354" i="18"/>
  <c r="A354" i="18"/>
  <c r="AF353" i="18"/>
  <c r="AE353" i="18"/>
  <c r="AD353" i="18"/>
  <c r="AC353" i="18"/>
  <c r="AB353" i="18"/>
  <c r="AA353" i="18"/>
  <c r="Z353" i="18"/>
  <c r="Y353" i="18"/>
  <c r="X353" i="18"/>
  <c r="W353" i="18"/>
  <c r="V353" i="18"/>
  <c r="U353" i="18"/>
  <c r="T353" i="18"/>
  <c r="S353" i="18"/>
  <c r="R353" i="18"/>
  <c r="Q353" i="18"/>
  <c r="P353" i="18"/>
  <c r="O353" i="18"/>
  <c r="N353" i="18"/>
  <c r="M353" i="18"/>
  <c r="L353" i="18"/>
  <c r="K353" i="18"/>
  <c r="J353" i="18"/>
  <c r="I353" i="18"/>
  <c r="H353" i="18"/>
  <c r="G353" i="18"/>
  <c r="F353" i="18"/>
  <c r="E353" i="18"/>
  <c r="D353" i="18"/>
  <c r="C353" i="18"/>
  <c r="B353" i="18"/>
  <c r="A353" i="18"/>
  <c r="AF352" i="18"/>
  <c r="AE352" i="18"/>
  <c r="AD352" i="18"/>
  <c r="AC352" i="18"/>
  <c r="AB352" i="18"/>
  <c r="AA352" i="18"/>
  <c r="Z352" i="18"/>
  <c r="Y352" i="18"/>
  <c r="X352" i="18"/>
  <c r="W352" i="18"/>
  <c r="V352" i="18"/>
  <c r="U352" i="18"/>
  <c r="T352" i="18"/>
  <c r="S352" i="18"/>
  <c r="R352" i="18"/>
  <c r="Q352" i="18"/>
  <c r="P352" i="18"/>
  <c r="O352" i="18"/>
  <c r="N352" i="18"/>
  <c r="M352" i="18"/>
  <c r="L352" i="18"/>
  <c r="K352" i="18"/>
  <c r="J352" i="18"/>
  <c r="I352" i="18"/>
  <c r="H352" i="18"/>
  <c r="G352" i="18"/>
  <c r="F352" i="18"/>
  <c r="E352" i="18"/>
  <c r="D352" i="18"/>
  <c r="C352" i="18"/>
  <c r="B352" i="18"/>
  <c r="A352" i="18"/>
  <c r="AF351" i="18"/>
  <c r="AE351" i="18"/>
  <c r="AD351" i="18"/>
  <c r="AC351" i="18"/>
  <c r="AB351" i="18"/>
  <c r="AA351" i="18"/>
  <c r="Z351" i="18"/>
  <c r="Y351" i="18"/>
  <c r="X351" i="18"/>
  <c r="W351" i="18"/>
  <c r="V351" i="18"/>
  <c r="U351" i="18"/>
  <c r="T351" i="18"/>
  <c r="S351" i="18"/>
  <c r="R351" i="18"/>
  <c r="Q351" i="18"/>
  <c r="P351" i="18"/>
  <c r="O351" i="18"/>
  <c r="N351" i="18"/>
  <c r="M351" i="18"/>
  <c r="L351" i="18"/>
  <c r="K351" i="18"/>
  <c r="J351" i="18"/>
  <c r="I351" i="18"/>
  <c r="H351" i="18"/>
  <c r="G351" i="18"/>
  <c r="F351" i="18"/>
  <c r="E351" i="18"/>
  <c r="D351" i="18"/>
  <c r="C351" i="18"/>
  <c r="B351" i="18"/>
  <c r="A351" i="18"/>
  <c r="AF297" i="18"/>
  <c r="AE297" i="18"/>
  <c r="AD297" i="18"/>
  <c r="AC297" i="18"/>
  <c r="AB297" i="18"/>
  <c r="AA297" i="18"/>
  <c r="Z297" i="18"/>
  <c r="Y297" i="18"/>
  <c r="X297" i="18"/>
  <c r="W297" i="18"/>
  <c r="V297" i="18"/>
  <c r="U297" i="18"/>
  <c r="T297" i="18"/>
  <c r="S297" i="18"/>
  <c r="R297" i="18"/>
  <c r="Q297" i="18"/>
  <c r="P297" i="18"/>
  <c r="O297" i="18"/>
  <c r="N297" i="18"/>
  <c r="M297" i="18"/>
  <c r="L297" i="18"/>
  <c r="K297" i="18"/>
  <c r="J297" i="18"/>
  <c r="I297" i="18"/>
  <c r="H297" i="18"/>
  <c r="G297" i="18"/>
  <c r="F297" i="18"/>
  <c r="E297" i="18"/>
  <c r="D297" i="18"/>
  <c r="C297" i="18"/>
  <c r="B297" i="18"/>
  <c r="A297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A41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A42" i="18"/>
  <c r="AF314" i="18"/>
  <c r="AE314" i="18"/>
  <c r="AD314" i="18"/>
  <c r="AC314" i="18"/>
  <c r="AB314" i="18"/>
  <c r="AA314" i="18"/>
  <c r="Z314" i="18"/>
  <c r="Y314" i="18"/>
  <c r="X314" i="18"/>
  <c r="W314" i="18"/>
  <c r="V314" i="18"/>
  <c r="U314" i="18"/>
  <c r="T314" i="18"/>
  <c r="S314" i="18"/>
  <c r="R314" i="18"/>
  <c r="Q314" i="18"/>
  <c r="P314" i="18"/>
  <c r="O314" i="18"/>
  <c r="N314" i="18"/>
  <c r="M314" i="18"/>
  <c r="L314" i="18"/>
  <c r="K314" i="18"/>
  <c r="J314" i="18"/>
  <c r="I314" i="18"/>
  <c r="H314" i="18"/>
  <c r="G314" i="18"/>
  <c r="F314" i="18"/>
  <c r="E314" i="18"/>
  <c r="D314" i="18"/>
  <c r="C314" i="18"/>
  <c r="B314" i="18"/>
  <c r="A314" i="18"/>
  <c r="AF313" i="18"/>
  <c r="AE313" i="18"/>
  <c r="AD313" i="18"/>
  <c r="AC313" i="18"/>
  <c r="AB313" i="18"/>
  <c r="AA313" i="18"/>
  <c r="Z313" i="18"/>
  <c r="Y313" i="18"/>
  <c r="X313" i="18"/>
  <c r="W313" i="18"/>
  <c r="V313" i="18"/>
  <c r="U313" i="18"/>
  <c r="T313" i="18"/>
  <c r="S313" i="18"/>
  <c r="R313" i="18"/>
  <c r="Q313" i="18"/>
  <c r="P313" i="18"/>
  <c r="O313" i="18"/>
  <c r="N313" i="18"/>
  <c r="M313" i="18"/>
  <c r="L313" i="18"/>
  <c r="K313" i="18"/>
  <c r="J313" i="18"/>
  <c r="I313" i="18"/>
  <c r="H313" i="18"/>
  <c r="G313" i="18"/>
  <c r="F313" i="18"/>
  <c r="E313" i="18"/>
  <c r="D313" i="18"/>
  <c r="C313" i="18"/>
  <c r="B313" i="18"/>
  <c r="A313" i="18"/>
  <c r="AF312" i="18"/>
  <c r="AE312" i="18"/>
  <c r="AD312" i="18"/>
  <c r="AC312" i="18"/>
  <c r="AB312" i="18"/>
  <c r="AA312" i="18"/>
  <c r="Z312" i="18"/>
  <c r="Y312" i="18"/>
  <c r="X312" i="18"/>
  <c r="W312" i="18"/>
  <c r="V312" i="18"/>
  <c r="U312" i="18"/>
  <c r="T312" i="18"/>
  <c r="S312" i="18"/>
  <c r="R312" i="18"/>
  <c r="Q312" i="18"/>
  <c r="P312" i="18"/>
  <c r="O312" i="18"/>
  <c r="N312" i="18"/>
  <c r="M312" i="18"/>
  <c r="L312" i="18"/>
  <c r="K312" i="18"/>
  <c r="J312" i="18"/>
  <c r="I312" i="18"/>
  <c r="H312" i="18"/>
  <c r="G312" i="18"/>
  <c r="F312" i="18"/>
  <c r="E312" i="18"/>
  <c r="D312" i="18"/>
  <c r="C312" i="18"/>
  <c r="B312" i="18"/>
  <c r="A312" i="18"/>
  <c r="AF311" i="18"/>
  <c r="AE311" i="18"/>
  <c r="AD311" i="18"/>
  <c r="AC311" i="18"/>
  <c r="AB311" i="18"/>
  <c r="AA311" i="18"/>
  <c r="Z311" i="18"/>
  <c r="Y311" i="18"/>
  <c r="X311" i="18"/>
  <c r="W311" i="18"/>
  <c r="V311" i="18"/>
  <c r="U311" i="18"/>
  <c r="T311" i="18"/>
  <c r="S311" i="18"/>
  <c r="R311" i="18"/>
  <c r="Q311" i="18"/>
  <c r="P311" i="18"/>
  <c r="O311" i="18"/>
  <c r="N311" i="18"/>
  <c r="M311" i="18"/>
  <c r="L311" i="18"/>
  <c r="K311" i="18"/>
  <c r="J311" i="18"/>
  <c r="I311" i="18"/>
  <c r="H311" i="18"/>
  <c r="G311" i="18"/>
  <c r="F311" i="18"/>
  <c r="E311" i="18"/>
  <c r="D311" i="18"/>
  <c r="C311" i="18"/>
  <c r="B311" i="18"/>
  <c r="A311" i="18"/>
  <c r="AF310" i="18"/>
  <c r="AE310" i="18"/>
  <c r="AD310" i="18"/>
  <c r="AC310" i="18"/>
  <c r="AB310" i="18"/>
  <c r="AA310" i="18"/>
  <c r="Z310" i="18"/>
  <c r="Y310" i="18"/>
  <c r="X310" i="18"/>
  <c r="W310" i="18"/>
  <c r="V310" i="18"/>
  <c r="U310" i="18"/>
  <c r="T310" i="18"/>
  <c r="S310" i="18"/>
  <c r="R310" i="18"/>
  <c r="Q310" i="18"/>
  <c r="P310" i="18"/>
  <c r="O310" i="18"/>
  <c r="N310" i="18"/>
  <c r="M310" i="18"/>
  <c r="L310" i="18"/>
  <c r="K310" i="18"/>
  <c r="J310" i="18"/>
  <c r="I310" i="18"/>
  <c r="H310" i="18"/>
  <c r="G310" i="18"/>
  <c r="F310" i="18"/>
  <c r="E310" i="18"/>
  <c r="D310" i="18"/>
  <c r="C310" i="18"/>
  <c r="B310" i="18"/>
  <c r="A310" i="18"/>
  <c r="AF309" i="18"/>
  <c r="AE309" i="18"/>
  <c r="AD309" i="18"/>
  <c r="AC309" i="18"/>
  <c r="AB309" i="18"/>
  <c r="AA309" i="18"/>
  <c r="Z309" i="18"/>
  <c r="Y309" i="18"/>
  <c r="X309" i="18"/>
  <c r="W309" i="18"/>
  <c r="V309" i="18"/>
  <c r="U309" i="18"/>
  <c r="T309" i="18"/>
  <c r="S309" i="18"/>
  <c r="R309" i="18"/>
  <c r="Q309" i="18"/>
  <c r="P309" i="18"/>
  <c r="O309" i="18"/>
  <c r="N309" i="18"/>
  <c r="M309" i="18"/>
  <c r="L309" i="18"/>
  <c r="K309" i="18"/>
  <c r="J309" i="18"/>
  <c r="I309" i="18"/>
  <c r="H309" i="18"/>
  <c r="G309" i="18"/>
  <c r="F309" i="18"/>
  <c r="E309" i="18"/>
  <c r="D309" i="18"/>
  <c r="C309" i="18"/>
  <c r="B309" i="18"/>
  <c r="A309" i="18"/>
  <c r="AF308" i="18"/>
  <c r="AE308" i="18"/>
  <c r="AD308" i="18"/>
  <c r="AC308" i="18"/>
  <c r="AB308" i="18"/>
  <c r="AA308" i="18"/>
  <c r="Z308" i="18"/>
  <c r="Y308" i="18"/>
  <c r="X308" i="18"/>
  <c r="W308" i="18"/>
  <c r="V308" i="18"/>
  <c r="U308" i="18"/>
  <c r="T308" i="18"/>
  <c r="S308" i="18"/>
  <c r="R308" i="18"/>
  <c r="Q308" i="18"/>
  <c r="P308" i="18"/>
  <c r="O308" i="18"/>
  <c r="N308" i="18"/>
  <c r="M308" i="18"/>
  <c r="L308" i="18"/>
  <c r="K308" i="18"/>
  <c r="J308" i="18"/>
  <c r="I308" i="18"/>
  <c r="H308" i="18"/>
  <c r="G308" i="18"/>
  <c r="F308" i="18"/>
  <c r="E308" i="18"/>
  <c r="D308" i="18"/>
  <c r="C308" i="18"/>
  <c r="B308" i="18"/>
  <c r="A308" i="18"/>
  <c r="AF307" i="18"/>
  <c r="AE307" i="18"/>
  <c r="AD307" i="18"/>
  <c r="AC307" i="18"/>
  <c r="AB307" i="18"/>
  <c r="AA307" i="18"/>
  <c r="Z307" i="18"/>
  <c r="Y307" i="18"/>
  <c r="X307" i="18"/>
  <c r="W307" i="18"/>
  <c r="V307" i="18"/>
  <c r="U307" i="18"/>
  <c r="T307" i="18"/>
  <c r="S307" i="18"/>
  <c r="R307" i="18"/>
  <c r="Q307" i="18"/>
  <c r="P307" i="18"/>
  <c r="O307" i="18"/>
  <c r="N307" i="18"/>
  <c r="M307" i="18"/>
  <c r="L307" i="18"/>
  <c r="K307" i="18"/>
  <c r="J307" i="18"/>
  <c r="I307" i="18"/>
  <c r="H307" i="18"/>
  <c r="G307" i="18"/>
  <c r="F307" i="18"/>
  <c r="E307" i="18"/>
  <c r="D307" i="18"/>
  <c r="C307" i="18"/>
  <c r="B307" i="18"/>
  <c r="A307" i="18"/>
  <c r="AF306" i="18"/>
  <c r="AE306" i="18"/>
  <c r="AD306" i="18"/>
  <c r="AC306" i="18"/>
  <c r="AB306" i="18"/>
  <c r="AA306" i="18"/>
  <c r="Z306" i="18"/>
  <c r="Y306" i="18"/>
  <c r="X306" i="18"/>
  <c r="W306" i="18"/>
  <c r="V306" i="18"/>
  <c r="U306" i="18"/>
  <c r="T306" i="18"/>
  <c r="S306" i="18"/>
  <c r="R306" i="18"/>
  <c r="Q306" i="18"/>
  <c r="P306" i="18"/>
  <c r="O306" i="18"/>
  <c r="N306" i="18"/>
  <c r="M306" i="18"/>
  <c r="L306" i="18"/>
  <c r="K306" i="18"/>
  <c r="J306" i="18"/>
  <c r="I306" i="18"/>
  <c r="H306" i="18"/>
  <c r="G306" i="18"/>
  <c r="F306" i="18"/>
  <c r="E306" i="18"/>
  <c r="D306" i="18"/>
  <c r="C306" i="18"/>
  <c r="B306" i="18"/>
  <c r="A306" i="18"/>
  <c r="AF305" i="18"/>
  <c r="AE305" i="18"/>
  <c r="AD305" i="18"/>
  <c r="AC305" i="18"/>
  <c r="AB305" i="18"/>
  <c r="AA305" i="18"/>
  <c r="Z305" i="18"/>
  <c r="Y305" i="18"/>
  <c r="X305" i="18"/>
  <c r="W305" i="18"/>
  <c r="V305" i="18"/>
  <c r="U305" i="18"/>
  <c r="T305" i="18"/>
  <c r="S305" i="18"/>
  <c r="R305" i="18"/>
  <c r="Q305" i="18"/>
  <c r="P305" i="18"/>
  <c r="O305" i="18"/>
  <c r="N305" i="18"/>
  <c r="M305" i="18"/>
  <c r="L305" i="18"/>
  <c r="K305" i="18"/>
  <c r="J305" i="18"/>
  <c r="I305" i="18"/>
  <c r="H305" i="18"/>
  <c r="G305" i="18"/>
  <c r="F305" i="18"/>
  <c r="E305" i="18"/>
  <c r="D305" i="18"/>
  <c r="C305" i="18"/>
  <c r="B305" i="18"/>
  <c r="A305" i="18"/>
  <c r="AF304" i="18"/>
  <c r="AE304" i="18"/>
  <c r="AD304" i="18"/>
  <c r="AC304" i="18"/>
  <c r="AB304" i="18"/>
  <c r="AA304" i="18"/>
  <c r="Z304" i="18"/>
  <c r="Y304" i="18"/>
  <c r="X304" i="18"/>
  <c r="W304" i="18"/>
  <c r="V304" i="18"/>
  <c r="U304" i="18"/>
  <c r="T304" i="18"/>
  <c r="S304" i="18"/>
  <c r="R304" i="18"/>
  <c r="Q304" i="18"/>
  <c r="P304" i="18"/>
  <c r="O304" i="18"/>
  <c r="N304" i="18"/>
  <c r="M304" i="18"/>
  <c r="L304" i="18"/>
  <c r="K304" i="18"/>
  <c r="J304" i="18"/>
  <c r="I304" i="18"/>
  <c r="H304" i="18"/>
  <c r="G304" i="18"/>
  <c r="F304" i="18"/>
  <c r="E304" i="18"/>
  <c r="D304" i="18"/>
  <c r="C304" i="18"/>
  <c r="B304" i="18"/>
  <c r="A304" i="18"/>
  <c r="AF303" i="18"/>
  <c r="AE303" i="18"/>
  <c r="AD303" i="18"/>
  <c r="AC303" i="18"/>
  <c r="AB303" i="18"/>
  <c r="AA303" i="18"/>
  <c r="Z303" i="18"/>
  <c r="Y303" i="18"/>
  <c r="X303" i="18"/>
  <c r="W303" i="18"/>
  <c r="V303" i="18"/>
  <c r="U303" i="18"/>
  <c r="T303" i="18"/>
  <c r="S303" i="18"/>
  <c r="R303" i="18"/>
  <c r="Q303" i="18"/>
  <c r="P303" i="18"/>
  <c r="O303" i="18"/>
  <c r="N303" i="18"/>
  <c r="M303" i="18"/>
  <c r="L303" i="18"/>
  <c r="K303" i="18"/>
  <c r="J303" i="18"/>
  <c r="I303" i="18"/>
  <c r="H303" i="18"/>
  <c r="G303" i="18"/>
  <c r="F303" i="18"/>
  <c r="E303" i="18"/>
  <c r="D303" i="18"/>
  <c r="C303" i="18"/>
  <c r="B303" i="18"/>
  <c r="A303" i="18"/>
  <c r="AF302" i="18"/>
  <c r="AE302" i="18"/>
  <c r="AD302" i="18"/>
  <c r="AC302" i="18"/>
  <c r="AB302" i="18"/>
  <c r="AA302" i="18"/>
  <c r="Z302" i="18"/>
  <c r="Y302" i="18"/>
  <c r="X302" i="18"/>
  <c r="W302" i="18"/>
  <c r="V302" i="18"/>
  <c r="U302" i="18"/>
  <c r="T302" i="18"/>
  <c r="S302" i="18"/>
  <c r="R302" i="18"/>
  <c r="Q302" i="18"/>
  <c r="P302" i="18"/>
  <c r="O302" i="18"/>
  <c r="N302" i="18"/>
  <c r="M302" i="18"/>
  <c r="L302" i="18"/>
  <c r="K302" i="18"/>
  <c r="J302" i="18"/>
  <c r="I302" i="18"/>
  <c r="H302" i="18"/>
  <c r="G302" i="18"/>
  <c r="F302" i="18"/>
  <c r="E302" i="18"/>
  <c r="D302" i="18"/>
  <c r="C302" i="18"/>
  <c r="B302" i="18"/>
  <c r="A302" i="18"/>
  <c r="AF301" i="18"/>
  <c r="AE301" i="18"/>
  <c r="AD301" i="18"/>
  <c r="AC301" i="18"/>
  <c r="AB301" i="18"/>
  <c r="AA301" i="18"/>
  <c r="Z301" i="18"/>
  <c r="Y301" i="18"/>
  <c r="X301" i="18"/>
  <c r="W301" i="18"/>
  <c r="V301" i="18"/>
  <c r="U301" i="18"/>
  <c r="T301" i="18"/>
  <c r="S301" i="18"/>
  <c r="R301" i="18"/>
  <c r="Q301" i="18"/>
  <c r="P301" i="18"/>
  <c r="O301" i="18"/>
  <c r="N301" i="18"/>
  <c r="M301" i="18"/>
  <c r="L301" i="18"/>
  <c r="K301" i="18"/>
  <c r="J301" i="18"/>
  <c r="I301" i="18"/>
  <c r="H301" i="18"/>
  <c r="G301" i="18"/>
  <c r="F301" i="18"/>
  <c r="E301" i="18"/>
  <c r="D301" i="18"/>
  <c r="C301" i="18"/>
  <c r="B301" i="18"/>
  <c r="A301" i="18"/>
  <c r="AF300" i="18"/>
  <c r="AE300" i="18"/>
  <c r="AD300" i="18"/>
  <c r="AC300" i="18"/>
  <c r="AB300" i="18"/>
  <c r="AA300" i="18"/>
  <c r="Z300" i="18"/>
  <c r="Y300" i="18"/>
  <c r="X300" i="18"/>
  <c r="W300" i="18"/>
  <c r="V300" i="18"/>
  <c r="U300" i="18"/>
  <c r="T300" i="18"/>
  <c r="S300" i="18"/>
  <c r="R300" i="18"/>
  <c r="Q300" i="18"/>
  <c r="P300" i="18"/>
  <c r="O300" i="18"/>
  <c r="N300" i="18"/>
  <c r="M300" i="18"/>
  <c r="L300" i="18"/>
  <c r="K300" i="18"/>
  <c r="J300" i="18"/>
  <c r="I300" i="18"/>
  <c r="H300" i="18"/>
  <c r="G300" i="18"/>
  <c r="F300" i="18"/>
  <c r="E300" i="18"/>
  <c r="D300" i="18"/>
  <c r="C300" i="18"/>
  <c r="B300" i="18"/>
  <c r="A300" i="18"/>
  <c r="AF299" i="18"/>
  <c r="AE299" i="18"/>
  <c r="AD299" i="18"/>
  <c r="AC299" i="18"/>
  <c r="AB299" i="18"/>
  <c r="AA299" i="18"/>
  <c r="Z299" i="18"/>
  <c r="Y299" i="18"/>
  <c r="X299" i="18"/>
  <c r="W299" i="18"/>
  <c r="V299" i="18"/>
  <c r="U299" i="18"/>
  <c r="T299" i="18"/>
  <c r="S299" i="18"/>
  <c r="R299" i="18"/>
  <c r="Q299" i="18"/>
  <c r="P299" i="18"/>
  <c r="O299" i="18"/>
  <c r="N299" i="18"/>
  <c r="M299" i="18"/>
  <c r="L299" i="18"/>
  <c r="K299" i="18"/>
  <c r="J299" i="18"/>
  <c r="I299" i="18"/>
  <c r="H299" i="18"/>
  <c r="G299" i="18"/>
  <c r="F299" i="18"/>
  <c r="E299" i="18"/>
  <c r="D299" i="18"/>
  <c r="C299" i="18"/>
  <c r="B299" i="18"/>
  <c r="A299" i="18"/>
  <c r="AF298" i="18"/>
  <c r="AE298" i="18"/>
  <c r="AD298" i="18"/>
  <c r="AC298" i="18"/>
  <c r="AB298" i="18"/>
  <c r="AA298" i="18"/>
  <c r="Z298" i="18"/>
  <c r="Y298" i="18"/>
  <c r="X298" i="18"/>
  <c r="W298" i="18"/>
  <c r="V298" i="18"/>
  <c r="U298" i="18"/>
  <c r="T298" i="18"/>
  <c r="S298" i="18"/>
  <c r="R298" i="18"/>
  <c r="Q298" i="18"/>
  <c r="P298" i="18"/>
  <c r="O298" i="18"/>
  <c r="N298" i="18"/>
  <c r="M298" i="18"/>
  <c r="L298" i="18"/>
  <c r="K298" i="18"/>
  <c r="J298" i="18"/>
  <c r="I298" i="18"/>
  <c r="H298" i="18"/>
  <c r="G298" i="18"/>
  <c r="F298" i="18"/>
  <c r="E298" i="18"/>
  <c r="D298" i="18"/>
  <c r="C298" i="18"/>
  <c r="B298" i="18"/>
  <c r="A298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A45" i="18"/>
  <c r="AJ46" i="18"/>
  <c r="AI46" i="18"/>
  <c r="AH46" i="18"/>
  <c r="AG46" i="18"/>
  <c r="AF46" i="18"/>
  <c r="AE46" i="18"/>
  <c r="AD46" i="18"/>
  <c r="AC46" i="18"/>
  <c r="AB46" i="18"/>
  <c r="AA46" i="18"/>
  <c r="Z46" i="18"/>
  <c r="Y46" i="18"/>
  <c r="X46" i="18"/>
  <c r="W46" i="18"/>
  <c r="V46" i="18"/>
  <c r="U46" i="18"/>
  <c r="T46" i="18"/>
  <c r="S46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B46" i="18"/>
  <c r="A46" i="18"/>
  <c r="AF350" i="18"/>
  <c r="AE350" i="18"/>
  <c r="AD350" i="18"/>
  <c r="AC350" i="18"/>
  <c r="AB350" i="18"/>
  <c r="AA350" i="18"/>
  <c r="Z350" i="18"/>
  <c r="Y350" i="18"/>
  <c r="X350" i="18"/>
  <c r="W350" i="18"/>
  <c r="V350" i="18"/>
  <c r="U350" i="18"/>
  <c r="T350" i="18"/>
  <c r="S350" i="18"/>
  <c r="R350" i="18"/>
  <c r="Q350" i="18"/>
  <c r="P350" i="18"/>
  <c r="O350" i="18"/>
  <c r="N350" i="18"/>
  <c r="M350" i="18"/>
  <c r="L350" i="18"/>
  <c r="K350" i="18"/>
  <c r="J350" i="18"/>
  <c r="I350" i="18"/>
  <c r="H350" i="18"/>
  <c r="G350" i="18"/>
  <c r="F350" i="18"/>
  <c r="E350" i="18"/>
  <c r="D350" i="18"/>
  <c r="C350" i="18"/>
  <c r="B350" i="18"/>
  <c r="A350" i="18"/>
  <c r="AF349" i="18"/>
  <c r="AE349" i="18"/>
  <c r="AD349" i="18"/>
  <c r="AC349" i="18"/>
  <c r="AB349" i="18"/>
  <c r="AA349" i="18"/>
  <c r="Z349" i="18"/>
  <c r="Y349" i="18"/>
  <c r="X349" i="18"/>
  <c r="W349" i="18"/>
  <c r="V349" i="18"/>
  <c r="U349" i="18"/>
  <c r="T349" i="18"/>
  <c r="S349" i="18"/>
  <c r="R349" i="18"/>
  <c r="Q349" i="18"/>
  <c r="P349" i="18"/>
  <c r="O349" i="18"/>
  <c r="N349" i="18"/>
  <c r="M349" i="18"/>
  <c r="L349" i="18"/>
  <c r="K349" i="18"/>
  <c r="J349" i="18"/>
  <c r="I349" i="18"/>
  <c r="H349" i="18"/>
  <c r="G349" i="18"/>
  <c r="F349" i="18"/>
  <c r="E349" i="18"/>
  <c r="D349" i="18"/>
  <c r="C349" i="18"/>
  <c r="B349" i="18"/>
  <c r="A349" i="18"/>
  <c r="AF348" i="18"/>
  <c r="AE348" i="18"/>
  <c r="AD348" i="18"/>
  <c r="AC348" i="18"/>
  <c r="AB348" i="18"/>
  <c r="AA348" i="18"/>
  <c r="Z348" i="18"/>
  <c r="Y348" i="18"/>
  <c r="X348" i="18"/>
  <c r="W348" i="18"/>
  <c r="V348" i="18"/>
  <c r="U348" i="18"/>
  <c r="T348" i="18"/>
  <c r="S348" i="18"/>
  <c r="R348" i="18"/>
  <c r="Q348" i="18"/>
  <c r="P348" i="18"/>
  <c r="O348" i="18"/>
  <c r="N348" i="18"/>
  <c r="M348" i="18"/>
  <c r="L348" i="18"/>
  <c r="K348" i="18"/>
  <c r="J348" i="18"/>
  <c r="I348" i="18"/>
  <c r="H348" i="18"/>
  <c r="G348" i="18"/>
  <c r="F348" i="18"/>
  <c r="E348" i="18"/>
  <c r="D348" i="18"/>
  <c r="C348" i="18"/>
  <c r="B348" i="18"/>
  <c r="A348" i="18"/>
  <c r="AF347" i="18"/>
  <c r="AE347" i="18"/>
  <c r="AD347" i="18"/>
  <c r="AC347" i="18"/>
  <c r="AB347" i="18"/>
  <c r="AA347" i="18"/>
  <c r="Z347" i="18"/>
  <c r="Y347" i="18"/>
  <c r="X347" i="18"/>
  <c r="W347" i="18"/>
  <c r="V347" i="18"/>
  <c r="U347" i="18"/>
  <c r="T347" i="18"/>
  <c r="S347" i="18"/>
  <c r="R347" i="18"/>
  <c r="Q347" i="18"/>
  <c r="P347" i="18"/>
  <c r="O347" i="18"/>
  <c r="N347" i="18"/>
  <c r="M347" i="18"/>
  <c r="L347" i="18"/>
  <c r="K347" i="18"/>
  <c r="J347" i="18"/>
  <c r="I347" i="18"/>
  <c r="H347" i="18"/>
  <c r="G347" i="18"/>
  <c r="F347" i="18"/>
  <c r="E347" i="18"/>
  <c r="D347" i="18"/>
  <c r="C347" i="18"/>
  <c r="B347" i="18"/>
  <c r="A347" i="18"/>
  <c r="AF346" i="18"/>
  <c r="AE346" i="18"/>
  <c r="AD346" i="18"/>
  <c r="AC346" i="18"/>
  <c r="AB346" i="18"/>
  <c r="AA346" i="18"/>
  <c r="Z346" i="18"/>
  <c r="Y346" i="18"/>
  <c r="X346" i="18"/>
  <c r="W346" i="18"/>
  <c r="V346" i="18"/>
  <c r="U346" i="18"/>
  <c r="T346" i="18"/>
  <c r="S346" i="18"/>
  <c r="R346" i="18"/>
  <c r="Q346" i="18"/>
  <c r="P346" i="18"/>
  <c r="O346" i="18"/>
  <c r="N346" i="18"/>
  <c r="M346" i="18"/>
  <c r="L346" i="18"/>
  <c r="K346" i="18"/>
  <c r="J346" i="18"/>
  <c r="I346" i="18"/>
  <c r="H346" i="18"/>
  <c r="G346" i="18"/>
  <c r="F346" i="18"/>
  <c r="E346" i="18"/>
  <c r="D346" i="18"/>
  <c r="C346" i="18"/>
  <c r="B346" i="18"/>
  <c r="A346" i="18"/>
  <c r="AF345" i="18"/>
  <c r="AE345" i="18"/>
  <c r="AD345" i="18"/>
  <c r="AC345" i="18"/>
  <c r="AB345" i="18"/>
  <c r="AA345" i="18"/>
  <c r="Z345" i="18"/>
  <c r="Y345" i="18"/>
  <c r="X345" i="18"/>
  <c r="W345" i="18"/>
  <c r="V345" i="18"/>
  <c r="U345" i="18"/>
  <c r="T345" i="18"/>
  <c r="S345" i="18"/>
  <c r="R345" i="18"/>
  <c r="Q345" i="18"/>
  <c r="P345" i="18"/>
  <c r="O345" i="18"/>
  <c r="N345" i="18"/>
  <c r="M345" i="18"/>
  <c r="L345" i="18"/>
  <c r="K345" i="18"/>
  <c r="J345" i="18"/>
  <c r="I345" i="18"/>
  <c r="H345" i="18"/>
  <c r="G345" i="18"/>
  <c r="F345" i="18"/>
  <c r="E345" i="18"/>
  <c r="D345" i="18"/>
  <c r="C345" i="18"/>
  <c r="B345" i="18"/>
  <c r="A345" i="18"/>
  <c r="AF344" i="18"/>
  <c r="AE344" i="18"/>
  <c r="AD344" i="18"/>
  <c r="AC344" i="18"/>
  <c r="AB344" i="18"/>
  <c r="AA344" i="18"/>
  <c r="Z344" i="18"/>
  <c r="Y344" i="18"/>
  <c r="X344" i="18"/>
  <c r="W344" i="18"/>
  <c r="V344" i="18"/>
  <c r="U344" i="18"/>
  <c r="T344" i="18"/>
  <c r="S344" i="18"/>
  <c r="R344" i="18"/>
  <c r="Q344" i="18"/>
  <c r="P344" i="18"/>
  <c r="O344" i="18"/>
  <c r="N344" i="18"/>
  <c r="M344" i="18"/>
  <c r="L344" i="18"/>
  <c r="K344" i="18"/>
  <c r="J344" i="18"/>
  <c r="I344" i="18"/>
  <c r="H344" i="18"/>
  <c r="G344" i="18"/>
  <c r="F344" i="18"/>
  <c r="E344" i="18"/>
  <c r="D344" i="18"/>
  <c r="C344" i="18"/>
  <c r="B344" i="18"/>
  <c r="A344" i="18"/>
  <c r="AF343" i="18"/>
  <c r="AE343" i="18"/>
  <c r="AD343" i="18"/>
  <c r="AC343" i="18"/>
  <c r="AB343" i="18"/>
  <c r="AA343" i="18"/>
  <c r="Z343" i="18"/>
  <c r="Y343" i="18"/>
  <c r="X343" i="18"/>
  <c r="W343" i="18"/>
  <c r="V343" i="18"/>
  <c r="U343" i="18"/>
  <c r="T343" i="18"/>
  <c r="S343" i="18"/>
  <c r="R343" i="18"/>
  <c r="Q343" i="18"/>
  <c r="P343" i="18"/>
  <c r="O343" i="18"/>
  <c r="N343" i="18"/>
  <c r="M343" i="18"/>
  <c r="L343" i="18"/>
  <c r="K343" i="18"/>
  <c r="J343" i="18"/>
  <c r="I343" i="18"/>
  <c r="H343" i="18"/>
  <c r="G343" i="18"/>
  <c r="F343" i="18"/>
  <c r="E343" i="18"/>
  <c r="D343" i="18"/>
  <c r="C343" i="18"/>
  <c r="B343" i="18"/>
  <c r="A343" i="18"/>
  <c r="AF342" i="18"/>
  <c r="AE342" i="18"/>
  <c r="AD342" i="18"/>
  <c r="AC342" i="18"/>
  <c r="AB342" i="18"/>
  <c r="AA342" i="18"/>
  <c r="Z342" i="18"/>
  <c r="Y342" i="18"/>
  <c r="X342" i="18"/>
  <c r="W342" i="18"/>
  <c r="V342" i="18"/>
  <c r="U342" i="18"/>
  <c r="T342" i="18"/>
  <c r="S342" i="18"/>
  <c r="R342" i="18"/>
  <c r="Q342" i="18"/>
  <c r="P342" i="18"/>
  <c r="O342" i="18"/>
  <c r="N342" i="18"/>
  <c r="M342" i="18"/>
  <c r="L342" i="18"/>
  <c r="K342" i="18"/>
  <c r="J342" i="18"/>
  <c r="I342" i="18"/>
  <c r="H342" i="18"/>
  <c r="G342" i="18"/>
  <c r="F342" i="18"/>
  <c r="E342" i="18"/>
  <c r="D342" i="18"/>
  <c r="C342" i="18"/>
  <c r="B342" i="18"/>
  <c r="A342" i="18"/>
  <c r="AF341" i="18"/>
  <c r="AE341" i="18"/>
  <c r="AD341" i="18"/>
  <c r="AC341" i="18"/>
  <c r="AB341" i="18"/>
  <c r="AA341" i="18"/>
  <c r="Z341" i="18"/>
  <c r="Y341" i="18"/>
  <c r="X341" i="18"/>
  <c r="W341" i="18"/>
  <c r="V341" i="18"/>
  <c r="U341" i="18"/>
  <c r="T341" i="18"/>
  <c r="S341" i="18"/>
  <c r="R341" i="18"/>
  <c r="Q341" i="18"/>
  <c r="P341" i="18"/>
  <c r="O341" i="18"/>
  <c r="N341" i="18"/>
  <c r="M341" i="18"/>
  <c r="L341" i="18"/>
  <c r="K341" i="18"/>
  <c r="J341" i="18"/>
  <c r="I341" i="18"/>
  <c r="H341" i="18"/>
  <c r="G341" i="18"/>
  <c r="F341" i="18"/>
  <c r="E341" i="18"/>
  <c r="D341" i="18"/>
  <c r="C341" i="18"/>
  <c r="B341" i="18"/>
  <c r="A341" i="18"/>
  <c r="AF340" i="18"/>
  <c r="AE340" i="18"/>
  <c r="AD340" i="18"/>
  <c r="AC340" i="18"/>
  <c r="AB340" i="18"/>
  <c r="AA340" i="18"/>
  <c r="Z340" i="18"/>
  <c r="Y340" i="18"/>
  <c r="X340" i="18"/>
  <c r="W340" i="18"/>
  <c r="V340" i="18"/>
  <c r="U340" i="18"/>
  <c r="T340" i="18"/>
  <c r="S340" i="18"/>
  <c r="R340" i="18"/>
  <c r="Q340" i="18"/>
  <c r="P340" i="18"/>
  <c r="O340" i="18"/>
  <c r="N340" i="18"/>
  <c r="M340" i="18"/>
  <c r="L340" i="18"/>
  <c r="K340" i="18"/>
  <c r="J340" i="18"/>
  <c r="I340" i="18"/>
  <c r="H340" i="18"/>
  <c r="G340" i="18"/>
  <c r="F340" i="18"/>
  <c r="E340" i="18"/>
  <c r="D340" i="18"/>
  <c r="C340" i="18"/>
  <c r="B340" i="18"/>
  <c r="A340" i="18"/>
  <c r="AF339" i="18"/>
  <c r="AE339" i="18"/>
  <c r="AD339" i="18"/>
  <c r="AC339" i="18"/>
  <c r="AB339" i="18"/>
  <c r="AA339" i="18"/>
  <c r="Z339" i="18"/>
  <c r="Y339" i="18"/>
  <c r="X339" i="18"/>
  <c r="W339" i="18"/>
  <c r="V339" i="18"/>
  <c r="U339" i="18"/>
  <c r="T339" i="18"/>
  <c r="S339" i="18"/>
  <c r="R339" i="18"/>
  <c r="Q339" i="18"/>
  <c r="P339" i="18"/>
  <c r="O339" i="18"/>
  <c r="N339" i="18"/>
  <c r="M339" i="18"/>
  <c r="L339" i="18"/>
  <c r="K339" i="18"/>
  <c r="J339" i="18"/>
  <c r="I339" i="18"/>
  <c r="H339" i="18"/>
  <c r="G339" i="18"/>
  <c r="F339" i="18"/>
  <c r="E339" i="18"/>
  <c r="D339" i="18"/>
  <c r="C339" i="18"/>
  <c r="B339" i="18"/>
  <c r="A339" i="18"/>
  <c r="AF338" i="18"/>
  <c r="AE338" i="18"/>
  <c r="AD338" i="18"/>
  <c r="AC338" i="18"/>
  <c r="AB338" i="18"/>
  <c r="AA338" i="18"/>
  <c r="Z338" i="18"/>
  <c r="Y338" i="18"/>
  <c r="X338" i="18"/>
  <c r="W338" i="18"/>
  <c r="V338" i="18"/>
  <c r="U338" i="18"/>
  <c r="T338" i="18"/>
  <c r="S338" i="18"/>
  <c r="R338" i="18"/>
  <c r="Q338" i="18"/>
  <c r="P338" i="18"/>
  <c r="O338" i="18"/>
  <c r="N338" i="18"/>
  <c r="M338" i="18"/>
  <c r="L338" i="18"/>
  <c r="K338" i="18"/>
  <c r="J338" i="18"/>
  <c r="I338" i="18"/>
  <c r="H338" i="18"/>
  <c r="G338" i="18"/>
  <c r="F338" i="18"/>
  <c r="E338" i="18"/>
  <c r="D338" i="18"/>
  <c r="C338" i="18"/>
  <c r="B338" i="18"/>
  <c r="A338" i="18"/>
  <c r="AF337" i="18"/>
  <c r="AE337" i="18"/>
  <c r="AD337" i="18"/>
  <c r="AC337" i="18"/>
  <c r="AB337" i="18"/>
  <c r="AA337" i="18"/>
  <c r="Z337" i="18"/>
  <c r="Y337" i="18"/>
  <c r="X337" i="18"/>
  <c r="W337" i="18"/>
  <c r="V337" i="18"/>
  <c r="U337" i="18"/>
  <c r="T337" i="18"/>
  <c r="S337" i="18"/>
  <c r="R337" i="18"/>
  <c r="Q337" i="18"/>
  <c r="P337" i="18"/>
  <c r="O337" i="18"/>
  <c r="N337" i="18"/>
  <c r="M337" i="18"/>
  <c r="L337" i="18"/>
  <c r="K337" i="18"/>
  <c r="J337" i="18"/>
  <c r="I337" i="18"/>
  <c r="H337" i="18"/>
  <c r="G337" i="18"/>
  <c r="F337" i="18"/>
  <c r="E337" i="18"/>
  <c r="D337" i="18"/>
  <c r="C337" i="18"/>
  <c r="B337" i="18"/>
  <c r="A337" i="18"/>
  <c r="AF336" i="18"/>
  <c r="AE336" i="18"/>
  <c r="AD336" i="18"/>
  <c r="AC336" i="18"/>
  <c r="AB336" i="18"/>
  <c r="AA336" i="18"/>
  <c r="Z336" i="18"/>
  <c r="Y336" i="18"/>
  <c r="X336" i="18"/>
  <c r="W336" i="18"/>
  <c r="V336" i="18"/>
  <c r="U336" i="18"/>
  <c r="T336" i="18"/>
  <c r="S336" i="18"/>
  <c r="R336" i="18"/>
  <c r="Q336" i="18"/>
  <c r="P336" i="18"/>
  <c r="O336" i="18"/>
  <c r="N336" i="18"/>
  <c r="M336" i="18"/>
  <c r="L336" i="18"/>
  <c r="K336" i="18"/>
  <c r="J336" i="18"/>
  <c r="I336" i="18"/>
  <c r="H336" i="18"/>
  <c r="G336" i="18"/>
  <c r="F336" i="18"/>
  <c r="E336" i="18"/>
  <c r="D336" i="18"/>
  <c r="C336" i="18"/>
  <c r="B336" i="18"/>
  <c r="A336" i="18"/>
  <c r="AF335" i="18"/>
  <c r="AE335" i="18"/>
  <c r="AD335" i="18"/>
  <c r="AC335" i="18"/>
  <c r="AB335" i="18"/>
  <c r="AA335" i="18"/>
  <c r="Z335" i="18"/>
  <c r="Y335" i="18"/>
  <c r="X335" i="18"/>
  <c r="W335" i="18"/>
  <c r="V335" i="18"/>
  <c r="U335" i="18"/>
  <c r="T335" i="18"/>
  <c r="S335" i="18"/>
  <c r="R335" i="18"/>
  <c r="Q335" i="18"/>
  <c r="P335" i="18"/>
  <c r="O335" i="18"/>
  <c r="N335" i="18"/>
  <c r="M335" i="18"/>
  <c r="L335" i="18"/>
  <c r="K335" i="18"/>
  <c r="J335" i="18"/>
  <c r="I335" i="18"/>
  <c r="H335" i="18"/>
  <c r="G335" i="18"/>
  <c r="F335" i="18"/>
  <c r="E335" i="18"/>
  <c r="D335" i="18"/>
  <c r="C335" i="18"/>
  <c r="B335" i="18"/>
  <c r="A335" i="18"/>
  <c r="AF334" i="18"/>
  <c r="AE334" i="18"/>
  <c r="AD334" i="18"/>
  <c r="AC334" i="18"/>
  <c r="AB334" i="18"/>
  <c r="AA334" i="18"/>
  <c r="Z334" i="18"/>
  <c r="Y334" i="18"/>
  <c r="X334" i="18"/>
  <c r="W334" i="18"/>
  <c r="V334" i="18"/>
  <c r="U334" i="18"/>
  <c r="T334" i="18"/>
  <c r="S334" i="18"/>
  <c r="R334" i="18"/>
  <c r="Q334" i="18"/>
  <c r="P334" i="18"/>
  <c r="O334" i="18"/>
  <c r="N334" i="18"/>
  <c r="M334" i="18"/>
  <c r="L334" i="18"/>
  <c r="K334" i="18"/>
  <c r="J334" i="18"/>
  <c r="I334" i="18"/>
  <c r="H334" i="18"/>
  <c r="G334" i="18"/>
  <c r="F334" i="18"/>
  <c r="E334" i="18"/>
  <c r="D334" i="18"/>
  <c r="C334" i="18"/>
  <c r="B334" i="18"/>
  <c r="A334" i="18"/>
  <c r="AF333" i="18"/>
  <c r="AE333" i="18"/>
  <c r="AD333" i="18"/>
  <c r="AC333" i="18"/>
  <c r="AB333" i="18"/>
  <c r="AA333" i="18"/>
  <c r="Z333" i="18"/>
  <c r="Y333" i="18"/>
  <c r="X333" i="18"/>
  <c r="W333" i="18"/>
  <c r="V333" i="18"/>
  <c r="U333" i="18"/>
  <c r="T333" i="18"/>
  <c r="S333" i="18"/>
  <c r="R333" i="18"/>
  <c r="Q333" i="18"/>
  <c r="P333" i="18"/>
  <c r="O333" i="18"/>
  <c r="N333" i="18"/>
  <c r="M333" i="18"/>
  <c r="L333" i="18"/>
  <c r="K333" i="18"/>
  <c r="J333" i="18"/>
  <c r="I333" i="18"/>
  <c r="H333" i="18"/>
  <c r="G333" i="18"/>
  <c r="F333" i="18"/>
  <c r="E333" i="18"/>
  <c r="D333" i="18"/>
  <c r="C333" i="18"/>
  <c r="B333" i="18"/>
  <c r="A333" i="18"/>
  <c r="AF261" i="18"/>
  <c r="AE261" i="18"/>
  <c r="AD261" i="18"/>
  <c r="AC261" i="18"/>
  <c r="AB261" i="18"/>
  <c r="AA261" i="18"/>
  <c r="Z261" i="18"/>
  <c r="Y261" i="18"/>
  <c r="X261" i="18"/>
  <c r="W261" i="18"/>
  <c r="V261" i="18"/>
  <c r="U261" i="18"/>
  <c r="T261" i="18"/>
  <c r="S261" i="18"/>
  <c r="R261" i="18"/>
  <c r="Q261" i="18"/>
  <c r="P261" i="18"/>
  <c r="O261" i="18"/>
  <c r="N261" i="18"/>
  <c r="M261" i="18"/>
  <c r="L261" i="18"/>
  <c r="K261" i="18"/>
  <c r="J261" i="18"/>
  <c r="I261" i="18"/>
  <c r="H261" i="18"/>
  <c r="G261" i="18"/>
  <c r="F261" i="18"/>
  <c r="E261" i="18"/>
  <c r="D261" i="18"/>
  <c r="C261" i="18"/>
  <c r="B261" i="18"/>
  <c r="A261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A39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A40" i="18"/>
  <c r="AF296" i="18"/>
  <c r="AE296" i="18"/>
  <c r="AD296" i="18"/>
  <c r="AC296" i="18"/>
  <c r="AB296" i="18"/>
  <c r="AA296" i="18"/>
  <c r="Z296" i="18"/>
  <c r="Y296" i="18"/>
  <c r="X296" i="18"/>
  <c r="W296" i="18"/>
  <c r="V296" i="18"/>
  <c r="U296" i="18"/>
  <c r="T296" i="18"/>
  <c r="S296" i="18"/>
  <c r="R296" i="18"/>
  <c r="Q296" i="18"/>
  <c r="P296" i="18"/>
  <c r="O296" i="18"/>
  <c r="N296" i="18"/>
  <c r="M296" i="18"/>
  <c r="L296" i="18"/>
  <c r="K296" i="18"/>
  <c r="J296" i="18"/>
  <c r="I296" i="18"/>
  <c r="H296" i="18"/>
  <c r="G296" i="18"/>
  <c r="F296" i="18"/>
  <c r="E296" i="18"/>
  <c r="D296" i="18"/>
  <c r="C296" i="18"/>
  <c r="B296" i="18"/>
  <c r="A296" i="18"/>
  <c r="AF295" i="18"/>
  <c r="AE295" i="18"/>
  <c r="AD295" i="18"/>
  <c r="AC295" i="18"/>
  <c r="AB295" i="18"/>
  <c r="AA295" i="18"/>
  <c r="Z295" i="18"/>
  <c r="Y295" i="18"/>
  <c r="X295" i="18"/>
  <c r="W295" i="18"/>
  <c r="V295" i="18"/>
  <c r="U295" i="18"/>
  <c r="T295" i="18"/>
  <c r="S295" i="18"/>
  <c r="R295" i="18"/>
  <c r="Q295" i="18"/>
  <c r="P295" i="18"/>
  <c r="O295" i="18"/>
  <c r="N295" i="18"/>
  <c r="M295" i="18"/>
  <c r="L295" i="18"/>
  <c r="K295" i="18"/>
  <c r="J295" i="18"/>
  <c r="I295" i="18"/>
  <c r="H295" i="18"/>
  <c r="G295" i="18"/>
  <c r="F295" i="18"/>
  <c r="E295" i="18"/>
  <c r="D295" i="18"/>
  <c r="C295" i="18"/>
  <c r="B295" i="18"/>
  <c r="A295" i="18"/>
  <c r="AF294" i="18"/>
  <c r="AE294" i="18"/>
  <c r="AD294" i="18"/>
  <c r="AC294" i="18"/>
  <c r="AB294" i="18"/>
  <c r="AA294" i="18"/>
  <c r="Z294" i="18"/>
  <c r="Y294" i="18"/>
  <c r="X294" i="18"/>
  <c r="W294" i="18"/>
  <c r="V294" i="18"/>
  <c r="U294" i="18"/>
  <c r="T294" i="18"/>
  <c r="S294" i="18"/>
  <c r="R294" i="18"/>
  <c r="Q294" i="18"/>
  <c r="P294" i="18"/>
  <c r="O294" i="18"/>
  <c r="N294" i="18"/>
  <c r="M294" i="18"/>
  <c r="L294" i="18"/>
  <c r="K294" i="18"/>
  <c r="J294" i="18"/>
  <c r="I294" i="18"/>
  <c r="H294" i="18"/>
  <c r="G294" i="18"/>
  <c r="F294" i="18"/>
  <c r="E294" i="18"/>
  <c r="D294" i="18"/>
  <c r="C294" i="18"/>
  <c r="B294" i="18"/>
  <c r="A294" i="18"/>
  <c r="AF293" i="18"/>
  <c r="AE293" i="18"/>
  <c r="AD293" i="18"/>
  <c r="AC293" i="18"/>
  <c r="AB293" i="18"/>
  <c r="AA293" i="18"/>
  <c r="Z293" i="18"/>
  <c r="Y293" i="18"/>
  <c r="X293" i="18"/>
  <c r="W293" i="18"/>
  <c r="V293" i="18"/>
  <c r="U293" i="18"/>
  <c r="T293" i="18"/>
  <c r="S293" i="18"/>
  <c r="R293" i="18"/>
  <c r="Q293" i="18"/>
  <c r="P293" i="18"/>
  <c r="O293" i="18"/>
  <c r="N293" i="18"/>
  <c r="M293" i="18"/>
  <c r="L293" i="18"/>
  <c r="K293" i="18"/>
  <c r="J293" i="18"/>
  <c r="I293" i="18"/>
  <c r="H293" i="18"/>
  <c r="G293" i="18"/>
  <c r="F293" i="18"/>
  <c r="E293" i="18"/>
  <c r="D293" i="18"/>
  <c r="C293" i="18"/>
  <c r="B293" i="18"/>
  <c r="A293" i="18"/>
  <c r="AF292" i="18"/>
  <c r="AE292" i="18"/>
  <c r="AD292" i="18"/>
  <c r="AC292" i="18"/>
  <c r="AB292" i="18"/>
  <c r="AA292" i="18"/>
  <c r="Z292" i="18"/>
  <c r="Y292" i="18"/>
  <c r="X292" i="18"/>
  <c r="W292" i="18"/>
  <c r="V292" i="18"/>
  <c r="U292" i="18"/>
  <c r="T292" i="18"/>
  <c r="S292" i="18"/>
  <c r="R292" i="18"/>
  <c r="Q292" i="18"/>
  <c r="P292" i="18"/>
  <c r="O292" i="18"/>
  <c r="N292" i="18"/>
  <c r="M292" i="18"/>
  <c r="L292" i="18"/>
  <c r="K292" i="18"/>
  <c r="J292" i="18"/>
  <c r="I292" i="18"/>
  <c r="H292" i="18"/>
  <c r="G292" i="18"/>
  <c r="F292" i="18"/>
  <c r="E292" i="18"/>
  <c r="D292" i="18"/>
  <c r="C292" i="18"/>
  <c r="B292" i="18"/>
  <c r="A292" i="18"/>
  <c r="AF291" i="18"/>
  <c r="AE291" i="18"/>
  <c r="AD291" i="18"/>
  <c r="AC291" i="18"/>
  <c r="AB291" i="18"/>
  <c r="AA291" i="18"/>
  <c r="Z291" i="18"/>
  <c r="Y291" i="18"/>
  <c r="X291" i="18"/>
  <c r="W291" i="18"/>
  <c r="V291" i="18"/>
  <c r="U291" i="18"/>
  <c r="T291" i="18"/>
  <c r="S291" i="18"/>
  <c r="R291" i="18"/>
  <c r="Q291" i="18"/>
  <c r="P291" i="18"/>
  <c r="O291" i="18"/>
  <c r="N291" i="18"/>
  <c r="M291" i="18"/>
  <c r="L291" i="18"/>
  <c r="K291" i="18"/>
  <c r="J291" i="18"/>
  <c r="I291" i="18"/>
  <c r="H291" i="18"/>
  <c r="G291" i="18"/>
  <c r="F291" i="18"/>
  <c r="E291" i="18"/>
  <c r="D291" i="18"/>
  <c r="C291" i="18"/>
  <c r="B291" i="18"/>
  <c r="A291" i="18"/>
  <c r="AF290" i="18"/>
  <c r="AE290" i="18"/>
  <c r="AD290" i="18"/>
  <c r="AC290" i="18"/>
  <c r="AB290" i="18"/>
  <c r="AA290" i="18"/>
  <c r="Z290" i="18"/>
  <c r="Y290" i="18"/>
  <c r="X290" i="18"/>
  <c r="W290" i="18"/>
  <c r="V290" i="18"/>
  <c r="U290" i="18"/>
  <c r="T290" i="18"/>
  <c r="S290" i="18"/>
  <c r="R290" i="18"/>
  <c r="Q290" i="18"/>
  <c r="P290" i="18"/>
  <c r="O290" i="18"/>
  <c r="N290" i="18"/>
  <c r="M290" i="18"/>
  <c r="L290" i="18"/>
  <c r="K290" i="18"/>
  <c r="J290" i="18"/>
  <c r="I290" i="18"/>
  <c r="H290" i="18"/>
  <c r="G290" i="18"/>
  <c r="F290" i="18"/>
  <c r="E290" i="18"/>
  <c r="D290" i="18"/>
  <c r="C290" i="18"/>
  <c r="B290" i="18"/>
  <c r="A290" i="18"/>
  <c r="AF289" i="18"/>
  <c r="AE289" i="18"/>
  <c r="AD289" i="18"/>
  <c r="AC289" i="18"/>
  <c r="AB289" i="18"/>
  <c r="AA289" i="18"/>
  <c r="Z289" i="18"/>
  <c r="Y289" i="18"/>
  <c r="X289" i="18"/>
  <c r="W289" i="18"/>
  <c r="V289" i="18"/>
  <c r="U289" i="18"/>
  <c r="T289" i="18"/>
  <c r="S289" i="18"/>
  <c r="R289" i="18"/>
  <c r="Q289" i="18"/>
  <c r="P289" i="18"/>
  <c r="O289" i="18"/>
  <c r="N289" i="18"/>
  <c r="M289" i="18"/>
  <c r="L289" i="18"/>
  <c r="K289" i="18"/>
  <c r="J289" i="18"/>
  <c r="I289" i="18"/>
  <c r="H289" i="18"/>
  <c r="G289" i="18"/>
  <c r="F289" i="18"/>
  <c r="E289" i="18"/>
  <c r="D289" i="18"/>
  <c r="C289" i="18"/>
  <c r="B289" i="18"/>
  <c r="A289" i="18"/>
  <c r="AF288" i="18"/>
  <c r="AE288" i="18"/>
  <c r="AD288" i="18"/>
  <c r="AC288" i="18"/>
  <c r="AB288" i="18"/>
  <c r="AA288" i="18"/>
  <c r="Z288" i="18"/>
  <c r="Y288" i="18"/>
  <c r="X288" i="18"/>
  <c r="W288" i="18"/>
  <c r="V288" i="18"/>
  <c r="U288" i="18"/>
  <c r="T288" i="18"/>
  <c r="S288" i="18"/>
  <c r="R288" i="18"/>
  <c r="Q288" i="18"/>
  <c r="P288" i="18"/>
  <c r="O288" i="18"/>
  <c r="N288" i="18"/>
  <c r="M288" i="18"/>
  <c r="L288" i="18"/>
  <c r="K288" i="18"/>
  <c r="J288" i="18"/>
  <c r="I288" i="18"/>
  <c r="H288" i="18"/>
  <c r="G288" i="18"/>
  <c r="F288" i="18"/>
  <c r="E288" i="18"/>
  <c r="D288" i="18"/>
  <c r="C288" i="18"/>
  <c r="B288" i="18"/>
  <c r="A288" i="18"/>
  <c r="AF287" i="18"/>
  <c r="AE287" i="18"/>
  <c r="AD287" i="18"/>
  <c r="AC287" i="18"/>
  <c r="AB287" i="18"/>
  <c r="AA287" i="18"/>
  <c r="Z287" i="18"/>
  <c r="Y287" i="18"/>
  <c r="X287" i="18"/>
  <c r="W287" i="18"/>
  <c r="V287" i="18"/>
  <c r="U287" i="18"/>
  <c r="T287" i="18"/>
  <c r="S287" i="18"/>
  <c r="R287" i="18"/>
  <c r="Q287" i="18"/>
  <c r="P287" i="18"/>
  <c r="O287" i="18"/>
  <c r="N287" i="18"/>
  <c r="M287" i="18"/>
  <c r="L287" i="18"/>
  <c r="K287" i="18"/>
  <c r="J287" i="18"/>
  <c r="I287" i="18"/>
  <c r="H287" i="18"/>
  <c r="G287" i="18"/>
  <c r="F287" i="18"/>
  <c r="E287" i="18"/>
  <c r="D287" i="18"/>
  <c r="C287" i="18"/>
  <c r="B287" i="18"/>
  <c r="A287" i="18"/>
  <c r="AF286" i="18"/>
  <c r="AE286" i="18"/>
  <c r="AD286" i="18"/>
  <c r="AC286" i="18"/>
  <c r="AB286" i="18"/>
  <c r="AA286" i="18"/>
  <c r="Z286" i="18"/>
  <c r="Y286" i="18"/>
  <c r="X286" i="18"/>
  <c r="W286" i="18"/>
  <c r="V286" i="18"/>
  <c r="U286" i="18"/>
  <c r="T286" i="18"/>
  <c r="S286" i="18"/>
  <c r="R286" i="18"/>
  <c r="Q286" i="18"/>
  <c r="P286" i="18"/>
  <c r="O286" i="18"/>
  <c r="N286" i="18"/>
  <c r="M286" i="18"/>
  <c r="L286" i="18"/>
  <c r="K286" i="18"/>
  <c r="J286" i="18"/>
  <c r="I286" i="18"/>
  <c r="H286" i="18"/>
  <c r="G286" i="18"/>
  <c r="F286" i="18"/>
  <c r="E286" i="18"/>
  <c r="D286" i="18"/>
  <c r="C286" i="18"/>
  <c r="B286" i="18"/>
  <c r="A286" i="18"/>
  <c r="AF285" i="18"/>
  <c r="AE285" i="18"/>
  <c r="AD285" i="18"/>
  <c r="AC285" i="18"/>
  <c r="AB285" i="18"/>
  <c r="AA285" i="18"/>
  <c r="Z285" i="18"/>
  <c r="Y285" i="18"/>
  <c r="X285" i="18"/>
  <c r="W285" i="18"/>
  <c r="V285" i="18"/>
  <c r="U285" i="18"/>
  <c r="T285" i="18"/>
  <c r="S285" i="18"/>
  <c r="R285" i="18"/>
  <c r="Q285" i="18"/>
  <c r="P285" i="18"/>
  <c r="O285" i="18"/>
  <c r="N285" i="18"/>
  <c r="M285" i="18"/>
  <c r="L285" i="18"/>
  <c r="K285" i="18"/>
  <c r="J285" i="18"/>
  <c r="I285" i="18"/>
  <c r="H285" i="18"/>
  <c r="G285" i="18"/>
  <c r="F285" i="18"/>
  <c r="E285" i="18"/>
  <c r="D285" i="18"/>
  <c r="C285" i="18"/>
  <c r="B285" i="18"/>
  <c r="A285" i="18"/>
  <c r="AF284" i="18"/>
  <c r="AE284" i="18"/>
  <c r="AD284" i="18"/>
  <c r="AC284" i="18"/>
  <c r="AB284" i="18"/>
  <c r="AA284" i="18"/>
  <c r="Z284" i="18"/>
  <c r="Y284" i="18"/>
  <c r="X284" i="18"/>
  <c r="W284" i="18"/>
  <c r="V284" i="18"/>
  <c r="U284" i="18"/>
  <c r="T284" i="18"/>
  <c r="S284" i="18"/>
  <c r="R284" i="18"/>
  <c r="Q284" i="18"/>
  <c r="P284" i="18"/>
  <c r="O284" i="18"/>
  <c r="N284" i="18"/>
  <c r="M284" i="18"/>
  <c r="L284" i="18"/>
  <c r="K284" i="18"/>
  <c r="J284" i="18"/>
  <c r="I284" i="18"/>
  <c r="H284" i="18"/>
  <c r="G284" i="18"/>
  <c r="F284" i="18"/>
  <c r="E284" i="18"/>
  <c r="D284" i="18"/>
  <c r="C284" i="18"/>
  <c r="B284" i="18"/>
  <c r="A284" i="18"/>
  <c r="AF283" i="18"/>
  <c r="AE283" i="18"/>
  <c r="AD283" i="18"/>
  <c r="AC283" i="18"/>
  <c r="AB283" i="18"/>
  <c r="AA283" i="18"/>
  <c r="Z283" i="18"/>
  <c r="Y283" i="18"/>
  <c r="X283" i="18"/>
  <c r="W283" i="18"/>
  <c r="V283" i="18"/>
  <c r="U283" i="18"/>
  <c r="T283" i="18"/>
  <c r="S283" i="18"/>
  <c r="R283" i="18"/>
  <c r="Q283" i="18"/>
  <c r="P283" i="18"/>
  <c r="O283" i="18"/>
  <c r="N283" i="18"/>
  <c r="M283" i="18"/>
  <c r="L283" i="18"/>
  <c r="K283" i="18"/>
  <c r="J283" i="18"/>
  <c r="I283" i="18"/>
  <c r="H283" i="18"/>
  <c r="G283" i="18"/>
  <c r="F283" i="18"/>
  <c r="E283" i="18"/>
  <c r="D283" i="18"/>
  <c r="C283" i="18"/>
  <c r="B283" i="18"/>
  <c r="A283" i="18"/>
  <c r="AF282" i="18"/>
  <c r="AE282" i="18"/>
  <c r="AD282" i="18"/>
  <c r="AC282" i="18"/>
  <c r="AB282" i="18"/>
  <c r="AA282" i="18"/>
  <c r="Z282" i="18"/>
  <c r="Y282" i="18"/>
  <c r="X282" i="18"/>
  <c r="W282" i="18"/>
  <c r="V282" i="18"/>
  <c r="U282" i="18"/>
  <c r="T282" i="18"/>
  <c r="S282" i="18"/>
  <c r="R282" i="18"/>
  <c r="Q282" i="18"/>
  <c r="P282" i="18"/>
  <c r="O282" i="18"/>
  <c r="N282" i="18"/>
  <c r="M282" i="18"/>
  <c r="L282" i="18"/>
  <c r="K282" i="18"/>
  <c r="J282" i="18"/>
  <c r="I282" i="18"/>
  <c r="H282" i="18"/>
  <c r="G282" i="18"/>
  <c r="F282" i="18"/>
  <c r="E282" i="18"/>
  <c r="D282" i="18"/>
  <c r="C282" i="18"/>
  <c r="B282" i="18"/>
  <c r="A282" i="18"/>
  <c r="AF281" i="18"/>
  <c r="AE281" i="18"/>
  <c r="AD281" i="18"/>
  <c r="AC281" i="18"/>
  <c r="AB281" i="18"/>
  <c r="AA281" i="18"/>
  <c r="Z281" i="18"/>
  <c r="Y281" i="18"/>
  <c r="X281" i="18"/>
  <c r="W281" i="18"/>
  <c r="V281" i="18"/>
  <c r="U281" i="18"/>
  <c r="T281" i="18"/>
  <c r="S281" i="18"/>
  <c r="R281" i="18"/>
  <c r="Q281" i="18"/>
  <c r="P281" i="18"/>
  <c r="O281" i="18"/>
  <c r="N281" i="18"/>
  <c r="M281" i="18"/>
  <c r="L281" i="18"/>
  <c r="K281" i="18"/>
  <c r="J281" i="18"/>
  <c r="I281" i="18"/>
  <c r="H281" i="18"/>
  <c r="G281" i="18"/>
  <c r="F281" i="18"/>
  <c r="E281" i="18"/>
  <c r="D281" i="18"/>
  <c r="C281" i="18"/>
  <c r="B281" i="18"/>
  <c r="A281" i="18"/>
  <c r="AF280" i="18"/>
  <c r="AE280" i="18"/>
  <c r="AD280" i="18"/>
  <c r="AC280" i="18"/>
  <c r="AB280" i="18"/>
  <c r="AA280" i="18"/>
  <c r="Z280" i="18"/>
  <c r="Y280" i="18"/>
  <c r="X280" i="18"/>
  <c r="W280" i="18"/>
  <c r="V280" i="18"/>
  <c r="U280" i="18"/>
  <c r="T280" i="18"/>
  <c r="S280" i="18"/>
  <c r="R280" i="18"/>
  <c r="Q280" i="18"/>
  <c r="P280" i="18"/>
  <c r="O280" i="18"/>
  <c r="N280" i="18"/>
  <c r="M280" i="18"/>
  <c r="L280" i="18"/>
  <c r="K280" i="18"/>
  <c r="J280" i="18"/>
  <c r="I280" i="18"/>
  <c r="H280" i="18"/>
  <c r="G280" i="18"/>
  <c r="F280" i="18"/>
  <c r="E280" i="18"/>
  <c r="D280" i="18"/>
  <c r="C280" i="18"/>
  <c r="B280" i="18"/>
  <c r="A280" i="18"/>
  <c r="AF279" i="18"/>
  <c r="AE279" i="18"/>
  <c r="AD279" i="18"/>
  <c r="AC279" i="18"/>
  <c r="AB279" i="18"/>
  <c r="AA279" i="18"/>
  <c r="Z279" i="18"/>
  <c r="Y279" i="18"/>
  <c r="X279" i="18"/>
  <c r="W279" i="18"/>
  <c r="V279" i="18"/>
  <c r="U279" i="18"/>
  <c r="T279" i="18"/>
  <c r="S279" i="18"/>
  <c r="R279" i="18"/>
  <c r="Q279" i="18"/>
  <c r="P279" i="18"/>
  <c r="O279" i="18"/>
  <c r="N279" i="18"/>
  <c r="M279" i="18"/>
  <c r="L279" i="18"/>
  <c r="K279" i="18"/>
  <c r="J279" i="18"/>
  <c r="I279" i="18"/>
  <c r="H279" i="18"/>
  <c r="G279" i="18"/>
  <c r="F279" i="18"/>
  <c r="E279" i="18"/>
  <c r="D279" i="18"/>
  <c r="C279" i="18"/>
  <c r="B279" i="18"/>
  <c r="A279" i="18"/>
  <c r="AJ37" i="18"/>
  <c r="AI37" i="18"/>
  <c r="AH37" i="18"/>
  <c r="AG37" i="18"/>
  <c r="AF37" i="18"/>
  <c r="AE37" i="18"/>
  <c r="AD37" i="18"/>
  <c r="AC37" i="18"/>
  <c r="AB37" i="18"/>
  <c r="AA37" i="18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A37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A38" i="18"/>
  <c r="AF278" i="18"/>
  <c r="AE278" i="18"/>
  <c r="AD278" i="18"/>
  <c r="AC278" i="18"/>
  <c r="AB278" i="18"/>
  <c r="AA278" i="18"/>
  <c r="Z278" i="18"/>
  <c r="Y278" i="18"/>
  <c r="X278" i="18"/>
  <c r="W278" i="18"/>
  <c r="V278" i="18"/>
  <c r="U278" i="18"/>
  <c r="T278" i="18"/>
  <c r="S278" i="18"/>
  <c r="R278" i="18"/>
  <c r="Q278" i="18"/>
  <c r="P278" i="18"/>
  <c r="O278" i="18"/>
  <c r="N278" i="18"/>
  <c r="M278" i="18"/>
  <c r="L278" i="18"/>
  <c r="K278" i="18"/>
  <c r="J278" i="18"/>
  <c r="I278" i="18"/>
  <c r="H278" i="18"/>
  <c r="G278" i="18"/>
  <c r="F278" i="18"/>
  <c r="E278" i="18"/>
  <c r="D278" i="18"/>
  <c r="C278" i="18"/>
  <c r="B278" i="18"/>
  <c r="A278" i="18"/>
  <c r="AF277" i="18"/>
  <c r="AE277" i="18"/>
  <c r="AD277" i="18"/>
  <c r="AC277" i="18"/>
  <c r="AB277" i="18"/>
  <c r="AA277" i="18"/>
  <c r="Z277" i="18"/>
  <c r="Y277" i="18"/>
  <c r="X277" i="18"/>
  <c r="W277" i="18"/>
  <c r="V277" i="18"/>
  <c r="U277" i="18"/>
  <c r="T277" i="18"/>
  <c r="S277" i="18"/>
  <c r="R277" i="18"/>
  <c r="Q277" i="18"/>
  <c r="P277" i="18"/>
  <c r="O277" i="18"/>
  <c r="N277" i="18"/>
  <c r="M277" i="18"/>
  <c r="L277" i="18"/>
  <c r="K277" i="18"/>
  <c r="J277" i="18"/>
  <c r="I277" i="18"/>
  <c r="H277" i="18"/>
  <c r="G277" i="18"/>
  <c r="F277" i="18"/>
  <c r="E277" i="18"/>
  <c r="D277" i="18"/>
  <c r="C277" i="18"/>
  <c r="B277" i="18"/>
  <c r="A277" i="18"/>
  <c r="AF276" i="18"/>
  <c r="AE276" i="18"/>
  <c r="AD276" i="18"/>
  <c r="AC276" i="18"/>
  <c r="AB276" i="18"/>
  <c r="AA276" i="18"/>
  <c r="Z276" i="18"/>
  <c r="Y276" i="18"/>
  <c r="X276" i="18"/>
  <c r="W276" i="18"/>
  <c r="V276" i="18"/>
  <c r="U276" i="18"/>
  <c r="T276" i="18"/>
  <c r="S276" i="18"/>
  <c r="R276" i="18"/>
  <c r="Q276" i="18"/>
  <c r="P276" i="18"/>
  <c r="O276" i="18"/>
  <c r="N276" i="18"/>
  <c r="M276" i="18"/>
  <c r="L276" i="18"/>
  <c r="K276" i="18"/>
  <c r="J276" i="18"/>
  <c r="I276" i="18"/>
  <c r="H276" i="18"/>
  <c r="G276" i="18"/>
  <c r="F276" i="18"/>
  <c r="E276" i="18"/>
  <c r="D276" i="18"/>
  <c r="C276" i="18"/>
  <c r="B276" i="18"/>
  <c r="A276" i="18"/>
  <c r="AF275" i="18"/>
  <c r="AE275" i="18"/>
  <c r="AD275" i="18"/>
  <c r="AC275" i="18"/>
  <c r="AB275" i="18"/>
  <c r="AA275" i="18"/>
  <c r="Z275" i="18"/>
  <c r="Y275" i="18"/>
  <c r="X275" i="18"/>
  <c r="W275" i="18"/>
  <c r="V275" i="18"/>
  <c r="U275" i="18"/>
  <c r="T275" i="18"/>
  <c r="S275" i="18"/>
  <c r="R275" i="18"/>
  <c r="Q275" i="18"/>
  <c r="P275" i="18"/>
  <c r="O275" i="18"/>
  <c r="N275" i="18"/>
  <c r="M275" i="18"/>
  <c r="L275" i="18"/>
  <c r="K275" i="18"/>
  <c r="J275" i="18"/>
  <c r="I275" i="18"/>
  <c r="H275" i="18"/>
  <c r="G275" i="18"/>
  <c r="F275" i="18"/>
  <c r="E275" i="18"/>
  <c r="D275" i="18"/>
  <c r="C275" i="18"/>
  <c r="B275" i="18"/>
  <c r="A275" i="18"/>
  <c r="AF274" i="18"/>
  <c r="AE274" i="18"/>
  <c r="AD274" i="18"/>
  <c r="AC274" i="18"/>
  <c r="AB274" i="18"/>
  <c r="AA274" i="18"/>
  <c r="Z274" i="18"/>
  <c r="Y274" i="18"/>
  <c r="X274" i="18"/>
  <c r="W274" i="18"/>
  <c r="V274" i="18"/>
  <c r="U274" i="18"/>
  <c r="T274" i="18"/>
  <c r="S274" i="18"/>
  <c r="R274" i="18"/>
  <c r="Q274" i="18"/>
  <c r="P274" i="18"/>
  <c r="O274" i="18"/>
  <c r="N274" i="18"/>
  <c r="M274" i="18"/>
  <c r="L274" i="18"/>
  <c r="K274" i="18"/>
  <c r="J274" i="18"/>
  <c r="I274" i="18"/>
  <c r="H274" i="18"/>
  <c r="G274" i="18"/>
  <c r="F274" i="18"/>
  <c r="E274" i="18"/>
  <c r="D274" i="18"/>
  <c r="C274" i="18"/>
  <c r="B274" i="18"/>
  <c r="A274" i="18"/>
  <c r="AF273" i="18"/>
  <c r="AE273" i="18"/>
  <c r="AD273" i="18"/>
  <c r="AC273" i="18"/>
  <c r="AB273" i="18"/>
  <c r="AA273" i="18"/>
  <c r="Z273" i="18"/>
  <c r="Y273" i="18"/>
  <c r="X273" i="18"/>
  <c r="W273" i="18"/>
  <c r="V273" i="18"/>
  <c r="U273" i="18"/>
  <c r="T273" i="18"/>
  <c r="S273" i="18"/>
  <c r="R273" i="18"/>
  <c r="Q273" i="18"/>
  <c r="P273" i="18"/>
  <c r="O273" i="18"/>
  <c r="N273" i="18"/>
  <c r="M273" i="18"/>
  <c r="L273" i="18"/>
  <c r="K273" i="18"/>
  <c r="J273" i="18"/>
  <c r="I273" i="18"/>
  <c r="H273" i="18"/>
  <c r="G273" i="18"/>
  <c r="F273" i="18"/>
  <c r="E273" i="18"/>
  <c r="D273" i="18"/>
  <c r="C273" i="18"/>
  <c r="B273" i="18"/>
  <c r="A273" i="18"/>
  <c r="AF272" i="18"/>
  <c r="AE272" i="18"/>
  <c r="AD272" i="18"/>
  <c r="AC272" i="18"/>
  <c r="AB272" i="18"/>
  <c r="AA272" i="18"/>
  <c r="Z272" i="18"/>
  <c r="Y272" i="18"/>
  <c r="X272" i="18"/>
  <c r="W272" i="18"/>
  <c r="V272" i="18"/>
  <c r="U272" i="18"/>
  <c r="T272" i="18"/>
  <c r="S272" i="18"/>
  <c r="R272" i="18"/>
  <c r="Q272" i="18"/>
  <c r="P272" i="18"/>
  <c r="O272" i="18"/>
  <c r="N272" i="18"/>
  <c r="M272" i="18"/>
  <c r="L272" i="18"/>
  <c r="K272" i="18"/>
  <c r="J272" i="18"/>
  <c r="I272" i="18"/>
  <c r="H272" i="18"/>
  <c r="G272" i="18"/>
  <c r="F272" i="18"/>
  <c r="E272" i="18"/>
  <c r="D272" i="18"/>
  <c r="C272" i="18"/>
  <c r="B272" i="18"/>
  <c r="A272" i="18"/>
  <c r="AF271" i="18"/>
  <c r="AE271" i="18"/>
  <c r="AD271" i="18"/>
  <c r="AC271" i="18"/>
  <c r="AB271" i="18"/>
  <c r="AA271" i="18"/>
  <c r="Z271" i="18"/>
  <c r="Y271" i="18"/>
  <c r="X271" i="18"/>
  <c r="W271" i="18"/>
  <c r="V271" i="18"/>
  <c r="U271" i="18"/>
  <c r="T271" i="18"/>
  <c r="S271" i="18"/>
  <c r="R271" i="18"/>
  <c r="Q271" i="18"/>
  <c r="P271" i="18"/>
  <c r="O271" i="18"/>
  <c r="N271" i="18"/>
  <c r="M271" i="18"/>
  <c r="L271" i="18"/>
  <c r="K271" i="18"/>
  <c r="J271" i="18"/>
  <c r="I271" i="18"/>
  <c r="H271" i="18"/>
  <c r="G271" i="18"/>
  <c r="F271" i="18"/>
  <c r="E271" i="18"/>
  <c r="D271" i="18"/>
  <c r="C271" i="18"/>
  <c r="B271" i="18"/>
  <c r="A271" i="18"/>
  <c r="AF270" i="18"/>
  <c r="AE270" i="18"/>
  <c r="AD270" i="18"/>
  <c r="AC270" i="18"/>
  <c r="AB270" i="18"/>
  <c r="AA270" i="18"/>
  <c r="Z270" i="18"/>
  <c r="Y270" i="18"/>
  <c r="X270" i="18"/>
  <c r="W270" i="18"/>
  <c r="V270" i="18"/>
  <c r="U270" i="18"/>
  <c r="T270" i="18"/>
  <c r="S270" i="18"/>
  <c r="R270" i="18"/>
  <c r="Q270" i="18"/>
  <c r="P270" i="18"/>
  <c r="O270" i="18"/>
  <c r="N270" i="18"/>
  <c r="M270" i="18"/>
  <c r="L270" i="18"/>
  <c r="K270" i="18"/>
  <c r="J270" i="18"/>
  <c r="I270" i="18"/>
  <c r="H270" i="18"/>
  <c r="G270" i="18"/>
  <c r="F270" i="18"/>
  <c r="E270" i="18"/>
  <c r="D270" i="18"/>
  <c r="C270" i="18"/>
  <c r="B270" i="18"/>
  <c r="A270" i="18"/>
  <c r="AF269" i="18"/>
  <c r="AE269" i="18"/>
  <c r="AD269" i="18"/>
  <c r="AC269" i="18"/>
  <c r="AB269" i="18"/>
  <c r="AA269" i="18"/>
  <c r="Z269" i="18"/>
  <c r="Y269" i="18"/>
  <c r="X269" i="18"/>
  <c r="W269" i="18"/>
  <c r="V269" i="18"/>
  <c r="U269" i="18"/>
  <c r="T269" i="18"/>
  <c r="S269" i="18"/>
  <c r="R269" i="18"/>
  <c r="Q269" i="18"/>
  <c r="P269" i="18"/>
  <c r="O269" i="18"/>
  <c r="N269" i="18"/>
  <c r="M269" i="18"/>
  <c r="L269" i="18"/>
  <c r="K269" i="18"/>
  <c r="J269" i="18"/>
  <c r="I269" i="18"/>
  <c r="H269" i="18"/>
  <c r="G269" i="18"/>
  <c r="F269" i="18"/>
  <c r="E269" i="18"/>
  <c r="D269" i="18"/>
  <c r="C269" i="18"/>
  <c r="B269" i="18"/>
  <c r="A269" i="18"/>
  <c r="AF268" i="18"/>
  <c r="AE268" i="18"/>
  <c r="AD268" i="18"/>
  <c r="AC268" i="18"/>
  <c r="AB268" i="18"/>
  <c r="AA268" i="18"/>
  <c r="Z268" i="18"/>
  <c r="Y268" i="18"/>
  <c r="X268" i="18"/>
  <c r="W268" i="18"/>
  <c r="V268" i="18"/>
  <c r="U268" i="18"/>
  <c r="T268" i="18"/>
  <c r="S268" i="18"/>
  <c r="R268" i="18"/>
  <c r="Q268" i="18"/>
  <c r="P268" i="18"/>
  <c r="O268" i="18"/>
  <c r="N268" i="18"/>
  <c r="M268" i="18"/>
  <c r="L268" i="18"/>
  <c r="K268" i="18"/>
  <c r="J268" i="18"/>
  <c r="I268" i="18"/>
  <c r="H268" i="18"/>
  <c r="G268" i="18"/>
  <c r="F268" i="18"/>
  <c r="E268" i="18"/>
  <c r="D268" i="18"/>
  <c r="C268" i="18"/>
  <c r="B268" i="18"/>
  <c r="A268" i="18"/>
  <c r="AF267" i="18"/>
  <c r="AE267" i="18"/>
  <c r="AD267" i="18"/>
  <c r="AC267" i="18"/>
  <c r="AB267" i="18"/>
  <c r="AA267" i="18"/>
  <c r="Z267" i="18"/>
  <c r="Y267" i="18"/>
  <c r="X267" i="18"/>
  <c r="W267" i="18"/>
  <c r="V267" i="18"/>
  <c r="U267" i="18"/>
  <c r="T267" i="18"/>
  <c r="S267" i="18"/>
  <c r="R267" i="18"/>
  <c r="Q267" i="18"/>
  <c r="P267" i="18"/>
  <c r="O267" i="18"/>
  <c r="N267" i="18"/>
  <c r="M267" i="18"/>
  <c r="L267" i="18"/>
  <c r="K267" i="18"/>
  <c r="J267" i="18"/>
  <c r="I267" i="18"/>
  <c r="H267" i="18"/>
  <c r="G267" i="18"/>
  <c r="F267" i="18"/>
  <c r="E267" i="18"/>
  <c r="D267" i="18"/>
  <c r="C267" i="18"/>
  <c r="B267" i="18"/>
  <c r="A267" i="18"/>
  <c r="AF266" i="18"/>
  <c r="AE266" i="18"/>
  <c r="AD266" i="18"/>
  <c r="AC266" i="18"/>
  <c r="AB266" i="18"/>
  <c r="AA266" i="18"/>
  <c r="Z266" i="18"/>
  <c r="Y266" i="18"/>
  <c r="X266" i="18"/>
  <c r="W266" i="18"/>
  <c r="V266" i="18"/>
  <c r="U266" i="18"/>
  <c r="T266" i="18"/>
  <c r="S266" i="18"/>
  <c r="R266" i="18"/>
  <c r="Q266" i="18"/>
  <c r="P266" i="18"/>
  <c r="O266" i="18"/>
  <c r="N266" i="18"/>
  <c r="M266" i="18"/>
  <c r="L266" i="18"/>
  <c r="K266" i="18"/>
  <c r="J266" i="18"/>
  <c r="I266" i="18"/>
  <c r="H266" i="18"/>
  <c r="G266" i="18"/>
  <c r="F266" i="18"/>
  <c r="E266" i="18"/>
  <c r="D266" i="18"/>
  <c r="C266" i="18"/>
  <c r="B266" i="18"/>
  <c r="A266" i="18"/>
  <c r="AF265" i="18"/>
  <c r="AE265" i="18"/>
  <c r="AD265" i="18"/>
  <c r="AC265" i="18"/>
  <c r="AB265" i="18"/>
  <c r="AA265" i="18"/>
  <c r="Z265" i="18"/>
  <c r="Y265" i="18"/>
  <c r="X265" i="18"/>
  <c r="W265" i="18"/>
  <c r="V265" i="18"/>
  <c r="U265" i="18"/>
  <c r="T265" i="18"/>
  <c r="S265" i="18"/>
  <c r="R265" i="18"/>
  <c r="Q265" i="18"/>
  <c r="P265" i="18"/>
  <c r="O265" i="18"/>
  <c r="N265" i="18"/>
  <c r="M265" i="18"/>
  <c r="L265" i="18"/>
  <c r="K265" i="18"/>
  <c r="J265" i="18"/>
  <c r="I265" i="18"/>
  <c r="H265" i="18"/>
  <c r="G265" i="18"/>
  <c r="F265" i="18"/>
  <c r="E265" i="18"/>
  <c r="D265" i="18"/>
  <c r="C265" i="18"/>
  <c r="B265" i="18"/>
  <c r="A265" i="18"/>
  <c r="AF264" i="18"/>
  <c r="AE264" i="18"/>
  <c r="AD264" i="18"/>
  <c r="AC264" i="18"/>
  <c r="AB264" i="18"/>
  <c r="AA264" i="18"/>
  <c r="Z264" i="18"/>
  <c r="Y264" i="18"/>
  <c r="X264" i="18"/>
  <c r="W264" i="18"/>
  <c r="V264" i="18"/>
  <c r="U264" i="18"/>
  <c r="T264" i="18"/>
  <c r="S264" i="18"/>
  <c r="R264" i="18"/>
  <c r="Q264" i="18"/>
  <c r="P264" i="18"/>
  <c r="O264" i="18"/>
  <c r="N264" i="18"/>
  <c r="M264" i="18"/>
  <c r="L264" i="18"/>
  <c r="K264" i="18"/>
  <c r="J264" i="18"/>
  <c r="I264" i="18"/>
  <c r="H264" i="18"/>
  <c r="G264" i="18"/>
  <c r="F264" i="18"/>
  <c r="E264" i="18"/>
  <c r="D264" i="18"/>
  <c r="C264" i="18"/>
  <c r="B264" i="18"/>
  <c r="A264" i="18"/>
  <c r="AF263" i="18"/>
  <c r="AE263" i="18"/>
  <c r="AD263" i="18"/>
  <c r="AC263" i="18"/>
  <c r="AB263" i="18"/>
  <c r="AA263" i="18"/>
  <c r="Z263" i="18"/>
  <c r="Y263" i="18"/>
  <c r="X263" i="18"/>
  <c r="W263" i="18"/>
  <c r="V263" i="18"/>
  <c r="U263" i="18"/>
  <c r="T263" i="18"/>
  <c r="S263" i="18"/>
  <c r="R263" i="18"/>
  <c r="Q263" i="18"/>
  <c r="P263" i="18"/>
  <c r="O263" i="18"/>
  <c r="N263" i="18"/>
  <c r="M263" i="18"/>
  <c r="L263" i="18"/>
  <c r="K263" i="18"/>
  <c r="J263" i="18"/>
  <c r="I263" i="18"/>
  <c r="H263" i="18"/>
  <c r="G263" i="18"/>
  <c r="F263" i="18"/>
  <c r="E263" i="18"/>
  <c r="D263" i="18"/>
  <c r="C263" i="18"/>
  <c r="B263" i="18"/>
  <c r="A263" i="18"/>
  <c r="AF262" i="18"/>
  <c r="AE262" i="18"/>
  <c r="AD262" i="18"/>
  <c r="AC262" i="18"/>
  <c r="AB262" i="18"/>
  <c r="AA262" i="18"/>
  <c r="Z262" i="18"/>
  <c r="Y262" i="18"/>
  <c r="X262" i="18"/>
  <c r="W262" i="18"/>
  <c r="V262" i="18"/>
  <c r="U262" i="18"/>
  <c r="T262" i="18"/>
  <c r="S262" i="18"/>
  <c r="R262" i="18"/>
  <c r="Q262" i="18"/>
  <c r="P262" i="18"/>
  <c r="O262" i="18"/>
  <c r="N262" i="18"/>
  <c r="M262" i="18"/>
  <c r="L262" i="18"/>
  <c r="K262" i="18"/>
  <c r="J262" i="18"/>
  <c r="I262" i="18"/>
  <c r="H262" i="18"/>
  <c r="G262" i="18"/>
  <c r="F262" i="18"/>
  <c r="E262" i="18"/>
  <c r="D262" i="18"/>
  <c r="C262" i="18"/>
  <c r="B262" i="18"/>
  <c r="A262" i="18"/>
  <c r="AF243" i="18"/>
  <c r="AE243" i="18"/>
  <c r="AD243" i="18"/>
  <c r="AC243" i="18"/>
  <c r="AB243" i="18"/>
  <c r="AA243" i="18"/>
  <c r="Z243" i="18"/>
  <c r="Y243" i="18"/>
  <c r="X243" i="18"/>
  <c r="W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A243" i="18"/>
  <c r="AJ35" i="18"/>
  <c r="AI35" i="18"/>
  <c r="AH35" i="18"/>
  <c r="AG35" i="18"/>
  <c r="AF35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I35" i="18"/>
  <c r="H35" i="18"/>
  <c r="G35" i="18"/>
  <c r="F35" i="18"/>
  <c r="E35" i="18"/>
  <c r="D35" i="18"/>
  <c r="C35" i="18"/>
  <c r="B35" i="18"/>
  <c r="A35" i="18"/>
  <c r="AJ36" i="18"/>
  <c r="AI36" i="18"/>
  <c r="AH36" i="18"/>
  <c r="AG36" i="18"/>
  <c r="AF36" i="18"/>
  <c r="AE36" i="18"/>
  <c r="AD36" i="18"/>
  <c r="AC36" i="18"/>
  <c r="AB36" i="18"/>
  <c r="AA36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I36" i="18"/>
  <c r="H36" i="18"/>
  <c r="G36" i="18"/>
  <c r="F36" i="18"/>
  <c r="E36" i="18"/>
  <c r="D36" i="18"/>
  <c r="C36" i="18"/>
  <c r="B36" i="18"/>
  <c r="A36" i="18"/>
  <c r="AF260" i="18"/>
  <c r="AE260" i="18"/>
  <c r="AD260" i="18"/>
  <c r="AC260" i="18"/>
  <c r="AB260" i="18"/>
  <c r="AA260" i="18"/>
  <c r="Z260" i="18"/>
  <c r="Y260" i="18"/>
  <c r="X260" i="18"/>
  <c r="W260" i="18"/>
  <c r="V260" i="18"/>
  <c r="U260" i="18"/>
  <c r="T260" i="18"/>
  <c r="S260" i="18"/>
  <c r="R260" i="18"/>
  <c r="Q260" i="18"/>
  <c r="P260" i="18"/>
  <c r="O260" i="18"/>
  <c r="N260" i="18"/>
  <c r="M260" i="18"/>
  <c r="L260" i="18"/>
  <c r="K260" i="18"/>
  <c r="J260" i="18"/>
  <c r="I260" i="18"/>
  <c r="H260" i="18"/>
  <c r="G260" i="18"/>
  <c r="F260" i="18"/>
  <c r="E260" i="18"/>
  <c r="D260" i="18"/>
  <c r="C260" i="18"/>
  <c r="B260" i="18"/>
  <c r="A260" i="18"/>
  <c r="AF259" i="18"/>
  <c r="AE259" i="18"/>
  <c r="AD259" i="18"/>
  <c r="AC259" i="18"/>
  <c r="AB259" i="18"/>
  <c r="AA259" i="18"/>
  <c r="Z259" i="18"/>
  <c r="Y259" i="18"/>
  <c r="X259" i="18"/>
  <c r="W259" i="18"/>
  <c r="V259" i="18"/>
  <c r="U259" i="18"/>
  <c r="T259" i="18"/>
  <c r="S259" i="18"/>
  <c r="R259" i="18"/>
  <c r="Q259" i="18"/>
  <c r="P259" i="18"/>
  <c r="O259" i="18"/>
  <c r="N259" i="18"/>
  <c r="M259" i="18"/>
  <c r="L259" i="18"/>
  <c r="K259" i="18"/>
  <c r="J259" i="18"/>
  <c r="I259" i="18"/>
  <c r="H259" i="18"/>
  <c r="G259" i="18"/>
  <c r="F259" i="18"/>
  <c r="E259" i="18"/>
  <c r="D259" i="18"/>
  <c r="C259" i="18"/>
  <c r="B259" i="18"/>
  <c r="A259" i="18"/>
  <c r="AF258" i="18"/>
  <c r="AE258" i="18"/>
  <c r="AD258" i="18"/>
  <c r="AC258" i="18"/>
  <c r="AB258" i="18"/>
  <c r="AA258" i="18"/>
  <c r="Z258" i="18"/>
  <c r="Y258" i="18"/>
  <c r="X258" i="18"/>
  <c r="W258" i="18"/>
  <c r="V258" i="18"/>
  <c r="U258" i="18"/>
  <c r="T258" i="18"/>
  <c r="S258" i="18"/>
  <c r="R258" i="18"/>
  <c r="Q258" i="18"/>
  <c r="P258" i="18"/>
  <c r="O258" i="18"/>
  <c r="N258" i="18"/>
  <c r="M258" i="18"/>
  <c r="L258" i="18"/>
  <c r="K258" i="18"/>
  <c r="J258" i="18"/>
  <c r="I258" i="18"/>
  <c r="H258" i="18"/>
  <c r="G258" i="18"/>
  <c r="F258" i="18"/>
  <c r="E258" i="18"/>
  <c r="D258" i="18"/>
  <c r="C258" i="18"/>
  <c r="B258" i="18"/>
  <c r="A258" i="18"/>
  <c r="AF257" i="18"/>
  <c r="AE257" i="18"/>
  <c r="AD257" i="18"/>
  <c r="AC257" i="18"/>
  <c r="AB257" i="18"/>
  <c r="AA257" i="18"/>
  <c r="Z257" i="18"/>
  <c r="Y257" i="18"/>
  <c r="X257" i="18"/>
  <c r="W257" i="18"/>
  <c r="V257" i="18"/>
  <c r="U257" i="18"/>
  <c r="T257" i="18"/>
  <c r="S257" i="18"/>
  <c r="R257" i="18"/>
  <c r="Q257" i="18"/>
  <c r="P257" i="18"/>
  <c r="O257" i="18"/>
  <c r="N257" i="18"/>
  <c r="M257" i="18"/>
  <c r="L257" i="18"/>
  <c r="K257" i="18"/>
  <c r="J257" i="18"/>
  <c r="I257" i="18"/>
  <c r="H257" i="18"/>
  <c r="G257" i="18"/>
  <c r="F257" i="18"/>
  <c r="E257" i="18"/>
  <c r="D257" i="18"/>
  <c r="C257" i="18"/>
  <c r="B257" i="18"/>
  <c r="A257" i="18"/>
  <c r="AF256" i="18"/>
  <c r="AE256" i="18"/>
  <c r="AD256" i="18"/>
  <c r="AC256" i="18"/>
  <c r="AB256" i="18"/>
  <c r="AA256" i="18"/>
  <c r="Z256" i="18"/>
  <c r="Y256" i="18"/>
  <c r="X256" i="18"/>
  <c r="W256" i="18"/>
  <c r="V256" i="18"/>
  <c r="U256" i="18"/>
  <c r="T256" i="18"/>
  <c r="S256" i="18"/>
  <c r="R256" i="18"/>
  <c r="Q256" i="18"/>
  <c r="P256" i="18"/>
  <c r="O256" i="18"/>
  <c r="N256" i="18"/>
  <c r="M256" i="18"/>
  <c r="L256" i="18"/>
  <c r="K256" i="18"/>
  <c r="J256" i="18"/>
  <c r="I256" i="18"/>
  <c r="H256" i="18"/>
  <c r="G256" i="18"/>
  <c r="F256" i="18"/>
  <c r="E256" i="18"/>
  <c r="D256" i="18"/>
  <c r="C256" i="18"/>
  <c r="B256" i="18"/>
  <c r="A256" i="18"/>
  <c r="AF255" i="18"/>
  <c r="AE255" i="18"/>
  <c r="AD255" i="18"/>
  <c r="AC255" i="18"/>
  <c r="AB255" i="18"/>
  <c r="AA255" i="18"/>
  <c r="Z255" i="18"/>
  <c r="Y255" i="18"/>
  <c r="X255" i="18"/>
  <c r="W255" i="18"/>
  <c r="V255" i="18"/>
  <c r="U255" i="18"/>
  <c r="T255" i="18"/>
  <c r="S255" i="18"/>
  <c r="R255" i="18"/>
  <c r="Q255" i="18"/>
  <c r="P255" i="18"/>
  <c r="O255" i="18"/>
  <c r="N255" i="18"/>
  <c r="M255" i="18"/>
  <c r="L255" i="18"/>
  <c r="K255" i="18"/>
  <c r="J255" i="18"/>
  <c r="I255" i="18"/>
  <c r="H255" i="18"/>
  <c r="G255" i="18"/>
  <c r="F255" i="18"/>
  <c r="E255" i="18"/>
  <c r="D255" i="18"/>
  <c r="C255" i="18"/>
  <c r="B255" i="18"/>
  <c r="A255" i="18"/>
  <c r="AF254" i="18"/>
  <c r="AE254" i="18"/>
  <c r="AD254" i="18"/>
  <c r="AC254" i="18"/>
  <c r="AB254" i="18"/>
  <c r="AA254" i="18"/>
  <c r="Z254" i="18"/>
  <c r="Y254" i="18"/>
  <c r="X254" i="18"/>
  <c r="W254" i="18"/>
  <c r="V254" i="18"/>
  <c r="U254" i="18"/>
  <c r="T254" i="18"/>
  <c r="S254" i="18"/>
  <c r="R254" i="18"/>
  <c r="Q254" i="18"/>
  <c r="P254" i="18"/>
  <c r="O254" i="18"/>
  <c r="N254" i="18"/>
  <c r="M254" i="18"/>
  <c r="L254" i="18"/>
  <c r="K254" i="18"/>
  <c r="J254" i="18"/>
  <c r="I254" i="18"/>
  <c r="H254" i="18"/>
  <c r="G254" i="18"/>
  <c r="F254" i="18"/>
  <c r="E254" i="18"/>
  <c r="D254" i="18"/>
  <c r="C254" i="18"/>
  <c r="B254" i="18"/>
  <c r="A254" i="18"/>
  <c r="AF253" i="18"/>
  <c r="AE253" i="18"/>
  <c r="AD253" i="18"/>
  <c r="AC253" i="18"/>
  <c r="AB253" i="18"/>
  <c r="AA253" i="18"/>
  <c r="Z253" i="18"/>
  <c r="Y253" i="18"/>
  <c r="X253" i="18"/>
  <c r="W253" i="18"/>
  <c r="V253" i="18"/>
  <c r="U253" i="18"/>
  <c r="T253" i="18"/>
  <c r="S253" i="18"/>
  <c r="R253" i="18"/>
  <c r="Q253" i="18"/>
  <c r="P253" i="18"/>
  <c r="O253" i="18"/>
  <c r="N253" i="18"/>
  <c r="M253" i="18"/>
  <c r="L253" i="18"/>
  <c r="K253" i="18"/>
  <c r="J253" i="18"/>
  <c r="I253" i="18"/>
  <c r="H253" i="18"/>
  <c r="G253" i="18"/>
  <c r="F253" i="18"/>
  <c r="E253" i="18"/>
  <c r="D253" i="18"/>
  <c r="C253" i="18"/>
  <c r="B253" i="18"/>
  <c r="A253" i="18"/>
  <c r="AF252" i="18"/>
  <c r="AE252" i="18"/>
  <c r="AD252" i="18"/>
  <c r="AC252" i="18"/>
  <c r="AB252" i="18"/>
  <c r="AA252" i="18"/>
  <c r="Z252" i="18"/>
  <c r="Y252" i="18"/>
  <c r="X252" i="18"/>
  <c r="W252" i="18"/>
  <c r="V252" i="18"/>
  <c r="U252" i="18"/>
  <c r="T252" i="18"/>
  <c r="S252" i="18"/>
  <c r="R252" i="18"/>
  <c r="Q252" i="18"/>
  <c r="P252" i="18"/>
  <c r="O252" i="18"/>
  <c r="N252" i="18"/>
  <c r="M252" i="18"/>
  <c r="L252" i="18"/>
  <c r="K252" i="18"/>
  <c r="J252" i="18"/>
  <c r="I252" i="18"/>
  <c r="H252" i="18"/>
  <c r="G252" i="18"/>
  <c r="F252" i="18"/>
  <c r="E252" i="18"/>
  <c r="D252" i="18"/>
  <c r="C252" i="18"/>
  <c r="B252" i="18"/>
  <c r="A252" i="18"/>
  <c r="AF251" i="18"/>
  <c r="AE251" i="18"/>
  <c r="AD251" i="18"/>
  <c r="AC251" i="18"/>
  <c r="AB251" i="18"/>
  <c r="AA251" i="18"/>
  <c r="Z251" i="18"/>
  <c r="Y251" i="18"/>
  <c r="X251" i="18"/>
  <c r="W251" i="18"/>
  <c r="N251" i="18"/>
  <c r="M251" i="18"/>
  <c r="L251" i="18"/>
  <c r="K251" i="18"/>
  <c r="J251" i="18"/>
  <c r="I251" i="18"/>
  <c r="H251" i="18"/>
  <c r="G251" i="18"/>
  <c r="F251" i="18"/>
  <c r="E251" i="18"/>
  <c r="D251" i="18"/>
  <c r="C251" i="18"/>
  <c r="B251" i="18"/>
  <c r="A251" i="18"/>
  <c r="AF250" i="18"/>
  <c r="AE250" i="18"/>
  <c r="AD250" i="18"/>
  <c r="AC250" i="18"/>
  <c r="AB250" i="18"/>
  <c r="AA250" i="18"/>
  <c r="Z250" i="18"/>
  <c r="Y250" i="18"/>
  <c r="X250" i="18"/>
  <c r="W250" i="18"/>
  <c r="N250" i="18"/>
  <c r="M250" i="18"/>
  <c r="L250" i="18"/>
  <c r="K250" i="18"/>
  <c r="J250" i="18"/>
  <c r="I250" i="18"/>
  <c r="H250" i="18"/>
  <c r="G250" i="18"/>
  <c r="F250" i="18"/>
  <c r="E250" i="18"/>
  <c r="D250" i="18"/>
  <c r="C250" i="18"/>
  <c r="B250" i="18"/>
  <c r="A250" i="18"/>
  <c r="AF249" i="18"/>
  <c r="AE249" i="18"/>
  <c r="AD249" i="18"/>
  <c r="AC249" i="18"/>
  <c r="AB249" i="18"/>
  <c r="AA249" i="18"/>
  <c r="Z249" i="18"/>
  <c r="Y249" i="18"/>
  <c r="X249" i="18"/>
  <c r="W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A249" i="18"/>
  <c r="AF248" i="18"/>
  <c r="AE248" i="18"/>
  <c r="AD248" i="18"/>
  <c r="AC248" i="18"/>
  <c r="AB248" i="18"/>
  <c r="AA248" i="18"/>
  <c r="Z248" i="18"/>
  <c r="Y248" i="18"/>
  <c r="X248" i="18"/>
  <c r="W248" i="18"/>
  <c r="N248" i="18"/>
  <c r="M248" i="18"/>
  <c r="L248" i="18"/>
  <c r="K248" i="18"/>
  <c r="J248" i="18"/>
  <c r="I248" i="18"/>
  <c r="H248" i="18"/>
  <c r="G248" i="18"/>
  <c r="F248" i="18"/>
  <c r="E248" i="18"/>
  <c r="D248" i="18"/>
  <c r="C248" i="18"/>
  <c r="B248" i="18"/>
  <c r="A248" i="18"/>
  <c r="AF247" i="18"/>
  <c r="AE247" i="18"/>
  <c r="AD247" i="18"/>
  <c r="AC247" i="18"/>
  <c r="AB247" i="18"/>
  <c r="AA247" i="18"/>
  <c r="Z247" i="18"/>
  <c r="Y247" i="18"/>
  <c r="X247" i="18"/>
  <c r="W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A247" i="18"/>
  <c r="AF246" i="18"/>
  <c r="AE246" i="18"/>
  <c r="AD246" i="18"/>
  <c r="AC246" i="18"/>
  <c r="AB246" i="18"/>
  <c r="AA246" i="18"/>
  <c r="Z246" i="18"/>
  <c r="Y246" i="18"/>
  <c r="X246" i="18"/>
  <c r="W246" i="18"/>
  <c r="N246" i="18"/>
  <c r="M246" i="18"/>
  <c r="L246" i="18"/>
  <c r="K246" i="18"/>
  <c r="J246" i="18"/>
  <c r="I246" i="18"/>
  <c r="H246" i="18"/>
  <c r="G246" i="18"/>
  <c r="F246" i="18"/>
  <c r="E246" i="18"/>
  <c r="D246" i="18"/>
  <c r="C246" i="18"/>
  <c r="B246" i="18"/>
  <c r="A246" i="18"/>
  <c r="AF245" i="18"/>
  <c r="AE245" i="18"/>
  <c r="AD245" i="18"/>
  <c r="AC245" i="18"/>
  <c r="AB245" i="18"/>
  <c r="AA245" i="18"/>
  <c r="Z245" i="18"/>
  <c r="Y245" i="18"/>
  <c r="X245" i="18"/>
  <c r="W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A245" i="18"/>
  <c r="AF244" i="18"/>
  <c r="AE244" i="18"/>
  <c r="AD244" i="18"/>
  <c r="AC244" i="18"/>
  <c r="AB244" i="18"/>
  <c r="AA244" i="18"/>
  <c r="Z244" i="18"/>
  <c r="Y244" i="18"/>
  <c r="X244" i="18"/>
  <c r="W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A244" i="18"/>
  <c r="AF171" i="18"/>
  <c r="AE171" i="18"/>
  <c r="AD171" i="18"/>
  <c r="AC171" i="18"/>
  <c r="AB171" i="18"/>
  <c r="AA171" i="18"/>
  <c r="Z171" i="18"/>
  <c r="Y171" i="18"/>
  <c r="X171" i="18"/>
  <c r="W171" i="18"/>
  <c r="N171" i="18"/>
  <c r="M171" i="18"/>
  <c r="L171" i="18"/>
  <c r="K171" i="18"/>
  <c r="J171" i="18"/>
  <c r="I171" i="18"/>
  <c r="H171" i="18"/>
  <c r="G171" i="18"/>
  <c r="F171" i="18"/>
  <c r="E171" i="18"/>
  <c r="D171" i="18"/>
  <c r="C171" i="18"/>
  <c r="B171" i="18"/>
  <c r="A171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I33" i="18"/>
  <c r="H33" i="18"/>
  <c r="G33" i="18"/>
  <c r="F33" i="18"/>
  <c r="E33" i="18"/>
  <c r="D33" i="18"/>
  <c r="C33" i="18"/>
  <c r="B33" i="18"/>
  <c r="A33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I34" i="18"/>
  <c r="H34" i="18"/>
  <c r="G34" i="18"/>
  <c r="F34" i="18"/>
  <c r="E34" i="18"/>
  <c r="D34" i="18"/>
  <c r="C34" i="18"/>
  <c r="B34" i="18"/>
  <c r="A34" i="18"/>
  <c r="AJ31" i="18"/>
  <c r="AI31" i="18"/>
  <c r="AH31" i="18"/>
  <c r="W31" i="18"/>
  <c r="V31" i="18"/>
  <c r="U31" i="18"/>
  <c r="T31" i="18"/>
  <c r="S31" i="18"/>
  <c r="R31" i="18"/>
  <c r="Q31" i="18"/>
  <c r="P31" i="18"/>
  <c r="O31" i="18"/>
  <c r="N31" i="18"/>
  <c r="G31" i="18"/>
  <c r="F31" i="18"/>
  <c r="E31" i="18"/>
  <c r="D31" i="18"/>
  <c r="C31" i="18"/>
  <c r="B31" i="18"/>
  <c r="A31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A32" i="18"/>
  <c r="AF242" i="18"/>
  <c r="AE242" i="18"/>
  <c r="AD242" i="18"/>
  <c r="AC242" i="18"/>
  <c r="AB242" i="18"/>
  <c r="AA242" i="18"/>
  <c r="Z242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A242" i="18"/>
  <c r="AF241" i="18"/>
  <c r="AE241" i="18"/>
  <c r="AD241" i="18"/>
  <c r="AC241" i="18"/>
  <c r="AB241" i="18"/>
  <c r="AA241" i="18"/>
  <c r="Z241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A241" i="18"/>
  <c r="AF240" i="18"/>
  <c r="AE240" i="18"/>
  <c r="AD240" i="18"/>
  <c r="AC240" i="18"/>
  <c r="AB240" i="18"/>
  <c r="AA240" i="18"/>
  <c r="Z240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A240" i="18"/>
  <c r="AF239" i="18"/>
  <c r="AE239" i="18"/>
  <c r="AD239" i="18"/>
  <c r="AC239" i="18"/>
  <c r="AB239" i="18"/>
  <c r="AA239" i="18"/>
  <c r="Z239" i="18"/>
  <c r="Y239" i="18"/>
  <c r="X239" i="18"/>
  <c r="W239" i="18"/>
  <c r="V239" i="18"/>
  <c r="U239" i="18"/>
  <c r="T239" i="18"/>
  <c r="S239" i="18"/>
  <c r="R239" i="18"/>
  <c r="Q239" i="18"/>
  <c r="P239" i="18"/>
  <c r="O239" i="18"/>
  <c r="N239" i="18"/>
  <c r="M239" i="18"/>
  <c r="L239" i="18"/>
  <c r="K239" i="18"/>
  <c r="J239" i="18"/>
  <c r="I239" i="18"/>
  <c r="H239" i="18"/>
  <c r="G239" i="18"/>
  <c r="F239" i="18"/>
  <c r="E239" i="18"/>
  <c r="D239" i="18"/>
  <c r="C239" i="18"/>
  <c r="B239" i="18"/>
  <c r="A239" i="18"/>
  <c r="AF238" i="18"/>
  <c r="AE238" i="18"/>
  <c r="AD238" i="18"/>
  <c r="AC238" i="18"/>
  <c r="AB238" i="18"/>
  <c r="AA238" i="18"/>
  <c r="Z238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A238" i="18"/>
  <c r="AF237" i="18"/>
  <c r="AE237" i="18"/>
  <c r="AD237" i="18"/>
  <c r="AC237" i="18"/>
  <c r="AB237" i="18"/>
  <c r="AA237" i="18"/>
  <c r="Z237" i="18"/>
  <c r="Y237" i="18"/>
  <c r="X237" i="18"/>
  <c r="W237" i="18"/>
  <c r="V237" i="18"/>
  <c r="U237" i="18"/>
  <c r="T237" i="18"/>
  <c r="S237" i="18"/>
  <c r="R237" i="18"/>
  <c r="Q237" i="18"/>
  <c r="P237" i="18"/>
  <c r="O237" i="18"/>
  <c r="N237" i="18"/>
  <c r="M237" i="18"/>
  <c r="L237" i="18"/>
  <c r="K237" i="18"/>
  <c r="J237" i="18"/>
  <c r="I237" i="18"/>
  <c r="H237" i="18"/>
  <c r="G237" i="18"/>
  <c r="F237" i="18"/>
  <c r="E237" i="18"/>
  <c r="D237" i="18"/>
  <c r="C237" i="18"/>
  <c r="B237" i="18"/>
  <c r="A237" i="18"/>
  <c r="AF236" i="18"/>
  <c r="AE236" i="18"/>
  <c r="AD236" i="18"/>
  <c r="AC236" i="18"/>
  <c r="AB236" i="18"/>
  <c r="AA236" i="18"/>
  <c r="Z236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A236" i="18"/>
  <c r="AF235" i="18"/>
  <c r="AE235" i="18"/>
  <c r="AD235" i="18"/>
  <c r="AC235" i="18"/>
  <c r="AB235" i="18"/>
  <c r="AA235" i="18"/>
  <c r="Z235" i="18"/>
  <c r="Y235" i="18"/>
  <c r="X235" i="18"/>
  <c r="W235" i="18"/>
  <c r="V235" i="18"/>
  <c r="U235" i="18"/>
  <c r="T235" i="18"/>
  <c r="S235" i="18"/>
  <c r="R235" i="18"/>
  <c r="Q235" i="18"/>
  <c r="P235" i="18"/>
  <c r="O235" i="18"/>
  <c r="N235" i="18"/>
  <c r="M235" i="18"/>
  <c r="L235" i="18"/>
  <c r="K235" i="18"/>
  <c r="J235" i="18"/>
  <c r="I235" i="18"/>
  <c r="H235" i="18"/>
  <c r="G235" i="18"/>
  <c r="F235" i="18"/>
  <c r="E235" i="18"/>
  <c r="D235" i="18"/>
  <c r="C235" i="18"/>
  <c r="B235" i="18"/>
  <c r="A235" i="18"/>
  <c r="AF234" i="18"/>
  <c r="AE234" i="18"/>
  <c r="AD234" i="18"/>
  <c r="AC234" i="18"/>
  <c r="AB234" i="18"/>
  <c r="AA234" i="18"/>
  <c r="Z234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A234" i="18"/>
  <c r="AF233" i="18"/>
  <c r="AE233" i="18"/>
  <c r="AD233" i="18"/>
  <c r="AC233" i="18"/>
  <c r="AB233" i="18"/>
  <c r="AA233" i="18"/>
  <c r="Z233" i="18"/>
  <c r="Y233" i="18"/>
  <c r="X233" i="18"/>
  <c r="W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A233" i="18"/>
  <c r="AF232" i="18"/>
  <c r="AE232" i="18"/>
  <c r="AD232" i="18"/>
  <c r="AC232" i="18"/>
  <c r="AB232" i="18"/>
  <c r="AA232" i="18"/>
  <c r="Z232" i="18"/>
  <c r="Y232" i="18"/>
  <c r="X232" i="18"/>
  <c r="W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A232" i="18"/>
  <c r="AF231" i="18"/>
  <c r="AE231" i="18"/>
  <c r="AD231" i="18"/>
  <c r="AC231" i="18"/>
  <c r="AB231" i="18"/>
  <c r="AA231" i="18"/>
  <c r="Z231" i="18"/>
  <c r="Y231" i="18"/>
  <c r="X231" i="18"/>
  <c r="W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A231" i="18"/>
  <c r="AF230" i="18"/>
  <c r="AE230" i="18"/>
  <c r="AD230" i="18"/>
  <c r="AC230" i="18"/>
  <c r="AB230" i="18"/>
  <c r="AA230" i="18"/>
  <c r="Z230" i="18"/>
  <c r="Y230" i="18"/>
  <c r="X230" i="18"/>
  <c r="W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A230" i="18"/>
  <c r="AF229" i="18"/>
  <c r="AE229" i="18"/>
  <c r="AD229" i="18"/>
  <c r="AC229" i="18"/>
  <c r="AB229" i="18"/>
  <c r="AA229" i="18"/>
  <c r="Z229" i="18"/>
  <c r="Y229" i="18"/>
  <c r="X229" i="18"/>
  <c r="W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A229" i="18"/>
  <c r="AF228" i="18"/>
  <c r="AE228" i="18"/>
  <c r="AD228" i="18"/>
  <c r="AC228" i="18"/>
  <c r="AB228" i="18"/>
  <c r="AA228" i="18"/>
  <c r="Z228" i="18"/>
  <c r="Y228" i="18"/>
  <c r="X228" i="18"/>
  <c r="W228" i="18"/>
  <c r="N228" i="18"/>
  <c r="M228" i="18"/>
  <c r="L228" i="18"/>
  <c r="K228" i="18"/>
  <c r="J228" i="18"/>
  <c r="I228" i="18"/>
  <c r="H228" i="18"/>
  <c r="G228" i="18"/>
  <c r="F228" i="18"/>
  <c r="E228" i="18"/>
  <c r="D228" i="18"/>
  <c r="C228" i="18"/>
  <c r="B228" i="18"/>
  <c r="A228" i="18"/>
  <c r="AF227" i="18"/>
  <c r="AE227" i="18"/>
  <c r="AD227" i="18"/>
  <c r="AC227" i="18"/>
  <c r="AB227" i="18"/>
  <c r="AA227" i="18"/>
  <c r="Z227" i="18"/>
  <c r="Y227" i="18"/>
  <c r="X227" i="18"/>
  <c r="W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A227" i="18"/>
  <c r="AF226" i="18"/>
  <c r="AE226" i="18"/>
  <c r="AD226" i="18"/>
  <c r="AC226" i="18"/>
  <c r="AB226" i="18"/>
  <c r="AA226" i="18"/>
  <c r="Z226" i="18"/>
  <c r="Y226" i="18"/>
  <c r="X226" i="18"/>
  <c r="W226" i="18"/>
  <c r="N226" i="18"/>
  <c r="M226" i="18"/>
  <c r="L226" i="18"/>
  <c r="K226" i="18"/>
  <c r="J226" i="18"/>
  <c r="I226" i="18"/>
  <c r="H226" i="18"/>
  <c r="G226" i="18"/>
  <c r="F226" i="18"/>
  <c r="E226" i="18"/>
  <c r="D226" i="18"/>
  <c r="C226" i="18"/>
  <c r="B226" i="18"/>
  <c r="A226" i="18"/>
  <c r="AF225" i="18"/>
  <c r="AE225" i="18"/>
  <c r="AD225" i="18"/>
  <c r="AC225" i="18"/>
  <c r="AB225" i="18"/>
  <c r="AA225" i="18"/>
  <c r="Z225" i="18"/>
  <c r="Y225" i="18"/>
  <c r="X225" i="18"/>
  <c r="W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A225" i="18"/>
  <c r="AF224" i="18"/>
  <c r="AE224" i="18"/>
  <c r="AD224" i="18"/>
  <c r="AC224" i="18"/>
  <c r="AB224" i="18"/>
  <c r="AA224" i="18"/>
  <c r="Z224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A224" i="18"/>
  <c r="AF223" i="18"/>
  <c r="AE223" i="18"/>
  <c r="AD223" i="18"/>
  <c r="AC223" i="18"/>
  <c r="AB223" i="18"/>
  <c r="AA223" i="18"/>
  <c r="Z223" i="18"/>
  <c r="Y223" i="18"/>
  <c r="X223" i="18"/>
  <c r="W223" i="18"/>
  <c r="V223" i="18"/>
  <c r="U223" i="18"/>
  <c r="T223" i="18"/>
  <c r="S223" i="18"/>
  <c r="R223" i="18"/>
  <c r="Q223" i="18"/>
  <c r="P223" i="18"/>
  <c r="O223" i="18"/>
  <c r="N223" i="18"/>
  <c r="M223" i="18"/>
  <c r="L223" i="18"/>
  <c r="K223" i="18"/>
  <c r="J223" i="18"/>
  <c r="I223" i="18"/>
  <c r="H223" i="18"/>
  <c r="G223" i="18"/>
  <c r="F223" i="18"/>
  <c r="E223" i="18"/>
  <c r="D223" i="18"/>
  <c r="C223" i="18"/>
  <c r="B223" i="18"/>
  <c r="A223" i="18"/>
  <c r="AF222" i="18"/>
  <c r="AE222" i="18"/>
  <c r="AD222" i="18"/>
  <c r="AC222" i="18"/>
  <c r="AB222" i="18"/>
  <c r="AA222" i="18"/>
  <c r="Z222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A222" i="18"/>
  <c r="AF221" i="18"/>
  <c r="AE221" i="18"/>
  <c r="AD221" i="18"/>
  <c r="AC221" i="18"/>
  <c r="AB221" i="18"/>
  <c r="AA221" i="18"/>
  <c r="Z221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A221" i="18"/>
  <c r="AF220" i="18"/>
  <c r="AE220" i="18"/>
  <c r="AD220" i="18"/>
  <c r="AC220" i="18"/>
  <c r="AB220" i="18"/>
  <c r="AA220" i="18"/>
  <c r="Z220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A220" i="18"/>
  <c r="AF219" i="18"/>
  <c r="AE219" i="18"/>
  <c r="AD219" i="18"/>
  <c r="AC219" i="18"/>
  <c r="AB219" i="18"/>
  <c r="AA219" i="18"/>
  <c r="Z219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A219" i="18"/>
  <c r="AF218" i="18"/>
  <c r="AE218" i="18"/>
  <c r="AD218" i="18"/>
  <c r="AC218" i="18"/>
  <c r="AB218" i="18"/>
  <c r="AA218" i="18"/>
  <c r="Z218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A218" i="18"/>
  <c r="AF217" i="18"/>
  <c r="AE217" i="18"/>
  <c r="AD217" i="18"/>
  <c r="AC217" i="18"/>
  <c r="AB217" i="18"/>
  <c r="AA217" i="18"/>
  <c r="Z217" i="18"/>
  <c r="Y217" i="18"/>
  <c r="X217" i="18"/>
  <c r="W217" i="18"/>
  <c r="V217" i="18"/>
  <c r="U217" i="18"/>
  <c r="T217" i="18"/>
  <c r="S217" i="18"/>
  <c r="R217" i="18"/>
  <c r="Q217" i="18"/>
  <c r="P217" i="18"/>
  <c r="O217" i="18"/>
  <c r="N217" i="18"/>
  <c r="M217" i="18"/>
  <c r="L217" i="18"/>
  <c r="K217" i="18"/>
  <c r="J217" i="18"/>
  <c r="I217" i="18"/>
  <c r="H217" i="18"/>
  <c r="G217" i="18"/>
  <c r="F217" i="18"/>
  <c r="E217" i="18"/>
  <c r="D217" i="18"/>
  <c r="C217" i="18"/>
  <c r="B217" i="18"/>
  <c r="A217" i="18"/>
  <c r="AF216" i="18"/>
  <c r="AE216" i="18"/>
  <c r="AD216" i="18"/>
  <c r="AC216" i="18"/>
  <c r="AB216" i="18"/>
  <c r="AA216" i="18"/>
  <c r="Z216" i="18"/>
  <c r="Y216" i="18"/>
  <c r="X216" i="18"/>
  <c r="W216" i="18"/>
  <c r="V216" i="18"/>
  <c r="U216" i="18"/>
  <c r="T216" i="18"/>
  <c r="S216" i="18"/>
  <c r="R216" i="18"/>
  <c r="Q216" i="18"/>
  <c r="P216" i="18"/>
  <c r="O216" i="18"/>
  <c r="N216" i="18"/>
  <c r="M216" i="18"/>
  <c r="L216" i="18"/>
  <c r="K216" i="18"/>
  <c r="J216" i="18"/>
  <c r="I216" i="18"/>
  <c r="H216" i="18"/>
  <c r="G216" i="18"/>
  <c r="F216" i="18"/>
  <c r="E216" i="18"/>
  <c r="D216" i="18"/>
  <c r="C216" i="18"/>
  <c r="B216" i="18"/>
  <c r="A216" i="18"/>
  <c r="D215" i="18"/>
  <c r="B215" i="18"/>
  <c r="A215" i="18"/>
  <c r="AF214" i="18"/>
  <c r="AE214" i="18"/>
  <c r="AD214" i="18"/>
  <c r="AC214" i="18"/>
  <c r="AB214" i="18"/>
  <c r="AA214" i="18"/>
  <c r="Z214" i="18"/>
  <c r="Y214" i="18"/>
  <c r="X214" i="18"/>
  <c r="W214" i="18"/>
  <c r="N214" i="18"/>
  <c r="M214" i="18"/>
  <c r="L214" i="18"/>
  <c r="K214" i="18"/>
  <c r="J214" i="18"/>
  <c r="I214" i="18"/>
  <c r="H214" i="18"/>
  <c r="G214" i="18"/>
  <c r="F214" i="18"/>
  <c r="E214" i="18"/>
  <c r="D214" i="18"/>
  <c r="C214" i="18"/>
  <c r="B214" i="18"/>
  <c r="A214" i="18"/>
  <c r="AF213" i="18"/>
  <c r="AE213" i="18"/>
  <c r="AD213" i="18"/>
  <c r="AC213" i="18"/>
  <c r="AB213" i="18"/>
  <c r="AA213" i="18"/>
  <c r="Z213" i="18"/>
  <c r="Y213" i="18"/>
  <c r="X213" i="18"/>
  <c r="W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A213" i="18"/>
  <c r="AF212" i="18"/>
  <c r="AE212" i="18"/>
  <c r="AD212" i="18"/>
  <c r="AC212" i="18"/>
  <c r="AB212" i="18"/>
  <c r="AA212" i="18"/>
  <c r="Z212" i="18"/>
  <c r="Y212" i="18"/>
  <c r="X212" i="18"/>
  <c r="W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A212" i="18"/>
  <c r="AF211" i="18"/>
  <c r="AE211" i="18"/>
  <c r="AD211" i="18"/>
  <c r="AC211" i="18"/>
  <c r="AB211" i="18"/>
  <c r="AA211" i="18"/>
  <c r="Z211" i="18"/>
  <c r="Y211" i="18"/>
  <c r="X211" i="18"/>
  <c r="W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A211" i="18"/>
  <c r="AF210" i="18"/>
  <c r="AE210" i="18"/>
  <c r="AD210" i="18"/>
  <c r="AC210" i="18"/>
  <c r="AB210" i="18"/>
  <c r="AA210" i="18"/>
  <c r="Z210" i="18"/>
  <c r="Y210" i="18"/>
  <c r="X210" i="18"/>
  <c r="W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A210" i="18"/>
  <c r="AF209" i="18"/>
  <c r="AE209" i="18"/>
  <c r="AD209" i="18"/>
  <c r="AC209" i="18"/>
  <c r="AB209" i="18"/>
  <c r="AA209" i="18"/>
  <c r="Z209" i="18"/>
  <c r="Y209" i="18"/>
  <c r="X209" i="18"/>
  <c r="W209" i="18"/>
  <c r="N209" i="18"/>
  <c r="M209" i="18"/>
  <c r="L209" i="18"/>
  <c r="K209" i="18"/>
  <c r="J209" i="18"/>
  <c r="I209" i="18"/>
  <c r="H209" i="18"/>
  <c r="G209" i="18"/>
  <c r="F209" i="18"/>
  <c r="E209" i="18"/>
  <c r="D209" i="18"/>
  <c r="C209" i="18"/>
  <c r="B209" i="18"/>
  <c r="A209" i="18"/>
  <c r="AF208" i="18"/>
  <c r="AE208" i="18"/>
  <c r="AD208" i="18"/>
  <c r="AC208" i="18"/>
  <c r="AB208" i="18"/>
  <c r="AA208" i="18"/>
  <c r="Z208" i="18"/>
  <c r="Y208" i="18"/>
  <c r="X208" i="18"/>
  <c r="W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A208" i="18"/>
  <c r="AF207" i="18"/>
  <c r="AE207" i="18"/>
  <c r="AD207" i="18"/>
  <c r="AC207" i="18"/>
  <c r="AB207" i="18"/>
  <c r="AA207" i="18"/>
  <c r="Z207" i="18"/>
  <c r="Y207" i="18"/>
  <c r="X207" i="18"/>
  <c r="W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A207" i="18"/>
  <c r="AJ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S29" i="18"/>
  <c r="P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A29" i="18"/>
  <c r="AJ30" i="18"/>
  <c r="AI30" i="18"/>
  <c r="AH30" i="18"/>
  <c r="W30" i="18"/>
  <c r="V30" i="18"/>
  <c r="U30" i="18"/>
  <c r="S30" i="18"/>
  <c r="R30" i="18"/>
  <c r="Q30" i="18"/>
  <c r="P30" i="18"/>
  <c r="N30" i="18"/>
  <c r="G30" i="18"/>
  <c r="F30" i="18"/>
  <c r="E30" i="18"/>
  <c r="D30" i="18"/>
  <c r="C30" i="18"/>
  <c r="B30" i="18"/>
  <c r="A30" i="18"/>
  <c r="D206" i="18"/>
  <c r="B206" i="18"/>
  <c r="A206" i="18"/>
  <c r="AF205" i="18"/>
  <c r="AE205" i="18"/>
  <c r="AD205" i="18"/>
  <c r="AC205" i="18"/>
  <c r="AB205" i="18"/>
  <c r="AA205" i="18"/>
  <c r="Z205" i="18"/>
  <c r="Y205" i="18"/>
  <c r="X205" i="18"/>
  <c r="W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A205" i="18"/>
  <c r="AF204" i="18"/>
  <c r="AE204" i="18"/>
  <c r="AD204" i="18"/>
  <c r="AC204" i="18"/>
  <c r="AB204" i="18"/>
  <c r="AA204" i="18"/>
  <c r="Z204" i="18"/>
  <c r="Y204" i="18"/>
  <c r="X204" i="18"/>
  <c r="W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A204" i="18"/>
  <c r="AF203" i="18"/>
  <c r="AE203" i="18"/>
  <c r="AD203" i="18"/>
  <c r="AC203" i="18"/>
  <c r="AB203" i="18"/>
  <c r="AA203" i="18"/>
  <c r="Z203" i="18"/>
  <c r="Y203" i="18"/>
  <c r="X203" i="18"/>
  <c r="W203" i="18"/>
  <c r="N203" i="18"/>
  <c r="M203" i="18"/>
  <c r="L203" i="18"/>
  <c r="K203" i="18"/>
  <c r="J203" i="18"/>
  <c r="I203" i="18"/>
  <c r="H203" i="18"/>
  <c r="G203" i="18"/>
  <c r="F203" i="18"/>
  <c r="E203" i="18"/>
  <c r="D203" i="18"/>
  <c r="C203" i="18"/>
  <c r="B203" i="18"/>
  <c r="A203" i="18"/>
  <c r="AF202" i="18"/>
  <c r="AE202" i="18"/>
  <c r="AD202" i="18"/>
  <c r="AC202" i="18"/>
  <c r="AB202" i="18"/>
  <c r="AA202" i="18"/>
  <c r="Z202" i="18"/>
  <c r="Y202" i="18"/>
  <c r="X202" i="18"/>
  <c r="W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A202" i="18"/>
  <c r="AF201" i="18"/>
  <c r="AE201" i="18"/>
  <c r="AD201" i="18"/>
  <c r="AC201" i="18"/>
  <c r="AB201" i="18"/>
  <c r="AA201" i="18"/>
  <c r="Z201" i="18"/>
  <c r="Y201" i="18"/>
  <c r="X201" i="18"/>
  <c r="W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A201" i="18"/>
  <c r="AF200" i="18"/>
  <c r="AE200" i="18"/>
  <c r="AD200" i="18"/>
  <c r="AC200" i="18"/>
  <c r="AB200" i="18"/>
  <c r="AA200" i="18"/>
  <c r="Z200" i="18"/>
  <c r="Y200" i="18"/>
  <c r="X200" i="18"/>
  <c r="W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A200" i="18"/>
  <c r="AF199" i="18"/>
  <c r="AE199" i="18"/>
  <c r="AD199" i="18"/>
  <c r="AC199" i="18"/>
  <c r="AB199" i="18"/>
  <c r="AA199" i="18"/>
  <c r="Z199" i="18"/>
  <c r="Y199" i="18"/>
  <c r="X199" i="18"/>
  <c r="W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A199" i="18"/>
  <c r="AF198" i="18"/>
  <c r="AE198" i="18"/>
  <c r="AD198" i="18"/>
  <c r="AC198" i="18"/>
  <c r="AB198" i="18"/>
  <c r="AA198" i="18"/>
  <c r="Z198" i="18"/>
  <c r="Y198" i="18"/>
  <c r="X198" i="18"/>
  <c r="W198" i="18"/>
  <c r="N198" i="18"/>
  <c r="M198" i="18"/>
  <c r="L198" i="18"/>
  <c r="K198" i="18"/>
  <c r="J198" i="18"/>
  <c r="I198" i="18"/>
  <c r="H198" i="18"/>
  <c r="G198" i="18"/>
  <c r="F198" i="18"/>
  <c r="E198" i="18"/>
  <c r="D198" i="18"/>
  <c r="C198" i="18"/>
  <c r="B198" i="18"/>
  <c r="A198" i="18"/>
  <c r="AF197" i="18"/>
  <c r="AE197" i="18"/>
  <c r="AD197" i="18"/>
  <c r="AC197" i="18"/>
  <c r="AB197" i="18"/>
  <c r="AA197" i="18"/>
  <c r="Z197" i="18"/>
  <c r="Y197" i="18"/>
  <c r="X197" i="18"/>
  <c r="W197" i="18"/>
  <c r="V197" i="18"/>
  <c r="U197" i="18"/>
  <c r="T197" i="18"/>
  <c r="S197" i="18"/>
  <c r="R197" i="18"/>
  <c r="Q197" i="18"/>
  <c r="P197" i="18"/>
  <c r="O197" i="18"/>
  <c r="N197" i="18"/>
  <c r="M197" i="18"/>
  <c r="L197" i="18"/>
  <c r="K197" i="18"/>
  <c r="J197" i="18"/>
  <c r="I197" i="18"/>
  <c r="H197" i="18"/>
  <c r="G197" i="18"/>
  <c r="F197" i="18"/>
  <c r="E197" i="18"/>
  <c r="D197" i="18"/>
  <c r="C197" i="18"/>
  <c r="B197" i="18"/>
  <c r="A197" i="18"/>
  <c r="AF196" i="18"/>
  <c r="AE196" i="18"/>
  <c r="AD196" i="18"/>
  <c r="AC196" i="18"/>
  <c r="AB196" i="18"/>
  <c r="AA196" i="18"/>
  <c r="Z196" i="18"/>
  <c r="Y196" i="18"/>
  <c r="X196" i="18"/>
  <c r="W196" i="18"/>
  <c r="V196" i="18"/>
  <c r="U196" i="18"/>
  <c r="T196" i="18"/>
  <c r="S196" i="18"/>
  <c r="R196" i="18"/>
  <c r="Q196" i="18"/>
  <c r="P196" i="18"/>
  <c r="O196" i="18"/>
  <c r="N196" i="18"/>
  <c r="M196" i="18"/>
  <c r="L196" i="18"/>
  <c r="K196" i="18"/>
  <c r="J196" i="18"/>
  <c r="I196" i="18"/>
  <c r="H196" i="18"/>
  <c r="G196" i="18"/>
  <c r="F196" i="18"/>
  <c r="E196" i="18"/>
  <c r="D196" i="18"/>
  <c r="C196" i="18"/>
  <c r="B196" i="18"/>
  <c r="A196" i="18"/>
  <c r="AF195" i="18"/>
  <c r="AD195" i="18"/>
  <c r="AC195" i="18"/>
  <c r="AB195" i="18"/>
  <c r="X195" i="18"/>
  <c r="V195" i="18"/>
  <c r="U195" i="18"/>
  <c r="T195" i="18"/>
  <c r="S195" i="18"/>
  <c r="R195" i="18"/>
  <c r="Q195" i="18"/>
  <c r="P195" i="18"/>
  <c r="O195" i="18"/>
  <c r="N195" i="18"/>
  <c r="M195" i="18"/>
  <c r="L195" i="18"/>
  <c r="K195" i="18"/>
  <c r="J195" i="18"/>
  <c r="I195" i="18"/>
  <c r="H195" i="18"/>
  <c r="G195" i="18"/>
  <c r="F195" i="18"/>
  <c r="E195" i="18"/>
  <c r="D195" i="18"/>
  <c r="C195" i="18"/>
  <c r="B195" i="18"/>
  <c r="A195" i="18"/>
  <c r="AF194" i="18"/>
  <c r="AE194" i="18"/>
  <c r="AD194" i="18"/>
  <c r="AC194" i="18"/>
  <c r="AB194" i="18"/>
  <c r="AA194" i="18"/>
  <c r="Z194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A194" i="18"/>
  <c r="AF193" i="18"/>
  <c r="AE193" i="18"/>
  <c r="AD193" i="18"/>
  <c r="AC193" i="18"/>
  <c r="AB193" i="18"/>
  <c r="AA193" i="18"/>
  <c r="Z193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A193" i="18"/>
  <c r="AF192" i="18"/>
  <c r="AE192" i="18"/>
  <c r="AD192" i="18"/>
  <c r="AC192" i="18"/>
  <c r="AB192" i="18"/>
  <c r="AA192" i="18"/>
  <c r="Z192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A192" i="18"/>
  <c r="AF191" i="18"/>
  <c r="AE191" i="18"/>
  <c r="AD191" i="18"/>
  <c r="AC191" i="18"/>
  <c r="AB191" i="18"/>
  <c r="AA191" i="18"/>
  <c r="Z191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A191" i="18"/>
  <c r="AF190" i="18"/>
  <c r="AE190" i="18"/>
  <c r="AD190" i="18"/>
  <c r="AC190" i="18"/>
  <c r="AB190" i="18"/>
  <c r="AA190" i="18"/>
  <c r="Z190" i="18"/>
  <c r="Y190" i="18"/>
  <c r="X190" i="18"/>
  <c r="W190" i="18"/>
  <c r="V190" i="18"/>
  <c r="U190" i="18"/>
  <c r="T190" i="18"/>
  <c r="S190" i="18"/>
  <c r="R190" i="18"/>
  <c r="Q190" i="18"/>
  <c r="P190" i="18"/>
  <c r="O190" i="18"/>
  <c r="N190" i="18"/>
  <c r="M190" i="18"/>
  <c r="L190" i="18"/>
  <c r="K190" i="18"/>
  <c r="J190" i="18"/>
  <c r="I190" i="18"/>
  <c r="H190" i="18"/>
  <c r="G190" i="18"/>
  <c r="F190" i="18"/>
  <c r="E190" i="18"/>
  <c r="D190" i="18"/>
  <c r="C190" i="18"/>
  <c r="B190" i="18"/>
  <c r="A190" i="18"/>
  <c r="AF189" i="18"/>
  <c r="AE189" i="18"/>
  <c r="AD189" i="18"/>
  <c r="AC189" i="18"/>
  <c r="AB189" i="18"/>
  <c r="AA189" i="18"/>
  <c r="Z189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A189" i="18"/>
  <c r="AJ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S27" i="18"/>
  <c r="P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27" i="18"/>
  <c r="AJ28" i="18"/>
  <c r="AI28" i="18"/>
  <c r="AH28" i="18"/>
  <c r="W28" i="18"/>
  <c r="V28" i="18"/>
  <c r="U28" i="18"/>
  <c r="T28" i="18"/>
  <c r="S28" i="18"/>
  <c r="R28" i="18"/>
  <c r="Q28" i="18"/>
  <c r="P28" i="18"/>
  <c r="O28" i="18"/>
  <c r="N28" i="18"/>
  <c r="G28" i="18"/>
  <c r="F28" i="18"/>
  <c r="E28" i="18"/>
  <c r="D28" i="18"/>
  <c r="C28" i="18"/>
  <c r="B28" i="18"/>
  <c r="A28" i="18"/>
  <c r="D188" i="18"/>
  <c r="B188" i="18"/>
  <c r="A188" i="18"/>
  <c r="AF187" i="18"/>
  <c r="AE187" i="18"/>
  <c r="AD187" i="18"/>
  <c r="AC187" i="18"/>
  <c r="AB187" i="18"/>
  <c r="AA187" i="18"/>
  <c r="Z187" i="18"/>
  <c r="Y187" i="18"/>
  <c r="X187" i="18"/>
  <c r="W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A187" i="18"/>
  <c r="AF186" i="18"/>
  <c r="AE186" i="18"/>
  <c r="AD186" i="18"/>
  <c r="AC186" i="18"/>
  <c r="AB186" i="18"/>
  <c r="AA186" i="18"/>
  <c r="Z186" i="18"/>
  <c r="Y186" i="18"/>
  <c r="X186" i="18"/>
  <c r="W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A186" i="18"/>
  <c r="AF185" i="18"/>
  <c r="AE185" i="18"/>
  <c r="AD185" i="18"/>
  <c r="AC185" i="18"/>
  <c r="AB185" i="18"/>
  <c r="AA185" i="18"/>
  <c r="Z185" i="18"/>
  <c r="Y185" i="18"/>
  <c r="X185" i="18"/>
  <c r="W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A185" i="18"/>
  <c r="AF184" i="18"/>
  <c r="AE184" i="18"/>
  <c r="AD184" i="18"/>
  <c r="AC184" i="18"/>
  <c r="AB184" i="18"/>
  <c r="AA184" i="18"/>
  <c r="Z184" i="18"/>
  <c r="Y184" i="18"/>
  <c r="X184" i="18"/>
  <c r="W184" i="18"/>
  <c r="N184" i="18"/>
  <c r="M184" i="18"/>
  <c r="L184" i="18"/>
  <c r="K184" i="18"/>
  <c r="J184" i="18"/>
  <c r="I184" i="18"/>
  <c r="H184" i="18"/>
  <c r="G184" i="18"/>
  <c r="F184" i="18"/>
  <c r="E184" i="18"/>
  <c r="D184" i="18"/>
  <c r="C184" i="18"/>
  <c r="B184" i="18"/>
  <c r="A184" i="18"/>
  <c r="AF183" i="18"/>
  <c r="AE183" i="18"/>
  <c r="AD183" i="18"/>
  <c r="AC183" i="18"/>
  <c r="AB183" i="18"/>
  <c r="AA183" i="18"/>
  <c r="Z183" i="18"/>
  <c r="Y183" i="18"/>
  <c r="X183" i="18"/>
  <c r="W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A183" i="18"/>
  <c r="AF182" i="18"/>
  <c r="AE182" i="18"/>
  <c r="AD182" i="18"/>
  <c r="AC182" i="18"/>
  <c r="AB182" i="18"/>
  <c r="AA182" i="18"/>
  <c r="Z182" i="18"/>
  <c r="Y182" i="18"/>
  <c r="X182" i="18"/>
  <c r="W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A182" i="18"/>
  <c r="AF181" i="18"/>
  <c r="AE181" i="18"/>
  <c r="AD181" i="18"/>
  <c r="AC181" i="18"/>
  <c r="AB181" i="18"/>
  <c r="AA181" i="18"/>
  <c r="Z181" i="18"/>
  <c r="Y181" i="18"/>
  <c r="X181" i="18"/>
  <c r="W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A181" i="18"/>
  <c r="AF180" i="18"/>
  <c r="AE180" i="18"/>
  <c r="AD180" i="18"/>
  <c r="AC180" i="18"/>
  <c r="AB180" i="18"/>
  <c r="AA180" i="18"/>
  <c r="Z180" i="18"/>
  <c r="Y180" i="18"/>
  <c r="X180" i="18"/>
  <c r="W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A180" i="18"/>
  <c r="AF179" i="18"/>
  <c r="AE179" i="18"/>
  <c r="AD179" i="18"/>
  <c r="AC179" i="18"/>
  <c r="AB179" i="18"/>
  <c r="AA179" i="18"/>
  <c r="Z179" i="18"/>
  <c r="Y179" i="18"/>
  <c r="X179" i="18"/>
  <c r="W179" i="18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A179" i="18"/>
  <c r="AF178" i="18"/>
  <c r="AE178" i="18"/>
  <c r="AD178" i="18"/>
  <c r="AC178" i="18"/>
  <c r="AB178" i="18"/>
  <c r="AA178" i="18"/>
  <c r="Z178" i="18"/>
  <c r="Y178" i="18"/>
  <c r="X178" i="18"/>
  <c r="W178" i="18"/>
  <c r="N178" i="18"/>
  <c r="M178" i="18"/>
  <c r="L178" i="18"/>
  <c r="K178" i="18"/>
  <c r="J178" i="18"/>
  <c r="I178" i="18"/>
  <c r="H178" i="18"/>
  <c r="G178" i="18"/>
  <c r="F178" i="18"/>
  <c r="E178" i="18"/>
  <c r="D178" i="18"/>
  <c r="C178" i="18"/>
  <c r="B178" i="18"/>
  <c r="A178" i="18"/>
  <c r="AF177" i="18"/>
  <c r="AE177" i="18"/>
  <c r="AD177" i="18"/>
  <c r="AC177" i="18"/>
  <c r="AB177" i="18"/>
  <c r="AA177" i="18"/>
  <c r="Z177" i="18"/>
  <c r="Y177" i="18"/>
  <c r="X177" i="18"/>
  <c r="W177" i="18"/>
  <c r="N177" i="18"/>
  <c r="M177" i="18"/>
  <c r="L177" i="18"/>
  <c r="K177" i="18"/>
  <c r="J177" i="18"/>
  <c r="I177" i="18"/>
  <c r="H177" i="18"/>
  <c r="G177" i="18"/>
  <c r="F177" i="18"/>
  <c r="E177" i="18"/>
  <c r="D177" i="18"/>
  <c r="C177" i="18"/>
  <c r="B177" i="18"/>
  <c r="A177" i="18"/>
  <c r="AF176" i="18"/>
  <c r="AE176" i="18"/>
  <c r="AD176" i="18"/>
  <c r="AC176" i="18"/>
  <c r="AB176" i="18"/>
  <c r="AA176" i="18"/>
  <c r="Z176" i="18"/>
  <c r="Y176" i="18"/>
  <c r="X176" i="18"/>
  <c r="W176" i="18"/>
  <c r="N176" i="18"/>
  <c r="M176" i="18"/>
  <c r="L176" i="18"/>
  <c r="K176" i="18"/>
  <c r="J176" i="18"/>
  <c r="I176" i="18"/>
  <c r="H176" i="18"/>
  <c r="G176" i="18"/>
  <c r="F176" i="18"/>
  <c r="E176" i="18"/>
  <c r="D176" i="18"/>
  <c r="C176" i="18"/>
  <c r="B176" i="18"/>
  <c r="A176" i="18"/>
  <c r="AF175" i="18"/>
  <c r="AE175" i="18"/>
  <c r="AD175" i="18"/>
  <c r="AC175" i="18"/>
  <c r="AB175" i="18"/>
  <c r="AA175" i="18"/>
  <c r="Z175" i="18"/>
  <c r="Y175" i="18"/>
  <c r="X175" i="18"/>
  <c r="W175" i="18"/>
  <c r="N175" i="18"/>
  <c r="M175" i="18"/>
  <c r="L175" i="18"/>
  <c r="K175" i="18"/>
  <c r="J175" i="18"/>
  <c r="I175" i="18"/>
  <c r="H175" i="18"/>
  <c r="G175" i="18"/>
  <c r="F175" i="18"/>
  <c r="E175" i="18"/>
  <c r="D175" i="18"/>
  <c r="C175" i="18"/>
  <c r="B175" i="18"/>
  <c r="A175" i="18"/>
  <c r="AF174" i="18"/>
  <c r="AE174" i="18"/>
  <c r="AD174" i="18"/>
  <c r="AC174" i="18"/>
  <c r="AB174" i="18"/>
  <c r="AA174" i="18"/>
  <c r="Z174" i="18"/>
  <c r="Y174" i="18"/>
  <c r="X174" i="18"/>
  <c r="W174" i="18"/>
  <c r="N174" i="18"/>
  <c r="M174" i="18"/>
  <c r="L174" i="18"/>
  <c r="K174" i="18"/>
  <c r="J174" i="18"/>
  <c r="I174" i="18"/>
  <c r="H174" i="18"/>
  <c r="G174" i="18"/>
  <c r="F174" i="18"/>
  <c r="E174" i="18"/>
  <c r="D174" i="18"/>
  <c r="C174" i="18"/>
  <c r="B174" i="18"/>
  <c r="A174" i="18"/>
  <c r="AF173" i="18"/>
  <c r="AD173" i="18"/>
  <c r="AC173" i="18"/>
  <c r="AB173" i="18"/>
  <c r="X173" i="18"/>
  <c r="N173" i="18"/>
  <c r="M173" i="18"/>
  <c r="L173" i="18"/>
  <c r="K173" i="18"/>
  <c r="J173" i="18"/>
  <c r="I173" i="18"/>
  <c r="H173" i="18"/>
  <c r="G173" i="18"/>
  <c r="F173" i="18"/>
  <c r="E173" i="18"/>
  <c r="D173" i="18"/>
  <c r="C173" i="18"/>
  <c r="B173" i="18"/>
  <c r="A173" i="18"/>
  <c r="AF172" i="18"/>
  <c r="AE172" i="18"/>
  <c r="AD172" i="18"/>
  <c r="AC172" i="18"/>
  <c r="AB172" i="18"/>
  <c r="AA172" i="18"/>
  <c r="Z172" i="18"/>
  <c r="Y172" i="18"/>
  <c r="X172" i="18"/>
  <c r="W172" i="18"/>
  <c r="N172" i="18"/>
  <c r="M172" i="18"/>
  <c r="L172" i="18"/>
  <c r="K172" i="18"/>
  <c r="J172" i="18"/>
  <c r="I172" i="18"/>
  <c r="H172" i="18"/>
  <c r="G172" i="18"/>
  <c r="F172" i="18"/>
  <c r="E172" i="18"/>
  <c r="D172" i="18"/>
  <c r="C172" i="18"/>
  <c r="B172" i="18"/>
  <c r="A172" i="18"/>
  <c r="AJ25" i="18"/>
  <c r="T6" i="19"/>
  <c r="U25" i="18" s="1"/>
  <c r="O6" i="19"/>
  <c r="R6" i="19" s="1"/>
  <c r="S25" i="18" s="1"/>
  <c r="M6" i="19"/>
  <c r="N25" i="18" s="1"/>
  <c r="G25" i="18"/>
  <c r="F25" i="18"/>
  <c r="E25" i="18"/>
  <c r="D25" i="18"/>
  <c r="C25" i="18"/>
  <c r="B25" i="18"/>
  <c r="A25" i="18"/>
  <c r="AJ26" i="18"/>
  <c r="T7" i="19"/>
  <c r="U26" i="18" s="1"/>
  <c r="O7" i="19"/>
  <c r="P26" i="18" s="1"/>
  <c r="M7" i="19"/>
  <c r="N26" i="18" s="1"/>
  <c r="G26" i="18"/>
  <c r="F26" i="18"/>
  <c r="E26" i="18"/>
  <c r="D26" i="18"/>
  <c r="C26" i="18"/>
  <c r="B26" i="18"/>
  <c r="A26" i="18"/>
  <c r="AJ23" i="18"/>
  <c r="T4" i="19"/>
  <c r="U23" i="18" s="1"/>
  <c r="O4" i="19"/>
  <c r="P23" i="18" s="1"/>
  <c r="M4" i="19"/>
  <c r="N23" i="18" s="1"/>
  <c r="G23" i="18"/>
  <c r="F23" i="18"/>
  <c r="E23" i="18"/>
  <c r="D23" i="18"/>
  <c r="C23" i="18"/>
  <c r="B23" i="18"/>
  <c r="A23" i="18"/>
  <c r="AJ24" i="18"/>
  <c r="T5" i="19"/>
  <c r="U24" i="18" s="1"/>
  <c r="O5" i="19"/>
  <c r="P24" i="18" s="1"/>
  <c r="M5" i="19"/>
  <c r="N24" i="18" s="1"/>
  <c r="G24" i="18"/>
  <c r="F24" i="18"/>
  <c r="E24" i="18"/>
  <c r="D24" i="18"/>
  <c r="C24" i="18"/>
  <c r="B24" i="18"/>
  <c r="A24" i="18"/>
  <c r="D170" i="18"/>
  <c r="B170" i="18"/>
  <c r="A170" i="18"/>
  <c r="D169" i="18"/>
  <c r="B169" i="18"/>
  <c r="A169" i="18"/>
  <c r="D168" i="18"/>
  <c r="B168" i="18"/>
  <c r="A168" i="18"/>
  <c r="D167" i="18"/>
  <c r="B167" i="18"/>
  <c r="A167" i="18"/>
  <c r="D166" i="18"/>
  <c r="B166" i="18"/>
  <c r="A166" i="18"/>
  <c r="D165" i="18"/>
  <c r="B165" i="18"/>
  <c r="A165" i="18"/>
  <c r="D164" i="18"/>
  <c r="B164" i="18"/>
  <c r="A164" i="18"/>
  <c r="D163" i="18"/>
  <c r="B163" i="18"/>
  <c r="A163" i="18"/>
  <c r="D162" i="18"/>
  <c r="B162" i="18"/>
  <c r="A162" i="18"/>
  <c r="D161" i="18"/>
  <c r="B161" i="18"/>
  <c r="A161" i="18"/>
  <c r="D160" i="18"/>
  <c r="B160" i="18"/>
  <c r="A160" i="18"/>
  <c r="D159" i="18"/>
  <c r="B159" i="18"/>
  <c r="A159" i="18"/>
  <c r="D158" i="18"/>
  <c r="B158" i="18"/>
  <c r="A158" i="18"/>
  <c r="D157" i="18"/>
  <c r="B157" i="18"/>
  <c r="A157" i="18"/>
  <c r="D156" i="18"/>
  <c r="B156" i="18"/>
  <c r="A156" i="18"/>
  <c r="D155" i="18"/>
  <c r="B155" i="18"/>
  <c r="A155" i="18"/>
  <c r="D154" i="18"/>
  <c r="B154" i="18"/>
  <c r="A154" i="18"/>
  <c r="D153" i="18"/>
  <c r="B153" i="18"/>
  <c r="A153" i="18"/>
  <c r="D152" i="18"/>
  <c r="B152" i="18"/>
  <c r="A152" i="18"/>
  <c r="D151" i="18"/>
  <c r="B151" i="18"/>
  <c r="A151" i="18"/>
  <c r="D150" i="18"/>
  <c r="B150" i="18"/>
  <c r="A150" i="18"/>
  <c r="D149" i="18"/>
  <c r="B149" i="18"/>
  <c r="A149" i="18"/>
  <c r="D148" i="18"/>
  <c r="B148" i="18"/>
  <c r="A148" i="18"/>
  <c r="D147" i="18"/>
  <c r="B147" i="18"/>
  <c r="A147" i="18"/>
  <c r="D146" i="18"/>
  <c r="B146" i="18"/>
  <c r="A146" i="18"/>
  <c r="D145" i="18"/>
  <c r="B145" i="18"/>
  <c r="A145" i="18"/>
  <c r="D144" i="18"/>
  <c r="B144" i="18"/>
  <c r="A144" i="18"/>
  <c r="D143" i="18"/>
  <c r="B143" i="18"/>
  <c r="A143" i="18"/>
  <c r="D142" i="18"/>
  <c r="B142" i="18"/>
  <c r="A142" i="18"/>
  <c r="D141" i="18"/>
  <c r="B141" i="18"/>
  <c r="A141" i="18"/>
  <c r="D140" i="18"/>
  <c r="B140" i="18"/>
  <c r="A140" i="18"/>
  <c r="D139" i="18"/>
  <c r="B139" i="18"/>
  <c r="A139" i="18"/>
  <c r="D138" i="18"/>
  <c r="B138" i="18"/>
  <c r="A138" i="18"/>
  <c r="D137" i="18"/>
  <c r="B137" i="18"/>
  <c r="A137" i="18"/>
  <c r="D136" i="18"/>
  <c r="B136" i="18"/>
  <c r="A136" i="18"/>
  <c r="D135" i="18"/>
  <c r="B135" i="18"/>
  <c r="A135" i="18"/>
  <c r="M6" i="8"/>
  <c r="AA144" i="18"/>
  <c r="W100" i="9"/>
  <c r="W109" i="9"/>
  <c r="W133" i="9"/>
  <c r="W121" i="9"/>
  <c r="W124" i="9"/>
  <c r="W97" i="9"/>
  <c r="W112" i="9"/>
  <c r="M8" i="21"/>
  <c r="M7" i="8"/>
  <c r="AI25" i="18"/>
  <c r="P6" i="19"/>
  <c r="P4" i="19"/>
  <c r="E18" i="8"/>
  <c r="N5" i="19"/>
  <c r="I15" i="19" l="1"/>
  <c r="J34" i="18" s="1"/>
  <c r="J15" i="19"/>
  <c r="K15" i="19"/>
  <c r="L34" i="18" s="1"/>
  <c r="H6" i="21"/>
  <c r="I14" i="19"/>
  <c r="J33" i="18" s="1"/>
  <c r="J14" i="19"/>
  <c r="K14" i="19"/>
  <c r="L33" i="18" s="1"/>
  <c r="G6" i="21"/>
  <c r="I17" i="19"/>
  <c r="J36" i="18" s="1"/>
  <c r="J17" i="19"/>
  <c r="K17" i="19"/>
  <c r="L36" i="18" s="1"/>
  <c r="H7" i="21"/>
  <c r="I16" i="19"/>
  <c r="J35" i="18" s="1"/>
  <c r="J16" i="19"/>
  <c r="K16" i="19"/>
  <c r="L35" i="18" s="1"/>
  <c r="N11" i="19"/>
  <c r="C15" i="8"/>
  <c r="H15" i="8" s="1"/>
  <c r="O5" i="21"/>
  <c r="R5" i="19"/>
  <c r="S24" i="18" s="1"/>
  <c r="O24" i="18"/>
  <c r="S5" i="19"/>
  <c r="T24" i="18" s="1"/>
  <c r="R4" i="19"/>
  <c r="S23" i="18" s="1"/>
  <c r="Q23" i="18"/>
  <c r="S4" i="19"/>
  <c r="T23" i="18" s="1"/>
  <c r="W137" i="18"/>
  <c r="AD6" i="20"/>
  <c r="AE137" i="18" s="1"/>
  <c r="AB139" i="18"/>
  <c r="AA14" i="20"/>
  <c r="K16" i="8"/>
  <c r="AA6" i="20"/>
  <c r="K20" i="8"/>
  <c r="AA145" i="18"/>
  <c r="R7" i="19"/>
  <c r="S26" i="18" s="1"/>
  <c r="P25" i="18"/>
  <c r="O8" i="21"/>
  <c r="AH7" i="19"/>
  <c r="AA26" i="20"/>
  <c r="K15" i="8"/>
  <c r="M124" i="9"/>
  <c r="P124" i="9"/>
  <c r="S124" i="9"/>
  <c r="V124" i="9"/>
  <c r="Y124" i="9"/>
  <c r="K88" i="9"/>
  <c r="N88" i="9"/>
  <c r="Q88" i="9"/>
  <c r="T88" i="9"/>
  <c r="Z88" i="9"/>
  <c r="L97" i="9"/>
  <c r="O97" i="9"/>
  <c r="R97" i="9"/>
  <c r="U97" i="9"/>
  <c r="X97" i="9"/>
  <c r="K124" i="9"/>
  <c r="N124" i="9"/>
  <c r="Q124" i="9"/>
  <c r="T124" i="9"/>
  <c r="Z124" i="9"/>
  <c r="L88" i="9"/>
  <c r="O88" i="9"/>
  <c r="R88" i="9"/>
  <c r="X88" i="9"/>
  <c r="AB88" i="9"/>
  <c r="M97" i="9"/>
  <c r="P97" i="9"/>
  <c r="S97" i="9"/>
  <c r="V97" i="9"/>
  <c r="Y97" i="9"/>
  <c r="L124" i="9"/>
  <c r="O124" i="9"/>
  <c r="R124" i="9"/>
  <c r="U124" i="9"/>
  <c r="X124" i="9"/>
  <c r="AB124" i="9"/>
  <c r="M88" i="9"/>
  <c r="P88" i="9"/>
  <c r="Y88" i="9"/>
  <c r="K97" i="9"/>
  <c r="N97" i="9"/>
  <c r="Q97" i="9"/>
  <c r="T97" i="9"/>
  <c r="Z97" i="9"/>
  <c r="AB97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X100" i="9"/>
  <c r="Y100" i="9"/>
  <c r="Z100" i="9"/>
  <c r="AB100" i="9"/>
  <c r="K112" i="9"/>
  <c r="L112" i="9"/>
  <c r="M112" i="9"/>
  <c r="N112" i="9"/>
  <c r="O112" i="9"/>
  <c r="P112" i="9"/>
  <c r="Q112" i="9"/>
  <c r="R112" i="9"/>
  <c r="S112" i="9"/>
  <c r="T112" i="9"/>
  <c r="U112" i="9"/>
  <c r="V112" i="9"/>
  <c r="X112" i="9"/>
  <c r="Y112" i="9"/>
  <c r="Z112" i="9"/>
  <c r="AB112" i="9"/>
  <c r="K109" i="9"/>
  <c r="L109" i="9"/>
  <c r="M109" i="9"/>
  <c r="N109" i="9"/>
  <c r="O109" i="9"/>
  <c r="P109" i="9"/>
  <c r="Q109" i="9"/>
  <c r="R109" i="9"/>
  <c r="S109" i="9"/>
  <c r="T109" i="9"/>
  <c r="U109" i="9"/>
  <c r="V109" i="9"/>
  <c r="X109" i="9"/>
  <c r="Y109" i="9"/>
  <c r="Z109" i="9"/>
  <c r="AB109" i="9"/>
  <c r="K121" i="9"/>
  <c r="L121" i="9"/>
  <c r="M121" i="9"/>
  <c r="N121" i="9"/>
  <c r="O121" i="9"/>
  <c r="P121" i="9"/>
  <c r="Q121" i="9"/>
  <c r="R121" i="9"/>
  <c r="S121" i="9"/>
  <c r="T121" i="9"/>
  <c r="U121" i="9"/>
  <c r="V121" i="9"/>
  <c r="X121" i="9"/>
  <c r="Y121" i="9"/>
  <c r="Z121" i="9"/>
  <c r="AB121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X85" i="9"/>
  <c r="Y85" i="9"/>
  <c r="Z85" i="9"/>
  <c r="AB85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X133" i="9"/>
  <c r="Y133" i="9"/>
  <c r="Z133" i="9"/>
  <c r="AB133" i="9"/>
  <c r="AB157" i="18"/>
  <c r="Q25" i="18"/>
  <c r="S6" i="19"/>
  <c r="T25" i="18" s="1"/>
  <c r="AA39" i="20"/>
  <c r="K18" i="8"/>
  <c r="V39" i="20"/>
  <c r="N7" i="19"/>
  <c r="C18" i="8"/>
  <c r="H18" i="8" s="1"/>
  <c r="AA170" i="18"/>
  <c r="W92" i="9"/>
  <c r="X39" i="20"/>
  <c r="P7" i="19"/>
  <c r="Q26" i="18" s="1"/>
  <c r="Y39" i="20"/>
  <c r="Q7" i="19"/>
  <c r="R26" i="18" s="1"/>
  <c r="F18" i="8"/>
  <c r="Z160" i="18"/>
  <c r="AI26" i="18"/>
  <c r="O18" i="8"/>
  <c r="O15" i="8"/>
  <c r="O30" i="18" l="1"/>
  <c r="S11" i="19"/>
  <c r="T30" i="18" s="1"/>
  <c r="AA100" i="9" a="1"/>
  <c r="AA100" i="9" s="1"/>
  <c r="L16" i="19"/>
  <c r="M35" i="18" s="1"/>
  <c r="K35" i="18"/>
  <c r="L7" i="21"/>
  <c r="K7" i="21"/>
  <c r="M7" i="21" s="1"/>
  <c r="J7" i="21"/>
  <c r="L17" i="19"/>
  <c r="M36" i="18" s="1"/>
  <c r="K36" i="18"/>
  <c r="L14" i="19"/>
  <c r="M33" i="18" s="1"/>
  <c r="K33" i="18"/>
  <c r="L6" i="21"/>
  <c r="K6" i="21"/>
  <c r="M6" i="21" s="1"/>
  <c r="J6" i="21"/>
  <c r="L15" i="19"/>
  <c r="M34" i="18" s="1"/>
  <c r="K34" i="18"/>
  <c r="AB145" i="18"/>
  <c r="X91" i="9"/>
  <c r="AB137" i="18"/>
  <c r="AD39" i="20"/>
  <c r="AE170" i="18" s="1"/>
  <c r="O26" i="18"/>
  <c r="S7" i="19"/>
  <c r="T26" i="18" s="1"/>
  <c r="AB170" i="18"/>
  <c r="X92" i="9"/>
  <c r="Z170" i="18"/>
  <c r="V92" i="9"/>
  <c r="Y170" i="18"/>
  <c r="U92" i="9"/>
  <c r="W170" i="18"/>
  <c r="S92" i="9"/>
  <c r="AA92" i="9" s="1" a="1"/>
  <c r="AA92" i="9" s="1"/>
  <c r="H41" i="17" a="1"/>
  <c r="H41" i="17" s="1"/>
  <c r="B136" i="5" s="1"/>
  <c r="N136" i="5" l="1"/>
  <c r="X57" i="7" s="1"/>
  <c r="W9" i="19" s="1"/>
  <c r="V136" i="5"/>
  <c r="AF57" i="7" s="1"/>
  <c r="AD9" i="19" s="1"/>
  <c r="X136" i="5"/>
  <c r="AH57" i="7" s="1"/>
  <c r="AF9" i="19" s="1"/>
  <c r="U57" i="7"/>
  <c r="M136" i="5"/>
  <c r="W57" i="7" s="1"/>
  <c r="Q136" i="5"/>
  <c r="AA57" i="7" s="1"/>
  <c r="Y9" i="19" s="1"/>
  <c r="U136" i="5"/>
  <c r="AE57" i="7" s="1"/>
  <c r="O136" i="5"/>
  <c r="P136" i="5"/>
  <c r="Z57" i="7" s="1"/>
  <c r="X9" i="19" s="1"/>
  <c r="R136" i="5"/>
  <c r="AB57" i="7" s="1"/>
  <c r="S136" i="5"/>
  <c r="AC57" i="7" s="1"/>
  <c r="T136" i="5"/>
  <c r="AD57" i="7" s="1"/>
  <c r="W136" i="5"/>
  <c r="AG57" i="7" s="1"/>
  <c r="AE9" i="19" s="1"/>
  <c r="U120" i="20" l="1"/>
  <c r="V251" i="18" s="1"/>
  <c r="T120" i="20"/>
  <c r="U251" i="18" s="1"/>
  <c r="S120" i="20"/>
  <c r="T251" i="18" s="1"/>
  <c r="R120" i="20"/>
  <c r="S251" i="18" s="1"/>
  <c r="Q120" i="20"/>
  <c r="R251" i="18" s="1"/>
  <c r="P120" i="20"/>
  <c r="Q251" i="18" s="1"/>
  <c r="O120" i="20"/>
  <c r="P251" i="18" s="1"/>
  <c r="N120" i="20"/>
  <c r="O251" i="18" s="1"/>
  <c r="U112" i="20"/>
  <c r="V243" i="18" s="1"/>
  <c r="T112" i="20"/>
  <c r="U243" i="18" s="1"/>
  <c r="S112" i="20"/>
  <c r="T243" i="18" s="1"/>
  <c r="R112" i="20"/>
  <c r="S243" i="18" s="1"/>
  <c r="Q112" i="20"/>
  <c r="R243" i="18" s="1"/>
  <c r="P112" i="20"/>
  <c r="Q243" i="18" s="1"/>
  <c r="O112" i="20"/>
  <c r="P243" i="18" s="1"/>
  <c r="N112" i="20"/>
  <c r="O243" i="18" s="1"/>
  <c r="U118" i="20"/>
  <c r="V249" i="18" s="1"/>
  <c r="T118" i="20"/>
  <c r="U249" i="18" s="1"/>
  <c r="S118" i="20"/>
  <c r="T249" i="18" s="1"/>
  <c r="R118" i="20"/>
  <c r="S249" i="18" s="1"/>
  <c r="Q118" i="20"/>
  <c r="R249" i="18" s="1"/>
  <c r="P118" i="20"/>
  <c r="Q249" i="18" s="1"/>
  <c r="O118" i="20"/>
  <c r="P249" i="18" s="1"/>
  <c r="N118" i="20"/>
  <c r="O249" i="18" s="1"/>
  <c r="U113" i="20"/>
  <c r="V244" i="18" s="1"/>
  <c r="T113" i="20"/>
  <c r="U244" i="18" s="1"/>
  <c r="S113" i="20"/>
  <c r="T244" i="18" s="1"/>
  <c r="R113" i="20"/>
  <c r="S244" i="18" s="1"/>
  <c r="Q113" i="20"/>
  <c r="R244" i="18" s="1"/>
  <c r="P113" i="20"/>
  <c r="Q244" i="18" s="1"/>
  <c r="O113" i="20"/>
  <c r="P244" i="18" s="1"/>
  <c r="N113" i="20"/>
  <c r="O244" i="18" s="1"/>
  <c r="U115" i="20"/>
  <c r="V246" i="18" s="1"/>
  <c r="T115" i="20"/>
  <c r="U246" i="18" s="1"/>
  <c r="S115" i="20"/>
  <c r="T246" i="18" s="1"/>
  <c r="R115" i="20"/>
  <c r="S246" i="18" s="1"/>
  <c r="Q115" i="20"/>
  <c r="R246" i="18" s="1"/>
  <c r="P115" i="20"/>
  <c r="Q246" i="18" s="1"/>
  <c r="O115" i="20"/>
  <c r="P246" i="18" s="1"/>
  <c r="N115" i="20"/>
  <c r="O246" i="18" s="1"/>
  <c r="U119" i="20"/>
  <c r="V250" i="18" s="1"/>
  <c r="T119" i="20"/>
  <c r="U250" i="18" s="1"/>
  <c r="S119" i="20"/>
  <c r="T250" i="18" s="1"/>
  <c r="R119" i="20"/>
  <c r="S250" i="18" s="1"/>
  <c r="Q119" i="20"/>
  <c r="R250" i="18" s="1"/>
  <c r="P119" i="20"/>
  <c r="Q250" i="18" s="1"/>
  <c r="O119" i="20"/>
  <c r="P250" i="18" s="1"/>
  <c r="N119" i="20"/>
  <c r="O250" i="18" s="1"/>
  <c r="U116" i="20"/>
  <c r="V247" i="18" s="1"/>
  <c r="T116" i="20"/>
  <c r="U247" i="18" s="1"/>
  <c r="S116" i="20"/>
  <c r="T247" i="18" s="1"/>
  <c r="R116" i="20"/>
  <c r="S247" i="18" s="1"/>
  <c r="Q116" i="20"/>
  <c r="R247" i="18" s="1"/>
  <c r="P116" i="20"/>
  <c r="Q247" i="18" s="1"/>
  <c r="O116" i="20"/>
  <c r="P247" i="18" s="1"/>
  <c r="N116" i="20"/>
  <c r="O247" i="18" s="1"/>
  <c r="U114" i="20"/>
  <c r="V245" i="18" s="1"/>
  <c r="T114" i="20"/>
  <c r="U245" i="18" s="1"/>
  <c r="S114" i="20"/>
  <c r="T245" i="18" s="1"/>
  <c r="R114" i="20"/>
  <c r="S245" i="18" s="1"/>
  <c r="Q114" i="20"/>
  <c r="R245" i="18" s="1"/>
  <c r="P114" i="20"/>
  <c r="Q245" i="18" s="1"/>
  <c r="O114" i="20"/>
  <c r="P245" i="18" s="1"/>
  <c r="N114" i="20"/>
  <c r="O245" i="18" s="1"/>
  <c r="U117" i="20"/>
  <c r="V248" i="18" s="1"/>
  <c r="T117" i="20"/>
  <c r="U248" i="18" s="1"/>
  <c r="S117" i="20"/>
  <c r="T248" i="18" s="1"/>
  <c r="R117" i="20"/>
  <c r="S248" i="18" s="1"/>
  <c r="Q117" i="20"/>
  <c r="R248" i="18" s="1"/>
  <c r="P117" i="20"/>
  <c r="Q248" i="18" s="1"/>
  <c r="O117" i="20"/>
  <c r="P248" i="18" s="1"/>
  <c r="N117" i="20"/>
  <c r="O248" i="18" s="1"/>
  <c r="AR28" i="7" a="1"/>
  <c r="AR28" i="7" s="1"/>
  <c r="AB9" i="19"/>
  <c r="P9" i="8"/>
  <c r="Y28" i="18"/>
  <c r="Q9" i="8"/>
  <c r="Z28" i="18"/>
  <c r="X9" i="8"/>
  <c r="AG28" i="18"/>
  <c r="H57" i="20"/>
  <c r="I188" i="18" s="1"/>
  <c r="AA9" i="19"/>
  <c r="Y57" i="7"/>
  <c r="L103" i="5"/>
  <c r="D57" i="20"/>
  <c r="G9" i="19"/>
  <c r="H9" i="8"/>
  <c r="V9" i="8"/>
  <c r="AE28" i="18"/>
  <c r="W9" i="8"/>
  <c r="AF28" i="18"/>
  <c r="AT28" i="7" a="1"/>
  <c r="AT28" i="7" s="1"/>
  <c r="G57" i="20"/>
  <c r="H188" i="18" s="1"/>
  <c r="Z9" i="19"/>
  <c r="AS28" i="7" a="1"/>
  <c r="AS28" i="7" s="1"/>
  <c r="AC9" i="19"/>
  <c r="B57" i="20"/>
  <c r="T50" i="20"/>
  <c r="U181" i="18" s="1"/>
  <c r="Q50" i="20"/>
  <c r="R181" i="18" s="1"/>
  <c r="N50" i="20"/>
  <c r="O181" i="18" s="1"/>
  <c r="S52" i="20"/>
  <c r="T183" i="18" s="1"/>
  <c r="P52" i="20"/>
  <c r="Q183" i="18" s="1"/>
  <c r="U55" i="20"/>
  <c r="V186" i="18" s="1"/>
  <c r="R55" i="20"/>
  <c r="S186" i="18" s="1"/>
  <c r="O55" i="20"/>
  <c r="P186" i="18" s="1"/>
  <c r="T56" i="20"/>
  <c r="U187" i="18" s="1"/>
  <c r="Q56" i="20"/>
  <c r="R187" i="18" s="1"/>
  <c r="N56" i="20"/>
  <c r="O187" i="18" s="1"/>
  <c r="S54" i="20"/>
  <c r="T185" i="18" s="1"/>
  <c r="P54" i="20"/>
  <c r="Q185" i="18" s="1"/>
  <c r="U53" i="20"/>
  <c r="V184" i="18" s="1"/>
  <c r="R53" i="20"/>
  <c r="S184" i="18" s="1"/>
  <c r="O53" i="20"/>
  <c r="P184" i="18" s="1"/>
  <c r="T51" i="20"/>
  <c r="U182" i="18" s="1"/>
  <c r="Q51" i="20"/>
  <c r="R182" i="18" s="1"/>
  <c r="N51" i="20"/>
  <c r="O182" i="18" s="1"/>
  <c r="S49" i="20"/>
  <c r="T180" i="18" s="1"/>
  <c r="P49" i="20"/>
  <c r="Q180" i="18" s="1"/>
  <c r="U9" i="20"/>
  <c r="R9" i="20"/>
  <c r="O9" i="20"/>
  <c r="T7" i="20"/>
  <c r="U6" i="20"/>
  <c r="R6" i="20"/>
  <c r="O6" i="20"/>
  <c r="T5" i="20"/>
  <c r="Q5" i="20"/>
  <c r="N5" i="20"/>
  <c r="S10" i="20"/>
  <c r="P10" i="20"/>
  <c r="N10" i="20"/>
  <c r="T8" i="20"/>
  <c r="Q8" i="20"/>
  <c r="N8" i="20"/>
  <c r="S11" i="20"/>
  <c r="P11" i="20"/>
  <c r="O12" i="20"/>
  <c r="P4" i="20"/>
  <c r="G131" i="9"/>
  <c r="S50" i="20"/>
  <c r="T181" i="18" s="1"/>
  <c r="P50" i="20"/>
  <c r="Q181" i="18" s="1"/>
  <c r="U52" i="20"/>
  <c r="V183" i="18" s="1"/>
  <c r="R52" i="20"/>
  <c r="S183" i="18" s="1"/>
  <c r="O52" i="20"/>
  <c r="P183" i="18" s="1"/>
  <c r="T55" i="20"/>
  <c r="U186" i="18" s="1"/>
  <c r="Q55" i="20"/>
  <c r="R186" i="18" s="1"/>
  <c r="N55" i="20"/>
  <c r="O186" i="18" s="1"/>
  <c r="S56" i="20"/>
  <c r="T187" i="18" s="1"/>
  <c r="P56" i="20"/>
  <c r="Q187" i="18" s="1"/>
  <c r="U54" i="20"/>
  <c r="V185" i="18" s="1"/>
  <c r="R54" i="20"/>
  <c r="S185" i="18" s="1"/>
  <c r="O54" i="20"/>
  <c r="P185" i="18" s="1"/>
  <c r="T53" i="20"/>
  <c r="U184" i="18" s="1"/>
  <c r="Q53" i="20"/>
  <c r="R184" i="18" s="1"/>
  <c r="N53" i="20"/>
  <c r="O184" i="18" s="1"/>
  <c r="S51" i="20"/>
  <c r="T182" i="18" s="1"/>
  <c r="P51" i="20"/>
  <c r="Q182" i="18" s="1"/>
  <c r="U49" i="20"/>
  <c r="V180" i="18" s="1"/>
  <c r="R49" i="20"/>
  <c r="S180" i="18" s="1"/>
  <c r="O49" i="20"/>
  <c r="P180" i="18" s="1"/>
  <c r="T9" i="20"/>
  <c r="Q9" i="20"/>
  <c r="N9" i="20"/>
  <c r="S7" i="20"/>
  <c r="Q7" i="20"/>
  <c r="O7" i="20"/>
  <c r="T6" i="20"/>
  <c r="Q6" i="20"/>
  <c r="N6" i="20"/>
  <c r="S5" i="20"/>
  <c r="P5" i="20"/>
  <c r="U10" i="20"/>
  <c r="R10" i="20"/>
  <c r="O10" i="20"/>
  <c r="U8" i="20"/>
  <c r="U50" i="20"/>
  <c r="V181" i="18" s="1"/>
  <c r="R50" i="20"/>
  <c r="S181" i="18" s="1"/>
  <c r="O50" i="20"/>
  <c r="P181" i="18" s="1"/>
  <c r="T52" i="20"/>
  <c r="U183" i="18" s="1"/>
  <c r="Q52" i="20"/>
  <c r="R183" i="18" s="1"/>
  <c r="N52" i="20"/>
  <c r="O183" i="18" s="1"/>
  <c r="S55" i="20"/>
  <c r="T186" i="18" s="1"/>
  <c r="P55" i="20"/>
  <c r="Q186" i="18" s="1"/>
  <c r="U56" i="20"/>
  <c r="V187" i="18" s="1"/>
  <c r="R56" i="20"/>
  <c r="S187" i="18" s="1"/>
  <c r="O56" i="20"/>
  <c r="P187" i="18" s="1"/>
  <c r="T54" i="20"/>
  <c r="U185" i="18" s="1"/>
  <c r="Q54" i="20"/>
  <c r="R185" i="18" s="1"/>
  <c r="N54" i="20"/>
  <c r="O185" i="18" s="1"/>
  <c r="S53" i="20"/>
  <c r="T184" i="18" s="1"/>
  <c r="P53" i="20"/>
  <c r="Q184" i="18" s="1"/>
  <c r="U51" i="20"/>
  <c r="V182" i="18" s="1"/>
  <c r="R51" i="20"/>
  <c r="S182" i="18" s="1"/>
  <c r="O51" i="20"/>
  <c r="P182" i="18" s="1"/>
  <c r="T49" i="20"/>
  <c r="U180" i="18" s="1"/>
  <c r="Q49" i="20"/>
  <c r="R180" i="18" s="1"/>
  <c r="N49" i="20"/>
  <c r="O180" i="18" s="1"/>
  <c r="S9" i="20"/>
  <c r="P9" i="20"/>
  <c r="U7" i="20"/>
  <c r="R7" i="20"/>
  <c r="P7" i="20"/>
  <c r="N7" i="20"/>
  <c r="S6" i="20"/>
  <c r="P6" i="20"/>
  <c r="U5" i="20"/>
  <c r="R5" i="20"/>
  <c r="O5" i="20"/>
  <c r="T10" i="20"/>
  <c r="Q10" i="20"/>
  <c r="R8" i="20"/>
  <c r="O8" i="20"/>
  <c r="T11" i="20"/>
  <c r="Q11" i="20"/>
  <c r="N11" i="20"/>
  <c r="T12" i="20"/>
  <c r="R12" i="20"/>
  <c r="P12" i="20"/>
  <c r="O4" i="20"/>
  <c r="R4" i="20"/>
  <c r="T4" i="20"/>
  <c r="U11" i="20"/>
  <c r="S12" i="20"/>
  <c r="Q4" i="20"/>
  <c r="F131" i="9"/>
  <c r="G126" i="9"/>
  <c r="D126" i="9"/>
  <c r="C119" i="9"/>
  <c r="F114" i="9"/>
  <c r="G107" i="9"/>
  <c r="D107" i="9"/>
  <c r="C95" i="9"/>
  <c r="F90" i="9"/>
  <c r="G83" i="9"/>
  <c r="D83" i="9"/>
  <c r="G102" i="9"/>
  <c r="D102" i="9"/>
  <c r="S8" i="20"/>
  <c r="R11" i="20"/>
  <c r="Q12" i="20"/>
  <c r="S4" i="20"/>
  <c r="C131" i="9"/>
  <c r="F126" i="9"/>
  <c r="G119" i="9"/>
  <c r="D119" i="9"/>
  <c r="C114" i="9"/>
  <c r="F107" i="9"/>
  <c r="G95" i="9"/>
  <c r="D95" i="9"/>
  <c r="C90" i="9"/>
  <c r="F83" i="9"/>
  <c r="F102" i="9"/>
  <c r="P8" i="20"/>
  <c r="O11" i="20"/>
  <c r="U12" i="20"/>
  <c r="N12" i="20"/>
  <c r="N4" i="20"/>
  <c r="U4" i="20"/>
  <c r="D131" i="9"/>
  <c r="C126" i="9"/>
  <c r="E126" i="9" s="1"/>
  <c r="F119" i="9"/>
  <c r="G114" i="9"/>
  <c r="D114" i="9"/>
  <c r="C107" i="9"/>
  <c r="E107" i="9" s="1"/>
  <c r="F95" i="9"/>
  <c r="G90" i="9"/>
  <c r="D90" i="9"/>
  <c r="C83" i="9"/>
  <c r="E83" i="9" s="1"/>
  <c r="C102" i="9"/>
  <c r="E102" i="9" s="1"/>
  <c r="O9" i="8"/>
  <c r="X28" i="18"/>
  <c r="V135" i="18" l="1"/>
  <c r="R107" i="9"/>
  <c r="V143" i="18"/>
  <c r="R119" i="9"/>
  <c r="E114" i="9"/>
  <c r="R143" i="18"/>
  <c r="N119" i="9"/>
  <c r="E119" i="9"/>
  <c r="V142" i="18"/>
  <c r="R95" i="9"/>
  <c r="P135" i="18"/>
  <c r="L107" i="9"/>
  <c r="U143" i="18"/>
  <c r="Q119" i="9"/>
  <c r="U142" i="18"/>
  <c r="Q95" i="9"/>
  <c r="R141" i="18"/>
  <c r="N102" i="9"/>
  <c r="S136" i="18"/>
  <c r="O131" i="9"/>
  <c r="T137" i="18"/>
  <c r="P83" i="9"/>
  <c r="S138" i="18"/>
  <c r="T140" i="18"/>
  <c r="P90" i="9"/>
  <c r="P141" i="18"/>
  <c r="L102" i="9"/>
  <c r="Q136" i="18"/>
  <c r="M131" i="9"/>
  <c r="R137" i="18"/>
  <c r="N83" i="9"/>
  <c r="R138" i="18"/>
  <c r="R140" i="18"/>
  <c r="N90" i="9"/>
  <c r="Q142" i="18"/>
  <c r="M95" i="9"/>
  <c r="R139" i="18"/>
  <c r="N126" i="9"/>
  <c r="Q141" i="18"/>
  <c r="M102" i="9"/>
  <c r="R136" i="18"/>
  <c r="N131" i="9"/>
  <c r="S137" i="18"/>
  <c r="O83" i="9"/>
  <c r="P140" i="18"/>
  <c r="L90" i="9"/>
  <c r="U9" i="8"/>
  <c r="AD28" i="18"/>
  <c r="O135" i="18"/>
  <c r="K107" i="9"/>
  <c r="P142" i="18"/>
  <c r="L95" i="9"/>
  <c r="E131" i="9"/>
  <c r="S142" i="18"/>
  <c r="O95" i="9"/>
  <c r="R135" i="18"/>
  <c r="N107" i="9"/>
  <c r="U135" i="18"/>
  <c r="Q107" i="9"/>
  <c r="Q143" i="18"/>
  <c r="M119" i="9"/>
  <c r="O142" i="18"/>
  <c r="K95" i="9"/>
  <c r="P139" i="18"/>
  <c r="L126" i="9"/>
  <c r="U141" i="18"/>
  <c r="Q102" i="9"/>
  <c r="V136" i="18"/>
  <c r="R131" i="9"/>
  <c r="O138" i="18"/>
  <c r="V138" i="18"/>
  <c r="S141" i="18"/>
  <c r="O102" i="9"/>
  <c r="T136" i="18"/>
  <c r="P131" i="9"/>
  <c r="U137" i="18"/>
  <c r="Q83" i="9"/>
  <c r="T138" i="18"/>
  <c r="U140" i="18"/>
  <c r="Q90" i="9"/>
  <c r="Q135" i="18"/>
  <c r="M107" i="9"/>
  <c r="T142" i="18"/>
  <c r="P95" i="9"/>
  <c r="U139" i="18"/>
  <c r="Q126" i="9"/>
  <c r="T141" i="18"/>
  <c r="P102" i="9"/>
  <c r="U136" i="18"/>
  <c r="Q131" i="9"/>
  <c r="V137" i="18"/>
  <c r="R83" i="9"/>
  <c r="S140" i="18"/>
  <c r="O90" i="9"/>
  <c r="F19" i="8"/>
  <c r="Y42" i="20"/>
  <c r="Q8" i="19"/>
  <c r="R27" i="18" s="1"/>
  <c r="Z42" i="20"/>
  <c r="AH8" i="19"/>
  <c r="H10" i="21"/>
  <c r="H28" i="18"/>
  <c r="AO28" i="7" a="1"/>
  <c r="AO28" i="7" s="1"/>
  <c r="E57" i="20"/>
  <c r="F188" i="18" s="1"/>
  <c r="H9" i="19"/>
  <c r="I9" i="8"/>
  <c r="K9" i="8" s="1"/>
  <c r="T9" i="8"/>
  <c r="AC28" i="18"/>
  <c r="O143" i="18"/>
  <c r="K119" i="9"/>
  <c r="Q139" i="18"/>
  <c r="M126" i="9"/>
  <c r="E90" i="9"/>
  <c r="T135" i="18"/>
  <c r="P107" i="9"/>
  <c r="T139" i="18"/>
  <c r="P126" i="9"/>
  <c r="E95" i="9"/>
  <c r="T143" i="18"/>
  <c r="P119" i="9"/>
  <c r="S135" i="18"/>
  <c r="O107" i="9"/>
  <c r="S143" i="18"/>
  <c r="O119" i="9"/>
  <c r="R142" i="18"/>
  <c r="N95" i="9"/>
  <c r="S139" i="18"/>
  <c r="O126" i="9"/>
  <c r="P136" i="18"/>
  <c r="L131" i="9"/>
  <c r="Q137" i="18"/>
  <c r="M83" i="9"/>
  <c r="Q138" i="18"/>
  <c r="Q140" i="18"/>
  <c r="M90" i="9"/>
  <c r="V139" i="18"/>
  <c r="R126" i="9"/>
  <c r="V141" i="18"/>
  <c r="R102" i="9"/>
  <c r="O137" i="18"/>
  <c r="K83" i="9"/>
  <c r="P138" i="18"/>
  <c r="O140" i="18"/>
  <c r="K90" i="9"/>
  <c r="P143" i="18"/>
  <c r="L119" i="9"/>
  <c r="O139" i="18"/>
  <c r="K126" i="9"/>
  <c r="O141" i="18"/>
  <c r="K102" i="9"/>
  <c r="O136" i="18"/>
  <c r="K131" i="9"/>
  <c r="P137" i="18"/>
  <c r="L83" i="9"/>
  <c r="U138" i="18"/>
  <c r="V140" i="18"/>
  <c r="R90" i="9"/>
  <c r="AC57" i="20"/>
  <c r="AD188" i="18" s="1"/>
  <c r="Z57" i="20"/>
  <c r="AA188" i="18" s="1"/>
  <c r="W57" i="20"/>
  <c r="X188" i="18" s="1"/>
  <c r="L57" i="20"/>
  <c r="M188" i="18" s="1"/>
  <c r="AB57" i="20"/>
  <c r="AC188" i="18" s="1"/>
  <c r="Y57" i="20"/>
  <c r="Z188" i="18" s="1"/>
  <c r="V57" i="20"/>
  <c r="W188" i="18" s="1"/>
  <c r="K57" i="20"/>
  <c r="L188" i="18" s="1"/>
  <c r="M57" i="20"/>
  <c r="N188" i="18" s="1"/>
  <c r="AE57" i="20"/>
  <c r="AF188" i="18" s="1"/>
  <c r="AA57" i="20"/>
  <c r="AB188" i="18" s="1"/>
  <c r="X57" i="20"/>
  <c r="Y188" i="18" s="1"/>
  <c r="I57" i="20"/>
  <c r="J57" i="20"/>
  <c r="K188" i="18" s="1"/>
  <c r="U57" i="20"/>
  <c r="V188" i="18" s="1"/>
  <c r="R57" i="20"/>
  <c r="S188" i="18" s="1"/>
  <c r="O57" i="20"/>
  <c r="P188" i="18" s="1"/>
  <c r="T57" i="20"/>
  <c r="U188" i="18" s="1"/>
  <c r="Q57" i="20"/>
  <c r="R188" i="18" s="1"/>
  <c r="N57" i="20"/>
  <c r="O188" i="18" s="1"/>
  <c r="S57" i="20"/>
  <c r="T188" i="18" s="1"/>
  <c r="P57" i="20"/>
  <c r="Q188" i="18" s="1"/>
  <c r="Y107" i="9"/>
  <c r="Y126" i="9"/>
  <c r="S107" i="9"/>
  <c r="X102" i="9"/>
  <c r="Y114" i="9"/>
  <c r="Z107" i="9"/>
  <c r="AB107" i="9"/>
  <c r="T95" i="9"/>
  <c r="V90" i="9"/>
  <c r="V102" i="9"/>
  <c r="AB95" i="9"/>
  <c r="X119" i="9"/>
  <c r="Z90" i="9"/>
  <c r="S90" i="9"/>
  <c r="X107" i="9"/>
  <c r="Y102" i="9"/>
  <c r="T102" i="9"/>
  <c r="AB90" i="9"/>
  <c r="S114" i="9"/>
  <c r="AB102" i="9"/>
  <c r="T83" i="9"/>
  <c r="U102" i="9"/>
  <c r="V83" i="9"/>
  <c r="V126" i="9"/>
  <c r="T90" i="9"/>
  <c r="T119" i="9"/>
  <c r="AB119" i="9"/>
  <c r="S95" i="9"/>
  <c r="S119" i="9"/>
  <c r="V95" i="9"/>
  <c r="AB83" i="9"/>
  <c r="Y119" i="9"/>
  <c r="V107" i="9"/>
  <c r="T131" i="9"/>
  <c r="X95" i="9"/>
  <c r="Y131" i="9"/>
  <c r="Z119" i="9"/>
  <c r="U90" i="9"/>
  <c r="AB114" i="9"/>
  <c r="U114" i="9"/>
  <c r="T126" i="9"/>
  <c r="X90" i="9"/>
  <c r="U126" i="9"/>
  <c r="Z131" i="9"/>
  <c r="V119" i="9"/>
  <c r="U119" i="9"/>
  <c r="D93" i="21"/>
  <c r="C100" i="21"/>
  <c r="G100" i="21"/>
  <c r="D105" i="21"/>
  <c r="I105" i="21"/>
  <c r="AB131" i="9"/>
  <c r="Y90" i="9"/>
  <c r="X131" i="9"/>
  <c r="S131" i="9"/>
  <c r="Z95" i="9"/>
  <c r="Z126" i="9"/>
  <c r="U95" i="9"/>
  <c r="U131" i="9"/>
  <c r="Z83" i="9"/>
  <c r="Y83" i="9"/>
  <c r="S126" i="9"/>
  <c r="AA126" i="9" s="1" a="1"/>
  <c r="AA126" i="9" s="1"/>
  <c r="T114" i="9"/>
  <c r="V114" i="9"/>
  <c r="U107" i="9"/>
  <c r="Z102" i="9"/>
  <c r="AB126" i="9"/>
  <c r="Y95" i="9"/>
  <c r="X114" i="9"/>
  <c r="T107" i="9"/>
  <c r="V131" i="9"/>
  <c r="S102" i="9"/>
  <c r="Z114" i="9"/>
  <c r="U83" i="9"/>
  <c r="G93" i="21"/>
  <c r="I100" i="21"/>
  <c r="G105" i="21"/>
  <c r="F112" i="21"/>
  <c r="C117" i="21"/>
  <c r="G117" i="21"/>
  <c r="D124" i="21"/>
  <c r="I124" i="21"/>
  <c r="F129" i="21"/>
  <c r="C136" i="21"/>
  <c r="G136" i="21"/>
  <c r="D141" i="21"/>
  <c r="I93" i="21"/>
  <c r="J93" i="21" s="1"/>
  <c r="W90" i="9"/>
  <c r="W114" i="9"/>
  <c r="W107" i="9"/>
  <c r="C188" i="18"/>
  <c r="S83" i="9"/>
  <c r="AA83" i="9" s="1" a="1"/>
  <c r="AA83" i="9" s="1"/>
  <c r="X83" i="9"/>
  <c r="C93" i="21"/>
  <c r="E93" i="21" s="1"/>
  <c r="D100" i="21"/>
  <c r="C105" i="21"/>
  <c r="E105" i="21" s="1"/>
  <c r="C112" i="21"/>
  <c r="G112" i="21"/>
  <c r="D117" i="21"/>
  <c r="I117" i="21"/>
  <c r="F124" i="21"/>
  <c r="C129" i="21"/>
  <c r="G129" i="21"/>
  <c r="D136" i="21"/>
  <c r="I136" i="21"/>
  <c r="J136" i="21" s="1"/>
  <c r="F141" i="21"/>
  <c r="I141" i="21"/>
  <c r="W102" i="9"/>
  <c r="W83" i="9"/>
  <c r="W95" i="9"/>
  <c r="F93" i="21"/>
  <c r="F100" i="21"/>
  <c r="F105" i="21"/>
  <c r="D112" i="21"/>
  <c r="I112" i="21"/>
  <c r="F117" i="21"/>
  <c r="C124" i="21"/>
  <c r="E124" i="21" s="1"/>
  <c r="G124" i="21"/>
  <c r="D129" i="21"/>
  <c r="I129" i="21"/>
  <c r="J129" i="21" s="1"/>
  <c r="F136" i="21"/>
  <c r="C141" i="21"/>
  <c r="E141" i="21" s="1"/>
  <c r="G141" i="21"/>
  <c r="W119" i="9"/>
  <c r="W131" i="9"/>
  <c r="W126" i="9"/>
  <c r="X126" i="9"/>
  <c r="R9" i="8"/>
  <c r="AA28" i="18"/>
  <c r="F57" i="20"/>
  <c r="G188" i="18" s="1"/>
  <c r="E188" i="18"/>
  <c r="S9" i="8"/>
  <c r="AB28" i="18"/>
  <c r="E19" i="8"/>
  <c r="X42" i="20"/>
  <c r="P8" i="19"/>
  <c r="Q27" i="18" s="1"/>
  <c r="AA119" i="9" l="1" a="1"/>
  <c r="AA119" i="9" s="1"/>
  <c r="I9" i="19"/>
  <c r="J28" i="18" s="1"/>
  <c r="J9" i="19"/>
  <c r="E129" i="21"/>
  <c r="E117" i="21"/>
  <c r="AD57" i="20"/>
  <c r="AE188" i="18" s="1"/>
  <c r="J188" i="18"/>
  <c r="Q114" i="9"/>
  <c r="I10" i="21"/>
  <c r="L10" i="21" s="1"/>
  <c r="I28" i="18"/>
  <c r="K9" i="19"/>
  <c r="L28" i="18" s="1"/>
  <c r="J10" i="21"/>
  <c r="AA173" i="18"/>
  <c r="R114" i="9"/>
  <c r="K114" i="9"/>
  <c r="L9" i="8"/>
  <c r="M9" i="8" s="1"/>
  <c r="E136" i="21"/>
  <c r="P114" i="9"/>
  <c r="J9" i="8"/>
  <c r="Y173" i="18"/>
  <c r="E112" i="21"/>
  <c r="E100" i="21"/>
  <c r="L114" i="9"/>
  <c r="M114" i="9"/>
  <c r="V42" i="20"/>
  <c r="O9" i="21"/>
  <c r="N8" i="19"/>
  <c r="C19" i="8"/>
  <c r="H19" i="8" s="1"/>
  <c r="K28" i="18"/>
  <c r="AI27" i="18"/>
  <c r="O19" i="8"/>
  <c r="Z173" i="18"/>
  <c r="N114" i="9"/>
  <c r="O114" i="9"/>
  <c r="L9" i="19" l="1"/>
  <c r="M28" i="18" s="1"/>
  <c r="K10" i="21"/>
  <c r="M10" i="21" s="1"/>
  <c r="W173" i="18"/>
  <c r="AD42" i="20"/>
  <c r="AE173" i="18" s="1"/>
  <c r="O27" i="18"/>
  <c r="S8" i="19"/>
  <c r="T27" i="18" s="1"/>
  <c r="H55" i="17" a="1"/>
  <c r="H55" i="17" s="1"/>
  <c r="B185" i="5" s="1"/>
  <c r="Q185" i="5" l="1"/>
  <c r="AA75" i="7" s="1"/>
  <c r="Y11" i="19" s="1"/>
  <c r="V185" i="5"/>
  <c r="AF75" i="7" s="1"/>
  <c r="AD11" i="19" s="1"/>
  <c r="N185" i="5"/>
  <c r="X75" i="7" s="1"/>
  <c r="W11" i="19" s="1"/>
  <c r="O185" i="5"/>
  <c r="P185" i="5"/>
  <c r="Z75" i="7" s="1"/>
  <c r="X11" i="19" s="1"/>
  <c r="U185" i="5"/>
  <c r="AE75" i="7" s="1"/>
  <c r="X185" i="5"/>
  <c r="AH75" i="7" s="1"/>
  <c r="AF11" i="19" s="1"/>
  <c r="U75" i="7"/>
  <c r="M185" i="5"/>
  <c r="W75" i="7" s="1"/>
  <c r="R185" i="5"/>
  <c r="AB75" i="7" s="1"/>
  <c r="S185" i="5"/>
  <c r="AC75" i="7" s="1"/>
  <c r="T185" i="5"/>
  <c r="AD75" i="7" s="1"/>
  <c r="W185" i="5"/>
  <c r="AG75" i="7" s="1"/>
  <c r="AE11" i="19" s="1"/>
  <c r="U102" i="20" l="1"/>
  <c r="V233" i="18" s="1"/>
  <c r="T102" i="20"/>
  <c r="U233" i="18" s="1"/>
  <c r="S102" i="20"/>
  <c r="T233" i="18" s="1"/>
  <c r="R102" i="20"/>
  <c r="S233" i="18" s="1"/>
  <c r="Q102" i="20"/>
  <c r="R233" i="18" s="1"/>
  <c r="P102" i="20"/>
  <c r="Q233" i="18" s="1"/>
  <c r="O102" i="20"/>
  <c r="P233" i="18" s="1"/>
  <c r="N102" i="20"/>
  <c r="O233" i="18" s="1"/>
  <c r="U94" i="20"/>
  <c r="V225" i="18" s="1"/>
  <c r="T94" i="20"/>
  <c r="U225" i="18" s="1"/>
  <c r="S94" i="20"/>
  <c r="T225" i="18" s="1"/>
  <c r="R94" i="20"/>
  <c r="S225" i="18" s="1"/>
  <c r="Q94" i="20"/>
  <c r="R225" i="18" s="1"/>
  <c r="P94" i="20"/>
  <c r="Q225" i="18" s="1"/>
  <c r="O94" i="20"/>
  <c r="P225" i="18" s="1"/>
  <c r="N94" i="20"/>
  <c r="O225" i="18" s="1"/>
  <c r="U100" i="20"/>
  <c r="V231" i="18" s="1"/>
  <c r="T100" i="20"/>
  <c r="U231" i="18" s="1"/>
  <c r="S100" i="20"/>
  <c r="T231" i="18" s="1"/>
  <c r="R100" i="20"/>
  <c r="S231" i="18" s="1"/>
  <c r="Q100" i="20"/>
  <c r="R231" i="18" s="1"/>
  <c r="P100" i="20"/>
  <c r="Q231" i="18" s="1"/>
  <c r="O100" i="20"/>
  <c r="P231" i="18" s="1"/>
  <c r="N100" i="20"/>
  <c r="O231" i="18" s="1"/>
  <c r="U95" i="20"/>
  <c r="V226" i="18" s="1"/>
  <c r="T95" i="20"/>
  <c r="U226" i="18" s="1"/>
  <c r="S95" i="20"/>
  <c r="T226" i="18" s="1"/>
  <c r="R95" i="20"/>
  <c r="S226" i="18" s="1"/>
  <c r="Q95" i="20"/>
  <c r="R226" i="18" s="1"/>
  <c r="P95" i="20"/>
  <c r="Q226" i="18" s="1"/>
  <c r="O95" i="20"/>
  <c r="P226" i="18" s="1"/>
  <c r="N95" i="20"/>
  <c r="O226" i="18" s="1"/>
  <c r="U97" i="20"/>
  <c r="V228" i="18" s="1"/>
  <c r="T97" i="20"/>
  <c r="U228" i="18" s="1"/>
  <c r="S97" i="20"/>
  <c r="T228" i="18" s="1"/>
  <c r="R97" i="20"/>
  <c r="S228" i="18" s="1"/>
  <c r="Q97" i="20"/>
  <c r="R228" i="18" s="1"/>
  <c r="P97" i="20"/>
  <c r="Q228" i="18" s="1"/>
  <c r="O97" i="20"/>
  <c r="P228" i="18" s="1"/>
  <c r="N97" i="20"/>
  <c r="O228" i="18" s="1"/>
  <c r="U98" i="20"/>
  <c r="V229" i="18" s="1"/>
  <c r="T98" i="20"/>
  <c r="U229" i="18" s="1"/>
  <c r="S98" i="20"/>
  <c r="T229" i="18" s="1"/>
  <c r="R98" i="20"/>
  <c r="S229" i="18" s="1"/>
  <c r="Q98" i="20"/>
  <c r="R229" i="18" s="1"/>
  <c r="P98" i="20"/>
  <c r="Q229" i="18" s="1"/>
  <c r="O98" i="20"/>
  <c r="P229" i="18" s="1"/>
  <c r="N98" i="20"/>
  <c r="O229" i="18" s="1"/>
  <c r="U96" i="20"/>
  <c r="V227" i="18" s="1"/>
  <c r="T96" i="20"/>
  <c r="U227" i="18" s="1"/>
  <c r="S96" i="20"/>
  <c r="T227" i="18" s="1"/>
  <c r="R96" i="20"/>
  <c r="S227" i="18" s="1"/>
  <c r="Q96" i="20"/>
  <c r="R227" i="18" s="1"/>
  <c r="P96" i="20"/>
  <c r="Q227" i="18" s="1"/>
  <c r="O96" i="20"/>
  <c r="P227" i="18" s="1"/>
  <c r="N96" i="20"/>
  <c r="O227" i="18" s="1"/>
  <c r="U99" i="20"/>
  <c r="V230" i="18" s="1"/>
  <c r="T99" i="20"/>
  <c r="U230" i="18" s="1"/>
  <c r="S99" i="20"/>
  <c r="T230" i="18" s="1"/>
  <c r="R99" i="20"/>
  <c r="S230" i="18" s="1"/>
  <c r="Q99" i="20"/>
  <c r="R230" i="18" s="1"/>
  <c r="P99" i="20"/>
  <c r="Q230" i="18" s="1"/>
  <c r="O99" i="20"/>
  <c r="P230" i="18" s="1"/>
  <c r="N99" i="20"/>
  <c r="O230" i="18" s="1"/>
  <c r="U101" i="20"/>
  <c r="V232" i="18" s="1"/>
  <c r="T101" i="20"/>
  <c r="U232" i="18" s="1"/>
  <c r="S101" i="20"/>
  <c r="T232" i="18" s="1"/>
  <c r="R101" i="20"/>
  <c r="S232" i="18" s="1"/>
  <c r="Q101" i="20"/>
  <c r="R232" i="18" s="1"/>
  <c r="P101" i="20"/>
  <c r="Q232" i="18" s="1"/>
  <c r="O101" i="20"/>
  <c r="P232" i="18" s="1"/>
  <c r="N101" i="20"/>
  <c r="O232" i="18" s="1"/>
  <c r="AR40" i="7" a="1"/>
  <c r="AR40" i="7" s="1"/>
  <c r="AB11" i="19"/>
  <c r="G11" i="19"/>
  <c r="H4" i="8"/>
  <c r="D75" i="20"/>
  <c r="AS40" i="7" a="1"/>
  <c r="AS40" i="7" s="1"/>
  <c r="AC11" i="19"/>
  <c r="O4" i="8"/>
  <c r="X30" i="18"/>
  <c r="H75" i="20"/>
  <c r="I206" i="18" s="1"/>
  <c r="AA11" i="19"/>
  <c r="U30" i="20"/>
  <c r="R30" i="20"/>
  <c r="O30" i="20"/>
  <c r="T29" i="20"/>
  <c r="Q29" i="20"/>
  <c r="N29" i="20"/>
  <c r="S26" i="20"/>
  <c r="P26" i="20"/>
  <c r="U27" i="20"/>
  <c r="R27" i="20"/>
  <c r="O27" i="20"/>
  <c r="T25" i="20"/>
  <c r="Q25" i="20"/>
  <c r="N25" i="20"/>
  <c r="S24" i="20"/>
  <c r="P24" i="20"/>
  <c r="U23" i="20"/>
  <c r="R23" i="20"/>
  <c r="O23" i="20"/>
  <c r="T28" i="20"/>
  <c r="Q28" i="20"/>
  <c r="N28" i="20"/>
  <c r="S22" i="20"/>
  <c r="P22" i="20"/>
  <c r="G132" i="9"/>
  <c r="D132" i="9"/>
  <c r="C125" i="9"/>
  <c r="F120" i="9"/>
  <c r="G113" i="9"/>
  <c r="D113" i="9"/>
  <c r="C108" i="9"/>
  <c r="F96" i="9"/>
  <c r="G89" i="9"/>
  <c r="D89" i="9"/>
  <c r="C84" i="9"/>
  <c r="C101" i="9"/>
  <c r="S30" i="20"/>
  <c r="P30" i="20"/>
  <c r="U29" i="20"/>
  <c r="R29" i="20"/>
  <c r="O29" i="20"/>
  <c r="T26" i="20"/>
  <c r="Q26" i="20"/>
  <c r="N26" i="20"/>
  <c r="S27" i="20"/>
  <c r="P27" i="20"/>
  <c r="U25" i="20"/>
  <c r="R25" i="20"/>
  <c r="O25" i="20"/>
  <c r="T24" i="20"/>
  <c r="Q24" i="20"/>
  <c r="B75" i="20"/>
  <c r="T30" i="20"/>
  <c r="Q30" i="20"/>
  <c r="N30" i="20"/>
  <c r="S29" i="20"/>
  <c r="P29" i="20"/>
  <c r="U26" i="20"/>
  <c r="R26" i="20"/>
  <c r="O26" i="20"/>
  <c r="T27" i="20"/>
  <c r="Q27" i="20"/>
  <c r="N27" i="20"/>
  <c r="S25" i="20"/>
  <c r="P25" i="20"/>
  <c r="U24" i="20"/>
  <c r="R24" i="20"/>
  <c r="O24" i="20"/>
  <c r="T23" i="20"/>
  <c r="Q23" i="20"/>
  <c r="N23" i="20"/>
  <c r="S28" i="20"/>
  <c r="P28" i="20"/>
  <c r="U22" i="20"/>
  <c r="R22" i="20"/>
  <c r="O22" i="20"/>
  <c r="C132" i="9"/>
  <c r="E132" i="9" s="1"/>
  <c r="F125" i="9"/>
  <c r="G120" i="9"/>
  <c r="D120" i="9"/>
  <c r="C113" i="9"/>
  <c r="E113" i="9" s="1"/>
  <c r="F108" i="9"/>
  <c r="G96" i="9"/>
  <c r="D96" i="9"/>
  <c r="C89" i="9"/>
  <c r="E89" i="9" s="1"/>
  <c r="F84" i="9"/>
  <c r="F101" i="9"/>
  <c r="N24" i="20"/>
  <c r="U28" i="20"/>
  <c r="T22" i="20"/>
  <c r="F132" i="9"/>
  <c r="C120" i="9"/>
  <c r="E120" i="9" s="1"/>
  <c r="D108" i="9"/>
  <c r="G84" i="9"/>
  <c r="T67" i="20"/>
  <c r="U198" i="18" s="1"/>
  <c r="Q67" i="20"/>
  <c r="R198" i="18" s="1"/>
  <c r="N67" i="20"/>
  <c r="O198" i="18" s="1"/>
  <c r="S73" i="20"/>
  <c r="T204" i="18" s="1"/>
  <c r="P73" i="20"/>
  <c r="Q204" i="18" s="1"/>
  <c r="U74" i="20"/>
  <c r="V205" i="18" s="1"/>
  <c r="R74" i="20"/>
  <c r="S205" i="18" s="1"/>
  <c r="O74" i="20"/>
  <c r="P205" i="18" s="1"/>
  <c r="T72" i="20"/>
  <c r="U203" i="18" s="1"/>
  <c r="Q72" i="20"/>
  <c r="R203" i="18" s="1"/>
  <c r="N72" i="20"/>
  <c r="O203" i="18" s="1"/>
  <c r="S71" i="20"/>
  <c r="T202" i="18" s="1"/>
  <c r="P71" i="20"/>
  <c r="Q202" i="18" s="1"/>
  <c r="U69" i="20"/>
  <c r="V200" i="18" s="1"/>
  <c r="R69" i="20"/>
  <c r="S200" i="18" s="1"/>
  <c r="O69" i="20"/>
  <c r="P200" i="18" s="1"/>
  <c r="S68" i="20"/>
  <c r="T199" i="18" s="1"/>
  <c r="P68" i="20"/>
  <c r="Q199" i="18" s="1"/>
  <c r="U70" i="20"/>
  <c r="V201" i="18" s="1"/>
  <c r="R70" i="20"/>
  <c r="S201" i="18" s="1"/>
  <c r="O70" i="20"/>
  <c r="P201" i="18" s="1"/>
  <c r="P23" i="20"/>
  <c r="O28" i="20"/>
  <c r="N22" i="20"/>
  <c r="G125" i="9"/>
  <c r="F113" i="9"/>
  <c r="C96" i="9"/>
  <c r="E96" i="9" s="1"/>
  <c r="D84" i="9"/>
  <c r="S67" i="20"/>
  <c r="T198" i="18" s="1"/>
  <c r="P67" i="20"/>
  <c r="Q198" i="18" s="1"/>
  <c r="U73" i="20"/>
  <c r="V204" i="18" s="1"/>
  <c r="R73" i="20"/>
  <c r="S204" i="18" s="1"/>
  <c r="O73" i="20"/>
  <c r="P204" i="18" s="1"/>
  <c r="T74" i="20"/>
  <c r="U205" i="18" s="1"/>
  <c r="Q74" i="20"/>
  <c r="R205" i="18" s="1"/>
  <c r="N74" i="20"/>
  <c r="O205" i="18" s="1"/>
  <c r="S72" i="20"/>
  <c r="T203" i="18" s="1"/>
  <c r="P72" i="20"/>
  <c r="Q203" i="18" s="1"/>
  <c r="U71" i="20"/>
  <c r="V202" i="18" s="1"/>
  <c r="R71" i="20"/>
  <c r="S202" i="18" s="1"/>
  <c r="O71" i="20"/>
  <c r="P202" i="18" s="1"/>
  <c r="T69" i="20"/>
  <c r="U200" i="18" s="1"/>
  <c r="Q69" i="20"/>
  <c r="R200" i="18" s="1"/>
  <c r="N69" i="20"/>
  <c r="O200" i="18" s="1"/>
  <c r="T68" i="20"/>
  <c r="U199" i="18" s="1"/>
  <c r="Q68" i="20"/>
  <c r="R199" i="18" s="1"/>
  <c r="N68" i="20"/>
  <c r="O199" i="18" s="1"/>
  <c r="T70" i="20"/>
  <c r="U201" i="18" s="1"/>
  <c r="Q70" i="20"/>
  <c r="R201" i="18" s="1"/>
  <c r="N70" i="20"/>
  <c r="O201" i="18" s="1"/>
  <c r="S23" i="20"/>
  <c r="R28" i="20"/>
  <c r="Q22" i="20"/>
  <c r="D125" i="9"/>
  <c r="G108" i="9"/>
  <c r="F89" i="9"/>
  <c r="G101" i="9"/>
  <c r="U67" i="20"/>
  <c r="V198" i="18" s="1"/>
  <c r="R67" i="20"/>
  <c r="S198" i="18" s="1"/>
  <c r="O67" i="20"/>
  <c r="P198" i="18" s="1"/>
  <c r="T73" i="20"/>
  <c r="U204" i="18" s="1"/>
  <c r="Q73" i="20"/>
  <c r="R204" i="18" s="1"/>
  <c r="N73" i="20"/>
  <c r="O204" i="18" s="1"/>
  <c r="S74" i="20"/>
  <c r="T205" i="18" s="1"/>
  <c r="P74" i="20"/>
  <c r="Q205" i="18" s="1"/>
  <c r="U72" i="20"/>
  <c r="V203" i="18" s="1"/>
  <c r="R72" i="20"/>
  <c r="S203" i="18" s="1"/>
  <c r="O72" i="20"/>
  <c r="P203" i="18" s="1"/>
  <c r="T71" i="20"/>
  <c r="U202" i="18" s="1"/>
  <c r="Q71" i="20"/>
  <c r="R202" i="18" s="1"/>
  <c r="N71" i="20"/>
  <c r="O202" i="18" s="1"/>
  <c r="S69" i="20"/>
  <c r="T200" i="18" s="1"/>
  <c r="P69" i="20"/>
  <c r="Q200" i="18" s="1"/>
  <c r="U68" i="20"/>
  <c r="V199" i="18" s="1"/>
  <c r="R68" i="20"/>
  <c r="S199" i="18" s="1"/>
  <c r="O68" i="20"/>
  <c r="P199" i="18" s="1"/>
  <c r="S70" i="20"/>
  <c r="T201" i="18" s="1"/>
  <c r="P70" i="20"/>
  <c r="Q201" i="18" s="1"/>
  <c r="P4" i="8"/>
  <c r="Y30" i="18"/>
  <c r="AE30" i="18"/>
  <c r="V4" i="8"/>
  <c r="AF30" i="18"/>
  <c r="W4" i="8"/>
  <c r="AT40" i="7" a="1"/>
  <c r="AT40" i="7" s="1"/>
  <c r="G75" i="20"/>
  <c r="H206" i="18" s="1"/>
  <c r="Z11" i="19"/>
  <c r="X4" i="8"/>
  <c r="AG30" i="18"/>
  <c r="L152" i="5"/>
  <c r="Y75" i="7"/>
  <c r="Z30" i="18"/>
  <c r="Q4" i="8"/>
  <c r="X108" i="9" l="1"/>
  <c r="R153" i="18"/>
  <c r="N96" i="9"/>
  <c r="P159" i="18"/>
  <c r="L132" i="9"/>
  <c r="O155" i="18"/>
  <c r="K84" i="9"/>
  <c r="P153" i="18"/>
  <c r="L96" i="9"/>
  <c r="Q159" i="18"/>
  <c r="M132" i="9"/>
  <c r="R154" i="18"/>
  <c r="N113" i="9"/>
  <c r="S155" i="18"/>
  <c r="O84" i="9"/>
  <c r="T156" i="18"/>
  <c r="P120" i="9"/>
  <c r="U158" i="18"/>
  <c r="Q89" i="9"/>
  <c r="V157" i="18"/>
  <c r="R125" i="9"/>
  <c r="O161" i="18"/>
  <c r="I75" i="20"/>
  <c r="J75" i="20"/>
  <c r="K206" i="18" s="1"/>
  <c r="C94" i="21"/>
  <c r="G94" i="21"/>
  <c r="F99" i="21"/>
  <c r="D106" i="21"/>
  <c r="I106" i="21"/>
  <c r="F111" i="21"/>
  <c r="C118" i="21"/>
  <c r="G118" i="21"/>
  <c r="C123" i="21"/>
  <c r="L75" i="20"/>
  <c r="M206" i="18" s="1"/>
  <c r="K75" i="20"/>
  <c r="L206" i="18" s="1"/>
  <c r="M75" i="20"/>
  <c r="N206" i="18" s="1"/>
  <c r="F94" i="21"/>
  <c r="D99" i="21"/>
  <c r="C106" i="21"/>
  <c r="E106" i="21" s="1"/>
  <c r="G106" i="21"/>
  <c r="F118" i="21"/>
  <c r="C99" i="21"/>
  <c r="C111" i="21"/>
  <c r="I118" i="21"/>
  <c r="J118" i="21" s="1"/>
  <c r="G123" i="21"/>
  <c r="D130" i="21"/>
  <c r="I130" i="21"/>
  <c r="F135" i="21"/>
  <c r="F142" i="21"/>
  <c r="I94" i="21"/>
  <c r="AE75" i="20"/>
  <c r="AF206" i="18" s="1"/>
  <c r="AA75" i="20"/>
  <c r="AB206" i="18" s="1"/>
  <c r="X75" i="20"/>
  <c r="Y206" i="18" s="1"/>
  <c r="U75" i="20"/>
  <c r="V206" i="18" s="1"/>
  <c r="R75" i="20"/>
  <c r="S206" i="18" s="1"/>
  <c r="O75" i="20"/>
  <c r="P206" i="18" s="1"/>
  <c r="G99" i="21"/>
  <c r="G111" i="21"/>
  <c r="D123" i="21"/>
  <c r="I123" i="21"/>
  <c r="F130" i="21"/>
  <c r="C135" i="21"/>
  <c r="G135" i="21"/>
  <c r="C142" i="21"/>
  <c r="G142" i="21"/>
  <c r="I142" i="21"/>
  <c r="AC75" i="20"/>
  <c r="AD206" i="18" s="1"/>
  <c r="Z75" i="20"/>
  <c r="AA206" i="18" s="1"/>
  <c r="W75" i="20"/>
  <c r="X206" i="18" s="1"/>
  <c r="T75" i="20"/>
  <c r="U206" i="18" s="1"/>
  <c r="Q75" i="20"/>
  <c r="R206" i="18" s="1"/>
  <c r="N75" i="20"/>
  <c r="O206" i="18" s="1"/>
  <c r="D94" i="21"/>
  <c r="F106" i="21"/>
  <c r="D118" i="21"/>
  <c r="F123" i="21"/>
  <c r="C130" i="21"/>
  <c r="E130" i="21" s="1"/>
  <c r="G130" i="21"/>
  <c r="D135" i="21"/>
  <c r="I135" i="21"/>
  <c r="J135" i="21" s="1"/>
  <c r="D142" i="21"/>
  <c r="I99" i="21"/>
  <c r="AB75" i="20"/>
  <c r="AC206" i="18" s="1"/>
  <c r="Y75" i="20"/>
  <c r="Z206" i="18" s="1"/>
  <c r="V75" i="20"/>
  <c r="W206" i="18" s="1"/>
  <c r="S75" i="20"/>
  <c r="T206" i="18" s="1"/>
  <c r="P75" i="20"/>
  <c r="Q206" i="18" s="1"/>
  <c r="C206" i="18"/>
  <c r="W125" i="9"/>
  <c r="W132" i="9"/>
  <c r="X101" i="9"/>
  <c r="AB101" i="9"/>
  <c r="U89" i="9"/>
  <c r="X89" i="9"/>
  <c r="AB89" i="9"/>
  <c r="S96" i="9"/>
  <c r="V96" i="9"/>
  <c r="Z96" i="9"/>
  <c r="Z108" i="9"/>
  <c r="T113" i="9"/>
  <c r="X113" i="9"/>
  <c r="AB113" i="9"/>
  <c r="S125" i="9"/>
  <c r="V125" i="9"/>
  <c r="AB125" i="9"/>
  <c r="S120" i="9"/>
  <c r="V120" i="9"/>
  <c r="Z120" i="9"/>
  <c r="U84" i="9"/>
  <c r="Y84" i="9"/>
  <c r="T132" i="9"/>
  <c r="X132" i="9"/>
  <c r="AB132" i="9"/>
  <c r="W96" i="9"/>
  <c r="W113" i="9"/>
  <c r="W84" i="9"/>
  <c r="S108" i="9"/>
  <c r="S89" i="9"/>
  <c r="V89" i="9"/>
  <c r="Y89" i="9"/>
  <c r="T96" i="9"/>
  <c r="X96" i="9"/>
  <c r="AB96" i="9"/>
  <c r="T108" i="9"/>
  <c r="AB108" i="9"/>
  <c r="U113" i="9"/>
  <c r="Y113" i="9"/>
  <c r="T125" i="9"/>
  <c r="Y125" i="9"/>
  <c r="T120" i="9"/>
  <c r="X120" i="9"/>
  <c r="AB120" i="9"/>
  <c r="S84" i="9"/>
  <c r="V84" i="9"/>
  <c r="Z84" i="9"/>
  <c r="U132" i="9"/>
  <c r="Y132" i="9"/>
  <c r="X125" i="9"/>
  <c r="W101" i="9"/>
  <c r="W120" i="9"/>
  <c r="W108" i="9"/>
  <c r="U108" i="9"/>
  <c r="S101" i="9"/>
  <c r="V101" i="9"/>
  <c r="Z101" i="9"/>
  <c r="T89" i="9"/>
  <c r="W89" i="9"/>
  <c r="Z89" i="9"/>
  <c r="U96" i="9"/>
  <c r="Y96" i="9"/>
  <c r="Y108" i="9"/>
  <c r="S113" i="9"/>
  <c r="V113" i="9"/>
  <c r="Z113" i="9"/>
  <c r="U125" i="9"/>
  <c r="Z125" i="9"/>
  <c r="U120" i="9"/>
  <c r="Y120" i="9"/>
  <c r="T84" i="9"/>
  <c r="X84" i="9"/>
  <c r="AB84" i="9"/>
  <c r="S132" i="9"/>
  <c r="V132" i="9"/>
  <c r="Z132" i="9"/>
  <c r="V108" i="9"/>
  <c r="P156" i="18"/>
  <c r="L120" i="9"/>
  <c r="Q158" i="18"/>
  <c r="M89" i="9"/>
  <c r="R157" i="18"/>
  <c r="N125" i="9"/>
  <c r="S160" i="18"/>
  <c r="O108" i="9"/>
  <c r="T161" i="18"/>
  <c r="P101" i="9"/>
  <c r="E108" i="9"/>
  <c r="O159" i="18"/>
  <c r="K132" i="9"/>
  <c r="P154" i="18"/>
  <c r="L113" i="9"/>
  <c r="Q155" i="18"/>
  <c r="M84" i="9"/>
  <c r="R156" i="18"/>
  <c r="N120" i="9"/>
  <c r="S158" i="18"/>
  <c r="O89" i="9"/>
  <c r="T157" i="18"/>
  <c r="P125" i="9"/>
  <c r="U160" i="18"/>
  <c r="Q108" i="9"/>
  <c r="V161" i="18"/>
  <c r="R101" i="9"/>
  <c r="Y64" i="20"/>
  <c r="Q10" i="19"/>
  <c r="R29" i="18" s="1"/>
  <c r="F17" i="8"/>
  <c r="H5" i="21"/>
  <c r="H30" i="18"/>
  <c r="AO40" i="7" a="1"/>
  <c r="AO40" i="7" s="1"/>
  <c r="O7" i="21" s="1"/>
  <c r="E75" i="20"/>
  <c r="F206" i="18" s="1"/>
  <c r="I4" i="8"/>
  <c r="J4" i="8" s="1"/>
  <c r="H11" i="19"/>
  <c r="I11" i="19" s="1"/>
  <c r="J30" i="18" s="1"/>
  <c r="Z64" i="20"/>
  <c r="AH10" i="19"/>
  <c r="S159" i="18"/>
  <c r="O132" i="9"/>
  <c r="Q154" i="18"/>
  <c r="M113" i="9"/>
  <c r="U153" i="18"/>
  <c r="Q96" i="9"/>
  <c r="S153" i="18"/>
  <c r="O96" i="9"/>
  <c r="T159" i="18"/>
  <c r="P132" i="9"/>
  <c r="U154" i="18"/>
  <c r="Q113" i="9"/>
  <c r="V155" i="18"/>
  <c r="R84" i="9"/>
  <c r="O158" i="18"/>
  <c r="K89" i="9"/>
  <c r="P157" i="18"/>
  <c r="L125" i="9"/>
  <c r="Q160" i="18"/>
  <c r="M108" i="9"/>
  <c r="R161" i="18"/>
  <c r="N101" i="9"/>
  <c r="R155" i="18"/>
  <c r="N84" i="9"/>
  <c r="S156" i="18"/>
  <c r="O120" i="9"/>
  <c r="T158" i="18"/>
  <c r="P89" i="9"/>
  <c r="U157" i="18"/>
  <c r="Q125" i="9"/>
  <c r="V160" i="18"/>
  <c r="R108" i="9"/>
  <c r="E125" i="9"/>
  <c r="Q153" i="18"/>
  <c r="M96" i="9"/>
  <c r="R159" i="18"/>
  <c r="N132" i="9"/>
  <c r="S154" i="18"/>
  <c r="O113" i="9"/>
  <c r="T155" i="18"/>
  <c r="P84" i="9"/>
  <c r="U156" i="18"/>
  <c r="Q120" i="9"/>
  <c r="V158" i="18"/>
  <c r="R89" i="9"/>
  <c r="O160" i="18"/>
  <c r="K108" i="9"/>
  <c r="P161" i="18"/>
  <c r="L101" i="9"/>
  <c r="S4" i="8"/>
  <c r="AB30" i="18"/>
  <c r="E206" i="18"/>
  <c r="AC30" i="18"/>
  <c r="T4" i="8"/>
  <c r="R4" i="8"/>
  <c r="AA30" i="18"/>
  <c r="T154" i="18"/>
  <c r="P113" i="9"/>
  <c r="O153" i="18"/>
  <c r="K96" i="9"/>
  <c r="D101" i="9"/>
  <c r="E101" i="9" s="1"/>
  <c r="V159" i="18"/>
  <c r="R132" i="9"/>
  <c r="V153" i="18"/>
  <c r="R96" i="9"/>
  <c r="O154" i="18"/>
  <c r="K113" i="9"/>
  <c r="P155" i="18"/>
  <c r="L84" i="9"/>
  <c r="Q156" i="18"/>
  <c r="M120" i="9"/>
  <c r="R158" i="18"/>
  <c r="N89" i="9"/>
  <c r="S157" i="18"/>
  <c r="O125" i="9"/>
  <c r="T160" i="18"/>
  <c r="P108" i="9"/>
  <c r="U161" i="18"/>
  <c r="Q101" i="9"/>
  <c r="U155" i="18"/>
  <c r="Q84" i="9"/>
  <c r="V156" i="18"/>
  <c r="R120" i="9"/>
  <c r="O157" i="18"/>
  <c r="K125" i="9"/>
  <c r="P160" i="18"/>
  <c r="L108" i="9"/>
  <c r="Q161" i="18"/>
  <c r="M101" i="9"/>
  <c r="E84" i="9"/>
  <c r="T153" i="18"/>
  <c r="P96" i="9"/>
  <c r="U159" i="18"/>
  <c r="Q132" i="9"/>
  <c r="V154" i="18"/>
  <c r="R113" i="9"/>
  <c r="O156" i="18"/>
  <c r="K120" i="9"/>
  <c r="P158" i="18"/>
  <c r="L89" i="9"/>
  <c r="Q157" i="18"/>
  <c r="M125" i="9"/>
  <c r="R160" i="18"/>
  <c r="N108" i="9"/>
  <c r="S161" i="18"/>
  <c r="O101" i="9"/>
  <c r="U4" i="8"/>
  <c r="AD30" i="18"/>
  <c r="E17" i="8"/>
  <c r="P10" i="19"/>
  <c r="Q29" i="18" s="1"/>
  <c r="X64" i="20"/>
  <c r="U101" i="9" l="1"/>
  <c r="T101" i="9"/>
  <c r="I111" i="21"/>
  <c r="L4" i="8"/>
  <c r="K4" i="8"/>
  <c r="F75" i="20"/>
  <c r="G206" i="18" s="1"/>
  <c r="E99" i="21"/>
  <c r="E142" i="21"/>
  <c r="E135" i="21"/>
  <c r="Y101" i="9"/>
  <c r="D111" i="21"/>
  <c r="AD75" i="20"/>
  <c r="AE206" i="18" s="1"/>
  <c r="J206" i="18"/>
  <c r="I5" i="21"/>
  <c r="L5" i="21" s="1"/>
  <c r="I30" i="18"/>
  <c r="N10" i="19"/>
  <c r="C17" i="8"/>
  <c r="H17" i="8" s="1"/>
  <c r="V64" i="20"/>
  <c r="AD64" i="20" s="1"/>
  <c r="AE195" i="18" s="1"/>
  <c r="Y195" i="18"/>
  <c r="U88" i="9"/>
  <c r="AI29" i="18"/>
  <c r="O17" i="8"/>
  <c r="AA195" i="18"/>
  <c r="W88" i="9"/>
  <c r="K11" i="19"/>
  <c r="L30" i="18" s="1"/>
  <c r="J11" i="19"/>
  <c r="Z195" i="18"/>
  <c r="V88" i="9"/>
  <c r="AA125" i="9" a="1"/>
  <c r="AA125" i="9" s="1"/>
  <c r="E118" i="21"/>
  <c r="E94" i="21"/>
  <c r="AA108" i="9" a="1"/>
  <c r="AA108" i="9" s="1"/>
  <c r="E111" i="21"/>
  <c r="E123" i="21"/>
  <c r="K101" i="9"/>
  <c r="M4" i="8" l="1"/>
  <c r="O29" i="18"/>
  <c r="S10" i="19"/>
  <c r="T29" i="18" s="1"/>
  <c r="J5" i="21"/>
  <c r="K5" i="21"/>
  <c r="L11" i="19"/>
  <c r="M30" i="18" s="1"/>
  <c r="K30" i="18"/>
  <c r="W195" i="18"/>
  <c r="S88" i="9"/>
  <c r="AA88" i="9" s="1" a="1"/>
  <c r="AA88" i="9" s="1"/>
  <c r="M5" i="21" l="1"/>
  <c r="C69" i="17" a="1"/>
  <c r="C69" i="17"/>
  <c r="B213" i="5"/>
  <c r="N213" i="5"/>
  <c r="X213" i="5"/>
  <c r="AH84" i="7"/>
  <c r="W213" i="5"/>
  <c r="AG84" i="7"/>
  <c r="V213" i="5"/>
  <c r="AF84" i="7"/>
  <c r="U213" i="5"/>
  <c r="AE84" i="7"/>
  <c r="T213" i="5"/>
  <c r="AD84" i="7"/>
  <c r="S213" i="5"/>
  <c r="AC84" i="7"/>
  <c r="H84" i="20"/>
  <c r="R213" i="5"/>
  <c r="AB84" i="7"/>
  <c r="G84" i="20"/>
  <c r="Q213" i="5"/>
  <c r="AA84" i="7"/>
  <c r="P213" i="5"/>
  <c r="Z84" i="7"/>
  <c r="O213" i="5"/>
  <c r="Y84" i="7"/>
  <c r="E84" i="20"/>
  <c r="X84" i="7"/>
  <c r="M213" i="5"/>
  <c r="L200" i="5"/>
  <c r="W84" i="7"/>
  <c r="D84" i="20"/>
  <c r="F84" i="20"/>
  <c r="U84" i="7"/>
  <c r="B84" i="20"/>
  <c r="I84" i="20"/>
  <c r="AD84" i="20"/>
  <c r="K84" i="20"/>
  <c r="J84" i="20"/>
  <c r="L84" i="20"/>
  <c r="M84" i="20"/>
  <c r="U48" i="20"/>
  <c r="T48" i="20"/>
  <c r="S48" i="20"/>
  <c r="R48" i="20"/>
  <c r="Q48" i="20"/>
  <c r="P48" i="20"/>
  <c r="O48" i="20"/>
  <c r="N48" i="20"/>
  <c r="U47" i="20"/>
  <c r="T47" i="20"/>
  <c r="S47" i="20"/>
  <c r="R47" i="20"/>
  <c r="Q47" i="20"/>
  <c r="P47" i="20"/>
  <c r="O47" i="20"/>
  <c r="N47" i="20"/>
  <c r="U44" i="20"/>
  <c r="T44" i="20"/>
  <c r="S44" i="20"/>
  <c r="R44" i="20"/>
  <c r="Q44" i="20"/>
  <c r="P44" i="20"/>
  <c r="O44" i="20"/>
  <c r="N44" i="20"/>
  <c r="U45" i="20"/>
  <c r="T45" i="20"/>
  <c r="S45" i="20"/>
  <c r="R45" i="20"/>
  <c r="Q45" i="20"/>
  <c r="P45" i="20"/>
  <c r="O45" i="20"/>
  <c r="N45" i="20"/>
  <c r="U43" i="20"/>
  <c r="T43" i="20"/>
  <c r="S43" i="20"/>
  <c r="R43" i="20"/>
  <c r="Q43" i="20"/>
  <c r="P43" i="20"/>
  <c r="O43" i="20"/>
  <c r="N43" i="20"/>
  <c r="U42" i="20"/>
  <c r="T42" i="20"/>
  <c r="S42" i="20"/>
  <c r="R42" i="20"/>
  <c r="Q42" i="20"/>
  <c r="P42" i="20"/>
  <c r="O42" i="20"/>
  <c r="N42" i="20"/>
  <c r="U41" i="20"/>
  <c r="T41" i="20"/>
  <c r="S41" i="20"/>
  <c r="R41" i="20"/>
  <c r="Q41" i="20"/>
  <c r="P41" i="20"/>
  <c r="O41" i="20"/>
  <c r="N41" i="20"/>
  <c r="U46" i="20"/>
  <c r="T46" i="20"/>
  <c r="S46" i="20"/>
  <c r="R46" i="20"/>
  <c r="Q46" i="20"/>
  <c r="P46" i="20"/>
  <c r="O46" i="20"/>
  <c r="N46" i="20"/>
  <c r="U40" i="20"/>
  <c r="T40" i="20"/>
  <c r="S40" i="20"/>
  <c r="R40" i="20"/>
  <c r="Q40" i="20"/>
  <c r="P40" i="20"/>
  <c r="O40" i="20"/>
  <c r="N40" i="20"/>
  <c r="G12" i="19"/>
  <c r="H12" i="19"/>
  <c r="G123" i="9"/>
  <c r="F123" i="9"/>
  <c r="C123" i="9"/>
  <c r="D123" i="9"/>
  <c r="G122" i="9"/>
  <c r="F122" i="9"/>
  <c r="C122" i="9"/>
  <c r="D122" i="9"/>
  <c r="G111" i="9"/>
  <c r="F111" i="9"/>
  <c r="C111" i="9"/>
  <c r="D111" i="9"/>
  <c r="G110" i="9"/>
  <c r="F110" i="9"/>
  <c r="C110" i="9"/>
  <c r="D110" i="9"/>
  <c r="G99" i="9"/>
  <c r="F99" i="9"/>
  <c r="C99" i="9"/>
  <c r="D99" i="9"/>
  <c r="G98" i="9"/>
  <c r="F98" i="9"/>
  <c r="C98" i="9"/>
  <c r="D98" i="9"/>
  <c r="G86" i="9"/>
  <c r="F86" i="9"/>
  <c r="C86" i="9"/>
  <c r="D86" i="9"/>
  <c r="G134" i="9"/>
  <c r="F134" i="9"/>
  <c r="C134" i="9"/>
  <c r="D134" i="9"/>
  <c r="I8" i="8"/>
  <c r="H8" i="8"/>
  <c r="G87" i="9"/>
  <c r="F87" i="9"/>
  <c r="C87" i="9"/>
  <c r="D87" i="9"/>
  <c r="I9" i="21"/>
  <c r="I12" i="19"/>
  <c r="J12" i="19"/>
  <c r="K12" i="19"/>
  <c r="E87" i="9"/>
  <c r="E134" i="9"/>
  <c r="E98" i="9"/>
  <c r="E99" i="9"/>
  <c r="E110" i="9"/>
  <c r="E111" i="9"/>
  <c r="E122" i="9"/>
  <c r="E123" i="9"/>
  <c r="E86" i="9"/>
  <c r="H9" i="21"/>
  <c r="C96" i="21"/>
  <c r="D96" i="21"/>
  <c r="F96" i="21"/>
  <c r="G96" i="21"/>
  <c r="C97" i="21"/>
  <c r="D97" i="21"/>
  <c r="F97" i="21"/>
  <c r="G97" i="21"/>
  <c r="I97" i="21"/>
  <c r="C108" i="21"/>
  <c r="D108" i="21"/>
  <c r="F108" i="21"/>
  <c r="G108" i="21"/>
  <c r="I108" i="21"/>
  <c r="J108" i="21"/>
  <c r="C109" i="21"/>
  <c r="D109" i="21"/>
  <c r="F109" i="21"/>
  <c r="G109" i="21"/>
  <c r="I109" i="21"/>
  <c r="C120" i="21"/>
  <c r="D120" i="21"/>
  <c r="F120" i="21"/>
  <c r="G120" i="21"/>
  <c r="I120" i="21"/>
  <c r="C121" i="21"/>
  <c r="D121" i="21"/>
  <c r="F121" i="21"/>
  <c r="G121" i="21"/>
  <c r="I121" i="21"/>
  <c r="J121" i="21"/>
  <c r="C132" i="21"/>
  <c r="D132" i="21"/>
  <c r="F132" i="21"/>
  <c r="G132" i="21"/>
  <c r="I132" i="21"/>
  <c r="C133" i="21"/>
  <c r="D133" i="21"/>
  <c r="F133" i="21"/>
  <c r="G133" i="21"/>
  <c r="I133" i="21"/>
  <c r="C144" i="21"/>
  <c r="D144" i="21"/>
  <c r="F144" i="21"/>
  <c r="G144" i="21"/>
  <c r="I96" i="21"/>
  <c r="I144" i="21"/>
  <c r="L8" i="8"/>
  <c r="K8" i="8"/>
  <c r="J8" i="8"/>
  <c r="L12" i="19"/>
  <c r="E144" i="21"/>
  <c r="E133" i="21"/>
  <c r="E132" i="21"/>
  <c r="E121" i="21"/>
  <c r="E120" i="21"/>
  <c r="E109" i="21"/>
  <c r="E108" i="21"/>
  <c r="E97" i="21"/>
  <c r="E96" i="21"/>
  <c r="L9" i="21"/>
  <c r="K9" i="21"/>
  <c r="J9" i="21"/>
  <c r="AE84" i="20"/>
  <c r="AB134" i="9"/>
  <c r="AC84" i="20"/>
  <c r="Z134" i="9"/>
  <c r="AB84" i="20"/>
  <c r="Y134" i="9"/>
  <c r="AA84" i="20"/>
  <c r="X134" i="9"/>
  <c r="Z84" i="20"/>
  <c r="Y84" i="20"/>
  <c r="V134" i="9"/>
  <c r="X84" i="20"/>
  <c r="U134" i="9"/>
  <c r="W84" i="20"/>
  <c r="T134" i="9"/>
  <c r="V84" i="20"/>
  <c r="S134" i="9"/>
  <c r="U84" i="20"/>
  <c r="U82" i="20"/>
  <c r="R134" i="9"/>
  <c r="T84" i="20"/>
  <c r="T82" i="20"/>
  <c r="Q134" i="9"/>
  <c r="S84" i="20"/>
  <c r="S82" i="20"/>
  <c r="P134" i="9"/>
  <c r="R84" i="20"/>
  <c r="R82" i="20"/>
  <c r="O134" i="9"/>
  <c r="Q84" i="20"/>
  <c r="Q82" i="20"/>
  <c r="N134" i="9"/>
  <c r="P84" i="20"/>
  <c r="P82" i="20"/>
  <c r="M134" i="9"/>
  <c r="O84" i="20"/>
  <c r="O82" i="20"/>
  <c r="L134" i="9"/>
  <c r="N84" i="20"/>
  <c r="N82" i="20"/>
  <c r="K134" i="9"/>
  <c r="U76" i="20"/>
  <c r="T76" i="20"/>
  <c r="S76" i="20"/>
  <c r="R76" i="20"/>
  <c r="Q76" i="20"/>
  <c r="P76" i="20"/>
  <c r="O76" i="20"/>
  <c r="N76" i="20"/>
  <c r="U77" i="20"/>
  <c r="T77" i="20"/>
  <c r="S77" i="20"/>
  <c r="R77" i="20"/>
  <c r="Q77" i="20"/>
  <c r="P77" i="20"/>
  <c r="O77" i="20"/>
  <c r="N77" i="20"/>
  <c r="AB99" i="9"/>
  <c r="Z99" i="9"/>
  <c r="Y99" i="9"/>
  <c r="X99" i="9"/>
  <c r="V99" i="9"/>
  <c r="U99" i="9"/>
  <c r="T99" i="9"/>
  <c r="S99" i="9"/>
  <c r="U79" i="20"/>
  <c r="R99" i="9"/>
  <c r="T79" i="20"/>
  <c r="Q99" i="9"/>
  <c r="S79" i="20"/>
  <c r="P99" i="9"/>
  <c r="R79" i="20"/>
  <c r="O99" i="9"/>
  <c r="Q79" i="20"/>
  <c r="N99" i="9"/>
  <c r="P79" i="20"/>
  <c r="M99" i="9"/>
  <c r="O79" i="20"/>
  <c r="L99" i="9"/>
  <c r="N79" i="20"/>
  <c r="K99" i="9"/>
  <c r="U80" i="20"/>
  <c r="T80" i="20"/>
  <c r="S80" i="20"/>
  <c r="R80" i="20"/>
  <c r="Q80" i="20"/>
  <c r="P80" i="20"/>
  <c r="O80" i="20"/>
  <c r="N80" i="20"/>
  <c r="U83" i="20"/>
  <c r="T83" i="20"/>
  <c r="S83" i="20"/>
  <c r="R83" i="20"/>
  <c r="Q83" i="20"/>
  <c r="P83" i="20"/>
  <c r="O83" i="20"/>
  <c r="N83" i="20"/>
  <c r="AB98" i="9"/>
  <c r="Z98" i="9"/>
  <c r="Y98" i="9"/>
  <c r="X98" i="9"/>
  <c r="T98" i="9"/>
  <c r="U78" i="20"/>
  <c r="R98" i="9"/>
  <c r="T78" i="20"/>
  <c r="Q98" i="9"/>
  <c r="S78" i="20"/>
  <c r="P98" i="9"/>
  <c r="R78" i="20"/>
  <c r="O98" i="9"/>
  <c r="Q78" i="20"/>
  <c r="N98" i="9"/>
  <c r="P78" i="20"/>
  <c r="M98" i="9"/>
  <c r="O78" i="20"/>
  <c r="L98" i="9"/>
  <c r="N78" i="20"/>
  <c r="K98" i="9"/>
  <c r="AB111" i="9"/>
  <c r="Z111" i="9"/>
  <c r="Y111" i="9"/>
  <c r="X111" i="9"/>
  <c r="V111" i="9"/>
  <c r="U111" i="9"/>
  <c r="T111" i="9"/>
  <c r="S111" i="9"/>
  <c r="U81" i="20"/>
  <c r="R111" i="9"/>
  <c r="T81" i="20"/>
  <c r="Q111" i="9"/>
  <c r="S81" i="20"/>
  <c r="P111" i="9"/>
  <c r="R81" i="20"/>
  <c r="O111" i="9"/>
  <c r="Q81" i="20"/>
  <c r="N111" i="9"/>
  <c r="P81" i="20"/>
  <c r="M111" i="9"/>
  <c r="O81" i="20"/>
  <c r="L111" i="9"/>
  <c r="N81" i="20"/>
  <c r="K111" i="9"/>
  <c r="AF12" i="19"/>
  <c r="X8" i="8"/>
  <c r="AE12" i="19"/>
  <c r="W8" i="8"/>
  <c r="AD12" i="19"/>
  <c r="V8" i="8"/>
  <c r="AC12" i="19"/>
  <c r="U8" i="8"/>
  <c r="AB12" i="19"/>
  <c r="T8" i="8"/>
  <c r="AA12" i="19"/>
  <c r="S8" i="8"/>
  <c r="Z12" i="19"/>
  <c r="R8" i="8"/>
  <c r="Y12" i="19"/>
  <c r="Q8" i="8"/>
  <c r="X12" i="19"/>
  <c r="P8" i="8"/>
  <c r="W12" i="19"/>
  <c r="O8" i="8"/>
  <c r="AA111" i="9" a="1"/>
  <c r="AA111" i="9"/>
  <c r="M9" i="21"/>
  <c r="W123" i="9"/>
  <c r="W110" i="9"/>
  <c r="W87" i="9"/>
  <c r="W122" i="9"/>
  <c r="W99" i="9"/>
  <c r="W86" i="9"/>
  <c r="W134" i="9"/>
  <c r="W111" i="9"/>
  <c r="V171" i="18"/>
  <c r="U171" i="18"/>
  <c r="T171" i="18"/>
  <c r="S171" i="18"/>
  <c r="R171" i="18"/>
  <c r="Q171" i="18"/>
  <c r="P171" i="18"/>
  <c r="O171" i="18"/>
  <c r="AG31" i="18"/>
  <c r="AF31" i="18"/>
  <c r="AE31" i="18"/>
  <c r="AD31" i="18"/>
  <c r="AC31" i="18"/>
  <c r="AB31" i="18"/>
  <c r="AA31" i="18"/>
  <c r="Z31" i="18"/>
  <c r="Y31" i="18"/>
  <c r="X31" i="18"/>
  <c r="M31" i="18"/>
  <c r="L31" i="18"/>
  <c r="K31" i="18"/>
  <c r="J31" i="18"/>
  <c r="I31" i="18"/>
  <c r="H31" i="18"/>
  <c r="AF215" i="18"/>
  <c r="AE215" i="18"/>
  <c r="AD215" i="18"/>
  <c r="AC215" i="18"/>
  <c r="AB215" i="18"/>
  <c r="AA215" i="18"/>
  <c r="Z215" i="18"/>
  <c r="Y215" i="18"/>
  <c r="X215" i="18"/>
  <c r="W215" i="18"/>
  <c r="V215" i="18"/>
  <c r="U215" i="18"/>
  <c r="T215" i="18"/>
  <c r="S215" i="18"/>
  <c r="R215" i="18"/>
  <c r="Q215" i="18"/>
  <c r="P215" i="18"/>
  <c r="O215" i="18"/>
  <c r="N215" i="18"/>
  <c r="M215" i="18"/>
  <c r="L215" i="18"/>
  <c r="K215" i="18"/>
  <c r="J215" i="18"/>
  <c r="I215" i="18"/>
  <c r="H215" i="18"/>
  <c r="G215" i="18"/>
  <c r="F215" i="18"/>
  <c r="E215" i="18"/>
  <c r="C215" i="18"/>
  <c r="V214" i="18"/>
  <c r="U214" i="18"/>
  <c r="T214" i="18"/>
  <c r="S214" i="18"/>
  <c r="R214" i="18"/>
  <c r="Q214" i="18"/>
  <c r="P214" i="18"/>
  <c r="O214" i="18"/>
  <c r="V213" i="18"/>
  <c r="U213" i="18"/>
  <c r="T213" i="18"/>
  <c r="S213" i="18"/>
  <c r="R213" i="18"/>
  <c r="Q213" i="18"/>
  <c r="P213" i="18"/>
  <c r="O213" i="18"/>
  <c r="V212" i="18"/>
  <c r="U212" i="18"/>
  <c r="T212" i="18"/>
  <c r="S212" i="18"/>
  <c r="R212" i="18"/>
  <c r="Q212" i="18"/>
  <c r="P212" i="18"/>
  <c r="O212" i="18"/>
  <c r="V211" i="18"/>
  <c r="U211" i="18"/>
  <c r="T211" i="18"/>
  <c r="S211" i="18"/>
  <c r="R211" i="18"/>
  <c r="Q211" i="18"/>
  <c r="P211" i="18"/>
  <c r="O211" i="18"/>
  <c r="V210" i="18"/>
  <c r="U210" i="18"/>
  <c r="T210" i="18"/>
  <c r="S210" i="18"/>
  <c r="R210" i="18"/>
  <c r="Q210" i="18"/>
  <c r="P210" i="18"/>
  <c r="O210" i="18"/>
  <c r="V209" i="18"/>
  <c r="U209" i="18"/>
  <c r="T209" i="18"/>
  <c r="S209" i="18"/>
  <c r="R209" i="18"/>
  <c r="Q209" i="18"/>
  <c r="P209" i="18"/>
  <c r="O209" i="18"/>
  <c r="V208" i="18"/>
  <c r="U208" i="18"/>
  <c r="T208" i="18"/>
  <c r="S208" i="18"/>
  <c r="R208" i="18"/>
  <c r="Q208" i="18"/>
  <c r="P208" i="18"/>
  <c r="O208" i="18"/>
  <c r="V207" i="18"/>
  <c r="U207" i="18"/>
  <c r="T207" i="18"/>
  <c r="S207" i="18"/>
  <c r="R207" i="18"/>
  <c r="Q207" i="18"/>
  <c r="P207" i="18"/>
  <c r="O207" i="18"/>
  <c r="V179" i="18"/>
  <c r="U179" i="18"/>
  <c r="T179" i="18"/>
  <c r="S179" i="18"/>
  <c r="R179" i="18"/>
  <c r="Q179" i="18"/>
  <c r="P179" i="18"/>
  <c r="O179" i="18"/>
  <c r="V178" i="18"/>
  <c r="U178" i="18"/>
  <c r="T178" i="18"/>
  <c r="S178" i="18"/>
  <c r="R178" i="18"/>
  <c r="Q178" i="18"/>
  <c r="P178" i="18"/>
  <c r="O178" i="18"/>
  <c r="V177" i="18"/>
  <c r="U177" i="18"/>
  <c r="T177" i="18"/>
  <c r="S177" i="18"/>
  <c r="R177" i="18"/>
  <c r="Q177" i="18"/>
  <c r="P177" i="18"/>
  <c r="O177" i="18"/>
  <c r="V176" i="18"/>
  <c r="U176" i="18"/>
  <c r="T176" i="18"/>
  <c r="S176" i="18"/>
  <c r="R176" i="18"/>
  <c r="Q176" i="18"/>
  <c r="P176" i="18"/>
  <c r="O176" i="18"/>
  <c r="V175" i="18"/>
  <c r="U175" i="18"/>
  <c r="T175" i="18"/>
  <c r="S175" i="18"/>
  <c r="R175" i="18"/>
  <c r="Q175" i="18"/>
  <c r="P175" i="18"/>
  <c r="O175" i="18"/>
  <c r="V174" i="18"/>
  <c r="U174" i="18"/>
  <c r="T174" i="18"/>
  <c r="S174" i="18"/>
  <c r="R174" i="18"/>
  <c r="Q174" i="18"/>
  <c r="P174" i="18"/>
  <c r="O174" i="18"/>
  <c r="V173" i="18"/>
  <c r="U173" i="18"/>
  <c r="T173" i="18"/>
  <c r="S173" i="18"/>
  <c r="R173" i="18"/>
  <c r="Q173" i="18"/>
  <c r="P173" i="18"/>
  <c r="O173" i="18"/>
  <c r="V172" i="18"/>
  <c r="U172" i="18"/>
  <c r="T172" i="18"/>
  <c r="S172" i="18"/>
  <c r="R172" i="18"/>
  <c r="Q172" i="18"/>
  <c r="P172" i="18"/>
  <c r="O172" i="18"/>
  <c r="M8" i="8"/>
  <c r="K123" i="9"/>
  <c r="L123" i="9"/>
  <c r="M123" i="9"/>
  <c r="N123" i="9"/>
  <c r="O123" i="9"/>
  <c r="P123" i="9"/>
  <c r="Q123" i="9"/>
  <c r="R123" i="9"/>
  <c r="S123" i="9"/>
  <c r="T123" i="9"/>
  <c r="U123" i="9"/>
  <c r="V123" i="9"/>
  <c r="X123" i="9"/>
  <c r="Y123" i="9"/>
  <c r="Z123" i="9"/>
  <c r="AB123" i="9"/>
  <c r="K110" i="9"/>
  <c r="L110" i="9"/>
  <c r="M110" i="9"/>
  <c r="N110" i="9"/>
  <c r="O110" i="9"/>
  <c r="P110" i="9"/>
  <c r="Q110" i="9"/>
  <c r="R110" i="9"/>
  <c r="S110" i="9"/>
  <c r="T110" i="9"/>
  <c r="U110" i="9"/>
  <c r="V110" i="9"/>
  <c r="X110" i="9"/>
  <c r="Y110" i="9"/>
  <c r="Z110" i="9"/>
  <c r="AB110" i="9"/>
  <c r="K122" i="9"/>
  <c r="L122" i="9"/>
  <c r="M122" i="9"/>
  <c r="N122" i="9"/>
  <c r="O122" i="9"/>
  <c r="P122" i="9"/>
  <c r="Q122" i="9"/>
  <c r="R122" i="9"/>
  <c r="S122" i="9"/>
  <c r="T122" i="9"/>
  <c r="U122" i="9"/>
  <c r="V122" i="9"/>
  <c r="X122" i="9"/>
  <c r="Y122" i="9"/>
  <c r="Z122" i="9"/>
  <c r="AB122" i="9"/>
  <c r="K87" i="9"/>
  <c r="L87" i="9"/>
  <c r="M87" i="9"/>
  <c r="N87" i="9"/>
  <c r="O87" i="9"/>
  <c r="P87" i="9"/>
  <c r="Q87" i="9"/>
  <c r="R87" i="9"/>
  <c r="S87" i="9"/>
  <c r="T87" i="9"/>
  <c r="U87" i="9"/>
  <c r="V87" i="9"/>
  <c r="X87" i="9"/>
  <c r="Y87" i="9"/>
  <c r="Z87" i="9"/>
  <c r="AB87" i="9"/>
  <c r="K86" i="9"/>
  <c r="L86" i="9"/>
  <c r="M86" i="9"/>
  <c r="N86" i="9"/>
  <c r="O86" i="9"/>
  <c r="P86" i="9"/>
  <c r="Q86" i="9"/>
  <c r="R86" i="9"/>
  <c r="S86" i="9"/>
  <c r="T86" i="9"/>
  <c r="U86" i="9"/>
  <c r="V86" i="9"/>
  <c r="X86" i="9"/>
  <c r="Y86" i="9"/>
  <c r="Z86" i="9"/>
  <c r="AB86" i="9"/>
  <c r="W98" i="9"/>
  <c r="U98" i="9"/>
  <c r="V98" i="9"/>
  <c r="S98" i="9"/>
  <c r="AA98" i="9" a="1"/>
  <c r="AA98" i="9"/>
  <c r="G75" i="9"/>
  <c r="F73" i="9"/>
  <c r="C71" i="9"/>
  <c r="F68" i="9"/>
  <c r="C66" i="9"/>
  <c r="D64" i="9"/>
  <c r="G62" i="9"/>
  <c r="F60" i="9"/>
  <c r="G72" i="9"/>
  <c r="G69" i="9"/>
  <c r="F65" i="9"/>
  <c r="G59" i="9"/>
  <c r="F75" i="9"/>
  <c r="C73" i="9"/>
  <c r="D71" i="9"/>
  <c r="F69" i="9"/>
  <c r="D66" i="9"/>
  <c r="F64" i="9"/>
  <c r="G61" i="9"/>
  <c r="D58" i="9"/>
  <c r="F56" i="9"/>
  <c r="F74" i="9"/>
  <c r="F71" i="9"/>
  <c r="C69" i="9"/>
  <c r="E69" i="9"/>
  <c r="D68" i="9"/>
  <c r="F66" i="9"/>
  <c r="C64" i="9"/>
  <c r="E64" i="9"/>
  <c r="D63" i="9"/>
  <c r="F61" i="9"/>
  <c r="C59" i="9"/>
  <c r="G57" i="9"/>
  <c r="F54" i="9"/>
  <c r="C52" i="9"/>
  <c r="D50" i="9"/>
  <c r="F48" i="9"/>
  <c r="C46" i="9"/>
  <c r="D44" i="9"/>
  <c r="G41" i="9"/>
  <c r="F39" i="9"/>
  <c r="C37" i="9"/>
  <c r="D35" i="9"/>
  <c r="F33" i="9"/>
  <c r="C31" i="9"/>
  <c r="G29" i="9"/>
  <c r="F27" i="9"/>
  <c r="C25" i="9"/>
  <c r="D23" i="9"/>
  <c r="G20" i="9"/>
  <c r="F18" i="9"/>
  <c r="C16" i="9"/>
  <c r="G14" i="9"/>
  <c r="F12" i="9"/>
  <c r="C10" i="9"/>
  <c r="D8" i="9"/>
  <c r="F6" i="9"/>
  <c r="C4" i="9"/>
  <c r="C54" i="9"/>
  <c r="E54" i="9"/>
  <c r="G52" i="9"/>
  <c r="F50" i="9"/>
  <c r="C48" i="9"/>
  <c r="D46" i="9"/>
  <c r="F44" i="9"/>
  <c r="C42" i="9"/>
  <c r="E42" i="9"/>
  <c r="G40" i="9"/>
  <c r="F38" i="9"/>
  <c r="C36" i="9"/>
  <c r="D34" i="9"/>
  <c r="F32" i="9"/>
  <c r="C30" i="9"/>
  <c r="D28" i="9"/>
  <c r="G25" i="9"/>
  <c r="F23" i="9"/>
  <c r="C21" i="9"/>
  <c r="G19" i="9"/>
  <c r="F17" i="9"/>
  <c r="C15" i="9"/>
  <c r="D13" i="9"/>
  <c r="G10" i="9"/>
  <c r="F8" i="9"/>
  <c r="C6" i="9"/>
  <c r="D4" i="9"/>
  <c r="D54" i="9"/>
  <c r="F52" i="9"/>
  <c r="C50" i="9"/>
  <c r="E50" i="9"/>
  <c r="G48" i="9"/>
  <c r="D45" i="9"/>
  <c r="F43" i="9"/>
  <c r="C41" i="9"/>
  <c r="G39" i="9"/>
  <c r="D36" i="9"/>
  <c r="F34" i="9"/>
  <c r="C32" i="9"/>
  <c r="G30" i="9"/>
  <c r="D27" i="9"/>
  <c r="F25" i="9"/>
  <c r="C23" i="9"/>
  <c r="E23" i="9"/>
  <c r="G21" i="9"/>
  <c r="D18" i="9"/>
  <c r="F16" i="9"/>
  <c r="C14" i="9"/>
  <c r="G12" i="9"/>
  <c r="D9" i="9"/>
  <c r="F7" i="9"/>
  <c r="C5" i="9"/>
  <c r="D75" i="9"/>
  <c r="D72" i="9"/>
  <c r="G67" i="9"/>
  <c r="G64" i="9"/>
  <c r="D62" i="9"/>
  <c r="D59" i="9"/>
  <c r="F57" i="9"/>
  <c r="G74" i="9"/>
  <c r="F72" i="9"/>
  <c r="D69" i="9"/>
  <c r="F67" i="9"/>
  <c r="C65" i="9"/>
  <c r="E65" i="9"/>
  <c r="G63" i="9"/>
  <c r="D61" i="9"/>
  <c r="F59" i="9"/>
  <c r="C57" i="9"/>
  <c r="E57" i="9"/>
  <c r="C75" i="9"/>
  <c r="G73" i="9"/>
  <c r="C72" i="9"/>
  <c r="E72" i="9"/>
  <c r="G70" i="9"/>
  <c r="C67" i="9"/>
  <c r="G65" i="9"/>
  <c r="C62" i="9"/>
  <c r="E62" i="9"/>
  <c r="G60" i="9"/>
  <c r="D57" i="9"/>
  <c r="F55" i="9"/>
  <c r="G53" i="9"/>
  <c r="F51" i="9"/>
  <c r="C49" i="9"/>
  <c r="E49" i="9"/>
  <c r="G47" i="9"/>
  <c r="F45" i="9"/>
  <c r="C43" i="9"/>
  <c r="D41" i="9"/>
  <c r="G38" i="9"/>
  <c r="F36" i="9"/>
  <c r="C34" i="9"/>
  <c r="E34" i="9"/>
  <c r="G32" i="9"/>
  <c r="D29" i="9"/>
  <c r="G26" i="9"/>
  <c r="F24" i="9"/>
  <c r="C22" i="9"/>
  <c r="D20" i="9"/>
  <c r="G17" i="9"/>
  <c r="D14" i="9"/>
  <c r="G11" i="9"/>
  <c r="F9" i="9"/>
  <c r="C7" i="9"/>
  <c r="G5" i="9"/>
  <c r="D56" i="9"/>
  <c r="D52" i="9"/>
  <c r="G49" i="9"/>
  <c r="F47" i="9"/>
  <c r="C45" i="9"/>
  <c r="E45" i="9"/>
  <c r="G43" i="9"/>
  <c r="D40" i="9"/>
  <c r="G37" i="9"/>
  <c r="F35" i="9"/>
  <c r="C33" i="9"/>
  <c r="E33" i="9"/>
  <c r="G31" i="9"/>
  <c r="F29" i="9"/>
  <c r="C27" i="9"/>
  <c r="E27" i="9"/>
  <c r="D25" i="9"/>
  <c r="G22" i="9"/>
  <c r="D19" i="9"/>
  <c r="G16" i="9"/>
  <c r="F14" i="9"/>
  <c r="C12" i="9"/>
  <c r="D10" i="9"/>
  <c r="G7" i="9"/>
  <c r="F5" i="9"/>
  <c r="G55" i="9"/>
  <c r="C53" i="9"/>
  <c r="G51" i="9"/>
  <c r="D48" i="9"/>
  <c r="F46" i="9"/>
  <c r="C44" i="9"/>
  <c r="E44" i="9"/>
  <c r="G42" i="9"/>
  <c r="D39" i="9"/>
  <c r="F37" i="9"/>
  <c r="C35" i="9"/>
  <c r="E35" i="9"/>
  <c r="G33" i="9"/>
  <c r="D30" i="9"/>
  <c r="F28" i="9"/>
  <c r="C26" i="9"/>
  <c r="G24" i="9"/>
  <c r="D21" i="9"/>
  <c r="F19" i="9"/>
  <c r="C17" i="9"/>
  <c r="G15" i="9"/>
  <c r="D12" i="9"/>
  <c r="F10" i="9"/>
  <c r="C8" i="9"/>
  <c r="E8" i="9"/>
  <c r="G6" i="9"/>
  <c r="C74" i="9"/>
  <c r="F70" i="9"/>
  <c r="D67" i="9"/>
  <c r="C63" i="9"/>
  <c r="E63" i="9"/>
  <c r="C61" i="9"/>
  <c r="E61" i="9"/>
  <c r="C58" i="9"/>
  <c r="E58" i="9"/>
  <c r="G56" i="9"/>
  <c r="D74" i="9"/>
  <c r="G71" i="9"/>
  <c r="C70" i="9"/>
  <c r="C68" i="9"/>
  <c r="E68" i="9"/>
  <c r="G66" i="9"/>
  <c r="F62" i="9"/>
  <c r="C60" i="9"/>
  <c r="E60" i="9"/>
  <c r="G58" i="9"/>
  <c r="D73" i="9"/>
  <c r="D70" i="9"/>
  <c r="G68" i="9"/>
  <c r="D65" i="9"/>
  <c r="F63" i="9"/>
  <c r="D60" i="9"/>
  <c r="F58" i="9"/>
  <c r="C56" i="9"/>
  <c r="E56" i="9"/>
  <c r="C55" i="9"/>
  <c r="G50" i="9"/>
  <c r="D47" i="9"/>
  <c r="G44" i="9"/>
  <c r="F42" i="9"/>
  <c r="C40" i="9"/>
  <c r="E40" i="9"/>
  <c r="D38" i="9"/>
  <c r="G35" i="9"/>
  <c r="D32" i="9"/>
  <c r="F30" i="9"/>
  <c r="C28" i="9"/>
  <c r="E28" i="9"/>
  <c r="D26" i="9"/>
  <c r="G23" i="9"/>
  <c r="F21" i="9"/>
  <c r="C19" i="9"/>
  <c r="E19" i="9"/>
  <c r="D17" i="9"/>
  <c r="F15" i="9"/>
  <c r="C13" i="9"/>
  <c r="D11" i="9"/>
  <c r="G8" i="9"/>
  <c r="D5" i="9"/>
  <c r="D55" i="9"/>
  <c r="F53" i="9"/>
  <c r="C51" i="9"/>
  <c r="D49" i="9"/>
  <c r="G46" i="9"/>
  <c r="D43" i="9"/>
  <c r="F41" i="9"/>
  <c r="C39" i="9"/>
  <c r="E39" i="9" s="1"/>
  <c r="D37" i="9"/>
  <c r="G34" i="9"/>
  <c r="D31" i="9"/>
  <c r="G28" i="9"/>
  <c r="F26" i="9"/>
  <c r="C24" i="9"/>
  <c r="D22" i="9"/>
  <c r="F20" i="9"/>
  <c r="C18" i="9"/>
  <c r="D16" i="9"/>
  <c r="G13" i="9"/>
  <c r="F11" i="9"/>
  <c r="C9" i="9"/>
  <c r="E9" i="9" s="1"/>
  <c r="D7" i="9"/>
  <c r="G4" i="9"/>
  <c r="G54" i="9"/>
  <c r="D51" i="9"/>
  <c r="F49" i="9"/>
  <c r="C47" i="9"/>
  <c r="E47" i="9" s="1"/>
  <c r="G45" i="9"/>
  <c r="D42" i="9"/>
  <c r="F40" i="9"/>
  <c r="C38" i="9"/>
  <c r="E38" i="9" s="1"/>
  <c r="G36" i="9"/>
  <c r="D33" i="9"/>
  <c r="F31" i="9"/>
  <c r="C29" i="9"/>
  <c r="E29" i="9"/>
  <c r="G27" i="9"/>
  <c r="D24" i="9"/>
  <c r="F22" i="9"/>
  <c r="C20" i="9"/>
  <c r="E20" i="9" s="1"/>
  <c r="G18" i="9"/>
  <c r="D15" i="9"/>
  <c r="F13" i="9"/>
  <c r="C11" i="9"/>
  <c r="E11" i="9" s="1"/>
  <c r="G9" i="9"/>
  <c r="D6" i="9"/>
  <c r="F4" i="9"/>
  <c r="AC7" i="9"/>
  <c r="AC55" i="9"/>
  <c r="E70" i="9"/>
  <c r="E75" i="9"/>
  <c r="E21" i="9"/>
  <c r="E16" i="9"/>
  <c r="E31" i="9"/>
  <c r="E7" i="9"/>
  <c r="E51" i="9"/>
  <c r="E55" i="9"/>
  <c r="E26" i="9"/>
  <c r="E67" i="9"/>
  <c r="E5" i="9"/>
  <c r="E18" i="9"/>
  <c r="E32" i="9"/>
  <c r="E6" i="9"/>
  <c r="E13" i="9"/>
  <c r="E4" i="9"/>
  <c r="E10" i="9"/>
  <c r="E73" i="9"/>
  <c r="E66" i="9"/>
  <c r="N22" i="9"/>
  <c r="L32" i="9"/>
  <c r="K6" i="9"/>
  <c r="L22" i="9"/>
  <c r="M32" i="9"/>
  <c r="N66" i="9"/>
  <c r="O6" i="9"/>
  <c r="P75" i="9"/>
  <c r="S5" i="9"/>
  <c r="T19" i="9"/>
  <c r="T51" i="9"/>
  <c r="T59" i="9"/>
  <c r="S59" i="9"/>
  <c r="P4" i="9"/>
  <c r="M43" i="9"/>
  <c r="M59" i="9"/>
  <c r="N43" i="9"/>
  <c r="O59" i="9"/>
  <c r="M29" i="9"/>
  <c r="S35" i="9"/>
  <c r="P43" i="9"/>
  <c r="S38" i="9"/>
  <c r="T4" i="9"/>
  <c r="K29" i="9"/>
  <c r="P38" i="9"/>
  <c r="O29" i="9"/>
  <c r="L43" i="9"/>
  <c r="T38" i="9"/>
  <c r="K10" i="9"/>
  <c r="K38" i="9"/>
  <c r="L4" i="9"/>
  <c r="AD8" i="9"/>
  <c r="AG74" i="9"/>
  <c r="V74" i="9"/>
  <c r="X73" i="9"/>
  <c r="Y72" i="9"/>
  <c r="AB71" i="9"/>
  <c r="AD69" i="9"/>
  <c r="S69" i="9"/>
  <c r="X68" i="9"/>
  <c r="AA67" i="9"/>
  <c r="AC65" i="9"/>
  <c r="V64" i="9"/>
  <c r="X63" i="9"/>
  <c r="AA62" i="9"/>
  <c r="AB61" i="9"/>
  <c r="Z60" i="9"/>
  <c r="AC59" i="9"/>
  <c r="AD58" i="9"/>
  <c r="S58" i="9"/>
  <c r="X57" i="9"/>
  <c r="Y56" i="9"/>
  <c r="Z54" i="9"/>
  <c r="AB52" i="9"/>
  <c r="AG8" i="9"/>
  <c r="Y74" i="9"/>
  <c r="Z73" i="9"/>
  <c r="AA72" i="9"/>
  <c r="AD71" i="9"/>
  <c r="AG69" i="9"/>
  <c r="X74" i="9"/>
  <c r="AC71" i="9"/>
  <c r="T29" i="9"/>
  <c r="L51" i="9"/>
  <c r="N35" i="9"/>
  <c r="P10" i="9"/>
  <c r="N4" i="9"/>
  <c r="N38" i="9"/>
  <c r="O4" i="9"/>
  <c r="K51" i="9"/>
  <c r="N51" i="9"/>
  <c r="K59" i="9"/>
  <c r="T43" i="9"/>
  <c r="S4" i="9"/>
  <c r="M51" i="9"/>
  <c r="P35" i="9"/>
  <c r="O10" i="9"/>
  <c r="M38" i="9"/>
  <c r="P29" i="9"/>
  <c r="N59" i="9"/>
  <c r="M4" i="9"/>
  <c r="T35" i="9"/>
  <c r="K35" i="9"/>
  <c r="T10" i="9"/>
  <c r="V75" i="9"/>
  <c r="AC74" i="9"/>
  <c r="AD73" i="9"/>
  <c r="AE72" i="9"/>
  <c r="T72" i="9"/>
  <c r="Y71" i="9"/>
  <c r="AA69" i="9"/>
  <c r="AD68" i="9"/>
  <c r="S68" i="9"/>
  <c r="X67" i="9"/>
  <c r="Z65" i="9"/>
  <c r="AD63" i="9"/>
  <c r="S63" i="9"/>
  <c r="X62" i="9"/>
  <c r="AG60" i="9"/>
  <c r="V60" i="9"/>
  <c r="Z59" i="9"/>
  <c r="AA58" i="9"/>
  <c r="AD57" i="9"/>
  <c r="AE56" i="9"/>
  <c r="V55" i="9"/>
  <c r="W55" i="9" a="1"/>
  <c r="W55" i="9" s="1"/>
  <c r="AG54" i="9"/>
  <c r="V54" i="9"/>
  <c r="Y52" i="9"/>
  <c r="AE74" i="9"/>
  <c r="AG73" i="9"/>
  <c r="V73" i="9"/>
  <c r="X72" i="9"/>
  <c r="AA71" i="9"/>
  <c r="AC69" i="9"/>
  <c r="Y73" i="9"/>
  <c r="AE69" i="9"/>
  <c r="N29" i="9"/>
  <c r="S29" i="9"/>
  <c r="O43" i="9"/>
  <c r="L35" i="9"/>
  <c r="N10" i="9"/>
  <c r="M35" i="9"/>
  <c r="L10" i="9"/>
  <c r="L59" i="9"/>
  <c r="S51" i="9"/>
  <c r="L38" i="9"/>
  <c r="O35" i="9"/>
  <c r="S10" i="9"/>
  <c r="P59" i="9"/>
  <c r="S43" i="9"/>
  <c r="P51" i="9"/>
  <c r="O51" i="9"/>
  <c r="O38" i="9"/>
  <c r="M10" i="9"/>
  <c r="K4" i="9"/>
  <c r="L29" i="9"/>
  <c r="K43" i="9"/>
  <c r="AE8" i="9"/>
  <c r="Z74" i="9"/>
  <c r="AA73" i="9"/>
  <c r="AB72" i="9"/>
  <c r="AE71" i="9"/>
  <c r="V70" i="9"/>
  <c r="W70" i="9" a="1"/>
  <c r="W70" i="9" s="1"/>
  <c r="X69" i="9"/>
  <c r="AA68" i="9"/>
  <c r="AD67" i="9"/>
  <c r="AG65" i="9"/>
  <c r="V65" i="9"/>
  <c r="AA63" i="9"/>
  <c r="AD62" i="9"/>
  <c r="AE61" i="9"/>
  <c r="AC60" i="9"/>
  <c r="AG59" i="9"/>
  <c r="V59" i="9"/>
  <c r="X58" i="9"/>
  <c r="AA57" i="9"/>
  <c r="AB56" i="9"/>
  <c r="AC54" i="9"/>
  <c r="AB74" i="9"/>
  <c r="S72" i="9"/>
  <c r="Z72" i="9"/>
  <c r="Z68" i="9"/>
  <c r="Y67" i="9"/>
  <c r="T65" i="9"/>
  <c r="T63" i="9"/>
  <c r="AD61" i="9"/>
  <c r="AA60" i="9"/>
  <c r="Y59" i="9"/>
  <c r="T58" i="9"/>
  <c r="AD56" i="9"/>
  <c r="Y54" i="9"/>
  <c r="V52" i="9"/>
  <c r="AD50" i="9"/>
  <c r="S50" i="9"/>
  <c r="X49" i="9"/>
  <c r="Y48" i="9"/>
  <c r="Z47" i="9"/>
  <c r="AA46" i="9"/>
  <c r="AB45" i="9"/>
  <c r="AC44" i="9"/>
  <c r="AD43" i="9"/>
  <c r="AE42" i="9"/>
  <c r="AG41" i="9"/>
  <c r="V41" i="9"/>
  <c r="X40" i="9"/>
  <c r="AE38" i="9"/>
  <c r="V38" i="9"/>
  <c r="W38" i="9" a="1"/>
  <c r="W38" i="9" s="1"/>
  <c r="AG37" i="9"/>
  <c r="AG72" i="9"/>
  <c r="AB69" i="9"/>
  <c r="Y68" i="9"/>
  <c r="V67" i="9"/>
  <c r="S65" i="9"/>
  <c r="AG62" i="9"/>
  <c r="AC61" i="9"/>
  <c r="Y60" i="9"/>
  <c r="X59" i="9"/>
  <c r="AG57" i="9"/>
  <c r="AC56" i="9"/>
  <c r="X54" i="9"/>
  <c r="AG51" i="9"/>
  <c r="AC50" i="9"/>
  <c r="AG49" i="9"/>
  <c r="V49" i="9"/>
  <c r="X48" i="9"/>
  <c r="Y47" i="9"/>
  <c r="Z46" i="9"/>
  <c r="AA45" i="9"/>
  <c r="AB44" i="9"/>
  <c r="AC43" i="9"/>
  <c r="AD42" i="9"/>
  <c r="AE41" i="9"/>
  <c r="AG40" i="9"/>
  <c r="AA74" i="9"/>
  <c r="AG71" i="9"/>
  <c r="AG68" i="9"/>
  <c r="AE67" i="9"/>
  <c r="AB65" i="9"/>
  <c r="AB63" i="9"/>
  <c r="Z62" i="9"/>
  <c r="V61" i="9"/>
  <c r="AE59" i="9"/>
  <c r="AB58" i="9"/>
  <c r="Z57" i="9"/>
  <c r="V56" i="9"/>
  <c r="V53" i="9"/>
  <c r="AE51" i="9"/>
  <c r="AB50" i="9"/>
  <c r="AE49" i="9"/>
  <c r="AG48" i="9"/>
  <c r="V48" i="9"/>
  <c r="X47" i="9"/>
  <c r="Y46" i="9"/>
  <c r="Z45" i="9"/>
  <c r="AA44" i="9"/>
  <c r="AB43" i="9"/>
  <c r="AC42" i="9"/>
  <c r="AD41" i="9"/>
  <c r="AG39" i="9"/>
  <c r="Y37" i="9"/>
  <c r="X36" i="9"/>
  <c r="Y35" i="9"/>
  <c r="Z34" i="9"/>
  <c r="AA33" i="9"/>
  <c r="AD30" i="9"/>
  <c r="AE29" i="9"/>
  <c r="AG28" i="9"/>
  <c r="V28" i="9"/>
  <c r="X27" i="9"/>
  <c r="Y26" i="9"/>
  <c r="Z25" i="9"/>
  <c r="V24" i="9"/>
  <c r="W24" i="9" s="1" a="1"/>
  <c r="W24" i="9" s="1"/>
  <c r="AA23" i="9"/>
  <c r="AE17" i="9"/>
  <c r="V16" i="9"/>
  <c r="X15" i="9"/>
  <c r="Y14" i="9"/>
  <c r="V12" i="9"/>
  <c r="X11" i="9"/>
  <c r="V8" i="9"/>
  <c r="W8" i="9" a="1"/>
  <c r="W8" i="9" s="1"/>
  <c r="AB9" i="9"/>
  <c r="L72" i="9"/>
  <c r="O68" i="9"/>
  <c r="L65" i="9"/>
  <c r="O60" i="9"/>
  <c r="L58" i="9"/>
  <c r="AE4" i="9"/>
  <c r="D17" i="21"/>
  <c r="F19" i="21"/>
  <c r="G21" i="21"/>
  <c r="C24" i="21"/>
  <c r="D26" i="21"/>
  <c r="F28" i="21"/>
  <c r="D32" i="21"/>
  <c r="F34" i="21"/>
  <c r="G36" i="21"/>
  <c r="C42" i="21"/>
  <c r="G48" i="21"/>
  <c r="D53" i="21"/>
  <c r="C60" i="21"/>
  <c r="G66" i="21"/>
  <c r="D71" i="21"/>
  <c r="Y40" i="9"/>
  <c r="V36" i="9"/>
  <c r="Z33" i="9"/>
  <c r="AE28" i="9"/>
  <c r="X26" i="9"/>
  <c r="V23" i="9"/>
  <c r="V15" i="9"/>
  <c r="V11" i="9"/>
  <c r="N69" i="9"/>
  <c r="K60" i="9"/>
  <c r="G19" i="21"/>
  <c r="F26" i="21"/>
  <c r="D33" i="21"/>
  <c r="C40" i="21"/>
  <c r="G46" i="21"/>
  <c r="D51" i="21"/>
  <c r="Y36" i="9"/>
  <c r="AB33" i="9"/>
  <c r="V29" i="9"/>
  <c r="W29" i="9" a="1"/>
  <c r="W29" i="9" s="1"/>
  <c r="Y27" i="9"/>
  <c r="Y24" i="9"/>
  <c r="V17" i="9"/>
  <c r="W17" i="9" a="1"/>
  <c r="W17" i="9" s="1"/>
  <c r="Z14" i="9"/>
  <c r="V9" i="9"/>
  <c r="G42" i="21"/>
  <c r="F49" i="21"/>
  <c r="G60" i="21"/>
  <c r="D65" i="21"/>
  <c r="C72" i="21"/>
  <c r="AD39" i="9"/>
  <c r="AD35" i="9"/>
  <c r="V33" i="9"/>
  <c r="AB28" i="9"/>
  <c r="AE25" i="9"/>
  <c r="V20" i="9"/>
  <c r="AD14" i="9"/>
  <c r="AD10" i="9"/>
  <c r="K69" i="9"/>
  <c r="C39" i="21"/>
  <c r="G45" i="21"/>
  <c r="F52" i="21"/>
  <c r="D59" i="21"/>
  <c r="C66" i="21"/>
  <c r="G72" i="21"/>
  <c r="AG38" i="9"/>
  <c r="AA35" i="9"/>
  <c r="AG30" i="9"/>
  <c r="Y28" i="9"/>
  <c r="AB25" i="9"/>
  <c r="V18" i="9"/>
  <c r="AA14" i="9"/>
  <c r="V10" i="9"/>
  <c r="N68" i="9"/>
  <c r="K58" i="9"/>
  <c r="D21" i="21"/>
  <c r="C28" i="21"/>
  <c r="G34" i="21"/>
  <c r="F41" i="21"/>
  <c r="D48" i="21"/>
  <c r="Y38" i="9"/>
  <c r="AD34" i="9"/>
  <c r="Y30" i="9"/>
  <c r="AB27" i="9"/>
  <c r="D27" i="21"/>
  <c r="F47" i="21"/>
  <c r="AB30" i="9"/>
  <c r="AE24" i="9"/>
  <c r="AE52" i="9"/>
  <c r="AC73" i="9"/>
  <c r="X71" i="9"/>
  <c r="V69" i="9"/>
  <c r="T68" i="9"/>
  <c r="AE65" i="9"/>
  <c r="AE63" i="9"/>
  <c r="AC62" i="9"/>
  <c r="Z61" i="9"/>
  <c r="T60" i="9"/>
  <c r="AE58" i="9"/>
  <c r="AC57" i="9"/>
  <c r="Z56" i="9"/>
  <c r="AG52" i="9"/>
  <c r="AD51" i="9"/>
  <c r="AA50" i="9"/>
  <c r="AD49" i="9"/>
  <c r="AE48" i="9"/>
  <c r="AG47" i="9"/>
  <c r="V47" i="9"/>
  <c r="X46" i="9"/>
  <c r="Y45" i="9"/>
  <c r="Z44" i="9"/>
  <c r="AA43" i="9"/>
  <c r="AB42" i="9"/>
  <c r="AC41" i="9"/>
  <c r="AD40" i="9"/>
  <c r="AE39" i="9"/>
  <c r="AA38" i="9"/>
  <c r="AD74" i="9"/>
  <c r="V72" i="9"/>
  <c r="T69" i="9"/>
  <c r="AG67" i="9"/>
  <c r="AD65" i="9"/>
  <c r="AC63" i="9"/>
  <c r="AB62" i="9"/>
  <c r="X61" i="9"/>
  <c r="S60" i="9"/>
  <c r="AC58" i="9"/>
  <c r="AB57" i="9"/>
  <c r="X56" i="9"/>
  <c r="AD52" i="9"/>
  <c r="AC51" i="9"/>
  <c r="Z50" i="9"/>
  <c r="AC49" i="9"/>
  <c r="AD48" i="9"/>
  <c r="AE47" i="9"/>
  <c r="AG46" i="9"/>
  <c r="V46" i="9"/>
  <c r="X45" i="9"/>
  <c r="Y44" i="9"/>
  <c r="Z43" i="9"/>
  <c r="AA42" i="9"/>
  <c r="AB41" i="9"/>
  <c r="AC40" i="9"/>
  <c r="AB73" i="9"/>
  <c r="V71" i="9"/>
  <c r="AB68" i="9"/>
  <c r="Z67" i="9"/>
  <c r="X65" i="9"/>
  <c r="V63" i="9"/>
  <c r="AG61" i="9"/>
  <c r="AB60" i="9"/>
  <c r="AA59" i="9"/>
  <c r="V58" i="9"/>
  <c r="AG56" i="9"/>
  <c r="AE54" i="9"/>
  <c r="AC52" i="9"/>
  <c r="Y51" i="9"/>
  <c r="Y50" i="9"/>
  <c r="AB49" i="9"/>
  <c r="AC48" i="9"/>
  <c r="AD47" i="9"/>
  <c r="AE46" i="9"/>
  <c r="AG45" i="9"/>
  <c r="V45" i="9"/>
  <c r="X44" i="9"/>
  <c r="Y43" i="9"/>
  <c r="Z42" i="9"/>
  <c r="AA41" i="9"/>
  <c r="V39" i="9"/>
  <c r="AD36" i="9"/>
  <c r="AE35" i="9"/>
  <c r="AG34" i="9"/>
  <c r="V34" i="9"/>
  <c r="X33" i="9"/>
  <c r="AA30" i="9"/>
  <c r="AB29" i="9"/>
  <c r="AC28" i="9"/>
  <c r="AD27" i="9"/>
  <c r="AE26" i="9"/>
  <c r="AG25" i="9"/>
  <c r="V25" i="9"/>
  <c r="X23" i="9"/>
  <c r="AB17" i="9"/>
  <c r="AD15" i="9"/>
  <c r="AE14" i="9"/>
  <c r="V13" i="9"/>
  <c r="AD11" i="9"/>
  <c r="AE10" i="9"/>
  <c r="V6" i="9"/>
  <c r="AE9" i="9"/>
  <c r="O69" i="9"/>
  <c r="L68" i="9"/>
  <c r="O63" i="9"/>
  <c r="L60" i="9"/>
  <c r="O50" i="9"/>
  <c r="V4" i="9"/>
  <c r="W4" i="9" s="1" a="1"/>
  <c r="W4" i="9" s="1"/>
  <c r="C18" i="21"/>
  <c r="D20" i="21"/>
  <c r="F22" i="21"/>
  <c r="G24" i="21"/>
  <c r="C27" i="21"/>
  <c r="D29" i="21"/>
  <c r="G30" i="21"/>
  <c r="C33" i="21"/>
  <c r="E33" i="21"/>
  <c r="D35" i="21"/>
  <c r="F37" i="21"/>
  <c r="D44" i="21"/>
  <c r="C51" i="21"/>
  <c r="E51" i="21" s="1"/>
  <c r="F55" i="21"/>
  <c r="D62" i="21"/>
  <c r="C69" i="21"/>
  <c r="E69" i="21"/>
  <c r="F73" i="21"/>
  <c r="Z38" i="9"/>
  <c r="X35" i="9"/>
  <c r="AC30" i="9"/>
  <c r="AG27" i="9"/>
  <c r="Y25" i="9"/>
  <c r="AD17" i="9"/>
  <c r="X14" i="9"/>
  <c r="V5" i="9"/>
  <c r="K68" i="9"/>
  <c r="N50" i="9"/>
  <c r="C22" i="21"/>
  <c r="G28" i="21"/>
  <c r="F35" i="21"/>
  <c r="D42" i="21"/>
  <c r="C49" i="21"/>
  <c r="E49" i="21" s="1"/>
  <c r="AC39" i="9"/>
  <c r="Z35" i="9"/>
  <c r="Y8" i="9"/>
  <c r="AD72" i="9"/>
  <c r="Z69" i="9"/>
  <c r="AE68" i="9"/>
  <c r="AC67" i="9"/>
  <c r="AA65" i="9"/>
  <c r="Z63" i="9"/>
  <c r="Y62" i="9"/>
  <c r="AE60" i="9"/>
  <c r="AD59" i="9"/>
  <c r="Z58" i="9"/>
  <c r="Y57" i="9"/>
  <c r="AD54" i="9"/>
  <c r="AA52" i="9"/>
  <c r="V51" i="9"/>
  <c r="X50" i="9"/>
  <c r="AA49" i="9"/>
  <c r="AB48" i="9"/>
  <c r="AC47" i="9"/>
  <c r="AD46" i="9"/>
  <c r="AE45" i="9"/>
  <c r="AG44" i="9"/>
  <c r="V44" i="9"/>
  <c r="X43" i="9"/>
  <c r="Y42" i="9"/>
  <c r="Z41" i="9"/>
  <c r="AA40" i="9"/>
  <c r="Y39" i="9"/>
  <c r="X38" i="9"/>
  <c r="AF38" i="9" a="1"/>
  <c r="AF38" i="9" s="1"/>
  <c r="AE73" i="9"/>
  <c r="Z71" i="9"/>
  <c r="AC68" i="9"/>
  <c r="AB67" i="9"/>
  <c r="Y65" i="9"/>
  <c r="Y63" i="9"/>
  <c r="V62" i="9"/>
  <c r="AD60" i="9"/>
  <c r="AB59" i="9"/>
  <c r="Y58" i="9"/>
  <c r="V57" i="9"/>
  <c r="AB54" i="9"/>
  <c r="Z52" i="9"/>
  <c r="AG50" i="9"/>
  <c r="V50" i="9"/>
  <c r="Z49" i="9"/>
  <c r="AA48" i="9"/>
  <c r="AB47" i="9"/>
  <c r="AC46" i="9"/>
  <c r="AD45" i="9"/>
  <c r="AE44" i="9"/>
  <c r="AG43" i="9"/>
  <c r="V43" i="9"/>
  <c r="X42" i="9"/>
  <c r="Y41" i="9"/>
  <c r="Z40" i="9"/>
  <c r="AC72" i="9"/>
  <c r="Y69" i="9"/>
  <c r="V68" i="9"/>
  <c r="V66" i="9"/>
  <c r="AG63" i="9"/>
  <c r="AE62" i="9"/>
  <c r="AA61" i="9"/>
  <c r="X60" i="9"/>
  <c r="AG58" i="9"/>
  <c r="AE57" i="9"/>
  <c r="AA56" i="9"/>
  <c r="AA54" i="9"/>
  <c r="X52" i="9"/>
  <c r="AE50" i="9"/>
  <c r="T50" i="9"/>
  <c r="Y49" i="9"/>
  <c r="Z48" i="9"/>
  <c r="AA47" i="9"/>
  <c r="AB46" i="9"/>
  <c r="AC45" i="9"/>
  <c r="AD44" i="9"/>
  <c r="AE43" i="9"/>
  <c r="AG42" i="9"/>
  <c r="V42" i="9"/>
  <c r="AB40" i="9"/>
  <c r="AB38" i="9"/>
  <c r="AA36" i="9"/>
  <c r="AB35" i="9"/>
  <c r="AC34" i="9"/>
  <c r="AD33" i="9"/>
  <c r="V31" i="9"/>
  <c r="X30" i="9"/>
  <c r="Y29" i="9"/>
  <c r="Z28" i="9"/>
  <c r="AA27" i="9"/>
  <c r="AB26" i="9"/>
  <c r="AC25" i="9"/>
  <c r="AD24" i="9"/>
  <c r="AD23" i="9"/>
  <c r="V21" i="9"/>
  <c r="Y17" i="9"/>
  <c r="AA15" i="9"/>
  <c r="AB14" i="9"/>
  <c r="AD12" i="9"/>
  <c r="AA11" i="9"/>
  <c r="Y10" i="9"/>
  <c r="Y9" i="9"/>
  <c r="O72" i="9"/>
  <c r="L69" i="9"/>
  <c r="O65" i="9"/>
  <c r="L63" i="9"/>
  <c r="O58" i="9"/>
  <c r="L50" i="9"/>
  <c r="G18" i="21"/>
  <c r="C21" i="21"/>
  <c r="E21" i="21"/>
  <c r="D23" i="21"/>
  <c r="F25" i="21"/>
  <c r="G27" i="21"/>
  <c r="C30" i="21"/>
  <c r="F31" i="21"/>
  <c r="G33" i="21"/>
  <c r="C36" i="21"/>
  <c r="G39" i="21"/>
  <c r="F46" i="21"/>
  <c r="G57" i="21"/>
  <c r="F64" i="21"/>
  <c r="G75" i="21"/>
  <c r="AG36" i="9"/>
  <c r="Y34" i="9"/>
  <c r="AD29" i="9"/>
  <c r="V27" i="9"/>
  <c r="AG23" i="9"/>
  <c r="AG15" i="9"/>
  <c r="AG11" i="9"/>
  <c r="AG9" i="9"/>
  <c r="N63" i="9"/>
  <c r="F17" i="21"/>
  <c r="D24" i="21"/>
  <c r="C31" i="21"/>
  <c r="G37" i="21"/>
  <c r="F44" i="21"/>
  <c r="AD37" i="9"/>
  <c r="AA34" i="9"/>
  <c r="AG29" i="9"/>
  <c r="X28" i="9"/>
  <c r="AA25" i="9"/>
  <c r="AG17" i="9"/>
  <c r="Y15" i="9"/>
  <c r="Y11" i="9"/>
  <c r="F40" i="21"/>
  <c r="D47" i="21"/>
  <c r="C54" i="21"/>
  <c r="E54" i="21" s="1"/>
  <c r="F58" i="21"/>
  <c r="G69" i="21"/>
  <c r="F76" i="21"/>
  <c r="AC36" i="9"/>
  <c r="AG33" i="9"/>
  <c r="AA29" i="9"/>
  <c r="AD26" i="9"/>
  <c r="AC23" i="9"/>
  <c r="AC15" i="9"/>
  <c r="AC11" i="9"/>
  <c r="N72" i="9"/>
  <c r="K63" i="9"/>
  <c r="F43" i="21"/>
  <c r="D50" i="21"/>
  <c r="C57" i="21"/>
  <c r="G63" i="21"/>
  <c r="F70" i="21"/>
  <c r="AE30" i="9"/>
  <c r="Y23" i="9"/>
  <c r="D38" i="21"/>
  <c r="D56" i="21"/>
  <c r="D74" i="21"/>
  <c r="Z30" i="9"/>
  <c r="AA17" i="9"/>
  <c r="N65" i="9"/>
  <c r="G54" i="21"/>
  <c r="C75" i="21"/>
  <c r="E75" i="21"/>
  <c r="Z36" i="9"/>
  <c r="V30" i="9"/>
  <c r="AA26" i="9"/>
  <c r="X17" i="9"/>
  <c r="Z11" i="9"/>
  <c r="K65" i="9"/>
  <c r="C19" i="21"/>
  <c r="D30" i="21"/>
  <c r="D39" i="21"/>
  <c r="F50" i="21"/>
  <c r="AC35" i="9"/>
  <c r="Z29" i="9"/>
  <c r="F20" i="21"/>
  <c r="AD38" i="9"/>
  <c r="V26" i="9"/>
  <c r="AG14" i="9"/>
  <c r="X9" i="9"/>
  <c r="P65" i="9"/>
  <c r="G23" i="21"/>
  <c r="C44" i="21"/>
  <c r="E44" i="21"/>
  <c r="C58" i="21"/>
  <c r="C68" i="21"/>
  <c r="E68" i="21"/>
  <c r="G77" i="21"/>
  <c r="F84" i="21"/>
  <c r="G17" i="21"/>
  <c r="C38" i="21"/>
  <c r="E38" i="21" s="1"/>
  <c r="C55" i="21"/>
  <c r="E55" i="21"/>
  <c r="C65" i="21"/>
  <c r="E65" i="21"/>
  <c r="G71" i="21"/>
  <c r="D80" i="21"/>
  <c r="C87" i="21"/>
  <c r="E87" i="21"/>
  <c r="F18" i="21"/>
  <c r="G38" i="21"/>
  <c r="D55" i="21"/>
  <c r="D72" i="21"/>
  <c r="F80" i="21"/>
  <c r="D87" i="21"/>
  <c r="P27" i="9"/>
  <c r="N26" i="9"/>
  <c r="K50" i="9"/>
  <c r="D36" i="21"/>
  <c r="AE36" i="9"/>
  <c r="AG26" i="9"/>
  <c r="V19" i="9"/>
  <c r="W19" i="9" a="1"/>
  <c r="W19" i="9"/>
  <c r="AC14" i="9"/>
  <c r="AA9" i="9"/>
  <c r="M65" i="9"/>
  <c r="C26" i="21"/>
  <c r="E26" i="21"/>
  <c r="D46" i="21"/>
  <c r="C59" i="21"/>
  <c r="E59" i="21"/>
  <c r="D69" i="21"/>
  <c r="F78" i="21"/>
  <c r="D85" i="21"/>
  <c r="C20" i="21"/>
  <c r="E20" i="21" s="1"/>
  <c r="F33" i="21"/>
  <c r="G52" i="21"/>
  <c r="G62" i="21"/>
  <c r="C73" i="21"/>
  <c r="C81" i="21"/>
  <c r="E81" i="21" s="1"/>
  <c r="F85" i="21"/>
  <c r="G20" i="21"/>
  <c r="C41" i="21"/>
  <c r="C53" i="21"/>
  <c r="E53" i="21"/>
  <c r="G59" i="21"/>
  <c r="C70" i="21"/>
  <c r="E70" i="21"/>
  <c r="G76" i="21"/>
  <c r="F83" i="21"/>
  <c r="O17" i="9"/>
  <c r="L67" i="9"/>
  <c r="G31" i="21"/>
  <c r="AE40" i="9"/>
  <c r="AD28" i="9"/>
  <c r="AB23" i="9"/>
  <c r="V14" i="9"/>
  <c r="AD9" i="9"/>
  <c r="P63" i="9"/>
  <c r="D28" i="21"/>
  <c r="F48" i="21"/>
  <c r="D60" i="21"/>
  <c r="D70" i="21"/>
  <c r="D79" i="21"/>
  <c r="C86" i="21"/>
  <c r="D22" i="21"/>
  <c r="F42" i="21"/>
  <c r="D57" i="21"/>
  <c r="D67" i="21"/>
  <c r="D77" i="21"/>
  <c r="C84" i="21"/>
  <c r="Y4" i="9"/>
  <c r="F36" i="21"/>
  <c r="D54" i="21"/>
  <c r="D64" i="21"/>
  <c r="F74" i="21"/>
  <c r="C82" i="21"/>
  <c r="C16" i="21"/>
  <c r="T67" i="9"/>
  <c r="S62" i="9"/>
  <c r="X51" i="9"/>
  <c r="P17" i="9"/>
  <c r="T40" i="9"/>
  <c r="S39" i="9"/>
  <c r="X39" i="9"/>
  <c r="S8" i="9"/>
  <c r="T33" i="9"/>
  <c r="M40" i="9"/>
  <c r="L8" i="9"/>
  <c r="P33" i="9"/>
  <c r="T42" i="9"/>
  <c r="K49" i="9"/>
  <c r="M56" i="9"/>
  <c r="P11" i="9"/>
  <c r="M36" i="9"/>
  <c r="O9" i="9"/>
  <c r="K33" i="9"/>
  <c r="N42" i="9"/>
  <c r="P12" i="9"/>
  <c r="M23" i="9"/>
  <c r="I18" i="21" a="1"/>
  <c r="I18" i="21" s="1"/>
  <c r="I45" i="21" a="1"/>
  <c r="I45" i="21"/>
  <c r="I72" i="21" a="1"/>
  <c r="I72" i="21" s="1"/>
  <c r="T71" i="9"/>
  <c r="K41" i="9"/>
  <c r="L52" i="9"/>
  <c r="S17" i="9"/>
  <c r="M17" i="9"/>
  <c r="P67" i="9"/>
  <c r="O62" i="9"/>
  <c r="P62" i="9"/>
  <c r="L45" i="9"/>
  <c r="M46" i="9"/>
  <c r="M26" i="9"/>
  <c r="N9" i="9"/>
  <c r="T34" i="9"/>
  <c r="L42" i="9"/>
  <c r="M30" i="9"/>
  <c r="N12" i="9"/>
  <c r="T44" i="9"/>
  <c r="O24" i="9"/>
  <c r="T9" i="9"/>
  <c r="N33" i="9"/>
  <c r="P25" i="9"/>
  <c r="L12" i="9"/>
  <c r="T23" i="9"/>
  <c r="I21" i="21" a="1"/>
  <c r="I21" i="21"/>
  <c r="I48" i="21" a="1"/>
  <c r="I48" i="21" s="1"/>
  <c r="I75" i="21" a="1"/>
  <c r="I75" i="21"/>
  <c r="M73" i="9"/>
  <c r="N41" i="9"/>
  <c r="P74" i="9"/>
  <c r="AA10" i="9"/>
  <c r="N18" i="9"/>
  <c r="N17" i="9"/>
  <c r="T28" i="9"/>
  <c r="L40" i="9"/>
  <c r="K39" i="9"/>
  <c r="M9" i="9"/>
  <c r="N34" i="9"/>
  <c r="S57" i="9"/>
  <c r="X8" i="9"/>
  <c r="L34" i="9"/>
  <c r="O57" i="9"/>
  <c r="O37" i="9"/>
  <c r="T54" i="9"/>
  <c r="L44" i="9"/>
  <c r="P48" i="9"/>
  <c r="K67" i="9"/>
  <c r="N45" i="9"/>
  <c r="T46" i="9"/>
  <c r="T30" i="9"/>
  <c r="K44" i="9"/>
  <c r="S24" i="9"/>
  <c r="I42" i="21" a="1"/>
  <c r="I42" i="21"/>
  <c r="I69" i="21" a="1"/>
  <c r="I69" i="21"/>
  <c r="O14" i="9"/>
  <c r="AD18" i="9"/>
  <c r="L70" i="9"/>
  <c r="AC31" i="9"/>
  <c r="Y22" i="9"/>
  <c r="AC75" i="9"/>
  <c r="Z6" i="9"/>
  <c r="M37" i="9"/>
  <c r="O56" i="9"/>
  <c r="S48" i="9"/>
  <c r="I28" i="21" a="1"/>
  <c r="I28" i="21"/>
  <c r="C45" i="21"/>
  <c r="C63" i="21"/>
  <c r="E63" i="21"/>
  <c r="AE37" i="9"/>
  <c r="AC27" i="9"/>
  <c r="AG12" i="9"/>
  <c r="D41" i="21"/>
  <c r="F61" i="21"/>
  <c r="X41" i="9"/>
  <c r="AB34" i="9"/>
  <c r="X29" i="9"/>
  <c r="AF29" i="9" a="1"/>
  <c r="AF29" i="9" s="1"/>
  <c r="AC24" i="9"/>
  <c r="Z15" i="9"/>
  <c r="AC9" i="9"/>
  <c r="N60" i="9"/>
  <c r="F23" i="21"/>
  <c r="F32" i="21"/>
  <c r="G43" i="21"/>
  <c r="V40" i="9"/>
  <c r="AE33" i="9"/>
  <c r="AA28" i="9"/>
  <c r="C34" i="21"/>
  <c r="V35" i="9"/>
  <c r="V22" i="9"/>
  <c r="AE12" i="9"/>
  <c r="P72" i="9"/>
  <c r="M63" i="9"/>
  <c r="F30" i="21"/>
  <c r="G50" i="21"/>
  <c r="D61" i="21"/>
  <c r="F71" i="21"/>
  <c r="C80" i="21"/>
  <c r="E80" i="21" s="1"/>
  <c r="G86" i="21"/>
  <c r="F24" i="21"/>
  <c r="G44" i="21"/>
  <c r="D58" i="21"/>
  <c r="D75" i="21"/>
  <c r="F82" i="21"/>
  <c r="D25" i="21"/>
  <c r="F45" i="21"/>
  <c r="G58" i="21"/>
  <c r="F65" i="21"/>
  <c r="F75" i="21"/>
  <c r="G82" i="21"/>
  <c r="T17" i="9"/>
  <c r="O67" i="9"/>
  <c r="N62" i="9"/>
  <c r="G22" i="21"/>
  <c r="C43" i="21"/>
  <c r="X34" i="9"/>
  <c r="AD25" i="9"/>
  <c r="AE11" i="9"/>
  <c r="M72" i="9"/>
  <c r="P58" i="9"/>
  <c r="G32" i="21"/>
  <c r="D52" i="21"/>
  <c r="F62" i="21"/>
  <c r="F72" i="21"/>
  <c r="G80" i="21"/>
  <c r="F87" i="21"/>
  <c r="D40" i="21"/>
  <c r="C56" i="21"/>
  <c r="E56" i="21"/>
  <c r="D66" i="21"/>
  <c r="G87" i="21"/>
  <c r="F27" i="21"/>
  <c r="D63" i="21"/>
  <c r="C79" i="21"/>
  <c r="E79" i="21"/>
  <c r="G85" i="21"/>
  <c r="N28" i="9"/>
  <c r="D18" i="21"/>
  <c r="F38" i="21"/>
  <c r="AG35" i="9"/>
  <c r="AC26" i="9"/>
  <c r="AC17" i="9"/>
  <c r="AB11" i="9"/>
  <c r="P69" i="9"/>
  <c r="M50" i="9"/>
  <c r="C35" i="21"/>
  <c r="E35" i="21"/>
  <c r="F53" i="21"/>
  <c r="F63" i="21"/>
  <c r="G73" i="21"/>
  <c r="F81" i="21"/>
  <c r="F16" i="21"/>
  <c r="C29" i="21"/>
  <c r="E29" i="21" s="1"/>
  <c r="D49" i="21"/>
  <c r="F60" i="21"/>
  <c r="G70" i="21"/>
  <c r="F79" i="21"/>
  <c r="D86" i="21"/>
  <c r="C23" i="21"/>
  <c r="E23" i="21" s="1"/>
  <c r="D43" i="21"/>
  <c r="F57" i="21"/>
  <c r="G67" i="21"/>
  <c r="F77" i="21"/>
  <c r="D84" i="21"/>
  <c r="L17" i="9"/>
  <c r="S40" i="9"/>
  <c r="P39" i="9"/>
  <c r="K17" i="9"/>
  <c r="O28" i="9"/>
  <c r="T26" i="9"/>
  <c r="AA39" i="9"/>
  <c r="Z12" i="9"/>
  <c r="T45" i="9"/>
  <c r="K57" i="9"/>
  <c r="L39" i="9"/>
  <c r="M45" i="9"/>
  <c r="S46" i="9"/>
  <c r="S25" i="9"/>
  <c r="L54" i="9"/>
  <c r="N47" i="9"/>
  <c r="S23" i="9"/>
  <c r="T39" i="9"/>
  <c r="P8" i="9"/>
  <c r="L46" i="9"/>
  <c r="S37" i="9"/>
  <c r="T56" i="9"/>
  <c r="O48" i="9"/>
  <c r="I27" i="21" a="1"/>
  <c r="I27" i="21" s="1"/>
  <c r="I54" i="21" a="1"/>
  <c r="I54" i="21"/>
  <c r="I81" i="21" a="1"/>
  <c r="I81" i="21"/>
  <c r="AA51" i="9"/>
  <c r="AB32" i="9"/>
  <c r="M74" i="9"/>
  <c r="X4" i="9"/>
  <c r="P28" i="9"/>
  <c r="L28" i="9"/>
  <c r="O40" i="9"/>
  <c r="N39" i="9"/>
  <c r="Z8" i="9"/>
  <c r="K34" i="9"/>
  <c r="N57" i="9"/>
  <c r="Z51" i="9"/>
  <c r="O8" i="9"/>
  <c r="K46" i="9"/>
  <c r="K25" i="9"/>
  <c r="N49" i="9"/>
  <c r="P56" i="9"/>
  <c r="K23" i="9"/>
  <c r="P36" i="9"/>
  <c r="K45" i="9"/>
  <c r="O46" i="9"/>
  <c r="K30" i="9"/>
  <c r="O47" i="9"/>
  <c r="M24" i="9"/>
  <c r="I30" i="21" a="1"/>
  <c r="I30" i="21" s="1"/>
  <c r="I57" i="21" a="1"/>
  <c r="I57" i="21"/>
  <c r="I84" i="21" a="1"/>
  <c r="I84" i="21"/>
  <c r="L14" i="9"/>
  <c r="AB75" i="9"/>
  <c r="AB8" i="9"/>
  <c r="AG7" i="9"/>
  <c r="M28" i="9"/>
  <c r="S27" i="9"/>
  <c r="L26" i="9"/>
  <c r="P40" i="9"/>
  <c r="N8" i="9"/>
  <c r="O33" i="9"/>
  <c r="N67" i="9"/>
  <c r="Z26" i="9"/>
  <c r="Y12" i="9"/>
  <c r="G51" i="21"/>
  <c r="F67" i="21"/>
  <c r="AE34" i="9"/>
  <c r="AG24" i="9"/>
  <c r="Z9" i="9"/>
  <c r="C48" i="21"/>
  <c r="E48" i="21" s="1"/>
  <c r="D68" i="21"/>
  <c r="V37" i="9"/>
  <c r="W37" i="9" s="1" a="1"/>
  <c r="W37" i="9" s="1"/>
  <c r="AC33" i="9"/>
  <c r="Z27" i="9"/>
  <c r="Z23" i="9"/>
  <c r="AC12" i="9"/>
  <c r="K72" i="9"/>
  <c r="AD4" i="9"/>
  <c r="G25" i="21"/>
  <c r="C37" i="21"/>
  <c r="C46" i="21"/>
  <c r="E46" i="21"/>
  <c r="AB36" i="9"/>
  <c r="V32" i="9"/>
  <c r="N58" i="9"/>
  <c r="G40" i="21"/>
  <c r="AE27" i="9"/>
  <c r="Z17" i="9"/>
  <c r="AG10" i="9"/>
  <c r="M69" i="9"/>
  <c r="C17" i="21"/>
  <c r="E17" i="21" s="1"/>
  <c r="D37" i="21"/>
  <c r="F54" i="21"/>
  <c r="G64" i="21"/>
  <c r="G74" i="21"/>
  <c r="D82" i="21"/>
  <c r="P60" i="9"/>
  <c r="D31" i="21"/>
  <c r="F51" i="21"/>
  <c r="G61" i="21"/>
  <c r="F68" i="21"/>
  <c r="C78" i="21"/>
  <c r="G84" i="21"/>
  <c r="M60" i="9"/>
  <c r="C32" i="21"/>
  <c r="E32" i="21" s="1"/>
  <c r="C52" i="21"/>
  <c r="E52" i="21"/>
  <c r="C62" i="21"/>
  <c r="E62" i="21"/>
  <c r="G68" i="21"/>
  <c r="D78" i="21"/>
  <c r="C85" i="21"/>
  <c r="E85" i="21"/>
  <c r="S28" i="9"/>
  <c r="N40" i="9"/>
  <c r="M39" i="9"/>
  <c r="F29" i="21"/>
  <c r="G49" i="21"/>
  <c r="AC29" i="9"/>
  <c r="AE23" i="9"/>
  <c r="AE15" i="9"/>
  <c r="AC10" i="9"/>
  <c r="P68" i="9"/>
  <c r="D19" i="21"/>
  <c r="F39" i="21"/>
  <c r="G55" i="21"/>
  <c r="G65" i="21"/>
  <c r="C76" i="21"/>
  <c r="C83" i="21"/>
  <c r="M58" i="9"/>
  <c r="G26" i="21"/>
  <c r="C47" i="21"/>
  <c r="E47" i="21"/>
  <c r="F59" i="21"/>
  <c r="F69" i="21"/>
  <c r="G78" i="21"/>
  <c r="D83" i="21"/>
  <c r="P50" i="9"/>
  <c r="D34" i="21"/>
  <c r="G47" i="21"/>
  <c r="F56" i="21"/>
  <c r="F66" i="21"/>
  <c r="D73" i="21"/>
  <c r="D81" i="21"/>
  <c r="G16" i="21"/>
  <c r="M27" i="9"/>
  <c r="C25" i="21"/>
  <c r="E25" i="21"/>
  <c r="D45" i="21"/>
  <c r="Y33" i="9"/>
  <c r="X25" i="9"/>
  <c r="AB15" i="9"/>
  <c r="V7" i="9"/>
  <c r="W7" i="9" a="1"/>
  <c r="W7" i="9"/>
  <c r="M68" i="9"/>
  <c r="F21" i="21"/>
  <c r="G41" i="21"/>
  <c r="G56" i="21"/>
  <c r="C67" i="21"/>
  <c r="E67" i="21"/>
  <c r="C77" i="21"/>
  <c r="E77" i="21"/>
  <c r="G83" i="21"/>
  <c r="AG4" i="9"/>
  <c r="G35" i="21"/>
  <c r="G53" i="21"/>
  <c r="C64" i="21"/>
  <c r="E64" i="21"/>
  <c r="C74" i="21"/>
  <c r="E74" i="21" s="1"/>
  <c r="G81" i="21"/>
  <c r="D16" i="21"/>
  <c r="G29" i="21"/>
  <c r="C50" i="21"/>
  <c r="E50" i="21"/>
  <c r="C61" i="21"/>
  <c r="E61" i="21"/>
  <c r="C71" i="21"/>
  <c r="E71" i="21" s="1"/>
  <c r="G79" i="21"/>
  <c r="F86" i="21"/>
  <c r="K28" i="9"/>
  <c r="S26" i="9"/>
  <c r="K40" i="9"/>
  <c r="T27" i="9"/>
  <c r="N27" i="9"/>
  <c r="T62" i="9"/>
  <c r="P26" i="9"/>
  <c r="P9" i="9"/>
  <c r="S34" i="9"/>
  <c r="M42" i="9"/>
  <c r="K9" i="9"/>
  <c r="O34" i="9"/>
  <c r="T57" i="9"/>
  <c r="T37" i="9"/>
  <c r="S12" i="9"/>
  <c r="O44" i="9"/>
  <c r="L24" i="9"/>
  <c r="AA12" i="9"/>
  <c r="S45" i="9"/>
  <c r="M57" i="9"/>
  <c r="L49" i="9"/>
  <c r="P44" i="9"/>
  <c r="N36" i="9"/>
  <c r="I36" i="21" a="1"/>
  <c r="I36" i="21" s="1"/>
  <c r="I63" i="21" a="1"/>
  <c r="I63" i="21"/>
  <c r="AB12" i="9"/>
  <c r="T14" i="9"/>
  <c r="AB31" i="9"/>
  <c r="K26" i="9"/>
  <c r="O27" i="9"/>
  <c r="K27" i="9"/>
  <c r="O26" i="9"/>
  <c r="S67" i="9"/>
  <c r="K8" i="9"/>
  <c r="L33" i="9"/>
  <c r="P42" i="9"/>
  <c r="X12" i="9"/>
  <c r="P45" i="9"/>
  <c r="L57" i="9"/>
  <c r="L37" i="9"/>
  <c r="O54" i="9"/>
  <c r="S47" i="9"/>
  <c r="M48" i="9"/>
  <c r="AA8" i="9"/>
  <c r="M34" i="9"/>
  <c r="P57" i="9"/>
  <c r="K54" i="9"/>
  <c r="L11" i="9"/>
  <c r="T36" i="9"/>
  <c r="I39" i="21" a="1"/>
  <c r="I39" i="21"/>
  <c r="I66" i="21" a="1"/>
  <c r="I66" i="21" s="1"/>
  <c r="L71" i="9"/>
  <c r="M15" i="9"/>
  <c r="O52" i="9"/>
  <c r="S7" i="9"/>
  <c r="K62" i="9"/>
  <c r="L27" i="9"/>
  <c r="M67" i="9"/>
  <c r="L62" i="9"/>
  <c r="O39" i="9"/>
  <c r="O45" i="9"/>
  <c r="P46" i="9"/>
  <c r="M62" i="9"/>
  <c r="T8" i="9"/>
  <c r="N46" i="9"/>
  <c r="N25" i="9"/>
  <c r="S49" i="9"/>
  <c r="K47" i="9"/>
  <c r="N23" i="9"/>
  <c r="AB39" i="9"/>
  <c r="M8" i="9"/>
  <c r="S33" i="9"/>
  <c r="T25" i="9"/>
  <c r="N56" i="9"/>
  <c r="K48" i="9"/>
  <c r="I33" i="21" a="1"/>
  <c r="I33" i="21"/>
  <c r="I60" i="21" a="1"/>
  <c r="I60" i="21"/>
  <c r="I87" i="21" a="1"/>
  <c r="I87" i="21" s="1"/>
  <c r="L18" i="9"/>
  <c r="N31" i="9"/>
  <c r="AE16" i="9"/>
  <c r="AG55" i="9"/>
  <c r="AE21" i="9"/>
  <c r="AA20" i="9"/>
  <c r="P54" i="9"/>
  <c r="T11" i="9"/>
  <c r="I19" i="21" a="1"/>
  <c r="I19" i="21" s="1"/>
  <c r="A58" i="18" s="1" a="1"/>
  <c r="A58" i="18" s="1"/>
  <c r="I46" i="21" a="1"/>
  <c r="I46" i="21" s="1"/>
  <c r="S9" i="9"/>
  <c r="P30" i="9"/>
  <c r="T24" i="9"/>
  <c r="K42" i="9"/>
  <c r="I24" i="21" a="1"/>
  <c r="I24" i="21" s="1"/>
  <c r="AB22" i="9"/>
  <c r="P16" i="9"/>
  <c r="Y19" i="9"/>
  <c r="M49" i="9"/>
  <c r="I37" i="21" a="1"/>
  <c r="I37" i="21" s="1"/>
  <c r="I73" i="21" a="1"/>
  <c r="I73" i="21"/>
  <c r="N73" i="9"/>
  <c r="O41" i="9"/>
  <c r="P52" i="9"/>
  <c r="AB10" i="9"/>
  <c r="AC13" i="9"/>
  <c r="M70" i="9"/>
  <c r="AD31" i="9"/>
  <c r="X53" i="9"/>
  <c r="Z22" i="9"/>
  <c r="AD75" i="9"/>
  <c r="X6" i="9"/>
  <c r="N20" i="9"/>
  <c r="AD64" i="9"/>
  <c r="S42" i="9"/>
  <c r="S54" i="9"/>
  <c r="O11" i="9"/>
  <c r="I23" i="21" a="1"/>
  <c r="I23" i="21"/>
  <c r="I50" i="21" a="1"/>
  <c r="I50" i="21"/>
  <c r="I77" i="21" a="1"/>
  <c r="I77" i="21" s="1"/>
  <c r="T73" i="9"/>
  <c r="P41" i="9"/>
  <c r="S52" i="9"/>
  <c r="AB4" i="9"/>
  <c r="Y18" i="9"/>
  <c r="Y13" i="9"/>
  <c r="X31" i="9"/>
  <c r="AC66" i="9"/>
  <c r="X75" i="9"/>
  <c r="AE32" i="9"/>
  <c r="X64" i="9"/>
  <c r="AC32" i="9"/>
  <c r="I65" i="21" a="1"/>
  <c r="I65" i="21"/>
  <c r="N70" i="9"/>
  <c r="Z5" i="9"/>
  <c r="P15" i="9"/>
  <c r="L13" i="9"/>
  <c r="N13" i="9"/>
  <c r="S31" i="9"/>
  <c r="Z66" i="9"/>
  <c r="N64" i="9"/>
  <c r="O49" i="9"/>
  <c r="S44" i="9"/>
  <c r="I22" i="21" a="1"/>
  <c r="I22" i="21"/>
  <c r="I49" i="21" a="1"/>
  <c r="I49" i="21"/>
  <c r="I76" i="21" a="1"/>
  <c r="I76" i="21" s="1"/>
  <c r="S73" i="9"/>
  <c r="T41" i="9"/>
  <c r="K74" i="9"/>
  <c r="Z4" i="9"/>
  <c r="S18" i="9"/>
  <c r="S13" i="9"/>
  <c r="T31" i="9"/>
  <c r="AA66" i="9"/>
  <c r="AD32" i="9"/>
  <c r="T64" i="9"/>
  <c r="AG64" i="9"/>
  <c r="P49" i="9"/>
  <c r="N44" i="9"/>
  <c r="L36" i="9"/>
  <c r="I35" i="21" a="1"/>
  <c r="I35" i="21"/>
  <c r="I62" i="21" a="1"/>
  <c r="I62" i="21" s="1"/>
  <c r="K71" i="9"/>
  <c r="S14" i="9"/>
  <c r="AB16" i="9"/>
  <c r="AA18" i="9"/>
  <c r="AD13" i="9"/>
  <c r="M31" i="9"/>
  <c r="AD16" i="9"/>
  <c r="AG5" i="9"/>
  <c r="AE55" i="9"/>
  <c r="AD21" i="9"/>
  <c r="X32" i="9"/>
  <c r="M64" i="9"/>
  <c r="I29" i="21" a="1"/>
  <c r="I29" i="21"/>
  <c r="N71" i="9"/>
  <c r="L15" i="9"/>
  <c r="AB13" i="9"/>
  <c r="AE31" i="9"/>
  <c r="P73" i="9"/>
  <c r="Z10" i="9"/>
  <c r="X13" i="9"/>
  <c r="T70" i="9"/>
  <c r="M16" i="9"/>
  <c r="AD53" i="9"/>
  <c r="AG22" i="9"/>
  <c r="M21" i="9"/>
  <c r="K37" i="9"/>
  <c r="K56" i="9"/>
  <c r="L48" i="9"/>
  <c r="I34" i="21" a="1"/>
  <c r="I34" i="21"/>
  <c r="I61" i="21" a="1"/>
  <c r="I61" i="21" s="1"/>
  <c r="I16" i="21" a="1"/>
  <c r="I16" i="21"/>
  <c r="K15" i="9"/>
  <c r="AB70" i="9"/>
  <c r="X18" i="9"/>
  <c r="AA13" i="9"/>
  <c r="X70" i="9"/>
  <c r="N16" i="9"/>
  <c r="AE53" i="9"/>
  <c r="N21" i="9"/>
  <c r="AE6" i="9"/>
  <c r="Y20" i="9"/>
  <c r="AC8" i="9"/>
  <c r="O25" i="9"/>
  <c r="M12" i="9"/>
  <c r="P23" i="9"/>
  <c r="I20" i="21" a="1"/>
  <c r="I20" i="21" s="1"/>
  <c r="N7" i="9"/>
  <c r="T16" i="9"/>
  <c r="P64" i="9"/>
  <c r="AE75" i="9"/>
  <c r="X20" i="9"/>
  <c r="T21" i="9"/>
  <c r="S61" i="9"/>
  <c r="AB24" i="9"/>
  <c r="M61" i="9"/>
  <c r="Z24" i="9"/>
  <c r="L61" i="9"/>
  <c r="M33" i="9"/>
  <c r="K12" i="9"/>
  <c r="L9" i="9"/>
  <c r="M54" i="9"/>
  <c r="I51" i="21" a="1"/>
  <c r="I51" i="21"/>
  <c r="AE18" i="9"/>
  <c r="X5" i="9"/>
  <c r="P21" i="9"/>
  <c r="M44" i="9"/>
  <c r="I55" i="21" a="1"/>
  <c r="I55" i="21"/>
  <c r="I82" i="21" a="1"/>
  <c r="I82" i="21"/>
  <c r="M14" i="9"/>
  <c r="AB19" i="9"/>
  <c r="S74" i="9"/>
  <c r="AC38" i="9"/>
  <c r="O18" i="9"/>
  <c r="AA70" i="9"/>
  <c r="S16" i="9"/>
  <c r="Y5" i="9"/>
  <c r="Z19" i="9"/>
  <c r="S21" i="9"/>
  <c r="AB20" i="9"/>
  <c r="AC37" i="9"/>
  <c r="N37" i="9"/>
  <c r="L56" i="9"/>
  <c r="N48" i="9"/>
  <c r="I32" i="21" a="1"/>
  <c r="I32" i="21" s="1"/>
  <c r="I59" i="21" a="1"/>
  <c r="I59" i="21"/>
  <c r="I86" i="21" a="1"/>
  <c r="I86" i="21"/>
  <c r="N14" i="9"/>
  <c r="AB66" i="9"/>
  <c r="T74" i="9"/>
  <c r="M18" i="9"/>
  <c r="P13" i="9"/>
  <c r="S70" i="9"/>
  <c r="L16" i="9"/>
  <c r="AC53" i="9"/>
  <c r="AE22" i="9"/>
  <c r="L21" i="9"/>
  <c r="AC6" i="9"/>
  <c r="T20" i="9"/>
  <c r="AB37" i="9"/>
  <c r="K64" i="9"/>
  <c r="I83" i="21" a="1"/>
  <c r="I83" i="21"/>
  <c r="P31" i="9"/>
  <c r="Z55" i="9"/>
  <c r="T7" i="9"/>
  <c r="O70" i="9"/>
  <c r="AG31" i="9"/>
  <c r="Z53" i="9"/>
  <c r="AC22" i="9"/>
  <c r="AG75" i="9"/>
  <c r="AD6" i="9"/>
  <c r="L25" i="9"/>
  <c r="O12" i="9"/>
  <c r="I58" i="21" a="1"/>
  <c r="I58" i="21" s="1"/>
  <c r="AB53" i="9"/>
  <c r="K16" i="9"/>
  <c r="K21" i="9"/>
  <c r="AC19" i="9"/>
  <c r="L23" i="9"/>
  <c r="I71" i="21" a="1"/>
  <c r="I71" i="21"/>
  <c r="K52" i="9"/>
  <c r="AA31" i="9"/>
  <c r="AA75" i="9"/>
  <c r="M20" i="9"/>
  <c r="M41" i="9"/>
  <c r="Y53" i="9"/>
  <c r="M7" i="9"/>
  <c r="AD5" i="9"/>
  <c r="P20" i="9"/>
  <c r="K36" i="9"/>
  <c r="K73" i="9"/>
  <c r="O13" i="9"/>
  <c r="AC16" i="9"/>
  <c r="AC21" i="9"/>
  <c r="O30" i="9"/>
  <c r="I56" i="21" a="1"/>
  <c r="I56" i="21" s="1"/>
  <c r="AC20" i="9"/>
  <c r="AA55" i="9"/>
  <c r="P34" i="9"/>
  <c r="Z70" i="9"/>
  <c r="I64" i="21" a="1"/>
  <c r="I64" i="21" s="1"/>
  <c r="AB18" i="9"/>
  <c r="O31" i="9"/>
  <c r="AG21" i="9"/>
  <c r="S64" i="9"/>
  <c r="P24" i="9"/>
  <c r="S71" i="9"/>
  <c r="AE7" i="9"/>
  <c r="Z16" i="9"/>
  <c r="Z21" i="9"/>
  <c r="O71" i="9"/>
  <c r="X16" i="9"/>
  <c r="X21" i="9"/>
  <c r="L47" i="9"/>
  <c r="I67" i="21" a="1"/>
  <c r="I67" i="21" s="1"/>
  <c r="X55" i="9"/>
  <c r="AF55" i="9" a="1"/>
  <c r="AF55" i="9" s="1"/>
  <c r="AE70" i="9"/>
  <c r="AE19" i="9"/>
  <c r="X37" i="9"/>
  <c r="T48" i="9"/>
  <c r="I80" i="21" a="1"/>
  <c r="I80" i="21" s="1"/>
  <c r="L74" i="9"/>
  <c r="Y70" i="9"/>
  <c r="X19" i="9"/>
  <c r="Z20" i="9"/>
  <c r="I74" i="21" a="1"/>
  <c r="I74" i="21" s="1"/>
  <c r="AC70" i="9"/>
  <c r="AE13" i="9"/>
  <c r="Y75" i="9"/>
  <c r="N11" i="9"/>
  <c r="I79" i="21" a="1"/>
  <c r="I79" i="21" s="1"/>
  <c r="N74" i="9"/>
  <c r="AG13" i="9"/>
  <c r="Z75" i="9"/>
  <c r="Z37" i="9"/>
  <c r="AF37" i="9" a="1"/>
  <c r="AF37" i="9" s="1"/>
  <c r="S36" i="9"/>
  <c r="Y66" i="9"/>
  <c r="O20" i="9"/>
  <c r="T61" i="9"/>
  <c r="N61" i="9"/>
  <c r="X24" i="9"/>
  <c r="L75" i="9"/>
  <c r="M5" i="9"/>
  <c r="N19" i="9"/>
  <c r="O55" i="9"/>
  <c r="P53" i="9"/>
  <c r="E43" i="9"/>
  <c r="E15" i="9"/>
  <c r="M22" i="9"/>
  <c r="N32" i="9"/>
  <c r="O66" i="9"/>
  <c r="P6" i="9"/>
  <c r="S75" i="9"/>
  <c r="T5" i="9"/>
  <c r="K55" i="9"/>
  <c r="L53" i="9"/>
  <c r="E74" i="9"/>
  <c r="O23" i="9"/>
  <c r="I85" i="21" a="1"/>
  <c r="I85" i="21"/>
  <c r="M13" i="9"/>
  <c r="AA53" i="9"/>
  <c r="AA6" i="9"/>
  <c r="M25" i="9"/>
  <c r="I17" i="21" a="1"/>
  <c r="I17" i="21"/>
  <c r="L73" i="9"/>
  <c r="T13" i="9"/>
  <c r="X22" i="9"/>
  <c r="L20" i="9"/>
  <c r="I47" i="21" a="1"/>
  <c r="I47" i="21" s="1"/>
  <c r="N52" i="9"/>
  <c r="S41" i="9"/>
  <c r="K31" i="9"/>
  <c r="Y55" i="9"/>
  <c r="N30" i="9"/>
  <c r="I43" i="21" a="1"/>
  <c r="I43" i="21"/>
  <c r="L41" i="9"/>
  <c r="P7" i="9"/>
  <c r="AE5" i="9"/>
  <c r="L64" i="9"/>
  <c r="M47" i="9"/>
  <c r="K18" i="9"/>
  <c r="Y6" i="9"/>
  <c r="O42" i="9"/>
  <c r="S11" i="9"/>
  <c r="Y32" i="9"/>
  <c r="M71" i="9"/>
  <c r="K7" i="9"/>
  <c r="AG16" i="9"/>
  <c r="Z32" i="9"/>
  <c r="S30" i="9"/>
  <c r="I41" i="21" a="1"/>
  <c r="I41" i="21" s="1"/>
  <c r="O15" i="9"/>
  <c r="AG18" i="9"/>
  <c r="AC5" i="9"/>
  <c r="AG20" i="9"/>
  <c r="Z18" i="9"/>
  <c r="AA5" i="9"/>
  <c r="AG32" i="9"/>
  <c r="N24" i="9"/>
  <c r="P71" i="9"/>
  <c r="Y7" i="9"/>
  <c r="Y16" i="9"/>
  <c r="Y21" i="9"/>
  <c r="P37" i="9"/>
  <c r="I26" i="21" a="1"/>
  <c r="I26" i="21" s="1"/>
  <c r="AA4" i="9"/>
  <c r="X10" i="9"/>
  <c r="O16" i="9"/>
  <c r="O21" i="9"/>
  <c r="AC4" i="9"/>
  <c r="K14" i="9"/>
  <c r="T52" i="9"/>
  <c r="Y31" i="9"/>
  <c r="AC64" i="9"/>
  <c r="I25" i="21" a="1"/>
  <c r="I25" i="21" s="1"/>
  <c r="AB51" i="9"/>
  <c r="Z39" i="9"/>
  <c r="Z31" i="9"/>
  <c r="K20" i="9"/>
  <c r="T49" i="9"/>
  <c r="O74" i="9"/>
  <c r="AA32" i="9"/>
  <c r="AA19" i="9"/>
  <c r="Y61" i="9"/>
  <c r="P61" i="9"/>
  <c r="K32" i="9"/>
  <c r="L66" i="9"/>
  <c r="M6" i="9"/>
  <c r="N75" i="9"/>
  <c r="O5" i="9"/>
  <c r="P19" i="9"/>
  <c r="S55" i="9"/>
  <c r="T53" i="9"/>
  <c r="I31" i="21" a="1"/>
  <c r="I31" i="21"/>
  <c r="P14" i="9"/>
  <c r="P70" i="9"/>
  <c r="AD22" i="9"/>
  <c r="S20" i="9"/>
  <c r="T12" i="9"/>
  <c r="I44" i="21" a="1"/>
  <c r="I44" i="21" s="1"/>
  <c r="T15" i="9"/>
  <c r="K70" i="9"/>
  <c r="AG66" i="9"/>
  <c r="AA64" i="9"/>
  <c r="O73" i="9"/>
  <c r="T18" i="9"/>
  <c r="P18" i="9"/>
  <c r="AA16" i="9"/>
  <c r="AA21" i="9"/>
  <c r="P47" i="9"/>
  <c r="I70" i="21" a="1"/>
  <c r="I70" i="21" s="1"/>
  <c r="M52" i="9"/>
  <c r="L31" i="9"/>
  <c r="AD55" i="9"/>
  <c r="AD20" i="9"/>
  <c r="K24" i="9"/>
  <c r="AA22" i="9"/>
  <c r="AA37" i="9"/>
  <c r="M11" i="9"/>
  <c r="I78" i="21" a="1"/>
  <c r="I78" i="21" s="1"/>
  <c r="O36" i="9"/>
  <c r="N15" i="9"/>
  <c r="AD7" i="9"/>
  <c r="X66" i="9"/>
  <c r="O64" i="9"/>
  <c r="T47" i="9"/>
  <c r="I68" i="21" a="1"/>
  <c r="I68" i="21" s="1"/>
  <c r="AB55" i="9"/>
  <c r="AG70" i="9"/>
  <c r="AG19" i="9"/>
  <c r="I38" i="21" a="1"/>
  <c r="I38" i="21"/>
  <c r="AD70" i="9"/>
  <c r="AD19" i="9"/>
  <c r="L30" i="9"/>
  <c r="I40" i="21" a="1"/>
  <c r="I40" i="21" s="1"/>
  <c r="S15" i="9"/>
  <c r="AC18" i="9"/>
  <c r="AB5" i="9"/>
  <c r="AE20" i="9"/>
  <c r="S56" i="9"/>
  <c r="I53" i="21" a="1"/>
  <c r="I53" i="21"/>
  <c r="AB64" i="9"/>
  <c r="O7" i="9"/>
  <c r="AG53" i="9"/>
  <c r="AG6" i="9"/>
  <c r="Y64" i="9"/>
  <c r="AB21" i="9"/>
  <c r="Z13" i="9"/>
  <c r="AD66" i="9"/>
  <c r="N54" i="9"/>
  <c r="I52" i="21" a="1"/>
  <c r="I52" i="21" s="1"/>
  <c r="AB6" i="9"/>
  <c r="L7" i="9"/>
  <c r="AE66" i="9"/>
  <c r="Z64" i="9"/>
  <c r="K11" i="9"/>
  <c r="K13" i="9"/>
  <c r="AE64" i="9"/>
  <c r="AA24" i="9"/>
  <c r="O61" i="9"/>
  <c r="K61" i="9"/>
  <c r="E14" i="9"/>
  <c r="E37" i="9"/>
  <c r="O32" i="9"/>
  <c r="M66" i="9"/>
  <c r="S22" i="9"/>
  <c r="O22" i="9"/>
  <c r="P32" i="9"/>
  <c r="S66" i="9"/>
  <c r="T6" i="9"/>
  <c r="K5" i="9"/>
  <c r="L19" i="9"/>
  <c r="M55" i="9"/>
  <c r="N53" i="9"/>
  <c r="N6" i="9"/>
  <c r="O75" i="9"/>
  <c r="P5" i="9"/>
  <c r="S19" i="9"/>
  <c r="T55" i="9"/>
  <c r="E12" i="9"/>
  <c r="E48" i="9"/>
  <c r="E59" i="9"/>
  <c r="P22" i="9"/>
  <c r="S32" i="9"/>
  <c r="T66" i="9"/>
  <c r="K75" i="9"/>
  <c r="L5" i="9"/>
  <c r="M19" i="9"/>
  <c r="N55" i="9"/>
  <c r="O53" i="9"/>
  <c r="T32" i="9"/>
  <c r="T22" i="9"/>
  <c r="L6" i="9"/>
  <c r="M75" i="9"/>
  <c r="P55" i="9"/>
  <c r="S6" i="9"/>
  <c r="L55" i="9"/>
  <c r="E24" i="9"/>
  <c r="E41" i="9"/>
  <c r="D53" i="9"/>
  <c r="E53" i="9" s="1"/>
  <c r="E30" i="9"/>
  <c r="E46" i="9"/>
  <c r="E71" i="9"/>
  <c r="P66" i="9"/>
  <c r="K22" i="9"/>
  <c r="E17" i="9"/>
  <c r="E36" i="9"/>
  <c r="E52" i="9"/>
  <c r="N5" i="9"/>
  <c r="S53" i="9"/>
  <c r="K19" i="9"/>
  <c r="E22" i="9"/>
  <c r="E25" i="9"/>
  <c r="K66" i="9"/>
  <c r="O19" i="9"/>
  <c r="T75" i="9"/>
  <c r="M53" i="9"/>
  <c r="AF70" i="9" a="1"/>
  <c r="AF70" i="9" s="1"/>
  <c r="E27" i="21"/>
  <c r="E37" i="21"/>
  <c r="AF8" i="9" a="1"/>
  <c r="AF8" i="9"/>
  <c r="E22" i="21"/>
  <c r="E42" i="21"/>
  <c r="AA7" i="9"/>
  <c r="E45" i="21"/>
  <c r="E31" i="21"/>
  <c r="D76" i="21"/>
  <c r="E76" i="21" s="1"/>
  <c r="E84" i="21"/>
  <c r="AF17" i="9" a="1"/>
  <c r="AF17" i="9" s="1"/>
  <c r="E72" i="21"/>
  <c r="AF24" i="9" a="1"/>
  <c r="AF24" i="9" s="1"/>
  <c r="E30" i="21"/>
  <c r="E83" i="21"/>
  <c r="E43" i="21"/>
  <c r="E58" i="21"/>
  <c r="E66" i="21"/>
  <c r="E24" i="21"/>
  <c r="Z7" i="9"/>
  <c r="E16" i="21"/>
  <c r="E39" i="21"/>
  <c r="E34" i="21"/>
  <c r="E86" i="21"/>
  <c r="E18" i="21"/>
  <c r="E40" i="21"/>
  <c r="E41" i="21"/>
  <c r="AF19" i="9" a="1"/>
  <c r="AF19" i="9" s="1"/>
  <c r="E73" i="21"/>
  <c r="E78" i="21"/>
  <c r="E57" i="21"/>
  <c r="AF4" i="9" a="1"/>
  <c r="AF4" i="9" s="1"/>
  <c r="E36" i="21"/>
  <c r="E60" i="21"/>
  <c r="AB7" i="9"/>
  <c r="K53" i="9"/>
  <c r="E82" i="21"/>
  <c r="E19" i="21"/>
  <c r="E28" i="21"/>
  <c r="X7" i="9"/>
  <c r="AF7" i="9" a="1"/>
  <c r="AF7" i="9" s="1"/>
  <c r="A10" i="18" a="1"/>
  <c r="A10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Donofrio</author>
  </authors>
  <commentList>
    <comment ref="A1" authorId="0" shapeId="0" xr:uid="{0E5E717F-C0DA-49B3-BEB2-B63E48F8BCCD}">
      <text>
        <r>
          <rPr>
            <sz val="11"/>
            <color theme="1"/>
            <rFont val="Calibri"/>
            <family val="2"/>
            <scheme val="minor"/>
          </rPr>
          <t>Live export now stages on the Save Stats sheet. Copy the Save Stats AT Tourneys block and paste values here starting in row 4 when archiving a tournament.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Donofrio</author>
  </authors>
  <commentList>
    <comment ref="A1" authorId="0" shapeId="0" xr:uid="{5A265B0D-4BCB-488F-A493-A1E386B66492}">
      <text>
        <r>
          <rPr>
            <sz val="11"/>
            <color theme="1"/>
            <rFont val="Calibri"/>
            <family val="2"/>
            <scheme val="minor"/>
          </rPr>
          <t>Live export now stages on the Save Stats sheet. Copy the Save Stats AT Bet History block and paste values here starting in row 4 when archiving a tournament.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Donofrio</author>
  </authors>
  <commentList>
    <comment ref="AF2" authorId="0" shapeId="0" xr:uid="{AEC961DF-28C5-49CD-8B8E-193D87311BB7}">
      <text>
        <r>
          <rPr>
            <sz val="11"/>
            <color theme="1"/>
            <rFont val="Calibri"/>
            <family val="2"/>
            <scheme val="minor"/>
          </rPr>
          <t>Run-credit-only PAR option: use 0 RBI 1 R to credit a player with a run scored without adding another team run or pitcher run.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<sst xmlns="http://schemas.openxmlformats.org/spreadsheetml/2006/main" count="2970" uniqueCount="402">
  <si>
    <t>Mario Super Sluggers Tournament Settings</t>
  </si>
  <si>
    <t>Current Tournament Number</t>
  </si>
  <si>
    <t>Slot</t>
  </si>
  <si>
    <t>Player Name</t>
  </si>
  <si>
    <t>Status</t>
  </si>
  <si>
    <t>In Tournament?</t>
  </si>
  <si>
    <t>Color Slot</t>
  </si>
  <si>
    <t>Seed</t>
  </si>
  <si>
    <t>Seeded Player</t>
  </si>
  <si>
    <t>Check</t>
  </si>
  <si>
    <t>Draft Slot</t>
  </si>
  <si>
    <t>Drafting Player</t>
  </si>
  <si>
    <t>Player Count</t>
  </si>
  <si>
    <t>Aidan</t>
  </si>
  <si>
    <t>Blue</t>
  </si>
  <si>
    <t>May</t>
  </si>
  <si>
    <t>Justin</t>
  </si>
  <si>
    <t>Tournament Date</t>
  </si>
  <si>
    <t/>
  </si>
  <si>
    <t>Donovan</t>
  </si>
  <si>
    <t>Orange</t>
  </si>
  <si>
    <t>Jason</t>
  </si>
  <si>
    <t>Notes</t>
  </si>
  <si>
    <t>Green</t>
  </si>
  <si>
    <t>Nick</t>
  </si>
  <si>
    <t>Red</t>
  </si>
  <si>
    <t>Purple</t>
  </si>
  <si>
    <t>Pink</t>
  </si>
  <si>
    <t>Player 7</t>
  </si>
  <si>
    <t>Gray</t>
  </si>
  <si>
    <t>Player 8</t>
  </si>
  <si>
    <t>Brown</t>
  </si>
  <si>
    <t>Current Tournament Draft</t>
  </si>
  <si>
    <t>Tournament</t>
  </si>
  <si>
    <t>Total Picks</t>
  </si>
  <si>
    <t>Current Rosters</t>
  </si>
  <si>
    <t>Pick #</t>
  </si>
  <si>
    <t>Round</t>
  </si>
  <si>
    <t>Pick in Rd</t>
  </si>
  <si>
    <t>Character</t>
  </si>
  <si>
    <t>Bowser Jr.</t>
  </si>
  <si>
    <t>Donkey Kong</t>
  </si>
  <si>
    <t>Daisy</t>
  </si>
  <si>
    <t>Mario</t>
  </si>
  <si>
    <t>Bowser</t>
  </si>
  <si>
    <t>Birdo</t>
  </si>
  <si>
    <t>Petey Piranha</t>
  </si>
  <si>
    <t>Peach</t>
  </si>
  <si>
    <t>Luigi</t>
  </si>
  <si>
    <t>Mii</t>
  </si>
  <si>
    <t>Waluigi</t>
  </si>
  <si>
    <t>Boo</t>
  </si>
  <si>
    <t>Funky Kong</t>
  </si>
  <si>
    <t>Diddy Kong</t>
  </si>
  <si>
    <t>`</t>
  </si>
  <si>
    <t>Toadette</t>
  </si>
  <si>
    <t>Dark Bones</t>
  </si>
  <si>
    <t>Yoshi</t>
  </si>
  <si>
    <t>King Boo</t>
  </si>
  <si>
    <t>Red Kritter</t>
  </si>
  <si>
    <t>King K. Rool</t>
  </si>
  <si>
    <t>Pink Yoshi</t>
  </si>
  <si>
    <t>Blue Toad</t>
  </si>
  <si>
    <t>Baby DK</t>
  </si>
  <si>
    <t>Yellow Magikoopa</t>
  </si>
  <si>
    <t>Blue Yoshi</t>
  </si>
  <si>
    <t>Dixie Kong</t>
  </si>
  <si>
    <t>Monty Mole</t>
  </si>
  <si>
    <t>Red Magikoopa</t>
  </si>
  <si>
    <t>Baby Daisy</t>
  </si>
  <si>
    <t>Red Yoshi</t>
  </si>
  <si>
    <t>Baby Peach</t>
  </si>
  <si>
    <t>Baby Mario</t>
  </si>
  <si>
    <t>Blue Pianta</t>
  </si>
  <si>
    <t>Wario</t>
  </si>
  <si>
    <t>Fire Bro</t>
  </si>
  <si>
    <t>Red Pianta</t>
  </si>
  <si>
    <t>Baby Luigi</t>
  </si>
  <si>
    <t>Tiny Kong</t>
  </si>
  <si>
    <t>Wiggler</t>
  </si>
  <si>
    <t>Yellow Pianta</t>
  </si>
  <si>
    <t>Brown Kritter</t>
  </si>
  <si>
    <t>Hammer Bro</t>
  </si>
  <si>
    <t>Green Shy Guy</t>
  </si>
  <si>
    <t>Blooper</t>
  </si>
  <si>
    <t>Blue Kritter</t>
  </si>
  <si>
    <t>Boomerang Bro</t>
  </si>
  <si>
    <t>Dry Bones</t>
  </si>
  <si>
    <t>Paratroopa</t>
  </si>
  <si>
    <t>Kritter</t>
  </si>
  <si>
    <t>Paragoomba</t>
  </si>
  <si>
    <t>Green Dry Bones</t>
  </si>
  <si>
    <t>Blue Dry Bones</t>
  </si>
  <si>
    <t>Yellow Toad</t>
  </si>
  <si>
    <t>Koopa</t>
  </si>
  <si>
    <t>Game ID</t>
  </si>
  <si>
    <t>Stage</t>
  </si>
  <si>
    <t>Team A Owner</t>
  </si>
  <si>
    <t>Team B Owner</t>
  </si>
  <si>
    <t>Roster</t>
  </si>
  <si>
    <t>Batting Order</t>
  </si>
  <si>
    <t>Final</t>
  </si>
  <si>
    <t>Character Reference</t>
  </si>
  <si>
    <t>#</t>
  </si>
  <si>
    <t>Pitching</t>
  </si>
  <si>
    <t>Batting</t>
  </si>
  <si>
    <t>Fielding</t>
  </si>
  <si>
    <t>Speed</t>
  </si>
  <si>
    <t>Drafted?</t>
  </si>
  <si>
    <t>Current Owner</t>
  </si>
  <si>
    <t>Purple Toad</t>
  </si>
  <si>
    <t>Red Koopa</t>
  </si>
  <si>
    <t>Green Noki</t>
  </si>
  <si>
    <t>Green Paratroopa</t>
  </si>
  <si>
    <t>Green Toad</t>
  </si>
  <si>
    <t>Red Toad</t>
  </si>
  <si>
    <t>Shy Guy</t>
  </si>
  <si>
    <t>Blue Noki</t>
  </si>
  <si>
    <t>Blue Shy Guy</t>
  </si>
  <si>
    <t>Gray Shy Guy</t>
  </si>
  <si>
    <t>Red Noki</t>
  </si>
  <si>
    <t>Yellow Shy Guy</t>
  </si>
  <si>
    <t>Yellow Yoshi</t>
  </si>
  <si>
    <t>Light-Blue Yoshi</t>
  </si>
  <si>
    <t>Toadsworth</t>
  </si>
  <si>
    <t>Goomba</t>
  </si>
  <si>
    <t>Magikoopa</t>
  </si>
  <si>
    <t>Green Magikoopa</t>
  </si>
  <si>
    <t>Current Tournament Bracket</t>
  </si>
  <si>
    <t>Player</t>
  </si>
  <si>
    <t>Slot 1</t>
  </si>
  <si>
    <t>Slot 2</t>
  </si>
  <si>
    <t>Winner Input</t>
  </si>
  <si>
    <t>MVP Input</t>
  </si>
  <si>
    <t>Winner</t>
  </si>
  <si>
    <t>Loser</t>
  </si>
  <si>
    <t>Completed?</t>
  </si>
  <si>
    <t>MVP Helper 1</t>
  </si>
  <si>
    <t>MVP Helper 2</t>
  </si>
  <si>
    <t>MVP Helper 3</t>
  </si>
  <si>
    <t>MVP Helper 4</t>
  </si>
  <si>
    <t>MVP Helper 5</t>
  </si>
  <si>
    <t>MVP Helper 6</t>
  </si>
  <si>
    <t>MVP Helper 7</t>
  </si>
  <si>
    <t>MVP Helper 8</t>
  </si>
  <si>
    <t>MVP Helper 9</t>
  </si>
  <si>
    <t>Placement</t>
  </si>
  <si>
    <t>Formula Source</t>
  </si>
  <si>
    <t>1st</t>
  </si>
  <si>
    <t>Placement formula 1st</t>
  </si>
  <si>
    <t>2nd</t>
  </si>
  <si>
    <t>Placement formula 2nd</t>
  </si>
  <si>
    <t>3rd</t>
  </si>
  <si>
    <t>Placement formula 3rd</t>
  </si>
  <si>
    <t>4th</t>
  </si>
  <si>
    <t>Placement formula 4th</t>
  </si>
  <si>
    <t>Placement formula 5th</t>
  </si>
  <si>
    <t>Placement formula 6th</t>
  </si>
  <si>
    <t>Placement formula 7th</t>
  </si>
  <si>
    <t>Placement formula 8th</t>
  </si>
  <si>
    <t>Team</t>
  </si>
  <si>
    <t>R</t>
  </si>
  <si>
    <t>H</t>
  </si>
  <si>
    <t>E</t>
  </si>
  <si>
    <t>Ord</t>
  </si>
  <si>
    <t>PA1</t>
  </si>
  <si>
    <t>PAR1</t>
  </si>
  <si>
    <t>PA2</t>
  </si>
  <si>
    <t>PAR2</t>
  </si>
  <si>
    <t>PA3</t>
  </si>
  <si>
    <t>PAR3</t>
  </si>
  <si>
    <t>PA4</t>
  </si>
  <si>
    <t>PAR4</t>
  </si>
  <si>
    <t>PA5</t>
  </si>
  <si>
    <t>PAR5</t>
  </si>
  <si>
    <t>AB</t>
  </si>
  <si>
    <t>2B</t>
  </si>
  <si>
    <t>3B</t>
  </si>
  <si>
    <t>HR</t>
  </si>
  <si>
    <t>RBI</t>
  </si>
  <si>
    <t>BB</t>
  </si>
  <si>
    <t>SO</t>
  </si>
  <si>
    <t>HBP</t>
  </si>
  <si>
    <t>SF</t>
  </si>
  <si>
    <t>SH</t>
  </si>
  <si>
    <t>K</t>
  </si>
  <si>
    <t>GO</t>
  </si>
  <si>
    <t>0 RBI 1 R</t>
  </si>
  <si>
    <t>1B</t>
  </si>
  <si>
    <t>FO</t>
  </si>
  <si>
    <t>1 RBI 1 R</t>
  </si>
  <si>
    <t>1 RBI 0 R</t>
  </si>
  <si>
    <t>2 RBI 0 R</t>
  </si>
  <si>
    <t>LO</t>
  </si>
  <si>
    <t>Pitcher</t>
  </si>
  <si>
    <t>IP</t>
  </si>
  <si>
    <t>ER</t>
  </si>
  <si>
    <t>HR A</t>
  </si>
  <si>
    <t>W</t>
  </si>
  <si>
    <t>L</t>
  </si>
  <si>
    <t>SV</t>
  </si>
  <si>
    <t>SHO</t>
  </si>
  <si>
    <t>CG</t>
  </si>
  <si>
    <t>PA</t>
  </si>
  <si>
    <t>2 RBI 1 R</t>
  </si>
  <si>
    <t>DP</t>
  </si>
  <si>
    <t xml:space="preserve">Game 4 </t>
  </si>
  <si>
    <t>FC</t>
  </si>
  <si>
    <t xml:space="preserve">Game 5 </t>
  </si>
  <si>
    <t xml:space="preserve">Game 6 </t>
  </si>
  <si>
    <t xml:space="preserve">Game 7 </t>
  </si>
  <si>
    <t xml:space="preserve">Game 8 </t>
  </si>
  <si>
    <t>3 RBI 1 R</t>
  </si>
  <si>
    <t xml:space="preserve">Game 9 </t>
  </si>
  <si>
    <t xml:space="preserve">Game 10 </t>
  </si>
  <si>
    <t>4 RBI 1 R</t>
  </si>
  <si>
    <t xml:space="preserve">Game 11 </t>
  </si>
  <si>
    <t xml:space="preserve">Game 12 </t>
  </si>
  <si>
    <t xml:space="preserve">Game 13 </t>
  </si>
  <si>
    <t xml:space="preserve">Game 14 </t>
  </si>
  <si>
    <t xml:space="preserve">Game 15 </t>
  </si>
  <si>
    <t>Current Tournament Bets</t>
  </si>
  <si>
    <t>Bettor</t>
  </si>
  <si>
    <t>Bet Type</t>
  </si>
  <si>
    <t>Line</t>
  </si>
  <si>
    <t>Odds</t>
  </si>
  <si>
    <t>Drinks/Bet</t>
  </si>
  <si>
    <t>Result</t>
  </si>
  <si>
    <t>Who Pays</t>
  </si>
  <si>
    <t>Current Tournament Data Export</t>
  </si>
  <si>
    <t>Owner</t>
  </si>
  <si>
    <t>Active?</t>
  </si>
  <si>
    <t>Team A Runs</t>
  </si>
  <si>
    <t>Team B Runs</t>
  </si>
  <si>
    <t>Team Owner</t>
  </si>
  <si>
    <t>Order</t>
  </si>
  <si>
    <t>G1 Team B</t>
  </si>
  <si>
    <t>G2 Team A</t>
  </si>
  <si>
    <t>G2 Team B</t>
  </si>
  <si>
    <t>G3 Team A</t>
  </si>
  <si>
    <t>G3 Team B</t>
  </si>
  <si>
    <t>G4 Team A</t>
  </si>
  <si>
    <t>G4 Team B</t>
  </si>
  <si>
    <t>G5 Team A</t>
  </si>
  <si>
    <t>G5 Team B</t>
  </si>
  <si>
    <t>G6 Team A</t>
  </si>
  <si>
    <t>G6 Team B</t>
  </si>
  <si>
    <t>G7 Team A</t>
  </si>
  <si>
    <t>G7 Team B</t>
  </si>
  <si>
    <t>G8 Team A</t>
  </si>
  <si>
    <t>G8 Team B</t>
  </si>
  <si>
    <t>G9 Team A</t>
  </si>
  <si>
    <t>G9 Team B</t>
  </si>
  <si>
    <t>G10 Team A</t>
  </si>
  <si>
    <t>G10 Team B</t>
  </si>
  <si>
    <t>G11 Team A</t>
  </si>
  <si>
    <t>G11 Team B</t>
  </si>
  <si>
    <t>G12 Team A</t>
  </si>
  <si>
    <t>G12 Team B</t>
  </si>
  <si>
    <t>G13 Team A</t>
  </si>
  <si>
    <t>G13 Team B</t>
  </si>
  <si>
    <t>G14 Team A</t>
  </si>
  <si>
    <t>G14 Team B</t>
  </si>
  <si>
    <t>G15 Team A</t>
  </si>
  <si>
    <t>G15 Team B</t>
  </si>
  <si>
    <t>Current Tournament Player Stats (Per Game)</t>
  </si>
  <si>
    <t>RS</t>
  </si>
  <si>
    <t>RA</t>
  </si>
  <si>
    <t>AVG</t>
  </si>
  <si>
    <t>OBP</t>
  </si>
  <si>
    <t>SLG</t>
  </si>
  <si>
    <t>OPS</t>
  </si>
  <si>
    <t>H Allowed</t>
  </si>
  <si>
    <t>ERA/3</t>
  </si>
  <si>
    <t>WHIP</t>
  </si>
  <si>
    <t>Bat BB</t>
  </si>
  <si>
    <t>Bat SO</t>
  </si>
  <si>
    <t>R Allowed</t>
  </si>
  <si>
    <t>Current Tournament Character Stats (Per Game)</t>
  </si>
  <si>
    <t>MVP</t>
  </si>
  <si>
    <t>CG MVP</t>
  </si>
  <si>
    <t>BB Allowed</t>
  </si>
  <si>
    <t>Pitch SO</t>
  </si>
  <si>
    <t>Tournament Summary</t>
  </si>
  <si>
    <t>Player Totals</t>
  </si>
  <si>
    <t>G</t>
  </si>
  <si>
    <t>RD</t>
  </si>
  <si>
    <t>Character Aggregate</t>
  </si>
  <si>
    <t>Times Drafted</t>
  </si>
  <si>
    <t>Owner(s)</t>
  </si>
  <si>
    <t>Win Rate</t>
  </si>
  <si>
    <t>Champion Drafted?</t>
  </si>
  <si>
    <t>MVPs</t>
  </si>
  <si>
    <t>CG MVPs</t>
  </si>
  <si>
    <t>Owner × Character Detail</t>
  </si>
  <si>
    <t>AT Tourneys</t>
  </si>
  <si>
    <t>Date</t>
  </si>
  <si>
    <t>Champion</t>
  </si>
  <si>
    <t>Runner-Up</t>
  </si>
  <si>
    <t>All-Time Player Stats (Per Game)</t>
  </si>
  <si>
    <t>All-Time Character Stats (Per Game)</t>
  </si>
  <si>
    <t>AT Bet History</t>
  </si>
  <si>
    <t>Current Tournament Save Staging</t>
  </si>
  <si>
    <t>AT Tourneys → paste values into AT Tourneys</t>
  </si>
  <si>
    <t>AT Player Tourney → paste values into AT Player Tourney</t>
  </si>
  <si>
    <t>Champion?</t>
  </si>
  <si>
    <t>Games</t>
  </si>
  <si>
    <t>Wins</t>
  </si>
  <si>
    <t>Losses</t>
  </si>
  <si>
    <t>AT Player Game → paste values into AT Player Game</t>
  </si>
  <si>
    <t>AT Char Tourney → paste values into AT Char Tourney</t>
  </si>
  <si>
    <t>Win Rate When Drafted</t>
  </si>
  <si>
    <t>Championship Drafted?</t>
  </si>
  <si>
    <t>AT Char Game → paste values into AT Char Game</t>
  </si>
  <si>
    <t>Pitch</t>
  </si>
  <si>
    <t>Bat</t>
  </si>
  <si>
    <t>Field</t>
  </si>
  <si>
    <t>Run</t>
  </si>
  <si>
    <t>Players</t>
  </si>
  <si>
    <t>Game#</t>
  </si>
  <si>
    <t>Source1</t>
  </si>
  <si>
    <t>Source2</t>
  </si>
  <si>
    <t>Outcome</t>
  </si>
  <si>
    <t>Meaning</t>
  </si>
  <si>
    <t>Outs</t>
  </si>
  <si>
    <t>PAR</t>
  </si>
  <si>
    <t>PAR RBI</t>
  </si>
  <si>
    <t>PAR R</t>
  </si>
  <si>
    <t>PAR Team Runs</t>
  </si>
  <si>
    <t>PAR ER</t>
  </si>
  <si>
    <t>Actual Outs</t>
  </si>
  <si>
    <t>Winners R1-1</t>
  </si>
  <si>
    <t>Seed1</t>
  </si>
  <si>
    <t>Seed4</t>
  </si>
  <si>
    <t>Single</t>
  </si>
  <si>
    <t>Winners R1-2</t>
  </si>
  <si>
    <t>Seed2</t>
  </si>
  <si>
    <t>Seed3</t>
  </si>
  <si>
    <t>Double</t>
  </si>
  <si>
    <t>Losers R1-1</t>
  </si>
  <si>
    <t>L:Winners R1-1</t>
  </si>
  <si>
    <t>L:Winners R1-2</t>
  </si>
  <si>
    <t>Triple</t>
  </si>
  <si>
    <t>Winners Final</t>
  </si>
  <si>
    <t>W:Winners R1-1</t>
  </si>
  <si>
    <t>W:Winners R1-2</t>
  </si>
  <si>
    <t>Home Run</t>
  </si>
  <si>
    <t>3 RBI 0 R</t>
  </si>
  <si>
    <t>Losers Final</t>
  </si>
  <si>
    <t>L:Winners Final</t>
  </si>
  <si>
    <t>W:Losers R1-1</t>
  </si>
  <si>
    <t>Walk</t>
  </si>
  <si>
    <t>CG-1</t>
  </si>
  <si>
    <t>W:Winners Final</t>
  </si>
  <si>
    <t>W:Losers Final</t>
  </si>
  <si>
    <t>IBB</t>
  </si>
  <si>
    <t>Intentional Walk</t>
  </si>
  <si>
    <t>CG-2</t>
  </si>
  <si>
    <t>L:CG-1</t>
  </si>
  <si>
    <t>W:CG-1</t>
  </si>
  <si>
    <t>Hit By Pitch</t>
  </si>
  <si>
    <t>Seed5</t>
  </si>
  <si>
    <t>Strikeout</t>
  </si>
  <si>
    <t>Winners R2-1</t>
  </si>
  <si>
    <t>Ground Out</t>
  </si>
  <si>
    <t>Winners R2-2</t>
  </si>
  <si>
    <t>Fly Out</t>
  </si>
  <si>
    <t>L:Winners R2-1</t>
  </si>
  <si>
    <t>Line Out</t>
  </si>
  <si>
    <t>W:Winners R2-2</t>
  </si>
  <si>
    <t>W:Winners R2-1</t>
  </si>
  <si>
    <t>PO</t>
  </si>
  <si>
    <t>Pop Out</t>
  </si>
  <si>
    <t>Losers R2-1</t>
  </si>
  <si>
    <t>L:Winners R2-2</t>
  </si>
  <si>
    <t>Fielder's Choice</t>
  </si>
  <si>
    <t>W:Losers R2-1</t>
  </si>
  <si>
    <t>ROE</t>
  </si>
  <si>
    <t>Reach on Error</t>
  </si>
  <si>
    <t>Double Play</t>
  </si>
  <si>
    <t>TP</t>
  </si>
  <si>
    <t>Triple Play</t>
  </si>
  <si>
    <t>Sacrifice Fly</t>
  </si>
  <si>
    <t>Seed6</t>
  </si>
  <si>
    <t>Sacrifice Bunt</t>
  </si>
  <si>
    <t>Losers R1-2</t>
  </si>
  <si>
    <t>W:Losers R1-2</t>
  </si>
  <si>
    <t>Seed7</t>
  </si>
  <si>
    <t>Winners R1-3</t>
  </si>
  <si>
    <t>L:Winners R1-3</t>
  </si>
  <si>
    <t>W:Winners R1-3</t>
  </si>
  <si>
    <t>Losers R2-2</t>
  </si>
  <si>
    <t>Losers R3-1</t>
  </si>
  <si>
    <t>W:Losers R2-2</t>
  </si>
  <si>
    <t>W:Losers R3-1</t>
  </si>
  <si>
    <t>Seed8</t>
  </si>
  <si>
    <t>Winners R1-4</t>
  </si>
  <si>
    <t>L:Winners R1-4</t>
  </si>
  <si>
    <t>W:Winners R1-4</t>
  </si>
  <si>
    <t>Current Tournament Player Stats</t>
  </si>
  <si>
    <t>Championship?</t>
  </si>
  <si>
    <t>Current Tournament Character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</si>
</sst>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5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000000"/>
      <name val="Calibri"/>
    </font>
    <font>
      <b/>
      <sz val="12"/>
      <color rgb="FFFFFFFF"/>
      <name val="Calibri"/>
      <family val="2"/>
      <scheme val="minor"/>
    </font>
    <font>
      <b/>
      <sz val="9"/>
      <color rgb="FF222222"/>
      <name val="Calibri"/>
    </font>
    <font>
      <b/>
      <sz val="10"/>
      <color rgb="FFFFFFFF"/>
      <name val="Calibri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</font>
    <font>
      <b/>
      <sz val="9"/>
      <color rgb="FFFFFFFF"/>
      <name val="Calibri"/>
      <family val="2"/>
      <scheme val="minor"/>
    </font>
    <font>
      <sz val="10"/>
      <color rgb="FF222222"/>
      <name val="Calibri"/>
    </font>
    <font>
      <sz val="10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000000"/>
      <name val="Calibri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F75B5"/>
      <name val="Calibri"/>
    </font>
    <font>
      <b/>
      <sz val="11"/>
      <color rgb="FFC55A11"/>
      <name val="Calibri"/>
    </font>
    <font>
      <b/>
      <sz val="11"/>
      <color rgb="FF548235"/>
      <name val="Calibri"/>
    </font>
    <font>
      <b/>
      <sz val="11"/>
      <color rgb="FFC00000"/>
      <name val="Calibri"/>
    </font>
    <font>
      <b/>
      <sz val="11"/>
      <color rgb="FF7030A0"/>
      <name val="Calibri"/>
    </font>
    <font>
      <b/>
      <sz val="11"/>
      <color rgb="FF008080"/>
      <name val="Calibri"/>
    </font>
    <font>
      <b/>
      <sz val="12"/>
      <color rgb="FF2F75B5"/>
      <name val="Calibri"/>
    </font>
    <font>
      <b/>
      <sz val="11"/>
      <color rgb="FF2F75B5"/>
      <name val="Calibri"/>
      <family val="2"/>
      <scheme val="minor"/>
    </font>
    <font>
      <b/>
      <sz val="12"/>
      <color rgb="FFC55A11"/>
      <name val="Calibri"/>
    </font>
    <font>
      <b/>
      <sz val="11"/>
      <color rgb="FFC55A11"/>
      <name val="Calibri"/>
      <family val="2"/>
      <scheme val="minor"/>
    </font>
    <font>
      <b/>
      <sz val="12"/>
      <color rgb="FF548235"/>
      <name val="Calibri"/>
    </font>
    <font>
      <b/>
      <sz val="11"/>
      <color rgb="FF548235"/>
      <name val="Calibri"/>
      <family val="2"/>
      <scheme val="minor"/>
    </font>
    <font>
      <b/>
      <sz val="12"/>
      <color rgb="FFC00000"/>
      <name val="Calibri"/>
    </font>
    <font>
      <b/>
      <sz val="11"/>
      <color rgb="FFC00000"/>
      <name val="Calibri"/>
      <family val="2"/>
      <scheme val="minor"/>
    </font>
    <font>
      <b/>
      <sz val="12"/>
      <color rgb="FF7030A0"/>
      <name val="Calibri"/>
    </font>
    <font>
      <b/>
      <sz val="11"/>
      <color rgb="FF7030A0"/>
      <name val="Calibri"/>
      <family val="2"/>
      <scheme val="minor"/>
    </font>
    <font>
      <b/>
      <sz val="12"/>
      <color rgb="FF008080"/>
      <name val="Calibri"/>
    </font>
    <font>
      <b/>
      <sz val="11"/>
      <color rgb="FF00808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FF5A5F"/>
      <name val="Calibri"/>
    </font>
    <font>
      <b/>
      <sz val="11"/>
      <color rgb="FFC77DFF"/>
      <name val="Calibri"/>
    </font>
    <font>
      <b/>
      <sz val="11"/>
      <color rgb="FF7ED957"/>
      <name val="Calibri"/>
    </font>
    <font>
      <b/>
      <sz val="11"/>
      <color rgb="FF49B6FF"/>
      <name val="Calibri"/>
    </font>
    <font>
      <b/>
      <sz val="11"/>
      <color rgb="FFFFB347"/>
      <name val="Calibri"/>
    </font>
    <font>
      <b/>
      <sz val="11"/>
      <color rgb="FF49B6FF"/>
      <name val="Calibri"/>
      <family val="2"/>
      <scheme val="minor"/>
    </font>
    <font>
      <b/>
      <sz val="11"/>
      <color rgb="FFFFB347"/>
      <name val="Calibri"/>
      <family val="2"/>
      <scheme val="minor"/>
    </font>
    <font>
      <b/>
      <sz val="11"/>
      <color rgb="FF7ED957"/>
      <name val="Calibri"/>
      <family val="2"/>
      <scheme val="minor"/>
    </font>
    <font>
      <b/>
      <sz val="11"/>
      <color rgb="FFC77DFF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7F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9F0F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medium">
        <color rgb="FF1F3A68"/>
      </top>
      <bottom/>
      <diagonal/>
    </border>
    <border>
      <left/>
      <right/>
      <top style="medium">
        <color rgb="FF1F3A68"/>
      </top>
      <bottom style="medium">
        <color rgb="FF1F3A68"/>
      </bottom>
      <diagonal/>
    </border>
    <border>
      <left/>
      <right style="medium">
        <color rgb="FF1F3A68"/>
      </right>
      <top style="medium">
        <color rgb="FF1F3A68"/>
      </top>
      <bottom style="medium">
        <color rgb="FF1F3A68"/>
      </bottom>
      <diagonal/>
    </border>
    <border>
      <left style="medium">
        <color rgb="FF1F3A68"/>
      </left>
      <right style="thin">
        <color rgb="FFBFBFBF"/>
      </right>
      <top style="medium">
        <color rgb="FF1F3A68"/>
      </top>
      <bottom/>
      <diagonal/>
    </border>
    <border>
      <left/>
      <right/>
      <top style="thin">
        <color rgb="FFA6A6A6"/>
      </top>
      <bottom/>
      <diagonal/>
    </border>
    <border>
      <left style="thin">
        <color rgb="FFBFBFBF"/>
      </left>
      <right style="thin">
        <color rgb="FFBFBFBF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BFBFBF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BFBFBF"/>
      </right>
      <top style="thin">
        <color rgb="FFA6A6A6"/>
      </top>
      <bottom/>
      <diagonal/>
    </border>
    <border>
      <left style="thin">
        <color rgb="FFBFBFBF"/>
      </left>
      <right style="thin">
        <color rgb="FFBFBFBF"/>
      </right>
      <top style="thin">
        <color rgb="FFA6A6A6"/>
      </top>
      <bottom/>
      <diagonal/>
    </border>
    <border>
      <left style="thin">
        <color rgb="FFBFBFBF"/>
      </left>
      <right style="thin">
        <color auto="1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BFBFBF"/>
      </right>
      <top style="thin">
        <color rgb="FFA6A6A6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A6A6A6"/>
      </top>
      <bottom style="thin">
        <color auto="1"/>
      </bottom>
      <diagonal/>
    </border>
    <border>
      <left style="thin">
        <color rgb="FFBFBFBF"/>
      </left>
      <right style="thin">
        <color auto="1"/>
      </right>
      <top style="thin">
        <color rgb="FFA6A6A6"/>
      </top>
      <bottom style="thin">
        <color auto="1"/>
      </bottom>
      <diagonal/>
    </border>
    <border>
      <left/>
      <right style="medium">
        <color rgb="FF1F3A68"/>
      </right>
      <top style="medium">
        <color rgb="FF1F3A68"/>
      </top>
      <bottom/>
      <diagonal/>
    </border>
    <border>
      <left style="thin">
        <color rgb="FFA6A6A6"/>
      </left>
      <right style="thin">
        <color rgb="FFBFBFBF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 style="thin">
        <color rgb="FFA6A6A6"/>
      </left>
      <right style="thin">
        <color rgb="FFBFBFBF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auto="1"/>
      </bottom>
      <diagonal/>
    </border>
    <border>
      <left style="thin">
        <color rgb="FFBFBFBF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1" fillId="0" borderId="0" xfId="0" applyFont="1"/>
    <xf numFmtId="0" fontId="3" fillId="3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0" fontId="4" fillId="5" borderId="1" xfId="0" applyFont="1" applyFill="1" applyBorder="1"/>
    <xf numFmtId="0" fontId="0" fillId="6" borderId="1" xfId="0" applyFill="1" applyBorder="1"/>
    <xf numFmtId="0" fontId="4" fillId="0" borderId="0" xfId="0" applyFont="1"/>
    <xf numFmtId="0" fontId="1" fillId="4" borderId="8" xfId="0" applyFont="1" applyFill="1" applyBorder="1" applyAlignment="1">
      <alignment horizontal="center" vertical="center"/>
    </xf>
    <xf numFmtId="0" fontId="4" fillId="0" borderId="8" xfId="0" applyFont="1" applyBorder="1"/>
    <xf numFmtId="0" fontId="1" fillId="6" borderId="9" xfId="0" applyFont="1" applyFill="1" applyBorder="1" applyAlignment="1"/>
    <xf numFmtId="0" fontId="6" fillId="2" borderId="9" xfId="0" applyFont="1" applyFill="1" applyBorder="1" applyAlignment="1"/>
    <xf numFmtId="0" fontId="6" fillId="2" borderId="9" xfId="0" applyFont="1" applyFill="1" applyBorder="1" applyAlignment="1">
      <alignment horizontal="center"/>
    </xf>
    <xf numFmtId="0" fontId="1" fillId="0" borderId="8" xfId="0" applyFont="1" applyBorder="1" applyAlignment="1"/>
    <xf numFmtId="0" fontId="0" fillId="4" borderId="9" xfId="0" applyFill="1" applyBorder="1" applyAlignment="1">
      <alignment horizontal="center"/>
    </xf>
    <xf numFmtId="0" fontId="0" fillId="4" borderId="9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0" borderId="0" xfId="0"/>
    <xf numFmtId="0" fontId="4" fillId="0" borderId="8" xfId="0" applyFont="1" applyBorder="1" applyAlignment="1"/>
    <xf numFmtId="0" fontId="4" fillId="5" borderId="9" xfId="0" applyFont="1" applyFill="1" applyBorder="1" applyAlignment="1"/>
    <xf numFmtId="0" fontId="4" fillId="4" borderId="9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13" xfId="0" applyBorder="1"/>
    <xf numFmtId="0" fontId="1" fillId="4" borderId="5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2" xfId="0" applyBorder="1"/>
    <xf numFmtId="0" fontId="4" fillId="0" borderId="16" xfId="0" applyFont="1" applyBorder="1"/>
    <xf numFmtId="0" fontId="0" fillId="0" borderId="14" xfId="0" applyBorder="1"/>
    <xf numFmtId="0" fontId="1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7" borderId="0" xfId="0" applyFont="1" applyFill="1"/>
    <xf numFmtId="0" fontId="7" fillId="8" borderId="0" xfId="0" applyFont="1" applyFill="1"/>
    <xf numFmtId="0" fontId="6" fillId="11" borderId="19" xfId="0" applyNumberFormat="1" applyFont="1" applyFill="1" applyBorder="1" applyAlignment="1">
      <alignment horizontal="center"/>
    </xf>
    <xf numFmtId="0" fontId="10" fillId="11" borderId="8" xfId="0" applyFont="1" applyFill="1" applyBorder="1" applyAlignment="1">
      <alignment horizontal="center"/>
    </xf>
    <xf numFmtId="0" fontId="10" fillId="11" borderId="0" xfId="0" applyFont="1" applyFill="1" applyAlignment="1">
      <alignment horizontal="center"/>
    </xf>
    <xf numFmtId="0" fontId="11" fillId="12" borderId="24" xfId="0" applyNumberFormat="1" applyFont="1" applyFill="1" applyBorder="1" applyAlignment="1">
      <alignment horizontal="center"/>
    </xf>
    <xf numFmtId="0" fontId="11" fillId="12" borderId="25" xfId="0" applyNumberFormat="1" applyFont="1" applyFill="1" applyBorder="1" applyAlignment="1">
      <alignment horizontal="center"/>
    </xf>
    <xf numFmtId="0" fontId="11" fillId="12" borderId="21" xfId="0" applyNumberFormat="1" applyFont="1" applyFill="1" applyBorder="1" applyAlignment="1">
      <alignment horizontal="center"/>
    </xf>
    <xf numFmtId="0" fontId="14" fillId="11" borderId="27" xfId="0" applyNumberFormat="1" applyFont="1" applyFill="1" applyBorder="1" applyAlignment="1">
      <alignment horizontal="center" vertical="center"/>
    </xf>
    <xf numFmtId="0" fontId="14" fillId="11" borderId="28" xfId="0" applyNumberFormat="1" applyFont="1" applyFill="1" applyBorder="1" applyAlignment="1">
      <alignment horizontal="center" vertical="center"/>
    </xf>
    <xf numFmtId="0" fontId="15" fillId="11" borderId="28" xfId="0" applyFont="1" applyFill="1" applyBorder="1" applyAlignment="1">
      <alignment horizontal="center"/>
    </xf>
    <xf numFmtId="0" fontId="15" fillId="11" borderId="29" xfId="0" applyFont="1" applyFill="1" applyBorder="1" applyAlignment="1">
      <alignment horizontal="center"/>
    </xf>
    <xf numFmtId="0" fontId="16" fillId="9" borderId="31" xfId="0" applyNumberFormat="1" applyFont="1" applyFill="1" applyBorder="1" applyAlignment="1">
      <alignment horizontal="center"/>
    </xf>
    <xf numFmtId="0" fontId="16" fillId="9" borderId="32" xfId="0" applyNumberFormat="1" applyFont="1" applyFill="1" applyBorder="1" applyAlignment="1">
      <alignment horizontal="left"/>
    </xf>
    <xf numFmtId="0" fontId="9" fillId="13" borderId="32" xfId="0" applyNumberFormat="1" applyFont="1" applyFill="1" applyBorder="1" applyAlignment="1">
      <alignment horizontal="center" wrapText="1"/>
    </xf>
    <xf numFmtId="0" fontId="9" fillId="13" borderId="32" xfId="0" applyNumberFormat="1" applyFont="1" applyFill="1" applyBorder="1" applyAlignment="1">
      <alignment horizontal="center"/>
    </xf>
    <xf numFmtId="0" fontId="16" fillId="13" borderId="32" xfId="0" applyNumberFormat="1" applyFont="1" applyFill="1" applyBorder="1" applyAlignment="1">
      <alignment horizontal="center"/>
    </xf>
    <xf numFmtId="0" fontId="17" fillId="13" borderId="33" xfId="0" applyFont="1" applyFill="1" applyBorder="1" applyAlignment="1">
      <alignment horizontal="center"/>
    </xf>
    <xf numFmtId="0" fontId="0" fillId="0" borderId="8" xfId="0" applyFill="1" applyBorder="1"/>
    <xf numFmtId="0" fontId="0" fillId="0" borderId="0" xfId="0" applyFill="1"/>
    <xf numFmtId="0" fontId="7" fillId="10" borderId="0" xfId="0" applyFont="1" applyFill="1" applyAlignment="1">
      <alignment horizontal="center"/>
    </xf>
    <xf numFmtId="0" fontId="18" fillId="14" borderId="0" xfId="0" applyFont="1" applyFill="1" applyAlignment="1">
      <alignment horizontal="center"/>
    </xf>
    <xf numFmtId="0" fontId="19" fillId="15" borderId="0" xfId="0" applyFont="1" applyFill="1"/>
    <xf numFmtId="0" fontId="20" fillId="0" borderId="0" xfId="0" applyFont="1"/>
    <xf numFmtId="0" fontId="7" fillId="16" borderId="0" xfId="0" applyFont="1" applyFill="1"/>
    <xf numFmtId="0" fontId="21" fillId="0" borderId="0" xfId="0" applyFont="1"/>
    <xf numFmtId="0" fontId="7" fillId="8" borderId="0" xfId="0" applyFont="1" applyFill="1" applyAlignment="1">
      <alignment horizontal="center"/>
    </xf>
    <xf numFmtId="165" fontId="0" fillId="0" borderId="0" xfId="0" applyNumberFormat="1"/>
    <xf numFmtId="2" fontId="0" fillId="0" borderId="0" xfId="0" applyNumberFormat="1"/>
    <xf numFmtId="0" fontId="10" fillId="17" borderId="0" xfId="0" applyFont="1" applyFill="1"/>
    <xf numFmtId="0" fontId="0" fillId="17" borderId="0" xfId="0" applyFill="1"/>
    <xf numFmtId="166" fontId="0" fillId="0" borderId="0" xfId="0" applyNumberFormat="1"/>
    <xf numFmtId="0" fontId="7" fillId="18" borderId="0" xfId="0" applyFont="1" applyFill="1" applyAlignment="1">
      <alignment horizontal="center"/>
    </xf>
    <xf numFmtId="0" fontId="16" fillId="9" borderId="32" xfId="0" applyNumberFormat="1" applyFont="1" applyFill="1" applyBorder="1" applyAlignment="1">
      <alignment horizontal="center"/>
    </xf>
    <xf numFmtId="0" fontId="17" fillId="9" borderId="32" xfId="0" applyFont="1" applyFill="1" applyBorder="1" applyAlignment="1">
      <alignment horizontal="center"/>
    </xf>
    <xf numFmtId="0" fontId="17" fillId="9" borderId="33" xfId="0" applyFont="1" applyFill="1" applyBorder="1" applyAlignment="1">
      <alignment horizontal="center"/>
    </xf>
    <xf numFmtId="164" fontId="16" fillId="9" borderId="32" xfId="0" applyNumberFormat="1" applyFont="1" applyFill="1" applyBorder="1" applyAlignment="1">
      <alignment horizontal="center"/>
    </xf>
    <xf numFmtId="0" fontId="16" fillId="13" borderId="32" xfId="0" applyNumberFormat="1" applyFont="1" applyFill="1" applyBorder="1" applyAlignment="1">
      <alignment horizontal="left"/>
    </xf>
    <xf numFmtId="0" fontId="22" fillId="9" borderId="22" xfId="0" applyNumberFormat="1" applyFont="1" applyFill="1" applyBorder="1" applyAlignment="1">
      <alignment horizontal="center" vertical="center"/>
    </xf>
    <xf numFmtId="0" fontId="23" fillId="9" borderId="22" xfId="0" applyFont="1" applyFill="1" applyBorder="1" applyAlignment="1">
      <alignment horizontal="center"/>
    </xf>
    <xf numFmtId="0" fontId="23" fillId="9" borderId="26" xfId="0" applyFont="1" applyFill="1" applyBorder="1" applyAlignment="1">
      <alignment horizontal="center"/>
    </xf>
    <xf numFmtId="0" fontId="4" fillId="9" borderId="22" xfId="0" applyNumberFormat="1" applyFont="1" applyFill="1" applyBorder="1" applyAlignment="1">
      <alignment horizontal="center"/>
    </xf>
    <xf numFmtId="0" fontId="25" fillId="9" borderId="22" xfId="0" applyFont="1" applyFill="1" applyBorder="1" applyAlignment="1">
      <alignment horizontal="center"/>
    </xf>
    <xf numFmtId="0" fontId="26" fillId="9" borderId="22" xfId="0" applyFont="1" applyFill="1" applyBorder="1" applyAlignment="1">
      <alignment horizontal="center"/>
    </xf>
    <xf numFmtId="0" fontId="26" fillId="9" borderId="26" xfId="0" applyFont="1" applyFill="1" applyBorder="1" applyAlignment="1">
      <alignment horizontal="center"/>
    </xf>
    <xf numFmtId="0" fontId="4" fillId="9" borderId="28" xfId="0" applyNumberFormat="1" applyFont="1" applyFill="1" applyBorder="1" applyAlignment="1">
      <alignment horizontal="center"/>
    </xf>
    <xf numFmtId="0" fontId="25" fillId="9" borderId="28" xfId="0" applyFont="1" applyFill="1" applyBorder="1" applyAlignment="1">
      <alignment horizontal="center"/>
    </xf>
    <xf numFmtId="0" fontId="26" fillId="9" borderId="28" xfId="0" applyFont="1" applyFill="1" applyBorder="1" applyAlignment="1">
      <alignment horizontal="center"/>
    </xf>
    <xf numFmtId="0" fontId="26" fillId="9" borderId="29" xfId="0" applyFont="1" applyFill="1" applyBorder="1" applyAlignment="1">
      <alignment horizontal="center"/>
    </xf>
    <xf numFmtId="0" fontId="7" fillId="16" borderId="16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0" borderId="13" xfId="0" applyFont="1" applyBorder="1"/>
    <xf numFmtId="0" fontId="27" fillId="3" borderId="1" xfId="0" applyFont="1" applyFill="1" applyBorder="1"/>
    <xf numFmtId="0" fontId="27" fillId="0" borderId="1" xfId="0" applyFont="1" applyBorder="1"/>
    <xf numFmtId="0" fontId="28" fillId="0" borderId="1" xfId="0" applyFont="1" applyBorder="1"/>
    <xf numFmtId="0" fontId="29" fillId="0" borderId="1" xfId="0" applyFont="1" applyBorder="1"/>
    <xf numFmtId="0" fontId="30" fillId="3" borderId="1" xfId="0" applyFont="1" applyFill="1" applyBorder="1"/>
    <xf numFmtId="0" fontId="30" fillId="0" borderId="1" xfId="0" applyFont="1" applyBorder="1"/>
    <xf numFmtId="0" fontId="31" fillId="0" borderId="1" xfId="0" applyFont="1" applyBorder="1"/>
    <xf numFmtId="0" fontId="32" fillId="3" borderId="1" xfId="0" applyFont="1" applyFill="1" applyBorder="1"/>
    <xf numFmtId="0" fontId="32" fillId="0" borderId="1" xfId="0" applyFont="1" applyBorder="1"/>
    <xf numFmtId="0" fontId="33" fillId="2" borderId="9" xfId="0" applyFont="1" applyFill="1" applyBorder="1" applyAlignment="1">
      <alignment horizontal="center"/>
    </xf>
    <xf numFmtId="0" fontId="27" fillId="4" borderId="9" xfId="0" applyFont="1" applyFill="1" applyBorder="1" applyAlignment="1">
      <alignment horizontal="left"/>
    </xf>
    <xf numFmtId="0" fontId="34" fillId="4" borderId="9" xfId="0" applyFont="1" applyFill="1" applyBorder="1" applyAlignment="1">
      <alignment horizontal="left"/>
    </xf>
    <xf numFmtId="0" fontId="35" fillId="2" borderId="9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left"/>
    </xf>
    <xf numFmtId="0" fontId="36" fillId="4" borderId="9" xfId="0" applyFont="1" applyFill="1" applyBorder="1" applyAlignment="1">
      <alignment horizontal="left"/>
    </xf>
    <xf numFmtId="0" fontId="37" fillId="2" borderId="9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left"/>
    </xf>
    <xf numFmtId="0" fontId="38" fillId="4" borderId="9" xfId="0" applyFont="1" applyFill="1" applyBorder="1" applyAlignment="1">
      <alignment horizontal="left"/>
    </xf>
    <xf numFmtId="0" fontId="39" fillId="2" borderId="9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left"/>
    </xf>
    <xf numFmtId="0" fontId="40" fillId="4" borderId="9" xfId="0" applyFont="1" applyFill="1" applyBorder="1" applyAlignment="1">
      <alignment horizontal="left"/>
    </xf>
    <xf numFmtId="0" fontId="41" fillId="2" borderId="9" xfId="0" applyFont="1" applyFill="1" applyBorder="1" applyAlignment="1">
      <alignment horizontal="center"/>
    </xf>
    <xf numFmtId="0" fontId="31" fillId="4" borderId="9" xfId="0" applyFont="1" applyFill="1" applyBorder="1" applyAlignment="1">
      <alignment horizontal="left"/>
    </xf>
    <xf numFmtId="0" fontId="42" fillId="4" borderId="9" xfId="0" applyFont="1" applyFill="1" applyBorder="1" applyAlignment="1">
      <alignment horizontal="left"/>
    </xf>
    <xf numFmtId="0" fontId="43" fillId="2" borderId="9" xfId="0" applyFont="1" applyFill="1" applyBorder="1" applyAlignment="1">
      <alignment horizontal="center"/>
    </xf>
    <xf numFmtId="0" fontId="32" fillId="4" borderId="9" xfId="0" applyFont="1" applyFill="1" applyBorder="1" applyAlignment="1">
      <alignment horizontal="left"/>
    </xf>
    <xf numFmtId="0" fontId="44" fillId="4" borderId="9" xfId="0" applyFont="1" applyFill="1" applyBorder="1" applyAlignment="1">
      <alignment horizontal="left"/>
    </xf>
    <xf numFmtId="0" fontId="34" fillId="0" borderId="0" xfId="0" applyFont="1"/>
    <xf numFmtId="0" fontId="36" fillId="0" borderId="0" xfId="0" applyFont="1"/>
    <xf numFmtId="0" fontId="38" fillId="0" borderId="0" xfId="0" applyFont="1"/>
    <xf numFmtId="0" fontId="40" fillId="0" borderId="0" xfId="0" applyFont="1"/>
    <xf numFmtId="0" fontId="42" fillId="0" borderId="0" xfId="0" applyFont="1"/>
    <xf numFmtId="0" fontId="44" fillId="0" borderId="0" xfId="0" applyFont="1"/>
    <xf numFmtId="0" fontId="27" fillId="5" borderId="1" xfId="0" applyFont="1" applyFill="1" applyBorder="1"/>
    <xf numFmtId="0" fontId="30" fillId="5" borderId="1" xfId="0" applyFont="1" applyFill="1" applyBorder="1"/>
    <xf numFmtId="0" fontId="32" fillId="5" borderId="1" xfId="0" applyFont="1" applyFill="1" applyBorder="1"/>
    <xf numFmtId="0" fontId="40" fillId="0" borderId="8" xfId="0" applyFont="1" applyBorder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4" fillId="4" borderId="36" xfId="0" applyFont="1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4" fillId="3" borderId="37" xfId="0" applyFont="1" applyFill="1" applyBorder="1" applyAlignment="1">
      <alignment horizontal="left"/>
    </xf>
    <xf numFmtId="0" fontId="0" fillId="3" borderId="37" xfId="0" applyFill="1" applyBorder="1" applyAlignment="1">
      <alignment horizontal="left"/>
    </xf>
    <xf numFmtId="0" fontId="6" fillId="2" borderId="12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44" fillId="4" borderId="39" xfId="0" applyFont="1" applyFill="1" applyBorder="1" applyAlignment="1">
      <alignment horizontal="left"/>
    </xf>
    <xf numFmtId="0" fontId="0" fillId="3" borderId="40" xfId="0" applyFill="1" applyBorder="1" applyAlignment="1">
      <alignment horizontal="left"/>
    </xf>
    <xf numFmtId="0" fontId="3" fillId="25" borderId="1" xfId="0" applyFont="1" applyFill="1" applyBorder="1"/>
    <xf numFmtId="0" fontId="27" fillId="25" borderId="1" xfId="0" applyFont="1" applyFill="1" applyBorder="1"/>
    <xf numFmtId="0" fontId="28" fillId="25" borderId="1" xfId="0" applyFont="1" applyFill="1" applyBorder="1"/>
    <xf numFmtId="0" fontId="29" fillId="25" borderId="1" xfId="0" applyFont="1" applyFill="1" applyBorder="1"/>
    <xf numFmtId="0" fontId="30" fillId="25" borderId="1" xfId="0" applyFont="1" applyFill="1" applyBorder="1"/>
    <xf numFmtId="0" fontId="31" fillId="25" borderId="1" xfId="0" applyFont="1" applyFill="1" applyBorder="1"/>
    <xf numFmtId="0" fontId="32" fillId="25" borderId="1" xfId="0" applyFont="1" applyFill="1" applyBorder="1"/>
    <xf numFmtId="0" fontId="4" fillId="25" borderId="1" xfId="0" applyFont="1" applyFill="1" applyBorder="1"/>
    <xf numFmtId="0" fontId="24" fillId="25" borderId="1" xfId="0" applyFont="1" applyFill="1" applyBorder="1"/>
    <xf numFmtId="0" fontId="26" fillId="8" borderId="35" xfId="0" applyFont="1" applyFill="1" applyBorder="1" applyAlignment="1">
      <alignment horizontal="center"/>
    </xf>
    <xf numFmtId="0" fontId="26" fillId="19" borderId="35" xfId="0" applyFont="1" applyFill="1" applyBorder="1" applyAlignment="1">
      <alignment horizontal="center"/>
    </xf>
    <xf numFmtId="0" fontId="26" fillId="14" borderId="35" xfId="0" applyFont="1" applyFill="1" applyBorder="1" applyAlignment="1">
      <alignment horizontal="center"/>
    </xf>
    <xf numFmtId="0" fontId="26" fillId="20" borderId="35" xfId="0" applyFont="1" applyFill="1" applyBorder="1" applyAlignment="1">
      <alignment horizontal="center"/>
    </xf>
    <xf numFmtId="0" fontId="26" fillId="21" borderId="35" xfId="0" applyFont="1" applyFill="1" applyBorder="1" applyAlignment="1">
      <alignment horizontal="center"/>
    </xf>
    <xf numFmtId="0" fontId="26" fillId="22" borderId="35" xfId="0" applyFont="1" applyFill="1" applyBorder="1" applyAlignment="1">
      <alignment horizontal="center"/>
    </xf>
    <xf numFmtId="0" fontId="26" fillId="23" borderId="35" xfId="0" applyFont="1" applyFill="1" applyBorder="1" applyAlignment="1">
      <alignment horizontal="center"/>
    </xf>
    <xf numFmtId="0" fontId="26" fillId="24" borderId="34" xfId="0" applyFont="1" applyFill="1" applyBorder="1" applyAlignment="1">
      <alignment horizontal="center"/>
    </xf>
    <xf numFmtId="0" fontId="31" fillId="26" borderId="1" xfId="0" applyFont="1" applyFill="1" applyBorder="1"/>
    <xf numFmtId="0" fontId="29" fillId="26" borderId="1" xfId="0" applyFont="1" applyFill="1" applyBorder="1"/>
    <xf numFmtId="0" fontId="30" fillId="26" borderId="1" xfId="0" applyFont="1" applyFill="1" applyBorder="1"/>
    <xf numFmtId="0" fontId="4" fillId="26" borderId="1" xfId="0" applyFont="1" applyFill="1" applyBorder="1"/>
    <xf numFmtId="0" fontId="4" fillId="27" borderId="1" xfId="0" applyFont="1" applyFill="1" applyBorder="1"/>
    <xf numFmtId="0" fontId="1" fillId="4" borderId="14" xfId="0" applyFont="1" applyFill="1" applyBorder="1" applyAlignment="1">
      <alignment horizontal="center" vertical="center"/>
    </xf>
    <xf numFmtId="0" fontId="45" fillId="9" borderId="22" xfId="0" applyFont="1" applyFill="1" applyBorder="1" applyAlignment="1">
      <alignment horizontal="center"/>
    </xf>
    <xf numFmtId="0" fontId="45" fillId="9" borderId="28" xfId="0" applyFont="1" applyFill="1" applyBorder="1" applyAlignment="1">
      <alignment horizontal="center"/>
    </xf>
    <xf numFmtId="0" fontId="4" fillId="9" borderId="1" xfId="0" applyNumberFormat="1" applyFont="1" applyFill="1" applyBorder="1" applyAlignment="1">
      <alignment horizontal="left"/>
    </xf>
    <xf numFmtId="0" fontId="24" fillId="9" borderId="27" xfId="0" applyNumberFormat="1" applyFont="1" applyFill="1" applyBorder="1" applyAlignment="1">
      <alignment horizontal="left" vertical="center"/>
    </xf>
    <xf numFmtId="0" fontId="24" fillId="9" borderId="31" xfId="0" applyNumberFormat="1" applyFont="1" applyFill="1" applyBorder="1" applyAlignment="1">
      <alignment horizontal="left"/>
    </xf>
    <xf numFmtId="0" fontId="24" fillId="9" borderId="24" xfId="0" applyNumberFormat="1" applyFont="1" applyFill="1" applyBorder="1" applyAlignment="1">
      <alignment horizontal="left"/>
    </xf>
    <xf numFmtId="0" fontId="24" fillId="9" borderId="23" xfId="0" applyNumberFormat="1" applyFont="1" applyFill="1" applyBorder="1" applyAlignment="1">
      <alignment horizontal="left" vertical="center"/>
    </xf>
    <xf numFmtId="0" fontId="24" fillId="9" borderId="23" xfId="0" applyNumberFormat="1" applyFont="1" applyFill="1" applyBorder="1" applyAlignment="1">
      <alignment horizontal="left"/>
    </xf>
    <xf numFmtId="0" fontId="24" fillId="9" borderId="27" xfId="0" applyNumberFormat="1" applyFont="1" applyFill="1" applyBorder="1" applyAlignment="1">
      <alignment horizontal="left"/>
    </xf>
    <xf numFmtId="0" fontId="24" fillId="9" borderId="8" xfId="0" applyNumberFormat="1" applyFont="1" applyFill="1" applyBorder="1" applyAlignment="1">
      <alignment horizontal="left"/>
    </xf>
    <xf numFmtId="0" fontId="24" fillId="9" borderId="0" xfId="0" applyNumberFormat="1" applyFont="1" applyFill="1" applyAlignment="1">
      <alignment horizontal="left"/>
    </xf>
    <xf numFmtId="0" fontId="46" fillId="9" borderId="8" xfId="0" applyNumberFormat="1" applyFont="1" applyFill="1" applyBorder="1" applyAlignment="1">
      <alignment horizontal="left"/>
    </xf>
    <xf numFmtId="0" fontId="49" fillId="9" borderId="1" xfId="0" applyNumberFormat="1" applyFont="1" applyFill="1" applyBorder="1" applyAlignment="1">
      <alignment horizontal="left"/>
    </xf>
    <xf numFmtId="0" fontId="50" fillId="9" borderId="1" xfId="0" applyNumberFormat="1" applyFont="1" applyFill="1" applyBorder="1" applyAlignment="1">
      <alignment horizontal="left"/>
    </xf>
    <xf numFmtId="0" fontId="48" fillId="9" borderId="1" xfId="0" applyNumberFormat="1" applyFont="1" applyFill="1" applyBorder="1" applyAlignment="1">
      <alignment horizontal="left"/>
    </xf>
    <xf numFmtId="0" fontId="46" fillId="9" borderId="1" xfId="0" applyNumberFormat="1" applyFont="1" applyFill="1" applyBorder="1" applyAlignment="1">
      <alignment horizontal="left"/>
    </xf>
    <xf numFmtId="0" fontId="47" fillId="9" borderId="1" xfId="0" applyNumberFormat="1" applyFont="1" applyFill="1" applyBorder="1" applyAlignment="1">
      <alignment horizontal="left"/>
    </xf>
    <xf numFmtId="0" fontId="12" fillId="28" borderId="30" xfId="0" applyNumberFormat="1" applyFont="1" applyFill="1" applyBorder="1" applyAlignment="1">
      <alignment horizontal="left"/>
    </xf>
    <xf numFmtId="0" fontId="13" fillId="28" borderId="8" xfId="0" applyFont="1" applyFill="1" applyBorder="1"/>
    <xf numFmtId="0" fontId="24" fillId="9" borderId="41" xfId="0" applyNumberFormat="1" applyFont="1" applyFill="1" applyBorder="1" applyAlignment="1">
      <alignment horizontal="left" vertical="center"/>
    </xf>
    <xf numFmtId="0" fontId="14" fillId="11" borderId="42" xfId="0" applyNumberFormat="1" applyFont="1" applyFill="1" applyBorder="1" applyAlignment="1">
      <alignment horizontal="center" vertical="center"/>
    </xf>
    <xf numFmtId="0" fontId="15" fillId="11" borderId="42" xfId="0" applyFont="1" applyFill="1" applyBorder="1" applyAlignment="1">
      <alignment horizontal="center"/>
    </xf>
    <xf numFmtId="0" fontId="2" fillId="28" borderId="19" xfId="0" applyNumberFormat="1" applyFont="1" applyFill="1" applyBorder="1" applyAlignment="1">
      <alignment horizontal="left"/>
    </xf>
    <xf numFmtId="0" fontId="2" fillId="28" borderId="8" xfId="0" applyNumberFormat="1" applyFont="1" applyFill="1" applyBorder="1" applyAlignment="1">
      <alignment horizontal="left"/>
    </xf>
    <xf numFmtId="0" fontId="15" fillId="11" borderId="43" xfId="0" applyFont="1" applyFill="1" applyBorder="1" applyAlignment="1">
      <alignment horizontal="center"/>
    </xf>
    <xf numFmtId="0" fontId="49" fillId="0" borderId="1" xfId="0" applyFont="1" applyBorder="1"/>
    <xf numFmtId="0" fontId="50" fillId="0" borderId="1" xfId="0" applyFont="1" applyBorder="1"/>
    <xf numFmtId="0" fontId="48" fillId="0" borderId="1" xfId="0" applyFont="1" applyBorder="1"/>
    <xf numFmtId="0" fontId="46" fillId="0" borderId="1" xfId="0" applyFont="1" applyBorder="1"/>
    <xf numFmtId="0" fontId="47" fillId="0" borderId="1" xfId="0" applyFont="1" applyBorder="1"/>
    <xf numFmtId="0" fontId="51" fillId="9" borderId="8" xfId="0" applyFont="1" applyFill="1" applyBorder="1"/>
    <xf numFmtId="0" fontId="49" fillId="9" borderId="23" xfId="0" applyNumberFormat="1" applyFont="1" applyFill="1" applyBorder="1" applyAlignment="1">
      <alignment horizontal="left"/>
    </xf>
    <xf numFmtId="0" fontId="52" fillId="9" borderId="8" xfId="0" applyFont="1" applyFill="1" applyBorder="1"/>
    <xf numFmtId="0" fontId="50" fillId="9" borderId="23" xfId="0" applyNumberFormat="1" applyFont="1" applyFill="1" applyBorder="1" applyAlignment="1">
      <alignment horizontal="left"/>
    </xf>
    <xf numFmtId="0" fontId="53" fillId="9" borderId="8" xfId="0" applyFont="1" applyFill="1" applyBorder="1"/>
    <xf numFmtId="0" fontId="48" fillId="9" borderId="23" xfId="0" applyNumberFormat="1" applyFont="1" applyFill="1" applyBorder="1" applyAlignment="1">
      <alignment horizontal="left"/>
    </xf>
    <xf numFmtId="0" fontId="46" fillId="9" borderId="23" xfId="0" applyNumberFormat="1" applyFont="1" applyFill="1" applyBorder="1" applyAlignment="1">
      <alignment horizontal="center"/>
    </xf>
    <xf numFmtId="0" fontId="54" fillId="9" borderId="0" xfId="0" applyFont="1" applyFill="1"/>
    <xf numFmtId="0" fontId="47" fillId="9" borderId="27" xfId="0" applyNumberFormat="1" applyFont="1" applyFill="1" applyBorder="1" applyAlignment="1">
      <alignment horizontal="center"/>
    </xf>
    <xf numFmtId="0" fontId="53" fillId="9" borderId="0" xfId="0" applyFont="1" applyFill="1"/>
    <xf numFmtId="0" fontId="48" fillId="9" borderId="27" xfId="0" applyNumberFormat="1" applyFont="1" applyFill="1" applyBorder="1" applyAlignment="1">
      <alignment horizontal="left"/>
    </xf>
    <xf numFmtId="0" fontId="7" fillId="9" borderId="0" xfId="0" applyFont="1" applyFill="1" applyAlignment="1">
      <alignment horizontal="left"/>
    </xf>
    <xf numFmtId="0" fontId="12" fillId="28" borderId="17" xfId="0" applyNumberFormat="1" applyFont="1" applyFill="1" applyBorder="1" applyAlignment="1">
      <alignment horizontal="left"/>
    </xf>
    <xf numFmtId="0" fontId="6" fillId="11" borderId="18" xfId="0" applyNumberFormat="1" applyFont="1" applyFill="1" applyBorder="1" applyAlignment="1">
      <alignment horizontal="center"/>
    </xf>
    <xf numFmtId="0" fontId="12" fillId="28" borderId="8" xfId="0" applyNumberFormat="1" applyFont="1" applyFill="1" applyBorder="1" applyAlignment="1">
      <alignment horizontal="left"/>
    </xf>
    <xf numFmtId="0" fontId="46" fillId="28" borderId="8" xfId="0" applyNumberFormat="1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0" fontId="6" fillId="11" borderId="20" xfId="0" applyNumberFormat="1" applyFont="1" applyFill="1" applyBorder="1" applyAlignment="1">
      <alignment horizontal="center" vertical="center"/>
    </xf>
    <xf numFmtId="0" fontId="6" fillId="11" borderId="17" xfId="0" applyNumberFormat="1" applyFont="1" applyFill="1" applyBorder="1" applyAlignment="1">
      <alignment horizontal="center"/>
    </xf>
    <xf numFmtId="0" fontId="6" fillId="11" borderId="18" xfId="0" applyNumberFormat="1" applyFont="1" applyFill="1" applyBorder="1" applyAlignment="1">
      <alignment horizontal="center"/>
    </xf>
    <xf numFmtId="0" fontId="49" fillId="28" borderId="20" xfId="0" applyNumberFormat="1" applyFont="1" applyFill="1" applyBorder="1" applyAlignment="1">
      <alignment horizontal="left" vertical="center"/>
    </xf>
    <xf numFmtId="0" fontId="12" fillId="28" borderId="17" xfId="0" applyNumberFormat="1" applyFont="1" applyFill="1" applyBorder="1" applyAlignment="1">
      <alignment horizontal="left"/>
    </xf>
    <xf numFmtId="0" fontId="24" fillId="28" borderId="20" xfId="0" applyNumberFormat="1" applyFont="1" applyFill="1" applyBorder="1" applyAlignment="1">
      <alignment horizontal="left" vertical="center"/>
    </xf>
    <xf numFmtId="0" fontId="48" fillId="28" borderId="8" xfId="0" applyNumberFormat="1" applyFont="1" applyFill="1" applyBorder="1" applyAlignment="1">
      <alignment horizontal="left" vertical="center"/>
    </xf>
    <xf numFmtId="0" fontId="12" fillId="28" borderId="8" xfId="0" applyNumberFormat="1" applyFont="1" applyFill="1" applyBorder="1" applyAlignment="1">
      <alignment horizontal="left"/>
    </xf>
    <xf numFmtId="0" fontId="48" fillId="28" borderId="20" xfId="0" applyNumberFormat="1" applyFont="1" applyFill="1" applyBorder="1" applyAlignment="1">
      <alignment horizontal="left" vertical="center"/>
    </xf>
    <xf numFmtId="0" fontId="46" fillId="28" borderId="8" xfId="0" applyNumberFormat="1" applyFont="1" applyFill="1" applyBorder="1" applyAlignment="1">
      <alignment horizontal="left" vertical="center"/>
    </xf>
    <xf numFmtId="0" fontId="47" fillId="28" borderId="8" xfId="0" applyNumberFormat="1" applyFont="1" applyFill="1" applyBorder="1" applyAlignment="1">
      <alignment horizontal="left" vertical="center"/>
    </xf>
    <xf numFmtId="0" fontId="50" fillId="28" borderId="2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35">
    <dxf>
      <font>
        <b/>
        <i val="0"/>
        <color rgb="FFD8A15B"/>
      </font>
    </dxf>
    <dxf>
      <font>
        <b/>
        <i val="0"/>
        <color rgb="FFB7B7B7"/>
      </font>
    </dxf>
    <dxf>
      <font>
        <b/>
        <i val="0"/>
        <color rgb="FFFF66C4"/>
      </font>
    </dxf>
    <dxf>
      <font>
        <b/>
        <i val="0"/>
        <color rgb="FFC77DFF"/>
      </font>
    </dxf>
    <dxf>
      <font>
        <b/>
        <i val="0"/>
        <color rgb="FFFF5A5F"/>
      </font>
    </dxf>
    <dxf>
      <font>
        <b/>
        <i val="0"/>
        <color rgb="FF7ED957"/>
      </font>
    </dxf>
    <dxf>
      <font>
        <b/>
        <i val="0"/>
        <color rgb="FFFFB347"/>
      </font>
    </dxf>
    <dxf>
      <font>
        <b/>
        <i val="0"/>
        <color rgb="FF49B6FF"/>
      </font>
    </dxf>
    <dxf>
      <font>
        <b/>
        <i val="0"/>
        <color rgb="FFD8A15B"/>
      </font>
    </dxf>
    <dxf>
      <font>
        <b/>
        <i val="0"/>
        <color rgb="FFB7B7B7"/>
      </font>
    </dxf>
    <dxf>
      <font>
        <b/>
        <i val="0"/>
        <color rgb="FFFF66C4"/>
      </font>
    </dxf>
    <dxf>
      <font>
        <b/>
        <i val="0"/>
        <color rgb="FFC77DFF"/>
      </font>
    </dxf>
    <dxf>
      <font>
        <b/>
        <i val="0"/>
        <color rgb="FFFF5A5F"/>
      </font>
    </dxf>
    <dxf>
      <font>
        <b/>
        <i val="0"/>
        <color rgb="FF7ED957"/>
      </font>
    </dxf>
    <dxf>
      <font>
        <b/>
        <i val="0"/>
        <color rgb="FFFFB347"/>
      </font>
    </dxf>
    <dxf>
      <font>
        <b/>
        <i val="0"/>
        <color rgb="FF49B6FF"/>
      </font>
    </dxf>
    <dxf>
      <font>
        <b/>
        <i val="0"/>
        <color rgb="FFD8A15B"/>
      </font>
    </dxf>
    <dxf>
      <font>
        <b/>
        <i val="0"/>
        <color rgb="FFB7B7B7"/>
      </font>
    </dxf>
    <dxf>
      <font>
        <b/>
        <i val="0"/>
        <color rgb="FFFF66C4"/>
      </font>
    </dxf>
    <dxf>
      <font>
        <b/>
        <i val="0"/>
        <color rgb="FFC77DFF"/>
      </font>
    </dxf>
    <dxf>
      <font>
        <b/>
        <i val="0"/>
        <color rgb="FFFF5A5F"/>
      </font>
    </dxf>
    <dxf>
      <font>
        <b/>
        <i val="0"/>
        <color rgb="FF7ED957"/>
      </font>
    </dxf>
    <dxf>
      <font>
        <b/>
        <i val="0"/>
        <color rgb="FFFFB347"/>
      </font>
    </dxf>
    <dxf>
      <font>
        <b/>
        <i val="0"/>
        <color rgb="FF49B6FF"/>
      </font>
    </dxf>
    <dxf>
      <font>
        <b/>
        <i val="0"/>
        <color rgb="FFD8A15B"/>
      </font>
    </dxf>
    <dxf>
      <font>
        <b/>
        <i val="0"/>
        <color rgb="FFB7B7B7"/>
      </font>
    </dxf>
    <dxf>
      <font>
        <b/>
        <i val="0"/>
        <color rgb="FFFF66C4"/>
      </font>
    </dxf>
    <dxf>
      <font>
        <b/>
        <i val="0"/>
        <color rgb="FFC77DFF"/>
      </font>
    </dxf>
    <dxf>
      <font>
        <b/>
        <i val="0"/>
        <color rgb="FFFF5A5F"/>
      </font>
    </dxf>
    <dxf>
      <font>
        <b/>
        <i val="0"/>
        <color rgb="FF7ED957"/>
      </font>
    </dxf>
    <dxf>
      <font>
        <b/>
        <i val="0"/>
        <color rgb="FFFFB347"/>
      </font>
    </dxf>
    <dxf>
      <font>
        <b/>
        <i val="0"/>
        <color rgb="FF49B6FF"/>
      </font>
    </dxf>
    <dxf>
      <font>
        <b/>
        <i val="0"/>
        <color rgb="FFD8A15B"/>
      </font>
    </dxf>
    <dxf>
      <font>
        <b/>
        <i val="0"/>
        <color rgb="FFB7B7B7"/>
      </font>
    </dxf>
    <dxf>
      <font>
        <b/>
        <i val="0"/>
        <color rgb="FFFF66C4"/>
      </font>
    </dxf>
    <dxf>
      <font>
        <b/>
        <i val="0"/>
        <color rgb="FFC77DFF"/>
      </font>
    </dxf>
    <dxf>
      <font>
        <b/>
        <i val="0"/>
        <color rgb="FFFF5A5F"/>
      </font>
    </dxf>
    <dxf>
      <font>
        <b/>
        <i val="0"/>
        <color rgb="FF7ED957"/>
      </font>
    </dxf>
    <dxf>
      <font>
        <b/>
        <i val="0"/>
        <color rgb="FFFFB347"/>
      </font>
    </dxf>
    <dxf>
      <font>
        <b/>
        <i val="0"/>
        <color rgb="FF49B6FF"/>
      </font>
    </dxf>
    <dxf>
      <font>
        <b/>
        <i val="0"/>
        <color rgb="FFD8A15B"/>
      </font>
    </dxf>
    <dxf>
      <font>
        <b/>
        <i val="0"/>
        <color rgb="FFB7B7B7"/>
      </font>
    </dxf>
    <dxf>
      <font>
        <b/>
        <i val="0"/>
        <color rgb="FFFF66C4"/>
      </font>
    </dxf>
    <dxf>
      <font>
        <b/>
        <i val="0"/>
        <color rgb="FFC77DFF"/>
      </font>
    </dxf>
    <dxf>
      <font>
        <b/>
        <i val="0"/>
        <color rgb="FFFF5A5F"/>
      </font>
    </dxf>
    <dxf>
      <font>
        <b/>
        <i val="0"/>
        <color rgb="FF7ED957"/>
      </font>
    </dxf>
    <dxf>
      <font>
        <b/>
        <i val="0"/>
        <color rgb="FFFFB347"/>
      </font>
    </dxf>
    <dxf>
      <font>
        <b/>
        <i val="0"/>
        <color rgb="FF49B6FF"/>
      </font>
    </dxf>
    <dxf>
      <font>
        <b/>
        <i val="0"/>
        <color rgb="FFD8A15B"/>
      </font>
    </dxf>
    <dxf>
      <font>
        <b/>
        <i val="0"/>
        <color rgb="FFB7B7B7"/>
      </font>
    </dxf>
    <dxf>
      <font>
        <b/>
        <i val="0"/>
        <color rgb="FFFF66C4"/>
      </font>
    </dxf>
    <dxf>
      <font>
        <b/>
        <i val="0"/>
        <color rgb="FFC77DFF"/>
      </font>
    </dxf>
    <dxf>
      <font>
        <b/>
        <i val="0"/>
        <color rgb="FFFF5A5F"/>
      </font>
    </dxf>
    <dxf>
      <font>
        <b/>
        <i val="0"/>
        <color rgb="FF7ED957"/>
      </font>
    </dxf>
    <dxf>
      <font>
        <b/>
        <i val="0"/>
        <color rgb="FFFFB347"/>
      </font>
    </dxf>
    <dxf>
      <font>
        <b/>
        <i val="0"/>
        <color rgb="FF49B6FF"/>
      </font>
    </dxf>
    <dxf>
      <font>
        <b/>
        <i val="0"/>
        <color rgb="FFD8A15B"/>
      </font>
    </dxf>
    <dxf>
      <font>
        <b/>
        <i val="0"/>
        <color rgb="FFB7B7B7"/>
      </font>
    </dxf>
    <dxf>
      <font>
        <b/>
        <i val="0"/>
        <color rgb="FFFF66C4"/>
      </font>
    </dxf>
    <dxf>
      <font>
        <b/>
        <i val="0"/>
        <color rgb="FFC77DFF"/>
      </font>
    </dxf>
    <dxf>
      <font>
        <b/>
        <i val="0"/>
        <color rgb="FFFF5A5F"/>
      </font>
    </dxf>
    <dxf>
      <font>
        <b/>
        <i val="0"/>
        <color rgb="FF7ED957"/>
      </font>
    </dxf>
    <dxf>
      <font>
        <b/>
        <i val="0"/>
        <color rgb="FFFFB347"/>
      </font>
    </dxf>
    <dxf>
      <font>
        <b/>
        <i val="0"/>
        <color rgb="FF49B6FF"/>
      </font>
    </dxf>
    <dxf>
      <font>
        <b/>
        <i val="0"/>
        <color rgb="FFD8A15B"/>
      </font>
    </dxf>
    <dxf>
      <font>
        <b/>
        <i val="0"/>
        <color rgb="FFB7B7B7"/>
      </font>
    </dxf>
    <dxf>
      <font>
        <b/>
        <i val="0"/>
        <color rgb="FFFF66C4"/>
      </font>
    </dxf>
    <dxf>
      <font>
        <b/>
        <i val="0"/>
        <color rgb="FFC77DFF"/>
      </font>
    </dxf>
    <dxf>
      <font>
        <b/>
        <i val="0"/>
        <color rgb="FFFF5A5F"/>
      </font>
    </dxf>
    <dxf>
      <font>
        <b/>
        <i val="0"/>
        <color rgb="FF7ED957"/>
      </font>
    </dxf>
    <dxf>
      <font>
        <b/>
        <i val="0"/>
        <color rgb="FFFFB347"/>
      </font>
    </dxf>
    <dxf>
      <font>
        <b/>
        <i val="0"/>
        <color rgb="FF49B6FF"/>
      </font>
    </dxf>
    <dxf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/>
        <i val="0"/>
        <color rgb="FFD8A15B"/>
      </font>
    </dxf>
    <dxf>
      <font>
        <b/>
        <i val="0"/>
        <color rgb="FFB7B7B7"/>
      </font>
    </dxf>
    <dxf>
      <font>
        <b/>
        <i val="0"/>
        <color rgb="FFFF66C4"/>
      </font>
    </dxf>
    <dxf>
      <font>
        <b/>
        <i val="0"/>
        <color rgb="FFC77DFF"/>
      </font>
    </dxf>
    <dxf>
      <font>
        <b/>
        <i val="0"/>
        <color rgb="FFFF5A5F"/>
      </font>
    </dxf>
    <dxf>
      <font>
        <b/>
        <i val="0"/>
        <color rgb="FF7ED957"/>
      </font>
    </dxf>
    <dxf>
      <font>
        <b/>
        <i val="0"/>
        <color rgb="FFFFB347"/>
      </font>
    </dxf>
    <dxf>
      <font>
        <b/>
        <i val="0"/>
        <color rgb="FF49B6FF"/>
      </font>
    </dxf>
    <dxf>
      <font>
        <b/>
        <i val="0"/>
        <color rgb="FFD8A15B"/>
      </font>
    </dxf>
    <dxf>
      <font>
        <b/>
        <i val="0"/>
        <color rgb="FFB7B7B7"/>
      </font>
    </dxf>
    <dxf>
      <font>
        <b/>
        <i val="0"/>
        <color rgb="FFFF66C4"/>
      </font>
    </dxf>
    <dxf>
      <font>
        <b/>
        <i val="0"/>
        <color rgb="FFC77DFF"/>
      </font>
    </dxf>
    <dxf>
      <font>
        <b/>
        <i val="0"/>
        <color rgb="FFFF5A5F"/>
      </font>
    </dxf>
    <dxf>
      <font>
        <b/>
        <i val="0"/>
        <color rgb="FF7ED957"/>
      </font>
    </dxf>
    <dxf>
      <font>
        <b/>
        <i val="0"/>
        <color rgb="FFFFB347"/>
      </font>
    </dxf>
    <dxf>
      <font>
        <b/>
        <i val="0"/>
        <color rgb="FF49B6FF"/>
      </font>
    </dxf>
    <dxf>
      <font>
        <b/>
        <i val="0"/>
        <color rgb="FFD8A15B"/>
      </font>
    </dxf>
    <dxf>
      <font>
        <b/>
        <i val="0"/>
        <color rgb="FFB7B7B7"/>
      </font>
    </dxf>
    <dxf>
      <font>
        <b/>
        <i val="0"/>
        <color rgb="FFFF66C4"/>
      </font>
    </dxf>
    <dxf>
      <font>
        <b/>
        <i val="0"/>
        <color rgb="FFC77DFF"/>
      </font>
    </dxf>
    <dxf>
      <font>
        <b/>
        <i val="0"/>
        <color rgb="FFFF5A5F"/>
      </font>
    </dxf>
    <dxf>
      <font>
        <b/>
        <i val="0"/>
        <color rgb="FF7ED957"/>
      </font>
    </dxf>
    <dxf>
      <font>
        <b/>
        <i val="0"/>
        <color rgb="FFFFB347"/>
      </font>
    </dxf>
    <dxf>
      <font>
        <b/>
        <i val="0"/>
        <color rgb="FF49B6FF"/>
      </font>
    </dxf>
    <dxf>
      <fill>
        <patternFill patternType="solid">
          <fgColor indexed="64"/>
          <bgColor rgb="FFFFF2CC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9E9E9E"/>
        </left>
        <right/>
        <top style="thin">
          <color rgb="FF9E9E9E"/>
        </top>
        <bottom style="thin">
          <color rgb="FF9E9E9E"/>
        </bottom>
        <vertical/>
        <horizontal/>
      </border>
    </dxf>
    <dxf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  <vertical/>
        <horizontal/>
      </border>
    </dxf>
    <dxf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  <vertical/>
        <horizontal/>
      </border>
    </dxf>
    <dxf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9E9E9E"/>
        </right>
        <top style="thin">
          <color rgb="FF9E9E9E"/>
        </top>
        <bottom style="thin">
          <color rgb="FF9E9E9E"/>
        </bottom>
        <vertical/>
        <horizontal/>
      </border>
    </dxf>
    <dxf>
      <border outline="0">
        <top style="thin">
          <color rgb="FF9E9E9E"/>
        </top>
      </border>
    </dxf>
    <dxf>
      <border outline="0">
        <bottom style="thin">
          <color rgb="FF9E9E9E"/>
        </bottom>
      </border>
    </dxf>
    <dxf>
      <border outline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E9E9E"/>
        </left>
        <right style="thin">
          <color rgb="FF9E9E9E"/>
        </right>
        <top/>
        <bottom/>
      </border>
    </dxf>
    <dxf>
      <font>
        <b/>
        <i val="0"/>
        <color rgb="FFD8A15B"/>
      </font>
    </dxf>
    <dxf>
      <font>
        <b/>
        <i val="0"/>
        <color rgb="FFB7B7B7"/>
      </font>
    </dxf>
    <dxf>
      <font>
        <b/>
        <i val="0"/>
        <color rgb="FFFF66C4"/>
      </font>
    </dxf>
    <dxf>
      <font>
        <b/>
        <i val="0"/>
        <color rgb="FFC77DFF"/>
      </font>
    </dxf>
    <dxf>
      <font>
        <b/>
        <i val="0"/>
        <color rgb="FFFF5A5F"/>
      </font>
    </dxf>
    <dxf>
      <font>
        <b/>
        <i val="0"/>
        <color rgb="FF7ED957"/>
      </font>
    </dxf>
    <dxf>
      <font>
        <b/>
        <i val="0"/>
        <color rgb="FFFFB347"/>
      </font>
    </dxf>
    <dxf>
      <font>
        <b/>
        <i val="0"/>
        <color rgb="FF49B6FF"/>
      </font>
    </dxf>
    <dxf>
      <font>
        <b/>
        <i val="0"/>
        <color rgb="FFD8A15B"/>
      </font>
    </dxf>
    <dxf>
      <font>
        <b/>
        <i val="0"/>
        <color rgb="FFB7B7B7"/>
      </font>
    </dxf>
    <dxf>
      <font>
        <b/>
        <i val="0"/>
        <color rgb="FFFF66C4"/>
      </font>
    </dxf>
    <dxf>
      <font>
        <b/>
        <i val="0"/>
        <color rgb="FFC77DFF"/>
      </font>
    </dxf>
    <dxf>
      <font>
        <b/>
        <i val="0"/>
        <color rgb="FFFF5A5F"/>
      </font>
    </dxf>
    <dxf>
      <font>
        <b/>
        <i val="0"/>
        <color rgb="FF7ED957"/>
      </font>
    </dxf>
    <dxf>
      <font>
        <b/>
        <i val="0"/>
        <color rgb="FFFFB347"/>
      </font>
    </dxf>
    <dxf>
      <font>
        <b/>
        <i val="0"/>
        <color rgb="FF49B6FF"/>
      </font>
    </dxf>
    <dxf>
      <font>
        <b/>
        <i val="0"/>
        <color rgb="FF000000"/>
      </font>
      <fill>
        <patternFill patternType="solid">
          <fgColor indexed="64"/>
          <bgColor rgb="FFF6E6D2"/>
        </patternFill>
      </fill>
    </dxf>
    <dxf>
      <font>
        <b/>
        <i val="0"/>
        <color rgb="FF000000"/>
      </font>
      <fill>
        <patternFill patternType="solid">
          <fgColor indexed="64"/>
          <bgColor rgb="FFF2F2F2"/>
        </patternFill>
      </fill>
    </dxf>
    <dxf>
      <font>
        <b/>
        <i val="0"/>
        <color rgb="FF000000"/>
      </font>
      <fill>
        <patternFill patternType="solid">
          <fgColor indexed="64"/>
          <bgColor rgb="FFFFE0F2"/>
        </patternFill>
      </fill>
    </dxf>
    <dxf>
      <font>
        <b/>
        <i val="0"/>
        <color rgb="FF000000"/>
      </font>
      <fill>
        <patternFill patternType="solid">
          <fgColor indexed="64"/>
          <bgColor rgb="FFF1E5FF"/>
        </patternFill>
      </fill>
    </dxf>
    <dxf>
      <font>
        <b/>
        <i val="0"/>
        <color rgb="FF000000"/>
      </font>
      <fill>
        <patternFill patternType="solid">
          <fgColor indexed="64"/>
          <bgColor rgb="FFFFE1E3"/>
        </patternFill>
      </fill>
    </dxf>
    <dxf>
      <font>
        <b/>
        <i val="0"/>
        <color rgb="FF000000"/>
      </font>
      <fill>
        <patternFill patternType="solid">
          <fgColor indexed="64"/>
          <bgColor rgb="FFE8F8DD"/>
        </patternFill>
      </fill>
    </dxf>
    <dxf>
      <font>
        <b/>
        <i val="0"/>
        <color rgb="FF000000"/>
      </font>
      <fill>
        <patternFill patternType="solid">
          <fgColor indexed="64"/>
          <bgColor rgb="FFFFF0D9"/>
        </patternFill>
      </fill>
    </dxf>
    <dxf>
      <font>
        <b/>
        <i val="0"/>
        <color rgb="FF000000"/>
      </font>
      <fill>
        <patternFill patternType="solid">
          <fgColor indexed="64"/>
          <bgColor rgb="FFDDF3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B5694-2519-41E1-B30C-6879A9E3373B}" name="Table1" displayName="Table1" ref="A5:E59" totalsRowShown="0" headerRowDxfId="110" headerRowBorderDxfId="108" tableBorderDxfId="109" totalsRowBorderDxfId="107">
  <autoFilter ref="A5:E59" xr:uid="{5B1B5694-2519-41E1-B30C-6879A9E3373B}"/>
  <tableColumns count="5">
    <tableColumn id="1" xr3:uid="{494BA493-4A20-4CA8-AA8A-60EF228AA19D}" name="Pick #" dataDxfId="106">
      <calculatedColumnFormula>IF(ROW()-5&lt;=$F$3,ROW()-5,"")</calculatedColumnFormula>
    </tableColumn>
    <tableColumn id="2" xr3:uid="{20FD3DB2-DD41-409C-8D20-CC9D597E29FA}" name="Round" dataDxfId="105">
      <calculatedColumnFormula>IF($A6="","",ROUNDUP($A6/$D$3,0))</calculatedColumnFormula>
    </tableColumn>
    <tableColumn id="3" xr3:uid="{E0272328-7759-40BB-AA30-6CF9954EBF63}" name="Pick in Rd" dataDxfId="104">
      <calculatedColumnFormula>IF($A6="","",MOD($A6-1,$D$3)+1)</calculatedColumnFormula>
    </tableColumn>
    <tableColumn id="4" xr3:uid="{02786068-BDCF-496D-A482-517475467FF1}" name="Drafting Player">
      <calculatedColumnFormula>IF($A6="","",IF(MOD($B6,2)=1,INDEX(Settings!$O$3:$O$10,$C6),INDEX(Settings!$O$3:$O$10,$D$3-$C6+1)))</calculatedColumnFormula>
    </tableColumn>
    <tableColumn id="5" xr3:uid="{F68316CD-0AEE-47BA-A50E-C977BFD9C0B2}" name="Character" dataDxfId="10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ECE296-9A12-4DED-B10D-6051DE43DDCC}" name="Table2" displayName="Table2" ref="A17:C25" totalsRowShown="0" headerRowDxfId="78" headerRowBorderDxfId="76" tableBorderDxfId="77" totalsRowBorderDxfId="75">
  <autoFilter ref="A17:C25" xr:uid="{39ECE296-9A12-4DED-B10D-6051DE43DDCC}"/>
  <tableColumns count="3">
    <tableColumn id="1" xr3:uid="{16465AB4-757D-418C-811C-B551489883D8}" name="Placement" dataDxfId="74"/>
    <tableColumn id="2" xr3:uid="{CFE88025-ABA4-43DE-AFEA-5BC6DAF1F4A4}" name="Player" dataDxfId="73"/>
    <tableColumn id="3" xr3:uid="{D01A6C8A-8E59-45EC-86C1-15DC44910D6E}" name="Formula Source" dataDxfId="7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C9741BA-B9B7-4BE1-85FB-C78F7D399B8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84759fc-ce1a-40f9-84ac-d30479ce9ce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B17304A9-CCAF-404C-AC85-B9F8FE720614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Q9vvusN0RpTIRwdKcE_jW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showGridLines="0" workbookViewId="0">
      <selection activeCell="O16" sqref="O16"/>
    </sheetView>
  </sheetViews>
  <sheetFormatPr defaultColWidth="9.140625" defaultRowHeight="15"/>
  <cols>
    <col min="1" max="1" width="27" style="18" bestFit="1" customWidth="1"/>
    <col min="2" max="3" width="9.140625" style="18"/>
    <col min="4" max="4" width="8" customWidth="1"/>
    <col min="5" max="5" width="12.140625" bestFit="1" customWidth="1"/>
    <col min="6" max="6" width="6.42578125" bestFit="1" customWidth="1"/>
    <col min="7" max="7" width="15.140625" hidden="1" customWidth="1"/>
    <col min="8" max="8" width="15.140625" style="18" customWidth="1"/>
    <col min="9" max="9" width="9.5703125" bestFit="1" customWidth="1"/>
    <col min="10" max="10" width="5.140625" bestFit="1" customWidth="1"/>
    <col min="11" max="11" width="13.42578125" bestFit="1" customWidth="1"/>
    <col min="12" max="12" width="6.140625" bestFit="1" customWidth="1"/>
    <col min="14" max="14" width="9.42578125" bestFit="1" customWidth="1"/>
    <col min="15" max="15" width="14.140625" bestFit="1" customWidth="1"/>
    <col min="16" max="16" width="6.140625" bestFit="1" customWidth="1"/>
  </cols>
  <sheetData>
    <row r="1" spans="1:18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1"/>
      <c r="Q1" s="18"/>
      <c r="R1" s="18"/>
    </row>
    <row r="2" spans="1:18">
      <c r="A2" s="1" t="s">
        <v>1</v>
      </c>
      <c r="B2" s="141">
        <v>1</v>
      </c>
      <c r="D2" s="3" t="s">
        <v>2</v>
      </c>
      <c r="E2" s="3" t="s">
        <v>3</v>
      </c>
      <c r="F2" s="3" t="s">
        <v>4</v>
      </c>
      <c r="G2" s="84" t="s">
        <v>5</v>
      </c>
      <c r="H2" s="163"/>
      <c r="I2" s="83" t="s">
        <v>6</v>
      </c>
      <c r="J2" s="85" t="s">
        <v>7</v>
      </c>
      <c r="K2" s="3" t="s">
        <v>8</v>
      </c>
      <c r="L2" s="3" t="s">
        <v>9</v>
      </c>
      <c r="M2" s="18"/>
      <c r="N2" s="3" t="s">
        <v>10</v>
      </c>
      <c r="O2" s="3" t="s">
        <v>11</v>
      </c>
      <c r="P2" s="3" t="s">
        <v>9</v>
      </c>
      <c r="Q2" s="18"/>
      <c r="R2" s="18"/>
    </row>
    <row r="3" spans="1:18">
      <c r="A3" s="1" t="s">
        <v>12</v>
      </c>
      <c r="B3" s="141">
        <v>6</v>
      </c>
      <c r="D3" s="4">
        <f>IF(1&lt;=$B$3,1,"")</f>
        <v>1</v>
      </c>
      <c r="E3" s="142" t="s">
        <v>13</v>
      </c>
      <c r="F3" s="5" t="str">
        <f>IF(1&lt;=$B$3,IF(D3&lt;=$B$3,"Active","Inactive"),"")</f>
        <v>Active</v>
      </c>
      <c r="G3" s="86" t="b">
        <f>IF(1&lt;=$B$3,D3&lt;=$B$3,"")</f>
        <v>1</v>
      </c>
      <c r="H3" s="10"/>
      <c r="I3" s="150" t="s">
        <v>14</v>
      </c>
      <c r="J3" s="23">
        <f>IF(1&lt;=$B$3,1,"")</f>
        <v>1</v>
      </c>
      <c r="K3" s="149" t="s">
        <v>15</v>
      </c>
      <c r="L3" s="5" t="str">
        <f>IF($J3="","",IF(K3="","Select player",IF(COUNTIF($K$3:$K$10,K3)&gt;1,"Duplicate","")))</f>
        <v/>
      </c>
      <c r="M3" s="18"/>
      <c r="N3" s="4">
        <f>IF(1&lt;=$B$3,1,"")</f>
        <v>1</v>
      </c>
      <c r="O3" s="149" t="s">
        <v>16</v>
      </c>
      <c r="P3" s="5" t="str">
        <f>IF($N3="","",IF(O3="","Select player",IF(COUNTIF($O$3:$O$10,O3)&gt;1,"Duplicate","")))</f>
        <v/>
      </c>
      <c r="Q3" s="18"/>
      <c r="R3" s="18"/>
    </row>
    <row r="4" spans="1:18">
      <c r="A4" s="1" t="s">
        <v>17</v>
      </c>
      <c r="B4" s="2" t="s">
        <v>18</v>
      </c>
      <c r="D4" s="4">
        <f>IF(2&lt;=$B$3,2,"")</f>
        <v>2</v>
      </c>
      <c r="E4" s="143" t="s">
        <v>19</v>
      </c>
      <c r="F4" s="5" t="str">
        <f>IF(2&lt;=$B$3,IF(D4&lt;=$B$3,"Active","Inactive"),"")</f>
        <v>Active</v>
      </c>
      <c r="G4" s="86" t="b">
        <f>IF(2&lt;=$B$3,D4&lt;=$B$3,"")</f>
        <v>1</v>
      </c>
      <c r="H4" s="10"/>
      <c r="I4" s="151" t="s">
        <v>20</v>
      </c>
      <c r="J4" s="23">
        <f>IF(2&lt;=$B$3,2,"")</f>
        <v>2</v>
      </c>
      <c r="K4" s="149" t="s">
        <v>21</v>
      </c>
      <c r="L4" s="5" t="str">
        <f>IF($J4="","",IF(K4="","Select player",IF(COUNTIF($K$3:$K$10,K4)&gt;1,"Duplicate","")))</f>
        <v/>
      </c>
      <c r="M4" s="18"/>
      <c r="N4" s="4">
        <f>IF(2&lt;=$B$3,2,"")</f>
        <v>2</v>
      </c>
      <c r="O4" s="149" t="s">
        <v>19</v>
      </c>
      <c r="P4" s="5" t="str">
        <f>IF($N4="","",IF(O4="","Select player",IF(COUNTIF($O$3:$O$10,O4)&gt;1,"Duplicate","")))</f>
        <v/>
      </c>
      <c r="Q4" s="18"/>
      <c r="R4" s="18"/>
    </row>
    <row r="5" spans="1:18">
      <c r="A5" s="1" t="s">
        <v>22</v>
      </c>
      <c r="B5" s="2" t="s">
        <v>18</v>
      </c>
      <c r="D5" s="4">
        <f>IF(3&lt;=$B$3,3,"")</f>
        <v>3</v>
      </c>
      <c r="E5" s="144" t="s">
        <v>21</v>
      </c>
      <c r="F5" s="5" t="str">
        <f>IF(3&lt;=$B$3,IF(D5&lt;=$B$3,"Active","Inactive"),"")</f>
        <v>Active</v>
      </c>
      <c r="G5" s="86" t="b">
        <f>IF(3&lt;=$B$3,D5&lt;=$B$3,"")</f>
        <v>1</v>
      </c>
      <c r="H5" s="10"/>
      <c r="I5" s="152" t="s">
        <v>23</v>
      </c>
      <c r="J5" s="23">
        <f>IF(3&lt;=$B$3,3,"")</f>
        <v>3</v>
      </c>
      <c r="K5" s="149" t="s">
        <v>13</v>
      </c>
      <c r="L5" s="5" t="str">
        <f>IF($J5="","",IF(K5="","Select player",IF(COUNTIF($K$3:$K$10,K5)&gt;1,"Duplicate","")))</f>
        <v/>
      </c>
      <c r="M5" s="18"/>
      <c r="N5" s="4">
        <f>IF(3&lt;=$B$3,3,"")</f>
        <v>3</v>
      </c>
      <c r="O5" s="149" t="s">
        <v>24</v>
      </c>
      <c r="P5" s="5" t="str">
        <f>IF($N5="","",IF(O5="","Select player",IF(COUNTIF($O$3:$O$10,O5)&gt;1,"Duplicate","")))</f>
        <v/>
      </c>
      <c r="Q5" s="18"/>
      <c r="R5" s="18"/>
    </row>
    <row r="6" spans="1:18">
      <c r="D6" s="4">
        <f>IF(4&lt;=$B$3,4,"")</f>
        <v>4</v>
      </c>
      <c r="E6" s="145" t="s">
        <v>16</v>
      </c>
      <c r="F6" s="5" t="str">
        <f>IF(4&lt;=$B$3,IF(D6&lt;=$B$3,"Active","Inactive"),"")</f>
        <v>Active</v>
      </c>
      <c r="G6" s="86" t="b">
        <f>IF(4&lt;=$B$3,D6&lt;=$B$3,"")</f>
        <v>1</v>
      </c>
      <c r="H6" s="10"/>
      <c r="I6" s="153" t="s">
        <v>25</v>
      </c>
      <c r="J6" s="23">
        <f>IF(4&lt;=$B$3,4,"")</f>
        <v>4</v>
      </c>
      <c r="K6" s="149" t="s">
        <v>24</v>
      </c>
      <c r="L6" s="5" t="str">
        <f>IF($J6="","",IF(K6="","Select player",IF(COUNTIF($K$3:$K$10,K6)&gt;1,"Duplicate","")))</f>
        <v/>
      </c>
      <c r="M6" s="18"/>
      <c r="N6" s="4">
        <f>IF(4&lt;=$B$3,4,"")</f>
        <v>4</v>
      </c>
      <c r="O6" s="149" t="s">
        <v>13</v>
      </c>
      <c r="P6" s="5" t="str">
        <f>IF($N6="","",IF(O6="","Select player",IF(COUNTIF($O$3:$O$10,O6)&gt;1,"Duplicate","")))</f>
        <v/>
      </c>
      <c r="Q6" s="18"/>
      <c r="R6" s="18"/>
    </row>
    <row r="7" spans="1:18">
      <c r="D7" s="4">
        <f>IF(5&lt;=$B$3,5,"")</f>
        <v>5</v>
      </c>
      <c r="E7" s="146" t="s">
        <v>15</v>
      </c>
      <c r="F7" s="5" t="str">
        <f>IF(5&lt;=$B$3,IF(D7&lt;=$B$3,"Active","Inactive"),"")</f>
        <v>Active</v>
      </c>
      <c r="G7" s="86" t="b">
        <f>IF(5&lt;=$B$3,D7&lt;=$B$3,"")</f>
        <v>1</v>
      </c>
      <c r="H7" s="10"/>
      <c r="I7" s="154" t="s">
        <v>26</v>
      </c>
      <c r="J7" s="23">
        <f>IF(5&lt;=$B$3,5,"")</f>
        <v>5</v>
      </c>
      <c r="K7" s="149" t="s">
        <v>19</v>
      </c>
      <c r="L7" s="5" t="str">
        <f>IF($J7="","",IF(K7="","Select player",IF(COUNTIF($K$3:$K$10,K7)&gt;1,"Duplicate","")))</f>
        <v/>
      </c>
      <c r="M7" s="18"/>
      <c r="N7" s="4">
        <f>IF(5&lt;=$B$3,5,"")</f>
        <v>5</v>
      </c>
      <c r="O7" s="149" t="s">
        <v>21</v>
      </c>
      <c r="P7" s="5" t="str">
        <f>IF($N7="","",IF(O7="","Select player",IF(COUNTIF($O$3:$O$10,O7)&gt;1,"Duplicate","")))</f>
        <v/>
      </c>
      <c r="Q7" s="18"/>
      <c r="R7" s="18"/>
    </row>
    <row r="8" spans="1:18">
      <c r="D8" s="4">
        <f>IF(6&lt;=$B$3,6,"")</f>
        <v>6</v>
      </c>
      <c r="E8" s="147" t="s">
        <v>24</v>
      </c>
      <c r="F8" s="5" t="str">
        <f>IF(6&lt;=$B$3,IF(D8&lt;=$B$3,"Active","Inactive"),"")</f>
        <v>Active</v>
      </c>
      <c r="G8" s="86" t="b">
        <f>IF(6&lt;=$B$3,D8&lt;=$B$3,"")</f>
        <v>1</v>
      </c>
      <c r="H8" s="10"/>
      <c r="I8" s="155" t="s">
        <v>27</v>
      </c>
      <c r="J8" s="23">
        <f>IF(6&lt;=$B$3,6,"")</f>
        <v>6</v>
      </c>
      <c r="K8" s="149" t="s">
        <v>16</v>
      </c>
      <c r="L8" s="5" t="str">
        <f>IF($J8="","",IF(K8="","Select player",IF(COUNTIF($K$3:$K$10,K8)&gt;1,"Duplicate","")))</f>
        <v/>
      </c>
      <c r="M8" s="18"/>
      <c r="N8" s="4">
        <f>IF(6&lt;=$B$3,6,"")</f>
        <v>6</v>
      </c>
      <c r="O8" s="149" t="s">
        <v>15</v>
      </c>
      <c r="P8" s="5" t="str">
        <f>IF($N8="","",IF(O8="","Select player",IF(COUNTIF($O$3:$O$10,O8)&gt;1,"Duplicate","")))</f>
        <v/>
      </c>
      <c r="Q8" s="18"/>
      <c r="R8" s="18"/>
    </row>
    <row r="9" spans="1:18" hidden="1">
      <c r="D9" s="4" t="str">
        <f>IF(7&lt;=$B$3,7,"")</f>
        <v/>
      </c>
      <c r="E9" s="141" t="s">
        <v>28</v>
      </c>
      <c r="F9" s="5" t="str">
        <f>IF(7&lt;=$B$3,IF(D9&lt;=$B$3,"Active","Inactive"),"")</f>
        <v/>
      </c>
      <c r="G9" s="86" t="str">
        <f>IF(7&lt;=$B$3,D9&lt;=$B$3,"")</f>
        <v/>
      </c>
      <c r="H9" s="10"/>
      <c r="I9" s="156" t="s">
        <v>29</v>
      </c>
      <c r="J9" s="23" t="str">
        <f>IF(7&lt;=$B$3,7,"")</f>
        <v/>
      </c>
      <c r="K9" s="148"/>
      <c r="L9" s="5" t="str">
        <f>IF($J9="","",IF(K9="","Select player",IF(COUNTIF($K$3:$K$10,K9)&gt;1,"Duplicate","")))</f>
        <v/>
      </c>
      <c r="M9" s="18"/>
      <c r="N9" s="4" t="str">
        <f>IF(7&lt;=$B$3,7,"")</f>
        <v/>
      </c>
      <c r="O9" s="148"/>
      <c r="P9" s="5" t="str">
        <f>IF($N9="","",IF(O9="","Select player",IF(COUNTIF($O$3:$O$10,O9)&gt;1,"Duplicate","")))</f>
        <v/>
      </c>
      <c r="Q9" s="18"/>
      <c r="R9" s="18"/>
    </row>
    <row r="10" spans="1:18" hidden="1">
      <c r="D10" s="4" t="str">
        <f>IF(8&lt;=$B$3,8,"")</f>
        <v/>
      </c>
      <c r="E10" s="141" t="s">
        <v>30</v>
      </c>
      <c r="F10" s="5" t="str">
        <f>IF(8&lt;=$B$3,IF(D10&lt;=$B$3,"Active","Inactive"),"")</f>
        <v/>
      </c>
      <c r="G10" s="86" t="str">
        <f>IF(8&lt;=$B$3,D10&lt;=$B$3,"")</f>
        <v/>
      </c>
      <c r="H10" s="10"/>
      <c r="I10" s="157" t="s">
        <v>31</v>
      </c>
      <c r="J10" s="23" t="str">
        <f>IF(8&lt;=$B$3,8,"")</f>
        <v/>
      </c>
      <c r="K10" s="148"/>
      <c r="L10" s="5" t="str">
        <f>IF($J10="","",IF(K10="","Select player",IF(COUNTIF($K$3:$K$10,K10)&gt;1,"Duplicate","")))</f>
        <v/>
      </c>
      <c r="M10" s="18"/>
      <c r="N10" s="4" t="str">
        <f>IF(8&lt;=$B$3,8,"")</f>
        <v/>
      </c>
      <c r="O10" s="148"/>
      <c r="P10" s="5" t="str">
        <f>IF($N10="","",IF(O10="","Select player",IF(COUNTIF($O$3:$O$10,O10)&gt;1,"Duplicate","")))</f>
        <v/>
      </c>
      <c r="Q10" s="18"/>
      <c r="R10" s="18"/>
    </row>
    <row r="11" spans="1:18" collapsed="1">
      <c r="D11" s="18"/>
      <c r="E11" s="18"/>
      <c r="F11" s="18"/>
      <c r="G11" s="18"/>
      <c r="I11" s="24"/>
      <c r="J11" s="18"/>
      <c r="K11" s="18"/>
      <c r="L11" s="18"/>
      <c r="M11" s="18"/>
      <c r="N11" s="18"/>
      <c r="O11" s="18"/>
      <c r="P11" s="18"/>
      <c r="Q11" s="18"/>
      <c r="R11" s="18"/>
    </row>
    <row r="13" spans="1:18">
      <c r="D13" s="18"/>
      <c r="E13" s="18"/>
      <c r="F13" s="18"/>
      <c r="G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>
      <c r="D14" s="18"/>
      <c r="E14" s="18"/>
      <c r="F14" s="18"/>
      <c r="G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>
      <c r="D15" s="18"/>
      <c r="E15" s="18"/>
      <c r="F15" s="18"/>
      <c r="G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>
      <c r="D16" s="18"/>
      <c r="E16" s="18"/>
      <c r="F16" s="18"/>
      <c r="G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4:18">
      <c r="D17" s="18"/>
      <c r="E17" s="18"/>
      <c r="F17" s="18"/>
      <c r="G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4:18">
      <c r="D18" s="18"/>
      <c r="E18" s="18"/>
      <c r="F18" s="18"/>
      <c r="G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4:18">
      <c r="D19" s="18"/>
      <c r="E19" s="18"/>
      <c r="F19" s="18"/>
      <c r="G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4:18">
      <c r="D20" s="18"/>
      <c r="E20" s="18"/>
      <c r="F20" s="18"/>
      <c r="G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</sheetData>
  <mergeCells count="1">
    <mergeCell ref="A1:P1"/>
  </mergeCells>
  <conditionalFormatting sqref="I3:I10">
    <cfRule type="expression" dxfId="134" priority="1">
      <formula>$I3="Blue"</formula>
    </cfRule>
  </conditionalFormatting>
  <conditionalFormatting sqref="I3:I10">
    <cfRule type="expression" dxfId="133" priority="2">
      <formula>$I3="Orange"</formula>
    </cfRule>
  </conditionalFormatting>
  <conditionalFormatting sqref="I3:I10">
    <cfRule type="expression" dxfId="132" priority="3">
      <formula>$I3="Green"</formula>
    </cfRule>
  </conditionalFormatting>
  <conditionalFormatting sqref="I3:I10">
    <cfRule type="expression" dxfId="131" priority="4">
      <formula>$I3="Red"</formula>
    </cfRule>
  </conditionalFormatting>
  <conditionalFormatting sqref="I3:I10">
    <cfRule type="expression" dxfId="130" priority="5">
      <formula>$I3="Purple"</formula>
    </cfRule>
  </conditionalFormatting>
  <conditionalFormatting sqref="I3:I10">
    <cfRule type="expression" dxfId="129" priority="6">
      <formula>$I3="Pink"</formula>
    </cfRule>
  </conditionalFormatting>
  <conditionalFormatting sqref="I3:I10">
    <cfRule type="expression" dxfId="128" priority="7">
      <formula>$I3="Gray"</formula>
    </cfRule>
  </conditionalFormatting>
  <conditionalFormatting sqref="I3:I10">
    <cfRule type="expression" dxfId="127" priority="8">
      <formula>$I3="Brown"</formula>
    </cfRule>
  </conditionalFormatting>
  <conditionalFormatting sqref="A1:P11">
    <cfRule type="expression" dxfId="126" priority="9">
      <formula>COUNTIFS(ActivePlayers,A1,ActiveColors,"Blue")&gt;0</formula>
    </cfRule>
  </conditionalFormatting>
  <conditionalFormatting sqref="A1:P11">
    <cfRule type="expression" dxfId="125" priority="10">
      <formula>COUNTIFS(ActivePlayers,A1,ActiveColors,"Orange")&gt;0</formula>
    </cfRule>
  </conditionalFormatting>
  <conditionalFormatting sqref="A1:P11">
    <cfRule type="expression" dxfId="124" priority="11">
      <formula>COUNTIFS(ActivePlayers,A1,ActiveColors,"Green")&gt;0</formula>
    </cfRule>
  </conditionalFormatting>
  <conditionalFormatting sqref="A1:P11">
    <cfRule type="expression" dxfId="123" priority="12">
      <formula>COUNTIFS(ActivePlayers,A1,ActiveColors,"Red")&gt;0</formula>
    </cfRule>
  </conditionalFormatting>
  <conditionalFormatting sqref="A1:P11">
    <cfRule type="expression" dxfId="122" priority="13">
      <formula>COUNTIFS(ActivePlayers,A1,ActiveColors,"Purple")&gt;0</formula>
    </cfRule>
  </conditionalFormatting>
  <conditionalFormatting sqref="A1:P11">
    <cfRule type="expression" dxfId="121" priority="14">
      <formula>COUNTIFS(ActivePlayers,A1,ActiveColors,"Pink")&gt;0</formula>
    </cfRule>
  </conditionalFormatting>
  <conditionalFormatting sqref="A1:P11">
    <cfRule type="expression" dxfId="120" priority="15">
      <formula>COUNTIFS(ActivePlayers,A1,ActiveColors,"Gray")&gt;0</formula>
    </cfRule>
  </conditionalFormatting>
  <conditionalFormatting sqref="A1:P11">
    <cfRule type="expression" dxfId="119" priority="16">
      <formula>COUNTIFS(ActivePlayers,A1,ActiveColors,"Brown")&gt;0</formula>
    </cfRule>
  </conditionalFormatting>
  <dataValidations count="3">
    <dataValidation type="whole" sqref="B3" xr:uid="{00000000-0002-0000-0000-000000000000}">
      <formula1>5</formula1>
      <formula2>8</formula2>
    </dataValidation>
    <dataValidation type="list" allowBlank="1" showInputMessage="1" showErrorMessage="1" sqref="I3:I10" xr:uid="{047163B7-F3C9-4C0B-93B3-B93FE81395CC}">
      <formula1>"Blue,Orange,Green,Red,Purple,Pink,Gray,Brown"</formula1>
    </dataValidation>
    <dataValidation type="list" allowBlank="1" showInputMessage="1" showErrorMessage="1" sqref="K3:K10 O3:O10" xr:uid="{D2460C07-CB66-4B52-BC44-042F90D32379}">
      <formula1>ActivePlayers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1"/>
  <sheetViews>
    <sheetView showGridLines="0" workbookViewId="0">
      <selection activeCell="E59" sqref="E59"/>
    </sheetView>
  </sheetViews>
  <sheetFormatPr defaultRowHeight="15"/>
  <cols>
    <col min="1" max="1" width="11.85546875" bestFit="1" customWidth="1"/>
    <col min="2" max="2" width="9.28515625" customWidth="1"/>
    <col min="3" max="3" width="12.28515625" customWidth="1"/>
    <col min="4" max="4" width="18" customWidth="1"/>
    <col min="5" max="5" width="20" customWidth="1"/>
    <col min="6" max="6" width="5.28515625" bestFit="1" customWidth="1"/>
    <col min="7" max="7" width="5.28515625" style="18" customWidth="1"/>
    <col min="8" max="8" width="15.7109375" bestFit="1" customWidth="1"/>
    <col min="9" max="9" width="14.42578125" bestFit="1" customWidth="1"/>
    <col min="10" max="10" width="14.7109375" bestFit="1" customWidth="1"/>
    <col min="11" max="11" width="15.5703125" bestFit="1" customWidth="1"/>
    <col min="12" max="12" width="14" bestFit="1" customWidth="1"/>
    <col min="13" max="13" width="16.42578125" bestFit="1" customWidth="1"/>
    <col min="14" max="15" width="8.42578125" hidden="1" customWidth="1"/>
    <col min="16" max="16" width="15" customWidth="1" collapsed="1"/>
    <col min="17" max="19" width="15" customWidth="1"/>
  </cols>
  <sheetData>
    <row r="1" spans="1:19" ht="24" customHeight="1">
      <c r="A1" s="212" t="s">
        <v>32</v>
      </c>
      <c r="B1" s="213"/>
      <c r="C1" s="213"/>
      <c r="D1" s="213"/>
      <c r="E1" s="213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ht="20.100000000000001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ht="20.100000000000001" customHeight="1">
      <c r="A3" s="11" t="s">
        <v>33</v>
      </c>
      <c r="B3" s="20">
        <f>Settings!$B$2</f>
        <v>1</v>
      </c>
      <c r="C3" s="11" t="s">
        <v>12</v>
      </c>
      <c r="D3" s="20">
        <f>Settings!$B$3</f>
        <v>6</v>
      </c>
      <c r="E3" s="11" t="s">
        <v>34</v>
      </c>
      <c r="F3" s="20">
        <f>Settings!$B$3*9</f>
        <v>54</v>
      </c>
      <c r="G3" s="19"/>
      <c r="H3" s="12" t="s">
        <v>35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ht="20.100000000000001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19" ht="20.100000000000001" customHeight="1">
      <c r="A5" s="134" t="s">
        <v>36</v>
      </c>
      <c r="B5" s="135" t="s">
        <v>37</v>
      </c>
      <c r="C5" s="135" t="s">
        <v>38</v>
      </c>
      <c r="D5" s="135" t="s">
        <v>11</v>
      </c>
      <c r="E5" s="136" t="s">
        <v>39</v>
      </c>
      <c r="F5" s="19"/>
      <c r="G5" s="19"/>
      <c r="H5" s="96" t="str">
        <f>IF(1&lt;=Settings!$B$3,Settings!$E$3,"")</f>
        <v>Aidan</v>
      </c>
      <c r="I5" s="99" t="str">
        <f>IF(2&lt;=Settings!$B$3,Settings!$E$4,"")</f>
        <v>Donovan</v>
      </c>
      <c r="J5" s="102" t="str">
        <f>IF(3&lt;=Settings!$B$3,Settings!$E$5,"")</f>
        <v>Jason</v>
      </c>
      <c r="K5" s="105" t="str">
        <f>IF(4&lt;=Settings!$B$3,Settings!$E$6,"")</f>
        <v>Justin</v>
      </c>
      <c r="L5" s="108" t="str">
        <f>IF(5&lt;=Settings!$B$3,Settings!$E$7,"")</f>
        <v>May</v>
      </c>
      <c r="M5" s="111" t="str">
        <f>IF(6&lt;=Settings!$B$3,Settings!$E$8,"")</f>
        <v>Nick</v>
      </c>
      <c r="N5" s="13" t="str">
        <f>IF(7&lt;=Settings!$B$3,Settings!$E$9,"")</f>
        <v/>
      </c>
      <c r="O5" s="13" t="str">
        <f>IF(8&lt;=Settings!$B$3,Settings!$E$10,"")</f>
        <v/>
      </c>
      <c r="P5" s="19"/>
      <c r="Q5" s="19"/>
      <c r="R5" s="19"/>
      <c r="S5" s="19"/>
    </row>
    <row r="6" spans="1:19" ht="20.100000000000001" customHeight="1">
      <c r="A6" s="130">
        <f>IF(ROW()-5&lt;=$F$3,ROW()-5,"")</f>
        <v>1</v>
      </c>
      <c r="B6" s="21">
        <f>IF($A6="","",ROUNDUP($A6/$D$3,0))</f>
        <v>1</v>
      </c>
      <c r="C6" s="21">
        <f>IF($A6="","",MOD($A6-1,$D$3)+1)</f>
        <v>1</v>
      </c>
      <c r="D6" s="97" t="str">
        <f>IF($A6="","",IF(MOD($B6,2)=1,INDEX(Settings!$O$3:$O$10,$C6),INDEX(Settings!$O$3:$O$10,$D$3-$C6+1)))</f>
        <v>Justin</v>
      </c>
      <c r="E6" s="132" t="s">
        <v>40</v>
      </c>
      <c r="F6" s="19"/>
      <c r="G6" s="19"/>
      <c r="H6" s="22" t="str" cm="1">
        <f t="array" ref="H6">IF(H$5="","",IFERROR(_xlfn.LET(_xlpm.x,_xlfn.SINGLE(INDEX(_xlfn._xlws.FILTER($E$6:$E$77,$D$6:$D$77=H$5),ROWS(H$6:H6))),IF(_xlpm.x=0,"",_xlpm.x)),""))</f>
        <v>Mario</v>
      </c>
      <c r="I6" s="22" t="str" cm="1">
        <f t="array" ref="I6">IF(I$5="","",IFERROR(_xlfn.LET(_xlpm.x,_xlfn.SINGLE(INDEX(_xlfn._xlws.FILTER($E$6:$E$77,$D$6:$D$77=I$5),ROWS(I$6:I6))),IF(_xlpm.x=0,"",_xlpm.x)),""))</f>
        <v>Donkey Kong</v>
      </c>
      <c r="J6" s="22" t="str" cm="1">
        <f t="array" ref="J6">IF(J$5="","",IFERROR(_xlfn.LET(_xlpm.x,_xlfn.SINGLE(INDEX(_xlfn._xlws.FILTER($E$6:$E$77,$D$6:$D$77=J$5),ROWS(J$6:J6))),IF(_xlpm.x=0,"",_xlpm.x)),""))</f>
        <v>Bowser</v>
      </c>
      <c r="K6" s="22" t="str" cm="1">
        <f t="array" ref="K6">IF(K$5="","",IFERROR(_xlfn.LET(_xlpm.x,_xlfn.SINGLE(INDEX(_xlfn._xlws.FILTER($E$6:$E$77,$D$6:$D$77=K$5),ROWS(K$6:K6))),IF(_xlpm.x=0,"",_xlpm.x)),""))</f>
        <v>Bowser Jr.</v>
      </c>
      <c r="L6" s="22" t="str" cm="1">
        <f t="array" ref="L6">IF(L$5="","",IFERROR(_xlfn.LET(_xlpm.x,_xlfn.SINGLE(INDEX(_xlfn._xlws.FILTER($E$6:$E$77,$D$6:$D$77=L$5),ROWS(L$6:L6))),IF(_xlpm.x=0,"",_xlpm.x)),""))</f>
        <v>Birdo</v>
      </c>
      <c r="M6" s="22" t="str" cm="1">
        <f t="array" ref="M6">IF(M$5="","",IFERROR(_xlfn.LET(_xlpm.x,_xlfn.SINGLE(INDEX(_xlfn._xlws.FILTER($E$6:$E$77,$D$6:$D$77=M$5),ROWS(M$6:M6))),IF(_xlpm.x=0,"",_xlpm.x)),""))</f>
        <v>Daisy</v>
      </c>
      <c r="N6" s="22" t="str" cm="1">
        <f t="array" ref="N6">IF(N$5="","",IFERROR(_xlfn.LET(_xlpm.x,_xlfn.SINGLE(INDEX(_xlfn._xlws.FILTER($E$6:$E$77,$D$6:$D$77=N$5),ROWS(N$6:N6))),IF(_xlpm.x=0,"",_xlpm.x)),""))</f>
        <v/>
      </c>
      <c r="O6" s="22" t="str" cm="1">
        <f t="array" ref="O6">IF(O$5="","",IFERROR(_xlfn.LET(_xlpm.x,_xlfn.SINGLE(INDEX(_xlfn._xlws.FILTER($E$6:$E$77,$D$6:$D$77=O$5),ROWS(O$6:O6))),IF(_xlpm.x=0,"",_xlpm.x)),""))</f>
        <v/>
      </c>
      <c r="P6" s="19"/>
      <c r="Q6" s="19"/>
      <c r="R6" s="19"/>
      <c r="S6" s="19"/>
    </row>
    <row r="7" spans="1:19" ht="20.100000000000001" customHeight="1">
      <c r="A7" s="130">
        <f>IF(ROW()-5&lt;=$F$3,ROW()-5,"")</f>
        <v>2</v>
      </c>
      <c r="B7" s="21">
        <f>IF($A7="","",ROUNDUP($A7/$D$3,0))</f>
        <v>1</v>
      </c>
      <c r="C7" s="21">
        <f>IF($A7="","",MOD($A7-1,$D$3)+1)</f>
        <v>2</v>
      </c>
      <c r="D7" s="100" t="str">
        <f>IF($A7="","",IF(MOD($B7,2)=1,INDEX(Settings!$O$3:$O$10,$C7),INDEX(Settings!$O$3:$O$10,$D$3-$C7+1)))</f>
        <v>Donovan</v>
      </c>
      <c r="E7" s="132" t="s">
        <v>41</v>
      </c>
      <c r="F7" s="19"/>
      <c r="G7" s="19"/>
      <c r="H7" s="22" t="str" cm="1">
        <f t="array" ref="H7">IF(H$5="","",IFERROR(_xlfn.LET(_xlpm.x,_xlfn.SINGLE(INDEX(_xlfn._xlws.FILTER($E$6:$E$77,$D$6:$D$77=H$5),ROWS(H$6:H7))),IF(_xlpm.x=0,"",_xlpm.x)),""))</f>
        <v>Luigi</v>
      </c>
      <c r="I7" s="22" t="str" cm="1">
        <f t="array" ref="I7">IF(I$5="","",IFERROR(_xlfn.LET(_xlpm.x,_xlfn.SINGLE(INDEX(_xlfn._xlws.FILTER($E$6:$E$77,$D$6:$D$77=I$5),ROWS(I$6:I7))),IF(_xlpm.x=0,"",_xlpm.x)),""))</f>
        <v>Waluigi</v>
      </c>
      <c r="J7" s="22" t="str" cm="1">
        <f t="array" ref="J7">IF(J$5="","",IFERROR(_xlfn.LET(_xlpm.x,_xlfn.SINGLE(INDEX(_xlfn._xlws.FILTER($E$6:$E$77,$D$6:$D$77=J$5),ROWS(J$6:J7))),IF(_xlpm.x=0,"",_xlpm.x)),""))</f>
        <v>Peach</v>
      </c>
      <c r="K7" s="22" t="str" cm="1">
        <f t="array" ref="K7">IF(K$5="","",IFERROR(_xlfn.LET(_xlpm.x,_xlfn.SINGLE(INDEX(_xlfn._xlws.FILTER($E$6:$E$77,$D$6:$D$77=K$5),ROWS(K$6:K7))),IF(_xlpm.x=0,"",_xlpm.x)),""))</f>
        <v>Boo</v>
      </c>
      <c r="L7" s="22" t="str" cm="1">
        <f t="array" ref="L7">IF(L$5="","",IFERROR(_xlfn.LET(_xlpm.x,_xlfn.SINGLE(INDEX(_xlfn._xlws.FILTER($E$6:$E$77,$D$6:$D$77=L$5),ROWS(L$6:L7))),IF(_xlpm.x=0,"",_xlpm.x)),""))</f>
        <v>Petey Piranha</v>
      </c>
      <c r="M7" s="22" t="str" cm="1">
        <f t="array" ref="M7">IF(M$5="","",IFERROR(_xlfn.LET(_xlpm.x,_xlfn.SINGLE(INDEX(_xlfn._xlws.FILTER($E$6:$E$77,$D$6:$D$77=M$5),ROWS(M$6:M7))),IF(_xlpm.x=0,"",_xlpm.x)),""))</f>
        <v>Mii</v>
      </c>
      <c r="N7" s="22" t="str" cm="1">
        <f t="array" ref="N7">IF(N$5="","",IFERROR(_xlfn.LET(_xlpm.x,_xlfn.SINGLE(INDEX(_xlfn._xlws.FILTER($E$6:$E$77,$D$6:$D$77=N$5),ROWS(N$6:N7))),IF(_xlpm.x=0,"",_xlpm.x)),""))</f>
        <v/>
      </c>
      <c r="O7" s="22" t="str" cm="1">
        <f t="array" ref="O7">IF(O$5="","",IFERROR(_xlfn.LET(_xlpm.x,_xlfn.SINGLE(INDEX(_xlfn._xlws.FILTER($E$6:$E$77,$D$6:$D$77=O$5),ROWS(O$6:O7))),IF(_xlpm.x=0,"",_xlpm.x)),""))</f>
        <v/>
      </c>
      <c r="P7" s="19"/>
      <c r="Q7" s="19"/>
      <c r="R7" s="19"/>
      <c r="S7" s="19"/>
    </row>
    <row r="8" spans="1:19" ht="20.100000000000001" customHeight="1">
      <c r="A8" s="130">
        <f>IF(ROW()-5&lt;=$F$3,ROW()-5,"")</f>
        <v>3</v>
      </c>
      <c r="B8" s="21">
        <f>IF($A8="","",ROUNDUP($A8/$D$3,0))</f>
        <v>1</v>
      </c>
      <c r="C8" s="21">
        <f>IF($A8="","",MOD($A8-1,$D$3)+1)</f>
        <v>3</v>
      </c>
      <c r="D8" s="103" t="str">
        <f>IF($A8="","",IF(MOD($B8,2)=1,INDEX(Settings!$O$3:$O$10,$C8),INDEX(Settings!$O$3:$O$10,$D$3-$C8+1)))</f>
        <v>Nick</v>
      </c>
      <c r="E8" s="132" t="s">
        <v>42</v>
      </c>
      <c r="F8" s="19"/>
      <c r="G8" s="19"/>
      <c r="H8" s="22" t="str" cm="1">
        <f t="array" ref="H8">IF(H$5="","",IFERROR(_xlfn.LET(_xlpm.x,_xlfn.SINGLE(INDEX(_xlfn._xlws.FILTER($E$6:$E$77,$D$6:$D$77=H$5),ROWS(H$6:H8))),IF(_xlpm.x=0,"",_xlpm.x)),""))</f>
        <v>Dark Bones</v>
      </c>
      <c r="I8" s="22" t="str" cm="1">
        <f t="array" ref="I8">IF(I$5="","",IFERROR(_xlfn.LET(_xlpm.x,_xlfn.SINGLE(INDEX(_xlfn._xlws.FILTER($E$6:$E$77,$D$6:$D$77=I$5),ROWS(I$6:I8))),IF(_xlpm.x=0,"",_xlpm.x)),""))</f>
        <v>Diddy Kong</v>
      </c>
      <c r="J8" s="22" t="str" cm="1">
        <f t="array" ref="J8">IF(J$5="","",IFERROR(_xlfn.LET(_xlpm.x,_xlfn.SINGLE(INDEX(_xlfn._xlws.FILTER($E$6:$E$77,$D$6:$D$77=J$5),ROWS(J$6:J8))),IF(_xlpm.x=0,"",_xlpm.x)),""))</f>
        <v>Yoshi</v>
      </c>
      <c r="K8" s="22" t="str" cm="1">
        <f t="array" ref="K8">IF(K$5="","",IFERROR(_xlfn.LET(_xlpm.x,_xlfn.SINGLE(INDEX(_xlfn._xlws.FILTER($E$6:$E$77,$D$6:$D$77=K$5),ROWS(K$6:K8))),IF(_xlpm.x=0,"",_xlpm.x)),""))</f>
        <v>Funky Kong</v>
      </c>
      <c r="L8" s="22" t="str" cm="1">
        <f t="array" ref="L8">IF(L$5="","",IFERROR(_xlfn.LET(_xlpm.x,_xlfn.SINGLE(INDEX(_xlfn._xlws.FILTER($E$6:$E$77,$D$6:$D$77=L$5),ROWS(L$6:L8))),IF(_xlpm.x=0,"",_xlpm.x)),""))</f>
        <v>King Boo</v>
      </c>
      <c r="M8" s="22" t="str" cm="1">
        <f t="array" ref="M8">IF(M$5="","",IFERROR(_xlfn.LET(_xlpm.x,_xlfn.SINGLE(INDEX(_xlfn._xlws.FILTER($E$6:$E$77,$D$6:$D$77=M$5),ROWS(M$6:M8))),IF(_xlpm.x=0,"",_xlpm.x)),""))</f>
        <v>Toadette</v>
      </c>
      <c r="N8" s="22" t="str" cm="1">
        <f t="array" ref="N8">IF(N$5="","",IFERROR(_xlfn.LET(_xlpm.x,_xlfn.SINGLE(INDEX(_xlfn._xlws.FILTER($E$6:$E$77,$D$6:$D$77=N$5),ROWS(N$6:N8))),IF(_xlpm.x=0,"",_xlpm.x)),""))</f>
        <v/>
      </c>
      <c r="O8" s="22" t="str" cm="1">
        <f t="array" ref="O8">IF(O$5="","",IFERROR(_xlfn.LET(_xlpm.x,_xlfn.SINGLE(INDEX(_xlfn._xlws.FILTER($E$6:$E$77,$D$6:$D$77=O$5),ROWS(O$6:O8))),IF(_xlpm.x=0,"",_xlpm.x)),""))</f>
        <v/>
      </c>
      <c r="P8" s="19"/>
      <c r="Q8" s="19"/>
      <c r="R8" s="19"/>
      <c r="S8" s="19"/>
    </row>
    <row r="9" spans="1:19" ht="20.100000000000001" customHeight="1">
      <c r="A9" s="130">
        <f>IF(ROW()-5&lt;=$F$3,ROW()-5,"")</f>
        <v>4</v>
      </c>
      <c r="B9" s="21">
        <f>IF($A9="","",ROUNDUP($A9/$D$3,0))</f>
        <v>1</v>
      </c>
      <c r="C9" s="21">
        <f>IF($A9="","",MOD($A9-1,$D$3)+1)</f>
        <v>4</v>
      </c>
      <c r="D9" s="106" t="str">
        <f>IF($A9="","",IF(MOD($B9,2)=1,INDEX(Settings!$O$3:$O$10,$C9),INDEX(Settings!$O$3:$O$10,$D$3-$C9+1)))</f>
        <v>Aidan</v>
      </c>
      <c r="E9" s="132" t="s">
        <v>43</v>
      </c>
      <c r="F9" s="19"/>
      <c r="G9" s="19"/>
      <c r="H9" s="22" t="str" cm="1">
        <f t="array" ref="H9">IF(H$5="","",IFERROR(_xlfn.LET(_xlpm.x,_xlfn.SINGLE(INDEX(_xlfn._xlws.FILTER($E$6:$E$77,$D$6:$D$77=H$5),ROWS(H$6:H9))),IF(_xlpm.x=0,"",_xlpm.x)),""))</f>
        <v>Pink Yoshi</v>
      </c>
      <c r="I9" s="22" t="str" cm="1">
        <f t="array" ref="I9">IF(I$5="","",IFERROR(_xlfn.LET(_xlpm.x,_xlfn.SINGLE(INDEX(_xlfn._xlws.FILTER($E$6:$E$77,$D$6:$D$77=I$5),ROWS(I$6:I9))),IF(_xlpm.x=0,"",_xlpm.x)),""))</f>
        <v>Baby DK</v>
      </c>
      <c r="J9" s="22" t="str" cm="1">
        <f t="array" ref="J9">IF(J$5="","",IFERROR(_xlfn.LET(_xlpm.x,_xlfn.SINGLE(INDEX(_xlfn._xlws.FILTER($E$6:$E$77,$D$6:$D$77=J$5),ROWS(J$6:J9))),IF(_xlpm.x=0,"",_xlpm.x)),""))</f>
        <v>King K. Rool</v>
      </c>
      <c r="K9" s="22" t="str" cm="1">
        <f t="array" ref="K9">IF(K$5="","",IFERROR(_xlfn.LET(_xlpm.x,_xlfn.SINGLE(INDEX(_xlfn._xlws.FILTER($E$6:$E$77,$D$6:$D$77=K$5),ROWS(K$6:K9))),IF(_xlpm.x=0,"",_xlpm.x)),""))</f>
        <v>Yellow Magikoopa</v>
      </c>
      <c r="L9" s="22" t="str" cm="1">
        <f t="array" ref="L9">IF(L$5="","",IFERROR(_xlfn.LET(_xlpm.x,_xlfn.SINGLE(INDEX(_xlfn._xlws.FILTER($E$6:$E$77,$D$6:$D$77=L$5),ROWS(L$6:L9))),IF(_xlpm.x=0,"",_xlpm.x)),""))</f>
        <v>Red Kritter</v>
      </c>
      <c r="M9" s="22" t="str" cm="1">
        <f t="array" ref="M9">IF(M$5="","",IFERROR(_xlfn.LET(_xlpm.x,_xlfn.SINGLE(INDEX(_xlfn._xlws.FILTER($E$6:$E$77,$D$6:$D$77=M$5),ROWS(M$6:M9))),IF(_xlpm.x=0,"",_xlpm.x)),""))</f>
        <v>Blue Toad</v>
      </c>
      <c r="N9" s="22" t="str" cm="1">
        <f t="array" ref="N9">IF(N$5="","",IFERROR(_xlfn.LET(_xlpm.x,_xlfn.SINGLE(INDEX(_xlfn._xlws.FILTER($E$6:$E$77,$D$6:$D$77=N$5),ROWS(N$6:N9))),IF(_xlpm.x=0,"",_xlpm.x)),""))</f>
        <v/>
      </c>
      <c r="O9" s="22" t="str" cm="1">
        <f t="array" ref="O9">IF(O$5="","",IFERROR(_xlfn.LET(_xlpm.x,_xlfn.SINGLE(INDEX(_xlfn._xlws.FILTER($E$6:$E$77,$D$6:$D$77=O$5),ROWS(O$6:O9))),IF(_xlpm.x=0,"",_xlpm.x)),""))</f>
        <v/>
      </c>
      <c r="P9" s="19"/>
      <c r="Q9" s="19"/>
      <c r="R9" s="19"/>
      <c r="S9" s="19"/>
    </row>
    <row r="10" spans="1:19" ht="20.100000000000001" customHeight="1">
      <c r="A10" s="130">
        <f>IF(ROW()-5&lt;=$F$3,ROW()-5,"")</f>
        <v>5</v>
      </c>
      <c r="B10" s="21">
        <f>IF($A10="","",ROUNDUP($A10/$D$3,0))</f>
        <v>1</v>
      </c>
      <c r="C10" s="21">
        <f>IF($A10="","",MOD($A10-1,$D$3)+1)</f>
        <v>5</v>
      </c>
      <c r="D10" s="109" t="str">
        <f>IF($A10="","",IF(MOD($B10,2)=1,INDEX(Settings!$O$3:$O$10,$C10),INDEX(Settings!$O$3:$O$10,$D$3-$C10+1)))</f>
        <v>Jason</v>
      </c>
      <c r="E10" s="132" t="s">
        <v>44</v>
      </c>
      <c r="F10" s="19"/>
      <c r="G10" s="19"/>
      <c r="H10" s="22" t="str" cm="1">
        <f t="array" ref="H10">IF(H$5="","",IFERROR(_xlfn.LET(_xlpm.x,_xlfn.SINGLE(INDEX(_xlfn._xlws.FILTER($E$6:$E$77,$D$6:$D$77=H$5),ROWS(H$6:H10))),IF(_xlpm.x=0,"",_xlpm.x)),""))</f>
        <v>Red Magikoopa</v>
      </c>
      <c r="I10" s="22" t="str" cm="1">
        <f t="array" ref="I10">IF(I$5="","",IFERROR(_xlfn.LET(_xlpm.x,_xlfn.SINGLE(INDEX(_xlfn._xlws.FILTER($E$6:$E$77,$D$6:$D$77=I$5),ROWS(I$6:I10))),IF(_xlpm.x=0,"",_xlpm.x)),""))</f>
        <v>Dixie Kong</v>
      </c>
      <c r="J10" s="22" t="str" cm="1">
        <f t="array" ref="J10">IF(J$5="","",IFERROR(_xlfn.LET(_xlpm.x,_xlfn.SINGLE(INDEX(_xlfn._xlws.FILTER($E$6:$E$77,$D$6:$D$77=J$5),ROWS(J$6:J10))),IF(_xlpm.x=0,"",_xlpm.x)),""))</f>
        <v>Baby Daisy</v>
      </c>
      <c r="K10" s="22" t="str" cm="1">
        <f t="array" ref="K10">IF(K$5="","",IFERROR(_xlfn.LET(_xlpm.x,_xlfn.SINGLE(INDEX(_xlfn._xlws.FILTER($E$6:$E$77,$D$6:$D$77=K$5),ROWS(K$6:K10))),IF(_xlpm.x=0,"",_xlpm.x)),""))</f>
        <v>Blue Yoshi</v>
      </c>
      <c r="L10" s="22" t="str" cm="1">
        <f t="array" ref="L10">IF(L$5="","",IFERROR(_xlfn.LET(_xlpm.x,_xlfn.SINGLE(INDEX(_xlfn._xlws.FILTER($E$6:$E$77,$D$6:$D$77=L$5),ROWS(L$6:L10))),IF(_xlpm.x=0,"",_xlpm.x)),""))</f>
        <v>Red Yoshi</v>
      </c>
      <c r="M10" s="22" t="str" cm="1">
        <f t="array" ref="M10">IF(M$5="","",IFERROR(_xlfn.LET(_xlpm.x,_xlfn.SINGLE(INDEX(_xlfn._xlws.FILTER($E$6:$E$77,$D$6:$D$77=M$5),ROWS(M$6:M10))),IF(_xlpm.x=0,"",_xlpm.x)),""))</f>
        <v>Monty Mole</v>
      </c>
      <c r="N10" s="22" t="str" cm="1">
        <f t="array" ref="N10">IF(N$5="","",IFERROR(_xlfn.LET(_xlpm.x,_xlfn.SINGLE(INDEX(_xlfn._xlws.FILTER($E$6:$E$77,$D$6:$D$77=N$5),ROWS(N$6:N10))),IF(_xlpm.x=0,"",_xlpm.x)),""))</f>
        <v/>
      </c>
      <c r="O10" s="22" t="str" cm="1">
        <f t="array" ref="O10">IF(O$5="","",IFERROR(_xlfn.LET(_xlpm.x,_xlfn.SINGLE(INDEX(_xlfn._xlws.FILTER($E$6:$E$77,$D$6:$D$77=O$5),ROWS(O$6:O10))),IF(_xlpm.x=0,"",_xlpm.x)),""))</f>
        <v/>
      </c>
      <c r="P10" s="19"/>
      <c r="Q10" s="19"/>
      <c r="R10" s="19"/>
      <c r="S10" s="19"/>
    </row>
    <row r="11" spans="1:19" ht="20.100000000000001" customHeight="1">
      <c r="A11" s="130">
        <f>IF(ROW()-5&lt;=$F$3,ROW()-5,"")</f>
        <v>6</v>
      </c>
      <c r="B11" s="21">
        <f>IF($A11="","",ROUNDUP($A11/$D$3,0))</f>
        <v>1</v>
      </c>
      <c r="C11" s="21">
        <f>IF($A11="","",MOD($A11-1,$D$3)+1)</f>
        <v>6</v>
      </c>
      <c r="D11" s="112" t="str">
        <f>IF($A11="","",IF(MOD($B11,2)=1,INDEX(Settings!$O$3:$O$10,$C11),INDEX(Settings!$O$3:$O$10,$D$3-$C11+1)))</f>
        <v>May</v>
      </c>
      <c r="E11" s="132" t="s">
        <v>45</v>
      </c>
      <c r="F11" s="19"/>
      <c r="G11" s="19"/>
      <c r="H11" s="22" t="str" cm="1">
        <f t="array" ref="H11">IF(H$5="","",IFERROR(_xlfn.LET(_xlpm.x,_xlfn.SINGLE(INDEX(_xlfn._xlws.FILTER($E$6:$E$77,$D$6:$D$77=H$5),ROWS(H$6:H11))),IF(_xlpm.x=0,"",_xlpm.x)),""))</f>
        <v>Blue Pianta</v>
      </c>
      <c r="I11" s="22" t="str" cm="1">
        <f t="array" ref="I11">IF(I$5="","",IFERROR(_xlfn.LET(_xlpm.x,_xlfn.SINGLE(INDEX(_xlfn._xlws.FILTER($E$6:$E$77,$D$6:$D$77=I$5),ROWS(I$6:I11))),IF(_xlpm.x=0,"",_xlpm.x)),""))</f>
        <v>Fire Bro</v>
      </c>
      <c r="J11" s="22" t="str" cm="1">
        <f t="array" ref="J11">IF(J$5="","",IFERROR(_xlfn.LET(_xlpm.x,_xlfn.SINGLE(INDEX(_xlfn._xlws.FILTER($E$6:$E$77,$D$6:$D$77=J$5),ROWS(J$6:J11))),IF(_xlpm.x=0,"",_xlpm.x)),""))</f>
        <v>Baby Mario</v>
      </c>
      <c r="K11" s="22" t="str" cm="1">
        <f t="array" ref="K11">IF(K$5="","",IFERROR(_xlfn.LET(_xlpm.x,_xlfn.SINGLE(INDEX(_xlfn._xlws.FILTER($E$6:$E$77,$D$6:$D$77=K$5),ROWS(K$6:K11))),IF(_xlpm.x=0,"",_xlpm.x)),""))</f>
        <v>Red Pianta</v>
      </c>
      <c r="L11" s="22" t="str" cm="1">
        <f t="array" ref="L11">IF(L$5="","",IFERROR(_xlfn.LET(_xlpm.x,_xlfn.SINGLE(INDEX(_xlfn._xlws.FILTER($E$6:$E$77,$D$6:$D$77=L$5),ROWS(L$6:L11))),IF(_xlpm.x=0,"",_xlpm.x)),""))</f>
        <v>Baby Peach</v>
      </c>
      <c r="M11" s="22" t="str" cm="1">
        <f t="array" ref="M11">IF(M$5="","",IFERROR(_xlfn.LET(_xlpm.x,_xlfn.SINGLE(INDEX(_xlfn._xlws.FILTER($E$6:$E$77,$D$6:$D$77=M$5),ROWS(M$6:M11))),IF(_xlpm.x=0,"",_xlpm.x)),""))</f>
        <v>Wario</v>
      </c>
      <c r="N11" s="22" t="str" cm="1">
        <f t="array" ref="N11">IF(N$5="","",IFERROR(_xlfn.LET(_xlpm.x,_xlfn.SINGLE(INDEX(_xlfn._xlws.FILTER($E$6:$E$77,$D$6:$D$77=N$5),ROWS(N$6:N11))),IF(_xlpm.x=0,"",_xlpm.x)),""))</f>
        <v/>
      </c>
      <c r="O11" s="22" t="str" cm="1">
        <f t="array" ref="O11">IF(O$5="","",IFERROR(_xlfn.LET(_xlpm.x,_xlfn.SINGLE(INDEX(_xlfn._xlws.FILTER($E$6:$E$77,$D$6:$D$77=O$5),ROWS(O$6:O11))),IF(_xlpm.x=0,"",_xlpm.x)),""))</f>
        <v/>
      </c>
      <c r="P11" s="19"/>
      <c r="Q11" s="19"/>
      <c r="R11" s="19"/>
      <c r="S11" s="19"/>
    </row>
    <row r="12" spans="1:19" ht="20.100000000000001" customHeight="1">
      <c r="A12" s="130">
        <f>IF(ROW()-5&lt;=$F$3,ROW()-5,"")</f>
        <v>7</v>
      </c>
      <c r="B12" s="21">
        <f>IF($A12="","",ROUNDUP($A12/$D$3,0))</f>
        <v>2</v>
      </c>
      <c r="C12" s="21">
        <f>IF($A12="","",MOD($A12-1,$D$3)+1)</f>
        <v>1</v>
      </c>
      <c r="D12" s="112" t="str">
        <f>IF($A12="","",IF(MOD($B12,2)=1,INDEX(Settings!$O$3:$O$10,$C12),INDEX(Settings!$O$3:$O$10,$D$3-$C12+1)))</f>
        <v>May</v>
      </c>
      <c r="E12" s="132" t="s">
        <v>46</v>
      </c>
      <c r="F12" s="19"/>
      <c r="G12" s="19"/>
      <c r="H12" s="22" t="str" cm="1">
        <f t="array" ref="H12">IF(H$5="","",IFERROR(_xlfn.LET(_xlpm.x,_xlfn.SINGLE(INDEX(_xlfn._xlws.FILTER($E$6:$E$77,$D$6:$D$77=H$5),ROWS(H$6:H12))),IF(_xlpm.x=0,"",_xlpm.x)),""))</f>
        <v>Yellow Pianta</v>
      </c>
      <c r="I12" s="22" t="str" cm="1">
        <f t="array" ref="I12">IF(I$5="","",IFERROR(_xlfn.LET(_xlpm.x,_xlfn.SINGLE(INDEX(_xlfn._xlws.FILTER($E$6:$E$77,$D$6:$D$77=I$5),ROWS(I$6:I12))),IF(_xlpm.x=0,"",_xlpm.x)),""))</f>
        <v>Tiny Kong</v>
      </c>
      <c r="J12" s="22" t="str" cm="1">
        <f t="array" ref="J12">IF(J$5="","",IFERROR(_xlfn.LET(_xlpm.x,_xlfn.SINGLE(INDEX(_xlfn._xlws.FILTER($E$6:$E$77,$D$6:$D$77=J$5),ROWS(J$6:J12))),IF(_xlpm.x=0,"",_xlpm.x)),""))</f>
        <v>Brown Kritter</v>
      </c>
      <c r="K12" s="22" t="str" cm="1">
        <f t="array" ref="K12">IF(K$5="","",IFERROR(_xlfn.LET(_xlpm.x,_xlfn.SINGLE(INDEX(_xlfn._xlws.FILTER($E$6:$E$77,$D$6:$D$77=K$5),ROWS(K$6:K12))),IF(_xlpm.x=0,"",_xlpm.x)),""))</f>
        <v>Baby Luigi</v>
      </c>
      <c r="L12" s="22" t="str" cm="1">
        <f t="array" ref="L12">IF(L$5="","",IFERROR(_xlfn.LET(_xlpm.x,_xlfn.SINGLE(INDEX(_xlfn._xlws.FILTER($E$6:$E$77,$D$6:$D$77=L$5),ROWS(L$6:L12))),IF(_xlpm.x=0,"",_xlpm.x)),""))</f>
        <v>Hammer Bro</v>
      </c>
      <c r="M12" s="22" t="str" cm="1">
        <f t="array" ref="M12">IF(M$5="","",IFERROR(_xlfn.LET(_xlpm.x,_xlfn.SINGLE(INDEX(_xlfn._xlws.FILTER($E$6:$E$77,$D$6:$D$77=M$5),ROWS(M$6:M12))),IF(_xlpm.x=0,"",_xlpm.x)),""))</f>
        <v>Wiggler</v>
      </c>
      <c r="N12" s="22" t="str" cm="1">
        <f t="array" ref="N12">IF(N$5="","",IFERROR(_xlfn.LET(_xlpm.x,_xlfn.SINGLE(INDEX(_xlfn._xlws.FILTER($E$6:$E$77,$D$6:$D$77=N$5),ROWS(N$6:N12))),IF(_xlpm.x=0,"",_xlpm.x)),""))</f>
        <v/>
      </c>
      <c r="O12" s="22" t="str" cm="1">
        <f t="array" ref="O12">IF(O$5="","",IFERROR(_xlfn.LET(_xlpm.x,_xlfn.SINGLE(INDEX(_xlfn._xlws.FILTER($E$6:$E$77,$D$6:$D$77=O$5),ROWS(O$6:O12))),IF(_xlpm.x=0,"",_xlpm.x)),""))</f>
        <v/>
      </c>
      <c r="P12" s="19"/>
      <c r="Q12" s="19"/>
      <c r="R12" s="19"/>
      <c r="S12" s="19"/>
    </row>
    <row r="13" spans="1:19" ht="20.100000000000001" customHeight="1">
      <c r="A13" s="130">
        <f>IF(ROW()-5&lt;=$F$3,ROW()-5,"")</f>
        <v>8</v>
      </c>
      <c r="B13" s="21">
        <f>IF($A13="","",ROUNDUP($A13/$D$3,0))</f>
        <v>2</v>
      </c>
      <c r="C13" s="21">
        <f>IF($A13="","",MOD($A13-1,$D$3)+1)</f>
        <v>2</v>
      </c>
      <c r="D13" s="109" t="str">
        <f>IF($A13="","",IF(MOD($B13,2)=1,INDEX(Settings!$O$3:$O$10,$C13),INDEX(Settings!$O$3:$O$10,$D$3-$C13+1)))</f>
        <v>Jason</v>
      </c>
      <c r="E13" s="132" t="s">
        <v>47</v>
      </c>
      <c r="F13" s="19"/>
      <c r="G13" s="19"/>
      <c r="H13" s="22" t="str" cm="1">
        <f t="array" ref="H13">IF(H$5="","",IFERROR(_xlfn.LET(_xlpm.x,_xlfn.SINGLE(INDEX(_xlfn._xlws.FILTER($E$6:$E$77,$D$6:$D$77=H$5),ROWS(H$6:H13))),IF(_xlpm.x=0,"",_xlpm.x)),""))</f>
        <v>Blue Kritter</v>
      </c>
      <c r="I13" s="22" t="str" cm="1">
        <f t="array" ref="I13">IF(I$5="","",IFERROR(_xlfn.LET(_xlpm.x,_xlfn.SINGLE(INDEX(_xlfn._xlws.FILTER($E$6:$E$77,$D$6:$D$77=I$5),ROWS(I$6:I13))),IF(_xlpm.x=0,"",_xlpm.x)),""))</f>
        <v>Dry Bones</v>
      </c>
      <c r="J13" s="22" t="str" cm="1">
        <f t="array" ref="J13">IF(J$5="","",IFERROR(_xlfn.LET(_xlpm.x,_xlfn.SINGLE(INDEX(_xlfn._xlws.FILTER($E$6:$E$77,$D$6:$D$77=J$5),ROWS(J$6:J13))),IF(_xlpm.x=0,"",_xlpm.x)),""))</f>
        <v>Blooper</v>
      </c>
      <c r="K13" s="22" t="str" cm="1">
        <f t="array" ref="K13">IF(K$5="","",IFERROR(_xlfn.LET(_xlpm.x,_xlfn.SINGLE(INDEX(_xlfn._xlws.FILTER($E$6:$E$77,$D$6:$D$77=K$5),ROWS(K$6:K13))),IF(_xlpm.x=0,"",_xlpm.x)),""))</f>
        <v>Paratroopa</v>
      </c>
      <c r="L13" s="22" t="str" cm="1">
        <f t="array" ref="L13">IF(L$5="","",IFERROR(_xlfn.LET(_xlpm.x,_xlfn.SINGLE(INDEX(_xlfn._xlws.FILTER($E$6:$E$77,$D$6:$D$77=L$5),ROWS(L$6:L13))),IF(_xlpm.x=0,"",_xlpm.x)),""))</f>
        <v>Green Shy Guy</v>
      </c>
      <c r="M13" s="22" t="str" cm="1">
        <f t="array" ref="M13">IF(M$5="","",IFERROR(_xlfn.LET(_xlpm.x,_xlfn.SINGLE(INDEX(_xlfn._xlws.FILTER($E$6:$E$77,$D$6:$D$77=M$5),ROWS(M$6:M13))),IF(_xlpm.x=0,"",_xlpm.x)),""))</f>
        <v>Boomerang Bro</v>
      </c>
      <c r="N13" s="22" t="str" cm="1">
        <f t="array" ref="N13">IF(N$5="","",IFERROR(_xlfn.LET(_xlpm.x,_xlfn.SINGLE(INDEX(_xlfn._xlws.FILTER($E$6:$E$77,$D$6:$D$77=N$5),ROWS(N$6:N13))),IF(_xlpm.x=0,"",_xlpm.x)),""))</f>
        <v/>
      </c>
      <c r="O13" s="22" t="str" cm="1">
        <f t="array" ref="O13">IF(O$5="","",IFERROR(_xlfn.LET(_xlpm.x,_xlfn.SINGLE(INDEX(_xlfn._xlws.FILTER($E$6:$E$77,$D$6:$D$77=O$5),ROWS(O$6:O13))),IF(_xlpm.x=0,"",_xlpm.x)),""))</f>
        <v/>
      </c>
      <c r="P13" s="19"/>
      <c r="Q13" s="19"/>
      <c r="R13" s="19"/>
      <c r="S13" s="19"/>
    </row>
    <row r="14" spans="1:19" ht="20.100000000000001" customHeight="1">
      <c r="A14" s="130">
        <f>IF(ROW()-5&lt;=$F$3,ROW()-5,"")</f>
        <v>9</v>
      </c>
      <c r="B14" s="21">
        <f>IF($A14="","",ROUNDUP($A14/$D$3,0))</f>
        <v>2</v>
      </c>
      <c r="C14" s="21">
        <f>IF($A14="","",MOD($A14-1,$D$3)+1)</f>
        <v>3</v>
      </c>
      <c r="D14" s="106" t="str">
        <f>IF($A14="","",IF(MOD($B14,2)=1,INDEX(Settings!$O$3:$O$10,$C14),INDEX(Settings!$O$3:$O$10,$D$3-$C14+1)))</f>
        <v>Aidan</v>
      </c>
      <c r="E14" s="132" t="s">
        <v>48</v>
      </c>
      <c r="F14" s="19"/>
      <c r="G14" s="19"/>
      <c r="H14" s="22" t="str" cm="1">
        <f t="array" ref="H14">IF(H$5="","",IFERROR(_xlfn.LET(_xlpm.x,_xlfn.SINGLE(INDEX(_xlfn._xlws.FILTER($E$6:$E$77,$D$6:$D$77=H$5),ROWS(H$6:H14))),IF(_xlpm.x=0,"",_xlpm.x)),""))</f>
        <v>Blue Dry Bones</v>
      </c>
      <c r="I14" s="22" t="str" cm="1">
        <f t="array" ref="I14">IF(I$5="","",IFERROR(_xlfn.LET(_xlpm.x,_xlfn.SINGLE(INDEX(_xlfn._xlws.FILTER($E$6:$E$77,$D$6:$D$77=I$5),ROWS(I$6:I14))),IF(_xlpm.x=0,"",_xlpm.x)),""))</f>
        <v>Paragoomba</v>
      </c>
      <c r="J14" s="22" t="str" cm="1">
        <f t="array" ref="J14">IF(J$5="","",IFERROR(_xlfn.LET(_xlpm.x,_xlfn.SINGLE(INDEX(_xlfn._xlws.FILTER($E$6:$E$77,$D$6:$D$77=J$5),ROWS(J$6:J14))),IF(_xlpm.x=0,"",_xlpm.x)),""))</f>
        <v>Yellow Toad</v>
      </c>
      <c r="K14" s="22" t="str" cm="1">
        <f t="array" ref="K14">IF(K$5="","",IFERROR(_xlfn.LET(_xlpm.x,_xlfn.SINGLE(INDEX(_xlfn._xlws.FILTER($E$6:$E$77,$D$6:$D$77=K$5),ROWS(K$6:K14))),IF(_xlpm.x=0,"",_xlpm.x)),""))</f>
        <v>Kritter</v>
      </c>
      <c r="L14" s="22" t="str" cm="1">
        <f t="array" ref="L14">IF(L$5="","",IFERROR(_xlfn.LET(_xlpm.x,_xlfn.SINGLE(INDEX(_xlfn._xlws.FILTER($E$6:$E$77,$D$6:$D$77=L$5),ROWS(L$6:L14))),IF(_xlpm.x=0,"",_xlpm.x)),""))</f>
        <v>Koopa</v>
      </c>
      <c r="M14" s="22" t="str" cm="1">
        <f t="array" ref="M14">IF(M$5="","",IFERROR(_xlfn.LET(_xlpm.x,_xlfn.SINGLE(INDEX(_xlfn._xlws.FILTER($E$6:$E$77,$D$6:$D$77=M$5),ROWS(M$6:M14))),IF(_xlpm.x=0,"",_xlpm.x)),""))</f>
        <v>Green Dry Bones</v>
      </c>
      <c r="N14" s="22" t="str" cm="1">
        <f t="array" ref="N14">IF(N$5="","",IFERROR(_xlfn.LET(_xlpm.x,_xlfn.SINGLE(INDEX(_xlfn._xlws.FILTER($E$6:$E$77,$D$6:$D$77=N$5),ROWS(N$6:N14))),IF(_xlpm.x=0,"",_xlpm.x)),""))</f>
        <v/>
      </c>
      <c r="O14" s="22" t="str" cm="1">
        <f t="array" ref="O14">IF(O$5="","",IFERROR(_xlfn.LET(_xlpm.x,_xlfn.SINGLE(INDEX(_xlfn._xlws.FILTER($E$6:$E$77,$D$6:$D$77=O$5),ROWS(O$6:O14))),IF(_xlpm.x=0,"",_xlpm.x)),""))</f>
        <v/>
      </c>
      <c r="P14" s="19"/>
      <c r="Q14" s="19"/>
      <c r="R14" s="19"/>
      <c r="S14" s="19"/>
    </row>
    <row r="15" spans="1:19" ht="20.100000000000001" customHeight="1">
      <c r="A15" s="130">
        <f>IF(ROW()-5&lt;=$F$3,ROW()-5,"")</f>
        <v>10</v>
      </c>
      <c r="B15" s="21">
        <f>IF($A15="","",ROUNDUP($A15/$D$3,0))</f>
        <v>2</v>
      </c>
      <c r="C15" s="21">
        <f>IF($A15="","",MOD($A15-1,$D$3)+1)</f>
        <v>4</v>
      </c>
      <c r="D15" s="103" t="str">
        <f>IF($A15="","",IF(MOD($B15,2)=1,INDEX(Settings!$O$3:$O$10,$C15),INDEX(Settings!$O$3:$O$10,$D$3-$C15+1)))</f>
        <v>Nick</v>
      </c>
      <c r="E15" s="132" t="s">
        <v>49</v>
      </c>
      <c r="F15" s="14"/>
      <c r="G15" s="14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19" ht="20.100000000000001" customHeight="1">
      <c r="A16" s="130">
        <f>IF(ROW()-5&lt;=$F$3,ROW()-5,"")</f>
        <v>11</v>
      </c>
      <c r="B16" s="21">
        <f>IF($A16="","",ROUNDUP($A16/$D$3,0))</f>
        <v>2</v>
      </c>
      <c r="C16" s="21">
        <f>IF($A16="","",MOD($A16-1,$D$3)+1)</f>
        <v>5</v>
      </c>
      <c r="D16" s="100" t="str">
        <f>IF($A16="","",IF(MOD($B16,2)=1,INDEX(Settings!$O$3:$O$10,$C16),INDEX(Settings!$O$3:$O$10,$D$3-$C16+1)))</f>
        <v>Donovan</v>
      </c>
      <c r="E16" s="132" t="s">
        <v>50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 ht="20.100000000000001" customHeight="1">
      <c r="A17" s="130">
        <f>IF(ROW()-5&lt;=$F$3,ROW()-5,"")</f>
        <v>12</v>
      </c>
      <c r="B17" s="21">
        <f>IF($A17="","",ROUNDUP($A17/$D$3,0))</f>
        <v>2</v>
      </c>
      <c r="C17" s="21">
        <f>IF($A17="","",MOD($A17-1,$D$3)+1)</f>
        <v>6</v>
      </c>
      <c r="D17" s="97" t="str">
        <f>IF($A17="","",IF(MOD($B17,2)=1,INDEX(Settings!$O$3:$O$10,$C17),INDEX(Settings!$O$3:$O$10,$D$3-$C17+1)))</f>
        <v>Justin</v>
      </c>
      <c r="E17" s="132" t="s">
        <v>51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19" ht="20.100000000000001" customHeight="1">
      <c r="A18" s="130">
        <f>IF(ROW()-5&lt;=$F$3,ROW()-5,"")</f>
        <v>13</v>
      </c>
      <c r="B18" s="21">
        <f>IF($A18="","",ROUNDUP($A18/$D$3,0))</f>
        <v>3</v>
      </c>
      <c r="C18" s="21">
        <f>IF($A18="","",MOD($A18-1,$D$3)+1)</f>
        <v>1</v>
      </c>
      <c r="D18" s="97" t="str">
        <f>IF($A18="","",IF(MOD($B18,2)=1,INDEX(Settings!$O$3:$O$10,$C18),INDEX(Settings!$O$3:$O$10,$D$3-$C18+1)))</f>
        <v>Justin</v>
      </c>
      <c r="E18" s="132" t="s">
        <v>52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 ht="20.100000000000001" customHeight="1">
      <c r="A19" s="130">
        <f>IF(ROW()-5&lt;=$F$3,ROW()-5,"")</f>
        <v>14</v>
      </c>
      <c r="B19" s="21">
        <f>IF($A19="","",ROUNDUP($A19/$D$3,0))</f>
        <v>3</v>
      </c>
      <c r="C19" s="21">
        <f>IF($A19="","",MOD($A19-1,$D$3)+1)</f>
        <v>2</v>
      </c>
      <c r="D19" s="100" t="str">
        <f>IF($A19="","",IF(MOD($B19,2)=1,INDEX(Settings!$O$3:$O$10,$C19),INDEX(Settings!$O$3:$O$10,$D$3-$C19+1)))</f>
        <v>Donovan</v>
      </c>
      <c r="E19" s="132" t="s">
        <v>53</v>
      </c>
      <c r="F19" s="19"/>
      <c r="G19" s="19"/>
      <c r="H19" s="19"/>
      <c r="I19" s="19"/>
      <c r="J19" s="19"/>
      <c r="K19" s="19" t="s">
        <v>54</v>
      </c>
      <c r="L19" s="19"/>
      <c r="M19" s="19"/>
      <c r="N19" s="19"/>
      <c r="O19" s="19"/>
      <c r="P19" s="19"/>
      <c r="Q19" s="19"/>
      <c r="R19" s="19"/>
      <c r="S19" s="19"/>
    </row>
    <row r="20" spans="1:19" ht="20.100000000000001" customHeight="1">
      <c r="A20" s="130">
        <f>IF(ROW()-5&lt;=$F$3,ROW()-5,"")</f>
        <v>15</v>
      </c>
      <c r="B20" s="21">
        <f>IF($A20="","",ROUNDUP($A20/$D$3,0))</f>
        <v>3</v>
      </c>
      <c r="C20" s="21">
        <f>IF($A20="","",MOD($A20-1,$D$3)+1)</f>
        <v>3</v>
      </c>
      <c r="D20" s="103" t="str">
        <f>IF($A20="","",IF(MOD($B20,2)=1,INDEX(Settings!$O$3:$O$10,$C20),INDEX(Settings!$O$3:$O$10,$D$3-$C20+1)))</f>
        <v>Nick</v>
      </c>
      <c r="E20" s="132" t="s">
        <v>55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19" ht="20.100000000000001" customHeight="1">
      <c r="A21" s="130">
        <f>IF(ROW()-5&lt;=$F$3,ROW()-5,"")</f>
        <v>16</v>
      </c>
      <c r="B21" s="21">
        <f>IF($A21="","",ROUNDUP($A21/$D$3,0))</f>
        <v>3</v>
      </c>
      <c r="C21" s="21">
        <f>IF($A21="","",MOD($A21-1,$D$3)+1)</f>
        <v>4</v>
      </c>
      <c r="D21" s="106" t="str">
        <f>IF($A21="","",IF(MOD($B21,2)=1,INDEX(Settings!$O$3:$O$10,$C21),INDEX(Settings!$O$3:$O$10,$D$3-$C21+1)))</f>
        <v>Aidan</v>
      </c>
      <c r="E21" s="132" t="s">
        <v>56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1:19" ht="20.100000000000001" customHeight="1">
      <c r="A22" s="130">
        <f>IF(ROW()-5&lt;=$F$3,ROW()-5,"")</f>
        <v>17</v>
      </c>
      <c r="B22" s="21">
        <f>IF($A22="","",ROUNDUP($A22/$D$3,0))</f>
        <v>3</v>
      </c>
      <c r="C22" s="21">
        <f>IF($A22="","",MOD($A22-1,$D$3)+1)</f>
        <v>5</v>
      </c>
      <c r="D22" s="109" t="str">
        <f>IF($A22="","",IF(MOD($B22,2)=1,INDEX(Settings!$O$3:$O$10,$C22),INDEX(Settings!$O$3:$O$10,$D$3-$C22+1)))</f>
        <v>Jason</v>
      </c>
      <c r="E22" s="132" t="s">
        <v>57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19" ht="20.100000000000001" customHeight="1">
      <c r="A23" s="130">
        <f>IF(ROW()-5&lt;=$F$3,ROW()-5,"")</f>
        <v>18</v>
      </c>
      <c r="B23" s="21">
        <f>IF($A23="","",ROUNDUP($A23/$D$3,0))</f>
        <v>3</v>
      </c>
      <c r="C23" s="21">
        <f>IF($A23="","",MOD($A23-1,$D$3)+1)</f>
        <v>6</v>
      </c>
      <c r="D23" s="112" t="str">
        <f>IF($A23="","",IF(MOD($B23,2)=1,INDEX(Settings!$O$3:$O$10,$C23),INDEX(Settings!$O$3:$O$10,$D$3-$C23+1)))</f>
        <v>May</v>
      </c>
      <c r="E23" s="132" t="s">
        <v>58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spans="1:19" ht="20.100000000000001" customHeight="1">
      <c r="A24" s="131">
        <f>IF(ROW()-5&lt;=$F$3,ROW()-5,"")</f>
        <v>19</v>
      </c>
      <c r="B24" s="15">
        <f>IF($A24="","",ROUNDUP($A24/$D$3,0))</f>
        <v>4</v>
      </c>
      <c r="C24" s="15">
        <f>IF($A24="","",MOD($A24-1,$D$3)+1)</f>
        <v>1</v>
      </c>
      <c r="D24" s="113" t="str">
        <f>IF($A24="","",IF(MOD($B24,2)=1,INDEX(Settings!$O$3:$O$10,$C24),INDEX(Settings!$O$3:$O$10,$D$3-$C24+1)))</f>
        <v>May</v>
      </c>
      <c r="E24" s="133" t="s">
        <v>59</v>
      </c>
      <c r="F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5" spans="1:19" ht="20.100000000000001" customHeight="1">
      <c r="A25" s="131">
        <f>IF(ROW()-5&lt;=$F$3,ROW()-5,"")</f>
        <v>20</v>
      </c>
      <c r="B25" s="15">
        <f>IF($A25="","",ROUNDUP($A25/$D$3,0))</f>
        <v>4</v>
      </c>
      <c r="C25" s="15">
        <f>IF($A25="","",MOD($A25-1,$D$3)+1)</f>
        <v>2</v>
      </c>
      <c r="D25" s="110" t="str">
        <f>IF($A25="","",IF(MOD($B25,2)=1,INDEX(Settings!$O$3:$O$10,$C25),INDEX(Settings!$O$3:$O$10,$D$3-$C25+1)))</f>
        <v>Jason</v>
      </c>
      <c r="E25" s="133" t="s">
        <v>60</v>
      </c>
      <c r="F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</row>
    <row r="26" spans="1:19" ht="20.100000000000001" customHeight="1">
      <c r="A26" s="131">
        <f>IF(ROW()-5&lt;=$F$3,ROW()-5,"")</f>
        <v>21</v>
      </c>
      <c r="B26" s="15">
        <f>IF($A26="","",ROUNDUP($A26/$D$3,0))</f>
        <v>4</v>
      </c>
      <c r="C26" s="15">
        <f>IF($A26="","",MOD($A26-1,$D$3)+1)</f>
        <v>3</v>
      </c>
      <c r="D26" s="107" t="str">
        <f>IF($A26="","",IF(MOD($B26,2)=1,INDEX(Settings!$O$3:$O$10,$C26),INDEX(Settings!$O$3:$O$10,$D$3-$C26+1)))</f>
        <v>Aidan</v>
      </c>
      <c r="E26" s="133" t="s">
        <v>61</v>
      </c>
      <c r="F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</row>
    <row r="27" spans="1:19" ht="20.100000000000001" customHeight="1">
      <c r="A27" s="131">
        <f>IF(ROW()-5&lt;=$F$3,ROW()-5,"")</f>
        <v>22</v>
      </c>
      <c r="B27" s="15">
        <f>IF($A27="","",ROUNDUP($A27/$D$3,0))</f>
        <v>4</v>
      </c>
      <c r="C27" s="15">
        <f>IF($A27="","",MOD($A27-1,$D$3)+1)</f>
        <v>4</v>
      </c>
      <c r="D27" s="104" t="str">
        <f>IF($A27="","",IF(MOD($B27,2)=1,INDEX(Settings!$O$3:$O$10,$C27),INDEX(Settings!$O$3:$O$10,$D$3-$C27+1)))</f>
        <v>Nick</v>
      </c>
      <c r="E27" s="133" t="s">
        <v>62</v>
      </c>
      <c r="F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spans="1:19" ht="20.100000000000001" customHeight="1">
      <c r="A28" s="131">
        <f>IF(ROW()-5&lt;=$F$3,ROW()-5,"")</f>
        <v>23</v>
      </c>
      <c r="B28" s="15">
        <f>IF($A28="","",ROUNDUP($A28/$D$3,0))</f>
        <v>4</v>
      </c>
      <c r="C28" s="15">
        <f>IF($A28="","",MOD($A28-1,$D$3)+1)</f>
        <v>5</v>
      </c>
      <c r="D28" s="101" t="str">
        <f>IF($A28="","",IF(MOD($B28,2)=1,INDEX(Settings!$O$3:$O$10,$C28),INDEX(Settings!$O$3:$O$10,$D$3-$C28+1)))</f>
        <v>Donovan</v>
      </c>
      <c r="E28" s="133" t="s">
        <v>63</v>
      </c>
      <c r="F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</row>
    <row r="29" spans="1:19" ht="20.100000000000001" customHeight="1">
      <c r="A29" s="131">
        <f>IF(ROW()-5&lt;=$F$3,ROW()-5,"")</f>
        <v>24</v>
      </c>
      <c r="B29" s="15">
        <f>IF($A29="","",ROUNDUP($A29/$D$3,0))</f>
        <v>4</v>
      </c>
      <c r="C29" s="15">
        <f>IF($A29="","",MOD($A29-1,$D$3)+1)</f>
        <v>6</v>
      </c>
      <c r="D29" s="98" t="str">
        <f>IF($A29="","",IF(MOD($B29,2)=1,INDEX(Settings!$O$3:$O$10,$C29),INDEX(Settings!$O$3:$O$10,$D$3-$C29+1)))</f>
        <v>Justin</v>
      </c>
      <c r="E29" s="133" t="s">
        <v>64</v>
      </c>
      <c r="F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</row>
    <row r="30" spans="1:19" ht="20.100000000000001" customHeight="1">
      <c r="A30" s="131">
        <f>IF(ROW()-5&lt;=$F$3,ROW()-5,"")</f>
        <v>25</v>
      </c>
      <c r="B30" s="15">
        <f>IF($A30="","",ROUNDUP($A30/$D$3,0))</f>
        <v>5</v>
      </c>
      <c r="C30" s="15">
        <f>IF($A30="","",MOD($A30-1,$D$3)+1)</f>
        <v>1</v>
      </c>
      <c r="D30" s="98" t="str">
        <f>IF($A30="","",IF(MOD($B30,2)=1,INDEX(Settings!$O$3:$O$10,$C30),INDEX(Settings!$O$3:$O$10,$D$3-$C30+1)))</f>
        <v>Justin</v>
      </c>
      <c r="E30" s="133" t="s">
        <v>65</v>
      </c>
      <c r="F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</row>
    <row r="31" spans="1:19" ht="20.100000000000001" customHeight="1">
      <c r="A31" s="131">
        <f>IF(ROW()-5&lt;=$F$3,ROW()-5,"")</f>
        <v>26</v>
      </c>
      <c r="B31" s="15">
        <f>IF($A31="","",ROUNDUP($A31/$D$3,0))</f>
        <v>5</v>
      </c>
      <c r="C31" s="15">
        <f>IF($A31="","",MOD($A31-1,$D$3)+1)</f>
        <v>2</v>
      </c>
      <c r="D31" s="101" t="str">
        <f>IF($A31="","",IF(MOD($B31,2)=1,INDEX(Settings!$O$3:$O$10,$C31),INDEX(Settings!$O$3:$O$10,$D$3-$C31+1)))</f>
        <v>Donovan</v>
      </c>
      <c r="E31" s="133" t="s">
        <v>66</v>
      </c>
      <c r="F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spans="1:19" ht="20.100000000000001" customHeight="1">
      <c r="A32" s="131">
        <f>IF(ROW()-5&lt;=$F$3,ROW()-5,"")</f>
        <v>27</v>
      </c>
      <c r="B32" s="15">
        <f>IF($A32="","",ROUNDUP($A32/$D$3,0))</f>
        <v>5</v>
      </c>
      <c r="C32" s="15">
        <f>IF($A32="","",MOD($A32-1,$D$3)+1)</f>
        <v>3</v>
      </c>
      <c r="D32" s="104" t="str">
        <f>IF($A32="","",IF(MOD($B32,2)=1,INDEX(Settings!$O$3:$O$10,$C32),INDEX(Settings!$O$3:$O$10,$D$3-$C32+1)))</f>
        <v>Nick</v>
      </c>
      <c r="E32" s="133" t="s">
        <v>67</v>
      </c>
      <c r="F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</row>
    <row r="33" spans="1:19" ht="20.100000000000001" customHeight="1">
      <c r="A33" s="131">
        <f>IF(ROW()-5&lt;=$F$3,ROW()-5,"")</f>
        <v>28</v>
      </c>
      <c r="B33" s="15">
        <f>IF($A33="","",ROUNDUP($A33/$D$3,0))</f>
        <v>5</v>
      </c>
      <c r="C33" s="15">
        <f>IF($A33="","",MOD($A33-1,$D$3)+1)</f>
        <v>4</v>
      </c>
      <c r="D33" s="107" t="str">
        <f>IF($A33="","",IF(MOD($B33,2)=1,INDEX(Settings!$O$3:$O$10,$C33),INDEX(Settings!$O$3:$O$10,$D$3-$C33+1)))</f>
        <v>Aidan</v>
      </c>
      <c r="E33" s="133" t="s">
        <v>68</v>
      </c>
      <c r="F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spans="1:19" ht="20.100000000000001" customHeight="1">
      <c r="A34" s="131">
        <f>IF(ROW()-5&lt;=$F$3,ROW()-5,"")</f>
        <v>29</v>
      </c>
      <c r="B34" s="15">
        <f>IF($A34="","",ROUNDUP($A34/$D$3,0))</f>
        <v>5</v>
      </c>
      <c r="C34" s="15">
        <f>IF($A34="","",MOD($A34-1,$D$3)+1)</f>
        <v>5</v>
      </c>
      <c r="D34" s="110" t="str">
        <f>IF($A34="","",IF(MOD($B34,2)=1,INDEX(Settings!$O$3:$O$10,$C34),INDEX(Settings!$O$3:$O$10,$D$3-$C34+1)))</f>
        <v>Jason</v>
      </c>
      <c r="E34" s="133" t="s">
        <v>69</v>
      </c>
      <c r="F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</row>
    <row r="35" spans="1:19" ht="20.100000000000001" customHeight="1">
      <c r="A35" s="131">
        <f>IF(ROW()-5&lt;=$F$3,ROW()-5,"")</f>
        <v>30</v>
      </c>
      <c r="B35" s="15">
        <f>IF($A35="","",ROUNDUP($A35/$D$3,0))</f>
        <v>5</v>
      </c>
      <c r="C35" s="15">
        <f>IF($A35="","",MOD($A35-1,$D$3)+1)</f>
        <v>6</v>
      </c>
      <c r="D35" s="113" t="str">
        <f>IF($A35="","",IF(MOD($B35,2)=1,INDEX(Settings!$O$3:$O$10,$C35),INDEX(Settings!$O$3:$O$10,$D$3-$C35+1)))</f>
        <v>May</v>
      </c>
      <c r="E35" s="133" t="s">
        <v>70</v>
      </c>
      <c r="F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1:19" ht="20.100000000000001" customHeight="1">
      <c r="A36" s="131">
        <f>IF(ROW()-5&lt;=$F$3,ROW()-5,"")</f>
        <v>31</v>
      </c>
      <c r="B36" s="15">
        <f>IF($A36="","",ROUNDUP($A36/$D$3,0))</f>
        <v>6</v>
      </c>
      <c r="C36" s="15">
        <f>IF($A36="","",MOD($A36-1,$D$3)+1)</f>
        <v>1</v>
      </c>
      <c r="D36" s="113" t="str">
        <f>IF($A36="","",IF(MOD($B36,2)=1,INDEX(Settings!$O$3:$O$10,$C36),INDEX(Settings!$O$3:$O$10,$D$3-$C36+1)))</f>
        <v>May</v>
      </c>
      <c r="E36" s="133" t="s">
        <v>71</v>
      </c>
      <c r="F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</row>
    <row r="37" spans="1:19" ht="20.100000000000001" customHeight="1">
      <c r="A37" s="131">
        <f>IF(ROW()-5&lt;=$F$3,ROW()-5,"")</f>
        <v>32</v>
      </c>
      <c r="B37" s="15">
        <f>IF($A37="","",ROUNDUP($A37/$D$3,0))</f>
        <v>6</v>
      </c>
      <c r="C37" s="15">
        <f>IF($A37="","",MOD($A37-1,$D$3)+1)</f>
        <v>2</v>
      </c>
      <c r="D37" s="110" t="str">
        <f>IF($A37="","",IF(MOD($B37,2)=1,INDEX(Settings!$O$3:$O$10,$C37),INDEX(Settings!$O$3:$O$10,$D$3-$C37+1)))</f>
        <v>Jason</v>
      </c>
      <c r="E37" s="133" t="s">
        <v>72</v>
      </c>
      <c r="F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</row>
    <row r="38" spans="1:19" ht="20.100000000000001" customHeight="1">
      <c r="A38" s="131">
        <f>IF(ROW()-5&lt;=$F$3,ROW()-5,"")</f>
        <v>33</v>
      </c>
      <c r="B38" s="15">
        <f>IF($A38="","",ROUNDUP($A38/$D$3,0))</f>
        <v>6</v>
      </c>
      <c r="C38" s="15">
        <f>IF($A38="","",MOD($A38-1,$D$3)+1)</f>
        <v>3</v>
      </c>
      <c r="D38" s="107" t="str">
        <f>IF($A38="","",IF(MOD($B38,2)=1,INDEX(Settings!$O$3:$O$10,$C38),INDEX(Settings!$O$3:$O$10,$D$3-$C38+1)))</f>
        <v>Aidan</v>
      </c>
      <c r="E38" s="133" t="s">
        <v>73</v>
      </c>
      <c r="F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</row>
    <row r="39" spans="1:19" ht="20.100000000000001" customHeight="1">
      <c r="A39" s="131">
        <f>IF(ROW()-5&lt;=$F$3,ROW()-5,"")</f>
        <v>34</v>
      </c>
      <c r="B39" s="15">
        <f>IF($A39="","",ROUNDUP($A39/$D$3,0))</f>
        <v>6</v>
      </c>
      <c r="C39" s="15">
        <f>IF($A39="","",MOD($A39-1,$D$3)+1)</f>
        <v>4</v>
      </c>
      <c r="D39" s="104" t="str">
        <f>IF($A39="","",IF(MOD($B39,2)=1,INDEX(Settings!$O$3:$O$10,$C39),INDEX(Settings!$O$3:$O$10,$D$3-$C39+1)))</f>
        <v>Nick</v>
      </c>
      <c r="E39" s="133" t="s">
        <v>74</v>
      </c>
      <c r="F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</row>
    <row r="40" spans="1:19" ht="20.100000000000001" customHeight="1">
      <c r="A40" s="131">
        <f>IF(ROW()-5&lt;=$F$3,ROW()-5,"")</f>
        <v>35</v>
      </c>
      <c r="B40" s="15">
        <f>IF($A40="","",ROUNDUP($A40/$D$3,0))</f>
        <v>6</v>
      </c>
      <c r="C40" s="15">
        <f>IF($A40="","",MOD($A40-1,$D$3)+1)</f>
        <v>5</v>
      </c>
      <c r="D40" s="101" t="str">
        <f>IF($A40="","",IF(MOD($B40,2)=1,INDEX(Settings!$O$3:$O$10,$C40),INDEX(Settings!$O$3:$O$10,$D$3-$C40+1)))</f>
        <v>Donovan</v>
      </c>
      <c r="E40" s="133" t="s">
        <v>75</v>
      </c>
      <c r="F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</row>
    <row r="41" spans="1:19" ht="20.100000000000001" customHeight="1">
      <c r="A41" s="131">
        <f>IF(ROW()-5&lt;=$F$3,ROW()-5,"")</f>
        <v>36</v>
      </c>
      <c r="B41" s="15">
        <f>IF($A41="","",ROUNDUP($A41/$D$3,0))</f>
        <v>6</v>
      </c>
      <c r="C41" s="15">
        <f>IF($A41="","",MOD($A41-1,$D$3)+1)</f>
        <v>6</v>
      </c>
      <c r="D41" s="98" t="str">
        <f>IF($A41="","",IF(MOD($B41,2)=1,INDEX(Settings!$O$3:$O$10,$C41),INDEX(Settings!$O$3:$O$10,$D$3-$C41+1)))</f>
        <v>Justin</v>
      </c>
      <c r="E41" s="133" t="s">
        <v>76</v>
      </c>
      <c r="F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</row>
    <row r="42" spans="1:19" ht="20.100000000000001" customHeight="1">
      <c r="A42" s="131">
        <f>IF(ROW()-5&lt;=$F$3,ROW()-5,"")</f>
        <v>37</v>
      </c>
      <c r="B42" s="15">
        <f>IF($A42="","",ROUNDUP($A42/$D$3,0))</f>
        <v>7</v>
      </c>
      <c r="C42" s="15">
        <f>IF($A42="","",MOD($A42-1,$D$3)+1)</f>
        <v>1</v>
      </c>
      <c r="D42" s="98" t="str">
        <f>IF($A42="","",IF(MOD($B42,2)=1,INDEX(Settings!$O$3:$O$10,$C42),INDEX(Settings!$O$3:$O$10,$D$3-$C42+1)))</f>
        <v>Justin</v>
      </c>
      <c r="E42" s="133" t="s">
        <v>77</v>
      </c>
      <c r="F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</row>
    <row r="43" spans="1:19" ht="20.100000000000001" customHeight="1">
      <c r="A43" s="131">
        <f>IF(ROW()-5&lt;=$F$3,ROW()-5,"")</f>
        <v>38</v>
      </c>
      <c r="B43" s="15">
        <f>IF($A43="","",ROUNDUP($A43/$D$3,0))</f>
        <v>7</v>
      </c>
      <c r="C43" s="15">
        <f>IF($A43="","",MOD($A43-1,$D$3)+1)</f>
        <v>2</v>
      </c>
      <c r="D43" s="101" t="str">
        <f>IF($A43="","",IF(MOD($B43,2)=1,INDEX(Settings!$O$3:$O$10,$C43),INDEX(Settings!$O$3:$O$10,$D$3-$C43+1)))</f>
        <v>Donovan</v>
      </c>
      <c r="E43" s="133" t="s">
        <v>78</v>
      </c>
      <c r="F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</row>
    <row r="44" spans="1:19" ht="20.100000000000001" customHeight="1">
      <c r="A44" s="131">
        <f>IF(ROW()-5&lt;=$F$3,ROW()-5,"")</f>
        <v>39</v>
      </c>
      <c r="B44" s="15">
        <f>IF($A44="","",ROUNDUP($A44/$D$3,0))</f>
        <v>7</v>
      </c>
      <c r="C44" s="15">
        <f>IF($A44="","",MOD($A44-1,$D$3)+1)</f>
        <v>3</v>
      </c>
      <c r="D44" s="104" t="str">
        <f>IF($A44="","",IF(MOD($B44,2)=1,INDEX(Settings!$O$3:$O$10,$C44),INDEX(Settings!$O$3:$O$10,$D$3-$C44+1)))</f>
        <v>Nick</v>
      </c>
      <c r="E44" s="133" t="s">
        <v>79</v>
      </c>
      <c r="F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</row>
    <row r="45" spans="1:19" ht="20.100000000000001" customHeight="1">
      <c r="A45" s="131">
        <f>IF(ROW()-5&lt;=$F$3,ROW()-5,"")</f>
        <v>40</v>
      </c>
      <c r="B45" s="15">
        <f>IF($A45="","",ROUNDUP($A45/$D$3,0))</f>
        <v>7</v>
      </c>
      <c r="C45" s="15">
        <f>IF($A45="","",MOD($A45-1,$D$3)+1)</f>
        <v>4</v>
      </c>
      <c r="D45" s="107" t="str">
        <f>IF($A45="","",IF(MOD($B45,2)=1,INDEX(Settings!$O$3:$O$10,$C45),INDEX(Settings!$O$3:$O$10,$D$3-$C45+1)))</f>
        <v>Aidan</v>
      </c>
      <c r="E45" s="133" t="s">
        <v>80</v>
      </c>
      <c r="F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</row>
    <row r="46" spans="1:19" ht="20.100000000000001" customHeight="1">
      <c r="A46" s="131">
        <f>IF(ROW()-5&lt;=$F$3,ROW()-5,"")</f>
        <v>41</v>
      </c>
      <c r="B46" s="15">
        <f>IF($A46="","",ROUNDUP($A46/$D$3,0))</f>
        <v>7</v>
      </c>
      <c r="C46" s="15">
        <f>IF($A46="","",MOD($A46-1,$D$3)+1)</f>
        <v>5</v>
      </c>
      <c r="D46" s="110" t="str">
        <f>IF($A46="","",IF(MOD($B46,2)=1,INDEX(Settings!$O$3:$O$10,$C46),INDEX(Settings!$O$3:$O$10,$D$3-$C46+1)))</f>
        <v>Jason</v>
      </c>
      <c r="E46" s="133" t="s">
        <v>81</v>
      </c>
      <c r="F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</row>
    <row r="47" spans="1:19" ht="20.100000000000001" customHeight="1">
      <c r="A47" s="131">
        <f>IF(ROW()-5&lt;=$F$3,ROW()-5,"")</f>
        <v>42</v>
      </c>
      <c r="B47" s="15">
        <f>IF($A47="","",ROUNDUP($A47/$D$3,0))</f>
        <v>7</v>
      </c>
      <c r="C47" s="15">
        <f>IF($A47="","",MOD($A47-1,$D$3)+1)</f>
        <v>6</v>
      </c>
      <c r="D47" s="113" t="str">
        <f>IF($A47="","",IF(MOD($B47,2)=1,INDEX(Settings!$O$3:$O$10,$C47),INDEX(Settings!$O$3:$O$10,$D$3-$C47+1)))</f>
        <v>May</v>
      </c>
      <c r="E47" s="133" t="s">
        <v>82</v>
      </c>
      <c r="F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</row>
    <row r="48" spans="1:19" ht="20.100000000000001" customHeight="1">
      <c r="A48" s="131">
        <f>IF(ROW()-5&lt;=$F$3,ROW()-5,"")</f>
        <v>43</v>
      </c>
      <c r="B48" s="15">
        <f>IF($A48="","",ROUNDUP($A48/$D$3,0))</f>
        <v>8</v>
      </c>
      <c r="C48" s="15">
        <f>IF($A48="","",MOD($A48-1,$D$3)+1)</f>
        <v>1</v>
      </c>
      <c r="D48" s="113" t="str">
        <f>IF($A48="","",IF(MOD($B48,2)=1,INDEX(Settings!$O$3:$O$10,$C48),INDEX(Settings!$O$3:$O$10,$D$3-$C48+1)))</f>
        <v>May</v>
      </c>
      <c r="E48" s="133" t="s">
        <v>83</v>
      </c>
      <c r="F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</row>
    <row r="49" spans="1:19" ht="20.100000000000001" customHeight="1">
      <c r="A49" s="131">
        <f>IF(ROW()-5&lt;=$F$3,ROW()-5,"")</f>
        <v>44</v>
      </c>
      <c r="B49" s="15">
        <f>IF($A49="","",ROUNDUP($A49/$D$3,0))</f>
        <v>8</v>
      </c>
      <c r="C49" s="15">
        <f>IF($A49="","",MOD($A49-1,$D$3)+1)</f>
        <v>2</v>
      </c>
      <c r="D49" s="110" t="str">
        <f>IF($A49="","",IF(MOD($B49,2)=1,INDEX(Settings!$O$3:$O$10,$C49),INDEX(Settings!$O$3:$O$10,$D$3-$C49+1)))</f>
        <v>Jason</v>
      </c>
      <c r="E49" s="133" t="s">
        <v>84</v>
      </c>
      <c r="F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</row>
    <row r="50" spans="1:19" ht="20.100000000000001" customHeight="1">
      <c r="A50" s="131">
        <f>IF(ROW()-5&lt;=$F$3,ROW()-5,"")</f>
        <v>45</v>
      </c>
      <c r="B50" s="15">
        <f>IF($A50="","",ROUNDUP($A50/$D$3,0))</f>
        <v>8</v>
      </c>
      <c r="C50" s="15">
        <f>IF($A50="","",MOD($A50-1,$D$3)+1)</f>
        <v>3</v>
      </c>
      <c r="D50" s="107" t="str">
        <f>IF($A50="","",IF(MOD($B50,2)=1,INDEX(Settings!$O$3:$O$10,$C50),INDEX(Settings!$O$3:$O$10,$D$3-$C50+1)))</f>
        <v>Aidan</v>
      </c>
      <c r="E50" s="133" t="s">
        <v>85</v>
      </c>
      <c r="F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</row>
    <row r="51" spans="1:19" ht="20.100000000000001" customHeight="1">
      <c r="A51" s="131">
        <f>IF(ROW()-5&lt;=$F$3,ROW()-5,"")</f>
        <v>46</v>
      </c>
      <c r="B51" s="15">
        <f>IF($A51="","",ROUNDUP($A51/$D$3,0))</f>
        <v>8</v>
      </c>
      <c r="C51" s="15">
        <f>IF($A51="","",MOD($A51-1,$D$3)+1)</f>
        <v>4</v>
      </c>
      <c r="D51" s="104" t="str">
        <f>IF($A51="","",IF(MOD($B51,2)=1,INDEX(Settings!$O$3:$O$10,$C51),INDEX(Settings!$O$3:$O$10,$D$3-$C51+1)))</f>
        <v>Nick</v>
      </c>
      <c r="E51" s="133" t="s">
        <v>86</v>
      </c>
      <c r="F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</row>
    <row r="52" spans="1:19" ht="20.100000000000001" customHeight="1">
      <c r="A52" s="131">
        <f>IF(ROW()-5&lt;=$F$3,ROW()-5,"")</f>
        <v>47</v>
      </c>
      <c r="B52" s="15">
        <f>IF($A52="","",ROUNDUP($A52/$D$3,0))</f>
        <v>8</v>
      </c>
      <c r="C52" s="15">
        <f>IF($A52="","",MOD($A52-1,$D$3)+1)</f>
        <v>5</v>
      </c>
      <c r="D52" s="101" t="str">
        <f>IF($A52="","",IF(MOD($B52,2)=1,INDEX(Settings!$O$3:$O$10,$C52),INDEX(Settings!$O$3:$O$10,$D$3-$C52+1)))</f>
        <v>Donovan</v>
      </c>
      <c r="E52" s="133" t="s">
        <v>87</v>
      </c>
      <c r="F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</row>
    <row r="53" spans="1:19" ht="20.100000000000001" customHeight="1">
      <c r="A53" s="131">
        <f>IF(ROW()-5&lt;=$F$3,ROW()-5,"")</f>
        <v>48</v>
      </c>
      <c r="B53" s="15">
        <f>IF($A53="","",ROUNDUP($A53/$D$3,0))</f>
        <v>8</v>
      </c>
      <c r="C53" s="15">
        <f>IF($A53="","",MOD($A53-1,$D$3)+1)</f>
        <v>6</v>
      </c>
      <c r="D53" s="98" t="str">
        <f>IF($A53="","",IF(MOD($B53,2)=1,INDEX(Settings!$O$3:$O$10,$C53),INDEX(Settings!$O$3:$O$10,$D$3-$C53+1)))</f>
        <v>Justin</v>
      </c>
      <c r="E53" s="133" t="s">
        <v>88</v>
      </c>
      <c r="F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</row>
    <row r="54" spans="1:19" ht="20.100000000000001" customHeight="1">
      <c r="A54" s="131">
        <f>IF(ROW()-5&lt;=$F$3,ROW()-5,"")</f>
        <v>49</v>
      </c>
      <c r="B54" s="15">
        <f>IF($A54="","",ROUNDUP($A54/$D$3,0))</f>
        <v>9</v>
      </c>
      <c r="C54" s="15">
        <f>IF($A54="","",MOD($A54-1,$D$3)+1)</f>
        <v>1</v>
      </c>
      <c r="D54" s="98" t="str">
        <f>IF($A54="","",IF(MOD($B54,2)=1,INDEX(Settings!$O$3:$O$10,$C54),INDEX(Settings!$O$3:$O$10,$D$3-$C54+1)))</f>
        <v>Justin</v>
      </c>
      <c r="E54" s="133" t="s">
        <v>89</v>
      </c>
      <c r="F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</row>
    <row r="55" spans="1:19" ht="20.100000000000001" customHeight="1">
      <c r="A55" s="131">
        <f>IF(ROW()-5&lt;=$F$3,ROW()-5,"")</f>
        <v>50</v>
      </c>
      <c r="B55" s="15">
        <f>IF($A55="","",ROUNDUP($A55/$D$3,0))</f>
        <v>9</v>
      </c>
      <c r="C55" s="15">
        <f>IF($A55="","",MOD($A55-1,$D$3)+1)</f>
        <v>2</v>
      </c>
      <c r="D55" s="101" t="str">
        <f>IF($A55="","",IF(MOD($B55,2)=1,INDEX(Settings!$O$3:$O$10,$C55),INDEX(Settings!$O$3:$O$10,$D$3-$C55+1)))</f>
        <v>Donovan</v>
      </c>
      <c r="E55" s="133" t="s">
        <v>90</v>
      </c>
      <c r="F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</row>
    <row r="56" spans="1:19" ht="20.100000000000001" customHeight="1">
      <c r="A56" s="131">
        <f>IF(ROW()-5&lt;=$F$3,ROW()-5,"")</f>
        <v>51</v>
      </c>
      <c r="B56" s="15">
        <f>IF($A56="","",ROUNDUP($A56/$D$3,0))</f>
        <v>9</v>
      </c>
      <c r="C56" s="15">
        <f>IF($A56="","",MOD($A56-1,$D$3)+1)</f>
        <v>3</v>
      </c>
      <c r="D56" s="104" t="str">
        <f>IF($A56="","",IF(MOD($B56,2)=1,INDEX(Settings!$O$3:$O$10,$C56),INDEX(Settings!$O$3:$O$10,$D$3-$C56+1)))</f>
        <v>Nick</v>
      </c>
      <c r="E56" s="133" t="s">
        <v>91</v>
      </c>
      <c r="F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</row>
    <row r="57" spans="1:19" ht="20.100000000000001" customHeight="1">
      <c r="A57" s="131">
        <f>IF(ROW()-5&lt;=$F$3,ROW()-5,"")</f>
        <v>52</v>
      </c>
      <c r="B57" s="15">
        <f>IF($A57="","",ROUNDUP($A57/$D$3,0))</f>
        <v>9</v>
      </c>
      <c r="C57" s="15">
        <f>IF($A57="","",MOD($A57-1,$D$3)+1)</f>
        <v>4</v>
      </c>
      <c r="D57" s="107" t="str">
        <f>IF($A57="","",IF(MOD($B57,2)=1,INDEX(Settings!$O$3:$O$10,$C57),INDEX(Settings!$O$3:$O$10,$D$3-$C57+1)))</f>
        <v>Aidan</v>
      </c>
      <c r="E57" s="133" t="s">
        <v>92</v>
      </c>
      <c r="F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</row>
    <row r="58" spans="1:19" ht="20.100000000000001" customHeight="1">
      <c r="A58" s="131">
        <f>IF(ROW()-5&lt;=$F$3,ROW()-5,"")</f>
        <v>53</v>
      </c>
      <c r="B58" s="15">
        <f>IF($A58="","",ROUNDUP($A58/$D$3,0))</f>
        <v>9</v>
      </c>
      <c r="C58" s="15">
        <f>IF($A58="","",MOD($A58-1,$D$3)+1)</f>
        <v>5</v>
      </c>
      <c r="D58" s="110" t="str">
        <f>IF($A58="","",IF(MOD($B58,2)=1,INDEX(Settings!$O$3:$O$10,$C58),INDEX(Settings!$O$3:$O$10,$D$3-$C58+1)))</f>
        <v>Jason</v>
      </c>
      <c r="E58" s="133" t="s">
        <v>93</v>
      </c>
      <c r="F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</row>
    <row r="59" spans="1:19" ht="20.100000000000001" customHeight="1">
      <c r="A59" s="137">
        <f>IF(ROW()-5&lt;=$F$3,ROW()-5,"")</f>
        <v>54</v>
      </c>
      <c r="B59" s="138">
        <f>IF($A59="","",ROUNDUP($A59/$D$3,0))</f>
        <v>9</v>
      </c>
      <c r="C59" s="138">
        <f>IF($A59="","",MOD($A59-1,$D$3)+1)</f>
        <v>6</v>
      </c>
      <c r="D59" s="139" t="str">
        <f>IF($A59="","",IF(MOD($B59,2)=1,INDEX(Settings!$O$3:$O$10,$C59),INDEX(Settings!$O$3:$O$10,$D$3-$C59+1)))</f>
        <v>May</v>
      </c>
      <c r="E59" s="140" t="s">
        <v>94</v>
      </c>
      <c r="F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</row>
    <row r="60" spans="1:19" ht="20.100000000000001" hidden="1" customHeight="1">
      <c r="A60" s="15" t="str">
        <f>IF(ROW()-5&lt;=$F$3,ROW()-5,"")</f>
        <v/>
      </c>
      <c r="B60" s="15" t="str">
        <f>IF($A60="","",ROUNDUP($A60/$D$3,0))</f>
        <v/>
      </c>
      <c r="C60" s="15" t="str">
        <f>IF($A60="","",MOD($A60-1,$D$3)+1)</f>
        <v/>
      </c>
      <c r="D60" s="16" t="str">
        <f>IF($A60="","",IF(MOD($B60,2)=1,INDEX(Settings!$O$3:$O$10,$C60),INDEX(Settings!$O$3:$O$10,$D$3-$C60+1)))</f>
        <v/>
      </c>
      <c r="E60" s="17"/>
      <c r="F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</row>
    <row r="61" spans="1:19" ht="20.100000000000001" hidden="1" customHeight="1">
      <c r="A61" s="15" t="str">
        <f>IF(ROW()-5&lt;=$F$3,ROW()-5,"")</f>
        <v/>
      </c>
      <c r="B61" s="15" t="str">
        <f>IF($A61="","",ROUNDUP($A61/$D$3,0))</f>
        <v/>
      </c>
      <c r="C61" s="15" t="str">
        <f>IF($A61="","",MOD($A61-1,$D$3)+1)</f>
        <v/>
      </c>
      <c r="D61" s="16" t="str">
        <f>IF($A61="","",IF(MOD($B61,2)=1,INDEX(Settings!$O$3:$O$10,$C61),INDEX(Settings!$O$3:$O$10,$D$3-$C61+1)))</f>
        <v/>
      </c>
      <c r="E61" s="17"/>
      <c r="F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</row>
    <row r="62" spans="1:19" ht="20.100000000000001" hidden="1" customHeight="1">
      <c r="A62" s="15" t="str">
        <f>IF(ROW()-5&lt;=$F$3,ROW()-5,"")</f>
        <v/>
      </c>
      <c r="B62" s="15" t="str">
        <f>IF($A62="","",ROUNDUP($A62/$D$3,0))</f>
        <v/>
      </c>
      <c r="C62" s="15" t="str">
        <f>IF($A62="","",MOD($A62-1,$D$3)+1)</f>
        <v/>
      </c>
      <c r="D62" s="16" t="str">
        <f>IF($A62="","",IF(MOD($B62,2)=1,INDEX(Settings!$O$3:$O$10,$C62),INDEX(Settings!$O$3:$O$10,$D$3-$C62+1)))</f>
        <v/>
      </c>
      <c r="E62" s="17"/>
      <c r="F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</row>
    <row r="63" spans="1:19" ht="20.100000000000001" hidden="1" customHeight="1">
      <c r="A63" s="15" t="str">
        <f>IF(ROW()-5&lt;=$F$3,ROW()-5,"")</f>
        <v/>
      </c>
      <c r="B63" s="15" t="str">
        <f>IF($A63="","",ROUNDUP($A63/$D$3,0))</f>
        <v/>
      </c>
      <c r="C63" s="15" t="str">
        <f>IF($A63="","",MOD($A63-1,$D$3)+1)</f>
        <v/>
      </c>
      <c r="D63" s="16" t="str">
        <f>IF($A63="","",IF(MOD($B63,2)=1,INDEX(Settings!$O$3:$O$10,$C63),INDEX(Settings!$O$3:$O$10,$D$3-$C63+1)))</f>
        <v/>
      </c>
      <c r="E63" s="17"/>
      <c r="F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</row>
    <row r="64" spans="1:19" ht="20.100000000000001" hidden="1" customHeight="1">
      <c r="A64" s="15" t="str">
        <f>IF(ROW()-5&lt;=$F$3,ROW()-5,"")</f>
        <v/>
      </c>
      <c r="B64" s="15" t="str">
        <f>IF($A64="","",ROUNDUP($A64/$D$3,0))</f>
        <v/>
      </c>
      <c r="C64" s="15" t="str">
        <f>IF($A64="","",MOD($A64-1,$D$3)+1)</f>
        <v/>
      </c>
      <c r="D64" s="16" t="str">
        <f>IF($A64="","",IF(MOD($B64,2)=1,INDEX(Settings!$O$3:$O$10,$C64),INDEX(Settings!$O$3:$O$10,$D$3-$C64+1)))</f>
        <v/>
      </c>
      <c r="E64" s="17"/>
      <c r="F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</row>
    <row r="65" spans="1:19" ht="20.100000000000001" hidden="1" customHeight="1">
      <c r="A65" s="15" t="str">
        <f>IF(ROW()-5&lt;=$F$3,ROW()-5,"")</f>
        <v/>
      </c>
      <c r="B65" s="15" t="str">
        <f>IF($A65="","",ROUNDUP($A65/$D$3,0))</f>
        <v/>
      </c>
      <c r="C65" s="15" t="str">
        <f>IF($A65="","",MOD($A65-1,$D$3)+1)</f>
        <v/>
      </c>
      <c r="D65" s="16" t="str">
        <f>IF($A65="","",IF(MOD($B65,2)=1,INDEX(Settings!$O$3:$O$10,$C65),INDEX(Settings!$O$3:$O$10,$D$3-$C65+1)))</f>
        <v/>
      </c>
      <c r="E65" s="17"/>
      <c r="F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</row>
    <row r="66" spans="1:19" ht="20.100000000000001" hidden="1" customHeight="1">
      <c r="A66" s="15" t="str">
        <f>IF(ROW()-5&lt;=$F$3,ROW()-5,"")</f>
        <v/>
      </c>
      <c r="B66" s="15" t="str">
        <f>IF($A66="","",ROUNDUP($A66/$D$3,0))</f>
        <v/>
      </c>
      <c r="C66" s="15" t="str">
        <f>IF($A66="","",MOD($A66-1,$D$3)+1)</f>
        <v/>
      </c>
      <c r="D66" s="16" t="str">
        <f>IF($A66="","",IF(MOD($B66,2)=1,INDEX(Settings!$O$3:$O$10,$C66),INDEX(Settings!$O$3:$O$10,$D$3-$C66+1)))</f>
        <v/>
      </c>
      <c r="E66" s="17"/>
      <c r="F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</row>
    <row r="67" spans="1:19" ht="20.100000000000001" hidden="1" customHeight="1">
      <c r="A67" s="15" t="str">
        <f>IF(ROW()-5&lt;=$F$3,ROW()-5,"")</f>
        <v/>
      </c>
      <c r="B67" s="15" t="str">
        <f>IF($A67="","",ROUNDUP($A67/$D$3,0))</f>
        <v/>
      </c>
      <c r="C67" s="15" t="str">
        <f>IF($A67="","",MOD($A67-1,$D$3)+1)</f>
        <v/>
      </c>
      <c r="D67" s="16" t="str">
        <f>IF($A67="","",IF(MOD($B67,2)=1,INDEX(Settings!$O$3:$O$10,$C67),INDEX(Settings!$O$3:$O$10,$D$3-$C67+1)))</f>
        <v/>
      </c>
      <c r="E67" s="17"/>
      <c r="F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</row>
    <row r="68" spans="1:19" ht="20.100000000000001" hidden="1" customHeight="1">
      <c r="A68" s="15" t="str">
        <f>IF(ROW()-5&lt;=$F$3,ROW()-5,"")</f>
        <v/>
      </c>
      <c r="B68" s="15" t="str">
        <f>IF($A68="","",ROUNDUP($A68/$D$3,0))</f>
        <v/>
      </c>
      <c r="C68" s="15" t="str">
        <f>IF($A68="","",MOD($A68-1,$D$3)+1)</f>
        <v/>
      </c>
      <c r="D68" s="16" t="str">
        <f>IF($A68="","",IF(MOD($B68,2)=1,INDEX(Settings!$O$3:$O$10,$C68),INDEX(Settings!$O$3:$O$10,$D$3-$C68+1)))</f>
        <v/>
      </c>
      <c r="E68" s="17"/>
      <c r="F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</row>
    <row r="69" spans="1:19" ht="20.100000000000001" hidden="1" customHeight="1">
      <c r="A69" s="15" t="str">
        <f>IF(ROW()-5&lt;=$F$3,ROW()-5,"")</f>
        <v/>
      </c>
      <c r="B69" s="15" t="str">
        <f>IF($A69="","",ROUNDUP($A69/$D$3,0))</f>
        <v/>
      </c>
      <c r="C69" s="15" t="str">
        <f>IF($A69="","",MOD($A69-1,$D$3)+1)</f>
        <v/>
      </c>
      <c r="D69" s="16" t="str">
        <f>IF($A69="","",IF(MOD($B69,2)=1,INDEX(Settings!$O$3:$O$10,$C69),INDEX(Settings!$O$3:$O$10,$D$3-$C69+1)))</f>
        <v/>
      </c>
      <c r="E69" s="17"/>
      <c r="F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</row>
    <row r="70" spans="1:19" ht="20.100000000000001" hidden="1" customHeight="1">
      <c r="A70" s="15" t="str">
        <f>IF(ROW()-5&lt;=$F$3,ROW()-5,"")</f>
        <v/>
      </c>
      <c r="B70" s="15" t="str">
        <f>IF($A70="","",ROUNDUP($A70/$D$3,0))</f>
        <v/>
      </c>
      <c r="C70" s="15" t="str">
        <f>IF($A70="","",MOD($A70-1,$D$3)+1)</f>
        <v/>
      </c>
      <c r="D70" s="16" t="str">
        <f>IF($A70="","",IF(MOD($B70,2)=1,INDEX(Settings!$O$3:$O$10,$C70),INDEX(Settings!$O$3:$O$10,$D$3-$C70+1)))</f>
        <v/>
      </c>
      <c r="E70" s="17"/>
      <c r="F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</row>
    <row r="71" spans="1:19" ht="20.100000000000001" hidden="1" customHeight="1">
      <c r="A71" s="15" t="str">
        <f>IF(ROW()-5&lt;=$F$3,ROW()-5,"")</f>
        <v/>
      </c>
      <c r="B71" s="15" t="str">
        <f>IF($A71="","",ROUNDUP($A71/$D$3,0))</f>
        <v/>
      </c>
      <c r="C71" s="15" t="str">
        <f>IF($A71="","",MOD($A71-1,$D$3)+1)</f>
        <v/>
      </c>
      <c r="D71" s="16" t="str">
        <f>IF($A71="","",IF(MOD($B71,2)=1,INDEX(Settings!$O$3:$O$10,$C71),INDEX(Settings!$O$3:$O$10,$D$3-$C71+1)))</f>
        <v/>
      </c>
      <c r="E71" s="17"/>
      <c r="F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</row>
    <row r="72" spans="1:19" ht="20.100000000000001" hidden="1" customHeight="1">
      <c r="A72" s="15" t="str">
        <f>IF(ROW()-5&lt;=$F$3,ROW()-5,"")</f>
        <v/>
      </c>
      <c r="B72" s="15" t="str">
        <f>IF($A72="","",ROUNDUP($A72/$D$3,0))</f>
        <v/>
      </c>
      <c r="C72" s="15" t="str">
        <f>IF($A72="","",MOD($A72-1,$D$3)+1)</f>
        <v/>
      </c>
      <c r="D72" s="16" t="str">
        <f>IF($A72="","",IF(MOD($B72,2)=1,INDEX(Settings!$O$3:$O$10,$C72),INDEX(Settings!$O$3:$O$10,$D$3-$C72+1)))</f>
        <v/>
      </c>
      <c r="E72" s="17"/>
      <c r="F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spans="1:19" ht="20.100000000000001" hidden="1" customHeight="1">
      <c r="A73" s="15" t="str">
        <f>IF(ROW()-5&lt;=$F$3,ROW()-5,"")</f>
        <v/>
      </c>
      <c r="B73" s="15" t="str">
        <f>IF($A73="","",ROUNDUP($A73/$D$3,0))</f>
        <v/>
      </c>
      <c r="C73" s="15" t="str">
        <f>IF($A73="","",MOD($A73-1,$D$3)+1)</f>
        <v/>
      </c>
      <c r="D73" s="16" t="str">
        <f>IF($A73="","",IF(MOD($B73,2)=1,INDEX(Settings!$O$3:$O$10,$C73),INDEX(Settings!$O$3:$O$10,$D$3-$C73+1)))</f>
        <v/>
      </c>
      <c r="E73" s="17"/>
      <c r="F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</row>
    <row r="74" spans="1:19" ht="20.100000000000001" hidden="1" customHeight="1">
      <c r="A74" s="15" t="str">
        <f>IF(ROW()-5&lt;=$F$3,ROW()-5,"")</f>
        <v/>
      </c>
      <c r="B74" s="15" t="str">
        <f>IF($A74="","",ROUNDUP($A74/$D$3,0))</f>
        <v/>
      </c>
      <c r="C74" s="15" t="str">
        <f>IF($A74="","",MOD($A74-1,$D$3)+1)</f>
        <v/>
      </c>
      <c r="D74" s="16" t="str">
        <f>IF($A74="","",IF(MOD($B74,2)=1,INDEX(Settings!$O$3:$O$10,$C74),INDEX(Settings!$O$3:$O$10,$D$3-$C74+1)))</f>
        <v/>
      </c>
      <c r="E74" s="17"/>
      <c r="F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</row>
    <row r="75" spans="1:19" ht="20.100000000000001" hidden="1" customHeight="1">
      <c r="A75" s="15" t="str">
        <f>IF(ROW()-5&lt;=$F$3,ROW()-5,"")</f>
        <v/>
      </c>
      <c r="B75" s="15" t="str">
        <f>IF($A75="","",ROUNDUP($A75/$D$3,0))</f>
        <v/>
      </c>
      <c r="C75" s="15" t="str">
        <f>IF($A75="","",MOD($A75-1,$D$3)+1)</f>
        <v/>
      </c>
      <c r="D75" s="16" t="str">
        <f>IF($A75="","",IF(MOD($B75,2)=1,INDEX(Settings!$O$3:$O$10,$C75),INDEX(Settings!$O$3:$O$10,$D$3-$C75+1)))</f>
        <v/>
      </c>
      <c r="E75" s="17"/>
      <c r="F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</row>
    <row r="76" spans="1:19" ht="20.100000000000001" hidden="1" customHeight="1">
      <c r="A76" s="15" t="str">
        <f>IF(ROW()-5&lt;=$F$3,ROW()-5,"")</f>
        <v/>
      </c>
      <c r="B76" s="15" t="str">
        <f>IF($A76="","",ROUNDUP($A76/$D$3,0))</f>
        <v/>
      </c>
      <c r="C76" s="15" t="str">
        <f>IF($A76="","",MOD($A76-1,$D$3)+1)</f>
        <v/>
      </c>
      <c r="D76" s="16" t="str">
        <f>IF($A76="","",IF(MOD($B76,2)=1,INDEX(Settings!$O$3:$O$10,$C76),INDEX(Settings!$O$3:$O$10,$D$3-$C76+1)))</f>
        <v/>
      </c>
      <c r="E76" s="17"/>
      <c r="F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</row>
    <row r="77" spans="1:19" hidden="1">
      <c r="A77" s="15" t="str">
        <f>IF(ROW()-5&lt;=$F$3,ROW()-5,"")</f>
        <v/>
      </c>
      <c r="B77" s="15" t="str">
        <f>IF($A77="","",ROUNDUP($A77/$D$3,0))</f>
        <v/>
      </c>
      <c r="C77" s="15" t="str">
        <f>IF($A77="","",MOD($A77-1,$D$3)+1)</f>
        <v/>
      </c>
      <c r="D77" s="16" t="str">
        <f>IF($A77="","",IF(MOD($B77,2)=1,INDEX(Settings!$O$3:$O$10,$C77),INDEX(Settings!$O$3:$O$10,$D$3-$C77+1)))</f>
        <v/>
      </c>
      <c r="E77" s="17"/>
      <c r="F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</row>
    <row r="78" spans="1:19" ht="20.100000000000001" customHeight="1" collapsed="1">
      <c r="A78" s="18"/>
      <c r="B78" s="18"/>
      <c r="C78" s="18"/>
      <c r="D78" s="18"/>
      <c r="E78" s="18"/>
      <c r="F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</row>
    <row r="79" spans="1:19" ht="20.100000000000001" customHeight="1">
      <c r="A79" s="18"/>
      <c r="B79" s="18"/>
      <c r="C79" s="18"/>
      <c r="D79" s="18"/>
      <c r="E79" s="18"/>
      <c r="F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</row>
    <row r="80" spans="1:19">
      <c r="A80" s="18"/>
      <c r="B80" s="18"/>
      <c r="C80" s="18"/>
      <c r="D80" s="18"/>
      <c r="E80" s="18"/>
      <c r="F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</row>
    <row r="81" spans="1:19">
      <c r="A81" s="18"/>
      <c r="B81" s="18"/>
      <c r="C81" s="18"/>
      <c r="D81" s="18"/>
      <c r="E81" s="18"/>
      <c r="F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</row>
  </sheetData>
  <mergeCells count="1">
    <mergeCell ref="A1:E1"/>
  </mergeCells>
  <conditionalFormatting sqref="A1:S81">
    <cfRule type="expression" dxfId="118" priority="9">
      <formula>COUNTIFS(ActivePlayers,A1,ActiveColors,"Blue")&gt;0</formula>
    </cfRule>
  </conditionalFormatting>
  <conditionalFormatting sqref="A1:S81">
    <cfRule type="expression" dxfId="117" priority="10">
      <formula>COUNTIFS(ActivePlayers,A1,ActiveColors,"Orange")&gt;0</formula>
    </cfRule>
  </conditionalFormatting>
  <conditionalFormatting sqref="A1:S81">
    <cfRule type="expression" dxfId="116" priority="11">
      <formula>COUNTIFS(ActivePlayers,A1,ActiveColors,"Green")&gt;0</formula>
    </cfRule>
  </conditionalFormatting>
  <conditionalFormatting sqref="A1:S81">
    <cfRule type="expression" dxfId="115" priority="12">
      <formula>COUNTIFS(ActivePlayers,A1,ActiveColors,"Red")&gt;0</formula>
    </cfRule>
  </conditionalFormatting>
  <conditionalFormatting sqref="A1:S81">
    <cfRule type="expression" dxfId="114" priority="13">
      <formula>COUNTIFS(ActivePlayers,A1,ActiveColors,"Purple")&gt;0</formula>
    </cfRule>
  </conditionalFormatting>
  <conditionalFormatting sqref="A1:S81">
    <cfRule type="expression" dxfId="113" priority="14">
      <formula>COUNTIFS(ActivePlayers,A1,ActiveColors,"Pink")&gt;0</formula>
    </cfRule>
  </conditionalFormatting>
  <conditionalFormatting sqref="A1:S81">
    <cfRule type="expression" dxfId="112" priority="15">
      <formula>COUNTIFS(ActivePlayers,A1,ActiveColors,"Gray")&gt;0</formula>
    </cfRule>
  </conditionalFormatting>
  <conditionalFormatting sqref="A1:S81">
    <cfRule type="expression" dxfId="111" priority="16">
      <formula>COUNTIFS(ActivePlayers,A1,ActiveColors,"Brown")&gt;0</formula>
    </cfRule>
  </conditionalFormatting>
  <dataValidations count="1">
    <dataValidation type="custom" error="This character has already been drafted in the current tournament." sqref="E6:E77" xr:uid="{00000000-0002-0000-0100-000001000000}">
      <formula1>OR($E6="",COUNTIF($E$6:$E$77,$E6)=1)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Choose a character from the list." prompt="Select a character." xr:uid="{00000000-0002-0000-0100-000000000000}">
          <x14:formula1>
            <xm:f>Lists!$A$2:$A$73</xm:f>
          </x14:formula1>
          <xm:sqref>E6:E77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941B-A77D-49B1-A633-DB7EE8CE9F67}">
  <dimension ref="A1:J210"/>
  <sheetViews>
    <sheetView topLeftCell="A124" workbookViewId="0">
      <selection activeCell="B139" sqref="B139"/>
    </sheetView>
  </sheetViews>
  <sheetFormatPr defaultRowHeight="15"/>
  <cols>
    <col min="1" max="1" width="16" bestFit="1" customWidth="1"/>
    <col min="2" max="2" width="13" bestFit="1" customWidth="1"/>
    <col min="3" max="3" width="16.42578125" bestFit="1" customWidth="1"/>
    <col min="5" max="5" width="12.7109375" bestFit="1" customWidth="1"/>
    <col min="6" max="6" width="13.7109375" bestFit="1" customWidth="1"/>
    <col min="7" max="7" width="13" bestFit="1" customWidth="1"/>
    <col min="8" max="8" width="16.42578125" bestFit="1" customWidth="1"/>
  </cols>
  <sheetData>
    <row r="1" spans="1:10">
      <c r="A1" s="34" t="str">
        <f>"Game "&amp;(QUOTIENT(ROW()-1,14)+1)&amp;" Lineups"</f>
        <v>Game 1 Lineups</v>
      </c>
      <c r="B1" s="18"/>
      <c r="C1" s="18"/>
      <c r="D1" s="18"/>
      <c r="E1" s="18"/>
      <c r="F1" s="18"/>
      <c r="G1" s="18"/>
      <c r="H1" s="18"/>
      <c r="I1" s="18"/>
      <c r="J1" s="33"/>
    </row>
    <row r="2" spans="1:10">
      <c r="A2" s="18" t="s">
        <v>95</v>
      </c>
      <c r="B2" s="18" t="str" cm="1">
        <f t="array" ref="B2">INDEX(Bracket!$F$6:$F$20,QUOTIENT(ROW()-2,14)+1)</f>
        <v>G1</v>
      </c>
      <c r="C2" s="18"/>
      <c r="D2" s="18" t="s">
        <v>96</v>
      </c>
      <c r="E2" s="18" t="str" cm="1">
        <f t="array" ref="E2">INDEX(Bracket!$G$6:$G$20,QUOTIENT(ROW()-2,14)+1)</f>
        <v>Winners R1-1</v>
      </c>
      <c r="F2" s="18"/>
      <c r="G2" s="18"/>
      <c r="H2" s="18"/>
      <c r="I2" s="18"/>
      <c r="J2" s="18"/>
    </row>
    <row r="3" spans="1:10">
      <c r="A3" s="18" t="s">
        <v>97</v>
      </c>
      <c r="B3" s="117" t="str" cm="1">
        <f t="array" aca="1" ref="B3" ca="1">INDEX(Bracket!$H$6:$H$20,QUOTIENT(ROW()-3,14)+1)</f>
        <v>Nick</v>
      </c>
      <c r="C3" s="18"/>
      <c r="D3" s="18"/>
      <c r="E3" s="18"/>
      <c r="F3" s="18" t="s">
        <v>98</v>
      </c>
      <c r="G3" s="118" t="str" cm="1">
        <f t="array" aca="1" ref="G3" ca="1">INDEX(Bracket!$I$6:$I$20,QUOTIENT(ROW()-3,14)+1)</f>
        <v>Donovan</v>
      </c>
      <c r="H3" s="18"/>
      <c r="I3" s="18"/>
      <c r="J3" s="18"/>
    </row>
    <row r="4" spans="1:10">
      <c r="A4" s="35" t="s">
        <v>99</v>
      </c>
      <c r="B4" s="35" t="s">
        <v>100</v>
      </c>
      <c r="C4" s="35" t="s">
        <v>101</v>
      </c>
      <c r="D4" s="18"/>
      <c r="E4" s="18"/>
      <c r="F4" s="35" t="s">
        <v>99</v>
      </c>
      <c r="G4" s="35" t="s">
        <v>100</v>
      </c>
      <c r="H4" s="35" t="s">
        <v>101</v>
      </c>
      <c r="I4" s="18"/>
      <c r="J4" s="18"/>
    </row>
    <row r="5" spans="1:10">
      <c r="A5" s="18" t="str" cm="1">
        <f t="array" aca="1" ref="A5" ca="1">_xlfn.LET(_xlpm.owner,INDEX($B:$B,3+14*QUOTIENT(ROW()-5,14)),_xlpm.slot,MOD(ROW()-5,14)+1,IF(_xlpm.owner="","",IFERROR(INDEX(Draft!$H$6:$N$14,_xlpm.slot,MATCH(_xlpm.owner,Draft!$H$5:$N$5,0)),"")))</f>
        <v>Daisy</v>
      </c>
      <c r="B5" s="18">
        <v>3</v>
      </c>
      <c r="C5" s="18" t="str" cm="1">
        <f t="array" aca="1" ref="C5" ca="1">IF(A5="","",IFERROR(INDEX(_xlfn.SORTBY(OFFSET(A5,-MOD(ROW()-5,14),0,9,1),OFFSET(B5,-MOD(ROW()-5,14),0,9,1),1),MOD(ROW()-5,14)+1),""))</f>
        <v>Monty Mole</v>
      </c>
      <c r="D5" s="18"/>
      <c r="E5" s="18"/>
      <c r="F5" s="18" t="str" cm="1">
        <f t="array" aca="1" ref="F5" ca="1">_xlfn.LET(_xlpm.owner,INDEX($G:$G,3+14*QUOTIENT(ROW()-5,14)),_xlpm.slot,MOD(ROW()-5,14)+1,IF(_xlpm.owner="","",IFERROR(INDEX(Draft!$H$6:$N$14,_xlpm.slot,MATCH(_xlpm.owner,Draft!$H$5:$N$5,0)),"")))</f>
        <v>Donkey Kong</v>
      </c>
      <c r="G5" s="18">
        <v>1</v>
      </c>
      <c r="H5" s="18" t="str" cm="1">
        <f t="array" aca="1" ref="H5" ca="1">IF(F5="","",IFERROR(INDEX(_xlfn.SORTBY(OFFSET(F5,-MOD(ROW()-5,14),0,9,1),OFFSET(G5,-MOD(ROW()-5,14),0,9,1),1),MOD(ROW()-5,14)+1),""))</f>
        <v>Donkey Kong</v>
      </c>
      <c r="I5" s="18"/>
      <c r="J5" s="18"/>
    </row>
    <row r="6" spans="1:10">
      <c r="A6" s="18" t="str" cm="1">
        <f t="array" aca="1" ref="A6" ca="1">_xlfn.LET(_xlpm.owner,INDEX($B:$B,3+14*QUOTIENT(ROW()-5,14)),_xlpm.slot,MOD(ROW()-5,14)+1,IF(_xlpm.owner="","",IFERROR(INDEX(Draft!$H$6:$N$14,_xlpm.slot,MATCH(_xlpm.owner,Draft!$H$5:$N$5,0)),"")))</f>
        <v>Mii</v>
      </c>
      <c r="B6" s="18">
        <v>6</v>
      </c>
      <c r="C6" s="18" t="str" cm="1">
        <f t="array" aca="1" ref="C6" ca="1">IF(A6="","",IFERROR(INDEX(_xlfn.SORTBY(OFFSET(A6,-MOD(ROW()-5,14),0,9,1),OFFSET(B6,-MOD(ROW()-5,14),0,9,1),1),MOD(ROW()-5,14)+1),""))</f>
        <v>Green Dry Bones</v>
      </c>
      <c r="D6" s="18"/>
      <c r="E6" s="18"/>
      <c r="F6" s="18" t="str" cm="1">
        <f t="array" aca="1" ref="F6" ca="1">_xlfn.LET(_xlpm.owner,INDEX($G:$G,3+14*QUOTIENT(ROW()-5,14)),_xlpm.slot,MOD(ROW()-5,14)+1,IF(_xlpm.owner="","",IFERROR(INDEX(Draft!$H$6:$N$14,_xlpm.slot,MATCH(_xlpm.owner,Draft!$H$5:$N$5,0)),"")))</f>
        <v>Waluigi</v>
      </c>
      <c r="G6" s="18">
        <v>2</v>
      </c>
      <c r="H6" s="18" t="str" cm="1">
        <f t="array" aca="1" ref="H6" ca="1">IF(F6="","",IFERROR(INDEX(_xlfn.SORTBY(OFFSET(F6,-MOD(ROW()-5,14),0,9,1),OFFSET(G6,-MOD(ROW()-5,14),0,9,1),1),MOD(ROW()-5,14)+1),""))</f>
        <v>Waluigi</v>
      </c>
      <c r="I6" s="18"/>
      <c r="J6" s="18"/>
    </row>
    <row r="7" spans="1:10">
      <c r="A7" s="18" t="str" cm="1">
        <f t="array" aca="1" ref="A7" ca="1">_xlfn.LET(_xlpm.owner,INDEX($B:$B,3+14*QUOTIENT(ROW()-5,14)),_xlpm.slot,MOD(ROW()-5,14)+1,IF(_xlpm.owner="","",IFERROR(INDEX(Draft!$H$6:$N$14,_xlpm.slot,MATCH(_xlpm.owner,Draft!$H$5:$N$5,0)),"")))</f>
        <v>Toadette</v>
      </c>
      <c r="B7" s="18">
        <v>8</v>
      </c>
      <c r="C7" s="18" t="str" cm="1">
        <f t="array" aca="1" ref="C7" ca="1">IF(A7="","",IFERROR(INDEX(_xlfn.SORTBY(OFFSET(A7,-MOD(ROW()-5,14),0,9,1),OFFSET(B7,-MOD(ROW()-5,14),0,9,1),1),MOD(ROW()-5,14)+1),""))</f>
        <v>Daisy</v>
      </c>
      <c r="D7" s="18"/>
      <c r="E7" s="18"/>
      <c r="F7" s="18" t="str" cm="1">
        <f t="array" aca="1" ref="F7" ca="1">_xlfn.LET(_xlpm.owner,INDEX($G:$G,3+14*QUOTIENT(ROW()-5,14)),_xlpm.slot,MOD(ROW()-5,14)+1,IF(_xlpm.owner="","",IFERROR(INDEX(Draft!$H$6:$N$14,_xlpm.slot,MATCH(_xlpm.owner,Draft!$H$5:$N$5,0)),"")))</f>
        <v>Diddy Kong</v>
      </c>
      <c r="G7" s="18">
        <v>4</v>
      </c>
      <c r="H7" s="18" t="str" cm="1">
        <f t="array" aca="1" ref="H7" ca="1">IF(F7="","",IFERROR(INDEX(_xlfn.SORTBY(OFFSET(F7,-MOD(ROW()-5,14),0,9,1),OFFSET(G7,-MOD(ROW()-5,14),0,9,1),1),MOD(ROW()-5,14)+1),""))</f>
        <v>Dry Bones</v>
      </c>
      <c r="I7" s="18"/>
      <c r="J7" s="18"/>
    </row>
    <row r="8" spans="1:10">
      <c r="A8" s="18" t="str" cm="1">
        <f t="array" aca="1" ref="A8" ca="1">_xlfn.LET(_xlpm.owner,INDEX($B:$B,3+14*QUOTIENT(ROW()-5,14)),_xlpm.slot,MOD(ROW()-5,14)+1,IF(_xlpm.owner="","",IFERROR(INDEX(Draft!$H$6:$N$14,_xlpm.slot,MATCH(_xlpm.owner,Draft!$H$5:$N$5,0)),"")))</f>
        <v>Blue Toad</v>
      </c>
      <c r="B8" s="18">
        <v>7</v>
      </c>
      <c r="C8" s="18" t="str" cm="1">
        <f t="array" aca="1" ref="C8" ca="1">IF(A8="","",IFERROR(INDEX(_xlfn.SORTBY(OFFSET(A8,-MOD(ROW()-5,14),0,9,1),OFFSET(B8,-MOD(ROW()-5,14),0,9,1),1),MOD(ROW()-5,14)+1),""))</f>
        <v>Wario</v>
      </c>
      <c r="D8" s="18"/>
      <c r="E8" s="18"/>
      <c r="F8" s="18" t="str" cm="1">
        <f t="array" aca="1" ref="F8" ca="1">_xlfn.LET(_xlpm.owner,INDEX($G:$G,3+14*QUOTIENT(ROW()-5,14)),_xlpm.slot,MOD(ROW()-5,14)+1,IF(_xlpm.owner="","",IFERROR(INDEX(Draft!$H$6:$N$14,_xlpm.slot,MATCH(_xlpm.owner,Draft!$H$5:$N$5,0)),"")))</f>
        <v>Baby DK</v>
      </c>
      <c r="G8" s="18">
        <v>7</v>
      </c>
      <c r="H8" s="18" t="str" cm="1">
        <f t="array" aca="1" ref="H8" ca="1">IF(F8="","",IFERROR(INDEX(_xlfn.SORTBY(OFFSET(F8,-MOD(ROW()-5,14),0,9,1),OFFSET(G8,-MOD(ROW()-5,14),0,9,1),1),MOD(ROW()-5,14)+1),""))</f>
        <v>Diddy Kong</v>
      </c>
      <c r="I8" s="18"/>
      <c r="J8" s="18"/>
    </row>
    <row r="9" spans="1:10">
      <c r="A9" s="18" t="str" cm="1">
        <f t="array" aca="1" ref="A9" ca="1">_xlfn.LET(_xlpm.owner,INDEX($B:$B,3+14*QUOTIENT(ROW()-5,14)),_xlpm.slot,MOD(ROW()-5,14)+1,IF(_xlpm.owner="","",IFERROR(INDEX(Draft!$H$6:$N$14,_xlpm.slot,MATCH(_xlpm.owner,Draft!$H$5:$N$5,0)),"")))</f>
        <v>Monty Mole</v>
      </c>
      <c r="B9" s="18">
        <v>1</v>
      </c>
      <c r="C9" s="18" t="str" cm="1">
        <f t="array" aca="1" ref="C9" ca="1">IF(A9="","",IFERROR(INDEX(_xlfn.SORTBY(OFFSET(A9,-MOD(ROW()-5,14),0,9,1),OFFSET(B9,-MOD(ROW()-5,14),0,9,1),1),MOD(ROW()-5,14)+1),""))</f>
        <v>Boomerang Bro</v>
      </c>
      <c r="D9" s="18"/>
      <c r="E9" s="18"/>
      <c r="F9" s="18" t="str" cm="1">
        <f t="array" aca="1" ref="F9" ca="1">_xlfn.LET(_xlpm.owner,INDEX($G:$G,3+14*QUOTIENT(ROW()-5,14)),_xlpm.slot,MOD(ROW()-5,14)+1,IF(_xlpm.owner="","",IFERROR(INDEX(Draft!$H$6:$N$14,_xlpm.slot,MATCH(_xlpm.owner,Draft!$H$5:$N$5,0)),"")))</f>
        <v>Dixie Kong</v>
      </c>
      <c r="G9" s="18">
        <v>6</v>
      </c>
      <c r="H9" s="18" t="str" cm="1">
        <f t="array" aca="1" ref="H9" ca="1">IF(F9="","",IFERROR(INDEX(_xlfn.SORTBY(OFFSET(F9,-MOD(ROW()-5,14),0,9,1),OFFSET(G9,-MOD(ROW()-5,14),0,9,1),1),MOD(ROW()-5,14)+1),""))</f>
        <v>Fire Bro</v>
      </c>
      <c r="I9" s="18"/>
      <c r="J9" s="18"/>
    </row>
    <row r="10" spans="1:10">
      <c r="A10" s="18" t="str" cm="1">
        <f t="array" aca="1" ref="A10" ca="1">_xlfn.LET(_xlpm.owner,INDEX($B:$B,3+14*QUOTIENT(ROW()-5,14)),_xlpm.slot,MOD(ROW()-5,14)+1,IF(_xlpm.owner="","",IFERROR(INDEX(Draft!$H$6:$N$14,_xlpm.slot,MATCH(_xlpm.owner,Draft!$H$5:$N$5,0)),"")))</f>
        <v>Wario</v>
      </c>
      <c r="B10" s="18">
        <v>4</v>
      </c>
      <c r="C10" s="18" t="str" cm="1">
        <f t="array" aca="1" ref="C10" ca="1">IF(A10="","",IFERROR(INDEX(_xlfn.SORTBY(OFFSET(A10,-MOD(ROW()-5,14),0,9,1),OFFSET(B10,-MOD(ROW()-5,14),0,9,1),1),MOD(ROW()-5,14)+1),""))</f>
        <v>Mii</v>
      </c>
      <c r="D10" s="18"/>
      <c r="E10" s="18"/>
      <c r="F10" s="18" t="str" cm="1">
        <f t="array" aca="1" ref="F10" ca="1">_xlfn.LET(_xlpm.owner,INDEX($G:$G,3+14*QUOTIENT(ROW()-5,14)),_xlpm.slot,MOD(ROW()-5,14)+1,IF(_xlpm.owner="","",IFERROR(INDEX(Draft!$H$6:$N$14,_xlpm.slot,MATCH(_xlpm.owner,Draft!$H$5:$N$5,0)),"")))</f>
        <v>Fire Bro</v>
      </c>
      <c r="G10" s="18">
        <v>5</v>
      </c>
      <c r="H10" s="18" t="str" cm="1">
        <f t="array" aca="1" ref="H10" ca="1">IF(F10="","",IFERROR(INDEX(_xlfn.SORTBY(OFFSET(F10,-MOD(ROW()-5,14),0,9,1),OFFSET(G10,-MOD(ROW()-5,14),0,9,1),1),MOD(ROW()-5,14)+1),""))</f>
        <v>Dixie Kong</v>
      </c>
      <c r="I10" s="18"/>
      <c r="J10" s="18"/>
    </row>
    <row r="11" spans="1:10">
      <c r="A11" s="18" t="str" cm="1">
        <f t="array" aca="1" ref="A11" ca="1">_xlfn.LET(_xlpm.owner,INDEX($B:$B,3+14*QUOTIENT(ROW()-5,14)),_xlpm.slot,MOD(ROW()-5,14)+1,IF(_xlpm.owner="","",IFERROR(INDEX(Draft!$H$6:$N$14,_xlpm.slot,MATCH(_xlpm.owner,Draft!$H$5:$N$5,0)),"")))</f>
        <v>Wiggler</v>
      </c>
      <c r="B11" s="18">
        <v>9</v>
      </c>
      <c r="C11" s="18" t="str" cm="1">
        <f t="array" aca="1" ref="C11" ca="1">IF(A11="","",IFERROR(INDEX(_xlfn.SORTBY(OFFSET(A11,-MOD(ROW()-5,14),0,9,1),OFFSET(B11,-MOD(ROW()-5,14),0,9,1),1),MOD(ROW()-5,14)+1),""))</f>
        <v>Blue Toad</v>
      </c>
      <c r="D11" s="18"/>
      <c r="E11" s="18"/>
      <c r="F11" s="18" t="str" cm="1">
        <f t="array" aca="1" ref="F11" ca="1">_xlfn.LET(_xlpm.owner,INDEX($G:$G,3+14*QUOTIENT(ROW()-5,14)),_xlpm.slot,MOD(ROW()-5,14)+1,IF(_xlpm.owner="","",IFERROR(INDEX(Draft!$H$6:$N$14,_xlpm.slot,MATCH(_xlpm.owner,Draft!$H$5:$N$5,0)),"")))</f>
        <v>Tiny Kong</v>
      </c>
      <c r="G11" s="18">
        <v>8</v>
      </c>
      <c r="H11" s="18" t="str" cm="1">
        <f t="array" aca="1" ref="H11" ca="1">IF(F11="","",IFERROR(INDEX(_xlfn.SORTBY(OFFSET(F11,-MOD(ROW()-5,14),0,9,1),OFFSET(G11,-MOD(ROW()-5,14),0,9,1),1),MOD(ROW()-5,14)+1),""))</f>
        <v>Baby DK</v>
      </c>
      <c r="I11" s="18"/>
      <c r="J11" s="18"/>
    </row>
    <row r="12" spans="1:10">
      <c r="A12" s="18" t="str" cm="1">
        <f t="array" aca="1" ref="A12" ca="1">_xlfn.LET(_xlpm.owner,INDEX($B:$B,3+14*QUOTIENT(ROW()-5,14)),_xlpm.slot,MOD(ROW()-5,14)+1,IF(_xlpm.owner="","",IFERROR(INDEX(Draft!$H$6:$N$14,_xlpm.slot,MATCH(_xlpm.owner,Draft!$H$5:$N$5,0)),"")))</f>
        <v>Boomerang Bro</v>
      </c>
      <c r="B12" s="18">
        <v>5</v>
      </c>
      <c r="C12" s="18" t="str" cm="1">
        <f t="array" aca="1" ref="C12" ca="1">IF(A12="","",IFERROR(INDEX(_xlfn.SORTBY(OFFSET(A12,-MOD(ROW()-5,14),0,9,1),OFFSET(B12,-MOD(ROW()-5,14),0,9,1),1),MOD(ROW()-5,14)+1),""))</f>
        <v>Toadette</v>
      </c>
      <c r="D12" s="18"/>
      <c r="E12" s="18"/>
      <c r="F12" s="18" t="str" cm="1">
        <f t="array" aca="1" ref="F12" ca="1">_xlfn.LET(_xlpm.owner,INDEX($G:$G,3+14*QUOTIENT(ROW()-5,14)),_xlpm.slot,MOD(ROW()-5,14)+1,IF(_xlpm.owner="","",IFERROR(INDEX(Draft!$H$6:$N$14,_xlpm.slot,MATCH(_xlpm.owner,Draft!$H$5:$N$5,0)),"")))</f>
        <v>Dry Bones</v>
      </c>
      <c r="G12" s="18">
        <v>3</v>
      </c>
      <c r="H12" s="18" t="str" cm="1">
        <f t="array" aca="1" ref="H12" ca="1">IF(F12="","",IFERROR(INDEX(_xlfn.SORTBY(OFFSET(F12,-MOD(ROW()-5,14),0,9,1),OFFSET(G12,-MOD(ROW()-5,14),0,9,1),1),MOD(ROW()-5,14)+1),""))</f>
        <v>Tiny Kong</v>
      </c>
      <c r="I12" s="18"/>
      <c r="J12" s="18"/>
    </row>
    <row r="13" spans="1:10">
      <c r="A13" s="18" t="str" cm="1">
        <f t="array" aca="1" ref="A13" ca="1">_xlfn.LET(_xlpm.owner,INDEX($B:$B,3+14*QUOTIENT(ROW()-5,14)),_xlpm.slot,MOD(ROW()-5,14)+1,IF(_xlpm.owner="","",IFERROR(INDEX(Draft!$H$6:$N$14,_xlpm.slot,MATCH(_xlpm.owner,Draft!$H$5:$N$5,0)),"")))</f>
        <v>Green Dry Bones</v>
      </c>
      <c r="B13" s="18">
        <v>2</v>
      </c>
      <c r="C13" s="18" t="str" cm="1">
        <f t="array" aca="1" ref="C13" ca="1">IF(A13="","",IFERROR(INDEX(_xlfn.SORTBY(OFFSET(A13,-MOD(ROW()-5,14),0,9,1),OFFSET(B13,-MOD(ROW()-5,14),0,9,1),1),MOD(ROW()-5,14)+1),""))</f>
        <v>Wiggler</v>
      </c>
      <c r="D13" s="18"/>
      <c r="E13" s="18"/>
      <c r="F13" s="18" t="str" cm="1">
        <f t="array" aca="1" ref="F13" ca="1">_xlfn.LET(_xlpm.owner,INDEX($G:$G,3+14*QUOTIENT(ROW()-5,14)),_xlpm.slot,MOD(ROW()-5,14)+1,IF(_xlpm.owner="","",IFERROR(INDEX(Draft!$H$6:$N$14,_xlpm.slot,MATCH(_xlpm.owner,Draft!$H$5:$N$5,0)),"")))</f>
        <v>Paragoomba</v>
      </c>
      <c r="G13" s="18">
        <v>9</v>
      </c>
      <c r="H13" s="18" t="str" cm="1">
        <f t="array" aca="1" ref="H13" ca="1">IF(F13="","",IFERROR(INDEX(_xlfn.SORTBY(OFFSET(F13,-MOD(ROW()-5,14),0,9,1),OFFSET(G13,-MOD(ROW()-5,14),0,9,1),1),MOD(ROW()-5,14)+1),""))</f>
        <v>Paragoomba</v>
      </c>
      <c r="I13" s="18"/>
      <c r="J13" s="18"/>
    </row>
    <row r="15" spans="1:10">
      <c r="A15" s="34" t="str">
        <f t="shared" ref="A15:A46" si="0">"Game "&amp;(QUOTIENT(ROW()-1,14)+1)&amp;" Lineups"</f>
        <v>Game 2 Lineups</v>
      </c>
      <c r="B15" s="18"/>
      <c r="C15" s="18"/>
      <c r="D15" s="18"/>
      <c r="E15" s="18"/>
      <c r="F15" s="18"/>
      <c r="G15" s="18"/>
      <c r="H15" s="18"/>
      <c r="I15" s="18"/>
      <c r="J15" s="18"/>
    </row>
    <row r="16" spans="1:10">
      <c r="A16" s="18" t="s">
        <v>95</v>
      </c>
      <c r="B16" s="18" t="str" cm="1">
        <f t="array" ref="B16">INDEX(Bracket!$F$6:$F$20,QUOTIENT(ROW()-2,14)+1)</f>
        <v>G2</v>
      </c>
      <c r="C16" s="18"/>
      <c r="D16" s="18" t="s">
        <v>96</v>
      </c>
      <c r="E16" s="18" t="str" cm="1">
        <f t="array" ref="E16">INDEX(Bracket!$G$6:$G$20,QUOTIENT(ROW()-2,14)+1)</f>
        <v>Winners R1-2</v>
      </c>
      <c r="F16" s="18"/>
      <c r="G16" s="18"/>
      <c r="H16" s="18"/>
      <c r="I16" s="18"/>
      <c r="J16" s="18"/>
    </row>
    <row r="17" spans="1:9">
      <c r="A17" s="18" t="s">
        <v>97</v>
      </c>
      <c r="B17" s="116" t="str" cm="1">
        <f t="array" aca="1" ref="B17" ca="1">INDEX(Bracket!$H$6:$H$20,QUOTIENT(ROW()-3,14)+1)</f>
        <v>Aidan</v>
      </c>
      <c r="C17" s="18"/>
      <c r="D17" s="18"/>
      <c r="E17" s="18"/>
      <c r="F17" s="18" t="s">
        <v>98</v>
      </c>
      <c r="G17" s="119" t="str" cm="1">
        <f t="array" aca="1" ref="G17" ca="1">INDEX(Bracket!$I$6:$I$20,QUOTIENT(ROW()-3,14)+1)</f>
        <v>Justin</v>
      </c>
      <c r="H17" s="18"/>
      <c r="I17" s="18"/>
    </row>
    <row r="18" spans="1:9">
      <c r="A18" s="35" t="s">
        <v>99</v>
      </c>
      <c r="B18" s="35" t="s">
        <v>100</v>
      </c>
      <c r="C18" s="35" t="s">
        <v>101</v>
      </c>
      <c r="D18" s="18"/>
      <c r="E18" s="18"/>
      <c r="F18" s="35" t="s">
        <v>99</v>
      </c>
      <c r="G18" s="35" t="s">
        <v>100</v>
      </c>
      <c r="H18" s="35" t="s">
        <v>101</v>
      </c>
      <c r="I18" s="18"/>
    </row>
    <row r="19" spans="1:9">
      <c r="A19" s="18" t="str" cm="1">
        <f t="array" aca="1" ref="A19" ca="1">_xlfn.LET(_xlpm.owner,INDEX($B:$B,3+14*QUOTIENT(ROW()-5,14)),_xlpm.slot,MOD(ROW()-5,14)+1,IF(_xlpm.owner="","",IFERROR(INDEX(Draft!$H$6:$N$14,_xlpm.slot,MATCH(_xlpm.owner,Draft!$H$5:$N$5,0)),"")))</f>
        <v>Mario</v>
      </c>
      <c r="B19" s="18">
        <v>3</v>
      </c>
      <c r="C19" s="18" t="str" cm="1">
        <f t="array" aca="1" ref="C19" ca="1">IF(A19="","",IFERROR(INDEX(_xlfn.SORTBY(OFFSET(A19,-MOD(ROW()-5,14),0,9,1),OFFSET(B19,-MOD(ROW()-5,14),0,9,1),1),MOD(ROW()-5,14)+1),""))</f>
        <v>Dark Bones</v>
      </c>
      <c r="D19" s="18"/>
      <c r="E19" s="18"/>
      <c r="F19" s="18" t="str" cm="1">
        <f t="array" aca="1" ref="F19" ca="1">_xlfn.LET(_xlpm.owner,INDEX($G:$G,3+14*QUOTIENT(ROW()-5,14)),_xlpm.slot,MOD(ROW()-5,14)+1,IF(_xlpm.owner="","",IFERROR(INDEX(Draft!$H$6:$N$14,_xlpm.slot,MATCH(_xlpm.owner,Draft!$H$5:$N$5,0)),"")))</f>
        <v>Bowser Jr.</v>
      </c>
      <c r="G19" s="18">
        <v>1</v>
      </c>
      <c r="H19" s="18" t="str" cm="1">
        <f t="array" aca="1" ref="H19" ca="1">IF(F19="","",IFERROR(INDEX(_xlfn.SORTBY(OFFSET(F19,-MOD(ROW()-5,14),0,9,1),OFFSET(G19,-MOD(ROW()-5,14),0,9,1),1),MOD(ROW()-5,14)+1),""))</f>
        <v>Bowser Jr.</v>
      </c>
      <c r="I19" s="18"/>
    </row>
    <row r="20" spans="1:9">
      <c r="A20" s="18" t="str" cm="1">
        <f t="array" aca="1" ref="A20" ca="1">_xlfn.LET(_xlpm.owner,INDEX($B:$B,3+14*QUOTIENT(ROW()-5,14)),_xlpm.slot,MOD(ROW()-5,14)+1,IF(_xlpm.owner="","",IFERROR(INDEX(Draft!$H$6:$N$14,_xlpm.slot,MATCH(_xlpm.owner,Draft!$H$5:$N$5,0)),"")))</f>
        <v>Luigi</v>
      </c>
      <c r="B20" s="18">
        <v>6</v>
      </c>
      <c r="C20" s="18" t="str" cm="1">
        <f t="array" aca="1" ref="C20" ca="1">IF(A20="","",IFERROR(INDEX(_xlfn.SORTBY(OFFSET(A20,-MOD(ROW()-5,14),0,9,1),OFFSET(B20,-MOD(ROW()-5,14),0,9,1),1),MOD(ROW()-5,14)+1),""))</f>
        <v>Blue Pianta</v>
      </c>
      <c r="D20" s="18"/>
      <c r="E20" s="18"/>
      <c r="F20" s="18" t="str" cm="1">
        <f t="array" aca="1" ref="F20" ca="1">_xlfn.LET(_xlpm.owner,INDEX($G:$G,3+14*QUOTIENT(ROW()-5,14)),_xlpm.slot,MOD(ROW()-5,14)+1,IF(_xlpm.owner="","",IFERROR(INDEX(Draft!$H$6:$N$14,_xlpm.slot,MATCH(_xlpm.owner,Draft!$H$5:$N$5,0)),"")))</f>
        <v>Boo</v>
      </c>
      <c r="G20" s="18">
        <v>9</v>
      </c>
      <c r="H20" s="18" t="str" cm="1">
        <f t="array" aca="1" ref="H20" ca="1">IF(F20="","",IFERROR(INDEX(_xlfn.SORTBY(OFFSET(F20,-MOD(ROW()-5,14),0,9,1),OFFSET(G20,-MOD(ROW()-5,14),0,9,1),1),MOD(ROW()-5,14)+1),""))</f>
        <v>Kritter</v>
      </c>
      <c r="I20" s="18"/>
    </row>
    <row r="21" spans="1:9">
      <c r="A21" s="18" t="str" cm="1">
        <f t="array" aca="1" ref="A21" ca="1">_xlfn.LET(_xlpm.owner,INDEX($B:$B,3+14*QUOTIENT(ROW()-5,14)),_xlpm.slot,MOD(ROW()-5,14)+1,IF(_xlpm.owner="","",IFERROR(INDEX(Draft!$H$6:$N$14,_xlpm.slot,MATCH(_xlpm.owner,Draft!$H$5:$N$5,0)),"")))</f>
        <v>Dark Bones</v>
      </c>
      <c r="B21" s="18">
        <v>1</v>
      </c>
      <c r="C21" s="18" t="str" cm="1">
        <f t="array" aca="1" ref="C21" ca="1">IF(A21="","",IFERROR(INDEX(_xlfn.SORTBY(OFFSET(A21,-MOD(ROW()-5,14),0,9,1),OFFSET(B21,-MOD(ROW()-5,14),0,9,1),1),MOD(ROW()-5,14)+1),""))</f>
        <v>Mario</v>
      </c>
      <c r="D21" s="18"/>
      <c r="E21" s="18"/>
      <c r="F21" s="18" t="str" cm="1">
        <f t="array" aca="1" ref="F21" ca="1">_xlfn.LET(_xlpm.owner,INDEX($G:$G,3+14*QUOTIENT(ROW()-5,14)),_xlpm.slot,MOD(ROW()-5,14)+1,IF(_xlpm.owner="","",IFERROR(INDEX(Draft!$H$6:$N$14,_xlpm.slot,MATCH(_xlpm.owner,Draft!$H$5:$N$5,0)),"")))</f>
        <v>Funky Kong</v>
      </c>
      <c r="G21" s="18">
        <v>3</v>
      </c>
      <c r="H21" s="18" t="str" cm="1">
        <f t="array" aca="1" ref="H21" ca="1">IF(F21="","",IFERROR(INDEX(_xlfn.SORTBY(OFFSET(F21,-MOD(ROW()-5,14),0,9,1),OFFSET(G21,-MOD(ROW()-5,14),0,9,1),1),MOD(ROW()-5,14)+1),""))</f>
        <v>Funky Kong</v>
      </c>
      <c r="I21" s="18"/>
    </row>
    <row r="22" spans="1:9">
      <c r="A22" s="18" t="str" cm="1">
        <f t="array" aca="1" ref="A22" ca="1">_xlfn.LET(_xlpm.owner,INDEX($B:$B,3+14*QUOTIENT(ROW()-5,14)),_xlpm.slot,MOD(ROW()-5,14)+1,IF(_xlpm.owner="","",IFERROR(INDEX(Draft!$H$6:$N$14,_xlpm.slot,MATCH(_xlpm.owner,Draft!$H$5:$N$5,0)),"")))</f>
        <v>Pink Yoshi</v>
      </c>
      <c r="B22" s="18">
        <v>9</v>
      </c>
      <c r="C22" s="18" t="str" cm="1">
        <f t="array" aca="1" ref="C22" ca="1">IF(A22="","",IFERROR(INDEX(_xlfn.SORTBY(OFFSET(A22,-MOD(ROW()-5,14),0,9,1),OFFSET(B22,-MOD(ROW()-5,14),0,9,1),1),MOD(ROW()-5,14)+1),""))</f>
        <v>Yellow Pianta</v>
      </c>
      <c r="D22" s="18"/>
      <c r="E22" s="18"/>
      <c r="F22" s="18" t="str" cm="1">
        <f t="array" aca="1" ref="F22" ca="1">_xlfn.LET(_xlpm.owner,INDEX($G:$G,3+14*QUOTIENT(ROW()-5,14)),_xlpm.slot,MOD(ROW()-5,14)+1,IF(_xlpm.owner="","",IFERROR(INDEX(Draft!$H$6:$N$14,_xlpm.slot,MATCH(_xlpm.owner,Draft!$H$5:$N$5,0)),"")))</f>
        <v>Yellow Magikoopa</v>
      </c>
      <c r="G22" s="18">
        <v>8</v>
      </c>
      <c r="H22" s="18" t="str" cm="1">
        <f t="array" aca="1" ref="H22" ca="1">IF(F22="","",IFERROR(INDEX(_xlfn.SORTBY(OFFSET(F22,-MOD(ROW()-5,14),0,9,1),OFFSET(G22,-MOD(ROW()-5,14),0,9,1),1),MOD(ROW()-5,14)+1),""))</f>
        <v>Red Pianta</v>
      </c>
      <c r="I22" s="18"/>
    </row>
    <row r="23" spans="1:9">
      <c r="A23" s="18" t="str" cm="1">
        <f t="array" aca="1" ref="A23" ca="1">_xlfn.LET(_xlpm.owner,INDEX($B:$B,3+14*QUOTIENT(ROW()-5,14)),_xlpm.slot,MOD(ROW()-5,14)+1,IF(_xlpm.owner="","",IFERROR(INDEX(Draft!$H$6:$N$14,_xlpm.slot,MATCH(_xlpm.owner,Draft!$H$5:$N$5,0)),"")))</f>
        <v>Red Magikoopa</v>
      </c>
      <c r="B23" s="18">
        <v>8</v>
      </c>
      <c r="C23" s="18" t="str" cm="1">
        <f t="array" aca="1" ref="C23" ca="1">IF(A23="","",IFERROR(INDEX(_xlfn.SORTBY(OFFSET(A23,-MOD(ROW()-5,14),0,9,1),OFFSET(B23,-MOD(ROW()-5,14),0,9,1),1),MOD(ROW()-5,14)+1),""))</f>
        <v>Blue Kritter</v>
      </c>
      <c r="D23" s="18"/>
      <c r="E23" s="18"/>
      <c r="F23" s="18" t="str" cm="1">
        <f t="array" aca="1" ref="F23" ca="1">_xlfn.LET(_xlpm.owner,INDEX($G:$G,3+14*QUOTIENT(ROW()-5,14)),_xlpm.slot,MOD(ROW()-5,14)+1,IF(_xlpm.owner="","",IFERROR(INDEX(Draft!$H$6:$N$14,_xlpm.slot,MATCH(_xlpm.owner,Draft!$H$5:$N$5,0)),"")))</f>
        <v>Blue Yoshi</v>
      </c>
      <c r="G23" s="18">
        <v>5</v>
      </c>
      <c r="H23" s="18" t="str" cm="1">
        <f t="array" aca="1" ref="H23" ca="1">IF(F23="","",IFERROR(INDEX(_xlfn.SORTBY(OFFSET(F23,-MOD(ROW()-5,14),0,9,1),OFFSET(G23,-MOD(ROW()-5,14),0,9,1),1),MOD(ROW()-5,14)+1),""))</f>
        <v>Blue Yoshi</v>
      </c>
      <c r="I23" s="18"/>
    </row>
    <row r="24" spans="1:9">
      <c r="A24" s="18" t="str" cm="1">
        <f t="array" aca="1" ref="A24" ca="1">_xlfn.LET(_xlpm.owner,INDEX($B:$B,3+14*QUOTIENT(ROW()-5,14)),_xlpm.slot,MOD(ROW()-5,14)+1,IF(_xlpm.owner="","",IFERROR(INDEX(Draft!$H$6:$N$14,_xlpm.slot,MATCH(_xlpm.owner,Draft!$H$5:$N$5,0)),"")))</f>
        <v>Blue Pianta</v>
      </c>
      <c r="B24" s="18">
        <v>2</v>
      </c>
      <c r="C24" s="18" t="str" cm="1">
        <f t="array" aca="1" ref="C24" ca="1">IF(A24="","",IFERROR(INDEX(_xlfn.SORTBY(OFFSET(A24,-MOD(ROW()-5,14),0,9,1),OFFSET(B24,-MOD(ROW()-5,14),0,9,1),1),MOD(ROW()-5,14)+1),""))</f>
        <v>Luigi</v>
      </c>
      <c r="D24" s="18"/>
      <c r="E24" s="18"/>
      <c r="F24" s="18" t="str" cm="1">
        <f t="array" aca="1" ref="F24" ca="1">_xlfn.LET(_xlpm.owner,INDEX($G:$G,3+14*QUOTIENT(ROW()-5,14)),_xlpm.slot,MOD(ROW()-5,14)+1,IF(_xlpm.owner="","",IFERROR(INDEX(Draft!$H$6:$N$14,_xlpm.slot,MATCH(_xlpm.owner,Draft!$H$5:$N$5,0)),"")))</f>
        <v>Red Pianta</v>
      </c>
      <c r="G24" s="18">
        <v>4</v>
      </c>
      <c r="H24" s="18" t="str" cm="1">
        <f t="array" aca="1" ref="H24" ca="1">IF(F24="","",IFERROR(INDEX(_xlfn.SORTBY(OFFSET(F24,-MOD(ROW()-5,14),0,9,1),OFFSET(G24,-MOD(ROW()-5,14),0,9,1),1),MOD(ROW()-5,14)+1),""))</f>
        <v>Baby Luigi</v>
      </c>
      <c r="I24" s="18"/>
    </row>
    <row r="25" spans="1:9">
      <c r="A25" s="18" t="str" cm="1">
        <f t="array" aca="1" ref="A25" ca="1">_xlfn.LET(_xlpm.owner,INDEX($B:$B,3+14*QUOTIENT(ROW()-5,14)),_xlpm.slot,MOD(ROW()-5,14)+1,IF(_xlpm.owner="","",IFERROR(INDEX(Draft!$H$6:$N$14,_xlpm.slot,MATCH(_xlpm.owner,Draft!$H$5:$N$5,0)),"")))</f>
        <v>Yellow Pianta</v>
      </c>
      <c r="B25" s="18">
        <v>4</v>
      </c>
      <c r="C25" s="18" t="str" cm="1">
        <f t="array" aca="1" ref="C25" ca="1">IF(A25="","",IFERROR(INDEX(_xlfn.SORTBY(OFFSET(A25,-MOD(ROW()-5,14),0,9,1),OFFSET(B25,-MOD(ROW()-5,14),0,9,1),1),MOD(ROW()-5,14)+1),""))</f>
        <v>Blue Dry Bones</v>
      </c>
      <c r="D25" s="18"/>
      <c r="E25" s="18"/>
      <c r="F25" s="18" t="str" cm="1">
        <f t="array" aca="1" ref="F25" ca="1">_xlfn.LET(_xlpm.owner,INDEX($G:$G,3+14*QUOTIENT(ROW()-5,14)),_xlpm.slot,MOD(ROW()-5,14)+1,IF(_xlpm.owner="","",IFERROR(INDEX(Draft!$H$6:$N$14,_xlpm.slot,MATCH(_xlpm.owner,Draft!$H$5:$N$5,0)),"")))</f>
        <v>Baby Luigi</v>
      </c>
      <c r="G25" s="18">
        <v>6</v>
      </c>
      <c r="H25" s="18" t="str" cm="1">
        <f t="array" aca="1" ref="H25" ca="1">IF(F25="","",IFERROR(INDEX(_xlfn.SORTBY(OFFSET(F25,-MOD(ROW()-5,14),0,9,1),OFFSET(G25,-MOD(ROW()-5,14),0,9,1),1),MOD(ROW()-5,14)+1),""))</f>
        <v>Paratroopa</v>
      </c>
      <c r="I25" s="18"/>
    </row>
    <row r="26" spans="1:9">
      <c r="A26" s="18" t="str" cm="1">
        <f t="array" aca="1" ref="A26" ca="1">_xlfn.LET(_xlpm.owner,INDEX($B:$B,3+14*QUOTIENT(ROW()-5,14)),_xlpm.slot,MOD(ROW()-5,14)+1,IF(_xlpm.owner="","",IFERROR(INDEX(Draft!$H$6:$N$14,_xlpm.slot,MATCH(_xlpm.owner,Draft!$H$5:$N$5,0)),"")))</f>
        <v>Blue Kritter</v>
      </c>
      <c r="B26" s="18">
        <v>5</v>
      </c>
      <c r="C26" s="18" t="str" cm="1">
        <f t="array" aca="1" ref="C26" ca="1">IF(A26="","",IFERROR(INDEX(_xlfn.SORTBY(OFFSET(A26,-MOD(ROW()-5,14),0,9,1),OFFSET(B26,-MOD(ROW()-5,14),0,9,1),1),MOD(ROW()-5,14)+1),""))</f>
        <v>Red Magikoopa</v>
      </c>
      <c r="D26" s="18"/>
      <c r="E26" s="18"/>
      <c r="F26" s="18" t="str" cm="1">
        <f t="array" aca="1" ref="F26" ca="1">_xlfn.LET(_xlpm.owner,INDEX($G:$G,3+14*QUOTIENT(ROW()-5,14)),_xlpm.slot,MOD(ROW()-5,14)+1,IF(_xlpm.owner="","",IFERROR(INDEX(Draft!$H$6:$N$14,_xlpm.slot,MATCH(_xlpm.owner,Draft!$H$5:$N$5,0)),"")))</f>
        <v>Paratroopa</v>
      </c>
      <c r="G26" s="18">
        <v>7</v>
      </c>
      <c r="H26" s="18" t="str" cm="1">
        <f t="array" aca="1" ref="H26" ca="1">IF(F26="","",IFERROR(INDEX(_xlfn.SORTBY(OFFSET(F26,-MOD(ROW()-5,14),0,9,1),OFFSET(G26,-MOD(ROW()-5,14),0,9,1),1),MOD(ROW()-5,14)+1),""))</f>
        <v>Yellow Magikoopa</v>
      </c>
      <c r="I26" s="18"/>
    </row>
    <row r="27" spans="1:9">
      <c r="A27" s="18" t="str" cm="1">
        <f t="array" aca="1" ref="A27" ca="1">_xlfn.LET(_xlpm.owner,INDEX($B:$B,3+14*QUOTIENT(ROW()-5,14)),_xlpm.slot,MOD(ROW()-5,14)+1,IF(_xlpm.owner="","",IFERROR(INDEX(Draft!$H$6:$N$14,_xlpm.slot,MATCH(_xlpm.owner,Draft!$H$5:$N$5,0)),"")))</f>
        <v>Blue Dry Bones</v>
      </c>
      <c r="B27" s="18">
        <v>7</v>
      </c>
      <c r="C27" s="18" t="str" cm="1">
        <f t="array" aca="1" ref="C27" ca="1">IF(A27="","",IFERROR(INDEX(_xlfn.SORTBY(OFFSET(A27,-MOD(ROW()-5,14),0,9,1),OFFSET(B27,-MOD(ROW()-5,14),0,9,1),1),MOD(ROW()-5,14)+1),""))</f>
        <v>Pink Yoshi</v>
      </c>
      <c r="D27" s="18"/>
      <c r="E27" s="18"/>
      <c r="F27" s="18" t="str" cm="1">
        <f t="array" aca="1" ref="F27" ca="1">_xlfn.LET(_xlpm.owner,INDEX($G:$G,3+14*QUOTIENT(ROW()-5,14)),_xlpm.slot,MOD(ROW()-5,14)+1,IF(_xlpm.owner="","",IFERROR(INDEX(Draft!$H$6:$N$14,_xlpm.slot,MATCH(_xlpm.owner,Draft!$H$5:$N$5,0)),"")))</f>
        <v>Kritter</v>
      </c>
      <c r="G27" s="18">
        <v>2</v>
      </c>
      <c r="H27" s="18" t="str" cm="1">
        <f t="array" aca="1" ref="H27" ca="1">IF(F27="","",IFERROR(INDEX(_xlfn.SORTBY(OFFSET(F27,-MOD(ROW()-5,14),0,9,1),OFFSET(G27,-MOD(ROW()-5,14),0,9,1),1),MOD(ROW()-5,14)+1),""))</f>
        <v>Boo</v>
      </c>
      <c r="I27" s="18"/>
    </row>
    <row r="28" spans="1:9">
      <c r="A28" s="18"/>
      <c r="B28" s="18"/>
      <c r="C28" s="18"/>
      <c r="D28" s="18"/>
      <c r="E28" s="18"/>
      <c r="F28" s="18"/>
      <c r="G28" s="18"/>
      <c r="H28" s="18"/>
      <c r="I28" s="18"/>
    </row>
    <row r="29" spans="1:9">
      <c r="A29" s="34" t="str">
        <f t="shared" ref="A29:A60" si="1">"Game "&amp;(QUOTIENT(ROW()-1,14)+1)&amp;" Lineups"</f>
        <v>Game 3 Lineups</v>
      </c>
      <c r="B29" s="18"/>
      <c r="C29" s="18"/>
      <c r="D29" s="18"/>
      <c r="E29" s="18"/>
      <c r="F29" s="18"/>
      <c r="G29" s="18"/>
      <c r="H29" s="18"/>
      <c r="I29" s="18"/>
    </row>
    <row r="30" spans="1:9">
      <c r="A30" s="18" t="s">
        <v>95</v>
      </c>
      <c r="B30" s="18" t="str" cm="1">
        <f t="array" ref="B30">INDEX(Bracket!$F$6:$F$20,QUOTIENT(ROW()-2,14)+1)</f>
        <v>G3</v>
      </c>
      <c r="C30" s="18"/>
      <c r="D30" s="18" t="s">
        <v>96</v>
      </c>
      <c r="E30" s="18" t="str" cm="1">
        <f t="array" ref="E30">INDEX(Bracket!$G$6:$G$20,QUOTIENT(ROW()-2,14)+1)</f>
        <v>Winners R2-1</v>
      </c>
      <c r="F30" s="18"/>
      <c r="G30" s="18"/>
      <c r="H30" s="18"/>
      <c r="I30" s="18"/>
    </row>
    <row r="31" spans="1:9">
      <c r="A31" s="18" t="s">
        <v>97</v>
      </c>
      <c r="B31" s="114" t="str" cm="1">
        <f t="array" aca="1" ref="B31" ca="1">INDEX(Bracket!$H$6:$H$20,QUOTIENT(ROW()-3,14)+1)</f>
        <v>May</v>
      </c>
      <c r="C31" s="18"/>
      <c r="D31" s="18"/>
      <c r="E31" s="18"/>
      <c r="F31" s="18" t="s">
        <v>98</v>
      </c>
      <c r="G31" s="117" t="str" cm="1">
        <f t="array" aca="1" ref="G31" ca="1">INDEX(Bracket!$I$6:$I$20,QUOTIENT(ROW()-3,14)+1)</f>
        <v>Nick</v>
      </c>
      <c r="H31" s="18"/>
      <c r="I31" s="18"/>
    </row>
    <row r="32" spans="1:9">
      <c r="A32" s="35" t="s">
        <v>99</v>
      </c>
      <c r="B32" s="35" t="s">
        <v>100</v>
      </c>
      <c r="C32" s="35" t="s">
        <v>101</v>
      </c>
      <c r="D32" s="18"/>
      <c r="E32" s="18"/>
      <c r="F32" s="35" t="s">
        <v>99</v>
      </c>
      <c r="G32" s="35" t="s">
        <v>100</v>
      </c>
      <c r="H32" s="35" t="s">
        <v>101</v>
      </c>
      <c r="I32" s="18"/>
    </row>
    <row r="33" spans="1:9">
      <c r="A33" s="18" t="str" cm="1">
        <f t="array" aca="1" ref="A33" ca="1">_xlfn.LET(_xlpm.owner,INDEX($B:$B,3+14*QUOTIENT(ROW()-5,14)),_xlpm.slot,MOD(ROW()-5,14)+1,IF(_xlpm.owner="","",IFERROR(INDEX(Draft!$H$6:$N$14,_xlpm.slot,MATCH(_xlpm.owner,Draft!$H$5:$N$5,0)),"")))</f>
        <v>Birdo</v>
      </c>
      <c r="B33" s="18">
        <v>1</v>
      </c>
      <c r="C33" s="18" t="str" cm="1">
        <f t="array" aca="1" ref="C33" ca="1">IF(A33="","",IFERROR(INDEX(_xlfn.SORTBY(OFFSET(A33,-MOD(ROW()-5,14),0,9,1),OFFSET(B33,-MOD(ROW()-5,14),0,9,1),1),MOD(ROW()-5,14)+1),""))</f>
        <v>Birdo</v>
      </c>
      <c r="D33" s="18"/>
      <c r="E33" s="18"/>
      <c r="F33" s="18" t="str" cm="1">
        <f t="array" aca="1" ref="F33" ca="1">_xlfn.LET(_xlpm.owner,INDEX($G:$G,3+14*QUOTIENT(ROW()-5,14)),_xlpm.slot,MOD(ROW()-5,14)+1,IF(_xlpm.owner="","",IFERROR(INDEX(Draft!$H$6:$N$14,_xlpm.slot,MATCH(_xlpm.owner,Draft!$H$5:$N$5,0)),"")))</f>
        <v>Daisy</v>
      </c>
      <c r="G33" s="18">
        <v>7</v>
      </c>
      <c r="H33" s="18" t="str" cm="1">
        <f t="array" aca="1" ref="H33" ca="1">IF(F33="","",IFERROR(INDEX(_xlfn.SORTBY(OFFSET(F33,-MOD(ROW()-5,14),0,9,1),OFFSET(G33,-MOD(ROW()-5,14),0,9,1),1),MOD(ROW()-5,14)+1),""))</f>
        <v>Monty Mole</v>
      </c>
      <c r="I33" s="18"/>
    </row>
    <row r="34" spans="1:9">
      <c r="A34" s="18" t="str" cm="1">
        <f t="array" aca="1" ref="A34" ca="1">_xlfn.LET(_xlpm.owner,INDEX($B:$B,3+14*QUOTIENT(ROW()-5,14)),_xlpm.slot,MOD(ROW()-5,14)+1,IF(_xlpm.owner="","",IFERROR(INDEX(Draft!$H$6:$N$14,_xlpm.slot,MATCH(_xlpm.owner,Draft!$H$5:$N$5,0)),"")))</f>
        <v>Petey Piranha</v>
      </c>
      <c r="B34" s="18">
        <v>2</v>
      </c>
      <c r="C34" s="18" t="str" cm="1">
        <f t="array" aca="1" ref="C34" ca="1">IF(A34="","",IFERROR(INDEX(_xlfn.SORTBY(OFFSET(A34,-MOD(ROW()-5,14),0,9,1),OFFSET(B34,-MOD(ROW()-5,14),0,9,1),1),MOD(ROW()-5,14)+1),""))</f>
        <v>Petey Piranha</v>
      </c>
      <c r="D34" s="18"/>
      <c r="E34" s="18"/>
      <c r="F34" s="18" t="str" cm="1">
        <f t="array" aca="1" ref="F34" ca="1">_xlfn.LET(_xlpm.owner,INDEX($G:$G,3+14*QUOTIENT(ROW()-5,14)),_xlpm.slot,MOD(ROW()-5,14)+1,IF(_xlpm.owner="","",IFERROR(INDEX(Draft!$H$6:$N$14,_xlpm.slot,MATCH(_xlpm.owner,Draft!$H$5:$N$5,0)),"")))</f>
        <v>Mii</v>
      </c>
      <c r="G34" s="18">
        <v>4</v>
      </c>
      <c r="H34" s="18" t="str" cm="1">
        <f t="array" aca="1" ref="H34" ca="1">IF(F34="","",IFERROR(INDEX(_xlfn.SORTBY(OFFSET(F34,-MOD(ROW()-5,14),0,9,1),OFFSET(G34,-MOD(ROW()-5,14),0,9,1),1),MOD(ROW()-5,14)+1),""))</f>
        <v>Boomerang Bro</v>
      </c>
      <c r="I34" s="18"/>
    </row>
    <row r="35" spans="1:9">
      <c r="A35" s="18" t="str" cm="1">
        <f t="array" aca="1" ref="A35" ca="1">_xlfn.LET(_xlpm.owner,INDEX($B:$B,3+14*QUOTIENT(ROW()-5,14)),_xlpm.slot,MOD(ROW()-5,14)+1,IF(_xlpm.owner="","",IFERROR(INDEX(Draft!$H$6:$N$14,_xlpm.slot,MATCH(_xlpm.owner,Draft!$H$5:$N$5,0)),"")))</f>
        <v>King Boo</v>
      </c>
      <c r="B35" s="18">
        <v>3</v>
      </c>
      <c r="C35" s="18" t="str" cm="1">
        <f t="array" aca="1" ref="C35" ca="1">IF(A35="","",IFERROR(INDEX(_xlfn.SORTBY(OFFSET(A35,-MOD(ROW()-5,14),0,9,1),OFFSET(B35,-MOD(ROW()-5,14),0,9,1),1),MOD(ROW()-5,14)+1),""))</f>
        <v>King Boo</v>
      </c>
      <c r="D35" s="18"/>
      <c r="E35" s="18"/>
      <c r="F35" s="18" t="str" cm="1">
        <f t="array" aca="1" ref="F35" ca="1">_xlfn.LET(_xlpm.owner,INDEX($G:$G,3+14*QUOTIENT(ROW()-5,14)),_xlpm.slot,MOD(ROW()-5,14)+1,IF(_xlpm.owner="","",IFERROR(INDEX(Draft!$H$6:$N$14,_xlpm.slot,MATCH(_xlpm.owner,Draft!$H$5:$N$5,0)),"")))</f>
        <v>Toadette</v>
      </c>
      <c r="G35" s="18">
        <v>6</v>
      </c>
      <c r="H35" s="18" t="str" cm="1">
        <f t="array" aca="1" ref="H35" ca="1">IF(F35="","",IFERROR(INDEX(_xlfn.SORTBY(OFFSET(F35,-MOD(ROW()-5,14),0,9,1),OFFSET(G35,-MOD(ROW()-5,14),0,9,1),1),MOD(ROW()-5,14)+1),""))</f>
        <v>Wiggler</v>
      </c>
      <c r="I35" s="18"/>
    </row>
    <row r="36" spans="1:9">
      <c r="A36" s="18" t="str" cm="1">
        <f t="array" aca="1" ref="A36" ca="1">_xlfn.LET(_xlpm.owner,INDEX($B:$B,3+14*QUOTIENT(ROW()-5,14)),_xlpm.slot,MOD(ROW()-5,14)+1,IF(_xlpm.owner="","",IFERROR(INDEX(Draft!$H$6:$N$14,_xlpm.slot,MATCH(_xlpm.owner,Draft!$H$5:$N$5,0)),"")))</f>
        <v>Red Kritter</v>
      </c>
      <c r="B36" s="18">
        <v>4</v>
      </c>
      <c r="C36" s="18" t="str" cm="1">
        <f t="array" aca="1" ref="C36" ca="1">IF(A36="","",IFERROR(INDEX(_xlfn.SORTBY(OFFSET(A36,-MOD(ROW()-5,14),0,9,1),OFFSET(B36,-MOD(ROW()-5,14),0,9,1),1),MOD(ROW()-5,14)+1),""))</f>
        <v>Red Kritter</v>
      </c>
      <c r="D36" s="18"/>
      <c r="E36" s="18"/>
      <c r="F36" s="18" t="str" cm="1">
        <f t="array" aca="1" ref="F36" ca="1">_xlfn.LET(_xlpm.owner,INDEX($G:$G,3+14*QUOTIENT(ROW()-5,14)),_xlpm.slot,MOD(ROW()-5,14)+1,IF(_xlpm.owner="","",IFERROR(INDEX(Draft!$H$6:$N$14,_xlpm.slot,MATCH(_xlpm.owner,Draft!$H$5:$N$5,0)),"")))</f>
        <v>Blue Toad</v>
      </c>
      <c r="G36" s="18">
        <v>8</v>
      </c>
      <c r="H36" s="18" t="str" cm="1">
        <f t="array" aca="1" ref="H36" ca="1">IF(F36="","",IFERROR(INDEX(_xlfn.SORTBY(OFFSET(F36,-MOD(ROW()-5,14),0,9,1),OFFSET(G36,-MOD(ROW()-5,14),0,9,1),1),MOD(ROW()-5,14)+1),""))</f>
        <v>Mii</v>
      </c>
      <c r="I36" s="18"/>
    </row>
    <row r="37" spans="1:9">
      <c r="A37" s="18" t="str" cm="1">
        <f t="array" aca="1" ref="A37" ca="1">_xlfn.LET(_xlpm.owner,INDEX($B:$B,3+14*QUOTIENT(ROW()-5,14)),_xlpm.slot,MOD(ROW()-5,14)+1,IF(_xlpm.owner="","",IFERROR(INDEX(Draft!$H$6:$N$14,_xlpm.slot,MATCH(_xlpm.owner,Draft!$H$5:$N$5,0)),"")))</f>
        <v>Red Yoshi</v>
      </c>
      <c r="B37" s="18">
        <v>8</v>
      </c>
      <c r="C37" s="18" t="str" cm="1">
        <f t="array" aca="1" ref="C37" ca="1">IF(A37="","",IFERROR(INDEX(_xlfn.SORTBY(OFFSET(A37,-MOD(ROW()-5,14),0,9,1),OFFSET(B37,-MOD(ROW()-5,14),0,9,1),1),MOD(ROW()-5,14)+1),""))</f>
        <v>Hammer Bro</v>
      </c>
      <c r="D37" s="18"/>
      <c r="E37" s="18"/>
      <c r="F37" s="18" t="str" cm="1">
        <f t="array" aca="1" ref="F37" ca="1">_xlfn.LET(_xlpm.owner,INDEX($G:$G,3+14*QUOTIENT(ROW()-5,14)),_xlpm.slot,MOD(ROW()-5,14)+1,IF(_xlpm.owner="","",IFERROR(INDEX(Draft!$H$6:$N$14,_xlpm.slot,MATCH(_xlpm.owner,Draft!$H$5:$N$5,0)),"")))</f>
        <v>Monty Mole</v>
      </c>
      <c r="G37" s="18">
        <v>1</v>
      </c>
      <c r="H37" s="18" t="str" cm="1">
        <f t="array" aca="1" ref="H37" ca="1">IF(F37="","",IFERROR(INDEX(_xlfn.SORTBY(OFFSET(F37,-MOD(ROW()-5,14),0,9,1),OFFSET(G37,-MOD(ROW()-5,14),0,9,1),1),MOD(ROW()-5,14)+1),""))</f>
        <v>Green Dry Bones</v>
      </c>
      <c r="I37" s="18"/>
    </row>
    <row r="38" spans="1:9">
      <c r="A38" s="18" t="str" cm="1">
        <f t="array" aca="1" ref="A38" ca="1">_xlfn.LET(_xlpm.owner,INDEX($B:$B,3+14*QUOTIENT(ROW()-5,14)),_xlpm.slot,MOD(ROW()-5,14)+1,IF(_xlpm.owner="","",IFERROR(INDEX(Draft!$H$6:$N$14,_xlpm.slot,MATCH(_xlpm.owner,Draft!$H$5:$N$5,0)),"")))</f>
        <v>Baby Peach</v>
      </c>
      <c r="B38" s="18">
        <v>9</v>
      </c>
      <c r="C38" s="18" t="str" cm="1">
        <f t="array" aca="1" ref="C38" ca="1">IF(A38="","",IFERROR(INDEX(_xlfn.SORTBY(OFFSET(A38,-MOD(ROW()-5,14),0,9,1),OFFSET(B38,-MOD(ROW()-5,14),0,9,1),1),MOD(ROW()-5,14)+1),""))</f>
        <v>Koopa</v>
      </c>
      <c r="D38" s="18"/>
      <c r="E38" s="18"/>
      <c r="F38" s="18" t="str" cm="1">
        <f t="array" aca="1" ref="F38" ca="1">_xlfn.LET(_xlpm.owner,INDEX($G:$G,3+14*QUOTIENT(ROW()-5,14)),_xlpm.slot,MOD(ROW()-5,14)+1,IF(_xlpm.owner="","",IFERROR(INDEX(Draft!$H$6:$N$14,_xlpm.slot,MATCH(_xlpm.owner,Draft!$H$5:$N$5,0)),"")))</f>
        <v>Wario</v>
      </c>
      <c r="G38" s="18">
        <v>9</v>
      </c>
      <c r="H38" s="18" t="str" cm="1">
        <f t="array" aca="1" ref="H38" ca="1">IF(F38="","",IFERROR(INDEX(_xlfn.SORTBY(OFFSET(F38,-MOD(ROW()-5,14),0,9,1),OFFSET(G38,-MOD(ROW()-5,14),0,9,1),1),MOD(ROW()-5,14)+1),""))</f>
        <v>Toadette</v>
      </c>
      <c r="I38" s="18"/>
    </row>
    <row r="39" spans="1:9">
      <c r="A39" s="18" t="str" cm="1">
        <f t="array" aca="1" ref="A39" ca="1">_xlfn.LET(_xlpm.owner,INDEX($B:$B,3+14*QUOTIENT(ROW()-5,14)),_xlpm.slot,MOD(ROW()-5,14)+1,IF(_xlpm.owner="","",IFERROR(INDEX(Draft!$H$6:$N$14,_xlpm.slot,MATCH(_xlpm.owner,Draft!$H$5:$N$5,0)),"")))</f>
        <v>Hammer Bro</v>
      </c>
      <c r="B39" s="18">
        <v>5</v>
      </c>
      <c r="C39" s="18" t="str" cm="1">
        <f t="array" aca="1" ref="C39" ca="1">IF(A39="","",IFERROR(INDEX(_xlfn.SORTBY(OFFSET(A39,-MOD(ROW()-5,14),0,9,1),OFFSET(B39,-MOD(ROW()-5,14),0,9,1),1),MOD(ROW()-5,14)+1),""))</f>
        <v>Green Shy Guy</v>
      </c>
      <c r="D39" s="18"/>
      <c r="E39" s="18"/>
      <c r="F39" s="18" t="str" cm="1">
        <f t="array" aca="1" ref="F39" ca="1">_xlfn.LET(_xlpm.owner,INDEX($G:$G,3+14*QUOTIENT(ROW()-5,14)),_xlpm.slot,MOD(ROW()-5,14)+1,IF(_xlpm.owner="","",IFERROR(INDEX(Draft!$H$6:$N$14,_xlpm.slot,MATCH(_xlpm.owner,Draft!$H$5:$N$5,0)),"")))</f>
        <v>Wiggler</v>
      </c>
      <c r="G39" s="18">
        <v>3</v>
      </c>
      <c r="H39" s="18" t="str" cm="1">
        <f t="array" aca="1" ref="H39" ca="1">IF(F39="","",IFERROR(INDEX(_xlfn.SORTBY(OFFSET(F39,-MOD(ROW()-5,14),0,9,1),OFFSET(G39,-MOD(ROW()-5,14),0,9,1),1),MOD(ROW()-5,14)+1),""))</f>
        <v>Daisy</v>
      </c>
      <c r="I39" s="18"/>
    </row>
    <row r="40" spans="1:9">
      <c r="A40" s="18" t="str" cm="1">
        <f t="array" aca="1" ref="A40" ca="1">_xlfn.LET(_xlpm.owner,INDEX($B:$B,3+14*QUOTIENT(ROW()-5,14)),_xlpm.slot,MOD(ROW()-5,14)+1,IF(_xlpm.owner="","",IFERROR(INDEX(Draft!$H$6:$N$14,_xlpm.slot,MATCH(_xlpm.owner,Draft!$H$5:$N$5,0)),"")))</f>
        <v>Green Shy Guy</v>
      </c>
      <c r="B40" s="18">
        <v>7</v>
      </c>
      <c r="C40" s="18" t="str" cm="1">
        <f t="array" aca="1" ref="C40" ca="1">IF(A40="","",IFERROR(INDEX(_xlfn.SORTBY(OFFSET(A40,-MOD(ROW()-5,14),0,9,1),OFFSET(B40,-MOD(ROW()-5,14),0,9,1),1),MOD(ROW()-5,14)+1),""))</f>
        <v>Red Yoshi</v>
      </c>
      <c r="D40" s="18"/>
      <c r="E40" s="18"/>
      <c r="F40" s="18" t="str" cm="1">
        <f t="array" aca="1" ref="F40" ca="1">_xlfn.LET(_xlpm.owner,INDEX($G:$G,3+14*QUOTIENT(ROW()-5,14)),_xlpm.slot,MOD(ROW()-5,14)+1,IF(_xlpm.owner="","",IFERROR(INDEX(Draft!$H$6:$N$14,_xlpm.slot,MATCH(_xlpm.owner,Draft!$H$5:$N$5,0)),"")))</f>
        <v>Boomerang Bro</v>
      </c>
      <c r="G40" s="18">
        <v>2</v>
      </c>
      <c r="H40" s="18" t="str" cm="1">
        <f t="array" aca="1" ref="H40" ca="1">IF(F40="","",IFERROR(INDEX(_xlfn.SORTBY(OFFSET(F40,-MOD(ROW()-5,14),0,9,1),OFFSET(G40,-MOD(ROW()-5,14),0,9,1),1),MOD(ROW()-5,14)+1),""))</f>
        <v>Blue Toad</v>
      </c>
      <c r="I40" s="18"/>
    </row>
    <row r="41" spans="1:9">
      <c r="A41" s="18" t="str" cm="1">
        <f t="array" aca="1" ref="A41" ca="1">_xlfn.LET(_xlpm.owner,INDEX($B:$B,3+14*QUOTIENT(ROW()-5,14)),_xlpm.slot,MOD(ROW()-5,14)+1,IF(_xlpm.owner="","",IFERROR(INDEX(Draft!$H$6:$N$14,_xlpm.slot,MATCH(_xlpm.owner,Draft!$H$5:$N$5,0)),"")))</f>
        <v>Koopa</v>
      </c>
      <c r="B41" s="18">
        <v>6</v>
      </c>
      <c r="C41" s="18" t="str" cm="1">
        <f t="array" aca="1" ref="C41" ca="1">IF(A41="","",IFERROR(INDEX(_xlfn.SORTBY(OFFSET(A41,-MOD(ROW()-5,14),0,9,1),OFFSET(B41,-MOD(ROW()-5,14),0,9,1),1),MOD(ROW()-5,14)+1),""))</f>
        <v>Baby Peach</v>
      </c>
      <c r="D41" s="18"/>
      <c r="E41" s="18"/>
      <c r="F41" s="18" t="str" cm="1">
        <f t="array" aca="1" ref="F41" ca="1">_xlfn.LET(_xlpm.owner,INDEX($G:$G,3+14*QUOTIENT(ROW()-5,14)),_xlpm.slot,MOD(ROW()-5,14)+1,IF(_xlpm.owner="","",IFERROR(INDEX(Draft!$H$6:$N$14,_xlpm.slot,MATCH(_xlpm.owner,Draft!$H$5:$N$5,0)),"")))</f>
        <v>Green Dry Bones</v>
      </c>
      <c r="G41" s="18">
        <v>5</v>
      </c>
      <c r="H41" s="18" t="str" cm="1">
        <f t="array" aca="1" ref="H41" ca="1">IF(F41="","",IFERROR(INDEX(_xlfn.SORTBY(OFFSET(F41,-MOD(ROW()-5,14),0,9,1),OFFSET(G41,-MOD(ROW()-5,14),0,9,1),1),MOD(ROW()-5,14)+1),""))</f>
        <v>Wario</v>
      </c>
      <c r="I41" s="18"/>
    </row>
    <row r="42" spans="1:9">
      <c r="A42" s="18"/>
      <c r="B42" s="18"/>
      <c r="C42" s="18"/>
      <c r="D42" s="18"/>
      <c r="E42" s="18"/>
      <c r="F42" s="18"/>
      <c r="G42" s="18"/>
      <c r="H42" s="18"/>
      <c r="I42" s="18"/>
    </row>
    <row r="43" spans="1:9">
      <c r="A43" s="34" t="str">
        <f t="shared" ref="A43:A74" si="2">"Game "&amp;(QUOTIENT(ROW()-1,14)+1)&amp;" Lineups"</f>
        <v>Game 4 Lineups</v>
      </c>
      <c r="B43" s="18"/>
      <c r="C43" s="18"/>
      <c r="D43" s="18"/>
      <c r="E43" s="18"/>
      <c r="F43" s="18"/>
      <c r="G43" s="18"/>
      <c r="H43" s="18"/>
      <c r="I43" s="18"/>
    </row>
    <row r="44" spans="1:9">
      <c r="A44" s="18" t="s">
        <v>95</v>
      </c>
      <c r="B44" s="18" t="str" cm="1">
        <f t="array" ref="B44">INDEX(Bracket!$F$6:$F$20,QUOTIENT(ROW()-2,14)+1)</f>
        <v>G4</v>
      </c>
      <c r="C44" s="18"/>
      <c r="D44" s="18" t="s">
        <v>96</v>
      </c>
      <c r="E44" s="18" t="str" cm="1">
        <f t="array" ref="E44">INDEX(Bracket!$G$6:$G$20,QUOTIENT(ROW()-2,14)+1)</f>
        <v>Winners R2-2</v>
      </c>
      <c r="F44" s="18"/>
      <c r="G44" s="18"/>
      <c r="H44" s="18"/>
      <c r="I44" s="18"/>
    </row>
    <row r="45" spans="1:9">
      <c r="A45" s="18" t="s">
        <v>97</v>
      </c>
      <c r="B45" s="115" t="str" cm="1">
        <f t="array" aca="1" ref="B45" ca="1">INDEX(Bracket!$H$6:$H$20,QUOTIENT(ROW()-3,14)+1)</f>
        <v>Jason</v>
      </c>
      <c r="C45" s="18"/>
      <c r="D45" s="18"/>
      <c r="E45" s="18"/>
      <c r="F45" s="18" t="s">
        <v>98</v>
      </c>
      <c r="G45" s="119" t="str" cm="1">
        <f t="array" aca="1" ref="G45" ca="1">INDEX(Bracket!$I$6:$I$20,QUOTIENT(ROW()-3,14)+1)</f>
        <v>Aidan</v>
      </c>
      <c r="H45" s="18"/>
      <c r="I45" s="18"/>
    </row>
    <row r="46" spans="1:9">
      <c r="A46" s="35" t="s">
        <v>99</v>
      </c>
      <c r="B46" s="35" t="s">
        <v>100</v>
      </c>
      <c r="C46" s="35" t="s">
        <v>101</v>
      </c>
      <c r="D46" s="18"/>
      <c r="E46" s="18"/>
      <c r="F46" s="35" t="s">
        <v>99</v>
      </c>
      <c r="G46" s="35" t="s">
        <v>100</v>
      </c>
      <c r="H46" s="35" t="s">
        <v>101</v>
      </c>
      <c r="I46" s="18"/>
    </row>
    <row r="47" spans="1:9">
      <c r="A47" s="18" t="str" cm="1">
        <f t="array" aca="1" ref="A47" ca="1">_xlfn.LET(_xlpm.owner,INDEX($B:$B,3+14*QUOTIENT(ROW()-5,14)),_xlpm.slot,MOD(ROW()-5,14)+1,IF(_xlpm.owner="","",IFERROR(INDEX(Draft!$H$6:$N$14,_xlpm.slot,MATCH(_xlpm.owner,Draft!$H$5:$N$5,0)),"")))</f>
        <v>Bowser</v>
      </c>
      <c r="B47" s="18">
        <v>3</v>
      </c>
      <c r="C47" s="18" t="str" cm="1">
        <f t="array" aca="1" ref="C47" ca="1">IF(A47="","",IFERROR(INDEX(_xlfn.SORTBY(OFFSET(A47,-MOD(ROW()-5,14),0,9,1),OFFSET(B47,-MOD(ROW()-5,14),0,9,1),1),MOD(ROW()-5,14)+1),""))</f>
        <v>Yoshi</v>
      </c>
      <c r="D47" s="18"/>
      <c r="E47" s="18"/>
      <c r="F47" s="18" t="str" cm="1">
        <f t="array" aca="1" ref="F47" ca="1">_xlfn.LET(_xlpm.owner,INDEX($G:$G,3+14*QUOTIENT(ROW()-5,14)),_xlpm.slot,MOD(ROW()-5,14)+1,IF(_xlpm.owner="","",IFERROR(INDEX(Draft!$H$6:$N$14,_xlpm.slot,MATCH(_xlpm.owner,Draft!$H$5:$N$5,0)),"")))</f>
        <v>Mario</v>
      </c>
      <c r="G47" s="18">
        <v>2</v>
      </c>
      <c r="H47" s="18" t="str" cm="1">
        <f t="array" aca="1" ref="H47" ca="1">IF(F47="","",IFERROR(INDEX(_xlfn.SORTBY(OFFSET(F47,-MOD(ROW()-5,14),0,9,1),OFFSET(G47,-MOD(ROW()-5,14),0,9,1),1),MOD(ROW()-5,14)+1),""))</f>
        <v>Blue Kritter</v>
      </c>
      <c r="I47" s="18"/>
    </row>
    <row r="48" spans="1:9">
      <c r="A48" s="18" t="str" cm="1">
        <f t="array" aca="1" ref="A48" ca="1">_xlfn.LET(_xlpm.owner,INDEX($B:$B,3+14*QUOTIENT(ROW()-5,14)),_xlpm.slot,MOD(ROW()-5,14)+1,IF(_xlpm.owner="","",IFERROR(INDEX(Draft!$H$6:$N$14,_xlpm.slot,MATCH(_xlpm.owner,Draft!$H$5:$N$5,0)),"")))</f>
        <v>Peach</v>
      </c>
      <c r="B48" s="18">
        <v>7</v>
      </c>
      <c r="C48" s="18" t="str" cm="1">
        <f t="array" aca="1" ref="C48" ca="1">IF(A48="","",IFERROR(INDEX(_xlfn.SORTBY(OFFSET(A48,-MOD(ROW()-5,14),0,9,1),OFFSET(B48,-MOD(ROW()-5,14),0,9,1),1),MOD(ROW()-5,14)+1),""))</f>
        <v>Brown Kritter</v>
      </c>
      <c r="D48" s="18"/>
      <c r="E48" s="18"/>
      <c r="F48" s="18" t="str" cm="1">
        <f t="array" aca="1" ref="F48" ca="1">_xlfn.LET(_xlpm.owner,INDEX($G:$G,3+14*QUOTIENT(ROW()-5,14)),_xlpm.slot,MOD(ROW()-5,14)+1,IF(_xlpm.owner="","",IFERROR(INDEX(Draft!$H$6:$N$14,_xlpm.slot,MATCH(_xlpm.owner,Draft!$H$5:$N$5,0)),"")))</f>
        <v>Luigi</v>
      </c>
      <c r="G48" s="18">
        <v>3</v>
      </c>
      <c r="H48" s="18" t="str" cm="1">
        <f t="array" aca="1" ref="H48" ca="1">IF(F48="","",IFERROR(INDEX(_xlfn.SORTBY(OFFSET(F48,-MOD(ROW()-5,14),0,9,1),OFFSET(G48,-MOD(ROW()-5,14),0,9,1),1),MOD(ROW()-5,14)+1),""))</f>
        <v>Mario</v>
      </c>
      <c r="I48" s="18"/>
    </row>
    <row r="49" spans="1:9">
      <c r="A49" s="18" t="str" cm="1">
        <f t="array" aca="1" ref="A49" ca="1">_xlfn.LET(_xlpm.owner,INDEX($B:$B,3+14*QUOTIENT(ROW()-5,14)),_xlpm.slot,MOD(ROW()-5,14)+1,IF(_xlpm.owner="","",IFERROR(INDEX(Draft!$H$6:$N$14,_xlpm.slot,MATCH(_xlpm.owner,Draft!$H$5:$N$5,0)),"")))</f>
        <v>Yoshi</v>
      </c>
      <c r="B49" s="18">
        <v>1</v>
      </c>
      <c r="C49" s="18" t="str" cm="1">
        <f t="array" aca="1" ref="C49" ca="1">IF(A49="","",IFERROR(INDEX(_xlfn.SORTBY(OFFSET(A49,-MOD(ROW()-5,14),0,9,1),OFFSET(B49,-MOD(ROW()-5,14),0,9,1),1),MOD(ROW()-5,14)+1),""))</f>
        <v>Bowser</v>
      </c>
      <c r="D49" s="18"/>
      <c r="E49" s="18"/>
      <c r="F49" s="18" t="str" cm="1">
        <f t="array" aca="1" ref="F49" ca="1">_xlfn.LET(_xlpm.owner,INDEX($G:$G,3+14*QUOTIENT(ROW()-5,14)),_xlpm.slot,MOD(ROW()-5,14)+1,IF(_xlpm.owner="","",IFERROR(INDEX(Draft!$H$6:$N$14,_xlpm.slot,MATCH(_xlpm.owner,Draft!$H$5:$N$5,0)),"")))</f>
        <v>Dark Bones</v>
      </c>
      <c r="G49" s="18">
        <v>5</v>
      </c>
      <c r="H49" s="18" t="str" cm="1">
        <f t="array" aca="1" ref="H49" ca="1">IF(F49="","",IFERROR(INDEX(_xlfn.SORTBY(OFFSET(F49,-MOD(ROW()-5,14),0,9,1),OFFSET(G49,-MOD(ROW()-5,14),0,9,1),1),MOD(ROW()-5,14)+1),""))</f>
        <v>Luigi</v>
      </c>
      <c r="I49" s="18"/>
    </row>
    <row r="50" spans="1:9">
      <c r="A50" s="18" t="str" cm="1">
        <f t="array" aca="1" ref="A50" ca="1">_xlfn.LET(_xlpm.owner,INDEX($B:$B,3+14*QUOTIENT(ROW()-5,14)),_xlpm.slot,MOD(ROW()-5,14)+1,IF(_xlpm.owner="","",IFERROR(INDEX(Draft!$H$6:$N$14,_xlpm.slot,MATCH(_xlpm.owner,Draft!$H$5:$N$5,0)),"")))</f>
        <v>King K. Rool</v>
      </c>
      <c r="B50" s="18">
        <v>4</v>
      </c>
      <c r="C50" s="18" t="str" cm="1">
        <f t="array" aca="1" ref="C50" ca="1">IF(A50="","",IFERROR(INDEX(_xlfn.SORTBY(OFFSET(A50,-MOD(ROW()-5,14),0,9,1),OFFSET(B50,-MOD(ROW()-5,14),0,9,1),1),MOD(ROW()-5,14)+1),""))</f>
        <v>King K. Rool</v>
      </c>
      <c r="D50" s="18"/>
      <c r="E50" s="18"/>
      <c r="F50" s="18" t="str" cm="1">
        <f t="array" aca="1" ref="F50" ca="1">_xlfn.LET(_xlpm.owner,INDEX($G:$G,3+14*QUOTIENT(ROW()-5,14)),_xlpm.slot,MOD(ROW()-5,14)+1,IF(_xlpm.owner="","",IFERROR(INDEX(Draft!$H$6:$N$14,_xlpm.slot,MATCH(_xlpm.owner,Draft!$H$5:$N$5,0)),"")))</f>
        <v>Pink Yoshi</v>
      </c>
      <c r="G50" s="18">
        <v>9</v>
      </c>
      <c r="H50" s="18" t="str" cm="1">
        <f t="array" aca="1" ref="H50" ca="1">IF(F50="","",IFERROR(INDEX(_xlfn.SORTBY(OFFSET(F50,-MOD(ROW()-5,14),0,9,1),OFFSET(G50,-MOD(ROW()-5,14),0,9,1),1),MOD(ROW()-5,14)+1),""))</f>
        <v>Blue Pianta</v>
      </c>
      <c r="I50" s="18"/>
    </row>
    <row r="51" spans="1:9">
      <c r="A51" s="18" t="str" cm="1">
        <f t="array" aca="1" ref="A51" ca="1">_xlfn.LET(_xlpm.owner,INDEX($B:$B,3+14*QUOTIENT(ROW()-5,14)),_xlpm.slot,MOD(ROW()-5,14)+1,IF(_xlpm.owner="","",IFERROR(INDEX(Draft!$H$6:$N$14,_xlpm.slot,MATCH(_xlpm.owner,Draft!$H$5:$N$5,0)),"")))</f>
        <v>Baby Daisy</v>
      </c>
      <c r="B51" s="18">
        <v>9</v>
      </c>
      <c r="C51" s="18" t="str" cm="1">
        <f t="array" aca="1" ref="C51" ca="1">IF(A51="","",IFERROR(INDEX(_xlfn.SORTBY(OFFSET(A51,-MOD(ROW()-5,14),0,9,1),OFFSET(B51,-MOD(ROW()-5,14),0,9,1),1),MOD(ROW()-5,14)+1),""))</f>
        <v>Yellow Toad</v>
      </c>
      <c r="D51" s="18"/>
      <c r="E51" s="18"/>
      <c r="F51" s="18" t="str" cm="1">
        <f t="array" aca="1" ref="F51" ca="1">_xlfn.LET(_xlpm.owner,INDEX($G:$G,3+14*QUOTIENT(ROW()-5,14)),_xlpm.slot,MOD(ROW()-5,14)+1,IF(_xlpm.owner="","",IFERROR(INDEX(Draft!$H$6:$N$14,_xlpm.slot,MATCH(_xlpm.owner,Draft!$H$5:$N$5,0)),"")))</f>
        <v>Red Magikoopa</v>
      </c>
      <c r="G51" s="18">
        <v>7</v>
      </c>
      <c r="H51" s="18" t="str" cm="1">
        <f t="array" aca="1" ref="H51" ca="1">IF(F51="","",IFERROR(INDEX(_xlfn.SORTBY(OFFSET(F51,-MOD(ROW()-5,14),0,9,1),OFFSET(G51,-MOD(ROW()-5,14),0,9,1),1),MOD(ROW()-5,14)+1),""))</f>
        <v>Dark Bones</v>
      </c>
      <c r="I51" s="18"/>
    </row>
    <row r="52" spans="1:9">
      <c r="A52" s="18" t="str" cm="1">
        <f t="array" aca="1" ref="A52" ca="1">_xlfn.LET(_xlpm.owner,INDEX($B:$B,3+14*QUOTIENT(ROW()-5,14)),_xlpm.slot,MOD(ROW()-5,14)+1,IF(_xlpm.owner="","",IFERROR(INDEX(Draft!$H$6:$N$14,_xlpm.slot,MATCH(_xlpm.owner,Draft!$H$5:$N$5,0)),"")))</f>
        <v>Baby Mario</v>
      </c>
      <c r="B52" s="18">
        <v>8</v>
      </c>
      <c r="C52" s="18" t="str" cm="1">
        <f t="array" aca="1" ref="C52" ca="1">IF(A52="","",IFERROR(INDEX(_xlfn.SORTBY(OFFSET(A52,-MOD(ROW()-5,14),0,9,1),OFFSET(B52,-MOD(ROW()-5,14),0,9,1),1),MOD(ROW()-5,14)+1),""))</f>
        <v>Blooper</v>
      </c>
      <c r="D52" s="18"/>
      <c r="E52" s="18"/>
      <c r="F52" s="18" t="str" cm="1">
        <f t="array" aca="1" ref="F52" ca="1">_xlfn.LET(_xlpm.owner,INDEX($G:$G,3+14*QUOTIENT(ROW()-5,14)),_xlpm.slot,MOD(ROW()-5,14)+1,IF(_xlpm.owner="","",IFERROR(INDEX(Draft!$H$6:$N$14,_xlpm.slot,MATCH(_xlpm.owner,Draft!$H$5:$N$5,0)),"")))</f>
        <v>Blue Pianta</v>
      </c>
      <c r="G52" s="18">
        <v>4</v>
      </c>
      <c r="H52" s="18" t="str" cm="1">
        <f t="array" aca="1" ref="H52" ca="1">IF(F52="","",IFERROR(INDEX(_xlfn.SORTBY(OFFSET(F52,-MOD(ROW()-5,14),0,9,1),OFFSET(G52,-MOD(ROW()-5,14),0,9,1),1),MOD(ROW()-5,14)+1),""))</f>
        <v>Blue Dry Bones</v>
      </c>
      <c r="I52" s="18"/>
    </row>
    <row r="53" spans="1:9">
      <c r="A53" s="18" t="str" cm="1">
        <f t="array" aca="1" ref="A53" ca="1">_xlfn.LET(_xlpm.owner,INDEX($B:$B,3+14*QUOTIENT(ROW()-5,14)),_xlpm.slot,MOD(ROW()-5,14)+1,IF(_xlpm.owner="","",IFERROR(INDEX(Draft!$H$6:$N$14,_xlpm.slot,MATCH(_xlpm.owner,Draft!$H$5:$N$5,0)),"")))</f>
        <v>Brown Kritter</v>
      </c>
      <c r="B53" s="18">
        <v>2</v>
      </c>
      <c r="C53" s="18" t="str" cm="1">
        <f t="array" aca="1" ref="C53" ca="1">IF(A53="","",IFERROR(INDEX(_xlfn.SORTBY(OFFSET(A53,-MOD(ROW()-5,14),0,9,1),OFFSET(B53,-MOD(ROW()-5,14),0,9,1),1),MOD(ROW()-5,14)+1),""))</f>
        <v>Peach</v>
      </c>
      <c r="D53" s="18"/>
      <c r="E53" s="18"/>
      <c r="F53" s="18" t="str" cm="1">
        <f t="array" aca="1" ref="F53" ca="1">_xlfn.LET(_xlpm.owner,INDEX($G:$G,3+14*QUOTIENT(ROW()-5,14)),_xlpm.slot,MOD(ROW()-5,14)+1,IF(_xlpm.owner="","",IFERROR(INDEX(Draft!$H$6:$N$14,_xlpm.slot,MATCH(_xlpm.owner,Draft!$H$5:$N$5,0)),"")))</f>
        <v>Yellow Pianta</v>
      </c>
      <c r="G53" s="18">
        <v>8</v>
      </c>
      <c r="H53" s="18" t="str" cm="1">
        <f t="array" aca="1" ref="H53" ca="1">IF(F53="","",IFERROR(INDEX(_xlfn.SORTBY(OFFSET(F53,-MOD(ROW()-5,14),0,9,1),OFFSET(G53,-MOD(ROW()-5,14),0,9,1),1),MOD(ROW()-5,14)+1),""))</f>
        <v>Red Magikoopa</v>
      </c>
      <c r="I53" s="18"/>
    </row>
    <row r="54" spans="1:9">
      <c r="A54" s="18" t="str" cm="1">
        <f t="array" aca="1" ref="A54" ca="1">_xlfn.LET(_xlpm.owner,INDEX($B:$B,3+14*QUOTIENT(ROW()-5,14)),_xlpm.slot,MOD(ROW()-5,14)+1,IF(_xlpm.owner="","",IFERROR(INDEX(Draft!$H$6:$N$14,_xlpm.slot,MATCH(_xlpm.owner,Draft!$H$5:$N$5,0)),"")))</f>
        <v>Blooper</v>
      </c>
      <c r="B54" s="18">
        <v>6</v>
      </c>
      <c r="C54" s="18" t="str" cm="1">
        <f t="array" aca="1" ref="C54" ca="1">IF(A54="","",IFERROR(INDEX(_xlfn.SORTBY(OFFSET(A54,-MOD(ROW()-5,14),0,9,1),OFFSET(B54,-MOD(ROW()-5,14),0,9,1),1),MOD(ROW()-5,14)+1),""))</f>
        <v>Baby Mario</v>
      </c>
      <c r="D54" s="18"/>
      <c r="E54" s="18"/>
      <c r="F54" s="18" t="str" cm="1">
        <f t="array" aca="1" ref="F54" ca="1">_xlfn.LET(_xlpm.owner,INDEX($G:$G,3+14*QUOTIENT(ROW()-5,14)),_xlpm.slot,MOD(ROW()-5,14)+1,IF(_xlpm.owner="","",IFERROR(INDEX(Draft!$H$6:$N$14,_xlpm.slot,MATCH(_xlpm.owner,Draft!$H$5:$N$5,0)),"")))</f>
        <v>Blue Kritter</v>
      </c>
      <c r="G54" s="18">
        <v>1</v>
      </c>
      <c r="H54" s="18" t="str" cm="1">
        <f t="array" aca="1" ref="H54" ca="1">IF(F54="","",IFERROR(INDEX(_xlfn.SORTBY(OFFSET(F54,-MOD(ROW()-5,14),0,9,1),OFFSET(G54,-MOD(ROW()-5,14),0,9,1),1),MOD(ROW()-5,14)+1),""))</f>
        <v>Yellow Pianta</v>
      </c>
      <c r="I54" s="18"/>
    </row>
    <row r="55" spans="1:9">
      <c r="A55" s="18" t="str" cm="1">
        <f t="array" aca="1" ref="A55" ca="1">_xlfn.LET(_xlpm.owner,INDEX($B:$B,3+14*QUOTIENT(ROW()-5,14)),_xlpm.slot,MOD(ROW()-5,14)+1,IF(_xlpm.owner="","",IFERROR(INDEX(Draft!$H$6:$N$14,_xlpm.slot,MATCH(_xlpm.owner,Draft!$H$5:$N$5,0)),"")))</f>
        <v>Yellow Toad</v>
      </c>
      <c r="B55" s="18">
        <v>5</v>
      </c>
      <c r="C55" s="18" t="str" cm="1">
        <f t="array" aca="1" ref="C55" ca="1">IF(A55="","",IFERROR(INDEX(_xlfn.SORTBY(OFFSET(A55,-MOD(ROW()-5,14),0,9,1),OFFSET(B55,-MOD(ROW()-5,14),0,9,1),1),MOD(ROW()-5,14)+1),""))</f>
        <v>Baby Daisy</v>
      </c>
      <c r="D55" s="18"/>
      <c r="E55" s="18"/>
      <c r="F55" s="18" t="str" cm="1">
        <f t="array" aca="1" ref="F55" ca="1">_xlfn.LET(_xlpm.owner,INDEX($G:$G,3+14*QUOTIENT(ROW()-5,14)),_xlpm.slot,MOD(ROW()-5,14)+1,IF(_xlpm.owner="","",IFERROR(INDEX(Draft!$H$6:$N$14,_xlpm.slot,MATCH(_xlpm.owner,Draft!$H$5:$N$5,0)),"")))</f>
        <v>Blue Dry Bones</v>
      </c>
      <c r="G55" s="18">
        <v>6</v>
      </c>
      <c r="H55" s="18" t="str" cm="1">
        <f t="array" aca="1" ref="H55" ca="1">IF(F55="","",IFERROR(INDEX(_xlfn.SORTBY(OFFSET(F55,-MOD(ROW()-5,14),0,9,1),OFFSET(G55,-MOD(ROW()-5,14),0,9,1),1),MOD(ROW()-5,14)+1),""))</f>
        <v>Pink Yoshi</v>
      </c>
      <c r="I55" s="18"/>
    </row>
    <row r="56" spans="1:9">
      <c r="A56" s="18"/>
      <c r="B56" s="18"/>
      <c r="C56" s="18"/>
      <c r="D56" s="18"/>
      <c r="E56" s="18"/>
      <c r="F56" s="18"/>
      <c r="G56" s="18"/>
      <c r="H56" s="18"/>
      <c r="I56" s="18"/>
    </row>
    <row r="57" spans="1:9">
      <c r="A57" s="34" t="str">
        <f t="shared" ref="A57:A88" si="3">"Game "&amp;(QUOTIENT(ROW()-1,14)+1)&amp;" Lineups"</f>
        <v>Game 5 Lineups</v>
      </c>
      <c r="B57" s="18"/>
      <c r="C57" s="18"/>
      <c r="D57" s="18"/>
      <c r="E57" s="18"/>
      <c r="F57" s="18"/>
      <c r="G57" s="18"/>
      <c r="H57" s="18"/>
      <c r="I57" s="18"/>
    </row>
    <row r="58" spans="1:9">
      <c r="A58" s="18" t="s">
        <v>95</v>
      </c>
      <c r="B58" s="18" t="str" cm="1">
        <f t="array" ref="B58">INDEX(Bracket!$F$6:$F$20,QUOTIENT(ROW()-2,14)+1)</f>
        <v>G5</v>
      </c>
      <c r="C58" s="18"/>
      <c r="D58" s="18" t="s">
        <v>96</v>
      </c>
      <c r="E58" s="18" t="str" cm="1">
        <f t="array" ref="E58">INDEX(Bracket!$G$6:$G$20,QUOTIENT(ROW()-2,14)+1)</f>
        <v>Losers R1-1</v>
      </c>
      <c r="F58" s="18"/>
      <c r="G58" s="18"/>
      <c r="H58" s="18"/>
      <c r="I58" s="18"/>
    </row>
    <row r="59" spans="1:9">
      <c r="A59" s="18" t="s">
        <v>97</v>
      </c>
      <c r="B59" s="117" t="str" cm="1">
        <f t="array" aca="1" ref="B59" ca="1">INDEX(Bracket!$H$6:$H$20,QUOTIENT(ROW()-3,14)+1)</f>
        <v>May</v>
      </c>
      <c r="C59" s="18"/>
      <c r="D59" s="18"/>
      <c r="E59" s="18"/>
      <c r="F59" s="18" t="s">
        <v>98</v>
      </c>
      <c r="G59" s="116" t="str" cm="1">
        <f t="array" aca="1" ref="G59" ca="1">INDEX(Bracket!$I$6:$I$20,QUOTIENT(ROW()-3,14)+1)</f>
        <v>Justin</v>
      </c>
      <c r="H59" s="18"/>
      <c r="I59" s="18"/>
    </row>
    <row r="60" spans="1:9">
      <c r="A60" s="35" t="s">
        <v>99</v>
      </c>
      <c r="B60" s="35" t="s">
        <v>100</v>
      </c>
      <c r="C60" s="35" t="s">
        <v>101</v>
      </c>
      <c r="D60" s="18"/>
      <c r="E60" s="18"/>
      <c r="F60" s="35" t="s">
        <v>99</v>
      </c>
      <c r="G60" s="35" t="s">
        <v>100</v>
      </c>
      <c r="H60" s="35" t="s">
        <v>101</v>
      </c>
      <c r="I60" s="18"/>
    </row>
    <row r="61" spans="1:9">
      <c r="A61" s="18" t="str" cm="1">
        <f t="array" aca="1" ref="A61" ca="1">_xlfn.LET(_xlpm.owner,INDEX($B:$B,3+14*QUOTIENT(ROW()-5,14)),_xlpm.slot,MOD(ROW()-5,14)+1,IF(_xlpm.owner="","",IFERROR(INDEX(Draft!$H$6:$N$14,_xlpm.slot,MATCH(_xlpm.owner,Draft!$H$5:$N$5,0)),"")))</f>
        <v>Birdo</v>
      </c>
      <c r="B61" s="18">
        <v>2</v>
      </c>
      <c r="C61" s="18" t="str" cm="1">
        <f t="array" aca="1" ref="C61" ca="1">IF(A61="","",IFERROR(INDEX(_xlfn.SORTBY(OFFSET(A61,-MOD(ROW()-5,14),0,9,1),OFFSET(B61,-MOD(ROW()-5,14),0,9,1),1),MOD(ROW()-5,14)+1),""))</f>
        <v>Red Kritter</v>
      </c>
      <c r="D61" s="18"/>
      <c r="E61" s="18"/>
      <c r="F61" s="18" t="str" cm="1">
        <f t="array" aca="1" ref="F61" ca="1">_xlfn.LET(_xlpm.owner,INDEX($G:$G,3+14*QUOTIENT(ROW()-5,14)),_xlpm.slot,MOD(ROW()-5,14)+1,IF(_xlpm.owner="","",IFERROR(INDEX(Draft!$H$6:$N$14,_xlpm.slot,MATCH(_xlpm.owner,Draft!$H$5:$N$5,0)),"")))</f>
        <v>Bowser Jr.</v>
      </c>
      <c r="G61" s="18">
        <v>1</v>
      </c>
      <c r="H61" s="18" t="str" cm="1">
        <f t="array" aca="1" ref="H61" ca="1">IF(F61="","",IFERROR(INDEX(_xlfn.SORTBY(OFFSET(F61,-MOD(ROW()-5,14),0,9,1),OFFSET(G61,-MOD(ROW()-5,14),0,9,1),1),MOD(ROW()-5,14)+1),""))</f>
        <v>Bowser Jr.</v>
      </c>
      <c r="I61" s="18"/>
    </row>
    <row r="62" spans="1:9">
      <c r="A62" s="18" t="str" cm="1">
        <f t="array" aca="1" ref="A62" ca="1">_xlfn.LET(_xlpm.owner,INDEX($B:$B,3+14*QUOTIENT(ROW()-5,14)),_xlpm.slot,MOD(ROW()-5,14)+1,IF(_xlpm.owner="","",IFERROR(INDEX(Draft!$H$6:$N$14,_xlpm.slot,MATCH(_xlpm.owner,Draft!$H$5:$N$5,0)),"")))</f>
        <v>Petey Piranha</v>
      </c>
      <c r="B62" s="18">
        <v>3</v>
      </c>
      <c r="C62" s="18" t="str" cm="1">
        <f t="array" aca="1" ref="C62" ca="1">IF(A62="","",IFERROR(INDEX(_xlfn.SORTBY(OFFSET(A62,-MOD(ROW()-5,14),0,9,1),OFFSET(B62,-MOD(ROW()-5,14),0,9,1),1),MOD(ROW()-5,14)+1),""))</f>
        <v>Birdo</v>
      </c>
      <c r="D62" s="18"/>
      <c r="E62" s="18"/>
      <c r="F62" s="18" t="str" cm="1">
        <f t="array" aca="1" ref="F62" ca="1">_xlfn.LET(_xlpm.owner,INDEX($G:$G,3+14*QUOTIENT(ROW()-5,14)),_xlpm.slot,MOD(ROW()-5,14)+1,IF(_xlpm.owner="","",IFERROR(INDEX(Draft!$H$6:$N$14,_xlpm.slot,MATCH(_xlpm.owner,Draft!$H$5:$N$5,0)),"")))</f>
        <v>Boo</v>
      </c>
      <c r="G62" s="18">
        <v>9</v>
      </c>
      <c r="H62" s="18" t="str" cm="1">
        <f t="array" aca="1" ref="H62" ca="1">IF(F62="","",IFERROR(INDEX(_xlfn.SORTBY(OFFSET(F62,-MOD(ROW()-5,14),0,9,1),OFFSET(G62,-MOD(ROW()-5,14),0,9,1),1),MOD(ROW()-5,14)+1),""))</f>
        <v>Kritter</v>
      </c>
      <c r="I62" s="18"/>
    </row>
    <row r="63" spans="1:9">
      <c r="A63" s="18" t="str" cm="1">
        <f t="array" aca="1" ref="A63" ca="1">_xlfn.LET(_xlpm.owner,INDEX($B:$B,3+14*QUOTIENT(ROW()-5,14)),_xlpm.slot,MOD(ROW()-5,14)+1,IF(_xlpm.owner="","",IFERROR(INDEX(Draft!$H$6:$N$14,_xlpm.slot,MATCH(_xlpm.owner,Draft!$H$5:$N$5,0)),"")))</f>
        <v>King Boo</v>
      </c>
      <c r="B63" s="18">
        <v>4</v>
      </c>
      <c r="C63" s="18" t="str" cm="1">
        <f t="array" aca="1" ref="C63" ca="1">IF(A63="","",IFERROR(INDEX(_xlfn.SORTBY(OFFSET(A63,-MOD(ROW()-5,14),0,9,1),OFFSET(B63,-MOD(ROW()-5,14),0,9,1),1),MOD(ROW()-5,14)+1),""))</f>
        <v>Petey Piranha</v>
      </c>
      <c r="D63" s="18"/>
      <c r="E63" s="18"/>
      <c r="F63" s="18" t="str" cm="1">
        <f t="array" aca="1" ref="F63" ca="1">_xlfn.LET(_xlpm.owner,INDEX($G:$G,3+14*QUOTIENT(ROW()-5,14)),_xlpm.slot,MOD(ROW()-5,14)+1,IF(_xlpm.owner="","",IFERROR(INDEX(Draft!$H$6:$N$14,_xlpm.slot,MATCH(_xlpm.owner,Draft!$H$5:$N$5,0)),"")))</f>
        <v>Funky Kong</v>
      </c>
      <c r="G63" s="18">
        <v>3</v>
      </c>
      <c r="H63" s="18" t="str" cm="1">
        <f t="array" aca="1" ref="H63" ca="1">IF(F63="","",IFERROR(INDEX(_xlfn.SORTBY(OFFSET(F63,-MOD(ROW()-5,14),0,9,1),OFFSET(G63,-MOD(ROW()-5,14),0,9,1),1),MOD(ROW()-5,14)+1),""))</f>
        <v>Funky Kong</v>
      </c>
      <c r="I63" s="18"/>
    </row>
    <row r="64" spans="1:9">
      <c r="A64" s="18" t="str" cm="1">
        <f t="array" aca="1" ref="A64" ca="1">_xlfn.LET(_xlpm.owner,INDEX($B:$B,3+14*QUOTIENT(ROW()-5,14)),_xlpm.slot,MOD(ROW()-5,14)+1,IF(_xlpm.owner="","",IFERROR(INDEX(Draft!$H$6:$N$14,_xlpm.slot,MATCH(_xlpm.owner,Draft!$H$5:$N$5,0)),"")))</f>
        <v>Red Kritter</v>
      </c>
      <c r="B64" s="18">
        <v>1</v>
      </c>
      <c r="C64" s="18" t="str" cm="1">
        <f t="array" aca="1" ref="C64" ca="1">IF(A64="","",IFERROR(INDEX(_xlfn.SORTBY(OFFSET(A64,-MOD(ROW()-5,14),0,9,1),OFFSET(B64,-MOD(ROW()-5,14),0,9,1),1),MOD(ROW()-5,14)+1),""))</f>
        <v>King Boo</v>
      </c>
      <c r="D64" s="18"/>
      <c r="E64" s="18"/>
      <c r="F64" s="18" t="str" cm="1">
        <f t="array" aca="1" ref="F64" ca="1">_xlfn.LET(_xlpm.owner,INDEX($G:$G,3+14*QUOTIENT(ROW()-5,14)),_xlpm.slot,MOD(ROW()-5,14)+1,IF(_xlpm.owner="","",IFERROR(INDEX(Draft!$H$6:$N$14,_xlpm.slot,MATCH(_xlpm.owner,Draft!$H$5:$N$5,0)),"")))</f>
        <v>Yellow Magikoopa</v>
      </c>
      <c r="G64" s="18">
        <v>7</v>
      </c>
      <c r="H64" s="18" t="str" cm="1">
        <f t="array" aca="1" ref="H64" ca="1">IF(F64="","",IFERROR(INDEX(_xlfn.SORTBY(OFFSET(F64,-MOD(ROW()-5,14),0,9,1),OFFSET(G64,-MOD(ROW()-5,14),0,9,1),1),MOD(ROW()-5,14)+1),""))</f>
        <v>Red Pianta</v>
      </c>
      <c r="I64" s="18"/>
    </row>
    <row r="65" spans="1:9">
      <c r="A65" s="18" t="str" cm="1">
        <f t="array" aca="1" ref="A65" ca="1">_xlfn.LET(_xlpm.owner,INDEX($B:$B,3+14*QUOTIENT(ROW()-5,14)),_xlpm.slot,MOD(ROW()-5,14)+1,IF(_xlpm.owner="","",IFERROR(INDEX(Draft!$H$6:$N$14,_xlpm.slot,MATCH(_xlpm.owner,Draft!$H$5:$N$5,0)),"")))</f>
        <v>Red Yoshi</v>
      </c>
      <c r="B65" s="18">
        <v>8</v>
      </c>
      <c r="C65" s="18" t="str" cm="1">
        <f t="array" aca="1" ref="C65" ca="1">IF(A65="","",IFERROR(INDEX(_xlfn.SORTBY(OFFSET(A65,-MOD(ROW()-5,14),0,9,1),OFFSET(B65,-MOD(ROW()-5,14),0,9,1),1),MOD(ROW()-5,14)+1),""))</f>
        <v>Hammer Bro</v>
      </c>
      <c r="D65" s="18"/>
      <c r="E65" s="18"/>
      <c r="F65" s="18" t="str" cm="1">
        <f t="array" aca="1" ref="F65" ca="1">_xlfn.LET(_xlpm.owner,INDEX($G:$G,3+14*QUOTIENT(ROW()-5,14)),_xlpm.slot,MOD(ROW()-5,14)+1,IF(_xlpm.owner="","",IFERROR(INDEX(Draft!$H$6:$N$14,_xlpm.slot,MATCH(_xlpm.owner,Draft!$H$5:$N$5,0)),"")))</f>
        <v>Blue Yoshi</v>
      </c>
      <c r="G65" s="18">
        <v>5</v>
      </c>
      <c r="H65" s="18" t="str" cm="1">
        <f t="array" aca="1" ref="H65" ca="1">IF(F65="","",IFERROR(INDEX(_xlfn.SORTBY(OFFSET(F65,-MOD(ROW()-5,14),0,9,1),OFFSET(G65,-MOD(ROW()-5,14),0,9,1),1),MOD(ROW()-5,14)+1),""))</f>
        <v>Blue Yoshi</v>
      </c>
      <c r="I65" s="18"/>
    </row>
    <row r="66" spans="1:9">
      <c r="A66" s="18" t="str" cm="1">
        <f t="array" aca="1" ref="A66" ca="1">_xlfn.LET(_xlpm.owner,INDEX($B:$B,3+14*QUOTIENT(ROW()-5,14)),_xlpm.slot,MOD(ROW()-5,14)+1,IF(_xlpm.owner="","",IFERROR(INDEX(Draft!$H$6:$N$14,_xlpm.slot,MATCH(_xlpm.owner,Draft!$H$5:$N$5,0)),"")))</f>
        <v>Baby Peach</v>
      </c>
      <c r="B66" s="18">
        <v>9</v>
      </c>
      <c r="C66" s="18" t="str" cm="1">
        <f t="array" aca="1" ref="C66" ca="1">IF(A66="","",IFERROR(INDEX(_xlfn.SORTBY(OFFSET(A66,-MOD(ROW()-5,14),0,9,1),OFFSET(B66,-MOD(ROW()-5,14),0,9,1),1),MOD(ROW()-5,14)+1),""))</f>
        <v>Green Shy Guy</v>
      </c>
      <c r="D66" s="18"/>
      <c r="E66" s="18"/>
      <c r="F66" s="18" t="str" cm="1">
        <f t="array" aca="1" ref="F66" ca="1">_xlfn.LET(_xlpm.owner,INDEX($G:$G,3+14*QUOTIENT(ROW()-5,14)),_xlpm.slot,MOD(ROW()-5,14)+1,IF(_xlpm.owner="","",IFERROR(INDEX(Draft!$H$6:$N$14,_xlpm.slot,MATCH(_xlpm.owner,Draft!$H$5:$N$5,0)),"")))</f>
        <v>Red Pianta</v>
      </c>
      <c r="G66" s="18">
        <v>4</v>
      </c>
      <c r="H66" s="18" t="str" cm="1">
        <f t="array" aca="1" ref="H66" ca="1">IF(F66="","",IFERROR(INDEX(_xlfn.SORTBY(OFFSET(F66,-MOD(ROW()-5,14),0,9,1),OFFSET(G66,-MOD(ROW()-5,14),0,9,1),1),MOD(ROW()-5,14)+1),""))</f>
        <v>Baby Luigi</v>
      </c>
      <c r="I66" s="18"/>
    </row>
    <row r="67" spans="1:9">
      <c r="A67" s="18" t="str" cm="1">
        <f t="array" aca="1" ref="A67" ca="1">_xlfn.LET(_xlpm.owner,INDEX($B:$B,3+14*QUOTIENT(ROW()-5,14)),_xlpm.slot,MOD(ROW()-5,14)+1,IF(_xlpm.owner="","",IFERROR(INDEX(Draft!$H$6:$N$14,_xlpm.slot,MATCH(_xlpm.owner,Draft!$H$5:$N$5,0)),"")))</f>
        <v>Hammer Bro</v>
      </c>
      <c r="B67" s="18">
        <v>5</v>
      </c>
      <c r="C67" s="18" t="str" cm="1">
        <f t="array" aca="1" ref="C67" ca="1">IF(A67="","",IFERROR(INDEX(_xlfn.SORTBY(OFFSET(A67,-MOD(ROW()-5,14),0,9,1),OFFSET(B67,-MOD(ROW()-5,14),0,9,1),1),MOD(ROW()-5,14)+1),""))</f>
        <v>Koopa</v>
      </c>
      <c r="D67" s="18"/>
      <c r="E67" s="18"/>
      <c r="F67" s="18" t="str" cm="1">
        <f t="array" aca="1" ref="F67" ca="1">_xlfn.LET(_xlpm.owner,INDEX($G:$G,3+14*QUOTIENT(ROW()-5,14)),_xlpm.slot,MOD(ROW()-5,14)+1,IF(_xlpm.owner="","",IFERROR(INDEX(Draft!$H$6:$N$14,_xlpm.slot,MATCH(_xlpm.owner,Draft!$H$5:$N$5,0)),"")))</f>
        <v>Baby Luigi</v>
      </c>
      <c r="G67" s="18">
        <v>6</v>
      </c>
      <c r="H67" s="18" t="str" cm="1">
        <f t="array" aca="1" ref="H67" ca="1">IF(F67="","",IFERROR(INDEX(_xlfn.SORTBY(OFFSET(F67,-MOD(ROW()-5,14),0,9,1),OFFSET(G67,-MOD(ROW()-5,14),0,9,1),1),MOD(ROW()-5,14)+1),""))</f>
        <v>Yellow Magikoopa</v>
      </c>
      <c r="I67" s="18"/>
    </row>
    <row r="68" spans="1:9">
      <c r="A68" s="18" t="str" cm="1">
        <f t="array" aca="1" ref="A68" ca="1">_xlfn.LET(_xlpm.owner,INDEX($B:$B,3+14*QUOTIENT(ROW()-5,14)),_xlpm.slot,MOD(ROW()-5,14)+1,IF(_xlpm.owner="","",IFERROR(INDEX(Draft!$H$6:$N$14,_xlpm.slot,MATCH(_xlpm.owner,Draft!$H$5:$N$5,0)),"")))</f>
        <v>Green Shy Guy</v>
      </c>
      <c r="B68" s="18">
        <v>6</v>
      </c>
      <c r="C68" s="18" t="str" cm="1">
        <f t="array" aca="1" ref="C68" ca="1">IF(A68="","",IFERROR(INDEX(_xlfn.SORTBY(OFFSET(A68,-MOD(ROW()-5,14),0,9,1),OFFSET(B68,-MOD(ROW()-5,14),0,9,1),1),MOD(ROW()-5,14)+1),""))</f>
        <v>Red Yoshi</v>
      </c>
      <c r="D68" s="18"/>
      <c r="E68" s="18"/>
      <c r="F68" s="18" t="str" cm="1">
        <f t="array" aca="1" ref="F68" ca="1">_xlfn.LET(_xlpm.owner,INDEX($G:$G,3+14*QUOTIENT(ROW()-5,14)),_xlpm.slot,MOD(ROW()-5,14)+1,IF(_xlpm.owner="","",IFERROR(INDEX(Draft!$H$6:$N$14,_xlpm.slot,MATCH(_xlpm.owner,Draft!$H$5:$N$5,0)),"")))</f>
        <v>Paratroopa</v>
      </c>
      <c r="G68" s="18">
        <v>8</v>
      </c>
      <c r="H68" s="18" t="str" cm="1">
        <f t="array" aca="1" ref="H68" ca="1">IF(F68="","",IFERROR(INDEX(_xlfn.SORTBY(OFFSET(F68,-MOD(ROW()-5,14),0,9,1),OFFSET(G68,-MOD(ROW()-5,14),0,9,1),1),MOD(ROW()-5,14)+1),""))</f>
        <v>Paratroopa</v>
      </c>
      <c r="I68" s="18"/>
    </row>
    <row r="69" spans="1:9">
      <c r="A69" s="18" t="str" cm="1">
        <f t="array" aca="1" ref="A69" ca="1">_xlfn.LET(_xlpm.owner,INDEX($B:$B,3+14*QUOTIENT(ROW()-5,14)),_xlpm.slot,MOD(ROW()-5,14)+1,IF(_xlpm.owner="","",IFERROR(INDEX(Draft!$H$6:$N$14,_xlpm.slot,MATCH(_xlpm.owner,Draft!$H$5:$N$5,0)),"")))</f>
        <v>Koopa</v>
      </c>
      <c r="B69" s="18">
        <v>7</v>
      </c>
      <c r="C69" s="18" t="str" cm="1">
        <f t="array" aca="1" ref="C69" ca="1">IF(A69="","",IFERROR(INDEX(_xlfn.SORTBY(OFFSET(A69,-MOD(ROW()-5,14),0,9,1),OFFSET(B69,-MOD(ROW()-5,14),0,9,1),1),MOD(ROW()-5,14)+1),""))</f>
        <v>Baby Peach</v>
      </c>
      <c r="D69" s="18"/>
      <c r="E69" s="18"/>
      <c r="F69" s="18" t="str" cm="1">
        <f t="array" aca="1" ref="F69" ca="1">_xlfn.LET(_xlpm.owner,INDEX($G:$G,3+14*QUOTIENT(ROW()-5,14)),_xlpm.slot,MOD(ROW()-5,14)+1,IF(_xlpm.owner="","",IFERROR(INDEX(Draft!$H$6:$N$14,_xlpm.slot,MATCH(_xlpm.owner,Draft!$H$5:$N$5,0)),"")))</f>
        <v>Kritter</v>
      </c>
      <c r="G69" s="18">
        <v>2</v>
      </c>
      <c r="H69" s="18" t="str" cm="1">
        <f t="array" aca="1" ref="H69" ca="1">IF(F69="","",IFERROR(INDEX(_xlfn.SORTBY(OFFSET(F69,-MOD(ROW()-5,14),0,9,1),OFFSET(G69,-MOD(ROW()-5,14),0,9,1),1),MOD(ROW()-5,14)+1),""))</f>
        <v>Boo</v>
      </c>
      <c r="I69" s="18"/>
    </row>
    <row r="70" spans="1:9">
      <c r="A70" s="18"/>
      <c r="B70" s="18"/>
      <c r="C70" s="18"/>
      <c r="D70" s="18"/>
      <c r="E70" s="18"/>
      <c r="F70" s="18"/>
      <c r="G70" s="18"/>
      <c r="H70" s="18"/>
      <c r="I70" s="18"/>
    </row>
    <row r="71" spans="1:9">
      <c r="A71" s="34" t="str">
        <f t="shared" ref="A71:A102" si="4">"Game "&amp;(QUOTIENT(ROW()-1,14)+1)&amp;" Lineups"</f>
        <v>Game 6 Lineups</v>
      </c>
      <c r="B71" s="18"/>
      <c r="C71" s="18"/>
      <c r="D71" s="18"/>
      <c r="E71" s="18"/>
      <c r="F71" s="18"/>
      <c r="G71" s="18"/>
      <c r="H71" s="18"/>
      <c r="I71" s="18"/>
    </row>
    <row r="72" spans="1:9">
      <c r="A72" s="18" t="s">
        <v>95</v>
      </c>
      <c r="B72" s="18" t="str" cm="1">
        <f t="array" ref="B72">INDEX(Bracket!$F$6:$F$20,QUOTIENT(ROW()-2,14)+1)</f>
        <v>G6</v>
      </c>
      <c r="C72" s="18"/>
      <c r="D72" s="18" t="s">
        <v>96</v>
      </c>
      <c r="E72" s="18" t="str" cm="1">
        <f t="array" ref="E72">INDEX(Bracket!$G$6:$G$20,QUOTIENT(ROW()-2,14)+1)</f>
        <v>Losers R1-2</v>
      </c>
      <c r="F72" s="18"/>
      <c r="G72" s="18"/>
      <c r="H72" s="18"/>
      <c r="I72" s="18"/>
    </row>
    <row r="73" spans="1:9">
      <c r="A73" s="18" t="s">
        <v>97</v>
      </c>
      <c r="B73" s="18" t="str" cm="1">
        <f t="array" aca="1" ref="B73" ca="1">INDEX(Bracket!$H$6:$H$20,QUOTIENT(ROW()-3,14)+1)</f>
        <v>Aidan</v>
      </c>
      <c r="C73" s="18"/>
      <c r="D73" s="18"/>
      <c r="E73" s="18"/>
      <c r="F73" s="18" t="s">
        <v>98</v>
      </c>
      <c r="G73" s="118" t="str" cm="1">
        <f t="array" aca="1" ref="G73" ca="1">INDEX(Bracket!$I$6:$I$20,QUOTIENT(ROW()-3,14)+1)</f>
        <v>Donovan</v>
      </c>
      <c r="H73" s="18"/>
      <c r="I73" s="18"/>
    </row>
    <row r="74" spans="1:9">
      <c r="A74" s="35" t="s">
        <v>99</v>
      </c>
      <c r="B74" s="35" t="s">
        <v>100</v>
      </c>
      <c r="C74" s="35" t="s">
        <v>101</v>
      </c>
      <c r="D74" s="18"/>
      <c r="E74" s="18"/>
      <c r="F74" s="35" t="s">
        <v>99</v>
      </c>
      <c r="G74" s="35" t="s">
        <v>100</v>
      </c>
      <c r="H74" s="35" t="s">
        <v>101</v>
      </c>
      <c r="I74" s="18"/>
    </row>
    <row r="75" spans="1:9">
      <c r="A75" s="18" t="str" cm="1">
        <f t="array" aca="1" ref="A75" ca="1">_xlfn.LET(_xlpm.owner,INDEX($B:$B,3+14*QUOTIENT(ROW()-5,14)),_xlpm.slot,MOD(ROW()-5,14)+1,IF(_xlpm.owner="","",IFERROR(INDEX(Draft!$H$6:$N$14,_xlpm.slot,MATCH(_xlpm.owner,Draft!$H$5:$N$5,0)),"")))</f>
        <v>Mario</v>
      </c>
      <c r="B75" s="18">
        <v>2</v>
      </c>
      <c r="C75" s="18" t="str" cm="1">
        <f t="array" aca="1" ref="C75" ca="1">IF(A75="","",IFERROR(INDEX(_xlfn.SORTBY(OFFSET(A75,-MOD(ROW()-5,14),0,9,1),OFFSET(B75,-MOD(ROW()-5,14),0,9,1),1),MOD(ROW()-5,14)+1),""))</f>
        <v>Yellow Pianta</v>
      </c>
      <c r="D75" s="18"/>
      <c r="E75" s="18"/>
      <c r="F75" s="18" t="str" cm="1">
        <f t="array" aca="1" ref="F75" ca="1">_xlfn.LET(_xlpm.owner,INDEX($G:$G,3+14*QUOTIENT(ROW()-5,14)),_xlpm.slot,MOD(ROW()-5,14)+1,IF(_xlpm.owner="","",IFERROR(INDEX(Draft!$H$6:$N$14,_xlpm.slot,MATCH(_xlpm.owner,Draft!$H$5:$N$5,0)),"")))</f>
        <v>Donkey Kong</v>
      </c>
      <c r="G75" s="18">
        <v>1</v>
      </c>
      <c r="H75" s="18" t="str" cm="1">
        <f t="array" aca="1" ref="H75" ca="1">IF(F75="","",IFERROR(INDEX(_xlfn.SORTBY(OFFSET(F75,-MOD(ROW()-5,14),0,9,1),OFFSET(G75,-MOD(ROW()-5,14),0,9,1),1),MOD(ROW()-5,14)+1),""))</f>
        <v>Donkey Kong</v>
      </c>
      <c r="I75" s="18"/>
    </row>
    <row r="76" spans="1:9">
      <c r="A76" s="18" t="str" cm="1">
        <f t="array" aca="1" ref="A76" ca="1">_xlfn.LET(_xlpm.owner,INDEX($B:$B,3+14*QUOTIENT(ROW()-5,14)),_xlpm.slot,MOD(ROW()-5,14)+1,IF(_xlpm.owner="","",IFERROR(INDEX(Draft!$H$6:$N$14,_xlpm.slot,MATCH(_xlpm.owner,Draft!$H$5:$N$5,0)),"")))</f>
        <v>Luigi</v>
      </c>
      <c r="B76" s="18">
        <v>4</v>
      </c>
      <c r="C76" s="18" t="str" cm="1">
        <f t="array" aca="1" ref="C76" ca="1">IF(A76="","",IFERROR(INDEX(_xlfn.SORTBY(OFFSET(A76,-MOD(ROW()-5,14),0,9,1),OFFSET(B76,-MOD(ROW()-5,14),0,9,1),1),MOD(ROW()-5,14)+1),""))</f>
        <v>Mario</v>
      </c>
      <c r="D76" s="18"/>
      <c r="E76" s="18"/>
      <c r="F76" s="18" t="str" cm="1">
        <f t="array" aca="1" ref="F76" ca="1">_xlfn.LET(_xlpm.owner,INDEX($G:$G,3+14*QUOTIENT(ROW()-5,14)),_xlpm.slot,MOD(ROW()-5,14)+1,IF(_xlpm.owner="","",IFERROR(INDEX(Draft!$H$6:$N$14,_xlpm.slot,MATCH(_xlpm.owner,Draft!$H$5:$N$5,0)),"")))</f>
        <v>Waluigi</v>
      </c>
      <c r="G76" s="18">
        <v>2</v>
      </c>
      <c r="H76" s="18" t="str" cm="1">
        <f t="array" aca="1" ref="H76" ca="1">IF(F76="","",IFERROR(INDEX(_xlfn.SORTBY(OFFSET(F76,-MOD(ROW()-5,14),0,9,1),OFFSET(G76,-MOD(ROW()-5,14),0,9,1),1),MOD(ROW()-5,14)+1),""))</f>
        <v>Waluigi</v>
      </c>
      <c r="I76" s="18"/>
    </row>
    <row r="77" spans="1:9">
      <c r="A77" s="18" t="str" cm="1">
        <f t="array" aca="1" ref="A77" ca="1">_xlfn.LET(_xlpm.owner,INDEX($B:$B,3+14*QUOTIENT(ROW()-5,14)),_xlpm.slot,MOD(ROW()-5,14)+1,IF(_xlpm.owner="","",IFERROR(INDEX(Draft!$H$6:$N$14,_xlpm.slot,MATCH(_xlpm.owner,Draft!$H$5:$N$5,0)),"")))</f>
        <v>Dark Bones</v>
      </c>
      <c r="B77" s="18">
        <v>5</v>
      </c>
      <c r="C77" s="18" t="str" cm="1">
        <f t="array" aca="1" ref="C77" ca="1">IF(A77="","",IFERROR(INDEX(_xlfn.SORTBY(OFFSET(A77,-MOD(ROW()-5,14),0,9,1),OFFSET(B77,-MOD(ROW()-5,14),0,9,1),1),MOD(ROW()-5,14)+1),""))</f>
        <v>Blue Pianta</v>
      </c>
      <c r="D77" s="18"/>
      <c r="E77" s="18"/>
      <c r="F77" s="18" t="str" cm="1">
        <f t="array" aca="1" ref="F77" ca="1">_xlfn.LET(_xlpm.owner,INDEX($G:$G,3+14*QUOTIENT(ROW()-5,14)),_xlpm.slot,MOD(ROW()-5,14)+1,IF(_xlpm.owner="","",IFERROR(INDEX(Draft!$H$6:$N$14,_xlpm.slot,MATCH(_xlpm.owner,Draft!$H$5:$N$5,0)),"")))</f>
        <v>Diddy Kong</v>
      </c>
      <c r="G77" s="18">
        <v>4</v>
      </c>
      <c r="H77" s="18" t="str" cm="1">
        <f t="array" aca="1" ref="H77" ca="1">IF(F77="","",IFERROR(INDEX(_xlfn.SORTBY(OFFSET(F77,-MOD(ROW()-5,14),0,9,1),OFFSET(G77,-MOD(ROW()-5,14),0,9,1),1),MOD(ROW()-5,14)+1),""))</f>
        <v>Dry Bones</v>
      </c>
      <c r="I77" s="18"/>
    </row>
    <row r="78" spans="1:9">
      <c r="A78" s="18" t="str" cm="1">
        <f t="array" aca="1" ref="A78" ca="1">_xlfn.LET(_xlpm.owner,INDEX($B:$B,3+14*QUOTIENT(ROW()-5,14)),_xlpm.slot,MOD(ROW()-5,14)+1,IF(_xlpm.owner="","",IFERROR(INDEX(Draft!$H$6:$N$14,_xlpm.slot,MATCH(_xlpm.owner,Draft!$H$5:$N$5,0)),"")))</f>
        <v>Pink Yoshi</v>
      </c>
      <c r="B78" s="18">
        <v>6</v>
      </c>
      <c r="C78" s="18" t="str" cm="1">
        <f t="array" aca="1" ref="C78" ca="1">IF(A78="","",IFERROR(INDEX(_xlfn.SORTBY(OFFSET(A78,-MOD(ROW()-5,14),0,9,1),OFFSET(B78,-MOD(ROW()-5,14),0,9,1),1),MOD(ROW()-5,14)+1),""))</f>
        <v>Luigi</v>
      </c>
      <c r="D78" s="18"/>
      <c r="E78" s="18"/>
      <c r="F78" s="18" t="str" cm="1">
        <f t="array" aca="1" ref="F78" ca="1">_xlfn.LET(_xlpm.owner,INDEX($G:$G,3+14*QUOTIENT(ROW()-5,14)),_xlpm.slot,MOD(ROW()-5,14)+1,IF(_xlpm.owner="","",IFERROR(INDEX(Draft!$H$6:$N$14,_xlpm.slot,MATCH(_xlpm.owner,Draft!$H$5:$N$5,0)),"")))</f>
        <v>Baby DK</v>
      </c>
      <c r="G78" s="18">
        <v>7</v>
      </c>
      <c r="H78" s="18" t="str" cm="1">
        <f t="array" aca="1" ref="H78" ca="1">IF(F78="","",IFERROR(INDEX(_xlfn.SORTBY(OFFSET(F78,-MOD(ROW()-5,14),0,9,1),OFFSET(G78,-MOD(ROW()-5,14),0,9,1),1),MOD(ROW()-5,14)+1),""))</f>
        <v>Diddy Kong</v>
      </c>
      <c r="I78" s="18"/>
    </row>
    <row r="79" spans="1:9">
      <c r="A79" s="18" t="str" cm="1">
        <f t="array" aca="1" ref="A79" ca="1">_xlfn.LET(_xlpm.owner,INDEX($B:$B,3+14*QUOTIENT(ROW()-5,14)),_xlpm.slot,MOD(ROW()-5,14)+1,IF(_xlpm.owner="","",IFERROR(INDEX(Draft!$H$6:$N$14,_xlpm.slot,MATCH(_xlpm.owner,Draft!$H$5:$N$5,0)),"")))</f>
        <v>Red Magikoopa</v>
      </c>
      <c r="B79" s="18">
        <v>9</v>
      </c>
      <c r="C79" s="18" t="str" cm="1">
        <f t="array" aca="1" ref="C79" ca="1">IF(A79="","",IFERROR(INDEX(_xlfn.SORTBY(OFFSET(A79,-MOD(ROW()-5,14),0,9,1),OFFSET(B79,-MOD(ROW()-5,14),0,9,1),1),MOD(ROW()-5,14)+1),""))</f>
        <v>Dark Bones</v>
      </c>
      <c r="D79" s="18"/>
      <c r="E79" s="18"/>
      <c r="F79" s="18" t="str" cm="1">
        <f t="array" aca="1" ref="F79" ca="1">_xlfn.LET(_xlpm.owner,INDEX($G:$G,3+14*QUOTIENT(ROW()-5,14)),_xlpm.slot,MOD(ROW()-5,14)+1,IF(_xlpm.owner="","",IFERROR(INDEX(Draft!$H$6:$N$14,_xlpm.slot,MATCH(_xlpm.owner,Draft!$H$5:$N$5,0)),"")))</f>
        <v>Dixie Kong</v>
      </c>
      <c r="G79" s="18">
        <v>9</v>
      </c>
      <c r="H79" s="18" t="str" cm="1">
        <f t="array" aca="1" ref="H79" ca="1">IF(F79="","",IFERROR(INDEX(_xlfn.SORTBY(OFFSET(F79,-MOD(ROW()-5,14),0,9,1),OFFSET(G79,-MOD(ROW()-5,14),0,9,1),1),MOD(ROW()-5,14)+1),""))</f>
        <v>Fire Bro</v>
      </c>
      <c r="I79" s="18"/>
    </row>
    <row r="80" spans="1:9">
      <c r="A80" s="18" t="str" cm="1">
        <f t="array" aca="1" ref="A80" ca="1">_xlfn.LET(_xlpm.owner,INDEX($B:$B,3+14*QUOTIENT(ROW()-5,14)),_xlpm.slot,MOD(ROW()-5,14)+1,IF(_xlpm.owner="","",IFERROR(INDEX(Draft!$H$6:$N$14,_xlpm.slot,MATCH(_xlpm.owner,Draft!$H$5:$N$5,0)),"")))</f>
        <v>Blue Pianta</v>
      </c>
      <c r="B80" s="18">
        <v>3</v>
      </c>
      <c r="C80" s="18" t="str" cm="1">
        <f t="array" aca="1" ref="C80" ca="1">IF(A80="","",IFERROR(INDEX(_xlfn.SORTBY(OFFSET(A80,-MOD(ROW()-5,14),0,9,1),OFFSET(B80,-MOD(ROW()-5,14),0,9,1),1),MOD(ROW()-5,14)+1),""))</f>
        <v>Pink Yoshi</v>
      </c>
      <c r="D80" s="18"/>
      <c r="E80" s="18"/>
      <c r="F80" s="18" t="str" cm="1">
        <f t="array" aca="1" ref="F80" ca="1">_xlfn.LET(_xlpm.owner,INDEX($G:$G,3+14*QUOTIENT(ROW()-5,14)),_xlpm.slot,MOD(ROW()-5,14)+1,IF(_xlpm.owner="","",IFERROR(INDEX(Draft!$H$6:$N$14,_xlpm.slot,MATCH(_xlpm.owner,Draft!$H$5:$N$5,0)),"")))</f>
        <v>Fire Bro</v>
      </c>
      <c r="G80" s="18">
        <v>5</v>
      </c>
      <c r="H80" s="18" t="str" cm="1">
        <f t="array" aca="1" ref="H80" ca="1">IF(F80="","",IFERROR(INDEX(_xlfn.SORTBY(OFFSET(F80,-MOD(ROW()-5,14),0,9,1),OFFSET(G80,-MOD(ROW()-5,14),0,9,1),1),MOD(ROW()-5,14)+1),""))</f>
        <v>Tiny Kong</v>
      </c>
      <c r="I80" s="18"/>
    </row>
    <row r="81" spans="1:9">
      <c r="A81" s="18" t="str" cm="1">
        <f t="array" aca="1" ref="A81" ca="1">_xlfn.LET(_xlpm.owner,INDEX($B:$B,3+14*QUOTIENT(ROW()-5,14)),_xlpm.slot,MOD(ROW()-5,14)+1,IF(_xlpm.owner="","",IFERROR(INDEX(Draft!$H$6:$N$14,_xlpm.slot,MATCH(_xlpm.owner,Draft!$H$5:$N$5,0)),"")))</f>
        <v>Yellow Pianta</v>
      </c>
      <c r="B81" s="18">
        <v>1</v>
      </c>
      <c r="C81" s="18" t="str" cm="1">
        <f t="array" aca="1" ref="C81" ca="1">IF(A81="","",IFERROR(INDEX(_xlfn.SORTBY(OFFSET(A81,-MOD(ROW()-5,14),0,9,1),OFFSET(B81,-MOD(ROW()-5,14),0,9,1),1),MOD(ROW()-5,14)+1),""))</f>
        <v>Blue Dry Bones</v>
      </c>
      <c r="D81" s="18"/>
      <c r="E81" s="18"/>
      <c r="F81" s="18" t="str" cm="1">
        <f t="array" aca="1" ref="F81" ca="1">_xlfn.LET(_xlpm.owner,INDEX($G:$G,3+14*QUOTIENT(ROW()-5,14)),_xlpm.slot,MOD(ROW()-5,14)+1,IF(_xlpm.owner="","",IFERROR(INDEX(Draft!$H$6:$N$14,_xlpm.slot,MATCH(_xlpm.owner,Draft!$H$5:$N$5,0)),"")))</f>
        <v>Tiny Kong</v>
      </c>
      <c r="G81" s="18">
        <v>6</v>
      </c>
      <c r="H81" s="18" t="str" cm="1">
        <f t="array" aca="1" ref="H81" ca="1">IF(F81="","",IFERROR(INDEX(_xlfn.SORTBY(OFFSET(F81,-MOD(ROW()-5,14),0,9,1),OFFSET(G81,-MOD(ROW()-5,14),0,9,1),1),MOD(ROW()-5,14)+1),""))</f>
        <v>Baby DK</v>
      </c>
      <c r="I81" s="18"/>
    </row>
    <row r="82" spans="1:9">
      <c r="A82" s="18" t="str" cm="1">
        <f t="array" aca="1" ref="A82" ca="1">_xlfn.LET(_xlpm.owner,INDEX($B:$B,3+14*QUOTIENT(ROW()-5,14)),_xlpm.slot,MOD(ROW()-5,14)+1,IF(_xlpm.owner="","",IFERROR(INDEX(Draft!$H$6:$N$14,_xlpm.slot,MATCH(_xlpm.owner,Draft!$H$5:$N$5,0)),"")))</f>
        <v>Blue Kritter</v>
      </c>
      <c r="B82" s="18">
        <v>8</v>
      </c>
      <c r="C82" s="18" t="str" cm="1">
        <f t="array" aca="1" ref="C82" ca="1">IF(A82="","",IFERROR(INDEX(_xlfn.SORTBY(OFFSET(A82,-MOD(ROW()-5,14),0,9,1),OFFSET(B82,-MOD(ROW()-5,14),0,9,1),1),MOD(ROW()-5,14)+1),""))</f>
        <v>Blue Kritter</v>
      </c>
      <c r="D82" s="18"/>
      <c r="E82" s="18"/>
      <c r="F82" s="18" t="str" cm="1">
        <f t="array" aca="1" ref="F82" ca="1">_xlfn.LET(_xlpm.owner,INDEX($G:$G,3+14*QUOTIENT(ROW()-5,14)),_xlpm.slot,MOD(ROW()-5,14)+1,IF(_xlpm.owner="","",IFERROR(INDEX(Draft!$H$6:$N$14,_xlpm.slot,MATCH(_xlpm.owner,Draft!$H$5:$N$5,0)),"")))</f>
        <v>Dry Bones</v>
      </c>
      <c r="G82" s="18">
        <v>3</v>
      </c>
      <c r="H82" s="18" t="str" cm="1">
        <f t="array" aca="1" ref="H82" ca="1">IF(F82="","",IFERROR(INDEX(_xlfn.SORTBY(OFFSET(F82,-MOD(ROW()-5,14),0,9,1),OFFSET(G82,-MOD(ROW()-5,14),0,9,1),1),MOD(ROW()-5,14)+1),""))</f>
        <v>Paragoomba</v>
      </c>
      <c r="I82" s="18"/>
    </row>
    <row r="83" spans="1:9">
      <c r="A83" s="18" t="str" cm="1">
        <f t="array" aca="1" ref="A83" ca="1">_xlfn.LET(_xlpm.owner,INDEX($B:$B,3+14*QUOTIENT(ROW()-5,14)),_xlpm.slot,MOD(ROW()-5,14)+1,IF(_xlpm.owner="","",IFERROR(INDEX(Draft!$H$6:$N$14,_xlpm.slot,MATCH(_xlpm.owner,Draft!$H$5:$N$5,0)),"")))</f>
        <v>Blue Dry Bones</v>
      </c>
      <c r="B83" s="18">
        <v>7</v>
      </c>
      <c r="C83" s="18" t="str" cm="1">
        <f t="array" aca="1" ref="C83" ca="1">IF(A83="","",IFERROR(INDEX(_xlfn.SORTBY(OFFSET(A83,-MOD(ROW()-5,14),0,9,1),OFFSET(B83,-MOD(ROW()-5,14),0,9,1),1),MOD(ROW()-5,14)+1),""))</f>
        <v>Red Magikoopa</v>
      </c>
      <c r="D83" s="18"/>
      <c r="E83" s="18"/>
      <c r="F83" s="18" t="str" cm="1">
        <f t="array" aca="1" ref="F83" ca="1">_xlfn.LET(_xlpm.owner,INDEX($G:$G,3+14*QUOTIENT(ROW()-5,14)),_xlpm.slot,MOD(ROW()-5,14)+1,IF(_xlpm.owner="","",IFERROR(INDEX(Draft!$H$6:$N$14,_xlpm.slot,MATCH(_xlpm.owner,Draft!$H$5:$N$5,0)),"")))</f>
        <v>Paragoomba</v>
      </c>
      <c r="G83" s="18">
        <v>8</v>
      </c>
      <c r="H83" s="18" t="str" cm="1">
        <f t="array" aca="1" ref="H83" ca="1">IF(F83="","",IFERROR(INDEX(_xlfn.SORTBY(OFFSET(F83,-MOD(ROW()-5,14),0,9,1),OFFSET(G83,-MOD(ROW()-5,14),0,9,1),1),MOD(ROW()-5,14)+1),""))</f>
        <v>Dixie Kong</v>
      </c>
      <c r="I83" s="18"/>
    </row>
    <row r="84" spans="1:9">
      <c r="A84" s="18"/>
      <c r="B84" s="18"/>
      <c r="C84" s="18"/>
      <c r="D84" s="18"/>
      <c r="E84" s="18"/>
      <c r="F84" s="18"/>
      <c r="G84" s="18"/>
      <c r="H84" s="18"/>
      <c r="I84" s="18"/>
    </row>
    <row r="85" spans="1:9">
      <c r="A85" s="34" t="str">
        <f t="shared" ref="A85:A116" si="5">"Game "&amp;(QUOTIENT(ROW()-1,14)+1)&amp;" Lineups"</f>
        <v>Game 7 Lineups</v>
      </c>
      <c r="B85" s="18"/>
      <c r="C85" s="18"/>
      <c r="D85" s="18"/>
      <c r="E85" s="18"/>
      <c r="F85" s="18"/>
      <c r="G85" s="18"/>
      <c r="H85" s="18"/>
      <c r="I85" s="18"/>
    </row>
    <row r="86" spans="1:9">
      <c r="A86" s="18" t="s">
        <v>95</v>
      </c>
      <c r="B86" s="18" t="str" cm="1">
        <f t="array" ref="B86">INDEX(Bracket!$F$6:$F$20,QUOTIENT(ROW()-2,14)+1)</f>
        <v>G7</v>
      </c>
      <c r="C86" s="18"/>
      <c r="D86" s="18" t="s">
        <v>96</v>
      </c>
      <c r="E86" s="18" t="str" cm="1">
        <f t="array" ref="E86">INDEX(Bracket!$G$6:$G$20,QUOTIENT(ROW()-2,14)+1)</f>
        <v>Losers R2-1</v>
      </c>
      <c r="F86" s="18"/>
      <c r="G86" s="18"/>
      <c r="H86" s="18"/>
      <c r="I86" s="18"/>
    </row>
    <row r="87" spans="1:9">
      <c r="A87" s="18" t="s">
        <v>97</v>
      </c>
      <c r="B87" s="18" t="str" cm="1">
        <f t="array" aca="1" ref="B87" ca="1">INDEX(Bracket!$H$6:$H$20,QUOTIENT(ROW()-3,14)+1)</f>
        <v>May</v>
      </c>
      <c r="C87" s="18"/>
      <c r="D87" s="18"/>
      <c r="E87" s="18"/>
      <c r="F87" s="18" t="s">
        <v>98</v>
      </c>
      <c r="G87" s="18" t="s">
        <v>19</v>
      </c>
      <c r="H87" s="18"/>
      <c r="I87" s="18"/>
    </row>
    <row r="88" spans="1:9">
      <c r="A88" s="35" t="s">
        <v>99</v>
      </c>
      <c r="B88" s="35" t="s">
        <v>100</v>
      </c>
      <c r="C88" s="35" t="s">
        <v>101</v>
      </c>
      <c r="D88" s="18"/>
      <c r="E88" s="18"/>
      <c r="F88" s="35" t="s">
        <v>99</v>
      </c>
      <c r="G88" s="35" t="s">
        <v>100</v>
      </c>
      <c r="H88" s="35" t="s">
        <v>101</v>
      </c>
      <c r="I88" s="18"/>
    </row>
    <row r="89" spans="1:9">
      <c r="A89" s="18" t="str" cm="1">
        <f t="array" aca="1" ref="A89" ca="1">_xlfn.LET(_xlpm.owner,INDEX($B:$B,3+14*QUOTIENT(ROW()-5,14)),_xlpm.slot,MOD(ROW()-5,14)+1,IF(_xlpm.owner="","",IFERROR(INDEX(Draft!$H$6:$N$14,_xlpm.slot,MATCH(_xlpm.owner,Draft!$H$5:$N$5,0)),"")))</f>
        <v>Birdo</v>
      </c>
      <c r="B89" s="18">
        <v>1</v>
      </c>
      <c r="C89" s="18" t="str" cm="1">
        <f t="array" aca="1" ref="C89" ca="1">IF(A89="","",IFERROR(INDEX(_xlfn.SORTBY(OFFSET(A89,-MOD(ROW()-5,14),0,9,1),OFFSET(B89,-MOD(ROW()-5,14),0,9,1),1),MOD(ROW()-5,14)+1),""))</f>
        <v>Birdo</v>
      </c>
      <c r="D89" s="18"/>
      <c r="E89" s="18"/>
      <c r="F89" s="18" t="str" cm="1">
        <f t="array" aca="1" ref="F89" ca="1">_xlfn.LET(_xlpm.owner,INDEX($G:$G,3+14*QUOTIENT(ROW()-5,14)),_xlpm.slot,MOD(ROW()-5,14)+1,IF(_xlpm.owner="","",IFERROR(INDEX(Draft!$H$6:$N$14,_xlpm.slot,MATCH(_xlpm.owner,Draft!$H$5:$N$5,0)),"")))</f>
        <v>Donkey Kong</v>
      </c>
      <c r="G89" s="18">
        <v>1</v>
      </c>
      <c r="H89" s="18" t="str" cm="1">
        <f t="array" aca="1" ref="H89" ca="1">IF(F89="","",IFERROR(INDEX(_xlfn.SORTBY(OFFSET(F89,-MOD(ROW()-5,14),0,9,1),OFFSET(G89,-MOD(ROW()-5,14),0,9,1),1),MOD(ROW()-5,14)+1),""))</f>
        <v>Donkey Kong</v>
      </c>
      <c r="I89" s="18"/>
    </row>
    <row r="90" spans="1:9">
      <c r="A90" s="18" t="str" cm="1">
        <f t="array" aca="1" ref="A90" ca="1">_xlfn.LET(_xlpm.owner,INDEX($B:$B,3+14*QUOTIENT(ROW()-5,14)),_xlpm.slot,MOD(ROW()-5,14)+1,IF(_xlpm.owner="","",IFERROR(INDEX(Draft!$H$6:$N$14,_xlpm.slot,MATCH(_xlpm.owner,Draft!$H$5:$N$5,0)),"")))</f>
        <v>Petey Piranha</v>
      </c>
      <c r="B90" s="18">
        <v>3</v>
      </c>
      <c r="C90" s="18" t="str" cm="1">
        <f t="array" aca="1" ref="C90" ca="1">IF(A90="","",IFERROR(INDEX(_xlfn.SORTBY(OFFSET(A90,-MOD(ROW()-5,14),0,9,1),OFFSET(B90,-MOD(ROW()-5,14),0,9,1),1),MOD(ROW()-5,14)+1),""))</f>
        <v>King Boo</v>
      </c>
      <c r="D90" s="18"/>
      <c r="E90" s="18"/>
      <c r="F90" s="18" t="str" cm="1">
        <f t="array" aca="1" ref="F90" ca="1">_xlfn.LET(_xlpm.owner,INDEX($G:$G,3+14*QUOTIENT(ROW()-5,14)),_xlpm.slot,MOD(ROW()-5,14)+1,IF(_xlpm.owner="","",IFERROR(INDEX(Draft!$H$6:$N$14,_xlpm.slot,MATCH(_xlpm.owner,Draft!$H$5:$N$5,0)),"")))</f>
        <v>Waluigi</v>
      </c>
      <c r="G90" s="18">
        <v>2</v>
      </c>
      <c r="H90" s="18" t="str" cm="1">
        <f t="array" aca="1" ref="H90" ca="1">IF(F90="","",IFERROR(INDEX(_xlfn.SORTBY(OFFSET(F90,-MOD(ROW()-5,14),0,9,1),OFFSET(G90,-MOD(ROW()-5,14),0,9,1),1),MOD(ROW()-5,14)+1),""))</f>
        <v>Waluigi</v>
      </c>
      <c r="I90" s="18"/>
    </row>
    <row r="91" spans="1:9">
      <c r="A91" s="18" t="str" cm="1">
        <f t="array" aca="1" ref="A91" ca="1">_xlfn.LET(_xlpm.owner,INDEX($B:$B,3+14*QUOTIENT(ROW()-5,14)),_xlpm.slot,MOD(ROW()-5,14)+1,IF(_xlpm.owner="","",IFERROR(INDEX(Draft!$H$6:$N$14,_xlpm.slot,MATCH(_xlpm.owner,Draft!$H$5:$N$5,0)),"")))</f>
        <v>King Boo</v>
      </c>
      <c r="B91" s="18">
        <v>2</v>
      </c>
      <c r="C91" s="18" t="str" cm="1">
        <f t="array" aca="1" ref="C91" ca="1">IF(A91="","",IFERROR(INDEX(_xlfn.SORTBY(OFFSET(A91,-MOD(ROW()-5,14),0,9,1),OFFSET(B91,-MOD(ROW()-5,14),0,9,1),1),MOD(ROW()-5,14)+1),""))</f>
        <v>Petey Piranha</v>
      </c>
      <c r="D91" s="18"/>
      <c r="E91" s="18"/>
      <c r="F91" s="18" t="str" cm="1">
        <f t="array" aca="1" ref="F91" ca="1">_xlfn.LET(_xlpm.owner,INDEX($G:$G,3+14*QUOTIENT(ROW()-5,14)),_xlpm.slot,MOD(ROW()-5,14)+1,IF(_xlpm.owner="","",IFERROR(INDEX(Draft!$H$6:$N$14,_xlpm.slot,MATCH(_xlpm.owner,Draft!$H$5:$N$5,0)),"")))</f>
        <v>Diddy Kong</v>
      </c>
      <c r="G91" s="18">
        <v>4</v>
      </c>
      <c r="H91" s="18" t="str" cm="1">
        <f t="array" aca="1" ref="H91" ca="1">IF(F91="","",IFERROR(INDEX(_xlfn.SORTBY(OFFSET(F91,-MOD(ROW()-5,14),0,9,1),OFFSET(G91,-MOD(ROW()-5,14),0,9,1),1),MOD(ROW()-5,14)+1),""))</f>
        <v>Dry Bones</v>
      </c>
      <c r="I91" s="18"/>
    </row>
    <row r="92" spans="1:9">
      <c r="A92" s="18" t="str" cm="1">
        <f t="array" aca="1" ref="A92" ca="1">_xlfn.LET(_xlpm.owner,INDEX($B:$B,3+14*QUOTIENT(ROW()-5,14)),_xlpm.slot,MOD(ROW()-5,14)+1,IF(_xlpm.owner="","",IFERROR(INDEX(Draft!$H$6:$N$14,_xlpm.slot,MATCH(_xlpm.owner,Draft!$H$5:$N$5,0)),"")))</f>
        <v>Red Kritter</v>
      </c>
      <c r="B92" s="18">
        <v>4</v>
      </c>
      <c r="C92" s="18" t="str" cm="1">
        <f t="array" aca="1" ref="C92" ca="1">IF(A92="","",IFERROR(INDEX(_xlfn.SORTBY(OFFSET(A92,-MOD(ROW()-5,14),0,9,1),OFFSET(B92,-MOD(ROW()-5,14),0,9,1),1),MOD(ROW()-5,14)+1),""))</f>
        <v>Red Kritter</v>
      </c>
      <c r="D92" s="18"/>
      <c r="E92" s="18"/>
      <c r="F92" s="18" t="str" cm="1">
        <f t="array" aca="1" ref="F92" ca="1">_xlfn.LET(_xlpm.owner,INDEX($G:$G,3+14*QUOTIENT(ROW()-5,14)),_xlpm.slot,MOD(ROW()-5,14)+1,IF(_xlpm.owner="","",IFERROR(INDEX(Draft!$H$6:$N$14,_xlpm.slot,MATCH(_xlpm.owner,Draft!$H$5:$N$5,0)),"")))</f>
        <v>Baby DK</v>
      </c>
      <c r="G92" s="18">
        <v>6</v>
      </c>
      <c r="H92" s="18" t="str" cm="1">
        <f t="array" aca="1" ref="H92" ca="1">IF(F92="","",IFERROR(INDEX(_xlfn.SORTBY(OFFSET(F92,-MOD(ROW()-5,14),0,9,1),OFFSET(G92,-MOD(ROW()-5,14),0,9,1),1),MOD(ROW()-5,14)+1),""))</f>
        <v>Diddy Kong</v>
      </c>
      <c r="I92" s="18"/>
    </row>
    <row r="93" spans="1:9">
      <c r="A93" s="18" t="str" cm="1">
        <f t="array" aca="1" ref="A93" ca="1">_xlfn.LET(_xlpm.owner,INDEX($B:$B,3+14*QUOTIENT(ROW()-5,14)),_xlpm.slot,MOD(ROW()-5,14)+1,IF(_xlpm.owner="","",IFERROR(INDEX(Draft!$H$6:$N$14,_xlpm.slot,MATCH(_xlpm.owner,Draft!$H$5:$N$5,0)),"")))</f>
        <v>Red Yoshi</v>
      </c>
      <c r="B93" s="18">
        <v>6</v>
      </c>
      <c r="C93" s="18" t="str" cm="1">
        <f t="array" aca="1" ref="C93" ca="1">IF(A93="","",IFERROR(INDEX(_xlfn.SORTBY(OFFSET(A93,-MOD(ROW()-5,14),0,9,1),OFFSET(B93,-MOD(ROW()-5,14),0,9,1),1),MOD(ROW()-5,14)+1),""))</f>
        <v>Hammer Bro</v>
      </c>
      <c r="D93" s="18"/>
      <c r="E93" s="18"/>
      <c r="F93" s="18" t="str" cm="1">
        <f t="array" aca="1" ref="F93" ca="1">_xlfn.LET(_xlpm.owner,INDEX($G:$G,3+14*QUOTIENT(ROW()-5,14)),_xlpm.slot,MOD(ROW()-5,14)+1,IF(_xlpm.owner="","",IFERROR(INDEX(Draft!$H$6:$N$14,_xlpm.slot,MATCH(_xlpm.owner,Draft!$H$5:$N$5,0)),"")))</f>
        <v>Dixie Kong</v>
      </c>
      <c r="G93" s="18">
        <v>8</v>
      </c>
      <c r="H93" s="18" t="str" cm="1">
        <f t="array" aca="1" ref="H93" ca="1">IF(F93="","",IFERROR(INDEX(_xlfn.SORTBY(OFFSET(F93,-MOD(ROW()-5,14),0,9,1),OFFSET(G93,-MOD(ROW()-5,14),0,9,1),1),MOD(ROW()-5,14)+1),""))</f>
        <v>Tiny Kong</v>
      </c>
      <c r="I93" s="18"/>
    </row>
    <row r="94" spans="1:9">
      <c r="A94" s="18" t="str" cm="1">
        <f t="array" aca="1" ref="A94" ca="1">_xlfn.LET(_xlpm.owner,INDEX($B:$B,3+14*QUOTIENT(ROW()-5,14)),_xlpm.slot,MOD(ROW()-5,14)+1,IF(_xlpm.owner="","",IFERROR(INDEX(Draft!$H$6:$N$14,_xlpm.slot,MATCH(_xlpm.owner,Draft!$H$5:$N$5,0)),"")))</f>
        <v>Baby Peach</v>
      </c>
      <c r="B94" s="18">
        <v>9</v>
      </c>
      <c r="C94" s="18" t="str" cm="1">
        <f t="array" aca="1" ref="C94" ca="1">IF(A94="","",IFERROR(INDEX(_xlfn.SORTBY(OFFSET(A94,-MOD(ROW()-5,14),0,9,1),OFFSET(B94,-MOD(ROW()-5,14),0,9,1),1),MOD(ROW()-5,14)+1),""))</f>
        <v>Red Yoshi</v>
      </c>
      <c r="D94" s="18"/>
      <c r="E94" s="18"/>
      <c r="F94" s="18" t="str" cm="1">
        <f t="array" aca="1" ref="F94" ca="1">_xlfn.LET(_xlpm.owner,INDEX($G:$G,3+14*QUOTIENT(ROW()-5,14)),_xlpm.slot,MOD(ROW()-5,14)+1,IF(_xlpm.owner="","",IFERROR(INDEX(Draft!$H$6:$N$14,_xlpm.slot,MATCH(_xlpm.owner,Draft!$H$5:$N$5,0)),"")))</f>
        <v>Fire Bro</v>
      </c>
      <c r="G94" s="18">
        <v>7</v>
      </c>
      <c r="H94" s="18" t="str" cm="1">
        <f t="array" aca="1" ref="H94" ca="1">IF(F94="","",IFERROR(INDEX(_xlfn.SORTBY(OFFSET(F94,-MOD(ROW()-5,14),0,9,1),OFFSET(G94,-MOD(ROW()-5,14),0,9,1),1),MOD(ROW()-5,14)+1),""))</f>
        <v>Baby DK</v>
      </c>
      <c r="I94" s="18"/>
    </row>
    <row r="95" spans="1:9">
      <c r="A95" s="18" t="str" cm="1">
        <f t="array" aca="1" ref="A95" ca="1">_xlfn.LET(_xlpm.owner,INDEX($B:$B,3+14*QUOTIENT(ROW()-5,14)),_xlpm.slot,MOD(ROW()-5,14)+1,IF(_xlpm.owner="","",IFERROR(INDEX(Draft!$H$6:$N$14,_xlpm.slot,MATCH(_xlpm.owner,Draft!$H$5:$N$5,0)),"")))</f>
        <v>Hammer Bro</v>
      </c>
      <c r="B95" s="18">
        <v>5</v>
      </c>
      <c r="C95" s="18" t="str" cm="1">
        <f t="array" aca="1" ref="C95" ca="1">IF(A95="","",IFERROR(INDEX(_xlfn.SORTBY(OFFSET(A95,-MOD(ROW()-5,14),0,9,1),OFFSET(B95,-MOD(ROW()-5,14),0,9,1),1),MOD(ROW()-5,14)+1),""))</f>
        <v>Koopa</v>
      </c>
      <c r="D95" s="18"/>
      <c r="E95" s="18"/>
      <c r="F95" s="18" t="str" cm="1">
        <f t="array" aca="1" ref="F95" ca="1">_xlfn.LET(_xlpm.owner,INDEX($G:$G,3+14*QUOTIENT(ROW()-5,14)),_xlpm.slot,MOD(ROW()-5,14)+1,IF(_xlpm.owner="","",IFERROR(INDEX(Draft!$H$6:$N$14,_xlpm.slot,MATCH(_xlpm.owner,Draft!$H$5:$N$5,0)),"")))</f>
        <v>Tiny Kong</v>
      </c>
      <c r="G95" s="18">
        <v>5</v>
      </c>
      <c r="H95" s="18" t="str" cm="1">
        <f t="array" aca="1" ref="H95" ca="1">IF(F95="","",IFERROR(INDEX(_xlfn.SORTBY(OFFSET(F95,-MOD(ROW()-5,14),0,9,1),OFFSET(G95,-MOD(ROW()-5,14),0,9,1),1),MOD(ROW()-5,14)+1),""))</f>
        <v>Fire Bro</v>
      </c>
      <c r="I95" s="18"/>
    </row>
    <row r="96" spans="1:9">
      <c r="A96" s="18" t="str" cm="1">
        <f t="array" aca="1" ref="A96" ca="1">_xlfn.LET(_xlpm.owner,INDEX($B:$B,3+14*QUOTIENT(ROW()-5,14)),_xlpm.slot,MOD(ROW()-5,14)+1,IF(_xlpm.owner="","",IFERROR(INDEX(Draft!$H$6:$N$14,_xlpm.slot,MATCH(_xlpm.owner,Draft!$H$5:$N$5,0)),"")))</f>
        <v>Green Shy Guy</v>
      </c>
      <c r="B96" s="18">
        <v>8</v>
      </c>
      <c r="C96" s="18" t="str" cm="1">
        <f t="array" aca="1" ref="C96" ca="1">IF(A96="","",IFERROR(INDEX(_xlfn.SORTBY(OFFSET(A96,-MOD(ROW()-5,14),0,9,1),OFFSET(B96,-MOD(ROW()-5,14),0,9,1),1),MOD(ROW()-5,14)+1),""))</f>
        <v>Green Shy Guy</v>
      </c>
      <c r="D96" s="18"/>
      <c r="E96" s="18"/>
      <c r="F96" s="18" t="str" cm="1">
        <f t="array" aca="1" ref="F96" ca="1">_xlfn.LET(_xlpm.owner,INDEX($G:$G,3+14*QUOTIENT(ROW()-5,14)),_xlpm.slot,MOD(ROW()-5,14)+1,IF(_xlpm.owner="","",IFERROR(INDEX(Draft!$H$6:$N$14,_xlpm.slot,MATCH(_xlpm.owner,Draft!$H$5:$N$5,0)),"")))</f>
        <v>Dry Bones</v>
      </c>
      <c r="G96" s="18">
        <v>3</v>
      </c>
      <c r="H96" s="18" t="str" cm="1">
        <f t="array" aca="1" ref="H96" ca="1">IF(F96="","",IFERROR(INDEX(_xlfn.SORTBY(OFFSET(F96,-MOD(ROW()-5,14),0,9,1),OFFSET(G96,-MOD(ROW()-5,14),0,9,1),1),MOD(ROW()-5,14)+1),""))</f>
        <v>Dixie Kong</v>
      </c>
      <c r="I96" s="18"/>
    </row>
    <row r="97" spans="1:9">
      <c r="A97" s="18" t="str" cm="1">
        <f t="array" aca="1" ref="A97" ca="1">_xlfn.LET(_xlpm.owner,INDEX($B:$B,3+14*QUOTIENT(ROW()-5,14)),_xlpm.slot,MOD(ROW()-5,14)+1,IF(_xlpm.owner="","",IFERROR(INDEX(Draft!$H$6:$N$14,_xlpm.slot,MATCH(_xlpm.owner,Draft!$H$5:$N$5,0)),"")))</f>
        <v>Koopa</v>
      </c>
      <c r="B97" s="18">
        <v>7</v>
      </c>
      <c r="C97" s="18" t="str" cm="1">
        <f t="array" aca="1" ref="C97" ca="1">IF(A97="","",IFERROR(INDEX(_xlfn.SORTBY(OFFSET(A97,-MOD(ROW()-5,14),0,9,1),OFFSET(B97,-MOD(ROW()-5,14),0,9,1),1),MOD(ROW()-5,14)+1),""))</f>
        <v>Baby Peach</v>
      </c>
      <c r="D97" s="18"/>
      <c r="E97" s="18"/>
      <c r="F97" s="18" t="str" cm="1">
        <f t="array" aca="1" ref="F97" ca="1">_xlfn.LET(_xlpm.owner,INDEX($G:$G,3+14*QUOTIENT(ROW()-5,14)),_xlpm.slot,MOD(ROW()-5,14)+1,IF(_xlpm.owner="","",IFERROR(INDEX(Draft!$H$6:$N$14,_xlpm.slot,MATCH(_xlpm.owner,Draft!$H$5:$N$5,0)),"")))</f>
        <v>Paragoomba</v>
      </c>
      <c r="G97" s="18">
        <v>9</v>
      </c>
      <c r="H97" s="18" t="str" cm="1">
        <f t="array" aca="1" ref="H97" ca="1">IF(F97="","",IFERROR(INDEX(_xlfn.SORTBY(OFFSET(F97,-MOD(ROW()-5,14),0,9,1),OFFSET(G97,-MOD(ROW()-5,14),0,9,1),1),MOD(ROW()-5,14)+1),""))</f>
        <v>Paragoomba</v>
      </c>
      <c r="I97" s="18"/>
    </row>
    <row r="98" spans="1:9">
      <c r="A98" s="18"/>
      <c r="B98" s="18"/>
      <c r="C98" s="18"/>
      <c r="D98" s="18"/>
      <c r="E98" s="18"/>
      <c r="F98" s="18"/>
      <c r="G98" s="18"/>
      <c r="H98" s="18"/>
      <c r="I98" s="18"/>
    </row>
    <row r="99" spans="1:9">
      <c r="A99" s="34" t="str">
        <f t="shared" ref="A99:A130" si="6">"Game "&amp;(QUOTIENT(ROW()-1,14)+1)&amp;" Lineups"</f>
        <v>Game 8 Lineups</v>
      </c>
      <c r="B99" s="18"/>
      <c r="C99" s="18"/>
      <c r="D99" s="18"/>
      <c r="E99" s="18"/>
      <c r="F99" s="18"/>
      <c r="G99" s="18"/>
      <c r="H99" s="18"/>
      <c r="I99" s="18"/>
    </row>
    <row r="100" spans="1:9">
      <c r="A100" s="18" t="s">
        <v>95</v>
      </c>
      <c r="B100" s="18" t="str" cm="1">
        <f t="array" ref="B100">INDEX(Bracket!$F$6:$F$20,QUOTIENT(ROW()-2,14)+1)</f>
        <v>G8</v>
      </c>
      <c r="C100" s="18"/>
      <c r="D100" s="18" t="s">
        <v>96</v>
      </c>
      <c r="E100" s="18" t="str" cm="1">
        <f t="array" ref="E100">INDEX(Bracket!$G$6:$G$20,QUOTIENT(ROW()-2,14)+1)</f>
        <v>Winners Final</v>
      </c>
      <c r="F100" s="18"/>
      <c r="G100" s="18"/>
      <c r="H100" s="18"/>
      <c r="I100" s="18"/>
    </row>
    <row r="101" spans="1:9">
      <c r="A101" s="18" t="s">
        <v>97</v>
      </c>
      <c r="B101" s="114" t="str" cm="1">
        <f t="array" aca="1" ref="B101" ca="1">INDEX(Bracket!$H$6:$H$20,QUOTIENT(ROW()-3,14)+1)</f>
        <v>Nick</v>
      </c>
      <c r="C101" s="18"/>
      <c r="D101" s="18"/>
      <c r="E101" s="18"/>
      <c r="F101" s="18" t="s">
        <v>98</v>
      </c>
      <c r="G101" s="18" t="str" cm="1">
        <f t="array" aca="1" ref="G101" ca="1">INDEX(Bracket!$I$6:$I$20,QUOTIENT(ROW()-3,14)+1)</f>
        <v>Jason</v>
      </c>
      <c r="H101" s="18"/>
      <c r="I101" s="18"/>
    </row>
    <row r="102" spans="1:9">
      <c r="A102" s="35" t="s">
        <v>99</v>
      </c>
      <c r="B102" s="35" t="s">
        <v>100</v>
      </c>
      <c r="C102" s="35" t="s">
        <v>101</v>
      </c>
      <c r="D102" s="18"/>
      <c r="E102" s="18"/>
      <c r="F102" s="35" t="s">
        <v>99</v>
      </c>
      <c r="G102" s="35" t="s">
        <v>100</v>
      </c>
      <c r="H102" s="35" t="s">
        <v>101</v>
      </c>
      <c r="I102" s="18"/>
    </row>
    <row r="103" spans="1:9">
      <c r="A103" s="18" t="str" cm="1">
        <f t="array" aca="1" ref="A103" ca="1">_xlfn.LET(_xlpm.owner,INDEX($B:$B,3+14*QUOTIENT(ROW()-5,14)),_xlpm.slot,MOD(ROW()-5,14)+1,IF(_xlpm.owner="","",IFERROR(INDEX(Draft!$H$6:$N$14,_xlpm.slot,MATCH(_xlpm.owner,Draft!$H$5:$N$5,0)),"")))</f>
        <v>Daisy</v>
      </c>
      <c r="B103" s="18">
        <v>8</v>
      </c>
      <c r="C103" s="18" t="str" cm="1">
        <f t="array" aca="1" ref="C103" ca="1">IF(A103="","",IFERROR(INDEX(_xlfn.SORTBY(OFFSET(A103,-MOD(ROW()-5,14),0,9,1),OFFSET(B103,-MOD(ROW()-5,14),0,9,1),1),MOD(ROW()-5,14)+1),""))</f>
        <v>Monty Mole</v>
      </c>
      <c r="D103" s="18"/>
      <c r="E103" s="18"/>
      <c r="F103" s="18" t="str" cm="1">
        <f t="array" aca="1" ref="F103" ca="1">_xlfn.LET(_xlpm.owner,INDEX($G:$G,3+14*QUOTIENT(ROW()-5,14)),_xlpm.slot,MOD(ROW()-5,14)+1,IF(_xlpm.owner="","",IFERROR(INDEX(Draft!$H$6:$N$14,_xlpm.slot,MATCH(_xlpm.owner,Draft!$H$5:$N$5,0)),"")))</f>
        <v>Bowser</v>
      </c>
      <c r="G103" s="18">
        <v>4</v>
      </c>
      <c r="H103" s="18" t="str" cm="1">
        <f t="array" aca="1" ref="H103" ca="1">IF(F103="","",IFERROR(INDEX(_xlfn.SORTBY(OFFSET(F103,-MOD(ROW()-5,14),0,9,1),OFFSET(G103,-MOD(ROW()-5,14),0,9,1),1),MOD(ROW()-5,14)+1),""))</f>
        <v>Yoshi</v>
      </c>
      <c r="I103" s="18"/>
    </row>
    <row r="104" spans="1:9">
      <c r="A104" s="18" t="str" cm="1">
        <f t="array" aca="1" ref="A104" ca="1">_xlfn.LET(_xlpm.owner,INDEX($B:$B,3+14*QUOTIENT(ROW()-5,14)),_xlpm.slot,MOD(ROW()-5,14)+1,IF(_xlpm.owner="","",IFERROR(INDEX(Draft!$H$6:$N$14,_xlpm.slot,MATCH(_xlpm.owner,Draft!$H$5:$N$5,0)),"")))</f>
        <v>Mii</v>
      </c>
      <c r="B104" s="18">
        <v>6</v>
      </c>
      <c r="C104" s="18" t="str" cm="1">
        <f t="array" aca="1" ref="C104" ca="1">IF(A104="","",IFERROR(INDEX(_xlfn.SORTBY(OFFSET(A104,-MOD(ROW()-5,14),0,9,1),OFFSET(B104,-MOD(ROW()-5,14),0,9,1),1),MOD(ROW()-5,14)+1),""))</f>
        <v>Green Dry Bones</v>
      </c>
      <c r="D104" s="18"/>
      <c r="E104" s="18"/>
      <c r="F104" s="18" t="str" cm="1">
        <f t="array" aca="1" ref="F104" ca="1">_xlfn.LET(_xlpm.owner,INDEX($G:$G,3+14*QUOTIENT(ROW()-5,14)),_xlpm.slot,MOD(ROW()-5,14)+1,IF(_xlpm.owner="","",IFERROR(INDEX(Draft!$H$6:$N$14,_xlpm.slot,MATCH(_xlpm.owner,Draft!$H$5:$N$5,0)),"")))</f>
        <v>Peach</v>
      </c>
      <c r="G104" s="18">
        <v>7</v>
      </c>
      <c r="H104" s="18" t="str" cm="1">
        <f t="array" aca="1" ref="H104" ca="1">IF(F104="","",IFERROR(INDEX(_xlfn.SORTBY(OFFSET(F104,-MOD(ROW()-5,14),0,9,1),OFFSET(G104,-MOD(ROW()-5,14),0,9,1),1),MOD(ROW()-5,14)+1),""))</f>
        <v>Brown Kritter</v>
      </c>
      <c r="I104" s="18"/>
    </row>
    <row r="105" spans="1:9">
      <c r="A105" s="18" t="str" cm="1">
        <f t="array" aca="1" ref="A105" ca="1">_xlfn.LET(_xlpm.owner,INDEX($B:$B,3+14*QUOTIENT(ROW()-5,14)),_xlpm.slot,MOD(ROW()-5,14)+1,IF(_xlpm.owner="","",IFERROR(INDEX(Draft!$H$6:$N$14,_xlpm.slot,MATCH(_xlpm.owner,Draft!$H$5:$N$5,0)),"")))</f>
        <v>Toadette</v>
      </c>
      <c r="B105" s="18">
        <v>5</v>
      </c>
      <c r="C105" s="18" t="str" cm="1">
        <f t="array" aca="1" ref="C105" ca="1">IF(A105="","",IFERROR(INDEX(_xlfn.SORTBY(OFFSET(A105,-MOD(ROW()-5,14),0,9,1),OFFSET(B105,-MOD(ROW()-5,14),0,9,1),1),MOD(ROW()-5,14)+1),""))</f>
        <v>Wiggler</v>
      </c>
      <c r="D105" s="18"/>
      <c r="E105" s="18"/>
      <c r="F105" s="18" t="str" cm="1">
        <f t="array" aca="1" ref="F105" ca="1">_xlfn.LET(_xlpm.owner,INDEX($G:$G,3+14*QUOTIENT(ROW()-5,14)),_xlpm.slot,MOD(ROW()-5,14)+1,IF(_xlpm.owner="","",IFERROR(INDEX(Draft!$H$6:$N$14,_xlpm.slot,MATCH(_xlpm.owner,Draft!$H$5:$N$5,0)),"")))</f>
        <v>Yoshi</v>
      </c>
      <c r="G105" s="18">
        <v>1</v>
      </c>
      <c r="H105" s="18" t="str" cm="1">
        <f t="array" aca="1" ref="H105" ca="1">IF(F105="","",IFERROR(INDEX(_xlfn.SORTBY(OFFSET(F105,-MOD(ROW()-5,14),0,9,1),OFFSET(G105,-MOD(ROW()-5,14),0,9,1),1),MOD(ROW()-5,14)+1),""))</f>
        <v>King K. Rool</v>
      </c>
      <c r="I105" s="18"/>
    </row>
    <row r="106" spans="1:9">
      <c r="A106" s="18" t="str" cm="1">
        <f t="array" aca="1" ref="A106" ca="1">_xlfn.LET(_xlpm.owner,INDEX($B:$B,3+14*QUOTIENT(ROW()-5,14)),_xlpm.slot,MOD(ROW()-5,14)+1,IF(_xlpm.owner="","",IFERROR(INDEX(Draft!$H$6:$N$14,_xlpm.slot,MATCH(_xlpm.owner,Draft!$H$5:$N$5,0)),"")))</f>
        <v>Blue Toad</v>
      </c>
      <c r="B106" s="18">
        <v>9</v>
      </c>
      <c r="C106" s="18" t="str" cm="1">
        <f t="array" aca="1" ref="C106" ca="1">IF(A106="","",IFERROR(INDEX(_xlfn.SORTBY(OFFSET(A106,-MOD(ROW()-5,14),0,9,1),OFFSET(B106,-MOD(ROW()-5,14),0,9,1),1),MOD(ROW()-5,14)+1),""))</f>
        <v>Wario</v>
      </c>
      <c r="D106" s="18"/>
      <c r="E106" s="18"/>
      <c r="F106" s="18" t="str" cm="1">
        <f t="array" aca="1" ref="F106" ca="1">_xlfn.LET(_xlpm.owner,INDEX($G:$G,3+14*QUOTIENT(ROW()-5,14)),_xlpm.slot,MOD(ROW()-5,14)+1,IF(_xlpm.owner="","",IFERROR(INDEX(Draft!$H$6:$N$14,_xlpm.slot,MATCH(_xlpm.owner,Draft!$H$5:$N$5,0)),"")))</f>
        <v>King K. Rool</v>
      </c>
      <c r="G106" s="18">
        <v>3</v>
      </c>
      <c r="H106" s="18" t="str" cm="1">
        <f t="array" aca="1" ref="H106" ca="1">IF(F106="","",IFERROR(INDEX(_xlfn.SORTBY(OFFSET(F106,-MOD(ROW()-5,14),0,9,1),OFFSET(G106,-MOD(ROW()-5,14),0,9,1),1),MOD(ROW()-5,14)+1),""))</f>
        <v>Bowser</v>
      </c>
      <c r="I106" s="18"/>
    </row>
    <row r="107" spans="1:9">
      <c r="A107" s="18" t="str" cm="1">
        <f t="array" aca="1" ref="A107" ca="1">_xlfn.LET(_xlpm.owner,INDEX($B:$B,3+14*QUOTIENT(ROW()-5,14)),_xlpm.slot,MOD(ROW()-5,14)+1,IF(_xlpm.owner="","",IFERROR(INDEX(Draft!$H$6:$N$14,_xlpm.slot,MATCH(_xlpm.owner,Draft!$H$5:$N$5,0)),"")))</f>
        <v>Monty Mole</v>
      </c>
      <c r="B107" s="18">
        <v>1</v>
      </c>
      <c r="C107" s="18" t="str" cm="1">
        <f t="array" aca="1" ref="C107" ca="1">IF(A107="","",IFERROR(INDEX(_xlfn.SORTBY(OFFSET(A107,-MOD(ROW()-5,14),0,9,1),OFFSET(B107,-MOD(ROW()-5,14),0,9,1),1),MOD(ROW()-5,14)+1),""))</f>
        <v>Toadette</v>
      </c>
      <c r="D107" s="18"/>
      <c r="E107" s="18"/>
      <c r="F107" s="18" t="str" cm="1">
        <f t="array" aca="1" ref="F107" ca="1">_xlfn.LET(_xlpm.owner,INDEX($G:$G,3+14*QUOTIENT(ROW()-5,14)),_xlpm.slot,MOD(ROW()-5,14)+1,IF(_xlpm.owner="","",IFERROR(INDEX(Draft!$H$6:$N$14,_xlpm.slot,MATCH(_xlpm.owner,Draft!$H$5:$N$5,0)),"")))</f>
        <v>Baby Daisy</v>
      </c>
      <c r="G107" s="18">
        <v>9</v>
      </c>
      <c r="H107" s="18" t="str" cm="1">
        <f t="array" aca="1" ref="H107" ca="1">IF(F107="","",IFERROR(INDEX(_xlfn.SORTBY(OFFSET(F107,-MOD(ROW()-5,14),0,9,1),OFFSET(G107,-MOD(ROW()-5,14),0,9,1),1),MOD(ROW()-5,14)+1),""))</f>
        <v>Blooper</v>
      </c>
      <c r="I107" s="18"/>
    </row>
    <row r="108" spans="1:9">
      <c r="A108" s="18" t="str" cm="1">
        <f t="array" aca="1" ref="A108" ca="1">_xlfn.LET(_xlpm.owner,INDEX($B:$B,3+14*QUOTIENT(ROW()-5,14)),_xlpm.slot,MOD(ROW()-5,14)+1,IF(_xlpm.owner="","",IFERROR(INDEX(Draft!$H$6:$N$14,_xlpm.slot,MATCH(_xlpm.owner,Draft!$H$5:$N$5,0)),"")))</f>
        <v>Wario</v>
      </c>
      <c r="B108" s="18">
        <v>4</v>
      </c>
      <c r="C108" s="18" t="str" cm="1">
        <f t="array" aca="1" ref="C108" ca="1">IF(A108="","",IFERROR(INDEX(_xlfn.SORTBY(OFFSET(A108,-MOD(ROW()-5,14),0,9,1),OFFSET(B108,-MOD(ROW()-5,14),0,9,1),1),MOD(ROW()-5,14)+1),""))</f>
        <v>Mii</v>
      </c>
      <c r="D108" s="18"/>
      <c r="E108" s="18"/>
      <c r="F108" s="18" t="str" cm="1">
        <f t="array" aca="1" ref="F108" ca="1">_xlfn.LET(_xlpm.owner,INDEX($G:$G,3+14*QUOTIENT(ROW()-5,14)),_xlpm.slot,MOD(ROW()-5,14)+1,IF(_xlpm.owner="","",IFERROR(INDEX(Draft!$H$6:$N$14,_xlpm.slot,MATCH(_xlpm.owner,Draft!$H$5:$N$5,0)),"")))</f>
        <v>Baby Mario</v>
      </c>
      <c r="G108" s="18">
        <v>8</v>
      </c>
      <c r="H108" s="18" t="str" cm="1">
        <f t="array" aca="1" ref="H108" ca="1">IF(F108="","",IFERROR(INDEX(_xlfn.SORTBY(OFFSET(F108,-MOD(ROW()-5,14),0,9,1),OFFSET(G108,-MOD(ROW()-5,14),0,9,1),1),MOD(ROW()-5,14)+1),""))</f>
        <v>Yellow Toad</v>
      </c>
      <c r="I108" s="18"/>
    </row>
    <row r="109" spans="1:9">
      <c r="A109" s="18" t="str" cm="1">
        <f t="array" aca="1" ref="A109" ca="1">_xlfn.LET(_xlpm.owner,INDEX($B:$B,3+14*QUOTIENT(ROW()-5,14)),_xlpm.slot,MOD(ROW()-5,14)+1,IF(_xlpm.owner="","",IFERROR(INDEX(Draft!$H$6:$N$14,_xlpm.slot,MATCH(_xlpm.owner,Draft!$H$5:$N$5,0)),"")))</f>
        <v>Wiggler</v>
      </c>
      <c r="B109" s="18">
        <v>3</v>
      </c>
      <c r="C109" s="18" t="str" cm="1">
        <f t="array" aca="1" ref="C109" ca="1">IF(A109="","",IFERROR(INDEX(_xlfn.SORTBY(OFFSET(A109,-MOD(ROW()-5,14),0,9,1),OFFSET(B109,-MOD(ROW()-5,14),0,9,1),1),MOD(ROW()-5,14)+1),""))</f>
        <v>Boomerang Bro</v>
      </c>
      <c r="D109" s="18"/>
      <c r="E109" s="18"/>
      <c r="F109" s="18" t="str" cm="1">
        <f t="array" aca="1" ref="F109" ca="1">_xlfn.LET(_xlpm.owner,INDEX($G:$G,3+14*QUOTIENT(ROW()-5,14)),_xlpm.slot,MOD(ROW()-5,14)+1,IF(_xlpm.owner="","",IFERROR(INDEX(Draft!$H$6:$N$14,_xlpm.slot,MATCH(_xlpm.owner,Draft!$H$5:$N$5,0)),"")))</f>
        <v>Brown Kritter</v>
      </c>
      <c r="G109" s="18">
        <v>2</v>
      </c>
      <c r="H109" s="18" t="str" cm="1">
        <f t="array" aca="1" ref="H109" ca="1">IF(F109="","",IFERROR(INDEX(_xlfn.SORTBY(OFFSET(F109,-MOD(ROW()-5,14),0,9,1),OFFSET(G109,-MOD(ROW()-5,14),0,9,1),1),MOD(ROW()-5,14)+1),""))</f>
        <v>Peach</v>
      </c>
      <c r="I109" s="18"/>
    </row>
    <row r="110" spans="1:9">
      <c r="A110" s="18" t="str" cm="1">
        <f t="array" aca="1" ref="A110" ca="1">_xlfn.LET(_xlpm.owner,INDEX($B:$B,3+14*QUOTIENT(ROW()-5,14)),_xlpm.slot,MOD(ROW()-5,14)+1,IF(_xlpm.owner="","",IFERROR(INDEX(Draft!$H$6:$N$14,_xlpm.slot,MATCH(_xlpm.owner,Draft!$H$5:$N$5,0)),"")))</f>
        <v>Boomerang Bro</v>
      </c>
      <c r="B110" s="18">
        <v>7</v>
      </c>
      <c r="C110" s="18" t="str" cm="1">
        <f t="array" aca="1" ref="C110" ca="1">IF(A110="","",IFERROR(INDEX(_xlfn.SORTBY(OFFSET(A110,-MOD(ROW()-5,14),0,9,1),OFFSET(B110,-MOD(ROW()-5,14),0,9,1),1),MOD(ROW()-5,14)+1),""))</f>
        <v>Daisy</v>
      </c>
      <c r="D110" s="18"/>
      <c r="E110" s="18"/>
      <c r="F110" s="18" t="str" cm="1">
        <f t="array" aca="1" ref="F110" ca="1">_xlfn.LET(_xlpm.owner,INDEX($G:$G,3+14*QUOTIENT(ROW()-5,14)),_xlpm.slot,MOD(ROW()-5,14)+1,IF(_xlpm.owner="","",IFERROR(INDEX(Draft!$H$6:$N$14,_xlpm.slot,MATCH(_xlpm.owner,Draft!$H$5:$N$5,0)),"")))</f>
        <v>Blooper</v>
      </c>
      <c r="G110" s="18">
        <v>5</v>
      </c>
      <c r="H110" s="18" t="str" cm="1">
        <f t="array" aca="1" ref="H110" ca="1">IF(F110="","",IFERROR(INDEX(_xlfn.SORTBY(OFFSET(F110,-MOD(ROW()-5,14),0,9,1),OFFSET(G110,-MOD(ROW()-5,14),0,9,1),1),MOD(ROW()-5,14)+1),""))</f>
        <v>Baby Mario</v>
      </c>
      <c r="I110" s="18"/>
    </row>
    <row r="111" spans="1:9">
      <c r="A111" s="18" t="str" cm="1">
        <f t="array" aca="1" ref="A111" ca="1">_xlfn.LET(_xlpm.owner,INDEX($B:$B,3+14*QUOTIENT(ROW()-5,14)),_xlpm.slot,MOD(ROW()-5,14)+1,IF(_xlpm.owner="","",IFERROR(INDEX(Draft!$H$6:$N$14,_xlpm.slot,MATCH(_xlpm.owner,Draft!$H$5:$N$5,0)),"")))</f>
        <v>Green Dry Bones</v>
      </c>
      <c r="B111" s="18">
        <v>2</v>
      </c>
      <c r="C111" s="18" t="str" cm="1">
        <f t="array" aca="1" ref="C111" ca="1">IF(A111="","",IFERROR(INDEX(_xlfn.SORTBY(OFFSET(A111,-MOD(ROW()-5,14),0,9,1),OFFSET(B111,-MOD(ROW()-5,14),0,9,1),1),MOD(ROW()-5,14)+1),""))</f>
        <v>Blue Toad</v>
      </c>
      <c r="D111" s="18"/>
      <c r="E111" s="18"/>
      <c r="F111" s="18" t="str" cm="1">
        <f t="array" aca="1" ref="F111" ca="1">_xlfn.LET(_xlpm.owner,INDEX($G:$G,3+14*QUOTIENT(ROW()-5,14)),_xlpm.slot,MOD(ROW()-5,14)+1,IF(_xlpm.owner="","",IFERROR(INDEX(Draft!$H$6:$N$14,_xlpm.slot,MATCH(_xlpm.owner,Draft!$H$5:$N$5,0)),"")))</f>
        <v>Yellow Toad</v>
      </c>
      <c r="G111" s="18">
        <v>6</v>
      </c>
      <c r="H111" s="18" t="str" cm="1">
        <f t="array" aca="1" ref="H111" ca="1">IF(F111="","",IFERROR(INDEX(_xlfn.SORTBY(OFFSET(F111,-MOD(ROW()-5,14),0,9,1),OFFSET(G111,-MOD(ROW()-5,14),0,9,1),1),MOD(ROW()-5,14)+1),""))</f>
        <v>Baby Daisy</v>
      </c>
      <c r="I111" s="18"/>
    </row>
    <row r="112" spans="1:9">
      <c r="A112" s="18"/>
      <c r="B112" s="18"/>
      <c r="C112" s="18"/>
      <c r="D112" s="18"/>
      <c r="E112" s="18"/>
      <c r="F112" s="18"/>
      <c r="G112" s="18"/>
      <c r="H112" s="18"/>
      <c r="I112" s="18"/>
    </row>
    <row r="113" spans="1:9">
      <c r="A113" s="34" t="str">
        <f t="shared" ref="A113:A144" si="7">"Game "&amp;(QUOTIENT(ROW()-1,14)+1)&amp;" Lineups"</f>
        <v>Game 9 Lineups</v>
      </c>
      <c r="B113" s="18"/>
      <c r="C113" s="18"/>
      <c r="D113" s="18"/>
      <c r="E113" s="18"/>
      <c r="F113" s="18"/>
      <c r="G113" s="18"/>
      <c r="H113" s="18"/>
      <c r="I113" s="18"/>
    </row>
    <row r="114" spans="1:9">
      <c r="A114" s="18" t="s">
        <v>95</v>
      </c>
      <c r="B114" s="18" t="str" cm="1">
        <f t="array" ref="B114">INDEX(Bracket!$F$6:$F$20,QUOTIENT(ROW()-2,14)+1)</f>
        <v>G9</v>
      </c>
      <c r="C114" s="18"/>
      <c r="D114" s="18" t="s">
        <v>96</v>
      </c>
      <c r="E114" s="18" t="str" cm="1">
        <f t="array" ref="E114">INDEX(Bracket!$G$6:$G$20,QUOTIENT(ROW()-2,14)+1)</f>
        <v>Losers Final</v>
      </c>
      <c r="F114" s="18"/>
      <c r="G114" s="18"/>
      <c r="H114" s="18"/>
      <c r="I114" s="18"/>
    </row>
    <row r="115" spans="1:9">
      <c r="A115" s="18" t="s">
        <v>97</v>
      </c>
      <c r="B115" s="18" t="s">
        <v>21</v>
      </c>
      <c r="C115" s="18"/>
      <c r="D115" s="18"/>
      <c r="E115" s="18"/>
      <c r="F115" s="18" t="s">
        <v>98</v>
      </c>
      <c r="G115" s="18" t="str" cm="1">
        <f t="array" aca="1" ref="G115" ca="1">INDEX(Bracket!$I$6:$I$20,QUOTIENT(ROW()-3,14)+1)</f>
        <v>May</v>
      </c>
      <c r="H115" s="18"/>
      <c r="I115" s="18"/>
    </row>
    <row r="116" spans="1:9">
      <c r="A116" s="35" t="s">
        <v>99</v>
      </c>
      <c r="B116" s="35" t="s">
        <v>100</v>
      </c>
      <c r="C116" s="35" t="s">
        <v>101</v>
      </c>
      <c r="D116" s="18"/>
      <c r="E116" s="18"/>
      <c r="F116" s="35" t="s">
        <v>99</v>
      </c>
      <c r="G116" s="35" t="s">
        <v>100</v>
      </c>
      <c r="H116" s="35" t="s">
        <v>101</v>
      </c>
      <c r="I116" s="18"/>
    </row>
    <row r="117" spans="1:9">
      <c r="A117" s="18" t="str" cm="1">
        <f t="array" aca="1" ref="A117" ca="1">_xlfn.LET(_xlpm.owner,INDEX($B:$B,3+14*QUOTIENT(ROW()-5,14)),_xlpm.slot,MOD(ROW()-5,14)+1,IF(_xlpm.owner="","",IFERROR(INDEX(Draft!$H$6:$N$14,_xlpm.slot,MATCH(_xlpm.owner,Draft!$H$5:$N$5,0)),"")))</f>
        <v>Bowser</v>
      </c>
      <c r="B117" s="18">
        <v>3</v>
      </c>
      <c r="C117" s="18" t="str" cm="1">
        <f t="array" aca="1" ref="C117" ca="1">IF(A117="","",IFERROR(INDEX(_xlfn.SORTBY(OFFSET(A117,-MOD(ROW()-5,14),0,9,1),OFFSET(B117,-MOD(ROW()-5,14),0,9,1),1),MOD(ROW()-5,14)+1),""))</f>
        <v>Yoshi</v>
      </c>
      <c r="D117" s="18"/>
      <c r="E117" s="18"/>
      <c r="F117" s="18" t="str" cm="1">
        <f t="array" aca="1" ref="F117" ca="1">_xlfn.LET(_xlpm.owner,INDEX($G:$G,3+14*QUOTIENT(ROW()-5,14)),_xlpm.slot,MOD(ROW()-5,14)+1,IF(_xlpm.owner="","",IFERROR(INDEX(Draft!$H$6:$N$14,_xlpm.slot,MATCH(_xlpm.owner,Draft!$H$5:$N$5,0)),"")))</f>
        <v>Birdo</v>
      </c>
      <c r="G117" s="18">
        <v>1</v>
      </c>
      <c r="H117" s="18" t="str" cm="1">
        <f t="array" aca="1" ref="H117" ca="1">IF(F117="","",IFERROR(INDEX(_xlfn.SORTBY(OFFSET(F117,-MOD(ROW()-5,14),0,9,1),OFFSET(G117,-MOD(ROW()-5,14),0,9,1),1),MOD(ROW()-5,14)+1),""))</f>
        <v>Birdo</v>
      </c>
      <c r="I117" s="18"/>
    </row>
    <row r="118" spans="1:9">
      <c r="A118" s="18" t="str" cm="1">
        <f t="array" aca="1" ref="A118" ca="1">_xlfn.LET(_xlpm.owner,INDEX($B:$B,3+14*QUOTIENT(ROW()-5,14)),_xlpm.slot,MOD(ROW()-5,14)+1,IF(_xlpm.owner="","",IFERROR(INDEX(Draft!$H$6:$N$14,_xlpm.slot,MATCH(_xlpm.owner,Draft!$H$5:$N$5,0)),"")))</f>
        <v>Peach</v>
      </c>
      <c r="B118" s="18">
        <v>7</v>
      </c>
      <c r="C118" s="18" t="str" cm="1">
        <f t="array" aca="1" ref="C118" ca="1">IF(A118="","",IFERROR(INDEX(_xlfn.SORTBY(OFFSET(A118,-MOD(ROW()-5,14),0,9,1),OFFSET(B118,-MOD(ROW()-5,14),0,9,1),1),MOD(ROW()-5,14)+1),""))</f>
        <v>Brown Kritter</v>
      </c>
      <c r="D118" s="18"/>
      <c r="E118" s="18"/>
      <c r="F118" s="18" t="str" cm="1">
        <f t="array" aca="1" ref="F118" ca="1">_xlfn.LET(_xlpm.owner,INDEX($G:$G,3+14*QUOTIENT(ROW()-5,14)),_xlpm.slot,MOD(ROW()-5,14)+1,IF(_xlpm.owner="","",IFERROR(INDEX(Draft!$H$6:$N$14,_xlpm.slot,MATCH(_xlpm.owner,Draft!$H$5:$N$5,0)),"")))</f>
        <v>Petey Piranha</v>
      </c>
      <c r="G118" s="18">
        <v>3</v>
      </c>
      <c r="H118" s="18" t="str" cm="1">
        <f t="array" aca="1" ref="H118" ca="1">IF(F118="","",IFERROR(INDEX(_xlfn.SORTBY(OFFSET(F118,-MOD(ROW()-5,14),0,9,1),OFFSET(G118,-MOD(ROW()-5,14),0,9,1),1),MOD(ROW()-5,14)+1),""))</f>
        <v>Red Kritter</v>
      </c>
      <c r="I118" s="18"/>
    </row>
    <row r="119" spans="1:9">
      <c r="A119" s="18" t="str" cm="1">
        <f t="array" aca="1" ref="A119" ca="1">_xlfn.LET(_xlpm.owner,INDEX($B:$B,3+14*QUOTIENT(ROW()-5,14)),_xlpm.slot,MOD(ROW()-5,14)+1,IF(_xlpm.owner="","",IFERROR(INDEX(Draft!$H$6:$N$14,_xlpm.slot,MATCH(_xlpm.owner,Draft!$H$5:$N$5,0)),"")))</f>
        <v>Yoshi</v>
      </c>
      <c r="B119" s="18">
        <v>1</v>
      </c>
      <c r="C119" s="18" t="str" cm="1">
        <f t="array" aca="1" ref="C119" ca="1">IF(A119="","",IFERROR(INDEX(_xlfn.SORTBY(OFFSET(A119,-MOD(ROW()-5,14),0,9,1),OFFSET(B119,-MOD(ROW()-5,14),0,9,1),1),MOD(ROW()-5,14)+1),""))</f>
        <v>Bowser</v>
      </c>
      <c r="D119" s="18"/>
      <c r="E119" s="18"/>
      <c r="F119" s="18" t="str" cm="1">
        <f t="array" aca="1" ref="F119" ca="1">_xlfn.LET(_xlpm.owner,INDEX($G:$G,3+14*QUOTIENT(ROW()-5,14)),_xlpm.slot,MOD(ROW()-5,14)+1,IF(_xlpm.owner="","",IFERROR(INDEX(Draft!$H$6:$N$14,_xlpm.slot,MATCH(_xlpm.owner,Draft!$H$5:$N$5,0)),"")))</f>
        <v>King Boo</v>
      </c>
      <c r="G119" s="18">
        <v>4</v>
      </c>
      <c r="H119" s="18" t="str" cm="1">
        <f t="array" aca="1" ref="H119" ca="1">IF(F119="","",IFERROR(INDEX(_xlfn.SORTBY(OFFSET(F119,-MOD(ROW()-5,14),0,9,1),OFFSET(G119,-MOD(ROW()-5,14),0,9,1),1),MOD(ROW()-5,14)+1),""))</f>
        <v>Petey Piranha</v>
      </c>
      <c r="I119" s="18"/>
    </row>
    <row r="120" spans="1:9">
      <c r="A120" s="18" t="str" cm="1">
        <f t="array" aca="1" ref="A120" ca="1">_xlfn.LET(_xlpm.owner,INDEX($B:$B,3+14*QUOTIENT(ROW()-5,14)),_xlpm.slot,MOD(ROW()-5,14)+1,IF(_xlpm.owner="","",IFERROR(INDEX(Draft!$H$6:$N$14,_xlpm.slot,MATCH(_xlpm.owner,Draft!$H$5:$N$5,0)),"")))</f>
        <v>King K. Rool</v>
      </c>
      <c r="B120" s="18">
        <v>4</v>
      </c>
      <c r="C120" s="18" t="str" cm="1">
        <f t="array" aca="1" ref="C120" ca="1">IF(A120="","",IFERROR(INDEX(_xlfn.SORTBY(OFFSET(A120,-MOD(ROW()-5,14),0,9,1),OFFSET(B120,-MOD(ROW()-5,14),0,9,1),1),MOD(ROW()-5,14)+1),""))</f>
        <v>King K. Rool</v>
      </c>
      <c r="D120" s="18"/>
      <c r="E120" s="18"/>
      <c r="F120" s="18" t="str" cm="1">
        <f t="array" aca="1" ref="F120" ca="1">_xlfn.LET(_xlpm.owner,INDEX($G:$G,3+14*QUOTIENT(ROW()-5,14)),_xlpm.slot,MOD(ROW()-5,14)+1,IF(_xlpm.owner="","",IFERROR(INDEX(Draft!$H$6:$N$14,_xlpm.slot,MATCH(_xlpm.owner,Draft!$H$5:$N$5,0)),"")))</f>
        <v>Red Kritter</v>
      </c>
      <c r="G120" s="18">
        <v>2</v>
      </c>
      <c r="H120" s="18" t="str" cm="1">
        <f t="array" aca="1" ref="H120" ca="1">IF(F120="","",IFERROR(INDEX(_xlfn.SORTBY(OFFSET(F120,-MOD(ROW()-5,14),0,9,1),OFFSET(G120,-MOD(ROW()-5,14),0,9,1),1),MOD(ROW()-5,14)+1),""))</f>
        <v>King Boo</v>
      </c>
      <c r="I120" s="18"/>
    </row>
    <row r="121" spans="1:9">
      <c r="A121" s="18" t="str" cm="1">
        <f t="array" aca="1" ref="A121" ca="1">_xlfn.LET(_xlpm.owner,INDEX($B:$B,3+14*QUOTIENT(ROW()-5,14)),_xlpm.slot,MOD(ROW()-5,14)+1,IF(_xlpm.owner="","",IFERROR(INDEX(Draft!$H$6:$N$14,_xlpm.slot,MATCH(_xlpm.owner,Draft!$H$5:$N$5,0)),"")))</f>
        <v>Baby Daisy</v>
      </c>
      <c r="B121" s="18">
        <v>9</v>
      </c>
      <c r="C121" s="18" t="str" cm="1">
        <f t="array" aca="1" ref="C121" ca="1">IF(A121="","",IFERROR(INDEX(_xlfn.SORTBY(OFFSET(A121,-MOD(ROW()-5,14),0,9,1),OFFSET(B121,-MOD(ROW()-5,14),0,9,1),1),MOD(ROW()-5,14)+1),""))</f>
        <v>Blooper</v>
      </c>
      <c r="D121" s="18"/>
      <c r="E121" s="18"/>
      <c r="F121" s="18" t="str" cm="1">
        <f t="array" aca="1" ref="F121" ca="1">_xlfn.LET(_xlpm.owner,INDEX($G:$G,3+14*QUOTIENT(ROW()-5,14)),_xlpm.slot,MOD(ROW()-5,14)+1,IF(_xlpm.owner="","",IFERROR(INDEX(Draft!$H$6:$N$14,_xlpm.slot,MATCH(_xlpm.owner,Draft!$H$5:$N$5,0)),"")))</f>
        <v>Red Yoshi</v>
      </c>
      <c r="G121" s="18">
        <v>6</v>
      </c>
      <c r="H121" s="18" t="str" cm="1">
        <f t="array" aca="1" ref="H121" ca="1">IF(F121="","",IFERROR(INDEX(_xlfn.SORTBY(OFFSET(F121,-MOD(ROW()-5,14),0,9,1),OFFSET(G121,-MOD(ROW()-5,14),0,9,1),1),MOD(ROW()-5,14)+1),""))</f>
        <v>Hammer Bro</v>
      </c>
      <c r="I121" s="18"/>
    </row>
    <row r="122" spans="1:9">
      <c r="A122" s="18" t="str" cm="1">
        <f t="array" aca="1" ref="A122" ca="1">_xlfn.LET(_xlpm.owner,INDEX($B:$B,3+14*QUOTIENT(ROW()-5,14)),_xlpm.slot,MOD(ROW()-5,14)+1,IF(_xlpm.owner="","",IFERROR(INDEX(Draft!$H$6:$N$14,_xlpm.slot,MATCH(_xlpm.owner,Draft!$H$5:$N$5,0)),"")))</f>
        <v>Baby Mario</v>
      </c>
      <c r="B122" s="18">
        <v>8</v>
      </c>
      <c r="C122" s="18" t="str" cm="1">
        <f t="array" aca="1" ref="C122" ca="1">IF(A122="","",IFERROR(INDEX(_xlfn.SORTBY(OFFSET(A122,-MOD(ROW()-5,14),0,9,1),OFFSET(B122,-MOD(ROW()-5,14),0,9,1),1),MOD(ROW()-5,14)+1),""))</f>
        <v>Yellow Toad</v>
      </c>
      <c r="D122" s="18"/>
      <c r="E122" s="18"/>
      <c r="F122" s="18" t="str" cm="1">
        <f t="array" aca="1" ref="F122" ca="1">_xlfn.LET(_xlpm.owner,INDEX($G:$G,3+14*QUOTIENT(ROW()-5,14)),_xlpm.slot,MOD(ROW()-5,14)+1,IF(_xlpm.owner="","",IFERROR(INDEX(Draft!$H$6:$N$14,_xlpm.slot,MATCH(_xlpm.owner,Draft!$H$5:$N$5,0)),"")))</f>
        <v>Baby Peach</v>
      </c>
      <c r="G122" s="18">
        <v>9</v>
      </c>
      <c r="H122" s="18" t="str" cm="1">
        <f t="array" aca="1" ref="H122" ca="1">IF(F122="","",IFERROR(INDEX(_xlfn.SORTBY(OFFSET(F122,-MOD(ROW()-5,14),0,9,1),OFFSET(G122,-MOD(ROW()-5,14),0,9,1),1),MOD(ROW()-5,14)+1),""))</f>
        <v>Red Yoshi</v>
      </c>
      <c r="I122" s="18"/>
    </row>
    <row r="123" spans="1:9">
      <c r="A123" s="18" t="str" cm="1">
        <f t="array" aca="1" ref="A123" ca="1">_xlfn.LET(_xlpm.owner,INDEX($B:$B,3+14*QUOTIENT(ROW()-5,14)),_xlpm.slot,MOD(ROW()-5,14)+1,IF(_xlpm.owner="","",IFERROR(INDEX(Draft!$H$6:$N$14,_xlpm.slot,MATCH(_xlpm.owner,Draft!$H$5:$N$5,0)),"")))</f>
        <v>Brown Kritter</v>
      </c>
      <c r="B123" s="18">
        <v>2</v>
      </c>
      <c r="C123" s="18" t="str" cm="1">
        <f t="array" aca="1" ref="C123" ca="1">IF(A123="","",IFERROR(INDEX(_xlfn.SORTBY(OFFSET(A123,-MOD(ROW()-5,14),0,9,1),OFFSET(B123,-MOD(ROW()-5,14),0,9,1),1),MOD(ROW()-5,14)+1),""))</f>
        <v>Peach</v>
      </c>
      <c r="D123" s="18"/>
      <c r="E123" s="18"/>
      <c r="F123" s="18" t="str" cm="1">
        <f t="array" aca="1" ref="F123" ca="1">_xlfn.LET(_xlpm.owner,INDEX($G:$G,3+14*QUOTIENT(ROW()-5,14)),_xlpm.slot,MOD(ROW()-5,14)+1,IF(_xlpm.owner="","",IFERROR(INDEX(Draft!$H$6:$N$14,_xlpm.slot,MATCH(_xlpm.owner,Draft!$H$5:$N$5,0)),"")))</f>
        <v>Hammer Bro</v>
      </c>
      <c r="G123" s="18">
        <v>5</v>
      </c>
      <c r="H123" s="18" t="str" cm="1">
        <f t="array" aca="1" ref="H123" ca="1">IF(F123="","",IFERROR(INDEX(_xlfn.SORTBY(OFFSET(F123,-MOD(ROW()-5,14),0,9,1),OFFSET(G123,-MOD(ROW()-5,14),0,9,1),1),MOD(ROW()-5,14)+1),""))</f>
        <v>Koopa</v>
      </c>
      <c r="I123" s="18"/>
    </row>
    <row r="124" spans="1:9">
      <c r="A124" s="18" t="str" cm="1">
        <f t="array" aca="1" ref="A124" ca="1">_xlfn.LET(_xlpm.owner,INDEX($B:$B,3+14*QUOTIENT(ROW()-5,14)),_xlpm.slot,MOD(ROW()-5,14)+1,IF(_xlpm.owner="","",IFERROR(INDEX(Draft!$H$6:$N$14,_xlpm.slot,MATCH(_xlpm.owner,Draft!$H$5:$N$5,0)),"")))</f>
        <v>Blooper</v>
      </c>
      <c r="B124" s="18">
        <v>5</v>
      </c>
      <c r="C124" s="18" t="str" cm="1">
        <f t="array" aca="1" ref="C124" ca="1">IF(A124="","",IFERROR(INDEX(_xlfn.SORTBY(OFFSET(A124,-MOD(ROW()-5,14),0,9,1),OFFSET(B124,-MOD(ROW()-5,14),0,9,1),1),MOD(ROW()-5,14)+1),""))</f>
        <v>Baby Mario</v>
      </c>
      <c r="D124" s="18"/>
      <c r="E124" s="18"/>
      <c r="F124" s="18" t="str" cm="1">
        <f t="array" aca="1" ref="F124" ca="1">_xlfn.LET(_xlpm.owner,INDEX($G:$G,3+14*QUOTIENT(ROW()-5,14)),_xlpm.slot,MOD(ROW()-5,14)+1,IF(_xlpm.owner="","",IFERROR(INDEX(Draft!$H$6:$N$14,_xlpm.slot,MATCH(_xlpm.owner,Draft!$H$5:$N$5,0)),"")))</f>
        <v>Green Shy Guy</v>
      </c>
      <c r="G124" s="18">
        <v>8</v>
      </c>
      <c r="H124" s="18" t="str" cm="1">
        <f t="array" aca="1" ref="H124" ca="1">IF(F124="","",IFERROR(INDEX(_xlfn.SORTBY(OFFSET(F124,-MOD(ROW()-5,14),0,9,1),OFFSET(G124,-MOD(ROW()-5,14),0,9,1),1),MOD(ROW()-5,14)+1),""))</f>
        <v>Green Shy Guy</v>
      </c>
      <c r="I124" s="18"/>
    </row>
    <row r="125" spans="1:9">
      <c r="A125" s="18" t="str" cm="1">
        <f t="array" aca="1" ref="A125" ca="1">_xlfn.LET(_xlpm.owner,INDEX($B:$B,3+14*QUOTIENT(ROW()-5,14)),_xlpm.slot,MOD(ROW()-5,14)+1,IF(_xlpm.owner="","",IFERROR(INDEX(Draft!$H$6:$N$14,_xlpm.slot,MATCH(_xlpm.owner,Draft!$H$5:$N$5,0)),"")))</f>
        <v>Yellow Toad</v>
      </c>
      <c r="B125" s="18">
        <v>6</v>
      </c>
      <c r="C125" s="18" t="str" cm="1">
        <f t="array" aca="1" ref="C125" ca="1">IF(A125="","",IFERROR(INDEX(_xlfn.SORTBY(OFFSET(A125,-MOD(ROW()-5,14),0,9,1),OFFSET(B125,-MOD(ROW()-5,14),0,9,1),1),MOD(ROW()-5,14)+1),""))</f>
        <v>Baby Daisy</v>
      </c>
      <c r="D125" s="18"/>
      <c r="E125" s="18"/>
      <c r="F125" s="18" t="str" cm="1">
        <f t="array" aca="1" ref="F125" ca="1">_xlfn.LET(_xlpm.owner,INDEX($G:$G,3+14*QUOTIENT(ROW()-5,14)),_xlpm.slot,MOD(ROW()-5,14)+1,IF(_xlpm.owner="","",IFERROR(INDEX(Draft!$H$6:$N$14,_xlpm.slot,MATCH(_xlpm.owner,Draft!$H$5:$N$5,0)),"")))</f>
        <v>Koopa</v>
      </c>
      <c r="G125" s="18">
        <v>7</v>
      </c>
      <c r="H125" s="18" t="str" cm="1">
        <f t="array" aca="1" ref="H125" ca="1">IF(F125="","",IFERROR(INDEX(_xlfn.SORTBY(OFFSET(F125,-MOD(ROW()-5,14),0,9,1),OFFSET(G125,-MOD(ROW()-5,14),0,9,1),1),MOD(ROW()-5,14)+1),""))</f>
        <v>Baby Peach</v>
      </c>
      <c r="I125" s="18"/>
    </row>
    <row r="126" spans="1:9">
      <c r="A126" s="18"/>
      <c r="B126" s="18"/>
      <c r="C126" s="18"/>
      <c r="D126" s="18"/>
      <c r="E126" s="18"/>
      <c r="F126" s="18"/>
      <c r="G126" s="18"/>
      <c r="H126" s="18"/>
      <c r="I126" s="18"/>
    </row>
    <row r="127" spans="1:9">
      <c r="A127" s="34" t="str">
        <f t="shared" ref="A127:A158" si="8">"Game "&amp;(QUOTIENT(ROW()-1,14)+1)&amp;" Lineups"</f>
        <v>Game 10 Lineups</v>
      </c>
      <c r="B127" s="18"/>
      <c r="C127" s="18"/>
      <c r="D127" s="18"/>
      <c r="E127" s="18"/>
      <c r="F127" s="18"/>
      <c r="G127" s="18"/>
      <c r="H127" s="18"/>
      <c r="I127" s="18"/>
    </row>
    <row r="128" spans="1:9">
      <c r="A128" s="18" t="s">
        <v>95</v>
      </c>
      <c r="B128" s="18" t="str" cm="1">
        <f t="array" ref="B128">INDEX(Bracket!$F$6:$F$20,QUOTIENT(ROW()-2,14)+1)</f>
        <v>G10</v>
      </c>
      <c r="C128" s="18"/>
      <c r="D128" s="18" t="s">
        <v>96</v>
      </c>
      <c r="E128" s="18" t="str" cm="1">
        <f t="array" ref="E128">INDEX(Bracket!$G$6:$G$20,QUOTIENT(ROW()-2,14)+1)</f>
        <v>CG-1</v>
      </c>
      <c r="F128" s="18"/>
      <c r="G128" s="18"/>
      <c r="H128" s="18"/>
      <c r="I128" s="18"/>
    </row>
    <row r="129" spans="1:9">
      <c r="A129" s="18" t="s">
        <v>97</v>
      </c>
      <c r="B129" s="18" t="str" cm="1">
        <f t="array" aca="1" ref="B129" ca="1">INDEX(Bracket!$H$6:$H$20,QUOTIENT(ROW()-3,14)+1)</f>
        <v>Nick</v>
      </c>
      <c r="C129" s="18"/>
      <c r="D129" s="18"/>
      <c r="E129" s="18"/>
      <c r="F129" s="18" t="s">
        <v>98</v>
      </c>
      <c r="G129" s="18" t="str" cm="1">
        <f t="array" aca="1" ref="G129" ca="1">INDEX(Bracket!$I$6:$I$20,QUOTIENT(ROW()-3,14)+1)</f>
        <v>Jason</v>
      </c>
      <c r="H129" s="18"/>
      <c r="I129" s="18"/>
    </row>
    <row r="130" spans="1:9">
      <c r="A130" s="35" t="s">
        <v>99</v>
      </c>
      <c r="B130" s="35" t="s">
        <v>100</v>
      </c>
      <c r="C130" s="35" t="s">
        <v>101</v>
      </c>
      <c r="D130" s="18"/>
      <c r="E130" s="18"/>
      <c r="F130" s="35" t="s">
        <v>99</v>
      </c>
      <c r="G130" s="35" t="s">
        <v>100</v>
      </c>
      <c r="H130" s="35" t="s">
        <v>101</v>
      </c>
      <c r="I130" s="18"/>
    </row>
    <row r="131" spans="1:9">
      <c r="A131" s="18" t="str" cm="1">
        <f t="array" aca="1" ref="A131" ca="1">_xlfn.LET(_xlpm.owner,INDEX($B:$B,3+14*QUOTIENT(ROW()-5,14)),_xlpm.slot,MOD(ROW()-5,14)+1,IF(_xlpm.owner="","",IFERROR(INDEX(Draft!$H$6:$N$14,_xlpm.slot,MATCH(_xlpm.owner,Draft!$H$5:$N$5,0)),"")))</f>
        <v>Daisy</v>
      </c>
      <c r="B131" s="18">
        <v>3</v>
      </c>
      <c r="C131" s="18" t="str" cm="1">
        <f t="array" aca="1" ref="C131" ca="1">IF(A131="","",IFERROR(INDEX(_xlfn.SORTBY(OFFSET(A131,-MOD(ROW()-5,14),0,9,1),OFFSET(B131,-MOD(ROW()-5,14),0,9,1),1),MOD(ROW()-5,14)+1),""))</f>
        <v>Monty Mole</v>
      </c>
      <c r="D131" s="18"/>
      <c r="E131" s="18"/>
      <c r="F131" s="18" t="str" cm="1">
        <f t="array" aca="1" ref="F131" ca="1">_xlfn.LET(_xlpm.owner,INDEX($G:$G,3+14*QUOTIENT(ROW()-5,14)),_xlpm.slot,MOD(ROW()-5,14)+1,IF(_xlpm.owner="","",IFERROR(INDEX(Draft!$H$6:$N$14,_xlpm.slot,MATCH(_xlpm.owner,Draft!$H$5:$N$5,0)),"")))</f>
        <v>Bowser</v>
      </c>
      <c r="G131" s="18">
        <v>3</v>
      </c>
      <c r="H131" s="18" t="str" cm="1">
        <f t="array" aca="1" ref="H131" ca="1">IF(F131="","",IFERROR(INDEX(_xlfn.SORTBY(OFFSET(F131,-MOD(ROW()-5,14),0,9,1),OFFSET(G131,-MOD(ROW()-5,14),0,9,1),1),MOD(ROW()-5,14)+1),""))</f>
        <v>Yoshi</v>
      </c>
      <c r="I131" s="18"/>
    </row>
    <row r="132" spans="1:9">
      <c r="A132" s="18" t="str" cm="1">
        <f t="array" aca="1" ref="A132" ca="1">_xlfn.LET(_xlpm.owner,INDEX($B:$B,3+14*QUOTIENT(ROW()-5,14)),_xlpm.slot,MOD(ROW()-5,14)+1,IF(_xlpm.owner="","",IFERROR(INDEX(Draft!$H$6:$N$14,_xlpm.slot,MATCH(_xlpm.owner,Draft!$H$5:$N$5,0)),"")))</f>
        <v>Mii</v>
      </c>
      <c r="B132" s="18">
        <v>6</v>
      </c>
      <c r="C132" s="18" t="str" cm="1">
        <f t="array" aca="1" ref="C132" ca="1">IF(A132="","",IFERROR(INDEX(_xlfn.SORTBY(OFFSET(A132,-MOD(ROW()-5,14),0,9,1),OFFSET(B132,-MOD(ROW()-5,14),0,9,1),1),MOD(ROW()-5,14)+1),""))</f>
        <v>Green Dry Bones</v>
      </c>
      <c r="D132" s="18"/>
      <c r="E132" s="18"/>
      <c r="F132" s="18" t="str" cm="1">
        <f t="array" aca="1" ref="F132" ca="1">_xlfn.LET(_xlpm.owner,INDEX($G:$G,3+14*QUOTIENT(ROW()-5,14)),_xlpm.slot,MOD(ROW()-5,14)+1,IF(_xlpm.owner="","",IFERROR(INDEX(Draft!$H$6:$N$14,_xlpm.slot,MATCH(_xlpm.owner,Draft!$H$5:$N$5,0)),"")))</f>
        <v>Peach</v>
      </c>
      <c r="G132" s="18">
        <v>7</v>
      </c>
      <c r="H132" s="18" t="str" cm="1">
        <f t="array" aca="1" ref="H132" ca="1">IF(F132="","",IFERROR(INDEX(_xlfn.SORTBY(OFFSET(F132,-MOD(ROW()-5,14),0,9,1),OFFSET(G132,-MOD(ROW()-5,14),0,9,1),1),MOD(ROW()-5,14)+1),""))</f>
        <v>Brown Kritter</v>
      </c>
      <c r="I132" s="18"/>
    </row>
    <row r="133" spans="1:9">
      <c r="A133" s="18" t="str" cm="1">
        <f t="array" aca="1" ref="A133" ca="1">_xlfn.LET(_xlpm.owner,INDEX($B:$B,3+14*QUOTIENT(ROW()-5,14)),_xlpm.slot,MOD(ROW()-5,14)+1,IF(_xlpm.owner="","",IFERROR(INDEX(Draft!$H$6:$N$14,_xlpm.slot,MATCH(_xlpm.owner,Draft!$H$5:$N$5,0)),"")))</f>
        <v>Toadette</v>
      </c>
      <c r="B133" s="18">
        <v>8</v>
      </c>
      <c r="C133" s="18" t="str" cm="1">
        <f t="array" aca="1" ref="C133" ca="1">IF(A133="","",IFERROR(INDEX(_xlfn.SORTBY(OFFSET(A133,-MOD(ROW()-5,14),0,9,1),OFFSET(B133,-MOD(ROW()-5,14),0,9,1),1),MOD(ROW()-5,14)+1),""))</f>
        <v>Daisy</v>
      </c>
      <c r="D133" s="18"/>
      <c r="E133" s="18"/>
      <c r="F133" s="18" t="str" cm="1">
        <f t="array" aca="1" ref="F133" ca="1">_xlfn.LET(_xlpm.owner,INDEX($G:$G,3+14*QUOTIENT(ROW()-5,14)),_xlpm.slot,MOD(ROW()-5,14)+1,IF(_xlpm.owner="","",IFERROR(INDEX(Draft!$H$6:$N$14,_xlpm.slot,MATCH(_xlpm.owner,Draft!$H$5:$N$5,0)),"")))</f>
        <v>Yoshi</v>
      </c>
      <c r="G133" s="18">
        <v>1</v>
      </c>
      <c r="H133" s="18" t="str" cm="1">
        <f t="array" aca="1" ref="H133" ca="1">IF(F133="","",IFERROR(INDEX(_xlfn.SORTBY(OFFSET(F133,-MOD(ROW()-5,14),0,9,1),OFFSET(G133,-MOD(ROW()-5,14),0,9,1),1),MOD(ROW()-5,14)+1),""))</f>
        <v>Bowser</v>
      </c>
      <c r="I133" s="18"/>
    </row>
    <row r="134" spans="1:9">
      <c r="A134" s="18" t="str" cm="1">
        <f t="array" aca="1" ref="A134" ca="1">_xlfn.LET(_xlpm.owner,INDEX($B:$B,3+14*QUOTIENT(ROW()-5,14)),_xlpm.slot,MOD(ROW()-5,14)+1,IF(_xlpm.owner="","",IFERROR(INDEX(Draft!$H$6:$N$14,_xlpm.slot,MATCH(_xlpm.owner,Draft!$H$5:$N$5,0)),"")))</f>
        <v>Blue Toad</v>
      </c>
      <c r="B134" s="18">
        <v>5</v>
      </c>
      <c r="C134" s="18" t="str" cm="1">
        <f t="array" aca="1" ref="C134" ca="1">IF(A134="","",IFERROR(INDEX(_xlfn.SORTBY(OFFSET(A134,-MOD(ROW()-5,14),0,9,1),OFFSET(B134,-MOD(ROW()-5,14),0,9,1),1),MOD(ROW()-5,14)+1),""))</f>
        <v>Wario</v>
      </c>
      <c r="D134" s="18"/>
      <c r="E134" s="18"/>
      <c r="F134" s="18" t="str" cm="1">
        <f t="array" aca="1" ref="F134" ca="1">_xlfn.LET(_xlpm.owner,INDEX($G:$G,3+14*QUOTIENT(ROW()-5,14)),_xlpm.slot,MOD(ROW()-5,14)+1,IF(_xlpm.owner="","",IFERROR(INDEX(Draft!$H$6:$N$14,_xlpm.slot,MATCH(_xlpm.owner,Draft!$H$5:$N$5,0)),"")))</f>
        <v>King K. Rool</v>
      </c>
      <c r="G134" s="18">
        <v>4</v>
      </c>
      <c r="H134" s="18" t="str" cm="1">
        <f t="array" aca="1" ref="H134" ca="1">IF(F134="","",IFERROR(INDEX(_xlfn.SORTBY(OFFSET(F134,-MOD(ROW()-5,14),0,9,1),OFFSET(G134,-MOD(ROW()-5,14),0,9,1),1),MOD(ROW()-5,14)+1),""))</f>
        <v>King K. Rool</v>
      </c>
      <c r="I134" s="18"/>
    </row>
    <row r="135" spans="1:9">
      <c r="A135" s="18" t="str" cm="1">
        <f t="array" aca="1" ref="A135" ca="1">_xlfn.LET(_xlpm.owner,INDEX($B:$B,3+14*QUOTIENT(ROW()-5,14)),_xlpm.slot,MOD(ROW()-5,14)+1,IF(_xlpm.owner="","",IFERROR(INDEX(Draft!$H$6:$N$14,_xlpm.slot,MATCH(_xlpm.owner,Draft!$H$5:$N$5,0)),"")))</f>
        <v>Monty Mole</v>
      </c>
      <c r="B135" s="18">
        <v>1</v>
      </c>
      <c r="C135" s="18" t="str" cm="1">
        <f t="array" aca="1" ref="C135" ca="1">IF(A135="","",IFERROR(INDEX(_xlfn.SORTBY(OFFSET(A135,-MOD(ROW()-5,14),0,9,1),OFFSET(B135,-MOD(ROW()-5,14),0,9,1),1),MOD(ROW()-5,14)+1),""))</f>
        <v>Blue Toad</v>
      </c>
      <c r="D135" s="18"/>
      <c r="E135" s="18"/>
      <c r="F135" s="18" t="str" cm="1">
        <f t="array" aca="1" ref="F135" ca="1">_xlfn.LET(_xlpm.owner,INDEX($G:$G,3+14*QUOTIENT(ROW()-5,14)),_xlpm.slot,MOD(ROW()-5,14)+1,IF(_xlpm.owner="","",IFERROR(INDEX(Draft!$H$6:$N$14,_xlpm.slot,MATCH(_xlpm.owner,Draft!$H$5:$N$5,0)),"")))</f>
        <v>Baby Daisy</v>
      </c>
      <c r="G135" s="18">
        <v>9</v>
      </c>
      <c r="H135" s="18" t="str" cm="1">
        <f t="array" aca="1" ref="H135" ca="1">IF(F135="","",IFERROR(INDEX(_xlfn.SORTBY(OFFSET(F135,-MOD(ROW()-5,14),0,9,1),OFFSET(G135,-MOD(ROW()-5,14),0,9,1),1),MOD(ROW()-5,14)+1),""))</f>
        <v>Blooper</v>
      </c>
      <c r="I135" s="18"/>
    </row>
    <row r="136" spans="1:9">
      <c r="A136" s="18" t="str" cm="1">
        <f t="array" aca="1" ref="A136" ca="1">_xlfn.LET(_xlpm.owner,INDEX($B:$B,3+14*QUOTIENT(ROW()-5,14)),_xlpm.slot,MOD(ROW()-5,14)+1,IF(_xlpm.owner="","",IFERROR(INDEX(Draft!$H$6:$N$14,_xlpm.slot,MATCH(_xlpm.owner,Draft!$H$5:$N$5,0)),"")))</f>
        <v>Wario</v>
      </c>
      <c r="B136" s="18">
        <v>4</v>
      </c>
      <c r="C136" s="18" t="str" cm="1">
        <f t="array" aca="1" ref="C136" ca="1">IF(A136="","",IFERROR(INDEX(_xlfn.SORTBY(OFFSET(A136,-MOD(ROW()-5,14),0,9,1),OFFSET(B136,-MOD(ROW()-5,14),0,9,1),1),MOD(ROW()-5,14)+1),""))</f>
        <v>Mii</v>
      </c>
      <c r="D136" s="18"/>
      <c r="E136" s="18"/>
      <c r="F136" s="18" t="str" cm="1">
        <f t="array" aca="1" ref="F136" ca="1">_xlfn.LET(_xlpm.owner,INDEX($G:$G,3+14*QUOTIENT(ROW()-5,14)),_xlpm.slot,MOD(ROW()-5,14)+1,IF(_xlpm.owner="","",IFERROR(INDEX(Draft!$H$6:$N$14,_xlpm.slot,MATCH(_xlpm.owner,Draft!$H$5:$N$5,0)),"")))</f>
        <v>Baby Mario</v>
      </c>
      <c r="G136" s="18">
        <v>8</v>
      </c>
      <c r="H136" s="18" t="str" cm="1">
        <f t="array" aca="1" ref="H136" ca="1">IF(F136="","",IFERROR(INDEX(_xlfn.SORTBY(OFFSET(F136,-MOD(ROW()-5,14),0,9,1),OFFSET(G136,-MOD(ROW()-5,14),0,9,1),1),MOD(ROW()-5,14)+1),""))</f>
        <v>Yellow Toad</v>
      </c>
      <c r="I136" s="18"/>
    </row>
    <row r="137" spans="1:9">
      <c r="A137" s="18" t="str" cm="1">
        <f t="array" aca="1" ref="A137" ca="1">_xlfn.LET(_xlpm.owner,INDEX($B:$B,3+14*QUOTIENT(ROW()-5,14)),_xlpm.slot,MOD(ROW()-5,14)+1,IF(_xlpm.owner="","",IFERROR(INDEX(Draft!$H$6:$N$14,_xlpm.slot,MATCH(_xlpm.owner,Draft!$H$5:$N$5,0)),"")))</f>
        <v>Wiggler</v>
      </c>
      <c r="B137" s="18">
        <v>7</v>
      </c>
      <c r="C137" s="18" t="str" cm="1">
        <f t="array" aca="1" ref="C137" ca="1">IF(A137="","",IFERROR(INDEX(_xlfn.SORTBY(OFFSET(A137,-MOD(ROW()-5,14),0,9,1),OFFSET(B137,-MOD(ROW()-5,14),0,9,1),1),MOD(ROW()-5,14)+1),""))</f>
        <v>Wiggler</v>
      </c>
      <c r="D137" s="18"/>
      <c r="E137" s="18"/>
      <c r="F137" s="18" t="str" cm="1">
        <f t="array" aca="1" ref="F137" ca="1">_xlfn.LET(_xlpm.owner,INDEX($G:$G,3+14*QUOTIENT(ROW()-5,14)),_xlpm.slot,MOD(ROW()-5,14)+1,IF(_xlpm.owner="","",IFERROR(INDEX(Draft!$H$6:$N$14,_xlpm.slot,MATCH(_xlpm.owner,Draft!$H$5:$N$5,0)),"")))</f>
        <v>Brown Kritter</v>
      </c>
      <c r="G137" s="18">
        <v>2</v>
      </c>
      <c r="H137" s="18" t="str" cm="1">
        <f t="array" aca="1" ref="H137" ca="1">IF(F137="","",IFERROR(INDEX(_xlfn.SORTBY(OFFSET(F137,-MOD(ROW()-5,14),0,9,1),OFFSET(G137,-MOD(ROW()-5,14),0,9,1),1),MOD(ROW()-5,14)+1),""))</f>
        <v>Peach</v>
      </c>
      <c r="I137" s="18"/>
    </row>
    <row r="138" spans="1:9">
      <c r="A138" s="18" t="str" cm="1">
        <f t="array" aca="1" ref="A138" ca="1">_xlfn.LET(_xlpm.owner,INDEX($B:$B,3+14*QUOTIENT(ROW()-5,14)),_xlpm.slot,MOD(ROW()-5,14)+1,IF(_xlpm.owner="","",IFERROR(INDEX(Draft!$H$6:$N$14,_xlpm.slot,MATCH(_xlpm.owner,Draft!$H$5:$N$5,0)),"")))</f>
        <v>Boomerang Bro</v>
      </c>
      <c r="B138" s="18">
        <v>9</v>
      </c>
      <c r="C138" s="18" t="str" cm="1">
        <f t="array" aca="1" ref="C138" ca="1">IF(A138="","",IFERROR(INDEX(_xlfn.SORTBY(OFFSET(A138,-MOD(ROW()-5,14),0,9,1),OFFSET(B138,-MOD(ROW()-5,14),0,9,1),1),MOD(ROW()-5,14)+1),""))</f>
        <v>Toadette</v>
      </c>
      <c r="D138" s="18"/>
      <c r="E138" s="18"/>
      <c r="F138" s="18" t="str" cm="1">
        <f t="array" aca="1" ref="F138" ca="1">_xlfn.LET(_xlpm.owner,INDEX($G:$G,3+14*QUOTIENT(ROW()-5,14)),_xlpm.slot,MOD(ROW()-5,14)+1,IF(_xlpm.owner="","",IFERROR(INDEX(Draft!$H$6:$N$14,_xlpm.slot,MATCH(_xlpm.owner,Draft!$H$5:$N$5,0)),"")))</f>
        <v>Blooper</v>
      </c>
      <c r="G138" s="18">
        <v>5</v>
      </c>
      <c r="H138" s="18" t="str" cm="1">
        <f t="array" aca="1" ref="H138" ca="1">IF(F138="","",IFERROR(INDEX(_xlfn.SORTBY(OFFSET(F138,-MOD(ROW()-5,14),0,9,1),OFFSET(G138,-MOD(ROW()-5,14),0,9,1),1),MOD(ROW()-5,14)+1),""))</f>
        <v>Baby Mario</v>
      </c>
      <c r="I138" s="18"/>
    </row>
    <row r="139" spans="1:9">
      <c r="A139" s="18" t="str" cm="1">
        <f t="array" aca="1" ref="A139" ca="1">_xlfn.LET(_xlpm.owner,INDEX($B:$B,3+14*QUOTIENT(ROW()-5,14)),_xlpm.slot,MOD(ROW()-5,14)+1,IF(_xlpm.owner="","",IFERROR(INDEX(Draft!$H$6:$N$14,_xlpm.slot,MATCH(_xlpm.owner,Draft!$H$5:$N$5,0)),"")))</f>
        <v>Green Dry Bones</v>
      </c>
      <c r="B139" s="18">
        <v>2</v>
      </c>
      <c r="C139" s="18" t="str" cm="1">
        <f t="array" aca="1" ref="C139" ca="1">IF(A139="","",IFERROR(INDEX(_xlfn.SORTBY(OFFSET(A139,-MOD(ROW()-5,14),0,9,1),OFFSET(B139,-MOD(ROW()-5,14),0,9,1),1),MOD(ROW()-5,14)+1),""))</f>
        <v>Boomerang Bro</v>
      </c>
      <c r="D139" s="18"/>
      <c r="E139" s="18"/>
      <c r="F139" s="18" t="str" cm="1">
        <f t="array" aca="1" ref="F139" ca="1">_xlfn.LET(_xlpm.owner,INDEX($G:$G,3+14*QUOTIENT(ROW()-5,14)),_xlpm.slot,MOD(ROW()-5,14)+1,IF(_xlpm.owner="","",IFERROR(INDEX(Draft!$H$6:$N$14,_xlpm.slot,MATCH(_xlpm.owner,Draft!$H$5:$N$5,0)),"")))</f>
        <v>Yellow Toad</v>
      </c>
      <c r="G139" s="18">
        <v>6</v>
      </c>
      <c r="H139" s="18" t="str" cm="1">
        <f t="array" aca="1" ref="H139" ca="1">IF(F139="","",IFERROR(INDEX(_xlfn.SORTBY(OFFSET(F139,-MOD(ROW()-5,14),0,9,1),OFFSET(G139,-MOD(ROW()-5,14),0,9,1),1),MOD(ROW()-5,14)+1),""))</f>
        <v>Baby Daisy</v>
      </c>
      <c r="I139" s="18"/>
    </row>
    <row r="140" spans="1:9">
      <c r="A140" s="18"/>
      <c r="B140" s="18"/>
      <c r="C140" s="18"/>
      <c r="D140" s="18"/>
      <c r="E140" s="18"/>
      <c r="F140" s="18"/>
      <c r="G140" s="18"/>
      <c r="H140" s="18"/>
      <c r="I140" s="18"/>
    </row>
    <row r="141" spans="1:9">
      <c r="A141" s="34" t="str">
        <f t="shared" ref="A141:A172" si="9">"Game "&amp;(QUOTIENT(ROW()-1,14)+1)&amp;" Lineups"</f>
        <v>Game 11 Lineups</v>
      </c>
      <c r="B141" s="18"/>
      <c r="C141" s="18"/>
      <c r="D141" s="18"/>
      <c r="E141" s="18"/>
      <c r="F141" s="18"/>
      <c r="G141" s="18"/>
      <c r="H141" s="18"/>
      <c r="I141" s="18"/>
    </row>
    <row r="142" spans="1:9">
      <c r="A142" s="18" t="s">
        <v>95</v>
      </c>
      <c r="B142" s="18" t="str" cm="1">
        <f t="array" ref="B142">INDEX(Bracket!$F$6:$F$20,QUOTIENT(ROW()-2,14)+1)</f>
        <v>G11</v>
      </c>
      <c r="C142" s="18"/>
      <c r="D142" s="18" t="s">
        <v>96</v>
      </c>
      <c r="E142" s="18" t="str" cm="1">
        <f t="array" ref="E142">INDEX(Bracket!$G$6:$G$20,QUOTIENT(ROW()-2,14)+1)</f>
        <v>CG-2</v>
      </c>
      <c r="F142" s="18"/>
      <c r="G142" s="18"/>
      <c r="H142" s="18"/>
      <c r="I142" s="18"/>
    </row>
    <row r="143" spans="1:9">
      <c r="A143" s="18" t="s">
        <v>97</v>
      </c>
      <c r="B143" s="18" t="str" cm="1">
        <f t="array" aca="1" ref="B143" ca="1">INDEX(Bracket!$H$6:$H$20,QUOTIENT(ROW()-3,14)+1)</f>
        <v>Nick</v>
      </c>
      <c r="C143" s="18"/>
      <c r="D143" s="18"/>
      <c r="E143" s="18"/>
      <c r="F143" s="18" t="s">
        <v>98</v>
      </c>
      <c r="G143" s="18" t="str" cm="1">
        <f t="array" aca="1" ref="G143" ca="1">INDEX(Bracket!$I$6:$I$20,QUOTIENT(ROW()-3,14)+1)</f>
        <v>Jason</v>
      </c>
      <c r="H143" s="18"/>
      <c r="I143" s="18"/>
    </row>
    <row r="144" spans="1:9">
      <c r="A144" s="35" t="s">
        <v>99</v>
      </c>
      <c r="B144" s="35" t="s">
        <v>100</v>
      </c>
      <c r="C144" s="35" t="s">
        <v>101</v>
      </c>
      <c r="D144" s="18"/>
      <c r="E144" s="18"/>
      <c r="F144" s="35" t="s">
        <v>99</v>
      </c>
      <c r="G144" s="35" t="s">
        <v>100</v>
      </c>
      <c r="H144" s="35" t="s">
        <v>101</v>
      </c>
      <c r="I144" s="18"/>
    </row>
    <row r="145" spans="1:9">
      <c r="A145" s="18" t="str" cm="1">
        <f t="array" aca="1" ref="A145" ca="1">_xlfn.LET(_xlpm.owner,INDEX($B:$B,3+14*QUOTIENT(ROW()-5,14)),_xlpm.slot,MOD(ROW()-5,14)+1,IF(_xlpm.owner="","",IFERROR(INDEX(Draft!$H$6:$N$14,_xlpm.slot,MATCH(_xlpm.owner,Draft!$H$5:$N$5,0)),"")))</f>
        <v>Daisy</v>
      </c>
      <c r="B145" s="18">
        <v>1</v>
      </c>
      <c r="C145" s="18" t="str" cm="1">
        <f t="array" aca="1" ref="C145" ca="1">IF(A145="","",IFERROR(INDEX(_xlfn.SORTBY(OFFSET(A145,-MOD(ROW()-5,14),0,9,1),OFFSET(B145,-MOD(ROW()-5,14),0,9,1),1),MOD(ROW()-5,14)+1),""))</f>
        <v>Daisy</v>
      </c>
      <c r="D145" s="18"/>
      <c r="E145" s="18"/>
      <c r="F145" s="18" t="str" cm="1">
        <f t="array" aca="1" ref="F145" ca="1">_xlfn.LET(_xlpm.owner,INDEX($G:$G,3+14*QUOTIENT(ROW()-5,14)),_xlpm.slot,MOD(ROW()-5,14)+1,IF(_xlpm.owner="","",IFERROR(INDEX(Draft!$H$6:$N$14,_xlpm.slot,MATCH(_xlpm.owner,Draft!$H$5:$N$5,0)),"")))</f>
        <v>Bowser</v>
      </c>
      <c r="G145" s="18">
        <v>1</v>
      </c>
      <c r="H145" s="18" t="str" cm="1">
        <f t="array" aca="1" ref="H145" ca="1">IF(F145="","",IFERROR(INDEX(_xlfn.SORTBY(OFFSET(F145,-MOD(ROW()-5,14),0,9,1),OFFSET(G145,-MOD(ROW()-5,14),0,9,1),1),MOD(ROW()-5,14)+1),""))</f>
        <v>Bowser</v>
      </c>
      <c r="I145" s="18"/>
    </row>
    <row r="146" spans="1:9">
      <c r="A146" s="18" t="str" cm="1">
        <f t="array" aca="1" ref="A146" ca="1">_xlfn.LET(_xlpm.owner,INDEX($B:$B,3+14*QUOTIENT(ROW()-5,14)),_xlpm.slot,MOD(ROW()-5,14)+1,IF(_xlpm.owner="","",IFERROR(INDEX(Draft!$H$6:$N$14,_xlpm.slot,MATCH(_xlpm.owner,Draft!$H$5:$N$5,0)),"")))</f>
        <v>Mii</v>
      </c>
      <c r="B146" s="18">
        <v>2</v>
      </c>
      <c r="C146" s="18" t="str" cm="1">
        <f t="array" aca="1" ref="C146" ca="1">IF(A146="","",IFERROR(INDEX(_xlfn.SORTBY(OFFSET(A146,-MOD(ROW()-5,14),0,9,1),OFFSET(B146,-MOD(ROW()-5,14),0,9,1),1),MOD(ROW()-5,14)+1),""))</f>
        <v>Mii</v>
      </c>
      <c r="D146" s="18"/>
      <c r="E146" s="18"/>
      <c r="F146" s="18" t="str" cm="1">
        <f t="array" aca="1" ref="F146" ca="1">_xlfn.LET(_xlpm.owner,INDEX($G:$G,3+14*QUOTIENT(ROW()-5,14)),_xlpm.slot,MOD(ROW()-5,14)+1,IF(_xlpm.owner="","",IFERROR(INDEX(Draft!$H$6:$N$14,_xlpm.slot,MATCH(_xlpm.owner,Draft!$H$5:$N$5,0)),"")))</f>
        <v>Peach</v>
      </c>
      <c r="G146" s="18">
        <v>2</v>
      </c>
      <c r="H146" s="18" t="str" cm="1">
        <f t="array" aca="1" ref="H146" ca="1">IF(F146="","",IFERROR(INDEX(_xlfn.SORTBY(OFFSET(F146,-MOD(ROW()-5,14),0,9,1),OFFSET(G146,-MOD(ROW()-5,14),0,9,1),1),MOD(ROW()-5,14)+1),""))</f>
        <v>Peach</v>
      </c>
      <c r="I146" s="18"/>
    </row>
    <row r="147" spans="1:9">
      <c r="A147" s="18" t="str" cm="1">
        <f t="array" aca="1" ref="A147" ca="1">_xlfn.LET(_xlpm.owner,INDEX($B:$B,3+14*QUOTIENT(ROW()-5,14)),_xlpm.slot,MOD(ROW()-5,14)+1,IF(_xlpm.owner="","",IFERROR(INDEX(Draft!$H$6:$N$14,_xlpm.slot,MATCH(_xlpm.owner,Draft!$H$5:$N$5,0)),"")))</f>
        <v>Toadette</v>
      </c>
      <c r="B147" s="18">
        <v>3</v>
      </c>
      <c r="C147" s="18" t="str" cm="1">
        <f t="array" aca="1" ref="C147" ca="1">IF(A147="","",IFERROR(INDEX(_xlfn.SORTBY(OFFSET(A147,-MOD(ROW()-5,14),0,9,1),OFFSET(B147,-MOD(ROW()-5,14),0,9,1),1),MOD(ROW()-5,14)+1),""))</f>
        <v>Toadette</v>
      </c>
      <c r="D147" s="18"/>
      <c r="E147" s="18"/>
      <c r="F147" s="18" t="str" cm="1">
        <f t="array" aca="1" ref="F147" ca="1">_xlfn.LET(_xlpm.owner,INDEX($G:$G,3+14*QUOTIENT(ROW()-5,14)),_xlpm.slot,MOD(ROW()-5,14)+1,IF(_xlpm.owner="","",IFERROR(INDEX(Draft!$H$6:$N$14,_xlpm.slot,MATCH(_xlpm.owner,Draft!$H$5:$N$5,0)),"")))</f>
        <v>Yoshi</v>
      </c>
      <c r="G147" s="18">
        <v>3</v>
      </c>
      <c r="H147" s="18" t="str" cm="1">
        <f t="array" aca="1" ref="H147" ca="1">IF(F147="","",IFERROR(INDEX(_xlfn.SORTBY(OFFSET(F147,-MOD(ROW()-5,14),0,9,1),OFFSET(G147,-MOD(ROW()-5,14),0,9,1),1),MOD(ROW()-5,14)+1),""))</f>
        <v>Yoshi</v>
      </c>
      <c r="I147" s="18"/>
    </row>
    <row r="148" spans="1:9">
      <c r="A148" s="18" t="str" cm="1">
        <f t="array" aca="1" ref="A148" ca="1">_xlfn.LET(_xlpm.owner,INDEX($B:$B,3+14*QUOTIENT(ROW()-5,14)),_xlpm.slot,MOD(ROW()-5,14)+1,IF(_xlpm.owner="","",IFERROR(INDEX(Draft!$H$6:$N$14,_xlpm.slot,MATCH(_xlpm.owner,Draft!$H$5:$N$5,0)),"")))</f>
        <v>Blue Toad</v>
      </c>
      <c r="B148" s="18">
        <v>4</v>
      </c>
      <c r="C148" s="18" t="str" cm="1">
        <f t="array" aca="1" ref="C148" ca="1">IF(A148="","",IFERROR(INDEX(_xlfn.SORTBY(OFFSET(A148,-MOD(ROW()-5,14),0,9,1),OFFSET(B148,-MOD(ROW()-5,14),0,9,1),1),MOD(ROW()-5,14)+1),""))</f>
        <v>Blue Toad</v>
      </c>
      <c r="D148" s="18"/>
      <c r="E148" s="18"/>
      <c r="F148" s="18" t="str" cm="1">
        <f t="array" aca="1" ref="F148" ca="1">_xlfn.LET(_xlpm.owner,INDEX($G:$G,3+14*QUOTIENT(ROW()-5,14)),_xlpm.slot,MOD(ROW()-5,14)+1,IF(_xlpm.owner="","",IFERROR(INDEX(Draft!$H$6:$N$14,_xlpm.slot,MATCH(_xlpm.owner,Draft!$H$5:$N$5,0)),"")))</f>
        <v>King K. Rool</v>
      </c>
      <c r="G148" s="18">
        <v>4</v>
      </c>
      <c r="H148" s="18" t="str" cm="1">
        <f t="array" aca="1" ref="H148" ca="1">IF(F148="","",IFERROR(INDEX(_xlfn.SORTBY(OFFSET(F148,-MOD(ROW()-5,14),0,9,1),OFFSET(G148,-MOD(ROW()-5,14),0,9,1),1),MOD(ROW()-5,14)+1),""))</f>
        <v>King K. Rool</v>
      </c>
      <c r="I148" s="18"/>
    </row>
    <row r="149" spans="1:9">
      <c r="A149" s="18" t="str" cm="1">
        <f t="array" aca="1" ref="A149" ca="1">_xlfn.LET(_xlpm.owner,INDEX($B:$B,3+14*QUOTIENT(ROW()-5,14)),_xlpm.slot,MOD(ROW()-5,14)+1,IF(_xlpm.owner="","",IFERROR(INDEX(Draft!$H$6:$N$14,_xlpm.slot,MATCH(_xlpm.owner,Draft!$H$5:$N$5,0)),"")))</f>
        <v>Monty Mole</v>
      </c>
      <c r="B149" s="18">
        <v>5</v>
      </c>
      <c r="C149" s="18" t="str" cm="1">
        <f t="array" aca="1" ref="C149" ca="1">IF(A149="","",IFERROR(INDEX(_xlfn.SORTBY(OFFSET(A149,-MOD(ROW()-5,14),0,9,1),OFFSET(B149,-MOD(ROW()-5,14),0,9,1),1),MOD(ROW()-5,14)+1),""))</f>
        <v>Monty Mole</v>
      </c>
      <c r="D149" s="18"/>
      <c r="E149" s="18"/>
      <c r="F149" s="18" t="str" cm="1">
        <f t="array" aca="1" ref="F149" ca="1">_xlfn.LET(_xlpm.owner,INDEX($G:$G,3+14*QUOTIENT(ROW()-5,14)),_xlpm.slot,MOD(ROW()-5,14)+1,IF(_xlpm.owner="","",IFERROR(INDEX(Draft!$H$6:$N$14,_xlpm.slot,MATCH(_xlpm.owner,Draft!$H$5:$N$5,0)),"")))</f>
        <v>Baby Daisy</v>
      </c>
      <c r="G149" s="18">
        <v>5</v>
      </c>
      <c r="H149" s="18" t="str" cm="1">
        <f t="array" aca="1" ref="H149" ca="1">IF(F149="","",IFERROR(INDEX(_xlfn.SORTBY(OFFSET(F149,-MOD(ROW()-5,14),0,9,1),OFFSET(G149,-MOD(ROW()-5,14),0,9,1),1),MOD(ROW()-5,14)+1),""))</f>
        <v>Baby Daisy</v>
      </c>
      <c r="I149" s="18"/>
    </row>
    <row r="150" spans="1:9">
      <c r="A150" s="18" t="str" cm="1">
        <f t="array" aca="1" ref="A150" ca="1">_xlfn.LET(_xlpm.owner,INDEX($B:$B,3+14*QUOTIENT(ROW()-5,14)),_xlpm.slot,MOD(ROW()-5,14)+1,IF(_xlpm.owner="","",IFERROR(INDEX(Draft!$H$6:$N$14,_xlpm.slot,MATCH(_xlpm.owner,Draft!$H$5:$N$5,0)),"")))</f>
        <v>Wario</v>
      </c>
      <c r="B150" s="18">
        <v>6</v>
      </c>
      <c r="C150" s="18" t="str" cm="1">
        <f t="array" aca="1" ref="C150" ca="1">IF(A150="","",IFERROR(INDEX(_xlfn.SORTBY(OFFSET(A150,-MOD(ROW()-5,14),0,9,1),OFFSET(B150,-MOD(ROW()-5,14),0,9,1),1),MOD(ROW()-5,14)+1),""))</f>
        <v>Wario</v>
      </c>
      <c r="D150" s="18"/>
      <c r="E150" s="18"/>
      <c r="F150" s="18" t="str" cm="1">
        <f t="array" aca="1" ref="F150" ca="1">_xlfn.LET(_xlpm.owner,INDEX($G:$G,3+14*QUOTIENT(ROW()-5,14)),_xlpm.slot,MOD(ROW()-5,14)+1,IF(_xlpm.owner="","",IFERROR(INDEX(Draft!$H$6:$N$14,_xlpm.slot,MATCH(_xlpm.owner,Draft!$H$5:$N$5,0)),"")))</f>
        <v>Baby Mario</v>
      </c>
      <c r="G150" s="18">
        <v>6</v>
      </c>
      <c r="H150" s="18" t="str" cm="1">
        <f t="array" aca="1" ref="H150" ca="1">IF(F150="","",IFERROR(INDEX(_xlfn.SORTBY(OFFSET(F150,-MOD(ROW()-5,14),0,9,1),OFFSET(G150,-MOD(ROW()-5,14),0,9,1),1),MOD(ROW()-5,14)+1),""))</f>
        <v>Baby Mario</v>
      </c>
      <c r="I150" s="18"/>
    </row>
    <row r="151" spans="1:9">
      <c r="A151" s="18" t="str" cm="1">
        <f t="array" aca="1" ref="A151" ca="1">_xlfn.LET(_xlpm.owner,INDEX($B:$B,3+14*QUOTIENT(ROW()-5,14)),_xlpm.slot,MOD(ROW()-5,14)+1,IF(_xlpm.owner="","",IFERROR(INDEX(Draft!$H$6:$N$14,_xlpm.slot,MATCH(_xlpm.owner,Draft!$H$5:$N$5,0)),"")))</f>
        <v>Wiggler</v>
      </c>
      <c r="B151" s="18">
        <v>7</v>
      </c>
      <c r="C151" s="18" t="str" cm="1">
        <f t="array" aca="1" ref="C151" ca="1">IF(A151="","",IFERROR(INDEX(_xlfn.SORTBY(OFFSET(A151,-MOD(ROW()-5,14),0,9,1),OFFSET(B151,-MOD(ROW()-5,14),0,9,1),1),MOD(ROW()-5,14)+1),""))</f>
        <v>Wiggler</v>
      </c>
      <c r="D151" s="18"/>
      <c r="E151" s="18"/>
      <c r="F151" s="18" t="str" cm="1">
        <f t="array" aca="1" ref="F151" ca="1">_xlfn.LET(_xlpm.owner,INDEX($G:$G,3+14*QUOTIENT(ROW()-5,14)),_xlpm.slot,MOD(ROW()-5,14)+1,IF(_xlpm.owner="","",IFERROR(INDEX(Draft!$H$6:$N$14,_xlpm.slot,MATCH(_xlpm.owner,Draft!$H$5:$N$5,0)),"")))</f>
        <v>Brown Kritter</v>
      </c>
      <c r="G151" s="18">
        <v>7</v>
      </c>
      <c r="H151" s="18" t="str" cm="1">
        <f t="array" aca="1" ref="H151" ca="1">IF(F151="","",IFERROR(INDEX(_xlfn.SORTBY(OFFSET(F151,-MOD(ROW()-5,14),0,9,1),OFFSET(G151,-MOD(ROW()-5,14),0,9,1),1),MOD(ROW()-5,14)+1),""))</f>
        <v>Brown Kritter</v>
      </c>
      <c r="I151" s="18"/>
    </row>
    <row r="152" spans="1:9">
      <c r="A152" s="18" t="str" cm="1">
        <f t="array" aca="1" ref="A152" ca="1">_xlfn.LET(_xlpm.owner,INDEX($B:$B,3+14*QUOTIENT(ROW()-5,14)),_xlpm.slot,MOD(ROW()-5,14)+1,IF(_xlpm.owner="","",IFERROR(INDEX(Draft!$H$6:$N$14,_xlpm.slot,MATCH(_xlpm.owner,Draft!$H$5:$N$5,0)),"")))</f>
        <v>Boomerang Bro</v>
      </c>
      <c r="B152" s="18">
        <v>8</v>
      </c>
      <c r="C152" s="18" t="str" cm="1">
        <f t="array" aca="1" ref="C152" ca="1">IF(A152="","",IFERROR(INDEX(_xlfn.SORTBY(OFFSET(A152,-MOD(ROW()-5,14),0,9,1),OFFSET(B152,-MOD(ROW()-5,14),0,9,1),1),MOD(ROW()-5,14)+1),""))</f>
        <v>Boomerang Bro</v>
      </c>
      <c r="D152" s="18"/>
      <c r="E152" s="18"/>
      <c r="F152" s="18" t="str" cm="1">
        <f t="array" aca="1" ref="F152" ca="1">_xlfn.LET(_xlpm.owner,INDEX($G:$G,3+14*QUOTIENT(ROW()-5,14)),_xlpm.slot,MOD(ROW()-5,14)+1,IF(_xlpm.owner="","",IFERROR(INDEX(Draft!$H$6:$N$14,_xlpm.slot,MATCH(_xlpm.owner,Draft!$H$5:$N$5,0)),"")))</f>
        <v>Blooper</v>
      </c>
      <c r="G152" s="18">
        <v>8</v>
      </c>
      <c r="H152" s="18" t="str" cm="1">
        <f t="array" aca="1" ref="H152" ca="1">IF(F152="","",IFERROR(INDEX(_xlfn.SORTBY(OFFSET(F152,-MOD(ROW()-5,14),0,9,1),OFFSET(G152,-MOD(ROW()-5,14),0,9,1),1),MOD(ROW()-5,14)+1),""))</f>
        <v>Blooper</v>
      </c>
      <c r="I152" s="18"/>
    </row>
    <row r="153" spans="1:9">
      <c r="A153" s="18" t="str" cm="1">
        <f t="array" aca="1" ref="A153" ca="1">_xlfn.LET(_xlpm.owner,INDEX($B:$B,3+14*QUOTIENT(ROW()-5,14)),_xlpm.slot,MOD(ROW()-5,14)+1,IF(_xlpm.owner="","",IFERROR(INDEX(Draft!$H$6:$N$14,_xlpm.slot,MATCH(_xlpm.owner,Draft!$H$5:$N$5,0)),"")))</f>
        <v>Green Dry Bones</v>
      </c>
      <c r="B153" s="18">
        <v>9</v>
      </c>
      <c r="C153" s="18" t="str" cm="1">
        <f t="array" aca="1" ref="C153" ca="1">IF(A153="","",IFERROR(INDEX(_xlfn.SORTBY(OFFSET(A153,-MOD(ROW()-5,14),0,9,1),OFFSET(B153,-MOD(ROW()-5,14),0,9,1),1),MOD(ROW()-5,14)+1),""))</f>
        <v>Green Dry Bones</v>
      </c>
      <c r="D153" s="18"/>
      <c r="E153" s="18"/>
      <c r="F153" s="18" t="str" cm="1">
        <f t="array" aca="1" ref="F153" ca="1">_xlfn.LET(_xlpm.owner,INDEX($G:$G,3+14*QUOTIENT(ROW()-5,14)),_xlpm.slot,MOD(ROW()-5,14)+1,IF(_xlpm.owner="","",IFERROR(INDEX(Draft!$H$6:$N$14,_xlpm.slot,MATCH(_xlpm.owner,Draft!$H$5:$N$5,0)),"")))</f>
        <v>Yellow Toad</v>
      </c>
      <c r="G153" s="18">
        <v>9</v>
      </c>
      <c r="H153" s="18" t="str" cm="1">
        <f t="array" aca="1" ref="H153" ca="1">IF(F153="","",IFERROR(INDEX(_xlfn.SORTBY(OFFSET(F153,-MOD(ROW()-5,14),0,9,1),OFFSET(G153,-MOD(ROW()-5,14),0,9,1),1),MOD(ROW()-5,14)+1),""))</f>
        <v>Yellow Toad</v>
      </c>
      <c r="I153" s="18"/>
    </row>
    <row r="154" spans="1:9">
      <c r="A154" s="18"/>
      <c r="B154" s="18"/>
      <c r="C154" s="18"/>
      <c r="D154" s="18"/>
      <c r="E154" s="18"/>
      <c r="F154" s="18"/>
      <c r="G154" s="18"/>
      <c r="H154" s="18"/>
      <c r="I154" s="18"/>
    </row>
    <row r="155" spans="1:9">
      <c r="A155" s="34" t="str">
        <f t="shared" ref="A155:A186" si="10">"Game "&amp;(QUOTIENT(ROW()-1,14)+1)&amp;" Lineups"</f>
        <v>Game 12 Lineups</v>
      </c>
      <c r="B155" s="18"/>
      <c r="C155" s="18"/>
      <c r="D155" s="18"/>
      <c r="E155" s="18"/>
      <c r="F155" s="18"/>
      <c r="G155" s="18"/>
      <c r="H155" s="18"/>
      <c r="I155" s="18"/>
    </row>
    <row r="156" spans="1:9">
      <c r="A156" s="18" t="s">
        <v>95</v>
      </c>
      <c r="B156" s="18" t="str" cm="1">
        <f t="array" ref="B156">INDEX(Bracket!$F$6:$F$20,QUOTIENT(ROW()-2,14)+1)</f>
        <v/>
      </c>
      <c r="C156" s="18"/>
      <c r="D156" s="18" t="s">
        <v>96</v>
      </c>
      <c r="E156" s="18" t="str" cm="1">
        <f t="array" ref="E156">INDEX(Bracket!$G$6:$G$20,QUOTIENT(ROW()-2,14)+1)</f>
        <v/>
      </c>
      <c r="F156" s="18"/>
      <c r="G156" s="18"/>
      <c r="H156" s="18"/>
      <c r="I156" s="18"/>
    </row>
    <row r="157" spans="1:9">
      <c r="A157" s="18" t="s">
        <v>97</v>
      </c>
      <c r="B157" s="18" t="str" cm="1">
        <f t="array" aca="1" ref="B157" ca="1">INDEX(Bracket!$H$6:$H$20,QUOTIENT(ROW()-3,14)+1)</f>
        <v/>
      </c>
      <c r="C157" s="18"/>
      <c r="D157" s="18"/>
      <c r="E157" s="18"/>
      <c r="F157" s="18" t="s">
        <v>98</v>
      </c>
      <c r="G157" s="18" t="str" cm="1">
        <f t="array" aca="1" ref="G157" ca="1">INDEX(Bracket!$I$6:$I$20,QUOTIENT(ROW()-3,14)+1)</f>
        <v/>
      </c>
      <c r="H157" s="18"/>
      <c r="I157" s="18"/>
    </row>
    <row r="158" spans="1:9">
      <c r="A158" s="35" t="s">
        <v>99</v>
      </c>
      <c r="B158" s="35" t="s">
        <v>100</v>
      </c>
      <c r="C158" s="35" t="s">
        <v>101</v>
      </c>
      <c r="D158" s="18"/>
      <c r="E158" s="18"/>
      <c r="F158" s="35" t="s">
        <v>99</v>
      </c>
      <c r="G158" s="35" t="s">
        <v>100</v>
      </c>
      <c r="H158" s="35" t="s">
        <v>101</v>
      </c>
      <c r="I158" s="18"/>
    </row>
    <row r="159" spans="1:9">
      <c r="A159" s="18" t="str" cm="1">
        <f t="array" aca="1" ref="A159" ca="1">_xlfn.LET(_xlpm.owner,INDEX($B:$B,3+14*QUOTIENT(ROW()-5,14)),_xlpm.slot,MOD(ROW()-5,14)+1,IF(_xlpm.owner="","",IFERROR(INDEX(Draft!$H$6:$N$14,_xlpm.slot,MATCH(_xlpm.owner,Draft!$H$5:$N$5,0)),"")))</f>
        <v/>
      </c>
      <c r="B159" s="18">
        <v>1</v>
      </c>
      <c r="C159" s="18" t="str" cm="1">
        <f t="array" aca="1" ref="C159" ca="1">IF(A159="","",IFERROR(INDEX(_xlfn.SORTBY(OFFSET(A159,-MOD(ROW()-5,14),0,9,1),OFFSET(B159,-MOD(ROW()-5,14),0,9,1),1),MOD(ROW()-5,14)+1),""))</f>
        <v/>
      </c>
      <c r="D159" s="18"/>
      <c r="E159" s="18"/>
      <c r="F159" s="18" t="str" cm="1">
        <f t="array" aca="1" ref="F159" ca="1">_xlfn.LET(_xlpm.owner,INDEX($G:$G,3+14*QUOTIENT(ROW()-5,14)),_xlpm.slot,MOD(ROW()-5,14)+1,IF(_xlpm.owner="","",IFERROR(INDEX(Draft!$H$6:$N$14,_xlpm.slot,MATCH(_xlpm.owner,Draft!$H$5:$N$5,0)),"")))</f>
        <v/>
      </c>
      <c r="G159" s="18">
        <v>1</v>
      </c>
      <c r="H159" s="18" t="str" cm="1">
        <f t="array" aca="1" ref="H159" ca="1">IF(F159="","",IFERROR(INDEX(_xlfn.SORTBY(OFFSET(F159,-MOD(ROW()-5,14),0,9,1),OFFSET(G159,-MOD(ROW()-5,14),0,9,1),1),MOD(ROW()-5,14)+1),""))</f>
        <v/>
      </c>
      <c r="I159" s="18"/>
    </row>
    <row r="160" spans="1:9">
      <c r="A160" s="18" t="str" cm="1">
        <f t="array" aca="1" ref="A160" ca="1">_xlfn.LET(_xlpm.owner,INDEX($B:$B,3+14*QUOTIENT(ROW()-5,14)),_xlpm.slot,MOD(ROW()-5,14)+1,IF(_xlpm.owner="","",IFERROR(INDEX(Draft!$H$6:$N$14,_xlpm.slot,MATCH(_xlpm.owner,Draft!$H$5:$N$5,0)),"")))</f>
        <v/>
      </c>
      <c r="B160" s="18">
        <v>2</v>
      </c>
      <c r="C160" s="18" t="str" cm="1">
        <f t="array" aca="1" ref="C160" ca="1">IF(A160="","",IFERROR(INDEX(_xlfn.SORTBY(OFFSET(A160,-MOD(ROW()-5,14),0,9,1),OFFSET(B160,-MOD(ROW()-5,14),0,9,1),1),MOD(ROW()-5,14)+1),""))</f>
        <v/>
      </c>
      <c r="D160" s="18"/>
      <c r="E160" s="18"/>
      <c r="F160" s="18" t="str" cm="1">
        <f t="array" aca="1" ref="F160" ca="1">_xlfn.LET(_xlpm.owner,INDEX($G:$G,3+14*QUOTIENT(ROW()-5,14)),_xlpm.slot,MOD(ROW()-5,14)+1,IF(_xlpm.owner="","",IFERROR(INDEX(Draft!$H$6:$N$14,_xlpm.slot,MATCH(_xlpm.owner,Draft!$H$5:$N$5,0)),"")))</f>
        <v/>
      </c>
      <c r="G160" s="18">
        <v>2</v>
      </c>
      <c r="H160" s="18" t="str" cm="1">
        <f t="array" aca="1" ref="H160" ca="1">IF(F160="","",IFERROR(INDEX(_xlfn.SORTBY(OFFSET(F160,-MOD(ROW()-5,14),0,9,1),OFFSET(G160,-MOD(ROW()-5,14),0,9,1),1),MOD(ROW()-5,14)+1),""))</f>
        <v/>
      </c>
      <c r="I160" s="18"/>
    </row>
    <row r="161" spans="1:9">
      <c r="A161" s="18" t="str" cm="1">
        <f t="array" aca="1" ref="A161" ca="1">_xlfn.LET(_xlpm.owner,INDEX($B:$B,3+14*QUOTIENT(ROW()-5,14)),_xlpm.slot,MOD(ROW()-5,14)+1,IF(_xlpm.owner="","",IFERROR(INDEX(Draft!$H$6:$N$14,_xlpm.slot,MATCH(_xlpm.owner,Draft!$H$5:$N$5,0)),"")))</f>
        <v/>
      </c>
      <c r="B161" s="18">
        <v>3</v>
      </c>
      <c r="C161" s="18" t="str" cm="1">
        <f t="array" aca="1" ref="C161" ca="1">IF(A161="","",IFERROR(INDEX(_xlfn.SORTBY(OFFSET(A161,-MOD(ROW()-5,14),0,9,1),OFFSET(B161,-MOD(ROW()-5,14),0,9,1),1),MOD(ROW()-5,14)+1),""))</f>
        <v/>
      </c>
      <c r="D161" s="18"/>
      <c r="E161" s="18"/>
      <c r="F161" s="18" t="str" cm="1">
        <f t="array" aca="1" ref="F161" ca="1">_xlfn.LET(_xlpm.owner,INDEX($G:$G,3+14*QUOTIENT(ROW()-5,14)),_xlpm.slot,MOD(ROW()-5,14)+1,IF(_xlpm.owner="","",IFERROR(INDEX(Draft!$H$6:$N$14,_xlpm.slot,MATCH(_xlpm.owner,Draft!$H$5:$N$5,0)),"")))</f>
        <v/>
      </c>
      <c r="G161" s="18">
        <v>3</v>
      </c>
      <c r="H161" s="18" t="str" cm="1">
        <f t="array" aca="1" ref="H161" ca="1">IF(F161="","",IFERROR(INDEX(_xlfn.SORTBY(OFFSET(F161,-MOD(ROW()-5,14),0,9,1),OFFSET(G161,-MOD(ROW()-5,14),0,9,1),1),MOD(ROW()-5,14)+1),""))</f>
        <v/>
      </c>
      <c r="I161" s="18"/>
    </row>
    <row r="162" spans="1:9">
      <c r="A162" s="18" t="str" cm="1">
        <f t="array" aca="1" ref="A162" ca="1">_xlfn.LET(_xlpm.owner,INDEX($B:$B,3+14*QUOTIENT(ROW()-5,14)),_xlpm.slot,MOD(ROW()-5,14)+1,IF(_xlpm.owner="","",IFERROR(INDEX(Draft!$H$6:$N$14,_xlpm.slot,MATCH(_xlpm.owner,Draft!$H$5:$N$5,0)),"")))</f>
        <v/>
      </c>
      <c r="B162" s="18">
        <v>4</v>
      </c>
      <c r="C162" s="18" t="str" cm="1">
        <f t="array" aca="1" ref="C162" ca="1">IF(A162="","",IFERROR(INDEX(_xlfn.SORTBY(OFFSET(A162,-MOD(ROW()-5,14),0,9,1),OFFSET(B162,-MOD(ROW()-5,14),0,9,1),1),MOD(ROW()-5,14)+1),""))</f>
        <v/>
      </c>
      <c r="D162" s="18"/>
      <c r="E162" s="18"/>
      <c r="F162" s="18" t="str" cm="1">
        <f t="array" aca="1" ref="F162" ca="1">_xlfn.LET(_xlpm.owner,INDEX($G:$G,3+14*QUOTIENT(ROW()-5,14)),_xlpm.slot,MOD(ROW()-5,14)+1,IF(_xlpm.owner="","",IFERROR(INDEX(Draft!$H$6:$N$14,_xlpm.slot,MATCH(_xlpm.owner,Draft!$H$5:$N$5,0)),"")))</f>
        <v/>
      </c>
      <c r="G162" s="18">
        <v>4</v>
      </c>
      <c r="H162" s="18" t="str" cm="1">
        <f t="array" aca="1" ref="H162" ca="1">IF(F162="","",IFERROR(INDEX(_xlfn.SORTBY(OFFSET(F162,-MOD(ROW()-5,14),0,9,1),OFFSET(G162,-MOD(ROW()-5,14),0,9,1),1),MOD(ROW()-5,14)+1),""))</f>
        <v/>
      </c>
      <c r="I162" s="18"/>
    </row>
    <row r="163" spans="1:9">
      <c r="A163" s="18" t="str" cm="1">
        <f t="array" aca="1" ref="A163" ca="1">_xlfn.LET(_xlpm.owner,INDEX($B:$B,3+14*QUOTIENT(ROW()-5,14)),_xlpm.slot,MOD(ROW()-5,14)+1,IF(_xlpm.owner="","",IFERROR(INDEX(Draft!$H$6:$N$14,_xlpm.slot,MATCH(_xlpm.owner,Draft!$H$5:$N$5,0)),"")))</f>
        <v/>
      </c>
      <c r="B163" s="18">
        <v>5</v>
      </c>
      <c r="C163" s="18" t="str" cm="1">
        <f t="array" aca="1" ref="C163" ca="1">IF(A163="","",IFERROR(INDEX(_xlfn.SORTBY(OFFSET(A163,-MOD(ROW()-5,14),0,9,1),OFFSET(B163,-MOD(ROW()-5,14),0,9,1),1),MOD(ROW()-5,14)+1),""))</f>
        <v/>
      </c>
      <c r="D163" s="18"/>
      <c r="E163" s="18"/>
      <c r="F163" s="18" t="str" cm="1">
        <f t="array" aca="1" ref="F163" ca="1">_xlfn.LET(_xlpm.owner,INDEX($G:$G,3+14*QUOTIENT(ROW()-5,14)),_xlpm.slot,MOD(ROW()-5,14)+1,IF(_xlpm.owner="","",IFERROR(INDEX(Draft!$H$6:$N$14,_xlpm.slot,MATCH(_xlpm.owner,Draft!$H$5:$N$5,0)),"")))</f>
        <v/>
      </c>
      <c r="G163" s="18">
        <v>5</v>
      </c>
      <c r="H163" s="18" t="str" cm="1">
        <f t="array" aca="1" ref="H163" ca="1">IF(F163="","",IFERROR(INDEX(_xlfn.SORTBY(OFFSET(F163,-MOD(ROW()-5,14),0,9,1),OFFSET(G163,-MOD(ROW()-5,14),0,9,1),1),MOD(ROW()-5,14)+1),""))</f>
        <v/>
      </c>
      <c r="I163" s="18"/>
    </row>
    <row r="164" spans="1:9">
      <c r="A164" s="18" t="str" cm="1">
        <f t="array" aca="1" ref="A164" ca="1">_xlfn.LET(_xlpm.owner,INDEX($B:$B,3+14*QUOTIENT(ROW()-5,14)),_xlpm.slot,MOD(ROW()-5,14)+1,IF(_xlpm.owner="","",IFERROR(INDEX(Draft!$H$6:$N$14,_xlpm.slot,MATCH(_xlpm.owner,Draft!$H$5:$N$5,0)),"")))</f>
        <v/>
      </c>
      <c r="B164" s="18">
        <v>6</v>
      </c>
      <c r="C164" s="18" t="str" cm="1">
        <f t="array" aca="1" ref="C164" ca="1">IF(A164="","",IFERROR(INDEX(_xlfn.SORTBY(OFFSET(A164,-MOD(ROW()-5,14),0,9,1),OFFSET(B164,-MOD(ROW()-5,14),0,9,1),1),MOD(ROW()-5,14)+1),""))</f>
        <v/>
      </c>
      <c r="D164" s="18"/>
      <c r="E164" s="18"/>
      <c r="F164" s="18" t="str" cm="1">
        <f t="array" aca="1" ref="F164" ca="1">_xlfn.LET(_xlpm.owner,INDEX($G:$G,3+14*QUOTIENT(ROW()-5,14)),_xlpm.slot,MOD(ROW()-5,14)+1,IF(_xlpm.owner="","",IFERROR(INDEX(Draft!$H$6:$N$14,_xlpm.slot,MATCH(_xlpm.owner,Draft!$H$5:$N$5,0)),"")))</f>
        <v/>
      </c>
      <c r="G164" s="18">
        <v>6</v>
      </c>
      <c r="H164" s="18" t="str" cm="1">
        <f t="array" aca="1" ref="H164" ca="1">IF(F164="","",IFERROR(INDEX(_xlfn.SORTBY(OFFSET(F164,-MOD(ROW()-5,14),0,9,1),OFFSET(G164,-MOD(ROW()-5,14),0,9,1),1),MOD(ROW()-5,14)+1),""))</f>
        <v/>
      </c>
      <c r="I164" s="18"/>
    </row>
    <row r="165" spans="1:9">
      <c r="A165" s="18" t="str" cm="1">
        <f t="array" aca="1" ref="A165" ca="1">_xlfn.LET(_xlpm.owner,INDEX($B:$B,3+14*QUOTIENT(ROW()-5,14)),_xlpm.slot,MOD(ROW()-5,14)+1,IF(_xlpm.owner="","",IFERROR(INDEX(Draft!$H$6:$N$14,_xlpm.slot,MATCH(_xlpm.owner,Draft!$H$5:$N$5,0)),"")))</f>
        <v/>
      </c>
      <c r="B165" s="18">
        <v>7</v>
      </c>
      <c r="C165" s="18" t="str" cm="1">
        <f t="array" aca="1" ref="C165" ca="1">IF(A165="","",IFERROR(INDEX(_xlfn.SORTBY(OFFSET(A165,-MOD(ROW()-5,14),0,9,1),OFFSET(B165,-MOD(ROW()-5,14),0,9,1),1),MOD(ROW()-5,14)+1),""))</f>
        <v/>
      </c>
      <c r="D165" s="18"/>
      <c r="E165" s="18"/>
      <c r="F165" s="18" t="str" cm="1">
        <f t="array" aca="1" ref="F165" ca="1">_xlfn.LET(_xlpm.owner,INDEX($G:$G,3+14*QUOTIENT(ROW()-5,14)),_xlpm.slot,MOD(ROW()-5,14)+1,IF(_xlpm.owner="","",IFERROR(INDEX(Draft!$H$6:$N$14,_xlpm.slot,MATCH(_xlpm.owner,Draft!$H$5:$N$5,0)),"")))</f>
        <v/>
      </c>
      <c r="G165" s="18">
        <v>7</v>
      </c>
      <c r="H165" s="18" t="str" cm="1">
        <f t="array" aca="1" ref="H165" ca="1">IF(F165="","",IFERROR(INDEX(_xlfn.SORTBY(OFFSET(F165,-MOD(ROW()-5,14),0,9,1),OFFSET(G165,-MOD(ROW()-5,14),0,9,1),1),MOD(ROW()-5,14)+1),""))</f>
        <v/>
      </c>
      <c r="I165" s="18"/>
    </row>
    <row r="166" spans="1:9">
      <c r="A166" s="18" t="str" cm="1">
        <f t="array" aca="1" ref="A166" ca="1">_xlfn.LET(_xlpm.owner,INDEX($B:$B,3+14*QUOTIENT(ROW()-5,14)),_xlpm.slot,MOD(ROW()-5,14)+1,IF(_xlpm.owner="","",IFERROR(INDEX(Draft!$H$6:$N$14,_xlpm.slot,MATCH(_xlpm.owner,Draft!$H$5:$N$5,0)),"")))</f>
        <v/>
      </c>
      <c r="B166" s="18">
        <v>8</v>
      </c>
      <c r="C166" s="18" t="str" cm="1">
        <f t="array" aca="1" ref="C166" ca="1">IF(A166="","",IFERROR(INDEX(_xlfn.SORTBY(OFFSET(A166,-MOD(ROW()-5,14),0,9,1),OFFSET(B166,-MOD(ROW()-5,14),0,9,1),1),MOD(ROW()-5,14)+1),""))</f>
        <v/>
      </c>
      <c r="D166" s="18"/>
      <c r="E166" s="18"/>
      <c r="F166" s="18" t="str" cm="1">
        <f t="array" aca="1" ref="F166" ca="1">_xlfn.LET(_xlpm.owner,INDEX($G:$G,3+14*QUOTIENT(ROW()-5,14)),_xlpm.slot,MOD(ROW()-5,14)+1,IF(_xlpm.owner="","",IFERROR(INDEX(Draft!$H$6:$N$14,_xlpm.slot,MATCH(_xlpm.owner,Draft!$H$5:$N$5,0)),"")))</f>
        <v/>
      </c>
      <c r="G166" s="18">
        <v>8</v>
      </c>
      <c r="H166" s="18" t="str" cm="1">
        <f t="array" aca="1" ref="H166" ca="1">IF(F166="","",IFERROR(INDEX(_xlfn.SORTBY(OFFSET(F166,-MOD(ROW()-5,14),0,9,1),OFFSET(G166,-MOD(ROW()-5,14),0,9,1),1),MOD(ROW()-5,14)+1),""))</f>
        <v/>
      </c>
      <c r="I166" s="18"/>
    </row>
    <row r="167" spans="1:9">
      <c r="A167" s="18" t="str" cm="1">
        <f t="array" aca="1" ref="A167" ca="1">_xlfn.LET(_xlpm.owner,INDEX($B:$B,3+14*QUOTIENT(ROW()-5,14)),_xlpm.slot,MOD(ROW()-5,14)+1,IF(_xlpm.owner="","",IFERROR(INDEX(Draft!$H$6:$N$14,_xlpm.slot,MATCH(_xlpm.owner,Draft!$H$5:$N$5,0)),"")))</f>
        <v/>
      </c>
      <c r="B167" s="18">
        <v>9</v>
      </c>
      <c r="C167" s="18" t="str" cm="1">
        <f t="array" aca="1" ref="C167" ca="1">IF(A167="","",IFERROR(INDEX(_xlfn.SORTBY(OFFSET(A167,-MOD(ROW()-5,14),0,9,1),OFFSET(B167,-MOD(ROW()-5,14),0,9,1),1),MOD(ROW()-5,14)+1),""))</f>
        <v/>
      </c>
      <c r="D167" s="18"/>
      <c r="E167" s="18"/>
      <c r="F167" s="18" t="str" cm="1">
        <f t="array" aca="1" ref="F167" ca="1">_xlfn.LET(_xlpm.owner,INDEX($G:$G,3+14*QUOTIENT(ROW()-5,14)),_xlpm.slot,MOD(ROW()-5,14)+1,IF(_xlpm.owner="","",IFERROR(INDEX(Draft!$H$6:$N$14,_xlpm.slot,MATCH(_xlpm.owner,Draft!$H$5:$N$5,0)),"")))</f>
        <v/>
      </c>
      <c r="G167" s="18">
        <v>9</v>
      </c>
      <c r="H167" s="18" t="str" cm="1">
        <f t="array" aca="1" ref="H167" ca="1">IF(F167="","",IFERROR(INDEX(_xlfn.SORTBY(OFFSET(F167,-MOD(ROW()-5,14),0,9,1),OFFSET(G167,-MOD(ROW()-5,14),0,9,1),1),MOD(ROW()-5,14)+1),""))</f>
        <v/>
      </c>
      <c r="I167" s="18"/>
    </row>
    <row r="168" spans="1:9">
      <c r="A168" s="18"/>
      <c r="B168" s="18"/>
      <c r="C168" s="18"/>
      <c r="D168" s="18"/>
      <c r="E168" s="18"/>
      <c r="F168" s="18"/>
      <c r="G168" s="18"/>
      <c r="H168" s="18"/>
      <c r="I168" s="18"/>
    </row>
    <row r="169" spans="1:9">
      <c r="A169" s="34" t="str">
        <f t="shared" ref="A169:A210" si="11">"Game "&amp;(QUOTIENT(ROW()-1,14)+1)&amp;" Lineups"</f>
        <v>Game 13 Lineups</v>
      </c>
      <c r="B169" s="18"/>
      <c r="C169" s="18"/>
      <c r="D169" s="18"/>
      <c r="E169" s="18"/>
      <c r="F169" s="18"/>
      <c r="G169" s="18"/>
      <c r="H169" s="18"/>
      <c r="I169" s="18"/>
    </row>
    <row r="170" spans="1:9">
      <c r="A170" s="18" t="s">
        <v>95</v>
      </c>
      <c r="B170" s="18" t="str" cm="1">
        <f t="array" ref="B170">INDEX(Bracket!$F$6:$F$20,QUOTIENT(ROW()-2,14)+1)</f>
        <v/>
      </c>
      <c r="C170" s="18"/>
      <c r="D170" s="18" t="s">
        <v>96</v>
      </c>
      <c r="E170" s="18" t="str" cm="1">
        <f t="array" ref="E170">INDEX(Bracket!$G$6:$G$20,QUOTIENT(ROW()-2,14)+1)</f>
        <v/>
      </c>
      <c r="F170" s="18"/>
      <c r="G170" s="18"/>
      <c r="H170" s="18"/>
      <c r="I170" s="18"/>
    </row>
    <row r="171" spans="1:9">
      <c r="A171" s="18" t="s">
        <v>97</v>
      </c>
      <c r="B171" s="18" t="str" cm="1">
        <f t="array" aca="1" ref="B171" ca="1">INDEX(Bracket!$H$6:$H$20,QUOTIENT(ROW()-3,14)+1)</f>
        <v/>
      </c>
      <c r="C171" s="18"/>
      <c r="D171" s="18"/>
      <c r="E171" s="18"/>
      <c r="F171" s="18" t="s">
        <v>98</v>
      </c>
      <c r="G171" s="18" t="str" cm="1">
        <f t="array" aca="1" ref="G171" ca="1">INDEX(Bracket!$I$6:$I$20,QUOTIENT(ROW()-3,14)+1)</f>
        <v/>
      </c>
      <c r="H171" s="18"/>
      <c r="I171" s="18"/>
    </row>
    <row r="172" spans="1:9">
      <c r="A172" s="35" t="s">
        <v>99</v>
      </c>
      <c r="B172" s="35" t="s">
        <v>100</v>
      </c>
      <c r="C172" s="35" t="s">
        <v>101</v>
      </c>
      <c r="D172" s="18"/>
      <c r="E172" s="18"/>
      <c r="F172" s="35" t="s">
        <v>99</v>
      </c>
      <c r="G172" s="35" t="s">
        <v>100</v>
      </c>
      <c r="H172" s="35" t="s">
        <v>101</v>
      </c>
      <c r="I172" s="18"/>
    </row>
    <row r="173" spans="1:9">
      <c r="A173" s="18" t="str" cm="1">
        <f t="array" aca="1" ref="A173" ca="1">_xlfn.LET(_xlpm.owner,INDEX($B:$B,3+14*QUOTIENT(ROW()-5,14)),_xlpm.slot,MOD(ROW()-5,14)+1,IF(_xlpm.owner="","",IFERROR(INDEX(Draft!$H$6:$N$14,_xlpm.slot,MATCH(_xlpm.owner,Draft!$H$5:$N$5,0)),"")))</f>
        <v/>
      </c>
      <c r="B173" s="18">
        <v>1</v>
      </c>
      <c r="C173" s="18" t="str" cm="1">
        <f t="array" aca="1" ref="C173" ca="1">IF(A173="","",IFERROR(INDEX(_xlfn.SORTBY(OFFSET(A173,-MOD(ROW()-5,14),0,9,1),OFFSET(B173,-MOD(ROW()-5,14),0,9,1),1),MOD(ROW()-5,14)+1),""))</f>
        <v/>
      </c>
      <c r="D173" s="18"/>
      <c r="E173" s="18"/>
      <c r="F173" s="18" t="str" cm="1">
        <f t="array" aca="1" ref="F173" ca="1">_xlfn.LET(_xlpm.owner,INDEX($G:$G,3+14*QUOTIENT(ROW()-5,14)),_xlpm.slot,MOD(ROW()-5,14)+1,IF(_xlpm.owner="","",IFERROR(INDEX(Draft!$H$6:$N$14,_xlpm.slot,MATCH(_xlpm.owner,Draft!$H$5:$N$5,0)),"")))</f>
        <v/>
      </c>
      <c r="G173" s="18">
        <v>1</v>
      </c>
      <c r="H173" s="18" t="str" cm="1">
        <f t="array" aca="1" ref="H173" ca="1">IF(F173="","",IFERROR(INDEX(_xlfn.SORTBY(OFFSET(F173,-MOD(ROW()-5,14),0,9,1),OFFSET(G173,-MOD(ROW()-5,14),0,9,1),1),MOD(ROW()-5,14)+1),""))</f>
        <v/>
      </c>
      <c r="I173" s="18"/>
    </row>
    <row r="174" spans="1:9">
      <c r="A174" s="18" t="str" cm="1">
        <f t="array" aca="1" ref="A174" ca="1">_xlfn.LET(_xlpm.owner,INDEX($B:$B,3+14*QUOTIENT(ROW()-5,14)),_xlpm.slot,MOD(ROW()-5,14)+1,IF(_xlpm.owner="","",IFERROR(INDEX(Draft!$H$6:$N$14,_xlpm.slot,MATCH(_xlpm.owner,Draft!$H$5:$N$5,0)),"")))</f>
        <v/>
      </c>
      <c r="B174" s="18">
        <v>2</v>
      </c>
      <c r="C174" s="18" t="str" cm="1">
        <f t="array" aca="1" ref="C174" ca="1">IF(A174="","",IFERROR(INDEX(_xlfn.SORTBY(OFFSET(A174,-MOD(ROW()-5,14),0,9,1),OFFSET(B174,-MOD(ROW()-5,14),0,9,1),1),MOD(ROW()-5,14)+1),""))</f>
        <v/>
      </c>
      <c r="D174" s="18"/>
      <c r="E174" s="18"/>
      <c r="F174" s="18" t="str" cm="1">
        <f t="array" aca="1" ref="F174" ca="1">_xlfn.LET(_xlpm.owner,INDEX($G:$G,3+14*QUOTIENT(ROW()-5,14)),_xlpm.slot,MOD(ROW()-5,14)+1,IF(_xlpm.owner="","",IFERROR(INDEX(Draft!$H$6:$N$14,_xlpm.slot,MATCH(_xlpm.owner,Draft!$H$5:$N$5,0)),"")))</f>
        <v/>
      </c>
      <c r="G174" s="18">
        <v>2</v>
      </c>
      <c r="H174" s="18" t="str" cm="1">
        <f t="array" aca="1" ref="H174" ca="1">IF(F174="","",IFERROR(INDEX(_xlfn.SORTBY(OFFSET(F174,-MOD(ROW()-5,14),0,9,1),OFFSET(G174,-MOD(ROW()-5,14),0,9,1),1),MOD(ROW()-5,14)+1),""))</f>
        <v/>
      </c>
      <c r="I174" s="18"/>
    </row>
    <row r="175" spans="1:9">
      <c r="A175" s="18" t="str" cm="1">
        <f t="array" aca="1" ref="A175" ca="1">_xlfn.LET(_xlpm.owner,INDEX($B:$B,3+14*QUOTIENT(ROW()-5,14)),_xlpm.slot,MOD(ROW()-5,14)+1,IF(_xlpm.owner="","",IFERROR(INDEX(Draft!$H$6:$N$14,_xlpm.slot,MATCH(_xlpm.owner,Draft!$H$5:$N$5,0)),"")))</f>
        <v/>
      </c>
      <c r="B175" s="18">
        <v>3</v>
      </c>
      <c r="C175" s="18" t="str" cm="1">
        <f t="array" aca="1" ref="C175" ca="1">IF(A175="","",IFERROR(INDEX(_xlfn.SORTBY(OFFSET(A175,-MOD(ROW()-5,14),0,9,1),OFFSET(B175,-MOD(ROW()-5,14),0,9,1),1),MOD(ROW()-5,14)+1),""))</f>
        <v/>
      </c>
      <c r="D175" s="18"/>
      <c r="E175" s="18"/>
      <c r="F175" s="18" t="str" cm="1">
        <f t="array" aca="1" ref="F175" ca="1">_xlfn.LET(_xlpm.owner,INDEX($G:$G,3+14*QUOTIENT(ROW()-5,14)),_xlpm.slot,MOD(ROW()-5,14)+1,IF(_xlpm.owner="","",IFERROR(INDEX(Draft!$H$6:$N$14,_xlpm.slot,MATCH(_xlpm.owner,Draft!$H$5:$N$5,0)),"")))</f>
        <v/>
      </c>
      <c r="G175" s="18">
        <v>3</v>
      </c>
      <c r="H175" s="18" t="str" cm="1">
        <f t="array" aca="1" ref="H175" ca="1">IF(F175="","",IFERROR(INDEX(_xlfn.SORTBY(OFFSET(F175,-MOD(ROW()-5,14),0,9,1),OFFSET(G175,-MOD(ROW()-5,14),0,9,1),1),MOD(ROW()-5,14)+1),""))</f>
        <v/>
      </c>
      <c r="I175" s="18"/>
    </row>
    <row r="176" spans="1:9">
      <c r="A176" s="18" t="str" cm="1">
        <f t="array" aca="1" ref="A176" ca="1">_xlfn.LET(_xlpm.owner,INDEX($B:$B,3+14*QUOTIENT(ROW()-5,14)),_xlpm.slot,MOD(ROW()-5,14)+1,IF(_xlpm.owner="","",IFERROR(INDEX(Draft!$H$6:$N$14,_xlpm.slot,MATCH(_xlpm.owner,Draft!$H$5:$N$5,0)),"")))</f>
        <v/>
      </c>
      <c r="B176" s="18">
        <v>4</v>
      </c>
      <c r="C176" s="18" t="str" cm="1">
        <f t="array" aca="1" ref="C176" ca="1">IF(A176="","",IFERROR(INDEX(_xlfn.SORTBY(OFFSET(A176,-MOD(ROW()-5,14),0,9,1),OFFSET(B176,-MOD(ROW()-5,14),0,9,1),1),MOD(ROW()-5,14)+1),""))</f>
        <v/>
      </c>
      <c r="D176" s="18"/>
      <c r="E176" s="18"/>
      <c r="F176" s="18" t="str" cm="1">
        <f t="array" aca="1" ref="F176" ca="1">_xlfn.LET(_xlpm.owner,INDEX($G:$G,3+14*QUOTIENT(ROW()-5,14)),_xlpm.slot,MOD(ROW()-5,14)+1,IF(_xlpm.owner="","",IFERROR(INDEX(Draft!$H$6:$N$14,_xlpm.slot,MATCH(_xlpm.owner,Draft!$H$5:$N$5,0)),"")))</f>
        <v/>
      </c>
      <c r="G176" s="18">
        <v>4</v>
      </c>
      <c r="H176" s="18" t="str" cm="1">
        <f t="array" aca="1" ref="H176" ca="1">IF(F176="","",IFERROR(INDEX(_xlfn.SORTBY(OFFSET(F176,-MOD(ROW()-5,14),0,9,1),OFFSET(G176,-MOD(ROW()-5,14),0,9,1),1),MOD(ROW()-5,14)+1),""))</f>
        <v/>
      </c>
      <c r="I176" s="18"/>
    </row>
    <row r="177" spans="1:9">
      <c r="A177" s="18" t="str" cm="1">
        <f t="array" aca="1" ref="A177" ca="1">_xlfn.LET(_xlpm.owner,INDEX($B:$B,3+14*QUOTIENT(ROW()-5,14)),_xlpm.slot,MOD(ROW()-5,14)+1,IF(_xlpm.owner="","",IFERROR(INDEX(Draft!$H$6:$N$14,_xlpm.slot,MATCH(_xlpm.owner,Draft!$H$5:$N$5,0)),"")))</f>
        <v/>
      </c>
      <c r="B177" s="18">
        <v>5</v>
      </c>
      <c r="C177" s="18" t="str" cm="1">
        <f t="array" aca="1" ref="C177" ca="1">IF(A177="","",IFERROR(INDEX(_xlfn.SORTBY(OFFSET(A177,-MOD(ROW()-5,14),0,9,1),OFFSET(B177,-MOD(ROW()-5,14),0,9,1),1),MOD(ROW()-5,14)+1),""))</f>
        <v/>
      </c>
      <c r="D177" s="18"/>
      <c r="E177" s="18"/>
      <c r="F177" s="18" t="str" cm="1">
        <f t="array" aca="1" ref="F177" ca="1">_xlfn.LET(_xlpm.owner,INDEX($G:$G,3+14*QUOTIENT(ROW()-5,14)),_xlpm.slot,MOD(ROW()-5,14)+1,IF(_xlpm.owner="","",IFERROR(INDEX(Draft!$H$6:$N$14,_xlpm.slot,MATCH(_xlpm.owner,Draft!$H$5:$N$5,0)),"")))</f>
        <v/>
      </c>
      <c r="G177" s="18">
        <v>5</v>
      </c>
      <c r="H177" s="18" t="str" cm="1">
        <f t="array" aca="1" ref="H177" ca="1">IF(F177="","",IFERROR(INDEX(_xlfn.SORTBY(OFFSET(F177,-MOD(ROW()-5,14),0,9,1),OFFSET(G177,-MOD(ROW()-5,14),0,9,1),1),MOD(ROW()-5,14)+1),""))</f>
        <v/>
      </c>
      <c r="I177" s="18"/>
    </row>
    <row r="178" spans="1:9">
      <c r="A178" s="18" t="str" cm="1">
        <f t="array" aca="1" ref="A178" ca="1">_xlfn.LET(_xlpm.owner,INDEX($B:$B,3+14*QUOTIENT(ROW()-5,14)),_xlpm.slot,MOD(ROW()-5,14)+1,IF(_xlpm.owner="","",IFERROR(INDEX(Draft!$H$6:$N$14,_xlpm.slot,MATCH(_xlpm.owner,Draft!$H$5:$N$5,0)),"")))</f>
        <v/>
      </c>
      <c r="B178" s="18">
        <v>6</v>
      </c>
      <c r="C178" s="18" t="str" cm="1">
        <f t="array" aca="1" ref="C178" ca="1">IF(A178="","",IFERROR(INDEX(_xlfn.SORTBY(OFFSET(A178,-MOD(ROW()-5,14),0,9,1),OFFSET(B178,-MOD(ROW()-5,14),0,9,1),1),MOD(ROW()-5,14)+1),""))</f>
        <v/>
      </c>
      <c r="D178" s="18"/>
      <c r="E178" s="18"/>
      <c r="F178" s="18" t="str" cm="1">
        <f t="array" aca="1" ref="F178" ca="1">_xlfn.LET(_xlpm.owner,INDEX($G:$G,3+14*QUOTIENT(ROW()-5,14)),_xlpm.slot,MOD(ROW()-5,14)+1,IF(_xlpm.owner="","",IFERROR(INDEX(Draft!$H$6:$N$14,_xlpm.slot,MATCH(_xlpm.owner,Draft!$H$5:$N$5,0)),"")))</f>
        <v/>
      </c>
      <c r="G178" s="18">
        <v>6</v>
      </c>
      <c r="H178" s="18" t="str" cm="1">
        <f t="array" aca="1" ref="H178" ca="1">IF(F178="","",IFERROR(INDEX(_xlfn.SORTBY(OFFSET(F178,-MOD(ROW()-5,14),0,9,1),OFFSET(G178,-MOD(ROW()-5,14),0,9,1),1),MOD(ROW()-5,14)+1),""))</f>
        <v/>
      </c>
      <c r="I178" s="18"/>
    </row>
    <row r="179" spans="1:9">
      <c r="A179" s="18" t="str" cm="1">
        <f t="array" aca="1" ref="A179" ca="1">_xlfn.LET(_xlpm.owner,INDEX($B:$B,3+14*QUOTIENT(ROW()-5,14)),_xlpm.slot,MOD(ROW()-5,14)+1,IF(_xlpm.owner="","",IFERROR(INDEX(Draft!$H$6:$N$14,_xlpm.slot,MATCH(_xlpm.owner,Draft!$H$5:$N$5,0)),"")))</f>
        <v/>
      </c>
      <c r="B179" s="18">
        <v>7</v>
      </c>
      <c r="C179" s="18" t="str" cm="1">
        <f t="array" aca="1" ref="C179" ca="1">IF(A179="","",IFERROR(INDEX(_xlfn.SORTBY(OFFSET(A179,-MOD(ROW()-5,14),0,9,1),OFFSET(B179,-MOD(ROW()-5,14),0,9,1),1),MOD(ROW()-5,14)+1),""))</f>
        <v/>
      </c>
      <c r="D179" s="18"/>
      <c r="E179" s="18"/>
      <c r="F179" s="18" t="str" cm="1">
        <f t="array" aca="1" ref="F179" ca="1">_xlfn.LET(_xlpm.owner,INDEX($G:$G,3+14*QUOTIENT(ROW()-5,14)),_xlpm.slot,MOD(ROW()-5,14)+1,IF(_xlpm.owner="","",IFERROR(INDEX(Draft!$H$6:$N$14,_xlpm.slot,MATCH(_xlpm.owner,Draft!$H$5:$N$5,0)),"")))</f>
        <v/>
      </c>
      <c r="G179" s="18">
        <v>7</v>
      </c>
      <c r="H179" s="18" t="str" cm="1">
        <f t="array" aca="1" ref="H179" ca="1">IF(F179="","",IFERROR(INDEX(_xlfn.SORTBY(OFFSET(F179,-MOD(ROW()-5,14),0,9,1),OFFSET(G179,-MOD(ROW()-5,14),0,9,1),1),MOD(ROW()-5,14)+1),""))</f>
        <v/>
      </c>
      <c r="I179" s="18"/>
    </row>
    <row r="180" spans="1:9">
      <c r="A180" s="18" t="str" cm="1">
        <f t="array" aca="1" ref="A180" ca="1">_xlfn.LET(_xlpm.owner,INDEX($B:$B,3+14*QUOTIENT(ROW()-5,14)),_xlpm.slot,MOD(ROW()-5,14)+1,IF(_xlpm.owner="","",IFERROR(INDEX(Draft!$H$6:$N$14,_xlpm.slot,MATCH(_xlpm.owner,Draft!$H$5:$N$5,0)),"")))</f>
        <v/>
      </c>
      <c r="B180" s="18">
        <v>8</v>
      </c>
      <c r="C180" s="18" t="str" cm="1">
        <f t="array" aca="1" ref="C180" ca="1">IF(A180="","",IFERROR(INDEX(_xlfn.SORTBY(OFFSET(A180,-MOD(ROW()-5,14),0,9,1),OFFSET(B180,-MOD(ROW()-5,14),0,9,1),1),MOD(ROW()-5,14)+1),""))</f>
        <v/>
      </c>
      <c r="D180" s="18"/>
      <c r="E180" s="18"/>
      <c r="F180" s="18" t="str" cm="1">
        <f t="array" aca="1" ref="F180" ca="1">_xlfn.LET(_xlpm.owner,INDEX($G:$G,3+14*QUOTIENT(ROW()-5,14)),_xlpm.slot,MOD(ROW()-5,14)+1,IF(_xlpm.owner="","",IFERROR(INDEX(Draft!$H$6:$N$14,_xlpm.slot,MATCH(_xlpm.owner,Draft!$H$5:$N$5,0)),"")))</f>
        <v/>
      </c>
      <c r="G180" s="18">
        <v>8</v>
      </c>
      <c r="H180" s="18" t="str" cm="1">
        <f t="array" aca="1" ref="H180" ca="1">IF(F180="","",IFERROR(INDEX(_xlfn.SORTBY(OFFSET(F180,-MOD(ROW()-5,14),0,9,1),OFFSET(G180,-MOD(ROW()-5,14),0,9,1),1),MOD(ROW()-5,14)+1),""))</f>
        <v/>
      </c>
      <c r="I180" s="18"/>
    </row>
    <row r="181" spans="1:9">
      <c r="A181" s="18" t="str" cm="1">
        <f t="array" aca="1" ref="A181" ca="1">_xlfn.LET(_xlpm.owner,INDEX($B:$B,3+14*QUOTIENT(ROW()-5,14)),_xlpm.slot,MOD(ROW()-5,14)+1,IF(_xlpm.owner="","",IFERROR(INDEX(Draft!$H$6:$N$14,_xlpm.slot,MATCH(_xlpm.owner,Draft!$H$5:$N$5,0)),"")))</f>
        <v/>
      </c>
      <c r="B181" s="18">
        <v>9</v>
      </c>
      <c r="C181" s="18" t="str" cm="1">
        <f t="array" aca="1" ref="C181" ca="1">IF(A181="","",IFERROR(INDEX(_xlfn.SORTBY(OFFSET(A181,-MOD(ROW()-5,14),0,9,1),OFFSET(B181,-MOD(ROW()-5,14),0,9,1),1),MOD(ROW()-5,14)+1),""))</f>
        <v/>
      </c>
      <c r="D181" s="18"/>
      <c r="E181" s="18"/>
      <c r="F181" s="18" t="str" cm="1">
        <f t="array" aca="1" ref="F181" ca="1">_xlfn.LET(_xlpm.owner,INDEX($G:$G,3+14*QUOTIENT(ROW()-5,14)),_xlpm.slot,MOD(ROW()-5,14)+1,IF(_xlpm.owner="","",IFERROR(INDEX(Draft!$H$6:$N$14,_xlpm.slot,MATCH(_xlpm.owner,Draft!$H$5:$N$5,0)),"")))</f>
        <v/>
      </c>
      <c r="G181" s="18">
        <v>9</v>
      </c>
      <c r="H181" s="18" t="str" cm="1">
        <f t="array" aca="1" ref="H181" ca="1">IF(F181="","",IFERROR(INDEX(_xlfn.SORTBY(OFFSET(F181,-MOD(ROW()-5,14),0,9,1),OFFSET(G181,-MOD(ROW()-5,14),0,9,1),1),MOD(ROW()-5,14)+1),""))</f>
        <v/>
      </c>
      <c r="I181" s="18"/>
    </row>
    <row r="182" spans="1:9">
      <c r="A182" s="18"/>
      <c r="B182" s="18"/>
      <c r="C182" s="18"/>
      <c r="D182" s="18"/>
      <c r="E182" s="18"/>
      <c r="F182" s="18"/>
      <c r="G182" s="18"/>
      <c r="H182" s="18"/>
      <c r="I182" s="18"/>
    </row>
    <row r="183" spans="1:9">
      <c r="A183" s="34" t="str">
        <f t="shared" ref="A183:A210" si="12">"Game "&amp;(QUOTIENT(ROW()-1,14)+1)&amp;" Lineups"</f>
        <v>Game 14 Lineups</v>
      </c>
      <c r="B183" s="18"/>
      <c r="C183" s="18"/>
      <c r="D183" s="18"/>
      <c r="E183" s="18"/>
      <c r="F183" s="18"/>
      <c r="G183" s="18"/>
      <c r="H183" s="18"/>
      <c r="I183" s="18"/>
    </row>
    <row r="184" spans="1:9">
      <c r="A184" s="18" t="s">
        <v>95</v>
      </c>
      <c r="B184" s="18" t="str" cm="1">
        <f t="array" ref="B184">INDEX(Bracket!$F$6:$F$20,QUOTIENT(ROW()-2,14)+1)</f>
        <v/>
      </c>
      <c r="C184" s="18"/>
      <c r="D184" s="18" t="s">
        <v>96</v>
      </c>
      <c r="E184" s="18" t="str" cm="1">
        <f t="array" ref="E184">INDEX(Bracket!$G$6:$G$20,QUOTIENT(ROW()-2,14)+1)</f>
        <v/>
      </c>
      <c r="F184" s="18"/>
      <c r="G184" s="18"/>
      <c r="H184" s="18"/>
      <c r="I184" s="18"/>
    </row>
    <row r="185" spans="1:9">
      <c r="A185" s="18" t="s">
        <v>97</v>
      </c>
      <c r="B185" s="18" t="str" cm="1">
        <f t="array" aca="1" ref="B185" ca="1">INDEX(Bracket!$H$6:$H$20,QUOTIENT(ROW()-3,14)+1)</f>
        <v/>
      </c>
      <c r="C185" s="18"/>
      <c r="D185" s="18"/>
      <c r="E185" s="18"/>
      <c r="F185" s="18" t="s">
        <v>98</v>
      </c>
      <c r="G185" s="18" t="str" cm="1">
        <f t="array" aca="1" ref="G185" ca="1">INDEX(Bracket!$I$6:$I$20,QUOTIENT(ROW()-3,14)+1)</f>
        <v/>
      </c>
      <c r="H185" s="18"/>
      <c r="I185" s="18"/>
    </row>
    <row r="186" spans="1:9">
      <c r="A186" s="35" t="s">
        <v>99</v>
      </c>
      <c r="B186" s="35" t="s">
        <v>100</v>
      </c>
      <c r="C186" s="35" t="s">
        <v>101</v>
      </c>
      <c r="D186" s="18"/>
      <c r="E186" s="18"/>
      <c r="F186" s="35" t="s">
        <v>99</v>
      </c>
      <c r="G186" s="35" t="s">
        <v>100</v>
      </c>
      <c r="H186" s="35" t="s">
        <v>101</v>
      </c>
      <c r="I186" s="18"/>
    </row>
    <row r="187" spans="1:9">
      <c r="A187" s="18" t="str" cm="1">
        <f t="array" aca="1" ref="A187" ca="1">_xlfn.LET(_xlpm.owner,INDEX($B:$B,3+14*QUOTIENT(ROW()-5,14)),_xlpm.slot,MOD(ROW()-5,14)+1,IF(_xlpm.owner="","",IFERROR(INDEX(Draft!$H$6:$N$14,_xlpm.slot,MATCH(_xlpm.owner,Draft!$H$5:$N$5,0)),"")))</f>
        <v/>
      </c>
      <c r="B187" s="18">
        <v>1</v>
      </c>
      <c r="C187" s="18" t="str" cm="1">
        <f t="array" aca="1" ref="C187" ca="1">IF(A187="","",IFERROR(INDEX(_xlfn.SORTBY(OFFSET(A187,-MOD(ROW()-5,14),0,9,1),OFFSET(B187,-MOD(ROW()-5,14),0,9,1),1),MOD(ROW()-5,14)+1),""))</f>
        <v/>
      </c>
      <c r="D187" s="18"/>
      <c r="E187" s="18"/>
      <c r="F187" s="18" t="str" cm="1">
        <f t="array" aca="1" ref="F187" ca="1">_xlfn.LET(_xlpm.owner,INDEX($G:$G,3+14*QUOTIENT(ROW()-5,14)),_xlpm.slot,MOD(ROW()-5,14)+1,IF(_xlpm.owner="","",IFERROR(INDEX(Draft!$H$6:$N$14,_xlpm.slot,MATCH(_xlpm.owner,Draft!$H$5:$N$5,0)),"")))</f>
        <v/>
      </c>
      <c r="G187" s="18">
        <v>1</v>
      </c>
      <c r="H187" s="18" t="str" cm="1">
        <f t="array" aca="1" ref="H187" ca="1">IF(F187="","",IFERROR(INDEX(_xlfn.SORTBY(OFFSET(F187,-MOD(ROW()-5,14),0,9,1),OFFSET(G187,-MOD(ROW()-5,14),0,9,1),1),MOD(ROW()-5,14)+1),""))</f>
        <v/>
      </c>
      <c r="I187" s="18"/>
    </row>
    <row r="188" spans="1:9">
      <c r="A188" s="18" t="str" cm="1">
        <f t="array" aca="1" ref="A188" ca="1">_xlfn.LET(_xlpm.owner,INDEX($B:$B,3+14*QUOTIENT(ROW()-5,14)),_xlpm.slot,MOD(ROW()-5,14)+1,IF(_xlpm.owner="","",IFERROR(INDEX(Draft!$H$6:$N$14,_xlpm.slot,MATCH(_xlpm.owner,Draft!$H$5:$N$5,0)),"")))</f>
        <v/>
      </c>
      <c r="B188" s="18">
        <v>2</v>
      </c>
      <c r="C188" s="18" t="str" cm="1">
        <f t="array" aca="1" ref="C188" ca="1">IF(A188="","",IFERROR(INDEX(_xlfn.SORTBY(OFFSET(A188,-MOD(ROW()-5,14),0,9,1),OFFSET(B188,-MOD(ROW()-5,14),0,9,1),1),MOD(ROW()-5,14)+1),""))</f>
        <v/>
      </c>
      <c r="D188" s="18"/>
      <c r="E188" s="18"/>
      <c r="F188" s="18" t="str" cm="1">
        <f t="array" aca="1" ref="F188" ca="1">_xlfn.LET(_xlpm.owner,INDEX($G:$G,3+14*QUOTIENT(ROW()-5,14)),_xlpm.slot,MOD(ROW()-5,14)+1,IF(_xlpm.owner="","",IFERROR(INDEX(Draft!$H$6:$N$14,_xlpm.slot,MATCH(_xlpm.owner,Draft!$H$5:$N$5,0)),"")))</f>
        <v/>
      </c>
      <c r="G188" s="18">
        <v>2</v>
      </c>
      <c r="H188" s="18" t="str" cm="1">
        <f t="array" aca="1" ref="H188" ca="1">IF(F188="","",IFERROR(INDEX(_xlfn.SORTBY(OFFSET(F188,-MOD(ROW()-5,14),0,9,1),OFFSET(G188,-MOD(ROW()-5,14),0,9,1),1),MOD(ROW()-5,14)+1),""))</f>
        <v/>
      </c>
      <c r="I188" s="18"/>
    </row>
    <row r="189" spans="1:9">
      <c r="A189" s="18" t="str" cm="1">
        <f t="array" aca="1" ref="A189" ca="1">_xlfn.LET(_xlpm.owner,INDEX($B:$B,3+14*QUOTIENT(ROW()-5,14)),_xlpm.slot,MOD(ROW()-5,14)+1,IF(_xlpm.owner="","",IFERROR(INDEX(Draft!$H$6:$N$14,_xlpm.slot,MATCH(_xlpm.owner,Draft!$H$5:$N$5,0)),"")))</f>
        <v/>
      </c>
      <c r="B189" s="18">
        <v>3</v>
      </c>
      <c r="C189" s="18" t="str" cm="1">
        <f t="array" aca="1" ref="C189" ca="1">IF(A189="","",IFERROR(INDEX(_xlfn.SORTBY(OFFSET(A189,-MOD(ROW()-5,14),0,9,1),OFFSET(B189,-MOD(ROW()-5,14),0,9,1),1),MOD(ROW()-5,14)+1),""))</f>
        <v/>
      </c>
      <c r="D189" s="18"/>
      <c r="E189" s="18"/>
      <c r="F189" s="18" t="str" cm="1">
        <f t="array" aca="1" ref="F189" ca="1">_xlfn.LET(_xlpm.owner,INDEX($G:$G,3+14*QUOTIENT(ROW()-5,14)),_xlpm.slot,MOD(ROW()-5,14)+1,IF(_xlpm.owner="","",IFERROR(INDEX(Draft!$H$6:$N$14,_xlpm.slot,MATCH(_xlpm.owner,Draft!$H$5:$N$5,0)),"")))</f>
        <v/>
      </c>
      <c r="G189" s="18">
        <v>3</v>
      </c>
      <c r="H189" s="18" t="str" cm="1">
        <f t="array" aca="1" ref="H189" ca="1">IF(F189="","",IFERROR(INDEX(_xlfn.SORTBY(OFFSET(F189,-MOD(ROW()-5,14),0,9,1),OFFSET(G189,-MOD(ROW()-5,14),0,9,1),1),MOD(ROW()-5,14)+1),""))</f>
        <v/>
      </c>
      <c r="I189" s="18"/>
    </row>
    <row r="190" spans="1:9">
      <c r="A190" s="18" t="str" cm="1">
        <f t="array" aca="1" ref="A190" ca="1">_xlfn.LET(_xlpm.owner,INDEX($B:$B,3+14*QUOTIENT(ROW()-5,14)),_xlpm.slot,MOD(ROW()-5,14)+1,IF(_xlpm.owner="","",IFERROR(INDEX(Draft!$H$6:$N$14,_xlpm.slot,MATCH(_xlpm.owner,Draft!$H$5:$N$5,0)),"")))</f>
        <v/>
      </c>
      <c r="B190" s="18">
        <v>4</v>
      </c>
      <c r="C190" s="18" t="str" cm="1">
        <f t="array" aca="1" ref="C190" ca="1">IF(A190="","",IFERROR(INDEX(_xlfn.SORTBY(OFFSET(A190,-MOD(ROW()-5,14),0,9,1),OFFSET(B190,-MOD(ROW()-5,14),0,9,1),1),MOD(ROW()-5,14)+1),""))</f>
        <v/>
      </c>
      <c r="D190" s="18"/>
      <c r="E190" s="18"/>
      <c r="F190" s="18" t="str" cm="1">
        <f t="array" aca="1" ref="F190" ca="1">_xlfn.LET(_xlpm.owner,INDEX($G:$G,3+14*QUOTIENT(ROW()-5,14)),_xlpm.slot,MOD(ROW()-5,14)+1,IF(_xlpm.owner="","",IFERROR(INDEX(Draft!$H$6:$N$14,_xlpm.slot,MATCH(_xlpm.owner,Draft!$H$5:$N$5,0)),"")))</f>
        <v/>
      </c>
      <c r="G190" s="18">
        <v>4</v>
      </c>
      <c r="H190" s="18" t="str" cm="1">
        <f t="array" aca="1" ref="H190" ca="1">IF(F190="","",IFERROR(INDEX(_xlfn.SORTBY(OFFSET(F190,-MOD(ROW()-5,14),0,9,1),OFFSET(G190,-MOD(ROW()-5,14),0,9,1),1),MOD(ROW()-5,14)+1),""))</f>
        <v/>
      </c>
      <c r="I190" s="18"/>
    </row>
    <row r="191" spans="1:9">
      <c r="A191" s="18" t="str" cm="1">
        <f t="array" aca="1" ref="A191" ca="1">_xlfn.LET(_xlpm.owner,INDEX($B:$B,3+14*QUOTIENT(ROW()-5,14)),_xlpm.slot,MOD(ROW()-5,14)+1,IF(_xlpm.owner="","",IFERROR(INDEX(Draft!$H$6:$N$14,_xlpm.slot,MATCH(_xlpm.owner,Draft!$H$5:$N$5,0)),"")))</f>
        <v/>
      </c>
      <c r="B191" s="18">
        <v>5</v>
      </c>
      <c r="C191" s="18" t="str" cm="1">
        <f t="array" aca="1" ref="C191" ca="1">IF(A191="","",IFERROR(INDEX(_xlfn.SORTBY(OFFSET(A191,-MOD(ROW()-5,14),0,9,1),OFFSET(B191,-MOD(ROW()-5,14),0,9,1),1),MOD(ROW()-5,14)+1),""))</f>
        <v/>
      </c>
      <c r="D191" s="18"/>
      <c r="E191" s="18"/>
      <c r="F191" s="18" t="str" cm="1">
        <f t="array" aca="1" ref="F191" ca="1">_xlfn.LET(_xlpm.owner,INDEX($G:$G,3+14*QUOTIENT(ROW()-5,14)),_xlpm.slot,MOD(ROW()-5,14)+1,IF(_xlpm.owner="","",IFERROR(INDEX(Draft!$H$6:$N$14,_xlpm.slot,MATCH(_xlpm.owner,Draft!$H$5:$N$5,0)),"")))</f>
        <v/>
      </c>
      <c r="G191" s="18">
        <v>5</v>
      </c>
      <c r="H191" s="18" t="str" cm="1">
        <f t="array" aca="1" ref="H191" ca="1">IF(F191="","",IFERROR(INDEX(_xlfn.SORTBY(OFFSET(F191,-MOD(ROW()-5,14),0,9,1),OFFSET(G191,-MOD(ROW()-5,14),0,9,1),1),MOD(ROW()-5,14)+1),""))</f>
        <v/>
      </c>
      <c r="I191" s="18"/>
    </row>
    <row r="192" spans="1:9">
      <c r="A192" s="18" t="str" cm="1">
        <f t="array" aca="1" ref="A192" ca="1">_xlfn.LET(_xlpm.owner,INDEX($B:$B,3+14*QUOTIENT(ROW()-5,14)),_xlpm.slot,MOD(ROW()-5,14)+1,IF(_xlpm.owner="","",IFERROR(INDEX(Draft!$H$6:$N$14,_xlpm.slot,MATCH(_xlpm.owner,Draft!$H$5:$N$5,0)),"")))</f>
        <v/>
      </c>
      <c r="B192" s="18">
        <v>6</v>
      </c>
      <c r="C192" s="18" t="str" cm="1">
        <f t="array" aca="1" ref="C192" ca="1">IF(A192="","",IFERROR(INDEX(_xlfn.SORTBY(OFFSET(A192,-MOD(ROW()-5,14),0,9,1),OFFSET(B192,-MOD(ROW()-5,14),0,9,1),1),MOD(ROW()-5,14)+1),""))</f>
        <v/>
      </c>
      <c r="D192" s="18"/>
      <c r="E192" s="18"/>
      <c r="F192" s="18" t="str" cm="1">
        <f t="array" aca="1" ref="F192" ca="1">_xlfn.LET(_xlpm.owner,INDEX($G:$G,3+14*QUOTIENT(ROW()-5,14)),_xlpm.slot,MOD(ROW()-5,14)+1,IF(_xlpm.owner="","",IFERROR(INDEX(Draft!$H$6:$N$14,_xlpm.slot,MATCH(_xlpm.owner,Draft!$H$5:$N$5,0)),"")))</f>
        <v/>
      </c>
      <c r="G192" s="18">
        <v>6</v>
      </c>
      <c r="H192" s="18" t="str" cm="1">
        <f t="array" aca="1" ref="H192" ca="1">IF(F192="","",IFERROR(INDEX(_xlfn.SORTBY(OFFSET(F192,-MOD(ROW()-5,14),0,9,1),OFFSET(G192,-MOD(ROW()-5,14),0,9,1),1),MOD(ROW()-5,14)+1),""))</f>
        <v/>
      </c>
      <c r="I192" s="18"/>
    </row>
    <row r="193" spans="1:9">
      <c r="A193" s="18" t="str" cm="1">
        <f t="array" aca="1" ref="A193" ca="1">_xlfn.LET(_xlpm.owner,INDEX($B:$B,3+14*QUOTIENT(ROW()-5,14)),_xlpm.slot,MOD(ROW()-5,14)+1,IF(_xlpm.owner="","",IFERROR(INDEX(Draft!$H$6:$N$14,_xlpm.slot,MATCH(_xlpm.owner,Draft!$H$5:$N$5,0)),"")))</f>
        <v/>
      </c>
      <c r="B193" s="18">
        <v>7</v>
      </c>
      <c r="C193" s="18" t="str" cm="1">
        <f t="array" aca="1" ref="C193" ca="1">IF(A193="","",IFERROR(INDEX(_xlfn.SORTBY(OFFSET(A193,-MOD(ROW()-5,14),0,9,1),OFFSET(B193,-MOD(ROW()-5,14),0,9,1),1),MOD(ROW()-5,14)+1),""))</f>
        <v/>
      </c>
      <c r="D193" s="18"/>
      <c r="E193" s="18"/>
      <c r="F193" s="18" t="str" cm="1">
        <f t="array" aca="1" ref="F193" ca="1">_xlfn.LET(_xlpm.owner,INDEX($G:$G,3+14*QUOTIENT(ROW()-5,14)),_xlpm.slot,MOD(ROW()-5,14)+1,IF(_xlpm.owner="","",IFERROR(INDEX(Draft!$H$6:$N$14,_xlpm.slot,MATCH(_xlpm.owner,Draft!$H$5:$N$5,0)),"")))</f>
        <v/>
      </c>
      <c r="G193" s="18">
        <v>7</v>
      </c>
      <c r="H193" s="18" t="str" cm="1">
        <f t="array" aca="1" ref="H193" ca="1">IF(F193="","",IFERROR(INDEX(_xlfn.SORTBY(OFFSET(F193,-MOD(ROW()-5,14),0,9,1),OFFSET(G193,-MOD(ROW()-5,14),0,9,1),1),MOD(ROW()-5,14)+1),""))</f>
        <v/>
      </c>
      <c r="I193" s="18"/>
    </row>
    <row r="194" spans="1:9">
      <c r="A194" s="18" t="str" cm="1">
        <f t="array" aca="1" ref="A194" ca="1">_xlfn.LET(_xlpm.owner,INDEX($B:$B,3+14*QUOTIENT(ROW()-5,14)),_xlpm.slot,MOD(ROW()-5,14)+1,IF(_xlpm.owner="","",IFERROR(INDEX(Draft!$H$6:$N$14,_xlpm.slot,MATCH(_xlpm.owner,Draft!$H$5:$N$5,0)),"")))</f>
        <v/>
      </c>
      <c r="B194" s="18">
        <v>8</v>
      </c>
      <c r="C194" s="18" t="str" cm="1">
        <f t="array" aca="1" ref="C194" ca="1">IF(A194="","",IFERROR(INDEX(_xlfn.SORTBY(OFFSET(A194,-MOD(ROW()-5,14),0,9,1),OFFSET(B194,-MOD(ROW()-5,14),0,9,1),1),MOD(ROW()-5,14)+1),""))</f>
        <v/>
      </c>
      <c r="D194" s="18"/>
      <c r="E194" s="18"/>
      <c r="F194" s="18" t="str" cm="1">
        <f t="array" aca="1" ref="F194" ca="1">_xlfn.LET(_xlpm.owner,INDEX($G:$G,3+14*QUOTIENT(ROW()-5,14)),_xlpm.slot,MOD(ROW()-5,14)+1,IF(_xlpm.owner="","",IFERROR(INDEX(Draft!$H$6:$N$14,_xlpm.slot,MATCH(_xlpm.owner,Draft!$H$5:$N$5,0)),"")))</f>
        <v/>
      </c>
      <c r="G194" s="18">
        <v>8</v>
      </c>
      <c r="H194" s="18" t="str" cm="1">
        <f t="array" aca="1" ref="H194" ca="1">IF(F194="","",IFERROR(INDEX(_xlfn.SORTBY(OFFSET(F194,-MOD(ROW()-5,14),0,9,1),OFFSET(G194,-MOD(ROW()-5,14),0,9,1),1),MOD(ROW()-5,14)+1),""))</f>
        <v/>
      </c>
      <c r="I194" s="18"/>
    </row>
    <row r="195" spans="1:9">
      <c r="A195" s="18" t="str" cm="1">
        <f t="array" aca="1" ref="A195" ca="1">_xlfn.LET(_xlpm.owner,INDEX($B:$B,3+14*QUOTIENT(ROW()-5,14)),_xlpm.slot,MOD(ROW()-5,14)+1,IF(_xlpm.owner="","",IFERROR(INDEX(Draft!$H$6:$N$14,_xlpm.slot,MATCH(_xlpm.owner,Draft!$H$5:$N$5,0)),"")))</f>
        <v/>
      </c>
      <c r="B195" s="18">
        <v>9</v>
      </c>
      <c r="C195" s="18" t="str" cm="1">
        <f t="array" aca="1" ref="C195" ca="1">IF(A195="","",IFERROR(INDEX(_xlfn.SORTBY(OFFSET(A195,-MOD(ROW()-5,14),0,9,1),OFFSET(B195,-MOD(ROW()-5,14),0,9,1),1),MOD(ROW()-5,14)+1),""))</f>
        <v/>
      </c>
      <c r="D195" s="18"/>
      <c r="E195" s="18"/>
      <c r="F195" s="18" t="str" cm="1">
        <f t="array" aca="1" ref="F195" ca="1">_xlfn.LET(_xlpm.owner,INDEX($G:$G,3+14*QUOTIENT(ROW()-5,14)),_xlpm.slot,MOD(ROW()-5,14)+1,IF(_xlpm.owner="","",IFERROR(INDEX(Draft!$H$6:$N$14,_xlpm.slot,MATCH(_xlpm.owner,Draft!$H$5:$N$5,0)),"")))</f>
        <v/>
      </c>
      <c r="G195" s="18">
        <v>9</v>
      </c>
      <c r="H195" s="18" t="str" cm="1">
        <f t="array" aca="1" ref="H195" ca="1">IF(F195="","",IFERROR(INDEX(_xlfn.SORTBY(OFFSET(F195,-MOD(ROW()-5,14),0,9,1),OFFSET(G195,-MOD(ROW()-5,14),0,9,1),1),MOD(ROW()-5,14)+1),""))</f>
        <v/>
      </c>
      <c r="I195" s="18"/>
    </row>
    <row r="196" spans="1:9">
      <c r="A196" s="18"/>
      <c r="B196" s="18"/>
      <c r="C196" s="18"/>
      <c r="D196" s="18"/>
      <c r="E196" s="18"/>
      <c r="F196" s="18"/>
      <c r="G196" s="18"/>
      <c r="H196" s="18"/>
      <c r="I196" s="18"/>
    </row>
    <row r="197" spans="1:9">
      <c r="A197" s="34" t="str">
        <f t="shared" ref="A197:A210" si="13">"Game "&amp;(QUOTIENT(ROW()-1,14)+1)&amp;" Lineups"</f>
        <v>Game 15 Lineups</v>
      </c>
      <c r="B197" s="18"/>
      <c r="C197" s="18"/>
      <c r="D197" s="18"/>
      <c r="E197" s="18"/>
      <c r="F197" s="18"/>
      <c r="G197" s="18"/>
      <c r="H197" s="18"/>
      <c r="I197" s="18"/>
    </row>
    <row r="198" spans="1:9">
      <c r="A198" s="18" t="s">
        <v>95</v>
      </c>
      <c r="B198" s="18" t="str" cm="1">
        <f t="array" ref="B198">INDEX(Bracket!$F$6:$F$20,QUOTIENT(ROW()-2,14)+1)</f>
        <v/>
      </c>
      <c r="C198" s="18"/>
      <c r="D198" s="18" t="s">
        <v>96</v>
      </c>
      <c r="E198" s="18" t="str" cm="1">
        <f t="array" ref="E198">INDEX(Bracket!$G$6:$G$20,QUOTIENT(ROW()-2,14)+1)</f>
        <v/>
      </c>
      <c r="F198" s="18"/>
      <c r="G198" s="18"/>
      <c r="H198" s="18"/>
      <c r="I198" s="18"/>
    </row>
    <row r="199" spans="1:9">
      <c r="A199" s="18" t="s">
        <v>97</v>
      </c>
      <c r="B199" s="18" t="str" cm="1">
        <f t="array" aca="1" ref="B199" ca="1">INDEX(Bracket!$H$6:$H$20,QUOTIENT(ROW()-3,14)+1)</f>
        <v/>
      </c>
      <c r="C199" s="18"/>
      <c r="D199" s="18"/>
      <c r="E199" s="18"/>
      <c r="F199" s="18" t="s">
        <v>98</v>
      </c>
      <c r="G199" s="18" t="str" cm="1">
        <f t="array" aca="1" ref="G199" ca="1">INDEX(Bracket!$I$6:$I$20,QUOTIENT(ROW()-3,14)+1)</f>
        <v/>
      </c>
      <c r="H199" s="18"/>
      <c r="I199" s="18"/>
    </row>
    <row r="200" spans="1:9">
      <c r="A200" s="35" t="s">
        <v>99</v>
      </c>
      <c r="B200" s="35" t="s">
        <v>100</v>
      </c>
      <c r="C200" s="35" t="s">
        <v>101</v>
      </c>
      <c r="D200" s="18"/>
      <c r="E200" s="18"/>
      <c r="F200" s="35" t="s">
        <v>99</v>
      </c>
      <c r="G200" s="35" t="s">
        <v>100</v>
      </c>
      <c r="H200" s="35" t="s">
        <v>101</v>
      </c>
      <c r="I200" s="18"/>
    </row>
    <row r="201" spans="1:9">
      <c r="A201" s="18" t="str" cm="1">
        <f t="array" aca="1" ref="A201" ca="1">_xlfn.LET(_xlpm.owner,INDEX($B:$B,3+14*QUOTIENT(ROW()-5,14)),_xlpm.slot,MOD(ROW()-5,14)+1,IF(_xlpm.owner="","",IFERROR(INDEX(Draft!$H$6:$N$14,_xlpm.slot,MATCH(_xlpm.owner,Draft!$H$5:$N$5,0)),"")))</f>
        <v/>
      </c>
      <c r="B201" s="18">
        <v>1</v>
      </c>
      <c r="C201" s="18" t="str" cm="1">
        <f t="array" aca="1" ref="C201" ca="1">IF(A201="","",IFERROR(INDEX(_xlfn.SORTBY(OFFSET(A201,-MOD(ROW()-5,14),0,9,1),OFFSET(B201,-MOD(ROW()-5,14),0,9,1),1),MOD(ROW()-5,14)+1),""))</f>
        <v/>
      </c>
      <c r="D201" s="18"/>
      <c r="E201" s="18"/>
      <c r="F201" s="18" t="str" cm="1">
        <f t="array" aca="1" ref="F201" ca="1">_xlfn.LET(_xlpm.owner,INDEX($G:$G,3+14*QUOTIENT(ROW()-5,14)),_xlpm.slot,MOD(ROW()-5,14)+1,IF(_xlpm.owner="","",IFERROR(INDEX(Draft!$H$6:$N$14,_xlpm.slot,MATCH(_xlpm.owner,Draft!$H$5:$N$5,0)),"")))</f>
        <v/>
      </c>
      <c r="G201" s="18">
        <v>1</v>
      </c>
      <c r="H201" s="18" t="str" cm="1">
        <f t="array" aca="1" ref="H201" ca="1">IF(F201="","",IFERROR(INDEX(_xlfn.SORTBY(OFFSET(F201,-MOD(ROW()-5,14),0,9,1),OFFSET(G201,-MOD(ROW()-5,14),0,9,1),1),MOD(ROW()-5,14)+1),""))</f>
        <v/>
      </c>
      <c r="I201" s="18"/>
    </row>
    <row r="202" spans="1:9">
      <c r="A202" s="18" t="str" cm="1">
        <f t="array" aca="1" ref="A202" ca="1">_xlfn.LET(_xlpm.owner,INDEX($B:$B,3+14*QUOTIENT(ROW()-5,14)),_xlpm.slot,MOD(ROW()-5,14)+1,IF(_xlpm.owner="","",IFERROR(INDEX(Draft!$H$6:$N$14,_xlpm.slot,MATCH(_xlpm.owner,Draft!$H$5:$N$5,0)),"")))</f>
        <v/>
      </c>
      <c r="B202" s="18">
        <v>2</v>
      </c>
      <c r="C202" s="18" t="str" cm="1">
        <f t="array" aca="1" ref="C202" ca="1">IF(A202="","",IFERROR(INDEX(_xlfn.SORTBY(OFFSET(A202,-MOD(ROW()-5,14),0,9,1),OFFSET(B202,-MOD(ROW()-5,14),0,9,1),1),MOD(ROW()-5,14)+1),""))</f>
        <v/>
      </c>
      <c r="D202" s="18"/>
      <c r="E202" s="18"/>
      <c r="F202" s="18" t="str" cm="1">
        <f t="array" aca="1" ref="F202" ca="1">_xlfn.LET(_xlpm.owner,INDEX($G:$G,3+14*QUOTIENT(ROW()-5,14)),_xlpm.slot,MOD(ROW()-5,14)+1,IF(_xlpm.owner="","",IFERROR(INDEX(Draft!$H$6:$N$14,_xlpm.slot,MATCH(_xlpm.owner,Draft!$H$5:$N$5,0)),"")))</f>
        <v/>
      </c>
      <c r="G202" s="18">
        <v>2</v>
      </c>
      <c r="H202" s="18" t="str" cm="1">
        <f t="array" aca="1" ref="H202" ca="1">IF(F202="","",IFERROR(INDEX(_xlfn.SORTBY(OFFSET(F202,-MOD(ROW()-5,14),0,9,1),OFFSET(G202,-MOD(ROW()-5,14),0,9,1),1),MOD(ROW()-5,14)+1),""))</f>
        <v/>
      </c>
      <c r="I202" s="18"/>
    </row>
    <row r="203" spans="1:9">
      <c r="A203" s="18" t="str" cm="1">
        <f t="array" aca="1" ref="A203" ca="1">_xlfn.LET(_xlpm.owner,INDEX($B:$B,3+14*QUOTIENT(ROW()-5,14)),_xlpm.slot,MOD(ROW()-5,14)+1,IF(_xlpm.owner="","",IFERROR(INDEX(Draft!$H$6:$N$14,_xlpm.slot,MATCH(_xlpm.owner,Draft!$H$5:$N$5,0)),"")))</f>
        <v/>
      </c>
      <c r="B203" s="18">
        <v>3</v>
      </c>
      <c r="C203" s="18" t="str" cm="1">
        <f t="array" aca="1" ref="C203" ca="1">IF(A203="","",IFERROR(INDEX(_xlfn.SORTBY(OFFSET(A203,-MOD(ROW()-5,14),0,9,1),OFFSET(B203,-MOD(ROW()-5,14),0,9,1),1),MOD(ROW()-5,14)+1),""))</f>
        <v/>
      </c>
      <c r="D203" s="18"/>
      <c r="E203" s="18"/>
      <c r="F203" s="18" t="str" cm="1">
        <f t="array" aca="1" ref="F203" ca="1">_xlfn.LET(_xlpm.owner,INDEX($G:$G,3+14*QUOTIENT(ROW()-5,14)),_xlpm.slot,MOD(ROW()-5,14)+1,IF(_xlpm.owner="","",IFERROR(INDEX(Draft!$H$6:$N$14,_xlpm.slot,MATCH(_xlpm.owner,Draft!$H$5:$N$5,0)),"")))</f>
        <v/>
      </c>
      <c r="G203" s="18">
        <v>3</v>
      </c>
      <c r="H203" s="18" t="str" cm="1">
        <f t="array" aca="1" ref="H203" ca="1">IF(F203="","",IFERROR(INDEX(_xlfn.SORTBY(OFFSET(F203,-MOD(ROW()-5,14),0,9,1),OFFSET(G203,-MOD(ROW()-5,14),0,9,1),1),MOD(ROW()-5,14)+1),""))</f>
        <v/>
      </c>
      <c r="I203" s="18"/>
    </row>
    <row r="204" spans="1:9">
      <c r="A204" s="18" t="str" cm="1">
        <f t="array" aca="1" ref="A204" ca="1">_xlfn.LET(_xlpm.owner,INDEX($B:$B,3+14*QUOTIENT(ROW()-5,14)),_xlpm.slot,MOD(ROW()-5,14)+1,IF(_xlpm.owner="","",IFERROR(INDEX(Draft!$H$6:$N$14,_xlpm.slot,MATCH(_xlpm.owner,Draft!$H$5:$N$5,0)),"")))</f>
        <v/>
      </c>
      <c r="B204" s="18">
        <v>4</v>
      </c>
      <c r="C204" s="18" t="str" cm="1">
        <f t="array" aca="1" ref="C204" ca="1">IF(A204="","",IFERROR(INDEX(_xlfn.SORTBY(OFFSET(A204,-MOD(ROW()-5,14),0,9,1),OFFSET(B204,-MOD(ROW()-5,14),0,9,1),1),MOD(ROW()-5,14)+1),""))</f>
        <v/>
      </c>
      <c r="D204" s="18"/>
      <c r="E204" s="18"/>
      <c r="F204" s="18" t="str" cm="1">
        <f t="array" aca="1" ref="F204" ca="1">_xlfn.LET(_xlpm.owner,INDEX($G:$G,3+14*QUOTIENT(ROW()-5,14)),_xlpm.slot,MOD(ROW()-5,14)+1,IF(_xlpm.owner="","",IFERROR(INDEX(Draft!$H$6:$N$14,_xlpm.slot,MATCH(_xlpm.owner,Draft!$H$5:$N$5,0)),"")))</f>
        <v/>
      </c>
      <c r="G204" s="18">
        <v>4</v>
      </c>
      <c r="H204" s="18" t="str" cm="1">
        <f t="array" aca="1" ref="H204" ca="1">IF(F204="","",IFERROR(INDEX(_xlfn.SORTBY(OFFSET(F204,-MOD(ROW()-5,14),0,9,1),OFFSET(G204,-MOD(ROW()-5,14),0,9,1),1),MOD(ROW()-5,14)+1),""))</f>
        <v/>
      </c>
      <c r="I204" s="18"/>
    </row>
    <row r="205" spans="1:9">
      <c r="A205" s="18" t="str" cm="1">
        <f t="array" aca="1" ref="A205" ca="1">_xlfn.LET(_xlpm.owner,INDEX($B:$B,3+14*QUOTIENT(ROW()-5,14)),_xlpm.slot,MOD(ROW()-5,14)+1,IF(_xlpm.owner="","",IFERROR(INDEX(Draft!$H$6:$N$14,_xlpm.slot,MATCH(_xlpm.owner,Draft!$H$5:$N$5,0)),"")))</f>
        <v/>
      </c>
      <c r="B205" s="18">
        <v>5</v>
      </c>
      <c r="C205" s="18" t="str" cm="1">
        <f t="array" aca="1" ref="C205" ca="1">IF(A205="","",IFERROR(INDEX(_xlfn.SORTBY(OFFSET(A205,-MOD(ROW()-5,14),0,9,1),OFFSET(B205,-MOD(ROW()-5,14),0,9,1),1),MOD(ROW()-5,14)+1),""))</f>
        <v/>
      </c>
      <c r="D205" s="18"/>
      <c r="E205" s="18"/>
      <c r="F205" s="18" t="str" cm="1">
        <f t="array" aca="1" ref="F205" ca="1">_xlfn.LET(_xlpm.owner,INDEX($G:$G,3+14*QUOTIENT(ROW()-5,14)),_xlpm.slot,MOD(ROW()-5,14)+1,IF(_xlpm.owner="","",IFERROR(INDEX(Draft!$H$6:$N$14,_xlpm.slot,MATCH(_xlpm.owner,Draft!$H$5:$N$5,0)),"")))</f>
        <v/>
      </c>
      <c r="G205" s="18">
        <v>5</v>
      </c>
      <c r="H205" s="18" t="str" cm="1">
        <f t="array" aca="1" ref="H205" ca="1">IF(F205="","",IFERROR(INDEX(_xlfn.SORTBY(OFFSET(F205,-MOD(ROW()-5,14),0,9,1),OFFSET(G205,-MOD(ROW()-5,14),0,9,1),1),MOD(ROW()-5,14)+1),""))</f>
        <v/>
      </c>
      <c r="I205" s="18"/>
    </row>
    <row r="206" spans="1:9">
      <c r="A206" s="18" t="str" cm="1">
        <f t="array" aca="1" ref="A206" ca="1">_xlfn.LET(_xlpm.owner,INDEX($B:$B,3+14*QUOTIENT(ROW()-5,14)),_xlpm.slot,MOD(ROW()-5,14)+1,IF(_xlpm.owner="","",IFERROR(INDEX(Draft!$H$6:$N$14,_xlpm.slot,MATCH(_xlpm.owner,Draft!$H$5:$N$5,0)),"")))</f>
        <v/>
      </c>
      <c r="B206" s="18">
        <v>6</v>
      </c>
      <c r="C206" s="18" t="str" cm="1">
        <f t="array" aca="1" ref="C206" ca="1">IF(A206="","",IFERROR(INDEX(_xlfn.SORTBY(OFFSET(A206,-MOD(ROW()-5,14),0,9,1),OFFSET(B206,-MOD(ROW()-5,14),0,9,1),1),MOD(ROW()-5,14)+1),""))</f>
        <v/>
      </c>
      <c r="D206" s="18"/>
      <c r="E206" s="18"/>
      <c r="F206" s="18" t="str" cm="1">
        <f t="array" aca="1" ref="F206" ca="1">_xlfn.LET(_xlpm.owner,INDEX($G:$G,3+14*QUOTIENT(ROW()-5,14)),_xlpm.slot,MOD(ROW()-5,14)+1,IF(_xlpm.owner="","",IFERROR(INDEX(Draft!$H$6:$N$14,_xlpm.slot,MATCH(_xlpm.owner,Draft!$H$5:$N$5,0)),"")))</f>
        <v/>
      </c>
      <c r="G206" s="18">
        <v>6</v>
      </c>
      <c r="H206" s="18" t="str" cm="1">
        <f t="array" aca="1" ref="H206" ca="1">IF(F206="","",IFERROR(INDEX(_xlfn.SORTBY(OFFSET(F206,-MOD(ROW()-5,14),0,9,1),OFFSET(G206,-MOD(ROW()-5,14),0,9,1),1),MOD(ROW()-5,14)+1),""))</f>
        <v/>
      </c>
      <c r="I206" s="18"/>
    </row>
    <row r="207" spans="1:9">
      <c r="A207" s="18" t="str" cm="1">
        <f t="array" aca="1" ref="A207" ca="1">_xlfn.LET(_xlpm.owner,INDEX($B:$B,3+14*QUOTIENT(ROW()-5,14)),_xlpm.slot,MOD(ROW()-5,14)+1,IF(_xlpm.owner="","",IFERROR(INDEX(Draft!$H$6:$N$14,_xlpm.slot,MATCH(_xlpm.owner,Draft!$H$5:$N$5,0)),"")))</f>
        <v/>
      </c>
      <c r="B207" s="18">
        <v>7</v>
      </c>
      <c r="C207" s="18" t="str" cm="1">
        <f t="array" aca="1" ref="C207" ca="1">IF(A207="","",IFERROR(INDEX(_xlfn.SORTBY(OFFSET(A207,-MOD(ROW()-5,14),0,9,1),OFFSET(B207,-MOD(ROW()-5,14),0,9,1),1),MOD(ROW()-5,14)+1),""))</f>
        <v/>
      </c>
      <c r="D207" s="18"/>
      <c r="E207" s="18"/>
      <c r="F207" s="18" t="str" cm="1">
        <f t="array" aca="1" ref="F207" ca="1">_xlfn.LET(_xlpm.owner,INDEX($G:$G,3+14*QUOTIENT(ROW()-5,14)),_xlpm.slot,MOD(ROW()-5,14)+1,IF(_xlpm.owner="","",IFERROR(INDEX(Draft!$H$6:$N$14,_xlpm.slot,MATCH(_xlpm.owner,Draft!$H$5:$N$5,0)),"")))</f>
        <v/>
      </c>
      <c r="G207" s="18">
        <v>7</v>
      </c>
      <c r="H207" s="18" t="str" cm="1">
        <f t="array" aca="1" ref="H207" ca="1">IF(F207="","",IFERROR(INDEX(_xlfn.SORTBY(OFFSET(F207,-MOD(ROW()-5,14),0,9,1),OFFSET(G207,-MOD(ROW()-5,14),0,9,1),1),MOD(ROW()-5,14)+1),""))</f>
        <v/>
      </c>
      <c r="I207" s="18"/>
    </row>
    <row r="208" spans="1:9">
      <c r="A208" s="18" t="str" cm="1">
        <f t="array" aca="1" ref="A208" ca="1">_xlfn.LET(_xlpm.owner,INDEX($B:$B,3+14*QUOTIENT(ROW()-5,14)),_xlpm.slot,MOD(ROW()-5,14)+1,IF(_xlpm.owner="","",IFERROR(INDEX(Draft!$H$6:$N$14,_xlpm.slot,MATCH(_xlpm.owner,Draft!$H$5:$N$5,0)),"")))</f>
        <v/>
      </c>
      <c r="B208" s="18">
        <v>8</v>
      </c>
      <c r="C208" s="18" t="str" cm="1">
        <f t="array" aca="1" ref="C208" ca="1">IF(A208="","",IFERROR(INDEX(_xlfn.SORTBY(OFFSET(A208,-MOD(ROW()-5,14),0,9,1),OFFSET(B208,-MOD(ROW()-5,14),0,9,1),1),MOD(ROW()-5,14)+1),""))</f>
        <v/>
      </c>
      <c r="D208" s="18"/>
      <c r="E208" s="18"/>
      <c r="F208" s="18" t="str" cm="1">
        <f t="array" aca="1" ref="F208" ca="1">_xlfn.LET(_xlpm.owner,INDEX($G:$G,3+14*QUOTIENT(ROW()-5,14)),_xlpm.slot,MOD(ROW()-5,14)+1,IF(_xlpm.owner="","",IFERROR(INDEX(Draft!$H$6:$N$14,_xlpm.slot,MATCH(_xlpm.owner,Draft!$H$5:$N$5,0)),"")))</f>
        <v/>
      </c>
      <c r="G208" s="18">
        <v>8</v>
      </c>
      <c r="H208" s="18" t="str" cm="1">
        <f t="array" aca="1" ref="H208" ca="1">IF(F208="","",IFERROR(INDEX(_xlfn.SORTBY(OFFSET(F208,-MOD(ROW()-5,14),0,9,1),OFFSET(G208,-MOD(ROW()-5,14),0,9,1),1),MOD(ROW()-5,14)+1),""))</f>
        <v/>
      </c>
      <c r="I208" s="18"/>
    </row>
    <row r="209" spans="1:9">
      <c r="A209" s="18" t="str" cm="1">
        <f t="array" aca="1" ref="A209" ca="1">_xlfn.LET(_xlpm.owner,INDEX($B:$B,3+14*QUOTIENT(ROW()-5,14)),_xlpm.slot,MOD(ROW()-5,14)+1,IF(_xlpm.owner="","",IFERROR(INDEX(Draft!$H$6:$N$14,_xlpm.slot,MATCH(_xlpm.owner,Draft!$H$5:$N$5,0)),"")))</f>
        <v/>
      </c>
      <c r="B209" s="18">
        <v>9</v>
      </c>
      <c r="C209" s="18" t="str" cm="1">
        <f t="array" aca="1" ref="C209" ca="1">IF(A209="","",IFERROR(INDEX(_xlfn.SORTBY(OFFSET(A209,-MOD(ROW()-5,14),0,9,1),OFFSET(B209,-MOD(ROW()-5,14),0,9,1),1),MOD(ROW()-5,14)+1),""))</f>
        <v/>
      </c>
      <c r="D209" s="18"/>
      <c r="E209" s="18"/>
      <c r="F209" s="18" t="str" cm="1">
        <f t="array" aca="1" ref="F209" ca="1">_xlfn.LET(_xlpm.owner,INDEX($G:$G,3+14*QUOTIENT(ROW()-5,14)),_xlpm.slot,MOD(ROW()-5,14)+1,IF(_xlpm.owner="","",IFERROR(INDEX(Draft!$H$6:$N$14,_xlpm.slot,MATCH(_xlpm.owner,Draft!$H$5:$N$5,0)),"")))</f>
        <v/>
      </c>
      <c r="G209" s="18">
        <v>9</v>
      </c>
      <c r="H209" s="18" t="str" cm="1">
        <f t="array" aca="1" ref="H209" ca="1">IF(F209="","",IFERROR(INDEX(_xlfn.SORTBY(OFFSET(F209,-MOD(ROW()-5,14),0,9,1),OFFSET(G209,-MOD(ROW()-5,14),0,9,1),1),MOD(ROW()-5,14)+1),""))</f>
        <v/>
      </c>
      <c r="I209" s="18"/>
    </row>
    <row r="210" spans="1:9">
      <c r="A210" s="18"/>
      <c r="B210" s="18"/>
      <c r="C210" s="18"/>
      <c r="D210" s="18"/>
      <c r="E210" s="18"/>
      <c r="F210" s="18"/>
      <c r="G210" s="18"/>
      <c r="H210" s="18"/>
      <c r="I210" s="18"/>
    </row>
  </sheetData>
  <conditionalFormatting sqref="A1:H209">
    <cfRule type="expression" dxfId="102" priority="1">
      <formula>COUNTIFS(ActivePlayers,A1,ActiveColors,"Blue")&gt;0</formula>
    </cfRule>
  </conditionalFormatting>
  <conditionalFormatting sqref="A1:H209">
    <cfRule type="expression" dxfId="101" priority="2">
      <formula>COUNTIFS(ActivePlayers,A1,ActiveColors,"Orange")&gt;0</formula>
    </cfRule>
  </conditionalFormatting>
  <conditionalFormatting sqref="A1:H209">
    <cfRule type="expression" dxfId="100" priority="3">
      <formula>COUNTIFS(ActivePlayers,A1,ActiveColors,"Green")&gt;0</formula>
    </cfRule>
  </conditionalFormatting>
  <conditionalFormatting sqref="A1:H209">
    <cfRule type="expression" dxfId="99" priority="4">
      <formula>COUNTIFS(ActivePlayers,A1,ActiveColors,"Red")&gt;0</formula>
    </cfRule>
  </conditionalFormatting>
  <conditionalFormatting sqref="A1:H209">
    <cfRule type="expression" dxfId="98" priority="5">
      <formula>COUNTIFS(ActivePlayers,A1,ActiveColors,"Purple")&gt;0</formula>
    </cfRule>
  </conditionalFormatting>
  <conditionalFormatting sqref="A1:H209">
    <cfRule type="expression" dxfId="97" priority="6">
      <formula>COUNTIFS(ActivePlayers,A1,ActiveColors,"Pink")&gt;0</formula>
    </cfRule>
  </conditionalFormatting>
  <conditionalFormatting sqref="A1:H209">
    <cfRule type="expression" dxfId="96" priority="7">
      <formula>COUNTIFS(ActivePlayers,A1,ActiveColors,"Gray")&gt;0</formula>
    </cfRule>
  </conditionalFormatting>
  <conditionalFormatting sqref="A1:H209">
    <cfRule type="expression" dxfId="95" priority="8">
      <formula>COUNTIFS(ActivePlayers,A1,ActiveColors,"Brown")&gt;0</formula>
    </cfRule>
  </conditionalFormatting>
  <dataValidations count="1">
    <dataValidation type="whole" allowBlank="1" showInputMessage="1" showErrorMessage="1" sqref="B5:B13 G5:G13 B19:B27 G19:G27 B33:B41 G33:G41 B47:B55 G47:G55 B61:B69 G61:G69 B75:B83 G75:G83 B89:B97 G89:G97 B103:B111 G103:G111 B117:B125 G117:G125 B131:B139 G131:G139 B145:B153 G145:G153 B159:B167 G159:G167 B173:B181 G173:G181 B187:B195 G187:G195 B201:B209 G201:G209" xr:uid="{712EA7CF-9FE5-46FB-830C-050D912A2804}">
      <formula1>1</formula1>
      <formula2>9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6"/>
  <sheetViews>
    <sheetView showGridLines="0" workbookViewId="0">
      <selection activeCell="B36" sqref="B36"/>
    </sheetView>
  </sheetViews>
  <sheetFormatPr defaultRowHeight="15"/>
  <cols>
    <col min="1" max="1" width="6" customWidth="1"/>
    <col min="2" max="2" width="18" customWidth="1"/>
    <col min="3" max="6" width="8" customWidth="1"/>
    <col min="7" max="7" width="12" customWidth="1"/>
    <col min="8" max="8" width="18" customWidth="1"/>
  </cols>
  <sheetData>
    <row r="1" spans="1:8">
      <c r="A1" s="214" t="s">
        <v>102</v>
      </c>
      <c r="B1" s="215"/>
      <c r="C1" s="215"/>
      <c r="D1" s="215"/>
      <c r="E1" s="215"/>
      <c r="F1" s="215"/>
      <c r="G1" s="215"/>
      <c r="H1" s="216"/>
    </row>
    <row r="3" spans="1:8" ht="27.75">
      <c r="A3" s="3" t="s">
        <v>103</v>
      </c>
      <c r="B3" s="3" t="s">
        <v>39</v>
      </c>
      <c r="C3" s="3" t="s">
        <v>104</v>
      </c>
      <c r="D3" s="3" t="s">
        <v>105</v>
      </c>
      <c r="E3" s="3" t="s">
        <v>106</v>
      </c>
      <c r="F3" s="32" t="s">
        <v>107</v>
      </c>
      <c r="G3" s="3" t="s">
        <v>108</v>
      </c>
      <c r="H3" s="3" t="s">
        <v>109</v>
      </c>
    </row>
    <row r="4" spans="1:8" s="18" customFormat="1">
      <c r="A4" s="4">
        <v>17</v>
      </c>
      <c r="B4" s="4" t="s">
        <v>44</v>
      </c>
      <c r="C4" s="4">
        <v>5</v>
      </c>
      <c r="D4" s="4">
        <v>10</v>
      </c>
      <c r="E4" s="4">
        <v>3</v>
      </c>
      <c r="F4" s="4">
        <v>3</v>
      </c>
      <c r="G4" s="5" t="str">
        <f>IF(COUNTIF(Data!$D$4:$D$75,B4)&gt;0,"Drafted","Available")</f>
        <v>Drafted</v>
      </c>
      <c r="H4" s="180" t="str">
        <f>IFERROR(INDEX(Data!$C$4:$C$75,MATCH(B4,Data!$D$4:$D$75,0)),"")</f>
        <v>Jason</v>
      </c>
    </row>
    <row r="5" spans="1:8">
      <c r="A5" s="4">
        <v>24</v>
      </c>
      <c r="B5" s="4" t="s">
        <v>46</v>
      </c>
      <c r="C5" s="4">
        <v>4</v>
      </c>
      <c r="D5" s="4">
        <v>10</v>
      </c>
      <c r="E5" s="4">
        <v>5</v>
      </c>
      <c r="F5" s="4">
        <v>2</v>
      </c>
      <c r="G5" s="5" t="str">
        <f>IF(COUNTIF(Data!$D$4:$D$75,B5)&gt;0,"Drafted","Available")</f>
        <v>Drafted</v>
      </c>
      <c r="H5" s="176" t="str">
        <f>IFERROR(INDEX(Data!$C$4:$C$75,MATCH(B5,Data!$D$4:$D$75,0)),"")</f>
        <v>May</v>
      </c>
    </row>
    <row r="6" spans="1:8">
      <c r="A6" s="4">
        <v>67</v>
      </c>
      <c r="B6" s="4" t="s">
        <v>60</v>
      </c>
      <c r="C6" s="4">
        <v>6</v>
      </c>
      <c r="D6" s="4">
        <v>10</v>
      </c>
      <c r="E6" s="4">
        <v>2</v>
      </c>
      <c r="F6" s="4">
        <v>1</v>
      </c>
      <c r="G6" s="5" t="str">
        <f>IF(COUNTIF(Data!$D$4:$D$75,B6)&gt;0,"Drafted","Available")</f>
        <v>Drafted</v>
      </c>
      <c r="H6" s="166" t="str">
        <f>IFERROR(INDEX(Data!$C$4:$C$75,MATCH(B6,Data!$D$4:$D$75,0)),"")</f>
        <v>Jason</v>
      </c>
    </row>
    <row r="7" spans="1:8">
      <c r="A7" s="4">
        <v>36</v>
      </c>
      <c r="B7" s="4" t="s">
        <v>41</v>
      </c>
      <c r="C7" s="4">
        <v>6</v>
      </c>
      <c r="D7" s="4">
        <v>9</v>
      </c>
      <c r="E7" s="4">
        <v>3</v>
      </c>
      <c r="F7" s="4">
        <v>2</v>
      </c>
      <c r="G7" s="5" t="str">
        <f>IF(COUNTIF(Data!$D$4:$D$75,B7)&gt;0,"Drafted","Available")</f>
        <v>Drafted</v>
      </c>
      <c r="H7" s="176" t="str">
        <f>IFERROR(INDEX(Data!$C$4:$C$75,MATCH(B7,Data!$D$4:$D$75,0)),"")</f>
        <v>Donovan</v>
      </c>
    </row>
    <row r="8" spans="1:8">
      <c r="A8" s="4">
        <v>6</v>
      </c>
      <c r="B8" s="4" t="s">
        <v>45</v>
      </c>
      <c r="C8" s="4">
        <v>4</v>
      </c>
      <c r="D8" s="4">
        <v>8</v>
      </c>
      <c r="E8" s="4">
        <v>7</v>
      </c>
      <c r="F8" s="4">
        <v>5</v>
      </c>
      <c r="G8" s="5" t="str">
        <f>IF(COUNTIF(Data!$D$4:$D$75,B8)&gt;0,"Drafted","Available")</f>
        <v>Drafted</v>
      </c>
      <c r="H8" s="178" t="str">
        <f>IFERROR(INDEX(Data!$C$4:$C$75,MATCH(B8,Data!$D$4:$D$75,0)),"")</f>
        <v>May</v>
      </c>
    </row>
    <row r="9" spans="1:8">
      <c r="A9" s="4">
        <v>20</v>
      </c>
      <c r="B9" s="4" t="s">
        <v>52</v>
      </c>
      <c r="C9" s="4">
        <v>4</v>
      </c>
      <c r="D9" s="4">
        <v>8</v>
      </c>
      <c r="E9" s="4">
        <v>6</v>
      </c>
      <c r="F9" s="4">
        <v>3</v>
      </c>
      <c r="G9" s="5" t="str">
        <f>IF(COUNTIF(Data!$D$4:$D$75,B9)&gt;0,"Drafted","Available")</f>
        <v>Drafted</v>
      </c>
      <c r="H9" s="180" t="str">
        <f>IFERROR(INDEX(Data!$C$4:$C$75,MATCH(B9,Data!$D$4:$D$75,0)),"")</f>
        <v>Justin</v>
      </c>
    </row>
    <row r="10" spans="1:8">
      <c r="A10" s="4">
        <v>25</v>
      </c>
      <c r="B10" s="4" t="s">
        <v>59</v>
      </c>
      <c r="C10" s="4">
        <v>3</v>
      </c>
      <c r="D10" s="4">
        <v>8</v>
      </c>
      <c r="E10" s="4">
        <v>7</v>
      </c>
      <c r="F10" s="4">
        <v>3</v>
      </c>
      <c r="G10" s="5" t="str">
        <f>IF(COUNTIF(Data!$D$4:$D$75,B10)&gt;0,"Drafted","Available")</f>
        <v>Drafted</v>
      </c>
      <c r="H10" s="176" t="str">
        <f>IFERROR(INDEX(Data!$C$4:$C$75,MATCH(B10,Data!$D$4:$D$75,0)),"")</f>
        <v>May</v>
      </c>
    </row>
    <row r="11" spans="1:8">
      <c r="A11" s="4">
        <v>38</v>
      </c>
      <c r="B11" s="4" t="s">
        <v>75</v>
      </c>
      <c r="C11" s="4">
        <v>3</v>
      </c>
      <c r="D11" s="4">
        <v>8</v>
      </c>
      <c r="E11" s="4">
        <v>6</v>
      </c>
      <c r="F11" s="4">
        <v>3</v>
      </c>
      <c r="G11" s="5" t="str">
        <f>IF(COUNTIF(Data!$D$4:$D$75,B11)&gt;0,"Drafted","Available")</f>
        <v>Drafted</v>
      </c>
      <c r="H11" s="177" t="str">
        <f>IFERROR(INDEX(Data!$C$4:$C$75,MATCH(B11,Data!$D$4:$D$75,0)),"")</f>
        <v>Donovan</v>
      </c>
    </row>
    <row r="12" spans="1:8">
      <c r="A12" s="4">
        <v>58</v>
      </c>
      <c r="B12" s="4" t="s">
        <v>74</v>
      </c>
      <c r="C12" s="4">
        <v>5</v>
      </c>
      <c r="D12" s="4">
        <v>8</v>
      </c>
      <c r="E12" s="4">
        <v>3</v>
      </c>
      <c r="F12" s="4">
        <v>4</v>
      </c>
      <c r="G12" s="5" t="str">
        <f>IF(COUNTIF(Data!$D$4:$D$75,B12)&gt;0,"Drafted","Available")</f>
        <v>Drafted</v>
      </c>
      <c r="H12" s="166" t="str">
        <f>IFERROR(INDEX(Data!$C$4:$C$75,MATCH(B12,Data!$D$4:$D$75,0)),"")</f>
        <v>Nick</v>
      </c>
    </row>
    <row r="13" spans="1:8">
      <c r="A13" s="4">
        <v>63</v>
      </c>
      <c r="B13" s="4" t="s">
        <v>73</v>
      </c>
      <c r="C13" s="4">
        <v>5</v>
      </c>
      <c r="D13" s="4">
        <v>8</v>
      </c>
      <c r="E13" s="4">
        <v>4</v>
      </c>
      <c r="F13" s="4">
        <v>2</v>
      </c>
      <c r="G13" s="5" t="str">
        <f>IF(COUNTIF(Data!$D$4:$D$75,B13)&gt;0,"Drafted","Available")</f>
        <v>Drafted</v>
      </c>
      <c r="H13" s="166" t="str">
        <f>IFERROR(INDEX(Data!$C$4:$C$75,MATCH(B13,Data!$D$4:$D$75,0)),"")</f>
        <v>Aidan</v>
      </c>
    </row>
    <row r="14" spans="1:8">
      <c r="A14" s="4">
        <v>71</v>
      </c>
      <c r="B14" s="4" t="s">
        <v>76</v>
      </c>
      <c r="C14" s="4">
        <v>4</v>
      </c>
      <c r="D14" s="4">
        <v>8</v>
      </c>
      <c r="E14" s="4">
        <v>4</v>
      </c>
      <c r="F14" s="4">
        <v>2</v>
      </c>
      <c r="G14" s="5" t="str">
        <f>IF(COUNTIF(Data!$D$4:$D$75,B14)&gt;0,"Drafted","Available")</f>
        <v>Drafted</v>
      </c>
      <c r="H14" s="166" t="str">
        <f>IFERROR(INDEX(Data!$C$4:$C$75,MATCH(B14,Data!$D$4:$D$75,0)),"")</f>
        <v>Justin</v>
      </c>
    </row>
    <row r="15" spans="1:8">
      <c r="A15" s="4">
        <v>72</v>
      </c>
      <c r="B15" s="4" t="s">
        <v>80</v>
      </c>
      <c r="C15" s="4">
        <v>4</v>
      </c>
      <c r="D15" s="4">
        <v>8</v>
      </c>
      <c r="E15" s="4">
        <v>4</v>
      </c>
      <c r="F15" s="4">
        <v>2</v>
      </c>
      <c r="G15" s="5" t="str">
        <f>IF(COUNTIF(Data!$D$4:$D$75,B15)&gt;0,"Drafted","Available")</f>
        <v>Drafted</v>
      </c>
      <c r="H15" s="166" t="str">
        <f>IFERROR(INDEX(Data!$C$4:$C$75,MATCH(B15,Data!$D$4:$D$75,0)),"")</f>
        <v>Aidan</v>
      </c>
    </row>
    <row r="16" spans="1:8">
      <c r="A16" s="4">
        <v>3</v>
      </c>
      <c r="B16" s="4" t="s">
        <v>43</v>
      </c>
      <c r="C16" s="4">
        <v>6</v>
      </c>
      <c r="D16" s="4">
        <v>7</v>
      </c>
      <c r="E16" s="4">
        <v>6</v>
      </c>
      <c r="F16" s="4">
        <v>7</v>
      </c>
      <c r="G16" s="5" t="str">
        <f>IF(COUNTIF(Data!$D$4:$D$75,B16)&gt;0,"Drafted","Available")</f>
        <v>Drafted</v>
      </c>
      <c r="H16" s="178" t="str">
        <f>IFERROR(INDEX(Data!$C$4:$C$75,MATCH(B16,Data!$D$4:$D$75,0)),"")</f>
        <v>Aidan</v>
      </c>
    </row>
    <row r="17" spans="1:8">
      <c r="A17" s="4">
        <v>8</v>
      </c>
      <c r="B17" s="4" t="s">
        <v>40</v>
      </c>
      <c r="C17" s="4">
        <v>5</v>
      </c>
      <c r="D17" s="4">
        <v>7</v>
      </c>
      <c r="E17" s="4">
        <v>4</v>
      </c>
      <c r="F17" s="4">
        <v>7</v>
      </c>
      <c r="G17" s="5" t="str">
        <f>IF(COUNTIF(Data!$D$4:$D$75,B17)&gt;0,"Drafted","Available")</f>
        <v>Drafted</v>
      </c>
      <c r="H17" s="180" t="str">
        <f>IFERROR(INDEX(Data!$C$4:$C$75,MATCH(B17,Data!$D$4:$D$75,0)),"")</f>
        <v>Justin</v>
      </c>
    </row>
    <row r="18" spans="1:8">
      <c r="A18" s="4">
        <v>18</v>
      </c>
      <c r="B18" s="4" t="s">
        <v>81</v>
      </c>
      <c r="C18" s="4">
        <v>3</v>
      </c>
      <c r="D18" s="4">
        <v>7</v>
      </c>
      <c r="E18" s="4">
        <v>7</v>
      </c>
      <c r="F18" s="4">
        <v>4</v>
      </c>
      <c r="G18" s="5" t="str">
        <f>IF(COUNTIF(Data!$D$4:$D$75,B18)&gt;0,"Drafted","Available")</f>
        <v>Drafted</v>
      </c>
      <c r="H18" s="178" t="str">
        <f>IFERROR(INDEX(Data!$C$4:$C$75,MATCH(B18,Data!$D$4:$D$75,0)),"")</f>
        <v>Jason</v>
      </c>
    </row>
    <row r="19" spans="1:8">
      <c r="A19" s="4">
        <v>19</v>
      </c>
      <c r="B19" s="4" t="s">
        <v>56</v>
      </c>
      <c r="C19" s="4">
        <v>5</v>
      </c>
      <c r="D19" s="4">
        <v>7</v>
      </c>
      <c r="E19" s="4">
        <v>4</v>
      </c>
      <c r="F19" s="4">
        <v>5</v>
      </c>
      <c r="G19" s="5" t="str">
        <f>IF(COUNTIF(Data!$D$4:$D$75,B19)&gt;0,"Drafted","Available")</f>
        <v>Drafted</v>
      </c>
      <c r="H19" s="178" t="str">
        <f>IFERROR(INDEX(Data!$C$4:$C$75,MATCH(B19,Data!$D$4:$D$75,0)),"")</f>
        <v>Aidan</v>
      </c>
    </row>
    <row r="20" spans="1:8">
      <c r="A20" s="4">
        <v>21</v>
      </c>
      <c r="B20" s="4" t="s">
        <v>58</v>
      </c>
      <c r="C20" s="4">
        <v>7</v>
      </c>
      <c r="D20" s="4">
        <v>7</v>
      </c>
      <c r="E20" s="4">
        <v>3</v>
      </c>
      <c r="F20" s="4">
        <v>4</v>
      </c>
      <c r="G20" s="5" t="str">
        <f>IF(COUNTIF(Data!$D$4:$D$75,B20)&gt;0,"Drafted","Available")</f>
        <v>Drafted</v>
      </c>
      <c r="H20" s="179" t="str">
        <f>IFERROR(INDEX(Data!$C$4:$C$75,MATCH(B20,Data!$D$4:$D$75,0)),"")</f>
        <v>May</v>
      </c>
    </row>
    <row r="21" spans="1:8">
      <c r="A21" s="4">
        <v>22</v>
      </c>
      <c r="B21" s="4" t="s">
        <v>89</v>
      </c>
      <c r="C21" s="4">
        <v>4</v>
      </c>
      <c r="D21" s="4">
        <v>7</v>
      </c>
      <c r="E21" s="4">
        <v>7</v>
      </c>
      <c r="F21" s="4">
        <v>3</v>
      </c>
      <c r="G21" s="5" t="str">
        <f>IF(COUNTIF(Data!$D$4:$D$75,B21)&gt;0,"Drafted","Available")</f>
        <v>Drafted</v>
      </c>
      <c r="H21" s="178" t="str">
        <f>IFERROR(INDEX(Data!$C$4:$C$75,MATCH(B21,Data!$D$4:$D$75,0)),"")</f>
        <v>Justin</v>
      </c>
    </row>
    <row r="22" spans="1:8">
      <c r="A22" s="4">
        <v>26</v>
      </c>
      <c r="B22" s="4" t="s">
        <v>79</v>
      </c>
      <c r="C22" s="4">
        <v>3</v>
      </c>
      <c r="D22" s="4">
        <v>7</v>
      </c>
      <c r="E22" s="4">
        <v>4</v>
      </c>
      <c r="F22" s="4">
        <v>7</v>
      </c>
      <c r="G22" s="5" t="str">
        <f>IF(COUNTIF(Data!$D$4:$D$75,B22)&gt;0,"Drafted","Available")</f>
        <v>Drafted</v>
      </c>
      <c r="H22" s="177" t="str">
        <f>IFERROR(INDEX(Data!$C$4:$C$75,MATCH(B22,Data!$D$4:$D$75,0)),"")</f>
        <v>Nick</v>
      </c>
    </row>
    <row r="23" spans="1:8">
      <c r="A23" s="4">
        <v>29</v>
      </c>
      <c r="B23" s="4" t="s">
        <v>92</v>
      </c>
      <c r="C23" s="4">
        <v>3</v>
      </c>
      <c r="D23" s="4">
        <v>7</v>
      </c>
      <c r="E23" s="4">
        <v>5</v>
      </c>
      <c r="F23" s="4">
        <v>5</v>
      </c>
      <c r="G23" s="5" t="str">
        <f>IF(COUNTIF(Data!$D$4:$D$75,B23)&gt;0,"Drafted","Available")</f>
        <v>Drafted</v>
      </c>
      <c r="H23" s="180" t="str">
        <f>IFERROR(INDEX(Data!$C$4:$C$75,MATCH(B23,Data!$D$4:$D$75,0)),"")</f>
        <v>Aidan</v>
      </c>
    </row>
    <row r="24" spans="1:8">
      <c r="A24" s="4">
        <v>35</v>
      </c>
      <c r="B24" s="4" t="s">
        <v>86</v>
      </c>
      <c r="C24" s="4">
        <v>5</v>
      </c>
      <c r="D24" s="4">
        <v>7</v>
      </c>
      <c r="E24" s="4">
        <v>5</v>
      </c>
      <c r="F24" s="4">
        <v>3</v>
      </c>
      <c r="G24" s="5" t="str">
        <f>IF(COUNTIF(Data!$D$4:$D$75,B24)&gt;0,"Drafted","Available")</f>
        <v>Drafted</v>
      </c>
      <c r="H24" s="177" t="str">
        <f>IFERROR(INDEX(Data!$C$4:$C$75,MATCH(B24,Data!$D$4:$D$75,0)),"")</f>
        <v>Nick</v>
      </c>
    </row>
    <row r="25" spans="1:8">
      <c r="A25" s="4">
        <v>37</v>
      </c>
      <c r="B25" s="4" t="s">
        <v>87</v>
      </c>
      <c r="C25" s="4">
        <v>4</v>
      </c>
      <c r="D25" s="4">
        <v>7</v>
      </c>
      <c r="E25" s="4">
        <v>4</v>
      </c>
      <c r="F25" s="4">
        <v>5</v>
      </c>
      <c r="G25" s="5" t="str">
        <f>IF(COUNTIF(Data!$D$4:$D$75,B25)&gt;0,"Drafted","Available")</f>
        <v>Drafted</v>
      </c>
      <c r="H25" s="176" t="str">
        <f>IFERROR(INDEX(Data!$C$4:$C$75,MATCH(B25,Data!$D$4:$D$75,0)),"")</f>
        <v>Donovan</v>
      </c>
    </row>
    <row r="26" spans="1:8">
      <c r="A26" s="4">
        <v>40</v>
      </c>
      <c r="B26" s="4" t="s">
        <v>91</v>
      </c>
      <c r="C26" s="4">
        <v>3</v>
      </c>
      <c r="D26" s="4">
        <v>7</v>
      </c>
      <c r="E26" s="4">
        <v>4</v>
      </c>
      <c r="F26" s="4">
        <v>6</v>
      </c>
      <c r="G26" s="5" t="str">
        <f>IF(COUNTIF(Data!$D$4:$D$75,B26)&gt;0,"Drafted","Available")</f>
        <v>Drafted</v>
      </c>
      <c r="H26" s="179" t="str">
        <f>IFERROR(INDEX(Data!$C$4:$C$75,MATCH(B26,Data!$D$4:$D$75,0)),"")</f>
        <v>Nick</v>
      </c>
    </row>
    <row r="27" spans="1:8">
      <c r="A27" s="4">
        <v>45</v>
      </c>
      <c r="B27" s="4" t="s">
        <v>82</v>
      </c>
      <c r="C27" s="4">
        <v>4</v>
      </c>
      <c r="D27" s="4">
        <v>7</v>
      </c>
      <c r="E27" s="4">
        <v>6</v>
      </c>
      <c r="F27" s="4">
        <v>3</v>
      </c>
      <c r="G27" s="5" t="str">
        <f>IF(COUNTIF(Data!$D$4:$D$75,B27)&gt;0,"Drafted","Available")</f>
        <v>Drafted</v>
      </c>
      <c r="H27" s="179" t="str">
        <f>IFERROR(INDEX(Data!$C$4:$C$75,MATCH(B27,Data!$D$4:$D$75,0)),"")</f>
        <v>May</v>
      </c>
    </row>
    <row r="28" spans="1:8">
      <c r="A28" s="4">
        <v>1</v>
      </c>
      <c r="B28" s="4" t="s">
        <v>42</v>
      </c>
      <c r="C28" s="4">
        <v>7</v>
      </c>
      <c r="D28" s="4">
        <v>6</v>
      </c>
      <c r="E28" s="4">
        <v>8</v>
      </c>
      <c r="F28" s="4">
        <v>5</v>
      </c>
      <c r="G28" s="5" t="str">
        <f>IF(COUNTIF(Data!$D$4:$D$75,B28)&gt;0,"Drafted","Available")</f>
        <v>Drafted</v>
      </c>
      <c r="H28" s="176" t="str">
        <f>IFERROR(INDEX(Data!$C$4:$C$75,MATCH(B28,Data!$D$4:$D$75,0)),"")</f>
        <v>Nick</v>
      </c>
    </row>
    <row r="29" spans="1:8">
      <c r="A29" s="4">
        <v>2</v>
      </c>
      <c r="B29" s="4" t="s">
        <v>48</v>
      </c>
      <c r="C29" s="4">
        <v>6</v>
      </c>
      <c r="D29" s="4">
        <v>6</v>
      </c>
      <c r="E29" s="4">
        <v>7</v>
      </c>
      <c r="F29" s="4">
        <v>7</v>
      </c>
      <c r="G29" s="5" t="str">
        <f>IF(COUNTIF(Data!$D$4:$D$75,B29)&gt;0,"Drafted","Available")</f>
        <v>Drafted</v>
      </c>
      <c r="H29" s="177" t="str">
        <f>IFERROR(INDEX(Data!$C$4:$C$75,MATCH(B29,Data!$D$4:$D$75,0)),"")</f>
        <v>Aidan</v>
      </c>
    </row>
    <row r="30" spans="1:8">
      <c r="A30" s="4">
        <v>7</v>
      </c>
      <c r="B30" s="4" t="s">
        <v>49</v>
      </c>
      <c r="C30" s="4">
        <v>6</v>
      </c>
      <c r="D30" s="4">
        <v>6</v>
      </c>
      <c r="E30" s="4">
        <v>6</v>
      </c>
      <c r="F30" s="4">
        <v>6</v>
      </c>
      <c r="G30" s="5" t="str">
        <f>IF(COUNTIF(Data!$D$4:$D$75,B30)&gt;0,"Drafted","Available")</f>
        <v>Drafted</v>
      </c>
      <c r="H30" s="178" t="str">
        <f>IFERROR(INDEX(Data!$C$4:$C$75,MATCH(B30,Data!$D$4:$D$75,0)),"")</f>
        <v>Nick</v>
      </c>
    </row>
    <row r="31" spans="1:8">
      <c r="A31" s="4">
        <v>12</v>
      </c>
      <c r="B31" s="4" t="s">
        <v>63</v>
      </c>
      <c r="C31" s="4">
        <v>3</v>
      </c>
      <c r="D31" s="4">
        <v>6</v>
      </c>
      <c r="E31" s="4">
        <v>8</v>
      </c>
      <c r="F31" s="4">
        <v>4</v>
      </c>
      <c r="G31" s="5" t="str">
        <f>IF(COUNTIF(Data!$D$4:$D$75,B31)&gt;0,"Drafted","Available")</f>
        <v>Drafted</v>
      </c>
      <c r="H31" s="176" t="str">
        <f>IFERROR(INDEX(Data!$C$4:$C$75,MATCH(B31,Data!$D$4:$D$75,0)),"")</f>
        <v>Donovan</v>
      </c>
    </row>
    <row r="32" spans="1:8">
      <c r="A32" s="4">
        <v>16</v>
      </c>
      <c r="B32" s="4" t="s">
        <v>85</v>
      </c>
      <c r="C32" s="4">
        <v>5</v>
      </c>
      <c r="D32" s="4">
        <v>6</v>
      </c>
      <c r="E32" s="4">
        <v>7</v>
      </c>
      <c r="F32" s="4">
        <v>3</v>
      </c>
      <c r="G32" s="5" t="str">
        <f>IF(COUNTIF(Data!$D$4:$D$75,B32)&gt;0,"Drafted","Available")</f>
        <v>Drafted</v>
      </c>
      <c r="H32" s="179" t="str">
        <f>IFERROR(INDEX(Data!$C$4:$C$75,MATCH(B32,Data!$D$4:$D$75,0)),"")</f>
        <v>Aidan</v>
      </c>
    </row>
    <row r="33" spans="1:8">
      <c r="A33" s="4">
        <v>32</v>
      </c>
      <c r="B33" s="4" t="s">
        <v>62</v>
      </c>
      <c r="C33" s="4">
        <v>4</v>
      </c>
      <c r="D33" s="4">
        <v>6</v>
      </c>
      <c r="E33" s="4">
        <v>3</v>
      </c>
      <c r="F33" s="4">
        <v>7</v>
      </c>
      <c r="G33" s="5" t="str">
        <f>IF(COUNTIF(Data!$D$4:$D$75,B33)&gt;0,"Drafted","Available")</f>
        <v>Drafted</v>
      </c>
      <c r="H33" s="180" t="str">
        <f>IFERROR(INDEX(Data!$C$4:$C$75,MATCH(B33,Data!$D$4:$D$75,0)),"")</f>
        <v>Nick</v>
      </c>
    </row>
    <row r="34" spans="1:8">
      <c r="A34" s="4">
        <v>51</v>
      </c>
      <c r="B34" s="4" t="s">
        <v>110</v>
      </c>
      <c r="C34" s="4">
        <v>5</v>
      </c>
      <c r="D34" s="4">
        <v>6</v>
      </c>
      <c r="E34" s="4">
        <v>2</v>
      </c>
      <c r="F34" s="4">
        <v>7</v>
      </c>
      <c r="G34" s="5" t="str">
        <f>IF(COUNTIF(Data!$D$4:$D$75,B34)&gt;0,"Drafted","Available")</f>
        <v>Available</v>
      </c>
      <c r="H34" s="178" t="str">
        <f>IFERROR(INDEX(Data!$C$4:$C$75,MATCH(B34,Data!$D$4:$D$75,0)),"")</f>
        <v/>
      </c>
    </row>
    <row r="35" spans="1:8">
      <c r="A35" s="4">
        <v>61</v>
      </c>
      <c r="B35" s="4" t="s">
        <v>93</v>
      </c>
      <c r="C35" s="4">
        <v>3</v>
      </c>
      <c r="D35" s="4">
        <v>6</v>
      </c>
      <c r="E35" s="4">
        <v>4</v>
      </c>
      <c r="F35" s="4">
        <v>7</v>
      </c>
      <c r="G35" s="5" t="str">
        <f>IF(COUNTIF(Data!$D$4:$D$75,B35)&gt;0,"Drafted","Available")</f>
        <v>Drafted</v>
      </c>
      <c r="H35" s="166" t="str">
        <f>IFERROR(INDEX(Data!$C$4:$C$75,MATCH(B35,Data!$D$4:$D$75,0)),"")</f>
        <v>Jason</v>
      </c>
    </row>
    <row r="36" spans="1:8">
      <c r="A36" s="4">
        <v>68</v>
      </c>
      <c r="B36" s="4" t="s">
        <v>94</v>
      </c>
      <c r="C36" s="4">
        <v>3</v>
      </c>
      <c r="D36" s="4">
        <v>6</v>
      </c>
      <c r="E36" s="4">
        <v>4</v>
      </c>
      <c r="F36" s="4">
        <v>6</v>
      </c>
      <c r="G36" s="5" t="str">
        <f>IF(COUNTIF(Data!$D$4:$D$75,B36)&gt;0,"Drafted","Available")</f>
        <v>Drafted</v>
      </c>
      <c r="H36" s="166" t="str">
        <f>IFERROR(INDEX(Data!$C$4:$C$75,MATCH(B36,Data!$D$4:$D$75,0)),"")</f>
        <v>May</v>
      </c>
    </row>
    <row r="37" spans="1:8">
      <c r="A37" s="4">
        <v>69</v>
      </c>
      <c r="B37" s="4" t="s">
        <v>111</v>
      </c>
      <c r="C37" s="4">
        <v>4</v>
      </c>
      <c r="D37" s="4">
        <v>6</v>
      </c>
      <c r="E37" s="4">
        <v>3</v>
      </c>
      <c r="F37" s="4">
        <v>6</v>
      </c>
      <c r="G37" s="5" t="str">
        <f>IF(COUNTIF(Data!$D$4:$D$75,B37)&gt;0,"Drafted","Available")</f>
        <v>Available</v>
      </c>
      <c r="H37" s="166" t="str">
        <f>IFERROR(INDEX(Data!$C$4:$C$75,MATCH(B37,Data!$D$4:$D$75,0)),"")</f>
        <v/>
      </c>
    </row>
    <row r="38" spans="1:8">
      <c r="A38" s="4">
        <v>11</v>
      </c>
      <c r="B38" s="4" t="s">
        <v>78</v>
      </c>
      <c r="C38" s="4">
        <v>5</v>
      </c>
      <c r="D38" s="4">
        <v>5</v>
      </c>
      <c r="E38" s="4">
        <v>7</v>
      </c>
      <c r="F38" s="4">
        <v>5</v>
      </c>
      <c r="G38" s="5" t="str">
        <f>IF(COUNTIF(Data!$D$4:$D$75,B38)&gt;0,"Drafted","Available")</f>
        <v>Drafted</v>
      </c>
      <c r="H38" s="177" t="str">
        <f>IFERROR(INDEX(Data!$C$4:$C$75,MATCH(B38,Data!$D$4:$D$75,0)),"")</f>
        <v>Donovan</v>
      </c>
    </row>
    <row r="39" spans="1:8">
      <c r="A39" s="4">
        <v>41</v>
      </c>
      <c r="B39" s="4" t="s">
        <v>112</v>
      </c>
      <c r="C39" s="4">
        <v>4</v>
      </c>
      <c r="D39" s="4">
        <v>5</v>
      </c>
      <c r="E39" s="4">
        <v>4</v>
      </c>
      <c r="F39" s="4">
        <v>7</v>
      </c>
      <c r="G39" s="5" t="str">
        <f>IF(COUNTIF(Data!$D$4:$D$75,B39)&gt;0,"Drafted","Available")</f>
        <v>Available</v>
      </c>
      <c r="H39" s="180" t="str">
        <f>IFERROR(INDEX(Data!$C$4:$C$75,MATCH(B39,Data!$D$4:$D$75,0)),"")</f>
        <v/>
      </c>
    </row>
    <row r="40" spans="1:8">
      <c r="A40" s="4">
        <v>42</v>
      </c>
      <c r="B40" s="4" t="s">
        <v>113</v>
      </c>
      <c r="C40" s="4">
        <v>3</v>
      </c>
      <c r="D40" s="4">
        <v>5</v>
      </c>
      <c r="E40" s="4">
        <v>7</v>
      </c>
      <c r="F40" s="4">
        <v>5</v>
      </c>
      <c r="G40" s="5" t="str">
        <f>IF(COUNTIF(Data!$D$4:$D$75,B40)&gt;0,"Drafted","Available")</f>
        <v>Available</v>
      </c>
      <c r="H40" s="178" t="str">
        <f>IFERROR(INDEX(Data!$C$4:$C$75,MATCH(B40,Data!$D$4:$D$75,0)),"")</f>
        <v/>
      </c>
    </row>
    <row r="41" spans="1:8">
      <c r="A41" s="4">
        <v>43</v>
      </c>
      <c r="B41" s="4" t="s">
        <v>83</v>
      </c>
      <c r="C41" s="4">
        <v>3</v>
      </c>
      <c r="D41" s="4">
        <v>5</v>
      </c>
      <c r="E41" s="4">
        <v>7</v>
      </c>
      <c r="F41" s="4">
        <v>5</v>
      </c>
      <c r="G41" s="5" t="str">
        <f>IF(COUNTIF(Data!$D$4:$D$75,B41)&gt;0,"Drafted","Available")</f>
        <v>Drafted</v>
      </c>
      <c r="H41" s="178" t="str">
        <f>IFERROR(INDEX(Data!$C$4:$C$75,MATCH(B41,Data!$D$4:$D$75,0)),"")</f>
        <v>May</v>
      </c>
    </row>
    <row r="42" spans="1:8">
      <c r="A42" s="4">
        <v>44</v>
      </c>
      <c r="B42" s="4" t="s">
        <v>114</v>
      </c>
      <c r="C42" s="4">
        <v>4</v>
      </c>
      <c r="D42" s="4">
        <v>5</v>
      </c>
      <c r="E42" s="4">
        <v>4</v>
      </c>
      <c r="F42" s="4">
        <v>7</v>
      </c>
      <c r="G42" s="5" t="str">
        <f>IF(COUNTIF(Data!$D$4:$D$75,B42)&gt;0,"Drafted","Available")</f>
        <v>Available</v>
      </c>
      <c r="H42" s="180" t="str">
        <f>IFERROR(INDEX(Data!$C$4:$C$75,MATCH(B42,Data!$D$4:$D$75,0)),"")</f>
        <v/>
      </c>
    </row>
    <row r="43" spans="1:8">
      <c r="A43" s="4">
        <v>54</v>
      </c>
      <c r="B43" s="4" t="s">
        <v>115</v>
      </c>
      <c r="C43" s="4">
        <v>5</v>
      </c>
      <c r="D43" s="4">
        <v>5</v>
      </c>
      <c r="E43" s="4">
        <v>3</v>
      </c>
      <c r="F43" s="4">
        <v>7</v>
      </c>
      <c r="G43" s="5" t="str">
        <f>IF(COUNTIF(Data!$D$4:$D$75,B43)&gt;0,"Drafted","Available")</f>
        <v>Available</v>
      </c>
      <c r="H43" s="178" t="str">
        <f>IFERROR(INDEX(Data!$C$4:$C$75,MATCH(B43,Data!$D$4:$D$75,0)),"")</f>
        <v/>
      </c>
    </row>
    <row r="44" spans="1:8">
      <c r="A44" s="4">
        <v>55</v>
      </c>
      <c r="B44" s="4" t="s">
        <v>116</v>
      </c>
      <c r="C44" s="4">
        <v>4</v>
      </c>
      <c r="D44" s="4">
        <v>5</v>
      </c>
      <c r="E44" s="4">
        <v>7</v>
      </c>
      <c r="F44" s="4">
        <v>4</v>
      </c>
      <c r="G44" s="5" t="str">
        <f>IF(COUNTIF(Data!$D$4:$D$75,B44)&gt;0,"Drafted","Available")</f>
        <v>Available</v>
      </c>
      <c r="H44" s="166" t="str">
        <f>IFERROR(INDEX(Data!$C$4:$C$75,MATCH(B44,Data!$D$4:$D$75,0)),"")</f>
        <v/>
      </c>
    </row>
    <row r="45" spans="1:8">
      <c r="A45" s="4">
        <v>4</v>
      </c>
      <c r="B45" s="4" t="s">
        <v>47</v>
      </c>
      <c r="C45" s="4">
        <v>9</v>
      </c>
      <c r="D45" s="4">
        <v>4</v>
      </c>
      <c r="E45" s="4">
        <v>8</v>
      </c>
      <c r="F45" s="4">
        <v>5</v>
      </c>
      <c r="G45" s="5" t="str">
        <f>IF(COUNTIF(Data!$D$4:$D$75,B45)&gt;0,"Drafted","Available")</f>
        <v>Drafted</v>
      </c>
      <c r="H45" s="179" t="str">
        <f>IFERROR(INDEX(Data!$C$4:$C$75,MATCH(B45,Data!$D$4:$D$75,0)),"")</f>
        <v>Jason</v>
      </c>
    </row>
    <row r="46" spans="1:8">
      <c r="A46" s="4">
        <v>5</v>
      </c>
      <c r="B46" s="4" t="s">
        <v>50</v>
      </c>
      <c r="C46" s="4">
        <v>8</v>
      </c>
      <c r="D46" s="4">
        <v>4</v>
      </c>
      <c r="E46" s="4">
        <v>8</v>
      </c>
      <c r="F46" s="4">
        <v>5</v>
      </c>
      <c r="G46" s="5" t="str">
        <f>IF(COUNTIF(Data!$D$4:$D$75,B46)&gt;0,"Drafted","Available")</f>
        <v>Drafted</v>
      </c>
      <c r="H46" s="180" t="str">
        <f>IFERROR(INDEX(Data!$C$4:$C$75,MATCH(B46,Data!$D$4:$D$75,0)),"")</f>
        <v>Donovan</v>
      </c>
    </row>
    <row r="47" spans="1:8">
      <c r="A47" s="4">
        <v>9</v>
      </c>
      <c r="B47" s="4" t="s">
        <v>53</v>
      </c>
      <c r="C47" s="4">
        <v>5</v>
      </c>
      <c r="D47" s="4">
        <v>4</v>
      </c>
      <c r="E47" s="4">
        <v>8</v>
      </c>
      <c r="F47" s="4">
        <v>6</v>
      </c>
      <c r="G47" s="5" t="str">
        <f>IF(COUNTIF(Data!$D$4:$D$75,B47)&gt;0,"Drafted","Available")</f>
        <v>Drafted</v>
      </c>
      <c r="H47" s="179" t="str">
        <f>IFERROR(INDEX(Data!$C$4:$C$75,MATCH(B47,Data!$D$4:$D$75,0)),"")</f>
        <v>Donovan</v>
      </c>
    </row>
    <row r="48" spans="1:8">
      <c r="A48" s="4">
        <v>10</v>
      </c>
      <c r="B48" s="4" t="s">
        <v>57</v>
      </c>
      <c r="C48" s="4">
        <v>4</v>
      </c>
      <c r="D48" s="4">
        <v>4</v>
      </c>
      <c r="E48" s="4">
        <v>6</v>
      </c>
      <c r="F48" s="4">
        <v>9</v>
      </c>
      <c r="G48" s="5" t="str">
        <f>IF(COUNTIF(Data!$D$4:$D$75,B48)&gt;0,"Drafted","Available")</f>
        <v>Drafted</v>
      </c>
      <c r="H48" s="178" t="str">
        <f>IFERROR(INDEX(Data!$C$4:$C$75,MATCH(B48,Data!$D$4:$D$75,0)),"")</f>
        <v>Jason</v>
      </c>
    </row>
    <row r="49" spans="1:8">
      <c r="A49" s="4">
        <v>13</v>
      </c>
      <c r="B49" s="4" t="s">
        <v>69</v>
      </c>
      <c r="C49" s="4">
        <v>6</v>
      </c>
      <c r="D49" s="4">
        <v>4</v>
      </c>
      <c r="E49" s="4">
        <v>5</v>
      </c>
      <c r="F49" s="4">
        <v>6</v>
      </c>
      <c r="G49" s="5" t="str">
        <f>IF(COUNTIF(Data!$D$4:$D$75,B49)&gt;0,"Drafted","Available")</f>
        <v>Drafted</v>
      </c>
      <c r="H49" s="176" t="str">
        <f>IFERROR(INDEX(Data!$C$4:$C$75,MATCH(B49,Data!$D$4:$D$75,0)),"")</f>
        <v>Jason</v>
      </c>
    </row>
    <row r="50" spans="1:8">
      <c r="A50" s="4">
        <v>15</v>
      </c>
      <c r="B50" s="4" t="s">
        <v>84</v>
      </c>
      <c r="C50" s="4">
        <v>6</v>
      </c>
      <c r="D50" s="4">
        <v>4</v>
      </c>
      <c r="E50" s="4">
        <v>5</v>
      </c>
      <c r="F50" s="4">
        <v>6</v>
      </c>
      <c r="G50" s="5" t="str">
        <f>IF(COUNTIF(Data!$D$4:$D$75,B50)&gt;0,"Drafted","Available")</f>
        <v>Drafted</v>
      </c>
      <c r="H50" s="178" t="str">
        <f>IFERROR(INDEX(Data!$C$4:$C$75,MATCH(B50,Data!$D$4:$D$75,0)),"")</f>
        <v>Jason</v>
      </c>
    </row>
    <row r="51" spans="1:8">
      <c r="A51" s="4">
        <v>30</v>
      </c>
      <c r="B51" s="4" t="s">
        <v>117</v>
      </c>
      <c r="C51" s="4">
        <v>5</v>
      </c>
      <c r="D51" s="4">
        <v>4</v>
      </c>
      <c r="E51" s="4">
        <v>4</v>
      </c>
      <c r="F51" s="4">
        <v>7</v>
      </c>
      <c r="G51" s="5" t="str">
        <f>IF(COUNTIF(Data!$D$4:$D$75,B51)&gt;0,"Drafted","Available")</f>
        <v>Available</v>
      </c>
      <c r="H51" s="178" t="str">
        <f>IFERROR(INDEX(Data!$C$4:$C$75,MATCH(B51,Data!$D$4:$D$75,0)),"")</f>
        <v/>
      </c>
    </row>
    <row r="52" spans="1:8">
      <c r="A52" s="4">
        <v>31</v>
      </c>
      <c r="B52" s="4" t="s">
        <v>118</v>
      </c>
      <c r="C52" s="4">
        <v>5</v>
      </c>
      <c r="D52" s="4">
        <v>4</v>
      </c>
      <c r="E52" s="4">
        <v>7</v>
      </c>
      <c r="F52" s="4">
        <v>4</v>
      </c>
      <c r="G52" s="5" t="str">
        <f>IF(COUNTIF(Data!$D$4:$D$75,B52)&gt;0,"Drafted","Available")</f>
        <v>Available</v>
      </c>
      <c r="H52" s="178" t="str">
        <f>IFERROR(INDEX(Data!$C$4:$C$75,MATCH(B52,Data!$D$4:$D$75,0)),"")</f>
        <v/>
      </c>
    </row>
    <row r="53" spans="1:8">
      <c r="A53" s="4">
        <v>39</v>
      </c>
      <c r="B53" s="4" t="s">
        <v>119</v>
      </c>
      <c r="C53" s="4">
        <v>4</v>
      </c>
      <c r="D53" s="4">
        <v>4</v>
      </c>
      <c r="E53" s="4">
        <v>8</v>
      </c>
      <c r="F53" s="4">
        <v>4</v>
      </c>
      <c r="G53" s="5" t="str">
        <f>IF(COUNTIF(Data!$D$4:$D$75,B53)&gt;0,"Drafted","Available")</f>
        <v>Available</v>
      </c>
      <c r="H53" s="178" t="str">
        <f>IFERROR(INDEX(Data!$C$4:$C$75,MATCH(B53,Data!$D$4:$D$75,0)),"")</f>
        <v/>
      </c>
    </row>
    <row r="54" spans="1:8">
      <c r="A54" s="4">
        <v>48</v>
      </c>
      <c r="B54" s="4" t="s">
        <v>67</v>
      </c>
      <c r="C54" s="4">
        <v>4</v>
      </c>
      <c r="D54" s="4">
        <v>4</v>
      </c>
      <c r="E54" s="4">
        <v>5</v>
      </c>
      <c r="F54" s="4">
        <v>7</v>
      </c>
      <c r="G54" s="5" t="str">
        <f>IF(COUNTIF(Data!$D$4:$D$75,B54)&gt;0,"Drafted","Available")</f>
        <v>Drafted</v>
      </c>
      <c r="H54" s="176" t="str">
        <f>IFERROR(INDEX(Data!$C$4:$C$75,MATCH(B54,Data!$D$4:$D$75,0)),"")</f>
        <v>Nick</v>
      </c>
    </row>
    <row r="55" spans="1:8">
      <c r="A55" s="4">
        <v>49</v>
      </c>
      <c r="B55" s="4" t="s">
        <v>88</v>
      </c>
      <c r="C55" s="4">
        <v>4</v>
      </c>
      <c r="D55" s="4">
        <v>4</v>
      </c>
      <c r="E55" s="4">
        <v>7</v>
      </c>
      <c r="F55" s="4">
        <v>5</v>
      </c>
      <c r="G55" s="5" t="str">
        <f>IF(COUNTIF(Data!$D$4:$D$75,B55)&gt;0,"Drafted","Available")</f>
        <v>Drafted</v>
      </c>
      <c r="H55" s="176" t="str">
        <f>IFERROR(INDEX(Data!$C$4:$C$75,MATCH(B55,Data!$D$4:$D$75,0)),"")</f>
        <v>Justin</v>
      </c>
    </row>
    <row r="56" spans="1:8">
      <c r="A56" s="4">
        <v>53</v>
      </c>
      <c r="B56" s="4" t="s">
        <v>120</v>
      </c>
      <c r="C56" s="4">
        <v>4</v>
      </c>
      <c r="D56" s="4">
        <v>4</v>
      </c>
      <c r="E56" s="4">
        <v>5</v>
      </c>
      <c r="F56" s="4">
        <v>7</v>
      </c>
      <c r="G56" s="5" t="str">
        <f>IF(COUNTIF(Data!$D$4:$D$75,B56)&gt;0,"Drafted","Available")</f>
        <v>Available</v>
      </c>
      <c r="H56" s="180" t="str">
        <f>IFERROR(INDEX(Data!$C$4:$C$75,MATCH(B56,Data!$D$4:$D$75,0)),"")</f>
        <v/>
      </c>
    </row>
    <row r="57" spans="1:8">
      <c r="A57" s="4">
        <v>60</v>
      </c>
      <c r="B57" s="4" t="s">
        <v>121</v>
      </c>
      <c r="C57" s="4">
        <v>4</v>
      </c>
      <c r="D57" s="4">
        <v>4</v>
      </c>
      <c r="E57" s="4">
        <v>7</v>
      </c>
      <c r="F57" s="4">
        <v>5</v>
      </c>
      <c r="G57" s="5" t="str">
        <f>IF(COUNTIF(Data!$D$4:$D$75,B57)&gt;0,"Drafted","Available")</f>
        <v>Available</v>
      </c>
      <c r="H57" s="166" t="str">
        <f>IFERROR(INDEX(Data!$C$4:$C$75,MATCH(B57,Data!$D$4:$D$75,0)),"")</f>
        <v/>
      </c>
    </row>
    <row r="58" spans="1:8">
      <c r="A58" s="4">
        <v>62</v>
      </c>
      <c r="B58" s="4" t="s">
        <v>122</v>
      </c>
      <c r="C58" s="4">
        <v>3</v>
      </c>
      <c r="D58" s="4">
        <v>4</v>
      </c>
      <c r="E58" s="4">
        <v>6</v>
      </c>
      <c r="F58" s="4">
        <v>7</v>
      </c>
      <c r="G58" s="5" t="str">
        <f>IF(COUNTIF(Data!$D$4:$D$75,B58)&gt;0,"Drafted","Available")</f>
        <v>Available</v>
      </c>
      <c r="H58" s="166" t="str">
        <f>IFERROR(INDEX(Data!$C$4:$C$75,MATCH(B58,Data!$D$4:$D$75,0)),"")</f>
        <v/>
      </c>
    </row>
    <row r="59" spans="1:8">
      <c r="A59" s="4">
        <v>70</v>
      </c>
      <c r="B59" s="4" t="s">
        <v>70</v>
      </c>
      <c r="C59" s="4">
        <v>3</v>
      </c>
      <c r="D59" s="4">
        <v>4</v>
      </c>
      <c r="E59" s="4">
        <v>4</v>
      </c>
      <c r="F59" s="4">
        <v>8</v>
      </c>
      <c r="G59" s="5" t="str">
        <f>IF(COUNTIF(Data!$D$4:$D$75,B59)&gt;0,"Drafted","Available")</f>
        <v>Drafted</v>
      </c>
      <c r="H59" s="166" t="str">
        <f>IFERROR(INDEX(Data!$C$4:$C$75,MATCH(B59,Data!$D$4:$D$75,0)),"")</f>
        <v>May</v>
      </c>
    </row>
    <row r="60" spans="1:8">
      <c r="A60" s="4">
        <v>23</v>
      </c>
      <c r="B60" s="4" t="s">
        <v>90</v>
      </c>
      <c r="C60" s="4">
        <v>6</v>
      </c>
      <c r="D60" s="4">
        <v>3</v>
      </c>
      <c r="E60" s="4">
        <v>7</v>
      </c>
      <c r="F60" s="4">
        <v>5</v>
      </c>
      <c r="G60" s="5" t="str">
        <f>IF(COUNTIF(Data!$D$4:$D$75,B60)&gt;0,"Drafted","Available")</f>
        <v>Drafted</v>
      </c>
      <c r="H60" s="177" t="str">
        <f>IFERROR(INDEX(Data!$C$4:$C$75,MATCH(B60,Data!$D$4:$D$75,0)),"")</f>
        <v>Donovan</v>
      </c>
    </row>
    <row r="61" spans="1:8">
      <c r="A61" s="4">
        <v>28</v>
      </c>
      <c r="B61" s="4" t="s">
        <v>72</v>
      </c>
      <c r="C61" s="4">
        <v>5</v>
      </c>
      <c r="D61" s="4">
        <v>3</v>
      </c>
      <c r="E61" s="4">
        <v>4</v>
      </c>
      <c r="F61" s="4">
        <v>8</v>
      </c>
      <c r="G61" s="5" t="str">
        <f>IF(COUNTIF(Data!$D$4:$D$75,B61)&gt;0,"Drafted","Available")</f>
        <v>Drafted</v>
      </c>
      <c r="H61" s="179" t="str">
        <f>IFERROR(INDEX(Data!$C$4:$C$75,MATCH(B61,Data!$D$4:$D$75,0)),"")</f>
        <v>Jason</v>
      </c>
    </row>
    <row r="62" spans="1:8">
      <c r="A62" s="4">
        <v>34</v>
      </c>
      <c r="B62" s="4" t="s">
        <v>51</v>
      </c>
      <c r="C62" s="4">
        <v>9</v>
      </c>
      <c r="D62" s="4">
        <v>3</v>
      </c>
      <c r="E62" s="4">
        <v>3</v>
      </c>
      <c r="F62" s="4">
        <v>5</v>
      </c>
      <c r="G62" s="5" t="str">
        <f>IF(COUNTIF(Data!$D$4:$D$75,B62)&gt;0,"Drafted","Available")</f>
        <v>Drafted</v>
      </c>
      <c r="H62" s="178" t="str">
        <f>IFERROR(INDEX(Data!$C$4:$C$75,MATCH(B62,Data!$D$4:$D$75,0)),"")</f>
        <v>Justin</v>
      </c>
    </row>
    <row r="63" spans="1:8">
      <c r="A63" s="4">
        <v>46</v>
      </c>
      <c r="B63" s="4" t="s">
        <v>123</v>
      </c>
      <c r="C63" s="4">
        <v>3</v>
      </c>
      <c r="D63" s="4">
        <v>3</v>
      </c>
      <c r="E63" s="4">
        <v>6</v>
      </c>
      <c r="F63" s="4">
        <v>8</v>
      </c>
      <c r="G63" s="5" t="str">
        <f>IF(COUNTIF(Data!$D$4:$D$75,B63)&gt;0,"Drafted","Available")</f>
        <v>Available</v>
      </c>
      <c r="H63" s="178" t="str">
        <f>IFERROR(INDEX(Data!$C$4:$C$75,MATCH(B63,Data!$D$4:$D$75,0)),"")</f>
        <v/>
      </c>
    </row>
    <row r="64" spans="1:8">
      <c r="A64" s="4">
        <v>50</v>
      </c>
      <c r="B64" s="4" t="s">
        <v>61</v>
      </c>
      <c r="C64" s="4">
        <v>2</v>
      </c>
      <c r="D64" s="4">
        <v>3</v>
      </c>
      <c r="E64" s="4">
        <v>6</v>
      </c>
      <c r="F64" s="4">
        <v>9</v>
      </c>
      <c r="G64" s="5" t="str">
        <f>IF(COUNTIF(Data!$D$4:$D$75,B64)&gt;0,"Drafted","Available")</f>
        <v>Drafted</v>
      </c>
      <c r="H64" s="177" t="str">
        <f>IFERROR(INDEX(Data!$C$4:$C$75,MATCH(B64,Data!$D$4:$D$75,0)),"")</f>
        <v>Aidan</v>
      </c>
    </row>
    <row r="65" spans="1:8">
      <c r="A65" s="4">
        <v>52</v>
      </c>
      <c r="B65" s="4" t="s">
        <v>68</v>
      </c>
      <c r="C65" s="4">
        <v>8</v>
      </c>
      <c r="D65" s="4">
        <v>3</v>
      </c>
      <c r="E65" s="4">
        <v>8</v>
      </c>
      <c r="F65" s="4">
        <v>1</v>
      </c>
      <c r="G65" s="5" t="str">
        <f>IF(COUNTIF(Data!$D$4:$D$75,B65)&gt;0,"Drafted","Available")</f>
        <v>Drafted</v>
      </c>
      <c r="H65" s="179" t="str">
        <f>IFERROR(INDEX(Data!$C$4:$C$75,MATCH(B65,Data!$D$4:$D$75,0)),"")</f>
        <v>Aidan</v>
      </c>
    </row>
    <row r="66" spans="1:8">
      <c r="A66" s="4">
        <v>56</v>
      </c>
      <c r="B66" s="4" t="s">
        <v>55</v>
      </c>
      <c r="C66" s="4">
        <v>5</v>
      </c>
      <c r="D66" s="4">
        <v>3</v>
      </c>
      <c r="E66" s="4">
        <v>4</v>
      </c>
      <c r="F66" s="4">
        <v>8</v>
      </c>
      <c r="G66" s="5" t="str">
        <f>IF(COUNTIF(Data!$D$4:$D$75,B66)&gt;0,"Drafted","Available")</f>
        <v>Drafted</v>
      </c>
      <c r="H66" s="166" t="str">
        <f>IFERROR(INDEX(Data!$C$4:$C$75,MATCH(B66,Data!$D$4:$D$75,0)),"")</f>
        <v>Nick</v>
      </c>
    </row>
    <row r="67" spans="1:8">
      <c r="A67" s="4">
        <v>57</v>
      </c>
      <c r="B67" s="4" t="s">
        <v>124</v>
      </c>
      <c r="C67" s="4">
        <v>7</v>
      </c>
      <c r="D67" s="4">
        <v>3</v>
      </c>
      <c r="E67" s="4">
        <v>7</v>
      </c>
      <c r="F67" s="4">
        <v>3</v>
      </c>
      <c r="G67" s="5" t="str">
        <f>IF(COUNTIF(Data!$D$4:$D$75,B67)&gt;0,"Drafted","Available")</f>
        <v>Available</v>
      </c>
      <c r="H67" s="166" t="str">
        <f>IFERROR(INDEX(Data!$C$4:$C$75,MATCH(B67,Data!$D$4:$D$75,0)),"")</f>
        <v/>
      </c>
    </row>
    <row r="68" spans="1:8">
      <c r="A68" s="4">
        <v>59</v>
      </c>
      <c r="B68" s="4" t="s">
        <v>64</v>
      </c>
      <c r="C68" s="4">
        <v>7</v>
      </c>
      <c r="D68" s="4">
        <v>3</v>
      </c>
      <c r="E68" s="4">
        <v>8</v>
      </c>
      <c r="F68" s="4">
        <v>2</v>
      </c>
      <c r="G68" s="5" t="str">
        <f>IF(COUNTIF(Data!$D$4:$D$75,B68)&gt;0,"Drafted","Available")</f>
        <v>Drafted</v>
      </c>
      <c r="H68" s="166" t="str">
        <f>IFERROR(INDEX(Data!$C$4:$C$75,MATCH(B68,Data!$D$4:$D$75,0)),"")</f>
        <v>Justin</v>
      </c>
    </row>
    <row r="69" spans="1:8">
      <c r="A69" s="4">
        <v>65</v>
      </c>
      <c r="B69" s="4" t="s">
        <v>125</v>
      </c>
      <c r="C69" s="4">
        <v>6</v>
      </c>
      <c r="D69" s="4">
        <v>3</v>
      </c>
      <c r="E69" s="4">
        <v>6</v>
      </c>
      <c r="F69" s="4">
        <v>4</v>
      </c>
      <c r="G69" s="5" t="str">
        <f>IF(COUNTIF(Data!$D$4:$D$75,B69)&gt;0,"Drafted","Available")</f>
        <v>Available</v>
      </c>
      <c r="H69" s="166" t="str">
        <f>IFERROR(INDEX(Data!$C$4:$C$75,MATCH(B69,Data!$D$4:$D$75,0)),"")</f>
        <v/>
      </c>
    </row>
    <row r="70" spans="1:8">
      <c r="A70" s="4">
        <v>14</v>
      </c>
      <c r="B70" s="4" t="s">
        <v>71</v>
      </c>
      <c r="C70" s="4">
        <v>8</v>
      </c>
      <c r="D70" s="4">
        <v>2</v>
      </c>
      <c r="E70" s="4">
        <v>5</v>
      </c>
      <c r="F70" s="4">
        <v>6</v>
      </c>
      <c r="G70" s="5" t="str">
        <f>IF(COUNTIF(Data!$D$4:$D$75,B70)&gt;0,"Drafted","Available")</f>
        <v>Drafted</v>
      </c>
      <c r="H70" s="177" t="str">
        <f>IFERROR(INDEX(Data!$C$4:$C$75,MATCH(B70,Data!$D$4:$D$75,0)),"")</f>
        <v>May</v>
      </c>
    </row>
    <row r="71" spans="1:8">
      <c r="A71" s="4">
        <v>27</v>
      </c>
      <c r="B71" s="4" t="s">
        <v>77</v>
      </c>
      <c r="C71" s="4">
        <v>5</v>
      </c>
      <c r="D71" s="4">
        <v>2</v>
      </c>
      <c r="E71" s="4">
        <v>5</v>
      </c>
      <c r="F71" s="4">
        <v>8</v>
      </c>
      <c r="G71" s="5" t="str">
        <f>IF(COUNTIF(Data!$D$4:$D$75,B71)&gt;0,"Drafted","Available")</f>
        <v>Drafted</v>
      </c>
      <c r="H71" s="178" t="str">
        <f>IFERROR(INDEX(Data!$C$4:$C$75,MATCH(B71,Data!$D$4:$D$75,0)),"")</f>
        <v>Justin</v>
      </c>
    </row>
    <row r="72" spans="1:8">
      <c r="A72" s="4">
        <v>33</v>
      </c>
      <c r="B72" s="4" t="s">
        <v>65</v>
      </c>
      <c r="C72" s="4">
        <v>4</v>
      </c>
      <c r="D72" s="4">
        <v>2</v>
      </c>
      <c r="E72" s="4">
        <v>6</v>
      </c>
      <c r="F72" s="4">
        <v>8</v>
      </c>
      <c r="G72" s="5" t="str">
        <f>IF(COUNTIF(Data!$D$4:$D$75,B72)&gt;0,"Drafted","Available")</f>
        <v>Drafted</v>
      </c>
      <c r="H72" s="179" t="str">
        <f>IFERROR(INDEX(Data!$C$4:$C$75,MATCH(B72,Data!$D$4:$D$75,0)),"")</f>
        <v>Justin</v>
      </c>
    </row>
    <row r="73" spans="1:8">
      <c r="A73" s="4">
        <v>47</v>
      </c>
      <c r="B73" s="4" t="s">
        <v>126</v>
      </c>
      <c r="C73" s="4">
        <v>8</v>
      </c>
      <c r="D73" s="4">
        <v>2</v>
      </c>
      <c r="E73" s="4">
        <v>8</v>
      </c>
      <c r="F73" s="4">
        <v>2</v>
      </c>
      <c r="G73" s="5" t="str">
        <f>IF(COUNTIF(Data!$D$4:$D$75,B73)&gt;0,"Drafted","Available")</f>
        <v>Available</v>
      </c>
      <c r="H73" s="177" t="str">
        <f>IFERROR(INDEX(Data!$C$4:$C$75,MATCH(B73,Data!$D$4:$D$75,0)),"")</f>
        <v/>
      </c>
    </row>
    <row r="74" spans="1:8">
      <c r="A74" s="4">
        <v>64</v>
      </c>
      <c r="B74" s="4" t="s">
        <v>66</v>
      </c>
      <c r="C74" s="4">
        <v>2</v>
      </c>
      <c r="D74" s="4">
        <v>2</v>
      </c>
      <c r="E74" s="4">
        <v>8</v>
      </c>
      <c r="F74" s="4">
        <v>7</v>
      </c>
      <c r="G74" s="5" t="str">
        <f>IF(COUNTIF(Data!$D$4:$D$75,B74)&gt;0,"Drafted","Available")</f>
        <v>Drafted</v>
      </c>
      <c r="H74" s="166" t="str">
        <f>IFERROR(INDEX(Data!$C$4:$C$75,MATCH(B74,Data!$D$4:$D$75,0)),"")</f>
        <v>Donovan</v>
      </c>
    </row>
    <row r="75" spans="1:8">
      <c r="A75" s="4">
        <v>66</v>
      </c>
      <c r="B75" s="4" t="s">
        <v>127</v>
      </c>
      <c r="C75" s="4">
        <v>7</v>
      </c>
      <c r="D75" s="4">
        <v>2</v>
      </c>
      <c r="E75" s="4">
        <v>8</v>
      </c>
      <c r="F75" s="4">
        <v>2</v>
      </c>
      <c r="G75" s="5" t="str">
        <f>IF(COUNTIF(Data!$D$4:$D$75,B75)&gt;0,"Drafted","Available")</f>
        <v>Available</v>
      </c>
      <c r="H75" s="166" t="str">
        <f>IFERROR(INDEX(Data!$C$4:$C$75,MATCH(B75,Data!$D$4:$D$75,0)),"")</f>
        <v/>
      </c>
    </row>
    <row r="76" spans="1:8">
      <c r="A76" s="18"/>
      <c r="B76" s="18"/>
      <c r="C76" s="18"/>
      <c r="D76" s="18"/>
      <c r="E76" s="18"/>
      <c r="F76" s="18"/>
      <c r="G76" s="18"/>
      <c r="H76" s="18"/>
    </row>
  </sheetData>
  <autoFilter ref="A3:H3" xr:uid="{00000000-0001-0000-0200-000000000000}">
    <sortState xmlns:xlrd2="http://schemas.microsoft.com/office/spreadsheetml/2017/richdata2" ref="A4:H75">
      <sortCondition descending="1" ref="D3"/>
    </sortState>
  </autoFilter>
  <mergeCells count="1">
    <mergeCell ref="A1:H1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754B8D6-5AF4-4A79-8A32-6E4BABFA068A}">
            <xm:f>OR(AND(Settings!$G$3=TRUE,Settings!$I$3="Blue",ISNUMBER(SEARCH(Settings!$E$3,A1&amp;""))),AND(Settings!$G$4=TRUE,Settings!$I$4="Blue",ISNUMBER(SEARCH(Settings!$E$4,A1&amp;""))),AND(Settings!$G$5=TRUE,Settings!$I$5="Blue",ISNUMBER(SEARCH(Settings!$E$5,A1&amp;""))),AND(Settings!$G$6=TRUE,Settings!$I$6="Blue",ISNUMBER(SEARCH(Settings!$E$6,A1&amp;""))),AND(Settings!$G$7=TRUE,Settings!$I$7="Blue",ISNUMBER(SEARCH(Settings!$E$7,A1&amp;""))),AND(Settings!$G$8=TRUE,Settings!$I$8="Blue",ISNUMBER(SEARCH(Settings!$E$8,A1&amp;""))),AND(Settings!$G$9=TRUE,Settings!$I$9="Blue",ISNUMBER(SEARCH(Settings!$E$9,A1&amp;""))),AND(Settings!$G$10=TRUE,Settings!$I$10="Blue",ISNUMBER(SEARCH(Settings!$E$10,A1&amp;""))))</xm:f>
            <x14:dxf>
              <font>
                <b/>
                <i val="0"/>
                <color rgb="FF49B6FF"/>
              </font>
            </x14:dxf>
          </x14:cfRule>
          <xm:sqref>A1:H75</xm:sqref>
        </x14:conditionalFormatting>
        <x14:conditionalFormatting xmlns:xm="http://schemas.microsoft.com/office/excel/2006/main">
          <x14:cfRule type="expression" priority="2" id="{C8353BB4-8705-49FB-A55B-366A909D926F}">
            <xm:f>OR(AND(Settings!$G$3=TRUE,Settings!$I$3="Orange",ISNUMBER(SEARCH(Settings!$E$3,A1&amp;""))),AND(Settings!$G$4=TRUE,Settings!$I$4="Orange",ISNUMBER(SEARCH(Settings!$E$4,A1&amp;""))),AND(Settings!$G$5=TRUE,Settings!$I$5="Orange",ISNUMBER(SEARCH(Settings!$E$5,A1&amp;""))),AND(Settings!$G$6=TRUE,Settings!$I$6="Orange",ISNUMBER(SEARCH(Settings!$E$6,A1&amp;""))),AND(Settings!$G$7=TRUE,Settings!$I$7="Orange",ISNUMBER(SEARCH(Settings!$E$7,A1&amp;""))),AND(Settings!$G$8=TRUE,Settings!$I$8="Orange",ISNUMBER(SEARCH(Settings!$E$8,A1&amp;""))),AND(Settings!$G$9=TRUE,Settings!$I$9="Orange",ISNUMBER(SEARCH(Settings!$E$9,A1&amp;""))),AND(Settings!$G$10=TRUE,Settings!$I$10="Orange",ISNUMBER(SEARCH(Settings!$E$10,A1&amp;""))))</xm:f>
            <x14:dxf>
              <font>
                <b/>
                <i val="0"/>
                <color rgb="FFFFB347"/>
              </font>
            </x14:dxf>
          </x14:cfRule>
          <xm:sqref>A1:H75</xm:sqref>
        </x14:conditionalFormatting>
        <x14:conditionalFormatting xmlns:xm="http://schemas.microsoft.com/office/excel/2006/main">
          <x14:cfRule type="expression" priority="3" id="{25E042F8-69D5-4409-91D9-CE7E351035C1}">
            <xm:f>OR(AND(Settings!$G$3=TRUE,Settings!$I$3="Green",ISNUMBER(SEARCH(Settings!$E$3,A1&amp;""))),AND(Settings!$G$4=TRUE,Settings!$I$4="Green",ISNUMBER(SEARCH(Settings!$E$4,A1&amp;""))),AND(Settings!$G$5=TRUE,Settings!$I$5="Green",ISNUMBER(SEARCH(Settings!$E$5,A1&amp;""))),AND(Settings!$G$6=TRUE,Settings!$I$6="Green",ISNUMBER(SEARCH(Settings!$E$6,A1&amp;""))),AND(Settings!$G$7=TRUE,Settings!$I$7="Green",ISNUMBER(SEARCH(Settings!$E$7,A1&amp;""))),AND(Settings!$G$8=TRUE,Settings!$I$8="Green",ISNUMBER(SEARCH(Settings!$E$8,A1&amp;""))),AND(Settings!$G$9=TRUE,Settings!$I$9="Green",ISNUMBER(SEARCH(Settings!$E$9,A1&amp;""))),AND(Settings!$G$10=TRUE,Settings!$I$10="Green",ISNUMBER(SEARCH(Settings!$E$10,A1&amp;""))))</xm:f>
            <x14:dxf>
              <font>
                <b/>
                <i val="0"/>
                <color rgb="FF7ED957"/>
              </font>
            </x14:dxf>
          </x14:cfRule>
          <xm:sqref>A1:H75</xm:sqref>
        </x14:conditionalFormatting>
        <x14:conditionalFormatting xmlns:xm="http://schemas.microsoft.com/office/excel/2006/main">
          <x14:cfRule type="expression" priority="4" id="{C950E860-7566-4434-B134-3DA44734F337}">
            <xm:f>OR(AND(Settings!$G$3=TRUE,Settings!$I$3="Red",ISNUMBER(SEARCH(Settings!$E$3,A1&amp;""))),AND(Settings!$G$4=TRUE,Settings!$I$4="Red",ISNUMBER(SEARCH(Settings!$E$4,A1&amp;""))),AND(Settings!$G$5=TRUE,Settings!$I$5="Red",ISNUMBER(SEARCH(Settings!$E$5,A1&amp;""))),AND(Settings!$G$6=TRUE,Settings!$I$6="Red",ISNUMBER(SEARCH(Settings!$E$6,A1&amp;""))),AND(Settings!$G$7=TRUE,Settings!$I$7="Red",ISNUMBER(SEARCH(Settings!$E$7,A1&amp;""))),AND(Settings!$G$8=TRUE,Settings!$I$8="Red",ISNUMBER(SEARCH(Settings!$E$8,A1&amp;""))),AND(Settings!$G$9=TRUE,Settings!$I$9="Red",ISNUMBER(SEARCH(Settings!$E$9,A1&amp;""))),AND(Settings!$G$10=TRUE,Settings!$I$10="Red",ISNUMBER(SEARCH(Settings!$E$10,A1&amp;""))))</xm:f>
            <x14:dxf>
              <font>
                <b/>
                <i val="0"/>
                <color rgb="FFFF5A5F"/>
              </font>
            </x14:dxf>
          </x14:cfRule>
          <xm:sqref>A1:H75</xm:sqref>
        </x14:conditionalFormatting>
        <x14:conditionalFormatting xmlns:xm="http://schemas.microsoft.com/office/excel/2006/main">
          <x14:cfRule type="expression" priority="5" id="{D036AA9F-420C-4B47-838D-E2701C323883}">
            <xm:f>OR(AND(Settings!$G$3=TRUE,Settings!$I$3="Purple",ISNUMBER(SEARCH(Settings!$E$3,A1&amp;""))),AND(Settings!$G$4=TRUE,Settings!$I$4="Purple",ISNUMBER(SEARCH(Settings!$E$4,A1&amp;""))),AND(Settings!$G$5=TRUE,Settings!$I$5="Purple",ISNUMBER(SEARCH(Settings!$E$5,A1&amp;""))),AND(Settings!$G$6=TRUE,Settings!$I$6="Purple",ISNUMBER(SEARCH(Settings!$E$6,A1&amp;""))),AND(Settings!$G$7=TRUE,Settings!$I$7="Purple",ISNUMBER(SEARCH(Settings!$E$7,A1&amp;""))),AND(Settings!$G$8=TRUE,Settings!$I$8="Purple",ISNUMBER(SEARCH(Settings!$E$8,A1&amp;""))),AND(Settings!$G$9=TRUE,Settings!$I$9="Purple",ISNUMBER(SEARCH(Settings!$E$9,A1&amp;""))),AND(Settings!$G$10=TRUE,Settings!$I$10="Purple",ISNUMBER(SEARCH(Settings!$E$10,A1&amp;""))))</xm:f>
            <x14:dxf>
              <font>
                <b/>
                <i val="0"/>
                <color rgb="FFC77DFF"/>
              </font>
            </x14:dxf>
          </x14:cfRule>
          <xm:sqref>A1:H75</xm:sqref>
        </x14:conditionalFormatting>
        <x14:conditionalFormatting xmlns:xm="http://schemas.microsoft.com/office/excel/2006/main">
          <x14:cfRule type="expression" priority="6" id="{E4C9884D-F3AD-437B-9667-9699EA17852A}">
            <xm:f>OR(AND(Settings!$G$3=TRUE,Settings!$I$3="Pink",ISNUMBER(SEARCH(Settings!$E$3,A1&amp;""))),AND(Settings!$G$4=TRUE,Settings!$I$4="Pink",ISNUMBER(SEARCH(Settings!$E$4,A1&amp;""))),AND(Settings!$G$5=TRUE,Settings!$I$5="Pink",ISNUMBER(SEARCH(Settings!$E$5,A1&amp;""))),AND(Settings!$G$6=TRUE,Settings!$I$6="Pink",ISNUMBER(SEARCH(Settings!$E$6,A1&amp;""))),AND(Settings!$G$7=TRUE,Settings!$I$7="Pink",ISNUMBER(SEARCH(Settings!$E$7,A1&amp;""))),AND(Settings!$G$8=TRUE,Settings!$I$8="Pink",ISNUMBER(SEARCH(Settings!$E$8,A1&amp;""))),AND(Settings!$G$9=TRUE,Settings!$I$9="Pink",ISNUMBER(SEARCH(Settings!$E$9,A1&amp;""))),AND(Settings!$G$10=TRUE,Settings!$I$10="Pink",ISNUMBER(SEARCH(Settings!$E$10,A1&amp;""))))</xm:f>
            <x14:dxf>
              <font>
                <b/>
                <i val="0"/>
                <color rgb="FFFF66C4"/>
              </font>
            </x14:dxf>
          </x14:cfRule>
          <xm:sqref>A1:H75</xm:sqref>
        </x14:conditionalFormatting>
        <x14:conditionalFormatting xmlns:xm="http://schemas.microsoft.com/office/excel/2006/main">
          <x14:cfRule type="expression" priority="7" id="{3F7623F6-470E-40B9-8EAD-07D1F3C223B3}">
            <xm:f>OR(AND(Settings!$G$3=TRUE,Settings!$I$3="Gray",ISNUMBER(SEARCH(Settings!$E$3,A1&amp;""))),AND(Settings!$G$4=TRUE,Settings!$I$4="Gray",ISNUMBER(SEARCH(Settings!$E$4,A1&amp;""))),AND(Settings!$G$5=TRUE,Settings!$I$5="Gray",ISNUMBER(SEARCH(Settings!$E$5,A1&amp;""))),AND(Settings!$G$6=TRUE,Settings!$I$6="Gray",ISNUMBER(SEARCH(Settings!$E$6,A1&amp;""))),AND(Settings!$G$7=TRUE,Settings!$I$7="Gray",ISNUMBER(SEARCH(Settings!$E$7,A1&amp;""))),AND(Settings!$G$8=TRUE,Settings!$I$8="Gray",ISNUMBER(SEARCH(Settings!$E$8,A1&amp;""))),AND(Settings!$G$9=TRUE,Settings!$I$9="Gray",ISNUMBER(SEARCH(Settings!$E$9,A1&amp;""))),AND(Settings!$G$10=TRUE,Settings!$I$10="Gray",ISNUMBER(SEARCH(Settings!$E$10,A1&amp;""))))</xm:f>
            <x14:dxf>
              <font>
                <b/>
                <i val="0"/>
                <color rgb="FFB7B7B7"/>
              </font>
            </x14:dxf>
          </x14:cfRule>
          <xm:sqref>A1:H75</xm:sqref>
        </x14:conditionalFormatting>
        <x14:conditionalFormatting xmlns:xm="http://schemas.microsoft.com/office/excel/2006/main">
          <x14:cfRule type="expression" priority="8" id="{475EA93C-6614-4D14-ADB1-157B2B3FA107}">
            <xm:f>OR(AND(Settings!$G$3=TRUE,Settings!$I$3="Brown",ISNUMBER(SEARCH(Settings!$E$3,A1&amp;""))),AND(Settings!$G$4=TRUE,Settings!$I$4="Brown",ISNUMBER(SEARCH(Settings!$E$4,A1&amp;""))),AND(Settings!$G$5=TRUE,Settings!$I$5="Brown",ISNUMBER(SEARCH(Settings!$E$5,A1&amp;""))),AND(Settings!$G$6=TRUE,Settings!$I$6="Brown",ISNUMBER(SEARCH(Settings!$E$6,A1&amp;""))),AND(Settings!$G$7=TRUE,Settings!$I$7="Brown",ISNUMBER(SEARCH(Settings!$E$7,A1&amp;""))),AND(Settings!$G$8=TRUE,Settings!$I$8="Brown",ISNUMBER(SEARCH(Settings!$E$8,A1&amp;""))),AND(Settings!$G$9=TRUE,Settings!$I$9="Brown",ISNUMBER(SEARCH(Settings!$E$9,A1&amp;""))),AND(Settings!$G$10=TRUE,Settings!$I$10="Brown",ISNUMBER(SEARCH(Settings!$E$10,A1&amp;""))))</xm:f>
            <x14:dxf>
              <font>
                <b/>
                <i val="0"/>
                <color rgb="FFD8A15B"/>
              </font>
            </x14:dxf>
          </x14:cfRule>
          <xm:sqref>A1:H75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6"/>
  <sheetViews>
    <sheetView showGridLines="0" tabSelected="1" topLeftCell="A3" workbookViewId="0">
      <selection activeCell="K15" sqref="K15"/>
    </sheetView>
  </sheetViews>
  <sheetFormatPr defaultRowHeight="15"/>
  <cols>
    <col min="1" max="1" width="12.5703125" customWidth="1"/>
    <col min="2" max="2" width="18" customWidth="1"/>
    <col min="3" max="3" width="21.28515625" hidden="1" customWidth="1"/>
    <col min="4" max="5" width="9.140625" style="18"/>
    <col min="6" max="6" width="12" bestFit="1" customWidth="1"/>
    <col min="7" max="10" width="16" customWidth="1"/>
    <col min="11" max="11" width="16" style="18" customWidth="1"/>
    <col min="12" max="13" width="16" customWidth="1"/>
    <col min="14" max="14" width="11.5703125" bestFit="1" customWidth="1"/>
    <col min="15" max="23" width="0" hidden="1" customWidth="1"/>
  </cols>
  <sheetData>
    <row r="1" spans="1:23">
      <c r="A1" s="214" t="s">
        <v>128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6"/>
      <c r="O1" s="18"/>
      <c r="P1" s="18"/>
      <c r="Q1" s="18"/>
      <c r="R1" s="18"/>
      <c r="S1" s="18"/>
      <c r="T1" s="18"/>
      <c r="U1" s="18"/>
      <c r="V1" s="18"/>
      <c r="W1" s="18"/>
    </row>
    <row r="3" spans="1:23">
      <c r="A3" s="18" t="s">
        <v>33</v>
      </c>
      <c r="B3" s="6">
        <f>Settings!$B$2</f>
        <v>1</v>
      </c>
      <c r="C3" s="54"/>
      <c r="F3" s="18" t="s">
        <v>12</v>
      </c>
      <c r="G3" s="6">
        <f>Settings!$B$3</f>
        <v>6</v>
      </c>
      <c r="H3" s="18"/>
      <c r="I3" s="18"/>
      <c r="J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spans="1:23">
      <c r="A4" s="18"/>
      <c r="B4" s="18"/>
      <c r="C4" s="55"/>
      <c r="F4" s="18"/>
      <c r="G4" s="18"/>
      <c r="H4" s="18"/>
      <c r="I4" s="18"/>
      <c r="J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5" spans="1:23">
      <c r="A5" s="3" t="s">
        <v>7</v>
      </c>
      <c r="B5" s="3" t="s">
        <v>129</v>
      </c>
      <c r="C5" s="18"/>
      <c r="F5" s="3" t="s">
        <v>95</v>
      </c>
      <c r="G5" s="3" t="s">
        <v>96</v>
      </c>
      <c r="H5" s="3" t="s">
        <v>130</v>
      </c>
      <c r="I5" s="3" t="s">
        <v>131</v>
      </c>
      <c r="J5" s="3" t="s">
        <v>132</v>
      </c>
      <c r="K5" s="3" t="s">
        <v>133</v>
      </c>
      <c r="L5" s="3" t="s">
        <v>134</v>
      </c>
      <c r="M5" s="3" t="s">
        <v>135</v>
      </c>
      <c r="N5" s="3" t="s">
        <v>136</v>
      </c>
      <c r="O5" s="18" t="s">
        <v>137</v>
      </c>
      <c r="P5" s="18" t="s">
        <v>138</v>
      </c>
      <c r="Q5" s="18" t="s">
        <v>139</v>
      </c>
      <c r="R5" s="18" t="s">
        <v>140</v>
      </c>
      <c r="S5" s="18" t="s">
        <v>141</v>
      </c>
      <c r="T5" s="18" t="s">
        <v>142</v>
      </c>
      <c r="U5" s="18" t="s">
        <v>143</v>
      </c>
      <c r="V5" s="18" t="s">
        <v>144</v>
      </c>
      <c r="W5" s="18" t="s">
        <v>145</v>
      </c>
    </row>
    <row r="6" spans="1:23">
      <c r="A6" s="4">
        <f>IF(1&lt;=$G$3,1,"")</f>
        <v>1</v>
      </c>
      <c r="B6" s="189" t="str">
        <f>IF(1&lt;=$G$3,Settings!$K$3,"")</f>
        <v>May</v>
      </c>
      <c r="C6" s="18"/>
      <c r="F6" s="4" t="str">
        <f>IF(ROW()-5&gt;2*$G$3-1,"","G"&amp;(ROW()-5))</f>
        <v>G1</v>
      </c>
      <c r="G6" s="4" t="str" cm="1">
        <f t="array" ref="G6">IFERROR(INDEX(Lists!$L$2:$L$56,MATCH($G$3*100+(ROW()-5),Lists!$J$2:$J$56*100+Lists!$K$2:$K$56,0)),"")</f>
        <v>Winners R1-1</v>
      </c>
      <c r="H6" s="192" t="str" cm="1">
        <f t="array" aca="1" ref="H6" ca="1">_xlfn.LET(_xlpm.seq,ROW()-5,_xlpm.maxg,2*$G$3-1,_xlpm.src,IF(_xlpm.seq&gt;_xlpm.maxg,"",IFERROR(INDEX(Lists!$M$2:$M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Nick</v>
      </c>
      <c r="I6" s="193" t="str" cm="1">
        <f t="array" aca="1" ref="I6" ca="1">_xlfn.LET(_xlpm.seq,ROW()-5,_xlpm.maxg,2*$G$3-1,_xlpm.src,IF(_xlpm.seq&gt;_xlpm.maxg,"",IFERROR(INDEX(Lists!$N$2:$N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Donovan</v>
      </c>
      <c r="J6" s="91" t="s">
        <v>24</v>
      </c>
      <c r="K6" s="2" t="s">
        <v>42</v>
      </c>
      <c r="L6" s="121" t="str">
        <f ca="1">IF(G6="","",IF(G6="CG-2",IF(OR(H6="",I6=""),"",IF(J6&lt;&gt;"",J6,"")),IF(J6&lt;&gt;"",J6,"")))</f>
        <v>Nick</v>
      </c>
      <c r="M6" s="158" t="str">
        <f ca="1">IF(OR(L6="",H6="",I6=""),"",IF(L6=H6,I6,H6))</f>
        <v>Donovan</v>
      </c>
      <c r="N6" s="162" t="str">
        <f ca="1">IF(AND(L6&lt;&gt;"",H6&lt;&gt;"",I6&lt;&gt;""),"Yes","")</f>
        <v>Yes</v>
      </c>
      <c r="O6" s="18" t="str">
        <f>IF($J6="","",IFERROR(INDEX(Draft!$H$6:$N$14,1,MATCH($J6,Draft!$H$5:$N$5,0)),""))</f>
        <v>Daisy</v>
      </c>
      <c r="P6" s="18" t="str">
        <f>IF($J6="","",IFERROR(INDEX(Draft!$H$6:$N$14,2,MATCH($J6,Draft!$H$5:$N$5,0)),""))</f>
        <v>Mii</v>
      </c>
      <c r="Q6" s="18" t="str">
        <f>IF($J6="","",IFERROR(INDEX(Draft!$H$6:$N$14,3,MATCH($J6,Draft!$H$5:$N$5,0)),""))</f>
        <v>Toadette</v>
      </c>
      <c r="R6" s="18" t="str">
        <f>IF($J6="","",IFERROR(INDEX(Draft!$H$6:$N$14,4,MATCH($J6,Draft!$H$5:$N$5,0)),""))</f>
        <v>Blue Toad</v>
      </c>
      <c r="S6" s="18" t="str">
        <f>IF($J6="","",IFERROR(INDEX(Draft!$H$6:$N$14,5,MATCH($J6,Draft!$H$5:$N$5,0)),""))</f>
        <v>Monty Mole</v>
      </c>
      <c r="T6" s="18" t="str">
        <f>IF($J6="","",IFERROR(INDEX(Draft!$H$6:$N$14,6,MATCH($J6,Draft!$H$5:$N$5,0)),""))</f>
        <v>Wario</v>
      </c>
      <c r="U6" s="18" t="str">
        <f>IF($J6="","",IFERROR(INDEX(Draft!$H$6:$N$14,7,MATCH($J6,Draft!$H$5:$N$5,0)),""))</f>
        <v>Wiggler</v>
      </c>
      <c r="V6" s="18" t="str">
        <f>IF($J6="","",IFERROR(INDEX(Draft!$H$6:$N$14,8,MATCH($J6,Draft!$H$5:$N$5,0)),""))</f>
        <v>Boomerang Bro</v>
      </c>
      <c r="W6" s="18" t="str">
        <f>IF($J6="","",IFERROR(INDEX(Draft!$H$6:$N$14,9,MATCH($J6,Draft!$H$5:$N$5,0)),""))</f>
        <v>Green Dry Bones</v>
      </c>
    </row>
    <row r="7" spans="1:23">
      <c r="A7" s="4">
        <f>IF(2&lt;=$G$3,2,"")</f>
        <v>2</v>
      </c>
      <c r="B7" s="190" t="str">
        <f>IF(2&lt;=$G$3,Settings!$K$4,"")</f>
        <v>Jason</v>
      </c>
      <c r="C7" s="18"/>
      <c r="F7" s="4" t="str">
        <f>IF(ROW()-5&gt;2*$G$3-1,"","G"&amp;(ROW()-5))</f>
        <v>G2</v>
      </c>
      <c r="G7" s="4" t="str" cm="1">
        <f t="array" ref="G7">IFERROR(INDEX(Lists!$L$2:$L$56,MATCH($G$3*100+(ROW()-5),Lists!$J$2:$J$56*100+Lists!$K$2:$K$56,0)),"")</f>
        <v>Winners R1-2</v>
      </c>
      <c r="H7" s="191" t="str" cm="1">
        <f t="array" aca="1" ref="H7" ca="1">_xlfn.LET(_xlpm.seq,ROW()-5,_xlpm.maxg,2*$G$3-1,_xlpm.src,IF(_xlpm.seq&gt;_xlpm.maxg,"",IFERROR(INDEX(Lists!$M$2:$M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Aidan</v>
      </c>
      <c r="I7" s="191" t="str" cm="1">
        <f t="array" aca="1" ref="I7" ca="1">_xlfn.LET(_xlpm.seq,ROW()-5,_xlpm.maxg,2*$G$3-1,_xlpm.src,IF(_xlpm.seq&gt;_xlpm.maxg,"",IFERROR(INDEX(Lists!$N$2:$N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Justin</v>
      </c>
      <c r="J7" s="94" t="s">
        <v>13</v>
      </c>
      <c r="K7" s="2" t="s">
        <v>80</v>
      </c>
      <c r="L7" s="122" t="str">
        <f ca="1">IF(G7="","",IF(G7="CG-2",IF(OR(H7="",I7=""),"",IF(J7&lt;&gt;"",J7,"")),IF(J7&lt;&gt;"",J7,"")))</f>
        <v>Aidan</v>
      </c>
      <c r="M7" s="159" t="str">
        <f ca="1">IF(OR(L7="",H7="",I7=""),"",IF(L7=H7,I7,H7))</f>
        <v>Justin</v>
      </c>
      <c r="N7" s="162" t="str">
        <f ca="1">IF(AND(L7&lt;&gt;"",H7&lt;&gt;"",I7&lt;&gt;""),"Yes","")</f>
        <v>Yes</v>
      </c>
      <c r="O7" s="18" t="str">
        <f>IF($J7="","",IFERROR(INDEX(Draft!$H$6:$N$14,1,MATCH($J7,Draft!$H$5:$N$5,0)),""))</f>
        <v>Mario</v>
      </c>
      <c r="P7" s="18" t="str">
        <f>IF($J7="","",IFERROR(INDEX(Draft!$H$6:$N$14,2,MATCH($J7,Draft!$H$5:$N$5,0)),""))</f>
        <v>Luigi</v>
      </c>
      <c r="Q7" s="18" t="str">
        <f>IF($J7="","",IFERROR(INDEX(Draft!$H$6:$N$14,3,MATCH($J7,Draft!$H$5:$N$5,0)),""))</f>
        <v>Dark Bones</v>
      </c>
      <c r="R7" s="18" t="str">
        <f>IF($J7="","",IFERROR(INDEX(Draft!$H$6:$N$14,4,MATCH($J7,Draft!$H$5:$N$5,0)),""))</f>
        <v>Pink Yoshi</v>
      </c>
      <c r="S7" s="18" t="str">
        <f>IF($J7="","",IFERROR(INDEX(Draft!$H$6:$N$14,5,MATCH($J7,Draft!$H$5:$N$5,0)),""))</f>
        <v>Red Magikoopa</v>
      </c>
      <c r="T7" s="18" t="str">
        <f>IF($J7="","",IFERROR(INDEX(Draft!$H$6:$N$14,6,MATCH($J7,Draft!$H$5:$N$5,0)),""))</f>
        <v>Blue Pianta</v>
      </c>
      <c r="U7" s="18" t="str">
        <f>IF($J7="","",IFERROR(INDEX(Draft!$H$6:$N$14,7,MATCH($J7,Draft!$H$5:$N$5,0)),""))</f>
        <v>Yellow Pianta</v>
      </c>
      <c r="V7" s="18" t="str">
        <f>IF($J7="","",IFERROR(INDEX(Draft!$H$6:$N$14,8,MATCH($J7,Draft!$H$5:$N$5,0)),""))</f>
        <v>Blue Kritter</v>
      </c>
      <c r="W7" s="18" t="str">
        <f>IF($J7="","",IFERROR(INDEX(Draft!$H$6:$N$14,9,MATCH($J7,Draft!$H$5:$N$5,0)),""))</f>
        <v>Blue Dry Bones</v>
      </c>
    </row>
    <row r="8" spans="1:23">
      <c r="A8" s="4">
        <f>IF(3&lt;=$G$3,3,"")</f>
        <v>3</v>
      </c>
      <c r="B8" s="191" t="str">
        <f>IF(3&lt;=$G$3,Settings!$K$5,"")</f>
        <v>Aidan</v>
      </c>
      <c r="C8" s="18"/>
      <c r="F8" s="4" t="str">
        <f>IF(ROW()-5&gt;2*$G$3-1,"","G"&amp;(ROW()-5))</f>
        <v>G3</v>
      </c>
      <c r="G8" s="4" t="str" cm="1">
        <f t="array" ref="G8">IFERROR(INDEX(Lists!$L$2:$L$56,MATCH($G$3*100+(ROW()-5),Lists!$J$2:$J$56*100+Lists!$K$2:$K$56,0)),"")</f>
        <v>Winners R2-1</v>
      </c>
      <c r="H8" s="189" t="str" cm="1">
        <f t="array" aca="1" ref="H8" ca="1">_xlfn.LET(_xlpm.seq,ROW()-5,_xlpm.maxg,2*$G$3-1,_xlpm.src,IF(_xlpm.seq&gt;_xlpm.maxg,"",IFERROR(INDEX(Lists!$M$2:$M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May</v>
      </c>
      <c r="I8" s="92" t="str" cm="1">
        <f t="array" aca="1" ref="I8" ca="1">_xlfn.LET(_xlpm.seq,ROW()-5,_xlpm.maxg,2*$G$3-1,_xlpm.src,IF(_xlpm.seq&gt;_xlpm.maxg,"",IFERROR(INDEX(Lists!$N$2:$N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Nick</v>
      </c>
      <c r="J8" s="87" t="s">
        <v>24</v>
      </c>
      <c r="K8" s="2" t="s">
        <v>42</v>
      </c>
      <c r="L8" s="120" t="str">
        <f ca="1">IF(G8="","",IF(G8="CG-2",IF(OR(H8="",I8=""),"",IF(J8&lt;&gt;"",J8,"")),IF(J8&lt;&gt;"",J8,"")))</f>
        <v>Nick</v>
      </c>
      <c r="M8" s="160" t="str">
        <f ca="1">IF(OR(L8="",H8="",I8=""),"",IF(L8=H8,I8,H8))</f>
        <v>May</v>
      </c>
      <c r="N8" s="162" t="str">
        <f ca="1">IF(AND(L8&lt;&gt;"",H8&lt;&gt;"",I8&lt;&gt;""),"Yes","")</f>
        <v>Yes</v>
      </c>
      <c r="O8" s="18" t="str">
        <f>IF($J8="","",IFERROR(INDEX(Draft!$H$6:$N$14,1,MATCH($J8,Draft!$H$5:$N$5,0)),""))</f>
        <v>Daisy</v>
      </c>
      <c r="P8" s="18" t="str">
        <f>IF($J8="","",IFERROR(INDEX(Draft!$H$6:$N$14,2,MATCH($J8,Draft!$H$5:$N$5,0)),""))</f>
        <v>Mii</v>
      </c>
      <c r="Q8" s="18" t="str">
        <f>IF($J8="","",IFERROR(INDEX(Draft!$H$6:$N$14,3,MATCH($J8,Draft!$H$5:$N$5,0)),""))</f>
        <v>Toadette</v>
      </c>
      <c r="R8" s="18" t="str">
        <f>IF($J8="","",IFERROR(INDEX(Draft!$H$6:$N$14,4,MATCH($J8,Draft!$H$5:$N$5,0)),""))</f>
        <v>Blue Toad</v>
      </c>
      <c r="S8" s="18" t="str">
        <f>IF($J8="","",IFERROR(INDEX(Draft!$H$6:$N$14,5,MATCH($J8,Draft!$H$5:$N$5,0)),""))</f>
        <v>Monty Mole</v>
      </c>
      <c r="T8" s="18" t="str">
        <f>IF($J8="","",IFERROR(INDEX(Draft!$H$6:$N$14,6,MATCH($J8,Draft!$H$5:$N$5,0)),""))</f>
        <v>Wario</v>
      </c>
      <c r="U8" s="18" t="str">
        <f>IF($J8="","",IFERROR(INDEX(Draft!$H$6:$N$14,7,MATCH($J8,Draft!$H$5:$N$5,0)),""))</f>
        <v>Wiggler</v>
      </c>
      <c r="V8" s="18" t="str">
        <f>IF($J8="","",IFERROR(INDEX(Draft!$H$6:$N$14,8,MATCH($J8,Draft!$H$5:$N$5,0)),""))</f>
        <v>Boomerang Bro</v>
      </c>
      <c r="W8" s="18" t="str">
        <f>IF($J8="","",IFERROR(INDEX(Draft!$H$6:$N$14,9,MATCH($J8,Draft!$H$5:$N$5,0)),""))</f>
        <v>Green Dry Bones</v>
      </c>
    </row>
    <row r="9" spans="1:23">
      <c r="A9" s="4">
        <f>IF(4&lt;=$G$3,4,"")</f>
        <v>4</v>
      </c>
      <c r="B9" s="192" t="str">
        <f>IF(4&lt;=$G$3,Settings!$K$6,"")</f>
        <v>Nick</v>
      </c>
      <c r="C9" s="18"/>
      <c r="F9" s="4" t="str">
        <f>IF(ROW()-5&gt;2*$G$3-1,"","G"&amp;(ROW()-5))</f>
        <v>G4</v>
      </c>
      <c r="G9" s="4" t="str" cm="1">
        <f t="array" ref="G9">IFERROR(INDEX(Lists!$L$2:$L$56,MATCH($G$3*100+(ROW()-5),Lists!$J$2:$J$56*100+Lists!$K$2:$K$56,0)),"")</f>
        <v>Winners R2-2</v>
      </c>
      <c r="H9" s="190" t="str" cm="1">
        <f t="array" aca="1" ref="H9" ca="1">_xlfn.LET(_xlpm.seq,ROW()-5,_xlpm.maxg,2*$G$3-1,_xlpm.src,IF(_xlpm.seq&gt;_xlpm.maxg,"",IFERROR(INDEX(Lists!$M$2:$M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Jason</v>
      </c>
      <c r="I9" s="95" t="str" cm="1">
        <f t="array" aca="1" ref="I9" ca="1">_xlfn.LET(_xlpm.seq,ROW()-5,_xlpm.maxg,2*$G$3-1,_xlpm.src,IF(_xlpm.seq&gt;_xlpm.maxg,"",IFERROR(INDEX(Lists!$N$2:$N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Aidan</v>
      </c>
      <c r="J9" s="2" t="s">
        <v>21</v>
      </c>
      <c r="K9" s="2" t="s">
        <v>47</v>
      </c>
      <c r="L9" s="6" t="str">
        <f ca="1">IF(G9="","",IF(G9="CG-2",IF(OR(H9="",I9=""),"",IF(J9&lt;&gt;"",J9,"")),IF(J9&lt;&gt;"",J9,"")))</f>
        <v>Jason</v>
      </c>
      <c r="M9" s="161" t="str">
        <f ca="1">IF(OR(L9="",H9="",I9=""),"",IF(L9=H9,I9,H9))</f>
        <v>Aidan</v>
      </c>
      <c r="N9" s="162" t="str">
        <f ca="1">IF(AND(L9&lt;&gt;"",H9&lt;&gt;"",I9&lt;&gt;""),"Yes","")</f>
        <v>Yes</v>
      </c>
      <c r="O9" s="18" t="str">
        <f>IF($J9="","",IFERROR(INDEX(Draft!$H$6:$N$14,1,MATCH($J9,Draft!$H$5:$N$5,0)),""))</f>
        <v>Bowser</v>
      </c>
      <c r="P9" s="18" t="str">
        <f>IF($J9="","",IFERROR(INDEX(Draft!$H$6:$N$14,2,MATCH($J9,Draft!$H$5:$N$5,0)),""))</f>
        <v>Peach</v>
      </c>
      <c r="Q9" s="18" t="str">
        <f>IF($J9="","",IFERROR(INDEX(Draft!$H$6:$N$14,3,MATCH($J9,Draft!$H$5:$N$5,0)),""))</f>
        <v>Yoshi</v>
      </c>
      <c r="R9" s="18" t="str">
        <f>IF($J9="","",IFERROR(INDEX(Draft!$H$6:$N$14,4,MATCH($J9,Draft!$H$5:$N$5,0)),""))</f>
        <v>King K. Rool</v>
      </c>
      <c r="S9" s="18" t="str">
        <f>IF($J9="","",IFERROR(INDEX(Draft!$H$6:$N$14,5,MATCH($J9,Draft!$H$5:$N$5,0)),""))</f>
        <v>Baby Daisy</v>
      </c>
      <c r="T9" s="18" t="str">
        <f>IF($J9="","",IFERROR(INDEX(Draft!$H$6:$N$14,6,MATCH($J9,Draft!$H$5:$N$5,0)),""))</f>
        <v>Baby Mario</v>
      </c>
      <c r="U9" s="18" t="str">
        <f>IF($J9="","",IFERROR(INDEX(Draft!$H$6:$N$14,7,MATCH($J9,Draft!$H$5:$N$5,0)),""))</f>
        <v>Brown Kritter</v>
      </c>
      <c r="V9" s="18" t="str">
        <f>IF($J9="","",IFERROR(INDEX(Draft!$H$6:$N$14,8,MATCH($J9,Draft!$H$5:$N$5,0)),""))</f>
        <v>Blooper</v>
      </c>
      <c r="W9" s="18" t="str">
        <f>IF($J9="","",IFERROR(INDEX(Draft!$H$6:$N$14,9,MATCH($J9,Draft!$H$5:$N$5,0)),""))</f>
        <v>Yellow Toad</v>
      </c>
    </row>
    <row r="10" spans="1:23">
      <c r="A10" s="4">
        <f>IF(5&lt;=$G$3,5,"")</f>
        <v>5</v>
      </c>
      <c r="B10" s="193" t="str">
        <f>IF(5&lt;=$G$3,Settings!$K$7,"")</f>
        <v>Donovan</v>
      </c>
      <c r="C10" s="18"/>
      <c r="F10" s="4" t="str">
        <f>IF(ROW()-5&gt;2*$G$3-1,"","G"&amp;(ROW()-5))</f>
        <v>G5</v>
      </c>
      <c r="G10" s="4" t="str" cm="1">
        <f t="array" ref="G10">IFERROR(INDEX(Lists!$L$2:$L$56,MATCH($G$3*100+(ROW()-5),Lists!$J$2:$J$56*100+Lists!$K$2:$K$56,0)),"")</f>
        <v>Losers R1-1</v>
      </c>
      <c r="H10" s="92" t="str" cm="1">
        <f t="array" aca="1" ref="H10" ca="1">_xlfn.LET(_xlpm.seq,ROW()-5,_xlpm.maxg,2*$G$3-1,_xlpm.src,IF(_xlpm.seq&gt;_xlpm.maxg,"",IFERROR(INDEX(Lists!$M$2:$M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May</v>
      </c>
      <c r="I10" s="90" t="str" cm="1">
        <f t="array" aca="1" ref="I10" ca="1">_xlfn.LET(_xlpm.seq,ROW()-5,_xlpm.maxg,2*$G$3-1,_xlpm.src,IF(_xlpm.seq&gt;_xlpm.maxg,"",IFERROR(INDEX(Lists!$N$2:$N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Justin</v>
      </c>
      <c r="J10" s="2" t="s">
        <v>15</v>
      </c>
      <c r="K10" s="2" t="s">
        <v>82</v>
      </c>
      <c r="L10" s="6" t="str">
        <f ca="1">IF(G10="","",IF(G10="CG-2",IF(OR(H10="",I10=""),"",IF(J10&lt;&gt;"",J10,"")),IF(J10&lt;&gt;"",J10,"")))</f>
        <v>May</v>
      </c>
      <c r="M10" s="161" t="str">
        <f ca="1">IF(OR(L10="",H10="",I10=""),"",IF(L10=H10,I10,H10))</f>
        <v>Justin</v>
      </c>
      <c r="N10" s="162" t="str">
        <f ca="1">IF(AND(L10&lt;&gt;"",H10&lt;&gt;"",I10&lt;&gt;""),"Yes","")</f>
        <v>Yes</v>
      </c>
      <c r="O10" s="18" t="str">
        <f ca="1">IF($J10="","",IFERROR(INDEX(Draft!$H$6:$N$14,1,MATCH($J10,Draft!$H$5:$N$5,0)),""))</f>
        <v>Birdo</v>
      </c>
      <c r="P10" s="18" t="str">
        <f ca="1">IF($J10="","",IFERROR(INDEX(Draft!$H$6:$N$14,2,MATCH($J10,Draft!$H$5:$N$5,0)),""))</f>
        <v>Petey Piranha</v>
      </c>
      <c r="Q10" s="18" t="str">
        <f ca="1">IF($J10="","",IFERROR(INDEX(Draft!$H$6:$N$14,3,MATCH($J10,Draft!$H$5:$N$5,0)),""))</f>
        <v>King Boo</v>
      </c>
      <c r="R10" s="18" t="str">
        <f ca="1">IF($J10="","",IFERROR(INDEX(Draft!$H$6:$N$14,4,MATCH($J10,Draft!$H$5:$N$5,0)),""))</f>
        <v>Red Kritter</v>
      </c>
      <c r="S10" s="18" t="str">
        <f ca="1">IF($J10="","",IFERROR(INDEX(Draft!$H$6:$N$14,5,MATCH($J10,Draft!$H$5:$N$5,0)),""))</f>
        <v>Red Yoshi</v>
      </c>
      <c r="T10" s="18" t="str">
        <f ca="1">IF($J10="","",IFERROR(INDEX(Draft!$H$6:$N$14,6,MATCH($J10,Draft!$H$5:$N$5,0)),""))</f>
        <v>Baby Peach</v>
      </c>
      <c r="U10" s="18" t="str">
        <f ca="1">IF($J10="","",IFERROR(INDEX(Draft!$H$6:$N$14,7,MATCH($J10,Draft!$H$5:$N$5,0)),""))</f>
        <v>Hammer Bro</v>
      </c>
      <c r="V10" s="18" t="str">
        <f ca="1">IF($J10="","",IFERROR(INDEX(Draft!$H$6:$N$14,8,MATCH($J10,Draft!$H$5:$N$5,0)),""))</f>
        <v>Green Shy Guy</v>
      </c>
      <c r="W10" s="18" t="str">
        <f ca="1">IF($J10="","",IFERROR(INDEX(Draft!$H$6:$N$14,9,MATCH($J10,Draft!$H$5:$N$5,0)),""))</f>
        <v>Koopa</v>
      </c>
    </row>
    <row r="11" spans="1:23">
      <c r="A11" s="4">
        <f>IF(6&lt;=$G$3,6,"")</f>
        <v>6</v>
      </c>
      <c r="B11" s="191" t="str">
        <f>IF(6&lt;=$G$3,Settings!$K$8,"")</f>
        <v>Justin</v>
      </c>
      <c r="C11" s="18"/>
      <c r="F11" s="4" t="str">
        <f>IF(ROW()-5&gt;2*$G$3-1,"","G"&amp;(ROW()-5))</f>
        <v>G6</v>
      </c>
      <c r="G11" s="4" t="str" cm="1">
        <f t="array" ref="G11">IFERROR(INDEX(Lists!$L$2:$L$56,MATCH($G$3*100+(ROW()-5),Lists!$J$2:$J$56*100+Lists!$K$2:$K$56,0)),"")</f>
        <v>Losers R1-2</v>
      </c>
      <c r="H11" s="5" t="str" cm="1">
        <f t="array" aca="1" ref="H11" ca="1">_xlfn.LET(_xlpm.seq,ROW()-5,_xlpm.maxg,2*$G$3-1,_xlpm.src,IF(_xlpm.seq&gt;_xlpm.maxg,"",IFERROR(INDEX(Lists!$M$2:$M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Aidan</v>
      </c>
      <c r="I11" s="93" t="str" cm="1">
        <f t="array" aca="1" ref="I11" ca="1">_xlfn.LET(_xlpm.seq,ROW()-5,_xlpm.maxg,2*$G$3-1,_xlpm.src,IF(_xlpm.seq&gt;_xlpm.maxg,"",IFERROR(INDEX(Lists!$N$2:$N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Donovan</v>
      </c>
      <c r="J11" s="2" t="s">
        <v>19</v>
      </c>
      <c r="K11" s="2" t="s">
        <v>87</v>
      </c>
      <c r="L11" s="6" t="str">
        <f ca="1">IF(G11="","",IF(G11="CG-2",IF(OR(H11="",I11=""),"",IF(J11&lt;&gt;"",J11,"")),IF(J11&lt;&gt;"",J11,"")))</f>
        <v>Donovan</v>
      </c>
      <c r="M11" s="161" t="str">
        <f ca="1">IF(OR(L11="",H11="",I11=""),"",IF(L11=H11,I11,H11))</f>
        <v>Aidan</v>
      </c>
      <c r="N11" s="162" t="str">
        <f ca="1">IF(AND(L11&lt;&gt;"",H11&lt;&gt;"",I11&lt;&gt;""),"Yes","")</f>
        <v>Yes</v>
      </c>
      <c r="O11" s="18" t="str">
        <f ca="1">IF($J11="","",IFERROR(INDEX(Draft!$H$6:$N$14,1,MATCH($J11,Draft!$H$5:$N$5,0)),""))</f>
        <v>Donkey Kong</v>
      </c>
      <c r="P11" s="18" t="str">
        <f ca="1">IF($J11="","",IFERROR(INDEX(Draft!$H$6:$N$14,2,MATCH($J11,Draft!$H$5:$N$5,0)),""))</f>
        <v>Waluigi</v>
      </c>
      <c r="Q11" s="18" t="str">
        <f ca="1">IF($J11="","",IFERROR(INDEX(Draft!$H$6:$N$14,3,MATCH($J11,Draft!$H$5:$N$5,0)),""))</f>
        <v>Diddy Kong</v>
      </c>
      <c r="R11" s="18" t="str">
        <f ca="1">IF($J11="","",IFERROR(INDEX(Draft!$H$6:$N$14,4,MATCH($J11,Draft!$H$5:$N$5,0)),""))</f>
        <v>Baby DK</v>
      </c>
      <c r="S11" s="18" t="str">
        <f ca="1">IF($J11="","",IFERROR(INDEX(Draft!$H$6:$N$14,5,MATCH($J11,Draft!$H$5:$N$5,0)),""))</f>
        <v>Dixie Kong</v>
      </c>
      <c r="T11" s="18" t="str">
        <f ca="1">IF($J11="","",IFERROR(INDEX(Draft!$H$6:$N$14,6,MATCH($J11,Draft!$H$5:$N$5,0)),""))</f>
        <v>Fire Bro</v>
      </c>
      <c r="U11" s="18" t="str">
        <f ca="1">IF($J11="","",IFERROR(INDEX(Draft!$H$6:$N$14,7,MATCH($J11,Draft!$H$5:$N$5,0)),""))</f>
        <v>Tiny Kong</v>
      </c>
      <c r="V11" s="18" t="str">
        <f ca="1">IF($J11="","",IFERROR(INDEX(Draft!$H$6:$N$14,8,MATCH($J11,Draft!$H$5:$N$5,0)),""))</f>
        <v>Dry Bones</v>
      </c>
      <c r="W11" s="18" t="str">
        <f ca="1">IF($J11="","",IFERROR(INDEX(Draft!$H$6:$N$14,9,MATCH($J11,Draft!$H$5:$N$5,0)),""))</f>
        <v>Paragoomba</v>
      </c>
    </row>
    <row r="12" spans="1:23" s="18" customFormat="1">
      <c r="A12" s="4"/>
      <c r="B12" s="5"/>
      <c r="F12" s="4" t="str">
        <f>IF(ROW()-5&gt;2*$G$3-1,"","G"&amp;(ROW()-5))</f>
        <v>G7</v>
      </c>
      <c r="G12" s="4" t="str" cm="1">
        <f t="array" ref="G12">IFERROR(INDEX(Lists!$L$2:$L$56,MATCH($G$3*100+(ROW()-5),Lists!$J$2:$J$56*100+Lists!$K$2:$K$56,0)),"")</f>
        <v>Losers R2-1</v>
      </c>
      <c r="H12" s="5" t="str" cm="1">
        <f t="array" aca="1" ref="H12" ca="1">_xlfn.LET(_xlpm.seq,ROW()-5,_xlpm.maxg,2*$G$3-1,_xlpm.src,IF(_xlpm.seq&gt;_xlpm.maxg,"",IFERROR(INDEX(Lists!$M$2:$M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May</v>
      </c>
      <c r="I12" s="5" t="str" cm="1">
        <f t="array" aca="1" ref="I12" ca="1">_xlfn.LET(_xlpm.seq,ROW()-5,_xlpm.maxg,2*$G$3-1,_xlpm.src,IF(_xlpm.seq&gt;_xlpm.maxg,"",IFERROR(INDEX(Lists!$N$2:$N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Donovan</v>
      </c>
      <c r="J12" s="2" t="s">
        <v>15</v>
      </c>
      <c r="K12" s="2" t="s">
        <v>58</v>
      </c>
      <c r="L12" s="6" t="str">
        <f ca="1">IF(G12="","",IF(G12="CG-2",IF(OR(H12="",I12=""),"",IF(J12&lt;&gt;"",J12,"")),IF(J12&lt;&gt;"",J12,"")))</f>
        <v>May</v>
      </c>
      <c r="M12" s="161" t="str">
        <f ca="1">IF(OR(L12="",H12="",I12=""),"",IF(L12=H12,I12,H12))</f>
        <v>Donovan</v>
      </c>
      <c r="N12" s="162" t="str">
        <f ca="1">IF(AND(L12&lt;&gt;"",H12&lt;&gt;"",I12&lt;&gt;""),"Yes","")</f>
        <v>Yes</v>
      </c>
      <c r="O12" s="18" t="str">
        <f ca="1">IF($J12="","",IFERROR(INDEX(Draft!$H$6:$N$14,1,MATCH($J12,Draft!$H$5:$N$5,0)),""))</f>
        <v>Birdo</v>
      </c>
      <c r="P12" s="18" t="str">
        <f ca="1">IF($J12="","",IFERROR(INDEX(Draft!$H$6:$N$14,2,MATCH($J12,Draft!$H$5:$N$5,0)),""))</f>
        <v>Petey Piranha</v>
      </c>
      <c r="Q12" s="18" t="str">
        <f ca="1">IF($J12="","",IFERROR(INDEX(Draft!$H$6:$N$14,3,MATCH($J12,Draft!$H$5:$N$5,0)),""))</f>
        <v>King Boo</v>
      </c>
      <c r="R12" s="18" t="str">
        <f ca="1">IF($J12="","",IFERROR(INDEX(Draft!$H$6:$N$14,4,MATCH($J12,Draft!$H$5:$N$5,0)),""))</f>
        <v>Red Kritter</v>
      </c>
      <c r="S12" s="18" t="str">
        <f ca="1">IF($J12="","",IFERROR(INDEX(Draft!$H$6:$N$14,5,MATCH($J12,Draft!$H$5:$N$5,0)),""))</f>
        <v>Red Yoshi</v>
      </c>
      <c r="T12" s="18" t="str">
        <f ca="1">IF($J12="","",IFERROR(INDEX(Draft!$H$6:$N$14,6,MATCH($J12,Draft!$H$5:$N$5,0)),""))</f>
        <v>Baby Peach</v>
      </c>
      <c r="U12" s="18" t="str">
        <f ca="1">IF($J12="","",IFERROR(INDEX(Draft!$H$6:$N$14,7,MATCH($J12,Draft!$H$5:$N$5,0)),""))</f>
        <v>Hammer Bro</v>
      </c>
      <c r="V12" s="18" t="str">
        <f ca="1">IF($J12="","",IFERROR(INDEX(Draft!$H$6:$N$14,8,MATCH($J12,Draft!$H$5:$N$5,0)),""))</f>
        <v>Green Shy Guy</v>
      </c>
      <c r="W12" s="18" t="str">
        <f ca="1">IF($J12="","",IFERROR(INDEX(Draft!$H$6:$N$14,9,MATCH($J12,Draft!$H$5:$N$5,0)),""))</f>
        <v>Koopa</v>
      </c>
    </row>
    <row r="13" spans="1:23">
      <c r="A13" s="4" t="str">
        <f>IF(7&lt;=$G$3,7,"")</f>
        <v/>
      </c>
      <c r="B13" s="5" t="str">
        <f>IF(7&lt;=$G$3,Settings!$K$9,"")</f>
        <v/>
      </c>
      <c r="C13" s="18"/>
      <c r="F13" s="4" t="str">
        <f>IF(ROW()-5&gt;2*$G$3-1,"","G"&amp;(ROW()-5))</f>
        <v>G8</v>
      </c>
      <c r="G13" s="4" t="str" cm="1">
        <f t="array" ref="G13">IFERROR(INDEX(Lists!$L$2:$L$56,MATCH($G$3*100+(ROW()-5),Lists!$J$2:$J$56*100+Lists!$K$2:$K$56,0)),"")</f>
        <v>Winners Final</v>
      </c>
      <c r="H13" s="88" t="str" cm="1">
        <f t="array" aca="1" ref="H13" ca="1">_xlfn.LET(_xlpm.seq,ROW()-5,_xlpm.maxg,2*$G$3-1,_xlpm.src,IF(_xlpm.seq&gt;_xlpm.maxg,"",IFERROR(INDEX(Lists!$M$2:$M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Nick</v>
      </c>
      <c r="I13" s="5" t="str" cm="1">
        <f t="array" aca="1" ref="I13" ca="1">_xlfn.LET(_xlpm.seq,ROW()-5,_xlpm.maxg,2*$G$3-1,_xlpm.src,IF(_xlpm.seq&gt;_xlpm.maxg,"",IFERROR(INDEX(Lists!$N$2:$N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Jason</v>
      </c>
      <c r="J13" s="2" t="s">
        <v>24</v>
      </c>
      <c r="K13" s="2" t="s">
        <v>42</v>
      </c>
      <c r="L13" s="6" t="str">
        <f ca="1">IF(G13="","",IF(G13="CG-2",IF(OR(H13="",I13=""),"",IF(J13&lt;&gt;"",J13,"")),IF(J13&lt;&gt;"",J13,"")))</f>
        <v>Nick</v>
      </c>
      <c r="M13" s="161" t="str">
        <f ca="1">IF(OR(L13="",H13="",I13=""),"",IF(L13=H13,I13,H13))</f>
        <v>Jason</v>
      </c>
      <c r="N13" s="162" t="str">
        <f ca="1">IF(AND(L13&lt;&gt;"",H13&lt;&gt;"",I13&lt;&gt;""),"Yes","")</f>
        <v>Yes</v>
      </c>
      <c r="O13" s="18" t="str">
        <f ca="1">IF($J13="","",IFERROR(INDEX(Draft!$H$6:$N$14,1,MATCH($J13,Draft!$H$5:$N$5,0)),""))</f>
        <v>Daisy</v>
      </c>
      <c r="P13" s="18" t="str">
        <f ca="1">IF($J13="","",IFERROR(INDEX(Draft!$H$6:$N$14,2,MATCH($J13,Draft!$H$5:$N$5,0)),""))</f>
        <v>Mii</v>
      </c>
      <c r="Q13" s="18" t="str">
        <f ca="1">IF($J13="","",IFERROR(INDEX(Draft!$H$6:$N$14,3,MATCH($J13,Draft!$H$5:$N$5,0)),""))</f>
        <v>Toadette</v>
      </c>
      <c r="R13" s="18" t="str">
        <f ca="1">IF($J13="","",IFERROR(INDEX(Draft!$H$6:$N$14,4,MATCH($J13,Draft!$H$5:$N$5,0)),""))</f>
        <v>Blue Toad</v>
      </c>
      <c r="S13" s="18" t="str">
        <f ca="1">IF($J13="","",IFERROR(INDEX(Draft!$H$6:$N$14,5,MATCH($J13,Draft!$H$5:$N$5,0)),""))</f>
        <v>Monty Mole</v>
      </c>
      <c r="T13" s="18" t="str">
        <f ca="1">IF($J13="","",IFERROR(INDEX(Draft!$H$6:$N$14,6,MATCH($J13,Draft!$H$5:$N$5,0)),""))</f>
        <v>Wario</v>
      </c>
      <c r="U13" s="18" t="str">
        <f ca="1">IF($J13="","",IFERROR(INDEX(Draft!$H$6:$N$14,7,MATCH($J13,Draft!$H$5:$N$5,0)),""))</f>
        <v>Wiggler</v>
      </c>
      <c r="V13" s="18" t="str">
        <f ca="1">IF($J13="","",IFERROR(INDEX(Draft!$H$6:$N$14,8,MATCH($J13,Draft!$H$5:$N$5,0)),""))</f>
        <v>Boomerang Bro</v>
      </c>
      <c r="W13" s="18" t="str">
        <f ca="1">IF($J13="","",IFERROR(INDEX(Draft!$H$6:$N$14,9,MATCH($J13,Draft!$H$5:$N$5,0)),""))</f>
        <v>Green Dry Bones</v>
      </c>
    </row>
    <row r="14" spans="1:23">
      <c r="A14" s="4" t="str">
        <f>IF(8&lt;=$G$3,8,"")</f>
        <v/>
      </c>
      <c r="B14" s="5" t="str">
        <f>IF(8&lt;=$G$3,Settings!$K$10,"")</f>
        <v/>
      </c>
      <c r="C14" s="18"/>
      <c r="F14" s="4" t="str">
        <f>IF(ROW()-5&gt;2*$G$3-1,"","G"&amp;(ROW()-5))</f>
        <v>G9</v>
      </c>
      <c r="G14" s="4" t="str" cm="1">
        <f t="array" ref="G14">IFERROR(INDEX(Lists!$L$2:$L$56,MATCH($G$3*100+(ROW()-5),Lists!$J$2:$J$56*100+Lists!$K$2:$K$56,0)),"")</f>
        <v>Losers Final</v>
      </c>
      <c r="H14" s="5" t="str" cm="1">
        <f t="array" aca="1" ref="H14" ca="1">_xlfn.LET(_xlpm.seq,ROW()-5,_xlpm.maxg,2*$G$3-1,_xlpm.src,IF(_xlpm.seq&gt;_xlpm.maxg,"",IFERROR(INDEX(Lists!$M$2:$M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Jason</v>
      </c>
      <c r="I14" s="5" t="str" cm="1">
        <f t="array" aca="1" ref="I14" ca="1">_xlfn.LET(_xlpm.seq,ROW()-5,_xlpm.maxg,2*$G$3-1,_xlpm.src,IF(_xlpm.seq&gt;_xlpm.maxg,"",IFERROR(INDEX(Lists!$N$2:$N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May</v>
      </c>
      <c r="J14" s="2" t="s">
        <v>21</v>
      </c>
      <c r="K14" s="2" t="s">
        <v>47</v>
      </c>
      <c r="L14" s="6" t="str">
        <f ca="1">IF(G14="","",IF(G14="CG-2",IF(OR(H14="",I14=""),"",IF(J14&lt;&gt;"",J14,"")),IF(J14&lt;&gt;"",J14,"")))</f>
        <v>Jason</v>
      </c>
      <c r="M14" s="161" t="str">
        <f ca="1">IF(OR(L14="",H14="",I14=""),"",IF(L14=H14,I14,H14))</f>
        <v>May</v>
      </c>
      <c r="N14" s="162" t="str">
        <f ca="1">IF(AND(L14&lt;&gt;"",H14&lt;&gt;"",I14&lt;&gt;""),"Yes","")</f>
        <v>Yes</v>
      </c>
      <c r="O14" s="18" t="str">
        <f ca="1">IF($J14="","",IFERROR(INDEX(Draft!$H$6:$N$14,1,MATCH($J14,Draft!$H$5:$N$5,0)),""))</f>
        <v>Bowser</v>
      </c>
      <c r="P14" s="18" t="str">
        <f ca="1">IF($J14="","",IFERROR(INDEX(Draft!$H$6:$N$14,2,MATCH($J14,Draft!$H$5:$N$5,0)),""))</f>
        <v>Peach</v>
      </c>
      <c r="Q14" s="18" t="str">
        <f ca="1">IF($J14="","",IFERROR(INDEX(Draft!$H$6:$N$14,3,MATCH($J14,Draft!$H$5:$N$5,0)),""))</f>
        <v>Yoshi</v>
      </c>
      <c r="R14" s="18" t="str">
        <f ca="1">IF($J14="","",IFERROR(INDEX(Draft!$H$6:$N$14,4,MATCH($J14,Draft!$H$5:$N$5,0)),""))</f>
        <v>King K. Rool</v>
      </c>
      <c r="S14" s="18" t="str">
        <f ca="1">IF($J14="","",IFERROR(INDEX(Draft!$H$6:$N$14,5,MATCH($J14,Draft!$H$5:$N$5,0)),""))</f>
        <v>Baby Daisy</v>
      </c>
      <c r="T14" s="18" t="str">
        <f ca="1">IF($J14="","",IFERROR(INDEX(Draft!$H$6:$N$14,6,MATCH($J14,Draft!$H$5:$N$5,0)),""))</f>
        <v>Baby Mario</v>
      </c>
      <c r="U14" s="18" t="str">
        <f ca="1">IF($J14="","",IFERROR(INDEX(Draft!$H$6:$N$14,7,MATCH($J14,Draft!$H$5:$N$5,0)),""))</f>
        <v>Brown Kritter</v>
      </c>
      <c r="V14" s="18" t="str">
        <f ca="1">IF($J14="","",IFERROR(INDEX(Draft!$H$6:$N$14,8,MATCH($J14,Draft!$H$5:$N$5,0)),""))</f>
        <v>Blooper</v>
      </c>
      <c r="W14" s="18" t="str">
        <f ca="1">IF($J14="","",IFERROR(INDEX(Draft!$H$6:$N$14,9,MATCH($J14,Draft!$H$5:$N$5,0)),""))</f>
        <v>Yellow Toad</v>
      </c>
    </row>
    <row r="15" spans="1:23" collapsed="1">
      <c r="A15" s="18"/>
      <c r="B15" s="18"/>
      <c r="C15" s="18"/>
      <c r="F15" s="4" t="str">
        <f>IF(ROW()-5&gt;2*$G$3-1,"","G"&amp;(ROW()-5))</f>
        <v>G10</v>
      </c>
      <c r="G15" s="4" t="str" cm="1">
        <f t="array" ref="G15">IFERROR(INDEX(Lists!$L$2:$L$56,MATCH($G$3*100+(ROW()-5),Lists!$J$2:$J$56*100+Lists!$K$2:$K$56,0)),"")</f>
        <v>CG-1</v>
      </c>
      <c r="H15" s="5" t="str" cm="1">
        <f t="array" aca="1" ref="H15" ca="1">_xlfn.LET(_xlpm.seq,ROW()-5,_xlpm.maxg,2*$G$3-1,_xlpm.src,IF(_xlpm.seq&gt;_xlpm.maxg,"",IFERROR(INDEX(Lists!$M$2:$M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Nick</v>
      </c>
      <c r="I15" s="5" t="str" cm="1">
        <f t="array" aca="1" ref="I15" ca="1">_xlfn.LET(_xlpm.seq,ROW()-5,_xlpm.maxg,2*$G$3-1,_xlpm.src,IF(_xlpm.seq&gt;_xlpm.maxg,"",IFERROR(INDEX(Lists!$N$2:$N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Jason</v>
      </c>
      <c r="J15" s="2" t="s">
        <v>21</v>
      </c>
      <c r="K15" s="2" t="s">
        <v>44</v>
      </c>
      <c r="L15" s="6" t="str">
        <f ca="1">IF(G15="","",IF(G15="CG-2",IF(OR(H15="",I15=""),"",IF(J15&lt;&gt;"",J15,"")),IF(J15&lt;&gt;"",J15,"")))</f>
        <v>Jason</v>
      </c>
      <c r="M15" s="161" t="str">
        <f ca="1">IF(OR(L15="",H15="",I15=""),"",IF(L15=H15,I15,H15))</f>
        <v>Nick</v>
      </c>
      <c r="N15" s="162" t="str">
        <f ca="1">IF(AND(L15&lt;&gt;"",H15&lt;&gt;"",I15&lt;&gt;""),"Yes","")</f>
        <v>Yes</v>
      </c>
      <c r="O15" s="18" t="str">
        <f ca="1">IF($J15="","",IFERROR(INDEX(Draft!$H$6:$N$14,1,MATCH($J15,Draft!$H$5:$N$5,0)),""))</f>
        <v>Bowser</v>
      </c>
      <c r="P15" s="18" t="str">
        <f ca="1">IF($J15="","",IFERROR(INDEX(Draft!$H$6:$N$14,2,MATCH($J15,Draft!$H$5:$N$5,0)),""))</f>
        <v>Peach</v>
      </c>
      <c r="Q15" s="18" t="str">
        <f ca="1">IF($J15="","",IFERROR(INDEX(Draft!$H$6:$N$14,3,MATCH($J15,Draft!$H$5:$N$5,0)),""))</f>
        <v>Yoshi</v>
      </c>
      <c r="R15" s="18" t="str">
        <f ca="1">IF($J15="","",IFERROR(INDEX(Draft!$H$6:$N$14,4,MATCH($J15,Draft!$H$5:$N$5,0)),""))</f>
        <v>King K. Rool</v>
      </c>
      <c r="S15" s="18" t="str">
        <f ca="1">IF($J15="","",IFERROR(INDEX(Draft!$H$6:$N$14,5,MATCH($J15,Draft!$H$5:$N$5,0)),""))</f>
        <v>Baby Daisy</v>
      </c>
      <c r="T15" s="18" t="str">
        <f ca="1">IF($J15="","",IFERROR(INDEX(Draft!$H$6:$N$14,6,MATCH($J15,Draft!$H$5:$N$5,0)),""))</f>
        <v>Baby Mario</v>
      </c>
      <c r="U15" s="18" t="str">
        <f ca="1">IF($J15="","",IFERROR(INDEX(Draft!$H$6:$N$14,7,MATCH($J15,Draft!$H$5:$N$5,0)),""))</f>
        <v>Brown Kritter</v>
      </c>
      <c r="V15" s="18" t="str">
        <f ca="1">IF($J15="","",IFERROR(INDEX(Draft!$H$6:$N$14,8,MATCH($J15,Draft!$H$5:$N$5,0)),""))</f>
        <v>Blooper</v>
      </c>
      <c r="W15" s="18" t="str">
        <f ca="1">IF($J15="","",IFERROR(INDEX(Draft!$H$6:$N$14,9,MATCH($J15,Draft!$H$5:$N$5,0)),""))</f>
        <v>Yellow Toad</v>
      </c>
    </row>
    <row r="16" spans="1:23">
      <c r="A16" s="18"/>
      <c r="B16" s="18"/>
      <c r="C16" s="18"/>
      <c r="F16" s="4" t="str">
        <f>IF(ROW()-5&gt;2*$G$3-1,"","G"&amp;(ROW()-5))</f>
        <v>G11</v>
      </c>
      <c r="G16" s="4" t="str" cm="1">
        <f t="array" ref="G16">IFERROR(INDEX(Lists!$L$2:$L$56,MATCH($G$3*100+(ROW()-5),Lists!$J$2:$J$56*100+Lists!$K$2:$K$56,0)),"")</f>
        <v>CG-2</v>
      </c>
      <c r="H16" s="5" t="str" cm="1">
        <f t="array" aca="1" ref="H16" ca="1">_xlfn.LET(_xlpm.seq,ROW()-5,_xlpm.maxg,2*$G$3-1,_xlpm.src,IF(_xlpm.seq&gt;_xlpm.maxg,"",IFERROR(INDEX(Lists!$M$2:$M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Nick</v>
      </c>
      <c r="I16" s="5" t="str" cm="1">
        <f t="array" aca="1" ref="I16" ca="1">_xlfn.LET(_xlpm.seq,ROW()-5,_xlpm.maxg,2*$G$3-1,_xlpm.src,IF(_xlpm.seq&gt;_xlpm.maxg,"",IFERROR(INDEX(Lists!$N$2:$N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>Jason</v>
      </c>
      <c r="J16" s="2"/>
      <c r="K16" s="2"/>
      <c r="L16" s="6" t="str">
        <f ca="1">IF(G16="","",IF(G16="CG-2",IF(OR(H16="",I16=""),"",IF(J16&lt;&gt;"",J16,"")),IF(J16&lt;&gt;"",J16,"")))</f>
        <v/>
      </c>
      <c r="M16" s="161" t="str">
        <f ca="1">IF(OR(L16="",H16="",I16=""),"",IF(L16=H16,I16,H16))</f>
        <v/>
      </c>
      <c r="N16" s="162" t="str">
        <f ca="1">IF(AND(L16&lt;&gt;"",H16&lt;&gt;"",I16&lt;&gt;""),"Yes","")</f>
        <v/>
      </c>
      <c r="O16" s="18" t="str">
        <f>IF($J16="","",IFERROR(INDEX(Draft!$H$6:$N$14,1,MATCH($J16,Draft!$H$5:$N$5,0)),""))</f>
        <v/>
      </c>
      <c r="P16" s="18" t="str">
        <f>IF($J16="","",IFERROR(INDEX(Draft!$H$6:$N$14,2,MATCH($J16,Draft!$H$5:$N$5,0)),""))</f>
        <v/>
      </c>
      <c r="Q16" s="18" t="str">
        <f>IF($J16="","",IFERROR(INDEX(Draft!$H$6:$N$14,3,MATCH($J16,Draft!$H$5:$N$5,0)),""))</f>
        <v/>
      </c>
      <c r="R16" s="18" t="str">
        <f>IF($J16="","",IFERROR(INDEX(Draft!$H$6:$N$14,4,MATCH($J16,Draft!$H$5:$N$5,0)),""))</f>
        <v/>
      </c>
      <c r="S16" s="18" t="str">
        <f>IF($J16="","",IFERROR(INDEX(Draft!$H$6:$N$14,5,MATCH($J16,Draft!$H$5:$N$5,0)),""))</f>
        <v/>
      </c>
      <c r="T16" s="18" t="str">
        <f>IF($J16="","",IFERROR(INDEX(Draft!$H$6:$N$14,6,MATCH($J16,Draft!$H$5:$N$5,0)),""))</f>
        <v/>
      </c>
      <c r="U16" s="18" t="str">
        <f>IF($J16="","",IFERROR(INDEX(Draft!$H$6:$N$14,7,MATCH($J16,Draft!$H$5:$N$5,0)),""))</f>
        <v/>
      </c>
      <c r="V16" s="18" t="str">
        <f>IF($J16="","",IFERROR(INDEX(Draft!$H$6:$N$14,8,MATCH($J16,Draft!$H$5:$N$5,0)),""))</f>
        <v/>
      </c>
      <c r="W16" s="18" t="str">
        <f>IF($J16="","",IFERROR(INDEX(Draft!$H$6:$N$14,9,MATCH($J16,Draft!$H$5:$N$5,0)),""))</f>
        <v/>
      </c>
    </row>
    <row r="17" spans="1:23">
      <c r="A17" s="26" t="s">
        <v>146</v>
      </c>
      <c r="B17" s="27" t="s">
        <v>129</v>
      </c>
      <c r="C17" s="28" t="s">
        <v>147</v>
      </c>
      <c r="F17" s="4" t="str">
        <f>IF(ROW()-5&gt;2*$G$3-1,"","G"&amp;(ROW()-5))</f>
        <v/>
      </c>
      <c r="G17" s="4" t="str" cm="1">
        <f t="array" ref="G17">IFERROR(INDEX(Lists!$L$2:$L$56,MATCH($G$3*100+(ROW()-5),Lists!$J$2:$J$56*100+Lists!$K$2:$K$56,0)),"")</f>
        <v/>
      </c>
      <c r="H17" s="5" t="str" cm="1">
        <f t="array" aca="1" ref="H17" ca="1">_xlfn.LET(_xlpm.seq,ROW()-5,_xlpm.maxg,2*$G$3-1,_xlpm.src,IF(_xlpm.seq&gt;_xlpm.maxg,"",IFERROR(INDEX(Lists!$M$2:$M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/>
      </c>
      <c r="I17" s="5" t="str" cm="1">
        <f t="array" aca="1" ref="I17" ca="1">_xlfn.LET(_xlpm.seq,ROW()-5,_xlpm.maxg,2*$G$3-1,_xlpm.src,IF(_xlpm.seq&gt;_xlpm.maxg,"",IFERROR(INDEX(Lists!$N$2:$N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/>
      </c>
      <c r="J17" s="2"/>
      <c r="K17" s="2"/>
      <c r="L17" s="6" t="str">
        <f ca="1">IF(G17="","",IF(G17="CG-2",IF(OR(H17="",I17=""),"",IF(J17&lt;&gt;"",J17,"")),IF(J17&lt;&gt;"",J17,"")))</f>
        <v/>
      </c>
      <c r="M17" s="161" t="str">
        <f ca="1">IF(OR(L17="",H17="",I17=""),"",IF(L17=H17,I17,H17))</f>
        <v/>
      </c>
      <c r="N17" s="162" t="str">
        <f ca="1">IF(AND(L17&lt;&gt;"",H17&lt;&gt;"",I17&lt;&gt;""),"Yes","")</f>
        <v/>
      </c>
      <c r="O17" s="18" t="str">
        <f>IF($J17="","",IFERROR(INDEX(Draft!$H$6:$N$14,1,MATCH($J17,Draft!$H$5:$N$5,0)),""))</f>
        <v/>
      </c>
      <c r="P17" s="18" t="str">
        <f>IF($J17="","",IFERROR(INDEX(Draft!$H$6:$N$14,2,MATCH($J17,Draft!$H$5:$N$5,0)),""))</f>
        <v/>
      </c>
      <c r="Q17" s="18" t="str">
        <f>IF($J17="","",IFERROR(INDEX(Draft!$H$6:$N$14,3,MATCH($J17,Draft!$H$5:$N$5,0)),""))</f>
        <v/>
      </c>
      <c r="R17" s="18" t="str">
        <f>IF($J17="","",IFERROR(INDEX(Draft!$H$6:$N$14,4,MATCH($J17,Draft!$H$5:$N$5,0)),""))</f>
        <v/>
      </c>
      <c r="S17" s="18" t="str">
        <f>IF($J17="","",IFERROR(INDEX(Draft!$H$6:$N$14,5,MATCH($J17,Draft!$H$5:$N$5,0)),""))</f>
        <v/>
      </c>
      <c r="T17" s="18" t="str">
        <f>IF($J17="","",IFERROR(INDEX(Draft!$H$6:$N$14,6,MATCH($J17,Draft!$H$5:$N$5,0)),""))</f>
        <v/>
      </c>
      <c r="U17" s="18" t="str">
        <f>IF($J17="","",IFERROR(INDEX(Draft!$H$6:$N$14,7,MATCH($J17,Draft!$H$5:$N$5,0)),""))</f>
        <v/>
      </c>
      <c r="V17" s="18" t="str">
        <f>IF($J17="","",IFERROR(INDEX(Draft!$H$6:$N$14,8,MATCH($J17,Draft!$H$5:$N$5,0)),""))</f>
        <v/>
      </c>
      <c r="W17" s="18" t="str">
        <f>IF($J17="","",IFERROR(INDEX(Draft!$H$6:$N$14,9,MATCH($J17,Draft!$H$5:$N$5,0)),""))</f>
        <v/>
      </c>
    </row>
    <row r="18" spans="1:23">
      <c r="A18" s="23" t="s">
        <v>148</v>
      </c>
      <c r="B18" s="5" t="str" cm="1">
        <f t="array" aca="1" ref="B18" ca="1">IFERROR(_xlfn.LET(_xlpm.cg2w,INDEX($L$6:$L$21,MATCH("CG-2",$G$6:$G$21,0)),_xlpm.cg1w,INDEX($L$6:$L$21,MATCH("CG-1",$G$6:$G$21,0)),IF(_xlpm.cg2w&lt;&gt;"",_xlpm.cg2w,_xlpm.cg1w)),"")</f>
        <v>Jason</v>
      </c>
      <c r="C18" s="25" t="s">
        <v>149</v>
      </c>
      <c r="F18" s="4" t="str">
        <f>IF(ROW()-5&gt;2*$G$3-1,"","G"&amp;(ROW()-5))</f>
        <v/>
      </c>
      <c r="G18" s="4" t="str" cm="1">
        <f t="array" ref="G18">IFERROR(INDEX(Lists!$L$2:$L$56,MATCH($G$3*100+(ROW()-5),Lists!$J$2:$J$56*100+Lists!$K$2:$K$56,0)),"")</f>
        <v/>
      </c>
      <c r="H18" s="5" t="str" cm="1">
        <f t="array" aca="1" ref="H18" ca="1">_xlfn.LET(_xlpm.seq,ROW()-5,_xlpm.maxg,2*$G$3-1,_xlpm.src,IF(_xlpm.seq&gt;_xlpm.maxg,"",IFERROR(INDEX(Lists!$M$2:$M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/>
      </c>
      <c r="I18" s="5" t="str" cm="1">
        <f t="array" aca="1" ref="I18" ca="1">_xlfn.LET(_xlpm.seq,ROW()-5,_xlpm.maxg,2*$G$3-1,_xlpm.src,IF(_xlpm.seq&gt;_xlpm.maxg,"",IFERROR(INDEX(Lists!$N$2:$N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/>
      </c>
      <c r="J18" s="2"/>
      <c r="K18" s="2"/>
      <c r="L18" s="6" t="str">
        <f ca="1">IF(G18="","",IF(G18="CG-2",IF(OR(H18="",I18=""),"",IF(J18&lt;&gt;"",J18,"")),IF(J18&lt;&gt;"",J18,"")))</f>
        <v/>
      </c>
      <c r="M18" s="161" t="str">
        <f ca="1">IF(OR(L18="",H18="",I18=""),"",IF(L18=H18,I18,H18))</f>
        <v/>
      </c>
      <c r="N18" s="162" t="str">
        <f ca="1">IF(AND(L18&lt;&gt;"",H18&lt;&gt;"",I18&lt;&gt;""),"Yes","")</f>
        <v/>
      </c>
      <c r="O18" s="18" t="str">
        <f>IF($J18="","",IFERROR(INDEX(Draft!$H$6:$N$14,1,MATCH($J18,Draft!$H$5:$N$5,0)),""))</f>
        <v/>
      </c>
      <c r="P18" s="18" t="str">
        <f>IF($J18="","",IFERROR(INDEX(Draft!$H$6:$N$14,2,MATCH($J18,Draft!$H$5:$N$5,0)),""))</f>
        <v/>
      </c>
      <c r="Q18" s="18" t="str">
        <f>IF($J18="","",IFERROR(INDEX(Draft!$H$6:$N$14,3,MATCH($J18,Draft!$H$5:$N$5,0)),""))</f>
        <v/>
      </c>
      <c r="R18" s="18" t="str">
        <f>IF($J18="","",IFERROR(INDEX(Draft!$H$6:$N$14,4,MATCH($J18,Draft!$H$5:$N$5,0)),""))</f>
        <v/>
      </c>
      <c r="S18" s="18" t="str">
        <f>IF($J18="","",IFERROR(INDEX(Draft!$H$6:$N$14,5,MATCH($J18,Draft!$H$5:$N$5,0)),""))</f>
        <v/>
      </c>
      <c r="T18" s="18" t="str">
        <f>IF($J18="","",IFERROR(INDEX(Draft!$H$6:$N$14,6,MATCH($J18,Draft!$H$5:$N$5,0)),""))</f>
        <v/>
      </c>
      <c r="U18" s="18" t="str">
        <f>IF($J18="","",IFERROR(INDEX(Draft!$H$6:$N$14,7,MATCH($J18,Draft!$H$5:$N$5,0)),""))</f>
        <v/>
      </c>
      <c r="V18" s="18" t="str">
        <f>IF($J18="","",IFERROR(INDEX(Draft!$H$6:$N$14,8,MATCH($J18,Draft!$H$5:$N$5,0)),""))</f>
        <v/>
      </c>
      <c r="W18" s="18" t="str">
        <f>IF($J18="","",IFERROR(INDEX(Draft!$H$6:$N$14,9,MATCH($J18,Draft!$H$5:$N$5,0)),""))</f>
        <v/>
      </c>
    </row>
    <row r="19" spans="1:23">
      <c r="A19" s="23" t="s">
        <v>150</v>
      </c>
      <c r="B19" s="5" t="str" cm="1">
        <f t="array" aca="1" ref="B19" ca="1">IFERROR(_xlfn.LET(_xlpm.cg2l,INDEX($M$6:$M$21,MATCH("CG-2",$G$6:$G$21,0)),_xlpm.cg1l,INDEX($M$6:$M$21,MATCH("CG-1",$G$6:$G$21,0)),_xlpm.cg2w,INDEX($L$6:$L$21,MATCH("CG-2",$G$6:$G$21,0)),IF(_xlpm.cg2w&lt;&gt;"",_xlpm.cg2l,_xlpm.cg1l)),"")</f>
        <v>Nick</v>
      </c>
      <c r="C19" s="25" t="s">
        <v>151</v>
      </c>
      <c r="F19" s="4" t="str">
        <f>IF(ROW()-5&gt;2*$G$3-1,"","G"&amp;(ROW()-5))</f>
        <v/>
      </c>
      <c r="G19" s="4" t="str" cm="1">
        <f t="array" ref="G19">IFERROR(INDEX(Lists!$L$2:$L$56,MATCH($G$3*100+(ROW()-5),Lists!$J$2:$J$56*100+Lists!$K$2:$K$56,0)),"")</f>
        <v/>
      </c>
      <c r="H19" s="5" t="str" cm="1">
        <f t="array" aca="1" ref="H19" ca="1">_xlfn.LET(_xlpm.seq,ROW()-5,_xlpm.maxg,2*$G$3-1,_xlpm.src,IF(_xlpm.seq&gt;_xlpm.maxg,"",IFERROR(INDEX(Lists!$M$2:$M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/>
      </c>
      <c r="I19" s="5" t="str" cm="1">
        <f t="array" aca="1" ref="I19" ca="1">_xlfn.LET(_xlpm.seq,ROW()-5,_xlpm.maxg,2*$G$3-1,_xlpm.src,IF(_xlpm.seq&gt;_xlpm.maxg,"",IFERROR(INDEX(Lists!$N$2:$N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/>
      </c>
      <c r="J19" s="2"/>
      <c r="K19" s="2"/>
      <c r="L19" s="6" t="str">
        <f ca="1">IF(G19="","",IF(G19="CG-2",IF(OR(H19="",I19=""),"",IF(J19&lt;&gt;"",J19,"")),IF(J19&lt;&gt;"",J19,"")))</f>
        <v/>
      </c>
      <c r="M19" s="161" t="str">
        <f ca="1">IF(OR(L19="",H19="",I19=""),"",IF(L19=H19,I19,H19))</f>
        <v/>
      </c>
      <c r="N19" s="162" t="str">
        <f ca="1">IF(AND(L19&lt;&gt;"",H19&lt;&gt;"",I19&lt;&gt;""),"Yes","")</f>
        <v/>
      </c>
      <c r="O19" s="18" t="str">
        <f>IF($J19="","",IFERROR(INDEX(Draft!$H$6:$N$14,1,MATCH($J19,Draft!$H$5:$N$5,0)),""))</f>
        <v/>
      </c>
      <c r="P19" s="18" t="str">
        <f>IF($J19="","",IFERROR(INDEX(Draft!$H$6:$N$14,2,MATCH($J19,Draft!$H$5:$N$5,0)),""))</f>
        <v/>
      </c>
      <c r="Q19" s="18" t="str">
        <f>IF($J19="","",IFERROR(INDEX(Draft!$H$6:$N$14,3,MATCH($J19,Draft!$H$5:$N$5,0)),""))</f>
        <v/>
      </c>
      <c r="R19" s="18" t="str">
        <f>IF($J19="","",IFERROR(INDEX(Draft!$H$6:$N$14,4,MATCH($J19,Draft!$H$5:$N$5,0)),""))</f>
        <v/>
      </c>
      <c r="S19" s="18" t="str">
        <f>IF($J19="","",IFERROR(INDEX(Draft!$H$6:$N$14,5,MATCH($J19,Draft!$H$5:$N$5,0)),""))</f>
        <v/>
      </c>
      <c r="T19" s="18" t="str">
        <f>IF($J19="","",IFERROR(INDEX(Draft!$H$6:$N$14,6,MATCH($J19,Draft!$H$5:$N$5,0)),""))</f>
        <v/>
      </c>
      <c r="U19" s="18" t="str">
        <f>IF($J19="","",IFERROR(INDEX(Draft!$H$6:$N$14,7,MATCH($J19,Draft!$H$5:$N$5,0)),""))</f>
        <v/>
      </c>
      <c r="V19" s="18" t="str">
        <f>IF($J19="","",IFERROR(INDEX(Draft!$H$6:$N$14,8,MATCH($J19,Draft!$H$5:$N$5,0)),""))</f>
        <v/>
      </c>
      <c r="W19" s="18" t="str">
        <f>IF($J19="","",IFERROR(INDEX(Draft!$H$6:$N$14,9,MATCH($J19,Draft!$H$5:$N$5,0)),""))</f>
        <v/>
      </c>
    </row>
    <row r="20" spans="1:23">
      <c r="A20" s="23" t="s">
        <v>152</v>
      </c>
      <c r="B20" s="5" t="str">
        <f ca="1">IFERROR(INDEX($M$6:$M$21,MATCH("Losers Final",$G$6:$G$21,0)),"")</f>
        <v>May</v>
      </c>
      <c r="C20" s="25" t="s">
        <v>153</v>
      </c>
      <c r="F20" s="4" t="str">
        <f>IF(ROW()-5&gt;2*$G$3-1,"","G"&amp;(ROW()-5))</f>
        <v/>
      </c>
      <c r="G20" s="4" t="str" cm="1">
        <f t="array" ref="G20">IFERROR(INDEX(Lists!$L$2:$L$56,MATCH($G$3*100+(ROW()-5),Lists!$J$2:$J$56*100+Lists!$K$2:$K$56,0)),"")</f>
        <v/>
      </c>
      <c r="H20" s="5" t="str" cm="1">
        <f t="array" aca="1" ref="H20" ca="1">_xlfn.LET(_xlpm.seq,ROW()-5,_xlpm.maxg,2*$G$3-1,_xlpm.src,IF(_xlpm.seq&gt;_xlpm.maxg,"",IFERROR(INDEX(Lists!$M$2:$M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/>
      </c>
      <c r="I20" s="5" t="str" cm="1">
        <f t="array" aca="1" ref="I20" ca="1">_xlfn.LET(_xlpm.seq,ROW()-5,_xlpm.maxg,2*$G$3-1,_xlpm.src,IF(_xlpm.seq&gt;_xlpm.maxg,"",IFERROR(INDEX(Lists!$N$2:$N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/>
      </c>
      <c r="J20" s="2"/>
      <c r="K20" s="2"/>
      <c r="L20" s="6" t="str">
        <f ca="1">IF(G20="","",IF(G20="CG-2",IF(OR(H20="",I20=""),"",IF(J20&lt;&gt;"",J20,"")),IF(J20&lt;&gt;"",J20,"")))</f>
        <v/>
      </c>
      <c r="M20" s="161" t="str">
        <f ca="1">IF(OR(L20="",H20="",I20=""),"",IF(L20=H20,I20,H20))</f>
        <v/>
      </c>
      <c r="N20" s="162" t="str">
        <f ca="1">IF(AND(L20&lt;&gt;"",H20&lt;&gt;"",I20&lt;&gt;""),"Yes","")</f>
        <v/>
      </c>
      <c r="O20" s="18" t="str">
        <f>IF($J20="","",IFERROR(INDEX(Draft!$H$6:$N$14,1,MATCH($J20,Draft!$H$5:$N$5,0)),""))</f>
        <v/>
      </c>
      <c r="P20" s="18" t="str">
        <f>IF($J20="","",IFERROR(INDEX(Draft!$H$6:$N$14,2,MATCH($J20,Draft!$H$5:$N$5,0)),""))</f>
        <v/>
      </c>
      <c r="Q20" s="18" t="str">
        <f>IF($J20="","",IFERROR(INDEX(Draft!$H$6:$N$14,3,MATCH($J20,Draft!$H$5:$N$5,0)),""))</f>
        <v/>
      </c>
      <c r="R20" s="18" t="str">
        <f>IF($J20="","",IFERROR(INDEX(Draft!$H$6:$N$14,4,MATCH($J20,Draft!$H$5:$N$5,0)),""))</f>
        <v/>
      </c>
      <c r="S20" s="18" t="str">
        <f>IF($J20="","",IFERROR(INDEX(Draft!$H$6:$N$14,5,MATCH($J20,Draft!$H$5:$N$5,0)),""))</f>
        <v/>
      </c>
      <c r="T20" s="18" t="str">
        <f>IF($J20="","",IFERROR(INDEX(Draft!$H$6:$N$14,6,MATCH($J20,Draft!$H$5:$N$5,0)),""))</f>
        <v/>
      </c>
      <c r="U20" s="18" t="str">
        <f>IF($J20="","",IFERROR(INDEX(Draft!$H$6:$N$14,7,MATCH($J20,Draft!$H$5:$N$5,0)),""))</f>
        <v/>
      </c>
      <c r="V20" s="18" t="str">
        <f>IF($J20="","",IFERROR(INDEX(Draft!$H$6:$N$14,8,MATCH($J20,Draft!$H$5:$N$5,0)),""))</f>
        <v/>
      </c>
      <c r="W20" s="18" t="str">
        <f>IF($J20="","",IFERROR(INDEX(Draft!$H$6:$N$14,9,MATCH($J20,Draft!$H$5:$N$5,0)),""))</f>
        <v/>
      </c>
    </row>
    <row r="21" spans="1:23">
      <c r="A21" s="23" t="s">
        <v>154</v>
      </c>
      <c r="B21" s="5" t="str" cm="1">
        <f t="array" aca="1" ref="B21" ca="1">IF($G$3&lt;4,"",IFERROR(_xlfn.SWITCH($G$3,4,INDEX($M$6:$M$21,MATCH("Losers R1-1",$G$6:$G$21,0)),5,INDEX($M$6:$M$21,MATCH("Losers R2-1",$G$6:$G$21,0)),6,INDEX($M$6:$M$21,MATCH("Losers R2-1",$G$6:$G$21,0)),7,INDEX($M$6:$M$21,MATCH("Losers R3-1",$G$6:$G$21,0)),8,INDEX($M$6:$M$21,MATCH("Losers R3-1",$G$6:$G$21,0))),""))</f>
        <v>Donovan</v>
      </c>
      <c r="C21" s="25" t="s">
        <v>155</v>
      </c>
      <c r="F21" s="4" t="str">
        <f>IF(ROW()-5&gt;2*$G$3-1,"","G"&amp;(ROW()-5))</f>
        <v/>
      </c>
      <c r="G21" s="4" t="str" cm="1">
        <f t="array" ref="G21">IFERROR(INDEX(Lists!$L$2:$L$56,MATCH($G$3*100+(ROW()-5),Lists!$J$2:$J$56*100+Lists!$K$2:$K$56,0)),"")</f>
        <v/>
      </c>
      <c r="H21" s="5" t="str" cm="1">
        <f t="array" aca="1" ref="H21" ca="1">_xlfn.LET(_xlpm.seq,ROW()-5,_xlpm.maxg,2*$G$3-1,_xlpm.src,IF(_xlpm.seq&gt;_xlpm.maxg,"",IFERROR(INDEX(Lists!$M$2:$M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/>
      </c>
      <c r="I21" s="5" t="str" cm="1">
        <f t="array" aca="1" ref="I21" ca="1">_xlfn.LET(_xlpm.seq,ROW()-5,_xlpm.maxg,2*$G$3-1,_xlpm.src,IF(_xlpm.seq&gt;_xlpm.maxg,"",IFERROR(INDEX(Lists!$N$2:$N$56,MATCH($G$3*100+_xlpm.seq,Lists!$J$2:$J$56*100+Lists!$K$2:$K$56,0)),"")),IF(_xlpm.src="","",IF(LEFT(_xlpm.src,4)="Seed",IFERROR(INDEX($B$6:$B$14,VALUE(MID(_xlpm.src,5,10))),""),IF(LEFT(_xlpm.src,2)="W:",IFERROR(INDEX($L$6:$L$21,MATCH(MID(_xlpm.src,3,50),$G$6:$G$21,0)),""),IF(LEFT(_xlpm.src,2)="L:",IFERROR(INDEX($M$6:$M$21,MATCH(MID(_xlpm.src,3,50),$G$6:$G$21,0)),""),"")))))</f>
        <v/>
      </c>
      <c r="J21" s="2"/>
      <c r="K21" s="2"/>
      <c r="L21" s="6" t="str">
        <f ca="1">IF(G21="","",IF(G21="CG-2",IF(OR(H21="",I21=""),"",IF(J21&lt;&gt;"",J21,"")),IF(J21&lt;&gt;"",J21,"")))</f>
        <v/>
      </c>
      <c r="M21" s="161" t="str">
        <f ca="1">IF(OR(L21="",H21="",I21=""),"",IF(L21=H21,I21,H21))</f>
        <v/>
      </c>
      <c r="N21" s="162" t="str">
        <f ca="1">IF(AND(L21&lt;&gt;"",H21&lt;&gt;"",I21&lt;&gt;""),"Yes","")</f>
        <v/>
      </c>
      <c r="O21" s="18"/>
      <c r="P21" s="18"/>
      <c r="Q21" s="18"/>
      <c r="R21" s="18"/>
      <c r="S21" s="18"/>
      <c r="T21" s="18"/>
      <c r="U21" s="18"/>
      <c r="V21" s="18"/>
      <c r="W21" s="18"/>
    </row>
    <row r="22" spans="1:23">
      <c r="A22" s="23" t="str">
        <f>IF($G$3&gt;=5,"5th","")</f>
        <v>5th</v>
      </c>
      <c r="B22" s="5" t="str" cm="1">
        <f t="array" aca="1" ref="B22" ca="1">IF($G$3&lt;5,"",IFERROR(_xlfn.SWITCH($G$3,5,INDEX($M$6:$M$21,MATCH("Losers R1-1",$G$6:$G$21,0)),6,INDEX($M$6:$M$21,MATCH("Losers R1-1",$G$6:$G$21,0)),7,INDEX($M$6:$M$21,MATCH("Losers R2-1",$G$6:$G$21,0)),8,INDEX($M$6:$M$21,MATCH("Losers R2-1",$G$6:$G$21,0))),""))</f>
        <v>Justin</v>
      </c>
      <c r="C22" s="25" t="s">
        <v>156</v>
      </c>
      <c r="D22" s="24"/>
      <c r="E22" s="24"/>
      <c r="F22" s="18"/>
      <c r="G22" s="18"/>
      <c r="H22" s="18"/>
      <c r="I22" s="18"/>
      <c r="J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spans="1:23">
      <c r="A23" s="23" t="str">
        <f>IF($G$3&gt;=6,"6th","")</f>
        <v>6th</v>
      </c>
      <c r="B23" s="5" t="str" cm="1">
        <f t="array" aca="1" ref="B23" ca="1">IF($G$3&lt;6,"",IFERROR(_xlfn.SWITCH($G$3,6,INDEX($M$6:$M$21,MATCH("Losers R1-2",$G$6:$G$21,0)),7,INDEX($M$6:$M$21,MATCH("Losers R2-2",$G$6:$G$21,0)),8,INDEX($M$6:$M$21,MATCH("Losers R2-2",$G$6:$G$21,0))),""))</f>
        <v>Aidan</v>
      </c>
      <c r="C23" s="25" t="s">
        <v>157</v>
      </c>
      <c r="D23" s="24"/>
      <c r="E23" s="24"/>
      <c r="F23" s="18"/>
      <c r="G23" s="18"/>
      <c r="H23" s="18"/>
      <c r="I23" s="18"/>
      <c r="J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spans="1:23" hidden="1">
      <c r="A24" s="23" t="str">
        <f>IF($G$3&gt;=7,"7th","")</f>
        <v/>
      </c>
      <c r="B24" s="5" t="str" cm="1">
        <f t="array" aca="1" ref="B24" ca="1">IF($G$3&lt;7,"",IFERROR(_xlfn.SWITCH($G$3,7,INDEX($M$6:$M$21,MATCH("Losers R1-1",$G$6:$G$21,0)),8,INDEX($M$6:$M$21,MATCH("Losers R1-1",$G$6:$G$21,0))),""))</f>
        <v/>
      </c>
      <c r="C24" s="25" t="s">
        <v>158</v>
      </c>
      <c r="D24" s="24"/>
      <c r="E24" s="24"/>
      <c r="F24" s="18"/>
      <c r="G24" s="18"/>
      <c r="H24" s="18"/>
      <c r="I24" s="18"/>
      <c r="J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spans="1:23" hidden="1">
      <c r="A25" s="29" t="str">
        <f>IF($G$3&gt;=8,"8th","")</f>
        <v/>
      </c>
      <c r="B25" s="30" t="str">
        <f ca="1">IF($G$3&lt;8,"",IFERROR(INDEX($M$6:$M$21,MATCH("Losers R1-2",$G$6:$G$21,0)),""))</f>
        <v/>
      </c>
      <c r="C25" s="31" t="s">
        <v>159</v>
      </c>
      <c r="D25" s="24"/>
      <c r="E25" s="24"/>
      <c r="F25" s="18"/>
      <c r="G25" s="18"/>
      <c r="H25" s="18"/>
      <c r="I25" s="18"/>
      <c r="J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spans="1:23" collapsed="1">
      <c r="A26" s="18"/>
      <c r="B26" s="18"/>
      <c r="C26" s="18"/>
      <c r="F26" s="18"/>
      <c r="G26" s="18"/>
      <c r="H26" s="18"/>
      <c r="I26" s="18"/>
      <c r="J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</sheetData>
  <mergeCells count="1">
    <mergeCell ref="A1:N1"/>
  </mergeCells>
  <dataValidations count="16">
    <dataValidation type="custom" sqref="J6:J21 K21" xr:uid="{00000000-0002-0000-0300-000000000000}">
      <formula1>OR(J6="",J6=H6,J6=I6)</formula1>
    </dataValidation>
    <dataValidation type="list" allowBlank="1" showInputMessage="1" showErrorMessage="1" sqref="K6" xr:uid="{8AC016DF-7E0D-4355-96C0-7046E6EF98D8}">
      <formula1>$O$6:$W$6</formula1>
    </dataValidation>
    <dataValidation type="list" allowBlank="1" showInputMessage="1" showErrorMessage="1" sqref="K7" xr:uid="{D5E792AC-8410-47ED-A8E8-DB7B43CC837C}">
      <formula1>$O$7:$W$7</formula1>
    </dataValidation>
    <dataValidation type="list" allowBlank="1" showInputMessage="1" showErrorMessage="1" sqref="K8" xr:uid="{A3700D06-4916-4F86-904C-4405879A15C6}">
      <formula1>$O$8:$W$8</formula1>
    </dataValidation>
    <dataValidation type="list" allowBlank="1" showInputMessage="1" showErrorMessage="1" sqref="K9" xr:uid="{4A65C307-1E38-4060-8237-F780CE96FF9A}">
      <formula1>$O$9:$W$9</formula1>
    </dataValidation>
    <dataValidation type="list" allowBlank="1" showInputMessage="1" showErrorMessage="1" sqref="K10" xr:uid="{6F3F5A09-B6B4-4E8B-A25A-F006E61E95C2}">
      <formula1>$O$10:$W$10</formula1>
    </dataValidation>
    <dataValidation type="list" allowBlank="1" showInputMessage="1" showErrorMessage="1" sqref="K11" xr:uid="{E0FD3707-937A-419D-8A0D-5681BA86ABC3}">
      <formula1>$O$11:$W$11</formula1>
    </dataValidation>
    <dataValidation type="list" allowBlank="1" showInputMessage="1" showErrorMessage="1" sqref="K12" xr:uid="{8D03CC5F-6438-480B-A24A-56A86B4B86CF}">
      <formula1>$O$12:$W$12</formula1>
    </dataValidation>
    <dataValidation type="list" allowBlank="1" showInputMessage="1" showErrorMessage="1" sqref="K13" xr:uid="{8CA1B176-BE1A-446F-AEE5-779F4949C737}">
      <formula1>$O$13:$W$13</formula1>
    </dataValidation>
    <dataValidation type="list" allowBlank="1" showInputMessage="1" showErrorMessage="1" sqref="K14" xr:uid="{A196932B-43BF-4690-BCC1-7383E5F265ED}">
      <formula1>$O$14:$W$14</formula1>
    </dataValidation>
    <dataValidation type="list" allowBlank="1" showInputMessage="1" showErrorMessage="1" sqref="K15" xr:uid="{A194A67D-BAFA-4714-A0AE-90C17FA07A29}">
      <formula1>$O$15:$W$15</formula1>
    </dataValidation>
    <dataValidation type="list" allowBlank="1" showInputMessage="1" showErrorMessage="1" sqref="K16" xr:uid="{3F0347D2-C82A-40A7-A1F7-36A8E7DA16CE}">
      <formula1>$O$16:$W$16</formula1>
    </dataValidation>
    <dataValidation type="list" allowBlank="1" showInputMessage="1" showErrorMessage="1" sqref="K17" xr:uid="{A6DF4B53-5836-42FF-936A-32A16E5C8F42}">
      <formula1>$O$17:$W$17</formula1>
    </dataValidation>
    <dataValidation type="list" allowBlank="1" showInputMessage="1" showErrorMessage="1" sqref="K18" xr:uid="{DC9A8852-7D3F-45F5-9813-65852784998A}">
      <formula1>$O$18:$W$18</formula1>
    </dataValidation>
    <dataValidation type="list" allowBlank="1" showInputMessage="1" showErrorMessage="1" sqref="K19" xr:uid="{DB11D88A-7B31-4F72-90A4-B5A586626285}">
      <formula1>$O$19:$W$19</formula1>
    </dataValidation>
    <dataValidation type="list" allowBlank="1" showInputMessage="1" showErrorMessage="1" sqref="K20" xr:uid="{C9D88867-2521-4F14-89CC-5ADEC7FE53F2}">
      <formula1>$O$20:$W$20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3364D21-ED50-4CE7-A579-3CA62282BCA8}">
            <xm:f>OR(AND(Settings!$G$3=TRUE,Settings!$I$3="Blue",ISNUMBER(SEARCH(Settings!$E$3,A1&amp;""))),AND(Settings!$G$4=TRUE,Settings!$I$4="Blue",ISNUMBER(SEARCH(Settings!$E$4,A1&amp;""))),AND(Settings!$G$5=TRUE,Settings!$I$5="Blue",ISNUMBER(SEARCH(Settings!$E$5,A1&amp;""))),AND(Settings!$G$6=TRUE,Settings!$I$6="Blue",ISNUMBER(SEARCH(Settings!$E$6,A1&amp;""))),AND(Settings!$G$7=TRUE,Settings!$I$7="Blue",ISNUMBER(SEARCH(Settings!$E$7,A1&amp;""))),AND(Settings!$G$8=TRUE,Settings!$I$8="Blue",ISNUMBER(SEARCH(Settings!$E$8,A1&amp;""))),AND(Settings!$G$9=TRUE,Settings!$I$9="Blue",ISNUMBER(SEARCH(Settings!$E$9,A1&amp;""))),AND(Settings!$G$10=TRUE,Settings!$I$10="Blue",ISNUMBER(SEARCH(Settings!$E$10,A1&amp;""))))</xm:f>
            <x14:dxf>
              <font>
                <b/>
                <i val="0"/>
                <color rgb="FF49B6FF"/>
              </font>
            </x14:dxf>
          </x14:cfRule>
          <xm:sqref>A1:W25</xm:sqref>
        </x14:conditionalFormatting>
        <x14:conditionalFormatting xmlns:xm="http://schemas.microsoft.com/office/excel/2006/main">
          <x14:cfRule type="expression" priority="2" id="{ED3C6E17-195F-4A20-BA8A-30B141466942}">
            <xm:f>OR(AND(Settings!$G$3=TRUE,Settings!$I$3="Orange",ISNUMBER(SEARCH(Settings!$E$3,A1&amp;""))),AND(Settings!$G$4=TRUE,Settings!$I$4="Orange",ISNUMBER(SEARCH(Settings!$E$4,A1&amp;""))),AND(Settings!$G$5=TRUE,Settings!$I$5="Orange",ISNUMBER(SEARCH(Settings!$E$5,A1&amp;""))),AND(Settings!$G$6=TRUE,Settings!$I$6="Orange",ISNUMBER(SEARCH(Settings!$E$6,A1&amp;""))),AND(Settings!$G$7=TRUE,Settings!$I$7="Orange",ISNUMBER(SEARCH(Settings!$E$7,A1&amp;""))),AND(Settings!$G$8=TRUE,Settings!$I$8="Orange",ISNUMBER(SEARCH(Settings!$E$8,A1&amp;""))),AND(Settings!$G$9=TRUE,Settings!$I$9="Orange",ISNUMBER(SEARCH(Settings!$E$9,A1&amp;""))),AND(Settings!$G$10=TRUE,Settings!$I$10="Orange",ISNUMBER(SEARCH(Settings!$E$10,A1&amp;""))))</xm:f>
            <x14:dxf>
              <font>
                <b/>
                <i val="0"/>
                <color rgb="FFFFB347"/>
              </font>
            </x14:dxf>
          </x14:cfRule>
          <xm:sqref>A1:W25</xm:sqref>
        </x14:conditionalFormatting>
        <x14:conditionalFormatting xmlns:xm="http://schemas.microsoft.com/office/excel/2006/main">
          <x14:cfRule type="expression" priority="3" id="{5F256240-04C4-481A-B379-4A12257A114B}">
            <xm:f>OR(AND(Settings!$G$3=TRUE,Settings!$I$3="Green",ISNUMBER(SEARCH(Settings!$E$3,A1&amp;""))),AND(Settings!$G$4=TRUE,Settings!$I$4="Green",ISNUMBER(SEARCH(Settings!$E$4,A1&amp;""))),AND(Settings!$G$5=TRUE,Settings!$I$5="Green",ISNUMBER(SEARCH(Settings!$E$5,A1&amp;""))),AND(Settings!$G$6=TRUE,Settings!$I$6="Green",ISNUMBER(SEARCH(Settings!$E$6,A1&amp;""))),AND(Settings!$G$7=TRUE,Settings!$I$7="Green",ISNUMBER(SEARCH(Settings!$E$7,A1&amp;""))),AND(Settings!$G$8=TRUE,Settings!$I$8="Green",ISNUMBER(SEARCH(Settings!$E$8,A1&amp;""))),AND(Settings!$G$9=TRUE,Settings!$I$9="Green",ISNUMBER(SEARCH(Settings!$E$9,A1&amp;""))),AND(Settings!$G$10=TRUE,Settings!$I$10="Green",ISNUMBER(SEARCH(Settings!$E$10,A1&amp;""))))</xm:f>
            <x14:dxf>
              <font>
                <b/>
                <i val="0"/>
                <color rgb="FF7ED957"/>
              </font>
            </x14:dxf>
          </x14:cfRule>
          <xm:sqref>A1:W25</xm:sqref>
        </x14:conditionalFormatting>
        <x14:conditionalFormatting xmlns:xm="http://schemas.microsoft.com/office/excel/2006/main">
          <x14:cfRule type="expression" priority="4" id="{BA626676-3F7D-47B0-AEF5-9F1BC742E68A}">
            <xm:f>OR(AND(Settings!$G$3=TRUE,Settings!$I$3="Red",ISNUMBER(SEARCH(Settings!$E$3,A1&amp;""))),AND(Settings!$G$4=TRUE,Settings!$I$4="Red",ISNUMBER(SEARCH(Settings!$E$4,A1&amp;""))),AND(Settings!$G$5=TRUE,Settings!$I$5="Red",ISNUMBER(SEARCH(Settings!$E$5,A1&amp;""))),AND(Settings!$G$6=TRUE,Settings!$I$6="Red",ISNUMBER(SEARCH(Settings!$E$6,A1&amp;""))),AND(Settings!$G$7=TRUE,Settings!$I$7="Red",ISNUMBER(SEARCH(Settings!$E$7,A1&amp;""))),AND(Settings!$G$8=TRUE,Settings!$I$8="Red",ISNUMBER(SEARCH(Settings!$E$8,A1&amp;""))),AND(Settings!$G$9=TRUE,Settings!$I$9="Red",ISNUMBER(SEARCH(Settings!$E$9,A1&amp;""))),AND(Settings!$G$10=TRUE,Settings!$I$10="Red",ISNUMBER(SEARCH(Settings!$E$10,A1&amp;""))))</xm:f>
            <x14:dxf>
              <font>
                <b/>
                <i val="0"/>
                <color rgb="FFFF5A5F"/>
              </font>
            </x14:dxf>
          </x14:cfRule>
          <xm:sqref>A1:W25</xm:sqref>
        </x14:conditionalFormatting>
        <x14:conditionalFormatting xmlns:xm="http://schemas.microsoft.com/office/excel/2006/main">
          <x14:cfRule type="expression" priority="5" id="{EB59C622-1218-4F7E-863A-716BE5CE50A3}">
            <xm:f>OR(AND(Settings!$G$3=TRUE,Settings!$I$3="Purple",ISNUMBER(SEARCH(Settings!$E$3,A1&amp;""))),AND(Settings!$G$4=TRUE,Settings!$I$4="Purple",ISNUMBER(SEARCH(Settings!$E$4,A1&amp;""))),AND(Settings!$G$5=TRUE,Settings!$I$5="Purple",ISNUMBER(SEARCH(Settings!$E$5,A1&amp;""))),AND(Settings!$G$6=TRUE,Settings!$I$6="Purple",ISNUMBER(SEARCH(Settings!$E$6,A1&amp;""))),AND(Settings!$G$7=TRUE,Settings!$I$7="Purple",ISNUMBER(SEARCH(Settings!$E$7,A1&amp;""))),AND(Settings!$G$8=TRUE,Settings!$I$8="Purple",ISNUMBER(SEARCH(Settings!$E$8,A1&amp;""))),AND(Settings!$G$9=TRUE,Settings!$I$9="Purple",ISNUMBER(SEARCH(Settings!$E$9,A1&amp;""))),AND(Settings!$G$10=TRUE,Settings!$I$10="Purple",ISNUMBER(SEARCH(Settings!$E$10,A1&amp;""))))</xm:f>
            <x14:dxf>
              <font>
                <b/>
                <i val="0"/>
                <color rgb="FFC77DFF"/>
              </font>
            </x14:dxf>
          </x14:cfRule>
          <xm:sqref>A1:W25</xm:sqref>
        </x14:conditionalFormatting>
        <x14:conditionalFormatting xmlns:xm="http://schemas.microsoft.com/office/excel/2006/main">
          <x14:cfRule type="expression" priority="6" id="{9E7D05B7-F731-4106-A239-9B5FF5EC5DC1}">
            <xm:f>OR(AND(Settings!$G$3=TRUE,Settings!$I$3="Pink",ISNUMBER(SEARCH(Settings!$E$3,A1&amp;""))),AND(Settings!$G$4=TRUE,Settings!$I$4="Pink",ISNUMBER(SEARCH(Settings!$E$4,A1&amp;""))),AND(Settings!$G$5=TRUE,Settings!$I$5="Pink",ISNUMBER(SEARCH(Settings!$E$5,A1&amp;""))),AND(Settings!$G$6=TRUE,Settings!$I$6="Pink",ISNUMBER(SEARCH(Settings!$E$6,A1&amp;""))),AND(Settings!$G$7=TRUE,Settings!$I$7="Pink",ISNUMBER(SEARCH(Settings!$E$7,A1&amp;""))),AND(Settings!$G$8=TRUE,Settings!$I$8="Pink",ISNUMBER(SEARCH(Settings!$E$8,A1&amp;""))),AND(Settings!$G$9=TRUE,Settings!$I$9="Pink",ISNUMBER(SEARCH(Settings!$E$9,A1&amp;""))),AND(Settings!$G$10=TRUE,Settings!$I$10="Pink",ISNUMBER(SEARCH(Settings!$E$10,A1&amp;""))))</xm:f>
            <x14:dxf>
              <font>
                <b/>
                <i val="0"/>
                <color rgb="FFFF66C4"/>
              </font>
            </x14:dxf>
          </x14:cfRule>
          <xm:sqref>A1:W25</xm:sqref>
        </x14:conditionalFormatting>
        <x14:conditionalFormatting xmlns:xm="http://schemas.microsoft.com/office/excel/2006/main">
          <x14:cfRule type="expression" priority="7" id="{283A375A-B058-407D-9E36-5F06163BC4CE}">
            <xm:f>OR(AND(Settings!$G$3=TRUE,Settings!$I$3="Gray",ISNUMBER(SEARCH(Settings!$E$3,A1&amp;""))),AND(Settings!$G$4=TRUE,Settings!$I$4="Gray",ISNUMBER(SEARCH(Settings!$E$4,A1&amp;""))),AND(Settings!$G$5=TRUE,Settings!$I$5="Gray",ISNUMBER(SEARCH(Settings!$E$5,A1&amp;""))),AND(Settings!$G$6=TRUE,Settings!$I$6="Gray",ISNUMBER(SEARCH(Settings!$E$6,A1&amp;""))),AND(Settings!$G$7=TRUE,Settings!$I$7="Gray",ISNUMBER(SEARCH(Settings!$E$7,A1&amp;""))),AND(Settings!$G$8=TRUE,Settings!$I$8="Gray",ISNUMBER(SEARCH(Settings!$E$8,A1&amp;""))),AND(Settings!$G$9=TRUE,Settings!$I$9="Gray",ISNUMBER(SEARCH(Settings!$E$9,A1&amp;""))),AND(Settings!$G$10=TRUE,Settings!$I$10="Gray",ISNUMBER(SEARCH(Settings!$E$10,A1&amp;""))))</xm:f>
            <x14:dxf>
              <font>
                <b/>
                <i val="0"/>
                <color rgb="FFB7B7B7"/>
              </font>
            </x14:dxf>
          </x14:cfRule>
          <xm:sqref>A1:W25</xm:sqref>
        </x14:conditionalFormatting>
        <x14:conditionalFormatting xmlns:xm="http://schemas.microsoft.com/office/excel/2006/main">
          <x14:cfRule type="expression" priority="8" id="{61031F5B-953C-41FA-A01E-B0C45C1BE7F2}">
            <xm:f>OR(AND(Settings!$G$3=TRUE,Settings!$I$3="Brown",ISNUMBER(SEARCH(Settings!$E$3,A1&amp;""))),AND(Settings!$G$4=TRUE,Settings!$I$4="Brown",ISNUMBER(SEARCH(Settings!$E$4,A1&amp;""))),AND(Settings!$G$5=TRUE,Settings!$I$5="Brown",ISNUMBER(SEARCH(Settings!$E$5,A1&amp;""))),AND(Settings!$G$6=TRUE,Settings!$I$6="Brown",ISNUMBER(SEARCH(Settings!$E$6,A1&amp;""))),AND(Settings!$G$7=TRUE,Settings!$I$7="Brown",ISNUMBER(SEARCH(Settings!$E$7,A1&amp;""))),AND(Settings!$G$8=TRUE,Settings!$I$8="Brown",ISNUMBER(SEARCH(Settings!$E$8,A1&amp;""))),AND(Settings!$G$9=TRUE,Settings!$I$9="Brown",ISNUMBER(SEARCH(Settings!$E$9,A1&amp;""))),AND(Settings!$G$10=TRUE,Settings!$I$10="Brown",ISNUMBER(SEARCH(Settings!$E$10,A1&amp;""))))</xm:f>
            <x14:dxf>
              <font>
                <b/>
                <i val="0"/>
                <color rgb="FFD8A15B"/>
              </font>
            </x14:dxf>
          </x14:cfRule>
          <xm:sqref>A1:W25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D859CE-C59D-48AC-9514-8D949804EBC5}">
          <x14:formula1>
            <xm:f>Settings!$E$3:$E$10</xm:f>
          </x14:formula1>
          <xm:sqref>C4</xm:sqref>
        </x14:dataValidation>
      </x14:dataValidations>
    </ext>
  </extLst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main" xmlns:ns4="http://schemas.microsoft.com/office/excel/2006/main" ns1:Ignorable="x14ac xr xr2 xr3" ns2:uid="{00000000-0001-0000-0400-000000000000}">
  <dimension ref="A1:DF735"/>
  <sheetViews>
    <sheetView showGridLines="0" topLeftCell="A446" workbookViewId="0">
      <selection activeCell="O485" sqref="O485"/>
    </sheetView>
  </sheetViews>
  <sheetFormatPr defaultRowHeight="15"/>
  <cols>
    <col min="1" max="1" width="15.85546875" bestFit="1" customWidth="1"/>
    <col min="2" max="2" width="22.85546875" customWidth="1"/>
    <col min="3" max="12" width="8.5703125" customWidth="1"/>
    <col min="13" max="24" width="6.7109375" customWidth="1"/>
    <col min="25" max="29" width="6.140625" hidden="1" customWidth="1"/>
  </cols>
  <sheetData>
    <row r="1" spans="1:110">
      <c r="A1" s="217" t="str">
        <f>"Game 1 "</f>
        <v xml:space="preserve">Game 1 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9"/>
      <c r="N1" s="207"/>
      <c r="O1" s="36"/>
      <c r="P1" s="37"/>
      <c r="Q1" s="38"/>
      <c r="R1" s="38"/>
      <c r="S1" s="38"/>
      <c r="T1" s="38"/>
      <c r="U1" s="38"/>
      <c r="V1" s="38"/>
      <c r="W1" s="38"/>
      <c r="X1" s="3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</row>
    <row r="2" spans="1:110">
      <c r="A2" s="39" t="s">
        <v>33</v>
      </c>
      <c r="B2" s="40">
        <f>Settings!$B$2</f>
        <v>1</v>
      </c>
      <c r="C2" s="41"/>
      <c r="D2" s="40" t="s">
        <v>95</v>
      </c>
      <c r="E2" s="41"/>
      <c r="F2" s="40" t="str">
        <f>Bracket!$F$6</f>
        <v>G1</v>
      </c>
      <c r="G2" s="41"/>
      <c r="H2" s="40" t="s">
        <v>97</v>
      </c>
      <c r="I2" s="41"/>
      <c r="J2" s="40" t="str">
        <f>Bracket!$G$6</f>
        <v>Winners R1-1</v>
      </c>
      <c r="K2" s="41"/>
      <c r="L2" s="40" t="s">
        <v>134</v>
      </c>
      <c r="M2" s="24"/>
      <c r="N2" s="175" t="str">
        <f ca="1">Bracket!$H$6</f>
        <v>Nick</v>
      </c>
      <c r="O2" s="24"/>
      <c r="P2" s="18"/>
      <c r="Q2" s="18"/>
      <c r="R2" s="201" t="str">
        <f ca="1">Bracket!$I$6</f>
        <v>Donovan</v>
      </c>
      <c r="S2" s="18"/>
      <c r="T2" s="18"/>
      <c r="U2" s="18"/>
      <c r="V2" s="117" t="str">
        <f ca="1">Bracket!$L$6</f>
        <v>Nick</v>
      </c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</row>
    <row r="3" spans="1:110">
      <c r="A3" s="42" t="s">
        <v>160</v>
      </c>
      <c r="B3" s="42">
        <v>1</v>
      </c>
      <c r="C3" s="42">
        <v>2</v>
      </c>
      <c r="D3" s="42">
        <v>3</v>
      </c>
      <c r="E3" s="42">
        <v>4</v>
      </c>
      <c r="F3" s="42">
        <v>5</v>
      </c>
      <c r="G3" s="42">
        <v>6</v>
      </c>
      <c r="H3" s="42">
        <v>7</v>
      </c>
      <c r="I3" s="42">
        <v>8</v>
      </c>
      <c r="J3" s="42">
        <v>9</v>
      </c>
      <c r="K3" s="42" t="s">
        <v>161</v>
      </c>
      <c r="L3" s="42" t="s">
        <v>162</v>
      </c>
      <c r="M3" s="42" t="s">
        <v>163</v>
      </c>
      <c r="N3" s="24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</row>
    <row r="4" spans="1:110">
      <c r="A4" s="200" t="str">
        <f ca="1">N2</f>
        <v>Nick</v>
      </c>
      <c r="B4" s="75" cm="1">
        <f t="array" ref="B4">IFERROR(_xlfn.LET(_xlpm.flatPAraw,_xlfn.TOCOL(_xlfn.CHOOSECOLS(C9:L17,1,3,5,7,9),0,TRUE),_xlpm.flatPARraw,_xlfn.TOCOL(_xlfn.CHOOSECOLS(C9:L17,2,4,6,8,10)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1</v>
      </c>
      <c r="C4" s="75" cm="1">
        <f t="array" ref="C4">IFERROR(_xlfn.LET(_xlpm.flatPAraw,_xlfn.TOCOL(_xlfn.CHOOSECOLS(C9:L17,1,3,5,7,9),0,TRUE),_xlpm.flatPARraw,_xlfn.TOCOL(_xlfn.CHOOSECOLS(C9:L17,2,4,6,8,10)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4" s="75" cm="1">
        <f t="array" ref="D4">IFERROR(_xlfn.LET(_xlpm.flatPAraw,_xlfn.TOCOL(_xlfn.CHOOSECOLS(C9:L17,1,3,5,7,9),0,TRUE),_xlpm.flatPARraw,_xlfn.TOCOL(_xlfn.CHOOSECOLS(C9:L17,2,4,6,8,10)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3</v>
      </c>
      <c r="E4" s="75" cm="1">
        <f t="array" ref="E4">IFERROR(_xlfn.LET(_xlpm.flatPAraw,_xlfn.TOCOL(_xlfn.CHOOSECOLS(C9:L17,1,3,5,7,9),0,TRUE),_xlpm.flatPARraw,_xlfn.TOCOL(_xlfn.CHOOSECOLS(C9:L17,2,4,6,8,10)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4" s="75" cm="1">
        <f t="array" ref="F4">IFERROR(_xlfn.LET(_xlpm.flatPAraw,_xlfn.TOCOL(_xlfn.CHOOSECOLS(C9:L17,1,3,5,7,9),0,TRUE),_xlpm.flatPARraw,_xlfn.TOCOL(_xlfn.CHOOSECOLS(C9:L17,2,4,6,8,10)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4" s="75" cm="1">
        <f t="array" ref="G4">IFERROR(_xlfn.LET(_xlpm.flatPAraw,_xlfn.TOCOL(_xlfn.CHOOSECOLS(C9:L17,1,3,5,7,9),0,TRUE),_xlpm.flatPARraw,_xlfn.TOCOL(_xlfn.CHOOSECOLS(C9:L17,2,4,6,8,10)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4" s="75" cm="1">
        <f t="array" ref="H4">IFERROR(_xlfn.LET(_xlpm.flatPAraw,_xlfn.TOCOL(_xlfn.CHOOSECOLS(C9:L17,1,3,5,7,9),0,TRUE),_xlpm.flatPARraw,_xlfn.TOCOL(_xlfn.CHOOSECOLS(C9:L17,2,4,6,8,10)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4" s="76" cm="1">
        <f t="array" ref="I4">IFERROR(_xlfn.LET(_xlpm.flatPAraw,_xlfn.TOCOL(_xlfn.CHOOSECOLS(C9:L17,1,3,5,7,9),0,TRUE),_xlpm.flatPARraw,_xlfn.TOCOL(_xlfn.CHOOSECOLS(C9:L17,2,4,6,8,10)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4" s="76" cm="1">
        <f t="array" ref="J4">IFERROR(_xlfn.LET(_xlpm.flatPAraw,_xlfn.TOCOL(_xlfn.CHOOSECOLS(C9:L17,1,3,5,7,9),0,TRUE),_xlpm.flatPARraw,_xlfn.TOCOL(_xlfn.CHOOSECOLS(C9:L17,2,4,6,8,10)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4" s="164">
        <f>SUM(B4:J4)</f>
        <v>4</v>
      </c>
      <c r="L4" s="77">
        <f ca="1">SUM(O9:O17)</f>
        <v>5</v>
      </c>
      <c r="M4" s="78">
        <f>COUNTIF(C30:L38,"ROE")</f>
        <v>0</v>
      </c>
      <c r="N4" s="24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</row>
    <row r="5" spans="1:110">
      <c r="A5" s="202" t="str">
        <f ca="1">R2</f>
        <v>Donovan</v>
      </c>
      <c r="B5" s="79" cm="1">
        <f t="array" ref="B5">IFERROR(_xlfn.LET(_xlpm.flatPAraw,_xlfn.TOCOL(_xlfn.CHOOSECOLS(C30:L38,1,3,5,7,9),0,TRUE),_xlpm.flatPARraw,_xlfn.TOCOL(_xlfn.CHOOSECOLS(C30:L38,2,4,6,8,10)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5" s="79" cm="1">
        <f t="array" ref="C5">IFERROR(_xlfn.LET(_xlpm.flatPAraw,_xlfn.TOCOL(_xlfn.CHOOSECOLS(C30:L38,1,3,5,7,9),0,TRUE),_xlpm.flatPARraw,_xlfn.TOCOL(_xlfn.CHOOSECOLS(C30:L38,2,4,6,8,10)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5" s="79" cm="1">
        <f t="array" ref="D5">IFERROR(_xlfn.LET(_xlpm.flatPAraw,_xlfn.TOCOL(_xlfn.CHOOSECOLS(C30:L38,1,3,5,7,9),0,TRUE),_xlpm.flatPARraw,_xlfn.TOCOL(_xlfn.CHOOSECOLS(C30:L38,2,4,6,8,10)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5" s="79" cm="1">
        <f t="array" ref="E5">IFERROR(_xlfn.LET(_xlpm.flatPAraw,_xlfn.TOCOL(_xlfn.CHOOSECOLS(C30:L38,1,3,5,7,9),0,TRUE),_xlpm.flatPARraw,_xlfn.TOCOL(_xlfn.CHOOSECOLS(C30:L38,2,4,6,8,10)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5" s="79" cm="1">
        <f t="array" ref="F5">IFERROR(_xlfn.LET(_xlpm.flatPAraw,_xlfn.TOCOL(_xlfn.CHOOSECOLS(C30:L38,1,3,5,7,9),0,TRUE),_xlpm.flatPARraw,_xlfn.TOCOL(_xlfn.CHOOSECOLS(C30:L38,2,4,6,8,10)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5" s="79" cm="1">
        <f t="array" ref="G5">IFERROR(_xlfn.LET(_xlpm.flatPAraw,_xlfn.TOCOL(_xlfn.CHOOSECOLS(C30:L38,1,3,5,7,9),0,TRUE),_xlpm.flatPARraw,_xlfn.TOCOL(_xlfn.CHOOSECOLS(C30:L38,2,4,6,8,10)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5" s="79" cm="1">
        <f t="array" ref="H5">IFERROR(_xlfn.LET(_xlpm.flatPAraw,_xlfn.TOCOL(_xlfn.CHOOSECOLS(C30:L38,1,3,5,7,9),0,TRUE),_xlpm.flatPARraw,_xlfn.TOCOL(_xlfn.CHOOSECOLS(C30:L38,2,4,6,8,10)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5" s="80" cm="1">
        <f t="array" ref="I5">IFERROR(_xlfn.LET(_xlpm.flatPAraw,_xlfn.TOCOL(_xlfn.CHOOSECOLS(C30:L38,1,3,5,7,9),0,TRUE),_xlpm.flatPARraw,_xlfn.TOCOL(_xlfn.CHOOSECOLS(C30:L38,2,4,6,8,10)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5" s="80" cm="1">
        <f t="array" ref="J5">IFERROR(_xlfn.LET(_xlpm.flatPAraw,_xlfn.TOCOL(_xlfn.CHOOSECOLS(C30:L38,1,3,5,7,9),0,TRUE),_xlpm.flatPARraw,_xlfn.TOCOL(_xlfn.CHOOSECOLS(C30:L38,2,4,6,8,10)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5" s="165">
        <f>SUM(B5:J5)</f>
        <v>0</v>
      </c>
      <c r="L5" s="81">
        <f ca="1">SUM(O30:O38)</f>
        <v>0</v>
      </c>
      <c r="M5" s="82">
        <f>COUNTIF(C9:L17,"ROE")</f>
        <v>0</v>
      </c>
      <c r="N5" s="24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</row>
    <row r="6" spans="1:110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3"/>
      <c r="Q6" s="53"/>
      <c r="R6" s="53"/>
      <c r="S6" s="53"/>
      <c r="T6" s="53"/>
      <c r="U6" s="53"/>
      <c r="V6" s="53"/>
      <c r="W6" s="53"/>
      <c r="X6" s="53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</row>
    <row r="7" spans="1:110">
      <c r="A7" s="205" t="str">
        <f ca="1">IF($N$2="","Team A Batting",$N$2&amp;" Batting")</f>
        <v>Nick Batting</v>
      </c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8"/>
      <c r="O7" s="208"/>
      <c r="P7" s="182"/>
      <c r="Q7" s="182"/>
      <c r="R7" s="182"/>
      <c r="S7" s="182"/>
      <c r="T7" s="182"/>
      <c r="U7" s="182"/>
      <c r="V7" s="182"/>
      <c r="W7" s="182"/>
      <c r="X7" s="182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</row>
    <row r="8" spans="1:110">
      <c r="A8" s="183" t="s">
        <v>164</v>
      </c>
      <c r="B8" s="184" t="s">
        <v>39</v>
      </c>
      <c r="C8" s="184" t="s">
        <v>165</v>
      </c>
      <c r="D8" s="184" t="s">
        <v>166</v>
      </c>
      <c r="E8" s="184" t="s">
        <v>167</v>
      </c>
      <c r="F8" s="184" t="s">
        <v>168</v>
      </c>
      <c r="G8" s="184" t="s">
        <v>169</v>
      </c>
      <c r="H8" s="184" t="s">
        <v>170</v>
      </c>
      <c r="I8" s="184" t="s">
        <v>171</v>
      </c>
      <c r="J8" s="184" t="s">
        <v>172</v>
      </c>
      <c r="K8" s="184" t="s">
        <v>173</v>
      </c>
      <c r="L8" s="184" t="s">
        <v>174</v>
      </c>
      <c r="M8" s="184" t="s">
        <v>175</v>
      </c>
      <c r="N8" s="185" t="s">
        <v>161</v>
      </c>
      <c r="O8" s="185" t="s">
        <v>162</v>
      </c>
      <c r="P8" s="44" t="s">
        <v>176</v>
      </c>
      <c r="Q8" s="44" t="s">
        <v>177</v>
      </c>
      <c r="R8" s="44" t="s">
        <v>178</v>
      </c>
      <c r="S8" s="44" t="s">
        <v>179</v>
      </c>
      <c r="T8" s="44" t="s">
        <v>180</v>
      </c>
      <c r="U8" s="44" t="s">
        <v>181</v>
      </c>
      <c r="V8" s="44" t="s">
        <v>182</v>
      </c>
      <c r="W8" s="44" t="s">
        <v>183</v>
      </c>
      <c r="X8" s="45" t="s">
        <v>184</v>
      </c>
      <c r="Y8" s="43"/>
      <c r="Z8" s="43"/>
      <c r="AA8" s="43"/>
      <c r="AB8" s="43"/>
      <c r="AC8" s="43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</row>
    <row r="9" spans="1:110">
      <c r="A9" s="168">
        <v>1</v>
      </c>
      <c r="B9" s="47" t="str">
        <f ca="1">Lineups!$C$5</f>
        <v>Monty Mole</v>
      </c>
      <c r="C9" s="48" t="s">
        <v>185</v>
      </c>
      <c r="D9" s="49"/>
      <c r="E9" s="49" t="s">
        <v>186</v>
      </c>
      <c r="F9" s="49"/>
      <c r="G9" s="49"/>
      <c r="H9" s="50"/>
      <c r="I9" s="50"/>
      <c r="J9" s="50"/>
      <c r="K9" s="50"/>
      <c r="L9" s="50"/>
      <c r="M9" s="67">
        <f ca="1">IF($B9="","",SUM(_xlfn.XLOOKUP(C9,Lists!$P$2:$P$19,Lists!$R$2:$R$19,0),_xlfn.XLOOKUP(E9,Lists!$P$2:$P$19,Lists!$R$2:$R$19,0),_xlfn.XLOOKUP(G9,Lists!$P$2:$P$19,Lists!$R$2:$R$19,0),_xlfn.XLOOKUP(I9,Lists!$P$2:$P$19,Lists!$R$2:$R$19,0),_xlfn.XLOOKUP(K9,Lists!$P$2:$P$19,Lists!$R$2:$R$19,0)))</f>
        <v>2</v>
      </c>
      <c r="N9" s="68">
        <f ca="1">IF($B9="","",SUM(_xlfn.XLOOKUP(D9,Lists!$AC$2:$AC$9,Lists!$AE$2:$AE$9,0),_xlfn.XLOOKUP(F9,Lists!$AC$2:$AC$9,Lists!$AE$2:$AE$9,0),_xlfn.XLOOKUP(H9,Lists!$AC$2:$AC$9,Lists!$AE$2:$AE$9,0),_xlfn.XLOOKUP(J9,Lists!$AC$2:$AC$9,Lists!$AE$2:$AE$9,0),_xlfn.XLOOKUP(L9,Lists!$AC$2:$AC$9,Lists!$AE$2:$AE$9,0)))</f>
        <v>0</v>
      </c>
      <c r="O9" s="68">
        <f ca="1">IF($B9="","",SUM(_xlfn.XLOOKUP(C9,Lists!$P$2:$P$19,Lists!$S$2:$S$19,0),_xlfn.XLOOKUP(E9,Lists!$P$2:$P$19,Lists!$S$2:$S$19,0),_xlfn.XLOOKUP(G9,Lists!$P$2:$P$19,Lists!$S$2:$S$19,0),_xlfn.XLOOKUP(I9,Lists!$P$2:$P$19,Lists!$S$2:$S$19,0),_xlfn.XLOOKUP(K9,Lists!$P$2:$P$19,Lists!$S$2:$S$19,0)))</f>
        <v>0</v>
      </c>
      <c r="P9" s="68">
        <f ca="1">IF($B9="","",SUM(_xlfn.XLOOKUP(C9,Lists!$P$2:$P$19,Lists!$T$2:$T$19,0),_xlfn.XLOOKUP(E9,Lists!$P$2:$P$19,Lists!$T$2:$T$19,0),_xlfn.XLOOKUP(G9,Lists!$P$2:$P$19,Lists!$T$2:$T$19,0),_xlfn.XLOOKUP(I9,Lists!$P$2:$P$19,Lists!$T$2:$T$19,0),_xlfn.XLOOKUP(K9,Lists!$P$2:$P$19,Lists!$T$2:$T$19,0)))</f>
        <v>0</v>
      </c>
      <c r="Q9" s="68">
        <f ca="1">IF($B9="","",SUM(_xlfn.XLOOKUP(C9,Lists!$P$2:$P$19,Lists!$U$2:$U$19,0),_xlfn.XLOOKUP(E9,Lists!$P$2:$P$19,Lists!$U$2:$U$19,0),_xlfn.XLOOKUP(G9,Lists!$P$2:$P$19,Lists!$U$2:$U$19,0),_xlfn.XLOOKUP(I9,Lists!$P$2:$P$19,Lists!$U$2:$U$19,0),_xlfn.XLOOKUP(K9,Lists!$P$2:$P$19,Lists!$U$2:$U$19,0)))</f>
        <v>0</v>
      </c>
      <c r="R9" s="68">
        <f ca="1">IF($B9="","",SUM(_xlfn.XLOOKUP(C9,Lists!$P$2:$P$19,Lists!$V$2:$V$19,0),_xlfn.XLOOKUP(E9,Lists!$P$2:$P$19,Lists!$V$2:$V$19,0),_xlfn.XLOOKUP(G9,Lists!$P$2:$P$19,Lists!$V$2:$V$19,0),_xlfn.XLOOKUP(I9,Lists!$P$2:$P$19,Lists!$V$2:$V$19,0),_xlfn.XLOOKUP(K9,Lists!$P$2:$P$19,Lists!$V$2:$V$19,0)))</f>
        <v>0</v>
      </c>
      <c r="S9" s="68">
        <f ca="1">IF($B9="","",SUM(_xlfn.XLOOKUP(D9,Lists!$AC$2:$AC$9,Lists!$AD$2:$AD$9,0),_xlfn.XLOOKUP(F9,Lists!$AC$2:$AC$9,Lists!$AD$2:$AD$9,0),_xlfn.XLOOKUP(H9,Lists!$AC$2:$AC$9,Lists!$AD$2:$AD$9,0),_xlfn.XLOOKUP(J9,Lists!$AC$2:$AC$9,Lists!$AD$2:$AD$9,0),_xlfn.XLOOKUP(L9,Lists!$AC$2:$AC$9,Lists!$AD$2:$AD$9,0)))</f>
        <v>0</v>
      </c>
      <c r="T9" s="68">
        <f ca="1">IF($B9="","",SUM(_xlfn.XLOOKUP(C9,Lists!$P$2:$P$19,Lists!$W$2:$W$19,0),_xlfn.XLOOKUP(E9,Lists!$P$2:$P$19,Lists!$W$2:$W$19,0),_xlfn.XLOOKUP(G9,Lists!$P$2:$P$19,Lists!$W$2:$W$19,0),_xlfn.XLOOKUP(I9,Lists!$P$2:$P$19,Lists!$W$2:$W$19,0),_xlfn.XLOOKUP(K9,Lists!$P$2:$P$19,Lists!$W$2:$W$19,0)))</f>
        <v>0</v>
      </c>
      <c r="U9" s="68">
        <f ca="1">IF($B9="","",SUM(_xlfn.XLOOKUP(C9,Lists!$P$2:$P$19,Lists!$X$2:$X$19,0),_xlfn.XLOOKUP(E9,Lists!$P$2:$P$19,Lists!$X$2:$X$19,0),_xlfn.XLOOKUP(G9,Lists!$P$2:$P$19,Lists!$X$2:$X$19,0),_xlfn.XLOOKUP(I9,Lists!$P$2:$P$19,Lists!$X$2:$X$19,0),_xlfn.XLOOKUP(K9,Lists!$P$2:$P$19,Lists!$X$2:$X$19,0)))</f>
        <v>1</v>
      </c>
      <c r="V9" s="68">
        <f ca="1">IF($B9="","",SUM(_xlfn.XLOOKUP(C9,Lists!$P$2:$P$19,Lists!$Y$2:$Y$19,0),_xlfn.XLOOKUP(E9,Lists!$P$2:$P$19,Lists!$Y$2:$Y$19,0),_xlfn.XLOOKUP(G9,Lists!$P$2:$P$19,Lists!$Y$2:$Y$19,0),_xlfn.XLOOKUP(I9,Lists!$P$2:$P$19,Lists!$Y$2:$Y$19,0),_xlfn.XLOOKUP(K9,Lists!$P$2:$P$19,Lists!$Y$2:$Y$19,0)))</f>
        <v>0</v>
      </c>
      <c r="W9" s="68">
        <f ca="1">IF($B9="","",SUM(_xlfn.XLOOKUP(C9,Lists!$P$2:$P$19,Lists!$Z$2:$Z$19,0),_xlfn.XLOOKUP(E9,Lists!$P$2:$P$19,Lists!$Z$2:$Z$19,0),_xlfn.XLOOKUP(G9,Lists!$P$2:$P$19,Lists!$Z$2:$Z$19,0),_xlfn.XLOOKUP(I9,Lists!$P$2:$P$19,Lists!$Z$2:$Z$19,0),_xlfn.XLOOKUP(K9,Lists!$P$2:$P$19,Lists!$Z$2:$Z$19,0)))</f>
        <v>0</v>
      </c>
      <c r="X9" s="69">
        <f ca="1">IF($B9="","",SUM(_xlfn.XLOOKUP(C9,Lists!$P$2:$P$19,Lists!$AA$2:$AA$19,0),_xlfn.XLOOKUP(E9,Lists!$P$2:$P$19,Lists!$AA$2:$AA$19,0),_xlfn.XLOOKUP(G9,Lists!$P$2:$P$19,Lists!$AA$2:$AA$19,0),_xlfn.XLOOKUP(I9,Lists!$P$2:$P$19,Lists!$AA$2:$AA$19,0),_xlfn.XLOOKUP(K9,Lists!$P$2:$P$19,Lists!$AA$2:$AA$19,0)))</f>
        <v>0</v>
      </c>
      <c r="Y9" s="48"/>
      <c r="Z9" s="49"/>
      <c r="AA9" s="49"/>
      <c r="AB9" s="49"/>
      <c r="AC9" s="49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</row>
    <row r="10" spans="1:110">
      <c r="A10" s="168">
        <v>2</v>
      </c>
      <c r="B10" s="47" t="str">
        <f ca="1">Lineups!$C$6</f>
        <v>Green Dry Bones</v>
      </c>
      <c r="C10" s="49" t="s">
        <v>177</v>
      </c>
      <c r="D10" s="49" t="s">
        <v>187</v>
      </c>
      <c r="E10" s="49" t="s">
        <v>188</v>
      </c>
      <c r="F10" s="49" t="s">
        <v>187</v>
      </c>
      <c r="G10" s="49"/>
      <c r="H10" s="50"/>
      <c r="I10" s="50"/>
      <c r="J10" s="50"/>
      <c r="K10" s="50"/>
      <c r="L10" s="50"/>
      <c r="M10" s="67">
        <f ca="1">IF($B10="","",SUM(_xlfn.XLOOKUP(C10,Lists!$P$2:$P$19,Lists!$R$2:$R$19,0),_xlfn.XLOOKUP(E10,Lists!$P$2:$P$19,Lists!$R$2:$R$19,0),_xlfn.XLOOKUP(G10,Lists!$P$2:$P$19,Lists!$R$2:$R$19,0),_xlfn.XLOOKUP(I10,Lists!$P$2:$P$19,Lists!$R$2:$R$19,0),_xlfn.XLOOKUP(K10,Lists!$P$2:$P$19,Lists!$R$2:$R$19,0)))</f>
        <v>2</v>
      </c>
      <c r="N10" s="68">
        <f ca="1">IF($B10="","",SUM(_xlfn.XLOOKUP(D10,Lists!$AC$2:$AC$9,Lists!$AE$2:$AE$9,0),_xlfn.XLOOKUP(F10,Lists!$AC$2:$AC$9,Lists!$AE$2:$AE$9,0),_xlfn.XLOOKUP(H10,Lists!$AC$2:$AC$9,Lists!$AE$2:$AE$9,0),_xlfn.XLOOKUP(J10,Lists!$AC$2:$AC$9,Lists!$AE$2:$AE$9,0),_xlfn.XLOOKUP(L10,Lists!$AC$2:$AC$9,Lists!$AE$2:$AE$9,0)))</f>
        <v>2</v>
      </c>
      <c r="O10" s="68">
        <f ca="1">IF($B10="","",SUM(_xlfn.XLOOKUP(C10,Lists!$P$2:$P$19,Lists!$S$2:$S$19,0),_xlfn.XLOOKUP(E10,Lists!$P$2:$P$19,Lists!$S$2:$S$19,0),_xlfn.XLOOKUP(G10,Lists!$P$2:$P$19,Lists!$S$2:$S$19,0),_xlfn.XLOOKUP(I10,Lists!$P$2:$P$19,Lists!$S$2:$S$19,0),_xlfn.XLOOKUP(K10,Lists!$P$2:$P$19,Lists!$S$2:$S$19,0)))</f>
        <v>2</v>
      </c>
      <c r="P10" s="68">
        <f ca="1">IF($B10="","",SUM(_xlfn.XLOOKUP(C10,Lists!$P$2:$P$19,Lists!$T$2:$T$19,0),_xlfn.XLOOKUP(E10,Lists!$P$2:$P$19,Lists!$T$2:$T$19,0),_xlfn.XLOOKUP(G10,Lists!$P$2:$P$19,Lists!$T$2:$T$19,0),_xlfn.XLOOKUP(I10,Lists!$P$2:$P$19,Lists!$T$2:$T$19,0),_xlfn.XLOOKUP(K10,Lists!$P$2:$P$19,Lists!$T$2:$T$19,0)))</f>
        <v>0</v>
      </c>
      <c r="Q10" s="68">
        <f ca="1">IF($B10="","",SUM(_xlfn.XLOOKUP(C10,Lists!$P$2:$P$19,Lists!$U$2:$U$19,0),_xlfn.XLOOKUP(E10,Lists!$P$2:$P$19,Lists!$U$2:$U$19,0),_xlfn.XLOOKUP(G10,Lists!$P$2:$P$19,Lists!$U$2:$U$19,0),_xlfn.XLOOKUP(I10,Lists!$P$2:$P$19,Lists!$U$2:$U$19,0),_xlfn.XLOOKUP(K10,Lists!$P$2:$P$19,Lists!$U$2:$U$19,0)))</f>
        <v>1</v>
      </c>
      <c r="R10" s="68">
        <f ca="1">IF($B10="","",SUM(_xlfn.XLOOKUP(C10,Lists!$P$2:$P$19,Lists!$V$2:$V$19,0),_xlfn.XLOOKUP(E10,Lists!$P$2:$P$19,Lists!$V$2:$V$19,0),_xlfn.XLOOKUP(G10,Lists!$P$2:$P$19,Lists!$V$2:$V$19,0),_xlfn.XLOOKUP(I10,Lists!$P$2:$P$19,Lists!$V$2:$V$19,0),_xlfn.XLOOKUP(K10,Lists!$P$2:$P$19,Lists!$V$2:$V$19,0)))</f>
        <v>0</v>
      </c>
      <c r="S10" s="68">
        <f ca="1">IF($B10="","",SUM(_xlfn.XLOOKUP(D10,Lists!$AC$2:$AC$9,Lists!$AD$2:$AD$9,0),_xlfn.XLOOKUP(F10,Lists!$AC$2:$AC$9,Lists!$AD$2:$AD$9,0),_xlfn.XLOOKUP(H10,Lists!$AC$2:$AC$9,Lists!$AD$2:$AD$9,0),_xlfn.XLOOKUP(J10,Lists!$AC$2:$AC$9,Lists!$AD$2:$AD$9,0),_xlfn.XLOOKUP(L10,Lists!$AC$2:$AC$9,Lists!$AD$2:$AD$9,0)))</f>
        <v>0</v>
      </c>
      <c r="T10" s="68">
        <f ca="1">IF($B10="","",SUM(_xlfn.XLOOKUP(C10,Lists!$P$2:$P$19,Lists!$W$2:$W$19,0),_xlfn.XLOOKUP(E10,Lists!$P$2:$P$19,Lists!$W$2:$W$19,0),_xlfn.XLOOKUP(G10,Lists!$P$2:$P$19,Lists!$W$2:$W$19,0),_xlfn.XLOOKUP(I10,Lists!$P$2:$P$19,Lists!$W$2:$W$19,0),_xlfn.XLOOKUP(K10,Lists!$P$2:$P$19,Lists!$W$2:$W$19,0)))</f>
        <v>0</v>
      </c>
      <c r="U10" s="68">
        <f ca="1">IF($B10="","",SUM(_xlfn.XLOOKUP(C10,Lists!$P$2:$P$19,Lists!$X$2:$X$19,0),_xlfn.XLOOKUP(E10,Lists!$P$2:$P$19,Lists!$X$2:$X$19,0),_xlfn.XLOOKUP(G10,Lists!$P$2:$P$19,Lists!$X$2:$X$19,0),_xlfn.XLOOKUP(I10,Lists!$P$2:$P$19,Lists!$X$2:$X$19,0),_xlfn.XLOOKUP(K10,Lists!$P$2:$P$19,Lists!$X$2:$X$19,0)))</f>
        <v>0</v>
      </c>
      <c r="V10" s="68">
        <f ca="1">IF($B10="","",SUM(_xlfn.XLOOKUP(C10,Lists!$P$2:$P$19,Lists!$Y$2:$Y$19,0),_xlfn.XLOOKUP(E10,Lists!$P$2:$P$19,Lists!$Y$2:$Y$19,0),_xlfn.XLOOKUP(G10,Lists!$P$2:$P$19,Lists!$Y$2:$Y$19,0),_xlfn.XLOOKUP(I10,Lists!$P$2:$P$19,Lists!$Y$2:$Y$19,0),_xlfn.XLOOKUP(K10,Lists!$P$2:$P$19,Lists!$Y$2:$Y$19,0)))</f>
        <v>0</v>
      </c>
      <c r="W10" s="68">
        <f ca="1">IF($B10="","",SUM(_xlfn.XLOOKUP(C10,Lists!$P$2:$P$19,Lists!$Z$2:$Z$19,0),_xlfn.XLOOKUP(E10,Lists!$P$2:$P$19,Lists!$Z$2:$Z$19,0),_xlfn.XLOOKUP(G10,Lists!$P$2:$P$19,Lists!$Z$2:$Z$19,0),_xlfn.XLOOKUP(I10,Lists!$P$2:$P$19,Lists!$Z$2:$Z$19,0),_xlfn.XLOOKUP(K10,Lists!$P$2:$P$19,Lists!$Z$2:$Z$19,0)))</f>
        <v>0</v>
      </c>
      <c r="X10" s="69">
        <f ca="1">IF($B10="","",SUM(_xlfn.XLOOKUP(C10,Lists!$P$2:$P$19,Lists!$AA$2:$AA$19,0),_xlfn.XLOOKUP(E10,Lists!$P$2:$P$19,Lists!$AA$2:$AA$19,0),_xlfn.XLOOKUP(G10,Lists!$P$2:$P$19,Lists!$AA$2:$AA$19,0),_xlfn.XLOOKUP(I10,Lists!$P$2:$P$19,Lists!$AA$2:$AA$19,0),_xlfn.XLOOKUP(K10,Lists!$P$2:$P$19,Lists!$AA$2:$AA$19,0)))</f>
        <v>0</v>
      </c>
      <c r="Y10" s="49"/>
      <c r="Z10" s="49"/>
      <c r="AA10" s="49"/>
      <c r="AB10" s="49"/>
      <c r="AC10" s="49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</row>
    <row r="11" spans="1:110">
      <c r="A11" s="168">
        <v>3</v>
      </c>
      <c r="B11" s="47" t="str">
        <f ca="1">Lineups!$C$7</f>
        <v>Daisy</v>
      </c>
      <c r="C11" s="49" t="s">
        <v>189</v>
      </c>
      <c r="D11" s="49"/>
      <c r="E11" s="49" t="s">
        <v>176</v>
      </c>
      <c r="F11" s="49" t="s">
        <v>190</v>
      </c>
      <c r="G11" s="49"/>
      <c r="H11" s="50"/>
      <c r="I11" s="50"/>
      <c r="J11" s="50"/>
      <c r="K11" s="50"/>
      <c r="L11" s="50"/>
      <c r="M11" s="67">
        <f ca="1">IF($B11="","",SUM(_xlfn.XLOOKUP(C11,Lists!$P$2:$P$19,Lists!$R$2:$R$19,0),_xlfn.XLOOKUP(E11,Lists!$P$2:$P$19,Lists!$R$2:$R$19,0),_xlfn.XLOOKUP(G11,Lists!$P$2:$P$19,Lists!$R$2:$R$19,0),_xlfn.XLOOKUP(I11,Lists!$P$2:$P$19,Lists!$R$2:$R$19,0),_xlfn.XLOOKUP(K11,Lists!$P$2:$P$19,Lists!$R$2:$R$19,0)))</f>
        <v>2</v>
      </c>
      <c r="N11" s="68">
        <f ca="1">IF($B11="","",SUM(_xlfn.XLOOKUP(D11,Lists!$AC$2:$AC$9,Lists!$AE$2:$AE$9,0),_xlfn.XLOOKUP(F11,Lists!$AC$2:$AC$9,Lists!$AE$2:$AE$9,0),_xlfn.XLOOKUP(H11,Lists!$AC$2:$AC$9,Lists!$AE$2:$AE$9,0),_xlfn.XLOOKUP(J11,Lists!$AC$2:$AC$9,Lists!$AE$2:$AE$9,0),_xlfn.XLOOKUP(L11,Lists!$AC$2:$AC$9,Lists!$AE$2:$AE$9,0)))</f>
        <v>1</v>
      </c>
      <c r="O11" s="68">
        <f ca="1">IF($B11="","",SUM(_xlfn.XLOOKUP(C11,Lists!$P$2:$P$19,Lists!$S$2:$S$19,0),_xlfn.XLOOKUP(E11,Lists!$P$2:$P$19,Lists!$S$2:$S$19,0),_xlfn.XLOOKUP(G11,Lists!$P$2:$P$19,Lists!$S$2:$S$19,0),_xlfn.XLOOKUP(I11,Lists!$P$2:$P$19,Lists!$S$2:$S$19,0),_xlfn.XLOOKUP(K11,Lists!$P$2:$P$19,Lists!$S$2:$S$19,0)))</f>
        <v>1</v>
      </c>
      <c r="P11" s="68">
        <f ca="1">IF($B11="","",SUM(_xlfn.XLOOKUP(C11,Lists!$P$2:$P$19,Lists!$T$2:$T$19,0),_xlfn.XLOOKUP(E11,Lists!$P$2:$P$19,Lists!$T$2:$T$19,0),_xlfn.XLOOKUP(G11,Lists!$P$2:$P$19,Lists!$T$2:$T$19,0),_xlfn.XLOOKUP(I11,Lists!$P$2:$P$19,Lists!$T$2:$T$19,0),_xlfn.XLOOKUP(K11,Lists!$P$2:$P$19,Lists!$T$2:$T$19,0)))</f>
        <v>1</v>
      </c>
      <c r="Q11" s="68">
        <f ca="1">IF($B11="","",SUM(_xlfn.XLOOKUP(C11,Lists!$P$2:$P$19,Lists!$U$2:$U$19,0),_xlfn.XLOOKUP(E11,Lists!$P$2:$P$19,Lists!$U$2:$U$19,0),_xlfn.XLOOKUP(G11,Lists!$P$2:$P$19,Lists!$U$2:$U$19,0),_xlfn.XLOOKUP(I11,Lists!$P$2:$P$19,Lists!$U$2:$U$19,0),_xlfn.XLOOKUP(K11,Lists!$P$2:$P$19,Lists!$U$2:$U$19,0)))</f>
        <v>0</v>
      </c>
      <c r="R11" s="68">
        <f ca="1">IF($B11="","",SUM(_xlfn.XLOOKUP(C11,Lists!$P$2:$P$19,Lists!$V$2:$V$19,0),_xlfn.XLOOKUP(E11,Lists!$P$2:$P$19,Lists!$V$2:$V$19,0),_xlfn.XLOOKUP(G11,Lists!$P$2:$P$19,Lists!$V$2:$V$19,0),_xlfn.XLOOKUP(I11,Lists!$P$2:$P$19,Lists!$V$2:$V$19,0),_xlfn.XLOOKUP(K11,Lists!$P$2:$P$19,Lists!$V$2:$V$19,0)))</f>
        <v>0</v>
      </c>
      <c r="S11" s="68">
        <f ca="1">IF($B11="","",SUM(_xlfn.XLOOKUP(D11,Lists!$AC$2:$AC$9,Lists!$AD$2:$AD$9,0),_xlfn.XLOOKUP(F11,Lists!$AC$2:$AC$9,Lists!$AD$2:$AD$9,0),_xlfn.XLOOKUP(H11,Lists!$AC$2:$AC$9,Lists!$AD$2:$AD$9,0),_xlfn.XLOOKUP(J11,Lists!$AC$2:$AC$9,Lists!$AD$2:$AD$9,0),_xlfn.XLOOKUP(L11,Lists!$AC$2:$AC$9,Lists!$AD$2:$AD$9,0)))</f>
        <v>1</v>
      </c>
      <c r="T11" s="68">
        <f ca="1">IF($B11="","",SUM(_xlfn.XLOOKUP(C11,Lists!$P$2:$P$19,Lists!$W$2:$W$19,0),_xlfn.XLOOKUP(E11,Lists!$P$2:$P$19,Lists!$W$2:$W$19,0),_xlfn.XLOOKUP(G11,Lists!$P$2:$P$19,Lists!$W$2:$W$19,0),_xlfn.XLOOKUP(I11,Lists!$P$2:$P$19,Lists!$W$2:$W$19,0),_xlfn.XLOOKUP(K11,Lists!$P$2:$P$19,Lists!$W$2:$W$19,0)))</f>
        <v>0</v>
      </c>
      <c r="U11" s="68">
        <f ca="1">IF($B11="","",SUM(_xlfn.XLOOKUP(C11,Lists!$P$2:$P$19,Lists!$X$2:$X$19,0),_xlfn.XLOOKUP(E11,Lists!$P$2:$P$19,Lists!$X$2:$X$19,0),_xlfn.XLOOKUP(G11,Lists!$P$2:$P$19,Lists!$X$2:$X$19,0),_xlfn.XLOOKUP(I11,Lists!$P$2:$P$19,Lists!$X$2:$X$19,0),_xlfn.XLOOKUP(K11,Lists!$P$2:$P$19,Lists!$X$2:$X$19,0)))</f>
        <v>0</v>
      </c>
      <c r="V11" s="68">
        <f ca="1">IF($B11="","",SUM(_xlfn.XLOOKUP(C11,Lists!$P$2:$P$19,Lists!$Y$2:$Y$19,0),_xlfn.XLOOKUP(E11,Lists!$P$2:$P$19,Lists!$Y$2:$Y$19,0),_xlfn.XLOOKUP(G11,Lists!$P$2:$P$19,Lists!$Y$2:$Y$19,0),_xlfn.XLOOKUP(I11,Lists!$P$2:$P$19,Lists!$Y$2:$Y$19,0),_xlfn.XLOOKUP(K11,Lists!$P$2:$P$19,Lists!$Y$2:$Y$19,0)))</f>
        <v>0</v>
      </c>
      <c r="W11" s="68">
        <f ca="1">IF($B11="","",SUM(_xlfn.XLOOKUP(C11,Lists!$P$2:$P$19,Lists!$Z$2:$Z$19,0),_xlfn.XLOOKUP(E11,Lists!$P$2:$P$19,Lists!$Z$2:$Z$19,0),_xlfn.XLOOKUP(G11,Lists!$P$2:$P$19,Lists!$Z$2:$Z$19,0),_xlfn.XLOOKUP(I11,Lists!$P$2:$P$19,Lists!$Z$2:$Z$19,0),_xlfn.XLOOKUP(K11,Lists!$P$2:$P$19,Lists!$Z$2:$Z$19,0)))</f>
        <v>0</v>
      </c>
      <c r="X11" s="69">
        <f ca="1">IF($B11="","",SUM(_xlfn.XLOOKUP(C11,Lists!$P$2:$P$19,Lists!$AA$2:$AA$19,0),_xlfn.XLOOKUP(E11,Lists!$P$2:$P$19,Lists!$AA$2:$AA$19,0),_xlfn.XLOOKUP(G11,Lists!$P$2:$P$19,Lists!$AA$2:$AA$19,0),_xlfn.XLOOKUP(I11,Lists!$P$2:$P$19,Lists!$AA$2:$AA$19,0),_xlfn.XLOOKUP(K11,Lists!$P$2:$P$19,Lists!$AA$2:$AA$19,0)))</f>
        <v>0</v>
      </c>
      <c r="Y11" s="49"/>
      <c r="Z11" s="49"/>
      <c r="AA11" s="49"/>
      <c r="AB11" s="49"/>
      <c r="AC11" s="49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</row>
    <row r="12" spans="1:110">
      <c r="A12" s="168">
        <v>4</v>
      </c>
      <c r="B12" s="47" t="str">
        <f ca="1">Lineups!$C$8</f>
        <v>Wario</v>
      </c>
      <c r="C12" s="49" t="s">
        <v>176</v>
      </c>
      <c r="D12" s="49" t="s">
        <v>191</v>
      </c>
      <c r="E12" s="49" t="s">
        <v>178</v>
      </c>
      <c r="F12" s="49" t="s">
        <v>192</v>
      </c>
      <c r="G12" s="49"/>
      <c r="H12" s="50"/>
      <c r="I12" s="50"/>
      <c r="J12" s="50"/>
      <c r="K12" s="50"/>
      <c r="L12" s="50"/>
      <c r="M12" s="67">
        <f ca="1">IF($B12="","",SUM(_xlfn.XLOOKUP(C12,Lists!$P$2:$P$19,Lists!$R$2:$R$19,0),_xlfn.XLOOKUP(E12,Lists!$P$2:$P$19,Lists!$R$2:$R$19,0),_xlfn.XLOOKUP(G12,Lists!$P$2:$P$19,Lists!$R$2:$R$19,0),_xlfn.XLOOKUP(I12,Lists!$P$2:$P$19,Lists!$R$2:$R$19,0),_xlfn.XLOOKUP(K12,Lists!$P$2:$P$19,Lists!$R$2:$R$19,0)))</f>
        <v>2</v>
      </c>
      <c r="N12" s="68">
        <f ca="1">IF($B12="","",SUM(_xlfn.XLOOKUP(D12,Lists!$AC$2:$AC$9,Lists!$AE$2:$AE$9,0),_xlfn.XLOOKUP(F12,Lists!$AC$2:$AC$9,Lists!$AE$2:$AE$9,0),_xlfn.XLOOKUP(H12,Lists!$AC$2:$AC$9,Lists!$AE$2:$AE$9,0),_xlfn.XLOOKUP(J12,Lists!$AC$2:$AC$9,Lists!$AE$2:$AE$9,0),_xlfn.XLOOKUP(L12,Lists!$AC$2:$AC$9,Lists!$AE$2:$AE$9,0)))</f>
        <v>0</v>
      </c>
      <c r="O12" s="68">
        <f ca="1">IF($B12="","",SUM(_xlfn.XLOOKUP(C12,Lists!$P$2:$P$19,Lists!$S$2:$S$19,0),_xlfn.XLOOKUP(E12,Lists!$P$2:$P$19,Lists!$S$2:$S$19,0),_xlfn.XLOOKUP(G12,Lists!$P$2:$P$19,Lists!$S$2:$S$19,0),_xlfn.XLOOKUP(I12,Lists!$P$2:$P$19,Lists!$S$2:$S$19,0),_xlfn.XLOOKUP(K12,Lists!$P$2:$P$19,Lists!$S$2:$S$19,0)))</f>
        <v>2</v>
      </c>
      <c r="P12" s="68">
        <f ca="1">IF($B12="","",SUM(_xlfn.XLOOKUP(C12,Lists!$P$2:$P$19,Lists!$T$2:$T$19,0),_xlfn.XLOOKUP(E12,Lists!$P$2:$P$19,Lists!$T$2:$T$19,0),_xlfn.XLOOKUP(G12,Lists!$P$2:$P$19,Lists!$T$2:$T$19,0),_xlfn.XLOOKUP(I12,Lists!$P$2:$P$19,Lists!$T$2:$T$19,0),_xlfn.XLOOKUP(K12,Lists!$P$2:$P$19,Lists!$T$2:$T$19,0)))</f>
        <v>1</v>
      </c>
      <c r="Q12" s="68">
        <f ca="1">IF($B12="","",SUM(_xlfn.XLOOKUP(C12,Lists!$P$2:$P$19,Lists!$U$2:$U$19,0),_xlfn.XLOOKUP(E12,Lists!$P$2:$P$19,Lists!$U$2:$U$19,0),_xlfn.XLOOKUP(G12,Lists!$P$2:$P$19,Lists!$U$2:$U$19,0),_xlfn.XLOOKUP(I12,Lists!$P$2:$P$19,Lists!$U$2:$U$19,0),_xlfn.XLOOKUP(K12,Lists!$P$2:$P$19,Lists!$U$2:$U$19,0)))</f>
        <v>0</v>
      </c>
      <c r="R12" s="68">
        <f ca="1">IF($B12="","",SUM(_xlfn.XLOOKUP(C12,Lists!$P$2:$P$19,Lists!$V$2:$V$19,0),_xlfn.XLOOKUP(E12,Lists!$P$2:$P$19,Lists!$V$2:$V$19,0),_xlfn.XLOOKUP(G12,Lists!$P$2:$P$19,Lists!$V$2:$V$19,0),_xlfn.XLOOKUP(I12,Lists!$P$2:$P$19,Lists!$V$2:$V$19,0),_xlfn.XLOOKUP(K12,Lists!$P$2:$P$19,Lists!$V$2:$V$19,0)))</f>
        <v>1</v>
      </c>
      <c r="S12" s="68">
        <f ca="1">IF($B12="","",SUM(_xlfn.XLOOKUP(D12,Lists!$AC$2:$AC$9,Lists!$AD$2:$AD$9,0),_xlfn.XLOOKUP(F12,Lists!$AC$2:$AC$9,Lists!$AD$2:$AD$9,0),_xlfn.XLOOKUP(H12,Lists!$AC$2:$AC$9,Lists!$AD$2:$AD$9,0),_xlfn.XLOOKUP(J12,Lists!$AC$2:$AC$9,Lists!$AD$2:$AD$9,0),_xlfn.XLOOKUP(L12,Lists!$AC$2:$AC$9,Lists!$AD$2:$AD$9,0)))</f>
        <v>3</v>
      </c>
      <c r="T12" s="68">
        <f ca="1">IF($B12="","",SUM(_xlfn.XLOOKUP(C12,Lists!$P$2:$P$19,Lists!$W$2:$W$19,0),_xlfn.XLOOKUP(E12,Lists!$P$2:$P$19,Lists!$W$2:$W$19,0),_xlfn.XLOOKUP(G12,Lists!$P$2:$P$19,Lists!$W$2:$W$19,0),_xlfn.XLOOKUP(I12,Lists!$P$2:$P$19,Lists!$W$2:$W$19,0),_xlfn.XLOOKUP(K12,Lists!$P$2:$P$19,Lists!$W$2:$W$19,0)))</f>
        <v>0</v>
      </c>
      <c r="U12" s="68">
        <f ca="1">IF($B12="","",SUM(_xlfn.XLOOKUP(C12,Lists!$P$2:$P$19,Lists!$X$2:$X$19,0),_xlfn.XLOOKUP(E12,Lists!$P$2:$P$19,Lists!$X$2:$X$19,0),_xlfn.XLOOKUP(G12,Lists!$P$2:$P$19,Lists!$X$2:$X$19,0),_xlfn.XLOOKUP(I12,Lists!$P$2:$P$19,Lists!$X$2:$X$19,0),_xlfn.XLOOKUP(K12,Lists!$P$2:$P$19,Lists!$X$2:$X$19,0)))</f>
        <v>0</v>
      </c>
      <c r="V12" s="68">
        <f ca="1">IF($B12="","",SUM(_xlfn.XLOOKUP(C12,Lists!$P$2:$P$19,Lists!$Y$2:$Y$19,0),_xlfn.XLOOKUP(E12,Lists!$P$2:$P$19,Lists!$Y$2:$Y$19,0),_xlfn.XLOOKUP(G12,Lists!$P$2:$P$19,Lists!$Y$2:$Y$19,0),_xlfn.XLOOKUP(I12,Lists!$P$2:$P$19,Lists!$Y$2:$Y$19,0),_xlfn.XLOOKUP(K12,Lists!$P$2:$P$19,Lists!$Y$2:$Y$19,0)))</f>
        <v>0</v>
      </c>
      <c r="W12" s="68">
        <f ca="1">IF($B12="","",SUM(_xlfn.XLOOKUP(C12,Lists!$P$2:$P$19,Lists!$Z$2:$Z$19,0),_xlfn.XLOOKUP(E12,Lists!$P$2:$P$19,Lists!$Z$2:$Z$19,0),_xlfn.XLOOKUP(G12,Lists!$P$2:$P$19,Lists!$Z$2:$Z$19,0),_xlfn.XLOOKUP(I12,Lists!$P$2:$P$19,Lists!$Z$2:$Z$19,0),_xlfn.XLOOKUP(K12,Lists!$P$2:$P$19,Lists!$Z$2:$Z$19,0)))</f>
        <v>0</v>
      </c>
      <c r="X12" s="69">
        <f ca="1">IF($B12="","",SUM(_xlfn.XLOOKUP(C12,Lists!$P$2:$P$19,Lists!$AA$2:$AA$19,0),_xlfn.XLOOKUP(E12,Lists!$P$2:$P$19,Lists!$AA$2:$AA$19,0),_xlfn.XLOOKUP(G12,Lists!$P$2:$P$19,Lists!$AA$2:$AA$19,0),_xlfn.XLOOKUP(I12,Lists!$P$2:$P$19,Lists!$AA$2:$AA$19,0),_xlfn.XLOOKUP(K12,Lists!$P$2:$P$19,Lists!$AA$2:$AA$19,0)))</f>
        <v>0</v>
      </c>
      <c r="Y12" s="49"/>
      <c r="Z12" s="49"/>
      <c r="AA12" s="49"/>
      <c r="AB12" s="49"/>
      <c r="AC12" s="49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</row>
    <row r="13" spans="1:110">
      <c r="A13" s="168">
        <v>5</v>
      </c>
      <c r="B13" s="47" t="str">
        <f ca="1">Lineups!$C$9</f>
        <v>Boomerang Bro</v>
      </c>
      <c r="C13" s="49" t="s">
        <v>185</v>
      </c>
      <c r="D13" s="49"/>
      <c r="E13" s="49" t="s">
        <v>193</v>
      </c>
      <c r="F13" s="49"/>
      <c r="G13" s="49"/>
      <c r="H13" s="50"/>
      <c r="I13" s="50"/>
      <c r="J13" s="50"/>
      <c r="K13" s="50"/>
      <c r="L13" s="50"/>
      <c r="M13" s="67">
        <f ca="1">IF($B13="","",SUM(_xlfn.XLOOKUP(C13,Lists!$P$2:$P$19,Lists!$R$2:$R$19,0),_xlfn.XLOOKUP(E13,Lists!$P$2:$P$19,Lists!$R$2:$R$19,0),_xlfn.XLOOKUP(G13,Lists!$P$2:$P$19,Lists!$R$2:$R$19,0),_xlfn.XLOOKUP(I13,Lists!$P$2:$P$19,Lists!$R$2:$R$19,0),_xlfn.XLOOKUP(K13,Lists!$P$2:$P$19,Lists!$R$2:$R$19,0)))</f>
        <v>2</v>
      </c>
      <c r="N13" s="68">
        <f ca="1">IF($B13="","",SUM(_xlfn.XLOOKUP(D13,Lists!$AC$2:$AC$9,Lists!$AE$2:$AE$9,0),_xlfn.XLOOKUP(F13,Lists!$AC$2:$AC$9,Lists!$AE$2:$AE$9,0),_xlfn.XLOOKUP(H13,Lists!$AC$2:$AC$9,Lists!$AE$2:$AE$9,0),_xlfn.XLOOKUP(J13,Lists!$AC$2:$AC$9,Lists!$AE$2:$AE$9,0),_xlfn.XLOOKUP(L13,Lists!$AC$2:$AC$9,Lists!$AE$2:$AE$9,0)))</f>
        <v>0</v>
      </c>
      <c r="O13" s="68">
        <f ca="1">IF($B13="","",SUM(_xlfn.XLOOKUP(C13,Lists!$P$2:$P$19,Lists!$S$2:$S$19,0),_xlfn.XLOOKUP(E13,Lists!$P$2:$P$19,Lists!$S$2:$S$19,0),_xlfn.XLOOKUP(G13,Lists!$P$2:$P$19,Lists!$S$2:$S$19,0),_xlfn.XLOOKUP(I13,Lists!$P$2:$P$19,Lists!$S$2:$S$19,0),_xlfn.XLOOKUP(K13,Lists!$P$2:$P$19,Lists!$S$2:$S$19,0)))</f>
        <v>0</v>
      </c>
      <c r="P13" s="68">
        <f ca="1">IF($B13="","",SUM(_xlfn.XLOOKUP(C13,Lists!$P$2:$P$19,Lists!$T$2:$T$19,0),_xlfn.XLOOKUP(E13,Lists!$P$2:$P$19,Lists!$T$2:$T$19,0),_xlfn.XLOOKUP(G13,Lists!$P$2:$P$19,Lists!$T$2:$T$19,0),_xlfn.XLOOKUP(I13,Lists!$P$2:$P$19,Lists!$T$2:$T$19,0),_xlfn.XLOOKUP(K13,Lists!$P$2:$P$19,Lists!$T$2:$T$19,0)))</f>
        <v>0</v>
      </c>
      <c r="Q13" s="68">
        <f ca="1">IF($B13="","",SUM(_xlfn.XLOOKUP(C13,Lists!$P$2:$P$19,Lists!$U$2:$U$19,0),_xlfn.XLOOKUP(E13,Lists!$P$2:$P$19,Lists!$U$2:$U$19,0),_xlfn.XLOOKUP(G13,Lists!$P$2:$P$19,Lists!$U$2:$U$19,0),_xlfn.XLOOKUP(I13,Lists!$P$2:$P$19,Lists!$U$2:$U$19,0),_xlfn.XLOOKUP(K13,Lists!$P$2:$P$19,Lists!$U$2:$U$19,0)))</f>
        <v>0</v>
      </c>
      <c r="R13" s="68">
        <f ca="1">IF($B13="","",SUM(_xlfn.XLOOKUP(C13,Lists!$P$2:$P$19,Lists!$V$2:$V$19,0),_xlfn.XLOOKUP(E13,Lists!$P$2:$P$19,Lists!$V$2:$V$19,0),_xlfn.XLOOKUP(G13,Lists!$P$2:$P$19,Lists!$V$2:$V$19,0),_xlfn.XLOOKUP(I13,Lists!$P$2:$P$19,Lists!$V$2:$V$19,0),_xlfn.XLOOKUP(K13,Lists!$P$2:$P$19,Lists!$V$2:$V$19,0)))</f>
        <v>0</v>
      </c>
      <c r="S13" s="68">
        <f ca="1">IF($B13="","",SUM(_xlfn.XLOOKUP(D13,Lists!$AC$2:$AC$9,Lists!$AD$2:$AD$9,0),_xlfn.XLOOKUP(F13,Lists!$AC$2:$AC$9,Lists!$AD$2:$AD$9,0),_xlfn.XLOOKUP(H13,Lists!$AC$2:$AC$9,Lists!$AD$2:$AD$9,0),_xlfn.XLOOKUP(J13,Lists!$AC$2:$AC$9,Lists!$AD$2:$AD$9,0),_xlfn.XLOOKUP(L13,Lists!$AC$2:$AC$9,Lists!$AD$2:$AD$9,0)))</f>
        <v>0</v>
      </c>
      <c r="T13" s="68">
        <f ca="1">IF($B13="","",SUM(_xlfn.XLOOKUP(C13,Lists!$P$2:$P$19,Lists!$W$2:$W$19,0),_xlfn.XLOOKUP(E13,Lists!$P$2:$P$19,Lists!$W$2:$W$19,0),_xlfn.XLOOKUP(G13,Lists!$P$2:$P$19,Lists!$W$2:$W$19,0),_xlfn.XLOOKUP(I13,Lists!$P$2:$P$19,Lists!$W$2:$W$19,0),_xlfn.XLOOKUP(K13,Lists!$P$2:$P$19,Lists!$W$2:$W$19,0)))</f>
        <v>0</v>
      </c>
      <c r="U13" s="68">
        <f ca="1">IF($B13="","",SUM(_xlfn.XLOOKUP(C13,Lists!$P$2:$P$19,Lists!$X$2:$X$19,0),_xlfn.XLOOKUP(E13,Lists!$P$2:$P$19,Lists!$X$2:$X$19,0),_xlfn.XLOOKUP(G13,Lists!$P$2:$P$19,Lists!$X$2:$X$19,0),_xlfn.XLOOKUP(I13,Lists!$P$2:$P$19,Lists!$X$2:$X$19,0),_xlfn.XLOOKUP(K13,Lists!$P$2:$P$19,Lists!$X$2:$X$19,0)))</f>
        <v>1</v>
      </c>
      <c r="V13" s="68">
        <f ca="1">IF($B13="","",SUM(_xlfn.XLOOKUP(C13,Lists!$P$2:$P$19,Lists!$Y$2:$Y$19,0),_xlfn.XLOOKUP(E13,Lists!$P$2:$P$19,Lists!$Y$2:$Y$19,0),_xlfn.XLOOKUP(G13,Lists!$P$2:$P$19,Lists!$Y$2:$Y$19,0),_xlfn.XLOOKUP(I13,Lists!$P$2:$P$19,Lists!$Y$2:$Y$19,0),_xlfn.XLOOKUP(K13,Lists!$P$2:$P$19,Lists!$Y$2:$Y$19,0)))</f>
        <v>0</v>
      </c>
      <c r="W13" s="68">
        <f ca="1">IF($B13="","",SUM(_xlfn.XLOOKUP(C13,Lists!$P$2:$P$19,Lists!$Z$2:$Z$19,0),_xlfn.XLOOKUP(E13,Lists!$P$2:$P$19,Lists!$Z$2:$Z$19,0),_xlfn.XLOOKUP(G13,Lists!$P$2:$P$19,Lists!$Z$2:$Z$19,0),_xlfn.XLOOKUP(I13,Lists!$P$2:$P$19,Lists!$Z$2:$Z$19,0),_xlfn.XLOOKUP(K13,Lists!$P$2:$P$19,Lists!$Z$2:$Z$19,0)))</f>
        <v>0</v>
      </c>
      <c r="X13" s="69">
        <f ca="1">IF($B13="","",SUM(_xlfn.XLOOKUP(C13,Lists!$P$2:$P$19,Lists!$AA$2:$AA$19,0),_xlfn.XLOOKUP(E13,Lists!$P$2:$P$19,Lists!$AA$2:$AA$19,0),_xlfn.XLOOKUP(G13,Lists!$P$2:$P$19,Lists!$AA$2:$AA$19,0),_xlfn.XLOOKUP(I13,Lists!$P$2:$P$19,Lists!$AA$2:$AA$19,0),_xlfn.XLOOKUP(K13,Lists!$P$2:$P$19,Lists!$AA$2:$AA$19,0)))</f>
        <v>0</v>
      </c>
      <c r="Y13" s="49"/>
      <c r="Z13" s="49"/>
      <c r="AA13" s="49"/>
      <c r="AB13" s="49"/>
      <c r="AC13" s="49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</row>
    <row r="14" spans="1:110">
      <c r="A14" s="168">
        <v>6</v>
      </c>
      <c r="B14" s="47" t="str">
        <f ca="1">Lineups!$C$10</f>
        <v>Mii</v>
      </c>
      <c r="C14" s="49" t="s">
        <v>186</v>
      </c>
      <c r="D14" s="49"/>
      <c r="E14" s="49"/>
      <c r="F14" s="49"/>
      <c r="G14" s="49"/>
      <c r="H14" s="50"/>
      <c r="I14" s="50"/>
      <c r="J14" s="50"/>
      <c r="K14" s="50"/>
      <c r="L14" s="50"/>
      <c r="M14" s="67">
        <f ca="1">IF($B14="","",SUM(_xlfn.XLOOKUP(C14,Lists!$P$2:$P$19,Lists!$R$2:$R$19,0),_xlfn.XLOOKUP(E14,Lists!$P$2:$P$19,Lists!$R$2:$R$19,0),_xlfn.XLOOKUP(G14,Lists!$P$2:$P$19,Lists!$R$2:$R$19,0),_xlfn.XLOOKUP(I14,Lists!$P$2:$P$19,Lists!$R$2:$R$19,0),_xlfn.XLOOKUP(K14,Lists!$P$2:$P$19,Lists!$R$2:$R$19,0)))</f>
        <v>1</v>
      </c>
      <c r="N14" s="68">
        <f ca="1">IF($B14="","",SUM(_xlfn.XLOOKUP(D14,Lists!$AC$2:$AC$9,Lists!$AE$2:$AE$9,0),_xlfn.XLOOKUP(F14,Lists!$AC$2:$AC$9,Lists!$AE$2:$AE$9,0),_xlfn.XLOOKUP(H14,Lists!$AC$2:$AC$9,Lists!$AE$2:$AE$9,0),_xlfn.XLOOKUP(J14,Lists!$AC$2:$AC$9,Lists!$AE$2:$AE$9,0),_xlfn.XLOOKUP(L14,Lists!$AC$2:$AC$9,Lists!$AE$2:$AE$9,0)))</f>
        <v>0</v>
      </c>
      <c r="O14" s="68">
        <f ca="1">IF($B14="","",SUM(_xlfn.XLOOKUP(C14,Lists!$P$2:$P$19,Lists!$S$2:$S$19,0),_xlfn.XLOOKUP(E14,Lists!$P$2:$P$19,Lists!$S$2:$S$19,0),_xlfn.XLOOKUP(G14,Lists!$P$2:$P$19,Lists!$S$2:$S$19,0),_xlfn.XLOOKUP(I14,Lists!$P$2:$P$19,Lists!$S$2:$S$19,0),_xlfn.XLOOKUP(K14,Lists!$P$2:$P$19,Lists!$S$2:$S$19,0)))</f>
        <v>0</v>
      </c>
      <c r="P14" s="68">
        <f ca="1">IF($B14="","",SUM(_xlfn.XLOOKUP(C14,Lists!$P$2:$P$19,Lists!$T$2:$T$19,0),_xlfn.XLOOKUP(E14,Lists!$P$2:$P$19,Lists!$T$2:$T$19,0),_xlfn.XLOOKUP(G14,Lists!$P$2:$P$19,Lists!$T$2:$T$19,0),_xlfn.XLOOKUP(I14,Lists!$P$2:$P$19,Lists!$T$2:$T$19,0),_xlfn.XLOOKUP(K14,Lists!$P$2:$P$19,Lists!$T$2:$T$19,0)))</f>
        <v>0</v>
      </c>
      <c r="Q14" s="68">
        <f ca="1">IF($B14="","",SUM(_xlfn.XLOOKUP(C14,Lists!$P$2:$P$19,Lists!$U$2:$U$19,0),_xlfn.XLOOKUP(E14,Lists!$P$2:$P$19,Lists!$U$2:$U$19,0),_xlfn.XLOOKUP(G14,Lists!$P$2:$P$19,Lists!$U$2:$U$19,0),_xlfn.XLOOKUP(I14,Lists!$P$2:$P$19,Lists!$U$2:$U$19,0),_xlfn.XLOOKUP(K14,Lists!$P$2:$P$19,Lists!$U$2:$U$19,0)))</f>
        <v>0</v>
      </c>
      <c r="R14" s="68">
        <f ca="1">IF($B14="","",SUM(_xlfn.XLOOKUP(C14,Lists!$P$2:$P$19,Lists!$V$2:$V$19,0),_xlfn.XLOOKUP(E14,Lists!$P$2:$P$19,Lists!$V$2:$V$19,0),_xlfn.XLOOKUP(G14,Lists!$P$2:$P$19,Lists!$V$2:$V$19,0),_xlfn.XLOOKUP(I14,Lists!$P$2:$P$19,Lists!$V$2:$V$19,0),_xlfn.XLOOKUP(K14,Lists!$P$2:$P$19,Lists!$V$2:$V$19,0)))</f>
        <v>0</v>
      </c>
      <c r="S14" s="68">
        <f ca="1">IF($B14="","",SUM(_xlfn.XLOOKUP(D14,Lists!$AC$2:$AC$9,Lists!$AD$2:$AD$9,0),_xlfn.XLOOKUP(F14,Lists!$AC$2:$AC$9,Lists!$AD$2:$AD$9,0),_xlfn.XLOOKUP(H14,Lists!$AC$2:$AC$9,Lists!$AD$2:$AD$9,0),_xlfn.XLOOKUP(J14,Lists!$AC$2:$AC$9,Lists!$AD$2:$AD$9,0),_xlfn.XLOOKUP(L14,Lists!$AC$2:$AC$9,Lists!$AD$2:$AD$9,0)))</f>
        <v>0</v>
      </c>
      <c r="T14" s="68">
        <f ca="1">IF($B14="","",SUM(_xlfn.XLOOKUP(C14,Lists!$P$2:$P$19,Lists!$W$2:$W$19,0),_xlfn.XLOOKUP(E14,Lists!$P$2:$P$19,Lists!$W$2:$W$19,0),_xlfn.XLOOKUP(G14,Lists!$P$2:$P$19,Lists!$W$2:$W$19,0),_xlfn.XLOOKUP(I14,Lists!$P$2:$P$19,Lists!$W$2:$W$19,0),_xlfn.XLOOKUP(K14,Lists!$P$2:$P$19,Lists!$W$2:$W$19,0)))</f>
        <v>0</v>
      </c>
      <c r="U14" s="68">
        <f ca="1">IF($B14="","",SUM(_xlfn.XLOOKUP(C14,Lists!$P$2:$P$19,Lists!$X$2:$X$19,0),_xlfn.XLOOKUP(E14,Lists!$P$2:$P$19,Lists!$X$2:$X$19,0),_xlfn.XLOOKUP(G14,Lists!$P$2:$P$19,Lists!$X$2:$X$19,0),_xlfn.XLOOKUP(I14,Lists!$P$2:$P$19,Lists!$X$2:$X$19,0),_xlfn.XLOOKUP(K14,Lists!$P$2:$P$19,Lists!$X$2:$X$19,0)))</f>
        <v>0</v>
      </c>
      <c r="V14" s="68">
        <f ca="1">IF($B14="","",SUM(_xlfn.XLOOKUP(C14,Lists!$P$2:$P$19,Lists!$Y$2:$Y$19,0),_xlfn.XLOOKUP(E14,Lists!$P$2:$P$19,Lists!$Y$2:$Y$19,0),_xlfn.XLOOKUP(G14,Lists!$P$2:$P$19,Lists!$Y$2:$Y$19,0),_xlfn.XLOOKUP(I14,Lists!$P$2:$P$19,Lists!$Y$2:$Y$19,0),_xlfn.XLOOKUP(K14,Lists!$P$2:$P$19,Lists!$Y$2:$Y$19,0)))</f>
        <v>0</v>
      </c>
      <c r="W14" s="68">
        <f ca="1">IF($B14="","",SUM(_xlfn.XLOOKUP(C14,Lists!$P$2:$P$19,Lists!$Z$2:$Z$19,0),_xlfn.XLOOKUP(E14,Lists!$P$2:$P$19,Lists!$Z$2:$Z$19,0),_xlfn.XLOOKUP(G14,Lists!$P$2:$P$19,Lists!$Z$2:$Z$19,0),_xlfn.XLOOKUP(I14,Lists!$P$2:$P$19,Lists!$Z$2:$Z$19,0),_xlfn.XLOOKUP(K14,Lists!$P$2:$P$19,Lists!$Z$2:$Z$19,0)))</f>
        <v>0</v>
      </c>
      <c r="X14" s="69">
        <f ca="1">IF($B14="","",SUM(_xlfn.XLOOKUP(C14,Lists!$P$2:$P$19,Lists!$AA$2:$AA$19,0),_xlfn.XLOOKUP(E14,Lists!$P$2:$P$19,Lists!$AA$2:$AA$19,0),_xlfn.XLOOKUP(G14,Lists!$P$2:$P$19,Lists!$AA$2:$AA$19,0),_xlfn.XLOOKUP(I14,Lists!$P$2:$P$19,Lists!$AA$2:$AA$19,0),_xlfn.XLOOKUP(K14,Lists!$P$2:$P$19,Lists!$AA$2:$AA$19,0)))</f>
        <v>0</v>
      </c>
      <c r="Y14" s="49"/>
      <c r="Z14" s="49"/>
      <c r="AA14" s="49"/>
      <c r="AB14" s="49"/>
      <c r="AC14" s="49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</row>
    <row r="15" spans="1:110">
      <c r="A15" s="168">
        <v>7</v>
      </c>
      <c r="B15" s="47" t="str">
        <f ca="1">Lineups!$C$11</f>
        <v>Blue Toad</v>
      </c>
      <c r="C15" s="49" t="s">
        <v>189</v>
      </c>
      <c r="D15" s="49"/>
      <c r="E15" s="49"/>
      <c r="F15" s="49"/>
      <c r="G15" s="49"/>
      <c r="H15" s="50"/>
      <c r="I15" s="50"/>
      <c r="J15" s="50"/>
      <c r="K15" s="50"/>
      <c r="L15" s="50"/>
      <c r="M15" s="67">
        <f ca="1">IF($B15="","",SUM(_xlfn.XLOOKUP(C15,Lists!$P$2:$P$19,Lists!$R$2:$R$19,0),_xlfn.XLOOKUP(E15,Lists!$P$2:$P$19,Lists!$R$2:$R$19,0),_xlfn.XLOOKUP(G15,Lists!$P$2:$P$19,Lists!$R$2:$R$19,0),_xlfn.XLOOKUP(I15,Lists!$P$2:$P$19,Lists!$R$2:$R$19,0),_xlfn.XLOOKUP(K15,Lists!$P$2:$P$19,Lists!$R$2:$R$19,0)))</f>
        <v>1</v>
      </c>
      <c r="N15" s="68">
        <f ca="1">IF($B15="","",SUM(_xlfn.XLOOKUP(D15,Lists!$AC$2:$AC$9,Lists!$AE$2:$AE$9,0),_xlfn.XLOOKUP(F15,Lists!$AC$2:$AC$9,Lists!$AE$2:$AE$9,0),_xlfn.XLOOKUP(H15,Lists!$AC$2:$AC$9,Lists!$AE$2:$AE$9,0),_xlfn.XLOOKUP(J15,Lists!$AC$2:$AC$9,Lists!$AE$2:$AE$9,0),_xlfn.XLOOKUP(L15,Lists!$AC$2:$AC$9,Lists!$AE$2:$AE$9,0)))</f>
        <v>0</v>
      </c>
      <c r="O15" s="68">
        <f ca="1">IF($B15="","",SUM(_xlfn.XLOOKUP(C15,Lists!$P$2:$P$19,Lists!$S$2:$S$19,0),_xlfn.XLOOKUP(E15,Lists!$P$2:$P$19,Lists!$S$2:$S$19,0),_xlfn.XLOOKUP(G15,Lists!$P$2:$P$19,Lists!$S$2:$S$19,0),_xlfn.XLOOKUP(I15,Lists!$P$2:$P$19,Lists!$S$2:$S$19,0),_xlfn.XLOOKUP(K15,Lists!$P$2:$P$19,Lists!$S$2:$S$19,0)))</f>
        <v>0</v>
      </c>
      <c r="P15" s="68">
        <f ca="1">IF($B15="","",SUM(_xlfn.XLOOKUP(C15,Lists!$P$2:$P$19,Lists!$T$2:$T$19,0),_xlfn.XLOOKUP(E15,Lists!$P$2:$P$19,Lists!$T$2:$T$19,0),_xlfn.XLOOKUP(G15,Lists!$P$2:$P$19,Lists!$T$2:$T$19,0),_xlfn.XLOOKUP(I15,Lists!$P$2:$P$19,Lists!$T$2:$T$19,0),_xlfn.XLOOKUP(K15,Lists!$P$2:$P$19,Lists!$T$2:$T$19,0)))</f>
        <v>0</v>
      </c>
      <c r="Q15" s="68">
        <f ca="1">IF($B15="","",SUM(_xlfn.XLOOKUP(C15,Lists!$P$2:$P$19,Lists!$U$2:$U$19,0),_xlfn.XLOOKUP(E15,Lists!$P$2:$P$19,Lists!$U$2:$U$19,0),_xlfn.XLOOKUP(G15,Lists!$P$2:$P$19,Lists!$U$2:$U$19,0),_xlfn.XLOOKUP(I15,Lists!$P$2:$P$19,Lists!$U$2:$U$19,0),_xlfn.XLOOKUP(K15,Lists!$P$2:$P$19,Lists!$U$2:$U$19,0)))</f>
        <v>0</v>
      </c>
      <c r="R15" s="68">
        <f ca="1">IF($B15="","",SUM(_xlfn.XLOOKUP(C15,Lists!$P$2:$P$19,Lists!$V$2:$V$19,0),_xlfn.XLOOKUP(E15,Lists!$P$2:$P$19,Lists!$V$2:$V$19,0),_xlfn.XLOOKUP(G15,Lists!$P$2:$P$19,Lists!$V$2:$V$19,0),_xlfn.XLOOKUP(I15,Lists!$P$2:$P$19,Lists!$V$2:$V$19,0),_xlfn.XLOOKUP(K15,Lists!$P$2:$P$19,Lists!$V$2:$V$19,0)))</f>
        <v>0</v>
      </c>
      <c r="S15" s="68">
        <f ca="1">IF($B15="","",SUM(_xlfn.XLOOKUP(D15,Lists!$AC$2:$AC$9,Lists!$AD$2:$AD$9,0),_xlfn.XLOOKUP(F15,Lists!$AC$2:$AC$9,Lists!$AD$2:$AD$9,0),_xlfn.XLOOKUP(H15,Lists!$AC$2:$AC$9,Lists!$AD$2:$AD$9,0),_xlfn.XLOOKUP(J15,Lists!$AC$2:$AC$9,Lists!$AD$2:$AD$9,0),_xlfn.XLOOKUP(L15,Lists!$AC$2:$AC$9,Lists!$AD$2:$AD$9,0)))</f>
        <v>0</v>
      </c>
      <c r="T15" s="68">
        <f ca="1">IF($B15="","",SUM(_xlfn.XLOOKUP(C15,Lists!$P$2:$P$19,Lists!$W$2:$W$19,0),_xlfn.XLOOKUP(E15,Lists!$P$2:$P$19,Lists!$W$2:$W$19,0),_xlfn.XLOOKUP(G15,Lists!$P$2:$P$19,Lists!$W$2:$W$19,0),_xlfn.XLOOKUP(I15,Lists!$P$2:$P$19,Lists!$W$2:$W$19,0),_xlfn.XLOOKUP(K15,Lists!$P$2:$P$19,Lists!$W$2:$W$19,0)))</f>
        <v>0</v>
      </c>
      <c r="U15" s="68">
        <f ca="1">IF($B15="","",SUM(_xlfn.XLOOKUP(C15,Lists!$P$2:$P$19,Lists!$X$2:$X$19,0),_xlfn.XLOOKUP(E15,Lists!$P$2:$P$19,Lists!$X$2:$X$19,0),_xlfn.XLOOKUP(G15,Lists!$P$2:$P$19,Lists!$X$2:$X$19,0),_xlfn.XLOOKUP(I15,Lists!$P$2:$P$19,Lists!$X$2:$X$19,0),_xlfn.XLOOKUP(K15,Lists!$P$2:$P$19,Lists!$X$2:$X$19,0)))</f>
        <v>0</v>
      </c>
      <c r="V15" s="68">
        <f ca="1">IF($B15="","",SUM(_xlfn.XLOOKUP(C15,Lists!$P$2:$P$19,Lists!$Y$2:$Y$19,0),_xlfn.XLOOKUP(E15,Lists!$P$2:$P$19,Lists!$Y$2:$Y$19,0),_xlfn.XLOOKUP(G15,Lists!$P$2:$P$19,Lists!$Y$2:$Y$19,0),_xlfn.XLOOKUP(I15,Lists!$P$2:$P$19,Lists!$Y$2:$Y$19,0),_xlfn.XLOOKUP(K15,Lists!$P$2:$P$19,Lists!$Y$2:$Y$19,0)))</f>
        <v>0</v>
      </c>
      <c r="W15" s="68">
        <f ca="1">IF($B15="","",SUM(_xlfn.XLOOKUP(C15,Lists!$P$2:$P$19,Lists!$Z$2:$Z$19,0),_xlfn.XLOOKUP(E15,Lists!$P$2:$P$19,Lists!$Z$2:$Z$19,0),_xlfn.XLOOKUP(G15,Lists!$P$2:$P$19,Lists!$Z$2:$Z$19,0),_xlfn.XLOOKUP(I15,Lists!$P$2:$P$19,Lists!$Z$2:$Z$19,0),_xlfn.XLOOKUP(K15,Lists!$P$2:$P$19,Lists!$Z$2:$Z$19,0)))</f>
        <v>0</v>
      </c>
      <c r="X15" s="69">
        <f ca="1">IF($B15="","",SUM(_xlfn.XLOOKUP(C15,Lists!$P$2:$P$19,Lists!$AA$2:$AA$19,0),_xlfn.XLOOKUP(E15,Lists!$P$2:$P$19,Lists!$AA$2:$AA$19,0),_xlfn.XLOOKUP(G15,Lists!$P$2:$P$19,Lists!$AA$2:$AA$19,0),_xlfn.XLOOKUP(I15,Lists!$P$2:$P$19,Lists!$AA$2:$AA$19,0),_xlfn.XLOOKUP(K15,Lists!$P$2:$P$19,Lists!$AA$2:$AA$19,0)))</f>
        <v>0</v>
      </c>
      <c r="Y15" s="49"/>
      <c r="Z15" s="49"/>
      <c r="AA15" s="49"/>
      <c r="AB15" s="49"/>
      <c r="AC15" s="49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</row>
    <row r="16" spans="1:110">
      <c r="A16" s="168">
        <v>8</v>
      </c>
      <c r="B16" s="47" t="str">
        <f ca="1">Lineups!$C$12</f>
        <v>Toadette</v>
      </c>
      <c r="C16" s="49" t="s">
        <v>193</v>
      </c>
      <c r="D16" s="49"/>
      <c r="E16" s="49"/>
      <c r="F16" s="49"/>
      <c r="G16" s="49"/>
      <c r="H16" s="50"/>
      <c r="I16" s="50"/>
      <c r="J16" s="50"/>
      <c r="K16" s="50"/>
      <c r="L16" s="50"/>
      <c r="M16" s="67">
        <f ca="1">IF($B16="","",SUM(_xlfn.XLOOKUP(C16,Lists!$P$2:$P$19,Lists!$R$2:$R$19,0),_xlfn.XLOOKUP(E16,Lists!$P$2:$P$19,Lists!$R$2:$R$19,0),_xlfn.XLOOKUP(G16,Lists!$P$2:$P$19,Lists!$R$2:$R$19,0),_xlfn.XLOOKUP(I16,Lists!$P$2:$P$19,Lists!$R$2:$R$19,0),_xlfn.XLOOKUP(K16,Lists!$P$2:$P$19,Lists!$R$2:$R$19,0)))</f>
        <v>1</v>
      </c>
      <c r="N16" s="68">
        <f ca="1">IF($B16="","",SUM(_xlfn.XLOOKUP(D16,Lists!$AC$2:$AC$9,Lists!$AE$2:$AE$9,0),_xlfn.XLOOKUP(F16,Lists!$AC$2:$AC$9,Lists!$AE$2:$AE$9,0),_xlfn.XLOOKUP(H16,Lists!$AC$2:$AC$9,Lists!$AE$2:$AE$9,0),_xlfn.XLOOKUP(J16,Lists!$AC$2:$AC$9,Lists!$AE$2:$AE$9,0),_xlfn.XLOOKUP(L16,Lists!$AC$2:$AC$9,Lists!$AE$2:$AE$9,0)))</f>
        <v>0</v>
      </c>
      <c r="O16" s="68">
        <f ca="1">IF($B16="","",SUM(_xlfn.XLOOKUP(C16,Lists!$P$2:$P$19,Lists!$S$2:$S$19,0),_xlfn.XLOOKUP(E16,Lists!$P$2:$P$19,Lists!$S$2:$S$19,0),_xlfn.XLOOKUP(G16,Lists!$P$2:$P$19,Lists!$S$2:$S$19,0),_xlfn.XLOOKUP(I16,Lists!$P$2:$P$19,Lists!$S$2:$S$19,0),_xlfn.XLOOKUP(K16,Lists!$P$2:$P$19,Lists!$S$2:$S$19,0)))</f>
        <v>0</v>
      </c>
      <c r="P16" s="68">
        <f ca="1">IF($B16="","",SUM(_xlfn.XLOOKUP(C16,Lists!$P$2:$P$19,Lists!$T$2:$T$19,0),_xlfn.XLOOKUP(E16,Lists!$P$2:$P$19,Lists!$T$2:$T$19,0),_xlfn.XLOOKUP(G16,Lists!$P$2:$P$19,Lists!$T$2:$T$19,0),_xlfn.XLOOKUP(I16,Lists!$P$2:$P$19,Lists!$T$2:$T$19,0),_xlfn.XLOOKUP(K16,Lists!$P$2:$P$19,Lists!$T$2:$T$19,0)))</f>
        <v>0</v>
      </c>
      <c r="Q16" s="68">
        <f ca="1">IF($B16="","",SUM(_xlfn.XLOOKUP(C16,Lists!$P$2:$P$19,Lists!$U$2:$U$19,0),_xlfn.XLOOKUP(E16,Lists!$P$2:$P$19,Lists!$U$2:$U$19,0),_xlfn.XLOOKUP(G16,Lists!$P$2:$P$19,Lists!$U$2:$U$19,0),_xlfn.XLOOKUP(I16,Lists!$P$2:$P$19,Lists!$U$2:$U$19,0),_xlfn.XLOOKUP(K16,Lists!$P$2:$P$19,Lists!$U$2:$U$19,0)))</f>
        <v>0</v>
      </c>
      <c r="R16" s="68">
        <f ca="1">IF($B16="","",SUM(_xlfn.XLOOKUP(C16,Lists!$P$2:$P$19,Lists!$V$2:$V$19,0),_xlfn.XLOOKUP(E16,Lists!$P$2:$P$19,Lists!$V$2:$V$19,0),_xlfn.XLOOKUP(G16,Lists!$P$2:$P$19,Lists!$V$2:$V$19,0),_xlfn.XLOOKUP(I16,Lists!$P$2:$P$19,Lists!$V$2:$V$19,0),_xlfn.XLOOKUP(K16,Lists!$P$2:$P$19,Lists!$V$2:$V$19,0)))</f>
        <v>0</v>
      </c>
      <c r="S16" s="68">
        <f ca="1">IF($B16="","",SUM(_xlfn.XLOOKUP(D16,Lists!$AC$2:$AC$9,Lists!$AD$2:$AD$9,0),_xlfn.XLOOKUP(F16,Lists!$AC$2:$AC$9,Lists!$AD$2:$AD$9,0),_xlfn.XLOOKUP(H16,Lists!$AC$2:$AC$9,Lists!$AD$2:$AD$9,0),_xlfn.XLOOKUP(J16,Lists!$AC$2:$AC$9,Lists!$AD$2:$AD$9,0),_xlfn.XLOOKUP(L16,Lists!$AC$2:$AC$9,Lists!$AD$2:$AD$9,0)))</f>
        <v>0</v>
      </c>
      <c r="T16" s="68">
        <f ca="1">IF($B16="","",SUM(_xlfn.XLOOKUP(C16,Lists!$P$2:$P$19,Lists!$W$2:$W$19,0),_xlfn.XLOOKUP(E16,Lists!$P$2:$P$19,Lists!$W$2:$W$19,0),_xlfn.XLOOKUP(G16,Lists!$P$2:$P$19,Lists!$W$2:$W$19,0),_xlfn.XLOOKUP(I16,Lists!$P$2:$P$19,Lists!$W$2:$W$19,0),_xlfn.XLOOKUP(K16,Lists!$P$2:$P$19,Lists!$W$2:$W$19,0)))</f>
        <v>0</v>
      </c>
      <c r="U16" s="68">
        <f ca="1">IF($B16="","",SUM(_xlfn.XLOOKUP(C16,Lists!$P$2:$P$19,Lists!$X$2:$X$19,0),_xlfn.XLOOKUP(E16,Lists!$P$2:$P$19,Lists!$X$2:$X$19,0),_xlfn.XLOOKUP(G16,Lists!$P$2:$P$19,Lists!$X$2:$X$19,0),_xlfn.XLOOKUP(I16,Lists!$P$2:$P$19,Lists!$X$2:$X$19,0),_xlfn.XLOOKUP(K16,Lists!$P$2:$P$19,Lists!$X$2:$X$19,0)))</f>
        <v>0</v>
      </c>
      <c r="V16" s="68">
        <f ca="1">IF($B16="","",SUM(_xlfn.XLOOKUP(C16,Lists!$P$2:$P$19,Lists!$Y$2:$Y$19,0),_xlfn.XLOOKUP(E16,Lists!$P$2:$P$19,Lists!$Y$2:$Y$19,0),_xlfn.XLOOKUP(G16,Lists!$P$2:$P$19,Lists!$Y$2:$Y$19,0),_xlfn.XLOOKUP(I16,Lists!$P$2:$P$19,Lists!$Y$2:$Y$19,0),_xlfn.XLOOKUP(K16,Lists!$P$2:$P$19,Lists!$Y$2:$Y$19,0)))</f>
        <v>0</v>
      </c>
      <c r="W16" s="68">
        <f ca="1">IF($B16="","",SUM(_xlfn.XLOOKUP(C16,Lists!$P$2:$P$19,Lists!$Z$2:$Z$19,0),_xlfn.XLOOKUP(E16,Lists!$P$2:$P$19,Lists!$Z$2:$Z$19,0),_xlfn.XLOOKUP(G16,Lists!$P$2:$P$19,Lists!$Z$2:$Z$19,0),_xlfn.XLOOKUP(I16,Lists!$P$2:$P$19,Lists!$Z$2:$Z$19,0),_xlfn.XLOOKUP(K16,Lists!$P$2:$P$19,Lists!$Z$2:$Z$19,0)))</f>
        <v>0</v>
      </c>
      <c r="X16" s="69">
        <f ca="1">IF($B16="","",SUM(_xlfn.XLOOKUP(C16,Lists!$P$2:$P$19,Lists!$AA$2:$AA$19,0),_xlfn.XLOOKUP(E16,Lists!$P$2:$P$19,Lists!$AA$2:$AA$19,0),_xlfn.XLOOKUP(G16,Lists!$P$2:$P$19,Lists!$AA$2:$AA$19,0),_xlfn.XLOOKUP(I16,Lists!$P$2:$P$19,Lists!$AA$2:$AA$19,0),_xlfn.XLOOKUP(K16,Lists!$P$2:$P$19,Lists!$AA$2:$AA$19,0)))</f>
        <v>0</v>
      </c>
      <c r="Y16" s="49"/>
      <c r="Z16" s="49"/>
      <c r="AA16" s="49"/>
      <c r="AB16" s="49"/>
      <c r="AC16" s="49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</row>
    <row r="17" spans="1:110">
      <c r="A17" s="168">
        <v>9</v>
      </c>
      <c r="B17" s="47" t="str">
        <f ca="1">Lineups!$C$13</f>
        <v>Wiggler</v>
      </c>
      <c r="C17" s="49" t="s">
        <v>186</v>
      </c>
      <c r="D17" s="49"/>
      <c r="E17" s="49"/>
      <c r="F17" s="49"/>
      <c r="G17" s="49"/>
      <c r="H17" s="50"/>
      <c r="I17" s="50"/>
      <c r="J17" s="50"/>
      <c r="K17" s="50"/>
      <c r="L17" s="50"/>
      <c r="M17" s="67">
        <f ca="1">IF($B17="","",SUM(_xlfn.XLOOKUP(C17,Lists!$P$2:$P$19,Lists!$R$2:$R$19,0),_xlfn.XLOOKUP(E17,Lists!$P$2:$P$19,Lists!$R$2:$R$19,0),_xlfn.XLOOKUP(G17,Lists!$P$2:$P$19,Lists!$R$2:$R$19,0),_xlfn.XLOOKUP(I17,Lists!$P$2:$P$19,Lists!$R$2:$R$19,0),_xlfn.XLOOKUP(K17,Lists!$P$2:$P$19,Lists!$R$2:$R$19,0)))</f>
        <v>1</v>
      </c>
      <c r="N17" s="68">
        <f ca="1">IF($B17="","",SUM(_xlfn.XLOOKUP(D17,Lists!$AC$2:$AC$9,Lists!$AE$2:$AE$9,0),_xlfn.XLOOKUP(F17,Lists!$AC$2:$AC$9,Lists!$AE$2:$AE$9,0),_xlfn.XLOOKUP(H17,Lists!$AC$2:$AC$9,Lists!$AE$2:$AE$9,0),_xlfn.XLOOKUP(J17,Lists!$AC$2:$AC$9,Lists!$AE$2:$AE$9,0),_xlfn.XLOOKUP(L17,Lists!$AC$2:$AC$9,Lists!$AE$2:$AE$9,0)))</f>
        <v>0</v>
      </c>
      <c r="O17" s="68">
        <f ca="1">IF($B17="","",SUM(_xlfn.XLOOKUP(C17,Lists!$P$2:$P$19,Lists!$S$2:$S$19,0),_xlfn.XLOOKUP(E17,Lists!$P$2:$P$19,Lists!$S$2:$S$19,0),_xlfn.XLOOKUP(G17,Lists!$P$2:$P$19,Lists!$S$2:$S$19,0),_xlfn.XLOOKUP(I17,Lists!$P$2:$P$19,Lists!$S$2:$S$19,0),_xlfn.XLOOKUP(K17,Lists!$P$2:$P$19,Lists!$S$2:$S$19,0)))</f>
        <v>0</v>
      </c>
      <c r="P17" s="68">
        <f ca="1">IF($B17="","",SUM(_xlfn.XLOOKUP(C17,Lists!$P$2:$P$19,Lists!$T$2:$T$19,0),_xlfn.XLOOKUP(E17,Lists!$P$2:$P$19,Lists!$T$2:$T$19,0),_xlfn.XLOOKUP(G17,Lists!$P$2:$P$19,Lists!$T$2:$T$19,0),_xlfn.XLOOKUP(I17,Lists!$P$2:$P$19,Lists!$T$2:$T$19,0),_xlfn.XLOOKUP(K17,Lists!$P$2:$P$19,Lists!$T$2:$T$19,0)))</f>
        <v>0</v>
      </c>
      <c r="Q17" s="68">
        <f ca="1">IF($B17="","",SUM(_xlfn.XLOOKUP(C17,Lists!$P$2:$P$19,Lists!$U$2:$U$19,0),_xlfn.XLOOKUP(E17,Lists!$P$2:$P$19,Lists!$U$2:$U$19,0),_xlfn.XLOOKUP(G17,Lists!$P$2:$P$19,Lists!$U$2:$U$19,0),_xlfn.XLOOKUP(I17,Lists!$P$2:$P$19,Lists!$U$2:$U$19,0),_xlfn.XLOOKUP(K17,Lists!$P$2:$P$19,Lists!$U$2:$U$19,0)))</f>
        <v>0</v>
      </c>
      <c r="R17" s="68">
        <f ca="1">IF($B17="","",SUM(_xlfn.XLOOKUP(C17,Lists!$P$2:$P$19,Lists!$V$2:$V$19,0),_xlfn.XLOOKUP(E17,Lists!$P$2:$P$19,Lists!$V$2:$V$19,0),_xlfn.XLOOKUP(G17,Lists!$P$2:$P$19,Lists!$V$2:$V$19,0),_xlfn.XLOOKUP(I17,Lists!$P$2:$P$19,Lists!$V$2:$V$19,0),_xlfn.XLOOKUP(K17,Lists!$P$2:$P$19,Lists!$V$2:$V$19,0)))</f>
        <v>0</v>
      </c>
      <c r="S17" s="68">
        <f ca="1">IF($B17="","",SUM(_xlfn.XLOOKUP(D17,Lists!$AC$2:$AC$9,Lists!$AD$2:$AD$9,0),_xlfn.XLOOKUP(F17,Lists!$AC$2:$AC$9,Lists!$AD$2:$AD$9,0),_xlfn.XLOOKUP(H17,Lists!$AC$2:$AC$9,Lists!$AD$2:$AD$9,0),_xlfn.XLOOKUP(J17,Lists!$AC$2:$AC$9,Lists!$AD$2:$AD$9,0),_xlfn.XLOOKUP(L17,Lists!$AC$2:$AC$9,Lists!$AD$2:$AD$9,0)))</f>
        <v>0</v>
      </c>
      <c r="T17" s="68">
        <f ca="1">IF($B17="","",SUM(_xlfn.XLOOKUP(C17,Lists!$P$2:$P$19,Lists!$W$2:$W$19,0),_xlfn.XLOOKUP(E17,Lists!$P$2:$P$19,Lists!$W$2:$W$19,0),_xlfn.XLOOKUP(G17,Lists!$P$2:$P$19,Lists!$W$2:$W$19,0),_xlfn.XLOOKUP(I17,Lists!$P$2:$P$19,Lists!$W$2:$W$19,0),_xlfn.XLOOKUP(K17,Lists!$P$2:$P$19,Lists!$W$2:$W$19,0)))</f>
        <v>0</v>
      </c>
      <c r="U17" s="68">
        <f ca="1">IF($B17="","",SUM(_xlfn.XLOOKUP(C17,Lists!$P$2:$P$19,Lists!$X$2:$X$19,0),_xlfn.XLOOKUP(E17,Lists!$P$2:$P$19,Lists!$X$2:$X$19,0),_xlfn.XLOOKUP(G17,Lists!$P$2:$P$19,Lists!$X$2:$X$19,0),_xlfn.XLOOKUP(I17,Lists!$P$2:$P$19,Lists!$X$2:$X$19,0),_xlfn.XLOOKUP(K17,Lists!$P$2:$P$19,Lists!$X$2:$X$19,0)))</f>
        <v>0</v>
      </c>
      <c r="V17" s="68">
        <f ca="1">IF($B17="","",SUM(_xlfn.XLOOKUP(C17,Lists!$P$2:$P$19,Lists!$Y$2:$Y$19,0),_xlfn.XLOOKUP(E17,Lists!$P$2:$P$19,Lists!$Y$2:$Y$19,0),_xlfn.XLOOKUP(G17,Lists!$P$2:$P$19,Lists!$Y$2:$Y$19,0),_xlfn.XLOOKUP(I17,Lists!$P$2:$P$19,Lists!$Y$2:$Y$19,0),_xlfn.XLOOKUP(K17,Lists!$P$2:$P$19,Lists!$Y$2:$Y$19,0)))</f>
        <v>0</v>
      </c>
      <c r="W17" s="68">
        <f ca="1">IF($B17="","",SUM(_xlfn.XLOOKUP(C17,Lists!$P$2:$P$19,Lists!$Z$2:$Z$19,0),_xlfn.XLOOKUP(E17,Lists!$P$2:$P$19,Lists!$Z$2:$Z$19,0),_xlfn.XLOOKUP(G17,Lists!$P$2:$P$19,Lists!$Z$2:$Z$19,0),_xlfn.XLOOKUP(I17,Lists!$P$2:$P$19,Lists!$Z$2:$Z$19,0),_xlfn.XLOOKUP(K17,Lists!$P$2:$P$19,Lists!$Z$2:$Z$19,0)))</f>
        <v>0</v>
      </c>
      <c r="X17" s="69">
        <f ca="1">IF($B17="","",SUM(_xlfn.XLOOKUP(C17,Lists!$P$2:$P$19,Lists!$AA$2:$AA$19,0),_xlfn.XLOOKUP(E17,Lists!$P$2:$P$19,Lists!$AA$2:$AA$19,0),_xlfn.XLOOKUP(G17,Lists!$P$2:$P$19,Lists!$AA$2:$AA$19,0),_xlfn.XLOOKUP(I17,Lists!$P$2:$P$19,Lists!$AA$2:$AA$19,0),_xlfn.XLOOKUP(K17,Lists!$P$2:$P$19,Lists!$AA$2:$AA$19,0)))</f>
        <v>0</v>
      </c>
      <c r="Y17" s="49"/>
      <c r="Z17" s="49"/>
      <c r="AA17" s="49"/>
      <c r="AB17" s="49"/>
      <c r="AC17" s="49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</row>
    <row r="18" spans="1:110">
      <c r="A18" s="173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</row>
    <row r="19" spans="1:110">
      <c r="A19" s="226" t="str">
        <f ca="1">IF($N$2="","Team A Pitching",$N$2&amp;" Pitching")</f>
        <v>Nick Pitching</v>
      </c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08"/>
      <c r="O19" s="187"/>
      <c r="P19" s="24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</row>
    <row r="20" spans="1:110">
      <c r="A20" s="183" t="s">
        <v>103</v>
      </c>
      <c r="B20" s="184" t="s">
        <v>194</v>
      </c>
      <c r="C20" s="184" t="s">
        <v>195</v>
      </c>
      <c r="D20" s="184" t="s">
        <v>162</v>
      </c>
      <c r="E20" s="184" t="s">
        <v>161</v>
      </c>
      <c r="F20" s="184" t="s">
        <v>196</v>
      </c>
      <c r="G20" s="184" t="s">
        <v>180</v>
      </c>
      <c r="H20" s="184" t="s">
        <v>181</v>
      </c>
      <c r="I20" s="185" t="s">
        <v>197</v>
      </c>
      <c r="J20" s="185" t="s">
        <v>198</v>
      </c>
      <c r="K20" s="185" t="s">
        <v>199</v>
      </c>
      <c r="L20" s="185" t="s">
        <v>200</v>
      </c>
      <c r="M20" s="185" t="s">
        <v>201</v>
      </c>
      <c r="N20" s="188" t="s">
        <v>202</v>
      </c>
      <c r="O20" s="188" t="s">
        <v>203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</row>
    <row r="21" spans="1:110">
      <c r="A21" s="168">
        <v>1</v>
      </c>
      <c r="B21" s="71" t="s">
        <v>42</v>
      </c>
      <c r="C21" s="70" cm="1">
        <f t="array" aca="1" ref="C21" ca="1">IF(OR(B21="",O21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2</v>
      </c>
      <c r="D21" s="67" cm="1">
        <f t="array" aca="1" ref="D21" ca="1">IF(OR(B21="",O21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0</v>
      </c>
      <c r="E21" s="67" cm="1">
        <f t="array" aca="1" ref="E21" ca="1">IF(OR(B21="",O21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0</v>
      </c>
      <c r="F21" s="67" cm="1">
        <f t="array" aca="1" ref="F21" ca="1">IF(OR(B21="",O21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0</v>
      </c>
      <c r="G21" s="67" cm="1">
        <f t="array" aca="1" ref="G21" ca="1">IF(OR(B21="",O21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21" s="67" cm="1">
        <f t="array" aca="1" ref="H21" ca="1">IF(OR(B21="",O21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3</v>
      </c>
      <c r="I21" s="68" cm="1">
        <f t="array" aca="1" ref="I21" ca="1">IF(OR(B21="",O21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21" s="68" cm="1">
        <f t="array" aca="1" ref="J21" ca="1">IF(OR(B21="",O21=""),"",--($K$4&gt;$K$5)*--(ROW()-ROW(C20)=_xlfn.XLOOKUP(MAX(IF(O21:O26&gt;0,INT(C21:C26)*3+MOD(ROUND(C21:C26*10,0),10),-1)),IF(O21:O26&gt;0,INT(C21:C26)*3+MOD(ROUND(C21:C26*10,0),10),-1),_xlfn.SEQUENCE(ROWS(O21:O26)),,0)))</f>
        <v>1</v>
      </c>
      <c r="K21" s="68" cm="1">
        <f t="array" aca="1" ref="K21" ca="1">IF(OR(B21="",O21=""),"",--($K$4&lt;$K$5)*--(ROW()-ROW(C20)=_xlfn.XLOOKUP(MAX(IF(O21:O26&gt;0,E21:E26,-1)),IF(O21:O26&gt;0,E21:E26,-1),_xlfn.SEQUENCE(ROWS(O21:O26)),,0)))</f>
        <v>0</v>
      </c>
      <c r="L21" s="68" cm="1">
        <f t="array" aca="1" ref="L21" ca="1">IF(OR(B21="",O21=""),"",--($K$4&gt;$K$5)*--(COUNTIF(O21:O26,"&gt;0")&gt;1)*--(ROW()-ROW(C20)=_xlfn.XLOOKUP(TRUE,O21:O26&gt;0,_xlfn.SEQUENCE(ROWS(O21:O26)),,0,-1))*--(_xlfn.XLOOKUP(TRUE,O21:O26&gt;0,_xlfn.SEQUENCE(ROWS(O21:O26)),,0,-1)&lt;&gt;_xlfn.XLOOKUP(MAX(IF(O21:O26&gt;0,INT(C21:C26)*3+MOD(ROUND(C21:C26*10,0),10),-1)),IF(O21:O26&gt;0,INT(C21:C26)*3+MOD(ROUND(C21:C26*10,0),10),-1),_xlfn.SEQUENCE(ROWS(O21:O26)),,0))*--(($K$4-$K$5)&lt;=3)*--((INT(C21)*3+MOD(ROUND(C21*10,0),10))&gt;=3))</f>
        <v>0</v>
      </c>
      <c r="M21" s="68">
        <f>IF(OR(B21="",O21=""),"",--(COUNTIF(O21:O26,"&gt;0")=1)*--($K$5=0))</f>
        <v>0</v>
      </c>
      <c r="N21" s="69">
        <f>IF(OR(B21="",O21=""),"",--(COUNTIF(O21:O26,"&gt;0")=1))</f>
        <v>0</v>
      </c>
      <c r="O21" s="51">
        <v>6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</row>
    <row r="22" spans="1:110">
      <c r="A22" s="168">
        <v>2</v>
      </c>
      <c r="B22" s="71" t="s">
        <v>86</v>
      </c>
      <c r="C22" s="70" cm="1">
        <f t="array" aca="1" ref="C22" ca="1">IF(OR(B22="",O22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1</v>
      </c>
      <c r="D22" s="67" cm="1">
        <f t="array" aca="1" ref="D22" ca="1">IF(OR(B22="",O22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0</v>
      </c>
      <c r="E22" s="67" cm="1">
        <f t="array" aca="1" ref="E22" ca="1">IF(OR(B22="",O22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0</v>
      </c>
      <c r="F22" s="67" cm="1">
        <f t="array" aca="1" ref="F22" ca="1">IF(OR(B22="",O22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0</v>
      </c>
      <c r="G22" s="67" cm="1">
        <f t="array" aca="1" ref="G22" ca="1">IF(OR(B22="",O22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22" s="67" cm="1">
        <f t="array" aca="1" ref="H22" ca="1">IF(OR(B22="",O22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1</v>
      </c>
      <c r="I22" s="68" cm="1">
        <f t="array" aca="1" ref="I22" ca="1">IF(OR(B22="",O22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22" s="68" cm="1">
        <f t="array" aca="1" ref="J22" ca="1">IF(OR(B22="",O22=""),"",--($K$4&gt;$K$5)*--(ROW()-ROW(C20)=_xlfn.XLOOKUP(MAX(IF(O21:O26&gt;0,INT(C21:C26)*3+MOD(ROUND(C21:C26*10,0),10),-1)),IF(O21:O26&gt;0,INT(C21:C26)*3+MOD(ROUND(C21:C26*10,0),10),-1),_xlfn.SEQUENCE(ROWS(O21:O26)),,0)))</f>
        <v>0</v>
      </c>
      <c r="K22" s="68" cm="1">
        <f t="array" aca="1" ref="K22" ca="1">IF(OR(B22="",O22=""),"",--($K$4&lt;$K$5)*--(ROW()-ROW(C20)=_xlfn.XLOOKUP(MAX(IF(O21:O26&gt;0,E21:E26,-1)),IF(O21:O26&gt;0,E21:E26,-1),_xlfn.SEQUENCE(ROWS(O21:O26)),,0)))</f>
        <v>0</v>
      </c>
      <c r="L22" s="68" cm="1">
        <f t="array" aca="1" ref="L22" ca="1">IF(OR(B22="",O22=""),"",--($K$4&gt;$K$5)*--(COUNTIF(O21:O26,"&gt;0")&gt;1)*--(ROW()-ROW(C20)=_xlfn.XLOOKUP(TRUE,O21:O26&gt;0,_xlfn.SEQUENCE(ROWS(O21:O26)),,0,-1))*--(_xlfn.XLOOKUP(TRUE,O21:O26&gt;0,_xlfn.SEQUENCE(ROWS(O21:O26)),,0,-1)&lt;&gt;_xlfn.XLOOKUP(MAX(IF(O21:O26&gt;0,INT(C21:C26)*3+MOD(ROUND(C21:C26*10,0),10),-1)),IF(O21:O26&gt;0,INT(C21:C26)*3+MOD(ROUND(C21:C26*10,0),10),-1),_xlfn.SEQUENCE(ROWS(O21:O26)),,0))*--(($K$4-$K$5)&lt;=3)*--((INT(C22)*3+MOD(ROUND(C22*10,0),10))&gt;=3))</f>
        <v>0</v>
      </c>
      <c r="M22" s="68">
        <f>IF(OR(B22="",O22=""),"",--(COUNTIF(O21:O26,"&gt;0")=1)*--($K$5=0))</f>
        <v>0</v>
      </c>
      <c r="N22" s="69">
        <f>IF(OR(B22="",O22=""),"",--(COUNTIF(O21:O26,"&gt;0")=1))</f>
        <v>0</v>
      </c>
      <c r="O22" s="51">
        <v>3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</row>
    <row r="23" spans="1:110">
      <c r="A23" s="168">
        <v>3</v>
      </c>
      <c r="B23" s="71"/>
      <c r="C23" s="70" t="str" cm="1">
        <f t="array" aca="1" ref="C23" ca="1">IF(OR(B23="",O23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3" s="67" t="str" cm="1">
        <f t="array" aca="1" ref="D23" ca="1">IF(OR(B23="",O23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3" s="67" t="str" cm="1">
        <f t="array" aca="1" ref="E23" ca="1">IF(OR(B23="",O23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3" s="67" t="str" cm="1">
        <f t="array" aca="1" ref="F23" ca="1">IF(OR(B23="",O23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3" s="67" t="str" cm="1">
        <f t="array" aca="1" ref="G23" ca="1">IF(OR(B23="",O23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3" s="67" t="str" cm="1">
        <f t="array" aca="1" ref="H23" ca="1">IF(OR(B23="",O23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3" s="68" t="str" cm="1">
        <f t="array" aca="1" ref="I23" ca="1">IF(OR(B23="",O23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3" s="68" t="str" cm="1">
        <f t="array" aca="1" ref="J23" ca="1">IF(OR(B23="",O23=""),"",--($K$4&gt;$K$5)*--(ROW()-ROW(C20)=_xlfn.XLOOKUP(MAX(IF(O21:O26&gt;0,INT(C21:C26)*3+MOD(ROUND(C21:C26*10,0),10),-1)),IF(O21:O26&gt;0,INT(C21:C26)*3+MOD(ROUND(C21:C26*10,0),10),-1),_xlfn.SEQUENCE(ROWS(O21:O26)),,0)))</f>
        <v/>
      </c>
      <c r="K23" s="68" t="str" cm="1">
        <f t="array" aca="1" ref="K23" ca="1">IF(OR(B23="",O23=""),"",--($K$4&lt;$K$5)*--(ROW()-ROW(C20)=_xlfn.XLOOKUP(MAX(IF(O21:O26&gt;0,E21:E26,-1)),IF(O21:O26&gt;0,E21:E26,-1),_xlfn.SEQUENCE(ROWS(O21:O26)),,0)))</f>
        <v/>
      </c>
      <c r="L23" s="68" t="str" cm="1">
        <f t="array" aca="1" ref="L23" ca="1">IF(OR(B23="",O23=""),"",--($K$4&gt;$K$5)*--(COUNTIF(O21:O26,"&gt;0")&gt;1)*--(ROW()-ROW(C20)=_xlfn.XLOOKUP(TRUE,O21:O26&gt;0,_xlfn.SEQUENCE(ROWS(O21:O26)),,0,-1))*--(_xlfn.XLOOKUP(TRUE,O21:O26&gt;0,_xlfn.SEQUENCE(ROWS(O21:O26)),,0,-1)&lt;&gt;_xlfn.XLOOKUP(MAX(IF(O21:O26&gt;0,INT(C21:C26)*3+MOD(ROUND(C21:C26*10,0),10),-1)),IF(O21:O26&gt;0,INT(C21:C26)*3+MOD(ROUND(C21:C26*10,0),10),-1),_xlfn.SEQUENCE(ROWS(O21:O26)),,0))*--(($K$4-$K$5)&lt;=3)*--((INT(C23)*3+MOD(ROUND(C23*10,0),10))&gt;=3))</f>
        <v/>
      </c>
      <c r="M23" s="68" t="str">
        <f>IF(OR(B23="",O23=""),"",--(COUNTIF(O21:O26,"&gt;0")=1)*--($K$5=0))</f>
        <v/>
      </c>
      <c r="N23" s="69" t="str">
        <f>IF(OR(B23="",O23=""),"",--(COUNTIF(O21:O26,"&gt;0")=1))</f>
        <v/>
      </c>
      <c r="O23" s="51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</row>
    <row r="24" spans="1:110">
      <c r="A24" s="168">
        <v>4</v>
      </c>
      <c r="B24" s="71"/>
      <c r="C24" s="70" t="str" cm="1">
        <f t="array" aca="1" ref="C24" ca="1">IF(OR(B24="",O24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4" s="67" t="str" cm="1">
        <f t="array" aca="1" ref="D24" ca="1">IF(OR(B24="",O24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4" s="67" t="str" cm="1">
        <f t="array" aca="1" ref="E24" ca="1">IF(OR(B24="",O24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24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4" s="67" t="str" cm="1">
        <f t="array" aca="1" ref="F24" ca="1">IF(OR(B24="",O24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24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4" s="67" t="str" cm="1">
        <f t="array" aca="1" ref="G24" ca="1">IF(OR(B24="",O24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4" s="67" t="str" cm="1">
        <f t="array" aca="1" ref="H24" ca="1">IF(OR(B24="",O24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4" s="68" t="str" cm="1">
        <f t="array" aca="1" ref="I24" ca="1">IF(OR(B24="",O24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4" s="68" t="str" cm="1">
        <f t="array" aca="1" ref="J24" ca="1">IF(OR(B24="",O24=""),"",--($K$4&gt;$K$5)*--(ROW()-ROW(C20)=_xlfn.XLOOKUP(MAX(IF(O21:O26&gt;0,INT(C21:C26)*3+MOD(ROUND(C21:C26*10,0),10),-1)),IF(O21:O26&gt;0,INT(C21:C26)*3+MOD(ROUND(C21:C26*10,0),10),-1),_xlfn.SEQUENCE(ROWS(O21:O26)),,0)))</f>
        <v/>
      </c>
      <c r="K24" s="68" t="str" cm="1">
        <f t="array" aca="1" ref="K24" ca="1">IF(OR(B24="",O24=""),"",--($K$4&lt;$K$5)*--(ROW()-ROW(C20)=_xlfn.XLOOKUP(MAX(IF(O21:O26&gt;0,E21:E26,-1)),IF(O21:O26&gt;0,E21:E26,-1),_xlfn.SEQUENCE(ROWS(O21:O26)),,0)))</f>
        <v/>
      </c>
      <c r="L24" s="68" t="str" cm="1">
        <f t="array" aca="1" ref="L24" ca="1">IF(OR(B24="",O24=""),"",--($K$4&gt;$K$5)*--(COUNTIF(O21:O26,"&gt;0")&gt;1)*--(ROW()-ROW(C20)=_xlfn.XLOOKUP(TRUE,O21:O26&gt;0,_xlfn.SEQUENCE(ROWS(O21:O26)),,0,-1))*--(_xlfn.XLOOKUP(TRUE,O21:O26&gt;0,_xlfn.SEQUENCE(ROWS(O21:O26)),,0,-1)&lt;&gt;_xlfn.XLOOKUP(MAX(IF(O21:O26&gt;0,INT(C21:C26)*3+MOD(ROUND(C21:C26*10,0),10),-1)),IF(O21:O26&gt;0,INT(C21:C26)*3+MOD(ROUND(C21:C26*10,0),10),-1),_xlfn.SEQUENCE(ROWS(O21:O26)),,0))*--(($K$4-$K$5)&lt;=3)*--((INT(C24)*3+MOD(ROUND(C24*10,0),10))&gt;=3))</f>
        <v/>
      </c>
      <c r="M24" s="68" t="str">
        <f>IF(OR(B24="",O24=""),"",--(COUNTIF(O21:O26,"&gt;0")=1)*--($K$5=0))</f>
        <v/>
      </c>
      <c r="N24" s="69" t="str">
        <f>IF(OR(B24="",O24=""),"",--(COUNTIF(O21:O26,"&gt;0")=1))</f>
        <v/>
      </c>
      <c r="O24" s="51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</row>
    <row r="25" spans="1:110">
      <c r="A25" s="168">
        <v>5</v>
      </c>
      <c r="B25" s="71"/>
      <c r="C25" s="70" t="str" cm="1">
        <f t="array" aca="1" ref="C25" ca="1">IF(OR(B25="",O25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5" s="67" t="str" cm="1">
        <f t="array" aca="1" ref="D25" ca="1">IF(OR(B25="",O25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5" s="67" t="str" cm="1">
        <f t="array" aca="1" ref="E25" ca="1">IF(OR(B25="",O25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25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5" s="67" t="str" cm="1">
        <f t="array" aca="1" ref="F25" ca="1">IF(OR(B25="",O25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25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5" s="67" t="str" cm="1">
        <f t="array" aca="1" ref="G25" ca="1">IF(OR(B25="",O25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5" s="67" t="str" cm="1">
        <f t="array" aca="1" ref="H25" ca="1">IF(OR(B25="",O25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5" s="68" t="str" cm="1">
        <f t="array" aca="1" ref="I25" ca="1">IF(OR(B25="",O25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5" s="68" t="str" cm="1">
        <f t="array" aca="1" ref="J25" ca="1">IF(OR(B25="",O25=""),"",--($K$4&gt;$K$5)*--(ROW()-ROW(C20)=_xlfn.XLOOKUP(MAX(IF(O21:O26&gt;0,INT(C21:C26)*3+MOD(ROUND(C21:C26*10,0),10),-1)),IF(O21:O26&gt;0,INT(C21:C26)*3+MOD(ROUND(C21:C26*10,0),10),-1),_xlfn.SEQUENCE(ROWS(O21:O26)),,0)))</f>
        <v/>
      </c>
      <c r="K25" s="68" t="str" cm="1">
        <f t="array" aca="1" ref="K25" ca="1">IF(OR(B25="",O25=""),"",--($K$4&lt;$K$5)*--(ROW()-ROW(C20)=_xlfn.XLOOKUP(MAX(IF(O21:O26&gt;0,E21:E26,-1)),IF(O21:O26&gt;0,E21:E26,-1),_xlfn.SEQUENCE(ROWS(O21:O26)),,0)))</f>
        <v/>
      </c>
      <c r="L25" s="68" t="str" cm="1">
        <f t="array" aca="1" ref="L25" ca="1">IF(OR(B25="",O25=""),"",--($K$4&gt;$K$5)*--(COUNTIF(O21:O26,"&gt;0")&gt;1)*--(ROW()-ROW(C20)=_xlfn.XLOOKUP(TRUE,O21:O26&gt;0,_xlfn.SEQUENCE(ROWS(O21:O26)),,0,-1))*--(_xlfn.XLOOKUP(TRUE,O21:O26&gt;0,_xlfn.SEQUENCE(ROWS(O21:O26)),,0,-1)&lt;&gt;_xlfn.XLOOKUP(MAX(IF(O21:O26&gt;0,INT(C21:C26)*3+MOD(ROUND(C21:C26*10,0),10),-1)),IF(O21:O26&gt;0,INT(C21:C26)*3+MOD(ROUND(C21:C26*10,0),10),-1),_xlfn.SEQUENCE(ROWS(O21:O26)),,0))*--(($K$4-$K$5)&lt;=3)*--((INT(C25)*3+MOD(ROUND(C25*10,0),10))&gt;=3))</f>
        <v/>
      </c>
      <c r="M25" s="68" t="str">
        <f>IF(OR(B25="",O25=""),"",--(COUNTIF(O21:O26,"&gt;0")=1)*--($K$5=0))</f>
        <v/>
      </c>
      <c r="N25" s="69" t="str">
        <f>IF(OR(B25="",O25=""),"",--(COUNTIF(O21:O26,"&gt;0")=1))</f>
        <v/>
      </c>
      <c r="O25" s="51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</row>
    <row r="26" spans="1:110">
      <c r="A26" s="168">
        <v>6</v>
      </c>
      <c r="B26" s="71"/>
      <c r="C26" s="70" t="str" cm="1">
        <f t="array" aca="1" ref="C26" ca="1">IF(OR(B26="",O26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6" s="67" t="str" cm="1">
        <f t="array" aca="1" ref="D26" ca="1">IF(OR(B26="",O26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6" s="67" t="str" cm="1">
        <f t="array" aca="1" ref="E26" ca="1">IF(OR(B26="",O26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26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6" s="67" t="str" cm="1">
        <f t="array" aca="1" ref="F26" ca="1">IF(OR(B26="",O26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26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6" s="67" t="str" cm="1">
        <f t="array" aca="1" ref="G26" ca="1">IF(OR(B26="",O26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6" s="67" t="str" cm="1">
        <f t="array" aca="1" ref="H26" ca="1">IF(OR(B26="",O26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6" s="68" t="str" cm="1">
        <f t="array" aca="1" ref="I26" ca="1">IF(OR(B26="",O26=""),"",_xlfn.LET(_xlpm.flatPAraw,_xlfn.TOCOL(_xlfn.CHOOSECOLS(C30:L38,1,3,5,7,9),0,TRUE),_xlpm.flatPARraw,_xlfn.TOCOL(_xlfn.CHOOSECOLS(C30:L38,2,4,6,8,10),0,TRUE),_xlpm.flatPA,_xlfn._xlws.FILTER(_xlpm.flatPAraw,_xlpm.flatPAraw&lt;&gt;""),_xlpm.flatPAR,_xlfn._xlws.FILTER(_xlpm.flatPARraw,_xlpm.flatPAraw&lt;&gt;""),_xlpm.prev,IF(ROW()=ROW(C21),0,SUM(INDEX(O:O,ROW(C21)):INDEX(O:O,ROW()-1))),_xlpm.need,O26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6" s="68" t="str" cm="1">
        <f t="array" aca="1" ref="J26" ca="1">IF(OR(B26="",O26=""),"",--($K$4&gt;$K$5)*--(ROW()-ROW(C20)=_xlfn.XLOOKUP(MAX(IF(O21:O26&gt;0,INT(C21:C26)*3+MOD(ROUND(C21:C26*10,0),10),-1)),IF(O21:O26&gt;0,INT(C21:C26)*3+MOD(ROUND(C21:C26*10,0),10),-1),_xlfn.SEQUENCE(ROWS(O21:O26)),,0)))</f>
        <v/>
      </c>
      <c r="K26" s="68" t="str" cm="1">
        <f t="array" aca="1" ref="K26" ca="1">IF(OR(B26="",O26=""),"",--($K$4&lt;$K$5)*--(ROW()-ROW(C20)=_xlfn.XLOOKUP(MAX(IF(O21:O26&gt;0,E21:E26,-1)),IF(O21:O26&gt;0,E21:E26,-1),_xlfn.SEQUENCE(ROWS(O21:O26)),,0)))</f>
        <v/>
      </c>
      <c r="L26" s="68" t="str" cm="1">
        <f t="array" aca="1" ref="L26" ca="1">IF(OR(B26="",O26=""),"",--($K$4&gt;$K$5)*--(COUNTIF(O21:O26,"&gt;0")&gt;1)*--(ROW()-ROW(C20)=_xlfn.XLOOKUP(TRUE,O21:O26&gt;0,_xlfn.SEQUENCE(ROWS(O21:O26)),,0,-1))*--(_xlfn.XLOOKUP(TRUE,O21:O26&gt;0,_xlfn.SEQUENCE(ROWS(O21:O26)),,0,-1)&lt;&gt;_xlfn.XLOOKUP(MAX(IF(O21:O26&gt;0,INT(C21:C26)*3+MOD(ROUND(C21:C26*10,0),10),-1)),IF(O21:O26&gt;0,INT(C21:C26)*3+MOD(ROUND(C21:C26*10,0),10),-1),_xlfn.SEQUENCE(ROWS(O21:O26)),,0))*--(($K$4-$K$5)&lt;=3)*--((INT(C26)*3+MOD(ROUND(C26*10,0),10))&gt;=3))</f>
        <v/>
      </c>
      <c r="M26" s="68" t="str">
        <f>IF(OR(B26="",O26=""),"",--(COUNTIF(O21:O26,"&gt;0")=1)*--($K$5=0))</f>
        <v/>
      </c>
      <c r="N26" s="69" t="str">
        <f>IF(OR(B26="",O26=""),"",--(COUNTIF(O21:O26,"&gt;0")=1))</f>
        <v/>
      </c>
      <c r="O26" s="51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</row>
    <row r="27" spans="1:110">
      <c r="A27" s="173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</row>
    <row r="28" spans="1:110">
      <c r="A28" s="205" t="str">
        <f ca="1">IF($R$2="","Team B Batting",$R$2&amp;" Batting")</f>
        <v>Donovan Batting</v>
      </c>
      <c r="B28" s="208"/>
      <c r="C28" s="208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182"/>
      <c r="Q28" s="182"/>
      <c r="R28" s="182"/>
      <c r="S28" s="182"/>
      <c r="T28" s="182"/>
      <c r="U28" s="182"/>
      <c r="V28" s="182"/>
      <c r="W28" s="182"/>
      <c r="X28" s="182"/>
      <c r="Y28" s="24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</row>
    <row r="29" spans="1:110">
      <c r="A29" s="183" t="s">
        <v>164</v>
      </c>
      <c r="B29" s="184" t="s">
        <v>39</v>
      </c>
      <c r="C29" s="184" t="s">
        <v>165</v>
      </c>
      <c r="D29" s="184" t="s">
        <v>166</v>
      </c>
      <c r="E29" s="184" t="s">
        <v>167</v>
      </c>
      <c r="F29" s="184" t="s">
        <v>168</v>
      </c>
      <c r="G29" s="184" t="s">
        <v>169</v>
      </c>
      <c r="H29" s="184" t="s">
        <v>170</v>
      </c>
      <c r="I29" s="184" t="s">
        <v>171</v>
      </c>
      <c r="J29" s="184" t="s">
        <v>172</v>
      </c>
      <c r="K29" s="184" t="s">
        <v>173</v>
      </c>
      <c r="L29" s="184" t="s">
        <v>174</v>
      </c>
      <c r="M29" s="184" t="s">
        <v>175</v>
      </c>
      <c r="N29" s="185" t="s">
        <v>161</v>
      </c>
      <c r="O29" s="185" t="s">
        <v>162</v>
      </c>
      <c r="P29" s="185" t="s">
        <v>176</v>
      </c>
      <c r="Q29" s="185" t="s">
        <v>177</v>
      </c>
      <c r="R29" s="185" t="s">
        <v>178</v>
      </c>
      <c r="S29" s="185" t="s">
        <v>179</v>
      </c>
      <c r="T29" s="185" t="s">
        <v>180</v>
      </c>
      <c r="U29" s="185" t="s">
        <v>181</v>
      </c>
      <c r="V29" s="185" t="s">
        <v>182</v>
      </c>
      <c r="W29" s="185" t="s">
        <v>183</v>
      </c>
      <c r="X29" s="188" t="s">
        <v>184</v>
      </c>
      <c r="Y29" s="43"/>
      <c r="Z29" s="43"/>
      <c r="AA29" s="43"/>
      <c r="AB29" s="43"/>
      <c r="AC29" s="43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</row>
    <row r="30" spans="1:110">
      <c r="A30" s="168">
        <v>1</v>
      </c>
      <c r="B30" s="47" t="str">
        <f ca="1">Lineups!$H$5</f>
        <v>Donkey Kong</v>
      </c>
      <c r="C30" s="49" t="s">
        <v>189</v>
      </c>
      <c r="D30" s="49"/>
      <c r="E30" s="49"/>
      <c r="F30" s="49"/>
      <c r="G30" s="49"/>
      <c r="H30" s="50"/>
      <c r="I30" s="50"/>
      <c r="J30" s="50"/>
      <c r="K30" s="50"/>
      <c r="L30" s="50"/>
      <c r="M30" s="67">
        <f ca="1">IF($B30="","",SUM(_xlfn.XLOOKUP(C30,Lists!$P$2:$P$19,Lists!$R$2:$R$19,0),_xlfn.XLOOKUP(E30,Lists!$P$2:$P$19,Lists!$R$2:$R$19,0),_xlfn.XLOOKUP(G30,Lists!$P$2:$P$19,Lists!$R$2:$R$19,0),_xlfn.XLOOKUP(I30,Lists!$P$2:$P$19,Lists!$R$2:$R$19,0),_xlfn.XLOOKUP(K30,Lists!$P$2:$P$19,Lists!$R$2:$R$19,0)))</f>
        <v>1</v>
      </c>
      <c r="N30" s="68">
        <f ca="1">IF($B30="","",SUM(_xlfn.XLOOKUP(D30,Lists!$AC$2:$AC$9,Lists!$AE$2:$AE$9,0),_xlfn.XLOOKUP(F30,Lists!$AC$2:$AC$9,Lists!$AE$2:$AE$9,0),_xlfn.XLOOKUP(H30,Lists!$AC$2:$AC$9,Lists!$AE$2:$AE$9,0),_xlfn.XLOOKUP(J30,Lists!$AC$2:$AC$9,Lists!$AE$2:$AE$9,0),_xlfn.XLOOKUP(L30,Lists!$AC$2:$AC$9,Lists!$AE$2:$AE$9,0)))</f>
        <v>0</v>
      </c>
      <c r="O30" s="68">
        <f ca="1">IF($B30="","",SUM(_xlfn.XLOOKUP(C30,Lists!$P$2:$P$19,Lists!$S$2:$S$19,0),_xlfn.XLOOKUP(E30,Lists!$P$2:$P$19,Lists!$S$2:$S$19,0),_xlfn.XLOOKUP(G30,Lists!$P$2:$P$19,Lists!$S$2:$S$19,0),_xlfn.XLOOKUP(I30,Lists!$P$2:$P$19,Lists!$S$2:$S$19,0),_xlfn.XLOOKUP(K30,Lists!$P$2:$P$19,Lists!$S$2:$S$19,0)))</f>
        <v>0</v>
      </c>
      <c r="P30" s="68">
        <f ca="1">IF($B30="","",SUM(_xlfn.XLOOKUP(C30,Lists!$P$2:$P$19,Lists!$T$2:$T$19,0),_xlfn.XLOOKUP(E30,Lists!$P$2:$P$19,Lists!$T$2:$T$19,0),_xlfn.XLOOKUP(G30,Lists!$P$2:$P$19,Lists!$T$2:$T$19,0),_xlfn.XLOOKUP(I30,Lists!$P$2:$P$19,Lists!$T$2:$T$19,0),_xlfn.XLOOKUP(K30,Lists!$P$2:$P$19,Lists!$T$2:$T$19,0)))</f>
        <v>0</v>
      </c>
      <c r="Q30" s="68">
        <f ca="1">IF($B30="","",SUM(_xlfn.XLOOKUP(C30,Lists!$P$2:$P$19,Lists!$U$2:$U$19,0),_xlfn.XLOOKUP(E30,Lists!$P$2:$P$19,Lists!$U$2:$U$19,0),_xlfn.XLOOKUP(G30,Lists!$P$2:$P$19,Lists!$U$2:$U$19,0),_xlfn.XLOOKUP(I30,Lists!$P$2:$P$19,Lists!$U$2:$U$19,0),_xlfn.XLOOKUP(K30,Lists!$P$2:$P$19,Lists!$U$2:$U$19,0)))</f>
        <v>0</v>
      </c>
      <c r="R30" s="68">
        <f ca="1">IF($B30="","",SUM(_xlfn.XLOOKUP(C30,Lists!$P$2:$P$19,Lists!$V$2:$V$19,0),_xlfn.XLOOKUP(E30,Lists!$P$2:$P$19,Lists!$V$2:$V$19,0),_xlfn.XLOOKUP(G30,Lists!$P$2:$P$19,Lists!$V$2:$V$19,0),_xlfn.XLOOKUP(I30,Lists!$P$2:$P$19,Lists!$V$2:$V$19,0),_xlfn.XLOOKUP(K30,Lists!$P$2:$P$19,Lists!$V$2:$V$19,0)))</f>
        <v>0</v>
      </c>
      <c r="S30" s="68">
        <f ca="1">IF($B30="","",SUM(_xlfn.XLOOKUP(D30,Lists!$AC$2:$AC$9,Lists!$AD$2:$AD$9,0),_xlfn.XLOOKUP(F30,Lists!$AC$2:$AC$9,Lists!$AD$2:$AD$9,0),_xlfn.XLOOKUP(H30,Lists!$AC$2:$AC$9,Lists!$AD$2:$AD$9,0),_xlfn.XLOOKUP(J30,Lists!$AC$2:$AC$9,Lists!$AD$2:$AD$9,0),_xlfn.XLOOKUP(L30,Lists!$AC$2:$AC$9,Lists!$AD$2:$AD$9,0)))</f>
        <v>0</v>
      </c>
      <c r="T30" s="68">
        <f ca="1">IF($B30="","",SUM(_xlfn.XLOOKUP(C30,Lists!$P$2:$P$19,Lists!$W$2:$W$19,0),_xlfn.XLOOKUP(E30,Lists!$P$2:$P$19,Lists!$W$2:$W$19,0),_xlfn.XLOOKUP(G30,Lists!$P$2:$P$19,Lists!$W$2:$W$19,0),_xlfn.XLOOKUP(I30,Lists!$P$2:$P$19,Lists!$W$2:$W$19,0),_xlfn.XLOOKUP(K30,Lists!$P$2:$P$19,Lists!$W$2:$W$19,0)))</f>
        <v>0</v>
      </c>
      <c r="U30" s="68">
        <f ca="1">IF($B30="","",SUM(_xlfn.XLOOKUP(C30,Lists!$P$2:$P$19,Lists!$X$2:$X$19,0),_xlfn.XLOOKUP(E30,Lists!$P$2:$P$19,Lists!$X$2:$X$19,0),_xlfn.XLOOKUP(G30,Lists!$P$2:$P$19,Lists!$X$2:$X$19,0),_xlfn.XLOOKUP(I30,Lists!$P$2:$P$19,Lists!$X$2:$X$19,0),_xlfn.XLOOKUP(K30,Lists!$P$2:$P$19,Lists!$X$2:$X$19,0)))</f>
        <v>0</v>
      </c>
      <c r="V30" s="68">
        <f ca="1">IF($B30="","",SUM(_xlfn.XLOOKUP(C30,Lists!$P$2:$P$19,Lists!$Y$2:$Y$19,0),_xlfn.XLOOKUP(E30,Lists!$P$2:$P$19,Lists!$Y$2:$Y$19,0),_xlfn.XLOOKUP(G30,Lists!$P$2:$P$19,Lists!$Y$2:$Y$19,0),_xlfn.XLOOKUP(I30,Lists!$P$2:$P$19,Lists!$Y$2:$Y$19,0),_xlfn.XLOOKUP(K30,Lists!$P$2:$P$19,Lists!$Y$2:$Y$19,0)))</f>
        <v>0</v>
      </c>
      <c r="W30" s="68">
        <f ca="1">IF($B30="","",SUM(_xlfn.XLOOKUP(C30,Lists!$P$2:$P$19,Lists!$Z$2:$Z$19,0),_xlfn.XLOOKUP(E30,Lists!$P$2:$P$19,Lists!$Z$2:$Z$19,0),_xlfn.XLOOKUP(G30,Lists!$P$2:$P$19,Lists!$Z$2:$Z$19,0),_xlfn.XLOOKUP(I30,Lists!$P$2:$P$19,Lists!$Z$2:$Z$19,0),_xlfn.XLOOKUP(K30,Lists!$P$2:$P$19,Lists!$Z$2:$Z$19,0)))</f>
        <v>0</v>
      </c>
      <c r="X30" s="69">
        <f ca="1">IF($B30="","",SUM(_xlfn.XLOOKUP(C30,Lists!$P$2:$P$19,Lists!$AA$2:$AA$19,0),_xlfn.XLOOKUP(E30,Lists!$P$2:$P$19,Lists!$AA$2:$AA$19,0),_xlfn.XLOOKUP(G30,Lists!$P$2:$P$19,Lists!$AA$2:$AA$19,0),_xlfn.XLOOKUP(I30,Lists!$P$2:$P$19,Lists!$AA$2:$AA$19,0),_xlfn.XLOOKUP(K30,Lists!$P$2:$P$19,Lists!$AA$2:$AA$19,0)))</f>
        <v>0</v>
      </c>
      <c r="Y30" s="49"/>
      <c r="Z30" s="49"/>
      <c r="AA30" s="49"/>
      <c r="AB30" s="49"/>
      <c r="AC30" s="49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</row>
    <row r="31" spans="1:110">
      <c r="A31" s="168">
        <v>2</v>
      </c>
      <c r="B31" s="47" t="str">
        <f ca="1">Lineups!$H$6</f>
        <v>Waluigi</v>
      </c>
      <c r="C31" s="49" t="s">
        <v>193</v>
      </c>
      <c r="D31" s="49"/>
      <c r="E31" s="49"/>
      <c r="F31" s="49"/>
      <c r="G31" s="49"/>
      <c r="H31" s="50"/>
      <c r="I31" s="50"/>
      <c r="J31" s="50"/>
      <c r="K31" s="50"/>
      <c r="L31" s="50"/>
      <c r="M31" s="67">
        <f ca="1">IF($B31="","",SUM(_xlfn.XLOOKUP(C31,Lists!$P$2:$P$19,Lists!$R$2:$R$19,0),_xlfn.XLOOKUP(E31,Lists!$P$2:$P$19,Lists!$R$2:$R$19,0),_xlfn.XLOOKUP(G31,Lists!$P$2:$P$19,Lists!$R$2:$R$19,0),_xlfn.XLOOKUP(I31,Lists!$P$2:$P$19,Lists!$R$2:$R$19,0),_xlfn.XLOOKUP(K31,Lists!$P$2:$P$19,Lists!$R$2:$R$19,0)))</f>
        <v>1</v>
      </c>
      <c r="N31" s="68">
        <f ca="1">IF($B31="","",SUM(_xlfn.XLOOKUP(D31,Lists!$AC$2:$AC$9,Lists!$AE$2:$AE$9,0),_xlfn.XLOOKUP(F31,Lists!$AC$2:$AC$9,Lists!$AE$2:$AE$9,0),_xlfn.XLOOKUP(H31,Lists!$AC$2:$AC$9,Lists!$AE$2:$AE$9,0),_xlfn.XLOOKUP(J31,Lists!$AC$2:$AC$9,Lists!$AE$2:$AE$9,0),_xlfn.XLOOKUP(L31,Lists!$AC$2:$AC$9,Lists!$AE$2:$AE$9,0)))</f>
        <v>0</v>
      </c>
      <c r="O31" s="68">
        <f ca="1">IF($B31="","",SUM(_xlfn.XLOOKUP(C31,Lists!$P$2:$P$19,Lists!$S$2:$S$19,0),_xlfn.XLOOKUP(E31,Lists!$P$2:$P$19,Lists!$S$2:$S$19,0),_xlfn.XLOOKUP(G31,Lists!$P$2:$P$19,Lists!$S$2:$S$19,0),_xlfn.XLOOKUP(I31,Lists!$P$2:$P$19,Lists!$S$2:$S$19,0),_xlfn.XLOOKUP(K31,Lists!$P$2:$P$19,Lists!$S$2:$S$19,0)))</f>
        <v>0</v>
      </c>
      <c r="P31" s="68">
        <f ca="1">IF($B31="","",SUM(_xlfn.XLOOKUP(C31,Lists!$P$2:$P$19,Lists!$T$2:$T$19,0),_xlfn.XLOOKUP(E31,Lists!$P$2:$P$19,Lists!$T$2:$T$19,0),_xlfn.XLOOKUP(G31,Lists!$P$2:$P$19,Lists!$T$2:$T$19,0),_xlfn.XLOOKUP(I31,Lists!$P$2:$P$19,Lists!$T$2:$T$19,0),_xlfn.XLOOKUP(K31,Lists!$P$2:$P$19,Lists!$T$2:$T$19,0)))</f>
        <v>0</v>
      </c>
      <c r="Q31" s="68">
        <f ca="1">IF($B31="","",SUM(_xlfn.XLOOKUP(C31,Lists!$P$2:$P$19,Lists!$U$2:$U$19,0),_xlfn.XLOOKUP(E31,Lists!$P$2:$P$19,Lists!$U$2:$U$19,0),_xlfn.XLOOKUP(G31,Lists!$P$2:$P$19,Lists!$U$2:$U$19,0),_xlfn.XLOOKUP(I31,Lists!$P$2:$P$19,Lists!$U$2:$U$19,0),_xlfn.XLOOKUP(K31,Lists!$P$2:$P$19,Lists!$U$2:$U$19,0)))</f>
        <v>0</v>
      </c>
      <c r="R31" s="68">
        <f ca="1">IF($B31="","",SUM(_xlfn.XLOOKUP(C31,Lists!$P$2:$P$19,Lists!$V$2:$V$19,0),_xlfn.XLOOKUP(E31,Lists!$P$2:$P$19,Lists!$V$2:$V$19,0),_xlfn.XLOOKUP(G31,Lists!$P$2:$P$19,Lists!$V$2:$V$19,0),_xlfn.XLOOKUP(I31,Lists!$P$2:$P$19,Lists!$V$2:$V$19,0),_xlfn.XLOOKUP(K31,Lists!$P$2:$P$19,Lists!$V$2:$V$19,0)))</f>
        <v>0</v>
      </c>
      <c r="S31" s="68">
        <f ca="1">IF($B31="","",SUM(_xlfn.XLOOKUP(D31,Lists!$AC$2:$AC$9,Lists!$AD$2:$AD$9,0),_xlfn.XLOOKUP(F31,Lists!$AC$2:$AC$9,Lists!$AD$2:$AD$9,0),_xlfn.XLOOKUP(H31,Lists!$AC$2:$AC$9,Lists!$AD$2:$AD$9,0),_xlfn.XLOOKUP(J31,Lists!$AC$2:$AC$9,Lists!$AD$2:$AD$9,0),_xlfn.XLOOKUP(L31,Lists!$AC$2:$AC$9,Lists!$AD$2:$AD$9,0)))</f>
        <v>0</v>
      </c>
      <c r="T31" s="68">
        <f ca="1">IF($B31="","",SUM(_xlfn.XLOOKUP(C31,Lists!$P$2:$P$19,Lists!$W$2:$W$19,0),_xlfn.XLOOKUP(E31,Lists!$P$2:$P$19,Lists!$W$2:$W$19,0),_xlfn.XLOOKUP(G31,Lists!$P$2:$P$19,Lists!$W$2:$W$19,0),_xlfn.XLOOKUP(I31,Lists!$P$2:$P$19,Lists!$W$2:$W$19,0),_xlfn.XLOOKUP(K31,Lists!$P$2:$P$19,Lists!$W$2:$W$19,0)))</f>
        <v>0</v>
      </c>
      <c r="U31" s="68">
        <f ca="1">IF($B31="","",SUM(_xlfn.XLOOKUP(C31,Lists!$P$2:$P$19,Lists!$X$2:$X$19,0),_xlfn.XLOOKUP(E31,Lists!$P$2:$P$19,Lists!$X$2:$X$19,0),_xlfn.XLOOKUP(G31,Lists!$P$2:$P$19,Lists!$X$2:$X$19,0),_xlfn.XLOOKUP(I31,Lists!$P$2:$P$19,Lists!$X$2:$X$19,0),_xlfn.XLOOKUP(K31,Lists!$P$2:$P$19,Lists!$X$2:$X$19,0)))</f>
        <v>0</v>
      </c>
      <c r="V31" s="68">
        <f ca="1">IF($B31="","",SUM(_xlfn.XLOOKUP(C31,Lists!$P$2:$P$19,Lists!$Y$2:$Y$19,0),_xlfn.XLOOKUP(E31,Lists!$P$2:$P$19,Lists!$Y$2:$Y$19,0),_xlfn.XLOOKUP(G31,Lists!$P$2:$P$19,Lists!$Y$2:$Y$19,0),_xlfn.XLOOKUP(I31,Lists!$P$2:$P$19,Lists!$Y$2:$Y$19,0),_xlfn.XLOOKUP(K31,Lists!$P$2:$P$19,Lists!$Y$2:$Y$19,0)))</f>
        <v>0</v>
      </c>
      <c r="W31" s="68">
        <f ca="1">IF($B31="","",SUM(_xlfn.XLOOKUP(C31,Lists!$P$2:$P$19,Lists!$Z$2:$Z$19,0),_xlfn.XLOOKUP(E31,Lists!$P$2:$P$19,Lists!$Z$2:$Z$19,0),_xlfn.XLOOKUP(G31,Lists!$P$2:$P$19,Lists!$Z$2:$Z$19,0),_xlfn.XLOOKUP(I31,Lists!$P$2:$P$19,Lists!$Z$2:$Z$19,0),_xlfn.XLOOKUP(K31,Lists!$P$2:$P$19,Lists!$Z$2:$Z$19,0)))</f>
        <v>0</v>
      </c>
      <c r="X31" s="69">
        <f ca="1">IF($B31="","",SUM(_xlfn.XLOOKUP(C31,Lists!$P$2:$P$19,Lists!$AA$2:$AA$19,0),_xlfn.XLOOKUP(E31,Lists!$P$2:$P$19,Lists!$AA$2:$AA$19,0),_xlfn.XLOOKUP(G31,Lists!$P$2:$P$19,Lists!$AA$2:$AA$19,0),_xlfn.XLOOKUP(I31,Lists!$P$2:$P$19,Lists!$AA$2:$AA$19,0),_xlfn.XLOOKUP(K31,Lists!$P$2:$P$19,Lists!$AA$2:$AA$19,0)))</f>
        <v>0</v>
      </c>
      <c r="Y31" s="49"/>
      <c r="Z31" s="49"/>
      <c r="AA31" s="49"/>
      <c r="AB31" s="49"/>
      <c r="AC31" s="49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</row>
    <row r="32" spans="1:110">
      <c r="A32" s="168">
        <v>3</v>
      </c>
      <c r="B32" s="47" t="str">
        <f ca="1">Lineups!$H$7</f>
        <v>Dry Bones</v>
      </c>
      <c r="C32" s="49" t="s">
        <v>185</v>
      </c>
      <c r="D32" s="49"/>
      <c r="E32" s="49"/>
      <c r="F32" s="49"/>
      <c r="G32" s="49"/>
      <c r="H32" s="50"/>
      <c r="I32" s="50"/>
      <c r="J32" s="50"/>
      <c r="K32" s="50"/>
      <c r="L32" s="50"/>
      <c r="M32" s="67">
        <f ca="1">IF($B32="","",SUM(_xlfn.XLOOKUP(C32,Lists!$P$2:$P$19,Lists!$R$2:$R$19,0),_xlfn.XLOOKUP(E32,Lists!$P$2:$P$19,Lists!$R$2:$R$19,0),_xlfn.XLOOKUP(G32,Lists!$P$2:$P$19,Lists!$R$2:$R$19,0),_xlfn.XLOOKUP(I32,Lists!$P$2:$P$19,Lists!$R$2:$R$19,0),_xlfn.XLOOKUP(K32,Lists!$P$2:$P$19,Lists!$R$2:$R$19,0)))</f>
        <v>1</v>
      </c>
      <c r="N32" s="68">
        <f ca="1">IF($B32="","",SUM(_xlfn.XLOOKUP(D32,Lists!$AC$2:$AC$9,Lists!$AE$2:$AE$9,0),_xlfn.XLOOKUP(F32,Lists!$AC$2:$AC$9,Lists!$AE$2:$AE$9,0),_xlfn.XLOOKUP(H32,Lists!$AC$2:$AC$9,Lists!$AE$2:$AE$9,0),_xlfn.XLOOKUP(J32,Lists!$AC$2:$AC$9,Lists!$AE$2:$AE$9,0),_xlfn.XLOOKUP(L32,Lists!$AC$2:$AC$9,Lists!$AE$2:$AE$9,0)))</f>
        <v>0</v>
      </c>
      <c r="O32" s="68">
        <f ca="1">IF($B32="","",SUM(_xlfn.XLOOKUP(C32,Lists!$P$2:$P$19,Lists!$S$2:$S$19,0),_xlfn.XLOOKUP(E32,Lists!$P$2:$P$19,Lists!$S$2:$S$19,0),_xlfn.XLOOKUP(G32,Lists!$P$2:$P$19,Lists!$S$2:$S$19,0),_xlfn.XLOOKUP(I32,Lists!$P$2:$P$19,Lists!$S$2:$S$19,0),_xlfn.XLOOKUP(K32,Lists!$P$2:$P$19,Lists!$S$2:$S$19,0)))</f>
        <v>0</v>
      </c>
      <c r="P32" s="68">
        <f ca="1">IF($B32="","",SUM(_xlfn.XLOOKUP(C32,Lists!$P$2:$P$19,Lists!$T$2:$T$19,0),_xlfn.XLOOKUP(E32,Lists!$P$2:$P$19,Lists!$T$2:$T$19,0),_xlfn.XLOOKUP(G32,Lists!$P$2:$P$19,Lists!$T$2:$T$19,0),_xlfn.XLOOKUP(I32,Lists!$P$2:$P$19,Lists!$T$2:$T$19,0),_xlfn.XLOOKUP(K32,Lists!$P$2:$P$19,Lists!$T$2:$T$19,0)))</f>
        <v>0</v>
      </c>
      <c r="Q32" s="68">
        <f ca="1">IF($B32="","",SUM(_xlfn.XLOOKUP(C32,Lists!$P$2:$P$19,Lists!$U$2:$U$19,0),_xlfn.XLOOKUP(E32,Lists!$P$2:$P$19,Lists!$U$2:$U$19,0),_xlfn.XLOOKUP(G32,Lists!$P$2:$P$19,Lists!$U$2:$U$19,0),_xlfn.XLOOKUP(I32,Lists!$P$2:$P$19,Lists!$U$2:$U$19,0),_xlfn.XLOOKUP(K32,Lists!$P$2:$P$19,Lists!$U$2:$U$19,0)))</f>
        <v>0</v>
      </c>
      <c r="R32" s="68">
        <f ca="1">IF($B32="","",SUM(_xlfn.XLOOKUP(C32,Lists!$P$2:$P$19,Lists!$V$2:$V$19,0),_xlfn.XLOOKUP(E32,Lists!$P$2:$P$19,Lists!$V$2:$V$19,0),_xlfn.XLOOKUP(G32,Lists!$P$2:$P$19,Lists!$V$2:$V$19,0),_xlfn.XLOOKUP(I32,Lists!$P$2:$P$19,Lists!$V$2:$V$19,0),_xlfn.XLOOKUP(K32,Lists!$P$2:$P$19,Lists!$V$2:$V$19,0)))</f>
        <v>0</v>
      </c>
      <c r="S32" s="68">
        <f ca="1">IF($B32="","",SUM(_xlfn.XLOOKUP(D32,Lists!$AC$2:$AC$9,Lists!$AD$2:$AD$9,0),_xlfn.XLOOKUP(F32,Lists!$AC$2:$AC$9,Lists!$AD$2:$AD$9,0),_xlfn.XLOOKUP(H32,Lists!$AC$2:$AC$9,Lists!$AD$2:$AD$9,0),_xlfn.XLOOKUP(J32,Lists!$AC$2:$AC$9,Lists!$AD$2:$AD$9,0),_xlfn.XLOOKUP(L32,Lists!$AC$2:$AC$9,Lists!$AD$2:$AD$9,0)))</f>
        <v>0</v>
      </c>
      <c r="T32" s="68">
        <f ca="1">IF($B32="","",SUM(_xlfn.XLOOKUP(C32,Lists!$P$2:$P$19,Lists!$W$2:$W$19,0),_xlfn.XLOOKUP(E32,Lists!$P$2:$P$19,Lists!$W$2:$W$19,0),_xlfn.XLOOKUP(G32,Lists!$P$2:$P$19,Lists!$W$2:$W$19,0),_xlfn.XLOOKUP(I32,Lists!$P$2:$P$19,Lists!$W$2:$W$19,0),_xlfn.XLOOKUP(K32,Lists!$P$2:$P$19,Lists!$W$2:$W$19,0)))</f>
        <v>0</v>
      </c>
      <c r="U32" s="68">
        <f ca="1">IF($B32="","",SUM(_xlfn.XLOOKUP(C32,Lists!$P$2:$P$19,Lists!$X$2:$X$19,0),_xlfn.XLOOKUP(E32,Lists!$P$2:$P$19,Lists!$X$2:$X$19,0),_xlfn.XLOOKUP(G32,Lists!$P$2:$P$19,Lists!$X$2:$X$19,0),_xlfn.XLOOKUP(I32,Lists!$P$2:$P$19,Lists!$X$2:$X$19,0),_xlfn.XLOOKUP(K32,Lists!$P$2:$P$19,Lists!$X$2:$X$19,0)))</f>
        <v>1</v>
      </c>
      <c r="V32" s="68">
        <f ca="1">IF($B32="","",SUM(_xlfn.XLOOKUP(C32,Lists!$P$2:$P$19,Lists!$Y$2:$Y$19,0),_xlfn.XLOOKUP(E32,Lists!$P$2:$P$19,Lists!$Y$2:$Y$19,0),_xlfn.XLOOKUP(G32,Lists!$P$2:$P$19,Lists!$Y$2:$Y$19,0),_xlfn.XLOOKUP(I32,Lists!$P$2:$P$19,Lists!$Y$2:$Y$19,0),_xlfn.XLOOKUP(K32,Lists!$P$2:$P$19,Lists!$Y$2:$Y$19,0)))</f>
        <v>0</v>
      </c>
      <c r="W32" s="68">
        <f ca="1">IF($B32="","",SUM(_xlfn.XLOOKUP(C32,Lists!$P$2:$P$19,Lists!$Z$2:$Z$19,0),_xlfn.XLOOKUP(E32,Lists!$P$2:$P$19,Lists!$Z$2:$Z$19,0),_xlfn.XLOOKUP(G32,Lists!$P$2:$P$19,Lists!$Z$2:$Z$19,0),_xlfn.XLOOKUP(I32,Lists!$P$2:$P$19,Lists!$Z$2:$Z$19,0),_xlfn.XLOOKUP(K32,Lists!$P$2:$P$19,Lists!$Z$2:$Z$19,0)))</f>
        <v>0</v>
      </c>
      <c r="X32" s="69">
        <f ca="1">IF($B32="","",SUM(_xlfn.XLOOKUP(C32,Lists!$P$2:$P$19,Lists!$AA$2:$AA$19,0),_xlfn.XLOOKUP(E32,Lists!$P$2:$P$19,Lists!$AA$2:$AA$19,0),_xlfn.XLOOKUP(G32,Lists!$P$2:$P$19,Lists!$AA$2:$AA$19,0),_xlfn.XLOOKUP(I32,Lists!$P$2:$P$19,Lists!$AA$2:$AA$19,0),_xlfn.XLOOKUP(K32,Lists!$P$2:$P$19,Lists!$AA$2:$AA$19,0)))</f>
        <v>0</v>
      </c>
      <c r="Y32" s="49"/>
      <c r="Z32" s="49"/>
      <c r="AA32" s="49"/>
      <c r="AB32" s="49"/>
      <c r="AC32" s="49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</row>
    <row r="33" spans="1:110">
      <c r="A33" s="168">
        <v>4</v>
      </c>
      <c r="B33" s="47" t="str">
        <f ca="1">Lineups!$H$8</f>
        <v>Diddy Kong</v>
      </c>
      <c r="C33" s="49" t="s">
        <v>185</v>
      </c>
      <c r="D33" s="49"/>
      <c r="E33" s="49"/>
      <c r="F33" s="49"/>
      <c r="G33" s="49"/>
      <c r="H33" s="50"/>
      <c r="I33" s="50"/>
      <c r="J33" s="50"/>
      <c r="K33" s="50"/>
      <c r="L33" s="50"/>
      <c r="M33" s="67">
        <f ca="1">IF($B33="","",SUM(_xlfn.XLOOKUP(C33,Lists!$P$2:$P$19,Lists!$R$2:$R$19,0),_xlfn.XLOOKUP(E33,Lists!$P$2:$P$19,Lists!$R$2:$R$19,0),_xlfn.XLOOKUP(G33,Lists!$P$2:$P$19,Lists!$R$2:$R$19,0),_xlfn.XLOOKUP(I33,Lists!$P$2:$P$19,Lists!$R$2:$R$19,0),_xlfn.XLOOKUP(K33,Lists!$P$2:$P$19,Lists!$R$2:$R$19,0)))</f>
        <v>1</v>
      </c>
      <c r="N33" s="68">
        <f ca="1">IF($B33="","",SUM(_xlfn.XLOOKUP(D33,Lists!$AC$2:$AC$9,Lists!$AE$2:$AE$9,0),_xlfn.XLOOKUP(F33,Lists!$AC$2:$AC$9,Lists!$AE$2:$AE$9,0),_xlfn.XLOOKUP(H33,Lists!$AC$2:$AC$9,Lists!$AE$2:$AE$9,0),_xlfn.XLOOKUP(J33,Lists!$AC$2:$AC$9,Lists!$AE$2:$AE$9,0),_xlfn.XLOOKUP(L33,Lists!$AC$2:$AC$9,Lists!$AE$2:$AE$9,0)))</f>
        <v>0</v>
      </c>
      <c r="O33" s="68">
        <f ca="1">IF($B33="","",SUM(_xlfn.XLOOKUP(C33,Lists!$P$2:$P$19,Lists!$S$2:$S$19,0),_xlfn.XLOOKUP(E33,Lists!$P$2:$P$19,Lists!$S$2:$S$19,0),_xlfn.XLOOKUP(G33,Lists!$P$2:$P$19,Lists!$S$2:$S$19,0),_xlfn.XLOOKUP(I33,Lists!$P$2:$P$19,Lists!$S$2:$S$19,0),_xlfn.XLOOKUP(K33,Lists!$P$2:$P$19,Lists!$S$2:$S$19,0)))</f>
        <v>0</v>
      </c>
      <c r="P33" s="68">
        <f ca="1">IF($B33="","",SUM(_xlfn.XLOOKUP(C33,Lists!$P$2:$P$19,Lists!$T$2:$T$19,0),_xlfn.XLOOKUP(E33,Lists!$P$2:$P$19,Lists!$T$2:$T$19,0),_xlfn.XLOOKUP(G33,Lists!$P$2:$P$19,Lists!$T$2:$T$19,0),_xlfn.XLOOKUP(I33,Lists!$P$2:$P$19,Lists!$T$2:$T$19,0),_xlfn.XLOOKUP(K33,Lists!$P$2:$P$19,Lists!$T$2:$T$19,0)))</f>
        <v>0</v>
      </c>
      <c r="Q33" s="68">
        <f ca="1">IF($B33="","",SUM(_xlfn.XLOOKUP(C33,Lists!$P$2:$P$19,Lists!$U$2:$U$19,0),_xlfn.XLOOKUP(E33,Lists!$P$2:$P$19,Lists!$U$2:$U$19,0),_xlfn.XLOOKUP(G33,Lists!$P$2:$P$19,Lists!$U$2:$U$19,0),_xlfn.XLOOKUP(I33,Lists!$P$2:$P$19,Lists!$U$2:$U$19,0),_xlfn.XLOOKUP(K33,Lists!$P$2:$P$19,Lists!$U$2:$U$19,0)))</f>
        <v>0</v>
      </c>
      <c r="R33" s="68">
        <f ca="1">IF($B33="","",SUM(_xlfn.XLOOKUP(C33,Lists!$P$2:$P$19,Lists!$V$2:$V$19,0),_xlfn.XLOOKUP(E33,Lists!$P$2:$P$19,Lists!$V$2:$V$19,0),_xlfn.XLOOKUP(G33,Lists!$P$2:$P$19,Lists!$V$2:$V$19,0),_xlfn.XLOOKUP(I33,Lists!$P$2:$P$19,Lists!$V$2:$V$19,0),_xlfn.XLOOKUP(K33,Lists!$P$2:$P$19,Lists!$V$2:$V$19,0)))</f>
        <v>0</v>
      </c>
      <c r="S33" s="68">
        <f ca="1">IF($B33="","",SUM(_xlfn.XLOOKUP(D33,Lists!$AC$2:$AC$9,Lists!$AD$2:$AD$9,0),_xlfn.XLOOKUP(F33,Lists!$AC$2:$AC$9,Lists!$AD$2:$AD$9,0),_xlfn.XLOOKUP(H33,Lists!$AC$2:$AC$9,Lists!$AD$2:$AD$9,0),_xlfn.XLOOKUP(J33,Lists!$AC$2:$AC$9,Lists!$AD$2:$AD$9,0),_xlfn.XLOOKUP(L33,Lists!$AC$2:$AC$9,Lists!$AD$2:$AD$9,0)))</f>
        <v>0</v>
      </c>
      <c r="T33" s="68">
        <f ca="1">IF($B33="","",SUM(_xlfn.XLOOKUP(C33,Lists!$P$2:$P$19,Lists!$W$2:$W$19,0),_xlfn.XLOOKUP(E33,Lists!$P$2:$P$19,Lists!$W$2:$W$19,0),_xlfn.XLOOKUP(G33,Lists!$P$2:$P$19,Lists!$W$2:$W$19,0),_xlfn.XLOOKUP(I33,Lists!$P$2:$P$19,Lists!$W$2:$W$19,0),_xlfn.XLOOKUP(K33,Lists!$P$2:$P$19,Lists!$W$2:$W$19,0)))</f>
        <v>0</v>
      </c>
      <c r="U33" s="68">
        <f ca="1">IF($B33="","",SUM(_xlfn.XLOOKUP(C33,Lists!$P$2:$P$19,Lists!$X$2:$X$19,0),_xlfn.XLOOKUP(E33,Lists!$P$2:$P$19,Lists!$X$2:$X$19,0),_xlfn.XLOOKUP(G33,Lists!$P$2:$P$19,Lists!$X$2:$X$19,0),_xlfn.XLOOKUP(I33,Lists!$P$2:$P$19,Lists!$X$2:$X$19,0),_xlfn.XLOOKUP(K33,Lists!$P$2:$P$19,Lists!$X$2:$X$19,0)))</f>
        <v>1</v>
      </c>
      <c r="V33" s="68">
        <f ca="1">IF($B33="","",SUM(_xlfn.XLOOKUP(C33,Lists!$P$2:$P$19,Lists!$Y$2:$Y$19,0),_xlfn.XLOOKUP(E33,Lists!$P$2:$P$19,Lists!$Y$2:$Y$19,0),_xlfn.XLOOKUP(G33,Lists!$P$2:$P$19,Lists!$Y$2:$Y$19,0),_xlfn.XLOOKUP(I33,Lists!$P$2:$P$19,Lists!$Y$2:$Y$19,0),_xlfn.XLOOKUP(K33,Lists!$P$2:$P$19,Lists!$Y$2:$Y$19,0)))</f>
        <v>0</v>
      </c>
      <c r="W33" s="68">
        <f ca="1">IF($B33="","",SUM(_xlfn.XLOOKUP(C33,Lists!$P$2:$P$19,Lists!$Z$2:$Z$19,0),_xlfn.XLOOKUP(E33,Lists!$P$2:$P$19,Lists!$Z$2:$Z$19,0),_xlfn.XLOOKUP(G33,Lists!$P$2:$P$19,Lists!$Z$2:$Z$19,0),_xlfn.XLOOKUP(I33,Lists!$P$2:$P$19,Lists!$Z$2:$Z$19,0),_xlfn.XLOOKUP(K33,Lists!$P$2:$P$19,Lists!$Z$2:$Z$19,0)))</f>
        <v>0</v>
      </c>
      <c r="X33" s="69">
        <f ca="1">IF($B33="","",SUM(_xlfn.XLOOKUP(C33,Lists!$P$2:$P$19,Lists!$AA$2:$AA$19,0),_xlfn.XLOOKUP(E33,Lists!$P$2:$P$19,Lists!$AA$2:$AA$19,0),_xlfn.XLOOKUP(G33,Lists!$P$2:$P$19,Lists!$AA$2:$AA$19,0),_xlfn.XLOOKUP(I33,Lists!$P$2:$P$19,Lists!$AA$2:$AA$19,0),_xlfn.XLOOKUP(K33,Lists!$P$2:$P$19,Lists!$AA$2:$AA$19,0)))</f>
        <v>0</v>
      </c>
      <c r="Y33" s="49"/>
      <c r="Z33" s="49"/>
      <c r="AA33" s="49"/>
      <c r="AB33" s="49"/>
      <c r="AC33" s="49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</row>
    <row r="34" spans="1:110">
      <c r="A34" s="168">
        <v>5</v>
      </c>
      <c r="B34" s="47" t="str">
        <f ca="1">Lineups!$H$9</f>
        <v>Fire Bro</v>
      </c>
      <c r="C34" s="49" t="s">
        <v>185</v>
      </c>
      <c r="D34" s="49"/>
      <c r="E34" s="49"/>
      <c r="F34" s="49"/>
      <c r="G34" s="49"/>
      <c r="H34" s="50"/>
      <c r="I34" s="50"/>
      <c r="J34" s="50"/>
      <c r="K34" s="50"/>
      <c r="L34" s="50"/>
      <c r="M34" s="67">
        <f ca="1">IF($B34="","",SUM(_xlfn.XLOOKUP(C34,Lists!$P$2:$P$19,Lists!$R$2:$R$19,0),_xlfn.XLOOKUP(E34,Lists!$P$2:$P$19,Lists!$R$2:$R$19,0),_xlfn.XLOOKUP(G34,Lists!$P$2:$P$19,Lists!$R$2:$R$19,0),_xlfn.XLOOKUP(I34,Lists!$P$2:$P$19,Lists!$R$2:$R$19,0),_xlfn.XLOOKUP(K34,Lists!$P$2:$P$19,Lists!$R$2:$R$19,0)))</f>
        <v>1</v>
      </c>
      <c r="N34" s="68">
        <f ca="1">IF($B34="","",SUM(_xlfn.XLOOKUP(D34,Lists!$AC$2:$AC$9,Lists!$AE$2:$AE$9,0),_xlfn.XLOOKUP(F34,Lists!$AC$2:$AC$9,Lists!$AE$2:$AE$9,0),_xlfn.XLOOKUP(H34,Lists!$AC$2:$AC$9,Lists!$AE$2:$AE$9,0),_xlfn.XLOOKUP(J34,Lists!$AC$2:$AC$9,Lists!$AE$2:$AE$9,0),_xlfn.XLOOKUP(L34,Lists!$AC$2:$AC$9,Lists!$AE$2:$AE$9,0)))</f>
        <v>0</v>
      </c>
      <c r="O34" s="68">
        <f ca="1">IF($B34="","",SUM(_xlfn.XLOOKUP(C34,Lists!$P$2:$P$19,Lists!$S$2:$S$19,0),_xlfn.XLOOKUP(E34,Lists!$P$2:$P$19,Lists!$S$2:$S$19,0),_xlfn.XLOOKUP(G34,Lists!$P$2:$P$19,Lists!$S$2:$S$19,0),_xlfn.XLOOKUP(I34,Lists!$P$2:$P$19,Lists!$S$2:$S$19,0),_xlfn.XLOOKUP(K34,Lists!$P$2:$P$19,Lists!$S$2:$S$19,0)))</f>
        <v>0</v>
      </c>
      <c r="P34" s="68">
        <f ca="1">IF($B34="","",SUM(_xlfn.XLOOKUP(C34,Lists!$P$2:$P$19,Lists!$T$2:$T$19,0),_xlfn.XLOOKUP(E34,Lists!$P$2:$P$19,Lists!$T$2:$T$19,0),_xlfn.XLOOKUP(G34,Lists!$P$2:$P$19,Lists!$T$2:$T$19,0),_xlfn.XLOOKUP(I34,Lists!$P$2:$P$19,Lists!$T$2:$T$19,0),_xlfn.XLOOKUP(K34,Lists!$P$2:$P$19,Lists!$T$2:$T$19,0)))</f>
        <v>0</v>
      </c>
      <c r="Q34" s="68">
        <f ca="1">IF($B34="","",SUM(_xlfn.XLOOKUP(C34,Lists!$P$2:$P$19,Lists!$U$2:$U$19,0),_xlfn.XLOOKUP(E34,Lists!$P$2:$P$19,Lists!$U$2:$U$19,0),_xlfn.XLOOKUP(G34,Lists!$P$2:$P$19,Lists!$U$2:$U$19,0),_xlfn.XLOOKUP(I34,Lists!$P$2:$P$19,Lists!$U$2:$U$19,0),_xlfn.XLOOKUP(K34,Lists!$P$2:$P$19,Lists!$U$2:$U$19,0)))</f>
        <v>0</v>
      </c>
      <c r="R34" s="68">
        <f ca="1">IF($B34="","",SUM(_xlfn.XLOOKUP(C34,Lists!$P$2:$P$19,Lists!$V$2:$V$19,0),_xlfn.XLOOKUP(E34,Lists!$P$2:$P$19,Lists!$V$2:$V$19,0),_xlfn.XLOOKUP(G34,Lists!$P$2:$P$19,Lists!$V$2:$V$19,0),_xlfn.XLOOKUP(I34,Lists!$P$2:$P$19,Lists!$V$2:$V$19,0),_xlfn.XLOOKUP(K34,Lists!$P$2:$P$19,Lists!$V$2:$V$19,0)))</f>
        <v>0</v>
      </c>
      <c r="S34" s="68">
        <f ca="1">IF($B34="","",SUM(_xlfn.XLOOKUP(D34,Lists!$AC$2:$AC$9,Lists!$AD$2:$AD$9,0),_xlfn.XLOOKUP(F34,Lists!$AC$2:$AC$9,Lists!$AD$2:$AD$9,0),_xlfn.XLOOKUP(H34,Lists!$AC$2:$AC$9,Lists!$AD$2:$AD$9,0),_xlfn.XLOOKUP(J34,Lists!$AC$2:$AC$9,Lists!$AD$2:$AD$9,0),_xlfn.XLOOKUP(L34,Lists!$AC$2:$AC$9,Lists!$AD$2:$AD$9,0)))</f>
        <v>0</v>
      </c>
      <c r="T34" s="68">
        <f ca="1">IF($B34="","",SUM(_xlfn.XLOOKUP(C34,Lists!$P$2:$P$19,Lists!$W$2:$W$19,0),_xlfn.XLOOKUP(E34,Lists!$P$2:$P$19,Lists!$W$2:$W$19,0),_xlfn.XLOOKUP(G34,Lists!$P$2:$P$19,Lists!$W$2:$W$19,0),_xlfn.XLOOKUP(I34,Lists!$P$2:$P$19,Lists!$W$2:$W$19,0),_xlfn.XLOOKUP(K34,Lists!$P$2:$P$19,Lists!$W$2:$W$19,0)))</f>
        <v>0</v>
      </c>
      <c r="U34" s="68">
        <f ca="1">IF($B34="","",SUM(_xlfn.XLOOKUP(C34,Lists!$P$2:$P$19,Lists!$X$2:$X$19,0),_xlfn.XLOOKUP(E34,Lists!$P$2:$P$19,Lists!$X$2:$X$19,0),_xlfn.XLOOKUP(G34,Lists!$P$2:$P$19,Lists!$X$2:$X$19,0),_xlfn.XLOOKUP(I34,Lists!$P$2:$P$19,Lists!$X$2:$X$19,0),_xlfn.XLOOKUP(K34,Lists!$P$2:$P$19,Lists!$X$2:$X$19,0)))</f>
        <v>1</v>
      </c>
      <c r="V34" s="68">
        <f ca="1">IF($B34="","",SUM(_xlfn.XLOOKUP(C34,Lists!$P$2:$P$19,Lists!$Y$2:$Y$19,0),_xlfn.XLOOKUP(E34,Lists!$P$2:$P$19,Lists!$Y$2:$Y$19,0),_xlfn.XLOOKUP(G34,Lists!$P$2:$P$19,Lists!$Y$2:$Y$19,0),_xlfn.XLOOKUP(I34,Lists!$P$2:$P$19,Lists!$Y$2:$Y$19,0),_xlfn.XLOOKUP(K34,Lists!$P$2:$P$19,Lists!$Y$2:$Y$19,0)))</f>
        <v>0</v>
      </c>
      <c r="W34" s="68">
        <f ca="1">IF($B34="","",SUM(_xlfn.XLOOKUP(C34,Lists!$P$2:$P$19,Lists!$Z$2:$Z$19,0),_xlfn.XLOOKUP(E34,Lists!$P$2:$P$19,Lists!$Z$2:$Z$19,0),_xlfn.XLOOKUP(G34,Lists!$P$2:$P$19,Lists!$Z$2:$Z$19,0),_xlfn.XLOOKUP(I34,Lists!$P$2:$P$19,Lists!$Z$2:$Z$19,0),_xlfn.XLOOKUP(K34,Lists!$P$2:$P$19,Lists!$Z$2:$Z$19,0)))</f>
        <v>0</v>
      </c>
      <c r="X34" s="69">
        <f ca="1">IF($B34="","",SUM(_xlfn.XLOOKUP(C34,Lists!$P$2:$P$19,Lists!$AA$2:$AA$19,0),_xlfn.XLOOKUP(E34,Lists!$P$2:$P$19,Lists!$AA$2:$AA$19,0),_xlfn.XLOOKUP(G34,Lists!$P$2:$P$19,Lists!$AA$2:$AA$19,0),_xlfn.XLOOKUP(I34,Lists!$P$2:$P$19,Lists!$AA$2:$AA$19,0),_xlfn.XLOOKUP(K34,Lists!$P$2:$P$19,Lists!$AA$2:$AA$19,0)))</f>
        <v>0</v>
      </c>
      <c r="Y34" s="49"/>
      <c r="Z34" s="49"/>
      <c r="AA34" s="49"/>
      <c r="AB34" s="49"/>
      <c r="AC34" s="49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</row>
    <row r="35" spans="1:110">
      <c r="A35" s="168">
        <v>6</v>
      </c>
      <c r="B35" s="47" t="str">
        <f ca="1">Lineups!$H$10</f>
        <v>Dixie Kong</v>
      </c>
      <c r="C35" s="49" t="s">
        <v>193</v>
      </c>
      <c r="D35" s="49"/>
      <c r="E35" s="49"/>
      <c r="F35" s="49"/>
      <c r="G35" s="49"/>
      <c r="H35" s="50"/>
      <c r="I35" s="50"/>
      <c r="J35" s="50"/>
      <c r="K35" s="50"/>
      <c r="L35" s="50"/>
      <c r="M35" s="67">
        <f ca="1">IF($B35="","",SUM(_xlfn.XLOOKUP(C35,Lists!$P$2:$P$19,Lists!$R$2:$R$19,0),_xlfn.XLOOKUP(E35,Lists!$P$2:$P$19,Lists!$R$2:$R$19,0),_xlfn.XLOOKUP(G35,Lists!$P$2:$P$19,Lists!$R$2:$R$19,0),_xlfn.XLOOKUP(I35,Lists!$P$2:$P$19,Lists!$R$2:$R$19,0),_xlfn.XLOOKUP(K35,Lists!$P$2:$P$19,Lists!$R$2:$R$19,0)))</f>
        <v>1</v>
      </c>
      <c r="N35" s="68">
        <f ca="1">IF($B35="","",SUM(_xlfn.XLOOKUP(D35,Lists!$AC$2:$AC$9,Lists!$AE$2:$AE$9,0),_xlfn.XLOOKUP(F35,Lists!$AC$2:$AC$9,Lists!$AE$2:$AE$9,0),_xlfn.XLOOKUP(H35,Lists!$AC$2:$AC$9,Lists!$AE$2:$AE$9,0),_xlfn.XLOOKUP(J35,Lists!$AC$2:$AC$9,Lists!$AE$2:$AE$9,0),_xlfn.XLOOKUP(L35,Lists!$AC$2:$AC$9,Lists!$AE$2:$AE$9,0)))</f>
        <v>0</v>
      </c>
      <c r="O35" s="68">
        <f ca="1">IF($B35="","",SUM(_xlfn.XLOOKUP(C35,Lists!$P$2:$P$19,Lists!$S$2:$S$19,0),_xlfn.XLOOKUP(E35,Lists!$P$2:$P$19,Lists!$S$2:$S$19,0),_xlfn.XLOOKUP(G35,Lists!$P$2:$P$19,Lists!$S$2:$S$19,0),_xlfn.XLOOKUP(I35,Lists!$P$2:$P$19,Lists!$S$2:$S$19,0),_xlfn.XLOOKUP(K35,Lists!$P$2:$P$19,Lists!$S$2:$S$19,0)))</f>
        <v>0</v>
      </c>
      <c r="P35" s="68">
        <f ca="1">IF($B35="","",SUM(_xlfn.XLOOKUP(C35,Lists!$P$2:$P$19,Lists!$T$2:$T$19,0),_xlfn.XLOOKUP(E35,Lists!$P$2:$P$19,Lists!$T$2:$T$19,0),_xlfn.XLOOKUP(G35,Lists!$P$2:$P$19,Lists!$T$2:$T$19,0),_xlfn.XLOOKUP(I35,Lists!$P$2:$P$19,Lists!$T$2:$T$19,0),_xlfn.XLOOKUP(K35,Lists!$P$2:$P$19,Lists!$T$2:$T$19,0)))</f>
        <v>0</v>
      </c>
      <c r="Q35" s="68">
        <f ca="1">IF($B35="","",SUM(_xlfn.XLOOKUP(C35,Lists!$P$2:$P$19,Lists!$U$2:$U$19,0),_xlfn.XLOOKUP(E35,Lists!$P$2:$P$19,Lists!$U$2:$U$19,0),_xlfn.XLOOKUP(G35,Lists!$P$2:$P$19,Lists!$U$2:$U$19,0),_xlfn.XLOOKUP(I35,Lists!$P$2:$P$19,Lists!$U$2:$U$19,0),_xlfn.XLOOKUP(K35,Lists!$P$2:$P$19,Lists!$U$2:$U$19,0)))</f>
        <v>0</v>
      </c>
      <c r="R35" s="68">
        <f ca="1">IF($B35="","",SUM(_xlfn.XLOOKUP(C35,Lists!$P$2:$P$19,Lists!$V$2:$V$19,0),_xlfn.XLOOKUP(E35,Lists!$P$2:$P$19,Lists!$V$2:$V$19,0),_xlfn.XLOOKUP(G35,Lists!$P$2:$P$19,Lists!$V$2:$V$19,0),_xlfn.XLOOKUP(I35,Lists!$P$2:$P$19,Lists!$V$2:$V$19,0),_xlfn.XLOOKUP(K35,Lists!$P$2:$P$19,Lists!$V$2:$V$19,0)))</f>
        <v>0</v>
      </c>
      <c r="S35" s="68">
        <f ca="1">IF($B35="","",SUM(_xlfn.XLOOKUP(D35,Lists!$AC$2:$AC$9,Lists!$AD$2:$AD$9,0),_xlfn.XLOOKUP(F35,Lists!$AC$2:$AC$9,Lists!$AD$2:$AD$9,0),_xlfn.XLOOKUP(H35,Lists!$AC$2:$AC$9,Lists!$AD$2:$AD$9,0),_xlfn.XLOOKUP(J35,Lists!$AC$2:$AC$9,Lists!$AD$2:$AD$9,0),_xlfn.XLOOKUP(L35,Lists!$AC$2:$AC$9,Lists!$AD$2:$AD$9,0)))</f>
        <v>0</v>
      </c>
      <c r="T35" s="68">
        <f ca="1">IF($B35="","",SUM(_xlfn.XLOOKUP(C35,Lists!$P$2:$P$19,Lists!$W$2:$W$19,0),_xlfn.XLOOKUP(E35,Lists!$P$2:$P$19,Lists!$W$2:$W$19,0),_xlfn.XLOOKUP(G35,Lists!$P$2:$P$19,Lists!$W$2:$W$19,0),_xlfn.XLOOKUP(I35,Lists!$P$2:$P$19,Lists!$W$2:$W$19,0),_xlfn.XLOOKUP(K35,Lists!$P$2:$P$19,Lists!$W$2:$W$19,0)))</f>
        <v>0</v>
      </c>
      <c r="U35" s="68">
        <f ca="1">IF($B35="","",SUM(_xlfn.XLOOKUP(C35,Lists!$P$2:$P$19,Lists!$X$2:$X$19,0),_xlfn.XLOOKUP(E35,Lists!$P$2:$P$19,Lists!$X$2:$X$19,0),_xlfn.XLOOKUP(G35,Lists!$P$2:$P$19,Lists!$X$2:$X$19,0),_xlfn.XLOOKUP(I35,Lists!$P$2:$P$19,Lists!$X$2:$X$19,0),_xlfn.XLOOKUP(K35,Lists!$P$2:$P$19,Lists!$X$2:$X$19,0)))</f>
        <v>0</v>
      </c>
      <c r="V35" s="68">
        <f ca="1">IF($B35="","",SUM(_xlfn.XLOOKUP(C35,Lists!$P$2:$P$19,Lists!$Y$2:$Y$19,0),_xlfn.XLOOKUP(E35,Lists!$P$2:$P$19,Lists!$Y$2:$Y$19,0),_xlfn.XLOOKUP(G35,Lists!$P$2:$P$19,Lists!$Y$2:$Y$19,0),_xlfn.XLOOKUP(I35,Lists!$P$2:$P$19,Lists!$Y$2:$Y$19,0),_xlfn.XLOOKUP(K35,Lists!$P$2:$P$19,Lists!$Y$2:$Y$19,0)))</f>
        <v>0</v>
      </c>
      <c r="W35" s="68">
        <f ca="1">IF($B35="","",SUM(_xlfn.XLOOKUP(C35,Lists!$P$2:$P$19,Lists!$Z$2:$Z$19,0),_xlfn.XLOOKUP(E35,Lists!$P$2:$P$19,Lists!$Z$2:$Z$19,0),_xlfn.XLOOKUP(G35,Lists!$P$2:$P$19,Lists!$Z$2:$Z$19,0),_xlfn.XLOOKUP(I35,Lists!$P$2:$P$19,Lists!$Z$2:$Z$19,0),_xlfn.XLOOKUP(K35,Lists!$P$2:$P$19,Lists!$Z$2:$Z$19,0)))</f>
        <v>0</v>
      </c>
      <c r="X35" s="69">
        <f ca="1">IF($B35="","",SUM(_xlfn.XLOOKUP(C35,Lists!$P$2:$P$19,Lists!$AA$2:$AA$19,0),_xlfn.XLOOKUP(E35,Lists!$P$2:$P$19,Lists!$AA$2:$AA$19,0),_xlfn.XLOOKUP(G35,Lists!$P$2:$P$19,Lists!$AA$2:$AA$19,0),_xlfn.XLOOKUP(I35,Lists!$P$2:$P$19,Lists!$AA$2:$AA$19,0),_xlfn.XLOOKUP(K35,Lists!$P$2:$P$19,Lists!$AA$2:$AA$19,0)))</f>
        <v>0</v>
      </c>
      <c r="Y35" s="49"/>
      <c r="Z35" s="49"/>
      <c r="AA35" s="49"/>
      <c r="AB35" s="49"/>
      <c r="AC35" s="49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</row>
    <row r="36" spans="1:110">
      <c r="A36" s="168">
        <v>7</v>
      </c>
      <c r="B36" s="47" t="str">
        <f ca="1">Lineups!$H$11</f>
        <v>Baby DK</v>
      </c>
      <c r="C36" s="49" t="s">
        <v>193</v>
      </c>
      <c r="D36" s="49"/>
      <c r="E36" s="49"/>
      <c r="F36" s="49"/>
      <c r="G36" s="49"/>
      <c r="H36" s="50"/>
      <c r="I36" s="50"/>
      <c r="J36" s="50"/>
      <c r="K36" s="50"/>
      <c r="L36" s="50"/>
      <c r="M36" s="67">
        <f ca="1">IF($B36="","",SUM(_xlfn.XLOOKUP(C36,Lists!$P$2:$P$19,Lists!$R$2:$R$19,0),_xlfn.XLOOKUP(E36,Lists!$P$2:$P$19,Lists!$R$2:$R$19,0),_xlfn.XLOOKUP(G36,Lists!$P$2:$P$19,Lists!$R$2:$R$19,0),_xlfn.XLOOKUP(I36,Lists!$P$2:$P$19,Lists!$R$2:$R$19,0),_xlfn.XLOOKUP(K36,Lists!$P$2:$P$19,Lists!$R$2:$R$19,0)))</f>
        <v>1</v>
      </c>
      <c r="N36" s="68">
        <f ca="1">IF($B36="","",SUM(_xlfn.XLOOKUP(D36,Lists!$AC$2:$AC$9,Lists!$AE$2:$AE$9,0),_xlfn.XLOOKUP(F36,Lists!$AC$2:$AC$9,Lists!$AE$2:$AE$9,0),_xlfn.XLOOKUP(H36,Lists!$AC$2:$AC$9,Lists!$AE$2:$AE$9,0),_xlfn.XLOOKUP(J36,Lists!$AC$2:$AC$9,Lists!$AE$2:$AE$9,0),_xlfn.XLOOKUP(L36,Lists!$AC$2:$AC$9,Lists!$AE$2:$AE$9,0)))</f>
        <v>0</v>
      </c>
      <c r="O36" s="68">
        <f ca="1">IF($B36="","",SUM(_xlfn.XLOOKUP(C36,Lists!$P$2:$P$19,Lists!$S$2:$S$19,0),_xlfn.XLOOKUP(E36,Lists!$P$2:$P$19,Lists!$S$2:$S$19,0),_xlfn.XLOOKUP(G36,Lists!$P$2:$P$19,Lists!$S$2:$S$19,0),_xlfn.XLOOKUP(I36,Lists!$P$2:$P$19,Lists!$S$2:$S$19,0),_xlfn.XLOOKUP(K36,Lists!$P$2:$P$19,Lists!$S$2:$S$19,0)))</f>
        <v>0</v>
      </c>
      <c r="P36" s="68">
        <f ca="1">IF($B36="","",SUM(_xlfn.XLOOKUP(C36,Lists!$P$2:$P$19,Lists!$T$2:$T$19,0),_xlfn.XLOOKUP(E36,Lists!$P$2:$P$19,Lists!$T$2:$T$19,0),_xlfn.XLOOKUP(G36,Lists!$P$2:$P$19,Lists!$T$2:$T$19,0),_xlfn.XLOOKUP(I36,Lists!$P$2:$P$19,Lists!$T$2:$T$19,0),_xlfn.XLOOKUP(K36,Lists!$P$2:$P$19,Lists!$T$2:$T$19,0)))</f>
        <v>0</v>
      </c>
      <c r="Q36" s="68">
        <f ca="1">IF($B36="","",SUM(_xlfn.XLOOKUP(C36,Lists!$P$2:$P$19,Lists!$U$2:$U$19,0),_xlfn.XLOOKUP(E36,Lists!$P$2:$P$19,Lists!$U$2:$U$19,0),_xlfn.XLOOKUP(G36,Lists!$P$2:$P$19,Lists!$U$2:$U$19,0),_xlfn.XLOOKUP(I36,Lists!$P$2:$P$19,Lists!$U$2:$U$19,0),_xlfn.XLOOKUP(K36,Lists!$P$2:$P$19,Lists!$U$2:$U$19,0)))</f>
        <v>0</v>
      </c>
      <c r="R36" s="68">
        <f ca="1">IF($B36="","",SUM(_xlfn.XLOOKUP(C36,Lists!$P$2:$P$19,Lists!$V$2:$V$19,0),_xlfn.XLOOKUP(E36,Lists!$P$2:$P$19,Lists!$V$2:$V$19,0),_xlfn.XLOOKUP(G36,Lists!$P$2:$P$19,Lists!$V$2:$V$19,0),_xlfn.XLOOKUP(I36,Lists!$P$2:$P$19,Lists!$V$2:$V$19,0),_xlfn.XLOOKUP(K36,Lists!$P$2:$P$19,Lists!$V$2:$V$19,0)))</f>
        <v>0</v>
      </c>
      <c r="S36" s="68">
        <f ca="1">IF($B36="","",SUM(_xlfn.XLOOKUP(D36,Lists!$AC$2:$AC$9,Lists!$AD$2:$AD$9,0),_xlfn.XLOOKUP(F36,Lists!$AC$2:$AC$9,Lists!$AD$2:$AD$9,0),_xlfn.XLOOKUP(H36,Lists!$AC$2:$AC$9,Lists!$AD$2:$AD$9,0),_xlfn.XLOOKUP(J36,Lists!$AC$2:$AC$9,Lists!$AD$2:$AD$9,0),_xlfn.XLOOKUP(L36,Lists!$AC$2:$AC$9,Lists!$AD$2:$AD$9,0)))</f>
        <v>0</v>
      </c>
      <c r="T36" s="68">
        <f ca="1">IF($B36="","",SUM(_xlfn.XLOOKUP(C36,Lists!$P$2:$P$19,Lists!$W$2:$W$19,0),_xlfn.XLOOKUP(E36,Lists!$P$2:$P$19,Lists!$W$2:$W$19,0),_xlfn.XLOOKUP(G36,Lists!$P$2:$P$19,Lists!$W$2:$W$19,0),_xlfn.XLOOKUP(I36,Lists!$P$2:$P$19,Lists!$W$2:$W$19,0),_xlfn.XLOOKUP(K36,Lists!$P$2:$P$19,Lists!$W$2:$W$19,0)))</f>
        <v>0</v>
      </c>
      <c r="U36" s="68">
        <f ca="1">IF($B36="","",SUM(_xlfn.XLOOKUP(C36,Lists!$P$2:$P$19,Lists!$X$2:$X$19,0),_xlfn.XLOOKUP(E36,Lists!$P$2:$P$19,Lists!$X$2:$X$19,0),_xlfn.XLOOKUP(G36,Lists!$P$2:$P$19,Lists!$X$2:$X$19,0),_xlfn.XLOOKUP(I36,Lists!$P$2:$P$19,Lists!$X$2:$X$19,0),_xlfn.XLOOKUP(K36,Lists!$P$2:$P$19,Lists!$X$2:$X$19,0)))</f>
        <v>0</v>
      </c>
      <c r="V36" s="68">
        <f ca="1">IF($B36="","",SUM(_xlfn.XLOOKUP(C36,Lists!$P$2:$P$19,Lists!$Y$2:$Y$19,0),_xlfn.XLOOKUP(E36,Lists!$P$2:$P$19,Lists!$Y$2:$Y$19,0),_xlfn.XLOOKUP(G36,Lists!$P$2:$P$19,Lists!$Y$2:$Y$19,0),_xlfn.XLOOKUP(I36,Lists!$P$2:$P$19,Lists!$Y$2:$Y$19,0),_xlfn.XLOOKUP(K36,Lists!$P$2:$P$19,Lists!$Y$2:$Y$19,0)))</f>
        <v>0</v>
      </c>
      <c r="W36" s="68">
        <f ca="1">IF($B36="","",SUM(_xlfn.XLOOKUP(C36,Lists!$P$2:$P$19,Lists!$Z$2:$Z$19,0),_xlfn.XLOOKUP(E36,Lists!$P$2:$P$19,Lists!$Z$2:$Z$19,0),_xlfn.XLOOKUP(G36,Lists!$P$2:$P$19,Lists!$Z$2:$Z$19,0),_xlfn.XLOOKUP(I36,Lists!$P$2:$P$19,Lists!$Z$2:$Z$19,0),_xlfn.XLOOKUP(K36,Lists!$P$2:$P$19,Lists!$Z$2:$Z$19,0)))</f>
        <v>0</v>
      </c>
      <c r="X36" s="69">
        <f ca="1">IF($B36="","",SUM(_xlfn.XLOOKUP(C36,Lists!$P$2:$P$19,Lists!$AA$2:$AA$19,0),_xlfn.XLOOKUP(E36,Lists!$P$2:$P$19,Lists!$AA$2:$AA$19,0),_xlfn.XLOOKUP(G36,Lists!$P$2:$P$19,Lists!$AA$2:$AA$19,0),_xlfn.XLOOKUP(I36,Lists!$P$2:$P$19,Lists!$AA$2:$AA$19,0),_xlfn.XLOOKUP(K36,Lists!$P$2:$P$19,Lists!$AA$2:$AA$19,0)))</f>
        <v>0</v>
      </c>
      <c r="Y36" s="49"/>
      <c r="Z36" s="49"/>
      <c r="AA36" s="49"/>
      <c r="AB36" s="49"/>
      <c r="AC36" s="49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</row>
    <row r="37" spans="1:110">
      <c r="A37" s="168">
        <v>8</v>
      </c>
      <c r="B37" s="47" t="str">
        <f ca="1">Lineups!$H$12</f>
        <v>Tiny Kong</v>
      </c>
      <c r="C37" s="49" t="s">
        <v>185</v>
      </c>
      <c r="D37" s="49"/>
      <c r="E37" s="49"/>
      <c r="F37" s="49"/>
      <c r="G37" s="49"/>
      <c r="H37" s="50"/>
      <c r="I37" s="50"/>
      <c r="J37" s="50"/>
      <c r="K37" s="50"/>
      <c r="L37" s="50"/>
      <c r="M37" s="67">
        <f ca="1">IF($B37="","",SUM(_xlfn.XLOOKUP(C37,Lists!$P$2:$P$19,Lists!$R$2:$R$19,0),_xlfn.XLOOKUP(E37,Lists!$P$2:$P$19,Lists!$R$2:$R$19,0),_xlfn.XLOOKUP(G37,Lists!$P$2:$P$19,Lists!$R$2:$R$19,0),_xlfn.XLOOKUP(I37,Lists!$P$2:$P$19,Lists!$R$2:$R$19,0),_xlfn.XLOOKUP(K37,Lists!$P$2:$P$19,Lists!$R$2:$R$19,0)))</f>
        <v>1</v>
      </c>
      <c r="N37" s="68">
        <f ca="1">IF($B37="","",SUM(_xlfn.XLOOKUP(D37,Lists!$AC$2:$AC$9,Lists!$AE$2:$AE$9,0),_xlfn.XLOOKUP(F37,Lists!$AC$2:$AC$9,Lists!$AE$2:$AE$9,0),_xlfn.XLOOKUP(H37,Lists!$AC$2:$AC$9,Lists!$AE$2:$AE$9,0),_xlfn.XLOOKUP(J37,Lists!$AC$2:$AC$9,Lists!$AE$2:$AE$9,0),_xlfn.XLOOKUP(L37,Lists!$AC$2:$AC$9,Lists!$AE$2:$AE$9,0)))</f>
        <v>0</v>
      </c>
      <c r="O37" s="68">
        <f ca="1">IF($B37="","",SUM(_xlfn.XLOOKUP(C37,Lists!$P$2:$P$19,Lists!$S$2:$S$19,0),_xlfn.XLOOKUP(E37,Lists!$P$2:$P$19,Lists!$S$2:$S$19,0),_xlfn.XLOOKUP(G37,Lists!$P$2:$P$19,Lists!$S$2:$S$19,0),_xlfn.XLOOKUP(I37,Lists!$P$2:$P$19,Lists!$S$2:$S$19,0),_xlfn.XLOOKUP(K37,Lists!$P$2:$P$19,Lists!$S$2:$S$19,0)))</f>
        <v>0</v>
      </c>
      <c r="P37" s="68">
        <f ca="1">IF($B37="","",SUM(_xlfn.XLOOKUP(C37,Lists!$P$2:$P$19,Lists!$T$2:$T$19,0),_xlfn.XLOOKUP(E37,Lists!$P$2:$P$19,Lists!$T$2:$T$19,0),_xlfn.XLOOKUP(G37,Lists!$P$2:$P$19,Lists!$T$2:$T$19,0),_xlfn.XLOOKUP(I37,Lists!$P$2:$P$19,Lists!$T$2:$T$19,0),_xlfn.XLOOKUP(K37,Lists!$P$2:$P$19,Lists!$T$2:$T$19,0)))</f>
        <v>0</v>
      </c>
      <c r="Q37" s="68">
        <f ca="1">IF($B37="","",SUM(_xlfn.XLOOKUP(C37,Lists!$P$2:$P$19,Lists!$U$2:$U$19,0),_xlfn.XLOOKUP(E37,Lists!$P$2:$P$19,Lists!$U$2:$U$19,0),_xlfn.XLOOKUP(G37,Lists!$P$2:$P$19,Lists!$U$2:$U$19,0),_xlfn.XLOOKUP(I37,Lists!$P$2:$P$19,Lists!$U$2:$U$19,0),_xlfn.XLOOKUP(K37,Lists!$P$2:$P$19,Lists!$U$2:$U$19,0)))</f>
        <v>0</v>
      </c>
      <c r="R37" s="68">
        <f ca="1">IF($B37="","",SUM(_xlfn.XLOOKUP(C37,Lists!$P$2:$P$19,Lists!$V$2:$V$19,0),_xlfn.XLOOKUP(E37,Lists!$P$2:$P$19,Lists!$V$2:$V$19,0),_xlfn.XLOOKUP(G37,Lists!$P$2:$P$19,Lists!$V$2:$V$19,0),_xlfn.XLOOKUP(I37,Lists!$P$2:$P$19,Lists!$V$2:$V$19,0),_xlfn.XLOOKUP(K37,Lists!$P$2:$P$19,Lists!$V$2:$V$19,0)))</f>
        <v>0</v>
      </c>
      <c r="S37" s="68">
        <f ca="1">IF($B37="","",SUM(_xlfn.XLOOKUP(D37,Lists!$AC$2:$AC$9,Lists!$AD$2:$AD$9,0),_xlfn.XLOOKUP(F37,Lists!$AC$2:$AC$9,Lists!$AD$2:$AD$9,0),_xlfn.XLOOKUP(H37,Lists!$AC$2:$AC$9,Lists!$AD$2:$AD$9,0),_xlfn.XLOOKUP(J37,Lists!$AC$2:$AC$9,Lists!$AD$2:$AD$9,0),_xlfn.XLOOKUP(L37,Lists!$AC$2:$AC$9,Lists!$AD$2:$AD$9,0)))</f>
        <v>0</v>
      </c>
      <c r="T37" s="68">
        <f ca="1">IF($B37="","",SUM(_xlfn.XLOOKUP(C37,Lists!$P$2:$P$19,Lists!$W$2:$W$19,0),_xlfn.XLOOKUP(E37,Lists!$P$2:$P$19,Lists!$W$2:$W$19,0),_xlfn.XLOOKUP(G37,Lists!$P$2:$P$19,Lists!$W$2:$W$19,0),_xlfn.XLOOKUP(I37,Lists!$P$2:$P$19,Lists!$W$2:$W$19,0),_xlfn.XLOOKUP(K37,Lists!$P$2:$P$19,Lists!$W$2:$W$19,0)))</f>
        <v>0</v>
      </c>
      <c r="U37" s="68">
        <f ca="1">IF($B37="","",SUM(_xlfn.XLOOKUP(C37,Lists!$P$2:$P$19,Lists!$X$2:$X$19,0),_xlfn.XLOOKUP(E37,Lists!$P$2:$P$19,Lists!$X$2:$X$19,0),_xlfn.XLOOKUP(G37,Lists!$P$2:$P$19,Lists!$X$2:$X$19,0),_xlfn.XLOOKUP(I37,Lists!$P$2:$P$19,Lists!$X$2:$X$19,0),_xlfn.XLOOKUP(K37,Lists!$P$2:$P$19,Lists!$X$2:$X$19,0)))</f>
        <v>1</v>
      </c>
      <c r="V37" s="68">
        <f ca="1">IF($B37="","",SUM(_xlfn.XLOOKUP(C37,Lists!$P$2:$P$19,Lists!$Y$2:$Y$19,0),_xlfn.XLOOKUP(E37,Lists!$P$2:$P$19,Lists!$Y$2:$Y$19,0),_xlfn.XLOOKUP(G37,Lists!$P$2:$P$19,Lists!$Y$2:$Y$19,0),_xlfn.XLOOKUP(I37,Lists!$P$2:$P$19,Lists!$Y$2:$Y$19,0),_xlfn.XLOOKUP(K37,Lists!$P$2:$P$19,Lists!$Y$2:$Y$19,0)))</f>
        <v>0</v>
      </c>
      <c r="W37" s="68">
        <f ca="1">IF($B37="","",SUM(_xlfn.XLOOKUP(C37,Lists!$P$2:$P$19,Lists!$Z$2:$Z$19,0),_xlfn.XLOOKUP(E37,Lists!$P$2:$P$19,Lists!$Z$2:$Z$19,0),_xlfn.XLOOKUP(G37,Lists!$P$2:$P$19,Lists!$Z$2:$Z$19,0),_xlfn.XLOOKUP(I37,Lists!$P$2:$P$19,Lists!$Z$2:$Z$19,0),_xlfn.XLOOKUP(K37,Lists!$P$2:$P$19,Lists!$Z$2:$Z$19,0)))</f>
        <v>0</v>
      </c>
      <c r="X37" s="69">
        <f ca="1">IF($B37="","",SUM(_xlfn.XLOOKUP(C37,Lists!$P$2:$P$19,Lists!$AA$2:$AA$19,0),_xlfn.XLOOKUP(E37,Lists!$P$2:$P$19,Lists!$AA$2:$AA$19,0),_xlfn.XLOOKUP(G37,Lists!$P$2:$P$19,Lists!$AA$2:$AA$19,0),_xlfn.XLOOKUP(I37,Lists!$P$2:$P$19,Lists!$AA$2:$AA$19,0),_xlfn.XLOOKUP(K37,Lists!$P$2:$P$19,Lists!$AA$2:$AA$19,0)))</f>
        <v>0</v>
      </c>
      <c r="Y37" s="49"/>
      <c r="Z37" s="49"/>
      <c r="AA37" s="49"/>
      <c r="AB37" s="49"/>
      <c r="AC37" s="49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</row>
    <row r="38" spans="1:110">
      <c r="A38" s="168">
        <v>9</v>
      </c>
      <c r="B38" s="47" t="str">
        <f ca="1">Lineups!$H$13</f>
        <v>Paragoomba</v>
      </c>
      <c r="C38" s="49" t="s">
        <v>189</v>
      </c>
      <c r="D38" s="49"/>
      <c r="E38" s="49"/>
      <c r="F38" s="49"/>
      <c r="G38" s="49"/>
      <c r="H38" s="50"/>
      <c r="I38" s="50"/>
      <c r="J38" s="50"/>
      <c r="K38" s="50"/>
      <c r="L38" s="50"/>
      <c r="M38" s="67">
        <f ca="1">IF($B38="","",SUM(_xlfn.XLOOKUP(C38,Lists!$P$2:$P$19,Lists!$R$2:$R$19,0),_xlfn.XLOOKUP(E38,Lists!$P$2:$P$19,Lists!$R$2:$R$19,0),_xlfn.XLOOKUP(G38,Lists!$P$2:$P$19,Lists!$R$2:$R$19,0),_xlfn.XLOOKUP(I38,Lists!$P$2:$P$19,Lists!$R$2:$R$19,0),_xlfn.XLOOKUP(K38,Lists!$P$2:$P$19,Lists!$R$2:$R$19,0)))</f>
        <v>1</v>
      </c>
      <c r="N38" s="68">
        <f ca="1">IF($B38="","",SUM(_xlfn.XLOOKUP(D38,Lists!$AC$2:$AC$9,Lists!$AE$2:$AE$9,0),_xlfn.XLOOKUP(F38,Lists!$AC$2:$AC$9,Lists!$AE$2:$AE$9,0),_xlfn.XLOOKUP(H38,Lists!$AC$2:$AC$9,Lists!$AE$2:$AE$9,0),_xlfn.XLOOKUP(J38,Lists!$AC$2:$AC$9,Lists!$AE$2:$AE$9,0),_xlfn.XLOOKUP(L38,Lists!$AC$2:$AC$9,Lists!$AE$2:$AE$9,0)))</f>
        <v>0</v>
      </c>
      <c r="O38" s="68">
        <f ca="1">IF($B38="","",SUM(_xlfn.XLOOKUP(C38,Lists!$P$2:$P$19,Lists!$S$2:$S$19,0),_xlfn.XLOOKUP(E38,Lists!$P$2:$P$19,Lists!$S$2:$S$19,0),_xlfn.XLOOKUP(G38,Lists!$P$2:$P$19,Lists!$S$2:$S$19,0),_xlfn.XLOOKUP(I38,Lists!$P$2:$P$19,Lists!$S$2:$S$19,0),_xlfn.XLOOKUP(K38,Lists!$P$2:$P$19,Lists!$S$2:$S$19,0)))</f>
        <v>0</v>
      </c>
      <c r="P38" s="68">
        <f ca="1">IF($B38="","",SUM(_xlfn.XLOOKUP(C38,Lists!$P$2:$P$19,Lists!$T$2:$T$19,0),_xlfn.XLOOKUP(E38,Lists!$P$2:$P$19,Lists!$T$2:$T$19,0),_xlfn.XLOOKUP(G38,Lists!$P$2:$P$19,Lists!$T$2:$T$19,0),_xlfn.XLOOKUP(I38,Lists!$P$2:$P$19,Lists!$T$2:$T$19,0),_xlfn.XLOOKUP(K38,Lists!$P$2:$P$19,Lists!$T$2:$T$19,0)))</f>
        <v>0</v>
      </c>
      <c r="Q38" s="68">
        <f ca="1">IF($B38="","",SUM(_xlfn.XLOOKUP(C38,Lists!$P$2:$P$19,Lists!$U$2:$U$19,0),_xlfn.XLOOKUP(E38,Lists!$P$2:$P$19,Lists!$U$2:$U$19,0),_xlfn.XLOOKUP(G38,Lists!$P$2:$P$19,Lists!$U$2:$U$19,0),_xlfn.XLOOKUP(I38,Lists!$P$2:$P$19,Lists!$U$2:$U$19,0),_xlfn.XLOOKUP(K38,Lists!$P$2:$P$19,Lists!$U$2:$U$19,0)))</f>
        <v>0</v>
      </c>
      <c r="R38" s="68">
        <f ca="1">IF($B38="","",SUM(_xlfn.XLOOKUP(C38,Lists!$P$2:$P$19,Lists!$V$2:$V$19,0),_xlfn.XLOOKUP(E38,Lists!$P$2:$P$19,Lists!$V$2:$V$19,0),_xlfn.XLOOKUP(G38,Lists!$P$2:$P$19,Lists!$V$2:$V$19,0),_xlfn.XLOOKUP(I38,Lists!$P$2:$P$19,Lists!$V$2:$V$19,0),_xlfn.XLOOKUP(K38,Lists!$P$2:$P$19,Lists!$V$2:$V$19,0)))</f>
        <v>0</v>
      </c>
      <c r="S38" s="68">
        <f ca="1">IF($B38="","",SUM(_xlfn.XLOOKUP(D38,Lists!$AC$2:$AC$9,Lists!$AD$2:$AD$9,0),_xlfn.XLOOKUP(F38,Lists!$AC$2:$AC$9,Lists!$AD$2:$AD$9,0),_xlfn.XLOOKUP(H38,Lists!$AC$2:$AC$9,Lists!$AD$2:$AD$9,0),_xlfn.XLOOKUP(J38,Lists!$AC$2:$AC$9,Lists!$AD$2:$AD$9,0),_xlfn.XLOOKUP(L38,Lists!$AC$2:$AC$9,Lists!$AD$2:$AD$9,0)))</f>
        <v>0</v>
      </c>
      <c r="T38" s="68">
        <f ca="1">IF($B38="","",SUM(_xlfn.XLOOKUP(C38,Lists!$P$2:$P$19,Lists!$W$2:$W$19,0),_xlfn.XLOOKUP(E38,Lists!$P$2:$P$19,Lists!$W$2:$W$19,0),_xlfn.XLOOKUP(G38,Lists!$P$2:$P$19,Lists!$W$2:$W$19,0),_xlfn.XLOOKUP(I38,Lists!$P$2:$P$19,Lists!$W$2:$W$19,0),_xlfn.XLOOKUP(K38,Lists!$P$2:$P$19,Lists!$W$2:$W$19,0)))</f>
        <v>0</v>
      </c>
      <c r="U38" s="68">
        <f ca="1">IF($B38="","",SUM(_xlfn.XLOOKUP(C38,Lists!$P$2:$P$19,Lists!$X$2:$X$19,0),_xlfn.XLOOKUP(E38,Lists!$P$2:$P$19,Lists!$X$2:$X$19,0),_xlfn.XLOOKUP(G38,Lists!$P$2:$P$19,Lists!$X$2:$X$19,0),_xlfn.XLOOKUP(I38,Lists!$P$2:$P$19,Lists!$X$2:$X$19,0),_xlfn.XLOOKUP(K38,Lists!$P$2:$P$19,Lists!$X$2:$X$19,0)))</f>
        <v>0</v>
      </c>
      <c r="V38" s="68">
        <f ca="1">IF($B38="","",SUM(_xlfn.XLOOKUP(C38,Lists!$P$2:$P$19,Lists!$Y$2:$Y$19,0),_xlfn.XLOOKUP(E38,Lists!$P$2:$P$19,Lists!$Y$2:$Y$19,0),_xlfn.XLOOKUP(G38,Lists!$P$2:$P$19,Lists!$Y$2:$Y$19,0),_xlfn.XLOOKUP(I38,Lists!$P$2:$P$19,Lists!$Y$2:$Y$19,0),_xlfn.XLOOKUP(K38,Lists!$P$2:$P$19,Lists!$Y$2:$Y$19,0)))</f>
        <v>0</v>
      </c>
      <c r="W38" s="68">
        <f ca="1">IF($B38="","",SUM(_xlfn.XLOOKUP(C38,Lists!$P$2:$P$19,Lists!$Z$2:$Z$19,0),_xlfn.XLOOKUP(E38,Lists!$P$2:$P$19,Lists!$Z$2:$Z$19,0),_xlfn.XLOOKUP(G38,Lists!$P$2:$P$19,Lists!$Z$2:$Z$19,0),_xlfn.XLOOKUP(I38,Lists!$P$2:$P$19,Lists!$Z$2:$Z$19,0),_xlfn.XLOOKUP(K38,Lists!$P$2:$P$19,Lists!$Z$2:$Z$19,0)))</f>
        <v>0</v>
      </c>
      <c r="X38" s="69">
        <f ca="1">IF($B38="","",SUM(_xlfn.XLOOKUP(C38,Lists!$P$2:$P$19,Lists!$AA$2:$AA$19,0),_xlfn.XLOOKUP(E38,Lists!$P$2:$P$19,Lists!$AA$2:$AA$19,0),_xlfn.XLOOKUP(G38,Lists!$P$2:$P$19,Lists!$AA$2:$AA$19,0),_xlfn.XLOOKUP(I38,Lists!$P$2:$P$19,Lists!$AA$2:$AA$19,0),_xlfn.XLOOKUP(K38,Lists!$P$2:$P$19,Lists!$AA$2:$AA$19,0)))</f>
        <v>0</v>
      </c>
      <c r="Y38" s="49"/>
      <c r="Z38" s="49"/>
      <c r="AA38" s="49"/>
      <c r="AB38" s="49"/>
      <c r="AC38" s="4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</row>
    <row r="39" spans="1:110">
      <c r="A39" s="173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</row>
    <row r="40" spans="1:110">
      <c r="A40" s="227" t="str">
        <f ca="1">IF($R$2="","Team B Pitching",$R$2&amp;" Pitching")</f>
        <v>Donovan Pitching</v>
      </c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08"/>
      <c r="O40" s="187"/>
      <c r="P40" s="24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</row>
    <row r="41" spans="1:110">
      <c r="A41" s="183" t="s">
        <v>103</v>
      </c>
      <c r="B41" s="184" t="s">
        <v>194</v>
      </c>
      <c r="C41" s="184" t="s">
        <v>195</v>
      </c>
      <c r="D41" s="184" t="s">
        <v>162</v>
      </c>
      <c r="E41" s="184" t="s">
        <v>161</v>
      </c>
      <c r="F41" s="184" t="s">
        <v>196</v>
      </c>
      <c r="G41" s="184" t="s">
        <v>180</v>
      </c>
      <c r="H41" s="184" t="s">
        <v>181</v>
      </c>
      <c r="I41" s="185" t="s">
        <v>197</v>
      </c>
      <c r="J41" s="185" t="s">
        <v>198</v>
      </c>
      <c r="K41" s="185" t="s">
        <v>199</v>
      </c>
      <c r="L41" s="185" t="s">
        <v>200</v>
      </c>
      <c r="M41" s="185" t="s">
        <v>201</v>
      </c>
      <c r="N41" s="188" t="s">
        <v>202</v>
      </c>
      <c r="O41" s="188" t="s">
        <v>203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</row>
    <row r="42" spans="1:110">
      <c r="A42" s="168">
        <v>1</v>
      </c>
      <c r="B42" s="71" t="s">
        <v>50</v>
      </c>
      <c r="C42" s="70" cm="1">
        <f t="array" aca="1" ref="C42" ca="1">IF(OR(B42="",O42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3</v>
      </c>
      <c r="D42" s="67" cm="1">
        <f t="array" aca="1" ref="D42" ca="1">IF(OR(B42="",O42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5</v>
      </c>
      <c r="E42" s="67" cm="1">
        <f t="array" aca="1" ref="E42" ca="1">IF(OR(B42="",O42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4</v>
      </c>
      <c r="F42" s="67" cm="1">
        <f t="array" aca="1" ref="F42" ca="1">IF(OR(B42="",O42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4</v>
      </c>
      <c r="G42" s="67" cm="1">
        <f t="array" aca="1" ref="G42" ca="1">IF(OR(B42="",O42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42" s="67" cm="1">
        <f t="array" aca="1" ref="H42" ca="1">IF(OR(B42="",O42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2</v>
      </c>
      <c r="I42" s="68" cm="1">
        <f t="array" aca="1" ref="I42" ca="1">IF(OR(B42="",O42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1</v>
      </c>
      <c r="J42" s="68" cm="1">
        <f t="array" aca="1" ref="J42" ca="1">IF(OR(B42="",O42=""),"",--($K$5&gt;$K$4)*--(ROW()-ROW(C41)=_xlfn.XLOOKUP(MAX(IF(O42:O47&gt;0,INT(C42:C47)*3+MOD(ROUND(C42:C47*10,0),10),-1)),IF(O42:O47&gt;0,INT(C42:C47)*3+MOD(ROUND(C42:C47*10,0),10),-1),_xlfn.SEQUENCE(ROWS(O42:O47)),,0)))</f>
        <v>0</v>
      </c>
      <c r="K42" s="68" cm="1">
        <f t="array" aca="1" ref="K42" ca="1">IF(OR(B42="",O42=""),"",--($K$5&lt;$K$4)*--(ROW()-ROW(C41)=_xlfn.XLOOKUP(MAX(IF(O42:O47&gt;0,E42:E47,-1)),IF(O42:O47&gt;0,E42:E47,-1),_xlfn.SEQUENCE(ROWS(O42:O47)),,0)))</f>
        <v>1</v>
      </c>
      <c r="L42" s="68" cm="1">
        <f t="array" aca="1" ref="L42" ca="1">IF(OR(B42="",O42=""),"",--($K$5&gt;$K$4)*--(COUNTIF(O42:O47,"&gt;0")&gt;1)*--(ROW()-ROW(C41)=_xlfn.XLOOKUP(TRUE,O42:O47&gt;0,_xlfn.SEQUENCE(ROWS(O42:O47)),,0,-1))*--(_xlfn.XLOOKUP(TRUE,O42:O47&gt;0,_xlfn.SEQUENCE(ROWS(O42:O47)),,0,-1)&lt;&gt;_xlfn.XLOOKUP(MAX(IF(O42:O47&gt;0,INT(C42:C47)*3+MOD(ROUND(C42:C47*10,0),10),-1)),IF(O42:O47&gt;0,INT(C42:C47)*3+MOD(ROUND(C42:C47*10,0),10),-1),_xlfn.SEQUENCE(ROWS(O42:O47)),,0))*--(($K$5-$K$4)&lt;=3)*--((INT(C42)*3+MOD(ROUND(C42*10,0),10))&gt;=3))</f>
        <v>0</v>
      </c>
      <c r="M42" s="68">
        <f>IF(OR(B42="",O42=""),"",--(COUNTIF(O42:O47,"&gt;0")=1)*--($K$4=0))</f>
        <v>0</v>
      </c>
      <c r="N42" s="69">
        <f>IF(OR(B42="",O42=""),"",--(COUNTIF(O42:O47,"&gt;0")=1))</f>
        <v>1</v>
      </c>
      <c r="O42" s="51">
        <v>14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</row>
    <row r="43" spans="1:110">
      <c r="A43" s="168">
        <v>2</v>
      </c>
      <c r="B43" s="71"/>
      <c r="C43" s="70" t="str" cm="1">
        <f t="array" aca="1" ref="C43" ca="1">IF(OR(B43="",O43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3" s="67" t="str" cm="1">
        <f t="array" aca="1" ref="D43" ca="1">IF(OR(B43="",O43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3" s="67" t="str" cm="1">
        <f t="array" aca="1" ref="E43" ca="1">IF(OR(B43="",O43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3" s="67" t="str" cm="1">
        <f t="array" aca="1" ref="F43" ca="1">IF(OR(B43="",O43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3" s="67" t="str" cm="1">
        <f t="array" aca="1" ref="G43" ca="1">IF(OR(B43="",O43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3" s="67" t="str" cm="1">
        <f t="array" aca="1" ref="H43" ca="1">IF(OR(B43="",O43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3" s="68" t="str" cm="1">
        <f t="array" aca="1" ref="I43" ca="1">IF(OR(B43="",O43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3" s="68" t="str" cm="1">
        <f t="array" aca="1" ref="J43" ca="1">IF(OR(B43="",O43=""),"",--($K$5&gt;$K$4)*--(ROW()-ROW(C41)=_xlfn.XLOOKUP(MAX(IF(O42:O47&gt;0,INT(C42:C47)*3+MOD(ROUND(C42:C47*10,0),10),-1)),IF(O42:O47&gt;0,INT(C42:C47)*3+MOD(ROUND(C42:C47*10,0),10),-1),_xlfn.SEQUENCE(ROWS(O42:O47)),,0)))</f>
        <v/>
      </c>
      <c r="K43" s="68" t="str" cm="1">
        <f t="array" aca="1" ref="K43" ca="1">IF(OR(B43="",O43=""),"",--($K$5&lt;$K$4)*--(ROW()-ROW(C41)=_xlfn.XLOOKUP(MAX(IF(O42:O47&gt;0,E42:E47,-1)),IF(O42:O47&gt;0,E42:E47,-1),_xlfn.SEQUENCE(ROWS(O42:O47)),,0)))</f>
        <v/>
      </c>
      <c r="L43" s="68" t="str" cm="1">
        <f t="array" aca="1" ref="L43" ca="1">IF(OR(B43="",O43=""),"",--($K$5&gt;$K$4)*--(COUNTIF(O42:O47,"&gt;0")&gt;1)*--(ROW()-ROW(C41)=_xlfn.XLOOKUP(TRUE,O42:O47&gt;0,_xlfn.SEQUENCE(ROWS(O42:O47)),,0,-1))*--(_xlfn.XLOOKUP(TRUE,O42:O47&gt;0,_xlfn.SEQUENCE(ROWS(O42:O47)),,0,-1)&lt;&gt;_xlfn.XLOOKUP(MAX(IF(O42:O47&gt;0,INT(C42:C47)*3+MOD(ROUND(C42:C47*10,0),10),-1)),IF(O42:O47&gt;0,INT(C42:C47)*3+MOD(ROUND(C42:C47*10,0),10),-1),_xlfn.SEQUENCE(ROWS(O42:O47)),,0))*--(($K$5-$K$4)&lt;=3)*--((INT(C43)*3+MOD(ROUND(C43*10,0),10))&gt;=3))</f>
        <v/>
      </c>
      <c r="M43" s="68" t="str">
        <f>IF(OR(B43="",O43=""),"",--(COUNTIF(O42:O47,"&gt;0")=1)*--($K$4=0))</f>
        <v/>
      </c>
      <c r="N43" s="69" t="str">
        <f>IF(OR(B43="",O43=""),"",--(COUNTIF(O42:O47,"&gt;0")=1))</f>
        <v/>
      </c>
      <c r="O43" s="51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</row>
    <row r="44" spans="1:110">
      <c r="A44" s="168">
        <v>3</v>
      </c>
      <c r="B44" s="71"/>
      <c r="C44" s="70" t="str" cm="1">
        <f t="array" aca="1" ref="C44" ca="1">IF(OR(B44="",O44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4" s="67" t="str" cm="1">
        <f t="array" aca="1" ref="D44" ca="1">IF(OR(B44="",O44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4" s="67" t="str" cm="1">
        <f t="array" aca="1" ref="E44" ca="1">IF(OR(B44="",O44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44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4" s="67" t="str" cm="1">
        <f t="array" aca="1" ref="F44" ca="1">IF(OR(B44="",O44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44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4" s="67" t="str" cm="1">
        <f t="array" aca="1" ref="G44" ca="1">IF(OR(B44="",O44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4" s="67" t="str" cm="1">
        <f t="array" aca="1" ref="H44" ca="1">IF(OR(B44="",O44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4" s="68" t="str" cm="1">
        <f t="array" aca="1" ref="I44" ca="1">IF(OR(B44="",O44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4" s="68" t="str" cm="1">
        <f t="array" aca="1" ref="J44" ca="1">IF(OR(B44="",O44=""),"",--($K$5&gt;$K$4)*--(ROW()-ROW(C41)=_xlfn.XLOOKUP(MAX(IF(O42:O47&gt;0,INT(C42:C47)*3+MOD(ROUND(C42:C47*10,0),10),-1)),IF(O42:O47&gt;0,INT(C42:C47)*3+MOD(ROUND(C42:C47*10,0),10),-1),_xlfn.SEQUENCE(ROWS(O42:O47)),,0)))</f>
        <v/>
      </c>
      <c r="K44" s="68" t="str" cm="1">
        <f t="array" aca="1" ref="K44" ca="1">IF(OR(B44="",O44=""),"",--($K$5&lt;$K$4)*--(ROW()-ROW(C41)=_xlfn.XLOOKUP(MAX(IF(O42:O47&gt;0,E42:E47,-1)),IF(O42:O47&gt;0,E42:E47,-1),_xlfn.SEQUENCE(ROWS(O42:O47)),,0)))</f>
        <v/>
      </c>
      <c r="L44" s="68" t="str" cm="1">
        <f t="array" aca="1" ref="L44" ca="1">IF(OR(B44="",O44=""),"",--($K$5&gt;$K$4)*--(COUNTIF(O42:O47,"&gt;0")&gt;1)*--(ROW()-ROW(C41)=_xlfn.XLOOKUP(TRUE,O42:O47&gt;0,_xlfn.SEQUENCE(ROWS(O42:O47)),,0,-1))*--(_xlfn.XLOOKUP(TRUE,O42:O47&gt;0,_xlfn.SEQUENCE(ROWS(O42:O47)),,0,-1)&lt;&gt;_xlfn.XLOOKUP(MAX(IF(O42:O47&gt;0,INT(C42:C47)*3+MOD(ROUND(C42:C47*10,0),10),-1)),IF(O42:O47&gt;0,INT(C42:C47)*3+MOD(ROUND(C42:C47*10,0),10),-1),_xlfn.SEQUENCE(ROWS(O42:O47)),,0))*--(($K$5-$K$4)&lt;=3)*--((INT(C44)*3+MOD(ROUND(C44*10,0),10))&gt;=3))</f>
        <v/>
      </c>
      <c r="M44" s="68" t="str">
        <f>IF(OR(B44="",O44=""),"",--(COUNTIF(O42:O47,"&gt;0")=1)*--($K$4=0))</f>
        <v/>
      </c>
      <c r="N44" s="69" t="str">
        <f>IF(OR(B44="",O44=""),"",--(COUNTIF(O42:O47,"&gt;0")=1))</f>
        <v/>
      </c>
      <c r="O44" s="51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</row>
    <row r="45" spans="1:110">
      <c r="A45" s="168">
        <v>4</v>
      </c>
      <c r="B45" s="71"/>
      <c r="C45" s="70" t="str" cm="1">
        <f t="array" aca="1" ref="C45" ca="1">IF(OR(B45="",O45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5" s="67" t="str" cm="1">
        <f t="array" aca="1" ref="D45" ca="1">IF(OR(B45="",O45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5" s="67" t="str" cm="1">
        <f t="array" aca="1" ref="E45" ca="1">IF(OR(B45="",O45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45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5" s="67" t="str" cm="1">
        <f t="array" aca="1" ref="F45" ca="1">IF(OR(B45="",O45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45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5" s="67" t="str" cm="1">
        <f t="array" aca="1" ref="G45" ca="1">IF(OR(B45="",O45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5" s="67" t="str" cm="1">
        <f t="array" aca="1" ref="H45" ca="1">IF(OR(B45="",O45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5" s="68" t="str" cm="1">
        <f t="array" aca="1" ref="I45" ca="1">IF(OR(B45="",O45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5" s="68" t="str" cm="1">
        <f t="array" aca="1" ref="J45" ca="1">IF(OR(B45="",O45=""),"",--($K$5&gt;$K$4)*--(ROW()-ROW(C41)=_xlfn.XLOOKUP(MAX(IF(O42:O47&gt;0,INT(C42:C47)*3+MOD(ROUND(C42:C47*10,0),10),-1)),IF(O42:O47&gt;0,INT(C42:C47)*3+MOD(ROUND(C42:C47*10,0),10),-1),_xlfn.SEQUENCE(ROWS(O42:O47)),,0)))</f>
        <v/>
      </c>
      <c r="K45" s="68" t="str" cm="1">
        <f t="array" aca="1" ref="K45" ca="1">IF(OR(B45="",O45=""),"",--($K$5&lt;$K$4)*--(ROW()-ROW(C41)=_xlfn.XLOOKUP(MAX(IF(O42:O47&gt;0,E42:E47,-1)),IF(O42:O47&gt;0,E42:E47,-1),_xlfn.SEQUENCE(ROWS(O42:O47)),,0)))</f>
        <v/>
      </c>
      <c r="L45" s="68" t="str" cm="1">
        <f t="array" aca="1" ref="L45" ca="1">IF(OR(B45="",O45=""),"",--($K$5&gt;$K$4)*--(COUNTIF(O42:O47,"&gt;0")&gt;1)*--(ROW()-ROW(C41)=_xlfn.XLOOKUP(TRUE,O42:O47&gt;0,_xlfn.SEQUENCE(ROWS(O42:O47)),,0,-1))*--(_xlfn.XLOOKUP(TRUE,O42:O47&gt;0,_xlfn.SEQUENCE(ROWS(O42:O47)),,0,-1)&lt;&gt;_xlfn.XLOOKUP(MAX(IF(O42:O47&gt;0,INT(C42:C47)*3+MOD(ROUND(C42:C47*10,0),10),-1)),IF(O42:O47&gt;0,INT(C42:C47)*3+MOD(ROUND(C42:C47*10,0),10),-1),_xlfn.SEQUENCE(ROWS(O42:O47)),,0))*--(($K$5-$K$4)&lt;=3)*--((INT(C45)*3+MOD(ROUND(C45*10,0),10))&gt;=3))</f>
        <v/>
      </c>
      <c r="M45" s="68" t="str">
        <f>IF(OR(B45="",O45=""),"",--(COUNTIF(O42:O47,"&gt;0")=1)*--($K$4=0))</f>
        <v/>
      </c>
      <c r="N45" s="69" t="str">
        <f>IF(OR(B45="",O45=""),"",--(COUNTIF(O42:O47,"&gt;0")=1))</f>
        <v/>
      </c>
      <c r="O45" s="51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</row>
    <row r="46" spans="1:110">
      <c r="A46" s="168">
        <v>5</v>
      </c>
      <c r="B46" s="71"/>
      <c r="C46" s="70" t="str" cm="1">
        <f t="array" aca="1" ref="C46" ca="1">IF(OR(B46="",O46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6" s="67" t="str" cm="1">
        <f t="array" aca="1" ref="D46" ca="1">IF(OR(B46="",O46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6" s="67" t="str" cm="1">
        <f t="array" aca="1" ref="E46" ca="1">IF(OR(B46="",O46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46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6" s="67" t="str" cm="1">
        <f t="array" aca="1" ref="F46" ca="1">IF(OR(B46="",O46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46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6" s="67" t="str" cm="1">
        <f t="array" aca="1" ref="G46" ca="1">IF(OR(B46="",O46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6" s="67" t="str" cm="1">
        <f t="array" aca="1" ref="H46" ca="1">IF(OR(B46="",O46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6" s="68" t="str" cm="1">
        <f t="array" aca="1" ref="I46" ca="1">IF(OR(B46="",O46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6" s="68" t="str" cm="1">
        <f t="array" aca="1" ref="J46" ca="1">IF(OR(B46="",O46=""),"",--($K$5&gt;$K$4)*--(ROW()-ROW(C41)=_xlfn.XLOOKUP(MAX(IF(O42:O47&gt;0,INT(C42:C47)*3+MOD(ROUND(C42:C47*10,0),10),-1)),IF(O42:O47&gt;0,INT(C42:C47)*3+MOD(ROUND(C42:C47*10,0),10),-1),_xlfn.SEQUENCE(ROWS(O42:O47)),,0)))</f>
        <v/>
      </c>
      <c r="K46" s="68" t="str" cm="1">
        <f t="array" aca="1" ref="K46" ca="1">IF(OR(B46="",O46=""),"",--($K$5&lt;$K$4)*--(ROW()-ROW(C41)=_xlfn.XLOOKUP(MAX(IF(O42:O47&gt;0,E42:E47,-1)),IF(O42:O47&gt;0,E42:E47,-1),_xlfn.SEQUENCE(ROWS(O42:O47)),,0)))</f>
        <v/>
      </c>
      <c r="L46" s="68" t="str" cm="1">
        <f t="array" aca="1" ref="L46" ca="1">IF(OR(B46="",O46=""),"",--($K$5&gt;$K$4)*--(COUNTIF(O42:O47,"&gt;0")&gt;1)*--(ROW()-ROW(C41)=_xlfn.XLOOKUP(TRUE,O42:O47&gt;0,_xlfn.SEQUENCE(ROWS(O42:O47)),,0,-1))*--(_xlfn.XLOOKUP(TRUE,O42:O47&gt;0,_xlfn.SEQUENCE(ROWS(O42:O47)),,0,-1)&lt;&gt;_xlfn.XLOOKUP(MAX(IF(O42:O47&gt;0,INT(C42:C47)*3+MOD(ROUND(C42:C47*10,0),10),-1)),IF(O42:O47&gt;0,INT(C42:C47)*3+MOD(ROUND(C42:C47*10,0),10),-1),_xlfn.SEQUENCE(ROWS(O42:O47)),,0))*--(($K$5-$K$4)&lt;=3)*--((INT(C46)*3+MOD(ROUND(C46*10,0),10))&gt;=3))</f>
        <v/>
      </c>
      <c r="M46" s="68" t="str">
        <f>IF(OR(B46="",O46=""),"",--(COUNTIF(O42:O47,"&gt;0")=1)*--($K$4=0))</f>
        <v/>
      </c>
      <c r="N46" s="69" t="str">
        <f>IF(OR(B46="",O46=""),"",--(COUNTIF(O42:O47,"&gt;0")=1))</f>
        <v/>
      </c>
      <c r="O46" s="51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</row>
    <row r="47" spans="1:110">
      <c r="A47" s="168">
        <v>6</v>
      </c>
      <c r="B47" s="71"/>
      <c r="C47" s="70" t="str" cm="1">
        <f t="array" aca="1" ref="C47" ca="1">IF(OR(B47="",O47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7" s="67" t="str" cm="1">
        <f t="array" aca="1" ref="D47" ca="1">IF(OR(B47="",O47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7" s="67" t="str" cm="1">
        <f t="array" aca="1" ref="E47" ca="1">IF(OR(B47="",O47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47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7" s="67" t="str" cm="1">
        <f t="array" aca="1" ref="F47" ca="1">IF(OR(B47="",O47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47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7" s="67" t="str" cm="1">
        <f t="array" aca="1" ref="G47" ca="1">IF(OR(B47="",O47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7" s="67" t="str" cm="1">
        <f t="array" aca="1" ref="H47" ca="1">IF(OR(B47="",O47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7" s="68" t="str" cm="1">
        <f t="array" aca="1" ref="I47" ca="1">IF(OR(B47="",O47=""),"",_xlfn.LET(_xlpm.flatPAraw,_xlfn.TOCOL(_xlfn.CHOOSECOLS(C9:L17,1,3,5,7,9),0,TRUE),_xlpm.flatPARraw,_xlfn.TOCOL(_xlfn.CHOOSECOLS(C9:L17,2,4,6,8,10),0,TRUE),_xlpm.flatPA,_xlfn._xlws.FILTER(_xlpm.flatPAraw,_xlpm.flatPAraw&lt;&gt;""),_xlpm.flatPAR,_xlfn._xlws.FILTER(_xlpm.flatPARraw,_xlpm.flatPAraw&lt;&gt;""),_xlpm.prev,IF(ROW()=ROW(C42),0,SUM(INDEX(O:O,ROW(C42)):INDEX(O:O,ROW()-1))),_xlpm.need,O47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7" s="68" t="str" cm="1">
        <f t="array" aca="1" ref="J47" ca="1">IF(OR(B47="",O47=""),"",--($K$5&gt;$K$4)*--(ROW()-ROW(C41)=_xlfn.XLOOKUP(MAX(IF(O42:O47&gt;0,INT(C42:C47)*3+MOD(ROUND(C42:C47*10,0),10),-1)),IF(O42:O47&gt;0,INT(C42:C47)*3+MOD(ROUND(C42:C47*10,0),10),-1),_xlfn.SEQUENCE(ROWS(O42:O47)),,0)))</f>
        <v/>
      </c>
      <c r="K47" s="68" t="str" cm="1">
        <f t="array" aca="1" ref="K47" ca="1">IF(OR(B47="",O47=""),"",--($K$5&lt;$K$4)*--(ROW()-ROW(C41)=_xlfn.XLOOKUP(MAX(IF(O42:O47&gt;0,E42:E47,-1)),IF(O42:O47&gt;0,E42:E47,-1),_xlfn.SEQUENCE(ROWS(O42:O47)),,0)))</f>
        <v/>
      </c>
      <c r="L47" s="68" t="str" cm="1">
        <f t="array" aca="1" ref="L47" ca="1">IF(OR(B47="",O47=""),"",--($K$5&gt;$K$4)*--(COUNTIF(O42:O47,"&gt;0")&gt;1)*--(ROW()-ROW(C41)=_xlfn.XLOOKUP(TRUE,O42:O47&gt;0,_xlfn.SEQUENCE(ROWS(O42:O47)),,0,-1))*--(_xlfn.XLOOKUP(TRUE,O42:O47&gt;0,_xlfn.SEQUENCE(ROWS(O42:O47)),,0,-1)&lt;&gt;_xlfn.XLOOKUP(MAX(IF(O42:O47&gt;0,INT(C42:C47)*3+MOD(ROUND(C42:C47*10,0),10),-1)),IF(O42:O47&gt;0,INT(C42:C47)*3+MOD(ROUND(C42:C47*10,0),10),-1),_xlfn.SEQUENCE(ROWS(O42:O47)),,0))*--(($K$5-$K$4)&lt;=3)*--((INT(C47)*3+MOD(ROUND(C47*10,0),10))&gt;=3))</f>
        <v/>
      </c>
      <c r="M47" s="68" t="str">
        <f>IF(OR(B47="",O47=""),"",--(COUNTIF(O42:O47,"&gt;0")=1)*--($K$4=0))</f>
        <v/>
      </c>
      <c r="N47" s="69" t="str">
        <f>IF(OR(B47="",O47=""),"",--(COUNTIF(O42:O47,"&gt;0")=1))</f>
        <v/>
      </c>
      <c r="O47" s="51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</row>
    <row r="48" spans="1:110">
      <c r="A48" s="173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</row>
    <row r="49" spans="1:110">
      <c r="A49" s="174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</row>
    <row r="50" spans="1:110">
      <c r="A50" s="217" t="str">
        <f>"Game 2 "</f>
        <v xml:space="preserve">Game 2 </v>
      </c>
      <c r="B50" s="218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9"/>
      <c r="N50" s="207"/>
      <c r="O50" s="36"/>
      <c r="P50" s="37"/>
      <c r="Q50" s="38"/>
      <c r="R50" s="38"/>
      <c r="S50" s="38"/>
      <c r="T50" s="38"/>
      <c r="U50" s="38"/>
      <c r="V50" s="38"/>
      <c r="W50" s="38"/>
      <c r="X50" s="3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</row>
    <row r="51" spans="1:110">
      <c r="A51" s="169" t="s">
        <v>33</v>
      </c>
      <c r="B51" s="40">
        <f>Settings!$B$2</f>
        <v>1</v>
      </c>
      <c r="C51" s="41"/>
      <c r="D51" s="40" t="s">
        <v>95</v>
      </c>
      <c r="E51" s="41"/>
      <c r="F51" s="40" t="str">
        <f>Bracket!$F$7</f>
        <v>G2</v>
      </c>
      <c r="G51" s="41"/>
      <c r="H51" s="40" t="s">
        <v>97</v>
      </c>
      <c r="I51" s="41"/>
      <c r="J51" s="40" t="str">
        <f>Bracket!$G$7</f>
        <v>Winners R1-2</v>
      </c>
      <c r="K51" s="41"/>
      <c r="L51" s="40" t="s">
        <v>134</v>
      </c>
      <c r="M51" s="24"/>
      <c r="N51" s="198" t="str">
        <f ca="1">Bracket!$H$7</f>
        <v>Aidan</v>
      </c>
      <c r="O51" s="24"/>
      <c r="P51" s="18"/>
      <c r="Q51" s="18"/>
      <c r="R51" s="203" t="str">
        <f ca="1">Bracket!$I$7</f>
        <v>Justin</v>
      </c>
      <c r="S51" s="18"/>
      <c r="T51" s="18"/>
      <c r="U51" s="18"/>
      <c r="V51" s="119" t="str">
        <f ca="1">Bracket!$L$7</f>
        <v>Aidan</v>
      </c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</row>
    <row r="52" spans="1:110">
      <c r="A52" s="170" t="s">
        <v>160</v>
      </c>
      <c r="B52" s="72">
        <v>1</v>
      </c>
      <c r="C52" s="72">
        <v>2</v>
      </c>
      <c r="D52" s="72">
        <v>3</v>
      </c>
      <c r="E52" s="72">
        <v>4</v>
      </c>
      <c r="F52" s="72">
        <v>5</v>
      </c>
      <c r="G52" s="72">
        <v>6</v>
      </c>
      <c r="H52" s="72">
        <v>7</v>
      </c>
      <c r="I52" s="73">
        <v>8</v>
      </c>
      <c r="J52" s="73">
        <v>9</v>
      </c>
      <c r="K52" s="73" t="s">
        <v>161</v>
      </c>
      <c r="L52" s="73" t="s">
        <v>162</v>
      </c>
      <c r="M52" s="74" t="s">
        <v>163</v>
      </c>
      <c r="N52" s="24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</row>
    <row r="53" spans="1:110">
      <c r="A53" s="199" t="str">
        <f ca="1">N51</f>
        <v>Aidan</v>
      </c>
      <c r="B53" s="75" cm="1">
        <f t="array" ref="B53">IFERROR(_xlfn.LET(_xlpm.flatPAraw,_xlfn.TOCOL(_xlfn.CHOOSECOLS(C58:L66,1,3,5,7,9),0,TRUE),_xlpm.flatPARraw,_xlfn.TOCOL(_xlfn.CHOOSECOLS(C58:L66,2,4,6,8,10)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53" s="75" cm="1">
        <f t="array" ref="C53">IFERROR(_xlfn.LET(_xlpm.flatPAraw,_xlfn.TOCOL(_xlfn.CHOOSECOLS(C58:L66,1,3,5,7,9),0,TRUE),_xlpm.flatPARraw,_xlfn.TOCOL(_xlfn.CHOOSECOLS(C58:L66,2,4,6,8,10)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3</v>
      </c>
      <c r="D53" s="75" cm="1">
        <f t="array" ref="D53">IFERROR(_xlfn.LET(_xlpm.flatPAraw,_xlfn.TOCOL(_xlfn.CHOOSECOLS(C58:L66,1,3,5,7,9),0,TRUE),_xlpm.flatPARraw,_xlfn.TOCOL(_xlfn.CHOOSECOLS(C58:L66,2,4,6,8,10)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1</v>
      </c>
      <c r="E53" s="75" cm="1">
        <f t="array" ref="E53">IFERROR(_xlfn.LET(_xlpm.flatPAraw,_xlfn.TOCOL(_xlfn.CHOOSECOLS(C58:L66,1,3,5,7,9),0,TRUE),_xlpm.flatPARraw,_xlfn.TOCOL(_xlfn.CHOOSECOLS(C58:L66,2,4,6,8,10)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53" s="75" cm="1">
        <f t="array" ref="F53">IFERROR(_xlfn.LET(_xlpm.flatPAraw,_xlfn.TOCOL(_xlfn.CHOOSECOLS(C58:L66,1,3,5,7,9),0,TRUE),_xlpm.flatPARraw,_xlfn.TOCOL(_xlfn.CHOOSECOLS(C58:L66,2,4,6,8,10)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53" s="75" cm="1">
        <f t="array" ref="G53">IFERROR(_xlfn.LET(_xlpm.flatPAraw,_xlfn.TOCOL(_xlfn.CHOOSECOLS(C58:L66,1,3,5,7,9),0,TRUE),_xlpm.flatPARraw,_xlfn.TOCOL(_xlfn.CHOOSECOLS(C58:L66,2,4,6,8,10)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53" s="75" cm="1">
        <f t="array" ref="H53">IFERROR(_xlfn.LET(_xlpm.flatPAraw,_xlfn.TOCOL(_xlfn.CHOOSECOLS(C58:L66,1,3,5,7,9),0,TRUE),_xlpm.flatPARraw,_xlfn.TOCOL(_xlfn.CHOOSECOLS(C58:L66,2,4,6,8,10)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53" s="76" cm="1">
        <f t="array" ref="I53">IFERROR(_xlfn.LET(_xlpm.flatPAraw,_xlfn.TOCOL(_xlfn.CHOOSECOLS(C58:L66,1,3,5,7,9),0,TRUE),_xlpm.flatPARraw,_xlfn.TOCOL(_xlfn.CHOOSECOLS(C58:L66,2,4,6,8,10)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53" s="76" cm="1">
        <f t="array" ref="J53">IFERROR(_xlfn.LET(_xlpm.flatPAraw,_xlfn.TOCOL(_xlfn.CHOOSECOLS(C58:L66,1,3,5,7,9),0,TRUE),_xlpm.flatPARraw,_xlfn.TOCOL(_xlfn.CHOOSECOLS(C58:L66,2,4,6,8,10)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53" s="164">
        <f>SUM(B53:J53)</f>
        <v>4</v>
      </c>
      <c r="L53" s="77">
        <f ca="1">SUM(O58:O66)</f>
        <v>7</v>
      </c>
      <c r="M53" s="78">
        <f>COUNTIF(C79:L87,"ROE")</f>
        <v>0</v>
      </c>
      <c r="N53" s="24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</row>
    <row r="54" spans="1:110">
      <c r="A54" s="204" t="str">
        <f ca="1">R51</f>
        <v>Justin</v>
      </c>
      <c r="B54" s="79" cm="1">
        <f t="array" ref="B54">IFERROR(_xlfn.LET(_xlpm.flatPAraw,_xlfn.TOCOL(_xlfn.CHOOSECOLS(C79:L87,1,3,5,7,9),0,TRUE),_xlpm.flatPARraw,_xlfn.TOCOL(_xlfn.CHOOSECOLS(C79:L87,2,4,6,8,10)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54" s="79" cm="1">
        <f t="array" ref="C54">IFERROR(_xlfn.LET(_xlpm.flatPAraw,_xlfn.TOCOL(_xlfn.CHOOSECOLS(C79:L87,1,3,5,7,9),0,TRUE),_xlpm.flatPARraw,_xlfn.TOCOL(_xlfn.CHOOSECOLS(C79:L87,2,4,6,8,10)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54" s="79" cm="1">
        <f t="array" ref="D54">IFERROR(_xlfn.LET(_xlpm.flatPAraw,_xlfn.TOCOL(_xlfn.CHOOSECOLS(C79:L87,1,3,5,7,9),0,TRUE),_xlpm.flatPARraw,_xlfn.TOCOL(_xlfn.CHOOSECOLS(C79:L87,2,4,6,8,10)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3</v>
      </c>
      <c r="E54" s="79" cm="1">
        <f t="array" ref="E54">IFERROR(_xlfn.LET(_xlpm.flatPAraw,_xlfn.TOCOL(_xlfn.CHOOSECOLS(C79:L87,1,3,5,7,9),0,TRUE),_xlpm.flatPARraw,_xlfn.TOCOL(_xlfn.CHOOSECOLS(C79:L87,2,4,6,8,10)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54" s="79" cm="1">
        <f t="array" ref="F54">IFERROR(_xlfn.LET(_xlpm.flatPAraw,_xlfn.TOCOL(_xlfn.CHOOSECOLS(C79:L87,1,3,5,7,9),0,TRUE),_xlpm.flatPARraw,_xlfn.TOCOL(_xlfn.CHOOSECOLS(C79:L87,2,4,6,8,10)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54" s="79" cm="1">
        <f t="array" ref="G54">IFERROR(_xlfn.LET(_xlpm.flatPAraw,_xlfn.TOCOL(_xlfn.CHOOSECOLS(C79:L87,1,3,5,7,9),0,TRUE),_xlpm.flatPARraw,_xlfn.TOCOL(_xlfn.CHOOSECOLS(C79:L87,2,4,6,8,10)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54" s="79" cm="1">
        <f t="array" ref="H54">IFERROR(_xlfn.LET(_xlpm.flatPAraw,_xlfn.TOCOL(_xlfn.CHOOSECOLS(C79:L87,1,3,5,7,9),0,TRUE),_xlpm.flatPARraw,_xlfn.TOCOL(_xlfn.CHOOSECOLS(C79:L87,2,4,6,8,10)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54" s="80" cm="1">
        <f t="array" ref="I54">IFERROR(_xlfn.LET(_xlpm.flatPAraw,_xlfn.TOCOL(_xlfn.CHOOSECOLS(C79:L87,1,3,5,7,9),0,TRUE),_xlpm.flatPARraw,_xlfn.TOCOL(_xlfn.CHOOSECOLS(C79:L87,2,4,6,8,10)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54" s="80" cm="1">
        <f t="array" ref="J54">IFERROR(_xlfn.LET(_xlpm.flatPAraw,_xlfn.TOCOL(_xlfn.CHOOSECOLS(C79:L87,1,3,5,7,9),0,TRUE),_xlpm.flatPARraw,_xlfn.TOCOL(_xlfn.CHOOSECOLS(C79:L87,2,4,6,8,10)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54" s="165">
        <f>SUM(B54:J54)</f>
        <v>3</v>
      </c>
      <c r="L54" s="81">
        <f ca="1">SUM(O79:O87)</f>
        <v>5</v>
      </c>
      <c r="M54" s="82">
        <f>COUNTIF(C58:L66,"ROE")</f>
        <v>0</v>
      </c>
      <c r="N54" s="24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</row>
    <row r="55" spans="1:110">
      <c r="A55" s="173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</row>
    <row r="56" spans="1:110">
      <c r="A56" s="205" t="str">
        <f ca="1">IF($N$51="","Team A Batting",$N$51&amp;" Batting")</f>
        <v>Aidan Batting</v>
      </c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182"/>
      <c r="Q56" s="182"/>
      <c r="R56" s="182"/>
      <c r="S56" s="182"/>
      <c r="T56" s="182"/>
      <c r="U56" s="182"/>
      <c r="V56" s="182"/>
      <c r="W56" s="182"/>
      <c r="X56" s="182"/>
      <c r="Y56" s="24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</row>
    <row r="57" spans="1:110">
      <c r="A57" s="183" t="s">
        <v>164</v>
      </c>
      <c r="B57" s="184" t="s">
        <v>39</v>
      </c>
      <c r="C57" s="184" t="s">
        <v>165</v>
      </c>
      <c r="D57" s="184" t="s">
        <v>166</v>
      </c>
      <c r="E57" s="184" t="s">
        <v>167</v>
      </c>
      <c r="F57" s="184" t="s">
        <v>168</v>
      </c>
      <c r="G57" s="184" t="s">
        <v>169</v>
      </c>
      <c r="H57" s="184" t="s">
        <v>170</v>
      </c>
      <c r="I57" s="184" t="s">
        <v>171</v>
      </c>
      <c r="J57" s="184" t="s">
        <v>172</v>
      </c>
      <c r="K57" s="184" t="s">
        <v>173</v>
      </c>
      <c r="L57" s="184" t="s">
        <v>174</v>
      </c>
      <c r="M57" s="184" t="s">
        <v>175</v>
      </c>
      <c r="N57" s="185" t="s">
        <v>161</v>
      </c>
      <c r="O57" s="185" t="s">
        <v>162</v>
      </c>
      <c r="P57" s="185" t="s">
        <v>176</v>
      </c>
      <c r="Q57" s="185" t="s">
        <v>177</v>
      </c>
      <c r="R57" s="185" t="s">
        <v>178</v>
      </c>
      <c r="S57" s="185" t="s">
        <v>179</v>
      </c>
      <c r="T57" s="185" t="s">
        <v>180</v>
      </c>
      <c r="U57" s="185" t="s">
        <v>181</v>
      </c>
      <c r="V57" s="185" t="s">
        <v>182</v>
      </c>
      <c r="W57" s="185" t="s">
        <v>183</v>
      </c>
      <c r="X57" s="188" t="s">
        <v>184</v>
      </c>
      <c r="Y57" s="43"/>
      <c r="Z57" s="43"/>
      <c r="AA57" s="43"/>
      <c r="AB57" s="43"/>
      <c r="AC57" s="43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</row>
    <row r="58" spans="1:110">
      <c r="A58" s="168">
        <v>1</v>
      </c>
      <c r="B58" s="47" t="str">
        <f ca="1">Lineups!$C$19</f>
        <v>Dark Bones</v>
      </c>
      <c r="C58" s="48" t="s">
        <v>186</v>
      </c>
      <c r="D58" s="49"/>
      <c r="E58" s="49" t="s">
        <v>189</v>
      </c>
      <c r="F58" s="49"/>
      <c r="G58" s="49"/>
      <c r="H58" s="50"/>
      <c r="I58" s="50"/>
      <c r="J58" s="50"/>
      <c r="K58" s="50"/>
      <c r="L58" s="50"/>
      <c r="M58" s="67">
        <f ca="1">IF($B58="","",SUM(_xlfn.XLOOKUP(C58,Lists!$P$2:$P$19,Lists!$R$2:$R$19,0),_xlfn.XLOOKUP(E58,Lists!$P$2:$P$19,Lists!$R$2:$R$19,0),_xlfn.XLOOKUP(G58,Lists!$P$2:$P$19,Lists!$R$2:$R$19,0),_xlfn.XLOOKUP(I58,Lists!$P$2:$P$19,Lists!$R$2:$R$19,0),_xlfn.XLOOKUP(K58,Lists!$P$2:$P$19,Lists!$R$2:$R$19,0)))</f>
        <v>2</v>
      </c>
      <c r="N58" s="68">
        <f ca="1">IF($B58="","",SUM(_xlfn.XLOOKUP(D58,Lists!$AC$2:$AC$9,Lists!$AE$2:$AE$9,0),_xlfn.XLOOKUP(F58,Lists!$AC$2:$AC$9,Lists!$AE$2:$AE$9,0),_xlfn.XLOOKUP(H58,Lists!$AC$2:$AC$9,Lists!$AE$2:$AE$9,0),_xlfn.XLOOKUP(J58,Lists!$AC$2:$AC$9,Lists!$AE$2:$AE$9,0),_xlfn.XLOOKUP(L58,Lists!$AC$2:$AC$9,Lists!$AE$2:$AE$9,0)))</f>
        <v>0</v>
      </c>
      <c r="O58" s="68">
        <f ca="1">IF($B58="","",SUM(_xlfn.XLOOKUP(C58,Lists!$P$2:$P$19,Lists!$S$2:$S$19,0),_xlfn.XLOOKUP(E58,Lists!$P$2:$P$19,Lists!$S$2:$S$19,0),_xlfn.XLOOKUP(G58,Lists!$P$2:$P$19,Lists!$S$2:$S$19,0),_xlfn.XLOOKUP(I58,Lists!$P$2:$P$19,Lists!$S$2:$S$19,0),_xlfn.XLOOKUP(K58,Lists!$P$2:$P$19,Lists!$S$2:$S$19,0)))</f>
        <v>0</v>
      </c>
      <c r="P58" s="68">
        <f ca="1">IF($B58="","",SUM(_xlfn.XLOOKUP(C58,Lists!$P$2:$P$19,Lists!$T$2:$T$19,0),_xlfn.XLOOKUP(E58,Lists!$P$2:$P$19,Lists!$T$2:$T$19,0),_xlfn.XLOOKUP(G58,Lists!$P$2:$P$19,Lists!$T$2:$T$19,0),_xlfn.XLOOKUP(I58,Lists!$P$2:$P$19,Lists!$T$2:$T$19,0),_xlfn.XLOOKUP(K58,Lists!$P$2:$P$19,Lists!$T$2:$T$19,0)))</f>
        <v>0</v>
      </c>
      <c r="Q58" s="68">
        <f ca="1">IF($B58="","",SUM(_xlfn.XLOOKUP(C58,Lists!$P$2:$P$19,Lists!$U$2:$U$19,0),_xlfn.XLOOKUP(E58,Lists!$P$2:$P$19,Lists!$U$2:$U$19,0),_xlfn.XLOOKUP(G58,Lists!$P$2:$P$19,Lists!$U$2:$U$19,0),_xlfn.XLOOKUP(I58,Lists!$P$2:$P$19,Lists!$U$2:$U$19,0),_xlfn.XLOOKUP(K58,Lists!$P$2:$P$19,Lists!$U$2:$U$19,0)))</f>
        <v>0</v>
      </c>
      <c r="R58" s="68">
        <f ca="1">IF($B58="","",SUM(_xlfn.XLOOKUP(C58,Lists!$P$2:$P$19,Lists!$V$2:$V$19,0),_xlfn.XLOOKUP(E58,Lists!$P$2:$P$19,Lists!$V$2:$V$19,0),_xlfn.XLOOKUP(G58,Lists!$P$2:$P$19,Lists!$V$2:$V$19,0),_xlfn.XLOOKUP(I58,Lists!$P$2:$P$19,Lists!$V$2:$V$19,0),_xlfn.XLOOKUP(K58,Lists!$P$2:$P$19,Lists!$V$2:$V$19,0)))</f>
        <v>0</v>
      </c>
      <c r="S58" s="68">
        <f ca="1">IF($B58="","",SUM(_xlfn.XLOOKUP(D58,Lists!$AC$2:$AC$9,Lists!$AD$2:$AD$9,0),_xlfn.XLOOKUP(F58,Lists!$AC$2:$AC$9,Lists!$AD$2:$AD$9,0),_xlfn.XLOOKUP(H58,Lists!$AC$2:$AC$9,Lists!$AD$2:$AD$9,0),_xlfn.XLOOKUP(J58,Lists!$AC$2:$AC$9,Lists!$AD$2:$AD$9,0),_xlfn.XLOOKUP(L58,Lists!$AC$2:$AC$9,Lists!$AD$2:$AD$9,0)))</f>
        <v>0</v>
      </c>
      <c r="T58" s="68">
        <f ca="1">IF($B58="","",SUM(_xlfn.XLOOKUP(C58,Lists!$P$2:$P$19,Lists!$W$2:$W$19,0),_xlfn.XLOOKUP(E58,Lists!$P$2:$P$19,Lists!$W$2:$W$19,0),_xlfn.XLOOKUP(G58,Lists!$P$2:$P$19,Lists!$W$2:$W$19,0),_xlfn.XLOOKUP(I58,Lists!$P$2:$P$19,Lists!$W$2:$W$19,0),_xlfn.XLOOKUP(K58,Lists!$P$2:$P$19,Lists!$W$2:$W$19,0)))</f>
        <v>0</v>
      </c>
      <c r="U58" s="68">
        <f ca="1">IF($B58="","",SUM(_xlfn.XLOOKUP(C58,Lists!$P$2:$P$19,Lists!$X$2:$X$19,0),_xlfn.XLOOKUP(E58,Lists!$P$2:$P$19,Lists!$X$2:$X$19,0),_xlfn.XLOOKUP(G58,Lists!$P$2:$P$19,Lists!$X$2:$X$19,0),_xlfn.XLOOKUP(I58,Lists!$P$2:$P$19,Lists!$X$2:$X$19,0),_xlfn.XLOOKUP(K58,Lists!$P$2:$P$19,Lists!$X$2:$X$19,0)))</f>
        <v>0</v>
      </c>
      <c r="V58" s="68">
        <f ca="1">IF($B58="","",SUM(_xlfn.XLOOKUP(C58,Lists!$P$2:$P$19,Lists!$Y$2:$Y$19,0),_xlfn.XLOOKUP(E58,Lists!$P$2:$P$19,Lists!$Y$2:$Y$19,0),_xlfn.XLOOKUP(G58,Lists!$P$2:$P$19,Lists!$Y$2:$Y$19,0),_xlfn.XLOOKUP(I58,Lists!$P$2:$P$19,Lists!$Y$2:$Y$19,0),_xlfn.XLOOKUP(K58,Lists!$P$2:$P$19,Lists!$Y$2:$Y$19,0)))</f>
        <v>0</v>
      </c>
      <c r="W58" s="68">
        <f ca="1">IF($B58="","",SUM(_xlfn.XLOOKUP(C58,Lists!$P$2:$P$19,Lists!$Z$2:$Z$19,0),_xlfn.XLOOKUP(E58,Lists!$P$2:$P$19,Lists!$Z$2:$Z$19,0),_xlfn.XLOOKUP(G58,Lists!$P$2:$P$19,Lists!$Z$2:$Z$19,0),_xlfn.XLOOKUP(I58,Lists!$P$2:$P$19,Lists!$Z$2:$Z$19,0),_xlfn.XLOOKUP(K58,Lists!$P$2:$P$19,Lists!$Z$2:$Z$19,0)))</f>
        <v>0</v>
      </c>
      <c r="X58" s="69">
        <f ca="1">IF($B58="","",SUM(_xlfn.XLOOKUP(C58,Lists!$P$2:$P$19,Lists!$AA$2:$AA$19,0),_xlfn.XLOOKUP(E58,Lists!$P$2:$P$19,Lists!$AA$2:$AA$19,0),_xlfn.XLOOKUP(G58,Lists!$P$2:$P$19,Lists!$AA$2:$AA$19,0),_xlfn.XLOOKUP(I58,Lists!$P$2:$P$19,Lists!$AA$2:$AA$19,0),_xlfn.XLOOKUP(K58,Lists!$P$2:$P$19,Lists!$AA$2:$AA$19,0)))</f>
        <v>0</v>
      </c>
      <c r="Y58" s="48"/>
      <c r="Z58" s="49"/>
      <c r="AA58" s="49"/>
      <c r="AB58" s="49"/>
      <c r="AC58" s="49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</row>
    <row r="59" spans="1:110">
      <c r="A59" s="168">
        <v>2</v>
      </c>
      <c r="B59" s="47" t="str">
        <f ca="1">Lineups!$C$20</f>
        <v>Blue Pianta</v>
      </c>
      <c r="C59" s="49" t="s">
        <v>185</v>
      </c>
      <c r="D59" s="49"/>
      <c r="E59" s="49" t="s">
        <v>189</v>
      </c>
      <c r="F59" s="49"/>
      <c r="G59" s="49"/>
      <c r="H59" s="50"/>
      <c r="I59" s="50"/>
      <c r="J59" s="50"/>
      <c r="K59" s="50"/>
      <c r="L59" s="50"/>
      <c r="M59" s="67">
        <f ca="1">IF($B59="","",SUM(_xlfn.XLOOKUP(C59,Lists!$P$2:$P$19,Lists!$R$2:$R$19,0),_xlfn.XLOOKUP(E59,Lists!$P$2:$P$19,Lists!$R$2:$R$19,0),_xlfn.XLOOKUP(G59,Lists!$P$2:$P$19,Lists!$R$2:$R$19,0),_xlfn.XLOOKUP(I59,Lists!$P$2:$P$19,Lists!$R$2:$R$19,0),_xlfn.XLOOKUP(K59,Lists!$P$2:$P$19,Lists!$R$2:$R$19,0)))</f>
        <v>2</v>
      </c>
      <c r="N59" s="68">
        <f ca="1">IF($B59="","",SUM(_xlfn.XLOOKUP(D59,Lists!$AC$2:$AC$9,Lists!$AE$2:$AE$9,0),_xlfn.XLOOKUP(F59,Lists!$AC$2:$AC$9,Lists!$AE$2:$AE$9,0),_xlfn.XLOOKUP(H59,Lists!$AC$2:$AC$9,Lists!$AE$2:$AE$9,0),_xlfn.XLOOKUP(J59,Lists!$AC$2:$AC$9,Lists!$AE$2:$AE$9,0),_xlfn.XLOOKUP(L59,Lists!$AC$2:$AC$9,Lists!$AE$2:$AE$9,0)))</f>
        <v>0</v>
      </c>
      <c r="O59" s="68">
        <f ca="1">IF($B59="","",SUM(_xlfn.XLOOKUP(C59,Lists!$P$2:$P$19,Lists!$S$2:$S$19,0),_xlfn.XLOOKUP(E59,Lists!$P$2:$P$19,Lists!$S$2:$S$19,0),_xlfn.XLOOKUP(G59,Lists!$P$2:$P$19,Lists!$S$2:$S$19,0),_xlfn.XLOOKUP(I59,Lists!$P$2:$P$19,Lists!$S$2:$S$19,0),_xlfn.XLOOKUP(K59,Lists!$P$2:$P$19,Lists!$S$2:$S$19,0)))</f>
        <v>0</v>
      </c>
      <c r="P59" s="68">
        <f ca="1">IF($B59="","",SUM(_xlfn.XLOOKUP(C59,Lists!$P$2:$P$19,Lists!$T$2:$T$19,0),_xlfn.XLOOKUP(E59,Lists!$P$2:$P$19,Lists!$T$2:$T$19,0),_xlfn.XLOOKUP(G59,Lists!$P$2:$P$19,Lists!$T$2:$T$19,0),_xlfn.XLOOKUP(I59,Lists!$P$2:$P$19,Lists!$T$2:$T$19,0),_xlfn.XLOOKUP(K59,Lists!$P$2:$P$19,Lists!$T$2:$T$19,0)))</f>
        <v>0</v>
      </c>
      <c r="Q59" s="68">
        <f ca="1">IF($B59="","",SUM(_xlfn.XLOOKUP(C59,Lists!$P$2:$P$19,Lists!$U$2:$U$19,0),_xlfn.XLOOKUP(E59,Lists!$P$2:$P$19,Lists!$U$2:$U$19,0),_xlfn.XLOOKUP(G59,Lists!$P$2:$P$19,Lists!$U$2:$U$19,0),_xlfn.XLOOKUP(I59,Lists!$P$2:$P$19,Lists!$U$2:$U$19,0),_xlfn.XLOOKUP(K59,Lists!$P$2:$P$19,Lists!$U$2:$U$19,0)))</f>
        <v>0</v>
      </c>
      <c r="R59" s="68">
        <f ca="1">IF($B59="","",SUM(_xlfn.XLOOKUP(C59,Lists!$P$2:$P$19,Lists!$V$2:$V$19,0),_xlfn.XLOOKUP(E59,Lists!$P$2:$P$19,Lists!$V$2:$V$19,0),_xlfn.XLOOKUP(G59,Lists!$P$2:$P$19,Lists!$V$2:$V$19,0),_xlfn.XLOOKUP(I59,Lists!$P$2:$P$19,Lists!$V$2:$V$19,0),_xlfn.XLOOKUP(K59,Lists!$P$2:$P$19,Lists!$V$2:$V$19,0)))</f>
        <v>0</v>
      </c>
      <c r="S59" s="68">
        <f ca="1">IF($B59="","",SUM(_xlfn.XLOOKUP(D59,Lists!$AC$2:$AC$9,Lists!$AD$2:$AD$9,0),_xlfn.XLOOKUP(F59,Lists!$AC$2:$AC$9,Lists!$AD$2:$AD$9,0),_xlfn.XLOOKUP(H59,Lists!$AC$2:$AC$9,Lists!$AD$2:$AD$9,0),_xlfn.XLOOKUP(J59,Lists!$AC$2:$AC$9,Lists!$AD$2:$AD$9,0),_xlfn.XLOOKUP(L59,Lists!$AC$2:$AC$9,Lists!$AD$2:$AD$9,0)))</f>
        <v>0</v>
      </c>
      <c r="T59" s="68">
        <f ca="1">IF($B59="","",SUM(_xlfn.XLOOKUP(C59,Lists!$P$2:$P$19,Lists!$W$2:$W$19,0),_xlfn.XLOOKUP(E59,Lists!$P$2:$P$19,Lists!$W$2:$W$19,0),_xlfn.XLOOKUP(G59,Lists!$P$2:$P$19,Lists!$W$2:$W$19,0),_xlfn.XLOOKUP(I59,Lists!$P$2:$P$19,Lists!$W$2:$W$19,0),_xlfn.XLOOKUP(K59,Lists!$P$2:$P$19,Lists!$W$2:$W$19,0)))</f>
        <v>0</v>
      </c>
      <c r="U59" s="68">
        <f ca="1">IF($B59="","",SUM(_xlfn.XLOOKUP(C59,Lists!$P$2:$P$19,Lists!$X$2:$X$19,0),_xlfn.XLOOKUP(E59,Lists!$P$2:$P$19,Lists!$X$2:$X$19,0),_xlfn.XLOOKUP(G59,Lists!$P$2:$P$19,Lists!$X$2:$X$19,0),_xlfn.XLOOKUP(I59,Lists!$P$2:$P$19,Lists!$X$2:$X$19,0),_xlfn.XLOOKUP(K59,Lists!$P$2:$P$19,Lists!$X$2:$X$19,0)))</f>
        <v>1</v>
      </c>
      <c r="V59" s="68">
        <f ca="1">IF($B59="","",SUM(_xlfn.XLOOKUP(C59,Lists!$P$2:$P$19,Lists!$Y$2:$Y$19,0),_xlfn.XLOOKUP(E59,Lists!$P$2:$P$19,Lists!$Y$2:$Y$19,0),_xlfn.XLOOKUP(G59,Lists!$P$2:$P$19,Lists!$Y$2:$Y$19,0),_xlfn.XLOOKUP(I59,Lists!$P$2:$P$19,Lists!$Y$2:$Y$19,0),_xlfn.XLOOKUP(K59,Lists!$P$2:$P$19,Lists!$Y$2:$Y$19,0)))</f>
        <v>0</v>
      </c>
      <c r="W59" s="68">
        <f ca="1">IF($B59="","",SUM(_xlfn.XLOOKUP(C59,Lists!$P$2:$P$19,Lists!$Z$2:$Z$19,0),_xlfn.XLOOKUP(E59,Lists!$P$2:$P$19,Lists!$Z$2:$Z$19,0),_xlfn.XLOOKUP(G59,Lists!$P$2:$P$19,Lists!$Z$2:$Z$19,0),_xlfn.XLOOKUP(I59,Lists!$P$2:$P$19,Lists!$Z$2:$Z$19,0),_xlfn.XLOOKUP(K59,Lists!$P$2:$P$19,Lists!$Z$2:$Z$19,0)))</f>
        <v>0</v>
      </c>
      <c r="X59" s="69">
        <f ca="1">IF($B59="","",SUM(_xlfn.XLOOKUP(C59,Lists!$P$2:$P$19,Lists!$AA$2:$AA$19,0),_xlfn.XLOOKUP(E59,Lists!$P$2:$P$19,Lists!$AA$2:$AA$19,0),_xlfn.XLOOKUP(G59,Lists!$P$2:$P$19,Lists!$AA$2:$AA$19,0),_xlfn.XLOOKUP(I59,Lists!$P$2:$P$19,Lists!$AA$2:$AA$19,0),_xlfn.XLOOKUP(K59,Lists!$P$2:$P$19,Lists!$AA$2:$AA$19,0)))</f>
        <v>0</v>
      </c>
      <c r="Y59" s="49"/>
      <c r="Z59" s="49"/>
      <c r="AA59" s="49"/>
      <c r="AB59" s="49"/>
      <c r="AC59" s="49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</row>
    <row r="60" spans="1:110">
      <c r="A60" s="168">
        <v>3</v>
      </c>
      <c r="B60" s="47" t="str">
        <f ca="1">Lineups!$C$21</f>
        <v>Mario</v>
      </c>
      <c r="C60" s="49" t="s">
        <v>188</v>
      </c>
      <c r="D60" s="49"/>
      <c r="E60" s="49" t="s">
        <v>188</v>
      </c>
      <c r="F60" s="49" t="s">
        <v>187</v>
      </c>
      <c r="G60" s="49"/>
      <c r="H60" s="50"/>
      <c r="I60" s="50"/>
      <c r="J60" s="50"/>
      <c r="K60" s="50"/>
      <c r="L60" s="50"/>
      <c r="M60" s="67">
        <f ca="1">IF($B60="","",SUM(_xlfn.XLOOKUP(C60,Lists!$P$2:$P$19,Lists!$R$2:$R$19,0),_xlfn.XLOOKUP(E60,Lists!$P$2:$P$19,Lists!$R$2:$R$19,0),_xlfn.XLOOKUP(G60,Lists!$P$2:$P$19,Lists!$R$2:$R$19,0),_xlfn.XLOOKUP(I60,Lists!$P$2:$P$19,Lists!$R$2:$R$19,0),_xlfn.XLOOKUP(K60,Lists!$P$2:$P$19,Lists!$R$2:$R$19,0)))</f>
        <v>2</v>
      </c>
      <c r="N60" s="68">
        <f ca="1">IF($B60="","",SUM(_xlfn.XLOOKUP(D60,Lists!$AC$2:$AC$9,Lists!$AE$2:$AE$9,0),_xlfn.XLOOKUP(F60,Lists!$AC$2:$AC$9,Lists!$AE$2:$AE$9,0),_xlfn.XLOOKUP(H60,Lists!$AC$2:$AC$9,Lists!$AE$2:$AE$9,0),_xlfn.XLOOKUP(J60,Lists!$AC$2:$AC$9,Lists!$AE$2:$AE$9,0),_xlfn.XLOOKUP(L60,Lists!$AC$2:$AC$9,Lists!$AE$2:$AE$9,0)))</f>
        <v>1</v>
      </c>
      <c r="O60" s="68">
        <f ca="1">IF($B60="","",SUM(_xlfn.XLOOKUP(C60,Lists!$P$2:$P$19,Lists!$S$2:$S$19,0),_xlfn.XLOOKUP(E60,Lists!$P$2:$P$19,Lists!$S$2:$S$19,0),_xlfn.XLOOKUP(G60,Lists!$P$2:$P$19,Lists!$S$2:$S$19,0),_xlfn.XLOOKUP(I60,Lists!$P$2:$P$19,Lists!$S$2:$S$19,0),_xlfn.XLOOKUP(K60,Lists!$P$2:$P$19,Lists!$S$2:$S$19,0)))</f>
        <v>2</v>
      </c>
      <c r="P60" s="68">
        <f ca="1">IF($B60="","",SUM(_xlfn.XLOOKUP(C60,Lists!$P$2:$P$19,Lists!$T$2:$T$19,0),_xlfn.XLOOKUP(E60,Lists!$P$2:$P$19,Lists!$T$2:$T$19,0),_xlfn.XLOOKUP(G60,Lists!$P$2:$P$19,Lists!$T$2:$T$19,0),_xlfn.XLOOKUP(I60,Lists!$P$2:$P$19,Lists!$T$2:$T$19,0),_xlfn.XLOOKUP(K60,Lists!$P$2:$P$19,Lists!$T$2:$T$19,0)))</f>
        <v>0</v>
      </c>
      <c r="Q60" s="68">
        <f ca="1">IF($B60="","",SUM(_xlfn.XLOOKUP(C60,Lists!$P$2:$P$19,Lists!$U$2:$U$19,0),_xlfn.XLOOKUP(E60,Lists!$P$2:$P$19,Lists!$U$2:$U$19,0),_xlfn.XLOOKUP(G60,Lists!$P$2:$P$19,Lists!$U$2:$U$19,0),_xlfn.XLOOKUP(I60,Lists!$P$2:$P$19,Lists!$U$2:$U$19,0),_xlfn.XLOOKUP(K60,Lists!$P$2:$P$19,Lists!$U$2:$U$19,0)))</f>
        <v>0</v>
      </c>
      <c r="R60" s="68">
        <f ca="1">IF($B60="","",SUM(_xlfn.XLOOKUP(C60,Lists!$P$2:$P$19,Lists!$V$2:$V$19,0),_xlfn.XLOOKUP(E60,Lists!$P$2:$P$19,Lists!$V$2:$V$19,0),_xlfn.XLOOKUP(G60,Lists!$P$2:$P$19,Lists!$V$2:$V$19,0),_xlfn.XLOOKUP(I60,Lists!$P$2:$P$19,Lists!$V$2:$V$19,0),_xlfn.XLOOKUP(K60,Lists!$P$2:$P$19,Lists!$V$2:$V$19,0)))</f>
        <v>0</v>
      </c>
      <c r="S60" s="68">
        <f ca="1">IF($B60="","",SUM(_xlfn.XLOOKUP(D60,Lists!$AC$2:$AC$9,Lists!$AD$2:$AD$9,0),_xlfn.XLOOKUP(F60,Lists!$AC$2:$AC$9,Lists!$AD$2:$AD$9,0),_xlfn.XLOOKUP(H60,Lists!$AC$2:$AC$9,Lists!$AD$2:$AD$9,0),_xlfn.XLOOKUP(J60,Lists!$AC$2:$AC$9,Lists!$AD$2:$AD$9,0),_xlfn.XLOOKUP(L60,Lists!$AC$2:$AC$9,Lists!$AD$2:$AD$9,0)))</f>
        <v>0</v>
      </c>
      <c r="T60" s="68">
        <f ca="1">IF($B60="","",SUM(_xlfn.XLOOKUP(C60,Lists!$P$2:$P$19,Lists!$W$2:$W$19,0),_xlfn.XLOOKUP(E60,Lists!$P$2:$P$19,Lists!$W$2:$W$19,0),_xlfn.XLOOKUP(G60,Lists!$P$2:$P$19,Lists!$W$2:$W$19,0),_xlfn.XLOOKUP(I60,Lists!$P$2:$P$19,Lists!$W$2:$W$19,0),_xlfn.XLOOKUP(K60,Lists!$P$2:$P$19,Lists!$W$2:$W$19,0)))</f>
        <v>0</v>
      </c>
      <c r="U60" s="68">
        <f ca="1">IF($B60="","",SUM(_xlfn.XLOOKUP(C60,Lists!$P$2:$P$19,Lists!$X$2:$X$19,0),_xlfn.XLOOKUP(E60,Lists!$P$2:$P$19,Lists!$X$2:$X$19,0),_xlfn.XLOOKUP(G60,Lists!$P$2:$P$19,Lists!$X$2:$X$19,0),_xlfn.XLOOKUP(I60,Lists!$P$2:$P$19,Lists!$X$2:$X$19,0),_xlfn.XLOOKUP(K60,Lists!$P$2:$P$19,Lists!$X$2:$X$19,0)))</f>
        <v>0</v>
      </c>
      <c r="V60" s="68">
        <f ca="1">IF($B60="","",SUM(_xlfn.XLOOKUP(C60,Lists!$P$2:$P$19,Lists!$Y$2:$Y$19,0),_xlfn.XLOOKUP(E60,Lists!$P$2:$P$19,Lists!$Y$2:$Y$19,0),_xlfn.XLOOKUP(G60,Lists!$P$2:$P$19,Lists!$Y$2:$Y$19,0),_xlfn.XLOOKUP(I60,Lists!$P$2:$P$19,Lists!$Y$2:$Y$19,0),_xlfn.XLOOKUP(K60,Lists!$P$2:$P$19,Lists!$Y$2:$Y$19,0)))</f>
        <v>0</v>
      </c>
      <c r="W60" s="68">
        <f ca="1">IF($B60="","",SUM(_xlfn.XLOOKUP(C60,Lists!$P$2:$P$19,Lists!$Z$2:$Z$19,0),_xlfn.XLOOKUP(E60,Lists!$P$2:$P$19,Lists!$Z$2:$Z$19,0),_xlfn.XLOOKUP(G60,Lists!$P$2:$P$19,Lists!$Z$2:$Z$19,0),_xlfn.XLOOKUP(I60,Lists!$P$2:$P$19,Lists!$Z$2:$Z$19,0),_xlfn.XLOOKUP(K60,Lists!$P$2:$P$19,Lists!$Z$2:$Z$19,0)))</f>
        <v>0</v>
      </c>
      <c r="X60" s="69">
        <f ca="1">IF($B60="","",SUM(_xlfn.XLOOKUP(C60,Lists!$P$2:$P$19,Lists!$AA$2:$AA$19,0),_xlfn.XLOOKUP(E60,Lists!$P$2:$P$19,Lists!$AA$2:$AA$19,0),_xlfn.XLOOKUP(G60,Lists!$P$2:$P$19,Lists!$AA$2:$AA$19,0),_xlfn.XLOOKUP(I60,Lists!$P$2:$P$19,Lists!$AA$2:$AA$19,0),_xlfn.XLOOKUP(K60,Lists!$P$2:$P$19,Lists!$AA$2:$AA$19,0)))</f>
        <v>0</v>
      </c>
      <c r="Y60" s="49"/>
      <c r="Z60" s="49"/>
      <c r="AA60" s="49"/>
      <c r="AB60" s="49"/>
      <c r="AC60" s="49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</row>
    <row r="61" spans="1:110">
      <c r="A61" s="168">
        <v>4</v>
      </c>
      <c r="B61" s="47" t="str">
        <f ca="1">Lineups!$C$22</f>
        <v>Yellow Pianta</v>
      </c>
      <c r="C61" s="49" t="s">
        <v>189</v>
      </c>
      <c r="D61" s="49"/>
      <c r="E61" s="49" t="s">
        <v>178</v>
      </c>
      <c r="F61" s="49" t="s">
        <v>190</v>
      </c>
      <c r="G61" s="49"/>
      <c r="H61" s="50"/>
      <c r="I61" s="50"/>
      <c r="J61" s="50"/>
      <c r="K61" s="50"/>
      <c r="L61" s="50"/>
      <c r="M61" s="67">
        <f ca="1">IF($B61="","",SUM(_xlfn.XLOOKUP(C61,Lists!$P$2:$P$19,Lists!$R$2:$R$19,0),_xlfn.XLOOKUP(E61,Lists!$P$2:$P$19,Lists!$R$2:$R$19,0),_xlfn.XLOOKUP(G61,Lists!$P$2:$P$19,Lists!$R$2:$R$19,0),_xlfn.XLOOKUP(I61,Lists!$P$2:$P$19,Lists!$R$2:$R$19,0),_xlfn.XLOOKUP(K61,Lists!$P$2:$P$19,Lists!$R$2:$R$19,0)))</f>
        <v>2</v>
      </c>
      <c r="N61" s="68">
        <f ca="1">IF($B61="","",SUM(_xlfn.XLOOKUP(D61,Lists!$AC$2:$AC$9,Lists!$AE$2:$AE$9,0),_xlfn.XLOOKUP(F61,Lists!$AC$2:$AC$9,Lists!$AE$2:$AE$9,0),_xlfn.XLOOKUP(H61,Lists!$AC$2:$AC$9,Lists!$AE$2:$AE$9,0),_xlfn.XLOOKUP(J61,Lists!$AC$2:$AC$9,Lists!$AE$2:$AE$9,0),_xlfn.XLOOKUP(L61,Lists!$AC$2:$AC$9,Lists!$AE$2:$AE$9,0)))</f>
        <v>1</v>
      </c>
      <c r="O61" s="68">
        <f ca="1">IF($B61="","",SUM(_xlfn.XLOOKUP(C61,Lists!$P$2:$P$19,Lists!$S$2:$S$19,0),_xlfn.XLOOKUP(E61,Lists!$P$2:$P$19,Lists!$S$2:$S$19,0),_xlfn.XLOOKUP(G61,Lists!$P$2:$P$19,Lists!$S$2:$S$19,0),_xlfn.XLOOKUP(I61,Lists!$P$2:$P$19,Lists!$S$2:$S$19,0),_xlfn.XLOOKUP(K61,Lists!$P$2:$P$19,Lists!$S$2:$S$19,0)))</f>
        <v>1</v>
      </c>
      <c r="P61" s="68">
        <f ca="1">IF($B61="","",SUM(_xlfn.XLOOKUP(C61,Lists!$P$2:$P$19,Lists!$T$2:$T$19,0),_xlfn.XLOOKUP(E61,Lists!$P$2:$P$19,Lists!$T$2:$T$19,0),_xlfn.XLOOKUP(G61,Lists!$P$2:$P$19,Lists!$T$2:$T$19,0),_xlfn.XLOOKUP(I61,Lists!$P$2:$P$19,Lists!$T$2:$T$19,0),_xlfn.XLOOKUP(K61,Lists!$P$2:$P$19,Lists!$T$2:$T$19,0)))</f>
        <v>0</v>
      </c>
      <c r="Q61" s="68">
        <f ca="1">IF($B61="","",SUM(_xlfn.XLOOKUP(C61,Lists!$P$2:$P$19,Lists!$U$2:$U$19,0),_xlfn.XLOOKUP(E61,Lists!$P$2:$P$19,Lists!$U$2:$U$19,0),_xlfn.XLOOKUP(G61,Lists!$P$2:$P$19,Lists!$U$2:$U$19,0),_xlfn.XLOOKUP(I61,Lists!$P$2:$P$19,Lists!$U$2:$U$19,0),_xlfn.XLOOKUP(K61,Lists!$P$2:$P$19,Lists!$U$2:$U$19,0)))</f>
        <v>0</v>
      </c>
      <c r="R61" s="68">
        <f ca="1">IF($B61="","",SUM(_xlfn.XLOOKUP(C61,Lists!$P$2:$P$19,Lists!$V$2:$V$19,0),_xlfn.XLOOKUP(E61,Lists!$P$2:$P$19,Lists!$V$2:$V$19,0),_xlfn.XLOOKUP(G61,Lists!$P$2:$P$19,Lists!$V$2:$V$19,0),_xlfn.XLOOKUP(I61,Lists!$P$2:$P$19,Lists!$V$2:$V$19,0),_xlfn.XLOOKUP(K61,Lists!$P$2:$P$19,Lists!$V$2:$V$19,0)))</f>
        <v>1</v>
      </c>
      <c r="S61" s="68">
        <f ca="1">IF($B61="","",SUM(_xlfn.XLOOKUP(D61,Lists!$AC$2:$AC$9,Lists!$AD$2:$AD$9,0),_xlfn.XLOOKUP(F61,Lists!$AC$2:$AC$9,Lists!$AD$2:$AD$9,0),_xlfn.XLOOKUP(H61,Lists!$AC$2:$AC$9,Lists!$AD$2:$AD$9,0),_xlfn.XLOOKUP(J61,Lists!$AC$2:$AC$9,Lists!$AD$2:$AD$9,0),_xlfn.XLOOKUP(L61,Lists!$AC$2:$AC$9,Lists!$AD$2:$AD$9,0)))</f>
        <v>1</v>
      </c>
      <c r="T61" s="68">
        <f ca="1">IF($B61="","",SUM(_xlfn.XLOOKUP(C61,Lists!$P$2:$P$19,Lists!$W$2:$W$19,0),_xlfn.XLOOKUP(E61,Lists!$P$2:$P$19,Lists!$W$2:$W$19,0),_xlfn.XLOOKUP(G61,Lists!$P$2:$P$19,Lists!$W$2:$W$19,0),_xlfn.XLOOKUP(I61,Lists!$P$2:$P$19,Lists!$W$2:$W$19,0),_xlfn.XLOOKUP(K61,Lists!$P$2:$P$19,Lists!$W$2:$W$19,0)))</f>
        <v>0</v>
      </c>
      <c r="U61" s="68">
        <f ca="1">IF($B61="","",SUM(_xlfn.XLOOKUP(C61,Lists!$P$2:$P$19,Lists!$X$2:$X$19,0),_xlfn.XLOOKUP(E61,Lists!$P$2:$P$19,Lists!$X$2:$X$19,0),_xlfn.XLOOKUP(G61,Lists!$P$2:$P$19,Lists!$X$2:$X$19,0),_xlfn.XLOOKUP(I61,Lists!$P$2:$P$19,Lists!$X$2:$X$19,0),_xlfn.XLOOKUP(K61,Lists!$P$2:$P$19,Lists!$X$2:$X$19,0)))</f>
        <v>0</v>
      </c>
      <c r="V61" s="68">
        <f ca="1">IF($B61="","",SUM(_xlfn.XLOOKUP(C61,Lists!$P$2:$P$19,Lists!$Y$2:$Y$19,0),_xlfn.XLOOKUP(E61,Lists!$P$2:$P$19,Lists!$Y$2:$Y$19,0),_xlfn.XLOOKUP(G61,Lists!$P$2:$P$19,Lists!$Y$2:$Y$19,0),_xlfn.XLOOKUP(I61,Lists!$P$2:$P$19,Lists!$Y$2:$Y$19,0),_xlfn.XLOOKUP(K61,Lists!$P$2:$P$19,Lists!$Y$2:$Y$19,0)))</f>
        <v>0</v>
      </c>
      <c r="W61" s="68">
        <f ca="1">IF($B61="","",SUM(_xlfn.XLOOKUP(C61,Lists!$P$2:$P$19,Lists!$Z$2:$Z$19,0),_xlfn.XLOOKUP(E61,Lists!$P$2:$P$19,Lists!$Z$2:$Z$19,0),_xlfn.XLOOKUP(G61,Lists!$P$2:$P$19,Lists!$Z$2:$Z$19,0),_xlfn.XLOOKUP(I61,Lists!$P$2:$P$19,Lists!$Z$2:$Z$19,0),_xlfn.XLOOKUP(K61,Lists!$P$2:$P$19,Lists!$Z$2:$Z$19,0)))</f>
        <v>0</v>
      </c>
      <c r="X61" s="69">
        <f ca="1">IF($B61="","",SUM(_xlfn.XLOOKUP(C61,Lists!$P$2:$P$19,Lists!$AA$2:$AA$19,0),_xlfn.XLOOKUP(E61,Lists!$P$2:$P$19,Lists!$AA$2:$AA$19,0),_xlfn.XLOOKUP(G61,Lists!$P$2:$P$19,Lists!$AA$2:$AA$19,0),_xlfn.XLOOKUP(I61,Lists!$P$2:$P$19,Lists!$AA$2:$AA$19,0),_xlfn.XLOOKUP(K61,Lists!$P$2:$P$19,Lists!$AA$2:$AA$19,0)))</f>
        <v>0</v>
      </c>
      <c r="Y61" s="49"/>
      <c r="Z61" s="49"/>
      <c r="AA61" s="49"/>
      <c r="AB61" s="49"/>
      <c r="AC61" s="49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</row>
    <row r="62" spans="1:110">
      <c r="A62" s="168">
        <v>5</v>
      </c>
      <c r="B62" s="47" t="str">
        <f ca="1">Lineups!$C$23</f>
        <v>Blue Kritter</v>
      </c>
      <c r="C62" s="49" t="s">
        <v>177</v>
      </c>
      <c r="D62" s="49" t="s">
        <v>187</v>
      </c>
      <c r="E62" s="49"/>
      <c r="F62" s="49"/>
      <c r="G62" s="49"/>
      <c r="H62" s="50"/>
      <c r="I62" s="50"/>
      <c r="J62" s="50"/>
      <c r="K62" s="50"/>
      <c r="L62" s="50"/>
      <c r="M62" s="67">
        <f ca="1">IF($B62="","",SUM(_xlfn.XLOOKUP(C62,Lists!$P$2:$P$19,Lists!$R$2:$R$19,0),_xlfn.XLOOKUP(E62,Lists!$P$2:$P$19,Lists!$R$2:$R$19,0),_xlfn.XLOOKUP(G62,Lists!$P$2:$P$19,Lists!$R$2:$R$19,0),_xlfn.XLOOKUP(I62,Lists!$P$2:$P$19,Lists!$R$2:$R$19,0),_xlfn.XLOOKUP(K62,Lists!$P$2:$P$19,Lists!$R$2:$R$19,0)))</f>
        <v>1</v>
      </c>
      <c r="N62" s="68">
        <f ca="1">IF($B62="","",SUM(_xlfn.XLOOKUP(D62,Lists!$AC$2:$AC$9,Lists!$AE$2:$AE$9,0),_xlfn.XLOOKUP(F62,Lists!$AC$2:$AC$9,Lists!$AE$2:$AE$9,0),_xlfn.XLOOKUP(H62,Lists!$AC$2:$AC$9,Lists!$AE$2:$AE$9,0),_xlfn.XLOOKUP(J62,Lists!$AC$2:$AC$9,Lists!$AE$2:$AE$9,0),_xlfn.XLOOKUP(L62,Lists!$AC$2:$AC$9,Lists!$AE$2:$AE$9,0)))</f>
        <v>1</v>
      </c>
      <c r="O62" s="68">
        <f ca="1">IF($B62="","",SUM(_xlfn.XLOOKUP(C62,Lists!$P$2:$P$19,Lists!$S$2:$S$19,0),_xlfn.XLOOKUP(E62,Lists!$P$2:$P$19,Lists!$S$2:$S$19,0),_xlfn.XLOOKUP(G62,Lists!$P$2:$P$19,Lists!$S$2:$S$19,0),_xlfn.XLOOKUP(I62,Lists!$P$2:$P$19,Lists!$S$2:$S$19,0),_xlfn.XLOOKUP(K62,Lists!$P$2:$P$19,Lists!$S$2:$S$19,0)))</f>
        <v>1</v>
      </c>
      <c r="P62" s="68">
        <f ca="1">IF($B62="","",SUM(_xlfn.XLOOKUP(C62,Lists!$P$2:$P$19,Lists!$T$2:$T$19,0),_xlfn.XLOOKUP(E62,Lists!$P$2:$P$19,Lists!$T$2:$T$19,0),_xlfn.XLOOKUP(G62,Lists!$P$2:$P$19,Lists!$T$2:$T$19,0),_xlfn.XLOOKUP(I62,Lists!$P$2:$P$19,Lists!$T$2:$T$19,0),_xlfn.XLOOKUP(K62,Lists!$P$2:$P$19,Lists!$T$2:$T$19,0)))</f>
        <v>0</v>
      </c>
      <c r="Q62" s="68">
        <f ca="1">IF($B62="","",SUM(_xlfn.XLOOKUP(C62,Lists!$P$2:$P$19,Lists!$U$2:$U$19,0),_xlfn.XLOOKUP(E62,Lists!$P$2:$P$19,Lists!$U$2:$U$19,0),_xlfn.XLOOKUP(G62,Lists!$P$2:$P$19,Lists!$U$2:$U$19,0),_xlfn.XLOOKUP(I62,Lists!$P$2:$P$19,Lists!$U$2:$U$19,0),_xlfn.XLOOKUP(K62,Lists!$P$2:$P$19,Lists!$U$2:$U$19,0)))</f>
        <v>1</v>
      </c>
      <c r="R62" s="68">
        <f ca="1">IF($B62="","",SUM(_xlfn.XLOOKUP(C62,Lists!$P$2:$P$19,Lists!$V$2:$V$19,0),_xlfn.XLOOKUP(E62,Lists!$P$2:$P$19,Lists!$V$2:$V$19,0),_xlfn.XLOOKUP(G62,Lists!$P$2:$P$19,Lists!$V$2:$V$19,0),_xlfn.XLOOKUP(I62,Lists!$P$2:$P$19,Lists!$V$2:$V$19,0),_xlfn.XLOOKUP(K62,Lists!$P$2:$P$19,Lists!$V$2:$V$19,0)))</f>
        <v>0</v>
      </c>
      <c r="S62" s="68">
        <f ca="1">IF($B62="","",SUM(_xlfn.XLOOKUP(D62,Lists!$AC$2:$AC$9,Lists!$AD$2:$AD$9,0),_xlfn.XLOOKUP(F62,Lists!$AC$2:$AC$9,Lists!$AD$2:$AD$9,0),_xlfn.XLOOKUP(H62,Lists!$AC$2:$AC$9,Lists!$AD$2:$AD$9,0),_xlfn.XLOOKUP(J62,Lists!$AC$2:$AC$9,Lists!$AD$2:$AD$9,0),_xlfn.XLOOKUP(L62,Lists!$AC$2:$AC$9,Lists!$AD$2:$AD$9,0)))</f>
        <v>0</v>
      </c>
      <c r="T62" s="68">
        <f ca="1">IF($B62="","",SUM(_xlfn.XLOOKUP(C62,Lists!$P$2:$P$19,Lists!$W$2:$W$19,0),_xlfn.XLOOKUP(E62,Lists!$P$2:$P$19,Lists!$W$2:$W$19,0),_xlfn.XLOOKUP(G62,Lists!$P$2:$P$19,Lists!$W$2:$W$19,0),_xlfn.XLOOKUP(I62,Lists!$P$2:$P$19,Lists!$W$2:$W$19,0),_xlfn.XLOOKUP(K62,Lists!$P$2:$P$19,Lists!$W$2:$W$19,0)))</f>
        <v>0</v>
      </c>
      <c r="U62" s="68">
        <f ca="1">IF($B62="","",SUM(_xlfn.XLOOKUP(C62,Lists!$P$2:$P$19,Lists!$X$2:$X$19,0),_xlfn.XLOOKUP(E62,Lists!$P$2:$P$19,Lists!$X$2:$X$19,0),_xlfn.XLOOKUP(G62,Lists!$P$2:$P$19,Lists!$X$2:$X$19,0),_xlfn.XLOOKUP(I62,Lists!$P$2:$P$19,Lists!$X$2:$X$19,0),_xlfn.XLOOKUP(K62,Lists!$P$2:$P$19,Lists!$X$2:$X$19,0)))</f>
        <v>0</v>
      </c>
      <c r="V62" s="68">
        <f ca="1">IF($B62="","",SUM(_xlfn.XLOOKUP(C62,Lists!$P$2:$P$19,Lists!$Y$2:$Y$19,0),_xlfn.XLOOKUP(E62,Lists!$P$2:$P$19,Lists!$Y$2:$Y$19,0),_xlfn.XLOOKUP(G62,Lists!$P$2:$P$19,Lists!$Y$2:$Y$19,0),_xlfn.XLOOKUP(I62,Lists!$P$2:$P$19,Lists!$Y$2:$Y$19,0),_xlfn.XLOOKUP(K62,Lists!$P$2:$P$19,Lists!$Y$2:$Y$19,0)))</f>
        <v>0</v>
      </c>
      <c r="W62" s="68">
        <f ca="1">IF($B62="","",SUM(_xlfn.XLOOKUP(C62,Lists!$P$2:$P$19,Lists!$Z$2:$Z$19,0),_xlfn.XLOOKUP(E62,Lists!$P$2:$P$19,Lists!$Z$2:$Z$19,0),_xlfn.XLOOKUP(G62,Lists!$P$2:$P$19,Lists!$Z$2:$Z$19,0),_xlfn.XLOOKUP(I62,Lists!$P$2:$P$19,Lists!$Z$2:$Z$19,0),_xlfn.XLOOKUP(K62,Lists!$P$2:$P$19,Lists!$Z$2:$Z$19,0)))</f>
        <v>0</v>
      </c>
      <c r="X62" s="69">
        <f ca="1">IF($B62="","",SUM(_xlfn.XLOOKUP(C62,Lists!$P$2:$P$19,Lists!$AA$2:$AA$19,0),_xlfn.XLOOKUP(E62,Lists!$P$2:$P$19,Lists!$AA$2:$AA$19,0),_xlfn.XLOOKUP(G62,Lists!$P$2:$P$19,Lists!$AA$2:$AA$19,0),_xlfn.XLOOKUP(I62,Lists!$P$2:$P$19,Lists!$AA$2:$AA$19,0),_xlfn.XLOOKUP(K62,Lists!$P$2:$P$19,Lists!$AA$2:$AA$19,0)))</f>
        <v>0</v>
      </c>
      <c r="Y62" s="49"/>
      <c r="Z62" s="49"/>
      <c r="AA62" s="49"/>
      <c r="AB62" s="49"/>
      <c r="AC62" s="49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</row>
    <row r="63" spans="1:110">
      <c r="A63" s="168">
        <v>6</v>
      </c>
      <c r="B63" s="47" t="str">
        <f ca="1">Lineups!$C$24</f>
        <v>Luigi</v>
      </c>
      <c r="C63" s="49" t="s">
        <v>188</v>
      </c>
      <c r="D63" s="49" t="s">
        <v>190</v>
      </c>
      <c r="E63" s="49"/>
      <c r="F63" s="49"/>
      <c r="G63" s="49"/>
      <c r="H63" s="50"/>
      <c r="I63" s="50"/>
      <c r="J63" s="50"/>
      <c r="K63" s="50"/>
      <c r="L63" s="50"/>
      <c r="M63" s="67">
        <f ca="1">IF($B63="","",SUM(_xlfn.XLOOKUP(C63,Lists!$P$2:$P$19,Lists!$R$2:$R$19,0),_xlfn.XLOOKUP(E63,Lists!$P$2:$P$19,Lists!$R$2:$R$19,0),_xlfn.XLOOKUP(G63,Lists!$P$2:$P$19,Lists!$R$2:$R$19,0),_xlfn.XLOOKUP(I63,Lists!$P$2:$P$19,Lists!$R$2:$R$19,0),_xlfn.XLOOKUP(K63,Lists!$P$2:$P$19,Lists!$R$2:$R$19,0)))</f>
        <v>1</v>
      </c>
      <c r="N63" s="68">
        <f ca="1">IF($B63="","",SUM(_xlfn.XLOOKUP(D63,Lists!$AC$2:$AC$9,Lists!$AE$2:$AE$9,0),_xlfn.XLOOKUP(F63,Lists!$AC$2:$AC$9,Lists!$AE$2:$AE$9,0),_xlfn.XLOOKUP(H63,Lists!$AC$2:$AC$9,Lists!$AE$2:$AE$9,0),_xlfn.XLOOKUP(J63,Lists!$AC$2:$AC$9,Lists!$AE$2:$AE$9,0),_xlfn.XLOOKUP(L63,Lists!$AC$2:$AC$9,Lists!$AE$2:$AE$9,0)))</f>
        <v>1</v>
      </c>
      <c r="O63" s="68">
        <f ca="1">IF($B63="","",SUM(_xlfn.XLOOKUP(C63,Lists!$P$2:$P$19,Lists!$S$2:$S$19,0),_xlfn.XLOOKUP(E63,Lists!$P$2:$P$19,Lists!$S$2:$S$19,0),_xlfn.XLOOKUP(G63,Lists!$P$2:$P$19,Lists!$S$2:$S$19,0),_xlfn.XLOOKUP(I63,Lists!$P$2:$P$19,Lists!$S$2:$S$19,0),_xlfn.XLOOKUP(K63,Lists!$P$2:$P$19,Lists!$S$2:$S$19,0)))</f>
        <v>1</v>
      </c>
      <c r="P63" s="68">
        <f ca="1">IF($B63="","",SUM(_xlfn.XLOOKUP(C63,Lists!$P$2:$P$19,Lists!$T$2:$T$19,0),_xlfn.XLOOKUP(E63,Lists!$P$2:$P$19,Lists!$T$2:$T$19,0),_xlfn.XLOOKUP(G63,Lists!$P$2:$P$19,Lists!$T$2:$T$19,0),_xlfn.XLOOKUP(I63,Lists!$P$2:$P$19,Lists!$T$2:$T$19,0),_xlfn.XLOOKUP(K63,Lists!$P$2:$P$19,Lists!$T$2:$T$19,0)))</f>
        <v>0</v>
      </c>
      <c r="Q63" s="68">
        <f ca="1">IF($B63="","",SUM(_xlfn.XLOOKUP(C63,Lists!$P$2:$P$19,Lists!$U$2:$U$19,0),_xlfn.XLOOKUP(E63,Lists!$P$2:$P$19,Lists!$U$2:$U$19,0),_xlfn.XLOOKUP(G63,Lists!$P$2:$P$19,Lists!$U$2:$U$19,0),_xlfn.XLOOKUP(I63,Lists!$P$2:$P$19,Lists!$U$2:$U$19,0),_xlfn.XLOOKUP(K63,Lists!$P$2:$P$19,Lists!$U$2:$U$19,0)))</f>
        <v>0</v>
      </c>
      <c r="R63" s="68">
        <f ca="1">IF($B63="","",SUM(_xlfn.XLOOKUP(C63,Lists!$P$2:$P$19,Lists!$V$2:$V$19,0),_xlfn.XLOOKUP(E63,Lists!$P$2:$P$19,Lists!$V$2:$V$19,0),_xlfn.XLOOKUP(G63,Lists!$P$2:$P$19,Lists!$V$2:$V$19,0),_xlfn.XLOOKUP(I63,Lists!$P$2:$P$19,Lists!$V$2:$V$19,0),_xlfn.XLOOKUP(K63,Lists!$P$2:$P$19,Lists!$V$2:$V$19,0)))</f>
        <v>0</v>
      </c>
      <c r="S63" s="68">
        <f ca="1">IF($B63="","",SUM(_xlfn.XLOOKUP(D63,Lists!$AC$2:$AC$9,Lists!$AD$2:$AD$9,0),_xlfn.XLOOKUP(F63,Lists!$AC$2:$AC$9,Lists!$AD$2:$AD$9,0),_xlfn.XLOOKUP(H63,Lists!$AC$2:$AC$9,Lists!$AD$2:$AD$9,0),_xlfn.XLOOKUP(J63,Lists!$AC$2:$AC$9,Lists!$AD$2:$AD$9,0),_xlfn.XLOOKUP(L63,Lists!$AC$2:$AC$9,Lists!$AD$2:$AD$9,0)))</f>
        <v>1</v>
      </c>
      <c r="T63" s="68">
        <f ca="1">IF($B63="","",SUM(_xlfn.XLOOKUP(C63,Lists!$P$2:$P$19,Lists!$W$2:$W$19,0),_xlfn.XLOOKUP(E63,Lists!$P$2:$P$19,Lists!$W$2:$W$19,0),_xlfn.XLOOKUP(G63,Lists!$P$2:$P$19,Lists!$W$2:$W$19,0),_xlfn.XLOOKUP(I63,Lists!$P$2:$P$19,Lists!$W$2:$W$19,0),_xlfn.XLOOKUP(K63,Lists!$P$2:$P$19,Lists!$W$2:$W$19,0)))</f>
        <v>0</v>
      </c>
      <c r="U63" s="68">
        <f ca="1">IF($B63="","",SUM(_xlfn.XLOOKUP(C63,Lists!$P$2:$P$19,Lists!$X$2:$X$19,0),_xlfn.XLOOKUP(E63,Lists!$P$2:$P$19,Lists!$X$2:$X$19,0),_xlfn.XLOOKUP(G63,Lists!$P$2:$P$19,Lists!$X$2:$X$19,0),_xlfn.XLOOKUP(I63,Lists!$P$2:$P$19,Lists!$X$2:$X$19,0),_xlfn.XLOOKUP(K63,Lists!$P$2:$P$19,Lists!$X$2:$X$19,0)))</f>
        <v>0</v>
      </c>
      <c r="V63" s="68">
        <f ca="1">IF($B63="","",SUM(_xlfn.XLOOKUP(C63,Lists!$P$2:$P$19,Lists!$Y$2:$Y$19,0),_xlfn.XLOOKUP(E63,Lists!$P$2:$P$19,Lists!$Y$2:$Y$19,0),_xlfn.XLOOKUP(G63,Lists!$P$2:$P$19,Lists!$Y$2:$Y$19,0),_xlfn.XLOOKUP(I63,Lists!$P$2:$P$19,Lists!$Y$2:$Y$19,0),_xlfn.XLOOKUP(K63,Lists!$P$2:$P$19,Lists!$Y$2:$Y$19,0)))</f>
        <v>0</v>
      </c>
      <c r="W63" s="68">
        <f ca="1">IF($B63="","",SUM(_xlfn.XLOOKUP(C63,Lists!$P$2:$P$19,Lists!$Z$2:$Z$19,0),_xlfn.XLOOKUP(E63,Lists!$P$2:$P$19,Lists!$Z$2:$Z$19,0),_xlfn.XLOOKUP(G63,Lists!$P$2:$P$19,Lists!$Z$2:$Z$19,0),_xlfn.XLOOKUP(I63,Lists!$P$2:$P$19,Lists!$Z$2:$Z$19,0),_xlfn.XLOOKUP(K63,Lists!$P$2:$P$19,Lists!$Z$2:$Z$19,0)))</f>
        <v>0</v>
      </c>
      <c r="X63" s="69">
        <f ca="1">IF($B63="","",SUM(_xlfn.XLOOKUP(C63,Lists!$P$2:$P$19,Lists!$AA$2:$AA$19,0),_xlfn.XLOOKUP(E63,Lists!$P$2:$P$19,Lists!$AA$2:$AA$19,0),_xlfn.XLOOKUP(G63,Lists!$P$2:$P$19,Lists!$AA$2:$AA$19,0),_xlfn.XLOOKUP(I63,Lists!$P$2:$P$19,Lists!$AA$2:$AA$19,0),_xlfn.XLOOKUP(K63,Lists!$P$2:$P$19,Lists!$AA$2:$AA$19,0)))</f>
        <v>0</v>
      </c>
      <c r="Y63" s="49"/>
      <c r="Z63" s="49"/>
      <c r="AA63" s="49"/>
      <c r="AB63" s="49"/>
      <c r="AC63" s="49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</row>
    <row r="64" spans="1:110">
      <c r="A64" s="168">
        <v>7</v>
      </c>
      <c r="B64" s="47" t="str">
        <f ca="1">Lineups!$C$25</f>
        <v>Blue Dry Bones</v>
      </c>
      <c r="C64" s="49" t="s">
        <v>178</v>
      </c>
      <c r="D64" s="49" t="s">
        <v>204</v>
      </c>
      <c r="E64" s="49"/>
      <c r="F64" s="49"/>
      <c r="G64" s="49"/>
      <c r="H64" s="50"/>
      <c r="I64" s="50"/>
      <c r="J64" s="50"/>
      <c r="K64" s="50"/>
      <c r="L64" s="50"/>
      <c r="M64" s="67">
        <f ca="1">IF($B64="","",SUM(_xlfn.XLOOKUP(C64,Lists!$P$2:$P$19,Lists!$R$2:$R$19,0),_xlfn.XLOOKUP(E64,Lists!$P$2:$P$19,Lists!$R$2:$R$19,0),_xlfn.XLOOKUP(G64,Lists!$P$2:$P$19,Lists!$R$2:$R$19,0),_xlfn.XLOOKUP(I64,Lists!$P$2:$P$19,Lists!$R$2:$R$19,0),_xlfn.XLOOKUP(K64,Lists!$P$2:$P$19,Lists!$R$2:$R$19,0)))</f>
        <v>1</v>
      </c>
      <c r="N64" s="68">
        <f ca="1">IF($B64="","",SUM(_xlfn.XLOOKUP(D64,Lists!$AC$2:$AC$9,Lists!$AE$2:$AE$9,0),_xlfn.XLOOKUP(F64,Lists!$AC$2:$AC$9,Lists!$AE$2:$AE$9,0),_xlfn.XLOOKUP(H64,Lists!$AC$2:$AC$9,Lists!$AE$2:$AE$9,0),_xlfn.XLOOKUP(J64,Lists!$AC$2:$AC$9,Lists!$AE$2:$AE$9,0),_xlfn.XLOOKUP(L64,Lists!$AC$2:$AC$9,Lists!$AE$2:$AE$9,0)))</f>
        <v>1</v>
      </c>
      <c r="O64" s="68">
        <f ca="1">IF($B64="","",SUM(_xlfn.XLOOKUP(C64,Lists!$P$2:$P$19,Lists!$S$2:$S$19,0),_xlfn.XLOOKUP(E64,Lists!$P$2:$P$19,Lists!$S$2:$S$19,0),_xlfn.XLOOKUP(G64,Lists!$P$2:$P$19,Lists!$S$2:$S$19,0),_xlfn.XLOOKUP(I64,Lists!$P$2:$P$19,Lists!$S$2:$S$19,0),_xlfn.XLOOKUP(K64,Lists!$P$2:$P$19,Lists!$S$2:$S$19,0)))</f>
        <v>1</v>
      </c>
      <c r="P64" s="68">
        <f ca="1">IF($B64="","",SUM(_xlfn.XLOOKUP(C64,Lists!$P$2:$P$19,Lists!$T$2:$T$19,0),_xlfn.XLOOKUP(E64,Lists!$P$2:$P$19,Lists!$T$2:$T$19,0),_xlfn.XLOOKUP(G64,Lists!$P$2:$P$19,Lists!$T$2:$T$19,0),_xlfn.XLOOKUP(I64,Lists!$P$2:$P$19,Lists!$T$2:$T$19,0),_xlfn.XLOOKUP(K64,Lists!$P$2:$P$19,Lists!$T$2:$T$19,0)))</f>
        <v>0</v>
      </c>
      <c r="Q64" s="68">
        <f ca="1">IF($B64="","",SUM(_xlfn.XLOOKUP(C64,Lists!$P$2:$P$19,Lists!$U$2:$U$19,0),_xlfn.XLOOKUP(E64,Lists!$P$2:$P$19,Lists!$U$2:$U$19,0),_xlfn.XLOOKUP(G64,Lists!$P$2:$P$19,Lists!$U$2:$U$19,0),_xlfn.XLOOKUP(I64,Lists!$P$2:$P$19,Lists!$U$2:$U$19,0),_xlfn.XLOOKUP(K64,Lists!$P$2:$P$19,Lists!$U$2:$U$19,0)))</f>
        <v>0</v>
      </c>
      <c r="R64" s="68">
        <f ca="1">IF($B64="","",SUM(_xlfn.XLOOKUP(C64,Lists!$P$2:$P$19,Lists!$V$2:$V$19,0),_xlfn.XLOOKUP(E64,Lists!$P$2:$P$19,Lists!$V$2:$V$19,0),_xlfn.XLOOKUP(G64,Lists!$P$2:$P$19,Lists!$V$2:$V$19,0),_xlfn.XLOOKUP(I64,Lists!$P$2:$P$19,Lists!$V$2:$V$19,0),_xlfn.XLOOKUP(K64,Lists!$P$2:$P$19,Lists!$V$2:$V$19,0)))</f>
        <v>1</v>
      </c>
      <c r="S64" s="68">
        <f ca="1">IF($B64="","",SUM(_xlfn.XLOOKUP(D64,Lists!$AC$2:$AC$9,Lists!$AD$2:$AD$9,0),_xlfn.XLOOKUP(F64,Lists!$AC$2:$AC$9,Lists!$AD$2:$AD$9,0),_xlfn.XLOOKUP(H64,Lists!$AC$2:$AC$9,Lists!$AD$2:$AD$9,0),_xlfn.XLOOKUP(J64,Lists!$AC$2:$AC$9,Lists!$AD$2:$AD$9,0),_xlfn.XLOOKUP(L64,Lists!$AC$2:$AC$9,Lists!$AD$2:$AD$9,0)))</f>
        <v>2</v>
      </c>
      <c r="T64" s="68">
        <f ca="1">IF($B64="","",SUM(_xlfn.XLOOKUP(C64,Lists!$P$2:$P$19,Lists!$W$2:$W$19,0),_xlfn.XLOOKUP(E64,Lists!$P$2:$P$19,Lists!$W$2:$W$19,0),_xlfn.XLOOKUP(G64,Lists!$P$2:$P$19,Lists!$W$2:$W$19,0),_xlfn.XLOOKUP(I64,Lists!$P$2:$P$19,Lists!$W$2:$W$19,0),_xlfn.XLOOKUP(K64,Lists!$P$2:$P$19,Lists!$W$2:$W$19,0)))</f>
        <v>0</v>
      </c>
      <c r="U64" s="68">
        <f ca="1">IF($B64="","",SUM(_xlfn.XLOOKUP(C64,Lists!$P$2:$P$19,Lists!$X$2:$X$19,0),_xlfn.XLOOKUP(E64,Lists!$P$2:$P$19,Lists!$X$2:$X$19,0),_xlfn.XLOOKUP(G64,Lists!$P$2:$P$19,Lists!$X$2:$X$19,0),_xlfn.XLOOKUP(I64,Lists!$P$2:$P$19,Lists!$X$2:$X$19,0),_xlfn.XLOOKUP(K64,Lists!$P$2:$P$19,Lists!$X$2:$X$19,0)))</f>
        <v>0</v>
      </c>
      <c r="V64" s="68">
        <f ca="1">IF($B64="","",SUM(_xlfn.XLOOKUP(C64,Lists!$P$2:$P$19,Lists!$Y$2:$Y$19,0),_xlfn.XLOOKUP(E64,Lists!$P$2:$P$19,Lists!$Y$2:$Y$19,0),_xlfn.XLOOKUP(G64,Lists!$P$2:$P$19,Lists!$Y$2:$Y$19,0),_xlfn.XLOOKUP(I64,Lists!$P$2:$P$19,Lists!$Y$2:$Y$19,0),_xlfn.XLOOKUP(K64,Lists!$P$2:$P$19,Lists!$Y$2:$Y$19,0)))</f>
        <v>0</v>
      </c>
      <c r="W64" s="68">
        <f ca="1">IF($B64="","",SUM(_xlfn.XLOOKUP(C64,Lists!$P$2:$P$19,Lists!$Z$2:$Z$19,0),_xlfn.XLOOKUP(E64,Lists!$P$2:$P$19,Lists!$Z$2:$Z$19,0),_xlfn.XLOOKUP(G64,Lists!$P$2:$P$19,Lists!$Z$2:$Z$19,0),_xlfn.XLOOKUP(I64,Lists!$P$2:$P$19,Lists!$Z$2:$Z$19,0),_xlfn.XLOOKUP(K64,Lists!$P$2:$P$19,Lists!$Z$2:$Z$19,0)))</f>
        <v>0</v>
      </c>
      <c r="X64" s="69">
        <f ca="1">IF($B64="","",SUM(_xlfn.XLOOKUP(C64,Lists!$P$2:$P$19,Lists!$AA$2:$AA$19,0),_xlfn.XLOOKUP(E64,Lists!$P$2:$P$19,Lists!$AA$2:$AA$19,0),_xlfn.XLOOKUP(G64,Lists!$P$2:$P$19,Lists!$AA$2:$AA$19,0),_xlfn.XLOOKUP(I64,Lists!$P$2:$P$19,Lists!$AA$2:$AA$19,0),_xlfn.XLOOKUP(K64,Lists!$P$2:$P$19,Lists!$AA$2:$AA$19,0)))</f>
        <v>0</v>
      </c>
      <c r="Y64" s="49"/>
      <c r="Z64" s="49"/>
      <c r="AA64" s="49"/>
      <c r="AB64" s="49"/>
      <c r="AC64" s="49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</row>
    <row r="65" spans="1:110">
      <c r="A65" s="168">
        <v>8</v>
      </c>
      <c r="B65" s="47" t="str">
        <f ca="1">Lineups!$C$26</f>
        <v>Red Magikoopa</v>
      </c>
      <c r="C65" s="49" t="s">
        <v>188</v>
      </c>
      <c r="D65" s="49"/>
      <c r="E65" s="49"/>
      <c r="F65" s="49"/>
      <c r="G65" s="49"/>
      <c r="H65" s="50"/>
      <c r="I65" s="50"/>
      <c r="J65" s="50"/>
      <c r="K65" s="50"/>
      <c r="L65" s="50"/>
      <c r="M65" s="67">
        <f ca="1">IF($B65="","",SUM(_xlfn.XLOOKUP(C65,Lists!$P$2:$P$19,Lists!$R$2:$R$19,0),_xlfn.XLOOKUP(E65,Lists!$P$2:$P$19,Lists!$R$2:$R$19,0),_xlfn.XLOOKUP(G65,Lists!$P$2:$P$19,Lists!$R$2:$R$19,0),_xlfn.XLOOKUP(I65,Lists!$P$2:$P$19,Lists!$R$2:$R$19,0),_xlfn.XLOOKUP(K65,Lists!$P$2:$P$19,Lists!$R$2:$R$19,0)))</f>
        <v>1</v>
      </c>
      <c r="N65" s="68">
        <f ca="1">IF($B65="","",SUM(_xlfn.XLOOKUP(D65,Lists!$AC$2:$AC$9,Lists!$AE$2:$AE$9,0),_xlfn.XLOOKUP(F65,Lists!$AC$2:$AC$9,Lists!$AE$2:$AE$9,0),_xlfn.XLOOKUP(H65,Lists!$AC$2:$AC$9,Lists!$AE$2:$AE$9,0),_xlfn.XLOOKUP(J65,Lists!$AC$2:$AC$9,Lists!$AE$2:$AE$9,0),_xlfn.XLOOKUP(L65,Lists!$AC$2:$AC$9,Lists!$AE$2:$AE$9,0)))</f>
        <v>0</v>
      </c>
      <c r="O65" s="68">
        <f ca="1">IF($B65="","",SUM(_xlfn.XLOOKUP(C65,Lists!$P$2:$P$19,Lists!$S$2:$S$19,0),_xlfn.XLOOKUP(E65,Lists!$P$2:$P$19,Lists!$S$2:$S$19,0),_xlfn.XLOOKUP(G65,Lists!$P$2:$P$19,Lists!$S$2:$S$19,0),_xlfn.XLOOKUP(I65,Lists!$P$2:$P$19,Lists!$S$2:$S$19,0),_xlfn.XLOOKUP(K65,Lists!$P$2:$P$19,Lists!$S$2:$S$19,0)))</f>
        <v>1</v>
      </c>
      <c r="P65" s="68">
        <f ca="1">IF($B65="","",SUM(_xlfn.XLOOKUP(C65,Lists!$P$2:$P$19,Lists!$T$2:$T$19,0),_xlfn.XLOOKUP(E65,Lists!$P$2:$P$19,Lists!$T$2:$T$19,0),_xlfn.XLOOKUP(G65,Lists!$P$2:$P$19,Lists!$T$2:$T$19,0),_xlfn.XLOOKUP(I65,Lists!$P$2:$P$19,Lists!$T$2:$T$19,0),_xlfn.XLOOKUP(K65,Lists!$P$2:$P$19,Lists!$T$2:$T$19,0)))</f>
        <v>0</v>
      </c>
      <c r="Q65" s="68">
        <f ca="1">IF($B65="","",SUM(_xlfn.XLOOKUP(C65,Lists!$P$2:$P$19,Lists!$U$2:$U$19,0),_xlfn.XLOOKUP(E65,Lists!$P$2:$P$19,Lists!$U$2:$U$19,0),_xlfn.XLOOKUP(G65,Lists!$P$2:$P$19,Lists!$U$2:$U$19,0),_xlfn.XLOOKUP(I65,Lists!$P$2:$P$19,Lists!$U$2:$U$19,0),_xlfn.XLOOKUP(K65,Lists!$P$2:$P$19,Lists!$U$2:$U$19,0)))</f>
        <v>0</v>
      </c>
      <c r="R65" s="68">
        <f ca="1">IF($B65="","",SUM(_xlfn.XLOOKUP(C65,Lists!$P$2:$P$19,Lists!$V$2:$V$19,0),_xlfn.XLOOKUP(E65,Lists!$P$2:$P$19,Lists!$V$2:$V$19,0),_xlfn.XLOOKUP(G65,Lists!$P$2:$P$19,Lists!$V$2:$V$19,0),_xlfn.XLOOKUP(I65,Lists!$P$2:$P$19,Lists!$V$2:$V$19,0),_xlfn.XLOOKUP(K65,Lists!$P$2:$P$19,Lists!$V$2:$V$19,0)))</f>
        <v>0</v>
      </c>
      <c r="S65" s="68">
        <f ca="1">IF($B65="","",SUM(_xlfn.XLOOKUP(D65,Lists!$AC$2:$AC$9,Lists!$AD$2:$AD$9,0),_xlfn.XLOOKUP(F65,Lists!$AC$2:$AC$9,Lists!$AD$2:$AD$9,0),_xlfn.XLOOKUP(H65,Lists!$AC$2:$AC$9,Lists!$AD$2:$AD$9,0),_xlfn.XLOOKUP(J65,Lists!$AC$2:$AC$9,Lists!$AD$2:$AD$9,0),_xlfn.XLOOKUP(L65,Lists!$AC$2:$AC$9,Lists!$AD$2:$AD$9,0)))</f>
        <v>0</v>
      </c>
      <c r="T65" s="68">
        <f ca="1">IF($B65="","",SUM(_xlfn.XLOOKUP(C65,Lists!$P$2:$P$19,Lists!$W$2:$W$19,0),_xlfn.XLOOKUP(E65,Lists!$P$2:$P$19,Lists!$W$2:$W$19,0),_xlfn.XLOOKUP(G65,Lists!$P$2:$P$19,Lists!$W$2:$W$19,0),_xlfn.XLOOKUP(I65,Lists!$P$2:$P$19,Lists!$W$2:$W$19,0),_xlfn.XLOOKUP(K65,Lists!$P$2:$P$19,Lists!$W$2:$W$19,0)))</f>
        <v>0</v>
      </c>
      <c r="U65" s="68">
        <f ca="1">IF($B65="","",SUM(_xlfn.XLOOKUP(C65,Lists!$P$2:$P$19,Lists!$X$2:$X$19,0),_xlfn.XLOOKUP(E65,Lists!$P$2:$P$19,Lists!$X$2:$X$19,0),_xlfn.XLOOKUP(G65,Lists!$P$2:$P$19,Lists!$X$2:$X$19,0),_xlfn.XLOOKUP(I65,Lists!$P$2:$P$19,Lists!$X$2:$X$19,0),_xlfn.XLOOKUP(K65,Lists!$P$2:$P$19,Lists!$X$2:$X$19,0)))</f>
        <v>0</v>
      </c>
      <c r="V65" s="68">
        <f ca="1">IF($B65="","",SUM(_xlfn.XLOOKUP(C65,Lists!$P$2:$P$19,Lists!$Y$2:$Y$19,0),_xlfn.XLOOKUP(E65,Lists!$P$2:$P$19,Lists!$Y$2:$Y$19,0),_xlfn.XLOOKUP(G65,Lists!$P$2:$P$19,Lists!$Y$2:$Y$19,0),_xlfn.XLOOKUP(I65,Lists!$P$2:$P$19,Lists!$Y$2:$Y$19,0),_xlfn.XLOOKUP(K65,Lists!$P$2:$P$19,Lists!$Y$2:$Y$19,0)))</f>
        <v>0</v>
      </c>
      <c r="W65" s="68">
        <f ca="1">IF($B65="","",SUM(_xlfn.XLOOKUP(C65,Lists!$P$2:$P$19,Lists!$Z$2:$Z$19,0),_xlfn.XLOOKUP(E65,Lists!$P$2:$P$19,Lists!$Z$2:$Z$19,0),_xlfn.XLOOKUP(G65,Lists!$P$2:$P$19,Lists!$Z$2:$Z$19,0),_xlfn.XLOOKUP(I65,Lists!$P$2:$P$19,Lists!$Z$2:$Z$19,0),_xlfn.XLOOKUP(K65,Lists!$P$2:$P$19,Lists!$Z$2:$Z$19,0)))</f>
        <v>0</v>
      </c>
      <c r="X65" s="69">
        <f ca="1">IF($B65="","",SUM(_xlfn.XLOOKUP(C65,Lists!$P$2:$P$19,Lists!$AA$2:$AA$19,0),_xlfn.XLOOKUP(E65,Lists!$P$2:$P$19,Lists!$AA$2:$AA$19,0),_xlfn.XLOOKUP(G65,Lists!$P$2:$P$19,Lists!$AA$2:$AA$19,0),_xlfn.XLOOKUP(I65,Lists!$P$2:$P$19,Lists!$AA$2:$AA$19,0),_xlfn.XLOOKUP(K65,Lists!$P$2:$P$19,Lists!$AA$2:$AA$19,0)))</f>
        <v>0</v>
      </c>
      <c r="Y65" s="49"/>
      <c r="Z65" s="49"/>
      <c r="AA65" s="49"/>
      <c r="AB65" s="49"/>
      <c r="AC65" s="49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</row>
    <row r="66" spans="1:110">
      <c r="A66" s="168">
        <v>9</v>
      </c>
      <c r="B66" s="47" t="str">
        <f ca="1">Lineups!$C$27</f>
        <v>Pink Yoshi</v>
      </c>
      <c r="C66" s="49" t="s">
        <v>205</v>
      </c>
      <c r="D66" s="49"/>
      <c r="E66" s="49"/>
      <c r="F66" s="49"/>
      <c r="G66" s="49"/>
      <c r="H66" s="50"/>
      <c r="I66" s="50"/>
      <c r="J66" s="50"/>
      <c r="K66" s="50"/>
      <c r="L66" s="50"/>
      <c r="M66" s="67">
        <f ca="1">IF($B66="","",SUM(_xlfn.XLOOKUP(C66,Lists!$P$2:$P$19,Lists!$R$2:$R$19,0),_xlfn.XLOOKUP(E66,Lists!$P$2:$P$19,Lists!$R$2:$R$19,0),_xlfn.XLOOKUP(G66,Lists!$P$2:$P$19,Lists!$R$2:$R$19,0),_xlfn.XLOOKUP(I66,Lists!$P$2:$P$19,Lists!$R$2:$R$19,0),_xlfn.XLOOKUP(K66,Lists!$P$2:$P$19,Lists!$R$2:$R$19,0)))</f>
        <v>1</v>
      </c>
      <c r="N66" s="68">
        <f ca="1">IF($B66="","",SUM(_xlfn.XLOOKUP(D66,Lists!$AC$2:$AC$9,Lists!$AE$2:$AE$9,0),_xlfn.XLOOKUP(F66,Lists!$AC$2:$AC$9,Lists!$AE$2:$AE$9,0),_xlfn.XLOOKUP(H66,Lists!$AC$2:$AC$9,Lists!$AE$2:$AE$9,0),_xlfn.XLOOKUP(J66,Lists!$AC$2:$AC$9,Lists!$AE$2:$AE$9,0),_xlfn.XLOOKUP(L66,Lists!$AC$2:$AC$9,Lists!$AE$2:$AE$9,0)))</f>
        <v>0</v>
      </c>
      <c r="O66" s="68">
        <f ca="1">IF($B66="","",SUM(_xlfn.XLOOKUP(C66,Lists!$P$2:$P$19,Lists!$S$2:$S$19,0),_xlfn.XLOOKUP(E66,Lists!$P$2:$P$19,Lists!$S$2:$S$19,0),_xlfn.XLOOKUP(G66,Lists!$P$2:$P$19,Lists!$S$2:$S$19,0),_xlfn.XLOOKUP(I66,Lists!$P$2:$P$19,Lists!$S$2:$S$19,0),_xlfn.XLOOKUP(K66,Lists!$P$2:$P$19,Lists!$S$2:$S$19,0)))</f>
        <v>0</v>
      </c>
      <c r="P66" s="68">
        <f ca="1">IF($B66="","",SUM(_xlfn.XLOOKUP(C66,Lists!$P$2:$P$19,Lists!$T$2:$T$19,0),_xlfn.XLOOKUP(E66,Lists!$P$2:$P$19,Lists!$T$2:$T$19,0),_xlfn.XLOOKUP(G66,Lists!$P$2:$P$19,Lists!$T$2:$T$19,0),_xlfn.XLOOKUP(I66,Lists!$P$2:$P$19,Lists!$T$2:$T$19,0),_xlfn.XLOOKUP(K66,Lists!$P$2:$P$19,Lists!$T$2:$T$19,0)))</f>
        <v>0</v>
      </c>
      <c r="Q66" s="68">
        <f ca="1">IF($B66="","",SUM(_xlfn.XLOOKUP(C66,Lists!$P$2:$P$19,Lists!$U$2:$U$19,0),_xlfn.XLOOKUP(E66,Lists!$P$2:$P$19,Lists!$U$2:$U$19,0),_xlfn.XLOOKUP(G66,Lists!$P$2:$P$19,Lists!$U$2:$U$19,0),_xlfn.XLOOKUP(I66,Lists!$P$2:$P$19,Lists!$U$2:$U$19,0),_xlfn.XLOOKUP(K66,Lists!$P$2:$P$19,Lists!$U$2:$U$19,0)))</f>
        <v>0</v>
      </c>
      <c r="R66" s="68">
        <f ca="1">IF($B66="","",SUM(_xlfn.XLOOKUP(C66,Lists!$P$2:$P$19,Lists!$V$2:$V$19,0),_xlfn.XLOOKUP(E66,Lists!$P$2:$P$19,Lists!$V$2:$V$19,0),_xlfn.XLOOKUP(G66,Lists!$P$2:$P$19,Lists!$V$2:$V$19,0),_xlfn.XLOOKUP(I66,Lists!$P$2:$P$19,Lists!$V$2:$V$19,0),_xlfn.XLOOKUP(K66,Lists!$P$2:$P$19,Lists!$V$2:$V$19,0)))</f>
        <v>0</v>
      </c>
      <c r="S66" s="68">
        <f ca="1">IF($B66="","",SUM(_xlfn.XLOOKUP(D66,Lists!$AC$2:$AC$9,Lists!$AD$2:$AD$9,0),_xlfn.XLOOKUP(F66,Lists!$AC$2:$AC$9,Lists!$AD$2:$AD$9,0),_xlfn.XLOOKUP(H66,Lists!$AC$2:$AC$9,Lists!$AD$2:$AD$9,0),_xlfn.XLOOKUP(J66,Lists!$AC$2:$AC$9,Lists!$AD$2:$AD$9,0),_xlfn.XLOOKUP(L66,Lists!$AC$2:$AC$9,Lists!$AD$2:$AD$9,0)))</f>
        <v>0</v>
      </c>
      <c r="T66" s="68">
        <f ca="1">IF($B66="","",SUM(_xlfn.XLOOKUP(C66,Lists!$P$2:$P$19,Lists!$W$2:$W$19,0),_xlfn.XLOOKUP(E66,Lists!$P$2:$P$19,Lists!$W$2:$W$19,0),_xlfn.XLOOKUP(G66,Lists!$P$2:$P$19,Lists!$W$2:$W$19,0),_xlfn.XLOOKUP(I66,Lists!$P$2:$P$19,Lists!$W$2:$W$19,0),_xlfn.XLOOKUP(K66,Lists!$P$2:$P$19,Lists!$W$2:$W$19,0)))</f>
        <v>0</v>
      </c>
      <c r="U66" s="68">
        <f ca="1">IF($B66="","",SUM(_xlfn.XLOOKUP(C66,Lists!$P$2:$P$19,Lists!$X$2:$X$19,0),_xlfn.XLOOKUP(E66,Lists!$P$2:$P$19,Lists!$X$2:$X$19,0),_xlfn.XLOOKUP(G66,Lists!$P$2:$P$19,Lists!$X$2:$X$19,0),_xlfn.XLOOKUP(I66,Lists!$P$2:$P$19,Lists!$X$2:$X$19,0),_xlfn.XLOOKUP(K66,Lists!$P$2:$P$19,Lists!$X$2:$X$19,0)))</f>
        <v>0</v>
      </c>
      <c r="V66" s="68">
        <f ca="1">IF($B66="","",SUM(_xlfn.XLOOKUP(C66,Lists!$P$2:$P$19,Lists!$Y$2:$Y$19,0),_xlfn.XLOOKUP(E66,Lists!$P$2:$P$19,Lists!$Y$2:$Y$19,0),_xlfn.XLOOKUP(G66,Lists!$P$2:$P$19,Lists!$Y$2:$Y$19,0),_xlfn.XLOOKUP(I66,Lists!$P$2:$P$19,Lists!$Y$2:$Y$19,0),_xlfn.XLOOKUP(K66,Lists!$P$2:$P$19,Lists!$Y$2:$Y$19,0)))</f>
        <v>0</v>
      </c>
      <c r="W66" s="68">
        <f ca="1">IF($B66="","",SUM(_xlfn.XLOOKUP(C66,Lists!$P$2:$P$19,Lists!$Z$2:$Z$19,0),_xlfn.XLOOKUP(E66,Lists!$P$2:$P$19,Lists!$Z$2:$Z$19,0),_xlfn.XLOOKUP(G66,Lists!$P$2:$P$19,Lists!$Z$2:$Z$19,0),_xlfn.XLOOKUP(I66,Lists!$P$2:$P$19,Lists!$Z$2:$Z$19,0),_xlfn.XLOOKUP(K66,Lists!$P$2:$P$19,Lists!$Z$2:$Z$19,0)))</f>
        <v>0</v>
      </c>
      <c r="X66" s="69">
        <f ca="1">IF($B66="","",SUM(_xlfn.XLOOKUP(C66,Lists!$P$2:$P$19,Lists!$AA$2:$AA$19,0),_xlfn.XLOOKUP(E66,Lists!$P$2:$P$19,Lists!$AA$2:$AA$19,0),_xlfn.XLOOKUP(G66,Lists!$P$2:$P$19,Lists!$AA$2:$AA$19,0),_xlfn.XLOOKUP(I66,Lists!$P$2:$P$19,Lists!$AA$2:$AA$19,0),_xlfn.XLOOKUP(K66,Lists!$P$2:$P$19,Lists!$AA$2:$AA$19,0)))</f>
        <v>0</v>
      </c>
      <c r="Y66" s="49"/>
      <c r="Z66" s="49"/>
      <c r="AA66" s="49"/>
      <c r="AB66" s="49"/>
      <c r="AC66" s="49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</row>
    <row r="67" spans="1:110">
      <c r="A67" s="173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</row>
    <row r="68" spans="1:110">
      <c r="A68" s="223" t="str">
        <f ca="1">IF($N$51="","Team A Pitching",$N$51&amp;" Pitching")</f>
        <v>Aidan Pitching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08"/>
      <c r="O68" s="187"/>
      <c r="P68" s="24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</row>
    <row r="69" spans="1:110">
      <c r="A69" s="183" t="s">
        <v>103</v>
      </c>
      <c r="B69" s="184" t="s">
        <v>194</v>
      </c>
      <c r="C69" s="184" t="s">
        <v>195</v>
      </c>
      <c r="D69" s="184" t="s">
        <v>162</v>
      </c>
      <c r="E69" s="184" t="s">
        <v>161</v>
      </c>
      <c r="F69" s="184" t="s">
        <v>196</v>
      </c>
      <c r="G69" s="184" t="s">
        <v>180</v>
      </c>
      <c r="H69" s="184" t="s">
        <v>181</v>
      </c>
      <c r="I69" s="185" t="s">
        <v>197</v>
      </c>
      <c r="J69" s="185" t="s">
        <v>198</v>
      </c>
      <c r="K69" s="185" t="s">
        <v>199</v>
      </c>
      <c r="L69" s="185" t="s">
        <v>200</v>
      </c>
      <c r="M69" s="185" t="s">
        <v>201</v>
      </c>
      <c r="N69" s="188" t="s">
        <v>202</v>
      </c>
      <c r="O69" s="188" t="s">
        <v>203</v>
      </c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</row>
    <row r="70" spans="1:110">
      <c r="A70" s="168">
        <v>1</v>
      </c>
      <c r="B70" s="71" t="s">
        <v>68</v>
      </c>
      <c r="C70" s="70" cm="1">
        <f t="array" aca="1" ref="C70" ca="1">IF(OR(B70="",O70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2</v>
      </c>
      <c r="D70" s="67" cm="1">
        <f t="array" aca="1" ref="D70" ca="1">IF(OR(B70="",O70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3</v>
      </c>
      <c r="E70" s="67" cm="1">
        <f t="array" aca="1" ref="E70" ca="1">IF(OR(B70="",O70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70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2</v>
      </c>
      <c r="F70" s="67" cm="1">
        <f t="array" aca="1" ref="F70" ca="1">IF(OR(B70="",O70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70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2</v>
      </c>
      <c r="G70" s="67" cm="1">
        <f t="array" aca="1" ref="G70" ca="1">IF(OR(B70="",O70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70" s="67" cm="1">
        <f t="array" aca="1" ref="H70" ca="1">IF(OR(B70="",O70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3</v>
      </c>
      <c r="I70" s="68" cm="1">
        <f t="array" aca="1" ref="I70" ca="1">IF(OR(B70="",O70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2</v>
      </c>
      <c r="J70" s="68" cm="1">
        <f t="array" aca="1" ref="J70" ca="1">IF(OR(B70="",O70=""),"",--($K$53&gt;$K$54)*--(ROW()-ROW(C69)=_xlfn.XLOOKUP(MAX(IF(O70:O75&gt;0,INT(C70:C75)*3+MOD(ROUND(C70:C75*10,0),10),-1)),IF(O70:O75&gt;0,INT(C70:C75)*3+MOD(ROUND(C70:C75*10,0),10),-1),_xlfn.SEQUENCE(ROWS(O70:O75)),,0)))</f>
        <v>1</v>
      </c>
      <c r="K70" s="68" cm="1">
        <f t="array" aca="1" ref="K70" ca="1">IF(OR(B70="",O70=""),"",--($K$53&lt;$K$54)*--(ROW()-ROW(C69)=_xlfn.XLOOKUP(MAX(IF(O70:O75&gt;0,E70:E75,-1)),IF(O70:O75&gt;0,E70:E75,-1),_xlfn.SEQUENCE(ROWS(O70:O75)),,0)))</f>
        <v>0</v>
      </c>
      <c r="L70" s="68" cm="1">
        <f t="array" aca="1" ref="L70" ca="1">IF(OR(B70="",O70=""),"",--($K$53&gt;$K$54)*--(COUNTIF(O70:O75,"&gt;0")&gt;1)*--(ROW()-ROW(C69)=_xlfn.XLOOKUP(TRUE,O70:O75&gt;0,_xlfn.SEQUENCE(ROWS(O70:O75)),,0,-1))*--(_xlfn.XLOOKUP(TRUE,O70:O75&gt;0,_xlfn.SEQUENCE(ROWS(O70:O75)),,0,-1)&lt;&gt;_xlfn.XLOOKUP(MAX(IF(O70:O75&gt;0,INT(C70:C75)*3+MOD(ROUND(C70:C75*10,0),10),-1)),IF(O70:O75&gt;0,INT(C70:C75)*3+MOD(ROUND(C70:C75*10,0),10),-1),_xlfn.SEQUENCE(ROWS(O70:O75)),,0))*--(($K$53-$K$54)&lt;=3)*--((INT(C70)*3+MOD(ROUND(C70*10,0),10))&gt;=3))</f>
        <v>0</v>
      </c>
      <c r="M70" s="68">
        <f>IF(OR(B70="",O70=""),"",--(COUNTIF(O70:O75,"&gt;0")=1)*--($K$54=0))</f>
        <v>0</v>
      </c>
      <c r="N70" s="69">
        <f>IF(OR(B70="",O70=""),"",--(COUNTIF(O70:O75,"&gt;0")=1))</f>
        <v>0</v>
      </c>
      <c r="O70" s="51">
        <v>9</v>
      </c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</row>
    <row r="71" spans="1:110">
      <c r="A71" s="168">
        <v>2</v>
      </c>
      <c r="B71" s="71" t="s">
        <v>85</v>
      </c>
      <c r="C71" s="70" cm="1">
        <f t="array" aca="1" ref="C71" ca="1">IF(OR(B71="",O71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1</v>
      </c>
      <c r="D71" s="67" cm="1">
        <f t="array" aca="1" ref="D71" ca="1">IF(OR(B71="",O71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2</v>
      </c>
      <c r="E71" s="67" cm="1">
        <f t="array" aca="1" ref="E71" ca="1">IF(OR(B71="",O71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1</v>
      </c>
      <c r="F71" s="67" cm="1">
        <f t="array" aca="1" ref="F71" ca="1">IF(OR(B71="",O71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1</v>
      </c>
      <c r="G71" s="67" cm="1">
        <f t="array" aca="1" ref="G71" ca="1">IF(OR(B71="",O71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71" s="67" cm="1">
        <f t="array" aca="1" ref="H71" ca="1">IF(OR(B71="",O71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2</v>
      </c>
      <c r="I71" s="68" cm="1">
        <f t="array" aca="1" ref="I71" ca="1">IF(OR(B71="",O71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1</v>
      </c>
      <c r="J71" s="68" cm="1">
        <f t="array" aca="1" ref="J71" ca="1">IF(OR(B71="",O71=""),"",--($K$53&gt;$K$54)*--(ROW()-ROW(C69)=_xlfn.XLOOKUP(MAX(IF(O70:O75&gt;0,INT(C70:C75)*3+MOD(ROUND(C70:C75*10,0),10),-1)),IF(O70:O75&gt;0,INT(C70:C75)*3+MOD(ROUND(C70:C75*10,0),10),-1),_xlfn.SEQUENCE(ROWS(O70:O75)),,0)))</f>
        <v>0</v>
      </c>
      <c r="K71" s="68" cm="1">
        <f t="array" aca="1" ref="K71" ca="1">IF(OR(B71="",O71=""),"",--($K$53&lt;$K$54)*--(ROW()-ROW(C69)=_xlfn.XLOOKUP(MAX(IF(O70:O75&gt;0,E70:E75,-1)),IF(O70:O75&gt;0,E70:E75,-1),_xlfn.SEQUENCE(ROWS(O70:O75)),,0)))</f>
        <v>0</v>
      </c>
      <c r="L71" s="68" cm="1">
        <f t="array" aca="1" ref="L71" ca="1">IF(OR(B71="",O71=""),"",--($K$53&gt;$K$54)*--(COUNTIF(O70:O75,"&gt;0")&gt;1)*--(ROW()-ROW(C69)=_xlfn.XLOOKUP(TRUE,O70:O75&gt;0,_xlfn.SEQUENCE(ROWS(O70:O75)),,0,-1))*--(_xlfn.XLOOKUP(TRUE,O70:O75&gt;0,_xlfn.SEQUENCE(ROWS(O70:O75)),,0,-1)&lt;&gt;_xlfn.XLOOKUP(MAX(IF(O70:O75&gt;0,INT(C70:C75)*3+MOD(ROUND(C70:C75*10,0),10),-1)),IF(O70:O75&gt;0,INT(C70:C75)*3+MOD(ROUND(C70:C75*10,0),10),-1),_xlfn.SEQUENCE(ROWS(O70:O75)),,0))*--(($K$53-$K$54)&lt;=3)*--((INT(C71)*3+MOD(ROUND(C71*10,0),10))&gt;=3))</f>
        <v>1</v>
      </c>
      <c r="M71" s="68">
        <f>IF(OR(B71="",O71=""),"",--(COUNTIF(O70:O75,"&gt;0")=1)*--($K$54=0))</f>
        <v>0</v>
      </c>
      <c r="N71" s="69">
        <f>IF(OR(B71="",O71=""),"",--(COUNTIF(O70:O75,"&gt;0")=1))</f>
        <v>0</v>
      </c>
      <c r="O71" s="51">
        <v>5</v>
      </c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</row>
    <row r="72" spans="1:110">
      <c r="A72" s="168">
        <v>3</v>
      </c>
      <c r="B72" s="71"/>
      <c r="C72" s="70" t="str" cm="1">
        <f t="array" aca="1" ref="C72" ca="1">IF(OR(B72="",O72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72" s="67" t="str" cm="1">
        <f t="array" aca="1" ref="D72" ca="1">IF(OR(B72="",O72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72" s="67" t="str" cm="1">
        <f t="array" aca="1" ref="E72" ca="1">IF(OR(B72="",O72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72" s="67" t="str" cm="1">
        <f t="array" aca="1" ref="F72" ca="1">IF(OR(B72="",O72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72" s="67" t="str" cm="1">
        <f t="array" aca="1" ref="G72" ca="1">IF(OR(B72="",O72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72" s="67" t="str" cm="1">
        <f t="array" aca="1" ref="H72" ca="1">IF(OR(B72="",O72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72" s="68" t="str" cm="1">
        <f t="array" aca="1" ref="I72" ca="1">IF(OR(B72="",O72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72" s="68" t="str" cm="1">
        <f t="array" aca="1" ref="J72" ca="1">IF(OR(B72="",O72=""),"",--($K$53&gt;$K$54)*--(ROW()-ROW(C69)=_xlfn.XLOOKUP(MAX(IF(O70:O75&gt;0,INT(C70:C75)*3+MOD(ROUND(C70:C75*10,0),10),-1)),IF(O70:O75&gt;0,INT(C70:C75)*3+MOD(ROUND(C70:C75*10,0),10),-1),_xlfn.SEQUENCE(ROWS(O70:O75)),,0)))</f>
        <v/>
      </c>
      <c r="K72" s="68" t="str" cm="1">
        <f t="array" aca="1" ref="K72" ca="1">IF(OR(B72="",O72=""),"",--($K$53&lt;$K$54)*--(ROW()-ROW(C69)=_xlfn.XLOOKUP(MAX(IF(O70:O75&gt;0,E70:E75,-1)),IF(O70:O75&gt;0,E70:E75,-1),_xlfn.SEQUENCE(ROWS(O70:O75)),,0)))</f>
        <v/>
      </c>
      <c r="L72" s="68" t="str" cm="1">
        <f t="array" aca="1" ref="L72" ca="1">IF(OR(B72="",O72=""),"",--($K$53&gt;$K$54)*--(COUNTIF(O70:O75,"&gt;0")&gt;1)*--(ROW()-ROW(C69)=_xlfn.XLOOKUP(TRUE,O70:O75&gt;0,_xlfn.SEQUENCE(ROWS(O70:O75)),,0,-1))*--(_xlfn.XLOOKUP(TRUE,O70:O75&gt;0,_xlfn.SEQUENCE(ROWS(O70:O75)),,0,-1)&lt;&gt;_xlfn.XLOOKUP(MAX(IF(O70:O75&gt;0,INT(C70:C75)*3+MOD(ROUND(C70:C75*10,0),10),-1)),IF(O70:O75&gt;0,INT(C70:C75)*3+MOD(ROUND(C70:C75*10,0),10),-1),_xlfn.SEQUENCE(ROWS(O70:O75)),,0))*--(($K$53-$K$54)&lt;=3)*--((INT(C72)*3+MOD(ROUND(C72*10,0),10))&gt;=3))</f>
        <v/>
      </c>
      <c r="M72" s="68" t="str">
        <f>IF(OR(B72="",O72=""),"",--(COUNTIF(O70:O75,"&gt;0")=1)*--($K$54=0))</f>
        <v/>
      </c>
      <c r="N72" s="69" t="str">
        <f>IF(OR(B72="",O72=""),"",--(COUNTIF(O70:O75,"&gt;0")=1))</f>
        <v/>
      </c>
      <c r="O72" s="51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</row>
    <row r="73" spans="1:110">
      <c r="A73" s="168">
        <v>4</v>
      </c>
      <c r="B73" s="71"/>
      <c r="C73" s="70" t="str" cm="1">
        <f t="array" aca="1" ref="C73" ca="1">IF(OR(B73="",O73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73" s="67" t="str" cm="1">
        <f t="array" aca="1" ref="D73" ca="1">IF(OR(B73="",O73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73" s="67" t="str" cm="1">
        <f t="array" aca="1" ref="E73" ca="1">IF(OR(B73="",O73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73" s="67" t="str" cm="1">
        <f t="array" aca="1" ref="F73" ca="1">IF(OR(B73="",O73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73" s="67" t="str" cm="1">
        <f t="array" aca="1" ref="G73" ca="1">IF(OR(B73="",O73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73" s="67" t="str" cm="1">
        <f t="array" aca="1" ref="H73" ca="1">IF(OR(B73="",O73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73" s="68" t="str" cm="1">
        <f t="array" aca="1" ref="I73" ca="1">IF(OR(B73="",O73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73" s="68" t="str" cm="1">
        <f t="array" aca="1" ref="J73" ca="1">IF(OR(B73="",O73=""),"",--($K$53&gt;$K$54)*--(ROW()-ROW(C69)=_xlfn.XLOOKUP(MAX(IF(O70:O75&gt;0,INT(C70:C75)*3+MOD(ROUND(C70:C75*10,0),10),-1)),IF(O70:O75&gt;0,INT(C70:C75)*3+MOD(ROUND(C70:C75*10,0),10),-1),_xlfn.SEQUENCE(ROWS(O70:O75)),,0)))</f>
        <v/>
      </c>
      <c r="K73" s="68" t="str" cm="1">
        <f t="array" aca="1" ref="K73" ca="1">IF(OR(B73="",O73=""),"",--($K$53&lt;$K$54)*--(ROW()-ROW(C69)=_xlfn.XLOOKUP(MAX(IF(O70:O75&gt;0,E70:E75,-1)),IF(O70:O75&gt;0,E70:E75,-1),_xlfn.SEQUENCE(ROWS(O70:O75)),,0)))</f>
        <v/>
      </c>
      <c r="L73" s="68" t="str" cm="1">
        <f t="array" aca="1" ref="L73" ca="1">IF(OR(B73="",O73=""),"",--($K$53&gt;$K$54)*--(COUNTIF(O70:O75,"&gt;0")&gt;1)*--(ROW()-ROW(C69)=_xlfn.XLOOKUP(TRUE,O70:O75&gt;0,_xlfn.SEQUENCE(ROWS(O70:O75)),,0,-1))*--(_xlfn.XLOOKUP(TRUE,O70:O75&gt;0,_xlfn.SEQUENCE(ROWS(O70:O75)),,0,-1)&lt;&gt;_xlfn.XLOOKUP(MAX(IF(O70:O75&gt;0,INT(C70:C75)*3+MOD(ROUND(C70:C75*10,0),10),-1)),IF(O70:O75&gt;0,INT(C70:C75)*3+MOD(ROUND(C70:C75*10,0),10),-1),_xlfn.SEQUENCE(ROWS(O70:O75)),,0))*--(($K$53-$K$54)&lt;=3)*--((INT(C73)*3+MOD(ROUND(C73*10,0),10))&gt;=3))</f>
        <v/>
      </c>
      <c r="M73" s="68" t="str">
        <f>IF(OR(B73="",O73=""),"",--(COUNTIF(O70:O75,"&gt;0")=1)*--($K$54=0))</f>
        <v/>
      </c>
      <c r="N73" s="69" t="str">
        <f>IF(OR(B73="",O73=""),"",--(COUNTIF(O70:O75,"&gt;0")=1))</f>
        <v/>
      </c>
      <c r="O73" s="51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</row>
    <row r="74" spans="1:110">
      <c r="A74" s="168">
        <v>5</v>
      </c>
      <c r="B74" s="71"/>
      <c r="C74" s="70" t="str" cm="1">
        <f t="array" aca="1" ref="C74" ca="1">IF(OR(B74="",O74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74" s="67" t="str" cm="1">
        <f t="array" aca="1" ref="D74" ca="1">IF(OR(B74="",O74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74" s="67" t="str" cm="1">
        <f t="array" aca="1" ref="E74" ca="1">IF(OR(B74="",O74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74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74" s="67" t="str" cm="1">
        <f t="array" aca="1" ref="F74" ca="1">IF(OR(B74="",O74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74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74" s="67" t="str" cm="1">
        <f t="array" aca="1" ref="G74" ca="1">IF(OR(B74="",O74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74" s="67" t="str" cm="1">
        <f t="array" aca="1" ref="H74" ca="1">IF(OR(B74="",O74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74" s="68" t="str" cm="1">
        <f t="array" aca="1" ref="I74" ca="1">IF(OR(B74="",O74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74" s="68" t="str" cm="1">
        <f t="array" aca="1" ref="J74" ca="1">IF(OR(B74="",O74=""),"",--($K$53&gt;$K$54)*--(ROW()-ROW(C69)=_xlfn.XLOOKUP(MAX(IF(O70:O75&gt;0,INT(C70:C75)*3+MOD(ROUND(C70:C75*10,0),10),-1)),IF(O70:O75&gt;0,INT(C70:C75)*3+MOD(ROUND(C70:C75*10,0),10),-1),_xlfn.SEQUENCE(ROWS(O70:O75)),,0)))</f>
        <v/>
      </c>
      <c r="K74" s="68" t="str" cm="1">
        <f t="array" aca="1" ref="K74" ca="1">IF(OR(B74="",O74=""),"",--($K$53&lt;$K$54)*--(ROW()-ROW(C69)=_xlfn.XLOOKUP(MAX(IF(O70:O75&gt;0,E70:E75,-1)),IF(O70:O75&gt;0,E70:E75,-1),_xlfn.SEQUENCE(ROWS(O70:O75)),,0)))</f>
        <v/>
      </c>
      <c r="L74" s="68" t="str" cm="1">
        <f t="array" aca="1" ref="L74" ca="1">IF(OR(B74="",O74=""),"",--($K$53&gt;$K$54)*--(COUNTIF(O70:O75,"&gt;0")&gt;1)*--(ROW()-ROW(C69)=_xlfn.XLOOKUP(TRUE,O70:O75&gt;0,_xlfn.SEQUENCE(ROWS(O70:O75)),,0,-1))*--(_xlfn.XLOOKUP(TRUE,O70:O75&gt;0,_xlfn.SEQUENCE(ROWS(O70:O75)),,0,-1)&lt;&gt;_xlfn.XLOOKUP(MAX(IF(O70:O75&gt;0,INT(C70:C75)*3+MOD(ROUND(C70:C75*10,0),10),-1)),IF(O70:O75&gt;0,INT(C70:C75)*3+MOD(ROUND(C70:C75*10,0),10),-1),_xlfn.SEQUENCE(ROWS(O70:O75)),,0))*--(($K$53-$K$54)&lt;=3)*--((INT(C74)*3+MOD(ROUND(C74*10,0),10))&gt;=3))</f>
        <v/>
      </c>
      <c r="M74" s="68" t="str">
        <f>IF(OR(B74="",O74=""),"",--(COUNTIF(O70:O75,"&gt;0")=1)*--($K$54=0))</f>
        <v/>
      </c>
      <c r="N74" s="69" t="str">
        <f>IF(OR(B74="",O74=""),"",--(COUNTIF(O70:O75,"&gt;0")=1))</f>
        <v/>
      </c>
      <c r="O74" s="51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</row>
    <row r="75" spans="1:110">
      <c r="A75" s="168">
        <v>6</v>
      </c>
      <c r="B75" s="71"/>
      <c r="C75" s="70" t="str" cm="1">
        <f t="array" aca="1" ref="C75" ca="1">IF(OR(B75="",O75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75" s="67" t="str" cm="1">
        <f t="array" aca="1" ref="D75" ca="1">IF(OR(B75="",O75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75" s="67" t="str" cm="1">
        <f t="array" aca="1" ref="E75" ca="1">IF(OR(B75="",O75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75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75" s="67" t="str" cm="1">
        <f t="array" aca="1" ref="F75" ca="1">IF(OR(B75="",O75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75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75" s="67" t="str" cm="1">
        <f t="array" aca="1" ref="G75" ca="1">IF(OR(B75="",O75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75" s="67" t="str" cm="1">
        <f t="array" aca="1" ref="H75" ca="1">IF(OR(B75="",O75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75" s="68" t="str" cm="1">
        <f t="array" aca="1" ref="I75" ca="1">IF(OR(B75="",O75=""),"",_xlfn.LET(_xlpm.flatPAraw,_xlfn.TOCOL(_xlfn.CHOOSECOLS(C79:L87,1,3,5,7,9),0,TRUE),_xlpm.flatPARraw,_xlfn.TOCOL(_xlfn.CHOOSECOLS(C79:L87,2,4,6,8,10),0,TRUE),_xlpm.flatPA,_xlfn._xlws.FILTER(_xlpm.flatPAraw,_xlpm.flatPAraw&lt;&gt;""),_xlpm.flatPAR,_xlfn._xlws.FILTER(_xlpm.flatPARraw,_xlpm.flatPAraw&lt;&gt;""),_xlpm.prev,IF(ROW()=ROW(C70),0,SUM(INDEX(O:O,ROW(C70)):INDEX(O:O,ROW()-1))),_xlpm.need,O75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75" s="68" t="str" cm="1">
        <f t="array" aca="1" ref="J75" ca="1">IF(OR(B75="",O75=""),"",--($K$53&gt;$K$54)*--(ROW()-ROW(C69)=_xlfn.XLOOKUP(MAX(IF(O70:O75&gt;0,INT(C70:C75)*3+MOD(ROUND(C70:C75*10,0),10),-1)),IF(O70:O75&gt;0,INT(C70:C75)*3+MOD(ROUND(C70:C75*10,0),10),-1),_xlfn.SEQUENCE(ROWS(O70:O75)),,0)))</f>
        <v/>
      </c>
      <c r="K75" s="68" t="str" cm="1">
        <f t="array" aca="1" ref="K75" ca="1">IF(OR(B75="",O75=""),"",--($K$53&lt;$K$54)*--(ROW()-ROW(C69)=_xlfn.XLOOKUP(MAX(IF(O70:O75&gt;0,E70:E75,-1)),IF(O70:O75&gt;0,E70:E75,-1),_xlfn.SEQUENCE(ROWS(O70:O75)),,0)))</f>
        <v/>
      </c>
      <c r="L75" s="68" t="str" cm="1">
        <f t="array" aca="1" ref="L75" ca="1">IF(OR(B75="",O75=""),"",--($K$53&gt;$K$54)*--(COUNTIF(O70:O75,"&gt;0")&gt;1)*--(ROW()-ROW(C69)=_xlfn.XLOOKUP(TRUE,O70:O75&gt;0,_xlfn.SEQUENCE(ROWS(O70:O75)),,0,-1))*--(_xlfn.XLOOKUP(TRUE,O70:O75&gt;0,_xlfn.SEQUENCE(ROWS(O70:O75)),,0,-1)&lt;&gt;_xlfn.XLOOKUP(MAX(IF(O70:O75&gt;0,INT(C70:C75)*3+MOD(ROUND(C70:C75*10,0),10),-1)),IF(O70:O75&gt;0,INT(C70:C75)*3+MOD(ROUND(C70:C75*10,0),10),-1),_xlfn.SEQUENCE(ROWS(O70:O75)),,0))*--(($K$53-$K$54)&lt;=3)*--((INT(C75)*3+MOD(ROUND(C75*10,0),10))&gt;=3))</f>
        <v/>
      </c>
      <c r="M75" s="68" t="str">
        <f>IF(OR(B75="",O75=""),"",--(COUNTIF(O70:O75,"&gt;0")=1)*--($K$54=0))</f>
        <v/>
      </c>
      <c r="N75" s="69" t="str">
        <f>IF(OR(B75="",O75=""),"",--(COUNTIF(O70:O75,"&gt;0")=1))</f>
        <v/>
      </c>
      <c r="O75" s="51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</row>
    <row r="76" spans="1:110">
      <c r="A76" s="173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3"/>
      <c r="Q76" s="53"/>
      <c r="R76" s="53"/>
      <c r="S76" s="53"/>
      <c r="T76" s="53"/>
      <c r="U76" s="53"/>
      <c r="V76" s="53"/>
      <c r="W76" s="53"/>
      <c r="X76" s="53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</row>
    <row r="77" spans="1:110">
      <c r="A77" s="205" t="str">
        <f ca="1">IF($R$51="","Team B Batting",$R$51&amp;" Batting")</f>
        <v>Justin Batting</v>
      </c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181"/>
      <c r="P77" s="182"/>
      <c r="Q77" s="182"/>
      <c r="R77" s="182"/>
      <c r="S77" s="182"/>
      <c r="T77" s="182"/>
      <c r="U77" s="182"/>
      <c r="V77" s="182"/>
      <c r="W77" s="182"/>
      <c r="X77" s="182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</row>
    <row r="78" spans="1:110">
      <c r="A78" s="167" t="s">
        <v>164</v>
      </c>
      <c r="B78" s="43" t="s">
        <v>39</v>
      </c>
      <c r="C78" s="43" t="s">
        <v>165</v>
      </c>
      <c r="D78" s="43" t="s">
        <v>166</v>
      </c>
      <c r="E78" s="43" t="s">
        <v>167</v>
      </c>
      <c r="F78" s="43" t="s">
        <v>168</v>
      </c>
      <c r="G78" s="43" t="s">
        <v>169</v>
      </c>
      <c r="H78" s="43" t="s">
        <v>170</v>
      </c>
      <c r="I78" s="43" t="s">
        <v>171</v>
      </c>
      <c r="J78" s="43" t="s">
        <v>172</v>
      </c>
      <c r="K78" s="43" t="s">
        <v>173</v>
      </c>
      <c r="L78" s="43" t="s">
        <v>174</v>
      </c>
      <c r="M78" s="43" t="s">
        <v>175</v>
      </c>
      <c r="N78" s="44" t="s">
        <v>161</v>
      </c>
      <c r="O78" s="44" t="s">
        <v>162</v>
      </c>
      <c r="P78" s="44" t="s">
        <v>176</v>
      </c>
      <c r="Q78" s="44" t="s">
        <v>177</v>
      </c>
      <c r="R78" s="44" t="s">
        <v>178</v>
      </c>
      <c r="S78" s="44" t="s">
        <v>179</v>
      </c>
      <c r="T78" s="44" t="s">
        <v>180</v>
      </c>
      <c r="U78" s="44" t="s">
        <v>181</v>
      </c>
      <c r="V78" s="44" t="s">
        <v>182</v>
      </c>
      <c r="W78" s="44" t="s">
        <v>183</v>
      </c>
      <c r="X78" s="45" t="s">
        <v>184</v>
      </c>
      <c r="Y78" s="43"/>
      <c r="Z78" s="43"/>
      <c r="AA78" s="43"/>
      <c r="AB78" s="43"/>
      <c r="AC78" s="43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</row>
    <row r="79" spans="1:110">
      <c r="A79" s="168">
        <v>1</v>
      </c>
      <c r="B79" s="47" t="str">
        <f ca="1">Lineups!$H$19</f>
        <v>Bowser Jr.</v>
      </c>
      <c r="C79" s="49" t="s">
        <v>186</v>
      </c>
      <c r="D79" s="49"/>
      <c r="E79" s="49" t="s">
        <v>176</v>
      </c>
      <c r="F79" s="49" t="s">
        <v>187</v>
      </c>
      <c r="G79" s="49"/>
      <c r="H79" s="50"/>
      <c r="I79" s="50"/>
      <c r="J79" s="50"/>
      <c r="K79" s="50"/>
      <c r="L79" s="50"/>
      <c r="M79" s="67">
        <f ca="1">IF($B79="","",SUM(_xlfn.XLOOKUP(C79,Lists!$P$2:$P$19,Lists!$R$2:$R$19,0),_xlfn.XLOOKUP(E79,Lists!$P$2:$P$19,Lists!$R$2:$R$19,0),_xlfn.XLOOKUP(G79,Lists!$P$2:$P$19,Lists!$R$2:$R$19,0),_xlfn.XLOOKUP(I79,Lists!$P$2:$P$19,Lists!$R$2:$R$19,0),_xlfn.XLOOKUP(K79,Lists!$P$2:$P$19,Lists!$R$2:$R$19,0)))</f>
        <v>2</v>
      </c>
      <c r="N79" s="68">
        <f ca="1">IF($B79="","",SUM(_xlfn.XLOOKUP(D79,Lists!$AC$2:$AC$9,Lists!$AE$2:$AE$9,0),_xlfn.XLOOKUP(F79,Lists!$AC$2:$AC$9,Lists!$AE$2:$AE$9,0),_xlfn.XLOOKUP(H79,Lists!$AC$2:$AC$9,Lists!$AE$2:$AE$9,0),_xlfn.XLOOKUP(J79,Lists!$AC$2:$AC$9,Lists!$AE$2:$AE$9,0),_xlfn.XLOOKUP(L79,Lists!$AC$2:$AC$9,Lists!$AE$2:$AE$9,0)))</f>
        <v>1</v>
      </c>
      <c r="O79" s="68">
        <f ca="1">IF($B79="","",SUM(_xlfn.XLOOKUP(C79,Lists!$P$2:$P$19,Lists!$S$2:$S$19,0),_xlfn.XLOOKUP(E79,Lists!$P$2:$P$19,Lists!$S$2:$S$19,0),_xlfn.XLOOKUP(G79,Lists!$P$2:$P$19,Lists!$S$2:$S$19,0),_xlfn.XLOOKUP(I79,Lists!$P$2:$P$19,Lists!$S$2:$S$19,0),_xlfn.XLOOKUP(K79,Lists!$P$2:$P$19,Lists!$S$2:$S$19,0)))</f>
        <v>1</v>
      </c>
      <c r="P79" s="68">
        <f ca="1">IF($B79="","",SUM(_xlfn.XLOOKUP(C79,Lists!$P$2:$P$19,Lists!$T$2:$T$19,0),_xlfn.XLOOKUP(E79,Lists!$P$2:$P$19,Lists!$T$2:$T$19,0),_xlfn.XLOOKUP(G79,Lists!$P$2:$P$19,Lists!$T$2:$T$19,0),_xlfn.XLOOKUP(I79,Lists!$P$2:$P$19,Lists!$T$2:$T$19,0),_xlfn.XLOOKUP(K79,Lists!$P$2:$P$19,Lists!$T$2:$T$19,0)))</f>
        <v>1</v>
      </c>
      <c r="Q79" s="68">
        <f ca="1">IF($B79="","",SUM(_xlfn.XLOOKUP(C79,Lists!$P$2:$P$19,Lists!$U$2:$U$19,0),_xlfn.XLOOKUP(E79,Lists!$P$2:$P$19,Lists!$U$2:$U$19,0),_xlfn.XLOOKUP(G79,Lists!$P$2:$P$19,Lists!$U$2:$U$19,0),_xlfn.XLOOKUP(I79,Lists!$P$2:$P$19,Lists!$U$2:$U$19,0),_xlfn.XLOOKUP(K79,Lists!$P$2:$P$19,Lists!$U$2:$U$19,0)))</f>
        <v>0</v>
      </c>
      <c r="R79" s="68">
        <f ca="1">IF($B79="","",SUM(_xlfn.XLOOKUP(C79,Lists!$P$2:$P$19,Lists!$V$2:$V$19,0),_xlfn.XLOOKUP(E79,Lists!$P$2:$P$19,Lists!$V$2:$V$19,0),_xlfn.XLOOKUP(G79,Lists!$P$2:$P$19,Lists!$V$2:$V$19,0),_xlfn.XLOOKUP(I79,Lists!$P$2:$P$19,Lists!$V$2:$V$19,0),_xlfn.XLOOKUP(K79,Lists!$P$2:$P$19,Lists!$V$2:$V$19,0)))</f>
        <v>0</v>
      </c>
      <c r="S79" s="68">
        <f ca="1">IF($B79="","",SUM(_xlfn.XLOOKUP(D79,Lists!$AC$2:$AC$9,Lists!$AD$2:$AD$9,0),_xlfn.XLOOKUP(F79,Lists!$AC$2:$AC$9,Lists!$AD$2:$AD$9,0),_xlfn.XLOOKUP(H79,Lists!$AC$2:$AC$9,Lists!$AD$2:$AD$9,0),_xlfn.XLOOKUP(J79,Lists!$AC$2:$AC$9,Lists!$AD$2:$AD$9,0),_xlfn.XLOOKUP(L79,Lists!$AC$2:$AC$9,Lists!$AD$2:$AD$9,0)))</f>
        <v>0</v>
      </c>
      <c r="T79" s="68">
        <f ca="1">IF($B79="","",SUM(_xlfn.XLOOKUP(C79,Lists!$P$2:$P$19,Lists!$W$2:$W$19,0),_xlfn.XLOOKUP(E79,Lists!$P$2:$P$19,Lists!$W$2:$W$19,0),_xlfn.XLOOKUP(G79,Lists!$P$2:$P$19,Lists!$W$2:$W$19,0),_xlfn.XLOOKUP(I79,Lists!$P$2:$P$19,Lists!$W$2:$W$19,0),_xlfn.XLOOKUP(K79,Lists!$P$2:$P$19,Lists!$W$2:$W$19,0)))</f>
        <v>0</v>
      </c>
      <c r="U79" s="68">
        <f ca="1">IF($B79="","",SUM(_xlfn.XLOOKUP(C79,Lists!$P$2:$P$19,Lists!$X$2:$X$19,0),_xlfn.XLOOKUP(E79,Lists!$P$2:$P$19,Lists!$X$2:$X$19,0),_xlfn.XLOOKUP(G79,Lists!$P$2:$P$19,Lists!$X$2:$X$19,0),_xlfn.XLOOKUP(I79,Lists!$P$2:$P$19,Lists!$X$2:$X$19,0),_xlfn.XLOOKUP(K79,Lists!$P$2:$P$19,Lists!$X$2:$X$19,0)))</f>
        <v>0</v>
      </c>
      <c r="V79" s="68">
        <f ca="1">IF($B79="","",SUM(_xlfn.XLOOKUP(C79,Lists!$P$2:$P$19,Lists!$Y$2:$Y$19,0),_xlfn.XLOOKUP(E79,Lists!$P$2:$P$19,Lists!$Y$2:$Y$19,0),_xlfn.XLOOKUP(G79,Lists!$P$2:$P$19,Lists!$Y$2:$Y$19,0),_xlfn.XLOOKUP(I79,Lists!$P$2:$P$19,Lists!$Y$2:$Y$19,0),_xlfn.XLOOKUP(K79,Lists!$P$2:$P$19,Lists!$Y$2:$Y$19,0)))</f>
        <v>0</v>
      </c>
      <c r="W79" s="68">
        <f ca="1">IF($B79="","",SUM(_xlfn.XLOOKUP(C79,Lists!$P$2:$P$19,Lists!$Z$2:$Z$19,0),_xlfn.XLOOKUP(E79,Lists!$P$2:$P$19,Lists!$Z$2:$Z$19,0),_xlfn.XLOOKUP(G79,Lists!$P$2:$P$19,Lists!$Z$2:$Z$19,0),_xlfn.XLOOKUP(I79,Lists!$P$2:$P$19,Lists!$Z$2:$Z$19,0),_xlfn.XLOOKUP(K79,Lists!$P$2:$P$19,Lists!$Z$2:$Z$19,0)))</f>
        <v>0</v>
      </c>
      <c r="X79" s="69">
        <f ca="1">IF($B79="","",SUM(_xlfn.XLOOKUP(C79,Lists!$P$2:$P$19,Lists!$AA$2:$AA$19,0),_xlfn.XLOOKUP(E79,Lists!$P$2:$P$19,Lists!$AA$2:$AA$19,0),_xlfn.XLOOKUP(G79,Lists!$P$2:$P$19,Lists!$AA$2:$AA$19,0),_xlfn.XLOOKUP(I79,Lists!$P$2:$P$19,Lists!$AA$2:$AA$19,0),_xlfn.XLOOKUP(K79,Lists!$P$2:$P$19,Lists!$AA$2:$AA$19,0)))</f>
        <v>0</v>
      </c>
      <c r="Y79" s="49"/>
      <c r="Z79" s="49"/>
      <c r="AA79" s="49"/>
      <c r="AB79" s="49"/>
      <c r="AC79" s="49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</row>
    <row r="80" spans="1:110">
      <c r="A80" s="168">
        <v>2</v>
      </c>
      <c r="B80" s="47" t="str">
        <f ca="1">Lineups!$H$20</f>
        <v>Kritter</v>
      </c>
      <c r="C80" s="49" t="s">
        <v>185</v>
      </c>
      <c r="D80" s="49"/>
      <c r="E80" s="49" t="s">
        <v>185</v>
      </c>
      <c r="F80" s="49"/>
      <c r="G80" s="49"/>
      <c r="H80" s="50"/>
      <c r="I80" s="50"/>
      <c r="J80" s="50"/>
      <c r="K80" s="50"/>
      <c r="L80" s="50"/>
      <c r="M80" s="67">
        <f ca="1">IF($B80="","",SUM(_xlfn.XLOOKUP(C80,Lists!$P$2:$P$19,Lists!$R$2:$R$19,0),_xlfn.XLOOKUP(E80,Lists!$P$2:$P$19,Lists!$R$2:$R$19,0),_xlfn.XLOOKUP(G80,Lists!$P$2:$P$19,Lists!$R$2:$R$19,0),_xlfn.XLOOKUP(I80,Lists!$P$2:$P$19,Lists!$R$2:$R$19,0),_xlfn.XLOOKUP(K80,Lists!$P$2:$P$19,Lists!$R$2:$R$19,0)))</f>
        <v>2</v>
      </c>
      <c r="N80" s="68">
        <f ca="1">IF($B80="","",SUM(_xlfn.XLOOKUP(D80,Lists!$AC$2:$AC$9,Lists!$AE$2:$AE$9,0),_xlfn.XLOOKUP(F80,Lists!$AC$2:$AC$9,Lists!$AE$2:$AE$9,0),_xlfn.XLOOKUP(H80,Lists!$AC$2:$AC$9,Lists!$AE$2:$AE$9,0),_xlfn.XLOOKUP(J80,Lists!$AC$2:$AC$9,Lists!$AE$2:$AE$9,0),_xlfn.XLOOKUP(L80,Lists!$AC$2:$AC$9,Lists!$AE$2:$AE$9,0)))</f>
        <v>0</v>
      </c>
      <c r="O80" s="68">
        <f ca="1">IF($B80="","",SUM(_xlfn.XLOOKUP(C80,Lists!$P$2:$P$19,Lists!$S$2:$S$19,0),_xlfn.XLOOKUP(E80,Lists!$P$2:$P$19,Lists!$S$2:$S$19,0),_xlfn.XLOOKUP(G80,Lists!$P$2:$P$19,Lists!$S$2:$S$19,0),_xlfn.XLOOKUP(I80,Lists!$P$2:$P$19,Lists!$S$2:$S$19,0),_xlfn.XLOOKUP(K80,Lists!$P$2:$P$19,Lists!$S$2:$S$19,0)))</f>
        <v>0</v>
      </c>
      <c r="P80" s="68">
        <f ca="1">IF($B80="","",SUM(_xlfn.XLOOKUP(C80,Lists!$P$2:$P$19,Lists!$T$2:$T$19,0),_xlfn.XLOOKUP(E80,Lists!$P$2:$P$19,Lists!$T$2:$T$19,0),_xlfn.XLOOKUP(G80,Lists!$P$2:$P$19,Lists!$T$2:$T$19,0),_xlfn.XLOOKUP(I80,Lists!$P$2:$P$19,Lists!$T$2:$T$19,0),_xlfn.XLOOKUP(K80,Lists!$P$2:$P$19,Lists!$T$2:$T$19,0)))</f>
        <v>0</v>
      </c>
      <c r="Q80" s="68">
        <f ca="1">IF($B80="","",SUM(_xlfn.XLOOKUP(C80,Lists!$P$2:$P$19,Lists!$U$2:$U$19,0),_xlfn.XLOOKUP(E80,Lists!$P$2:$P$19,Lists!$U$2:$U$19,0),_xlfn.XLOOKUP(G80,Lists!$P$2:$P$19,Lists!$U$2:$U$19,0),_xlfn.XLOOKUP(I80,Lists!$P$2:$P$19,Lists!$U$2:$U$19,0),_xlfn.XLOOKUP(K80,Lists!$P$2:$P$19,Lists!$U$2:$U$19,0)))</f>
        <v>0</v>
      </c>
      <c r="R80" s="68">
        <f ca="1">IF($B80="","",SUM(_xlfn.XLOOKUP(C80,Lists!$P$2:$P$19,Lists!$V$2:$V$19,0),_xlfn.XLOOKUP(E80,Lists!$P$2:$P$19,Lists!$V$2:$V$19,0),_xlfn.XLOOKUP(G80,Lists!$P$2:$P$19,Lists!$V$2:$V$19,0),_xlfn.XLOOKUP(I80,Lists!$P$2:$P$19,Lists!$V$2:$V$19,0),_xlfn.XLOOKUP(K80,Lists!$P$2:$P$19,Lists!$V$2:$V$19,0)))</f>
        <v>0</v>
      </c>
      <c r="S80" s="68">
        <f ca="1">IF($B80="","",SUM(_xlfn.XLOOKUP(D80,Lists!$AC$2:$AC$9,Lists!$AD$2:$AD$9,0),_xlfn.XLOOKUP(F80,Lists!$AC$2:$AC$9,Lists!$AD$2:$AD$9,0),_xlfn.XLOOKUP(H80,Lists!$AC$2:$AC$9,Lists!$AD$2:$AD$9,0),_xlfn.XLOOKUP(J80,Lists!$AC$2:$AC$9,Lists!$AD$2:$AD$9,0),_xlfn.XLOOKUP(L80,Lists!$AC$2:$AC$9,Lists!$AD$2:$AD$9,0)))</f>
        <v>0</v>
      </c>
      <c r="T80" s="68">
        <f ca="1">IF($B80="","",SUM(_xlfn.XLOOKUP(C80,Lists!$P$2:$P$19,Lists!$W$2:$W$19,0),_xlfn.XLOOKUP(E80,Lists!$P$2:$P$19,Lists!$W$2:$W$19,0),_xlfn.XLOOKUP(G80,Lists!$P$2:$P$19,Lists!$W$2:$W$19,0),_xlfn.XLOOKUP(I80,Lists!$P$2:$P$19,Lists!$W$2:$W$19,0),_xlfn.XLOOKUP(K80,Lists!$P$2:$P$19,Lists!$W$2:$W$19,0)))</f>
        <v>0</v>
      </c>
      <c r="U80" s="68">
        <f ca="1">IF($B80="","",SUM(_xlfn.XLOOKUP(C80,Lists!$P$2:$P$19,Lists!$X$2:$X$19,0),_xlfn.XLOOKUP(E80,Lists!$P$2:$P$19,Lists!$X$2:$X$19,0),_xlfn.XLOOKUP(G80,Lists!$P$2:$P$19,Lists!$X$2:$X$19,0),_xlfn.XLOOKUP(I80,Lists!$P$2:$P$19,Lists!$X$2:$X$19,0),_xlfn.XLOOKUP(K80,Lists!$P$2:$P$19,Lists!$X$2:$X$19,0)))</f>
        <v>2</v>
      </c>
      <c r="V80" s="68">
        <f ca="1">IF($B80="","",SUM(_xlfn.XLOOKUP(C80,Lists!$P$2:$P$19,Lists!$Y$2:$Y$19,0),_xlfn.XLOOKUP(E80,Lists!$P$2:$P$19,Lists!$Y$2:$Y$19,0),_xlfn.XLOOKUP(G80,Lists!$P$2:$P$19,Lists!$Y$2:$Y$19,0),_xlfn.XLOOKUP(I80,Lists!$P$2:$P$19,Lists!$Y$2:$Y$19,0),_xlfn.XLOOKUP(K80,Lists!$P$2:$P$19,Lists!$Y$2:$Y$19,0)))</f>
        <v>0</v>
      </c>
      <c r="W80" s="68">
        <f ca="1">IF($B80="","",SUM(_xlfn.XLOOKUP(C80,Lists!$P$2:$P$19,Lists!$Z$2:$Z$19,0),_xlfn.XLOOKUP(E80,Lists!$P$2:$P$19,Lists!$Z$2:$Z$19,0),_xlfn.XLOOKUP(G80,Lists!$P$2:$P$19,Lists!$Z$2:$Z$19,0),_xlfn.XLOOKUP(I80,Lists!$P$2:$P$19,Lists!$Z$2:$Z$19,0),_xlfn.XLOOKUP(K80,Lists!$P$2:$P$19,Lists!$Z$2:$Z$19,0)))</f>
        <v>0</v>
      </c>
      <c r="X80" s="69">
        <f ca="1">IF($B80="","",SUM(_xlfn.XLOOKUP(C80,Lists!$P$2:$P$19,Lists!$AA$2:$AA$19,0),_xlfn.XLOOKUP(E80,Lists!$P$2:$P$19,Lists!$AA$2:$AA$19,0),_xlfn.XLOOKUP(G80,Lists!$P$2:$P$19,Lists!$AA$2:$AA$19,0),_xlfn.XLOOKUP(I80,Lists!$P$2:$P$19,Lists!$AA$2:$AA$19,0),_xlfn.XLOOKUP(K80,Lists!$P$2:$P$19,Lists!$AA$2:$AA$19,0)))</f>
        <v>0</v>
      </c>
      <c r="Y80" s="49"/>
      <c r="Z80" s="49"/>
      <c r="AA80" s="49"/>
      <c r="AB80" s="49"/>
      <c r="AC80" s="49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</row>
    <row r="81" spans="1:110">
      <c r="A81" s="168">
        <v>3</v>
      </c>
      <c r="B81" s="47" t="str">
        <f ca="1">Lineups!$H$21</f>
        <v>Funky Kong</v>
      </c>
      <c r="C81" s="49" t="s">
        <v>185</v>
      </c>
      <c r="D81" s="49"/>
      <c r="E81" s="49" t="s">
        <v>178</v>
      </c>
      <c r="F81" s="49" t="s">
        <v>190</v>
      </c>
      <c r="G81" s="49"/>
      <c r="H81" s="50"/>
      <c r="I81" s="50"/>
      <c r="J81" s="50"/>
      <c r="K81" s="50"/>
      <c r="L81" s="50"/>
      <c r="M81" s="67">
        <f ca="1">IF($B81="","",SUM(_xlfn.XLOOKUP(C81,Lists!$P$2:$P$19,Lists!$R$2:$R$19,0),_xlfn.XLOOKUP(E81,Lists!$P$2:$P$19,Lists!$R$2:$R$19,0),_xlfn.XLOOKUP(G81,Lists!$P$2:$P$19,Lists!$R$2:$R$19,0),_xlfn.XLOOKUP(I81,Lists!$P$2:$P$19,Lists!$R$2:$R$19,0),_xlfn.XLOOKUP(K81,Lists!$P$2:$P$19,Lists!$R$2:$R$19,0)))</f>
        <v>2</v>
      </c>
      <c r="N81" s="68">
        <f ca="1">IF($B81="","",SUM(_xlfn.XLOOKUP(D81,Lists!$AC$2:$AC$9,Lists!$AE$2:$AE$9,0),_xlfn.XLOOKUP(F81,Lists!$AC$2:$AC$9,Lists!$AE$2:$AE$9,0),_xlfn.XLOOKUP(H81,Lists!$AC$2:$AC$9,Lists!$AE$2:$AE$9,0),_xlfn.XLOOKUP(J81,Lists!$AC$2:$AC$9,Lists!$AE$2:$AE$9,0),_xlfn.XLOOKUP(L81,Lists!$AC$2:$AC$9,Lists!$AE$2:$AE$9,0)))</f>
        <v>1</v>
      </c>
      <c r="O81" s="68">
        <f ca="1">IF($B81="","",SUM(_xlfn.XLOOKUP(C81,Lists!$P$2:$P$19,Lists!$S$2:$S$19,0),_xlfn.XLOOKUP(E81,Lists!$P$2:$P$19,Lists!$S$2:$S$19,0),_xlfn.XLOOKUP(G81,Lists!$P$2:$P$19,Lists!$S$2:$S$19,0),_xlfn.XLOOKUP(I81,Lists!$P$2:$P$19,Lists!$S$2:$S$19,0),_xlfn.XLOOKUP(K81,Lists!$P$2:$P$19,Lists!$S$2:$S$19,0)))</f>
        <v>1</v>
      </c>
      <c r="P81" s="68">
        <f ca="1">IF($B81="","",SUM(_xlfn.XLOOKUP(C81,Lists!$P$2:$P$19,Lists!$T$2:$T$19,0),_xlfn.XLOOKUP(E81,Lists!$P$2:$P$19,Lists!$T$2:$T$19,0),_xlfn.XLOOKUP(G81,Lists!$P$2:$P$19,Lists!$T$2:$T$19,0),_xlfn.XLOOKUP(I81,Lists!$P$2:$P$19,Lists!$T$2:$T$19,0),_xlfn.XLOOKUP(K81,Lists!$P$2:$P$19,Lists!$T$2:$T$19,0)))</f>
        <v>0</v>
      </c>
      <c r="Q81" s="68">
        <f ca="1">IF($B81="","",SUM(_xlfn.XLOOKUP(C81,Lists!$P$2:$P$19,Lists!$U$2:$U$19,0),_xlfn.XLOOKUP(E81,Lists!$P$2:$P$19,Lists!$U$2:$U$19,0),_xlfn.XLOOKUP(G81,Lists!$P$2:$P$19,Lists!$U$2:$U$19,0),_xlfn.XLOOKUP(I81,Lists!$P$2:$P$19,Lists!$U$2:$U$19,0),_xlfn.XLOOKUP(K81,Lists!$P$2:$P$19,Lists!$U$2:$U$19,0)))</f>
        <v>0</v>
      </c>
      <c r="R81" s="68">
        <f ca="1">IF($B81="","",SUM(_xlfn.XLOOKUP(C81,Lists!$P$2:$P$19,Lists!$V$2:$V$19,0),_xlfn.XLOOKUP(E81,Lists!$P$2:$P$19,Lists!$V$2:$V$19,0),_xlfn.XLOOKUP(G81,Lists!$P$2:$P$19,Lists!$V$2:$V$19,0),_xlfn.XLOOKUP(I81,Lists!$P$2:$P$19,Lists!$V$2:$V$19,0),_xlfn.XLOOKUP(K81,Lists!$P$2:$P$19,Lists!$V$2:$V$19,0)))</f>
        <v>1</v>
      </c>
      <c r="S81" s="68">
        <f ca="1">IF($B81="","",SUM(_xlfn.XLOOKUP(D81,Lists!$AC$2:$AC$9,Lists!$AD$2:$AD$9,0),_xlfn.XLOOKUP(F81,Lists!$AC$2:$AC$9,Lists!$AD$2:$AD$9,0),_xlfn.XLOOKUP(H81,Lists!$AC$2:$AC$9,Lists!$AD$2:$AD$9,0),_xlfn.XLOOKUP(J81,Lists!$AC$2:$AC$9,Lists!$AD$2:$AD$9,0),_xlfn.XLOOKUP(L81,Lists!$AC$2:$AC$9,Lists!$AD$2:$AD$9,0)))</f>
        <v>1</v>
      </c>
      <c r="T81" s="68">
        <f ca="1">IF($B81="","",SUM(_xlfn.XLOOKUP(C81,Lists!$P$2:$P$19,Lists!$W$2:$W$19,0),_xlfn.XLOOKUP(E81,Lists!$P$2:$P$19,Lists!$W$2:$W$19,0),_xlfn.XLOOKUP(G81,Lists!$P$2:$P$19,Lists!$W$2:$W$19,0),_xlfn.XLOOKUP(I81,Lists!$P$2:$P$19,Lists!$W$2:$W$19,0),_xlfn.XLOOKUP(K81,Lists!$P$2:$P$19,Lists!$W$2:$W$19,0)))</f>
        <v>0</v>
      </c>
      <c r="U81" s="68">
        <f ca="1">IF($B81="","",SUM(_xlfn.XLOOKUP(C81,Lists!$P$2:$P$19,Lists!$X$2:$X$19,0),_xlfn.XLOOKUP(E81,Lists!$P$2:$P$19,Lists!$X$2:$X$19,0),_xlfn.XLOOKUP(G81,Lists!$P$2:$P$19,Lists!$X$2:$X$19,0),_xlfn.XLOOKUP(I81,Lists!$P$2:$P$19,Lists!$X$2:$X$19,0),_xlfn.XLOOKUP(K81,Lists!$P$2:$P$19,Lists!$X$2:$X$19,0)))</f>
        <v>1</v>
      </c>
      <c r="V81" s="68">
        <f ca="1">IF($B81="","",SUM(_xlfn.XLOOKUP(C81,Lists!$P$2:$P$19,Lists!$Y$2:$Y$19,0),_xlfn.XLOOKUP(E81,Lists!$P$2:$P$19,Lists!$Y$2:$Y$19,0),_xlfn.XLOOKUP(G81,Lists!$P$2:$P$19,Lists!$Y$2:$Y$19,0),_xlfn.XLOOKUP(I81,Lists!$P$2:$P$19,Lists!$Y$2:$Y$19,0),_xlfn.XLOOKUP(K81,Lists!$P$2:$P$19,Lists!$Y$2:$Y$19,0)))</f>
        <v>0</v>
      </c>
      <c r="W81" s="68">
        <f ca="1">IF($B81="","",SUM(_xlfn.XLOOKUP(C81,Lists!$P$2:$P$19,Lists!$Z$2:$Z$19,0),_xlfn.XLOOKUP(E81,Lists!$P$2:$P$19,Lists!$Z$2:$Z$19,0),_xlfn.XLOOKUP(G81,Lists!$P$2:$P$19,Lists!$Z$2:$Z$19,0),_xlfn.XLOOKUP(I81,Lists!$P$2:$P$19,Lists!$Z$2:$Z$19,0),_xlfn.XLOOKUP(K81,Lists!$P$2:$P$19,Lists!$Z$2:$Z$19,0)))</f>
        <v>0</v>
      </c>
      <c r="X81" s="69">
        <f ca="1">IF($B81="","",SUM(_xlfn.XLOOKUP(C81,Lists!$P$2:$P$19,Lists!$AA$2:$AA$19,0),_xlfn.XLOOKUP(E81,Lists!$P$2:$P$19,Lists!$AA$2:$AA$19,0),_xlfn.XLOOKUP(G81,Lists!$P$2:$P$19,Lists!$AA$2:$AA$19,0),_xlfn.XLOOKUP(I81,Lists!$P$2:$P$19,Lists!$AA$2:$AA$19,0),_xlfn.XLOOKUP(K81,Lists!$P$2:$P$19,Lists!$AA$2:$AA$19,0)))</f>
        <v>0</v>
      </c>
      <c r="Y81" s="49"/>
      <c r="Z81" s="49"/>
      <c r="AA81" s="49"/>
      <c r="AB81" s="49"/>
      <c r="AC81" s="49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</row>
    <row r="82" spans="1:110">
      <c r="A82" s="168">
        <v>4</v>
      </c>
      <c r="B82" s="47" t="str">
        <f ca="1">Lineups!$H$22</f>
        <v>Red Pianta</v>
      </c>
      <c r="C82" s="49" t="s">
        <v>186</v>
      </c>
      <c r="D82" s="49"/>
      <c r="E82" s="49" t="s">
        <v>185</v>
      </c>
      <c r="F82" s="49"/>
      <c r="G82" s="49"/>
      <c r="H82" s="50"/>
      <c r="I82" s="50"/>
      <c r="J82" s="50"/>
      <c r="K82" s="50"/>
      <c r="L82" s="50"/>
      <c r="M82" s="67">
        <f ca="1">IF($B82="","",SUM(_xlfn.XLOOKUP(C82,Lists!$P$2:$P$19,Lists!$R$2:$R$19,0),_xlfn.XLOOKUP(E82,Lists!$P$2:$P$19,Lists!$R$2:$R$19,0),_xlfn.XLOOKUP(G82,Lists!$P$2:$P$19,Lists!$R$2:$R$19,0),_xlfn.XLOOKUP(I82,Lists!$P$2:$P$19,Lists!$R$2:$R$19,0),_xlfn.XLOOKUP(K82,Lists!$P$2:$P$19,Lists!$R$2:$R$19,0)))</f>
        <v>2</v>
      </c>
      <c r="N82" s="68">
        <f ca="1">IF($B82="","",SUM(_xlfn.XLOOKUP(D82,Lists!$AC$2:$AC$9,Lists!$AE$2:$AE$9,0),_xlfn.XLOOKUP(F82,Lists!$AC$2:$AC$9,Lists!$AE$2:$AE$9,0),_xlfn.XLOOKUP(H82,Lists!$AC$2:$AC$9,Lists!$AE$2:$AE$9,0),_xlfn.XLOOKUP(J82,Lists!$AC$2:$AC$9,Lists!$AE$2:$AE$9,0),_xlfn.XLOOKUP(L82,Lists!$AC$2:$AC$9,Lists!$AE$2:$AE$9,0)))</f>
        <v>0</v>
      </c>
      <c r="O82" s="68">
        <f ca="1">IF($B82="","",SUM(_xlfn.XLOOKUP(C82,Lists!$P$2:$P$19,Lists!$S$2:$S$19,0),_xlfn.XLOOKUP(E82,Lists!$P$2:$P$19,Lists!$S$2:$S$19,0),_xlfn.XLOOKUP(G82,Lists!$P$2:$P$19,Lists!$S$2:$S$19,0),_xlfn.XLOOKUP(I82,Lists!$P$2:$P$19,Lists!$S$2:$S$19,0),_xlfn.XLOOKUP(K82,Lists!$P$2:$P$19,Lists!$S$2:$S$19,0)))</f>
        <v>0</v>
      </c>
      <c r="P82" s="68">
        <f ca="1">IF($B82="","",SUM(_xlfn.XLOOKUP(C82,Lists!$P$2:$P$19,Lists!$T$2:$T$19,0),_xlfn.XLOOKUP(E82,Lists!$P$2:$P$19,Lists!$T$2:$T$19,0),_xlfn.XLOOKUP(G82,Lists!$P$2:$P$19,Lists!$T$2:$T$19,0),_xlfn.XLOOKUP(I82,Lists!$P$2:$P$19,Lists!$T$2:$T$19,0),_xlfn.XLOOKUP(K82,Lists!$P$2:$P$19,Lists!$T$2:$T$19,0)))</f>
        <v>0</v>
      </c>
      <c r="Q82" s="68">
        <f ca="1">IF($B82="","",SUM(_xlfn.XLOOKUP(C82,Lists!$P$2:$P$19,Lists!$U$2:$U$19,0),_xlfn.XLOOKUP(E82,Lists!$P$2:$P$19,Lists!$U$2:$U$19,0),_xlfn.XLOOKUP(G82,Lists!$P$2:$P$19,Lists!$U$2:$U$19,0),_xlfn.XLOOKUP(I82,Lists!$P$2:$P$19,Lists!$U$2:$U$19,0),_xlfn.XLOOKUP(K82,Lists!$P$2:$P$19,Lists!$U$2:$U$19,0)))</f>
        <v>0</v>
      </c>
      <c r="R82" s="68">
        <f ca="1">IF($B82="","",SUM(_xlfn.XLOOKUP(C82,Lists!$P$2:$P$19,Lists!$V$2:$V$19,0),_xlfn.XLOOKUP(E82,Lists!$P$2:$P$19,Lists!$V$2:$V$19,0),_xlfn.XLOOKUP(G82,Lists!$P$2:$P$19,Lists!$V$2:$V$19,0),_xlfn.XLOOKUP(I82,Lists!$P$2:$P$19,Lists!$V$2:$V$19,0),_xlfn.XLOOKUP(K82,Lists!$P$2:$P$19,Lists!$V$2:$V$19,0)))</f>
        <v>0</v>
      </c>
      <c r="S82" s="68">
        <f ca="1">IF($B82="","",SUM(_xlfn.XLOOKUP(D82,Lists!$AC$2:$AC$9,Lists!$AD$2:$AD$9,0),_xlfn.XLOOKUP(F82,Lists!$AC$2:$AC$9,Lists!$AD$2:$AD$9,0),_xlfn.XLOOKUP(H82,Lists!$AC$2:$AC$9,Lists!$AD$2:$AD$9,0),_xlfn.XLOOKUP(J82,Lists!$AC$2:$AC$9,Lists!$AD$2:$AD$9,0),_xlfn.XLOOKUP(L82,Lists!$AC$2:$AC$9,Lists!$AD$2:$AD$9,0)))</f>
        <v>0</v>
      </c>
      <c r="T82" s="68">
        <f ca="1">IF($B82="","",SUM(_xlfn.XLOOKUP(C82,Lists!$P$2:$P$19,Lists!$W$2:$W$19,0),_xlfn.XLOOKUP(E82,Lists!$P$2:$P$19,Lists!$W$2:$W$19,0),_xlfn.XLOOKUP(G82,Lists!$P$2:$P$19,Lists!$W$2:$W$19,0),_xlfn.XLOOKUP(I82,Lists!$P$2:$P$19,Lists!$W$2:$W$19,0),_xlfn.XLOOKUP(K82,Lists!$P$2:$P$19,Lists!$W$2:$W$19,0)))</f>
        <v>0</v>
      </c>
      <c r="U82" s="68">
        <f ca="1">IF($B82="","",SUM(_xlfn.XLOOKUP(C82,Lists!$P$2:$P$19,Lists!$X$2:$X$19,0),_xlfn.XLOOKUP(E82,Lists!$P$2:$P$19,Lists!$X$2:$X$19,0),_xlfn.XLOOKUP(G82,Lists!$P$2:$P$19,Lists!$X$2:$X$19,0),_xlfn.XLOOKUP(I82,Lists!$P$2:$P$19,Lists!$X$2:$X$19,0),_xlfn.XLOOKUP(K82,Lists!$P$2:$P$19,Lists!$X$2:$X$19,0)))</f>
        <v>1</v>
      </c>
      <c r="V82" s="68">
        <f ca="1">IF($B82="","",SUM(_xlfn.XLOOKUP(C82,Lists!$P$2:$P$19,Lists!$Y$2:$Y$19,0),_xlfn.XLOOKUP(E82,Lists!$P$2:$P$19,Lists!$Y$2:$Y$19,0),_xlfn.XLOOKUP(G82,Lists!$P$2:$P$19,Lists!$Y$2:$Y$19,0),_xlfn.XLOOKUP(I82,Lists!$P$2:$P$19,Lists!$Y$2:$Y$19,0),_xlfn.XLOOKUP(K82,Lists!$P$2:$P$19,Lists!$Y$2:$Y$19,0)))</f>
        <v>0</v>
      </c>
      <c r="W82" s="68">
        <f ca="1">IF($B82="","",SUM(_xlfn.XLOOKUP(C82,Lists!$P$2:$P$19,Lists!$Z$2:$Z$19,0),_xlfn.XLOOKUP(E82,Lists!$P$2:$P$19,Lists!$Z$2:$Z$19,0),_xlfn.XLOOKUP(G82,Lists!$P$2:$P$19,Lists!$Z$2:$Z$19,0),_xlfn.XLOOKUP(I82,Lists!$P$2:$P$19,Lists!$Z$2:$Z$19,0),_xlfn.XLOOKUP(K82,Lists!$P$2:$P$19,Lists!$Z$2:$Z$19,0)))</f>
        <v>0</v>
      </c>
      <c r="X82" s="69">
        <f ca="1">IF($B82="","",SUM(_xlfn.XLOOKUP(C82,Lists!$P$2:$P$19,Lists!$AA$2:$AA$19,0),_xlfn.XLOOKUP(E82,Lists!$P$2:$P$19,Lists!$AA$2:$AA$19,0),_xlfn.XLOOKUP(G82,Lists!$P$2:$P$19,Lists!$AA$2:$AA$19,0),_xlfn.XLOOKUP(I82,Lists!$P$2:$P$19,Lists!$AA$2:$AA$19,0),_xlfn.XLOOKUP(K82,Lists!$P$2:$P$19,Lists!$AA$2:$AA$19,0)))</f>
        <v>0</v>
      </c>
      <c r="Y82" s="49"/>
      <c r="Z82" s="49"/>
      <c r="AA82" s="49"/>
      <c r="AB82" s="49"/>
      <c r="AC82" s="49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</row>
    <row r="83" spans="1:110">
      <c r="A83" s="168">
        <v>5</v>
      </c>
      <c r="B83" s="47" t="str">
        <f ca="1">Lineups!$H$23</f>
        <v>Blue Yoshi</v>
      </c>
      <c r="C83" s="49" t="s">
        <v>186</v>
      </c>
      <c r="D83" s="49"/>
      <c r="E83" s="49" t="s">
        <v>186</v>
      </c>
      <c r="F83" s="49"/>
      <c r="G83" s="49"/>
      <c r="H83" s="50"/>
      <c r="I83" s="50"/>
      <c r="J83" s="50"/>
      <c r="K83" s="50"/>
      <c r="L83" s="50"/>
      <c r="M83" s="67">
        <f ca="1">IF($B83="","",SUM(_xlfn.XLOOKUP(C83,Lists!$P$2:$P$19,Lists!$R$2:$R$19,0),_xlfn.XLOOKUP(E83,Lists!$P$2:$P$19,Lists!$R$2:$R$19,0),_xlfn.XLOOKUP(G83,Lists!$P$2:$P$19,Lists!$R$2:$R$19,0),_xlfn.XLOOKUP(I83,Lists!$P$2:$P$19,Lists!$R$2:$R$19,0),_xlfn.XLOOKUP(K83,Lists!$P$2:$P$19,Lists!$R$2:$R$19,0)))</f>
        <v>2</v>
      </c>
      <c r="N83" s="68">
        <f ca="1">IF($B83="","",SUM(_xlfn.XLOOKUP(D83,Lists!$AC$2:$AC$9,Lists!$AE$2:$AE$9,0),_xlfn.XLOOKUP(F83,Lists!$AC$2:$AC$9,Lists!$AE$2:$AE$9,0),_xlfn.XLOOKUP(H83,Lists!$AC$2:$AC$9,Lists!$AE$2:$AE$9,0),_xlfn.XLOOKUP(J83,Lists!$AC$2:$AC$9,Lists!$AE$2:$AE$9,0),_xlfn.XLOOKUP(L83,Lists!$AC$2:$AC$9,Lists!$AE$2:$AE$9,0)))</f>
        <v>0</v>
      </c>
      <c r="O83" s="68">
        <f ca="1">IF($B83="","",SUM(_xlfn.XLOOKUP(C83,Lists!$P$2:$P$19,Lists!$S$2:$S$19,0),_xlfn.XLOOKUP(E83,Lists!$P$2:$P$19,Lists!$S$2:$S$19,0),_xlfn.XLOOKUP(G83,Lists!$P$2:$P$19,Lists!$S$2:$S$19,0),_xlfn.XLOOKUP(I83,Lists!$P$2:$P$19,Lists!$S$2:$S$19,0),_xlfn.XLOOKUP(K83,Lists!$P$2:$P$19,Lists!$S$2:$S$19,0)))</f>
        <v>0</v>
      </c>
      <c r="P83" s="68">
        <f ca="1">IF($B83="","",SUM(_xlfn.XLOOKUP(C83,Lists!$P$2:$P$19,Lists!$T$2:$T$19,0),_xlfn.XLOOKUP(E83,Lists!$P$2:$P$19,Lists!$T$2:$T$19,0),_xlfn.XLOOKUP(G83,Lists!$P$2:$P$19,Lists!$T$2:$T$19,0),_xlfn.XLOOKUP(I83,Lists!$P$2:$P$19,Lists!$T$2:$T$19,0),_xlfn.XLOOKUP(K83,Lists!$P$2:$P$19,Lists!$T$2:$T$19,0)))</f>
        <v>0</v>
      </c>
      <c r="Q83" s="68">
        <f ca="1">IF($B83="","",SUM(_xlfn.XLOOKUP(C83,Lists!$P$2:$P$19,Lists!$U$2:$U$19,0),_xlfn.XLOOKUP(E83,Lists!$P$2:$P$19,Lists!$U$2:$U$19,0),_xlfn.XLOOKUP(G83,Lists!$P$2:$P$19,Lists!$U$2:$U$19,0),_xlfn.XLOOKUP(I83,Lists!$P$2:$P$19,Lists!$U$2:$U$19,0),_xlfn.XLOOKUP(K83,Lists!$P$2:$P$19,Lists!$U$2:$U$19,0)))</f>
        <v>0</v>
      </c>
      <c r="R83" s="68">
        <f ca="1">IF($B83="","",SUM(_xlfn.XLOOKUP(C83,Lists!$P$2:$P$19,Lists!$V$2:$V$19,0),_xlfn.XLOOKUP(E83,Lists!$P$2:$P$19,Lists!$V$2:$V$19,0),_xlfn.XLOOKUP(G83,Lists!$P$2:$P$19,Lists!$V$2:$V$19,0),_xlfn.XLOOKUP(I83,Lists!$P$2:$P$19,Lists!$V$2:$V$19,0),_xlfn.XLOOKUP(K83,Lists!$P$2:$P$19,Lists!$V$2:$V$19,0)))</f>
        <v>0</v>
      </c>
      <c r="S83" s="68">
        <f ca="1">IF($B83="","",SUM(_xlfn.XLOOKUP(D83,Lists!$AC$2:$AC$9,Lists!$AD$2:$AD$9,0),_xlfn.XLOOKUP(F83,Lists!$AC$2:$AC$9,Lists!$AD$2:$AD$9,0),_xlfn.XLOOKUP(H83,Lists!$AC$2:$AC$9,Lists!$AD$2:$AD$9,0),_xlfn.XLOOKUP(J83,Lists!$AC$2:$AC$9,Lists!$AD$2:$AD$9,0),_xlfn.XLOOKUP(L83,Lists!$AC$2:$AC$9,Lists!$AD$2:$AD$9,0)))</f>
        <v>0</v>
      </c>
      <c r="T83" s="68">
        <f ca="1">IF($B83="","",SUM(_xlfn.XLOOKUP(C83,Lists!$P$2:$P$19,Lists!$W$2:$W$19,0),_xlfn.XLOOKUP(E83,Lists!$P$2:$P$19,Lists!$W$2:$W$19,0),_xlfn.XLOOKUP(G83,Lists!$P$2:$P$19,Lists!$W$2:$W$19,0),_xlfn.XLOOKUP(I83,Lists!$P$2:$P$19,Lists!$W$2:$W$19,0),_xlfn.XLOOKUP(K83,Lists!$P$2:$P$19,Lists!$W$2:$W$19,0)))</f>
        <v>0</v>
      </c>
      <c r="U83" s="68">
        <f ca="1">IF($B83="","",SUM(_xlfn.XLOOKUP(C83,Lists!$P$2:$P$19,Lists!$X$2:$X$19,0),_xlfn.XLOOKUP(E83,Lists!$P$2:$P$19,Lists!$X$2:$X$19,0),_xlfn.XLOOKUP(G83,Lists!$P$2:$P$19,Lists!$X$2:$X$19,0),_xlfn.XLOOKUP(I83,Lists!$P$2:$P$19,Lists!$X$2:$X$19,0),_xlfn.XLOOKUP(K83,Lists!$P$2:$P$19,Lists!$X$2:$X$19,0)))</f>
        <v>0</v>
      </c>
      <c r="V83" s="68">
        <f ca="1">IF($B83="","",SUM(_xlfn.XLOOKUP(C83,Lists!$P$2:$P$19,Lists!$Y$2:$Y$19,0),_xlfn.XLOOKUP(E83,Lists!$P$2:$P$19,Lists!$Y$2:$Y$19,0),_xlfn.XLOOKUP(G83,Lists!$P$2:$P$19,Lists!$Y$2:$Y$19,0),_xlfn.XLOOKUP(I83,Lists!$P$2:$P$19,Lists!$Y$2:$Y$19,0),_xlfn.XLOOKUP(K83,Lists!$P$2:$P$19,Lists!$Y$2:$Y$19,0)))</f>
        <v>0</v>
      </c>
      <c r="W83" s="68">
        <f ca="1">IF($B83="","",SUM(_xlfn.XLOOKUP(C83,Lists!$P$2:$P$19,Lists!$Z$2:$Z$19,0),_xlfn.XLOOKUP(E83,Lists!$P$2:$P$19,Lists!$Z$2:$Z$19,0),_xlfn.XLOOKUP(G83,Lists!$P$2:$P$19,Lists!$Z$2:$Z$19,0),_xlfn.XLOOKUP(I83,Lists!$P$2:$P$19,Lists!$Z$2:$Z$19,0),_xlfn.XLOOKUP(K83,Lists!$P$2:$P$19,Lists!$Z$2:$Z$19,0)))</f>
        <v>0</v>
      </c>
      <c r="X83" s="69">
        <f ca="1">IF($B83="","",SUM(_xlfn.XLOOKUP(C83,Lists!$P$2:$P$19,Lists!$AA$2:$AA$19,0),_xlfn.XLOOKUP(E83,Lists!$P$2:$P$19,Lists!$AA$2:$AA$19,0),_xlfn.XLOOKUP(G83,Lists!$P$2:$P$19,Lists!$AA$2:$AA$19,0),_xlfn.XLOOKUP(I83,Lists!$P$2:$P$19,Lists!$AA$2:$AA$19,0),_xlfn.XLOOKUP(K83,Lists!$P$2:$P$19,Lists!$AA$2:$AA$19,0)))</f>
        <v>0</v>
      </c>
      <c r="Y83" s="49"/>
      <c r="Z83" s="49"/>
      <c r="AA83" s="49"/>
      <c r="AB83" s="49"/>
      <c r="AC83" s="49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</row>
    <row r="84" spans="1:110">
      <c r="A84" s="168">
        <v>6</v>
      </c>
      <c r="B84" s="47" t="str">
        <f ca="1">Lineups!$H$24</f>
        <v>Baby Luigi</v>
      </c>
      <c r="C84" s="49" t="s">
        <v>188</v>
      </c>
      <c r="D84" s="49"/>
      <c r="E84" s="49"/>
      <c r="F84" s="49"/>
      <c r="G84" s="49"/>
      <c r="H84" s="50"/>
      <c r="I84" s="50"/>
      <c r="J84" s="50"/>
      <c r="K84" s="50"/>
      <c r="L84" s="50"/>
      <c r="M84" s="67">
        <f ca="1">IF($B84="","",SUM(_xlfn.XLOOKUP(C84,Lists!$P$2:$P$19,Lists!$R$2:$R$19,0),_xlfn.XLOOKUP(E84,Lists!$P$2:$P$19,Lists!$R$2:$R$19,0),_xlfn.XLOOKUP(G84,Lists!$P$2:$P$19,Lists!$R$2:$R$19,0),_xlfn.XLOOKUP(I84,Lists!$P$2:$P$19,Lists!$R$2:$R$19,0),_xlfn.XLOOKUP(K84,Lists!$P$2:$P$19,Lists!$R$2:$R$19,0)))</f>
        <v>1</v>
      </c>
      <c r="N84" s="68">
        <f ca="1">IF($B84="","",SUM(_xlfn.XLOOKUP(D84,Lists!$AC$2:$AC$9,Lists!$AE$2:$AE$9,0),_xlfn.XLOOKUP(F84,Lists!$AC$2:$AC$9,Lists!$AE$2:$AE$9,0),_xlfn.XLOOKUP(H84,Lists!$AC$2:$AC$9,Lists!$AE$2:$AE$9,0),_xlfn.XLOOKUP(J84,Lists!$AC$2:$AC$9,Lists!$AE$2:$AE$9,0),_xlfn.XLOOKUP(L84,Lists!$AC$2:$AC$9,Lists!$AE$2:$AE$9,0)))</f>
        <v>0</v>
      </c>
      <c r="O84" s="68">
        <f ca="1">IF($B84="","",SUM(_xlfn.XLOOKUP(C84,Lists!$P$2:$P$19,Lists!$S$2:$S$19,0),_xlfn.XLOOKUP(E84,Lists!$P$2:$P$19,Lists!$S$2:$S$19,0),_xlfn.XLOOKUP(G84,Lists!$P$2:$P$19,Lists!$S$2:$S$19,0),_xlfn.XLOOKUP(I84,Lists!$P$2:$P$19,Lists!$S$2:$S$19,0),_xlfn.XLOOKUP(K84,Lists!$P$2:$P$19,Lists!$S$2:$S$19,0)))</f>
        <v>1</v>
      </c>
      <c r="P84" s="68">
        <f ca="1">IF($B84="","",SUM(_xlfn.XLOOKUP(C84,Lists!$P$2:$P$19,Lists!$T$2:$T$19,0),_xlfn.XLOOKUP(E84,Lists!$P$2:$P$19,Lists!$T$2:$T$19,0),_xlfn.XLOOKUP(G84,Lists!$P$2:$P$19,Lists!$T$2:$T$19,0),_xlfn.XLOOKUP(I84,Lists!$P$2:$P$19,Lists!$T$2:$T$19,0),_xlfn.XLOOKUP(K84,Lists!$P$2:$P$19,Lists!$T$2:$T$19,0)))</f>
        <v>0</v>
      </c>
      <c r="Q84" s="68">
        <f ca="1">IF($B84="","",SUM(_xlfn.XLOOKUP(C84,Lists!$P$2:$P$19,Lists!$U$2:$U$19,0),_xlfn.XLOOKUP(E84,Lists!$P$2:$P$19,Lists!$U$2:$U$19,0),_xlfn.XLOOKUP(G84,Lists!$P$2:$P$19,Lists!$U$2:$U$19,0),_xlfn.XLOOKUP(I84,Lists!$P$2:$P$19,Lists!$U$2:$U$19,0),_xlfn.XLOOKUP(K84,Lists!$P$2:$P$19,Lists!$U$2:$U$19,0)))</f>
        <v>0</v>
      </c>
      <c r="R84" s="68">
        <f ca="1">IF($B84="","",SUM(_xlfn.XLOOKUP(C84,Lists!$P$2:$P$19,Lists!$V$2:$V$19,0),_xlfn.XLOOKUP(E84,Lists!$P$2:$P$19,Lists!$V$2:$V$19,0),_xlfn.XLOOKUP(G84,Lists!$P$2:$P$19,Lists!$V$2:$V$19,0),_xlfn.XLOOKUP(I84,Lists!$P$2:$P$19,Lists!$V$2:$V$19,0),_xlfn.XLOOKUP(K84,Lists!$P$2:$P$19,Lists!$V$2:$V$19,0)))</f>
        <v>0</v>
      </c>
      <c r="S84" s="68">
        <f ca="1">IF($B84="","",SUM(_xlfn.XLOOKUP(D84,Lists!$AC$2:$AC$9,Lists!$AD$2:$AD$9,0),_xlfn.XLOOKUP(F84,Lists!$AC$2:$AC$9,Lists!$AD$2:$AD$9,0),_xlfn.XLOOKUP(H84,Lists!$AC$2:$AC$9,Lists!$AD$2:$AD$9,0),_xlfn.XLOOKUP(J84,Lists!$AC$2:$AC$9,Lists!$AD$2:$AD$9,0),_xlfn.XLOOKUP(L84,Lists!$AC$2:$AC$9,Lists!$AD$2:$AD$9,0)))</f>
        <v>0</v>
      </c>
      <c r="T84" s="68">
        <f ca="1">IF($B84="","",SUM(_xlfn.XLOOKUP(C84,Lists!$P$2:$P$19,Lists!$W$2:$W$19,0),_xlfn.XLOOKUP(E84,Lists!$P$2:$P$19,Lists!$W$2:$W$19,0),_xlfn.XLOOKUP(G84,Lists!$P$2:$P$19,Lists!$W$2:$W$19,0),_xlfn.XLOOKUP(I84,Lists!$P$2:$P$19,Lists!$W$2:$W$19,0),_xlfn.XLOOKUP(K84,Lists!$P$2:$P$19,Lists!$W$2:$W$19,0)))</f>
        <v>0</v>
      </c>
      <c r="U84" s="68">
        <f ca="1">IF($B84="","",SUM(_xlfn.XLOOKUP(C84,Lists!$P$2:$P$19,Lists!$X$2:$X$19,0),_xlfn.XLOOKUP(E84,Lists!$P$2:$P$19,Lists!$X$2:$X$19,0),_xlfn.XLOOKUP(G84,Lists!$P$2:$P$19,Lists!$X$2:$X$19,0),_xlfn.XLOOKUP(I84,Lists!$P$2:$P$19,Lists!$X$2:$X$19,0),_xlfn.XLOOKUP(K84,Lists!$P$2:$P$19,Lists!$X$2:$X$19,0)))</f>
        <v>0</v>
      </c>
      <c r="V84" s="68">
        <f ca="1">IF($B84="","",SUM(_xlfn.XLOOKUP(C84,Lists!$P$2:$P$19,Lists!$Y$2:$Y$19,0),_xlfn.XLOOKUP(E84,Lists!$P$2:$P$19,Lists!$Y$2:$Y$19,0),_xlfn.XLOOKUP(G84,Lists!$P$2:$P$19,Lists!$Y$2:$Y$19,0),_xlfn.XLOOKUP(I84,Lists!$P$2:$P$19,Lists!$Y$2:$Y$19,0),_xlfn.XLOOKUP(K84,Lists!$P$2:$P$19,Lists!$Y$2:$Y$19,0)))</f>
        <v>0</v>
      </c>
      <c r="W84" s="68">
        <f ca="1">IF($B84="","",SUM(_xlfn.XLOOKUP(C84,Lists!$P$2:$P$19,Lists!$Z$2:$Z$19,0),_xlfn.XLOOKUP(E84,Lists!$P$2:$P$19,Lists!$Z$2:$Z$19,0),_xlfn.XLOOKUP(G84,Lists!$P$2:$P$19,Lists!$Z$2:$Z$19,0),_xlfn.XLOOKUP(I84,Lists!$P$2:$P$19,Lists!$Z$2:$Z$19,0),_xlfn.XLOOKUP(K84,Lists!$P$2:$P$19,Lists!$Z$2:$Z$19,0)))</f>
        <v>0</v>
      </c>
      <c r="X84" s="69">
        <f ca="1">IF($B84="","",SUM(_xlfn.XLOOKUP(C84,Lists!$P$2:$P$19,Lists!$AA$2:$AA$19,0),_xlfn.XLOOKUP(E84,Lists!$P$2:$P$19,Lists!$AA$2:$AA$19,0),_xlfn.XLOOKUP(G84,Lists!$P$2:$P$19,Lists!$AA$2:$AA$19,0),_xlfn.XLOOKUP(I84,Lists!$P$2:$P$19,Lists!$AA$2:$AA$19,0),_xlfn.XLOOKUP(K84,Lists!$P$2:$P$19,Lists!$AA$2:$AA$19,0)))</f>
        <v>0</v>
      </c>
      <c r="Y84" s="49"/>
      <c r="Z84" s="49"/>
      <c r="AA84" s="49"/>
      <c r="AB84" s="49"/>
      <c r="AC84" s="49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</row>
    <row r="85" spans="1:110">
      <c r="A85" s="168">
        <v>7</v>
      </c>
      <c r="B85" s="47" t="str">
        <f ca="1">Lineups!$H$25</f>
        <v>Paratroopa</v>
      </c>
      <c r="C85" s="49" t="s">
        <v>185</v>
      </c>
      <c r="D85" s="49"/>
      <c r="E85" s="49"/>
      <c r="F85" s="49"/>
      <c r="G85" s="49"/>
      <c r="H85" s="50"/>
      <c r="I85" s="50"/>
      <c r="J85" s="50"/>
      <c r="K85" s="50"/>
      <c r="L85" s="50"/>
      <c r="M85" s="67">
        <f ca="1">IF($B85="","",SUM(_xlfn.XLOOKUP(C85,Lists!$P$2:$P$19,Lists!$R$2:$R$19,0),_xlfn.XLOOKUP(E85,Lists!$P$2:$P$19,Lists!$R$2:$R$19,0),_xlfn.XLOOKUP(G85,Lists!$P$2:$P$19,Lists!$R$2:$R$19,0),_xlfn.XLOOKUP(I85,Lists!$P$2:$P$19,Lists!$R$2:$R$19,0),_xlfn.XLOOKUP(K85,Lists!$P$2:$P$19,Lists!$R$2:$R$19,0)))</f>
        <v>1</v>
      </c>
      <c r="N85" s="68">
        <f ca="1">IF($B85="","",SUM(_xlfn.XLOOKUP(D85,Lists!$AC$2:$AC$9,Lists!$AE$2:$AE$9,0),_xlfn.XLOOKUP(F85,Lists!$AC$2:$AC$9,Lists!$AE$2:$AE$9,0),_xlfn.XLOOKUP(H85,Lists!$AC$2:$AC$9,Lists!$AE$2:$AE$9,0),_xlfn.XLOOKUP(J85,Lists!$AC$2:$AC$9,Lists!$AE$2:$AE$9,0),_xlfn.XLOOKUP(L85,Lists!$AC$2:$AC$9,Lists!$AE$2:$AE$9,0)))</f>
        <v>0</v>
      </c>
      <c r="O85" s="68">
        <f ca="1">IF($B85="","",SUM(_xlfn.XLOOKUP(C85,Lists!$P$2:$P$19,Lists!$S$2:$S$19,0),_xlfn.XLOOKUP(E85,Lists!$P$2:$P$19,Lists!$S$2:$S$19,0),_xlfn.XLOOKUP(G85,Lists!$P$2:$P$19,Lists!$S$2:$S$19,0),_xlfn.XLOOKUP(I85,Lists!$P$2:$P$19,Lists!$S$2:$S$19,0),_xlfn.XLOOKUP(K85,Lists!$P$2:$P$19,Lists!$S$2:$S$19,0)))</f>
        <v>0</v>
      </c>
      <c r="P85" s="68">
        <f ca="1">IF($B85="","",SUM(_xlfn.XLOOKUP(C85,Lists!$P$2:$P$19,Lists!$T$2:$T$19,0),_xlfn.XLOOKUP(E85,Lists!$P$2:$P$19,Lists!$T$2:$T$19,0),_xlfn.XLOOKUP(G85,Lists!$P$2:$P$19,Lists!$T$2:$T$19,0),_xlfn.XLOOKUP(I85,Lists!$P$2:$P$19,Lists!$T$2:$T$19,0),_xlfn.XLOOKUP(K85,Lists!$P$2:$P$19,Lists!$T$2:$T$19,0)))</f>
        <v>0</v>
      </c>
      <c r="Q85" s="68">
        <f ca="1">IF($B85="","",SUM(_xlfn.XLOOKUP(C85,Lists!$P$2:$P$19,Lists!$U$2:$U$19,0),_xlfn.XLOOKUP(E85,Lists!$P$2:$P$19,Lists!$U$2:$U$19,0),_xlfn.XLOOKUP(G85,Lists!$P$2:$P$19,Lists!$U$2:$U$19,0),_xlfn.XLOOKUP(I85,Lists!$P$2:$P$19,Lists!$U$2:$U$19,0),_xlfn.XLOOKUP(K85,Lists!$P$2:$P$19,Lists!$U$2:$U$19,0)))</f>
        <v>0</v>
      </c>
      <c r="R85" s="68">
        <f ca="1">IF($B85="","",SUM(_xlfn.XLOOKUP(C85,Lists!$P$2:$P$19,Lists!$V$2:$V$19,0),_xlfn.XLOOKUP(E85,Lists!$P$2:$P$19,Lists!$V$2:$V$19,0),_xlfn.XLOOKUP(G85,Lists!$P$2:$P$19,Lists!$V$2:$V$19,0),_xlfn.XLOOKUP(I85,Lists!$P$2:$P$19,Lists!$V$2:$V$19,0),_xlfn.XLOOKUP(K85,Lists!$P$2:$P$19,Lists!$V$2:$V$19,0)))</f>
        <v>0</v>
      </c>
      <c r="S85" s="68">
        <f ca="1">IF($B85="","",SUM(_xlfn.XLOOKUP(D85,Lists!$AC$2:$AC$9,Lists!$AD$2:$AD$9,0),_xlfn.XLOOKUP(F85,Lists!$AC$2:$AC$9,Lists!$AD$2:$AD$9,0),_xlfn.XLOOKUP(H85,Lists!$AC$2:$AC$9,Lists!$AD$2:$AD$9,0),_xlfn.XLOOKUP(J85,Lists!$AC$2:$AC$9,Lists!$AD$2:$AD$9,0),_xlfn.XLOOKUP(L85,Lists!$AC$2:$AC$9,Lists!$AD$2:$AD$9,0)))</f>
        <v>0</v>
      </c>
      <c r="T85" s="68">
        <f ca="1">IF($B85="","",SUM(_xlfn.XLOOKUP(C85,Lists!$P$2:$P$19,Lists!$W$2:$W$19,0),_xlfn.XLOOKUP(E85,Lists!$P$2:$P$19,Lists!$W$2:$W$19,0),_xlfn.XLOOKUP(G85,Lists!$P$2:$P$19,Lists!$W$2:$W$19,0),_xlfn.XLOOKUP(I85,Lists!$P$2:$P$19,Lists!$W$2:$W$19,0),_xlfn.XLOOKUP(K85,Lists!$P$2:$P$19,Lists!$W$2:$W$19,0)))</f>
        <v>0</v>
      </c>
      <c r="U85" s="68">
        <f ca="1">IF($B85="","",SUM(_xlfn.XLOOKUP(C85,Lists!$P$2:$P$19,Lists!$X$2:$X$19,0),_xlfn.XLOOKUP(E85,Lists!$P$2:$P$19,Lists!$X$2:$X$19,0),_xlfn.XLOOKUP(G85,Lists!$P$2:$P$19,Lists!$X$2:$X$19,0),_xlfn.XLOOKUP(I85,Lists!$P$2:$P$19,Lists!$X$2:$X$19,0),_xlfn.XLOOKUP(K85,Lists!$P$2:$P$19,Lists!$X$2:$X$19,0)))</f>
        <v>1</v>
      </c>
      <c r="V85" s="68">
        <f ca="1">IF($B85="","",SUM(_xlfn.XLOOKUP(C85,Lists!$P$2:$P$19,Lists!$Y$2:$Y$19,0),_xlfn.XLOOKUP(E85,Lists!$P$2:$P$19,Lists!$Y$2:$Y$19,0),_xlfn.XLOOKUP(G85,Lists!$P$2:$P$19,Lists!$Y$2:$Y$19,0),_xlfn.XLOOKUP(I85,Lists!$P$2:$P$19,Lists!$Y$2:$Y$19,0),_xlfn.XLOOKUP(K85,Lists!$P$2:$P$19,Lists!$Y$2:$Y$19,0)))</f>
        <v>0</v>
      </c>
      <c r="W85" s="68">
        <f ca="1">IF($B85="","",SUM(_xlfn.XLOOKUP(C85,Lists!$P$2:$P$19,Lists!$Z$2:$Z$19,0),_xlfn.XLOOKUP(E85,Lists!$P$2:$P$19,Lists!$Z$2:$Z$19,0),_xlfn.XLOOKUP(G85,Lists!$P$2:$P$19,Lists!$Z$2:$Z$19,0),_xlfn.XLOOKUP(I85,Lists!$P$2:$P$19,Lists!$Z$2:$Z$19,0),_xlfn.XLOOKUP(K85,Lists!$P$2:$P$19,Lists!$Z$2:$Z$19,0)))</f>
        <v>0</v>
      </c>
      <c r="X85" s="69">
        <f ca="1">IF($B85="","",SUM(_xlfn.XLOOKUP(C85,Lists!$P$2:$P$19,Lists!$AA$2:$AA$19,0),_xlfn.XLOOKUP(E85,Lists!$P$2:$P$19,Lists!$AA$2:$AA$19,0),_xlfn.XLOOKUP(G85,Lists!$P$2:$P$19,Lists!$AA$2:$AA$19,0),_xlfn.XLOOKUP(I85,Lists!$P$2:$P$19,Lists!$AA$2:$AA$19,0),_xlfn.XLOOKUP(K85,Lists!$P$2:$P$19,Lists!$AA$2:$AA$19,0)))</f>
        <v>0</v>
      </c>
      <c r="Y85" s="49"/>
      <c r="Z85" s="49"/>
      <c r="AA85" s="49"/>
      <c r="AB85" s="49"/>
      <c r="AC85" s="49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</row>
    <row r="86" spans="1:110">
      <c r="A86" s="168">
        <v>8</v>
      </c>
      <c r="B86" s="47" t="str">
        <f ca="1">Lineups!$H$26</f>
        <v>Yellow Magikoopa</v>
      </c>
      <c r="C86" s="49" t="s">
        <v>178</v>
      </c>
      <c r="D86" s="49" t="s">
        <v>190</v>
      </c>
      <c r="E86" s="49"/>
      <c r="F86" s="49"/>
      <c r="G86" s="49"/>
      <c r="H86" s="50"/>
      <c r="I86" s="50"/>
      <c r="J86" s="50"/>
      <c r="K86" s="50"/>
      <c r="L86" s="50"/>
      <c r="M86" s="67">
        <f ca="1">IF($B86="","",SUM(_xlfn.XLOOKUP(C86,Lists!$P$2:$P$19,Lists!$R$2:$R$19,0),_xlfn.XLOOKUP(E86,Lists!$P$2:$P$19,Lists!$R$2:$R$19,0),_xlfn.XLOOKUP(G86,Lists!$P$2:$P$19,Lists!$R$2:$R$19,0),_xlfn.XLOOKUP(I86,Lists!$P$2:$P$19,Lists!$R$2:$R$19,0),_xlfn.XLOOKUP(K86,Lists!$P$2:$P$19,Lists!$R$2:$R$19,0)))</f>
        <v>1</v>
      </c>
      <c r="N86" s="68">
        <f ca="1">IF($B86="","",SUM(_xlfn.XLOOKUP(D86,Lists!$AC$2:$AC$9,Lists!$AE$2:$AE$9,0),_xlfn.XLOOKUP(F86,Lists!$AC$2:$AC$9,Lists!$AE$2:$AE$9,0),_xlfn.XLOOKUP(H86,Lists!$AC$2:$AC$9,Lists!$AE$2:$AE$9,0),_xlfn.XLOOKUP(J86,Lists!$AC$2:$AC$9,Lists!$AE$2:$AE$9,0),_xlfn.XLOOKUP(L86,Lists!$AC$2:$AC$9,Lists!$AE$2:$AE$9,0)))</f>
        <v>1</v>
      </c>
      <c r="O86" s="68">
        <f ca="1">IF($B86="","",SUM(_xlfn.XLOOKUP(C86,Lists!$P$2:$P$19,Lists!$S$2:$S$19,0),_xlfn.XLOOKUP(E86,Lists!$P$2:$P$19,Lists!$S$2:$S$19,0),_xlfn.XLOOKUP(G86,Lists!$P$2:$P$19,Lists!$S$2:$S$19,0),_xlfn.XLOOKUP(I86,Lists!$P$2:$P$19,Lists!$S$2:$S$19,0),_xlfn.XLOOKUP(K86,Lists!$P$2:$P$19,Lists!$S$2:$S$19,0)))</f>
        <v>1</v>
      </c>
      <c r="P86" s="68">
        <f ca="1">IF($B86="","",SUM(_xlfn.XLOOKUP(C86,Lists!$P$2:$P$19,Lists!$T$2:$T$19,0),_xlfn.XLOOKUP(E86,Lists!$P$2:$P$19,Lists!$T$2:$T$19,0),_xlfn.XLOOKUP(G86,Lists!$P$2:$P$19,Lists!$T$2:$T$19,0),_xlfn.XLOOKUP(I86,Lists!$P$2:$P$19,Lists!$T$2:$T$19,0),_xlfn.XLOOKUP(K86,Lists!$P$2:$P$19,Lists!$T$2:$T$19,0)))</f>
        <v>0</v>
      </c>
      <c r="Q86" s="68">
        <f ca="1">IF($B86="","",SUM(_xlfn.XLOOKUP(C86,Lists!$P$2:$P$19,Lists!$U$2:$U$19,0),_xlfn.XLOOKUP(E86,Lists!$P$2:$P$19,Lists!$U$2:$U$19,0),_xlfn.XLOOKUP(G86,Lists!$P$2:$P$19,Lists!$U$2:$U$19,0),_xlfn.XLOOKUP(I86,Lists!$P$2:$P$19,Lists!$U$2:$U$19,0),_xlfn.XLOOKUP(K86,Lists!$P$2:$P$19,Lists!$U$2:$U$19,0)))</f>
        <v>0</v>
      </c>
      <c r="R86" s="68">
        <f ca="1">IF($B86="","",SUM(_xlfn.XLOOKUP(C86,Lists!$P$2:$P$19,Lists!$V$2:$V$19,0),_xlfn.XLOOKUP(E86,Lists!$P$2:$P$19,Lists!$V$2:$V$19,0),_xlfn.XLOOKUP(G86,Lists!$P$2:$P$19,Lists!$V$2:$V$19,0),_xlfn.XLOOKUP(I86,Lists!$P$2:$P$19,Lists!$V$2:$V$19,0),_xlfn.XLOOKUP(K86,Lists!$P$2:$P$19,Lists!$V$2:$V$19,0)))</f>
        <v>1</v>
      </c>
      <c r="S86" s="68">
        <f ca="1">IF($B86="","",SUM(_xlfn.XLOOKUP(D86,Lists!$AC$2:$AC$9,Lists!$AD$2:$AD$9,0),_xlfn.XLOOKUP(F86,Lists!$AC$2:$AC$9,Lists!$AD$2:$AD$9,0),_xlfn.XLOOKUP(H86,Lists!$AC$2:$AC$9,Lists!$AD$2:$AD$9,0),_xlfn.XLOOKUP(J86,Lists!$AC$2:$AC$9,Lists!$AD$2:$AD$9,0),_xlfn.XLOOKUP(L86,Lists!$AC$2:$AC$9,Lists!$AD$2:$AD$9,0)))</f>
        <v>1</v>
      </c>
      <c r="T86" s="68">
        <f ca="1">IF($B86="","",SUM(_xlfn.XLOOKUP(C86,Lists!$P$2:$P$19,Lists!$W$2:$W$19,0),_xlfn.XLOOKUP(E86,Lists!$P$2:$P$19,Lists!$W$2:$W$19,0),_xlfn.XLOOKUP(G86,Lists!$P$2:$P$19,Lists!$W$2:$W$19,0),_xlfn.XLOOKUP(I86,Lists!$P$2:$P$19,Lists!$W$2:$W$19,0),_xlfn.XLOOKUP(K86,Lists!$P$2:$P$19,Lists!$W$2:$W$19,0)))</f>
        <v>0</v>
      </c>
      <c r="U86" s="68">
        <f ca="1">IF($B86="","",SUM(_xlfn.XLOOKUP(C86,Lists!$P$2:$P$19,Lists!$X$2:$X$19,0),_xlfn.XLOOKUP(E86,Lists!$P$2:$P$19,Lists!$X$2:$X$19,0),_xlfn.XLOOKUP(G86,Lists!$P$2:$P$19,Lists!$X$2:$X$19,0),_xlfn.XLOOKUP(I86,Lists!$P$2:$P$19,Lists!$X$2:$X$19,0),_xlfn.XLOOKUP(K86,Lists!$P$2:$P$19,Lists!$X$2:$X$19,0)))</f>
        <v>0</v>
      </c>
      <c r="V86" s="68">
        <f ca="1">IF($B86="","",SUM(_xlfn.XLOOKUP(C86,Lists!$P$2:$P$19,Lists!$Y$2:$Y$19,0),_xlfn.XLOOKUP(E86,Lists!$P$2:$P$19,Lists!$Y$2:$Y$19,0),_xlfn.XLOOKUP(G86,Lists!$P$2:$P$19,Lists!$Y$2:$Y$19,0),_xlfn.XLOOKUP(I86,Lists!$P$2:$P$19,Lists!$Y$2:$Y$19,0),_xlfn.XLOOKUP(K86,Lists!$P$2:$P$19,Lists!$Y$2:$Y$19,0)))</f>
        <v>0</v>
      </c>
      <c r="W86" s="68">
        <f ca="1">IF($B86="","",SUM(_xlfn.XLOOKUP(C86,Lists!$P$2:$P$19,Lists!$Z$2:$Z$19,0),_xlfn.XLOOKUP(E86,Lists!$P$2:$P$19,Lists!$Z$2:$Z$19,0),_xlfn.XLOOKUP(G86,Lists!$P$2:$P$19,Lists!$Z$2:$Z$19,0),_xlfn.XLOOKUP(I86,Lists!$P$2:$P$19,Lists!$Z$2:$Z$19,0),_xlfn.XLOOKUP(K86,Lists!$P$2:$P$19,Lists!$Z$2:$Z$19,0)))</f>
        <v>0</v>
      </c>
      <c r="X86" s="69">
        <f ca="1">IF($B86="","",SUM(_xlfn.XLOOKUP(C86,Lists!$P$2:$P$19,Lists!$AA$2:$AA$19,0),_xlfn.XLOOKUP(E86,Lists!$P$2:$P$19,Lists!$AA$2:$AA$19,0),_xlfn.XLOOKUP(G86,Lists!$P$2:$P$19,Lists!$AA$2:$AA$19,0),_xlfn.XLOOKUP(I86,Lists!$P$2:$P$19,Lists!$AA$2:$AA$19,0),_xlfn.XLOOKUP(K86,Lists!$P$2:$P$19,Lists!$AA$2:$AA$19,0)))</f>
        <v>0</v>
      </c>
      <c r="Y86" s="49"/>
      <c r="Z86" s="49"/>
      <c r="AA86" s="49"/>
      <c r="AB86" s="49"/>
      <c r="AC86" s="49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</row>
    <row r="87" spans="1:110">
      <c r="A87" s="168">
        <v>9</v>
      </c>
      <c r="B87" s="47" t="str">
        <f ca="1">Lineups!$H$27</f>
        <v>Boo</v>
      </c>
      <c r="C87" s="49" t="s">
        <v>178</v>
      </c>
      <c r="D87" s="49" t="s">
        <v>190</v>
      </c>
      <c r="E87" s="49"/>
      <c r="F87" s="49"/>
      <c r="G87" s="49"/>
      <c r="H87" s="50"/>
      <c r="I87" s="50"/>
      <c r="J87" s="50"/>
      <c r="K87" s="50"/>
      <c r="L87" s="50"/>
      <c r="M87" s="67">
        <f ca="1">IF($B87="","",SUM(_xlfn.XLOOKUP(C87,Lists!$P$2:$P$19,Lists!$R$2:$R$19,0),_xlfn.XLOOKUP(E87,Lists!$P$2:$P$19,Lists!$R$2:$R$19,0),_xlfn.XLOOKUP(G87,Lists!$P$2:$P$19,Lists!$R$2:$R$19,0),_xlfn.XLOOKUP(I87,Lists!$P$2:$P$19,Lists!$R$2:$R$19,0),_xlfn.XLOOKUP(K87,Lists!$P$2:$P$19,Lists!$R$2:$R$19,0)))</f>
        <v>1</v>
      </c>
      <c r="N87" s="68">
        <f ca="1">IF($B87="","",SUM(_xlfn.XLOOKUP(D87,Lists!$AC$2:$AC$9,Lists!$AE$2:$AE$9,0),_xlfn.XLOOKUP(F87,Lists!$AC$2:$AC$9,Lists!$AE$2:$AE$9,0),_xlfn.XLOOKUP(H87,Lists!$AC$2:$AC$9,Lists!$AE$2:$AE$9,0),_xlfn.XLOOKUP(J87,Lists!$AC$2:$AC$9,Lists!$AE$2:$AE$9,0),_xlfn.XLOOKUP(L87,Lists!$AC$2:$AC$9,Lists!$AE$2:$AE$9,0)))</f>
        <v>1</v>
      </c>
      <c r="O87" s="68">
        <f ca="1">IF($B87="","",SUM(_xlfn.XLOOKUP(C87,Lists!$P$2:$P$19,Lists!$S$2:$S$19,0),_xlfn.XLOOKUP(E87,Lists!$P$2:$P$19,Lists!$S$2:$S$19,0),_xlfn.XLOOKUP(G87,Lists!$P$2:$P$19,Lists!$S$2:$S$19,0),_xlfn.XLOOKUP(I87,Lists!$P$2:$P$19,Lists!$S$2:$S$19,0),_xlfn.XLOOKUP(K87,Lists!$P$2:$P$19,Lists!$S$2:$S$19,0)))</f>
        <v>1</v>
      </c>
      <c r="P87" s="68">
        <f ca="1">IF($B87="","",SUM(_xlfn.XLOOKUP(C87,Lists!$P$2:$P$19,Lists!$T$2:$T$19,0),_xlfn.XLOOKUP(E87,Lists!$P$2:$P$19,Lists!$T$2:$T$19,0),_xlfn.XLOOKUP(G87,Lists!$P$2:$P$19,Lists!$T$2:$T$19,0),_xlfn.XLOOKUP(I87,Lists!$P$2:$P$19,Lists!$T$2:$T$19,0),_xlfn.XLOOKUP(K87,Lists!$P$2:$P$19,Lists!$T$2:$T$19,0)))</f>
        <v>0</v>
      </c>
      <c r="Q87" s="68">
        <f ca="1">IF($B87="","",SUM(_xlfn.XLOOKUP(C87,Lists!$P$2:$P$19,Lists!$U$2:$U$19,0),_xlfn.XLOOKUP(E87,Lists!$P$2:$P$19,Lists!$U$2:$U$19,0),_xlfn.XLOOKUP(G87,Lists!$P$2:$P$19,Lists!$U$2:$U$19,0),_xlfn.XLOOKUP(I87,Lists!$P$2:$P$19,Lists!$U$2:$U$19,0),_xlfn.XLOOKUP(K87,Lists!$P$2:$P$19,Lists!$U$2:$U$19,0)))</f>
        <v>0</v>
      </c>
      <c r="R87" s="68">
        <f ca="1">IF($B87="","",SUM(_xlfn.XLOOKUP(C87,Lists!$P$2:$P$19,Lists!$V$2:$V$19,0),_xlfn.XLOOKUP(E87,Lists!$P$2:$P$19,Lists!$V$2:$V$19,0),_xlfn.XLOOKUP(G87,Lists!$P$2:$P$19,Lists!$V$2:$V$19,0),_xlfn.XLOOKUP(I87,Lists!$P$2:$P$19,Lists!$V$2:$V$19,0),_xlfn.XLOOKUP(K87,Lists!$P$2:$P$19,Lists!$V$2:$V$19,0)))</f>
        <v>1</v>
      </c>
      <c r="S87" s="68">
        <f ca="1">IF($B87="","",SUM(_xlfn.XLOOKUP(D87,Lists!$AC$2:$AC$9,Lists!$AD$2:$AD$9,0),_xlfn.XLOOKUP(F87,Lists!$AC$2:$AC$9,Lists!$AD$2:$AD$9,0),_xlfn.XLOOKUP(H87,Lists!$AC$2:$AC$9,Lists!$AD$2:$AD$9,0),_xlfn.XLOOKUP(J87,Lists!$AC$2:$AC$9,Lists!$AD$2:$AD$9,0),_xlfn.XLOOKUP(L87,Lists!$AC$2:$AC$9,Lists!$AD$2:$AD$9,0)))</f>
        <v>1</v>
      </c>
      <c r="T87" s="68">
        <f ca="1">IF($B87="","",SUM(_xlfn.XLOOKUP(C87,Lists!$P$2:$P$19,Lists!$W$2:$W$19,0),_xlfn.XLOOKUP(E87,Lists!$P$2:$P$19,Lists!$W$2:$W$19,0),_xlfn.XLOOKUP(G87,Lists!$P$2:$P$19,Lists!$W$2:$W$19,0),_xlfn.XLOOKUP(I87,Lists!$P$2:$P$19,Lists!$W$2:$W$19,0),_xlfn.XLOOKUP(K87,Lists!$P$2:$P$19,Lists!$W$2:$W$19,0)))</f>
        <v>0</v>
      </c>
      <c r="U87" s="68">
        <f ca="1">IF($B87="","",SUM(_xlfn.XLOOKUP(C87,Lists!$P$2:$P$19,Lists!$X$2:$X$19,0),_xlfn.XLOOKUP(E87,Lists!$P$2:$P$19,Lists!$X$2:$X$19,0),_xlfn.XLOOKUP(G87,Lists!$P$2:$P$19,Lists!$X$2:$X$19,0),_xlfn.XLOOKUP(I87,Lists!$P$2:$P$19,Lists!$X$2:$X$19,0),_xlfn.XLOOKUP(K87,Lists!$P$2:$P$19,Lists!$X$2:$X$19,0)))</f>
        <v>0</v>
      </c>
      <c r="V87" s="68">
        <f ca="1">IF($B87="","",SUM(_xlfn.XLOOKUP(C87,Lists!$P$2:$P$19,Lists!$Y$2:$Y$19,0),_xlfn.XLOOKUP(E87,Lists!$P$2:$P$19,Lists!$Y$2:$Y$19,0),_xlfn.XLOOKUP(G87,Lists!$P$2:$P$19,Lists!$Y$2:$Y$19,0),_xlfn.XLOOKUP(I87,Lists!$P$2:$P$19,Lists!$Y$2:$Y$19,0),_xlfn.XLOOKUP(K87,Lists!$P$2:$P$19,Lists!$Y$2:$Y$19,0)))</f>
        <v>0</v>
      </c>
      <c r="W87" s="68">
        <f ca="1">IF($B87="","",SUM(_xlfn.XLOOKUP(C87,Lists!$P$2:$P$19,Lists!$Z$2:$Z$19,0),_xlfn.XLOOKUP(E87,Lists!$P$2:$P$19,Lists!$Z$2:$Z$19,0),_xlfn.XLOOKUP(G87,Lists!$P$2:$P$19,Lists!$Z$2:$Z$19,0),_xlfn.XLOOKUP(I87,Lists!$P$2:$P$19,Lists!$Z$2:$Z$19,0),_xlfn.XLOOKUP(K87,Lists!$P$2:$P$19,Lists!$Z$2:$Z$19,0)))</f>
        <v>0</v>
      </c>
      <c r="X87" s="69">
        <f ca="1">IF($B87="","",SUM(_xlfn.XLOOKUP(C87,Lists!$P$2:$P$19,Lists!$AA$2:$AA$19,0),_xlfn.XLOOKUP(E87,Lists!$P$2:$P$19,Lists!$AA$2:$AA$19,0),_xlfn.XLOOKUP(G87,Lists!$P$2:$P$19,Lists!$AA$2:$AA$19,0),_xlfn.XLOOKUP(I87,Lists!$P$2:$P$19,Lists!$AA$2:$AA$19,0),_xlfn.XLOOKUP(K87,Lists!$P$2:$P$19,Lists!$AA$2:$AA$19,0)))</f>
        <v>0</v>
      </c>
      <c r="Y87" s="49"/>
      <c r="Z87" s="49"/>
      <c r="AA87" s="49"/>
      <c r="AB87" s="49"/>
      <c r="AC87" s="49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</row>
    <row r="88" spans="1:110">
      <c r="A88" s="173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</row>
    <row r="89" spans="1:110">
      <c r="A89" s="225" t="str">
        <f ca="1">IF($R$51="","Team B Pitching",$R$51&amp;" Pitching")</f>
        <v>Justin Pitching</v>
      </c>
      <c r="B89" s="221"/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06"/>
      <c r="O89" s="186"/>
      <c r="P89" s="24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</row>
    <row r="90" spans="1:110">
      <c r="A90" s="167" t="s">
        <v>103</v>
      </c>
      <c r="B90" s="43" t="s">
        <v>194</v>
      </c>
      <c r="C90" s="43" t="s">
        <v>195</v>
      </c>
      <c r="D90" s="43" t="s">
        <v>162</v>
      </c>
      <c r="E90" s="43" t="s">
        <v>161</v>
      </c>
      <c r="F90" s="43" t="s">
        <v>196</v>
      </c>
      <c r="G90" s="43" t="s">
        <v>180</v>
      </c>
      <c r="H90" s="43" t="s">
        <v>181</v>
      </c>
      <c r="I90" s="44" t="s">
        <v>197</v>
      </c>
      <c r="J90" s="44" t="s">
        <v>198</v>
      </c>
      <c r="K90" s="44" t="s">
        <v>199</v>
      </c>
      <c r="L90" s="44" t="s">
        <v>200</v>
      </c>
      <c r="M90" s="44" t="s">
        <v>201</v>
      </c>
      <c r="N90" s="45" t="s">
        <v>202</v>
      </c>
      <c r="O90" s="45" t="s">
        <v>203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</row>
    <row r="91" spans="1:110">
      <c r="A91" s="168">
        <v>1</v>
      </c>
      <c r="B91" s="71" t="s">
        <v>51</v>
      </c>
      <c r="C91" s="70" cm="1">
        <f t="array" aca="1" ref="C91" ca="1">IF(OR(B91="",O91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2.1</v>
      </c>
      <c r="D91" s="67" cm="1">
        <f t="array" aca="1" ref="D91" ca="1">IF(OR(B91="",O91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7</v>
      </c>
      <c r="E91" s="67" cm="1">
        <f t="array" aca="1" ref="E91" ca="1">IF(OR(B91="",O91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4</v>
      </c>
      <c r="F91" s="67" cm="1">
        <f t="array" aca="1" ref="F91" ca="1">IF(OR(B91="",O91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4</v>
      </c>
      <c r="G91" s="67" cm="1">
        <f t="array" aca="1" ref="G91" ca="1">IF(OR(B91="",O91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91" s="67" cm="1">
        <f t="array" aca="1" ref="H91" ca="1">IF(OR(B91="",O91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1</v>
      </c>
      <c r="I91" s="68" cm="1">
        <f t="array" aca="1" ref="I91" ca="1">IF(OR(B91="",O91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2</v>
      </c>
      <c r="J91" s="68" cm="1">
        <f t="array" aca="1" ref="J91" ca="1">IF(OR(B91="",O91=""),"",--($K$54&gt;$K$53)*--(ROW()-ROW(C90)=_xlfn.XLOOKUP(MAX(IF(O91:O96&gt;0,INT(C91:C96)*3+MOD(ROUND(C91:C96*10,0),10),-1)),IF(O91:O96&gt;0,INT(C91:C96)*3+MOD(ROUND(C91:C96*10,0),10),-1),_xlfn.SEQUENCE(ROWS(O91:O96)),,0)))</f>
        <v>0</v>
      </c>
      <c r="K91" s="68" cm="1">
        <f t="array" aca="1" ref="K91" ca="1">IF(OR(B91="",O91=""),"",--($K$54&lt;$K$53)*--(ROW()-ROW(C90)=_xlfn.XLOOKUP(MAX(IF(O91:O96&gt;0,E91:E96,-1)),IF(O91:O96&gt;0,E91:E96,-1),_xlfn.SEQUENCE(ROWS(O91:O96)),,0)))</f>
        <v>1</v>
      </c>
      <c r="L91" s="68" cm="1">
        <f t="array" aca="1" ref="L91" ca="1">IF(OR(B91="",O91=""),"",--($K$54&gt;$K$53)*--(COUNTIF(O91:O96,"&gt;0")&gt;1)*--(ROW()-ROW(C90)=_xlfn.XLOOKUP(TRUE,O91:O96&gt;0,_xlfn.SEQUENCE(ROWS(O91:O96)),,0,-1))*--(_xlfn.XLOOKUP(TRUE,O91:O96&gt;0,_xlfn.SEQUENCE(ROWS(O91:O96)),,0,-1)&lt;&gt;_xlfn.XLOOKUP(MAX(IF(O91:O96&gt;0,INT(C91:C96)*3+MOD(ROUND(C91:C96*10,0),10),-1)),IF(O91:O96&gt;0,INT(C91:C96)*3+MOD(ROUND(C91:C96*10,0),10),-1),_xlfn.SEQUENCE(ROWS(O91:O96)),,0))*--(($K$54-$K$53)&lt;=3)*--((INT(C91)*3+MOD(ROUND(C91*10,0),10))&gt;=3))</f>
        <v>0</v>
      </c>
      <c r="M91" s="68">
        <f>IF(OR(B91="",O91=""),"",--(COUNTIF(O91:O96,"&gt;0")=1)*--($K$53=0))</f>
        <v>0</v>
      </c>
      <c r="N91" s="69">
        <f>IF(OR(B91="",O91=""),"",--(COUNTIF(O91:O96,"&gt;0")=1))</f>
        <v>1</v>
      </c>
      <c r="O91" s="51">
        <v>13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</row>
    <row r="92" spans="1:110">
      <c r="A92" s="168">
        <v>2</v>
      </c>
      <c r="B92" s="71"/>
      <c r="C92" s="70" t="str" cm="1">
        <f t="array" aca="1" ref="C92" ca="1">IF(OR(B92="",O92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92" s="67" t="str" cm="1">
        <f t="array" aca="1" ref="D92" ca="1">IF(OR(B92="",O92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92" s="67" t="str" cm="1">
        <f t="array" aca="1" ref="E92" ca="1">IF(OR(B92="",O92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92" s="67" t="str" cm="1">
        <f t="array" aca="1" ref="F92" ca="1">IF(OR(B92="",O92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92" s="67" t="str" cm="1">
        <f t="array" aca="1" ref="G92" ca="1">IF(OR(B92="",O92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92" s="67" t="str" cm="1">
        <f t="array" aca="1" ref="H92" ca="1">IF(OR(B92="",O92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92" s="68" t="str" cm="1">
        <f t="array" aca="1" ref="I92" ca="1">IF(OR(B92="",O92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92" s="68" t="str" cm="1">
        <f t="array" aca="1" ref="J92" ca="1">IF(OR(B92="",O92=""),"",--($K$54&gt;$K$53)*--(ROW()-ROW(C90)=_xlfn.XLOOKUP(MAX(IF(O91:O96&gt;0,INT(C91:C96)*3+MOD(ROUND(C91:C96*10,0),10),-1)),IF(O91:O96&gt;0,INT(C91:C96)*3+MOD(ROUND(C91:C96*10,0),10),-1),_xlfn.SEQUENCE(ROWS(O91:O96)),,0)))</f>
        <v/>
      </c>
      <c r="K92" s="68" t="str" cm="1">
        <f t="array" aca="1" ref="K92" ca="1">IF(OR(B92="",O92=""),"",--($K$54&lt;$K$53)*--(ROW()-ROW(C90)=_xlfn.XLOOKUP(MAX(IF(O91:O96&gt;0,E91:E96,-1)),IF(O91:O96&gt;0,E91:E96,-1),_xlfn.SEQUENCE(ROWS(O91:O96)),,0)))</f>
        <v/>
      </c>
      <c r="L92" s="68" t="str" cm="1">
        <f t="array" aca="1" ref="L92" ca="1">IF(OR(B92="",O92=""),"",--($K$54&gt;$K$53)*--(COUNTIF(O91:O96,"&gt;0")&gt;1)*--(ROW()-ROW(C90)=_xlfn.XLOOKUP(TRUE,O91:O96&gt;0,_xlfn.SEQUENCE(ROWS(O91:O96)),,0,-1))*--(_xlfn.XLOOKUP(TRUE,O91:O96&gt;0,_xlfn.SEQUENCE(ROWS(O91:O96)),,0,-1)&lt;&gt;_xlfn.XLOOKUP(MAX(IF(O91:O96&gt;0,INT(C91:C96)*3+MOD(ROUND(C91:C96*10,0),10),-1)),IF(O91:O96&gt;0,INT(C91:C96)*3+MOD(ROUND(C91:C96*10,0),10),-1),_xlfn.SEQUENCE(ROWS(O91:O96)),,0))*--(($K$54-$K$53)&lt;=3)*--((INT(C92)*3+MOD(ROUND(C92*10,0),10))&gt;=3))</f>
        <v/>
      </c>
      <c r="M92" s="68" t="str">
        <f>IF(OR(B92="",O92=""),"",--(COUNTIF(O91:O96,"&gt;0")=1)*--($K$53=0))</f>
        <v/>
      </c>
      <c r="N92" s="69" t="str">
        <f>IF(OR(B92="",O92=""),"",--(COUNTIF(O91:O96,"&gt;0")=1))</f>
        <v/>
      </c>
      <c r="O92" s="51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</row>
    <row r="93" spans="1:110">
      <c r="A93" s="168">
        <v>3</v>
      </c>
      <c r="B93" s="71"/>
      <c r="C93" s="70" t="str" cm="1">
        <f t="array" aca="1" ref="C93" ca="1">IF(OR(B93="",O93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93" s="67" t="str" cm="1">
        <f t="array" aca="1" ref="D93" ca="1">IF(OR(B93="",O93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93" s="67" t="str" cm="1">
        <f t="array" aca="1" ref="E93" ca="1">IF(OR(B93="",O93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93" s="67" t="str" cm="1">
        <f t="array" aca="1" ref="F93" ca="1">IF(OR(B93="",O93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93" s="67" t="str" cm="1">
        <f t="array" aca="1" ref="G93" ca="1">IF(OR(B93="",O93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93" s="67" t="str" cm="1">
        <f t="array" aca="1" ref="H93" ca="1">IF(OR(B93="",O93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93" s="68" t="str" cm="1">
        <f t="array" aca="1" ref="I93" ca="1">IF(OR(B93="",O93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93" s="68" t="str" cm="1">
        <f t="array" aca="1" ref="J93" ca="1">IF(OR(B93="",O93=""),"",--($K$54&gt;$K$53)*--(ROW()-ROW(C90)=_xlfn.XLOOKUP(MAX(IF(O91:O96&gt;0,INT(C91:C96)*3+MOD(ROUND(C91:C96*10,0),10),-1)),IF(O91:O96&gt;0,INT(C91:C96)*3+MOD(ROUND(C91:C96*10,0),10),-1),_xlfn.SEQUENCE(ROWS(O91:O96)),,0)))</f>
        <v/>
      </c>
      <c r="K93" s="68" t="str" cm="1">
        <f t="array" aca="1" ref="K93" ca="1">IF(OR(B93="",O93=""),"",--($K$54&lt;$K$53)*--(ROW()-ROW(C90)=_xlfn.XLOOKUP(MAX(IF(O91:O96&gt;0,E91:E96,-1)),IF(O91:O96&gt;0,E91:E96,-1),_xlfn.SEQUENCE(ROWS(O91:O96)),,0)))</f>
        <v/>
      </c>
      <c r="L93" s="68" t="str" cm="1">
        <f t="array" aca="1" ref="L93" ca="1">IF(OR(B93="",O93=""),"",--($K$54&gt;$K$53)*--(COUNTIF(O91:O96,"&gt;0")&gt;1)*--(ROW()-ROW(C90)=_xlfn.XLOOKUP(TRUE,O91:O96&gt;0,_xlfn.SEQUENCE(ROWS(O91:O96)),,0,-1))*--(_xlfn.XLOOKUP(TRUE,O91:O96&gt;0,_xlfn.SEQUENCE(ROWS(O91:O96)),,0,-1)&lt;&gt;_xlfn.XLOOKUP(MAX(IF(O91:O96&gt;0,INT(C91:C96)*3+MOD(ROUND(C91:C96*10,0),10),-1)),IF(O91:O96&gt;0,INT(C91:C96)*3+MOD(ROUND(C91:C96*10,0),10),-1),_xlfn.SEQUENCE(ROWS(O91:O96)),,0))*--(($K$54-$K$53)&lt;=3)*--((INT(C93)*3+MOD(ROUND(C93*10,0),10))&gt;=3))</f>
        <v/>
      </c>
      <c r="M93" s="68" t="str">
        <f>IF(OR(B93="",O93=""),"",--(COUNTIF(O91:O96,"&gt;0")=1)*--($K$53=0))</f>
        <v/>
      </c>
      <c r="N93" s="69" t="str">
        <f>IF(OR(B93="",O93=""),"",--(COUNTIF(O91:O96,"&gt;0")=1))</f>
        <v/>
      </c>
      <c r="O93" s="51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</row>
    <row r="94" spans="1:110">
      <c r="A94" s="168">
        <v>4</v>
      </c>
      <c r="B94" s="71"/>
      <c r="C94" s="70" t="str" cm="1">
        <f t="array" aca="1" ref="C94" ca="1">IF(OR(B94="",O94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94" s="67" t="str" cm="1">
        <f t="array" aca="1" ref="D94" ca="1">IF(OR(B94="",O94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94" s="67" t="str" cm="1">
        <f t="array" aca="1" ref="E94" ca="1">IF(OR(B94="",O94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94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94" s="67" t="str" cm="1">
        <f t="array" aca="1" ref="F94" ca="1">IF(OR(B94="",O94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94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94" s="67" t="str" cm="1">
        <f t="array" aca="1" ref="G94" ca="1">IF(OR(B94="",O94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94" s="67" t="str" cm="1">
        <f t="array" aca="1" ref="H94" ca="1">IF(OR(B94="",O94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94" s="68" t="str" cm="1">
        <f t="array" aca="1" ref="I94" ca="1">IF(OR(B94="",O94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94" s="68" t="str" cm="1">
        <f t="array" aca="1" ref="J94" ca="1">IF(OR(B94="",O94=""),"",--($K$54&gt;$K$53)*--(ROW()-ROW(C90)=_xlfn.XLOOKUP(MAX(IF(O91:O96&gt;0,INT(C91:C96)*3+MOD(ROUND(C91:C96*10,0),10),-1)),IF(O91:O96&gt;0,INT(C91:C96)*3+MOD(ROUND(C91:C96*10,0),10),-1),_xlfn.SEQUENCE(ROWS(O91:O96)),,0)))</f>
        <v/>
      </c>
      <c r="K94" s="68" t="str" cm="1">
        <f t="array" aca="1" ref="K94" ca="1">IF(OR(B94="",O94=""),"",--($K$54&lt;$K$53)*--(ROW()-ROW(C90)=_xlfn.XLOOKUP(MAX(IF(O91:O96&gt;0,E91:E96,-1)),IF(O91:O96&gt;0,E91:E96,-1),_xlfn.SEQUENCE(ROWS(O91:O96)),,0)))</f>
        <v/>
      </c>
      <c r="L94" s="68" t="str" cm="1">
        <f t="array" aca="1" ref="L94" ca="1">IF(OR(B94="",O94=""),"",--($K$54&gt;$K$53)*--(COUNTIF(O91:O96,"&gt;0")&gt;1)*--(ROW()-ROW(C90)=_xlfn.XLOOKUP(TRUE,O91:O96&gt;0,_xlfn.SEQUENCE(ROWS(O91:O96)),,0,-1))*--(_xlfn.XLOOKUP(TRUE,O91:O96&gt;0,_xlfn.SEQUENCE(ROWS(O91:O96)),,0,-1)&lt;&gt;_xlfn.XLOOKUP(MAX(IF(O91:O96&gt;0,INT(C91:C96)*3+MOD(ROUND(C91:C96*10,0),10),-1)),IF(O91:O96&gt;0,INT(C91:C96)*3+MOD(ROUND(C91:C96*10,0),10),-1),_xlfn.SEQUENCE(ROWS(O91:O96)),,0))*--(($K$54-$K$53)&lt;=3)*--((INT(C94)*3+MOD(ROUND(C94*10,0),10))&gt;=3))</f>
        <v/>
      </c>
      <c r="M94" s="68" t="str">
        <f>IF(OR(B94="",O94=""),"",--(COUNTIF(O91:O96,"&gt;0")=1)*--($K$53=0))</f>
        <v/>
      </c>
      <c r="N94" s="69" t="str">
        <f>IF(OR(B94="",O94=""),"",--(COUNTIF(O91:O96,"&gt;0")=1))</f>
        <v/>
      </c>
      <c r="O94" s="51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</row>
    <row r="95" spans="1:110">
      <c r="A95" s="168">
        <v>5</v>
      </c>
      <c r="B95" s="71"/>
      <c r="C95" s="70" t="str" cm="1">
        <f t="array" aca="1" ref="C95" ca="1">IF(OR(B95="",O95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95" s="67" t="str" cm="1">
        <f t="array" aca="1" ref="D95" ca="1">IF(OR(B95="",O95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95" s="67" t="str" cm="1">
        <f t="array" aca="1" ref="E95" ca="1">IF(OR(B95="",O95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95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95" s="67" t="str" cm="1">
        <f t="array" aca="1" ref="F95" ca="1">IF(OR(B95="",O95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95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95" s="67" t="str" cm="1">
        <f t="array" aca="1" ref="G95" ca="1">IF(OR(B95="",O95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95" s="67" t="str" cm="1">
        <f t="array" aca="1" ref="H95" ca="1">IF(OR(B95="",O95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95" s="68" t="str" cm="1">
        <f t="array" aca="1" ref="I95" ca="1">IF(OR(B95="",O95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95" s="68" t="str" cm="1">
        <f t="array" aca="1" ref="J95" ca="1">IF(OR(B95="",O95=""),"",--($K$54&gt;$K$53)*--(ROW()-ROW(C90)=_xlfn.XLOOKUP(MAX(IF(O91:O96&gt;0,INT(C91:C96)*3+MOD(ROUND(C91:C96*10,0),10),-1)),IF(O91:O96&gt;0,INT(C91:C96)*3+MOD(ROUND(C91:C96*10,0),10),-1),_xlfn.SEQUENCE(ROWS(O91:O96)),,0)))</f>
        <v/>
      </c>
      <c r="K95" s="68" t="str" cm="1">
        <f t="array" aca="1" ref="K95" ca="1">IF(OR(B95="",O95=""),"",--($K$54&lt;$K$53)*--(ROW()-ROW(C90)=_xlfn.XLOOKUP(MAX(IF(O91:O96&gt;0,E91:E96,-1)),IF(O91:O96&gt;0,E91:E96,-1),_xlfn.SEQUENCE(ROWS(O91:O96)),,0)))</f>
        <v/>
      </c>
      <c r="L95" s="68" t="str" cm="1">
        <f t="array" aca="1" ref="L95" ca="1">IF(OR(B95="",O95=""),"",--($K$54&gt;$K$53)*--(COUNTIF(O91:O96,"&gt;0")&gt;1)*--(ROW()-ROW(C90)=_xlfn.XLOOKUP(TRUE,O91:O96&gt;0,_xlfn.SEQUENCE(ROWS(O91:O96)),,0,-1))*--(_xlfn.XLOOKUP(TRUE,O91:O96&gt;0,_xlfn.SEQUENCE(ROWS(O91:O96)),,0,-1)&lt;&gt;_xlfn.XLOOKUP(MAX(IF(O91:O96&gt;0,INT(C91:C96)*3+MOD(ROUND(C91:C96*10,0),10),-1)),IF(O91:O96&gt;0,INT(C91:C96)*3+MOD(ROUND(C91:C96*10,0),10),-1),_xlfn.SEQUENCE(ROWS(O91:O96)),,0))*--(($K$54-$K$53)&lt;=3)*--((INT(C95)*3+MOD(ROUND(C95*10,0),10))&gt;=3))</f>
        <v/>
      </c>
      <c r="M95" s="68" t="str">
        <f>IF(OR(B95="",O95=""),"",--(COUNTIF(O91:O96,"&gt;0")=1)*--($K$53=0))</f>
        <v/>
      </c>
      <c r="N95" s="69" t="str">
        <f>IF(OR(B95="",O95=""),"",--(COUNTIF(O91:O96,"&gt;0")=1))</f>
        <v/>
      </c>
      <c r="O95" s="51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</row>
    <row r="96" spans="1:110">
      <c r="A96" s="168">
        <v>6</v>
      </c>
      <c r="B96" s="71"/>
      <c r="C96" s="70" t="str" cm="1">
        <f t="array" aca="1" ref="C96" ca="1">IF(OR(B96="",O96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96" s="67" t="str" cm="1">
        <f t="array" aca="1" ref="D96" ca="1">IF(OR(B96="",O96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96" s="67" t="str" cm="1">
        <f t="array" aca="1" ref="E96" ca="1">IF(OR(B96="",O96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96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96" s="67" t="str" cm="1">
        <f t="array" aca="1" ref="F96" ca="1">IF(OR(B96="",O96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96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96" s="67" t="str" cm="1">
        <f t="array" aca="1" ref="G96" ca="1">IF(OR(B96="",O96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96" s="67" t="str" cm="1">
        <f t="array" aca="1" ref="H96" ca="1">IF(OR(B96="",O96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96" s="68" t="str" cm="1">
        <f t="array" aca="1" ref="I96" ca="1">IF(OR(B96="",O96=""),"",_xlfn.LET(_xlpm.flatPAraw,_xlfn.TOCOL(_xlfn.CHOOSECOLS(C58:L66,1,3,5,7,9),0,TRUE),_xlpm.flatPARraw,_xlfn.TOCOL(_xlfn.CHOOSECOLS(C58:L66,2,4,6,8,10),0,TRUE),_xlpm.flatPA,_xlfn._xlws.FILTER(_xlpm.flatPAraw,_xlpm.flatPAraw&lt;&gt;""),_xlpm.flatPAR,_xlfn._xlws.FILTER(_xlpm.flatPARraw,_xlpm.flatPAraw&lt;&gt;""),_xlpm.prev,IF(ROW()=ROW(C91),0,SUM(INDEX(O:O,ROW(C91)):INDEX(O:O,ROW()-1))),_xlpm.need,O96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96" s="68" t="str" cm="1">
        <f t="array" aca="1" ref="J96" ca="1">IF(OR(B96="",O96=""),"",--($K$54&gt;$K$53)*--(ROW()-ROW(C90)=_xlfn.XLOOKUP(MAX(IF(O91:O96&gt;0,INT(C91:C96)*3+MOD(ROUND(C91:C96*10,0),10),-1)),IF(O91:O96&gt;0,INT(C91:C96)*3+MOD(ROUND(C91:C96*10,0),10),-1),_xlfn.SEQUENCE(ROWS(O91:O96)),,0)))</f>
        <v/>
      </c>
      <c r="K96" s="68" t="str" cm="1">
        <f t="array" aca="1" ref="K96" ca="1">IF(OR(B96="",O96=""),"",--($K$54&lt;$K$53)*--(ROW()-ROW(C90)=_xlfn.XLOOKUP(MAX(IF(O91:O96&gt;0,E91:E96,-1)),IF(O91:O96&gt;0,E91:E96,-1),_xlfn.SEQUENCE(ROWS(O91:O96)),,0)))</f>
        <v/>
      </c>
      <c r="L96" s="68" t="str" cm="1">
        <f t="array" aca="1" ref="L96" ca="1">IF(OR(B96="",O96=""),"",--($K$54&gt;$K$53)*--(COUNTIF(O91:O96,"&gt;0")&gt;1)*--(ROW()-ROW(C90)=_xlfn.XLOOKUP(TRUE,O91:O96&gt;0,_xlfn.SEQUENCE(ROWS(O91:O96)),,0,-1))*--(_xlfn.XLOOKUP(TRUE,O91:O96&gt;0,_xlfn.SEQUENCE(ROWS(O91:O96)),,0,-1)&lt;&gt;_xlfn.XLOOKUP(MAX(IF(O91:O96&gt;0,INT(C91:C96)*3+MOD(ROUND(C91:C96*10,0),10),-1)),IF(O91:O96&gt;0,INT(C91:C96)*3+MOD(ROUND(C91:C96*10,0),10),-1),_xlfn.SEQUENCE(ROWS(O91:O96)),,0))*--(($K$54-$K$53)&lt;=3)*--((INT(C96)*3+MOD(ROUND(C96*10,0),10))&gt;=3))</f>
        <v/>
      </c>
      <c r="M96" s="68" t="str">
        <f>IF(OR(B96="",O96=""),"",--(COUNTIF(O91:O96,"&gt;0")=1)*--($K$53=0))</f>
        <v/>
      </c>
      <c r="N96" s="69" t="str">
        <f>IF(OR(B96="",O96=""),"",--(COUNTIF(O91:O96,"&gt;0")=1))</f>
        <v/>
      </c>
      <c r="O96" s="51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</row>
    <row r="97" spans="1:110">
      <c r="A97" s="173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</row>
    <row r="98" spans="1:110">
      <c r="A98" s="174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</row>
    <row r="99" spans="1:110">
      <c r="A99" s="217" t="str">
        <f>"Game 3 "</f>
        <v xml:space="preserve">Game 3 </v>
      </c>
      <c r="B99" s="218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9"/>
      <c r="N99" s="207"/>
      <c r="O99" s="36"/>
      <c r="P99" s="37"/>
      <c r="Q99" s="38"/>
      <c r="R99" s="38"/>
      <c r="S99" s="38"/>
      <c r="T99" s="38"/>
      <c r="U99" s="38"/>
      <c r="V99" s="38"/>
      <c r="W99" s="38"/>
      <c r="X99" s="3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</row>
    <row r="100" spans="1:110">
      <c r="A100" s="169" t="s">
        <v>33</v>
      </c>
      <c r="B100" s="40">
        <f>Settings!$B$2</f>
        <v>1</v>
      </c>
      <c r="C100" s="41"/>
      <c r="D100" s="40" t="s">
        <v>95</v>
      </c>
      <c r="E100" s="41"/>
      <c r="F100" s="40" t="str">
        <f>Bracket!$F$8</f>
        <v>G3</v>
      </c>
      <c r="G100" s="41"/>
      <c r="H100" s="40" t="s">
        <v>97</v>
      </c>
      <c r="I100" s="41"/>
      <c r="J100" s="40" t="str">
        <f>Bracket!$G$8</f>
        <v>Winners R2-1</v>
      </c>
      <c r="K100" s="41"/>
      <c r="L100" s="40" t="s">
        <v>134</v>
      </c>
      <c r="M100" s="24"/>
      <c r="N100" s="194" t="str">
        <f ca="1">Bracket!$H$8</f>
        <v>May</v>
      </c>
      <c r="O100" s="24"/>
      <c r="P100" s="18"/>
      <c r="Q100" s="18"/>
      <c r="R100" s="117" t="str">
        <f ca="1">Bracket!$I$8</f>
        <v>Nick</v>
      </c>
      <c r="S100" s="18"/>
      <c r="T100" s="18"/>
      <c r="U100" s="18"/>
      <c r="V100" s="114" t="str">
        <f ca="1">Bracket!$L$8</f>
        <v>Nick</v>
      </c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</row>
    <row r="101" spans="1:110">
      <c r="A101" s="170" t="s">
        <v>160</v>
      </c>
      <c r="B101" s="72">
        <v>1</v>
      </c>
      <c r="C101" s="72">
        <v>2</v>
      </c>
      <c r="D101" s="72">
        <v>3</v>
      </c>
      <c r="E101" s="72">
        <v>4</v>
      </c>
      <c r="F101" s="72">
        <v>5</v>
      </c>
      <c r="G101" s="72">
        <v>6</v>
      </c>
      <c r="H101" s="72">
        <v>7</v>
      </c>
      <c r="I101" s="73">
        <v>8</v>
      </c>
      <c r="J101" s="73">
        <v>9</v>
      </c>
      <c r="K101" s="73" t="s">
        <v>161</v>
      </c>
      <c r="L101" s="73" t="s">
        <v>162</v>
      </c>
      <c r="M101" s="74" t="s">
        <v>163</v>
      </c>
      <c r="N101" s="24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</row>
    <row r="102" spans="1:110">
      <c r="A102" s="195" t="str">
        <f ca="1">N100</f>
        <v>May</v>
      </c>
      <c r="B102" s="75" cm="1">
        <f t="array" ref="B102">IFERROR(_xlfn.LET(_xlpm.flatPAraw,_xlfn.TOCOL(_xlfn.CHOOSECOLS(C107:L115,1,3,5,7,9),0,TRUE),_xlpm.flatPARraw,_xlfn.TOCOL(_xlfn.CHOOSECOLS(C107:L115,2,4,6,8,10)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102" s="75" cm="1">
        <f t="array" ref="C102">IFERROR(_xlfn.LET(_xlpm.flatPAraw,_xlfn.TOCOL(_xlfn.CHOOSECOLS(C107:L115,1,3,5,7,9),0,TRUE),_xlpm.flatPARraw,_xlfn.TOCOL(_xlfn.CHOOSECOLS(C107:L115,2,4,6,8,10)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1</v>
      </c>
      <c r="D102" s="75" cm="1">
        <f t="array" ref="D102">IFERROR(_xlfn.LET(_xlpm.flatPAraw,_xlfn.TOCOL(_xlfn.CHOOSECOLS(C107:L115,1,3,5,7,9),0,TRUE),_xlpm.flatPARraw,_xlfn.TOCOL(_xlfn.CHOOSECOLS(C107:L115,2,4,6,8,10)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102" s="75" cm="1">
        <f t="array" ref="E102">IFERROR(_xlfn.LET(_xlpm.flatPAraw,_xlfn.TOCOL(_xlfn.CHOOSECOLS(C107:L115,1,3,5,7,9),0,TRUE),_xlpm.flatPARraw,_xlfn.TOCOL(_xlfn.CHOOSECOLS(C107:L115,2,4,6,8,10)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102" s="75" cm="1">
        <f t="array" ref="F102">IFERROR(_xlfn.LET(_xlpm.flatPAraw,_xlfn.TOCOL(_xlfn.CHOOSECOLS(C107:L115,1,3,5,7,9),0,TRUE),_xlpm.flatPARraw,_xlfn.TOCOL(_xlfn.CHOOSECOLS(C107:L115,2,4,6,8,10)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102" s="75" cm="1">
        <f t="array" ref="G102">IFERROR(_xlfn.LET(_xlpm.flatPAraw,_xlfn.TOCOL(_xlfn.CHOOSECOLS(C107:L115,1,3,5,7,9),0,TRUE),_xlpm.flatPARraw,_xlfn.TOCOL(_xlfn.CHOOSECOLS(C107:L115,2,4,6,8,10)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102" s="75" cm="1">
        <f t="array" ref="H102">IFERROR(_xlfn.LET(_xlpm.flatPAraw,_xlfn.TOCOL(_xlfn.CHOOSECOLS(C107:L115,1,3,5,7,9),0,TRUE),_xlpm.flatPARraw,_xlfn.TOCOL(_xlfn.CHOOSECOLS(C107:L115,2,4,6,8,10)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102" s="76" cm="1">
        <f t="array" ref="I102">IFERROR(_xlfn.LET(_xlpm.flatPAraw,_xlfn.TOCOL(_xlfn.CHOOSECOLS(C107:L115,1,3,5,7,9),0,TRUE),_xlpm.flatPARraw,_xlfn.TOCOL(_xlfn.CHOOSECOLS(C107:L115,2,4,6,8,10)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102" s="76" cm="1">
        <f t="array" ref="J102">IFERROR(_xlfn.LET(_xlpm.flatPAraw,_xlfn.TOCOL(_xlfn.CHOOSECOLS(C107:L115,1,3,5,7,9),0,TRUE),_xlpm.flatPARraw,_xlfn.TOCOL(_xlfn.CHOOSECOLS(C107:L115,2,4,6,8,10)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102" s="164">
        <f>SUM(B102:J102)</f>
        <v>1</v>
      </c>
      <c r="L102" s="77">
        <f ca="1">SUM(O107:O115)</f>
        <v>7</v>
      </c>
      <c r="M102" s="78">
        <f>COUNTIF(C128:L136,"ROE")</f>
        <v>0</v>
      </c>
      <c r="N102" s="24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</row>
    <row r="103" spans="1:110">
      <c r="A103" s="172" t="str">
        <f ca="1">R100</f>
        <v>Nick</v>
      </c>
      <c r="B103" s="79" cm="1">
        <f t="array" ref="B103">IFERROR(_xlfn.LET(_xlpm.flatPAraw,_xlfn.TOCOL(_xlfn.CHOOSECOLS(C128:L136,1,3,5,7,9),0,TRUE),_xlpm.flatPARraw,_xlfn.TOCOL(_xlfn.CHOOSECOLS(C128:L136,2,4,6,8,10)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1</v>
      </c>
      <c r="C103" s="79" cm="1">
        <f t="array" ref="C103">IFERROR(_xlfn.LET(_xlpm.flatPAraw,_xlfn.TOCOL(_xlfn.CHOOSECOLS(C128:L136,1,3,5,7,9),0,TRUE),_xlpm.flatPARraw,_xlfn.TOCOL(_xlfn.CHOOSECOLS(C128:L136,2,4,6,8,10)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103" s="79" cm="1">
        <f t="array" ref="D103">IFERROR(_xlfn.LET(_xlpm.flatPAraw,_xlfn.TOCOL(_xlfn.CHOOSECOLS(C128:L136,1,3,5,7,9),0,TRUE),_xlpm.flatPARraw,_xlfn.TOCOL(_xlfn.CHOOSECOLS(C128:L136,2,4,6,8,10)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103" s="79" cm="1">
        <f t="array" ref="E103">IFERROR(_xlfn.LET(_xlpm.flatPAraw,_xlfn.TOCOL(_xlfn.CHOOSECOLS(C128:L136,1,3,5,7,9),0,TRUE),_xlpm.flatPARraw,_xlfn.TOCOL(_xlfn.CHOOSECOLS(C128:L136,2,4,6,8,10)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1</v>
      </c>
      <c r="F103" s="79" cm="1">
        <f t="array" ref="F103">IFERROR(_xlfn.LET(_xlpm.flatPAraw,_xlfn.TOCOL(_xlfn.CHOOSECOLS(C128:L136,1,3,5,7,9),0,TRUE),_xlpm.flatPARraw,_xlfn.TOCOL(_xlfn.CHOOSECOLS(C128:L136,2,4,6,8,10)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103" s="79" cm="1">
        <f t="array" ref="G103">IFERROR(_xlfn.LET(_xlpm.flatPAraw,_xlfn.TOCOL(_xlfn.CHOOSECOLS(C128:L136,1,3,5,7,9),0,TRUE),_xlpm.flatPARraw,_xlfn.TOCOL(_xlfn.CHOOSECOLS(C128:L136,2,4,6,8,10)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103" s="79" cm="1">
        <f t="array" ref="H103">IFERROR(_xlfn.LET(_xlpm.flatPAraw,_xlfn.TOCOL(_xlfn.CHOOSECOLS(C128:L136,1,3,5,7,9),0,TRUE),_xlpm.flatPARraw,_xlfn.TOCOL(_xlfn.CHOOSECOLS(C128:L136,2,4,6,8,10)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103" s="80" cm="1">
        <f t="array" ref="I103">IFERROR(_xlfn.LET(_xlpm.flatPAraw,_xlfn.TOCOL(_xlfn.CHOOSECOLS(C128:L136,1,3,5,7,9),0,TRUE),_xlpm.flatPARraw,_xlfn.TOCOL(_xlfn.CHOOSECOLS(C128:L136,2,4,6,8,10)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103" s="80" cm="1">
        <f t="array" ref="J103">IFERROR(_xlfn.LET(_xlpm.flatPAraw,_xlfn.TOCOL(_xlfn.CHOOSECOLS(C128:L136,1,3,5,7,9),0,TRUE),_xlpm.flatPARraw,_xlfn.TOCOL(_xlfn.CHOOSECOLS(C128:L136,2,4,6,8,10)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103" s="165">
        <f>SUM(B103:J103)</f>
        <v>2</v>
      </c>
      <c r="L103" s="81">
        <f ca="1">SUM(O128:O136)</f>
        <v>5</v>
      </c>
      <c r="M103" s="82">
        <f>COUNTIF(C107:L115,"ROE")</f>
        <v>0</v>
      </c>
      <c r="N103" s="24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</row>
    <row r="104" spans="1:110">
      <c r="A104" s="173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</row>
    <row r="105" spans="1:110">
      <c r="A105" s="205" t="str">
        <f ca="1">IF($N$100="","Team A Batting",$N$100&amp;" Batting")</f>
        <v>May Batting</v>
      </c>
      <c r="B105" s="206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  <c r="N105" s="206"/>
      <c r="O105" s="181"/>
      <c r="P105" s="182"/>
      <c r="Q105" s="182"/>
      <c r="R105" s="182"/>
      <c r="S105" s="182"/>
      <c r="T105" s="182"/>
      <c r="U105" s="182"/>
      <c r="V105" s="182"/>
      <c r="W105" s="182"/>
      <c r="X105" s="182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</row>
    <row r="106" spans="1:110">
      <c r="A106" s="167" t="s">
        <v>164</v>
      </c>
      <c r="B106" s="43" t="s">
        <v>39</v>
      </c>
      <c r="C106" s="43" t="s">
        <v>165</v>
      </c>
      <c r="D106" s="43" t="s">
        <v>166</v>
      </c>
      <c r="E106" s="43" t="s">
        <v>167</v>
      </c>
      <c r="F106" s="43" t="s">
        <v>168</v>
      </c>
      <c r="G106" s="43" t="s">
        <v>169</v>
      </c>
      <c r="H106" s="43" t="s">
        <v>170</v>
      </c>
      <c r="I106" s="43" t="s">
        <v>171</v>
      </c>
      <c r="J106" s="43" t="s">
        <v>172</v>
      </c>
      <c r="K106" s="43" t="s">
        <v>173</v>
      </c>
      <c r="L106" s="43" t="s">
        <v>174</v>
      </c>
      <c r="M106" s="43" t="s">
        <v>175</v>
      </c>
      <c r="N106" s="44" t="s">
        <v>161</v>
      </c>
      <c r="O106" s="44" t="s">
        <v>162</v>
      </c>
      <c r="P106" s="44" t="s">
        <v>176</v>
      </c>
      <c r="Q106" s="44" t="s">
        <v>177</v>
      </c>
      <c r="R106" s="44" t="s">
        <v>178</v>
      </c>
      <c r="S106" s="44" t="s">
        <v>179</v>
      </c>
      <c r="T106" s="44" t="s">
        <v>180</v>
      </c>
      <c r="U106" s="44" t="s">
        <v>181</v>
      </c>
      <c r="V106" s="44" t="s">
        <v>182</v>
      </c>
      <c r="W106" s="44" t="s">
        <v>183</v>
      </c>
      <c r="X106" s="45" t="s">
        <v>184</v>
      </c>
      <c r="Y106" s="45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</row>
    <row r="107" spans="1:110">
      <c r="A107" s="168">
        <v>1</v>
      </c>
      <c r="B107" s="47" t="str">
        <f ca="1">Lineups!$C$33</f>
        <v>Birdo</v>
      </c>
      <c r="C107" s="48" t="s">
        <v>193</v>
      </c>
      <c r="D107" s="49"/>
      <c r="E107" s="49" t="s">
        <v>188</v>
      </c>
      <c r="F107" s="49"/>
      <c r="G107" s="49" t="s">
        <v>205</v>
      </c>
      <c r="H107" s="50"/>
      <c r="I107" s="50"/>
      <c r="J107" s="50"/>
      <c r="K107" s="50"/>
      <c r="L107" s="50"/>
      <c r="M107" s="67">
        <f ca="1">IF($B107="","",SUM(_xlfn.XLOOKUP(C107,Lists!$P$2:$P$19,Lists!$R$2:$R$19,0),_xlfn.XLOOKUP(E107,Lists!$P$2:$P$19,Lists!$R$2:$R$19,0),_xlfn.XLOOKUP(G107,Lists!$P$2:$P$19,Lists!$R$2:$R$19,0),_xlfn.XLOOKUP(I107,Lists!$P$2:$P$19,Lists!$R$2:$R$19,0),_xlfn.XLOOKUP(K107,Lists!$P$2:$P$19,Lists!$R$2:$R$19,0)))</f>
        <v>3</v>
      </c>
      <c r="N107" s="68">
        <f ca="1">IF($B107="","",SUM(_xlfn.XLOOKUP(D107,Lists!$AC$2:$AC$9,Lists!$AE$2:$AE$9,0),_xlfn.XLOOKUP(F107,Lists!$AC$2:$AC$9,Lists!$AE$2:$AE$9,0),_xlfn.XLOOKUP(H107,Lists!$AC$2:$AC$9,Lists!$AE$2:$AE$9,0),_xlfn.XLOOKUP(J107,Lists!$AC$2:$AC$9,Lists!$AE$2:$AE$9,0),_xlfn.XLOOKUP(L107,Lists!$AC$2:$AC$9,Lists!$AE$2:$AE$9,0)))</f>
        <v>0</v>
      </c>
      <c r="O107" s="68">
        <f ca="1">IF($B107="","",SUM(_xlfn.XLOOKUP(C107,Lists!$P$2:$P$19,Lists!$S$2:$S$19,0),_xlfn.XLOOKUP(E107,Lists!$P$2:$P$19,Lists!$S$2:$S$19,0),_xlfn.XLOOKUP(G107,Lists!$P$2:$P$19,Lists!$S$2:$S$19,0),_xlfn.XLOOKUP(I107,Lists!$P$2:$P$19,Lists!$S$2:$S$19,0),_xlfn.XLOOKUP(K107,Lists!$P$2:$P$19,Lists!$S$2:$S$19,0)))</f>
        <v>1</v>
      </c>
      <c r="P107" s="68">
        <f ca="1">IF($B107="","",SUM(_xlfn.XLOOKUP(C107,Lists!$P$2:$P$19,Lists!$T$2:$T$19,0),_xlfn.XLOOKUP(E107,Lists!$P$2:$P$19,Lists!$T$2:$T$19,0),_xlfn.XLOOKUP(G107,Lists!$P$2:$P$19,Lists!$T$2:$T$19,0),_xlfn.XLOOKUP(I107,Lists!$P$2:$P$19,Lists!$T$2:$T$19,0),_xlfn.XLOOKUP(K107,Lists!$P$2:$P$19,Lists!$T$2:$T$19,0)))</f>
        <v>0</v>
      </c>
      <c r="Q107" s="68">
        <f ca="1">IF($B107="","",SUM(_xlfn.XLOOKUP(C107,Lists!$P$2:$P$19,Lists!$U$2:$U$19,0),_xlfn.XLOOKUP(E107,Lists!$P$2:$P$19,Lists!$U$2:$U$19,0),_xlfn.XLOOKUP(G107,Lists!$P$2:$P$19,Lists!$U$2:$U$19,0),_xlfn.XLOOKUP(I107,Lists!$P$2:$P$19,Lists!$U$2:$U$19,0),_xlfn.XLOOKUP(K107,Lists!$P$2:$P$19,Lists!$U$2:$U$19,0)))</f>
        <v>0</v>
      </c>
      <c r="R107" s="68">
        <f ca="1">IF($B107="","",SUM(_xlfn.XLOOKUP(C107,Lists!$P$2:$P$19,Lists!$V$2:$V$19,0),_xlfn.XLOOKUP(E107,Lists!$P$2:$P$19,Lists!$V$2:$V$19,0),_xlfn.XLOOKUP(G107,Lists!$P$2:$P$19,Lists!$V$2:$V$19,0),_xlfn.XLOOKUP(I107,Lists!$P$2:$P$19,Lists!$V$2:$V$19,0),_xlfn.XLOOKUP(K107,Lists!$P$2:$P$19,Lists!$V$2:$V$19,0)))</f>
        <v>0</v>
      </c>
      <c r="S107" s="68">
        <f ca="1">IF($B107="","",SUM(_xlfn.XLOOKUP(D107,Lists!$AC$2:$AC$9,Lists!$AD$2:$AD$9,0),_xlfn.XLOOKUP(F107,Lists!$AC$2:$AC$9,Lists!$AD$2:$AD$9,0),_xlfn.XLOOKUP(H107,Lists!$AC$2:$AC$9,Lists!$AD$2:$AD$9,0),_xlfn.XLOOKUP(J107,Lists!$AC$2:$AC$9,Lists!$AD$2:$AD$9,0),_xlfn.XLOOKUP(L107,Lists!$AC$2:$AC$9,Lists!$AD$2:$AD$9,0)))</f>
        <v>0</v>
      </c>
      <c r="T107" s="68">
        <f ca="1">IF($B107="","",SUM(_xlfn.XLOOKUP(C107,Lists!$P$2:$P$19,Lists!$W$2:$W$19,0),_xlfn.XLOOKUP(E107,Lists!$P$2:$P$19,Lists!$W$2:$W$19,0),_xlfn.XLOOKUP(G107,Lists!$P$2:$P$19,Lists!$W$2:$W$19,0),_xlfn.XLOOKUP(I107,Lists!$P$2:$P$19,Lists!$W$2:$W$19,0),_xlfn.XLOOKUP(K107,Lists!$P$2:$P$19,Lists!$W$2:$W$19,0)))</f>
        <v>0</v>
      </c>
      <c r="U107" s="68">
        <f ca="1">IF($B107="","",SUM(_xlfn.XLOOKUP(C107,Lists!$P$2:$P$19,Lists!$X$2:$X$19,0),_xlfn.XLOOKUP(E107,Lists!$P$2:$P$19,Lists!$X$2:$X$19,0),_xlfn.XLOOKUP(G107,Lists!$P$2:$P$19,Lists!$X$2:$X$19,0),_xlfn.XLOOKUP(I107,Lists!$P$2:$P$19,Lists!$X$2:$X$19,0),_xlfn.XLOOKUP(K107,Lists!$P$2:$P$19,Lists!$X$2:$X$19,0)))</f>
        <v>0</v>
      </c>
      <c r="V107" s="68">
        <f ca="1">IF($B107="","",SUM(_xlfn.XLOOKUP(C107,Lists!$P$2:$P$19,Lists!$Y$2:$Y$19,0),_xlfn.XLOOKUP(E107,Lists!$P$2:$P$19,Lists!$Y$2:$Y$19,0),_xlfn.XLOOKUP(G107,Lists!$P$2:$P$19,Lists!$Y$2:$Y$19,0),_xlfn.XLOOKUP(I107,Lists!$P$2:$P$19,Lists!$Y$2:$Y$19,0),_xlfn.XLOOKUP(K107,Lists!$P$2:$P$19,Lists!$Y$2:$Y$19,0)))</f>
        <v>0</v>
      </c>
      <c r="W107" s="68">
        <f ca="1">IF($B107="","",SUM(_xlfn.XLOOKUP(C107,Lists!$P$2:$P$19,Lists!$Z$2:$Z$19,0),_xlfn.XLOOKUP(E107,Lists!$P$2:$P$19,Lists!$Z$2:$Z$19,0),_xlfn.XLOOKUP(G107,Lists!$P$2:$P$19,Lists!$Z$2:$Z$19,0),_xlfn.XLOOKUP(I107,Lists!$P$2:$P$19,Lists!$Z$2:$Z$19,0),_xlfn.XLOOKUP(K107,Lists!$P$2:$P$19,Lists!$Z$2:$Z$19,0)))</f>
        <v>0</v>
      </c>
      <c r="X107" s="69">
        <f ca="1">IF($B107="","",SUM(_xlfn.XLOOKUP(C107,Lists!$P$2:$P$19,Lists!$AA$2:$AA$19,0),_xlfn.XLOOKUP(E107,Lists!$P$2:$P$19,Lists!$AA$2:$AA$19,0),_xlfn.XLOOKUP(G107,Lists!$P$2:$P$19,Lists!$AA$2:$AA$19,0),_xlfn.XLOOKUP(I107,Lists!$P$2:$P$19,Lists!$AA$2:$AA$19,0),_xlfn.XLOOKUP(K107,Lists!$P$2:$P$19,Lists!$AA$2:$AA$19,0)))</f>
        <v>0</v>
      </c>
      <c r="Y107" s="4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</row>
    <row r="108" spans="1:110">
      <c r="A108" s="168">
        <v>2</v>
      </c>
      <c r="B108" s="47" t="str">
        <f ca="1">Lineups!$C$34</f>
        <v>Petey Piranha</v>
      </c>
      <c r="C108" s="49" t="s">
        <v>189</v>
      </c>
      <c r="D108" s="49"/>
      <c r="E108" s="49" t="s">
        <v>189</v>
      </c>
      <c r="F108" s="49"/>
      <c r="G108" s="49"/>
      <c r="H108" s="50"/>
      <c r="I108" s="50"/>
      <c r="J108" s="50"/>
      <c r="K108" s="50"/>
      <c r="L108" s="50"/>
      <c r="M108" s="67">
        <f ca="1">IF($B108="","",SUM(_xlfn.XLOOKUP(C108,Lists!$P$2:$P$19,Lists!$R$2:$R$19,0),_xlfn.XLOOKUP(E108,Lists!$P$2:$P$19,Lists!$R$2:$R$19,0),_xlfn.XLOOKUP(G108,Lists!$P$2:$P$19,Lists!$R$2:$R$19,0),_xlfn.XLOOKUP(I108,Lists!$P$2:$P$19,Lists!$R$2:$R$19,0),_xlfn.XLOOKUP(K108,Lists!$P$2:$P$19,Lists!$R$2:$R$19,0)))</f>
        <v>2</v>
      </c>
      <c r="N108" s="68">
        <f ca="1">IF($B108="","",SUM(_xlfn.XLOOKUP(D108,Lists!$AC$2:$AC$9,Lists!$AE$2:$AE$9,0),_xlfn.XLOOKUP(F108,Lists!$AC$2:$AC$9,Lists!$AE$2:$AE$9,0),_xlfn.XLOOKUP(H108,Lists!$AC$2:$AC$9,Lists!$AE$2:$AE$9,0),_xlfn.XLOOKUP(J108,Lists!$AC$2:$AC$9,Lists!$AE$2:$AE$9,0),_xlfn.XLOOKUP(L108,Lists!$AC$2:$AC$9,Lists!$AE$2:$AE$9,0)))</f>
        <v>0</v>
      </c>
      <c r="O108" s="68">
        <f ca="1">IF($B108="","",SUM(_xlfn.XLOOKUP(C108,Lists!$P$2:$P$19,Lists!$S$2:$S$19,0),_xlfn.XLOOKUP(E108,Lists!$P$2:$P$19,Lists!$S$2:$S$19,0),_xlfn.XLOOKUP(G108,Lists!$P$2:$P$19,Lists!$S$2:$S$19,0),_xlfn.XLOOKUP(I108,Lists!$P$2:$P$19,Lists!$S$2:$S$19,0),_xlfn.XLOOKUP(K108,Lists!$P$2:$P$19,Lists!$S$2:$S$19,0)))</f>
        <v>0</v>
      </c>
      <c r="P108" s="68">
        <f ca="1">IF($B108="","",SUM(_xlfn.XLOOKUP(C108,Lists!$P$2:$P$19,Lists!$T$2:$T$19,0),_xlfn.XLOOKUP(E108,Lists!$P$2:$P$19,Lists!$T$2:$T$19,0),_xlfn.XLOOKUP(G108,Lists!$P$2:$P$19,Lists!$T$2:$T$19,0),_xlfn.XLOOKUP(I108,Lists!$P$2:$P$19,Lists!$T$2:$T$19,0),_xlfn.XLOOKUP(K108,Lists!$P$2:$P$19,Lists!$T$2:$T$19,0)))</f>
        <v>0</v>
      </c>
      <c r="Q108" s="68">
        <f ca="1">IF($B108="","",SUM(_xlfn.XLOOKUP(C108,Lists!$P$2:$P$19,Lists!$U$2:$U$19,0),_xlfn.XLOOKUP(E108,Lists!$P$2:$P$19,Lists!$U$2:$U$19,0),_xlfn.XLOOKUP(G108,Lists!$P$2:$P$19,Lists!$U$2:$U$19,0),_xlfn.XLOOKUP(I108,Lists!$P$2:$P$19,Lists!$U$2:$U$19,0),_xlfn.XLOOKUP(K108,Lists!$P$2:$P$19,Lists!$U$2:$U$19,0)))</f>
        <v>0</v>
      </c>
      <c r="R108" s="68">
        <f ca="1">IF($B108="","",SUM(_xlfn.XLOOKUP(C108,Lists!$P$2:$P$19,Lists!$V$2:$V$19,0),_xlfn.XLOOKUP(E108,Lists!$P$2:$P$19,Lists!$V$2:$V$19,0),_xlfn.XLOOKUP(G108,Lists!$P$2:$P$19,Lists!$V$2:$V$19,0),_xlfn.XLOOKUP(I108,Lists!$P$2:$P$19,Lists!$V$2:$V$19,0),_xlfn.XLOOKUP(K108,Lists!$P$2:$P$19,Lists!$V$2:$V$19,0)))</f>
        <v>0</v>
      </c>
      <c r="S108" s="68">
        <f ca="1">IF($B108="","",SUM(_xlfn.XLOOKUP(D108,Lists!$AC$2:$AC$9,Lists!$AD$2:$AD$9,0),_xlfn.XLOOKUP(F108,Lists!$AC$2:$AC$9,Lists!$AD$2:$AD$9,0),_xlfn.XLOOKUP(H108,Lists!$AC$2:$AC$9,Lists!$AD$2:$AD$9,0),_xlfn.XLOOKUP(J108,Lists!$AC$2:$AC$9,Lists!$AD$2:$AD$9,0),_xlfn.XLOOKUP(L108,Lists!$AC$2:$AC$9,Lists!$AD$2:$AD$9,0)))</f>
        <v>0</v>
      </c>
      <c r="T108" s="68">
        <f ca="1">IF($B108="","",SUM(_xlfn.XLOOKUP(C108,Lists!$P$2:$P$19,Lists!$W$2:$W$19,0),_xlfn.XLOOKUP(E108,Lists!$P$2:$P$19,Lists!$W$2:$W$19,0),_xlfn.XLOOKUP(G108,Lists!$P$2:$P$19,Lists!$W$2:$W$19,0),_xlfn.XLOOKUP(I108,Lists!$P$2:$P$19,Lists!$W$2:$W$19,0),_xlfn.XLOOKUP(K108,Lists!$P$2:$P$19,Lists!$W$2:$W$19,0)))</f>
        <v>0</v>
      </c>
      <c r="U108" s="68">
        <f ca="1">IF($B108="","",SUM(_xlfn.XLOOKUP(C108,Lists!$P$2:$P$19,Lists!$X$2:$X$19,0),_xlfn.XLOOKUP(E108,Lists!$P$2:$P$19,Lists!$X$2:$X$19,0),_xlfn.XLOOKUP(G108,Lists!$P$2:$P$19,Lists!$X$2:$X$19,0),_xlfn.XLOOKUP(I108,Lists!$P$2:$P$19,Lists!$X$2:$X$19,0),_xlfn.XLOOKUP(K108,Lists!$P$2:$P$19,Lists!$X$2:$X$19,0)))</f>
        <v>0</v>
      </c>
      <c r="V108" s="68">
        <f ca="1">IF($B108="","",SUM(_xlfn.XLOOKUP(C108,Lists!$P$2:$P$19,Lists!$Y$2:$Y$19,0),_xlfn.XLOOKUP(E108,Lists!$P$2:$P$19,Lists!$Y$2:$Y$19,0),_xlfn.XLOOKUP(G108,Lists!$P$2:$P$19,Lists!$Y$2:$Y$19,0),_xlfn.XLOOKUP(I108,Lists!$P$2:$P$19,Lists!$Y$2:$Y$19,0),_xlfn.XLOOKUP(K108,Lists!$P$2:$P$19,Lists!$Y$2:$Y$19,0)))</f>
        <v>0</v>
      </c>
      <c r="W108" s="68">
        <f ca="1">IF($B108="","",SUM(_xlfn.XLOOKUP(C108,Lists!$P$2:$P$19,Lists!$Z$2:$Z$19,0),_xlfn.XLOOKUP(E108,Lists!$P$2:$P$19,Lists!$Z$2:$Z$19,0),_xlfn.XLOOKUP(G108,Lists!$P$2:$P$19,Lists!$Z$2:$Z$19,0),_xlfn.XLOOKUP(I108,Lists!$P$2:$P$19,Lists!$Z$2:$Z$19,0),_xlfn.XLOOKUP(K108,Lists!$P$2:$P$19,Lists!$Z$2:$Z$19,0)))</f>
        <v>0</v>
      </c>
      <c r="X108" s="69">
        <f ca="1">IF($B108="","",SUM(_xlfn.XLOOKUP(C108,Lists!$P$2:$P$19,Lists!$AA$2:$AA$19,0),_xlfn.XLOOKUP(E108,Lists!$P$2:$P$19,Lists!$AA$2:$AA$19,0),_xlfn.XLOOKUP(G108,Lists!$P$2:$P$19,Lists!$AA$2:$AA$19,0),_xlfn.XLOOKUP(I108,Lists!$P$2:$P$19,Lists!$AA$2:$AA$19,0),_xlfn.XLOOKUP(K108,Lists!$P$2:$P$19,Lists!$AA$2:$AA$19,0)))</f>
        <v>0</v>
      </c>
      <c r="Y108" s="49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</row>
    <row r="109" spans="1:110">
      <c r="A109" s="168">
        <v>3</v>
      </c>
      <c r="B109" s="47" t="str">
        <f ca="1">Lineups!$C$35</f>
        <v>King Boo</v>
      </c>
      <c r="C109" s="49" t="s">
        <v>188</v>
      </c>
      <c r="D109" s="49"/>
      <c r="E109" s="49" t="s">
        <v>189</v>
      </c>
      <c r="F109" s="49"/>
      <c r="G109" s="49"/>
      <c r="H109" s="50"/>
      <c r="I109" s="50"/>
      <c r="J109" s="50"/>
      <c r="K109" s="50"/>
      <c r="L109" s="50"/>
      <c r="M109" s="67">
        <f ca="1">IF($B109="","",SUM(_xlfn.XLOOKUP(C109,Lists!$P$2:$P$19,Lists!$R$2:$R$19,0),_xlfn.XLOOKUP(E109,Lists!$P$2:$P$19,Lists!$R$2:$R$19,0),_xlfn.XLOOKUP(G109,Lists!$P$2:$P$19,Lists!$R$2:$R$19,0),_xlfn.XLOOKUP(I109,Lists!$P$2:$P$19,Lists!$R$2:$R$19,0),_xlfn.XLOOKUP(K109,Lists!$P$2:$P$19,Lists!$R$2:$R$19,0)))</f>
        <v>2</v>
      </c>
      <c r="N109" s="68">
        <f ca="1">IF($B109="","",SUM(_xlfn.XLOOKUP(D109,Lists!$AC$2:$AC$9,Lists!$AE$2:$AE$9,0),_xlfn.XLOOKUP(F109,Lists!$AC$2:$AC$9,Lists!$AE$2:$AE$9,0),_xlfn.XLOOKUP(H109,Lists!$AC$2:$AC$9,Lists!$AE$2:$AE$9,0),_xlfn.XLOOKUP(J109,Lists!$AC$2:$AC$9,Lists!$AE$2:$AE$9,0),_xlfn.XLOOKUP(L109,Lists!$AC$2:$AC$9,Lists!$AE$2:$AE$9,0)))</f>
        <v>0</v>
      </c>
      <c r="O109" s="68">
        <f ca="1">IF($B109="","",SUM(_xlfn.XLOOKUP(C109,Lists!$P$2:$P$19,Lists!$S$2:$S$19,0),_xlfn.XLOOKUP(E109,Lists!$P$2:$P$19,Lists!$S$2:$S$19,0),_xlfn.XLOOKUP(G109,Lists!$P$2:$P$19,Lists!$S$2:$S$19,0),_xlfn.XLOOKUP(I109,Lists!$P$2:$P$19,Lists!$S$2:$S$19,0),_xlfn.XLOOKUP(K109,Lists!$P$2:$P$19,Lists!$S$2:$S$19,0)))</f>
        <v>1</v>
      </c>
      <c r="P109" s="68">
        <f ca="1">IF($B109="","",SUM(_xlfn.XLOOKUP(C109,Lists!$P$2:$P$19,Lists!$T$2:$T$19,0),_xlfn.XLOOKUP(E109,Lists!$P$2:$P$19,Lists!$T$2:$T$19,0),_xlfn.XLOOKUP(G109,Lists!$P$2:$P$19,Lists!$T$2:$T$19,0),_xlfn.XLOOKUP(I109,Lists!$P$2:$P$19,Lists!$T$2:$T$19,0),_xlfn.XLOOKUP(K109,Lists!$P$2:$P$19,Lists!$T$2:$T$19,0)))</f>
        <v>0</v>
      </c>
      <c r="Q109" s="68">
        <f ca="1">IF($B109="","",SUM(_xlfn.XLOOKUP(C109,Lists!$P$2:$P$19,Lists!$U$2:$U$19,0),_xlfn.XLOOKUP(E109,Lists!$P$2:$P$19,Lists!$U$2:$U$19,0),_xlfn.XLOOKUP(G109,Lists!$P$2:$P$19,Lists!$U$2:$U$19,0),_xlfn.XLOOKUP(I109,Lists!$P$2:$P$19,Lists!$U$2:$U$19,0),_xlfn.XLOOKUP(K109,Lists!$P$2:$P$19,Lists!$U$2:$U$19,0)))</f>
        <v>0</v>
      </c>
      <c r="R109" s="68">
        <f ca="1">IF($B109="","",SUM(_xlfn.XLOOKUP(C109,Lists!$P$2:$P$19,Lists!$V$2:$V$19,0),_xlfn.XLOOKUP(E109,Lists!$P$2:$P$19,Lists!$V$2:$V$19,0),_xlfn.XLOOKUP(G109,Lists!$P$2:$P$19,Lists!$V$2:$V$19,0),_xlfn.XLOOKUP(I109,Lists!$P$2:$P$19,Lists!$V$2:$V$19,0),_xlfn.XLOOKUP(K109,Lists!$P$2:$P$19,Lists!$V$2:$V$19,0)))</f>
        <v>0</v>
      </c>
      <c r="S109" s="68">
        <f ca="1">IF($B109="","",SUM(_xlfn.XLOOKUP(D109,Lists!$AC$2:$AC$9,Lists!$AD$2:$AD$9,0),_xlfn.XLOOKUP(F109,Lists!$AC$2:$AC$9,Lists!$AD$2:$AD$9,0),_xlfn.XLOOKUP(H109,Lists!$AC$2:$AC$9,Lists!$AD$2:$AD$9,0),_xlfn.XLOOKUP(J109,Lists!$AC$2:$AC$9,Lists!$AD$2:$AD$9,0),_xlfn.XLOOKUP(L109,Lists!$AC$2:$AC$9,Lists!$AD$2:$AD$9,0)))</f>
        <v>0</v>
      </c>
      <c r="T109" s="68">
        <f ca="1">IF($B109="","",SUM(_xlfn.XLOOKUP(C109,Lists!$P$2:$P$19,Lists!$W$2:$W$19,0),_xlfn.XLOOKUP(E109,Lists!$P$2:$P$19,Lists!$W$2:$W$19,0),_xlfn.XLOOKUP(G109,Lists!$P$2:$P$19,Lists!$W$2:$W$19,0),_xlfn.XLOOKUP(I109,Lists!$P$2:$P$19,Lists!$W$2:$W$19,0),_xlfn.XLOOKUP(K109,Lists!$P$2:$P$19,Lists!$W$2:$W$19,0)))</f>
        <v>0</v>
      </c>
      <c r="U109" s="68">
        <f ca="1">IF($B109="","",SUM(_xlfn.XLOOKUP(C109,Lists!$P$2:$P$19,Lists!$X$2:$X$19,0),_xlfn.XLOOKUP(E109,Lists!$P$2:$P$19,Lists!$X$2:$X$19,0),_xlfn.XLOOKUP(G109,Lists!$P$2:$P$19,Lists!$X$2:$X$19,0),_xlfn.XLOOKUP(I109,Lists!$P$2:$P$19,Lists!$X$2:$X$19,0),_xlfn.XLOOKUP(K109,Lists!$P$2:$P$19,Lists!$X$2:$X$19,0)))</f>
        <v>0</v>
      </c>
      <c r="V109" s="68">
        <f ca="1">IF($B109="","",SUM(_xlfn.XLOOKUP(C109,Lists!$P$2:$P$19,Lists!$Y$2:$Y$19,0),_xlfn.XLOOKUP(E109,Lists!$P$2:$P$19,Lists!$Y$2:$Y$19,0),_xlfn.XLOOKUP(G109,Lists!$P$2:$P$19,Lists!$Y$2:$Y$19,0),_xlfn.XLOOKUP(I109,Lists!$P$2:$P$19,Lists!$Y$2:$Y$19,0),_xlfn.XLOOKUP(K109,Lists!$P$2:$P$19,Lists!$Y$2:$Y$19,0)))</f>
        <v>0</v>
      </c>
      <c r="W109" s="68">
        <f ca="1">IF($B109="","",SUM(_xlfn.XLOOKUP(C109,Lists!$P$2:$P$19,Lists!$Z$2:$Z$19,0),_xlfn.XLOOKUP(E109,Lists!$P$2:$P$19,Lists!$Z$2:$Z$19,0),_xlfn.XLOOKUP(G109,Lists!$P$2:$P$19,Lists!$Z$2:$Z$19,0),_xlfn.XLOOKUP(I109,Lists!$P$2:$P$19,Lists!$Z$2:$Z$19,0),_xlfn.XLOOKUP(K109,Lists!$P$2:$P$19,Lists!$Z$2:$Z$19,0)))</f>
        <v>0</v>
      </c>
      <c r="X109" s="69">
        <f ca="1">IF($B109="","",SUM(_xlfn.XLOOKUP(C109,Lists!$P$2:$P$19,Lists!$AA$2:$AA$19,0),_xlfn.XLOOKUP(E109,Lists!$P$2:$P$19,Lists!$AA$2:$AA$19,0),_xlfn.XLOOKUP(G109,Lists!$P$2:$P$19,Lists!$AA$2:$AA$19,0),_xlfn.XLOOKUP(I109,Lists!$P$2:$P$19,Lists!$AA$2:$AA$19,0),_xlfn.XLOOKUP(K109,Lists!$P$2:$P$19,Lists!$AA$2:$AA$19,0)))</f>
        <v>0</v>
      </c>
      <c r="Y109" s="49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</row>
    <row r="110" spans="1:110">
      <c r="A110" s="168">
        <v>4</v>
      </c>
      <c r="B110" s="47" t="str">
        <f ca="1">Lineups!$C$36</f>
        <v>Red Kritter</v>
      </c>
      <c r="C110" s="49" t="s">
        <v>180</v>
      </c>
      <c r="D110" s="49"/>
      <c r="E110" s="49" t="s">
        <v>189</v>
      </c>
      <c r="F110" s="49"/>
      <c r="G110" s="49"/>
      <c r="H110" s="50"/>
      <c r="I110" s="50"/>
      <c r="J110" s="50"/>
      <c r="K110" s="50"/>
      <c r="L110" s="50"/>
      <c r="M110" s="67">
        <f ca="1">IF($B110="","",SUM(_xlfn.XLOOKUP(C110,Lists!$P$2:$P$19,Lists!$R$2:$R$19,0),_xlfn.XLOOKUP(E110,Lists!$P$2:$P$19,Lists!$R$2:$R$19,0),_xlfn.XLOOKUP(G110,Lists!$P$2:$P$19,Lists!$R$2:$R$19,0),_xlfn.XLOOKUP(I110,Lists!$P$2:$P$19,Lists!$R$2:$R$19,0),_xlfn.XLOOKUP(K110,Lists!$P$2:$P$19,Lists!$R$2:$R$19,0)))</f>
        <v>1</v>
      </c>
      <c r="N110" s="68">
        <f ca="1">IF($B110="","",SUM(_xlfn.XLOOKUP(D110,Lists!$AC$2:$AC$9,Lists!$AE$2:$AE$9,0),_xlfn.XLOOKUP(F110,Lists!$AC$2:$AC$9,Lists!$AE$2:$AE$9,0),_xlfn.XLOOKUP(H110,Lists!$AC$2:$AC$9,Lists!$AE$2:$AE$9,0),_xlfn.XLOOKUP(J110,Lists!$AC$2:$AC$9,Lists!$AE$2:$AE$9,0),_xlfn.XLOOKUP(L110,Lists!$AC$2:$AC$9,Lists!$AE$2:$AE$9,0)))</f>
        <v>0</v>
      </c>
      <c r="O110" s="68">
        <f ca="1">IF($B110="","",SUM(_xlfn.XLOOKUP(C110,Lists!$P$2:$P$19,Lists!$S$2:$S$19,0),_xlfn.XLOOKUP(E110,Lists!$P$2:$P$19,Lists!$S$2:$S$19,0),_xlfn.XLOOKUP(G110,Lists!$P$2:$P$19,Lists!$S$2:$S$19,0),_xlfn.XLOOKUP(I110,Lists!$P$2:$P$19,Lists!$S$2:$S$19,0),_xlfn.XLOOKUP(K110,Lists!$P$2:$P$19,Lists!$S$2:$S$19,0)))</f>
        <v>0</v>
      </c>
      <c r="P110" s="68">
        <f ca="1">IF($B110="","",SUM(_xlfn.XLOOKUP(C110,Lists!$P$2:$P$19,Lists!$T$2:$T$19,0),_xlfn.XLOOKUP(E110,Lists!$P$2:$P$19,Lists!$T$2:$T$19,0),_xlfn.XLOOKUP(G110,Lists!$P$2:$P$19,Lists!$T$2:$T$19,0),_xlfn.XLOOKUP(I110,Lists!$P$2:$P$19,Lists!$T$2:$T$19,0),_xlfn.XLOOKUP(K110,Lists!$P$2:$P$19,Lists!$T$2:$T$19,0)))</f>
        <v>0</v>
      </c>
      <c r="Q110" s="68">
        <f ca="1">IF($B110="","",SUM(_xlfn.XLOOKUP(C110,Lists!$P$2:$P$19,Lists!$U$2:$U$19,0),_xlfn.XLOOKUP(E110,Lists!$P$2:$P$19,Lists!$U$2:$U$19,0),_xlfn.XLOOKUP(G110,Lists!$P$2:$P$19,Lists!$U$2:$U$19,0),_xlfn.XLOOKUP(I110,Lists!$P$2:$P$19,Lists!$U$2:$U$19,0),_xlfn.XLOOKUP(K110,Lists!$P$2:$P$19,Lists!$U$2:$U$19,0)))</f>
        <v>0</v>
      </c>
      <c r="R110" s="68">
        <f ca="1">IF($B110="","",SUM(_xlfn.XLOOKUP(C110,Lists!$P$2:$P$19,Lists!$V$2:$V$19,0),_xlfn.XLOOKUP(E110,Lists!$P$2:$P$19,Lists!$V$2:$V$19,0),_xlfn.XLOOKUP(G110,Lists!$P$2:$P$19,Lists!$V$2:$V$19,0),_xlfn.XLOOKUP(I110,Lists!$P$2:$P$19,Lists!$V$2:$V$19,0),_xlfn.XLOOKUP(K110,Lists!$P$2:$P$19,Lists!$V$2:$V$19,0)))</f>
        <v>0</v>
      </c>
      <c r="S110" s="68">
        <f ca="1">IF($B110="","",SUM(_xlfn.XLOOKUP(D110,Lists!$AC$2:$AC$9,Lists!$AD$2:$AD$9,0),_xlfn.XLOOKUP(F110,Lists!$AC$2:$AC$9,Lists!$AD$2:$AD$9,0),_xlfn.XLOOKUP(H110,Lists!$AC$2:$AC$9,Lists!$AD$2:$AD$9,0),_xlfn.XLOOKUP(J110,Lists!$AC$2:$AC$9,Lists!$AD$2:$AD$9,0),_xlfn.XLOOKUP(L110,Lists!$AC$2:$AC$9,Lists!$AD$2:$AD$9,0)))</f>
        <v>0</v>
      </c>
      <c r="T110" s="68">
        <f ca="1">IF($B110="","",SUM(_xlfn.XLOOKUP(C110,Lists!$P$2:$P$19,Lists!$W$2:$W$19,0),_xlfn.XLOOKUP(E110,Lists!$P$2:$P$19,Lists!$W$2:$W$19,0),_xlfn.XLOOKUP(G110,Lists!$P$2:$P$19,Lists!$W$2:$W$19,0),_xlfn.XLOOKUP(I110,Lists!$P$2:$P$19,Lists!$W$2:$W$19,0),_xlfn.XLOOKUP(K110,Lists!$P$2:$P$19,Lists!$W$2:$W$19,0)))</f>
        <v>1</v>
      </c>
      <c r="U110" s="68">
        <f ca="1">IF($B110="","",SUM(_xlfn.XLOOKUP(C110,Lists!$P$2:$P$19,Lists!$X$2:$X$19,0),_xlfn.XLOOKUP(E110,Lists!$P$2:$P$19,Lists!$X$2:$X$19,0),_xlfn.XLOOKUP(G110,Lists!$P$2:$P$19,Lists!$X$2:$X$19,0),_xlfn.XLOOKUP(I110,Lists!$P$2:$P$19,Lists!$X$2:$X$19,0),_xlfn.XLOOKUP(K110,Lists!$P$2:$P$19,Lists!$X$2:$X$19,0)))</f>
        <v>0</v>
      </c>
      <c r="V110" s="68">
        <f ca="1">IF($B110="","",SUM(_xlfn.XLOOKUP(C110,Lists!$P$2:$P$19,Lists!$Y$2:$Y$19,0),_xlfn.XLOOKUP(E110,Lists!$P$2:$P$19,Lists!$Y$2:$Y$19,0),_xlfn.XLOOKUP(G110,Lists!$P$2:$P$19,Lists!$Y$2:$Y$19,0),_xlfn.XLOOKUP(I110,Lists!$P$2:$P$19,Lists!$Y$2:$Y$19,0),_xlfn.XLOOKUP(K110,Lists!$P$2:$P$19,Lists!$Y$2:$Y$19,0)))</f>
        <v>0</v>
      </c>
      <c r="W110" s="68">
        <f ca="1">IF($B110="","",SUM(_xlfn.XLOOKUP(C110,Lists!$P$2:$P$19,Lists!$Z$2:$Z$19,0),_xlfn.XLOOKUP(E110,Lists!$P$2:$P$19,Lists!$Z$2:$Z$19,0),_xlfn.XLOOKUP(G110,Lists!$P$2:$P$19,Lists!$Z$2:$Z$19,0),_xlfn.XLOOKUP(I110,Lists!$P$2:$P$19,Lists!$Z$2:$Z$19,0),_xlfn.XLOOKUP(K110,Lists!$P$2:$P$19,Lists!$Z$2:$Z$19,0)))</f>
        <v>0</v>
      </c>
      <c r="X110" s="69">
        <f ca="1">IF($B110="","",SUM(_xlfn.XLOOKUP(C110,Lists!$P$2:$P$19,Lists!$AA$2:$AA$19,0),_xlfn.XLOOKUP(E110,Lists!$P$2:$P$19,Lists!$AA$2:$AA$19,0),_xlfn.XLOOKUP(G110,Lists!$P$2:$P$19,Lists!$AA$2:$AA$19,0),_xlfn.XLOOKUP(I110,Lists!$P$2:$P$19,Lists!$AA$2:$AA$19,0),_xlfn.XLOOKUP(K110,Lists!$P$2:$P$19,Lists!$AA$2:$AA$19,0)))</f>
        <v>0</v>
      </c>
      <c r="Y110" s="49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</row>
    <row r="111" spans="1:110">
      <c r="A111" s="168">
        <v>5</v>
      </c>
      <c r="B111" s="47" t="str">
        <f ca="1">Lineups!$C$37</f>
        <v>Hammer Bro</v>
      </c>
      <c r="C111" s="49" t="s">
        <v>189</v>
      </c>
      <c r="D111" s="49"/>
      <c r="E111" s="49" t="s">
        <v>189</v>
      </c>
      <c r="F111" s="49"/>
      <c r="G111" s="49"/>
      <c r="H111" s="50"/>
      <c r="I111" s="50"/>
      <c r="J111" s="50"/>
      <c r="K111" s="50"/>
      <c r="L111" s="50"/>
      <c r="M111" s="67">
        <f ca="1">IF($B111="","",SUM(_xlfn.XLOOKUP(C111,Lists!$P$2:$P$19,Lists!$R$2:$R$19,0),_xlfn.XLOOKUP(E111,Lists!$P$2:$P$19,Lists!$R$2:$R$19,0),_xlfn.XLOOKUP(G111,Lists!$P$2:$P$19,Lists!$R$2:$R$19,0),_xlfn.XLOOKUP(I111,Lists!$P$2:$P$19,Lists!$R$2:$R$19,0),_xlfn.XLOOKUP(K111,Lists!$P$2:$P$19,Lists!$R$2:$R$19,0)))</f>
        <v>2</v>
      </c>
      <c r="N111" s="68">
        <f ca="1">IF($B111="","",SUM(_xlfn.XLOOKUP(D111,Lists!$AC$2:$AC$9,Lists!$AE$2:$AE$9,0),_xlfn.XLOOKUP(F111,Lists!$AC$2:$AC$9,Lists!$AE$2:$AE$9,0),_xlfn.XLOOKUP(H111,Lists!$AC$2:$AC$9,Lists!$AE$2:$AE$9,0),_xlfn.XLOOKUP(J111,Lists!$AC$2:$AC$9,Lists!$AE$2:$AE$9,0),_xlfn.XLOOKUP(L111,Lists!$AC$2:$AC$9,Lists!$AE$2:$AE$9,0)))</f>
        <v>0</v>
      </c>
      <c r="O111" s="68">
        <f ca="1">IF($B111="","",SUM(_xlfn.XLOOKUP(C111,Lists!$P$2:$P$19,Lists!$S$2:$S$19,0),_xlfn.XLOOKUP(E111,Lists!$P$2:$P$19,Lists!$S$2:$S$19,0),_xlfn.XLOOKUP(G111,Lists!$P$2:$P$19,Lists!$S$2:$S$19,0),_xlfn.XLOOKUP(I111,Lists!$P$2:$P$19,Lists!$S$2:$S$19,0),_xlfn.XLOOKUP(K111,Lists!$P$2:$P$19,Lists!$S$2:$S$19,0)))</f>
        <v>0</v>
      </c>
      <c r="P111" s="68">
        <f ca="1">IF($B111="","",SUM(_xlfn.XLOOKUP(C111,Lists!$P$2:$P$19,Lists!$T$2:$T$19,0),_xlfn.XLOOKUP(E111,Lists!$P$2:$P$19,Lists!$T$2:$T$19,0),_xlfn.XLOOKUP(G111,Lists!$P$2:$P$19,Lists!$T$2:$T$19,0),_xlfn.XLOOKUP(I111,Lists!$P$2:$P$19,Lists!$T$2:$T$19,0),_xlfn.XLOOKUP(K111,Lists!$P$2:$P$19,Lists!$T$2:$T$19,0)))</f>
        <v>0</v>
      </c>
      <c r="Q111" s="68">
        <f ca="1">IF($B111="","",SUM(_xlfn.XLOOKUP(C111,Lists!$P$2:$P$19,Lists!$U$2:$U$19,0),_xlfn.XLOOKUP(E111,Lists!$P$2:$P$19,Lists!$U$2:$U$19,0),_xlfn.XLOOKUP(G111,Lists!$P$2:$P$19,Lists!$U$2:$U$19,0),_xlfn.XLOOKUP(I111,Lists!$P$2:$P$19,Lists!$U$2:$U$19,0),_xlfn.XLOOKUP(K111,Lists!$P$2:$P$19,Lists!$U$2:$U$19,0)))</f>
        <v>0</v>
      </c>
      <c r="R111" s="68">
        <f ca="1">IF($B111="","",SUM(_xlfn.XLOOKUP(C111,Lists!$P$2:$P$19,Lists!$V$2:$V$19,0),_xlfn.XLOOKUP(E111,Lists!$P$2:$P$19,Lists!$V$2:$V$19,0),_xlfn.XLOOKUP(G111,Lists!$P$2:$P$19,Lists!$V$2:$V$19,0),_xlfn.XLOOKUP(I111,Lists!$P$2:$P$19,Lists!$V$2:$V$19,0),_xlfn.XLOOKUP(K111,Lists!$P$2:$P$19,Lists!$V$2:$V$19,0)))</f>
        <v>0</v>
      </c>
      <c r="S111" s="68">
        <f ca="1">IF($B111="","",SUM(_xlfn.XLOOKUP(D111,Lists!$AC$2:$AC$9,Lists!$AD$2:$AD$9,0),_xlfn.XLOOKUP(F111,Lists!$AC$2:$AC$9,Lists!$AD$2:$AD$9,0),_xlfn.XLOOKUP(H111,Lists!$AC$2:$AC$9,Lists!$AD$2:$AD$9,0),_xlfn.XLOOKUP(J111,Lists!$AC$2:$AC$9,Lists!$AD$2:$AD$9,0),_xlfn.XLOOKUP(L111,Lists!$AC$2:$AC$9,Lists!$AD$2:$AD$9,0)))</f>
        <v>0</v>
      </c>
      <c r="T111" s="68">
        <f ca="1">IF($B111="","",SUM(_xlfn.XLOOKUP(C111,Lists!$P$2:$P$19,Lists!$W$2:$W$19,0),_xlfn.XLOOKUP(E111,Lists!$P$2:$P$19,Lists!$W$2:$W$19,0),_xlfn.XLOOKUP(G111,Lists!$P$2:$P$19,Lists!$W$2:$W$19,0),_xlfn.XLOOKUP(I111,Lists!$P$2:$P$19,Lists!$W$2:$W$19,0),_xlfn.XLOOKUP(K111,Lists!$P$2:$P$19,Lists!$W$2:$W$19,0)))</f>
        <v>0</v>
      </c>
      <c r="U111" s="68">
        <f ca="1">IF($B111="","",SUM(_xlfn.XLOOKUP(C111,Lists!$P$2:$P$19,Lists!$X$2:$X$19,0),_xlfn.XLOOKUP(E111,Lists!$P$2:$P$19,Lists!$X$2:$X$19,0),_xlfn.XLOOKUP(G111,Lists!$P$2:$P$19,Lists!$X$2:$X$19,0),_xlfn.XLOOKUP(I111,Lists!$P$2:$P$19,Lists!$X$2:$X$19,0),_xlfn.XLOOKUP(K111,Lists!$P$2:$P$19,Lists!$X$2:$X$19,0)))</f>
        <v>0</v>
      </c>
      <c r="V111" s="68">
        <f ca="1">IF($B111="","",SUM(_xlfn.XLOOKUP(C111,Lists!$P$2:$P$19,Lists!$Y$2:$Y$19,0),_xlfn.XLOOKUP(E111,Lists!$P$2:$P$19,Lists!$Y$2:$Y$19,0),_xlfn.XLOOKUP(G111,Lists!$P$2:$P$19,Lists!$Y$2:$Y$19,0),_xlfn.XLOOKUP(I111,Lists!$P$2:$P$19,Lists!$Y$2:$Y$19,0),_xlfn.XLOOKUP(K111,Lists!$P$2:$P$19,Lists!$Y$2:$Y$19,0)))</f>
        <v>0</v>
      </c>
      <c r="W111" s="68">
        <f ca="1">IF($B111="","",SUM(_xlfn.XLOOKUP(C111,Lists!$P$2:$P$19,Lists!$Z$2:$Z$19,0),_xlfn.XLOOKUP(E111,Lists!$P$2:$P$19,Lists!$Z$2:$Z$19,0),_xlfn.XLOOKUP(G111,Lists!$P$2:$P$19,Lists!$Z$2:$Z$19,0),_xlfn.XLOOKUP(I111,Lists!$P$2:$P$19,Lists!$Z$2:$Z$19,0),_xlfn.XLOOKUP(K111,Lists!$P$2:$P$19,Lists!$Z$2:$Z$19,0)))</f>
        <v>0</v>
      </c>
      <c r="X111" s="69">
        <f ca="1">IF($B111="","",SUM(_xlfn.XLOOKUP(C111,Lists!$P$2:$P$19,Lists!$AA$2:$AA$19,0),_xlfn.XLOOKUP(E111,Lists!$P$2:$P$19,Lists!$AA$2:$AA$19,0),_xlfn.XLOOKUP(G111,Lists!$P$2:$P$19,Lists!$AA$2:$AA$19,0),_xlfn.XLOOKUP(I111,Lists!$P$2:$P$19,Lists!$AA$2:$AA$19,0),_xlfn.XLOOKUP(K111,Lists!$P$2:$P$19,Lists!$AA$2:$AA$19,0)))</f>
        <v>0</v>
      </c>
      <c r="Y111" s="49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</row>
    <row r="112" spans="1:110">
      <c r="A112" s="168">
        <v>6</v>
      </c>
      <c r="B112" s="47" t="str">
        <f ca="1">Lineups!$C$38</f>
        <v>Koopa</v>
      </c>
      <c r="C112" s="49" t="s">
        <v>188</v>
      </c>
      <c r="D112" s="49"/>
      <c r="E112" s="49" t="s">
        <v>193</v>
      </c>
      <c r="F112" s="49"/>
      <c r="G112" s="49"/>
      <c r="H112" s="50"/>
      <c r="I112" s="50"/>
      <c r="J112" s="50"/>
      <c r="K112" s="50"/>
      <c r="L112" s="50"/>
      <c r="M112" s="67">
        <f ca="1">IF($B112="","",SUM(_xlfn.XLOOKUP(C112,Lists!$P$2:$P$19,Lists!$R$2:$R$19,0),_xlfn.XLOOKUP(E112,Lists!$P$2:$P$19,Lists!$R$2:$R$19,0),_xlfn.XLOOKUP(G112,Lists!$P$2:$P$19,Lists!$R$2:$R$19,0),_xlfn.XLOOKUP(I112,Lists!$P$2:$P$19,Lists!$R$2:$R$19,0),_xlfn.XLOOKUP(K112,Lists!$P$2:$P$19,Lists!$R$2:$R$19,0)))</f>
        <v>2</v>
      </c>
      <c r="N112" s="68">
        <f ca="1">IF($B112="","",SUM(_xlfn.XLOOKUP(D112,Lists!$AC$2:$AC$9,Lists!$AE$2:$AE$9,0),_xlfn.XLOOKUP(F112,Lists!$AC$2:$AC$9,Lists!$AE$2:$AE$9,0),_xlfn.XLOOKUP(H112,Lists!$AC$2:$AC$9,Lists!$AE$2:$AE$9,0),_xlfn.XLOOKUP(J112,Lists!$AC$2:$AC$9,Lists!$AE$2:$AE$9,0),_xlfn.XLOOKUP(L112,Lists!$AC$2:$AC$9,Lists!$AE$2:$AE$9,0)))</f>
        <v>0</v>
      </c>
      <c r="O112" s="68">
        <f ca="1">IF($B112="","",SUM(_xlfn.XLOOKUP(C112,Lists!$P$2:$P$19,Lists!$S$2:$S$19,0),_xlfn.XLOOKUP(E112,Lists!$P$2:$P$19,Lists!$S$2:$S$19,0),_xlfn.XLOOKUP(G112,Lists!$P$2:$P$19,Lists!$S$2:$S$19,0),_xlfn.XLOOKUP(I112,Lists!$P$2:$P$19,Lists!$S$2:$S$19,0),_xlfn.XLOOKUP(K112,Lists!$P$2:$P$19,Lists!$S$2:$S$19,0)))</f>
        <v>1</v>
      </c>
      <c r="P112" s="68">
        <f ca="1">IF($B112="","",SUM(_xlfn.XLOOKUP(C112,Lists!$P$2:$P$19,Lists!$T$2:$T$19,0),_xlfn.XLOOKUP(E112,Lists!$P$2:$P$19,Lists!$T$2:$T$19,0),_xlfn.XLOOKUP(G112,Lists!$P$2:$P$19,Lists!$T$2:$T$19,0),_xlfn.XLOOKUP(I112,Lists!$P$2:$P$19,Lists!$T$2:$T$19,0),_xlfn.XLOOKUP(K112,Lists!$P$2:$P$19,Lists!$T$2:$T$19,0)))</f>
        <v>0</v>
      </c>
      <c r="Q112" s="68">
        <f ca="1">IF($B112="","",SUM(_xlfn.XLOOKUP(C112,Lists!$P$2:$P$19,Lists!$U$2:$U$19,0),_xlfn.XLOOKUP(E112,Lists!$P$2:$P$19,Lists!$U$2:$U$19,0),_xlfn.XLOOKUP(G112,Lists!$P$2:$P$19,Lists!$U$2:$U$19,0),_xlfn.XLOOKUP(I112,Lists!$P$2:$P$19,Lists!$U$2:$U$19,0),_xlfn.XLOOKUP(K112,Lists!$P$2:$P$19,Lists!$U$2:$U$19,0)))</f>
        <v>0</v>
      </c>
      <c r="R112" s="68">
        <f ca="1">IF($B112="","",SUM(_xlfn.XLOOKUP(C112,Lists!$P$2:$P$19,Lists!$V$2:$V$19,0),_xlfn.XLOOKUP(E112,Lists!$P$2:$P$19,Lists!$V$2:$V$19,0),_xlfn.XLOOKUP(G112,Lists!$P$2:$P$19,Lists!$V$2:$V$19,0),_xlfn.XLOOKUP(I112,Lists!$P$2:$P$19,Lists!$V$2:$V$19,0),_xlfn.XLOOKUP(K112,Lists!$P$2:$P$19,Lists!$V$2:$V$19,0)))</f>
        <v>0</v>
      </c>
      <c r="S112" s="68">
        <f ca="1">IF($B112="","",SUM(_xlfn.XLOOKUP(D112,Lists!$AC$2:$AC$9,Lists!$AD$2:$AD$9,0),_xlfn.XLOOKUP(F112,Lists!$AC$2:$AC$9,Lists!$AD$2:$AD$9,0),_xlfn.XLOOKUP(H112,Lists!$AC$2:$AC$9,Lists!$AD$2:$AD$9,0),_xlfn.XLOOKUP(J112,Lists!$AC$2:$AC$9,Lists!$AD$2:$AD$9,0),_xlfn.XLOOKUP(L112,Lists!$AC$2:$AC$9,Lists!$AD$2:$AD$9,0)))</f>
        <v>0</v>
      </c>
      <c r="T112" s="68">
        <f ca="1">IF($B112="","",SUM(_xlfn.XLOOKUP(C112,Lists!$P$2:$P$19,Lists!$W$2:$W$19,0),_xlfn.XLOOKUP(E112,Lists!$P$2:$P$19,Lists!$W$2:$W$19,0),_xlfn.XLOOKUP(G112,Lists!$P$2:$P$19,Lists!$W$2:$W$19,0),_xlfn.XLOOKUP(I112,Lists!$P$2:$P$19,Lists!$W$2:$W$19,0),_xlfn.XLOOKUP(K112,Lists!$P$2:$P$19,Lists!$W$2:$W$19,0)))</f>
        <v>0</v>
      </c>
      <c r="U112" s="68">
        <f ca="1">IF($B112="","",SUM(_xlfn.XLOOKUP(C112,Lists!$P$2:$P$19,Lists!$X$2:$X$19,0),_xlfn.XLOOKUP(E112,Lists!$P$2:$P$19,Lists!$X$2:$X$19,0),_xlfn.XLOOKUP(G112,Lists!$P$2:$P$19,Lists!$X$2:$X$19,0),_xlfn.XLOOKUP(I112,Lists!$P$2:$P$19,Lists!$X$2:$X$19,0),_xlfn.XLOOKUP(K112,Lists!$P$2:$P$19,Lists!$X$2:$X$19,0)))</f>
        <v>0</v>
      </c>
      <c r="V112" s="68">
        <f ca="1">IF($B112="","",SUM(_xlfn.XLOOKUP(C112,Lists!$P$2:$P$19,Lists!$Y$2:$Y$19,0),_xlfn.XLOOKUP(E112,Lists!$P$2:$P$19,Lists!$Y$2:$Y$19,0),_xlfn.XLOOKUP(G112,Lists!$P$2:$P$19,Lists!$Y$2:$Y$19,0),_xlfn.XLOOKUP(I112,Lists!$P$2:$P$19,Lists!$Y$2:$Y$19,0),_xlfn.XLOOKUP(K112,Lists!$P$2:$P$19,Lists!$Y$2:$Y$19,0)))</f>
        <v>0</v>
      </c>
      <c r="W112" s="68">
        <f ca="1">IF($B112="","",SUM(_xlfn.XLOOKUP(C112,Lists!$P$2:$P$19,Lists!$Z$2:$Z$19,0),_xlfn.XLOOKUP(E112,Lists!$P$2:$P$19,Lists!$Z$2:$Z$19,0),_xlfn.XLOOKUP(G112,Lists!$P$2:$P$19,Lists!$Z$2:$Z$19,0),_xlfn.XLOOKUP(I112,Lists!$P$2:$P$19,Lists!$Z$2:$Z$19,0),_xlfn.XLOOKUP(K112,Lists!$P$2:$P$19,Lists!$Z$2:$Z$19,0)))</f>
        <v>0</v>
      </c>
      <c r="X112" s="69">
        <f ca="1">IF($B112="","",SUM(_xlfn.XLOOKUP(C112,Lists!$P$2:$P$19,Lists!$AA$2:$AA$19,0),_xlfn.XLOOKUP(E112,Lists!$P$2:$P$19,Lists!$AA$2:$AA$19,0),_xlfn.XLOOKUP(G112,Lists!$P$2:$P$19,Lists!$AA$2:$AA$19,0),_xlfn.XLOOKUP(I112,Lists!$P$2:$P$19,Lists!$AA$2:$AA$19,0),_xlfn.XLOOKUP(K112,Lists!$P$2:$P$19,Lists!$AA$2:$AA$19,0)))</f>
        <v>0</v>
      </c>
      <c r="Y112" s="49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</row>
    <row r="113" spans="1:110">
      <c r="A113" s="168">
        <v>7</v>
      </c>
      <c r="B113" s="47" t="str">
        <f ca="1">Lineups!$C$39</f>
        <v>Green Shy Guy</v>
      </c>
      <c r="C113" s="49" t="s">
        <v>205</v>
      </c>
      <c r="D113" s="49"/>
      <c r="E113" s="49" t="s">
        <v>188</v>
      </c>
      <c r="F113" s="49"/>
      <c r="G113" s="49"/>
      <c r="H113" s="50"/>
      <c r="I113" s="50"/>
      <c r="J113" s="50"/>
      <c r="K113" s="50"/>
      <c r="L113" s="50"/>
      <c r="M113" s="67">
        <f ca="1">IF($B113="","",SUM(_xlfn.XLOOKUP(C113,Lists!$P$2:$P$19,Lists!$R$2:$R$19,0),_xlfn.XLOOKUP(E113,Lists!$P$2:$P$19,Lists!$R$2:$R$19,0),_xlfn.XLOOKUP(G113,Lists!$P$2:$P$19,Lists!$R$2:$R$19,0),_xlfn.XLOOKUP(I113,Lists!$P$2:$P$19,Lists!$R$2:$R$19,0),_xlfn.XLOOKUP(K113,Lists!$P$2:$P$19,Lists!$R$2:$R$19,0)))</f>
        <v>2</v>
      </c>
      <c r="N113" s="68">
        <f ca="1">IF($B113="","",SUM(_xlfn.XLOOKUP(D113,Lists!$AC$2:$AC$9,Lists!$AE$2:$AE$9,0),_xlfn.XLOOKUP(F113,Lists!$AC$2:$AC$9,Lists!$AE$2:$AE$9,0),_xlfn.XLOOKUP(H113,Lists!$AC$2:$AC$9,Lists!$AE$2:$AE$9,0),_xlfn.XLOOKUP(J113,Lists!$AC$2:$AC$9,Lists!$AE$2:$AE$9,0),_xlfn.XLOOKUP(L113,Lists!$AC$2:$AC$9,Lists!$AE$2:$AE$9,0)))</f>
        <v>0</v>
      </c>
      <c r="O113" s="68">
        <f ca="1">IF($B113="","",SUM(_xlfn.XLOOKUP(C113,Lists!$P$2:$P$19,Lists!$S$2:$S$19,0),_xlfn.XLOOKUP(E113,Lists!$P$2:$P$19,Lists!$S$2:$S$19,0),_xlfn.XLOOKUP(G113,Lists!$P$2:$P$19,Lists!$S$2:$S$19,0),_xlfn.XLOOKUP(I113,Lists!$P$2:$P$19,Lists!$S$2:$S$19,0),_xlfn.XLOOKUP(K113,Lists!$P$2:$P$19,Lists!$S$2:$S$19,0)))</f>
        <v>1</v>
      </c>
      <c r="P113" s="68">
        <f ca="1">IF($B113="","",SUM(_xlfn.XLOOKUP(C113,Lists!$P$2:$P$19,Lists!$T$2:$T$19,0),_xlfn.XLOOKUP(E113,Lists!$P$2:$P$19,Lists!$T$2:$T$19,0),_xlfn.XLOOKUP(G113,Lists!$P$2:$P$19,Lists!$T$2:$T$19,0),_xlfn.XLOOKUP(I113,Lists!$P$2:$P$19,Lists!$T$2:$T$19,0),_xlfn.XLOOKUP(K113,Lists!$P$2:$P$19,Lists!$T$2:$T$19,0)))</f>
        <v>0</v>
      </c>
      <c r="Q113" s="68">
        <f ca="1">IF($B113="","",SUM(_xlfn.XLOOKUP(C113,Lists!$P$2:$P$19,Lists!$U$2:$U$19,0),_xlfn.XLOOKUP(E113,Lists!$P$2:$P$19,Lists!$U$2:$U$19,0),_xlfn.XLOOKUP(G113,Lists!$P$2:$P$19,Lists!$U$2:$U$19,0),_xlfn.XLOOKUP(I113,Lists!$P$2:$P$19,Lists!$U$2:$U$19,0),_xlfn.XLOOKUP(K113,Lists!$P$2:$P$19,Lists!$U$2:$U$19,0)))</f>
        <v>0</v>
      </c>
      <c r="R113" s="68">
        <f ca="1">IF($B113="","",SUM(_xlfn.XLOOKUP(C113,Lists!$P$2:$P$19,Lists!$V$2:$V$19,0),_xlfn.XLOOKUP(E113,Lists!$P$2:$P$19,Lists!$V$2:$V$19,0),_xlfn.XLOOKUP(G113,Lists!$P$2:$P$19,Lists!$V$2:$V$19,0),_xlfn.XLOOKUP(I113,Lists!$P$2:$P$19,Lists!$V$2:$V$19,0),_xlfn.XLOOKUP(K113,Lists!$P$2:$P$19,Lists!$V$2:$V$19,0)))</f>
        <v>0</v>
      </c>
      <c r="S113" s="68">
        <f ca="1">IF($B113="","",SUM(_xlfn.XLOOKUP(D113,Lists!$AC$2:$AC$9,Lists!$AD$2:$AD$9,0),_xlfn.XLOOKUP(F113,Lists!$AC$2:$AC$9,Lists!$AD$2:$AD$9,0),_xlfn.XLOOKUP(H113,Lists!$AC$2:$AC$9,Lists!$AD$2:$AD$9,0),_xlfn.XLOOKUP(J113,Lists!$AC$2:$AC$9,Lists!$AD$2:$AD$9,0),_xlfn.XLOOKUP(L113,Lists!$AC$2:$AC$9,Lists!$AD$2:$AD$9,0)))</f>
        <v>0</v>
      </c>
      <c r="T113" s="68">
        <f ca="1">IF($B113="","",SUM(_xlfn.XLOOKUP(C113,Lists!$P$2:$P$19,Lists!$W$2:$W$19,0),_xlfn.XLOOKUP(E113,Lists!$P$2:$P$19,Lists!$W$2:$W$19,0),_xlfn.XLOOKUP(G113,Lists!$P$2:$P$19,Lists!$W$2:$W$19,0),_xlfn.XLOOKUP(I113,Lists!$P$2:$P$19,Lists!$W$2:$W$19,0),_xlfn.XLOOKUP(K113,Lists!$P$2:$P$19,Lists!$W$2:$W$19,0)))</f>
        <v>0</v>
      </c>
      <c r="U113" s="68">
        <f ca="1">IF($B113="","",SUM(_xlfn.XLOOKUP(C113,Lists!$P$2:$P$19,Lists!$X$2:$X$19,0),_xlfn.XLOOKUP(E113,Lists!$P$2:$P$19,Lists!$X$2:$X$19,0),_xlfn.XLOOKUP(G113,Lists!$P$2:$P$19,Lists!$X$2:$X$19,0),_xlfn.XLOOKUP(I113,Lists!$P$2:$P$19,Lists!$X$2:$X$19,0),_xlfn.XLOOKUP(K113,Lists!$P$2:$P$19,Lists!$X$2:$X$19,0)))</f>
        <v>0</v>
      </c>
      <c r="V113" s="68">
        <f ca="1">IF($B113="","",SUM(_xlfn.XLOOKUP(C113,Lists!$P$2:$P$19,Lists!$Y$2:$Y$19,0),_xlfn.XLOOKUP(E113,Lists!$P$2:$P$19,Lists!$Y$2:$Y$19,0),_xlfn.XLOOKUP(G113,Lists!$P$2:$P$19,Lists!$Y$2:$Y$19,0),_xlfn.XLOOKUP(I113,Lists!$P$2:$P$19,Lists!$Y$2:$Y$19,0),_xlfn.XLOOKUP(K113,Lists!$P$2:$P$19,Lists!$Y$2:$Y$19,0)))</f>
        <v>0</v>
      </c>
      <c r="W113" s="68">
        <f ca="1">IF($B113="","",SUM(_xlfn.XLOOKUP(C113,Lists!$P$2:$P$19,Lists!$Z$2:$Z$19,0),_xlfn.XLOOKUP(E113,Lists!$P$2:$P$19,Lists!$Z$2:$Z$19,0),_xlfn.XLOOKUP(G113,Lists!$P$2:$P$19,Lists!$Z$2:$Z$19,0),_xlfn.XLOOKUP(I113,Lists!$P$2:$P$19,Lists!$Z$2:$Z$19,0),_xlfn.XLOOKUP(K113,Lists!$P$2:$P$19,Lists!$Z$2:$Z$19,0)))</f>
        <v>0</v>
      </c>
      <c r="X113" s="69">
        <f ca="1">IF($B113="","",SUM(_xlfn.XLOOKUP(C113,Lists!$P$2:$P$19,Lists!$AA$2:$AA$19,0),_xlfn.XLOOKUP(E113,Lists!$P$2:$P$19,Lists!$AA$2:$AA$19,0),_xlfn.XLOOKUP(G113,Lists!$P$2:$P$19,Lists!$AA$2:$AA$19,0),_xlfn.XLOOKUP(I113,Lists!$P$2:$P$19,Lists!$AA$2:$AA$19,0),_xlfn.XLOOKUP(K113,Lists!$P$2:$P$19,Lists!$AA$2:$AA$19,0)))</f>
        <v>0</v>
      </c>
      <c r="Y113" s="49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</row>
    <row r="114" spans="1:110">
      <c r="A114" s="168">
        <v>8</v>
      </c>
      <c r="B114" s="47" t="str">
        <f ca="1">Lineups!$C$40</f>
        <v>Red Yoshi</v>
      </c>
      <c r="C114" s="49" t="s">
        <v>176</v>
      </c>
      <c r="D114" s="49" t="s">
        <v>187</v>
      </c>
      <c r="E114" s="49" t="s">
        <v>188</v>
      </c>
      <c r="F114" s="49"/>
      <c r="G114" s="49"/>
      <c r="H114" s="50"/>
      <c r="I114" s="50"/>
      <c r="J114" s="50"/>
      <c r="K114" s="50"/>
      <c r="L114" s="50"/>
      <c r="M114" s="67">
        <f ca="1">IF($B114="","",SUM(_xlfn.XLOOKUP(C114,Lists!$P$2:$P$19,Lists!$R$2:$R$19,0),_xlfn.XLOOKUP(E114,Lists!$P$2:$P$19,Lists!$R$2:$R$19,0),_xlfn.XLOOKUP(G114,Lists!$P$2:$P$19,Lists!$R$2:$R$19,0),_xlfn.XLOOKUP(I114,Lists!$P$2:$P$19,Lists!$R$2:$R$19,0),_xlfn.XLOOKUP(K114,Lists!$P$2:$P$19,Lists!$R$2:$R$19,0)))</f>
        <v>2</v>
      </c>
      <c r="N114" s="68">
        <f ca="1">IF($B114="","",SUM(_xlfn.XLOOKUP(D114,Lists!$AC$2:$AC$9,Lists!$AE$2:$AE$9,0),_xlfn.XLOOKUP(F114,Lists!$AC$2:$AC$9,Lists!$AE$2:$AE$9,0),_xlfn.XLOOKUP(H114,Lists!$AC$2:$AC$9,Lists!$AE$2:$AE$9,0),_xlfn.XLOOKUP(J114,Lists!$AC$2:$AC$9,Lists!$AE$2:$AE$9,0),_xlfn.XLOOKUP(L114,Lists!$AC$2:$AC$9,Lists!$AE$2:$AE$9,0)))</f>
        <v>1</v>
      </c>
      <c r="O114" s="68">
        <f ca="1">IF($B114="","",SUM(_xlfn.XLOOKUP(C114,Lists!$P$2:$P$19,Lists!$S$2:$S$19,0),_xlfn.XLOOKUP(E114,Lists!$P$2:$P$19,Lists!$S$2:$S$19,0),_xlfn.XLOOKUP(G114,Lists!$P$2:$P$19,Lists!$S$2:$S$19,0),_xlfn.XLOOKUP(I114,Lists!$P$2:$P$19,Lists!$S$2:$S$19,0),_xlfn.XLOOKUP(K114,Lists!$P$2:$P$19,Lists!$S$2:$S$19,0)))</f>
        <v>2</v>
      </c>
      <c r="P114" s="68">
        <f ca="1">IF($B114="","",SUM(_xlfn.XLOOKUP(C114,Lists!$P$2:$P$19,Lists!$T$2:$T$19,0),_xlfn.XLOOKUP(E114,Lists!$P$2:$P$19,Lists!$T$2:$T$19,0),_xlfn.XLOOKUP(G114,Lists!$P$2:$P$19,Lists!$T$2:$T$19,0),_xlfn.XLOOKUP(I114,Lists!$P$2:$P$19,Lists!$T$2:$T$19,0),_xlfn.XLOOKUP(K114,Lists!$P$2:$P$19,Lists!$T$2:$T$19,0)))</f>
        <v>1</v>
      </c>
      <c r="Q114" s="68">
        <f ca="1">IF($B114="","",SUM(_xlfn.XLOOKUP(C114,Lists!$P$2:$P$19,Lists!$U$2:$U$19,0),_xlfn.XLOOKUP(E114,Lists!$P$2:$P$19,Lists!$U$2:$U$19,0),_xlfn.XLOOKUP(G114,Lists!$P$2:$P$19,Lists!$U$2:$U$19,0),_xlfn.XLOOKUP(I114,Lists!$P$2:$P$19,Lists!$U$2:$U$19,0),_xlfn.XLOOKUP(K114,Lists!$P$2:$P$19,Lists!$U$2:$U$19,0)))</f>
        <v>0</v>
      </c>
      <c r="R114" s="68">
        <f ca="1">IF($B114="","",SUM(_xlfn.XLOOKUP(C114,Lists!$P$2:$P$19,Lists!$V$2:$V$19,0),_xlfn.XLOOKUP(E114,Lists!$P$2:$P$19,Lists!$V$2:$V$19,0),_xlfn.XLOOKUP(G114,Lists!$P$2:$P$19,Lists!$V$2:$V$19,0),_xlfn.XLOOKUP(I114,Lists!$P$2:$P$19,Lists!$V$2:$V$19,0),_xlfn.XLOOKUP(K114,Lists!$P$2:$P$19,Lists!$V$2:$V$19,0)))</f>
        <v>0</v>
      </c>
      <c r="S114" s="68">
        <f ca="1">IF($B114="","",SUM(_xlfn.XLOOKUP(D114,Lists!$AC$2:$AC$9,Lists!$AD$2:$AD$9,0),_xlfn.XLOOKUP(F114,Lists!$AC$2:$AC$9,Lists!$AD$2:$AD$9,0),_xlfn.XLOOKUP(H114,Lists!$AC$2:$AC$9,Lists!$AD$2:$AD$9,0),_xlfn.XLOOKUP(J114,Lists!$AC$2:$AC$9,Lists!$AD$2:$AD$9,0),_xlfn.XLOOKUP(L114,Lists!$AC$2:$AC$9,Lists!$AD$2:$AD$9,0)))</f>
        <v>0</v>
      </c>
      <c r="T114" s="68">
        <f ca="1">IF($B114="","",SUM(_xlfn.XLOOKUP(C114,Lists!$P$2:$P$19,Lists!$W$2:$W$19,0),_xlfn.XLOOKUP(E114,Lists!$P$2:$P$19,Lists!$W$2:$W$19,0),_xlfn.XLOOKUP(G114,Lists!$P$2:$P$19,Lists!$W$2:$W$19,0),_xlfn.XLOOKUP(I114,Lists!$P$2:$P$19,Lists!$W$2:$W$19,0),_xlfn.XLOOKUP(K114,Lists!$P$2:$P$19,Lists!$W$2:$W$19,0)))</f>
        <v>0</v>
      </c>
      <c r="U114" s="68">
        <f ca="1">IF($B114="","",SUM(_xlfn.XLOOKUP(C114,Lists!$P$2:$P$19,Lists!$X$2:$X$19,0),_xlfn.XLOOKUP(E114,Lists!$P$2:$P$19,Lists!$X$2:$X$19,0),_xlfn.XLOOKUP(G114,Lists!$P$2:$P$19,Lists!$X$2:$X$19,0),_xlfn.XLOOKUP(I114,Lists!$P$2:$P$19,Lists!$X$2:$X$19,0),_xlfn.XLOOKUP(K114,Lists!$P$2:$P$19,Lists!$X$2:$X$19,0)))</f>
        <v>0</v>
      </c>
      <c r="V114" s="68">
        <f ca="1">IF($B114="","",SUM(_xlfn.XLOOKUP(C114,Lists!$P$2:$P$19,Lists!$Y$2:$Y$19,0),_xlfn.XLOOKUP(E114,Lists!$P$2:$P$19,Lists!$Y$2:$Y$19,0),_xlfn.XLOOKUP(G114,Lists!$P$2:$P$19,Lists!$Y$2:$Y$19,0),_xlfn.XLOOKUP(I114,Lists!$P$2:$P$19,Lists!$Y$2:$Y$19,0),_xlfn.XLOOKUP(K114,Lists!$P$2:$P$19,Lists!$Y$2:$Y$19,0)))</f>
        <v>0</v>
      </c>
      <c r="W114" s="68">
        <f ca="1">IF($B114="","",SUM(_xlfn.XLOOKUP(C114,Lists!$P$2:$P$19,Lists!$Z$2:$Z$19,0),_xlfn.XLOOKUP(E114,Lists!$P$2:$P$19,Lists!$Z$2:$Z$19,0),_xlfn.XLOOKUP(G114,Lists!$P$2:$P$19,Lists!$Z$2:$Z$19,0),_xlfn.XLOOKUP(I114,Lists!$P$2:$P$19,Lists!$Z$2:$Z$19,0),_xlfn.XLOOKUP(K114,Lists!$P$2:$P$19,Lists!$Z$2:$Z$19,0)))</f>
        <v>0</v>
      </c>
      <c r="X114" s="69">
        <f ca="1">IF($B114="","",SUM(_xlfn.XLOOKUP(C114,Lists!$P$2:$P$19,Lists!$AA$2:$AA$19,0),_xlfn.XLOOKUP(E114,Lists!$P$2:$P$19,Lists!$AA$2:$AA$19,0),_xlfn.XLOOKUP(G114,Lists!$P$2:$P$19,Lists!$AA$2:$AA$19,0),_xlfn.XLOOKUP(I114,Lists!$P$2:$P$19,Lists!$AA$2:$AA$19,0),_xlfn.XLOOKUP(K114,Lists!$P$2:$P$19,Lists!$AA$2:$AA$19,0)))</f>
        <v>0</v>
      </c>
      <c r="Y114" s="49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</row>
    <row r="115" spans="1:110">
      <c r="A115" s="168">
        <v>9</v>
      </c>
      <c r="B115" s="47" t="str">
        <f ca="1">Lineups!$C$41</f>
        <v>Baby Peach</v>
      </c>
      <c r="C115" s="49" t="s">
        <v>188</v>
      </c>
      <c r="D115" s="49" t="s">
        <v>191</v>
      </c>
      <c r="E115" s="49" t="s">
        <v>185</v>
      </c>
      <c r="F115" s="49"/>
      <c r="G115" s="49"/>
      <c r="H115" s="50"/>
      <c r="I115" s="50"/>
      <c r="J115" s="50"/>
      <c r="K115" s="50"/>
      <c r="L115" s="50"/>
      <c r="M115" s="67">
        <f ca="1">IF($B115="","",SUM(_xlfn.XLOOKUP(C115,Lists!$P$2:$P$19,Lists!$R$2:$R$19,0),_xlfn.XLOOKUP(E115,Lists!$P$2:$P$19,Lists!$R$2:$R$19,0),_xlfn.XLOOKUP(G115,Lists!$P$2:$P$19,Lists!$R$2:$R$19,0),_xlfn.XLOOKUP(I115,Lists!$P$2:$P$19,Lists!$R$2:$R$19,0),_xlfn.XLOOKUP(K115,Lists!$P$2:$P$19,Lists!$R$2:$R$19,0)))</f>
        <v>2</v>
      </c>
      <c r="N115" s="68">
        <f ca="1">IF($B115="","",SUM(_xlfn.XLOOKUP(D115,Lists!$AC$2:$AC$9,Lists!$AE$2:$AE$9,0),_xlfn.XLOOKUP(F115,Lists!$AC$2:$AC$9,Lists!$AE$2:$AE$9,0),_xlfn.XLOOKUP(H115,Lists!$AC$2:$AC$9,Lists!$AE$2:$AE$9,0),_xlfn.XLOOKUP(J115,Lists!$AC$2:$AC$9,Lists!$AE$2:$AE$9,0),_xlfn.XLOOKUP(L115,Lists!$AC$2:$AC$9,Lists!$AE$2:$AE$9,0)))</f>
        <v>0</v>
      </c>
      <c r="O115" s="68">
        <f ca="1">IF($B115="","",SUM(_xlfn.XLOOKUP(C115,Lists!$P$2:$P$19,Lists!$S$2:$S$19,0),_xlfn.XLOOKUP(E115,Lists!$P$2:$P$19,Lists!$S$2:$S$19,0),_xlfn.XLOOKUP(G115,Lists!$P$2:$P$19,Lists!$S$2:$S$19,0),_xlfn.XLOOKUP(I115,Lists!$P$2:$P$19,Lists!$S$2:$S$19,0),_xlfn.XLOOKUP(K115,Lists!$P$2:$P$19,Lists!$S$2:$S$19,0)))</f>
        <v>1</v>
      </c>
      <c r="P115" s="68">
        <f ca="1">IF($B115="","",SUM(_xlfn.XLOOKUP(C115,Lists!$P$2:$P$19,Lists!$T$2:$T$19,0),_xlfn.XLOOKUP(E115,Lists!$P$2:$P$19,Lists!$T$2:$T$19,0),_xlfn.XLOOKUP(G115,Lists!$P$2:$P$19,Lists!$T$2:$T$19,0),_xlfn.XLOOKUP(I115,Lists!$P$2:$P$19,Lists!$T$2:$T$19,0),_xlfn.XLOOKUP(K115,Lists!$P$2:$P$19,Lists!$T$2:$T$19,0)))</f>
        <v>0</v>
      </c>
      <c r="Q115" s="68">
        <f ca="1">IF($B115="","",SUM(_xlfn.XLOOKUP(C115,Lists!$P$2:$P$19,Lists!$U$2:$U$19,0),_xlfn.XLOOKUP(E115,Lists!$P$2:$P$19,Lists!$U$2:$U$19,0),_xlfn.XLOOKUP(G115,Lists!$P$2:$P$19,Lists!$U$2:$U$19,0),_xlfn.XLOOKUP(I115,Lists!$P$2:$P$19,Lists!$U$2:$U$19,0),_xlfn.XLOOKUP(K115,Lists!$P$2:$P$19,Lists!$U$2:$U$19,0)))</f>
        <v>0</v>
      </c>
      <c r="R115" s="68">
        <f ca="1">IF($B115="","",SUM(_xlfn.XLOOKUP(C115,Lists!$P$2:$P$19,Lists!$V$2:$V$19,0),_xlfn.XLOOKUP(E115,Lists!$P$2:$P$19,Lists!$V$2:$V$19,0),_xlfn.XLOOKUP(G115,Lists!$P$2:$P$19,Lists!$V$2:$V$19,0),_xlfn.XLOOKUP(I115,Lists!$P$2:$P$19,Lists!$V$2:$V$19,0),_xlfn.XLOOKUP(K115,Lists!$P$2:$P$19,Lists!$V$2:$V$19,0)))</f>
        <v>0</v>
      </c>
      <c r="S115" s="68">
        <f ca="1">IF($B115="","",SUM(_xlfn.XLOOKUP(D115,Lists!$AC$2:$AC$9,Lists!$AD$2:$AD$9,0),_xlfn.XLOOKUP(F115,Lists!$AC$2:$AC$9,Lists!$AD$2:$AD$9,0),_xlfn.XLOOKUP(H115,Lists!$AC$2:$AC$9,Lists!$AD$2:$AD$9,0),_xlfn.XLOOKUP(J115,Lists!$AC$2:$AC$9,Lists!$AD$2:$AD$9,0),_xlfn.XLOOKUP(L115,Lists!$AC$2:$AC$9,Lists!$AD$2:$AD$9,0)))</f>
        <v>1</v>
      </c>
      <c r="T115" s="68">
        <f ca="1">IF($B115="","",SUM(_xlfn.XLOOKUP(C115,Lists!$P$2:$P$19,Lists!$W$2:$W$19,0),_xlfn.XLOOKUP(E115,Lists!$P$2:$P$19,Lists!$W$2:$W$19,0),_xlfn.XLOOKUP(G115,Lists!$P$2:$P$19,Lists!$W$2:$W$19,0),_xlfn.XLOOKUP(I115,Lists!$P$2:$P$19,Lists!$W$2:$W$19,0),_xlfn.XLOOKUP(K115,Lists!$P$2:$P$19,Lists!$W$2:$W$19,0)))</f>
        <v>0</v>
      </c>
      <c r="U115" s="68">
        <f ca="1">IF($B115="","",SUM(_xlfn.XLOOKUP(C115,Lists!$P$2:$P$19,Lists!$X$2:$X$19,0),_xlfn.XLOOKUP(E115,Lists!$P$2:$P$19,Lists!$X$2:$X$19,0),_xlfn.XLOOKUP(G115,Lists!$P$2:$P$19,Lists!$X$2:$X$19,0),_xlfn.XLOOKUP(I115,Lists!$P$2:$P$19,Lists!$X$2:$X$19,0),_xlfn.XLOOKUP(K115,Lists!$P$2:$P$19,Lists!$X$2:$X$19,0)))</f>
        <v>1</v>
      </c>
      <c r="V115" s="68">
        <f ca="1">IF($B115="","",SUM(_xlfn.XLOOKUP(C115,Lists!$P$2:$P$19,Lists!$Y$2:$Y$19,0),_xlfn.XLOOKUP(E115,Lists!$P$2:$P$19,Lists!$Y$2:$Y$19,0),_xlfn.XLOOKUP(G115,Lists!$P$2:$P$19,Lists!$Y$2:$Y$19,0),_xlfn.XLOOKUP(I115,Lists!$P$2:$P$19,Lists!$Y$2:$Y$19,0),_xlfn.XLOOKUP(K115,Lists!$P$2:$P$19,Lists!$Y$2:$Y$19,0)))</f>
        <v>0</v>
      </c>
      <c r="W115" s="68">
        <f ca="1">IF($B115="","",SUM(_xlfn.XLOOKUP(C115,Lists!$P$2:$P$19,Lists!$Z$2:$Z$19,0),_xlfn.XLOOKUP(E115,Lists!$P$2:$P$19,Lists!$Z$2:$Z$19,0),_xlfn.XLOOKUP(G115,Lists!$P$2:$P$19,Lists!$Z$2:$Z$19,0),_xlfn.XLOOKUP(I115,Lists!$P$2:$P$19,Lists!$Z$2:$Z$19,0),_xlfn.XLOOKUP(K115,Lists!$P$2:$P$19,Lists!$Z$2:$Z$19,0)))</f>
        <v>0</v>
      </c>
      <c r="X115" s="69">
        <f ca="1">IF($B115="","",SUM(_xlfn.XLOOKUP(C115,Lists!$P$2:$P$19,Lists!$AA$2:$AA$19,0),_xlfn.XLOOKUP(E115,Lists!$P$2:$P$19,Lists!$AA$2:$AA$19,0),_xlfn.XLOOKUP(G115,Lists!$P$2:$P$19,Lists!$AA$2:$AA$19,0),_xlfn.XLOOKUP(I115,Lists!$P$2:$P$19,Lists!$AA$2:$AA$19,0),_xlfn.XLOOKUP(K115,Lists!$P$2:$P$19,Lists!$AA$2:$AA$19,0)))</f>
        <v>0</v>
      </c>
      <c r="Y115" s="49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</row>
    <row r="116" spans="1:110">
      <c r="A116" s="173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</row>
    <row r="117" spans="1:110">
      <c r="A117" s="220" t="str">
        <f ca="1">IF($N$100="","Team A Pitching",$N$100&amp;" Pitching")</f>
        <v>May Pitching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06"/>
      <c r="O117" s="186"/>
      <c r="P117" s="24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</row>
    <row r="118" spans="1:110">
      <c r="A118" s="167" t="s">
        <v>103</v>
      </c>
      <c r="B118" s="43" t="s">
        <v>194</v>
      </c>
      <c r="C118" s="43" t="s">
        <v>195</v>
      </c>
      <c r="D118" s="43" t="s">
        <v>162</v>
      </c>
      <c r="E118" s="43" t="s">
        <v>161</v>
      </c>
      <c r="F118" s="43" t="s">
        <v>196</v>
      </c>
      <c r="G118" s="43" t="s">
        <v>180</v>
      </c>
      <c r="H118" s="43" t="s">
        <v>181</v>
      </c>
      <c r="I118" s="44" t="s">
        <v>197</v>
      </c>
      <c r="J118" s="44" t="s">
        <v>198</v>
      </c>
      <c r="K118" s="44" t="s">
        <v>199</v>
      </c>
      <c r="L118" s="44" t="s">
        <v>200</v>
      </c>
      <c r="M118" s="44" t="s">
        <v>201</v>
      </c>
      <c r="N118" s="45" t="s">
        <v>202</v>
      </c>
      <c r="O118" s="45" t="s">
        <v>203</v>
      </c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</row>
    <row r="119" spans="1:110">
      <c r="A119" s="168">
        <v>1</v>
      </c>
      <c r="B119" s="71" t="s">
        <v>58</v>
      </c>
      <c r="C119" s="70" cm="1">
        <f t="array" aca="1" ref="C119" ca="1">IF(OR(B119="",O119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119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1</v>
      </c>
      <c r="D119" s="67" cm="1">
        <f t="array" aca="1" ref="D119" ca="1">IF(OR(B119="",O119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119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2</v>
      </c>
      <c r="E119" s="67" cm="1">
        <f t="array" aca="1" ref="E119" ca="1">IF(OR(B119="",O119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119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1</v>
      </c>
      <c r="F119" s="67" cm="1">
        <f t="array" aca="1" ref="F119" ca="1">IF(OR(B119="",O119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119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1</v>
      </c>
      <c r="G119" s="67" cm="1">
        <f t="array" aca="1" ref="G119" ca="1">IF(OR(B119="",O119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119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119" s="67" cm="1">
        <f t="array" aca="1" ref="H119" ca="1">IF(OR(B119="",O119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119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1</v>
      </c>
      <c r="I119" s="68" cm="1">
        <f t="array" aca="1" ref="I119" ca="1">IF(OR(B119="",O119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119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1</v>
      </c>
      <c r="J119" s="68" cm="1">
        <f t="array" aca="1" ref="J119" ca="1">IF(OR(B119="",O119=""),"",--(SUM(_xlfn.XLOOKUP(_xlfn._xlws.FILTER(_xlfn.TOCOL(_xlfn.CHOOSECOLS(C107:L115,2,4,6,8,10),0,TRUE),_xlfn.TOCOL(_xlfn.CHOOSECOLS(C107:L115,1,3,5,7,9),0,TRUE)&lt;&gt;""),Lists!$AC$2:$AC$9,Lists!$AF$2:$AF$9,0))&gt;SUM(_xlfn.XLOOKUP(_xlfn._xlws.FILTER(_xlfn.TOCOL(_xlfn.CHOOSECOLS(C128:L136,2,4,6,8,10),0,TRUE),_xlfn.TOCOL(_xlfn.CHOOSECOLS(C128:L136,1,3,5,7,9),0,TRUE)&lt;&gt;""),Lists!$AC$2:$AC$9,Lists!$AF$2:$AF$9,0)))*--(ROW()-ROW(C118)=_xlfn.XLOOKUP(MAX(IF(O119:O124&gt;0,INT(C119:C124)*3+MOD(ROUND(C119:C124*10,0),10),-1)),IF(O119:O124&gt;0,INT(C119:C124)*3+MOD(ROUND(C119:C124*10,0),10),-1),_xlfn.SEQUENCE(ROWS(O119:O124)),,0)))</f>
        <v>0</v>
      </c>
      <c r="K119" s="68" cm="1">
        <f t="array" aca="1" ref="K119" ca="1">IF(OR(B119="",O119=""),"",--(SUM(_xlfn.XLOOKUP(_xlfn._xlws.FILTER(_xlfn.TOCOL(_xlfn.CHOOSECOLS(C107:L115,2,4,6,8,10),0,TRUE),_xlfn.TOCOL(_xlfn.CHOOSECOLS(C107:L115,1,3,5,7,9),0,TRUE)&lt;&gt;""),Lists!$AC$2:$AC$9,Lists!$AF$2:$AF$9,0))&lt;SUM(_xlfn.XLOOKUP(_xlfn._xlws.FILTER(_xlfn.TOCOL(_xlfn.CHOOSECOLS(C128:L136,2,4,6,8,10),0,TRUE),_xlfn.TOCOL(_xlfn.CHOOSECOLS(C128:L136,1,3,5,7,9),0,TRUE)&lt;&gt;""),Lists!$AC$2:$AC$9,Lists!$AF$2:$AF$9,0)))*--(ROW()-ROW(C118)=_xlfn.XLOOKUP(MAX(IF(O119:O124&gt;0,E119:E124,-1)),IF(O119:O124&gt;0,E119:E124,-1),_xlfn.SEQUENCE(ROWS(O119:O124)),,0)))</f>
        <v>1</v>
      </c>
      <c r="L119" s="68" cm="1">
        <f t="array" aca="1" ref="L119" ca="1">IF(OR(B119="",O119=""),"",--(SUM(_xlfn.XLOOKUP(_xlfn._xlws.FILTER(_xlfn.TOCOL(_xlfn.CHOOSECOLS(C107:L115,2,4,6,8,10),0,TRUE),_xlfn.TOCOL(_xlfn.CHOOSECOLS(C107:L115,1,3,5,7,9),0,TRUE)&lt;&gt;""),Lists!$AC$2:$AC$9,Lists!$AF$2:$AF$9,0))&gt;SUM(_xlfn.XLOOKUP(_xlfn._xlws.FILTER(_xlfn.TOCOL(_xlfn.CHOOSECOLS(C128:L136,2,4,6,8,10),0,TRUE),_xlfn.TOCOL(_xlfn.CHOOSECOLS(C128:L136,1,3,5,7,9),0,TRUE)&lt;&gt;""),Lists!$AC$2:$AC$9,Lists!$AF$2:$AF$9,0)))*--(COUNTIF(O119:O124,"&gt;0")&gt;1)*--(ROW()-ROW(C118)=_xlfn.XLOOKUP(TRUE,O119:O124&gt;0,_xlfn.SEQUENCE(ROWS(O119:O124)),,0,-1))*--(_xlfn.XLOOKUP(TRUE,O119:O124&gt;0,_xlfn.SEQUENCE(ROWS(O119:O124)),,0,-1)&lt;&gt;_xlfn.XLOOKUP(MAX(IF(O119:O124&gt;0,INT(C119:C124)*3+MOD(ROUND(C119:C124*10,0),10),-1)),IF(O119:O124&gt;0,INT(C119:C124)*3+MOD(ROUND(C119:C124*10,0),10),-1),_xlfn.SEQUENCE(ROWS(O119:O124)),,0))*--(SUM(_xlfn.XLOOKUP(_xlfn._xlws.FILTER(_xlfn.TOCOL(_xlfn.CHOOSECOLS(C107:L115,2,4,6,8,10),0,TRUE),_xlfn.TOCOL(_xlfn.CHOOSECOLS(C107:L115,1,3,5,7,9),0,TRUE)&lt;&gt;""),Lists!$AC$2:$AC$9,Lists!$AF$2:$AF$9,0))-SUM(_xlfn.XLOOKUP(_xlfn._xlws.FILTER(_xlfn.TOCOL(_xlfn.CHOOSECOLS(C128:L136,2,4,6,8,10),0,TRUE),_xlfn.TOCOL(_xlfn.CHOOSECOLS(C128:L136,1,3,5,7,9),0,TRUE)&lt;&gt;""),Lists!$AC$2:$AC$9,Lists!$AF$2:$AF$9,0))&lt;=3)*--((INT(C119)*3+MOD(ROUND(C119*10,0),10))&gt;=3))</f>
        <v>0</v>
      </c>
      <c r="M119" s="68" cm="1">
        <f t="array" ref="M119">IF(OR(B119="",O119=""),"",--(COUNTIF(O119:O124,"&gt;0")=1)*--(SUM(_xlfn.XLOOKUP(_xlfn._xlws.FILTER(_xlfn.TOCOL(_xlfn.CHOOSECOLS(C128:L136,2,4,6,8,10),0,TRUE),_xlfn.TOCOL(_xlfn.CHOOSECOLS(C128:L136,1,3,5,7,9),0,TRUE)&lt;&gt;""),Lists!$AC$2:$AC$9,Lists!$AF$2:$AF$9,0))=0))</f>
        <v>0</v>
      </c>
      <c r="N119" s="69">
        <f>IF(OR(B119="",O119=""),"",--(COUNTIF(O119:O124,"&gt;0")=1))</f>
        <v>0</v>
      </c>
      <c r="O119" s="51">
        <v>5</v>
      </c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</row>
    <row r="120" spans="1:110">
      <c r="A120" s="168">
        <v>2</v>
      </c>
      <c r="B120" s="71" t="s">
        <v>71</v>
      </c>
      <c r="C120" s="70" cm="1">
        <f t="array" aca="1" ref="C120" ca="1">IF(OR(B120="",O120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3</v>
      </c>
      <c r="D120" s="67" cm="1">
        <f t="array" aca="1" ref="D120" ca="1">IF(OR(B120="",O120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3</v>
      </c>
      <c r="E120" s="67" cm="1">
        <f t="array" aca="1" ref="E120" ca="1">IF(OR(B120="",O120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120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1</v>
      </c>
      <c r="F120" s="67" cm="1">
        <f t="array" aca="1" ref="F120" ca="1">IF(OR(B120="",O120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120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1</v>
      </c>
      <c r="G120" s="67" cm="1">
        <f t="array" aca="1" ref="G120" ca="1">IF(OR(B120="",O120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120" s="67" cm="1">
        <f t="array" aca="1" ref="H120" ca="1">IF(OR(B120="",O120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1</v>
      </c>
      <c r="I120" s="68" cm="1">
        <f t="array" aca="1" ref="I120" ca="1">IF(OR(B120="",O120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120" s="68" cm="1">
        <f t="array" aca="1" ref="J120" ca="1">IF(OR(B120="",O120=""),"",--(SUM(_xlfn.XLOOKUP(_xlfn._xlws.FILTER(_xlfn.TOCOL(_xlfn.CHOOSECOLS(C107:L115,2,4,6,8,10),0,TRUE),_xlfn.TOCOL(_xlfn.CHOOSECOLS(C107:L115,1,3,5,7,9),0,TRUE)&lt;&gt;""),Lists!$AC$2:$AC$9,Lists!$AF$2:$AF$9,0))&gt;SUM(_xlfn.XLOOKUP(_xlfn._xlws.FILTER(_xlfn.TOCOL(_xlfn.CHOOSECOLS(C128:L136,2,4,6,8,10),0,TRUE),_xlfn.TOCOL(_xlfn.CHOOSECOLS(C128:L136,1,3,5,7,9),0,TRUE)&lt;&gt;""),Lists!$AC$2:$AC$9,Lists!$AF$2:$AF$9,0)))*--(ROW()-ROW(C118)=_xlfn.XLOOKUP(MAX(IF(O119:O124&gt;0,INT(C119:C124)*3+MOD(ROUND(C119:C124*10,0),10),-1)),IF(O119:O124&gt;0,INT(C119:C124)*3+MOD(ROUND(C119:C124*10,0),10),-1),_xlfn.SEQUENCE(ROWS(O119:O124)),,0)))</f>
        <v>0</v>
      </c>
      <c r="K120" s="68" cm="1">
        <f t="array" aca="1" ref="K120" ca="1">IF(OR(B120="",O120=""),"",--(SUM(_xlfn.XLOOKUP(_xlfn._xlws.FILTER(_xlfn.TOCOL(_xlfn.CHOOSECOLS(C107:L115,2,4,6,8,10),0,TRUE),_xlfn.TOCOL(_xlfn.CHOOSECOLS(C107:L115,1,3,5,7,9),0,TRUE)&lt;&gt;""),Lists!$AC$2:$AC$9,Lists!$AF$2:$AF$9,0))&lt;SUM(_xlfn.XLOOKUP(_xlfn._xlws.FILTER(_xlfn.TOCOL(_xlfn.CHOOSECOLS(C128:L136,2,4,6,8,10),0,TRUE),_xlfn.TOCOL(_xlfn.CHOOSECOLS(C128:L136,1,3,5,7,9),0,TRUE)&lt;&gt;""),Lists!$AC$2:$AC$9,Lists!$AF$2:$AF$9,0)))*--(ROW()-ROW(C118)=_xlfn.XLOOKUP(MAX(IF(O119:O124&gt;0,E119:E124,-1)),IF(O119:O124&gt;0,E119:E124,-1),_xlfn.SEQUENCE(ROWS(O119:O124)),,0)))</f>
        <v>0</v>
      </c>
      <c r="L120" s="68" cm="1">
        <f t="array" aca="1" ref="L120" ca="1">IF(OR(B120="",O120=""),"",--(SUM(_xlfn.XLOOKUP(_xlfn._xlws.FILTER(_xlfn.TOCOL(_xlfn.CHOOSECOLS(C107:L115,2,4,6,8,10),0,TRUE),_xlfn.TOCOL(_xlfn.CHOOSECOLS(C107:L115,1,3,5,7,9),0,TRUE)&lt;&gt;""),Lists!$AC$2:$AC$9,Lists!$AF$2:$AF$9,0))&gt;SUM(_xlfn.XLOOKUP(_xlfn._xlws.FILTER(_xlfn.TOCOL(_xlfn.CHOOSECOLS(C128:L136,2,4,6,8,10),0,TRUE),_xlfn.TOCOL(_xlfn.CHOOSECOLS(C128:L136,1,3,5,7,9),0,TRUE)&lt;&gt;""),Lists!$AC$2:$AC$9,Lists!$AF$2:$AF$9,0)))*--(COUNTIF(O119:O124,"&gt;0")&gt;1)*--(ROW()-ROW(C118)=_xlfn.XLOOKUP(TRUE,O119:O124&gt;0,_xlfn.SEQUENCE(ROWS(O119:O124)),,0,-1))*--(_xlfn.XLOOKUP(TRUE,O119:O124&gt;0,_xlfn.SEQUENCE(ROWS(O119:O124)),,0,-1)&lt;&gt;_xlfn.XLOOKUP(MAX(IF(O119:O124&gt;0,INT(C119:C124)*3+MOD(ROUND(C119:C124*10,0),10),-1)),IF(O119:O124&gt;0,INT(C119:C124)*3+MOD(ROUND(C119:C124*10,0),10),-1),_xlfn.SEQUENCE(ROWS(O119:O124)),,0))*--(SUM(_xlfn.XLOOKUP(_xlfn._xlws.FILTER(_xlfn.TOCOL(_xlfn.CHOOSECOLS(C107:L115,2,4,6,8,10),0,TRUE),_xlfn.TOCOL(_xlfn.CHOOSECOLS(C107:L115,1,3,5,7,9),0,TRUE)&lt;&gt;""),Lists!$AC$2:$AC$9,Lists!$AF$2:$AF$9,0))-SUM(_xlfn.XLOOKUP(_xlfn._xlws.FILTER(_xlfn.TOCOL(_xlfn.CHOOSECOLS(C128:L136,2,4,6,8,10),0,TRUE),_xlfn.TOCOL(_xlfn.CHOOSECOLS(C128:L136,1,3,5,7,9),0,TRUE)&lt;&gt;""),Lists!$AC$2:$AC$9,Lists!$AF$2:$AF$9,0))&lt;=3)*--((INT(C120)*3+MOD(ROUND(C120*10,0),10))&gt;=3))</f>
        <v>0</v>
      </c>
      <c r="M120" s="68" cm="1">
        <f t="array" ref="M120">IF(OR(B120="",O120=""),"",--(COUNTIF(O119:O124,"&gt;0")=1)*--(SUM(_xlfn.XLOOKUP(_xlfn._xlws.FILTER(_xlfn.TOCOL(_xlfn.CHOOSECOLS(C128:L136,2,4,6,8,10),0,TRUE),_xlfn.TOCOL(_xlfn.CHOOSECOLS(C128:L136,1,3,5,7,9),0,TRUE)&lt;&gt;""),Lists!$AC$2:$AC$9,Lists!$AF$2:$AF$9,0))=0))</f>
        <v>0</v>
      </c>
      <c r="N120" s="69">
        <f>IF(OR(B120="",O120=""),"",--(COUNTIF(O119:O124,"&gt;0")=1))</f>
        <v>0</v>
      </c>
      <c r="O120" s="51">
        <v>13</v>
      </c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</row>
    <row r="121" spans="1:110">
      <c r="A121" s="168">
        <v>3</v>
      </c>
      <c r="B121" s="71"/>
      <c r="C121" s="70" t="str" cm="1">
        <f t="array" aca="1" ref="C121" ca="1">IF(OR(B121="",O121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121" s="67" t="str" cm="1">
        <f t="array" aca="1" ref="D121" ca="1">IF(OR(B121="",O121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121" s="67" t="str" cm="1">
        <f t="array" aca="1" ref="E121" ca="1">IF(OR(B121="",O121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121" s="67" t="str" cm="1">
        <f t="array" aca="1" ref="F121" ca="1">IF(OR(B121="",O121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121" s="67" t="str" cm="1">
        <f t="array" aca="1" ref="G121" ca="1">IF(OR(B121="",O121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121" s="67" t="str" cm="1">
        <f t="array" aca="1" ref="H121" ca="1">IF(OR(B121="",O121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121" s="68" t="str" cm="1">
        <f t="array" aca="1" ref="I121" ca="1">IF(OR(B121="",O121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121" s="68" t="str" cm="1">
        <f t="array" aca="1" ref="J121" ca="1">IF(OR(B121="",O121=""),"",--(SUM(_xlfn.XLOOKUP(_xlfn._xlws.FILTER(_xlfn.TOCOL(_xlfn.CHOOSECOLS(C107:L115,2,4,6,8,10),0,TRUE),_xlfn.TOCOL(_xlfn.CHOOSECOLS(C107:L115,1,3,5,7,9),0,TRUE)&lt;&gt;""),Lists!$AC$2:$AC$9,Lists!$AF$2:$AF$9,0))&gt;SUM(_xlfn.XLOOKUP(_xlfn._xlws.FILTER(_xlfn.TOCOL(_xlfn.CHOOSECOLS(C128:L136,2,4,6,8,10),0,TRUE),_xlfn.TOCOL(_xlfn.CHOOSECOLS(C128:L136,1,3,5,7,9),0,TRUE)&lt;&gt;""),Lists!$AC$2:$AC$9,Lists!$AF$2:$AF$9,0)))*--(ROW()-ROW(C118)=_xlfn.XLOOKUP(MAX(IF(O119:O124&gt;0,INT(C119:C124)*3+MOD(ROUND(C119:C124*10,0),10),-1)),IF(O119:O124&gt;0,INT(C119:C124)*3+MOD(ROUND(C119:C124*10,0),10),-1),_xlfn.SEQUENCE(ROWS(O119:O124)),,0)))</f>
        <v/>
      </c>
      <c r="K121" s="68" t="str" cm="1">
        <f t="array" aca="1" ref="K121" ca="1">IF(OR(B121="",O121=""),"",--(SUM(_xlfn.XLOOKUP(_xlfn._xlws.FILTER(_xlfn.TOCOL(_xlfn.CHOOSECOLS(C107:L115,2,4,6,8,10),0,TRUE),_xlfn.TOCOL(_xlfn.CHOOSECOLS(C107:L115,1,3,5,7,9),0,TRUE)&lt;&gt;""),Lists!$AC$2:$AC$9,Lists!$AF$2:$AF$9,0))&lt;SUM(_xlfn.XLOOKUP(_xlfn._xlws.FILTER(_xlfn.TOCOL(_xlfn.CHOOSECOLS(C128:L136,2,4,6,8,10),0,TRUE),_xlfn.TOCOL(_xlfn.CHOOSECOLS(C128:L136,1,3,5,7,9),0,TRUE)&lt;&gt;""),Lists!$AC$2:$AC$9,Lists!$AF$2:$AF$9,0)))*--(ROW()-ROW(C118)=_xlfn.XLOOKUP(MAX(IF(O119:O124&gt;0,E119:E124,-1)),IF(O119:O124&gt;0,E119:E124,-1),_xlfn.SEQUENCE(ROWS(O119:O124)),,0)))</f>
        <v/>
      </c>
      <c r="L121" s="68" t="str" cm="1">
        <f t="array" aca="1" ref="L121" ca="1">IF(OR(B121="",O121=""),"",--(SUM(_xlfn.XLOOKUP(_xlfn._xlws.FILTER(_xlfn.TOCOL(_xlfn.CHOOSECOLS(C107:L115,2,4,6,8,10),0,TRUE),_xlfn.TOCOL(_xlfn.CHOOSECOLS(C107:L115,1,3,5,7,9),0,TRUE)&lt;&gt;""),Lists!$AC$2:$AC$9,Lists!$AF$2:$AF$9,0))&gt;SUM(_xlfn.XLOOKUP(_xlfn._xlws.FILTER(_xlfn.TOCOL(_xlfn.CHOOSECOLS(C128:L136,2,4,6,8,10),0,TRUE),_xlfn.TOCOL(_xlfn.CHOOSECOLS(C128:L136,1,3,5,7,9),0,TRUE)&lt;&gt;""),Lists!$AC$2:$AC$9,Lists!$AF$2:$AF$9,0)))*--(COUNTIF(O119:O124,"&gt;0")&gt;1)*--(ROW()-ROW(C118)=_xlfn.XLOOKUP(TRUE,O119:O124&gt;0,_xlfn.SEQUENCE(ROWS(O119:O124)),,0,-1))*--(_xlfn.XLOOKUP(TRUE,O119:O124&gt;0,_xlfn.SEQUENCE(ROWS(O119:O124)),,0,-1)&lt;&gt;_xlfn.XLOOKUP(MAX(IF(O119:O124&gt;0,INT(C119:C124)*3+MOD(ROUND(C119:C124*10,0),10),-1)),IF(O119:O124&gt;0,INT(C119:C124)*3+MOD(ROUND(C119:C124*10,0),10),-1),_xlfn.SEQUENCE(ROWS(O119:O124)),,0))*--(SUM(_xlfn.XLOOKUP(_xlfn._xlws.FILTER(_xlfn.TOCOL(_xlfn.CHOOSECOLS(C107:L115,2,4,6,8,10),0,TRUE),_xlfn.TOCOL(_xlfn.CHOOSECOLS(C107:L115,1,3,5,7,9),0,TRUE)&lt;&gt;""),Lists!$AC$2:$AC$9,Lists!$AF$2:$AF$9,0))-SUM(_xlfn.XLOOKUP(_xlfn._xlws.FILTER(_xlfn.TOCOL(_xlfn.CHOOSECOLS(C128:L136,2,4,6,8,10),0,TRUE),_xlfn.TOCOL(_xlfn.CHOOSECOLS(C128:L136,1,3,5,7,9),0,TRUE)&lt;&gt;""),Lists!$AC$2:$AC$9,Lists!$AF$2:$AF$9,0))&lt;=3)*--((INT(C121)*3+MOD(ROUND(C121*10,0),10))&gt;=3))</f>
        <v/>
      </c>
      <c r="M121" s="68" t="str" cm="1">
        <f t="array" ref="M121">IF(OR(B121="",O121=""),"",--(COUNTIF(O119:O124,"&gt;0")=1)*--(SUM(_xlfn.XLOOKUP(_xlfn._xlws.FILTER(_xlfn.TOCOL(_xlfn.CHOOSECOLS(C128:L136,2,4,6,8,10),0,TRUE),_xlfn.TOCOL(_xlfn.CHOOSECOLS(C128:L136,1,3,5,7,9),0,TRUE)&lt;&gt;""),Lists!$AC$2:$AC$9,Lists!$AF$2:$AF$9,0))=0))</f>
        <v/>
      </c>
      <c r="N121" s="69" t="str">
        <f>IF(OR(B121="",O121=""),"",--(COUNTIF(O119:O124,"&gt;0")=1))</f>
        <v/>
      </c>
      <c r="O121" s="51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</row>
    <row r="122" spans="1:110">
      <c r="A122" s="168">
        <v>4</v>
      </c>
      <c r="B122" s="71"/>
      <c r="C122" s="70" t="str" cm="1">
        <f t="array" aca="1" ref="C122" ca="1">IF(OR(B122="",O122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122" s="67" t="str" cm="1">
        <f t="array" aca="1" ref="D122" ca="1">IF(OR(B122="",O122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122" s="67" t="str" cm="1">
        <f t="array" aca="1" ref="E122" ca="1">IF(OR(B122="",O122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122" s="67" t="str" cm="1">
        <f t="array" aca="1" ref="F122" ca="1">IF(OR(B122="",O122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122" s="67" t="str" cm="1">
        <f t="array" aca="1" ref="G122" ca="1">IF(OR(B122="",O122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122" s="67" t="str" cm="1">
        <f t="array" aca="1" ref="H122" ca="1">IF(OR(B122="",O122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122" s="68" t="str" cm="1">
        <f t="array" aca="1" ref="I122" ca="1">IF(OR(B122="",O122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122" s="68" t="str" cm="1">
        <f t="array" aca="1" ref="J122" ca="1">IF(OR(B122="",O122=""),"",--(SUM(_xlfn.XLOOKUP(_xlfn._xlws.FILTER(_xlfn.TOCOL(_xlfn.CHOOSECOLS(C107:L115,2,4,6,8,10),0,TRUE),_xlfn.TOCOL(_xlfn.CHOOSECOLS(C107:L115,1,3,5,7,9),0,TRUE)&lt;&gt;""),Lists!$AC$2:$AC$9,Lists!$AF$2:$AF$9,0))&gt;SUM(_xlfn.XLOOKUP(_xlfn._xlws.FILTER(_xlfn.TOCOL(_xlfn.CHOOSECOLS(C128:L136,2,4,6,8,10),0,TRUE),_xlfn.TOCOL(_xlfn.CHOOSECOLS(C128:L136,1,3,5,7,9),0,TRUE)&lt;&gt;""),Lists!$AC$2:$AC$9,Lists!$AF$2:$AF$9,0)))*--(ROW()-ROW(C118)=_xlfn.XLOOKUP(MAX(IF(O119:O124&gt;0,INT(C119:C124)*3+MOD(ROUND(C119:C124*10,0),10),-1)),IF(O119:O124&gt;0,INT(C119:C124)*3+MOD(ROUND(C119:C124*10,0),10),-1),_xlfn.SEQUENCE(ROWS(O119:O124)),,0)))</f>
        <v/>
      </c>
      <c r="K122" s="68" t="str" cm="1">
        <f t="array" aca="1" ref="K122" ca="1">IF(OR(B122="",O122=""),"",--(SUM(_xlfn.XLOOKUP(_xlfn._xlws.FILTER(_xlfn.TOCOL(_xlfn.CHOOSECOLS(C107:L115,2,4,6,8,10),0,TRUE),_xlfn.TOCOL(_xlfn.CHOOSECOLS(C107:L115,1,3,5,7,9),0,TRUE)&lt;&gt;""),Lists!$AC$2:$AC$9,Lists!$AF$2:$AF$9,0))&lt;SUM(_xlfn.XLOOKUP(_xlfn._xlws.FILTER(_xlfn.TOCOL(_xlfn.CHOOSECOLS(C128:L136,2,4,6,8,10),0,TRUE),_xlfn.TOCOL(_xlfn.CHOOSECOLS(C128:L136,1,3,5,7,9),0,TRUE)&lt;&gt;""),Lists!$AC$2:$AC$9,Lists!$AF$2:$AF$9,0)))*--(ROW()-ROW(C118)=_xlfn.XLOOKUP(MAX(IF(O119:O124&gt;0,E119:E124,-1)),IF(O119:O124&gt;0,E119:E124,-1),_xlfn.SEQUENCE(ROWS(O119:O124)),,0)))</f>
        <v/>
      </c>
      <c r="L122" s="68" t="str" cm="1">
        <f t="array" aca="1" ref="L122" ca="1">IF(OR(B122="",O122=""),"",--(SUM(_xlfn.XLOOKUP(_xlfn._xlws.FILTER(_xlfn.TOCOL(_xlfn.CHOOSECOLS(C107:L115,2,4,6,8,10),0,TRUE),_xlfn.TOCOL(_xlfn.CHOOSECOLS(C107:L115,1,3,5,7,9),0,TRUE)&lt;&gt;""),Lists!$AC$2:$AC$9,Lists!$AF$2:$AF$9,0))&gt;SUM(_xlfn.XLOOKUP(_xlfn._xlws.FILTER(_xlfn.TOCOL(_xlfn.CHOOSECOLS(C128:L136,2,4,6,8,10),0,TRUE),_xlfn.TOCOL(_xlfn.CHOOSECOLS(C128:L136,1,3,5,7,9),0,TRUE)&lt;&gt;""),Lists!$AC$2:$AC$9,Lists!$AF$2:$AF$9,0)))*--(COUNTIF(O119:O124,"&gt;0")&gt;1)*--(ROW()-ROW(C118)=_xlfn.XLOOKUP(TRUE,O119:O124&gt;0,_xlfn.SEQUENCE(ROWS(O119:O124)),,0,-1))*--(_xlfn.XLOOKUP(TRUE,O119:O124&gt;0,_xlfn.SEQUENCE(ROWS(O119:O124)),,0,-1)&lt;&gt;_xlfn.XLOOKUP(MAX(IF(O119:O124&gt;0,INT(C119:C124)*3+MOD(ROUND(C119:C124*10,0),10),-1)),IF(O119:O124&gt;0,INT(C119:C124)*3+MOD(ROUND(C119:C124*10,0),10),-1),_xlfn.SEQUENCE(ROWS(O119:O124)),,0))*--(SUM(_xlfn.XLOOKUP(_xlfn._xlws.FILTER(_xlfn.TOCOL(_xlfn.CHOOSECOLS(C107:L115,2,4,6,8,10),0,TRUE),_xlfn.TOCOL(_xlfn.CHOOSECOLS(C107:L115,1,3,5,7,9),0,TRUE)&lt;&gt;""),Lists!$AC$2:$AC$9,Lists!$AF$2:$AF$9,0))-SUM(_xlfn.XLOOKUP(_xlfn._xlws.FILTER(_xlfn.TOCOL(_xlfn.CHOOSECOLS(C128:L136,2,4,6,8,10),0,TRUE),_xlfn.TOCOL(_xlfn.CHOOSECOLS(C128:L136,1,3,5,7,9),0,TRUE)&lt;&gt;""),Lists!$AC$2:$AC$9,Lists!$AF$2:$AF$9,0))&lt;=3)*--((INT(C122)*3+MOD(ROUND(C122*10,0),10))&gt;=3))</f>
        <v/>
      </c>
      <c r="M122" s="68" t="str" cm="1">
        <f t="array" ref="M122">IF(OR(B122="",O122=""),"",--(COUNTIF(O119:O124,"&gt;0")=1)*--(SUM(_xlfn.XLOOKUP(_xlfn._xlws.FILTER(_xlfn.TOCOL(_xlfn.CHOOSECOLS(C128:L136,2,4,6,8,10),0,TRUE),_xlfn.TOCOL(_xlfn.CHOOSECOLS(C128:L136,1,3,5,7,9),0,TRUE)&lt;&gt;""),Lists!$AC$2:$AC$9,Lists!$AF$2:$AF$9,0))=0))</f>
        <v/>
      </c>
      <c r="N122" s="69" t="str">
        <f>IF(OR(B122="",O122=""),"",--(COUNTIF(O119:O124,"&gt;0")=1))</f>
        <v/>
      </c>
      <c r="O122" s="51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</row>
    <row r="123" spans="1:110">
      <c r="A123" s="168">
        <v>5</v>
      </c>
      <c r="B123" s="71"/>
      <c r="C123" s="70" t="str" cm="1">
        <f t="array" aca="1" ref="C123" ca="1">IF(OR(B123="",O123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123" s="67" t="str" cm="1">
        <f t="array" aca="1" ref="D123" ca="1">IF(OR(B123="",O123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123" s="67" t="str" cm="1">
        <f t="array" aca="1" ref="E123" ca="1">IF(OR(B123="",O123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123" s="67" t="str" cm="1">
        <f t="array" aca="1" ref="F123" ca="1">IF(OR(B123="",O123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123" s="67" t="str" cm="1">
        <f t="array" aca="1" ref="G123" ca="1">IF(OR(B123="",O123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123" s="67" t="str" cm="1">
        <f t="array" aca="1" ref="H123" ca="1">IF(OR(B123="",O123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123" s="68" t="str" cm="1">
        <f t="array" aca="1" ref="I123" ca="1">IF(OR(B123="",O123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123" s="68" t="str" cm="1">
        <f t="array" aca="1" ref="J123" ca="1">IF(OR(B123="",O123=""),"",--(SUM(_xlfn.XLOOKUP(_xlfn._xlws.FILTER(_xlfn.TOCOL(_xlfn.CHOOSECOLS(C107:L115,2,4,6,8,10),0,TRUE),_xlfn.TOCOL(_xlfn.CHOOSECOLS(C107:L115,1,3,5,7,9),0,TRUE)&lt;&gt;""),Lists!$AC$2:$AC$9,Lists!$AF$2:$AF$9,0))&gt;SUM(_xlfn.XLOOKUP(_xlfn._xlws.FILTER(_xlfn.TOCOL(_xlfn.CHOOSECOLS(C128:L136,2,4,6,8,10),0,TRUE),_xlfn.TOCOL(_xlfn.CHOOSECOLS(C128:L136,1,3,5,7,9),0,TRUE)&lt;&gt;""),Lists!$AC$2:$AC$9,Lists!$AF$2:$AF$9,0)))*--(ROW()-ROW(C118)=_xlfn.XLOOKUP(MAX(IF(O119:O124&gt;0,INT(C119:C124)*3+MOD(ROUND(C119:C124*10,0),10),-1)),IF(O119:O124&gt;0,INT(C119:C124)*3+MOD(ROUND(C119:C124*10,0),10),-1),_xlfn.SEQUENCE(ROWS(O119:O124)),,0)))</f>
        <v/>
      </c>
      <c r="K123" s="68" t="str" cm="1">
        <f t="array" aca="1" ref="K123" ca="1">IF(OR(B123="",O123=""),"",--(SUM(_xlfn.XLOOKUP(_xlfn._xlws.FILTER(_xlfn.TOCOL(_xlfn.CHOOSECOLS(C107:L115,2,4,6,8,10),0,TRUE),_xlfn.TOCOL(_xlfn.CHOOSECOLS(C107:L115,1,3,5,7,9),0,TRUE)&lt;&gt;""),Lists!$AC$2:$AC$9,Lists!$AF$2:$AF$9,0))&lt;SUM(_xlfn.XLOOKUP(_xlfn._xlws.FILTER(_xlfn.TOCOL(_xlfn.CHOOSECOLS(C128:L136,2,4,6,8,10),0,TRUE),_xlfn.TOCOL(_xlfn.CHOOSECOLS(C128:L136,1,3,5,7,9),0,TRUE)&lt;&gt;""),Lists!$AC$2:$AC$9,Lists!$AF$2:$AF$9,0)))*--(ROW()-ROW(C118)=_xlfn.XLOOKUP(MAX(IF(O119:O124&gt;0,E119:E124,-1)),IF(O119:O124&gt;0,E119:E124,-1),_xlfn.SEQUENCE(ROWS(O119:O124)),,0)))</f>
        <v/>
      </c>
      <c r="L123" s="68" t="str" cm="1">
        <f t="array" aca="1" ref="L123" ca="1">IF(OR(B123="",O123=""),"",--(SUM(_xlfn.XLOOKUP(_xlfn._xlws.FILTER(_xlfn.TOCOL(_xlfn.CHOOSECOLS(C107:L115,2,4,6,8,10),0,TRUE),_xlfn.TOCOL(_xlfn.CHOOSECOLS(C107:L115,1,3,5,7,9),0,TRUE)&lt;&gt;""),Lists!$AC$2:$AC$9,Lists!$AF$2:$AF$9,0))&gt;SUM(_xlfn.XLOOKUP(_xlfn._xlws.FILTER(_xlfn.TOCOL(_xlfn.CHOOSECOLS(C128:L136,2,4,6,8,10),0,TRUE),_xlfn.TOCOL(_xlfn.CHOOSECOLS(C128:L136,1,3,5,7,9),0,TRUE)&lt;&gt;""),Lists!$AC$2:$AC$9,Lists!$AF$2:$AF$9,0)))*--(COUNTIF(O119:O124,"&gt;0")&gt;1)*--(ROW()-ROW(C118)=_xlfn.XLOOKUP(TRUE,O119:O124&gt;0,_xlfn.SEQUENCE(ROWS(O119:O124)),,0,-1))*--(_xlfn.XLOOKUP(TRUE,O119:O124&gt;0,_xlfn.SEQUENCE(ROWS(O119:O124)),,0,-1)&lt;&gt;_xlfn.XLOOKUP(MAX(IF(O119:O124&gt;0,INT(C119:C124)*3+MOD(ROUND(C119:C124*10,0),10),-1)),IF(O119:O124&gt;0,INT(C119:C124)*3+MOD(ROUND(C119:C124*10,0),10),-1),_xlfn.SEQUENCE(ROWS(O119:O124)),,0))*--(SUM(_xlfn.XLOOKUP(_xlfn._xlws.FILTER(_xlfn.TOCOL(_xlfn.CHOOSECOLS(C107:L115,2,4,6,8,10),0,TRUE),_xlfn.TOCOL(_xlfn.CHOOSECOLS(C107:L115,1,3,5,7,9),0,TRUE)&lt;&gt;""),Lists!$AC$2:$AC$9,Lists!$AF$2:$AF$9,0))-SUM(_xlfn.XLOOKUP(_xlfn._xlws.FILTER(_xlfn.TOCOL(_xlfn.CHOOSECOLS(C128:L136,2,4,6,8,10),0,TRUE),_xlfn.TOCOL(_xlfn.CHOOSECOLS(C128:L136,1,3,5,7,9),0,TRUE)&lt;&gt;""),Lists!$AC$2:$AC$9,Lists!$AF$2:$AF$9,0))&lt;=3)*--((INT(C123)*3+MOD(ROUND(C123*10,0),10))&gt;=3))</f>
        <v/>
      </c>
      <c r="M123" s="68" t="str" cm="1">
        <f t="array" ref="M123">IF(OR(B123="",O123=""),"",--(COUNTIF(O119:O124,"&gt;0")=1)*--(SUM(_xlfn.XLOOKUP(_xlfn._xlws.FILTER(_xlfn.TOCOL(_xlfn.CHOOSECOLS(C128:L136,2,4,6,8,10),0,TRUE),_xlfn.TOCOL(_xlfn.CHOOSECOLS(C128:L136,1,3,5,7,9),0,TRUE)&lt;&gt;""),Lists!$AC$2:$AC$9,Lists!$AF$2:$AF$9,0))=0))</f>
        <v/>
      </c>
      <c r="N123" s="69" t="str">
        <f>IF(OR(B123="",O123=""),"",--(COUNTIF(O119:O124,"&gt;0")=1))</f>
        <v/>
      </c>
      <c r="O123" s="51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</row>
    <row r="124" spans="1:110">
      <c r="A124" s="168">
        <v>6</v>
      </c>
      <c r="B124" s="71"/>
      <c r="C124" s="70" t="str" cm="1">
        <f t="array" aca="1" ref="C124" ca="1">IF(OR(B124="",O124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124" s="67" t="str" cm="1">
        <f t="array" aca="1" ref="D124" ca="1">IF(OR(B124="",O124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124" s="67" t="str" cm="1">
        <f t="array" aca="1" ref="E124" ca="1">IF(OR(B124="",O124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124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124" s="67" t="str" cm="1">
        <f t="array" aca="1" ref="F124" ca="1">IF(OR(B124="",O124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124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124" s="67" t="str" cm="1">
        <f t="array" aca="1" ref="G124" ca="1">IF(OR(B124="",O124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124" s="67" t="str" cm="1">
        <f t="array" aca="1" ref="H124" ca="1">IF(OR(B124="",O124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124" s="68" t="str" cm="1">
        <f t="array" aca="1" ref="I124" ca="1">IF(OR(B124="",O124=""),"",_xlfn.LET(_xlpm.flatPAraw,_xlfn.TOCOL(_xlfn.CHOOSECOLS(C128:L136,1,3,5,7,9),0,TRUE),_xlpm.flatPARraw,_xlfn.TOCOL(_xlfn.CHOOSECOLS(C128:L136,2,4,6,8,10),0,TRUE),_xlpm.flatPA,_xlfn._xlws.FILTER(_xlpm.flatPAraw,_xlpm.flatPAraw&lt;&gt;""),_xlpm.flatPAR,_xlfn._xlws.FILTER(_xlpm.flatPARraw,_xlpm.flatPAraw&lt;&gt;""),_xlpm.prev,IF(ROW()=ROW(C119),0,SUM(INDEX(O:O,ROW(C119)):INDEX(O:O,ROW()-1))),_xlpm.need,O124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124" s="68" t="str" cm="1">
        <f t="array" aca="1" ref="J124" ca="1">IF(OR(B124="",O124=""),"",--(SUM(_xlfn.XLOOKUP(_xlfn._xlws.FILTER(_xlfn.TOCOL(_xlfn.CHOOSECOLS(C107:L115,2,4,6,8,10),0,TRUE),_xlfn.TOCOL(_xlfn.CHOOSECOLS(C107:L115,1,3,5,7,9),0,TRUE)&lt;&gt;""),Lists!$AC$2:$AC$9,Lists!$AF$2:$AF$9,0))&gt;SUM(_xlfn.XLOOKUP(_xlfn._xlws.FILTER(_xlfn.TOCOL(_xlfn.CHOOSECOLS(C128:L136,2,4,6,8,10),0,TRUE),_xlfn.TOCOL(_xlfn.CHOOSECOLS(C128:L136,1,3,5,7,9),0,TRUE)&lt;&gt;""),Lists!$AC$2:$AC$9,Lists!$AF$2:$AF$9,0)))*--(ROW()-ROW(C118)=_xlfn.XLOOKUP(MAX(IF(O119:O124&gt;0,INT(C119:C124)*3+MOD(ROUND(C119:C124*10,0),10),-1)),IF(O119:O124&gt;0,INT(C119:C124)*3+MOD(ROUND(C119:C124*10,0),10),-1),_xlfn.SEQUENCE(ROWS(O119:O124)),,0)))</f>
        <v/>
      </c>
      <c r="K124" s="68" t="str" cm="1">
        <f t="array" aca="1" ref="K124" ca="1">IF(OR(B124="",O124=""),"",--(SUM(_xlfn.XLOOKUP(_xlfn._xlws.FILTER(_xlfn.TOCOL(_xlfn.CHOOSECOLS(C107:L115,2,4,6,8,10),0,TRUE),_xlfn.TOCOL(_xlfn.CHOOSECOLS(C107:L115,1,3,5,7,9),0,TRUE)&lt;&gt;""),Lists!$AC$2:$AC$9,Lists!$AF$2:$AF$9,0))&lt;SUM(_xlfn.XLOOKUP(_xlfn._xlws.FILTER(_xlfn.TOCOL(_xlfn.CHOOSECOLS(C128:L136,2,4,6,8,10),0,TRUE),_xlfn.TOCOL(_xlfn.CHOOSECOLS(C128:L136,1,3,5,7,9),0,TRUE)&lt;&gt;""),Lists!$AC$2:$AC$9,Lists!$AF$2:$AF$9,0)))*--(ROW()-ROW(C118)=_xlfn.XLOOKUP(MAX(IF(O119:O124&gt;0,E119:E124,-1)),IF(O119:O124&gt;0,E119:E124,-1),_xlfn.SEQUENCE(ROWS(O119:O124)),,0)))</f>
        <v/>
      </c>
      <c r="L124" s="68" t="str" cm="1">
        <f t="array" aca="1" ref="L124" ca="1">IF(OR(B124="",O124=""),"",--(SUM(_xlfn.XLOOKUP(_xlfn._xlws.FILTER(_xlfn.TOCOL(_xlfn.CHOOSECOLS(C107:L115,2,4,6,8,10),0,TRUE),_xlfn.TOCOL(_xlfn.CHOOSECOLS(C107:L115,1,3,5,7,9),0,TRUE)&lt;&gt;""),Lists!$AC$2:$AC$9,Lists!$AF$2:$AF$9,0))&gt;SUM(_xlfn.XLOOKUP(_xlfn._xlws.FILTER(_xlfn.TOCOL(_xlfn.CHOOSECOLS(C128:L136,2,4,6,8,10),0,TRUE),_xlfn.TOCOL(_xlfn.CHOOSECOLS(C128:L136,1,3,5,7,9),0,TRUE)&lt;&gt;""),Lists!$AC$2:$AC$9,Lists!$AF$2:$AF$9,0)))*--(COUNTIF(O119:O124,"&gt;0")&gt;1)*--(ROW()-ROW(C118)=_xlfn.XLOOKUP(TRUE,O119:O124&gt;0,_xlfn.SEQUENCE(ROWS(O119:O124)),,0,-1))*--(_xlfn.XLOOKUP(TRUE,O119:O124&gt;0,_xlfn.SEQUENCE(ROWS(O119:O124)),,0,-1)&lt;&gt;_xlfn.XLOOKUP(MAX(IF(O119:O124&gt;0,INT(C119:C124)*3+MOD(ROUND(C119:C124*10,0),10),-1)),IF(O119:O124&gt;0,INT(C119:C124)*3+MOD(ROUND(C119:C124*10,0),10),-1),_xlfn.SEQUENCE(ROWS(O119:O124)),,0))*--(SUM(_xlfn.XLOOKUP(_xlfn._xlws.FILTER(_xlfn.TOCOL(_xlfn.CHOOSECOLS(C107:L115,2,4,6,8,10),0,TRUE),_xlfn.TOCOL(_xlfn.CHOOSECOLS(C107:L115,1,3,5,7,9),0,TRUE)&lt;&gt;""),Lists!$AC$2:$AC$9,Lists!$AF$2:$AF$9,0))-SUM(_xlfn.XLOOKUP(_xlfn._xlws.FILTER(_xlfn.TOCOL(_xlfn.CHOOSECOLS(C128:L136,2,4,6,8,10),0,TRUE),_xlfn.TOCOL(_xlfn.CHOOSECOLS(C128:L136,1,3,5,7,9),0,TRUE)&lt;&gt;""),Lists!$AC$2:$AC$9,Lists!$AF$2:$AF$9,0))&lt;=3)*--((INT(C124)*3+MOD(ROUND(C124*10,0),10))&gt;=3))</f>
        <v/>
      </c>
      <c r="M124" s="68" t="str" cm="1">
        <f t="array" ref="M124">IF(OR(B124="",O124=""),"",--(COUNTIF(O119:O124,"&gt;0")=1)*--(SUM(_xlfn.XLOOKUP(_xlfn._xlws.FILTER(_xlfn.TOCOL(_xlfn.CHOOSECOLS(C128:L136,2,4,6,8,10),0,TRUE),_xlfn.TOCOL(_xlfn.CHOOSECOLS(C128:L136,1,3,5,7,9),0,TRUE)&lt;&gt;""),Lists!$AC$2:$AC$9,Lists!$AF$2:$AF$9,0))=0))</f>
        <v/>
      </c>
      <c r="N124" s="69" t="str">
        <f>IF(OR(B124="",O124=""),"",--(COUNTIF(O119:O124,"&gt;0")=1))</f>
        <v/>
      </c>
      <c r="O124" s="51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</row>
    <row r="125" spans="1:110">
      <c r="A125" s="173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3"/>
      <c r="Q125" s="53"/>
      <c r="R125" s="53"/>
      <c r="S125" s="53"/>
      <c r="T125" s="53"/>
      <c r="U125" s="53"/>
      <c r="V125" s="53"/>
      <c r="W125" s="53"/>
      <c r="X125" s="53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</row>
    <row r="126" spans="1:110">
      <c r="A126" s="205" t="str">
        <f ca="1">IF($R$100="","Team B Batting",$R$100&amp;" Batting")</f>
        <v>Nick Batting</v>
      </c>
      <c r="B126" s="206"/>
      <c r="C126" s="206"/>
      <c r="D126" s="206"/>
      <c r="E126" s="206"/>
      <c r="F126" s="206"/>
      <c r="G126" s="206"/>
      <c r="H126" s="206"/>
      <c r="I126" s="206"/>
      <c r="J126" s="206"/>
      <c r="K126" s="206"/>
      <c r="L126" s="206"/>
      <c r="M126" s="206"/>
      <c r="N126" s="206"/>
      <c r="O126" s="181"/>
      <c r="P126" s="182"/>
      <c r="Q126" s="182"/>
      <c r="R126" s="182"/>
      <c r="S126" s="182"/>
      <c r="T126" s="182"/>
      <c r="U126" s="182"/>
      <c r="V126" s="182"/>
      <c r="W126" s="182"/>
      <c r="X126" s="182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</row>
    <row r="127" spans="1:110">
      <c r="A127" s="167" t="s">
        <v>164</v>
      </c>
      <c r="B127" s="43" t="s">
        <v>39</v>
      </c>
      <c r="C127" s="43" t="s">
        <v>165</v>
      </c>
      <c r="D127" s="43" t="s">
        <v>166</v>
      </c>
      <c r="E127" s="43" t="s">
        <v>167</v>
      </c>
      <c r="F127" s="43" t="s">
        <v>168</v>
      </c>
      <c r="G127" s="43" t="s">
        <v>169</v>
      </c>
      <c r="H127" s="43" t="s">
        <v>170</v>
      </c>
      <c r="I127" s="43" t="s">
        <v>171</v>
      </c>
      <c r="J127" s="43" t="s">
        <v>172</v>
      </c>
      <c r="K127" s="43" t="s">
        <v>173</v>
      </c>
      <c r="L127" s="43" t="s">
        <v>174</v>
      </c>
      <c r="M127" s="43" t="s">
        <v>175</v>
      </c>
      <c r="N127" s="44" t="s">
        <v>161</v>
      </c>
      <c r="O127" s="44" t="s">
        <v>162</v>
      </c>
      <c r="P127" s="44" t="s">
        <v>176</v>
      </c>
      <c r="Q127" s="44" t="s">
        <v>177</v>
      </c>
      <c r="R127" s="44" t="s">
        <v>178</v>
      </c>
      <c r="S127" s="44" t="s">
        <v>179</v>
      </c>
      <c r="T127" s="44" t="s">
        <v>180</v>
      </c>
      <c r="U127" s="44" t="s">
        <v>181</v>
      </c>
      <c r="V127" s="44" t="s">
        <v>182</v>
      </c>
      <c r="W127" s="44" t="s">
        <v>183</v>
      </c>
      <c r="X127" s="45" t="s">
        <v>184</v>
      </c>
      <c r="Y127" s="45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</row>
    <row r="128" spans="1:110">
      <c r="A128" s="168">
        <v>1</v>
      </c>
      <c r="B128" s="47" t="str">
        <f ca="1">Lineups!$H$33</f>
        <v>Monty Mole</v>
      </c>
      <c r="C128" s="49" t="s">
        <v>189</v>
      </c>
      <c r="D128" s="49"/>
      <c r="E128" s="49" t="s">
        <v>193</v>
      </c>
      <c r="F128" s="49"/>
      <c r="G128" s="49"/>
      <c r="H128" s="50"/>
      <c r="I128" s="50"/>
      <c r="J128" s="50"/>
      <c r="K128" s="50"/>
      <c r="L128" s="50"/>
      <c r="M128" s="67">
        <f ca="1">IF($B128="","",SUM(_xlfn.XLOOKUP(C128,Lists!$P$2:$P$19,Lists!$R$2:$R$19,0),_xlfn.XLOOKUP(E128,Lists!$P$2:$P$19,Lists!$R$2:$R$19,0),_xlfn.XLOOKUP(G128,Lists!$P$2:$P$19,Lists!$R$2:$R$19,0),_xlfn.XLOOKUP(I128,Lists!$P$2:$P$19,Lists!$R$2:$R$19,0),_xlfn.XLOOKUP(K128,Lists!$P$2:$P$19,Lists!$R$2:$R$19,0)))</f>
        <v>2</v>
      </c>
      <c r="N128" s="68">
        <f ca="1">IF($B128="","",SUM(_xlfn.XLOOKUP(D128,Lists!$AC$2:$AC$9,Lists!$AE$2:$AE$9,0),_xlfn.XLOOKUP(F128,Lists!$AC$2:$AC$9,Lists!$AE$2:$AE$9,0),_xlfn.XLOOKUP(H128,Lists!$AC$2:$AC$9,Lists!$AE$2:$AE$9,0),_xlfn.XLOOKUP(J128,Lists!$AC$2:$AC$9,Lists!$AE$2:$AE$9,0),_xlfn.XLOOKUP(L128,Lists!$AC$2:$AC$9,Lists!$AE$2:$AE$9,0)))</f>
        <v>0</v>
      </c>
      <c r="O128" s="68">
        <f ca="1">IF($B128="","",SUM(_xlfn.XLOOKUP(C128,Lists!$P$2:$P$19,Lists!$S$2:$S$19,0),_xlfn.XLOOKUP(E128,Lists!$P$2:$P$19,Lists!$S$2:$S$19,0),_xlfn.XLOOKUP(G128,Lists!$P$2:$P$19,Lists!$S$2:$S$19,0),_xlfn.XLOOKUP(I128,Lists!$P$2:$P$19,Lists!$S$2:$S$19,0),_xlfn.XLOOKUP(K128,Lists!$P$2:$P$19,Lists!$S$2:$S$19,0)))</f>
        <v>0</v>
      </c>
      <c r="P128" s="68">
        <f ca="1">IF($B128="","",SUM(_xlfn.XLOOKUP(C128,Lists!$P$2:$P$19,Lists!$T$2:$T$19,0),_xlfn.XLOOKUP(E128,Lists!$P$2:$P$19,Lists!$T$2:$T$19,0),_xlfn.XLOOKUP(G128,Lists!$P$2:$P$19,Lists!$T$2:$T$19,0),_xlfn.XLOOKUP(I128,Lists!$P$2:$P$19,Lists!$T$2:$T$19,0),_xlfn.XLOOKUP(K128,Lists!$P$2:$P$19,Lists!$T$2:$T$19,0)))</f>
        <v>0</v>
      </c>
      <c r="Q128" s="68">
        <f ca="1">IF($B128="","",SUM(_xlfn.XLOOKUP(C128,Lists!$P$2:$P$19,Lists!$U$2:$U$19,0),_xlfn.XLOOKUP(E128,Lists!$P$2:$P$19,Lists!$U$2:$U$19,0),_xlfn.XLOOKUP(G128,Lists!$P$2:$P$19,Lists!$U$2:$U$19,0),_xlfn.XLOOKUP(I128,Lists!$P$2:$P$19,Lists!$U$2:$U$19,0),_xlfn.XLOOKUP(K128,Lists!$P$2:$P$19,Lists!$U$2:$U$19,0)))</f>
        <v>0</v>
      </c>
      <c r="R128" s="68">
        <f ca="1">IF($B128="","",SUM(_xlfn.XLOOKUP(C128,Lists!$P$2:$P$19,Lists!$V$2:$V$19,0),_xlfn.XLOOKUP(E128,Lists!$P$2:$P$19,Lists!$V$2:$V$19,0),_xlfn.XLOOKUP(G128,Lists!$P$2:$P$19,Lists!$V$2:$V$19,0),_xlfn.XLOOKUP(I128,Lists!$P$2:$P$19,Lists!$V$2:$V$19,0),_xlfn.XLOOKUP(K128,Lists!$P$2:$P$19,Lists!$V$2:$V$19,0)))</f>
        <v>0</v>
      </c>
      <c r="S128" s="68">
        <f ca="1">IF($B128="","",SUM(_xlfn.XLOOKUP(D128,Lists!$AC$2:$AC$9,Lists!$AD$2:$AD$9,0),_xlfn.XLOOKUP(F128,Lists!$AC$2:$AC$9,Lists!$AD$2:$AD$9,0),_xlfn.XLOOKUP(H128,Lists!$AC$2:$AC$9,Lists!$AD$2:$AD$9,0),_xlfn.XLOOKUP(J128,Lists!$AC$2:$AC$9,Lists!$AD$2:$AD$9,0),_xlfn.XLOOKUP(L128,Lists!$AC$2:$AC$9,Lists!$AD$2:$AD$9,0)))</f>
        <v>0</v>
      </c>
      <c r="T128" s="68">
        <f ca="1">IF($B128="","",SUM(_xlfn.XLOOKUP(C128,Lists!$P$2:$P$19,Lists!$W$2:$W$19,0),_xlfn.XLOOKUP(E128,Lists!$P$2:$P$19,Lists!$W$2:$W$19,0),_xlfn.XLOOKUP(G128,Lists!$P$2:$P$19,Lists!$W$2:$W$19,0),_xlfn.XLOOKUP(I128,Lists!$P$2:$P$19,Lists!$W$2:$W$19,0),_xlfn.XLOOKUP(K128,Lists!$P$2:$P$19,Lists!$W$2:$W$19,0)))</f>
        <v>0</v>
      </c>
      <c r="U128" s="68">
        <f ca="1">IF($B128="","",SUM(_xlfn.XLOOKUP(C128,Lists!$P$2:$P$19,Lists!$X$2:$X$19,0),_xlfn.XLOOKUP(E128,Lists!$P$2:$P$19,Lists!$X$2:$X$19,0),_xlfn.XLOOKUP(G128,Lists!$P$2:$P$19,Lists!$X$2:$X$19,0),_xlfn.XLOOKUP(I128,Lists!$P$2:$P$19,Lists!$X$2:$X$19,0),_xlfn.XLOOKUP(K128,Lists!$P$2:$P$19,Lists!$X$2:$X$19,0)))</f>
        <v>0</v>
      </c>
      <c r="V128" s="68">
        <f ca="1">IF($B128="","",SUM(_xlfn.XLOOKUP(C128,Lists!$P$2:$P$19,Lists!$Y$2:$Y$19,0),_xlfn.XLOOKUP(E128,Lists!$P$2:$P$19,Lists!$Y$2:$Y$19,0),_xlfn.XLOOKUP(G128,Lists!$P$2:$P$19,Lists!$Y$2:$Y$19,0),_xlfn.XLOOKUP(I128,Lists!$P$2:$P$19,Lists!$Y$2:$Y$19,0),_xlfn.XLOOKUP(K128,Lists!$P$2:$P$19,Lists!$Y$2:$Y$19,0)))</f>
        <v>0</v>
      </c>
      <c r="W128" s="68">
        <f ca="1">IF($B128="","",SUM(_xlfn.XLOOKUP(C128,Lists!$P$2:$P$19,Lists!$Z$2:$Z$19,0),_xlfn.XLOOKUP(E128,Lists!$P$2:$P$19,Lists!$Z$2:$Z$19,0),_xlfn.XLOOKUP(G128,Lists!$P$2:$P$19,Lists!$Z$2:$Z$19,0),_xlfn.XLOOKUP(I128,Lists!$P$2:$P$19,Lists!$Z$2:$Z$19,0),_xlfn.XLOOKUP(K128,Lists!$P$2:$P$19,Lists!$Z$2:$Z$19,0)))</f>
        <v>0</v>
      </c>
      <c r="X128" s="69">
        <f ca="1">IF($B128="","",SUM(_xlfn.XLOOKUP(C128,Lists!$P$2:$P$19,Lists!$AA$2:$AA$19,0),_xlfn.XLOOKUP(E128,Lists!$P$2:$P$19,Lists!$AA$2:$AA$19,0),_xlfn.XLOOKUP(G128,Lists!$P$2:$P$19,Lists!$AA$2:$AA$19,0),_xlfn.XLOOKUP(I128,Lists!$P$2:$P$19,Lists!$AA$2:$AA$19,0),_xlfn.XLOOKUP(K128,Lists!$P$2:$P$19,Lists!$AA$2:$AA$19,0)))</f>
        <v>0</v>
      </c>
      <c r="Y128" s="49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</row>
    <row r="129" spans="1:110">
      <c r="A129" s="168">
        <v>2</v>
      </c>
      <c r="B129" s="47" t="str">
        <f ca="1">Lineups!$H$34</f>
        <v>Boomerang Bro</v>
      </c>
      <c r="C129" s="49" t="s">
        <v>186</v>
      </c>
      <c r="D129" s="49"/>
      <c r="E129" s="49" t="s">
        <v>186</v>
      </c>
      <c r="F129" s="49"/>
      <c r="G129" s="49"/>
      <c r="H129" s="50"/>
      <c r="I129" s="50"/>
      <c r="J129" s="50"/>
      <c r="K129" s="50"/>
      <c r="L129" s="50"/>
      <c r="M129" s="67">
        <f ca="1">IF($B129="","",SUM(_xlfn.XLOOKUP(C129,Lists!$P$2:$P$19,Lists!$R$2:$R$19,0),_xlfn.XLOOKUP(E129,Lists!$P$2:$P$19,Lists!$R$2:$R$19,0),_xlfn.XLOOKUP(G129,Lists!$P$2:$P$19,Lists!$R$2:$R$19,0),_xlfn.XLOOKUP(I129,Lists!$P$2:$P$19,Lists!$R$2:$R$19,0),_xlfn.XLOOKUP(K129,Lists!$P$2:$P$19,Lists!$R$2:$R$19,0)))</f>
        <v>2</v>
      </c>
      <c r="N129" s="68">
        <f ca="1">IF($B129="","",SUM(_xlfn.XLOOKUP(D129,Lists!$AC$2:$AC$9,Lists!$AE$2:$AE$9,0),_xlfn.XLOOKUP(F129,Lists!$AC$2:$AC$9,Lists!$AE$2:$AE$9,0),_xlfn.XLOOKUP(H129,Lists!$AC$2:$AC$9,Lists!$AE$2:$AE$9,0),_xlfn.XLOOKUP(J129,Lists!$AC$2:$AC$9,Lists!$AE$2:$AE$9,0),_xlfn.XLOOKUP(L129,Lists!$AC$2:$AC$9,Lists!$AE$2:$AE$9,0)))</f>
        <v>0</v>
      </c>
      <c r="O129" s="68">
        <f ca="1">IF($B129="","",SUM(_xlfn.XLOOKUP(C129,Lists!$P$2:$P$19,Lists!$S$2:$S$19,0),_xlfn.XLOOKUP(E129,Lists!$P$2:$P$19,Lists!$S$2:$S$19,0),_xlfn.XLOOKUP(G129,Lists!$P$2:$P$19,Lists!$S$2:$S$19,0),_xlfn.XLOOKUP(I129,Lists!$P$2:$P$19,Lists!$S$2:$S$19,0),_xlfn.XLOOKUP(K129,Lists!$P$2:$P$19,Lists!$S$2:$S$19,0)))</f>
        <v>0</v>
      </c>
      <c r="P129" s="68">
        <f ca="1">IF($B129="","",SUM(_xlfn.XLOOKUP(C129,Lists!$P$2:$P$19,Lists!$T$2:$T$19,0),_xlfn.XLOOKUP(E129,Lists!$P$2:$P$19,Lists!$T$2:$T$19,0),_xlfn.XLOOKUP(G129,Lists!$P$2:$P$19,Lists!$T$2:$T$19,0),_xlfn.XLOOKUP(I129,Lists!$P$2:$P$19,Lists!$T$2:$T$19,0),_xlfn.XLOOKUP(K129,Lists!$P$2:$P$19,Lists!$T$2:$T$19,0)))</f>
        <v>0</v>
      </c>
      <c r="Q129" s="68">
        <f ca="1">IF($B129="","",SUM(_xlfn.XLOOKUP(C129,Lists!$P$2:$P$19,Lists!$U$2:$U$19,0),_xlfn.XLOOKUP(E129,Lists!$P$2:$P$19,Lists!$U$2:$U$19,0),_xlfn.XLOOKUP(G129,Lists!$P$2:$P$19,Lists!$U$2:$U$19,0),_xlfn.XLOOKUP(I129,Lists!$P$2:$P$19,Lists!$U$2:$U$19,0),_xlfn.XLOOKUP(K129,Lists!$P$2:$P$19,Lists!$U$2:$U$19,0)))</f>
        <v>0</v>
      </c>
      <c r="R129" s="68">
        <f ca="1">IF($B129="","",SUM(_xlfn.XLOOKUP(C129,Lists!$P$2:$P$19,Lists!$V$2:$V$19,0),_xlfn.XLOOKUP(E129,Lists!$P$2:$P$19,Lists!$V$2:$V$19,0),_xlfn.XLOOKUP(G129,Lists!$P$2:$P$19,Lists!$V$2:$V$19,0),_xlfn.XLOOKUP(I129,Lists!$P$2:$P$19,Lists!$V$2:$V$19,0),_xlfn.XLOOKUP(K129,Lists!$P$2:$P$19,Lists!$V$2:$V$19,0)))</f>
        <v>0</v>
      </c>
      <c r="S129" s="68">
        <f ca="1">IF($B129="","",SUM(_xlfn.XLOOKUP(D129,Lists!$AC$2:$AC$9,Lists!$AD$2:$AD$9,0),_xlfn.XLOOKUP(F129,Lists!$AC$2:$AC$9,Lists!$AD$2:$AD$9,0),_xlfn.XLOOKUP(H129,Lists!$AC$2:$AC$9,Lists!$AD$2:$AD$9,0),_xlfn.XLOOKUP(J129,Lists!$AC$2:$AC$9,Lists!$AD$2:$AD$9,0),_xlfn.XLOOKUP(L129,Lists!$AC$2:$AC$9,Lists!$AD$2:$AD$9,0)))</f>
        <v>0</v>
      </c>
      <c r="T129" s="68">
        <f ca="1">IF($B129="","",SUM(_xlfn.XLOOKUP(C129,Lists!$P$2:$P$19,Lists!$W$2:$W$19,0),_xlfn.XLOOKUP(E129,Lists!$P$2:$P$19,Lists!$W$2:$W$19,0),_xlfn.XLOOKUP(G129,Lists!$P$2:$P$19,Lists!$W$2:$W$19,0),_xlfn.XLOOKUP(I129,Lists!$P$2:$P$19,Lists!$W$2:$W$19,0),_xlfn.XLOOKUP(K129,Lists!$P$2:$P$19,Lists!$W$2:$W$19,0)))</f>
        <v>0</v>
      </c>
      <c r="U129" s="68">
        <f ca="1">IF($B129="","",SUM(_xlfn.XLOOKUP(C129,Lists!$P$2:$P$19,Lists!$X$2:$X$19,0),_xlfn.XLOOKUP(E129,Lists!$P$2:$P$19,Lists!$X$2:$X$19,0),_xlfn.XLOOKUP(G129,Lists!$P$2:$P$19,Lists!$X$2:$X$19,0),_xlfn.XLOOKUP(I129,Lists!$P$2:$P$19,Lists!$X$2:$X$19,0),_xlfn.XLOOKUP(K129,Lists!$P$2:$P$19,Lists!$X$2:$X$19,0)))</f>
        <v>0</v>
      </c>
      <c r="V129" s="68">
        <f ca="1">IF($B129="","",SUM(_xlfn.XLOOKUP(C129,Lists!$P$2:$P$19,Lists!$Y$2:$Y$19,0),_xlfn.XLOOKUP(E129,Lists!$P$2:$P$19,Lists!$Y$2:$Y$19,0),_xlfn.XLOOKUP(G129,Lists!$P$2:$P$19,Lists!$Y$2:$Y$19,0),_xlfn.XLOOKUP(I129,Lists!$P$2:$P$19,Lists!$Y$2:$Y$19,0),_xlfn.XLOOKUP(K129,Lists!$P$2:$P$19,Lists!$Y$2:$Y$19,0)))</f>
        <v>0</v>
      </c>
      <c r="W129" s="68">
        <f ca="1">IF($B129="","",SUM(_xlfn.XLOOKUP(C129,Lists!$P$2:$P$19,Lists!$Z$2:$Z$19,0),_xlfn.XLOOKUP(E129,Lists!$P$2:$P$19,Lists!$Z$2:$Z$19,0),_xlfn.XLOOKUP(G129,Lists!$P$2:$P$19,Lists!$Z$2:$Z$19,0),_xlfn.XLOOKUP(I129,Lists!$P$2:$P$19,Lists!$Z$2:$Z$19,0),_xlfn.XLOOKUP(K129,Lists!$P$2:$P$19,Lists!$Z$2:$Z$19,0)))</f>
        <v>0</v>
      </c>
      <c r="X129" s="69">
        <f ca="1">IF($B129="","",SUM(_xlfn.XLOOKUP(C129,Lists!$P$2:$P$19,Lists!$AA$2:$AA$19,0),_xlfn.XLOOKUP(E129,Lists!$P$2:$P$19,Lists!$AA$2:$AA$19,0),_xlfn.XLOOKUP(G129,Lists!$P$2:$P$19,Lists!$AA$2:$AA$19,0),_xlfn.XLOOKUP(I129,Lists!$P$2:$P$19,Lists!$AA$2:$AA$19,0),_xlfn.XLOOKUP(K129,Lists!$P$2:$P$19,Lists!$AA$2:$AA$19,0)))</f>
        <v>0</v>
      </c>
      <c r="Y129" s="49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</row>
    <row r="130" spans="1:110">
      <c r="A130" s="168">
        <v>3</v>
      </c>
      <c r="B130" s="47" t="str">
        <f ca="1">Lineups!$H$35</f>
        <v>Wiggler</v>
      </c>
      <c r="C130" s="49" t="s">
        <v>178</v>
      </c>
      <c r="D130" s="49" t="s">
        <v>190</v>
      </c>
      <c r="E130" s="49" t="s">
        <v>193</v>
      </c>
      <c r="F130" s="49"/>
      <c r="G130" s="49"/>
      <c r="H130" s="50"/>
      <c r="I130" s="50"/>
      <c r="J130" s="50"/>
      <c r="K130" s="50"/>
      <c r="L130" s="50"/>
      <c r="M130" s="67">
        <f ca="1">IF($B130="","",SUM(_xlfn.XLOOKUP(C130,Lists!$P$2:$P$19,Lists!$R$2:$R$19,0),_xlfn.XLOOKUP(E130,Lists!$P$2:$P$19,Lists!$R$2:$R$19,0),_xlfn.XLOOKUP(G130,Lists!$P$2:$P$19,Lists!$R$2:$R$19,0),_xlfn.XLOOKUP(I130,Lists!$P$2:$P$19,Lists!$R$2:$R$19,0),_xlfn.XLOOKUP(K130,Lists!$P$2:$P$19,Lists!$R$2:$R$19,0)))</f>
        <v>2</v>
      </c>
      <c r="N130" s="68">
        <f ca="1">IF($B130="","",SUM(_xlfn.XLOOKUP(D130,Lists!$AC$2:$AC$9,Lists!$AE$2:$AE$9,0),_xlfn.XLOOKUP(F130,Lists!$AC$2:$AC$9,Lists!$AE$2:$AE$9,0),_xlfn.XLOOKUP(H130,Lists!$AC$2:$AC$9,Lists!$AE$2:$AE$9,0),_xlfn.XLOOKUP(J130,Lists!$AC$2:$AC$9,Lists!$AE$2:$AE$9,0),_xlfn.XLOOKUP(L130,Lists!$AC$2:$AC$9,Lists!$AE$2:$AE$9,0)))</f>
        <v>1</v>
      </c>
      <c r="O130" s="68">
        <f ca="1">IF($B130="","",SUM(_xlfn.XLOOKUP(C130,Lists!$P$2:$P$19,Lists!$S$2:$S$19,0),_xlfn.XLOOKUP(E130,Lists!$P$2:$P$19,Lists!$S$2:$S$19,0),_xlfn.XLOOKUP(G130,Lists!$P$2:$P$19,Lists!$S$2:$S$19,0),_xlfn.XLOOKUP(I130,Lists!$P$2:$P$19,Lists!$S$2:$S$19,0),_xlfn.XLOOKUP(K130,Lists!$P$2:$P$19,Lists!$S$2:$S$19,0)))</f>
        <v>1</v>
      </c>
      <c r="P130" s="68">
        <f ca="1">IF($B130="","",SUM(_xlfn.XLOOKUP(C130,Lists!$P$2:$P$19,Lists!$T$2:$T$19,0),_xlfn.XLOOKUP(E130,Lists!$P$2:$P$19,Lists!$T$2:$T$19,0),_xlfn.XLOOKUP(G130,Lists!$P$2:$P$19,Lists!$T$2:$T$19,0),_xlfn.XLOOKUP(I130,Lists!$P$2:$P$19,Lists!$T$2:$T$19,0),_xlfn.XLOOKUP(K130,Lists!$P$2:$P$19,Lists!$T$2:$T$19,0)))</f>
        <v>0</v>
      </c>
      <c r="Q130" s="68">
        <f ca="1">IF($B130="","",SUM(_xlfn.XLOOKUP(C130,Lists!$P$2:$P$19,Lists!$U$2:$U$19,0),_xlfn.XLOOKUP(E130,Lists!$P$2:$P$19,Lists!$U$2:$U$19,0),_xlfn.XLOOKUP(G130,Lists!$P$2:$P$19,Lists!$U$2:$U$19,0),_xlfn.XLOOKUP(I130,Lists!$P$2:$P$19,Lists!$U$2:$U$19,0),_xlfn.XLOOKUP(K130,Lists!$P$2:$P$19,Lists!$U$2:$U$19,0)))</f>
        <v>0</v>
      </c>
      <c r="R130" s="68">
        <f ca="1">IF($B130="","",SUM(_xlfn.XLOOKUP(C130,Lists!$P$2:$P$19,Lists!$V$2:$V$19,0),_xlfn.XLOOKUP(E130,Lists!$P$2:$P$19,Lists!$V$2:$V$19,0),_xlfn.XLOOKUP(G130,Lists!$P$2:$P$19,Lists!$V$2:$V$19,0),_xlfn.XLOOKUP(I130,Lists!$P$2:$P$19,Lists!$V$2:$V$19,0),_xlfn.XLOOKUP(K130,Lists!$P$2:$P$19,Lists!$V$2:$V$19,0)))</f>
        <v>1</v>
      </c>
      <c r="S130" s="68">
        <f ca="1">IF($B130="","",SUM(_xlfn.XLOOKUP(D130,Lists!$AC$2:$AC$9,Lists!$AD$2:$AD$9,0),_xlfn.XLOOKUP(F130,Lists!$AC$2:$AC$9,Lists!$AD$2:$AD$9,0),_xlfn.XLOOKUP(H130,Lists!$AC$2:$AC$9,Lists!$AD$2:$AD$9,0),_xlfn.XLOOKUP(J130,Lists!$AC$2:$AC$9,Lists!$AD$2:$AD$9,0),_xlfn.XLOOKUP(L130,Lists!$AC$2:$AC$9,Lists!$AD$2:$AD$9,0)))</f>
        <v>1</v>
      </c>
      <c r="T130" s="68">
        <f ca="1">IF($B130="","",SUM(_xlfn.XLOOKUP(C130,Lists!$P$2:$P$19,Lists!$W$2:$W$19,0),_xlfn.XLOOKUP(E130,Lists!$P$2:$P$19,Lists!$W$2:$W$19,0),_xlfn.XLOOKUP(G130,Lists!$P$2:$P$19,Lists!$W$2:$W$19,0),_xlfn.XLOOKUP(I130,Lists!$P$2:$P$19,Lists!$W$2:$W$19,0),_xlfn.XLOOKUP(K130,Lists!$P$2:$P$19,Lists!$W$2:$W$19,0)))</f>
        <v>0</v>
      </c>
      <c r="U130" s="68">
        <f ca="1">IF($B130="","",SUM(_xlfn.XLOOKUP(C130,Lists!$P$2:$P$19,Lists!$X$2:$X$19,0),_xlfn.XLOOKUP(E130,Lists!$P$2:$P$19,Lists!$X$2:$X$19,0),_xlfn.XLOOKUP(G130,Lists!$P$2:$P$19,Lists!$X$2:$X$19,0),_xlfn.XLOOKUP(I130,Lists!$P$2:$P$19,Lists!$X$2:$X$19,0),_xlfn.XLOOKUP(K130,Lists!$P$2:$P$19,Lists!$X$2:$X$19,0)))</f>
        <v>0</v>
      </c>
      <c r="V130" s="68">
        <f ca="1">IF($B130="","",SUM(_xlfn.XLOOKUP(C130,Lists!$P$2:$P$19,Lists!$Y$2:$Y$19,0),_xlfn.XLOOKUP(E130,Lists!$P$2:$P$19,Lists!$Y$2:$Y$19,0),_xlfn.XLOOKUP(G130,Lists!$P$2:$P$19,Lists!$Y$2:$Y$19,0),_xlfn.XLOOKUP(I130,Lists!$P$2:$P$19,Lists!$Y$2:$Y$19,0),_xlfn.XLOOKUP(K130,Lists!$P$2:$P$19,Lists!$Y$2:$Y$19,0)))</f>
        <v>0</v>
      </c>
      <c r="W130" s="68">
        <f ca="1">IF($B130="","",SUM(_xlfn.XLOOKUP(C130,Lists!$P$2:$P$19,Lists!$Z$2:$Z$19,0),_xlfn.XLOOKUP(E130,Lists!$P$2:$P$19,Lists!$Z$2:$Z$19,0),_xlfn.XLOOKUP(G130,Lists!$P$2:$P$19,Lists!$Z$2:$Z$19,0),_xlfn.XLOOKUP(I130,Lists!$P$2:$P$19,Lists!$Z$2:$Z$19,0),_xlfn.XLOOKUP(K130,Lists!$P$2:$P$19,Lists!$Z$2:$Z$19,0)))</f>
        <v>0</v>
      </c>
      <c r="X130" s="69">
        <f ca="1">IF($B130="","",SUM(_xlfn.XLOOKUP(C130,Lists!$P$2:$P$19,Lists!$AA$2:$AA$19,0),_xlfn.XLOOKUP(E130,Lists!$P$2:$P$19,Lists!$AA$2:$AA$19,0),_xlfn.XLOOKUP(G130,Lists!$P$2:$P$19,Lists!$AA$2:$AA$19,0),_xlfn.XLOOKUP(I130,Lists!$P$2:$P$19,Lists!$AA$2:$AA$19,0),_xlfn.XLOOKUP(K130,Lists!$P$2:$P$19,Lists!$AA$2:$AA$19,0)))</f>
        <v>0</v>
      </c>
      <c r="Y130" s="49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</row>
    <row r="131" spans="1:110">
      <c r="A131" s="168">
        <v>4</v>
      </c>
      <c r="B131" s="47" t="str">
        <f ca="1">Lineups!$H$36</f>
        <v>Mii</v>
      </c>
      <c r="C131" s="49" t="s">
        <v>188</v>
      </c>
      <c r="D131" s="49"/>
      <c r="E131" s="49" t="s">
        <v>188</v>
      </c>
      <c r="F131" s="49"/>
      <c r="G131" s="49"/>
      <c r="H131" s="50"/>
      <c r="I131" s="50"/>
      <c r="J131" s="50"/>
      <c r="K131" s="50"/>
      <c r="L131" s="50"/>
      <c r="M131" s="67">
        <f ca="1">IF($B131="","",SUM(_xlfn.XLOOKUP(C131,Lists!$P$2:$P$19,Lists!$R$2:$R$19,0),_xlfn.XLOOKUP(E131,Lists!$P$2:$P$19,Lists!$R$2:$R$19,0),_xlfn.XLOOKUP(G131,Lists!$P$2:$P$19,Lists!$R$2:$R$19,0),_xlfn.XLOOKUP(I131,Lists!$P$2:$P$19,Lists!$R$2:$R$19,0),_xlfn.XLOOKUP(K131,Lists!$P$2:$P$19,Lists!$R$2:$R$19,0)))</f>
        <v>2</v>
      </c>
      <c r="N131" s="68">
        <f ca="1">IF($B131="","",SUM(_xlfn.XLOOKUP(D131,Lists!$AC$2:$AC$9,Lists!$AE$2:$AE$9,0),_xlfn.XLOOKUP(F131,Lists!$AC$2:$AC$9,Lists!$AE$2:$AE$9,0),_xlfn.XLOOKUP(H131,Lists!$AC$2:$AC$9,Lists!$AE$2:$AE$9,0),_xlfn.XLOOKUP(J131,Lists!$AC$2:$AC$9,Lists!$AE$2:$AE$9,0),_xlfn.XLOOKUP(L131,Lists!$AC$2:$AC$9,Lists!$AE$2:$AE$9,0)))</f>
        <v>0</v>
      </c>
      <c r="O131" s="68">
        <f ca="1">IF($B131="","",SUM(_xlfn.XLOOKUP(C131,Lists!$P$2:$P$19,Lists!$S$2:$S$19,0),_xlfn.XLOOKUP(E131,Lists!$P$2:$P$19,Lists!$S$2:$S$19,0),_xlfn.XLOOKUP(G131,Lists!$P$2:$P$19,Lists!$S$2:$S$19,0),_xlfn.XLOOKUP(I131,Lists!$P$2:$P$19,Lists!$S$2:$S$19,0),_xlfn.XLOOKUP(K131,Lists!$P$2:$P$19,Lists!$S$2:$S$19,0)))</f>
        <v>2</v>
      </c>
      <c r="P131" s="68">
        <f ca="1">IF($B131="","",SUM(_xlfn.XLOOKUP(C131,Lists!$P$2:$P$19,Lists!$T$2:$T$19,0),_xlfn.XLOOKUP(E131,Lists!$P$2:$P$19,Lists!$T$2:$T$19,0),_xlfn.XLOOKUP(G131,Lists!$P$2:$P$19,Lists!$T$2:$T$19,0),_xlfn.XLOOKUP(I131,Lists!$P$2:$P$19,Lists!$T$2:$T$19,0),_xlfn.XLOOKUP(K131,Lists!$P$2:$P$19,Lists!$T$2:$T$19,0)))</f>
        <v>0</v>
      </c>
      <c r="Q131" s="68">
        <f ca="1">IF($B131="","",SUM(_xlfn.XLOOKUP(C131,Lists!$P$2:$P$19,Lists!$U$2:$U$19,0),_xlfn.XLOOKUP(E131,Lists!$P$2:$P$19,Lists!$U$2:$U$19,0),_xlfn.XLOOKUP(G131,Lists!$P$2:$P$19,Lists!$U$2:$U$19,0),_xlfn.XLOOKUP(I131,Lists!$P$2:$P$19,Lists!$U$2:$U$19,0),_xlfn.XLOOKUP(K131,Lists!$P$2:$P$19,Lists!$U$2:$U$19,0)))</f>
        <v>0</v>
      </c>
      <c r="R131" s="68">
        <f ca="1">IF($B131="","",SUM(_xlfn.XLOOKUP(C131,Lists!$P$2:$P$19,Lists!$V$2:$V$19,0),_xlfn.XLOOKUP(E131,Lists!$P$2:$P$19,Lists!$V$2:$V$19,0),_xlfn.XLOOKUP(G131,Lists!$P$2:$P$19,Lists!$V$2:$V$19,0),_xlfn.XLOOKUP(I131,Lists!$P$2:$P$19,Lists!$V$2:$V$19,0),_xlfn.XLOOKUP(K131,Lists!$P$2:$P$19,Lists!$V$2:$V$19,0)))</f>
        <v>0</v>
      </c>
      <c r="S131" s="68">
        <f ca="1">IF($B131="","",SUM(_xlfn.XLOOKUP(D131,Lists!$AC$2:$AC$9,Lists!$AD$2:$AD$9,0),_xlfn.XLOOKUP(F131,Lists!$AC$2:$AC$9,Lists!$AD$2:$AD$9,0),_xlfn.XLOOKUP(H131,Lists!$AC$2:$AC$9,Lists!$AD$2:$AD$9,0),_xlfn.XLOOKUP(J131,Lists!$AC$2:$AC$9,Lists!$AD$2:$AD$9,0),_xlfn.XLOOKUP(L131,Lists!$AC$2:$AC$9,Lists!$AD$2:$AD$9,0)))</f>
        <v>0</v>
      </c>
      <c r="T131" s="68">
        <f ca="1">IF($B131="","",SUM(_xlfn.XLOOKUP(C131,Lists!$P$2:$P$19,Lists!$W$2:$W$19,0),_xlfn.XLOOKUP(E131,Lists!$P$2:$P$19,Lists!$W$2:$W$19,0),_xlfn.XLOOKUP(G131,Lists!$P$2:$P$19,Lists!$W$2:$W$19,0),_xlfn.XLOOKUP(I131,Lists!$P$2:$P$19,Lists!$W$2:$W$19,0),_xlfn.XLOOKUP(K131,Lists!$P$2:$P$19,Lists!$W$2:$W$19,0)))</f>
        <v>0</v>
      </c>
      <c r="U131" s="68">
        <f ca="1">IF($B131="","",SUM(_xlfn.XLOOKUP(C131,Lists!$P$2:$P$19,Lists!$X$2:$X$19,0),_xlfn.XLOOKUP(E131,Lists!$P$2:$P$19,Lists!$X$2:$X$19,0),_xlfn.XLOOKUP(G131,Lists!$P$2:$P$19,Lists!$X$2:$X$19,0),_xlfn.XLOOKUP(I131,Lists!$P$2:$P$19,Lists!$X$2:$X$19,0),_xlfn.XLOOKUP(K131,Lists!$P$2:$P$19,Lists!$X$2:$X$19,0)))</f>
        <v>0</v>
      </c>
      <c r="V131" s="68">
        <f ca="1">IF($B131="","",SUM(_xlfn.XLOOKUP(C131,Lists!$P$2:$P$19,Lists!$Y$2:$Y$19,0),_xlfn.XLOOKUP(E131,Lists!$P$2:$P$19,Lists!$Y$2:$Y$19,0),_xlfn.XLOOKUP(G131,Lists!$P$2:$P$19,Lists!$Y$2:$Y$19,0),_xlfn.XLOOKUP(I131,Lists!$P$2:$P$19,Lists!$Y$2:$Y$19,0),_xlfn.XLOOKUP(K131,Lists!$P$2:$P$19,Lists!$Y$2:$Y$19,0)))</f>
        <v>0</v>
      </c>
      <c r="W131" s="68">
        <f ca="1">IF($B131="","",SUM(_xlfn.XLOOKUP(C131,Lists!$P$2:$P$19,Lists!$Z$2:$Z$19,0),_xlfn.XLOOKUP(E131,Lists!$P$2:$P$19,Lists!$Z$2:$Z$19,0),_xlfn.XLOOKUP(G131,Lists!$P$2:$P$19,Lists!$Z$2:$Z$19,0),_xlfn.XLOOKUP(I131,Lists!$P$2:$P$19,Lists!$Z$2:$Z$19,0),_xlfn.XLOOKUP(K131,Lists!$P$2:$P$19,Lists!$Z$2:$Z$19,0)))</f>
        <v>0</v>
      </c>
      <c r="X131" s="69">
        <f ca="1">IF($B131="","",SUM(_xlfn.XLOOKUP(C131,Lists!$P$2:$P$19,Lists!$AA$2:$AA$19,0),_xlfn.XLOOKUP(E131,Lists!$P$2:$P$19,Lists!$AA$2:$AA$19,0),_xlfn.XLOOKUP(G131,Lists!$P$2:$P$19,Lists!$AA$2:$AA$19,0),_xlfn.XLOOKUP(I131,Lists!$P$2:$P$19,Lists!$AA$2:$AA$19,0),_xlfn.XLOOKUP(K131,Lists!$P$2:$P$19,Lists!$AA$2:$AA$19,0)))</f>
        <v>0</v>
      </c>
      <c r="Y131" s="49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</row>
    <row r="132" spans="1:110">
      <c r="A132" s="168">
        <v>5</v>
      </c>
      <c r="B132" s="47" t="str">
        <f ca="1">Lineups!$H$37</f>
        <v>Green Dry Bones</v>
      </c>
      <c r="C132" s="49" t="s">
        <v>185</v>
      </c>
      <c r="D132" s="49"/>
      <c r="E132" s="49" t="s">
        <v>189</v>
      </c>
      <c r="F132" s="49"/>
      <c r="G132" s="49"/>
      <c r="H132" s="50"/>
      <c r="I132" s="50"/>
      <c r="J132" s="50"/>
      <c r="K132" s="50"/>
      <c r="L132" s="50"/>
      <c r="M132" s="67">
        <f ca="1">IF($B132="","",SUM(_xlfn.XLOOKUP(C132,Lists!$P$2:$P$19,Lists!$R$2:$R$19,0),_xlfn.XLOOKUP(E132,Lists!$P$2:$P$19,Lists!$R$2:$R$19,0),_xlfn.XLOOKUP(G132,Lists!$P$2:$P$19,Lists!$R$2:$R$19,0),_xlfn.XLOOKUP(I132,Lists!$P$2:$P$19,Lists!$R$2:$R$19,0),_xlfn.XLOOKUP(K132,Lists!$P$2:$P$19,Lists!$R$2:$R$19,0)))</f>
        <v>2</v>
      </c>
      <c r="N132" s="68">
        <f ca="1">IF($B132="","",SUM(_xlfn.XLOOKUP(D132,Lists!$AC$2:$AC$9,Lists!$AE$2:$AE$9,0),_xlfn.XLOOKUP(F132,Lists!$AC$2:$AC$9,Lists!$AE$2:$AE$9,0),_xlfn.XLOOKUP(H132,Lists!$AC$2:$AC$9,Lists!$AE$2:$AE$9,0),_xlfn.XLOOKUP(J132,Lists!$AC$2:$AC$9,Lists!$AE$2:$AE$9,0),_xlfn.XLOOKUP(L132,Lists!$AC$2:$AC$9,Lists!$AE$2:$AE$9,0)))</f>
        <v>0</v>
      </c>
      <c r="O132" s="68">
        <f ca="1">IF($B132="","",SUM(_xlfn.XLOOKUP(C132,Lists!$P$2:$P$19,Lists!$S$2:$S$19,0),_xlfn.XLOOKUP(E132,Lists!$P$2:$P$19,Lists!$S$2:$S$19,0),_xlfn.XLOOKUP(G132,Lists!$P$2:$P$19,Lists!$S$2:$S$19,0),_xlfn.XLOOKUP(I132,Lists!$P$2:$P$19,Lists!$S$2:$S$19,0),_xlfn.XLOOKUP(K132,Lists!$P$2:$P$19,Lists!$S$2:$S$19,0)))</f>
        <v>0</v>
      </c>
      <c r="P132" s="68">
        <f ca="1">IF($B132="","",SUM(_xlfn.XLOOKUP(C132,Lists!$P$2:$P$19,Lists!$T$2:$T$19,0),_xlfn.XLOOKUP(E132,Lists!$P$2:$P$19,Lists!$T$2:$T$19,0),_xlfn.XLOOKUP(G132,Lists!$P$2:$P$19,Lists!$T$2:$T$19,0),_xlfn.XLOOKUP(I132,Lists!$P$2:$P$19,Lists!$T$2:$T$19,0),_xlfn.XLOOKUP(K132,Lists!$P$2:$P$19,Lists!$T$2:$T$19,0)))</f>
        <v>0</v>
      </c>
      <c r="Q132" s="68">
        <f ca="1">IF($B132="","",SUM(_xlfn.XLOOKUP(C132,Lists!$P$2:$P$19,Lists!$U$2:$U$19,0),_xlfn.XLOOKUP(E132,Lists!$P$2:$P$19,Lists!$U$2:$U$19,0),_xlfn.XLOOKUP(G132,Lists!$P$2:$P$19,Lists!$U$2:$U$19,0),_xlfn.XLOOKUP(I132,Lists!$P$2:$P$19,Lists!$U$2:$U$19,0),_xlfn.XLOOKUP(K132,Lists!$P$2:$P$19,Lists!$U$2:$U$19,0)))</f>
        <v>0</v>
      </c>
      <c r="R132" s="68">
        <f ca="1">IF($B132="","",SUM(_xlfn.XLOOKUP(C132,Lists!$P$2:$P$19,Lists!$V$2:$V$19,0),_xlfn.XLOOKUP(E132,Lists!$P$2:$P$19,Lists!$V$2:$V$19,0),_xlfn.XLOOKUP(G132,Lists!$P$2:$P$19,Lists!$V$2:$V$19,0),_xlfn.XLOOKUP(I132,Lists!$P$2:$P$19,Lists!$V$2:$V$19,0),_xlfn.XLOOKUP(K132,Lists!$P$2:$P$19,Lists!$V$2:$V$19,0)))</f>
        <v>0</v>
      </c>
      <c r="S132" s="68">
        <f ca="1">IF($B132="","",SUM(_xlfn.XLOOKUP(D132,Lists!$AC$2:$AC$9,Lists!$AD$2:$AD$9,0),_xlfn.XLOOKUP(F132,Lists!$AC$2:$AC$9,Lists!$AD$2:$AD$9,0),_xlfn.XLOOKUP(H132,Lists!$AC$2:$AC$9,Lists!$AD$2:$AD$9,0),_xlfn.XLOOKUP(J132,Lists!$AC$2:$AC$9,Lists!$AD$2:$AD$9,0),_xlfn.XLOOKUP(L132,Lists!$AC$2:$AC$9,Lists!$AD$2:$AD$9,0)))</f>
        <v>0</v>
      </c>
      <c r="T132" s="68">
        <f ca="1">IF($B132="","",SUM(_xlfn.XLOOKUP(C132,Lists!$P$2:$P$19,Lists!$W$2:$W$19,0),_xlfn.XLOOKUP(E132,Lists!$P$2:$P$19,Lists!$W$2:$W$19,0),_xlfn.XLOOKUP(G132,Lists!$P$2:$P$19,Lists!$W$2:$W$19,0),_xlfn.XLOOKUP(I132,Lists!$P$2:$P$19,Lists!$W$2:$W$19,0),_xlfn.XLOOKUP(K132,Lists!$P$2:$P$19,Lists!$W$2:$W$19,0)))</f>
        <v>0</v>
      </c>
      <c r="U132" s="68">
        <f ca="1">IF($B132="","",SUM(_xlfn.XLOOKUP(C132,Lists!$P$2:$P$19,Lists!$X$2:$X$19,0),_xlfn.XLOOKUP(E132,Lists!$P$2:$P$19,Lists!$X$2:$X$19,0),_xlfn.XLOOKUP(G132,Lists!$P$2:$P$19,Lists!$X$2:$X$19,0),_xlfn.XLOOKUP(I132,Lists!$P$2:$P$19,Lists!$X$2:$X$19,0),_xlfn.XLOOKUP(K132,Lists!$P$2:$P$19,Lists!$X$2:$X$19,0)))</f>
        <v>1</v>
      </c>
      <c r="V132" s="68">
        <f ca="1">IF($B132="","",SUM(_xlfn.XLOOKUP(C132,Lists!$P$2:$P$19,Lists!$Y$2:$Y$19,0),_xlfn.XLOOKUP(E132,Lists!$P$2:$P$19,Lists!$Y$2:$Y$19,0),_xlfn.XLOOKUP(G132,Lists!$P$2:$P$19,Lists!$Y$2:$Y$19,0),_xlfn.XLOOKUP(I132,Lists!$P$2:$P$19,Lists!$Y$2:$Y$19,0),_xlfn.XLOOKUP(K132,Lists!$P$2:$P$19,Lists!$Y$2:$Y$19,0)))</f>
        <v>0</v>
      </c>
      <c r="W132" s="68">
        <f ca="1">IF($B132="","",SUM(_xlfn.XLOOKUP(C132,Lists!$P$2:$P$19,Lists!$Z$2:$Z$19,0),_xlfn.XLOOKUP(E132,Lists!$P$2:$P$19,Lists!$Z$2:$Z$19,0),_xlfn.XLOOKUP(G132,Lists!$P$2:$P$19,Lists!$Z$2:$Z$19,0),_xlfn.XLOOKUP(I132,Lists!$P$2:$P$19,Lists!$Z$2:$Z$19,0),_xlfn.XLOOKUP(K132,Lists!$P$2:$P$19,Lists!$Z$2:$Z$19,0)))</f>
        <v>0</v>
      </c>
      <c r="X132" s="69">
        <f ca="1">IF($B132="","",SUM(_xlfn.XLOOKUP(C132,Lists!$P$2:$P$19,Lists!$AA$2:$AA$19,0),_xlfn.XLOOKUP(E132,Lists!$P$2:$P$19,Lists!$AA$2:$AA$19,0),_xlfn.XLOOKUP(G132,Lists!$P$2:$P$19,Lists!$AA$2:$AA$19,0),_xlfn.XLOOKUP(I132,Lists!$P$2:$P$19,Lists!$AA$2:$AA$19,0),_xlfn.XLOOKUP(K132,Lists!$P$2:$P$19,Lists!$AA$2:$AA$19,0)))</f>
        <v>0</v>
      </c>
      <c r="Y132" s="49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</row>
    <row r="133" spans="1:110">
      <c r="A133" s="168">
        <v>6</v>
      </c>
      <c r="B133" s="47" t="str">
        <f ca="1">Lineups!$H$38</f>
        <v>Toadette</v>
      </c>
      <c r="C133" s="49" t="s">
        <v>182</v>
      </c>
      <c r="D133" s="49"/>
      <c r="E133" s="49" t="s">
        <v>188</v>
      </c>
      <c r="F133" s="49" t="s">
        <v>187</v>
      </c>
      <c r="G133" s="49"/>
      <c r="H133" s="50"/>
      <c r="I133" s="50"/>
      <c r="J133" s="50"/>
      <c r="K133" s="50"/>
      <c r="L133" s="50"/>
      <c r="M133" s="67">
        <f ca="1">IF($B133="","",SUM(_xlfn.XLOOKUP(C133,Lists!$P$2:$P$19,Lists!$R$2:$R$19,0),_xlfn.XLOOKUP(E133,Lists!$P$2:$P$19,Lists!$R$2:$R$19,0),_xlfn.XLOOKUP(G133,Lists!$P$2:$P$19,Lists!$R$2:$R$19,0),_xlfn.XLOOKUP(I133,Lists!$P$2:$P$19,Lists!$R$2:$R$19,0),_xlfn.XLOOKUP(K133,Lists!$P$2:$P$19,Lists!$R$2:$R$19,0)))</f>
        <v>1</v>
      </c>
      <c r="N133" s="68">
        <f ca="1">IF($B133="","",SUM(_xlfn.XLOOKUP(D133,Lists!$AC$2:$AC$9,Lists!$AE$2:$AE$9,0),_xlfn.XLOOKUP(F133,Lists!$AC$2:$AC$9,Lists!$AE$2:$AE$9,0),_xlfn.XLOOKUP(H133,Lists!$AC$2:$AC$9,Lists!$AE$2:$AE$9,0),_xlfn.XLOOKUP(J133,Lists!$AC$2:$AC$9,Lists!$AE$2:$AE$9,0),_xlfn.XLOOKUP(L133,Lists!$AC$2:$AC$9,Lists!$AE$2:$AE$9,0)))</f>
        <v>1</v>
      </c>
      <c r="O133" s="68">
        <f ca="1">IF($B133="","",SUM(_xlfn.XLOOKUP(C133,Lists!$P$2:$P$19,Lists!$S$2:$S$19,0),_xlfn.XLOOKUP(E133,Lists!$P$2:$P$19,Lists!$S$2:$S$19,0),_xlfn.XLOOKUP(G133,Lists!$P$2:$P$19,Lists!$S$2:$S$19,0),_xlfn.XLOOKUP(I133,Lists!$P$2:$P$19,Lists!$S$2:$S$19,0),_xlfn.XLOOKUP(K133,Lists!$P$2:$P$19,Lists!$S$2:$S$19,0)))</f>
        <v>1</v>
      </c>
      <c r="P133" s="68">
        <f ca="1">IF($B133="","",SUM(_xlfn.XLOOKUP(C133,Lists!$P$2:$P$19,Lists!$T$2:$T$19,0),_xlfn.XLOOKUP(E133,Lists!$P$2:$P$19,Lists!$T$2:$T$19,0),_xlfn.XLOOKUP(G133,Lists!$P$2:$P$19,Lists!$T$2:$T$19,0),_xlfn.XLOOKUP(I133,Lists!$P$2:$P$19,Lists!$T$2:$T$19,0),_xlfn.XLOOKUP(K133,Lists!$P$2:$P$19,Lists!$T$2:$T$19,0)))</f>
        <v>0</v>
      </c>
      <c r="Q133" s="68">
        <f ca="1">IF($B133="","",SUM(_xlfn.XLOOKUP(C133,Lists!$P$2:$P$19,Lists!$U$2:$U$19,0),_xlfn.XLOOKUP(E133,Lists!$P$2:$P$19,Lists!$U$2:$U$19,0),_xlfn.XLOOKUP(G133,Lists!$P$2:$P$19,Lists!$U$2:$U$19,0),_xlfn.XLOOKUP(I133,Lists!$P$2:$P$19,Lists!$U$2:$U$19,0),_xlfn.XLOOKUP(K133,Lists!$P$2:$P$19,Lists!$U$2:$U$19,0)))</f>
        <v>0</v>
      </c>
      <c r="R133" s="68">
        <f ca="1">IF($B133="","",SUM(_xlfn.XLOOKUP(C133,Lists!$P$2:$P$19,Lists!$V$2:$V$19,0),_xlfn.XLOOKUP(E133,Lists!$P$2:$P$19,Lists!$V$2:$V$19,0),_xlfn.XLOOKUP(G133,Lists!$P$2:$P$19,Lists!$V$2:$V$19,0),_xlfn.XLOOKUP(I133,Lists!$P$2:$P$19,Lists!$V$2:$V$19,0),_xlfn.XLOOKUP(K133,Lists!$P$2:$P$19,Lists!$V$2:$V$19,0)))</f>
        <v>0</v>
      </c>
      <c r="S133" s="68">
        <f ca="1">IF($B133="","",SUM(_xlfn.XLOOKUP(D133,Lists!$AC$2:$AC$9,Lists!$AD$2:$AD$9,0),_xlfn.XLOOKUP(F133,Lists!$AC$2:$AC$9,Lists!$AD$2:$AD$9,0),_xlfn.XLOOKUP(H133,Lists!$AC$2:$AC$9,Lists!$AD$2:$AD$9,0),_xlfn.XLOOKUP(J133,Lists!$AC$2:$AC$9,Lists!$AD$2:$AD$9,0),_xlfn.XLOOKUP(L133,Lists!$AC$2:$AC$9,Lists!$AD$2:$AD$9,0)))</f>
        <v>0</v>
      </c>
      <c r="T133" s="68">
        <f ca="1">IF($B133="","",SUM(_xlfn.XLOOKUP(C133,Lists!$P$2:$P$19,Lists!$W$2:$W$19,0),_xlfn.XLOOKUP(E133,Lists!$P$2:$P$19,Lists!$W$2:$W$19,0),_xlfn.XLOOKUP(G133,Lists!$P$2:$P$19,Lists!$W$2:$W$19,0),_xlfn.XLOOKUP(I133,Lists!$P$2:$P$19,Lists!$W$2:$W$19,0),_xlfn.XLOOKUP(K133,Lists!$P$2:$P$19,Lists!$W$2:$W$19,0)))</f>
        <v>0</v>
      </c>
      <c r="U133" s="68">
        <f ca="1">IF($B133="","",SUM(_xlfn.XLOOKUP(C133,Lists!$P$2:$P$19,Lists!$X$2:$X$19,0),_xlfn.XLOOKUP(E133,Lists!$P$2:$P$19,Lists!$X$2:$X$19,0),_xlfn.XLOOKUP(G133,Lists!$P$2:$P$19,Lists!$X$2:$X$19,0),_xlfn.XLOOKUP(I133,Lists!$P$2:$P$19,Lists!$X$2:$X$19,0),_xlfn.XLOOKUP(K133,Lists!$P$2:$P$19,Lists!$X$2:$X$19,0)))</f>
        <v>0</v>
      </c>
      <c r="V133" s="68">
        <f ca="1">IF($B133="","",SUM(_xlfn.XLOOKUP(C133,Lists!$P$2:$P$19,Lists!$Y$2:$Y$19,0),_xlfn.XLOOKUP(E133,Lists!$P$2:$P$19,Lists!$Y$2:$Y$19,0),_xlfn.XLOOKUP(G133,Lists!$P$2:$P$19,Lists!$Y$2:$Y$19,0),_xlfn.XLOOKUP(I133,Lists!$P$2:$P$19,Lists!$Y$2:$Y$19,0),_xlfn.XLOOKUP(K133,Lists!$P$2:$P$19,Lists!$Y$2:$Y$19,0)))</f>
        <v>1</v>
      </c>
      <c r="W133" s="68">
        <f ca="1">IF($B133="","",SUM(_xlfn.XLOOKUP(C133,Lists!$P$2:$P$19,Lists!$Z$2:$Z$19,0),_xlfn.XLOOKUP(E133,Lists!$P$2:$P$19,Lists!$Z$2:$Z$19,0),_xlfn.XLOOKUP(G133,Lists!$P$2:$P$19,Lists!$Z$2:$Z$19,0),_xlfn.XLOOKUP(I133,Lists!$P$2:$P$19,Lists!$Z$2:$Z$19,0),_xlfn.XLOOKUP(K133,Lists!$P$2:$P$19,Lists!$Z$2:$Z$19,0)))</f>
        <v>0</v>
      </c>
      <c r="X133" s="69">
        <f ca="1">IF($B133="","",SUM(_xlfn.XLOOKUP(C133,Lists!$P$2:$P$19,Lists!$AA$2:$AA$19,0),_xlfn.XLOOKUP(E133,Lists!$P$2:$P$19,Lists!$AA$2:$AA$19,0),_xlfn.XLOOKUP(G133,Lists!$P$2:$P$19,Lists!$AA$2:$AA$19,0),_xlfn.XLOOKUP(I133,Lists!$P$2:$P$19,Lists!$AA$2:$AA$19,0),_xlfn.XLOOKUP(K133,Lists!$P$2:$P$19,Lists!$AA$2:$AA$19,0)))</f>
        <v>0</v>
      </c>
      <c r="Y133" s="49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</row>
    <row r="134" spans="1:110">
      <c r="A134" s="168">
        <v>7</v>
      </c>
      <c r="B134" s="47" t="str">
        <f ca="1">Lineups!$H$39</f>
        <v>Daisy</v>
      </c>
      <c r="C134" s="49" t="s">
        <v>185</v>
      </c>
      <c r="D134" s="49"/>
      <c r="E134" s="49" t="s">
        <v>176</v>
      </c>
      <c r="F134" s="49" t="s">
        <v>191</v>
      </c>
      <c r="G134" s="49"/>
      <c r="H134" s="50"/>
      <c r="I134" s="50"/>
      <c r="J134" s="50"/>
      <c r="K134" s="50"/>
      <c r="L134" s="50"/>
      <c r="M134" s="67">
        <f ca="1">IF($B134="","",SUM(_xlfn.XLOOKUP(C134,Lists!$P$2:$P$19,Lists!$R$2:$R$19,0),_xlfn.XLOOKUP(E134,Lists!$P$2:$P$19,Lists!$R$2:$R$19,0),_xlfn.XLOOKUP(G134,Lists!$P$2:$P$19,Lists!$R$2:$R$19,0),_xlfn.XLOOKUP(I134,Lists!$P$2:$P$19,Lists!$R$2:$R$19,0),_xlfn.XLOOKUP(K134,Lists!$P$2:$P$19,Lists!$R$2:$R$19,0)))</f>
        <v>2</v>
      </c>
      <c r="N134" s="68">
        <f ca="1">IF($B134="","",SUM(_xlfn.XLOOKUP(D134,Lists!$AC$2:$AC$9,Lists!$AE$2:$AE$9,0),_xlfn.XLOOKUP(F134,Lists!$AC$2:$AC$9,Lists!$AE$2:$AE$9,0),_xlfn.XLOOKUP(H134,Lists!$AC$2:$AC$9,Lists!$AE$2:$AE$9,0),_xlfn.XLOOKUP(J134,Lists!$AC$2:$AC$9,Lists!$AE$2:$AE$9,0),_xlfn.XLOOKUP(L134,Lists!$AC$2:$AC$9,Lists!$AE$2:$AE$9,0)))</f>
        <v>0</v>
      </c>
      <c r="O134" s="68">
        <f ca="1">IF($B134="","",SUM(_xlfn.XLOOKUP(C134,Lists!$P$2:$P$19,Lists!$S$2:$S$19,0),_xlfn.XLOOKUP(E134,Lists!$P$2:$P$19,Lists!$S$2:$S$19,0),_xlfn.XLOOKUP(G134,Lists!$P$2:$P$19,Lists!$S$2:$S$19,0),_xlfn.XLOOKUP(I134,Lists!$P$2:$P$19,Lists!$S$2:$S$19,0),_xlfn.XLOOKUP(K134,Lists!$P$2:$P$19,Lists!$S$2:$S$19,0)))</f>
        <v>1</v>
      </c>
      <c r="P134" s="68">
        <f ca="1">IF($B134="","",SUM(_xlfn.XLOOKUP(C134,Lists!$P$2:$P$19,Lists!$T$2:$T$19,0),_xlfn.XLOOKUP(E134,Lists!$P$2:$P$19,Lists!$T$2:$T$19,0),_xlfn.XLOOKUP(G134,Lists!$P$2:$P$19,Lists!$T$2:$T$19,0),_xlfn.XLOOKUP(I134,Lists!$P$2:$P$19,Lists!$T$2:$T$19,0),_xlfn.XLOOKUP(K134,Lists!$P$2:$P$19,Lists!$T$2:$T$19,0)))</f>
        <v>1</v>
      </c>
      <c r="Q134" s="68">
        <f ca="1">IF($B134="","",SUM(_xlfn.XLOOKUP(C134,Lists!$P$2:$P$19,Lists!$U$2:$U$19,0),_xlfn.XLOOKUP(E134,Lists!$P$2:$P$19,Lists!$U$2:$U$19,0),_xlfn.XLOOKUP(G134,Lists!$P$2:$P$19,Lists!$U$2:$U$19,0),_xlfn.XLOOKUP(I134,Lists!$P$2:$P$19,Lists!$U$2:$U$19,0),_xlfn.XLOOKUP(K134,Lists!$P$2:$P$19,Lists!$U$2:$U$19,0)))</f>
        <v>0</v>
      </c>
      <c r="R134" s="68">
        <f ca="1">IF($B134="","",SUM(_xlfn.XLOOKUP(C134,Lists!$P$2:$P$19,Lists!$V$2:$V$19,0),_xlfn.XLOOKUP(E134,Lists!$P$2:$P$19,Lists!$V$2:$V$19,0),_xlfn.XLOOKUP(G134,Lists!$P$2:$P$19,Lists!$V$2:$V$19,0),_xlfn.XLOOKUP(I134,Lists!$P$2:$P$19,Lists!$V$2:$V$19,0),_xlfn.XLOOKUP(K134,Lists!$P$2:$P$19,Lists!$V$2:$V$19,0)))</f>
        <v>0</v>
      </c>
      <c r="S134" s="68">
        <f ca="1">IF($B134="","",SUM(_xlfn.XLOOKUP(D134,Lists!$AC$2:$AC$9,Lists!$AD$2:$AD$9,0),_xlfn.XLOOKUP(F134,Lists!$AC$2:$AC$9,Lists!$AD$2:$AD$9,0),_xlfn.XLOOKUP(H134,Lists!$AC$2:$AC$9,Lists!$AD$2:$AD$9,0),_xlfn.XLOOKUP(J134,Lists!$AC$2:$AC$9,Lists!$AD$2:$AD$9,0),_xlfn.XLOOKUP(L134,Lists!$AC$2:$AC$9,Lists!$AD$2:$AD$9,0)))</f>
        <v>1</v>
      </c>
      <c r="T134" s="68">
        <f ca="1">IF($B134="","",SUM(_xlfn.XLOOKUP(C134,Lists!$P$2:$P$19,Lists!$W$2:$W$19,0),_xlfn.XLOOKUP(E134,Lists!$P$2:$P$19,Lists!$W$2:$W$19,0),_xlfn.XLOOKUP(G134,Lists!$P$2:$P$19,Lists!$W$2:$W$19,0),_xlfn.XLOOKUP(I134,Lists!$P$2:$P$19,Lists!$W$2:$W$19,0),_xlfn.XLOOKUP(K134,Lists!$P$2:$P$19,Lists!$W$2:$W$19,0)))</f>
        <v>0</v>
      </c>
      <c r="U134" s="68">
        <f ca="1">IF($B134="","",SUM(_xlfn.XLOOKUP(C134,Lists!$P$2:$P$19,Lists!$X$2:$X$19,0),_xlfn.XLOOKUP(E134,Lists!$P$2:$P$19,Lists!$X$2:$X$19,0),_xlfn.XLOOKUP(G134,Lists!$P$2:$P$19,Lists!$X$2:$X$19,0),_xlfn.XLOOKUP(I134,Lists!$P$2:$P$19,Lists!$X$2:$X$19,0),_xlfn.XLOOKUP(K134,Lists!$P$2:$P$19,Lists!$X$2:$X$19,0)))</f>
        <v>1</v>
      </c>
      <c r="V134" s="68">
        <f ca="1">IF($B134="","",SUM(_xlfn.XLOOKUP(C134,Lists!$P$2:$P$19,Lists!$Y$2:$Y$19,0),_xlfn.XLOOKUP(E134,Lists!$P$2:$P$19,Lists!$Y$2:$Y$19,0),_xlfn.XLOOKUP(G134,Lists!$P$2:$P$19,Lists!$Y$2:$Y$19,0),_xlfn.XLOOKUP(I134,Lists!$P$2:$P$19,Lists!$Y$2:$Y$19,0),_xlfn.XLOOKUP(K134,Lists!$P$2:$P$19,Lists!$Y$2:$Y$19,0)))</f>
        <v>0</v>
      </c>
      <c r="W134" s="68">
        <f ca="1">IF($B134="","",SUM(_xlfn.XLOOKUP(C134,Lists!$P$2:$P$19,Lists!$Z$2:$Z$19,0),_xlfn.XLOOKUP(E134,Lists!$P$2:$P$19,Lists!$Z$2:$Z$19,0),_xlfn.XLOOKUP(G134,Lists!$P$2:$P$19,Lists!$Z$2:$Z$19,0),_xlfn.XLOOKUP(I134,Lists!$P$2:$P$19,Lists!$Z$2:$Z$19,0),_xlfn.XLOOKUP(K134,Lists!$P$2:$P$19,Lists!$Z$2:$Z$19,0)))</f>
        <v>0</v>
      </c>
      <c r="X134" s="69">
        <f ca="1">IF($B134="","",SUM(_xlfn.XLOOKUP(C134,Lists!$P$2:$P$19,Lists!$AA$2:$AA$19,0),_xlfn.XLOOKUP(E134,Lists!$P$2:$P$19,Lists!$AA$2:$AA$19,0),_xlfn.XLOOKUP(G134,Lists!$P$2:$P$19,Lists!$AA$2:$AA$19,0),_xlfn.XLOOKUP(I134,Lists!$P$2:$P$19,Lists!$AA$2:$AA$19,0),_xlfn.XLOOKUP(K134,Lists!$P$2:$P$19,Lists!$AA$2:$AA$19,0)))</f>
        <v>0</v>
      </c>
      <c r="Y134" s="49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</row>
    <row r="135" spans="1:110">
      <c r="A135" s="168">
        <v>8</v>
      </c>
      <c r="B135" s="47" t="str">
        <f ca="1">Lineups!$H$40</f>
        <v>Blue Toad</v>
      </c>
      <c r="C135" s="49" t="s">
        <v>205</v>
      </c>
      <c r="D135" s="49"/>
      <c r="E135" s="49" t="s">
        <v>182</v>
      </c>
      <c r="F135" s="49"/>
      <c r="G135" s="49"/>
      <c r="H135" s="50"/>
      <c r="I135" s="50"/>
      <c r="J135" s="50"/>
      <c r="K135" s="50"/>
      <c r="L135" s="50"/>
      <c r="M135" s="67">
        <f ca="1">IF($B135="","",SUM(_xlfn.XLOOKUP(C135,Lists!$P$2:$P$19,Lists!$R$2:$R$19,0),_xlfn.XLOOKUP(E135,Lists!$P$2:$P$19,Lists!$R$2:$R$19,0),_xlfn.XLOOKUP(G135,Lists!$P$2:$P$19,Lists!$R$2:$R$19,0),_xlfn.XLOOKUP(I135,Lists!$P$2:$P$19,Lists!$R$2:$R$19,0),_xlfn.XLOOKUP(K135,Lists!$P$2:$P$19,Lists!$R$2:$R$19,0)))</f>
        <v>1</v>
      </c>
      <c r="N135" s="68">
        <f ca="1">IF($B135="","",SUM(_xlfn.XLOOKUP(D135,Lists!$AC$2:$AC$9,Lists!$AE$2:$AE$9,0),_xlfn.XLOOKUP(F135,Lists!$AC$2:$AC$9,Lists!$AE$2:$AE$9,0),_xlfn.XLOOKUP(H135,Lists!$AC$2:$AC$9,Lists!$AE$2:$AE$9,0),_xlfn.XLOOKUP(J135,Lists!$AC$2:$AC$9,Lists!$AE$2:$AE$9,0),_xlfn.XLOOKUP(L135,Lists!$AC$2:$AC$9,Lists!$AE$2:$AE$9,0)))</f>
        <v>0</v>
      </c>
      <c r="O135" s="68">
        <f ca="1">IF($B135="","",SUM(_xlfn.XLOOKUP(C135,Lists!$P$2:$P$19,Lists!$S$2:$S$19,0),_xlfn.XLOOKUP(E135,Lists!$P$2:$P$19,Lists!$S$2:$S$19,0),_xlfn.XLOOKUP(G135,Lists!$P$2:$P$19,Lists!$S$2:$S$19,0),_xlfn.XLOOKUP(I135,Lists!$P$2:$P$19,Lists!$S$2:$S$19,0),_xlfn.XLOOKUP(K135,Lists!$P$2:$P$19,Lists!$S$2:$S$19,0)))</f>
        <v>0</v>
      </c>
      <c r="P135" s="68">
        <f ca="1">IF($B135="","",SUM(_xlfn.XLOOKUP(C135,Lists!$P$2:$P$19,Lists!$T$2:$T$19,0),_xlfn.XLOOKUP(E135,Lists!$P$2:$P$19,Lists!$T$2:$T$19,0),_xlfn.XLOOKUP(G135,Lists!$P$2:$P$19,Lists!$T$2:$T$19,0),_xlfn.XLOOKUP(I135,Lists!$P$2:$P$19,Lists!$T$2:$T$19,0),_xlfn.XLOOKUP(K135,Lists!$P$2:$P$19,Lists!$T$2:$T$19,0)))</f>
        <v>0</v>
      </c>
      <c r="Q135" s="68">
        <f ca="1">IF($B135="","",SUM(_xlfn.XLOOKUP(C135,Lists!$P$2:$P$19,Lists!$U$2:$U$19,0),_xlfn.XLOOKUP(E135,Lists!$P$2:$P$19,Lists!$U$2:$U$19,0),_xlfn.XLOOKUP(G135,Lists!$P$2:$P$19,Lists!$U$2:$U$19,0),_xlfn.XLOOKUP(I135,Lists!$P$2:$P$19,Lists!$U$2:$U$19,0),_xlfn.XLOOKUP(K135,Lists!$P$2:$P$19,Lists!$U$2:$U$19,0)))</f>
        <v>0</v>
      </c>
      <c r="R135" s="68">
        <f ca="1">IF($B135="","",SUM(_xlfn.XLOOKUP(C135,Lists!$P$2:$P$19,Lists!$V$2:$V$19,0),_xlfn.XLOOKUP(E135,Lists!$P$2:$P$19,Lists!$V$2:$V$19,0),_xlfn.XLOOKUP(G135,Lists!$P$2:$P$19,Lists!$V$2:$V$19,0),_xlfn.XLOOKUP(I135,Lists!$P$2:$P$19,Lists!$V$2:$V$19,0),_xlfn.XLOOKUP(K135,Lists!$P$2:$P$19,Lists!$V$2:$V$19,0)))</f>
        <v>0</v>
      </c>
      <c r="S135" s="68">
        <f ca="1">IF($B135="","",SUM(_xlfn.XLOOKUP(D135,Lists!$AC$2:$AC$9,Lists!$AD$2:$AD$9,0),_xlfn.XLOOKUP(F135,Lists!$AC$2:$AC$9,Lists!$AD$2:$AD$9,0),_xlfn.XLOOKUP(H135,Lists!$AC$2:$AC$9,Lists!$AD$2:$AD$9,0),_xlfn.XLOOKUP(J135,Lists!$AC$2:$AC$9,Lists!$AD$2:$AD$9,0),_xlfn.XLOOKUP(L135,Lists!$AC$2:$AC$9,Lists!$AD$2:$AD$9,0)))</f>
        <v>0</v>
      </c>
      <c r="T135" s="68">
        <f ca="1">IF($B135="","",SUM(_xlfn.XLOOKUP(C135,Lists!$P$2:$P$19,Lists!$W$2:$W$19,0),_xlfn.XLOOKUP(E135,Lists!$P$2:$P$19,Lists!$W$2:$W$19,0),_xlfn.XLOOKUP(G135,Lists!$P$2:$P$19,Lists!$W$2:$W$19,0),_xlfn.XLOOKUP(I135,Lists!$P$2:$P$19,Lists!$W$2:$W$19,0),_xlfn.XLOOKUP(K135,Lists!$P$2:$P$19,Lists!$W$2:$W$19,0)))</f>
        <v>0</v>
      </c>
      <c r="U135" s="68">
        <f ca="1">IF($B135="","",SUM(_xlfn.XLOOKUP(C135,Lists!$P$2:$P$19,Lists!$X$2:$X$19,0),_xlfn.XLOOKUP(E135,Lists!$P$2:$P$19,Lists!$X$2:$X$19,0),_xlfn.XLOOKUP(G135,Lists!$P$2:$P$19,Lists!$X$2:$X$19,0),_xlfn.XLOOKUP(I135,Lists!$P$2:$P$19,Lists!$X$2:$X$19,0),_xlfn.XLOOKUP(K135,Lists!$P$2:$P$19,Lists!$X$2:$X$19,0)))</f>
        <v>0</v>
      </c>
      <c r="V135" s="68">
        <f ca="1">IF($B135="","",SUM(_xlfn.XLOOKUP(C135,Lists!$P$2:$P$19,Lists!$Y$2:$Y$19,0),_xlfn.XLOOKUP(E135,Lists!$P$2:$P$19,Lists!$Y$2:$Y$19,0),_xlfn.XLOOKUP(G135,Lists!$P$2:$P$19,Lists!$Y$2:$Y$19,0),_xlfn.XLOOKUP(I135,Lists!$P$2:$P$19,Lists!$Y$2:$Y$19,0),_xlfn.XLOOKUP(K135,Lists!$P$2:$P$19,Lists!$Y$2:$Y$19,0)))</f>
        <v>1</v>
      </c>
      <c r="W135" s="68">
        <f ca="1">IF($B135="","",SUM(_xlfn.XLOOKUP(C135,Lists!$P$2:$P$19,Lists!$Z$2:$Z$19,0),_xlfn.XLOOKUP(E135,Lists!$P$2:$P$19,Lists!$Z$2:$Z$19,0),_xlfn.XLOOKUP(G135,Lists!$P$2:$P$19,Lists!$Z$2:$Z$19,0),_xlfn.XLOOKUP(I135,Lists!$P$2:$P$19,Lists!$Z$2:$Z$19,0),_xlfn.XLOOKUP(K135,Lists!$P$2:$P$19,Lists!$Z$2:$Z$19,0)))</f>
        <v>0</v>
      </c>
      <c r="X135" s="69">
        <f ca="1">IF($B135="","",SUM(_xlfn.XLOOKUP(C135,Lists!$P$2:$P$19,Lists!$AA$2:$AA$19,0),_xlfn.XLOOKUP(E135,Lists!$P$2:$P$19,Lists!$AA$2:$AA$19,0),_xlfn.XLOOKUP(G135,Lists!$P$2:$P$19,Lists!$AA$2:$AA$19,0),_xlfn.XLOOKUP(I135,Lists!$P$2:$P$19,Lists!$AA$2:$AA$19,0),_xlfn.XLOOKUP(K135,Lists!$P$2:$P$19,Lists!$AA$2:$AA$19,0)))</f>
        <v>0</v>
      </c>
      <c r="Y135" s="49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</row>
    <row r="136" spans="1:110">
      <c r="A136" s="168">
        <v>9</v>
      </c>
      <c r="B136" s="47" t="str">
        <f ca="1">Lineups!$H$41</f>
        <v>Wario</v>
      </c>
      <c r="C136" s="49" t="s">
        <v>186</v>
      </c>
      <c r="D136" s="49"/>
      <c r="E136" s="49" t="s">
        <v>186</v>
      </c>
      <c r="F136" s="49"/>
      <c r="G136" s="49"/>
      <c r="H136" s="50"/>
      <c r="I136" s="50"/>
      <c r="J136" s="50"/>
      <c r="K136" s="50"/>
      <c r="L136" s="50"/>
      <c r="M136" s="67">
        <f ca="1">IF($B136="","",SUM(_xlfn.XLOOKUP(C136,Lists!$P$2:$P$19,Lists!$R$2:$R$19,0),_xlfn.XLOOKUP(E136,Lists!$P$2:$P$19,Lists!$R$2:$R$19,0),_xlfn.XLOOKUP(G136,Lists!$P$2:$P$19,Lists!$R$2:$R$19,0),_xlfn.XLOOKUP(I136,Lists!$P$2:$P$19,Lists!$R$2:$R$19,0),_xlfn.XLOOKUP(K136,Lists!$P$2:$P$19,Lists!$R$2:$R$19,0)))</f>
        <v>2</v>
      </c>
      <c r="N136" s="68">
        <f ca="1">IF($B136="","",SUM(_xlfn.XLOOKUP(D136,Lists!$AC$2:$AC$9,Lists!$AE$2:$AE$9,0),_xlfn.XLOOKUP(F136,Lists!$AC$2:$AC$9,Lists!$AE$2:$AE$9,0),_xlfn.XLOOKUP(H136,Lists!$AC$2:$AC$9,Lists!$AE$2:$AE$9,0),_xlfn.XLOOKUP(J136,Lists!$AC$2:$AC$9,Lists!$AE$2:$AE$9,0),_xlfn.XLOOKUP(L136,Lists!$AC$2:$AC$9,Lists!$AE$2:$AE$9,0)))</f>
        <v>0</v>
      </c>
      <c r="O136" s="68">
        <f ca="1">IF($B136="","",SUM(_xlfn.XLOOKUP(C136,Lists!$P$2:$P$19,Lists!$S$2:$S$19,0),_xlfn.XLOOKUP(E136,Lists!$P$2:$P$19,Lists!$S$2:$S$19,0),_xlfn.XLOOKUP(G136,Lists!$P$2:$P$19,Lists!$S$2:$S$19,0),_xlfn.XLOOKUP(I136,Lists!$P$2:$P$19,Lists!$S$2:$S$19,0),_xlfn.XLOOKUP(K136,Lists!$P$2:$P$19,Lists!$S$2:$S$19,0)))</f>
        <v>0</v>
      </c>
      <c r="P136" s="68">
        <f ca="1">IF($B136="","",SUM(_xlfn.XLOOKUP(C136,Lists!$P$2:$P$19,Lists!$T$2:$T$19,0),_xlfn.XLOOKUP(E136,Lists!$P$2:$P$19,Lists!$T$2:$T$19,0),_xlfn.XLOOKUP(G136,Lists!$P$2:$P$19,Lists!$T$2:$T$19,0),_xlfn.XLOOKUP(I136,Lists!$P$2:$P$19,Lists!$T$2:$T$19,0),_xlfn.XLOOKUP(K136,Lists!$P$2:$P$19,Lists!$T$2:$T$19,0)))</f>
        <v>0</v>
      </c>
      <c r="Q136" s="68">
        <f ca="1">IF($B136="","",SUM(_xlfn.XLOOKUP(C136,Lists!$P$2:$P$19,Lists!$U$2:$U$19,0),_xlfn.XLOOKUP(E136,Lists!$P$2:$P$19,Lists!$U$2:$U$19,0),_xlfn.XLOOKUP(G136,Lists!$P$2:$P$19,Lists!$U$2:$U$19,0),_xlfn.XLOOKUP(I136,Lists!$P$2:$P$19,Lists!$U$2:$U$19,0),_xlfn.XLOOKUP(K136,Lists!$P$2:$P$19,Lists!$U$2:$U$19,0)))</f>
        <v>0</v>
      </c>
      <c r="R136" s="68">
        <f ca="1">IF($B136="","",SUM(_xlfn.XLOOKUP(C136,Lists!$P$2:$P$19,Lists!$V$2:$V$19,0),_xlfn.XLOOKUP(E136,Lists!$P$2:$P$19,Lists!$V$2:$V$19,0),_xlfn.XLOOKUP(G136,Lists!$P$2:$P$19,Lists!$V$2:$V$19,0),_xlfn.XLOOKUP(I136,Lists!$P$2:$P$19,Lists!$V$2:$V$19,0),_xlfn.XLOOKUP(K136,Lists!$P$2:$P$19,Lists!$V$2:$V$19,0)))</f>
        <v>0</v>
      </c>
      <c r="S136" s="68">
        <f ca="1">IF($B136="","",SUM(_xlfn.XLOOKUP(D136,Lists!$AC$2:$AC$9,Lists!$AD$2:$AD$9,0),_xlfn.XLOOKUP(F136,Lists!$AC$2:$AC$9,Lists!$AD$2:$AD$9,0),_xlfn.XLOOKUP(H136,Lists!$AC$2:$AC$9,Lists!$AD$2:$AD$9,0),_xlfn.XLOOKUP(J136,Lists!$AC$2:$AC$9,Lists!$AD$2:$AD$9,0),_xlfn.XLOOKUP(L136,Lists!$AC$2:$AC$9,Lists!$AD$2:$AD$9,0)))</f>
        <v>0</v>
      </c>
      <c r="T136" s="68">
        <f ca="1">IF($B136="","",SUM(_xlfn.XLOOKUP(C136,Lists!$P$2:$P$19,Lists!$W$2:$W$19,0),_xlfn.XLOOKUP(E136,Lists!$P$2:$P$19,Lists!$W$2:$W$19,0),_xlfn.XLOOKUP(G136,Lists!$P$2:$P$19,Lists!$W$2:$W$19,0),_xlfn.XLOOKUP(I136,Lists!$P$2:$P$19,Lists!$W$2:$W$19,0),_xlfn.XLOOKUP(K136,Lists!$P$2:$P$19,Lists!$W$2:$W$19,0)))</f>
        <v>0</v>
      </c>
      <c r="U136" s="68">
        <f ca="1">IF($B136="","",SUM(_xlfn.XLOOKUP(C136,Lists!$P$2:$P$19,Lists!$X$2:$X$19,0),_xlfn.XLOOKUP(E136,Lists!$P$2:$P$19,Lists!$X$2:$X$19,0),_xlfn.XLOOKUP(G136,Lists!$P$2:$P$19,Lists!$X$2:$X$19,0),_xlfn.XLOOKUP(I136,Lists!$P$2:$P$19,Lists!$X$2:$X$19,0),_xlfn.XLOOKUP(K136,Lists!$P$2:$P$19,Lists!$X$2:$X$19,0)))</f>
        <v>0</v>
      </c>
      <c r="V136" s="68">
        <f ca="1">IF($B136="","",SUM(_xlfn.XLOOKUP(C136,Lists!$P$2:$P$19,Lists!$Y$2:$Y$19,0),_xlfn.XLOOKUP(E136,Lists!$P$2:$P$19,Lists!$Y$2:$Y$19,0),_xlfn.XLOOKUP(G136,Lists!$P$2:$P$19,Lists!$Y$2:$Y$19,0),_xlfn.XLOOKUP(I136,Lists!$P$2:$P$19,Lists!$Y$2:$Y$19,0),_xlfn.XLOOKUP(K136,Lists!$P$2:$P$19,Lists!$Y$2:$Y$19,0)))</f>
        <v>0</v>
      </c>
      <c r="W136" s="68">
        <f ca="1">IF($B136="","",SUM(_xlfn.XLOOKUP(C136,Lists!$P$2:$P$19,Lists!$Z$2:$Z$19,0),_xlfn.XLOOKUP(E136,Lists!$P$2:$P$19,Lists!$Z$2:$Z$19,0),_xlfn.XLOOKUP(G136,Lists!$P$2:$P$19,Lists!$Z$2:$Z$19,0),_xlfn.XLOOKUP(I136,Lists!$P$2:$P$19,Lists!$Z$2:$Z$19,0),_xlfn.XLOOKUP(K136,Lists!$P$2:$P$19,Lists!$Z$2:$Z$19,0)))</f>
        <v>0</v>
      </c>
      <c r="X136" s="69">
        <f ca="1">IF($B136="","",SUM(_xlfn.XLOOKUP(C136,Lists!$P$2:$P$19,Lists!$AA$2:$AA$19,0),_xlfn.XLOOKUP(E136,Lists!$P$2:$P$19,Lists!$AA$2:$AA$19,0),_xlfn.XLOOKUP(G136,Lists!$P$2:$P$19,Lists!$AA$2:$AA$19,0),_xlfn.XLOOKUP(I136,Lists!$P$2:$P$19,Lists!$AA$2:$AA$19,0),_xlfn.XLOOKUP(K136,Lists!$P$2:$P$19,Lists!$AA$2:$AA$19,0)))</f>
        <v>0</v>
      </c>
      <c r="Y136" s="49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</row>
    <row r="137" spans="1:110">
      <c r="A137" s="173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</row>
    <row r="138" spans="1:110">
      <c r="A138" s="222" t="str">
        <f ca="1">IF($R$100="","Team B Pitching",$R$100&amp;" Pitching")</f>
        <v>Nick Pitching</v>
      </c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06"/>
      <c r="O138" s="186"/>
      <c r="P138" s="24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</row>
    <row r="139" spans="1:110">
      <c r="A139" s="167" t="s">
        <v>103</v>
      </c>
      <c r="B139" s="43" t="s">
        <v>194</v>
      </c>
      <c r="C139" s="43" t="s">
        <v>195</v>
      </c>
      <c r="D139" s="43" t="s">
        <v>162</v>
      </c>
      <c r="E139" s="43" t="s">
        <v>161</v>
      </c>
      <c r="F139" s="43" t="s">
        <v>196</v>
      </c>
      <c r="G139" s="43" t="s">
        <v>180</v>
      </c>
      <c r="H139" s="43" t="s">
        <v>181</v>
      </c>
      <c r="I139" s="44" t="s">
        <v>197</v>
      </c>
      <c r="J139" s="44" t="s">
        <v>198</v>
      </c>
      <c r="K139" s="44" t="s">
        <v>199</v>
      </c>
      <c r="L139" s="44" t="s">
        <v>200</v>
      </c>
      <c r="M139" s="44" t="s">
        <v>201</v>
      </c>
      <c r="N139" s="45" t="s">
        <v>202</v>
      </c>
      <c r="O139" s="45" t="s">
        <v>203</v>
      </c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</row>
    <row r="140" spans="1:110">
      <c r="A140" s="168">
        <v>1</v>
      </c>
      <c r="B140" s="71" t="s">
        <v>42</v>
      </c>
      <c r="C140" s="70" cm="1">
        <f t="array" aca="1" ref="C140" ca="1">IF(OR(B140="",O140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1.2</v>
      </c>
      <c r="D140" s="67" cm="1">
        <f t="array" aca="1" ref="D140" ca="1">IF(OR(B140="",O140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3</v>
      </c>
      <c r="E140" s="67" cm="1">
        <f t="array" aca="1" ref="E140" ca="1">IF(OR(B140="",O140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140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0</v>
      </c>
      <c r="F140" s="67" cm="1">
        <f t="array" aca="1" ref="F140" ca="1">IF(OR(B140="",O140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140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0</v>
      </c>
      <c r="G140" s="67" cm="1">
        <f t="array" aca="1" ref="G140" ca="1">IF(OR(B140="",O140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1</v>
      </c>
      <c r="H140" s="67" cm="1">
        <f t="array" aca="1" ref="H140" ca="1">IF(OR(B140="",O140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0</v>
      </c>
      <c r="I140" s="68" cm="1">
        <f t="array" aca="1" ref="I140" ca="1">IF(OR(B140="",O140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140" s="68" cm="1">
        <f t="array" aca="1" ref="J140" ca="1">IF(OR(B140="",O140=""),"",--(SUM(_xlfn.XLOOKUP(_xlfn._xlws.FILTER(_xlfn.TOCOL(_xlfn.CHOOSECOLS(C128:L136,2,4,6,8,10),0,TRUE),_xlfn.TOCOL(_xlfn.CHOOSECOLS(C128:L136,1,3,5,7,9),0,TRUE)&lt;&gt;""),Lists!$AC$2:$AC$9,Lists!$AF$2:$AF$9,0))&gt;SUM(_xlfn.XLOOKUP(_xlfn._xlws.FILTER(_xlfn.TOCOL(_xlfn.CHOOSECOLS(C107:L115,2,4,6,8,10),0,TRUE),_xlfn.TOCOL(_xlfn.CHOOSECOLS(C107:L115,1,3,5,7,9),0,TRUE)&lt;&gt;""),Lists!$AC$2:$AC$9,Lists!$AF$2:$AF$9,0)))*--(ROW()-ROW(C139)=_xlfn.XLOOKUP(MAX(IF(O140:O145&gt;0,INT(C140:C145)*3+MOD(ROUND(C140:C145*10,0),10),-1)),IF(O140:O145&gt;0,INT(C140:C145)*3+MOD(ROUND(C140:C145*10,0),10),-1),_xlfn.SEQUENCE(ROWS(O140:O145)),,0)))</f>
        <v>1</v>
      </c>
      <c r="K140" s="68" cm="1">
        <f t="array" aca="1" ref="K140" ca="1">IF(OR(B140="",O140=""),"",--(SUM(_xlfn.XLOOKUP(_xlfn._xlws.FILTER(_xlfn.TOCOL(_xlfn.CHOOSECOLS(C128:L136,2,4,6,8,10),0,TRUE),_xlfn.TOCOL(_xlfn.CHOOSECOLS(C128:L136,1,3,5,7,9),0,TRUE)&lt;&gt;""),Lists!$AC$2:$AC$9,Lists!$AF$2:$AF$9,0))&lt;SUM(_xlfn.XLOOKUP(_xlfn._xlws.FILTER(_xlfn.TOCOL(_xlfn.CHOOSECOLS(C107:L115,2,4,6,8,10),0,TRUE),_xlfn.TOCOL(_xlfn.CHOOSECOLS(C107:L115,1,3,5,7,9),0,TRUE)&lt;&gt;""),Lists!$AC$2:$AC$9,Lists!$AF$2:$AF$9,0)))*--(ROW()-ROW(C139)=_xlfn.XLOOKUP(MAX(IF(O140:O145&gt;0,E140:E145,-1)),IF(O140:O145&gt;0,E140:E145,-1),_xlfn.SEQUENCE(ROWS(O140:O145)),,0)))</f>
        <v>0</v>
      </c>
      <c r="L140" s="68" cm="1">
        <f t="array" aca="1" ref="L140" ca="1">IF(OR(B140="",O140=""),"",--(SUM(_xlfn.XLOOKUP(_xlfn._xlws.FILTER(_xlfn.TOCOL(_xlfn.CHOOSECOLS(C128:L136,2,4,6,8,10),0,TRUE),_xlfn.TOCOL(_xlfn.CHOOSECOLS(C128:L136,1,3,5,7,9),0,TRUE)&lt;&gt;""),Lists!$AC$2:$AC$9,Lists!$AF$2:$AF$9,0))&gt;SUM(_xlfn.XLOOKUP(_xlfn._xlws.FILTER(_xlfn.TOCOL(_xlfn.CHOOSECOLS(C107:L115,2,4,6,8,10),0,TRUE),_xlfn.TOCOL(_xlfn.CHOOSECOLS(C107:L115,1,3,5,7,9),0,TRUE)&lt;&gt;""),Lists!$AC$2:$AC$9,Lists!$AF$2:$AF$9,0)))*--(COUNTIF(O140:O145,"&gt;0")&gt;1)*--(ROW()-ROW(C139)=_xlfn.XLOOKUP(TRUE,O140:O145&gt;0,_xlfn.SEQUENCE(ROWS(O140:O145)),,0,-1))*--(_xlfn.XLOOKUP(TRUE,O140:O145&gt;0,_xlfn.SEQUENCE(ROWS(O140:O145)),,0,-1)&lt;&gt;_xlfn.XLOOKUP(MAX(IF(O140:O145&gt;0,INT(C140:C145)*3+MOD(ROUND(C140:C145*10,0),10),-1)),IF(O140:O145&gt;0,INT(C140:C145)*3+MOD(ROUND(C140:C145*10,0),10),-1),_xlfn.SEQUENCE(ROWS(O140:O145)),,0))*--(SUM(_xlfn.XLOOKUP(_xlfn._xlws.FILTER(_xlfn.TOCOL(_xlfn.CHOOSECOLS(C128:L136,2,4,6,8,10),0,TRUE),_xlfn.TOCOL(_xlfn.CHOOSECOLS(C128:L136,1,3,5,7,9),0,TRUE)&lt;&gt;""),Lists!$AC$2:$AC$9,Lists!$AF$2:$AF$9,0))-SUM(_xlfn.XLOOKUP(_xlfn._xlws.FILTER(_xlfn.TOCOL(_xlfn.CHOOSECOLS(C107:L115,2,4,6,8,10),0,TRUE),_xlfn.TOCOL(_xlfn.CHOOSECOLS(C107:L115,1,3,5,7,9),0,TRUE)&lt;&gt;""),Lists!$AC$2:$AC$9,Lists!$AF$2:$AF$9,0))&lt;=3)*--((INT(C140)*3+MOD(ROUND(C140*10,0),10))&gt;=3))</f>
        <v>0</v>
      </c>
      <c r="M140" s="68" cm="1">
        <f t="array" ref="M140">IF(OR(B140="",O140=""),"",--(COUNTIF(O140:O145,"&gt;0")=1)*--(SUM(_xlfn.XLOOKUP(_xlfn._xlws.FILTER(_xlfn.TOCOL(_xlfn.CHOOSECOLS(C107:L115,2,4,6,8,10),0,TRUE),_xlfn.TOCOL(_xlfn.CHOOSECOLS(C107:L115,1,3,5,7,9),0,TRUE)&lt;&gt;""),Lists!$AC$2:$AC$9,Lists!$AF$2:$AF$9,0))=0))</f>
        <v>0</v>
      </c>
      <c r="N140" s="69">
        <f>IF(OR(B140="",O140=""),"",--(COUNTIF(O140:O145,"&gt;0")=1))</f>
        <v>0</v>
      </c>
      <c r="O140" s="51">
        <v>8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</row>
    <row r="141" spans="1:110">
      <c r="A141" s="168">
        <v>2</v>
      </c>
      <c r="B141" s="71" t="s">
        <v>79</v>
      </c>
      <c r="C141" s="70" cm="1">
        <f t="array" aca="1" ref="C141" ca="1">IF(OR(B141="",O141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1.1</v>
      </c>
      <c r="D141" s="67" cm="1">
        <f t="array" aca="1" ref="D141" ca="1">IF(OR(B141="",O141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2</v>
      </c>
      <c r="E141" s="67" cm="1">
        <f t="array" aca="1" ref="E141" ca="1">IF(OR(B141="",O141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1</v>
      </c>
      <c r="F141" s="67" cm="1">
        <f t="array" aca="1" ref="F141" ca="1">IF(OR(B141="",O141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1</v>
      </c>
      <c r="G141" s="67" cm="1">
        <f t="array" aca="1" ref="G141" ca="1">IF(OR(B141="",O141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141" s="67" cm="1">
        <f t="array" aca="1" ref="H141" ca="1">IF(OR(B141="",O141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0</v>
      </c>
      <c r="I141" s="68" cm="1">
        <f t="array" aca="1" ref="I141" ca="1">IF(OR(B141="",O141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141" s="68" cm="1">
        <f t="array" aca="1" ref="J141" ca="1">IF(OR(B141="",O141=""),"",--(SUM(_xlfn.XLOOKUP(_xlfn._xlws.FILTER(_xlfn.TOCOL(_xlfn.CHOOSECOLS(C128:L136,2,4,6,8,10),0,TRUE),_xlfn.TOCOL(_xlfn.CHOOSECOLS(C128:L136,1,3,5,7,9),0,TRUE)&lt;&gt;""),Lists!$AC$2:$AC$9,Lists!$AF$2:$AF$9,0))&gt;SUM(_xlfn.XLOOKUP(_xlfn._xlws.FILTER(_xlfn.TOCOL(_xlfn.CHOOSECOLS(C107:L115,2,4,6,8,10),0,TRUE),_xlfn.TOCOL(_xlfn.CHOOSECOLS(C107:L115,1,3,5,7,9),0,TRUE)&lt;&gt;""),Lists!$AC$2:$AC$9,Lists!$AF$2:$AF$9,0)))*--(ROW()-ROW(C139)=_xlfn.XLOOKUP(MAX(IF(O140:O145&gt;0,INT(C140:C145)*3+MOD(ROUND(C140:C145*10,0),10),-1)),IF(O140:O145&gt;0,INT(C140:C145)*3+MOD(ROUND(C140:C145*10,0),10),-1),_xlfn.SEQUENCE(ROWS(O140:O145)),,0)))</f>
        <v>0</v>
      </c>
      <c r="K141" s="68" cm="1">
        <f t="array" aca="1" ref="K141" ca="1">IF(OR(B141="",O141=""),"",--(SUM(_xlfn.XLOOKUP(_xlfn._xlws.FILTER(_xlfn.TOCOL(_xlfn.CHOOSECOLS(C128:L136,2,4,6,8,10),0,TRUE),_xlfn.TOCOL(_xlfn.CHOOSECOLS(C128:L136,1,3,5,7,9),0,TRUE)&lt;&gt;""),Lists!$AC$2:$AC$9,Lists!$AF$2:$AF$9,0))&lt;SUM(_xlfn.XLOOKUP(_xlfn._xlws.FILTER(_xlfn.TOCOL(_xlfn.CHOOSECOLS(C107:L115,2,4,6,8,10),0,TRUE),_xlfn.TOCOL(_xlfn.CHOOSECOLS(C107:L115,1,3,5,7,9),0,TRUE)&lt;&gt;""),Lists!$AC$2:$AC$9,Lists!$AF$2:$AF$9,0)))*--(ROW()-ROW(C139)=_xlfn.XLOOKUP(MAX(IF(O140:O145&gt;0,E140:E145,-1)),IF(O140:O145&gt;0,E140:E145,-1),_xlfn.SEQUENCE(ROWS(O140:O145)),,0)))</f>
        <v>0</v>
      </c>
      <c r="L141" s="68" cm="1">
        <f t="array" aca="1" ref="L141" ca="1">IF(OR(B141="",O141=""),"",--(SUM(_xlfn.XLOOKUP(_xlfn._xlws.FILTER(_xlfn.TOCOL(_xlfn.CHOOSECOLS(C128:L136,2,4,6,8,10),0,TRUE),_xlfn.TOCOL(_xlfn.CHOOSECOLS(C128:L136,1,3,5,7,9),0,TRUE)&lt;&gt;""),Lists!$AC$2:$AC$9,Lists!$AF$2:$AF$9,0))&gt;SUM(_xlfn.XLOOKUP(_xlfn._xlws.FILTER(_xlfn.TOCOL(_xlfn.CHOOSECOLS(C107:L115,2,4,6,8,10),0,TRUE),_xlfn.TOCOL(_xlfn.CHOOSECOLS(C107:L115,1,3,5,7,9),0,TRUE)&lt;&gt;""),Lists!$AC$2:$AC$9,Lists!$AF$2:$AF$9,0)))*--(COUNTIF(O140:O145,"&gt;0")&gt;1)*--(ROW()-ROW(C139)=_xlfn.XLOOKUP(TRUE,O140:O145&gt;0,_xlfn.SEQUENCE(ROWS(O140:O145)),,0,-1))*--(_xlfn.XLOOKUP(TRUE,O140:O145&gt;0,_xlfn.SEQUENCE(ROWS(O140:O145)),,0,-1)&lt;&gt;_xlfn.XLOOKUP(MAX(IF(O140:O145&gt;0,INT(C140:C145)*3+MOD(ROUND(C140:C145*10,0),10),-1)),IF(O140:O145&gt;0,INT(C140:C145)*3+MOD(ROUND(C140:C145*10,0),10),-1),_xlfn.SEQUENCE(ROWS(O140:O145)),,0))*--(SUM(_xlfn.XLOOKUP(_xlfn._xlws.FILTER(_xlfn.TOCOL(_xlfn.CHOOSECOLS(C128:L136,2,4,6,8,10),0,TRUE),_xlfn.TOCOL(_xlfn.CHOOSECOLS(C128:L136,1,3,5,7,9),0,TRUE)&lt;&gt;""),Lists!$AC$2:$AC$9,Lists!$AF$2:$AF$9,0))-SUM(_xlfn.XLOOKUP(_xlfn._xlws.FILTER(_xlfn.TOCOL(_xlfn.CHOOSECOLS(C107:L115,2,4,6,8,10),0,TRUE),_xlfn.TOCOL(_xlfn.CHOOSECOLS(C107:L115,1,3,5,7,9),0,TRUE)&lt;&gt;""),Lists!$AC$2:$AC$9,Lists!$AF$2:$AF$9,0))&lt;=3)*--((INT(C141)*3+MOD(ROUND(C141*10,0),10))&gt;=3))</f>
        <v>0</v>
      </c>
      <c r="M141" s="68" cm="1">
        <f t="array" ref="M141">IF(OR(B141="",O141=""),"",--(COUNTIF(O140:O145,"&gt;0")=1)*--(SUM(_xlfn.XLOOKUP(_xlfn._xlws.FILTER(_xlfn.TOCOL(_xlfn.CHOOSECOLS(C107:L115,2,4,6,8,10),0,TRUE),_xlfn.TOCOL(_xlfn.CHOOSECOLS(C107:L115,1,3,5,7,9),0,TRUE)&lt;&gt;""),Lists!$AC$2:$AC$9,Lists!$AF$2:$AF$9,0))=0))</f>
        <v>0</v>
      </c>
      <c r="N141" s="69">
        <f>IF(OR(B141="",O141=""),"",--(COUNTIF(O140:O145,"&gt;0")=1))</f>
        <v>0</v>
      </c>
      <c r="O141" s="51">
        <v>6</v>
      </c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</row>
    <row r="142" spans="1:110">
      <c r="A142" s="168">
        <v>3</v>
      </c>
      <c r="B142" s="71" t="s">
        <v>86</v>
      </c>
      <c r="C142" s="70" cm="1">
        <f t="array" aca="1" ref="C142" ca="1">IF(OR(B142="",O142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0.1</v>
      </c>
      <c r="D142" s="67" cm="1">
        <f t="array" aca="1" ref="D142" ca="1">IF(OR(B142="",O142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1</v>
      </c>
      <c r="E142" s="67" cm="1">
        <f t="array" aca="1" ref="E142" ca="1">IF(OR(B142="",O142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0</v>
      </c>
      <c r="F142" s="67" cm="1">
        <f t="array" aca="1" ref="F142" ca="1">IF(OR(B142="",O142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0</v>
      </c>
      <c r="G142" s="67" cm="1">
        <f t="array" aca="1" ref="G142" ca="1">IF(OR(B142="",O142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142" s="67" cm="1">
        <f t="array" aca="1" ref="H142" ca="1">IF(OR(B142="",O142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0</v>
      </c>
      <c r="I142" s="68" cm="1">
        <f t="array" aca="1" ref="I142" ca="1">IF(OR(B142="",O142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142" s="68" cm="1">
        <f t="array" aca="1" ref="J142" ca="1">IF(OR(B142="",O142=""),"",--(SUM(_xlfn.XLOOKUP(_xlfn._xlws.FILTER(_xlfn.TOCOL(_xlfn.CHOOSECOLS(C128:L136,2,4,6,8,10),0,TRUE),_xlfn.TOCOL(_xlfn.CHOOSECOLS(C128:L136,1,3,5,7,9),0,TRUE)&lt;&gt;""),Lists!$AC$2:$AC$9,Lists!$AF$2:$AF$9,0))&gt;SUM(_xlfn.XLOOKUP(_xlfn._xlws.FILTER(_xlfn.TOCOL(_xlfn.CHOOSECOLS(C107:L115,2,4,6,8,10),0,TRUE),_xlfn.TOCOL(_xlfn.CHOOSECOLS(C107:L115,1,3,5,7,9),0,TRUE)&lt;&gt;""),Lists!$AC$2:$AC$9,Lists!$AF$2:$AF$9,0)))*--(ROW()-ROW(C139)=_xlfn.XLOOKUP(MAX(IF(O140:O145&gt;0,INT(C140:C145)*3+MOD(ROUND(C140:C145*10,0),10),-1)),IF(O140:O145&gt;0,INT(C140:C145)*3+MOD(ROUND(C140:C145*10,0),10),-1),_xlfn.SEQUENCE(ROWS(O140:O145)),,0)))</f>
        <v>0</v>
      </c>
      <c r="K142" s="68" cm="1">
        <f t="array" aca="1" ref="K142" ca="1">IF(OR(B142="",O142=""),"",--(SUM(_xlfn.XLOOKUP(_xlfn._xlws.FILTER(_xlfn.TOCOL(_xlfn.CHOOSECOLS(C128:L136,2,4,6,8,10),0,TRUE),_xlfn.TOCOL(_xlfn.CHOOSECOLS(C128:L136,1,3,5,7,9),0,TRUE)&lt;&gt;""),Lists!$AC$2:$AC$9,Lists!$AF$2:$AF$9,0))&lt;SUM(_xlfn.XLOOKUP(_xlfn._xlws.FILTER(_xlfn.TOCOL(_xlfn.CHOOSECOLS(C107:L115,2,4,6,8,10),0,TRUE),_xlfn.TOCOL(_xlfn.CHOOSECOLS(C107:L115,1,3,5,7,9),0,TRUE)&lt;&gt;""),Lists!$AC$2:$AC$9,Lists!$AF$2:$AF$9,0)))*--(ROW()-ROW(C139)=_xlfn.XLOOKUP(MAX(IF(O140:O145&gt;0,E140:E145,-1)),IF(O140:O145&gt;0,E140:E145,-1),_xlfn.SEQUENCE(ROWS(O140:O145)),,0)))</f>
        <v>0</v>
      </c>
      <c r="L142" s="68" cm="1">
        <f t="array" aca="1" ref="L142" ca="1">IF(OR(B142="",O142=""),"",--(SUM(_xlfn.XLOOKUP(_xlfn._xlws.FILTER(_xlfn.TOCOL(_xlfn.CHOOSECOLS(C128:L136,2,4,6,8,10),0,TRUE),_xlfn.TOCOL(_xlfn.CHOOSECOLS(C128:L136,1,3,5,7,9),0,TRUE)&lt;&gt;""),Lists!$AC$2:$AC$9,Lists!$AF$2:$AF$9,0))&gt;SUM(_xlfn.XLOOKUP(_xlfn._xlws.FILTER(_xlfn.TOCOL(_xlfn.CHOOSECOLS(C107:L115,2,4,6,8,10),0,TRUE),_xlfn.TOCOL(_xlfn.CHOOSECOLS(C107:L115,1,3,5,7,9),0,TRUE)&lt;&gt;""),Lists!$AC$2:$AC$9,Lists!$AF$2:$AF$9,0)))*--(COUNTIF(O140:O145,"&gt;0")&gt;1)*--(ROW()-ROW(C139)=_xlfn.XLOOKUP(TRUE,O140:O145&gt;0,_xlfn.SEQUENCE(ROWS(O140:O145)),,0,-1))*--(_xlfn.XLOOKUP(TRUE,O140:O145&gt;0,_xlfn.SEQUENCE(ROWS(O140:O145)),,0,-1)&lt;&gt;_xlfn.XLOOKUP(MAX(IF(O140:O145&gt;0,INT(C140:C145)*3+MOD(ROUND(C140:C145*10,0),10),-1)),IF(O140:O145&gt;0,INT(C140:C145)*3+MOD(ROUND(C140:C145*10,0),10),-1),_xlfn.SEQUENCE(ROWS(O140:O145)),,0))*--(SUM(_xlfn.XLOOKUP(_xlfn._xlws.FILTER(_xlfn.TOCOL(_xlfn.CHOOSECOLS(C128:L136,2,4,6,8,10),0,TRUE),_xlfn.TOCOL(_xlfn.CHOOSECOLS(C128:L136,1,3,5,7,9),0,TRUE)&lt;&gt;""),Lists!$AC$2:$AC$9,Lists!$AF$2:$AF$9,0))-SUM(_xlfn.XLOOKUP(_xlfn._xlws.FILTER(_xlfn.TOCOL(_xlfn.CHOOSECOLS(C107:L115,2,4,6,8,10),0,TRUE),_xlfn.TOCOL(_xlfn.CHOOSECOLS(C107:L115,1,3,5,7,9),0,TRUE)&lt;&gt;""),Lists!$AC$2:$AC$9,Lists!$AF$2:$AF$9,0))&lt;=3)*--((INT(C142)*3+MOD(ROUND(C142*10,0),10))&gt;=3))</f>
        <v>0</v>
      </c>
      <c r="M142" s="68" cm="1">
        <f t="array" ref="M142">IF(OR(B142="",O142=""),"",--(COUNTIF(O140:O145,"&gt;0")=1)*--(SUM(_xlfn.XLOOKUP(_xlfn._xlws.FILTER(_xlfn.TOCOL(_xlfn.CHOOSECOLS(C107:L115,2,4,6,8,10),0,TRUE),_xlfn.TOCOL(_xlfn.CHOOSECOLS(C107:L115,1,3,5,7,9),0,TRUE)&lt;&gt;""),Lists!$AC$2:$AC$9,Lists!$AF$2:$AF$9,0))=0))</f>
        <v>0</v>
      </c>
      <c r="N142" s="69">
        <f>IF(OR(B142="",O142=""),"",--(COUNTIF(O140:O145,"&gt;0")=1))</f>
        <v>0</v>
      </c>
      <c r="O142" s="51">
        <v>2</v>
      </c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</row>
    <row r="143" spans="1:110">
      <c r="A143" s="168">
        <v>4</v>
      </c>
      <c r="B143" s="71"/>
      <c r="C143" s="70" t="str" cm="1">
        <f t="array" aca="1" ref="C143" ca="1">IF(OR(B143="",O143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143" s="67" t="str" cm="1">
        <f t="array" aca="1" ref="D143" ca="1">IF(OR(B143="",O143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143" s="67" t="str" cm="1">
        <f t="array" aca="1" ref="E143" ca="1">IF(OR(B143="",O143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143" s="67" t="str" cm="1">
        <f t="array" aca="1" ref="F143" ca="1">IF(OR(B143="",O143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143" s="67" t="str" cm="1">
        <f t="array" aca="1" ref="G143" ca="1">IF(OR(B143="",O143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143" s="67" t="str" cm="1">
        <f t="array" aca="1" ref="H143" ca="1">IF(OR(B143="",O143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143" s="68" t="str" cm="1">
        <f t="array" aca="1" ref="I143" ca="1">IF(OR(B143="",O143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143" s="68" t="str" cm="1">
        <f t="array" aca="1" ref="J143" ca="1">IF(OR(B143="",O143=""),"",--(SUM(_xlfn.XLOOKUP(_xlfn._xlws.FILTER(_xlfn.TOCOL(_xlfn.CHOOSECOLS(C128:L136,2,4,6,8,10),0,TRUE),_xlfn.TOCOL(_xlfn.CHOOSECOLS(C128:L136,1,3,5,7,9),0,TRUE)&lt;&gt;""),Lists!$AC$2:$AC$9,Lists!$AF$2:$AF$9,0))&gt;SUM(_xlfn.XLOOKUP(_xlfn._xlws.FILTER(_xlfn.TOCOL(_xlfn.CHOOSECOLS(C107:L115,2,4,6,8,10),0,TRUE),_xlfn.TOCOL(_xlfn.CHOOSECOLS(C107:L115,1,3,5,7,9),0,TRUE)&lt;&gt;""),Lists!$AC$2:$AC$9,Lists!$AF$2:$AF$9,0)))*--(ROW()-ROW(C139)=_xlfn.XLOOKUP(MAX(IF(O140:O145&gt;0,INT(C140:C145)*3+MOD(ROUND(C140:C145*10,0),10),-1)),IF(O140:O145&gt;0,INT(C140:C145)*3+MOD(ROUND(C140:C145*10,0),10),-1),_xlfn.SEQUENCE(ROWS(O140:O145)),,0)))</f>
        <v/>
      </c>
      <c r="K143" s="68" t="str" cm="1">
        <f t="array" aca="1" ref="K143" ca="1">IF(OR(B143="",O143=""),"",--(SUM(_xlfn.XLOOKUP(_xlfn._xlws.FILTER(_xlfn.TOCOL(_xlfn.CHOOSECOLS(C128:L136,2,4,6,8,10),0,TRUE),_xlfn.TOCOL(_xlfn.CHOOSECOLS(C128:L136,1,3,5,7,9),0,TRUE)&lt;&gt;""),Lists!$AC$2:$AC$9,Lists!$AF$2:$AF$9,0))&lt;SUM(_xlfn.XLOOKUP(_xlfn._xlws.FILTER(_xlfn.TOCOL(_xlfn.CHOOSECOLS(C107:L115,2,4,6,8,10),0,TRUE),_xlfn.TOCOL(_xlfn.CHOOSECOLS(C107:L115,1,3,5,7,9),0,TRUE)&lt;&gt;""),Lists!$AC$2:$AC$9,Lists!$AF$2:$AF$9,0)))*--(ROW()-ROW(C139)=_xlfn.XLOOKUP(MAX(IF(O140:O145&gt;0,E140:E145,-1)),IF(O140:O145&gt;0,E140:E145,-1),_xlfn.SEQUENCE(ROWS(O140:O145)),,0)))</f>
        <v/>
      </c>
      <c r="L143" s="68" t="str" cm="1">
        <f t="array" aca="1" ref="L143" ca="1">IF(OR(B143="",O143=""),"",--(SUM(_xlfn.XLOOKUP(_xlfn._xlws.FILTER(_xlfn.TOCOL(_xlfn.CHOOSECOLS(C128:L136,2,4,6,8,10),0,TRUE),_xlfn.TOCOL(_xlfn.CHOOSECOLS(C128:L136,1,3,5,7,9),0,TRUE)&lt;&gt;""),Lists!$AC$2:$AC$9,Lists!$AF$2:$AF$9,0))&gt;SUM(_xlfn.XLOOKUP(_xlfn._xlws.FILTER(_xlfn.TOCOL(_xlfn.CHOOSECOLS(C107:L115,2,4,6,8,10),0,TRUE),_xlfn.TOCOL(_xlfn.CHOOSECOLS(C107:L115,1,3,5,7,9),0,TRUE)&lt;&gt;""),Lists!$AC$2:$AC$9,Lists!$AF$2:$AF$9,0)))*--(COUNTIF(O140:O145,"&gt;0")&gt;1)*--(ROW()-ROW(C139)=_xlfn.XLOOKUP(TRUE,O140:O145&gt;0,_xlfn.SEQUENCE(ROWS(O140:O145)),,0,-1))*--(_xlfn.XLOOKUP(TRUE,O140:O145&gt;0,_xlfn.SEQUENCE(ROWS(O140:O145)),,0,-1)&lt;&gt;_xlfn.XLOOKUP(MAX(IF(O140:O145&gt;0,INT(C140:C145)*3+MOD(ROUND(C140:C145*10,0),10),-1)),IF(O140:O145&gt;0,INT(C140:C145)*3+MOD(ROUND(C140:C145*10,0),10),-1),_xlfn.SEQUENCE(ROWS(O140:O145)),,0))*--(SUM(_xlfn.XLOOKUP(_xlfn._xlws.FILTER(_xlfn.TOCOL(_xlfn.CHOOSECOLS(C128:L136,2,4,6,8,10),0,TRUE),_xlfn.TOCOL(_xlfn.CHOOSECOLS(C128:L136,1,3,5,7,9),0,TRUE)&lt;&gt;""),Lists!$AC$2:$AC$9,Lists!$AF$2:$AF$9,0))-SUM(_xlfn.XLOOKUP(_xlfn._xlws.FILTER(_xlfn.TOCOL(_xlfn.CHOOSECOLS(C107:L115,2,4,6,8,10),0,TRUE),_xlfn.TOCOL(_xlfn.CHOOSECOLS(C107:L115,1,3,5,7,9),0,TRUE)&lt;&gt;""),Lists!$AC$2:$AC$9,Lists!$AF$2:$AF$9,0))&lt;=3)*--((INT(C143)*3+MOD(ROUND(C143*10,0),10))&gt;=3))</f>
        <v/>
      </c>
      <c r="M143" s="68" t="str" cm="1">
        <f t="array" ref="M143">IF(OR(B143="",O143=""),"",--(COUNTIF(O140:O145,"&gt;0")=1)*--(SUM(_xlfn.XLOOKUP(_xlfn._xlws.FILTER(_xlfn.TOCOL(_xlfn.CHOOSECOLS(C107:L115,2,4,6,8,10),0,TRUE),_xlfn.TOCOL(_xlfn.CHOOSECOLS(C107:L115,1,3,5,7,9),0,TRUE)&lt;&gt;""),Lists!$AC$2:$AC$9,Lists!$AF$2:$AF$9,0))=0))</f>
        <v/>
      </c>
      <c r="N143" s="69" t="str">
        <f>IF(OR(B143="",O143=""),"",--(COUNTIF(O140:O145,"&gt;0")=1))</f>
        <v/>
      </c>
      <c r="O143" s="51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</row>
    <row r="144" spans="1:110">
      <c r="A144" s="168">
        <v>5</v>
      </c>
      <c r="B144" s="71"/>
      <c r="C144" s="70" t="str" cm="1">
        <f t="array" aca="1" ref="C144" ca="1">IF(OR(B144="",O144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144" s="67" t="str" cm="1">
        <f t="array" aca="1" ref="D144" ca="1">IF(OR(B144="",O144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144" s="67" t="str" cm="1">
        <f t="array" aca="1" ref="E144" ca="1">IF(OR(B144="",O144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144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144" s="67" t="str" cm="1">
        <f t="array" aca="1" ref="F144" ca="1">IF(OR(B144="",O144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144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144" s="67" t="str" cm="1">
        <f t="array" aca="1" ref="G144" ca="1">IF(OR(B144="",O144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144" s="67" t="str" cm="1">
        <f t="array" aca="1" ref="H144" ca="1">IF(OR(B144="",O144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144" s="68" t="str" cm="1">
        <f t="array" aca="1" ref="I144" ca="1">IF(OR(B144="",O144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144" s="68" t="str" cm="1">
        <f t="array" aca="1" ref="J144" ca="1">IF(OR(B144="",O144=""),"",--(SUM(_xlfn.XLOOKUP(_xlfn._xlws.FILTER(_xlfn.TOCOL(_xlfn.CHOOSECOLS(C128:L136,2,4,6,8,10),0,TRUE),_xlfn.TOCOL(_xlfn.CHOOSECOLS(C128:L136,1,3,5,7,9),0,TRUE)&lt;&gt;""),Lists!$AC$2:$AC$9,Lists!$AF$2:$AF$9,0))&gt;SUM(_xlfn.XLOOKUP(_xlfn._xlws.FILTER(_xlfn.TOCOL(_xlfn.CHOOSECOLS(C107:L115,2,4,6,8,10),0,TRUE),_xlfn.TOCOL(_xlfn.CHOOSECOLS(C107:L115,1,3,5,7,9),0,TRUE)&lt;&gt;""),Lists!$AC$2:$AC$9,Lists!$AF$2:$AF$9,0)))*--(ROW()-ROW(C139)=_xlfn.XLOOKUP(MAX(IF(O140:O145&gt;0,INT(C140:C145)*3+MOD(ROUND(C140:C145*10,0),10),-1)),IF(O140:O145&gt;0,INT(C140:C145)*3+MOD(ROUND(C140:C145*10,0),10),-1),_xlfn.SEQUENCE(ROWS(O140:O145)),,0)))</f>
        <v/>
      </c>
      <c r="K144" s="68" t="str" cm="1">
        <f t="array" aca="1" ref="K144" ca="1">IF(OR(B144="",O144=""),"",--(SUM(_xlfn.XLOOKUP(_xlfn._xlws.FILTER(_xlfn.TOCOL(_xlfn.CHOOSECOLS(C128:L136,2,4,6,8,10),0,TRUE),_xlfn.TOCOL(_xlfn.CHOOSECOLS(C128:L136,1,3,5,7,9),0,TRUE)&lt;&gt;""),Lists!$AC$2:$AC$9,Lists!$AF$2:$AF$9,0))&lt;SUM(_xlfn.XLOOKUP(_xlfn._xlws.FILTER(_xlfn.TOCOL(_xlfn.CHOOSECOLS(C107:L115,2,4,6,8,10),0,TRUE),_xlfn.TOCOL(_xlfn.CHOOSECOLS(C107:L115,1,3,5,7,9),0,TRUE)&lt;&gt;""),Lists!$AC$2:$AC$9,Lists!$AF$2:$AF$9,0)))*--(ROW()-ROW(C139)=_xlfn.XLOOKUP(MAX(IF(O140:O145&gt;0,E140:E145,-1)),IF(O140:O145&gt;0,E140:E145,-1),_xlfn.SEQUENCE(ROWS(O140:O145)),,0)))</f>
        <v/>
      </c>
      <c r="L144" s="68" t="str" cm="1">
        <f t="array" aca="1" ref="L144" ca="1">IF(OR(B144="",O144=""),"",--(SUM(_xlfn.XLOOKUP(_xlfn._xlws.FILTER(_xlfn.TOCOL(_xlfn.CHOOSECOLS(C128:L136,2,4,6,8,10),0,TRUE),_xlfn.TOCOL(_xlfn.CHOOSECOLS(C128:L136,1,3,5,7,9),0,TRUE)&lt;&gt;""),Lists!$AC$2:$AC$9,Lists!$AF$2:$AF$9,0))&gt;SUM(_xlfn.XLOOKUP(_xlfn._xlws.FILTER(_xlfn.TOCOL(_xlfn.CHOOSECOLS(C107:L115,2,4,6,8,10),0,TRUE),_xlfn.TOCOL(_xlfn.CHOOSECOLS(C107:L115,1,3,5,7,9),0,TRUE)&lt;&gt;""),Lists!$AC$2:$AC$9,Lists!$AF$2:$AF$9,0)))*--(COUNTIF(O140:O145,"&gt;0")&gt;1)*--(ROW()-ROW(C139)=_xlfn.XLOOKUP(TRUE,O140:O145&gt;0,_xlfn.SEQUENCE(ROWS(O140:O145)),,0,-1))*--(_xlfn.XLOOKUP(TRUE,O140:O145&gt;0,_xlfn.SEQUENCE(ROWS(O140:O145)),,0,-1)&lt;&gt;_xlfn.XLOOKUP(MAX(IF(O140:O145&gt;0,INT(C140:C145)*3+MOD(ROUND(C140:C145*10,0),10),-1)),IF(O140:O145&gt;0,INT(C140:C145)*3+MOD(ROUND(C140:C145*10,0),10),-1),_xlfn.SEQUENCE(ROWS(O140:O145)),,0))*--(SUM(_xlfn.XLOOKUP(_xlfn._xlws.FILTER(_xlfn.TOCOL(_xlfn.CHOOSECOLS(C128:L136,2,4,6,8,10),0,TRUE),_xlfn.TOCOL(_xlfn.CHOOSECOLS(C128:L136,1,3,5,7,9),0,TRUE)&lt;&gt;""),Lists!$AC$2:$AC$9,Lists!$AF$2:$AF$9,0))-SUM(_xlfn.XLOOKUP(_xlfn._xlws.FILTER(_xlfn.TOCOL(_xlfn.CHOOSECOLS(C107:L115,2,4,6,8,10),0,TRUE),_xlfn.TOCOL(_xlfn.CHOOSECOLS(C107:L115,1,3,5,7,9),0,TRUE)&lt;&gt;""),Lists!$AC$2:$AC$9,Lists!$AF$2:$AF$9,0))&lt;=3)*--((INT(C144)*3+MOD(ROUND(C144*10,0),10))&gt;=3))</f>
        <v/>
      </c>
      <c r="M144" s="68" t="str" cm="1">
        <f t="array" ref="M144">IF(OR(B144="",O144=""),"",--(COUNTIF(O140:O145,"&gt;0")=1)*--(SUM(_xlfn.XLOOKUP(_xlfn._xlws.FILTER(_xlfn.TOCOL(_xlfn.CHOOSECOLS(C107:L115,2,4,6,8,10),0,TRUE),_xlfn.TOCOL(_xlfn.CHOOSECOLS(C107:L115,1,3,5,7,9),0,TRUE)&lt;&gt;""),Lists!$AC$2:$AC$9,Lists!$AF$2:$AF$9,0))=0))</f>
        <v/>
      </c>
      <c r="N144" s="69" t="str">
        <f>IF(OR(B144="",O144=""),"",--(COUNTIF(O140:O145,"&gt;0")=1))</f>
        <v/>
      </c>
      <c r="O144" s="51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</row>
    <row r="145" spans="1:110">
      <c r="A145" s="168">
        <v>6</v>
      </c>
      <c r="B145" s="71"/>
      <c r="C145" s="70" t="str" cm="1">
        <f t="array" aca="1" ref="C145" ca="1">IF(OR(B145="",O145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145" s="67" t="str" cm="1">
        <f t="array" aca="1" ref="D145" ca="1">IF(OR(B145="",O145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145" s="67" t="str" cm="1">
        <f t="array" aca="1" ref="E145" ca="1">IF(OR(B145="",O145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145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145" s="67" t="str" cm="1">
        <f t="array" aca="1" ref="F145" ca="1">IF(OR(B145="",O145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145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145" s="67" t="str" cm="1">
        <f t="array" aca="1" ref="G145" ca="1">IF(OR(B145="",O145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145" s="67" t="str" cm="1">
        <f t="array" aca="1" ref="H145" ca="1">IF(OR(B145="",O145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145" s="68" t="str" cm="1">
        <f t="array" aca="1" ref="I145" ca="1">IF(OR(B145="",O145=""),"",_xlfn.LET(_xlpm.flatPAraw,_xlfn.TOCOL(_xlfn.CHOOSECOLS(C107:L115,1,3,5,7,9),0,TRUE),_xlpm.flatPARraw,_xlfn.TOCOL(_xlfn.CHOOSECOLS(C107:L115,2,4,6,8,10),0,TRUE),_xlpm.flatPA,_xlfn._xlws.FILTER(_xlpm.flatPAraw,_xlpm.flatPAraw&lt;&gt;""),_xlpm.flatPAR,_xlfn._xlws.FILTER(_xlpm.flatPARraw,_xlpm.flatPAraw&lt;&gt;""),_xlpm.prev,IF(ROW()=ROW(C140),0,SUM(INDEX(O:O,ROW(C140)):INDEX(O:O,ROW()-1))),_xlpm.need,O145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145" s="68" t="str" cm="1">
        <f t="array" aca="1" ref="J145" ca="1">IF(OR(B145="",O145=""),"",--(SUM(_xlfn.XLOOKUP(_xlfn._xlws.FILTER(_xlfn.TOCOL(_xlfn.CHOOSECOLS(C128:L136,2,4,6,8,10),0,TRUE),_xlfn.TOCOL(_xlfn.CHOOSECOLS(C128:L136,1,3,5,7,9),0,TRUE)&lt;&gt;""),Lists!$AC$2:$AC$9,Lists!$AF$2:$AF$9,0))&gt;SUM(_xlfn.XLOOKUP(_xlfn._xlws.FILTER(_xlfn.TOCOL(_xlfn.CHOOSECOLS(C107:L115,2,4,6,8,10),0,TRUE),_xlfn.TOCOL(_xlfn.CHOOSECOLS(C107:L115,1,3,5,7,9),0,TRUE)&lt;&gt;""),Lists!$AC$2:$AC$9,Lists!$AF$2:$AF$9,0)))*--(ROW()-ROW(C139)=_xlfn.XLOOKUP(MAX(IF(O140:O145&gt;0,INT(C140:C145)*3+MOD(ROUND(C140:C145*10,0),10),-1)),IF(O140:O145&gt;0,INT(C140:C145)*3+MOD(ROUND(C140:C145*10,0),10),-1),_xlfn.SEQUENCE(ROWS(O140:O145)),,0)))</f>
        <v/>
      </c>
      <c r="K145" s="68" t="str" cm="1">
        <f t="array" aca="1" ref="K145" ca="1">IF(OR(B145="",O145=""),"",--(SUM(_xlfn.XLOOKUP(_xlfn._xlws.FILTER(_xlfn.TOCOL(_xlfn.CHOOSECOLS(C128:L136,2,4,6,8,10),0,TRUE),_xlfn.TOCOL(_xlfn.CHOOSECOLS(C128:L136,1,3,5,7,9),0,TRUE)&lt;&gt;""),Lists!$AC$2:$AC$9,Lists!$AF$2:$AF$9,0))&lt;SUM(_xlfn.XLOOKUP(_xlfn._xlws.FILTER(_xlfn.TOCOL(_xlfn.CHOOSECOLS(C107:L115,2,4,6,8,10),0,TRUE),_xlfn.TOCOL(_xlfn.CHOOSECOLS(C107:L115,1,3,5,7,9),0,TRUE)&lt;&gt;""),Lists!$AC$2:$AC$9,Lists!$AF$2:$AF$9,0)))*--(ROW()-ROW(C139)=_xlfn.XLOOKUP(MAX(IF(O140:O145&gt;0,E140:E145,-1)),IF(O140:O145&gt;0,E140:E145,-1),_xlfn.SEQUENCE(ROWS(O140:O145)),,0)))</f>
        <v/>
      </c>
      <c r="L145" s="68" t="str" cm="1">
        <f t="array" aca="1" ref="L145" ca="1">IF(OR(B145="",O145=""),"",--(SUM(_xlfn.XLOOKUP(_xlfn._xlws.FILTER(_xlfn.TOCOL(_xlfn.CHOOSECOLS(C128:L136,2,4,6,8,10),0,TRUE),_xlfn.TOCOL(_xlfn.CHOOSECOLS(C128:L136,1,3,5,7,9),0,TRUE)&lt;&gt;""),Lists!$AC$2:$AC$9,Lists!$AF$2:$AF$9,0))&gt;SUM(_xlfn.XLOOKUP(_xlfn._xlws.FILTER(_xlfn.TOCOL(_xlfn.CHOOSECOLS(C107:L115,2,4,6,8,10),0,TRUE),_xlfn.TOCOL(_xlfn.CHOOSECOLS(C107:L115,1,3,5,7,9),0,TRUE)&lt;&gt;""),Lists!$AC$2:$AC$9,Lists!$AF$2:$AF$9,0)))*--(COUNTIF(O140:O145,"&gt;0")&gt;1)*--(ROW()-ROW(C139)=_xlfn.XLOOKUP(TRUE,O140:O145&gt;0,_xlfn.SEQUENCE(ROWS(O140:O145)),,0,-1))*--(_xlfn.XLOOKUP(TRUE,O140:O145&gt;0,_xlfn.SEQUENCE(ROWS(O140:O145)),,0,-1)&lt;&gt;_xlfn.XLOOKUP(MAX(IF(O140:O145&gt;0,INT(C140:C145)*3+MOD(ROUND(C140:C145*10,0),10),-1)),IF(O140:O145&gt;0,INT(C140:C145)*3+MOD(ROUND(C140:C145*10,0),10),-1),_xlfn.SEQUENCE(ROWS(O140:O145)),,0))*--(SUM(_xlfn.XLOOKUP(_xlfn._xlws.FILTER(_xlfn.TOCOL(_xlfn.CHOOSECOLS(C128:L136,2,4,6,8,10),0,TRUE),_xlfn.TOCOL(_xlfn.CHOOSECOLS(C128:L136,1,3,5,7,9),0,TRUE)&lt;&gt;""),Lists!$AC$2:$AC$9,Lists!$AF$2:$AF$9,0))-SUM(_xlfn.XLOOKUP(_xlfn._xlws.FILTER(_xlfn.TOCOL(_xlfn.CHOOSECOLS(C107:L115,2,4,6,8,10),0,TRUE),_xlfn.TOCOL(_xlfn.CHOOSECOLS(C107:L115,1,3,5,7,9),0,TRUE)&lt;&gt;""),Lists!$AC$2:$AC$9,Lists!$AF$2:$AF$9,0))&lt;=3)*--((INT(C145)*3+MOD(ROUND(C145*10,0),10))&gt;=3))</f>
        <v/>
      </c>
      <c r="M145" s="68" t="str" cm="1">
        <f t="array" ref="M145">IF(OR(B145="",O145=""),"",--(COUNTIF(O140:O145,"&gt;0")=1)*--(SUM(_xlfn.XLOOKUP(_xlfn._xlws.FILTER(_xlfn.TOCOL(_xlfn.CHOOSECOLS(C107:L115,2,4,6,8,10),0,TRUE),_xlfn.TOCOL(_xlfn.CHOOSECOLS(C107:L115,1,3,5,7,9),0,TRUE)&lt;&gt;""),Lists!$AC$2:$AC$9,Lists!$AF$2:$AF$9,0))=0))</f>
        <v/>
      </c>
      <c r="N145" s="69" t="str">
        <f>IF(OR(B145="",O145=""),"",--(COUNTIF(O140:O145,"&gt;0")=1))</f>
        <v/>
      </c>
      <c r="O145" s="51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</row>
    <row r="146" spans="1:110">
      <c r="A146" s="173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</row>
    <row r="147" spans="1:110">
      <c r="A147" s="174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</row>
    <row r="148" spans="1:110">
      <c r="A148" s="217" t="s">
        <v>206</v>
      </c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9"/>
      <c r="N148" s="207"/>
      <c r="O148" s="36"/>
      <c r="P148" s="37"/>
      <c r="Q148" s="38"/>
      <c r="R148" s="38"/>
      <c r="S148" s="38"/>
      <c r="T148" s="38"/>
      <c r="U148" s="38"/>
      <c r="V148" s="38"/>
      <c r="W148" s="38"/>
      <c r="X148" s="3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</row>
    <row r="149" spans="1:110">
      <c r="A149" s="169" t="s">
        <v>33</v>
      </c>
      <c r="B149" s="40">
        <f>Settings!$B$2</f>
        <v>1</v>
      </c>
      <c r="C149" s="41"/>
      <c r="D149" s="40" t="s">
        <v>95</v>
      </c>
      <c r="E149" s="41"/>
      <c r="F149" s="40" t="str">
        <f>Bracket!$F$9</f>
        <v>G4</v>
      </c>
      <c r="G149" s="41"/>
      <c r="H149" s="40" t="s">
        <v>97</v>
      </c>
      <c r="I149" s="41"/>
      <c r="J149" s="40" t="str">
        <f>Bracket!$G$9</f>
        <v>Winners R2-2</v>
      </c>
      <c r="K149" s="41"/>
      <c r="L149" s="40" t="s">
        <v>134</v>
      </c>
      <c r="M149" s="24"/>
      <c r="N149" s="196" t="str">
        <f ca="1">Bracket!$H$9</f>
        <v>Jason</v>
      </c>
      <c r="O149" s="24"/>
      <c r="P149" s="18"/>
      <c r="Q149" s="18"/>
      <c r="R149" s="119" t="str">
        <f ca="1">Bracket!$I$9</f>
        <v>Aidan</v>
      </c>
      <c r="S149" s="18"/>
      <c r="T149" s="18"/>
      <c r="U149" s="18"/>
      <c r="V149" s="18" t="str">
        <f ca="1">Bracket!$L$9</f>
        <v>Jason</v>
      </c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</row>
    <row r="150" spans="1:110">
      <c r="A150" s="170" t="s">
        <v>160</v>
      </c>
      <c r="B150" s="72">
        <v>1</v>
      </c>
      <c r="C150" s="72">
        <v>2</v>
      </c>
      <c r="D150" s="72">
        <v>3</v>
      </c>
      <c r="E150" s="72">
        <v>4</v>
      </c>
      <c r="F150" s="72">
        <v>5</v>
      </c>
      <c r="G150" s="72">
        <v>6</v>
      </c>
      <c r="H150" s="72">
        <v>7</v>
      </c>
      <c r="I150" s="73">
        <v>8</v>
      </c>
      <c r="J150" s="73">
        <v>9</v>
      </c>
      <c r="K150" s="73" t="s">
        <v>161</v>
      </c>
      <c r="L150" s="73" t="s">
        <v>162</v>
      </c>
      <c r="M150" s="74" t="s">
        <v>163</v>
      </c>
      <c r="N150" s="24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</row>
    <row r="151" spans="1:110">
      <c r="A151" s="197" t="str">
        <f ca="1">N149</f>
        <v>Jason</v>
      </c>
      <c r="B151" s="75" cm="1">
        <f t="array" ref="B151">IFERROR(_xlfn.LET(_xlpm.flatPAraw,_xlfn.TOCOL(_xlfn.CHOOSECOLS(C156:L164,1,3,5,7,9),0,TRUE),_xlpm.flatPARraw,_xlfn.TOCOL(_xlfn.CHOOSECOLS(C156:L164,2,4,6,8,10)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1</v>
      </c>
      <c r="C151" s="75" cm="1">
        <f t="array" ref="C151">IFERROR(_xlfn.LET(_xlpm.flatPAraw,_xlfn.TOCOL(_xlfn.CHOOSECOLS(C156:L164,1,3,5,7,9),0,TRUE),_xlpm.flatPARraw,_xlfn.TOCOL(_xlfn.CHOOSECOLS(C156:L164,2,4,6,8,10)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1</v>
      </c>
      <c r="D151" s="75" cm="1">
        <f t="array" ref="D151">IFERROR(_xlfn.LET(_xlpm.flatPAraw,_xlfn.TOCOL(_xlfn.CHOOSECOLS(C156:L164,1,3,5,7,9),0,TRUE),_xlpm.flatPARraw,_xlfn.TOCOL(_xlfn.CHOOSECOLS(C156:L164,2,4,6,8,10)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3</v>
      </c>
      <c r="E151" s="75" cm="1">
        <f t="array" ref="E151">IFERROR(_xlfn.LET(_xlpm.flatPAraw,_xlfn.TOCOL(_xlfn.CHOOSECOLS(C156:L164,1,3,5,7,9),0,TRUE),_xlpm.flatPARraw,_xlfn.TOCOL(_xlfn.CHOOSECOLS(C156:L164,2,4,6,8,10)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151" s="75" cm="1">
        <f t="array" ref="F151">IFERROR(_xlfn.LET(_xlpm.flatPAraw,_xlfn.TOCOL(_xlfn.CHOOSECOLS(C156:L164,1,3,5,7,9),0,TRUE),_xlpm.flatPARraw,_xlfn.TOCOL(_xlfn.CHOOSECOLS(C156:L164,2,4,6,8,10)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151" s="75" cm="1">
        <f t="array" ref="G151">IFERROR(_xlfn.LET(_xlpm.flatPAraw,_xlfn.TOCOL(_xlfn.CHOOSECOLS(C156:L164,1,3,5,7,9),0,TRUE),_xlpm.flatPARraw,_xlfn.TOCOL(_xlfn.CHOOSECOLS(C156:L164,2,4,6,8,10)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151" s="75" cm="1">
        <f t="array" ref="H151">IFERROR(_xlfn.LET(_xlpm.flatPAraw,_xlfn.TOCOL(_xlfn.CHOOSECOLS(C156:L164,1,3,5,7,9),0,TRUE),_xlpm.flatPARraw,_xlfn.TOCOL(_xlfn.CHOOSECOLS(C156:L164,2,4,6,8,10)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151" s="76" cm="1">
        <f t="array" ref="I151">IFERROR(_xlfn.LET(_xlpm.flatPAraw,_xlfn.TOCOL(_xlfn.CHOOSECOLS(C156:L164,1,3,5,7,9),0,TRUE),_xlpm.flatPARraw,_xlfn.TOCOL(_xlfn.CHOOSECOLS(C156:L164,2,4,6,8,10)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151" s="76" cm="1">
        <f t="array" ref="J151">IFERROR(_xlfn.LET(_xlpm.flatPAraw,_xlfn.TOCOL(_xlfn.CHOOSECOLS(C156:L164,1,3,5,7,9),0,TRUE),_xlpm.flatPARraw,_xlfn.TOCOL(_xlfn.CHOOSECOLS(C156:L164,2,4,6,8,10)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151" s="164">
        <f>SUM(B151:J151)</f>
        <v>5</v>
      </c>
      <c r="L151" s="77">
        <f ca="1">SUM(O156:O164)</f>
        <v>8</v>
      </c>
      <c r="M151" s="78">
        <f>COUNTIF(C177:L185,"ROE")</f>
        <v>0</v>
      </c>
      <c r="N151" s="24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</row>
    <row r="152" spans="1:110">
      <c r="A152" s="172" t="str">
        <f ca="1">R149</f>
        <v>Aidan</v>
      </c>
      <c r="B152" s="79" cm="1">
        <f t="array" ref="B152">IFERROR(_xlfn.LET(_xlpm.flatPAraw,_xlfn.TOCOL(_xlfn.CHOOSECOLS(C177:L185,1,3,5,7,9),0,TRUE),_xlpm.flatPARraw,_xlfn.TOCOL(_xlfn.CHOOSECOLS(C177:L185,2,4,6,8,10)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152" s="79" cm="1">
        <f t="array" ref="C152">IFERROR(_xlfn.LET(_xlpm.flatPAraw,_xlfn.TOCOL(_xlfn.CHOOSECOLS(C177:L185,1,3,5,7,9),0,TRUE),_xlpm.flatPARraw,_xlfn.TOCOL(_xlfn.CHOOSECOLS(C177:L185,2,4,6,8,10)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2</v>
      </c>
      <c r="D152" s="79" cm="1">
        <f t="array" ref="D152">IFERROR(_xlfn.LET(_xlpm.flatPAraw,_xlfn.TOCOL(_xlfn.CHOOSECOLS(C177:L185,1,3,5,7,9),0,TRUE),_xlpm.flatPARraw,_xlfn.TOCOL(_xlfn.CHOOSECOLS(C177:L185,2,4,6,8,10)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152" s="79" cm="1">
        <f t="array" ref="E152">IFERROR(_xlfn.LET(_xlpm.flatPAraw,_xlfn.TOCOL(_xlfn.CHOOSECOLS(C177:L185,1,3,5,7,9),0,TRUE),_xlpm.flatPARraw,_xlfn.TOCOL(_xlfn.CHOOSECOLS(C177:L185,2,4,6,8,10)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152" s="79" cm="1">
        <f t="array" ref="F152">IFERROR(_xlfn.LET(_xlpm.flatPAraw,_xlfn.TOCOL(_xlfn.CHOOSECOLS(C177:L185,1,3,5,7,9),0,TRUE),_xlpm.flatPARraw,_xlfn.TOCOL(_xlfn.CHOOSECOLS(C177:L185,2,4,6,8,10)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152" s="79" cm="1">
        <f t="array" ref="G152">IFERROR(_xlfn.LET(_xlpm.flatPAraw,_xlfn.TOCOL(_xlfn.CHOOSECOLS(C177:L185,1,3,5,7,9),0,TRUE),_xlpm.flatPARraw,_xlfn.TOCOL(_xlfn.CHOOSECOLS(C177:L185,2,4,6,8,10)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152" s="79" cm="1">
        <f t="array" ref="H152">IFERROR(_xlfn.LET(_xlpm.flatPAraw,_xlfn.TOCOL(_xlfn.CHOOSECOLS(C177:L185,1,3,5,7,9),0,TRUE),_xlpm.flatPARraw,_xlfn.TOCOL(_xlfn.CHOOSECOLS(C177:L185,2,4,6,8,10)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152" s="80" cm="1">
        <f t="array" ref="I152">IFERROR(_xlfn.LET(_xlpm.flatPAraw,_xlfn.TOCOL(_xlfn.CHOOSECOLS(C177:L185,1,3,5,7,9),0,TRUE),_xlpm.flatPARraw,_xlfn.TOCOL(_xlfn.CHOOSECOLS(C177:L185,2,4,6,8,10)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152" s="80" cm="1">
        <f t="array" ref="J152">IFERROR(_xlfn.LET(_xlpm.flatPAraw,_xlfn.TOCOL(_xlfn.CHOOSECOLS(C177:L185,1,3,5,7,9),0,TRUE),_xlpm.flatPARraw,_xlfn.TOCOL(_xlfn.CHOOSECOLS(C177:L185,2,4,6,8,10)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152" s="165">
        <f>SUM(B152:J152)</f>
        <v>2</v>
      </c>
      <c r="L152" s="81">
        <f ca="1">SUM(O177:O185)</f>
        <v>3</v>
      </c>
      <c r="M152" s="82">
        <f>COUNTIF(C156:L164,"ROE")</f>
        <v>0</v>
      </c>
      <c r="N152" s="24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</row>
    <row r="153" spans="1:110">
      <c r="A153" s="173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</row>
    <row r="154" spans="1:110">
      <c r="A154" s="205" t="str">
        <f ca="1">IF($N$149="","Team A Batting",$N$149&amp;" Batting")</f>
        <v>Jason Batting</v>
      </c>
      <c r="B154" s="206"/>
      <c r="C154" s="206"/>
      <c r="D154" s="206"/>
      <c r="E154" s="206"/>
      <c r="F154" s="206"/>
      <c r="G154" s="206"/>
      <c r="H154" s="206"/>
      <c r="I154" s="206"/>
      <c r="J154" s="206"/>
      <c r="K154" s="206"/>
      <c r="L154" s="206"/>
      <c r="M154" s="206"/>
      <c r="N154" s="206"/>
      <c r="O154" s="181"/>
      <c r="P154" s="182"/>
      <c r="Q154" s="182"/>
      <c r="R154" s="182"/>
      <c r="S154" s="182"/>
      <c r="T154" s="182"/>
      <c r="U154" s="182"/>
      <c r="V154" s="182"/>
      <c r="W154" s="182"/>
      <c r="X154" s="182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</row>
    <row r="155" spans="1:110">
      <c r="A155" s="167" t="s">
        <v>164</v>
      </c>
      <c r="B155" s="43" t="s">
        <v>39</v>
      </c>
      <c r="C155" s="43" t="s">
        <v>165</v>
      </c>
      <c r="D155" s="43" t="s">
        <v>166</v>
      </c>
      <c r="E155" s="43" t="s">
        <v>167</v>
      </c>
      <c r="F155" s="43" t="s">
        <v>168</v>
      </c>
      <c r="G155" s="43" t="s">
        <v>169</v>
      </c>
      <c r="H155" s="43" t="s">
        <v>170</v>
      </c>
      <c r="I155" s="43" t="s">
        <v>171</v>
      </c>
      <c r="J155" s="43" t="s">
        <v>172</v>
      </c>
      <c r="K155" s="43" t="s">
        <v>173</v>
      </c>
      <c r="L155" s="43" t="s">
        <v>174</v>
      </c>
      <c r="M155" s="43" t="s">
        <v>175</v>
      </c>
      <c r="N155" s="44" t="s">
        <v>161</v>
      </c>
      <c r="O155" s="44" t="s">
        <v>162</v>
      </c>
      <c r="P155" s="44" t="s">
        <v>176</v>
      </c>
      <c r="Q155" s="44" t="s">
        <v>177</v>
      </c>
      <c r="R155" s="44" t="s">
        <v>178</v>
      </c>
      <c r="S155" s="44" t="s">
        <v>179</v>
      </c>
      <c r="T155" s="44" t="s">
        <v>180</v>
      </c>
      <c r="U155" s="44" t="s">
        <v>181</v>
      </c>
      <c r="V155" s="44" t="s">
        <v>182</v>
      </c>
      <c r="W155" s="44" t="s">
        <v>183</v>
      </c>
      <c r="X155" s="45" t="s">
        <v>184</v>
      </c>
      <c r="Y155" s="45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</row>
    <row r="156" spans="1:110">
      <c r="A156" s="168">
        <v>1</v>
      </c>
      <c r="B156" s="47" t="str">
        <f ca="1">Lineups!$C$47</f>
        <v>Yoshi</v>
      </c>
      <c r="C156" s="48" t="s">
        <v>186</v>
      </c>
      <c r="D156" s="49"/>
      <c r="E156" s="49" t="s">
        <v>188</v>
      </c>
      <c r="F156" s="49"/>
      <c r="G156" s="49"/>
      <c r="H156" s="50"/>
      <c r="I156" s="50"/>
      <c r="J156" s="50"/>
      <c r="K156" s="50"/>
      <c r="L156" s="50"/>
      <c r="M156" s="67">
        <f ca="1">IF($B156="","",SUM(_xlfn.XLOOKUP(C156,Lists!$P$2:$P$19,Lists!$R$2:$R$19,0),_xlfn.XLOOKUP(E156,Lists!$P$2:$P$19,Lists!$R$2:$R$19,0),_xlfn.XLOOKUP(G156,Lists!$P$2:$P$19,Lists!$R$2:$R$19,0),_xlfn.XLOOKUP(I156,Lists!$P$2:$P$19,Lists!$R$2:$R$19,0),_xlfn.XLOOKUP(K156,Lists!$P$2:$P$19,Lists!$R$2:$R$19,0)))</f>
        <v>2</v>
      </c>
      <c r="N156" s="68">
        <f ca="1">IF($B156="","",SUM(_xlfn.XLOOKUP(D156,Lists!$AC$2:$AC$9,Lists!$AE$2:$AE$9,0),_xlfn.XLOOKUP(F156,Lists!$AC$2:$AC$9,Lists!$AE$2:$AE$9,0),_xlfn.XLOOKUP(H156,Lists!$AC$2:$AC$9,Lists!$AE$2:$AE$9,0),_xlfn.XLOOKUP(J156,Lists!$AC$2:$AC$9,Lists!$AE$2:$AE$9,0),_xlfn.XLOOKUP(L156,Lists!$AC$2:$AC$9,Lists!$AE$2:$AE$9,0)))</f>
        <v>0</v>
      </c>
      <c r="O156" s="68">
        <f ca="1">IF($B156="","",SUM(_xlfn.XLOOKUP(C156,Lists!$P$2:$P$19,Lists!$S$2:$S$19,0),_xlfn.XLOOKUP(E156,Lists!$P$2:$P$19,Lists!$S$2:$S$19,0),_xlfn.XLOOKUP(G156,Lists!$P$2:$P$19,Lists!$S$2:$S$19,0),_xlfn.XLOOKUP(I156,Lists!$P$2:$P$19,Lists!$S$2:$S$19,0),_xlfn.XLOOKUP(K156,Lists!$P$2:$P$19,Lists!$S$2:$S$19,0)))</f>
        <v>1</v>
      </c>
      <c r="P156" s="68">
        <f ca="1">IF($B156="","",SUM(_xlfn.XLOOKUP(C156,Lists!$P$2:$P$19,Lists!$T$2:$T$19,0),_xlfn.XLOOKUP(E156,Lists!$P$2:$P$19,Lists!$T$2:$T$19,0),_xlfn.XLOOKUP(G156,Lists!$P$2:$P$19,Lists!$T$2:$T$19,0),_xlfn.XLOOKUP(I156,Lists!$P$2:$P$19,Lists!$T$2:$T$19,0),_xlfn.XLOOKUP(K156,Lists!$P$2:$P$19,Lists!$T$2:$T$19,0)))</f>
        <v>0</v>
      </c>
      <c r="Q156" s="68">
        <f ca="1">IF($B156="","",SUM(_xlfn.XLOOKUP(C156,Lists!$P$2:$P$19,Lists!$U$2:$U$19,0),_xlfn.XLOOKUP(E156,Lists!$P$2:$P$19,Lists!$U$2:$U$19,0),_xlfn.XLOOKUP(G156,Lists!$P$2:$P$19,Lists!$U$2:$U$19,0),_xlfn.XLOOKUP(I156,Lists!$P$2:$P$19,Lists!$U$2:$U$19,0),_xlfn.XLOOKUP(K156,Lists!$P$2:$P$19,Lists!$U$2:$U$19,0)))</f>
        <v>0</v>
      </c>
      <c r="R156" s="68">
        <f ca="1">IF($B156="","",SUM(_xlfn.XLOOKUP(C156,Lists!$P$2:$P$19,Lists!$V$2:$V$19,0),_xlfn.XLOOKUP(E156,Lists!$P$2:$P$19,Lists!$V$2:$V$19,0),_xlfn.XLOOKUP(G156,Lists!$P$2:$P$19,Lists!$V$2:$V$19,0),_xlfn.XLOOKUP(I156,Lists!$P$2:$P$19,Lists!$V$2:$V$19,0),_xlfn.XLOOKUP(K156,Lists!$P$2:$P$19,Lists!$V$2:$V$19,0)))</f>
        <v>0</v>
      </c>
      <c r="S156" s="68">
        <f ca="1">IF($B156="","",SUM(_xlfn.XLOOKUP(D156,Lists!$AC$2:$AC$9,Lists!$AD$2:$AD$9,0),_xlfn.XLOOKUP(F156,Lists!$AC$2:$AC$9,Lists!$AD$2:$AD$9,0),_xlfn.XLOOKUP(H156,Lists!$AC$2:$AC$9,Lists!$AD$2:$AD$9,0),_xlfn.XLOOKUP(J156,Lists!$AC$2:$AC$9,Lists!$AD$2:$AD$9,0),_xlfn.XLOOKUP(L156,Lists!$AC$2:$AC$9,Lists!$AD$2:$AD$9,0)))</f>
        <v>0</v>
      </c>
      <c r="T156" s="68">
        <f ca="1">IF($B156="","",SUM(_xlfn.XLOOKUP(C156,Lists!$P$2:$P$19,Lists!$W$2:$W$19,0),_xlfn.XLOOKUP(E156,Lists!$P$2:$P$19,Lists!$W$2:$W$19,0),_xlfn.XLOOKUP(G156,Lists!$P$2:$P$19,Lists!$W$2:$W$19,0),_xlfn.XLOOKUP(I156,Lists!$P$2:$P$19,Lists!$W$2:$W$19,0),_xlfn.XLOOKUP(K156,Lists!$P$2:$P$19,Lists!$W$2:$W$19,0)))</f>
        <v>0</v>
      </c>
      <c r="U156" s="68">
        <f ca="1">IF($B156="","",SUM(_xlfn.XLOOKUP(C156,Lists!$P$2:$P$19,Lists!$X$2:$X$19,0),_xlfn.XLOOKUP(E156,Lists!$P$2:$P$19,Lists!$X$2:$X$19,0),_xlfn.XLOOKUP(G156,Lists!$P$2:$P$19,Lists!$X$2:$X$19,0),_xlfn.XLOOKUP(I156,Lists!$P$2:$P$19,Lists!$X$2:$X$19,0),_xlfn.XLOOKUP(K156,Lists!$P$2:$P$19,Lists!$X$2:$X$19,0)))</f>
        <v>0</v>
      </c>
      <c r="V156" s="68">
        <f ca="1">IF($B156="","",SUM(_xlfn.XLOOKUP(C156,Lists!$P$2:$P$19,Lists!$Y$2:$Y$19,0),_xlfn.XLOOKUP(E156,Lists!$P$2:$P$19,Lists!$Y$2:$Y$19,0),_xlfn.XLOOKUP(G156,Lists!$P$2:$P$19,Lists!$Y$2:$Y$19,0),_xlfn.XLOOKUP(I156,Lists!$P$2:$P$19,Lists!$Y$2:$Y$19,0),_xlfn.XLOOKUP(K156,Lists!$P$2:$P$19,Lists!$Y$2:$Y$19,0)))</f>
        <v>0</v>
      </c>
      <c r="W156" s="68">
        <f ca="1">IF($B156="","",SUM(_xlfn.XLOOKUP(C156,Lists!$P$2:$P$19,Lists!$Z$2:$Z$19,0),_xlfn.XLOOKUP(E156,Lists!$P$2:$P$19,Lists!$Z$2:$Z$19,0),_xlfn.XLOOKUP(G156,Lists!$P$2:$P$19,Lists!$Z$2:$Z$19,0),_xlfn.XLOOKUP(I156,Lists!$P$2:$P$19,Lists!$Z$2:$Z$19,0),_xlfn.XLOOKUP(K156,Lists!$P$2:$P$19,Lists!$Z$2:$Z$19,0)))</f>
        <v>0</v>
      </c>
      <c r="X156" s="69">
        <f ca="1">IF($B156="","",SUM(_xlfn.XLOOKUP(C156,Lists!$P$2:$P$19,Lists!$AA$2:$AA$19,0),_xlfn.XLOOKUP(E156,Lists!$P$2:$P$19,Lists!$AA$2:$AA$19,0),_xlfn.XLOOKUP(G156,Lists!$P$2:$P$19,Lists!$AA$2:$AA$19,0),_xlfn.XLOOKUP(I156,Lists!$P$2:$P$19,Lists!$AA$2:$AA$19,0),_xlfn.XLOOKUP(K156,Lists!$P$2:$P$19,Lists!$AA$2:$AA$19,0)))</f>
        <v>0</v>
      </c>
      <c r="Y156" s="4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</row>
    <row r="157" spans="1:110">
      <c r="A157" s="168">
        <v>2</v>
      </c>
      <c r="B157" s="47" t="str">
        <f ca="1">Lineups!$C$48</f>
        <v>Brown Kritter</v>
      </c>
      <c r="C157" s="49" t="s">
        <v>182</v>
      </c>
      <c r="D157" s="49"/>
      <c r="E157" s="49" t="s">
        <v>185</v>
      </c>
      <c r="F157" s="49"/>
      <c r="G157" s="49"/>
      <c r="H157" s="50"/>
      <c r="I157" s="50"/>
      <c r="J157" s="50"/>
      <c r="K157" s="50"/>
      <c r="L157" s="50"/>
      <c r="M157" s="67">
        <f ca="1">IF($B157="","",SUM(_xlfn.XLOOKUP(C157,Lists!$P$2:$P$19,Lists!$R$2:$R$19,0),_xlfn.XLOOKUP(E157,Lists!$P$2:$P$19,Lists!$R$2:$R$19,0),_xlfn.XLOOKUP(G157,Lists!$P$2:$P$19,Lists!$R$2:$R$19,0),_xlfn.XLOOKUP(I157,Lists!$P$2:$P$19,Lists!$R$2:$R$19,0),_xlfn.XLOOKUP(K157,Lists!$P$2:$P$19,Lists!$R$2:$R$19,0)))</f>
        <v>1</v>
      </c>
      <c r="N157" s="68">
        <f ca="1">IF($B157="","",SUM(_xlfn.XLOOKUP(D157,Lists!$AC$2:$AC$9,Lists!$AE$2:$AE$9,0),_xlfn.XLOOKUP(F157,Lists!$AC$2:$AC$9,Lists!$AE$2:$AE$9,0),_xlfn.XLOOKUP(H157,Lists!$AC$2:$AC$9,Lists!$AE$2:$AE$9,0),_xlfn.XLOOKUP(J157,Lists!$AC$2:$AC$9,Lists!$AE$2:$AE$9,0),_xlfn.XLOOKUP(L157,Lists!$AC$2:$AC$9,Lists!$AE$2:$AE$9,0)))</f>
        <v>0</v>
      </c>
      <c r="O157" s="68">
        <f ca="1">IF($B157="","",SUM(_xlfn.XLOOKUP(C157,Lists!$P$2:$P$19,Lists!$S$2:$S$19,0),_xlfn.XLOOKUP(E157,Lists!$P$2:$P$19,Lists!$S$2:$S$19,0),_xlfn.XLOOKUP(G157,Lists!$P$2:$P$19,Lists!$S$2:$S$19,0),_xlfn.XLOOKUP(I157,Lists!$P$2:$P$19,Lists!$S$2:$S$19,0),_xlfn.XLOOKUP(K157,Lists!$P$2:$P$19,Lists!$S$2:$S$19,0)))</f>
        <v>0</v>
      </c>
      <c r="P157" s="68">
        <f ca="1">IF($B157="","",SUM(_xlfn.XLOOKUP(C157,Lists!$P$2:$P$19,Lists!$T$2:$T$19,0),_xlfn.XLOOKUP(E157,Lists!$P$2:$P$19,Lists!$T$2:$T$19,0),_xlfn.XLOOKUP(G157,Lists!$P$2:$P$19,Lists!$T$2:$T$19,0),_xlfn.XLOOKUP(I157,Lists!$P$2:$P$19,Lists!$T$2:$T$19,0),_xlfn.XLOOKUP(K157,Lists!$P$2:$P$19,Lists!$T$2:$T$19,0)))</f>
        <v>0</v>
      </c>
      <c r="Q157" s="68">
        <f ca="1">IF($B157="","",SUM(_xlfn.XLOOKUP(C157,Lists!$P$2:$P$19,Lists!$U$2:$U$19,0),_xlfn.XLOOKUP(E157,Lists!$P$2:$P$19,Lists!$U$2:$U$19,0),_xlfn.XLOOKUP(G157,Lists!$P$2:$P$19,Lists!$U$2:$U$19,0),_xlfn.XLOOKUP(I157,Lists!$P$2:$P$19,Lists!$U$2:$U$19,0),_xlfn.XLOOKUP(K157,Lists!$P$2:$P$19,Lists!$U$2:$U$19,0)))</f>
        <v>0</v>
      </c>
      <c r="R157" s="68">
        <f ca="1">IF($B157="","",SUM(_xlfn.XLOOKUP(C157,Lists!$P$2:$P$19,Lists!$V$2:$V$19,0),_xlfn.XLOOKUP(E157,Lists!$P$2:$P$19,Lists!$V$2:$V$19,0),_xlfn.XLOOKUP(G157,Lists!$P$2:$P$19,Lists!$V$2:$V$19,0),_xlfn.XLOOKUP(I157,Lists!$P$2:$P$19,Lists!$V$2:$V$19,0),_xlfn.XLOOKUP(K157,Lists!$P$2:$P$19,Lists!$V$2:$V$19,0)))</f>
        <v>0</v>
      </c>
      <c r="S157" s="68">
        <f ca="1">IF($B157="","",SUM(_xlfn.XLOOKUP(D157,Lists!$AC$2:$AC$9,Lists!$AD$2:$AD$9,0),_xlfn.XLOOKUP(F157,Lists!$AC$2:$AC$9,Lists!$AD$2:$AD$9,0),_xlfn.XLOOKUP(H157,Lists!$AC$2:$AC$9,Lists!$AD$2:$AD$9,0),_xlfn.XLOOKUP(J157,Lists!$AC$2:$AC$9,Lists!$AD$2:$AD$9,0),_xlfn.XLOOKUP(L157,Lists!$AC$2:$AC$9,Lists!$AD$2:$AD$9,0)))</f>
        <v>0</v>
      </c>
      <c r="T157" s="68">
        <f ca="1">IF($B157="","",SUM(_xlfn.XLOOKUP(C157,Lists!$P$2:$P$19,Lists!$W$2:$W$19,0),_xlfn.XLOOKUP(E157,Lists!$P$2:$P$19,Lists!$W$2:$W$19,0),_xlfn.XLOOKUP(G157,Lists!$P$2:$P$19,Lists!$W$2:$W$19,0),_xlfn.XLOOKUP(I157,Lists!$P$2:$P$19,Lists!$W$2:$W$19,0),_xlfn.XLOOKUP(K157,Lists!$P$2:$P$19,Lists!$W$2:$W$19,0)))</f>
        <v>0</v>
      </c>
      <c r="U157" s="68">
        <f ca="1">IF($B157="","",SUM(_xlfn.XLOOKUP(C157,Lists!$P$2:$P$19,Lists!$X$2:$X$19,0),_xlfn.XLOOKUP(E157,Lists!$P$2:$P$19,Lists!$X$2:$X$19,0),_xlfn.XLOOKUP(G157,Lists!$P$2:$P$19,Lists!$X$2:$X$19,0),_xlfn.XLOOKUP(I157,Lists!$P$2:$P$19,Lists!$X$2:$X$19,0),_xlfn.XLOOKUP(K157,Lists!$P$2:$P$19,Lists!$X$2:$X$19,0)))</f>
        <v>1</v>
      </c>
      <c r="V157" s="68">
        <f ca="1">IF($B157="","",SUM(_xlfn.XLOOKUP(C157,Lists!$P$2:$P$19,Lists!$Y$2:$Y$19,0),_xlfn.XLOOKUP(E157,Lists!$P$2:$P$19,Lists!$Y$2:$Y$19,0),_xlfn.XLOOKUP(G157,Lists!$P$2:$P$19,Lists!$Y$2:$Y$19,0),_xlfn.XLOOKUP(I157,Lists!$P$2:$P$19,Lists!$Y$2:$Y$19,0),_xlfn.XLOOKUP(K157,Lists!$P$2:$P$19,Lists!$Y$2:$Y$19,0)))</f>
        <v>1</v>
      </c>
      <c r="W157" s="68">
        <f ca="1">IF($B157="","",SUM(_xlfn.XLOOKUP(C157,Lists!$P$2:$P$19,Lists!$Z$2:$Z$19,0),_xlfn.XLOOKUP(E157,Lists!$P$2:$P$19,Lists!$Z$2:$Z$19,0),_xlfn.XLOOKUP(G157,Lists!$P$2:$P$19,Lists!$Z$2:$Z$19,0),_xlfn.XLOOKUP(I157,Lists!$P$2:$P$19,Lists!$Z$2:$Z$19,0),_xlfn.XLOOKUP(K157,Lists!$P$2:$P$19,Lists!$Z$2:$Z$19,0)))</f>
        <v>0</v>
      </c>
      <c r="X157" s="69">
        <f ca="1">IF($B157="","",SUM(_xlfn.XLOOKUP(C157,Lists!$P$2:$P$19,Lists!$AA$2:$AA$19,0),_xlfn.XLOOKUP(E157,Lists!$P$2:$P$19,Lists!$AA$2:$AA$19,0),_xlfn.XLOOKUP(G157,Lists!$P$2:$P$19,Lists!$AA$2:$AA$19,0),_xlfn.XLOOKUP(I157,Lists!$P$2:$P$19,Lists!$AA$2:$AA$19,0),_xlfn.XLOOKUP(K157,Lists!$P$2:$P$19,Lists!$AA$2:$AA$19,0)))</f>
        <v>0</v>
      </c>
      <c r="Y157" s="49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</row>
    <row r="158" spans="1:110">
      <c r="A158" s="168">
        <v>3</v>
      </c>
      <c r="B158" s="47" t="str">
        <f ca="1">Lineups!$C$49</f>
        <v>Bowser</v>
      </c>
      <c r="C158" s="49" t="s">
        <v>207</v>
      </c>
      <c r="D158" s="49" t="s">
        <v>187</v>
      </c>
      <c r="E158" s="49" t="s">
        <v>178</v>
      </c>
      <c r="F158" s="49" t="s">
        <v>190</v>
      </c>
      <c r="G158" s="49"/>
      <c r="H158" s="50"/>
      <c r="I158" s="50"/>
      <c r="J158" s="50"/>
      <c r="K158" s="50"/>
      <c r="L158" s="50"/>
      <c r="M158" s="67">
        <f ca="1">IF($B158="","",SUM(_xlfn.XLOOKUP(C158,Lists!$P$2:$P$19,Lists!$R$2:$R$19,0),_xlfn.XLOOKUP(E158,Lists!$P$2:$P$19,Lists!$R$2:$R$19,0),_xlfn.XLOOKUP(G158,Lists!$P$2:$P$19,Lists!$R$2:$R$19,0),_xlfn.XLOOKUP(I158,Lists!$P$2:$P$19,Lists!$R$2:$R$19,0),_xlfn.XLOOKUP(K158,Lists!$P$2:$P$19,Lists!$R$2:$R$19,0)))</f>
        <v>2</v>
      </c>
      <c r="N158" s="68">
        <f ca="1">IF($B158="","",SUM(_xlfn.XLOOKUP(D158,Lists!$AC$2:$AC$9,Lists!$AE$2:$AE$9,0),_xlfn.XLOOKUP(F158,Lists!$AC$2:$AC$9,Lists!$AE$2:$AE$9,0),_xlfn.XLOOKUP(H158,Lists!$AC$2:$AC$9,Lists!$AE$2:$AE$9,0),_xlfn.XLOOKUP(J158,Lists!$AC$2:$AC$9,Lists!$AE$2:$AE$9,0),_xlfn.XLOOKUP(L158,Lists!$AC$2:$AC$9,Lists!$AE$2:$AE$9,0)))</f>
        <v>2</v>
      </c>
      <c r="O158" s="68">
        <f ca="1">IF($B158="","",SUM(_xlfn.XLOOKUP(C158,Lists!$P$2:$P$19,Lists!$S$2:$S$19,0),_xlfn.XLOOKUP(E158,Lists!$P$2:$P$19,Lists!$S$2:$S$19,0),_xlfn.XLOOKUP(G158,Lists!$P$2:$P$19,Lists!$S$2:$S$19,0),_xlfn.XLOOKUP(I158,Lists!$P$2:$P$19,Lists!$S$2:$S$19,0),_xlfn.XLOOKUP(K158,Lists!$P$2:$P$19,Lists!$S$2:$S$19,0)))</f>
        <v>1</v>
      </c>
      <c r="P158" s="68">
        <f ca="1">IF($B158="","",SUM(_xlfn.XLOOKUP(C158,Lists!$P$2:$P$19,Lists!$T$2:$T$19,0),_xlfn.XLOOKUP(E158,Lists!$P$2:$P$19,Lists!$T$2:$T$19,0),_xlfn.XLOOKUP(G158,Lists!$P$2:$P$19,Lists!$T$2:$T$19,0),_xlfn.XLOOKUP(I158,Lists!$P$2:$P$19,Lists!$T$2:$T$19,0),_xlfn.XLOOKUP(K158,Lists!$P$2:$P$19,Lists!$T$2:$T$19,0)))</f>
        <v>0</v>
      </c>
      <c r="Q158" s="68">
        <f ca="1">IF($B158="","",SUM(_xlfn.XLOOKUP(C158,Lists!$P$2:$P$19,Lists!$U$2:$U$19,0),_xlfn.XLOOKUP(E158,Lists!$P$2:$P$19,Lists!$U$2:$U$19,0),_xlfn.XLOOKUP(G158,Lists!$P$2:$P$19,Lists!$U$2:$U$19,0),_xlfn.XLOOKUP(I158,Lists!$P$2:$P$19,Lists!$U$2:$U$19,0),_xlfn.XLOOKUP(K158,Lists!$P$2:$P$19,Lists!$U$2:$U$19,0)))</f>
        <v>0</v>
      </c>
      <c r="R158" s="68">
        <f ca="1">IF($B158="","",SUM(_xlfn.XLOOKUP(C158,Lists!$P$2:$P$19,Lists!$V$2:$V$19,0),_xlfn.XLOOKUP(E158,Lists!$P$2:$P$19,Lists!$V$2:$V$19,0),_xlfn.XLOOKUP(G158,Lists!$P$2:$P$19,Lists!$V$2:$V$19,0),_xlfn.XLOOKUP(I158,Lists!$P$2:$P$19,Lists!$V$2:$V$19,0),_xlfn.XLOOKUP(K158,Lists!$P$2:$P$19,Lists!$V$2:$V$19,0)))</f>
        <v>1</v>
      </c>
      <c r="S158" s="68">
        <f ca="1">IF($B158="","",SUM(_xlfn.XLOOKUP(D158,Lists!$AC$2:$AC$9,Lists!$AD$2:$AD$9,0),_xlfn.XLOOKUP(F158,Lists!$AC$2:$AC$9,Lists!$AD$2:$AD$9,0),_xlfn.XLOOKUP(H158,Lists!$AC$2:$AC$9,Lists!$AD$2:$AD$9,0),_xlfn.XLOOKUP(J158,Lists!$AC$2:$AC$9,Lists!$AD$2:$AD$9,0),_xlfn.XLOOKUP(L158,Lists!$AC$2:$AC$9,Lists!$AD$2:$AD$9,0)))</f>
        <v>1</v>
      </c>
      <c r="T158" s="68">
        <f ca="1">IF($B158="","",SUM(_xlfn.XLOOKUP(C158,Lists!$P$2:$P$19,Lists!$W$2:$W$19,0),_xlfn.XLOOKUP(E158,Lists!$P$2:$P$19,Lists!$W$2:$W$19,0),_xlfn.XLOOKUP(G158,Lists!$P$2:$P$19,Lists!$W$2:$W$19,0),_xlfn.XLOOKUP(I158,Lists!$P$2:$P$19,Lists!$W$2:$W$19,0),_xlfn.XLOOKUP(K158,Lists!$P$2:$P$19,Lists!$W$2:$W$19,0)))</f>
        <v>0</v>
      </c>
      <c r="U158" s="68">
        <f ca="1">IF($B158="","",SUM(_xlfn.XLOOKUP(C158,Lists!$P$2:$P$19,Lists!$X$2:$X$19,0),_xlfn.XLOOKUP(E158,Lists!$P$2:$P$19,Lists!$X$2:$X$19,0),_xlfn.XLOOKUP(G158,Lists!$P$2:$P$19,Lists!$X$2:$X$19,0),_xlfn.XLOOKUP(I158,Lists!$P$2:$P$19,Lists!$X$2:$X$19,0),_xlfn.XLOOKUP(K158,Lists!$P$2:$P$19,Lists!$X$2:$X$19,0)))</f>
        <v>0</v>
      </c>
      <c r="V158" s="68">
        <f ca="1">IF($B158="","",SUM(_xlfn.XLOOKUP(C158,Lists!$P$2:$P$19,Lists!$Y$2:$Y$19,0),_xlfn.XLOOKUP(E158,Lists!$P$2:$P$19,Lists!$Y$2:$Y$19,0),_xlfn.XLOOKUP(G158,Lists!$P$2:$P$19,Lists!$Y$2:$Y$19,0),_xlfn.XLOOKUP(I158,Lists!$P$2:$P$19,Lists!$Y$2:$Y$19,0),_xlfn.XLOOKUP(K158,Lists!$P$2:$P$19,Lists!$Y$2:$Y$19,0)))</f>
        <v>0</v>
      </c>
      <c r="W158" s="68">
        <f ca="1">IF($B158="","",SUM(_xlfn.XLOOKUP(C158,Lists!$P$2:$P$19,Lists!$Z$2:$Z$19,0),_xlfn.XLOOKUP(E158,Lists!$P$2:$P$19,Lists!$Z$2:$Z$19,0),_xlfn.XLOOKUP(G158,Lists!$P$2:$P$19,Lists!$Z$2:$Z$19,0),_xlfn.XLOOKUP(I158,Lists!$P$2:$P$19,Lists!$Z$2:$Z$19,0),_xlfn.XLOOKUP(K158,Lists!$P$2:$P$19,Lists!$Z$2:$Z$19,0)))</f>
        <v>0</v>
      </c>
      <c r="X158" s="69">
        <f ca="1">IF($B158="","",SUM(_xlfn.XLOOKUP(C158,Lists!$P$2:$P$19,Lists!$AA$2:$AA$19,0),_xlfn.XLOOKUP(E158,Lists!$P$2:$P$19,Lists!$AA$2:$AA$19,0),_xlfn.XLOOKUP(G158,Lists!$P$2:$P$19,Lists!$AA$2:$AA$19,0),_xlfn.XLOOKUP(I158,Lists!$P$2:$P$19,Lists!$AA$2:$AA$19,0),_xlfn.XLOOKUP(K158,Lists!$P$2:$P$19,Lists!$AA$2:$AA$19,0)))</f>
        <v>0</v>
      </c>
      <c r="Y158" s="49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</row>
    <row r="159" spans="1:110">
      <c r="A159" s="168">
        <v>4</v>
      </c>
      <c r="B159" s="47" t="str">
        <f ca="1">Lineups!$C$50</f>
        <v>King K. Rool</v>
      </c>
      <c r="C159" s="49" t="s">
        <v>178</v>
      </c>
      <c r="D159" s="49" t="s">
        <v>190</v>
      </c>
      <c r="E159" s="49" t="s">
        <v>185</v>
      </c>
      <c r="F159" s="49"/>
      <c r="G159" s="49"/>
      <c r="H159" s="50"/>
      <c r="I159" s="50"/>
      <c r="J159" s="50"/>
      <c r="K159" s="50"/>
      <c r="L159" s="50"/>
      <c r="M159" s="67">
        <f ca="1">IF($B159="","",SUM(_xlfn.XLOOKUP(C159,Lists!$P$2:$P$19,Lists!$R$2:$R$19,0),_xlfn.XLOOKUP(E159,Lists!$P$2:$P$19,Lists!$R$2:$R$19,0),_xlfn.XLOOKUP(G159,Lists!$P$2:$P$19,Lists!$R$2:$R$19,0),_xlfn.XLOOKUP(I159,Lists!$P$2:$P$19,Lists!$R$2:$R$19,0),_xlfn.XLOOKUP(K159,Lists!$P$2:$P$19,Lists!$R$2:$R$19,0)))</f>
        <v>2</v>
      </c>
      <c r="N159" s="68">
        <f ca="1">IF($B159="","",SUM(_xlfn.XLOOKUP(D159,Lists!$AC$2:$AC$9,Lists!$AE$2:$AE$9,0),_xlfn.XLOOKUP(F159,Lists!$AC$2:$AC$9,Lists!$AE$2:$AE$9,0),_xlfn.XLOOKUP(H159,Lists!$AC$2:$AC$9,Lists!$AE$2:$AE$9,0),_xlfn.XLOOKUP(J159,Lists!$AC$2:$AC$9,Lists!$AE$2:$AE$9,0),_xlfn.XLOOKUP(L159,Lists!$AC$2:$AC$9,Lists!$AE$2:$AE$9,0)))</f>
        <v>1</v>
      </c>
      <c r="O159" s="68">
        <f ca="1">IF($B159="","",SUM(_xlfn.XLOOKUP(C159,Lists!$P$2:$P$19,Lists!$S$2:$S$19,0),_xlfn.XLOOKUP(E159,Lists!$P$2:$P$19,Lists!$S$2:$S$19,0),_xlfn.XLOOKUP(G159,Lists!$P$2:$P$19,Lists!$S$2:$S$19,0),_xlfn.XLOOKUP(I159,Lists!$P$2:$P$19,Lists!$S$2:$S$19,0),_xlfn.XLOOKUP(K159,Lists!$P$2:$P$19,Lists!$S$2:$S$19,0)))</f>
        <v>1</v>
      </c>
      <c r="P159" s="68">
        <f ca="1">IF($B159="","",SUM(_xlfn.XLOOKUP(C159,Lists!$P$2:$P$19,Lists!$T$2:$T$19,0),_xlfn.XLOOKUP(E159,Lists!$P$2:$P$19,Lists!$T$2:$T$19,0),_xlfn.XLOOKUP(G159,Lists!$P$2:$P$19,Lists!$T$2:$T$19,0),_xlfn.XLOOKUP(I159,Lists!$P$2:$P$19,Lists!$T$2:$T$19,0),_xlfn.XLOOKUP(K159,Lists!$P$2:$P$19,Lists!$T$2:$T$19,0)))</f>
        <v>0</v>
      </c>
      <c r="Q159" s="68">
        <f ca="1">IF($B159="","",SUM(_xlfn.XLOOKUP(C159,Lists!$P$2:$P$19,Lists!$U$2:$U$19,0),_xlfn.XLOOKUP(E159,Lists!$P$2:$P$19,Lists!$U$2:$U$19,0),_xlfn.XLOOKUP(G159,Lists!$P$2:$P$19,Lists!$U$2:$U$19,0),_xlfn.XLOOKUP(I159,Lists!$P$2:$P$19,Lists!$U$2:$U$19,0),_xlfn.XLOOKUP(K159,Lists!$P$2:$P$19,Lists!$U$2:$U$19,0)))</f>
        <v>0</v>
      </c>
      <c r="R159" s="68">
        <f ca="1">IF($B159="","",SUM(_xlfn.XLOOKUP(C159,Lists!$P$2:$P$19,Lists!$V$2:$V$19,0),_xlfn.XLOOKUP(E159,Lists!$P$2:$P$19,Lists!$V$2:$V$19,0),_xlfn.XLOOKUP(G159,Lists!$P$2:$P$19,Lists!$V$2:$V$19,0),_xlfn.XLOOKUP(I159,Lists!$P$2:$P$19,Lists!$V$2:$V$19,0),_xlfn.XLOOKUP(K159,Lists!$P$2:$P$19,Lists!$V$2:$V$19,0)))</f>
        <v>1</v>
      </c>
      <c r="S159" s="68">
        <f ca="1">IF($B159="","",SUM(_xlfn.XLOOKUP(D159,Lists!$AC$2:$AC$9,Lists!$AD$2:$AD$9,0),_xlfn.XLOOKUP(F159,Lists!$AC$2:$AC$9,Lists!$AD$2:$AD$9,0),_xlfn.XLOOKUP(H159,Lists!$AC$2:$AC$9,Lists!$AD$2:$AD$9,0),_xlfn.XLOOKUP(J159,Lists!$AC$2:$AC$9,Lists!$AD$2:$AD$9,0),_xlfn.XLOOKUP(L159,Lists!$AC$2:$AC$9,Lists!$AD$2:$AD$9,0)))</f>
        <v>1</v>
      </c>
      <c r="T159" s="68">
        <f ca="1">IF($B159="","",SUM(_xlfn.XLOOKUP(C159,Lists!$P$2:$P$19,Lists!$W$2:$W$19,0),_xlfn.XLOOKUP(E159,Lists!$P$2:$P$19,Lists!$W$2:$W$19,0),_xlfn.XLOOKUP(G159,Lists!$P$2:$P$19,Lists!$W$2:$W$19,0),_xlfn.XLOOKUP(I159,Lists!$P$2:$P$19,Lists!$W$2:$W$19,0),_xlfn.XLOOKUP(K159,Lists!$P$2:$P$19,Lists!$W$2:$W$19,0)))</f>
        <v>0</v>
      </c>
      <c r="U159" s="68">
        <f ca="1">IF($B159="","",SUM(_xlfn.XLOOKUP(C159,Lists!$P$2:$P$19,Lists!$X$2:$X$19,0),_xlfn.XLOOKUP(E159,Lists!$P$2:$P$19,Lists!$X$2:$X$19,0),_xlfn.XLOOKUP(G159,Lists!$P$2:$P$19,Lists!$X$2:$X$19,0),_xlfn.XLOOKUP(I159,Lists!$P$2:$P$19,Lists!$X$2:$X$19,0),_xlfn.XLOOKUP(K159,Lists!$P$2:$P$19,Lists!$X$2:$X$19,0)))</f>
        <v>1</v>
      </c>
      <c r="V159" s="68">
        <f ca="1">IF($B159="","",SUM(_xlfn.XLOOKUP(C159,Lists!$P$2:$P$19,Lists!$Y$2:$Y$19,0),_xlfn.XLOOKUP(E159,Lists!$P$2:$P$19,Lists!$Y$2:$Y$19,0),_xlfn.XLOOKUP(G159,Lists!$P$2:$P$19,Lists!$Y$2:$Y$19,0),_xlfn.XLOOKUP(I159,Lists!$P$2:$P$19,Lists!$Y$2:$Y$19,0),_xlfn.XLOOKUP(K159,Lists!$P$2:$P$19,Lists!$Y$2:$Y$19,0)))</f>
        <v>0</v>
      </c>
      <c r="W159" s="68">
        <f ca="1">IF($B159="","",SUM(_xlfn.XLOOKUP(C159,Lists!$P$2:$P$19,Lists!$Z$2:$Z$19,0),_xlfn.XLOOKUP(E159,Lists!$P$2:$P$19,Lists!$Z$2:$Z$19,0),_xlfn.XLOOKUP(G159,Lists!$P$2:$P$19,Lists!$Z$2:$Z$19,0),_xlfn.XLOOKUP(I159,Lists!$P$2:$P$19,Lists!$Z$2:$Z$19,0),_xlfn.XLOOKUP(K159,Lists!$P$2:$P$19,Lists!$Z$2:$Z$19,0)))</f>
        <v>0</v>
      </c>
      <c r="X159" s="69">
        <f ca="1">IF($B159="","",SUM(_xlfn.XLOOKUP(C159,Lists!$P$2:$P$19,Lists!$AA$2:$AA$19,0),_xlfn.XLOOKUP(E159,Lists!$P$2:$P$19,Lists!$AA$2:$AA$19,0),_xlfn.XLOOKUP(G159,Lists!$P$2:$P$19,Lists!$AA$2:$AA$19,0),_xlfn.XLOOKUP(I159,Lists!$P$2:$P$19,Lists!$AA$2:$AA$19,0),_xlfn.XLOOKUP(K159,Lists!$P$2:$P$19,Lists!$AA$2:$AA$19,0)))</f>
        <v>0</v>
      </c>
      <c r="Y159" s="49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</row>
    <row r="160" spans="1:110">
      <c r="A160" s="168">
        <v>5</v>
      </c>
      <c r="B160" s="47" t="str">
        <f ca="1">Lineups!$C$51</f>
        <v>Yellow Toad</v>
      </c>
      <c r="C160" s="49" t="s">
        <v>185</v>
      </c>
      <c r="D160" s="49"/>
      <c r="E160" s="49" t="s">
        <v>193</v>
      </c>
      <c r="F160" s="49"/>
      <c r="G160" s="49"/>
      <c r="H160" s="50"/>
      <c r="I160" s="50"/>
      <c r="J160" s="50"/>
      <c r="K160" s="50"/>
      <c r="L160" s="50"/>
      <c r="M160" s="67">
        <f ca="1">IF($B160="","",SUM(_xlfn.XLOOKUP(C160,Lists!$P$2:$P$19,Lists!$R$2:$R$19,0),_xlfn.XLOOKUP(E160,Lists!$P$2:$P$19,Lists!$R$2:$R$19,0),_xlfn.XLOOKUP(G160,Lists!$P$2:$P$19,Lists!$R$2:$R$19,0),_xlfn.XLOOKUP(I160,Lists!$P$2:$P$19,Lists!$R$2:$R$19,0),_xlfn.XLOOKUP(K160,Lists!$P$2:$P$19,Lists!$R$2:$R$19,0)))</f>
        <v>2</v>
      </c>
      <c r="N160" s="68">
        <f ca="1">IF($B160="","",SUM(_xlfn.XLOOKUP(D160,Lists!$AC$2:$AC$9,Lists!$AE$2:$AE$9,0),_xlfn.XLOOKUP(F160,Lists!$AC$2:$AC$9,Lists!$AE$2:$AE$9,0),_xlfn.XLOOKUP(H160,Lists!$AC$2:$AC$9,Lists!$AE$2:$AE$9,0),_xlfn.XLOOKUP(J160,Lists!$AC$2:$AC$9,Lists!$AE$2:$AE$9,0),_xlfn.XLOOKUP(L160,Lists!$AC$2:$AC$9,Lists!$AE$2:$AE$9,0)))</f>
        <v>0</v>
      </c>
      <c r="O160" s="68">
        <f ca="1">IF($B160="","",SUM(_xlfn.XLOOKUP(C160,Lists!$P$2:$P$19,Lists!$S$2:$S$19,0),_xlfn.XLOOKUP(E160,Lists!$P$2:$P$19,Lists!$S$2:$S$19,0),_xlfn.XLOOKUP(G160,Lists!$P$2:$P$19,Lists!$S$2:$S$19,0),_xlfn.XLOOKUP(I160,Lists!$P$2:$P$19,Lists!$S$2:$S$19,0),_xlfn.XLOOKUP(K160,Lists!$P$2:$P$19,Lists!$S$2:$S$19,0)))</f>
        <v>0</v>
      </c>
      <c r="P160" s="68">
        <f ca="1">IF($B160="","",SUM(_xlfn.XLOOKUP(C160,Lists!$P$2:$P$19,Lists!$T$2:$T$19,0),_xlfn.XLOOKUP(E160,Lists!$P$2:$P$19,Lists!$T$2:$T$19,0),_xlfn.XLOOKUP(G160,Lists!$P$2:$P$19,Lists!$T$2:$T$19,0),_xlfn.XLOOKUP(I160,Lists!$P$2:$P$19,Lists!$T$2:$T$19,0),_xlfn.XLOOKUP(K160,Lists!$P$2:$P$19,Lists!$T$2:$T$19,0)))</f>
        <v>0</v>
      </c>
      <c r="Q160" s="68">
        <f ca="1">IF($B160="","",SUM(_xlfn.XLOOKUP(C160,Lists!$P$2:$P$19,Lists!$U$2:$U$19,0),_xlfn.XLOOKUP(E160,Lists!$P$2:$P$19,Lists!$U$2:$U$19,0),_xlfn.XLOOKUP(G160,Lists!$P$2:$P$19,Lists!$U$2:$U$19,0),_xlfn.XLOOKUP(I160,Lists!$P$2:$P$19,Lists!$U$2:$U$19,0),_xlfn.XLOOKUP(K160,Lists!$P$2:$P$19,Lists!$U$2:$U$19,0)))</f>
        <v>0</v>
      </c>
      <c r="R160" s="68">
        <f ca="1">IF($B160="","",SUM(_xlfn.XLOOKUP(C160,Lists!$P$2:$P$19,Lists!$V$2:$V$19,0),_xlfn.XLOOKUP(E160,Lists!$P$2:$P$19,Lists!$V$2:$V$19,0),_xlfn.XLOOKUP(G160,Lists!$P$2:$P$19,Lists!$V$2:$V$19,0),_xlfn.XLOOKUP(I160,Lists!$P$2:$P$19,Lists!$V$2:$V$19,0),_xlfn.XLOOKUP(K160,Lists!$P$2:$P$19,Lists!$V$2:$V$19,0)))</f>
        <v>0</v>
      </c>
      <c r="S160" s="68">
        <f ca="1">IF($B160="","",SUM(_xlfn.XLOOKUP(D160,Lists!$AC$2:$AC$9,Lists!$AD$2:$AD$9,0),_xlfn.XLOOKUP(F160,Lists!$AC$2:$AC$9,Lists!$AD$2:$AD$9,0),_xlfn.XLOOKUP(H160,Lists!$AC$2:$AC$9,Lists!$AD$2:$AD$9,0),_xlfn.XLOOKUP(J160,Lists!$AC$2:$AC$9,Lists!$AD$2:$AD$9,0),_xlfn.XLOOKUP(L160,Lists!$AC$2:$AC$9,Lists!$AD$2:$AD$9,0)))</f>
        <v>0</v>
      </c>
      <c r="T160" s="68">
        <f ca="1">IF($B160="","",SUM(_xlfn.XLOOKUP(C160,Lists!$P$2:$P$19,Lists!$W$2:$W$19,0),_xlfn.XLOOKUP(E160,Lists!$P$2:$P$19,Lists!$W$2:$W$19,0),_xlfn.XLOOKUP(G160,Lists!$P$2:$P$19,Lists!$W$2:$W$19,0),_xlfn.XLOOKUP(I160,Lists!$P$2:$P$19,Lists!$W$2:$W$19,0),_xlfn.XLOOKUP(K160,Lists!$P$2:$P$19,Lists!$W$2:$W$19,0)))</f>
        <v>0</v>
      </c>
      <c r="U160" s="68">
        <f ca="1">IF($B160="","",SUM(_xlfn.XLOOKUP(C160,Lists!$P$2:$P$19,Lists!$X$2:$X$19,0),_xlfn.XLOOKUP(E160,Lists!$P$2:$P$19,Lists!$X$2:$X$19,0),_xlfn.XLOOKUP(G160,Lists!$P$2:$P$19,Lists!$X$2:$X$19,0),_xlfn.XLOOKUP(I160,Lists!$P$2:$P$19,Lists!$X$2:$X$19,0),_xlfn.XLOOKUP(K160,Lists!$P$2:$P$19,Lists!$X$2:$X$19,0)))</f>
        <v>1</v>
      </c>
      <c r="V160" s="68">
        <f ca="1">IF($B160="","",SUM(_xlfn.XLOOKUP(C160,Lists!$P$2:$P$19,Lists!$Y$2:$Y$19,0),_xlfn.XLOOKUP(E160,Lists!$P$2:$P$19,Lists!$Y$2:$Y$19,0),_xlfn.XLOOKUP(G160,Lists!$P$2:$P$19,Lists!$Y$2:$Y$19,0),_xlfn.XLOOKUP(I160,Lists!$P$2:$P$19,Lists!$Y$2:$Y$19,0),_xlfn.XLOOKUP(K160,Lists!$P$2:$P$19,Lists!$Y$2:$Y$19,0)))</f>
        <v>0</v>
      </c>
      <c r="W160" s="68">
        <f ca="1">IF($B160="","",SUM(_xlfn.XLOOKUP(C160,Lists!$P$2:$P$19,Lists!$Z$2:$Z$19,0),_xlfn.XLOOKUP(E160,Lists!$P$2:$P$19,Lists!$Z$2:$Z$19,0),_xlfn.XLOOKUP(G160,Lists!$P$2:$P$19,Lists!$Z$2:$Z$19,0),_xlfn.XLOOKUP(I160,Lists!$P$2:$P$19,Lists!$Z$2:$Z$19,0),_xlfn.XLOOKUP(K160,Lists!$P$2:$P$19,Lists!$Z$2:$Z$19,0)))</f>
        <v>0</v>
      </c>
      <c r="X160" s="69">
        <f ca="1">IF($B160="","",SUM(_xlfn.XLOOKUP(C160,Lists!$P$2:$P$19,Lists!$AA$2:$AA$19,0),_xlfn.XLOOKUP(E160,Lists!$P$2:$P$19,Lists!$AA$2:$AA$19,0),_xlfn.XLOOKUP(G160,Lists!$P$2:$P$19,Lists!$AA$2:$AA$19,0),_xlfn.XLOOKUP(I160,Lists!$P$2:$P$19,Lists!$AA$2:$AA$19,0),_xlfn.XLOOKUP(K160,Lists!$P$2:$P$19,Lists!$AA$2:$AA$19,0)))</f>
        <v>0</v>
      </c>
      <c r="Y160" s="49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</row>
    <row r="161" spans="1:110">
      <c r="A161" s="168">
        <v>6</v>
      </c>
      <c r="B161" s="47" t="str">
        <f ca="1">Lineups!$C$52</f>
        <v>Blooper</v>
      </c>
      <c r="C161" s="49" t="s">
        <v>178</v>
      </c>
      <c r="D161" s="49" t="s">
        <v>190</v>
      </c>
      <c r="E161" s="49" t="s">
        <v>178</v>
      </c>
      <c r="F161" s="49" t="s">
        <v>190</v>
      </c>
      <c r="G161" s="49"/>
      <c r="H161" s="50"/>
      <c r="I161" s="50"/>
      <c r="J161" s="50"/>
      <c r="K161" s="50"/>
      <c r="L161" s="50"/>
      <c r="M161" s="67">
        <f ca="1">IF($B161="","",SUM(_xlfn.XLOOKUP(C161,Lists!$P$2:$P$19,Lists!$R$2:$R$19,0),_xlfn.XLOOKUP(E161,Lists!$P$2:$P$19,Lists!$R$2:$R$19,0),_xlfn.XLOOKUP(G161,Lists!$P$2:$P$19,Lists!$R$2:$R$19,0),_xlfn.XLOOKUP(I161,Lists!$P$2:$P$19,Lists!$R$2:$R$19,0),_xlfn.XLOOKUP(K161,Lists!$P$2:$P$19,Lists!$R$2:$R$19,0)))</f>
        <v>2</v>
      </c>
      <c r="N161" s="68">
        <f ca="1">IF($B161="","",SUM(_xlfn.XLOOKUP(D161,Lists!$AC$2:$AC$9,Lists!$AE$2:$AE$9,0),_xlfn.XLOOKUP(F161,Lists!$AC$2:$AC$9,Lists!$AE$2:$AE$9,0),_xlfn.XLOOKUP(H161,Lists!$AC$2:$AC$9,Lists!$AE$2:$AE$9,0),_xlfn.XLOOKUP(J161,Lists!$AC$2:$AC$9,Lists!$AE$2:$AE$9,0),_xlfn.XLOOKUP(L161,Lists!$AC$2:$AC$9,Lists!$AE$2:$AE$9,0)))</f>
        <v>2</v>
      </c>
      <c r="O161" s="68">
        <f ca="1">IF($B161="","",SUM(_xlfn.XLOOKUP(C161,Lists!$P$2:$P$19,Lists!$S$2:$S$19,0),_xlfn.XLOOKUP(E161,Lists!$P$2:$P$19,Lists!$S$2:$S$19,0),_xlfn.XLOOKUP(G161,Lists!$P$2:$P$19,Lists!$S$2:$S$19,0),_xlfn.XLOOKUP(I161,Lists!$P$2:$P$19,Lists!$S$2:$S$19,0),_xlfn.XLOOKUP(K161,Lists!$P$2:$P$19,Lists!$S$2:$S$19,0)))</f>
        <v>2</v>
      </c>
      <c r="P161" s="68">
        <f ca="1">IF($B161="","",SUM(_xlfn.XLOOKUP(C161,Lists!$P$2:$P$19,Lists!$T$2:$T$19,0),_xlfn.XLOOKUP(E161,Lists!$P$2:$P$19,Lists!$T$2:$T$19,0),_xlfn.XLOOKUP(G161,Lists!$P$2:$P$19,Lists!$T$2:$T$19,0),_xlfn.XLOOKUP(I161,Lists!$P$2:$P$19,Lists!$T$2:$T$19,0),_xlfn.XLOOKUP(K161,Lists!$P$2:$P$19,Lists!$T$2:$T$19,0)))</f>
        <v>0</v>
      </c>
      <c r="Q161" s="68">
        <f ca="1">IF($B161="","",SUM(_xlfn.XLOOKUP(C161,Lists!$P$2:$P$19,Lists!$U$2:$U$19,0),_xlfn.XLOOKUP(E161,Lists!$P$2:$P$19,Lists!$U$2:$U$19,0),_xlfn.XLOOKUP(G161,Lists!$P$2:$P$19,Lists!$U$2:$U$19,0),_xlfn.XLOOKUP(I161,Lists!$P$2:$P$19,Lists!$U$2:$U$19,0),_xlfn.XLOOKUP(K161,Lists!$P$2:$P$19,Lists!$U$2:$U$19,0)))</f>
        <v>0</v>
      </c>
      <c r="R161" s="68">
        <f ca="1">IF($B161="","",SUM(_xlfn.XLOOKUP(C161,Lists!$P$2:$P$19,Lists!$V$2:$V$19,0),_xlfn.XLOOKUP(E161,Lists!$P$2:$P$19,Lists!$V$2:$V$19,0),_xlfn.XLOOKUP(G161,Lists!$P$2:$P$19,Lists!$V$2:$V$19,0),_xlfn.XLOOKUP(I161,Lists!$P$2:$P$19,Lists!$V$2:$V$19,0),_xlfn.XLOOKUP(K161,Lists!$P$2:$P$19,Lists!$V$2:$V$19,0)))</f>
        <v>2</v>
      </c>
      <c r="S161" s="68">
        <f ca="1">IF($B161="","",SUM(_xlfn.XLOOKUP(D161,Lists!$AC$2:$AC$9,Lists!$AD$2:$AD$9,0),_xlfn.XLOOKUP(F161,Lists!$AC$2:$AC$9,Lists!$AD$2:$AD$9,0),_xlfn.XLOOKUP(H161,Lists!$AC$2:$AC$9,Lists!$AD$2:$AD$9,0),_xlfn.XLOOKUP(J161,Lists!$AC$2:$AC$9,Lists!$AD$2:$AD$9,0),_xlfn.XLOOKUP(L161,Lists!$AC$2:$AC$9,Lists!$AD$2:$AD$9,0)))</f>
        <v>2</v>
      </c>
      <c r="T161" s="68">
        <f ca="1">IF($B161="","",SUM(_xlfn.XLOOKUP(C161,Lists!$P$2:$P$19,Lists!$W$2:$W$19,0),_xlfn.XLOOKUP(E161,Lists!$P$2:$P$19,Lists!$W$2:$W$19,0),_xlfn.XLOOKUP(G161,Lists!$P$2:$P$19,Lists!$W$2:$W$19,0),_xlfn.XLOOKUP(I161,Lists!$P$2:$P$19,Lists!$W$2:$W$19,0),_xlfn.XLOOKUP(K161,Lists!$P$2:$P$19,Lists!$W$2:$W$19,0)))</f>
        <v>0</v>
      </c>
      <c r="U161" s="68">
        <f ca="1">IF($B161="","",SUM(_xlfn.XLOOKUP(C161,Lists!$P$2:$P$19,Lists!$X$2:$X$19,0),_xlfn.XLOOKUP(E161,Lists!$P$2:$P$19,Lists!$X$2:$X$19,0),_xlfn.XLOOKUP(G161,Lists!$P$2:$P$19,Lists!$X$2:$X$19,0),_xlfn.XLOOKUP(I161,Lists!$P$2:$P$19,Lists!$X$2:$X$19,0),_xlfn.XLOOKUP(K161,Lists!$P$2:$P$19,Lists!$X$2:$X$19,0)))</f>
        <v>0</v>
      </c>
      <c r="V161" s="68">
        <f ca="1">IF($B161="","",SUM(_xlfn.XLOOKUP(C161,Lists!$P$2:$P$19,Lists!$Y$2:$Y$19,0),_xlfn.XLOOKUP(E161,Lists!$P$2:$P$19,Lists!$Y$2:$Y$19,0),_xlfn.XLOOKUP(G161,Lists!$P$2:$P$19,Lists!$Y$2:$Y$19,0),_xlfn.XLOOKUP(I161,Lists!$P$2:$P$19,Lists!$Y$2:$Y$19,0),_xlfn.XLOOKUP(K161,Lists!$P$2:$P$19,Lists!$Y$2:$Y$19,0)))</f>
        <v>0</v>
      </c>
      <c r="W161" s="68">
        <f ca="1">IF($B161="","",SUM(_xlfn.XLOOKUP(C161,Lists!$P$2:$P$19,Lists!$Z$2:$Z$19,0),_xlfn.XLOOKUP(E161,Lists!$P$2:$P$19,Lists!$Z$2:$Z$19,0),_xlfn.XLOOKUP(G161,Lists!$P$2:$P$19,Lists!$Z$2:$Z$19,0),_xlfn.XLOOKUP(I161,Lists!$P$2:$P$19,Lists!$Z$2:$Z$19,0),_xlfn.XLOOKUP(K161,Lists!$P$2:$P$19,Lists!$Z$2:$Z$19,0)))</f>
        <v>0</v>
      </c>
      <c r="X161" s="69">
        <f ca="1">IF($B161="","",SUM(_xlfn.XLOOKUP(C161,Lists!$P$2:$P$19,Lists!$AA$2:$AA$19,0),_xlfn.XLOOKUP(E161,Lists!$P$2:$P$19,Lists!$AA$2:$AA$19,0),_xlfn.XLOOKUP(G161,Lists!$P$2:$P$19,Lists!$AA$2:$AA$19,0),_xlfn.XLOOKUP(I161,Lists!$P$2:$P$19,Lists!$AA$2:$AA$19,0),_xlfn.XLOOKUP(K161,Lists!$P$2:$P$19,Lists!$AA$2:$AA$19,0)))</f>
        <v>0</v>
      </c>
      <c r="Y161" s="49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</row>
    <row r="162" spans="1:110">
      <c r="A162" s="168">
        <v>7</v>
      </c>
      <c r="B162" s="47" t="str">
        <f ca="1">Lineups!$C$53</f>
        <v>Peach</v>
      </c>
      <c r="C162" s="49" t="s">
        <v>188</v>
      </c>
      <c r="D162" s="49"/>
      <c r="E162" s="49" t="s">
        <v>178</v>
      </c>
      <c r="F162" s="49" t="s">
        <v>190</v>
      </c>
      <c r="G162" s="49"/>
      <c r="H162" s="50"/>
      <c r="I162" s="50"/>
      <c r="J162" s="50"/>
      <c r="K162" s="50"/>
      <c r="L162" s="50"/>
      <c r="M162" s="67">
        <f ca="1">IF($B162="","",SUM(_xlfn.XLOOKUP(C162,Lists!$P$2:$P$19,Lists!$R$2:$R$19,0),_xlfn.XLOOKUP(E162,Lists!$P$2:$P$19,Lists!$R$2:$R$19,0),_xlfn.XLOOKUP(G162,Lists!$P$2:$P$19,Lists!$R$2:$R$19,0),_xlfn.XLOOKUP(I162,Lists!$P$2:$P$19,Lists!$R$2:$R$19,0),_xlfn.XLOOKUP(K162,Lists!$P$2:$P$19,Lists!$R$2:$R$19,0)))</f>
        <v>2</v>
      </c>
      <c r="N162" s="68">
        <f ca="1">IF($B162="","",SUM(_xlfn.XLOOKUP(D162,Lists!$AC$2:$AC$9,Lists!$AE$2:$AE$9,0),_xlfn.XLOOKUP(F162,Lists!$AC$2:$AC$9,Lists!$AE$2:$AE$9,0),_xlfn.XLOOKUP(H162,Lists!$AC$2:$AC$9,Lists!$AE$2:$AE$9,0),_xlfn.XLOOKUP(J162,Lists!$AC$2:$AC$9,Lists!$AE$2:$AE$9,0),_xlfn.XLOOKUP(L162,Lists!$AC$2:$AC$9,Lists!$AE$2:$AE$9,0)))</f>
        <v>1</v>
      </c>
      <c r="O162" s="68">
        <f ca="1">IF($B162="","",SUM(_xlfn.XLOOKUP(C162,Lists!$P$2:$P$19,Lists!$S$2:$S$19,0),_xlfn.XLOOKUP(E162,Lists!$P$2:$P$19,Lists!$S$2:$S$19,0),_xlfn.XLOOKUP(G162,Lists!$P$2:$P$19,Lists!$S$2:$S$19,0),_xlfn.XLOOKUP(I162,Lists!$P$2:$P$19,Lists!$S$2:$S$19,0),_xlfn.XLOOKUP(K162,Lists!$P$2:$P$19,Lists!$S$2:$S$19,0)))</f>
        <v>2</v>
      </c>
      <c r="P162" s="68">
        <f ca="1">IF($B162="","",SUM(_xlfn.XLOOKUP(C162,Lists!$P$2:$P$19,Lists!$T$2:$T$19,0),_xlfn.XLOOKUP(E162,Lists!$P$2:$P$19,Lists!$T$2:$T$19,0),_xlfn.XLOOKUP(G162,Lists!$P$2:$P$19,Lists!$T$2:$T$19,0),_xlfn.XLOOKUP(I162,Lists!$P$2:$P$19,Lists!$T$2:$T$19,0),_xlfn.XLOOKUP(K162,Lists!$P$2:$P$19,Lists!$T$2:$T$19,0)))</f>
        <v>0</v>
      </c>
      <c r="Q162" s="68">
        <f ca="1">IF($B162="","",SUM(_xlfn.XLOOKUP(C162,Lists!$P$2:$P$19,Lists!$U$2:$U$19,0),_xlfn.XLOOKUP(E162,Lists!$P$2:$P$19,Lists!$U$2:$U$19,0),_xlfn.XLOOKUP(G162,Lists!$P$2:$P$19,Lists!$U$2:$U$19,0),_xlfn.XLOOKUP(I162,Lists!$P$2:$P$19,Lists!$U$2:$U$19,0),_xlfn.XLOOKUP(K162,Lists!$P$2:$P$19,Lists!$U$2:$U$19,0)))</f>
        <v>0</v>
      </c>
      <c r="R162" s="68">
        <f ca="1">IF($B162="","",SUM(_xlfn.XLOOKUP(C162,Lists!$P$2:$P$19,Lists!$V$2:$V$19,0),_xlfn.XLOOKUP(E162,Lists!$P$2:$P$19,Lists!$V$2:$V$19,0),_xlfn.XLOOKUP(G162,Lists!$P$2:$P$19,Lists!$V$2:$V$19,0),_xlfn.XLOOKUP(I162,Lists!$P$2:$P$19,Lists!$V$2:$V$19,0),_xlfn.XLOOKUP(K162,Lists!$P$2:$P$19,Lists!$V$2:$V$19,0)))</f>
        <v>1</v>
      </c>
      <c r="S162" s="68">
        <f ca="1">IF($B162="","",SUM(_xlfn.XLOOKUP(D162,Lists!$AC$2:$AC$9,Lists!$AD$2:$AD$9,0),_xlfn.XLOOKUP(F162,Lists!$AC$2:$AC$9,Lists!$AD$2:$AD$9,0),_xlfn.XLOOKUP(H162,Lists!$AC$2:$AC$9,Lists!$AD$2:$AD$9,0),_xlfn.XLOOKUP(J162,Lists!$AC$2:$AC$9,Lists!$AD$2:$AD$9,0),_xlfn.XLOOKUP(L162,Lists!$AC$2:$AC$9,Lists!$AD$2:$AD$9,0)))</f>
        <v>1</v>
      </c>
      <c r="T162" s="68">
        <f ca="1">IF($B162="","",SUM(_xlfn.XLOOKUP(C162,Lists!$P$2:$P$19,Lists!$W$2:$W$19,0),_xlfn.XLOOKUP(E162,Lists!$P$2:$P$19,Lists!$W$2:$W$19,0),_xlfn.XLOOKUP(G162,Lists!$P$2:$P$19,Lists!$W$2:$W$19,0),_xlfn.XLOOKUP(I162,Lists!$P$2:$P$19,Lists!$W$2:$W$19,0),_xlfn.XLOOKUP(K162,Lists!$P$2:$P$19,Lists!$W$2:$W$19,0)))</f>
        <v>0</v>
      </c>
      <c r="U162" s="68">
        <f ca="1">IF($B162="","",SUM(_xlfn.XLOOKUP(C162,Lists!$P$2:$P$19,Lists!$X$2:$X$19,0),_xlfn.XLOOKUP(E162,Lists!$P$2:$P$19,Lists!$X$2:$X$19,0),_xlfn.XLOOKUP(G162,Lists!$P$2:$P$19,Lists!$X$2:$X$19,0),_xlfn.XLOOKUP(I162,Lists!$P$2:$P$19,Lists!$X$2:$X$19,0),_xlfn.XLOOKUP(K162,Lists!$P$2:$P$19,Lists!$X$2:$X$19,0)))</f>
        <v>0</v>
      </c>
      <c r="V162" s="68">
        <f ca="1">IF($B162="","",SUM(_xlfn.XLOOKUP(C162,Lists!$P$2:$P$19,Lists!$Y$2:$Y$19,0),_xlfn.XLOOKUP(E162,Lists!$P$2:$P$19,Lists!$Y$2:$Y$19,0),_xlfn.XLOOKUP(G162,Lists!$P$2:$P$19,Lists!$Y$2:$Y$19,0),_xlfn.XLOOKUP(I162,Lists!$P$2:$P$19,Lists!$Y$2:$Y$19,0),_xlfn.XLOOKUP(K162,Lists!$P$2:$P$19,Lists!$Y$2:$Y$19,0)))</f>
        <v>0</v>
      </c>
      <c r="W162" s="68">
        <f ca="1">IF($B162="","",SUM(_xlfn.XLOOKUP(C162,Lists!$P$2:$P$19,Lists!$Z$2:$Z$19,0),_xlfn.XLOOKUP(E162,Lists!$P$2:$P$19,Lists!$Z$2:$Z$19,0),_xlfn.XLOOKUP(G162,Lists!$P$2:$P$19,Lists!$Z$2:$Z$19,0),_xlfn.XLOOKUP(I162,Lists!$P$2:$P$19,Lists!$Z$2:$Z$19,0),_xlfn.XLOOKUP(K162,Lists!$P$2:$P$19,Lists!$Z$2:$Z$19,0)))</f>
        <v>0</v>
      </c>
      <c r="X162" s="69">
        <f ca="1">IF($B162="","",SUM(_xlfn.XLOOKUP(C162,Lists!$P$2:$P$19,Lists!$AA$2:$AA$19,0),_xlfn.XLOOKUP(E162,Lists!$P$2:$P$19,Lists!$AA$2:$AA$19,0),_xlfn.XLOOKUP(G162,Lists!$P$2:$P$19,Lists!$AA$2:$AA$19,0),_xlfn.XLOOKUP(I162,Lists!$P$2:$P$19,Lists!$AA$2:$AA$19,0),_xlfn.XLOOKUP(K162,Lists!$P$2:$P$19,Lists!$AA$2:$AA$19,0)))</f>
        <v>0</v>
      </c>
      <c r="Y162" s="49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</row>
    <row r="163" spans="1:110">
      <c r="A163" s="168">
        <v>8</v>
      </c>
      <c r="B163" s="47" t="str">
        <f ca="1">Lineups!$C$54</f>
        <v>Baby Mario</v>
      </c>
      <c r="C163" s="49" t="s">
        <v>205</v>
      </c>
      <c r="D163" s="49"/>
      <c r="E163" s="49" t="s">
        <v>193</v>
      </c>
      <c r="F163" s="49"/>
      <c r="G163" s="49"/>
      <c r="H163" s="50"/>
      <c r="I163" s="50"/>
      <c r="J163" s="50"/>
      <c r="K163" s="50"/>
      <c r="L163" s="50"/>
      <c r="M163" s="67">
        <f ca="1">IF($B163="","",SUM(_xlfn.XLOOKUP(C163,Lists!$P$2:$P$19,Lists!$R$2:$R$19,0),_xlfn.XLOOKUP(E163,Lists!$P$2:$P$19,Lists!$R$2:$R$19,0),_xlfn.XLOOKUP(G163,Lists!$P$2:$P$19,Lists!$R$2:$R$19,0),_xlfn.XLOOKUP(I163,Lists!$P$2:$P$19,Lists!$R$2:$R$19,0),_xlfn.XLOOKUP(K163,Lists!$P$2:$P$19,Lists!$R$2:$R$19,0)))</f>
        <v>2</v>
      </c>
      <c r="N163" s="68">
        <f ca="1">IF($B163="","",SUM(_xlfn.XLOOKUP(D163,Lists!$AC$2:$AC$9,Lists!$AE$2:$AE$9,0),_xlfn.XLOOKUP(F163,Lists!$AC$2:$AC$9,Lists!$AE$2:$AE$9,0),_xlfn.XLOOKUP(H163,Lists!$AC$2:$AC$9,Lists!$AE$2:$AE$9,0),_xlfn.XLOOKUP(J163,Lists!$AC$2:$AC$9,Lists!$AE$2:$AE$9,0),_xlfn.XLOOKUP(L163,Lists!$AC$2:$AC$9,Lists!$AE$2:$AE$9,0)))</f>
        <v>0</v>
      </c>
      <c r="O163" s="68">
        <f ca="1">IF($B163="","",SUM(_xlfn.XLOOKUP(C163,Lists!$P$2:$P$19,Lists!$S$2:$S$19,0),_xlfn.XLOOKUP(E163,Lists!$P$2:$P$19,Lists!$S$2:$S$19,0),_xlfn.XLOOKUP(G163,Lists!$P$2:$P$19,Lists!$S$2:$S$19,0),_xlfn.XLOOKUP(I163,Lists!$P$2:$P$19,Lists!$S$2:$S$19,0),_xlfn.XLOOKUP(K163,Lists!$P$2:$P$19,Lists!$S$2:$S$19,0)))</f>
        <v>0</v>
      </c>
      <c r="P163" s="68">
        <f ca="1">IF($B163="","",SUM(_xlfn.XLOOKUP(C163,Lists!$P$2:$P$19,Lists!$T$2:$T$19,0),_xlfn.XLOOKUP(E163,Lists!$P$2:$P$19,Lists!$T$2:$T$19,0),_xlfn.XLOOKUP(G163,Lists!$P$2:$P$19,Lists!$T$2:$T$19,0),_xlfn.XLOOKUP(I163,Lists!$P$2:$P$19,Lists!$T$2:$T$19,0),_xlfn.XLOOKUP(K163,Lists!$P$2:$P$19,Lists!$T$2:$T$19,0)))</f>
        <v>0</v>
      </c>
      <c r="Q163" s="68">
        <f ca="1">IF($B163="","",SUM(_xlfn.XLOOKUP(C163,Lists!$P$2:$P$19,Lists!$U$2:$U$19,0),_xlfn.XLOOKUP(E163,Lists!$P$2:$P$19,Lists!$U$2:$U$19,0),_xlfn.XLOOKUP(G163,Lists!$P$2:$P$19,Lists!$U$2:$U$19,0),_xlfn.XLOOKUP(I163,Lists!$P$2:$P$19,Lists!$U$2:$U$19,0),_xlfn.XLOOKUP(K163,Lists!$P$2:$P$19,Lists!$U$2:$U$19,0)))</f>
        <v>0</v>
      </c>
      <c r="R163" s="68">
        <f ca="1">IF($B163="","",SUM(_xlfn.XLOOKUP(C163,Lists!$P$2:$P$19,Lists!$V$2:$V$19,0),_xlfn.XLOOKUP(E163,Lists!$P$2:$P$19,Lists!$V$2:$V$19,0),_xlfn.XLOOKUP(G163,Lists!$P$2:$P$19,Lists!$V$2:$V$19,0),_xlfn.XLOOKUP(I163,Lists!$P$2:$P$19,Lists!$V$2:$V$19,0),_xlfn.XLOOKUP(K163,Lists!$P$2:$P$19,Lists!$V$2:$V$19,0)))</f>
        <v>0</v>
      </c>
      <c r="S163" s="68">
        <f ca="1">IF($B163="","",SUM(_xlfn.XLOOKUP(D163,Lists!$AC$2:$AC$9,Lists!$AD$2:$AD$9,0),_xlfn.XLOOKUP(F163,Lists!$AC$2:$AC$9,Lists!$AD$2:$AD$9,0),_xlfn.XLOOKUP(H163,Lists!$AC$2:$AC$9,Lists!$AD$2:$AD$9,0),_xlfn.XLOOKUP(J163,Lists!$AC$2:$AC$9,Lists!$AD$2:$AD$9,0),_xlfn.XLOOKUP(L163,Lists!$AC$2:$AC$9,Lists!$AD$2:$AD$9,0)))</f>
        <v>0</v>
      </c>
      <c r="T163" s="68">
        <f ca="1">IF($B163="","",SUM(_xlfn.XLOOKUP(C163,Lists!$P$2:$P$19,Lists!$W$2:$W$19,0),_xlfn.XLOOKUP(E163,Lists!$P$2:$P$19,Lists!$W$2:$W$19,0),_xlfn.XLOOKUP(G163,Lists!$P$2:$P$19,Lists!$W$2:$W$19,0),_xlfn.XLOOKUP(I163,Lists!$P$2:$P$19,Lists!$W$2:$W$19,0),_xlfn.XLOOKUP(K163,Lists!$P$2:$P$19,Lists!$W$2:$W$19,0)))</f>
        <v>0</v>
      </c>
      <c r="U163" s="68">
        <f ca="1">IF($B163="","",SUM(_xlfn.XLOOKUP(C163,Lists!$P$2:$P$19,Lists!$X$2:$X$19,0),_xlfn.XLOOKUP(E163,Lists!$P$2:$P$19,Lists!$X$2:$X$19,0),_xlfn.XLOOKUP(G163,Lists!$P$2:$P$19,Lists!$X$2:$X$19,0),_xlfn.XLOOKUP(I163,Lists!$P$2:$P$19,Lists!$X$2:$X$19,0),_xlfn.XLOOKUP(K163,Lists!$P$2:$P$19,Lists!$X$2:$X$19,0)))</f>
        <v>0</v>
      </c>
      <c r="V163" s="68">
        <f ca="1">IF($B163="","",SUM(_xlfn.XLOOKUP(C163,Lists!$P$2:$P$19,Lists!$Y$2:$Y$19,0),_xlfn.XLOOKUP(E163,Lists!$P$2:$P$19,Lists!$Y$2:$Y$19,0),_xlfn.XLOOKUP(G163,Lists!$P$2:$P$19,Lists!$Y$2:$Y$19,0),_xlfn.XLOOKUP(I163,Lists!$P$2:$P$19,Lists!$Y$2:$Y$19,0),_xlfn.XLOOKUP(K163,Lists!$P$2:$P$19,Lists!$Y$2:$Y$19,0)))</f>
        <v>0</v>
      </c>
      <c r="W163" s="68">
        <f ca="1">IF($B163="","",SUM(_xlfn.XLOOKUP(C163,Lists!$P$2:$P$19,Lists!$Z$2:$Z$19,0),_xlfn.XLOOKUP(E163,Lists!$P$2:$P$19,Lists!$Z$2:$Z$19,0),_xlfn.XLOOKUP(G163,Lists!$P$2:$P$19,Lists!$Z$2:$Z$19,0),_xlfn.XLOOKUP(I163,Lists!$P$2:$P$19,Lists!$Z$2:$Z$19,0),_xlfn.XLOOKUP(K163,Lists!$P$2:$P$19,Lists!$Z$2:$Z$19,0)))</f>
        <v>0</v>
      </c>
      <c r="X163" s="69">
        <f ca="1">IF($B163="","",SUM(_xlfn.XLOOKUP(C163,Lists!$P$2:$P$19,Lists!$AA$2:$AA$19,0),_xlfn.XLOOKUP(E163,Lists!$P$2:$P$19,Lists!$AA$2:$AA$19,0),_xlfn.XLOOKUP(G163,Lists!$P$2:$P$19,Lists!$AA$2:$AA$19,0),_xlfn.XLOOKUP(I163,Lists!$P$2:$P$19,Lists!$AA$2:$AA$19,0),_xlfn.XLOOKUP(K163,Lists!$P$2:$P$19,Lists!$AA$2:$AA$19,0)))</f>
        <v>0</v>
      </c>
      <c r="Y163" s="49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</row>
    <row r="164" spans="1:110">
      <c r="A164" s="168">
        <v>9</v>
      </c>
      <c r="B164" s="47" t="str">
        <f ca="1">Lineups!$C$55</f>
        <v>Baby Daisy</v>
      </c>
      <c r="C164" s="49" t="s">
        <v>176</v>
      </c>
      <c r="D164" s="49"/>
      <c r="E164" s="49"/>
      <c r="F164" s="49"/>
      <c r="G164" s="49"/>
      <c r="H164" s="50"/>
      <c r="I164" s="50"/>
      <c r="J164" s="50"/>
      <c r="K164" s="50"/>
      <c r="L164" s="50"/>
      <c r="M164" s="67">
        <f ca="1">IF($B164="","",SUM(_xlfn.XLOOKUP(C164,Lists!$P$2:$P$19,Lists!$R$2:$R$19,0),_xlfn.XLOOKUP(E164,Lists!$P$2:$P$19,Lists!$R$2:$R$19,0),_xlfn.XLOOKUP(G164,Lists!$P$2:$P$19,Lists!$R$2:$R$19,0),_xlfn.XLOOKUP(I164,Lists!$P$2:$P$19,Lists!$R$2:$R$19,0),_xlfn.XLOOKUP(K164,Lists!$P$2:$P$19,Lists!$R$2:$R$19,0)))</f>
        <v>1</v>
      </c>
      <c r="N164" s="68">
        <f ca="1">IF($B164="","",SUM(_xlfn.XLOOKUP(D164,Lists!$AC$2:$AC$9,Lists!$AE$2:$AE$9,0),_xlfn.XLOOKUP(F164,Lists!$AC$2:$AC$9,Lists!$AE$2:$AE$9,0),_xlfn.XLOOKUP(H164,Lists!$AC$2:$AC$9,Lists!$AE$2:$AE$9,0),_xlfn.XLOOKUP(J164,Lists!$AC$2:$AC$9,Lists!$AE$2:$AE$9,0),_xlfn.XLOOKUP(L164,Lists!$AC$2:$AC$9,Lists!$AE$2:$AE$9,0)))</f>
        <v>0</v>
      </c>
      <c r="O164" s="68">
        <f ca="1">IF($B164="","",SUM(_xlfn.XLOOKUP(C164,Lists!$P$2:$P$19,Lists!$S$2:$S$19,0),_xlfn.XLOOKUP(E164,Lists!$P$2:$P$19,Lists!$S$2:$S$19,0),_xlfn.XLOOKUP(G164,Lists!$P$2:$P$19,Lists!$S$2:$S$19,0),_xlfn.XLOOKUP(I164,Lists!$P$2:$P$19,Lists!$S$2:$S$19,0),_xlfn.XLOOKUP(K164,Lists!$P$2:$P$19,Lists!$S$2:$S$19,0)))</f>
        <v>1</v>
      </c>
      <c r="P164" s="68">
        <f ca="1">IF($B164="","",SUM(_xlfn.XLOOKUP(C164,Lists!$P$2:$P$19,Lists!$T$2:$T$19,0),_xlfn.XLOOKUP(E164,Lists!$P$2:$P$19,Lists!$T$2:$T$19,0),_xlfn.XLOOKUP(G164,Lists!$P$2:$P$19,Lists!$T$2:$T$19,0),_xlfn.XLOOKUP(I164,Lists!$P$2:$P$19,Lists!$T$2:$T$19,0),_xlfn.XLOOKUP(K164,Lists!$P$2:$P$19,Lists!$T$2:$T$19,0)))</f>
        <v>1</v>
      </c>
      <c r="Q164" s="68">
        <f ca="1">IF($B164="","",SUM(_xlfn.XLOOKUP(C164,Lists!$P$2:$P$19,Lists!$U$2:$U$19,0),_xlfn.XLOOKUP(E164,Lists!$P$2:$P$19,Lists!$U$2:$U$19,0),_xlfn.XLOOKUP(G164,Lists!$P$2:$P$19,Lists!$U$2:$U$19,0),_xlfn.XLOOKUP(I164,Lists!$P$2:$P$19,Lists!$U$2:$U$19,0),_xlfn.XLOOKUP(K164,Lists!$P$2:$P$19,Lists!$U$2:$U$19,0)))</f>
        <v>0</v>
      </c>
      <c r="R164" s="68">
        <f ca="1">IF($B164="","",SUM(_xlfn.XLOOKUP(C164,Lists!$P$2:$P$19,Lists!$V$2:$V$19,0),_xlfn.XLOOKUP(E164,Lists!$P$2:$P$19,Lists!$V$2:$V$19,0),_xlfn.XLOOKUP(G164,Lists!$P$2:$P$19,Lists!$V$2:$V$19,0),_xlfn.XLOOKUP(I164,Lists!$P$2:$P$19,Lists!$V$2:$V$19,0),_xlfn.XLOOKUP(K164,Lists!$P$2:$P$19,Lists!$V$2:$V$19,0)))</f>
        <v>0</v>
      </c>
      <c r="S164" s="68">
        <f ca="1">IF($B164="","",SUM(_xlfn.XLOOKUP(D164,Lists!$AC$2:$AC$9,Lists!$AD$2:$AD$9,0),_xlfn.XLOOKUP(F164,Lists!$AC$2:$AC$9,Lists!$AD$2:$AD$9,0),_xlfn.XLOOKUP(H164,Lists!$AC$2:$AC$9,Lists!$AD$2:$AD$9,0),_xlfn.XLOOKUP(J164,Lists!$AC$2:$AC$9,Lists!$AD$2:$AD$9,0),_xlfn.XLOOKUP(L164,Lists!$AC$2:$AC$9,Lists!$AD$2:$AD$9,0)))</f>
        <v>0</v>
      </c>
      <c r="T164" s="68">
        <f ca="1">IF($B164="","",SUM(_xlfn.XLOOKUP(C164,Lists!$P$2:$P$19,Lists!$W$2:$W$19,0),_xlfn.XLOOKUP(E164,Lists!$P$2:$P$19,Lists!$W$2:$W$19,0),_xlfn.XLOOKUP(G164,Lists!$P$2:$P$19,Lists!$W$2:$W$19,0),_xlfn.XLOOKUP(I164,Lists!$P$2:$P$19,Lists!$W$2:$W$19,0),_xlfn.XLOOKUP(K164,Lists!$P$2:$P$19,Lists!$W$2:$W$19,0)))</f>
        <v>0</v>
      </c>
      <c r="U164" s="68">
        <f ca="1">IF($B164="","",SUM(_xlfn.XLOOKUP(C164,Lists!$P$2:$P$19,Lists!$X$2:$X$19,0),_xlfn.XLOOKUP(E164,Lists!$P$2:$P$19,Lists!$X$2:$X$19,0),_xlfn.XLOOKUP(G164,Lists!$P$2:$P$19,Lists!$X$2:$X$19,0),_xlfn.XLOOKUP(I164,Lists!$P$2:$P$19,Lists!$X$2:$X$19,0),_xlfn.XLOOKUP(K164,Lists!$P$2:$P$19,Lists!$X$2:$X$19,0)))</f>
        <v>0</v>
      </c>
      <c r="V164" s="68">
        <f ca="1">IF($B164="","",SUM(_xlfn.XLOOKUP(C164,Lists!$P$2:$P$19,Lists!$Y$2:$Y$19,0),_xlfn.XLOOKUP(E164,Lists!$P$2:$P$19,Lists!$Y$2:$Y$19,0),_xlfn.XLOOKUP(G164,Lists!$P$2:$P$19,Lists!$Y$2:$Y$19,0),_xlfn.XLOOKUP(I164,Lists!$P$2:$P$19,Lists!$Y$2:$Y$19,0),_xlfn.XLOOKUP(K164,Lists!$P$2:$P$19,Lists!$Y$2:$Y$19,0)))</f>
        <v>0</v>
      </c>
      <c r="W164" s="68">
        <f ca="1">IF($B164="","",SUM(_xlfn.XLOOKUP(C164,Lists!$P$2:$P$19,Lists!$Z$2:$Z$19,0),_xlfn.XLOOKUP(E164,Lists!$P$2:$P$19,Lists!$Z$2:$Z$19,0),_xlfn.XLOOKUP(G164,Lists!$P$2:$P$19,Lists!$Z$2:$Z$19,0),_xlfn.XLOOKUP(I164,Lists!$P$2:$P$19,Lists!$Z$2:$Z$19,0),_xlfn.XLOOKUP(K164,Lists!$P$2:$P$19,Lists!$Z$2:$Z$19,0)))</f>
        <v>0</v>
      </c>
      <c r="X164" s="69">
        <f ca="1">IF($B164="","",SUM(_xlfn.XLOOKUP(C164,Lists!$P$2:$P$19,Lists!$AA$2:$AA$19,0),_xlfn.XLOOKUP(E164,Lists!$P$2:$P$19,Lists!$AA$2:$AA$19,0),_xlfn.XLOOKUP(G164,Lists!$P$2:$P$19,Lists!$AA$2:$AA$19,0),_xlfn.XLOOKUP(I164,Lists!$P$2:$P$19,Lists!$AA$2:$AA$19,0),_xlfn.XLOOKUP(K164,Lists!$P$2:$P$19,Lists!$AA$2:$AA$19,0)))</f>
        <v>0</v>
      </c>
      <c r="Y164" s="49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</row>
    <row r="165" spans="1:110">
      <c r="A165" s="173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</row>
    <row r="166" spans="1:110">
      <c r="A166" s="228" t="str">
        <f ca="1">IF($N$149="","Team A Pitching",$N$149&amp;" Pitching")</f>
        <v>Jason Pitching</v>
      </c>
      <c r="B166" s="221"/>
      <c r="C166" s="221"/>
      <c r="D166" s="221"/>
      <c r="E166" s="221"/>
      <c r="F166" s="221"/>
      <c r="G166" s="221"/>
      <c r="H166" s="221"/>
      <c r="I166" s="221"/>
      <c r="J166" s="221"/>
      <c r="K166" s="221"/>
      <c r="L166" s="221"/>
      <c r="M166" s="221"/>
      <c r="N166" s="206"/>
      <c r="O166" s="186"/>
      <c r="P166" s="24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</row>
    <row r="167" spans="1:110">
      <c r="A167" s="167" t="s">
        <v>103</v>
      </c>
      <c r="B167" s="43" t="s">
        <v>194</v>
      </c>
      <c r="C167" s="43" t="s">
        <v>195</v>
      </c>
      <c r="D167" s="43" t="s">
        <v>162</v>
      </c>
      <c r="E167" s="43" t="s">
        <v>161</v>
      </c>
      <c r="F167" s="43" t="s">
        <v>196</v>
      </c>
      <c r="G167" s="43" t="s">
        <v>180</v>
      </c>
      <c r="H167" s="43" t="s">
        <v>181</v>
      </c>
      <c r="I167" s="44" t="s">
        <v>197</v>
      </c>
      <c r="J167" s="44" t="s">
        <v>198</v>
      </c>
      <c r="K167" s="44" t="s">
        <v>199</v>
      </c>
      <c r="L167" s="44" t="s">
        <v>200</v>
      </c>
      <c r="M167" s="44" t="s">
        <v>201</v>
      </c>
      <c r="N167" s="45" t="s">
        <v>202</v>
      </c>
      <c r="O167" s="45" t="s">
        <v>203</v>
      </c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</row>
    <row r="168" spans="1:110">
      <c r="A168" s="168">
        <v>1</v>
      </c>
      <c r="B168" s="71" t="s">
        <v>47</v>
      </c>
      <c r="C168" s="70" cm="1">
        <f t="array" aca="1" ref="C168" ca="1">IF(OR(B168="",O168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168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2</v>
      </c>
      <c r="D168" s="67" cm="1">
        <f t="array" aca="1" ref="D168" ca="1">IF(OR(B168="",O168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168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3</v>
      </c>
      <c r="E168" s="67" cm="1">
        <f t="array" aca="1" ref="E168" ca="1">IF(OR(B168="",O168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168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2</v>
      </c>
      <c r="F168" s="67" cm="1">
        <f t="array" aca="1" ref="F168" ca="1">IF(OR(B168="",O168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168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2</v>
      </c>
      <c r="G168" s="67" cm="1">
        <f t="array" aca="1" ref="G168" ca="1">IF(OR(B168="",O168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168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168" s="67" cm="1">
        <f t="array" aca="1" ref="H168" ca="1">IF(OR(B168="",O168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168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3</v>
      </c>
      <c r="I168" s="68" cm="1">
        <f t="array" aca="1" ref="I168" ca="1">IF(OR(B168="",O168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168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1</v>
      </c>
      <c r="J168" s="68" cm="1">
        <f t="array" aca="1" ref="J168" ca="1">IF(OR(B168="",O168=""),"",--(SUM(_xlfn.XLOOKUP(_xlfn._xlws.FILTER(_xlfn.TOCOL(_xlfn.CHOOSECOLS(C156:L164,2,4,6,8,10),0,TRUE),_xlfn.TOCOL(_xlfn.CHOOSECOLS(C156:L164,1,3,5,7,9),0,TRUE)&lt;&gt;""),Lists!$AC$2:$AC$9,Lists!$AF$2:$AF$9,0))&gt;SUM(_xlfn.XLOOKUP(_xlfn._xlws.FILTER(_xlfn.TOCOL(_xlfn.CHOOSECOLS(C177:L185,2,4,6,8,10),0,TRUE),_xlfn.TOCOL(_xlfn.CHOOSECOLS(C177:L185,1,3,5,7,9),0,TRUE)&lt;&gt;""),Lists!$AC$2:$AC$9,Lists!$AF$2:$AF$9,0)))*--(ROW()-ROW(C167)=_xlfn.XLOOKUP(MAX(IF(O168:O173&gt;0,INT(C168:C173)*3+MOD(ROUND(C168:C173*10,0),10),-1)),IF(O168:O173&gt;0,INT(C168:C173)*3+MOD(ROUND(C168:C173*10,0),10),-1),_xlfn.SEQUENCE(ROWS(O168:O173)),,0)))</f>
        <v>1</v>
      </c>
      <c r="K168" s="68" cm="1">
        <f t="array" aca="1" ref="K168" ca="1">IF(OR(B168="",O168=""),"",--(SUM(_xlfn.XLOOKUP(_xlfn._xlws.FILTER(_xlfn.TOCOL(_xlfn.CHOOSECOLS(C156:L164,2,4,6,8,10),0,TRUE),_xlfn.TOCOL(_xlfn.CHOOSECOLS(C156:L164,1,3,5,7,9),0,TRUE)&lt;&gt;""),Lists!$AC$2:$AC$9,Lists!$AF$2:$AF$9,0))&lt;SUM(_xlfn.XLOOKUP(_xlfn._xlws.FILTER(_xlfn.TOCOL(_xlfn.CHOOSECOLS(C177:L185,2,4,6,8,10),0,TRUE),_xlfn.TOCOL(_xlfn.CHOOSECOLS(C177:L185,1,3,5,7,9),0,TRUE)&lt;&gt;""),Lists!$AC$2:$AC$9,Lists!$AF$2:$AF$9,0)))*--(ROW()-ROW(C167)=_xlfn.XLOOKUP(MAX(IF(O168:O173&gt;0,E168:E173,-1)),IF(O168:O173&gt;0,E168:E173,-1),_xlfn.SEQUENCE(ROWS(O168:O173)),,0)))</f>
        <v>0</v>
      </c>
      <c r="L168" s="68" cm="1">
        <f t="array" aca="1" ref="L168" ca="1">IF(OR(B168="",O168=""),"",--(SUM(_xlfn.XLOOKUP(_xlfn._xlws.FILTER(_xlfn.TOCOL(_xlfn.CHOOSECOLS(C156:L164,2,4,6,8,10),0,TRUE),_xlfn.TOCOL(_xlfn.CHOOSECOLS(C156:L164,1,3,5,7,9),0,TRUE)&lt;&gt;""),Lists!$AC$2:$AC$9,Lists!$AF$2:$AF$9,0))&gt;SUM(_xlfn.XLOOKUP(_xlfn._xlws.FILTER(_xlfn.TOCOL(_xlfn.CHOOSECOLS(C177:L185,2,4,6,8,10),0,TRUE),_xlfn.TOCOL(_xlfn.CHOOSECOLS(C177:L185,1,3,5,7,9),0,TRUE)&lt;&gt;""),Lists!$AC$2:$AC$9,Lists!$AF$2:$AF$9,0)))*--(COUNTIF(O168:O173,"&gt;0")&gt;1)*--(ROW()-ROW(C167)=_xlfn.XLOOKUP(TRUE,O168:O173&gt;0,_xlfn.SEQUENCE(ROWS(O168:O173)),,0,-1))*--(_xlfn.XLOOKUP(TRUE,O168:O173&gt;0,_xlfn.SEQUENCE(ROWS(O168:O173)),,0,-1)&lt;&gt;_xlfn.XLOOKUP(MAX(IF(O168:O173&gt;0,INT(C168:C173)*3+MOD(ROUND(C168:C173*10,0),10),-1)),IF(O168:O173&gt;0,INT(C168:C173)*3+MOD(ROUND(C168:C173*10,0),10),-1),_xlfn.SEQUENCE(ROWS(O168:O173)),,0))*--(SUM(_xlfn.XLOOKUP(_xlfn._xlws.FILTER(_xlfn.TOCOL(_xlfn.CHOOSECOLS(C156:L164,2,4,6,8,10),0,TRUE),_xlfn.TOCOL(_xlfn.CHOOSECOLS(C156:L164,1,3,5,7,9),0,TRUE)&lt;&gt;""),Lists!$AC$2:$AC$9,Lists!$AF$2:$AF$9,0))-SUM(_xlfn.XLOOKUP(_xlfn._xlws.FILTER(_xlfn.TOCOL(_xlfn.CHOOSECOLS(C177:L185,2,4,6,8,10),0,TRUE),_xlfn.TOCOL(_xlfn.CHOOSECOLS(C177:L185,1,3,5,7,9),0,TRUE)&lt;&gt;""),Lists!$AC$2:$AC$9,Lists!$AF$2:$AF$9,0))&lt;=3)*--((INT(C168)*3+MOD(ROUND(C168*10,0),10))&gt;=3))</f>
        <v>0</v>
      </c>
      <c r="M168" s="68" cm="1">
        <f t="array" ref="M168">IF(OR(B168="",O168=""),"",--(COUNTIF(O168:O173,"&gt;0")=1)*--(SUM(_xlfn.XLOOKUP(_xlfn._xlws.FILTER(_xlfn.TOCOL(_xlfn.CHOOSECOLS(C177:L185,2,4,6,8,10),0,TRUE),_xlfn.TOCOL(_xlfn.CHOOSECOLS(C177:L185,1,3,5,7,9),0,TRUE)&lt;&gt;""),Lists!$AC$2:$AC$9,Lists!$AF$2:$AF$9,0))=0))</f>
        <v>0</v>
      </c>
      <c r="N168" s="69">
        <f>IF(OR(B168="",O168=""),"",--(COUNTIF(O168:O173,"&gt;0")=1))</f>
        <v>0</v>
      </c>
      <c r="O168" s="51">
        <v>9</v>
      </c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</row>
    <row r="169" spans="1:110">
      <c r="A169" s="168">
        <v>2</v>
      </c>
      <c r="B169" s="71" t="s">
        <v>60</v>
      </c>
      <c r="C169" s="70" cm="1">
        <f t="array" aca="1" ref="C169" ca="1">IF(OR(B169="",O169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169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1</v>
      </c>
      <c r="D169" s="67" cm="1">
        <f t="array" aca="1" ref="D169" ca="1">IF(OR(B169="",O169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169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0</v>
      </c>
      <c r="E169" s="67" cm="1">
        <f t="array" aca="1" ref="E169" ca="1">IF(OR(B169="",O169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169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0</v>
      </c>
      <c r="F169" s="67" cm="1">
        <f t="array" aca="1" ref="F169" ca="1">IF(OR(B169="",O169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169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0</v>
      </c>
      <c r="G169" s="67" cm="1">
        <f t="array" aca="1" ref="G169" ca="1">IF(OR(B169="",O169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169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169" s="67" cm="1">
        <f t="array" aca="1" ref="H169" ca="1">IF(OR(B169="",O169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169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0</v>
      </c>
      <c r="I169" s="68" cm="1">
        <f t="array" aca="1" ref="I169" ca="1">IF(OR(B169="",O169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169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169" s="68" cm="1">
        <f t="array" aca="1" ref="J169" ca="1">IF(OR(B169="",O169=""),"",--(SUM(_xlfn.XLOOKUP(_xlfn._xlws.FILTER(_xlfn.TOCOL(_xlfn.CHOOSECOLS(C156:L164,2,4,6,8,10),0,TRUE),_xlfn.TOCOL(_xlfn.CHOOSECOLS(C156:L164,1,3,5,7,9),0,TRUE)&lt;&gt;""),Lists!$AC$2:$AC$9,Lists!$AF$2:$AF$9,0))&gt;SUM(_xlfn.XLOOKUP(_xlfn._xlws.FILTER(_xlfn.TOCOL(_xlfn.CHOOSECOLS(C177:L185,2,4,6,8,10),0,TRUE),_xlfn.TOCOL(_xlfn.CHOOSECOLS(C177:L185,1,3,5,7,9),0,TRUE)&lt;&gt;""),Lists!$AC$2:$AC$9,Lists!$AF$2:$AF$9,0)))*--(ROW()-ROW(C167)=_xlfn.XLOOKUP(MAX(IF(O168:O173&gt;0,INT(C168:C173)*3+MOD(ROUND(C168:C173*10,0),10),-1)),IF(O168:O173&gt;0,INT(C168:C173)*3+MOD(ROUND(C168:C173*10,0),10),-1),_xlfn.SEQUENCE(ROWS(O168:O173)),,0)))</f>
        <v>0</v>
      </c>
      <c r="K169" s="68" cm="1">
        <f t="array" aca="1" ref="K169" ca="1">IF(OR(B169="",O169=""),"",--(SUM(_xlfn.XLOOKUP(_xlfn._xlws.FILTER(_xlfn.TOCOL(_xlfn.CHOOSECOLS(C156:L164,2,4,6,8,10),0,TRUE),_xlfn.TOCOL(_xlfn.CHOOSECOLS(C156:L164,1,3,5,7,9),0,TRUE)&lt;&gt;""),Lists!$AC$2:$AC$9,Lists!$AF$2:$AF$9,0))&lt;SUM(_xlfn.XLOOKUP(_xlfn._xlws.FILTER(_xlfn.TOCOL(_xlfn.CHOOSECOLS(C177:L185,2,4,6,8,10),0,TRUE),_xlfn.TOCOL(_xlfn.CHOOSECOLS(C177:L185,1,3,5,7,9),0,TRUE)&lt;&gt;""),Lists!$AC$2:$AC$9,Lists!$AF$2:$AF$9,0)))*--(ROW()-ROW(C167)=_xlfn.XLOOKUP(MAX(IF(O168:O173&gt;0,E168:E173,-1)),IF(O168:O173&gt;0,E168:E173,-1),_xlfn.SEQUENCE(ROWS(O168:O173)),,0)))</f>
        <v>0</v>
      </c>
      <c r="L169" s="68" cm="1">
        <f t="array" aca="1" ref="L169" ca="1">IF(OR(B169="",O169=""),"",--(SUM(_xlfn.XLOOKUP(_xlfn._xlws.FILTER(_xlfn.TOCOL(_xlfn.CHOOSECOLS(C156:L164,2,4,6,8,10),0,TRUE),_xlfn.TOCOL(_xlfn.CHOOSECOLS(C156:L164,1,3,5,7,9),0,TRUE)&lt;&gt;""),Lists!$AC$2:$AC$9,Lists!$AF$2:$AF$9,0))&gt;SUM(_xlfn.XLOOKUP(_xlfn._xlws.FILTER(_xlfn.TOCOL(_xlfn.CHOOSECOLS(C177:L185,2,4,6,8,10),0,TRUE),_xlfn.TOCOL(_xlfn.CHOOSECOLS(C177:L185,1,3,5,7,9),0,TRUE)&lt;&gt;""),Lists!$AC$2:$AC$9,Lists!$AF$2:$AF$9,0)))*--(COUNTIF(O168:O173,"&gt;0")&gt;1)*--(ROW()-ROW(C167)=_xlfn.XLOOKUP(TRUE,O168:O173&gt;0,_xlfn.SEQUENCE(ROWS(O168:O173)),,0,-1))*--(_xlfn.XLOOKUP(TRUE,O168:O173&gt;0,_xlfn.SEQUENCE(ROWS(O168:O173)),,0,-1)&lt;&gt;_xlfn.XLOOKUP(MAX(IF(O168:O173&gt;0,INT(C168:C173)*3+MOD(ROUND(C168:C173*10,0),10),-1)),IF(O168:O173&gt;0,INT(C168:C173)*3+MOD(ROUND(C168:C173*10,0),10),-1),_xlfn.SEQUENCE(ROWS(O168:O173)),,0))*--(SUM(_xlfn.XLOOKUP(_xlfn._xlws.FILTER(_xlfn.TOCOL(_xlfn.CHOOSECOLS(C156:L164,2,4,6,8,10),0,TRUE),_xlfn.TOCOL(_xlfn.CHOOSECOLS(C156:L164,1,3,5,7,9),0,TRUE)&lt;&gt;""),Lists!$AC$2:$AC$9,Lists!$AF$2:$AF$9,0))-SUM(_xlfn.XLOOKUP(_xlfn._xlws.FILTER(_xlfn.TOCOL(_xlfn.CHOOSECOLS(C177:L185,2,4,6,8,10),0,TRUE),_xlfn.TOCOL(_xlfn.CHOOSECOLS(C177:L185,1,3,5,7,9),0,TRUE)&lt;&gt;""),Lists!$AC$2:$AC$9,Lists!$AF$2:$AF$9,0))&lt;=3)*--((INT(C169)*3+MOD(ROUND(C169*10,0),10))&gt;=3))</f>
        <v>1</v>
      </c>
      <c r="M169" s="68" cm="1">
        <f t="array" ref="M169">IF(OR(B169="",O169=""),"",--(COUNTIF(O168:O173,"&gt;0")=1)*--(SUM(_xlfn.XLOOKUP(_xlfn._xlws.FILTER(_xlfn.TOCOL(_xlfn.CHOOSECOLS(C177:L185,2,4,6,8,10),0,TRUE),_xlfn.TOCOL(_xlfn.CHOOSECOLS(C177:L185,1,3,5,7,9),0,TRUE)&lt;&gt;""),Lists!$AC$2:$AC$9,Lists!$AF$2:$AF$9,0))=0))</f>
        <v>0</v>
      </c>
      <c r="N169" s="69">
        <f>IF(OR(B169="",O169=""),"",--(COUNTIF(O168:O173,"&gt;0")=1))</f>
        <v>0</v>
      </c>
      <c r="O169" s="51">
        <v>3</v>
      </c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</row>
    <row r="170" spans="1:110">
      <c r="A170" s="168">
        <v>3</v>
      </c>
      <c r="B170" s="71"/>
      <c r="C170" s="70" t="str" cm="1">
        <f t="array" aca="1" ref="C170" ca="1">IF(OR(B170="",O170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170" s="67" t="str" cm="1">
        <f t="array" aca="1" ref="D170" ca="1">IF(OR(B170="",O170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170" s="67" t="str" cm="1">
        <f t="array" aca="1" ref="E170" ca="1">IF(OR(B170="",O170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170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170" s="67" t="str" cm="1">
        <f t="array" aca="1" ref="F170" ca="1">IF(OR(B170="",O170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170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170" s="67" t="str" cm="1">
        <f t="array" aca="1" ref="G170" ca="1">IF(OR(B170="",O170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170" s="67" t="str" cm="1">
        <f t="array" aca="1" ref="H170" ca="1">IF(OR(B170="",O170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170" s="68" t="str" cm="1">
        <f t="array" aca="1" ref="I170" ca="1">IF(OR(B170="",O170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170" s="68" t="str" cm="1">
        <f t="array" aca="1" ref="J170" ca="1">IF(OR(B170="",O170=""),"",--(SUM(_xlfn.XLOOKUP(_xlfn._xlws.FILTER(_xlfn.TOCOL(_xlfn.CHOOSECOLS(C156:L164,2,4,6,8,10),0,TRUE),_xlfn.TOCOL(_xlfn.CHOOSECOLS(C156:L164,1,3,5,7,9),0,TRUE)&lt;&gt;""),Lists!$AC$2:$AC$9,Lists!$AF$2:$AF$9,0))&gt;SUM(_xlfn.XLOOKUP(_xlfn._xlws.FILTER(_xlfn.TOCOL(_xlfn.CHOOSECOLS(C177:L185,2,4,6,8,10),0,TRUE),_xlfn.TOCOL(_xlfn.CHOOSECOLS(C177:L185,1,3,5,7,9),0,TRUE)&lt;&gt;""),Lists!$AC$2:$AC$9,Lists!$AF$2:$AF$9,0)))*--(ROW()-ROW(C167)=_xlfn.XLOOKUP(MAX(IF(O168:O173&gt;0,INT(C168:C173)*3+MOD(ROUND(C168:C173*10,0),10),-1)),IF(O168:O173&gt;0,INT(C168:C173)*3+MOD(ROUND(C168:C173*10,0),10),-1),_xlfn.SEQUENCE(ROWS(O168:O173)),,0)))</f>
        <v/>
      </c>
      <c r="K170" s="68" t="str" cm="1">
        <f t="array" aca="1" ref="K170" ca="1">IF(OR(B170="",O170=""),"",--(SUM(_xlfn.XLOOKUP(_xlfn._xlws.FILTER(_xlfn.TOCOL(_xlfn.CHOOSECOLS(C156:L164,2,4,6,8,10),0,TRUE),_xlfn.TOCOL(_xlfn.CHOOSECOLS(C156:L164,1,3,5,7,9),0,TRUE)&lt;&gt;""),Lists!$AC$2:$AC$9,Lists!$AF$2:$AF$9,0))&lt;SUM(_xlfn.XLOOKUP(_xlfn._xlws.FILTER(_xlfn.TOCOL(_xlfn.CHOOSECOLS(C177:L185,2,4,6,8,10),0,TRUE),_xlfn.TOCOL(_xlfn.CHOOSECOLS(C177:L185,1,3,5,7,9),0,TRUE)&lt;&gt;""),Lists!$AC$2:$AC$9,Lists!$AF$2:$AF$9,0)))*--(ROW()-ROW(C167)=_xlfn.XLOOKUP(MAX(IF(O168:O173&gt;0,E168:E173,-1)),IF(O168:O173&gt;0,E168:E173,-1),_xlfn.SEQUENCE(ROWS(O168:O173)),,0)))</f>
        <v/>
      </c>
      <c r="L170" s="68" t="str" cm="1">
        <f t="array" aca="1" ref="L170" ca="1">IF(OR(B170="",O170=""),"",--(SUM(_xlfn.XLOOKUP(_xlfn._xlws.FILTER(_xlfn.TOCOL(_xlfn.CHOOSECOLS(C156:L164,2,4,6,8,10),0,TRUE),_xlfn.TOCOL(_xlfn.CHOOSECOLS(C156:L164,1,3,5,7,9),0,TRUE)&lt;&gt;""),Lists!$AC$2:$AC$9,Lists!$AF$2:$AF$9,0))&gt;SUM(_xlfn.XLOOKUP(_xlfn._xlws.FILTER(_xlfn.TOCOL(_xlfn.CHOOSECOLS(C177:L185,2,4,6,8,10),0,TRUE),_xlfn.TOCOL(_xlfn.CHOOSECOLS(C177:L185,1,3,5,7,9),0,TRUE)&lt;&gt;""),Lists!$AC$2:$AC$9,Lists!$AF$2:$AF$9,0)))*--(COUNTIF(O168:O173,"&gt;0")&gt;1)*--(ROW()-ROW(C167)=_xlfn.XLOOKUP(TRUE,O168:O173&gt;0,_xlfn.SEQUENCE(ROWS(O168:O173)),,0,-1))*--(_xlfn.XLOOKUP(TRUE,O168:O173&gt;0,_xlfn.SEQUENCE(ROWS(O168:O173)),,0,-1)&lt;&gt;_xlfn.XLOOKUP(MAX(IF(O168:O173&gt;0,INT(C168:C173)*3+MOD(ROUND(C168:C173*10,0),10),-1)),IF(O168:O173&gt;0,INT(C168:C173)*3+MOD(ROUND(C168:C173*10,0),10),-1),_xlfn.SEQUENCE(ROWS(O168:O173)),,0))*--(SUM(_xlfn.XLOOKUP(_xlfn._xlws.FILTER(_xlfn.TOCOL(_xlfn.CHOOSECOLS(C156:L164,2,4,6,8,10),0,TRUE),_xlfn.TOCOL(_xlfn.CHOOSECOLS(C156:L164,1,3,5,7,9),0,TRUE)&lt;&gt;""),Lists!$AC$2:$AC$9,Lists!$AF$2:$AF$9,0))-SUM(_xlfn.XLOOKUP(_xlfn._xlws.FILTER(_xlfn.TOCOL(_xlfn.CHOOSECOLS(C177:L185,2,4,6,8,10),0,TRUE),_xlfn.TOCOL(_xlfn.CHOOSECOLS(C177:L185,1,3,5,7,9),0,TRUE)&lt;&gt;""),Lists!$AC$2:$AC$9,Lists!$AF$2:$AF$9,0))&lt;=3)*--((INT(C170)*3+MOD(ROUND(C170*10,0),10))&gt;=3))</f>
        <v/>
      </c>
      <c r="M170" s="68" t="str" cm="1">
        <f t="array" ref="M170">IF(OR(B170="",O170=""),"",--(COUNTIF(O168:O173,"&gt;0")=1)*--(SUM(_xlfn.XLOOKUP(_xlfn._xlws.FILTER(_xlfn.TOCOL(_xlfn.CHOOSECOLS(C177:L185,2,4,6,8,10),0,TRUE),_xlfn.TOCOL(_xlfn.CHOOSECOLS(C177:L185,1,3,5,7,9),0,TRUE)&lt;&gt;""),Lists!$AC$2:$AC$9,Lists!$AF$2:$AF$9,0))=0))</f>
        <v/>
      </c>
      <c r="N170" s="69" t="str">
        <f>IF(OR(B170="",O170=""),"",--(COUNTIF(O168:O173,"&gt;0")=1))</f>
        <v/>
      </c>
      <c r="O170" s="51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</row>
    <row r="171" spans="1:110">
      <c r="A171" s="168">
        <v>4</v>
      </c>
      <c r="B171" s="71"/>
      <c r="C171" s="70" t="str" cm="1">
        <f t="array" aca="1" ref="C171" ca="1">IF(OR(B171="",O171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171" s="67" t="str" cm="1">
        <f t="array" aca="1" ref="D171" ca="1">IF(OR(B171="",O171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171" s="67" t="str" cm="1">
        <f t="array" aca="1" ref="E171" ca="1">IF(OR(B171="",O171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171" s="67" t="str" cm="1">
        <f t="array" aca="1" ref="F171" ca="1">IF(OR(B171="",O171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171" s="67" t="str" cm="1">
        <f t="array" aca="1" ref="G171" ca="1">IF(OR(B171="",O171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171" s="67" t="str" cm="1">
        <f t="array" aca="1" ref="H171" ca="1">IF(OR(B171="",O171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171" s="68" t="str" cm="1">
        <f t="array" aca="1" ref="I171" ca="1">IF(OR(B171="",O171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171" s="68" t="str" cm="1">
        <f t="array" aca="1" ref="J171" ca="1">IF(OR(B171="",O171=""),"",--(SUM(_xlfn.XLOOKUP(_xlfn._xlws.FILTER(_xlfn.TOCOL(_xlfn.CHOOSECOLS(C156:L164,2,4,6,8,10),0,TRUE),_xlfn.TOCOL(_xlfn.CHOOSECOLS(C156:L164,1,3,5,7,9),0,TRUE)&lt;&gt;""),Lists!$AC$2:$AC$9,Lists!$AF$2:$AF$9,0))&gt;SUM(_xlfn.XLOOKUP(_xlfn._xlws.FILTER(_xlfn.TOCOL(_xlfn.CHOOSECOLS(C177:L185,2,4,6,8,10),0,TRUE),_xlfn.TOCOL(_xlfn.CHOOSECOLS(C177:L185,1,3,5,7,9),0,TRUE)&lt;&gt;""),Lists!$AC$2:$AC$9,Lists!$AF$2:$AF$9,0)))*--(ROW()-ROW(C167)=_xlfn.XLOOKUP(MAX(IF(O168:O173&gt;0,INT(C168:C173)*3+MOD(ROUND(C168:C173*10,0),10),-1)),IF(O168:O173&gt;0,INT(C168:C173)*3+MOD(ROUND(C168:C173*10,0),10),-1),_xlfn.SEQUENCE(ROWS(O168:O173)),,0)))</f>
        <v/>
      </c>
      <c r="K171" s="68" t="str" cm="1">
        <f t="array" aca="1" ref="K171" ca="1">IF(OR(B171="",O171=""),"",--(SUM(_xlfn.XLOOKUP(_xlfn._xlws.FILTER(_xlfn.TOCOL(_xlfn.CHOOSECOLS(C156:L164,2,4,6,8,10),0,TRUE),_xlfn.TOCOL(_xlfn.CHOOSECOLS(C156:L164,1,3,5,7,9),0,TRUE)&lt;&gt;""),Lists!$AC$2:$AC$9,Lists!$AF$2:$AF$9,0))&lt;SUM(_xlfn.XLOOKUP(_xlfn._xlws.FILTER(_xlfn.TOCOL(_xlfn.CHOOSECOLS(C177:L185,2,4,6,8,10),0,TRUE),_xlfn.TOCOL(_xlfn.CHOOSECOLS(C177:L185,1,3,5,7,9),0,TRUE)&lt;&gt;""),Lists!$AC$2:$AC$9,Lists!$AF$2:$AF$9,0)))*--(ROW()-ROW(C167)=_xlfn.XLOOKUP(MAX(IF(O168:O173&gt;0,E168:E173,-1)),IF(O168:O173&gt;0,E168:E173,-1),_xlfn.SEQUENCE(ROWS(O168:O173)),,0)))</f>
        <v/>
      </c>
      <c r="L171" s="68" t="str" cm="1">
        <f t="array" aca="1" ref="L171" ca="1">IF(OR(B171="",O171=""),"",--(SUM(_xlfn.XLOOKUP(_xlfn._xlws.FILTER(_xlfn.TOCOL(_xlfn.CHOOSECOLS(C156:L164,2,4,6,8,10),0,TRUE),_xlfn.TOCOL(_xlfn.CHOOSECOLS(C156:L164,1,3,5,7,9),0,TRUE)&lt;&gt;""),Lists!$AC$2:$AC$9,Lists!$AF$2:$AF$9,0))&gt;SUM(_xlfn.XLOOKUP(_xlfn._xlws.FILTER(_xlfn.TOCOL(_xlfn.CHOOSECOLS(C177:L185,2,4,6,8,10),0,TRUE),_xlfn.TOCOL(_xlfn.CHOOSECOLS(C177:L185,1,3,5,7,9),0,TRUE)&lt;&gt;""),Lists!$AC$2:$AC$9,Lists!$AF$2:$AF$9,0)))*--(COUNTIF(O168:O173,"&gt;0")&gt;1)*--(ROW()-ROW(C167)=_xlfn.XLOOKUP(TRUE,O168:O173&gt;0,_xlfn.SEQUENCE(ROWS(O168:O173)),,0,-1))*--(_xlfn.XLOOKUP(TRUE,O168:O173&gt;0,_xlfn.SEQUENCE(ROWS(O168:O173)),,0,-1)&lt;&gt;_xlfn.XLOOKUP(MAX(IF(O168:O173&gt;0,INT(C168:C173)*3+MOD(ROUND(C168:C173*10,0),10),-1)),IF(O168:O173&gt;0,INT(C168:C173)*3+MOD(ROUND(C168:C173*10,0),10),-1),_xlfn.SEQUENCE(ROWS(O168:O173)),,0))*--(SUM(_xlfn.XLOOKUP(_xlfn._xlws.FILTER(_xlfn.TOCOL(_xlfn.CHOOSECOLS(C156:L164,2,4,6,8,10),0,TRUE),_xlfn.TOCOL(_xlfn.CHOOSECOLS(C156:L164,1,3,5,7,9),0,TRUE)&lt;&gt;""),Lists!$AC$2:$AC$9,Lists!$AF$2:$AF$9,0))-SUM(_xlfn.XLOOKUP(_xlfn._xlws.FILTER(_xlfn.TOCOL(_xlfn.CHOOSECOLS(C177:L185,2,4,6,8,10),0,TRUE),_xlfn.TOCOL(_xlfn.CHOOSECOLS(C177:L185,1,3,5,7,9),0,TRUE)&lt;&gt;""),Lists!$AC$2:$AC$9,Lists!$AF$2:$AF$9,0))&lt;=3)*--((INT(C171)*3+MOD(ROUND(C171*10,0),10))&gt;=3))</f>
        <v/>
      </c>
      <c r="M171" s="68" t="str" cm="1">
        <f t="array" ref="M171">IF(OR(B171="",O171=""),"",--(COUNTIF(O168:O173,"&gt;0")=1)*--(SUM(_xlfn.XLOOKUP(_xlfn._xlws.FILTER(_xlfn.TOCOL(_xlfn.CHOOSECOLS(C177:L185,2,4,6,8,10),0,TRUE),_xlfn.TOCOL(_xlfn.CHOOSECOLS(C177:L185,1,3,5,7,9),0,TRUE)&lt;&gt;""),Lists!$AC$2:$AC$9,Lists!$AF$2:$AF$9,0))=0))</f>
        <v/>
      </c>
      <c r="N171" s="69" t="str">
        <f>IF(OR(B171="",O171=""),"",--(COUNTIF(O168:O173,"&gt;0")=1))</f>
        <v/>
      </c>
      <c r="O171" s="51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</row>
    <row r="172" spans="1:110">
      <c r="A172" s="168">
        <v>5</v>
      </c>
      <c r="B172" s="71"/>
      <c r="C172" s="70" t="str" cm="1">
        <f t="array" aca="1" ref="C172" ca="1">IF(OR(B172="",O172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172" s="67" t="str" cm="1">
        <f t="array" aca="1" ref="D172" ca="1">IF(OR(B172="",O172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172" s="67" t="str" cm="1">
        <f t="array" aca="1" ref="E172" ca="1">IF(OR(B172="",O172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172" s="67" t="str" cm="1">
        <f t="array" aca="1" ref="F172" ca="1">IF(OR(B172="",O172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172" s="67" t="str" cm="1">
        <f t="array" aca="1" ref="G172" ca="1">IF(OR(B172="",O172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172" s="67" t="str" cm="1">
        <f t="array" aca="1" ref="H172" ca="1">IF(OR(B172="",O172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172" s="68" t="str" cm="1">
        <f t="array" aca="1" ref="I172" ca="1">IF(OR(B172="",O172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172" s="68" t="str" cm="1">
        <f t="array" aca="1" ref="J172" ca="1">IF(OR(B172="",O172=""),"",--(SUM(_xlfn.XLOOKUP(_xlfn._xlws.FILTER(_xlfn.TOCOL(_xlfn.CHOOSECOLS(C156:L164,2,4,6,8,10),0,TRUE),_xlfn.TOCOL(_xlfn.CHOOSECOLS(C156:L164,1,3,5,7,9),0,TRUE)&lt;&gt;""),Lists!$AC$2:$AC$9,Lists!$AF$2:$AF$9,0))&gt;SUM(_xlfn.XLOOKUP(_xlfn._xlws.FILTER(_xlfn.TOCOL(_xlfn.CHOOSECOLS(C177:L185,2,4,6,8,10),0,TRUE),_xlfn.TOCOL(_xlfn.CHOOSECOLS(C177:L185,1,3,5,7,9),0,TRUE)&lt;&gt;""),Lists!$AC$2:$AC$9,Lists!$AF$2:$AF$9,0)))*--(ROW()-ROW(C167)=_xlfn.XLOOKUP(MAX(IF(O168:O173&gt;0,INT(C168:C173)*3+MOD(ROUND(C168:C173*10,0),10),-1)),IF(O168:O173&gt;0,INT(C168:C173)*3+MOD(ROUND(C168:C173*10,0),10),-1),_xlfn.SEQUENCE(ROWS(O168:O173)),,0)))</f>
        <v/>
      </c>
      <c r="K172" s="68" t="str" cm="1">
        <f t="array" aca="1" ref="K172" ca="1">IF(OR(B172="",O172=""),"",--(SUM(_xlfn.XLOOKUP(_xlfn._xlws.FILTER(_xlfn.TOCOL(_xlfn.CHOOSECOLS(C156:L164,2,4,6,8,10),0,TRUE),_xlfn.TOCOL(_xlfn.CHOOSECOLS(C156:L164,1,3,5,7,9),0,TRUE)&lt;&gt;""),Lists!$AC$2:$AC$9,Lists!$AF$2:$AF$9,0))&lt;SUM(_xlfn.XLOOKUP(_xlfn._xlws.FILTER(_xlfn.TOCOL(_xlfn.CHOOSECOLS(C177:L185,2,4,6,8,10),0,TRUE),_xlfn.TOCOL(_xlfn.CHOOSECOLS(C177:L185,1,3,5,7,9),0,TRUE)&lt;&gt;""),Lists!$AC$2:$AC$9,Lists!$AF$2:$AF$9,0)))*--(ROW()-ROW(C167)=_xlfn.XLOOKUP(MAX(IF(O168:O173&gt;0,E168:E173,-1)),IF(O168:O173&gt;0,E168:E173,-1),_xlfn.SEQUENCE(ROWS(O168:O173)),,0)))</f>
        <v/>
      </c>
      <c r="L172" s="68" t="str" cm="1">
        <f t="array" aca="1" ref="L172" ca="1">IF(OR(B172="",O172=""),"",--(SUM(_xlfn.XLOOKUP(_xlfn._xlws.FILTER(_xlfn.TOCOL(_xlfn.CHOOSECOLS(C156:L164,2,4,6,8,10),0,TRUE),_xlfn.TOCOL(_xlfn.CHOOSECOLS(C156:L164,1,3,5,7,9),0,TRUE)&lt;&gt;""),Lists!$AC$2:$AC$9,Lists!$AF$2:$AF$9,0))&gt;SUM(_xlfn.XLOOKUP(_xlfn._xlws.FILTER(_xlfn.TOCOL(_xlfn.CHOOSECOLS(C177:L185,2,4,6,8,10),0,TRUE),_xlfn.TOCOL(_xlfn.CHOOSECOLS(C177:L185,1,3,5,7,9),0,TRUE)&lt;&gt;""),Lists!$AC$2:$AC$9,Lists!$AF$2:$AF$9,0)))*--(COUNTIF(O168:O173,"&gt;0")&gt;1)*--(ROW()-ROW(C167)=_xlfn.XLOOKUP(TRUE,O168:O173&gt;0,_xlfn.SEQUENCE(ROWS(O168:O173)),,0,-1))*--(_xlfn.XLOOKUP(TRUE,O168:O173&gt;0,_xlfn.SEQUENCE(ROWS(O168:O173)),,0,-1)&lt;&gt;_xlfn.XLOOKUP(MAX(IF(O168:O173&gt;0,INT(C168:C173)*3+MOD(ROUND(C168:C173*10,0),10),-1)),IF(O168:O173&gt;0,INT(C168:C173)*3+MOD(ROUND(C168:C173*10,0),10),-1),_xlfn.SEQUENCE(ROWS(O168:O173)),,0))*--(SUM(_xlfn.XLOOKUP(_xlfn._xlws.FILTER(_xlfn.TOCOL(_xlfn.CHOOSECOLS(C156:L164,2,4,6,8,10),0,TRUE),_xlfn.TOCOL(_xlfn.CHOOSECOLS(C156:L164,1,3,5,7,9),0,TRUE)&lt;&gt;""),Lists!$AC$2:$AC$9,Lists!$AF$2:$AF$9,0))-SUM(_xlfn.XLOOKUP(_xlfn._xlws.FILTER(_xlfn.TOCOL(_xlfn.CHOOSECOLS(C177:L185,2,4,6,8,10),0,TRUE),_xlfn.TOCOL(_xlfn.CHOOSECOLS(C177:L185,1,3,5,7,9),0,TRUE)&lt;&gt;""),Lists!$AC$2:$AC$9,Lists!$AF$2:$AF$9,0))&lt;=3)*--((INT(C172)*3+MOD(ROUND(C172*10,0),10))&gt;=3))</f>
        <v/>
      </c>
      <c r="M172" s="68" t="str" cm="1">
        <f t="array" ref="M172">IF(OR(B172="",O172=""),"",--(COUNTIF(O168:O173,"&gt;0")=1)*--(SUM(_xlfn.XLOOKUP(_xlfn._xlws.FILTER(_xlfn.TOCOL(_xlfn.CHOOSECOLS(C177:L185,2,4,6,8,10),0,TRUE),_xlfn.TOCOL(_xlfn.CHOOSECOLS(C177:L185,1,3,5,7,9),0,TRUE)&lt;&gt;""),Lists!$AC$2:$AC$9,Lists!$AF$2:$AF$9,0))=0))</f>
        <v/>
      </c>
      <c r="N172" s="69" t="str">
        <f>IF(OR(B172="",O172=""),"",--(COUNTIF(O168:O173,"&gt;0")=1))</f>
        <v/>
      </c>
      <c r="O172" s="51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</row>
    <row r="173" spans="1:110">
      <c r="A173" s="168">
        <v>6</v>
      </c>
      <c r="B173" s="71"/>
      <c r="C173" s="70" t="str" cm="1">
        <f t="array" aca="1" ref="C173" ca="1">IF(OR(B173="",O173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173" s="67" t="str" cm="1">
        <f t="array" aca="1" ref="D173" ca="1">IF(OR(B173="",O173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173" s="67" t="str" cm="1">
        <f t="array" aca="1" ref="E173" ca="1">IF(OR(B173="",O173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173" s="67" t="str" cm="1">
        <f t="array" aca="1" ref="F173" ca="1">IF(OR(B173="",O173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173" s="67" t="str" cm="1">
        <f t="array" aca="1" ref="G173" ca="1">IF(OR(B173="",O173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173" s="67" t="str" cm="1">
        <f t="array" aca="1" ref="H173" ca="1">IF(OR(B173="",O173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173" s="68" t="str" cm="1">
        <f t="array" aca="1" ref="I173" ca="1">IF(OR(B173="",O173=""),"",_xlfn.LET(_xlpm.flatPAraw,_xlfn.TOCOL(_xlfn.CHOOSECOLS(C177:L185,1,3,5,7,9),0,TRUE),_xlpm.flatPARraw,_xlfn.TOCOL(_xlfn.CHOOSECOLS(C177:L185,2,4,6,8,10),0,TRUE),_xlpm.flatPA,_xlfn._xlws.FILTER(_xlpm.flatPAraw,_xlpm.flatPAraw&lt;&gt;""),_xlpm.flatPAR,_xlfn._xlws.FILTER(_xlpm.flatPARraw,_xlpm.flatPAraw&lt;&gt;""),_xlpm.prev,IF(ROW()=ROW(C168),0,SUM(INDEX(O:O,ROW(C168)):INDEX(O:O,ROW()-1))),_xlpm.need,O173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173" s="68" t="str" cm="1">
        <f t="array" aca="1" ref="J173" ca="1">IF(OR(B173="",O173=""),"",--(SUM(_xlfn.XLOOKUP(_xlfn._xlws.FILTER(_xlfn.TOCOL(_xlfn.CHOOSECOLS(C156:L164,2,4,6,8,10),0,TRUE),_xlfn.TOCOL(_xlfn.CHOOSECOLS(C156:L164,1,3,5,7,9),0,TRUE)&lt;&gt;""),Lists!$AC$2:$AC$9,Lists!$AF$2:$AF$9,0))&gt;SUM(_xlfn.XLOOKUP(_xlfn._xlws.FILTER(_xlfn.TOCOL(_xlfn.CHOOSECOLS(C177:L185,2,4,6,8,10),0,TRUE),_xlfn.TOCOL(_xlfn.CHOOSECOLS(C177:L185,1,3,5,7,9),0,TRUE)&lt;&gt;""),Lists!$AC$2:$AC$9,Lists!$AF$2:$AF$9,0)))*--(ROW()-ROW(C167)=_xlfn.XLOOKUP(MAX(IF(O168:O173&gt;0,INT(C168:C173)*3+MOD(ROUND(C168:C173*10,0),10),-1)),IF(O168:O173&gt;0,INT(C168:C173)*3+MOD(ROUND(C168:C173*10,0),10),-1),_xlfn.SEQUENCE(ROWS(O168:O173)),,0)))</f>
        <v/>
      </c>
      <c r="K173" s="68" t="str" cm="1">
        <f t="array" aca="1" ref="K173" ca="1">IF(OR(B173="",O173=""),"",--(SUM(_xlfn.XLOOKUP(_xlfn._xlws.FILTER(_xlfn.TOCOL(_xlfn.CHOOSECOLS(C156:L164,2,4,6,8,10),0,TRUE),_xlfn.TOCOL(_xlfn.CHOOSECOLS(C156:L164,1,3,5,7,9),0,TRUE)&lt;&gt;""),Lists!$AC$2:$AC$9,Lists!$AF$2:$AF$9,0))&lt;SUM(_xlfn.XLOOKUP(_xlfn._xlws.FILTER(_xlfn.TOCOL(_xlfn.CHOOSECOLS(C177:L185,2,4,6,8,10),0,TRUE),_xlfn.TOCOL(_xlfn.CHOOSECOLS(C177:L185,1,3,5,7,9),0,TRUE)&lt;&gt;""),Lists!$AC$2:$AC$9,Lists!$AF$2:$AF$9,0)))*--(ROW()-ROW(C167)=_xlfn.XLOOKUP(MAX(IF(O168:O173&gt;0,E168:E173,-1)),IF(O168:O173&gt;0,E168:E173,-1),_xlfn.SEQUENCE(ROWS(O168:O173)),,0)))</f>
        <v/>
      </c>
      <c r="L173" s="68" t="str" cm="1">
        <f t="array" aca="1" ref="L173" ca="1">IF(OR(B173="",O173=""),"",--(SUM(_xlfn.XLOOKUP(_xlfn._xlws.FILTER(_xlfn.TOCOL(_xlfn.CHOOSECOLS(C156:L164,2,4,6,8,10),0,TRUE),_xlfn.TOCOL(_xlfn.CHOOSECOLS(C156:L164,1,3,5,7,9),0,TRUE)&lt;&gt;""),Lists!$AC$2:$AC$9,Lists!$AF$2:$AF$9,0))&gt;SUM(_xlfn.XLOOKUP(_xlfn._xlws.FILTER(_xlfn.TOCOL(_xlfn.CHOOSECOLS(C177:L185,2,4,6,8,10),0,TRUE),_xlfn.TOCOL(_xlfn.CHOOSECOLS(C177:L185,1,3,5,7,9),0,TRUE)&lt;&gt;""),Lists!$AC$2:$AC$9,Lists!$AF$2:$AF$9,0)))*--(COUNTIF(O168:O173,"&gt;0")&gt;1)*--(ROW()-ROW(C167)=_xlfn.XLOOKUP(TRUE,O168:O173&gt;0,_xlfn.SEQUENCE(ROWS(O168:O173)),,0,-1))*--(_xlfn.XLOOKUP(TRUE,O168:O173&gt;0,_xlfn.SEQUENCE(ROWS(O168:O173)),,0,-1)&lt;&gt;_xlfn.XLOOKUP(MAX(IF(O168:O173&gt;0,INT(C168:C173)*3+MOD(ROUND(C168:C173*10,0),10),-1)),IF(O168:O173&gt;0,INT(C168:C173)*3+MOD(ROUND(C168:C173*10,0),10),-1),_xlfn.SEQUENCE(ROWS(O168:O173)),,0))*--(SUM(_xlfn.XLOOKUP(_xlfn._xlws.FILTER(_xlfn.TOCOL(_xlfn.CHOOSECOLS(C156:L164,2,4,6,8,10),0,TRUE),_xlfn.TOCOL(_xlfn.CHOOSECOLS(C156:L164,1,3,5,7,9),0,TRUE)&lt;&gt;""),Lists!$AC$2:$AC$9,Lists!$AF$2:$AF$9,0))-SUM(_xlfn.XLOOKUP(_xlfn._xlws.FILTER(_xlfn.TOCOL(_xlfn.CHOOSECOLS(C177:L185,2,4,6,8,10),0,TRUE),_xlfn.TOCOL(_xlfn.CHOOSECOLS(C177:L185,1,3,5,7,9),0,TRUE)&lt;&gt;""),Lists!$AC$2:$AC$9,Lists!$AF$2:$AF$9,0))&lt;=3)*--((INT(C173)*3+MOD(ROUND(C173*10,0),10))&gt;=3))</f>
        <v/>
      </c>
      <c r="M173" s="68" t="str" cm="1">
        <f t="array" ref="M173">IF(OR(B173="",O173=""),"",--(COUNTIF(O168:O173,"&gt;0")=1)*--(SUM(_xlfn.XLOOKUP(_xlfn._xlws.FILTER(_xlfn.TOCOL(_xlfn.CHOOSECOLS(C177:L185,2,4,6,8,10),0,TRUE),_xlfn.TOCOL(_xlfn.CHOOSECOLS(C177:L185,1,3,5,7,9),0,TRUE)&lt;&gt;""),Lists!$AC$2:$AC$9,Lists!$AF$2:$AF$9,0))=0))</f>
        <v/>
      </c>
      <c r="N173" s="69" t="str">
        <f>IF(OR(B173="",O173=""),"",--(COUNTIF(O168:O173,"&gt;0")=1))</f>
        <v/>
      </c>
      <c r="O173" s="51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</row>
    <row r="174" spans="1:110">
      <c r="A174" s="173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3"/>
      <c r="Q174" s="53"/>
      <c r="R174" s="53"/>
      <c r="S174" s="53"/>
      <c r="T174" s="53"/>
      <c r="U174" s="53"/>
      <c r="V174" s="53"/>
      <c r="W174" s="53"/>
      <c r="X174" s="53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</row>
    <row r="175" spans="1:110">
      <c r="A175" s="205" t="str">
        <f ca="1">IF($R$149="","Team B Batting",$R$149&amp;" Batting")</f>
        <v>Aidan Batting</v>
      </c>
      <c r="B175" s="206"/>
      <c r="C175" s="206"/>
      <c r="D175" s="206"/>
      <c r="E175" s="206"/>
      <c r="F175" s="206"/>
      <c r="G175" s="206"/>
      <c r="H175" s="206"/>
      <c r="I175" s="206"/>
      <c r="J175" s="206"/>
      <c r="K175" s="206"/>
      <c r="L175" s="206"/>
      <c r="M175" s="206"/>
      <c r="N175" s="206"/>
      <c r="O175" s="181"/>
      <c r="P175" s="182"/>
      <c r="Q175" s="182"/>
      <c r="R175" s="182"/>
      <c r="S175" s="182"/>
      <c r="T175" s="182"/>
      <c r="U175" s="182"/>
      <c r="V175" s="182"/>
      <c r="W175" s="182"/>
      <c r="X175" s="182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</row>
    <row r="176" spans="1:110">
      <c r="A176" s="167" t="s">
        <v>164</v>
      </c>
      <c r="B176" s="43" t="s">
        <v>39</v>
      </c>
      <c r="C176" s="43" t="s">
        <v>165</v>
      </c>
      <c r="D176" s="43" t="s">
        <v>166</v>
      </c>
      <c r="E176" s="43" t="s">
        <v>167</v>
      </c>
      <c r="F176" s="43" t="s">
        <v>168</v>
      </c>
      <c r="G176" s="43" t="s">
        <v>169</v>
      </c>
      <c r="H176" s="43" t="s">
        <v>170</v>
      </c>
      <c r="I176" s="43" t="s">
        <v>171</v>
      </c>
      <c r="J176" s="43" t="s">
        <v>172</v>
      </c>
      <c r="K176" s="43" t="s">
        <v>173</v>
      </c>
      <c r="L176" s="43" t="s">
        <v>174</v>
      </c>
      <c r="M176" s="43" t="s">
        <v>175</v>
      </c>
      <c r="N176" s="44" t="s">
        <v>161</v>
      </c>
      <c r="O176" s="44" t="s">
        <v>162</v>
      </c>
      <c r="P176" s="44" t="s">
        <v>176</v>
      </c>
      <c r="Q176" s="44" t="s">
        <v>177</v>
      </c>
      <c r="R176" s="44" t="s">
        <v>178</v>
      </c>
      <c r="S176" s="44" t="s">
        <v>179</v>
      </c>
      <c r="T176" s="44" t="s">
        <v>180</v>
      </c>
      <c r="U176" s="44" t="s">
        <v>181</v>
      </c>
      <c r="V176" s="44" t="s">
        <v>182</v>
      </c>
      <c r="W176" s="44" t="s">
        <v>183</v>
      </c>
      <c r="X176" s="45" t="s">
        <v>184</v>
      </c>
      <c r="Y176" s="45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</row>
    <row r="177" spans="1:110">
      <c r="A177" s="168">
        <v>1</v>
      </c>
      <c r="B177" s="47" t="str">
        <f ca="1">Lineups!$H$47</f>
        <v>Blue Kritter</v>
      </c>
      <c r="C177" s="49" t="s">
        <v>185</v>
      </c>
      <c r="D177" s="49"/>
      <c r="E177" s="49" t="s">
        <v>193</v>
      </c>
      <c r="F177" s="49"/>
      <c r="G177" s="49"/>
      <c r="H177" s="50"/>
      <c r="I177" s="50"/>
      <c r="J177" s="50"/>
      <c r="K177" s="50"/>
      <c r="L177" s="50"/>
      <c r="M177" s="67">
        <f ca="1">IF($B177="","",SUM(_xlfn.XLOOKUP(C177,Lists!$P$2:$P$19,Lists!$R$2:$R$19,0),_xlfn.XLOOKUP(E177,Lists!$P$2:$P$19,Lists!$R$2:$R$19,0),_xlfn.XLOOKUP(G177,Lists!$P$2:$P$19,Lists!$R$2:$R$19,0),_xlfn.XLOOKUP(I177,Lists!$P$2:$P$19,Lists!$R$2:$R$19,0),_xlfn.XLOOKUP(K177,Lists!$P$2:$P$19,Lists!$R$2:$R$19,0)))</f>
        <v>2</v>
      </c>
      <c r="N177" s="68">
        <f ca="1">IF($B177="","",SUM(_xlfn.XLOOKUP(D177,Lists!$AC$2:$AC$9,Lists!$AE$2:$AE$9,0),_xlfn.XLOOKUP(F177,Lists!$AC$2:$AC$9,Lists!$AE$2:$AE$9,0),_xlfn.XLOOKUP(H177,Lists!$AC$2:$AC$9,Lists!$AE$2:$AE$9,0),_xlfn.XLOOKUP(J177,Lists!$AC$2:$AC$9,Lists!$AE$2:$AE$9,0),_xlfn.XLOOKUP(L177,Lists!$AC$2:$AC$9,Lists!$AE$2:$AE$9,0)))</f>
        <v>0</v>
      </c>
      <c r="O177" s="68">
        <f ca="1">IF($B177="","",SUM(_xlfn.XLOOKUP(C177,Lists!$P$2:$P$19,Lists!$S$2:$S$19,0),_xlfn.XLOOKUP(E177,Lists!$P$2:$P$19,Lists!$S$2:$S$19,0),_xlfn.XLOOKUP(G177,Lists!$P$2:$P$19,Lists!$S$2:$S$19,0),_xlfn.XLOOKUP(I177,Lists!$P$2:$P$19,Lists!$S$2:$S$19,0),_xlfn.XLOOKUP(K177,Lists!$P$2:$P$19,Lists!$S$2:$S$19,0)))</f>
        <v>0</v>
      </c>
      <c r="P177" s="68">
        <f ca="1">IF($B177="","",SUM(_xlfn.XLOOKUP(C177,Lists!$P$2:$P$19,Lists!$T$2:$T$19,0),_xlfn.XLOOKUP(E177,Lists!$P$2:$P$19,Lists!$T$2:$T$19,0),_xlfn.XLOOKUP(G177,Lists!$P$2:$P$19,Lists!$T$2:$T$19,0),_xlfn.XLOOKUP(I177,Lists!$P$2:$P$19,Lists!$T$2:$T$19,0),_xlfn.XLOOKUP(K177,Lists!$P$2:$P$19,Lists!$T$2:$T$19,0)))</f>
        <v>0</v>
      </c>
      <c r="Q177" s="68">
        <f ca="1">IF($B177="","",SUM(_xlfn.XLOOKUP(C177,Lists!$P$2:$P$19,Lists!$U$2:$U$19,0),_xlfn.XLOOKUP(E177,Lists!$P$2:$P$19,Lists!$U$2:$U$19,0),_xlfn.XLOOKUP(G177,Lists!$P$2:$P$19,Lists!$U$2:$U$19,0),_xlfn.XLOOKUP(I177,Lists!$P$2:$P$19,Lists!$U$2:$U$19,0),_xlfn.XLOOKUP(K177,Lists!$P$2:$P$19,Lists!$U$2:$U$19,0)))</f>
        <v>0</v>
      </c>
      <c r="R177" s="68">
        <f ca="1">IF($B177="","",SUM(_xlfn.XLOOKUP(C177,Lists!$P$2:$P$19,Lists!$V$2:$V$19,0),_xlfn.XLOOKUP(E177,Lists!$P$2:$P$19,Lists!$V$2:$V$19,0),_xlfn.XLOOKUP(G177,Lists!$P$2:$P$19,Lists!$V$2:$V$19,0),_xlfn.XLOOKUP(I177,Lists!$P$2:$P$19,Lists!$V$2:$V$19,0),_xlfn.XLOOKUP(K177,Lists!$P$2:$P$19,Lists!$V$2:$V$19,0)))</f>
        <v>0</v>
      </c>
      <c r="S177" s="68">
        <f ca="1">IF($B177="","",SUM(_xlfn.XLOOKUP(D177,Lists!$AC$2:$AC$9,Lists!$AD$2:$AD$9,0),_xlfn.XLOOKUP(F177,Lists!$AC$2:$AC$9,Lists!$AD$2:$AD$9,0),_xlfn.XLOOKUP(H177,Lists!$AC$2:$AC$9,Lists!$AD$2:$AD$9,0),_xlfn.XLOOKUP(J177,Lists!$AC$2:$AC$9,Lists!$AD$2:$AD$9,0),_xlfn.XLOOKUP(L177,Lists!$AC$2:$AC$9,Lists!$AD$2:$AD$9,0)))</f>
        <v>0</v>
      </c>
      <c r="T177" s="68">
        <f ca="1">IF($B177="","",SUM(_xlfn.XLOOKUP(C177,Lists!$P$2:$P$19,Lists!$W$2:$W$19,0),_xlfn.XLOOKUP(E177,Lists!$P$2:$P$19,Lists!$W$2:$W$19,0),_xlfn.XLOOKUP(G177,Lists!$P$2:$P$19,Lists!$W$2:$W$19,0),_xlfn.XLOOKUP(I177,Lists!$P$2:$P$19,Lists!$W$2:$W$19,0),_xlfn.XLOOKUP(K177,Lists!$P$2:$P$19,Lists!$W$2:$W$19,0)))</f>
        <v>0</v>
      </c>
      <c r="U177" s="68">
        <f ca="1">IF($B177="","",SUM(_xlfn.XLOOKUP(C177,Lists!$P$2:$P$19,Lists!$X$2:$X$19,0),_xlfn.XLOOKUP(E177,Lists!$P$2:$P$19,Lists!$X$2:$X$19,0),_xlfn.XLOOKUP(G177,Lists!$P$2:$P$19,Lists!$X$2:$X$19,0),_xlfn.XLOOKUP(I177,Lists!$P$2:$P$19,Lists!$X$2:$X$19,0),_xlfn.XLOOKUP(K177,Lists!$P$2:$P$19,Lists!$X$2:$X$19,0)))</f>
        <v>1</v>
      </c>
      <c r="V177" s="68">
        <f ca="1">IF($B177="","",SUM(_xlfn.XLOOKUP(C177,Lists!$P$2:$P$19,Lists!$Y$2:$Y$19,0),_xlfn.XLOOKUP(E177,Lists!$P$2:$P$19,Lists!$Y$2:$Y$19,0),_xlfn.XLOOKUP(G177,Lists!$P$2:$P$19,Lists!$Y$2:$Y$19,0),_xlfn.XLOOKUP(I177,Lists!$P$2:$P$19,Lists!$Y$2:$Y$19,0),_xlfn.XLOOKUP(K177,Lists!$P$2:$P$19,Lists!$Y$2:$Y$19,0)))</f>
        <v>0</v>
      </c>
      <c r="W177" s="68">
        <f ca="1">IF($B177="","",SUM(_xlfn.XLOOKUP(C177,Lists!$P$2:$P$19,Lists!$Z$2:$Z$19,0),_xlfn.XLOOKUP(E177,Lists!$P$2:$P$19,Lists!$Z$2:$Z$19,0),_xlfn.XLOOKUP(G177,Lists!$P$2:$P$19,Lists!$Z$2:$Z$19,0),_xlfn.XLOOKUP(I177,Lists!$P$2:$P$19,Lists!$Z$2:$Z$19,0),_xlfn.XLOOKUP(K177,Lists!$P$2:$P$19,Lists!$Z$2:$Z$19,0)))</f>
        <v>0</v>
      </c>
      <c r="X177" s="69">
        <f ca="1">IF($B177="","",SUM(_xlfn.XLOOKUP(C177,Lists!$P$2:$P$19,Lists!$AA$2:$AA$19,0),_xlfn.XLOOKUP(E177,Lists!$P$2:$P$19,Lists!$AA$2:$AA$19,0),_xlfn.XLOOKUP(G177,Lists!$P$2:$P$19,Lists!$AA$2:$AA$19,0),_xlfn.XLOOKUP(I177,Lists!$P$2:$P$19,Lists!$AA$2:$AA$19,0),_xlfn.XLOOKUP(K177,Lists!$P$2:$P$19,Lists!$AA$2:$AA$19,0)))</f>
        <v>0</v>
      </c>
      <c r="Y177" s="49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</row>
    <row r="178" spans="1:110">
      <c r="A178" s="168">
        <v>2</v>
      </c>
      <c r="B178" s="47" t="str">
        <f ca="1">Lineups!$H$48</f>
        <v>Mario</v>
      </c>
      <c r="C178" s="49" t="s">
        <v>185</v>
      </c>
      <c r="D178" s="49"/>
      <c r="E178" s="49" t="s">
        <v>189</v>
      </c>
      <c r="F178" s="49"/>
      <c r="G178" s="49"/>
      <c r="H178" s="50"/>
      <c r="I178" s="50"/>
      <c r="J178" s="50"/>
      <c r="K178" s="50"/>
      <c r="L178" s="50"/>
      <c r="M178" s="67">
        <f ca="1">IF($B178="","",SUM(_xlfn.XLOOKUP(C178,Lists!$P$2:$P$19,Lists!$R$2:$R$19,0),_xlfn.XLOOKUP(E178,Lists!$P$2:$P$19,Lists!$R$2:$R$19,0),_xlfn.XLOOKUP(G178,Lists!$P$2:$P$19,Lists!$R$2:$R$19,0),_xlfn.XLOOKUP(I178,Lists!$P$2:$P$19,Lists!$R$2:$R$19,0),_xlfn.XLOOKUP(K178,Lists!$P$2:$P$19,Lists!$R$2:$R$19,0)))</f>
        <v>2</v>
      </c>
      <c r="N178" s="68">
        <f ca="1">IF($B178="","",SUM(_xlfn.XLOOKUP(D178,Lists!$AC$2:$AC$9,Lists!$AE$2:$AE$9,0),_xlfn.XLOOKUP(F178,Lists!$AC$2:$AC$9,Lists!$AE$2:$AE$9,0),_xlfn.XLOOKUP(H178,Lists!$AC$2:$AC$9,Lists!$AE$2:$AE$9,0),_xlfn.XLOOKUP(J178,Lists!$AC$2:$AC$9,Lists!$AE$2:$AE$9,0),_xlfn.XLOOKUP(L178,Lists!$AC$2:$AC$9,Lists!$AE$2:$AE$9,0)))</f>
        <v>0</v>
      </c>
      <c r="O178" s="68">
        <f ca="1">IF($B178="","",SUM(_xlfn.XLOOKUP(C178,Lists!$P$2:$P$19,Lists!$S$2:$S$19,0),_xlfn.XLOOKUP(E178,Lists!$P$2:$P$19,Lists!$S$2:$S$19,0),_xlfn.XLOOKUP(G178,Lists!$P$2:$P$19,Lists!$S$2:$S$19,0),_xlfn.XLOOKUP(I178,Lists!$P$2:$P$19,Lists!$S$2:$S$19,0),_xlfn.XLOOKUP(K178,Lists!$P$2:$P$19,Lists!$S$2:$S$19,0)))</f>
        <v>0</v>
      </c>
      <c r="P178" s="68">
        <f ca="1">IF($B178="","",SUM(_xlfn.XLOOKUP(C178,Lists!$P$2:$P$19,Lists!$T$2:$T$19,0),_xlfn.XLOOKUP(E178,Lists!$P$2:$P$19,Lists!$T$2:$T$19,0),_xlfn.XLOOKUP(G178,Lists!$P$2:$P$19,Lists!$T$2:$T$19,0),_xlfn.XLOOKUP(I178,Lists!$P$2:$P$19,Lists!$T$2:$T$19,0),_xlfn.XLOOKUP(K178,Lists!$P$2:$P$19,Lists!$T$2:$T$19,0)))</f>
        <v>0</v>
      </c>
      <c r="Q178" s="68">
        <f ca="1">IF($B178="","",SUM(_xlfn.XLOOKUP(C178,Lists!$P$2:$P$19,Lists!$U$2:$U$19,0),_xlfn.XLOOKUP(E178,Lists!$P$2:$P$19,Lists!$U$2:$U$19,0),_xlfn.XLOOKUP(G178,Lists!$P$2:$P$19,Lists!$U$2:$U$19,0),_xlfn.XLOOKUP(I178,Lists!$P$2:$P$19,Lists!$U$2:$U$19,0),_xlfn.XLOOKUP(K178,Lists!$P$2:$P$19,Lists!$U$2:$U$19,0)))</f>
        <v>0</v>
      </c>
      <c r="R178" s="68">
        <f ca="1">IF($B178="","",SUM(_xlfn.XLOOKUP(C178,Lists!$P$2:$P$19,Lists!$V$2:$V$19,0),_xlfn.XLOOKUP(E178,Lists!$P$2:$P$19,Lists!$V$2:$V$19,0),_xlfn.XLOOKUP(G178,Lists!$P$2:$P$19,Lists!$V$2:$V$19,0),_xlfn.XLOOKUP(I178,Lists!$P$2:$P$19,Lists!$V$2:$V$19,0),_xlfn.XLOOKUP(K178,Lists!$P$2:$P$19,Lists!$V$2:$V$19,0)))</f>
        <v>0</v>
      </c>
      <c r="S178" s="68">
        <f ca="1">IF($B178="","",SUM(_xlfn.XLOOKUP(D178,Lists!$AC$2:$AC$9,Lists!$AD$2:$AD$9,0),_xlfn.XLOOKUP(F178,Lists!$AC$2:$AC$9,Lists!$AD$2:$AD$9,0),_xlfn.XLOOKUP(H178,Lists!$AC$2:$AC$9,Lists!$AD$2:$AD$9,0),_xlfn.XLOOKUP(J178,Lists!$AC$2:$AC$9,Lists!$AD$2:$AD$9,0),_xlfn.XLOOKUP(L178,Lists!$AC$2:$AC$9,Lists!$AD$2:$AD$9,0)))</f>
        <v>0</v>
      </c>
      <c r="T178" s="68">
        <f ca="1">IF($B178="","",SUM(_xlfn.XLOOKUP(C178,Lists!$P$2:$P$19,Lists!$W$2:$W$19,0),_xlfn.XLOOKUP(E178,Lists!$P$2:$P$19,Lists!$W$2:$W$19,0),_xlfn.XLOOKUP(G178,Lists!$P$2:$P$19,Lists!$W$2:$W$19,0),_xlfn.XLOOKUP(I178,Lists!$P$2:$P$19,Lists!$W$2:$W$19,0),_xlfn.XLOOKUP(K178,Lists!$P$2:$P$19,Lists!$W$2:$W$19,0)))</f>
        <v>0</v>
      </c>
      <c r="U178" s="68">
        <f ca="1">IF($B178="","",SUM(_xlfn.XLOOKUP(C178,Lists!$P$2:$P$19,Lists!$X$2:$X$19,0),_xlfn.XLOOKUP(E178,Lists!$P$2:$P$19,Lists!$X$2:$X$19,0),_xlfn.XLOOKUP(G178,Lists!$P$2:$P$19,Lists!$X$2:$X$19,0),_xlfn.XLOOKUP(I178,Lists!$P$2:$P$19,Lists!$X$2:$X$19,0),_xlfn.XLOOKUP(K178,Lists!$P$2:$P$19,Lists!$X$2:$X$19,0)))</f>
        <v>1</v>
      </c>
      <c r="V178" s="68">
        <f ca="1">IF($B178="","",SUM(_xlfn.XLOOKUP(C178,Lists!$P$2:$P$19,Lists!$Y$2:$Y$19,0),_xlfn.XLOOKUP(E178,Lists!$P$2:$P$19,Lists!$Y$2:$Y$19,0),_xlfn.XLOOKUP(G178,Lists!$P$2:$P$19,Lists!$Y$2:$Y$19,0),_xlfn.XLOOKUP(I178,Lists!$P$2:$P$19,Lists!$Y$2:$Y$19,0),_xlfn.XLOOKUP(K178,Lists!$P$2:$P$19,Lists!$Y$2:$Y$19,0)))</f>
        <v>0</v>
      </c>
      <c r="W178" s="68">
        <f ca="1">IF($B178="","",SUM(_xlfn.XLOOKUP(C178,Lists!$P$2:$P$19,Lists!$Z$2:$Z$19,0),_xlfn.XLOOKUP(E178,Lists!$P$2:$P$19,Lists!$Z$2:$Z$19,0),_xlfn.XLOOKUP(G178,Lists!$P$2:$P$19,Lists!$Z$2:$Z$19,0),_xlfn.XLOOKUP(I178,Lists!$P$2:$P$19,Lists!$Z$2:$Z$19,0),_xlfn.XLOOKUP(K178,Lists!$P$2:$P$19,Lists!$Z$2:$Z$19,0)))</f>
        <v>0</v>
      </c>
      <c r="X178" s="69">
        <f ca="1">IF($B178="","",SUM(_xlfn.XLOOKUP(C178,Lists!$P$2:$P$19,Lists!$AA$2:$AA$19,0),_xlfn.XLOOKUP(E178,Lists!$P$2:$P$19,Lists!$AA$2:$AA$19,0),_xlfn.XLOOKUP(G178,Lists!$P$2:$P$19,Lists!$AA$2:$AA$19,0),_xlfn.XLOOKUP(I178,Lists!$P$2:$P$19,Lists!$AA$2:$AA$19,0),_xlfn.XLOOKUP(K178,Lists!$P$2:$P$19,Lists!$AA$2:$AA$19,0)))</f>
        <v>0</v>
      </c>
      <c r="Y178" s="49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</row>
    <row r="179" spans="1:110">
      <c r="A179" s="168">
        <v>3</v>
      </c>
      <c r="B179" s="47" t="str">
        <f ca="1">Lineups!$H$49</f>
        <v>Luigi</v>
      </c>
      <c r="C179" s="49" t="s">
        <v>185</v>
      </c>
      <c r="D179" s="49"/>
      <c r="E179" s="49" t="s">
        <v>186</v>
      </c>
      <c r="F179" s="49"/>
      <c r="G179" s="49"/>
      <c r="H179" s="50"/>
      <c r="I179" s="50"/>
      <c r="J179" s="50"/>
      <c r="K179" s="50"/>
      <c r="L179" s="50"/>
      <c r="M179" s="67">
        <f ca="1">IF($B179="","",SUM(_xlfn.XLOOKUP(C179,Lists!$P$2:$P$19,Lists!$R$2:$R$19,0),_xlfn.XLOOKUP(E179,Lists!$P$2:$P$19,Lists!$R$2:$R$19,0),_xlfn.XLOOKUP(G179,Lists!$P$2:$P$19,Lists!$R$2:$R$19,0),_xlfn.XLOOKUP(I179,Lists!$P$2:$P$19,Lists!$R$2:$R$19,0),_xlfn.XLOOKUP(K179,Lists!$P$2:$P$19,Lists!$R$2:$R$19,0)))</f>
        <v>2</v>
      </c>
      <c r="N179" s="68">
        <f ca="1">IF($B179="","",SUM(_xlfn.XLOOKUP(D179,Lists!$AC$2:$AC$9,Lists!$AE$2:$AE$9,0),_xlfn.XLOOKUP(F179,Lists!$AC$2:$AC$9,Lists!$AE$2:$AE$9,0),_xlfn.XLOOKUP(H179,Lists!$AC$2:$AC$9,Lists!$AE$2:$AE$9,0),_xlfn.XLOOKUP(J179,Lists!$AC$2:$AC$9,Lists!$AE$2:$AE$9,0),_xlfn.XLOOKUP(L179,Lists!$AC$2:$AC$9,Lists!$AE$2:$AE$9,0)))</f>
        <v>0</v>
      </c>
      <c r="O179" s="68">
        <f ca="1">IF($B179="","",SUM(_xlfn.XLOOKUP(C179,Lists!$P$2:$P$19,Lists!$S$2:$S$19,0),_xlfn.XLOOKUP(E179,Lists!$P$2:$P$19,Lists!$S$2:$S$19,0),_xlfn.XLOOKUP(G179,Lists!$P$2:$P$19,Lists!$S$2:$S$19,0),_xlfn.XLOOKUP(I179,Lists!$P$2:$P$19,Lists!$S$2:$S$19,0),_xlfn.XLOOKUP(K179,Lists!$P$2:$P$19,Lists!$S$2:$S$19,0)))</f>
        <v>0</v>
      </c>
      <c r="P179" s="68">
        <f ca="1">IF($B179="","",SUM(_xlfn.XLOOKUP(C179,Lists!$P$2:$P$19,Lists!$T$2:$T$19,0),_xlfn.XLOOKUP(E179,Lists!$P$2:$P$19,Lists!$T$2:$T$19,0),_xlfn.XLOOKUP(G179,Lists!$P$2:$P$19,Lists!$T$2:$T$19,0),_xlfn.XLOOKUP(I179,Lists!$P$2:$P$19,Lists!$T$2:$T$19,0),_xlfn.XLOOKUP(K179,Lists!$P$2:$P$19,Lists!$T$2:$T$19,0)))</f>
        <v>0</v>
      </c>
      <c r="Q179" s="68">
        <f ca="1">IF($B179="","",SUM(_xlfn.XLOOKUP(C179,Lists!$P$2:$P$19,Lists!$U$2:$U$19,0),_xlfn.XLOOKUP(E179,Lists!$P$2:$P$19,Lists!$U$2:$U$19,0),_xlfn.XLOOKUP(G179,Lists!$P$2:$P$19,Lists!$U$2:$U$19,0),_xlfn.XLOOKUP(I179,Lists!$P$2:$P$19,Lists!$U$2:$U$19,0),_xlfn.XLOOKUP(K179,Lists!$P$2:$P$19,Lists!$U$2:$U$19,0)))</f>
        <v>0</v>
      </c>
      <c r="R179" s="68">
        <f ca="1">IF($B179="","",SUM(_xlfn.XLOOKUP(C179,Lists!$P$2:$P$19,Lists!$V$2:$V$19,0),_xlfn.XLOOKUP(E179,Lists!$P$2:$P$19,Lists!$V$2:$V$19,0),_xlfn.XLOOKUP(G179,Lists!$P$2:$P$19,Lists!$V$2:$V$19,0),_xlfn.XLOOKUP(I179,Lists!$P$2:$P$19,Lists!$V$2:$V$19,0),_xlfn.XLOOKUP(K179,Lists!$P$2:$P$19,Lists!$V$2:$V$19,0)))</f>
        <v>0</v>
      </c>
      <c r="S179" s="68">
        <f ca="1">IF($B179="","",SUM(_xlfn.XLOOKUP(D179,Lists!$AC$2:$AC$9,Lists!$AD$2:$AD$9,0),_xlfn.XLOOKUP(F179,Lists!$AC$2:$AC$9,Lists!$AD$2:$AD$9,0),_xlfn.XLOOKUP(H179,Lists!$AC$2:$AC$9,Lists!$AD$2:$AD$9,0),_xlfn.XLOOKUP(J179,Lists!$AC$2:$AC$9,Lists!$AD$2:$AD$9,0),_xlfn.XLOOKUP(L179,Lists!$AC$2:$AC$9,Lists!$AD$2:$AD$9,0)))</f>
        <v>0</v>
      </c>
      <c r="T179" s="68">
        <f ca="1">IF($B179="","",SUM(_xlfn.XLOOKUP(C179,Lists!$P$2:$P$19,Lists!$W$2:$W$19,0),_xlfn.XLOOKUP(E179,Lists!$P$2:$P$19,Lists!$W$2:$W$19,0),_xlfn.XLOOKUP(G179,Lists!$P$2:$P$19,Lists!$W$2:$W$19,0),_xlfn.XLOOKUP(I179,Lists!$P$2:$P$19,Lists!$W$2:$W$19,0),_xlfn.XLOOKUP(K179,Lists!$P$2:$P$19,Lists!$W$2:$W$19,0)))</f>
        <v>0</v>
      </c>
      <c r="U179" s="68">
        <f ca="1">IF($B179="","",SUM(_xlfn.XLOOKUP(C179,Lists!$P$2:$P$19,Lists!$X$2:$X$19,0),_xlfn.XLOOKUP(E179,Lists!$P$2:$P$19,Lists!$X$2:$X$19,0),_xlfn.XLOOKUP(G179,Lists!$P$2:$P$19,Lists!$X$2:$X$19,0),_xlfn.XLOOKUP(I179,Lists!$P$2:$P$19,Lists!$X$2:$X$19,0),_xlfn.XLOOKUP(K179,Lists!$P$2:$P$19,Lists!$X$2:$X$19,0)))</f>
        <v>1</v>
      </c>
      <c r="V179" s="68">
        <f ca="1">IF($B179="","",SUM(_xlfn.XLOOKUP(C179,Lists!$P$2:$P$19,Lists!$Y$2:$Y$19,0),_xlfn.XLOOKUP(E179,Lists!$P$2:$P$19,Lists!$Y$2:$Y$19,0),_xlfn.XLOOKUP(G179,Lists!$P$2:$P$19,Lists!$Y$2:$Y$19,0),_xlfn.XLOOKUP(I179,Lists!$P$2:$P$19,Lists!$Y$2:$Y$19,0),_xlfn.XLOOKUP(K179,Lists!$P$2:$P$19,Lists!$Y$2:$Y$19,0)))</f>
        <v>0</v>
      </c>
      <c r="W179" s="68">
        <f ca="1">IF($B179="","",SUM(_xlfn.XLOOKUP(C179,Lists!$P$2:$P$19,Lists!$Z$2:$Z$19,0),_xlfn.XLOOKUP(E179,Lists!$P$2:$P$19,Lists!$Z$2:$Z$19,0),_xlfn.XLOOKUP(G179,Lists!$P$2:$P$19,Lists!$Z$2:$Z$19,0),_xlfn.XLOOKUP(I179,Lists!$P$2:$P$19,Lists!$Z$2:$Z$19,0),_xlfn.XLOOKUP(K179,Lists!$P$2:$P$19,Lists!$Z$2:$Z$19,0)))</f>
        <v>0</v>
      </c>
      <c r="X179" s="69">
        <f ca="1">IF($B179="","",SUM(_xlfn.XLOOKUP(C179,Lists!$P$2:$P$19,Lists!$AA$2:$AA$19,0),_xlfn.XLOOKUP(E179,Lists!$P$2:$P$19,Lists!$AA$2:$AA$19,0),_xlfn.XLOOKUP(G179,Lists!$P$2:$P$19,Lists!$AA$2:$AA$19,0),_xlfn.XLOOKUP(I179,Lists!$P$2:$P$19,Lists!$AA$2:$AA$19,0),_xlfn.XLOOKUP(K179,Lists!$P$2:$P$19,Lists!$AA$2:$AA$19,0)))</f>
        <v>0</v>
      </c>
      <c r="Y179" s="49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</row>
    <row r="180" spans="1:110">
      <c r="A180" s="168">
        <v>4</v>
      </c>
      <c r="B180" s="47" t="str">
        <f ca="1">Lineups!$H$50</f>
        <v>Blue Pianta</v>
      </c>
      <c r="C180" s="49" t="s">
        <v>188</v>
      </c>
      <c r="D180" s="49" t="s">
        <v>187</v>
      </c>
      <c r="E180" s="49"/>
      <c r="F180" s="49"/>
      <c r="G180" s="49"/>
      <c r="H180" s="50"/>
      <c r="I180" s="50"/>
      <c r="J180" s="50"/>
      <c r="K180" s="50"/>
      <c r="L180" s="50"/>
      <c r="M180" s="67">
        <f ca="1">IF($B180="","",SUM(_xlfn.XLOOKUP(C180,Lists!$P$2:$P$19,Lists!$R$2:$R$19,0),_xlfn.XLOOKUP(E180,Lists!$P$2:$P$19,Lists!$R$2:$R$19,0),_xlfn.XLOOKUP(G180,Lists!$P$2:$P$19,Lists!$R$2:$R$19,0),_xlfn.XLOOKUP(I180,Lists!$P$2:$P$19,Lists!$R$2:$R$19,0),_xlfn.XLOOKUP(K180,Lists!$P$2:$P$19,Lists!$R$2:$R$19,0)))</f>
        <v>1</v>
      </c>
      <c r="N180" s="68">
        <f ca="1">IF($B180="","",SUM(_xlfn.XLOOKUP(D180,Lists!$AC$2:$AC$9,Lists!$AE$2:$AE$9,0),_xlfn.XLOOKUP(F180,Lists!$AC$2:$AC$9,Lists!$AE$2:$AE$9,0),_xlfn.XLOOKUP(H180,Lists!$AC$2:$AC$9,Lists!$AE$2:$AE$9,0),_xlfn.XLOOKUP(J180,Lists!$AC$2:$AC$9,Lists!$AE$2:$AE$9,0),_xlfn.XLOOKUP(L180,Lists!$AC$2:$AC$9,Lists!$AE$2:$AE$9,0)))</f>
        <v>1</v>
      </c>
      <c r="O180" s="68">
        <f ca="1">IF($B180="","",SUM(_xlfn.XLOOKUP(C180,Lists!$P$2:$P$19,Lists!$S$2:$S$19,0),_xlfn.XLOOKUP(E180,Lists!$P$2:$P$19,Lists!$S$2:$S$19,0),_xlfn.XLOOKUP(G180,Lists!$P$2:$P$19,Lists!$S$2:$S$19,0),_xlfn.XLOOKUP(I180,Lists!$P$2:$P$19,Lists!$S$2:$S$19,0),_xlfn.XLOOKUP(K180,Lists!$P$2:$P$19,Lists!$S$2:$S$19,0)))</f>
        <v>1</v>
      </c>
      <c r="P180" s="68">
        <f ca="1">IF($B180="","",SUM(_xlfn.XLOOKUP(C180,Lists!$P$2:$P$19,Lists!$T$2:$T$19,0),_xlfn.XLOOKUP(E180,Lists!$P$2:$P$19,Lists!$T$2:$T$19,0),_xlfn.XLOOKUP(G180,Lists!$P$2:$P$19,Lists!$T$2:$T$19,0),_xlfn.XLOOKUP(I180,Lists!$P$2:$P$19,Lists!$T$2:$T$19,0),_xlfn.XLOOKUP(K180,Lists!$P$2:$P$19,Lists!$T$2:$T$19,0)))</f>
        <v>0</v>
      </c>
      <c r="Q180" s="68">
        <f ca="1">IF($B180="","",SUM(_xlfn.XLOOKUP(C180,Lists!$P$2:$P$19,Lists!$U$2:$U$19,0),_xlfn.XLOOKUP(E180,Lists!$P$2:$P$19,Lists!$U$2:$U$19,0),_xlfn.XLOOKUP(G180,Lists!$P$2:$P$19,Lists!$U$2:$U$19,0),_xlfn.XLOOKUP(I180,Lists!$P$2:$P$19,Lists!$U$2:$U$19,0),_xlfn.XLOOKUP(K180,Lists!$P$2:$P$19,Lists!$U$2:$U$19,0)))</f>
        <v>0</v>
      </c>
      <c r="R180" s="68">
        <f ca="1">IF($B180="","",SUM(_xlfn.XLOOKUP(C180,Lists!$P$2:$P$19,Lists!$V$2:$V$19,0),_xlfn.XLOOKUP(E180,Lists!$P$2:$P$19,Lists!$V$2:$V$19,0),_xlfn.XLOOKUP(G180,Lists!$P$2:$P$19,Lists!$V$2:$V$19,0),_xlfn.XLOOKUP(I180,Lists!$P$2:$P$19,Lists!$V$2:$V$19,0),_xlfn.XLOOKUP(K180,Lists!$P$2:$P$19,Lists!$V$2:$V$19,0)))</f>
        <v>0</v>
      </c>
      <c r="S180" s="68">
        <f ca="1">IF($B180="","",SUM(_xlfn.XLOOKUP(D180,Lists!$AC$2:$AC$9,Lists!$AD$2:$AD$9,0),_xlfn.XLOOKUP(F180,Lists!$AC$2:$AC$9,Lists!$AD$2:$AD$9,0),_xlfn.XLOOKUP(H180,Lists!$AC$2:$AC$9,Lists!$AD$2:$AD$9,0),_xlfn.XLOOKUP(J180,Lists!$AC$2:$AC$9,Lists!$AD$2:$AD$9,0),_xlfn.XLOOKUP(L180,Lists!$AC$2:$AC$9,Lists!$AD$2:$AD$9,0)))</f>
        <v>0</v>
      </c>
      <c r="T180" s="68">
        <f ca="1">IF($B180="","",SUM(_xlfn.XLOOKUP(C180,Lists!$P$2:$P$19,Lists!$W$2:$W$19,0),_xlfn.XLOOKUP(E180,Lists!$P$2:$P$19,Lists!$W$2:$W$19,0),_xlfn.XLOOKUP(G180,Lists!$P$2:$P$19,Lists!$W$2:$W$19,0),_xlfn.XLOOKUP(I180,Lists!$P$2:$P$19,Lists!$W$2:$W$19,0),_xlfn.XLOOKUP(K180,Lists!$P$2:$P$19,Lists!$W$2:$W$19,0)))</f>
        <v>0</v>
      </c>
      <c r="U180" s="68">
        <f ca="1">IF($B180="","",SUM(_xlfn.XLOOKUP(C180,Lists!$P$2:$P$19,Lists!$X$2:$X$19,0),_xlfn.XLOOKUP(E180,Lists!$P$2:$P$19,Lists!$X$2:$X$19,0),_xlfn.XLOOKUP(G180,Lists!$P$2:$P$19,Lists!$X$2:$X$19,0),_xlfn.XLOOKUP(I180,Lists!$P$2:$P$19,Lists!$X$2:$X$19,0),_xlfn.XLOOKUP(K180,Lists!$P$2:$P$19,Lists!$X$2:$X$19,0)))</f>
        <v>0</v>
      </c>
      <c r="V180" s="68">
        <f ca="1">IF($B180="","",SUM(_xlfn.XLOOKUP(C180,Lists!$P$2:$P$19,Lists!$Y$2:$Y$19,0),_xlfn.XLOOKUP(E180,Lists!$P$2:$P$19,Lists!$Y$2:$Y$19,0),_xlfn.XLOOKUP(G180,Lists!$P$2:$P$19,Lists!$Y$2:$Y$19,0),_xlfn.XLOOKUP(I180,Lists!$P$2:$P$19,Lists!$Y$2:$Y$19,0),_xlfn.XLOOKUP(K180,Lists!$P$2:$P$19,Lists!$Y$2:$Y$19,0)))</f>
        <v>0</v>
      </c>
      <c r="W180" s="68">
        <f ca="1">IF($B180="","",SUM(_xlfn.XLOOKUP(C180,Lists!$P$2:$P$19,Lists!$Z$2:$Z$19,0),_xlfn.XLOOKUP(E180,Lists!$P$2:$P$19,Lists!$Z$2:$Z$19,0),_xlfn.XLOOKUP(G180,Lists!$P$2:$P$19,Lists!$Z$2:$Z$19,0),_xlfn.XLOOKUP(I180,Lists!$P$2:$P$19,Lists!$Z$2:$Z$19,0),_xlfn.XLOOKUP(K180,Lists!$P$2:$P$19,Lists!$Z$2:$Z$19,0)))</f>
        <v>0</v>
      </c>
      <c r="X180" s="69">
        <f ca="1">IF($B180="","",SUM(_xlfn.XLOOKUP(C180,Lists!$P$2:$P$19,Lists!$AA$2:$AA$19,0),_xlfn.XLOOKUP(E180,Lists!$P$2:$P$19,Lists!$AA$2:$AA$19,0),_xlfn.XLOOKUP(G180,Lists!$P$2:$P$19,Lists!$AA$2:$AA$19,0),_xlfn.XLOOKUP(I180,Lists!$P$2:$P$19,Lists!$AA$2:$AA$19,0),_xlfn.XLOOKUP(K180,Lists!$P$2:$P$19,Lists!$AA$2:$AA$19,0)))</f>
        <v>0</v>
      </c>
      <c r="Y180" s="49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</row>
    <row r="181" spans="1:110">
      <c r="A181" s="168">
        <v>5</v>
      </c>
      <c r="B181" s="47" t="str">
        <f ca="1">Lineups!$H$51</f>
        <v>Dark Bones</v>
      </c>
      <c r="C181" s="49" t="s">
        <v>178</v>
      </c>
      <c r="D181" s="49" t="s">
        <v>204</v>
      </c>
      <c r="E181" s="49"/>
      <c r="F181" s="49"/>
      <c r="G181" s="49"/>
      <c r="H181" s="50"/>
      <c r="I181" s="50"/>
      <c r="J181" s="50"/>
      <c r="K181" s="50"/>
      <c r="L181" s="50"/>
      <c r="M181" s="67">
        <f ca="1">IF($B181="","",SUM(_xlfn.XLOOKUP(C181,Lists!$P$2:$P$19,Lists!$R$2:$R$19,0),_xlfn.XLOOKUP(E181,Lists!$P$2:$P$19,Lists!$R$2:$R$19,0),_xlfn.XLOOKUP(G181,Lists!$P$2:$P$19,Lists!$R$2:$R$19,0),_xlfn.XLOOKUP(I181,Lists!$P$2:$P$19,Lists!$R$2:$R$19,0),_xlfn.XLOOKUP(K181,Lists!$P$2:$P$19,Lists!$R$2:$R$19,0)))</f>
        <v>1</v>
      </c>
      <c r="N181" s="68">
        <f ca="1">IF($B181="","",SUM(_xlfn.XLOOKUP(D181,Lists!$AC$2:$AC$9,Lists!$AE$2:$AE$9,0),_xlfn.XLOOKUP(F181,Lists!$AC$2:$AC$9,Lists!$AE$2:$AE$9,0),_xlfn.XLOOKUP(H181,Lists!$AC$2:$AC$9,Lists!$AE$2:$AE$9,0),_xlfn.XLOOKUP(J181,Lists!$AC$2:$AC$9,Lists!$AE$2:$AE$9,0),_xlfn.XLOOKUP(L181,Lists!$AC$2:$AC$9,Lists!$AE$2:$AE$9,0)))</f>
        <v>1</v>
      </c>
      <c r="O181" s="68">
        <f ca="1">IF($B181="","",SUM(_xlfn.XLOOKUP(C181,Lists!$P$2:$P$19,Lists!$S$2:$S$19,0),_xlfn.XLOOKUP(E181,Lists!$P$2:$P$19,Lists!$S$2:$S$19,0),_xlfn.XLOOKUP(G181,Lists!$P$2:$P$19,Lists!$S$2:$S$19,0),_xlfn.XLOOKUP(I181,Lists!$P$2:$P$19,Lists!$S$2:$S$19,0),_xlfn.XLOOKUP(K181,Lists!$P$2:$P$19,Lists!$S$2:$S$19,0)))</f>
        <v>1</v>
      </c>
      <c r="P181" s="68">
        <f ca="1">IF($B181="","",SUM(_xlfn.XLOOKUP(C181,Lists!$P$2:$P$19,Lists!$T$2:$T$19,0),_xlfn.XLOOKUP(E181,Lists!$P$2:$P$19,Lists!$T$2:$T$19,0),_xlfn.XLOOKUP(G181,Lists!$P$2:$P$19,Lists!$T$2:$T$19,0),_xlfn.XLOOKUP(I181,Lists!$P$2:$P$19,Lists!$T$2:$T$19,0),_xlfn.XLOOKUP(K181,Lists!$P$2:$P$19,Lists!$T$2:$T$19,0)))</f>
        <v>0</v>
      </c>
      <c r="Q181" s="68">
        <f ca="1">IF($B181="","",SUM(_xlfn.XLOOKUP(C181,Lists!$P$2:$P$19,Lists!$U$2:$U$19,0),_xlfn.XLOOKUP(E181,Lists!$P$2:$P$19,Lists!$U$2:$U$19,0),_xlfn.XLOOKUP(G181,Lists!$P$2:$P$19,Lists!$U$2:$U$19,0),_xlfn.XLOOKUP(I181,Lists!$P$2:$P$19,Lists!$U$2:$U$19,0),_xlfn.XLOOKUP(K181,Lists!$P$2:$P$19,Lists!$U$2:$U$19,0)))</f>
        <v>0</v>
      </c>
      <c r="R181" s="68">
        <f ca="1">IF($B181="","",SUM(_xlfn.XLOOKUP(C181,Lists!$P$2:$P$19,Lists!$V$2:$V$19,0),_xlfn.XLOOKUP(E181,Lists!$P$2:$P$19,Lists!$V$2:$V$19,0),_xlfn.XLOOKUP(G181,Lists!$P$2:$P$19,Lists!$V$2:$V$19,0),_xlfn.XLOOKUP(I181,Lists!$P$2:$P$19,Lists!$V$2:$V$19,0),_xlfn.XLOOKUP(K181,Lists!$P$2:$P$19,Lists!$V$2:$V$19,0)))</f>
        <v>1</v>
      </c>
      <c r="S181" s="68">
        <f ca="1">IF($B181="","",SUM(_xlfn.XLOOKUP(D181,Lists!$AC$2:$AC$9,Lists!$AD$2:$AD$9,0),_xlfn.XLOOKUP(F181,Lists!$AC$2:$AC$9,Lists!$AD$2:$AD$9,0),_xlfn.XLOOKUP(H181,Lists!$AC$2:$AC$9,Lists!$AD$2:$AD$9,0),_xlfn.XLOOKUP(J181,Lists!$AC$2:$AC$9,Lists!$AD$2:$AD$9,0),_xlfn.XLOOKUP(L181,Lists!$AC$2:$AC$9,Lists!$AD$2:$AD$9,0)))</f>
        <v>2</v>
      </c>
      <c r="T181" s="68">
        <f ca="1">IF($B181="","",SUM(_xlfn.XLOOKUP(C181,Lists!$P$2:$P$19,Lists!$W$2:$W$19,0),_xlfn.XLOOKUP(E181,Lists!$P$2:$P$19,Lists!$W$2:$W$19,0),_xlfn.XLOOKUP(G181,Lists!$P$2:$P$19,Lists!$W$2:$W$19,0),_xlfn.XLOOKUP(I181,Lists!$P$2:$P$19,Lists!$W$2:$W$19,0),_xlfn.XLOOKUP(K181,Lists!$P$2:$P$19,Lists!$W$2:$W$19,0)))</f>
        <v>0</v>
      </c>
      <c r="U181" s="68">
        <f ca="1">IF($B181="","",SUM(_xlfn.XLOOKUP(C181,Lists!$P$2:$P$19,Lists!$X$2:$X$19,0),_xlfn.XLOOKUP(E181,Lists!$P$2:$P$19,Lists!$X$2:$X$19,0),_xlfn.XLOOKUP(G181,Lists!$P$2:$P$19,Lists!$X$2:$X$19,0),_xlfn.XLOOKUP(I181,Lists!$P$2:$P$19,Lists!$X$2:$X$19,0),_xlfn.XLOOKUP(K181,Lists!$P$2:$P$19,Lists!$X$2:$X$19,0)))</f>
        <v>0</v>
      </c>
      <c r="V181" s="68">
        <f ca="1">IF($B181="","",SUM(_xlfn.XLOOKUP(C181,Lists!$P$2:$P$19,Lists!$Y$2:$Y$19,0),_xlfn.XLOOKUP(E181,Lists!$P$2:$P$19,Lists!$Y$2:$Y$19,0),_xlfn.XLOOKUP(G181,Lists!$P$2:$P$19,Lists!$Y$2:$Y$19,0),_xlfn.XLOOKUP(I181,Lists!$P$2:$P$19,Lists!$Y$2:$Y$19,0),_xlfn.XLOOKUP(K181,Lists!$P$2:$P$19,Lists!$Y$2:$Y$19,0)))</f>
        <v>0</v>
      </c>
      <c r="W181" s="68">
        <f ca="1">IF($B181="","",SUM(_xlfn.XLOOKUP(C181,Lists!$P$2:$P$19,Lists!$Z$2:$Z$19,0),_xlfn.XLOOKUP(E181,Lists!$P$2:$P$19,Lists!$Z$2:$Z$19,0),_xlfn.XLOOKUP(G181,Lists!$P$2:$P$19,Lists!$Z$2:$Z$19,0),_xlfn.XLOOKUP(I181,Lists!$P$2:$P$19,Lists!$Z$2:$Z$19,0),_xlfn.XLOOKUP(K181,Lists!$P$2:$P$19,Lists!$Z$2:$Z$19,0)))</f>
        <v>0</v>
      </c>
      <c r="X181" s="69">
        <f ca="1">IF($B181="","",SUM(_xlfn.XLOOKUP(C181,Lists!$P$2:$P$19,Lists!$AA$2:$AA$19,0),_xlfn.XLOOKUP(E181,Lists!$P$2:$P$19,Lists!$AA$2:$AA$19,0),_xlfn.XLOOKUP(G181,Lists!$P$2:$P$19,Lists!$AA$2:$AA$19,0),_xlfn.XLOOKUP(I181,Lists!$P$2:$P$19,Lists!$AA$2:$AA$19,0),_xlfn.XLOOKUP(K181,Lists!$P$2:$P$19,Lists!$AA$2:$AA$19,0)))</f>
        <v>0</v>
      </c>
      <c r="Y181" s="49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</row>
    <row r="182" spans="1:110">
      <c r="A182" s="168">
        <v>6</v>
      </c>
      <c r="B182" s="47" t="str">
        <f ca="1">Lineups!$H$52</f>
        <v>Blue Dry Bones</v>
      </c>
      <c r="C182" s="49" t="s">
        <v>176</v>
      </c>
      <c r="D182" s="49"/>
      <c r="E182" s="49"/>
      <c r="F182" s="49"/>
      <c r="G182" s="49"/>
      <c r="H182" s="50"/>
      <c r="I182" s="50"/>
      <c r="J182" s="50"/>
      <c r="K182" s="50"/>
      <c r="L182" s="50"/>
      <c r="M182" s="67">
        <f ca="1">IF($B182="","",SUM(_xlfn.XLOOKUP(C182,Lists!$P$2:$P$19,Lists!$R$2:$R$19,0),_xlfn.XLOOKUP(E182,Lists!$P$2:$P$19,Lists!$R$2:$R$19,0),_xlfn.XLOOKUP(G182,Lists!$P$2:$P$19,Lists!$R$2:$R$19,0),_xlfn.XLOOKUP(I182,Lists!$P$2:$P$19,Lists!$R$2:$R$19,0),_xlfn.XLOOKUP(K182,Lists!$P$2:$P$19,Lists!$R$2:$R$19,0)))</f>
        <v>1</v>
      </c>
      <c r="N182" s="68">
        <f ca="1">IF($B182="","",SUM(_xlfn.XLOOKUP(D182,Lists!$AC$2:$AC$9,Lists!$AE$2:$AE$9,0),_xlfn.XLOOKUP(F182,Lists!$AC$2:$AC$9,Lists!$AE$2:$AE$9,0),_xlfn.XLOOKUP(H182,Lists!$AC$2:$AC$9,Lists!$AE$2:$AE$9,0),_xlfn.XLOOKUP(J182,Lists!$AC$2:$AC$9,Lists!$AE$2:$AE$9,0),_xlfn.XLOOKUP(L182,Lists!$AC$2:$AC$9,Lists!$AE$2:$AE$9,0)))</f>
        <v>0</v>
      </c>
      <c r="O182" s="68">
        <f ca="1">IF($B182="","",SUM(_xlfn.XLOOKUP(C182,Lists!$P$2:$P$19,Lists!$S$2:$S$19,0),_xlfn.XLOOKUP(E182,Lists!$P$2:$P$19,Lists!$S$2:$S$19,0),_xlfn.XLOOKUP(G182,Lists!$P$2:$P$19,Lists!$S$2:$S$19,0),_xlfn.XLOOKUP(I182,Lists!$P$2:$P$19,Lists!$S$2:$S$19,0),_xlfn.XLOOKUP(K182,Lists!$P$2:$P$19,Lists!$S$2:$S$19,0)))</f>
        <v>1</v>
      </c>
      <c r="P182" s="68">
        <f ca="1">IF($B182="","",SUM(_xlfn.XLOOKUP(C182,Lists!$P$2:$P$19,Lists!$T$2:$T$19,0),_xlfn.XLOOKUP(E182,Lists!$P$2:$P$19,Lists!$T$2:$T$19,0),_xlfn.XLOOKUP(G182,Lists!$P$2:$P$19,Lists!$T$2:$T$19,0),_xlfn.XLOOKUP(I182,Lists!$P$2:$P$19,Lists!$T$2:$T$19,0),_xlfn.XLOOKUP(K182,Lists!$P$2:$P$19,Lists!$T$2:$T$19,0)))</f>
        <v>1</v>
      </c>
      <c r="Q182" s="68">
        <f ca="1">IF($B182="","",SUM(_xlfn.XLOOKUP(C182,Lists!$P$2:$P$19,Lists!$U$2:$U$19,0),_xlfn.XLOOKUP(E182,Lists!$P$2:$P$19,Lists!$U$2:$U$19,0),_xlfn.XLOOKUP(G182,Lists!$P$2:$P$19,Lists!$U$2:$U$19,0),_xlfn.XLOOKUP(I182,Lists!$P$2:$P$19,Lists!$U$2:$U$19,0),_xlfn.XLOOKUP(K182,Lists!$P$2:$P$19,Lists!$U$2:$U$19,0)))</f>
        <v>0</v>
      </c>
      <c r="R182" s="68">
        <f ca="1">IF($B182="","",SUM(_xlfn.XLOOKUP(C182,Lists!$P$2:$P$19,Lists!$V$2:$V$19,0),_xlfn.XLOOKUP(E182,Lists!$P$2:$P$19,Lists!$V$2:$V$19,0),_xlfn.XLOOKUP(G182,Lists!$P$2:$P$19,Lists!$V$2:$V$19,0),_xlfn.XLOOKUP(I182,Lists!$P$2:$P$19,Lists!$V$2:$V$19,0),_xlfn.XLOOKUP(K182,Lists!$P$2:$P$19,Lists!$V$2:$V$19,0)))</f>
        <v>0</v>
      </c>
      <c r="S182" s="68">
        <f ca="1">IF($B182="","",SUM(_xlfn.XLOOKUP(D182,Lists!$AC$2:$AC$9,Lists!$AD$2:$AD$9,0),_xlfn.XLOOKUP(F182,Lists!$AC$2:$AC$9,Lists!$AD$2:$AD$9,0),_xlfn.XLOOKUP(H182,Lists!$AC$2:$AC$9,Lists!$AD$2:$AD$9,0),_xlfn.XLOOKUP(J182,Lists!$AC$2:$AC$9,Lists!$AD$2:$AD$9,0),_xlfn.XLOOKUP(L182,Lists!$AC$2:$AC$9,Lists!$AD$2:$AD$9,0)))</f>
        <v>0</v>
      </c>
      <c r="T182" s="68">
        <f ca="1">IF($B182="","",SUM(_xlfn.XLOOKUP(C182,Lists!$P$2:$P$19,Lists!$W$2:$W$19,0),_xlfn.XLOOKUP(E182,Lists!$P$2:$P$19,Lists!$W$2:$W$19,0),_xlfn.XLOOKUP(G182,Lists!$P$2:$P$19,Lists!$W$2:$W$19,0),_xlfn.XLOOKUP(I182,Lists!$P$2:$P$19,Lists!$W$2:$W$19,0),_xlfn.XLOOKUP(K182,Lists!$P$2:$P$19,Lists!$W$2:$W$19,0)))</f>
        <v>0</v>
      </c>
      <c r="U182" s="68">
        <f ca="1">IF($B182="","",SUM(_xlfn.XLOOKUP(C182,Lists!$P$2:$P$19,Lists!$X$2:$X$19,0),_xlfn.XLOOKUP(E182,Lists!$P$2:$P$19,Lists!$X$2:$X$19,0),_xlfn.XLOOKUP(G182,Lists!$P$2:$P$19,Lists!$X$2:$X$19,0),_xlfn.XLOOKUP(I182,Lists!$P$2:$P$19,Lists!$X$2:$X$19,0),_xlfn.XLOOKUP(K182,Lists!$P$2:$P$19,Lists!$X$2:$X$19,0)))</f>
        <v>0</v>
      </c>
      <c r="V182" s="68">
        <f ca="1">IF($B182="","",SUM(_xlfn.XLOOKUP(C182,Lists!$P$2:$P$19,Lists!$Y$2:$Y$19,0),_xlfn.XLOOKUP(E182,Lists!$P$2:$P$19,Lists!$Y$2:$Y$19,0),_xlfn.XLOOKUP(G182,Lists!$P$2:$P$19,Lists!$Y$2:$Y$19,0),_xlfn.XLOOKUP(I182,Lists!$P$2:$P$19,Lists!$Y$2:$Y$19,0),_xlfn.XLOOKUP(K182,Lists!$P$2:$P$19,Lists!$Y$2:$Y$19,0)))</f>
        <v>0</v>
      </c>
      <c r="W182" s="68">
        <f ca="1">IF($B182="","",SUM(_xlfn.XLOOKUP(C182,Lists!$P$2:$P$19,Lists!$Z$2:$Z$19,0),_xlfn.XLOOKUP(E182,Lists!$P$2:$P$19,Lists!$Z$2:$Z$19,0),_xlfn.XLOOKUP(G182,Lists!$P$2:$P$19,Lists!$Z$2:$Z$19,0),_xlfn.XLOOKUP(I182,Lists!$P$2:$P$19,Lists!$Z$2:$Z$19,0),_xlfn.XLOOKUP(K182,Lists!$P$2:$P$19,Lists!$Z$2:$Z$19,0)))</f>
        <v>0</v>
      </c>
      <c r="X182" s="69">
        <f ca="1">IF($B182="","",SUM(_xlfn.XLOOKUP(C182,Lists!$P$2:$P$19,Lists!$AA$2:$AA$19,0),_xlfn.XLOOKUP(E182,Lists!$P$2:$P$19,Lists!$AA$2:$AA$19,0),_xlfn.XLOOKUP(G182,Lists!$P$2:$P$19,Lists!$AA$2:$AA$19,0),_xlfn.XLOOKUP(I182,Lists!$P$2:$P$19,Lists!$AA$2:$AA$19,0),_xlfn.XLOOKUP(K182,Lists!$P$2:$P$19,Lists!$AA$2:$AA$19,0)))</f>
        <v>0</v>
      </c>
      <c r="Y182" s="49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</row>
    <row r="183" spans="1:110">
      <c r="A183" s="168">
        <v>7</v>
      </c>
      <c r="B183" s="47" t="str">
        <f ca="1">Lineups!$H$53</f>
        <v>Red Magikoopa</v>
      </c>
      <c r="C183" s="49" t="s">
        <v>189</v>
      </c>
      <c r="D183" s="49"/>
      <c r="E183" s="49"/>
      <c r="F183" s="49"/>
      <c r="G183" s="49"/>
      <c r="H183" s="50"/>
      <c r="I183" s="50"/>
      <c r="J183" s="50"/>
      <c r="K183" s="50"/>
      <c r="L183" s="50"/>
      <c r="M183" s="67">
        <f ca="1">IF($B183="","",SUM(_xlfn.XLOOKUP(C183,Lists!$P$2:$P$19,Lists!$R$2:$R$19,0),_xlfn.XLOOKUP(E183,Lists!$P$2:$P$19,Lists!$R$2:$R$19,0),_xlfn.XLOOKUP(G183,Lists!$P$2:$P$19,Lists!$R$2:$R$19,0),_xlfn.XLOOKUP(I183,Lists!$P$2:$P$19,Lists!$R$2:$R$19,0),_xlfn.XLOOKUP(K183,Lists!$P$2:$P$19,Lists!$R$2:$R$19,0)))</f>
        <v>1</v>
      </c>
      <c r="N183" s="68">
        <f ca="1">IF($B183="","",SUM(_xlfn.XLOOKUP(D183,Lists!$AC$2:$AC$9,Lists!$AE$2:$AE$9,0),_xlfn.XLOOKUP(F183,Lists!$AC$2:$AC$9,Lists!$AE$2:$AE$9,0),_xlfn.XLOOKUP(H183,Lists!$AC$2:$AC$9,Lists!$AE$2:$AE$9,0),_xlfn.XLOOKUP(J183,Lists!$AC$2:$AC$9,Lists!$AE$2:$AE$9,0),_xlfn.XLOOKUP(L183,Lists!$AC$2:$AC$9,Lists!$AE$2:$AE$9,0)))</f>
        <v>0</v>
      </c>
      <c r="O183" s="68">
        <f ca="1">IF($B183="","",SUM(_xlfn.XLOOKUP(C183,Lists!$P$2:$P$19,Lists!$S$2:$S$19,0),_xlfn.XLOOKUP(E183,Lists!$P$2:$P$19,Lists!$S$2:$S$19,0),_xlfn.XLOOKUP(G183,Lists!$P$2:$P$19,Lists!$S$2:$S$19,0),_xlfn.XLOOKUP(I183,Lists!$P$2:$P$19,Lists!$S$2:$S$19,0),_xlfn.XLOOKUP(K183,Lists!$P$2:$P$19,Lists!$S$2:$S$19,0)))</f>
        <v>0</v>
      </c>
      <c r="P183" s="68">
        <f ca="1">IF($B183="","",SUM(_xlfn.XLOOKUP(C183,Lists!$P$2:$P$19,Lists!$T$2:$T$19,0),_xlfn.XLOOKUP(E183,Lists!$P$2:$P$19,Lists!$T$2:$T$19,0),_xlfn.XLOOKUP(G183,Lists!$P$2:$P$19,Lists!$T$2:$T$19,0),_xlfn.XLOOKUP(I183,Lists!$P$2:$P$19,Lists!$T$2:$T$19,0),_xlfn.XLOOKUP(K183,Lists!$P$2:$P$19,Lists!$T$2:$T$19,0)))</f>
        <v>0</v>
      </c>
      <c r="Q183" s="68">
        <f ca="1">IF($B183="","",SUM(_xlfn.XLOOKUP(C183,Lists!$P$2:$P$19,Lists!$U$2:$U$19,0),_xlfn.XLOOKUP(E183,Lists!$P$2:$P$19,Lists!$U$2:$U$19,0),_xlfn.XLOOKUP(G183,Lists!$P$2:$P$19,Lists!$U$2:$U$19,0),_xlfn.XLOOKUP(I183,Lists!$P$2:$P$19,Lists!$U$2:$U$19,0),_xlfn.XLOOKUP(K183,Lists!$P$2:$P$19,Lists!$U$2:$U$19,0)))</f>
        <v>0</v>
      </c>
      <c r="R183" s="68">
        <f ca="1">IF($B183="","",SUM(_xlfn.XLOOKUP(C183,Lists!$P$2:$P$19,Lists!$V$2:$V$19,0),_xlfn.XLOOKUP(E183,Lists!$P$2:$P$19,Lists!$V$2:$V$19,0),_xlfn.XLOOKUP(G183,Lists!$P$2:$P$19,Lists!$V$2:$V$19,0),_xlfn.XLOOKUP(I183,Lists!$P$2:$P$19,Lists!$V$2:$V$19,0),_xlfn.XLOOKUP(K183,Lists!$P$2:$P$19,Lists!$V$2:$V$19,0)))</f>
        <v>0</v>
      </c>
      <c r="S183" s="68">
        <f ca="1">IF($B183="","",SUM(_xlfn.XLOOKUP(D183,Lists!$AC$2:$AC$9,Lists!$AD$2:$AD$9,0),_xlfn.XLOOKUP(F183,Lists!$AC$2:$AC$9,Lists!$AD$2:$AD$9,0),_xlfn.XLOOKUP(H183,Lists!$AC$2:$AC$9,Lists!$AD$2:$AD$9,0),_xlfn.XLOOKUP(J183,Lists!$AC$2:$AC$9,Lists!$AD$2:$AD$9,0),_xlfn.XLOOKUP(L183,Lists!$AC$2:$AC$9,Lists!$AD$2:$AD$9,0)))</f>
        <v>0</v>
      </c>
      <c r="T183" s="68">
        <f ca="1">IF($B183="","",SUM(_xlfn.XLOOKUP(C183,Lists!$P$2:$P$19,Lists!$W$2:$W$19,0),_xlfn.XLOOKUP(E183,Lists!$P$2:$P$19,Lists!$W$2:$W$19,0),_xlfn.XLOOKUP(G183,Lists!$P$2:$P$19,Lists!$W$2:$W$19,0),_xlfn.XLOOKUP(I183,Lists!$P$2:$P$19,Lists!$W$2:$W$19,0),_xlfn.XLOOKUP(K183,Lists!$P$2:$P$19,Lists!$W$2:$W$19,0)))</f>
        <v>0</v>
      </c>
      <c r="U183" s="68">
        <f ca="1">IF($B183="","",SUM(_xlfn.XLOOKUP(C183,Lists!$P$2:$P$19,Lists!$X$2:$X$19,0),_xlfn.XLOOKUP(E183,Lists!$P$2:$P$19,Lists!$X$2:$X$19,0),_xlfn.XLOOKUP(G183,Lists!$P$2:$P$19,Lists!$X$2:$X$19,0),_xlfn.XLOOKUP(I183,Lists!$P$2:$P$19,Lists!$X$2:$X$19,0),_xlfn.XLOOKUP(K183,Lists!$P$2:$P$19,Lists!$X$2:$X$19,0)))</f>
        <v>0</v>
      </c>
      <c r="V183" s="68">
        <f ca="1">IF($B183="","",SUM(_xlfn.XLOOKUP(C183,Lists!$P$2:$P$19,Lists!$Y$2:$Y$19,0),_xlfn.XLOOKUP(E183,Lists!$P$2:$P$19,Lists!$Y$2:$Y$19,0),_xlfn.XLOOKUP(G183,Lists!$P$2:$P$19,Lists!$Y$2:$Y$19,0),_xlfn.XLOOKUP(I183,Lists!$P$2:$P$19,Lists!$Y$2:$Y$19,0),_xlfn.XLOOKUP(K183,Lists!$P$2:$P$19,Lists!$Y$2:$Y$19,0)))</f>
        <v>0</v>
      </c>
      <c r="W183" s="68">
        <f ca="1">IF($B183="","",SUM(_xlfn.XLOOKUP(C183,Lists!$P$2:$P$19,Lists!$Z$2:$Z$19,0),_xlfn.XLOOKUP(E183,Lists!$P$2:$P$19,Lists!$Z$2:$Z$19,0),_xlfn.XLOOKUP(G183,Lists!$P$2:$P$19,Lists!$Z$2:$Z$19,0),_xlfn.XLOOKUP(I183,Lists!$P$2:$P$19,Lists!$Z$2:$Z$19,0),_xlfn.XLOOKUP(K183,Lists!$P$2:$P$19,Lists!$Z$2:$Z$19,0)))</f>
        <v>0</v>
      </c>
      <c r="X183" s="69">
        <f ca="1">IF($B183="","",SUM(_xlfn.XLOOKUP(C183,Lists!$P$2:$P$19,Lists!$AA$2:$AA$19,0),_xlfn.XLOOKUP(E183,Lists!$P$2:$P$19,Lists!$AA$2:$AA$19,0),_xlfn.XLOOKUP(G183,Lists!$P$2:$P$19,Lists!$AA$2:$AA$19,0),_xlfn.XLOOKUP(I183,Lists!$P$2:$P$19,Lists!$AA$2:$AA$19,0),_xlfn.XLOOKUP(K183,Lists!$P$2:$P$19,Lists!$AA$2:$AA$19,0)))</f>
        <v>0</v>
      </c>
      <c r="Y183" s="49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</row>
    <row r="184" spans="1:110">
      <c r="A184" s="168">
        <v>8</v>
      </c>
      <c r="B184" s="47" t="str">
        <f ca="1">Lineups!$H$54</f>
        <v>Yellow Pianta</v>
      </c>
      <c r="C184" s="49" t="s">
        <v>189</v>
      </c>
      <c r="D184" s="49"/>
      <c r="E184" s="49"/>
      <c r="F184" s="49"/>
      <c r="G184" s="49"/>
      <c r="H184" s="50"/>
      <c r="I184" s="50"/>
      <c r="J184" s="50"/>
      <c r="K184" s="50"/>
      <c r="L184" s="50"/>
      <c r="M184" s="67">
        <f ca="1">IF($B184="","",SUM(_xlfn.XLOOKUP(C184,Lists!$P$2:$P$19,Lists!$R$2:$R$19,0),_xlfn.XLOOKUP(E184,Lists!$P$2:$P$19,Lists!$R$2:$R$19,0),_xlfn.XLOOKUP(G184,Lists!$P$2:$P$19,Lists!$R$2:$R$19,0),_xlfn.XLOOKUP(I184,Lists!$P$2:$P$19,Lists!$R$2:$R$19,0),_xlfn.XLOOKUP(K184,Lists!$P$2:$P$19,Lists!$R$2:$R$19,0)))</f>
        <v>1</v>
      </c>
      <c r="N184" s="68">
        <f ca="1">IF($B184="","",SUM(_xlfn.XLOOKUP(D184,Lists!$AC$2:$AC$9,Lists!$AE$2:$AE$9,0),_xlfn.XLOOKUP(F184,Lists!$AC$2:$AC$9,Lists!$AE$2:$AE$9,0),_xlfn.XLOOKUP(H184,Lists!$AC$2:$AC$9,Lists!$AE$2:$AE$9,0),_xlfn.XLOOKUP(J184,Lists!$AC$2:$AC$9,Lists!$AE$2:$AE$9,0),_xlfn.XLOOKUP(L184,Lists!$AC$2:$AC$9,Lists!$AE$2:$AE$9,0)))</f>
        <v>0</v>
      </c>
      <c r="O184" s="68">
        <f ca="1">IF($B184="","",SUM(_xlfn.XLOOKUP(C184,Lists!$P$2:$P$19,Lists!$S$2:$S$19,0),_xlfn.XLOOKUP(E184,Lists!$P$2:$P$19,Lists!$S$2:$S$19,0),_xlfn.XLOOKUP(G184,Lists!$P$2:$P$19,Lists!$S$2:$S$19,0),_xlfn.XLOOKUP(I184,Lists!$P$2:$P$19,Lists!$S$2:$S$19,0),_xlfn.XLOOKUP(K184,Lists!$P$2:$P$19,Lists!$S$2:$S$19,0)))</f>
        <v>0</v>
      </c>
      <c r="P184" s="68">
        <f ca="1">IF($B184="","",SUM(_xlfn.XLOOKUP(C184,Lists!$P$2:$P$19,Lists!$T$2:$T$19,0),_xlfn.XLOOKUP(E184,Lists!$P$2:$P$19,Lists!$T$2:$T$19,0),_xlfn.XLOOKUP(G184,Lists!$P$2:$P$19,Lists!$T$2:$T$19,0),_xlfn.XLOOKUP(I184,Lists!$P$2:$P$19,Lists!$T$2:$T$19,0),_xlfn.XLOOKUP(K184,Lists!$P$2:$P$19,Lists!$T$2:$T$19,0)))</f>
        <v>0</v>
      </c>
      <c r="Q184" s="68">
        <f ca="1">IF($B184="","",SUM(_xlfn.XLOOKUP(C184,Lists!$P$2:$P$19,Lists!$U$2:$U$19,0),_xlfn.XLOOKUP(E184,Lists!$P$2:$P$19,Lists!$U$2:$U$19,0),_xlfn.XLOOKUP(G184,Lists!$P$2:$P$19,Lists!$U$2:$U$19,0),_xlfn.XLOOKUP(I184,Lists!$P$2:$P$19,Lists!$U$2:$U$19,0),_xlfn.XLOOKUP(K184,Lists!$P$2:$P$19,Lists!$U$2:$U$19,0)))</f>
        <v>0</v>
      </c>
      <c r="R184" s="68">
        <f ca="1">IF($B184="","",SUM(_xlfn.XLOOKUP(C184,Lists!$P$2:$P$19,Lists!$V$2:$V$19,0),_xlfn.XLOOKUP(E184,Lists!$P$2:$P$19,Lists!$V$2:$V$19,0),_xlfn.XLOOKUP(G184,Lists!$P$2:$P$19,Lists!$V$2:$V$19,0),_xlfn.XLOOKUP(I184,Lists!$P$2:$P$19,Lists!$V$2:$V$19,0),_xlfn.XLOOKUP(K184,Lists!$P$2:$P$19,Lists!$V$2:$V$19,0)))</f>
        <v>0</v>
      </c>
      <c r="S184" s="68">
        <f ca="1">IF($B184="","",SUM(_xlfn.XLOOKUP(D184,Lists!$AC$2:$AC$9,Lists!$AD$2:$AD$9,0),_xlfn.XLOOKUP(F184,Lists!$AC$2:$AC$9,Lists!$AD$2:$AD$9,0),_xlfn.XLOOKUP(H184,Lists!$AC$2:$AC$9,Lists!$AD$2:$AD$9,0),_xlfn.XLOOKUP(J184,Lists!$AC$2:$AC$9,Lists!$AD$2:$AD$9,0),_xlfn.XLOOKUP(L184,Lists!$AC$2:$AC$9,Lists!$AD$2:$AD$9,0)))</f>
        <v>0</v>
      </c>
      <c r="T184" s="68">
        <f ca="1">IF($B184="","",SUM(_xlfn.XLOOKUP(C184,Lists!$P$2:$P$19,Lists!$W$2:$W$19,0),_xlfn.XLOOKUP(E184,Lists!$P$2:$P$19,Lists!$W$2:$W$19,0),_xlfn.XLOOKUP(G184,Lists!$P$2:$P$19,Lists!$W$2:$W$19,0),_xlfn.XLOOKUP(I184,Lists!$P$2:$P$19,Lists!$W$2:$W$19,0),_xlfn.XLOOKUP(K184,Lists!$P$2:$P$19,Lists!$W$2:$W$19,0)))</f>
        <v>0</v>
      </c>
      <c r="U184" s="68">
        <f ca="1">IF($B184="","",SUM(_xlfn.XLOOKUP(C184,Lists!$P$2:$P$19,Lists!$X$2:$X$19,0),_xlfn.XLOOKUP(E184,Lists!$P$2:$P$19,Lists!$X$2:$X$19,0),_xlfn.XLOOKUP(G184,Lists!$P$2:$P$19,Lists!$X$2:$X$19,0),_xlfn.XLOOKUP(I184,Lists!$P$2:$P$19,Lists!$X$2:$X$19,0),_xlfn.XLOOKUP(K184,Lists!$P$2:$P$19,Lists!$X$2:$X$19,0)))</f>
        <v>0</v>
      </c>
      <c r="V184" s="68">
        <f ca="1">IF($B184="","",SUM(_xlfn.XLOOKUP(C184,Lists!$P$2:$P$19,Lists!$Y$2:$Y$19,0),_xlfn.XLOOKUP(E184,Lists!$P$2:$P$19,Lists!$Y$2:$Y$19,0),_xlfn.XLOOKUP(G184,Lists!$P$2:$P$19,Lists!$Y$2:$Y$19,0),_xlfn.XLOOKUP(I184,Lists!$P$2:$P$19,Lists!$Y$2:$Y$19,0),_xlfn.XLOOKUP(K184,Lists!$P$2:$P$19,Lists!$Y$2:$Y$19,0)))</f>
        <v>0</v>
      </c>
      <c r="W184" s="68">
        <f ca="1">IF($B184="","",SUM(_xlfn.XLOOKUP(C184,Lists!$P$2:$P$19,Lists!$Z$2:$Z$19,0),_xlfn.XLOOKUP(E184,Lists!$P$2:$P$19,Lists!$Z$2:$Z$19,0),_xlfn.XLOOKUP(G184,Lists!$P$2:$P$19,Lists!$Z$2:$Z$19,0),_xlfn.XLOOKUP(I184,Lists!$P$2:$P$19,Lists!$Z$2:$Z$19,0),_xlfn.XLOOKUP(K184,Lists!$P$2:$P$19,Lists!$Z$2:$Z$19,0)))</f>
        <v>0</v>
      </c>
      <c r="X184" s="69">
        <f ca="1">IF($B184="","",SUM(_xlfn.XLOOKUP(C184,Lists!$P$2:$P$19,Lists!$AA$2:$AA$19,0),_xlfn.XLOOKUP(E184,Lists!$P$2:$P$19,Lists!$AA$2:$AA$19,0),_xlfn.XLOOKUP(G184,Lists!$P$2:$P$19,Lists!$AA$2:$AA$19,0),_xlfn.XLOOKUP(I184,Lists!$P$2:$P$19,Lists!$AA$2:$AA$19,0),_xlfn.XLOOKUP(K184,Lists!$P$2:$P$19,Lists!$AA$2:$AA$19,0)))</f>
        <v>0</v>
      </c>
      <c r="Y184" s="49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</row>
    <row r="185" spans="1:110">
      <c r="A185" s="168">
        <v>9</v>
      </c>
      <c r="B185" s="47" t="str">
        <f ca="1">Lineups!$H$55</f>
        <v>Pink Yoshi</v>
      </c>
      <c r="C185" s="49" t="s">
        <v>193</v>
      </c>
      <c r="D185" s="49"/>
      <c r="E185" s="49"/>
      <c r="F185" s="49"/>
      <c r="G185" s="49"/>
      <c r="H185" s="50"/>
      <c r="I185" s="50"/>
      <c r="J185" s="50"/>
      <c r="K185" s="50"/>
      <c r="L185" s="50"/>
      <c r="M185" s="67">
        <f ca="1">IF($B185="","",SUM(_xlfn.XLOOKUP(C185,Lists!$P$2:$P$19,Lists!$R$2:$R$19,0),_xlfn.XLOOKUP(E185,Lists!$P$2:$P$19,Lists!$R$2:$R$19,0),_xlfn.XLOOKUP(G185,Lists!$P$2:$P$19,Lists!$R$2:$R$19,0),_xlfn.XLOOKUP(I185,Lists!$P$2:$P$19,Lists!$R$2:$R$19,0),_xlfn.XLOOKUP(K185,Lists!$P$2:$P$19,Lists!$R$2:$R$19,0)))</f>
        <v>1</v>
      </c>
      <c r="N185" s="68">
        <f ca="1">IF($B185="","",SUM(_xlfn.XLOOKUP(D185,Lists!$AC$2:$AC$9,Lists!$AE$2:$AE$9,0),_xlfn.XLOOKUP(F185,Lists!$AC$2:$AC$9,Lists!$AE$2:$AE$9,0),_xlfn.XLOOKUP(H185,Lists!$AC$2:$AC$9,Lists!$AE$2:$AE$9,0),_xlfn.XLOOKUP(J185,Lists!$AC$2:$AC$9,Lists!$AE$2:$AE$9,0),_xlfn.XLOOKUP(L185,Lists!$AC$2:$AC$9,Lists!$AE$2:$AE$9,0)))</f>
        <v>0</v>
      </c>
      <c r="O185" s="68">
        <f ca="1">IF($B185="","",SUM(_xlfn.XLOOKUP(C185,Lists!$P$2:$P$19,Lists!$S$2:$S$19,0),_xlfn.XLOOKUP(E185,Lists!$P$2:$P$19,Lists!$S$2:$S$19,0),_xlfn.XLOOKUP(G185,Lists!$P$2:$P$19,Lists!$S$2:$S$19,0),_xlfn.XLOOKUP(I185,Lists!$P$2:$P$19,Lists!$S$2:$S$19,0),_xlfn.XLOOKUP(K185,Lists!$P$2:$P$19,Lists!$S$2:$S$19,0)))</f>
        <v>0</v>
      </c>
      <c r="P185" s="68">
        <f ca="1">IF($B185="","",SUM(_xlfn.XLOOKUP(C185,Lists!$P$2:$P$19,Lists!$T$2:$T$19,0),_xlfn.XLOOKUP(E185,Lists!$P$2:$P$19,Lists!$T$2:$T$19,0),_xlfn.XLOOKUP(G185,Lists!$P$2:$P$19,Lists!$T$2:$T$19,0),_xlfn.XLOOKUP(I185,Lists!$P$2:$P$19,Lists!$T$2:$T$19,0),_xlfn.XLOOKUP(K185,Lists!$P$2:$P$19,Lists!$T$2:$T$19,0)))</f>
        <v>0</v>
      </c>
      <c r="Q185" s="68">
        <f ca="1">IF($B185="","",SUM(_xlfn.XLOOKUP(C185,Lists!$P$2:$P$19,Lists!$U$2:$U$19,0),_xlfn.XLOOKUP(E185,Lists!$P$2:$P$19,Lists!$U$2:$U$19,0),_xlfn.XLOOKUP(G185,Lists!$P$2:$P$19,Lists!$U$2:$U$19,0),_xlfn.XLOOKUP(I185,Lists!$P$2:$P$19,Lists!$U$2:$U$19,0),_xlfn.XLOOKUP(K185,Lists!$P$2:$P$19,Lists!$U$2:$U$19,0)))</f>
        <v>0</v>
      </c>
      <c r="R185" s="68">
        <f ca="1">IF($B185="","",SUM(_xlfn.XLOOKUP(C185,Lists!$P$2:$P$19,Lists!$V$2:$V$19,0),_xlfn.XLOOKUP(E185,Lists!$P$2:$P$19,Lists!$V$2:$V$19,0),_xlfn.XLOOKUP(G185,Lists!$P$2:$P$19,Lists!$V$2:$V$19,0),_xlfn.XLOOKUP(I185,Lists!$P$2:$P$19,Lists!$V$2:$V$19,0),_xlfn.XLOOKUP(K185,Lists!$P$2:$P$19,Lists!$V$2:$V$19,0)))</f>
        <v>0</v>
      </c>
      <c r="S185" s="68">
        <f ca="1">IF($B185="","",SUM(_xlfn.XLOOKUP(D185,Lists!$AC$2:$AC$9,Lists!$AD$2:$AD$9,0),_xlfn.XLOOKUP(F185,Lists!$AC$2:$AC$9,Lists!$AD$2:$AD$9,0),_xlfn.XLOOKUP(H185,Lists!$AC$2:$AC$9,Lists!$AD$2:$AD$9,0),_xlfn.XLOOKUP(J185,Lists!$AC$2:$AC$9,Lists!$AD$2:$AD$9,0),_xlfn.XLOOKUP(L185,Lists!$AC$2:$AC$9,Lists!$AD$2:$AD$9,0)))</f>
        <v>0</v>
      </c>
      <c r="T185" s="68">
        <f ca="1">IF($B185="","",SUM(_xlfn.XLOOKUP(C185,Lists!$P$2:$P$19,Lists!$W$2:$W$19,0),_xlfn.XLOOKUP(E185,Lists!$P$2:$P$19,Lists!$W$2:$W$19,0),_xlfn.XLOOKUP(G185,Lists!$P$2:$P$19,Lists!$W$2:$W$19,0),_xlfn.XLOOKUP(I185,Lists!$P$2:$P$19,Lists!$W$2:$W$19,0),_xlfn.XLOOKUP(K185,Lists!$P$2:$P$19,Lists!$W$2:$W$19,0)))</f>
        <v>0</v>
      </c>
      <c r="U185" s="68">
        <f ca="1">IF($B185="","",SUM(_xlfn.XLOOKUP(C185,Lists!$P$2:$P$19,Lists!$X$2:$X$19,0),_xlfn.XLOOKUP(E185,Lists!$P$2:$P$19,Lists!$X$2:$X$19,0),_xlfn.XLOOKUP(G185,Lists!$P$2:$P$19,Lists!$X$2:$X$19,0),_xlfn.XLOOKUP(I185,Lists!$P$2:$P$19,Lists!$X$2:$X$19,0),_xlfn.XLOOKUP(K185,Lists!$P$2:$P$19,Lists!$X$2:$X$19,0)))</f>
        <v>0</v>
      </c>
      <c r="V185" s="68">
        <f ca="1">IF($B185="","",SUM(_xlfn.XLOOKUP(C185,Lists!$P$2:$P$19,Lists!$Y$2:$Y$19,0),_xlfn.XLOOKUP(E185,Lists!$P$2:$P$19,Lists!$Y$2:$Y$19,0),_xlfn.XLOOKUP(G185,Lists!$P$2:$P$19,Lists!$Y$2:$Y$19,0),_xlfn.XLOOKUP(I185,Lists!$P$2:$P$19,Lists!$Y$2:$Y$19,0),_xlfn.XLOOKUP(K185,Lists!$P$2:$P$19,Lists!$Y$2:$Y$19,0)))</f>
        <v>0</v>
      </c>
      <c r="W185" s="68">
        <f ca="1">IF($B185="","",SUM(_xlfn.XLOOKUP(C185,Lists!$P$2:$P$19,Lists!$Z$2:$Z$19,0),_xlfn.XLOOKUP(E185,Lists!$P$2:$P$19,Lists!$Z$2:$Z$19,0),_xlfn.XLOOKUP(G185,Lists!$P$2:$P$19,Lists!$Z$2:$Z$19,0),_xlfn.XLOOKUP(I185,Lists!$P$2:$P$19,Lists!$Z$2:$Z$19,0),_xlfn.XLOOKUP(K185,Lists!$P$2:$P$19,Lists!$Z$2:$Z$19,0)))</f>
        <v>0</v>
      </c>
      <c r="X185" s="69">
        <f ca="1">IF($B185="","",SUM(_xlfn.XLOOKUP(C185,Lists!$P$2:$P$19,Lists!$AA$2:$AA$19,0),_xlfn.XLOOKUP(E185,Lists!$P$2:$P$19,Lists!$AA$2:$AA$19,0),_xlfn.XLOOKUP(G185,Lists!$P$2:$P$19,Lists!$AA$2:$AA$19,0),_xlfn.XLOOKUP(I185,Lists!$P$2:$P$19,Lists!$AA$2:$AA$19,0),_xlfn.XLOOKUP(K185,Lists!$P$2:$P$19,Lists!$AA$2:$AA$19,0)))</f>
        <v>0</v>
      </c>
      <c r="Y185" s="49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</row>
    <row r="186" spans="1:110">
      <c r="A186" s="173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</row>
    <row r="187" spans="1:110">
      <c r="A187" s="222" t="str">
        <f ca="1">IF($R$149="","Team B Pitching",$R$149&amp;" Pitching")</f>
        <v>Aidan Pitching</v>
      </c>
      <c r="B187" s="221"/>
      <c r="C187" s="221"/>
      <c r="D187" s="221"/>
      <c r="E187" s="221"/>
      <c r="F187" s="221"/>
      <c r="G187" s="221"/>
      <c r="H187" s="221"/>
      <c r="I187" s="221"/>
      <c r="J187" s="221"/>
      <c r="K187" s="221"/>
      <c r="L187" s="221"/>
      <c r="M187" s="221"/>
      <c r="N187" s="206"/>
      <c r="O187" s="186"/>
      <c r="P187" s="24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</row>
    <row r="188" spans="1:110">
      <c r="A188" s="167" t="s">
        <v>103</v>
      </c>
      <c r="B188" s="43" t="s">
        <v>194</v>
      </c>
      <c r="C188" s="43" t="s">
        <v>195</v>
      </c>
      <c r="D188" s="43" t="s">
        <v>162</v>
      </c>
      <c r="E188" s="43" t="s">
        <v>161</v>
      </c>
      <c r="F188" s="43" t="s">
        <v>196</v>
      </c>
      <c r="G188" s="43" t="s">
        <v>180</v>
      </c>
      <c r="H188" s="43" t="s">
        <v>181</v>
      </c>
      <c r="I188" s="44" t="s">
        <v>197</v>
      </c>
      <c r="J188" s="44" t="s">
        <v>198</v>
      </c>
      <c r="K188" s="44" t="s">
        <v>199</v>
      </c>
      <c r="L188" s="44" t="s">
        <v>200</v>
      </c>
      <c r="M188" s="44" t="s">
        <v>201</v>
      </c>
      <c r="N188" s="45" t="s">
        <v>202</v>
      </c>
      <c r="O188" s="45" t="s">
        <v>203</v>
      </c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</row>
    <row r="189" spans="1:110">
      <c r="A189" s="168">
        <v>1</v>
      </c>
      <c r="B189" s="71" t="s">
        <v>68</v>
      </c>
      <c r="C189" s="70" cm="1">
        <f t="array" aca="1" ref="C189" ca="1">IF(OR(B189="",O189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189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1.2</v>
      </c>
      <c r="D189" s="67" cm="1">
        <f t="array" aca="1" ref="D189" ca="1">IF(OR(B189="",O189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189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5</v>
      </c>
      <c r="E189" s="67" cm="1">
        <f t="array" aca="1" ref="E189" ca="1">IF(OR(B189="",O189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189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2</v>
      </c>
      <c r="F189" s="67" cm="1">
        <f t="array" aca="1" ref="F189" ca="1">IF(OR(B189="",O189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189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2</v>
      </c>
      <c r="G189" s="67" cm="1">
        <f t="array" aca="1" ref="G189" ca="1">IF(OR(B189="",O189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189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189" s="67" cm="1">
        <f t="array" aca="1" ref="H189" ca="1">IF(OR(B189="",O189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189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1</v>
      </c>
      <c r="I189" s="68" cm="1">
        <f t="array" aca="1" ref="I189" ca="1">IF(OR(B189="",O189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189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2</v>
      </c>
      <c r="J189" s="68" cm="1">
        <f t="array" aca="1" ref="J189" ca="1">IF(OR(B189="",O189=""),"",--(SUM(_xlfn.XLOOKUP(_xlfn._xlws.FILTER(_xlfn.TOCOL(_xlfn.CHOOSECOLS(C177:L185,2,4,6,8,10),0,TRUE),_xlfn.TOCOL(_xlfn.CHOOSECOLS(C177:L185,1,3,5,7,9),0,TRUE)&lt;&gt;""),Lists!$AC$2:$AC$9,Lists!$AF$2:$AF$9,0))&gt;SUM(_xlfn.XLOOKUP(_xlfn._xlws.FILTER(_xlfn.TOCOL(_xlfn.CHOOSECOLS(C156:L164,2,4,6,8,10),0,TRUE),_xlfn.TOCOL(_xlfn.CHOOSECOLS(C156:L164,1,3,5,7,9),0,TRUE)&lt;&gt;""),Lists!$AC$2:$AC$9,Lists!$AF$2:$AF$9,0)))*--(ROW()-ROW(C188)=_xlfn.XLOOKUP(MAX(IF(O189:O194&gt;0,INT(C189:C194)*3+MOD(ROUND(C189:C194*10,0),10),-1)),IF(O189:O194&gt;0,INT(C189:C194)*3+MOD(ROUND(C189:C194*10,0),10),-1),_xlfn.SEQUENCE(ROWS(O189:O194)),,0)))</f>
        <v>0</v>
      </c>
      <c r="K189" s="68" cm="1">
        <f t="array" aca="1" ref="K189" ca="1">IF(OR(B189="",O189=""),"",--(SUM(_xlfn.XLOOKUP(_xlfn._xlws.FILTER(_xlfn.TOCOL(_xlfn.CHOOSECOLS(C177:L185,2,4,6,8,10),0,TRUE),_xlfn.TOCOL(_xlfn.CHOOSECOLS(C177:L185,1,3,5,7,9),0,TRUE)&lt;&gt;""),Lists!$AC$2:$AC$9,Lists!$AF$2:$AF$9,0))&lt;SUM(_xlfn.XLOOKUP(_xlfn._xlws.FILTER(_xlfn.TOCOL(_xlfn.CHOOSECOLS(C156:L164,2,4,6,8,10),0,TRUE),_xlfn.TOCOL(_xlfn.CHOOSECOLS(C156:L164,1,3,5,7,9),0,TRUE)&lt;&gt;""),Lists!$AC$2:$AC$9,Lists!$AF$2:$AF$9,0)))*--(ROW()-ROW(C188)=_xlfn.XLOOKUP(MAX(IF(O189:O194&gt;0,E189:E194,-1)),IF(O189:O194&gt;0,E189:E194,-1),_xlfn.SEQUENCE(ROWS(O189:O194)),,0)))</f>
        <v>0</v>
      </c>
      <c r="L189" s="68" cm="1">
        <f t="array" aca="1" ref="L189" ca="1">IF(OR(B189="",O189=""),"",--(SUM(_xlfn.XLOOKUP(_xlfn._xlws.FILTER(_xlfn.TOCOL(_xlfn.CHOOSECOLS(C177:L185,2,4,6,8,10),0,TRUE),_xlfn.TOCOL(_xlfn.CHOOSECOLS(C177:L185,1,3,5,7,9),0,TRUE)&lt;&gt;""),Lists!$AC$2:$AC$9,Lists!$AF$2:$AF$9,0))&gt;SUM(_xlfn.XLOOKUP(_xlfn._xlws.FILTER(_xlfn.TOCOL(_xlfn.CHOOSECOLS(C156:L164,2,4,6,8,10),0,TRUE),_xlfn.TOCOL(_xlfn.CHOOSECOLS(C156:L164,1,3,5,7,9),0,TRUE)&lt;&gt;""),Lists!$AC$2:$AC$9,Lists!$AF$2:$AF$9,0)))*--(COUNTIF(O189:O194,"&gt;0")&gt;1)*--(ROW()-ROW(C188)=_xlfn.XLOOKUP(TRUE,O189:O194&gt;0,_xlfn.SEQUENCE(ROWS(O189:O194)),,0,-1))*--(_xlfn.XLOOKUP(TRUE,O189:O194&gt;0,_xlfn.SEQUENCE(ROWS(O189:O194)),,0,-1)&lt;&gt;_xlfn.XLOOKUP(MAX(IF(O189:O194&gt;0,INT(C189:C194)*3+MOD(ROUND(C189:C194*10,0),10),-1)),IF(O189:O194&gt;0,INT(C189:C194)*3+MOD(ROUND(C189:C194*10,0),10),-1),_xlfn.SEQUENCE(ROWS(O189:O194)),,0))*--(SUM(_xlfn.XLOOKUP(_xlfn._xlws.FILTER(_xlfn.TOCOL(_xlfn.CHOOSECOLS(C177:L185,2,4,6,8,10),0,TRUE),_xlfn.TOCOL(_xlfn.CHOOSECOLS(C177:L185,1,3,5,7,9),0,TRUE)&lt;&gt;""),Lists!$AC$2:$AC$9,Lists!$AF$2:$AF$9,0))-SUM(_xlfn.XLOOKUP(_xlfn._xlws.FILTER(_xlfn.TOCOL(_xlfn.CHOOSECOLS(C156:L164,2,4,6,8,10),0,TRUE),_xlfn.TOCOL(_xlfn.CHOOSECOLS(C156:L164,1,3,5,7,9),0,TRUE)&lt;&gt;""),Lists!$AC$2:$AC$9,Lists!$AF$2:$AF$9,0))&lt;=3)*--((INT(C189)*3+MOD(ROUND(C189*10,0),10))&gt;=3))</f>
        <v>0</v>
      </c>
      <c r="M189" s="68" cm="1">
        <f t="array" ref="M189">IF(OR(B189="",O189=""),"",--(COUNTIF(O189:O194,"&gt;0")=1)*--(SUM(_xlfn.XLOOKUP(_xlfn._xlws.FILTER(_xlfn.TOCOL(_xlfn.CHOOSECOLS(C156:L164,2,4,6,8,10),0,TRUE),_xlfn.TOCOL(_xlfn.CHOOSECOLS(C156:L164,1,3,5,7,9),0,TRUE)&lt;&gt;""),Lists!$AC$2:$AC$9,Lists!$AF$2:$AF$9,0))=0))</f>
        <v>0</v>
      </c>
      <c r="N189" s="69">
        <f>IF(OR(B189="",O189=""),"",--(COUNTIF(O189:O194,"&gt;0")=1))</f>
        <v>0</v>
      </c>
      <c r="O189" s="51">
        <v>10</v>
      </c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</row>
    <row r="190" spans="1:110">
      <c r="A190" s="168">
        <v>2</v>
      </c>
      <c r="B190" s="71" t="s">
        <v>85</v>
      </c>
      <c r="C190" s="70" cm="1">
        <f t="array" aca="1" ref="C190" ca="1">IF(OR(B190="",O190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1.1</v>
      </c>
      <c r="D190" s="67" cm="1">
        <f t="array" aca="1" ref="D190" ca="1">IF(OR(B190="",O190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3</v>
      </c>
      <c r="E190" s="67" cm="1">
        <f t="array" aca="1" ref="E190" ca="1">IF(OR(B190="",O190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190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3</v>
      </c>
      <c r="F190" s="67" cm="1">
        <f t="array" aca="1" ref="F190" ca="1">IF(OR(B190="",O190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190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3</v>
      </c>
      <c r="G190" s="67" cm="1">
        <f t="array" aca="1" ref="G190" ca="1">IF(OR(B190="",O190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190" s="67" cm="1">
        <f t="array" aca="1" ref="H190" ca="1">IF(OR(B190="",O190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2</v>
      </c>
      <c r="I190" s="68" cm="1">
        <f t="array" aca="1" ref="I190" ca="1">IF(OR(B190="",O190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3</v>
      </c>
      <c r="J190" s="68" cm="1">
        <f t="array" aca="1" ref="J190" ca="1">IF(OR(B190="",O190=""),"",--(SUM(_xlfn.XLOOKUP(_xlfn._xlws.FILTER(_xlfn.TOCOL(_xlfn.CHOOSECOLS(C177:L185,2,4,6,8,10),0,TRUE),_xlfn.TOCOL(_xlfn.CHOOSECOLS(C177:L185,1,3,5,7,9),0,TRUE)&lt;&gt;""),Lists!$AC$2:$AC$9,Lists!$AF$2:$AF$9,0))&gt;SUM(_xlfn.XLOOKUP(_xlfn._xlws.FILTER(_xlfn.TOCOL(_xlfn.CHOOSECOLS(C156:L164,2,4,6,8,10),0,TRUE),_xlfn.TOCOL(_xlfn.CHOOSECOLS(C156:L164,1,3,5,7,9),0,TRUE)&lt;&gt;""),Lists!$AC$2:$AC$9,Lists!$AF$2:$AF$9,0)))*--(ROW()-ROW(C188)=_xlfn.XLOOKUP(MAX(IF(O189:O194&gt;0,INT(C189:C194)*3+MOD(ROUND(C189:C194*10,0),10),-1)),IF(O189:O194&gt;0,INT(C189:C194)*3+MOD(ROUND(C189:C194*10,0),10),-1),_xlfn.SEQUENCE(ROWS(O189:O194)),,0)))</f>
        <v>0</v>
      </c>
      <c r="K190" s="68" cm="1">
        <f t="array" aca="1" ref="K190" ca="1">IF(OR(B190="",O190=""),"",--(SUM(_xlfn.XLOOKUP(_xlfn._xlws.FILTER(_xlfn.TOCOL(_xlfn.CHOOSECOLS(C177:L185,2,4,6,8,10),0,TRUE),_xlfn.TOCOL(_xlfn.CHOOSECOLS(C177:L185,1,3,5,7,9),0,TRUE)&lt;&gt;""),Lists!$AC$2:$AC$9,Lists!$AF$2:$AF$9,0))&lt;SUM(_xlfn.XLOOKUP(_xlfn._xlws.FILTER(_xlfn.TOCOL(_xlfn.CHOOSECOLS(C156:L164,2,4,6,8,10),0,TRUE),_xlfn.TOCOL(_xlfn.CHOOSECOLS(C156:L164,1,3,5,7,9),0,TRUE)&lt;&gt;""),Lists!$AC$2:$AC$9,Lists!$AF$2:$AF$9,0)))*--(ROW()-ROW(C188)=_xlfn.XLOOKUP(MAX(IF(O189:O194&gt;0,E189:E194,-1)),IF(O189:O194&gt;0,E189:E194,-1),_xlfn.SEQUENCE(ROWS(O189:O194)),,0)))</f>
        <v>1</v>
      </c>
      <c r="L190" s="68" cm="1">
        <f t="array" aca="1" ref="L190" ca="1">IF(OR(B190="",O190=""),"",--(SUM(_xlfn.XLOOKUP(_xlfn._xlws.FILTER(_xlfn.TOCOL(_xlfn.CHOOSECOLS(C177:L185,2,4,6,8,10),0,TRUE),_xlfn.TOCOL(_xlfn.CHOOSECOLS(C177:L185,1,3,5,7,9),0,TRUE)&lt;&gt;""),Lists!$AC$2:$AC$9,Lists!$AF$2:$AF$9,0))&gt;SUM(_xlfn.XLOOKUP(_xlfn._xlws.FILTER(_xlfn.TOCOL(_xlfn.CHOOSECOLS(C156:L164,2,4,6,8,10),0,TRUE),_xlfn.TOCOL(_xlfn.CHOOSECOLS(C156:L164,1,3,5,7,9),0,TRUE)&lt;&gt;""),Lists!$AC$2:$AC$9,Lists!$AF$2:$AF$9,0)))*--(COUNTIF(O189:O194,"&gt;0")&gt;1)*--(ROW()-ROW(C188)=_xlfn.XLOOKUP(TRUE,O189:O194&gt;0,_xlfn.SEQUENCE(ROWS(O189:O194)),,0,-1))*--(_xlfn.XLOOKUP(TRUE,O189:O194&gt;0,_xlfn.SEQUENCE(ROWS(O189:O194)),,0,-1)&lt;&gt;_xlfn.XLOOKUP(MAX(IF(O189:O194&gt;0,INT(C189:C194)*3+MOD(ROUND(C189:C194*10,0),10),-1)),IF(O189:O194&gt;0,INT(C189:C194)*3+MOD(ROUND(C189:C194*10,0),10),-1),_xlfn.SEQUENCE(ROWS(O189:O194)),,0))*--(SUM(_xlfn.XLOOKUP(_xlfn._xlws.FILTER(_xlfn.TOCOL(_xlfn.CHOOSECOLS(C177:L185,2,4,6,8,10),0,TRUE),_xlfn.TOCOL(_xlfn.CHOOSECOLS(C177:L185,1,3,5,7,9),0,TRUE)&lt;&gt;""),Lists!$AC$2:$AC$9,Lists!$AF$2:$AF$9,0))-SUM(_xlfn.XLOOKUP(_xlfn._xlws.FILTER(_xlfn.TOCOL(_xlfn.CHOOSECOLS(C156:L164,2,4,6,8,10),0,TRUE),_xlfn.TOCOL(_xlfn.CHOOSECOLS(C156:L164,1,3,5,7,9),0,TRUE)&lt;&gt;""),Lists!$AC$2:$AC$9,Lists!$AF$2:$AF$9,0))&lt;=3)*--((INT(C190)*3+MOD(ROUND(C190*10,0),10))&gt;=3))</f>
        <v>0</v>
      </c>
      <c r="M190" s="68" cm="1">
        <f t="array" ref="M190">IF(OR(B190="",O190=""),"",--(COUNTIF(O189:O194,"&gt;0")=1)*--(SUM(_xlfn.XLOOKUP(_xlfn._xlws.FILTER(_xlfn.TOCOL(_xlfn.CHOOSECOLS(C156:L164,2,4,6,8,10),0,TRUE),_xlfn.TOCOL(_xlfn.CHOOSECOLS(C156:L164,1,3,5,7,9),0,TRUE)&lt;&gt;""),Lists!$AC$2:$AC$9,Lists!$AF$2:$AF$9,0))=0))</f>
        <v>0</v>
      </c>
      <c r="N190" s="69">
        <f>IF(OR(B190="",O190=""),"",--(COUNTIF(O189:O194,"&gt;0")=1))</f>
        <v>0</v>
      </c>
      <c r="O190" s="51">
        <v>7</v>
      </c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</row>
    <row r="191" spans="1:110">
      <c r="A191" s="168">
        <v>3</v>
      </c>
      <c r="B191" s="71"/>
      <c r="C191" s="70" t="str" cm="1">
        <f t="array" aca="1" ref="C191" ca="1">IF(OR(B191="",O191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191" s="67" t="str" cm="1">
        <f t="array" aca="1" ref="D191" ca="1">IF(OR(B191="",O191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191" s="67" t="str" cm="1">
        <f t="array" aca="1" ref="E191" ca="1">IF(OR(B191="",O191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191" s="67" t="str" cm="1">
        <f t="array" aca="1" ref="F191" ca="1">IF(OR(B191="",O191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191" s="67" t="str" cm="1">
        <f t="array" aca="1" ref="G191" ca="1">IF(OR(B191="",O191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191" s="67" t="str" cm="1">
        <f t="array" aca="1" ref="H191" ca="1">IF(OR(B191="",O191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191" s="68" t="str" cm="1">
        <f t="array" aca="1" ref="I191" ca="1">IF(OR(B191="",O191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191" s="68" t="str" cm="1">
        <f t="array" aca="1" ref="J191" ca="1">IF(OR(B191="",O191=""),"",--(SUM(_xlfn.XLOOKUP(_xlfn._xlws.FILTER(_xlfn.TOCOL(_xlfn.CHOOSECOLS(C177:L185,2,4,6,8,10),0,TRUE),_xlfn.TOCOL(_xlfn.CHOOSECOLS(C177:L185,1,3,5,7,9),0,TRUE)&lt;&gt;""),Lists!$AC$2:$AC$9,Lists!$AF$2:$AF$9,0))&gt;SUM(_xlfn.XLOOKUP(_xlfn._xlws.FILTER(_xlfn.TOCOL(_xlfn.CHOOSECOLS(C156:L164,2,4,6,8,10),0,TRUE),_xlfn.TOCOL(_xlfn.CHOOSECOLS(C156:L164,1,3,5,7,9),0,TRUE)&lt;&gt;""),Lists!$AC$2:$AC$9,Lists!$AF$2:$AF$9,0)))*--(ROW()-ROW(C188)=_xlfn.XLOOKUP(MAX(IF(O189:O194&gt;0,INT(C189:C194)*3+MOD(ROUND(C189:C194*10,0),10),-1)),IF(O189:O194&gt;0,INT(C189:C194)*3+MOD(ROUND(C189:C194*10,0),10),-1),_xlfn.SEQUENCE(ROWS(O189:O194)),,0)))</f>
        <v/>
      </c>
      <c r="K191" s="68" t="str" cm="1">
        <f t="array" aca="1" ref="K191" ca="1">IF(OR(B191="",O191=""),"",--(SUM(_xlfn.XLOOKUP(_xlfn._xlws.FILTER(_xlfn.TOCOL(_xlfn.CHOOSECOLS(C177:L185,2,4,6,8,10),0,TRUE),_xlfn.TOCOL(_xlfn.CHOOSECOLS(C177:L185,1,3,5,7,9),0,TRUE)&lt;&gt;""),Lists!$AC$2:$AC$9,Lists!$AF$2:$AF$9,0))&lt;SUM(_xlfn.XLOOKUP(_xlfn._xlws.FILTER(_xlfn.TOCOL(_xlfn.CHOOSECOLS(C156:L164,2,4,6,8,10),0,TRUE),_xlfn.TOCOL(_xlfn.CHOOSECOLS(C156:L164,1,3,5,7,9),0,TRUE)&lt;&gt;""),Lists!$AC$2:$AC$9,Lists!$AF$2:$AF$9,0)))*--(ROW()-ROW(C188)=_xlfn.XLOOKUP(MAX(IF(O189:O194&gt;0,E189:E194,-1)),IF(O189:O194&gt;0,E189:E194,-1),_xlfn.SEQUENCE(ROWS(O189:O194)),,0)))</f>
        <v/>
      </c>
      <c r="L191" s="68" t="str" cm="1">
        <f t="array" aca="1" ref="L191" ca="1">IF(OR(B191="",O191=""),"",--(SUM(_xlfn.XLOOKUP(_xlfn._xlws.FILTER(_xlfn.TOCOL(_xlfn.CHOOSECOLS(C177:L185,2,4,6,8,10),0,TRUE),_xlfn.TOCOL(_xlfn.CHOOSECOLS(C177:L185,1,3,5,7,9),0,TRUE)&lt;&gt;""),Lists!$AC$2:$AC$9,Lists!$AF$2:$AF$9,0))&gt;SUM(_xlfn.XLOOKUP(_xlfn._xlws.FILTER(_xlfn.TOCOL(_xlfn.CHOOSECOLS(C156:L164,2,4,6,8,10),0,TRUE),_xlfn.TOCOL(_xlfn.CHOOSECOLS(C156:L164,1,3,5,7,9),0,TRUE)&lt;&gt;""),Lists!$AC$2:$AC$9,Lists!$AF$2:$AF$9,0)))*--(COUNTIF(O189:O194,"&gt;0")&gt;1)*--(ROW()-ROW(C188)=_xlfn.XLOOKUP(TRUE,O189:O194&gt;0,_xlfn.SEQUENCE(ROWS(O189:O194)),,0,-1))*--(_xlfn.XLOOKUP(TRUE,O189:O194&gt;0,_xlfn.SEQUENCE(ROWS(O189:O194)),,0,-1)&lt;&gt;_xlfn.XLOOKUP(MAX(IF(O189:O194&gt;0,INT(C189:C194)*3+MOD(ROUND(C189:C194*10,0),10),-1)),IF(O189:O194&gt;0,INT(C189:C194)*3+MOD(ROUND(C189:C194*10,0),10),-1),_xlfn.SEQUENCE(ROWS(O189:O194)),,0))*--(SUM(_xlfn.XLOOKUP(_xlfn._xlws.FILTER(_xlfn.TOCOL(_xlfn.CHOOSECOLS(C177:L185,2,4,6,8,10),0,TRUE),_xlfn.TOCOL(_xlfn.CHOOSECOLS(C177:L185,1,3,5,7,9),0,TRUE)&lt;&gt;""),Lists!$AC$2:$AC$9,Lists!$AF$2:$AF$9,0))-SUM(_xlfn.XLOOKUP(_xlfn._xlws.FILTER(_xlfn.TOCOL(_xlfn.CHOOSECOLS(C156:L164,2,4,6,8,10),0,TRUE),_xlfn.TOCOL(_xlfn.CHOOSECOLS(C156:L164,1,3,5,7,9),0,TRUE)&lt;&gt;""),Lists!$AC$2:$AC$9,Lists!$AF$2:$AF$9,0))&lt;=3)*--((INT(C191)*3+MOD(ROUND(C191*10,0),10))&gt;=3))</f>
        <v/>
      </c>
      <c r="M191" s="68" t="str" cm="1">
        <f t="array" ref="M191">IF(OR(B191="",O191=""),"",--(COUNTIF(O189:O194,"&gt;0")=1)*--(SUM(_xlfn.XLOOKUP(_xlfn._xlws.FILTER(_xlfn.TOCOL(_xlfn.CHOOSECOLS(C156:L164,2,4,6,8,10),0,TRUE),_xlfn.TOCOL(_xlfn.CHOOSECOLS(C156:L164,1,3,5,7,9),0,TRUE)&lt;&gt;""),Lists!$AC$2:$AC$9,Lists!$AF$2:$AF$9,0))=0))</f>
        <v/>
      </c>
      <c r="N191" s="69" t="str">
        <f>IF(OR(B191="",O191=""),"",--(COUNTIF(O189:O194,"&gt;0")=1))</f>
        <v/>
      </c>
      <c r="O191" s="51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</row>
    <row r="192" spans="1:110">
      <c r="A192" s="168">
        <v>4</v>
      </c>
      <c r="B192" s="71"/>
      <c r="C192" s="70" t="str" cm="1">
        <f t="array" aca="1" ref="C192" ca="1">IF(OR(B192="",O192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192" s="67" t="str" cm="1">
        <f t="array" aca="1" ref="D192" ca="1">IF(OR(B192="",O192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192" s="67" t="str" cm="1">
        <f t="array" aca="1" ref="E192" ca="1">IF(OR(B192="",O192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192" s="67" t="str" cm="1">
        <f t="array" aca="1" ref="F192" ca="1">IF(OR(B192="",O192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192" s="67" t="str" cm="1">
        <f t="array" aca="1" ref="G192" ca="1">IF(OR(B192="",O192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192" s="67" t="str" cm="1">
        <f t="array" aca="1" ref="H192" ca="1">IF(OR(B192="",O192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192" s="68" t="str" cm="1">
        <f t="array" aca="1" ref="I192" ca="1">IF(OR(B192="",O192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192" s="68" t="str" cm="1">
        <f t="array" aca="1" ref="J192" ca="1">IF(OR(B192="",O192=""),"",--(SUM(_xlfn.XLOOKUP(_xlfn._xlws.FILTER(_xlfn.TOCOL(_xlfn.CHOOSECOLS(C177:L185,2,4,6,8,10),0,TRUE),_xlfn.TOCOL(_xlfn.CHOOSECOLS(C177:L185,1,3,5,7,9),0,TRUE)&lt;&gt;""),Lists!$AC$2:$AC$9,Lists!$AF$2:$AF$9,0))&gt;SUM(_xlfn.XLOOKUP(_xlfn._xlws.FILTER(_xlfn.TOCOL(_xlfn.CHOOSECOLS(C156:L164,2,4,6,8,10),0,TRUE),_xlfn.TOCOL(_xlfn.CHOOSECOLS(C156:L164,1,3,5,7,9),0,TRUE)&lt;&gt;""),Lists!$AC$2:$AC$9,Lists!$AF$2:$AF$9,0)))*--(ROW()-ROW(C188)=_xlfn.XLOOKUP(MAX(IF(O189:O194&gt;0,INT(C189:C194)*3+MOD(ROUND(C189:C194*10,0),10),-1)),IF(O189:O194&gt;0,INT(C189:C194)*3+MOD(ROUND(C189:C194*10,0),10),-1),_xlfn.SEQUENCE(ROWS(O189:O194)),,0)))</f>
        <v/>
      </c>
      <c r="K192" s="68" t="str" cm="1">
        <f t="array" aca="1" ref="K192" ca="1">IF(OR(B192="",O192=""),"",--(SUM(_xlfn.XLOOKUP(_xlfn._xlws.FILTER(_xlfn.TOCOL(_xlfn.CHOOSECOLS(C177:L185,2,4,6,8,10),0,TRUE),_xlfn.TOCOL(_xlfn.CHOOSECOLS(C177:L185,1,3,5,7,9),0,TRUE)&lt;&gt;""),Lists!$AC$2:$AC$9,Lists!$AF$2:$AF$9,0))&lt;SUM(_xlfn.XLOOKUP(_xlfn._xlws.FILTER(_xlfn.TOCOL(_xlfn.CHOOSECOLS(C156:L164,2,4,6,8,10),0,TRUE),_xlfn.TOCOL(_xlfn.CHOOSECOLS(C156:L164,1,3,5,7,9),0,TRUE)&lt;&gt;""),Lists!$AC$2:$AC$9,Lists!$AF$2:$AF$9,0)))*--(ROW()-ROW(C188)=_xlfn.XLOOKUP(MAX(IF(O189:O194&gt;0,E189:E194,-1)),IF(O189:O194&gt;0,E189:E194,-1),_xlfn.SEQUENCE(ROWS(O189:O194)),,0)))</f>
        <v/>
      </c>
      <c r="L192" s="68" t="str" cm="1">
        <f t="array" aca="1" ref="L192" ca="1">IF(OR(B192="",O192=""),"",--(SUM(_xlfn.XLOOKUP(_xlfn._xlws.FILTER(_xlfn.TOCOL(_xlfn.CHOOSECOLS(C177:L185,2,4,6,8,10),0,TRUE),_xlfn.TOCOL(_xlfn.CHOOSECOLS(C177:L185,1,3,5,7,9),0,TRUE)&lt;&gt;""),Lists!$AC$2:$AC$9,Lists!$AF$2:$AF$9,0))&gt;SUM(_xlfn.XLOOKUP(_xlfn._xlws.FILTER(_xlfn.TOCOL(_xlfn.CHOOSECOLS(C156:L164,2,4,6,8,10),0,TRUE),_xlfn.TOCOL(_xlfn.CHOOSECOLS(C156:L164,1,3,5,7,9),0,TRUE)&lt;&gt;""),Lists!$AC$2:$AC$9,Lists!$AF$2:$AF$9,0)))*--(COUNTIF(O189:O194,"&gt;0")&gt;1)*--(ROW()-ROW(C188)=_xlfn.XLOOKUP(TRUE,O189:O194&gt;0,_xlfn.SEQUENCE(ROWS(O189:O194)),,0,-1))*--(_xlfn.XLOOKUP(TRUE,O189:O194&gt;0,_xlfn.SEQUENCE(ROWS(O189:O194)),,0,-1)&lt;&gt;_xlfn.XLOOKUP(MAX(IF(O189:O194&gt;0,INT(C189:C194)*3+MOD(ROUND(C189:C194*10,0),10),-1)),IF(O189:O194&gt;0,INT(C189:C194)*3+MOD(ROUND(C189:C194*10,0),10),-1),_xlfn.SEQUENCE(ROWS(O189:O194)),,0))*--(SUM(_xlfn.XLOOKUP(_xlfn._xlws.FILTER(_xlfn.TOCOL(_xlfn.CHOOSECOLS(C177:L185,2,4,6,8,10),0,TRUE),_xlfn.TOCOL(_xlfn.CHOOSECOLS(C177:L185,1,3,5,7,9),0,TRUE)&lt;&gt;""),Lists!$AC$2:$AC$9,Lists!$AF$2:$AF$9,0))-SUM(_xlfn.XLOOKUP(_xlfn._xlws.FILTER(_xlfn.TOCOL(_xlfn.CHOOSECOLS(C156:L164,2,4,6,8,10),0,TRUE),_xlfn.TOCOL(_xlfn.CHOOSECOLS(C156:L164,1,3,5,7,9),0,TRUE)&lt;&gt;""),Lists!$AC$2:$AC$9,Lists!$AF$2:$AF$9,0))&lt;=3)*--((INT(C192)*3+MOD(ROUND(C192*10,0),10))&gt;=3))</f>
        <v/>
      </c>
      <c r="M192" s="68" t="str" cm="1">
        <f t="array" ref="M192">IF(OR(B192="",O192=""),"",--(COUNTIF(O189:O194,"&gt;0")=1)*--(SUM(_xlfn.XLOOKUP(_xlfn._xlws.FILTER(_xlfn.TOCOL(_xlfn.CHOOSECOLS(C156:L164,2,4,6,8,10),0,TRUE),_xlfn.TOCOL(_xlfn.CHOOSECOLS(C156:L164,1,3,5,7,9),0,TRUE)&lt;&gt;""),Lists!$AC$2:$AC$9,Lists!$AF$2:$AF$9,0))=0))</f>
        <v/>
      </c>
      <c r="N192" s="69" t="str">
        <f>IF(OR(B192="",O192=""),"",--(COUNTIF(O189:O194,"&gt;0")=1))</f>
        <v/>
      </c>
      <c r="O192" s="51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</row>
    <row r="193" spans="1:110">
      <c r="A193" s="168">
        <v>5</v>
      </c>
      <c r="B193" s="71"/>
      <c r="C193" s="70" t="str" cm="1">
        <f t="array" aca="1" ref="C193" ca="1">IF(OR(B193="",O193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193" s="67" t="str" cm="1">
        <f t="array" aca="1" ref="D193" ca="1">IF(OR(B193="",O193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193" s="67" t="str" cm="1">
        <f t="array" aca="1" ref="E193" ca="1">IF(OR(B193="",O193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193" s="67" t="str" cm="1">
        <f t="array" aca="1" ref="F193" ca="1">IF(OR(B193="",O193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193" s="67" t="str" cm="1">
        <f t="array" aca="1" ref="G193" ca="1">IF(OR(B193="",O193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193" s="67" t="str" cm="1">
        <f t="array" aca="1" ref="H193" ca="1">IF(OR(B193="",O193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193" s="68" t="str" cm="1">
        <f t="array" aca="1" ref="I193" ca="1">IF(OR(B193="",O193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193" s="68" t="str" cm="1">
        <f t="array" aca="1" ref="J193" ca="1">IF(OR(B193="",O193=""),"",--(SUM(_xlfn.XLOOKUP(_xlfn._xlws.FILTER(_xlfn.TOCOL(_xlfn.CHOOSECOLS(C177:L185,2,4,6,8,10),0,TRUE),_xlfn.TOCOL(_xlfn.CHOOSECOLS(C177:L185,1,3,5,7,9),0,TRUE)&lt;&gt;""),Lists!$AC$2:$AC$9,Lists!$AF$2:$AF$9,0))&gt;SUM(_xlfn.XLOOKUP(_xlfn._xlws.FILTER(_xlfn.TOCOL(_xlfn.CHOOSECOLS(C156:L164,2,4,6,8,10),0,TRUE),_xlfn.TOCOL(_xlfn.CHOOSECOLS(C156:L164,1,3,5,7,9),0,TRUE)&lt;&gt;""),Lists!$AC$2:$AC$9,Lists!$AF$2:$AF$9,0)))*--(ROW()-ROW(C188)=_xlfn.XLOOKUP(MAX(IF(O189:O194&gt;0,INT(C189:C194)*3+MOD(ROUND(C189:C194*10,0),10),-1)),IF(O189:O194&gt;0,INT(C189:C194)*3+MOD(ROUND(C189:C194*10,0),10),-1),_xlfn.SEQUENCE(ROWS(O189:O194)),,0)))</f>
        <v/>
      </c>
      <c r="K193" s="68" t="str" cm="1">
        <f t="array" aca="1" ref="K193" ca="1">IF(OR(B193="",O193=""),"",--(SUM(_xlfn.XLOOKUP(_xlfn._xlws.FILTER(_xlfn.TOCOL(_xlfn.CHOOSECOLS(C177:L185,2,4,6,8,10),0,TRUE),_xlfn.TOCOL(_xlfn.CHOOSECOLS(C177:L185,1,3,5,7,9),0,TRUE)&lt;&gt;""),Lists!$AC$2:$AC$9,Lists!$AF$2:$AF$9,0))&lt;SUM(_xlfn.XLOOKUP(_xlfn._xlws.FILTER(_xlfn.TOCOL(_xlfn.CHOOSECOLS(C156:L164,2,4,6,8,10),0,TRUE),_xlfn.TOCOL(_xlfn.CHOOSECOLS(C156:L164,1,3,5,7,9),0,TRUE)&lt;&gt;""),Lists!$AC$2:$AC$9,Lists!$AF$2:$AF$9,0)))*--(ROW()-ROW(C188)=_xlfn.XLOOKUP(MAX(IF(O189:O194&gt;0,E189:E194,-1)),IF(O189:O194&gt;0,E189:E194,-1),_xlfn.SEQUENCE(ROWS(O189:O194)),,0)))</f>
        <v/>
      </c>
      <c r="L193" s="68" t="str" cm="1">
        <f t="array" aca="1" ref="L193" ca="1">IF(OR(B193="",O193=""),"",--(SUM(_xlfn.XLOOKUP(_xlfn._xlws.FILTER(_xlfn.TOCOL(_xlfn.CHOOSECOLS(C177:L185,2,4,6,8,10),0,TRUE),_xlfn.TOCOL(_xlfn.CHOOSECOLS(C177:L185,1,3,5,7,9),0,TRUE)&lt;&gt;""),Lists!$AC$2:$AC$9,Lists!$AF$2:$AF$9,0))&gt;SUM(_xlfn.XLOOKUP(_xlfn._xlws.FILTER(_xlfn.TOCOL(_xlfn.CHOOSECOLS(C156:L164,2,4,6,8,10),0,TRUE),_xlfn.TOCOL(_xlfn.CHOOSECOLS(C156:L164,1,3,5,7,9),0,TRUE)&lt;&gt;""),Lists!$AC$2:$AC$9,Lists!$AF$2:$AF$9,0)))*--(COUNTIF(O189:O194,"&gt;0")&gt;1)*--(ROW()-ROW(C188)=_xlfn.XLOOKUP(TRUE,O189:O194&gt;0,_xlfn.SEQUENCE(ROWS(O189:O194)),,0,-1))*--(_xlfn.XLOOKUP(TRUE,O189:O194&gt;0,_xlfn.SEQUENCE(ROWS(O189:O194)),,0,-1)&lt;&gt;_xlfn.XLOOKUP(MAX(IF(O189:O194&gt;0,INT(C189:C194)*3+MOD(ROUND(C189:C194*10,0),10),-1)),IF(O189:O194&gt;0,INT(C189:C194)*3+MOD(ROUND(C189:C194*10,0),10),-1),_xlfn.SEQUENCE(ROWS(O189:O194)),,0))*--(SUM(_xlfn.XLOOKUP(_xlfn._xlws.FILTER(_xlfn.TOCOL(_xlfn.CHOOSECOLS(C177:L185,2,4,6,8,10),0,TRUE),_xlfn.TOCOL(_xlfn.CHOOSECOLS(C177:L185,1,3,5,7,9),0,TRUE)&lt;&gt;""),Lists!$AC$2:$AC$9,Lists!$AF$2:$AF$9,0))-SUM(_xlfn.XLOOKUP(_xlfn._xlws.FILTER(_xlfn.TOCOL(_xlfn.CHOOSECOLS(C156:L164,2,4,6,8,10),0,TRUE),_xlfn.TOCOL(_xlfn.CHOOSECOLS(C156:L164,1,3,5,7,9),0,TRUE)&lt;&gt;""),Lists!$AC$2:$AC$9,Lists!$AF$2:$AF$9,0))&lt;=3)*--((INT(C193)*3+MOD(ROUND(C193*10,0),10))&gt;=3))</f>
        <v/>
      </c>
      <c r="M193" s="68" t="str" cm="1">
        <f t="array" ref="M193">IF(OR(B193="",O193=""),"",--(COUNTIF(O189:O194,"&gt;0")=1)*--(SUM(_xlfn.XLOOKUP(_xlfn._xlws.FILTER(_xlfn.TOCOL(_xlfn.CHOOSECOLS(C156:L164,2,4,6,8,10),0,TRUE),_xlfn.TOCOL(_xlfn.CHOOSECOLS(C156:L164,1,3,5,7,9),0,TRUE)&lt;&gt;""),Lists!$AC$2:$AC$9,Lists!$AF$2:$AF$9,0))=0))</f>
        <v/>
      </c>
      <c r="N193" s="69" t="str">
        <f>IF(OR(B193="",O193=""),"",--(COUNTIF(O189:O194,"&gt;0")=1))</f>
        <v/>
      </c>
      <c r="O193" s="51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</row>
    <row r="194" spans="1:110">
      <c r="A194" s="168">
        <v>6</v>
      </c>
      <c r="B194" s="71"/>
      <c r="C194" s="70" t="str" cm="1">
        <f t="array" aca="1" ref="C194" ca="1">IF(OR(B194="",O194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194" s="67" t="str" cm="1">
        <f t="array" aca="1" ref="D194" ca="1">IF(OR(B194="",O194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194" s="67" t="str" cm="1">
        <f t="array" aca="1" ref="E194" ca="1">IF(OR(B194="",O194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194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194" s="67" t="str" cm="1">
        <f t="array" aca="1" ref="F194" ca="1">IF(OR(B194="",O194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194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194" s="67" t="str" cm="1">
        <f t="array" aca="1" ref="G194" ca="1">IF(OR(B194="",O194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194" s="67" t="str" cm="1">
        <f t="array" aca="1" ref="H194" ca="1">IF(OR(B194="",O194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194" s="68" t="str" cm="1">
        <f t="array" aca="1" ref="I194" ca="1">IF(OR(B194="",O194=""),"",_xlfn.LET(_xlpm.flatPAraw,_xlfn.TOCOL(_xlfn.CHOOSECOLS(C156:L164,1,3,5,7,9),0,TRUE),_xlpm.flatPARraw,_xlfn.TOCOL(_xlfn.CHOOSECOLS(C156:L164,2,4,6,8,10),0,TRUE),_xlpm.flatPA,_xlfn._xlws.FILTER(_xlpm.flatPAraw,_xlpm.flatPAraw&lt;&gt;""),_xlpm.flatPAR,_xlfn._xlws.FILTER(_xlpm.flatPARraw,_xlpm.flatPAraw&lt;&gt;""),_xlpm.prev,IF(ROW()=ROW(C189),0,SUM(INDEX(O:O,ROW(C189)):INDEX(O:O,ROW()-1))),_xlpm.need,O194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194" s="68" t="str" cm="1">
        <f t="array" aca="1" ref="J194" ca="1">IF(OR(B194="",O194=""),"",--(SUM(_xlfn.XLOOKUP(_xlfn._xlws.FILTER(_xlfn.TOCOL(_xlfn.CHOOSECOLS(C177:L185,2,4,6,8,10),0,TRUE),_xlfn.TOCOL(_xlfn.CHOOSECOLS(C177:L185,1,3,5,7,9),0,TRUE)&lt;&gt;""),Lists!$AC$2:$AC$9,Lists!$AF$2:$AF$9,0))&gt;SUM(_xlfn.XLOOKUP(_xlfn._xlws.FILTER(_xlfn.TOCOL(_xlfn.CHOOSECOLS(C156:L164,2,4,6,8,10),0,TRUE),_xlfn.TOCOL(_xlfn.CHOOSECOLS(C156:L164,1,3,5,7,9),0,TRUE)&lt;&gt;""),Lists!$AC$2:$AC$9,Lists!$AF$2:$AF$9,0)))*--(ROW()-ROW(C188)=_xlfn.XLOOKUP(MAX(IF(O189:O194&gt;0,INT(C189:C194)*3+MOD(ROUND(C189:C194*10,0),10),-1)),IF(O189:O194&gt;0,INT(C189:C194)*3+MOD(ROUND(C189:C194*10,0),10),-1),_xlfn.SEQUENCE(ROWS(O189:O194)),,0)))</f>
        <v/>
      </c>
      <c r="K194" s="68" t="str" cm="1">
        <f t="array" aca="1" ref="K194" ca="1">IF(OR(B194="",O194=""),"",--(SUM(_xlfn.XLOOKUP(_xlfn._xlws.FILTER(_xlfn.TOCOL(_xlfn.CHOOSECOLS(C177:L185,2,4,6,8,10),0,TRUE),_xlfn.TOCOL(_xlfn.CHOOSECOLS(C177:L185,1,3,5,7,9),0,TRUE)&lt;&gt;""),Lists!$AC$2:$AC$9,Lists!$AF$2:$AF$9,0))&lt;SUM(_xlfn.XLOOKUP(_xlfn._xlws.FILTER(_xlfn.TOCOL(_xlfn.CHOOSECOLS(C156:L164,2,4,6,8,10),0,TRUE),_xlfn.TOCOL(_xlfn.CHOOSECOLS(C156:L164,1,3,5,7,9),0,TRUE)&lt;&gt;""),Lists!$AC$2:$AC$9,Lists!$AF$2:$AF$9,0)))*--(ROW()-ROW(C188)=_xlfn.XLOOKUP(MAX(IF(O189:O194&gt;0,E189:E194,-1)),IF(O189:O194&gt;0,E189:E194,-1),_xlfn.SEQUENCE(ROWS(O189:O194)),,0)))</f>
        <v/>
      </c>
      <c r="L194" s="68" t="str" cm="1">
        <f t="array" aca="1" ref="L194" ca="1">IF(OR(B194="",O194=""),"",--(SUM(_xlfn.XLOOKUP(_xlfn._xlws.FILTER(_xlfn.TOCOL(_xlfn.CHOOSECOLS(C177:L185,2,4,6,8,10),0,TRUE),_xlfn.TOCOL(_xlfn.CHOOSECOLS(C177:L185,1,3,5,7,9),0,TRUE)&lt;&gt;""),Lists!$AC$2:$AC$9,Lists!$AF$2:$AF$9,0))&gt;SUM(_xlfn.XLOOKUP(_xlfn._xlws.FILTER(_xlfn.TOCOL(_xlfn.CHOOSECOLS(C156:L164,2,4,6,8,10),0,TRUE),_xlfn.TOCOL(_xlfn.CHOOSECOLS(C156:L164,1,3,5,7,9),0,TRUE)&lt;&gt;""),Lists!$AC$2:$AC$9,Lists!$AF$2:$AF$9,0)))*--(COUNTIF(O189:O194,"&gt;0")&gt;1)*--(ROW()-ROW(C188)=_xlfn.XLOOKUP(TRUE,O189:O194&gt;0,_xlfn.SEQUENCE(ROWS(O189:O194)),,0,-1))*--(_xlfn.XLOOKUP(TRUE,O189:O194&gt;0,_xlfn.SEQUENCE(ROWS(O189:O194)),,0,-1)&lt;&gt;_xlfn.XLOOKUP(MAX(IF(O189:O194&gt;0,INT(C189:C194)*3+MOD(ROUND(C189:C194*10,0),10),-1)),IF(O189:O194&gt;0,INT(C189:C194)*3+MOD(ROUND(C189:C194*10,0),10),-1),_xlfn.SEQUENCE(ROWS(O189:O194)),,0))*--(SUM(_xlfn.XLOOKUP(_xlfn._xlws.FILTER(_xlfn.TOCOL(_xlfn.CHOOSECOLS(C177:L185,2,4,6,8,10),0,TRUE),_xlfn.TOCOL(_xlfn.CHOOSECOLS(C177:L185,1,3,5,7,9),0,TRUE)&lt;&gt;""),Lists!$AC$2:$AC$9,Lists!$AF$2:$AF$9,0))-SUM(_xlfn.XLOOKUP(_xlfn._xlws.FILTER(_xlfn.TOCOL(_xlfn.CHOOSECOLS(C156:L164,2,4,6,8,10),0,TRUE),_xlfn.TOCOL(_xlfn.CHOOSECOLS(C156:L164,1,3,5,7,9),0,TRUE)&lt;&gt;""),Lists!$AC$2:$AC$9,Lists!$AF$2:$AF$9,0))&lt;=3)*--((INT(C194)*3+MOD(ROUND(C194*10,0),10))&gt;=3))</f>
        <v/>
      </c>
      <c r="M194" s="68" t="str" cm="1">
        <f t="array" ref="M194">IF(OR(B194="",O194=""),"",--(COUNTIF(O189:O194,"&gt;0")=1)*--(SUM(_xlfn.XLOOKUP(_xlfn._xlws.FILTER(_xlfn.TOCOL(_xlfn.CHOOSECOLS(C156:L164,2,4,6,8,10),0,TRUE),_xlfn.TOCOL(_xlfn.CHOOSECOLS(C156:L164,1,3,5,7,9),0,TRUE)&lt;&gt;""),Lists!$AC$2:$AC$9,Lists!$AF$2:$AF$9,0))=0))</f>
        <v/>
      </c>
      <c r="N194" s="69" t="str">
        <f>IF(OR(B194="",O194=""),"",--(COUNTIF(O189:O194,"&gt;0")=1))</f>
        <v/>
      </c>
      <c r="O194" s="51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</row>
    <row r="195" spans="1:110">
      <c r="A195" s="173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</row>
    <row r="196" spans="1:110">
      <c r="A196" s="174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</row>
    <row r="197" spans="1:110">
      <c r="A197" s="217" t="s">
        <v>208</v>
      </c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9"/>
      <c r="N197" s="207"/>
      <c r="O197" s="36"/>
      <c r="P197" s="37"/>
      <c r="Q197" s="38"/>
      <c r="R197" s="38"/>
      <c r="S197" s="38"/>
      <c r="T197" s="38"/>
      <c r="U197" s="38"/>
      <c r="V197" s="38"/>
      <c r="W197" s="38"/>
      <c r="X197" s="3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</row>
    <row r="198" spans="1:110">
      <c r="A198" s="169" t="s">
        <v>33</v>
      </c>
      <c r="B198" s="40">
        <f>Settings!$B$2</f>
        <v>1</v>
      </c>
      <c r="C198" s="41"/>
      <c r="D198" s="40" t="s">
        <v>95</v>
      </c>
      <c r="E198" s="41"/>
      <c r="F198" s="40" t="str">
        <f>Bracket!$F$10</f>
        <v>G5</v>
      </c>
      <c r="G198" s="41"/>
      <c r="H198" s="40" t="s">
        <v>97</v>
      </c>
      <c r="I198" s="41"/>
      <c r="J198" s="40" t="str">
        <f>Bracket!$G$10</f>
        <v>Losers R1-1</v>
      </c>
      <c r="K198" s="41"/>
      <c r="L198" s="40" t="s">
        <v>134</v>
      </c>
      <c r="M198" s="24"/>
      <c r="N198" s="123" t="str">
        <f ca="1">Bracket!$H$10</f>
        <v>May</v>
      </c>
      <c r="O198" s="24"/>
      <c r="P198" s="18"/>
      <c r="Q198" s="18"/>
      <c r="R198" s="116" t="str">
        <f ca="1">Bracket!$I$10</f>
        <v>Justin</v>
      </c>
      <c r="S198" s="18"/>
      <c r="T198" s="18"/>
      <c r="U198" s="18"/>
      <c r="V198" s="18" t="str">
        <f ca="1">Bracket!$L$10</f>
        <v>May</v>
      </c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</row>
    <row r="199" spans="1:110">
      <c r="A199" s="170" t="s">
        <v>160</v>
      </c>
      <c r="B199" s="72">
        <v>1</v>
      </c>
      <c r="C199" s="72">
        <v>2</v>
      </c>
      <c r="D199" s="72">
        <v>3</v>
      </c>
      <c r="E199" s="72">
        <v>4</v>
      </c>
      <c r="F199" s="72">
        <v>5</v>
      </c>
      <c r="G199" s="72">
        <v>6</v>
      </c>
      <c r="H199" s="72">
        <v>7</v>
      </c>
      <c r="I199" s="73">
        <v>8</v>
      </c>
      <c r="J199" s="73">
        <v>9</v>
      </c>
      <c r="K199" s="73" t="s">
        <v>161</v>
      </c>
      <c r="L199" s="73" t="s">
        <v>162</v>
      </c>
      <c r="M199" s="74" t="s">
        <v>163</v>
      </c>
      <c r="N199" s="24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</row>
    <row r="200" spans="1:110">
      <c r="A200" s="171" t="str">
        <f ca="1">N198</f>
        <v>May</v>
      </c>
      <c r="B200" s="75" cm="1">
        <f t="array" aca="1" ref="B200" ca="1">IFERROR(_xlfn.LET(_xlpm.flatPAraw,_xlfn.TOCOL(_xlfn.CHOOSECOLS(C205:L213,1,3,5,7,9),0,TRUE),_xlpm.flatPARraw,_xlfn.TOCOL(_xlfn.CHOOSECOLS(C205:L213,2,4,6,8,10)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1</v>
      </c>
      <c r="C200" s="75" cm="1">
        <f t="array" aca="1" ref="C200" ca="1">IFERROR(_xlfn.LET(_xlpm.flatPAraw,_xlfn.TOCOL(_xlfn.CHOOSECOLS(C205:L213,1,3,5,7,9),0,TRUE),_xlpm.flatPARraw,_xlfn.TOCOL(_xlfn.CHOOSECOLS(C205:L213,2,4,6,8,10)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1</v>
      </c>
      <c r="D200" s="75" cm="1">
        <f t="array" aca="1" ref="D200" ca="1">IFERROR(_xlfn.LET(_xlpm.flatPAraw,_xlfn.TOCOL(_xlfn.CHOOSECOLS(C205:L213,1,3,5,7,9),0,TRUE),_xlpm.flatPARraw,_xlfn.TOCOL(_xlfn.CHOOSECOLS(C205:L213,2,4,6,8,10)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200" s="75" cm="1">
        <f t="array" aca="1" ref="E200" ca="1">IFERROR(_xlfn.LET(_xlpm.flatPAraw,_xlfn.TOCOL(_xlfn.CHOOSECOLS(C205:L213,1,3,5,7,9),0,TRUE),_xlpm.flatPARraw,_xlfn.TOCOL(_xlfn.CHOOSECOLS(C205:L213,2,4,6,8,10)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200" s="75" cm="1">
        <f t="array" aca="1" ref="F200" ca="1">IFERROR(_xlfn.LET(_xlpm.flatPAraw,_xlfn.TOCOL(_xlfn.CHOOSECOLS(C205:L213,1,3,5,7,9),0,TRUE),_xlpm.flatPARraw,_xlfn.TOCOL(_xlfn.CHOOSECOLS(C205:L213,2,4,6,8,10)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200" s="75" cm="1">
        <f t="array" aca="1" ref="G200" ca="1">IFERROR(_xlfn.LET(_xlpm.flatPAraw,_xlfn.TOCOL(_xlfn.CHOOSECOLS(C205:L213,1,3,5,7,9),0,TRUE),_xlpm.flatPARraw,_xlfn.TOCOL(_xlfn.CHOOSECOLS(C205:L213,2,4,6,8,10)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200" s="75" cm="1">
        <f t="array" aca="1" ref="H200" ca="1">IFERROR(_xlfn.LET(_xlpm.flatPAraw,_xlfn.TOCOL(_xlfn.CHOOSECOLS(C205:L213,1,3,5,7,9),0,TRUE),_xlpm.flatPARraw,_xlfn.TOCOL(_xlfn.CHOOSECOLS(C205:L213,2,4,6,8,10)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200" s="76" cm="1">
        <f t="array" aca="1" ref="I200" ca="1">IFERROR(_xlfn.LET(_xlpm.flatPAraw,_xlfn.TOCOL(_xlfn.CHOOSECOLS(C205:L213,1,3,5,7,9),0,TRUE),_xlpm.flatPARraw,_xlfn.TOCOL(_xlfn.CHOOSECOLS(C205:L213,2,4,6,8,10)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200" s="76" cm="1">
        <f t="array" aca="1" ref="J200" ca="1">IFERROR(_xlfn.LET(_xlpm.flatPAraw,_xlfn.TOCOL(_xlfn.CHOOSECOLS(C205:L213,1,3,5,7,9),0,TRUE),_xlpm.flatPARraw,_xlfn.TOCOL(_xlfn.CHOOSECOLS(C205:L213,2,4,6,8,10)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200" s="164">
        <f ca="1">SUM(B200:J200)</f>
        <v>2</v>
      </c>
      <c r="L200" s="77">
        <f ca="1">SUM(O205:O213)</f>
        <v>3</v>
      </c>
      <c r="M200" s="78">
        <f ca="1">COUNTIF(C226:L234,"ROE")</f>
        <v>0</v>
      </c>
      <c r="N200" s="24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</row>
    <row r="201" spans="1:110">
      <c r="A201" s="172" t="str">
        <f ca="1">R198</f>
        <v>Justin</v>
      </c>
      <c r="B201" s="79" cm="1">
        <f t="array" aca="1" ref="B201" ca="1">IFERROR(_xlfn.LET(_xlpm.flatPAraw,_xlfn.TOCOL(_xlfn.CHOOSECOLS(C226:L234,1,3,5,7,9),0,TRUE),_xlpm.flatPARraw,_xlfn.TOCOL(_xlfn.CHOOSECOLS(C226:L234,2,4,6,8,10)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1</v>
      </c>
      <c r="C201" s="79" cm="1">
        <f t="array" aca="1" ref="C201" ca="1">IFERROR(_xlfn.LET(_xlpm.flatPAraw,_xlfn.TOCOL(_xlfn.CHOOSECOLS(C226:L234,1,3,5,7,9),0,TRUE),_xlpm.flatPARraw,_xlfn.TOCOL(_xlfn.CHOOSECOLS(C226:L234,2,4,6,8,10)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201" s="79" cm="1">
        <f t="array" aca="1" ref="D201" ca="1">IFERROR(_xlfn.LET(_xlpm.flatPAraw,_xlfn.TOCOL(_xlfn.CHOOSECOLS(C226:L234,1,3,5,7,9),0,TRUE),_xlpm.flatPARraw,_xlfn.TOCOL(_xlfn.CHOOSECOLS(C226:L234,2,4,6,8,10)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201" s="79" cm="1">
        <f t="array" aca="1" ref="E201" ca="1">IFERROR(_xlfn.LET(_xlpm.flatPAraw,_xlfn.TOCOL(_xlfn.CHOOSECOLS(C226:L234,1,3,5,7,9),0,TRUE),_xlpm.flatPARraw,_xlfn.TOCOL(_xlfn.CHOOSECOLS(C226:L234,2,4,6,8,10)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201" s="79" cm="1">
        <f t="array" aca="1" ref="F201" ca="1">IFERROR(_xlfn.LET(_xlpm.flatPAraw,_xlfn.TOCOL(_xlfn.CHOOSECOLS(C226:L234,1,3,5,7,9),0,TRUE),_xlpm.flatPARraw,_xlfn.TOCOL(_xlfn.CHOOSECOLS(C226:L234,2,4,6,8,10)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201" s="79" cm="1">
        <f t="array" aca="1" ref="G201" ca="1">IFERROR(_xlfn.LET(_xlpm.flatPAraw,_xlfn.TOCOL(_xlfn.CHOOSECOLS(C226:L234,1,3,5,7,9),0,TRUE),_xlpm.flatPARraw,_xlfn.TOCOL(_xlfn.CHOOSECOLS(C226:L234,2,4,6,8,10)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201" s="79" cm="1">
        <f t="array" aca="1" ref="H201" ca="1">IFERROR(_xlfn.LET(_xlpm.flatPAraw,_xlfn.TOCOL(_xlfn.CHOOSECOLS(C226:L234,1,3,5,7,9),0,TRUE),_xlpm.flatPARraw,_xlfn.TOCOL(_xlfn.CHOOSECOLS(C226:L234,2,4,6,8,10)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201" s="80" cm="1">
        <f t="array" aca="1" ref="I201" ca="1">IFERROR(_xlfn.LET(_xlpm.flatPAraw,_xlfn.TOCOL(_xlfn.CHOOSECOLS(C226:L234,1,3,5,7,9),0,TRUE),_xlpm.flatPARraw,_xlfn.TOCOL(_xlfn.CHOOSECOLS(C226:L234,2,4,6,8,10)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201" s="80" cm="1">
        <f t="array" aca="1" ref="J201" ca="1">IFERROR(_xlfn.LET(_xlpm.flatPAraw,_xlfn.TOCOL(_xlfn.CHOOSECOLS(C226:L234,1,3,5,7,9),0,TRUE),_xlpm.flatPARraw,_xlfn.TOCOL(_xlfn.CHOOSECOLS(C226:L234,2,4,6,8,10)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201" s="165">
        <f ca="1">SUM(B201:J201)</f>
        <v>1</v>
      </c>
      <c r="L201" s="81">
        <f ca="1">SUM(O226:O234)</f>
        <v>2</v>
      </c>
      <c r="M201" s="82">
        <f ca="1">COUNTIF(C205:L213,"ROE")</f>
        <v>0</v>
      </c>
      <c r="N201" s="24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</row>
    <row r="202" spans="1:110">
      <c r="A202" s="173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</row>
    <row r="203" spans="1:110">
      <c r="A203" s="205" t="str">
        <f ca="1">IF($N$198="","Team A Batting",$N$198&amp;" Batting")</f>
        <v>May Batting</v>
      </c>
      <c r="B203" s="206"/>
      <c r="C203" s="206"/>
      <c r="D203" s="206"/>
      <c r="E203" s="206"/>
      <c r="F203" s="206"/>
      <c r="G203" s="206"/>
      <c r="H203" s="206"/>
      <c r="I203" s="206"/>
      <c r="J203" s="206"/>
      <c r="K203" s="206"/>
      <c r="L203" s="206"/>
      <c r="M203" s="206"/>
      <c r="N203" s="206"/>
      <c r="O203" s="181"/>
      <c r="P203" s="182"/>
      <c r="Q203" s="182"/>
      <c r="R203" s="182"/>
      <c r="S203" s="182"/>
      <c r="T203" s="182"/>
      <c r="U203" s="182"/>
      <c r="V203" s="182"/>
      <c r="W203" s="182"/>
      <c r="X203" s="182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</row>
    <row r="204" spans="1:110">
      <c r="A204" s="167" t="s">
        <v>164</v>
      </c>
      <c r="B204" s="43" t="s">
        <v>39</v>
      </c>
      <c r="C204" s="43" t="s">
        <v>165</v>
      </c>
      <c r="D204" s="43" t="s">
        <v>166</v>
      </c>
      <c r="E204" s="43" t="s">
        <v>167</v>
      </c>
      <c r="F204" s="43" t="s">
        <v>168</v>
      </c>
      <c r="G204" s="43" t="s">
        <v>169</v>
      </c>
      <c r="H204" s="43" t="s">
        <v>170</v>
      </c>
      <c r="I204" s="43" t="s">
        <v>171</v>
      </c>
      <c r="J204" s="43" t="s">
        <v>172</v>
      </c>
      <c r="K204" s="43" t="s">
        <v>173</v>
      </c>
      <c r="L204" s="43" t="s">
        <v>174</v>
      </c>
      <c r="M204" s="43" t="s">
        <v>175</v>
      </c>
      <c r="N204" s="44" t="s">
        <v>161</v>
      </c>
      <c r="O204" s="44" t="s">
        <v>162</v>
      </c>
      <c r="P204" s="44" t="s">
        <v>176</v>
      </c>
      <c r="Q204" s="44" t="s">
        <v>177</v>
      </c>
      <c r="R204" s="44" t="s">
        <v>178</v>
      </c>
      <c r="S204" s="44" t="s">
        <v>179</v>
      </c>
      <c r="T204" s="44" t="s">
        <v>180</v>
      </c>
      <c r="U204" s="44" t="s">
        <v>181</v>
      </c>
      <c r="V204" s="44" t="s">
        <v>182</v>
      </c>
      <c r="W204" s="44" t="s">
        <v>183</v>
      </c>
      <c r="X204" s="45" t="s">
        <v>184</v>
      </c>
      <c r="Y204" s="45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</row>
    <row r="205" spans="1:110">
      <c r="A205" s="168">
        <v>1</v>
      </c>
      <c r="B205" s="47" t="str">
        <f ca="1">Lineups!$C$61</f>
        <v>Red Kritter</v>
      </c>
      <c r="C205" s="48" t="s">
        <v>178</v>
      </c>
      <c r="D205" s="49" t="s">
        <v>190</v>
      </c>
      <c r="E205" s="49"/>
      <c r="F205" s="49"/>
      <c r="G205" s="49"/>
      <c r="H205" s="50"/>
      <c r="I205" s="50"/>
      <c r="J205" s="50"/>
      <c r="K205" s="50"/>
      <c r="L205" s="50"/>
      <c r="M205" s="67">
        <f ca="1">IF($B205="","",SUM(_xlfn.XLOOKUP(C205,Lists!$P$2:$P$19,Lists!$R$2:$R$19,0),_xlfn.XLOOKUP(E205,Lists!$P$2:$P$19,Lists!$R$2:$R$19,0),_xlfn.XLOOKUP(G205,Lists!$P$2:$P$19,Lists!$R$2:$R$19,0),_xlfn.XLOOKUP(I205,Lists!$P$2:$P$19,Lists!$R$2:$R$19,0),_xlfn.XLOOKUP(K205,Lists!$P$2:$P$19,Lists!$R$2:$R$19,0)))</f>
        <v>1</v>
      </c>
      <c r="N205" s="68">
        <f ca="1">IF($B205="","",SUM(_xlfn.XLOOKUP(D205,Lists!$AC$2:$AC$9,Lists!$AE$2:$AE$9,0),_xlfn.XLOOKUP(F205,Lists!$AC$2:$AC$9,Lists!$AE$2:$AE$9,0),_xlfn.XLOOKUP(H205,Lists!$AC$2:$AC$9,Lists!$AE$2:$AE$9,0),_xlfn.XLOOKUP(J205,Lists!$AC$2:$AC$9,Lists!$AE$2:$AE$9,0),_xlfn.XLOOKUP(L205,Lists!$AC$2:$AC$9,Lists!$AE$2:$AE$9,0)))</f>
        <v>1</v>
      </c>
      <c r="O205" s="68">
        <f ca="1">IF($B205="","",SUM(_xlfn.XLOOKUP(C205,Lists!$P$2:$P$19,Lists!$S$2:$S$19,0),_xlfn.XLOOKUP(E205,Lists!$P$2:$P$19,Lists!$S$2:$S$19,0),_xlfn.XLOOKUP(G205,Lists!$P$2:$P$19,Lists!$S$2:$S$19,0),_xlfn.XLOOKUP(I205,Lists!$P$2:$P$19,Lists!$S$2:$S$19,0),_xlfn.XLOOKUP(K205,Lists!$P$2:$P$19,Lists!$S$2:$S$19,0)))</f>
        <v>1</v>
      </c>
      <c r="P205" s="68">
        <f ca="1">IF($B205="","",SUM(_xlfn.XLOOKUP(C205,Lists!$P$2:$P$19,Lists!$T$2:$T$19,0),_xlfn.XLOOKUP(E205,Lists!$P$2:$P$19,Lists!$T$2:$T$19,0),_xlfn.XLOOKUP(G205,Lists!$P$2:$P$19,Lists!$T$2:$T$19,0),_xlfn.XLOOKUP(I205,Lists!$P$2:$P$19,Lists!$T$2:$T$19,0),_xlfn.XLOOKUP(K205,Lists!$P$2:$P$19,Lists!$T$2:$T$19,0)))</f>
        <v>0</v>
      </c>
      <c r="Q205" s="68">
        <f ca="1">IF($B205="","",SUM(_xlfn.XLOOKUP(C205,Lists!$P$2:$P$19,Lists!$U$2:$U$19,0),_xlfn.XLOOKUP(E205,Lists!$P$2:$P$19,Lists!$U$2:$U$19,0),_xlfn.XLOOKUP(G205,Lists!$P$2:$P$19,Lists!$U$2:$U$19,0),_xlfn.XLOOKUP(I205,Lists!$P$2:$P$19,Lists!$U$2:$U$19,0),_xlfn.XLOOKUP(K205,Lists!$P$2:$P$19,Lists!$U$2:$U$19,0)))</f>
        <v>0</v>
      </c>
      <c r="R205" s="68">
        <f ca="1">IF($B205="","",SUM(_xlfn.XLOOKUP(C205,Lists!$P$2:$P$19,Lists!$V$2:$V$19,0),_xlfn.XLOOKUP(E205,Lists!$P$2:$P$19,Lists!$V$2:$V$19,0),_xlfn.XLOOKUP(G205,Lists!$P$2:$P$19,Lists!$V$2:$V$19,0),_xlfn.XLOOKUP(I205,Lists!$P$2:$P$19,Lists!$V$2:$V$19,0),_xlfn.XLOOKUP(K205,Lists!$P$2:$P$19,Lists!$V$2:$V$19,0)))</f>
        <v>1</v>
      </c>
      <c r="S205" s="68">
        <f ca="1">IF($B205="","",SUM(_xlfn.XLOOKUP(D205,Lists!$AC$2:$AC$9,Lists!$AD$2:$AD$9,0),_xlfn.XLOOKUP(F205,Lists!$AC$2:$AC$9,Lists!$AD$2:$AD$9,0),_xlfn.XLOOKUP(H205,Lists!$AC$2:$AC$9,Lists!$AD$2:$AD$9,0),_xlfn.XLOOKUP(J205,Lists!$AC$2:$AC$9,Lists!$AD$2:$AD$9,0),_xlfn.XLOOKUP(L205,Lists!$AC$2:$AC$9,Lists!$AD$2:$AD$9,0)))</f>
        <v>1</v>
      </c>
      <c r="T205" s="68">
        <f ca="1">IF($B205="","",SUM(_xlfn.XLOOKUP(C205,Lists!$P$2:$P$19,Lists!$W$2:$W$19,0),_xlfn.XLOOKUP(E205,Lists!$P$2:$P$19,Lists!$W$2:$W$19,0),_xlfn.XLOOKUP(G205,Lists!$P$2:$P$19,Lists!$W$2:$W$19,0),_xlfn.XLOOKUP(I205,Lists!$P$2:$P$19,Lists!$W$2:$W$19,0),_xlfn.XLOOKUP(K205,Lists!$P$2:$P$19,Lists!$W$2:$W$19,0)))</f>
        <v>0</v>
      </c>
      <c r="U205" s="68">
        <f ca="1">IF($B205="","",SUM(_xlfn.XLOOKUP(C205,Lists!$P$2:$P$19,Lists!$X$2:$X$19,0),_xlfn.XLOOKUP(E205,Lists!$P$2:$P$19,Lists!$X$2:$X$19,0),_xlfn.XLOOKUP(G205,Lists!$P$2:$P$19,Lists!$X$2:$X$19,0),_xlfn.XLOOKUP(I205,Lists!$P$2:$P$19,Lists!$X$2:$X$19,0),_xlfn.XLOOKUP(K205,Lists!$P$2:$P$19,Lists!$X$2:$X$19,0)))</f>
        <v>0</v>
      </c>
      <c r="V205" s="68">
        <f ca="1">IF($B205="","",SUM(_xlfn.XLOOKUP(C205,Lists!$P$2:$P$19,Lists!$Y$2:$Y$19,0),_xlfn.XLOOKUP(E205,Lists!$P$2:$P$19,Lists!$Y$2:$Y$19,0),_xlfn.XLOOKUP(G205,Lists!$P$2:$P$19,Lists!$Y$2:$Y$19,0),_xlfn.XLOOKUP(I205,Lists!$P$2:$P$19,Lists!$Y$2:$Y$19,0),_xlfn.XLOOKUP(K205,Lists!$P$2:$P$19,Lists!$Y$2:$Y$19,0)))</f>
        <v>0</v>
      </c>
      <c r="W205" s="68">
        <f ca="1">IF($B205="","",SUM(_xlfn.XLOOKUP(C205,Lists!$P$2:$P$19,Lists!$Z$2:$Z$19,0),_xlfn.XLOOKUP(E205,Lists!$P$2:$P$19,Lists!$Z$2:$Z$19,0),_xlfn.XLOOKUP(G205,Lists!$P$2:$P$19,Lists!$Z$2:$Z$19,0),_xlfn.XLOOKUP(I205,Lists!$P$2:$P$19,Lists!$Z$2:$Z$19,0),_xlfn.XLOOKUP(K205,Lists!$P$2:$P$19,Lists!$Z$2:$Z$19,0)))</f>
        <v>0</v>
      </c>
      <c r="X205" s="69">
        <f ca="1">IF($B205="","",SUM(_xlfn.XLOOKUP(C205,Lists!$P$2:$P$19,Lists!$AA$2:$AA$19,0),_xlfn.XLOOKUP(E205,Lists!$P$2:$P$19,Lists!$AA$2:$AA$19,0),_xlfn.XLOOKUP(G205,Lists!$P$2:$P$19,Lists!$AA$2:$AA$19,0),_xlfn.XLOOKUP(I205,Lists!$P$2:$P$19,Lists!$AA$2:$AA$19,0),_xlfn.XLOOKUP(K205,Lists!$P$2:$P$19,Lists!$AA$2:$AA$19,0)))</f>
        <v>0</v>
      </c>
      <c r="Y205" s="4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</row>
    <row r="206" spans="1:110">
      <c r="A206" s="168">
        <v>2</v>
      </c>
      <c r="B206" s="47" t="str">
        <f ca="1">Lineups!$C$62</f>
        <v>Birdo</v>
      </c>
      <c r="C206" s="49" t="s">
        <v>186</v>
      </c>
      <c r="D206" s="49"/>
      <c r="E206" s="49"/>
      <c r="F206" s="49"/>
      <c r="G206" s="49"/>
      <c r="H206" s="50"/>
      <c r="I206" s="50"/>
      <c r="J206" s="50"/>
      <c r="K206" s="50"/>
      <c r="L206" s="50"/>
      <c r="M206" s="67">
        <f ca="1">IF($B206="","",SUM(_xlfn.XLOOKUP(C206,Lists!$P$2:$P$19,Lists!$R$2:$R$19,0),_xlfn.XLOOKUP(E206,Lists!$P$2:$P$19,Lists!$R$2:$R$19,0),_xlfn.XLOOKUP(G206,Lists!$P$2:$P$19,Lists!$R$2:$R$19,0),_xlfn.XLOOKUP(I206,Lists!$P$2:$P$19,Lists!$R$2:$R$19,0),_xlfn.XLOOKUP(K206,Lists!$P$2:$P$19,Lists!$R$2:$R$19,0)))</f>
        <v>1</v>
      </c>
      <c r="N206" s="68">
        <f ca="1">IF($B206="","",SUM(_xlfn.XLOOKUP(D206,Lists!$AC$2:$AC$9,Lists!$AE$2:$AE$9,0),_xlfn.XLOOKUP(F206,Lists!$AC$2:$AC$9,Lists!$AE$2:$AE$9,0),_xlfn.XLOOKUP(H206,Lists!$AC$2:$AC$9,Lists!$AE$2:$AE$9,0),_xlfn.XLOOKUP(J206,Lists!$AC$2:$AC$9,Lists!$AE$2:$AE$9,0),_xlfn.XLOOKUP(L206,Lists!$AC$2:$AC$9,Lists!$AE$2:$AE$9,0)))</f>
        <v>0</v>
      </c>
      <c r="O206" s="68">
        <f ca="1">IF($B206="","",SUM(_xlfn.XLOOKUP(C206,Lists!$P$2:$P$19,Lists!$S$2:$S$19,0),_xlfn.XLOOKUP(E206,Lists!$P$2:$P$19,Lists!$S$2:$S$19,0),_xlfn.XLOOKUP(G206,Lists!$P$2:$P$19,Lists!$S$2:$S$19,0),_xlfn.XLOOKUP(I206,Lists!$P$2:$P$19,Lists!$S$2:$S$19,0),_xlfn.XLOOKUP(K206,Lists!$P$2:$P$19,Lists!$S$2:$S$19,0)))</f>
        <v>0</v>
      </c>
      <c r="P206" s="68">
        <f ca="1">IF($B206="","",SUM(_xlfn.XLOOKUP(C206,Lists!$P$2:$P$19,Lists!$T$2:$T$19,0),_xlfn.XLOOKUP(E206,Lists!$P$2:$P$19,Lists!$T$2:$T$19,0),_xlfn.XLOOKUP(G206,Lists!$P$2:$P$19,Lists!$T$2:$T$19,0),_xlfn.XLOOKUP(I206,Lists!$P$2:$P$19,Lists!$T$2:$T$19,0),_xlfn.XLOOKUP(K206,Lists!$P$2:$P$19,Lists!$T$2:$T$19,0)))</f>
        <v>0</v>
      </c>
      <c r="Q206" s="68">
        <f ca="1">IF($B206="","",SUM(_xlfn.XLOOKUP(C206,Lists!$P$2:$P$19,Lists!$U$2:$U$19,0),_xlfn.XLOOKUP(E206,Lists!$P$2:$P$19,Lists!$U$2:$U$19,0),_xlfn.XLOOKUP(G206,Lists!$P$2:$P$19,Lists!$U$2:$U$19,0),_xlfn.XLOOKUP(I206,Lists!$P$2:$P$19,Lists!$U$2:$U$19,0),_xlfn.XLOOKUP(K206,Lists!$P$2:$P$19,Lists!$U$2:$U$19,0)))</f>
        <v>0</v>
      </c>
      <c r="R206" s="68">
        <f ca="1">IF($B206="","",SUM(_xlfn.XLOOKUP(C206,Lists!$P$2:$P$19,Lists!$V$2:$V$19,0),_xlfn.XLOOKUP(E206,Lists!$P$2:$P$19,Lists!$V$2:$V$19,0),_xlfn.XLOOKUP(G206,Lists!$P$2:$P$19,Lists!$V$2:$V$19,0),_xlfn.XLOOKUP(I206,Lists!$P$2:$P$19,Lists!$V$2:$V$19,0),_xlfn.XLOOKUP(K206,Lists!$P$2:$P$19,Lists!$V$2:$V$19,0)))</f>
        <v>0</v>
      </c>
      <c r="S206" s="68">
        <f ca="1">IF($B206="","",SUM(_xlfn.XLOOKUP(D206,Lists!$AC$2:$AC$9,Lists!$AD$2:$AD$9,0),_xlfn.XLOOKUP(F206,Lists!$AC$2:$AC$9,Lists!$AD$2:$AD$9,0),_xlfn.XLOOKUP(H206,Lists!$AC$2:$AC$9,Lists!$AD$2:$AD$9,0),_xlfn.XLOOKUP(J206,Lists!$AC$2:$AC$9,Lists!$AD$2:$AD$9,0),_xlfn.XLOOKUP(L206,Lists!$AC$2:$AC$9,Lists!$AD$2:$AD$9,0)))</f>
        <v>0</v>
      </c>
      <c r="T206" s="68">
        <f ca="1">IF($B206="","",SUM(_xlfn.XLOOKUP(C206,Lists!$P$2:$P$19,Lists!$W$2:$W$19,0),_xlfn.XLOOKUP(E206,Lists!$P$2:$P$19,Lists!$W$2:$W$19,0),_xlfn.XLOOKUP(G206,Lists!$P$2:$P$19,Lists!$W$2:$W$19,0),_xlfn.XLOOKUP(I206,Lists!$P$2:$P$19,Lists!$W$2:$W$19,0),_xlfn.XLOOKUP(K206,Lists!$P$2:$P$19,Lists!$W$2:$W$19,0)))</f>
        <v>0</v>
      </c>
      <c r="U206" s="68">
        <f ca="1">IF($B206="","",SUM(_xlfn.XLOOKUP(C206,Lists!$P$2:$P$19,Lists!$X$2:$X$19,0),_xlfn.XLOOKUP(E206,Lists!$P$2:$P$19,Lists!$X$2:$X$19,0),_xlfn.XLOOKUP(G206,Lists!$P$2:$P$19,Lists!$X$2:$X$19,0),_xlfn.XLOOKUP(I206,Lists!$P$2:$P$19,Lists!$X$2:$X$19,0),_xlfn.XLOOKUP(K206,Lists!$P$2:$P$19,Lists!$X$2:$X$19,0)))</f>
        <v>0</v>
      </c>
      <c r="V206" s="68">
        <f ca="1">IF($B206="","",SUM(_xlfn.XLOOKUP(C206,Lists!$P$2:$P$19,Lists!$Y$2:$Y$19,0),_xlfn.XLOOKUP(E206,Lists!$P$2:$P$19,Lists!$Y$2:$Y$19,0),_xlfn.XLOOKUP(G206,Lists!$P$2:$P$19,Lists!$Y$2:$Y$19,0),_xlfn.XLOOKUP(I206,Lists!$P$2:$P$19,Lists!$Y$2:$Y$19,0),_xlfn.XLOOKUP(K206,Lists!$P$2:$P$19,Lists!$Y$2:$Y$19,0)))</f>
        <v>0</v>
      </c>
      <c r="W206" s="68">
        <f ca="1">IF($B206="","",SUM(_xlfn.XLOOKUP(C206,Lists!$P$2:$P$19,Lists!$Z$2:$Z$19,0),_xlfn.XLOOKUP(E206,Lists!$P$2:$P$19,Lists!$Z$2:$Z$19,0),_xlfn.XLOOKUP(G206,Lists!$P$2:$P$19,Lists!$Z$2:$Z$19,0),_xlfn.XLOOKUP(I206,Lists!$P$2:$P$19,Lists!$Z$2:$Z$19,0),_xlfn.XLOOKUP(K206,Lists!$P$2:$P$19,Lists!$Z$2:$Z$19,0)))</f>
        <v>0</v>
      </c>
      <c r="X206" s="69">
        <f ca="1">IF($B206="","",SUM(_xlfn.XLOOKUP(C206,Lists!$P$2:$P$19,Lists!$AA$2:$AA$19,0),_xlfn.XLOOKUP(E206,Lists!$P$2:$P$19,Lists!$AA$2:$AA$19,0),_xlfn.XLOOKUP(G206,Lists!$P$2:$P$19,Lists!$AA$2:$AA$19,0),_xlfn.XLOOKUP(I206,Lists!$P$2:$P$19,Lists!$AA$2:$AA$19,0),_xlfn.XLOOKUP(K206,Lists!$P$2:$P$19,Lists!$AA$2:$AA$19,0)))</f>
        <v>0</v>
      </c>
      <c r="Y206" s="49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</row>
    <row r="207" spans="1:110">
      <c r="A207" s="168">
        <v>3</v>
      </c>
      <c r="B207" s="47" t="str">
        <f ca="1">Lineups!$C$63</f>
        <v>Petey Piranha</v>
      </c>
      <c r="C207" s="49" t="s">
        <v>189</v>
      </c>
      <c r="D207" s="49"/>
      <c r="E207" s="49"/>
      <c r="F207" s="49"/>
      <c r="G207" s="49"/>
      <c r="H207" s="50"/>
      <c r="I207" s="50"/>
      <c r="J207" s="50"/>
      <c r="K207" s="50"/>
      <c r="L207" s="50"/>
      <c r="M207" s="67">
        <f ca="1">IF($B207="","",SUM(_xlfn.XLOOKUP(C207,Lists!$P$2:$P$19,Lists!$R$2:$R$19,0),_xlfn.XLOOKUP(E207,Lists!$P$2:$P$19,Lists!$R$2:$R$19,0),_xlfn.XLOOKUP(G207,Lists!$P$2:$P$19,Lists!$R$2:$R$19,0),_xlfn.XLOOKUP(I207,Lists!$P$2:$P$19,Lists!$R$2:$R$19,0),_xlfn.XLOOKUP(K207,Lists!$P$2:$P$19,Lists!$R$2:$R$19,0)))</f>
        <v>1</v>
      </c>
      <c r="N207" s="68">
        <f ca="1">IF($B207="","",SUM(_xlfn.XLOOKUP(D207,Lists!$AC$2:$AC$9,Lists!$AE$2:$AE$9,0),_xlfn.XLOOKUP(F207,Lists!$AC$2:$AC$9,Lists!$AE$2:$AE$9,0),_xlfn.XLOOKUP(H207,Lists!$AC$2:$AC$9,Lists!$AE$2:$AE$9,0),_xlfn.XLOOKUP(J207,Lists!$AC$2:$AC$9,Lists!$AE$2:$AE$9,0),_xlfn.XLOOKUP(L207,Lists!$AC$2:$AC$9,Lists!$AE$2:$AE$9,0)))</f>
        <v>0</v>
      </c>
      <c r="O207" s="68">
        <f ca="1">IF($B207="","",SUM(_xlfn.XLOOKUP(C207,Lists!$P$2:$P$19,Lists!$S$2:$S$19,0),_xlfn.XLOOKUP(E207,Lists!$P$2:$P$19,Lists!$S$2:$S$19,0),_xlfn.XLOOKUP(G207,Lists!$P$2:$P$19,Lists!$S$2:$S$19,0),_xlfn.XLOOKUP(I207,Lists!$P$2:$P$19,Lists!$S$2:$S$19,0),_xlfn.XLOOKUP(K207,Lists!$P$2:$P$19,Lists!$S$2:$S$19,0)))</f>
        <v>0</v>
      </c>
      <c r="P207" s="68">
        <f ca="1">IF($B207="","",SUM(_xlfn.XLOOKUP(C207,Lists!$P$2:$P$19,Lists!$T$2:$T$19,0),_xlfn.XLOOKUP(E207,Lists!$P$2:$P$19,Lists!$T$2:$T$19,0),_xlfn.XLOOKUP(G207,Lists!$P$2:$P$19,Lists!$T$2:$T$19,0),_xlfn.XLOOKUP(I207,Lists!$P$2:$P$19,Lists!$T$2:$T$19,0),_xlfn.XLOOKUP(K207,Lists!$P$2:$P$19,Lists!$T$2:$T$19,0)))</f>
        <v>0</v>
      </c>
      <c r="Q207" s="68">
        <f ca="1">IF($B207="","",SUM(_xlfn.XLOOKUP(C207,Lists!$P$2:$P$19,Lists!$U$2:$U$19,0),_xlfn.XLOOKUP(E207,Lists!$P$2:$P$19,Lists!$U$2:$U$19,0),_xlfn.XLOOKUP(G207,Lists!$P$2:$P$19,Lists!$U$2:$U$19,0),_xlfn.XLOOKUP(I207,Lists!$P$2:$P$19,Lists!$U$2:$U$19,0),_xlfn.XLOOKUP(K207,Lists!$P$2:$P$19,Lists!$U$2:$U$19,0)))</f>
        <v>0</v>
      </c>
      <c r="R207" s="68">
        <f ca="1">IF($B207="","",SUM(_xlfn.XLOOKUP(C207,Lists!$P$2:$P$19,Lists!$V$2:$V$19,0),_xlfn.XLOOKUP(E207,Lists!$P$2:$P$19,Lists!$V$2:$V$19,0),_xlfn.XLOOKUP(G207,Lists!$P$2:$P$19,Lists!$V$2:$V$19,0),_xlfn.XLOOKUP(I207,Lists!$P$2:$P$19,Lists!$V$2:$V$19,0),_xlfn.XLOOKUP(K207,Lists!$P$2:$P$19,Lists!$V$2:$V$19,0)))</f>
        <v>0</v>
      </c>
      <c r="S207" s="68">
        <f ca="1">IF($B207="","",SUM(_xlfn.XLOOKUP(D207,Lists!$AC$2:$AC$9,Lists!$AD$2:$AD$9,0),_xlfn.XLOOKUP(F207,Lists!$AC$2:$AC$9,Lists!$AD$2:$AD$9,0),_xlfn.XLOOKUP(H207,Lists!$AC$2:$AC$9,Lists!$AD$2:$AD$9,0),_xlfn.XLOOKUP(J207,Lists!$AC$2:$AC$9,Lists!$AD$2:$AD$9,0),_xlfn.XLOOKUP(L207,Lists!$AC$2:$AC$9,Lists!$AD$2:$AD$9,0)))</f>
        <v>0</v>
      </c>
      <c r="T207" s="68">
        <f ca="1">IF($B207="","",SUM(_xlfn.XLOOKUP(C207,Lists!$P$2:$P$19,Lists!$W$2:$W$19,0),_xlfn.XLOOKUP(E207,Lists!$P$2:$P$19,Lists!$W$2:$W$19,0),_xlfn.XLOOKUP(G207,Lists!$P$2:$P$19,Lists!$W$2:$W$19,0),_xlfn.XLOOKUP(I207,Lists!$P$2:$P$19,Lists!$W$2:$W$19,0),_xlfn.XLOOKUP(K207,Lists!$P$2:$P$19,Lists!$W$2:$W$19,0)))</f>
        <v>0</v>
      </c>
      <c r="U207" s="68">
        <f ca="1">IF($B207="","",SUM(_xlfn.XLOOKUP(C207,Lists!$P$2:$P$19,Lists!$X$2:$X$19,0),_xlfn.XLOOKUP(E207,Lists!$P$2:$P$19,Lists!$X$2:$X$19,0),_xlfn.XLOOKUP(G207,Lists!$P$2:$P$19,Lists!$X$2:$X$19,0),_xlfn.XLOOKUP(I207,Lists!$P$2:$P$19,Lists!$X$2:$X$19,0),_xlfn.XLOOKUP(K207,Lists!$P$2:$P$19,Lists!$X$2:$X$19,0)))</f>
        <v>0</v>
      </c>
      <c r="V207" s="68">
        <f ca="1">IF($B207="","",SUM(_xlfn.XLOOKUP(C207,Lists!$P$2:$P$19,Lists!$Y$2:$Y$19,0),_xlfn.XLOOKUP(E207,Lists!$P$2:$P$19,Lists!$Y$2:$Y$19,0),_xlfn.XLOOKUP(G207,Lists!$P$2:$P$19,Lists!$Y$2:$Y$19,0),_xlfn.XLOOKUP(I207,Lists!$P$2:$P$19,Lists!$Y$2:$Y$19,0),_xlfn.XLOOKUP(K207,Lists!$P$2:$P$19,Lists!$Y$2:$Y$19,0)))</f>
        <v>0</v>
      </c>
      <c r="W207" s="68">
        <f ca="1">IF($B207="","",SUM(_xlfn.XLOOKUP(C207,Lists!$P$2:$P$19,Lists!$Z$2:$Z$19,0),_xlfn.XLOOKUP(E207,Lists!$P$2:$P$19,Lists!$Z$2:$Z$19,0),_xlfn.XLOOKUP(G207,Lists!$P$2:$P$19,Lists!$Z$2:$Z$19,0),_xlfn.XLOOKUP(I207,Lists!$P$2:$P$19,Lists!$Z$2:$Z$19,0),_xlfn.XLOOKUP(K207,Lists!$P$2:$P$19,Lists!$Z$2:$Z$19,0)))</f>
        <v>0</v>
      </c>
      <c r="X207" s="69">
        <f ca="1">IF($B207="","",SUM(_xlfn.XLOOKUP(C207,Lists!$P$2:$P$19,Lists!$AA$2:$AA$19,0),_xlfn.XLOOKUP(E207,Lists!$P$2:$P$19,Lists!$AA$2:$AA$19,0),_xlfn.XLOOKUP(G207,Lists!$P$2:$P$19,Lists!$AA$2:$AA$19,0),_xlfn.XLOOKUP(I207,Lists!$P$2:$P$19,Lists!$AA$2:$AA$19,0),_xlfn.XLOOKUP(K207,Lists!$P$2:$P$19,Lists!$AA$2:$AA$19,0)))</f>
        <v>0</v>
      </c>
      <c r="Y207" s="49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</row>
    <row r="208" spans="1:110">
      <c r="A208" s="168">
        <v>4</v>
      </c>
      <c r="B208" s="47" t="str">
        <f ca="1">Lineups!$C$64</f>
        <v>King Boo</v>
      </c>
      <c r="C208" s="49" t="s">
        <v>189</v>
      </c>
      <c r="D208" s="49"/>
      <c r="E208" s="49"/>
      <c r="F208" s="49"/>
      <c r="G208" s="49"/>
      <c r="H208" s="50"/>
      <c r="I208" s="50"/>
      <c r="J208" s="50"/>
      <c r="K208" s="50"/>
      <c r="L208" s="50"/>
      <c r="M208" s="67">
        <f ca="1">IF($B208="","",SUM(_xlfn.XLOOKUP(C208,Lists!$P$2:$P$19,Lists!$R$2:$R$19,0),_xlfn.XLOOKUP(E208,Lists!$P$2:$P$19,Lists!$R$2:$R$19,0),_xlfn.XLOOKUP(G208,Lists!$P$2:$P$19,Lists!$R$2:$R$19,0),_xlfn.XLOOKUP(I208,Lists!$P$2:$P$19,Lists!$R$2:$R$19,0),_xlfn.XLOOKUP(K208,Lists!$P$2:$P$19,Lists!$R$2:$R$19,0)))</f>
        <v>1</v>
      </c>
      <c r="N208" s="68">
        <f ca="1">IF($B208="","",SUM(_xlfn.XLOOKUP(D208,Lists!$AC$2:$AC$9,Lists!$AE$2:$AE$9,0),_xlfn.XLOOKUP(F208,Lists!$AC$2:$AC$9,Lists!$AE$2:$AE$9,0),_xlfn.XLOOKUP(H208,Lists!$AC$2:$AC$9,Lists!$AE$2:$AE$9,0),_xlfn.XLOOKUP(J208,Lists!$AC$2:$AC$9,Lists!$AE$2:$AE$9,0),_xlfn.XLOOKUP(L208,Lists!$AC$2:$AC$9,Lists!$AE$2:$AE$9,0)))</f>
        <v>0</v>
      </c>
      <c r="O208" s="68">
        <f ca="1">IF($B208="","",SUM(_xlfn.XLOOKUP(C208,Lists!$P$2:$P$19,Lists!$S$2:$S$19,0),_xlfn.XLOOKUP(E208,Lists!$P$2:$P$19,Lists!$S$2:$S$19,0),_xlfn.XLOOKUP(G208,Lists!$P$2:$P$19,Lists!$S$2:$S$19,0),_xlfn.XLOOKUP(I208,Lists!$P$2:$P$19,Lists!$S$2:$S$19,0),_xlfn.XLOOKUP(K208,Lists!$P$2:$P$19,Lists!$S$2:$S$19,0)))</f>
        <v>0</v>
      </c>
      <c r="P208" s="68">
        <f ca="1">IF($B208="","",SUM(_xlfn.XLOOKUP(C208,Lists!$P$2:$P$19,Lists!$T$2:$T$19,0),_xlfn.XLOOKUP(E208,Lists!$P$2:$P$19,Lists!$T$2:$T$19,0),_xlfn.XLOOKUP(G208,Lists!$P$2:$P$19,Lists!$T$2:$T$19,0),_xlfn.XLOOKUP(I208,Lists!$P$2:$P$19,Lists!$T$2:$T$19,0),_xlfn.XLOOKUP(K208,Lists!$P$2:$P$19,Lists!$T$2:$T$19,0)))</f>
        <v>0</v>
      </c>
      <c r="Q208" s="68">
        <f ca="1">IF($B208="","",SUM(_xlfn.XLOOKUP(C208,Lists!$P$2:$P$19,Lists!$U$2:$U$19,0),_xlfn.XLOOKUP(E208,Lists!$P$2:$P$19,Lists!$U$2:$U$19,0),_xlfn.XLOOKUP(G208,Lists!$P$2:$P$19,Lists!$U$2:$U$19,0),_xlfn.XLOOKUP(I208,Lists!$P$2:$P$19,Lists!$U$2:$U$19,0),_xlfn.XLOOKUP(K208,Lists!$P$2:$P$19,Lists!$U$2:$U$19,0)))</f>
        <v>0</v>
      </c>
      <c r="R208" s="68">
        <f ca="1">IF($B208="","",SUM(_xlfn.XLOOKUP(C208,Lists!$P$2:$P$19,Lists!$V$2:$V$19,0),_xlfn.XLOOKUP(E208,Lists!$P$2:$P$19,Lists!$V$2:$V$19,0),_xlfn.XLOOKUP(G208,Lists!$P$2:$P$19,Lists!$V$2:$V$19,0),_xlfn.XLOOKUP(I208,Lists!$P$2:$P$19,Lists!$V$2:$V$19,0),_xlfn.XLOOKUP(K208,Lists!$P$2:$P$19,Lists!$V$2:$V$19,0)))</f>
        <v>0</v>
      </c>
      <c r="S208" s="68">
        <f ca="1">IF($B208="","",SUM(_xlfn.XLOOKUP(D208,Lists!$AC$2:$AC$9,Lists!$AD$2:$AD$9,0),_xlfn.XLOOKUP(F208,Lists!$AC$2:$AC$9,Lists!$AD$2:$AD$9,0),_xlfn.XLOOKUP(H208,Lists!$AC$2:$AC$9,Lists!$AD$2:$AD$9,0),_xlfn.XLOOKUP(J208,Lists!$AC$2:$AC$9,Lists!$AD$2:$AD$9,0),_xlfn.XLOOKUP(L208,Lists!$AC$2:$AC$9,Lists!$AD$2:$AD$9,0)))</f>
        <v>0</v>
      </c>
      <c r="T208" s="68">
        <f ca="1">IF($B208="","",SUM(_xlfn.XLOOKUP(C208,Lists!$P$2:$P$19,Lists!$W$2:$W$19,0),_xlfn.XLOOKUP(E208,Lists!$P$2:$P$19,Lists!$W$2:$W$19,0),_xlfn.XLOOKUP(G208,Lists!$P$2:$P$19,Lists!$W$2:$W$19,0),_xlfn.XLOOKUP(I208,Lists!$P$2:$P$19,Lists!$W$2:$W$19,0),_xlfn.XLOOKUP(K208,Lists!$P$2:$P$19,Lists!$W$2:$W$19,0)))</f>
        <v>0</v>
      </c>
      <c r="U208" s="68">
        <f ca="1">IF($B208="","",SUM(_xlfn.XLOOKUP(C208,Lists!$P$2:$P$19,Lists!$X$2:$X$19,0),_xlfn.XLOOKUP(E208,Lists!$P$2:$P$19,Lists!$X$2:$X$19,0),_xlfn.XLOOKUP(G208,Lists!$P$2:$P$19,Lists!$X$2:$X$19,0),_xlfn.XLOOKUP(I208,Lists!$P$2:$P$19,Lists!$X$2:$X$19,0),_xlfn.XLOOKUP(K208,Lists!$P$2:$P$19,Lists!$X$2:$X$19,0)))</f>
        <v>0</v>
      </c>
      <c r="V208" s="68">
        <f ca="1">IF($B208="","",SUM(_xlfn.XLOOKUP(C208,Lists!$P$2:$P$19,Lists!$Y$2:$Y$19,0),_xlfn.XLOOKUP(E208,Lists!$P$2:$P$19,Lists!$Y$2:$Y$19,0),_xlfn.XLOOKUP(G208,Lists!$P$2:$P$19,Lists!$Y$2:$Y$19,0),_xlfn.XLOOKUP(I208,Lists!$P$2:$P$19,Lists!$Y$2:$Y$19,0),_xlfn.XLOOKUP(K208,Lists!$P$2:$P$19,Lists!$Y$2:$Y$19,0)))</f>
        <v>0</v>
      </c>
      <c r="W208" s="68">
        <f ca="1">IF($B208="","",SUM(_xlfn.XLOOKUP(C208,Lists!$P$2:$P$19,Lists!$Z$2:$Z$19,0),_xlfn.XLOOKUP(E208,Lists!$P$2:$P$19,Lists!$Z$2:$Z$19,0),_xlfn.XLOOKUP(G208,Lists!$P$2:$P$19,Lists!$Z$2:$Z$19,0),_xlfn.XLOOKUP(I208,Lists!$P$2:$P$19,Lists!$Z$2:$Z$19,0),_xlfn.XLOOKUP(K208,Lists!$P$2:$P$19,Lists!$Z$2:$Z$19,0)))</f>
        <v>0</v>
      </c>
      <c r="X208" s="69">
        <f ca="1">IF($B208="","",SUM(_xlfn.XLOOKUP(C208,Lists!$P$2:$P$19,Lists!$AA$2:$AA$19,0),_xlfn.XLOOKUP(E208,Lists!$P$2:$P$19,Lists!$AA$2:$AA$19,0),_xlfn.XLOOKUP(G208,Lists!$P$2:$P$19,Lists!$AA$2:$AA$19,0),_xlfn.XLOOKUP(I208,Lists!$P$2:$P$19,Lists!$AA$2:$AA$19,0),_xlfn.XLOOKUP(K208,Lists!$P$2:$P$19,Lists!$AA$2:$AA$19,0)))</f>
        <v>0</v>
      </c>
      <c r="Y208" s="49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</row>
    <row r="209" spans="1:110">
      <c r="A209" s="168">
        <v>5</v>
      </c>
      <c r="B209" s="47" t="str">
        <f ca="1">Lineups!$C$65</f>
        <v>Hammer Bro</v>
      </c>
      <c r="C209" s="49" t="s">
        <v>178</v>
      </c>
      <c r="D209" s="49" t="s">
        <v>190</v>
      </c>
      <c r="E209" s="49"/>
      <c r="F209" s="49"/>
      <c r="G209" s="49"/>
      <c r="H209" s="50"/>
      <c r="I209" s="50"/>
      <c r="J209" s="50"/>
      <c r="K209" s="50"/>
      <c r="L209" s="50"/>
      <c r="M209" s="67">
        <f ca="1">IF($B209="","",SUM(_xlfn.XLOOKUP(C209,Lists!$P$2:$P$19,Lists!$R$2:$R$19,0),_xlfn.XLOOKUP(E209,Lists!$P$2:$P$19,Lists!$R$2:$R$19,0),_xlfn.XLOOKUP(G209,Lists!$P$2:$P$19,Lists!$R$2:$R$19,0),_xlfn.XLOOKUP(I209,Lists!$P$2:$P$19,Lists!$R$2:$R$19,0),_xlfn.XLOOKUP(K209,Lists!$P$2:$P$19,Lists!$R$2:$R$19,0)))</f>
        <v>1</v>
      </c>
      <c r="N209" s="68">
        <f ca="1">IF($B209="","",SUM(_xlfn.XLOOKUP(D209,Lists!$AC$2:$AC$9,Lists!$AE$2:$AE$9,0),_xlfn.XLOOKUP(F209,Lists!$AC$2:$AC$9,Lists!$AE$2:$AE$9,0),_xlfn.XLOOKUP(H209,Lists!$AC$2:$AC$9,Lists!$AE$2:$AE$9,0),_xlfn.XLOOKUP(J209,Lists!$AC$2:$AC$9,Lists!$AE$2:$AE$9,0),_xlfn.XLOOKUP(L209,Lists!$AC$2:$AC$9,Lists!$AE$2:$AE$9,0)))</f>
        <v>1</v>
      </c>
      <c r="O209" s="68">
        <f ca="1">IF($B209="","",SUM(_xlfn.XLOOKUP(C209,Lists!$P$2:$P$19,Lists!$S$2:$S$19,0),_xlfn.XLOOKUP(E209,Lists!$P$2:$P$19,Lists!$S$2:$S$19,0),_xlfn.XLOOKUP(G209,Lists!$P$2:$P$19,Lists!$S$2:$S$19,0),_xlfn.XLOOKUP(I209,Lists!$P$2:$P$19,Lists!$S$2:$S$19,0),_xlfn.XLOOKUP(K209,Lists!$P$2:$P$19,Lists!$S$2:$S$19,0)))</f>
        <v>1</v>
      </c>
      <c r="P209" s="68">
        <f ca="1">IF($B209="","",SUM(_xlfn.XLOOKUP(C209,Lists!$P$2:$P$19,Lists!$T$2:$T$19,0),_xlfn.XLOOKUP(E209,Lists!$P$2:$P$19,Lists!$T$2:$T$19,0),_xlfn.XLOOKUP(G209,Lists!$P$2:$P$19,Lists!$T$2:$T$19,0),_xlfn.XLOOKUP(I209,Lists!$P$2:$P$19,Lists!$T$2:$T$19,0),_xlfn.XLOOKUP(K209,Lists!$P$2:$P$19,Lists!$T$2:$T$19,0)))</f>
        <v>0</v>
      </c>
      <c r="Q209" s="68">
        <f ca="1">IF($B209="","",SUM(_xlfn.XLOOKUP(C209,Lists!$P$2:$P$19,Lists!$U$2:$U$19,0),_xlfn.XLOOKUP(E209,Lists!$P$2:$P$19,Lists!$U$2:$U$19,0),_xlfn.XLOOKUP(G209,Lists!$P$2:$P$19,Lists!$U$2:$U$19,0),_xlfn.XLOOKUP(I209,Lists!$P$2:$P$19,Lists!$U$2:$U$19,0),_xlfn.XLOOKUP(K209,Lists!$P$2:$P$19,Lists!$U$2:$U$19,0)))</f>
        <v>0</v>
      </c>
      <c r="R209" s="68">
        <f ca="1">IF($B209="","",SUM(_xlfn.XLOOKUP(C209,Lists!$P$2:$P$19,Lists!$V$2:$V$19,0),_xlfn.XLOOKUP(E209,Lists!$P$2:$P$19,Lists!$V$2:$V$19,0),_xlfn.XLOOKUP(G209,Lists!$P$2:$P$19,Lists!$V$2:$V$19,0),_xlfn.XLOOKUP(I209,Lists!$P$2:$P$19,Lists!$V$2:$V$19,0),_xlfn.XLOOKUP(K209,Lists!$P$2:$P$19,Lists!$V$2:$V$19,0)))</f>
        <v>1</v>
      </c>
      <c r="S209" s="68">
        <f ca="1">IF($B209="","",SUM(_xlfn.XLOOKUP(D209,Lists!$AC$2:$AC$9,Lists!$AD$2:$AD$9,0),_xlfn.XLOOKUP(F209,Lists!$AC$2:$AC$9,Lists!$AD$2:$AD$9,0),_xlfn.XLOOKUP(H209,Lists!$AC$2:$AC$9,Lists!$AD$2:$AD$9,0),_xlfn.XLOOKUP(J209,Lists!$AC$2:$AC$9,Lists!$AD$2:$AD$9,0),_xlfn.XLOOKUP(L209,Lists!$AC$2:$AC$9,Lists!$AD$2:$AD$9,0)))</f>
        <v>1</v>
      </c>
      <c r="T209" s="68">
        <f ca="1">IF($B209="","",SUM(_xlfn.XLOOKUP(C209,Lists!$P$2:$P$19,Lists!$W$2:$W$19,0),_xlfn.XLOOKUP(E209,Lists!$P$2:$P$19,Lists!$W$2:$W$19,0),_xlfn.XLOOKUP(G209,Lists!$P$2:$P$19,Lists!$W$2:$W$19,0),_xlfn.XLOOKUP(I209,Lists!$P$2:$P$19,Lists!$W$2:$W$19,0),_xlfn.XLOOKUP(K209,Lists!$P$2:$P$19,Lists!$W$2:$W$19,0)))</f>
        <v>0</v>
      </c>
      <c r="U209" s="68">
        <f ca="1">IF($B209="","",SUM(_xlfn.XLOOKUP(C209,Lists!$P$2:$P$19,Lists!$X$2:$X$19,0),_xlfn.XLOOKUP(E209,Lists!$P$2:$P$19,Lists!$X$2:$X$19,0),_xlfn.XLOOKUP(G209,Lists!$P$2:$P$19,Lists!$X$2:$X$19,0),_xlfn.XLOOKUP(I209,Lists!$P$2:$P$19,Lists!$X$2:$X$19,0),_xlfn.XLOOKUP(K209,Lists!$P$2:$P$19,Lists!$X$2:$X$19,0)))</f>
        <v>0</v>
      </c>
      <c r="V209" s="68">
        <f ca="1">IF($B209="","",SUM(_xlfn.XLOOKUP(C209,Lists!$P$2:$P$19,Lists!$Y$2:$Y$19,0),_xlfn.XLOOKUP(E209,Lists!$P$2:$P$19,Lists!$Y$2:$Y$19,0),_xlfn.XLOOKUP(G209,Lists!$P$2:$P$19,Lists!$Y$2:$Y$19,0),_xlfn.XLOOKUP(I209,Lists!$P$2:$P$19,Lists!$Y$2:$Y$19,0),_xlfn.XLOOKUP(K209,Lists!$P$2:$P$19,Lists!$Y$2:$Y$19,0)))</f>
        <v>0</v>
      </c>
      <c r="W209" s="68">
        <f ca="1">IF($B209="","",SUM(_xlfn.XLOOKUP(C209,Lists!$P$2:$P$19,Lists!$Z$2:$Z$19,0),_xlfn.XLOOKUP(E209,Lists!$P$2:$P$19,Lists!$Z$2:$Z$19,0),_xlfn.XLOOKUP(G209,Lists!$P$2:$P$19,Lists!$Z$2:$Z$19,0),_xlfn.XLOOKUP(I209,Lists!$P$2:$P$19,Lists!$Z$2:$Z$19,0),_xlfn.XLOOKUP(K209,Lists!$P$2:$P$19,Lists!$Z$2:$Z$19,0)))</f>
        <v>0</v>
      </c>
      <c r="X209" s="69">
        <f ca="1">IF($B209="","",SUM(_xlfn.XLOOKUP(C209,Lists!$P$2:$P$19,Lists!$AA$2:$AA$19,0),_xlfn.XLOOKUP(E209,Lists!$P$2:$P$19,Lists!$AA$2:$AA$19,0),_xlfn.XLOOKUP(G209,Lists!$P$2:$P$19,Lists!$AA$2:$AA$19,0),_xlfn.XLOOKUP(I209,Lists!$P$2:$P$19,Lists!$AA$2:$AA$19,0),_xlfn.XLOOKUP(K209,Lists!$P$2:$P$19,Lists!$AA$2:$AA$19,0)))</f>
        <v>0</v>
      </c>
      <c r="Y209" s="49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</row>
    <row r="210" spans="1:110">
      <c r="A210" s="168">
        <v>6</v>
      </c>
      <c r="B210" s="47" t="str">
        <f ca="1">Lineups!$C$66</f>
        <v>Green Shy Guy</v>
      </c>
      <c r="C210" s="49" t="s">
        <v>193</v>
      </c>
      <c r="D210" s="49"/>
      <c r="E210" s="49"/>
      <c r="F210" s="49"/>
      <c r="G210" s="49"/>
      <c r="H210" s="50"/>
      <c r="I210" s="50"/>
      <c r="J210" s="50"/>
      <c r="K210" s="50"/>
      <c r="L210" s="50"/>
      <c r="M210" s="67">
        <f ca="1">IF($B210="","",SUM(_xlfn.XLOOKUP(C210,Lists!$P$2:$P$19,Lists!$R$2:$R$19,0),_xlfn.XLOOKUP(E210,Lists!$P$2:$P$19,Lists!$R$2:$R$19,0),_xlfn.XLOOKUP(G210,Lists!$P$2:$P$19,Lists!$R$2:$R$19,0),_xlfn.XLOOKUP(I210,Lists!$P$2:$P$19,Lists!$R$2:$R$19,0),_xlfn.XLOOKUP(K210,Lists!$P$2:$P$19,Lists!$R$2:$R$19,0)))</f>
        <v>1</v>
      </c>
      <c r="N210" s="68">
        <f ca="1">IF($B210="","",SUM(_xlfn.XLOOKUP(D210,Lists!$AC$2:$AC$9,Lists!$AE$2:$AE$9,0),_xlfn.XLOOKUP(F210,Lists!$AC$2:$AC$9,Lists!$AE$2:$AE$9,0),_xlfn.XLOOKUP(H210,Lists!$AC$2:$AC$9,Lists!$AE$2:$AE$9,0),_xlfn.XLOOKUP(J210,Lists!$AC$2:$AC$9,Lists!$AE$2:$AE$9,0),_xlfn.XLOOKUP(L210,Lists!$AC$2:$AC$9,Lists!$AE$2:$AE$9,0)))</f>
        <v>0</v>
      </c>
      <c r="O210" s="68">
        <f ca="1">IF($B210="","",SUM(_xlfn.XLOOKUP(C210,Lists!$P$2:$P$19,Lists!$S$2:$S$19,0),_xlfn.XLOOKUP(E210,Lists!$P$2:$P$19,Lists!$S$2:$S$19,0),_xlfn.XLOOKUP(G210,Lists!$P$2:$P$19,Lists!$S$2:$S$19,0),_xlfn.XLOOKUP(I210,Lists!$P$2:$P$19,Lists!$S$2:$S$19,0),_xlfn.XLOOKUP(K210,Lists!$P$2:$P$19,Lists!$S$2:$S$19,0)))</f>
        <v>0</v>
      </c>
      <c r="P210" s="68">
        <f ca="1">IF($B210="","",SUM(_xlfn.XLOOKUP(C210,Lists!$P$2:$P$19,Lists!$T$2:$T$19,0),_xlfn.XLOOKUP(E210,Lists!$P$2:$P$19,Lists!$T$2:$T$19,0),_xlfn.XLOOKUP(G210,Lists!$P$2:$P$19,Lists!$T$2:$T$19,0),_xlfn.XLOOKUP(I210,Lists!$P$2:$P$19,Lists!$T$2:$T$19,0),_xlfn.XLOOKUP(K210,Lists!$P$2:$P$19,Lists!$T$2:$T$19,0)))</f>
        <v>0</v>
      </c>
      <c r="Q210" s="68">
        <f ca="1">IF($B210="","",SUM(_xlfn.XLOOKUP(C210,Lists!$P$2:$P$19,Lists!$U$2:$U$19,0),_xlfn.XLOOKUP(E210,Lists!$P$2:$P$19,Lists!$U$2:$U$19,0),_xlfn.XLOOKUP(G210,Lists!$P$2:$P$19,Lists!$U$2:$U$19,0),_xlfn.XLOOKUP(I210,Lists!$P$2:$P$19,Lists!$U$2:$U$19,0),_xlfn.XLOOKUP(K210,Lists!$P$2:$P$19,Lists!$U$2:$U$19,0)))</f>
        <v>0</v>
      </c>
      <c r="R210" s="68">
        <f ca="1">IF($B210="","",SUM(_xlfn.XLOOKUP(C210,Lists!$P$2:$P$19,Lists!$V$2:$V$19,0),_xlfn.XLOOKUP(E210,Lists!$P$2:$P$19,Lists!$V$2:$V$19,0),_xlfn.XLOOKUP(G210,Lists!$P$2:$P$19,Lists!$V$2:$V$19,0),_xlfn.XLOOKUP(I210,Lists!$P$2:$P$19,Lists!$V$2:$V$19,0),_xlfn.XLOOKUP(K210,Lists!$P$2:$P$19,Lists!$V$2:$V$19,0)))</f>
        <v>0</v>
      </c>
      <c r="S210" s="68">
        <f ca="1">IF($B210="","",SUM(_xlfn.XLOOKUP(D210,Lists!$AC$2:$AC$9,Lists!$AD$2:$AD$9,0),_xlfn.XLOOKUP(F210,Lists!$AC$2:$AC$9,Lists!$AD$2:$AD$9,0),_xlfn.XLOOKUP(H210,Lists!$AC$2:$AC$9,Lists!$AD$2:$AD$9,0),_xlfn.XLOOKUP(J210,Lists!$AC$2:$AC$9,Lists!$AD$2:$AD$9,0),_xlfn.XLOOKUP(L210,Lists!$AC$2:$AC$9,Lists!$AD$2:$AD$9,0)))</f>
        <v>0</v>
      </c>
      <c r="T210" s="68">
        <f ca="1">IF($B210="","",SUM(_xlfn.XLOOKUP(C210,Lists!$P$2:$P$19,Lists!$W$2:$W$19,0),_xlfn.XLOOKUP(E210,Lists!$P$2:$P$19,Lists!$W$2:$W$19,0),_xlfn.XLOOKUP(G210,Lists!$P$2:$P$19,Lists!$W$2:$W$19,0),_xlfn.XLOOKUP(I210,Lists!$P$2:$P$19,Lists!$W$2:$W$19,0),_xlfn.XLOOKUP(K210,Lists!$P$2:$P$19,Lists!$W$2:$W$19,0)))</f>
        <v>0</v>
      </c>
      <c r="U210" s="68">
        <f ca="1">IF($B210="","",SUM(_xlfn.XLOOKUP(C210,Lists!$P$2:$P$19,Lists!$X$2:$X$19,0),_xlfn.XLOOKUP(E210,Lists!$P$2:$P$19,Lists!$X$2:$X$19,0),_xlfn.XLOOKUP(G210,Lists!$P$2:$P$19,Lists!$X$2:$X$19,0),_xlfn.XLOOKUP(I210,Lists!$P$2:$P$19,Lists!$X$2:$X$19,0),_xlfn.XLOOKUP(K210,Lists!$P$2:$P$19,Lists!$X$2:$X$19,0)))</f>
        <v>0</v>
      </c>
      <c r="V210" s="68">
        <f ca="1">IF($B210="","",SUM(_xlfn.XLOOKUP(C210,Lists!$P$2:$P$19,Lists!$Y$2:$Y$19,0),_xlfn.XLOOKUP(E210,Lists!$P$2:$P$19,Lists!$Y$2:$Y$19,0),_xlfn.XLOOKUP(G210,Lists!$P$2:$P$19,Lists!$Y$2:$Y$19,0),_xlfn.XLOOKUP(I210,Lists!$P$2:$P$19,Lists!$Y$2:$Y$19,0),_xlfn.XLOOKUP(K210,Lists!$P$2:$P$19,Lists!$Y$2:$Y$19,0)))</f>
        <v>0</v>
      </c>
      <c r="W210" s="68">
        <f ca="1">IF($B210="","",SUM(_xlfn.XLOOKUP(C210,Lists!$P$2:$P$19,Lists!$Z$2:$Z$19,0),_xlfn.XLOOKUP(E210,Lists!$P$2:$P$19,Lists!$Z$2:$Z$19,0),_xlfn.XLOOKUP(G210,Lists!$P$2:$P$19,Lists!$Z$2:$Z$19,0),_xlfn.XLOOKUP(I210,Lists!$P$2:$P$19,Lists!$Z$2:$Z$19,0),_xlfn.XLOOKUP(K210,Lists!$P$2:$P$19,Lists!$Z$2:$Z$19,0)))</f>
        <v>0</v>
      </c>
      <c r="X210" s="69">
        <f ca="1">IF($B210="","",SUM(_xlfn.XLOOKUP(C210,Lists!$P$2:$P$19,Lists!$AA$2:$AA$19,0),_xlfn.XLOOKUP(E210,Lists!$P$2:$P$19,Lists!$AA$2:$AA$19,0),_xlfn.XLOOKUP(G210,Lists!$P$2:$P$19,Lists!$AA$2:$AA$19,0),_xlfn.XLOOKUP(I210,Lists!$P$2:$P$19,Lists!$AA$2:$AA$19,0),_xlfn.XLOOKUP(K210,Lists!$P$2:$P$19,Lists!$AA$2:$AA$19,0)))</f>
        <v>0</v>
      </c>
      <c r="Y210" s="49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</row>
    <row r="211" spans="1:110">
      <c r="A211" s="168">
        <v>7</v>
      </c>
      <c r="B211" s="47" t="str">
        <f ca="1">Lineups!$C$67</f>
        <v>Koopa</v>
      </c>
      <c r="C211" s="49" t="s">
        <v>185</v>
      </c>
      <c r="D211" s="49"/>
      <c r="E211" s="49"/>
      <c r="F211" s="49"/>
      <c r="G211" s="49"/>
      <c r="H211" s="50"/>
      <c r="I211" s="50"/>
      <c r="J211" s="50"/>
      <c r="K211" s="50"/>
      <c r="L211" s="50"/>
      <c r="M211" s="67">
        <f ca="1">IF($B211="","",SUM(_xlfn.XLOOKUP(C211,Lists!$P$2:$P$19,Lists!$R$2:$R$19,0),_xlfn.XLOOKUP(E211,Lists!$P$2:$P$19,Lists!$R$2:$R$19,0),_xlfn.XLOOKUP(G211,Lists!$P$2:$P$19,Lists!$R$2:$R$19,0),_xlfn.XLOOKUP(I211,Lists!$P$2:$P$19,Lists!$R$2:$R$19,0),_xlfn.XLOOKUP(K211,Lists!$P$2:$P$19,Lists!$R$2:$R$19,0)))</f>
        <v>1</v>
      </c>
      <c r="N211" s="68">
        <f ca="1">IF($B211="","",SUM(_xlfn.XLOOKUP(D211,Lists!$AC$2:$AC$9,Lists!$AE$2:$AE$9,0),_xlfn.XLOOKUP(F211,Lists!$AC$2:$AC$9,Lists!$AE$2:$AE$9,0),_xlfn.XLOOKUP(H211,Lists!$AC$2:$AC$9,Lists!$AE$2:$AE$9,0),_xlfn.XLOOKUP(J211,Lists!$AC$2:$AC$9,Lists!$AE$2:$AE$9,0),_xlfn.XLOOKUP(L211,Lists!$AC$2:$AC$9,Lists!$AE$2:$AE$9,0)))</f>
        <v>0</v>
      </c>
      <c r="O211" s="68">
        <f ca="1">IF($B211="","",SUM(_xlfn.XLOOKUP(C211,Lists!$P$2:$P$19,Lists!$S$2:$S$19,0),_xlfn.XLOOKUP(E211,Lists!$P$2:$P$19,Lists!$S$2:$S$19,0),_xlfn.XLOOKUP(G211,Lists!$P$2:$P$19,Lists!$S$2:$S$19,0),_xlfn.XLOOKUP(I211,Lists!$P$2:$P$19,Lists!$S$2:$S$19,0),_xlfn.XLOOKUP(K211,Lists!$P$2:$P$19,Lists!$S$2:$S$19,0)))</f>
        <v>0</v>
      </c>
      <c r="P211" s="68">
        <f ca="1">IF($B211="","",SUM(_xlfn.XLOOKUP(C211,Lists!$P$2:$P$19,Lists!$T$2:$T$19,0),_xlfn.XLOOKUP(E211,Lists!$P$2:$P$19,Lists!$T$2:$T$19,0),_xlfn.XLOOKUP(G211,Lists!$P$2:$P$19,Lists!$T$2:$T$19,0),_xlfn.XLOOKUP(I211,Lists!$P$2:$P$19,Lists!$T$2:$T$19,0),_xlfn.XLOOKUP(K211,Lists!$P$2:$P$19,Lists!$T$2:$T$19,0)))</f>
        <v>0</v>
      </c>
      <c r="Q211" s="68">
        <f ca="1">IF($B211="","",SUM(_xlfn.XLOOKUP(C211,Lists!$P$2:$P$19,Lists!$U$2:$U$19,0),_xlfn.XLOOKUP(E211,Lists!$P$2:$P$19,Lists!$U$2:$U$19,0),_xlfn.XLOOKUP(G211,Lists!$P$2:$P$19,Lists!$U$2:$U$19,0),_xlfn.XLOOKUP(I211,Lists!$P$2:$P$19,Lists!$U$2:$U$19,0),_xlfn.XLOOKUP(K211,Lists!$P$2:$P$19,Lists!$U$2:$U$19,0)))</f>
        <v>0</v>
      </c>
      <c r="R211" s="68">
        <f ca="1">IF($B211="","",SUM(_xlfn.XLOOKUP(C211,Lists!$P$2:$P$19,Lists!$V$2:$V$19,0),_xlfn.XLOOKUP(E211,Lists!$P$2:$P$19,Lists!$V$2:$V$19,0),_xlfn.XLOOKUP(G211,Lists!$P$2:$P$19,Lists!$V$2:$V$19,0),_xlfn.XLOOKUP(I211,Lists!$P$2:$P$19,Lists!$V$2:$V$19,0),_xlfn.XLOOKUP(K211,Lists!$P$2:$P$19,Lists!$V$2:$V$19,0)))</f>
        <v>0</v>
      </c>
      <c r="S211" s="68">
        <f ca="1">IF($B211="","",SUM(_xlfn.XLOOKUP(D211,Lists!$AC$2:$AC$9,Lists!$AD$2:$AD$9,0),_xlfn.XLOOKUP(F211,Lists!$AC$2:$AC$9,Lists!$AD$2:$AD$9,0),_xlfn.XLOOKUP(H211,Lists!$AC$2:$AC$9,Lists!$AD$2:$AD$9,0),_xlfn.XLOOKUP(J211,Lists!$AC$2:$AC$9,Lists!$AD$2:$AD$9,0),_xlfn.XLOOKUP(L211,Lists!$AC$2:$AC$9,Lists!$AD$2:$AD$9,0)))</f>
        <v>0</v>
      </c>
      <c r="T211" s="68">
        <f ca="1">IF($B211="","",SUM(_xlfn.XLOOKUP(C211,Lists!$P$2:$P$19,Lists!$W$2:$W$19,0),_xlfn.XLOOKUP(E211,Lists!$P$2:$P$19,Lists!$W$2:$W$19,0),_xlfn.XLOOKUP(G211,Lists!$P$2:$P$19,Lists!$W$2:$W$19,0),_xlfn.XLOOKUP(I211,Lists!$P$2:$P$19,Lists!$W$2:$W$19,0),_xlfn.XLOOKUP(K211,Lists!$P$2:$P$19,Lists!$W$2:$W$19,0)))</f>
        <v>0</v>
      </c>
      <c r="U211" s="68">
        <f ca="1">IF($B211="","",SUM(_xlfn.XLOOKUP(C211,Lists!$P$2:$P$19,Lists!$X$2:$X$19,0),_xlfn.XLOOKUP(E211,Lists!$P$2:$P$19,Lists!$X$2:$X$19,0),_xlfn.XLOOKUP(G211,Lists!$P$2:$P$19,Lists!$X$2:$X$19,0),_xlfn.XLOOKUP(I211,Lists!$P$2:$P$19,Lists!$X$2:$X$19,0),_xlfn.XLOOKUP(K211,Lists!$P$2:$P$19,Lists!$X$2:$X$19,0)))</f>
        <v>1</v>
      </c>
      <c r="V211" s="68">
        <f ca="1">IF($B211="","",SUM(_xlfn.XLOOKUP(C211,Lists!$P$2:$P$19,Lists!$Y$2:$Y$19,0),_xlfn.XLOOKUP(E211,Lists!$P$2:$P$19,Lists!$Y$2:$Y$19,0),_xlfn.XLOOKUP(G211,Lists!$P$2:$P$19,Lists!$Y$2:$Y$19,0),_xlfn.XLOOKUP(I211,Lists!$P$2:$P$19,Lists!$Y$2:$Y$19,0),_xlfn.XLOOKUP(K211,Lists!$P$2:$P$19,Lists!$Y$2:$Y$19,0)))</f>
        <v>0</v>
      </c>
      <c r="W211" s="68">
        <f ca="1">IF($B211="","",SUM(_xlfn.XLOOKUP(C211,Lists!$P$2:$P$19,Lists!$Z$2:$Z$19,0),_xlfn.XLOOKUP(E211,Lists!$P$2:$P$19,Lists!$Z$2:$Z$19,0),_xlfn.XLOOKUP(G211,Lists!$P$2:$P$19,Lists!$Z$2:$Z$19,0),_xlfn.XLOOKUP(I211,Lists!$P$2:$P$19,Lists!$Z$2:$Z$19,0),_xlfn.XLOOKUP(K211,Lists!$P$2:$P$19,Lists!$Z$2:$Z$19,0)))</f>
        <v>0</v>
      </c>
      <c r="X211" s="69">
        <f ca="1">IF($B211="","",SUM(_xlfn.XLOOKUP(C211,Lists!$P$2:$P$19,Lists!$AA$2:$AA$19,0),_xlfn.XLOOKUP(E211,Lists!$P$2:$P$19,Lists!$AA$2:$AA$19,0),_xlfn.XLOOKUP(G211,Lists!$P$2:$P$19,Lists!$AA$2:$AA$19,0),_xlfn.XLOOKUP(I211,Lists!$P$2:$P$19,Lists!$AA$2:$AA$19,0),_xlfn.XLOOKUP(K211,Lists!$P$2:$P$19,Lists!$AA$2:$AA$19,0)))</f>
        <v>0</v>
      </c>
      <c r="Y211" s="49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</row>
    <row r="212" spans="1:110">
      <c r="A212" s="168">
        <v>8</v>
      </c>
      <c r="B212" s="47" t="str">
        <f ca="1">Lineups!$C$68</f>
        <v>Red Yoshi</v>
      </c>
      <c r="C212" s="49" t="s">
        <v>188</v>
      </c>
      <c r="D212" s="49"/>
      <c r="E212" s="49"/>
      <c r="F212" s="49"/>
      <c r="G212" s="49"/>
      <c r="H212" s="50"/>
      <c r="I212" s="50"/>
      <c r="J212" s="50"/>
      <c r="K212" s="50"/>
      <c r="L212" s="50"/>
      <c r="M212" s="67">
        <f ca="1">IF($B212="","",SUM(_xlfn.XLOOKUP(C212,Lists!$P$2:$P$19,Lists!$R$2:$R$19,0),_xlfn.XLOOKUP(E212,Lists!$P$2:$P$19,Lists!$R$2:$R$19,0),_xlfn.XLOOKUP(G212,Lists!$P$2:$P$19,Lists!$R$2:$R$19,0),_xlfn.XLOOKUP(I212,Lists!$P$2:$P$19,Lists!$R$2:$R$19,0),_xlfn.XLOOKUP(K212,Lists!$P$2:$P$19,Lists!$R$2:$R$19,0)))</f>
        <v>1</v>
      </c>
      <c r="N212" s="68">
        <f ca="1">IF($B212="","",SUM(_xlfn.XLOOKUP(D212,Lists!$AC$2:$AC$9,Lists!$AE$2:$AE$9,0),_xlfn.XLOOKUP(F212,Lists!$AC$2:$AC$9,Lists!$AE$2:$AE$9,0),_xlfn.XLOOKUP(H212,Lists!$AC$2:$AC$9,Lists!$AE$2:$AE$9,0),_xlfn.XLOOKUP(J212,Lists!$AC$2:$AC$9,Lists!$AE$2:$AE$9,0),_xlfn.XLOOKUP(L212,Lists!$AC$2:$AC$9,Lists!$AE$2:$AE$9,0)))</f>
        <v>0</v>
      </c>
      <c r="O212" s="68">
        <f ca="1">IF($B212="","",SUM(_xlfn.XLOOKUP(C212,Lists!$P$2:$P$19,Lists!$S$2:$S$19,0),_xlfn.XLOOKUP(E212,Lists!$P$2:$P$19,Lists!$S$2:$S$19,0),_xlfn.XLOOKUP(G212,Lists!$P$2:$P$19,Lists!$S$2:$S$19,0),_xlfn.XLOOKUP(I212,Lists!$P$2:$P$19,Lists!$S$2:$S$19,0),_xlfn.XLOOKUP(K212,Lists!$P$2:$P$19,Lists!$S$2:$S$19,0)))</f>
        <v>1</v>
      </c>
      <c r="P212" s="68">
        <f ca="1">IF($B212="","",SUM(_xlfn.XLOOKUP(C212,Lists!$P$2:$P$19,Lists!$T$2:$T$19,0),_xlfn.XLOOKUP(E212,Lists!$P$2:$P$19,Lists!$T$2:$T$19,0),_xlfn.XLOOKUP(G212,Lists!$P$2:$P$19,Lists!$T$2:$T$19,0),_xlfn.XLOOKUP(I212,Lists!$P$2:$P$19,Lists!$T$2:$T$19,0),_xlfn.XLOOKUP(K212,Lists!$P$2:$P$19,Lists!$T$2:$T$19,0)))</f>
        <v>0</v>
      </c>
      <c r="Q212" s="68">
        <f ca="1">IF($B212="","",SUM(_xlfn.XLOOKUP(C212,Lists!$P$2:$P$19,Lists!$U$2:$U$19,0),_xlfn.XLOOKUP(E212,Lists!$P$2:$P$19,Lists!$U$2:$U$19,0),_xlfn.XLOOKUP(G212,Lists!$P$2:$P$19,Lists!$U$2:$U$19,0),_xlfn.XLOOKUP(I212,Lists!$P$2:$P$19,Lists!$U$2:$U$19,0),_xlfn.XLOOKUP(K212,Lists!$P$2:$P$19,Lists!$U$2:$U$19,0)))</f>
        <v>0</v>
      </c>
      <c r="R212" s="68">
        <f ca="1">IF($B212="","",SUM(_xlfn.XLOOKUP(C212,Lists!$P$2:$P$19,Lists!$V$2:$V$19,0),_xlfn.XLOOKUP(E212,Lists!$P$2:$P$19,Lists!$V$2:$V$19,0),_xlfn.XLOOKUP(G212,Lists!$P$2:$P$19,Lists!$V$2:$V$19,0),_xlfn.XLOOKUP(I212,Lists!$P$2:$P$19,Lists!$V$2:$V$19,0),_xlfn.XLOOKUP(K212,Lists!$P$2:$P$19,Lists!$V$2:$V$19,0)))</f>
        <v>0</v>
      </c>
      <c r="S212" s="68">
        <f ca="1">IF($B212="","",SUM(_xlfn.XLOOKUP(D212,Lists!$AC$2:$AC$9,Lists!$AD$2:$AD$9,0),_xlfn.XLOOKUP(F212,Lists!$AC$2:$AC$9,Lists!$AD$2:$AD$9,0),_xlfn.XLOOKUP(H212,Lists!$AC$2:$AC$9,Lists!$AD$2:$AD$9,0),_xlfn.XLOOKUP(J212,Lists!$AC$2:$AC$9,Lists!$AD$2:$AD$9,0),_xlfn.XLOOKUP(L212,Lists!$AC$2:$AC$9,Lists!$AD$2:$AD$9,0)))</f>
        <v>0</v>
      </c>
      <c r="T212" s="68">
        <f ca="1">IF($B212="","",SUM(_xlfn.XLOOKUP(C212,Lists!$P$2:$P$19,Lists!$W$2:$W$19,0),_xlfn.XLOOKUP(E212,Lists!$P$2:$P$19,Lists!$W$2:$W$19,0),_xlfn.XLOOKUP(G212,Lists!$P$2:$P$19,Lists!$W$2:$W$19,0),_xlfn.XLOOKUP(I212,Lists!$P$2:$P$19,Lists!$W$2:$W$19,0),_xlfn.XLOOKUP(K212,Lists!$P$2:$P$19,Lists!$W$2:$W$19,0)))</f>
        <v>0</v>
      </c>
      <c r="U212" s="68">
        <f ca="1">IF($B212="","",SUM(_xlfn.XLOOKUP(C212,Lists!$P$2:$P$19,Lists!$X$2:$X$19,0),_xlfn.XLOOKUP(E212,Lists!$P$2:$P$19,Lists!$X$2:$X$19,0),_xlfn.XLOOKUP(G212,Lists!$P$2:$P$19,Lists!$X$2:$X$19,0),_xlfn.XLOOKUP(I212,Lists!$P$2:$P$19,Lists!$X$2:$X$19,0),_xlfn.XLOOKUP(K212,Lists!$P$2:$P$19,Lists!$X$2:$X$19,0)))</f>
        <v>0</v>
      </c>
      <c r="V212" s="68">
        <f ca="1">IF($B212="","",SUM(_xlfn.XLOOKUP(C212,Lists!$P$2:$P$19,Lists!$Y$2:$Y$19,0),_xlfn.XLOOKUP(E212,Lists!$P$2:$P$19,Lists!$Y$2:$Y$19,0),_xlfn.XLOOKUP(G212,Lists!$P$2:$P$19,Lists!$Y$2:$Y$19,0),_xlfn.XLOOKUP(I212,Lists!$P$2:$P$19,Lists!$Y$2:$Y$19,0),_xlfn.XLOOKUP(K212,Lists!$P$2:$P$19,Lists!$Y$2:$Y$19,0)))</f>
        <v>0</v>
      </c>
      <c r="W212" s="68">
        <f ca="1">IF($B212="","",SUM(_xlfn.XLOOKUP(C212,Lists!$P$2:$P$19,Lists!$Z$2:$Z$19,0),_xlfn.XLOOKUP(E212,Lists!$P$2:$P$19,Lists!$Z$2:$Z$19,0),_xlfn.XLOOKUP(G212,Lists!$P$2:$P$19,Lists!$Z$2:$Z$19,0),_xlfn.XLOOKUP(I212,Lists!$P$2:$P$19,Lists!$Z$2:$Z$19,0),_xlfn.XLOOKUP(K212,Lists!$P$2:$P$19,Lists!$Z$2:$Z$19,0)))</f>
        <v>0</v>
      </c>
      <c r="X212" s="69">
        <f ca="1">IF($B212="","",SUM(_xlfn.XLOOKUP(C212,Lists!$P$2:$P$19,Lists!$AA$2:$AA$19,0),_xlfn.XLOOKUP(E212,Lists!$P$2:$P$19,Lists!$AA$2:$AA$19,0),_xlfn.XLOOKUP(G212,Lists!$P$2:$P$19,Lists!$AA$2:$AA$19,0),_xlfn.XLOOKUP(I212,Lists!$P$2:$P$19,Lists!$AA$2:$AA$19,0),_xlfn.XLOOKUP(K212,Lists!$P$2:$P$19,Lists!$AA$2:$AA$19,0)))</f>
        <v>0</v>
      </c>
      <c r="Y212" s="49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</row>
    <row r="213" spans="1:110">
      <c r="A213" s="168">
        <v>9</v>
      </c>
      <c r="B213" s="47" t="str">
        <f ca="1">Lineups!$C$69</f>
        <v>Baby Peach</v>
      </c>
      <c r="C213" s="49" t="s">
        <v>189</v>
      </c>
      <c r="D213" s="49"/>
      <c r="E213" s="49"/>
      <c r="F213" s="49"/>
      <c r="G213" s="49"/>
      <c r="H213" s="50"/>
      <c r="I213" s="50"/>
      <c r="J213" s="50"/>
      <c r="K213" s="50"/>
      <c r="L213" s="50"/>
      <c r="M213" s="67">
        <f ca="1">IF($B213="","",SUM(_xlfn.XLOOKUP(C213,Lists!$P$2:$P$19,Lists!$R$2:$R$19,0),_xlfn.XLOOKUP(E213,Lists!$P$2:$P$19,Lists!$R$2:$R$19,0),_xlfn.XLOOKUP(G213,Lists!$P$2:$P$19,Lists!$R$2:$R$19,0),_xlfn.XLOOKUP(I213,Lists!$P$2:$P$19,Lists!$R$2:$R$19,0),_xlfn.XLOOKUP(K213,Lists!$P$2:$P$19,Lists!$R$2:$R$19,0)))</f>
        <v>1</v>
      </c>
      <c r="N213" s="68">
        <f ca="1">IF($B213="","",SUM(_xlfn.XLOOKUP(D213,Lists!$AC$2:$AC$9,Lists!$AE$2:$AE$9,0),_xlfn.XLOOKUP(F213,Lists!$AC$2:$AC$9,Lists!$AE$2:$AE$9,0),_xlfn.XLOOKUP(H213,Lists!$AC$2:$AC$9,Lists!$AE$2:$AE$9,0),_xlfn.XLOOKUP(J213,Lists!$AC$2:$AC$9,Lists!$AE$2:$AE$9,0),_xlfn.XLOOKUP(L213,Lists!$AC$2:$AC$9,Lists!$AE$2:$AE$9,0)))</f>
        <v>0</v>
      </c>
      <c r="O213" s="68">
        <f ca="1">IF($B213="","",SUM(_xlfn.XLOOKUP(C213,Lists!$P$2:$P$19,Lists!$S$2:$S$19,0),_xlfn.XLOOKUP(E213,Lists!$P$2:$P$19,Lists!$S$2:$S$19,0),_xlfn.XLOOKUP(G213,Lists!$P$2:$P$19,Lists!$S$2:$S$19,0),_xlfn.XLOOKUP(I213,Lists!$P$2:$P$19,Lists!$S$2:$S$19,0),_xlfn.XLOOKUP(K213,Lists!$P$2:$P$19,Lists!$S$2:$S$19,0)))</f>
        <v>0</v>
      </c>
      <c r="P213" s="68">
        <f ca="1">IF($B213="","",SUM(_xlfn.XLOOKUP(C213,Lists!$P$2:$P$19,Lists!$T$2:$T$19,0),_xlfn.XLOOKUP(E213,Lists!$P$2:$P$19,Lists!$T$2:$T$19,0),_xlfn.XLOOKUP(G213,Lists!$P$2:$P$19,Lists!$T$2:$T$19,0),_xlfn.XLOOKUP(I213,Lists!$P$2:$P$19,Lists!$T$2:$T$19,0),_xlfn.XLOOKUP(K213,Lists!$P$2:$P$19,Lists!$T$2:$T$19,0)))</f>
        <v>0</v>
      </c>
      <c r="Q213" s="68">
        <f ca="1">IF($B213="","",SUM(_xlfn.XLOOKUP(C213,Lists!$P$2:$P$19,Lists!$U$2:$U$19,0),_xlfn.XLOOKUP(E213,Lists!$P$2:$P$19,Lists!$U$2:$U$19,0),_xlfn.XLOOKUP(G213,Lists!$P$2:$P$19,Lists!$U$2:$U$19,0),_xlfn.XLOOKUP(I213,Lists!$P$2:$P$19,Lists!$U$2:$U$19,0),_xlfn.XLOOKUP(K213,Lists!$P$2:$P$19,Lists!$U$2:$U$19,0)))</f>
        <v>0</v>
      </c>
      <c r="R213" s="68">
        <f ca="1">IF($B213="","",SUM(_xlfn.XLOOKUP(C213,Lists!$P$2:$P$19,Lists!$V$2:$V$19,0),_xlfn.XLOOKUP(E213,Lists!$P$2:$P$19,Lists!$V$2:$V$19,0),_xlfn.XLOOKUP(G213,Lists!$P$2:$P$19,Lists!$V$2:$V$19,0),_xlfn.XLOOKUP(I213,Lists!$P$2:$P$19,Lists!$V$2:$V$19,0),_xlfn.XLOOKUP(K213,Lists!$P$2:$P$19,Lists!$V$2:$V$19,0)))</f>
        <v>0</v>
      </c>
      <c r="S213" s="68">
        <f ca="1">IF($B213="","",SUM(_xlfn.XLOOKUP(D213,Lists!$AC$2:$AC$9,Lists!$AD$2:$AD$9,0),_xlfn.XLOOKUP(F213,Lists!$AC$2:$AC$9,Lists!$AD$2:$AD$9,0),_xlfn.XLOOKUP(H213,Lists!$AC$2:$AC$9,Lists!$AD$2:$AD$9,0),_xlfn.XLOOKUP(J213,Lists!$AC$2:$AC$9,Lists!$AD$2:$AD$9,0),_xlfn.XLOOKUP(L213,Lists!$AC$2:$AC$9,Lists!$AD$2:$AD$9,0)))</f>
        <v>0</v>
      </c>
      <c r="T213" s="68">
        <f ca="1">IF($B213="","",SUM(_xlfn.XLOOKUP(C213,Lists!$P$2:$P$19,Lists!$W$2:$W$19,0),_xlfn.XLOOKUP(E213,Lists!$P$2:$P$19,Lists!$W$2:$W$19,0),_xlfn.XLOOKUP(G213,Lists!$P$2:$P$19,Lists!$W$2:$W$19,0),_xlfn.XLOOKUP(I213,Lists!$P$2:$P$19,Lists!$W$2:$W$19,0),_xlfn.XLOOKUP(K213,Lists!$P$2:$P$19,Lists!$W$2:$W$19,0)))</f>
        <v>0</v>
      </c>
      <c r="U213" s="68">
        <f ca="1">IF($B213="","",SUM(_xlfn.XLOOKUP(C213,Lists!$P$2:$P$19,Lists!$X$2:$X$19,0),_xlfn.XLOOKUP(E213,Lists!$P$2:$P$19,Lists!$X$2:$X$19,0),_xlfn.XLOOKUP(G213,Lists!$P$2:$P$19,Lists!$X$2:$X$19,0),_xlfn.XLOOKUP(I213,Lists!$P$2:$P$19,Lists!$X$2:$X$19,0),_xlfn.XLOOKUP(K213,Lists!$P$2:$P$19,Lists!$X$2:$X$19,0)))</f>
        <v>0</v>
      </c>
      <c r="V213" s="68">
        <f ca="1">IF($B213="","",SUM(_xlfn.XLOOKUP(C213,Lists!$P$2:$P$19,Lists!$Y$2:$Y$19,0),_xlfn.XLOOKUP(E213,Lists!$P$2:$P$19,Lists!$Y$2:$Y$19,0),_xlfn.XLOOKUP(G213,Lists!$P$2:$P$19,Lists!$Y$2:$Y$19,0),_xlfn.XLOOKUP(I213,Lists!$P$2:$P$19,Lists!$Y$2:$Y$19,0),_xlfn.XLOOKUP(K213,Lists!$P$2:$P$19,Lists!$Y$2:$Y$19,0)))</f>
        <v>0</v>
      </c>
      <c r="W213" s="68">
        <f ca="1">IF($B213="","",SUM(_xlfn.XLOOKUP(C213,Lists!$P$2:$P$19,Lists!$Z$2:$Z$19,0),_xlfn.XLOOKUP(E213,Lists!$P$2:$P$19,Lists!$Z$2:$Z$19,0),_xlfn.XLOOKUP(G213,Lists!$P$2:$P$19,Lists!$Z$2:$Z$19,0),_xlfn.XLOOKUP(I213,Lists!$P$2:$P$19,Lists!$Z$2:$Z$19,0),_xlfn.XLOOKUP(K213,Lists!$P$2:$P$19,Lists!$Z$2:$Z$19,0)))</f>
        <v>0</v>
      </c>
      <c r="X213" s="69">
        <f ca="1">IF($B213="","",SUM(_xlfn.XLOOKUP(C213,Lists!$P$2:$P$19,Lists!$AA$2:$AA$19,0),_xlfn.XLOOKUP(E213,Lists!$P$2:$P$19,Lists!$AA$2:$AA$19,0),_xlfn.XLOOKUP(G213,Lists!$P$2:$P$19,Lists!$AA$2:$AA$19,0),_xlfn.XLOOKUP(I213,Lists!$P$2:$P$19,Lists!$AA$2:$AA$19,0),_xlfn.XLOOKUP(K213,Lists!$P$2:$P$19,Lists!$AA$2:$AA$19,0)))</f>
        <v>0</v>
      </c>
      <c r="Y213" s="49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</row>
    <row r="214" spans="1:110">
      <c r="A214" s="173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</row>
    <row r="215" spans="1:110">
      <c r="A215" s="222" t="str">
        <f ca="1">IF($N$198="","Team A Pitching",$N$198&amp;" Pitching")</f>
        <v>May Pitching</v>
      </c>
      <c r="B215" s="221"/>
      <c r="C215" s="221"/>
      <c r="D215" s="221"/>
      <c r="E215" s="221"/>
      <c r="F215" s="221"/>
      <c r="G215" s="221"/>
      <c r="H215" s="221"/>
      <c r="I215" s="221"/>
      <c r="J215" s="221"/>
      <c r="K215" s="221"/>
      <c r="L215" s="221"/>
      <c r="M215" s="221"/>
      <c r="N215" s="206"/>
      <c r="O215" s="186"/>
      <c r="P215" s="24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</row>
    <row r="216" spans="1:110">
      <c r="A216" s="167" t="s">
        <v>103</v>
      </c>
      <c r="B216" s="43" t="s">
        <v>194</v>
      </c>
      <c r="C216" s="43" t="s">
        <v>195</v>
      </c>
      <c r="D216" s="43" t="s">
        <v>162</v>
      </c>
      <c r="E216" s="43" t="s">
        <v>161</v>
      </c>
      <c r="F216" s="43" t="s">
        <v>196</v>
      </c>
      <c r="G216" s="43" t="s">
        <v>180</v>
      </c>
      <c r="H216" s="43" t="s">
        <v>181</v>
      </c>
      <c r="I216" s="44" t="s">
        <v>197</v>
      </c>
      <c r="J216" s="44" t="s">
        <v>198</v>
      </c>
      <c r="K216" s="44" t="s">
        <v>199</v>
      </c>
      <c r="L216" s="44" t="s">
        <v>200</v>
      </c>
      <c r="M216" s="44" t="s">
        <v>201</v>
      </c>
      <c r="N216" s="45" t="s">
        <v>202</v>
      </c>
      <c r="O216" s="45" t="s">
        <v>203</v>
      </c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</row>
    <row r="217" spans="1:110">
      <c r="A217" s="168">
        <v>1</v>
      </c>
      <c r="B217" s="71" t="s">
        <v>58</v>
      </c>
      <c r="C217" s="70" cm="1">
        <f t="array" aca="1" ref="C217" ca="1">IF(OR(B217="",O217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3</v>
      </c>
      <c r="D217" s="67" cm="1">
        <f t="array" aca="1" ref="D217" ca="1">IF(OR(B217="",O217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2</v>
      </c>
      <c r="E217" s="67" cm="1">
        <f t="array" aca="1" ref="E217" ca="1">IF(OR(B217="",O217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217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1</v>
      </c>
      <c r="F217" s="67" cm="1">
        <f t="array" aca="1" ref="F217" ca="1">IF(OR(B217="",O217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217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1</v>
      </c>
      <c r="G217" s="67" cm="1">
        <f t="array" aca="1" ref="G217" ca="1">IF(OR(B217="",O217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217" s="67" cm="1">
        <f t="array" aca="1" ref="H217" ca="1">IF(OR(B217="",O217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2</v>
      </c>
      <c r="I217" s="68" cm="1">
        <f t="array" aca="1" ref="I217" ca="1">IF(OR(B217="",O217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217" s="68" cm="1">
        <f t="array" aca="1" ref="J217" ca="1">IF(OR(B217="",O217=""),"",--(SUM(_xlfn.XLOOKUP(_xlfn._xlws.FILTER(_xlfn.TOCOL(_xlfn.CHOOSECOLS(C205:L213,2,4,6,8,10),0,TRUE),_xlfn.TOCOL(_xlfn.CHOOSECOLS(C205:L213,1,3,5,7,9),0,TRUE)&lt;&gt;""),Lists!$AC$2:$AC$9,Lists!$AF$2:$AF$9,0))&gt;SUM(_xlfn.XLOOKUP(_xlfn._xlws.FILTER(_xlfn.TOCOL(_xlfn.CHOOSECOLS(C226:L234,2,4,6,8,10),0,TRUE),_xlfn.TOCOL(_xlfn.CHOOSECOLS(C226:L234,1,3,5,7,9),0,TRUE)&lt;&gt;""),Lists!$AC$2:$AC$9,Lists!$AF$2:$AF$9,0)))*--(ROW()-ROW(C216)=_xlfn.XLOOKUP(MAX(IF(O217:O222&gt;0,INT(C217:C222)*3+MOD(ROUND(C217:C222*10,0),10),-1)),IF(O217:O222&gt;0,INT(C217:C222)*3+MOD(ROUND(C217:C222*10,0),10),-1),_xlfn.SEQUENCE(ROWS(O217:O222)),,0)))</f>
        <v>1</v>
      </c>
      <c r="K217" s="68" cm="1">
        <f t="array" aca="1" ref="K217" ca="1">IF(OR(B217="",O217=""),"",--(SUM(_xlfn.XLOOKUP(_xlfn._xlws.FILTER(_xlfn.TOCOL(_xlfn.CHOOSECOLS(C205:L213,2,4,6,8,10),0,TRUE),_xlfn.TOCOL(_xlfn.CHOOSECOLS(C205:L213,1,3,5,7,9),0,TRUE)&lt;&gt;""),Lists!$AC$2:$AC$9,Lists!$AF$2:$AF$9,0))&lt;SUM(_xlfn.XLOOKUP(_xlfn._xlws.FILTER(_xlfn.TOCOL(_xlfn.CHOOSECOLS(C226:L234,2,4,6,8,10),0,TRUE),_xlfn.TOCOL(_xlfn.CHOOSECOLS(C226:L234,1,3,5,7,9),0,TRUE)&lt;&gt;""),Lists!$AC$2:$AC$9,Lists!$AF$2:$AF$9,0)))*--(ROW()-ROW(C216)=_xlfn.XLOOKUP(MAX(IF(O217:O222&gt;0,E217:E222,-1)),IF(O217:O222&gt;0,E217:E222,-1),_xlfn.SEQUENCE(ROWS(O217:O222)),,0)))</f>
        <v>0</v>
      </c>
      <c r="L217" s="68" cm="1">
        <f t="array" aca="1" ref="L217" ca="1">IF(OR(B217="",O217=""),"",--(SUM(_xlfn.XLOOKUP(_xlfn._xlws.FILTER(_xlfn.TOCOL(_xlfn.CHOOSECOLS(C205:L213,2,4,6,8,10),0,TRUE),_xlfn.TOCOL(_xlfn.CHOOSECOLS(C205:L213,1,3,5,7,9),0,TRUE)&lt;&gt;""),Lists!$AC$2:$AC$9,Lists!$AF$2:$AF$9,0))&gt;SUM(_xlfn.XLOOKUP(_xlfn._xlws.FILTER(_xlfn.TOCOL(_xlfn.CHOOSECOLS(C226:L234,2,4,6,8,10),0,TRUE),_xlfn.TOCOL(_xlfn.CHOOSECOLS(C226:L234,1,3,5,7,9),0,TRUE)&lt;&gt;""),Lists!$AC$2:$AC$9,Lists!$AF$2:$AF$9,0)))*--(COUNTIF(O217:O222,"&gt;0")&gt;1)*--(ROW()-ROW(C216)=_xlfn.XLOOKUP(TRUE,O217:O222&gt;0,_xlfn.SEQUENCE(ROWS(O217:O222)),,0,-1))*--(_xlfn.XLOOKUP(TRUE,O217:O222&gt;0,_xlfn.SEQUENCE(ROWS(O217:O222)),,0,-1)&lt;&gt;_xlfn.XLOOKUP(MAX(IF(O217:O222&gt;0,INT(C217:C222)*3+MOD(ROUND(C217:C222*10,0),10),-1)),IF(O217:O222&gt;0,INT(C217:C222)*3+MOD(ROUND(C217:C222*10,0),10),-1),_xlfn.SEQUENCE(ROWS(O217:O222)),,0))*--(SUM(_xlfn.XLOOKUP(_xlfn._xlws.FILTER(_xlfn.TOCOL(_xlfn.CHOOSECOLS(C205:L213,2,4,6,8,10),0,TRUE),_xlfn.TOCOL(_xlfn.CHOOSECOLS(C205:L213,1,3,5,7,9),0,TRUE)&lt;&gt;""),Lists!$AC$2:$AC$9,Lists!$AF$2:$AF$9,0))-SUM(_xlfn.XLOOKUP(_xlfn._xlws.FILTER(_xlfn.TOCOL(_xlfn.CHOOSECOLS(C226:L234,2,4,6,8,10),0,TRUE),_xlfn.TOCOL(_xlfn.CHOOSECOLS(C226:L234,1,3,5,7,9),0,TRUE)&lt;&gt;""),Lists!$AC$2:$AC$9,Lists!$AF$2:$AF$9,0))&lt;=3)*--((INT(C217)*3+MOD(ROUND(C217*10,0),10))&gt;=3))</f>
        <v>0</v>
      </c>
      <c r="M217" s="68" cm="1">
        <f t="array" aca="1" ref="M217" ca="1">IF(OR(B217="",O217=""),"",--(COUNTIF(O217:O222,"&gt;0")=1)*--(SUM(_xlfn.XLOOKUP(_xlfn._xlws.FILTER(_xlfn.TOCOL(_xlfn.CHOOSECOLS(C226:L234,2,4,6,8,10),0,TRUE),_xlfn.TOCOL(_xlfn.CHOOSECOLS(C226:L234,1,3,5,7,9),0,TRUE)&lt;&gt;""),Lists!$AC$2:$AC$9,Lists!$AF$2:$AF$9,0))=0))</f>
        <v>0</v>
      </c>
      <c r="N217" s="69">
        <f ca="1">IF(OR(B217="",O217=""),"",--(COUNTIF(O217:O222,"&gt;0")=1))</f>
        <v>1</v>
      </c>
      <c r="O217" s="51">
        <v>11</v>
      </c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  <c r="DF217" s="18"/>
    </row>
    <row r="218" spans="1:110">
      <c r="A218" s="168">
        <v>2</v>
      </c>
      <c r="B218" s="71"/>
      <c r="C218" s="70" t="str" cm="1">
        <f t="array" aca="1" ref="C218" ca="1">IF(OR(B218="",O218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18" s="67" t="str" cm="1">
        <f t="array" aca="1" ref="D218" ca="1">IF(OR(B218="",O218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18" s="67" t="str" cm="1">
        <f t="array" aca="1" ref="E218" ca="1">IF(OR(B218="",O218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218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18" s="67" t="str" cm="1">
        <f t="array" aca="1" ref="F218" ca="1">IF(OR(B218="",O218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218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18" s="67" t="str" cm="1">
        <f t="array" aca="1" ref="G218" ca="1">IF(OR(B218="",O218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18" s="67" t="str" cm="1">
        <f t="array" aca="1" ref="H218" ca="1">IF(OR(B218="",O218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18" s="68" t="str" cm="1">
        <f t="array" aca="1" ref="I218" ca="1">IF(OR(B218="",O218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18" s="68" t="str" cm="1">
        <f t="array" aca="1" ref="J218" ca="1">IF(OR(B218="",O218=""),"",--(SUM(_xlfn.XLOOKUP(_xlfn._xlws.FILTER(_xlfn.TOCOL(_xlfn.CHOOSECOLS(C205:L213,2,4,6,8,10),0,TRUE),_xlfn.TOCOL(_xlfn.CHOOSECOLS(C205:L213,1,3,5,7,9),0,TRUE)&lt;&gt;""),Lists!$AC$2:$AC$9,Lists!$AF$2:$AF$9,0))&gt;SUM(_xlfn.XLOOKUP(_xlfn._xlws.FILTER(_xlfn.TOCOL(_xlfn.CHOOSECOLS(C226:L234,2,4,6,8,10),0,TRUE),_xlfn.TOCOL(_xlfn.CHOOSECOLS(C226:L234,1,3,5,7,9),0,TRUE)&lt;&gt;""),Lists!$AC$2:$AC$9,Lists!$AF$2:$AF$9,0)))*--(ROW()-ROW(C216)=_xlfn.XLOOKUP(MAX(IF(O217:O222&gt;0,INT(C217:C222)*3+MOD(ROUND(C217:C222*10,0),10),-1)),IF(O217:O222&gt;0,INT(C217:C222)*3+MOD(ROUND(C217:C222*10,0),10),-1),_xlfn.SEQUENCE(ROWS(O217:O222)),,0)))</f>
        <v/>
      </c>
      <c r="K218" s="68" t="str" cm="1">
        <f t="array" aca="1" ref="K218" ca="1">IF(OR(B218="",O218=""),"",--(SUM(_xlfn.XLOOKUP(_xlfn._xlws.FILTER(_xlfn.TOCOL(_xlfn.CHOOSECOLS(C205:L213,2,4,6,8,10),0,TRUE),_xlfn.TOCOL(_xlfn.CHOOSECOLS(C205:L213,1,3,5,7,9),0,TRUE)&lt;&gt;""),Lists!$AC$2:$AC$9,Lists!$AF$2:$AF$9,0))&lt;SUM(_xlfn.XLOOKUP(_xlfn._xlws.FILTER(_xlfn.TOCOL(_xlfn.CHOOSECOLS(C226:L234,2,4,6,8,10),0,TRUE),_xlfn.TOCOL(_xlfn.CHOOSECOLS(C226:L234,1,3,5,7,9),0,TRUE)&lt;&gt;""),Lists!$AC$2:$AC$9,Lists!$AF$2:$AF$9,0)))*--(ROW()-ROW(C216)=_xlfn.XLOOKUP(MAX(IF(O217:O222&gt;0,E217:E222,-1)),IF(O217:O222&gt;0,E217:E222,-1),_xlfn.SEQUENCE(ROWS(O217:O222)),,0)))</f>
        <v/>
      </c>
      <c r="L218" s="68" t="str" cm="1">
        <f t="array" aca="1" ref="L218" ca="1">IF(OR(B218="",O218=""),"",--(SUM(_xlfn.XLOOKUP(_xlfn._xlws.FILTER(_xlfn.TOCOL(_xlfn.CHOOSECOLS(C205:L213,2,4,6,8,10),0,TRUE),_xlfn.TOCOL(_xlfn.CHOOSECOLS(C205:L213,1,3,5,7,9),0,TRUE)&lt;&gt;""),Lists!$AC$2:$AC$9,Lists!$AF$2:$AF$9,0))&gt;SUM(_xlfn.XLOOKUP(_xlfn._xlws.FILTER(_xlfn.TOCOL(_xlfn.CHOOSECOLS(C226:L234,2,4,6,8,10),0,TRUE),_xlfn.TOCOL(_xlfn.CHOOSECOLS(C226:L234,1,3,5,7,9),0,TRUE)&lt;&gt;""),Lists!$AC$2:$AC$9,Lists!$AF$2:$AF$9,0)))*--(COUNTIF(O217:O222,"&gt;0")&gt;1)*--(ROW()-ROW(C216)=_xlfn.XLOOKUP(TRUE,O217:O222&gt;0,_xlfn.SEQUENCE(ROWS(O217:O222)),,0,-1))*--(_xlfn.XLOOKUP(TRUE,O217:O222&gt;0,_xlfn.SEQUENCE(ROWS(O217:O222)),,0,-1)&lt;&gt;_xlfn.XLOOKUP(MAX(IF(O217:O222&gt;0,INT(C217:C222)*3+MOD(ROUND(C217:C222*10,0),10),-1)),IF(O217:O222&gt;0,INT(C217:C222)*3+MOD(ROUND(C217:C222*10,0),10),-1),_xlfn.SEQUENCE(ROWS(O217:O222)),,0))*--(SUM(_xlfn.XLOOKUP(_xlfn._xlws.FILTER(_xlfn.TOCOL(_xlfn.CHOOSECOLS(C205:L213,2,4,6,8,10),0,TRUE),_xlfn.TOCOL(_xlfn.CHOOSECOLS(C205:L213,1,3,5,7,9),0,TRUE)&lt;&gt;""),Lists!$AC$2:$AC$9,Lists!$AF$2:$AF$9,0))-SUM(_xlfn.XLOOKUP(_xlfn._xlws.FILTER(_xlfn.TOCOL(_xlfn.CHOOSECOLS(C226:L234,2,4,6,8,10),0,TRUE),_xlfn.TOCOL(_xlfn.CHOOSECOLS(C226:L234,1,3,5,7,9),0,TRUE)&lt;&gt;""),Lists!$AC$2:$AC$9,Lists!$AF$2:$AF$9,0))&lt;=3)*--((INT(C218)*3+MOD(ROUND(C218*10,0),10))&gt;=3))</f>
        <v/>
      </c>
      <c r="M218" s="68" t="str" cm="1">
        <f t="array" aca="1" ref="M218" ca="1">IF(OR(B218="",O218=""),"",--(COUNTIF(O217:O222,"&gt;0")=1)*--(SUM(_xlfn.XLOOKUP(_xlfn._xlws.FILTER(_xlfn.TOCOL(_xlfn.CHOOSECOLS(C226:L234,2,4,6,8,10),0,TRUE),_xlfn.TOCOL(_xlfn.CHOOSECOLS(C226:L234,1,3,5,7,9),0,TRUE)&lt;&gt;""),Lists!$AC$2:$AC$9,Lists!$AF$2:$AF$9,0))=0))</f>
        <v/>
      </c>
      <c r="N218" s="69" t="str">
        <f ca="1">IF(OR(B218="",O218=""),"",--(COUNTIF(O217:O222,"&gt;0")=1))</f>
        <v/>
      </c>
      <c r="O218" s="5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8"/>
    </row>
    <row r="219" spans="1:110">
      <c r="A219" s="168">
        <v>3</v>
      </c>
      <c r="B219" s="71"/>
      <c r="C219" s="70" t="str" cm="1">
        <f t="array" aca="1" ref="C219" ca="1">IF(OR(B219="",O219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19" s="67" t="str" cm="1">
        <f t="array" aca="1" ref="D219" ca="1">IF(OR(B219="",O219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19" s="67" t="str" cm="1">
        <f t="array" aca="1" ref="E219" ca="1">IF(OR(B219="",O219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219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19" s="67" t="str" cm="1">
        <f t="array" aca="1" ref="F219" ca="1">IF(OR(B219="",O219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219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19" s="67" t="str" cm="1">
        <f t="array" aca="1" ref="G219" ca="1">IF(OR(B219="",O219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19" s="67" t="str" cm="1">
        <f t="array" aca="1" ref="H219" ca="1">IF(OR(B219="",O219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19" s="68" t="str" cm="1">
        <f t="array" aca="1" ref="I219" ca="1">IF(OR(B219="",O219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219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19" s="68" t="str" cm="1">
        <f t="array" aca="1" ref="J219" ca="1">IF(OR(B219="",O219=""),"",--(SUM(_xlfn.XLOOKUP(_xlfn._xlws.FILTER(_xlfn.TOCOL(_xlfn.CHOOSECOLS(C205:L213,2,4,6,8,10),0,TRUE),_xlfn.TOCOL(_xlfn.CHOOSECOLS(C205:L213,1,3,5,7,9),0,TRUE)&lt;&gt;""),Lists!$AC$2:$AC$9,Lists!$AF$2:$AF$9,0))&gt;SUM(_xlfn.XLOOKUP(_xlfn._xlws.FILTER(_xlfn.TOCOL(_xlfn.CHOOSECOLS(C226:L234,2,4,6,8,10),0,TRUE),_xlfn.TOCOL(_xlfn.CHOOSECOLS(C226:L234,1,3,5,7,9),0,TRUE)&lt;&gt;""),Lists!$AC$2:$AC$9,Lists!$AF$2:$AF$9,0)))*--(ROW()-ROW(C216)=_xlfn.XLOOKUP(MAX(IF(O217:O222&gt;0,INT(C217:C222)*3+MOD(ROUND(C217:C222*10,0),10),-1)),IF(O217:O222&gt;0,INT(C217:C222)*3+MOD(ROUND(C217:C222*10,0),10),-1),_xlfn.SEQUENCE(ROWS(O217:O222)),,0)))</f>
        <v/>
      </c>
      <c r="K219" s="68" t="str" cm="1">
        <f t="array" aca="1" ref="K219" ca="1">IF(OR(B219="",O219=""),"",--(SUM(_xlfn.XLOOKUP(_xlfn._xlws.FILTER(_xlfn.TOCOL(_xlfn.CHOOSECOLS(C205:L213,2,4,6,8,10),0,TRUE),_xlfn.TOCOL(_xlfn.CHOOSECOLS(C205:L213,1,3,5,7,9),0,TRUE)&lt;&gt;""),Lists!$AC$2:$AC$9,Lists!$AF$2:$AF$9,0))&lt;SUM(_xlfn.XLOOKUP(_xlfn._xlws.FILTER(_xlfn.TOCOL(_xlfn.CHOOSECOLS(C226:L234,2,4,6,8,10),0,TRUE),_xlfn.TOCOL(_xlfn.CHOOSECOLS(C226:L234,1,3,5,7,9),0,TRUE)&lt;&gt;""),Lists!$AC$2:$AC$9,Lists!$AF$2:$AF$9,0)))*--(ROW()-ROW(C216)=_xlfn.XLOOKUP(MAX(IF(O217:O222&gt;0,E217:E222,-1)),IF(O217:O222&gt;0,E217:E222,-1),_xlfn.SEQUENCE(ROWS(O217:O222)),,0)))</f>
        <v/>
      </c>
      <c r="L219" s="68" t="str" cm="1">
        <f t="array" aca="1" ref="L219" ca="1">IF(OR(B219="",O219=""),"",--(SUM(_xlfn.XLOOKUP(_xlfn._xlws.FILTER(_xlfn.TOCOL(_xlfn.CHOOSECOLS(C205:L213,2,4,6,8,10),0,TRUE),_xlfn.TOCOL(_xlfn.CHOOSECOLS(C205:L213,1,3,5,7,9),0,TRUE)&lt;&gt;""),Lists!$AC$2:$AC$9,Lists!$AF$2:$AF$9,0))&gt;SUM(_xlfn.XLOOKUP(_xlfn._xlws.FILTER(_xlfn.TOCOL(_xlfn.CHOOSECOLS(C226:L234,2,4,6,8,10),0,TRUE),_xlfn.TOCOL(_xlfn.CHOOSECOLS(C226:L234,1,3,5,7,9),0,TRUE)&lt;&gt;""),Lists!$AC$2:$AC$9,Lists!$AF$2:$AF$9,0)))*--(COUNTIF(O217:O222,"&gt;0")&gt;1)*--(ROW()-ROW(C216)=_xlfn.XLOOKUP(TRUE,O217:O222&gt;0,_xlfn.SEQUENCE(ROWS(O217:O222)),,0,-1))*--(_xlfn.XLOOKUP(TRUE,O217:O222&gt;0,_xlfn.SEQUENCE(ROWS(O217:O222)),,0,-1)&lt;&gt;_xlfn.XLOOKUP(MAX(IF(O217:O222&gt;0,INT(C217:C222)*3+MOD(ROUND(C217:C222*10,0),10),-1)),IF(O217:O222&gt;0,INT(C217:C222)*3+MOD(ROUND(C217:C222*10,0),10),-1),_xlfn.SEQUENCE(ROWS(O217:O222)),,0))*--(SUM(_xlfn.XLOOKUP(_xlfn._xlws.FILTER(_xlfn.TOCOL(_xlfn.CHOOSECOLS(C205:L213,2,4,6,8,10),0,TRUE),_xlfn.TOCOL(_xlfn.CHOOSECOLS(C205:L213,1,3,5,7,9),0,TRUE)&lt;&gt;""),Lists!$AC$2:$AC$9,Lists!$AF$2:$AF$9,0))-SUM(_xlfn.XLOOKUP(_xlfn._xlws.FILTER(_xlfn.TOCOL(_xlfn.CHOOSECOLS(C226:L234,2,4,6,8,10),0,TRUE),_xlfn.TOCOL(_xlfn.CHOOSECOLS(C226:L234,1,3,5,7,9),0,TRUE)&lt;&gt;""),Lists!$AC$2:$AC$9,Lists!$AF$2:$AF$9,0))&lt;=3)*--((INT(C219)*3+MOD(ROUND(C219*10,0),10))&gt;=3))</f>
        <v/>
      </c>
      <c r="M219" s="68" t="str" cm="1">
        <f t="array" aca="1" ref="M219" ca="1">IF(OR(B219="",O219=""),"",--(COUNTIF(O217:O222,"&gt;0")=1)*--(SUM(_xlfn.XLOOKUP(_xlfn._xlws.FILTER(_xlfn.TOCOL(_xlfn.CHOOSECOLS(C226:L234,2,4,6,8,10),0,TRUE),_xlfn.TOCOL(_xlfn.CHOOSECOLS(C226:L234,1,3,5,7,9),0,TRUE)&lt;&gt;""),Lists!$AC$2:$AC$9,Lists!$AF$2:$AF$9,0))=0))</f>
        <v/>
      </c>
      <c r="N219" s="69" t="str">
        <f ca="1">IF(OR(B219="",O219=""),"",--(COUNTIF(O217:O222,"&gt;0")=1))</f>
        <v/>
      </c>
      <c r="O219" s="5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8"/>
    </row>
    <row r="220" spans="1:110">
      <c r="A220" s="168">
        <v>4</v>
      </c>
      <c r="B220" s="71"/>
      <c r="C220" s="70" t="str" cm="1">
        <f t="array" aca="1" ref="C220" ca="1">IF(OR(B220="",O220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20" s="67" t="str" cm="1">
        <f t="array" aca="1" ref="D220" ca="1">IF(OR(B220="",O220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20" s="67" t="str" cm="1">
        <f t="array" aca="1" ref="E220" ca="1">IF(OR(B220="",O220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220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20" s="67" t="str" cm="1">
        <f t="array" aca="1" ref="F220" ca="1">IF(OR(B220="",O220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220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20" s="67" t="str" cm="1">
        <f t="array" aca="1" ref="G220" ca="1">IF(OR(B220="",O220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20" s="67" t="str" cm="1">
        <f t="array" aca="1" ref="H220" ca="1">IF(OR(B220="",O220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20" s="68" t="str" cm="1">
        <f t="array" aca="1" ref="I220" ca="1">IF(OR(B220="",O220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20" s="68" t="str" cm="1">
        <f t="array" aca="1" ref="J220" ca="1">IF(OR(B220="",O220=""),"",--(SUM(_xlfn.XLOOKUP(_xlfn._xlws.FILTER(_xlfn.TOCOL(_xlfn.CHOOSECOLS(C205:L213,2,4,6,8,10),0,TRUE),_xlfn.TOCOL(_xlfn.CHOOSECOLS(C205:L213,1,3,5,7,9),0,TRUE)&lt;&gt;""),Lists!$AC$2:$AC$9,Lists!$AF$2:$AF$9,0))&gt;SUM(_xlfn.XLOOKUP(_xlfn._xlws.FILTER(_xlfn.TOCOL(_xlfn.CHOOSECOLS(C226:L234,2,4,6,8,10),0,TRUE),_xlfn.TOCOL(_xlfn.CHOOSECOLS(C226:L234,1,3,5,7,9),0,TRUE)&lt;&gt;""),Lists!$AC$2:$AC$9,Lists!$AF$2:$AF$9,0)))*--(ROW()-ROW(C216)=_xlfn.XLOOKUP(MAX(IF(O217:O222&gt;0,INT(C217:C222)*3+MOD(ROUND(C217:C222*10,0),10),-1)),IF(O217:O222&gt;0,INT(C217:C222)*3+MOD(ROUND(C217:C222*10,0),10),-1),_xlfn.SEQUENCE(ROWS(O217:O222)),,0)))</f>
        <v/>
      </c>
      <c r="K220" s="68" t="str" cm="1">
        <f t="array" aca="1" ref="K220" ca="1">IF(OR(B220="",O220=""),"",--(SUM(_xlfn.XLOOKUP(_xlfn._xlws.FILTER(_xlfn.TOCOL(_xlfn.CHOOSECOLS(C205:L213,2,4,6,8,10),0,TRUE),_xlfn.TOCOL(_xlfn.CHOOSECOLS(C205:L213,1,3,5,7,9),0,TRUE)&lt;&gt;""),Lists!$AC$2:$AC$9,Lists!$AF$2:$AF$9,0))&lt;SUM(_xlfn.XLOOKUP(_xlfn._xlws.FILTER(_xlfn.TOCOL(_xlfn.CHOOSECOLS(C226:L234,2,4,6,8,10),0,TRUE),_xlfn.TOCOL(_xlfn.CHOOSECOLS(C226:L234,1,3,5,7,9),0,TRUE)&lt;&gt;""),Lists!$AC$2:$AC$9,Lists!$AF$2:$AF$9,0)))*--(ROW()-ROW(C216)=_xlfn.XLOOKUP(MAX(IF(O217:O222&gt;0,E217:E222,-1)),IF(O217:O222&gt;0,E217:E222,-1),_xlfn.SEQUENCE(ROWS(O217:O222)),,0)))</f>
        <v/>
      </c>
      <c r="L220" s="68" t="str" cm="1">
        <f t="array" aca="1" ref="L220" ca="1">IF(OR(B220="",O220=""),"",--(SUM(_xlfn.XLOOKUP(_xlfn._xlws.FILTER(_xlfn.TOCOL(_xlfn.CHOOSECOLS(C205:L213,2,4,6,8,10),0,TRUE),_xlfn.TOCOL(_xlfn.CHOOSECOLS(C205:L213,1,3,5,7,9),0,TRUE)&lt;&gt;""),Lists!$AC$2:$AC$9,Lists!$AF$2:$AF$9,0))&gt;SUM(_xlfn.XLOOKUP(_xlfn._xlws.FILTER(_xlfn.TOCOL(_xlfn.CHOOSECOLS(C226:L234,2,4,6,8,10),0,TRUE),_xlfn.TOCOL(_xlfn.CHOOSECOLS(C226:L234,1,3,5,7,9),0,TRUE)&lt;&gt;""),Lists!$AC$2:$AC$9,Lists!$AF$2:$AF$9,0)))*--(COUNTIF(O217:O222,"&gt;0")&gt;1)*--(ROW()-ROW(C216)=_xlfn.XLOOKUP(TRUE,O217:O222&gt;0,_xlfn.SEQUENCE(ROWS(O217:O222)),,0,-1))*--(_xlfn.XLOOKUP(TRUE,O217:O222&gt;0,_xlfn.SEQUENCE(ROWS(O217:O222)),,0,-1)&lt;&gt;_xlfn.XLOOKUP(MAX(IF(O217:O222&gt;0,INT(C217:C222)*3+MOD(ROUND(C217:C222*10,0),10),-1)),IF(O217:O222&gt;0,INT(C217:C222)*3+MOD(ROUND(C217:C222*10,0),10),-1),_xlfn.SEQUENCE(ROWS(O217:O222)),,0))*--(SUM(_xlfn.XLOOKUP(_xlfn._xlws.FILTER(_xlfn.TOCOL(_xlfn.CHOOSECOLS(C205:L213,2,4,6,8,10),0,TRUE),_xlfn.TOCOL(_xlfn.CHOOSECOLS(C205:L213,1,3,5,7,9),0,TRUE)&lt;&gt;""),Lists!$AC$2:$AC$9,Lists!$AF$2:$AF$9,0))-SUM(_xlfn.XLOOKUP(_xlfn._xlws.FILTER(_xlfn.TOCOL(_xlfn.CHOOSECOLS(C226:L234,2,4,6,8,10),0,TRUE),_xlfn.TOCOL(_xlfn.CHOOSECOLS(C226:L234,1,3,5,7,9),0,TRUE)&lt;&gt;""),Lists!$AC$2:$AC$9,Lists!$AF$2:$AF$9,0))&lt;=3)*--((INT(C220)*3+MOD(ROUND(C220*10,0),10))&gt;=3))</f>
        <v/>
      </c>
      <c r="M220" s="68" t="str" cm="1">
        <f t="array" aca="1" ref="M220" ca="1">IF(OR(B220="",O220=""),"",--(COUNTIF(O217:O222,"&gt;0")=1)*--(SUM(_xlfn.XLOOKUP(_xlfn._xlws.FILTER(_xlfn.TOCOL(_xlfn.CHOOSECOLS(C226:L234,2,4,6,8,10),0,TRUE),_xlfn.TOCOL(_xlfn.CHOOSECOLS(C226:L234,1,3,5,7,9),0,TRUE)&lt;&gt;""),Lists!$AC$2:$AC$9,Lists!$AF$2:$AF$9,0))=0))</f>
        <v/>
      </c>
      <c r="N220" s="69" t="str">
        <f ca="1">IF(OR(B220="",O220=""),"",--(COUNTIF(O217:O222,"&gt;0")=1))</f>
        <v/>
      </c>
      <c r="O220" s="5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</row>
    <row r="221" spans="1:110">
      <c r="A221" s="168">
        <v>5</v>
      </c>
      <c r="B221" s="71"/>
      <c r="C221" s="70" t="str" cm="1">
        <f t="array" aca="1" ref="C221" ca="1">IF(OR(B221="",O221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21" s="67" t="str" cm="1">
        <f t="array" aca="1" ref="D221" ca="1">IF(OR(B221="",O221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21" s="67" t="str" cm="1">
        <f t="array" aca="1" ref="E221" ca="1">IF(OR(B221="",O221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21" s="67" t="str" cm="1">
        <f t="array" aca="1" ref="F221" ca="1">IF(OR(B221="",O221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21" s="67" t="str" cm="1">
        <f t="array" aca="1" ref="G221" ca="1">IF(OR(B221="",O221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21" s="67" t="str" cm="1">
        <f t="array" aca="1" ref="H221" ca="1">IF(OR(B221="",O221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21" s="68" t="str" cm="1">
        <f t="array" aca="1" ref="I221" ca="1">IF(OR(B221="",O221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21" s="68" t="str" cm="1">
        <f t="array" aca="1" ref="J221" ca="1">IF(OR(B221="",O221=""),"",--(SUM(_xlfn.XLOOKUP(_xlfn._xlws.FILTER(_xlfn.TOCOL(_xlfn.CHOOSECOLS(C205:L213,2,4,6,8,10),0,TRUE),_xlfn.TOCOL(_xlfn.CHOOSECOLS(C205:L213,1,3,5,7,9),0,TRUE)&lt;&gt;""),Lists!$AC$2:$AC$9,Lists!$AF$2:$AF$9,0))&gt;SUM(_xlfn.XLOOKUP(_xlfn._xlws.FILTER(_xlfn.TOCOL(_xlfn.CHOOSECOLS(C226:L234,2,4,6,8,10),0,TRUE),_xlfn.TOCOL(_xlfn.CHOOSECOLS(C226:L234,1,3,5,7,9),0,TRUE)&lt;&gt;""),Lists!$AC$2:$AC$9,Lists!$AF$2:$AF$9,0)))*--(ROW()-ROW(C216)=_xlfn.XLOOKUP(MAX(IF(O217:O222&gt;0,INT(C217:C222)*3+MOD(ROUND(C217:C222*10,0),10),-1)),IF(O217:O222&gt;0,INT(C217:C222)*3+MOD(ROUND(C217:C222*10,0),10),-1),_xlfn.SEQUENCE(ROWS(O217:O222)),,0)))</f>
        <v/>
      </c>
      <c r="K221" s="68" t="str" cm="1">
        <f t="array" aca="1" ref="K221" ca="1">IF(OR(B221="",O221=""),"",--(SUM(_xlfn.XLOOKUP(_xlfn._xlws.FILTER(_xlfn.TOCOL(_xlfn.CHOOSECOLS(C205:L213,2,4,6,8,10),0,TRUE),_xlfn.TOCOL(_xlfn.CHOOSECOLS(C205:L213,1,3,5,7,9),0,TRUE)&lt;&gt;""),Lists!$AC$2:$AC$9,Lists!$AF$2:$AF$9,0))&lt;SUM(_xlfn.XLOOKUP(_xlfn._xlws.FILTER(_xlfn.TOCOL(_xlfn.CHOOSECOLS(C226:L234,2,4,6,8,10),0,TRUE),_xlfn.TOCOL(_xlfn.CHOOSECOLS(C226:L234,1,3,5,7,9),0,TRUE)&lt;&gt;""),Lists!$AC$2:$AC$9,Lists!$AF$2:$AF$9,0)))*--(ROW()-ROW(C216)=_xlfn.XLOOKUP(MAX(IF(O217:O222&gt;0,E217:E222,-1)),IF(O217:O222&gt;0,E217:E222,-1),_xlfn.SEQUENCE(ROWS(O217:O222)),,0)))</f>
        <v/>
      </c>
      <c r="L221" s="68" t="str" cm="1">
        <f t="array" aca="1" ref="L221" ca="1">IF(OR(B221="",O221=""),"",--(SUM(_xlfn.XLOOKUP(_xlfn._xlws.FILTER(_xlfn.TOCOL(_xlfn.CHOOSECOLS(C205:L213,2,4,6,8,10),0,TRUE),_xlfn.TOCOL(_xlfn.CHOOSECOLS(C205:L213,1,3,5,7,9),0,TRUE)&lt;&gt;""),Lists!$AC$2:$AC$9,Lists!$AF$2:$AF$9,0))&gt;SUM(_xlfn.XLOOKUP(_xlfn._xlws.FILTER(_xlfn.TOCOL(_xlfn.CHOOSECOLS(C226:L234,2,4,6,8,10),0,TRUE),_xlfn.TOCOL(_xlfn.CHOOSECOLS(C226:L234,1,3,5,7,9),0,TRUE)&lt;&gt;""),Lists!$AC$2:$AC$9,Lists!$AF$2:$AF$9,0)))*--(COUNTIF(O217:O222,"&gt;0")&gt;1)*--(ROW()-ROW(C216)=_xlfn.XLOOKUP(TRUE,O217:O222&gt;0,_xlfn.SEQUENCE(ROWS(O217:O222)),,0,-1))*--(_xlfn.XLOOKUP(TRUE,O217:O222&gt;0,_xlfn.SEQUENCE(ROWS(O217:O222)),,0,-1)&lt;&gt;_xlfn.XLOOKUP(MAX(IF(O217:O222&gt;0,INT(C217:C222)*3+MOD(ROUND(C217:C222*10,0),10),-1)),IF(O217:O222&gt;0,INT(C217:C222)*3+MOD(ROUND(C217:C222*10,0),10),-1),_xlfn.SEQUENCE(ROWS(O217:O222)),,0))*--(SUM(_xlfn.XLOOKUP(_xlfn._xlws.FILTER(_xlfn.TOCOL(_xlfn.CHOOSECOLS(C205:L213,2,4,6,8,10),0,TRUE),_xlfn.TOCOL(_xlfn.CHOOSECOLS(C205:L213,1,3,5,7,9),0,TRUE)&lt;&gt;""),Lists!$AC$2:$AC$9,Lists!$AF$2:$AF$9,0))-SUM(_xlfn.XLOOKUP(_xlfn._xlws.FILTER(_xlfn.TOCOL(_xlfn.CHOOSECOLS(C226:L234,2,4,6,8,10),0,TRUE),_xlfn.TOCOL(_xlfn.CHOOSECOLS(C226:L234,1,3,5,7,9),0,TRUE)&lt;&gt;""),Lists!$AC$2:$AC$9,Lists!$AF$2:$AF$9,0))&lt;=3)*--((INT(C221)*3+MOD(ROUND(C221*10,0),10))&gt;=3))</f>
        <v/>
      </c>
      <c r="M221" s="68" t="str" cm="1">
        <f t="array" aca="1" ref="M221" ca="1">IF(OR(B221="",O221=""),"",--(COUNTIF(O217:O222,"&gt;0")=1)*--(SUM(_xlfn.XLOOKUP(_xlfn._xlws.FILTER(_xlfn.TOCOL(_xlfn.CHOOSECOLS(C226:L234,2,4,6,8,10),0,TRUE),_xlfn.TOCOL(_xlfn.CHOOSECOLS(C226:L234,1,3,5,7,9),0,TRUE)&lt;&gt;""),Lists!$AC$2:$AC$9,Lists!$AF$2:$AF$9,0))=0))</f>
        <v/>
      </c>
      <c r="N221" s="69" t="str">
        <f ca="1">IF(OR(B221="",O221=""),"",--(COUNTIF(O217:O222,"&gt;0")=1))</f>
        <v/>
      </c>
      <c r="O221" s="5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</row>
    <row r="222" spans="1:110">
      <c r="A222" s="168">
        <v>6</v>
      </c>
      <c r="B222" s="71"/>
      <c r="C222" s="70" t="str" cm="1">
        <f t="array" aca="1" ref="C222" ca="1">IF(OR(B222="",O222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22" s="67" t="str" cm="1">
        <f t="array" aca="1" ref="D222" ca="1">IF(OR(B222="",O222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22" s="67" t="str" cm="1">
        <f t="array" aca="1" ref="E222" ca="1">IF(OR(B222="",O222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22" s="67" t="str" cm="1">
        <f t="array" aca="1" ref="F222" ca="1">IF(OR(B222="",O222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22" s="67" t="str" cm="1">
        <f t="array" aca="1" ref="G222" ca="1">IF(OR(B222="",O222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22" s="67" t="str" cm="1">
        <f t="array" aca="1" ref="H222" ca="1">IF(OR(B222="",O222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22" s="68" t="str" cm="1">
        <f t="array" aca="1" ref="I222" ca="1">IF(OR(B222="",O222=""),"",_xlfn.LET(_xlpm.flatPAraw,_xlfn.TOCOL(_xlfn.CHOOSECOLS(C226:L234,1,3,5,7,9),0,TRUE),_xlpm.flatPARraw,_xlfn.TOCOL(_xlfn.CHOOSECOLS(C226:L234,2,4,6,8,10),0,TRUE),_xlpm.flatPA,_xlfn._xlws.FILTER(_xlpm.flatPAraw,_xlpm.flatPAraw&lt;&gt;""),_xlpm.flatPAR,_xlfn._xlws.FILTER(_xlpm.flatPARraw,_xlpm.flatPAraw&lt;&gt;""),_xlpm.prev,IF(ROW()=ROW(C217),0,SUM(INDEX(O:O,ROW(C217)):INDEX(O:O,ROW()-1))),_xlpm.need,O222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22" s="68" t="str" cm="1">
        <f t="array" aca="1" ref="J222" ca="1">IF(OR(B222="",O222=""),"",--(SUM(_xlfn.XLOOKUP(_xlfn._xlws.FILTER(_xlfn.TOCOL(_xlfn.CHOOSECOLS(C205:L213,2,4,6,8,10),0,TRUE),_xlfn.TOCOL(_xlfn.CHOOSECOLS(C205:L213,1,3,5,7,9),0,TRUE)&lt;&gt;""),Lists!$AC$2:$AC$9,Lists!$AF$2:$AF$9,0))&gt;SUM(_xlfn.XLOOKUP(_xlfn._xlws.FILTER(_xlfn.TOCOL(_xlfn.CHOOSECOLS(C226:L234,2,4,6,8,10),0,TRUE),_xlfn.TOCOL(_xlfn.CHOOSECOLS(C226:L234,1,3,5,7,9),0,TRUE)&lt;&gt;""),Lists!$AC$2:$AC$9,Lists!$AF$2:$AF$9,0)))*--(ROW()-ROW(C216)=_xlfn.XLOOKUP(MAX(IF(O217:O222&gt;0,INT(C217:C222)*3+MOD(ROUND(C217:C222*10,0),10),-1)),IF(O217:O222&gt;0,INT(C217:C222)*3+MOD(ROUND(C217:C222*10,0),10),-1),_xlfn.SEQUENCE(ROWS(O217:O222)),,0)))</f>
        <v/>
      </c>
      <c r="K222" s="68" t="str" cm="1">
        <f t="array" aca="1" ref="K222" ca="1">IF(OR(B222="",O222=""),"",--(SUM(_xlfn.XLOOKUP(_xlfn._xlws.FILTER(_xlfn.TOCOL(_xlfn.CHOOSECOLS(C205:L213,2,4,6,8,10),0,TRUE),_xlfn.TOCOL(_xlfn.CHOOSECOLS(C205:L213,1,3,5,7,9),0,TRUE)&lt;&gt;""),Lists!$AC$2:$AC$9,Lists!$AF$2:$AF$9,0))&lt;SUM(_xlfn.XLOOKUP(_xlfn._xlws.FILTER(_xlfn.TOCOL(_xlfn.CHOOSECOLS(C226:L234,2,4,6,8,10),0,TRUE),_xlfn.TOCOL(_xlfn.CHOOSECOLS(C226:L234,1,3,5,7,9),0,TRUE)&lt;&gt;""),Lists!$AC$2:$AC$9,Lists!$AF$2:$AF$9,0)))*--(ROW()-ROW(C216)=_xlfn.XLOOKUP(MAX(IF(O217:O222&gt;0,E217:E222,-1)),IF(O217:O222&gt;0,E217:E222,-1),_xlfn.SEQUENCE(ROWS(O217:O222)),,0)))</f>
        <v/>
      </c>
      <c r="L222" s="68" t="str" cm="1">
        <f t="array" aca="1" ref="L222" ca="1">IF(OR(B222="",O222=""),"",--(SUM(_xlfn.XLOOKUP(_xlfn._xlws.FILTER(_xlfn.TOCOL(_xlfn.CHOOSECOLS(C205:L213,2,4,6,8,10),0,TRUE),_xlfn.TOCOL(_xlfn.CHOOSECOLS(C205:L213,1,3,5,7,9),0,TRUE)&lt;&gt;""),Lists!$AC$2:$AC$9,Lists!$AF$2:$AF$9,0))&gt;SUM(_xlfn.XLOOKUP(_xlfn._xlws.FILTER(_xlfn.TOCOL(_xlfn.CHOOSECOLS(C226:L234,2,4,6,8,10),0,TRUE),_xlfn.TOCOL(_xlfn.CHOOSECOLS(C226:L234,1,3,5,7,9),0,TRUE)&lt;&gt;""),Lists!$AC$2:$AC$9,Lists!$AF$2:$AF$9,0)))*--(COUNTIF(O217:O222,"&gt;0")&gt;1)*--(ROW()-ROW(C216)=_xlfn.XLOOKUP(TRUE,O217:O222&gt;0,_xlfn.SEQUENCE(ROWS(O217:O222)),,0,-1))*--(_xlfn.XLOOKUP(TRUE,O217:O222&gt;0,_xlfn.SEQUENCE(ROWS(O217:O222)),,0,-1)&lt;&gt;_xlfn.XLOOKUP(MAX(IF(O217:O222&gt;0,INT(C217:C222)*3+MOD(ROUND(C217:C222*10,0),10),-1)),IF(O217:O222&gt;0,INT(C217:C222)*3+MOD(ROUND(C217:C222*10,0),10),-1),_xlfn.SEQUENCE(ROWS(O217:O222)),,0))*--(SUM(_xlfn.XLOOKUP(_xlfn._xlws.FILTER(_xlfn.TOCOL(_xlfn.CHOOSECOLS(C205:L213,2,4,6,8,10),0,TRUE),_xlfn.TOCOL(_xlfn.CHOOSECOLS(C205:L213,1,3,5,7,9),0,TRUE)&lt;&gt;""),Lists!$AC$2:$AC$9,Lists!$AF$2:$AF$9,0))-SUM(_xlfn.XLOOKUP(_xlfn._xlws.FILTER(_xlfn.TOCOL(_xlfn.CHOOSECOLS(C226:L234,2,4,6,8,10),0,TRUE),_xlfn.TOCOL(_xlfn.CHOOSECOLS(C226:L234,1,3,5,7,9),0,TRUE)&lt;&gt;""),Lists!$AC$2:$AC$9,Lists!$AF$2:$AF$9,0))&lt;=3)*--((INT(C222)*3+MOD(ROUND(C222*10,0),10))&gt;=3))</f>
        <v/>
      </c>
      <c r="M222" s="68" t="str" cm="1">
        <f t="array" aca="1" ref="M222" ca="1">IF(OR(B222="",O222=""),"",--(COUNTIF(O217:O222,"&gt;0")=1)*--(SUM(_xlfn.XLOOKUP(_xlfn._xlws.FILTER(_xlfn.TOCOL(_xlfn.CHOOSECOLS(C226:L234,2,4,6,8,10),0,TRUE),_xlfn.TOCOL(_xlfn.CHOOSECOLS(C226:L234,1,3,5,7,9),0,TRUE)&lt;&gt;""),Lists!$AC$2:$AC$9,Lists!$AF$2:$AF$9,0))=0))</f>
        <v/>
      </c>
      <c r="N222" s="69" t="str">
        <f ca="1">IF(OR(B222="",O222=""),"",--(COUNTIF(O217:O222,"&gt;0")=1))</f>
        <v/>
      </c>
      <c r="O222" s="5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</row>
    <row r="223" spans="1:110">
      <c r="A223" s="173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3"/>
      <c r="Q223" s="53"/>
      <c r="R223" s="53"/>
      <c r="S223" s="53"/>
      <c r="T223" s="53"/>
      <c r="U223" s="53"/>
      <c r="V223" s="53"/>
      <c r="W223" s="53"/>
      <c r="X223" s="53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</row>
    <row r="224" spans="1:110">
      <c r="A224" s="205" t="str">
        <f ca="1">IF($R$198="","Team B Batting",$R$198&amp;" Batting")</f>
        <v>Justin Batting</v>
      </c>
      <c r="B224" s="206"/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06"/>
      <c r="O224" s="181"/>
      <c r="P224" s="182"/>
      <c r="Q224" s="182"/>
      <c r="R224" s="182"/>
      <c r="S224" s="182"/>
      <c r="T224" s="182"/>
      <c r="U224" s="182"/>
      <c r="V224" s="182"/>
      <c r="W224" s="182"/>
      <c r="X224" s="182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</row>
    <row r="225" spans="1:110">
      <c r="A225" s="167" t="s">
        <v>164</v>
      </c>
      <c r="B225" s="43" t="s">
        <v>39</v>
      </c>
      <c r="C225" s="43" t="s">
        <v>165</v>
      </c>
      <c r="D225" s="43" t="s">
        <v>166</v>
      </c>
      <c r="E225" s="43" t="s">
        <v>167</v>
      </c>
      <c r="F225" s="43" t="s">
        <v>168</v>
      </c>
      <c r="G225" s="43" t="s">
        <v>169</v>
      </c>
      <c r="H225" s="43" t="s">
        <v>170</v>
      </c>
      <c r="I225" s="43" t="s">
        <v>171</v>
      </c>
      <c r="J225" s="43" t="s">
        <v>172</v>
      </c>
      <c r="K225" s="43" t="s">
        <v>173</v>
      </c>
      <c r="L225" s="43" t="s">
        <v>174</v>
      </c>
      <c r="M225" s="43" t="s">
        <v>175</v>
      </c>
      <c r="N225" s="44" t="s">
        <v>161</v>
      </c>
      <c r="O225" s="44" t="s">
        <v>162</v>
      </c>
      <c r="P225" s="44" t="s">
        <v>176</v>
      </c>
      <c r="Q225" s="44" t="s">
        <v>177</v>
      </c>
      <c r="R225" s="44" t="s">
        <v>178</v>
      </c>
      <c r="S225" s="44" t="s">
        <v>179</v>
      </c>
      <c r="T225" s="44" t="s">
        <v>180</v>
      </c>
      <c r="U225" s="44" t="s">
        <v>181</v>
      </c>
      <c r="V225" s="44" t="s">
        <v>182</v>
      </c>
      <c r="W225" s="44" t="s">
        <v>183</v>
      </c>
      <c r="X225" s="45" t="s">
        <v>184</v>
      </c>
      <c r="Y225" s="45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</row>
    <row r="226" spans="1:110">
      <c r="A226" s="168">
        <v>1</v>
      </c>
      <c r="B226" s="47" t="str">
        <f ca="1">Lineups!$H$61</f>
        <v>Bowser Jr.</v>
      </c>
      <c r="C226" s="49" t="s">
        <v>185</v>
      </c>
      <c r="D226" s="49"/>
      <c r="E226" s="49" t="s">
        <v>186</v>
      </c>
      <c r="F226" s="49"/>
      <c r="G226" s="49"/>
      <c r="H226" s="50"/>
      <c r="I226" s="50"/>
      <c r="J226" s="50"/>
      <c r="K226" s="50"/>
      <c r="L226" s="50"/>
      <c r="M226" s="67">
        <f ca="1">IF($B226="","",SUM(_xlfn.XLOOKUP(C226,Lists!$P$2:$P$19,Lists!$R$2:$R$19,0),_xlfn.XLOOKUP(E226,Lists!$P$2:$P$19,Lists!$R$2:$R$19,0),_xlfn.XLOOKUP(G226,Lists!$P$2:$P$19,Lists!$R$2:$R$19,0),_xlfn.XLOOKUP(I226,Lists!$P$2:$P$19,Lists!$R$2:$R$19,0),_xlfn.XLOOKUP(K226,Lists!$P$2:$P$19,Lists!$R$2:$R$19,0)))</f>
        <v>2</v>
      </c>
      <c r="N226" s="68">
        <f ca="1">IF($B226="","",SUM(_xlfn.XLOOKUP(D226,Lists!$AC$2:$AC$9,Lists!$AE$2:$AE$9,0),_xlfn.XLOOKUP(F226,Lists!$AC$2:$AC$9,Lists!$AE$2:$AE$9,0),_xlfn.XLOOKUP(H226,Lists!$AC$2:$AC$9,Lists!$AE$2:$AE$9,0),_xlfn.XLOOKUP(J226,Lists!$AC$2:$AC$9,Lists!$AE$2:$AE$9,0),_xlfn.XLOOKUP(L226,Lists!$AC$2:$AC$9,Lists!$AE$2:$AE$9,0)))</f>
        <v>0</v>
      </c>
      <c r="O226" s="68">
        <f ca="1">IF($B226="","",SUM(_xlfn.XLOOKUP(C226,Lists!$P$2:$P$19,Lists!$S$2:$S$19,0),_xlfn.XLOOKUP(E226,Lists!$P$2:$P$19,Lists!$S$2:$S$19,0),_xlfn.XLOOKUP(G226,Lists!$P$2:$P$19,Lists!$S$2:$S$19,0),_xlfn.XLOOKUP(I226,Lists!$P$2:$P$19,Lists!$S$2:$S$19,0),_xlfn.XLOOKUP(K226,Lists!$P$2:$P$19,Lists!$S$2:$S$19,0)))</f>
        <v>0</v>
      </c>
      <c r="P226" s="68">
        <f ca="1">IF($B226="","",SUM(_xlfn.XLOOKUP(C226,Lists!$P$2:$P$19,Lists!$T$2:$T$19,0),_xlfn.XLOOKUP(E226,Lists!$P$2:$P$19,Lists!$T$2:$T$19,0),_xlfn.XLOOKUP(G226,Lists!$P$2:$P$19,Lists!$T$2:$T$19,0),_xlfn.XLOOKUP(I226,Lists!$P$2:$P$19,Lists!$T$2:$T$19,0),_xlfn.XLOOKUP(K226,Lists!$P$2:$P$19,Lists!$T$2:$T$19,0)))</f>
        <v>0</v>
      </c>
      <c r="Q226" s="68">
        <f ca="1">IF($B226="","",SUM(_xlfn.XLOOKUP(C226,Lists!$P$2:$P$19,Lists!$U$2:$U$19,0),_xlfn.XLOOKUP(E226,Lists!$P$2:$P$19,Lists!$U$2:$U$19,0),_xlfn.XLOOKUP(G226,Lists!$P$2:$P$19,Lists!$U$2:$U$19,0),_xlfn.XLOOKUP(I226,Lists!$P$2:$P$19,Lists!$U$2:$U$19,0),_xlfn.XLOOKUP(K226,Lists!$P$2:$P$19,Lists!$U$2:$U$19,0)))</f>
        <v>0</v>
      </c>
      <c r="R226" s="68">
        <f ca="1">IF($B226="","",SUM(_xlfn.XLOOKUP(C226,Lists!$P$2:$P$19,Lists!$V$2:$V$19,0),_xlfn.XLOOKUP(E226,Lists!$P$2:$P$19,Lists!$V$2:$V$19,0),_xlfn.XLOOKUP(G226,Lists!$P$2:$P$19,Lists!$V$2:$V$19,0),_xlfn.XLOOKUP(I226,Lists!$P$2:$P$19,Lists!$V$2:$V$19,0),_xlfn.XLOOKUP(K226,Lists!$P$2:$P$19,Lists!$V$2:$V$19,0)))</f>
        <v>0</v>
      </c>
      <c r="S226" s="68">
        <f ca="1">IF($B226="","",SUM(_xlfn.XLOOKUP(D226,Lists!$AC$2:$AC$9,Lists!$AD$2:$AD$9,0),_xlfn.XLOOKUP(F226,Lists!$AC$2:$AC$9,Lists!$AD$2:$AD$9,0),_xlfn.XLOOKUP(H226,Lists!$AC$2:$AC$9,Lists!$AD$2:$AD$9,0),_xlfn.XLOOKUP(J226,Lists!$AC$2:$AC$9,Lists!$AD$2:$AD$9,0),_xlfn.XLOOKUP(L226,Lists!$AC$2:$AC$9,Lists!$AD$2:$AD$9,0)))</f>
        <v>0</v>
      </c>
      <c r="T226" s="68">
        <f ca="1">IF($B226="","",SUM(_xlfn.XLOOKUP(C226,Lists!$P$2:$P$19,Lists!$W$2:$W$19,0),_xlfn.XLOOKUP(E226,Lists!$P$2:$P$19,Lists!$W$2:$W$19,0),_xlfn.XLOOKUP(G226,Lists!$P$2:$P$19,Lists!$W$2:$W$19,0),_xlfn.XLOOKUP(I226,Lists!$P$2:$P$19,Lists!$W$2:$W$19,0),_xlfn.XLOOKUP(K226,Lists!$P$2:$P$19,Lists!$W$2:$W$19,0)))</f>
        <v>0</v>
      </c>
      <c r="U226" s="68">
        <f ca="1">IF($B226="","",SUM(_xlfn.XLOOKUP(C226,Lists!$P$2:$P$19,Lists!$X$2:$X$19,0),_xlfn.XLOOKUP(E226,Lists!$P$2:$P$19,Lists!$X$2:$X$19,0),_xlfn.XLOOKUP(G226,Lists!$P$2:$P$19,Lists!$X$2:$X$19,0),_xlfn.XLOOKUP(I226,Lists!$P$2:$P$19,Lists!$X$2:$X$19,0),_xlfn.XLOOKUP(K226,Lists!$P$2:$P$19,Lists!$X$2:$X$19,0)))</f>
        <v>1</v>
      </c>
      <c r="V226" s="68">
        <f ca="1">IF($B226="","",SUM(_xlfn.XLOOKUP(C226,Lists!$P$2:$P$19,Lists!$Y$2:$Y$19,0),_xlfn.XLOOKUP(E226,Lists!$P$2:$P$19,Lists!$Y$2:$Y$19,0),_xlfn.XLOOKUP(G226,Lists!$P$2:$P$19,Lists!$Y$2:$Y$19,0),_xlfn.XLOOKUP(I226,Lists!$P$2:$P$19,Lists!$Y$2:$Y$19,0),_xlfn.XLOOKUP(K226,Lists!$P$2:$P$19,Lists!$Y$2:$Y$19,0)))</f>
        <v>0</v>
      </c>
      <c r="W226" s="68">
        <f ca="1">IF($B226="","",SUM(_xlfn.XLOOKUP(C226,Lists!$P$2:$P$19,Lists!$Z$2:$Z$19,0),_xlfn.XLOOKUP(E226,Lists!$P$2:$P$19,Lists!$Z$2:$Z$19,0),_xlfn.XLOOKUP(G226,Lists!$P$2:$P$19,Lists!$Z$2:$Z$19,0),_xlfn.XLOOKUP(I226,Lists!$P$2:$P$19,Lists!$Z$2:$Z$19,0),_xlfn.XLOOKUP(K226,Lists!$P$2:$P$19,Lists!$Z$2:$Z$19,0)))</f>
        <v>0</v>
      </c>
      <c r="X226" s="69">
        <f ca="1">IF($B226="","",SUM(_xlfn.XLOOKUP(C226,Lists!$P$2:$P$19,Lists!$AA$2:$AA$19,0),_xlfn.XLOOKUP(E226,Lists!$P$2:$P$19,Lists!$AA$2:$AA$19,0),_xlfn.XLOOKUP(G226,Lists!$P$2:$P$19,Lists!$AA$2:$AA$19,0),_xlfn.XLOOKUP(I226,Lists!$P$2:$P$19,Lists!$AA$2:$AA$19,0),_xlfn.XLOOKUP(K226,Lists!$P$2:$P$19,Lists!$AA$2:$AA$19,0)))</f>
        <v>0</v>
      </c>
      <c r="Y226" s="49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</row>
    <row r="227" spans="1:110">
      <c r="A227" s="168">
        <v>2</v>
      </c>
      <c r="B227" s="47" t="str">
        <f ca="1">Lineups!$H$62</f>
        <v>Kritter</v>
      </c>
      <c r="C227" s="49" t="s">
        <v>177</v>
      </c>
      <c r="D227" s="49" t="s">
        <v>187</v>
      </c>
      <c r="E227" s="49" t="s">
        <v>189</v>
      </c>
      <c r="F227" s="49"/>
      <c r="G227" s="49"/>
      <c r="H227" s="50"/>
      <c r="I227" s="50"/>
      <c r="J227" s="50"/>
      <c r="K227" s="50"/>
      <c r="L227" s="50"/>
      <c r="M227" s="67">
        <f ca="1">IF($B227="","",SUM(_xlfn.XLOOKUP(C227,Lists!$P$2:$P$19,Lists!$R$2:$R$19,0),_xlfn.XLOOKUP(E227,Lists!$P$2:$P$19,Lists!$R$2:$R$19,0),_xlfn.XLOOKUP(G227,Lists!$P$2:$P$19,Lists!$R$2:$R$19,0),_xlfn.XLOOKUP(I227,Lists!$P$2:$P$19,Lists!$R$2:$R$19,0),_xlfn.XLOOKUP(K227,Lists!$P$2:$P$19,Lists!$R$2:$R$19,0)))</f>
        <v>2</v>
      </c>
      <c r="N227" s="68">
        <f ca="1">IF($B227="","",SUM(_xlfn.XLOOKUP(D227,Lists!$AC$2:$AC$9,Lists!$AE$2:$AE$9,0),_xlfn.XLOOKUP(F227,Lists!$AC$2:$AC$9,Lists!$AE$2:$AE$9,0),_xlfn.XLOOKUP(H227,Lists!$AC$2:$AC$9,Lists!$AE$2:$AE$9,0),_xlfn.XLOOKUP(J227,Lists!$AC$2:$AC$9,Lists!$AE$2:$AE$9,0),_xlfn.XLOOKUP(L227,Lists!$AC$2:$AC$9,Lists!$AE$2:$AE$9,0)))</f>
        <v>1</v>
      </c>
      <c r="O227" s="68">
        <f ca="1">IF($B227="","",SUM(_xlfn.XLOOKUP(C227,Lists!$P$2:$P$19,Lists!$S$2:$S$19,0),_xlfn.XLOOKUP(E227,Lists!$P$2:$P$19,Lists!$S$2:$S$19,0),_xlfn.XLOOKUP(G227,Lists!$P$2:$P$19,Lists!$S$2:$S$19,0),_xlfn.XLOOKUP(I227,Lists!$P$2:$P$19,Lists!$S$2:$S$19,0),_xlfn.XLOOKUP(K227,Lists!$P$2:$P$19,Lists!$S$2:$S$19,0)))</f>
        <v>1</v>
      </c>
      <c r="P227" s="68">
        <f ca="1">IF($B227="","",SUM(_xlfn.XLOOKUP(C227,Lists!$P$2:$P$19,Lists!$T$2:$T$19,0),_xlfn.XLOOKUP(E227,Lists!$P$2:$P$19,Lists!$T$2:$T$19,0),_xlfn.XLOOKUP(G227,Lists!$P$2:$P$19,Lists!$T$2:$T$19,0),_xlfn.XLOOKUP(I227,Lists!$P$2:$P$19,Lists!$T$2:$T$19,0),_xlfn.XLOOKUP(K227,Lists!$P$2:$P$19,Lists!$T$2:$T$19,0)))</f>
        <v>0</v>
      </c>
      <c r="Q227" s="68">
        <f ca="1">IF($B227="","",SUM(_xlfn.XLOOKUP(C227,Lists!$P$2:$P$19,Lists!$U$2:$U$19,0),_xlfn.XLOOKUP(E227,Lists!$P$2:$P$19,Lists!$U$2:$U$19,0),_xlfn.XLOOKUP(G227,Lists!$P$2:$P$19,Lists!$U$2:$U$19,0),_xlfn.XLOOKUP(I227,Lists!$P$2:$P$19,Lists!$U$2:$U$19,0),_xlfn.XLOOKUP(K227,Lists!$P$2:$P$19,Lists!$U$2:$U$19,0)))</f>
        <v>1</v>
      </c>
      <c r="R227" s="68">
        <f ca="1">IF($B227="","",SUM(_xlfn.XLOOKUP(C227,Lists!$P$2:$P$19,Lists!$V$2:$V$19,0),_xlfn.XLOOKUP(E227,Lists!$P$2:$P$19,Lists!$V$2:$V$19,0),_xlfn.XLOOKUP(G227,Lists!$P$2:$P$19,Lists!$V$2:$V$19,0),_xlfn.XLOOKUP(I227,Lists!$P$2:$P$19,Lists!$V$2:$V$19,0),_xlfn.XLOOKUP(K227,Lists!$P$2:$P$19,Lists!$V$2:$V$19,0)))</f>
        <v>0</v>
      </c>
      <c r="S227" s="68">
        <f ca="1">IF($B227="","",SUM(_xlfn.XLOOKUP(D227,Lists!$AC$2:$AC$9,Lists!$AD$2:$AD$9,0),_xlfn.XLOOKUP(F227,Lists!$AC$2:$AC$9,Lists!$AD$2:$AD$9,0),_xlfn.XLOOKUP(H227,Lists!$AC$2:$AC$9,Lists!$AD$2:$AD$9,0),_xlfn.XLOOKUP(J227,Lists!$AC$2:$AC$9,Lists!$AD$2:$AD$9,0),_xlfn.XLOOKUP(L227,Lists!$AC$2:$AC$9,Lists!$AD$2:$AD$9,0)))</f>
        <v>0</v>
      </c>
      <c r="T227" s="68">
        <f ca="1">IF($B227="","",SUM(_xlfn.XLOOKUP(C227,Lists!$P$2:$P$19,Lists!$W$2:$W$19,0),_xlfn.XLOOKUP(E227,Lists!$P$2:$P$19,Lists!$W$2:$W$19,0),_xlfn.XLOOKUP(G227,Lists!$P$2:$P$19,Lists!$W$2:$W$19,0),_xlfn.XLOOKUP(I227,Lists!$P$2:$P$19,Lists!$W$2:$W$19,0),_xlfn.XLOOKUP(K227,Lists!$P$2:$P$19,Lists!$W$2:$W$19,0)))</f>
        <v>0</v>
      </c>
      <c r="U227" s="68">
        <f ca="1">IF($B227="","",SUM(_xlfn.XLOOKUP(C227,Lists!$P$2:$P$19,Lists!$X$2:$X$19,0),_xlfn.XLOOKUP(E227,Lists!$P$2:$P$19,Lists!$X$2:$X$19,0),_xlfn.XLOOKUP(G227,Lists!$P$2:$P$19,Lists!$X$2:$X$19,0),_xlfn.XLOOKUP(I227,Lists!$P$2:$P$19,Lists!$X$2:$X$19,0),_xlfn.XLOOKUP(K227,Lists!$P$2:$P$19,Lists!$X$2:$X$19,0)))</f>
        <v>0</v>
      </c>
      <c r="V227" s="68">
        <f ca="1">IF($B227="","",SUM(_xlfn.XLOOKUP(C227,Lists!$P$2:$P$19,Lists!$Y$2:$Y$19,0),_xlfn.XLOOKUP(E227,Lists!$P$2:$P$19,Lists!$Y$2:$Y$19,0),_xlfn.XLOOKUP(G227,Lists!$P$2:$P$19,Lists!$Y$2:$Y$19,0),_xlfn.XLOOKUP(I227,Lists!$P$2:$P$19,Lists!$Y$2:$Y$19,0),_xlfn.XLOOKUP(K227,Lists!$P$2:$P$19,Lists!$Y$2:$Y$19,0)))</f>
        <v>0</v>
      </c>
      <c r="W227" s="68">
        <f ca="1">IF($B227="","",SUM(_xlfn.XLOOKUP(C227,Lists!$P$2:$P$19,Lists!$Z$2:$Z$19,0),_xlfn.XLOOKUP(E227,Lists!$P$2:$P$19,Lists!$Z$2:$Z$19,0),_xlfn.XLOOKUP(G227,Lists!$P$2:$P$19,Lists!$Z$2:$Z$19,0),_xlfn.XLOOKUP(I227,Lists!$P$2:$P$19,Lists!$Z$2:$Z$19,0),_xlfn.XLOOKUP(K227,Lists!$P$2:$P$19,Lists!$Z$2:$Z$19,0)))</f>
        <v>0</v>
      </c>
      <c r="X227" s="69">
        <f ca="1">IF($B227="","",SUM(_xlfn.XLOOKUP(C227,Lists!$P$2:$P$19,Lists!$AA$2:$AA$19,0),_xlfn.XLOOKUP(E227,Lists!$P$2:$P$19,Lists!$AA$2:$AA$19,0),_xlfn.XLOOKUP(G227,Lists!$P$2:$P$19,Lists!$AA$2:$AA$19,0),_xlfn.XLOOKUP(I227,Lists!$P$2:$P$19,Lists!$AA$2:$AA$19,0),_xlfn.XLOOKUP(K227,Lists!$P$2:$P$19,Lists!$AA$2:$AA$19,0)))</f>
        <v>0</v>
      </c>
      <c r="Y227" s="49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</row>
    <row r="228" spans="1:110">
      <c r="A228" s="168">
        <v>3</v>
      </c>
      <c r="B228" s="47" t="str">
        <f ca="1">Lineups!$H$63</f>
        <v>Funky Kong</v>
      </c>
      <c r="C228" s="49" t="s">
        <v>183</v>
      </c>
      <c r="D228" s="49" t="s">
        <v>191</v>
      </c>
      <c r="E228" s="49"/>
      <c r="F228" s="49"/>
      <c r="G228" s="49"/>
      <c r="H228" s="50"/>
      <c r="I228" s="50"/>
      <c r="J228" s="50"/>
      <c r="K228" s="50"/>
      <c r="L228" s="50"/>
      <c r="M228" s="67">
        <f ca="1">IF($B228="","",SUM(_xlfn.XLOOKUP(C228,Lists!$P$2:$P$19,Lists!$R$2:$R$19,0),_xlfn.XLOOKUP(E228,Lists!$P$2:$P$19,Lists!$R$2:$R$19,0),_xlfn.XLOOKUP(G228,Lists!$P$2:$P$19,Lists!$R$2:$R$19,0),_xlfn.XLOOKUP(I228,Lists!$P$2:$P$19,Lists!$R$2:$R$19,0),_xlfn.XLOOKUP(K228,Lists!$P$2:$P$19,Lists!$R$2:$R$19,0)))</f>
        <v>0</v>
      </c>
      <c r="N228" s="68">
        <f ca="1">IF($B228="","",SUM(_xlfn.XLOOKUP(D228,Lists!$AC$2:$AC$9,Lists!$AE$2:$AE$9,0),_xlfn.XLOOKUP(F228,Lists!$AC$2:$AC$9,Lists!$AE$2:$AE$9,0),_xlfn.XLOOKUP(H228,Lists!$AC$2:$AC$9,Lists!$AE$2:$AE$9,0),_xlfn.XLOOKUP(J228,Lists!$AC$2:$AC$9,Lists!$AE$2:$AE$9,0),_xlfn.XLOOKUP(L228,Lists!$AC$2:$AC$9,Lists!$AE$2:$AE$9,0)))</f>
        <v>0</v>
      </c>
      <c r="O228" s="68">
        <f ca="1">IF($B228="","",SUM(_xlfn.XLOOKUP(C228,Lists!$P$2:$P$19,Lists!$S$2:$S$19,0),_xlfn.XLOOKUP(E228,Lists!$P$2:$P$19,Lists!$S$2:$S$19,0),_xlfn.XLOOKUP(G228,Lists!$P$2:$P$19,Lists!$S$2:$S$19,0),_xlfn.XLOOKUP(I228,Lists!$P$2:$P$19,Lists!$S$2:$S$19,0),_xlfn.XLOOKUP(K228,Lists!$P$2:$P$19,Lists!$S$2:$S$19,0)))</f>
        <v>0</v>
      </c>
      <c r="P228" s="68">
        <f ca="1">IF($B228="","",SUM(_xlfn.XLOOKUP(C228,Lists!$P$2:$P$19,Lists!$T$2:$T$19,0),_xlfn.XLOOKUP(E228,Lists!$P$2:$P$19,Lists!$T$2:$T$19,0),_xlfn.XLOOKUP(G228,Lists!$P$2:$P$19,Lists!$T$2:$T$19,0),_xlfn.XLOOKUP(I228,Lists!$P$2:$P$19,Lists!$T$2:$T$19,0),_xlfn.XLOOKUP(K228,Lists!$P$2:$P$19,Lists!$T$2:$T$19,0)))</f>
        <v>0</v>
      </c>
      <c r="Q228" s="68">
        <f ca="1">IF($B228="","",SUM(_xlfn.XLOOKUP(C228,Lists!$P$2:$P$19,Lists!$U$2:$U$19,0),_xlfn.XLOOKUP(E228,Lists!$P$2:$P$19,Lists!$U$2:$U$19,0),_xlfn.XLOOKUP(G228,Lists!$P$2:$P$19,Lists!$U$2:$U$19,0),_xlfn.XLOOKUP(I228,Lists!$P$2:$P$19,Lists!$U$2:$U$19,0),_xlfn.XLOOKUP(K228,Lists!$P$2:$P$19,Lists!$U$2:$U$19,0)))</f>
        <v>0</v>
      </c>
      <c r="R228" s="68">
        <f ca="1">IF($B228="","",SUM(_xlfn.XLOOKUP(C228,Lists!$P$2:$P$19,Lists!$V$2:$V$19,0),_xlfn.XLOOKUP(E228,Lists!$P$2:$P$19,Lists!$V$2:$V$19,0),_xlfn.XLOOKUP(G228,Lists!$P$2:$P$19,Lists!$V$2:$V$19,0),_xlfn.XLOOKUP(I228,Lists!$P$2:$P$19,Lists!$V$2:$V$19,0),_xlfn.XLOOKUP(K228,Lists!$P$2:$P$19,Lists!$V$2:$V$19,0)))</f>
        <v>0</v>
      </c>
      <c r="S228" s="68">
        <f ca="1">IF($B228="","",SUM(_xlfn.XLOOKUP(D228,Lists!$AC$2:$AC$9,Lists!$AD$2:$AD$9,0),_xlfn.XLOOKUP(F228,Lists!$AC$2:$AC$9,Lists!$AD$2:$AD$9,0),_xlfn.XLOOKUP(H228,Lists!$AC$2:$AC$9,Lists!$AD$2:$AD$9,0),_xlfn.XLOOKUP(J228,Lists!$AC$2:$AC$9,Lists!$AD$2:$AD$9,0),_xlfn.XLOOKUP(L228,Lists!$AC$2:$AC$9,Lists!$AD$2:$AD$9,0)))</f>
        <v>1</v>
      </c>
      <c r="T228" s="68">
        <f ca="1">IF($B228="","",SUM(_xlfn.XLOOKUP(C228,Lists!$P$2:$P$19,Lists!$W$2:$W$19,0),_xlfn.XLOOKUP(E228,Lists!$P$2:$P$19,Lists!$W$2:$W$19,0),_xlfn.XLOOKUP(G228,Lists!$P$2:$P$19,Lists!$W$2:$W$19,0),_xlfn.XLOOKUP(I228,Lists!$P$2:$P$19,Lists!$W$2:$W$19,0),_xlfn.XLOOKUP(K228,Lists!$P$2:$P$19,Lists!$W$2:$W$19,0)))</f>
        <v>0</v>
      </c>
      <c r="U228" s="68">
        <f ca="1">IF($B228="","",SUM(_xlfn.XLOOKUP(C228,Lists!$P$2:$P$19,Lists!$X$2:$X$19,0),_xlfn.XLOOKUP(E228,Lists!$P$2:$P$19,Lists!$X$2:$X$19,0),_xlfn.XLOOKUP(G228,Lists!$P$2:$P$19,Lists!$X$2:$X$19,0),_xlfn.XLOOKUP(I228,Lists!$P$2:$P$19,Lists!$X$2:$X$19,0),_xlfn.XLOOKUP(K228,Lists!$P$2:$P$19,Lists!$X$2:$X$19,0)))</f>
        <v>0</v>
      </c>
      <c r="V228" s="68">
        <f ca="1">IF($B228="","",SUM(_xlfn.XLOOKUP(C228,Lists!$P$2:$P$19,Lists!$Y$2:$Y$19,0),_xlfn.XLOOKUP(E228,Lists!$P$2:$P$19,Lists!$Y$2:$Y$19,0),_xlfn.XLOOKUP(G228,Lists!$P$2:$P$19,Lists!$Y$2:$Y$19,0),_xlfn.XLOOKUP(I228,Lists!$P$2:$P$19,Lists!$Y$2:$Y$19,0),_xlfn.XLOOKUP(K228,Lists!$P$2:$P$19,Lists!$Y$2:$Y$19,0)))</f>
        <v>0</v>
      </c>
      <c r="W228" s="68">
        <f ca="1">IF($B228="","",SUM(_xlfn.XLOOKUP(C228,Lists!$P$2:$P$19,Lists!$Z$2:$Z$19,0),_xlfn.XLOOKUP(E228,Lists!$P$2:$P$19,Lists!$Z$2:$Z$19,0),_xlfn.XLOOKUP(G228,Lists!$P$2:$P$19,Lists!$Z$2:$Z$19,0),_xlfn.XLOOKUP(I228,Lists!$P$2:$P$19,Lists!$Z$2:$Z$19,0),_xlfn.XLOOKUP(K228,Lists!$P$2:$P$19,Lists!$Z$2:$Z$19,0)))</f>
        <v>1</v>
      </c>
      <c r="X228" s="69">
        <f ca="1">IF($B228="","",SUM(_xlfn.XLOOKUP(C228,Lists!$P$2:$P$19,Lists!$AA$2:$AA$19,0),_xlfn.XLOOKUP(E228,Lists!$P$2:$P$19,Lists!$AA$2:$AA$19,0),_xlfn.XLOOKUP(G228,Lists!$P$2:$P$19,Lists!$AA$2:$AA$19,0),_xlfn.XLOOKUP(I228,Lists!$P$2:$P$19,Lists!$AA$2:$AA$19,0),_xlfn.XLOOKUP(K228,Lists!$P$2:$P$19,Lists!$AA$2:$AA$19,0)))</f>
        <v>0</v>
      </c>
      <c r="Y228" s="49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</row>
    <row r="229" spans="1:110">
      <c r="A229" s="168">
        <v>4</v>
      </c>
      <c r="B229" s="47" t="str">
        <f ca="1">Lineups!$H$64</f>
        <v>Red Pianta</v>
      </c>
      <c r="C229" s="49" t="s">
        <v>186</v>
      </c>
      <c r="D229" s="49"/>
      <c r="E229" s="49"/>
      <c r="F229" s="49"/>
      <c r="G229" s="49"/>
      <c r="H229" s="50"/>
      <c r="I229" s="50"/>
      <c r="J229" s="50"/>
      <c r="K229" s="50"/>
      <c r="L229" s="50"/>
      <c r="M229" s="67">
        <f ca="1">IF($B229="","",SUM(_xlfn.XLOOKUP(C229,Lists!$P$2:$P$19,Lists!$R$2:$R$19,0),_xlfn.XLOOKUP(E229,Lists!$P$2:$P$19,Lists!$R$2:$R$19,0),_xlfn.XLOOKUP(G229,Lists!$P$2:$P$19,Lists!$R$2:$R$19,0),_xlfn.XLOOKUP(I229,Lists!$P$2:$P$19,Lists!$R$2:$R$19,0),_xlfn.XLOOKUP(K229,Lists!$P$2:$P$19,Lists!$R$2:$R$19,0)))</f>
        <v>1</v>
      </c>
      <c r="N229" s="68">
        <f ca="1">IF($B229="","",SUM(_xlfn.XLOOKUP(D229,Lists!$AC$2:$AC$9,Lists!$AE$2:$AE$9,0),_xlfn.XLOOKUP(F229,Lists!$AC$2:$AC$9,Lists!$AE$2:$AE$9,0),_xlfn.XLOOKUP(H229,Lists!$AC$2:$AC$9,Lists!$AE$2:$AE$9,0),_xlfn.XLOOKUP(J229,Lists!$AC$2:$AC$9,Lists!$AE$2:$AE$9,0),_xlfn.XLOOKUP(L229,Lists!$AC$2:$AC$9,Lists!$AE$2:$AE$9,0)))</f>
        <v>0</v>
      </c>
      <c r="O229" s="68">
        <f ca="1">IF($B229="","",SUM(_xlfn.XLOOKUP(C229,Lists!$P$2:$P$19,Lists!$S$2:$S$19,0),_xlfn.XLOOKUP(E229,Lists!$P$2:$P$19,Lists!$S$2:$S$19,0),_xlfn.XLOOKUP(G229,Lists!$P$2:$P$19,Lists!$S$2:$S$19,0),_xlfn.XLOOKUP(I229,Lists!$P$2:$P$19,Lists!$S$2:$S$19,0),_xlfn.XLOOKUP(K229,Lists!$P$2:$P$19,Lists!$S$2:$S$19,0)))</f>
        <v>0</v>
      </c>
      <c r="P229" s="68">
        <f ca="1">IF($B229="","",SUM(_xlfn.XLOOKUP(C229,Lists!$P$2:$P$19,Lists!$T$2:$T$19,0),_xlfn.XLOOKUP(E229,Lists!$P$2:$P$19,Lists!$T$2:$T$19,0),_xlfn.XLOOKUP(G229,Lists!$P$2:$P$19,Lists!$T$2:$T$19,0),_xlfn.XLOOKUP(I229,Lists!$P$2:$P$19,Lists!$T$2:$T$19,0),_xlfn.XLOOKUP(K229,Lists!$P$2:$P$19,Lists!$T$2:$T$19,0)))</f>
        <v>0</v>
      </c>
      <c r="Q229" s="68">
        <f ca="1">IF($B229="","",SUM(_xlfn.XLOOKUP(C229,Lists!$P$2:$P$19,Lists!$U$2:$U$19,0),_xlfn.XLOOKUP(E229,Lists!$P$2:$P$19,Lists!$U$2:$U$19,0),_xlfn.XLOOKUP(G229,Lists!$P$2:$P$19,Lists!$U$2:$U$19,0),_xlfn.XLOOKUP(I229,Lists!$P$2:$P$19,Lists!$U$2:$U$19,0),_xlfn.XLOOKUP(K229,Lists!$P$2:$P$19,Lists!$U$2:$U$19,0)))</f>
        <v>0</v>
      </c>
      <c r="R229" s="68">
        <f ca="1">IF($B229="","",SUM(_xlfn.XLOOKUP(C229,Lists!$P$2:$P$19,Lists!$V$2:$V$19,0),_xlfn.XLOOKUP(E229,Lists!$P$2:$P$19,Lists!$V$2:$V$19,0),_xlfn.XLOOKUP(G229,Lists!$P$2:$P$19,Lists!$V$2:$V$19,0),_xlfn.XLOOKUP(I229,Lists!$P$2:$P$19,Lists!$V$2:$V$19,0),_xlfn.XLOOKUP(K229,Lists!$P$2:$P$19,Lists!$V$2:$V$19,0)))</f>
        <v>0</v>
      </c>
      <c r="S229" s="68">
        <f ca="1">IF($B229="","",SUM(_xlfn.XLOOKUP(D229,Lists!$AC$2:$AC$9,Lists!$AD$2:$AD$9,0),_xlfn.XLOOKUP(F229,Lists!$AC$2:$AC$9,Lists!$AD$2:$AD$9,0),_xlfn.XLOOKUP(H229,Lists!$AC$2:$AC$9,Lists!$AD$2:$AD$9,0),_xlfn.XLOOKUP(J229,Lists!$AC$2:$AC$9,Lists!$AD$2:$AD$9,0),_xlfn.XLOOKUP(L229,Lists!$AC$2:$AC$9,Lists!$AD$2:$AD$9,0)))</f>
        <v>0</v>
      </c>
      <c r="T229" s="68">
        <f ca="1">IF($B229="","",SUM(_xlfn.XLOOKUP(C229,Lists!$P$2:$P$19,Lists!$W$2:$W$19,0),_xlfn.XLOOKUP(E229,Lists!$P$2:$P$19,Lists!$W$2:$W$19,0),_xlfn.XLOOKUP(G229,Lists!$P$2:$P$19,Lists!$W$2:$W$19,0),_xlfn.XLOOKUP(I229,Lists!$P$2:$P$19,Lists!$W$2:$W$19,0),_xlfn.XLOOKUP(K229,Lists!$P$2:$P$19,Lists!$W$2:$W$19,0)))</f>
        <v>0</v>
      </c>
      <c r="U229" s="68">
        <f ca="1">IF($B229="","",SUM(_xlfn.XLOOKUP(C229,Lists!$P$2:$P$19,Lists!$X$2:$X$19,0),_xlfn.XLOOKUP(E229,Lists!$P$2:$P$19,Lists!$X$2:$X$19,0),_xlfn.XLOOKUP(G229,Lists!$P$2:$P$19,Lists!$X$2:$X$19,0),_xlfn.XLOOKUP(I229,Lists!$P$2:$P$19,Lists!$X$2:$X$19,0),_xlfn.XLOOKUP(K229,Lists!$P$2:$P$19,Lists!$X$2:$X$19,0)))</f>
        <v>0</v>
      </c>
      <c r="V229" s="68">
        <f ca="1">IF($B229="","",SUM(_xlfn.XLOOKUP(C229,Lists!$P$2:$P$19,Lists!$Y$2:$Y$19,0),_xlfn.XLOOKUP(E229,Lists!$P$2:$P$19,Lists!$Y$2:$Y$19,0),_xlfn.XLOOKUP(G229,Lists!$P$2:$P$19,Lists!$Y$2:$Y$19,0),_xlfn.XLOOKUP(I229,Lists!$P$2:$P$19,Lists!$Y$2:$Y$19,0),_xlfn.XLOOKUP(K229,Lists!$P$2:$P$19,Lists!$Y$2:$Y$19,0)))</f>
        <v>0</v>
      </c>
      <c r="W229" s="68">
        <f ca="1">IF($B229="","",SUM(_xlfn.XLOOKUP(C229,Lists!$P$2:$P$19,Lists!$Z$2:$Z$19,0),_xlfn.XLOOKUP(E229,Lists!$P$2:$P$19,Lists!$Z$2:$Z$19,0),_xlfn.XLOOKUP(G229,Lists!$P$2:$P$19,Lists!$Z$2:$Z$19,0),_xlfn.XLOOKUP(I229,Lists!$P$2:$P$19,Lists!$Z$2:$Z$19,0),_xlfn.XLOOKUP(K229,Lists!$P$2:$P$19,Lists!$Z$2:$Z$19,0)))</f>
        <v>0</v>
      </c>
      <c r="X229" s="69">
        <f ca="1">IF($B229="","",SUM(_xlfn.XLOOKUP(C229,Lists!$P$2:$P$19,Lists!$AA$2:$AA$19,0),_xlfn.XLOOKUP(E229,Lists!$P$2:$P$19,Lists!$AA$2:$AA$19,0),_xlfn.XLOOKUP(G229,Lists!$P$2:$P$19,Lists!$AA$2:$AA$19,0),_xlfn.XLOOKUP(I229,Lists!$P$2:$P$19,Lists!$AA$2:$AA$19,0),_xlfn.XLOOKUP(K229,Lists!$P$2:$P$19,Lists!$AA$2:$AA$19,0)))</f>
        <v>0</v>
      </c>
      <c r="Y229" s="49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  <c r="DF229" s="18"/>
    </row>
    <row r="230" spans="1:110">
      <c r="A230" s="168">
        <v>5</v>
      </c>
      <c r="B230" s="47" t="str">
        <f ca="1">Lineups!$H$65</f>
        <v>Blue Yoshi</v>
      </c>
      <c r="C230" s="49" t="s">
        <v>186</v>
      </c>
      <c r="D230" s="49"/>
      <c r="E230" s="49"/>
      <c r="F230" s="49"/>
      <c r="G230" s="49"/>
      <c r="H230" s="50"/>
      <c r="I230" s="50"/>
      <c r="J230" s="50"/>
      <c r="K230" s="50"/>
      <c r="L230" s="50"/>
      <c r="M230" s="67">
        <f ca="1">IF($B230="","",SUM(_xlfn.XLOOKUP(C230,Lists!$P$2:$P$19,Lists!$R$2:$R$19,0),_xlfn.XLOOKUP(E230,Lists!$P$2:$P$19,Lists!$R$2:$R$19,0),_xlfn.XLOOKUP(G230,Lists!$P$2:$P$19,Lists!$R$2:$R$19,0),_xlfn.XLOOKUP(I230,Lists!$P$2:$P$19,Lists!$R$2:$R$19,0),_xlfn.XLOOKUP(K230,Lists!$P$2:$P$19,Lists!$R$2:$R$19,0)))</f>
        <v>1</v>
      </c>
      <c r="N230" s="68">
        <f ca="1">IF($B230="","",SUM(_xlfn.XLOOKUP(D230,Lists!$AC$2:$AC$9,Lists!$AE$2:$AE$9,0),_xlfn.XLOOKUP(F230,Lists!$AC$2:$AC$9,Lists!$AE$2:$AE$9,0),_xlfn.XLOOKUP(H230,Lists!$AC$2:$AC$9,Lists!$AE$2:$AE$9,0),_xlfn.XLOOKUP(J230,Lists!$AC$2:$AC$9,Lists!$AE$2:$AE$9,0),_xlfn.XLOOKUP(L230,Lists!$AC$2:$AC$9,Lists!$AE$2:$AE$9,0)))</f>
        <v>0</v>
      </c>
      <c r="O230" s="68">
        <f ca="1">IF($B230="","",SUM(_xlfn.XLOOKUP(C230,Lists!$P$2:$P$19,Lists!$S$2:$S$19,0),_xlfn.XLOOKUP(E230,Lists!$P$2:$P$19,Lists!$S$2:$S$19,0),_xlfn.XLOOKUP(G230,Lists!$P$2:$P$19,Lists!$S$2:$S$19,0),_xlfn.XLOOKUP(I230,Lists!$P$2:$P$19,Lists!$S$2:$S$19,0),_xlfn.XLOOKUP(K230,Lists!$P$2:$P$19,Lists!$S$2:$S$19,0)))</f>
        <v>0</v>
      </c>
      <c r="P230" s="68">
        <f ca="1">IF($B230="","",SUM(_xlfn.XLOOKUP(C230,Lists!$P$2:$P$19,Lists!$T$2:$T$19,0),_xlfn.XLOOKUP(E230,Lists!$P$2:$P$19,Lists!$T$2:$T$19,0),_xlfn.XLOOKUP(G230,Lists!$P$2:$P$19,Lists!$T$2:$T$19,0),_xlfn.XLOOKUP(I230,Lists!$P$2:$P$19,Lists!$T$2:$T$19,0),_xlfn.XLOOKUP(K230,Lists!$P$2:$P$19,Lists!$T$2:$T$19,0)))</f>
        <v>0</v>
      </c>
      <c r="Q230" s="68">
        <f ca="1">IF($B230="","",SUM(_xlfn.XLOOKUP(C230,Lists!$P$2:$P$19,Lists!$U$2:$U$19,0),_xlfn.XLOOKUP(E230,Lists!$P$2:$P$19,Lists!$U$2:$U$19,0),_xlfn.XLOOKUP(G230,Lists!$P$2:$P$19,Lists!$U$2:$U$19,0),_xlfn.XLOOKUP(I230,Lists!$P$2:$P$19,Lists!$U$2:$U$19,0),_xlfn.XLOOKUP(K230,Lists!$P$2:$P$19,Lists!$U$2:$U$19,0)))</f>
        <v>0</v>
      </c>
      <c r="R230" s="68">
        <f ca="1">IF($B230="","",SUM(_xlfn.XLOOKUP(C230,Lists!$P$2:$P$19,Lists!$V$2:$V$19,0),_xlfn.XLOOKUP(E230,Lists!$P$2:$P$19,Lists!$V$2:$V$19,0),_xlfn.XLOOKUP(G230,Lists!$P$2:$P$19,Lists!$V$2:$V$19,0),_xlfn.XLOOKUP(I230,Lists!$P$2:$P$19,Lists!$V$2:$V$19,0),_xlfn.XLOOKUP(K230,Lists!$P$2:$P$19,Lists!$V$2:$V$19,0)))</f>
        <v>0</v>
      </c>
      <c r="S230" s="68">
        <f ca="1">IF($B230="","",SUM(_xlfn.XLOOKUP(D230,Lists!$AC$2:$AC$9,Lists!$AD$2:$AD$9,0),_xlfn.XLOOKUP(F230,Lists!$AC$2:$AC$9,Lists!$AD$2:$AD$9,0),_xlfn.XLOOKUP(H230,Lists!$AC$2:$AC$9,Lists!$AD$2:$AD$9,0),_xlfn.XLOOKUP(J230,Lists!$AC$2:$AC$9,Lists!$AD$2:$AD$9,0),_xlfn.XLOOKUP(L230,Lists!$AC$2:$AC$9,Lists!$AD$2:$AD$9,0)))</f>
        <v>0</v>
      </c>
      <c r="T230" s="68">
        <f ca="1">IF($B230="","",SUM(_xlfn.XLOOKUP(C230,Lists!$P$2:$P$19,Lists!$W$2:$W$19,0),_xlfn.XLOOKUP(E230,Lists!$P$2:$P$19,Lists!$W$2:$W$19,0),_xlfn.XLOOKUP(G230,Lists!$P$2:$P$19,Lists!$W$2:$W$19,0),_xlfn.XLOOKUP(I230,Lists!$P$2:$P$19,Lists!$W$2:$W$19,0),_xlfn.XLOOKUP(K230,Lists!$P$2:$P$19,Lists!$W$2:$W$19,0)))</f>
        <v>0</v>
      </c>
      <c r="U230" s="68">
        <f ca="1">IF($B230="","",SUM(_xlfn.XLOOKUP(C230,Lists!$P$2:$P$19,Lists!$X$2:$X$19,0),_xlfn.XLOOKUP(E230,Lists!$P$2:$P$19,Lists!$X$2:$X$19,0),_xlfn.XLOOKUP(G230,Lists!$P$2:$P$19,Lists!$X$2:$X$19,0),_xlfn.XLOOKUP(I230,Lists!$P$2:$P$19,Lists!$X$2:$X$19,0),_xlfn.XLOOKUP(K230,Lists!$P$2:$P$19,Lists!$X$2:$X$19,0)))</f>
        <v>0</v>
      </c>
      <c r="V230" s="68">
        <f ca="1">IF($B230="","",SUM(_xlfn.XLOOKUP(C230,Lists!$P$2:$P$19,Lists!$Y$2:$Y$19,0),_xlfn.XLOOKUP(E230,Lists!$P$2:$P$19,Lists!$Y$2:$Y$19,0),_xlfn.XLOOKUP(G230,Lists!$P$2:$P$19,Lists!$Y$2:$Y$19,0),_xlfn.XLOOKUP(I230,Lists!$P$2:$P$19,Lists!$Y$2:$Y$19,0),_xlfn.XLOOKUP(K230,Lists!$P$2:$P$19,Lists!$Y$2:$Y$19,0)))</f>
        <v>0</v>
      </c>
      <c r="W230" s="68">
        <f ca="1">IF($B230="","",SUM(_xlfn.XLOOKUP(C230,Lists!$P$2:$P$19,Lists!$Z$2:$Z$19,0),_xlfn.XLOOKUP(E230,Lists!$P$2:$P$19,Lists!$Z$2:$Z$19,0),_xlfn.XLOOKUP(G230,Lists!$P$2:$P$19,Lists!$Z$2:$Z$19,0),_xlfn.XLOOKUP(I230,Lists!$P$2:$P$19,Lists!$Z$2:$Z$19,0),_xlfn.XLOOKUP(K230,Lists!$P$2:$P$19,Lists!$Z$2:$Z$19,0)))</f>
        <v>0</v>
      </c>
      <c r="X230" s="69">
        <f ca="1">IF($B230="","",SUM(_xlfn.XLOOKUP(C230,Lists!$P$2:$P$19,Lists!$AA$2:$AA$19,0),_xlfn.XLOOKUP(E230,Lists!$P$2:$P$19,Lists!$AA$2:$AA$19,0),_xlfn.XLOOKUP(G230,Lists!$P$2:$P$19,Lists!$AA$2:$AA$19,0),_xlfn.XLOOKUP(I230,Lists!$P$2:$P$19,Lists!$AA$2:$AA$19,0),_xlfn.XLOOKUP(K230,Lists!$P$2:$P$19,Lists!$AA$2:$AA$19,0)))</f>
        <v>0</v>
      </c>
      <c r="Y230" s="49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  <c r="DF230" s="18"/>
    </row>
    <row r="231" spans="1:110">
      <c r="A231" s="168">
        <v>6</v>
      </c>
      <c r="B231" s="47" t="str">
        <f ca="1">Lineups!$H$66</f>
        <v>Baby Luigi</v>
      </c>
      <c r="C231" s="49" t="s">
        <v>186</v>
      </c>
      <c r="D231" s="49"/>
      <c r="E231" s="49"/>
      <c r="F231" s="49"/>
      <c r="G231" s="49"/>
      <c r="H231" s="50"/>
      <c r="I231" s="50"/>
      <c r="J231" s="50"/>
      <c r="K231" s="50"/>
      <c r="L231" s="50"/>
      <c r="M231" s="67">
        <f ca="1">IF($B231="","",SUM(_xlfn.XLOOKUP(C231,Lists!$P$2:$P$19,Lists!$R$2:$R$19,0),_xlfn.XLOOKUP(E231,Lists!$P$2:$P$19,Lists!$R$2:$R$19,0),_xlfn.XLOOKUP(G231,Lists!$P$2:$P$19,Lists!$R$2:$R$19,0),_xlfn.XLOOKUP(I231,Lists!$P$2:$P$19,Lists!$R$2:$R$19,0),_xlfn.XLOOKUP(K231,Lists!$P$2:$P$19,Lists!$R$2:$R$19,0)))</f>
        <v>1</v>
      </c>
      <c r="N231" s="68">
        <f ca="1">IF($B231="","",SUM(_xlfn.XLOOKUP(D231,Lists!$AC$2:$AC$9,Lists!$AE$2:$AE$9,0),_xlfn.XLOOKUP(F231,Lists!$AC$2:$AC$9,Lists!$AE$2:$AE$9,0),_xlfn.XLOOKUP(H231,Lists!$AC$2:$AC$9,Lists!$AE$2:$AE$9,0),_xlfn.XLOOKUP(J231,Lists!$AC$2:$AC$9,Lists!$AE$2:$AE$9,0),_xlfn.XLOOKUP(L231,Lists!$AC$2:$AC$9,Lists!$AE$2:$AE$9,0)))</f>
        <v>0</v>
      </c>
      <c r="O231" s="68">
        <f ca="1">IF($B231="","",SUM(_xlfn.XLOOKUP(C231,Lists!$P$2:$P$19,Lists!$S$2:$S$19,0),_xlfn.XLOOKUP(E231,Lists!$P$2:$P$19,Lists!$S$2:$S$19,0),_xlfn.XLOOKUP(G231,Lists!$P$2:$P$19,Lists!$S$2:$S$19,0),_xlfn.XLOOKUP(I231,Lists!$P$2:$P$19,Lists!$S$2:$S$19,0),_xlfn.XLOOKUP(K231,Lists!$P$2:$P$19,Lists!$S$2:$S$19,0)))</f>
        <v>0</v>
      </c>
      <c r="P231" s="68">
        <f ca="1">IF($B231="","",SUM(_xlfn.XLOOKUP(C231,Lists!$P$2:$P$19,Lists!$T$2:$T$19,0),_xlfn.XLOOKUP(E231,Lists!$P$2:$P$19,Lists!$T$2:$T$19,0),_xlfn.XLOOKUP(G231,Lists!$P$2:$P$19,Lists!$T$2:$T$19,0),_xlfn.XLOOKUP(I231,Lists!$P$2:$P$19,Lists!$T$2:$T$19,0),_xlfn.XLOOKUP(K231,Lists!$P$2:$P$19,Lists!$T$2:$T$19,0)))</f>
        <v>0</v>
      </c>
      <c r="Q231" s="68">
        <f ca="1">IF($B231="","",SUM(_xlfn.XLOOKUP(C231,Lists!$P$2:$P$19,Lists!$U$2:$U$19,0),_xlfn.XLOOKUP(E231,Lists!$P$2:$P$19,Lists!$U$2:$U$19,0),_xlfn.XLOOKUP(G231,Lists!$P$2:$P$19,Lists!$U$2:$U$19,0),_xlfn.XLOOKUP(I231,Lists!$P$2:$P$19,Lists!$U$2:$U$19,0),_xlfn.XLOOKUP(K231,Lists!$P$2:$P$19,Lists!$U$2:$U$19,0)))</f>
        <v>0</v>
      </c>
      <c r="R231" s="68">
        <f ca="1">IF($B231="","",SUM(_xlfn.XLOOKUP(C231,Lists!$P$2:$P$19,Lists!$V$2:$V$19,0),_xlfn.XLOOKUP(E231,Lists!$P$2:$P$19,Lists!$V$2:$V$19,0),_xlfn.XLOOKUP(G231,Lists!$P$2:$P$19,Lists!$V$2:$V$19,0),_xlfn.XLOOKUP(I231,Lists!$P$2:$P$19,Lists!$V$2:$V$19,0),_xlfn.XLOOKUP(K231,Lists!$P$2:$P$19,Lists!$V$2:$V$19,0)))</f>
        <v>0</v>
      </c>
      <c r="S231" s="68">
        <f ca="1">IF($B231="","",SUM(_xlfn.XLOOKUP(D231,Lists!$AC$2:$AC$9,Lists!$AD$2:$AD$9,0),_xlfn.XLOOKUP(F231,Lists!$AC$2:$AC$9,Lists!$AD$2:$AD$9,0),_xlfn.XLOOKUP(H231,Lists!$AC$2:$AC$9,Lists!$AD$2:$AD$9,0),_xlfn.XLOOKUP(J231,Lists!$AC$2:$AC$9,Lists!$AD$2:$AD$9,0),_xlfn.XLOOKUP(L231,Lists!$AC$2:$AC$9,Lists!$AD$2:$AD$9,0)))</f>
        <v>0</v>
      </c>
      <c r="T231" s="68">
        <f ca="1">IF($B231="","",SUM(_xlfn.XLOOKUP(C231,Lists!$P$2:$P$19,Lists!$W$2:$W$19,0),_xlfn.XLOOKUP(E231,Lists!$P$2:$P$19,Lists!$W$2:$W$19,0),_xlfn.XLOOKUP(G231,Lists!$P$2:$P$19,Lists!$W$2:$W$19,0),_xlfn.XLOOKUP(I231,Lists!$P$2:$P$19,Lists!$W$2:$W$19,0),_xlfn.XLOOKUP(K231,Lists!$P$2:$P$19,Lists!$W$2:$W$19,0)))</f>
        <v>0</v>
      </c>
      <c r="U231" s="68">
        <f ca="1">IF($B231="","",SUM(_xlfn.XLOOKUP(C231,Lists!$P$2:$P$19,Lists!$X$2:$X$19,0),_xlfn.XLOOKUP(E231,Lists!$P$2:$P$19,Lists!$X$2:$X$19,0),_xlfn.XLOOKUP(G231,Lists!$P$2:$P$19,Lists!$X$2:$X$19,0),_xlfn.XLOOKUP(I231,Lists!$P$2:$P$19,Lists!$X$2:$X$19,0),_xlfn.XLOOKUP(K231,Lists!$P$2:$P$19,Lists!$X$2:$X$19,0)))</f>
        <v>0</v>
      </c>
      <c r="V231" s="68">
        <f ca="1">IF($B231="","",SUM(_xlfn.XLOOKUP(C231,Lists!$P$2:$P$19,Lists!$Y$2:$Y$19,0),_xlfn.XLOOKUP(E231,Lists!$P$2:$P$19,Lists!$Y$2:$Y$19,0),_xlfn.XLOOKUP(G231,Lists!$P$2:$P$19,Lists!$Y$2:$Y$19,0),_xlfn.XLOOKUP(I231,Lists!$P$2:$P$19,Lists!$Y$2:$Y$19,0),_xlfn.XLOOKUP(K231,Lists!$P$2:$P$19,Lists!$Y$2:$Y$19,0)))</f>
        <v>0</v>
      </c>
      <c r="W231" s="68">
        <f ca="1">IF($B231="","",SUM(_xlfn.XLOOKUP(C231,Lists!$P$2:$P$19,Lists!$Z$2:$Z$19,0),_xlfn.XLOOKUP(E231,Lists!$P$2:$P$19,Lists!$Z$2:$Z$19,0),_xlfn.XLOOKUP(G231,Lists!$P$2:$P$19,Lists!$Z$2:$Z$19,0),_xlfn.XLOOKUP(I231,Lists!$P$2:$P$19,Lists!$Z$2:$Z$19,0),_xlfn.XLOOKUP(K231,Lists!$P$2:$P$19,Lists!$Z$2:$Z$19,0)))</f>
        <v>0</v>
      </c>
      <c r="X231" s="69">
        <f ca="1">IF($B231="","",SUM(_xlfn.XLOOKUP(C231,Lists!$P$2:$P$19,Lists!$AA$2:$AA$19,0),_xlfn.XLOOKUP(E231,Lists!$P$2:$P$19,Lists!$AA$2:$AA$19,0),_xlfn.XLOOKUP(G231,Lists!$P$2:$P$19,Lists!$AA$2:$AA$19,0),_xlfn.XLOOKUP(I231,Lists!$P$2:$P$19,Lists!$AA$2:$AA$19,0),_xlfn.XLOOKUP(K231,Lists!$P$2:$P$19,Lists!$AA$2:$AA$19,0)))</f>
        <v>0</v>
      </c>
      <c r="Y231" s="49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  <c r="CZ231" s="18"/>
      <c r="DA231" s="18"/>
      <c r="DB231" s="18"/>
      <c r="DC231" s="18"/>
      <c r="DD231" s="18"/>
      <c r="DE231" s="18"/>
      <c r="DF231" s="18"/>
    </row>
    <row r="232" spans="1:110">
      <c r="A232" s="168">
        <v>7</v>
      </c>
      <c r="B232" s="47" t="str">
        <f ca="1">Lineups!$H$67</f>
        <v>Yellow Magikoopa</v>
      </c>
      <c r="C232" s="49" t="s">
        <v>177</v>
      </c>
      <c r="D232" s="49"/>
      <c r="E232" s="49"/>
      <c r="F232" s="49"/>
      <c r="G232" s="49"/>
      <c r="H232" s="50"/>
      <c r="I232" s="50"/>
      <c r="J232" s="50"/>
      <c r="K232" s="50"/>
      <c r="L232" s="50"/>
      <c r="M232" s="67">
        <f ca="1">IF($B232="","",SUM(_xlfn.XLOOKUP(C232,Lists!$P$2:$P$19,Lists!$R$2:$R$19,0),_xlfn.XLOOKUP(E232,Lists!$P$2:$P$19,Lists!$R$2:$R$19,0),_xlfn.XLOOKUP(G232,Lists!$P$2:$P$19,Lists!$R$2:$R$19,0),_xlfn.XLOOKUP(I232,Lists!$P$2:$P$19,Lists!$R$2:$R$19,0),_xlfn.XLOOKUP(K232,Lists!$P$2:$P$19,Lists!$R$2:$R$19,0)))</f>
        <v>1</v>
      </c>
      <c r="N232" s="68">
        <f ca="1">IF($B232="","",SUM(_xlfn.XLOOKUP(D232,Lists!$AC$2:$AC$9,Lists!$AE$2:$AE$9,0),_xlfn.XLOOKUP(F232,Lists!$AC$2:$AC$9,Lists!$AE$2:$AE$9,0),_xlfn.XLOOKUP(H232,Lists!$AC$2:$AC$9,Lists!$AE$2:$AE$9,0),_xlfn.XLOOKUP(J232,Lists!$AC$2:$AC$9,Lists!$AE$2:$AE$9,0),_xlfn.XLOOKUP(L232,Lists!$AC$2:$AC$9,Lists!$AE$2:$AE$9,0)))</f>
        <v>0</v>
      </c>
      <c r="O232" s="68">
        <f ca="1">IF($B232="","",SUM(_xlfn.XLOOKUP(C232,Lists!$P$2:$P$19,Lists!$S$2:$S$19,0),_xlfn.XLOOKUP(E232,Lists!$P$2:$P$19,Lists!$S$2:$S$19,0),_xlfn.XLOOKUP(G232,Lists!$P$2:$P$19,Lists!$S$2:$S$19,0),_xlfn.XLOOKUP(I232,Lists!$P$2:$P$19,Lists!$S$2:$S$19,0),_xlfn.XLOOKUP(K232,Lists!$P$2:$P$19,Lists!$S$2:$S$19,0)))</f>
        <v>1</v>
      </c>
      <c r="P232" s="68">
        <f ca="1">IF($B232="","",SUM(_xlfn.XLOOKUP(C232,Lists!$P$2:$P$19,Lists!$T$2:$T$19,0),_xlfn.XLOOKUP(E232,Lists!$P$2:$P$19,Lists!$T$2:$T$19,0),_xlfn.XLOOKUP(G232,Lists!$P$2:$P$19,Lists!$T$2:$T$19,0),_xlfn.XLOOKUP(I232,Lists!$P$2:$P$19,Lists!$T$2:$T$19,0),_xlfn.XLOOKUP(K232,Lists!$P$2:$P$19,Lists!$T$2:$T$19,0)))</f>
        <v>0</v>
      </c>
      <c r="Q232" s="68">
        <f ca="1">IF($B232="","",SUM(_xlfn.XLOOKUP(C232,Lists!$P$2:$P$19,Lists!$U$2:$U$19,0),_xlfn.XLOOKUP(E232,Lists!$P$2:$P$19,Lists!$U$2:$U$19,0),_xlfn.XLOOKUP(G232,Lists!$P$2:$P$19,Lists!$U$2:$U$19,0),_xlfn.XLOOKUP(I232,Lists!$P$2:$P$19,Lists!$U$2:$U$19,0),_xlfn.XLOOKUP(K232,Lists!$P$2:$P$19,Lists!$U$2:$U$19,0)))</f>
        <v>1</v>
      </c>
      <c r="R232" s="68">
        <f ca="1">IF($B232="","",SUM(_xlfn.XLOOKUP(C232,Lists!$P$2:$P$19,Lists!$V$2:$V$19,0),_xlfn.XLOOKUP(E232,Lists!$P$2:$P$19,Lists!$V$2:$V$19,0),_xlfn.XLOOKUP(G232,Lists!$P$2:$P$19,Lists!$V$2:$V$19,0),_xlfn.XLOOKUP(I232,Lists!$P$2:$P$19,Lists!$V$2:$V$19,0),_xlfn.XLOOKUP(K232,Lists!$P$2:$P$19,Lists!$V$2:$V$19,0)))</f>
        <v>0</v>
      </c>
      <c r="S232" s="68">
        <f ca="1">IF($B232="","",SUM(_xlfn.XLOOKUP(D232,Lists!$AC$2:$AC$9,Lists!$AD$2:$AD$9,0),_xlfn.XLOOKUP(F232,Lists!$AC$2:$AC$9,Lists!$AD$2:$AD$9,0),_xlfn.XLOOKUP(H232,Lists!$AC$2:$AC$9,Lists!$AD$2:$AD$9,0),_xlfn.XLOOKUP(J232,Lists!$AC$2:$AC$9,Lists!$AD$2:$AD$9,0),_xlfn.XLOOKUP(L232,Lists!$AC$2:$AC$9,Lists!$AD$2:$AD$9,0)))</f>
        <v>0</v>
      </c>
      <c r="T232" s="68">
        <f ca="1">IF($B232="","",SUM(_xlfn.XLOOKUP(C232,Lists!$P$2:$P$19,Lists!$W$2:$W$19,0),_xlfn.XLOOKUP(E232,Lists!$P$2:$P$19,Lists!$W$2:$W$19,0),_xlfn.XLOOKUP(G232,Lists!$P$2:$P$19,Lists!$W$2:$W$19,0),_xlfn.XLOOKUP(I232,Lists!$P$2:$P$19,Lists!$W$2:$W$19,0),_xlfn.XLOOKUP(K232,Lists!$P$2:$P$19,Lists!$W$2:$W$19,0)))</f>
        <v>0</v>
      </c>
      <c r="U232" s="68">
        <f ca="1">IF($B232="","",SUM(_xlfn.XLOOKUP(C232,Lists!$P$2:$P$19,Lists!$X$2:$X$19,0),_xlfn.XLOOKUP(E232,Lists!$P$2:$P$19,Lists!$X$2:$X$19,0),_xlfn.XLOOKUP(G232,Lists!$P$2:$P$19,Lists!$X$2:$X$19,0),_xlfn.XLOOKUP(I232,Lists!$P$2:$P$19,Lists!$X$2:$X$19,0),_xlfn.XLOOKUP(K232,Lists!$P$2:$P$19,Lists!$X$2:$X$19,0)))</f>
        <v>0</v>
      </c>
      <c r="V232" s="68">
        <f ca="1">IF($B232="","",SUM(_xlfn.XLOOKUP(C232,Lists!$P$2:$P$19,Lists!$Y$2:$Y$19,0),_xlfn.XLOOKUP(E232,Lists!$P$2:$P$19,Lists!$Y$2:$Y$19,0),_xlfn.XLOOKUP(G232,Lists!$P$2:$P$19,Lists!$Y$2:$Y$19,0),_xlfn.XLOOKUP(I232,Lists!$P$2:$P$19,Lists!$Y$2:$Y$19,0),_xlfn.XLOOKUP(K232,Lists!$P$2:$P$19,Lists!$Y$2:$Y$19,0)))</f>
        <v>0</v>
      </c>
      <c r="W232" s="68">
        <f ca="1">IF($B232="","",SUM(_xlfn.XLOOKUP(C232,Lists!$P$2:$P$19,Lists!$Z$2:$Z$19,0),_xlfn.XLOOKUP(E232,Lists!$P$2:$P$19,Lists!$Z$2:$Z$19,0),_xlfn.XLOOKUP(G232,Lists!$P$2:$P$19,Lists!$Z$2:$Z$19,0),_xlfn.XLOOKUP(I232,Lists!$P$2:$P$19,Lists!$Z$2:$Z$19,0),_xlfn.XLOOKUP(K232,Lists!$P$2:$P$19,Lists!$Z$2:$Z$19,0)))</f>
        <v>0</v>
      </c>
      <c r="X232" s="69">
        <f ca="1">IF($B232="","",SUM(_xlfn.XLOOKUP(C232,Lists!$P$2:$P$19,Lists!$AA$2:$AA$19,0),_xlfn.XLOOKUP(E232,Lists!$P$2:$P$19,Lists!$AA$2:$AA$19,0),_xlfn.XLOOKUP(G232,Lists!$P$2:$P$19,Lists!$AA$2:$AA$19,0),_xlfn.XLOOKUP(I232,Lists!$P$2:$P$19,Lists!$AA$2:$AA$19,0),_xlfn.XLOOKUP(K232,Lists!$P$2:$P$19,Lists!$AA$2:$AA$19,0)))</f>
        <v>0</v>
      </c>
      <c r="Y232" s="49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/>
    </row>
    <row r="233" spans="1:110">
      <c r="A233" s="168">
        <v>8</v>
      </c>
      <c r="B233" s="47" t="str">
        <f ca="1">Lineups!$H$68</f>
        <v>Paratroopa</v>
      </c>
      <c r="C233" s="49" t="s">
        <v>185</v>
      </c>
      <c r="D233" s="49"/>
      <c r="E233" s="49"/>
      <c r="F233" s="49"/>
      <c r="G233" s="49"/>
      <c r="H233" s="50"/>
      <c r="I233" s="50"/>
      <c r="J233" s="50"/>
      <c r="K233" s="50"/>
      <c r="L233" s="50"/>
      <c r="M233" s="67">
        <f ca="1">IF($B233="","",SUM(_xlfn.XLOOKUP(C233,Lists!$P$2:$P$19,Lists!$R$2:$R$19,0),_xlfn.XLOOKUP(E233,Lists!$P$2:$P$19,Lists!$R$2:$R$19,0),_xlfn.XLOOKUP(G233,Lists!$P$2:$P$19,Lists!$R$2:$R$19,0),_xlfn.XLOOKUP(I233,Lists!$P$2:$P$19,Lists!$R$2:$R$19,0),_xlfn.XLOOKUP(K233,Lists!$P$2:$P$19,Lists!$R$2:$R$19,0)))</f>
        <v>1</v>
      </c>
      <c r="N233" s="68">
        <f ca="1">IF($B233="","",SUM(_xlfn.XLOOKUP(D233,Lists!$AC$2:$AC$9,Lists!$AE$2:$AE$9,0),_xlfn.XLOOKUP(F233,Lists!$AC$2:$AC$9,Lists!$AE$2:$AE$9,0),_xlfn.XLOOKUP(H233,Lists!$AC$2:$AC$9,Lists!$AE$2:$AE$9,0),_xlfn.XLOOKUP(J233,Lists!$AC$2:$AC$9,Lists!$AE$2:$AE$9,0),_xlfn.XLOOKUP(L233,Lists!$AC$2:$AC$9,Lists!$AE$2:$AE$9,0)))</f>
        <v>0</v>
      </c>
      <c r="O233" s="68">
        <f ca="1">IF($B233="","",SUM(_xlfn.XLOOKUP(C233,Lists!$P$2:$P$19,Lists!$S$2:$S$19,0),_xlfn.XLOOKUP(E233,Lists!$P$2:$P$19,Lists!$S$2:$S$19,0),_xlfn.XLOOKUP(G233,Lists!$P$2:$P$19,Lists!$S$2:$S$19,0),_xlfn.XLOOKUP(I233,Lists!$P$2:$P$19,Lists!$S$2:$S$19,0),_xlfn.XLOOKUP(K233,Lists!$P$2:$P$19,Lists!$S$2:$S$19,0)))</f>
        <v>0</v>
      </c>
      <c r="P233" s="68">
        <f ca="1">IF($B233="","",SUM(_xlfn.XLOOKUP(C233,Lists!$P$2:$P$19,Lists!$T$2:$T$19,0),_xlfn.XLOOKUP(E233,Lists!$P$2:$P$19,Lists!$T$2:$T$19,0),_xlfn.XLOOKUP(G233,Lists!$P$2:$P$19,Lists!$T$2:$T$19,0),_xlfn.XLOOKUP(I233,Lists!$P$2:$P$19,Lists!$T$2:$T$19,0),_xlfn.XLOOKUP(K233,Lists!$P$2:$P$19,Lists!$T$2:$T$19,0)))</f>
        <v>0</v>
      </c>
      <c r="Q233" s="68">
        <f ca="1">IF($B233="","",SUM(_xlfn.XLOOKUP(C233,Lists!$P$2:$P$19,Lists!$U$2:$U$19,0),_xlfn.XLOOKUP(E233,Lists!$P$2:$P$19,Lists!$U$2:$U$19,0),_xlfn.XLOOKUP(G233,Lists!$P$2:$P$19,Lists!$U$2:$U$19,0),_xlfn.XLOOKUP(I233,Lists!$P$2:$P$19,Lists!$U$2:$U$19,0),_xlfn.XLOOKUP(K233,Lists!$P$2:$P$19,Lists!$U$2:$U$19,0)))</f>
        <v>0</v>
      </c>
      <c r="R233" s="68">
        <f ca="1">IF($B233="","",SUM(_xlfn.XLOOKUP(C233,Lists!$P$2:$P$19,Lists!$V$2:$V$19,0),_xlfn.XLOOKUP(E233,Lists!$P$2:$P$19,Lists!$V$2:$V$19,0),_xlfn.XLOOKUP(G233,Lists!$P$2:$P$19,Lists!$V$2:$V$19,0),_xlfn.XLOOKUP(I233,Lists!$P$2:$P$19,Lists!$V$2:$V$19,0),_xlfn.XLOOKUP(K233,Lists!$P$2:$P$19,Lists!$V$2:$V$19,0)))</f>
        <v>0</v>
      </c>
      <c r="S233" s="68">
        <f ca="1">IF($B233="","",SUM(_xlfn.XLOOKUP(D233,Lists!$AC$2:$AC$9,Lists!$AD$2:$AD$9,0),_xlfn.XLOOKUP(F233,Lists!$AC$2:$AC$9,Lists!$AD$2:$AD$9,0),_xlfn.XLOOKUP(H233,Lists!$AC$2:$AC$9,Lists!$AD$2:$AD$9,0),_xlfn.XLOOKUP(J233,Lists!$AC$2:$AC$9,Lists!$AD$2:$AD$9,0),_xlfn.XLOOKUP(L233,Lists!$AC$2:$AC$9,Lists!$AD$2:$AD$9,0)))</f>
        <v>0</v>
      </c>
      <c r="T233" s="68">
        <f ca="1">IF($B233="","",SUM(_xlfn.XLOOKUP(C233,Lists!$P$2:$P$19,Lists!$W$2:$W$19,0),_xlfn.XLOOKUP(E233,Lists!$P$2:$P$19,Lists!$W$2:$W$19,0),_xlfn.XLOOKUP(G233,Lists!$P$2:$P$19,Lists!$W$2:$W$19,0),_xlfn.XLOOKUP(I233,Lists!$P$2:$P$19,Lists!$W$2:$W$19,0),_xlfn.XLOOKUP(K233,Lists!$P$2:$P$19,Lists!$W$2:$W$19,0)))</f>
        <v>0</v>
      </c>
      <c r="U233" s="68">
        <f ca="1">IF($B233="","",SUM(_xlfn.XLOOKUP(C233,Lists!$P$2:$P$19,Lists!$X$2:$X$19,0),_xlfn.XLOOKUP(E233,Lists!$P$2:$P$19,Lists!$X$2:$X$19,0),_xlfn.XLOOKUP(G233,Lists!$P$2:$P$19,Lists!$X$2:$X$19,0),_xlfn.XLOOKUP(I233,Lists!$P$2:$P$19,Lists!$X$2:$X$19,0),_xlfn.XLOOKUP(K233,Lists!$P$2:$P$19,Lists!$X$2:$X$19,0)))</f>
        <v>1</v>
      </c>
      <c r="V233" s="68">
        <f ca="1">IF($B233="","",SUM(_xlfn.XLOOKUP(C233,Lists!$P$2:$P$19,Lists!$Y$2:$Y$19,0),_xlfn.XLOOKUP(E233,Lists!$P$2:$P$19,Lists!$Y$2:$Y$19,0),_xlfn.XLOOKUP(G233,Lists!$P$2:$P$19,Lists!$Y$2:$Y$19,0),_xlfn.XLOOKUP(I233,Lists!$P$2:$P$19,Lists!$Y$2:$Y$19,0),_xlfn.XLOOKUP(K233,Lists!$P$2:$P$19,Lists!$Y$2:$Y$19,0)))</f>
        <v>0</v>
      </c>
      <c r="W233" s="68">
        <f ca="1">IF($B233="","",SUM(_xlfn.XLOOKUP(C233,Lists!$P$2:$P$19,Lists!$Z$2:$Z$19,0),_xlfn.XLOOKUP(E233,Lists!$P$2:$P$19,Lists!$Z$2:$Z$19,0),_xlfn.XLOOKUP(G233,Lists!$P$2:$P$19,Lists!$Z$2:$Z$19,0),_xlfn.XLOOKUP(I233,Lists!$P$2:$P$19,Lists!$Z$2:$Z$19,0),_xlfn.XLOOKUP(K233,Lists!$P$2:$P$19,Lists!$Z$2:$Z$19,0)))</f>
        <v>0</v>
      </c>
      <c r="X233" s="69">
        <f ca="1">IF($B233="","",SUM(_xlfn.XLOOKUP(C233,Lists!$P$2:$P$19,Lists!$AA$2:$AA$19,0),_xlfn.XLOOKUP(E233,Lists!$P$2:$P$19,Lists!$AA$2:$AA$19,0),_xlfn.XLOOKUP(G233,Lists!$P$2:$P$19,Lists!$AA$2:$AA$19,0),_xlfn.XLOOKUP(I233,Lists!$P$2:$P$19,Lists!$AA$2:$AA$19,0),_xlfn.XLOOKUP(K233,Lists!$P$2:$P$19,Lists!$AA$2:$AA$19,0)))</f>
        <v>0</v>
      </c>
      <c r="Y233" s="49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  <c r="DF233" s="18"/>
    </row>
    <row r="234" spans="1:110">
      <c r="A234" s="168">
        <v>9</v>
      </c>
      <c r="B234" s="47" t="str">
        <f ca="1">Lineups!$H$69</f>
        <v>Boo</v>
      </c>
      <c r="C234" s="49" t="s">
        <v>186</v>
      </c>
      <c r="D234" s="49"/>
      <c r="E234" s="49"/>
      <c r="F234" s="49"/>
      <c r="G234" s="49"/>
      <c r="H234" s="50"/>
      <c r="I234" s="50"/>
      <c r="J234" s="50"/>
      <c r="K234" s="50"/>
      <c r="L234" s="50"/>
      <c r="M234" s="67">
        <f ca="1">IF($B234="","",SUM(_xlfn.XLOOKUP(C234,Lists!$P$2:$P$19,Lists!$R$2:$R$19,0),_xlfn.XLOOKUP(E234,Lists!$P$2:$P$19,Lists!$R$2:$R$19,0),_xlfn.XLOOKUP(G234,Lists!$P$2:$P$19,Lists!$R$2:$R$19,0),_xlfn.XLOOKUP(I234,Lists!$P$2:$P$19,Lists!$R$2:$R$19,0),_xlfn.XLOOKUP(K234,Lists!$P$2:$P$19,Lists!$R$2:$R$19,0)))</f>
        <v>1</v>
      </c>
      <c r="N234" s="68">
        <f ca="1">IF($B234="","",SUM(_xlfn.XLOOKUP(D234,Lists!$AC$2:$AC$9,Lists!$AE$2:$AE$9,0),_xlfn.XLOOKUP(F234,Lists!$AC$2:$AC$9,Lists!$AE$2:$AE$9,0),_xlfn.XLOOKUP(H234,Lists!$AC$2:$AC$9,Lists!$AE$2:$AE$9,0),_xlfn.XLOOKUP(J234,Lists!$AC$2:$AC$9,Lists!$AE$2:$AE$9,0),_xlfn.XLOOKUP(L234,Lists!$AC$2:$AC$9,Lists!$AE$2:$AE$9,0)))</f>
        <v>0</v>
      </c>
      <c r="O234" s="68">
        <f ca="1">IF($B234="","",SUM(_xlfn.XLOOKUP(C234,Lists!$P$2:$P$19,Lists!$S$2:$S$19,0),_xlfn.XLOOKUP(E234,Lists!$P$2:$P$19,Lists!$S$2:$S$19,0),_xlfn.XLOOKUP(G234,Lists!$P$2:$P$19,Lists!$S$2:$S$19,0),_xlfn.XLOOKUP(I234,Lists!$P$2:$P$19,Lists!$S$2:$S$19,0),_xlfn.XLOOKUP(K234,Lists!$P$2:$P$19,Lists!$S$2:$S$19,0)))</f>
        <v>0</v>
      </c>
      <c r="P234" s="68">
        <f ca="1">IF($B234="","",SUM(_xlfn.XLOOKUP(C234,Lists!$P$2:$P$19,Lists!$T$2:$T$19,0),_xlfn.XLOOKUP(E234,Lists!$P$2:$P$19,Lists!$T$2:$T$19,0),_xlfn.XLOOKUP(G234,Lists!$P$2:$P$19,Lists!$T$2:$T$19,0),_xlfn.XLOOKUP(I234,Lists!$P$2:$P$19,Lists!$T$2:$T$19,0),_xlfn.XLOOKUP(K234,Lists!$P$2:$P$19,Lists!$T$2:$T$19,0)))</f>
        <v>0</v>
      </c>
      <c r="Q234" s="68">
        <f ca="1">IF($B234="","",SUM(_xlfn.XLOOKUP(C234,Lists!$P$2:$P$19,Lists!$U$2:$U$19,0),_xlfn.XLOOKUP(E234,Lists!$P$2:$P$19,Lists!$U$2:$U$19,0),_xlfn.XLOOKUP(G234,Lists!$P$2:$P$19,Lists!$U$2:$U$19,0),_xlfn.XLOOKUP(I234,Lists!$P$2:$P$19,Lists!$U$2:$U$19,0),_xlfn.XLOOKUP(K234,Lists!$P$2:$P$19,Lists!$U$2:$U$19,0)))</f>
        <v>0</v>
      </c>
      <c r="R234" s="68">
        <f ca="1">IF($B234="","",SUM(_xlfn.XLOOKUP(C234,Lists!$P$2:$P$19,Lists!$V$2:$V$19,0),_xlfn.XLOOKUP(E234,Lists!$P$2:$P$19,Lists!$V$2:$V$19,0),_xlfn.XLOOKUP(G234,Lists!$P$2:$P$19,Lists!$V$2:$V$19,0),_xlfn.XLOOKUP(I234,Lists!$P$2:$P$19,Lists!$V$2:$V$19,0),_xlfn.XLOOKUP(K234,Lists!$P$2:$P$19,Lists!$V$2:$V$19,0)))</f>
        <v>0</v>
      </c>
      <c r="S234" s="68">
        <f ca="1">IF($B234="","",SUM(_xlfn.XLOOKUP(D234,Lists!$AC$2:$AC$9,Lists!$AD$2:$AD$9,0),_xlfn.XLOOKUP(F234,Lists!$AC$2:$AC$9,Lists!$AD$2:$AD$9,0),_xlfn.XLOOKUP(H234,Lists!$AC$2:$AC$9,Lists!$AD$2:$AD$9,0),_xlfn.XLOOKUP(J234,Lists!$AC$2:$AC$9,Lists!$AD$2:$AD$9,0),_xlfn.XLOOKUP(L234,Lists!$AC$2:$AC$9,Lists!$AD$2:$AD$9,0)))</f>
        <v>0</v>
      </c>
      <c r="T234" s="68">
        <f ca="1">IF($B234="","",SUM(_xlfn.XLOOKUP(C234,Lists!$P$2:$P$19,Lists!$W$2:$W$19,0),_xlfn.XLOOKUP(E234,Lists!$P$2:$P$19,Lists!$W$2:$W$19,0),_xlfn.XLOOKUP(G234,Lists!$P$2:$P$19,Lists!$W$2:$W$19,0),_xlfn.XLOOKUP(I234,Lists!$P$2:$P$19,Lists!$W$2:$W$19,0),_xlfn.XLOOKUP(K234,Lists!$P$2:$P$19,Lists!$W$2:$W$19,0)))</f>
        <v>0</v>
      </c>
      <c r="U234" s="68">
        <f ca="1">IF($B234="","",SUM(_xlfn.XLOOKUP(C234,Lists!$P$2:$P$19,Lists!$X$2:$X$19,0),_xlfn.XLOOKUP(E234,Lists!$P$2:$P$19,Lists!$X$2:$X$19,0),_xlfn.XLOOKUP(G234,Lists!$P$2:$P$19,Lists!$X$2:$X$19,0),_xlfn.XLOOKUP(I234,Lists!$P$2:$P$19,Lists!$X$2:$X$19,0),_xlfn.XLOOKUP(K234,Lists!$P$2:$P$19,Lists!$X$2:$X$19,0)))</f>
        <v>0</v>
      </c>
      <c r="V234" s="68">
        <f ca="1">IF($B234="","",SUM(_xlfn.XLOOKUP(C234,Lists!$P$2:$P$19,Lists!$Y$2:$Y$19,0),_xlfn.XLOOKUP(E234,Lists!$P$2:$P$19,Lists!$Y$2:$Y$19,0),_xlfn.XLOOKUP(G234,Lists!$P$2:$P$19,Lists!$Y$2:$Y$19,0),_xlfn.XLOOKUP(I234,Lists!$P$2:$P$19,Lists!$Y$2:$Y$19,0),_xlfn.XLOOKUP(K234,Lists!$P$2:$P$19,Lists!$Y$2:$Y$19,0)))</f>
        <v>0</v>
      </c>
      <c r="W234" s="68">
        <f ca="1">IF($B234="","",SUM(_xlfn.XLOOKUP(C234,Lists!$P$2:$P$19,Lists!$Z$2:$Z$19,0),_xlfn.XLOOKUP(E234,Lists!$P$2:$P$19,Lists!$Z$2:$Z$19,0),_xlfn.XLOOKUP(G234,Lists!$P$2:$P$19,Lists!$Z$2:$Z$19,0),_xlfn.XLOOKUP(I234,Lists!$P$2:$P$19,Lists!$Z$2:$Z$19,0),_xlfn.XLOOKUP(K234,Lists!$P$2:$P$19,Lists!$Z$2:$Z$19,0)))</f>
        <v>0</v>
      </c>
      <c r="X234" s="69">
        <f ca="1">IF($B234="","",SUM(_xlfn.XLOOKUP(C234,Lists!$P$2:$P$19,Lists!$AA$2:$AA$19,0),_xlfn.XLOOKUP(E234,Lists!$P$2:$P$19,Lists!$AA$2:$AA$19,0),_xlfn.XLOOKUP(G234,Lists!$P$2:$P$19,Lists!$AA$2:$AA$19,0),_xlfn.XLOOKUP(I234,Lists!$P$2:$P$19,Lists!$AA$2:$AA$19,0),_xlfn.XLOOKUP(K234,Lists!$P$2:$P$19,Lists!$AA$2:$AA$19,0)))</f>
        <v>0</v>
      </c>
      <c r="Y234" s="49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8"/>
    </row>
    <row r="235" spans="1:110">
      <c r="A235" s="173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8"/>
    </row>
    <row r="236" spans="1:110">
      <c r="A236" s="222" t="str">
        <f ca="1">IF($R$198="","Team B Pitching",$R$198&amp;" Pitching")</f>
        <v>Justin Pitching</v>
      </c>
      <c r="B236" s="221"/>
      <c r="C236" s="221"/>
      <c r="D236" s="221"/>
      <c r="E236" s="221"/>
      <c r="F236" s="221"/>
      <c r="G236" s="221"/>
      <c r="H236" s="221"/>
      <c r="I236" s="221"/>
      <c r="J236" s="221"/>
      <c r="K236" s="221"/>
      <c r="L236" s="221"/>
      <c r="M236" s="221"/>
      <c r="N236" s="206"/>
      <c r="O236" s="186"/>
      <c r="P236" s="24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  <c r="DF236" s="18"/>
    </row>
    <row r="237" spans="1:110">
      <c r="A237" s="167" t="s">
        <v>103</v>
      </c>
      <c r="B237" s="43" t="s">
        <v>194</v>
      </c>
      <c r="C237" s="43" t="s">
        <v>195</v>
      </c>
      <c r="D237" s="43" t="s">
        <v>162</v>
      </c>
      <c r="E237" s="43" t="s">
        <v>161</v>
      </c>
      <c r="F237" s="43" t="s">
        <v>196</v>
      </c>
      <c r="G237" s="43" t="s">
        <v>180</v>
      </c>
      <c r="H237" s="43" t="s">
        <v>181</v>
      </c>
      <c r="I237" s="44" t="s">
        <v>197</v>
      </c>
      <c r="J237" s="44" t="s">
        <v>198</v>
      </c>
      <c r="K237" s="44" t="s">
        <v>199</v>
      </c>
      <c r="L237" s="44" t="s">
        <v>200</v>
      </c>
      <c r="M237" s="44" t="s">
        <v>201</v>
      </c>
      <c r="N237" s="45" t="s">
        <v>202</v>
      </c>
      <c r="O237" s="45" t="s">
        <v>203</v>
      </c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  <c r="DF237" s="18"/>
    </row>
    <row r="238" spans="1:110">
      <c r="A238" s="168">
        <v>1</v>
      </c>
      <c r="B238" s="71" t="s">
        <v>51</v>
      </c>
      <c r="C238" s="70" cm="1">
        <f t="array" aca="1" ref="C238" ca="1">IF(OR(B238="",O238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238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2</v>
      </c>
      <c r="D238" s="67" cm="1">
        <f t="array" aca="1" ref="D238" ca="1">IF(OR(B238="",O238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238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3</v>
      </c>
      <c r="E238" s="67" cm="1">
        <f t="array" aca="1" ref="E238" ca="1">IF(OR(B238="",O238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238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2</v>
      </c>
      <c r="F238" s="67" cm="1">
        <f t="array" aca="1" ref="F238" ca="1">IF(OR(B238="",O238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238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2</v>
      </c>
      <c r="G238" s="67" cm="1">
        <f t="array" aca="1" ref="G238" ca="1">IF(OR(B238="",O238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238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238" s="67" cm="1">
        <f t="array" aca="1" ref="H238" ca="1">IF(OR(B238="",O238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238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1</v>
      </c>
      <c r="I238" s="68" cm="1">
        <f t="array" aca="1" ref="I238" ca="1">IF(OR(B238="",O238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238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2</v>
      </c>
      <c r="J238" s="68" cm="1">
        <f t="array" aca="1" ref="J238" ca="1">IF(OR(B238="",O238=""),"",--(SUM(_xlfn.XLOOKUP(_xlfn._xlws.FILTER(_xlfn.TOCOL(_xlfn.CHOOSECOLS(C226:L234,2,4,6,8,10),0,TRUE),_xlfn.TOCOL(_xlfn.CHOOSECOLS(C226:L234,1,3,5,7,9),0,TRUE)&lt;&gt;""),Lists!$AC$2:$AC$9,Lists!$AF$2:$AF$9,0))&gt;SUM(_xlfn.XLOOKUP(_xlfn._xlws.FILTER(_xlfn.TOCOL(_xlfn.CHOOSECOLS(C205:L213,2,4,6,8,10),0,TRUE),_xlfn.TOCOL(_xlfn.CHOOSECOLS(C205:L213,1,3,5,7,9),0,TRUE)&lt;&gt;""),Lists!$AC$2:$AC$9,Lists!$AF$2:$AF$9,0)))*--(ROW()-ROW(C237)=_xlfn.XLOOKUP(MAX(IF(O238:O243&gt;0,INT(C238:C243)*3+MOD(ROUND(C238:C243*10,0),10),-1)),IF(O238:O243&gt;0,INT(C238:C243)*3+MOD(ROUND(C238:C243*10,0),10),-1),_xlfn.SEQUENCE(ROWS(O238:O243)),,0)))</f>
        <v>0</v>
      </c>
      <c r="K238" s="68" cm="1">
        <f t="array" aca="1" ref="K238" ca="1">IF(OR(B238="",O238=""),"",--(SUM(_xlfn.XLOOKUP(_xlfn._xlws.FILTER(_xlfn.TOCOL(_xlfn.CHOOSECOLS(C226:L234,2,4,6,8,10),0,TRUE),_xlfn.TOCOL(_xlfn.CHOOSECOLS(C226:L234,1,3,5,7,9),0,TRUE)&lt;&gt;""),Lists!$AC$2:$AC$9,Lists!$AF$2:$AF$9,0))&lt;SUM(_xlfn.XLOOKUP(_xlfn._xlws.FILTER(_xlfn.TOCOL(_xlfn.CHOOSECOLS(C205:L213,2,4,6,8,10),0,TRUE),_xlfn.TOCOL(_xlfn.CHOOSECOLS(C205:L213,1,3,5,7,9),0,TRUE)&lt;&gt;""),Lists!$AC$2:$AC$9,Lists!$AF$2:$AF$9,0)))*--(ROW()-ROW(C237)=_xlfn.XLOOKUP(MAX(IF(O238:O243&gt;0,E238:E243,-1)),IF(O238:O243&gt;0,E238:E243,-1),_xlfn.SEQUENCE(ROWS(O238:O243)),,0)))</f>
        <v>1</v>
      </c>
      <c r="L238" s="68" cm="1">
        <f t="array" aca="1" ref="L238" ca="1">IF(OR(B238="",O238=""),"",--(SUM(_xlfn.XLOOKUP(_xlfn._xlws.FILTER(_xlfn.TOCOL(_xlfn.CHOOSECOLS(C226:L234,2,4,6,8,10),0,TRUE),_xlfn.TOCOL(_xlfn.CHOOSECOLS(C226:L234,1,3,5,7,9),0,TRUE)&lt;&gt;""),Lists!$AC$2:$AC$9,Lists!$AF$2:$AF$9,0))&gt;SUM(_xlfn.XLOOKUP(_xlfn._xlws.FILTER(_xlfn.TOCOL(_xlfn.CHOOSECOLS(C205:L213,2,4,6,8,10),0,TRUE),_xlfn.TOCOL(_xlfn.CHOOSECOLS(C205:L213,1,3,5,7,9),0,TRUE)&lt;&gt;""),Lists!$AC$2:$AC$9,Lists!$AF$2:$AF$9,0)))*--(COUNTIF(O238:O243,"&gt;0")&gt;1)*--(ROW()-ROW(C237)=_xlfn.XLOOKUP(TRUE,O238:O243&gt;0,_xlfn.SEQUENCE(ROWS(O238:O243)),,0,-1))*--(_xlfn.XLOOKUP(TRUE,O238:O243&gt;0,_xlfn.SEQUENCE(ROWS(O238:O243)),,0,-1)&lt;&gt;_xlfn.XLOOKUP(MAX(IF(O238:O243&gt;0,INT(C238:C243)*3+MOD(ROUND(C238:C243*10,0),10),-1)),IF(O238:O243&gt;0,INT(C238:C243)*3+MOD(ROUND(C238:C243*10,0),10),-1),_xlfn.SEQUENCE(ROWS(O238:O243)),,0))*--(SUM(_xlfn.XLOOKUP(_xlfn._xlws.FILTER(_xlfn.TOCOL(_xlfn.CHOOSECOLS(C226:L234,2,4,6,8,10),0,TRUE),_xlfn.TOCOL(_xlfn.CHOOSECOLS(C226:L234,1,3,5,7,9),0,TRUE)&lt;&gt;""),Lists!$AC$2:$AC$9,Lists!$AF$2:$AF$9,0))-SUM(_xlfn.XLOOKUP(_xlfn._xlws.FILTER(_xlfn.TOCOL(_xlfn.CHOOSECOLS(C205:L213,2,4,6,8,10),0,TRUE),_xlfn.TOCOL(_xlfn.CHOOSECOLS(C205:L213,1,3,5,7,9),0,TRUE)&lt;&gt;""),Lists!$AC$2:$AC$9,Lists!$AF$2:$AF$9,0))&lt;=3)*--((INT(C238)*3+MOD(ROUND(C238*10,0),10))&gt;=3))</f>
        <v>0</v>
      </c>
      <c r="M238" s="68" cm="1">
        <f t="array" aca="1" ref="M238" ca="1">IF(OR(B238="",O238=""),"",--(COUNTIF(O238:O243,"&gt;0")=1)*--(SUM(_xlfn.XLOOKUP(_xlfn._xlws.FILTER(_xlfn.TOCOL(_xlfn.CHOOSECOLS(C205:L213,2,4,6,8,10),0,TRUE),_xlfn.TOCOL(_xlfn.CHOOSECOLS(C205:L213,1,3,5,7,9),0,TRUE)&lt;&gt;""),Lists!$AC$2:$AC$9,Lists!$AF$2:$AF$9,0))=0))</f>
        <v>0</v>
      </c>
      <c r="N238" s="69">
        <f ca="1">IF(OR(B238="",O238=""),"",--(COUNTIF(O238:O243,"&gt;0")=1))</f>
        <v>1</v>
      </c>
      <c r="O238" s="51">
        <v>9</v>
      </c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</row>
    <row r="239" spans="1:110">
      <c r="A239" s="168">
        <v>2</v>
      </c>
      <c r="B239" s="71"/>
      <c r="C239" s="70" t="str" cm="1">
        <f t="array" aca="1" ref="C239" ca="1">IF(OR(B239="",O239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239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39" s="67" t="str" cm="1">
        <f t="array" aca="1" ref="D239" ca="1">IF(OR(B239="",O239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239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39" s="67" t="str" cm="1">
        <f t="array" aca="1" ref="E239" ca="1">IF(OR(B239="",O239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239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39" s="67" t="str" cm="1">
        <f t="array" aca="1" ref="F239" ca="1">IF(OR(B239="",O239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239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39" s="67" t="str" cm="1">
        <f t="array" aca="1" ref="G239" ca="1">IF(OR(B239="",O239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239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39" s="67" t="str" cm="1">
        <f t="array" aca="1" ref="H239" ca="1">IF(OR(B239="",O239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239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39" s="68" t="str" cm="1">
        <f t="array" aca="1" ref="I239" ca="1">IF(OR(B239="",O239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239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39" s="68" t="str" cm="1">
        <f t="array" aca="1" ref="J239" ca="1">IF(OR(B239="",O239=""),"",--(SUM(_xlfn.XLOOKUP(_xlfn._xlws.FILTER(_xlfn.TOCOL(_xlfn.CHOOSECOLS(C226:L234,2,4,6,8,10),0,TRUE),_xlfn.TOCOL(_xlfn.CHOOSECOLS(C226:L234,1,3,5,7,9),0,TRUE)&lt;&gt;""),Lists!$AC$2:$AC$9,Lists!$AF$2:$AF$9,0))&gt;SUM(_xlfn.XLOOKUP(_xlfn._xlws.FILTER(_xlfn.TOCOL(_xlfn.CHOOSECOLS(C205:L213,2,4,6,8,10),0,TRUE),_xlfn.TOCOL(_xlfn.CHOOSECOLS(C205:L213,1,3,5,7,9),0,TRUE)&lt;&gt;""),Lists!$AC$2:$AC$9,Lists!$AF$2:$AF$9,0)))*--(ROW()-ROW(C237)=_xlfn.XLOOKUP(MAX(IF(O238:O243&gt;0,INT(C238:C243)*3+MOD(ROUND(C238:C243*10,0),10),-1)),IF(O238:O243&gt;0,INT(C238:C243)*3+MOD(ROUND(C238:C243*10,0),10),-1),_xlfn.SEQUENCE(ROWS(O238:O243)),,0)))</f>
        <v/>
      </c>
      <c r="K239" s="68" t="str" cm="1">
        <f t="array" aca="1" ref="K239" ca="1">IF(OR(B239="",O239=""),"",--(SUM(_xlfn.XLOOKUP(_xlfn._xlws.FILTER(_xlfn.TOCOL(_xlfn.CHOOSECOLS(C226:L234,2,4,6,8,10),0,TRUE),_xlfn.TOCOL(_xlfn.CHOOSECOLS(C226:L234,1,3,5,7,9),0,TRUE)&lt;&gt;""),Lists!$AC$2:$AC$9,Lists!$AF$2:$AF$9,0))&lt;SUM(_xlfn.XLOOKUP(_xlfn._xlws.FILTER(_xlfn.TOCOL(_xlfn.CHOOSECOLS(C205:L213,2,4,6,8,10),0,TRUE),_xlfn.TOCOL(_xlfn.CHOOSECOLS(C205:L213,1,3,5,7,9),0,TRUE)&lt;&gt;""),Lists!$AC$2:$AC$9,Lists!$AF$2:$AF$9,0)))*--(ROW()-ROW(C237)=_xlfn.XLOOKUP(MAX(IF(O238:O243&gt;0,E238:E243,-1)),IF(O238:O243&gt;0,E238:E243,-1),_xlfn.SEQUENCE(ROWS(O238:O243)),,0)))</f>
        <v/>
      </c>
      <c r="L239" s="68" t="str" cm="1">
        <f t="array" aca="1" ref="L239" ca="1">IF(OR(B239="",O239=""),"",--(SUM(_xlfn.XLOOKUP(_xlfn._xlws.FILTER(_xlfn.TOCOL(_xlfn.CHOOSECOLS(C226:L234,2,4,6,8,10),0,TRUE),_xlfn.TOCOL(_xlfn.CHOOSECOLS(C226:L234,1,3,5,7,9),0,TRUE)&lt;&gt;""),Lists!$AC$2:$AC$9,Lists!$AF$2:$AF$9,0))&gt;SUM(_xlfn.XLOOKUP(_xlfn._xlws.FILTER(_xlfn.TOCOL(_xlfn.CHOOSECOLS(C205:L213,2,4,6,8,10),0,TRUE),_xlfn.TOCOL(_xlfn.CHOOSECOLS(C205:L213,1,3,5,7,9),0,TRUE)&lt;&gt;""),Lists!$AC$2:$AC$9,Lists!$AF$2:$AF$9,0)))*--(COUNTIF(O238:O243,"&gt;0")&gt;1)*--(ROW()-ROW(C237)=_xlfn.XLOOKUP(TRUE,O238:O243&gt;0,_xlfn.SEQUENCE(ROWS(O238:O243)),,0,-1))*--(_xlfn.XLOOKUP(TRUE,O238:O243&gt;0,_xlfn.SEQUENCE(ROWS(O238:O243)),,0,-1)&lt;&gt;_xlfn.XLOOKUP(MAX(IF(O238:O243&gt;0,INT(C238:C243)*3+MOD(ROUND(C238:C243*10,0),10),-1)),IF(O238:O243&gt;0,INT(C238:C243)*3+MOD(ROUND(C238:C243*10,0),10),-1),_xlfn.SEQUENCE(ROWS(O238:O243)),,0))*--(SUM(_xlfn.XLOOKUP(_xlfn._xlws.FILTER(_xlfn.TOCOL(_xlfn.CHOOSECOLS(C226:L234,2,4,6,8,10),0,TRUE),_xlfn.TOCOL(_xlfn.CHOOSECOLS(C226:L234,1,3,5,7,9),0,TRUE)&lt;&gt;""),Lists!$AC$2:$AC$9,Lists!$AF$2:$AF$9,0))-SUM(_xlfn.XLOOKUP(_xlfn._xlws.FILTER(_xlfn.TOCOL(_xlfn.CHOOSECOLS(C205:L213,2,4,6,8,10),0,TRUE),_xlfn.TOCOL(_xlfn.CHOOSECOLS(C205:L213,1,3,5,7,9),0,TRUE)&lt;&gt;""),Lists!$AC$2:$AC$9,Lists!$AF$2:$AF$9,0))&lt;=3)*--((INT(C239)*3+MOD(ROUND(C239*10,0),10))&gt;=3))</f>
        <v/>
      </c>
      <c r="M239" s="68" t="str" cm="1">
        <f t="array" aca="1" ref="M239" ca="1">IF(OR(B239="",O239=""),"",--(COUNTIF(O238:O243,"&gt;0")=1)*--(SUM(_xlfn.XLOOKUP(_xlfn._xlws.FILTER(_xlfn.TOCOL(_xlfn.CHOOSECOLS(C205:L213,2,4,6,8,10),0,TRUE),_xlfn.TOCOL(_xlfn.CHOOSECOLS(C205:L213,1,3,5,7,9),0,TRUE)&lt;&gt;""),Lists!$AC$2:$AC$9,Lists!$AF$2:$AF$9,0))=0))</f>
        <v/>
      </c>
      <c r="N239" s="69" t="str">
        <f ca="1">IF(OR(B239="",O239=""),"",--(COUNTIF(O238:O243,"&gt;0")=1))</f>
        <v/>
      </c>
      <c r="O239" s="5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8"/>
    </row>
    <row r="240" spans="1:110">
      <c r="A240" s="168">
        <v>3</v>
      </c>
      <c r="B240" s="71"/>
      <c r="C240" s="70" t="str" cm="1">
        <f t="array" aca="1" ref="C240" ca="1">IF(OR(B240="",O240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40" s="67" t="str" cm="1">
        <f t="array" aca="1" ref="D240" ca="1">IF(OR(B240="",O240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40" s="67" t="str" cm="1">
        <f t="array" aca="1" ref="E240" ca="1">IF(OR(B240="",O240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240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40" s="67" t="str" cm="1">
        <f t="array" aca="1" ref="F240" ca="1">IF(OR(B240="",O240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240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40" s="67" t="str" cm="1">
        <f t="array" aca="1" ref="G240" ca="1">IF(OR(B240="",O240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40" s="67" t="str" cm="1">
        <f t="array" aca="1" ref="H240" ca="1">IF(OR(B240="",O240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40" s="68" t="str" cm="1">
        <f t="array" aca="1" ref="I240" ca="1">IF(OR(B240="",O240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40" s="68" t="str" cm="1">
        <f t="array" aca="1" ref="J240" ca="1">IF(OR(B240="",O240=""),"",--(SUM(_xlfn.XLOOKUP(_xlfn._xlws.FILTER(_xlfn.TOCOL(_xlfn.CHOOSECOLS(C226:L234,2,4,6,8,10),0,TRUE),_xlfn.TOCOL(_xlfn.CHOOSECOLS(C226:L234,1,3,5,7,9),0,TRUE)&lt;&gt;""),Lists!$AC$2:$AC$9,Lists!$AF$2:$AF$9,0))&gt;SUM(_xlfn.XLOOKUP(_xlfn._xlws.FILTER(_xlfn.TOCOL(_xlfn.CHOOSECOLS(C205:L213,2,4,6,8,10),0,TRUE),_xlfn.TOCOL(_xlfn.CHOOSECOLS(C205:L213,1,3,5,7,9),0,TRUE)&lt;&gt;""),Lists!$AC$2:$AC$9,Lists!$AF$2:$AF$9,0)))*--(ROW()-ROW(C237)=_xlfn.XLOOKUP(MAX(IF(O238:O243&gt;0,INT(C238:C243)*3+MOD(ROUND(C238:C243*10,0),10),-1)),IF(O238:O243&gt;0,INT(C238:C243)*3+MOD(ROUND(C238:C243*10,0),10),-1),_xlfn.SEQUENCE(ROWS(O238:O243)),,0)))</f>
        <v/>
      </c>
      <c r="K240" s="68" t="str" cm="1">
        <f t="array" aca="1" ref="K240" ca="1">IF(OR(B240="",O240=""),"",--(SUM(_xlfn.XLOOKUP(_xlfn._xlws.FILTER(_xlfn.TOCOL(_xlfn.CHOOSECOLS(C226:L234,2,4,6,8,10),0,TRUE),_xlfn.TOCOL(_xlfn.CHOOSECOLS(C226:L234,1,3,5,7,9),0,TRUE)&lt;&gt;""),Lists!$AC$2:$AC$9,Lists!$AF$2:$AF$9,0))&lt;SUM(_xlfn.XLOOKUP(_xlfn._xlws.FILTER(_xlfn.TOCOL(_xlfn.CHOOSECOLS(C205:L213,2,4,6,8,10),0,TRUE),_xlfn.TOCOL(_xlfn.CHOOSECOLS(C205:L213,1,3,5,7,9),0,TRUE)&lt;&gt;""),Lists!$AC$2:$AC$9,Lists!$AF$2:$AF$9,0)))*--(ROW()-ROW(C237)=_xlfn.XLOOKUP(MAX(IF(O238:O243&gt;0,E238:E243,-1)),IF(O238:O243&gt;0,E238:E243,-1),_xlfn.SEQUENCE(ROWS(O238:O243)),,0)))</f>
        <v/>
      </c>
      <c r="L240" s="68" t="str" cm="1">
        <f t="array" aca="1" ref="L240" ca="1">IF(OR(B240="",O240=""),"",--(SUM(_xlfn.XLOOKUP(_xlfn._xlws.FILTER(_xlfn.TOCOL(_xlfn.CHOOSECOLS(C226:L234,2,4,6,8,10),0,TRUE),_xlfn.TOCOL(_xlfn.CHOOSECOLS(C226:L234,1,3,5,7,9),0,TRUE)&lt;&gt;""),Lists!$AC$2:$AC$9,Lists!$AF$2:$AF$9,0))&gt;SUM(_xlfn.XLOOKUP(_xlfn._xlws.FILTER(_xlfn.TOCOL(_xlfn.CHOOSECOLS(C205:L213,2,4,6,8,10),0,TRUE),_xlfn.TOCOL(_xlfn.CHOOSECOLS(C205:L213,1,3,5,7,9),0,TRUE)&lt;&gt;""),Lists!$AC$2:$AC$9,Lists!$AF$2:$AF$9,0)))*--(COUNTIF(O238:O243,"&gt;0")&gt;1)*--(ROW()-ROW(C237)=_xlfn.XLOOKUP(TRUE,O238:O243&gt;0,_xlfn.SEQUENCE(ROWS(O238:O243)),,0,-1))*--(_xlfn.XLOOKUP(TRUE,O238:O243&gt;0,_xlfn.SEQUENCE(ROWS(O238:O243)),,0,-1)&lt;&gt;_xlfn.XLOOKUP(MAX(IF(O238:O243&gt;0,INT(C238:C243)*3+MOD(ROUND(C238:C243*10,0),10),-1)),IF(O238:O243&gt;0,INT(C238:C243)*3+MOD(ROUND(C238:C243*10,0),10),-1),_xlfn.SEQUENCE(ROWS(O238:O243)),,0))*--(SUM(_xlfn.XLOOKUP(_xlfn._xlws.FILTER(_xlfn.TOCOL(_xlfn.CHOOSECOLS(C226:L234,2,4,6,8,10),0,TRUE),_xlfn.TOCOL(_xlfn.CHOOSECOLS(C226:L234,1,3,5,7,9),0,TRUE)&lt;&gt;""),Lists!$AC$2:$AC$9,Lists!$AF$2:$AF$9,0))-SUM(_xlfn.XLOOKUP(_xlfn._xlws.FILTER(_xlfn.TOCOL(_xlfn.CHOOSECOLS(C205:L213,2,4,6,8,10),0,TRUE),_xlfn.TOCOL(_xlfn.CHOOSECOLS(C205:L213,1,3,5,7,9),0,TRUE)&lt;&gt;""),Lists!$AC$2:$AC$9,Lists!$AF$2:$AF$9,0))&lt;=3)*--((INT(C240)*3+MOD(ROUND(C240*10,0),10))&gt;=3))</f>
        <v/>
      </c>
      <c r="M240" s="68" t="str" cm="1">
        <f t="array" aca="1" ref="M240" ca="1">IF(OR(B240="",O240=""),"",--(COUNTIF(O238:O243,"&gt;0")=1)*--(SUM(_xlfn.XLOOKUP(_xlfn._xlws.FILTER(_xlfn.TOCOL(_xlfn.CHOOSECOLS(C205:L213,2,4,6,8,10),0,TRUE),_xlfn.TOCOL(_xlfn.CHOOSECOLS(C205:L213,1,3,5,7,9),0,TRUE)&lt;&gt;""),Lists!$AC$2:$AC$9,Lists!$AF$2:$AF$9,0))=0))</f>
        <v/>
      </c>
      <c r="N240" s="69" t="str">
        <f ca="1">IF(OR(B240="",O240=""),"",--(COUNTIF(O238:O243,"&gt;0")=1))</f>
        <v/>
      </c>
      <c r="O240" s="5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8"/>
    </row>
    <row r="241" spans="1:110">
      <c r="A241" s="168">
        <v>4</v>
      </c>
      <c r="B241" s="71"/>
      <c r="C241" s="70" t="str" cm="1">
        <f t="array" aca="1" ref="C241" ca="1">IF(OR(B241="",O241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41" s="67" t="str" cm="1">
        <f t="array" aca="1" ref="D241" ca="1">IF(OR(B241="",O241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41" s="67" t="str" cm="1">
        <f t="array" aca="1" ref="E241" ca="1">IF(OR(B241="",O241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41" s="67" t="str" cm="1">
        <f t="array" aca="1" ref="F241" ca="1">IF(OR(B241="",O241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41" s="67" t="str" cm="1">
        <f t="array" aca="1" ref="G241" ca="1">IF(OR(B241="",O241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41" s="67" t="str" cm="1">
        <f t="array" aca="1" ref="H241" ca="1">IF(OR(B241="",O241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41" s="68" t="str" cm="1">
        <f t="array" aca="1" ref="I241" ca="1">IF(OR(B241="",O241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41" s="68" t="str" cm="1">
        <f t="array" aca="1" ref="J241" ca="1">IF(OR(B241="",O241=""),"",--(SUM(_xlfn.XLOOKUP(_xlfn._xlws.FILTER(_xlfn.TOCOL(_xlfn.CHOOSECOLS(C226:L234,2,4,6,8,10),0,TRUE),_xlfn.TOCOL(_xlfn.CHOOSECOLS(C226:L234,1,3,5,7,9),0,TRUE)&lt;&gt;""),Lists!$AC$2:$AC$9,Lists!$AF$2:$AF$9,0))&gt;SUM(_xlfn.XLOOKUP(_xlfn._xlws.FILTER(_xlfn.TOCOL(_xlfn.CHOOSECOLS(C205:L213,2,4,6,8,10),0,TRUE),_xlfn.TOCOL(_xlfn.CHOOSECOLS(C205:L213,1,3,5,7,9),0,TRUE)&lt;&gt;""),Lists!$AC$2:$AC$9,Lists!$AF$2:$AF$9,0)))*--(ROW()-ROW(C237)=_xlfn.XLOOKUP(MAX(IF(O238:O243&gt;0,INT(C238:C243)*3+MOD(ROUND(C238:C243*10,0),10),-1)),IF(O238:O243&gt;0,INT(C238:C243)*3+MOD(ROUND(C238:C243*10,0),10),-1),_xlfn.SEQUENCE(ROWS(O238:O243)),,0)))</f>
        <v/>
      </c>
      <c r="K241" s="68" t="str" cm="1">
        <f t="array" aca="1" ref="K241" ca="1">IF(OR(B241="",O241=""),"",--(SUM(_xlfn.XLOOKUP(_xlfn._xlws.FILTER(_xlfn.TOCOL(_xlfn.CHOOSECOLS(C226:L234,2,4,6,8,10),0,TRUE),_xlfn.TOCOL(_xlfn.CHOOSECOLS(C226:L234,1,3,5,7,9),0,TRUE)&lt;&gt;""),Lists!$AC$2:$AC$9,Lists!$AF$2:$AF$9,0))&lt;SUM(_xlfn.XLOOKUP(_xlfn._xlws.FILTER(_xlfn.TOCOL(_xlfn.CHOOSECOLS(C205:L213,2,4,6,8,10),0,TRUE),_xlfn.TOCOL(_xlfn.CHOOSECOLS(C205:L213,1,3,5,7,9),0,TRUE)&lt;&gt;""),Lists!$AC$2:$AC$9,Lists!$AF$2:$AF$9,0)))*--(ROW()-ROW(C237)=_xlfn.XLOOKUP(MAX(IF(O238:O243&gt;0,E238:E243,-1)),IF(O238:O243&gt;0,E238:E243,-1),_xlfn.SEQUENCE(ROWS(O238:O243)),,0)))</f>
        <v/>
      </c>
      <c r="L241" s="68" t="str" cm="1">
        <f t="array" aca="1" ref="L241" ca="1">IF(OR(B241="",O241=""),"",--(SUM(_xlfn.XLOOKUP(_xlfn._xlws.FILTER(_xlfn.TOCOL(_xlfn.CHOOSECOLS(C226:L234,2,4,6,8,10),0,TRUE),_xlfn.TOCOL(_xlfn.CHOOSECOLS(C226:L234,1,3,5,7,9),0,TRUE)&lt;&gt;""),Lists!$AC$2:$AC$9,Lists!$AF$2:$AF$9,0))&gt;SUM(_xlfn.XLOOKUP(_xlfn._xlws.FILTER(_xlfn.TOCOL(_xlfn.CHOOSECOLS(C205:L213,2,4,6,8,10),0,TRUE),_xlfn.TOCOL(_xlfn.CHOOSECOLS(C205:L213,1,3,5,7,9),0,TRUE)&lt;&gt;""),Lists!$AC$2:$AC$9,Lists!$AF$2:$AF$9,0)))*--(COUNTIF(O238:O243,"&gt;0")&gt;1)*--(ROW()-ROW(C237)=_xlfn.XLOOKUP(TRUE,O238:O243&gt;0,_xlfn.SEQUENCE(ROWS(O238:O243)),,0,-1))*--(_xlfn.XLOOKUP(TRUE,O238:O243&gt;0,_xlfn.SEQUENCE(ROWS(O238:O243)),,0,-1)&lt;&gt;_xlfn.XLOOKUP(MAX(IF(O238:O243&gt;0,INT(C238:C243)*3+MOD(ROUND(C238:C243*10,0),10),-1)),IF(O238:O243&gt;0,INT(C238:C243)*3+MOD(ROUND(C238:C243*10,0),10),-1),_xlfn.SEQUENCE(ROWS(O238:O243)),,0))*--(SUM(_xlfn.XLOOKUP(_xlfn._xlws.FILTER(_xlfn.TOCOL(_xlfn.CHOOSECOLS(C226:L234,2,4,6,8,10),0,TRUE),_xlfn.TOCOL(_xlfn.CHOOSECOLS(C226:L234,1,3,5,7,9),0,TRUE)&lt;&gt;""),Lists!$AC$2:$AC$9,Lists!$AF$2:$AF$9,0))-SUM(_xlfn.XLOOKUP(_xlfn._xlws.FILTER(_xlfn.TOCOL(_xlfn.CHOOSECOLS(C205:L213,2,4,6,8,10),0,TRUE),_xlfn.TOCOL(_xlfn.CHOOSECOLS(C205:L213,1,3,5,7,9),0,TRUE)&lt;&gt;""),Lists!$AC$2:$AC$9,Lists!$AF$2:$AF$9,0))&lt;=3)*--((INT(C241)*3+MOD(ROUND(C241*10,0),10))&gt;=3))</f>
        <v/>
      </c>
      <c r="M241" s="68" t="str" cm="1">
        <f t="array" aca="1" ref="M241" ca="1">IF(OR(B241="",O241=""),"",--(COUNTIF(O238:O243,"&gt;0")=1)*--(SUM(_xlfn.XLOOKUP(_xlfn._xlws.FILTER(_xlfn.TOCOL(_xlfn.CHOOSECOLS(C205:L213,2,4,6,8,10),0,TRUE),_xlfn.TOCOL(_xlfn.CHOOSECOLS(C205:L213,1,3,5,7,9),0,TRUE)&lt;&gt;""),Lists!$AC$2:$AC$9,Lists!$AF$2:$AF$9,0))=0))</f>
        <v/>
      </c>
      <c r="N241" s="69" t="str">
        <f ca="1">IF(OR(B241="",O241=""),"",--(COUNTIF(O238:O243,"&gt;0")=1))</f>
        <v/>
      </c>
      <c r="O241" s="5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8"/>
    </row>
    <row r="242" spans="1:110">
      <c r="A242" s="168">
        <v>5</v>
      </c>
      <c r="B242" s="71"/>
      <c r="C242" s="70" t="str" cm="1">
        <f t="array" aca="1" ref="C242" ca="1">IF(OR(B242="",O242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42" s="67" t="str" cm="1">
        <f t="array" aca="1" ref="D242" ca="1">IF(OR(B242="",O242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42" s="67" t="str" cm="1">
        <f t="array" aca="1" ref="E242" ca="1">IF(OR(B242="",O242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42" s="67" t="str" cm="1">
        <f t="array" aca="1" ref="F242" ca="1">IF(OR(B242="",O242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42" s="67" t="str" cm="1">
        <f t="array" aca="1" ref="G242" ca="1">IF(OR(B242="",O242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42" s="67" t="str" cm="1">
        <f t="array" aca="1" ref="H242" ca="1">IF(OR(B242="",O242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42" s="68" t="str" cm="1">
        <f t="array" aca="1" ref="I242" ca="1">IF(OR(B242="",O242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42" s="68" t="str" cm="1">
        <f t="array" aca="1" ref="J242" ca="1">IF(OR(B242="",O242=""),"",--(SUM(_xlfn.XLOOKUP(_xlfn._xlws.FILTER(_xlfn.TOCOL(_xlfn.CHOOSECOLS(C226:L234,2,4,6,8,10),0,TRUE),_xlfn.TOCOL(_xlfn.CHOOSECOLS(C226:L234,1,3,5,7,9),0,TRUE)&lt;&gt;""),Lists!$AC$2:$AC$9,Lists!$AF$2:$AF$9,0))&gt;SUM(_xlfn.XLOOKUP(_xlfn._xlws.FILTER(_xlfn.TOCOL(_xlfn.CHOOSECOLS(C205:L213,2,4,6,8,10),0,TRUE),_xlfn.TOCOL(_xlfn.CHOOSECOLS(C205:L213,1,3,5,7,9),0,TRUE)&lt;&gt;""),Lists!$AC$2:$AC$9,Lists!$AF$2:$AF$9,0)))*--(ROW()-ROW(C237)=_xlfn.XLOOKUP(MAX(IF(O238:O243&gt;0,INT(C238:C243)*3+MOD(ROUND(C238:C243*10,0),10),-1)),IF(O238:O243&gt;0,INT(C238:C243)*3+MOD(ROUND(C238:C243*10,0),10),-1),_xlfn.SEQUENCE(ROWS(O238:O243)),,0)))</f>
        <v/>
      </c>
      <c r="K242" s="68" t="str" cm="1">
        <f t="array" aca="1" ref="K242" ca="1">IF(OR(B242="",O242=""),"",--(SUM(_xlfn.XLOOKUP(_xlfn._xlws.FILTER(_xlfn.TOCOL(_xlfn.CHOOSECOLS(C226:L234,2,4,6,8,10),0,TRUE),_xlfn.TOCOL(_xlfn.CHOOSECOLS(C226:L234,1,3,5,7,9),0,TRUE)&lt;&gt;""),Lists!$AC$2:$AC$9,Lists!$AF$2:$AF$9,0))&lt;SUM(_xlfn.XLOOKUP(_xlfn._xlws.FILTER(_xlfn.TOCOL(_xlfn.CHOOSECOLS(C205:L213,2,4,6,8,10),0,TRUE),_xlfn.TOCOL(_xlfn.CHOOSECOLS(C205:L213,1,3,5,7,9),0,TRUE)&lt;&gt;""),Lists!$AC$2:$AC$9,Lists!$AF$2:$AF$9,0)))*--(ROW()-ROW(C237)=_xlfn.XLOOKUP(MAX(IF(O238:O243&gt;0,E238:E243,-1)),IF(O238:O243&gt;0,E238:E243,-1),_xlfn.SEQUENCE(ROWS(O238:O243)),,0)))</f>
        <v/>
      </c>
      <c r="L242" s="68" t="str" cm="1">
        <f t="array" aca="1" ref="L242" ca="1">IF(OR(B242="",O242=""),"",--(SUM(_xlfn.XLOOKUP(_xlfn._xlws.FILTER(_xlfn.TOCOL(_xlfn.CHOOSECOLS(C226:L234,2,4,6,8,10),0,TRUE),_xlfn.TOCOL(_xlfn.CHOOSECOLS(C226:L234,1,3,5,7,9),0,TRUE)&lt;&gt;""),Lists!$AC$2:$AC$9,Lists!$AF$2:$AF$9,0))&gt;SUM(_xlfn.XLOOKUP(_xlfn._xlws.FILTER(_xlfn.TOCOL(_xlfn.CHOOSECOLS(C205:L213,2,4,6,8,10),0,TRUE),_xlfn.TOCOL(_xlfn.CHOOSECOLS(C205:L213,1,3,5,7,9),0,TRUE)&lt;&gt;""),Lists!$AC$2:$AC$9,Lists!$AF$2:$AF$9,0)))*--(COUNTIF(O238:O243,"&gt;0")&gt;1)*--(ROW()-ROW(C237)=_xlfn.XLOOKUP(TRUE,O238:O243&gt;0,_xlfn.SEQUENCE(ROWS(O238:O243)),,0,-1))*--(_xlfn.XLOOKUP(TRUE,O238:O243&gt;0,_xlfn.SEQUENCE(ROWS(O238:O243)),,0,-1)&lt;&gt;_xlfn.XLOOKUP(MAX(IF(O238:O243&gt;0,INT(C238:C243)*3+MOD(ROUND(C238:C243*10,0),10),-1)),IF(O238:O243&gt;0,INT(C238:C243)*3+MOD(ROUND(C238:C243*10,0),10),-1),_xlfn.SEQUENCE(ROWS(O238:O243)),,0))*--(SUM(_xlfn.XLOOKUP(_xlfn._xlws.FILTER(_xlfn.TOCOL(_xlfn.CHOOSECOLS(C226:L234,2,4,6,8,10),0,TRUE),_xlfn.TOCOL(_xlfn.CHOOSECOLS(C226:L234,1,3,5,7,9),0,TRUE)&lt;&gt;""),Lists!$AC$2:$AC$9,Lists!$AF$2:$AF$9,0))-SUM(_xlfn.XLOOKUP(_xlfn._xlws.FILTER(_xlfn.TOCOL(_xlfn.CHOOSECOLS(C205:L213,2,4,6,8,10),0,TRUE),_xlfn.TOCOL(_xlfn.CHOOSECOLS(C205:L213,1,3,5,7,9),0,TRUE)&lt;&gt;""),Lists!$AC$2:$AC$9,Lists!$AF$2:$AF$9,0))&lt;=3)*--((INT(C242)*3+MOD(ROUND(C242*10,0),10))&gt;=3))</f>
        <v/>
      </c>
      <c r="M242" s="68" t="str" cm="1">
        <f t="array" aca="1" ref="M242" ca="1">IF(OR(B242="",O242=""),"",--(COUNTIF(O238:O243,"&gt;0")=1)*--(SUM(_xlfn.XLOOKUP(_xlfn._xlws.FILTER(_xlfn.TOCOL(_xlfn.CHOOSECOLS(C205:L213,2,4,6,8,10),0,TRUE),_xlfn.TOCOL(_xlfn.CHOOSECOLS(C205:L213,1,3,5,7,9),0,TRUE)&lt;&gt;""),Lists!$AC$2:$AC$9,Lists!$AF$2:$AF$9,0))=0))</f>
        <v/>
      </c>
      <c r="N242" s="69" t="str">
        <f ca="1">IF(OR(B242="",O242=""),"",--(COUNTIF(O238:O243,"&gt;0")=1))</f>
        <v/>
      </c>
      <c r="O242" s="5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</row>
    <row r="243" spans="1:110">
      <c r="A243" s="168">
        <v>6</v>
      </c>
      <c r="B243" s="71"/>
      <c r="C243" s="70" t="str" cm="1">
        <f t="array" aca="1" ref="C243" ca="1">IF(OR(B243="",O243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43" s="67" t="str" cm="1">
        <f t="array" aca="1" ref="D243" ca="1">IF(OR(B243="",O243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43" s="67" t="str" cm="1">
        <f t="array" aca="1" ref="E243" ca="1">IF(OR(B243="",O243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43" s="67" t="str" cm="1">
        <f t="array" aca="1" ref="F243" ca="1">IF(OR(B243="",O243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43" s="67" t="str" cm="1">
        <f t="array" aca="1" ref="G243" ca="1">IF(OR(B243="",O243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43" s="67" t="str" cm="1">
        <f t="array" aca="1" ref="H243" ca="1">IF(OR(B243="",O243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43" s="68" t="str" cm="1">
        <f t="array" aca="1" ref="I243" ca="1">IF(OR(B243="",O243=""),"",_xlfn.LET(_xlpm.flatPAraw,_xlfn.TOCOL(_xlfn.CHOOSECOLS(C205:L213,1,3,5,7,9),0,TRUE),_xlpm.flatPARraw,_xlfn.TOCOL(_xlfn.CHOOSECOLS(C205:L213,2,4,6,8,10),0,TRUE),_xlpm.flatPA,_xlfn._xlws.FILTER(_xlpm.flatPAraw,_xlpm.flatPAraw&lt;&gt;""),_xlpm.flatPAR,_xlfn._xlws.FILTER(_xlpm.flatPARraw,_xlpm.flatPAraw&lt;&gt;""),_xlpm.prev,IF(ROW()=ROW(C238),0,SUM(INDEX(O:O,ROW(C238)):INDEX(O:O,ROW()-1))),_xlpm.need,O243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43" s="68" t="str" cm="1">
        <f t="array" aca="1" ref="J243" ca="1">IF(OR(B243="",O243=""),"",--(SUM(_xlfn.XLOOKUP(_xlfn._xlws.FILTER(_xlfn.TOCOL(_xlfn.CHOOSECOLS(C226:L234,2,4,6,8,10),0,TRUE),_xlfn.TOCOL(_xlfn.CHOOSECOLS(C226:L234,1,3,5,7,9),0,TRUE)&lt;&gt;""),Lists!$AC$2:$AC$9,Lists!$AF$2:$AF$9,0))&gt;SUM(_xlfn.XLOOKUP(_xlfn._xlws.FILTER(_xlfn.TOCOL(_xlfn.CHOOSECOLS(C205:L213,2,4,6,8,10),0,TRUE),_xlfn.TOCOL(_xlfn.CHOOSECOLS(C205:L213,1,3,5,7,9),0,TRUE)&lt;&gt;""),Lists!$AC$2:$AC$9,Lists!$AF$2:$AF$9,0)))*--(ROW()-ROW(C237)=_xlfn.XLOOKUP(MAX(IF(O238:O243&gt;0,INT(C238:C243)*3+MOD(ROUND(C238:C243*10,0),10),-1)),IF(O238:O243&gt;0,INT(C238:C243)*3+MOD(ROUND(C238:C243*10,0),10),-1),_xlfn.SEQUENCE(ROWS(O238:O243)),,0)))</f>
        <v/>
      </c>
      <c r="K243" s="68" t="str" cm="1">
        <f t="array" aca="1" ref="K243" ca="1">IF(OR(B243="",O243=""),"",--(SUM(_xlfn.XLOOKUP(_xlfn._xlws.FILTER(_xlfn.TOCOL(_xlfn.CHOOSECOLS(C226:L234,2,4,6,8,10),0,TRUE),_xlfn.TOCOL(_xlfn.CHOOSECOLS(C226:L234,1,3,5,7,9),0,TRUE)&lt;&gt;""),Lists!$AC$2:$AC$9,Lists!$AF$2:$AF$9,0))&lt;SUM(_xlfn.XLOOKUP(_xlfn._xlws.FILTER(_xlfn.TOCOL(_xlfn.CHOOSECOLS(C205:L213,2,4,6,8,10),0,TRUE),_xlfn.TOCOL(_xlfn.CHOOSECOLS(C205:L213,1,3,5,7,9),0,TRUE)&lt;&gt;""),Lists!$AC$2:$AC$9,Lists!$AF$2:$AF$9,0)))*--(ROW()-ROW(C237)=_xlfn.XLOOKUP(MAX(IF(O238:O243&gt;0,E238:E243,-1)),IF(O238:O243&gt;0,E238:E243,-1),_xlfn.SEQUENCE(ROWS(O238:O243)),,0)))</f>
        <v/>
      </c>
      <c r="L243" s="68" t="str" cm="1">
        <f t="array" aca="1" ref="L243" ca="1">IF(OR(B243="",O243=""),"",--(SUM(_xlfn.XLOOKUP(_xlfn._xlws.FILTER(_xlfn.TOCOL(_xlfn.CHOOSECOLS(C226:L234,2,4,6,8,10),0,TRUE),_xlfn.TOCOL(_xlfn.CHOOSECOLS(C226:L234,1,3,5,7,9),0,TRUE)&lt;&gt;""),Lists!$AC$2:$AC$9,Lists!$AF$2:$AF$9,0))&gt;SUM(_xlfn.XLOOKUP(_xlfn._xlws.FILTER(_xlfn.TOCOL(_xlfn.CHOOSECOLS(C205:L213,2,4,6,8,10),0,TRUE),_xlfn.TOCOL(_xlfn.CHOOSECOLS(C205:L213,1,3,5,7,9),0,TRUE)&lt;&gt;""),Lists!$AC$2:$AC$9,Lists!$AF$2:$AF$9,0)))*--(COUNTIF(O238:O243,"&gt;0")&gt;1)*--(ROW()-ROW(C237)=_xlfn.XLOOKUP(TRUE,O238:O243&gt;0,_xlfn.SEQUENCE(ROWS(O238:O243)),,0,-1))*--(_xlfn.XLOOKUP(TRUE,O238:O243&gt;0,_xlfn.SEQUENCE(ROWS(O238:O243)),,0,-1)&lt;&gt;_xlfn.XLOOKUP(MAX(IF(O238:O243&gt;0,INT(C238:C243)*3+MOD(ROUND(C238:C243*10,0),10),-1)),IF(O238:O243&gt;0,INT(C238:C243)*3+MOD(ROUND(C238:C243*10,0),10),-1),_xlfn.SEQUENCE(ROWS(O238:O243)),,0))*--(SUM(_xlfn.XLOOKUP(_xlfn._xlws.FILTER(_xlfn.TOCOL(_xlfn.CHOOSECOLS(C226:L234,2,4,6,8,10),0,TRUE),_xlfn.TOCOL(_xlfn.CHOOSECOLS(C226:L234,1,3,5,7,9),0,TRUE)&lt;&gt;""),Lists!$AC$2:$AC$9,Lists!$AF$2:$AF$9,0))-SUM(_xlfn.XLOOKUP(_xlfn._xlws.FILTER(_xlfn.TOCOL(_xlfn.CHOOSECOLS(C205:L213,2,4,6,8,10),0,TRUE),_xlfn.TOCOL(_xlfn.CHOOSECOLS(C205:L213,1,3,5,7,9),0,TRUE)&lt;&gt;""),Lists!$AC$2:$AC$9,Lists!$AF$2:$AF$9,0))&lt;=3)*--((INT(C243)*3+MOD(ROUND(C243*10,0),10))&gt;=3))</f>
        <v/>
      </c>
      <c r="M243" s="68" t="str" cm="1">
        <f t="array" aca="1" ref="M243" ca="1">IF(OR(B243="",O243=""),"",--(COUNTIF(O238:O243,"&gt;0")=1)*--(SUM(_xlfn.XLOOKUP(_xlfn._xlws.FILTER(_xlfn.TOCOL(_xlfn.CHOOSECOLS(C205:L213,2,4,6,8,10),0,TRUE),_xlfn.TOCOL(_xlfn.CHOOSECOLS(C205:L213,1,3,5,7,9),0,TRUE)&lt;&gt;""),Lists!$AC$2:$AC$9,Lists!$AF$2:$AF$9,0))=0))</f>
        <v/>
      </c>
      <c r="N243" s="69" t="str">
        <f ca="1">IF(OR(B243="",O243=""),"",--(COUNTIF(O238:O243,"&gt;0")=1))</f>
        <v/>
      </c>
      <c r="O243" s="5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8"/>
    </row>
    <row r="244" spans="1:110">
      <c r="A244" s="173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</row>
    <row r="245" spans="1:110">
      <c r="A245" s="174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8"/>
    </row>
    <row r="246" spans="1:110">
      <c r="A246" s="217" t="s">
        <v>209</v>
      </c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9"/>
      <c r="N246" s="207"/>
      <c r="O246" s="36"/>
      <c r="P246" s="37"/>
      <c r="Q246" s="38"/>
      <c r="R246" s="38"/>
      <c r="S246" s="38"/>
      <c r="T246" s="38"/>
      <c r="U246" s="38"/>
      <c r="V246" s="38"/>
      <c r="W246" s="38"/>
      <c r="X246" s="3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</row>
    <row r="247" spans="1:110">
      <c r="A247" s="169" t="s">
        <v>33</v>
      </c>
      <c r="B247" s="40">
        <f>Settings!$B$2</f>
        <v>1</v>
      </c>
      <c r="C247" s="41"/>
      <c r="D247" s="40" t="s">
        <v>95</v>
      </c>
      <c r="E247" s="41"/>
      <c r="F247" s="40" t="str">
        <f>Bracket!$F$11</f>
        <v>G6</v>
      </c>
      <c r="G247" s="41"/>
      <c r="H247" s="40" t="s">
        <v>97</v>
      </c>
      <c r="I247" s="41"/>
      <c r="J247" s="40" t="str">
        <f>Bracket!$G$11</f>
        <v>Losers R1-2</v>
      </c>
      <c r="K247" s="41"/>
      <c r="L247" s="40" t="s">
        <v>134</v>
      </c>
      <c r="M247" s="24"/>
      <c r="N247" s="24" t="str">
        <f ca="1">Bracket!$H$11</f>
        <v>Aidan</v>
      </c>
      <c r="O247" s="24"/>
      <c r="P247" s="18"/>
      <c r="Q247" s="18"/>
      <c r="R247" s="118" t="str">
        <f ca="1">Bracket!$I$11</f>
        <v>Donovan</v>
      </c>
      <c r="S247" s="18"/>
      <c r="T247" s="18"/>
      <c r="U247" s="18"/>
      <c r="V247" s="18" t="str">
        <f ca="1">Bracket!$L$11</f>
        <v>Donovan</v>
      </c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</row>
    <row r="248" spans="1:110">
      <c r="A248" s="170" t="s">
        <v>160</v>
      </c>
      <c r="B248" s="72">
        <v>1</v>
      </c>
      <c r="C248" s="72">
        <v>2</v>
      </c>
      <c r="D248" s="72">
        <v>3</v>
      </c>
      <c r="E248" s="72">
        <v>4</v>
      </c>
      <c r="F248" s="72">
        <v>5</v>
      </c>
      <c r="G248" s="72">
        <v>6</v>
      </c>
      <c r="H248" s="72">
        <v>7</v>
      </c>
      <c r="I248" s="73">
        <v>8</v>
      </c>
      <c r="J248" s="73">
        <v>9</v>
      </c>
      <c r="K248" s="73" t="s">
        <v>161</v>
      </c>
      <c r="L248" s="73" t="s">
        <v>162</v>
      </c>
      <c r="M248" s="74" t="s">
        <v>163</v>
      </c>
      <c r="N248" s="24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8"/>
    </row>
    <row r="249" spans="1:110">
      <c r="A249" s="171" t="str">
        <f ca="1">N247</f>
        <v>Aidan</v>
      </c>
      <c r="B249" s="75" cm="1">
        <f t="array" aca="1" ref="B249" ca="1">IFERROR(_xlfn.LET(_xlpm.flatPAraw,_xlfn.TOCOL(_xlfn.CHOOSECOLS(C254:L262,1,3,5,7,9),0,TRUE),_xlpm.flatPARraw,_xlfn.TOCOL(_xlfn.CHOOSECOLS(C254:L262,2,4,6,8,10)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249" s="75" cm="1">
        <f t="array" aca="1" ref="C249" ca="1">IFERROR(_xlfn.LET(_xlpm.flatPAraw,_xlfn.TOCOL(_xlfn.CHOOSECOLS(C254:L262,1,3,5,7,9),0,TRUE),_xlpm.flatPARraw,_xlfn.TOCOL(_xlfn.CHOOSECOLS(C254:L262,2,4,6,8,10)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1</v>
      </c>
      <c r="D249" s="75" cm="1">
        <f t="array" aca="1" ref="D249" ca="1">IFERROR(_xlfn.LET(_xlpm.flatPAraw,_xlfn.TOCOL(_xlfn.CHOOSECOLS(C254:L262,1,3,5,7,9),0,TRUE),_xlpm.flatPARraw,_xlfn.TOCOL(_xlfn.CHOOSECOLS(C254:L262,2,4,6,8,10)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249" s="75" cm="1">
        <f t="array" aca="1" ref="E249" ca="1">IFERROR(_xlfn.LET(_xlpm.flatPAraw,_xlfn.TOCOL(_xlfn.CHOOSECOLS(C254:L262,1,3,5,7,9),0,TRUE),_xlpm.flatPARraw,_xlfn.TOCOL(_xlfn.CHOOSECOLS(C254:L262,2,4,6,8,10)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249" s="75" cm="1">
        <f t="array" aca="1" ref="F249" ca="1">IFERROR(_xlfn.LET(_xlpm.flatPAraw,_xlfn.TOCOL(_xlfn.CHOOSECOLS(C254:L262,1,3,5,7,9),0,TRUE),_xlpm.flatPARraw,_xlfn.TOCOL(_xlfn.CHOOSECOLS(C254:L262,2,4,6,8,10)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249" s="75" cm="1">
        <f t="array" aca="1" ref="G249" ca="1">IFERROR(_xlfn.LET(_xlpm.flatPAraw,_xlfn.TOCOL(_xlfn.CHOOSECOLS(C254:L262,1,3,5,7,9),0,TRUE),_xlpm.flatPARraw,_xlfn.TOCOL(_xlfn.CHOOSECOLS(C254:L262,2,4,6,8,10)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249" s="75" cm="1">
        <f t="array" aca="1" ref="H249" ca="1">IFERROR(_xlfn.LET(_xlpm.flatPAraw,_xlfn.TOCOL(_xlfn.CHOOSECOLS(C254:L262,1,3,5,7,9),0,TRUE),_xlpm.flatPARraw,_xlfn.TOCOL(_xlfn.CHOOSECOLS(C254:L262,2,4,6,8,10)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249" s="76" cm="1">
        <f t="array" aca="1" ref="I249" ca="1">IFERROR(_xlfn.LET(_xlpm.flatPAraw,_xlfn.TOCOL(_xlfn.CHOOSECOLS(C254:L262,1,3,5,7,9),0,TRUE),_xlpm.flatPARraw,_xlfn.TOCOL(_xlfn.CHOOSECOLS(C254:L262,2,4,6,8,10)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249" s="76" cm="1">
        <f t="array" aca="1" ref="J249" ca="1">IFERROR(_xlfn.LET(_xlpm.flatPAraw,_xlfn.TOCOL(_xlfn.CHOOSECOLS(C254:L262,1,3,5,7,9),0,TRUE),_xlpm.flatPARraw,_xlfn.TOCOL(_xlfn.CHOOSECOLS(C254:L262,2,4,6,8,10)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249" s="164">
        <f ca="1">SUM(B249:J249)</f>
        <v>1</v>
      </c>
      <c r="L249" s="77">
        <f ca="1">SUM(O254:O262)</f>
        <v>4</v>
      </c>
      <c r="M249" s="78">
        <f ca="1">COUNTIF(C275:L283,"ROE")</f>
        <v>0</v>
      </c>
      <c r="N249" s="24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  <c r="DC249" s="18"/>
      <c r="DD249" s="18"/>
      <c r="DE249" s="18"/>
      <c r="DF249" s="18"/>
    </row>
    <row r="250" spans="1:110">
      <c r="A250" s="172" t="str">
        <f ca="1">R247</f>
        <v>Donovan</v>
      </c>
      <c r="B250" s="79" cm="1">
        <f t="array" aca="1" ref="B250" ca="1">IFERROR(_xlfn.LET(_xlpm.flatPAraw,_xlfn.TOCOL(_xlfn.CHOOSECOLS(C275:L283,1,3,5,7,9),0,TRUE),_xlpm.flatPARraw,_xlfn.TOCOL(_xlfn.CHOOSECOLS(C275:L283,2,4,6,8,10)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2</v>
      </c>
      <c r="C250" s="79" cm="1">
        <f t="array" aca="1" ref="C250" ca="1">IFERROR(_xlfn.LET(_xlpm.flatPAraw,_xlfn.TOCOL(_xlfn.CHOOSECOLS(C275:L283,1,3,5,7,9),0,TRUE),_xlpm.flatPARraw,_xlfn.TOCOL(_xlfn.CHOOSECOLS(C275:L283,2,4,6,8,10)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250" s="79" cm="1">
        <f t="array" aca="1" ref="D250" ca="1">IFERROR(_xlfn.LET(_xlpm.flatPAraw,_xlfn.TOCOL(_xlfn.CHOOSECOLS(C275:L283,1,3,5,7,9),0,TRUE),_xlpm.flatPARraw,_xlfn.TOCOL(_xlfn.CHOOSECOLS(C275:L283,2,4,6,8,10)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2</v>
      </c>
      <c r="E250" s="79" cm="1">
        <f t="array" aca="1" ref="E250" ca="1">IFERROR(_xlfn.LET(_xlpm.flatPAraw,_xlfn.TOCOL(_xlfn.CHOOSECOLS(C275:L283,1,3,5,7,9),0,TRUE),_xlpm.flatPARraw,_xlfn.TOCOL(_xlfn.CHOOSECOLS(C275:L283,2,4,6,8,10)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250" s="79" cm="1">
        <f t="array" aca="1" ref="F250" ca="1">IFERROR(_xlfn.LET(_xlpm.flatPAraw,_xlfn.TOCOL(_xlfn.CHOOSECOLS(C275:L283,1,3,5,7,9),0,TRUE),_xlpm.flatPARraw,_xlfn.TOCOL(_xlfn.CHOOSECOLS(C275:L283,2,4,6,8,10)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250" s="79" cm="1">
        <f t="array" aca="1" ref="G250" ca="1">IFERROR(_xlfn.LET(_xlpm.flatPAraw,_xlfn.TOCOL(_xlfn.CHOOSECOLS(C275:L283,1,3,5,7,9),0,TRUE),_xlpm.flatPARraw,_xlfn.TOCOL(_xlfn.CHOOSECOLS(C275:L283,2,4,6,8,10)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250" s="79" cm="1">
        <f t="array" aca="1" ref="H250" ca="1">IFERROR(_xlfn.LET(_xlpm.flatPAraw,_xlfn.TOCOL(_xlfn.CHOOSECOLS(C275:L283,1,3,5,7,9),0,TRUE),_xlpm.flatPARraw,_xlfn.TOCOL(_xlfn.CHOOSECOLS(C275:L283,2,4,6,8,10)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250" s="80" cm="1">
        <f t="array" aca="1" ref="I250" ca="1">IFERROR(_xlfn.LET(_xlpm.flatPAraw,_xlfn.TOCOL(_xlfn.CHOOSECOLS(C275:L283,1,3,5,7,9),0,TRUE),_xlpm.flatPARraw,_xlfn.TOCOL(_xlfn.CHOOSECOLS(C275:L283,2,4,6,8,10)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250" s="80" cm="1">
        <f t="array" aca="1" ref="J250" ca="1">IFERROR(_xlfn.LET(_xlpm.flatPAraw,_xlfn.TOCOL(_xlfn.CHOOSECOLS(C275:L283,1,3,5,7,9),0,TRUE),_xlpm.flatPARraw,_xlfn.TOCOL(_xlfn.CHOOSECOLS(C275:L283,2,4,6,8,10)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250" s="165">
        <f ca="1">SUM(B250:J250)</f>
        <v>4</v>
      </c>
      <c r="L250" s="81">
        <f ca="1">SUM(O275:O283)</f>
        <v>4</v>
      </c>
      <c r="M250" s="82">
        <f ca="1">COUNTIF(C254:L262,"ROE")</f>
        <v>0</v>
      </c>
      <c r="N250" s="24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8"/>
      <c r="DF250" s="18"/>
    </row>
    <row r="251" spans="1:110">
      <c r="A251" s="173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  <c r="DC251" s="18"/>
      <c r="DD251" s="18"/>
      <c r="DE251" s="18"/>
      <c r="DF251" s="18"/>
    </row>
    <row r="252" spans="1:110">
      <c r="A252" s="205" t="str">
        <f ca="1">IF($N$247="","Team A Batting",$N$247&amp;" Batting")</f>
        <v>Aidan Batting</v>
      </c>
      <c r="B252" s="206"/>
      <c r="C252" s="206"/>
      <c r="D252" s="206"/>
      <c r="E252" s="206"/>
      <c r="F252" s="206"/>
      <c r="G252" s="206"/>
      <c r="H252" s="206"/>
      <c r="I252" s="206"/>
      <c r="J252" s="206"/>
      <c r="K252" s="206"/>
      <c r="L252" s="206"/>
      <c r="M252" s="206"/>
      <c r="N252" s="206"/>
      <c r="O252" s="181"/>
      <c r="P252" s="182"/>
      <c r="Q252" s="182"/>
      <c r="R252" s="182"/>
      <c r="S252" s="182"/>
      <c r="T252" s="182"/>
      <c r="U252" s="182"/>
      <c r="V252" s="182"/>
      <c r="W252" s="182"/>
      <c r="X252" s="182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  <c r="DC252" s="18"/>
      <c r="DD252" s="18"/>
      <c r="DE252" s="18"/>
      <c r="DF252" s="18"/>
    </row>
    <row r="253" spans="1:110">
      <c r="A253" s="167" t="s">
        <v>164</v>
      </c>
      <c r="B253" s="43" t="s">
        <v>39</v>
      </c>
      <c r="C253" s="43" t="s">
        <v>165</v>
      </c>
      <c r="D253" s="43" t="s">
        <v>166</v>
      </c>
      <c r="E253" s="43" t="s">
        <v>167</v>
      </c>
      <c r="F253" s="43" t="s">
        <v>168</v>
      </c>
      <c r="G253" s="43" t="s">
        <v>169</v>
      </c>
      <c r="H253" s="43" t="s">
        <v>170</v>
      </c>
      <c r="I253" s="43" t="s">
        <v>171</v>
      </c>
      <c r="J253" s="43" t="s">
        <v>172</v>
      </c>
      <c r="K253" s="43" t="s">
        <v>173</v>
      </c>
      <c r="L253" s="43" t="s">
        <v>174</v>
      </c>
      <c r="M253" s="43" t="s">
        <v>175</v>
      </c>
      <c r="N253" s="44" t="s">
        <v>161</v>
      </c>
      <c r="O253" s="44" t="s">
        <v>162</v>
      </c>
      <c r="P253" s="44" t="s">
        <v>176</v>
      </c>
      <c r="Q253" s="44" t="s">
        <v>177</v>
      </c>
      <c r="R253" s="44" t="s">
        <v>178</v>
      </c>
      <c r="S253" s="44" t="s">
        <v>179</v>
      </c>
      <c r="T253" s="44" t="s">
        <v>180</v>
      </c>
      <c r="U253" s="44" t="s">
        <v>181</v>
      </c>
      <c r="V253" s="44" t="s">
        <v>182</v>
      </c>
      <c r="W253" s="44" t="s">
        <v>183</v>
      </c>
      <c r="X253" s="45" t="s">
        <v>184</v>
      </c>
      <c r="Y253" s="45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  <c r="CZ253" s="18"/>
      <c r="DA253" s="18"/>
      <c r="DB253" s="18"/>
      <c r="DC253" s="18"/>
      <c r="DD253" s="18"/>
      <c r="DE253" s="18"/>
      <c r="DF253" s="18"/>
    </row>
    <row r="254" spans="1:110">
      <c r="A254" s="168">
        <v>1</v>
      </c>
      <c r="B254" s="47" t="str">
        <f ca="1">Lineups!$C$75</f>
        <v>Yellow Pianta</v>
      </c>
      <c r="C254" s="48" t="s">
        <v>188</v>
      </c>
      <c r="D254" s="49"/>
      <c r="E254" s="49" t="s">
        <v>189</v>
      </c>
      <c r="F254" s="49"/>
      <c r="G254" s="49"/>
      <c r="H254" s="50"/>
      <c r="I254" s="50"/>
      <c r="J254" s="50"/>
      <c r="K254" s="50"/>
      <c r="L254" s="50"/>
      <c r="M254" s="67">
        <f ca="1">IF($B254="","",SUM(_xlfn.XLOOKUP(C254,Lists!$P$2:$P$19,Lists!$R$2:$R$19,0),_xlfn.XLOOKUP(E254,Lists!$P$2:$P$19,Lists!$R$2:$R$19,0),_xlfn.XLOOKUP(G254,Lists!$P$2:$P$19,Lists!$R$2:$R$19,0),_xlfn.XLOOKUP(I254,Lists!$P$2:$P$19,Lists!$R$2:$R$19,0),_xlfn.XLOOKUP(K254,Lists!$P$2:$P$19,Lists!$R$2:$R$19,0)))</f>
        <v>2</v>
      </c>
      <c r="N254" s="68">
        <f ca="1">IF($B254="","",SUM(_xlfn.XLOOKUP(D254,Lists!$AC$2:$AC$9,Lists!$AE$2:$AE$9,0),_xlfn.XLOOKUP(F254,Lists!$AC$2:$AC$9,Lists!$AE$2:$AE$9,0),_xlfn.XLOOKUP(H254,Lists!$AC$2:$AC$9,Lists!$AE$2:$AE$9,0),_xlfn.XLOOKUP(J254,Lists!$AC$2:$AC$9,Lists!$AE$2:$AE$9,0),_xlfn.XLOOKUP(L254,Lists!$AC$2:$AC$9,Lists!$AE$2:$AE$9,0)))</f>
        <v>0</v>
      </c>
      <c r="O254" s="68">
        <f ca="1">IF($B254="","",SUM(_xlfn.XLOOKUP(C254,Lists!$P$2:$P$19,Lists!$S$2:$S$19,0),_xlfn.XLOOKUP(E254,Lists!$P$2:$P$19,Lists!$S$2:$S$19,0),_xlfn.XLOOKUP(G254,Lists!$P$2:$P$19,Lists!$S$2:$S$19,0),_xlfn.XLOOKUP(I254,Lists!$P$2:$P$19,Lists!$S$2:$S$19,0),_xlfn.XLOOKUP(K254,Lists!$P$2:$P$19,Lists!$S$2:$S$19,0)))</f>
        <v>1</v>
      </c>
      <c r="P254" s="68">
        <f ca="1">IF($B254="","",SUM(_xlfn.XLOOKUP(C254,Lists!$P$2:$P$19,Lists!$T$2:$T$19,0),_xlfn.XLOOKUP(E254,Lists!$P$2:$P$19,Lists!$T$2:$T$19,0),_xlfn.XLOOKUP(G254,Lists!$P$2:$P$19,Lists!$T$2:$T$19,0),_xlfn.XLOOKUP(I254,Lists!$P$2:$P$19,Lists!$T$2:$T$19,0),_xlfn.XLOOKUP(K254,Lists!$P$2:$P$19,Lists!$T$2:$T$19,0)))</f>
        <v>0</v>
      </c>
      <c r="Q254" s="68">
        <f ca="1">IF($B254="","",SUM(_xlfn.XLOOKUP(C254,Lists!$P$2:$P$19,Lists!$U$2:$U$19,0),_xlfn.XLOOKUP(E254,Lists!$P$2:$P$19,Lists!$U$2:$U$19,0),_xlfn.XLOOKUP(G254,Lists!$P$2:$P$19,Lists!$U$2:$U$19,0),_xlfn.XLOOKUP(I254,Lists!$P$2:$P$19,Lists!$U$2:$U$19,0),_xlfn.XLOOKUP(K254,Lists!$P$2:$P$19,Lists!$U$2:$U$19,0)))</f>
        <v>0</v>
      </c>
      <c r="R254" s="68">
        <f ca="1">IF($B254="","",SUM(_xlfn.XLOOKUP(C254,Lists!$P$2:$P$19,Lists!$V$2:$V$19,0),_xlfn.XLOOKUP(E254,Lists!$P$2:$P$19,Lists!$V$2:$V$19,0),_xlfn.XLOOKUP(G254,Lists!$P$2:$P$19,Lists!$V$2:$V$19,0),_xlfn.XLOOKUP(I254,Lists!$P$2:$P$19,Lists!$V$2:$V$19,0),_xlfn.XLOOKUP(K254,Lists!$P$2:$P$19,Lists!$V$2:$V$19,0)))</f>
        <v>0</v>
      </c>
      <c r="S254" s="68">
        <f ca="1">IF($B254="","",SUM(_xlfn.XLOOKUP(D254,Lists!$AC$2:$AC$9,Lists!$AD$2:$AD$9,0),_xlfn.XLOOKUP(F254,Lists!$AC$2:$AC$9,Lists!$AD$2:$AD$9,0),_xlfn.XLOOKUP(H254,Lists!$AC$2:$AC$9,Lists!$AD$2:$AD$9,0),_xlfn.XLOOKUP(J254,Lists!$AC$2:$AC$9,Lists!$AD$2:$AD$9,0),_xlfn.XLOOKUP(L254,Lists!$AC$2:$AC$9,Lists!$AD$2:$AD$9,0)))</f>
        <v>0</v>
      </c>
      <c r="T254" s="68">
        <f ca="1">IF($B254="","",SUM(_xlfn.XLOOKUP(C254,Lists!$P$2:$P$19,Lists!$W$2:$W$19,0),_xlfn.XLOOKUP(E254,Lists!$P$2:$P$19,Lists!$W$2:$W$19,0),_xlfn.XLOOKUP(G254,Lists!$P$2:$P$19,Lists!$W$2:$W$19,0),_xlfn.XLOOKUP(I254,Lists!$P$2:$P$19,Lists!$W$2:$W$19,0),_xlfn.XLOOKUP(K254,Lists!$P$2:$P$19,Lists!$W$2:$W$19,0)))</f>
        <v>0</v>
      </c>
      <c r="U254" s="68">
        <f ca="1">IF($B254="","",SUM(_xlfn.XLOOKUP(C254,Lists!$P$2:$P$19,Lists!$X$2:$X$19,0),_xlfn.XLOOKUP(E254,Lists!$P$2:$P$19,Lists!$X$2:$X$19,0),_xlfn.XLOOKUP(G254,Lists!$P$2:$P$19,Lists!$X$2:$X$19,0),_xlfn.XLOOKUP(I254,Lists!$P$2:$P$19,Lists!$X$2:$X$19,0),_xlfn.XLOOKUP(K254,Lists!$P$2:$P$19,Lists!$X$2:$X$19,0)))</f>
        <v>0</v>
      </c>
      <c r="V254" s="68">
        <f ca="1">IF($B254="","",SUM(_xlfn.XLOOKUP(C254,Lists!$P$2:$P$19,Lists!$Y$2:$Y$19,0),_xlfn.XLOOKUP(E254,Lists!$P$2:$P$19,Lists!$Y$2:$Y$19,0),_xlfn.XLOOKUP(G254,Lists!$P$2:$P$19,Lists!$Y$2:$Y$19,0),_xlfn.XLOOKUP(I254,Lists!$P$2:$P$19,Lists!$Y$2:$Y$19,0),_xlfn.XLOOKUP(K254,Lists!$P$2:$P$19,Lists!$Y$2:$Y$19,0)))</f>
        <v>0</v>
      </c>
      <c r="W254" s="68">
        <f ca="1">IF($B254="","",SUM(_xlfn.XLOOKUP(C254,Lists!$P$2:$P$19,Lists!$Z$2:$Z$19,0),_xlfn.XLOOKUP(E254,Lists!$P$2:$P$19,Lists!$Z$2:$Z$19,0),_xlfn.XLOOKUP(G254,Lists!$P$2:$P$19,Lists!$Z$2:$Z$19,0),_xlfn.XLOOKUP(I254,Lists!$P$2:$P$19,Lists!$Z$2:$Z$19,0),_xlfn.XLOOKUP(K254,Lists!$P$2:$P$19,Lists!$Z$2:$Z$19,0)))</f>
        <v>0</v>
      </c>
      <c r="X254" s="69">
        <f ca="1">IF($B254="","",SUM(_xlfn.XLOOKUP(C254,Lists!$P$2:$P$19,Lists!$AA$2:$AA$19,0),_xlfn.XLOOKUP(E254,Lists!$P$2:$P$19,Lists!$AA$2:$AA$19,0),_xlfn.XLOOKUP(G254,Lists!$P$2:$P$19,Lists!$AA$2:$AA$19,0),_xlfn.XLOOKUP(I254,Lists!$P$2:$P$19,Lists!$AA$2:$AA$19,0),_xlfn.XLOOKUP(K254,Lists!$P$2:$P$19,Lists!$AA$2:$AA$19,0)))</f>
        <v>0</v>
      </c>
      <c r="Y254" s="4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  <c r="CZ254" s="18"/>
      <c r="DA254" s="18"/>
      <c r="DB254" s="18"/>
      <c r="DC254" s="18"/>
      <c r="DD254" s="18"/>
      <c r="DE254" s="18"/>
      <c r="DF254" s="18"/>
    </row>
    <row r="255" spans="1:110">
      <c r="A255" s="168">
        <v>2</v>
      </c>
      <c r="B255" s="47" t="str">
        <f ca="1">Lineups!$C$76</f>
        <v>Mario</v>
      </c>
      <c r="C255" s="49" t="s">
        <v>188</v>
      </c>
      <c r="D255" s="49"/>
      <c r="E255" s="49" t="s">
        <v>176</v>
      </c>
      <c r="F255" s="49"/>
      <c r="G255" s="49"/>
      <c r="H255" s="50"/>
      <c r="I255" s="50"/>
      <c r="J255" s="50"/>
      <c r="K255" s="50"/>
      <c r="L255" s="50"/>
      <c r="M255" s="67">
        <f ca="1">IF($B255="","",SUM(_xlfn.XLOOKUP(C255,Lists!$P$2:$P$19,Lists!$R$2:$R$19,0),_xlfn.XLOOKUP(E255,Lists!$P$2:$P$19,Lists!$R$2:$R$19,0),_xlfn.XLOOKUP(G255,Lists!$P$2:$P$19,Lists!$R$2:$R$19,0),_xlfn.XLOOKUP(I255,Lists!$P$2:$P$19,Lists!$R$2:$R$19,0),_xlfn.XLOOKUP(K255,Lists!$P$2:$P$19,Lists!$R$2:$R$19,0)))</f>
        <v>2</v>
      </c>
      <c r="N255" s="68">
        <f ca="1">IF($B255="","",SUM(_xlfn.XLOOKUP(D255,Lists!$AC$2:$AC$9,Lists!$AE$2:$AE$9,0),_xlfn.XLOOKUP(F255,Lists!$AC$2:$AC$9,Lists!$AE$2:$AE$9,0),_xlfn.XLOOKUP(H255,Lists!$AC$2:$AC$9,Lists!$AE$2:$AE$9,0),_xlfn.XLOOKUP(J255,Lists!$AC$2:$AC$9,Lists!$AE$2:$AE$9,0),_xlfn.XLOOKUP(L255,Lists!$AC$2:$AC$9,Lists!$AE$2:$AE$9,0)))</f>
        <v>0</v>
      </c>
      <c r="O255" s="68">
        <f ca="1">IF($B255="","",SUM(_xlfn.XLOOKUP(C255,Lists!$P$2:$P$19,Lists!$S$2:$S$19,0),_xlfn.XLOOKUP(E255,Lists!$P$2:$P$19,Lists!$S$2:$S$19,0),_xlfn.XLOOKUP(G255,Lists!$P$2:$P$19,Lists!$S$2:$S$19,0),_xlfn.XLOOKUP(I255,Lists!$P$2:$P$19,Lists!$S$2:$S$19,0),_xlfn.XLOOKUP(K255,Lists!$P$2:$P$19,Lists!$S$2:$S$19,0)))</f>
        <v>2</v>
      </c>
      <c r="P255" s="68">
        <f ca="1">IF($B255="","",SUM(_xlfn.XLOOKUP(C255,Lists!$P$2:$P$19,Lists!$T$2:$T$19,0),_xlfn.XLOOKUP(E255,Lists!$P$2:$P$19,Lists!$T$2:$T$19,0),_xlfn.XLOOKUP(G255,Lists!$P$2:$P$19,Lists!$T$2:$T$19,0),_xlfn.XLOOKUP(I255,Lists!$P$2:$P$19,Lists!$T$2:$T$19,0),_xlfn.XLOOKUP(K255,Lists!$P$2:$P$19,Lists!$T$2:$T$19,0)))</f>
        <v>1</v>
      </c>
      <c r="Q255" s="68">
        <f ca="1">IF($B255="","",SUM(_xlfn.XLOOKUP(C255,Lists!$P$2:$P$19,Lists!$U$2:$U$19,0),_xlfn.XLOOKUP(E255,Lists!$P$2:$P$19,Lists!$U$2:$U$19,0),_xlfn.XLOOKUP(G255,Lists!$P$2:$P$19,Lists!$U$2:$U$19,0),_xlfn.XLOOKUP(I255,Lists!$P$2:$P$19,Lists!$U$2:$U$19,0),_xlfn.XLOOKUP(K255,Lists!$P$2:$P$19,Lists!$U$2:$U$19,0)))</f>
        <v>0</v>
      </c>
      <c r="R255" s="68">
        <f ca="1">IF($B255="","",SUM(_xlfn.XLOOKUP(C255,Lists!$P$2:$P$19,Lists!$V$2:$V$19,0),_xlfn.XLOOKUP(E255,Lists!$P$2:$P$19,Lists!$V$2:$V$19,0),_xlfn.XLOOKUP(G255,Lists!$P$2:$P$19,Lists!$V$2:$V$19,0),_xlfn.XLOOKUP(I255,Lists!$P$2:$P$19,Lists!$V$2:$V$19,0),_xlfn.XLOOKUP(K255,Lists!$P$2:$P$19,Lists!$V$2:$V$19,0)))</f>
        <v>0</v>
      </c>
      <c r="S255" s="68">
        <f ca="1">IF($B255="","",SUM(_xlfn.XLOOKUP(D255,Lists!$AC$2:$AC$9,Lists!$AD$2:$AD$9,0),_xlfn.XLOOKUP(F255,Lists!$AC$2:$AC$9,Lists!$AD$2:$AD$9,0),_xlfn.XLOOKUP(H255,Lists!$AC$2:$AC$9,Lists!$AD$2:$AD$9,0),_xlfn.XLOOKUP(J255,Lists!$AC$2:$AC$9,Lists!$AD$2:$AD$9,0),_xlfn.XLOOKUP(L255,Lists!$AC$2:$AC$9,Lists!$AD$2:$AD$9,0)))</f>
        <v>0</v>
      </c>
      <c r="T255" s="68">
        <f ca="1">IF($B255="","",SUM(_xlfn.XLOOKUP(C255,Lists!$P$2:$P$19,Lists!$W$2:$W$19,0),_xlfn.XLOOKUP(E255,Lists!$P$2:$P$19,Lists!$W$2:$W$19,0),_xlfn.XLOOKUP(G255,Lists!$P$2:$P$19,Lists!$W$2:$W$19,0),_xlfn.XLOOKUP(I255,Lists!$P$2:$P$19,Lists!$W$2:$W$19,0),_xlfn.XLOOKUP(K255,Lists!$P$2:$P$19,Lists!$W$2:$W$19,0)))</f>
        <v>0</v>
      </c>
      <c r="U255" s="68">
        <f ca="1">IF($B255="","",SUM(_xlfn.XLOOKUP(C255,Lists!$P$2:$P$19,Lists!$X$2:$X$19,0),_xlfn.XLOOKUP(E255,Lists!$P$2:$P$19,Lists!$X$2:$X$19,0),_xlfn.XLOOKUP(G255,Lists!$P$2:$P$19,Lists!$X$2:$X$19,0),_xlfn.XLOOKUP(I255,Lists!$P$2:$P$19,Lists!$X$2:$X$19,0),_xlfn.XLOOKUP(K255,Lists!$P$2:$P$19,Lists!$X$2:$X$19,0)))</f>
        <v>0</v>
      </c>
      <c r="V255" s="68">
        <f ca="1">IF($B255="","",SUM(_xlfn.XLOOKUP(C255,Lists!$P$2:$P$19,Lists!$Y$2:$Y$19,0),_xlfn.XLOOKUP(E255,Lists!$P$2:$P$19,Lists!$Y$2:$Y$19,0),_xlfn.XLOOKUP(G255,Lists!$P$2:$P$19,Lists!$Y$2:$Y$19,0),_xlfn.XLOOKUP(I255,Lists!$P$2:$P$19,Lists!$Y$2:$Y$19,0),_xlfn.XLOOKUP(K255,Lists!$P$2:$P$19,Lists!$Y$2:$Y$19,0)))</f>
        <v>0</v>
      </c>
      <c r="W255" s="68">
        <f ca="1">IF($B255="","",SUM(_xlfn.XLOOKUP(C255,Lists!$P$2:$P$19,Lists!$Z$2:$Z$19,0),_xlfn.XLOOKUP(E255,Lists!$P$2:$P$19,Lists!$Z$2:$Z$19,0),_xlfn.XLOOKUP(G255,Lists!$P$2:$P$19,Lists!$Z$2:$Z$19,0),_xlfn.XLOOKUP(I255,Lists!$P$2:$P$19,Lists!$Z$2:$Z$19,0),_xlfn.XLOOKUP(K255,Lists!$P$2:$P$19,Lists!$Z$2:$Z$19,0)))</f>
        <v>0</v>
      </c>
      <c r="X255" s="69">
        <f ca="1">IF($B255="","",SUM(_xlfn.XLOOKUP(C255,Lists!$P$2:$P$19,Lists!$AA$2:$AA$19,0),_xlfn.XLOOKUP(E255,Lists!$P$2:$P$19,Lists!$AA$2:$AA$19,0),_xlfn.XLOOKUP(G255,Lists!$P$2:$P$19,Lists!$AA$2:$AA$19,0),_xlfn.XLOOKUP(I255,Lists!$P$2:$P$19,Lists!$AA$2:$AA$19,0),_xlfn.XLOOKUP(K255,Lists!$P$2:$P$19,Lists!$AA$2:$AA$19,0)))</f>
        <v>0</v>
      </c>
      <c r="Y255" s="49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</row>
    <row r="256" spans="1:110">
      <c r="A256" s="168">
        <v>3</v>
      </c>
      <c r="B256" s="47" t="str">
        <f ca="1">Lineups!$C$77</f>
        <v>Blue Pianta</v>
      </c>
      <c r="C256" s="49" t="s">
        <v>193</v>
      </c>
      <c r="D256" s="49"/>
      <c r="E256" s="49" t="s">
        <v>185</v>
      </c>
      <c r="F256" s="49"/>
      <c r="G256" s="49"/>
      <c r="H256" s="50"/>
      <c r="I256" s="50"/>
      <c r="J256" s="50"/>
      <c r="K256" s="50"/>
      <c r="L256" s="50"/>
      <c r="M256" s="67">
        <f ca="1">IF($B256="","",SUM(_xlfn.XLOOKUP(C256,Lists!$P$2:$P$19,Lists!$R$2:$R$19,0),_xlfn.XLOOKUP(E256,Lists!$P$2:$P$19,Lists!$R$2:$R$19,0),_xlfn.XLOOKUP(G256,Lists!$P$2:$P$19,Lists!$R$2:$R$19,0),_xlfn.XLOOKUP(I256,Lists!$P$2:$P$19,Lists!$R$2:$R$19,0),_xlfn.XLOOKUP(K256,Lists!$P$2:$P$19,Lists!$R$2:$R$19,0)))</f>
        <v>2</v>
      </c>
      <c r="N256" s="68">
        <f ca="1">IF($B256="","",SUM(_xlfn.XLOOKUP(D256,Lists!$AC$2:$AC$9,Lists!$AE$2:$AE$9,0),_xlfn.XLOOKUP(F256,Lists!$AC$2:$AC$9,Lists!$AE$2:$AE$9,0),_xlfn.XLOOKUP(H256,Lists!$AC$2:$AC$9,Lists!$AE$2:$AE$9,0),_xlfn.XLOOKUP(J256,Lists!$AC$2:$AC$9,Lists!$AE$2:$AE$9,0),_xlfn.XLOOKUP(L256,Lists!$AC$2:$AC$9,Lists!$AE$2:$AE$9,0)))</f>
        <v>0</v>
      </c>
      <c r="O256" s="68">
        <f ca="1">IF($B256="","",SUM(_xlfn.XLOOKUP(C256,Lists!$P$2:$P$19,Lists!$S$2:$S$19,0),_xlfn.XLOOKUP(E256,Lists!$P$2:$P$19,Lists!$S$2:$S$19,0),_xlfn.XLOOKUP(G256,Lists!$P$2:$P$19,Lists!$S$2:$S$19,0),_xlfn.XLOOKUP(I256,Lists!$P$2:$P$19,Lists!$S$2:$S$19,0),_xlfn.XLOOKUP(K256,Lists!$P$2:$P$19,Lists!$S$2:$S$19,0)))</f>
        <v>0</v>
      </c>
      <c r="P256" s="68">
        <f ca="1">IF($B256="","",SUM(_xlfn.XLOOKUP(C256,Lists!$P$2:$P$19,Lists!$T$2:$T$19,0),_xlfn.XLOOKUP(E256,Lists!$P$2:$P$19,Lists!$T$2:$T$19,0),_xlfn.XLOOKUP(G256,Lists!$P$2:$P$19,Lists!$T$2:$T$19,0),_xlfn.XLOOKUP(I256,Lists!$P$2:$P$19,Lists!$T$2:$T$19,0),_xlfn.XLOOKUP(K256,Lists!$P$2:$P$19,Lists!$T$2:$T$19,0)))</f>
        <v>0</v>
      </c>
      <c r="Q256" s="68">
        <f ca="1">IF($B256="","",SUM(_xlfn.XLOOKUP(C256,Lists!$P$2:$P$19,Lists!$U$2:$U$19,0),_xlfn.XLOOKUP(E256,Lists!$P$2:$P$19,Lists!$U$2:$U$19,0),_xlfn.XLOOKUP(G256,Lists!$P$2:$P$19,Lists!$U$2:$U$19,0),_xlfn.XLOOKUP(I256,Lists!$P$2:$P$19,Lists!$U$2:$U$19,0),_xlfn.XLOOKUP(K256,Lists!$P$2:$P$19,Lists!$U$2:$U$19,0)))</f>
        <v>0</v>
      </c>
      <c r="R256" s="68">
        <f ca="1">IF($B256="","",SUM(_xlfn.XLOOKUP(C256,Lists!$P$2:$P$19,Lists!$V$2:$V$19,0),_xlfn.XLOOKUP(E256,Lists!$P$2:$P$19,Lists!$V$2:$V$19,0),_xlfn.XLOOKUP(G256,Lists!$P$2:$P$19,Lists!$V$2:$V$19,0),_xlfn.XLOOKUP(I256,Lists!$P$2:$P$19,Lists!$V$2:$V$19,0),_xlfn.XLOOKUP(K256,Lists!$P$2:$P$19,Lists!$V$2:$V$19,0)))</f>
        <v>0</v>
      </c>
      <c r="S256" s="68">
        <f ca="1">IF($B256="","",SUM(_xlfn.XLOOKUP(D256,Lists!$AC$2:$AC$9,Lists!$AD$2:$AD$9,0),_xlfn.XLOOKUP(F256,Lists!$AC$2:$AC$9,Lists!$AD$2:$AD$9,0),_xlfn.XLOOKUP(H256,Lists!$AC$2:$AC$9,Lists!$AD$2:$AD$9,0),_xlfn.XLOOKUP(J256,Lists!$AC$2:$AC$9,Lists!$AD$2:$AD$9,0),_xlfn.XLOOKUP(L256,Lists!$AC$2:$AC$9,Lists!$AD$2:$AD$9,0)))</f>
        <v>0</v>
      </c>
      <c r="T256" s="68">
        <f ca="1">IF($B256="","",SUM(_xlfn.XLOOKUP(C256,Lists!$P$2:$P$19,Lists!$W$2:$W$19,0),_xlfn.XLOOKUP(E256,Lists!$P$2:$P$19,Lists!$W$2:$W$19,0),_xlfn.XLOOKUP(G256,Lists!$P$2:$P$19,Lists!$W$2:$W$19,0),_xlfn.XLOOKUP(I256,Lists!$P$2:$P$19,Lists!$W$2:$W$19,0),_xlfn.XLOOKUP(K256,Lists!$P$2:$P$19,Lists!$W$2:$W$19,0)))</f>
        <v>0</v>
      </c>
      <c r="U256" s="68">
        <f ca="1">IF($B256="","",SUM(_xlfn.XLOOKUP(C256,Lists!$P$2:$P$19,Lists!$X$2:$X$19,0),_xlfn.XLOOKUP(E256,Lists!$P$2:$P$19,Lists!$X$2:$X$19,0),_xlfn.XLOOKUP(G256,Lists!$P$2:$P$19,Lists!$X$2:$X$19,0),_xlfn.XLOOKUP(I256,Lists!$P$2:$P$19,Lists!$X$2:$X$19,0),_xlfn.XLOOKUP(K256,Lists!$P$2:$P$19,Lists!$X$2:$X$19,0)))</f>
        <v>1</v>
      </c>
      <c r="V256" s="68">
        <f ca="1">IF($B256="","",SUM(_xlfn.XLOOKUP(C256,Lists!$P$2:$P$19,Lists!$Y$2:$Y$19,0),_xlfn.XLOOKUP(E256,Lists!$P$2:$P$19,Lists!$Y$2:$Y$19,0),_xlfn.XLOOKUP(G256,Lists!$P$2:$P$19,Lists!$Y$2:$Y$19,0),_xlfn.XLOOKUP(I256,Lists!$P$2:$P$19,Lists!$Y$2:$Y$19,0),_xlfn.XLOOKUP(K256,Lists!$P$2:$P$19,Lists!$Y$2:$Y$19,0)))</f>
        <v>0</v>
      </c>
      <c r="W256" s="68">
        <f ca="1">IF($B256="","",SUM(_xlfn.XLOOKUP(C256,Lists!$P$2:$P$19,Lists!$Z$2:$Z$19,0),_xlfn.XLOOKUP(E256,Lists!$P$2:$P$19,Lists!$Z$2:$Z$19,0),_xlfn.XLOOKUP(G256,Lists!$P$2:$P$19,Lists!$Z$2:$Z$19,0),_xlfn.XLOOKUP(I256,Lists!$P$2:$P$19,Lists!$Z$2:$Z$19,0),_xlfn.XLOOKUP(K256,Lists!$P$2:$P$19,Lists!$Z$2:$Z$19,0)))</f>
        <v>0</v>
      </c>
      <c r="X256" s="69">
        <f ca="1">IF($B256="","",SUM(_xlfn.XLOOKUP(C256,Lists!$P$2:$P$19,Lists!$AA$2:$AA$19,0),_xlfn.XLOOKUP(E256,Lists!$P$2:$P$19,Lists!$AA$2:$AA$19,0),_xlfn.XLOOKUP(G256,Lists!$P$2:$P$19,Lists!$AA$2:$AA$19,0),_xlfn.XLOOKUP(I256,Lists!$P$2:$P$19,Lists!$AA$2:$AA$19,0),_xlfn.XLOOKUP(K256,Lists!$P$2:$P$19,Lists!$AA$2:$AA$19,0)))</f>
        <v>0</v>
      </c>
      <c r="Y256" s="49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  <c r="DC256" s="18"/>
      <c r="DD256" s="18"/>
      <c r="DE256" s="18"/>
      <c r="DF256" s="18"/>
    </row>
    <row r="257" spans="1:110">
      <c r="A257" s="168">
        <v>4</v>
      </c>
      <c r="B257" s="47" t="str">
        <f ca="1">Lineups!$C$78</f>
        <v>Luigi</v>
      </c>
      <c r="C257" s="49" t="s">
        <v>185</v>
      </c>
      <c r="D257" s="49"/>
      <c r="E257" s="49" t="s">
        <v>193</v>
      </c>
      <c r="F257" s="49"/>
      <c r="G257" s="49"/>
      <c r="H257" s="50"/>
      <c r="I257" s="50"/>
      <c r="J257" s="50"/>
      <c r="K257" s="50"/>
      <c r="L257" s="50"/>
      <c r="M257" s="67">
        <f ca="1">IF($B257="","",SUM(_xlfn.XLOOKUP(C257,Lists!$P$2:$P$19,Lists!$R$2:$R$19,0),_xlfn.XLOOKUP(E257,Lists!$P$2:$P$19,Lists!$R$2:$R$19,0),_xlfn.XLOOKUP(G257,Lists!$P$2:$P$19,Lists!$R$2:$R$19,0),_xlfn.XLOOKUP(I257,Lists!$P$2:$P$19,Lists!$R$2:$R$19,0),_xlfn.XLOOKUP(K257,Lists!$P$2:$P$19,Lists!$R$2:$R$19,0)))</f>
        <v>2</v>
      </c>
      <c r="N257" s="68">
        <f ca="1">IF($B257="","",SUM(_xlfn.XLOOKUP(D257,Lists!$AC$2:$AC$9,Lists!$AE$2:$AE$9,0),_xlfn.XLOOKUP(F257,Lists!$AC$2:$AC$9,Lists!$AE$2:$AE$9,0),_xlfn.XLOOKUP(H257,Lists!$AC$2:$AC$9,Lists!$AE$2:$AE$9,0),_xlfn.XLOOKUP(J257,Lists!$AC$2:$AC$9,Lists!$AE$2:$AE$9,0),_xlfn.XLOOKUP(L257,Lists!$AC$2:$AC$9,Lists!$AE$2:$AE$9,0)))</f>
        <v>0</v>
      </c>
      <c r="O257" s="68">
        <f ca="1">IF($B257="","",SUM(_xlfn.XLOOKUP(C257,Lists!$P$2:$P$19,Lists!$S$2:$S$19,0),_xlfn.XLOOKUP(E257,Lists!$P$2:$P$19,Lists!$S$2:$S$19,0),_xlfn.XLOOKUP(G257,Lists!$P$2:$P$19,Lists!$S$2:$S$19,0),_xlfn.XLOOKUP(I257,Lists!$P$2:$P$19,Lists!$S$2:$S$19,0),_xlfn.XLOOKUP(K257,Lists!$P$2:$P$19,Lists!$S$2:$S$19,0)))</f>
        <v>0</v>
      </c>
      <c r="P257" s="68">
        <f ca="1">IF($B257="","",SUM(_xlfn.XLOOKUP(C257,Lists!$P$2:$P$19,Lists!$T$2:$T$19,0),_xlfn.XLOOKUP(E257,Lists!$P$2:$P$19,Lists!$T$2:$T$19,0),_xlfn.XLOOKUP(G257,Lists!$P$2:$P$19,Lists!$T$2:$T$19,0),_xlfn.XLOOKUP(I257,Lists!$P$2:$P$19,Lists!$T$2:$T$19,0),_xlfn.XLOOKUP(K257,Lists!$P$2:$P$19,Lists!$T$2:$T$19,0)))</f>
        <v>0</v>
      </c>
      <c r="Q257" s="68">
        <f ca="1">IF($B257="","",SUM(_xlfn.XLOOKUP(C257,Lists!$P$2:$P$19,Lists!$U$2:$U$19,0),_xlfn.XLOOKUP(E257,Lists!$P$2:$P$19,Lists!$U$2:$U$19,0),_xlfn.XLOOKUP(G257,Lists!$P$2:$P$19,Lists!$U$2:$U$19,0),_xlfn.XLOOKUP(I257,Lists!$P$2:$P$19,Lists!$U$2:$U$19,0),_xlfn.XLOOKUP(K257,Lists!$P$2:$P$19,Lists!$U$2:$U$19,0)))</f>
        <v>0</v>
      </c>
      <c r="R257" s="68">
        <f ca="1">IF($B257="","",SUM(_xlfn.XLOOKUP(C257,Lists!$P$2:$P$19,Lists!$V$2:$V$19,0),_xlfn.XLOOKUP(E257,Lists!$P$2:$P$19,Lists!$V$2:$V$19,0),_xlfn.XLOOKUP(G257,Lists!$P$2:$P$19,Lists!$V$2:$V$19,0),_xlfn.XLOOKUP(I257,Lists!$P$2:$P$19,Lists!$V$2:$V$19,0),_xlfn.XLOOKUP(K257,Lists!$P$2:$P$19,Lists!$V$2:$V$19,0)))</f>
        <v>0</v>
      </c>
      <c r="S257" s="68">
        <f ca="1">IF($B257="","",SUM(_xlfn.XLOOKUP(D257,Lists!$AC$2:$AC$9,Lists!$AD$2:$AD$9,0),_xlfn.XLOOKUP(F257,Lists!$AC$2:$AC$9,Lists!$AD$2:$AD$9,0),_xlfn.XLOOKUP(H257,Lists!$AC$2:$AC$9,Lists!$AD$2:$AD$9,0),_xlfn.XLOOKUP(J257,Lists!$AC$2:$AC$9,Lists!$AD$2:$AD$9,0),_xlfn.XLOOKUP(L257,Lists!$AC$2:$AC$9,Lists!$AD$2:$AD$9,0)))</f>
        <v>0</v>
      </c>
      <c r="T257" s="68">
        <f ca="1">IF($B257="","",SUM(_xlfn.XLOOKUP(C257,Lists!$P$2:$P$19,Lists!$W$2:$W$19,0),_xlfn.XLOOKUP(E257,Lists!$P$2:$P$19,Lists!$W$2:$W$19,0),_xlfn.XLOOKUP(G257,Lists!$P$2:$P$19,Lists!$W$2:$W$19,0),_xlfn.XLOOKUP(I257,Lists!$P$2:$P$19,Lists!$W$2:$W$19,0),_xlfn.XLOOKUP(K257,Lists!$P$2:$P$19,Lists!$W$2:$W$19,0)))</f>
        <v>0</v>
      </c>
      <c r="U257" s="68">
        <f ca="1">IF($B257="","",SUM(_xlfn.XLOOKUP(C257,Lists!$P$2:$P$19,Lists!$X$2:$X$19,0),_xlfn.XLOOKUP(E257,Lists!$P$2:$P$19,Lists!$X$2:$X$19,0),_xlfn.XLOOKUP(G257,Lists!$P$2:$P$19,Lists!$X$2:$X$19,0),_xlfn.XLOOKUP(I257,Lists!$P$2:$P$19,Lists!$X$2:$X$19,0),_xlfn.XLOOKUP(K257,Lists!$P$2:$P$19,Lists!$X$2:$X$19,0)))</f>
        <v>1</v>
      </c>
      <c r="V257" s="68">
        <f ca="1">IF($B257="","",SUM(_xlfn.XLOOKUP(C257,Lists!$P$2:$P$19,Lists!$Y$2:$Y$19,0),_xlfn.XLOOKUP(E257,Lists!$P$2:$P$19,Lists!$Y$2:$Y$19,0),_xlfn.XLOOKUP(G257,Lists!$P$2:$P$19,Lists!$Y$2:$Y$19,0),_xlfn.XLOOKUP(I257,Lists!$P$2:$P$19,Lists!$Y$2:$Y$19,0),_xlfn.XLOOKUP(K257,Lists!$P$2:$P$19,Lists!$Y$2:$Y$19,0)))</f>
        <v>0</v>
      </c>
      <c r="W257" s="68">
        <f ca="1">IF($B257="","",SUM(_xlfn.XLOOKUP(C257,Lists!$P$2:$P$19,Lists!$Z$2:$Z$19,0),_xlfn.XLOOKUP(E257,Lists!$P$2:$P$19,Lists!$Z$2:$Z$19,0),_xlfn.XLOOKUP(G257,Lists!$P$2:$P$19,Lists!$Z$2:$Z$19,0),_xlfn.XLOOKUP(I257,Lists!$P$2:$P$19,Lists!$Z$2:$Z$19,0),_xlfn.XLOOKUP(K257,Lists!$P$2:$P$19,Lists!$Z$2:$Z$19,0)))</f>
        <v>0</v>
      </c>
      <c r="X257" s="69">
        <f ca="1">IF($B257="","",SUM(_xlfn.XLOOKUP(C257,Lists!$P$2:$P$19,Lists!$AA$2:$AA$19,0),_xlfn.XLOOKUP(E257,Lists!$P$2:$P$19,Lists!$AA$2:$AA$19,0),_xlfn.XLOOKUP(G257,Lists!$P$2:$P$19,Lists!$AA$2:$AA$19,0),_xlfn.XLOOKUP(I257,Lists!$P$2:$P$19,Lists!$AA$2:$AA$19,0),_xlfn.XLOOKUP(K257,Lists!$P$2:$P$19,Lists!$AA$2:$AA$19,0)))</f>
        <v>0</v>
      </c>
      <c r="Y257" s="49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  <c r="DC257" s="18"/>
      <c r="DD257" s="18"/>
      <c r="DE257" s="18"/>
      <c r="DF257" s="18"/>
    </row>
    <row r="258" spans="1:110">
      <c r="A258" s="168">
        <v>5</v>
      </c>
      <c r="B258" s="47" t="str">
        <f ca="1">Lineups!$C$79</f>
        <v>Dark Bones</v>
      </c>
      <c r="C258" s="49" t="s">
        <v>193</v>
      </c>
      <c r="D258" s="49"/>
      <c r="E258" s="49"/>
      <c r="F258" s="49"/>
      <c r="G258" s="49"/>
      <c r="H258" s="50"/>
      <c r="I258" s="50"/>
      <c r="J258" s="50"/>
      <c r="K258" s="50"/>
      <c r="L258" s="50"/>
      <c r="M258" s="67">
        <f ca="1">IF($B258="","",SUM(_xlfn.XLOOKUP(C258,Lists!$P$2:$P$19,Lists!$R$2:$R$19,0),_xlfn.XLOOKUP(E258,Lists!$P$2:$P$19,Lists!$R$2:$R$19,0),_xlfn.XLOOKUP(G258,Lists!$P$2:$P$19,Lists!$R$2:$R$19,0),_xlfn.XLOOKUP(I258,Lists!$P$2:$P$19,Lists!$R$2:$R$19,0),_xlfn.XLOOKUP(K258,Lists!$P$2:$P$19,Lists!$R$2:$R$19,0)))</f>
        <v>1</v>
      </c>
      <c r="N258" s="68">
        <f ca="1">IF($B258="","",SUM(_xlfn.XLOOKUP(D258,Lists!$AC$2:$AC$9,Lists!$AE$2:$AE$9,0),_xlfn.XLOOKUP(F258,Lists!$AC$2:$AC$9,Lists!$AE$2:$AE$9,0),_xlfn.XLOOKUP(H258,Lists!$AC$2:$AC$9,Lists!$AE$2:$AE$9,0),_xlfn.XLOOKUP(J258,Lists!$AC$2:$AC$9,Lists!$AE$2:$AE$9,0),_xlfn.XLOOKUP(L258,Lists!$AC$2:$AC$9,Lists!$AE$2:$AE$9,0)))</f>
        <v>0</v>
      </c>
      <c r="O258" s="68">
        <f ca="1">IF($B258="","",SUM(_xlfn.XLOOKUP(C258,Lists!$P$2:$P$19,Lists!$S$2:$S$19,0),_xlfn.XLOOKUP(E258,Lists!$P$2:$P$19,Lists!$S$2:$S$19,0),_xlfn.XLOOKUP(G258,Lists!$P$2:$P$19,Lists!$S$2:$S$19,0),_xlfn.XLOOKUP(I258,Lists!$P$2:$P$19,Lists!$S$2:$S$19,0),_xlfn.XLOOKUP(K258,Lists!$P$2:$P$19,Lists!$S$2:$S$19,0)))</f>
        <v>0</v>
      </c>
      <c r="P258" s="68">
        <f ca="1">IF($B258="","",SUM(_xlfn.XLOOKUP(C258,Lists!$P$2:$P$19,Lists!$T$2:$T$19,0),_xlfn.XLOOKUP(E258,Lists!$P$2:$P$19,Lists!$T$2:$T$19,0),_xlfn.XLOOKUP(G258,Lists!$P$2:$P$19,Lists!$T$2:$T$19,0),_xlfn.XLOOKUP(I258,Lists!$P$2:$P$19,Lists!$T$2:$T$19,0),_xlfn.XLOOKUP(K258,Lists!$P$2:$P$19,Lists!$T$2:$T$19,0)))</f>
        <v>0</v>
      </c>
      <c r="Q258" s="68">
        <f ca="1">IF($B258="","",SUM(_xlfn.XLOOKUP(C258,Lists!$P$2:$P$19,Lists!$U$2:$U$19,0),_xlfn.XLOOKUP(E258,Lists!$P$2:$P$19,Lists!$U$2:$U$19,0),_xlfn.XLOOKUP(G258,Lists!$P$2:$P$19,Lists!$U$2:$U$19,0),_xlfn.XLOOKUP(I258,Lists!$P$2:$P$19,Lists!$U$2:$U$19,0),_xlfn.XLOOKUP(K258,Lists!$P$2:$P$19,Lists!$U$2:$U$19,0)))</f>
        <v>0</v>
      </c>
      <c r="R258" s="68">
        <f ca="1">IF($B258="","",SUM(_xlfn.XLOOKUP(C258,Lists!$P$2:$P$19,Lists!$V$2:$V$19,0),_xlfn.XLOOKUP(E258,Lists!$P$2:$P$19,Lists!$V$2:$V$19,0),_xlfn.XLOOKUP(G258,Lists!$P$2:$P$19,Lists!$V$2:$V$19,0),_xlfn.XLOOKUP(I258,Lists!$P$2:$P$19,Lists!$V$2:$V$19,0),_xlfn.XLOOKUP(K258,Lists!$P$2:$P$19,Lists!$V$2:$V$19,0)))</f>
        <v>0</v>
      </c>
      <c r="S258" s="68">
        <f ca="1">IF($B258="","",SUM(_xlfn.XLOOKUP(D258,Lists!$AC$2:$AC$9,Lists!$AD$2:$AD$9,0),_xlfn.XLOOKUP(F258,Lists!$AC$2:$AC$9,Lists!$AD$2:$AD$9,0),_xlfn.XLOOKUP(H258,Lists!$AC$2:$AC$9,Lists!$AD$2:$AD$9,0),_xlfn.XLOOKUP(J258,Lists!$AC$2:$AC$9,Lists!$AD$2:$AD$9,0),_xlfn.XLOOKUP(L258,Lists!$AC$2:$AC$9,Lists!$AD$2:$AD$9,0)))</f>
        <v>0</v>
      </c>
      <c r="T258" s="68">
        <f ca="1">IF($B258="","",SUM(_xlfn.XLOOKUP(C258,Lists!$P$2:$P$19,Lists!$W$2:$W$19,0),_xlfn.XLOOKUP(E258,Lists!$P$2:$P$19,Lists!$W$2:$W$19,0),_xlfn.XLOOKUP(G258,Lists!$P$2:$P$19,Lists!$W$2:$W$19,0),_xlfn.XLOOKUP(I258,Lists!$P$2:$P$19,Lists!$W$2:$W$19,0),_xlfn.XLOOKUP(K258,Lists!$P$2:$P$19,Lists!$W$2:$W$19,0)))</f>
        <v>0</v>
      </c>
      <c r="U258" s="68">
        <f ca="1">IF($B258="","",SUM(_xlfn.XLOOKUP(C258,Lists!$P$2:$P$19,Lists!$X$2:$X$19,0),_xlfn.XLOOKUP(E258,Lists!$P$2:$P$19,Lists!$X$2:$X$19,0),_xlfn.XLOOKUP(G258,Lists!$P$2:$P$19,Lists!$X$2:$X$19,0),_xlfn.XLOOKUP(I258,Lists!$P$2:$P$19,Lists!$X$2:$X$19,0),_xlfn.XLOOKUP(K258,Lists!$P$2:$P$19,Lists!$X$2:$X$19,0)))</f>
        <v>0</v>
      </c>
      <c r="V258" s="68">
        <f ca="1">IF($B258="","",SUM(_xlfn.XLOOKUP(C258,Lists!$P$2:$P$19,Lists!$Y$2:$Y$19,0),_xlfn.XLOOKUP(E258,Lists!$P$2:$P$19,Lists!$Y$2:$Y$19,0),_xlfn.XLOOKUP(G258,Lists!$P$2:$P$19,Lists!$Y$2:$Y$19,0),_xlfn.XLOOKUP(I258,Lists!$P$2:$P$19,Lists!$Y$2:$Y$19,0),_xlfn.XLOOKUP(K258,Lists!$P$2:$P$19,Lists!$Y$2:$Y$19,0)))</f>
        <v>0</v>
      </c>
      <c r="W258" s="68">
        <f ca="1">IF($B258="","",SUM(_xlfn.XLOOKUP(C258,Lists!$P$2:$P$19,Lists!$Z$2:$Z$19,0),_xlfn.XLOOKUP(E258,Lists!$P$2:$P$19,Lists!$Z$2:$Z$19,0),_xlfn.XLOOKUP(G258,Lists!$P$2:$P$19,Lists!$Z$2:$Z$19,0),_xlfn.XLOOKUP(I258,Lists!$P$2:$P$19,Lists!$Z$2:$Z$19,0),_xlfn.XLOOKUP(K258,Lists!$P$2:$P$19,Lists!$Z$2:$Z$19,0)))</f>
        <v>0</v>
      </c>
      <c r="X258" s="69">
        <f ca="1">IF($B258="","",SUM(_xlfn.XLOOKUP(C258,Lists!$P$2:$P$19,Lists!$AA$2:$AA$19,0),_xlfn.XLOOKUP(E258,Lists!$P$2:$P$19,Lists!$AA$2:$AA$19,0),_xlfn.XLOOKUP(G258,Lists!$P$2:$P$19,Lists!$AA$2:$AA$19,0),_xlfn.XLOOKUP(I258,Lists!$P$2:$P$19,Lists!$AA$2:$AA$19,0),_xlfn.XLOOKUP(K258,Lists!$P$2:$P$19,Lists!$AA$2:$AA$19,0)))</f>
        <v>0</v>
      </c>
      <c r="Y258" s="49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8"/>
      <c r="DF258" s="18"/>
    </row>
    <row r="259" spans="1:110">
      <c r="A259" s="168">
        <v>6</v>
      </c>
      <c r="B259" s="47" t="str">
        <f ca="1">Lineups!$C$80</f>
        <v>Pink Yoshi</v>
      </c>
      <c r="C259" s="49" t="s">
        <v>189</v>
      </c>
      <c r="D259" s="49"/>
      <c r="E259" s="49"/>
      <c r="F259" s="49"/>
      <c r="G259" s="49"/>
      <c r="H259" s="50"/>
      <c r="I259" s="50"/>
      <c r="J259" s="50"/>
      <c r="K259" s="50"/>
      <c r="L259" s="50"/>
      <c r="M259" s="67">
        <f ca="1">IF($B259="","",SUM(_xlfn.XLOOKUP(C259,Lists!$P$2:$P$19,Lists!$R$2:$R$19,0),_xlfn.XLOOKUP(E259,Lists!$P$2:$P$19,Lists!$R$2:$R$19,0),_xlfn.XLOOKUP(G259,Lists!$P$2:$P$19,Lists!$R$2:$R$19,0),_xlfn.XLOOKUP(I259,Lists!$P$2:$P$19,Lists!$R$2:$R$19,0),_xlfn.XLOOKUP(K259,Lists!$P$2:$P$19,Lists!$R$2:$R$19,0)))</f>
        <v>1</v>
      </c>
      <c r="N259" s="68">
        <f ca="1">IF($B259="","",SUM(_xlfn.XLOOKUP(D259,Lists!$AC$2:$AC$9,Lists!$AE$2:$AE$9,0),_xlfn.XLOOKUP(F259,Lists!$AC$2:$AC$9,Lists!$AE$2:$AE$9,0),_xlfn.XLOOKUP(H259,Lists!$AC$2:$AC$9,Lists!$AE$2:$AE$9,0),_xlfn.XLOOKUP(J259,Lists!$AC$2:$AC$9,Lists!$AE$2:$AE$9,0),_xlfn.XLOOKUP(L259,Lists!$AC$2:$AC$9,Lists!$AE$2:$AE$9,0)))</f>
        <v>0</v>
      </c>
      <c r="O259" s="68">
        <f ca="1">IF($B259="","",SUM(_xlfn.XLOOKUP(C259,Lists!$P$2:$P$19,Lists!$S$2:$S$19,0),_xlfn.XLOOKUP(E259,Lists!$P$2:$P$19,Lists!$S$2:$S$19,0),_xlfn.XLOOKUP(G259,Lists!$P$2:$P$19,Lists!$S$2:$S$19,0),_xlfn.XLOOKUP(I259,Lists!$P$2:$P$19,Lists!$S$2:$S$19,0),_xlfn.XLOOKUP(K259,Lists!$P$2:$P$19,Lists!$S$2:$S$19,0)))</f>
        <v>0</v>
      </c>
      <c r="P259" s="68">
        <f ca="1">IF($B259="","",SUM(_xlfn.XLOOKUP(C259,Lists!$P$2:$P$19,Lists!$T$2:$T$19,0),_xlfn.XLOOKUP(E259,Lists!$P$2:$P$19,Lists!$T$2:$T$19,0),_xlfn.XLOOKUP(G259,Lists!$P$2:$P$19,Lists!$T$2:$T$19,0),_xlfn.XLOOKUP(I259,Lists!$P$2:$P$19,Lists!$T$2:$T$19,0),_xlfn.XLOOKUP(K259,Lists!$P$2:$P$19,Lists!$T$2:$T$19,0)))</f>
        <v>0</v>
      </c>
      <c r="Q259" s="68">
        <f ca="1">IF($B259="","",SUM(_xlfn.XLOOKUP(C259,Lists!$P$2:$P$19,Lists!$U$2:$U$19,0),_xlfn.XLOOKUP(E259,Lists!$P$2:$P$19,Lists!$U$2:$U$19,0),_xlfn.XLOOKUP(G259,Lists!$P$2:$P$19,Lists!$U$2:$U$19,0),_xlfn.XLOOKUP(I259,Lists!$P$2:$P$19,Lists!$U$2:$U$19,0),_xlfn.XLOOKUP(K259,Lists!$P$2:$P$19,Lists!$U$2:$U$19,0)))</f>
        <v>0</v>
      </c>
      <c r="R259" s="68">
        <f ca="1">IF($B259="","",SUM(_xlfn.XLOOKUP(C259,Lists!$P$2:$P$19,Lists!$V$2:$V$19,0),_xlfn.XLOOKUP(E259,Lists!$P$2:$P$19,Lists!$V$2:$V$19,0),_xlfn.XLOOKUP(G259,Lists!$P$2:$P$19,Lists!$V$2:$V$19,0),_xlfn.XLOOKUP(I259,Lists!$P$2:$P$19,Lists!$V$2:$V$19,0),_xlfn.XLOOKUP(K259,Lists!$P$2:$P$19,Lists!$V$2:$V$19,0)))</f>
        <v>0</v>
      </c>
      <c r="S259" s="68">
        <f ca="1">IF($B259="","",SUM(_xlfn.XLOOKUP(D259,Lists!$AC$2:$AC$9,Lists!$AD$2:$AD$9,0),_xlfn.XLOOKUP(F259,Lists!$AC$2:$AC$9,Lists!$AD$2:$AD$9,0),_xlfn.XLOOKUP(H259,Lists!$AC$2:$AC$9,Lists!$AD$2:$AD$9,0),_xlfn.XLOOKUP(J259,Lists!$AC$2:$AC$9,Lists!$AD$2:$AD$9,0),_xlfn.XLOOKUP(L259,Lists!$AC$2:$AC$9,Lists!$AD$2:$AD$9,0)))</f>
        <v>0</v>
      </c>
      <c r="T259" s="68">
        <f ca="1">IF($B259="","",SUM(_xlfn.XLOOKUP(C259,Lists!$P$2:$P$19,Lists!$W$2:$W$19,0),_xlfn.XLOOKUP(E259,Lists!$P$2:$P$19,Lists!$W$2:$W$19,0),_xlfn.XLOOKUP(G259,Lists!$P$2:$P$19,Lists!$W$2:$W$19,0),_xlfn.XLOOKUP(I259,Lists!$P$2:$P$19,Lists!$W$2:$W$19,0),_xlfn.XLOOKUP(K259,Lists!$P$2:$P$19,Lists!$W$2:$W$19,0)))</f>
        <v>0</v>
      </c>
      <c r="U259" s="68">
        <f ca="1">IF($B259="","",SUM(_xlfn.XLOOKUP(C259,Lists!$P$2:$P$19,Lists!$X$2:$X$19,0),_xlfn.XLOOKUP(E259,Lists!$P$2:$P$19,Lists!$X$2:$X$19,0),_xlfn.XLOOKUP(G259,Lists!$P$2:$P$19,Lists!$X$2:$X$19,0),_xlfn.XLOOKUP(I259,Lists!$P$2:$P$19,Lists!$X$2:$X$19,0),_xlfn.XLOOKUP(K259,Lists!$P$2:$P$19,Lists!$X$2:$X$19,0)))</f>
        <v>0</v>
      </c>
      <c r="V259" s="68">
        <f ca="1">IF($B259="","",SUM(_xlfn.XLOOKUP(C259,Lists!$P$2:$P$19,Lists!$Y$2:$Y$19,0),_xlfn.XLOOKUP(E259,Lists!$P$2:$P$19,Lists!$Y$2:$Y$19,0),_xlfn.XLOOKUP(G259,Lists!$P$2:$P$19,Lists!$Y$2:$Y$19,0),_xlfn.XLOOKUP(I259,Lists!$P$2:$P$19,Lists!$Y$2:$Y$19,0),_xlfn.XLOOKUP(K259,Lists!$P$2:$P$19,Lists!$Y$2:$Y$19,0)))</f>
        <v>0</v>
      </c>
      <c r="W259" s="68">
        <f ca="1">IF($B259="","",SUM(_xlfn.XLOOKUP(C259,Lists!$P$2:$P$19,Lists!$Z$2:$Z$19,0),_xlfn.XLOOKUP(E259,Lists!$P$2:$P$19,Lists!$Z$2:$Z$19,0),_xlfn.XLOOKUP(G259,Lists!$P$2:$P$19,Lists!$Z$2:$Z$19,0),_xlfn.XLOOKUP(I259,Lists!$P$2:$P$19,Lists!$Z$2:$Z$19,0),_xlfn.XLOOKUP(K259,Lists!$P$2:$P$19,Lists!$Z$2:$Z$19,0)))</f>
        <v>0</v>
      </c>
      <c r="X259" s="69">
        <f ca="1">IF($B259="","",SUM(_xlfn.XLOOKUP(C259,Lists!$P$2:$P$19,Lists!$AA$2:$AA$19,0),_xlfn.XLOOKUP(E259,Lists!$P$2:$P$19,Lists!$AA$2:$AA$19,0),_xlfn.XLOOKUP(G259,Lists!$P$2:$P$19,Lists!$AA$2:$AA$19,0),_xlfn.XLOOKUP(I259,Lists!$P$2:$P$19,Lists!$AA$2:$AA$19,0),_xlfn.XLOOKUP(K259,Lists!$P$2:$P$19,Lists!$AA$2:$AA$19,0)))</f>
        <v>0</v>
      </c>
      <c r="Y259" s="49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</row>
    <row r="260" spans="1:110">
      <c r="A260" s="168">
        <v>7</v>
      </c>
      <c r="B260" s="47" t="str">
        <f ca="1">Lineups!$C$81</f>
        <v>Blue Dry Bones</v>
      </c>
      <c r="C260" s="49" t="s">
        <v>189</v>
      </c>
      <c r="D260" s="49"/>
      <c r="E260" s="49"/>
      <c r="F260" s="49"/>
      <c r="G260" s="49"/>
      <c r="H260" s="50"/>
      <c r="I260" s="50"/>
      <c r="J260" s="50"/>
      <c r="K260" s="50"/>
      <c r="L260" s="50"/>
      <c r="M260" s="67">
        <f ca="1">IF($B260="","",SUM(_xlfn.XLOOKUP(C260,Lists!$P$2:$P$19,Lists!$R$2:$R$19,0),_xlfn.XLOOKUP(E260,Lists!$P$2:$P$19,Lists!$R$2:$R$19,0),_xlfn.XLOOKUP(G260,Lists!$P$2:$P$19,Lists!$R$2:$R$19,0),_xlfn.XLOOKUP(I260,Lists!$P$2:$P$19,Lists!$R$2:$R$19,0),_xlfn.XLOOKUP(K260,Lists!$P$2:$P$19,Lists!$R$2:$R$19,0)))</f>
        <v>1</v>
      </c>
      <c r="N260" s="68">
        <f ca="1">IF($B260="","",SUM(_xlfn.XLOOKUP(D260,Lists!$AC$2:$AC$9,Lists!$AE$2:$AE$9,0),_xlfn.XLOOKUP(F260,Lists!$AC$2:$AC$9,Lists!$AE$2:$AE$9,0),_xlfn.XLOOKUP(H260,Lists!$AC$2:$AC$9,Lists!$AE$2:$AE$9,0),_xlfn.XLOOKUP(J260,Lists!$AC$2:$AC$9,Lists!$AE$2:$AE$9,0),_xlfn.XLOOKUP(L260,Lists!$AC$2:$AC$9,Lists!$AE$2:$AE$9,0)))</f>
        <v>0</v>
      </c>
      <c r="O260" s="68">
        <f ca="1">IF($B260="","",SUM(_xlfn.XLOOKUP(C260,Lists!$P$2:$P$19,Lists!$S$2:$S$19,0),_xlfn.XLOOKUP(E260,Lists!$P$2:$P$19,Lists!$S$2:$S$19,0),_xlfn.XLOOKUP(G260,Lists!$P$2:$P$19,Lists!$S$2:$S$19,0),_xlfn.XLOOKUP(I260,Lists!$P$2:$P$19,Lists!$S$2:$S$19,0),_xlfn.XLOOKUP(K260,Lists!$P$2:$P$19,Lists!$S$2:$S$19,0)))</f>
        <v>0</v>
      </c>
      <c r="P260" s="68">
        <f ca="1">IF($B260="","",SUM(_xlfn.XLOOKUP(C260,Lists!$P$2:$P$19,Lists!$T$2:$T$19,0),_xlfn.XLOOKUP(E260,Lists!$P$2:$P$19,Lists!$T$2:$T$19,0),_xlfn.XLOOKUP(G260,Lists!$P$2:$P$19,Lists!$T$2:$T$19,0),_xlfn.XLOOKUP(I260,Lists!$P$2:$P$19,Lists!$T$2:$T$19,0),_xlfn.XLOOKUP(K260,Lists!$P$2:$P$19,Lists!$T$2:$T$19,0)))</f>
        <v>0</v>
      </c>
      <c r="Q260" s="68">
        <f ca="1">IF($B260="","",SUM(_xlfn.XLOOKUP(C260,Lists!$P$2:$P$19,Lists!$U$2:$U$19,0),_xlfn.XLOOKUP(E260,Lists!$P$2:$P$19,Lists!$U$2:$U$19,0),_xlfn.XLOOKUP(G260,Lists!$P$2:$P$19,Lists!$U$2:$U$19,0),_xlfn.XLOOKUP(I260,Lists!$P$2:$P$19,Lists!$U$2:$U$19,0),_xlfn.XLOOKUP(K260,Lists!$P$2:$P$19,Lists!$U$2:$U$19,0)))</f>
        <v>0</v>
      </c>
      <c r="R260" s="68">
        <f ca="1">IF($B260="","",SUM(_xlfn.XLOOKUP(C260,Lists!$P$2:$P$19,Lists!$V$2:$V$19,0),_xlfn.XLOOKUP(E260,Lists!$P$2:$P$19,Lists!$V$2:$V$19,0),_xlfn.XLOOKUP(G260,Lists!$P$2:$P$19,Lists!$V$2:$V$19,0),_xlfn.XLOOKUP(I260,Lists!$P$2:$P$19,Lists!$V$2:$V$19,0),_xlfn.XLOOKUP(K260,Lists!$P$2:$P$19,Lists!$V$2:$V$19,0)))</f>
        <v>0</v>
      </c>
      <c r="S260" s="68">
        <f ca="1">IF($B260="","",SUM(_xlfn.XLOOKUP(D260,Lists!$AC$2:$AC$9,Lists!$AD$2:$AD$9,0),_xlfn.XLOOKUP(F260,Lists!$AC$2:$AC$9,Lists!$AD$2:$AD$9,0),_xlfn.XLOOKUP(H260,Lists!$AC$2:$AC$9,Lists!$AD$2:$AD$9,0),_xlfn.XLOOKUP(J260,Lists!$AC$2:$AC$9,Lists!$AD$2:$AD$9,0),_xlfn.XLOOKUP(L260,Lists!$AC$2:$AC$9,Lists!$AD$2:$AD$9,0)))</f>
        <v>0</v>
      </c>
      <c r="T260" s="68">
        <f ca="1">IF($B260="","",SUM(_xlfn.XLOOKUP(C260,Lists!$P$2:$P$19,Lists!$W$2:$W$19,0),_xlfn.XLOOKUP(E260,Lists!$P$2:$P$19,Lists!$W$2:$W$19,0),_xlfn.XLOOKUP(G260,Lists!$P$2:$P$19,Lists!$W$2:$W$19,0),_xlfn.XLOOKUP(I260,Lists!$P$2:$P$19,Lists!$W$2:$W$19,0),_xlfn.XLOOKUP(K260,Lists!$P$2:$P$19,Lists!$W$2:$W$19,0)))</f>
        <v>0</v>
      </c>
      <c r="U260" s="68">
        <f ca="1">IF($B260="","",SUM(_xlfn.XLOOKUP(C260,Lists!$P$2:$P$19,Lists!$X$2:$X$19,0),_xlfn.XLOOKUP(E260,Lists!$P$2:$P$19,Lists!$X$2:$X$19,0),_xlfn.XLOOKUP(G260,Lists!$P$2:$P$19,Lists!$X$2:$X$19,0),_xlfn.XLOOKUP(I260,Lists!$P$2:$P$19,Lists!$X$2:$X$19,0),_xlfn.XLOOKUP(K260,Lists!$P$2:$P$19,Lists!$X$2:$X$19,0)))</f>
        <v>0</v>
      </c>
      <c r="V260" s="68">
        <f ca="1">IF($B260="","",SUM(_xlfn.XLOOKUP(C260,Lists!$P$2:$P$19,Lists!$Y$2:$Y$19,0),_xlfn.XLOOKUP(E260,Lists!$P$2:$P$19,Lists!$Y$2:$Y$19,0),_xlfn.XLOOKUP(G260,Lists!$P$2:$P$19,Lists!$Y$2:$Y$19,0),_xlfn.XLOOKUP(I260,Lists!$P$2:$P$19,Lists!$Y$2:$Y$19,0),_xlfn.XLOOKUP(K260,Lists!$P$2:$P$19,Lists!$Y$2:$Y$19,0)))</f>
        <v>0</v>
      </c>
      <c r="W260" s="68">
        <f ca="1">IF($B260="","",SUM(_xlfn.XLOOKUP(C260,Lists!$P$2:$P$19,Lists!$Z$2:$Z$19,0),_xlfn.XLOOKUP(E260,Lists!$P$2:$P$19,Lists!$Z$2:$Z$19,0),_xlfn.XLOOKUP(G260,Lists!$P$2:$P$19,Lists!$Z$2:$Z$19,0),_xlfn.XLOOKUP(I260,Lists!$P$2:$P$19,Lists!$Z$2:$Z$19,0),_xlfn.XLOOKUP(K260,Lists!$P$2:$P$19,Lists!$Z$2:$Z$19,0)))</f>
        <v>0</v>
      </c>
      <c r="X260" s="69">
        <f ca="1">IF($B260="","",SUM(_xlfn.XLOOKUP(C260,Lists!$P$2:$P$19,Lists!$AA$2:$AA$19,0),_xlfn.XLOOKUP(E260,Lists!$P$2:$P$19,Lists!$AA$2:$AA$19,0),_xlfn.XLOOKUP(G260,Lists!$P$2:$P$19,Lists!$AA$2:$AA$19,0),_xlfn.XLOOKUP(I260,Lists!$P$2:$P$19,Lists!$AA$2:$AA$19,0),_xlfn.XLOOKUP(K260,Lists!$P$2:$P$19,Lists!$AA$2:$AA$19,0)))</f>
        <v>0</v>
      </c>
      <c r="Y260" s="49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  <c r="DC260" s="18"/>
      <c r="DD260" s="18"/>
      <c r="DE260" s="18"/>
      <c r="DF260" s="18"/>
    </row>
    <row r="261" spans="1:110">
      <c r="A261" s="168">
        <v>8</v>
      </c>
      <c r="B261" s="47" t="str">
        <f ca="1">Lineups!$C$82</f>
        <v>Blue Kritter</v>
      </c>
      <c r="C261" s="49" t="s">
        <v>178</v>
      </c>
      <c r="D261" s="49" t="s">
        <v>190</v>
      </c>
      <c r="E261" s="49"/>
      <c r="F261" s="49"/>
      <c r="G261" s="49"/>
      <c r="H261" s="50"/>
      <c r="I261" s="50"/>
      <c r="J261" s="50"/>
      <c r="K261" s="50"/>
      <c r="L261" s="50"/>
      <c r="M261" s="67">
        <f ca="1">IF($B261="","",SUM(_xlfn.XLOOKUP(C261,Lists!$P$2:$P$19,Lists!$R$2:$R$19,0),_xlfn.XLOOKUP(E261,Lists!$P$2:$P$19,Lists!$R$2:$R$19,0),_xlfn.XLOOKUP(G261,Lists!$P$2:$P$19,Lists!$R$2:$R$19,0),_xlfn.XLOOKUP(I261,Lists!$P$2:$P$19,Lists!$R$2:$R$19,0),_xlfn.XLOOKUP(K261,Lists!$P$2:$P$19,Lists!$R$2:$R$19,0)))</f>
        <v>1</v>
      </c>
      <c r="N261" s="68">
        <f ca="1">IF($B261="","",SUM(_xlfn.XLOOKUP(D261,Lists!$AC$2:$AC$9,Lists!$AE$2:$AE$9,0),_xlfn.XLOOKUP(F261,Lists!$AC$2:$AC$9,Lists!$AE$2:$AE$9,0),_xlfn.XLOOKUP(H261,Lists!$AC$2:$AC$9,Lists!$AE$2:$AE$9,0),_xlfn.XLOOKUP(J261,Lists!$AC$2:$AC$9,Lists!$AE$2:$AE$9,0),_xlfn.XLOOKUP(L261,Lists!$AC$2:$AC$9,Lists!$AE$2:$AE$9,0)))</f>
        <v>1</v>
      </c>
      <c r="O261" s="68">
        <f ca="1">IF($B261="","",SUM(_xlfn.XLOOKUP(C261,Lists!$P$2:$P$19,Lists!$S$2:$S$19,0),_xlfn.XLOOKUP(E261,Lists!$P$2:$P$19,Lists!$S$2:$S$19,0),_xlfn.XLOOKUP(G261,Lists!$P$2:$P$19,Lists!$S$2:$S$19,0),_xlfn.XLOOKUP(I261,Lists!$P$2:$P$19,Lists!$S$2:$S$19,0),_xlfn.XLOOKUP(K261,Lists!$P$2:$P$19,Lists!$S$2:$S$19,0)))</f>
        <v>1</v>
      </c>
      <c r="P261" s="68">
        <f ca="1">IF($B261="","",SUM(_xlfn.XLOOKUP(C261,Lists!$P$2:$P$19,Lists!$T$2:$T$19,0),_xlfn.XLOOKUP(E261,Lists!$P$2:$P$19,Lists!$T$2:$T$19,0),_xlfn.XLOOKUP(G261,Lists!$P$2:$P$19,Lists!$T$2:$T$19,0),_xlfn.XLOOKUP(I261,Lists!$P$2:$P$19,Lists!$T$2:$T$19,0),_xlfn.XLOOKUP(K261,Lists!$P$2:$P$19,Lists!$T$2:$T$19,0)))</f>
        <v>0</v>
      </c>
      <c r="Q261" s="68">
        <f ca="1">IF($B261="","",SUM(_xlfn.XLOOKUP(C261,Lists!$P$2:$P$19,Lists!$U$2:$U$19,0),_xlfn.XLOOKUP(E261,Lists!$P$2:$P$19,Lists!$U$2:$U$19,0),_xlfn.XLOOKUP(G261,Lists!$P$2:$P$19,Lists!$U$2:$U$19,0),_xlfn.XLOOKUP(I261,Lists!$P$2:$P$19,Lists!$U$2:$U$19,0),_xlfn.XLOOKUP(K261,Lists!$P$2:$P$19,Lists!$U$2:$U$19,0)))</f>
        <v>0</v>
      </c>
      <c r="R261" s="68">
        <f ca="1">IF($B261="","",SUM(_xlfn.XLOOKUP(C261,Lists!$P$2:$P$19,Lists!$V$2:$V$19,0),_xlfn.XLOOKUP(E261,Lists!$P$2:$P$19,Lists!$V$2:$V$19,0),_xlfn.XLOOKUP(G261,Lists!$P$2:$P$19,Lists!$V$2:$V$19,0),_xlfn.XLOOKUP(I261,Lists!$P$2:$P$19,Lists!$V$2:$V$19,0),_xlfn.XLOOKUP(K261,Lists!$P$2:$P$19,Lists!$V$2:$V$19,0)))</f>
        <v>1</v>
      </c>
      <c r="S261" s="68">
        <f ca="1">IF($B261="","",SUM(_xlfn.XLOOKUP(D261,Lists!$AC$2:$AC$9,Lists!$AD$2:$AD$9,0),_xlfn.XLOOKUP(F261,Lists!$AC$2:$AC$9,Lists!$AD$2:$AD$9,0),_xlfn.XLOOKUP(H261,Lists!$AC$2:$AC$9,Lists!$AD$2:$AD$9,0),_xlfn.XLOOKUP(J261,Lists!$AC$2:$AC$9,Lists!$AD$2:$AD$9,0),_xlfn.XLOOKUP(L261,Lists!$AC$2:$AC$9,Lists!$AD$2:$AD$9,0)))</f>
        <v>1</v>
      </c>
      <c r="T261" s="68">
        <f ca="1">IF($B261="","",SUM(_xlfn.XLOOKUP(C261,Lists!$P$2:$P$19,Lists!$W$2:$W$19,0),_xlfn.XLOOKUP(E261,Lists!$P$2:$P$19,Lists!$W$2:$W$19,0),_xlfn.XLOOKUP(G261,Lists!$P$2:$P$19,Lists!$W$2:$W$19,0),_xlfn.XLOOKUP(I261,Lists!$P$2:$P$19,Lists!$W$2:$W$19,0),_xlfn.XLOOKUP(K261,Lists!$P$2:$P$19,Lists!$W$2:$W$19,0)))</f>
        <v>0</v>
      </c>
      <c r="U261" s="68">
        <f ca="1">IF($B261="","",SUM(_xlfn.XLOOKUP(C261,Lists!$P$2:$P$19,Lists!$X$2:$X$19,0),_xlfn.XLOOKUP(E261,Lists!$P$2:$P$19,Lists!$X$2:$X$19,0),_xlfn.XLOOKUP(G261,Lists!$P$2:$P$19,Lists!$X$2:$X$19,0),_xlfn.XLOOKUP(I261,Lists!$P$2:$P$19,Lists!$X$2:$X$19,0),_xlfn.XLOOKUP(K261,Lists!$P$2:$P$19,Lists!$X$2:$X$19,0)))</f>
        <v>0</v>
      </c>
      <c r="V261" s="68">
        <f ca="1">IF($B261="","",SUM(_xlfn.XLOOKUP(C261,Lists!$P$2:$P$19,Lists!$Y$2:$Y$19,0),_xlfn.XLOOKUP(E261,Lists!$P$2:$P$19,Lists!$Y$2:$Y$19,0),_xlfn.XLOOKUP(G261,Lists!$P$2:$P$19,Lists!$Y$2:$Y$19,0),_xlfn.XLOOKUP(I261,Lists!$P$2:$P$19,Lists!$Y$2:$Y$19,0),_xlfn.XLOOKUP(K261,Lists!$P$2:$P$19,Lists!$Y$2:$Y$19,0)))</f>
        <v>0</v>
      </c>
      <c r="W261" s="68">
        <f ca="1">IF($B261="","",SUM(_xlfn.XLOOKUP(C261,Lists!$P$2:$P$19,Lists!$Z$2:$Z$19,0),_xlfn.XLOOKUP(E261,Lists!$P$2:$P$19,Lists!$Z$2:$Z$19,0),_xlfn.XLOOKUP(G261,Lists!$P$2:$P$19,Lists!$Z$2:$Z$19,0),_xlfn.XLOOKUP(I261,Lists!$P$2:$P$19,Lists!$Z$2:$Z$19,0),_xlfn.XLOOKUP(K261,Lists!$P$2:$P$19,Lists!$Z$2:$Z$19,0)))</f>
        <v>0</v>
      </c>
      <c r="X261" s="69">
        <f ca="1">IF($B261="","",SUM(_xlfn.XLOOKUP(C261,Lists!$P$2:$P$19,Lists!$AA$2:$AA$19,0),_xlfn.XLOOKUP(E261,Lists!$P$2:$P$19,Lists!$AA$2:$AA$19,0),_xlfn.XLOOKUP(G261,Lists!$P$2:$P$19,Lists!$AA$2:$AA$19,0),_xlfn.XLOOKUP(I261,Lists!$P$2:$P$19,Lists!$AA$2:$AA$19,0),_xlfn.XLOOKUP(K261,Lists!$P$2:$P$19,Lists!$AA$2:$AA$19,0)))</f>
        <v>0</v>
      </c>
      <c r="Y261" s="49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  <c r="DC261" s="18"/>
      <c r="DD261" s="18"/>
      <c r="DE261" s="18"/>
      <c r="DF261" s="18"/>
    </row>
    <row r="262" spans="1:110">
      <c r="A262" s="168">
        <v>9</v>
      </c>
      <c r="B262" s="47" t="str">
        <f ca="1">Lineups!$C$83</f>
        <v>Red Magikoopa</v>
      </c>
      <c r="C262" s="49" t="s">
        <v>185</v>
      </c>
      <c r="D262" s="49"/>
      <c r="E262" s="49"/>
      <c r="F262" s="49"/>
      <c r="G262" s="49"/>
      <c r="H262" s="50"/>
      <c r="I262" s="50"/>
      <c r="J262" s="50"/>
      <c r="K262" s="50"/>
      <c r="L262" s="50"/>
      <c r="M262" s="67">
        <f ca="1">IF($B262="","",SUM(_xlfn.XLOOKUP(C262,Lists!$P$2:$P$19,Lists!$R$2:$R$19,0),_xlfn.XLOOKUP(E262,Lists!$P$2:$P$19,Lists!$R$2:$R$19,0),_xlfn.XLOOKUP(G262,Lists!$P$2:$P$19,Lists!$R$2:$R$19,0),_xlfn.XLOOKUP(I262,Lists!$P$2:$P$19,Lists!$R$2:$R$19,0),_xlfn.XLOOKUP(K262,Lists!$P$2:$P$19,Lists!$R$2:$R$19,0)))</f>
        <v>1</v>
      </c>
      <c r="N262" s="68">
        <f ca="1">IF($B262="","",SUM(_xlfn.XLOOKUP(D262,Lists!$AC$2:$AC$9,Lists!$AE$2:$AE$9,0),_xlfn.XLOOKUP(F262,Lists!$AC$2:$AC$9,Lists!$AE$2:$AE$9,0),_xlfn.XLOOKUP(H262,Lists!$AC$2:$AC$9,Lists!$AE$2:$AE$9,0),_xlfn.XLOOKUP(J262,Lists!$AC$2:$AC$9,Lists!$AE$2:$AE$9,0),_xlfn.XLOOKUP(L262,Lists!$AC$2:$AC$9,Lists!$AE$2:$AE$9,0)))</f>
        <v>0</v>
      </c>
      <c r="O262" s="68">
        <f ca="1">IF($B262="","",SUM(_xlfn.XLOOKUP(C262,Lists!$P$2:$P$19,Lists!$S$2:$S$19,0),_xlfn.XLOOKUP(E262,Lists!$P$2:$P$19,Lists!$S$2:$S$19,0),_xlfn.XLOOKUP(G262,Lists!$P$2:$P$19,Lists!$S$2:$S$19,0),_xlfn.XLOOKUP(I262,Lists!$P$2:$P$19,Lists!$S$2:$S$19,0),_xlfn.XLOOKUP(K262,Lists!$P$2:$P$19,Lists!$S$2:$S$19,0)))</f>
        <v>0</v>
      </c>
      <c r="P262" s="68">
        <f ca="1">IF($B262="","",SUM(_xlfn.XLOOKUP(C262,Lists!$P$2:$P$19,Lists!$T$2:$T$19,0),_xlfn.XLOOKUP(E262,Lists!$P$2:$P$19,Lists!$T$2:$T$19,0),_xlfn.XLOOKUP(G262,Lists!$P$2:$P$19,Lists!$T$2:$T$19,0),_xlfn.XLOOKUP(I262,Lists!$P$2:$P$19,Lists!$T$2:$T$19,0),_xlfn.XLOOKUP(K262,Lists!$P$2:$P$19,Lists!$T$2:$T$19,0)))</f>
        <v>0</v>
      </c>
      <c r="Q262" s="68">
        <f ca="1">IF($B262="","",SUM(_xlfn.XLOOKUP(C262,Lists!$P$2:$P$19,Lists!$U$2:$U$19,0),_xlfn.XLOOKUP(E262,Lists!$P$2:$P$19,Lists!$U$2:$U$19,0),_xlfn.XLOOKUP(G262,Lists!$P$2:$P$19,Lists!$U$2:$U$19,0),_xlfn.XLOOKUP(I262,Lists!$P$2:$P$19,Lists!$U$2:$U$19,0),_xlfn.XLOOKUP(K262,Lists!$P$2:$P$19,Lists!$U$2:$U$19,0)))</f>
        <v>0</v>
      </c>
      <c r="R262" s="68">
        <f ca="1">IF($B262="","",SUM(_xlfn.XLOOKUP(C262,Lists!$P$2:$P$19,Lists!$V$2:$V$19,0),_xlfn.XLOOKUP(E262,Lists!$P$2:$P$19,Lists!$V$2:$V$19,0),_xlfn.XLOOKUP(G262,Lists!$P$2:$P$19,Lists!$V$2:$V$19,0),_xlfn.XLOOKUP(I262,Lists!$P$2:$P$19,Lists!$V$2:$V$19,0),_xlfn.XLOOKUP(K262,Lists!$P$2:$P$19,Lists!$V$2:$V$19,0)))</f>
        <v>0</v>
      </c>
      <c r="S262" s="68">
        <f ca="1">IF($B262="","",SUM(_xlfn.XLOOKUP(D262,Lists!$AC$2:$AC$9,Lists!$AD$2:$AD$9,0),_xlfn.XLOOKUP(F262,Lists!$AC$2:$AC$9,Lists!$AD$2:$AD$9,0),_xlfn.XLOOKUP(H262,Lists!$AC$2:$AC$9,Lists!$AD$2:$AD$9,0),_xlfn.XLOOKUP(J262,Lists!$AC$2:$AC$9,Lists!$AD$2:$AD$9,0),_xlfn.XLOOKUP(L262,Lists!$AC$2:$AC$9,Lists!$AD$2:$AD$9,0)))</f>
        <v>0</v>
      </c>
      <c r="T262" s="68">
        <f ca="1">IF($B262="","",SUM(_xlfn.XLOOKUP(C262,Lists!$P$2:$P$19,Lists!$W$2:$W$19,0),_xlfn.XLOOKUP(E262,Lists!$P$2:$P$19,Lists!$W$2:$W$19,0),_xlfn.XLOOKUP(G262,Lists!$P$2:$P$19,Lists!$W$2:$W$19,0),_xlfn.XLOOKUP(I262,Lists!$P$2:$P$19,Lists!$W$2:$W$19,0),_xlfn.XLOOKUP(K262,Lists!$P$2:$P$19,Lists!$W$2:$W$19,0)))</f>
        <v>0</v>
      </c>
      <c r="U262" s="68">
        <f ca="1">IF($B262="","",SUM(_xlfn.XLOOKUP(C262,Lists!$P$2:$P$19,Lists!$X$2:$X$19,0),_xlfn.XLOOKUP(E262,Lists!$P$2:$P$19,Lists!$X$2:$X$19,0),_xlfn.XLOOKUP(G262,Lists!$P$2:$P$19,Lists!$X$2:$X$19,0),_xlfn.XLOOKUP(I262,Lists!$P$2:$P$19,Lists!$X$2:$X$19,0),_xlfn.XLOOKUP(K262,Lists!$P$2:$P$19,Lists!$X$2:$X$19,0)))</f>
        <v>1</v>
      </c>
      <c r="V262" s="68">
        <f ca="1">IF($B262="","",SUM(_xlfn.XLOOKUP(C262,Lists!$P$2:$P$19,Lists!$Y$2:$Y$19,0),_xlfn.XLOOKUP(E262,Lists!$P$2:$P$19,Lists!$Y$2:$Y$19,0),_xlfn.XLOOKUP(G262,Lists!$P$2:$P$19,Lists!$Y$2:$Y$19,0),_xlfn.XLOOKUP(I262,Lists!$P$2:$P$19,Lists!$Y$2:$Y$19,0),_xlfn.XLOOKUP(K262,Lists!$P$2:$P$19,Lists!$Y$2:$Y$19,0)))</f>
        <v>0</v>
      </c>
      <c r="W262" s="68">
        <f ca="1">IF($B262="","",SUM(_xlfn.XLOOKUP(C262,Lists!$P$2:$P$19,Lists!$Z$2:$Z$19,0),_xlfn.XLOOKUP(E262,Lists!$P$2:$P$19,Lists!$Z$2:$Z$19,0),_xlfn.XLOOKUP(G262,Lists!$P$2:$P$19,Lists!$Z$2:$Z$19,0),_xlfn.XLOOKUP(I262,Lists!$P$2:$P$19,Lists!$Z$2:$Z$19,0),_xlfn.XLOOKUP(K262,Lists!$P$2:$P$19,Lists!$Z$2:$Z$19,0)))</f>
        <v>0</v>
      </c>
      <c r="X262" s="69">
        <f ca="1">IF($B262="","",SUM(_xlfn.XLOOKUP(C262,Lists!$P$2:$P$19,Lists!$AA$2:$AA$19,0),_xlfn.XLOOKUP(E262,Lists!$P$2:$P$19,Lists!$AA$2:$AA$19,0),_xlfn.XLOOKUP(G262,Lists!$P$2:$P$19,Lists!$AA$2:$AA$19,0),_xlfn.XLOOKUP(I262,Lists!$P$2:$P$19,Lists!$AA$2:$AA$19,0),_xlfn.XLOOKUP(K262,Lists!$P$2:$P$19,Lists!$AA$2:$AA$19,0)))</f>
        <v>0</v>
      </c>
      <c r="Y262" s="49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18"/>
      <c r="CW262" s="18"/>
      <c r="CX262" s="18"/>
      <c r="CY262" s="18"/>
      <c r="CZ262" s="18"/>
      <c r="DA262" s="18"/>
      <c r="DB262" s="18"/>
      <c r="DC262" s="18"/>
      <c r="DD262" s="18"/>
      <c r="DE262" s="18"/>
      <c r="DF262" s="18"/>
    </row>
    <row r="263" spans="1:110">
      <c r="A263" s="173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18"/>
      <c r="CW263" s="18"/>
      <c r="CX263" s="18"/>
      <c r="CY263" s="18"/>
      <c r="CZ263" s="18"/>
      <c r="DA263" s="18"/>
      <c r="DB263" s="18"/>
      <c r="DC263" s="18"/>
      <c r="DD263" s="18"/>
      <c r="DE263" s="18"/>
      <c r="DF263" s="18"/>
    </row>
    <row r="264" spans="1:110">
      <c r="A264" s="222" t="str">
        <f ca="1">IF($N$247="","Team A Pitching",$N$247&amp;" Pitching")</f>
        <v>Aidan Pitching</v>
      </c>
      <c r="B264" s="221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06"/>
      <c r="O264" s="186"/>
      <c r="P264" s="24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18"/>
      <c r="CW264" s="18"/>
      <c r="CX264" s="18"/>
      <c r="CY264" s="18"/>
      <c r="CZ264" s="18"/>
      <c r="DA264" s="18"/>
      <c r="DB264" s="18"/>
      <c r="DC264" s="18"/>
      <c r="DD264" s="18"/>
      <c r="DE264" s="18"/>
      <c r="DF264" s="18"/>
    </row>
    <row r="265" spans="1:110">
      <c r="A265" s="167" t="s">
        <v>103</v>
      </c>
      <c r="B265" s="43" t="s">
        <v>194</v>
      </c>
      <c r="C265" s="43" t="s">
        <v>195</v>
      </c>
      <c r="D265" s="43" t="s">
        <v>162</v>
      </c>
      <c r="E265" s="43" t="s">
        <v>161</v>
      </c>
      <c r="F265" s="43" t="s">
        <v>196</v>
      </c>
      <c r="G265" s="43" t="s">
        <v>180</v>
      </c>
      <c r="H265" s="43" t="s">
        <v>181</v>
      </c>
      <c r="I265" s="44" t="s">
        <v>197</v>
      </c>
      <c r="J265" s="44" t="s">
        <v>198</v>
      </c>
      <c r="K265" s="44" t="s">
        <v>199</v>
      </c>
      <c r="L265" s="44" t="s">
        <v>200</v>
      </c>
      <c r="M265" s="44" t="s">
        <v>201</v>
      </c>
      <c r="N265" s="45" t="s">
        <v>202</v>
      </c>
      <c r="O265" s="45" t="s">
        <v>203</v>
      </c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18"/>
      <c r="CW265" s="18"/>
      <c r="CX265" s="18"/>
      <c r="CY265" s="18"/>
      <c r="CZ265" s="18"/>
      <c r="DA265" s="18"/>
      <c r="DB265" s="18"/>
      <c r="DC265" s="18"/>
      <c r="DD265" s="18"/>
      <c r="DE265" s="18"/>
      <c r="DF265" s="18"/>
    </row>
    <row r="266" spans="1:110">
      <c r="A266" s="168">
        <v>1</v>
      </c>
      <c r="B266" s="71" t="s">
        <v>68</v>
      </c>
      <c r="C266" s="70" cm="1">
        <f t="array" aca="1" ref="C266" ca="1">IF(OR(B266="",O266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1</v>
      </c>
      <c r="D266" s="67" cm="1">
        <f t="array" aca="1" ref="D266" ca="1">IF(OR(B266="",O266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2</v>
      </c>
      <c r="E266" s="67" cm="1">
        <f t="array" aca="1" ref="E266" ca="1">IF(OR(B266="",O266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266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2</v>
      </c>
      <c r="F266" s="67" cm="1">
        <f t="array" aca="1" ref="F266" ca="1">IF(OR(B266="",O266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266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2</v>
      </c>
      <c r="G266" s="67" cm="1">
        <f t="array" aca="1" ref="G266" ca="1">IF(OR(B266="",O266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266" s="67" cm="1">
        <f t="array" aca="1" ref="H266" ca="1">IF(OR(B266="",O266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1</v>
      </c>
      <c r="I266" s="68" cm="1">
        <f t="array" aca="1" ref="I266" ca="1">IF(OR(B266="",O266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1</v>
      </c>
      <c r="J266" s="68" cm="1">
        <f t="array" aca="1" ref="J266" ca="1">IF(OR(B266="",O266=""),"",--(SUM(_xlfn.XLOOKUP(_xlfn._xlws.FILTER(_xlfn.TOCOL(_xlfn.CHOOSECOLS(C254:L262,2,4,6,8,10),0,TRUE),_xlfn.TOCOL(_xlfn.CHOOSECOLS(C254:L262,1,3,5,7,9),0,TRUE)&lt;&gt;""),Lists!$AC$2:$AC$9,Lists!$AF$2:$AF$9,0))&gt;SUM(_xlfn.XLOOKUP(_xlfn._xlws.FILTER(_xlfn.TOCOL(_xlfn.CHOOSECOLS(C275:L283,2,4,6,8,10),0,TRUE),_xlfn.TOCOL(_xlfn.CHOOSECOLS(C275:L283,1,3,5,7,9),0,TRUE)&lt;&gt;""),Lists!$AC$2:$AC$9,Lists!$AF$2:$AF$9,0)))*--(ROW()-ROW(C265)=_xlfn.XLOOKUP(MAX(IF(O266:O271&gt;0,INT(C266:C271)*3+MOD(ROUND(C266:C271*10,0),10),-1)),IF(O266:O271&gt;0,INT(C266:C271)*3+MOD(ROUND(C266:C271*10,0),10),-1),_xlfn.SEQUENCE(ROWS(O266:O271)),,0)))</f>
        <v>0</v>
      </c>
      <c r="K266" s="68" cm="1">
        <f t="array" aca="1" ref="K266" ca="1">IF(OR(B266="",O266=""),"",--(SUM(_xlfn.XLOOKUP(_xlfn._xlws.FILTER(_xlfn.TOCOL(_xlfn.CHOOSECOLS(C254:L262,2,4,6,8,10),0,TRUE),_xlfn.TOCOL(_xlfn.CHOOSECOLS(C254:L262,1,3,5,7,9),0,TRUE)&lt;&gt;""),Lists!$AC$2:$AC$9,Lists!$AF$2:$AF$9,0))&lt;SUM(_xlfn.XLOOKUP(_xlfn._xlws.FILTER(_xlfn.TOCOL(_xlfn.CHOOSECOLS(C275:L283,2,4,6,8,10),0,TRUE),_xlfn.TOCOL(_xlfn.CHOOSECOLS(C275:L283,1,3,5,7,9),0,TRUE)&lt;&gt;""),Lists!$AC$2:$AC$9,Lists!$AF$2:$AF$9,0)))*--(ROW()-ROW(C265)=_xlfn.XLOOKUP(MAX(IF(O266:O271&gt;0,E266:E271,-1)),IF(O266:O271&gt;0,E266:E271,-1),_xlfn.SEQUENCE(ROWS(O266:O271)),,0)))</f>
        <v>1</v>
      </c>
      <c r="L266" s="68" cm="1">
        <f t="array" aca="1" ref="L266" ca="1">IF(OR(B266="",O266=""),"",--(SUM(_xlfn.XLOOKUP(_xlfn._xlws.FILTER(_xlfn.TOCOL(_xlfn.CHOOSECOLS(C254:L262,2,4,6,8,10),0,TRUE),_xlfn.TOCOL(_xlfn.CHOOSECOLS(C254:L262,1,3,5,7,9),0,TRUE)&lt;&gt;""),Lists!$AC$2:$AC$9,Lists!$AF$2:$AF$9,0))&gt;SUM(_xlfn.XLOOKUP(_xlfn._xlws.FILTER(_xlfn.TOCOL(_xlfn.CHOOSECOLS(C275:L283,2,4,6,8,10),0,TRUE),_xlfn.TOCOL(_xlfn.CHOOSECOLS(C275:L283,1,3,5,7,9),0,TRUE)&lt;&gt;""),Lists!$AC$2:$AC$9,Lists!$AF$2:$AF$9,0)))*--(COUNTIF(O266:O271,"&gt;0")&gt;1)*--(ROW()-ROW(C265)=_xlfn.XLOOKUP(TRUE,O266:O271&gt;0,_xlfn.SEQUENCE(ROWS(O266:O271)),,0,-1))*--(_xlfn.XLOOKUP(TRUE,O266:O271&gt;0,_xlfn.SEQUENCE(ROWS(O266:O271)),,0,-1)&lt;&gt;_xlfn.XLOOKUP(MAX(IF(O266:O271&gt;0,INT(C266:C271)*3+MOD(ROUND(C266:C271*10,0),10),-1)),IF(O266:O271&gt;0,INT(C266:C271)*3+MOD(ROUND(C266:C271*10,0),10),-1),_xlfn.SEQUENCE(ROWS(O266:O271)),,0))*--(SUM(_xlfn.XLOOKUP(_xlfn._xlws.FILTER(_xlfn.TOCOL(_xlfn.CHOOSECOLS(C254:L262,2,4,6,8,10),0,TRUE),_xlfn.TOCOL(_xlfn.CHOOSECOLS(C254:L262,1,3,5,7,9),0,TRUE)&lt;&gt;""),Lists!$AC$2:$AC$9,Lists!$AF$2:$AF$9,0))-SUM(_xlfn.XLOOKUP(_xlfn._xlws.FILTER(_xlfn.TOCOL(_xlfn.CHOOSECOLS(C275:L283,2,4,6,8,10),0,TRUE),_xlfn.TOCOL(_xlfn.CHOOSECOLS(C275:L283,1,3,5,7,9),0,TRUE)&lt;&gt;""),Lists!$AC$2:$AC$9,Lists!$AF$2:$AF$9,0))&lt;=3)*--((INT(C266)*3+MOD(ROUND(C266*10,0),10))&gt;=3))</f>
        <v>0</v>
      </c>
      <c r="M266" s="68" cm="1">
        <f t="array" aca="1" ref="M266" ca="1">IF(OR(B266="",O266=""),"",--(COUNTIF(O266:O271,"&gt;0")=1)*--(SUM(_xlfn.XLOOKUP(_xlfn._xlws.FILTER(_xlfn.TOCOL(_xlfn.CHOOSECOLS(C275:L283,2,4,6,8,10),0,TRUE),_xlfn.TOCOL(_xlfn.CHOOSECOLS(C275:L283,1,3,5,7,9),0,TRUE)&lt;&gt;""),Lists!$AC$2:$AC$9,Lists!$AF$2:$AF$9,0))=0))</f>
        <v>0</v>
      </c>
      <c r="N266" s="69">
        <f ca="1">IF(OR(B266="",O266=""),"",--(COUNTIF(O266:O271,"&gt;0")=1))</f>
        <v>0</v>
      </c>
      <c r="O266" s="51">
        <v>5</v>
      </c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18"/>
      <c r="DA266" s="18"/>
      <c r="DB266" s="18"/>
      <c r="DC266" s="18"/>
      <c r="DD266" s="18"/>
      <c r="DE266" s="18"/>
      <c r="DF266" s="18"/>
    </row>
    <row r="267" spans="1:110">
      <c r="A267" s="168">
        <v>2</v>
      </c>
      <c r="B267" s="71" t="s">
        <v>85</v>
      </c>
      <c r="C267" s="70" cm="1">
        <f t="array" aca="1" ref="C267" ca="1">IF(OR(B267="",O267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2</v>
      </c>
      <c r="D267" s="67" cm="1">
        <f t="array" aca="1" ref="D267" ca="1">IF(OR(B267="",O267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2</v>
      </c>
      <c r="E267" s="67" cm="1">
        <f t="array" aca="1" ref="E267" ca="1">IF(OR(B267="",O267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267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2</v>
      </c>
      <c r="F267" s="67" cm="1">
        <f t="array" aca="1" ref="F267" ca="1">IF(OR(B267="",O267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267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2</v>
      </c>
      <c r="G267" s="67" cm="1">
        <f t="array" aca="1" ref="G267" ca="1">IF(OR(B267="",O267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267" s="67" cm="1">
        <f t="array" aca="1" ref="H267" ca="1">IF(OR(B267="",O267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5</v>
      </c>
      <c r="I267" s="68" cm="1">
        <f t="array" aca="1" ref="I267" ca="1">IF(OR(B267="",O267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1</v>
      </c>
      <c r="J267" s="68" cm="1">
        <f t="array" aca="1" ref="J267" ca="1">IF(OR(B267="",O267=""),"",--(SUM(_xlfn.XLOOKUP(_xlfn._xlws.FILTER(_xlfn.TOCOL(_xlfn.CHOOSECOLS(C254:L262,2,4,6,8,10),0,TRUE),_xlfn.TOCOL(_xlfn.CHOOSECOLS(C254:L262,1,3,5,7,9),0,TRUE)&lt;&gt;""),Lists!$AC$2:$AC$9,Lists!$AF$2:$AF$9,0))&gt;SUM(_xlfn.XLOOKUP(_xlfn._xlws.FILTER(_xlfn.TOCOL(_xlfn.CHOOSECOLS(C275:L283,2,4,6,8,10),0,TRUE),_xlfn.TOCOL(_xlfn.CHOOSECOLS(C275:L283,1,3,5,7,9),0,TRUE)&lt;&gt;""),Lists!$AC$2:$AC$9,Lists!$AF$2:$AF$9,0)))*--(ROW()-ROW(C265)=_xlfn.XLOOKUP(MAX(IF(O266:O271&gt;0,INT(C266:C271)*3+MOD(ROUND(C266:C271*10,0),10),-1)),IF(O266:O271&gt;0,INT(C266:C271)*3+MOD(ROUND(C266:C271*10,0),10),-1),_xlfn.SEQUENCE(ROWS(O266:O271)),,0)))</f>
        <v>0</v>
      </c>
      <c r="K267" s="68" cm="1">
        <f t="array" aca="1" ref="K267" ca="1">IF(OR(B267="",O267=""),"",--(SUM(_xlfn.XLOOKUP(_xlfn._xlws.FILTER(_xlfn.TOCOL(_xlfn.CHOOSECOLS(C254:L262,2,4,6,8,10),0,TRUE),_xlfn.TOCOL(_xlfn.CHOOSECOLS(C254:L262,1,3,5,7,9),0,TRUE)&lt;&gt;""),Lists!$AC$2:$AC$9,Lists!$AF$2:$AF$9,0))&lt;SUM(_xlfn.XLOOKUP(_xlfn._xlws.FILTER(_xlfn.TOCOL(_xlfn.CHOOSECOLS(C275:L283,2,4,6,8,10),0,TRUE),_xlfn.TOCOL(_xlfn.CHOOSECOLS(C275:L283,1,3,5,7,9),0,TRUE)&lt;&gt;""),Lists!$AC$2:$AC$9,Lists!$AF$2:$AF$9,0)))*--(ROW()-ROW(C265)=_xlfn.XLOOKUP(MAX(IF(O266:O271&gt;0,E266:E271,-1)),IF(O266:O271&gt;0,E266:E271,-1),_xlfn.SEQUENCE(ROWS(O266:O271)),,0)))</f>
        <v>0</v>
      </c>
      <c r="L267" s="68" cm="1">
        <f t="array" aca="1" ref="L267" ca="1">IF(OR(B267="",O267=""),"",--(SUM(_xlfn.XLOOKUP(_xlfn._xlws.FILTER(_xlfn.TOCOL(_xlfn.CHOOSECOLS(C254:L262,2,4,6,8,10),0,TRUE),_xlfn.TOCOL(_xlfn.CHOOSECOLS(C254:L262,1,3,5,7,9),0,TRUE)&lt;&gt;""),Lists!$AC$2:$AC$9,Lists!$AF$2:$AF$9,0))&gt;SUM(_xlfn.XLOOKUP(_xlfn._xlws.FILTER(_xlfn.TOCOL(_xlfn.CHOOSECOLS(C275:L283,2,4,6,8,10),0,TRUE),_xlfn.TOCOL(_xlfn.CHOOSECOLS(C275:L283,1,3,5,7,9),0,TRUE)&lt;&gt;""),Lists!$AC$2:$AC$9,Lists!$AF$2:$AF$9,0)))*--(COUNTIF(O266:O271,"&gt;0")&gt;1)*--(ROW()-ROW(C265)=_xlfn.XLOOKUP(TRUE,O266:O271&gt;0,_xlfn.SEQUENCE(ROWS(O266:O271)),,0,-1))*--(_xlfn.XLOOKUP(TRUE,O266:O271&gt;0,_xlfn.SEQUENCE(ROWS(O266:O271)),,0,-1)&lt;&gt;_xlfn.XLOOKUP(MAX(IF(O266:O271&gt;0,INT(C266:C271)*3+MOD(ROUND(C266:C271*10,0),10),-1)),IF(O266:O271&gt;0,INT(C266:C271)*3+MOD(ROUND(C266:C271*10,0),10),-1),_xlfn.SEQUENCE(ROWS(O266:O271)),,0))*--(SUM(_xlfn.XLOOKUP(_xlfn._xlws.FILTER(_xlfn.TOCOL(_xlfn.CHOOSECOLS(C254:L262,2,4,6,8,10),0,TRUE),_xlfn.TOCOL(_xlfn.CHOOSECOLS(C254:L262,1,3,5,7,9),0,TRUE)&lt;&gt;""),Lists!$AC$2:$AC$9,Lists!$AF$2:$AF$9,0))-SUM(_xlfn.XLOOKUP(_xlfn._xlws.FILTER(_xlfn.TOCOL(_xlfn.CHOOSECOLS(C275:L283,2,4,6,8,10),0,TRUE),_xlfn.TOCOL(_xlfn.CHOOSECOLS(C275:L283,1,3,5,7,9),0,TRUE)&lt;&gt;""),Lists!$AC$2:$AC$9,Lists!$AF$2:$AF$9,0))&lt;=3)*--((INT(C267)*3+MOD(ROUND(C267*10,0),10))&gt;=3))</f>
        <v>0</v>
      </c>
      <c r="M267" s="68" cm="1">
        <f t="array" aca="1" ref="M267" ca="1">IF(OR(B267="",O267=""),"",--(COUNTIF(O266:O271,"&gt;0")=1)*--(SUM(_xlfn.XLOOKUP(_xlfn._xlws.FILTER(_xlfn.TOCOL(_xlfn.CHOOSECOLS(C275:L283,2,4,6,8,10),0,TRUE),_xlfn.TOCOL(_xlfn.CHOOSECOLS(C275:L283,1,3,5,7,9),0,TRUE)&lt;&gt;""),Lists!$AC$2:$AC$9,Lists!$AF$2:$AF$9,0))=0))</f>
        <v>0</v>
      </c>
      <c r="N267" s="69">
        <f ca="1">IF(OR(B267="",O267=""),"",--(COUNTIF(O266:O271,"&gt;0")=1))</f>
        <v>0</v>
      </c>
      <c r="O267" s="51">
        <v>8</v>
      </c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8"/>
      <c r="CW267" s="18"/>
      <c r="CX267" s="18"/>
      <c r="CY267" s="18"/>
      <c r="CZ267" s="18"/>
      <c r="DA267" s="18"/>
      <c r="DB267" s="18"/>
      <c r="DC267" s="18"/>
      <c r="DD267" s="18"/>
      <c r="DE267" s="18"/>
      <c r="DF267" s="18"/>
    </row>
    <row r="268" spans="1:110">
      <c r="A268" s="168">
        <v>3</v>
      </c>
      <c r="B268" s="71"/>
      <c r="C268" s="70" t="str" cm="1">
        <f t="array" aca="1" ref="C268" ca="1">IF(OR(B268="",O268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68" s="67" t="str" cm="1">
        <f t="array" aca="1" ref="D268" ca="1">IF(OR(B268="",O268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68" s="67" t="str" cm="1">
        <f t="array" aca="1" ref="E268" ca="1">IF(OR(B268="",O268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268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68" s="67" t="str" cm="1">
        <f t="array" aca="1" ref="F268" ca="1">IF(OR(B268="",O268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268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68" s="67" t="str" cm="1">
        <f t="array" aca="1" ref="G268" ca="1">IF(OR(B268="",O268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68" s="67" t="str" cm="1">
        <f t="array" aca="1" ref="H268" ca="1">IF(OR(B268="",O268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68" s="68" t="str" cm="1">
        <f t="array" aca="1" ref="I268" ca="1">IF(OR(B268="",O268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68" s="68" t="str" cm="1">
        <f t="array" aca="1" ref="J268" ca="1">IF(OR(B268="",O268=""),"",--(SUM(_xlfn.XLOOKUP(_xlfn._xlws.FILTER(_xlfn.TOCOL(_xlfn.CHOOSECOLS(C254:L262,2,4,6,8,10),0,TRUE),_xlfn.TOCOL(_xlfn.CHOOSECOLS(C254:L262,1,3,5,7,9),0,TRUE)&lt;&gt;""),Lists!$AC$2:$AC$9,Lists!$AF$2:$AF$9,0))&gt;SUM(_xlfn.XLOOKUP(_xlfn._xlws.FILTER(_xlfn.TOCOL(_xlfn.CHOOSECOLS(C275:L283,2,4,6,8,10),0,TRUE),_xlfn.TOCOL(_xlfn.CHOOSECOLS(C275:L283,1,3,5,7,9),0,TRUE)&lt;&gt;""),Lists!$AC$2:$AC$9,Lists!$AF$2:$AF$9,0)))*--(ROW()-ROW(C265)=_xlfn.XLOOKUP(MAX(IF(O266:O271&gt;0,INT(C266:C271)*3+MOD(ROUND(C266:C271*10,0),10),-1)),IF(O266:O271&gt;0,INT(C266:C271)*3+MOD(ROUND(C266:C271*10,0),10),-1),_xlfn.SEQUENCE(ROWS(O266:O271)),,0)))</f>
        <v/>
      </c>
      <c r="K268" s="68" t="str" cm="1">
        <f t="array" aca="1" ref="K268" ca="1">IF(OR(B268="",O268=""),"",--(SUM(_xlfn.XLOOKUP(_xlfn._xlws.FILTER(_xlfn.TOCOL(_xlfn.CHOOSECOLS(C254:L262,2,4,6,8,10),0,TRUE),_xlfn.TOCOL(_xlfn.CHOOSECOLS(C254:L262,1,3,5,7,9),0,TRUE)&lt;&gt;""),Lists!$AC$2:$AC$9,Lists!$AF$2:$AF$9,0))&lt;SUM(_xlfn.XLOOKUP(_xlfn._xlws.FILTER(_xlfn.TOCOL(_xlfn.CHOOSECOLS(C275:L283,2,4,6,8,10),0,TRUE),_xlfn.TOCOL(_xlfn.CHOOSECOLS(C275:L283,1,3,5,7,9),0,TRUE)&lt;&gt;""),Lists!$AC$2:$AC$9,Lists!$AF$2:$AF$9,0)))*--(ROW()-ROW(C265)=_xlfn.XLOOKUP(MAX(IF(O266:O271&gt;0,E266:E271,-1)),IF(O266:O271&gt;0,E266:E271,-1),_xlfn.SEQUENCE(ROWS(O266:O271)),,0)))</f>
        <v/>
      </c>
      <c r="L268" s="68" t="str" cm="1">
        <f t="array" aca="1" ref="L268" ca="1">IF(OR(B268="",O268=""),"",--(SUM(_xlfn.XLOOKUP(_xlfn._xlws.FILTER(_xlfn.TOCOL(_xlfn.CHOOSECOLS(C254:L262,2,4,6,8,10),0,TRUE),_xlfn.TOCOL(_xlfn.CHOOSECOLS(C254:L262,1,3,5,7,9),0,TRUE)&lt;&gt;""),Lists!$AC$2:$AC$9,Lists!$AF$2:$AF$9,0))&gt;SUM(_xlfn.XLOOKUP(_xlfn._xlws.FILTER(_xlfn.TOCOL(_xlfn.CHOOSECOLS(C275:L283,2,4,6,8,10),0,TRUE),_xlfn.TOCOL(_xlfn.CHOOSECOLS(C275:L283,1,3,5,7,9),0,TRUE)&lt;&gt;""),Lists!$AC$2:$AC$9,Lists!$AF$2:$AF$9,0)))*--(COUNTIF(O266:O271,"&gt;0")&gt;1)*--(ROW()-ROW(C265)=_xlfn.XLOOKUP(TRUE,O266:O271&gt;0,_xlfn.SEQUENCE(ROWS(O266:O271)),,0,-1))*--(_xlfn.XLOOKUP(TRUE,O266:O271&gt;0,_xlfn.SEQUENCE(ROWS(O266:O271)),,0,-1)&lt;&gt;_xlfn.XLOOKUP(MAX(IF(O266:O271&gt;0,INT(C266:C271)*3+MOD(ROUND(C266:C271*10,0),10),-1)),IF(O266:O271&gt;0,INT(C266:C271)*3+MOD(ROUND(C266:C271*10,0),10),-1),_xlfn.SEQUENCE(ROWS(O266:O271)),,0))*--(SUM(_xlfn.XLOOKUP(_xlfn._xlws.FILTER(_xlfn.TOCOL(_xlfn.CHOOSECOLS(C254:L262,2,4,6,8,10),0,TRUE),_xlfn.TOCOL(_xlfn.CHOOSECOLS(C254:L262,1,3,5,7,9),0,TRUE)&lt;&gt;""),Lists!$AC$2:$AC$9,Lists!$AF$2:$AF$9,0))-SUM(_xlfn.XLOOKUP(_xlfn._xlws.FILTER(_xlfn.TOCOL(_xlfn.CHOOSECOLS(C275:L283,2,4,6,8,10),0,TRUE),_xlfn.TOCOL(_xlfn.CHOOSECOLS(C275:L283,1,3,5,7,9),0,TRUE)&lt;&gt;""),Lists!$AC$2:$AC$9,Lists!$AF$2:$AF$9,0))&lt;=3)*--((INT(C268)*3+MOD(ROUND(C268*10,0),10))&gt;=3))</f>
        <v/>
      </c>
      <c r="M268" s="68" t="str" cm="1">
        <f t="array" aca="1" ref="M268" ca="1">IF(OR(B268="",O268=""),"",--(COUNTIF(O266:O271,"&gt;0")=1)*--(SUM(_xlfn.XLOOKUP(_xlfn._xlws.FILTER(_xlfn.TOCOL(_xlfn.CHOOSECOLS(C275:L283,2,4,6,8,10),0,TRUE),_xlfn.TOCOL(_xlfn.CHOOSECOLS(C275:L283,1,3,5,7,9),0,TRUE)&lt;&gt;""),Lists!$AC$2:$AC$9,Lists!$AF$2:$AF$9,0))=0))</f>
        <v/>
      </c>
      <c r="N268" s="69" t="str">
        <f ca="1">IF(OR(B268="",O268=""),"",--(COUNTIF(O266:O271,"&gt;0")=1))</f>
        <v/>
      </c>
      <c r="O268" s="5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18"/>
      <c r="CW268" s="18"/>
      <c r="CX268" s="18"/>
      <c r="CY268" s="18"/>
      <c r="CZ268" s="18"/>
      <c r="DA268" s="18"/>
      <c r="DB268" s="18"/>
      <c r="DC268" s="18"/>
      <c r="DD268" s="18"/>
      <c r="DE268" s="18"/>
      <c r="DF268" s="18"/>
    </row>
    <row r="269" spans="1:110">
      <c r="A269" s="168">
        <v>4</v>
      </c>
      <c r="B269" s="71"/>
      <c r="C269" s="70" t="str" cm="1">
        <f t="array" aca="1" ref="C269" ca="1">IF(OR(B269="",O269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69" s="67" t="str" cm="1">
        <f t="array" aca="1" ref="D269" ca="1">IF(OR(B269="",O269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69" s="67" t="str" cm="1">
        <f t="array" aca="1" ref="E269" ca="1">IF(OR(B269="",O269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269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69" s="67" t="str" cm="1">
        <f t="array" aca="1" ref="F269" ca="1">IF(OR(B269="",O269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269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69" s="67" t="str" cm="1">
        <f t="array" aca="1" ref="G269" ca="1">IF(OR(B269="",O269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69" s="67" t="str" cm="1">
        <f t="array" aca="1" ref="H269" ca="1">IF(OR(B269="",O269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69" s="68" t="str" cm="1">
        <f t="array" aca="1" ref="I269" ca="1">IF(OR(B269="",O269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269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69" s="68" t="str" cm="1">
        <f t="array" aca="1" ref="J269" ca="1">IF(OR(B269="",O269=""),"",--(SUM(_xlfn.XLOOKUP(_xlfn._xlws.FILTER(_xlfn.TOCOL(_xlfn.CHOOSECOLS(C254:L262,2,4,6,8,10),0,TRUE),_xlfn.TOCOL(_xlfn.CHOOSECOLS(C254:L262,1,3,5,7,9),0,TRUE)&lt;&gt;""),Lists!$AC$2:$AC$9,Lists!$AF$2:$AF$9,0))&gt;SUM(_xlfn.XLOOKUP(_xlfn._xlws.FILTER(_xlfn.TOCOL(_xlfn.CHOOSECOLS(C275:L283,2,4,6,8,10),0,TRUE),_xlfn.TOCOL(_xlfn.CHOOSECOLS(C275:L283,1,3,5,7,9),0,TRUE)&lt;&gt;""),Lists!$AC$2:$AC$9,Lists!$AF$2:$AF$9,0)))*--(ROW()-ROW(C265)=_xlfn.XLOOKUP(MAX(IF(O266:O271&gt;0,INT(C266:C271)*3+MOD(ROUND(C266:C271*10,0),10),-1)),IF(O266:O271&gt;0,INT(C266:C271)*3+MOD(ROUND(C266:C271*10,0),10),-1),_xlfn.SEQUENCE(ROWS(O266:O271)),,0)))</f>
        <v/>
      </c>
      <c r="K269" s="68" t="str" cm="1">
        <f t="array" aca="1" ref="K269" ca="1">IF(OR(B269="",O269=""),"",--(SUM(_xlfn.XLOOKUP(_xlfn._xlws.FILTER(_xlfn.TOCOL(_xlfn.CHOOSECOLS(C254:L262,2,4,6,8,10),0,TRUE),_xlfn.TOCOL(_xlfn.CHOOSECOLS(C254:L262,1,3,5,7,9),0,TRUE)&lt;&gt;""),Lists!$AC$2:$AC$9,Lists!$AF$2:$AF$9,0))&lt;SUM(_xlfn.XLOOKUP(_xlfn._xlws.FILTER(_xlfn.TOCOL(_xlfn.CHOOSECOLS(C275:L283,2,4,6,8,10),0,TRUE),_xlfn.TOCOL(_xlfn.CHOOSECOLS(C275:L283,1,3,5,7,9),0,TRUE)&lt;&gt;""),Lists!$AC$2:$AC$9,Lists!$AF$2:$AF$9,0)))*--(ROW()-ROW(C265)=_xlfn.XLOOKUP(MAX(IF(O266:O271&gt;0,E266:E271,-1)),IF(O266:O271&gt;0,E266:E271,-1),_xlfn.SEQUENCE(ROWS(O266:O271)),,0)))</f>
        <v/>
      </c>
      <c r="L269" s="68" t="str" cm="1">
        <f t="array" aca="1" ref="L269" ca="1">IF(OR(B269="",O269=""),"",--(SUM(_xlfn.XLOOKUP(_xlfn._xlws.FILTER(_xlfn.TOCOL(_xlfn.CHOOSECOLS(C254:L262,2,4,6,8,10),0,TRUE),_xlfn.TOCOL(_xlfn.CHOOSECOLS(C254:L262,1,3,5,7,9),0,TRUE)&lt;&gt;""),Lists!$AC$2:$AC$9,Lists!$AF$2:$AF$9,0))&gt;SUM(_xlfn.XLOOKUP(_xlfn._xlws.FILTER(_xlfn.TOCOL(_xlfn.CHOOSECOLS(C275:L283,2,4,6,8,10),0,TRUE),_xlfn.TOCOL(_xlfn.CHOOSECOLS(C275:L283,1,3,5,7,9),0,TRUE)&lt;&gt;""),Lists!$AC$2:$AC$9,Lists!$AF$2:$AF$9,0)))*--(COUNTIF(O266:O271,"&gt;0")&gt;1)*--(ROW()-ROW(C265)=_xlfn.XLOOKUP(TRUE,O266:O271&gt;0,_xlfn.SEQUENCE(ROWS(O266:O271)),,0,-1))*--(_xlfn.XLOOKUP(TRUE,O266:O271&gt;0,_xlfn.SEQUENCE(ROWS(O266:O271)),,0,-1)&lt;&gt;_xlfn.XLOOKUP(MAX(IF(O266:O271&gt;0,INT(C266:C271)*3+MOD(ROUND(C266:C271*10,0),10),-1)),IF(O266:O271&gt;0,INT(C266:C271)*3+MOD(ROUND(C266:C271*10,0),10),-1),_xlfn.SEQUENCE(ROWS(O266:O271)),,0))*--(SUM(_xlfn.XLOOKUP(_xlfn._xlws.FILTER(_xlfn.TOCOL(_xlfn.CHOOSECOLS(C254:L262,2,4,6,8,10),0,TRUE),_xlfn.TOCOL(_xlfn.CHOOSECOLS(C254:L262,1,3,5,7,9),0,TRUE)&lt;&gt;""),Lists!$AC$2:$AC$9,Lists!$AF$2:$AF$9,0))-SUM(_xlfn.XLOOKUP(_xlfn._xlws.FILTER(_xlfn.TOCOL(_xlfn.CHOOSECOLS(C275:L283,2,4,6,8,10),0,TRUE),_xlfn.TOCOL(_xlfn.CHOOSECOLS(C275:L283,1,3,5,7,9),0,TRUE)&lt;&gt;""),Lists!$AC$2:$AC$9,Lists!$AF$2:$AF$9,0))&lt;=3)*--((INT(C269)*3+MOD(ROUND(C269*10,0),10))&gt;=3))</f>
        <v/>
      </c>
      <c r="M269" s="68" t="str" cm="1">
        <f t="array" aca="1" ref="M269" ca="1">IF(OR(B269="",O269=""),"",--(COUNTIF(O266:O271,"&gt;0")=1)*--(SUM(_xlfn.XLOOKUP(_xlfn._xlws.FILTER(_xlfn.TOCOL(_xlfn.CHOOSECOLS(C275:L283,2,4,6,8,10),0,TRUE),_xlfn.TOCOL(_xlfn.CHOOSECOLS(C275:L283,1,3,5,7,9),0,TRUE)&lt;&gt;""),Lists!$AC$2:$AC$9,Lists!$AF$2:$AF$9,0))=0))</f>
        <v/>
      </c>
      <c r="N269" s="69" t="str">
        <f ca="1">IF(OR(B269="",O269=""),"",--(COUNTIF(O266:O271,"&gt;0")=1))</f>
        <v/>
      </c>
      <c r="O269" s="5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8"/>
      <c r="CW269" s="18"/>
      <c r="CX269" s="18"/>
      <c r="CY269" s="18"/>
      <c r="CZ269" s="18"/>
      <c r="DA269" s="18"/>
      <c r="DB269" s="18"/>
      <c r="DC269" s="18"/>
      <c r="DD269" s="18"/>
      <c r="DE269" s="18"/>
      <c r="DF269" s="18"/>
    </row>
    <row r="270" spans="1:110">
      <c r="A270" s="168">
        <v>5</v>
      </c>
      <c r="B270" s="71"/>
      <c r="C270" s="70" t="str" cm="1">
        <f t="array" aca="1" ref="C270" ca="1">IF(OR(B270="",O270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270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70" s="67" t="str" cm="1">
        <f t="array" aca="1" ref="D270" ca="1">IF(OR(B270="",O270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270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70" s="67" t="str" cm="1">
        <f t="array" aca="1" ref="E270" ca="1">IF(OR(B270="",O270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270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70" s="67" t="str" cm="1">
        <f t="array" aca="1" ref="F270" ca="1">IF(OR(B270="",O270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270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70" s="67" t="str" cm="1">
        <f t="array" aca="1" ref="G270" ca="1">IF(OR(B270="",O270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270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70" s="67" t="str" cm="1">
        <f t="array" aca="1" ref="H270" ca="1">IF(OR(B270="",O270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270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70" s="68" t="str" cm="1">
        <f t="array" aca="1" ref="I270" ca="1">IF(OR(B270="",O270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270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70" s="68" t="str" cm="1">
        <f t="array" aca="1" ref="J270" ca="1">IF(OR(B270="",O270=""),"",--(SUM(_xlfn.XLOOKUP(_xlfn._xlws.FILTER(_xlfn.TOCOL(_xlfn.CHOOSECOLS(C254:L262,2,4,6,8,10),0,TRUE),_xlfn.TOCOL(_xlfn.CHOOSECOLS(C254:L262,1,3,5,7,9),0,TRUE)&lt;&gt;""),Lists!$AC$2:$AC$9,Lists!$AF$2:$AF$9,0))&gt;SUM(_xlfn.XLOOKUP(_xlfn._xlws.FILTER(_xlfn.TOCOL(_xlfn.CHOOSECOLS(C275:L283,2,4,6,8,10),0,TRUE),_xlfn.TOCOL(_xlfn.CHOOSECOLS(C275:L283,1,3,5,7,9),0,TRUE)&lt;&gt;""),Lists!$AC$2:$AC$9,Lists!$AF$2:$AF$9,0)))*--(ROW()-ROW(C265)=_xlfn.XLOOKUP(MAX(IF(O266:O271&gt;0,INT(C266:C271)*3+MOD(ROUND(C266:C271*10,0),10),-1)),IF(O266:O271&gt;0,INT(C266:C271)*3+MOD(ROUND(C266:C271*10,0),10),-1),_xlfn.SEQUENCE(ROWS(O266:O271)),,0)))</f>
        <v/>
      </c>
      <c r="K270" s="68" t="str" cm="1">
        <f t="array" aca="1" ref="K270" ca="1">IF(OR(B270="",O270=""),"",--(SUM(_xlfn.XLOOKUP(_xlfn._xlws.FILTER(_xlfn.TOCOL(_xlfn.CHOOSECOLS(C254:L262,2,4,6,8,10),0,TRUE),_xlfn.TOCOL(_xlfn.CHOOSECOLS(C254:L262,1,3,5,7,9),0,TRUE)&lt;&gt;""),Lists!$AC$2:$AC$9,Lists!$AF$2:$AF$9,0))&lt;SUM(_xlfn.XLOOKUP(_xlfn._xlws.FILTER(_xlfn.TOCOL(_xlfn.CHOOSECOLS(C275:L283,2,4,6,8,10),0,TRUE),_xlfn.TOCOL(_xlfn.CHOOSECOLS(C275:L283,1,3,5,7,9),0,TRUE)&lt;&gt;""),Lists!$AC$2:$AC$9,Lists!$AF$2:$AF$9,0)))*--(ROW()-ROW(C265)=_xlfn.XLOOKUP(MAX(IF(O266:O271&gt;0,E266:E271,-1)),IF(O266:O271&gt;0,E266:E271,-1),_xlfn.SEQUENCE(ROWS(O266:O271)),,0)))</f>
        <v/>
      </c>
      <c r="L270" s="68" t="str" cm="1">
        <f t="array" aca="1" ref="L270" ca="1">IF(OR(B270="",O270=""),"",--(SUM(_xlfn.XLOOKUP(_xlfn._xlws.FILTER(_xlfn.TOCOL(_xlfn.CHOOSECOLS(C254:L262,2,4,6,8,10),0,TRUE),_xlfn.TOCOL(_xlfn.CHOOSECOLS(C254:L262,1,3,5,7,9),0,TRUE)&lt;&gt;""),Lists!$AC$2:$AC$9,Lists!$AF$2:$AF$9,0))&gt;SUM(_xlfn.XLOOKUP(_xlfn._xlws.FILTER(_xlfn.TOCOL(_xlfn.CHOOSECOLS(C275:L283,2,4,6,8,10),0,TRUE),_xlfn.TOCOL(_xlfn.CHOOSECOLS(C275:L283,1,3,5,7,9),0,TRUE)&lt;&gt;""),Lists!$AC$2:$AC$9,Lists!$AF$2:$AF$9,0)))*--(COUNTIF(O266:O271,"&gt;0")&gt;1)*--(ROW()-ROW(C265)=_xlfn.XLOOKUP(TRUE,O266:O271&gt;0,_xlfn.SEQUENCE(ROWS(O266:O271)),,0,-1))*--(_xlfn.XLOOKUP(TRUE,O266:O271&gt;0,_xlfn.SEQUENCE(ROWS(O266:O271)),,0,-1)&lt;&gt;_xlfn.XLOOKUP(MAX(IF(O266:O271&gt;0,INT(C266:C271)*3+MOD(ROUND(C266:C271*10,0),10),-1)),IF(O266:O271&gt;0,INT(C266:C271)*3+MOD(ROUND(C266:C271*10,0),10),-1),_xlfn.SEQUENCE(ROWS(O266:O271)),,0))*--(SUM(_xlfn.XLOOKUP(_xlfn._xlws.FILTER(_xlfn.TOCOL(_xlfn.CHOOSECOLS(C254:L262,2,4,6,8,10),0,TRUE),_xlfn.TOCOL(_xlfn.CHOOSECOLS(C254:L262,1,3,5,7,9),0,TRUE)&lt;&gt;""),Lists!$AC$2:$AC$9,Lists!$AF$2:$AF$9,0))-SUM(_xlfn.XLOOKUP(_xlfn._xlws.FILTER(_xlfn.TOCOL(_xlfn.CHOOSECOLS(C275:L283,2,4,6,8,10),0,TRUE),_xlfn.TOCOL(_xlfn.CHOOSECOLS(C275:L283,1,3,5,7,9),0,TRUE)&lt;&gt;""),Lists!$AC$2:$AC$9,Lists!$AF$2:$AF$9,0))&lt;=3)*--((INT(C270)*3+MOD(ROUND(C270*10,0),10))&gt;=3))</f>
        <v/>
      </c>
      <c r="M270" s="68" t="str" cm="1">
        <f t="array" aca="1" ref="M270" ca="1">IF(OR(B270="",O270=""),"",--(COUNTIF(O266:O271,"&gt;0")=1)*--(SUM(_xlfn.XLOOKUP(_xlfn._xlws.FILTER(_xlfn.TOCOL(_xlfn.CHOOSECOLS(C275:L283,2,4,6,8,10),0,TRUE),_xlfn.TOCOL(_xlfn.CHOOSECOLS(C275:L283,1,3,5,7,9),0,TRUE)&lt;&gt;""),Lists!$AC$2:$AC$9,Lists!$AF$2:$AF$9,0))=0))</f>
        <v/>
      </c>
      <c r="N270" s="69" t="str">
        <f ca="1">IF(OR(B270="",O270=""),"",--(COUNTIF(O266:O271,"&gt;0")=1))</f>
        <v/>
      </c>
      <c r="O270" s="5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8"/>
      <c r="CW270" s="18"/>
      <c r="CX270" s="18"/>
      <c r="CY270" s="18"/>
      <c r="CZ270" s="18"/>
      <c r="DA270" s="18"/>
      <c r="DB270" s="18"/>
      <c r="DC270" s="18"/>
      <c r="DD270" s="18"/>
      <c r="DE270" s="18"/>
      <c r="DF270" s="18"/>
    </row>
    <row r="271" spans="1:110">
      <c r="A271" s="168">
        <v>6</v>
      </c>
      <c r="B271" s="71"/>
      <c r="C271" s="70" t="str" cm="1">
        <f t="array" aca="1" ref="C271" ca="1">IF(OR(B271="",O271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271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71" s="67" t="str" cm="1">
        <f t="array" aca="1" ref="D271" ca="1">IF(OR(B271="",O271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271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71" s="67" t="str" cm="1">
        <f t="array" aca="1" ref="E271" ca="1">IF(OR(B271="",O271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271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71" s="67" t="str" cm="1">
        <f t="array" aca="1" ref="F271" ca="1">IF(OR(B271="",O271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271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71" s="67" t="str" cm="1">
        <f t="array" aca="1" ref="G271" ca="1">IF(OR(B271="",O271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271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71" s="67" t="str" cm="1">
        <f t="array" aca="1" ref="H271" ca="1">IF(OR(B271="",O271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271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71" s="68" t="str" cm="1">
        <f t="array" aca="1" ref="I271" ca="1">IF(OR(B271="",O271=""),"",_xlfn.LET(_xlpm.flatPAraw,_xlfn.TOCOL(_xlfn.CHOOSECOLS(C275:L283,1,3,5,7,9),0,TRUE),_xlpm.flatPARraw,_xlfn.TOCOL(_xlfn.CHOOSECOLS(C275:L283,2,4,6,8,10),0,TRUE),_xlpm.flatPA,_xlfn._xlws.FILTER(_xlpm.flatPAraw,_xlpm.flatPAraw&lt;&gt;""),_xlpm.flatPAR,_xlfn._xlws.FILTER(_xlpm.flatPARraw,_xlpm.flatPAraw&lt;&gt;""),_xlpm.prev,IF(ROW()=ROW(C266),0,SUM(INDEX(O:O,ROW(C266)):INDEX(O:O,ROW()-1))),_xlpm.need,O271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71" s="68" t="str" cm="1">
        <f t="array" aca="1" ref="J271" ca="1">IF(OR(B271="",O271=""),"",--(SUM(_xlfn.XLOOKUP(_xlfn._xlws.FILTER(_xlfn.TOCOL(_xlfn.CHOOSECOLS(C254:L262,2,4,6,8,10),0,TRUE),_xlfn.TOCOL(_xlfn.CHOOSECOLS(C254:L262,1,3,5,7,9),0,TRUE)&lt;&gt;""),Lists!$AC$2:$AC$9,Lists!$AF$2:$AF$9,0))&gt;SUM(_xlfn.XLOOKUP(_xlfn._xlws.FILTER(_xlfn.TOCOL(_xlfn.CHOOSECOLS(C275:L283,2,4,6,8,10),0,TRUE),_xlfn.TOCOL(_xlfn.CHOOSECOLS(C275:L283,1,3,5,7,9),0,TRUE)&lt;&gt;""),Lists!$AC$2:$AC$9,Lists!$AF$2:$AF$9,0)))*--(ROW()-ROW(C265)=_xlfn.XLOOKUP(MAX(IF(O266:O271&gt;0,INT(C266:C271)*3+MOD(ROUND(C266:C271*10,0),10),-1)),IF(O266:O271&gt;0,INT(C266:C271)*3+MOD(ROUND(C266:C271*10,0),10),-1),_xlfn.SEQUENCE(ROWS(O266:O271)),,0)))</f>
        <v/>
      </c>
      <c r="K271" s="68" t="str" cm="1">
        <f t="array" aca="1" ref="K271" ca="1">IF(OR(B271="",O271=""),"",--(SUM(_xlfn.XLOOKUP(_xlfn._xlws.FILTER(_xlfn.TOCOL(_xlfn.CHOOSECOLS(C254:L262,2,4,6,8,10),0,TRUE),_xlfn.TOCOL(_xlfn.CHOOSECOLS(C254:L262,1,3,5,7,9),0,TRUE)&lt;&gt;""),Lists!$AC$2:$AC$9,Lists!$AF$2:$AF$9,0))&lt;SUM(_xlfn.XLOOKUP(_xlfn._xlws.FILTER(_xlfn.TOCOL(_xlfn.CHOOSECOLS(C275:L283,2,4,6,8,10),0,TRUE),_xlfn.TOCOL(_xlfn.CHOOSECOLS(C275:L283,1,3,5,7,9),0,TRUE)&lt;&gt;""),Lists!$AC$2:$AC$9,Lists!$AF$2:$AF$9,0)))*--(ROW()-ROW(C265)=_xlfn.XLOOKUP(MAX(IF(O266:O271&gt;0,E266:E271,-1)),IF(O266:O271&gt;0,E266:E271,-1),_xlfn.SEQUENCE(ROWS(O266:O271)),,0)))</f>
        <v/>
      </c>
      <c r="L271" s="68" t="str" cm="1">
        <f t="array" aca="1" ref="L271" ca="1">IF(OR(B271="",O271=""),"",--(SUM(_xlfn.XLOOKUP(_xlfn._xlws.FILTER(_xlfn.TOCOL(_xlfn.CHOOSECOLS(C254:L262,2,4,6,8,10),0,TRUE),_xlfn.TOCOL(_xlfn.CHOOSECOLS(C254:L262,1,3,5,7,9),0,TRUE)&lt;&gt;""),Lists!$AC$2:$AC$9,Lists!$AF$2:$AF$9,0))&gt;SUM(_xlfn.XLOOKUP(_xlfn._xlws.FILTER(_xlfn.TOCOL(_xlfn.CHOOSECOLS(C275:L283,2,4,6,8,10),0,TRUE),_xlfn.TOCOL(_xlfn.CHOOSECOLS(C275:L283,1,3,5,7,9),0,TRUE)&lt;&gt;""),Lists!$AC$2:$AC$9,Lists!$AF$2:$AF$9,0)))*--(COUNTIF(O266:O271,"&gt;0")&gt;1)*--(ROW()-ROW(C265)=_xlfn.XLOOKUP(TRUE,O266:O271&gt;0,_xlfn.SEQUENCE(ROWS(O266:O271)),,0,-1))*--(_xlfn.XLOOKUP(TRUE,O266:O271&gt;0,_xlfn.SEQUENCE(ROWS(O266:O271)),,0,-1)&lt;&gt;_xlfn.XLOOKUP(MAX(IF(O266:O271&gt;0,INT(C266:C271)*3+MOD(ROUND(C266:C271*10,0),10),-1)),IF(O266:O271&gt;0,INT(C266:C271)*3+MOD(ROUND(C266:C271*10,0),10),-1),_xlfn.SEQUENCE(ROWS(O266:O271)),,0))*--(SUM(_xlfn.XLOOKUP(_xlfn._xlws.FILTER(_xlfn.TOCOL(_xlfn.CHOOSECOLS(C254:L262,2,4,6,8,10),0,TRUE),_xlfn.TOCOL(_xlfn.CHOOSECOLS(C254:L262,1,3,5,7,9),0,TRUE)&lt;&gt;""),Lists!$AC$2:$AC$9,Lists!$AF$2:$AF$9,0))-SUM(_xlfn.XLOOKUP(_xlfn._xlws.FILTER(_xlfn.TOCOL(_xlfn.CHOOSECOLS(C275:L283,2,4,6,8,10),0,TRUE),_xlfn.TOCOL(_xlfn.CHOOSECOLS(C275:L283,1,3,5,7,9),0,TRUE)&lt;&gt;""),Lists!$AC$2:$AC$9,Lists!$AF$2:$AF$9,0))&lt;=3)*--((INT(C271)*3+MOD(ROUND(C271*10,0),10))&gt;=3))</f>
        <v/>
      </c>
      <c r="M271" s="68" t="str" cm="1">
        <f t="array" aca="1" ref="M271" ca="1">IF(OR(B271="",O271=""),"",--(COUNTIF(O266:O271,"&gt;0")=1)*--(SUM(_xlfn.XLOOKUP(_xlfn._xlws.FILTER(_xlfn.TOCOL(_xlfn.CHOOSECOLS(C275:L283,2,4,6,8,10),0,TRUE),_xlfn.TOCOL(_xlfn.CHOOSECOLS(C275:L283,1,3,5,7,9),0,TRUE)&lt;&gt;""),Lists!$AC$2:$AC$9,Lists!$AF$2:$AF$9,0))=0))</f>
        <v/>
      </c>
      <c r="N271" s="69" t="str">
        <f ca="1">IF(OR(B271="",O271=""),"",--(COUNTIF(O266:O271,"&gt;0")=1))</f>
        <v/>
      </c>
      <c r="O271" s="5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18"/>
      <c r="CW271" s="18"/>
      <c r="CX271" s="18"/>
      <c r="CY271" s="18"/>
      <c r="CZ271" s="18"/>
      <c r="DA271" s="18"/>
      <c r="DB271" s="18"/>
      <c r="DC271" s="18"/>
      <c r="DD271" s="18"/>
      <c r="DE271" s="18"/>
      <c r="DF271" s="18"/>
    </row>
    <row r="272" spans="1:110">
      <c r="A272" s="173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3"/>
      <c r="Q272" s="53"/>
      <c r="R272" s="53"/>
      <c r="S272" s="53"/>
      <c r="T272" s="53"/>
      <c r="U272" s="53"/>
      <c r="V272" s="53"/>
      <c r="W272" s="53"/>
      <c r="X272" s="53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8"/>
      <c r="CW272" s="18"/>
      <c r="CX272" s="18"/>
      <c r="CY272" s="18"/>
      <c r="CZ272" s="18"/>
      <c r="DA272" s="18"/>
      <c r="DB272" s="18"/>
      <c r="DC272" s="18"/>
      <c r="DD272" s="18"/>
      <c r="DE272" s="18"/>
      <c r="DF272" s="18"/>
    </row>
    <row r="273" spans="1:110">
      <c r="A273" s="205" t="str">
        <f ca="1">IF($R$247="","Team B Batting",$R$247&amp;" Batting")</f>
        <v>Donovan Batting</v>
      </c>
      <c r="B273" s="206"/>
      <c r="C273" s="206"/>
      <c r="D273" s="206"/>
      <c r="E273" s="206"/>
      <c r="F273" s="206"/>
      <c r="G273" s="206"/>
      <c r="H273" s="206"/>
      <c r="I273" s="206"/>
      <c r="J273" s="206"/>
      <c r="K273" s="206"/>
      <c r="L273" s="206"/>
      <c r="M273" s="206"/>
      <c r="N273" s="206"/>
      <c r="O273" s="181"/>
      <c r="P273" s="182"/>
      <c r="Q273" s="182"/>
      <c r="R273" s="182"/>
      <c r="S273" s="182"/>
      <c r="T273" s="182"/>
      <c r="U273" s="182"/>
      <c r="V273" s="182"/>
      <c r="W273" s="182"/>
      <c r="X273" s="182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8"/>
    </row>
    <row r="274" spans="1:110">
      <c r="A274" s="167" t="s">
        <v>164</v>
      </c>
      <c r="B274" s="43" t="s">
        <v>39</v>
      </c>
      <c r="C274" s="43" t="s">
        <v>165</v>
      </c>
      <c r="D274" s="43" t="s">
        <v>166</v>
      </c>
      <c r="E274" s="43" t="s">
        <v>167</v>
      </c>
      <c r="F274" s="43" t="s">
        <v>168</v>
      </c>
      <c r="G274" s="43" t="s">
        <v>169</v>
      </c>
      <c r="H274" s="43" t="s">
        <v>170</v>
      </c>
      <c r="I274" s="43" t="s">
        <v>171</v>
      </c>
      <c r="J274" s="43" t="s">
        <v>172</v>
      </c>
      <c r="K274" s="43" t="s">
        <v>173</v>
      </c>
      <c r="L274" s="43" t="s">
        <v>174</v>
      </c>
      <c r="M274" s="43" t="s">
        <v>175</v>
      </c>
      <c r="N274" s="44" t="s">
        <v>161</v>
      </c>
      <c r="O274" s="44" t="s">
        <v>162</v>
      </c>
      <c r="P274" s="44" t="s">
        <v>176</v>
      </c>
      <c r="Q274" s="44" t="s">
        <v>177</v>
      </c>
      <c r="R274" s="44" t="s">
        <v>178</v>
      </c>
      <c r="S274" s="44" t="s">
        <v>179</v>
      </c>
      <c r="T274" s="44" t="s">
        <v>180</v>
      </c>
      <c r="U274" s="44" t="s">
        <v>181</v>
      </c>
      <c r="V274" s="44" t="s">
        <v>182</v>
      </c>
      <c r="W274" s="44" t="s">
        <v>183</v>
      </c>
      <c r="X274" s="45" t="s">
        <v>184</v>
      </c>
      <c r="Y274" s="45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18"/>
      <c r="CW274" s="18"/>
      <c r="CX274" s="18"/>
      <c r="CY274" s="18"/>
      <c r="CZ274" s="18"/>
      <c r="DA274" s="18"/>
      <c r="DB274" s="18"/>
      <c r="DC274" s="18"/>
      <c r="DD274" s="18"/>
      <c r="DE274" s="18"/>
      <c r="DF274" s="18"/>
    </row>
    <row r="275" spans="1:110">
      <c r="A275" s="168">
        <v>1</v>
      </c>
      <c r="B275" s="47" t="str">
        <f ca="1">Lineups!$H$75</f>
        <v>Donkey Kong</v>
      </c>
      <c r="C275" s="49" t="s">
        <v>176</v>
      </c>
      <c r="D275" s="49" t="s">
        <v>187</v>
      </c>
      <c r="E275" s="49" t="s">
        <v>188</v>
      </c>
      <c r="F275" s="49" t="s">
        <v>187</v>
      </c>
      <c r="G275" s="49"/>
      <c r="H275" s="50"/>
      <c r="I275" s="50"/>
      <c r="J275" s="50"/>
      <c r="K275" s="50"/>
      <c r="L275" s="50"/>
      <c r="M275" s="67">
        <f ca="1">IF($B275="","",SUM(_xlfn.XLOOKUP(C275,Lists!$P$2:$P$19,Lists!$R$2:$R$19,0),_xlfn.XLOOKUP(E275,Lists!$P$2:$P$19,Lists!$R$2:$R$19,0),_xlfn.XLOOKUP(G275,Lists!$P$2:$P$19,Lists!$R$2:$R$19,0),_xlfn.XLOOKUP(I275,Lists!$P$2:$P$19,Lists!$R$2:$R$19,0),_xlfn.XLOOKUP(K275,Lists!$P$2:$P$19,Lists!$R$2:$R$19,0)))</f>
        <v>2</v>
      </c>
      <c r="N275" s="68">
        <f ca="1">IF($B275="","",SUM(_xlfn.XLOOKUP(D275,Lists!$AC$2:$AC$9,Lists!$AE$2:$AE$9,0),_xlfn.XLOOKUP(F275,Lists!$AC$2:$AC$9,Lists!$AE$2:$AE$9,0),_xlfn.XLOOKUP(H275,Lists!$AC$2:$AC$9,Lists!$AE$2:$AE$9,0),_xlfn.XLOOKUP(J275,Lists!$AC$2:$AC$9,Lists!$AE$2:$AE$9,0),_xlfn.XLOOKUP(L275,Lists!$AC$2:$AC$9,Lists!$AE$2:$AE$9,0)))</f>
        <v>2</v>
      </c>
      <c r="O275" s="68">
        <f ca="1">IF($B275="","",SUM(_xlfn.XLOOKUP(C275,Lists!$P$2:$P$19,Lists!$S$2:$S$19,0),_xlfn.XLOOKUP(E275,Lists!$P$2:$P$19,Lists!$S$2:$S$19,0),_xlfn.XLOOKUP(G275,Lists!$P$2:$P$19,Lists!$S$2:$S$19,0),_xlfn.XLOOKUP(I275,Lists!$P$2:$P$19,Lists!$S$2:$S$19,0),_xlfn.XLOOKUP(K275,Lists!$P$2:$P$19,Lists!$S$2:$S$19,0)))</f>
        <v>2</v>
      </c>
      <c r="P275" s="68">
        <f ca="1">IF($B275="","",SUM(_xlfn.XLOOKUP(C275,Lists!$P$2:$P$19,Lists!$T$2:$T$19,0),_xlfn.XLOOKUP(E275,Lists!$P$2:$P$19,Lists!$T$2:$T$19,0),_xlfn.XLOOKUP(G275,Lists!$P$2:$P$19,Lists!$T$2:$T$19,0),_xlfn.XLOOKUP(I275,Lists!$P$2:$P$19,Lists!$T$2:$T$19,0),_xlfn.XLOOKUP(K275,Lists!$P$2:$P$19,Lists!$T$2:$T$19,0)))</f>
        <v>1</v>
      </c>
      <c r="Q275" s="68">
        <f ca="1">IF($B275="","",SUM(_xlfn.XLOOKUP(C275,Lists!$P$2:$P$19,Lists!$U$2:$U$19,0),_xlfn.XLOOKUP(E275,Lists!$P$2:$P$19,Lists!$U$2:$U$19,0),_xlfn.XLOOKUP(G275,Lists!$P$2:$P$19,Lists!$U$2:$U$19,0),_xlfn.XLOOKUP(I275,Lists!$P$2:$P$19,Lists!$U$2:$U$19,0),_xlfn.XLOOKUP(K275,Lists!$P$2:$P$19,Lists!$U$2:$U$19,0)))</f>
        <v>0</v>
      </c>
      <c r="R275" s="68">
        <f ca="1">IF($B275="","",SUM(_xlfn.XLOOKUP(C275,Lists!$P$2:$P$19,Lists!$V$2:$V$19,0),_xlfn.XLOOKUP(E275,Lists!$P$2:$P$19,Lists!$V$2:$V$19,0),_xlfn.XLOOKUP(G275,Lists!$P$2:$P$19,Lists!$V$2:$V$19,0),_xlfn.XLOOKUP(I275,Lists!$P$2:$P$19,Lists!$V$2:$V$19,0),_xlfn.XLOOKUP(K275,Lists!$P$2:$P$19,Lists!$V$2:$V$19,0)))</f>
        <v>0</v>
      </c>
      <c r="S275" s="68">
        <f ca="1">IF($B275="","",SUM(_xlfn.XLOOKUP(D275,Lists!$AC$2:$AC$9,Lists!$AD$2:$AD$9,0),_xlfn.XLOOKUP(F275,Lists!$AC$2:$AC$9,Lists!$AD$2:$AD$9,0),_xlfn.XLOOKUP(H275,Lists!$AC$2:$AC$9,Lists!$AD$2:$AD$9,0),_xlfn.XLOOKUP(J275,Lists!$AC$2:$AC$9,Lists!$AD$2:$AD$9,0),_xlfn.XLOOKUP(L275,Lists!$AC$2:$AC$9,Lists!$AD$2:$AD$9,0)))</f>
        <v>0</v>
      </c>
      <c r="T275" s="68">
        <f ca="1">IF($B275="","",SUM(_xlfn.XLOOKUP(C275,Lists!$P$2:$P$19,Lists!$W$2:$W$19,0),_xlfn.XLOOKUP(E275,Lists!$P$2:$P$19,Lists!$W$2:$W$19,0),_xlfn.XLOOKUP(G275,Lists!$P$2:$P$19,Lists!$W$2:$W$19,0),_xlfn.XLOOKUP(I275,Lists!$P$2:$P$19,Lists!$W$2:$W$19,0),_xlfn.XLOOKUP(K275,Lists!$P$2:$P$19,Lists!$W$2:$W$19,0)))</f>
        <v>0</v>
      </c>
      <c r="U275" s="68">
        <f ca="1">IF($B275="","",SUM(_xlfn.XLOOKUP(C275,Lists!$P$2:$P$19,Lists!$X$2:$X$19,0),_xlfn.XLOOKUP(E275,Lists!$P$2:$P$19,Lists!$X$2:$X$19,0),_xlfn.XLOOKUP(G275,Lists!$P$2:$P$19,Lists!$X$2:$X$19,0),_xlfn.XLOOKUP(I275,Lists!$P$2:$P$19,Lists!$X$2:$X$19,0),_xlfn.XLOOKUP(K275,Lists!$P$2:$P$19,Lists!$X$2:$X$19,0)))</f>
        <v>0</v>
      </c>
      <c r="V275" s="68">
        <f ca="1">IF($B275="","",SUM(_xlfn.XLOOKUP(C275,Lists!$P$2:$P$19,Lists!$Y$2:$Y$19,0),_xlfn.XLOOKUP(E275,Lists!$P$2:$P$19,Lists!$Y$2:$Y$19,0),_xlfn.XLOOKUP(G275,Lists!$P$2:$P$19,Lists!$Y$2:$Y$19,0),_xlfn.XLOOKUP(I275,Lists!$P$2:$P$19,Lists!$Y$2:$Y$19,0),_xlfn.XLOOKUP(K275,Lists!$P$2:$P$19,Lists!$Y$2:$Y$19,0)))</f>
        <v>0</v>
      </c>
      <c r="W275" s="68">
        <f ca="1">IF($B275="","",SUM(_xlfn.XLOOKUP(C275,Lists!$P$2:$P$19,Lists!$Z$2:$Z$19,0),_xlfn.XLOOKUP(E275,Lists!$P$2:$P$19,Lists!$Z$2:$Z$19,0),_xlfn.XLOOKUP(G275,Lists!$P$2:$P$19,Lists!$Z$2:$Z$19,0),_xlfn.XLOOKUP(I275,Lists!$P$2:$P$19,Lists!$Z$2:$Z$19,0),_xlfn.XLOOKUP(K275,Lists!$P$2:$P$19,Lists!$Z$2:$Z$19,0)))</f>
        <v>0</v>
      </c>
      <c r="X275" s="69">
        <f ca="1">IF($B275="","",SUM(_xlfn.XLOOKUP(C275,Lists!$P$2:$P$19,Lists!$AA$2:$AA$19,0),_xlfn.XLOOKUP(E275,Lists!$P$2:$P$19,Lists!$AA$2:$AA$19,0),_xlfn.XLOOKUP(G275,Lists!$P$2:$P$19,Lists!$AA$2:$AA$19,0),_xlfn.XLOOKUP(I275,Lists!$P$2:$P$19,Lists!$AA$2:$AA$19,0),_xlfn.XLOOKUP(K275,Lists!$P$2:$P$19,Lists!$AA$2:$AA$19,0)))</f>
        <v>0</v>
      </c>
      <c r="Y275" s="49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18"/>
      <c r="CW275" s="18"/>
      <c r="CX275" s="18"/>
      <c r="CY275" s="18"/>
      <c r="CZ275" s="18"/>
      <c r="DA275" s="18"/>
      <c r="DB275" s="18"/>
      <c r="DC275" s="18"/>
      <c r="DD275" s="18"/>
      <c r="DE275" s="18"/>
      <c r="DF275" s="18"/>
    </row>
    <row r="276" spans="1:110">
      <c r="A276" s="168">
        <v>2</v>
      </c>
      <c r="B276" s="47" t="str">
        <f ca="1">Lineups!$H$76</f>
        <v>Waluigi</v>
      </c>
      <c r="C276" s="49" t="s">
        <v>186</v>
      </c>
      <c r="D276" s="49"/>
      <c r="E276" s="49" t="s">
        <v>185</v>
      </c>
      <c r="F276" s="49"/>
      <c r="G276" s="49"/>
      <c r="H276" s="50"/>
      <c r="I276" s="50"/>
      <c r="J276" s="50"/>
      <c r="K276" s="50"/>
      <c r="L276" s="50"/>
      <c r="M276" s="67">
        <f ca="1">IF($B276="","",SUM(_xlfn.XLOOKUP(C276,Lists!$P$2:$P$19,Lists!$R$2:$R$19,0),_xlfn.XLOOKUP(E276,Lists!$P$2:$P$19,Lists!$R$2:$R$19,0),_xlfn.XLOOKUP(G276,Lists!$P$2:$P$19,Lists!$R$2:$R$19,0),_xlfn.XLOOKUP(I276,Lists!$P$2:$P$19,Lists!$R$2:$R$19,0),_xlfn.XLOOKUP(K276,Lists!$P$2:$P$19,Lists!$R$2:$R$19,0)))</f>
        <v>2</v>
      </c>
      <c r="N276" s="68">
        <f ca="1">IF($B276="","",SUM(_xlfn.XLOOKUP(D276,Lists!$AC$2:$AC$9,Lists!$AE$2:$AE$9,0),_xlfn.XLOOKUP(F276,Lists!$AC$2:$AC$9,Lists!$AE$2:$AE$9,0),_xlfn.XLOOKUP(H276,Lists!$AC$2:$AC$9,Lists!$AE$2:$AE$9,0),_xlfn.XLOOKUP(J276,Lists!$AC$2:$AC$9,Lists!$AE$2:$AE$9,0),_xlfn.XLOOKUP(L276,Lists!$AC$2:$AC$9,Lists!$AE$2:$AE$9,0)))</f>
        <v>0</v>
      </c>
      <c r="O276" s="68">
        <f ca="1">IF($B276="","",SUM(_xlfn.XLOOKUP(C276,Lists!$P$2:$P$19,Lists!$S$2:$S$19,0),_xlfn.XLOOKUP(E276,Lists!$P$2:$P$19,Lists!$S$2:$S$19,0),_xlfn.XLOOKUP(G276,Lists!$P$2:$P$19,Lists!$S$2:$S$19,0),_xlfn.XLOOKUP(I276,Lists!$P$2:$P$19,Lists!$S$2:$S$19,0),_xlfn.XLOOKUP(K276,Lists!$P$2:$P$19,Lists!$S$2:$S$19,0)))</f>
        <v>0</v>
      </c>
      <c r="P276" s="68">
        <f ca="1">IF($B276="","",SUM(_xlfn.XLOOKUP(C276,Lists!$P$2:$P$19,Lists!$T$2:$T$19,0),_xlfn.XLOOKUP(E276,Lists!$P$2:$P$19,Lists!$T$2:$T$19,0),_xlfn.XLOOKUP(G276,Lists!$P$2:$P$19,Lists!$T$2:$T$19,0),_xlfn.XLOOKUP(I276,Lists!$P$2:$P$19,Lists!$T$2:$T$19,0),_xlfn.XLOOKUP(K276,Lists!$P$2:$P$19,Lists!$T$2:$T$19,0)))</f>
        <v>0</v>
      </c>
      <c r="Q276" s="68">
        <f ca="1">IF($B276="","",SUM(_xlfn.XLOOKUP(C276,Lists!$P$2:$P$19,Lists!$U$2:$U$19,0),_xlfn.XLOOKUP(E276,Lists!$P$2:$P$19,Lists!$U$2:$U$19,0),_xlfn.XLOOKUP(G276,Lists!$P$2:$P$19,Lists!$U$2:$U$19,0),_xlfn.XLOOKUP(I276,Lists!$P$2:$P$19,Lists!$U$2:$U$19,0),_xlfn.XLOOKUP(K276,Lists!$P$2:$P$19,Lists!$U$2:$U$19,0)))</f>
        <v>0</v>
      </c>
      <c r="R276" s="68">
        <f ca="1">IF($B276="","",SUM(_xlfn.XLOOKUP(C276,Lists!$P$2:$P$19,Lists!$V$2:$V$19,0),_xlfn.XLOOKUP(E276,Lists!$P$2:$P$19,Lists!$V$2:$V$19,0),_xlfn.XLOOKUP(G276,Lists!$P$2:$P$19,Lists!$V$2:$V$19,0),_xlfn.XLOOKUP(I276,Lists!$P$2:$P$19,Lists!$V$2:$V$19,0),_xlfn.XLOOKUP(K276,Lists!$P$2:$P$19,Lists!$V$2:$V$19,0)))</f>
        <v>0</v>
      </c>
      <c r="S276" s="68">
        <f ca="1">IF($B276="","",SUM(_xlfn.XLOOKUP(D276,Lists!$AC$2:$AC$9,Lists!$AD$2:$AD$9,0),_xlfn.XLOOKUP(F276,Lists!$AC$2:$AC$9,Lists!$AD$2:$AD$9,0),_xlfn.XLOOKUP(H276,Lists!$AC$2:$AC$9,Lists!$AD$2:$AD$9,0),_xlfn.XLOOKUP(J276,Lists!$AC$2:$AC$9,Lists!$AD$2:$AD$9,0),_xlfn.XLOOKUP(L276,Lists!$AC$2:$AC$9,Lists!$AD$2:$AD$9,0)))</f>
        <v>0</v>
      </c>
      <c r="T276" s="68">
        <f ca="1">IF($B276="","",SUM(_xlfn.XLOOKUP(C276,Lists!$P$2:$P$19,Lists!$W$2:$W$19,0),_xlfn.XLOOKUP(E276,Lists!$P$2:$P$19,Lists!$W$2:$W$19,0),_xlfn.XLOOKUP(G276,Lists!$P$2:$P$19,Lists!$W$2:$W$19,0),_xlfn.XLOOKUP(I276,Lists!$P$2:$P$19,Lists!$W$2:$W$19,0),_xlfn.XLOOKUP(K276,Lists!$P$2:$P$19,Lists!$W$2:$W$19,0)))</f>
        <v>0</v>
      </c>
      <c r="U276" s="68">
        <f ca="1">IF($B276="","",SUM(_xlfn.XLOOKUP(C276,Lists!$P$2:$P$19,Lists!$X$2:$X$19,0),_xlfn.XLOOKUP(E276,Lists!$P$2:$P$19,Lists!$X$2:$X$19,0),_xlfn.XLOOKUP(G276,Lists!$P$2:$P$19,Lists!$X$2:$X$19,0),_xlfn.XLOOKUP(I276,Lists!$P$2:$P$19,Lists!$X$2:$X$19,0),_xlfn.XLOOKUP(K276,Lists!$P$2:$P$19,Lists!$X$2:$X$19,0)))</f>
        <v>1</v>
      </c>
      <c r="V276" s="68">
        <f ca="1">IF($B276="","",SUM(_xlfn.XLOOKUP(C276,Lists!$P$2:$P$19,Lists!$Y$2:$Y$19,0),_xlfn.XLOOKUP(E276,Lists!$P$2:$P$19,Lists!$Y$2:$Y$19,0),_xlfn.XLOOKUP(G276,Lists!$P$2:$P$19,Lists!$Y$2:$Y$19,0),_xlfn.XLOOKUP(I276,Lists!$P$2:$P$19,Lists!$Y$2:$Y$19,0),_xlfn.XLOOKUP(K276,Lists!$P$2:$P$19,Lists!$Y$2:$Y$19,0)))</f>
        <v>0</v>
      </c>
      <c r="W276" s="68">
        <f ca="1">IF($B276="","",SUM(_xlfn.XLOOKUP(C276,Lists!$P$2:$P$19,Lists!$Z$2:$Z$19,0),_xlfn.XLOOKUP(E276,Lists!$P$2:$P$19,Lists!$Z$2:$Z$19,0),_xlfn.XLOOKUP(G276,Lists!$P$2:$P$19,Lists!$Z$2:$Z$19,0),_xlfn.XLOOKUP(I276,Lists!$P$2:$P$19,Lists!$Z$2:$Z$19,0),_xlfn.XLOOKUP(K276,Lists!$P$2:$P$19,Lists!$Z$2:$Z$19,0)))</f>
        <v>0</v>
      </c>
      <c r="X276" s="69">
        <f ca="1">IF($B276="","",SUM(_xlfn.XLOOKUP(C276,Lists!$P$2:$P$19,Lists!$AA$2:$AA$19,0),_xlfn.XLOOKUP(E276,Lists!$P$2:$P$19,Lists!$AA$2:$AA$19,0),_xlfn.XLOOKUP(G276,Lists!$P$2:$P$19,Lists!$AA$2:$AA$19,0),_xlfn.XLOOKUP(I276,Lists!$P$2:$P$19,Lists!$AA$2:$AA$19,0),_xlfn.XLOOKUP(K276,Lists!$P$2:$P$19,Lists!$AA$2:$AA$19,0)))</f>
        <v>0</v>
      </c>
      <c r="Y276" s="49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  <c r="DC276" s="18"/>
      <c r="DD276" s="18"/>
      <c r="DE276" s="18"/>
      <c r="DF276" s="18"/>
    </row>
    <row r="277" spans="1:110">
      <c r="A277" s="168">
        <v>3</v>
      </c>
      <c r="B277" s="47" t="str">
        <f ca="1">Lineups!$H$77</f>
        <v>Dry Bones</v>
      </c>
      <c r="C277" s="49" t="s">
        <v>178</v>
      </c>
      <c r="D277" s="49" t="s">
        <v>204</v>
      </c>
      <c r="E277" s="49" t="s">
        <v>178</v>
      </c>
      <c r="F277" s="49" t="s">
        <v>204</v>
      </c>
      <c r="G277" s="49"/>
      <c r="H277" s="50"/>
      <c r="I277" s="50"/>
      <c r="J277" s="50"/>
      <c r="K277" s="50"/>
      <c r="L277" s="50"/>
      <c r="M277" s="67">
        <f ca="1">IF($B277="","",SUM(_xlfn.XLOOKUP(C277,Lists!$P$2:$P$19,Lists!$R$2:$R$19,0),_xlfn.XLOOKUP(E277,Lists!$P$2:$P$19,Lists!$R$2:$R$19,0),_xlfn.XLOOKUP(G277,Lists!$P$2:$P$19,Lists!$R$2:$R$19,0),_xlfn.XLOOKUP(I277,Lists!$P$2:$P$19,Lists!$R$2:$R$19,0),_xlfn.XLOOKUP(K277,Lists!$P$2:$P$19,Lists!$R$2:$R$19,0)))</f>
        <v>2</v>
      </c>
      <c r="N277" s="68">
        <f ca="1">IF($B277="","",SUM(_xlfn.XLOOKUP(D277,Lists!$AC$2:$AC$9,Lists!$AE$2:$AE$9,0),_xlfn.XLOOKUP(F277,Lists!$AC$2:$AC$9,Lists!$AE$2:$AE$9,0),_xlfn.XLOOKUP(H277,Lists!$AC$2:$AC$9,Lists!$AE$2:$AE$9,0),_xlfn.XLOOKUP(J277,Lists!$AC$2:$AC$9,Lists!$AE$2:$AE$9,0),_xlfn.XLOOKUP(L277,Lists!$AC$2:$AC$9,Lists!$AE$2:$AE$9,0)))</f>
        <v>2</v>
      </c>
      <c r="O277" s="68">
        <f ca="1">IF($B277="","",SUM(_xlfn.XLOOKUP(C277,Lists!$P$2:$P$19,Lists!$S$2:$S$19,0),_xlfn.XLOOKUP(E277,Lists!$P$2:$P$19,Lists!$S$2:$S$19,0),_xlfn.XLOOKUP(G277,Lists!$P$2:$P$19,Lists!$S$2:$S$19,0),_xlfn.XLOOKUP(I277,Lists!$P$2:$P$19,Lists!$S$2:$S$19,0),_xlfn.XLOOKUP(K277,Lists!$P$2:$P$19,Lists!$S$2:$S$19,0)))</f>
        <v>2</v>
      </c>
      <c r="P277" s="68">
        <f ca="1">IF($B277="","",SUM(_xlfn.XLOOKUP(C277,Lists!$P$2:$P$19,Lists!$T$2:$T$19,0),_xlfn.XLOOKUP(E277,Lists!$P$2:$P$19,Lists!$T$2:$T$19,0),_xlfn.XLOOKUP(G277,Lists!$P$2:$P$19,Lists!$T$2:$T$19,0),_xlfn.XLOOKUP(I277,Lists!$P$2:$P$19,Lists!$T$2:$T$19,0),_xlfn.XLOOKUP(K277,Lists!$P$2:$P$19,Lists!$T$2:$T$19,0)))</f>
        <v>0</v>
      </c>
      <c r="Q277" s="68">
        <f ca="1">IF($B277="","",SUM(_xlfn.XLOOKUP(C277,Lists!$P$2:$P$19,Lists!$U$2:$U$19,0),_xlfn.XLOOKUP(E277,Lists!$P$2:$P$19,Lists!$U$2:$U$19,0),_xlfn.XLOOKUP(G277,Lists!$P$2:$P$19,Lists!$U$2:$U$19,0),_xlfn.XLOOKUP(I277,Lists!$P$2:$P$19,Lists!$U$2:$U$19,0),_xlfn.XLOOKUP(K277,Lists!$P$2:$P$19,Lists!$U$2:$U$19,0)))</f>
        <v>0</v>
      </c>
      <c r="R277" s="68">
        <f ca="1">IF($B277="","",SUM(_xlfn.XLOOKUP(C277,Lists!$P$2:$P$19,Lists!$V$2:$V$19,0),_xlfn.XLOOKUP(E277,Lists!$P$2:$P$19,Lists!$V$2:$V$19,0),_xlfn.XLOOKUP(G277,Lists!$P$2:$P$19,Lists!$V$2:$V$19,0),_xlfn.XLOOKUP(I277,Lists!$P$2:$P$19,Lists!$V$2:$V$19,0),_xlfn.XLOOKUP(K277,Lists!$P$2:$P$19,Lists!$V$2:$V$19,0)))</f>
        <v>2</v>
      </c>
      <c r="S277" s="68">
        <f ca="1">IF($B277="","",SUM(_xlfn.XLOOKUP(D277,Lists!$AC$2:$AC$9,Lists!$AD$2:$AD$9,0),_xlfn.XLOOKUP(F277,Lists!$AC$2:$AC$9,Lists!$AD$2:$AD$9,0),_xlfn.XLOOKUP(H277,Lists!$AC$2:$AC$9,Lists!$AD$2:$AD$9,0),_xlfn.XLOOKUP(J277,Lists!$AC$2:$AC$9,Lists!$AD$2:$AD$9,0),_xlfn.XLOOKUP(L277,Lists!$AC$2:$AC$9,Lists!$AD$2:$AD$9,0)))</f>
        <v>4</v>
      </c>
      <c r="T277" s="68">
        <f ca="1">IF($B277="","",SUM(_xlfn.XLOOKUP(C277,Lists!$P$2:$P$19,Lists!$W$2:$W$19,0),_xlfn.XLOOKUP(E277,Lists!$P$2:$P$19,Lists!$W$2:$W$19,0),_xlfn.XLOOKUP(G277,Lists!$P$2:$P$19,Lists!$W$2:$W$19,0),_xlfn.XLOOKUP(I277,Lists!$P$2:$P$19,Lists!$W$2:$W$19,0),_xlfn.XLOOKUP(K277,Lists!$P$2:$P$19,Lists!$W$2:$W$19,0)))</f>
        <v>0</v>
      </c>
      <c r="U277" s="68">
        <f ca="1">IF($B277="","",SUM(_xlfn.XLOOKUP(C277,Lists!$P$2:$P$19,Lists!$X$2:$X$19,0),_xlfn.XLOOKUP(E277,Lists!$P$2:$P$19,Lists!$X$2:$X$19,0),_xlfn.XLOOKUP(G277,Lists!$P$2:$P$19,Lists!$X$2:$X$19,0),_xlfn.XLOOKUP(I277,Lists!$P$2:$P$19,Lists!$X$2:$X$19,0),_xlfn.XLOOKUP(K277,Lists!$P$2:$P$19,Lists!$X$2:$X$19,0)))</f>
        <v>0</v>
      </c>
      <c r="V277" s="68">
        <f ca="1">IF($B277="","",SUM(_xlfn.XLOOKUP(C277,Lists!$P$2:$P$19,Lists!$Y$2:$Y$19,0),_xlfn.XLOOKUP(E277,Lists!$P$2:$P$19,Lists!$Y$2:$Y$19,0),_xlfn.XLOOKUP(G277,Lists!$P$2:$P$19,Lists!$Y$2:$Y$19,0),_xlfn.XLOOKUP(I277,Lists!$P$2:$P$19,Lists!$Y$2:$Y$19,0),_xlfn.XLOOKUP(K277,Lists!$P$2:$P$19,Lists!$Y$2:$Y$19,0)))</f>
        <v>0</v>
      </c>
      <c r="W277" s="68">
        <f ca="1">IF($B277="","",SUM(_xlfn.XLOOKUP(C277,Lists!$P$2:$P$19,Lists!$Z$2:$Z$19,0),_xlfn.XLOOKUP(E277,Lists!$P$2:$P$19,Lists!$Z$2:$Z$19,0),_xlfn.XLOOKUP(G277,Lists!$P$2:$P$19,Lists!$Z$2:$Z$19,0),_xlfn.XLOOKUP(I277,Lists!$P$2:$P$19,Lists!$Z$2:$Z$19,0),_xlfn.XLOOKUP(K277,Lists!$P$2:$P$19,Lists!$Z$2:$Z$19,0)))</f>
        <v>0</v>
      </c>
      <c r="X277" s="69">
        <f ca="1">IF($B277="","",SUM(_xlfn.XLOOKUP(C277,Lists!$P$2:$P$19,Lists!$AA$2:$AA$19,0),_xlfn.XLOOKUP(E277,Lists!$P$2:$P$19,Lists!$AA$2:$AA$19,0),_xlfn.XLOOKUP(G277,Lists!$P$2:$P$19,Lists!$AA$2:$AA$19,0),_xlfn.XLOOKUP(I277,Lists!$P$2:$P$19,Lists!$AA$2:$AA$19,0),_xlfn.XLOOKUP(K277,Lists!$P$2:$P$19,Lists!$AA$2:$AA$19,0)))</f>
        <v>0</v>
      </c>
      <c r="Y277" s="49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8"/>
      <c r="CW277" s="18"/>
      <c r="CX277" s="18"/>
      <c r="CY277" s="18"/>
      <c r="CZ277" s="18"/>
      <c r="DA277" s="18"/>
      <c r="DB277" s="18"/>
      <c r="DC277" s="18"/>
      <c r="DD277" s="18"/>
      <c r="DE277" s="18"/>
      <c r="DF277" s="18"/>
    </row>
    <row r="278" spans="1:110">
      <c r="A278" s="168">
        <v>4</v>
      </c>
      <c r="B278" s="47" t="str">
        <f ca="1">Lineups!$H$78</f>
        <v>Diddy Kong</v>
      </c>
      <c r="C278" s="49" t="s">
        <v>189</v>
      </c>
      <c r="D278" s="49"/>
      <c r="E278" s="49" t="s">
        <v>185</v>
      </c>
      <c r="F278" s="49"/>
      <c r="G278" s="49"/>
      <c r="H278" s="50"/>
      <c r="I278" s="50"/>
      <c r="J278" s="50"/>
      <c r="K278" s="50"/>
      <c r="L278" s="50"/>
      <c r="M278" s="67">
        <f ca="1">IF($B278="","",SUM(_xlfn.XLOOKUP(C278,Lists!$P$2:$P$19,Lists!$R$2:$R$19,0),_xlfn.XLOOKUP(E278,Lists!$P$2:$P$19,Lists!$R$2:$R$19,0),_xlfn.XLOOKUP(G278,Lists!$P$2:$P$19,Lists!$R$2:$R$19,0),_xlfn.XLOOKUP(I278,Lists!$P$2:$P$19,Lists!$R$2:$R$19,0),_xlfn.XLOOKUP(K278,Lists!$P$2:$P$19,Lists!$R$2:$R$19,0)))</f>
        <v>2</v>
      </c>
      <c r="N278" s="68">
        <f ca="1">IF($B278="","",SUM(_xlfn.XLOOKUP(D278,Lists!$AC$2:$AC$9,Lists!$AE$2:$AE$9,0),_xlfn.XLOOKUP(F278,Lists!$AC$2:$AC$9,Lists!$AE$2:$AE$9,0),_xlfn.XLOOKUP(H278,Lists!$AC$2:$AC$9,Lists!$AE$2:$AE$9,0),_xlfn.XLOOKUP(J278,Lists!$AC$2:$AC$9,Lists!$AE$2:$AE$9,0),_xlfn.XLOOKUP(L278,Lists!$AC$2:$AC$9,Lists!$AE$2:$AE$9,0)))</f>
        <v>0</v>
      </c>
      <c r="O278" s="68">
        <f ca="1">IF($B278="","",SUM(_xlfn.XLOOKUP(C278,Lists!$P$2:$P$19,Lists!$S$2:$S$19,0),_xlfn.XLOOKUP(E278,Lists!$P$2:$P$19,Lists!$S$2:$S$19,0),_xlfn.XLOOKUP(G278,Lists!$P$2:$P$19,Lists!$S$2:$S$19,0),_xlfn.XLOOKUP(I278,Lists!$P$2:$P$19,Lists!$S$2:$S$19,0),_xlfn.XLOOKUP(K278,Lists!$P$2:$P$19,Lists!$S$2:$S$19,0)))</f>
        <v>0</v>
      </c>
      <c r="P278" s="68">
        <f ca="1">IF($B278="","",SUM(_xlfn.XLOOKUP(C278,Lists!$P$2:$P$19,Lists!$T$2:$T$19,0),_xlfn.XLOOKUP(E278,Lists!$P$2:$P$19,Lists!$T$2:$T$19,0),_xlfn.XLOOKUP(G278,Lists!$P$2:$P$19,Lists!$T$2:$T$19,0),_xlfn.XLOOKUP(I278,Lists!$P$2:$P$19,Lists!$T$2:$T$19,0),_xlfn.XLOOKUP(K278,Lists!$P$2:$P$19,Lists!$T$2:$T$19,0)))</f>
        <v>0</v>
      </c>
      <c r="Q278" s="68">
        <f ca="1">IF($B278="","",SUM(_xlfn.XLOOKUP(C278,Lists!$P$2:$P$19,Lists!$U$2:$U$19,0),_xlfn.XLOOKUP(E278,Lists!$P$2:$P$19,Lists!$U$2:$U$19,0),_xlfn.XLOOKUP(G278,Lists!$P$2:$P$19,Lists!$U$2:$U$19,0),_xlfn.XLOOKUP(I278,Lists!$P$2:$P$19,Lists!$U$2:$U$19,0),_xlfn.XLOOKUP(K278,Lists!$P$2:$P$19,Lists!$U$2:$U$19,0)))</f>
        <v>0</v>
      </c>
      <c r="R278" s="68">
        <f ca="1">IF($B278="","",SUM(_xlfn.XLOOKUP(C278,Lists!$P$2:$P$19,Lists!$V$2:$V$19,0),_xlfn.XLOOKUP(E278,Lists!$P$2:$P$19,Lists!$V$2:$V$19,0),_xlfn.XLOOKUP(G278,Lists!$P$2:$P$19,Lists!$V$2:$V$19,0),_xlfn.XLOOKUP(I278,Lists!$P$2:$P$19,Lists!$V$2:$V$19,0),_xlfn.XLOOKUP(K278,Lists!$P$2:$P$19,Lists!$V$2:$V$19,0)))</f>
        <v>0</v>
      </c>
      <c r="S278" s="68">
        <f ca="1">IF($B278="","",SUM(_xlfn.XLOOKUP(D278,Lists!$AC$2:$AC$9,Lists!$AD$2:$AD$9,0),_xlfn.XLOOKUP(F278,Lists!$AC$2:$AC$9,Lists!$AD$2:$AD$9,0),_xlfn.XLOOKUP(H278,Lists!$AC$2:$AC$9,Lists!$AD$2:$AD$9,0),_xlfn.XLOOKUP(J278,Lists!$AC$2:$AC$9,Lists!$AD$2:$AD$9,0),_xlfn.XLOOKUP(L278,Lists!$AC$2:$AC$9,Lists!$AD$2:$AD$9,0)))</f>
        <v>0</v>
      </c>
      <c r="T278" s="68">
        <f ca="1">IF($B278="","",SUM(_xlfn.XLOOKUP(C278,Lists!$P$2:$P$19,Lists!$W$2:$W$19,0),_xlfn.XLOOKUP(E278,Lists!$P$2:$P$19,Lists!$W$2:$W$19,0),_xlfn.XLOOKUP(G278,Lists!$P$2:$P$19,Lists!$W$2:$W$19,0),_xlfn.XLOOKUP(I278,Lists!$P$2:$P$19,Lists!$W$2:$W$19,0),_xlfn.XLOOKUP(K278,Lists!$P$2:$P$19,Lists!$W$2:$W$19,0)))</f>
        <v>0</v>
      </c>
      <c r="U278" s="68">
        <f ca="1">IF($B278="","",SUM(_xlfn.XLOOKUP(C278,Lists!$P$2:$P$19,Lists!$X$2:$X$19,0),_xlfn.XLOOKUP(E278,Lists!$P$2:$P$19,Lists!$X$2:$X$19,0),_xlfn.XLOOKUP(G278,Lists!$P$2:$P$19,Lists!$X$2:$X$19,0),_xlfn.XLOOKUP(I278,Lists!$P$2:$P$19,Lists!$X$2:$X$19,0),_xlfn.XLOOKUP(K278,Lists!$P$2:$P$19,Lists!$X$2:$X$19,0)))</f>
        <v>1</v>
      </c>
      <c r="V278" s="68">
        <f ca="1">IF($B278="","",SUM(_xlfn.XLOOKUP(C278,Lists!$P$2:$P$19,Lists!$Y$2:$Y$19,0),_xlfn.XLOOKUP(E278,Lists!$P$2:$P$19,Lists!$Y$2:$Y$19,0),_xlfn.XLOOKUP(G278,Lists!$P$2:$P$19,Lists!$Y$2:$Y$19,0),_xlfn.XLOOKUP(I278,Lists!$P$2:$P$19,Lists!$Y$2:$Y$19,0),_xlfn.XLOOKUP(K278,Lists!$P$2:$P$19,Lists!$Y$2:$Y$19,0)))</f>
        <v>0</v>
      </c>
      <c r="W278" s="68">
        <f ca="1">IF($B278="","",SUM(_xlfn.XLOOKUP(C278,Lists!$P$2:$P$19,Lists!$Z$2:$Z$19,0),_xlfn.XLOOKUP(E278,Lists!$P$2:$P$19,Lists!$Z$2:$Z$19,0),_xlfn.XLOOKUP(G278,Lists!$P$2:$P$19,Lists!$Z$2:$Z$19,0),_xlfn.XLOOKUP(I278,Lists!$P$2:$P$19,Lists!$Z$2:$Z$19,0),_xlfn.XLOOKUP(K278,Lists!$P$2:$P$19,Lists!$Z$2:$Z$19,0)))</f>
        <v>0</v>
      </c>
      <c r="X278" s="69">
        <f ca="1">IF($B278="","",SUM(_xlfn.XLOOKUP(C278,Lists!$P$2:$P$19,Lists!$AA$2:$AA$19,0),_xlfn.XLOOKUP(E278,Lists!$P$2:$P$19,Lists!$AA$2:$AA$19,0),_xlfn.XLOOKUP(G278,Lists!$P$2:$P$19,Lists!$AA$2:$AA$19,0),_xlfn.XLOOKUP(I278,Lists!$P$2:$P$19,Lists!$AA$2:$AA$19,0),_xlfn.XLOOKUP(K278,Lists!$P$2:$P$19,Lists!$AA$2:$AA$19,0)))</f>
        <v>0</v>
      </c>
      <c r="Y278" s="49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18"/>
      <c r="CW278" s="18"/>
      <c r="CX278" s="18"/>
      <c r="CY278" s="18"/>
      <c r="CZ278" s="18"/>
      <c r="DA278" s="18"/>
      <c r="DB278" s="18"/>
      <c r="DC278" s="18"/>
      <c r="DD278" s="18"/>
      <c r="DE278" s="18"/>
      <c r="DF278" s="18"/>
    </row>
    <row r="279" spans="1:110">
      <c r="A279" s="168">
        <v>5</v>
      </c>
      <c r="B279" s="47" t="str">
        <f ca="1">Lineups!$H$79</f>
        <v>Fire Bro</v>
      </c>
      <c r="C279" s="49" t="s">
        <v>185</v>
      </c>
      <c r="D279" s="49"/>
      <c r="E279" s="49"/>
      <c r="F279" s="49"/>
      <c r="G279" s="49"/>
      <c r="H279" s="50"/>
      <c r="I279" s="50"/>
      <c r="J279" s="50"/>
      <c r="K279" s="50"/>
      <c r="L279" s="50"/>
      <c r="M279" s="67">
        <f ca="1">IF($B279="","",SUM(_xlfn.XLOOKUP(C279,Lists!$P$2:$P$19,Lists!$R$2:$R$19,0),_xlfn.XLOOKUP(E279,Lists!$P$2:$P$19,Lists!$R$2:$R$19,0),_xlfn.XLOOKUP(G279,Lists!$P$2:$P$19,Lists!$R$2:$R$19,0),_xlfn.XLOOKUP(I279,Lists!$P$2:$P$19,Lists!$R$2:$R$19,0),_xlfn.XLOOKUP(K279,Lists!$P$2:$P$19,Lists!$R$2:$R$19,0)))</f>
        <v>1</v>
      </c>
      <c r="N279" s="68">
        <f ca="1">IF($B279="","",SUM(_xlfn.XLOOKUP(D279,Lists!$AC$2:$AC$9,Lists!$AE$2:$AE$9,0),_xlfn.XLOOKUP(F279,Lists!$AC$2:$AC$9,Lists!$AE$2:$AE$9,0),_xlfn.XLOOKUP(H279,Lists!$AC$2:$AC$9,Lists!$AE$2:$AE$9,0),_xlfn.XLOOKUP(J279,Lists!$AC$2:$AC$9,Lists!$AE$2:$AE$9,0),_xlfn.XLOOKUP(L279,Lists!$AC$2:$AC$9,Lists!$AE$2:$AE$9,0)))</f>
        <v>0</v>
      </c>
      <c r="O279" s="68">
        <f ca="1">IF($B279="","",SUM(_xlfn.XLOOKUP(C279,Lists!$P$2:$P$19,Lists!$S$2:$S$19,0),_xlfn.XLOOKUP(E279,Lists!$P$2:$P$19,Lists!$S$2:$S$19,0),_xlfn.XLOOKUP(G279,Lists!$P$2:$P$19,Lists!$S$2:$S$19,0),_xlfn.XLOOKUP(I279,Lists!$P$2:$P$19,Lists!$S$2:$S$19,0),_xlfn.XLOOKUP(K279,Lists!$P$2:$P$19,Lists!$S$2:$S$19,0)))</f>
        <v>0</v>
      </c>
      <c r="P279" s="68">
        <f ca="1">IF($B279="","",SUM(_xlfn.XLOOKUP(C279,Lists!$P$2:$P$19,Lists!$T$2:$T$19,0),_xlfn.XLOOKUP(E279,Lists!$P$2:$P$19,Lists!$T$2:$T$19,0),_xlfn.XLOOKUP(G279,Lists!$P$2:$P$19,Lists!$T$2:$T$19,0),_xlfn.XLOOKUP(I279,Lists!$P$2:$P$19,Lists!$T$2:$T$19,0),_xlfn.XLOOKUP(K279,Lists!$P$2:$P$19,Lists!$T$2:$T$19,0)))</f>
        <v>0</v>
      </c>
      <c r="Q279" s="68">
        <f ca="1">IF($B279="","",SUM(_xlfn.XLOOKUP(C279,Lists!$P$2:$P$19,Lists!$U$2:$U$19,0),_xlfn.XLOOKUP(E279,Lists!$P$2:$P$19,Lists!$U$2:$U$19,0),_xlfn.XLOOKUP(G279,Lists!$P$2:$P$19,Lists!$U$2:$U$19,0),_xlfn.XLOOKUP(I279,Lists!$P$2:$P$19,Lists!$U$2:$U$19,0),_xlfn.XLOOKUP(K279,Lists!$P$2:$P$19,Lists!$U$2:$U$19,0)))</f>
        <v>0</v>
      </c>
      <c r="R279" s="68">
        <f ca="1">IF($B279="","",SUM(_xlfn.XLOOKUP(C279,Lists!$P$2:$P$19,Lists!$V$2:$V$19,0),_xlfn.XLOOKUP(E279,Lists!$P$2:$P$19,Lists!$V$2:$V$19,0),_xlfn.XLOOKUP(G279,Lists!$P$2:$P$19,Lists!$V$2:$V$19,0),_xlfn.XLOOKUP(I279,Lists!$P$2:$P$19,Lists!$V$2:$V$19,0),_xlfn.XLOOKUP(K279,Lists!$P$2:$P$19,Lists!$V$2:$V$19,0)))</f>
        <v>0</v>
      </c>
      <c r="S279" s="68">
        <f ca="1">IF($B279="","",SUM(_xlfn.XLOOKUP(D279,Lists!$AC$2:$AC$9,Lists!$AD$2:$AD$9,0),_xlfn.XLOOKUP(F279,Lists!$AC$2:$AC$9,Lists!$AD$2:$AD$9,0),_xlfn.XLOOKUP(H279,Lists!$AC$2:$AC$9,Lists!$AD$2:$AD$9,0),_xlfn.XLOOKUP(J279,Lists!$AC$2:$AC$9,Lists!$AD$2:$AD$9,0),_xlfn.XLOOKUP(L279,Lists!$AC$2:$AC$9,Lists!$AD$2:$AD$9,0)))</f>
        <v>0</v>
      </c>
      <c r="T279" s="68">
        <f ca="1">IF($B279="","",SUM(_xlfn.XLOOKUP(C279,Lists!$P$2:$P$19,Lists!$W$2:$W$19,0),_xlfn.XLOOKUP(E279,Lists!$P$2:$P$19,Lists!$W$2:$W$19,0),_xlfn.XLOOKUP(G279,Lists!$P$2:$P$19,Lists!$W$2:$W$19,0),_xlfn.XLOOKUP(I279,Lists!$P$2:$P$19,Lists!$W$2:$W$19,0),_xlfn.XLOOKUP(K279,Lists!$P$2:$P$19,Lists!$W$2:$W$19,0)))</f>
        <v>0</v>
      </c>
      <c r="U279" s="68">
        <f ca="1">IF($B279="","",SUM(_xlfn.XLOOKUP(C279,Lists!$P$2:$P$19,Lists!$X$2:$X$19,0),_xlfn.XLOOKUP(E279,Lists!$P$2:$P$19,Lists!$X$2:$X$19,0),_xlfn.XLOOKUP(G279,Lists!$P$2:$P$19,Lists!$X$2:$X$19,0),_xlfn.XLOOKUP(I279,Lists!$P$2:$P$19,Lists!$X$2:$X$19,0),_xlfn.XLOOKUP(K279,Lists!$P$2:$P$19,Lists!$X$2:$X$19,0)))</f>
        <v>1</v>
      </c>
      <c r="V279" s="68">
        <f ca="1">IF($B279="","",SUM(_xlfn.XLOOKUP(C279,Lists!$P$2:$P$19,Lists!$Y$2:$Y$19,0),_xlfn.XLOOKUP(E279,Lists!$P$2:$P$19,Lists!$Y$2:$Y$19,0),_xlfn.XLOOKUP(G279,Lists!$P$2:$P$19,Lists!$Y$2:$Y$19,0),_xlfn.XLOOKUP(I279,Lists!$P$2:$P$19,Lists!$Y$2:$Y$19,0),_xlfn.XLOOKUP(K279,Lists!$P$2:$P$19,Lists!$Y$2:$Y$19,0)))</f>
        <v>0</v>
      </c>
      <c r="W279" s="68">
        <f ca="1">IF($B279="","",SUM(_xlfn.XLOOKUP(C279,Lists!$P$2:$P$19,Lists!$Z$2:$Z$19,0),_xlfn.XLOOKUP(E279,Lists!$P$2:$P$19,Lists!$Z$2:$Z$19,0),_xlfn.XLOOKUP(G279,Lists!$P$2:$P$19,Lists!$Z$2:$Z$19,0),_xlfn.XLOOKUP(I279,Lists!$P$2:$P$19,Lists!$Z$2:$Z$19,0),_xlfn.XLOOKUP(K279,Lists!$P$2:$P$19,Lists!$Z$2:$Z$19,0)))</f>
        <v>0</v>
      </c>
      <c r="X279" s="69">
        <f ca="1">IF($B279="","",SUM(_xlfn.XLOOKUP(C279,Lists!$P$2:$P$19,Lists!$AA$2:$AA$19,0),_xlfn.XLOOKUP(E279,Lists!$P$2:$P$19,Lists!$AA$2:$AA$19,0),_xlfn.XLOOKUP(G279,Lists!$P$2:$P$19,Lists!$AA$2:$AA$19,0),_xlfn.XLOOKUP(I279,Lists!$P$2:$P$19,Lists!$AA$2:$AA$19,0),_xlfn.XLOOKUP(K279,Lists!$P$2:$P$19,Lists!$AA$2:$AA$19,0)))</f>
        <v>0</v>
      </c>
      <c r="Y279" s="49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18"/>
      <c r="DF279" s="18"/>
    </row>
    <row r="280" spans="1:110">
      <c r="A280" s="168">
        <v>6</v>
      </c>
      <c r="B280" s="47" t="str">
        <f ca="1">Lineups!$H$80</f>
        <v>Tiny Kong</v>
      </c>
      <c r="C280" s="49" t="s">
        <v>185</v>
      </c>
      <c r="D280" s="49"/>
      <c r="E280" s="49"/>
      <c r="F280" s="49"/>
      <c r="G280" s="49"/>
      <c r="H280" s="50"/>
      <c r="I280" s="50"/>
      <c r="J280" s="50"/>
      <c r="K280" s="50"/>
      <c r="L280" s="50"/>
      <c r="M280" s="67">
        <f ca="1">IF($B280="","",SUM(_xlfn.XLOOKUP(C280,Lists!$P$2:$P$19,Lists!$R$2:$R$19,0),_xlfn.XLOOKUP(E280,Lists!$P$2:$P$19,Lists!$R$2:$R$19,0),_xlfn.XLOOKUP(G280,Lists!$P$2:$P$19,Lists!$R$2:$R$19,0),_xlfn.XLOOKUP(I280,Lists!$P$2:$P$19,Lists!$R$2:$R$19,0),_xlfn.XLOOKUP(K280,Lists!$P$2:$P$19,Lists!$R$2:$R$19,0)))</f>
        <v>1</v>
      </c>
      <c r="N280" s="68">
        <f ca="1">IF($B280="","",SUM(_xlfn.XLOOKUP(D280,Lists!$AC$2:$AC$9,Lists!$AE$2:$AE$9,0),_xlfn.XLOOKUP(F280,Lists!$AC$2:$AC$9,Lists!$AE$2:$AE$9,0),_xlfn.XLOOKUP(H280,Lists!$AC$2:$AC$9,Lists!$AE$2:$AE$9,0),_xlfn.XLOOKUP(J280,Lists!$AC$2:$AC$9,Lists!$AE$2:$AE$9,0),_xlfn.XLOOKUP(L280,Lists!$AC$2:$AC$9,Lists!$AE$2:$AE$9,0)))</f>
        <v>0</v>
      </c>
      <c r="O280" s="68">
        <f ca="1">IF($B280="","",SUM(_xlfn.XLOOKUP(C280,Lists!$P$2:$P$19,Lists!$S$2:$S$19,0),_xlfn.XLOOKUP(E280,Lists!$P$2:$P$19,Lists!$S$2:$S$19,0),_xlfn.XLOOKUP(G280,Lists!$P$2:$P$19,Lists!$S$2:$S$19,0),_xlfn.XLOOKUP(I280,Lists!$P$2:$P$19,Lists!$S$2:$S$19,0),_xlfn.XLOOKUP(K280,Lists!$P$2:$P$19,Lists!$S$2:$S$19,0)))</f>
        <v>0</v>
      </c>
      <c r="P280" s="68">
        <f ca="1">IF($B280="","",SUM(_xlfn.XLOOKUP(C280,Lists!$P$2:$P$19,Lists!$T$2:$T$19,0),_xlfn.XLOOKUP(E280,Lists!$P$2:$P$19,Lists!$T$2:$T$19,0),_xlfn.XLOOKUP(G280,Lists!$P$2:$P$19,Lists!$T$2:$T$19,0),_xlfn.XLOOKUP(I280,Lists!$P$2:$P$19,Lists!$T$2:$T$19,0),_xlfn.XLOOKUP(K280,Lists!$P$2:$P$19,Lists!$T$2:$T$19,0)))</f>
        <v>0</v>
      </c>
      <c r="Q280" s="68">
        <f ca="1">IF($B280="","",SUM(_xlfn.XLOOKUP(C280,Lists!$P$2:$P$19,Lists!$U$2:$U$19,0),_xlfn.XLOOKUP(E280,Lists!$P$2:$P$19,Lists!$U$2:$U$19,0),_xlfn.XLOOKUP(G280,Lists!$P$2:$P$19,Lists!$U$2:$U$19,0),_xlfn.XLOOKUP(I280,Lists!$P$2:$P$19,Lists!$U$2:$U$19,0),_xlfn.XLOOKUP(K280,Lists!$P$2:$P$19,Lists!$U$2:$U$19,0)))</f>
        <v>0</v>
      </c>
      <c r="R280" s="68">
        <f ca="1">IF($B280="","",SUM(_xlfn.XLOOKUP(C280,Lists!$P$2:$P$19,Lists!$V$2:$V$19,0),_xlfn.XLOOKUP(E280,Lists!$P$2:$P$19,Lists!$V$2:$V$19,0),_xlfn.XLOOKUP(G280,Lists!$P$2:$P$19,Lists!$V$2:$V$19,0),_xlfn.XLOOKUP(I280,Lists!$P$2:$P$19,Lists!$V$2:$V$19,0),_xlfn.XLOOKUP(K280,Lists!$P$2:$P$19,Lists!$V$2:$V$19,0)))</f>
        <v>0</v>
      </c>
      <c r="S280" s="68">
        <f ca="1">IF($B280="","",SUM(_xlfn.XLOOKUP(D280,Lists!$AC$2:$AC$9,Lists!$AD$2:$AD$9,0),_xlfn.XLOOKUP(F280,Lists!$AC$2:$AC$9,Lists!$AD$2:$AD$9,0),_xlfn.XLOOKUP(H280,Lists!$AC$2:$AC$9,Lists!$AD$2:$AD$9,0),_xlfn.XLOOKUP(J280,Lists!$AC$2:$AC$9,Lists!$AD$2:$AD$9,0),_xlfn.XLOOKUP(L280,Lists!$AC$2:$AC$9,Lists!$AD$2:$AD$9,0)))</f>
        <v>0</v>
      </c>
      <c r="T280" s="68">
        <f ca="1">IF($B280="","",SUM(_xlfn.XLOOKUP(C280,Lists!$P$2:$P$19,Lists!$W$2:$W$19,0),_xlfn.XLOOKUP(E280,Lists!$P$2:$P$19,Lists!$W$2:$W$19,0),_xlfn.XLOOKUP(G280,Lists!$P$2:$P$19,Lists!$W$2:$W$19,0),_xlfn.XLOOKUP(I280,Lists!$P$2:$P$19,Lists!$W$2:$W$19,0),_xlfn.XLOOKUP(K280,Lists!$P$2:$P$19,Lists!$W$2:$W$19,0)))</f>
        <v>0</v>
      </c>
      <c r="U280" s="68">
        <f ca="1">IF($B280="","",SUM(_xlfn.XLOOKUP(C280,Lists!$P$2:$P$19,Lists!$X$2:$X$19,0),_xlfn.XLOOKUP(E280,Lists!$P$2:$P$19,Lists!$X$2:$X$19,0),_xlfn.XLOOKUP(G280,Lists!$P$2:$P$19,Lists!$X$2:$X$19,0),_xlfn.XLOOKUP(I280,Lists!$P$2:$P$19,Lists!$X$2:$X$19,0),_xlfn.XLOOKUP(K280,Lists!$P$2:$P$19,Lists!$X$2:$X$19,0)))</f>
        <v>1</v>
      </c>
      <c r="V280" s="68">
        <f ca="1">IF($B280="","",SUM(_xlfn.XLOOKUP(C280,Lists!$P$2:$P$19,Lists!$Y$2:$Y$19,0),_xlfn.XLOOKUP(E280,Lists!$P$2:$P$19,Lists!$Y$2:$Y$19,0),_xlfn.XLOOKUP(G280,Lists!$P$2:$P$19,Lists!$Y$2:$Y$19,0),_xlfn.XLOOKUP(I280,Lists!$P$2:$P$19,Lists!$Y$2:$Y$19,0),_xlfn.XLOOKUP(K280,Lists!$P$2:$P$19,Lists!$Y$2:$Y$19,0)))</f>
        <v>0</v>
      </c>
      <c r="W280" s="68">
        <f ca="1">IF($B280="","",SUM(_xlfn.XLOOKUP(C280,Lists!$P$2:$P$19,Lists!$Z$2:$Z$19,0),_xlfn.XLOOKUP(E280,Lists!$P$2:$P$19,Lists!$Z$2:$Z$19,0),_xlfn.XLOOKUP(G280,Lists!$P$2:$P$19,Lists!$Z$2:$Z$19,0),_xlfn.XLOOKUP(I280,Lists!$P$2:$P$19,Lists!$Z$2:$Z$19,0),_xlfn.XLOOKUP(K280,Lists!$P$2:$P$19,Lists!$Z$2:$Z$19,0)))</f>
        <v>0</v>
      </c>
      <c r="X280" s="69">
        <f ca="1">IF($B280="","",SUM(_xlfn.XLOOKUP(C280,Lists!$P$2:$P$19,Lists!$AA$2:$AA$19,0),_xlfn.XLOOKUP(E280,Lists!$P$2:$P$19,Lists!$AA$2:$AA$19,0),_xlfn.XLOOKUP(G280,Lists!$P$2:$P$19,Lists!$AA$2:$AA$19,0),_xlfn.XLOOKUP(I280,Lists!$P$2:$P$19,Lists!$AA$2:$AA$19,0),_xlfn.XLOOKUP(K280,Lists!$P$2:$P$19,Lists!$AA$2:$AA$19,0)))</f>
        <v>0</v>
      </c>
      <c r="Y280" s="49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8"/>
    </row>
    <row r="281" spans="1:110">
      <c r="A281" s="168">
        <v>7</v>
      </c>
      <c r="B281" s="47" t="str">
        <f ca="1">Lineups!$H$81</f>
        <v>Baby DK</v>
      </c>
      <c r="C281" s="49" t="s">
        <v>185</v>
      </c>
      <c r="D281" s="49"/>
      <c r="E281" s="49"/>
      <c r="F281" s="49"/>
      <c r="G281" s="49"/>
      <c r="H281" s="50"/>
      <c r="I281" s="50"/>
      <c r="J281" s="50"/>
      <c r="K281" s="50"/>
      <c r="L281" s="50"/>
      <c r="M281" s="67">
        <f ca="1">IF($B281="","",SUM(_xlfn.XLOOKUP(C281,Lists!$P$2:$P$19,Lists!$R$2:$R$19,0),_xlfn.XLOOKUP(E281,Lists!$P$2:$P$19,Lists!$R$2:$R$19,0),_xlfn.XLOOKUP(G281,Lists!$P$2:$P$19,Lists!$R$2:$R$19,0),_xlfn.XLOOKUP(I281,Lists!$P$2:$P$19,Lists!$R$2:$R$19,0),_xlfn.XLOOKUP(K281,Lists!$P$2:$P$19,Lists!$R$2:$R$19,0)))</f>
        <v>1</v>
      </c>
      <c r="N281" s="68">
        <f ca="1">IF($B281="","",SUM(_xlfn.XLOOKUP(D281,Lists!$AC$2:$AC$9,Lists!$AE$2:$AE$9,0),_xlfn.XLOOKUP(F281,Lists!$AC$2:$AC$9,Lists!$AE$2:$AE$9,0),_xlfn.XLOOKUP(H281,Lists!$AC$2:$AC$9,Lists!$AE$2:$AE$9,0),_xlfn.XLOOKUP(J281,Lists!$AC$2:$AC$9,Lists!$AE$2:$AE$9,0),_xlfn.XLOOKUP(L281,Lists!$AC$2:$AC$9,Lists!$AE$2:$AE$9,0)))</f>
        <v>0</v>
      </c>
      <c r="O281" s="68">
        <f ca="1">IF($B281="","",SUM(_xlfn.XLOOKUP(C281,Lists!$P$2:$P$19,Lists!$S$2:$S$19,0),_xlfn.XLOOKUP(E281,Lists!$P$2:$P$19,Lists!$S$2:$S$19,0),_xlfn.XLOOKUP(G281,Lists!$P$2:$P$19,Lists!$S$2:$S$19,0),_xlfn.XLOOKUP(I281,Lists!$P$2:$P$19,Lists!$S$2:$S$19,0),_xlfn.XLOOKUP(K281,Lists!$P$2:$P$19,Lists!$S$2:$S$19,0)))</f>
        <v>0</v>
      </c>
      <c r="P281" s="68">
        <f ca="1">IF($B281="","",SUM(_xlfn.XLOOKUP(C281,Lists!$P$2:$P$19,Lists!$T$2:$T$19,0),_xlfn.XLOOKUP(E281,Lists!$P$2:$P$19,Lists!$T$2:$T$19,0),_xlfn.XLOOKUP(G281,Lists!$P$2:$P$19,Lists!$T$2:$T$19,0),_xlfn.XLOOKUP(I281,Lists!$P$2:$P$19,Lists!$T$2:$T$19,0),_xlfn.XLOOKUP(K281,Lists!$P$2:$P$19,Lists!$T$2:$T$19,0)))</f>
        <v>0</v>
      </c>
      <c r="Q281" s="68">
        <f ca="1">IF($B281="","",SUM(_xlfn.XLOOKUP(C281,Lists!$P$2:$P$19,Lists!$U$2:$U$19,0),_xlfn.XLOOKUP(E281,Lists!$P$2:$P$19,Lists!$U$2:$U$19,0),_xlfn.XLOOKUP(G281,Lists!$P$2:$P$19,Lists!$U$2:$U$19,0),_xlfn.XLOOKUP(I281,Lists!$P$2:$P$19,Lists!$U$2:$U$19,0),_xlfn.XLOOKUP(K281,Lists!$P$2:$P$19,Lists!$U$2:$U$19,0)))</f>
        <v>0</v>
      </c>
      <c r="R281" s="68">
        <f ca="1">IF($B281="","",SUM(_xlfn.XLOOKUP(C281,Lists!$P$2:$P$19,Lists!$V$2:$V$19,0),_xlfn.XLOOKUP(E281,Lists!$P$2:$P$19,Lists!$V$2:$V$19,0),_xlfn.XLOOKUP(G281,Lists!$P$2:$P$19,Lists!$V$2:$V$19,0),_xlfn.XLOOKUP(I281,Lists!$P$2:$P$19,Lists!$V$2:$V$19,0),_xlfn.XLOOKUP(K281,Lists!$P$2:$P$19,Lists!$V$2:$V$19,0)))</f>
        <v>0</v>
      </c>
      <c r="S281" s="68">
        <f ca="1">IF($B281="","",SUM(_xlfn.XLOOKUP(D281,Lists!$AC$2:$AC$9,Lists!$AD$2:$AD$9,0),_xlfn.XLOOKUP(F281,Lists!$AC$2:$AC$9,Lists!$AD$2:$AD$9,0),_xlfn.XLOOKUP(H281,Lists!$AC$2:$AC$9,Lists!$AD$2:$AD$9,0),_xlfn.XLOOKUP(J281,Lists!$AC$2:$AC$9,Lists!$AD$2:$AD$9,0),_xlfn.XLOOKUP(L281,Lists!$AC$2:$AC$9,Lists!$AD$2:$AD$9,0)))</f>
        <v>0</v>
      </c>
      <c r="T281" s="68">
        <f ca="1">IF($B281="","",SUM(_xlfn.XLOOKUP(C281,Lists!$P$2:$P$19,Lists!$W$2:$W$19,0),_xlfn.XLOOKUP(E281,Lists!$P$2:$P$19,Lists!$W$2:$W$19,0),_xlfn.XLOOKUP(G281,Lists!$P$2:$P$19,Lists!$W$2:$W$19,0),_xlfn.XLOOKUP(I281,Lists!$P$2:$P$19,Lists!$W$2:$W$19,0),_xlfn.XLOOKUP(K281,Lists!$P$2:$P$19,Lists!$W$2:$W$19,0)))</f>
        <v>0</v>
      </c>
      <c r="U281" s="68">
        <f ca="1">IF($B281="","",SUM(_xlfn.XLOOKUP(C281,Lists!$P$2:$P$19,Lists!$X$2:$X$19,0),_xlfn.XLOOKUP(E281,Lists!$P$2:$P$19,Lists!$X$2:$X$19,0),_xlfn.XLOOKUP(G281,Lists!$P$2:$P$19,Lists!$X$2:$X$19,0),_xlfn.XLOOKUP(I281,Lists!$P$2:$P$19,Lists!$X$2:$X$19,0),_xlfn.XLOOKUP(K281,Lists!$P$2:$P$19,Lists!$X$2:$X$19,0)))</f>
        <v>1</v>
      </c>
      <c r="V281" s="68">
        <f ca="1">IF($B281="","",SUM(_xlfn.XLOOKUP(C281,Lists!$P$2:$P$19,Lists!$Y$2:$Y$19,0),_xlfn.XLOOKUP(E281,Lists!$P$2:$P$19,Lists!$Y$2:$Y$19,0),_xlfn.XLOOKUP(G281,Lists!$P$2:$P$19,Lists!$Y$2:$Y$19,0),_xlfn.XLOOKUP(I281,Lists!$P$2:$P$19,Lists!$Y$2:$Y$19,0),_xlfn.XLOOKUP(K281,Lists!$P$2:$P$19,Lists!$Y$2:$Y$19,0)))</f>
        <v>0</v>
      </c>
      <c r="W281" s="68">
        <f ca="1">IF($B281="","",SUM(_xlfn.XLOOKUP(C281,Lists!$P$2:$P$19,Lists!$Z$2:$Z$19,0),_xlfn.XLOOKUP(E281,Lists!$P$2:$P$19,Lists!$Z$2:$Z$19,0),_xlfn.XLOOKUP(G281,Lists!$P$2:$P$19,Lists!$Z$2:$Z$19,0),_xlfn.XLOOKUP(I281,Lists!$P$2:$P$19,Lists!$Z$2:$Z$19,0),_xlfn.XLOOKUP(K281,Lists!$P$2:$P$19,Lists!$Z$2:$Z$19,0)))</f>
        <v>0</v>
      </c>
      <c r="X281" s="69">
        <f ca="1">IF($B281="","",SUM(_xlfn.XLOOKUP(C281,Lists!$P$2:$P$19,Lists!$AA$2:$AA$19,0),_xlfn.XLOOKUP(E281,Lists!$P$2:$P$19,Lists!$AA$2:$AA$19,0),_xlfn.XLOOKUP(G281,Lists!$P$2:$P$19,Lists!$AA$2:$AA$19,0),_xlfn.XLOOKUP(I281,Lists!$P$2:$P$19,Lists!$AA$2:$AA$19,0),_xlfn.XLOOKUP(K281,Lists!$P$2:$P$19,Lists!$AA$2:$AA$19,0)))</f>
        <v>0</v>
      </c>
      <c r="Y281" s="49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8"/>
      <c r="CW281" s="18"/>
      <c r="CX281" s="18"/>
      <c r="CY281" s="18"/>
      <c r="CZ281" s="18"/>
      <c r="DA281" s="18"/>
      <c r="DB281" s="18"/>
      <c r="DC281" s="18"/>
      <c r="DD281" s="18"/>
      <c r="DE281" s="18"/>
      <c r="DF281" s="18"/>
    </row>
    <row r="282" spans="1:110">
      <c r="A282" s="168">
        <v>8</v>
      </c>
      <c r="B282" s="47" t="str">
        <f ca="1">Lineups!$H$82</f>
        <v>Paragoomba</v>
      </c>
      <c r="C282" s="49" t="s">
        <v>193</v>
      </c>
      <c r="D282" s="49"/>
      <c r="E282" s="49"/>
      <c r="F282" s="49"/>
      <c r="G282" s="49"/>
      <c r="H282" s="50"/>
      <c r="I282" s="50"/>
      <c r="J282" s="50"/>
      <c r="K282" s="50"/>
      <c r="L282" s="50"/>
      <c r="M282" s="67">
        <f ca="1">IF($B282="","",SUM(_xlfn.XLOOKUP(C282,Lists!$P$2:$P$19,Lists!$R$2:$R$19,0),_xlfn.XLOOKUP(E282,Lists!$P$2:$P$19,Lists!$R$2:$R$19,0),_xlfn.XLOOKUP(G282,Lists!$P$2:$P$19,Lists!$R$2:$R$19,0),_xlfn.XLOOKUP(I282,Lists!$P$2:$P$19,Lists!$R$2:$R$19,0),_xlfn.XLOOKUP(K282,Lists!$P$2:$P$19,Lists!$R$2:$R$19,0)))</f>
        <v>1</v>
      </c>
      <c r="N282" s="68">
        <f ca="1">IF($B282="","",SUM(_xlfn.XLOOKUP(D282,Lists!$AC$2:$AC$9,Lists!$AE$2:$AE$9,0),_xlfn.XLOOKUP(F282,Lists!$AC$2:$AC$9,Lists!$AE$2:$AE$9,0),_xlfn.XLOOKUP(H282,Lists!$AC$2:$AC$9,Lists!$AE$2:$AE$9,0),_xlfn.XLOOKUP(J282,Lists!$AC$2:$AC$9,Lists!$AE$2:$AE$9,0),_xlfn.XLOOKUP(L282,Lists!$AC$2:$AC$9,Lists!$AE$2:$AE$9,0)))</f>
        <v>0</v>
      </c>
      <c r="O282" s="68">
        <f ca="1">IF($B282="","",SUM(_xlfn.XLOOKUP(C282,Lists!$P$2:$P$19,Lists!$S$2:$S$19,0),_xlfn.XLOOKUP(E282,Lists!$P$2:$P$19,Lists!$S$2:$S$19,0),_xlfn.XLOOKUP(G282,Lists!$P$2:$P$19,Lists!$S$2:$S$19,0),_xlfn.XLOOKUP(I282,Lists!$P$2:$P$19,Lists!$S$2:$S$19,0),_xlfn.XLOOKUP(K282,Lists!$P$2:$P$19,Lists!$S$2:$S$19,0)))</f>
        <v>0</v>
      </c>
      <c r="P282" s="68">
        <f ca="1">IF($B282="","",SUM(_xlfn.XLOOKUP(C282,Lists!$P$2:$P$19,Lists!$T$2:$T$19,0),_xlfn.XLOOKUP(E282,Lists!$P$2:$P$19,Lists!$T$2:$T$19,0),_xlfn.XLOOKUP(G282,Lists!$P$2:$P$19,Lists!$T$2:$T$19,0),_xlfn.XLOOKUP(I282,Lists!$P$2:$P$19,Lists!$T$2:$T$19,0),_xlfn.XLOOKUP(K282,Lists!$P$2:$P$19,Lists!$T$2:$T$19,0)))</f>
        <v>0</v>
      </c>
      <c r="Q282" s="68">
        <f ca="1">IF($B282="","",SUM(_xlfn.XLOOKUP(C282,Lists!$P$2:$P$19,Lists!$U$2:$U$19,0),_xlfn.XLOOKUP(E282,Lists!$P$2:$P$19,Lists!$U$2:$U$19,0),_xlfn.XLOOKUP(G282,Lists!$P$2:$P$19,Lists!$U$2:$U$19,0),_xlfn.XLOOKUP(I282,Lists!$P$2:$P$19,Lists!$U$2:$U$19,0),_xlfn.XLOOKUP(K282,Lists!$P$2:$P$19,Lists!$U$2:$U$19,0)))</f>
        <v>0</v>
      </c>
      <c r="R282" s="68">
        <f ca="1">IF($B282="","",SUM(_xlfn.XLOOKUP(C282,Lists!$P$2:$P$19,Lists!$V$2:$V$19,0),_xlfn.XLOOKUP(E282,Lists!$P$2:$P$19,Lists!$V$2:$V$19,0),_xlfn.XLOOKUP(G282,Lists!$P$2:$P$19,Lists!$V$2:$V$19,0),_xlfn.XLOOKUP(I282,Lists!$P$2:$P$19,Lists!$V$2:$V$19,0),_xlfn.XLOOKUP(K282,Lists!$P$2:$P$19,Lists!$V$2:$V$19,0)))</f>
        <v>0</v>
      </c>
      <c r="S282" s="68">
        <f ca="1">IF($B282="","",SUM(_xlfn.XLOOKUP(D282,Lists!$AC$2:$AC$9,Lists!$AD$2:$AD$9,0),_xlfn.XLOOKUP(F282,Lists!$AC$2:$AC$9,Lists!$AD$2:$AD$9,0),_xlfn.XLOOKUP(H282,Lists!$AC$2:$AC$9,Lists!$AD$2:$AD$9,0),_xlfn.XLOOKUP(J282,Lists!$AC$2:$AC$9,Lists!$AD$2:$AD$9,0),_xlfn.XLOOKUP(L282,Lists!$AC$2:$AC$9,Lists!$AD$2:$AD$9,0)))</f>
        <v>0</v>
      </c>
      <c r="T282" s="68">
        <f ca="1">IF($B282="","",SUM(_xlfn.XLOOKUP(C282,Lists!$P$2:$P$19,Lists!$W$2:$W$19,0),_xlfn.XLOOKUP(E282,Lists!$P$2:$P$19,Lists!$W$2:$W$19,0),_xlfn.XLOOKUP(G282,Lists!$P$2:$P$19,Lists!$W$2:$W$19,0),_xlfn.XLOOKUP(I282,Lists!$P$2:$P$19,Lists!$W$2:$W$19,0),_xlfn.XLOOKUP(K282,Lists!$P$2:$P$19,Lists!$W$2:$W$19,0)))</f>
        <v>0</v>
      </c>
      <c r="U282" s="68">
        <f ca="1">IF($B282="","",SUM(_xlfn.XLOOKUP(C282,Lists!$P$2:$P$19,Lists!$X$2:$X$19,0),_xlfn.XLOOKUP(E282,Lists!$P$2:$P$19,Lists!$X$2:$X$19,0),_xlfn.XLOOKUP(G282,Lists!$P$2:$P$19,Lists!$X$2:$X$19,0),_xlfn.XLOOKUP(I282,Lists!$P$2:$P$19,Lists!$X$2:$X$19,0),_xlfn.XLOOKUP(K282,Lists!$P$2:$P$19,Lists!$X$2:$X$19,0)))</f>
        <v>0</v>
      </c>
      <c r="V282" s="68">
        <f ca="1">IF($B282="","",SUM(_xlfn.XLOOKUP(C282,Lists!$P$2:$P$19,Lists!$Y$2:$Y$19,0),_xlfn.XLOOKUP(E282,Lists!$P$2:$P$19,Lists!$Y$2:$Y$19,0),_xlfn.XLOOKUP(G282,Lists!$P$2:$P$19,Lists!$Y$2:$Y$19,0),_xlfn.XLOOKUP(I282,Lists!$P$2:$P$19,Lists!$Y$2:$Y$19,0),_xlfn.XLOOKUP(K282,Lists!$P$2:$P$19,Lists!$Y$2:$Y$19,0)))</f>
        <v>0</v>
      </c>
      <c r="W282" s="68">
        <f ca="1">IF($B282="","",SUM(_xlfn.XLOOKUP(C282,Lists!$P$2:$P$19,Lists!$Z$2:$Z$19,0),_xlfn.XLOOKUP(E282,Lists!$P$2:$P$19,Lists!$Z$2:$Z$19,0),_xlfn.XLOOKUP(G282,Lists!$P$2:$P$19,Lists!$Z$2:$Z$19,0),_xlfn.XLOOKUP(I282,Lists!$P$2:$P$19,Lists!$Z$2:$Z$19,0),_xlfn.XLOOKUP(K282,Lists!$P$2:$P$19,Lists!$Z$2:$Z$19,0)))</f>
        <v>0</v>
      </c>
      <c r="X282" s="69">
        <f ca="1">IF($B282="","",SUM(_xlfn.XLOOKUP(C282,Lists!$P$2:$P$19,Lists!$AA$2:$AA$19,0),_xlfn.XLOOKUP(E282,Lists!$P$2:$P$19,Lists!$AA$2:$AA$19,0),_xlfn.XLOOKUP(G282,Lists!$P$2:$P$19,Lists!$AA$2:$AA$19,0),_xlfn.XLOOKUP(I282,Lists!$P$2:$P$19,Lists!$AA$2:$AA$19,0),_xlfn.XLOOKUP(K282,Lists!$P$2:$P$19,Lists!$AA$2:$AA$19,0)))</f>
        <v>0</v>
      </c>
      <c r="Y282" s="49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8"/>
    </row>
    <row r="283" spans="1:110">
      <c r="A283" s="168">
        <v>9</v>
      </c>
      <c r="B283" s="47" t="str">
        <f ca="1">Lineups!$H$83</f>
        <v>Dixie Kong</v>
      </c>
      <c r="C283" s="49" t="s">
        <v>185</v>
      </c>
      <c r="D283" s="49"/>
      <c r="E283" s="49"/>
      <c r="F283" s="49"/>
      <c r="G283" s="49"/>
      <c r="H283" s="50"/>
      <c r="I283" s="50"/>
      <c r="J283" s="50"/>
      <c r="K283" s="50"/>
      <c r="L283" s="50"/>
      <c r="M283" s="67">
        <f ca="1">IF($B283="","",SUM(_xlfn.XLOOKUP(C283,Lists!$P$2:$P$19,Lists!$R$2:$R$19,0),_xlfn.XLOOKUP(E283,Lists!$P$2:$P$19,Lists!$R$2:$R$19,0),_xlfn.XLOOKUP(G283,Lists!$P$2:$P$19,Lists!$R$2:$R$19,0),_xlfn.XLOOKUP(I283,Lists!$P$2:$P$19,Lists!$R$2:$R$19,0),_xlfn.XLOOKUP(K283,Lists!$P$2:$P$19,Lists!$R$2:$R$19,0)))</f>
        <v>1</v>
      </c>
      <c r="N283" s="68">
        <f ca="1">IF($B283="","",SUM(_xlfn.XLOOKUP(D283,Lists!$AC$2:$AC$9,Lists!$AE$2:$AE$9,0),_xlfn.XLOOKUP(F283,Lists!$AC$2:$AC$9,Lists!$AE$2:$AE$9,0),_xlfn.XLOOKUP(H283,Lists!$AC$2:$AC$9,Lists!$AE$2:$AE$9,0),_xlfn.XLOOKUP(J283,Lists!$AC$2:$AC$9,Lists!$AE$2:$AE$9,0),_xlfn.XLOOKUP(L283,Lists!$AC$2:$AC$9,Lists!$AE$2:$AE$9,0)))</f>
        <v>0</v>
      </c>
      <c r="O283" s="68">
        <f ca="1">IF($B283="","",SUM(_xlfn.XLOOKUP(C283,Lists!$P$2:$P$19,Lists!$S$2:$S$19,0),_xlfn.XLOOKUP(E283,Lists!$P$2:$P$19,Lists!$S$2:$S$19,0),_xlfn.XLOOKUP(G283,Lists!$P$2:$P$19,Lists!$S$2:$S$19,0),_xlfn.XLOOKUP(I283,Lists!$P$2:$P$19,Lists!$S$2:$S$19,0),_xlfn.XLOOKUP(K283,Lists!$P$2:$P$19,Lists!$S$2:$S$19,0)))</f>
        <v>0</v>
      </c>
      <c r="P283" s="68">
        <f ca="1">IF($B283="","",SUM(_xlfn.XLOOKUP(C283,Lists!$P$2:$P$19,Lists!$T$2:$T$19,0),_xlfn.XLOOKUP(E283,Lists!$P$2:$P$19,Lists!$T$2:$T$19,0),_xlfn.XLOOKUP(G283,Lists!$P$2:$P$19,Lists!$T$2:$T$19,0),_xlfn.XLOOKUP(I283,Lists!$P$2:$P$19,Lists!$T$2:$T$19,0),_xlfn.XLOOKUP(K283,Lists!$P$2:$P$19,Lists!$T$2:$T$19,0)))</f>
        <v>0</v>
      </c>
      <c r="Q283" s="68">
        <f ca="1">IF($B283="","",SUM(_xlfn.XLOOKUP(C283,Lists!$P$2:$P$19,Lists!$U$2:$U$19,0),_xlfn.XLOOKUP(E283,Lists!$P$2:$P$19,Lists!$U$2:$U$19,0),_xlfn.XLOOKUP(G283,Lists!$P$2:$P$19,Lists!$U$2:$U$19,0),_xlfn.XLOOKUP(I283,Lists!$P$2:$P$19,Lists!$U$2:$U$19,0),_xlfn.XLOOKUP(K283,Lists!$P$2:$P$19,Lists!$U$2:$U$19,0)))</f>
        <v>0</v>
      </c>
      <c r="R283" s="68">
        <f ca="1">IF($B283="","",SUM(_xlfn.XLOOKUP(C283,Lists!$P$2:$P$19,Lists!$V$2:$V$19,0),_xlfn.XLOOKUP(E283,Lists!$P$2:$P$19,Lists!$V$2:$V$19,0),_xlfn.XLOOKUP(G283,Lists!$P$2:$P$19,Lists!$V$2:$V$19,0),_xlfn.XLOOKUP(I283,Lists!$P$2:$P$19,Lists!$V$2:$V$19,0),_xlfn.XLOOKUP(K283,Lists!$P$2:$P$19,Lists!$V$2:$V$19,0)))</f>
        <v>0</v>
      </c>
      <c r="S283" s="68">
        <f ca="1">IF($B283="","",SUM(_xlfn.XLOOKUP(D283,Lists!$AC$2:$AC$9,Lists!$AD$2:$AD$9,0),_xlfn.XLOOKUP(F283,Lists!$AC$2:$AC$9,Lists!$AD$2:$AD$9,0),_xlfn.XLOOKUP(H283,Lists!$AC$2:$AC$9,Lists!$AD$2:$AD$9,0),_xlfn.XLOOKUP(J283,Lists!$AC$2:$AC$9,Lists!$AD$2:$AD$9,0),_xlfn.XLOOKUP(L283,Lists!$AC$2:$AC$9,Lists!$AD$2:$AD$9,0)))</f>
        <v>0</v>
      </c>
      <c r="T283" s="68">
        <f ca="1">IF($B283="","",SUM(_xlfn.XLOOKUP(C283,Lists!$P$2:$P$19,Lists!$W$2:$W$19,0),_xlfn.XLOOKUP(E283,Lists!$P$2:$P$19,Lists!$W$2:$W$19,0),_xlfn.XLOOKUP(G283,Lists!$P$2:$P$19,Lists!$W$2:$W$19,0),_xlfn.XLOOKUP(I283,Lists!$P$2:$P$19,Lists!$W$2:$W$19,0),_xlfn.XLOOKUP(K283,Lists!$P$2:$P$19,Lists!$W$2:$W$19,0)))</f>
        <v>0</v>
      </c>
      <c r="U283" s="68">
        <f ca="1">IF($B283="","",SUM(_xlfn.XLOOKUP(C283,Lists!$P$2:$P$19,Lists!$X$2:$X$19,0),_xlfn.XLOOKUP(E283,Lists!$P$2:$P$19,Lists!$X$2:$X$19,0),_xlfn.XLOOKUP(G283,Lists!$P$2:$P$19,Lists!$X$2:$X$19,0),_xlfn.XLOOKUP(I283,Lists!$P$2:$P$19,Lists!$X$2:$X$19,0),_xlfn.XLOOKUP(K283,Lists!$P$2:$P$19,Lists!$X$2:$X$19,0)))</f>
        <v>1</v>
      </c>
      <c r="V283" s="68">
        <f ca="1">IF($B283="","",SUM(_xlfn.XLOOKUP(C283,Lists!$P$2:$P$19,Lists!$Y$2:$Y$19,0),_xlfn.XLOOKUP(E283,Lists!$P$2:$P$19,Lists!$Y$2:$Y$19,0),_xlfn.XLOOKUP(G283,Lists!$P$2:$P$19,Lists!$Y$2:$Y$19,0),_xlfn.XLOOKUP(I283,Lists!$P$2:$P$19,Lists!$Y$2:$Y$19,0),_xlfn.XLOOKUP(K283,Lists!$P$2:$P$19,Lists!$Y$2:$Y$19,0)))</f>
        <v>0</v>
      </c>
      <c r="W283" s="68">
        <f ca="1">IF($B283="","",SUM(_xlfn.XLOOKUP(C283,Lists!$P$2:$P$19,Lists!$Z$2:$Z$19,0),_xlfn.XLOOKUP(E283,Lists!$P$2:$P$19,Lists!$Z$2:$Z$19,0),_xlfn.XLOOKUP(G283,Lists!$P$2:$P$19,Lists!$Z$2:$Z$19,0),_xlfn.XLOOKUP(I283,Lists!$P$2:$P$19,Lists!$Z$2:$Z$19,0),_xlfn.XLOOKUP(K283,Lists!$P$2:$P$19,Lists!$Z$2:$Z$19,0)))</f>
        <v>0</v>
      </c>
      <c r="X283" s="69">
        <f ca="1">IF($B283="","",SUM(_xlfn.XLOOKUP(C283,Lists!$P$2:$P$19,Lists!$AA$2:$AA$19,0),_xlfn.XLOOKUP(E283,Lists!$P$2:$P$19,Lists!$AA$2:$AA$19,0),_xlfn.XLOOKUP(G283,Lists!$P$2:$P$19,Lists!$AA$2:$AA$19,0),_xlfn.XLOOKUP(I283,Lists!$P$2:$P$19,Lists!$AA$2:$AA$19,0),_xlfn.XLOOKUP(K283,Lists!$P$2:$P$19,Lists!$AA$2:$AA$19,0)))</f>
        <v>0</v>
      </c>
      <c r="Y283" s="49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  <c r="DC283" s="18"/>
      <c r="DD283" s="18"/>
      <c r="DE283" s="18"/>
      <c r="DF283" s="18"/>
    </row>
    <row r="284" spans="1:110">
      <c r="A284" s="173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8"/>
    </row>
    <row r="285" spans="1:110">
      <c r="A285" s="222" t="str">
        <f ca="1">IF($R$247="","Team B Pitching",$R$247&amp;" Pitching")</f>
        <v>Donovan Pitching</v>
      </c>
      <c r="B285" s="221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06"/>
      <c r="O285" s="186"/>
      <c r="P285" s="24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8"/>
      <c r="CW285" s="18"/>
      <c r="CX285" s="18"/>
      <c r="CY285" s="18"/>
      <c r="CZ285" s="18"/>
      <c r="DA285" s="18"/>
      <c r="DB285" s="18"/>
      <c r="DC285" s="18"/>
      <c r="DD285" s="18"/>
      <c r="DE285" s="18"/>
      <c r="DF285" s="18"/>
    </row>
    <row r="286" spans="1:110">
      <c r="A286" s="167" t="s">
        <v>103</v>
      </c>
      <c r="B286" s="43" t="s">
        <v>194</v>
      </c>
      <c r="C286" s="43" t="s">
        <v>195</v>
      </c>
      <c r="D286" s="43" t="s">
        <v>162</v>
      </c>
      <c r="E286" s="43" t="s">
        <v>161</v>
      </c>
      <c r="F286" s="43" t="s">
        <v>196</v>
      </c>
      <c r="G286" s="43" t="s">
        <v>180</v>
      </c>
      <c r="H286" s="43" t="s">
        <v>181</v>
      </c>
      <c r="I286" s="44" t="s">
        <v>197</v>
      </c>
      <c r="J286" s="44" t="s">
        <v>198</v>
      </c>
      <c r="K286" s="44" t="s">
        <v>199</v>
      </c>
      <c r="L286" s="44" t="s">
        <v>200</v>
      </c>
      <c r="M286" s="44" t="s">
        <v>201</v>
      </c>
      <c r="N286" s="45" t="s">
        <v>202</v>
      </c>
      <c r="O286" s="45" t="s">
        <v>203</v>
      </c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8"/>
    </row>
    <row r="287" spans="1:110">
      <c r="A287" s="168">
        <v>1</v>
      </c>
      <c r="B287" s="71" t="s">
        <v>41</v>
      </c>
      <c r="C287" s="70" cm="1">
        <f t="array" aca="1" ref="C287" ca="1">IF(OR(B287="",O287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0.1</v>
      </c>
      <c r="D287" s="67" cm="1">
        <f t="array" aca="1" ref="D287" ca="1">IF(OR(B287="",O287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2</v>
      </c>
      <c r="E287" s="67" cm="1">
        <f t="array" aca="1" ref="E287" ca="1">IF(OR(B287="",O287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287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0</v>
      </c>
      <c r="F287" s="67" cm="1">
        <f t="array" aca="1" ref="F287" ca="1">IF(OR(B287="",O287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287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0</v>
      </c>
      <c r="G287" s="67" cm="1">
        <f t="array" aca="1" ref="G287" ca="1">IF(OR(B287="",O287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287" s="67" cm="1">
        <f t="array" aca="1" ref="H287" ca="1">IF(OR(B287="",O287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0</v>
      </c>
      <c r="I287" s="68" cm="1">
        <f t="array" aca="1" ref="I287" ca="1">IF(OR(B287="",O287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287" s="68" cm="1">
        <f t="array" aca="1" ref="J287" ca="1">IF(OR(B287="",O287=""),"",--(SUM(_xlfn.XLOOKUP(_xlfn._xlws.FILTER(_xlfn.TOCOL(_xlfn.CHOOSECOLS(C275:L283,2,4,6,8,10),0,TRUE),_xlfn.TOCOL(_xlfn.CHOOSECOLS(C275:L283,1,3,5,7,9),0,TRUE)&lt;&gt;""),Lists!$AC$2:$AC$9,Lists!$AF$2:$AF$9,0))&gt;SUM(_xlfn.XLOOKUP(_xlfn._xlws.FILTER(_xlfn.TOCOL(_xlfn.CHOOSECOLS(C254:L262,2,4,6,8,10),0,TRUE),_xlfn.TOCOL(_xlfn.CHOOSECOLS(C254:L262,1,3,5,7,9),0,TRUE)&lt;&gt;""),Lists!$AC$2:$AC$9,Lists!$AF$2:$AF$9,0)))*--(ROW()-ROW(C286)=_xlfn.XLOOKUP(MAX(IF(O287:O292&gt;0,INT(C287:C292)*3+MOD(ROUND(C287:C292*10,0),10),-1)),IF(O287:O292&gt;0,INT(C287:C292)*3+MOD(ROUND(C287:C292*10,0),10),-1),_xlfn.SEQUENCE(ROWS(O287:O292)),,0)))</f>
        <v>0</v>
      </c>
      <c r="K287" s="68" cm="1">
        <f t="array" aca="1" ref="K287" ca="1">IF(OR(B287="",O287=""),"",--(SUM(_xlfn.XLOOKUP(_xlfn._xlws.FILTER(_xlfn.TOCOL(_xlfn.CHOOSECOLS(C275:L283,2,4,6,8,10),0,TRUE),_xlfn.TOCOL(_xlfn.CHOOSECOLS(C275:L283,1,3,5,7,9),0,TRUE)&lt;&gt;""),Lists!$AC$2:$AC$9,Lists!$AF$2:$AF$9,0))&lt;SUM(_xlfn.XLOOKUP(_xlfn._xlws.FILTER(_xlfn.TOCOL(_xlfn.CHOOSECOLS(C254:L262,2,4,6,8,10),0,TRUE),_xlfn.TOCOL(_xlfn.CHOOSECOLS(C254:L262,1,3,5,7,9),0,TRUE)&lt;&gt;""),Lists!$AC$2:$AC$9,Lists!$AF$2:$AF$9,0)))*--(ROW()-ROW(C286)=_xlfn.XLOOKUP(MAX(IF(O287:O292&gt;0,E287:E292,-1)),IF(O287:O292&gt;0,E287:E292,-1),_xlfn.SEQUENCE(ROWS(O287:O292)),,0)))</f>
        <v>0</v>
      </c>
      <c r="L287" s="68" cm="1">
        <f t="array" aca="1" ref="L287" ca="1">IF(OR(B287="",O287=""),"",--(SUM(_xlfn.XLOOKUP(_xlfn._xlws.FILTER(_xlfn.TOCOL(_xlfn.CHOOSECOLS(C275:L283,2,4,6,8,10),0,TRUE),_xlfn.TOCOL(_xlfn.CHOOSECOLS(C275:L283,1,3,5,7,9),0,TRUE)&lt;&gt;""),Lists!$AC$2:$AC$9,Lists!$AF$2:$AF$9,0))&gt;SUM(_xlfn.XLOOKUP(_xlfn._xlws.FILTER(_xlfn.TOCOL(_xlfn.CHOOSECOLS(C254:L262,2,4,6,8,10),0,TRUE),_xlfn.TOCOL(_xlfn.CHOOSECOLS(C254:L262,1,3,5,7,9),0,TRUE)&lt;&gt;""),Lists!$AC$2:$AC$9,Lists!$AF$2:$AF$9,0)))*--(COUNTIF(O287:O292,"&gt;0")&gt;1)*--(ROW()-ROW(C286)=_xlfn.XLOOKUP(TRUE,O287:O292&gt;0,_xlfn.SEQUENCE(ROWS(O287:O292)),,0,-1))*--(_xlfn.XLOOKUP(TRUE,O287:O292&gt;0,_xlfn.SEQUENCE(ROWS(O287:O292)),,0,-1)&lt;&gt;_xlfn.XLOOKUP(MAX(IF(O287:O292&gt;0,INT(C287:C292)*3+MOD(ROUND(C287:C292*10,0),10),-1)),IF(O287:O292&gt;0,INT(C287:C292)*3+MOD(ROUND(C287:C292*10,0),10),-1),_xlfn.SEQUENCE(ROWS(O287:O292)),,0))*--(SUM(_xlfn.XLOOKUP(_xlfn._xlws.FILTER(_xlfn.TOCOL(_xlfn.CHOOSECOLS(C275:L283,2,4,6,8,10),0,TRUE),_xlfn.TOCOL(_xlfn.CHOOSECOLS(C275:L283,1,3,5,7,9),0,TRUE)&lt;&gt;""),Lists!$AC$2:$AC$9,Lists!$AF$2:$AF$9,0))-SUM(_xlfn.XLOOKUP(_xlfn._xlws.FILTER(_xlfn.TOCOL(_xlfn.CHOOSECOLS(C254:L262,2,4,6,8,10),0,TRUE),_xlfn.TOCOL(_xlfn.CHOOSECOLS(C254:L262,1,3,5,7,9),0,TRUE)&lt;&gt;""),Lists!$AC$2:$AC$9,Lists!$AF$2:$AF$9,0))&lt;=3)*--((INT(C287)*3+MOD(ROUND(C287*10,0),10))&gt;=3))</f>
        <v>0</v>
      </c>
      <c r="M287" s="68" cm="1">
        <f t="array" aca="1" ref="M287" ca="1">IF(OR(B287="",O287=""),"",--(COUNTIF(O287:O292,"&gt;0")=1)*--(SUM(_xlfn.XLOOKUP(_xlfn._xlws.FILTER(_xlfn.TOCOL(_xlfn.CHOOSECOLS(C254:L262,2,4,6,8,10),0,TRUE),_xlfn.TOCOL(_xlfn.CHOOSECOLS(C254:L262,1,3,5,7,9),0,TRUE)&lt;&gt;""),Lists!$AC$2:$AC$9,Lists!$AF$2:$AF$9,0))=0))</f>
        <v>0</v>
      </c>
      <c r="N287" s="69">
        <f ca="1">IF(OR(B287="",O287=""),"",--(COUNTIF(O287:O292,"&gt;0")=1))</f>
        <v>0</v>
      </c>
      <c r="O287" s="51">
        <v>3</v>
      </c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8"/>
      <c r="CW287" s="18"/>
      <c r="CX287" s="18"/>
      <c r="CY287" s="18"/>
      <c r="CZ287" s="18"/>
      <c r="DA287" s="18"/>
      <c r="DB287" s="18"/>
      <c r="DC287" s="18"/>
      <c r="DD287" s="18"/>
      <c r="DE287" s="18"/>
      <c r="DF287" s="18"/>
    </row>
    <row r="288" spans="1:110">
      <c r="A288" s="168">
        <v>2</v>
      </c>
      <c r="B288" s="71" t="s">
        <v>50</v>
      </c>
      <c r="C288" s="70" cm="1">
        <f t="array" aca="1" ref="C288" ca="1">IF(OR(B288="",O288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2.2</v>
      </c>
      <c r="D288" s="67" cm="1">
        <f t="array" aca="1" ref="D288" ca="1">IF(OR(B288="",O288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2</v>
      </c>
      <c r="E288" s="67" cm="1">
        <f t="array" aca="1" ref="E288" ca="1">IF(OR(B288="",O288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288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1</v>
      </c>
      <c r="F288" s="67" cm="1">
        <f t="array" aca="1" ref="F288" ca="1">IF(OR(B288="",O288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288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1</v>
      </c>
      <c r="G288" s="67" cm="1">
        <f t="array" aca="1" ref="G288" ca="1">IF(OR(B288="",O288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288" s="67" cm="1">
        <f t="array" aca="1" ref="H288" ca="1">IF(OR(B288="",O288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3</v>
      </c>
      <c r="I288" s="68" cm="1">
        <f t="array" aca="1" ref="I288" ca="1">IF(OR(B288="",O288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1</v>
      </c>
      <c r="J288" s="68" cm="1">
        <f t="array" aca="1" ref="J288" ca="1">IF(OR(B288="",O288=""),"",--(SUM(_xlfn.XLOOKUP(_xlfn._xlws.FILTER(_xlfn.TOCOL(_xlfn.CHOOSECOLS(C275:L283,2,4,6,8,10),0,TRUE),_xlfn.TOCOL(_xlfn.CHOOSECOLS(C275:L283,1,3,5,7,9),0,TRUE)&lt;&gt;""),Lists!$AC$2:$AC$9,Lists!$AF$2:$AF$9,0))&gt;SUM(_xlfn.XLOOKUP(_xlfn._xlws.FILTER(_xlfn.TOCOL(_xlfn.CHOOSECOLS(C254:L262,2,4,6,8,10),0,TRUE),_xlfn.TOCOL(_xlfn.CHOOSECOLS(C254:L262,1,3,5,7,9),0,TRUE)&lt;&gt;""),Lists!$AC$2:$AC$9,Lists!$AF$2:$AF$9,0)))*--(ROW()-ROW(C286)=_xlfn.XLOOKUP(MAX(IF(O287:O292&gt;0,INT(C287:C292)*3+MOD(ROUND(C287:C292*10,0),10),-1)),IF(O287:O292&gt;0,INT(C287:C292)*3+MOD(ROUND(C287:C292*10,0),10),-1),_xlfn.SEQUENCE(ROWS(O287:O292)),,0)))</f>
        <v>1</v>
      </c>
      <c r="K288" s="68" cm="1">
        <f t="array" aca="1" ref="K288" ca="1">IF(OR(B288="",O288=""),"",--(SUM(_xlfn.XLOOKUP(_xlfn._xlws.FILTER(_xlfn.TOCOL(_xlfn.CHOOSECOLS(C275:L283,2,4,6,8,10),0,TRUE),_xlfn.TOCOL(_xlfn.CHOOSECOLS(C275:L283,1,3,5,7,9),0,TRUE)&lt;&gt;""),Lists!$AC$2:$AC$9,Lists!$AF$2:$AF$9,0))&lt;SUM(_xlfn.XLOOKUP(_xlfn._xlws.FILTER(_xlfn.TOCOL(_xlfn.CHOOSECOLS(C254:L262,2,4,6,8,10),0,TRUE),_xlfn.TOCOL(_xlfn.CHOOSECOLS(C254:L262,1,3,5,7,9),0,TRUE)&lt;&gt;""),Lists!$AC$2:$AC$9,Lists!$AF$2:$AF$9,0)))*--(ROW()-ROW(C286)=_xlfn.XLOOKUP(MAX(IF(O287:O292&gt;0,E287:E292,-1)),IF(O287:O292&gt;0,E287:E292,-1),_xlfn.SEQUENCE(ROWS(O287:O292)),,0)))</f>
        <v>0</v>
      </c>
      <c r="L288" s="68" cm="1">
        <f t="array" aca="1" ref="L288" ca="1">IF(OR(B288="",O288=""),"",--(SUM(_xlfn.XLOOKUP(_xlfn._xlws.FILTER(_xlfn.TOCOL(_xlfn.CHOOSECOLS(C275:L283,2,4,6,8,10),0,TRUE),_xlfn.TOCOL(_xlfn.CHOOSECOLS(C275:L283,1,3,5,7,9),0,TRUE)&lt;&gt;""),Lists!$AC$2:$AC$9,Lists!$AF$2:$AF$9,0))&gt;SUM(_xlfn.XLOOKUP(_xlfn._xlws.FILTER(_xlfn.TOCOL(_xlfn.CHOOSECOLS(C254:L262,2,4,6,8,10),0,TRUE),_xlfn.TOCOL(_xlfn.CHOOSECOLS(C254:L262,1,3,5,7,9),0,TRUE)&lt;&gt;""),Lists!$AC$2:$AC$9,Lists!$AF$2:$AF$9,0)))*--(COUNTIF(O287:O292,"&gt;0")&gt;1)*--(ROW()-ROW(C286)=_xlfn.XLOOKUP(TRUE,O287:O292&gt;0,_xlfn.SEQUENCE(ROWS(O287:O292)),,0,-1))*--(_xlfn.XLOOKUP(TRUE,O287:O292&gt;0,_xlfn.SEQUENCE(ROWS(O287:O292)),,0,-1)&lt;&gt;_xlfn.XLOOKUP(MAX(IF(O287:O292&gt;0,INT(C287:C292)*3+MOD(ROUND(C287:C292*10,0),10),-1)),IF(O287:O292&gt;0,INT(C287:C292)*3+MOD(ROUND(C287:C292*10,0),10),-1),_xlfn.SEQUENCE(ROWS(O287:O292)),,0))*--(SUM(_xlfn.XLOOKUP(_xlfn._xlws.FILTER(_xlfn.TOCOL(_xlfn.CHOOSECOLS(C275:L283,2,4,6,8,10),0,TRUE),_xlfn.TOCOL(_xlfn.CHOOSECOLS(C275:L283,1,3,5,7,9),0,TRUE)&lt;&gt;""),Lists!$AC$2:$AC$9,Lists!$AF$2:$AF$9,0))-SUM(_xlfn.XLOOKUP(_xlfn._xlws.FILTER(_xlfn.TOCOL(_xlfn.CHOOSECOLS(C254:L262,2,4,6,8,10),0,TRUE),_xlfn.TOCOL(_xlfn.CHOOSECOLS(C254:L262,1,3,5,7,9),0,TRUE)&lt;&gt;""),Lists!$AC$2:$AC$9,Lists!$AF$2:$AF$9,0))&lt;=3)*--((INT(C288)*3+MOD(ROUND(C288*10,0),10))&gt;=3))</f>
        <v>0</v>
      </c>
      <c r="M288" s="68" cm="1">
        <f t="array" aca="1" ref="M288" ca="1">IF(OR(B288="",O288=""),"",--(COUNTIF(O287:O292,"&gt;0")=1)*--(SUM(_xlfn.XLOOKUP(_xlfn._xlws.FILTER(_xlfn.TOCOL(_xlfn.CHOOSECOLS(C254:L262,2,4,6,8,10),0,TRUE),_xlfn.TOCOL(_xlfn.CHOOSECOLS(C254:L262,1,3,5,7,9),0,TRUE)&lt;&gt;""),Lists!$AC$2:$AC$9,Lists!$AF$2:$AF$9,0))=0))</f>
        <v>0</v>
      </c>
      <c r="N288" s="69">
        <f ca="1">IF(OR(B288="",O288=""),"",--(COUNTIF(O287:O292,"&gt;0")=1))</f>
        <v>0</v>
      </c>
      <c r="O288" s="51">
        <v>10</v>
      </c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  <c r="CS288" s="18"/>
      <c r="CT288" s="18"/>
      <c r="CU288" s="18"/>
      <c r="CV288" s="18"/>
      <c r="CW288" s="18"/>
      <c r="CX288" s="18"/>
      <c r="CY288" s="18"/>
      <c r="CZ288" s="18"/>
      <c r="DA288" s="18"/>
      <c r="DB288" s="18"/>
      <c r="DC288" s="18"/>
      <c r="DD288" s="18"/>
      <c r="DE288" s="18"/>
      <c r="DF288" s="18"/>
    </row>
    <row r="289" spans="1:110">
      <c r="A289" s="168">
        <v>3</v>
      </c>
      <c r="B289" s="71"/>
      <c r="C289" s="70" t="str" cm="1">
        <f t="array" aca="1" ref="C289" ca="1">IF(OR(B289="",O289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89" s="67" t="str" cm="1">
        <f t="array" aca="1" ref="D289" ca="1">IF(OR(B289="",O289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89" s="67" t="str" cm="1">
        <f t="array" aca="1" ref="E289" ca="1">IF(OR(B289="",O289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289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89" s="67" t="str" cm="1">
        <f t="array" aca="1" ref="F289" ca="1">IF(OR(B289="",O289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289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89" s="67" t="str" cm="1">
        <f t="array" aca="1" ref="G289" ca="1">IF(OR(B289="",O289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89" s="67" t="str" cm="1">
        <f t="array" aca="1" ref="H289" ca="1">IF(OR(B289="",O289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89" s="68" t="str" cm="1">
        <f t="array" aca="1" ref="I289" ca="1">IF(OR(B289="",O289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289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89" s="68" t="str" cm="1">
        <f t="array" aca="1" ref="J289" ca="1">IF(OR(B289="",O289=""),"",--(SUM(_xlfn.XLOOKUP(_xlfn._xlws.FILTER(_xlfn.TOCOL(_xlfn.CHOOSECOLS(C275:L283,2,4,6,8,10),0,TRUE),_xlfn.TOCOL(_xlfn.CHOOSECOLS(C275:L283,1,3,5,7,9),0,TRUE)&lt;&gt;""),Lists!$AC$2:$AC$9,Lists!$AF$2:$AF$9,0))&gt;SUM(_xlfn.XLOOKUP(_xlfn._xlws.FILTER(_xlfn.TOCOL(_xlfn.CHOOSECOLS(C254:L262,2,4,6,8,10),0,TRUE),_xlfn.TOCOL(_xlfn.CHOOSECOLS(C254:L262,1,3,5,7,9),0,TRUE)&lt;&gt;""),Lists!$AC$2:$AC$9,Lists!$AF$2:$AF$9,0)))*--(ROW()-ROW(C286)=_xlfn.XLOOKUP(MAX(IF(O287:O292&gt;0,INT(C287:C292)*3+MOD(ROUND(C287:C292*10,0),10),-1)),IF(O287:O292&gt;0,INT(C287:C292)*3+MOD(ROUND(C287:C292*10,0),10),-1),_xlfn.SEQUENCE(ROWS(O287:O292)),,0)))</f>
        <v/>
      </c>
      <c r="K289" s="68" t="str" cm="1">
        <f t="array" aca="1" ref="K289" ca="1">IF(OR(B289="",O289=""),"",--(SUM(_xlfn.XLOOKUP(_xlfn._xlws.FILTER(_xlfn.TOCOL(_xlfn.CHOOSECOLS(C275:L283,2,4,6,8,10),0,TRUE),_xlfn.TOCOL(_xlfn.CHOOSECOLS(C275:L283,1,3,5,7,9),0,TRUE)&lt;&gt;""),Lists!$AC$2:$AC$9,Lists!$AF$2:$AF$9,0))&lt;SUM(_xlfn.XLOOKUP(_xlfn._xlws.FILTER(_xlfn.TOCOL(_xlfn.CHOOSECOLS(C254:L262,2,4,6,8,10),0,TRUE),_xlfn.TOCOL(_xlfn.CHOOSECOLS(C254:L262,1,3,5,7,9),0,TRUE)&lt;&gt;""),Lists!$AC$2:$AC$9,Lists!$AF$2:$AF$9,0)))*--(ROW()-ROW(C286)=_xlfn.XLOOKUP(MAX(IF(O287:O292&gt;0,E287:E292,-1)),IF(O287:O292&gt;0,E287:E292,-1),_xlfn.SEQUENCE(ROWS(O287:O292)),,0)))</f>
        <v/>
      </c>
      <c r="L289" s="68" t="str" cm="1">
        <f t="array" aca="1" ref="L289" ca="1">IF(OR(B289="",O289=""),"",--(SUM(_xlfn.XLOOKUP(_xlfn._xlws.FILTER(_xlfn.TOCOL(_xlfn.CHOOSECOLS(C275:L283,2,4,6,8,10),0,TRUE),_xlfn.TOCOL(_xlfn.CHOOSECOLS(C275:L283,1,3,5,7,9),0,TRUE)&lt;&gt;""),Lists!$AC$2:$AC$9,Lists!$AF$2:$AF$9,0))&gt;SUM(_xlfn.XLOOKUP(_xlfn._xlws.FILTER(_xlfn.TOCOL(_xlfn.CHOOSECOLS(C254:L262,2,4,6,8,10),0,TRUE),_xlfn.TOCOL(_xlfn.CHOOSECOLS(C254:L262,1,3,5,7,9),0,TRUE)&lt;&gt;""),Lists!$AC$2:$AC$9,Lists!$AF$2:$AF$9,0)))*--(COUNTIF(O287:O292,"&gt;0")&gt;1)*--(ROW()-ROW(C286)=_xlfn.XLOOKUP(TRUE,O287:O292&gt;0,_xlfn.SEQUENCE(ROWS(O287:O292)),,0,-1))*--(_xlfn.XLOOKUP(TRUE,O287:O292&gt;0,_xlfn.SEQUENCE(ROWS(O287:O292)),,0,-1)&lt;&gt;_xlfn.XLOOKUP(MAX(IF(O287:O292&gt;0,INT(C287:C292)*3+MOD(ROUND(C287:C292*10,0),10),-1)),IF(O287:O292&gt;0,INT(C287:C292)*3+MOD(ROUND(C287:C292*10,0),10),-1),_xlfn.SEQUENCE(ROWS(O287:O292)),,0))*--(SUM(_xlfn.XLOOKUP(_xlfn._xlws.FILTER(_xlfn.TOCOL(_xlfn.CHOOSECOLS(C275:L283,2,4,6,8,10),0,TRUE),_xlfn.TOCOL(_xlfn.CHOOSECOLS(C275:L283,1,3,5,7,9),0,TRUE)&lt;&gt;""),Lists!$AC$2:$AC$9,Lists!$AF$2:$AF$9,0))-SUM(_xlfn.XLOOKUP(_xlfn._xlws.FILTER(_xlfn.TOCOL(_xlfn.CHOOSECOLS(C254:L262,2,4,6,8,10),0,TRUE),_xlfn.TOCOL(_xlfn.CHOOSECOLS(C254:L262,1,3,5,7,9),0,TRUE)&lt;&gt;""),Lists!$AC$2:$AC$9,Lists!$AF$2:$AF$9,0))&lt;=3)*--((INT(C289)*3+MOD(ROUND(C289*10,0),10))&gt;=3))</f>
        <v/>
      </c>
      <c r="M289" s="68" t="str" cm="1">
        <f t="array" aca="1" ref="M289" ca="1">IF(OR(B289="",O289=""),"",--(COUNTIF(O287:O292,"&gt;0")=1)*--(SUM(_xlfn.XLOOKUP(_xlfn._xlws.FILTER(_xlfn.TOCOL(_xlfn.CHOOSECOLS(C254:L262,2,4,6,8,10),0,TRUE),_xlfn.TOCOL(_xlfn.CHOOSECOLS(C254:L262,1,3,5,7,9),0,TRUE)&lt;&gt;""),Lists!$AC$2:$AC$9,Lists!$AF$2:$AF$9,0))=0))</f>
        <v/>
      </c>
      <c r="N289" s="69" t="str">
        <f ca="1">IF(OR(B289="",O289=""),"",--(COUNTIF(O287:O292,"&gt;0")=1))</f>
        <v/>
      </c>
      <c r="O289" s="5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  <c r="CS289" s="18"/>
      <c r="CT289" s="18"/>
      <c r="CU289" s="18"/>
      <c r="CV289" s="18"/>
      <c r="CW289" s="18"/>
      <c r="CX289" s="18"/>
      <c r="CY289" s="18"/>
      <c r="CZ289" s="18"/>
      <c r="DA289" s="18"/>
      <c r="DB289" s="18"/>
      <c r="DC289" s="18"/>
      <c r="DD289" s="18"/>
      <c r="DE289" s="18"/>
      <c r="DF289" s="18"/>
    </row>
    <row r="290" spans="1:110">
      <c r="A290" s="168">
        <v>4</v>
      </c>
      <c r="B290" s="71"/>
      <c r="C290" s="70" t="str" cm="1">
        <f t="array" aca="1" ref="C290" ca="1">IF(OR(B290="",O290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90" s="67" t="str" cm="1">
        <f t="array" aca="1" ref="D290" ca="1">IF(OR(B290="",O290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90" s="67" t="str" cm="1">
        <f t="array" aca="1" ref="E290" ca="1">IF(OR(B290="",O290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290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90" s="67" t="str" cm="1">
        <f t="array" aca="1" ref="F290" ca="1">IF(OR(B290="",O290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290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90" s="67" t="str" cm="1">
        <f t="array" aca="1" ref="G290" ca="1">IF(OR(B290="",O290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90" s="67" t="str" cm="1">
        <f t="array" aca="1" ref="H290" ca="1">IF(OR(B290="",O290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90" s="68" t="str" cm="1">
        <f t="array" aca="1" ref="I290" ca="1">IF(OR(B290="",O290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90" s="68" t="str" cm="1">
        <f t="array" aca="1" ref="J290" ca="1">IF(OR(B290="",O290=""),"",--(SUM(_xlfn.XLOOKUP(_xlfn._xlws.FILTER(_xlfn.TOCOL(_xlfn.CHOOSECOLS(C275:L283,2,4,6,8,10),0,TRUE),_xlfn.TOCOL(_xlfn.CHOOSECOLS(C275:L283,1,3,5,7,9),0,TRUE)&lt;&gt;""),Lists!$AC$2:$AC$9,Lists!$AF$2:$AF$9,0))&gt;SUM(_xlfn.XLOOKUP(_xlfn._xlws.FILTER(_xlfn.TOCOL(_xlfn.CHOOSECOLS(C254:L262,2,4,6,8,10),0,TRUE),_xlfn.TOCOL(_xlfn.CHOOSECOLS(C254:L262,1,3,5,7,9),0,TRUE)&lt;&gt;""),Lists!$AC$2:$AC$9,Lists!$AF$2:$AF$9,0)))*--(ROW()-ROW(C286)=_xlfn.XLOOKUP(MAX(IF(O287:O292&gt;0,INT(C287:C292)*3+MOD(ROUND(C287:C292*10,0),10),-1)),IF(O287:O292&gt;0,INT(C287:C292)*3+MOD(ROUND(C287:C292*10,0),10),-1),_xlfn.SEQUENCE(ROWS(O287:O292)),,0)))</f>
        <v/>
      </c>
      <c r="K290" s="68" t="str" cm="1">
        <f t="array" aca="1" ref="K290" ca="1">IF(OR(B290="",O290=""),"",--(SUM(_xlfn.XLOOKUP(_xlfn._xlws.FILTER(_xlfn.TOCOL(_xlfn.CHOOSECOLS(C275:L283,2,4,6,8,10),0,TRUE),_xlfn.TOCOL(_xlfn.CHOOSECOLS(C275:L283,1,3,5,7,9),0,TRUE)&lt;&gt;""),Lists!$AC$2:$AC$9,Lists!$AF$2:$AF$9,0))&lt;SUM(_xlfn.XLOOKUP(_xlfn._xlws.FILTER(_xlfn.TOCOL(_xlfn.CHOOSECOLS(C254:L262,2,4,6,8,10),0,TRUE),_xlfn.TOCOL(_xlfn.CHOOSECOLS(C254:L262,1,3,5,7,9),0,TRUE)&lt;&gt;""),Lists!$AC$2:$AC$9,Lists!$AF$2:$AF$9,0)))*--(ROW()-ROW(C286)=_xlfn.XLOOKUP(MAX(IF(O287:O292&gt;0,E287:E292,-1)),IF(O287:O292&gt;0,E287:E292,-1),_xlfn.SEQUENCE(ROWS(O287:O292)),,0)))</f>
        <v/>
      </c>
      <c r="L290" s="68" t="str" cm="1">
        <f t="array" aca="1" ref="L290" ca="1">IF(OR(B290="",O290=""),"",--(SUM(_xlfn.XLOOKUP(_xlfn._xlws.FILTER(_xlfn.TOCOL(_xlfn.CHOOSECOLS(C275:L283,2,4,6,8,10),0,TRUE),_xlfn.TOCOL(_xlfn.CHOOSECOLS(C275:L283,1,3,5,7,9),0,TRUE)&lt;&gt;""),Lists!$AC$2:$AC$9,Lists!$AF$2:$AF$9,0))&gt;SUM(_xlfn.XLOOKUP(_xlfn._xlws.FILTER(_xlfn.TOCOL(_xlfn.CHOOSECOLS(C254:L262,2,4,6,8,10),0,TRUE),_xlfn.TOCOL(_xlfn.CHOOSECOLS(C254:L262,1,3,5,7,9),0,TRUE)&lt;&gt;""),Lists!$AC$2:$AC$9,Lists!$AF$2:$AF$9,0)))*--(COUNTIF(O287:O292,"&gt;0")&gt;1)*--(ROW()-ROW(C286)=_xlfn.XLOOKUP(TRUE,O287:O292&gt;0,_xlfn.SEQUENCE(ROWS(O287:O292)),,0,-1))*--(_xlfn.XLOOKUP(TRUE,O287:O292&gt;0,_xlfn.SEQUENCE(ROWS(O287:O292)),,0,-1)&lt;&gt;_xlfn.XLOOKUP(MAX(IF(O287:O292&gt;0,INT(C287:C292)*3+MOD(ROUND(C287:C292*10,0),10),-1)),IF(O287:O292&gt;0,INT(C287:C292)*3+MOD(ROUND(C287:C292*10,0),10),-1),_xlfn.SEQUENCE(ROWS(O287:O292)),,0))*--(SUM(_xlfn.XLOOKUP(_xlfn._xlws.FILTER(_xlfn.TOCOL(_xlfn.CHOOSECOLS(C275:L283,2,4,6,8,10),0,TRUE),_xlfn.TOCOL(_xlfn.CHOOSECOLS(C275:L283,1,3,5,7,9),0,TRUE)&lt;&gt;""),Lists!$AC$2:$AC$9,Lists!$AF$2:$AF$9,0))-SUM(_xlfn.XLOOKUP(_xlfn._xlws.FILTER(_xlfn.TOCOL(_xlfn.CHOOSECOLS(C254:L262,2,4,6,8,10),0,TRUE),_xlfn.TOCOL(_xlfn.CHOOSECOLS(C254:L262,1,3,5,7,9),0,TRUE)&lt;&gt;""),Lists!$AC$2:$AC$9,Lists!$AF$2:$AF$9,0))&lt;=3)*--((INT(C290)*3+MOD(ROUND(C290*10,0),10))&gt;=3))</f>
        <v/>
      </c>
      <c r="M290" s="68" t="str" cm="1">
        <f t="array" aca="1" ref="M290" ca="1">IF(OR(B290="",O290=""),"",--(COUNTIF(O287:O292,"&gt;0")=1)*--(SUM(_xlfn.XLOOKUP(_xlfn._xlws.FILTER(_xlfn.TOCOL(_xlfn.CHOOSECOLS(C254:L262,2,4,6,8,10),0,TRUE),_xlfn.TOCOL(_xlfn.CHOOSECOLS(C254:L262,1,3,5,7,9),0,TRUE)&lt;&gt;""),Lists!$AC$2:$AC$9,Lists!$AF$2:$AF$9,0))=0))</f>
        <v/>
      </c>
      <c r="N290" s="69" t="str">
        <f ca="1">IF(OR(B290="",O290=""),"",--(COUNTIF(O287:O292,"&gt;0")=1))</f>
        <v/>
      </c>
      <c r="O290" s="5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  <c r="CS290" s="18"/>
      <c r="CT290" s="18"/>
      <c r="CU290" s="18"/>
      <c r="CV290" s="18"/>
      <c r="CW290" s="18"/>
      <c r="CX290" s="18"/>
      <c r="CY290" s="18"/>
      <c r="CZ290" s="18"/>
      <c r="DA290" s="18"/>
      <c r="DB290" s="18"/>
      <c r="DC290" s="18"/>
      <c r="DD290" s="18"/>
      <c r="DE290" s="18"/>
      <c r="DF290" s="18"/>
    </row>
    <row r="291" spans="1:110">
      <c r="A291" s="168">
        <v>5</v>
      </c>
      <c r="B291" s="71"/>
      <c r="C291" s="70" t="str" cm="1">
        <f t="array" aca="1" ref="C291" ca="1">IF(OR(B291="",O291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91" s="67" t="str" cm="1">
        <f t="array" aca="1" ref="D291" ca="1">IF(OR(B291="",O291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91" s="67" t="str" cm="1">
        <f t="array" aca="1" ref="E291" ca="1">IF(OR(B291="",O291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91" s="67" t="str" cm="1">
        <f t="array" aca="1" ref="F291" ca="1">IF(OR(B291="",O291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91" s="67" t="str" cm="1">
        <f t="array" aca="1" ref="G291" ca="1">IF(OR(B291="",O291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91" s="67" t="str" cm="1">
        <f t="array" aca="1" ref="H291" ca="1">IF(OR(B291="",O291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91" s="68" t="str" cm="1">
        <f t="array" aca="1" ref="I291" ca="1">IF(OR(B291="",O291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91" s="68" t="str" cm="1">
        <f t="array" aca="1" ref="J291" ca="1">IF(OR(B291="",O291=""),"",--(SUM(_xlfn.XLOOKUP(_xlfn._xlws.FILTER(_xlfn.TOCOL(_xlfn.CHOOSECOLS(C275:L283,2,4,6,8,10),0,TRUE),_xlfn.TOCOL(_xlfn.CHOOSECOLS(C275:L283,1,3,5,7,9),0,TRUE)&lt;&gt;""),Lists!$AC$2:$AC$9,Lists!$AF$2:$AF$9,0))&gt;SUM(_xlfn.XLOOKUP(_xlfn._xlws.FILTER(_xlfn.TOCOL(_xlfn.CHOOSECOLS(C254:L262,2,4,6,8,10),0,TRUE),_xlfn.TOCOL(_xlfn.CHOOSECOLS(C254:L262,1,3,5,7,9),0,TRUE)&lt;&gt;""),Lists!$AC$2:$AC$9,Lists!$AF$2:$AF$9,0)))*--(ROW()-ROW(C286)=_xlfn.XLOOKUP(MAX(IF(O287:O292&gt;0,INT(C287:C292)*3+MOD(ROUND(C287:C292*10,0),10),-1)),IF(O287:O292&gt;0,INT(C287:C292)*3+MOD(ROUND(C287:C292*10,0),10),-1),_xlfn.SEQUENCE(ROWS(O287:O292)),,0)))</f>
        <v/>
      </c>
      <c r="K291" s="68" t="str" cm="1">
        <f t="array" aca="1" ref="K291" ca="1">IF(OR(B291="",O291=""),"",--(SUM(_xlfn.XLOOKUP(_xlfn._xlws.FILTER(_xlfn.TOCOL(_xlfn.CHOOSECOLS(C275:L283,2,4,6,8,10),0,TRUE),_xlfn.TOCOL(_xlfn.CHOOSECOLS(C275:L283,1,3,5,7,9),0,TRUE)&lt;&gt;""),Lists!$AC$2:$AC$9,Lists!$AF$2:$AF$9,0))&lt;SUM(_xlfn.XLOOKUP(_xlfn._xlws.FILTER(_xlfn.TOCOL(_xlfn.CHOOSECOLS(C254:L262,2,4,6,8,10),0,TRUE),_xlfn.TOCOL(_xlfn.CHOOSECOLS(C254:L262,1,3,5,7,9),0,TRUE)&lt;&gt;""),Lists!$AC$2:$AC$9,Lists!$AF$2:$AF$9,0)))*--(ROW()-ROW(C286)=_xlfn.XLOOKUP(MAX(IF(O287:O292&gt;0,E287:E292,-1)),IF(O287:O292&gt;0,E287:E292,-1),_xlfn.SEQUENCE(ROWS(O287:O292)),,0)))</f>
        <v/>
      </c>
      <c r="L291" s="68" t="str" cm="1">
        <f t="array" aca="1" ref="L291" ca="1">IF(OR(B291="",O291=""),"",--(SUM(_xlfn.XLOOKUP(_xlfn._xlws.FILTER(_xlfn.TOCOL(_xlfn.CHOOSECOLS(C275:L283,2,4,6,8,10),0,TRUE),_xlfn.TOCOL(_xlfn.CHOOSECOLS(C275:L283,1,3,5,7,9),0,TRUE)&lt;&gt;""),Lists!$AC$2:$AC$9,Lists!$AF$2:$AF$9,0))&gt;SUM(_xlfn.XLOOKUP(_xlfn._xlws.FILTER(_xlfn.TOCOL(_xlfn.CHOOSECOLS(C254:L262,2,4,6,8,10),0,TRUE),_xlfn.TOCOL(_xlfn.CHOOSECOLS(C254:L262,1,3,5,7,9),0,TRUE)&lt;&gt;""),Lists!$AC$2:$AC$9,Lists!$AF$2:$AF$9,0)))*--(COUNTIF(O287:O292,"&gt;0")&gt;1)*--(ROW()-ROW(C286)=_xlfn.XLOOKUP(TRUE,O287:O292&gt;0,_xlfn.SEQUENCE(ROWS(O287:O292)),,0,-1))*--(_xlfn.XLOOKUP(TRUE,O287:O292&gt;0,_xlfn.SEQUENCE(ROWS(O287:O292)),,0,-1)&lt;&gt;_xlfn.XLOOKUP(MAX(IF(O287:O292&gt;0,INT(C287:C292)*3+MOD(ROUND(C287:C292*10,0),10),-1)),IF(O287:O292&gt;0,INT(C287:C292)*3+MOD(ROUND(C287:C292*10,0),10),-1),_xlfn.SEQUENCE(ROWS(O287:O292)),,0))*--(SUM(_xlfn.XLOOKUP(_xlfn._xlws.FILTER(_xlfn.TOCOL(_xlfn.CHOOSECOLS(C275:L283,2,4,6,8,10),0,TRUE),_xlfn.TOCOL(_xlfn.CHOOSECOLS(C275:L283,1,3,5,7,9),0,TRUE)&lt;&gt;""),Lists!$AC$2:$AC$9,Lists!$AF$2:$AF$9,0))-SUM(_xlfn.XLOOKUP(_xlfn._xlws.FILTER(_xlfn.TOCOL(_xlfn.CHOOSECOLS(C254:L262,2,4,6,8,10),0,TRUE),_xlfn.TOCOL(_xlfn.CHOOSECOLS(C254:L262,1,3,5,7,9),0,TRUE)&lt;&gt;""),Lists!$AC$2:$AC$9,Lists!$AF$2:$AF$9,0))&lt;=3)*--((INT(C291)*3+MOD(ROUND(C291*10,0),10))&gt;=3))</f>
        <v/>
      </c>
      <c r="M291" s="68" t="str" cm="1">
        <f t="array" aca="1" ref="M291" ca="1">IF(OR(B291="",O291=""),"",--(COUNTIF(O287:O292,"&gt;0")=1)*--(SUM(_xlfn.XLOOKUP(_xlfn._xlws.FILTER(_xlfn.TOCOL(_xlfn.CHOOSECOLS(C254:L262,2,4,6,8,10),0,TRUE),_xlfn.TOCOL(_xlfn.CHOOSECOLS(C254:L262,1,3,5,7,9),0,TRUE)&lt;&gt;""),Lists!$AC$2:$AC$9,Lists!$AF$2:$AF$9,0))=0))</f>
        <v/>
      </c>
      <c r="N291" s="69" t="str">
        <f ca="1">IF(OR(B291="",O291=""),"",--(COUNTIF(O287:O292,"&gt;0")=1))</f>
        <v/>
      </c>
      <c r="O291" s="5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  <c r="CS291" s="18"/>
      <c r="CT291" s="18"/>
      <c r="CU291" s="18"/>
      <c r="CV291" s="18"/>
      <c r="CW291" s="18"/>
      <c r="CX291" s="18"/>
      <c r="CY291" s="18"/>
      <c r="CZ291" s="18"/>
      <c r="DA291" s="18"/>
      <c r="DB291" s="18"/>
      <c r="DC291" s="18"/>
      <c r="DD291" s="18"/>
      <c r="DE291" s="18"/>
      <c r="DF291" s="18"/>
    </row>
    <row r="292" spans="1:110">
      <c r="A292" s="168">
        <v>6</v>
      </c>
      <c r="B292" s="71"/>
      <c r="C292" s="70" t="str" cm="1">
        <f t="array" aca="1" ref="C292" ca="1">IF(OR(B292="",O292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292" s="67" t="str" cm="1">
        <f t="array" aca="1" ref="D292" ca="1">IF(OR(B292="",O292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292" s="67" t="str" cm="1">
        <f t="array" aca="1" ref="E292" ca="1">IF(OR(B292="",O292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292" s="67" t="str" cm="1">
        <f t="array" aca="1" ref="F292" ca="1">IF(OR(B292="",O292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292" s="67" t="str" cm="1">
        <f t="array" aca="1" ref="G292" ca="1">IF(OR(B292="",O292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292" s="67" t="str" cm="1">
        <f t="array" aca="1" ref="H292" ca="1">IF(OR(B292="",O292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292" s="68" t="str" cm="1">
        <f t="array" aca="1" ref="I292" ca="1">IF(OR(B292="",O292=""),"",_xlfn.LET(_xlpm.flatPAraw,_xlfn.TOCOL(_xlfn.CHOOSECOLS(C254:L262,1,3,5,7,9),0,TRUE),_xlpm.flatPARraw,_xlfn.TOCOL(_xlfn.CHOOSECOLS(C254:L262,2,4,6,8,10),0,TRUE),_xlpm.flatPA,_xlfn._xlws.FILTER(_xlpm.flatPAraw,_xlpm.flatPAraw&lt;&gt;""),_xlpm.flatPAR,_xlfn._xlws.FILTER(_xlpm.flatPARraw,_xlpm.flatPAraw&lt;&gt;""),_xlpm.prev,IF(ROW()=ROW(C287),0,SUM(INDEX(O:O,ROW(C287)):INDEX(O:O,ROW()-1))),_xlpm.need,O292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292" s="68" t="str" cm="1">
        <f t="array" aca="1" ref="J292" ca="1">IF(OR(B292="",O292=""),"",--(SUM(_xlfn.XLOOKUP(_xlfn._xlws.FILTER(_xlfn.TOCOL(_xlfn.CHOOSECOLS(C275:L283,2,4,6,8,10),0,TRUE),_xlfn.TOCOL(_xlfn.CHOOSECOLS(C275:L283,1,3,5,7,9),0,TRUE)&lt;&gt;""),Lists!$AC$2:$AC$9,Lists!$AF$2:$AF$9,0))&gt;SUM(_xlfn.XLOOKUP(_xlfn._xlws.FILTER(_xlfn.TOCOL(_xlfn.CHOOSECOLS(C254:L262,2,4,6,8,10),0,TRUE),_xlfn.TOCOL(_xlfn.CHOOSECOLS(C254:L262,1,3,5,7,9),0,TRUE)&lt;&gt;""),Lists!$AC$2:$AC$9,Lists!$AF$2:$AF$9,0)))*--(ROW()-ROW(C286)=_xlfn.XLOOKUP(MAX(IF(O287:O292&gt;0,INT(C287:C292)*3+MOD(ROUND(C287:C292*10,0),10),-1)),IF(O287:O292&gt;0,INT(C287:C292)*3+MOD(ROUND(C287:C292*10,0),10),-1),_xlfn.SEQUENCE(ROWS(O287:O292)),,0)))</f>
        <v/>
      </c>
      <c r="K292" s="68" t="str" cm="1">
        <f t="array" aca="1" ref="K292" ca="1">IF(OR(B292="",O292=""),"",--(SUM(_xlfn.XLOOKUP(_xlfn._xlws.FILTER(_xlfn.TOCOL(_xlfn.CHOOSECOLS(C275:L283,2,4,6,8,10),0,TRUE),_xlfn.TOCOL(_xlfn.CHOOSECOLS(C275:L283,1,3,5,7,9),0,TRUE)&lt;&gt;""),Lists!$AC$2:$AC$9,Lists!$AF$2:$AF$9,0))&lt;SUM(_xlfn.XLOOKUP(_xlfn._xlws.FILTER(_xlfn.TOCOL(_xlfn.CHOOSECOLS(C254:L262,2,4,6,8,10),0,TRUE),_xlfn.TOCOL(_xlfn.CHOOSECOLS(C254:L262,1,3,5,7,9),0,TRUE)&lt;&gt;""),Lists!$AC$2:$AC$9,Lists!$AF$2:$AF$9,0)))*--(ROW()-ROW(C286)=_xlfn.XLOOKUP(MAX(IF(O287:O292&gt;0,E287:E292,-1)),IF(O287:O292&gt;0,E287:E292,-1),_xlfn.SEQUENCE(ROWS(O287:O292)),,0)))</f>
        <v/>
      </c>
      <c r="L292" s="68" t="str" cm="1">
        <f t="array" aca="1" ref="L292" ca="1">IF(OR(B292="",O292=""),"",--(SUM(_xlfn.XLOOKUP(_xlfn._xlws.FILTER(_xlfn.TOCOL(_xlfn.CHOOSECOLS(C275:L283,2,4,6,8,10),0,TRUE),_xlfn.TOCOL(_xlfn.CHOOSECOLS(C275:L283,1,3,5,7,9),0,TRUE)&lt;&gt;""),Lists!$AC$2:$AC$9,Lists!$AF$2:$AF$9,0))&gt;SUM(_xlfn.XLOOKUP(_xlfn._xlws.FILTER(_xlfn.TOCOL(_xlfn.CHOOSECOLS(C254:L262,2,4,6,8,10),0,TRUE),_xlfn.TOCOL(_xlfn.CHOOSECOLS(C254:L262,1,3,5,7,9),0,TRUE)&lt;&gt;""),Lists!$AC$2:$AC$9,Lists!$AF$2:$AF$9,0)))*--(COUNTIF(O287:O292,"&gt;0")&gt;1)*--(ROW()-ROW(C286)=_xlfn.XLOOKUP(TRUE,O287:O292&gt;0,_xlfn.SEQUENCE(ROWS(O287:O292)),,0,-1))*--(_xlfn.XLOOKUP(TRUE,O287:O292&gt;0,_xlfn.SEQUENCE(ROWS(O287:O292)),,0,-1)&lt;&gt;_xlfn.XLOOKUP(MAX(IF(O287:O292&gt;0,INT(C287:C292)*3+MOD(ROUND(C287:C292*10,0),10),-1)),IF(O287:O292&gt;0,INT(C287:C292)*3+MOD(ROUND(C287:C292*10,0),10),-1),_xlfn.SEQUENCE(ROWS(O287:O292)),,0))*--(SUM(_xlfn.XLOOKUP(_xlfn._xlws.FILTER(_xlfn.TOCOL(_xlfn.CHOOSECOLS(C275:L283,2,4,6,8,10),0,TRUE),_xlfn.TOCOL(_xlfn.CHOOSECOLS(C275:L283,1,3,5,7,9),0,TRUE)&lt;&gt;""),Lists!$AC$2:$AC$9,Lists!$AF$2:$AF$9,0))-SUM(_xlfn.XLOOKUP(_xlfn._xlws.FILTER(_xlfn.TOCOL(_xlfn.CHOOSECOLS(C254:L262,2,4,6,8,10),0,TRUE),_xlfn.TOCOL(_xlfn.CHOOSECOLS(C254:L262,1,3,5,7,9),0,TRUE)&lt;&gt;""),Lists!$AC$2:$AC$9,Lists!$AF$2:$AF$9,0))&lt;=3)*--((INT(C292)*3+MOD(ROUND(C292*10,0),10))&gt;=3))</f>
        <v/>
      </c>
      <c r="M292" s="68" t="str" cm="1">
        <f t="array" aca="1" ref="M292" ca="1">IF(OR(B292="",O292=""),"",--(COUNTIF(O287:O292,"&gt;0")=1)*--(SUM(_xlfn.XLOOKUP(_xlfn._xlws.FILTER(_xlfn.TOCOL(_xlfn.CHOOSECOLS(C254:L262,2,4,6,8,10),0,TRUE),_xlfn.TOCOL(_xlfn.CHOOSECOLS(C254:L262,1,3,5,7,9),0,TRUE)&lt;&gt;""),Lists!$AC$2:$AC$9,Lists!$AF$2:$AF$9,0))=0))</f>
        <v/>
      </c>
      <c r="N292" s="69" t="str">
        <f ca="1">IF(OR(B292="",O292=""),"",--(COUNTIF(O287:O292,"&gt;0")=1))</f>
        <v/>
      </c>
      <c r="O292" s="5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  <c r="CS292" s="18"/>
      <c r="CT292" s="18"/>
      <c r="CU292" s="18"/>
      <c r="CV292" s="18"/>
      <c r="CW292" s="18"/>
      <c r="CX292" s="18"/>
      <c r="CY292" s="18"/>
      <c r="CZ292" s="18"/>
      <c r="DA292" s="18"/>
      <c r="DB292" s="18"/>
      <c r="DC292" s="18"/>
      <c r="DD292" s="18"/>
      <c r="DE292" s="18"/>
      <c r="DF292" s="18"/>
    </row>
    <row r="293" spans="1:110">
      <c r="A293" s="173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  <c r="CU293" s="18"/>
      <c r="CV293" s="18"/>
      <c r="CW293" s="18"/>
      <c r="CX293" s="18"/>
      <c r="CY293" s="18"/>
      <c r="CZ293" s="18"/>
      <c r="DA293" s="18"/>
      <c r="DB293" s="18"/>
      <c r="DC293" s="18"/>
      <c r="DD293" s="18"/>
      <c r="DE293" s="18"/>
      <c r="DF293" s="18"/>
    </row>
    <row r="294" spans="1:110">
      <c r="A294" s="174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  <c r="CS294" s="18"/>
      <c r="CT294" s="18"/>
      <c r="CU294" s="18"/>
      <c r="CV294" s="18"/>
      <c r="CW294" s="18"/>
      <c r="CX294" s="18"/>
      <c r="CY294" s="18"/>
      <c r="CZ294" s="18"/>
      <c r="DA294" s="18"/>
      <c r="DB294" s="18"/>
      <c r="DC294" s="18"/>
      <c r="DD294" s="18"/>
      <c r="DE294" s="18"/>
      <c r="DF294" s="18"/>
    </row>
    <row r="295" spans="1:110">
      <c r="A295" s="217" t="s">
        <v>210</v>
      </c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9"/>
      <c r="N295" s="207"/>
      <c r="O295" s="36"/>
      <c r="P295" s="37"/>
      <c r="Q295" s="38"/>
      <c r="R295" s="38"/>
      <c r="S295" s="38"/>
      <c r="T295" s="38"/>
      <c r="U295" s="38"/>
      <c r="V295" s="38"/>
      <c r="W295" s="38"/>
      <c r="X295" s="3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  <c r="CS295" s="18"/>
      <c r="CT295" s="18"/>
      <c r="CU295" s="18"/>
      <c r="CV295" s="18"/>
      <c r="CW295" s="18"/>
      <c r="CX295" s="18"/>
      <c r="CY295" s="18"/>
      <c r="CZ295" s="18"/>
      <c r="DA295" s="18"/>
      <c r="DB295" s="18"/>
      <c r="DC295" s="18"/>
      <c r="DD295" s="18"/>
      <c r="DE295" s="18"/>
      <c r="DF295" s="18"/>
    </row>
    <row r="296" spans="1:110">
      <c r="A296" s="169" t="s">
        <v>33</v>
      </c>
      <c r="B296" s="40">
        <f>Settings!$B$2</f>
        <v>1</v>
      </c>
      <c r="C296" s="41"/>
      <c r="D296" s="40" t="s">
        <v>95</v>
      </c>
      <c r="E296" s="41"/>
      <c r="F296" s="40" t="str">
        <f>Bracket!$F$12</f>
        <v>G7</v>
      </c>
      <c r="G296" s="41"/>
      <c r="H296" s="40" t="s">
        <v>97</v>
      </c>
      <c r="I296" s="41"/>
      <c r="J296" s="40" t="str">
        <f>Bracket!$G$12</f>
        <v>Losers R2-1</v>
      </c>
      <c r="K296" s="41"/>
      <c r="L296" s="40" t="s">
        <v>134</v>
      </c>
      <c r="M296" s="24"/>
      <c r="N296" s="24" t="str">
        <f ca="1">Bracket!$H$12</f>
        <v>May</v>
      </c>
      <c r="O296" s="24"/>
      <c r="P296" s="18"/>
      <c r="Q296" s="18"/>
      <c r="R296" s="18" t="s">
        <v>19</v>
      </c>
      <c r="S296" s="18"/>
      <c r="T296" s="18"/>
      <c r="U296" s="18"/>
      <c r="V296" s="18" t="str">
        <f ca="1">Bracket!$L$12</f>
        <v>May</v>
      </c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  <c r="CV296" s="18"/>
      <c r="CW296" s="18"/>
      <c r="CX296" s="18"/>
      <c r="CY296" s="18"/>
      <c r="CZ296" s="18"/>
      <c r="DA296" s="18"/>
      <c r="DB296" s="18"/>
      <c r="DC296" s="18"/>
      <c r="DD296" s="18"/>
      <c r="DE296" s="18"/>
      <c r="DF296" s="18"/>
    </row>
    <row r="297" spans="1:110">
      <c r="A297" s="170" t="s">
        <v>160</v>
      </c>
      <c r="B297" s="72">
        <v>1</v>
      </c>
      <c r="C297" s="72">
        <v>2</v>
      </c>
      <c r="D297" s="72">
        <v>3</v>
      </c>
      <c r="E297" s="72">
        <v>4</v>
      </c>
      <c r="F297" s="72">
        <v>5</v>
      </c>
      <c r="G297" s="72">
        <v>6</v>
      </c>
      <c r="H297" s="72">
        <v>7</v>
      </c>
      <c r="I297" s="73">
        <v>8</v>
      </c>
      <c r="J297" s="73">
        <v>9</v>
      </c>
      <c r="K297" s="73" t="s">
        <v>161</v>
      </c>
      <c r="L297" s="73" t="s">
        <v>162</v>
      </c>
      <c r="M297" s="74" t="s">
        <v>163</v>
      </c>
      <c r="N297" s="24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  <c r="CV297" s="18"/>
      <c r="CW297" s="18"/>
      <c r="CX297" s="18"/>
      <c r="CY297" s="18"/>
      <c r="CZ297" s="18"/>
      <c r="DA297" s="18"/>
      <c r="DB297" s="18"/>
      <c r="DC297" s="18"/>
      <c r="DD297" s="18"/>
      <c r="DE297" s="18"/>
      <c r="DF297" s="18"/>
    </row>
    <row r="298" spans="1:110">
      <c r="A298" s="171" t="str">
        <f ca="1">N296</f>
        <v>May</v>
      </c>
      <c r="B298" s="75" cm="1">
        <f t="array" aca="1" ref="B298" ca="1">IFERROR(_xlfn.LET(_xlpm.flatPAraw,_xlfn.TOCOL(_xlfn.CHOOSECOLS(C303:L311,1,3,5,7,9),0,TRUE),_xlpm.flatPARraw,_xlfn.TOCOL(_xlfn.CHOOSECOLS(C303:L311,2,4,6,8,10)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1</v>
      </c>
      <c r="C298" s="75" cm="1">
        <f t="array" aca="1" ref="C298" ca="1">IFERROR(_xlfn.LET(_xlpm.flatPAraw,_xlfn.TOCOL(_xlfn.CHOOSECOLS(C303:L311,1,3,5,7,9),0,TRUE),_xlpm.flatPARraw,_xlfn.TOCOL(_xlfn.CHOOSECOLS(C303:L311,2,4,6,8,10)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298" s="75" cm="1">
        <f t="array" aca="1" ref="D298" ca="1">IFERROR(_xlfn.LET(_xlpm.flatPAraw,_xlfn.TOCOL(_xlfn.CHOOSECOLS(C303:L311,1,3,5,7,9),0,TRUE),_xlpm.flatPARraw,_xlfn.TOCOL(_xlfn.CHOOSECOLS(C303:L311,2,4,6,8,10)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298" s="75" cm="1">
        <f t="array" aca="1" ref="E298" ca="1">IFERROR(_xlfn.LET(_xlpm.flatPAraw,_xlfn.TOCOL(_xlfn.CHOOSECOLS(C303:L311,1,3,5,7,9),0,TRUE),_xlpm.flatPARraw,_xlfn.TOCOL(_xlfn.CHOOSECOLS(C303:L311,2,4,6,8,10)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298" s="75" cm="1">
        <f t="array" aca="1" ref="F298" ca="1">IFERROR(_xlfn.LET(_xlpm.flatPAraw,_xlfn.TOCOL(_xlfn.CHOOSECOLS(C303:L311,1,3,5,7,9),0,TRUE),_xlpm.flatPARraw,_xlfn.TOCOL(_xlfn.CHOOSECOLS(C303:L311,2,4,6,8,10)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298" s="75" cm="1">
        <f t="array" aca="1" ref="G298" ca="1">IFERROR(_xlfn.LET(_xlpm.flatPAraw,_xlfn.TOCOL(_xlfn.CHOOSECOLS(C303:L311,1,3,5,7,9),0,TRUE),_xlpm.flatPARraw,_xlfn.TOCOL(_xlfn.CHOOSECOLS(C303:L311,2,4,6,8,10)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298" s="75" cm="1">
        <f t="array" aca="1" ref="H298" ca="1">IFERROR(_xlfn.LET(_xlpm.flatPAraw,_xlfn.TOCOL(_xlfn.CHOOSECOLS(C303:L311,1,3,5,7,9),0,TRUE),_xlpm.flatPARraw,_xlfn.TOCOL(_xlfn.CHOOSECOLS(C303:L311,2,4,6,8,10)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298" s="76" cm="1">
        <f t="array" aca="1" ref="I298" ca="1">IFERROR(_xlfn.LET(_xlpm.flatPAraw,_xlfn.TOCOL(_xlfn.CHOOSECOLS(C303:L311,1,3,5,7,9),0,TRUE),_xlpm.flatPARraw,_xlfn.TOCOL(_xlfn.CHOOSECOLS(C303:L311,2,4,6,8,10)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298" s="76" cm="1">
        <f t="array" aca="1" ref="J298" ca="1">IFERROR(_xlfn.LET(_xlpm.flatPAraw,_xlfn.TOCOL(_xlfn.CHOOSECOLS(C303:L311,1,3,5,7,9),0,TRUE),_xlpm.flatPARraw,_xlfn.TOCOL(_xlfn.CHOOSECOLS(C303:L311,2,4,6,8,10)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298" s="164">
        <f ca="1">SUM(B298:J298)</f>
        <v>1</v>
      </c>
      <c r="L298" s="77">
        <f ca="1">SUM(O303:O311)</f>
        <v>1</v>
      </c>
      <c r="M298" s="78">
        <f ca="1">COUNTIF(C324:L332,"ROE")</f>
        <v>0</v>
      </c>
      <c r="N298" s="24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  <c r="CU298" s="18"/>
      <c r="CV298" s="18"/>
      <c r="CW298" s="18"/>
      <c r="CX298" s="18"/>
      <c r="CY298" s="18"/>
      <c r="CZ298" s="18"/>
      <c r="DA298" s="18"/>
      <c r="DB298" s="18"/>
      <c r="DC298" s="18"/>
      <c r="DD298" s="18"/>
      <c r="DE298" s="18"/>
      <c r="DF298" s="18"/>
    </row>
    <row r="299" spans="1:110">
      <c r="A299" s="172" t="str">
        <f ca="1">R296</f>
        <v>Donovan</v>
      </c>
      <c r="B299" s="79" cm="1">
        <f t="array" aca="1" ref="B299" ca="1">IFERROR(_xlfn.LET(_xlpm.flatPAraw,_xlfn.TOCOL(_xlfn.CHOOSECOLS(C324:L332,1,3,5,7,9),0,TRUE),_xlpm.flatPARraw,_xlfn.TOCOL(_xlfn.CHOOSECOLS(C324:L332,2,4,6,8,10)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299" s="79" cm="1">
        <f t="array" aca="1" ref="C299" ca="1">IFERROR(_xlfn.LET(_xlpm.flatPAraw,_xlfn.TOCOL(_xlfn.CHOOSECOLS(C324:L332,1,3,5,7,9),0,TRUE),_xlpm.flatPARraw,_xlfn.TOCOL(_xlfn.CHOOSECOLS(C324:L332,2,4,6,8,10)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299" s="79" cm="1">
        <f t="array" aca="1" ref="D299" ca="1">IFERROR(_xlfn.LET(_xlpm.flatPAraw,_xlfn.TOCOL(_xlfn.CHOOSECOLS(C324:L332,1,3,5,7,9),0,TRUE),_xlpm.flatPARraw,_xlfn.TOCOL(_xlfn.CHOOSECOLS(C324:L332,2,4,6,8,10)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299" s="79" cm="1">
        <f t="array" aca="1" ref="E299" ca="1">IFERROR(_xlfn.LET(_xlpm.flatPAraw,_xlfn.TOCOL(_xlfn.CHOOSECOLS(C324:L332,1,3,5,7,9),0,TRUE),_xlpm.flatPARraw,_xlfn.TOCOL(_xlfn.CHOOSECOLS(C324:L332,2,4,6,8,10)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299" s="79" cm="1">
        <f t="array" aca="1" ref="F299" ca="1">IFERROR(_xlfn.LET(_xlpm.flatPAraw,_xlfn.TOCOL(_xlfn.CHOOSECOLS(C324:L332,1,3,5,7,9),0,TRUE),_xlpm.flatPARraw,_xlfn.TOCOL(_xlfn.CHOOSECOLS(C324:L332,2,4,6,8,10)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299" s="79" cm="1">
        <f t="array" aca="1" ref="G299" ca="1">IFERROR(_xlfn.LET(_xlpm.flatPAraw,_xlfn.TOCOL(_xlfn.CHOOSECOLS(C324:L332,1,3,5,7,9),0,TRUE),_xlpm.flatPARraw,_xlfn.TOCOL(_xlfn.CHOOSECOLS(C324:L332,2,4,6,8,10)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299" s="79" cm="1">
        <f t="array" aca="1" ref="H299" ca="1">IFERROR(_xlfn.LET(_xlpm.flatPAraw,_xlfn.TOCOL(_xlfn.CHOOSECOLS(C324:L332,1,3,5,7,9),0,TRUE),_xlpm.flatPARraw,_xlfn.TOCOL(_xlfn.CHOOSECOLS(C324:L332,2,4,6,8,10)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299" s="80" cm="1">
        <f t="array" aca="1" ref="I299" ca="1">IFERROR(_xlfn.LET(_xlpm.flatPAraw,_xlfn.TOCOL(_xlfn.CHOOSECOLS(C324:L332,1,3,5,7,9),0,TRUE),_xlpm.flatPARraw,_xlfn.TOCOL(_xlfn.CHOOSECOLS(C324:L332,2,4,6,8,10)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299" s="80" cm="1">
        <f t="array" aca="1" ref="J299" ca="1">IFERROR(_xlfn.LET(_xlpm.flatPAraw,_xlfn.TOCOL(_xlfn.CHOOSECOLS(C324:L332,1,3,5,7,9),0,TRUE),_xlpm.flatPARraw,_xlfn.TOCOL(_xlfn.CHOOSECOLS(C324:L332,2,4,6,8,10)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299" s="165">
        <f ca="1">SUM(B299:J299)</f>
        <v>0</v>
      </c>
      <c r="L299" s="81">
        <f ca="1">SUM(O324:O332)</f>
        <v>1</v>
      </c>
      <c r="M299" s="82">
        <f ca="1">COUNTIF(C303:L311,"ROE")</f>
        <v>0</v>
      </c>
      <c r="N299" s="24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  <c r="CS299" s="18"/>
      <c r="CT299" s="18"/>
      <c r="CU299" s="18"/>
      <c r="CV299" s="18"/>
      <c r="CW299" s="18"/>
      <c r="CX299" s="18"/>
      <c r="CY299" s="18"/>
      <c r="CZ299" s="18"/>
      <c r="DA299" s="18"/>
      <c r="DB299" s="18"/>
      <c r="DC299" s="18"/>
      <c r="DD299" s="18"/>
      <c r="DE299" s="18"/>
      <c r="DF299" s="18"/>
    </row>
    <row r="300" spans="1:110">
      <c r="A300" s="173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  <c r="CS300" s="18"/>
      <c r="CT300" s="18"/>
      <c r="CU300" s="18"/>
      <c r="CV300" s="18"/>
      <c r="CW300" s="18"/>
      <c r="CX300" s="18"/>
      <c r="CY300" s="18"/>
      <c r="CZ300" s="18"/>
      <c r="DA300" s="18"/>
      <c r="DB300" s="18"/>
      <c r="DC300" s="18"/>
      <c r="DD300" s="18"/>
      <c r="DE300" s="18"/>
      <c r="DF300" s="18"/>
    </row>
    <row r="301" spans="1:110">
      <c r="A301" s="205" t="str">
        <f ca="1">IF($N$296="","Team A Batting",$N$296&amp;" Batting")</f>
        <v>May Batting</v>
      </c>
      <c r="B301" s="206"/>
      <c r="C301" s="206"/>
      <c r="D301" s="206"/>
      <c r="E301" s="206"/>
      <c r="F301" s="206"/>
      <c r="G301" s="206"/>
      <c r="H301" s="206"/>
      <c r="I301" s="206"/>
      <c r="J301" s="206"/>
      <c r="K301" s="206"/>
      <c r="L301" s="206"/>
      <c r="M301" s="206"/>
      <c r="N301" s="206"/>
      <c r="O301" s="181"/>
      <c r="P301" s="182"/>
      <c r="Q301" s="182"/>
      <c r="R301" s="182"/>
      <c r="S301" s="182"/>
      <c r="T301" s="182"/>
      <c r="U301" s="182"/>
      <c r="V301" s="182"/>
      <c r="W301" s="182"/>
      <c r="X301" s="182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  <c r="CS301" s="18"/>
      <c r="CT301" s="18"/>
      <c r="CU301" s="18"/>
      <c r="CV301" s="18"/>
      <c r="CW301" s="18"/>
      <c r="CX301" s="18"/>
      <c r="CY301" s="18"/>
      <c r="CZ301" s="18"/>
      <c r="DA301" s="18"/>
      <c r="DB301" s="18"/>
      <c r="DC301" s="18"/>
      <c r="DD301" s="18"/>
      <c r="DE301" s="18"/>
      <c r="DF301" s="18"/>
    </row>
    <row r="302" spans="1:110">
      <c r="A302" s="167" t="s">
        <v>164</v>
      </c>
      <c r="B302" s="43" t="s">
        <v>39</v>
      </c>
      <c r="C302" s="43" t="s">
        <v>165</v>
      </c>
      <c r="D302" s="43" t="s">
        <v>166</v>
      </c>
      <c r="E302" s="43" t="s">
        <v>167</v>
      </c>
      <c r="F302" s="43" t="s">
        <v>168</v>
      </c>
      <c r="G302" s="43" t="s">
        <v>169</v>
      </c>
      <c r="H302" s="43" t="s">
        <v>170</v>
      </c>
      <c r="I302" s="43" t="s">
        <v>171</v>
      </c>
      <c r="J302" s="43" t="s">
        <v>172</v>
      </c>
      <c r="K302" s="43" t="s">
        <v>173</v>
      </c>
      <c r="L302" s="43" t="s">
        <v>174</v>
      </c>
      <c r="M302" s="43" t="s">
        <v>175</v>
      </c>
      <c r="N302" s="44" t="s">
        <v>161</v>
      </c>
      <c r="O302" s="44" t="s">
        <v>162</v>
      </c>
      <c r="P302" s="44" t="s">
        <v>176</v>
      </c>
      <c r="Q302" s="44" t="s">
        <v>177</v>
      </c>
      <c r="R302" s="44" t="s">
        <v>178</v>
      </c>
      <c r="S302" s="44" t="s">
        <v>179</v>
      </c>
      <c r="T302" s="44" t="s">
        <v>180</v>
      </c>
      <c r="U302" s="44" t="s">
        <v>181</v>
      </c>
      <c r="V302" s="44" t="s">
        <v>182</v>
      </c>
      <c r="W302" s="44" t="s">
        <v>183</v>
      </c>
      <c r="X302" s="45" t="s">
        <v>184</v>
      </c>
      <c r="Y302" s="45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  <c r="CS302" s="18"/>
      <c r="CT302" s="18"/>
      <c r="CU302" s="18"/>
      <c r="CV302" s="18"/>
      <c r="CW302" s="18"/>
      <c r="CX302" s="18"/>
      <c r="CY302" s="18"/>
      <c r="CZ302" s="18"/>
      <c r="DA302" s="18"/>
      <c r="DB302" s="18"/>
      <c r="DC302" s="18"/>
      <c r="DD302" s="18"/>
      <c r="DE302" s="18"/>
      <c r="DF302" s="18"/>
    </row>
    <row r="303" spans="1:110">
      <c r="A303" s="168">
        <v>1</v>
      </c>
      <c r="B303" s="47" t="str">
        <f ca="1">Lineups!$C$89</f>
        <v>Birdo</v>
      </c>
      <c r="C303" s="48" t="s">
        <v>189</v>
      </c>
      <c r="D303" s="49"/>
      <c r="E303" s="49"/>
      <c r="F303" s="49"/>
      <c r="G303" s="49"/>
      <c r="H303" s="50"/>
      <c r="I303" s="50"/>
      <c r="J303" s="50"/>
      <c r="K303" s="50"/>
      <c r="L303" s="50"/>
      <c r="M303" s="67">
        <f ca="1">IF($B303="","",SUM(_xlfn.XLOOKUP(C303,Lists!$P$2:$P$19,Lists!$R$2:$R$19,0),_xlfn.XLOOKUP(E303,Lists!$P$2:$P$19,Lists!$R$2:$R$19,0),_xlfn.XLOOKUP(G303,Lists!$P$2:$P$19,Lists!$R$2:$R$19,0),_xlfn.XLOOKUP(I303,Lists!$P$2:$P$19,Lists!$R$2:$R$19,0),_xlfn.XLOOKUP(K303,Lists!$P$2:$P$19,Lists!$R$2:$R$19,0)))</f>
        <v>1</v>
      </c>
      <c r="N303" s="68">
        <f ca="1">IF($B303="","",SUM(_xlfn.XLOOKUP(D303,Lists!$AC$2:$AC$9,Lists!$AE$2:$AE$9,0),_xlfn.XLOOKUP(F303,Lists!$AC$2:$AC$9,Lists!$AE$2:$AE$9,0),_xlfn.XLOOKUP(H303,Lists!$AC$2:$AC$9,Lists!$AE$2:$AE$9,0),_xlfn.XLOOKUP(J303,Lists!$AC$2:$AC$9,Lists!$AE$2:$AE$9,0),_xlfn.XLOOKUP(L303,Lists!$AC$2:$AC$9,Lists!$AE$2:$AE$9,0)))</f>
        <v>0</v>
      </c>
      <c r="O303" s="68">
        <f ca="1">IF($B303="","",SUM(_xlfn.XLOOKUP(C303,Lists!$P$2:$P$19,Lists!$S$2:$S$19,0),_xlfn.XLOOKUP(E303,Lists!$P$2:$P$19,Lists!$S$2:$S$19,0),_xlfn.XLOOKUP(G303,Lists!$P$2:$P$19,Lists!$S$2:$S$19,0),_xlfn.XLOOKUP(I303,Lists!$P$2:$P$19,Lists!$S$2:$S$19,0),_xlfn.XLOOKUP(K303,Lists!$P$2:$P$19,Lists!$S$2:$S$19,0)))</f>
        <v>0</v>
      </c>
      <c r="P303" s="68">
        <f ca="1">IF($B303="","",SUM(_xlfn.XLOOKUP(C303,Lists!$P$2:$P$19,Lists!$T$2:$T$19,0),_xlfn.XLOOKUP(E303,Lists!$P$2:$P$19,Lists!$T$2:$T$19,0),_xlfn.XLOOKUP(G303,Lists!$P$2:$P$19,Lists!$T$2:$T$19,0),_xlfn.XLOOKUP(I303,Lists!$P$2:$P$19,Lists!$T$2:$T$19,0),_xlfn.XLOOKUP(K303,Lists!$P$2:$P$19,Lists!$T$2:$T$19,0)))</f>
        <v>0</v>
      </c>
      <c r="Q303" s="68">
        <f ca="1">IF($B303="","",SUM(_xlfn.XLOOKUP(C303,Lists!$P$2:$P$19,Lists!$U$2:$U$19,0),_xlfn.XLOOKUP(E303,Lists!$P$2:$P$19,Lists!$U$2:$U$19,0),_xlfn.XLOOKUP(G303,Lists!$P$2:$P$19,Lists!$U$2:$U$19,0),_xlfn.XLOOKUP(I303,Lists!$P$2:$P$19,Lists!$U$2:$U$19,0),_xlfn.XLOOKUP(K303,Lists!$P$2:$P$19,Lists!$U$2:$U$19,0)))</f>
        <v>0</v>
      </c>
      <c r="R303" s="68">
        <f ca="1">IF($B303="","",SUM(_xlfn.XLOOKUP(C303,Lists!$P$2:$P$19,Lists!$V$2:$V$19,0),_xlfn.XLOOKUP(E303,Lists!$P$2:$P$19,Lists!$V$2:$V$19,0),_xlfn.XLOOKUP(G303,Lists!$P$2:$P$19,Lists!$V$2:$V$19,0),_xlfn.XLOOKUP(I303,Lists!$P$2:$P$19,Lists!$V$2:$V$19,0),_xlfn.XLOOKUP(K303,Lists!$P$2:$P$19,Lists!$V$2:$V$19,0)))</f>
        <v>0</v>
      </c>
      <c r="S303" s="68">
        <f ca="1">IF($B303="","",SUM(_xlfn.XLOOKUP(D303,Lists!$AC$2:$AC$9,Lists!$AD$2:$AD$9,0),_xlfn.XLOOKUP(F303,Lists!$AC$2:$AC$9,Lists!$AD$2:$AD$9,0),_xlfn.XLOOKUP(H303,Lists!$AC$2:$AC$9,Lists!$AD$2:$AD$9,0),_xlfn.XLOOKUP(J303,Lists!$AC$2:$AC$9,Lists!$AD$2:$AD$9,0),_xlfn.XLOOKUP(L303,Lists!$AC$2:$AC$9,Lists!$AD$2:$AD$9,0)))</f>
        <v>0</v>
      </c>
      <c r="T303" s="68">
        <f ca="1">IF($B303="","",SUM(_xlfn.XLOOKUP(C303,Lists!$P$2:$P$19,Lists!$W$2:$W$19,0),_xlfn.XLOOKUP(E303,Lists!$P$2:$P$19,Lists!$W$2:$W$19,0),_xlfn.XLOOKUP(G303,Lists!$P$2:$P$19,Lists!$W$2:$W$19,0),_xlfn.XLOOKUP(I303,Lists!$P$2:$P$19,Lists!$W$2:$W$19,0),_xlfn.XLOOKUP(K303,Lists!$P$2:$P$19,Lists!$W$2:$W$19,0)))</f>
        <v>0</v>
      </c>
      <c r="U303" s="68">
        <f ca="1">IF($B303="","",SUM(_xlfn.XLOOKUP(C303,Lists!$P$2:$P$19,Lists!$X$2:$X$19,0),_xlfn.XLOOKUP(E303,Lists!$P$2:$P$19,Lists!$X$2:$X$19,0),_xlfn.XLOOKUP(G303,Lists!$P$2:$P$19,Lists!$X$2:$X$19,0),_xlfn.XLOOKUP(I303,Lists!$P$2:$P$19,Lists!$X$2:$X$19,0),_xlfn.XLOOKUP(K303,Lists!$P$2:$P$19,Lists!$X$2:$X$19,0)))</f>
        <v>0</v>
      </c>
      <c r="V303" s="68">
        <f ca="1">IF($B303="","",SUM(_xlfn.XLOOKUP(C303,Lists!$P$2:$P$19,Lists!$Y$2:$Y$19,0),_xlfn.XLOOKUP(E303,Lists!$P$2:$P$19,Lists!$Y$2:$Y$19,0),_xlfn.XLOOKUP(G303,Lists!$P$2:$P$19,Lists!$Y$2:$Y$19,0),_xlfn.XLOOKUP(I303,Lists!$P$2:$P$19,Lists!$Y$2:$Y$19,0),_xlfn.XLOOKUP(K303,Lists!$P$2:$P$19,Lists!$Y$2:$Y$19,0)))</f>
        <v>0</v>
      </c>
      <c r="W303" s="68">
        <f ca="1">IF($B303="","",SUM(_xlfn.XLOOKUP(C303,Lists!$P$2:$P$19,Lists!$Z$2:$Z$19,0),_xlfn.XLOOKUP(E303,Lists!$P$2:$P$19,Lists!$Z$2:$Z$19,0),_xlfn.XLOOKUP(G303,Lists!$P$2:$P$19,Lists!$Z$2:$Z$19,0),_xlfn.XLOOKUP(I303,Lists!$P$2:$P$19,Lists!$Z$2:$Z$19,0),_xlfn.XLOOKUP(K303,Lists!$P$2:$P$19,Lists!$Z$2:$Z$19,0)))</f>
        <v>0</v>
      </c>
      <c r="X303" s="69">
        <f ca="1">IF($B303="","",SUM(_xlfn.XLOOKUP(C303,Lists!$P$2:$P$19,Lists!$AA$2:$AA$19,0),_xlfn.XLOOKUP(E303,Lists!$P$2:$P$19,Lists!$AA$2:$AA$19,0),_xlfn.XLOOKUP(G303,Lists!$P$2:$P$19,Lists!$AA$2:$AA$19,0),_xlfn.XLOOKUP(I303,Lists!$P$2:$P$19,Lists!$AA$2:$AA$19,0),_xlfn.XLOOKUP(K303,Lists!$P$2:$P$19,Lists!$AA$2:$AA$19,0)))</f>
        <v>0</v>
      </c>
      <c r="Y303" s="4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  <c r="CV303" s="18"/>
      <c r="CW303" s="18"/>
      <c r="CX303" s="18"/>
      <c r="CY303" s="18"/>
      <c r="CZ303" s="18"/>
      <c r="DA303" s="18"/>
      <c r="DB303" s="18"/>
      <c r="DC303" s="18"/>
      <c r="DD303" s="18"/>
      <c r="DE303" s="18"/>
      <c r="DF303" s="18"/>
    </row>
    <row r="304" spans="1:110">
      <c r="A304" s="168">
        <v>2</v>
      </c>
      <c r="B304" s="47" t="str">
        <f ca="1">Lineups!$C$90</f>
        <v>King Boo</v>
      </c>
      <c r="C304" s="49" t="s">
        <v>178</v>
      </c>
      <c r="D304" s="49" t="s">
        <v>190</v>
      </c>
      <c r="E304" s="49"/>
      <c r="F304" s="49"/>
      <c r="G304" s="49"/>
      <c r="H304" s="50"/>
      <c r="I304" s="50"/>
      <c r="J304" s="50"/>
      <c r="K304" s="50"/>
      <c r="L304" s="50"/>
      <c r="M304" s="67">
        <f ca="1">IF($B304="","",SUM(_xlfn.XLOOKUP(C304,Lists!$P$2:$P$19,Lists!$R$2:$R$19,0),_xlfn.XLOOKUP(E304,Lists!$P$2:$P$19,Lists!$R$2:$R$19,0),_xlfn.XLOOKUP(G304,Lists!$P$2:$P$19,Lists!$R$2:$R$19,0),_xlfn.XLOOKUP(I304,Lists!$P$2:$P$19,Lists!$R$2:$R$19,0),_xlfn.XLOOKUP(K304,Lists!$P$2:$P$19,Lists!$R$2:$R$19,0)))</f>
        <v>1</v>
      </c>
      <c r="N304" s="68">
        <f ca="1">IF($B304="","",SUM(_xlfn.XLOOKUP(D304,Lists!$AC$2:$AC$9,Lists!$AE$2:$AE$9,0),_xlfn.XLOOKUP(F304,Lists!$AC$2:$AC$9,Lists!$AE$2:$AE$9,0),_xlfn.XLOOKUP(H304,Lists!$AC$2:$AC$9,Lists!$AE$2:$AE$9,0),_xlfn.XLOOKUP(J304,Lists!$AC$2:$AC$9,Lists!$AE$2:$AE$9,0),_xlfn.XLOOKUP(L304,Lists!$AC$2:$AC$9,Lists!$AE$2:$AE$9,0)))</f>
        <v>1</v>
      </c>
      <c r="O304" s="68">
        <f ca="1">IF($B304="","",SUM(_xlfn.XLOOKUP(C304,Lists!$P$2:$P$19,Lists!$S$2:$S$19,0),_xlfn.XLOOKUP(E304,Lists!$P$2:$P$19,Lists!$S$2:$S$19,0),_xlfn.XLOOKUP(G304,Lists!$P$2:$P$19,Lists!$S$2:$S$19,0),_xlfn.XLOOKUP(I304,Lists!$P$2:$P$19,Lists!$S$2:$S$19,0),_xlfn.XLOOKUP(K304,Lists!$P$2:$P$19,Lists!$S$2:$S$19,0)))</f>
        <v>1</v>
      </c>
      <c r="P304" s="68">
        <f ca="1">IF($B304="","",SUM(_xlfn.XLOOKUP(C304,Lists!$P$2:$P$19,Lists!$T$2:$T$19,0),_xlfn.XLOOKUP(E304,Lists!$P$2:$P$19,Lists!$T$2:$T$19,0),_xlfn.XLOOKUP(G304,Lists!$P$2:$P$19,Lists!$T$2:$T$19,0),_xlfn.XLOOKUP(I304,Lists!$P$2:$P$19,Lists!$T$2:$T$19,0),_xlfn.XLOOKUP(K304,Lists!$P$2:$P$19,Lists!$T$2:$T$19,0)))</f>
        <v>0</v>
      </c>
      <c r="Q304" s="68">
        <f ca="1">IF($B304="","",SUM(_xlfn.XLOOKUP(C304,Lists!$P$2:$P$19,Lists!$U$2:$U$19,0),_xlfn.XLOOKUP(E304,Lists!$P$2:$P$19,Lists!$U$2:$U$19,0),_xlfn.XLOOKUP(G304,Lists!$P$2:$P$19,Lists!$U$2:$U$19,0),_xlfn.XLOOKUP(I304,Lists!$P$2:$P$19,Lists!$U$2:$U$19,0),_xlfn.XLOOKUP(K304,Lists!$P$2:$P$19,Lists!$U$2:$U$19,0)))</f>
        <v>0</v>
      </c>
      <c r="R304" s="68">
        <f ca="1">IF($B304="","",SUM(_xlfn.XLOOKUP(C304,Lists!$P$2:$P$19,Lists!$V$2:$V$19,0),_xlfn.XLOOKUP(E304,Lists!$P$2:$P$19,Lists!$V$2:$V$19,0),_xlfn.XLOOKUP(G304,Lists!$P$2:$P$19,Lists!$V$2:$V$19,0),_xlfn.XLOOKUP(I304,Lists!$P$2:$P$19,Lists!$V$2:$V$19,0),_xlfn.XLOOKUP(K304,Lists!$P$2:$P$19,Lists!$V$2:$V$19,0)))</f>
        <v>1</v>
      </c>
      <c r="S304" s="68">
        <f ca="1">IF($B304="","",SUM(_xlfn.XLOOKUP(D304,Lists!$AC$2:$AC$9,Lists!$AD$2:$AD$9,0),_xlfn.XLOOKUP(F304,Lists!$AC$2:$AC$9,Lists!$AD$2:$AD$9,0),_xlfn.XLOOKUP(H304,Lists!$AC$2:$AC$9,Lists!$AD$2:$AD$9,0),_xlfn.XLOOKUP(J304,Lists!$AC$2:$AC$9,Lists!$AD$2:$AD$9,0),_xlfn.XLOOKUP(L304,Lists!$AC$2:$AC$9,Lists!$AD$2:$AD$9,0)))</f>
        <v>1</v>
      </c>
      <c r="T304" s="68">
        <f ca="1">IF($B304="","",SUM(_xlfn.XLOOKUP(C304,Lists!$P$2:$P$19,Lists!$W$2:$W$19,0),_xlfn.XLOOKUP(E304,Lists!$P$2:$P$19,Lists!$W$2:$W$19,0),_xlfn.XLOOKUP(G304,Lists!$P$2:$P$19,Lists!$W$2:$W$19,0),_xlfn.XLOOKUP(I304,Lists!$P$2:$P$19,Lists!$W$2:$W$19,0),_xlfn.XLOOKUP(K304,Lists!$P$2:$P$19,Lists!$W$2:$W$19,0)))</f>
        <v>0</v>
      </c>
      <c r="U304" s="68">
        <f ca="1">IF($B304="","",SUM(_xlfn.XLOOKUP(C304,Lists!$P$2:$P$19,Lists!$X$2:$X$19,0),_xlfn.XLOOKUP(E304,Lists!$P$2:$P$19,Lists!$X$2:$X$19,0),_xlfn.XLOOKUP(G304,Lists!$P$2:$P$19,Lists!$X$2:$X$19,0),_xlfn.XLOOKUP(I304,Lists!$P$2:$P$19,Lists!$X$2:$X$19,0),_xlfn.XLOOKUP(K304,Lists!$P$2:$P$19,Lists!$X$2:$X$19,0)))</f>
        <v>0</v>
      </c>
      <c r="V304" s="68">
        <f ca="1">IF($B304="","",SUM(_xlfn.XLOOKUP(C304,Lists!$P$2:$P$19,Lists!$Y$2:$Y$19,0),_xlfn.XLOOKUP(E304,Lists!$P$2:$P$19,Lists!$Y$2:$Y$19,0),_xlfn.XLOOKUP(G304,Lists!$P$2:$P$19,Lists!$Y$2:$Y$19,0),_xlfn.XLOOKUP(I304,Lists!$P$2:$P$19,Lists!$Y$2:$Y$19,0),_xlfn.XLOOKUP(K304,Lists!$P$2:$P$19,Lists!$Y$2:$Y$19,0)))</f>
        <v>0</v>
      </c>
      <c r="W304" s="68">
        <f ca="1">IF($B304="","",SUM(_xlfn.XLOOKUP(C304,Lists!$P$2:$P$19,Lists!$Z$2:$Z$19,0),_xlfn.XLOOKUP(E304,Lists!$P$2:$P$19,Lists!$Z$2:$Z$19,0),_xlfn.XLOOKUP(G304,Lists!$P$2:$P$19,Lists!$Z$2:$Z$19,0),_xlfn.XLOOKUP(I304,Lists!$P$2:$P$19,Lists!$Z$2:$Z$19,0),_xlfn.XLOOKUP(K304,Lists!$P$2:$P$19,Lists!$Z$2:$Z$19,0)))</f>
        <v>0</v>
      </c>
      <c r="X304" s="69">
        <f ca="1">IF($B304="","",SUM(_xlfn.XLOOKUP(C304,Lists!$P$2:$P$19,Lists!$AA$2:$AA$19,0),_xlfn.XLOOKUP(E304,Lists!$P$2:$P$19,Lists!$AA$2:$AA$19,0),_xlfn.XLOOKUP(G304,Lists!$P$2:$P$19,Lists!$AA$2:$AA$19,0),_xlfn.XLOOKUP(I304,Lists!$P$2:$P$19,Lists!$AA$2:$AA$19,0),_xlfn.XLOOKUP(K304,Lists!$P$2:$P$19,Lists!$AA$2:$AA$19,0)))</f>
        <v>0</v>
      </c>
      <c r="Y304" s="49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  <c r="CU304" s="18"/>
      <c r="CV304" s="18"/>
      <c r="CW304" s="18"/>
      <c r="CX304" s="18"/>
      <c r="CY304" s="18"/>
      <c r="CZ304" s="18"/>
      <c r="DA304" s="18"/>
      <c r="DB304" s="18"/>
      <c r="DC304" s="18"/>
      <c r="DD304" s="18"/>
      <c r="DE304" s="18"/>
      <c r="DF304" s="18"/>
    </row>
    <row r="305" spans="1:110">
      <c r="A305" s="168">
        <v>3</v>
      </c>
      <c r="B305" s="47" t="str">
        <f ca="1">Lineups!$C$91</f>
        <v>Petey Piranha</v>
      </c>
      <c r="C305" s="49" t="s">
        <v>186</v>
      </c>
      <c r="D305" s="49"/>
      <c r="E305" s="49"/>
      <c r="F305" s="49"/>
      <c r="G305" s="49"/>
      <c r="H305" s="50"/>
      <c r="I305" s="50"/>
      <c r="J305" s="50"/>
      <c r="K305" s="50"/>
      <c r="L305" s="50"/>
      <c r="M305" s="67">
        <f ca="1">IF($B305="","",SUM(_xlfn.XLOOKUP(C305,Lists!$P$2:$P$19,Lists!$R$2:$R$19,0),_xlfn.XLOOKUP(E305,Lists!$P$2:$P$19,Lists!$R$2:$R$19,0),_xlfn.XLOOKUP(G305,Lists!$P$2:$P$19,Lists!$R$2:$R$19,0),_xlfn.XLOOKUP(I305,Lists!$P$2:$P$19,Lists!$R$2:$R$19,0),_xlfn.XLOOKUP(K305,Lists!$P$2:$P$19,Lists!$R$2:$R$19,0)))</f>
        <v>1</v>
      </c>
      <c r="N305" s="68">
        <f ca="1">IF($B305="","",SUM(_xlfn.XLOOKUP(D305,Lists!$AC$2:$AC$9,Lists!$AE$2:$AE$9,0),_xlfn.XLOOKUP(F305,Lists!$AC$2:$AC$9,Lists!$AE$2:$AE$9,0),_xlfn.XLOOKUP(H305,Lists!$AC$2:$AC$9,Lists!$AE$2:$AE$9,0),_xlfn.XLOOKUP(J305,Lists!$AC$2:$AC$9,Lists!$AE$2:$AE$9,0),_xlfn.XLOOKUP(L305,Lists!$AC$2:$AC$9,Lists!$AE$2:$AE$9,0)))</f>
        <v>0</v>
      </c>
      <c r="O305" s="68">
        <f ca="1">IF($B305="","",SUM(_xlfn.XLOOKUP(C305,Lists!$P$2:$P$19,Lists!$S$2:$S$19,0),_xlfn.XLOOKUP(E305,Lists!$P$2:$P$19,Lists!$S$2:$S$19,0),_xlfn.XLOOKUP(G305,Lists!$P$2:$P$19,Lists!$S$2:$S$19,0),_xlfn.XLOOKUP(I305,Lists!$P$2:$P$19,Lists!$S$2:$S$19,0),_xlfn.XLOOKUP(K305,Lists!$P$2:$P$19,Lists!$S$2:$S$19,0)))</f>
        <v>0</v>
      </c>
      <c r="P305" s="68">
        <f ca="1">IF($B305="","",SUM(_xlfn.XLOOKUP(C305,Lists!$P$2:$P$19,Lists!$T$2:$T$19,0),_xlfn.XLOOKUP(E305,Lists!$P$2:$P$19,Lists!$T$2:$T$19,0),_xlfn.XLOOKUP(G305,Lists!$P$2:$P$19,Lists!$T$2:$T$19,0),_xlfn.XLOOKUP(I305,Lists!$P$2:$P$19,Lists!$T$2:$T$19,0),_xlfn.XLOOKUP(K305,Lists!$P$2:$P$19,Lists!$T$2:$T$19,0)))</f>
        <v>0</v>
      </c>
      <c r="Q305" s="68">
        <f ca="1">IF($B305="","",SUM(_xlfn.XLOOKUP(C305,Lists!$P$2:$P$19,Lists!$U$2:$U$19,0),_xlfn.XLOOKUP(E305,Lists!$P$2:$P$19,Lists!$U$2:$U$19,0),_xlfn.XLOOKUP(G305,Lists!$P$2:$P$19,Lists!$U$2:$U$19,0),_xlfn.XLOOKUP(I305,Lists!$P$2:$P$19,Lists!$U$2:$U$19,0),_xlfn.XLOOKUP(K305,Lists!$P$2:$P$19,Lists!$U$2:$U$19,0)))</f>
        <v>0</v>
      </c>
      <c r="R305" s="68">
        <f ca="1">IF($B305="","",SUM(_xlfn.XLOOKUP(C305,Lists!$P$2:$P$19,Lists!$V$2:$V$19,0),_xlfn.XLOOKUP(E305,Lists!$P$2:$P$19,Lists!$V$2:$V$19,0),_xlfn.XLOOKUP(G305,Lists!$P$2:$P$19,Lists!$V$2:$V$19,0),_xlfn.XLOOKUP(I305,Lists!$P$2:$P$19,Lists!$V$2:$V$19,0),_xlfn.XLOOKUP(K305,Lists!$P$2:$P$19,Lists!$V$2:$V$19,0)))</f>
        <v>0</v>
      </c>
      <c r="S305" s="68">
        <f ca="1">IF($B305="","",SUM(_xlfn.XLOOKUP(D305,Lists!$AC$2:$AC$9,Lists!$AD$2:$AD$9,0),_xlfn.XLOOKUP(F305,Lists!$AC$2:$AC$9,Lists!$AD$2:$AD$9,0),_xlfn.XLOOKUP(H305,Lists!$AC$2:$AC$9,Lists!$AD$2:$AD$9,0),_xlfn.XLOOKUP(J305,Lists!$AC$2:$AC$9,Lists!$AD$2:$AD$9,0),_xlfn.XLOOKUP(L305,Lists!$AC$2:$AC$9,Lists!$AD$2:$AD$9,0)))</f>
        <v>0</v>
      </c>
      <c r="T305" s="68">
        <f ca="1">IF($B305="","",SUM(_xlfn.XLOOKUP(C305,Lists!$P$2:$P$19,Lists!$W$2:$W$19,0),_xlfn.XLOOKUP(E305,Lists!$P$2:$P$19,Lists!$W$2:$W$19,0),_xlfn.XLOOKUP(G305,Lists!$P$2:$P$19,Lists!$W$2:$W$19,0),_xlfn.XLOOKUP(I305,Lists!$P$2:$P$19,Lists!$W$2:$W$19,0),_xlfn.XLOOKUP(K305,Lists!$P$2:$P$19,Lists!$W$2:$W$19,0)))</f>
        <v>0</v>
      </c>
      <c r="U305" s="68">
        <f ca="1">IF($B305="","",SUM(_xlfn.XLOOKUP(C305,Lists!$P$2:$P$19,Lists!$X$2:$X$19,0),_xlfn.XLOOKUP(E305,Lists!$P$2:$P$19,Lists!$X$2:$X$19,0),_xlfn.XLOOKUP(G305,Lists!$P$2:$P$19,Lists!$X$2:$X$19,0),_xlfn.XLOOKUP(I305,Lists!$P$2:$P$19,Lists!$X$2:$X$19,0),_xlfn.XLOOKUP(K305,Lists!$P$2:$P$19,Lists!$X$2:$X$19,0)))</f>
        <v>0</v>
      </c>
      <c r="V305" s="68">
        <f ca="1">IF($B305="","",SUM(_xlfn.XLOOKUP(C305,Lists!$P$2:$P$19,Lists!$Y$2:$Y$19,0),_xlfn.XLOOKUP(E305,Lists!$P$2:$P$19,Lists!$Y$2:$Y$19,0),_xlfn.XLOOKUP(G305,Lists!$P$2:$P$19,Lists!$Y$2:$Y$19,0),_xlfn.XLOOKUP(I305,Lists!$P$2:$P$19,Lists!$Y$2:$Y$19,0),_xlfn.XLOOKUP(K305,Lists!$P$2:$P$19,Lists!$Y$2:$Y$19,0)))</f>
        <v>0</v>
      </c>
      <c r="W305" s="68">
        <f ca="1">IF($B305="","",SUM(_xlfn.XLOOKUP(C305,Lists!$P$2:$P$19,Lists!$Z$2:$Z$19,0),_xlfn.XLOOKUP(E305,Lists!$P$2:$P$19,Lists!$Z$2:$Z$19,0),_xlfn.XLOOKUP(G305,Lists!$P$2:$P$19,Lists!$Z$2:$Z$19,0),_xlfn.XLOOKUP(I305,Lists!$P$2:$P$19,Lists!$Z$2:$Z$19,0),_xlfn.XLOOKUP(K305,Lists!$P$2:$P$19,Lists!$Z$2:$Z$19,0)))</f>
        <v>0</v>
      </c>
      <c r="X305" s="69">
        <f ca="1">IF($B305="","",SUM(_xlfn.XLOOKUP(C305,Lists!$P$2:$P$19,Lists!$AA$2:$AA$19,0),_xlfn.XLOOKUP(E305,Lists!$P$2:$P$19,Lists!$AA$2:$AA$19,0),_xlfn.XLOOKUP(G305,Lists!$P$2:$P$19,Lists!$AA$2:$AA$19,0),_xlfn.XLOOKUP(I305,Lists!$P$2:$P$19,Lists!$AA$2:$AA$19,0),_xlfn.XLOOKUP(K305,Lists!$P$2:$P$19,Lists!$AA$2:$AA$19,0)))</f>
        <v>0</v>
      </c>
      <c r="Y305" s="49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  <c r="CU305" s="18"/>
      <c r="CV305" s="18"/>
      <c r="CW305" s="18"/>
      <c r="CX305" s="18"/>
      <c r="CY305" s="18"/>
      <c r="CZ305" s="18"/>
      <c r="DA305" s="18"/>
      <c r="DB305" s="18"/>
      <c r="DC305" s="18"/>
      <c r="DD305" s="18"/>
      <c r="DE305" s="18"/>
      <c r="DF305" s="18"/>
    </row>
    <row r="306" spans="1:110">
      <c r="A306" s="168">
        <v>4</v>
      </c>
      <c r="B306" s="47" t="str">
        <f ca="1">Lineups!$C$92</f>
        <v>Red Kritter</v>
      </c>
      <c r="C306" s="49" t="s">
        <v>185</v>
      </c>
      <c r="D306" s="49"/>
      <c r="E306" s="49"/>
      <c r="F306" s="49"/>
      <c r="G306" s="49"/>
      <c r="H306" s="50"/>
      <c r="I306" s="50"/>
      <c r="J306" s="50"/>
      <c r="K306" s="50"/>
      <c r="L306" s="50"/>
      <c r="M306" s="67">
        <f ca="1">IF($B306="","",SUM(_xlfn.XLOOKUP(C306,Lists!$P$2:$P$19,Lists!$R$2:$R$19,0),_xlfn.XLOOKUP(E306,Lists!$P$2:$P$19,Lists!$R$2:$R$19,0),_xlfn.XLOOKUP(G306,Lists!$P$2:$P$19,Lists!$R$2:$R$19,0),_xlfn.XLOOKUP(I306,Lists!$P$2:$P$19,Lists!$R$2:$R$19,0),_xlfn.XLOOKUP(K306,Lists!$P$2:$P$19,Lists!$R$2:$R$19,0)))</f>
        <v>1</v>
      </c>
      <c r="N306" s="68">
        <f ca="1">IF($B306="","",SUM(_xlfn.XLOOKUP(D306,Lists!$AC$2:$AC$9,Lists!$AE$2:$AE$9,0),_xlfn.XLOOKUP(F306,Lists!$AC$2:$AC$9,Lists!$AE$2:$AE$9,0),_xlfn.XLOOKUP(H306,Lists!$AC$2:$AC$9,Lists!$AE$2:$AE$9,0),_xlfn.XLOOKUP(J306,Lists!$AC$2:$AC$9,Lists!$AE$2:$AE$9,0),_xlfn.XLOOKUP(L306,Lists!$AC$2:$AC$9,Lists!$AE$2:$AE$9,0)))</f>
        <v>0</v>
      </c>
      <c r="O306" s="68">
        <f ca="1">IF($B306="","",SUM(_xlfn.XLOOKUP(C306,Lists!$P$2:$P$19,Lists!$S$2:$S$19,0),_xlfn.XLOOKUP(E306,Lists!$P$2:$P$19,Lists!$S$2:$S$19,0),_xlfn.XLOOKUP(G306,Lists!$P$2:$P$19,Lists!$S$2:$S$19,0),_xlfn.XLOOKUP(I306,Lists!$P$2:$P$19,Lists!$S$2:$S$19,0),_xlfn.XLOOKUP(K306,Lists!$P$2:$P$19,Lists!$S$2:$S$19,0)))</f>
        <v>0</v>
      </c>
      <c r="P306" s="68">
        <f ca="1">IF($B306="","",SUM(_xlfn.XLOOKUP(C306,Lists!$P$2:$P$19,Lists!$T$2:$T$19,0),_xlfn.XLOOKUP(E306,Lists!$P$2:$P$19,Lists!$T$2:$T$19,0),_xlfn.XLOOKUP(G306,Lists!$P$2:$P$19,Lists!$T$2:$T$19,0),_xlfn.XLOOKUP(I306,Lists!$P$2:$P$19,Lists!$T$2:$T$19,0),_xlfn.XLOOKUP(K306,Lists!$P$2:$P$19,Lists!$T$2:$T$19,0)))</f>
        <v>0</v>
      </c>
      <c r="Q306" s="68">
        <f ca="1">IF($B306="","",SUM(_xlfn.XLOOKUP(C306,Lists!$P$2:$P$19,Lists!$U$2:$U$19,0),_xlfn.XLOOKUP(E306,Lists!$P$2:$P$19,Lists!$U$2:$U$19,0),_xlfn.XLOOKUP(G306,Lists!$P$2:$P$19,Lists!$U$2:$U$19,0),_xlfn.XLOOKUP(I306,Lists!$P$2:$P$19,Lists!$U$2:$U$19,0),_xlfn.XLOOKUP(K306,Lists!$P$2:$P$19,Lists!$U$2:$U$19,0)))</f>
        <v>0</v>
      </c>
      <c r="R306" s="68">
        <f ca="1">IF($B306="","",SUM(_xlfn.XLOOKUP(C306,Lists!$P$2:$P$19,Lists!$V$2:$V$19,0),_xlfn.XLOOKUP(E306,Lists!$P$2:$P$19,Lists!$V$2:$V$19,0),_xlfn.XLOOKUP(G306,Lists!$P$2:$P$19,Lists!$V$2:$V$19,0),_xlfn.XLOOKUP(I306,Lists!$P$2:$P$19,Lists!$V$2:$V$19,0),_xlfn.XLOOKUP(K306,Lists!$P$2:$P$19,Lists!$V$2:$V$19,0)))</f>
        <v>0</v>
      </c>
      <c r="S306" s="68">
        <f ca="1">IF($B306="","",SUM(_xlfn.XLOOKUP(D306,Lists!$AC$2:$AC$9,Lists!$AD$2:$AD$9,0),_xlfn.XLOOKUP(F306,Lists!$AC$2:$AC$9,Lists!$AD$2:$AD$9,0),_xlfn.XLOOKUP(H306,Lists!$AC$2:$AC$9,Lists!$AD$2:$AD$9,0),_xlfn.XLOOKUP(J306,Lists!$AC$2:$AC$9,Lists!$AD$2:$AD$9,0),_xlfn.XLOOKUP(L306,Lists!$AC$2:$AC$9,Lists!$AD$2:$AD$9,0)))</f>
        <v>0</v>
      </c>
      <c r="T306" s="68">
        <f ca="1">IF($B306="","",SUM(_xlfn.XLOOKUP(C306,Lists!$P$2:$P$19,Lists!$W$2:$W$19,0),_xlfn.XLOOKUP(E306,Lists!$P$2:$P$19,Lists!$W$2:$W$19,0),_xlfn.XLOOKUP(G306,Lists!$P$2:$P$19,Lists!$W$2:$W$19,0),_xlfn.XLOOKUP(I306,Lists!$P$2:$P$19,Lists!$W$2:$W$19,0),_xlfn.XLOOKUP(K306,Lists!$P$2:$P$19,Lists!$W$2:$W$19,0)))</f>
        <v>0</v>
      </c>
      <c r="U306" s="68">
        <f ca="1">IF($B306="","",SUM(_xlfn.XLOOKUP(C306,Lists!$P$2:$P$19,Lists!$X$2:$X$19,0),_xlfn.XLOOKUP(E306,Lists!$P$2:$P$19,Lists!$X$2:$X$19,0),_xlfn.XLOOKUP(G306,Lists!$P$2:$P$19,Lists!$X$2:$X$19,0),_xlfn.XLOOKUP(I306,Lists!$P$2:$P$19,Lists!$X$2:$X$19,0),_xlfn.XLOOKUP(K306,Lists!$P$2:$P$19,Lists!$X$2:$X$19,0)))</f>
        <v>1</v>
      </c>
      <c r="V306" s="68">
        <f ca="1">IF($B306="","",SUM(_xlfn.XLOOKUP(C306,Lists!$P$2:$P$19,Lists!$Y$2:$Y$19,0),_xlfn.XLOOKUP(E306,Lists!$P$2:$P$19,Lists!$Y$2:$Y$19,0),_xlfn.XLOOKUP(G306,Lists!$P$2:$P$19,Lists!$Y$2:$Y$19,0),_xlfn.XLOOKUP(I306,Lists!$P$2:$P$19,Lists!$Y$2:$Y$19,0),_xlfn.XLOOKUP(K306,Lists!$P$2:$P$19,Lists!$Y$2:$Y$19,0)))</f>
        <v>0</v>
      </c>
      <c r="W306" s="68">
        <f ca="1">IF($B306="","",SUM(_xlfn.XLOOKUP(C306,Lists!$P$2:$P$19,Lists!$Z$2:$Z$19,0),_xlfn.XLOOKUP(E306,Lists!$P$2:$P$19,Lists!$Z$2:$Z$19,0),_xlfn.XLOOKUP(G306,Lists!$P$2:$P$19,Lists!$Z$2:$Z$19,0),_xlfn.XLOOKUP(I306,Lists!$P$2:$P$19,Lists!$Z$2:$Z$19,0),_xlfn.XLOOKUP(K306,Lists!$P$2:$P$19,Lists!$Z$2:$Z$19,0)))</f>
        <v>0</v>
      </c>
      <c r="X306" s="69">
        <f ca="1">IF($B306="","",SUM(_xlfn.XLOOKUP(C306,Lists!$P$2:$P$19,Lists!$AA$2:$AA$19,0),_xlfn.XLOOKUP(E306,Lists!$P$2:$P$19,Lists!$AA$2:$AA$19,0),_xlfn.XLOOKUP(G306,Lists!$P$2:$P$19,Lists!$AA$2:$AA$19,0),_xlfn.XLOOKUP(I306,Lists!$P$2:$P$19,Lists!$AA$2:$AA$19,0),_xlfn.XLOOKUP(K306,Lists!$P$2:$P$19,Lists!$AA$2:$AA$19,0)))</f>
        <v>0</v>
      </c>
      <c r="Y306" s="49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  <c r="CV306" s="18"/>
      <c r="CW306" s="18"/>
      <c r="CX306" s="18"/>
      <c r="CY306" s="18"/>
      <c r="CZ306" s="18"/>
      <c r="DA306" s="18"/>
      <c r="DB306" s="18"/>
      <c r="DC306" s="18"/>
      <c r="DD306" s="18"/>
      <c r="DE306" s="18"/>
      <c r="DF306" s="18"/>
    </row>
    <row r="307" spans="1:110">
      <c r="A307" s="168">
        <v>5</v>
      </c>
      <c r="B307" s="47" t="str">
        <f ca="1">Lineups!$C$93</f>
        <v>Hammer Bro</v>
      </c>
      <c r="C307" s="49" t="s">
        <v>182</v>
      </c>
      <c r="D307" s="49"/>
      <c r="E307" s="49"/>
      <c r="F307" s="49"/>
      <c r="G307" s="49"/>
      <c r="H307" s="50"/>
      <c r="I307" s="50"/>
      <c r="J307" s="50"/>
      <c r="K307" s="50"/>
      <c r="L307" s="50"/>
      <c r="M307" s="67">
        <f ca="1">IF($B307="","",SUM(_xlfn.XLOOKUP(C307,Lists!$P$2:$P$19,Lists!$R$2:$R$19,0),_xlfn.XLOOKUP(E307,Lists!$P$2:$P$19,Lists!$R$2:$R$19,0),_xlfn.XLOOKUP(G307,Lists!$P$2:$P$19,Lists!$R$2:$R$19,0),_xlfn.XLOOKUP(I307,Lists!$P$2:$P$19,Lists!$R$2:$R$19,0),_xlfn.XLOOKUP(K307,Lists!$P$2:$P$19,Lists!$R$2:$R$19,0)))</f>
        <v>0</v>
      </c>
      <c r="N307" s="68">
        <f ca="1">IF($B307="","",SUM(_xlfn.XLOOKUP(D307,Lists!$AC$2:$AC$9,Lists!$AE$2:$AE$9,0),_xlfn.XLOOKUP(F307,Lists!$AC$2:$AC$9,Lists!$AE$2:$AE$9,0),_xlfn.XLOOKUP(H307,Lists!$AC$2:$AC$9,Lists!$AE$2:$AE$9,0),_xlfn.XLOOKUP(J307,Lists!$AC$2:$AC$9,Lists!$AE$2:$AE$9,0),_xlfn.XLOOKUP(L307,Lists!$AC$2:$AC$9,Lists!$AE$2:$AE$9,0)))</f>
        <v>0</v>
      </c>
      <c r="O307" s="68">
        <f ca="1">IF($B307="","",SUM(_xlfn.XLOOKUP(C307,Lists!$P$2:$P$19,Lists!$S$2:$S$19,0),_xlfn.XLOOKUP(E307,Lists!$P$2:$P$19,Lists!$S$2:$S$19,0),_xlfn.XLOOKUP(G307,Lists!$P$2:$P$19,Lists!$S$2:$S$19,0),_xlfn.XLOOKUP(I307,Lists!$P$2:$P$19,Lists!$S$2:$S$19,0),_xlfn.XLOOKUP(K307,Lists!$P$2:$P$19,Lists!$S$2:$S$19,0)))</f>
        <v>0</v>
      </c>
      <c r="P307" s="68">
        <f ca="1">IF($B307="","",SUM(_xlfn.XLOOKUP(C307,Lists!$P$2:$P$19,Lists!$T$2:$T$19,0),_xlfn.XLOOKUP(E307,Lists!$P$2:$P$19,Lists!$T$2:$T$19,0),_xlfn.XLOOKUP(G307,Lists!$P$2:$P$19,Lists!$T$2:$T$19,0),_xlfn.XLOOKUP(I307,Lists!$P$2:$P$19,Lists!$T$2:$T$19,0),_xlfn.XLOOKUP(K307,Lists!$P$2:$P$19,Lists!$T$2:$T$19,0)))</f>
        <v>0</v>
      </c>
      <c r="Q307" s="68">
        <f ca="1">IF($B307="","",SUM(_xlfn.XLOOKUP(C307,Lists!$P$2:$P$19,Lists!$U$2:$U$19,0),_xlfn.XLOOKUP(E307,Lists!$P$2:$P$19,Lists!$U$2:$U$19,0),_xlfn.XLOOKUP(G307,Lists!$P$2:$P$19,Lists!$U$2:$U$19,0),_xlfn.XLOOKUP(I307,Lists!$P$2:$P$19,Lists!$U$2:$U$19,0),_xlfn.XLOOKUP(K307,Lists!$P$2:$P$19,Lists!$U$2:$U$19,0)))</f>
        <v>0</v>
      </c>
      <c r="R307" s="68">
        <f ca="1">IF($B307="","",SUM(_xlfn.XLOOKUP(C307,Lists!$P$2:$P$19,Lists!$V$2:$V$19,0),_xlfn.XLOOKUP(E307,Lists!$P$2:$P$19,Lists!$V$2:$V$19,0),_xlfn.XLOOKUP(G307,Lists!$P$2:$P$19,Lists!$V$2:$V$19,0),_xlfn.XLOOKUP(I307,Lists!$P$2:$P$19,Lists!$V$2:$V$19,0),_xlfn.XLOOKUP(K307,Lists!$P$2:$P$19,Lists!$V$2:$V$19,0)))</f>
        <v>0</v>
      </c>
      <c r="S307" s="68">
        <f ca="1">IF($B307="","",SUM(_xlfn.XLOOKUP(D307,Lists!$AC$2:$AC$9,Lists!$AD$2:$AD$9,0),_xlfn.XLOOKUP(F307,Lists!$AC$2:$AC$9,Lists!$AD$2:$AD$9,0),_xlfn.XLOOKUP(H307,Lists!$AC$2:$AC$9,Lists!$AD$2:$AD$9,0),_xlfn.XLOOKUP(J307,Lists!$AC$2:$AC$9,Lists!$AD$2:$AD$9,0),_xlfn.XLOOKUP(L307,Lists!$AC$2:$AC$9,Lists!$AD$2:$AD$9,0)))</f>
        <v>0</v>
      </c>
      <c r="T307" s="68">
        <f ca="1">IF($B307="","",SUM(_xlfn.XLOOKUP(C307,Lists!$P$2:$P$19,Lists!$W$2:$W$19,0),_xlfn.XLOOKUP(E307,Lists!$P$2:$P$19,Lists!$W$2:$W$19,0),_xlfn.XLOOKUP(G307,Lists!$P$2:$P$19,Lists!$W$2:$W$19,0),_xlfn.XLOOKUP(I307,Lists!$P$2:$P$19,Lists!$W$2:$W$19,0),_xlfn.XLOOKUP(K307,Lists!$P$2:$P$19,Lists!$W$2:$W$19,0)))</f>
        <v>0</v>
      </c>
      <c r="U307" s="68">
        <f ca="1">IF($B307="","",SUM(_xlfn.XLOOKUP(C307,Lists!$P$2:$P$19,Lists!$X$2:$X$19,0),_xlfn.XLOOKUP(E307,Lists!$P$2:$P$19,Lists!$X$2:$X$19,0),_xlfn.XLOOKUP(G307,Lists!$P$2:$P$19,Lists!$X$2:$X$19,0),_xlfn.XLOOKUP(I307,Lists!$P$2:$P$19,Lists!$X$2:$X$19,0),_xlfn.XLOOKUP(K307,Lists!$P$2:$P$19,Lists!$X$2:$X$19,0)))</f>
        <v>0</v>
      </c>
      <c r="V307" s="68">
        <f ca="1">IF($B307="","",SUM(_xlfn.XLOOKUP(C307,Lists!$P$2:$P$19,Lists!$Y$2:$Y$19,0),_xlfn.XLOOKUP(E307,Lists!$P$2:$P$19,Lists!$Y$2:$Y$19,0),_xlfn.XLOOKUP(G307,Lists!$P$2:$P$19,Lists!$Y$2:$Y$19,0),_xlfn.XLOOKUP(I307,Lists!$P$2:$P$19,Lists!$Y$2:$Y$19,0),_xlfn.XLOOKUP(K307,Lists!$P$2:$P$19,Lists!$Y$2:$Y$19,0)))</f>
        <v>1</v>
      </c>
      <c r="W307" s="68">
        <f ca="1">IF($B307="","",SUM(_xlfn.XLOOKUP(C307,Lists!$P$2:$P$19,Lists!$Z$2:$Z$19,0),_xlfn.XLOOKUP(E307,Lists!$P$2:$P$19,Lists!$Z$2:$Z$19,0),_xlfn.XLOOKUP(G307,Lists!$P$2:$P$19,Lists!$Z$2:$Z$19,0),_xlfn.XLOOKUP(I307,Lists!$P$2:$P$19,Lists!$Z$2:$Z$19,0),_xlfn.XLOOKUP(K307,Lists!$P$2:$P$19,Lists!$Z$2:$Z$19,0)))</f>
        <v>0</v>
      </c>
      <c r="X307" s="69">
        <f ca="1">IF($B307="","",SUM(_xlfn.XLOOKUP(C307,Lists!$P$2:$P$19,Lists!$AA$2:$AA$19,0),_xlfn.XLOOKUP(E307,Lists!$P$2:$P$19,Lists!$AA$2:$AA$19,0),_xlfn.XLOOKUP(G307,Lists!$P$2:$P$19,Lists!$AA$2:$AA$19,0),_xlfn.XLOOKUP(I307,Lists!$P$2:$P$19,Lists!$AA$2:$AA$19,0),_xlfn.XLOOKUP(K307,Lists!$P$2:$P$19,Lists!$AA$2:$AA$19,0)))</f>
        <v>0</v>
      </c>
      <c r="Y307" s="49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18"/>
      <c r="CW307" s="18"/>
      <c r="CX307" s="18"/>
      <c r="CY307" s="18"/>
      <c r="CZ307" s="18"/>
      <c r="DA307" s="18"/>
      <c r="DB307" s="18"/>
      <c r="DC307" s="18"/>
      <c r="DD307" s="18"/>
      <c r="DE307" s="18"/>
      <c r="DF307" s="18"/>
    </row>
    <row r="308" spans="1:110">
      <c r="A308" s="168">
        <v>6</v>
      </c>
      <c r="B308" s="47" t="str">
        <f ca="1">Lineups!$C$94</f>
        <v>Red Yoshi</v>
      </c>
      <c r="C308" s="49" t="s">
        <v>193</v>
      </c>
      <c r="D308" s="49"/>
      <c r="E308" s="49"/>
      <c r="F308" s="49"/>
      <c r="G308" s="49"/>
      <c r="H308" s="50"/>
      <c r="I308" s="50"/>
      <c r="J308" s="50"/>
      <c r="K308" s="50"/>
      <c r="L308" s="50"/>
      <c r="M308" s="67">
        <f ca="1">IF($B308="","",SUM(_xlfn.XLOOKUP(C308,Lists!$P$2:$P$19,Lists!$R$2:$R$19,0),_xlfn.XLOOKUP(E308,Lists!$P$2:$P$19,Lists!$R$2:$R$19,0),_xlfn.XLOOKUP(G308,Lists!$P$2:$P$19,Lists!$R$2:$R$19,0),_xlfn.XLOOKUP(I308,Lists!$P$2:$P$19,Lists!$R$2:$R$19,0),_xlfn.XLOOKUP(K308,Lists!$P$2:$P$19,Lists!$R$2:$R$19,0)))</f>
        <v>1</v>
      </c>
      <c r="N308" s="68">
        <f ca="1">IF($B308="","",SUM(_xlfn.XLOOKUP(D308,Lists!$AC$2:$AC$9,Lists!$AE$2:$AE$9,0),_xlfn.XLOOKUP(F308,Lists!$AC$2:$AC$9,Lists!$AE$2:$AE$9,0),_xlfn.XLOOKUP(H308,Lists!$AC$2:$AC$9,Lists!$AE$2:$AE$9,0),_xlfn.XLOOKUP(J308,Lists!$AC$2:$AC$9,Lists!$AE$2:$AE$9,0),_xlfn.XLOOKUP(L308,Lists!$AC$2:$AC$9,Lists!$AE$2:$AE$9,0)))</f>
        <v>0</v>
      </c>
      <c r="O308" s="68">
        <f ca="1">IF($B308="","",SUM(_xlfn.XLOOKUP(C308,Lists!$P$2:$P$19,Lists!$S$2:$S$19,0),_xlfn.XLOOKUP(E308,Lists!$P$2:$P$19,Lists!$S$2:$S$19,0),_xlfn.XLOOKUP(G308,Lists!$P$2:$P$19,Lists!$S$2:$S$19,0),_xlfn.XLOOKUP(I308,Lists!$P$2:$P$19,Lists!$S$2:$S$19,0),_xlfn.XLOOKUP(K308,Lists!$P$2:$P$19,Lists!$S$2:$S$19,0)))</f>
        <v>0</v>
      </c>
      <c r="P308" s="68">
        <f ca="1">IF($B308="","",SUM(_xlfn.XLOOKUP(C308,Lists!$P$2:$P$19,Lists!$T$2:$T$19,0),_xlfn.XLOOKUP(E308,Lists!$P$2:$P$19,Lists!$T$2:$T$19,0),_xlfn.XLOOKUP(G308,Lists!$P$2:$P$19,Lists!$T$2:$T$19,0),_xlfn.XLOOKUP(I308,Lists!$P$2:$P$19,Lists!$T$2:$T$19,0),_xlfn.XLOOKUP(K308,Lists!$P$2:$P$19,Lists!$T$2:$T$19,0)))</f>
        <v>0</v>
      </c>
      <c r="Q308" s="68">
        <f ca="1">IF($B308="","",SUM(_xlfn.XLOOKUP(C308,Lists!$P$2:$P$19,Lists!$U$2:$U$19,0),_xlfn.XLOOKUP(E308,Lists!$P$2:$P$19,Lists!$U$2:$U$19,0),_xlfn.XLOOKUP(G308,Lists!$P$2:$P$19,Lists!$U$2:$U$19,0),_xlfn.XLOOKUP(I308,Lists!$P$2:$P$19,Lists!$U$2:$U$19,0),_xlfn.XLOOKUP(K308,Lists!$P$2:$P$19,Lists!$U$2:$U$19,0)))</f>
        <v>0</v>
      </c>
      <c r="R308" s="68">
        <f ca="1">IF($B308="","",SUM(_xlfn.XLOOKUP(C308,Lists!$P$2:$P$19,Lists!$V$2:$V$19,0),_xlfn.XLOOKUP(E308,Lists!$P$2:$P$19,Lists!$V$2:$V$19,0),_xlfn.XLOOKUP(G308,Lists!$P$2:$P$19,Lists!$V$2:$V$19,0),_xlfn.XLOOKUP(I308,Lists!$P$2:$P$19,Lists!$V$2:$V$19,0),_xlfn.XLOOKUP(K308,Lists!$P$2:$P$19,Lists!$V$2:$V$19,0)))</f>
        <v>0</v>
      </c>
      <c r="S308" s="68">
        <f ca="1">IF($B308="","",SUM(_xlfn.XLOOKUP(D308,Lists!$AC$2:$AC$9,Lists!$AD$2:$AD$9,0),_xlfn.XLOOKUP(F308,Lists!$AC$2:$AC$9,Lists!$AD$2:$AD$9,0),_xlfn.XLOOKUP(H308,Lists!$AC$2:$AC$9,Lists!$AD$2:$AD$9,0),_xlfn.XLOOKUP(J308,Lists!$AC$2:$AC$9,Lists!$AD$2:$AD$9,0),_xlfn.XLOOKUP(L308,Lists!$AC$2:$AC$9,Lists!$AD$2:$AD$9,0)))</f>
        <v>0</v>
      </c>
      <c r="T308" s="68">
        <f ca="1">IF($B308="","",SUM(_xlfn.XLOOKUP(C308,Lists!$P$2:$P$19,Lists!$W$2:$W$19,0),_xlfn.XLOOKUP(E308,Lists!$P$2:$P$19,Lists!$W$2:$W$19,0),_xlfn.XLOOKUP(G308,Lists!$P$2:$P$19,Lists!$W$2:$W$19,0),_xlfn.XLOOKUP(I308,Lists!$P$2:$P$19,Lists!$W$2:$W$19,0),_xlfn.XLOOKUP(K308,Lists!$P$2:$P$19,Lists!$W$2:$W$19,0)))</f>
        <v>0</v>
      </c>
      <c r="U308" s="68">
        <f ca="1">IF($B308="","",SUM(_xlfn.XLOOKUP(C308,Lists!$P$2:$P$19,Lists!$X$2:$X$19,0),_xlfn.XLOOKUP(E308,Lists!$P$2:$P$19,Lists!$X$2:$X$19,0),_xlfn.XLOOKUP(G308,Lists!$P$2:$P$19,Lists!$X$2:$X$19,0),_xlfn.XLOOKUP(I308,Lists!$P$2:$P$19,Lists!$X$2:$X$19,0),_xlfn.XLOOKUP(K308,Lists!$P$2:$P$19,Lists!$X$2:$X$19,0)))</f>
        <v>0</v>
      </c>
      <c r="V308" s="68">
        <f ca="1">IF($B308="","",SUM(_xlfn.XLOOKUP(C308,Lists!$P$2:$P$19,Lists!$Y$2:$Y$19,0),_xlfn.XLOOKUP(E308,Lists!$P$2:$P$19,Lists!$Y$2:$Y$19,0),_xlfn.XLOOKUP(G308,Lists!$P$2:$P$19,Lists!$Y$2:$Y$19,0),_xlfn.XLOOKUP(I308,Lists!$P$2:$P$19,Lists!$Y$2:$Y$19,0),_xlfn.XLOOKUP(K308,Lists!$P$2:$P$19,Lists!$Y$2:$Y$19,0)))</f>
        <v>0</v>
      </c>
      <c r="W308" s="68">
        <f ca="1">IF($B308="","",SUM(_xlfn.XLOOKUP(C308,Lists!$P$2:$P$19,Lists!$Z$2:$Z$19,0),_xlfn.XLOOKUP(E308,Lists!$P$2:$P$19,Lists!$Z$2:$Z$19,0),_xlfn.XLOOKUP(G308,Lists!$P$2:$P$19,Lists!$Z$2:$Z$19,0),_xlfn.XLOOKUP(I308,Lists!$P$2:$P$19,Lists!$Z$2:$Z$19,0),_xlfn.XLOOKUP(K308,Lists!$P$2:$P$19,Lists!$Z$2:$Z$19,0)))</f>
        <v>0</v>
      </c>
      <c r="X308" s="69">
        <f ca="1">IF($B308="","",SUM(_xlfn.XLOOKUP(C308,Lists!$P$2:$P$19,Lists!$AA$2:$AA$19,0),_xlfn.XLOOKUP(E308,Lists!$P$2:$P$19,Lists!$AA$2:$AA$19,0),_xlfn.XLOOKUP(G308,Lists!$P$2:$P$19,Lists!$AA$2:$AA$19,0),_xlfn.XLOOKUP(I308,Lists!$P$2:$P$19,Lists!$AA$2:$AA$19,0),_xlfn.XLOOKUP(K308,Lists!$P$2:$P$19,Lists!$AA$2:$AA$19,0)))</f>
        <v>0</v>
      </c>
      <c r="Y308" s="49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  <c r="CS308" s="18"/>
      <c r="CT308" s="18"/>
      <c r="CU308" s="18"/>
      <c r="CV308" s="18"/>
      <c r="CW308" s="18"/>
      <c r="CX308" s="18"/>
      <c r="CY308" s="18"/>
      <c r="CZ308" s="18"/>
      <c r="DA308" s="18"/>
      <c r="DB308" s="18"/>
      <c r="DC308" s="18"/>
      <c r="DD308" s="18"/>
      <c r="DE308" s="18"/>
      <c r="DF308" s="18"/>
    </row>
    <row r="309" spans="1:110">
      <c r="A309" s="168">
        <v>7</v>
      </c>
      <c r="B309" s="47" t="str">
        <f ca="1">Lineups!$C$95</f>
        <v>Koopa</v>
      </c>
      <c r="C309" s="49" t="s">
        <v>193</v>
      </c>
      <c r="D309" s="49"/>
      <c r="E309" s="49"/>
      <c r="F309" s="49"/>
      <c r="G309" s="49"/>
      <c r="H309" s="50"/>
      <c r="I309" s="50"/>
      <c r="J309" s="50"/>
      <c r="K309" s="50"/>
      <c r="L309" s="50"/>
      <c r="M309" s="67">
        <f ca="1">IF($B309="","",SUM(_xlfn.XLOOKUP(C309,Lists!$P$2:$P$19,Lists!$R$2:$R$19,0),_xlfn.XLOOKUP(E309,Lists!$P$2:$P$19,Lists!$R$2:$R$19,0),_xlfn.XLOOKUP(G309,Lists!$P$2:$P$19,Lists!$R$2:$R$19,0),_xlfn.XLOOKUP(I309,Lists!$P$2:$P$19,Lists!$R$2:$R$19,0),_xlfn.XLOOKUP(K309,Lists!$P$2:$P$19,Lists!$R$2:$R$19,0)))</f>
        <v>1</v>
      </c>
      <c r="N309" s="68">
        <f ca="1">IF($B309="","",SUM(_xlfn.XLOOKUP(D309,Lists!$AC$2:$AC$9,Lists!$AE$2:$AE$9,0),_xlfn.XLOOKUP(F309,Lists!$AC$2:$AC$9,Lists!$AE$2:$AE$9,0),_xlfn.XLOOKUP(H309,Lists!$AC$2:$AC$9,Lists!$AE$2:$AE$9,0),_xlfn.XLOOKUP(J309,Lists!$AC$2:$AC$9,Lists!$AE$2:$AE$9,0),_xlfn.XLOOKUP(L309,Lists!$AC$2:$AC$9,Lists!$AE$2:$AE$9,0)))</f>
        <v>0</v>
      </c>
      <c r="O309" s="68">
        <f ca="1">IF($B309="","",SUM(_xlfn.XLOOKUP(C309,Lists!$P$2:$P$19,Lists!$S$2:$S$19,0),_xlfn.XLOOKUP(E309,Lists!$P$2:$P$19,Lists!$S$2:$S$19,0),_xlfn.XLOOKUP(G309,Lists!$P$2:$P$19,Lists!$S$2:$S$19,0),_xlfn.XLOOKUP(I309,Lists!$P$2:$P$19,Lists!$S$2:$S$19,0),_xlfn.XLOOKUP(K309,Lists!$P$2:$P$19,Lists!$S$2:$S$19,0)))</f>
        <v>0</v>
      </c>
      <c r="P309" s="68">
        <f ca="1">IF($B309="","",SUM(_xlfn.XLOOKUP(C309,Lists!$P$2:$P$19,Lists!$T$2:$T$19,0),_xlfn.XLOOKUP(E309,Lists!$P$2:$P$19,Lists!$T$2:$T$19,0),_xlfn.XLOOKUP(G309,Lists!$P$2:$P$19,Lists!$T$2:$T$19,0),_xlfn.XLOOKUP(I309,Lists!$P$2:$P$19,Lists!$T$2:$T$19,0),_xlfn.XLOOKUP(K309,Lists!$P$2:$P$19,Lists!$T$2:$T$19,0)))</f>
        <v>0</v>
      </c>
      <c r="Q309" s="68">
        <f ca="1">IF($B309="","",SUM(_xlfn.XLOOKUP(C309,Lists!$P$2:$P$19,Lists!$U$2:$U$19,0),_xlfn.XLOOKUP(E309,Lists!$P$2:$P$19,Lists!$U$2:$U$19,0),_xlfn.XLOOKUP(G309,Lists!$P$2:$P$19,Lists!$U$2:$U$19,0),_xlfn.XLOOKUP(I309,Lists!$P$2:$P$19,Lists!$U$2:$U$19,0),_xlfn.XLOOKUP(K309,Lists!$P$2:$P$19,Lists!$U$2:$U$19,0)))</f>
        <v>0</v>
      </c>
      <c r="R309" s="68">
        <f ca="1">IF($B309="","",SUM(_xlfn.XLOOKUP(C309,Lists!$P$2:$P$19,Lists!$V$2:$V$19,0),_xlfn.XLOOKUP(E309,Lists!$P$2:$P$19,Lists!$V$2:$V$19,0),_xlfn.XLOOKUP(G309,Lists!$P$2:$P$19,Lists!$V$2:$V$19,0),_xlfn.XLOOKUP(I309,Lists!$P$2:$P$19,Lists!$V$2:$V$19,0),_xlfn.XLOOKUP(K309,Lists!$P$2:$P$19,Lists!$V$2:$V$19,0)))</f>
        <v>0</v>
      </c>
      <c r="S309" s="68">
        <f ca="1">IF($B309="","",SUM(_xlfn.XLOOKUP(D309,Lists!$AC$2:$AC$9,Lists!$AD$2:$AD$9,0),_xlfn.XLOOKUP(F309,Lists!$AC$2:$AC$9,Lists!$AD$2:$AD$9,0),_xlfn.XLOOKUP(H309,Lists!$AC$2:$AC$9,Lists!$AD$2:$AD$9,0),_xlfn.XLOOKUP(J309,Lists!$AC$2:$AC$9,Lists!$AD$2:$AD$9,0),_xlfn.XLOOKUP(L309,Lists!$AC$2:$AC$9,Lists!$AD$2:$AD$9,0)))</f>
        <v>0</v>
      </c>
      <c r="T309" s="68">
        <f ca="1">IF($B309="","",SUM(_xlfn.XLOOKUP(C309,Lists!$P$2:$P$19,Lists!$W$2:$W$19,0),_xlfn.XLOOKUP(E309,Lists!$P$2:$P$19,Lists!$W$2:$W$19,0),_xlfn.XLOOKUP(G309,Lists!$P$2:$P$19,Lists!$W$2:$W$19,0),_xlfn.XLOOKUP(I309,Lists!$P$2:$P$19,Lists!$W$2:$W$19,0),_xlfn.XLOOKUP(K309,Lists!$P$2:$P$19,Lists!$W$2:$W$19,0)))</f>
        <v>0</v>
      </c>
      <c r="U309" s="68">
        <f ca="1">IF($B309="","",SUM(_xlfn.XLOOKUP(C309,Lists!$P$2:$P$19,Lists!$X$2:$X$19,0),_xlfn.XLOOKUP(E309,Lists!$P$2:$P$19,Lists!$X$2:$X$19,0),_xlfn.XLOOKUP(G309,Lists!$P$2:$P$19,Lists!$X$2:$X$19,0),_xlfn.XLOOKUP(I309,Lists!$P$2:$P$19,Lists!$X$2:$X$19,0),_xlfn.XLOOKUP(K309,Lists!$P$2:$P$19,Lists!$X$2:$X$19,0)))</f>
        <v>0</v>
      </c>
      <c r="V309" s="68">
        <f ca="1">IF($B309="","",SUM(_xlfn.XLOOKUP(C309,Lists!$P$2:$P$19,Lists!$Y$2:$Y$19,0),_xlfn.XLOOKUP(E309,Lists!$P$2:$P$19,Lists!$Y$2:$Y$19,0),_xlfn.XLOOKUP(G309,Lists!$P$2:$P$19,Lists!$Y$2:$Y$19,0),_xlfn.XLOOKUP(I309,Lists!$P$2:$P$19,Lists!$Y$2:$Y$19,0),_xlfn.XLOOKUP(K309,Lists!$P$2:$P$19,Lists!$Y$2:$Y$19,0)))</f>
        <v>0</v>
      </c>
      <c r="W309" s="68">
        <f ca="1">IF($B309="","",SUM(_xlfn.XLOOKUP(C309,Lists!$P$2:$P$19,Lists!$Z$2:$Z$19,0),_xlfn.XLOOKUP(E309,Lists!$P$2:$P$19,Lists!$Z$2:$Z$19,0),_xlfn.XLOOKUP(G309,Lists!$P$2:$P$19,Lists!$Z$2:$Z$19,0),_xlfn.XLOOKUP(I309,Lists!$P$2:$P$19,Lists!$Z$2:$Z$19,0),_xlfn.XLOOKUP(K309,Lists!$P$2:$P$19,Lists!$Z$2:$Z$19,0)))</f>
        <v>0</v>
      </c>
      <c r="X309" s="69">
        <f ca="1">IF($B309="","",SUM(_xlfn.XLOOKUP(C309,Lists!$P$2:$P$19,Lists!$AA$2:$AA$19,0),_xlfn.XLOOKUP(E309,Lists!$P$2:$P$19,Lists!$AA$2:$AA$19,0),_xlfn.XLOOKUP(G309,Lists!$P$2:$P$19,Lists!$AA$2:$AA$19,0),_xlfn.XLOOKUP(I309,Lists!$P$2:$P$19,Lists!$AA$2:$AA$19,0),_xlfn.XLOOKUP(K309,Lists!$P$2:$P$19,Lists!$AA$2:$AA$19,0)))</f>
        <v>0</v>
      </c>
      <c r="Y309" s="49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  <c r="CV309" s="18"/>
      <c r="CW309" s="18"/>
      <c r="CX309" s="18"/>
      <c r="CY309" s="18"/>
      <c r="CZ309" s="18"/>
      <c r="DA309" s="18"/>
      <c r="DB309" s="18"/>
      <c r="DC309" s="18"/>
      <c r="DD309" s="18"/>
      <c r="DE309" s="18"/>
      <c r="DF309" s="18"/>
    </row>
    <row r="310" spans="1:110">
      <c r="A310" s="168">
        <v>8</v>
      </c>
      <c r="B310" s="47" t="str">
        <f ca="1">Lineups!$C$96</f>
        <v>Green Shy Guy</v>
      </c>
      <c r="C310" s="49" t="s">
        <v>185</v>
      </c>
      <c r="D310" s="49"/>
      <c r="E310" s="49"/>
      <c r="F310" s="49"/>
      <c r="G310" s="49"/>
      <c r="H310" s="50"/>
      <c r="I310" s="50"/>
      <c r="J310" s="50"/>
      <c r="K310" s="50"/>
      <c r="L310" s="50"/>
      <c r="M310" s="67">
        <f ca="1">IF($B310="","",SUM(_xlfn.XLOOKUP(C310,Lists!$P$2:$P$19,Lists!$R$2:$R$19,0),_xlfn.XLOOKUP(E310,Lists!$P$2:$P$19,Lists!$R$2:$R$19,0),_xlfn.XLOOKUP(G310,Lists!$P$2:$P$19,Lists!$R$2:$R$19,0),_xlfn.XLOOKUP(I310,Lists!$P$2:$P$19,Lists!$R$2:$R$19,0),_xlfn.XLOOKUP(K310,Lists!$P$2:$P$19,Lists!$R$2:$R$19,0)))</f>
        <v>1</v>
      </c>
      <c r="N310" s="68">
        <f ca="1">IF($B310="","",SUM(_xlfn.XLOOKUP(D310,Lists!$AC$2:$AC$9,Lists!$AE$2:$AE$9,0),_xlfn.XLOOKUP(F310,Lists!$AC$2:$AC$9,Lists!$AE$2:$AE$9,0),_xlfn.XLOOKUP(H310,Lists!$AC$2:$AC$9,Lists!$AE$2:$AE$9,0),_xlfn.XLOOKUP(J310,Lists!$AC$2:$AC$9,Lists!$AE$2:$AE$9,0),_xlfn.XLOOKUP(L310,Lists!$AC$2:$AC$9,Lists!$AE$2:$AE$9,0)))</f>
        <v>0</v>
      </c>
      <c r="O310" s="68">
        <f ca="1">IF($B310="","",SUM(_xlfn.XLOOKUP(C310,Lists!$P$2:$P$19,Lists!$S$2:$S$19,0),_xlfn.XLOOKUP(E310,Lists!$P$2:$P$19,Lists!$S$2:$S$19,0),_xlfn.XLOOKUP(G310,Lists!$P$2:$P$19,Lists!$S$2:$S$19,0),_xlfn.XLOOKUP(I310,Lists!$P$2:$P$19,Lists!$S$2:$S$19,0),_xlfn.XLOOKUP(K310,Lists!$P$2:$P$19,Lists!$S$2:$S$19,0)))</f>
        <v>0</v>
      </c>
      <c r="P310" s="68">
        <f ca="1">IF($B310="","",SUM(_xlfn.XLOOKUP(C310,Lists!$P$2:$P$19,Lists!$T$2:$T$19,0),_xlfn.XLOOKUP(E310,Lists!$P$2:$P$19,Lists!$T$2:$T$19,0),_xlfn.XLOOKUP(G310,Lists!$P$2:$P$19,Lists!$T$2:$T$19,0),_xlfn.XLOOKUP(I310,Lists!$P$2:$P$19,Lists!$T$2:$T$19,0),_xlfn.XLOOKUP(K310,Lists!$P$2:$P$19,Lists!$T$2:$T$19,0)))</f>
        <v>0</v>
      </c>
      <c r="Q310" s="68">
        <f ca="1">IF($B310="","",SUM(_xlfn.XLOOKUP(C310,Lists!$P$2:$P$19,Lists!$U$2:$U$19,0),_xlfn.XLOOKUP(E310,Lists!$P$2:$P$19,Lists!$U$2:$U$19,0),_xlfn.XLOOKUP(G310,Lists!$P$2:$P$19,Lists!$U$2:$U$19,0),_xlfn.XLOOKUP(I310,Lists!$P$2:$P$19,Lists!$U$2:$U$19,0),_xlfn.XLOOKUP(K310,Lists!$P$2:$P$19,Lists!$U$2:$U$19,0)))</f>
        <v>0</v>
      </c>
      <c r="R310" s="68">
        <f ca="1">IF($B310="","",SUM(_xlfn.XLOOKUP(C310,Lists!$P$2:$P$19,Lists!$V$2:$V$19,0),_xlfn.XLOOKUP(E310,Lists!$P$2:$P$19,Lists!$V$2:$V$19,0),_xlfn.XLOOKUP(G310,Lists!$P$2:$P$19,Lists!$V$2:$V$19,0),_xlfn.XLOOKUP(I310,Lists!$P$2:$P$19,Lists!$V$2:$V$19,0),_xlfn.XLOOKUP(K310,Lists!$P$2:$P$19,Lists!$V$2:$V$19,0)))</f>
        <v>0</v>
      </c>
      <c r="S310" s="68">
        <f ca="1">IF($B310="","",SUM(_xlfn.XLOOKUP(D310,Lists!$AC$2:$AC$9,Lists!$AD$2:$AD$9,0),_xlfn.XLOOKUP(F310,Lists!$AC$2:$AC$9,Lists!$AD$2:$AD$9,0),_xlfn.XLOOKUP(H310,Lists!$AC$2:$AC$9,Lists!$AD$2:$AD$9,0),_xlfn.XLOOKUP(J310,Lists!$AC$2:$AC$9,Lists!$AD$2:$AD$9,0),_xlfn.XLOOKUP(L310,Lists!$AC$2:$AC$9,Lists!$AD$2:$AD$9,0)))</f>
        <v>0</v>
      </c>
      <c r="T310" s="68">
        <f ca="1">IF($B310="","",SUM(_xlfn.XLOOKUP(C310,Lists!$P$2:$P$19,Lists!$W$2:$W$19,0),_xlfn.XLOOKUP(E310,Lists!$P$2:$P$19,Lists!$W$2:$W$19,0),_xlfn.XLOOKUP(G310,Lists!$P$2:$P$19,Lists!$W$2:$W$19,0),_xlfn.XLOOKUP(I310,Lists!$P$2:$P$19,Lists!$W$2:$W$19,0),_xlfn.XLOOKUP(K310,Lists!$P$2:$P$19,Lists!$W$2:$W$19,0)))</f>
        <v>0</v>
      </c>
      <c r="U310" s="68">
        <f ca="1">IF($B310="","",SUM(_xlfn.XLOOKUP(C310,Lists!$P$2:$P$19,Lists!$X$2:$X$19,0),_xlfn.XLOOKUP(E310,Lists!$P$2:$P$19,Lists!$X$2:$X$19,0),_xlfn.XLOOKUP(G310,Lists!$P$2:$P$19,Lists!$X$2:$X$19,0),_xlfn.XLOOKUP(I310,Lists!$P$2:$P$19,Lists!$X$2:$X$19,0),_xlfn.XLOOKUP(K310,Lists!$P$2:$P$19,Lists!$X$2:$X$19,0)))</f>
        <v>1</v>
      </c>
      <c r="V310" s="68">
        <f ca="1">IF($B310="","",SUM(_xlfn.XLOOKUP(C310,Lists!$P$2:$P$19,Lists!$Y$2:$Y$19,0),_xlfn.XLOOKUP(E310,Lists!$P$2:$P$19,Lists!$Y$2:$Y$19,0),_xlfn.XLOOKUP(G310,Lists!$P$2:$P$19,Lists!$Y$2:$Y$19,0),_xlfn.XLOOKUP(I310,Lists!$P$2:$P$19,Lists!$Y$2:$Y$19,0),_xlfn.XLOOKUP(K310,Lists!$P$2:$P$19,Lists!$Y$2:$Y$19,0)))</f>
        <v>0</v>
      </c>
      <c r="W310" s="68">
        <f ca="1">IF($B310="","",SUM(_xlfn.XLOOKUP(C310,Lists!$P$2:$P$19,Lists!$Z$2:$Z$19,0),_xlfn.XLOOKUP(E310,Lists!$P$2:$P$19,Lists!$Z$2:$Z$19,0),_xlfn.XLOOKUP(G310,Lists!$P$2:$P$19,Lists!$Z$2:$Z$19,0),_xlfn.XLOOKUP(I310,Lists!$P$2:$P$19,Lists!$Z$2:$Z$19,0),_xlfn.XLOOKUP(K310,Lists!$P$2:$P$19,Lists!$Z$2:$Z$19,0)))</f>
        <v>0</v>
      </c>
      <c r="X310" s="69">
        <f ca="1">IF($B310="","",SUM(_xlfn.XLOOKUP(C310,Lists!$P$2:$P$19,Lists!$AA$2:$AA$19,0),_xlfn.XLOOKUP(E310,Lists!$P$2:$P$19,Lists!$AA$2:$AA$19,0),_xlfn.XLOOKUP(G310,Lists!$P$2:$P$19,Lists!$AA$2:$AA$19,0),_xlfn.XLOOKUP(I310,Lists!$P$2:$P$19,Lists!$AA$2:$AA$19,0),_xlfn.XLOOKUP(K310,Lists!$P$2:$P$19,Lists!$AA$2:$AA$19,0)))</f>
        <v>0</v>
      </c>
      <c r="Y310" s="49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8"/>
      <c r="CW310" s="18"/>
      <c r="CX310" s="18"/>
      <c r="CY310" s="18"/>
      <c r="CZ310" s="18"/>
      <c r="DA310" s="18"/>
      <c r="DB310" s="18"/>
      <c r="DC310" s="18"/>
      <c r="DD310" s="18"/>
      <c r="DE310" s="18"/>
      <c r="DF310" s="18"/>
    </row>
    <row r="311" spans="1:110">
      <c r="A311" s="168">
        <v>9</v>
      </c>
      <c r="B311" s="47" t="str">
        <f ca="1">Lineups!$C$97</f>
        <v>Baby Peach</v>
      </c>
      <c r="C311" s="49"/>
      <c r="D311" s="49"/>
      <c r="E311" s="49"/>
      <c r="F311" s="49"/>
      <c r="G311" s="49"/>
      <c r="H311" s="50"/>
      <c r="I311" s="50"/>
      <c r="J311" s="50"/>
      <c r="K311" s="50"/>
      <c r="L311" s="50"/>
      <c r="M311" s="67">
        <f ca="1">IF($B311="","",SUM(_xlfn.XLOOKUP(C311,Lists!$P$2:$P$19,Lists!$R$2:$R$19,0),_xlfn.XLOOKUP(E311,Lists!$P$2:$P$19,Lists!$R$2:$R$19,0),_xlfn.XLOOKUP(G311,Lists!$P$2:$P$19,Lists!$R$2:$R$19,0),_xlfn.XLOOKUP(I311,Lists!$P$2:$P$19,Lists!$R$2:$R$19,0),_xlfn.XLOOKUP(K311,Lists!$P$2:$P$19,Lists!$R$2:$R$19,0)))</f>
        <v>0</v>
      </c>
      <c r="N311" s="68">
        <f ca="1">IF($B311="","",SUM(_xlfn.XLOOKUP(D311,Lists!$AC$2:$AC$9,Lists!$AE$2:$AE$9,0),_xlfn.XLOOKUP(F311,Lists!$AC$2:$AC$9,Lists!$AE$2:$AE$9,0),_xlfn.XLOOKUP(H311,Lists!$AC$2:$AC$9,Lists!$AE$2:$AE$9,0),_xlfn.XLOOKUP(J311,Lists!$AC$2:$AC$9,Lists!$AE$2:$AE$9,0),_xlfn.XLOOKUP(L311,Lists!$AC$2:$AC$9,Lists!$AE$2:$AE$9,0)))</f>
        <v>0</v>
      </c>
      <c r="O311" s="68">
        <f ca="1">IF($B311="","",SUM(_xlfn.XLOOKUP(C311,Lists!$P$2:$P$19,Lists!$S$2:$S$19,0),_xlfn.XLOOKUP(E311,Lists!$P$2:$P$19,Lists!$S$2:$S$19,0),_xlfn.XLOOKUP(G311,Lists!$P$2:$P$19,Lists!$S$2:$S$19,0),_xlfn.XLOOKUP(I311,Lists!$P$2:$P$19,Lists!$S$2:$S$19,0),_xlfn.XLOOKUP(K311,Lists!$P$2:$P$19,Lists!$S$2:$S$19,0)))</f>
        <v>0</v>
      </c>
      <c r="P311" s="68">
        <f ca="1">IF($B311="","",SUM(_xlfn.XLOOKUP(C311,Lists!$P$2:$P$19,Lists!$T$2:$T$19,0),_xlfn.XLOOKUP(E311,Lists!$P$2:$P$19,Lists!$T$2:$T$19,0),_xlfn.XLOOKUP(G311,Lists!$P$2:$P$19,Lists!$T$2:$T$19,0),_xlfn.XLOOKUP(I311,Lists!$P$2:$P$19,Lists!$T$2:$T$19,0),_xlfn.XLOOKUP(K311,Lists!$P$2:$P$19,Lists!$T$2:$T$19,0)))</f>
        <v>0</v>
      </c>
      <c r="Q311" s="68">
        <f ca="1">IF($B311="","",SUM(_xlfn.XLOOKUP(C311,Lists!$P$2:$P$19,Lists!$U$2:$U$19,0),_xlfn.XLOOKUP(E311,Lists!$P$2:$P$19,Lists!$U$2:$U$19,0),_xlfn.XLOOKUP(G311,Lists!$P$2:$P$19,Lists!$U$2:$U$19,0),_xlfn.XLOOKUP(I311,Lists!$P$2:$P$19,Lists!$U$2:$U$19,0),_xlfn.XLOOKUP(K311,Lists!$P$2:$P$19,Lists!$U$2:$U$19,0)))</f>
        <v>0</v>
      </c>
      <c r="R311" s="68">
        <f ca="1">IF($B311="","",SUM(_xlfn.XLOOKUP(C311,Lists!$P$2:$P$19,Lists!$V$2:$V$19,0),_xlfn.XLOOKUP(E311,Lists!$P$2:$P$19,Lists!$V$2:$V$19,0),_xlfn.XLOOKUP(G311,Lists!$P$2:$P$19,Lists!$V$2:$V$19,0),_xlfn.XLOOKUP(I311,Lists!$P$2:$P$19,Lists!$V$2:$V$19,0),_xlfn.XLOOKUP(K311,Lists!$P$2:$P$19,Lists!$V$2:$V$19,0)))</f>
        <v>0</v>
      </c>
      <c r="S311" s="68">
        <f ca="1">IF($B311="","",SUM(_xlfn.XLOOKUP(D311,Lists!$AC$2:$AC$9,Lists!$AD$2:$AD$9,0),_xlfn.XLOOKUP(F311,Lists!$AC$2:$AC$9,Lists!$AD$2:$AD$9,0),_xlfn.XLOOKUP(H311,Lists!$AC$2:$AC$9,Lists!$AD$2:$AD$9,0),_xlfn.XLOOKUP(J311,Lists!$AC$2:$AC$9,Lists!$AD$2:$AD$9,0),_xlfn.XLOOKUP(L311,Lists!$AC$2:$AC$9,Lists!$AD$2:$AD$9,0)))</f>
        <v>0</v>
      </c>
      <c r="T311" s="68">
        <f ca="1">IF($B311="","",SUM(_xlfn.XLOOKUP(C311,Lists!$P$2:$P$19,Lists!$W$2:$W$19,0),_xlfn.XLOOKUP(E311,Lists!$P$2:$P$19,Lists!$W$2:$W$19,0),_xlfn.XLOOKUP(G311,Lists!$P$2:$P$19,Lists!$W$2:$W$19,0),_xlfn.XLOOKUP(I311,Lists!$P$2:$P$19,Lists!$W$2:$W$19,0),_xlfn.XLOOKUP(K311,Lists!$P$2:$P$19,Lists!$W$2:$W$19,0)))</f>
        <v>0</v>
      </c>
      <c r="U311" s="68">
        <f ca="1">IF($B311="","",SUM(_xlfn.XLOOKUP(C311,Lists!$P$2:$P$19,Lists!$X$2:$X$19,0),_xlfn.XLOOKUP(E311,Lists!$P$2:$P$19,Lists!$X$2:$X$19,0),_xlfn.XLOOKUP(G311,Lists!$P$2:$P$19,Lists!$X$2:$X$19,0),_xlfn.XLOOKUP(I311,Lists!$P$2:$P$19,Lists!$X$2:$X$19,0),_xlfn.XLOOKUP(K311,Lists!$P$2:$P$19,Lists!$X$2:$X$19,0)))</f>
        <v>0</v>
      </c>
      <c r="V311" s="68">
        <f ca="1">IF($B311="","",SUM(_xlfn.XLOOKUP(C311,Lists!$P$2:$P$19,Lists!$Y$2:$Y$19,0),_xlfn.XLOOKUP(E311,Lists!$P$2:$P$19,Lists!$Y$2:$Y$19,0),_xlfn.XLOOKUP(G311,Lists!$P$2:$P$19,Lists!$Y$2:$Y$19,0),_xlfn.XLOOKUP(I311,Lists!$P$2:$P$19,Lists!$Y$2:$Y$19,0),_xlfn.XLOOKUP(K311,Lists!$P$2:$P$19,Lists!$Y$2:$Y$19,0)))</f>
        <v>0</v>
      </c>
      <c r="W311" s="68">
        <f ca="1">IF($B311="","",SUM(_xlfn.XLOOKUP(C311,Lists!$P$2:$P$19,Lists!$Z$2:$Z$19,0),_xlfn.XLOOKUP(E311,Lists!$P$2:$P$19,Lists!$Z$2:$Z$19,0),_xlfn.XLOOKUP(G311,Lists!$P$2:$P$19,Lists!$Z$2:$Z$19,0),_xlfn.XLOOKUP(I311,Lists!$P$2:$P$19,Lists!$Z$2:$Z$19,0),_xlfn.XLOOKUP(K311,Lists!$P$2:$P$19,Lists!$Z$2:$Z$19,0)))</f>
        <v>0</v>
      </c>
      <c r="X311" s="69">
        <f ca="1">IF($B311="","",SUM(_xlfn.XLOOKUP(C311,Lists!$P$2:$P$19,Lists!$AA$2:$AA$19,0),_xlfn.XLOOKUP(E311,Lists!$P$2:$P$19,Lists!$AA$2:$AA$19,0),_xlfn.XLOOKUP(G311,Lists!$P$2:$P$19,Lists!$AA$2:$AA$19,0),_xlfn.XLOOKUP(I311,Lists!$P$2:$P$19,Lists!$AA$2:$AA$19,0),_xlfn.XLOOKUP(K311,Lists!$P$2:$P$19,Lists!$AA$2:$AA$19,0)))</f>
        <v>0</v>
      </c>
      <c r="Y311" s="49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  <c r="CV311" s="18"/>
      <c r="CW311" s="18"/>
      <c r="CX311" s="18"/>
      <c r="CY311" s="18"/>
      <c r="CZ311" s="18"/>
      <c r="DA311" s="18"/>
      <c r="DB311" s="18"/>
      <c r="DC311" s="18"/>
      <c r="DD311" s="18"/>
      <c r="DE311" s="18"/>
      <c r="DF311" s="18"/>
    </row>
    <row r="312" spans="1:110">
      <c r="A312" s="173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18"/>
      <c r="CW312" s="18"/>
      <c r="CX312" s="18"/>
      <c r="CY312" s="18"/>
      <c r="CZ312" s="18"/>
      <c r="DA312" s="18"/>
      <c r="DB312" s="18"/>
      <c r="DC312" s="18"/>
      <c r="DD312" s="18"/>
      <c r="DE312" s="18"/>
      <c r="DF312" s="18"/>
    </row>
    <row r="313" spans="1:110">
      <c r="A313" s="222" t="str">
        <f ca="1">IF($N$296="","Team A Pitching",$N$296&amp;" Pitching")</f>
        <v>May Pitching</v>
      </c>
      <c r="B313" s="221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06"/>
      <c r="O313" s="186"/>
      <c r="P313" s="24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  <c r="CU313" s="18"/>
      <c r="CV313" s="18"/>
      <c r="CW313" s="18"/>
      <c r="CX313" s="18"/>
      <c r="CY313" s="18"/>
      <c r="CZ313" s="18"/>
      <c r="DA313" s="18"/>
      <c r="DB313" s="18"/>
      <c r="DC313" s="18"/>
      <c r="DD313" s="18"/>
      <c r="DE313" s="18"/>
      <c r="DF313" s="18"/>
    </row>
    <row r="314" spans="1:110">
      <c r="A314" s="167" t="s">
        <v>103</v>
      </c>
      <c r="B314" s="43" t="s">
        <v>194</v>
      </c>
      <c r="C314" s="43" t="s">
        <v>195</v>
      </c>
      <c r="D314" s="43" t="s">
        <v>162</v>
      </c>
      <c r="E314" s="43" t="s">
        <v>161</v>
      </c>
      <c r="F314" s="43" t="s">
        <v>196</v>
      </c>
      <c r="G314" s="43" t="s">
        <v>180</v>
      </c>
      <c r="H314" s="43" t="s">
        <v>181</v>
      </c>
      <c r="I314" s="44" t="s">
        <v>197</v>
      </c>
      <c r="J314" s="44" t="s">
        <v>198</v>
      </c>
      <c r="K314" s="44" t="s">
        <v>199</v>
      </c>
      <c r="L314" s="44" t="s">
        <v>200</v>
      </c>
      <c r="M314" s="44" t="s">
        <v>201</v>
      </c>
      <c r="N314" s="45" t="s">
        <v>202</v>
      </c>
      <c r="O314" s="45" t="s">
        <v>203</v>
      </c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18"/>
      <c r="CU314" s="18"/>
      <c r="CV314" s="18"/>
      <c r="CW314" s="18"/>
      <c r="CX314" s="18"/>
      <c r="CY314" s="18"/>
      <c r="CZ314" s="18"/>
      <c r="DA314" s="18"/>
      <c r="DB314" s="18"/>
      <c r="DC314" s="18"/>
      <c r="DD314" s="18"/>
      <c r="DE314" s="18"/>
      <c r="DF314" s="18"/>
    </row>
    <row r="315" spans="1:110">
      <c r="A315" s="168">
        <v>1</v>
      </c>
      <c r="B315" s="71" t="s">
        <v>58</v>
      </c>
      <c r="C315" s="70" cm="1">
        <f t="array" aca="1" ref="C315" ca="1">IF(OR(B315="",O315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3</v>
      </c>
      <c r="D315" s="67" cm="1">
        <f t="array" aca="1" ref="D315" ca="1">IF(OR(B315="",O315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1</v>
      </c>
      <c r="E315" s="67" cm="1">
        <f t="array" aca="1" ref="E315" ca="1">IF(OR(B315="",O315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315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0</v>
      </c>
      <c r="F315" s="67" cm="1">
        <f t="array" aca="1" ref="F315" ca="1">IF(OR(B315="",O315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315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0</v>
      </c>
      <c r="G315" s="67" cm="1">
        <f t="array" aca="1" ref="G315" ca="1">IF(OR(B315="",O315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315" s="67" cm="1">
        <f t="array" aca="1" ref="H315" ca="1">IF(OR(B315="",O315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3</v>
      </c>
      <c r="I315" s="68" cm="1">
        <f t="array" aca="1" ref="I315" ca="1">IF(OR(B315="",O315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315" s="68" cm="1">
        <f t="array" aca="1" ref="J315" ca="1">IF(OR(B315="",O315=""),"",--(SUM(_xlfn.XLOOKUP(_xlfn._xlws.FILTER(_xlfn.TOCOL(_xlfn.CHOOSECOLS(C303:L311,2,4,6,8,10),0,TRUE),_xlfn.TOCOL(_xlfn.CHOOSECOLS(C303:L311,1,3,5,7,9),0,TRUE)&lt;&gt;""),Lists!$AC$2:$AC$9,Lists!$AF$2:$AF$9,0))&gt;SUM(_xlfn.XLOOKUP(_xlfn._xlws.FILTER(_xlfn.TOCOL(_xlfn.CHOOSECOLS(C324:L332,2,4,6,8,10),0,TRUE),_xlfn.TOCOL(_xlfn.CHOOSECOLS(C324:L332,1,3,5,7,9),0,TRUE)&lt;&gt;""),Lists!$AC$2:$AC$9,Lists!$AF$2:$AF$9,0)))*--(ROW()-ROW(C314)=_xlfn.XLOOKUP(MAX(IF(O315:O320&gt;0,INT(C315:C320)*3+MOD(ROUND(C315:C320*10,0),10),-1)),IF(O315:O320&gt;0,INT(C315:C320)*3+MOD(ROUND(C315:C320*10,0),10),-1),_xlfn.SEQUENCE(ROWS(O315:O320)),,0)))</f>
        <v>1</v>
      </c>
      <c r="K315" s="68" cm="1">
        <f t="array" aca="1" ref="K315" ca="1">IF(OR(B315="",O315=""),"",--(SUM(_xlfn.XLOOKUP(_xlfn._xlws.FILTER(_xlfn.TOCOL(_xlfn.CHOOSECOLS(C303:L311,2,4,6,8,10),0,TRUE),_xlfn.TOCOL(_xlfn.CHOOSECOLS(C303:L311,1,3,5,7,9),0,TRUE)&lt;&gt;""),Lists!$AC$2:$AC$9,Lists!$AF$2:$AF$9,0))&lt;SUM(_xlfn.XLOOKUP(_xlfn._xlws.FILTER(_xlfn.TOCOL(_xlfn.CHOOSECOLS(C324:L332,2,4,6,8,10),0,TRUE),_xlfn.TOCOL(_xlfn.CHOOSECOLS(C324:L332,1,3,5,7,9),0,TRUE)&lt;&gt;""),Lists!$AC$2:$AC$9,Lists!$AF$2:$AF$9,0)))*--(ROW()-ROW(C314)=_xlfn.XLOOKUP(MAX(IF(O315:O320&gt;0,E315:E320,-1)),IF(O315:O320&gt;0,E315:E320,-1),_xlfn.SEQUENCE(ROWS(O315:O320)),,0)))</f>
        <v>0</v>
      </c>
      <c r="L315" s="68" cm="1">
        <f t="array" aca="1" ref="L315" ca="1">IF(OR(B315="",O315=""),"",--(SUM(_xlfn.XLOOKUP(_xlfn._xlws.FILTER(_xlfn.TOCOL(_xlfn.CHOOSECOLS(C303:L311,2,4,6,8,10),0,TRUE),_xlfn.TOCOL(_xlfn.CHOOSECOLS(C303:L311,1,3,5,7,9),0,TRUE)&lt;&gt;""),Lists!$AC$2:$AC$9,Lists!$AF$2:$AF$9,0))&gt;SUM(_xlfn.XLOOKUP(_xlfn._xlws.FILTER(_xlfn.TOCOL(_xlfn.CHOOSECOLS(C324:L332,2,4,6,8,10),0,TRUE),_xlfn.TOCOL(_xlfn.CHOOSECOLS(C324:L332,1,3,5,7,9),0,TRUE)&lt;&gt;""),Lists!$AC$2:$AC$9,Lists!$AF$2:$AF$9,0)))*--(COUNTIF(O315:O320,"&gt;0")&gt;1)*--(ROW()-ROW(C314)=_xlfn.XLOOKUP(TRUE,O315:O320&gt;0,_xlfn.SEQUENCE(ROWS(O315:O320)),,0,-1))*--(_xlfn.XLOOKUP(TRUE,O315:O320&gt;0,_xlfn.SEQUENCE(ROWS(O315:O320)),,0,-1)&lt;&gt;_xlfn.XLOOKUP(MAX(IF(O315:O320&gt;0,INT(C315:C320)*3+MOD(ROUND(C315:C320*10,0),10),-1)),IF(O315:O320&gt;0,INT(C315:C320)*3+MOD(ROUND(C315:C320*10,0),10),-1),_xlfn.SEQUENCE(ROWS(O315:O320)),,0))*--(SUM(_xlfn.XLOOKUP(_xlfn._xlws.FILTER(_xlfn.TOCOL(_xlfn.CHOOSECOLS(C303:L311,2,4,6,8,10),0,TRUE),_xlfn.TOCOL(_xlfn.CHOOSECOLS(C303:L311,1,3,5,7,9),0,TRUE)&lt;&gt;""),Lists!$AC$2:$AC$9,Lists!$AF$2:$AF$9,0))-SUM(_xlfn.XLOOKUP(_xlfn._xlws.FILTER(_xlfn.TOCOL(_xlfn.CHOOSECOLS(C324:L332,2,4,6,8,10),0,TRUE),_xlfn.TOCOL(_xlfn.CHOOSECOLS(C324:L332,1,3,5,7,9),0,TRUE)&lt;&gt;""),Lists!$AC$2:$AC$9,Lists!$AF$2:$AF$9,0))&lt;=3)*--((INT(C315)*3+MOD(ROUND(C315*10,0),10))&gt;=3))</f>
        <v>0</v>
      </c>
      <c r="M315" s="68" cm="1">
        <f t="array" aca="1" ref="M315" ca="1">IF(OR(B315="",O315=""),"",--(COUNTIF(O315:O320,"&gt;0")=1)*--(SUM(_xlfn.XLOOKUP(_xlfn._xlws.FILTER(_xlfn.TOCOL(_xlfn.CHOOSECOLS(C324:L332,2,4,6,8,10),0,TRUE),_xlfn.TOCOL(_xlfn.CHOOSECOLS(C324:L332,1,3,5,7,9),0,TRUE)&lt;&gt;""),Lists!$AC$2:$AC$9,Lists!$AF$2:$AF$9,0))=0))</f>
        <v>1</v>
      </c>
      <c r="N315" s="69">
        <f ca="1">IF(OR(B315="",O315=""),"",--(COUNTIF(O315:O320,"&gt;0")=1))</f>
        <v>1</v>
      </c>
      <c r="O315" s="51">
        <v>9</v>
      </c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  <c r="CV315" s="18"/>
      <c r="CW315" s="18"/>
      <c r="CX315" s="18"/>
      <c r="CY315" s="18"/>
      <c r="CZ315" s="18"/>
      <c r="DA315" s="18"/>
      <c r="DB315" s="18"/>
      <c r="DC315" s="18"/>
      <c r="DD315" s="18"/>
      <c r="DE315" s="18"/>
      <c r="DF315" s="18"/>
    </row>
    <row r="316" spans="1:110">
      <c r="A316" s="168">
        <v>2</v>
      </c>
      <c r="B316" s="71"/>
      <c r="C316" s="70" t="str" cm="1">
        <f t="array" aca="1" ref="C316" ca="1">IF(OR(B316="",O316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316" s="67" t="str" cm="1">
        <f t="array" aca="1" ref="D316" ca="1">IF(OR(B316="",O316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316" s="67" t="str" cm="1">
        <f t="array" aca="1" ref="E316" ca="1">IF(OR(B316="",O316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316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316" s="67" t="str" cm="1">
        <f t="array" aca="1" ref="F316" ca="1">IF(OR(B316="",O316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316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316" s="67" t="str" cm="1">
        <f t="array" aca="1" ref="G316" ca="1">IF(OR(B316="",O316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316" s="67" t="str" cm="1">
        <f t="array" aca="1" ref="H316" ca="1">IF(OR(B316="",O316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316" s="68" t="str" cm="1">
        <f t="array" aca="1" ref="I316" ca="1">IF(OR(B316="",O316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316" s="68" t="str" cm="1">
        <f t="array" aca="1" ref="J316" ca="1">IF(OR(B316="",O316=""),"",--(SUM(_xlfn.XLOOKUP(_xlfn._xlws.FILTER(_xlfn.TOCOL(_xlfn.CHOOSECOLS(C303:L311,2,4,6,8,10),0,TRUE),_xlfn.TOCOL(_xlfn.CHOOSECOLS(C303:L311,1,3,5,7,9),0,TRUE)&lt;&gt;""),Lists!$AC$2:$AC$9,Lists!$AF$2:$AF$9,0))&gt;SUM(_xlfn.XLOOKUP(_xlfn._xlws.FILTER(_xlfn.TOCOL(_xlfn.CHOOSECOLS(C324:L332,2,4,6,8,10),0,TRUE),_xlfn.TOCOL(_xlfn.CHOOSECOLS(C324:L332,1,3,5,7,9),0,TRUE)&lt;&gt;""),Lists!$AC$2:$AC$9,Lists!$AF$2:$AF$9,0)))*--(ROW()-ROW(C314)=_xlfn.XLOOKUP(MAX(IF(O315:O320&gt;0,INT(C315:C320)*3+MOD(ROUND(C315:C320*10,0),10),-1)),IF(O315:O320&gt;0,INT(C315:C320)*3+MOD(ROUND(C315:C320*10,0),10),-1),_xlfn.SEQUENCE(ROWS(O315:O320)),,0)))</f>
        <v/>
      </c>
      <c r="K316" s="68" t="str" cm="1">
        <f t="array" aca="1" ref="K316" ca="1">IF(OR(B316="",O316=""),"",--(SUM(_xlfn.XLOOKUP(_xlfn._xlws.FILTER(_xlfn.TOCOL(_xlfn.CHOOSECOLS(C303:L311,2,4,6,8,10),0,TRUE),_xlfn.TOCOL(_xlfn.CHOOSECOLS(C303:L311,1,3,5,7,9),0,TRUE)&lt;&gt;""),Lists!$AC$2:$AC$9,Lists!$AF$2:$AF$9,0))&lt;SUM(_xlfn.XLOOKUP(_xlfn._xlws.FILTER(_xlfn.TOCOL(_xlfn.CHOOSECOLS(C324:L332,2,4,6,8,10),0,TRUE),_xlfn.TOCOL(_xlfn.CHOOSECOLS(C324:L332,1,3,5,7,9),0,TRUE)&lt;&gt;""),Lists!$AC$2:$AC$9,Lists!$AF$2:$AF$9,0)))*--(ROW()-ROW(C314)=_xlfn.XLOOKUP(MAX(IF(O315:O320&gt;0,E315:E320,-1)),IF(O315:O320&gt;0,E315:E320,-1),_xlfn.SEQUENCE(ROWS(O315:O320)),,0)))</f>
        <v/>
      </c>
      <c r="L316" s="68" t="str" cm="1">
        <f t="array" aca="1" ref="L316" ca="1">IF(OR(B316="",O316=""),"",--(SUM(_xlfn.XLOOKUP(_xlfn._xlws.FILTER(_xlfn.TOCOL(_xlfn.CHOOSECOLS(C303:L311,2,4,6,8,10),0,TRUE),_xlfn.TOCOL(_xlfn.CHOOSECOLS(C303:L311,1,3,5,7,9),0,TRUE)&lt;&gt;""),Lists!$AC$2:$AC$9,Lists!$AF$2:$AF$9,0))&gt;SUM(_xlfn.XLOOKUP(_xlfn._xlws.FILTER(_xlfn.TOCOL(_xlfn.CHOOSECOLS(C324:L332,2,4,6,8,10),0,TRUE),_xlfn.TOCOL(_xlfn.CHOOSECOLS(C324:L332,1,3,5,7,9),0,TRUE)&lt;&gt;""),Lists!$AC$2:$AC$9,Lists!$AF$2:$AF$9,0)))*--(COUNTIF(O315:O320,"&gt;0")&gt;1)*--(ROW()-ROW(C314)=_xlfn.XLOOKUP(TRUE,O315:O320&gt;0,_xlfn.SEQUENCE(ROWS(O315:O320)),,0,-1))*--(_xlfn.XLOOKUP(TRUE,O315:O320&gt;0,_xlfn.SEQUENCE(ROWS(O315:O320)),,0,-1)&lt;&gt;_xlfn.XLOOKUP(MAX(IF(O315:O320&gt;0,INT(C315:C320)*3+MOD(ROUND(C315:C320*10,0),10),-1)),IF(O315:O320&gt;0,INT(C315:C320)*3+MOD(ROUND(C315:C320*10,0),10),-1),_xlfn.SEQUENCE(ROWS(O315:O320)),,0))*--(SUM(_xlfn.XLOOKUP(_xlfn._xlws.FILTER(_xlfn.TOCOL(_xlfn.CHOOSECOLS(C303:L311,2,4,6,8,10),0,TRUE),_xlfn.TOCOL(_xlfn.CHOOSECOLS(C303:L311,1,3,5,7,9),0,TRUE)&lt;&gt;""),Lists!$AC$2:$AC$9,Lists!$AF$2:$AF$9,0))-SUM(_xlfn.XLOOKUP(_xlfn._xlws.FILTER(_xlfn.TOCOL(_xlfn.CHOOSECOLS(C324:L332,2,4,6,8,10),0,TRUE),_xlfn.TOCOL(_xlfn.CHOOSECOLS(C324:L332,1,3,5,7,9),0,TRUE)&lt;&gt;""),Lists!$AC$2:$AC$9,Lists!$AF$2:$AF$9,0))&lt;=3)*--((INT(C316)*3+MOD(ROUND(C316*10,0),10))&gt;=3))</f>
        <v/>
      </c>
      <c r="M316" s="68" t="str" cm="1">
        <f t="array" aca="1" ref="M316" ca="1">IF(OR(B316="",O316=""),"",--(COUNTIF(O315:O320,"&gt;0")=1)*--(SUM(_xlfn.XLOOKUP(_xlfn._xlws.FILTER(_xlfn.TOCOL(_xlfn.CHOOSECOLS(C324:L332,2,4,6,8,10),0,TRUE),_xlfn.TOCOL(_xlfn.CHOOSECOLS(C324:L332,1,3,5,7,9),0,TRUE)&lt;&gt;""),Lists!$AC$2:$AC$9,Lists!$AF$2:$AF$9,0))=0))</f>
        <v/>
      </c>
      <c r="N316" s="69" t="str">
        <f ca="1">IF(OR(B316="",O316=""),"",--(COUNTIF(O315:O320,"&gt;0")=1))</f>
        <v/>
      </c>
      <c r="O316" s="5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18"/>
      <c r="CU316" s="18"/>
      <c r="CV316" s="18"/>
      <c r="CW316" s="18"/>
      <c r="CX316" s="18"/>
      <c r="CY316" s="18"/>
      <c r="CZ316" s="18"/>
      <c r="DA316" s="18"/>
      <c r="DB316" s="18"/>
      <c r="DC316" s="18"/>
      <c r="DD316" s="18"/>
      <c r="DE316" s="18"/>
      <c r="DF316" s="18"/>
    </row>
    <row r="317" spans="1:110">
      <c r="A317" s="168">
        <v>3</v>
      </c>
      <c r="B317" s="71"/>
      <c r="C317" s="70" t="str" cm="1">
        <f t="array" aca="1" ref="C317" ca="1">IF(OR(B317="",O317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317" s="67" t="str" cm="1">
        <f t="array" aca="1" ref="D317" ca="1">IF(OR(B317="",O317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317" s="67" t="str" cm="1">
        <f t="array" aca="1" ref="E317" ca="1">IF(OR(B317="",O317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317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317" s="67" t="str" cm="1">
        <f t="array" aca="1" ref="F317" ca="1">IF(OR(B317="",O317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317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317" s="67" t="str" cm="1">
        <f t="array" aca="1" ref="G317" ca="1">IF(OR(B317="",O317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317" s="67" t="str" cm="1">
        <f t="array" aca="1" ref="H317" ca="1">IF(OR(B317="",O317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317" s="68" t="str" cm="1">
        <f t="array" aca="1" ref="I317" ca="1">IF(OR(B317="",O317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317" s="68" t="str" cm="1">
        <f t="array" aca="1" ref="J317" ca="1">IF(OR(B317="",O317=""),"",--(SUM(_xlfn.XLOOKUP(_xlfn._xlws.FILTER(_xlfn.TOCOL(_xlfn.CHOOSECOLS(C303:L311,2,4,6,8,10),0,TRUE),_xlfn.TOCOL(_xlfn.CHOOSECOLS(C303:L311,1,3,5,7,9),0,TRUE)&lt;&gt;""),Lists!$AC$2:$AC$9,Lists!$AF$2:$AF$9,0))&gt;SUM(_xlfn.XLOOKUP(_xlfn._xlws.FILTER(_xlfn.TOCOL(_xlfn.CHOOSECOLS(C324:L332,2,4,6,8,10),0,TRUE),_xlfn.TOCOL(_xlfn.CHOOSECOLS(C324:L332,1,3,5,7,9),0,TRUE)&lt;&gt;""),Lists!$AC$2:$AC$9,Lists!$AF$2:$AF$9,0)))*--(ROW()-ROW(C314)=_xlfn.XLOOKUP(MAX(IF(O315:O320&gt;0,INT(C315:C320)*3+MOD(ROUND(C315:C320*10,0),10),-1)),IF(O315:O320&gt;0,INT(C315:C320)*3+MOD(ROUND(C315:C320*10,0),10),-1),_xlfn.SEQUENCE(ROWS(O315:O320)),,0)))</f>
        <v/>
      </c>
      <c r="K317" s="68" t="str" cm="1">
        <f t="array" aca="1" ref="K317" ca="1">IF(OR(B317="",O317=""),"",--(SUM(_xlfn.XLOOKUP(_xlfn._xlws.FILTER(_xlfn.TOCOL(_xlfn.CHOOSECOLS(C303:L311,2,4,6,8,10),0,TRUE),_xlfn.TOCOL(_xlfn.CHOOSECOLS(C303:L311,1,3,5,7,9),0,TRUE)&lt;&gt;""),Lists!$AC$2:$AC$9,Lists!$AF$2:$AF$9,0))&lt;SUM(_xlfn.XLOOKUP(_xlfn._xlws.FILTER(_xlfn.TOCOL(_xlfn.CHOOSECOLS(C324:L332,2,4,6,8,10),0,TRUE),_xlfn.TOCOL(_xlfn.CHOOSECOLS(C324:L332,1,3,5,7,9),0,TRUE)&lt;&gt;""),Lists!$AC$2:$AC$9,Lists!$AF$2:$AF$9,0)))*--(ROW()-ROW(C314)=_xlfn.XLOOKUP(MAX(IF(O315:O320&gt;0,E315:E320,-1)),IF(O315:O320&gt;0,E315:E320,-1),_xlfn.SEQUENCE(ROWS(O315:O320)),,0)))</f>
        <v/>
      </c>
      <c r="L317" s="68" t="str" cm="1">
        <f t="array" aca="1" ref="L317" ca="1">IF(OR(B317="",O317=""),"",--(SUM(_xlfn.XLOOKUP(_xlfn._xlws.FILTER(_xlfn.TOCOL(_xlfn.CHOOSECOLS(C303:L311,2,4,6,8,10),0,TRUE),_xlfn.TOCOL(_xlfn.CHOOSECOLS(C303:L311,1,3,5,7,9),0,TRUE)&lt;&gt;""),Lists!$AC$2:$AC$9,Lists!$AF$2:$AF$9,0))&gt;SUM(_xlfn.XLOOKUP(_xlfn._xlws.FILTER(_xlfn.TOCOL(_xlfn.CHOOSECOLS(C324:L332,2,4,6,8,10),0,TRUE),_xlfn.TOCOL(_xlfn.CHOOSECOLS(C324:L332,1,3,5,7,9),0,TRUE)&lt;&gt;""),Lists!$AC$2:$AC$9,Lists!$AF$2:$AF$9,0)))*--(COUNTIF(O315:O320,"&gt;0")&gt;1)*--(ROW()-ROW(C314)=_xlfn.XLOOKUP(TRUE,O315:O320&gt;0,_xlfn.SEQUENCE(ROWS(O315:O320)),,0,-1))*--(_xlfn.XLOOKUP(TRUE,O315:O320&gt;0,_xlfn.SEQUENCE(ROWS(O315:O320)),,0,-1)&lt;&gt;_xlfn.XLOOKUP(MAX(IF(O315:O320&gt;0,INT(C315:C320)*3+MOD(ROUND(C315:C320*10,0),10),-1)),IF(O315:O320&gt;0,INT(C315:C320)*3+MOD(ROUND(C315:C320*10,0),10),-1),_xlfn.SEQUENCE(ROWS(O315:O320)),,0))*--(SUM(_xlfn.XLOOKUP(_xlfn._xlws.FILTER(_xlfn.TOCOL(_xlfn.CHOOSECOLS(C303:L311,2,4,6,8,10),0,TRUE),_xlfn.TOCOL(_xlfn.CHOOSECOLS(C303:L311,1,3,5,7,9),0,TRUE)&lt;&gt;""),Lists!$AC$2:$AC$9,Lists!$AF$2:$AF$9,0))-SUM(_xlfn.XLOOKUP(_xlfn._xlws.FILTER(_xlfn.TOCOL(_xlfn.CHOOSECOLS(C324:L332,2,4,6,8,10),0,TRUE),_xlfn.TOCOL(_xlfn.CHOOSECOLS(C324:L332,1,3,5,7,9),0,TRUE)&lt;&gt;""),Lists!$AC$2:$AC$9,Lists!$AF$2:$AF$9,0))&lt;=3)*--((INT(C317)*3+MOD(ROUND(C317*10,0),10))&gt;=3))</f>
        <v/>
      </c>
      <c r="M317" s="68" t="str" cm="1">
        <f t="array" aca="1" ref="M317" ca="1">IF(OR(B317="",O317=""),"",--(COUNTIF(O315:O320,"&gt;0")=1)*--(SUM(_xlfn.XLOOKUP(_xlfn._xlws.FILTER(_xlfn.TOCOL(_xlfn.CHOOSECOLS(C324:L332,2,4,6,8,10),0,TRUE),_xlfn.TOCOL(_xlfn.CHOOSECOLS(C324:L332,1,3,5,7,9),0,TRUE)&lt;&gt;""),Lists!$AC$2:$AC$9,Lists!$AF$2:$AF$9,0))=0))</f>
        <v/>
      </c>
      <c r="N317" s="69" t="str">
        <f ca="1">IF(OR(B317="",O317=""),"",--(COUNTIF(O315:O320,"&gt;0")=1))</f>
        <v/>
      </c>
      <c r="O317" s="5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18"/>
      <c r="CU317" s="18"/>
      <c r="CV317" s="18"/>
      <c r="CW317" s="18"/>
      <c r="CX317" s="18"/>
      <c r="CY317" s="18"/>
      <c r="CZ317" s="18"/>
      <c r="DA317" s="18"/>
      <c r="DB317" s="18"/>
      <c r="DC317" s="18"/>
      <c r="DD317" s="18"/>
      <c r="DE317" s="18"/>
      <c r="DF317" s="18"/>
    </row>
    <row r="318" spans="1:110">
      <c r="A318" s="168">
        <v>4</v>
      </c>
      <c r="B318" s="71"/>
      <c r="C318" s="70" t="str" cm="1">
        <f t="array" aca="1" ref="C318" ca="1">IF(OR(B318="",O318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318" s="67" t="str" cm="1">
        <f t="array" aca="1" ref="D318" ca="1">IF(OR(B318="",O318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318" s="67" t="str" cm="1">
        <f t="array" aca="1" ref="E318" ca="1">IF(OR(B318="",O318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318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318" s="67" t="str" cm="1">
        <f t="array" aca="1" ref="F318" ca="1">IF(OR(B318="",O318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318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318" s="67" t="str" cm="1">
        <f t="array" aca="1" ref="G318" ca="1">IF(OR(B318="",O318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318" s="67" t="str" cm="1">
        <f t="array" aca="1" ref="H318" ca="1">IF(OR(B318="",O318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318" s="68" t="str" cm="1">
        <f t="array" aca="1" ref="I318" ca="1">IF(OR(B318="",O318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318" s="68" t="str" cm="1">
        <f t="array" aca="1" ref="J318" ca="1">IF(OR(B318="",O318=""),"",--(SUM(_xlfn.XLOOKUP(_xlfn._xlws.FILTER(_xlfn.TOCOL(_xlfn.CHOOSECOLS(C303:L311,2,4,6,8,10),0,TRUE),_xlfn.TOCOL(_xlfn.CHOOSECOLS(C303:L311,1,3,5,7,9),0,TRUE)&lt;&gt;""),Lists!$AC$2:$AC$9,Lists!$AF$2:$AF$9,0))&gt;SUM(_xlfn.XLOOKUP(_xlfn._xlws.FILTER(_xlfn.TOCOL(_xlfn.CHOOSECOLS(C324:L332,2,4,6,8,10),0,TRUE),_xlfn.TOCOL(_xlfn.CHOOSECOLS(C324:L332,1,3,5,7,9),0,TRUE)&lt;&gt;""),Lists!$AC$2:$AC$9,Lists!$AF$2:$AF$9,0)))*--(ROW()-ROW(C314)=_xlfn.XLOOKUP(MAX(IF(O315:O320&gt;0,INT(C315:C320)*3+MOD(ROUND(C315:C320*10,0),10),-1)),IF(O315:O320&gt;0,INT(C315:C320)*3+MOD(ROUND(C315:C320*10,0),10),-1),_xlfn.SEQUENCE(ROWS(O315:O320)),,0)))</f>
        <v/>
      </c>
      <c r="K318" s="68" t="str" cm="1">
        <f t="array" aca="1" ref="K318" ca="1">IF(OR(B318="",O318=""),"",--(SUM(_xlfn.XLOOKUP(_xlfn._xlws.FILTER(_xlfn.TOCOL(_xlfn.CHOOSECOLS(C303:L311,2,4,6,8,10),0,TRUE),_xlfn.TOCOL(_xlfn.CHOOSECOLS(C303:L311,1,3,5,7,9),0,TRUE)&lt;&gt;""),Lists!$AC$2:$AC$9,Lists!$AF$2:$AF$9,0))&lt;SUM(_xlfn.XLOOKUP(_xlfn._xlws.FILTER(_xlfn.TOCOL(_xlfn.CHOOSECOLS(C324:L332,2,4,6,8,10),0,TRUE),_xlfn.TOCOL(_xlfn.CHOOSECOLS(C324:L332,1,3,5,7,9),0,TRUE)&lt;&gt;""),Lists!$AC$2:$AC$9,Lists!$AF$2:$AF$9,0)))*--(ROW()-ROW(C314)=_xlfn.XLOOKUP(MAX(IF(O315:O320&gt;0,E315:E320,-1)),IF(O315:O320&gt;0,E315:E320,-1),_xlfn.SEQUENCE(ROWS(O315:O320)),,0)))</f>
        <v/>
      </c>
      <c r="L318" s="68" t="str" cm="1">
        <f t="array" aca="1" ref="L318" ca="1">IF(OR(B318="",O318=""),"",--(SUM(_xlfn.XLOOKUP(_xlfn._xlws.FILTER(_xlfn.TOCOL(_xlfn.CHOOSECOLS(C303:L311,2,4,6,8,10),0,TRUE),_xlfn.TOCOL(_xlfn.CHOOSECOLS(C303:L311,1,3,5,7,9),0,TRUE)&lt;&gt;""),Lists!$AC$2:$AC$9,Lists!$AF$2:$AF$9,0))&gt;SUM(_xlfn.XLOOKUP(_xlfn._xlws.FILTER(_xlfn.TOCOL(_xlfn.CHOOSECOLS(C324:L332,2,4,6,8,10),0,TRUE),_xlfn.TOCOL(_xlfn.CHOOSECOLS(C324:L332,1,3,5,7,9),0,TRUE)&lt;&gt;""),Lists!$AC$2:$AC$9,Lists!$AF$2:$AF$9,0)))*--(COUNTIF(O315:O320,"&gt;0")&gt;1)*--(ROW()-ROW(C314)=_xlfn.XLOOKUP(TRUE,O315:O320&gt;0,_xlfn.SEQUENCE(ROWS(O315:O320)),,0,-1))*--(_xlfn.XLOOKUP(TRUE,O315:O320&gt;0,_xlfn.SEQUENCE(ROWS(O315:O320)),,0,-1)&lt;&gt;_xlfn.XLOOKUP(MAX(IF(O315:O320&gt;0,INT(C315:C320)*3+MOD(ROUND(C315:C320*10,0),10),-1)),IF(O315:O320&gt;0,INT(C315:C320)*3+MOD(ROUND(C315:C320*10,0),10),-1),_xlfn.SEQUENCE(ROWS(O315:O320)),,0))*--(SUM(_xlfn.XLOOKUP(_xlfn._xlws.FILTER(_xlfn.TOCOL(_xlfn.CHOOSECOLS(C303:L311,2,4,6,8,10),0,TRUE),_xlfn.TOCOL(_xlfn.CHOOSECOLS(C303:L311,1,3,5,7,9),0,TRUE)&lt;&gt;""),Lists!$AC$2:$AC$9,Lists!$AF$2:$AF$9,0))-SUM(_xlfn.XLOOKUP(_xlfn._xlws.FILTER(_xlfn.TOCOL(_xlfn.CHOOSECOLS(C324:L332,2,4,6,8,10),0,TRUE),_xlfn.TOCOL(_xlfn.CHOOSECOLS(C324:L332,1,3,5,7,9),0,TRUE)&lt;&gt;""),Lists!$AC$2:$AC$9,Lists!$AF$2:$AF$9,0))&lt;=3)*--((INT(C318)*3+MOD(ROUND(C318*10,0),10))&gt;=3))</f>
        <v/>
      </c>
      <c r="M318" s="68" t="str" cm="1">
        <f t="array" aca="1" ref="M318" ca="1">IF(OR(B318="",O318=""),"",--(COUNTIF(O315:O320,"&gt;0")=1)*--(SUM(_xlfn.XLOOKUP(_xlfn._xlws.FILTER(_xlfn.TOCOL(_xlfn.CHOOSECOLS(C324:L332,2,4,6,8,10),0,TRUE),_xlfn.TOCOL(_xlfn.CHOOSECOLS(C324:L332,1,3,5,7,9),0,TRUE)&lt;&gt;""),Lists!$AC$2:$AC$9,Lists!$AF$2:$AF$9,0))=0))</f>
        <v/>
      </c>
      <c r="N318" s="69" t="str">
        <f ca="1">IF(OR(B318="",O318=""),"",--(COUNTIF(O315:O320,"&gt;0")=1))</f>
        <v/>
      </c>
      <c r="O318" s="5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  <c r="CS318" s="18"/>
      <c r="CT318" s="18"/>
      <c r="CU318" s="18"/>
      <c r="CV318" s="18"/>
      <c r="CW318" s="18"/>
      <c r="CX318" s="18"/>
      <c r="CY318" s="18"/>
      <c r="CZ318" s="18"/>
      <c r="DA318" s="18"/>
      <c r="DB318" s="18"/>
      <c r="DC318" s="18"/>
      <c r="DD318" s="18"/>
      <c r="DE318" s="18"/>
      <c r="DF318" s="18"/>
    </row>
    <row r="319" spans="1:110">
      <c r="A319" s="168">
        <v>5</v>
      </c>
      <c r="B319" s="71"/>
      <c r="C319" s="70" t="str" cm="1">
        <f t="array" aca="1" ref="C319" ca="1">IF(OR(B319="",O319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319" s="67" t="str" cm="1">
        <f t="array" aca="1" ref="D319" ca="1">IF(OR(B319="",O319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319" s="67" t="str" cm="1">
        <f t="array" aca="1" ref="E319" ca="1">IF(OR(B319="",O319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319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319" s="67" t="str" cm="1">
        <f t="array" aca="1" ref="F319" ca="1">IF(OR(B319="",O319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319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319" s="67" t="str" cm="1">
        <f t="array" aca="1" ref="G319" ca="1">IF(OR(B319="",O319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319" s="67" t="str" cm="1">
        <f t="array" aca="1" ref="H319" ca="1">IF(OR(B319="",O319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319" s="68" t="str" cm="1">
        <f t="array" aca="1" ref="I319" ca="1">IF(OR(B319="",O319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319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319" s="68" t="str" cm="1">
        <f t="array" aca="1" ref="J319" ca="1">IF(OR(B319="",O319=""),"",--(SUM(_xlfn.XLOOKUP(_xlfn._xlws.FILTER(_xlfn.TOCOL(_xlfn.CHOOSECOLS(C303:L311,2,4,6,8,10),0,TRUE),_xlfn.TOCOL(_xlfn.CHOOSECOLS(C303:L311,1,3,5,7,9),0,TRUE)&lt;&gt;""),Lists!$AC$2:$AC$9,Lists!$AF$2:$AF$9,0))&gt;SUM(_xlfn.XLOOKUP(_xlfn._xlws.FILTER(_xlfn.TOCOL(_xlfn.CHOOSECOLS(C324:L332,2,4,6,8,10),0,TRUE),_xlfn.TOCOL(_xlfn.CHOOSECOLS(C324:L332,1,3,5,7,9),0,TRUE)&lt;&gt;""),Lists!$AC$2:$AC$9,Lists!$AF$2:$AF$9,0)))*--(ROW()-ROW(C314)=_xlfn.XLOOKUP(MAX(IF(O315:O320&gt;0,INT(C315:C320)*3+MOD(ROUND(C315:C320*10,0),10),-1)),IF(O315:O320&gt;0,INT(C315:C320)*3+MOD(ROUND(C315:C320*10,0),10),-1),_xlfn.SEQUENCE(ROWS(O315:O320)),,0)))</f>
        <v/>
      </c>
      <c r="K319" s="68" t="str" cm="1">
        <f t="array" aca="1" ref="K319" ca="1">IF(OR(B319="",O319=""),"",--(SUM(_xlfn.XLOOKUP(_xlfn._xlws.FILTER(_xlfn.TOCOL(_xlfn.CHOOSECOLS(C303:L311,2,4,6,8,10),0,TRUE),_xlfn.TOCOL(_xlfn.CHOOSECOLS(C303:L311,1,3,5,7,9),0,TRUE)&lt;&gt;""),Lists!$AC$2:$AC$9,Lists!$AF$2:$AF$9,0))&lt;SUM(_xlfn.XLOOKUP(_xlfn._xlws.FILTER(_xlfn.TOCOL(_xlfn.CHOOSECOLS(C324:L332,2,4,6,8,10),0,TRUE),_xlfn.TOCOL(_xlfn.CHOOSECOLS(C324:L332,1,3,5,7,9),0,TRUE)&lt;&gt;""),Lists!$AC$2:$AC$9,Lists!$AF$2:$AF$9,0)))*--(ROW()-ROW(C314)=_xlfn.XLOOKUP(MAX(IF(O315:O320&gt;0,E315:E320,-1)),IF(O315:O320&gt;0,E315:E320,-1),_xlfn.SEQUENCE(ROWS(O315:O320)),,0)))</f>
        <v/>
      </c>
      <c r="L319" s="68" t="str" cm="1">
        <f t="array" aca="1" ref="L319" ca="1">IF(OR(B319="",O319=""),"",--(SUM(_xlfn.XLOOKUP(_xlfn._xlws.FILTER(_xlfn.TOCOL(_xlfn.CHOOSECOLS(C303:L311,2,4,6,8,10),0,TRUE),_xlfn.TOCOL(_xlfn.CHOOSECOLS(C303:L311,1,3,5,7,9),0,TRUE)&lt;&gt;""),Lists!$AC$2:$AC$9,Lists!$AF$2:$AF$9,0))&gt;SUM(_xlfn.XLOOKUP(_xlfn._xlws.FILTER(_xlfn.TOCOL(_xlfn.CHOOSECOLS(C324:L332,2,4,6,8,10),0,TRUE),_xlfn.TOCOL(_xlfn.CHOOSECOLS(C324:L332,1,3,5,7,9),0,TRUE)&lt;&gt;""),Lists!$AC$2:$AC$9,Lists!$AF$2:$AF$9,0)))*--(COUNTIF(O315:O320,"&gt;0")&gt;1)*--(ROW()-ROW(C314)=_xlfn.XLOOKUP(TRUE,O315:O320&gt;0,_xlfn.SEQUENCE(ROWS(O315:O320)),,0,-1))*--(_xlfn.XLOOKUP(TRUE,O315:O320&gt;0,_xlfn.SEQUENCE(ROWS(O315:O320)),,0,-1)&lt;&gt;_xlfn.XLOOKUP(MAX(IF(O315:O320&gt;0,INT(C315:C320)*3+MOD(ROUND(C315:C320*10,0),10),-1)),IF(O315:O320&gt;0,INT(C315:C320)*3+MOD(ROUND(C315:C320*10,0),10),-1),_xlfn.SEQUENCE(ROWS(O315:O320)),,0))*--(SUM(_xlfn.XLOOKUP(_xlfn._xlws.FILTER(_xlfn.TOCOL(_xlfn.CHOOSECOLS(C303:L311,2,4,6,8,10),0,TRUE),_xlfn.TOCOL(_xlfn.CHOOSECOLS(C303:L311,1,3,5,7,9),0,TRUE)&lt;&gt;""),Lists!$AC$2:$AC$9,Lists!$AF$2:$AF$9,0))-SUM(_xlfn.XLOOKUP(_xlfn._xlws.FILTER(_xlfn.TOCOL(_xlfn.CHOOSECOLS(C324:L332,2,4,6,8,10),0,TRUE),_xlfn.TOCOL(_xlfn.CHOOSECOLS(C324:L332,1,3,5,7,9),0,TRUE)&lt;&gt;""),Lists!$AC$2:$AC$9,Lists!$AF$2:$AF$9,0))&lt;=3)*--((INT(C319)*3+MOD(ROUND(C319*10,0),10))&gt;=3))</f>
        <v/>
      </c>
      <c r="M319" s="68" t="str" cm="1">
        <f t="array" aca="1" ref="M319" ca="1">IF(OR(B319="",O319=""),"",--(COUNTIF(O315:O320,"&gt;0")=1)*--(SUM(_xlfn.XLOOKUP(_xlfn._xlws.FILTER(_xlfn.TOCOL(_xlfn.CHOOSECOLS(C324:L332,2,4,6,8,10),0,TRUE),_xlfn.TOCOL(_xlfn.CHOOSECOLS(C324:L332,1,3,5,7,9),0,TRUE)&lt;&gt;""),Lists!$AC$2:$AC$9,Lists!$AF$2:$AF$9,0))=0))</f>
        <v/>
      </c>
      <c r="N319" s="69" t="str">
        <f ca="1">IF(OR(B319="",O319=""),"",--(COUNTIF(O315:O320,"&gt;0")=1))</f>
        <v/>
      </c>
      <c r="O319" s="5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8"/>
    </row>
    <row r="320" spans="1:110">
      <c r="A320" s="168">
        <v>6</v>
      </c>
      <c r="B320" s="71"/>
      <c r="C320" s="70" t="str" cm="1">
        <f t="array" aca="1" ref="C320" ca="1">IF(OR(B320="",O320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320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320" s="67" t="str" cm="1">
        <f t="array" aca="1" ref="D320" ca="1">IF(OR(B320="",O320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320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320" s="67" t="str" cm="1">
        <f t="array" aca="1" ref="E320" ca="1">IF(OR(B320="",O320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320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320" s="67" t="str" cm="1">
        <f t="array" aca="1" ref="F320" ca="1">IF(OR(B320="",O320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320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320" s="67" t="str" cm="1">
        <f t="array" aca="1" ref="G320" ca="1">IF(OR(B320="",O320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320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320" s="67" t="str" cm="1">
        <f t="array" aca="1" ref="H320" ca="1">IF(OR(B320="",O320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320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320" s="68" t="str" cm="1">
        <f t="array" aca="1" ref="I320" ca="1">IF(OR(B320="",O320=""),"",_xlfn.LET(_xlpm.flatPAraw,_xlfn.TOCOL(_xlfn.CHOOSECOLS(C324:L332,1,3,5,7,9),0,TRUE),_xlpm.flatPARraw,_xlfn.TOCOL(_xlfn.CHOOSECOLS(C324:L332,2,4,6,8,10),0,TRUE),_xlpm.flatPA,_xlfn._xlws.FILTER(_xlpm.flatPAraw,_xlpm.flatPAraw&lt;&gt;""),_xlpm.flatPAR,_xlfn._xlws.FILTER(_xlpm.flatPARraw,_xlpm.flatPAraw&lt;&gt;""),_xlpm.prev,IF(ROW()=ROW(C315),0,SUM(INDEX(O:O,ROW(C315)):INDEX(O:O,ROW()-1))),_xlpm.need,O320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320" s="68" t="str" cm="1">
        <f t="array" aca="1" ref="J320" ca="1">IF(OR(B320="",O320=""),"",--(SUM(_xlfn.XLOOKUP(_xlfn._xlws.FILTER(_xlfn.TOCOL(_xlfn.CHOOSECOLS(C303:L311,2,4,6,8,10),0,TRUE),_xlfn.TOCOL(_xlfn.CHOOSECOLS(C303:L311,1,3,5,7,9),0,TRUE)&lt;&gt;""),Lists!$AC$2:$AC$9,Lists!$AF$2:$AF$9,0))&gt;SUM(_xlfn.XLOOKUP(_xlfn._xlws.FILTER(_xlfn.TOCOL(_xlfn.CHOOSECOLS(C324:L332,2,4,6,8,10),0,TRUE),_xlfn.TOCOL(_xlfn.CHOOSECOLS(C324:L332,1,3,5,7,9),0,TRUE)&lt;&gt;""),Lists!$AC$2:$AC$9,Lists!$AF$2:$AF$9,0)))*--(ROW()-ROW(C314)=_xlfn.XLOOKUP(MAX(IF(O315:O320&gt;0,INT(C315:C320)*3+MOD(ROUND(C315:C320*10,0),10),-1)),IF(O315:O320&gt;0,INT(C315:C320)*3+MOD(ROUND(C315:C320*10,0),10),-1),_xlfn.SEQUENCE(ROWS(O315:O320)),,0)))</f>
        <v/>
      </c>
      <c r="K320" s="68" t="str" cm="1">
        <f t="array" aca="1" ref="K320" ca="1">IF(OR(B320="",O320=""),"",--(SUM(_xlfn.XLOOKUP(_xlfn._xlws.FILTER(_xlfn.TOCOL(_xlfn.CHOOSECOLS(C303:L311,2,4,6,8,10),0,TRUE),_xlfn.TOCOL(_xlfn.CHOOSECOLS(C303:L311,1,3,5,7,9),0,TRUE)&lt;&gt;""),Lists!$AC$2:$AC$9,Lists!$AF$2:$AF$9,0))&lt;SUM(_xlfn.XLOOKUP(_xlfn._xlws.FILTER(_xlfn.TOCOL(_xlfn.CHOOSECOLS(C324:L332,2,4,6,8,10),0,TRUE),_xlfn.TOCOL(_xlfn.CHOOSECOLS(C324:L332,1,3,5,7,9),0,TRUE)&lt;&gt;""),Lists!$AC$2:$AC$9,Lists!$AF$2:$AF$9,0)))*--(ROW()-ROW(C314)=_xlfn.XLOOKUP(MAX(IF(O315:O320&gt;0,E315:E320,-1)),IF(O315:O320&gt;0,E315:E320,-1),_xlfn.SEQUENCE(ROWS(O315:O320)),,0)))</f>
        <v/>
      </c>
      <c r="L320" s="68" t="str" cm="1">
        <f t="array" aca="1" ref="L320" ca="1">IF(OR(B320="",O320=""),"",--(SUM(_xlfn.XLOOKUP(_xlfn._xlws.FILTER(_xlfn.TOCOL(_xlfn.CHOOSECOLS(C303:L311,2,4,6,8,10),0,TRUE),_xlfn.TOCOL(_xlfn.CHOOSECOLS(C303:L311,1,3,5,7,9),0,TRUE)&lt;&gt;""),Lists!$AC$2:$AC$9,Lists!$AF$2:$AF$9,0))&gt;SUM(_xlfn.XLOOKUP(_xlfn._xlws.FILTER(_xlfn.TOCOL(_xlfn.CHOOSECOLS(C324:L332,2,4,6,8,10),0,TRUE),_xlfn.TOCOL(_xlfn.CHOOSECOLS(C324:L332,1,3,5,7,9),0,TRUE)&lt;&gt;""),Lists!$AC$2:$AC$9,Lists!$AF$2:$AF$9,0)))*--(COUNTIF(O315:O320,"&gt;0")&gt;1)*--(ROW()-ROW(C314)=_xlfn.XLOOKUP(TRUE,O315:O320&gt;0,_xlfn.SEQUENCE(ROWS(O315:O320)),,0,-1))*--(_xlfn.XLOOKUP(TRUE,O315:O320&gt;0,_xlfn.SEQUENCE(ROWS(O315:O320)),,0,-1)&lt;&gt;_xlfn.XLOOKUP(MAX(IF(O315:O320&gt;0,INT(C315:C320)*3+MOD(ROUND(C315:C320*10,0),10),-1)),IF(O315:O320&gt;0,INT(C315:C320)*3+MOD(ROUND(C315:C320*10,0),10),-1),_xlfn.SEQUENCE(ROWS(O315:O320)),,0))*--(SUM(_xlfn.XLOOKUP(_xlfn._xlws.FILTER(_xlfn.TOCOL(_xlfn.CHOOSECOLS(C303:L311,2,4,6,8,10),0,TRUE),_xlfn.TOCOL(_xlfn.CHOOSECOLS(C303:L311,1,3,5,7,9),0,TRUE)&lt;&gt;""),Lists!$AC$2:$AC$9,Lists!$AF$2:$AF$9,0))-SUM(_xlfn.XLOOKUP(_xlfn._xlws.FILTER(_xlfn.TOCOL(_xlfn.CHOOSECOLS(C324:L332,2,4,6,8,10),0,TRUE),_xlfn.TOCOL(_xlfn.CHOOSECOLS(C324:L332,1,3,5,7,9),0,TRUE)&lt;&gt;""),Lists!$AC$2:$AC$9,Lists!$AF$2:$AF$9,0))&lt;=3)*--((INT(C320)*3+MOD(ROUND(C320*10,0),10))&gt;=3))</f>
        <v/>
      </c>
      <c r="M320" s="68" t="str" cm="1">
        <f t="array" aca="1" ref="M320" ca="1">IF(OR(B320="",O320=""),"",--(COUNTIF(O315:O320,"&gt;0")=1)*--(SUM(_xlfn.XLOOKUP(_xlfn._xlws.FILTER(_xlfn.TOCOL(_xlfn.CHOOSECOLS(C324:L332,2,4,6,8,10),0,TRUE),_xlfn.TOCOL(_xlfn.CHOOSECOLS(C324:L332,1,3,5,7,9),0,TRUE)&lt;&gt;""),Lists!$AC$2:$AC$9,Lists!$AF$2:$AF$9,0))=0))</f>
        <v/>
      </c>
      <c r="N320" s="69" t="str">
        <f ca="1">IF(OR(B320="",O320=""),"",--(COUNTIF(O315:O320,"&gt;0")=1))</f>
        <v/>
      </c>
      <c r="O320" s="5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18"/>
      <c r="DC320" s="18"/>
      <c r="DD320" s="18"/>
      <c r="DE320" s="18"/>
      <c r="DF320" s="18"/>
    </row>
    <row r="321" spans="1:110">
      <c r="A321" s="173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3"/>
      <c r="Q321" s="53"/>
      <c r="R321" s="53"/>
      <c r="S321" s="53"/>
      <c r="T321" s="53"/>
      <c r="U321" s="53"/>
      <c r="V321" s="53"/>
      <c r="W321" s="53"/>
      <c r="X321" s="53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  <c r="CS321" s="18"/>
      <c r="CT321" s="18"/>
      <c r="CU321" s="18"/>
      <c r="CV321" s="18"/>
      <c r="CW321" s="18"/>
      <c r="CX321" s="18"/>
      <c r="CY321" s="18"/>
      <c r="CZ321" s="18"/>
      <c r="DA321" s="18"/>
      <c r="DB321" s="18"/>
      <c r="DC321" s="18"/>
      <c r="DD321" s="18"/>
      <c r="DE321" s="18"/>
      <c r="DF321" s="18"/>
    </row>
    <row r="322" spans="1:110">
      <c r="A322" s="205" t="str">
        <f ca="1">IF($R$296="","Team B Batting",$R$296&amp;" Batting")</f>
        <v>Donovan Batting</v>
      </c>
      <c r="B322" s="206"/>
      <c r="C322" s="206"/>
      <c r="D322" s="206"/>
      <c r="E322" s="206"/>
      <c r="F322" s="206"/>
      <c r="G322" s="206"/>
      <c r="H322" s="206"/>
      <c r="I322" s="206"/>
      <c r="J322" s="206"/>
      <c r="K322" s="206"/>
      <c r="L322" s="206"/>
      <c r="M322" s="206"/>
      <c r="N322" s="206"/>
      <c r="O322" s="181"/>
      <c r="P322" s="182"/>
      <c r="Q322" s="182"/>
      <c r="R322" s="182"/>
      <c r="S322" s="182"/>
      <c r="T322" s="182"/>
      <c r="U322" s="182"/>
      <c r="V322" s="182"/>
      <c r="W322" s="182"/>
      <c r="X322" s="182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18"/>
      <c r="CU322" s="18"/>
      <c r="CV322" s="18"/>
      <c r="CW322" s="18"/>
      <c r="CX322" s="18"/>
      <c r="CY322" s="18"/>
      <c r="CZ322" s="18"/>
      <c r="DA322" s="18"/>
      <c r="DB322" s="18"/>
      <c r="DC322" s="18"/>
      <c r="DD322" s="18"/>
      <c r="DE322" s="18"/>
      <c r="DF322" s="18"/>
    </row>
    <row r="323" spans="1:110">
      <c r="A323" s="167" t="s">
        <v>164</v>
      </c>
      <c r="B323" s="43" t="s">
        <v>39</v>
      </c>
      <c r="C323" s="43" t="s">
        <v>165</v>
      </c>
      <c r="D323" s="43" t="s">
        <v>166</v>
      </c>
      <c r="E323" s="43" t="s">
        <v>167</v>
      </c>
      <c r="F323" s="43" t="s">
        <v>168</v>
      </c>
      <c r="G323" s="43" t="s">
        <v>169</v>
      </c>
      <c r="H323" s="43" t="s">
        <v>170</v>
      </c>
      <c r="I323" s="43" t="s">
        <v>171</v>
      </c>
      <c r="J323" s="43" t="s">
        <v>172</v>
      </c>
      <c r="K323" s="43" t="s">
        <v>173</v>
      </c>
      <c r="L323" s="43" t="s">
        <v>174</v>
      </c>
      <c r="M323" s="43" t="s">
        <v>175</v>
      </c>
      <c r="N323" s="44" t="s">
        <v>161</v>
      </c>
      <c r="O323" s="44" t="s">
        <v>162</v>
      </c>
      <c r="P323" s="44" t="s">
        <v>176</v>
      </c>
      <c r="Q323" s="44" t="s">
        <v>177</v>
      </c>
      <c r="R323" s="44" t="s">
        <v>178</v>
      </c>
      <c r="S323" s="44" t="s">
        <v>179</v>
      </c>
      <c r="T323" s="44" t="s">
        <v>180</v>
      </c>
      <c r="U323" s="44" t="s">
        <v>181</v>
      </c>
      <c r="V323" s="44" t="s">
        <v>182</v>
      </c>
      <c r="W323" s="44" t="s">
        <v>183</v>
      </c>
      <c r="X323" s="45" t="s">
        <v>184</v>
      </c>
      <c r="Y323" s="45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  <c r="CU323" s="18"/>
      <c r="CV323" s="18"/>
      <c r="CW323" s="18"/>
      <c r="CX323" s="18"/>
      <c r="CY323" s="18"/>
      <c r="CZ323" s="18"/>
      <c r="DA323" s="18"/>
      <c r="DB323" s="18"/>
      <c r="DC323" s="18"/>
      <c r="DD323" s="18"/>
      <c r="DE323" s="18"/>
      <c r="DF323" s="18"/>
    </row>
    <row r="324" spans="1:110">
      <c r="A324" s="168">
        <v>1</v>
      </c>
      <c r="B324" s="47" t="str">
        <f ca="1">Lineups!$H$89</f>
        <v>Donkey Kong</v>
      </c>
      <c r="C324" s="49" t="s">
        <v>185</v>
      </c>
      <c r="D324" s="49"/>
      <c r="E324" s="49"/>
      <c r="F324" s="49"/>
      <c r="G324" s="49"/>
      <c r="H324" s="50"/>
      <c r="I324" s="50"/>
      <c r="J324" s="50"/>
      <c r="K324" s="50"/>
      <c r="L324" s="50"/>
      <c r="M324" s="67">
        <f ca="1">IF($B324="","",SUM(_xlfn.XLOOKUP(C324,Lists!$P$2:$P$19,Lists!$R$2:$R$19,0),_xlfn.XLOOKUP(E324,Lists!$P$2:$P$19,Lists!$R$2:$R$19,0),_xlfn.XLOOKUP(G324,Lists!$P$2:$P$19,Lists!$R$2:$R$19,0),_xlfn.XLOOKUP(I324,Lists!$P$2:$P$19,Lists!$R$2:$R$19,0),_xlfn.XLOOKUP(K324,Lists!$P$2:$P$19,Lists!$R$2:$R$19,0)))</f>
        <v>1</v>
      </c>
      <c r="N324" s="68">
        <f ca="1">IF($B324="","",SUM(_xlfn.XLOOKUP(D324,Lists!$AC$2:$AC$9,Lists!$AE$2:$AE$9,0),_xlfn.XLOOKUP(F324,Lists!$AC$2:$AC$9,Lists!$AE$2:$AE$9,0),_xlfn.XLOOKUP(H324,Lists!$AC$2:$AC$9,Lists!$AE$2:$AE$9,0),_xlfn.XLOOKUP(J324,Lists!$AC$2:$AC$9,Lists!$AE$2:$AE$9,0),_xlfn.XLOOKUP(L324,Lists!$AC$2:$AC$9,Lists!$AE$2:$AE$9,0)))</f>
        <v>0</v>
      </c>
      <c r="O324" s="68">
        <f ca="1">IF($B324="","",SUM(_xlfn.XLOOKUP(C324,Lists!$P$2:$P$19,Lists!$S$2:$S$19,0),_xlfn.XLOOKUP(E324,Lists!$P$2:$P$19,Lists!$S$2:$S$19,0),_xlfn.XLOOKUP(G324,Lists!$P$2:$P$19,Lists!$S$2:$S$19,0),_xlfn.XLOOKUP(I324,Lists!$P$2:$P$19,Lists!$S$2:$S$19,0),_xlfn.XLOOKUP(K324,Lists!$P$2:$P$19,Lists!$S$2:$S$19,0)))</f>
        <v>0</v>
      </c>
      <c r="P324" s="68">
        <f ca="1">IF($B324="","",SUM(_xlfn.XLOOKUP(C324,Lists!$P$2:$P$19,Lists!$T$2:$T$19,0),_xlfn.XLOOKUP(E324,Lists!$P$2:$P$19,Lists!$T$2:$T$19,0),_xlfn.XLOOKUP(G324,Lists!$P$2:$P$19,Lists!$T$2:$T$19,0),_xlfn.XLOOKUP(I324,Lists!$P$2:$P$19,Lists!$T$2:$T$19,0),_xlfn.XLOOKUP(K324,Lists!$P$2:$P$19,Lists!$T$2:$T$19,0)))</f>
        <v>0</v>
      </c>
      <c r="Q324" s="68">
        <f ca="1">IF($B324="","",SUM(_xlfn.XLOOKUP(C324,Lists!$P$2:$P$19,Lists!$U$2:$U$19,0),_xlfn.XLOOKUP(E324,Lists!$P$2:$P$19,Lists!$U$2:$U$19,0),_xlfn.XLOOKUP(G324,Lists!$P$2:$P$19,Lists!$U$2:$U$19,0),_xlfn.XLOOKUP(I324,Lists!$P$2:$P$19,Lists!$U$2:$U$19,0),_xlfn.XLOOKUP(K324,Lists!$P$2:$P$19,Lists!$U$2:$U$19,0)))</f>
        <v>0</v>
      </c>
      <c r="R324" s="68">
        <f ca="1">IF($B324="","",SUM(_xlfn.XLOOKUP(C324,Lists!$P$2:$P$19,Lists!$V$2:$V$19,0),_xlfn.XLOOKUP(E324,Lists!$P$2:$P$19,Lists!$V$2:$V$19,0),_xlfn.XLOOKUP(G324,Lists!$P$2:$P$19,Lists!$V$2:$V$19,0),_xlfn.XLOOKUP(I324,Lists!$P$2:$P$19,Lists!$V$2:$V$19,0),_xlfn.XLOOKUP(K324,Lists!$P$2:$P$19,Lists!$V$2:$V$19,0)))</f>
        <v>0</v>
      </c>
      <c r="S324" s="68">
        <f ca="1">IF($B324="","",SUM(_xlfn.XLOOKUP(D324,Lists!$AC$2:$AC$9,Lists!$AD$2:$AD$9,0),_xlfn.XLOOKUP(F324,Lists!$AC$2:$AC$9,Lists!$AD$2:$AD$9,0),_xlfn.XLOOKUP(H324,Lists!$AC$2:$AC$9,Lists!$AD$2:$AD$9,0),_xlfn.XLOOKUP(J324,Lists!$AC$2:$AC$9,Lists!$AD$2:$AD$9,0),_xlfn.XLOOKUP(L324,Lists!$AC$2:$AC$9,Lists!$AD$2:$AD$9,0)))</f>
        <v>0</v>
      </c>
      <c r="T324" s="68">
        <f ca="1">IF($B324="","",SUM(_xlfn.XLOOKUP(C324,Lists!$P$2:$P$19,Lists!$W$2:$W$19,0),_xlfn.XLOOKUP(E324,Lists!$P$2:$P$19,Lists!$W$2:$W$19,0),_xlfn.XLOOKUP(G324,Lists!$P$2:$P$19,Lists!$W$2:$W$19,0),_xlfn.XLOOKUP(I324,Lists!$P$2:$P$19,Lists!$W$2:$W$19,0),_xlfn.XLOOKUP(K324,Lists!$P$2:$P$19,Lists!$W$2:$W$19,0)))</f>
        <v>0</v>
      </c>
      <c r="U324" s="68">
        <f ca="1">IF($B324="","",SUM(_xlfn.XLOOKUP(C324,Lists!$P$2:$P$19,Lists!$X$2:$X$19,0),_xlfn.XLOOKUP(E324,Lists!$P$2:$P$19,Lists!$X$2:$X$19,0),_xlfn.XLOOKUP(G324,Lists!$P$2:$P$19,Lists!$X$2:$X$19,0),_xlfn.XLOOKUP(I324,Lists!$P$2:$P$19,Lists!$X$2:$X$19,0),_xlfn.XLOOKUP(K324,Lists!$P$2:$P$19,Lists!$X$2:$X$19,0)))</f>
        <v>1</v>
      </c>
      <c r="V324" s="68">
        <f ca="1">IF($B324="","",SUM(_xlfn.XLOOKUP(C324,Lists!$P$2:$P$19,Lists!$Y$2:$Y$19,0),_xlfn.XLOOKUP(E324,Lists!$P$2:$P$19,Lists!$Y$2:$Y$19,0),_xlfn.XLOOKUP(G324,Lists!$P$2:$P$19,Lists!$Y$2:$Y$19,0),_xlfn.XLOOKUP(I324,Lists!$P$2:$P$19,Lists!$Y$2:$Y$19,0),_xlfn.XLOOKUP(K324,Lists!$P$2:$P$19,Lists!$Y$2:$Y$19,0)))</f>
        <v>0</v>
      </c>
      <c r="W324" s="68">
        <f ca="1">IF($B324="","",SUM(_xlfn.XLOOKUP(C324,Lists!$P$2:$P$19,Lists!$Z$2:$Z$19,0),_xlfn.XLOOKUP(E324,Lists!$P$2:$P$19,Lists!$Z$2:$Z$19,0),_xlfn.XLOOKUP(G324,Lists!$P$2:$P$19,Lists!$Z$2:$Z$19,0),_xlfn.XLOOKUP(I324,Lists!$P$2:$P$19,Lists!$Z$2:$Z$19,0),_xlfn.XLOOKUP(K324,Lists!$P$2:$P$19,Lists!$Z$2:$Z$19,0)))</f>
        <v>0</v>
      </c>
      <c r="X324" s="69">
        <f ca="1">IF($B324="","",SUM(_xlfn.XLOOKUP(C324,Lists!$P$2:$P$19,Lists!$AA$2:$AA$19,0),_xlfn.XLOOKUP(E324,Lists!$P$2:$P$19,Lists!$AA$2:$AA$19,0),_xlfn.XLOOKUP(G324,Lists!$P$2:$P$19,Lists!$AA$2:$AA$19,0),_xlfn.XLOOKUP(I324,Lists!$P$2:$P$19,Lists!$AA$2:$AA$19,0),_xlfn.XLOOKUP(K324,Lists!$P$2:$P$19,Lists!$AA$2:$AA$19,0)))</f>
        <v>0</v>
      </c>
      <c r="Y324" s="49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  <c r="CU324" s="18"/>
      <c r="CV324" s="18"/>
      <c r="CW324" s="18"/>
      <c r="CX324" s="18"/>
      <c r="CY324" s="18"/>
      <c r="CZ324" s="18"/>
      <c r="DA324" s="18"/>
      <c r="DB324" s="18"/>
      <c r="DC324" s="18"/>
      <c r="DD324" s="18"/>
      <c r="DE324" s="18"/>
      <c r="DF324" s="18"/>
    </row>
    <row r="325" spans="1:110">
      <c r="A325" s="168">
        <v>2</v>
      </c>
      <c r="B325" s="47" t="str">
        <f ca="1">Lineups!$H$90</f>
        <v>Waluigi</v>
      </c>
      <c r="C325" s="49" t="s">
        <v>188</v>
      </c>
      <c r="D325" s="49"/>
      <c r="E325" s="49"/>
      <c r="F325" s="49"/>
      <c r="G325" s="49"/>
      <c r="H325" s="50"/>
      <c r="I325" s="50"/>
      <c r="J325" s="50"/>
      <c r="K325" s="50"/>
      <c r="L325" s="50"/>
      <c r="M325" s="67">
        <f ca="1">IF($B325="","",SUM(_xlfn.XLOOKUP(C325,Lists!$P$2:$P$19,Lists!$R$2:$R$19,0),_xlfn.XLOOKUP(E325,Lists!$P$2:$P$19,Lists!$R$2:$R$19,0),_xlfn.XLOOKUP(G325,Lists!$P$2:$P$19,Lists!$R$2:$R$19,0),_xlfn.XLOOKUP(I325,Lists!$P$2:$P$19,Lists!$R$2:$R$19,0),_xlfn.XLOOKUP(K325,Lists!$P$2:$P$19,Lists!$R$2:$R$19,0)))</f>
        <v>1</v>
      </c>
      <c r="N325" s="68">
        <f ca="1">IF($B325="","",SUM(_xlfn.XLOOKUP(D325,Lists!$AC$2:$AC$9,Lists!$AE$2:$AE$9,0),_xlfn.XLOOKUP(F325,Lists!$AC$2:$AC$9,Lists!$AE$2:$AE$9,0),_xlfn.XLOOKUP(H325,Lists!$AC$2:$AC$9,Lists!$AE$2:$AE$9,0),_xlfn.XLOOKUP(J325,Lists!$AC$2:$AC$9,Lists!$AE$2:$AE$9,0),_xlfn.XLOOKUP(L325,Lists!$AC$2:$AC$9,Lists!$AE$2:$AE$9,0)))</f>
        <v>0</v>
      </c>
      <c r="O325" s="68">
        <f ca="1">IF($B325="","",SUM(_xlfn.XLOOKUP(C325,Lists!$P$2:$P$19,Lists!$S$2:$S$19,0),_xlfn.XLOOKUP(E325,Lists!$P$2:$P$19,Lists!$S$2:$S$19,0),_xlfn.XLOOKUP(G325,Lists!$P$2:$P$19,Lists!$S$2:$S$19,0),_xlfn.XLOOKUP(I325,Lists!$P$2:$P$19,Lists!$S$2:$S$19,0),_xlfn.XLOOKUP(K325,Lists!$P$2:$P$19,Lists!$S$2:$S$19,0)))</f>
        <v>1</v>
      </c>
      <c r="P325" s="68">
        <f ca="1">IF($B325="","",SUM(_xlfn.XLOOKUP(C325,Lists!$P$2:$P$19,Lists!$T$2:$T$19,0),_xlfn.XLOOKUP(E325,Lists!$P$2:$P$19,Lists!$T$2:$T$19,0),_xlfn.XLOOKUP(G325,Lists!$P$2:$P$19,Lists!$T$2:$T$19,0),_xlfn.XLOOKUP(I325,Lists!$P$2:$P$19,Lists!$T$2:$T$19,0),_xlfn.XLOOKUP(K325,Lists!$P$2:$P$19,Lists!$T$2:$T$19,0)))</f>
        <v>0</v>
      </c>
      <c r="Q325" s="68">
        <f ca="1">IF($B325="","",SUM(_xlfn.XLOOKUP(C325,Lists!$P$2:$P$19,Lists!$U$2:$U$19,0),_xlfn.XLOOKUP(E325,Lists!$P$2:$P$19,Lists!$U$2:$U$19,0),_xlfn.XLOOKUP(G325,Lists!$P$2:$P$19,Lists!$U$2:$U$19,0),_xlfn.XLOOKUP(I325,Lists!$P$2:$P$19,Lists!$U$2:$U$19,0),_xlfn.XLOOKUP(K325,Lists!$P$2:$P$19,Lists!$U$2:$U$19,0)))</f>
        <v>0</v>
      </c>
      <c r="R325" s="68">
        <f ca="1">IF($B325="","",SUM(_xlfn.XLOOKUP(C325,Lists!$P$2:$P$19,Lists!$V$2:$V$19,0),_xlfn.XLOOKUP(E325,Lists!$P$2:$P$19,Lists!$V$2:$V$19,0),_xlfn.XLOOKUP(G325,Lists!$P$2:$P$19,Lists!$V$2:$V$19,0),_xlfn.XLOOKUP(I325,Lists!$P$2:$P$19,Lists!$V$2:$V$19,0),_xlfn.XLOOKUP(K325,Lists!$P$2:$P$19,Lists!$V$2:$V$19,0)))</f>
        <v>0</v>
      </c>
      <c r="S325" s="68">
        <f ca="1">IF($B325="","",SUM(_xlfn.XLOOKUP(D325,Lists!$AC$2:$AC$9,Lists!$AD$2:$AD$9,0),_xlfn.XLOOKUP(F325,Lists!$AC$2:$AC$9,Lists!$AD$2:$AD$9,0),_xlfn.XLOOKUP(H325,Lists!$AC$2:$AC$9,Lists!$AD$2:$AD$9,0),_xlfn.XLOOKUP(J325,Lists!$AC$2:$AC$9,Lists!$AD$2:$AD$9,0),_xlfn.XLOOKUP(L325,Lists!$AC$2:$AC$9,Lists!$AD$2:$AD$9,0)))</f>
        <v>0</v>
      </c>
      <c r="T325" s="68">
        <f ca="1">IF($B325="","",SUM(_xlfn.XLOOKUP(C325,Lists!$P$2:$P$19,Lists!$W$2:$W$19,0),_xlfn.XLOOKUP(E325,Lists!$P$2:$P$19,Lists!$W$2:$W$19,0),_xlfn.XLOOKUP(G325,Lists!$P$2:$P$19,Lists!$W$2:$W$19,0),_xlfn.XLOOKUP(I325,Lists!$P$2:$P$19,Lists!$W$2:$W$19,0),_xlfn.XLOOKUP(K325,Lists!$P$2:$P$19,Lists!$W$2:$W$19,0)))</f>
        <v>0</v>
      </c>
      <c r="U325" s="68">
        <f ca="1">IF($B325="","",SUM(_xlfn.XLOOKUP(C325,Lists!$P$2:$P$19,Lists!$X$2:$X$19,0),_xlfn.XLOOKUP(E325,Lists!$P$2:$P$19,Lists!$X$2:$X$19,0),_xlfn.XLOOKUP(G325,Lists!$P$2:$P$19,Lists!$X$2:$X$19,0),_xlfn.XLOOKUP(I325,Lists!$P$2:$P$19,Lists!$X$2:$X$19,0),_xlfn.XLOOKUP(K325,Lists!$P$2:$P$19,Lists!$X$2:$X$19,0)))</f>
        <v>0</v>
      </c>
      <c r="V325" s="68">
        <f ca="1">IF($B325="","",SUM(_xlfn.XLOOKUP(C325,Lists!$P$2:$P$19,Lists!$Y$2:$Y$19,0),_xlfn.XLOOKUP(E325,Lists!$P$2:$P$19,Lists!$Y$2:$Y$19,0),_xlfn.XLOOKUP(G325,Lists!$P$2:$P$19,Lists!$Y$2:$Y$19,0),_xlfn.XLOOKUP(I325,Lists!$P$2:$P$19,Lists!$Y$2:$Y$19,0),_xlfn.XLOOKUP(K325,Lists!$P$2:$P$19,Lists!$Y$2:$Y$19,0)))</f>
        <v>0</v>
      </c>
      <c r="W325" s="68">
        <f ca="1">IF($B325="","",SUM(_xlfn.XLOOKUP(C325,Lists!$P$2:$P$19,Lists!$Z$2:$Z$19,0),_xlfn.XLOOKUP(E325,Lists!$P$2:$P$19,Lists!$Z$2:$Z$19,0),_xlfn.XLOOKUP(G325,Lists!$P$2:$P$19,Lists!$Z$2:$Z$19,0),_xlfn.XLOOKUP(I325,Lists!$P$2:$P$19,Lists!$Z$2:$Z$19,0),_xlfn.XLOOKUP(K325,Lists!$P$2:$P$19,Lists!$Z$2:$Z$19,0)))</f>
        <v>0</v>
      </c>
      <c r="X325" s="69">
        <f ca="1">IF($B325="","",SUM(_xlfn.XLOOKUP(C325,Lists!$P$2:$P$19,Lists!$AA$2:$AA$19,0),_xlfn.XLOOKUP(E325,Lists!$P$2:$P$19,Lists!$AA$2:$AA$19,0),_xlfn.XLOOKUP(G325,Lists!$P$2:$P$19,Lists!$AA$2:$AA$19,0),_xlfn.XLOOKUP(I325,Lists!$P$2:$P$19,Lists!$AA$2:$AA$19,0),_xlfn.XLOOKUP(K325,Lists!$P$2:$P$19,Lists!$AA$2:$AA$19,0)))</f>
        <v>0</v>
      </c>
      <c r="Y325" s="49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  <c r="CS325" s="18"/>
      <c r="CT325" s="18"/>
      <c r="CU325" s="18"/>
      <c r="CV325" s="18"/>
      <c r="CW325" s="18"/>
      <c r="CX325" s="18"/>
      <c r="CY325" s="18"/>
      <c r="CZ325" s="18"/>
      <c r="DA325" s="18"/>
      <c r="DB325" s="18"/>
      <c r="DC325" s="18"/>
      <c r="DD325" s="18"/>
      <c r="DE325" s="18"/>
      <c r="DF325" s="18"/>
    </row>
    <row r="326" spans="1:110">
      <c r="A326" s="168">
        <v>3</v>
      </c>
      <c r="B326" s="47" t="str">
        <f ca="1">Lineups!$H$91</f>
        <v>Dry Bones</v>
      </c>
      <c r="C326" s="49" t="s">
        <v>205</v>
      </c>
      <c r="D326" s="49"/>
      <c r="E326" s="49"/>
      <c r="F326" s="49"/>
      <c r="G326" s="49"/>
      <c r="H326" s="50"/>
      <c r="I326" s="50"/>
      <c r="J326" s="50"/>
      <c r="K326" s="50"/>
      <c r="L326" s="50"/>
      <c r="M326" s="67">
        <f ca="1">IF($B326="","",SUM(_xlfn.XLOOKUP(C326,Lists!$P$2:$P$19,Lists!$R$2:$R$19,0),_xlfn.XLOOKUP(E326,Lists!$P$2:$P$19,Lists!$R$2:$R$19,0),_xlfn.XLOOKUP(G326,Lists!$P$2:$P$19,Lists!$R$2:$R$19,0),_xlfn.XLOOKUP(I326,Lists!$P$2:$P$19,Lists!$R$2:$R$19,0),_xlfn.XLOOKUP(K326,Lists!$P$2:$P$19,Lists!$R$2:$R$19,0)))</f>
        <v>1</v>
      </c>
      <c r="N326" s="68">
        <f ca="1">IF($B326="","",SUM(_xlfn.XLOOKUP(D326,Lists!$AC$2:$AC$9,Lists!$AE$2:$AE$9,0),_xlfn.XLOOKUP(F326,Lists!$AC$2:$AC$9,Lists!$AE$2:$AE$9,0),_xlfn.XLOOKUP(H326,Lists!$AC$2:$AC$9,Lists!$AE$2:$AE$9,0),_xlfn.XLOOKUP(J326,Lists!$AC$2:$AC$9,Lists!$AE$2:$AE$9,0),_xlfn.XLOOKUP(L326,Lists!$AC$2:$AC$9,Lists!$AE$2:$AE$9,0)))</f>
        <v>0</v>
      </c>
      <c r="O326" s="68">
        <f ca="1">IF($B326="","",SUM(_xlfn.XLOOKUP(C326,Lists!$P$2:$P$19,Lists!$S$2:$S$19,0),_xlfn.XLOOKUP(E326,Lists!$P$2:$P$19,Lists!$S$2:$S$19,0),_xlfn.XLOOKUP(G326,Lists!$P$2:$P$19,Lists!$S$2:$S$19,0),_xlfn.XLOOKUP(I326,Lists!$P$2:$P$19,Lists!$S$2:$S$19,0),_xlfn.XLOOKUP(K326,Lists!$P$2:$P$19,Lists!$S$2:$S$19,0)))</f>
        <v>0</v>
      </c>
      <c r="P326" s="68">
        <f ca="1">IF($B326="","",SUM(_xlfn.XLOOKUP(C326,Lists!$P$2:$P$19,Lists!$T$2:$T$19,0),_xlfn.XLOOKUP(E326,Lists!$P$2:$P$19,Lists!$T$2:$T$19,0),_xlfn.XLOOKUP(G326,Lists!$P$2:$P$19,Lists!$T$2:$T$19,0),_xlfn.XLOOKUP(I326,Lists!$P$2:$P$19,Lists!$T$2:$T$19,0),_xlfn.XLOOKUP(K326,Lists!$P$2:$P$19,Lists!$T$2:$T$19,0)))</f>
        <v>0</v>
      </c>
      <c r="Q326" s="68">
        <f ca="1">IF($B326="","",SUM(_xlfn.XLOOKUP(C326,Lists!$P$2:$P$19,Lists!$U$2:$U$19,0),_xlfn.XLOOKUP(E326,Lists!$P$2:$P$19,Lists!$U$2:$U$19,0),_xlfn.XLOOKUP(G326,Lists!$P$2:$P$19,Lists!$U$2:$U$19,0),_xlfn.XLOOKUP(I326,Lists!$P$2:$P$19,Lists!$U$2:$U$19,0),_xlfn.XLOOKUP(K326,Lists!$P$2:$P$19,Lists!$U$2:$U$19,0)))</f>
        <v>0</v>
      </c>
      <c r="R326" s="68">
        <f ca="1">IF($B326="","",SUM(_xlfn.XLOOKUP(C326,Lists!$P$2:$P$19,Lists!$V$2:$V$19,0),_xlfn.XLOOKUP(E326,Lists!$P$2:$P$19,Lists!$V$2:$V$19,0),_xlfn.XLOOKUP(G326,Lists!$P$2:$P$19,Lists!$V$2:$V$19,0),_xlfn.XLOOKUP(I326,Lists!$P$2:$P$19,Lists!$V$2:$V$19,0),_xlfn.XLOOKUP(K326,Lists!$P$2:$P$19,Lists!$V$2:$V$19,0)))</f>
        <v>0</v>
      </c>
      <c r="S326" s="68">
        <f ca="1">IF($B326="","",SUM(_xlfn.XLOOKUP(D326,Lists!$AC$2:$AC$9,Lists!$AD$2:$AD$9,0),_xlfn.XLOOKUP(F326,Lists!$AC$2:$AC$9,Lists!$AD$2:$AD$9,0),_xlfn.XLOOKUP(H326,Lists!$AC$2:$AC$9,Lists!$AD$2:$AD$9,0),_xlfn.XLOOKUP(J326,Lists!$AC$2:$AC$9,Lists!$AD$2:$AD$9,0),_xlfn.XLOOKUP(L326,Lists!$AC$2:$AC$9,Lists!$AD$2:$AD$9,0)))</f>
        <v>0</v>
      </c>
      <c r="T326" s="68">
        <f ca="1">IF($B326="","",SUM(_xlfn.XLOOKUP(C326,Lists!$P$2:$P$19,Lists!$W$2:$W$19,0),_xlfn.XLOOKUP(E326,Lists!$P$2:$P$19,Lists!$W$2:$W$19,0),_xlfn.XLOOKUP(G326,Lists!$P$2:$P$19,Lists!$W$2:$W$19,0),_xlfn.XLOOKUP(I326,Lists!$P$2:$P$19,Lists!$W$2:$W$19,0),_xlfn.XLOOKUP(K326,Lists!$P$2:$P$19,Lists!$W$2:$W$19,0)))</f>
        <v>0</v>
      </c>
      <c r="U326" s="68">
        <f ca="1">IF($B326="","",SUM(_xlfn.XLOOKUP(C326,Lists!$P$2:$P$19,Lists!$X$2:$X$19,0),_xlfn.XLOOKUP(E326,Lists!$P$2:$P$19,Lists!$X$2:$X$19,0),_xlfn.XLOOKUP(G326,Lists!$P$2:$P$19,Lists!$X$2:$X$19,0),_xlfn.XLOOKUP(I326,Lists!$P$2:$P$19,Lists!$X$2:$X$19,0),_xlfn.XLOOKUP(K326,Lists!$P$2:$P$19,Lists!$X$2:$X$19,0)))</f>
        <v>0</v>
      </c>
      <c r="V326" s="68">
        <f ca="1">IF($B326="","",SUM(_xlfn.XLOOKUP(C326,Lists!$P$2:$P$19,Lists!$Y$2:$Y$19,0),_xlfn.XLOOKUP(E326,Lists!$P$2:$P$19,Lists!$Y$2:$Y$19,0),_xlfn.XLOOKUP(G326,Lists!$P$2:$P$19,Lists!$Y$2:$Y$19,0),_xlfn.XLOOKUP(I326,Lists!$P$2:$P$19,Lists!$Y$2:$Y$19,0),_xlfn.XLOOKUP(K326,Lists!$P$2:$P$19,Lists!$Y$2:$Y$19,0)))</f>
        <v>0</v>
      </c>
      <c r="W326" s="68">
        <f ca="1">IF($B326="","",SUM(_xlfn.XLOOKUP(C326,Lists!$P$2:$P$19,Lists!$Z$2:$Z$19,0),_xlfn.XLOOKUP(E326,Lists!$P$2:$P$19,Lists!$Z$2:$Z$19,0),_xlfn.XLOOKUP(G326,Lists!$P$2:$P$19,Lists!$Z$2:$Z$19,0),_xlfn.XLOOKUP(I326,Lists!$P$2:$P$19,Lists!$Z$2:$Z$19,0),_xlfn.XLOOKUP(K326,Lists!$P$2:$P$19,Lists!$Z$2:$Z$19,0)))</f>
        <v>0</v>
      </c>
      <c r="X326" s="69">
        <f ca="1">IF($B326="","",SUM(_xlfn.XLOOKUP(C326,Lists!$P$2:$P$19,Lists!$AA$2:$AA$19,0),_xlfn.XLOOKUP(E326,Lists!$P$2:$P$19,Lists!$AA$2:$AA$19,0),_xlfn.XLOOKUP(G326,Lists!$P$2:$P$19,Lists!$AA$2:$AA$19,0),_xlfn.XLOOKUP(I326,Lists!$P$2:$P$19,Lists!$AA$2:$AA$19,0),_xlfn.XLOOKUP(K326,Lists!$P$2:$P$19,Lists!$AA$2:$AA$19,0)))</f>
        <v>0</v>
      </c>
      <c r="Y326" s="49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  <c r="CS326" s="18"/>
      <c r="CT326" s="18"/>
      <c r="CU326" s="18"/>
      <c r="CV326" s="18"/>
      <c r="CW326" s="18"/>
      <c r="CX326" s="18"/>
      <c r="CY326" s="18"/>
      <c r="CZ326" s="18"/>
      <c r="DA326" s="18"/>
      <c r="DB326" s="18"/>
      <c r="DC326" s="18"/>
      <c r="DD326" s="18"/>
      <c r="DE326" s="18"/>
      <c r="DF326" s="18"/>
    </row>
    <row r="327" spans="1:110">
      <c r="A327" s="168">
        <v>4</v>
      </c>
      <c r="B327" s="47" t="str">
        <f ca="1">Lineups!$H$92</f>
        <v>Diddy Kong</v>
      </c>
      <c r="C327" s="49" t="s">
        <v>189</v>
      </c>
      <c r="D327" s="49"/>
      <c r="E327" s="49"/>
      <c r="F327" s="49"/>
      <c r="G327" s="49"/>
      <c r="H327" s="50"/>
      <c r="I327" s="50"/>
      <c r="J327" s="50"/>
      <c r="K327" s="50"/>
      <c r="L327" s="50"/>
      <c r="M327" s="67">
        <f ca="1">IF($B327="","",SUM(_xlfn.XLOOKUP(C327,Lists!$P$2:$P$19,Lists!$R$2:$R$19,0),_xlfn.XLOOKUP(E327,Lists!$P$2:$P$19,Lists!$R$2:$R$19,0),_xlfn.XLOOKUP(G327,Lists!$P$2:$P$19,Lists!$R$2:$R$19,0),_xlfn.XLOOKUP(I327,Lists!$P$2:$P$19,Lists!$R$2:$R$19,0),_xlfn.XLOOKUP(K327,Lists!$P$2:$P$19,Lists!$R$2:$R$19,0)))</f>
        <v>1</v>
      </c>
      <c r="N327" s="68">
        <f ca="1">IF($B327="","",SUM(_xlfn.XLOOKUP(D327,Lists!$AC$2:$AC$9,Lists!$AE$2:$AE$9,0),_xlfn.XLOOKUP(F327,Lists!$AC$2:$AC$9,Lists!$AE$2:$AE$9,0),_xlfn.XLOOKUP(H327,Lists!$AC$2:$AC$9,Lists!$AE$2:$AE$9,0),_xlfn.XLOOKUP(J327,Lists!$AC$2:$AC$9,Lists!$AE$2:$AE$9,0),_xlfn.XLOOKUP(L327,Lists!$AC$2:$AC$9,Lists!$AE$2:$AE$9,0)))</f>
        <v>0</v>
      </c>
      <c r="O327" s="68">
        <f ca="1">IF($B327="","",SUM(_xlfn.XLOOKUP(C327,Lists!$P$2:$P$19,Lists!$S$2:$S$19,0),_xlfn.XLOOKUP(E327,Lists!$P$2:$P$19,Lists!$S$2:$S$19,0),_xlfn.XLOOKUP(G327,Lists!$P$2:$P$19,Lists!$S$2:$S$19,0),_xlfn.XLOOKUP(I327,Lists!$P$2:$P$19,Lists!$S$2:$S$19,0),_xlfn.XLOOKUP(K327,Lists!$P$2:$P$19,Lists!$S$2:$S$19,0)))</f>
        <v>0</v>
      </c>
      <c r="P327" s="68">
        <f ca="1">IF($B327="","",SUM(_xlfn.XLOOKUP(C327,Lists!$P$2:$P$19,Lists!$T$2:$T$19,0),_xlfn.XLOOKUP(E327,Lists!$P$2:$P$19,Lists!$T$2:$T$19,0),_xlfn.XLOOKUP(G327,Lists!$P$2:$P$19,Lists!$T$2:$T$19,0),_xlfn.XLOOKUP(I327,Lists!$P$2:$P$19,Lists!$T$2:$T$19,0),_xlfn.XLOOKUP(K327,Lists!$P$2:$P$19,Lists!$T$2:$T$19,0)))</f>
        <v>0</v>
      </c>
      <c r="Q327" s="68">
        <f ca="1">IF($B327="","",SUM(_xlfn.XLOOKUP(C327,Lists!$P$2:$P$19,Lists!$U$2:$U$19,0),_xlfn.XLOOKUP(E327,Lists!$P$2:$P$19,Lists!$U$2:$U$19,0),_xlfn.XLOOKUP(G327,Lists!$P$2:$P$19,Lists!$U$2:$U$19,0),_xlfn.XLOOKUP(I327,Lists!$P$2:$P$19,Lists!$U$2:$U$19,0),_xlfn.XLOOKUP(K327,Lists!$P$2:$P$19,Lists!$U$2:$U$19,0)))</f>
        <v>0</v>
      </c>
      <c r="R327" s="68">
        <f ca="1">IF($B327="","",SUM(_xlfn.XLOOKUP(C327,Lists!$P$2:$P$19,Lists!$V$2:$V$19,0),_xlfn.XLOOKUP(E327,Lists!$P$2:$P$19,Lists!$V$2:$V$19,0),_xlfn.XLOOKUP(G327,Lists!$P$2:$P$19,Lists!$V$2:$V$19,0),_xlfn.XLOOKUP(I327,Lists!$P$2:$P$19,Lists!$V$2:$V$19,0),_xlfn.XLOOKUP(K327,Lists!$P$2:$P$19,Lists!$V$2:$V$19,0)))</f>
        <v>0</v>
      </c>
      <c r="S327" s="68">
        <f ca="1">IF($B327="","",SUM(_xlfn.XLOOKUP(D327,Lists!$AC$2:$AC$9,Lists!$AD$2:$AD$9,0),_xlfn.XLOOKUP(F327,Lists!$AC$2:$AC$9,Lists!$AD$2:$AD$9,0),_xlfn.XLOOKUP(H327,Lists!$AC$2:$AC$9,Lists!$AD$2:$AD$9,0),_xlfn.XLOOKUP(J327,Lists!$AC$2:$AC$9,Lists!$AD$2:$AD$9,0),_xlfn.XLOOKUP(L327,Lists!$AC$2:$AC$9,Lists!$AD$2:$AD$9,0)))</f>
        <v>0</v>
      </c>
      <c r="T327" s="68">
        <f ca="1">IF($B327="","",SUM(_xlfn.XLOOKUP(C327,Lists!$P$2:$P$19,Lists!$W$2:$W$19,0),_xlfn.XLOOKUP(E327,Lists!$P$2:$P$19,Lists!$W$2:$W$19,0),_xlfn.XLOOKUP(G327,Lists!$P$2:$P$19,Lists!$W$2:$W$19,0),_xlfn.XLOOKUP(I327,Lists!$P$2:$P$19,Lists!$W$2:$W$19,0),_xlfn.XLOOKUP(K327,Lists!$P$2:$P$19,Lists!$W$2:$W$19,0)))</f>
        <v>0</v>
      </c>
      <c r="U327" s="68">
        <f ca="1">IF($B327="","",SUM(_xlfn.XLOOKUP(C327,Lists!$P$2:$P$19,Lists!$X$2:$X$19,0),_xlfn.XLOOKUP(E327,Lists!$P$2:$P$19,Lists!$X$2:$X$19,0),_xlfn.XLOOKUP(G327,Lists!$P$2:$P$19,Lists!$X$2:$X$19,0),_xlfn.XLOOKUP(I327,Lists!$P$2:$P$19,Lists!$X$2:$X$19,0),_xlfn.XLOOKUP(K327,Lists!$P$2:$P$19,Lists!$X$2:$X$19,0)))</f>
        <v>0</v>
      </c>
      <c r="V327" s="68">
        <f ca="1">IF($B327="","",SUM(_xlfn.XLOOKUP(C327,Lists!$P$2:$P$19,Lists!$Y$2:$Y$19,0),_xlfn.XLOOKUP(E327,Lists!$P$2:$P$19,Lists!$Y$2:$Y$19,0),_xlfn.XLOOKUP(G327,Lists!$P$2:$P$19,Lists!$Y$2:$Y$19,0),_xlfn.XLOOKUP(I327,Lists!$P$2:$P$19,Lists!$Y$2:$Y$19,0),_xlfn.XLOOKUP(K327,Lists!$P$2:$P$19,Lists!$Y$2:$Y$19,0)))</f>
        <v>0</v>
      </c>
      <c r="W327" s="68">
        <f ca="1">IF($B327="","",SUM(_xlfn.XLOOKUP(C327,Lists!$P$2:$P$19,Lists!$Z$2:$Z$19,0),_xlfn.XLOOKUP(E327,Lists!$P$2:$P$19,Lists!$Z$2:$Z$19,0),_xlfn.XLOOKUP(G327,Lists!$P$2:$P$19,Lists!$Z$2:$Z$19,0),_xlfn.XLOOKUP(I327,Lists!$P$2:$P$19,Lists!$Z$2:$Z$19,0),_xlfn.XLOOKUP(K327,Lists!$P$2:$P$19,Lists!$Z$2:$Z$19,0)))</f>
        <v>0</v>
      </c>
      <c r="X327" s="69">
        <f ca="1">IF($B327="","",SUM(_xlfn.XLOOKUP(C327,Lists!$P$2:$P$19,Lists!$AA$2:$AA$19,0),_xlfn.XLOOKUP(E327,Lists!$P$2:$P$19,Lists!$AA$2:$AA$19,0),_xlfn.XLOOKUP(G327,Lists!$P$2:$P$19,Lists!$AA$2:$AA$19,0),_xlfn.XLOOKUP(I327,Lists!$P$2:$P$19,Lists!$AA$2:$AA$19,0),_xlfn.XLOOKUP(K327,Lists!$P$2:$P$19,Lists!$AA$2:$AA$19,0)))</f>
        <v>0</v>
      </c>
      <c r="Y327" s="49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P327" s="18"/>
      <c r="CQ327" s="18"/>
      <c r="CR327" s="18"/>
      <c r="CS327" s="18"/>
      <c r="CT327" s="18"/>
      <c r="CU327" s="18"/>
      <c r="CV327" s="18"/>
      <c r="CW327" s="18"/>
      <c r="CX327" s="18"/>
      <c r="CY327" s="18"/>
      <c r="CZ327" s="18"/>
      <c r="DA327" s="18"/>
      <c r="DB327" s="18"/>
      <c r="DC327" s="18"/>
      <c r="DD327" s="18"/>
      <c r="DE327" s="18"/>
      <c r="DF327" s="18"/>
    </row>
    <row r="328" spans="1:110">
      <c r="A328" s="168">
        <v>5</v>
      </c>
      <c r="B328" s="47" t="str">
        <f ca="1">Lineups!$H$93</f>
        <v>Tiny Kong</v>
      </c>
      <c r="C328" s="49" t="s">
        <v>189</v>
      </c>
      <c r="D328" s="49"/>
      <c r="E328" s="49"/>
      <c r="F328" s="49"/>
      <c r="G328" s="49"/>
      <c r="H328" s="50"/>
      <c r="I328" s="50"/>
      <c r="J328" s="50"/>
      <c r="K328" s="50"/>
      <c r="L328" s="50"/>
      <c r="M328" s="67">
        <f ca="1">IF($B328="","",SUM(_xlfn.XLOOKUP(C328,Lists!$P$2:$P$19,Lists!$R$2:$R$19,0),_xlfn.XLOOKUP(E328,Lists!$P$2:$P$19,Lists!$R$2:$R$19,0),_xlfn.XLOOKUP(G328,Lists!$P$2:$P$19,Lists!$R$2:$R$19,0),_xlfn.XLOOKUP(I328,Lists!$P$2:$P$19,Lists!$R$2:$R$19,0),_xlfn.XLOOKUP(K328,Lists!$P$2:$P$19,Lists!$R$2:$R$19,0)))</f>
        <v>1</v>
      </c>
      <c r="N328" s="68">
        <f ca="1">IF($B328="","",SUM(_xlfn.XLOOKUP(D328,Lists!$AC$2:$AC$9,Lists!$AE$2:$AE$9,0),_xlfn.XLOOKUP(F328,Lists!$AC$2:$AC$9,Lists!$AE$2:$AE$9,0),_xlfn.XLOOKUP(H328,Lists!$AC$2:$AC$9,Lists!$AE$2:$AE$9,0),_xlfn.XLOOKUP(J328,Lists!$AC$2:$AC$9,Lists!$AE$2:$AE$9,0),_xlfn.XLOOKUP(L328,Lists!$AC$2:$AC$9,Lists!$AE$2:$AE$9,0)))</f>
        <v>0</v>
      </c>
      <c r="O328" s="68">
        <f ca="1">IF($B328="","",SUM(_xlfn.XLOOKUP(C328,Lists!$P$2:$P$19,Lists!$S$2:$S$19,0),_xlfn.XLOOKUP(E328,Lists!$P$2:$P$19,Lists!$S$2:$S$19,0),_xlfn.XLOOKUP(G328,Lists!$P$2:$P$19,Lists!$S$2:$S$19,0),_xlfn.XLOOKUP(I328,Lists!$P$2:$P$19,Lists!$S$2:$S$19,0),_xlfn.XLOOKUP(K328,Lists!$P$2:$P$19,Lists!$S$2:$S$19,0)))</f>
        <v>0</v>
      </c>
      <c r="P328" s="68">
        <f ca="1">IF($B328="","",SUM(_xlfn.XLOOKUP(C328,Lists!$P$2:$P$19,Lists!$T$2:$T$19,0),_xlfn.XLOOKUP(E328,Lists!$P$2:$P$19,Lists!$T$2:$T$19,0),_xlfn.XLOOKUP(G328,Lists!$P$2:$P$19,Lists!$T$2:$T$19,0),_xlfn.XLOOKUP(I328,Lists!$P$2:$P$19,Lists!$T$2:$T$19,0),_xlfn.XLOOKUP(K328,Lists!$P$2:$P$19,Lists!$T$2:$T$19,0)))</f>
        <v>0</v>
      </c>
      <c r="Q328" s="68">
        <f ca="1">IF($B328="","",SUM(_xlfn.XLOOKUP(C328,Lists!$P$2:$P$19,Lists!$U$2:$U$19,0),_xlfn.XLOOKUP(E328,Lists!$P$2:$P$19,Lists!$U$2:$U$19,0),_xlfn.XLOOKUP(G328,Lists!$P$2:$P$19,Lists!$U$2:$U$19,0),_xlfn.XLOOKUP(I328,Lists!$P$2:$P$19,Lists!$U$2:$U$19,0),_xlfn.XLOOKUP(K328,Lists!$P$2:$P$19,Lists!$U$2:$U$19,0)))</f>
        <v>0</v>
      </c>
      <c r="R328" s="68">
        <f ca="1">IF($B328="","",SUM(_xlfn.XLOOKUP(C328,Lists!$P$2:$P$19,Lists!$V$2:$V$19,0),_xlfn.XLOOKUP(E328,Lists!$P$2:$P$19,Lists!$V$2:$V$19,0),_xlfn.XLOOKUP(G328,Lists!$P$2:$P$19,Lists!$V$2:$V$19,0),_xlfn.XLOOKUP(I328,Lists!$P$2:$P$19,Lists!$V$2:$V$19,0),_xlfn.XLOOKUP(K328,Lists!$P$2:$P$19,Lists!$V$2:$V$19,0)))</f>
        <v>0</v>
      </c>
      <c r="S328" s="68">
        <f ca="1">IF($B328="","",SUM(_xlfn.XLOOKUP(D328,Lists!$AC$2:$AC$9,Lists!$AD$2:$AD$9,0),_xlfn.XLOOKUP(F328,Lists!$AC$2:$AC$9,Lists!$AD$2:$AD$9,0),_xlfn.XLOOKUP(H328,Lists!$AC$2:$AC$9,Lists!$AD$2:$AD$9,0),_xlfn.XLOOKUP(J328,Lists!$AC$2:$AC$9,Lists!$AD$2:$AD$9,0),_xlfn.XLOOKUP(L328,Lists!$AC$2:$AC$9,Lists!$AD$2:$AD$9,0)))</f>
        <v>0</v>
      </c>
      <c r="T328" s="68">
        <f ca="1">IF($B328="","",SUM(_xlfn.XLOOKUP(C328,Lists!$P$2:$P$19,Lists!$W$2:$W$19,0),_xlfn.XLOOKUP(E328,Lists!$P$2:$P$19,Lists!$W$2:$W$19,0),_xlfn.XLOOKUP(G328,Lists!$P$2:$P$19,Lists!$W$2:$W$19,0),_xlfn.XLOOKUP(I328,Lists!$P$2:$P$19,Lists!$W$2:$W$19,0),_xlfn.XLOOKUP(K328,Lists!$P$2:$P$19,Lists!$W$2:$W$19,0)))</f>
        <v>0</v>
      </c>
      <c r="U328" s="68">
        <f ca="1">IF($B328="","",SUM(_xlfn.XLOOKUP(C328,Lists!$P$2:$P$19,Lists!$X$2:$X$19,0),_xlfn.XLOOKUP(E328,Lists!$P$2:$P$19,Lists!$X$2:$X$19,0),_xlfn.XLOOKUP(G328,Lists!$P$2:$P$19,Lists!$X$2:$X$19,0),_xlfn.XLOOKUP(I328,Lists!$P$2:$P$19,Lists!$X$2:$X$19,0),_xlfn.XLOOKUP(K328,Lists!$P$2:$P$19,Lists!$X$2:$X$19,0)))</f>
        <v>0</v>
      </c>
      <c r="V328" s="68">
        <f ca="1">IF($B328="","",SUM(_xlfn.XLOOKUP(C328,Lists!$P$2:$P$19,Lists!$Y$2:$Y$19,0),_xlfn.XLOOKUP(E328,Lists!$P$2:$P$19,Lists!$Y$2:$Y$19,0),_xlfn.XLOOKUP(G328,Lists!$P$2:$P$19,Lists!$Y$2:$Y$19,0),_xlfn.XLOOKUP(I328,Lists!$P$2:$P$19,Lists!$Y$2:$Y$19,0),_xlfn.XLOOKUP(K328,Lists!$P$2:$P$19,Lists!$Y$2:$Y$19,0)))</f>
        <v>0</v>
      </c>
      <c r="W328" s="68">
        <f ca="1">IF($B328="","",SUM(_xlfn.XLOOKUP(C328,Lists!$P$2:$P$19,Lists!$Z$2:$Z$19,0),_xlfn.XLOOKUP(E328,Lists!$P$2:$P$19,Lists!$Z$2:$Z$19,0),_xlfn.XLOOKUP(G328,Lists!$P$2:$P$19,Lists!$Z$2:$Z$19,0),_xlfn.XLOOKUP(I328,Lists!$P$2:$P$19,Lists!$Z$2:$Z$19,0),_xlfn.XLOOKUP(K328,Lists!$P$2:$P$19,Lists!$Z$2:$Z$19,0)))</f>
        <v>0</v>
      </c>
      <c r="X328" s="69">
        <f ca="1">IF($B328="","",SUM(_xlfn.XLOOKUP(C328,Lists!$P$2:$P$19,Lists!$AA$2:$AA$19,0),_xlfn.XLOOKUP(E328,Lists!$P$2:$P$19,Lists!$AA$2:$AA$19,0),_xlfn.XLOOKUP(G328,Lists!$P$2:$P$19,Lists!$AA$2:$AA$19,0),_xlfn.XLOOKUP(I328,Lists!$P$2:$P$19,Lists!$AA$2:$AA$19,0),_xlfn.XLOOKUP(K328,Lists!$P$2:$P$19,Lists!$AA$2:$AA$19,0)))</f>
        <v>0</v>
      </c>
      <c r="Y328" s="49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P328" s="18"/>
      <c r="CQ328" s="18"/>
      <c r="CR328" s="18"/>
      <c r="CS328" s="18"/>
      <c r="CT328" s="18"/>
      <c r="CU328" s="18"/>
      <c r="CV328" s="18"/>
      <c r="CW328" s="18"/>
      <c r="CX328" s="18"/>
      <c r="CY328" s="18"/>
      <c r="CZ328" s="18"/>
      <c r="DA328" s="18"/>
      <c r="DB328" s="18"/>
      <c r="DC328" s="18"/>
      <c r="DD328" s="18"/>
      <c r="DE328" s="18"/>
      <c r="DF328" s="18"/>
    </row>
    <row r="329" spans="1:110">
      <c r="A329" s="168">
        <v>6</v>
      </c>
      <c r="B329" s="47" t="str">
        <f ca="1">Lineups!$H$94</f>
        <v>Baby DK</v>
      </c>
      <c r="C329" s="49" t="s">
        <v>189</v>
      </c>
      <c r="D329" s="49"/>
      <c r="E329" s="49"/>
      <c r="F329" s="49"/>
      <c r="G329" s="49"/>
      <c r="H329" s="50"/>
      <c r="I329" s="50"/>
      <c r="J329" s="50"/>
      <c r="K329" s="50"/>
      <c r="L329" s="50"/>
      <c r="M329" s="67">
        <f ca="1">IF($B329="","",SUM(_xlfn.XLOOKUP(C329,Lists!$P$2:$P$19,Lists!$R$2:$R$19,0),_xlfn.XLOOKUP(E329,Lists!$P$2:$P$19,Lists!$R$2:$R$19,0),_xlfn.XLOOKUP(G329,Lists!$P$2:$P$19,Lists!$R$2:$R$19,0),_xlfn.XLOOKUP(I329,Lists!$P$2:$P$19,Lists!$R$2:$R$19,0),_xlfn.XLOOKUP(K329,Lists!$P$2:$P$19,Lists!$R$2:$R$19,0)))</f>
        <v>1</v>
      </c>
      <c r="N329" s="68">
        <f ca="1">IF($B329="","",SUM(_xlfn.XLOOKUP(D329,Lists!$AC$2:$AC$9,Lists!$AE$2:$AE$9,0),_xlfn.XLOOKUP(F329,Lists!$AC$2:$AC$9,Lists!$AE$2:$AE$9,0),_xlfn.XLOOKUP(H329,Lists!$AC$2:$AC$9,Lists!$AE$2:$AE$9,0),_xlfn.XLOOKUP(J329,Lists!$AC$2:$AC$9,Lists!$AE$2:$AE$9,0),_xlfn.XLOOKUP(L329,Lists!$AC$2:$AC$9,Lists!$AE$2:$AE$9,0)))</f>
        <v>0</v>
      </c>
      <c r="O329" s="68">
        <f ca="1">IF($B329="","",SUM(_xlfn.XLOOKUP(C329,Lists!$P$2:$P$19,Lists!$S$2:$S$19,0),_xlfn.XLOOKUP(E329,Lists!$P$2:$P$19,Lists!$S$2:$S$19,0),_xlfn.XLOOKUP(G329,Lists!$P$2:$P$19,Lists!$S$2:$S$19,0),_xlfn.XLOOKUP(I329,Lists!$P$2:$P$19,Lists!$S$2:$S$19,0),_xlfn.XLOOKUP(K329,Lists!$P$2:$P$19,Lists!$S$2:$S$19,0)))</f>
        <v>0</v>
      </c>
      <c r="P329" s="68">
        <f ca="1">IF($B329="","",SUM(_xlfn.XLOOKUP(C329,Lists!$P$2:$P$19,Lists!$T$2:$T$19,0),_xlfn.XLOOKUP(E329,Lists!$P$2:$P$19,Lists!$T$2:$T$19,0),_xlfn.XLOOKUP(G329,Lists!$P$2:$P$19,Lists!$T$2:$T$19,0),_xlfn.XLOOKUP(I329,Lists!$P$2:$P$19,Lists!$T$2:$T$19,0),_xlfn.XLOOKUP(K329,Lists!$P$2:$P$19,Lists!$T$2:$T$19,0)))</f>
        <v>0</v>
      </c>
      <c r="Q329" s="68">
        <f ca="1">IF($B329="","",SUM(_xlfn.XLOOKUP(C329,Lists!$P$2:$P$19,Lists!$U$2:$U$19,0),_xlfn.XLOOKUP(E329,Lists!$P$2:$P$19,Lists!$U$2:$U$19,0),_xlfn.XLOOKUP(G329,Lists!$P$2:$P$19,Lists!$U$2:$U$19,0),_xlfn.XLOOKUP(I329,Lists!$P$2:$P$19,Lists!$U$2:$U$19,0),_xlfn.XLOOKUP(K329,Lists!$P$2:$P$19,Lists!$U$2:$U$19,0)))</f>
        <v>0</v>
      </c>
      <c r="R329" s="68">
        <f ca="1">IF($B329="","",SUM(_xlfn.XLOOKUP(C329,Lists!$P$2:$P$19,Lists!$V$2:$V$19,0),_xlfn.XLOOKUP(E329,Lists!$P$2:$P$19,Lists!$V$2:$V$19,0),_xlfn.XLOOKUP(G329,Lists!$P$2:$P$19,Lists!$V$2:$V$19,0),_xlfn.XLOOKUP(I329,Lists!$P$2:$P$19,Lists!$V$2:$V$19,0),_xlfn.XLOOKUP(K329,Lists!$P$2:$P$19,Lists!$V$2:$V$19,0)))</f>
        <v>0</v>
      </c>
      <c r="S329" s="68">
        <f ca="1">IF($B329="","",SUM(_xlfn.XLOOKUP(D329,Lists!$AC$2:$AC$9,Lists!$AD$2:$AD$9,0),_xlfn.XLOOKUP(F329,Lists!$AC$2:$AC$9,Lists!$AD$2:$AD$9,0),_xlfn.XLOOKUP(H329,Lists!$AC$2:$AC$9,Lists!$AD$2:$AD$9,0),_xlfn.XLOOKUP(J329,Lists!$AC$2:$AC$9,Lists!$AD$2:$AD$9,0),_xlfn.XLOOKUP(L329,Lists!$AC$2:$AC$9,Lists!$AD$2:$AD$9,0)))</f>
        <v>0</v>
      </c>
      <c r="T329" s="68">
        <f ca="1">IF($B329="","",SUM(_xlfn.XLOOKUP(C329,Lists!$P$2:$P$19,Lists!$W$2:$W$19,0),_xlfn.XLOOKUP(E329,Lists!$P$2:$P$19,Lists!$W$2:$W$19,0),_xlfn.XLOOKUP(G329,Lists!$P$2:$P$19,Lists!$W$2:$W$19,0),_xlfn.XLOOKUP(I329,Lists!$P$2:$P$19,Lists!$W$2:$W$19,0),_xlfn.XLOOKUP(K329,Lists!$P$2:$P$19,Lists!$W$2:$W$19,0)))</f>
        <v>0</v>
      </c>
      <c r="U329" s="68">
        <f ca="1">IF($B329="","",SUM(_xlfn.XLOOKUP(C329,Lists!$P$2:$P$19,Lists!$X$2:$X$19,0),_xlfn.XLOOKUP(E329,Lists!$P$2:$P$19,Lists!$X$2:$X$19,0),_xlfn.XLOOKUP(G329,Lists!$P$2:$P$19,Lists!$X$2:$X$19,0),_xlfn.XLOOKUP(I329,Lists!$P$2:$P$19,Lists!$X$2:$X$19,0),_xlfn.XLOOKUP(K329,Lists!$P$2:$P$19,Lists!$X$2:$X$19,0)))</f>
        <v>0</v>
      </c>
      <c r="V329" s="68">
        <f ca="1">IF($B329="","",SUM(_xlfn.XLOOKUP(C329,Lists!$P$2:$P$19,Lists!$Y$2:$Y$19,0),_xlfn.XLOOKUP(E329,Lists!$P$2:$P$19,Lists!$Y$2:$Y$19,0),_xlfn.XLOOKUP(G329,Lists!$P$2:$P$19,Lists!$Y$2:$Y$19,0),_xlfn.XLOOKUP(I329,Lists!$P$2:$P$19,Lists!$Y$2:$Y$19,0),_xlfn.XLOOKUP(K329,Lists!$P$2:$P$19,Lists!$Y$2:$Y$19,0)))</f>
        <v>0</v>
      </c>
      <c r="W329" s="68">
        <f ca="1">IF($B329="","",SUM(_xlfn.XLOOKUP(C329,Lists!$P$2:$P$19,Lists!$Z$2:$Z$19,0),_xlfn.XLOOKUP(E329,Lists!$P$2:$P$19,Lists!$Z$2:$Z$19,0),_xlfn.XLOOKUP(G329,Lists!$P$2:$P$19,Lists!$Z$2:$Z$19,0),_xlfn.XLOOKUP(I329,Lists!$P$2:$P$19,Lists!$Z$2:$Z$19,0),_xlfn.XLOOKUP(K329,Lists!$P$2:$P$19,Lists!$Z$2:$Z$19,0)))</f>
        <v>0</v>
      </c>
      <c r="X329" s="69">
        <f ca="1">IF($B329="","",SUM(_xlfn.XLOOKUP(C329,Lists!$P$2:$P$19,Lists!$AA$2:$AA$19,0),_xlfn.XLOOKUP(E329,Lists!$P$2:$P$19,Lists!$AA$2:$AA$19,0),_xlfn.XLOOKUP(G329,Lists!$P$2:$P$19,Lists!$AA$2:$AA$19,0),_xlfn.XLOOKUP(I329,Lists!$P$2:$P$19,Lists!$AA$2:$AA$19,0),_xlfn.XLOOKUP(K329,Lists!$P$2:$P$19,Lists!$AA$2:$AA$19,0)))</f>
        <v>0</v>
      </c>
      <c r="Y329" s="49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  <c r="CS329" s="18"/>
      <c r="CT329" s="18"/>
      <c r="CU329" s="18"/>
      <c r="CV329" s="18"/>
      <c r="CW329" s="18"/>
      <c r="CX329" s="18"/>
      <c r="CY329" s="18"/>
      <c r="CZ329" s="18"/>
      <c r="DA329" s="18"/>
      <c r="DB329" s="18"/>
      <c r="DC329" s="18"/>
      <c r="DD329" s="18"/>
      <c r="DE329" s="18"/>
      <c r="DF329" s="18"/>
    </row>
    <row r="330" spans="1:110">
      <c r="A330" s="168">
        <v>7</v>
      </c>
      <c r="B330" s="47" t="str">
        <f ca="1">Lineups!$H$95</f>
        <v>Fire Bro</v>
      </c>
      <c r="C330" s="49" t="s">
        <v>185</v>
      </c>
      <c r="D330" s="49"/>
      <c r="E330" s="49"/>
      <c r="F330" s="49"/>
      <c r="G330" s="49"/>
      <c r="H330" s="50"/>
      <c r="I330" s="50"/>
      <c r="J330" s="50"/>
      <c r="K330" s="50"/>
      <c r="L330" s="50"/>
      <c r="M330" s="67">
        <f ca="1">IF($B330="","",SUM(_xlfn.XLOOKUP(C330,Lists!$P$2:$P$19,Lists!$R$2:$R$19,0),_xlfn.XLOOKUP(E330,Lists!$P$2:$P$19,Lists!$R$2:$R$19,0),_xlfn.XLOOKUP(G330,Lists!$P$2:$P$19,Lists!$R$2:$R$19,0),_xlfn.XLOOKUP(I330,Lists!$P$2:$P$19,Lists!$R$2:$R$19,0),_xlfn.XLOOKUP(K330,Lists!$P$2:$P$19,Lists!$R$2:$R$19,0)))</f>
        <v>1</v>
      </c>
      <c r="N330" s="68">
        <f ca="1">IF($B330="","",SUM(_xlfn.XLOOKUP(D330,Lists!$AC$2:$AC$9,Lists!$AE$2:$AE$9,0),_xlfn.XLOOKUP(F330,Lists!$AC$2:$AC$9,Lists!$AE$2:$AE$9,0),_xlfn.XLOOKUP(H330,Lists!$AC$2:$AC$9,Lists!$AE$2:$AE$9,0),_xlfn.XLOOKUP(J330,Lists!$AC$2:$AC$9,Lists!$AE$2:$AE$9,0),_xlfn.XLOOKUP(L330,Lists!$AC$2:$AC$9,Lists!$AE$2:$AE$9,0)))</f>
        <v>0</v>
      </c>
      <c r="O330" s="68">
        <f ca="1">IF($B330="","",SUM(_xlfn.XLOOKUP(C330,Lists!$P$2:$P$19,Lists!$S$2:$S$19,0),_xlfn.XLOOKUP(E330,Lists!$P$2:$P$19,Lists!$S$2:$S$19,0),_xlfn.XLOOKUP(G330,Lists!$P$2:$P$19,Lists!$S$2:$S$19,0),_xlfn.XLOOKUP(I330,Lists!$P$2:$P$19,Lists!$S$2:$S$19,0),_xlfn.XLOOKUP(K330,Lists!$P$2:$P$19,Lists!$S$2:$S$19,0)))</f>
        <v>0</v>
      </c>
      <c r="P330" s="68">
        <f ca="1">IF($B330="","",SUM(_xlfn.XLOOKUP(C330,Lists!$P$2:$P$19,Lists!$T$2:$T$19,0),_xlfn.XLOOKUP(E330,Lists!$P$2:$P$19,Lists!$T$2:$T$19,0),_xlfn.XLOOKUP(G330,Lists!$P$2:$P$19,Lists!$T$2:$T$19,0),_xlfn.XLOOKUP(I330,Lists!$P$2:$P$19,Lists!$T$2:$T$19,0),_xlfn.XLOOKUP(K330,Lists!$P$2:$P$19,Lists!$T$2:$T$19,0)))</f>
        <v>0</v>
      </c>
      <c r="Q330" s="68">
        <f ca="1">IF($B330="","",SUM(_xlfn.XLOOKUP(C330,Lists!$P$2:$P$19,Lists!$U$2:$U$19,0),_xlfn.XLOOKUP(E330,Lists!$P$2:$P$19,Lists!$U$2:$U$19,0),_xlfn.XLOOKUP(G330,Lists!$P$2:$P$19,Lists!$U$2:$U$19,0),_xlfn.XLOOKUP(I330,Lists!$P$2:$P$19,Lists!$U$2:$U$19,0),_xlfn.XLOOKUP(K330,Lists!$P$2:$P$19,Lists!$U$2:$U$19,0)))</f>
        <v>0</v>
      </c>
      <c r="R330" s="68">
        <f ca="1">IF($B330="","",SUM(_xlfn.XLOOKUP(C330,Lists!$P$2:$P$19,Lists!$V$2:$V$19,0),_xlfn.XLOOKUP(E330,Lists!$P$2:$P$19,Lists!$V$2:$V$19,0),_xlfn.XLOOKUP(G330,Lists!$P$2:$P$19,Lists!$V$2:$V$19,0),_xlfn.XLOOKUP(I330,Lists!$P$2:$P$19,Lists!$V$2:$V$19,0),_xlfn.XLOOKUP(K330,Lists!$P$2:$P$19,Lists!$V$2:$V$19,0)))</f>
        <v>0</v>
      </c>
      <c r="S330" s="68">
        <f ca="1">IF($B330="","",SUM(_xlfn.XLOOKUP(D330,Lists!$AC$2:$AC$9,Lists!$AD$2:$AD$9,0),_xlfn.XLOOKUP(F330,Lists!$AC$2:$AC$9,Lists!$AD$2:$AD$9,0),_xlfn.XLOOKUP(H330,Lists!$AC$2:$AC$9,Lists!$AD$2:$AD$9,0),_xlfn.XLOOKUP(J330,Lists!$AC$2:$AC$9,Lists!$AD$2:$AD$9,0),_xlfn.XLOOKUP(L330,Lists!$AC$2:$AC$9,Lists!$AD$2:$AD$9,0)))</f>
        <v>0</v>
      </c>
      <c r="T330" s="68">
        <f ca="1">IF($B330="","",SUM(_xlfn.XLOOKUP(C330,Lists!$P$2:$P$19,Lists!$W$2:$W$19,0),_xlfn.XLOOKUP(E330,Lists!$P$2:$P$19,Lists!$W$2:$W$19,0),_xlfn.XLOOKUP(G330,Lists!$P$2:$P$19,Lists!$W$2:$W$19,0),_xlfn.XLOOKUP(I330,Lists!$P$2:$P$19,Lists!$W$2:$W$19,0),_xlfn.XLOOKUP(K330,Lists!$P$2:$P$19,Lists!$W$2:$W$19,0)))</f>
        <v>0</v>
      </c>
      <c r="U330" s="68">
        <f ca="1">IF($B330="","",SUM(_xlfn.XLOOKUP(C330,Lists!$P$2:$P$19,Lists!$X$2:$X$19,0),_xlfn.XLOOKUP(E330,Lists!$P$2:$P$19,Lists!$X$2:$X$19,0),_xlfn.XLOOKUP(G330,Lists!$P$2:$P$19,Lists!$X$2:$X$19,0),_xlfn.XLOOKUP(I330,Lists!$P$2:$P$19,Lists!$X$2:$X$19,0),_xlfn.XLOOKUP(K330,Lists!$P$2:$P$19,Lists!$X$2:$X$19,0)))</f>
        <v>1</v>
      </c>
      <c r="V330" s="68">
        <f ca="1">IF($B330="","",SUM(_xlfn.XLOOKUP(C330,Lists!$P$2:$P$19,Lists!$Y$2:$Y$19,0),_xlfn.XLOOKUP(E330,Lists!$P$2:$P$19,Lists!$Y$2:$Y$19,0),_xlfn.XLOOKUP(G330,Lists!$P$2:$P$19,Lists!$Y$2:$Y$19,0),_xlfn.XLOOKUP(I330,Lists!$P$2:$P$19,Lists!$Y$2:$Y$19,0),_xlfn.XLOOKUP(K330,Lists!$P$2:$P$19,Lists!$Y$2:$Y$19,0)))</f>
        <v>0</v>
      </c>
      <c r="W330" s="68">
        <f ca="1">IF($B330="","",SUM(_xlfn.XLOOKUP(C330,Lists!$P$2:$P$19,Lists!$Z$2:$Z$19,0),_xlfn.XLOOKUP(E330,Lists!$P$2:$P$19,Lists!$Z$2:$Z$19,0),_xlfn.XLOOKUP(G330,Lists!$P$2:$P$19,Lists!$Z$2:$Z$19,0),_xlfn.XLOOKUP(I330,Lists!$P$2:$P$19,Lists!$Z$2:$Z$19,0),_xlfn.XLOOKUP(K330,Lists!$P$2:$P$19,Lists!$Z$2:$Z$19,0)))</f>
        <v>0</v>
      </c>
      <c r="X330" s="69">
        <f ca="1">IF($B330="","",SUM(_xlfn.XLOOKUP(C330,Lists!$P$2:$P$19,Lists!$AA$2:$AA$19,0),_xlfn.XLOOKUP(E330,Lists!$P$2:$P$19,Lists!$AA$2:$AA$19,0),_xlfn.XLOOKUP(G330,Lists!$P$2:$P$19,Lists!$AA$2:$AA$19,0),_xlfn.XLOOKUP(I330,Lists!$P$2:$P$19,Lists!$AA$2:$AA$19,0),_xlfn.XLOOKUP(K330,Lists!$P$2:$P$19,Lists!$AA$2:$AA$19,0)))</f>
        <v>0</v>
      </c>
      <c r="Y330" s="49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P330" s="18"/>
      <c r="CQ330" s="18"/>
      <c r="CR330" s="18"/>
      <c r="CS330" s="18"/>
      <c r="CT330" s="18"/>
      <c r="CU330" s="18"/>
      <c r="CV330" s="18"/>
      <c r="CW330" s="18"/>
      <c r="CX330" s="18"/>
      <c r="CY330" s="18"/>
      <c r="CZ330" s="18"/>
      <c r="DA330" s="18"/>
      <c r="DB330" s="18"/>
      <c r="DC330" s="18"/>
      <c r="DD330" s="18"/>
      <c r="DE330" s="18"/>
      <c r="DF330" s="18"/>
    </row>
    <row r="331" spans="1:110">
      <c r="A331" s="168">
        <v>8</v>
      </c>
      <c r="B331" s="47" t="str">
        <f ca="1">Lineups!$H$96</f>
        <v>Dixie Kong</v>
      </c>
      <c r="C331" s="49" t="s">
        <v>185</v>
      </c>
      <c r="D331" s="49"/>
      <c r="E331" s="49"/>
      <c r="F331" s="49"/>
      <c r="G331" s="49"/>
      <c r="H331" s="50"/>
      <c r="I331" s="50"/>
      <c r="J331" s="50"/>
      <c r="K331" s="50"/>
      <c r="L331" s="50"/>
      <c r="M331" s="67">
        <f ca="1">IF($B331="","",SUM(_xlfn.XLOOKUP(C331,Lists!$P$2:$P$19,Lists!$R$2:$R$19,0),_xlfn.XLOOKUP(E331,Lists!$P$2:$P$19,Lists!$R$2:$R$19,0),_xlfn.XLOOKUP(G331,Lists!$P$2:$P$19,Lists!$R$2:$R$19,0),_xlfn.XLOOKUP(I331,Lists!$P$2:$P$19,Lists!$R$2:$R$19,0),_xlfn.XLOOKUP(K331,Lists!$P$2:$P$19,Lists!$R$2:$R$19,0)))</f>
        <v>1</v>
      </c>
      <c r="N331" s="68">
        <f ca="1">IF($B331="","",SUM(_xlfn.XLOOKUP(D331,Lists!$AC$2:$AC$9,Lists!$AE$2:$AE$9,0),_xlfn.XLOOKUP(F331,Lists!$AC$2:$AC$9,Lists!$AE$2:$AE$9,0),_xlfn.XLOOKUP(H331,Lists!$AC$2:$AC$9,Lists!$AE$2:$AE$9,0),_xlfn.XLOOKUP(J331,Lists!$AC$2:$AC$9,Lists!$AE$2:$AE$9,0),_xlfn.XLOOKUP(L331,Lists!$AC$2:$AC$9,Lists!$AE$2:$AE$9,0)))</f>
        <v>0</v>
      </c>
      <c r="O331" s="68">
        <f ca="1">IF($B331="","",SUM(_xlfn.XLOOKUP(C331,Lists!$P$2:$P$19,Lists!$S$2:$S$19,0),_xlfn.XLOOKUP(E331,Lists!$P$2:$P$19,Lists!$S$2:$S$19,0),_xlfn.XLOOKUP(G331,Lists!$P$2:$P$19,Lists!$S$2:$S$19,0),_xlfn.XLOOKUP(I331,Lists!$P$2:$P$19,Lists!$S$2:$S$19,0),_xlfn.XLOOKUP(K331,Lists!$P$2:$P$19,Lists!$S$2:$S$19,0)))</f>
        <v>0</v>
      </c>
      <c r="P331" s="68">
        <f ca="1">IF($B331="","",SUM(_xlfn.XLOOKUP(C331,Lists!$P$2:$P$19,Lists!$T$2:$T$19,0),_xlfn.XLOOKUP(E331,Lists!$P$2:$P$19,Lists!$T$2:$T$19,0),_xlfn.XLOOKUP(G331,Lists!$P$2:$P$19,Lists!$T$2:$T$19,0),_xlfn.XLOOKUP(I331,Lists!$P$2:$P$19,Lists!$T$2:$T$19,0),_xlfn.XLOOKUP(K331,Lists!$P$2:$P$19,Lists!$T$2:$T$19,0)))</f>
        <v>0</v>
      </c>
      <c r="Q331" s="68">
        <f ca="1">IF($B331="","",SUM(_xlfn.XLOOKUP(C331,Lists!$P$2:$P$19,Lists!$U$2:$U$19,0),_xlfn.XLOOKUP(E331,Lists!$P$2:$P$19,Lists!$U$2:$U$19,0),_xlfn.XLOOKUP(G331,Lists!$P$2:$P$19,Lists!$U$2:$U$19,0),_xlfn.XLOOKUP(I331,Lists!$P$2:$P$19,Lists!$U$2:$U$19,0),_xlfn.XLOOKUP(K331,Lists!$P$2:$P$19,Lists!$U$2:$U$19,0)))</f>
        <v>0</v>
      </c>
      <c r="R331" s="68">
        <f ca="1">IF($B331="","",SUM(_xlfn.XLOOKUP(C331,Lists!$P$2:$P$19,Lists!$V$2:$V$19,0),_xlfn.XLOOKUP(E331,Lists!$P$2:$P$19,Lists!$V$2:$V$19,0),_xlfn.XLOOKUP(G331,Lists!$P$2:$P$19,Lists!$V$2:$V$19,0),_xlfn.XLOOKUP(I331,Lists!$P$2:$P$19,Lists!$V$2:$V$19,0),_xlfn.XLOOKUP(K331,Lists!$P$2:$P$19,Lists!$V$2:$V$19,0)))</f>
        <v>0</v>
      </c>
      <c r="S331" s="68">
        <f ca="1">IF($B331="","",SUM(_xlfn.XLOOKUP(D331,Lists!$AC$2:$AC$9,Lists!$AD$2:$AD$9,0),_xlfn.XLOOKUP(F331,Lists!$AC$2:$AC$9,Lists!$AD$2:$AD$9,0),_xlfn.XLOOKUP(H331,Lists!$AC$2:$AC$9,Lists!$AD$2:$AD$9,0),_xlfn.XLOOKUP(J331,Lists!$AC$2:$AC$9,Lists!$AD$2:$AD$9,0),_xlfn.XLOOKUP(L331,Lists!$AC$2:$AC$9,Lists!$AD$2:$AD$9,0)))</f>
        <v>0</v>
      </c>
      <c r="T331" s="68">
        <f ca="1">IF($B331="","",SUM(_xlfn.XLOOKUP(C331,Lists!$P$2:$P$19,Lists!$W$2:$W$19,0),_xlfn.XLOOKUP(E331,Lists!$P$2:$P$19,Lists!$W$2:$W$19,0),_xlfn.XLOOKUP(G331,Lists!$P$2:$P$19,Lists!$W$2:$W$19,0),_xlfn.XLOOKUP(I331,Lists!$P$2:$P$19,Lists!$W$2:$W$19,0),_xlfn.XLOOKUP(K331,Lists!$P$2:$P$19,Lists!$W$2:$W$19,0)))</f>
        <v>0</v>
      </c>
      <c r="U331" s="68">
        <f ca="1">IF($B331="","",SUM(_xlfn.XLOOKUP(C331,Lists!$P$2:$P$19,Lists!$X$2:$X$19,0),_xlfn.XLOOKUP(E331,Lists!$P$2:$P$19,Lists!$X$2:$X$19,0),_xlfn.XLOOKUP(G331,Lists!$P$2:$P$19,Lists!$X$2:$X$19,0),_xlfn.XLOOKUP(I331,Lists!$P$2:$P$19,Lists!$X$2:$X$19,0),_xlfn.XLOOKUP(K331,Lists!$P$2:$P$19,Lists!$X$2:$X$19,0)))</f>
        <v>1</v>
      </c>
      <c r="V331" s="68">
        <f ca="1">IF($B331="","",SUM(_xlfn.XLOOKUP(C331,Lists!$P$2:$P$19,Lists!$Y$2:$Y$19,0),_xlfn.XLOOKUP(E331,Lists!$P$2:$P$19,Lists!$Y$2:$Y$19,0),_xlfn.XLOOKUP(G331,Lists!$P$2:$P$19,Lists!$Y$2:$Y$19,0),_xlfn.XLOOKUP(I331,Lists!$P$2:$P$19,Lists!$Y$2:$Y$19,0),_xlfn.XLOOKUP(K331,Lists!$P$2:$P$19,Lists!$Y$2:$Y$19,0)))</f>
        <v>0</v>
      </c>
      <c r="W331" s="68">
        <f ca="1">IF($B331="","",SUM(_xlfn.XLOOKUP(C331,Lists!$P$2:$P$19,Lists!$Z$2:$Z$19,0),_xlfn.XLOOKUP(E331,Lists!$P$2:$P$19,Lists!$Z$2:$Z$19,0),_xlfn.XLOOKUP(G331,Lists!$P$2:$P$19,Lists!$Z$2:$Z$19,0),_xlfn.XLOOKUP(I331,Lists!$P$2:$P$19,Lists!$Z$2:$Z$19,0),_xlfn.XLOOKUP(K331,Lists!$P$2:$P$19,Lists!$Z$2:$Z$19,0)))</f>
        <v>0</v>
      </c>
      <c r="X331" s="69">
        <f ca="1">IF($B331="","",SUM(_xlfn.XLOOKUP(C331,Lists!$P$2:$P$19,Lists!$AA$2:$AA$19,0),_xlfn.XLOOKUP(E331,Lists!$P$2:$P$19,Lists!$AA$2:$AA$19,0),_xlfn.XLOOKUP(G331,Lists!$P$2:$P$19,Lists!$AA$2:$AA$19,0),_xlfn.XLOOKUP(I331,Lists!$P$2:$P$19,Lists!$AA$2:$AA$19,0),_xlfn.XLOOKUP(K331,Lists!$P$2:$P$19,Lists!$AA$2:$AA$19,0)))</f>
        <v>0</v>
      </c>
      <c r="Y331" s="49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P331" s="18"/>
      <c r="CQ331" s="18"/>
      <c r="CR331" s="18"/>
      <c r="CS331" s="18"/>
      <c r="CT331" s="18"/>
      <c r="CU331" s="18"/>
      <c r="CV331" s="18"/>
      <c r="CW331" s="18"/>
      <c r="CX331" s="18"/>
      <c r="CY331" s="18"/>
      <c r="CZ331" s="18"/>
      <c r="DA331" s="18"/>
      <c r="DB331" s="18"/>
      <c r="DC331" s="18"/>
      <c r="DD331" s="18"/>
      <c r="DE331" s="18"/>
      <c r="DF331" s="18"/>
    </row>
    <row r="332" spans="1:110">
      <c r="A332" s="168">
        <v>9</v>
      </c>
      <c r="B332" s="47" t="str">
        <f ca="1">Lineups!$H$97</f>
        <v>Paragoomba</v>
      </c>
      <c r="C332" s="49" t="s">
        <v>193</v>
      </c>
      <c r="D332" s="49"/>
      <c r="E332" s="49"/>
      <c r="F332" s="49"/>
      <c r="G332" s="49"/>
      <c r="H332" s="50"/>
      <c r="I332" s="50"/>
      <c r="J332" s="50"/>
      <c r="K332" s="50"/>
      <c r="L332" s="50"/>
      <c r="M332" s="67">
        <f ca="1">IF($B332="","",SUM(_xlfn.XLOOKUP(C332,Lists!$P$2:$P$19,Lists!$R$2:$R$19,0),_xlfn.XLOOKUP(E332,Lists!$P$2:$P$19,Lists!$R$2:$R$19,0),_xlfn.XLOOKUP(G332,Lists!$P$2:$P$19,Lists!$R$2:$R$19,0),_xlfn.XLOOKUP(I332,Lists!$P$2:$P$19,Lists!$R$2:$R$19,0),_xlfn.XLOOKUP(K332,Lists!$P$2:$P$19,Lists!$R$2:$R$19,0)))</f>
        <v>1</v>
      </c>
      <c r="N332" s="68">
        <f ca="1">IF($B332="","",SUM(_xlfn.XLOOKUP(D332,Lists!$AC$2:$AC$9,Lists!$AE$2:$AE$9,0),_xlfn.XLOOKUP(F332,Lists!$AC$2:$AC$9,Lists!$AE$2:$AE$9,0),_xlfn.XLOOKUP(H332,Lists!$AC$2:$AC$9,Lists!$AE$2:$AE$9,0),_xlfn.XLOOKUP(J332,Lists!$AC$2:$AC$9,Lists!$AE$2:$AE$9,0),_xlfn.XLOOKUP(L332,Lists!$AC$2:$AC$9,Lists!$AE$2:$AE$9,0)))</f>
        <v>0</v>
      </c>
      <c r="O332" s="68">
        <f ca="1">IF($B332="","",SUM(_xlfn.XLOOKUP(C332,Lists!$P$2:$P$19,Lists!$S$2:$S$19,0),_xlfn.XLOOKUP(E332,Lists!$P$2:$P$19,Lists!$S$2:$S$19,0),_xlfn.XLOOKUP(G332,Lists!$P$2:$P$19,Lists!$S$2:$S$19,0),_xlfn.XLOOKUP(I332,Lists!$P$2:$P$19,Lists!$S$2:$S$19,0),_xlfn.XLOOKUP(K332,Lists!$P$2:$P$19,Lists!$S$2:$S$19,0)))</f>
        <v>0</v>
      </c>
      <c r="P332" s="68">
        <f ca="1">IF($B332="","",SUM(_xlfn.XLOOKUP(C332,Lists!$P$2:$P$19,Lists!$T$2:$T$19,0),_xlfn.XLOOKUP(E332,Lists!$P$2:$P$19,Lists!$T$2:$T$19,0),_xlfn.XLOOKUP(G332,Lists!$P$2:$P$19,Lists!$T$2:$T$19,0),_xlfn.XLOOKUP(I332,Lists!$P$2:$P$19,Lists!$T$2:$T$19,0),_xlfn.XLOOKUP(K332,Lists!$P$2:$P$19,Lists!$T$2:$T$19,0)))</f>
        <v>0</v>
      </c>
      <c r="Q332" s="68">
        <f ca="1">IF($B332="","",SUM(_xlfn.XLOOKUP(C332,Lists!$P$2:$P$19,Lists!$U$2:$U$19,0),_xlfn.XLOOKUP(E332,Lists!$P$2:$P$19,Lists!$U$2:$U$19,0),_xlfn.XLOOKUP(G332,Lists!$P$2:$P$19,Lists!$U$2:$U$19,0),_xlfn.XLOOKUP(I332,Lists!$P$2:$P$19,Lists!$U$2:$U$19,0),_xlfn.XLOOKUP(K332,Lists!$P$2:$P$19,Lists!$U$2:$U$19,0)))</f>
        <v>0</v>
      </c>
      <c r="R332" s="68">
        <f ca="1">IF($B332="","",SUM(_xlfn.XLOOKUP(C332,Lists!$P$2:$P$19,Lists!$V$2:$V$19,0),_xlfn.XLOOKUP(E332,Lists!$P$2:$P$19,Lists!$V$2:$V$19,0),_xlfn.XLOOKUP(G332,Lists!$P$2:$P$19,Lists!$V$2:$V$19,0),_xlfn.XLOOKUP(I332,Lists!$P$2:$P$19,Lists!$V$2:$V$19,0),_xlfn.XLOOKUP(K332,Lists!$P$2:$P$19,Lists!$V$2:$V$19,0)))</f>
        <v>0</v>
      </c>
      <c r="S332" s="68">
        <f ca="1">IF($B332="","",SUM(_xlfn.XLOOKUP(D332,Lists!$AC$2:$AC$9,Lists!$AD$2:$AD$9,0),_xlfn.XLOOKUP(F332,Lists!$AC$2:$AC$9,Lists!$AD$2:$AD$9,0),_xlfn.XLOOKUP(H332,Lists!$AC$2:$AC$9,Lists!$AD$2:$AD$9,0),_xlfn.XLOOKUP(J332,Lists!$AC$2:$AC$9,Lists!$AD$2:$AD$9,0),_xlfn.XLOOKUP(L332,Lists!$AC$2:$AC$9,Lists!$AD$2:$AD$9,0)))</f>
        <v>0</v>
      </c>
      <c r="T332" s="68">
        <f ca="1">IF($B332="","",SUM(_xlfn.XLOOKUP(C332,Lists!$P$2:$P$19,Lists!$W$2:$W$19,0),_xlfn.XLOOKUP(E332,Lists!$P$2:$P$19,Lists!$W$2:$W$19,0),_xlfn.XLOOKUP(G332,Lists!$P$2:$P$19,Lists!$W$2:$W$19,0),_xlfn.XLOOKUP(I332,Lists!$P$2:$P$19,Lists!$W$2:$W$19,0),_xlfn.XLOOKUP(K332,Lists!$P$2:$P$19,Lists!$W$2:$W$19,0)))</f>
        <v>0</v>
      </c>
      <c r="U332" s="68">
        <f ca="1">IF($B332="","",SUM(_xlfn.XLOOKUP(C332,Lists!$P$2:$P$19,Lists!$X$2:$X$19,0),_xlfn.XLOOKUP(E332,Lists!$P$2:$P$19,Lists!$X$2:$X$19,0),_xlfn.XLOOKUP(G332,Lists!$P$2:$P$19,Lists!$X$2:$X$19,0),_xlfn.XLOOKUP(I332,Lists!$P$2:$P$19,Lists!$X$2:$X$19,0),_xlfn.XLOOKUP(K332,Lists!$P$2:$P$19,Lists!$X$2:$X$19,0)))</f>
        <v>0</v>
      </c>
      <c r="V332" s="68">
        <f ca="1">IF($B332="","",SUM(_xlfn.XLOOKUP(C332,Lists!$P$2:$P$19,Lists!$Y$2:$Y$19,0),_xlfn.XLOOKUP(E332,Lists!$P$2:$P$19,Lists!$Y$2:$Y$19,0),_xlfn.XLOOKUP(G332,Lists!$P$2:$P$19,Lists!$Y$2:$Y$19,0),_xlfn.XLOOKUP(I332,Lists!$P$2:$P$19,Lists!$Y$2:$Y$19,0),_xlfn.XLOOKUP(K332,Lists!$P$2:$P$19,Lists!$Y$2:$Y$19,0)))</f>
        <v>0</v>
      </c>
      <c r="W332" s="68">
        <f ca="1">IF($B332="","",SUM(_xlfn.XLOOKUP(C332,Lists!$P$2:$P$19,Lists!$Z$2:$Z$19,0),_xlfn.XLOOKUP(E332,Lists!$P$2:$P$19,Lists!$Z$2:$Z$19,0),_xlfn.XLOOKUP(G332,Lists!$P$2:$P$19,Lists!$Z$2:$Z$19,0),_xlfn.XLOOKUP(I332,Lists!$P$2:$P$19,Lists!$Z$2:$Z$19,0),_xlfn.XLOOKUP(K332,Lists!$P$2:$P$19,Lists!$Z$2:$Z$19,0)))</f>
        <v>0</v>
      </c>
      <c r="X332" s="69">
        <f ca="1">IF($B332="","",SUM(_xlfn.XLOOKUP(C332,Lists!$P$2:$P$19,Lists!$AA$2:$AA$19,0),_xlfn.XLOOKUP(E332,Lists!$P$2:$P$19,Lists!$AA$2:$AA$19,0),_xlfn.XLOOKUP(G332,Lists!$P$2:$P$19,Lists!$AA$2:$AA$19,0),_xlfn.XLOOKUP(I332,Lists!$P$2:$P$19,Lists!$AA$2:$AA$19,0),_xlfn.XLOOKUP(K332,Lists!$P$2:$P$19,Lists!$AA$2:$AA$19,0)))</f>
        <v>0</v>
      </c>
      <c r="Y332" s="49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  <c r="CU332" s="18"/>
      <c r="CV332" s="18"/>
      <c r="CW332" s="18"/>
      <c r="CX332" s="18"/>
      <c r="CY332" s="18"/>
      <c r="CZ332" s="18"/>
      <c r="DA332" s="18"/>
      <c r="DB332" s="18"/>
      <c r="DC332" s="18"/>
      <c r="DD332" s="18"/>
      <c r="DE332" s="18"/>
      <c r="DF332" s="18"/>
    </row>
    <row r="333" spans="1:110">
      <c r="A333" s="173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P333" s="18"/>
      <c r="CQ333" s="18"/>
      <c r="CR333" s="18"/>
      <c r="CS333" s="18"/>
      <c r="CT333" s="18"/>
      <c r="CU333" s="18"/>
      <c r="CV333" s="18"/>
      <c r="CW333" s="18"/>
      <c r="CX333" s="18"/>
      <c r="CY333" s="18"/>
      <c r="CZ333" s="18"/>
      <c r="DA333" s="18"/>
      <c r="DB333" s="18"/>
      <c r="DC333" s="18"/>
      <c r="DD333" s="18"/>
      <c r="DE333" s="18"/>
      <c r="DF333" s="18"/>
    </row>
    <row r="334" spans="1:110">
      <c r="A334" s="222" t="str">
        <f ca="1">IF($R$296="","Team B Pitching",$R$296&amp;" Pitching")</f>
        <v>Donovan Pitching</v>
      </c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06"/>
      <c r="O334" s="186"/>
      <c r="P334" s="24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P334" s="18"/>
      <c r="CQ334" s="18"/>
      <c r="CR334" s="18"/>
      <c r="CS334" s="18"/>
      <c r="CT334" s="18"/>
      <c r="CU334" s="18"/>
      <c r="CV334" s="18"/>
      <c r="CW334" s="18"/>
      <c r="CX334" s="18"/>
      <c r="CY334" s="18"/>
      <c r="CZ334" s="18"/>
      <c r="DA334" s="18"/>
      <c r="DB334" s="18"/>
      <c r="DC334" s="18"/>
      <c r="DD334" s="18"/>
      <c r="DE334" s="18"/>
      <c r="DF334" s="18"/>
    </row>
    <row r="335" spans="1:110">
      <c r="A335" s="167" t="s">
        <v>103</v>
      </c>
      <c r="B335" s="43" t="s">
        <v>194</v>
      </c>
      <c r="C335" s="43" t="s">
        <v>195</v>
      </c>
      <c r="D335" s="43" t="s">
        <v>162</v>
      </c>
      <c r="E335" s="43" t="s">
        <v>161</v>
      </c>
      <c r="F335" s="43" t="s">
        <v>196</v>
      </c>
      <c r="G335" s="43" t="s">
        <v>180</v>
      </c>
      <c r="H335" s="43" t="s">
        <v>181</v>
      </c>
      <c r="I335" s="44" t="s">
        <v>197</v>
      </c>
      <c r="J335" s="44" t="s">
        <v>198</v>
      </c>
      <c r="K335" s="44" t="s">
        <v>199</v>
      </c>
      <c r="L335" s="44" t="s">
        <v>200</v>
      </c>
      <c r="M335" s="44" t="s">
        <v>201</v>
      </c>
      <c r="N335" s="45" t="s">
        <v>202</v>
      </c>
      <c r="O335" s="45" t="s">
        <v>203</v>
      </c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  <c r="CU335" s="18"/>
      <c r="CV335" s="18"/>
      <c r="CW335" s="18"/>
      <c r="CX335" s="18"/>
      <c r="CY335" s="18"/>
      <c r="CZ335" s="18"/>
      <c r="DA335" s="18"/>
      <c r="DB335" s="18"/>
      <c r="DC335" s="18"/>
      <c r="DD335" s="18"/>
      <c r="DE335" s="18"/>
      <c r="DF335" s="18"/>
    </row>
    <row r="336" spans="1:110">
      <c r="A336" s="168">
        <v>1</v>
      </c>
      <c r="B336" s="71" t="s">
        <v>50</v>
      </c>
      <c r="C336" s="70" cm="1">
        <f t="array" aca="1" ref="C336" ca="1">IF(OR(B336="",O336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2</v>
      </c>
      <c r="D336" s="67" cm="1">
        <f t="array" aca="1" ref="D336" ca="1">IF(OR(B336="",O336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1</v>
      </c>
      <c r="E336" s="67" cm="1">
        <f t="array" aca="1" ref="E336" ca="1">IF(OR(B336="",O336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336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1</v>
      </c>
      <c r="F336" s="67" cm="1">
        <f t="array" aca="1" ref="F336" ca="1">IF(OR(B336="",O336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336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1</v>
      </c>
      <c r="G336" s="67" cm="1">
        <f t="array" aca="1" ref="G336" ca="1">IF(OR(B336="",O336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336" s="67" cm="1">
        <f t="array" aca="1" ref="H336" ca="1">IF(OR(B336="",O336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2</v>
      </c>
      <c r="I336" s="68" cm="1">
        <f t="array" aca="1" ref="I336" ca="1">IF(OR(B336="",O336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1</v>
      </c>
      <c r="J336" s="68" cm="1">
        <f t="array" aca="1" ref="J336" ca="1">IF(OR(B336="",O336=""),"",--(SUM(_xlfn.XLOOKUP(_xlfn._xlws.FILTER(_xlfn.TOCOL(_xlfn.CHOOSECOLS(C324:L332,2,4,6,8,10),0,TRUE),_xlfn.TOCOL(_xlfn.CHOOSECOLS(C324:L332,1,3,5,7,9),0,TRUE)&lt;&gt;""),Lists!$AC$2:$AC$9,Lists!$AF$2:$AF$9,0))&gt;SUM(_xlfn.XLOOKUP(_xlfn._xlws.FILTER(_xlfn.TOCOL(_xlfn.CHOOSECOLS(C303:L311,2,4,6,8,10),0,TRUE),_xlfn.TOCOL(_xlfn.CHOOSECOLS(C303:L311,1,3,5,7,9),0,TRUE)&lt;&gt;""),Lists!$AC$2:$AC$9,Lists!$AF$2:$AF$9,0)))*--(ROW()-ROW(C335)=_xlfn.XLOOKUP(MAX(IF(O336:O341&gt;0,INT(C336:C341)*3+MOD(ROUND(C336:C341*10,0),10),-1)),IF(O336:O341&gt;0,INT(C336:C341)*3+MOD(ROUND(C336:C341*10,0),10),-1),_xlfn.SEQUENCE(ROWS(O336:O341)),,0)))</f>
        <v>0</v>
      </c>
      <c r="K336" s="68" cm="1">
        <f t="array" aca="1" ref="K336" ca="1">IF(OR(B336="",O336=""),"",--(SUM(_xlfn.XLOOKUP(_xlfn._xlws.FILTER(_xlfn.TOCOL(_xlfn.CHOOSECOLS(C324:L332,2,4,6,8,10),0,TRUE),_xlfn.TOCOL(_xlfn.CHOOSECOLS(C324:L332,1,3,5,7,9),0,TRUE)&lt;&gt;""),Lists!$AC$2:$AC$9,Lists!$AF$2:$AF$9,0))&lt;SUM(_xlfn.XLOOKUP(_xlfn._xlws.FILTER(_xlfn.TOCOL(_xlfn.CHOOSECOLS(C303:L311,2,4,6,8,10),0,TRUE),_xlfn.TOCOL(_xlfn.CHOOSECOLS(C303:L311,1,3,5,7,9),0,TRUE)&lt;&gt;""),Lists!$AC$2:$AC$9,Lists!$AF$2:$AF$9,0)))*--(ROW()-ROW(C335)=_xlfn.XLOOKUP(MAX(IF(O336:O341&gt;0,E336:E341,-1)),IF(O336:O341&gt;0,E336:E341,-1),_xlfn.SEQUENCE(ROWS(O336:O341)),,0)))</f>
        <v>1</v>
      </c>
      <c r="L336" s="68" cm="1">
        <f t="array" aca="1" ref="L336" ca="1">IF(OR(B336="",O336=""),"",--(SUM(_xlfn.XLOOKUP(_xlfn._xlws.FILTER(_xlfn.TOCOL(_xlfn.CHOOSECOLS(C324:L332,2,4,6,8,10),0,TRUE),_xlfn.TOCOL(_xlfn.CHOOSECOLS(C324:L332,1,3,5,7,9),0,TRUE)&lt;&gt;""),Lists!$AC$2:$AC$9,Lists!$AF$2:$AF$9,0))&gt;SUM(_xlfn.XLOOKUP(_xlfn._xlws.FILTER(_xlfn.TOCOL(_xlfn.CHOOSECOLS(C303:L311,2,4,6,8,10),0,TRUE),_xlfn.TOCOL(_xlfn.CHOOSECOLS(C303:L311,1,3,5,7,9),0,TRUE)&lt;&gt;""),Lists!$AC$2:$AC$9,Lists!$AF$2:$AF$9,0)))*--(COUNTIF(O336:O341,"&gt;0")&gt;1)*--(ROW()-ROW(C335)=_xlfn.XLOOKUP(TRUE,O336:O341&gt;0,_xlfn.SEQUENCE(ROWS(O336:O341)),,0,-1))*--(_xlfn.XLOOKUP(TRUE,O336:O341&gt;0,_xlfn.SEQUENCE(ROWS(O336:O341)),,0,-1)&lt;&gt;_xlfn.XLOOKUP(MAX(IF(O336:O341&gt;0,INT(C336:C341)*3+MOD(ROUND(C336:C341*10,0),10),-1)),IF(O336:O341&gt;0,INT(C336:C341)*3+MOD(ROUND(C336:C341*10,0),10),-1),_xlfn.SEQUENCE(ROWS(O336:O341)),,0))*--(SUM(_xlfn.XLOOKUP(_xlfn._xlws.FILTER(_xlfn.TOCOL(_xlfn.CHOOSECOLS(C324:L332,2,4,6,8,10),0,TRUE),_xlfn.TOCOL(_xlfn.CHOOSECOLS(C324:L332,1,3,5,7,9),0,TRUE)&lt;&gt;""),Lists!$AC$2:$AC$9,Lists!$AF$2:$AF$9,0))-SUM(_xlfn.XLOOKUP(_xlfn._xlws.FILTER(_xlfn.TOCOL(_xlfn.CHOOSECOLS(C303:L311,2,4,6,8,10),0,TRUE),_xlfn.TOCOL(_xlfn.CHOOSECOLS(C303:L311,1,3,5,7,9),0,TRUE)&lt;&gt;""),Lists!$AC$2:$AC$9,Lists!$AF$2:$AF$9,0))&lt;=3)*--((INT(C336)*3+MOD(ROUND(C336*10,0),10))&gt;=3))</f>
        <v>0</v>
      </c>
      <c r="M336" s="68" cm="1">
        <f t="array" aca="1" ref="M336" ca="1">IF(OR(B336="",O336=""),"",--(COUNTIF(O336:O341,"&gt;0")=1)*--(SUM(_xlfn.XLOOKUP(_xlfn._xlws.FILTER(_xlfn.TOCOL(_xlfn.CHOOSECOLS(C303:L311,2,4,6,8,10),0,TRUE),_xlfn.TOCOL(_xlfn.CHOOSECOLS(C303:L311,1,3,5,7,9),0,TRUE)&lt;&gt;""),Lists!$AC$2:$AC$9,Lists!$AF$2:$AF$9,0))=0))</f>
        <v>0</v>
      </c>
      <c r="N336" s="69">
        <f ca="1">IF(OR(B336="",O336=""),"",--(COUNTIF(O336:O341,"&gt;0")=1))</f>
        <v>1</v>
      </c>
      <c r="O336" s="51">
        <v>8</v>
      </c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  <c r="CS336" s="18"/>
      <c r="CT336" s="18"/>
      <c r="CU336" s="18"/>
      <c r="CV336" s="18"/>
      <c r="CW336" s="18"/>
      <c r="CX336" s="18"/>
      <c r="CY336" s="18"/>
      <c r="CZ336" s="18"/>
      <c r="DA336" s="18"/>
      <c r="DB336" s="18"/>
      <c r="DC336" s="18"/>
      <c r="DD336" s="18"/>
      <c r="DE336" s="18"/>
      <c r="DF336" s="18"/>
    </row>
    <row r="337" spans="1:110">
      <c r="A337" s="168">
        <v>2</v>
      </c>
      <c r="B337" s="71"/>
      <c r="C337" s="70" t="str" cm="1">
        <f t="array" aca="1" ref="C337" ca="1">IF(OR(B337="",O337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337" s="67" t="str" cm="1">
        <f t="array" aca="1" ref="D337" ca="1">IF(OR(B337="",O337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337" s="67" t="str" cm="1">
        <f t="array" aca="1" ref="E337" ca="1">IF(OR(B337="",O337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337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337" s="67" t="str" cm="1">
        <f t="array" aca="1" ref="F337" ca="1">IF(OR(B337="",O337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337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337" s="67" t="str" cm="1">
        <f t="array" aca="1" ref="G337" ca="1">IF(OR(B337="",O337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337" s="67" t="str" cm="1">
        <f t="array" aca="1" ref="H337" ca="1">IF(OR(B337="",O337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337" s="68" t="str" cm="1">
        <f t="array" aca="1" ref="I337" ca="1">IF(OR(B337="",O337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337" s="68" t="str" cm="1">
        <f t="array" aca="1" ref="J337" ca="1">IF(OR(B337="",O337=""),"",--(SUM(_xlfn.XLOOKUP(_xlfn._xlws.FILTER(_xlfn.TOCOL(_xlfn.CHOOSECOLS(C324:L332,2,4,6,8,10),0,TRUE),_xlfn.TOCOL(_xlfn.CHOOSECOLS(C324:L332,1,3,5,7,9),0,TRUE)&lt;&gt;""),Lists!$AC$2:$AC$9,Lists!$AF$2:$AF$9,0))&gt;SUM(_xlfn.XLOOKUP(_xlfn._xlws.FILTER(_xlfn.TOCOL(_xlfn.CHOOSECOLS(C303:L311,2,4,6,8,10),0,TRUE),_xlfn.TOCOL(_xlfn.CHOOSECOLS(C303:L311,1,3,5,7,9),0,TRUE)&lt;&gt;""),Lists!$AC$2:$AC$9,Lists!$AF$2:$AF$9,0)))*--(ROW()-ROW(C335)=_xlfn.XLOOKUP(MAX(IF(O336:O341&gt;0,INT(C336:C341)*3+MOD(ROUND(C336:C341*10,0),10),-1)),IF(O336:O341&gt;0,INT(C336:C341)*3+MOD(ROUND(C336:C341*10,0),10),-1),_xlfn.SEQUENCE(ROWS(O336:O341)),,0)))</f>
        <v/>
      </c>
      <c r="K337" s="68" t="str" cm="1">
        <f t="array" aca="1" ref="K337" ca="1">IF(OR(B337="",O337=""),"",--(SUM(_xlfn.XLOOKUP(_xlfn._xlws.FILTER(_xlfn.TOCOL(_xlfn.CHOOSECOLS(C324:L332,2,4,6,8,10),0,TRUE),_xlfn.TOCOL(_xlfn.CHOOSECOLS(C324:L332,1,3,5,7,9),0,TRUE)&lt;&gt;""),Lists!$AC$2:$AC$9,Lists!$AF$2:$AF$9,0))&lt;SUM(_xlfn.XLOOKUP(_xlfn._xlws.FILTER(_xlfn.TOCOL(_xlfn.CHOOSECOLS(C303:L311,2,4,6,8,10),0,TRUE),_xlfn.TOCOL(_xlfn.CHOOSECOLS(C303:L311,1,3,5,7,9),0,TRUE)&lt;&gt;""),Lists!$AC$2:$AC$9,Lists!$AF$2:$AF$9,0)))*--(ROW()-ROW(C335)=_xlfn.XLOOKUP(MAX(IF(O336:O341&gt;0,E336:E341,-1)),IF(O336:O341&gt;0,E336:E341,-1),_xlfn.SEQUENCE(ROWS(O336:O341)),,0)))</f>
        <v/>
      </c>
      <c r="L337" s="68" t="str" cm="1">
        <f t="array" aca="1" ref="L337" ca="1">IF(OR(B337="",O337=""),"",--(SUM(_xlfn.XLOOKUP(_xlfn._xlws.FILTER(_xlfn.TOCOL(_xlfn.CHOOSECOLS(C324:L332,2,4,6,8,10),0,TRUE),_xlfn.TOCOL(_xlfn.CHOOSECOLS(C324:L332,1,3,5,7,9),0,TRUE)&lt;&gt;""),Lists!$AC$2:$AC$9,Lists!$AF$2:$AF$9,0))&gt;SUM(_xlfn.XLOOKUP(_xlfn._xlws.FILTER(_xlfn.TOCOL(_xlfn.CHOOSECOLS(C303:L311,2,4,6,8,10),0,TRUE),_xlfn.TOCOL(_xlfn.CHOOSECOLS(C303:L311,1,3,5,7,9),0,TRUE)&lt;&gt;""),Lists!$AC$2:$AC$9,Lists!$AF$2:$AF$9,0)))*--(COUNTIF(O336:O341,"&gt;0")&gt;1)*--(ROW()-ROW(C335)=_xlfn.XLOOKUP(TRUE,O336:O341&gt;0,_xlfn.SEQUENCE(ROWS(O336:O341)),,0,-1))*--(_xlfn.XLOOKUP(TRUE,O336:O341&gt;0,_xlfn.SEQUENCE(ROWS(O336:O341)),,0,-1)&lt;&gt;_xlfn.XLOOKUP(MAX(IF(O336:O341&gt;0,INT(C336:C341)*3+MOD(ROUND(C336:C341*10,0),10),-1)),IF(O336:O341&gt;0,INT(C336:C341)*3+MOD(ROUND(C336:C341*10,0),10),-1),_xlfn.SEQUENCE(ROWS(O336:O341)),,0))*--(SUM(_xlfn.XLOOKUP(_xlfn._xlws.FILTER(_xlfn.TOCOL(_xlfn.CHOOSECOLS(C324:L332,2,4,6,8,10),0,TRUE),_xlfn.TOCOL(_xlfn.CHOOSECOLS(C324:L332,1,3,5,7,9),0,TRUE)&lt;&gt;""),Lists!$AC$2:$AC$9,Lists!$AF$2:$AF$9,0))-SUM(_xlfn.XLOOKUP(_xlfn._xlws.FILTER(_xlfn.TOCOL(_xlfn.CHOOSECOLS(C303:L311,2,4,6,8,10),0,TRUE),_xlfn.TOCOL(_xlfn.CHOOSECOLS(C303:L311,1,3,5,7,9),0,TRUE)&lt;&gt;""),Lists!$AC$2:$AC$9,Lists!$AF$2:$AF$9,0))&lt;=3)*--((INT(C337)*3+MOD(ROUND(C337*10,0),10))&gt;=3))</f>
        <v/>
      </c>
      <c r="M337" s="68" t="str" cm="1">
        <f t="array" aca="1" ref="M337" ca="1">IF(OR(B337="",O337=""),"",--(COUNTIF(O336:O341,"&gt;0")=1)*--(SUM(_xlfn.XLOOKUP(_xlfn._xlws.FILTER(_xlfn.TOCOL(_xlfn.CHOOSECOLS(C303:L311,2,4,6,8,10),0,TRUE),_xlfn.TOCOL(_xlfn.CHOOSECOLS(C303:L311,1,3,5,7,9),0,TRUE)&lt;&gt;""),Lists!$AC$2:$AC$9,Lists!$AF$2:$AF$9,0))=0))</f>
        <v/>
      </c>
      <c r="N337" s="69" t="str">
        <f ca="1">IF(OR(B337="",O337=""),"",--(COUNTIF(O336:O341,"&gt;0")=1))</f>
        <v/>
      </c>
      <c r="O337" s="5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  <c r="CS337" s="18"/>
      <c r="CT337" s="18"/>
      <c r="CU337" s="18"/>
      <c r="CV337" s="18"/>
      <c r="CW337" s="18"/>
      <c r="CX337" s="18"/>
      <c r="CY337" s="18"/>
      <c r="CZ337" s="18"/>
      <c r="DA337" s="18"/>
      <c r="DB337" s="18"/>
      <c r="DC337" s="18"/>
      <c r="DD337" s="18"/>
      <c r="DE337" s="18"/>
      <c r="DF337" s="18"/>
    </row>
    <row r="338" spans="1:110">
      <c r="A338" s="168">
        <v>3</v>
      </c>
      <c r="B338" s="71"/>
      <c r="C338" s="70" t="str" cm="1">
        <f t="array" aca="1" ref="C338" ca="1">IF(OR(B338="",O338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338" s="67" t="str" cm="1">
        <f t="array" aca="1" ref="D338" ca="1">IF(OR(B338="",O338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338" s="67" t="str" cm="1">
        <f t="array" aca="1" ref="E338" ca="1">IF(OR(B338="",O338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338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338" s="67" t="str" cm="1">
        <f t="array" aca="1" ref="F338" ca="1">IF(OR(B338="",O338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338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338" s="67" t="str" cm="1">
        <f t="array" aca="1" ref="G338" ca="1">IF(OR(B338="",O338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338" s="67" t="str" cm="1">
        <f t="array" aca="1" ref="H338" ca="1">IF(OR(B338="",O338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338" s="68" t="str" cm="1">
        <f t="array" aca="1" ref="I338" ca="1">IF(OR(B338="",O338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338" s="68" t="str" cm="1">
        <f t="array" aca="1" ref="J338" ca="1">IF(OR(B338="",O338=""),"",--(SUM(_xlfn.XLOOKUP(_xlfn._xlws.FILTER(_xlfn.TOCOL(_xlfn.CHOOSECOLS(C324:L332,2,4,6,8,10),0,TRUE),_xlfn.TOCOL(_xlfn.CHOOSECOLS(C324:L332,1,3,5,7,9),0,TRUE)&lt;&gt;""),Lists!$AC$2:$AC$9,Lists!$AF$2:$AF$9,0))&gt;SUM(_xlfn.XLOOKUP(_xlfn._xlws.FILTER(_xlfn.TOCOL(_xlfn.CHOOSECOLS(C303:L311,2,4,6,8,10),0,TRUE),_xlfn.TOCOL(_xlfn.CHOOSECOLS(C303:L311,1,3,5,7,9),0,TRUE)&lt;&gt;""),Lists!$AC$2:$AC$9,Lists!$AF$2:$AF$9,0)))*--(ROW()-ROW(C335)=_xlfn.XLOOKUP(MAX(IF(O336:O341&gt;0,INT(C336:C341)*3+MOD(ROUND(C336:C341*10,0),10),-1)),IF(O336:O341&gt;0,INT(C336:C341)*3+MOD(ROUND(C336:C341*10,0),10),-1),_xlfn.SEQUENCE(ROWS(O336:O341)),,0)))</f>
        <v/>
      </c>
      <c r="K338" s="68" t="str" cm="1">
        <f t="array" aca="1" ref="K338" ca="1">IF(OR(B338="",O338=""),"",--(SUM(_xlfn.XLOOKUP(_xlfn._xlws.FILTER(_xlfn.TOCOL(_xlfn.CHOOSECOLS(C324:L332,2,4,6,8,10),0,TRUE),_xlfn.TOCOL(_xlfn.CHOOSECOLS(C324:L332,1,3,5,7,9),0,TRUE)&lt;&gt;""),Lists!$AC$2:$AC$9,Lists!$AF$2:$AF$9,0))&lt;SUM(_xlfn.XLOOKUP(_xlfn._xlws.FILTER(_xlfn.TOCOL(_xlfn.CHOOSECOLS(C303:L311,2,4,6,8,10),0,TRUE),_xlfn.TOCOL(_xlfn.CHOOSECOLS(C303:L311,1,3,5,7,9),0,TRUE)&lt;&gt;""),Lists!$AC$2:$AC$9,Lists!$AF$2:$AF$9,0)))*--(ROW()-ROW(C335)=_xlfn.XLOOKUP(MAX(IF(O336:O341&gt;0,E336:E341,-1)),IF(O336:O341&gt;0,E336:E341,-1),_xlfn.SEQUENCE(ROWS(O336:O341)),,0)))</f>
        <v/>
      </c>
      <c r="L338" s="68" t="str" cm="1">
        <f t="array" aca="1" ref="L338" ca="1">IF(OR(B338="",O338=""),"",--(SUM(_xlfn.XLOOKUP(_xlfn._xlws.FILTER(_xlfn.TOCOL(_xlfn.CHOOSECOLS(C324:L332,2,4,6,8,10),0,TRUE),_xlfn.TOCOL(_xlfn.CHOOSECOLS(C324:L332,1,3,5,7,9),0,TRUE)&lt;&gt;""),Lists!$AC$2:$AC$9,Lists!$AF$2:$AF$9,0))&gt;SUM(_xlfn.XLOOKUP(_xlfn._xlws.FILTER(_xlfn.TOCOL(_xlfn.CHOOSECOLS(C303:L311,2,4,6,8,10),0,TRUE),_xlfn.TOCOL(_xlfn.CHOOSECOLS(C303:L311,1,3,5,7,9),0,TRUE)&lt;&gt;""),Lists!$AC$2:$AC$9,Lists!$AF$2:$AF$9,0)))*--(COUNTIF(O336:O341,"&gt;0")&gt;1)*--(ROW()-ROW(C335)=_xlfn.XLOOKUP(TRUE,O336:O341&gt;0,_xlfn.SEQUENCE(ROWS(O336:O341)),,0,-1))*--(_xlfn.XLOOKUP(TRUE,O336:O341&gt;0,_xlfn.SEQUENCE(ROWS(O336:O341)),,0,-1)&lt;&gt;_xlfn.XLOOKUP(MAX(IF(O336:O341&gt;0,INT(C336:C341)*3+MOD(ROUND(C336:C341*10,0),10),-1)),IF(O336:O341&gt;0,INT(C336:C341)*3+MOD(ROUND(C336:C341*10,0),10),-1),_xlfn.SEQUENCE(ROWS(O336:O341)),,0))*--(SUM(_xlfn.XLOOKUP(_xlfn._xlws.FILTER(_xlfn.TOCOL(_xlfn.CHOOSECOLS(C324:L332,2,4,6,8,10),0,TRUE),_xlfn.TOCOL(_xlfn.CHOOSECOLS(C324:L332,1,3,5,7,9),0,TRUE)&lt;&gt;""),Lists!$AC$2:$AC$9,Lists!$AF$2:$AF$9,0))-SUM(_xlfn.XLOOKUP(_xlfn._xlws.FILTER(_xlfn.TOCOL(_xlfn.CHOOSECOLS(C303:L311,2,4,6,8,10),0,TRUE),_xlfn.TOCOL(_xlfn.CHOOSECOLS(C303:L311,1,3,5,7,9),0,TRUE)&lt;&gt;""),Lists!$AC$2:$AC$9,Lists!$AF$2:$AF$9,0))&lt;=3)*--((INT(C338)*3+MOD(ROUND(C338*10,0),10))&gt;=3))</f>
        <v/>
      </c>
      <c r="M338" s="68" t="str" cm="1">
        <f t="array" aca="1" ref="M338" ca="1">IF(OR(B338="",O338=""),"",--(COUNTIF(O336:O341,"&gt;0")=1)*--(SUM(_xlfn.XLOOKUP(_xlfn._xlws.FILTER(_xlfn.TOCOL(_xlfn.CHOOSECOLS(C303:L311,2,4,6,8,10),0,TRUE),_xlfn.TOCOL(_xlfn.CHOOSECOLS(C303:L311,1,3,5,7,9),0,TRUE)&lt;&gt;""),Lists!$AC$2:$AC$9,Lists!$AF$2:$AF$9,0))=0))</f>
        <v/>
      </c>
      <c r="N338" s="69" t="str">
        <f ca="1">IF(OR(B338="",O338=""),"",--(COUNTIF(O336:O341,"&gt;0")=1))</f>
        <v/>
      </c>
      <c r="O338" s="5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P338" s="18"/>
      <c r="CQ338" s="18"/>
      <c r="CR338" s="18"/>
      <c r="CS338" s="18"/>
      <c r="CT338" s="18"/>
      <c r="CU338" s="18"/>
      <c r="CV338" s="18"/>
      <c r="CW338" s="18"/>
      <c r="CX338" s="18"/>
      <c r="CY338" s="18"/>
      <c r="CZ338" s="18"/>
      <c r="DA338" s="18"/>
      <c r="DB338" s="18"/>
      <c r="DC338" s="18"/>
      <c r="DD338" s="18"/>
      <c r="DE338" s="18"/>
      <c r="DF338" s="18"/>
    </row>
    <row r="339" spans="1:110">
      <c r="A339" s="168">
        <v>4</v>
      </c>
      <c r="B339" s="71"/>
      <c r="C339" s="70" t="str" cm="1">
        <f t="array" aca="1" ref="C339" ca="1">IF(OR(B339="",O339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339" s="67" t="str" cm="1">
        <f t="array" aca="1" ref="D339" ca="1">IF(OR(B339="",O339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339" s="67" t="str" cm="1">
        <f t="array" aca="1" ref="E339" ca="1">IF(OR(B339="",O339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339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339" s="67" t="str" cm="1">
        <f t="array" aca="1" ref="F339" ca="1">IF(OR(B339="",O339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339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339" s="67" t="str" cm="1">
        <f t="array" aca="1" ref="G339" ca="1">IF(OR(B339="",O339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339" s="67" t="str" cm="1">
        <f t="array" aca="1" ref="H339" ca="1">IF(OR(B339="",O339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339" s="68" t="str" cm="1">
        <f t="array" aca="1" ref="I339" ca="1">IF(OR(B339="",O339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339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339" s="68" t="str" cm="1">
        <f t="array" aca="1" ref="J339" ca="1">IF(OR(B339="",O339=""),"",--(SUM(_xlfn.XLOOKUP(_xlfn._xlws.FILTER(_xlfn.TOCOL(_xlfn.CHOOSECOLS(C324:L332,2,4,6,8,10),0,TRUE),_xlfn.TOCOL(_xlfn.CHOOSECOLS(C324:L332,1,3,5,7,9),0,TRUE)&lt;&gt;""),Lists!$AC$2:$AC$9,Lists!$AF$2:$AF$9,0))&gt;SUM(_xlfn.XLOOKUP(_xlfn._xlws.FILTER(_xlfn.TOCOL(_xlfn.CHOOSECOLS(C303:L311,2,4,6,8,10),0,TRUE),_xlfn.TOCOL(_xlfn.CHOOSECOLS(C303:L311,1,3,5,7,9),0,TRUE)&lt;&gt;""),Lists!$AC$2:$AC$9,Lists!$AF$2:$AF$9,0)))*--(ROW()-ROW(C335)=_xlfn.XLOOKUP(MAX(IF(O336:O341&gt;0,INT(C336:C341)*3+MOD(ROUND(C336:C341*10,0),10),-1)),IF(O336:O341&gt;0,INT(C336:C341)*3+MOD(ROUND(C336:C341*10,0),10),-1),_xlfn.SEQUENCE(ROWS(O336:O341)),,0)))</f>
        <v/>
      </c>
      <c r="K339" s="68" t="str" cm="1">
        <f t="array" aca="1" ref="K339" ca="1">IF(OR(B339="",O339=""),"",--(SUM(_xlfn.XLOOKUP(_xlfn._xlws.FILTER(_xlfn.TOCOL(_xlfn.CHOOSECOLS(C324:L332,2,4,6,8,10),0,TRUE),_xlfn.TOCOL(_xlfn.CHOOSECOLS(C324:L332,1,3,5,7,9),0,TRUE)&lt;&gt;""),Lists!$AC$2:$AC$9,Lists!$AF$2:$AF$9,0))&lt;SUM(_xlfn.XLOOKUP(_xlfn._xlws.FILTER(_xlfn.TOCOL(_xlfn.CHOOSECOLS(C303:L311,2,4,6,8,10),0,TRUE),_xlfn.TOCOL(_xlfn.CHOOSECOLS(C303:L311,1,3,5,7,9),0,TRUE)&lt;&gt;""),Lists!$AC$2:$AC$9,Lists!$AF$2:$AF$9,0)))*--(ROW()-ROW(C335)=_xlfn.XLOOKUP(MAX(IF(O336:O341&gt;0,E336:E341,-1)),IF(O336:O341&gt;0,E336:E341,-1),_xlfn.SEQUENCE(ROWS(O336:O341)),,0)))</f>
        <v/>
      </c>
      <c r="L339" s="68" t="str" cm="1">
        <f t="array" aca="1" ref="L339" ca="1">IF(OR(B339="",O339=""),"",--(SUM(_xlfn.XLOOKUP(_xlfn._xlws.FILTER(_xlfn.TOCOL(_xlfn.CHOOSECOLS(C324:L332,2,4,6,8,10),0,TRUE),_xlfn.TOCOL(_xlfn.CHOOSECOLS(C324:L332,1,3,5,7,9),0,TRUE)&lt;&gt;""),Lists!$AC$2:$AC$9,Lists!$AF$2:$AF$9,0))&gt;SUM(_xlfn.XLOOKUP(_xlfn._xlws.FILTER(_xlfn.TOCOL(_xlfn.CHOOSECOLS(C303:L311,2,4,6,8,10),0,TRUE),_xlfn.TOCOL(_xlfn.CHOOSECOLS(C303:L311,1,3,5,7,9),0,TRUE)&lt;&gt;""),Lists!$AC$2:$AC$9,Lists!$AF$2:$AF$9,0)))*--(COUNTIF(O336:O341,"&gt;0")&gt;1)*--(ROW()-ROW(C335)=_xlfn.XLOOKUP(TRUE,O336:O341&gt;0,_xlfn.SEQUENCE(ROWS(O336:O341)),,0,-1))*--(_xlfn.XLOOKUP(TRUE,O336:O341&gt;0,_xlfn.SEQUENCE(ROWS(O336:O341)),,0,-1)&lt;&gt;_xlfn.XLOOKUP(MAX(IF(O336:O341&gt;0,INT(C336:C341)*3+MOD(ROUND(C336:C341*10,0),10),-1)),IF(O336:O341&gt;0,INT(C336:C341)*3+MOD(ROUND(C336:C341*10,0),10),-1),_xlfn.SEQUENCE(ROWS(O336:O341)),,0))*--(SUM(_xlfn.XLOOKUP(_xlfn._xlws.FILTER(_xlfn.TOCOL(_xlfn.CHOOSECOLS(C324:L332,2,4,6,8,10),0,TRUE),_xlfn.TOCOL(_xlfn.CHOOSECOLS(C324:L332,1,3,5,7,9),0,TRUE)&lt;&gt;""),Lists!$AC$2:$AC$9,Lists!$AF$2:$AF$9,0))-SUM(_xlfn.XLOOKUP(_xlfn._xlws.FILTER(_xlfn.TOCOL(_xlfn.CHOOSECOLS(C303:L311,2,4,6,8,10),0,TRUE),_xlfn.TOCOL(_xlfn.CHOOSECOLS(C303:L311,1,3,5,7,9),0,TRUE)&lt;&gt;""),Lists!$AC$2:$AC$9,Lists!$AF$2:$AF$9,0))&lt;=3)*--((INT(C339)*3+MOD(ROUND(C339*10,0),10))&gt;=3))</f>
        <v/>
      </c>
      <c r="M339" s="68" t="str" cm="1">
        <f t="array" aca="1" ref="M339" ca="1">IF(OR(B339="",O339=""),"",--(COUNTIF(O336:O341,"&gt;0")=1)*--(SUM(_xlfn.XLOOKUP(_xlfn._xlws.FILTER(_xlfn.TOCOL(_xlfn.CHOOSECOLS(C303:L311,2,4,6,8,10),0,TRUE),_xlfn.TOCOL(_xlfn.CHOOSECOLS(C303:L311,1,3,5,7,9),0,TRUE)&lt;&gt;""),Lists!$AC$2:$AC$9,Lists!$AF$2:$AF$9,0))=0))</f>
        <v/>
      </c>
      <c r="N339" s="69" t="str">
        <f ca="1">IF(OR(B339="",O339=""),"",--(COUNTIF(O336:O341,"&gt;0")=1))</f>
        <v/>
      </c>
      <c r="O339" s="5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  <c r="CS339" s="18"/>
      <c r="CT339" s="18"/>
      <c r="CU339" s="18"/>
      <c r="CV339" s="18"/>
      <c r="CW339" s="18"/>
      <c r="CX339" s="18"/>
      <c r="CY339" s="18"/>
      <c r="CZ339" s="18"/>
      <c r="DA339" s="18"/>
      <c r="DB339" s="18"/>
      <c r="DC339" s="18"/>
      <c r="DD339" s="18"/>
      <c r="DE339" s="18"/>
      <c r="DF339" s="18"/>
    </row>
    <row r="340" spans="1:110">
      <c r="A340" s="168">
        <v>5</v>
      </c>
      <c r="B340" s="71"/>
      <c r="C340" s="70" t="str" cm="1">
        <f t="array" aca="1" ref="C340" ca="1">IF(OR(B340="",O340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340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340" s="67" t="str" cm="1">
        <f t="array" aca="1" ref="D340" ca="1">IF(OR(B340="",O340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340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340" s="67" t="str" cm="1">
        <f t="array" aca="1" ref="E340" ca="1">IF(OR(B340="",O340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340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340" s="67" t="str" cm="1">
        <f t="array" aca="1" ref="F340" ca="1">IF(OR(B340="",O340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340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340" s="67" t="str" cm="1">
        <f t="array" aca="1" ref="G340" ca="1">IF(OR(B340="",O340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340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340" s="67" t="str" cm="1">
        <f t="array" aca="1" ref="H340" ca="1">IF(OR(B340="",O340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340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340" s="68" t="str" cm="1">
        <f t="array" aca="1" ref="I340" ca="1">IF(OR(B340="",O340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340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340" s="68" t="str" cm="1">
        <f t="array" aca="1" ref="J340" ca="1">IF(OR(B340="",O340=""),"",--(SUM(_xlfn.XLOOKUP(_xlfn._xlws.FILTER(_xlfn.TOCOL(_xlfn.CHOOSECOLS(C324:L332,2,4,6,8,10),0,TRUE),_xlfn.TOCOL(_xlfn.CHOOSECOLS(C324:L332,1,3,5,7,9),0,TRUE)&lt;&gt;""),Lists!$AC$2:$AC$9,Lists!$AF$2:$AF$9,0))&gt;SUM(_xlfn.XLOOKUP(_xlfn._xlws.FILTER(_xlfn.TOCOL(_xlfn.CHOOSECOLS(C303:L311,2,4,6,8,10),0,TRUE),_xlfn.TOCOL(_xlfn.CHOOSECOLS(C303:L311,1,3,5,7,9),0,TRUE)&lt;&gt;""),Lists!$AC$2:$AC$9,Lists!$AF$2:$AF$9,0)))*--(ROW()-ROW(C335)=_xlfn.XLOOKUP(MAX(IF(O336:O341&gt;0,INT(C336:C341)*3+MOD(ROUND(C336:C341*10,0),10),-1)),IF(O336:O341&gt;0,INT(C336:C341)*3+MOD(ROUND(C336:C341*10,0),10),-1),_xlfn.SEQUENCE(ROWS(O336:O341)),,0)))</f>
        <v/>
      </c>
      <c r="K340" s="68" t="str" cm="1">
        <f t="array" aca="1" ref="K340" ca="1">IF(OR(B340="",O340=""),"",--(SUM(_xlfn.XLOOKUP(_xlfn._xlws.FILTER(_xlfn.TOCOL(_xlfn.CHOOSECOLS(C324:L332,2,4,6,8,10),0,TRUE),_xlfn.TOCOL(_xlfn.CHOOSECOLS(C324:L332,1,3,5,7,9),0,TRUE)&lt;&gt;""),Lists!$AC$2:$AC$9,Lists!$AF$2:$AF$9,0))&lt;SUM(_xlfn.XLOOKUP(_xlfn._xlws.FILTER(_xlfn.TOCOL(_xlfn.CHOOSECOLS(C303:L311,2,4,6,8,10),0,TRUE),_xlfn.TOCOL(_xlfn.CHOOSECOLS(C303:L311,1,3,5,7,9),0,TRUE)&lt;&gt;""),Lists!$AC$2:$AC$9,Lists!$AF$2:$AF$9,0)))*--(ROW()-ROW(C335)=_xlfn.XLOOKUP(MAX(IF(O336:O341&gt;0,E336:E341,-1)),IF(O336:O341&gt;0,E336:E341,-1),_xlfn.SEQUENCE(ROWS(O336:O341)),,0)))</f>
        <v/>
      </c>
      <c r="L340" s="68" t="str" cm="1">
        <f t="array" aca="1" ref="L340" ca="1">IF(OR(B340="",O340=""),"",--(SUM(_xlfn.XLOOKUP(_xlfn._xlws.FILTER(_xlfn.TOCOL(_xlfn.CHOOSECOLS(C324:L332,2,4,6,8,10),0,TRUE),_xlfn.TOCOL(_xlfn.CHOOSECOLS(C324:L332,1,3,5,7,9),0,TRUE)&lt;&gt;""),Lists!$AC$2:$AC$9,Lists!$AF$2:$AF$9,0))&gt;SUM(_xlfn.XLOOKUP(_xlfn._xlws.FILTER(_xlfn.TOCOL(_xlfn.CHOOSECOLS(C303:L311,2,4,6,8,10),0,TRUE),_xlfn.TOCOL(_xlfn.CHOOSECOLS(C303:L311,1,3,5,7,9),0,TRUE)&lt;&gt;""),Lists!$AC$2:$AC$9,Lists!$AF$2:$AF$9,0)))*--(COUNTIF(O336:O341,"&gt;0")&gt;1)*--(ROW()-ROW(C335)=_xlfn.XLOOKUP(TRUE,O336:O341&gt;0,_xlfn.SEQUENCE(ROWS(O336:O341)),,0,-1))*--(_xlfn.XLOOKUP(TRUE,O336:O341&gt;0,_xlfn.SEQUENCE(ROWS(O336:O341)),,0,-1)&lt;&gt;_xlfn.XLOOKUP(MAX(IF(O336:O341&gt;0,INT(C336:C341)*3+MOD(ROUND(C336:C341*10,0),10),-1)),IF(O336:O341&gt;0,INT(C336:C341)*3+MOD(ROUND(C336:C341*10,0),10),-1),_xlfn.SEQUENCE(ROWS(O336:O341)),,0))*--(SUM(_xlfn.XLOOKUP(_xlfn._xlws.FILTER(_xlfn.TOCOL(_xlfn.CHOOSECOLS(C324:L332,2,4,6,8,10),0,TRUE),_xlfn.TOCOL(_xlfn.CHOOSECOLS(C324:L332,1,3,5,7,9),0,TRUE)&lt;&gt;""),Lists!$AC$2:$AC$9,Lists!$AF$2:$AF$9,0))-SUM(_xlfn.XLOOKUP(_xlfn._xlws.FILTER(_xlfn.TOCOL(_xlfn.CHOOSECOLS(C303:L311,2,4,6,8,10),0,TRUE),_xlfn.TOCOL(_xlfn.CHOOSECOLS(C303:L311,1,3,5,7,9),0,TRUE)&lt;&gt;""),Lists!$AC$2:$AC$9,Lists!$AF$2:$AF$9,0))&lt;=3)*--((INT(C340)*3+MOD(ROUND(C340*10,0),10))&gt;=3))</f>
        <v/>
      </c>
      <c r="M340" s="68" t="str" cm="1">
        <f t="array" aca="1" ref="M340" ca="1">IF(OR(B340="",O340=""),"",--(COUNTIF(O336:O341,"&gt;0")=1)*--(SUM(_xlfn.XLOOKUP(_xlfn._xlws.FILTER(_xlfn.TOCOL(_xlfn.CHOOSECOLS(C303:L311,2,4,6,8,10),0,TRUE),_xlfn.TOCOL(_xlfn.CHOOSECOLS(C303:L311,1,3,5,7,9),0,TRUE)&lt;&gt;""),Lists!$AC$2:$AC$9,Lists!$AF$2:$AF$9,0))=0))</f>
        <v/>
      </c>
      <c r="N340" s="69" t="str">
        <f ca="1">IF(OR(B340="",O340=""),"",--(COUNTIF(O336:O341,"&gt;0")=1))</f>
        <v/>
      </c>
      <c r="O340" s="5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  <c r="CS340" s="18"/>
      <c r="CT340" s="18"/>
      <c r="CU340" s="18"/>
      <c r="CV340" s="18"/>
      <c r="CW340" s="18"/>
      <c r="CX340" s="18"/>
      <c r="CY340" s="18"/>
      <c r="CZ340" s="18"/>
      <c r="DA340" s="18"/>
      <c r="DB340" s="18"/>
      <c r="DC340" s="18"/>
      <c r="DD340" s="18"/>
      <c r="DE340" s="18"/>
      <c r="DF340" s="18"/>
    </row>
    <row r="341" spans="1:110">
      <c r="A341" s="168">
        <v>6</v>
      </c>
      <c r="B341" s="71"/>
      <c r="C341" s="70" t="str" cm="1">
        <f t="array" aca="1" ref="C341" ca="1">IF(OR(B341="",O341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341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341" s="67" t="str" cm="1">
        <f t="array" aca="1" ref="D341" ca="1">IF(OR(B341="",O341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341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341" s="67" t="str" cm="1">
        <f t="array" aca="1" ref="E341" ca="1">IF(OR(B341="",O341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341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341" s="67" t="str" cm="1">
        <f t="array" aca="1" ref="F341" ca="1">IF(OR(B341="",O341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341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341" s="67" t="str" cm="1">
        <f t="array" aca="1" ref="G341" ca="1">IF(OR(B341="",O341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341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341" s="67" t="str" cm="1">
        <f t="array" aca="1" ref="H341" ca="1">IF(OR(B341="",O341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341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341" s="68" t="str" cm="1">
        <f t="array" aca="1" ref="I341" ca="1">IF(OR(B341="",O341=""),"",_xlfn.LET(_xlpm.flatPAraw,_xlfn.TOCOL(_xlfn.CHOOSECOLS(C303:L311,1,3,5,7,9),0,TRUE),_xlpm.flatPARraw,_xlfn.TOCOL(_xlfn.CHOOSECOLS(C303:L311,2,4,6,8,10),0,TRUE),_xlpm.flatPA,_xlfn._xlws.FILTER(_xlpm.flatPAraw,_xlpm.flatPAraw&lt;&gt;""),_xlpm.flatPAR,_xlfn._xlws.FILTER(_xlpm.flatPARraw,_xlpm.flatPAraw&lt;&gt;""),_xlpm.prev,IF(ROW()=ROW(C336),0,SUM(INDEX(O:O,ROW(C336)):INDEX(O:O,ROW()-1))),_xlpm.need,O341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341" s="68" t="str" cm="1">
        <f t="array" aca="1" ref="J341" ca="1">IF(OR(B341="",O341=""),"",--(SUM(_xlfn.XLOOKUP(_xlfn._xlws.FILTER(_xlfn.TOCOL(_xlfn.CHOOSECOLS(C324:L332,2,4,6,8,10),0,TRUE),_xlfn.TOCOL(_xlfn.CHOOSECOLS(C324:L332,1,3,5,7,9),0,TRUE)&lt;&gt;""),Lists!$AC$2:$AC$9,Lists!$AF$2:$AF$9,0))&gt;SUM(_xlfn.XLOOKUP(_xlfn._xlws.FILTER(_xlfn.TOCOL(_xlfn.CHOOSECOLS(C303:L311,2,4,6,8,10),0,TRUE),_xlfn.TOCOL(_xlfn.CHOOSECOLS(C303:L311,1,3,5,7,9),0,TRUE)&lt;&gt;""),Lists!$AC$2:$AC$9,Lists!$AF$2:$AF$9,0)))*--(ROW()-ROW(C335)=_xlfn.XLOOKUP(MAX(IF(O336:O341&gt;0,INT(C336:C341)*3+MOD(ROUND(C336:C341*10,0),10),-1)),IF(O336:O341&gt;0,INT(C336:C341)*3+MOD(ROUND(C336:C341*10,0),10),-1),_xlfn.SEQUENCE(ROWS(O336:O341)),,0)))</f>
        <v/>
      </c>
      <c r="K341" s="68" t="str" cm="1">
        <f t="array" aca="1" ref="K341" ca="1">IF(OR(B341="",O341=""),"",--(SUM(_xlfn.XLOOKUP(_xlfn._xlws.FILTER(_xlfn.TOCOL(_xlfn.CHOOSECOLS(C324:L332,2,4,6,8,10),0,TRUE),_xlfn.TOCOL(_xlfn.CHOOSECOLS(C324:L332,1,3,5,7,9),0,TRUE)&lt;&gt;""),Lists!$AC$2:$AC$9,Lists!$AF$2:$AF$9,0))&lt;SUM(_xlfn.XLOOKUP(_xlfn._xlws.FILTER(_xlfn.TOCOL(_xlfn.CHOOSECOLS(C303:L311,2,4,6,8,10),0,TRUE),_xlfn.TOCOL(_xlfn.CHOOSECOLS(C303:L311,1,3,5,7,9),0,TRUE)&lt;&gt;""),Lists!$AC$2:$AC$9,Lists!$AF$2:$AF$9,0)))*--(ROW()-ROW(C335)=_xlfn.XLOOKUP(MAX(IF(O336:O341&gt;0,E336:E341,-1)),IF(O336:O341&gt;0,E336:E341,-1),_xlfn.SEQUENCE(ROWS(O336:O341)),,0)))</f>
        <v/>
      </c>
      <c r="L341" s="68" t="str" cm="1">
        <f t="array" aca="1" ref="L341" ca="1">IF(OR(B341="",O341=""),"",--(SUM(_xlfn.XLOOKUP(_xlfn._xlws.FILTER(_xlfn.TOCOL(_xlfn.CHOOSECOLS(C324:L332,2,4,6,8,10),0,TRUE),_xlfn.TOCOL(_xlfn.CHOOSECOLS(C324:L332,1,3,5,7,9),0,TRUE)&lt;&gt;""),Lists!$AC$2:$AC$9,Lists!$AF$2:$AF$9,0))&gt;SUM(_xlfn.XLOOKUP(_xlfn._xlws.FILTER(_xlfn.TOCOL(_xlfn.CHOOSECOLS(C303:L311,2,4,6,8,10),0,TRUE),_xlfn.TOCOL(_xlfn.CHOOSECOLS(C303:L311,1,3,5,7,9),0,TRUE)&lt;&gt;""),Lists!$AC$2:$AC$9,Lists!$AF$2:$AF$9,0)))*--(COUNTIF(O336:O341,"&gt;0")&gt;1)*--(ROW()-ROW(C335)=_xlfn.XLOOKUP(TRUE,O336:O341&gt;0,_xlfn.SEQUENCE(ROWS(O336:O341)),,0,-1))*--(_xlfn.XLOOKUP(TRUE,O336:O341&gt;0,_xlfn.SEQUENCE(ROWS(O336:O341)),,0,-1)&lt;&gt;_xlfn.XLOOKUP(MAX(IF(O336:O341&gt;0,INT(C336:C341)*3+MOD(ROUND(C336:C341*10,0),10),-1)),IF(O336:O341&gt;0,INT(C336:C341)*3+MOD(ROUND(C336:C341*10,0),10),-1),_xlfn.SEQUENCE(ROWS(O336:O341)),,0))*--(SUM(_xlfn.XLOOKUP(_xlfn._xlws.FILTER(_xlfn.TOCOL(_xlfn.CHOOSECOLS(C324:L332,2,4,6,8,10),0,TRUE),_xlfn.TOCOL(_xlfn.CHOOSECOLS(C324:L332,1,3,5,7,9),0,TRUE)&lt;&gt;""),Lists!$AC$2:$AC$9,Lists!$AF$2:$AF$9,0))-SUM(_xlfn.XLOOKUP(_xlfn._xlws.FILTER(_xlfn.TOCOL(_xlfn.CHOOSECOLS(C303:L311,2,4,6,8,10),0,TRUE),_xlfn.TOCOL(_xlfn.CHOOSECOLS(C303:L311,1,3,5,7,9),0,TRUE)&lt;&gt;""),Lists!$AC$2:$AC$9,Lists!$AF$2:$AF$9,0))&lt;=3)*--((INT(C341)*3+MOD(ROUND(C341*10,0),10))&gt;=3))</f>
        <v/>
      </c>
      <c r="M341" s="68" t="str" cm="1">
        <f t="array" aca="1" ref="M341" ca="1">IF(OR(B341="",O341=""),"",--(COUNTIF(O336:O341,"&gt;0")=1)*--(SUM(_xlfn.XLOOKUP(_xlfn._xlws.FILTER(_xlfn.TOCOL(_xlfn.CHOOSECOLS(C303:L311,2,4,6,8,10),0,TRUE),_xlfn.TOCOL(_xlfn.CHOOSECOLS(C303:L311,1,3,5,7,9),0,TRUE)&lt;&gt;""),Lists!$AC$2:$AC$9,Lists!$AF$2:$AF$9,0))=0))</f>
        <v/>
      </c>
      <c r="N341" s="69" t="str">
        <f ca="1">IF(OR(B341="",O341=""),"",--(COUNTIF(O336:O341,"&gt;0")=1))</f>
        <v/>
      </c>
      <c r="O341" s="5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P341" s="18"/>
      <c r="CQ341" s="18"/>
      <c r="CR341" s="18"/>
      <c r="CS341" s="18"/>
      <c r="CT341" s="18"/>
      <c r="CU341" s="18"/>
      <c r="CV341" s="18"/>
      <c r="CW341" s="18"/>
      <c r="CX341" s="18"/>
      <c r="CY341" s="18"/>
      <c r="CZ341" s="18"/>
      <c r="DA341" s="18"/>
      <c r="DB341" s="18"/>
      <c r="DC341" s="18"/>
      <c r="DD341" s="18"/>
      <c r="DE341" s="18"/>
      <c r="DF341" s="18"/>
    </row>
    <row r="342" spans="1:110">
      <c r="A342" s="173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18"/>
      <c r="CU342" s="18"/>
      <c r="CV342" s="18"/>
      <c r="CW342" s="18"/>
      <c r="CX342" s="18"/>
      <c r="CY342" s="18"/>
      <c r="CZ342" s="18"/>
      <c r="DA342" s="18"/>
      <c r="DB342" s="18"/>
      <c r="DC342" s="18"/>
      <c r="DD342" s="18"/>
      <c r="DE342" s="18"/>
      <c r="DF342" s="18"/>
    </row>
    <row r="343" spans="1:110">
      <c r="A343" s="174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P343" s="18"/>
      <c r="CQ343" s="18"/>
      <c r="CR343" s="18"/>
      <c r="CS343" s="18"/>
      <c r="CT343" s="18"/>
      <c r="CU343" s="18"/>
      <c r="CV343" s="18"/>
      <c r="CW343" s="18"/>
      <c r="CX343" s="18"/>
      <c r="CY343" s="18"/>
      <c r="CZ343" s="18"/>
      <c r="DA343" s="18"/>
      <c r="DB343" s="18"/>
      <c r="DC343" s="18"/>
      <c r="DD343" s="18"/>
      <c r="DE343" s="18"/>
      <c r="DF343" s="18"/>
    </row>
    <row r="344" spans="1:110">
      <c r="A344" s="217" t="s">
        <v>211</v>
      </c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9"/>
      <c r="N344" s="207"/>
      <c r="O344" s="36"/>
      <c r="P344" s="37"/>
      <c r="Q344" s="38"/>
      <c r="R344" s="38"/>
      <c r="S344" s="38"/>
      <c r="T344" s="38"/>
      <c r="U344" s="38"/>
      <c r="V344" s="38"/>
      <c r="W344" s="38"/>
      <c r="X344" s="3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  <c r="CS344" s="18"/>
      <c r="CT344" s="18"/>
      <c r="CU344" s="18"/>
      <c r="CV344" s="18"/>
      <c r="CW344" s="18"/>
      <c r="CX344" s="18"/>
      <c r="CY344" s="18"/>
      <c r="CZ344" s="18"/>
      <c r="DA344" s="18"/>
      <c r="DB344" s="18"/>
      <c r="DC344" s="18"/>
      <c r="DD344" s="18"/>
      <c r="DE344" s="18"/>
      <c r="DF344" s="18"/>
    </row>
    <row r="345" spans="1:110">
      <c r="A345" s="169" t="s">
        <v>33</v>
      </c>
      <c r="B345" s="40">
        <f>Settings!$B$2</f>
        <v>1</v>
      </c>
      <c r="C345" s="41"/>
      <c r="D345" s="40" t="s">
        <v>95</v>
      </c>
      <c r="E345" s="41"/>
      <c r="F345" s="40" t="str">
        <f>Bracket!$F$13</f>
        <v>G8</v>
      </c>
      <c r="G345" s="41"/>
      <c r="H345" s="40" t="s">
        <v>97</v>
      </c>
      <c r="I345" s="41"/>
      <c r="J345" s="40" t="str">
        <f>Bracket!$G$13</f>
        <v>Winners Final</v>
      </c>
      <c r="K345" s="41"/>
      <c r="L345" s="40" t="s">
        <v>134</v>
      </c>
      <c r="M345" s="24"/>
      <c r="N345" s="173" t="str">
        <f ca="1">Bracket!$H$13</f>
        <v>Nick</v>
      </c>
      <c r="O345" s="24"/>
      <c r="P345" s="18"/>
      <c r="Q345" s="18"/>
      <c r="R345" s="18" t="str">
        <f ca="1">Bracket!$I$13</f>
        <v>Jason</v>
      </c>
      <c r="S345" s="18"/>
      <c r="T345" s="18"/>
      <c r="U345" s="18"/>
      <c r="V345" s="18" t="str">
        <f ca="1">Bracket!$L$13</f>
        <v>Nick</v>
      </c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P345" s="18"/>
      <c r="CQ345" s="18"/>
      <c r="CR345" s="18"/>
      <c r="CS345" s="18"/>
      <c r="CT345" s="18"/>
      <c r="CU345" s="18"/>
      <c r="CV345" s="18"/>
      <c r="CW345" s="18"/>
      <c r="CX345" s="18"/>
      <c r="CY345" s="18"/>
      <c r="CZ345" s="18"/>
      <c r="DA345" s="18"/>
      <c r="DB345" s="18"/>
      <c r="DC345" s="18"/>
      <c r="DD345" s="18"/>
      <c r="DE345" s="18"/>
      <c r="DF345" s="18"/>
    </row>
    <row r="346" spans="1:110">
      <c r="A346" s="170" t="s">
        <v>160</v>
      </c>
      <c r="B346" s="72">
        <v>1</v>
      </c>
      <c r="C346" s="72">
        <v>2</v>
      </c>
      <c r="D346" s="72">
        <v>3</v>
      </c>
      <c r="E346" s="72">
        <v>4</v>
      </c>
      <c r="F346" s="72">
        <v>5</v>
      </c>
      <c r="G346" s="72">
        <v>6</v>
      </c>
      <c r="H346" s="72">
        <v>7</v>
      </c>
      <c r="I346" s="73">
        <v>8</v>
      </c>
      <c r="J346" s="73">
        <v>9</v>
      </c>
      <c r="K346" s="73" t="s">
        <v>161</v>
      </c>
      <c r="L346" s="73" t="s">
        <v>162</v>
      </c>
      <c r="M346" s="74" t="s">
        <v>163</v>
      </c>
      <c r="N346" s="24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P346" s="18"/>
      <c r="CQ346" s="18"/>
      <c r="CR346" s="18"/>
      <c r="CS346" s="18"/>
      <c r="CT346" s="18"/>
      <c r="CU346" s="18"/>
      <c r="CV346" s="18"/>
      <c r="CW346" s="18"/>
      <c r="CX346" s="18"/>
      <c r="CY346" s="18"/>
      <c r="CZ346" s="18"/>
      <c r="DA346" s="18"/>
      <c r="DB346" s="18"/>
      <c r="DC346" s="18"/>
      <c r="DD346" s="18"/>
      <c r="DE346" s="18"/>
      <c r="DF346" s="18"/>
    </row>
    <row r="347" spans="1:110">
      <c r="A347" s="171" t="str">
        <f ca="1">N345</f>
        <v>Nick</v>
      </c>
      <c r="B347" s="75" cm="1">
        <f t="array" aca="1" ref="B347" ca="1">IFERROR(_xlfn.LET(_xlpm.flatPAraw,_xlfn.TOCOL(_xlfn.CHOOSECOLS(C352:L360,1,3,5,7,9),0,TRUE),_xlpm.flatPARraw,_xlfn.TOCOL(_xlfn.CHOOSECOLS(C352:L360,2,4,6,8,10)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347" s="75" cm="1">
        <f t="array" aca="1" ref="C347" ca="1">IFERROR(_xlfn.LET(_xlpm.flatPAraw,_xlfn.TOCOL(_xlfn.CHOOSECOLS(C352:L360,1,3,5,7,9),0,TRUE),_xlpm.flatPARraw,_xlfn.TOCOL(_xlfn.CHOOSECOLS(C352:L360,2,4,6,8,10)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2</v>
      </c>
      <c r="D347" s="75" cm="1">
        <f t="array" aca="1" ref="D347" ca="1">IFERROR(_xlfn.LET(_xlpm.flatPAraw,_xlfn.TOCOL(_xlfn.CHOOSECOLS(C352:L360,1,3,5,7,9),0,TRUE),_xlpm.flatPARraw,_xlfn.TOCOL(_xlfn.CHOOSECOLS(C352:L360,2,4,6,8,10)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347" s="75" cm="1">
        <f t="array" aca="1" ref="E347" ca="1">IFERROR(_xlfn.LET(_xlpm.flatPAraw,_xlfn.TOCOL(_xlfn.CHOOSECOLS(C352:L360,1,3,5,7,9),0,TRUE),_xlpm.flatPARraw,_xlfn.TOCOL(_xlfn.CHOOSECOLS(C352:L360,2,4,6,8,10)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5</v>
      </c>
      <c r="F347" s="75" cm="1">
        <f t="array" aca="1" ref="F347" ca="1">IFERROR(_xlfn.LET(_xlpm.flatPAraw,_xlfn.TOCOL(_xlfn.CHOOSECOLS(C352:L360,1,3,5,7,9),0,TRUE),_xlpm.flatPARraw,_xlfn.TOCOL(_xlfn.CHOOSECOLS(C352:L360,2,4,6,8,10)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347" s="75" cm="1">
        <f t="array" aca="1" ref="G347" ca="1">IFERROR(_xlfn.LET(_xlpm.flatPAraw,_xlfn.TOCOL(_xlfn.CHOOSECOLS(C352:L360,1,3,5,7,9),0,TRUE),_xlpm.flatPARraw,_xlfn.TOCOL(_xlfn.CHOOSECOLS(C352:L360,2,4,6,8,10)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347" s="75" cm="1">
        <f t="array" aca="1" ref="H347" ca="1">IFERROR(_xlfn.LET(_xlpm.flatPAraw,_xlfn.TOCOL(_xlfn.CHOOSECOLS(C352:L360,1,3,5,7,9),0,TRUE),_xlpm.flatPARraw,_xlfn.TOCOL(_xlfn.CHOOSECOLS(C352:L360,2,4,6,8,10)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347" s="76" cm="1">
        <f t="array" aca="1" ref="I347" ca="1">IFERROR(_xlfn.LET(_xlpm.flatPAraw,_xlfn.TOCOL(_xlfn.CHOOSECOLS(C352:L360,1,3,5,7,9),0,TRUE),_xlpm.flatPARraw,_xlfn.TOCOL(_xlfn.CHOOSECOLS(C352:L360,2,4,6,8,10)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347" s="76" cm="1">
        <f t="array" aca="1" ref="J347" ca="1">IFERROR(_xlfn.LET(_xlpm.flatPAraw,_xlfn.TOCOL(_xlfn.CHOOSECOLS(C352:L360,1,3,5,7,9),0,TRUE),_xlpm.flatPARraw,_xlfn.TOCOL(_xlfn.CHOOSECOLS(C352:L360,2,4,6,8,10)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347" s="164">
        <f ca="1">SUM(B347:J347)</f>
        <v>7</v>
      </c>
      <c r="L347" s="77">
        <f ca="1">SUM(O352:O360)</f>
        <v>9</v>
      </c>
      <c r="M347" s="78">
        <f ca="1">COUNTIF(C373:L381,"ROE")</f>
        <v>0</v>
      </c>
      <c r="N347" s="24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P347" s="18"/>
      <c r="CQ347" s="18"/>
      <c r="CR347" s="18"/>
      <c r="CS347" s="18"/>
      <c r="CT347" s="18"/>
      <c r="CU347" s="18"/>
      <c r="CV347" s="18"/>
      <c r="CW347" s="18"/>
      <c r="CX347" s="18"/>
      <c r="CY347" s="18"/>
      <c r="CZ347" s="18"/>
      <c r="DA347" s="18"/>
      <c r="DB347" s="18"/>
      <c r="DC347" s="18"/>
      <c r="DD347" s="18"/>
      <c r="DE347" s="18"/>
      <c r="DF347" s="18"/>
    </row>
    <row r="348" spans="1:110">
      <c r="A348" s="172" t="str">
        <f ca="1">R345</f>
        <v>Jason</v>
      </c>
      <c r="B348" s="79" cm="1">
        <f t="array" aca="1" ref="B348" ca="1">IFERROR(_xlfn.LET(_xlpm.flatPAraw,_xlfn.TOCOL(_xlfn.CHOOSECOLS(C373:L381,1,3,5,7,9),0,TRUE),_xlpm.flatPARraw,_xlfn.TOCOL(_xlfn.CHOOSECOLS(C373:L381,2,4,6,8,10)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348" s="79" cm="1">
        <f t="array" aca="1" ref="C348" ca="1">IFERROR(_xlfn.LET(_xlpm.flatPAraw,_xlfn.TOCOL(_xlfn.CHOOSECOLS(C373:L381,1,3,5,7,9),0,TRUE),_xlpm.flatPARraw,_xlfn.TOCOL(_xlfn.CHOOSECOLS(C373:L381,2,4,6,8,10)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2</v>
      </c>
      <c r="D348" s="79" cm="1">
        <f t="array" aca="1" ref="D348" ca="1">IFERROR(_xlfn.LET(_xlpm.flatPAraw,_xlfn.TOCOL(_xlfn.CHOOSECOLS(C373:L381,1,3,5,7,9),0,TRUE),_xlpm.flatPARraw,_xlfn.TOCOL(_xlfn.CHOOSECOLS(C373:L381,2,4,6,8,10)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348" s="79" cm="1">
        <f t="array" aca="1" ref="E348" ca="1">IFERROR(_xlfn.LET(_xlpm.flatPAraw,_xlfn.TOCOL(_xlfn.CHOOSECOLS(C373:L381,1,3,5,7,9),0,TRUE),_xlpm.flatPARraw,_xlfn.TOCOL(_xlfn.CHOOSECOLS(C373:L381,2,4,6,8,10)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2</v>
      </c>
      <c r="F348" s="79" cm="1">
        <f t="array" aca="1" ref="F348" ca="1">IFERROR(_xlfn.LET(_xlpm.flatPAraw,_xlfn.TOCOL(_xlfn.CHOOSECOLS(C373:L381,1,3,5,7,9),0,TRUE),_xlpm.flatPARraw,_xlfn.TOCOL(_xlfn.CHOOSECOLS(C373:L381,2,4,6,8,10)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348" s="79" cm="1">
        <f t="array" aca="1" ref="G348" ca="1">IFERROR(_xlfn.LET(_xlpm.flatPAraw,_xlfn.TOCOL(_xlfn.CHOOSECOLS(C373:L381,1,3,5,7,9),0,TRUE),_xlpm.flatPARraw,_xlfn.TOCOL(_xlfn.CHOOSECOLS(C373:L381,2,4,6,8,10)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348" s="79" cm="1">
        <f t="array" aca="1" ref="H348" ca="1">IFERROR(_xlfn.LET(_xlpm.flatPAraw,_xlfn.TOCOL(_xlfn.CHOOSECOLS(C373:L381,1,3,5,7,9),0,TRUE),_xlpm.flatPARraw,_xlfn.TOCOL(_xlfn.CHOOSECOLS(C373:L381,2,4,6,8,10)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348" s="80" cm="1">
        <f t="array" aca="1" ref="I348" ca="1">IFERROR(_xlfn.LET(_xlpm.flatPAraw,_xlfn.TOCOL(_xlfn.CHOOSECOLS(C373:L381,1,3,5,7,9),0,TRUE),_xlpm.flatPARraw,_xlfn.TOCOL(_xlfn.CHOOSECOLS(C373:L381,2,4,6,8,10)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348" s="80" cm="1">
        <f t="array" aca="1" ref="J348" ca="1">IFERROR(_xlfn.LET(_xlpm.flatPAraw,_xlfn.TOCOL(_xlfn.CHOOSECOLS(C373:L381,1,3,5,7,9),0,TRUE),_xlpm.flatPARraw,_xlfn.TOCOL(_xlfn.CHOOSECOLS(C373:L381,2,4,6,8,10)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348" s="165">
        <f ca="1">SUM(B348:J348)</f>
        <v>4</v>
      </c>
      <c r="L348" s="81">
        <f ca="1">SUM(O373:O381)</f>
        <v>5</v>
      </c>
      <c r="M348" s="82">
        <f ca="1">COUNTIF(C352:L360,"ROE")</f>
        <v>0</v>
      </c>
      <c r="N348" s="24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  <c r="CO348" s="18"/>
      <c r="CP348" s="18"/>
      <c r="CQ348" s="18"/>
      <c r="CR348" s="18"/>
      <c r="CS348" s="18"/>
      <c r="CT348" s="18"/>
      <c r="CU348" s="18"/>
      <c r="CV348" s="18"/>
      <c r="CW348" s="18"/>
      <c r="CX348" s="18"/>
      <c r="CY348" s="18"/>
      <c r="CZ348" s="18"/>
      <c r="DA348" s="18"/>
      <c r="DB348" s="18"/>
      <c r="DC348" s="18"/>
      <c r="DD348" s="18"/>
      <c r="DE348" s="18"/>
      <c r="DF348" s="18"/>
    </row>
    <row r="349" spans="1:110">
      <c r="A349" s="173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  <c r="CO349" s="18"/>
      <c r="CP349" s="18"/>
      <c r="CQ349" s="18"/>
      <c r="CR349" s="18"/>
      <c r="CS349" s="18"/>
      <c r="CT349" s="18"/>
      <c r="CU349" s="18"/>
      <c r="CV349" s="18"/>
      <c r="CW349" s="18"/>
      <c r="CX349" s="18"/>
      <c r="CY349" s="18"/>
      <c r="CZ349" s="18"/>
      <c r="DA349" s="18"/>
      <c r="DB349" s="18"/>
      <c r="DC349" s="18"/>
      <c r="DD349" s="18"/>
      <c r="DE349" s="18"/>
      <c r="DF349" s="18"/>
    </row>
    <row r="350" spans="1:110">
      <c r="A350" s="205" t="str">
        <f ca="1">IF($N$345="","Team A Batting",$N$345&amp;" Batting")</f>
        <v>Nick Batting</v>
      </c>
      <c r="B350" s="206"/>
      <c r="C350" s="206"/>
      <c r="D350" s="206"/>
      <c r="E350" s="206"/>
      <c r="F350" s="206"/>
      <c r="G350" s="206"/>
      <c r="H350" s="206"/>
      <c r="I350" s="206"/>
      <c r="J350" s="206"/>
      <c r="K350" s="206"/>
      <c r="L350" s="206"/>
      <c r="M350" s="206"/>
      <c r="N350" s="206"/>
      <c r="O350" s="181"/>
      <c r="P350" s="182"/>
      <c r="Q350" s="182"/>
      <c r="R350" s="182"/>
      <c r="S350" s="182"/>
      <c r="T350" s="182"/>
      <c r="U350" s="182"/>
      <c r="V350" s="182"/>
      <c r="W350" s="182"/>
      <c r="X350" s="182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  <c r="CO350" s="18"/>
      <c r="CP350" s="18"/>
      <c r="CQ350" s="18"/>
      <c r="CR350" s="18"/>
      <c r="CS350" s="18"/>
      <c r="CT350" s="18"/>
      <c r="CU350" s="18"/>
      <c r="CV350" s="18"/>
      <c r="CW350" s="18"/>
      <c r="CX350" s="18"/>
      <c r="CY350" s="18"/>
      <c r="CZ350" s="18"/>
      <c r="DA350" s="18"/>
      <c r="DB350" s="18"/>
      <c r="DC350" s="18"/>
      <c r="DD350" s="18"/>
      <c r="DE350" s="18"/>
      <c r="DF350" s="18"/>
    </row>
    <row r="351" spans="1:110">
      <c r="A351" s="167" t="s">
        <v>164</v>
      </c>
      <c r="B351" s="43" t="s">
        <v>39</v>
      </c>
      <c r="C351" s="43" t="s">
        <v>165</v>
      </c>
      <c r="D351" s="43" t="s">
        <v>166</v>
      </c>
      <c r="E351" s="43" t="s">
        <v>167</v>
      </c>
      <c r="F351" s="43" t="s">
        <v>168</v>
      </c>
      <c r="G351" s="43" t="s">
        <v>169</v>
      </c>
      <c r="H351" s="43" t="s">
        <v>170</v>
      </c>
      <c r="I351" s="43" t="s">
        <v>171</v>
      </c>
      <c r="J351" s="43" t="s">
        <v>172</v>
      </c>
      <c r="K351" s="43" t="s">
        <v>173</v>
      </c>
      <c r="L351" s="43" t="s">
        <v>174</v>
      </c>
      <c r="M351" s="43" t="s">
        <v>175</v>
      </c>
      <c r="N351" s="44" t="s">
        <v>161</v>
      </c>
      <c r="O351" s="44" t="s">
        <v>162</v>
      </c>
      <c r="P351" s="44" t="s">
        <v>176</v>
      </c>
      <c r="Q351" s="44" t="s">
        <v>177</v>
      </c>
      <c r="R351" s="44" t="s">
        <v>178</v>
      </c>
      <c r="S351" s="44" t="s">
        <v>179</v>
      </c>
      <c r="T351" s="44" t="s">
        <v>180</v>
      </c>
      <c r="U351" s="44" t="s">
        <v>181</v>
      </c>
      <c r="V351" s="44" t="s">
        <v>182</v>
      </c>
      <c r="W351" s="44" t="s">
        <v>183</v>
      </c>
      <c r="X351" s="45" t="s">
        <v>184</v>
      </c>
      <c r="Y351" s="45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P351" s="18"/>
      <c r="CQ351" s="18"/>
      <c r="CR351" s="18"/>
      <c r="CS351" s="18"/>
      <c r="CT351" s="18"/>
      <c r="CU351" s="18"/>
      <c r="CV351" s="18"/>
      <c r="CW351" s="18"/>
      <c r="CX351" s="18"/>
      <c r="CY351" s="18"/>
      <c r="CZ351" s="18"/>
      <c r="DA351" s="18"/>
      <c r="DB351" s="18"/>
      <c r="DC351" s="18"/>
      <c r="DD351" s="18"/>
      <c r="DE351" s="18"/>
      <c r="DF351" s="18"/>
    </row>
    <row r="352" spans="1:110">
      <c r="A352" s="168">
        <v>1</v>
      </c>
      <c r="B352" s="47" t="str">
        <f ca="1">Lineups!$C$103</f>
        <v>Monty Mole</v>
      </c>
      <c r="C352" s="48" t="s">
        <v>186</v>
      </c>
      <c r="D352" s="49"/>
      <c r="E352" s="49" t="s">
        <v>185</v>
      </c>
      <c r="F352" s="49"/>
      <c r="G352" s="49" t="s">
        <v>189</v>
      </c>
      <c r="H352" s="50"/>
      <c r="I352" s="50"/>
      <c r="J352" s="50"/>
      <c r="K352" s="50"/>
      <c r="L352" s="50"/>
      <c r="M352" s="67">
        <f ca="1">IF($B352="","",SUM(_xlfn.XLOOKUP(C352,Lists!$P$2:$P$19,Lists!$R$2:$R$19,0),_xlfn.XLOOKUP(E352,Lists!$P$2:$P$19,Lists!$R$2:$R$19,0),_xlfn.XLOOKUP(G352,Lists!$P$2:$P$19,Lists!$R$2:$R$19,0),_xlfn.XLOOKUP(I352,Lists!$P$2:$P$19,Lists!$R$2:$R$19,0),_xlfn.XLOOKUP(K352,Lists!$P$2:$P$19,Lists!$R$2:$R$19,0)))</f>
        <v>3</v>
      </c>
      <c r="N352" s="68">
        <f ca="1">IF($B352="","",SUM(_xlfn.XLOOKUP(D352,Lists!$AC$2:$AC$9,Lists!$AE$2:$AE$9,0),_xlfn.XLOOKUP(F352,Lists!$AC$2:$AC$9,Lists!$AE$2:$AE$9,0),_xlfn.XLOOKUP(H352,Lists!$AC$2:$AC$9,Lists!$AE$2:$AE$9,0),_xlfn.XLOOKUP(J352,Lists!$AC$2:$AC$9,Lists!$AE$2:$AE$9,0),_xlfn.XLOOKUP(L352,Lists!$AC$2:$AC$9,Lists!$AE$2:$AE$9,0)))</f>
        <v>0</v>
      </c>
      <c r="O352" s="68">
        <f ca="1">IF($B352="","",SUM(_xlfn.XLOOKUP(C352,Lists!$P$2:$P$19,Lists!$S$2:$S$19,0),_xlfn.XLOOKUP(E352,Lists!$P$2:$P$19,Lists!$S$2:$S$19,0),_xlfn.XLOOKUP(G352,Lists!$P$2:$P$19,Lists!$S$2:$S$19,0),_xlfn.XLOOKUP(I352,Lists!$P$2:$P$19,Lists!$S$2:$S$19,0),_xlfn.XLOOKUP(K352,Lists!$P$2:$P$19,Lists!$S$2:$S$19,0)))</f>
        <v>0</v>
      </c>
      <c r="P352" s="68">
        <f ca="1">IF($B352="","",SUM(_xlfn.XLOOKUP(C352,Lists!$P$2:$P$19,Lists!$T$2:$T$19,0),_xlfn.XLOOKUP(E352,Lists!$P$2:$P$19,Lists!$T$2:$T$19,0),_xlfn.XLOOKUP(G352,Lists!$P$2:$P$19,Lists!$T$2:$T$19,0),_xlfn.XLOOKUP(I352,Lists!$P$2:$P$19,Lists!$T$2:$T$19,0),_xlfn.XLOOKUP(K352,Lists!$P$2:$P$19,Lists!$T$2:$T$19,0)))</f>
        <v>0</v>
      </c>
      <c r="Q352" s="68">
        <f ca="1">IF($B352="","",SUM(_xlfn.XLOOKUP(C352,Lists!$P$2:$P$19,Lists!$U$2:$U$19,0),_xlfn.XLOOKUP(E352,Lists!$P$2:$P$19,Lists!$U$2:$U$19,0),_xlfn.XLOOKUP(G352,Lists!$P$2:$P$19,Lists!$U$2:$U$19,0),_xlfn.XLOOKUP(I352,Lists!$P$2:$P$19,Lists!$U$2:$U$19,0),_xlfn.XLOOKUP(K352,Lists!$P$2:$P$19,Lists!$U$2:$U$19,0)))</f>
        <v>0</v>
      </c>
      <c r="R352" s="68">
        <f ca="1">IF($B352="","",SUM(_xlfn.XLOOKUP(C352,Lists!$P$2:$P$19,Lists!$V$2:$V$19,0),_xlfn.XLOOKUP(E352,Lists!$P$2:$P$19,Lists!$V$2:$V$19,0),_xlfn.XLOOKUP(G352,Lists!$P$2:$P$19,Lists!$V$2:$V$19,0),_xlfn.XLOOKUP(I352,Lists!$P$2:$P$19,Lists!$V$2:$V$19,0),_xlfn.XLOOKUP(K352,Lists!$P$2:$P$19,Lists!$V$2:$V$19,0)))</f>
        <v>0</v>
      </c>
      <c r="S352" s="68">
        <f ca="1">IF($B352="","",SUM(_xlfn.XLOOKUP(D352,Lists!$AC$2:$AC$9,Lists!$AD$2:$AD$9,0),_xlfn.XLOOKUP(F352,Lists!$AC$2:$AC$9,Lists!$AD$2:$AD$9,0),_xlfn.XLOOKUP(H352,Lists!$AC$2:$AC$9,Lists!$AD$2:$AD$9,0),_xlfn.XLOOKUP(J352,Lists!$AC$2:$AC$9,Lists!$AD$2:$AD$9,0),_xlfn.XLOOKUP(L352,Lists!$AC$2:$AC$9,Lists!$AD$2:$AD$9,0)))</f>
        <v>0</v>
      </c>
      <c r="T352" s="68">
        <f ca="1">IF($B352="","",SUM(_xlfn.XLOOKUP(C352,Lists!$P$2:$P$19,Lists!$W$2:$W$19,0),_xlfn.XLOOKUP(E352,Lists!$P$2:$P$19,Lists!$W$2:$W$19,0),_xlfn.XLOOKUP(G352,Lists!$P$2:$P$19,Lists!$W$2:$W$19,0),_xlfn.XLOOKUP(I352,Lists!$P$2:$P$19,Lists!$W$2:$W$19,0),_xlfn.XLOOKUP(K352,Lists!$P$2:$P$19,Lists!$W$2:$W$19,0)))</f>
        <v>0</v>
      </c>
      <c r="U352" s="68">
        <f ca="1">IF($B352="","",SUM(_xlfn.XLOOKUP(C352,Lists!$P$2:$P$19,Lists!$X$2:$X$19,0),_xlfn.XLOOKUP(E352,Lists!$P$2:$P$19,Lists!$X$2:$X$19,0),_xlfn.XLOOKUP(G352,Lists!$P$2:$P$19,Lists!$X$2:$X$19,0),_xlfn.XLOOKUP(I352,Lists!$P$2:$P$19,Lists!$X$2:$X$19,0),_xlfn.XLOOKUP(K352,Lists!$P$2:$P$19,Lists!$X$2:$X$19,0)))</f>
        <v>1</v>
      </c>
      <c r="V352" s="68">
        <f ca="1">IF($B352="","",SUM(_xlfn.XLOOKUP(C352,Lists!$P$2:$P$19,Lists!$Y$2:$Y$19,0),_xlfn.XLOOKUP(E352,Lists!$P$2:$P$19,Lists!$Y$2:$Y$19,0),_xlfn.XLOOKUP(G352,Lists!$P$2:$P$19,Lists!$Y$2:$Y$19,0),_xlfn.XLOOKUP(I352,Lists!$P$2:$P$19,Lists!$Y$2:$Y$19,0),_xlfn.XLOOKUP(K352,Lists!$P$2:$P$19,Lists!$Y$2:$Y$19,0)))</f>
        <v>0</v>
      </c>
      <c r="W352" s="68">
        <f ca="1">IF($B352="","",SUM(_xlfn.XLOOKUP(C352,Lists!$P$2:$P$19,Lists!$Z$2:$Z$19,0),_xlfn.XLOOKUP(E352,Lists!$P$2:$P$19,Lists!$Z$2:$Z$19,0),_xlfn.XLOOKUP(G352,Lists!$P$2:$P$19,Lists!$Z$2:$Z$19,0),_xlfn.XLOOKUP(I352,Lists!$P$2:$P$19,Lists!$Z$2:$Z$19,0),_xlfn.XLOOKUP(K352,Lists!$P$2:$P$19,Lists!$Z$2:$Z$19,0)))</f>
        <v>0</v>
      </c>
      <c r="X352" s="69">
        <f ca="1">IF($B352="","",SUM(_xlfn.XLOOKUP(C352,Lists!$P$2:$P$19,Lists!$AA$2:$AA$19,0),_xlfn.XLOOKUP(E352,Lists!$P$2:$P$19,Lists!$AA$2:$AA$19,0),_xlfn.XLOOKUP(G352,Lists!$P$2:$P$19,Lists!$AA$2:$AA$19,0),_xlfn.XLOOKUP(I352,Lists!$P$2:$P$19,Lists!$AA$2:$AA$19,0),_xlfn.XLOOKUP(K352,Lists!$P$2:$P$19,Lists!$AA$2:$AA$19,0)))</f>
        <v>0</v>
      </c>
      <c r="Y352" s="4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  <c r="CS352" s="18"/>
      <c r="CT352" s="18"/>
      <c r="CU352" s="18"/>
      <c r="CV352" s="18"/>
      <c r="CW352" s="18"/>
      <c r="CX352" s="18"/>
      <c r="CY352" s="18"/>
      <c r="CZ352" s="18"/>
      <c r="DA352" s="18"/>
      <c r="DB352" s="18"/>
      <c r="DC352" s="18"/>
      <c r="DD352" s="18"/>
      <c r="DE352" s="18"/>
      <c r="DF352" s="18"/>
    </row>
    <row r="353" spans="1:110">
      <c r="A353" s="168">
        <v>2</v>
      </c>
      <c r="B353" s="47" t="str">
        <f ca="1">Lineups!$C$104</f>
        <v>Green Dry Bones</v>
      </c>
      <c r="C353" s="49" t="s">
        <v>189</v>
      </c>
      <c r="D353" s="49"/>
      <c r="E353" s="49" t="s">
        <v>189</v>
      </c>
      <c r="F353" s="49"/>
      <c r="G353" s="49" t="s">
        <v>176</v>
      </c>
      <c r="H353" s="50"/>
      <c r="I353" s="50"/>
      <c r="J353" s="50"/>
      <c r="K353" s="50"/>
      <c r="L353" s="50"/>
      <c r="M353" s="67">
        <f ca="1">IF($B353="","",SUM(_xlfn.XLOOKUP(C353,Lists!$P$2:$P$19,Lists!$R$2:$R$19,0),_xlfn.XLOOKUP(E353,Lists!$P$2:$P$19,Lists!$R$2:$R$19,0),_xlfn.XLOOKUP(G353,Lists!$P$2:$P$19,Lists!$R$2:$R$19,0),_xlfn.XLOOKUP(I353,Lists!$P$2:$P$19,Lists!$R$2:$R$19,0),_xlfn.XLOOKUP(K353,Lists!$P$2:$P$19,Lists!$R$2:$R$19,0)))</f>
        <v>3</v>
      </c>
      <c r="N353" s="68">
        <f ca="1">IF($B353="","",SUM(_xlfn.XLOOKUP(D353,Lists!$AC$2:$AC$9,Lists!$AE$2:$AE$9,0),_xlfn.XLOOKUP(F353,Lists!$AC$2:$AC$9,Lists!$AE$2:$AE$9,0),_xlfn.XLOOKUP(H353,Lists!$AC$2:$AC$9,Lists!$AE$2:$AE$9,0),_xlfn.XLOOKUP(J353,Lists!$AC$2:$AC$9,Lists!$AE$2:$AE$9,0),_xlfn.XLOOKUP(L353,Lists!$AC$2:$AC$9,Lists!$AE$2:$AE$9,0)))</f>
        <v>0</v>
      </c>
      <c r="O353" s="68">
        <f ca="1">IF($B353="","",SUM(_xlfn.XLOOKUP(C353,Lists!$P$2:$P$19,Lists!$S$2:$S$19,0),_xlfn.XLOOKUP(E353,Lists!$P$2:$P$19,Lists!$S$2:$S$19,0),_xlfn.XLOOKUP(G353,Lists!$P$2:$P$19,Lists!$S$2:$S$19,0),_xlfn.XLOOKUP(I353,Lists!$P$2:$P$19,Lists!$S$2:$S$19,0),_xlfn.XLOOKUP(K353,Lists!$P$2:$P$19,Lists!$S$2:$S$19,0)))</f>
        <v>1</v>
      </c>
      <c r="P353" s="68">
        <f ca="1">IF($B353="","",SUM(_xlfn.XLOOKUP(C353,Lists!$P$2:$P$19,Lists!$T$2:$T$19,0),_xlfn.XLOOKUP(E353,Lists!$P$2:$P$19,Lists!$T$2:$T$19,0),_xlfn.XLOOKUP(G353,Lists!$P$2:$P$19,Lists!$T$2:$T$19,0),_xlfn.XLOOKUP(I353,Lists!$P$2:$P$19,Lists!$T$2:$T$19,0),_xlfn.XLOOKUP(K353,Lists!$P$2:$P$19,Lists!$T$2:$T$19,0)))</f>
        <v>1</v>
      </c>
      <c r="Q353" s="68">
        <f ca="1">IF($B353="","",SUM(_xlfn.XLOOKUP(C353,Lists!$P$2:$P$19,Lists!$U$2:$U$19,0),_xlfn.XLOOKUP(E353,Lists!$P$2:$P$19,Lists!$U$2:$U$19,0),_xlfn.XLOOKUP(G353,Lists!$P$2:$P$19,Lists!$U$2:$U$19,0),_xlfn.XLOOKUP(I353,Lists!$P$2:$P$19,Lists!$U$2:$U$19,0),_xlfn.XLOOKUP(K353,Lists!$P$2:$P$19,Lists!$U$2:$U$19,0)))</f>
        <v>0</v>
      </c>
      <c r="R353" s="68">
        <f ca="1">IF($B353="","",SUM(_xlfn.XLOOKUP(C353,Lists!$P$2:$P$19,Lists!$V$2:$V$19,0),_xlfn.XLOOKUP(E353,Lists!$P$2:$P$19,Lists!$V$2:$V$19,0),_xlfn.XLOOKUP(G353,Lists!$P$2:$P$19,Lists!$V$2:$V$19,0),_xlfn.XLOOKUP(I353,Lists!$P$2:$P$19,Lists!$V$2:$V$19,0),_xlfn.XLOOKUP(K353,Lists!$P$2:$P$19,Lists!$V$2:$V$19,0)))</f>
        <v>0</v>
      </c>
      <c r="S353" s="68">
        <f ca="1">IF($B353="","",SUM(_xlfn.XLOOKUP(D353,Lists!$AC$2:$AC$9,Lists!$AD$2:$AD$9,0),_xlfn.XLOOKUP(F353,Lists!$AC$2:$AC$9,Lists!$AD$2:$AD$9,0),_xlfn.XLOOKUP(H353,Lists!$AC$2:$AC$9,Lists!$AD$2:$AD$9,0),_xlfn.XLOOKUP(J353,Lists!$AC$2:$AC$9,Lists!$AD$2:$AD$9,0),_xlfn.XLOOKUP(L353,Lists!$AC$2:$AC$9,Lists!$AD$2:$AD$9,0)))</f>
        <v>0</v>
      </c>
      <c r="T353" s="68">
        <f ca="1">IF($B353="","",SUM(_xlfn.XLOOKUP(C353,Lists!$P$2:$P$19,Lists!$W$2:$W$19,0),_xlfn.XLOOKUP(E353,Lists!$P$2:$P$19,Lists!$W$2:$W$19,0),_xlfn.XLOOKUP(G353,Lists!$P$2:$P$19,Lists!$W$2:$W$19,0),_xlfn.XLOOKUP(I353,Lists!$P$2:$P$19,Lists!$W$2:$W$19,0),_xlfn.XLOOKUP(K353,Lists!$P$2:$P$19,Lists!$W$2:$W$19,0)))</f>
        <v>0</v>
      </c>
      <c r="U353" s="68">
        <f ca="1">IF($B353="","",SUM(_xlfn.XLOOKUP(C353,Lists!$P$2:$P$19,Lists!$X$2:$X$19,0),_xlfn.XLOOKUP(E353,Lists!$P$2:$P$19,Lists!$X$2:$X$19,0),_xlfn.XLOOKUP(G353,Lists!$P$2:$P$19,Lists!$X$2:$X$19,0),_xlfn.XLOOKUP(I353,Lists!$P$2:$P$19,Lists!$X$2:$X$19,0),_xlfn.XLOOKUP(K353,Lists!$P$2:$P$19,Lists!$X$2:$X$19,0)))</f>
        <v>0</v>
      </c>
      <c r="V353" s="68">
        <f ca="1">IF($B353="","",SUM(_xlfn.XLOOKUP(C353,Lists!$P$2:$P$19,Lists!$Y$2:$Y$19,0),_xlfn.XLOOKUP(E353,Lists!$P$2:$P$19,Lists!$Y$2:$Y$19,0),_xlfn.XLOOKUP(G353,Lists!$P$2:$P$19,Lists!$Y$2:$Y$19,0),_xlfn.XLOOKUP(I353,Lists!$P$2:$P$19,Lists!$Y$2:$Y$19,0),_xlfn.XLOOKUP(K353,Lists!$P$2:$P$19,Lists!$Y$2:$Y$19,0)))</f>
        <v>0</v>
      </c>
      <c r="W353" s="68">
        <f ca="1">IF($B353="","",SUM(_xlfn.XLOOKUP(C353,Lists!$P$2:$P$19,Lists!$Z$2:$Z$19,0),_xlfn.XLOOKUP(E353,Lists!$P$2:$P$19,Lists!$Z$2:$Z$19,0),_xlfn.XLOOKUP(G353,Lists!$P$2:$P$19,Lists!$Z$2:$Z$19,0),_xlfn.XLOOKUP(I353,Lists!$P$2:$P$19,Lists!$Z$2:$Z$19,0),_xlfn.XLOOKUP(K353,Lists!$P$2:$P$19,Lists!$Z$2:$Z$19,0)))</f>
        <v>0</v>
      </c>
      <c r="X353" s="69">
        <f ca="1">IF($B353="","",SUM(_xlfn.XLOOKUP(C353,Lists!$P$2:$P$19,Lists!$AA$2:$AA$19,0),_xlfn.XLOOKUP(E353,Lists!$P$2:$P$19,Lists!$AA$2:$AA$19,0),_xlfn.XLOOKUP(G353,Lists!$P$2:$P$19,Lists!$AA$2:$AA$19,0),_xlfn.XLOOKUP(I353,Lists!$P$2:$P$19,Lists!$AA$2:$AA$19,0),_xlfn.XLOOKUP(K353,Lists!$P$2:$P$19,Lists!$AA$2:$AA$19,0)))</f>
        <v>0</v>
      </c>
      <c r="Y353" s="49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P353" s="18"/>
      <c r="CQ353" s="18"/>
      <c r="CR353" s="18"/>
      <c r="CS353" s="18"/>
      <c r="CT353" s="18"/>
      <c r="CU353" s="18"/>
      <c r="CV353" s="18"/>
      <c r="CW353" s="18"/>
      <c r="CX353" s="18"/>
      <c r="CY353" s="18"/>
      <c r="CZ353" s="18"/>
      <c r="DA353" s="18"/>
      <c r="DB353" s="18"/>
      <c r="DC353" s="18"/>
      <c r="DD353" s="18"/>
      <c r="DE353" s="18"/>
      <c r="DF353" s="18"/>
    </row>
    <row r="354" spans="1:110">
      <c r="A354" s="168">
        <v>3</v>
      </c>
      <c r="B354" s="47" t="str">
        <f ca="1">Lineups!$C$105</f>
        <v>Wiggler</v>
      </c>
      <c r="C354" s="49" t="s">
        <v>186</v>
      </c>
      <c r="D354" s="49"/>
      <c r="E354" s="49" t="s">
        <v>189</v>
      </c>
      <c r="F354" s="49"/>
      <c r="G354" s="49" t="s">
        <v>185</v>
      </c>
      <c r="H354" s="50"/>
      <c r="I354" s="50"/>
      <c r="J354" s="50"/>
      <c r="K354" s="50"/>
      <c r="L354" s="50"/>
      <c r="M354" s="67">
        <f ca="1">IF($B354="","",SUM(_xlfn.XLOOKUP(C354,Lists!$P$2:$P$19,Lists!$R$2:$R$19,0),_xlfn.XLOOKUP(E354,Lists!$P$2:$P$19,Lists!$R$2:$R$19,0),_xlfn.XLOOKUP(G354,Lists!$P$2:$P$19,Lists!$R$2:$R$19,0),_xlfn.XLOOKUP(I354,Lists!$P$2:$P$19,Lists!$R$2:$R$19,0),_xlfn.XLOOKUP(K354,Lists!$P$2:$P$19,Lists!$R$2:$R$19,0)))</f>
        <v>3</v>
      </c>
      <c r="N354" s="68">
        <f ca="1">IF($B354="","",SUM(_xlfn.XLOOKUP(D354,Lists!$AC$2:$AC$9,Lists!$AE$2:$AE$9,0),_xlfn.XLOOKUP(F354,Lists!$AC$2:$AC$9,Lists!$AE$2:$AE$9,0),_xlfn.XLOOKUP(H354,Lists!$AC$2:$AC$9,Lists!$AE$2:$AE$9,0),_xlfn.XLOOKUP(J354,Lists!$AC$2:$AC$9,Lists!$AE$2:$AE$9,0),_xlfn.XLOOKUP(L354,Lists!$AC$2:$AC$9,Lists!$AE$2:$AE$9,0)))</f>
        <v>0</v>
      </c>
      <c r="O354" s="68">
        <f ca="1">IF($B354="","",SUM(_xlfn.XLOOKUP(C354,Lists!$P$2:$P$19,Lists!$S$2:$S$19,0),_xlfn.XLOOKUP(E354,Lists!$P$2:$P$19,Lists!$S$2:$S$19,0),_xlfn.XLOOKUP(G354,Lists!$P$2:$P$19,Lists!$S$2:$S$19,0),_xlfn.XLOOKUP(I354,Lists!$P$2:$P$19,Lists!$S$2:$S$19,0),_xlfn.XLOOKUP(K354,Lists!$P$2:$P$19,Lists!$S$2:$S$19,0)))</f>
        <v>0</v>
      </c>
      <c r="P354" s="68">
        <f ca="1">IF($B354="","",SUM(_xlfn.XLOOKUP(C354,Lists!$P$2:$P$19,Lists!$T$2:$T$19,0),_xlfn.XLOOKUP(E354,Lists!$P$2:$P$19,Lists!$T$2:$T$19,0),_xlfn.XLOOKUP(G354,Lists!$P$2:$P$19,Lists!$T$2:$T$19,0),_xlfn.XLOOKUP(I354,Lists!$P$2:$P$19,Lists!$T$2:$T$19,0),_xlfn.XLOOKUP(K354,Lists!$P$2:$P$19,Lists!$T$2:$T$19,0)))</f>
        <v>0</v>
      </c>
      <c r="Q354" s="68">
        <f ca="1">IF($B354="","",SUM(_xlfn.XLOOKUP(C354,Lists!$P$2:$P$19,Lists!$U$2:$U$19,0),_xlfn.XLOOKUP(E354,Lists!$P$2:$P$19,Lists!$U$2:$U$19,0),_xlfn.XLOOKUP(G354,Lists!$P$2:$P$19,Lists!$U$2:$U$19,0),_xlfn.XLOOKUP(I354,Lists!$P$2:$P$19,Lists!$U$2:$U$19,0),_xlfn.XLOOKUP(K354,Lists!$P$2:$P$19,Lists!$U$2:$U$19,0)))</f>
        <v>0</v>
      </c>
      <c r="R354" s="68">
        <f ca="1">IF($B354="","",SUM(_xlfn.XLOOKUP(C354,Lists!$P$2:$P$19,Lists!$V$2:$V$19,0),_xlfn.XLOOKUP(E354,Lists!$P$2:$P$19,Lists!$V$2:$V$19,0),_xlfn.XLOOKUP(G354,Lists!$P$2:$P$19,Lists!$V$2:$V$19,0),_xlfn.XLOOKUP(I354,Lists!$P$2:$P$19,Lists!$V$2:$V$19,0),_xlfn.XLOOKUP(K354,Lists!$P$2:$P$19,Lists!$V$2:$V$19,0)))</f>
        <v>0</v>
      </c>
      <c r="S354" s="68">
        <f ca="1">IF($B354="","",SUM(_xlfn.XLOOKUP(D354,Lists!$AC$2:$AC$9,Lists!$AD$2:$AD$9,0),_xlfn.XLOOKUP(F354,Lists!$AC$2:$AC$9,Lists!$AD$2:$AD$9,0),_xlfn.XLOOKUP(H354,Lists!$AC$2:$AC$9,Lists!$AD$2:$AD$9,0),_xlfn.XLOOKUP(J354,Lists!$AC$2:$AC$9,Lists!$AD$2:$AD$9,0),_xlfn.XLOOKUP(L354,Lists!$AC$2:$AC$9,Lists!$AD$2:$AD$9,0)))</f>
        <v>0</v>
      </c>
      <c r="T354" s="68">
        <f ca="1">IF($B354="","",SUM(_xlfn.XLOOKUP(C354,Lists!$P$2:$P$19,Lists!$W$2:$W$19,0),_xlfn.XLOOKUP(E354,Lists!$P$2:$P$19,Lists!$W$2:$W$19,0),_xlfn.XLOOKUP(G354,Lists!$P$2:$P$19,Lists!$W$2:$W$19,0),_xlfn.XLOOKUP(I354,Lists!$P$2:$P$19,Lists!$W$2:$W$19,0),_xlfn.XLOOKUP(K354,Lists!$P$2:$P$19,Lists!$W$2:$W$19,0)))</f>
        <v>0</v>
      </c>
      <c r="U354" s="68">
        <f ca="1">IF($B354="","",SUM(_xlfn.XLOOKUP(C354,Lists!$P$2:$P$19,Lists!$X$2:$X$19,0),_xlfn.XLOOKUP(E354,Lists!$P$2:$P$19,Lists!$X$2:$X$19,0),_xlfn.XLOOKUP(G354,Lists!$P$2:$P$19,Lists!$X$2:$X$19,0),_xlfn.XLOOKUP(I354,Lists!$P$2:$P$19,Lists!$X$2:$X$19,0),_xlfn.XLOOKUP(K354,Lists!$P$2:$P$19,Lists!$X$2:$X$19,0)))</f>
        <v>1</v>
      </c>
      <c r="V354" s="68">
        <f ca="1">IF($B354="","",SUM(_xlfn.XLOOKUP(C354,Lists!$P$2:$P$19,Lists!$Y$2:$Y$19,0),_xlfn.XLOOKUP(E354,Lists!$P$2:$P$19,Lists!$Y$2:$Y$19,0),_xlfn.XLOOKUP(G354,Lists!$P$2:$P$19,Lists!$Y$2:$Y$19,0),_xlfn.XLOOKUP(I354,Lists!$P$2:$P$19,Lists!$Y$2:$Y$19,0),_xlfn.XLOOKUP(K354,Lists!$P$2:$P$19,Lists!$Y$2:$Y$19,0)))</f>
        <v>0</v>
      </c>
      <c r="W354" s="68">
        <f ca="1">IF($B354="","",SUM(_xlfn.XLOOKUP(C354,Lists!$P$2:$P$19,Lists!$Z$2:$Z$19,0),_xlfn.XLOOKUP(E354,Lists!$P$2:$P$19,Lists!$Z$2:$Z$19,0),_xlfn.XLOOKUP(G354,Lists!$P$2:$P$19,Lists!$Z$2:$Z$19,0),_xlfn.XLOOKUP(I354,Lists!$P$2:$P$19,Lists!$Z$2:$Z$19,0),_xlfn.XLOOKUP(K354,Lists!$P$2:$P$19,Lists!$Z$2:$Z$19,0)))</f>
        <v>0</v>
      </c>
      <c r="X354" s="69">
        <f ca="1">IF($B354="","",SUM(_xlfn.XLOOKUP(C354,Lists!$P$2:$P$19,Lists!$AA$2:$AA$19,0),_xlfn.XLOOKUP(E354,Lists!$P$2:$P$19,Lists!$AA$2:$AA$19,0),_xlfn.XLOOKUP(G354,Lists!$P$2:$P$19,Lists!$AA$2:$AA$19,0),_xlfn.XLOOKUP(I354,Lists!$P$2:$P$19,Lists!$AA$2:$AA$19,0),_xlfn.XLOOKUP(K354,Lists!$P$2:$P$19,Lists!$AA$2:$AA$19,0)))</f>
        <v>0</v>
      </c>
      <c r="Y354" s="49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  <c r="CS354" s="18"/>
      <c r="CT354" s="18"/>
      <c r="CU354" s="18"/>
      <c r="CV354" s="18"/>
      <c r="CW354" s="18"/>
      <c r="CX354" s="18"/>
      <c r="CY354" s="18"/>
      <c r="CZ354" s="18"/>
      <c r="DA354" s="18"/>
      <c r="DB354" s="18"/>
      <c r="DC354" s="18"/>
      <c r="DD354" s="18"/>
      <c r="DE354" s="18"/>
      <c r="DF354" s="18"/>
    </row>
    <row r="355" spans="1:110">
      <c r="A355" s="168">
        <v>4</v>
      </c>
      <c r="B355" s="47" t="str">
        <f ca="1">Lineups!$C$106</f>
        <v>Wario</v>
      </c>
      <c r="C355" s="49" t="s">
        <v>177</v>
      </c>
      <c r="D355" s="49" t="s">
        <v>187</v>
      </c>
      <c r="E355" s="49" t="s">
        <v>176</v>
      </c>
      <c r="F355" s="49" t="s">
        <v>187</v>
      </c>
      <c r="G355" s="49"/>
      <c r="H355" s="50"/>
      <c r="I355" s="50"/>
      <c r="J355" s="50"/>
      <c r="K355" s="50"/>
      <c r="L355" s="50"/>
      <c r="M355" s="67">
        <f ca="1">IF($B355="","",SUM(_xlfn.XLOOKUP(C355,Lists!$P$2:$P$19,Lists!$R$2:$R$19,0),_xlfn.XLOOKUP(E355,Lists!$P$2:$P$19,Lists!$R$2:$R$19,0),_xlfn.XLOOKUP(G355,Lists!$P$2:$P$19,Lists!$R$2:$R$19,0),_xlfn.XLOOKUP(I355,Lists!$P$2:$P$19,Lists!$R$2:$R$19,0),_xlfn.XLOOKUP(K355,Lists!$P$2:$P$19,Lists!$R$2:$R$19,0)))</f>
        <v>2</v>
      </c>
      <c r="N355" s="68">
        <f ca="1">IF($B355="","",SUM(_xlfn.XLOOKUP(D355,Lists!$AC$2:$AC$9,Lists!$AE$2:$AE$9,0),_xlfn.XLOOKUP(F355,Lists!$AC$2:$AC$9,Lists!$AE$2:$AE$9,0),_xlfn.XLOOKUP(H355,Lists!$AC$2:$AC$9,Lists!$AE$2:$AE$9,0),_xlfn.XLOOKUP(J355,Lists!$AC$2:$AC$9,Lists!$AE$2:$AE$9,0),_xlfn.XLOOKUP(L355,Lists!$AC$2:$AC$9,Lists!$AE$2:$AE$9,0)))</f>
        <v>2</v>
      </c>
      <c r="O355" s="68">
        <f ca="1">IF($B355="","",SUM(_xlfn.XLOOKUP(C355,Lists!$P$2:$P$19,Lists!$S$2:$S$19,0),_xlfn.XLOOKUP(E355,Lists!$P$2:$P$19,Lists!$S$2:$S$19,0),_xlfn.XLOOKUP(G355,Lists!$P$2:$P$19,Lists!$S$2:$S$19,0),_xlfn.XLOOKUP(I355,Lists!$P$2:$P$19,Lists!$S$2:$S$19,0),_xlfn.XLOOKUP(K355,Lists!$P$2:$P$19,Lists!$S$2:$S$19,0)))</f>
        <v>2</v>
      </c>
      <c r="P355" s="68">
        <f ca="1">IF($B355="","",SUM(_xlfn.XLOOKUP(C355,Lists!$P$2:$P$19,Lists!$T$2:$T$19,0),_xlfn.XLOOKUP(E355,Lists!$P$2:$P$19,Lists!$T$2:$T$19,0),_xlfn.XLOOKUP(G355,Lists!$P$2:$P$19,Lists!$T$2:$T$19,0),_xlfn.XLOOKUP(I355,Lists!$P$2:$P$19,Lists!$T$2:$T$19,0),_xlfn.XLOOKUP(K355,Lists!$P$2:$P$19,Lists!$T$2:$T$19,0)))</f>
        <v>1</v>
      </c>
      <c r="Q355" s="68">
        <f ca="1">IF($B355="","",SUM(_xlfn.XLOOKUP(C355,Lists!$P$2:$P$19,Lists!$U$2:$U$19,0),_xlfn.XLOOKUP(E355,Lists!$P$2:$P$19,Lists!$U$2:$U$19,0),_xlfn.XLOOKUP(G355,Lists!$P$2:$P$19,Lists!$U$2:$U$19,0),_xlfn.XLOOKUP(I355,Lists!$P$2:$P$19,Lists!$U$2:$U$19,0),_xlfn.XLOOKUP(K355,Lists!$P$2:$P$19,Lists!$U$2:$U$19,0)))</f>
        <v>1</v>
      </c>
      <c r="R355" s="68">
        <f ca="1">IF($B355="","",SUM(_xlfn.XLOOKUP(C355,Lists!$P$2:$P$19,Lists!$V$2:$V$19,0),_xlfn.XLOOKUP(E355,Lists!$P$2:$P$19,Lists!$V$2:$V$19,0),_xlfn.XLOOKUP(G355,Lists!$P$2:$P$19,Lists!$V$2:$V$19,0),_xlfn.XLOOKUP(I355,Lists!$P$2:$P$19,Lists!$V$2:$V$19,0),_xlfn.XLOOKUP(K355,Lists!$P$2:$P$19,Lists!$V$2:$V$19,0)))</f>
        <v>0</v>
      </c>
      <c r="S355" s="68">
        <f ca="1">IF($B355="","",SUM(_xlfn.XLOOKUP(D355,Lists!$AC$2:$AC$9,Lists!$AD$2:$AD$9,0),_xlfn.XLOOKUP(F355,Lists!$AC$2:$AC$9,Lists!$AD$2:$AD$9,0),_xlfn.XLOOKUP(H355,Lists!$AC$2:$AC$9,Lists!$AD$2:$AD$9,0),_xlfn.XLOOKUP(J355,Lists!$AC$2:$AC$9,Lists!$AD$2:$AD$9,0),_xlfn.XLOOKUP(L355,Lists!$AC$2:$AC$9,Lists!$AD$2:$AD$9,0)))</f>
        <v>0</v>
      </c>
      <c r="T355" s="68">
        <f ca="1">IF($B355="","",SUM(_xlfn.XLOOKUP(C355,Lists!$P$2:$P$19,Lists!$W$2:$W$19,0),_xlfn.XLOOKUP(E355,Lists!$P$2:$P$19,Lists!$W$2:$W$19,0),_xlfn.XLOOKUP(G355,Lists!$P$2:$P$19,Lists!$W$2:$W$19,0),_xlfn.XLOOKUP(I355,Lists!$P$2:$P$19,Lists!$W$2:$W$19,0),_xlfn.XLOOKUP(K355,Lists!$P$2:$P$19,Lists!$W$2:$W$19,0)))</f>
        <v>0</v>
      </c>
      <c r="U355" s="68">
        <f ca="1">IF($B355="","",SUM(_xlfn.XLOOKUP(C355,Lists!$P$2:$P$19,Lists!$X$2:$X$19,0),_xlfn.XLOOKUP(E355,Lists!$P$2:$P$19,Lists!$X$2:$X$19,0),_xlfn.XLOOKUP(G355,Lists!$P$2:$P$19,Lists!$X$2:$X$19,0),_xlfn.XLOOKUP(I355,Lists!$P$2:$P$19,Lists!$X$2:$X$19,0),_xlfn.XLOOKUP(K355,Lists!$P$2:$P$19,Lists!$X$2:$X$19,0)))</f>
        <v>0</v>
      </c>
      <c r="V355" s="68">
        <f ca="1">IF($B355="","",SUM(_xlfn.XLOOKUP(C355,Lists!$P$2:$P$19,Lists!$Y$2:$Y$19,0),_xlfn.XLOOKUP(E355,Lists!$P$2:$P$19,Lists!$Y$2:$Y$19,0),_xlfn.XLOOKUP(G355,Lists!$P$2:$P$19,Lists!$Y$2:$Y$19,0),_xlfn.XLOOKUP(I355,Lists!$P$2:$P$19,Lists!$Y$2:$Y$19,0),_xlfn.XLOOKUP(K355,Lists!$P$2:$P$19,Lists!$Y$2:$Y$19,0)))</f>
        <v>0</v>
      </c>
      <c r="W355" s="68">
        <f ca="1">IF($B355="","",SUM(_xlfn.XLOOKUP(C355,Lists!$P$2:$P$19,Lists!$Z$2:$Z$19,0),_xlfn.XLOOKUP(E355,Lists!$P$2:$P$19,Lists!$Z$2:$Z$19,0),_xlfn.XLOOKUP(G355,Lists!$P$2:$P$19,Lists!$Z$2:$Z$19,0),_xlfn.XLOOKUP(I355,Lists!$P$2:$P$19,Lists!$Z$2:$Z$19,0),_xlfn.XLOOKUP(K355,Lists!$P$2:$P$19,Lists!$Z$2:$Z$19,0)))</f>
        <v>0</v>
      </c>
      <c r="X355" s="69">
        <f ca="1">IF($B355="","",SUM(_xlfn.XLOOKUP(C355,Lists!$P$2:$P$19,Lists!$AA$2:$AA$19,0),_xlfn.XLOOKUP(E355,Lists!$P$2:$P$19,Lists!$AA$2:$AA$19,0),_xlfn.XLOOKUP(G355,Lists!$P$2:$P$19,Lists!$AA$2:$AA$19,0),_xlfn.XLOOKUP(I355,Lists!$P$2:$P$19,Lists!$AA$2:$AA$19,0),_xlfn.XLOOKUP(K355,Lists!$P$2:$P$19,Lists!$AA$2:$AA$19,0)))</f>
        <v>0</v>
      </c>
      <c r="Y355" s="49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P355" s="18"/>
      <c r="CQ355" s="18"/>
      <c r="CR355" s="18"/>
      <c r="CS355" s="18"/>
      <c r="CT355" s="18"/>
      <c r="CU355" s="18"/>
      <c r="CV355" s="18"/>
      <c r="CW355" s="18"/>
      <c r="CX355" s="18"/>
      <c r="CY355" s="18"/>
      <c r="CZ355" s="18"/>
      <c r="DA355" s="18"/>
      <c r="DB355" s="18"/>
      <c r="DC355" s="18"/>
      <c r="DD355" s="18"/>
      <c r="DE355" s="18"/>
      <c r="DF355" s="18"/>
    </row>
    <row r="356" spans="1:110">
      <c r="A356" s="168">
        <v>5</v>
      </c>
      <c r="B356" s="47" t="str">
        <f ca="1">Lineups!$C$107</f>
        <v>Toadette</v>
      </c>
      <c r="C356" s="49" t="s">
        <v>189</v>
      </c>
      <c r="D356" s="49"/>
      <c r="E356" s="49" t="s">
        <v>188</v>
      </c>
      <c r="F356" s="49" t="s">
        <v>187</v>
      </c>
      <c r="G356" s="49"/>
      <c r="H356" s="50"/>
      <c r="I356" s="50"/>
      <c r="J356" s="50"/>
      <c r="K356" s="50"/>
      <c r="L356" s="50"/>
      <c r="M356" s="67">
        <f ca="1">IF($B356="","",SUM(_xlfn.XLOOKUP(C356,Lists!$P$2:$P$19,Lists!$R$2:$R$19,0),_xlfn.XLOOKUP(E356,Lists!$P$2:$P$19,Lists!$R$2:$R$19,0),_xlfn.XLOOKUP(G356,Lists!$P$2:$P$19,Lists!$R$2:$R$19,0),_xlfn.XLOOKUP(I356,Lists!$P$2:$P$19,Lists!$R$2:$R$19,0),_xlfn.XLOOKUP(K356,Lists!$P$2:$P$19,Lists!$R$2:$R$19,0)))</f>
        <v>2</v>
      </c>
      <c r="N356" s="68">
        <f ca="1">IF($B356="","",SUM(_xlfn.XLOOKUP(D356,Lists!$AC$2:$AC$9,Lists!$AE$2:$AE$9,0),_xlfn.XLOOKUP(F356,Lists!$AC$2:$AC$9,Lists!$AE$2:$AE$9,0),_xlfn.XLOOKUP(H356,Lists!$AC$2:$AC$9,Lists!$AE$2:$AE$9,0),_xlfn.XLOOKUP(J356,Lists!$AC$2:$AC$9,Lists!$AE$2:$AE$9,0),_xlfn.XLOOKUP(L356,Lists!$AC$2:$AC$9,Lists!$AE$2:$AE$9,0)))</f>
        <v>1</v>
      </c>
      <c r="O356" s="68">
        <f ca="1">IF($B356="","",SUM(_xlfn.XLOOKUP(C356,Lists!$P$2:$P$19,Lists!$S$2:$S$19,0),_xlfn.XLOOKUP(E356,Lists!$P$2:$P$19,Lists!$S$2:$S$19,0),_xlfn.XLOOKUP(G356,Lists!$P$2:$P$19,Lists!$S$2:$S$19,0),_xlfn.XLOOKUP(I356,Lists!$P$2:$P$19,Lists!$S$2:$S$19,0),_xlfn.XLOOKUP(K356,Lists!$P$2:$P$19,Lists!$S$2:$S$19,0)))</f>
        <v>1</v>
      </c>
      <c r="P356" s="68">
        <f ca="1">IF($B356="","",SUM(_xlfn.XLOOKUP(C356,Lists!$P$2:$P$19,Lists!$T$2:$T$19,0),_xlfn.XLOOKUP(E356,Lists!$P$2:$P$19,Lists!$T$2:$T$19,0),_xlfn.XLOOKUP(G356,Lists!$P$2:$P$19,Lists!$T$2:$T$19,0),_xlfn.XLOOKUP(I356,Lists!$P$2:$P$19,Lists!$T$2:$T$19,0),_xlfn.XLOOKUP(K356,Lists!$P$2:$P$19,Lists!$T$2:$T$19,0)))</f>
        <v>0</v>
      </c>
      <c r="Q356" s="68">
        <f ca="1">IF($B356="","",SUM(_xlfn.XLOOKUP(C356,Lists!$P$2:$P$19,Lists!$U$2:$U$19,0),_xlfn.XLOOKUP(E356,Lists!$P$2:$P$19,Lists!$U$2:$U$19,0),_xlfn.XLOOKUP(G356,Lists!$P$2:$P$19,Lists!$U$2:$U$19,0),_xlfn.XLOOKUP(I356,Lists!$P$2:$P$19,Lists!$U$2:$U$19,0),_xlfn.XLOOKUP(K356,Lists!$P$2:$P$19,Lists!$U$2:$U$19,0)))</f>
        <v>0</v>
      </c>
      <c r="R356" s="68">
        <f ca="1">IF($B356="","",SUM(_xlfn.XLOOKUP(C356,Lists!$P$2:$P$19,Lists!$V$2:$V$19,0),_xlfn.XLOOKUP(E356,Lists!$P$2:$P$19,Lists!$V$2:$V$19,0),_xlfn.XLOOKUP(G356,Lists!$P$2:$P$19,Lists!$V$2:$V$19,0),_xlfn.XLOOKUP(I356,Lists!$P$2:$P$19,Lists!$V$2:$V$19,0),_xlfn.XLOOKUP(K356,Lists!$P$2:$P$19,Lists!$V$2:$V$19,0)))</f>
        <v>0</v>
      </c>
      <c r="S356" s="68">
        <f ca="1">IF($B356="","",SUM(_xlfn.XLOOKUP(D356,Lists!$AC$2:$AC$9,Lists!$AD$2:$AD$9,0),_xlfn.XLOOKUP(F356,Lists!$AC$2:$AC$9,Lists!$AD$2:$AD$9,0),_xlfn.XLOOKUP(H356,Lists!$AC$2:$AC$9,Lists!$AD$2:$AD$9,0),_xlfn.XLOOKUP(J356,Lists!$AC$2:$AC$9,Lists!$AD$2:$AD$9,0),_xlfn.XLOOKUP(L356,Lists!$AC$2:$AC$9,Lists!$AD$2:$AD$9,0)))</f>
        <v>0</v>
      </c>
      <c r="T356" s="68">
        <f ca="1">IF($B356="","",SUM(_xlfn.XLOOKUP(C356,Lists!$P$2:$P$19,Lists!$W$2:$W$19,0),_xlfn.XLOOKUP(E356,Lists!$P$2:$P$19,Lists!$W$2:$W$19,0),_xlfn.XLOOKUP(G356,Lists!$P$2:$P$19,Lists!$W$2:$W$19,0),_xlfn.XLOOKUP(I356,Lists!$P$2:$P$19,Lists!$W$2:$W$19,0),_xlfn.XLOOKUP(K356,Lists!$P$2:$P$19,Lists!$W$2:$W$19,0)))</f>
        <v>0</v>
      </c>
      <c r="U356" s="68">
        <f ca="1">IF($B356="","",SUM(_xlfn.XLOOKUP(C356,Lists!$P$2:$P$19,Lists!$X$2:$X$19,0),_xlfn.XLOOKUP(E356,Lists!$P$2:$P$19,Lists!$X$2:$X$19,0),_xlfn.XLOOKUP(G356,Lists!$P$2:$P$19,Lists!$X$2:$X$19,0),_xlfn.XLOOKUP(I356,Lists!$P$2:$P$19,Lists!$X$2:$X$19,0),_xlfn.XLOOKUP(K356,Lists!$P$2:$P$19,Lists!$X$2:$X$19,0)))</f>
        <v>0</v>
      </c>
      <c r="V356" s="68">
        <f ca="1">IF($B356="","",SUM(_xlfn.XLOOKUP(C356,Lists!$P$2:$P$19,Lists!$Y$2:$Y$19,0),_xlfn.XLOOKUP(E356,Lists!$P$2:$P$19,Lists!$Y$2:$Y$19,0),_xlfn.XLOOKUP(G356,Lists!$P$2:$P$19,Lists!$Y$2:$Y$19,0),_xlfn.XLOOKUP(I356,Lists!$P$2:$P$19,Lists!$Y$2:$Y$19,0),_xlfn.XLOOKUP(K356,Lists!$P$2:$P$19,Lists!$Y$2:$Y$19,0)))</f>
        <v>0</v>
      </c>
      <c r="W356" s="68">
        <f ca="1">IF($B356="","",SUM(_xlfn.XLOOKUP(C356,Lists!$P$2:$P$19,Lists!$Z$2:$Z$19,0),_xlfn.XLOOKUP(E356,Lists!$P$2:$P$19,Lists!$Z$2:$Z$19,0),_xlfn.XLOOKUP(G356,Lists!$P$2:$P$19,Lists!$Z$2:$Z$19,0),_xlfn.XLOOKUP(I356,Lists!$P$2:$P$19,Lists!$Z$2:$Z$19,0),_xlfn.XLOOKUP(K356,Lists!$P$2:$P$19,Lists!$Z$2:$Z$19,0)))</f>
        <v>0</v>
      </c>
      <c r="X356" s="69">
        <f ca="1">IF($B356="","",SUM(_xlfn.XLOOKUP(C356,Lists!$P$2:$P$19,Lists!$AA$2:$AA$19,0),_xlfn.XLOOKUP(E356,Lists!$P$2:$P$19,Lists!$AA$2:$AA$19,0),_xlfn.XLOOKUP(G356,Lists!$P$2:$P$19,Lists!$AA$2:$AA$19,0),_xlfn.XLOOKUP(I356,Lists!$P$2:$P$19,Lists!$AA$2:$AA$19,0),_xlfn.XLOOKUP(K356,Lists!$P$2:$P$19,Lists!$AA$2:$AA$19,0)))</f>
        <v>0</v>
      </c>
      <c r="Y356" s="49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  <c r="CS356" s="18"/>
      <c r="CT356" s="18"/>
      <c r="CU356" s="18"/>
      <c r="CV356" s="18"/>
      <c r="CW356" s="18"/>
      <c r="CX356" s="18"/>
      <c r="CY356" s="18"/>
      <c r="CZ356" s="18"/>
      <c r="DA356" s="18"/>
      <c r="DB356" s="18"/>
      <c r="DC356" s="18"/>
      <c r="DD356" s="18"/>
      <c r="DE356" s="18"/>
      <c r="DF356" s="18"/>
    </row>
    <row r="357" spans="1:110">
      <c r="A357" s="168">
        <v>6</v>
      </c>
      <c r="B357" s="47" t="str">
        <f ca="1">Lineups!$C$108</f>
        <v>Mii</v>
      </c>
      <c r="C357" s="49" t="s">
        <v>188</v>
      </c>
      <c r="D357" s="49" t="s">
        <v>190</v>
      </c>
      <c r="E357" s="49" t="s">
        <v>185</v>
      </c>
      <c r="F357" s="49"/>
      <c r="G357" s="49"/>
      <c r="H357" s="50"/>
      <c r="I357" s="50"/>
      <c r="J357" s="50"/>
      <c r="K357" s="50"/>
      <c r="L357" s="50"/>
      <c r="M357" s="67">
        <f ca="1">IF($B357="","",SUM(_xlfn.XLOOKUP(C357,Lists!$P$2:$P$19,Lists!$R$2:$R$19,0),_xlfn.XLOOKUP(E357,Lists!$P$2:$P$19,Lists!$R$2:$R$19,0),_xlfn.XLOOKUP(G357,Lists!$P$2:$P$19,Lists!$R$2:$R$19,0),_xlfn.XLOOKUP(I357,Lists!$P$2:$P$19,Lists!$R$2:$R$19,0),_xlfn.XLOOKUP(K357,Lists!$P$2:$P$19,Lists!$R$2:$R$19,0)))</f>
        <v>2</v>
      </c>
      <c r="N357" s="68">
        <f ca="1">IF($B357="","",SUM(_xlfn.XLOOKUP(D357,Lists!$AC$2:$AC$9,Lists!$AE$2:$AE$9,0),_xlfn.XLOOKUP(F357,Lists!$AC$2:$AC$9,Lists!$AE$2:$AE$9,0),_xlfn.XLOOKUP(H357,Lists!$AC$2:$AC$9,Lists!$AE$2:$AE$9,0),_xlfn.XLOOKUP(J357,Lists!$AC$2:$AC$9,Lists!$AE$2:$AE$9,0),_xlfn.XLOOKUP(L357,Lists!$AC$2:$AC$9,Lists!$AE$2:$AE$9,0)))</f>
        <v>1</v>
      </c>
      <c r="O357" s="68">
        <f ca="1">IF($B357="","",SUM(_xlfn.XLOOKUP(C357,Lists!$P$2:$P$19,Lists!$S$2:$S$19,0),_xlfn.XLOOKUP(E357,Lists!$P$2:$P$19,Lists!$S$2:$S$19,0),_xlfn.XLOOKUP(G357,Lists!$P$2:$P$19,Lists!$S$2:$S$19,0),_xlfn.XLOOKUP(I357,Lists!$P$2:$P$19,Lists!$S$2:$S$19,0),_xlfn.XLOOKUP(K357,Lists!$P$2:$P$19,Lists!$S$2:$S$19,0)))</f>
        <v>1</v>
      </c>
      <c r="P357" s="68">
        <f ca="1">IF($B357="","",SUM(_xlfn.XLOOKUP(C357,Lists!$P$2:$P$19,Lists!$T$2:$T$19,0),_xlfn.XLOOKUP(E357,Lists!$P$2:$P$19,Lists!$T$2:$T$19,0),_xlfn.XLOOKUP(G357,Lists!$P$2:$P$19,Lists!$T$2:$T$19,0),_xlfn.XLOOKUP(I357,Lists!$P$2:$P$19,Lists!$T$2:$T$19,0),_xlfn.XLOOKUP(K357,Lists!$P$2:$P$19,Lists!$T$2:$T$19,0)))</f>
        <v>0</v>
      </c>
      <c r="Q357" s="68">
        <f ca="1">IF($B357="","",SUM(_xlfn.XLOOKUP(C357,Lists!$P$2:$P$19,Lists!$U$2:$U$19,0),_xlfn.XLOOKUP(E357,Lists!$P$2:$P$19,Lists!$U$2:$U$19,0),_xlfn.XLOOKUP(G357,Lists!$P$2:$P$19,Lists!$U$2:$U$19,0),_xlfn.XLOOKUP(I357,Lists!$P$2:$P$19,Lists!$U$2:$U$19,0),_xlfn.XLOOKUP(K357,Lists!$P$2:$P$19,Lists!$U$2:$U$19,0)))</f>
        <v>0</v>
      </c>
      <c r="R357" s="68">
        <f ca="1">IF($B357="","",SUM(_xlfn.XLOOKUP(C357,Lists!$P$2:$P$19,Lists!$V$2:$V$19,0),_xlfn.XLOOKUP(E357,Lists!$P$2:$P$19,Lists!$V$2:$V$19,0),_xlfn.XLOOKUP(G357,Lists!$P$2:$P$19,Lists!$V$2:$V$19,0),_xlfn.XLOOKUP(I357,Lists!$P$2:$P$19,Lists!$V$2:$V$19,0),_xlfn.XLOOKUP(K357,Lists!$P$2:$P$19,Lists!$V$2:$V$19,0)))</f>
        <v>0</v>
      </c>
      <c r="S357" s="68">
        <f ca="1">IF($B357="","",SUM(_xlfn.XLOOKUP(D357,Lists!$AC$2:$AC$9,Lists!$AD$2:$AD$9,0),_xlfn.XLOOKUP(F357,Lists!$AC$2:$AC$9,Lists!$AD$2:$AD$9,0),_xlfn.XLOOKUP(H357,Lists!$AC$2:$AC$9,Lists!$AD$2:$AD$9,0),_xlfn.XLOOKUP(J357,Lists!$AC$2:$AC$9,Lists!$AD$2:$AD$9,0),_xlfn.XLOOKUP(L357,Lists!$AC$2:$AC$9,Lists!$AD$2:$AD$9,0)))</f>
        <v>1</v>
      </c>
      <c r="T357" s="68">
        <f ca="1">IF($B357="","",SUM(_xlfn.XLOOKUP(C357,Lists!$P$2:$P$19,Lists!$W$2:$W$19,0),_xlfn.XLOOKUP(E357,Lists!$P$2:$P$19,Lists!$W$2:$W$19,0),_xlfn.XLOOKUP(G357,Lists!$P$2:$P$19,Lists!$W$2:$W$19,0),_xlfn.XLOOKUP(I357,Lists!$P$2:$P$19,Lists!$W$2:$W$19,0),_xlfn.XLOOKUP(K357,Lists!$P$2:$P$19,Lists!$W$2:$W$19,0)))</f>
        <v>0</v>
      </c>
      <c r="U357" s="68">
        <f ca="1">IF($B357="","",SUM(_xlfn.XLOOKUP(C357,Lists!$P$2:$P$19,Lists!$X$2:$X$19,0),_xlfn.XLOOKUP(E357,Lists!$P$2:$P$19,Lists!$X$2:$X$19,0),_xlfn.XLOOKUP(G357,Lists!$P$2:$P$19,Lists!$X$2:$X$19,0),_xlfn.XLOOKUP(I357,Lists!$P$2:$P$19,Lists!$X$2:$X$19,0),_xlfn.XLOOKUP(K357,Lists!$P$2:$P$19,Lists!$X$2:$X$19,0)))</f>
        <v>1</v>
      </c>
      <c r="V357" s="68">
        <f ca="1">IF($B357="","",SUM(_xlfn.XLOOKUP(C357,Lists!$P$2:$P$19,Lists!$Y$2:$Y$19,0),_xlfn.XLOOKUP(E357,Lists!$P$2:$P$19,Lists!$Y$2:$Y$19,0),_xlfn.XLOOKUP(G357,Lists!$P$2:$P$19,Lists!$Y$2:$Y$19,0),_xlfn.XLOOKUP(I357,Lists!$P$2:$P$19,Lists!$Y$2:$Y$19,0),_xlfn.XLOOKUP(K357,Lists!$P$2:$P$19,Lists!$Y$2:$Y$19,0)))</f>
        <v>0</v>
      </c>
      <c r="W357" s="68">
        <f ca="1">IF($B357="","",SUM(_xlfn.XLOOKUP(C357,Lists!$P$2:$P$19,Lists!$Z$2:$Z$19,0),_xlfn.XLOOKUP(E357,Lists!$P$2:$P$19,Lists!$Z$2:$Z$19,0),_xlfn.XLOOKUP(G357,Lists!$P$2:$P$19,Lists!$Z$2:$Z$19,0),_xlfn.XLOOKUP(I357,Lists!$P$2:$P$19,Lists!$Z$2:$Z$19,0),_xlfn.XLOOKUP(K357,Lists!$P$2:$P$19,Lists!$Z$2:$Z$19,0)))</f>
        <v>0</v>
      </c>
      <c r="X357" s="69">
        <f ca="1">IF($B357="","",SUM(_xlfn.XLOOKUP(C357,Lists!$P$2:$P$19,Lists!$AA$2:$AA$19,0),_xlfn.XLOOKUP(E357,Lists!$P$2:$P$19,Lists!$AA$2:$AA$19,0),_xlfn.XLOOKUP(G357,Lists!$P$2:$P$19,Lists!$AA$2:$AA$19,0),_xlfn.XLOOKUP(I357,Lists!$P$2:$P$19,Lists!$AA$2:$AA$19,0),_xlfn.XLOOKUP(K357,Lists!$P$2:$P$19,Lists!$AA$2:$AA$19,0)))</f>
        <v>0</v>
      </c>
      <c r="Y357" s="49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  <c r="CO357" s="18"/>
      <c r="CP357" s="18"/>
      <c r="CQ357" s="18"/>
      <c r="CR357" s="18"/>
      <c r="CS357" s="18"/>
      <c r="CT357" s="18"/>
      <c r="CU357" s="18"/>
      <c r="CV357" s="18"/>
      <c r="CW357" s="18"/>
      <c r="CX357" s="18"/>
      <c r="CY357" s="18"/>
      <c r="CZ357" s="18"/>
      <c r="DA357" s="18"/>
      <c r="DB357" s="18"/>
      <c r="DC357" s="18"/>
      <c r="DD357" s="18"/>
      <c r="DE357" s="18"/>
      <c r="DF357" s="18"/>
    </row>
    <row r="358" spans="1:110">
      <c r="A358" s="168">
        <v>7</v>
      </c>
      <c r="B358" s="47" t="str">
        <f ca="1">Lineups!$C$109</f>
        <v>Boomerang Bro</v>
      </c>
      <c r="C358" s="49" t="s">
        <v>188</v>
      </c>
      <c r="D358" s="49"/>
      <c r="E358" s="49" t="s">
        <v>182</v>
      </c>
      <c r="F358" s="49" t="s">
        <v>187</v>
      </c>
      <c r="G358" s="49"/>
      <c r="H358" s="50"/>
      <c r="I358" s="50"/>
      <c r="J358" s="50"/>
      <c r="K358" s="50"/>
      <c r="L358" s="50"/>
      <c r="M358" s="67">
        <f ca="1">IF($B358="","",SUM(_xlfn.XLOOKUP(C358,Lists!$P$2:$P$19,Lists!$R$2:$R$19,0),_xlfn.XLOOKUP(E358,Lists!$P$2:$P$19,Lists!$R$2:$R$19,0),_xlfn.XLOOKUP(G358,Lists!$P$2:$P$19,Lists!$R$2:$R$19,0),_xlfn.XLOOKUP(I358,Lists!$P$2:$P$19,Lists!$R$2:$R$19,0),_xlfn.XLOOKUP(K358,Lists!$P$2:$P$19,Lists!$R$2:$R$19,0)))</f>
        <v>1</v>
      </c>
      <c r="N358" s="68">
        <f ca="1">IF($B358="","",SUM(_xlfn.XLOOKUP(D358,Lists!$AC$2:$AC$9,Lists!$AE$2:$AE$9,0),_xlfn.XLOOKUP(F358,Lists!$AC$2:$AC$9,Lists!$AE$2:$AE$9,0),_xlfn.XLOOKUP(H358,Lists!$AC$2:$AC$9,Lists!$AE$2:$AE$9,0),_xlfn.XLOOKUP(J358,Lists!$AC$2:$AC$9,Lists!$AE$2:$AE$9,0),_xlfn.XLOOKUP(L358,Lists!$AC$2:$AC$9,Lists!$AE$2:$AE$9,0)))</f>
        <v>1</v>
      </c>
      <c r="O358" s="68">
        <f ca="1">IF($B358="","",SUM(_xlfn.XLOOKUP(C358,Lists!$P$2:$P$19,Lists!$S$2:$S$19,0),_xlfn.XLOOKUP(E358,Lists!$P$2:$P$19,Lists!$S$2:$S$19,0),_xlfn.XLOOKUP(G358,Lists!$P$2:$P$19,Lists!$S$2:$S$19,0),_xlfn.XLOOKUP(I358,Lists!$P$2:$P$19,Lists!$S$2:$S$19,0),_xlfn.XLOOKUP(K358,Lists!$P$2:$P$19,Lists!$S$2:$S$19,0)))</f>
        <v>1</v>
      </c>
      <c r="P358" s="68">
        <f ca="1">IF($B358="","",SUM(_xlfn.XLOOKUP(C358,Lists!$P$2:$P$19,Lists!$T$2:$T$19,0),_xlfn.XLOOKUP(E358,Lists!$P$2:$P$19,Lists!$T$2:$T$19,0),_xlfn.XLOOKUP(G358,Lists!$P$2:$P$19,Lists!$T$2:$T$19,0),_xlfn.XLOOKUP(I358,Lists!$P$2:$P$19,Lists!$T$2:$T$19,0),_xlfn.XLOOKUP(K358,Lists!$P$2:$P$19,Lists!$T$2:$T$19,0)))</f>
        <v>0</v>
      </c>
      <c r="Q358" s="68">
        <f ca="1">IF($B358="","",SUM(_xlfn.XLOOKUP(C358,Lists!$P$2:$P$19,Lists!$U$2:$U$19,0),_xlfn.XLOOKUP(E358,Lists!$P$2:$P$19,Lists!$U$2:$U$19,0),_xlfn.XLOOKUP(G358,Lists!$P$2:$P$19,Lists!$U$2:$U$19,0),_xlfn.XLOOKUP(I358,Lists!$P$2:$P$19,Lists!$U$2:$U$19,0),_xlfn.XLOOKUP(K358,Lists!$P$2:$P$19,Lists!$U$2:$U$19,0)))</f>
        <v>0</v>
      </c>
      <c r="R358" s="68">
        <f ca="1">IF($B358="","",SUM(_xlfn.XLOOKUP(C358,Lists!$P$2:$P$19,Lists!$V$2:$V$19,0),_xlfn.XLOOKUP(E358,Lists!$P$2:$P$19,Lists!$V$2:$V$19,0),_xlfn.XLOOKUP(G358,Lists!$P$2:$P$19,Lists!$V$2:$V$19,0),_xlfn.XLOOKUP(I358,Lists!$P$2:$P$19,Lists!$V$2:$V$19,0),_xlfn.XLOOKUP(K358,Lists!$P$2:$P$19,Lists!$V$2:$V$19,0)))</f>
        <v>0</v>
      </c>
      <c r="S358" s="68">
        <f ca="1">IF($B358="","",SUM(_xlfn.XLOOKUP(D358,Lists!$AC$2:$AC$9,Lists!$AD$2:$AD$9,0),_xlfn.XLOOKUP(F358,Lists!$AC$2:$AC$9,Lists!$AD$2:$AD$9,0),_xlfn.XLOOKUP(H358,Lists!$AC$2:$AC$9,Lists!$AD$2:$AD$9,0),_xlfn.XLOOKUP(J358,Lists!$AC$2:$AC$9,Lists!$AD$2:$AD$9,0),_xlfn.XLOOKUP(L358,Lists!$AC$2:$AC$9,Lists!$AD$2:$AD$9,0)))</f>
        <v>0</v>
      </c>
      <c r="T358" s="68">
        <f ca="1">IF($B358="","",SUM(_xlfn.XLOOKUP(C358,Lists!$P$2:$P$19,Lists!$W$2:$W$19,0),_xlfn.XLOOKUP(E358,Lists!$P$2:$P$19,Lists!$W$2:$W$19,0),_xlfn.XLOOKUP(G358,Lists!$P$2:$P$19,Lists!$W$2:$W$19,0),_xlfn.XLOOKUP(I358,Lists!$P$2:$P$19,Lists!$W$2:$W$19,0),_xlfn.XLOOKUP(K358,Lists!$P$2:$P$19,Lists!$W$2:$W$19,0)))</f>
        <v>0</v>
      </c>
      <c r="U358" s="68">
        <f ca="1">IF($B358="","",SUM(_xlfn.XLOOKUP(C358,Lists!$P$2:$P$19,Lists!$X$2:$X$19,0),_xlfn.XLOOKUP(E358,Lists!$P$2:$P$19,Lists!$X$2:$X$19,0),_xlfn.XLOOKUP(G358,Lists!$P$2:$P$19,Lists!$X$2:$X$19,0),_xlfn.XLOOKUP(I358,Lists!$P$2:$P$19,Lists!$X$2:$X$19,0),_xlfn.XLOOKUP(K358,Lists!$P$2:$P$19,Lists!$X$2:$X$19,0)))</f>
        <v>0</v>
      </c>
      <c r="V358" s="68">
        <f ca="1">IF($B358="","",SUM(_xlfn.XLOOKUP(C358,Lists!$P$2:$P$19,Lists!$Y$2:$Y$19,0),_xlfn.XLOOKUP(E358,Lists!$P$2:$P$19,Lists!$Y$2:$Y$19,0),_xlfn.XLOOKUP(G358,Lists!$P$2:$P$19,Lists!$Y$2:$Y$19,0),_xlfn.XLOOKUP(I358,Lists!$P$2:$P$19,Lists!$Y$2:$Y$19,0),_xlfn.XLOOKUP(K358,Lists!$P$2:$P$19,Lists!$Y$2:$Y$19,0)))</f>
        <v>1</v>
      </c>
      <c r="W358" s="68">
        <f ca="1">IF($B358="","",SUM(_xlfn.XLOOKUP(C358,Lists!$P$2:$P$19,Lists!$Z$2:$Z$19,0),_xlfn.XLOOKUP(E358,Lists!$P$2:$P$19,Lists!$Z$2:$Z$19,0),_xlfn.XLOOKUP(G358,Lists!$P$2:$P$19,Lists!$Z$2:$Z$19,0),_xlfn.XLOOKUP(I358,Lists!$P$2:$P$19,Lists!$Z$2:$Z$19,0),_xlfn.XLOOKUP(K358,Lists!$P$2:$P$19,Lists!$Z$2:$Z$19,0)))</f>
        <v>0</v>
      </c>
      <c r="X358" s="69">
        <f ca="1">IF($B358="","",SUM(_xlfn.XLOOKUP(C358,Lists!$P$2:$P$19,Lists!$AA$2:$AA$19,0),_xlfn.XLOOKUP(E358,Lists!$P$2:$P$19,Lists!$AA$2:$AA$19,0),_xlfn.XLOOKUP(G358,Lists!$P$2:$P$19,Lists!$AA$2:$AA$19,0),_xlfn.XLOOKUP(I358,Lists!$P$2:$P$19,Lists!$AA$2:$AA$19,0),_xlfn.XLOOKUP(K358,Lists!$P$2:$P$19,Lists!$AA$2:$AA$19,0)))</f>
        <v>0</v>
      </c>
      <c r="Y358" s="49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P358" s="18"/>
      <c r="CQ358" s="18"/>
      <c r="CR358" s="18"/>
      <c r="CS358" s="18"/>
      <c r="CT358" s="18"/>
      <c r="CU358" s="18"/>
      <c r="CV358" s="18"/>
      <c r="CW358" s="18"/>
      <c r="CX358" s="18"/>
      <c r="CY358" s="18"/>
      <c r="CZ358" s="18"/>
      <c r="DA358" s="18"/>
      <c r="DB358" s="18"/>
      <c r="DC358" s="18"/>
      <c r="DD358" s="18"/>
      <c r="DE358" s="18"/>
      <c r="DF358" s="18"/>
    </row>
    <row r="359" spans="1:110">
      <c r="A359" s="168">
        <v>8</v>
      </c>
      <c r="B359" s="47" t="str">
        <f ca="1">Lineups!$C$110</f>
        <v>Daisy</v>
      </c>
      <c r="C359" s="49" t="s">
        <v>188</v>
      </c>
      <c r="D359" s="49" t="s">
        <v>191</v>
      </c>
      <c r="E359" s="49" t="s">
        <v>176</v>
      </c>
      <c r="F359" s="49" t="s">
        <v>204</v>
      </c>
      <c r="G359" s="49"/>
      <c r="H359" s="50"/>
      <c r="I359" s="50"/>
      <c r="J359" s="50"/>
      <c r="K359" s="50"/>
      <c r="L359" s="50"/>
      <c r="M359" s="67">
        <f ca="1">IF($B359="","",SUM(_xlfn.XLOOKUP(C359,Lists!$P$2:$P$19,Lists!$R$2:$R$19,0),_xlfn.XLOOKUP(E359,Lists!$P$2:$P$19,Lists!$R$2:$R$19,0),_xlfn.XLOOKUP(G359,Lists!$P$2:$P$19,Lists!$R$2:$R$19,0),_xlfn.XLOOKUP(I359,Lists!$P$2:$P$19,Lists!$R$2:$R$19,0),_xlfn.XLOOKUP(K359,Lists!$P$2:$P$19,Lists!$R$2:$R$19,0)))</f>
        <v>2</v>
      </c>
      <c r="N359" s="68">
        <f ca="1">IF($B359="","",SUM(_xlfn.XLOOKUP(D359,Lists!$AC$2:$AC$9,Lists!$AE$2:$AE$9,0),_xlfn.XLOOKUP(F359,Lists!$AC$2:$AC$9,Lists!$AE$2:$AE$9,0),_xlfn.XLOOKUP(H359,Lists!$AC$2:$AC$9,Lists!$AE$2:$AE$9,0),_xlfn.XLOOKUP(J359,Lists!$AC$2:$AC$9,Lists!$AE$2:$AE$9,0),_xlfn.XLOOKUP(L359,Lists!$AC$2:$AC$9,Lists!$AE$2:$AE$9,0)))</f>
        <v>1</v>
      </c>
      <c r="O359" s="68">
        <f ca="1">IF($B359="","",SUM(_xlfn.XLOOKUP(C359,Lists!$P$2:$P$19,Lists!$S$2:$S$19,0),_xlfn.XLOOKUP(E359,Lists!$P$2:$P$19,Lists!$S$2:$S$19,0),_xlfn.XLOOKUP(G359,Lists!$P$2:$P$19,Lists!$S$2:$S$19,0),_xlfn.XLOOKUP(I359,Lists!$P$2:$P$19,Lists!$S$2:$S$19,0),_xlfn.XLOOKUP(K359,Lists!$P$2:$P$19,Lists!$S$2:$S$19,0)))</f>
        <v>2</v>
      </c>
      <c r="P359" s="68">
        <f ca="1">IF($B359="","",SUM(_xlfn.XLOOKUP(C359,Lists!$P$2:$P$19,Lists!$T$2:$T$19,0),_xlfn.XLOOKUP(E359,Lists!$P$2:$P$19,Lists!$T$2:$T$19,0),_xlfn.XLOOKUP(G359,Lists!$P$2:$P$19,Lists!$T$2:$T$19,0),_xlfn.XLOOKUP(I359,Lists!$P$2:$P$19,Lists!$T$2:$T$19,0),_xlfn.XLOOKUP(K359,Lists!$P$2:$P$19,Lists!$T$2:$T$19,0)))</f>
        <v>1</v>
      </c>
      <c r="Q359" s="68">
        <f ca="1">IF($B359="","",SUM(_xlfn.XLOOKUP(C359,Lists!$P$2:$P$19,Lists!$U$2:$U$19,0),_xlfn.XLOOKUP(E359,Lists!$P$2:$P$19,Lists!$U$2:$U$19,0),_xlfn.XLOOKUP(G359,Lists!$P$2:$P$19,Lists!$U$2:$U$19,0),_xlfn.XLOOKUP(I359,Lists!$P$2:$P$19,Lists!$U$2:$U$19,0),_xlfn.XLOOKUP(K359,Lists!$P$2:$P$19,Lists!$U$2:$U$19,0)))</f>
        <v>0</v>
      </c>
      <c r="R359" s="68">
        <f ca="1">IF($B359="","",SUM(_xlfn.XLOOKUP(C359,Lists!$P$2:$P$19,Lists!$V$2:$V$19,0),_xlfn.XLOOKUP(E359,Lists!$P$2:$P$19,Lists!$V$2:$V$19,0),_xlfn.XLOOKUP(G359,Lists!$P$2:$P$19,Lists!$V$2:$V$19,0),_xlfn.XLOOKUP(I359,Lists!$P$2:$P$19,Lists!$V$2:$V$19,0),_xlfn.XLOOKUP(K359,Lists!$P$2:$P$19,Lists!$V$2:$V$19,0)))</f>
        <v>0</v>
      </c>
      <c r="S359" s="68">
        <f ca="1">IF($B359="","",SUM(_xlfn.XLOOKUP(D359,Lists!$AC$2:$AC$9,Lists!$AD$2:$AD$9,0),_xlfn.XLOOKUP(F359,Lists!$AC$2:$AC$9,Lists!$AD$2:$AD$9,0),_xlfn.XLOOKUP(H359,Lists!$AC$2:$AC$9,Lists!$AD$2:$AD$9,0),_xlfn.XLOOKUP(J359,Lists!$AC$2:$AC$9,Lists!$AD$2:$AD$9,0),_xlfn.XLOOKUP(L359,Lists!$AC$2:$AC$9,Lists!$AD$2:$AD$9,0)))</f>
        <v>3</v>
      </c>
      <c r="T359" s="68">
        <f ca="1">IF($B359="","",SUM(_xlfn.XLOOKUP(C359,Lists!$P$2:$P$19,Lists!$W$2:$W$19,0),_xlfn.XLOOKUP(E359,Lists!$P$2:$P$19,Lists!$W$2:$W$19,0),_xlfn.XLOOKUP(G359,Lists!$P$2:$P$19,Lists!$W$2:$W$19,0),_xlfn.XLOOKUP(I359,Lists!$P$2:$P$19,Lists!$W$2:$W$19,0),_xlfn.XLOOKUP(K359,Lists!$P$2:$P$19,Lists!$W$2:$W$19,0)))</f>
        <v>0</v>
      </c>
      <c r="U359" s="68">
        <f ca="1">IF($B359="","",SUM(_xlfn.XLOOKUP(C359,Lists!$P$2:$P$19,Lists!$X$2:$X$19,0),_xlfn.XLOOKUP(E359,Lists!$P$2:$P$19,Lists!$X$2:$X$19,0),_xlfn.XLOOKUP(G359,Lists!$P$2:$P$19,Lists!$X$2:$X$19,0),_xlfn.XLOOKUP(I359,Lists!$P$2:$P$19,Lists!$X$2:$X$19,0),_xlfn.XLOOKUP(K359,Lists!$P$2:$P$19,Lists!$X$2:$X$19,0)))</f>
        <v>0</v>
      </c>
      <c r="V359" s="68">
        <f ca="1">IF($B359="","",SUM(_xlfn.XLOOKUP(C359,Lists!$P$2:$P$19,Lists!$Y$2:$Y$19,0),_xlfn.XLOOKUP(E359,Lists!$P$2:$P$19,Lists!$Y$2:$Y$19,0),_xlfn.XLOOKUP(G359,Lists!$P$2:$P$19,Lists!$Y$2:$Y$19,0),_xlfn.XLOOKUP(I359,Lists!$P$2:$P$19,Lists!$Y$2:$Y$19,0),_xlfn.XLOOKUP(K359,Lists!$P$2:$P$19,Lists!$Y$2:$Y$19,0)))</f>
        <v>0</v>
      </c>
      <c r="W359" s="68">
        <f ca="1">IF($B359="","",SUM(_xlfn.XLOOKUP(C359,Lists!$P$2:$P$19,Lists!$Z$2:$Z$19,0),_xlfn.XLOOKUP(E359,Lists!$P$2:$P$19,Lists!$Z$2:$Z$19,0),_xlfn.XLOOKUP(G359,Lists!$P$2:$P$19,Lists!$Z$2:$Z$19,0),_xlfn.XLOOKUP(I359,Lists!$P$2:$P$19,Lists!$Z$2:$Z$19,0),_xlfn.XLOOKUP(K359,Lists!$P$2:$P$19,Lists!$Z$2:$Z$19,0)))</f>
        <v>0</v>
      </c>
      <c r="X359" s="69">
        <f ca="1">IF($B359="","",SUM(_xlfn.XLOOKUP(C359,Lists!$P$2:$P$19,Lists!$AA$2:$AA$19,0),_xlfn.XLOOKUP(E359,Lists!$P$2:$P$19,Lists!$AA$2:$AA$19,0),_xlfn.XLOOKUP(G359,Lists!$P$2:$P$19,Lists!$AA$2:$AA$19,0),_xlfn.XLOOKUP(I359,Lists!$P$2:$P$19,Lists!$AA$2:$AA$19,0),_xlfn.XLOOKUP(K359,Lists!$P$2:$P$19,Lists!$AA$2:$AA$19,0)))</f>
        <v>0</v>
      </c>
      <c r="Y359" s="49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P359" s="18"/>
      <c r="CQ359" s="18"/>
      <c r="CR359" s="18"/>
      <c r="CS359" s="18"/>
      <c r="CT359" s="18"/>
      <c r="CU359" s="18"/>
      <c r="CV359" s="18"/>
      <c r="CW359" s="18"/>
      <c r="CX359" s="18"/>
      <c r="CY359" s="18"/>
      <c r="CZ359" s="18"/>
      <c r="DA359" s="18"/>
      <c r="DB359" s="18"/>
      <c r="DC359" s="18"/>
      <c r="DD359" s="18"/>
      <c r="DE359" s="18"/>
      <c r="DF359" s="18"/>
    </row>
    <row r="360" spans="1:110">
      <c r="A360" s="168">
        <v>9</v>
      </c>
      <c r="B360" s="47" t="str">
        <f ca="1">Lineups!$C$111</f>
        <v>Blue Toad</v>
      </c>
      <c r="C360" s="49" t="s">
        <v>205</v>
      </c>
      <c r="D360" s="49"/>
      <c r="E360" s="49" t="s">
        <v>178</v>
      </c>
      <c r="F360" s="49" t="s">
        <v>212</v>
      </c>
      <c r="G360" s="49"/>
      <c r="H360" s="50"/>
      <c r="I360" s="50"/>
      <c r="J360" s="50"/>
      <c r="K360" s="50"/>
      <c r="L360" s="50"/>
      <c r="M360" s="67">
        <f ca="1">IF($B360="","",SUM(_xlfn.XLOOKUP(C360,Lists!$P$2:$P$19,Lists!$R$2:$R$19,0),_xlfn.XLOOKUP(E360,Lists!$P$2:$P$19,Lists!$R$2:$R$19,0),_xlfn.XLOOKUP(G360,Lists!$P$2:$P$19,Lists!$R$2:$R$19,0),_xlfn.XLOOKUP(I360,Lists!$P$2:$P$19,Lists!$R$2:$R$19,0),_xlfn.XLOOKUP(K360,Lists!$P$2:$P$19,Lists!$R$2:$R$19,0)))</f>
        <v>2</v>
      </c>
      <c r="N360" s="68">
        <f ca="1">IF($B360="","",SUM(_xlfn.XLOOKUP(D360,Lists!$AC$2:$AC$9,Lists!$AE$2:$AE$9,0),_xlfn.XLOOKUP(F360,Lists!$AC$2:$AC$9,Lists!$AE$2:$AE$9,0),_xlfn.XLOOKUP(H360,Lists!$AC$2:$AC$9,Lists!$AE$2:$AE$9,0),_xlfn.XLOOKUP(J360,Lists!$AC$2:$AC$9,Lists!$AE$2:$AE$9,0),_xlfn.XLOOKUP(L360,Lists!$AC$2:$AC$9,Lists!$AE$2:$AE$9,0)))</f>
        <v>1</v>
      </c>
      <c r="O360" s="68">
        <f ca="1">IF($B360="","",SUM(_xlfn.XLOOKUP(C360,Lists!$P$2:$P$19,Lists!$S$2:$S$19,0),_xlfn.XLOOKUP(E360,Lists!$P$2:$P$19,Lists!$S$2:$S$19,0),_xlfn.XLOOKUP(G360,Lists!$P$2:$P$19,Lists!$S$2:$S$19,0),_xlfn.XLOOKUP(I360,Lists!$P$2:$P$19,Lists!$S$2:$S$19,0),_xlfn.XLOOKUP(K360,Lists!$P$2:$P$19,Lists!$S$2:$S$19,0)))</f>
        <v>1</v>
      </c>
      <c r="P360" s="68">
        <f ca="1">IF($B360="","",SUM(_xlfn.XLOOKUP(C360,Lists!$P$2:$P$19,Lists!$T$2:$T$19,0),_xlfn.XLOOKUP(E360,Lists!$P$2:$P$19,Lists!$T$2:$T$19,0),_xlfn.XLOOKUP(G360,Lists!$P$2:$P$19,Lists!$T$2:$T$19,0),_xlfn.XLOOKUP(I360,Lists!$P$2:$P$19,Lists!$T$2:$T$19,0),_xlfn.XLOOKUP(K360,Lists!$P$2:$P$19,Lists!$T$2:$T$19,0)))</f>
        <v>0</v>
      </c>
      <c r="Q360" s="68">
        <f ca="1">IF($B360="","",SUM(_xlfn.XLOOKUP(C360,Lists!$P$2:$P$19,Lists!$U$2:$U$19,0),_xlfn.XLOOKUP(E360,Lists!$P$2:$P$19,Lists!$U$2:$U$19,0),_xlfn.XLOOKUP(G360,Lists!$P$2:$P$19,Lists!$U$2:$U$19,0),_xlfn.XLOOKUP(I360,Lists!$P$2:$P$19,Lists!$U$2:$U$19,0),_xlfn.XLOOKUP(K360,Lists!$P$2:$P$19,Lists!$U$2:$U$19,0)))</f>
        <v>0</v>
      </c>
      <c r="R360" s="68">
        <f ca="1">IF($B360="","",SUM(_xlfn.XLOOKUP(C360,Lists!$P$2:$P$19,Lists!$V$2:$V$19,0),_xlfn.XLOOKUP(E360,Lists!$P$2:$P$19,Lists!$V$2:$V$19,0),_xlfn.XLOOKUP(G360,Lists!$P$2:$P$19,Lists!$V$2:$V$19,0),_xlfn.XLOOKUP(I360,Lists!$P$2:$P$19,Lists!$V$2:$V$19,0),_xlfn.XLOOKUP(K360,Lists!$P$2:$P$19,Lists!$V$2:$V$19,0)))</f>
        <v>1</v>
      </c>
      <c r="S360" s="68">
        <f ca="1">IF($B360="","",SUM(_xlfn.XLOOKUP(D360,Lists!$AC$2:$AC$9,Lists!$AD$2:$AD$9,0),_xlfn.XLOOKUP(F360,Lists!$AC$2:$AC$9,Lists!$AD$2:$AD$9,0),_xlfn.XLOOKUP(H360,Lists!$AC$2:$AC$9,Lists!$AD$2:$AD$9,0),_xlfn.XLOOKUP(J360,Lists!$AC$2:$AC$9,Lists!$AD$2:$AD$9,0),_xlfn.XLOOKUP(L360,Lists!$AC$2:$AC$9,Lists!$AD$2:$AD$9,0)))</f>
        <v>3</v>
      </c>
      <c r="T360" s="68">
        <f ca="1">IF($B360="","",SUM(_xlfn.XLOOKUP(C360,Lists!$P$2:$P$19,Lists!$W$2:$W$19,0),_xlfn.XLOOKUP(E360,Lists!$P$2:$P$19,Lists!$W$2:$W$19,0),_xlfn.XLOOKUP(G360,Lists!$P$2:$P$19,Lists!$W$2:$W$19,0),_xlfn.XLOOKUP(I360,Lists!$P$2:$P$19,Lists!$W$2:$W$19,0),_xlfn.XLOOKUP(K360,Lists!$P$2:$P$19,Lists!$W$2:$W$19,0)))</f>
        <v>0</v>
      </c>
      <c r="U360" s="68">
        <f ca="1">IF($B360="","",SUM(_xlfn.XLOOKUP(C360,Lists!$P$2:$P$19,Lists!$X$2:$X$19,0),_xlfn.XLOOKUP(E360,Lists!$P$2:$P$19,Lists!$X$2:$X$19,0),_xlfn.XLOOKUP(G360,Lists!$P$2:$P$19,Lists!$X$2:$X$19,0),_xlfn.XLOOKUP(I360,Lists!$P$2:$P$19,Lists!$X$2:$X$19,0),_xlfn.XLOOKUP(K360,Lists!$P$2:$P$19,Lists!$X$2:$X$19,0)))</f>
        <v>0</v>
      </c>
      <c r="V360" s="68">
        <f ca="1">IF($B360="","",SUM(_xlfn.XLOOKUP(C360,Lists!$P$2:$P$19,Lists!$Y$2:$Y$19,0),_xlfn.XLOOKUP(E360,Lists!$P$2:$P$19,Lists!$Y$2:$Y$19,0),_xlfn.XLOOKUP(G360,Lists!$P$2:$P$19,Lists!$Y$2:$Y$19,0),_xlfn.XLOOKUP(I360,Lists!$P$2:$P$19,Lists!$Y$2:$Y$19,0),_xlfn.XLOOKUP(K360,Lists!$P$2:$P$19,Lists!$Y$2:$Y$19,0)))</f>
        <v>0</v>
      </c>
      <c r="W360" s="68">
        <f ca="1">IF($B360="","",SUM(_xlfn.XLOOKUP(C360,Lists!$P$2:$P$19,Lists!$Z$2:$Z$19,0),_xlfn.XLOOKUP(E360,Lists!$P$2:$P$19,Lists!$Z$2:$Z$19,0),_xlfn.XLOOKUP(G360,Lists!$P$2:$P$19,Lists!$Z$2:$Z$19,0),_xlfn.XLOOKUP(I360,Lists!$P$2:$P$19,Lists!$Z$2:$Z$19,0),_xlfn.XLOOKUP(K360,Lists!$P$2:$P$19,Lists!$Z$2:$Z$19,0)))</f>
        <v>0</v>
      </c>
      <c r="X360" s="69">
        <f ca="1">IF($B360="","",SUM(_xlfn.XLOOKUP(C360,Lists!$P$2:$P$19,Lists!$AA$2:$AA$19,0),_xlfn.XLOOKUP(E360,Lists!$P$2:$P$19,Lists!$AA$2:$AA$19,0),_xlfn.XLOOKUP(G360,Lists!$P$2:$P$19,Lists!$AA$2:$AA$19,0),_xlfn.XLOOKUP(I360,Lists!$P$2:$P$19,Lists!$AA$2:$AA$19,0),_xlfn.XLOOKUP(K360,Lists!$P$2:$P$19,Lists!$AA$2:$AA$19,0)))</f>
        <v>0</v>
      </c>
      <c r="Y360" s="49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  <c r="CO360" s="18"/>
      <c r="CP360" s="18"/>
      <c r="CQ360" s="18"/>
      <c r="CR360" s="18"/>
      <c r="CS360" s="18"/>
      <c r="CT360" s="18"/>
      <c r="CU360" s="18"/>
      <c r="CV360" s="18"/>
      <c r="CW360" s="18"/>
      <c r="CX360" s="18"/>
      <c r="CY360" s="18"/>
      <c r="CZ360" s="18"/>
      <c r="DA360" s="18"/>
      <c r="DB360" s="18"/>
      <c r="DC360" s="18"/>
      <c r="DD360" s="18"/>
      <c r="DE360" s="18"/>
      <c r="DF360" s="18"/>
    </row>
    <row r="361" spans="1:110">
      <c r="A361" s="173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  <c r="CO361" s="18"/>
      <c r="CP361" s="18"/>
      <c r="CQ361" s="18"/>
      <c r="CR361" s="18"/>
      <c r="CS361" s="18"/>
      <c r="CT361" s="18"/>
      <c r="CU361" s="18"/>
      <c r="CV361" s="18"/>
      <c r="CW361" s="18"/>
      <c r="CX361" s="18"/>
      <c r="CY361" s="18"/>
      <c r="CZ361" s="18"/>
      <c r="DA361" s="18"/>
      <c r="DB361" s="18"/>
      <c r="DC361" s="18"/>
      <c r="DD361" s="18"/>
      <c r="DE361" s="18"/>
      <c r="DF361" s="18"/>
    </row>
    <row r="362" spans="1:110">
      <c r="A362" s="222" t="str">
        <f ca="1">IF($N$345="","Team A Pitching",$N$345&amp;" Pitching")</f>
        <v>Nick Pitching</v>
      </c>
      <c r="B362" s="221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06"/>
      <c r="O362" s="186"/>
      <c r="P362" s="24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P362" s="18"/>
      <c r="CQ362" s="18"/>
      <c r="CR362" s="18"/>
      <c r="CS362" s="18"/>
      <c r="CT362" s="18"/>
      <c r="CU362" s="18"/>
      <c r="CV362" s="18"/>
      <c r="CW362" s="18"/>
      <c r="CX362" s="18"/>
      <c r="CY362" s="18"/>
      <c r="CZ362" s="18"/>
      <c r="DA362" s="18"/>
      <c r="DB362" s="18"/>
      <c r="DC362" s="18"/>
      <c r="DD362" s="18"/>
      <c r="DE362" s="18"/>
      <c r="DF362" s="18"/>
    </row>
    <row r="363" spans="1:110">
      <c r="A363" s="167" t="s">
        <v>103</v>
      </c>
      <c r="B363" s="43" t="s">
        <v>194</v>
      </c>
      <c r="C363" s="43" t="s">
        <v>195</v>
      </c>
      <c r="D363" s="43" t="s">
        <v>162</v>
      </c>
      <c r="E363" s="43" t="s">
        <v>161</v>
      </c>
      <c r="F363" s="43" t="s">
        <v>196</v>
      </c>
      <c r="G363" s="43" t="s">
        <v>180</v>
      </c>
      <c r="H363" s="43" t="s">
        <v>181</v>
      </c>
      <c r="I363" s="44" t="s">
        <v>197</v>
      </c>
      <c r="J363" s="44" t="s">
        <v>198</v>
      </c>
      <c r="K363" s="44" t="s">
        <v>199</v>
      </c>
      <c r="L363" s="44" t="s">
        <v>200</v>
      </c>
      <c r="M363" s="44" t="s">
        <v>201</v>
      </c>
      <c r="N363" s="45" t="s">
        <v>202</v>
      </c>
      <c r="O363" s="45" t="s">
        <v>203</v>
      </c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  <c r="CO363" s="18"/>
      <c r="CP363" s="18"/>
      <c r="CQ363" s="18"/>
      <c r="CR363" s="18"/>
      <c r="CS363" s="18"/>
      <c r="CT363" s="18"/>
      <c r="CU363" s="18"/>
      <c r="CV363" s="18"/>
      <c r="CW363" s="18"/>
      <c r="CX363" s="18"/>
      <c r="CY363" s="18"/>
      <c r="CZ363" s="18"/>
      <c r="DA363" s="18"/>
      <c r="DB363" s="18"/>
      <c r="DC363" s="18"/>
      <c r="DD363" s="18"/>
      <c r="DE363" s="18"/>
      <c r="DF363" s="18"/>
    </row>
    <row r="364" spans="1:110">
      <c r="A364" s="168">
        <v>1</v>
      </c>
      <c r="B364" s="71" t="s">
        <v>42</v>
      </c>
      <c r="C364" s="70" cm="1">
        <f t="array" aca="1" ref="C364" ca="1">IF(OR(B364="",O364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2.1</v>
      </c>
      <c r="D364" s="67" cm="1">
        <f t="array" aca="1" ref="D364" ca="1">IF(OR(B364="",O364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2</v>
      </c>
      <c r="E364" s="67" cm="1">
        <f t="array" aca="1" ref="E364" ca="1">IF(OR(B364="",O364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364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2</v>
      </c>
      <c r="F364" s="67" cm="1">
        <f t="array" aca="1" ref="F364" ca="1">IF(OR(B364="",O364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364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2</v>
      </c>
      <c r="G364" s="67" cm="1">
        <f t="array" aca="1" ref="G364" ca="1">IF(OR(B364="",O364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364" s="67" cm="1">
        <f t="array" aca="1" ref="H364" ca="1">IF(OR(B364="",O364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1</v>
      </c>
      <c r="I364" s="68" cm="1">
        <f t="array" aca="1" ref="I364" ca="1">IF(OR(B364="",O364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1</v>
      </c>
      <c r="J364" s="68" cm="1">
        <f t="array" aca="1" ref="J364" ca="1">IF(OR(B364="",O364=""),"",--(SUM(_xlfn.XLOOKUP(_xlfn._xlws.FILTER(_xlfn.TOCOL(_xlfn.CHOOSECOLS(C352:L360,2,4,6,8,10),0,TRUE),_xlfn.TOCOL(_xlfn.CHOOSECOLS(C352:L360,1,3,5,7,9),0,TRUE)&lt;&gt;""),Lists!$AC$2:$AC$9,Lists!$AF$2:$AF$9,0))&gt;SUM(_xlfn.XLOOKUP(_xlfn._xlws.FILTER(_xlfn.TOCOL(_xlfn.CHOOSECOLS(C373:L381,2,4,6,8,10),0,TRUE),_xlfn.TOCOL(_xlfn.CHOOSECOLS(C373:L381,1,3,5,7,9),0,TRUE)&lt;&gt;""),Lists!$AC$2:$AC$9,Lists!$AF$2:$AF$9,0)))*--(ROW()-ROW(C363)=_xlfn.XLOOKUP(MAX(IF(O364:O369&gt;0,INT(C364:C369)*3+MOD(ROUND(C364:C369*10,0),10),-1)),IF(O364:O369&gt;0,INT(C364:C369)*3+MOD(ROUND(C364:C369*10,0),10),-1),_xlfn.SEQUENCE(ROWS(O364:O369)),,0)))</f>
        <v>1</v>
      </c>
      <c r="K364" s="68" cm="1">
        <f t="array" aca="1" ref="K364" ca="1">IF(OR(B364="",O364=""),"",--(SUM(_xlfn.XLOOKUP(_xlfn._xlws.FILTER(_xlfn.TOCOL(_xlfn.CHOOSECOLS(C352:L360,2,4,6,8,10),0,TRUE),_xlfn.TOCOL(_xlfn.CHOOSECOLS(C352:L360,1,3,5,7,9),0,TRUE)&lt;&gt;""),Lists!$AC$2:$AC$9,Lists!$AF$2:$AF$9,0))&lt;SUM(_xlfn.XLOOKUP(_xlfn._xlws.FILTER(_xlfn.TOCOL(_xlfn.CHOOSECOLS(C373:L381,2,4,6,8,10),0,TRUE),_xlfn.TOCOL(_xlfn.CHOOSECOLS(C373:L381,1,3,5,7,9),0,TRUE)&lt;&gt;""),Lists!$AC$2:$AC$9,Lists!$AF$2:$AF$9,0)))*--(ROW()-ROW(C363)=_xlfn.XLOOKUP(MAX(IF(O364:O369&gt;0,E364:E369,-1)),IF(O364:O369&gt;0,E364:E369,-1),_xlfn.SEQUENCE(ROWS(O364:O369)),,0)))</f>
        <v>0</v>
      </c>
      <c r="L364" s="68" cm="1">
        <f t="array" aca="1" ref="L364" ca="1">IF(OR(B364="",O364=""),"",--(SUM(_xlfn.XLOOKUP(_xlfn._xlws.FILTER(_xlfn.TOCOL(_xlfn.CHOOSECOLS(C352:L360,2,4,6,8,10),0,TRUE),_xlfn.TOCOL(_xlfn.CHOOSECOLS(C352:L360,1,3,5,7,9),0,TRUE)&lt;&gt;""),Lists!$AC$2:$AC$9,Lists!$AF$2:$AF$9,0))&gt;SUM(_xlfn.XLOOKUP(_xlfn._xlws.FILTER(_xlfn.TOCOL(_xlfn.CHOOSECOLS(C373:L381,2,4,6,8,10),0,TRUE),_xlfn.TOCOL(_xlfn.CHOOSECOLS(C373:L381,1,3,5,7,9),0,TRUE)&lt;&gt;""),Lists!$AC$2:$AC$9,Lists!$AF$2:$AF$9,0)))*--(COUNTIF(O364:O369,"&gt;0")&gt;1)*--(ROW()-ROW(C363)=_xlfn.XLOOKUP(TRUE,O364:O369&gt;0,_xlfn.SEQUENCE(ROWS(O364:O369)),,0,-1))*--(_xlfn.XLOOKUP(TRUE,O364:O369&gt;0,_xlfn.SEQUENCE(ROWS(O364:O369)),,0,-1)&lt;&gt;_xlfn.XLOOKUP(MAX(IF(O364:O369&gt;0,INT(C364:C369)*3+MOD(ROUND(C364:C369*10,0),10),-1)),IF(O364:O369&gt;0,INT(C364:C369)*3+MOD(ROUND(C364:C369*10,0),10),-1),_xlfn.SEQUENCE(ROWS(O364:O369)),,0))*--(SUM(_xlfn.XLOOKUP(_xlfn._xlws.FILTER(_xlfn.TOCOL(_xlfn.CHOOSECOLS(C352:L360,2,4,6,8,10),0,TRUE),_xlfn.TOCOL(_xlfn.CHOOSECOLS(C352:L360,1,3,5,7,9),0,TRUE)&lt;&gt;""),Lists!$AC$2:$AC$9,Lists!$AF$2:$AF$9,0))-SUM(_xlfn.XLOOKUP(_xlfn._xlws.FILTER(_xlfn.TOCOL(_xlfn.CHOOSECOLS(C373:L381,2,4,6,8,10),0,TRUE),_xlfn.TOCOL(_xlfn.CHOOSECOLS(C373:L381,1,3,5,7,9),0,TRUE)&lt;&gt;""),Lists!$AC$2:$AC$9,Lists!$AF$2:$AF$9,0))&lt;=3)*--((INT(C364)*3+MOD(ROUND(C364*10,0),10))&gt;=3))</f>
        <v>0</v>
      </c>
      <c r="M364" s="68" cm="1">
        <f t="array" aca="1" ref="M364" ca="1">IF(OR(B364="",O364=""),"",--(COUNTIF(O364:O369,"&gt;0")=1)*--(SUM(_xlfn.XLOOKUP(_xlfn._xlws.FILTER(_xlfn.TOCOL(_xlfn.CHOOSECOLS(C373:L381,2,4,6,8,10),0,TRUE),_xlfn.TOCOL(_xlfn.CHOOSECOLS(C373:L381,1,3,5,7,9),0,TRUE)&lt;&gt;""),Lists!$AC$2:$AC$9,Lists!$AF$2:$AF$9,0))=0))</f>
        <v>0</v>
      </c>
      <c r="N364" s="69">
        <f ca="1">IF(OR(B364="",O364=""),"",--(COUNTIF(O364:O369,"&gt;0")=1))</f>
        <v>0</v>
      </c>
      <c r="O364" s="51">
        <v>9</v>
      </c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/>
      <c r="CP364" s="18"/>
      <c r="CQ364" s="18"/>
      <c r="CR364" s="18"/>
      <c r="CS364" s="18"/>
      <c r="CT364" s="18"/>
      <c r="CU364" s="18"/>
      <c r="CV364" s="18"/>
      <c r="CW364" s="18"/>
      <c r="CX364" s="18"/>
      <c r="CY364" s="18"/>
      <c r="CZ364" s="18"/>
      <c r="DA364" s="18"/>
      <c r="DB364" s="18"/>
      <c r="DC364" s="18"/>
      <c r="DD364" s="18"/>
      <c r="DE364" s="18"/>
      <c r="DF364" s="18"/>
    </row>
    <row r="365" spans="1:110">
      <c r="A365" s="168">
        <v>2</v>
      </c>
      <c r="B365" s="71" t="s">
        <v>86</v>
      </c>
      <c r="C365" s="70" cm="1">
        <f t="array" aca="1" ref="C365" ca="1">IF(OR(B365="",O365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1.2</v>
      </c>
      <c r="D365" s="67" cm="1">
        <f t="array" aca="1" ref="D365" ca="1">IF(OR(B365="",O365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3</v>
      </c>
      <c r="E365" s="67" cm="1">
        <f t="array" aca="1" ref="E365" ca="1">IF(OR(B365="",O365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365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2</v>
      </c>
      <c r="F365" s="67" cm="1">
        <f t="array" aca="1" ref="F365" ca="1">IF(OR(B365="",O365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365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2</v>
      </c>
      <c r="G365" s="67" cm="1">
        <f t="array" aca="1" ref="G365" ca="1">IF(OR(B365="",O365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365" s="67" cm="1">
        <f t="array" aca="1" ref="H365" ca="1">IF(OR(B365="",O365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1</v>
      </c>
      <c r="I365" s="68" cm="1">
        <f t="array" aca="1" ref="I365" ca="1">IF(OR(B365="",O365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1</v>
      </c>
      <c r="J365" s="68" cm="1">
        <f t="array" aca="1" ref="J365" ca="1">IF(OR(B365="",O365=""),"",--(SUM(_xlfn.XLOOKUP(_xlfn._xlws.FILTER(_xlfn.TOCOL(_xlfn.CHOOSECOLS(C352:L360,2,4,6,8,10),0,TRUE),_xlfn.TOCOL(_xlfn.CHOOSECOLS(C352:L360,1,3,5,7,9),0,TRUE)&lt;&gt;""),Lists!$AC$2:$AC$9,Lists!$AF$2:$AF$9,0))&gt;SUM(_xlfn.XLOOKUP(_xlfn._xlws.FILTER(_xlfn.TOCOL(_xlfn.CHOOSECOLS(C373:L381,2,4,6,8,10),0,TRUE),_xlfn.TOCOL(_xlfn.CHOOSECOLS(C373:L381,1,3,5,7,9),0,TRUE)&lt;&gt;""),Lists!$AC$2:$AC$9,Lists!$AF$2:$AF$9,0)))*--(ROW()-ROW(C363)=_xlfn.XLOOKUP(MAX(IF(O364:O369&gt;0,INT(C364:C369)*3+MOD(ROUND(C364:C369*10,0),10),-1)),IF(O364:O369&gt;0,INT(C364:C369)*3+MOD(ROUND(C364:C369*10,0),10),-1),_xlfn.SEQUENCE(ROWS(O364:O369)),,0)))</f>
        <v>0</v>
      </c>
      <c r="K365" s="68" cm="1">
        <f t="array" aca="1" ref="K365" ca="1">IF(OR(B365="",O365=""),"",--(SUM(_xlfn.XLOOKUP(_xlfn._xlws.FILTER(_xlfn.TOCOL(_xlfn.CHOOSECOLS(C352:L360,2,4,6,8,10),0,TRUE),_xlfn.TOCOL(_xlfn.CHOOSECOLS(C352:L360,1,3,5,7,9),0,TRUE)&lt;&gt;""),Lists!$AC$2:$AC$9,Lists!$AF$2:$AF$9,0))&lt;SUM(_xlfn.XLOOKUP(_xlfn._xlws.FILTER(_xlfn.TOCOL(_xlfn.CHOOSECOLS(C373:L381,2,4,6,8,10),0,TRUE),_xlfn.TOCOL(_xlfn.CHOOSECOLS(C373:L381,1,3,5,7,9),0,TRUE)&lt;&gt;""),Lists!$AC$2:$AC$9,Lists!$AF$2:$AF$9,0)))*--(ROW()-ROW(C363)=_xlfn.XLOOKUP(MAX(IF(O364:O369&gt;0,E364:E369,-1)),IF(O364:O369&gt;0,E364:E369,-1),_xlfn.SEQUENCE(ROWS(O364:O369)),,0)))</f>
        <v>0</v>
      </c>
      <c r="L365" s="68" cm="1">
        <f t="array" aca="1" ref="L365" ca="1">IF(OR(B365="",O365=""),"",--(SUM(_xlfn.XLOOKUP(_xlfn._xlws.FILTER(_xlfn.TOCOL(_xlfn.CHOOSECOLS(C352:L360,2,4,6,8,10),0,TRUE),_xlfn.TOCOL(_xlfn.CHOOSECOLS(C352:L360,1,3,5,7,9),0,TRUE)&lt;&gt;""),Lists!$AC$2:$AC$9,Lists!$AF$2:$AF$9,0))&gt;SUM(_xlfn.XLOOKUP(_xlfn._xlws.FILTER(_xlfn.TOCOL(_xlfn.CHOOSECOLS(C373:L381,2,4,6,8,10),0,TRUE),_xlfn.TOCOL(_xlfn.CHOOSECOLS(C373:L381,1,3,5,7,9),0,TRUE)&lt;&gt;""),Lists!$AC$2:$AC$9,Lists!$AF$2:$AF$9,0)))*--(COUNTIF(O364:O369,"&gt;0")&gt;1)*--(ROW()-ROW(C363)=_xlfn.XLOOKUP(TRUE,O364:O369&gt;0,_xlfn.SEQUENCE(ROWS(O364:O369)),,0,-1))*--(_xlfn.XLOOKUP(TRUE,O364:O369&gt;0,_xlfn.SEQUENCE(ROWS(O364:O369)),,0,-1)&lt;&gt;_xlfn.XLOOKUP(MAX(IF(O364:O369&gt;0,INT(C364:C369)*3+MOD(ROUND(C364:C369*10,0),10),-1)),IF(O364:O369&gt;0,INT(C364:C369)*3+MOD(ROUND(C364:C369*10,0),10),-1),_xlfn.SEQUENCE(ROWS(O364:O369)),,0))*--(SUM(_xlfn.XLOOKUP(_xlfn._xlws.FILTER(_xlfn.TOCOL(_xlfn.CHOOSECOLS(C352:L360,2,4,6,8,10),0,TRUE),_xlfn.TOCOL(_xlfn.CHOOSECOLS(C352:L360,1,3,5,7,9),0,TRUE)&lt;&gt;""),Lists!$AC$2:$AC$9,Lists!$AF$2:$AF$9,0))-SUM(_xlfn.XLOOKUP(_xlfn._xlws.FILTER(_xlfn.TOCOL(_xlfn.CHOOSECOLS(C373:L381,2,4,6,8,10),0,TRUE),_xlfn.TOCOL(_xlfn.CHOOSECOLS(C373:L381,1,3,5,7,9),0,TRUE)&lt;&gt;""),Lists!$AC$2:$AC$9,Lists!$AF$2:$AF$9,0))&lt;=3)*--((INT(C365)*3+MOD(ROUND(C365*10,0),10))&gt;=3))</f>
        <v>1</v>
      </c>
      <c r="M365" s="68" cm="1">
        <f t="array" aca="1" ref="M365" ca="1">IF(OR(B365="",O365=""),"",--(COUNTIF(O364:O369,"&gt;0")=1)*--(SUM(_xlfn.XLOOKUP(_xlfn._xlws.FILTER(_xlfn.TOCOL(_xlfn.CHOOSECOLS(C373:L381,2,4,6,8,10),0,TRUE),_xlfn.TOCOL(_xlfn.CHOOSECOLS(C373:L381,1,3,5,7,9),0,TRUE)&lt;&gt;""),Lists!$AC$2:$AC$9,Lists!$AF$2:$AF$9,0))=0))</f>
        <v>0</v>
      </c>
      <c r="N365" s="69">
        <f ca="1">IF(OR(B365="",O365=""),"",--(COUNTIF(O364:O369,"&gt;0")=1))</f>
        <v>0</v>
      </c>
      <c r="O365" s="51">
        <v>8</v>
      </c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18"/>
      <c r="CW365" s="18"/>
      <c r="CX365" s="18"/>
      <c r="CY365" s="18"/>
      <c r="CZ365" s="18"/>
      <c r="DA365" s="18"/>
      <c r="DB365" s="18"/>
      <c r="DC365" s="18"/>
      <c r="DD365" s="18"/>
      <c r="DE365" s="18"/>
      <c r="DF365" s="18"/>
    </row>
    <row r="366" spans="1:110">
      <c r="A366" s="168">
        <v>3</v>
      </c>
      <c r="B366" s="71"/>
      <c r="C366" s="70" t="str" cm="1">
        <f t="array" aca="1" ref="C366" ca="1">IF(OR(B366="",O366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366" s="67" t="str" cm="1">
        <f t="array" aca="1" ref="D366" ca="1">IF(OR(B366="",O366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366" s="67" t="str" cm="1">
        <f t="array" aca="1" ref="E366" ca="1">IF(OR(B366="",O366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366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366" s="67" t="str" cm="1">
        <f t="array" aca="1" ref="F366" ca="1">IF(OR(B366="",O366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366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366" s="67" t="str" cm="1">
        <f t="array" aca="1" ref="G366" ca="1">IF(OR(B366="",O366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366" s="67" t="str" cm="1">
        <f t="array" aca="1" ref="H366" ca="1">IF(OR(B366="",O366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366" s="68" t="str" cm="1">
        <f t="array" aca="1" ref="I366" ca="1">IF(OR(B366="",O366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366" s="68" t="str" cm="1">
        <f t="array" aca="1" ref="J366" ca="1">IF(OR(B366="",O366=""),"",--(SUM(_xlfn.XLOOKUP(_xlfn._xlws.FILTER(_xlfn.TOCOL(_xlfn.CHOOSECOLS(C352:L360,2,4,6,8,10),0,TRUE),_xlfn.TOCOL(_xlfn.CHOOSECOLS(C352:L360,1,3,5,7,9),0,TRUE)&lt;&gt;""),Lists!$AC$2:$AC$9,Lists!$AF$2:$AF$9,0))&gt;SUM(_xlfn.XLOOKUP(_xlfn._xlws.FILTER(_xlfn.TOCOL(_xlfn.CHOOSECOLS(C373:L381,2,4,6,8,10),0,TRUE),_xlfn.TOCOL(_xlfn.CHOOSECOLS(C373:L381,1,3,5,7,9),0,TRUE)&lt;&gt;""),Lists!$AC$2:$AC$9,Lists!$AF$2:$AF$9,0)))*--(ROW()-ROW(C363)=_xlfn.XLOOKUP(MAX(IF(O364:O369&gt;0,INT(C364:C369)*3+MOD(ROUND(C364:C369*10,0),10),-1)),IF(O364:O369&gt;0,INT(C364:C369)*3+MOD(ROUND(C364:C369*10,0),10),-1),_xlfn.SEQUENCE(ROWS(O364:O369)),,0)))</f>
        <v/>
      </c>
      <c r="K366" s="68" t="str" cm="1">
        <f t="array" aca="1" ref="K366" ca="1">IF(OR(B366="",O366=""),"",--(SUM(_xlfn.XLOOKUP(_xlfn._xlws.FILTER(_xlfn.TOCOL(_xlfn.CHOOSECOLS(C352:L360,2,4,6,8,10),0,TRUE),_xlfn.TOCOL(_xlfn.CHOOSECOLS(C352:L360,1,3,5,7,9),0,TRUE)&lt;&gt;""),Lists!$AC$2:$AC$9,Lists!$AF$2:$AF$9,0))&lt;SUM(_xlfn.XLOOKUP(_xlfn._xlws.FILTER(_xlfn.TOCOL(_xlfn.CHOOSECOLS(C373:L381,2,4,6,8,10),0,TRUE),_xlfn.TOCOL(_xlfn.CHOOSECOLS(C373:L381,1,3,5,7,9),0,TRUE)&lt;&gt;""),Lists!$AC$2:$AC$9,Lists!$AF$2:$AF$9,0)))*--(ROW()-ROW(C363)=_xlfn.XLOOKUP(MAX(IF(O364:O369&gt;0,E364:E369,-1)),IF(O364:O369&gt;0,E364:E369,-1),_xlfn.SEQUENCE(ROWS(O364:O369)),,0)))</f>
        <v/>
      </c>
      <c r="L366" s="68" t="str" cm="1">
        <f t="array" aca="1" ref="L366" ca="1">IF(OR(B366="",O366=""),"",--(SUM(_xlfn.XLOOKUP(_xlfn._xlws.FILTER(_xlfn.TOCOL(_xlfn.CHOOSECOLS(C352:L360,2,4,6,8,10),0,TRUE),_xlfn.TOCOL(_xlfn.CHOOSECOLS(C352:L360,1,3,5,7,9),0,TRUE)&lt;&gt;""),Lists!$AC$2:$AC$9,Lists!$AF$2:$AF$9,0))&gt;SUM(_xlfn.XLOOKUP(_xlfn._xlws.FILTER(_xlfn.TOCOL(_xlfn.CHOOSECOLS(C373:L381,2,4,6,8,10),0,TRUE),_xlfn.TOCOL(_xlfn.CHOOSECOLS(C373:L381,1,3,5,7,9),0,TRUE)&lt;&gt;""),Lists!$AC$2:$AC$9,Lists!$AF$2:$AF$9,0)))*--(COUNTIF(O364:O369,"&gt;0")&gt;1)*--(ROW()-ROW(C363)=_xlfn.XLOOKUP(TRUE,O364:O369&gt;0,_xlfn.SEQUENCE(ROWS(O364:O369)),,0,-1))*--(_xlfn.XLOOKUP(TRUE,O364:O369&gt;0,_xlfn.SEQUENCE(ROWS(O364:O369)),,0,-1)&lt;&gt;_xlfn.XLOOKUP(MAX(IF(O364:O369&gt;0,INT(C364:C369)*3+MOD(ROUND(C364:C369*10,0),10),-1)),IF(O364:O369&gt;0,INT(C364:C369)*3+MOD(ROUND(C364:C369*10,0),10),-1),_xlfn.SEQUENCE(ROWS(O364:O369)),,0))*--(SUM(_xlfn.XLOOKUP(_xlfn._xlws.FILTER(_xlfn.TOCOL(_xlfn.CHOOSECOLS(C352:L360,2,4,6,8,10),0,TRUE),_xlfn.TOCOL(_xlfn.CHOOSECOLS(C352:L360,1,3,5,7,9),0,TRUE)&lt;&gt;""),Lists!$AC$2:$AC$9,Lists!$AF$2:$AF$9,0))-SUM(_xlfn.XLOOKUP(_xlfn._xlws.FILTER(_xlfn.TOCOL(_xlfn.CHOOSECOLS(C373:L381,2,4,6,8,10),0,TRUE),_xlfn.TOCOL(_xlfn.CHOOSECOLS(C373:L381,1,3,5,7,9),0,TRUE)&lt;&gt;""),Lists!$AC$2:$AC$9,Lists!$AF$2:$AF$9,0))&lt;=3)*--((INT(C366)*3+MOD(ROUND(C366*10,0),10))&gt;=3))</f>
        <v/>
      </c>
      <c r="M366" s="68" t="str" cm="1">
        <f t="array" aca="1" ref="M366" ca="1">IF(OR(B366="",O366=""),"",--(COUNTIF(O364:O369,"&gt;0")=1)*--(SUM(_xlfn.XLOOKUP(_xlfn._xlws.FILTER(_xlfn.TOCOL(_xlfn.CHOOSECOLS(C373:L381,2,4,6,8,10),0,TRUE),_xlfn.TOCOL(_xlfn.CHOOSECOLS(C373:L381,1,3,5,7,9),0,TRUE)&lt;&gt;""),Lists!$AC$2:$AC$9,Lists!$AF$2:$AF$9,0))=0))</f>
        <v/>
      </c>
      <c r="N366" s="69" t="str">
        <f ca="1">IF(OR(B366="",O366=""),"",--(COUNTIF(O364:O369,"&gt;0")=1))</f>
        <v/>
      </c>
      <c r="O366" s="5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  <c r="CO366" s="18"/>
      <c r="CP366" s="18"/>
      <c r="CQ366" s="18"/>
      <c r="CR366" s="18"/>
      <c r="CS366" s="18"/>
      <c r="CT366" s="18"/>
      <c r="CU366" s="18"/>
      <c r="CV366" s="18"/>
      <c r="CW366" s="18"/>
      <c r="CX366" s="18"/>
      <c r="CY366" s="18"/>
      <c r="CZ366" s="18"/>
      <c r="DA366" s="18"/>
      <c r="DB366" s="18"/>
      <c r="DC366" s="18"/>
      <c r="DD366" s="18"/>
      <c r="DE366" s="18"/>
      <c r="DF366" s="18"/>
    </row>
    <row r="367" spans="1:110">
      <c r="A367" s="168">
        <v>4</v>
      </c>
      <c r="B367" s="71"/>
      <c r="C367" s="70" t="str" cm="1">
        <f t="array" aca="1" ref="C367" ca="1">IF(OR(B367="",O367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367" s="67" t="str" cm="1">
        <f t="array" aca="1" ref="D367" ca="1">IF(OR(B367="",O367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367" s="67" t="str" cm="1">
        <f t="array" aca="1" ref="E367" ca="1">IF(OR(B367="",O367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367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367" s="67" t="str" cm="1">
        <f t="array" aca="1" ref="F367" ca="1">IF(OR(B367="",O367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367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367" s="67" t="str" cm="1">
        <f t="array" aca="1" ref="G367" ca="1">IF(OR(B367="",O367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367" s="67" t="str" cm="1">
        <f t="array" aca="1" ref="H367" ca="1">IF(OR(B367="",O367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367" s="68" t="str" cm="1">
        <f t="array" aca="1" ref="I367" ca="1">IF(OR(B367="",O367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367" s="68" t="str" cm="1">
        <f t="array" aca="1" ref="J367" ca="1">IF(OR(B367="",O367=""),"",--(SUM(_xlfn.XLOOKUP(_xlfn._xlws.FILTER(_xlfn.TOCOL(_xlfn.CHOOSECOLS(C352:L360,2,4,6,8,10),0,TRUE),_xlfn.TOCOL(_xlfn.CHOOSECOLS(C352:L360,1,3,5,7,9),0,TRUE)&lt;&gt;""),Lists!$AC$2:$AC$9,Lists!$AF$2:$AF$9,0))&gt;SUM(_xlfn.XLOOKUP(_xlfn._xlws.FILTER(_xlfn.TOCOL(_xlfn.CHOOSECOLS(C373:L381,2,4,6,8,10),0,TRUE),_xlfn.TOCOL(_xlfn.CHOOSECOLS(C373:L381,1,3,5,7,9),0,TRUE)&lt;&gt;""),Lists!$AC$2:$AC$9,Lists!$AF$2:$AF$9,0)))*--(ROW()-ROW(C363)=_xlfn.XLOOKUP(MAX(IF(O364:O369&gt;0,INT(C364:C369)*3+MOD(ROUND(C364:C369*10,0),10),-1)),IF(O364:O369&gt;0,INT(C364:C369)*3+MOD(ROUND(C364:C369*10,0),10),-1),_xlfn.SEQUENCE(ROWS(O364:O369)),,0)))</f>
        <v/>
      </c>
      <c r="K367" s="68" t="str" cm="1">
        <f t="array" aca="1" ref="K367" ca="1">IF(OR(B367="",O367=""),"",--(SUM(_xlfn.XLOOKUP(_xlfn._xlws.FILTER(_xlfn.TOCOL(_xlfn.CHOOSECOLS(C352:L360,2,4,6,8,10),0,TRUE),_xlfn.TOCOL(_xlfn.CHOOSECOLS(C352:L360,1,3,5,7,9),0,TRUE)&lt;&gt;""),Lists!$AC$2:$AC$9,Lists!$AF$2:$AF$9,0))&lt;SUM(_xlfn.XLOOKUP(_xlfn._xlws.FILTER(_xlfn.TOCOL(_xlfn.CHOOSECOLS(C373:L381,2,4,6,8,10),0,TRUE),_xlfn.TOCOL(_xlfn.CHOOSECOLS(C373:L381,1,3,5,7,9),0,TRUE)&lt;&gt;""),Lists!$AC$2:$AC$9,Lists!$AF$2:$AF$9,0)))*--(ROW()-ROW(C363)=_xlfn.XLOOKUP(MAX(IF(O364:O369&gt;0,E364:E369,-1)),IF(O364:O369&gt;0,E364:E369,-1),_xlfn.SEQUENCE(ROWS(O364:O369)),,0)))</f>
        <v/>
      </c>
      <c r="L367" s="68" t="str" cm="1">
        <f t="array" aca="1" ref="L367" ca="1">IF(OR(B367="",O367=""),"",--(SUM(_xlfn.XLOOKUP(_xlfn._xlws.FILTER(_xlfn.TOCOL(_xlfn.CHOOSECOLS(C352:L360,2,4,6,8,10),0,TRUE),_xlfn.TOCOL(_xlfn.CHOOSECOLS(C352:L360,1,3,5,7,9),0,TRUE)&lt;&gt;""),Lists!$AC$2:$AC$9,Lists!$AF$2:$AF$9,0))&gt;SUM(_xlfn.XLOOKUP(_xlfn._xlws.FILTER(_xlfn.TOCOL(_xlfn.CHOOSECOLS(C373:L381,2,4,6,8,10),0,TRUE),_xlfn.TOCOL(_xlfn.CHOOSECOLS(C373:L381,1,3,5,7,9),0,TRUE)&lt;&gt;""),Lists!$AC$2:$AC$9,Lists!$AF$2:$AF$9,0)))*--(COUNTIF(O364:O369,"&gt;0")&gt;1)*--(ROW()-ROW(C363)=_xlfn.XLOOKUP(TRUE,O364:O369&gt;0,_xlfn.SEQUENCE(ROWS(O364:O369)),,0,-1))*--(_xlfn.XLOOKUP(TRUE,O364:O369&gt;0,_xlfn.SEQUENCE(ROWS(O364:O369)),,0,-1)&lt;&gt;_xlfn.XLOOKUP(MAX(IF(O364:O369&gt;0,INT(C364:C369)*3+MOD(ROUND(C364:C369*10,0),10),-1)),IF(O364:O369&gt;0,INT(C364:C369)*3+MOD(ROUND(C364:C369*10,0),10),-1),_xlfn.SEQUENCE(ROWS(O364:O369)),,0))*--(SUM(_xlfn.XLOOKUP(_xlfn._xlws.FILTER(_xlfn.TOCOL(_xlfn.CHOOSECOLS(C352:L360,2,4,6,8,10),0,TRUE),_xlfn.TOCOL(_xlfn.CHOOSECOLS(C352:L360,1,3,5,7,9),0,TRUE)&lt;&gt;""),Lists!$AC$2:$AC$9,Lists!$AF$2:$AF$9,0))-SUM(_xlfn.XLOOKUP(_xlfn._xlws.FILTER(_xlfn.TOCOL(_xlfn.CHOOSECOLS(C373:L381,2,4,6,8,10),0,TRUE),_xlfn.TOCOL(_xlfn.CHOOSECOLS(C373:L381,1,3,5,7,9),0,TRUE)&lt;&gt;""),Lists!$AC$2:$AC$9,Lists!$AF$2:$AF$9,0))&lt;=3)*--((INT(C367)*3+MOD(ROUND(C367*10,0),10))&gt;=3))</f>
        <v/>
      </c>
      <c r="M367" s="68" t="str" cm="1">
        <f t="array" aca="1" ref="M367" ca="1">IF(OR(B367="",O367=""),"",--(COUNTIF(O364:O369,"&gt;0")=1)*--(SUM(_xlfn.XLOOKUP(_xlfn._xlws.FILTER(_xlfn.TOCOL(_xlfn.CHOOSECOLS(C373:L381,2,4,6,8,10),0,TRUE),_xlfn.TOCOL(_xlfn.CHOOSECOLS(C373:L381,1,3,5,7,9),0,TRUE)&lt;&gt;""),Lists!$AC$2:$AC$9,Lists!$AF$2:$AF$9,0))=0))</f>
        <v/>
      </c>
      <c r="N367" s="69" t="str">
        <f ca="1">IF(OR(B367="",O367=""),"",--(COUNTIF(O364:O369,"&gt;0")=1))</f>
        <v/>
      </c>
      <c r="O367" s="5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P367" s="18"/>
      <c r="CQ367" s="18"/>
      <c r="CR367" s="18"/>
      <c r="CS367" s="18"/>
      <c r="CT367" s="18"/>
      <c r="CU367" s="18"/>
      <c r="CV367" s="18"/>
      <c r="CW367" s="18"/>
      <c r="CX367" s="18"/>
      <c r="CY367" s="18"/>
      <c r="CZ367" s="18"/>
      <c r="DA367" s="18"/>
      <c r="DB367" s="18"/>
      <c r="DC367" s="18"/>
      <c r="DD367" s="18"/>
      <c r="DE367" s="18"/>
      <c r="DF367" s="18"/>
    </row>
    <row r="368" spans="1:110">
      <c r="A368" s="168">
        <v>5</v>
      </c>
      <c r="B368" s="71"/>
      <c r="C368" s="70" t="str" cm="1">
        <f t="array" aca="1" ref="C368" ca="1">IF(OR(B368="",O368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368" s="67" t="str" cm="1">
        <f t="array" aca="1" ref="D368" ca="1">IF(OR(B368="",O368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368" s="67" t="str" cm="1">
        <f t="array" aca="1" ref="E368" ca="1">IF(OR(B368="",O368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368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368" s="67" t="str" cm="1">
        <f t="array" aca="1" ref="F368" ca="1">IF(OR(B368="",O368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368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368" s="67" t="str" cm="1">
        <f t="array" aca="1" ref="G368" ca="1">IF(OR(B368="",O368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368" s="67" t="str" cm="1">
        <f t="array" aca="1" ref="H368" ca="1">IF(OR(B368="",O368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368" s="68" t="str" cm="1">
        <f t="array" aca="1" ref="I368" ca="1">IF(OR(B368="",O368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368" s="68" t="str" cm="1">
        <f t="array" aca="1" ref="J368" ca="1">IF(OR(B368="",O368=""),"",--(SUM(_xlfn.XLOOKUP(_xlfn._xlws.FILTER(_xlfn.TOCOL(_xlfn.CHOOSECOLS(C352:L360,2,4,6,8,10),0,TRUE),_xlfn.TOCOL(_xlfn.CHOOSECOLS(C352:L360,1,3,5,7,9),0,TRUE)&lt;&gt;""),Lists!$AC$2:$AC$9,Lists!$AF$2:$AF$9,0))&gt;SUM(_xlfn.XLOOKUP(_xlfn._xlws.FILTER(_xlfn.TOCOL(_xlfn.CHOOSECOLS(C373:L381,2,4,6,8,10),0,TRUE),_xlfn.TOCOL(_xlfn.CHOOSECOLS(C373:L381,1,3,5,7,9),0,TRUE)&lt;&gt;""),Lists!$AC$2:$AC$9,Lists!$AF$2:$AF$9,0)))*--(ROW()-ROW(C363)=_xlfn.XLOOKUP(MAX(IF(O364:O369&gt;0,INT(C364:C369)*3+MOD(ROUND(C364:C369*10,0),10),-1)),IF(O364:O369&gt;0,INT(C364:C369)*3+MOD(ROUND(C364:C369*10,0),10),-1),_xlfn.SEQUENCE(ROWS(O364:O369)),,0)))</f>
        <v/>
      </c>
      <c r="K368" s="68" t="str" cm="1">
        <f t="array" aca="1" ref="K368" ca="1">IF(OR(B368="",O368=""),"",--(SUM(_xlfn.XLOOKUP(_xlfn._xlws.FILTER(_xlfn.TOCOL(_xlfn.CHOOSECOLS(C352:L360,2,4,6,8,10),0,TRUE),_xlfn.TOCOL(_xlfn.CHOOSECOLS(C352:L360,1,3,5,7,9),0,TRUE)&lt;&gt;""),Lists!$AC$2:$AC$9,Lists!$AF$2:$AF$9,0))&lt;SUM(_xlfn.XLOOKUP(_xlfn._xlws.FILTER(_xlfn.TOCOL(_xlfn.CHOOSECOLS(C373:L381,2,4,6,8,10),0,TRUE),_xlfn.TOCOL(_xlfn.CHOOSECOLS(C373:L381,1,3,5,7,9),0,TRUE)&lt;&gt;""),Lists!$AC$2:$AC$9,Lists!$AF$2:$AF$9,0)))*--(ROW()-ROW(C363)=_xlfn.XLOOKUP(MAX(IF(O364:O369&gt;0,E364:E369,-1)),IF(O364:O369&gt;0,E364:E369,-1),_xlfn.SEQUENCE(ROWS(O364:O369)),,0)))</f>
        <v/>
      </c>
      <c r="L368" s="68" t="str" cm="1">
        <f t="array" aca="1" ref="L368" ca="1">IF(OR(B368="",O368=""),"",--(SUM(_xlfn.XLOOKUP(_xlfn._xlws.FILTER(_xlfn.TOCOL(_xlfn.CHOOSECOLS(C352:L360,2,4,6,8,10),0,TRUE),_xlfn.TOCOL(_xlfn.CHOOSECOLS(C352:L360,1,3,5,7,9),0,TRUE)&lt;&gt;""),Lists!$AC$2:$AC$9,Lists!$AF$2:$AF$9,0))&gt;SUM(_xlfn.XLOOKUP(_xlfn._xlws.FILTER(_xlfn.TOCOL(_xlfn.CHOOSECOLS(C373:L381,2,4,6,8,10),0,TRUE),_xlfn.TOCOL(_xlfn.CHOOSECOLS(C373:L381,1,3,5,7,9),0,TRUE)&lt;&gt;""),Lists!$AC$2:$AC$9,Lists!$AF$2:$AF$9,0)))*--(COUNTIF(O364:O369,"&gt;0")&gt;1)*--(ROW()-ROW(C363)=_xlfn.XLOOKUP(TRUE,O364:O369&gt;0,_xlfn.SEQUENCE(ROWS(O364:O369)),,0,-1))*--(_xlfn.XLOOKUP(TRUE,O364:O369&gt;0,_xlfn.SEQUENCE(ROWS(O364:O369)),,0,-1)&lt;&gt;_xlfn.XLOOKUP(MAX(IF(O364:O369&gt;0,INT(C364:C369)*3+MOD(ROUND(C364:C369*10,0),10),-1)),IF(O364:O369&gt;0,INT(C364:C369)*3+MOD(ROUND(C364:C369*10,0),10),-1),_xlfn.SEQUENCE(ROWS(O364:O369)),,0))*--(SUM(_xlfn.XLOOKUP(_xlfn._xlws.FILTER(_xlfn.TOCOL(_xlfn.CHOOSECOLS(C352:L360,2,4,6,8,10),0,TRUE),_xlfn.TOCOL(_xlfn.CHOOSECOLS(C352:L360,1,3,5,7,9),0,TRUE)&lt;&gt;""),Lists!$AC$2:$AC$9,Lists!$AF$2:$AF$9,0))-SUM(_xlfn.XLOOKUP(_xlfn._xlws.FILTER(_xlfn.TOCOL(_xlfn.CHOOSECOLS(C373:L381,2,4,6,8,10),0,TRUE),_xlfn.TOCOL(_xlfn.CHOOSECOLS(C373:L381,1,3,5,7,9),0,TRUE)&lt;&gt;""),Lists!$AC$2:$AC$9,Lists!$AF$2:$AF$9,0))&lt;=3)*--((INT(C368)*3+MOD(ROUND(C368*10,0),10))&gt;=3))</f>
        <v/>
      </c>
      <c r="M368" s="68" t="str" cm="1">
        <f t="array" aca="1" ref="M368" ca="1">IF(OR(B368="",O368=""),"",--(COUNTIF(O364:O369,"&gt;0")=1)*--(SUM(_xlfn.XLOOKUP(_xlfn._xlws.FILTER(_xlfn.TOCOL(_xlfn.CHOOSECOLS(C373:L381,2,4,6,8,10),0,TRUE),_xlfn.TOCOL(_xlfn.CHOOSECOLS(C373:L381,1,3,5,7,9),0,TRUE)&lt;&gt;""),Lists!$AC$2:$AC$9,Lists!$AF$2:$AF$9,0))=0))</f>
        <v/>
      </c>
      <c r="N368" s="69" t="str">
        <f ca="1">IF(OR(B368="",O368=""),"",--(COUNTIF(O364:O369,"&gt;0")=1))</f>
        <v/>
      </c>
      <c r="O368" s="5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  <c r="CO368" s="18"/>
      <c r="CP368" s="18"/>
      <c r="CQ368" s="18"/>
      <c r="CR368" s="18"/>
      <c r="CS368" s="18"/>
      <c r="CT368" s="18"/>
      <c r="CU368" s="18"/>
      <c r="CV368" s="18"/>
      <c r="CW368" s="18"/>
      <c r="CX368" s="18"/>
      <c r="CY368" s="18"/>
      <c r="CZ368" s="18"/>
      <c r="DA368" s="18"/>
      <c r="DB368" s="18"/>
      <c r="DC368" s="18"/>
      <c r="DD368" s="18"/>
      <c r="DE368" s="18"/>
      <c r="DF368" s="18"/>
    </row>
    <row r="369" spans="1:110">
      <c r="A369" s="168">
        <v>6</v>
      </c>
      <c r="B369" s="71"/>
      <c r="C369" s="70" t="str" cm="1">
        <f t="array" aca="1" ref="C369" ca="1">IF(OR(B369="",O369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369" s="67" t="str" cm="1">
        <f t="array" aca="1" ref="D369" ca="1">IF(OR(B369="",O369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369" s="67" t="str" cm="1">
        <f t="array" aca="1" ref="E369" ca="1">IF(OR(B369="",O369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369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369" s="67" t="str" cm="1">
        <f t="array" aca="1" ref="F369" ca="1">IF(OR(B369="",O369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369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369" s="67" t="str" cm="1">
        <f t="array" aca="1" ref="G369" ca="1">IF(OR(B369="",O369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369" s="67" t="str" cm="1">
        <f t="array" aca="1" ref="H369" ca="1">IF(OR(B369="",O369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369" s="68" t="str" cm="1">
        <f t="array" aca="1" ref="I369" ca="1">IF(OR(B369="",O369=""),"",_xlfn.LET(_xlpm.flatPAraw,_xlfn.TOCOL(_xlfn.CHOOSECOLS(C373:L381,1,3,5,7,9),0,TRUE),_xlpm.flatPARraw,_xlfn.TOCOL(_xlfn.CHOOSECOLS(C373:L381,2,4,6,8,10),0,TRUE),_xlpm.flatPA,_xlfn._xlws.FILTER(_xlpm.flatPAraw,_xlpm.flatPAraw&lt;&gt;""),_xlpm.flatPAR,_xlfn._xlws.FILTER(_xlpm.flatPARraw,_xlpm.flatPAraw&lt;&gt;""),_xlpm.prev,IF(ROW()=ROW(C364),0,SUM(INDEX(O:O,ROW(C364)):INDEX(O:O,ROW()-1))),_xlpm.need,O369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369" s="68" t="str" cm="1">
        <f t="array" aca="1" ref="J369" ca="1">IF(OR(B369="",O369=""),"",--(SUM(_xlfn.XLOOKUP(_xlfn._xlws.FILTER(_xlfn.TOCOL(_xlfn.CHOOSECOLS(C352:L360,2,4,6,8,10),0,TRUE),_xlfn.TOCOL(_xlfn.CHOOSECOLS(C352:L360,1,3,5,7,9),0,TRUE)&lt;&gt;""),Lists!$AC$2:$AC$9,Lists!$AF$2:$AF$9,0))&gt;SUM(_xlfn.XLOOKUP(_xlfn._xlws.FILTER(_xlfn.TOCOL(_xlfn.CHOOSECOLS(C373:L381,2,4,6,8,10),0,TRUE),_xlfn.TOCOL(_xlfn.CHOOSECOLS(C373:L381,1,3,5,7,9),0,TRUE)&lt;&gt;""),Lists!$AC$2:$AC$9,Lists!$AF$2:$AF$9,0)))*--(ROW()-ROW(C363)=_xlfn.XLOOKUP(MAX(IF(O364:O369&gt;0,INT(C364:C369)*3+MOD(ROUND(C364:C369*10,0),10),-1)),IF(O364:O369&gt;0,INT(C364:C369)*3+MOD(ROUND(C364:C369*10,0),10),-1),_xlfn.SEQUENCE(ROWS(O364:O369)),,0)))</f>
        <v/>
      </c>
      <c r="K369" s="68" t="str" cm="1">
        <f t="array" aca="1" ref="K369" ca="1">IF(OR(B369="",O369=""),"",--(SUM(_xlfn.XLOOKUP(_xlfn._xlws.FILTER(_xlfn.TOCOL(_xlfn.CHOOSECOLS(C352:L360,2,4,6,8,10),0,TRUE),_xlfn.TOCOL(_xlfn.CHOOSECOLS(C352:L360,1,3,5,7,9),0,TRUE)&lt;&gt;""),Lists!$AC$2:$AC$9,Lists!$AF$2:$AF$9,0))&lt;SUM(_xlfn.XLOOKUP(_xlfn._xlws.FILTER(_xlfn.TOCOL(_xlfn.CHOOSECOLS(C373:L381,2,4,6,8,10),0,TRUE),_xlfn.TOCOL(_xlfn.CHOOSECOLS(C373:L381,1,3,5,7,9),0,TRUE)&lt;&gt;""),Lists!$AC$2:$AC$9,Lists!$AF$2:$AF$9,0)))*--(ROW()-ROW(C363)=_xlfn.XLOOKUP(MAX(IF(O364:O369&gt;0,E364:E369,-1)),IF(O364:O369&gt;0,E364:E369,-1),_xlfn.SEQUENCE(ROWS(O364:O369)),,0)))</f>
        <v/>
      </c>
      <c r="L369" s="68" t="str" cm="1">
        <f t="array" aca="1" ref="L369" ca="1">IF(OR(B369="",O369=""),"",--(SUM(_xlfn.XLOOKUP(_xlfn._xlws.FILTER(_xlfn.TOCOL(_xlfn.CHOOSECOLS(C352:L360,2,4,6,8,10),0,TRUE),_xlfn.TOCOL(_xlfn.CHOOSECOLS(C352:L360,1,3,5,7,9),0,TRUE)&lt;&gt;""),Lists!$AC$2:$AC$9,Lists!$AF$2:$AF$9,0))&gt;SUM(_xlfn.XLOOKUP(_xlfn._xlws.FILTER(_xlfn.TOCOL(_xlfn.CHOOSECOLS(C373:L381,2,4,6,8,10),0,TRUE),_xlfn.TOCOL(_xlfn.CHOOSECOLS(C373:L381,1,3,5,7,9),0,TRUE)&lt;&gt;""),Lists!$AC$2:$AC$9,Lists!$AF$2:$AF$9,0)))*--(COUNTIF(O364:O369,"&gt;0")&gt;1)*--(ROW()-ROW(C363)=_xlfn.XLOOKUP(TRUE,O364:O369&gt;0,_xlfn.SEQUENCE(ROWS(O364:O369)),,0,-1))*--(_xlfn.XLOOKUP(TRUE,O364:O369&gt;0,_xlfn.SEQUENCE(ROWS(O364:O369)),,0,-1)&lt;&gt;_xlfn.XLOOKUP(MAX(IF(O364:O369&gt;0,INT(C364:C369)*3+MOD(ROUND(C364:C369*10,0),10),-1)),IF(O364:O369&gt;0,INT(C364:C369)*3+MOD(ROUND(C364:C369*10,0),10),-1),_xlfn.SEQUENCE(ROWS(O364:O369)),,0))*--(SUM(_xlfn.XLOOKUP(_xlfn._xlws.FILTER(_xlfn.TOCOL(_xlfn.CHOOSECOLS(C352:L360,2,4,6,8,10),0,TRUE),_xlfn.TOCOL(_xlfn.CHOOSECOLS(C352:L360,1,3,5,7,9),0,TRUE)&lt;&gt;""),Lists!$AC$2:$AC$9,Lists!$AF$2:$AF$9,0))-SUM(_xlfn.XLOOKUP(_xlfn._xlws.FILTER(_xlfn.TOCOL(_xlfn.CHOOSECOLS(C373:L381,2,4,6,8,10),0,TRUE),_xlfn.TOCOL(_xlfn.CHOOSECOLS(C373:L381,1,3,5,7,9),0,TRUE)&lt;&gt;""),Lists!$AC$2:$AC$9,Lists!$AF$2:$AF$9,0))&lt;=3)*--((INT(C369)*3+MOD(ROUND(C369*10,0),10))&gt;=3))</f>
        <v/>
      </c>
      <c r="M369" s="68" t="str" cm="1">
        <f t="array" aca="1" ref="M369" ca="1">IF(OR(B369="",O369=""),"",--(COUNTIF(O364:O369,"&gt;0")=1)*--(SUM(_xlfn.XLOOKUP(_xlfn._xlws.FILTER(_xlfn.TOCOL(_xlfn.CHOOSECOLS(C373:L381,2,4,6,8,10),0,TRUE),_xlfn.TOCOL(_xlfn.CHOOSECOLS(C373:L381,1,3,5,7,9),0,TRUE)&lt;&gt;""),Lists!$AC$2:$AC$9,Lists!$AF$2:$AF$9,0))=0))</f>
        <v/>
      </c>
      <c r="N369" s="69" t="str">
        <f ca="1">IF(OR(B369="",O369=""),"",--(COUNTIF(O364:O369,"&gt;0")=1))</f>
        <v/>
      </c>
      <c r="O369" s="5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P369" s="18"/>
      <c r="CQ369" s="18"/>
      <c r="CR369" s="18"/>
      <c r="CS369" s="18"/>
      <c r="CT369" s="18"/>
      <c r="CU369" s="18"/>
      <c r="CV369" s="18"/>
      <c r="CW369" s="18"/>
      <c r="CX369" s="18"/>
      <c r="CY369" s="18"/>
      <c r="CZ369" s="18"/>
      <c r="DA369" s="18"/>
      <c r="DB369" s="18"/>
      <c r="DC369" s="18"/>
      <c r="DD369" s="18"/>
      <c r="DE369" s="18"/>
      <c r="DF369" s="18"/>
    </row>
    <row r="370" spans="1:110">
      <c r="A370" s="173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3"/>
      <c r="Q370" s="53"/>
      <c r="R370" s="53"/>
      <c r="S370" s="53"/>
      <c r="T370" s="53"/>
      <c r="U370" s="53"/>
      <c r="V370" s="53"/>
      <c r="W370" s="53"/>
      <c r="X370" s="53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  <c r="CO370" s="18"/>
      <c r="CP370" s="18"/>
      <c r="CQ370" s="18"/>
      <c r="CR370" s="18"/>
      <c r="CS370" s="18"/>
      <c r="CT370" s="18"/>
      <c r="CU370" s="18"/>
      <c r="CV370" s="18"/>
      <c r="CW370" s="18"/>
      <c r="CX370" s="18"/>
      <c r="CY370" s="18"/>
      <c r="CZ370" s="18"/>
      <c r="DA370" s="18"/>
      <c r="DB370" s="18"/>
      <c r="DC370" s="18"/>
      <c r="DD370" s="18"/>
      <c r="DE370" s="18"/>
      <c r="DF370" s="18"/>
    </row>
    <row r="371" spans="1:110">
      <c r="A371" s="205" t="str">
        <f ca="1">IF($R$345="","Team B Batting",$R$345&amp;" Batting")</f>
        <v>Jason Batting</v>
      </c>
      <c r="B371" s="206"/>
      <c r="C371" s="206"/>
      <c r="D371" s="206"/>
      <c r="E371" s="206"/>
      <c r="F371" s="206"/>
      <c r="G371" s="206"/>
      <c r="H371" s="206"/>
      <c r="I371" s="206"/>
      <c r="J371" s="206"/>
      <c r="K371" s="206"/>
      <c r="L371" s="206"/>
      <c r="M371" s="206"/>
      <c r="N371" s="206"/>
      <c r="O371" s="181"/>
      <c r="P371" s="182"/>
      <c r="Q371" s="182"/>
      <c r="R371" s="182"/>
      <c r="S371" s="182"/>
      <c r="T371" s="182"/>
      <c r="U371" s="182"/>
      <c r="V371" s="182"/>
      <c r="W371" s="182"/>
      <c r="X371" s="182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  <c r="CS371" s="18"/>
      <c r="CT371" s="18"/>
      <c r="CU371" s="18"/>
      <c r="CV371" s="18"/>
      <c r="CW371" s="18"/>
      <c r="CX371" s="18"/>
      <c r="CY371" s="18"/>
      <c r="CZ371" s="18"/>
      <c r="DA371" s="18"/>
      <c r="DB371" s="18"/>
      <c r="DC371" s="18"/>
      <c r="DD371" s="18"/>
      <c r="DE371" s="18"/>
      <c r="DF371" s="18"/>
    </row>
    <row r="372" spans="1:110">
      <c r="A372" s="167" t="s">
        <v>164</v>
      </c>
      <c r="B372" s="43" t="s">
        <v>39</v>
      </c>
      <c r="C372" s="43" t="s">
        <v>165</v>
      </c>
      <c r="D372" s="43" t="s">
        <v>166</v>
      </c>
      <c r="E372" s="43" t="s">
        <v>167</v>
      </c>
      <c r="F372" s="43" t="s">
        <v>168</v>
      </c>
      <c r="G372" s="43" t="s">
        <v>169</v>
      </c>
      <c r="H372" s="43" t="s">
        <v>170</v>
      </c>
      <c r="I372" s="43" t="s">
        <v>171</v>
      </c>
      <c r="J372" s="43" t="s">
        <v>172</v>
      </c>
      <c r="K372" s="43" t="s">
        <v>173</v>
      </c>
      <c r="L372" s="43" t="s">
        <v>174</v>
      </c>
      <c r="M372" s="43" t="s">
        <v>175</v>
      </c>
      <c r="N372" s="44" t="s">
        <v>161</v>
      </c>
      <c r="O372" s="44" t="s">
        <v>162</v>
      </c>
      <c r="P372" s="44" t="s">
        <v>176</v>
      </c>
      <c r="Q372" s="44" t="s">
        <v>177</v>
      </c>
      <c r="R372" s="44" t="s">
        <v>178</v>
      </c>
      <c r="S372" s="44" t="s">
        <v>179</v>
      </c>
      <c r="T372" s="44" t="s">
        <v>180</v>
      </c>
      <c r="U372" s="44" t="s">
        <v>181</v>
      </c>
      <c r="V372" s="44" t="s">
        <v>182</v>
      </c>
      <c r="W372" s="44" t="s">
        <v>183</v>
      </c>
      <c r="X372" s="45" t="s">
        <v>184</v>
      </c>
      <c r="Y372" s="45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P372" s="18"/>
      <c r="CQ372" s="18"/>
      <c r="CR372" s="18"/>
      <c r="CS372" s="18"/>
      <c r="CT372" s="18"/>
      <c r="CU372" s="18"/>
      <c r="CV372" s="18"/>
      <c r="CW372" s="18"/>
      <c r="CX372" s="18"/>
      <c r="CY372" s="18"/>
      <c r="CZ372" s="18"/>
      <c r="DA372" s="18"/>
      <c r="DB372" s="18"/>
      <c r="DC372" s="18"/>
      <c r="DD372" s="18"/>
      <c r="DE372" s="18"/>
      <c r="DF372" s="18"/>
    </row>
    <row r="373" spans="1:110">
      <c r="A373" s="168">
        <v>1</v>
      </c>
      <c r="B373" s="47" t="str">
        <f ca="1">Lineups!$H$103</f>
        <v>Yoshi</v>
      </c>
      <c r="C373" s="49" t="s">
        <v>186</v>
      </c>
      <c r="D373" s="49"/>
      <c r="E373" s="49" t="s">
        <v>185</v>
      </c>
      <c r="F373" s="49"/>
      <c r="G373" s="49"/>
      <c r="H373" s="50"/>
      <c r="I373" s="50"/>
      <c r="J373" s="50"/>
      <c r="K373" s="50"/>
      <c r="L373" s="50"/>
      <c r="M373" s="67">
        <f ca="1">IF($B373="","",SUM(_xlfn.XLOOKUP(C373,Lists!$P$2:$P$19,Lists!$R$2:$R$19,0),_xlfn.XLOOKUP(E373,Lists!$P$2:$P$19,Lists!$R$2:$R$19,0),_xlfn.XLOOKUP(G373,Lists!$P$2:$P$19,Lists!$R$2:$R$19,0),_xlfn.XLOOKUP(I373,Lists!$P$2:$P$19,Lists!$R$2:$R$19,0),_xlfn.XLOOKUP(K373,Lists!$P$2:$P$19,Lists!$R$2:$R$19,0)))</f>
        <v>2</v>
      </c>
      <c r="N373" s="68">
        <f ca="1">IF($B373="","",SUM(_xlfn.XLOOKUP(D373,Lists!$AC$2:$AC$9,Lists!$AE$2:$AE$9,0),_xlfn.XLOOKUP(F373,Lists!$AC$2:$AC$9,Lists!$AE$2:$AE$9,0),_xlfn.XLOOKUP(H373,Lists!$AC$2:$AC$9,Lists!$AE$2:$AE$9,0),_xlfn.XLOOKUP(J373,Lists!$AC$2:$AC$9,Lists!$AE$2:$AE$9,0),_xlfn.XLOOKUP(L373,Lists!$AC$2:$AC$9,Lists!$AE$2:$AE$9,0)))</f>
        <v>0</v>
      </c>
      <c r="O373" s="68">
        <f ca="1">IF($B373="","",SUM(_xlfn.XLOOKUP(C373,Lists!$P$2:$P$19,Lists!$S$2:$S$19,0),_xlfn.XLOOKUP(E373,Lists!$P$2:$P$19,Lists!$S$2:$S$19,0),_xlfn.XLOOKUP(G373,Lists!$P$2:$P$19,Lists!$S$2:$S$19,0),_xlfn.XLOOKUP(I373,Lists!$P$2:$P$19,Lists!$S$2:$S$19,0),_xlfn.XLOOKUP(K373,Lists!$P$2:$P$19,Lists!$S$2:$S$19,0)))</f>
        <v>0</v>
      </c>
      <c r="P373" s="68">
        <f ca="1">IF($B373="","",SUM(_xlfn.XLOOKUP(C373,Lists!$P$2:$P$19,Lists!$T$2:$T$19,0),_xlfn.XLOOKUP(E373,Lists!$P$2:$P$19,Lists!$T$2:$T$19,0),_xlfn.XLOOKUP(G373,Lists!$P$2:$P$19,Lists!$T$2:$T$19,0),_xlfn.XLOOKUP(I373,Lists!$P$2:$P$19,Lists!$T$2:$T$19,0),_xlfn.XLOOKUP(K373,Lists!$P$2:$P$19,Lists!$T$2:$T$19,0)))</f>
        <v>0</v>
      </c>
      <c r="Q373" s="68">
        <f ca="1">IF($B373="","",SUM(_xlfn.XLOOKUP(C373,Lists!$P$2:$P$19,Lists!$U$2:$U$19,0),_xlfn.XLOOKUP(E373,Lists!$P$2:$P$19,Lists!$U$2:$U$19,0),_xlfn.XLOOKUP(G373,Lists!$P$2:$P$19,Lists!$U$2:$U$19,0),_xlfn.XLOOKUP(I373,Lists!$P$2:$P$19,Lists!$U$2:$U$19,0),_xlfn.XLOOKUP(K373,Lists!$P$2:$P$19,Lists!$U$2:$U$19,0)))</f>
        <v>0</v>
      </c>
      <c r="R373" s="68">
        <f ca="1">IF($B373="","",SUM(_xlfn.XLOOKUP(C373,Lists!$P$2:$P$19,Lists!$V$2:$V$19,0),_xlfn.XLOOKUP(E373,Lists!$P$2:$P$19,Lists!$V$2:$V$19,0),_xlfn.XLOOKUP(G373,Lists!$P$2:$P$19,Lists!$V$2:$V$19,0),_xlfn.XLOOKUP(I373,Lists!$P$2:$P$19,Lists!$V$2:$V$19,0),_xlfn.XLOOKUP(K373,Lists!$P$2:$P$19,Lists!$V$2:$V$19,0)))</f>
        <v>0</v>
      </c>
      <c r="S373" s="68">
        <f ca="1">IF($B373="","",SUM(_xlfn.XLOOKUP(D373,Lists!$AC$2:$AC$9,Lists!$AD$2:$AD$9,0),_xlfn.XLOOKUP(F373,Lists!$AC$2:$AC$9,Lists!$AD$2:$AD$9,0),_xlfn.XLOOKUP(H373,Lists!$AC$2:$AC$9,Lists!$AD$2:$AD$9,0),_xlfn.XLOOKUP(J373,Lists!$AC$2:$AC$9,Lists!$AD$2:$AD$9,0),_xlfn.XLOOKUP(L373,Lists!$AC$2:$AC$9,Lists!$AD$2:$AD$9,0)))</f>
        <v>0</v>
      </c>
      <c r="T373" s="68">
        <f ca="1">IF($B373="","",SUM(_xlfn.XLOOKUP(C373,Lists!$P$2:$P$19,Lists!$W$2:$W$19,0),_xlfn.XLOOKUP(E373,Lists!$P$2:$P$19,Lists!$W$2:$W$19,0),_xlfn.XLOOKUP(G373,Lists!$P$2:$P$19,Lists!$W$2:$W$19,0),_xlfn.XLOOKUP(I373,Lists!$P$2:$P$19,Lists!$W$2:$W$19,0),_xlfn.XLOOKUP(K373,Lists!$P$2:$P$19,Lists!$W$2:$W$19,0)))</f>
        <v>0</v>
      </c>
      <c r="U373" s="68">
        <f ca="1">IF($B373="","",SUM(_xlfn.XLOOKUP(C373,Lists!$P$2:$P$19,Lists!$X$2:$X$19,0),_xlfn.XLOOKUP(E373,Lists!$P$2:$P$19,Lists!$X$2:$X$19,0),_xlfn.XLOOKUP(G373,Lists!$P$2:$P$19,Lists!$X$2:$X$19,0),_xlfn.XLOOKUP(I373,Lists!$P$2:$P$19,Lists!$X$2:$X$19,0),_xlfn.XLOOKUP(K373,Lists!$P$2:$P$19,Lists!$X$2:$X$19,0)))</f>
        <v>1</v>
      </c>
      <c r="V373" s="68">
        <f ca="1">IF($B373="","",SUM(_xlfn.XLOOKUP(C373,Lists!$P$2:$P$19,Lists!$Y$2:$Y$19,0),_xlfn.XLOOKUP(E373,Lists!$P$2:$P$19,Lists!$Y$2:$Y$19,0),_xlfn.XLOOKUP(G373,Lists!$P$2:$P$19,Lists!$Y$2:$Y$19,0),_xlfn.XLOOKUP(I373,Lists!$P$2:$P$19,Lists!$Y$2:$Y$19,0),_xlfn.XLOOKUP(K373,Lists!$P$2:$P$19,Lists!$Y$2:$Y$19,0)))</f>
        <v>0</v>
      </c>
      <c r="W373" s="68">
        <f ca="1">IF($B373="","",SUM(_xlfn.XLOOKUP(C373,Lists!$P$2:$P$19,Lists!$Z$2:$Z$19,0),_xlfn.XLOOKUP(E373,Lists!$P$2:$P$19,Lists!$Z$2:$Z$19,0),_xlfn.XLOOKUP(G373,Lists!$P$2:$P$19,Lists!$Z$2:$Z$19,0),_xlfn.XLOOKUP(I373,Lists!$P$2:$P$19,Lists!$Z$2:$Z$19,0),_xlfn.XLOOKUP(K373,Lists!$P$2:$P$19,Lists!$Z$2:$Z$19,0)))</f>
        <v>0</v>
      </c>
      <c r="X373" s="69">
        <f ca="1">IF($B373="","",SUM(_xlfn.XLOOKUP(C373,Lists!$P$2:$P$19,Lists!$AA$2:$AA$19,0),_xlfn.XLOOKUP(E373,Lists!$P$2:$P$19,Lists!$AA$2:$AA$19,0),_xlfn.XLOOKUP(G373,Lists!$P$2:$P$19,Lists!$AA$2:$AA$19,0),_xlfn.XLOOKUP(I373,Lists!$P$2:$P$19,Lists!$AA$2:$AA$19,0),_xlfn.XLOOKUP(K373,Lists!$P$2:$P$19,Lists!$AA$2:$AA$19,0)))</f>
        <v>0</v>
      </c>
      <c r="Y373" s="49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  <c r="CO373" s="18"/>
      <c r="CP373" s="18"/>
      <c r="CQ373" s="18"/>
      <c r="CR373" s="18"/>
      <c r="CS373" s="18"/>
      <c r="CT373" s="18"/>
      <c r="CU373" s="18"/>
      <c r="CV373" s="18"/>
      <c r="CW373" s="18"/>
      <c r="CX373" s="18"/>
      <c r="CY373" s="18"/>
      <c r="CZ373" s="18"/>
      <c r="DA373" s="18"/>
      <c r="DB373" s="18"/>
      <c r="DC373" s="18"/>
      <c r="DD373" s="18"/>
      <c r="DE373" s="18"/>
      <c r="DF373" s="18"/>
    </row>
    <row r="374" spans="1:110">
      <c r="A374" s="168">
        <v>2</v>
      </c>
      <c r="B374" s="47" t="str">
        <f ca="1">Lineups!$H$104</f>
        <v>Brown Kritter</v>
      </c>
      <c r="C374" s="49" t="s">
        <v>186</v>
      </c>
      <c r="D374" s="49"/>
      <c r="E374" s="49" t="s">
        <v>189</v>
      </c>
      <c r="F374" s="49"/>
      <c r="G374" s="49"/>
      <c r="H374" s="50"/>
      <c r="I374" s="50"/>
      <c r="J374" s="50"/>
      <c r="K374" s="50"/>
      <c r="L374" s="50"/>
      <c r="M374" s="67">
        <f ca="1">IF($B374="","",SUM(_xlfn.XLOOKUP(C374,Lists!$P$2:$P$19,Lists!$R$2:$R$19,0),_xlfn.XLOOKUP(E374,Lists!$P$2:$P$19,Lists!$R$2:$R$19,0),_xlfn.XLOOKUP(G374,Lists!$P$2:$P$19,Lists!$R$2:$R$19,0),_xlfn.XLOOKUP(I374,Lists!$P$2:$P$19,Lists!$R$2:$R$19,0),_xlfn.XLOOKUP(K374,Lists!$P$2:$P$19,Lists!$R$2:$R$19,0)))</f>
        <v>2</v>
      </c>
      <c r="N374" s="68">
        <f ca="1">IF($B374="","",SUM(_xlfn.XLOOKUP(D374,Lists!$AC$2:$AC$9,Lists!$AE$2:$AE$9,0),_xlfn.XLOOKUP(F374,Lists!$AC$2:$AC$9,Lists!$AE$2:$AE$9,0),_xlfn.XLOOKUP(H374,Lists!$AC$2:$AC$9,Lists!$AE$2:$AE$9,0),_xlfn.XLOOKUP(J374,Lists!$AC$2:$AC$9,Lists!$AE$2:$AE$9,0),_xlfn.XLOOKUP(L374,Lists!$AC$2:$AC$9,Lists!$AE$2:$AE$9,0)))</f>
        <v>0</v>
      </c>
      <c r="O374" s="68">
        <f ca="1">IF($B374="","",SUM(_xlfn.XLOOKUP(C374,Lists!$P$2:$P$19,Lists!$S$2:$S$19,0),_xlfn.XLOOKUP(E374,Lists!$P$2:$P$19,Lists!$S$2:$S$19,0),_xlfn.XLOOKUP(G374,Lists!$P$2:$P$19,Lists!$S$2:$S$19,0),_xlfn.XLOOKUP(I374,Lists!$P$2:$P$19,Lists!$S$2:$S$19,0),_xlfn.XLOOKUP(K374,Lists!$P$2:$P$19,Lists!$S$2:$S$19,0)))</f>
        <v>0</v>
      </c>
      <c r="P374" s="68">
        <f ca="1">IF($B374="","",SUM(_xlfn.XLOOKUP(C374,Lists!$P$2:$P$19,Lists!$T$2:$T$19,0),_xlfn.XLOOKUP(E374,Lists!$P$2:$P$19,Lists!$T$2:$T$19,0),_xlfn.XLOOKUP(G374,Lists!$P$2:$P$19,Lists!$T$2:$T$19,0),_xlfn.XLOOKUP(I374,Lists!$P$2:$P$19,Lists!$T$2:$T$19,0),_xlfn.XLOOKUP(K374,Lists!$P$2:$P$19,Lists!$T$2:$T$19,0)))</f>
        <v>0</v>
      </c>
      <c r="Q374" s="68">
        <f ca="1">IF($B374="","",SUM(_xlfn.XLOOKUP(C374,Lists!$P$2:$P$19,Lists!$U$2:$U$19,0),_xlfn.XLOOKUP(E374,Lists!$P$2:$P$19,Lists!$U$2:$U$19,0),_xlfn.XLOOKUP(G374,Lists!$P$2:$P$19,Lists!$U$2:$U$19,0),_xlfn.XLOOKUP(I374,Lists!$P$2:$P$19,Lists!$U$2:$U$19,0),_xlfn.XLOOKUP(K374,Lists!$P$2:$P$19,Lists!$U$2:$U$19,0)))</f>
        <v>0</v>
      </c>
      <c r="R374" s="68">
        <f ca="1">IF($B374="","",SUM(_xlfn.XLOOKUP(C374,Lists!$P$2:$P$19,Lists!$V$2:$V$19,0),_xlfn.XLOOKUP(E374,Lists!$P$2:$P$19,Lists!$V$2:$V$19,0),_xlfn.XLOOKUP(G374,Lists!$P$2:$P$19,Lists!$V$2:$V$19,0),_xlfn.XLOOKUP(I374,Lists!$P$2:$P$19,Lists!$V$2:$V$19,0),_xlfn.XLOOKUP(K374,Lists!$P$2:$P$19,Lists!$V$2:$V$19,0)))</f>
        <v>0</v>
      </c>
      <c r="S374" s="68">
        <f ca="1">IF($B374="","",SUM(_xlfn.XLOOKUP(D374,Lists!$AC$2:$AC$9,Lists!$AD$2:$AD$9,0),_xlfn.XLOOKUP(F374,Lists!$AC$2:$AC$9,Lists!$AD$2:$AD$9,0),_xlfn.XLOOKUP(H374,Lists!$AC$2:$AC$9,Lists!$AD$2:$AD$9,0),_xlfn.XLOOKUP(J374,Lists!$AC$2:$AC$9,Lists!$AD$2:$AD$9,0),_xlfn.XLOOKUP(L374,Lists!$AC$2:$AC$9,Lists!$AD$2:$AD$9,0)))</f>
        <v>0</v>
      </c>
      <c r="T374" s="68">
        <f ca="1">IF($B374="","",SUM(_xlfn.XLOOKUP(C374,Lists!$P$2:$P$19,Lists!$W$2:$W$19,0),_xlfn.XLOOKUP(E374,Lists!$P$2:$P$19,Lists!$W$2:$W$19,0),_xlfn.XLOOKUP(G374,Lists!$P$2:$P$19,Lists!$W$2:$W$19,0),_xlfn.XLOOKUP(I374,Lists!$P$2:$P$19,Lists!$W$2:$W$19,0),_xlfn.XLOOKUP(K374,Lists!$P$2:$P$19,Lists!$W$2:$W$19,0)))</f>
        <v>0</v>
      </c>
      <c r="U374" s="68">
        <f ca="1">IF($B374="","",SUM(_xlfn.XLOOKUP(C374,Lists!$P$2:$P$19,Lists!$X$2:$X$19,0),_xlfn.XLOOKUP(E374,Lists!$P$2:$P$19,Lists!$X$2:$X$19,0),_xlfn.XLOOKUP(G374,Lists!$P$2:$P$19,Lists!$X$2:$X$19,0),_xlfn.XLOOKUP(I374,Lists!$P$2:$P$19,Lists!$X$2:$X$19,0),_xlfn.XLOOKUP(K374,Lists!$P$2:$P$19,Lists!$X$2:$X$19,0)))</f>
        <v>0</v>
      </c>
      <c r="V374" s="68">
        <f ca="1">IF($B374="","",SUM(_xlfn.XLOOKUP(C374,Lists!$P$2:$P$19,Lists!$Y$2:$Y$19,0),_xlfn.XLOOKUP(E374,Lists!$P$2:$P$19,Lists!$Y$2:$Y$19,0),_xlfn.XLOOKUP(G374,Lists!$P$2:$P$19,Lists!$Y$2:$Y$19,0),_xlfn.XLOOKUP(I374,Lists!$P$2:$P$19,Lists!$Y$2:$Y$19,0),_xlfn.XLOOKUP(K374,Lists!$P$2:$P$19,Lists!$Y$2:$Y$19,0)))</f>
        <v>0</v>
      </c>
      <c r="W374" s="68">
        <f ca="1">IF($B374="","",SUM(_xlfn.XLOOKUP(C374,Lists!$P$2:$P$19,Lists!$Z$2:$Z$19,0),_xlfn.XLOOKUP(E374,Lists!$P$2:$P$19,Lists!$Z$2:$Z$19,0),_xlfn.XLOOKUP(G374,Lists!$P$2:$P$19,Lists!$Z$2:$Z$19,0),_xlfn.XLOOKUP(I374,Lists!$P$2:$P$19,Lists!$Z$2:$Z$19,0),_xlfn.XLOOKUP(K374,Lists!$P$2:$P$19,Lists!$Z$2:$Z$19,0)))</f>
        <v>0</v>
      </c>
      <c r="X374" s="69">
        <f ca="1">IF($B374="","",SUM(_xlfn.XLOOKUP(C374,Lists!$P$2:$P$19,Lists!$AA$2:$AA$19,0),_xlfn.XLOOKUP(E374,Lists!$P$2:$P$19,Lists!$AA$2:$AA$19,0),_xlfn.XLOOKUP(G374,Lists!$P$2:$P$19,Lists!$AA$2:$AA$19,0),_xlfn.XLOOKUP(I374,Lists!$P$2:$P$19,Lists!$AA$2:$AA$19,0),_xlfn.XLOOKUP(K374,Lists!$P$2:$P$19,Lists!$AA$2:$AA$19,0)))</f>
        <v>0</v>
      </c>
      <c r="Y374" s="49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18"/>
      <c r="CN374" s="18"/>
      <c r="CO374" s="18"/>
      <c r="CP374" s="18"/>
      <c r="CQ374" s="18"/>
      <c r="CR374" s="18"/>
      <c r="CS374" s="18"/>
      <c r="CT374" s="18"/>
      <c r="CU374" s="18"/>
      <c r="CV374" s="18"/>
      <c r="CW374" s="18"/>
      <c r="CX374" s="18"/>
      <c r="CY374" s="18"/>
      <c r="CZ374" s="18"/>
      <c r="DA374" s="18"/>
      <c r="DB374" s="18"/>
      <c r="DC374" s="18"/>
      <c r="DD374" s="18"/>
      <c r="DE374" s="18"/>
      <c r="DF374" s="18"/>
    </row>
    <row r="375" spans="1:110">
      <c r="A375" s="168">
        <v>3</v>
      </c>
      <c r="B375" s="47" t="str">
        <f ca="1">Lineups!$H$105</f>
        <v>King K. Rool</v>
      </c>
      <c r="C375" s="49" t="s">
        <v>185</v>
      </c>
      <c r="D375" s="49"/>
      <c r="E375" s="49" t="s">
        <v>186</v>
      </c>
      <c r="F375" s="49"/>
      <c r="G375" s="49"/>
      <c r="H375" s="50"/>
      <c r="I375" s="50"/>
      <c r="J375" s="50"/>
      <c r="K375" s="50"/>
      <c r="L375" s="50"/>
      <c r="M375" s="67">
        <f ca="1">IF($B375="","",SUM(_xlfn.XLOOKUP(C375,Lists!$P$2:$P$19,Lists!$R$2:$R$19,0),_xlfn.XLOOKUP(E375,Lists!$P$2:$P$19,Lists!$R$2:$R$19,0),_xlfn.XLOOKUP(G375,Lists!$P$2:$P$19,Lists!$R$2:$R$19,0),_xlfn.XLOOKUP(I375,Lists!$P$2:$P$19,Lists!$R$2:$R$19,0),_xlfn.XLOOKUP(K375,Lists!$P$2:$P$19,Lists!$R$2:$R$19,0)))</f>
        <v>2</v>
      </c>
      <c r="N375" s="68">
        <f ca="1">IF($B375="","",SUM(_xlfn.XLOOKUP(D375,Lists!$AC$2:$AC$9,Lists!$AE$2:$AE$9,0),_xlfn.XLOOKUP(F375,Lists!$AC$2:$AC$9,Lists!$AE$2:$AE$9,0),_xlfn.XLOOKUP(H375,Lists!$AC$2:$AC$9,Lists!$AE$2:$AE$9,0),_xlfn.XLOOKUP(J375,Lists!$AC$2:$AC$9,Lists!$AE$2:$AE$9,0),_xlfn.XLOOKUP(L375,Lists!$AC$2:$AC$9,Lists!$AE$2:$AE$9,0)))</f>
        <v>0</v>
      </c>
      <c r="O375" s="68">
        <f ca="1">IF($B375="","",SUM(_xlfn.XLOOKUP(C375,Lists!$P$2:$P$19,Lists!$S$2:$S$19,0),_xlfn.XLOOKUP(E375,Lists!$P$2:$P$19,Lists!$S$2:$S$19,0),_xlfn.XLOOKUP(G375,Lists!$P$2:$P$19,Lists!$S$2:$S$19,0),_xlfn.XLOOKUP(I375,Lists!$P$2:$P$19,Lists!$S$2:$S$19,0),_xlfn.XLOOKUP(K375,Lists!$P$2:$P$19,Lists!$S$2:$S$19,0)))</f>
        <v>0</v>
      </c>
      <c r="P375" s="68">
        <f ca="1">IF($B375="","",SUM(_xlfn.XLOOKUP(C375,Lists!$P$2:$P$19,Lists!$T$2:$T$19,0),_xlfn.XLOOKUP(E375,Lists!$P$2:$P$19,Lists!$T$2:$T$19,0),_xlfn.XLOOKUP(G375,Lists!$P$2:$P$19,Lists!$T$2:$T$19,0),_xlfn.XLOOKUP(I375,Lists!$P$2:$P$19,Lists!$T$2:$T$19,0),_xlfn.XLOOKUP(K375,Lists!$P$2:$P$19,Lists!$T$2:$T$19,0)))</f>
        <v>0</v>
      </c>
      <c r="Q375" s="68">
        <f ca="1">IF($B375="","",SUM(_xlfn.XLOOKUP(C375,Lists!$P$2:$P$19,Lists!$U$2:$U$19,0),_xlfn.XLOOKUP(E375,Lists!$P$2:$P$19,Lists!$U$2:$U$19,0),_xlfn.XLOOKUP(G375,Lists!$P$2:$P$19,Lists!$U$2:$U$19,0),_xlfn.XLOOKUP(I375,Lists!$P$2:$P$19,Lists!$U$2:$U$19,0),_xlfn.XLOOKUP(K375,Lists!$P$2:$P$19,Lists!$U$2:$U$19,0)))</f>
        <v>0</v>
      </c>
      <c r="R375" s="68">
        <f ca="1">IF($B375="","",SUM(_xlfn.XLOOKUP(C375,Lists!$P$2:$P$19,Lists!$V$2:$V$19,0),_xlfn.XLOOKUP(E375,Lists!$P$2:$P$19,Lists!$V$2:$V$19,0),_xlfn.XLOOKUP(G375,Lists!$P$2:$P$19,Lists!$V$2:$V$19,0),_xlfn.XLOOKUP(I375,Lists!$P$2:$P$19,Lists!$V$2:$V$19,0),_xlfn.XLOOKUP(K375,Lists!$P$2:$P$19,Lists!$V$2:$V$19,0)))</f>
        <v>0</v>
      </c>
      <c r="S375" s="68">
        <f ca="1">IF($B375="","",SUM(_xlfn.XLOOKUP(D375,Lists!$AC$2:$AC$9,Lists!$AD$2:$AD$9,0),_xlfn.XLOOKUP(F375,Lists!$AC$2:$AC$9,Lists!$AD$2:$AD$9,0),_xlfn.XLOOKUP(H375,Lists!$AC$2:$AC$9,Lists!$AD$2:$AD$9,0),_xlfn.XLOOKUP(J375,Lists!$AC$2:$AC$9,Lists!$AD$2:$AD$9,0),_xlfn.XLOOKUP(L375,Lists!$AC$2:$AC$9,Lists!$AD$2:$AD$9,0)))</f>
        <v>0</v>
      </c>
      <c r="T375" s="68">
        <f ca="1">IF($B375="","",SUM(_xlfn.XLOOKUP(C375,Lists!$P$2:$P$19,Lists!$W$2:$W$19,0),_xlfn.XLOOKUP(E375,Lists!$P$2:$P$19,Lists!$W$2:$W$19,0),_xlfn.XLOOKUP(G375,Lists!$P$2:$P$19,Lists!$W$2:$W$19,0),_xlfn.XLOOKUP(I375,Lists!$P$2:$P$19,Lists!$W$2:$W$19,0),_xlfn.XLOOKUP(K375,Lists!$P$2:$P$19,Lists!$W$2:$W$19,0)))</f>
        <v>0</v>
      </c>
      <c r="U375" s="68">
        <f ca="1">IF($B375="","",SUM(_xlfn.XLOOKUP(C375,Lists!$P$2:$P$19,Lists!$X$2:$X$19,0),_xlfn.XLOOKUP(E375,Lists!$P$2:$P$19,Lists!$X$2:$X$19,0),_xlfn.XLOOKUP(G375,Lists!$P$2:$P$19,Lists!$X$2:$X$19,0),_xlfn.XLOOKUP(I375,Lists!$P$2:$P$19,Lists!$X$2:$X$19,0),_xlfn.XLOOKUP(K375,Lists!$P$2:$P$19,Lists!$X$2:$X$19,0)))</f>
        <v>1</v>
      </c>
      <c r="V375" s="68">
        <f ca="1">IF($B375="","",SUM(_xlfn.XLOOKUP(C375,Lists!$P$2:$P$19,Lists!$Y$2:$Y$19,0),_xlfn.XLOOKUP(E375,Lists!$P$2:$P$19,Lists!$Y$2:$Y$19,0),_xlfn.XLOOKUP(G375,Lists!$P$2:$P$19,Lists!$Y$2:$Y$19,0),_xlfn.XLOOKUP(I375,Lists!$P$2:$P$19,Lists!$Y$2:$Y$19,0),_xlfn.XLOOKUP(K375,Lists!$P$2:$P$19,Lists!$Y$2:$Y$19,0)))</f>
        <v>0</v>
      </c>
      <c r="W375" s="68">
        <f ca="1">IF($B375="","",SUM(_xlfn.XLOOKUP(C375,Lists!$P$2:$P$19,Lists!$Z$2:$Z$19,0),_xlfn.XLOOKUP(E375,Lists!$P$2:$P$19,Lists!$Z$2:$Z$19,0),_xlfn.XLOOKUP(G375,Lists!$P$2:$P$19,Lists!$Z$2:$Z$19,0),_xlfn.XLOOKUP(I375,Lists!$P$2:$P$19,Lists!$Z$2:$Z$19,0),_xlfn.XLOOKUP(K375,Lists!$P$2:$P$19,Lists!$Z$2:$Z$19,0)))</f>
        <v>0</v>
      </c>
      <c r="X375" s="69">
        <f ca="1">IF($B375="","",SUM(_xlfn.XLOOKUP(C375,Lists!$P$2:$P$19,Lists!$AA$2:$AA$19,0),_xlfn.XLOOKUP(E375,Lists!$P$2:$P$19,Lists!$AA$2:$AA$19,0),_xlfn.XLOOKUP(G375,Lists!$P$2:$P$19,Lists!$AA$2:$AA$19,0),_xlfn.XLOOKUP(I375,Lists!$P$2:$P$19,Lists!$AA$2:$AA$19,0),_xlfn.XLOOKUP(K375,Lists!$P$2:$P$19,Lists!$AA$2:$AA$19,0)))</f>
        <v>0</v>
      </c>
      <c r="Y375" s="49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18"/>
      <c r="CN375" s="18"/>
      <c r="CO375" s="18"/>
      <c r="CP375" s="18"/>
      <c r="CQ375" s="18"/>
      <c r="CR375" s="18"/>
      <c r="CS375" s="18"/>
      <c r="CT375" s="18"/>
      <c r="CU375" s="18"/>
      <c r="CV375" s="18"/>
      <c r="CW375" s="18"/>
      <c r="CX375" s="18"/>
      <c r="CY375" s="18"/>
      <c r="CZ375" s="18"/>
      <c r="DA375" s="18"/>
      <c r="DB375" s="18"/>
      <c r="DC375" s="18"/>
      <c r="DD375" s="18"/>
      <c r="DE375" s="18"/>
      <c r="DF375" s="18"/>
    </row>
    <row r="376" spans="1:110">
      <c r="A376" s="168">
        <v>4</v>
      </c>
      <c r="B376" s="47" t="str">
        <f ca="1">Lineups!$H$106</f>
        <v>Bowser</v>
      </c>
      <c r="C376" s="49" t="s">
        <v>188</v>
      </c>
      <c r="D376" s="49" t="s">
        <v>187</v>
      </c>
      <c r="E376" s="49" t="s">
        <v>188</v>
      </c>
      <c r="F376" s="49" t="s">
        <v>187</v>
      </c>
      <c r="G376" s="49"/>
      <c r="H376" s="50"/>
      <c r="I376" s="50"/>
      <c r="J376" s="50"/>
      <c r="K376" s="50"/>
      <c r="L376" s="50"/>
      <c r="M376" s="67">
        <f ca="1">IF($B376="","",SUM(_xlfn.XLOOKUP(C376,Lists!$P$2:$P$19,Lists!$R$2:$R$19,0),_xlfn.XLOOKUP(E376,Lists!$P$2:$P$19,Lists!$R$2:$R$19,0),_xlfn.XLOOKUP(G376,Lists!$P$2:$P$19,Lists!$R$2:$R$19,0),_xlfn.XLOOKUP(I376,Lists!$P$2:$P$19,Lists!$R$2:$R$19,0),_xlfn.XLOOKUP(K376,Lists!$P$2:$P$19,Lists!$R$2:$R$19,0)))</f>
        <v>2</v>
      </c>
      <c r="N376" s="68">
        <f ca="1">IF($B376="","",SUM(_xlfn.XLOOKUP(D376,Lists!$AC$2:$AC$9,Lists!$AE$2:$AE$9,0),_xlfn.XLOOKUP(F376,Lists!$AC$2:$AC$9,Lists!$AE$2:$AE$9,0),_xlfn.XLOOKUP(H376,Lists!$AC$2:$AC$9,Lists!$AE$2:$AE$9,0),_xlfn.XLOOKUP(J376,Lists!$AC$2:$AC$9,Lists!$AE$2:$AE$9,0),_xlfn.XLOOKUP(L376,Lists!$AC$2:$AC$9,Lists!$AE$2:$AE$9,0)))</f>
        <v>2</v>
      </c>
      <c r="O376" s="68">
        <f ca="1">IF($B376="","",SUM(_xlfn.XLOOKUP(C376,Lists!$P$2:$P$19,Lists!$S$2:$S$19,0),_xlfn.XLOOKUP(E376,Lists!$P$2:$P$19,Lists!$S$2:$S$19,0),_xlfn.XLOOKUP(G376,Lists!$P$2:$P$19,Lists!$S$2:$S$19,0),_xlfn.XLOOKUP(I376,Lists!$P$2:$P$19,Lists!$S$2:$S$19,0),_xlfn.XLOOKUP(K376,Lists!$P$2:$P$19,Lists!$S$2:$S$19,0)))</f>
        <v>2</v>
      </c>
      <c r="P376" s="68">
        <f ca="1">IF($B376="","",SUM(_xlfn.XLOOKUP(C376,Lists!$P$2:$P$19,Lists!$T$2:$T$19,0),_xlfn.XLOOKUP(E376,Lists!$P$2:$P$19,Lists!$T$2:$T$19,0),_xlfn.XLOOKUP(G376,Lists!$P$2:$P$19,Lists!$T$2:$T$19,0),_xlfn.XLOOKUP(I376,Lists!$P$2:$P$19,Lists!$T$2:$T$19,0),_xlfn.XLOOKUP(K376,Lists!$P$2:$P$19,Lists!$T$2:$T$19,0)))</f>
        <v>0</v>
      </c>
      <c r="Q376" s="68">
        <f ca="1">IF($B376="","",SUM(_xlfn.XLOOKUP(C376,Lists!$P$2:$P$19,Lists!$U$2:$U$19,0),_xlfn.XLOOKUP(E376,Lists!$P$2:$P$19,Lists!$U$2:$U$19,0),_xlfn.XLOOKUP(G376,Lists!$P$2:$P$19,Lists!$U$2:$U$19,0),_xlfn.XLOOKUP(I376,Lists!$P$2:$P$19,Lists!$U$2:$U$19,0),_xlfn.XLOOKUP(K376,Lists!$P$2:$P$19,Lists!$U$2:$U$19,0)))</f>
        <v>0</v>
      </c>
      <c r="R376" s="68">
        <f ca="1">IF($B376="","",SUM(_xlfn.XLOOKUP(C376,Lists!$P$2:$P$19,Lists!$V$2:$V$19,0),_xlfn.XLOOKUP(E376,Lists!$P$2:$P$19,Lists!$V$2:$V$19,0),_xlfn.XLOOKUP(G376,Lists!$P$2:$P$19,Lists!$V$2:$V$19,0),_xlfn.XLOOKUP(I376,Lists!$P$2:$P$19,Lists!$V$2:$V$19,0),_xlfn.XLOOKUP(K376,Lists!$P$2:$P$19,Lists!$V$2:$V$19,0)))</f>
        <v>0</v>
      </c>
      <c r="S376" s="68">
        <f ca="1">IF($B376="","",SUM(_xlfn.XLOOKUP(D376,Lists!$AC$2:$AC$9,Lists!$AD$2:$AD$9,0),_xlfn.XLOOKUP(F376,Lists!$AC$2:$AC$9,Lists!$AD$2:$AD$9,0),_xlfn.XLOOKUP(H376,Lists!$AC$2:$AC$9,Lists!$AD$2:$AD$9,0),_xlfn.XLOOKUP(J376,Lists!$AC$2:$AC$9,Lists!$AD$2:$AD$9,0),_xlfn.XLOOKUP(L376,Lists!$AC$2:$AC$9,Lists!$AD$2:$AD$9,0)))</f>
        <v>0</v>
      </c>
      <c r="T376" s="68">
        <f ca="1">IF($B376="","",SUM(_xlfn.XLOOKUP(C376,Lists!$P$2:$P$19,Lists!$W$2:$W$19,0),_xlfn.XLOOKUP(E376,Lists!$P$2:$P$19,Lists!$W$2:$W$19,0),_xlfn.XLOOKUP(G376,Lists!$P$2:$P$19,Lists!$W$2:$W$19,0),_xlfn.XLOOKUP(I376,Lists!$P$2:$P$19,Lists!$W$2:$W$19,0),_xlfn.XLOOKUP(K376,Lists!$P$2:$P$19,Lists!$W$2:$W$19,0)))</f>
        <v>0</v>
      </c>
      <c r="U376" s="68">
        <f ca="1">IF($B376="","",SUM(_xlfn.XLOOKUP(C376,Lists!$P$2:$P$19,Lists!$X$2:$X$19,0),_xlfn.XLOOKUP(E376,Lists!$P$2:$P$19,Lists!$X$2:$X$19,0),_xlfn.XLOOKUP(G376,Lists!$P$2:$P$19,Lists!$X$2:$X$19,0),_xlfn.XLOOKUP(I376,Lists!$P$2:$P$19,Lists!$X$2:$X$19,0),_xlfn.XLOOKUP(K376,Lists!$P$2:$P$19,Lists!$X$2:$X$19,0)))</f>
        <v>0</v>
      </c>
      <c r="V376" s="68">
        <f ca="1">IF($B376="","",SUM(_xlfn.XLOOKUP(C376,Lists!$P$2:$P$19,Lists!$Y$2:$Y$19,0),_xlfn.XLOOKUP(E376,Lists!$P$2:$P$19,Lists!$Y$2:$Y$19,0),_xlfn.XLOOKUP(G376,Lists!$P$2:$P$19,Lists!$Y$2:$Y$19,0),_xlfn.XLOOKUP(I376,Lists!$P$2:$P$19,Lists!$Y$2:$Y$19,0),_xlfn.XLOOKUP(K376,Lists!$P$2:$P$19,Lists!$Y$2:$Y$19,0)))</f>
        <v>0</v>
      </c>
      <c r="W376" s="68">
        <f ca="1">IF($B376="","",SUM(_xlfn.XLOOKUP(C376,Lists!$P$2:$P$19,Lists!$Z$2:$Z$19,0),_xlfn.XLOOKUP(E376,Lists!$P$2:$P$19,Lists!$Z$2:$Z$19,0),_xlfn.XLOOKUP(G376,Lists!$P$2:$P$19,Lists!$Z$2:$Z$19,0),_xlfn.XLOOKUP(I376,Lists!$P$2:$P$19,Lists!$Z$2:$Z$19,0),_xlfn.XLOOKUP(K376,Lists!$P$2:$P$19,Lists!$Z$2:$Z$19,0)))</f>
        <v>0</v>
      </c>
      <c r="X376" s="69">
        <f ca="1">IF($B376="","",SUM(_xlfn.XLOOKUP(C376,Lists!$P$2:$P$19,Lists!$AA$2:$AA$19,0),_xlfn.XLOOKUP(E376,Lists!$P$2:$P$19,Lists!$AA$2:$AA$19,0),_xlfn.XLOOKUP(G376,Lists!$P$2:$P$19,Lists!$AA$2:$AA$19,0),_xlfn.XLOOKUP(I376,Lists!$P$2:$P$19,Lists!$AA$2:$AA$19,0),_xlfn.XLOOKUP(K376,Lists!$P$2:$P$19,Lists!$AA$2:$AA$19,0)))</f>
        <v>0</v>
      </c>
      <c r="Y376" s="49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18"/>
      <c r="CN376" s="18"/>
      <c r="CO376" s="18"/>
      <c r="CP376" s="18"/>
      <c r="CQ376" s="18"/>
      <c r="CR376" s="18"/>
      <c r="CS376" s="18"/>
      <c r="CT376" s="18"/>
      <c r="CU376" s="18"/>
      <c r="CV376" s="18"/>
      <c r="CW376" s="18"/>
      <c r="CX376" s="18"/>
      <c r="CY376" s="18"/>
      <c r="CZ376" s="18"/>
      <c r="DA376" s="18"/>
      <c r="DB376" s="18"/>
      <c r="DC376" s="18"/>
      <c r="DD376" s="18"/>
      <c r="DE376" s="18"/>
      <c r="DF376" s="18"/>
    </row>
    <row r="377" spans="1:110">
      <c r="A377" s="168">
        <v>5</v>
      </c>
      <c r="B377" s="47" t="str">
        <f ca="1">Lineups!$H$107</f>
        <v>Blooper</v>
      </c>
      <c r="C377" s="49" t="s">
        <v>193</v>
      </c>
      <c r="D377" s="49"/>
      <c r="E377" s="49" t="s">
        <v>178</v>
      </c>
      <c r="F377" s="49" t="s">
        <v>204</v>
      </c>
      <c r="G377" s="49"/>
      <c r="H377" s="50"/>
      <c r="I377" s="50"/>
      <c r="J377" s="50"/>
      <c r="K377" s="50"/>
      <c r="L377" s="50"/>
      <c r="M377" s="67">
        <f ca="1">IF($B377="","",SUM(_xlfn.XLOOKUP(C377,Lists!$P$2:$P$19,Lists!$R$2:$R$19,0),_xlfn.XLOOKUP(E377,Lists!$P$2:$P$19,Lists!$R$2:$R$19,0),_xlfn.XLOOKUP(G377,Lists!$P$2:$P$19,Lists!$R$2:$R$19,0),_xlfn.XLOOKUP(I377,Lists!$P$2:$P$19,Lists!$R$2:$R$19,0),_xlfn.XLOOKUP(K377,Lists!$P$2:$P$19,Lists!$R$2:$R$19,0)))</f>
        <v>2</v>
      </c>
      <c r="N377" s="68">
        <f ca="1">IF($B377="","",SUM(_xlfn.XLOOKUP(D377,Lists!$AC$2:$AC$9,Lists!$AE$2:$AE$9,0),_xlfn.XLOOKUP(F377,Lists!$AC$2:$AC$9,Lists!$AE$2:$AE$9,0),_xlfn.XLOOKUP(H377,Lists!$AC$2:$AC$9,Lists!$AE$2:$AE$9,0),_xlfn.XLOOKUP(J377,Lists!$AC$2:$AC$9,Lists!$AE$2:$AE$9,0),_xlfn.XLOOKUP(L377,Lists!$AC$2:$AC$9,Lists!$AE$2:$AE$9,0)))</f>
        <v>1</v>
      </c>
      <c r="O377" s="68">
        <f ca="1">IF($B377="","",SUM(_xlfn.XLOOKUP(C377,Lists!$P$2:$P$19,Lists!$S$2:$S$19,0),_xlfn.XLOOKUP(E377,Lists!$P$2:$P$19,Lists!$S$2:$S$19,0),_xlfn.XLOOKUP(G377,Lists!$P$2:$P$19,Lists!$S$2:$S$19,0),_xlfn.XLOOKUP(I377,Lists!$P$2:$P$19,Lists!$S$2:$S$19,0),_xlfn.XLOOKUP(K377,Lists!$P$2:$P$19,Lists!$S$2:$S$19,0)))</f>
        <v>1</v>
      </c>
      <c r="P377" s="68">
        <f ca="1">IF($B377="","",SUM(_xlfn.XLOOKUP(C377,Lists!$P$2:$P$19,Lists!$T$2:$T$19,0),_xlfn.XLOOKUP(E377,Lists!$P$2:$P$19,Lists!$T$2:$T$19,0),_xlfn.XLOOKUP(G377,Lists!$P$2:$P$19,Lists!$T$2:$T$19,0),_xlfn.XLOOKUP(I377,Lists!$P$2:$P$19,Lists!$T$2:$T$19,0),_xlfn.XLOOKUP(K377,Lists!$P$2:$P$19,Lists!$T$2:$T$19,0)))</f>
        <v>0</v>
      </c>
      <c r="Q377" s="68">
        <f ca="1">IF($B377="","",SUM(_xlfn.XLOOKUP(C377,Lists!$P$2:$P$19,Lists!$U$2:$U$19,0),_xlfn.XLOOKUP(E377,Lists!$P$2:$P$19,Lists!$U$2:$U$19,0),_xlfn.XLOOKUP(G377,Lists!$P$2:$P$19,Lists!$U$2:$U$19,0),_xlfn.XLOOKUP(I377,Lists!$P$2:$P$19,Lists!$U$2:$U$19,0),_xlfn.XLOOKUP(K377,Lists!$P$2:$P$19,Lists!$U$2:$U$19,0)))</f>
        <v>0</v>
      </c>
      <c r="R377" s="68">
        <f ca="1">IF($B377="","",SUM(_xlfn.XLOOKUP(C377,Lists!$P$2:$P$19,Lists!$V$2:$V$19,0),_xlfn.XLOOKUP(E377,Lists!$P$2:$P$19,Lists!$V$2:$V$19,0),_xlfn.XLOOKUP(G377,Lists!$P$2:$P$19,Lists!$V$2:$V$19,0),_xlfn.XLOOKUP(I377,Lists!$P$2:$P$19,Lists!$V$2:$V$19,0),_xlfn.XLOOKUP(K377,Lists!$P$2:$P$19,Lists!$V$2:$V$19,0)))</f>
        <v>1</v>
      </c>
      <c r="S377" s="68">
        <f ca="1">IF($B377="","",SUM(_xlfn.XLOOKUP(D377,Lists!$AC$2:$AC$9,Lists!$AD$2:$AD$9,0),_xlfn.XLOOKUP(F377,Lists!$AC$2:$AC$9,Lists!$AD$2:$AD$9,0),_xlfn.XLOOKUP(H377,Lists!$AC$2:$AC$9,Lists!$AD$2:$AD$9,0),_xlfn.XLOOKUP(J377,Lists!$AC$2:$AC$9,Lists!$AD$2:$AD$9,0),_xlfn.XLOOKUP(L377,Lists!$AC$2:$AC$9,Lists!$AD$2:$AD$9,0)))</f>
        <v>2</v>
      </c>
      <c r="T377" s="68">
        <f ca="1">IF($B377="","",SUM(_xlfn.XLOOKUP(C377,Lists!$P$2:$P$19,Lists!$W$2:$W$19,0),_xlfn.XLOOKUP(E377,Lists!$P$2:$P$19,Lists!$W$2:$W$19,0),_xlfn.XLOOKUP(G377,Lists!$P$2:$P$19,Lists!$W$2:$W$19,0),_xlfn.XLOOKUP(I377,Lists!$P$2:$P$19,Lists!$W$2:$W$19,0),_xlfn.XLOOKUP(K377,Lists!$P$2:$P$19,Lists!$W$2:$W$19,0)))</f>
        <v>0</v>
      </c>
      <c r="U377" s="68">
        <f ca="1">IF($B377="","",SUM(_xlfn.XLOOKUP(C377,Lists!$P$2:$P$19,Lists!$X$2:$X$19,0),_xlfn.XLOOKUP(E377,Lists!$P$2:$P$19,Lists!$X$2:$X$19,0),_xlfn.XLOOKUP(G377,Lists!$P$2:$P$19,Lists!$X$2:$X$19,0),_xlfn.XLOOKUP(I377,Lists!$P$2:$P$19,Lists!$X$2:$X$19,0),_xlfn.XLOOKUP(K377,Lists!$P$2:$P$19,Lists!$X$2:$X$19,0)))</f>
        <v>0</v>
      </c>
      <c r="V377" s="68">
        <f ca="1">IF($B377="","",SUM(_xlfn.XLOOKUP(C377,Lists!$P$2:$P$19,Lists!$Y$2:$Y$19,0),_xlfn.XLOOKUP(E377,Lists!$P$2:$P$19,Lists!$Y$2:$Y$19,0),_xlfn.XLOOKUP(G377,Lists!$P$2:$P$19,Lists!$Y$2:$Y$19,0),_xlfn.XLOOKUP(I377,Lists!$P$2:$P$19,Lists!$Y$2:$Y$19,0),_xlfn.XLOOKUP(K377,Lists!$P$2:$P$19,Lists!$Y$2:$Y$19,0)))</f>
        <v>0</v>
      </c>
      <c r="W377" s="68">
        <f ca="1">IF($B377="","",SUM(_xlfn.XLOOKUP(C377,Lists!$P$2:$P$19,Lists!$Z$2:$Z$19,0),_xlfn.XLOOKUP(E377,Lists!$P$2:$P$19,Lists!$Z$2:$Z$19,0),_xlfn.XLOOKUP(G377,Lists!$P$2:$P$19,Lists!$Z$2:$Z$19,0),_xlfn.XLOOKUP(I377,Lists!$P$2:$P$19,Lists!$Z$2:$Z$19,0),_xlfn.XLOOKUP(K377,Lists!$P$2:$P$19,Lists!$Z$2:$Z$19,0)))</f>
        <v>0</v>
      </c>
      <c r="X377" s="69">
        <f ca="1">IF($B377="","",SUM(_xlfn.XLOOKUP(C377,Lists!$P$2:$P$19,Lists!$AA$2:$AA$19,0),_xlfn.XLOOKUP(E377,Lists!$P$2:$P$19,Lists!$AA$2:$AA$19,0),_xlfn.XLOOKUP(G377,Lists!$P$2:$P$19,Lists!$AA$2:$AA$19,0),_xlfn.XLOOKUP(I377,Lists!$P$2:$P$19,Lists!$AA$2:$AA$19,0),_xlfn.XLOOKUP(K377,Lists!$P$2:$P$19,Lists!$AA$2:$AA$19,0)))</f>
        <v>0</v>
      </c>
      <c r="Y377" s="49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18"/>
      <c r="CN377" s="18"/>
      <c r="CO377" s="18"/>
      <c r="CP377" s="18"/>
      <c r="CQ377" s="18"/>
      <c r="CR377" s="18"/>
      <c r="CS377" s="18"/>
      <c r="CT377" s="18"/>
      <c r="CU377" s="18"/>
      <c r="CV377" s="18"/>
      <c r="CW377" s="18"/>
      <c r="CX377" s="18"/>
      <c r="CY377" s="18"/>
      <c r="CZ377" s="18"/>
      <c r="DA377" s="18"/>
      <c r="DB377" s="18"/>
      <c r="DC377" s="18"/>
      <c r="DD377" s="18"/>
      <c r="DE377" s="18"/>
      <c r="DF377" s="18"/>
    </row>
    <row r="378" spans="1:110">
      <c r="A378" s="168">
        <v>6</v>
      </c>
      <c r="B378" s="47" t="str">
        <f ca="1">Lineups!$H$108</f>
        <v>Yellow Toad</v>
      </c>
      <c r="C378" s="49" t="s">
        <v>193</v>
      </c>
      <c r="D378" s="49"/>
      <c r="E378" s="49" t="s">
        <v>193</v>
      </c>
      <c r="F378" s="49"/>
      <c r="G378" s="49"/>
      <c r="H378" s="50"/>
      <c r="I378" s="50"/>
      <c r="J378" s="50"/>
      <c r="K378" s="50"/>
      <c r="L378" s="50"/>
      <c r="M378" s="67">
        <f ca="1">IF($B378="","",SUM(_xlfn.XLOOKUP(C378,Lists!$P$2:$P$19,Lists!$R$2:$R$19,0),_xlfn.XLOOKUP(E378,Lists!$P$2:$P$19,Lists!$R$2:$R$19,0),_xlfn.XLOOKUP(G378,Lists!$P$2:$P$19,Lists!$R$2:$R$19,0),_xlfn.XLOOKUP(I378,Lists!$P$2:$P$19,Lists!$R$2:$R$19,0),_xlfn.XLOOKUP(K378,Lists!$P$2:$P$19,Lists!$R$2:$R$19,0)))</f>
        <v>2</v>
      </c>
      <c r="N378" s="68">
        <f ca="1">IF($B378="","",SUM(_xlfn.XLOOKUP(D378,Lists!$AC$2:$AC$9,Lists!$AE$2:$AE$9,0),_xlfn.XLOOKUP(F378,Lists!$AC$2:$AC$9,Lists!$AE$2:$AE$9,0),_xlfn.XLOOKUP(H378,Lists!$AC$2:$AC$9,Lists!$AE$2:$AE$9,0),_xlfn.XLOOKUP(J378,Lists!$AC$2:$AC$9,Lists!$AE$2:$AE$9,0),_xlfn.XLOOKUP(L378,Lists!$AC$2:$AC$9,Lists!$AE$2:$AE$9,0)))</f>
        <v>0</v>
      </c>
      <c r="O378" s="68">
        <f ca="1">IF($B378="","",SUM(_xlfn.XLOOKUP(C378,Lists!$P$2:$P$19,Lists!$S$2:$S$19,0),_xlfn.XLOOKUP(E378,Lists!$P$2:$P$19,Lists!$S$2:$S$19,0),_xlfn.XLOOKUP(G378,Lists!$P$2:$P$19,Lists!$S$2:$S$19,0),_xlfn.XLOOKUP(I378,Lists!$P$2:$P$19,Lists!$S$2:$S$19,0),_xlfn.XLOOKUP(K378,Lists!$P$2:$P$19,Lists!$S$2:$S$19,0)))</f>
        <v>0</v>
      </c>
      <c r="P378" s="68">
        <f ca="1">IF($B378="","",SUM(_xlfn.XLOOKUP(C378,Lists!$P$2:$P$19,Lists!$T$2:$T$19,0),_xlfn.XLOOKUP(E378,Lists!$P$2:$P$19,Lists!$T$2:$T$19,0),_xlfn.XLOOKUP(G378,Lists!$P$2:$P$19,Lists!$T$2:$T$19,0),_xlfn.XLOOKUP(I378,Lists!$P$2:$P$19,Lists!$T$2:$T$19,0),_xlfn.XLOOKUP(K378,Lists!$P$2:$P$19,Lists!$T$2:$T$19,0)))</f>
        <v>0</v>
      </c>
      <c r="Q378" s="68">
        <f ca="1">IF($B378="","",SUM(_xlfn.XLOOKUP(C378,Lists!$P$2:$P$19,Lists!$U$2:$U$19,0),_xlfn.XLOOKUP(E378,Lists!$P$2:$P$19,Lists!$U$2:$U$19,0),_xlfn.XLOOKUP(G378,Lists!$P$2:$P$19,Lists!$U$2:$U$19,0),_xlfn.XLOOKUP(I378,Lists!$P$2:$P$19,Lists!$U$2:$U$19,0),_xlfn.XLOOKUP(K378,Lists!$P$2:$P$19,Lists!$U$2:$U$19,0)))</f>
        <v>0</v>
      </c>
      <c r="R378" s="68">
        <f ca="1">IF($B378="","",SUM(_xlfn.XLOOKUP(C378,Lists!$P$2:$P$19,Lists!$V$2:$V$19,0),_xlfn.XLOOKUP(E378,Lists!$P$2:$P$19,Lists!$V$2:$V$19,0),_xlfn.XLOOKUP(G378,Lists!$P$2:$P$19,Lists!$V$2:$V$19,0),_xlfn.XLOOKUP(I378,Lists!$P$2:$P$19,Lists!$V$2:$V$19,0),_xlfn.XLOOKUP(K378,Lists!$P$2:$P$19,Lists!$V$2:$V$19,0)))</f>
        <v>0</v>
      </c>
      <c r="S378" s="68">
        <f ca="1">IF($B378="","",SUM(_xlfn.XLOOKUP(D378,Lists!$AC$2:$AC$9,Lists!$AD$2:$AD$9,0),_xlfn.XLOOKUP(F378,Lists!$AC$2:$AC$9,Lists!$AD$2:$AD$9,0),_xlfn.XLOOKUP(H378,Lists!$AC$2:$AC$9,Lists!$AD$2:$AD$9,0),_xlfn.XLOOKUP(J378,Lists!$AC$2:$AC$9,Lists!$AD$2:$AD$9,0),_xlfn.XLOOKUP(L378,Lists!$AC$2:$AC$9,Lists!$AD$2:$AD$9,0)))</f>
        <v>0</v>
      </c>
      <c r="T378" s="68">
        <f ca="1">IF($B378="","",SUM(_xlfn.XLOOKUP(C378,Lists!$P$2:$P$19,Lists!$W$2:$W$19,0),_xlfn.XLOOKUP(E378,Lists!$P$2:$P$19,Lists!$W$2:$W$19,0),_xlfn.XLOOKUP(G378,Lists!$P$2:$P$19,Lists!$W$2:$W$19,0),_xlfn.XLOOKUP(I378,Lists!$P$2:$P$19,Lists!$W$2:$W$19,0),_xlfn.XLOOKUP(K378,Lists!$P$2:$P$19,Lists!$W$2:$W$19,0)))</f>
        <v>0</v>
      </c>
      <c r="U378" s="68">
        <f ca="1">IF($B378="","",SUM(_xlfn.XLOOKUP(C378,Lists!$P$2:$P$19,Lists!$X$2:$X$19,0),_xlfn.XLOOKUP(E378,Lists!$P$2:$P$19,Lists!$X$2:$X$19,0),_xlfn.XLOOKUP(G378,Lists!$P$2:$P$19,Lists!$X$2:$X$19,0),_xlfn.XLOOKUP(I378,Lists!$P$2:$P$19,Lists!$X$2:$X$19,0),_xlfn.XLOOKUP(K378,Lists!$P$2:$P$19,Lists!$X$2:$X$19,0)))</f>
        <v>0</v>
      </c>
      <c r="V378" s="68">
        <f ca="1">IF($B378="","",SUM(_xlfn.XLOOKUP(C378,Lists!$P$2:$P$19,Lists!$Y$2:$Y$19,0),_xlfn.XLOOKUP(E378,Lists!$P$2:$P$19,Lists!$Y$2:$Y$19,0),_xlfn.XLOOKUP(G378,Lists!$P$2:$P$19,Lists!$Y$2:$Y$19,0),_xlfn.XLOOKUP(I378,Lists!$P$2:$P$19,Lists!$Y$2:$Y$19,0),_xlfn.XLOOKUP(K378,Lists!$P$2:$P$19,Lists!$Y$2:$Y$19,0)))</f>
        <v>0</v>
      </c>
      <c r="W378" s="68">
        <f ca="1">IF($B378="","",SUM(_xlfn.XLOOKUP(C378,Lists!$P$2:$P$19,Lists!$Z$2:$Z$19,0),_xlfn.XLOOKUP(E378,Lists!$P$2:$P$19,Lists!$Z$2:$Z$19,0),_xlfn.XLOOKUP(G378,Lists!$P$2:$P$19,Lists!$Z$2:$Z$19,0),_xlfn.XLOOKUP(I378,Lists!$P$2:$P$19,Lists!$Z$2:$Z$19,0),_xlfn.XLOOKUP(K378,Lists!$P$2:$P$19,Lists!$Z$2:$Z$19,0)))</f>
        <v>0</v>
      </c>
      <c r="X378" s="69">
        <f ca="1">IF($B378="","",SUM(_xlfn.XLOOKUP(C378,Lists!$P$2:$P$19,Lists!$AA$2:$AA$19,0),_xlfn.XLOOKUP(E378,Lists!$P$2:$P$19,Lists!$AA$2:$AA$19,0),_xlfn.XLOOKUP(G378,Lists!$P$2:$P$19,Lists!$AA$2:$AA$19,0),_xlfn.XLOOKUP(I378,Lists!$P$2:$P$19,Lists!$AA$2:$AA$19,0),_xlfn.XLOOKUP(K378,Lists!$P$2:$P$19,Lists!$AA$2:$AA$19,0)))</f>
        <v>0</v>
      </c>
      <c r="Y378" s="49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18"/>
      <c r="CN378" s="18"/>
      <c r="CO378" s="18"/>
      <c r="CP378" s="18"/>
      <c r="CQ378" s="18"/>
      <c r="CR378" s="18"/>
      <c r="CS378" s="18"/>
      <c r="CT378" s="18"/>
      <c r="CU378" s="18"/>
      <c r="CV378" s="18"/>
      <c r="CW378" s="18"/>
      <c r="CX378" s="18"/>
      <c r="CY378" s="18"/>
      <c r="CZ378" s="18"/>
      <c r="DA378" s="18"/>
      <c r="DB378" s="18"/>
      <c r="DC378" s="18"/>
      <c r="DD378" s="18"/>
      <c r="DE378" s="18"/>
      <c r="DF378" s="18"/>
    </row>
    <row r="379" spans="1:110">
      <c r="A379" s="168">
        <v>7</v>
      </c>
      <c r="B379" s="47" t="str">
        <f ca="1">Lineups!$H$109</f>
        <v>Peach</v>
      </c>
      <c r="C379" s="49" t="s">
        <v>178</v>
      </c>
      <c r="D379" s="49" t="s">
        <v>204</v>
      </c>
      <c r="E379" s="49" t="s">
        <v>188</v>
      </c>
      <c r="F379" s="49"/>
      <c r="G379" s="49"/>
      <c r="H379" s="50"/>
      <c r="I379" s="50"/>
      <c r="J379" s="50"/>
      <c r="K379" s="50"/>
      <c r="L379" s="50"/>
      <c r="M379" s="67">
        <f ca="1">IF($B379="","",SUM(_xlfn.XLOOKUP(C379,Lists!$P$2:$P$19,Lists!$R$2:$R$19,0),_xlfn.XLOOKUP(E379,Lists!$P$2:$P$19,Lists!$R$2:$R$19,0),_xlfn.XLOOKUP(G379,Lists!$P$2:$P$19,Lists!$R$2:$R$19,0),_xlfn.XLOOKUP(I379,Lists!$P$2:$P$19,Lists!$R$2:$R$19,0),_xlfn.XLOOKUP(K379,Lists!$P$2:$P$19,Lists!$R$2:$R$19,0)))</f>
        <v>2</v>
      </c>
      <c r="N379" s="68">
        <f ca="1">IF($B379="","",SUM(_xlfn.XLOOKUP(D379,Lists!$AC$2:$AC$9,Lists!$AE$2:$AE$9,0),_xlfn.XLOOKUP(F379,Lists!$AC$2:$AC$9,Lists!$AE$2:$AE$9,0),_xlfn.XLOOKUP(H379,Lists!$AC$2:$AC$9,Lists!$AE$2:$AE$9,0),_xlfn.XLOOKUP(J379,Lists!$AC$2:$AC$9,Lists!$AE$2:$AE$9,0),_xlfn.XLOOKUP(L379,Lists!$AC$2:$AC$9,Lists!$AE$2:$AE$9,0)))</f>
        <v>1</v>
      </c>
      <c r="O379" s="68">
        <f ca="1">IF($B379="","",SUM(_xlfn.XLOOKUP(C379,Lists!$P$2:$P$19,Lists!$S$2:$S$19,0),_xlfn.XLOOKUP(E379,Lists!$P$2:$P$19,Lists!$S$2:$S$19,0),_xlfn.XLOOKUP(G379,Lists!$P$2:$P$19,Lists!$S$2:$S$19,0),_xlfn.XLOOKUP(I379,Lists!$P$2:$P$19,Lists!$S$2:$S$19,0),_xlfn.XLOOKUP(K379,Lists!$P$2:$P$19,Lists!$S$2:$S$19,0)))</f>
        <v>2</v>
      </c>
      <c r="P379" s="68">
        <f ca="1">IF($B379="","",SUM(_xlfn.XLOOKUP(C379,Lists!$P$2:$P$19,Lists!$T$2:$T$19,0),_xlfn.XLOOKUP(E379,Lists!$P$2:$P$19,Lists!$T$2:$T$19,0),_xlfn.XLOOKUP(G379,Lists!$P$2:$P$19,Lists!$T$2:$T$19,0),_xlfn.XLOOKUP(I379,Lists!$P$2:$P$19,Lists!$T$2:$T$19,0),_xlfn.XLOOKUP(K379,Lists!$P$2:$P$19,Lists!$T$2:$T$19,0)))</f>
        <v>0</v>
      </c>
      <c r="Q379" s="68">
        <f ca="1">IF($B379="","",SUM(_xlfn.XLOOKUP(C379,Lists!$P$2:$P$19,Lists!$U$2:$U$19,0),_xlfn.XLOOKUP(E379,Lists!$P$2:$P$19,Lists!$U$2:$U$19,0),_xlfn.XLOOKUP(G379,Lists!$P$2:$P$19,Lists!$U$2:$U$19,0),_xlfn.XLOOKUP(I379,Lists!$P$2:$P$19,Lists!$U$2:$U$19,0),_xlfn.XLOOKUP(K379,Lists!$P$2:$P$19,Lists!$U$2:$U$19,0)))</f>
        <v>0</v>
      </c>
      <c r="R379" s="68">
        <f ca="1">IF($B379="","",SUM(_xlfn.XLOOKUP(C379,Lists!$P$2:$P$19,Lists!$V$2:$V$19,0),_xlfn.XLOOKUP(E379,Lists!$P$2:$P$19,Lists!$V$2:$V$19,0),_xlfn.XLOOKUP(G379,Lists!$P$2:$P$19,Lists!$V$2:$V$19,0),_xlfn.XLOOKUP(I379,Lists!$P$2:$P$19,Lists!$V$2:$V$19,0),_xlfn.XLOOKUP(K379,Lists!$P$2:$P$19,Lists!$V$2:$V$19,0)))</f>
        <v>1</v>
      </c>
      <c r="S379" s="68">
        <f ca="1">IF($B379="","",SUM(_xlfn.XLOOKUP(D379,Lists!$AC$2:$AC$9,Lists!$AD$2:$AD$9,0),_xlfn.XLOOKUP(F379,Lists!$AC$2:$AC$9,Lists!$AD$2:$AD$9,0),_xlfn.XLOOKUP(H379,Lists!$AC$2:$AC$9,Lists!$AD$2:$AD$9,0),_xlfn.XLOOKUP(J379,Lists!$AC$2:$AC$9,Lists!$AD$2:$AD$9,0),_xlfn.XLOOKUP(L379,Lists!$AC$2:$AC$9,Lists!$AD$2:$AD$9,0)))</f>
        <v>2</v>
      </c>
      <c r="T379" s="68">
        <f ca="1">IF($B379="","",SUM(_xlfn.XLOOKUP(C379,Lists!$P$2:$P$19,Lists!$W$2:$W$19,0),_xlfn.XLOOKUP(E379,Lists!$P$2:$P$19,Lists!$W$2:$W$19,0),_xlfn.XLOOKUP(G379,Lists!$P$2:$P$19,Lists!$W$2:$W$19,0),_xlfn.XLOOKUP(I379,Lists!$P$2:$P$19,Lists!$W$2:$W$19,0),_xlfn.XLOOKUP(K379,Lists!$P$2:$P$19,Lists!$W$2:$W$19,0)))</f>
        <v>0</v>
      </c>
      <c r="U379" s="68">
        <f ca="1">IF($B379="","",SUM(_xlfn.XLOOKUP(C379,Lists!$P$2:$P$19,Lists!$X$2:$X$19,0),_xlfn.XLOOKUP(E379,Lists!$P$2:$P$19,Lists!$X$2:$X$19,0),_xlfn.XLOOKUP(G379,Lists!$P$2:$P$19,Lists!$X$2:$X$19,0),_xlfn.XLOOKUP(I379,Lists!$P$2:$P$19,Lists!$X$2:$X$19,0),_xlfn.XLOOKUP(K379,Lists!$P$2:$P$19,Lists!$X$2:$X$19,0)))</f>
        <v>0</v>
      </c>
      <c r="V379" s="68">
        <f ca="1">IF($B379="","",SUM(_xlfn.XLOOKUP(C379,Lists!$P$2:$P$19,Lists!$Y$2:$Y$19,0),_xlfn.XLOOKUP(E379,Lists!$P$2:$P$19,Lists!$Y$2:$Y$19,0),_xlfn.XLOOKUP(G379,Lists!$P$2:$P$19,Lists!$Y$2:$Y$19,0),_xlfn.XLOOKUP(I379,Lists!$P$2:$P$19,Lists!$Y$2:$Y$19,0),_xlfn.XLOOKUP(K379,Lists!$P$2:$P$19,Lists!$Y$2:$Y$19,0)))</f>
        <v>0</v>
      </c>
      <c r="W379" s="68">
        <f ca="1">IF($B379="","",SUM(_xlfn.XLOOKUP(C379,Lists!$P$2:$P$19,Lists!$Z$2:$Z$19,0),_xlfn.XLOOKUP(E379,Lists!$P$2:$P$19,Lists!$Z$2:$Z$19,0),_xlfn.XLOOKUP(G379,Lists!$P$2:$P$19,Lists!$Z$2:$Z$19,0),_xlfn.XLOOKUP(I379,Lists!$P$2:$P$19,Lists!$Z$2:$Z$19,0),_xlfn.XLOOKUP(K379,Lists!$P$2:$P$19,Lists!$Z$2:$Z$19,0)))</f>
        <v>0</v>
      </c>
      <c r="X379" s="69">
        <f ca="1">IF($B379="","",SUM(_xlfn.XLOOKUP(C379,Lists!$P$2:$P$19,Lists!$AA$2:$AA$19,0),_xlfn.XLOOKUP(E379,Lists!$P$2:$P$19,Lists!$AA$2:$AA$19,0),_xlfn.XLOOKUP(G379,Lists!$P$2:$P$19,Lists!$AA$2:$AA$19,0),_xlfn.XLOOKUP(I379,Lists!$P$2:$P$19,Lists!$AA$2:$AA$19,0),_xlfn.XLOOKUP(K379,Lists!$P$2:$P$19,Lists!$AA$2:$AA$19,0)))</f>
        <v>0</v>
      </c>
      <c r="Y379" s="49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18"/>
      <c r="CN379" s="18"/>
      <c r="CO379" s="18"/>
      <c r="CP379" s="18"/>
      <c r="CQ379" s="18"/>
      <c r="CR379" s="18"/>
      <c r="CS379" s="18"/>
      <c r="CT379" s="18"/>
      <c r="CU379" s="18"/>
      <c r="CV379" s="18"/>
      <c r="CW379" s="18"/>
      <c r="CX379" s="18"/>
      <c r="CY379" s="18"/>
      <c r="CZ379" s="18"/>
      <c r="DA379" s="18"/>
      <c r="DB379" s="18"/>
      <c r="DC379" s="18"/>
      <c r="DD379" s="18"/>
      <c r="DE379" s="18"/>
      <c r="DF379" s="18"/>
    </row>
    <row r="380" spans="1:110">
      <c r="A380" s="168">
        <v>8</v>
      </c>
      <c r="B380" s="47" t="str">
        <f ca="1">Lineups!$H$110</f>
        <v>Baby Mario</v>
      </c>
      <c r="C380" s="49" t="s">
        <v>193</v>
      </c>
      <c r="D380" s="49"/>
      <c r="E380" s="49" t="s">
        <v>193</v>
      </c>
      <c r="F380" s="49"/>
      <c r="G380" s="49"/>
      <c r="H380" s="50"/>
      <c r="I380" s="50"/>
      <c r="J380" s="50"/>
      <c r="K380" s="50"/>
      <c r="L380" s="50"/>
      <c r="M380" s="67">
        <f ca="1">IF($B380="","",SUM(_xlfn.XLOOKUP(C380,Lists!$P$2:$P$19,Lists!$R$2:$R$19,0),_xlfn.XLOOKUP(E380,Lists!$P$2:$P$19,Lists!$R$2:$R$19,0),_xlfn.XLOOKUP(G380,Lists!$P$2:$P$19,Lists!$R$2:$R$19,0),_xlfn.XLOOKUP(I380,Lists!$P$2:$P$19,Lists!$R$2:$R$19,0),_xlfn.XLOOKUP(K380,Lists!$P$2:$P$19,Lists!$R$2:$R$19,0)))</f>
        <v>2</v>
      </c>
      <c r="N380" s="68">
        <f ca="1">IF($B380="","",SUM(_xlfn.XLOOKUP(D380,Lists!$AC$2:$AC$9,Lists!$AE$2:$AE$9,0),_xlfn.XLOOKUP(F380,Lists!$AC$2:$AC$9,Lists!$AE$2:$AE$9,0),_xlfn.XLOOKUP(H380,Lists!$AC$2:$AC$9,Lists!$AE$2:$AE$9,0),_xlfn.XLOOKUP(J380,Lists!$AC$2:$AC$9,Lists!$AE$2:$AE$9,0),_xlfn.XLOOKUP(L380,Lists!$AC$2:$AC$9,Lists!$AE$2:$AE$9,0)))</f>
        <v>0</v>
      </c>
      <c r="O380" s="68">
        <f ca="1">IF($B380="","",SUM(_xlfn.XLOOKUP(C380,Lists!$P$2:$P$19,Lists!$S$2:$S$19,0),_xlfn.XLOOKUP(E380,Lists!$P$2:$P$19,Lists!$S$2:$S$19,0),_xlfn.XLOOKUP(G380,Lists!$P$2:$P$19,Lists!$S$2:$S$19,0),_xlfn.XLOOKUP(I380,Lists!$P$2:$P$19,Lists!$S$2:$S$19,0),_xlfn.XLOOKUP(K380,Lists!$P$2:$P$19,Lists!$S$2:$S$19,0)))</f>
        <v>0</v>
      </c>
      <c r="P380" s="68">
        <f ca="1">IF($B380="","",SUM(_xlfn.XLOOKUP(C380,Lists!$P$2:$P$19,Lists!$T$2:$T$19,0),_xlfn.XLOOKUP(E380,Lists!$P$2:$P$19,Lists!$T$2:$T$19,0),_xlfn.XLOOKUP(G380,Lists!$P$2:$P$19,Lists!$T$2:$T$19,0),_xlfn.XLOOKUP(I380,Lists!$P$2:$P$19,Lists!$T$2:$T$19,0),_xlfn.XLOOKUP(K380,Lists!$P$2:$P$19,Lists!$T$2:$T$19,0)))</f>
        <v>0</v>
      </c>
      <c r="Q380" s="68">
        <f ca="1">IF($B380="","",SUM(_xlfn.XLOOKUP(C380,Lists!$P$2:$P$19,Lists!$U$2:$U$19,0),_xlfn.XLOOKUP(E380,Lists!$P$2:$P$19,Lists!$U$2:$U$19,0),_xlfn.XLOOKUP(G380,Lists!$P$2:$P$19,Lists!$U$2:$U$19,0),_xlfn.XLOOKUP(I380,Lists!$P$2:$P$19,Lists!$U$2:$U$19,0),_xlfn.XLOOKUP(K380,Lists!$P$2:$P$19,Lists!$U$2:$U$19,0)))</f>
        <v>0</v>
      </c>
      <c r="R380" s="68">
        <f ca="1">IF($B380="","",SUM(_xlfn.XLOOKUP(C380,Lists!$P$2:$P$19,Lists!$V$2:$V$19,0),_xlfn.XLOOKUP(E380,Lists!$P$2:$P$19,Lists!$V$2:$V$19,0),_xlfn.XLOOKUP(G380,Lists!$P$2:$P$19,Lists!$V$2:$V$19,0),_xlfn.XLOOKUP(I380,Lists!$P$2:$P$19,Lists!$V$2:$V$19,0),_xlfn.XLOOKUP(K380,Lists!$P$2:$P$19,Lists!$V$2:$V$19,0)))</f>
        <v>0</v>
      </c>
      <c r="S380" s="68">
        <f ca="1">IF($B380="","",SUM(_xlfn.XLOOKUP(D380,Lists!$AC$2:$AC$9,Lists!$AD$2:$AD$9,0),_xlfn.XLOOKUP(F380,Lists!$AC$2:$AC$9,Lists!$AD$2:$AD$9,0),_xlfn.XLOOKUP(H380,Lists!$AC$2:$AC$9,Lists!$AD$2:$AD$9,0),_xlfn.XLOOKUP(J380,Lists!$AC$2:$AC$9,Lists!$AD$2:$AD$9,0),_xlfn.XLOOKUP(L380,Lists!$AC$2:$AC$9,Lists!$AD$2:$AD$9,0)))</f>
        <v>0</v>
      </c>
      <c r="T380" s="68">
        <f ca="1">IF($B380="","",SUM(_xlfn.XLOOKUP(C380,Lists!$P$2:$P$19,Lists!$W$2:$W$19,0),_xlfn.XLOOKUP(E380,Lists!$P$2:$P$19,Lists!$W$2:$W$19,0),_xlfn.XLOOKUP(G380,Lists!$P$2:$P$19,Lists!$W$2:$W$19,0),_xlfn.XLOOKUP(I380,Lists!$P$2:$P$19,Lists!$W$2:$W$19,0),_xlfn.XLOOKUP(K380,Lists!$P$2:$P$19,Lists!$W$2:$W$19,0)))</f>
        <v>0</v>
      </c>
      <c r="U380" s="68">
        <f ca="1">IF($B380="","",SUM(_xlfn.XLOOKUP(C380,Lists!$P$2:$P$19,Lists!$X$2:$X$19,0),_xlfn.XLOOKUP(E380,Lists!$P$2:$P$19,Lists!$X$2:$X$19,0),_xlfn.XLOOKUP(G380,Lists!$P$2:$P$19,Lists!$X$2:$X$19,0),_xlfn.XLOOKUP(I380,Lists!$P$2:$P$19,Lists!$X$2:$X$19,0),_xlfn.XLOOKUP(K380,Lists!$P$2:$P$19,Lists!$X$2:$X$19,0)))</f>
        <v>0</v>
      </c>
      <c r="V380" s="68">
        <f ca="1">IF($B380="","",SUM(_xlfn.XLOOKUP(C380,Lists!$P$2:$P$19,Lists!$Y$2:$Y$19,0),_xlfn.XLOOKUP(E380,Lists!$P$2:$P$19,Lists!$Y$2:$Y$19,0),_xlfn.XLOOKUP(G380,Lists!$P$2:$P$19,Lists!$Y$2:$Y$19,0),_xlfn.XLOOKUP(I380,Lists!$P$2:$P$19,Lists!$Y$2:$Y$19,0),_xlfn.XLOOKUP(K380,Lists!$P$2:$P$19,Lists!$Y$2:$Y$19,0)))</f>
        <v>0</v>
      </c>
      <c r="W380" s="68">
        <f ca="1">IF($B380="","",SUM(_xlfn.XLOOKUP(C380,Lists!$P$2:$P$19,Lists!$Z$2:$Z$19,0),_xlfn.XLOOKUP(E380,Lists!$P$2:$P$19,Lists!$Z$2:$Z$19,0),_xlfn.XLOOKUP(G380,Lists!$P$2:$P$19,Lists!$Z$2:$Z$19,0),_xlfn.XLOOKUP(I380,Lists!$P$2:$P$19,Lists!$Z$2:$Z$19,0),_xlfn.XLOOKUP(K380,Lists!$P$2:$P$19,Lists!$Z$2:$Z$19,0)))</f>
        <v>0</v>
      </c>
      <c r="X380" s="69">
        <f ca="1">IF($B380="","",SUM(_xlfn.XLOOKUP(C380,Lists!$P$2:$P$19,Lists!$AA$2:$AA$19,0),_xlfn.XLOOKUP(E380,Lists!$P$2:$P$19,Lists!$AA$2:$AA$19,0),_xlfn.XLOOKUP(G380,Lists!$P$2:$P$19,Lists!$AA$2:$AA$19,0),_xlfn.XLOOKUP(I380,Lists!$P$2:$P$19,Lists!$AA$2:$AA$19,0),_xlfn.XLOOKUP(K380,Lists!$P$2:$P$19,Lists!$AA$2:$AA$19,0)))</f>
        <v>0</v>
      </c>
      <c r="Y380" s="49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18"/>
      <c r="CN380" s="18"/>
      <c r="CO380" s="18"/>
      <c r="CP380" s="18"/>
      <c r="CQ380" s="18"/>
      <c r="CR380" s="18"/>
      <c r="CS380" s="18"/>
      <c r="CT380" s="18"/>
      <c r="CU380" s="18"/>
      <c r="CV380" s="18"/>
      <c r="CW380" s="18"/>
      <c r="CX380" s="18"/>
      <c r="CY380" s="18"/>
      <c r="CZ380" s="18"/>
      <c r="DA380" s="18"/>
      <c r="DB380" s="18"/>
      <c r="DC380" s="18"/>
      <c r="DD380" s="18"/>
      <c r="DE380" s="18"/>
      <c r="DF380" s="18"/>
    </row>
    <row r="381" spans="1:110">
      <c r="A381" s="168">
        <v>9</v>
      </c>
      <c r="B381" s="47" t="str">
        <f ca="1">Lineups!$H$111</f>
        <v>Baby Daisy</v>
      </c>
      <c r="C381" s="49" t="s">
        <v>193</v>
      </c>
      <c r="D381" s="49"/>
      <c r="E381" s="49"/>
      <c r="F381" s="49"/>
      <c r="G381" s="49"/>
      <c r="H381" s="50"/>
      <c r="I381" s="50"/>
      <c r="J381" s="50"/>
      <c r="K381" s="50"/>
      <c r="L381" s="50"/>
      <c r="M381" s="67">
        <f ca="1">IF($B381="","",SUM(_xlfn.XLOOKUP(C381,Lists!$P$2:$P$19,Lists!$R$2:$R$19,0),_xlfn.XLOOKUP(E381,Lists!$P$2:$P$19,Lists!$R$2:$R$19,0),_xlfn.XLOOKUP(G381,Lists!$P$2:$P$19,Lists!$R$2:$R$19,0),_xlfn.XLOOKUP(I381,Lists!$P$2:$P$19,Lists!$R$2:$R$19,0),_xlfn.XLOOKUP(K381,Lists!$P$2:$P$19,Lists!$R$2:$R$19,0)))</f>
        <v>1</v>
      </c>
      <c r="N381" s="68">
        <f ca="1">IF($B381="","",SUM(_xlfn.XLOOKUP(D381,Lists!$AC$2:$AC$9,Lists!$AE$2:$AE$9,0),_xlfn.XLOOKUP(F381,Lists!$AC$2:$AC$9,Lists!$AE$2:$AE$9,0),_xlfn.XLOOKUP(H381,Lists!$AC$2:$AC$9,Lists!$AE$2:$AE$9,0),_xlfn.XLOOKUP(J381,Lists!$AC$2:$AC$9,Lists!$AE$2:$AE$9,0),_xlfn.XLOOKUP(L381,Lists!$AC$2:$AC$9,Lists!$AE$2:$AE$9,0)))</f>
        <v>0</v>
      </c>
      <c r="O381" s="68">
        <f ca="1">IF($B381="","",SUM(_xlfn.XLOOKUP(C381,Lists!$P$2:$P$19,Lists!$S$2:$S$19,0),_xlfn.XLOOKUP(E381,Lists!$P$2:$P$19,Lists!$S$2:$S$19,0),_xlfn.XLOOKUP(G381,Lists!$P$2:$P$19,Lists!$S$2:$S$19,0),_xlfn.XLOOKUP(I381,Lists!$P$2:$P$19,Lists!$S$2:$S$19,0),_xlfn.XLOOKUP(K381,Lists!$P$2:$P$19,Lists!$S$2:$S$19,0)))</f>
        <v>0</v>
      </c>
      <c r="P381" s="68">
        <f ca="1">IF($B381="","",SUM(_xlfn.XLOOKUP(C381,Lists!$P$2:$P$19,Lists!$T$2:$T$19,0),_xlfn.XLOOKUP(E381,Lists!$P$2:$P$19,Lists!$T$2:$T$19,0),_xlfn.XLOOKUP(G381,Lists!$P$2:$P$19,Lists!$T$2:$T$19,0),_xlfn.XLOOKUP(I381,Lists!$P$2:$P$19,Lists!$T$2:$T$19,0),_xlfn.XLOOKUP(K381,Lists!$P$2:$P$19,Lists!$T$2:$T$19,0)))</f>
        <v>0</v>
      </c>
      <c r="Q381" s="68">
        <f ca="1">IF($B381="","",SUM(_xlfn.XLOOKUP(C381,Lists!$P$2:$P$19,Lists!$U$2:$U$19,0),_xlfn.XLOOKUP(E381,Lists!$P$2:$P$19,Lists!$U$2:$U$19,0),_xlfn.XLOOKUP(G381,Lists!$P$2:$P$19,Lists!$U$2:$U$19,0),_xlfn.XLOOKUP(I381,Lists!$P$2:$P$19,Lists!$U$2:$U$19,0),_xlfn.XLOOKUP(K381,Lists!$P$2:$P$19,Lists!$U$2:$U$19,0)))</f>
        <v>0</v>
      </c>
      <c r="R381" s="68">
        <f ca="1">IF($B381="","",SUM(_xlfn.XLOOKUP(C381,Lists!$P$2:$P$19,Lists!$V$2:$V$19,0),_xlfn.XLOOKUP(E381,Lists!$P$2:$P$19,Lists!$V$2:$V$19,0),_xlfn.XLOOKUP(G381,Lists!$P$2:$P$19,Lists!$V$2:$V$19,0),_xlfn.XLOOKUP(I381,Lists!$P$2:$P$19,Lists!$V$2:$V$19,0),_xlfn.XLOOKUP(K381,Lists!$P$2:$P$19,Lists!$V$2:$V$19,0)))</f>
        <v>0</v>
      </c>
      <c r="S381" s="68">
        <f ca="1">IF($B381="","",SUM(_xlfn.XLOOKUP(D381,Lists!$AC$2:$AC$9,Lists!$AD$2:$AD$9,0),_xlfn.XLOOKUP(F381,Lists!$AC$2:$AC$9,Lists!$AD$2:$AD$9,0),_xlfn.XLOOKUP(H381,Lists!$AC$2:$AC$9,Lists!$AD$2:$AD$9,0),_xlfn.XLOOKUP(J381,Lists!$AC$2:$AC$9,Lists!$AD$2:$AD$9,0),_xlfn.XLOOKUP(L381,Lists!$AC$2:$AC$9,Lists!$AD$2:$AD$9,0)))</f>
        <v>0</v>
      </c>
      <c r="T381" s="68">
        <f ca="1">IF($B381="","",SUM(_xlfn.XLOOKUP(C381,Lists!$P$2:$P$19,Lists!$W$2:$W$19,0),_xlfn.XLOOKUP(E381,Lists!$P$2:$P$19,Lists!$W$2:$W$19,0),_xlfn.XLOOKUP(G381,Lists!$P$2:$P$19,Lists!$W$2:$W$19,0),_xlfn.XLOOKUP(I381,Lists!$P$2:$P$19,Lists!$W$2:$W$19,0),_xlfn.XLOOKUP(K381,Lists!$P$2:$P$19,Lists!$W$2:$W$19,0)))</f>
        <v>0</v>
      </c>
      <c r="U381" s="68">
        <f ca="1">IF($B381="","",SUM(_xlfn.XLOOKUP(C381,Lists!$P$2:$P$19,Lists!$X$2:$X$19,0),_xlfn.XLOOKUP(E381,Lists!$P$2:$P$19,Lists!$X$2:$X$19,0),_xlfn.XLOOKUP(G381,Lists!$P$2:$P$19,Lists!$X$2:$X$19,0),_xlfn.XLOOKUP(I381,Lists!$P$2:$P$19,Lists!$X$2:$X$19,0),_xlfn.XLOOKUP(K381,Lists!$P$2:$P$19,Lists!$X$2:$X$19,0)))</f>
        <v>0</v>
      </c>
      <c r="V381" s="68">
        <f ca="1">IF($B381="","",SUM(_xlfn.XLOOKUP(C381,Lists!$P$2:$P$19,Lists!$Y$2:$Y$19,0),_xlfn.XLOOKUP(E381,Lists!$P$2:$P$19,Lists!$Y$2:$Y$19,0),_xlfn.XLOOKUP(G381,Lists!$P$2:$P$19,Lists!$Y$2:$Y$19,0),_xlfn.XLOOKUP(I381,Lists!$P$2:$P$19,Lists!$Y$2:$Y$19,0),_xlfn.XLOOKUP(K381,Lists!$P$2:$P$19,Lists!$Y$2:$Y$19,0)))</f>
        <v>0</v>
      </c>
      <c r="W381" s="68">
        <f ca="1">IF($B381="","",SUM(_xlfn.XLOOKUP(C381,Lists!$P$2:$P$19,Lists!$Z$2:$Z$19,0),_xlfn.XLOOKUP(E381,Lists!$P$2:$P$19,Lists!$Z$2:$Z$19,0),_xlfn.XLOOKUP(G381,Lists!$P$2:$P$19,Lists!$Z$2:$Z$19,0),_xlfn.XLOOKUP(I381,Lists!$P$2:$P$19,Lists!$Z$2:$Z$19,0),_xlfn.XLOOKUP(K381,Lists!$P$2:$P$19,Lists!$Z$2:$Z$19,0)))</f>
        <v>0</v>
      </c>
      <c r="X381" s="69">
        <f ca="1">IF($B381="","",SUM(_xlfn.XLOOKUP(C381,Lists!$P$2:$P$19,Lists!$AA$2:$AA$19,0),_xlfn.XLOOKUP(E381,Lists!$P$2:$P$19,Lists!$AA$2:$AA$19,0),_xlfn.XLOOKUP(G381,Lists!$P$2:$P$19,Lists!$AA$2:$AA$19,0),_xlfn.XLOOKUP(I381,Lists!$P$2:$P$19,Lists!$AA$2:$AA$19,0),_xlfn.XLOOKUP(K381,Lists!$P$2:$P$19,Lists!$AA$2:$AA$19,0)))</f>
        <v>0</v>
      </c>
      <c r="Y381" s="49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  <c r="CS381" s="18"/>
      <c r="CT381" s="18"/>
      <c r="CU381" s="18"/>
      <c r="CV381" s="18"/>
      <c r="CW381" s="18"/>
      <c r="CX381" s="18"/>
      <c r="CY381" s="18"/>
      <c r="CZ381" s="18"/>
      <c r="DA381" s="18"/>
      <c r="DB381" s="18"/>
      <c r="DC381" s="18"/>
      <c r="DD381" s="18"/>
      <c r="DE381" s="18"/>
      <c r="DF381" s="18"/>
    </row>
    <row r="382" spans="1:110">
      <c r="A382" s="173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  <c r="CR382" s="18"/>
      <c r="CS382" s="18"/>
      <c r="CT382" s="18"/>
      <c r="CU382" s="18"/>
      <c r="CV382" s="18"/>
      <c r="CW382" s="18"/>
      <c r="CX382" s="18"/>
      <c r="CY382" s="18"/>
      <c r="CZ382" s="18"/>
      <c r="DA382" s="18"/>
      <c r="DB382" s="18"/>
      <c r="DC382" s="18"/>
      <c r="DD382" s="18"/>
      <c r="DE382" s="18"/>
      <c r="DF382" s="18"/>
    </row>
    <row r="383" spans="1:110">
      <c r="A383" s="222" t="str">
        <f ca="1">IF($R$345="","Team B Pitching",$R$345&amp;" Pitching")</f>
        <v>Jason Pitching</v>
      </c>
      <c r="B383" s="221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06"/>
      <c r="O383" s="186"/>
      <c r="P383" s="24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18"/>
      <c r="CN383" s="18"/>
      <c r="CO383" s="18"/>
      <c r="CP383" s="18"/>
      <c r="CQ383" s="18"/>
      <c r="CR383" s="18"/>
      <c r="CS383" s="18"/>
      <c r="CT383" s="18"/>
      <c r="CU383" s="18"/>
      <c r="CV383" s="18"/>
      <c r="CW383" s="18"/>
      <c r="CX383" s="18"/>
      <c r="CY383" s="18"/>
      <c r="CZ383" s="18"/>
      <c r="DA383" s="18"/>
      <c r="DB383" s="18"/>
      <c r="DC383" s="18"/>
      <c r="DD383" s="18"/>
      <c r="DE383" s="18"/>
      <c r="DF383" s="18"/>
    </row>
    <row r="384" spans="1:110">
      <c r="A384" s="167" t="s">
        <v>103</v>
      </c>
      <c r="B384" s="43" t="s">
        <v>194</v>
      </c>
      <c r="C384" s="43" t="s">
        <v>195</v>
      </c>
      <c r="D384" s="43" t="s">
        <v>162</v>
      </c>
      <c r="E384" s="43" t="s">
        <v>161</v>
      </c>
      <c r="F384" s="43" t="s">
        <v>196</v>
      </c>
      <c r="G384" s="43" t="s">
        <v>180</v>
      </c>
      <c r="H384" s="43" t="s">
        <v>181</v>
      </c>
      <c r="I384" s="44" t="s">
        <v>197</v>
      </c>
      <c r="J384" s="44" t="s">
        <v>198</v>
      </c>
      <c r="K384" s="44" t="s">
        <v>199</v>
      </c>
      <c r="L384" s="44" t="s">
        <v>200</v>
      </c>
      <c r="M384" s="44" t="s">
        <v>201</v>
      </c>
      <c r="N384" s="45" t="s">
        <v>202</v>
      </c>
      <c r="O384" s="45" t="s">
        <v>203</v>
      </c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  <c r="CV384" s="18"/>
      <c r="CW384" s="18"/>
      <c r="CX384" s="18"/>
      <c r="CY384" s="18"/>
      <c r="CZ384" s="18"/>
      <c r="DA384" s="18"/>
      <c r="DB384" s="18"/>
      <c r="DC384" s="18"/>
      <c r="DD384" s="18"/>
      <c r="DE384" s="18"/>
      <c r="DF384" s="18"/>
    </row>
    <row r="385" spans="1:110">
      <c r="A385" s="168">
        <v>1</v>
      </c>
      <c r="B385" s="71" t="s">
        <v>47</v>
      </c>
      <c r="C385" s="70" cm="1">
        <f t="array" aca="1" ref="C385" ca="1">IF(OR(B385="",O385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2</v>
      </c>
      <c r="D385" s="67" cm="1">
        <f t="array" aca="1" ref="D385" ca="1">IF(OR(B385="",O385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4</v>
      </c>
      <c r="E385" s="67" cm="1">
        <f t="array" aca="1" ref="E385" ca="1">IF(OR(B385="",O385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385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2</v>
      </c>
      <c r="F385" s="67" cm="1">
        <f t="array" aca="1" ref="F385" ca="1">IF(OR(B385="",O385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385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2</v>
      </c>
      <c r="G385" s="67" cm="1">
        <f t="array" aca="1" ref="G385" ca="1">IF(OR(B385="",O385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385" s="67" cm="1">
        <f t="array" aca="1" ref="H385" ca="1">IF(OR(B385="",O385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0</v>
      </c>
      <c r="I385" s="68" cm="1">
        <f t="array" aca="1" ref="I385" ca="1">IF(OR(B385="",O385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385" s="68" cm="1">
        <f t="array" aca="1" ref="J385" ca="1">IF(OR(B385="",O385=""),"",--(SUM(_xlfn.XLOOKUP(_xlfn._xlws.FILTER(_xlfn.TOCOL(_xlfn.CHOOSECOLS(C373:L381,2,4,6,8,10),0,TRUE),_xlfn.TOCOL(_xlfn.CHOOSECOLS(C373:L381,1,3,5,7,9),0,TRUE)&lt;&gt;""),Lists!$AC$2:$AC$9,Lists!$AF$2:$AF$9,0))&gt;SUM(_xlfn.XLOOKUP(_xlfn._xlws.FILTER(_xlfn.TOCOL(_xlfn.CHOOSECOLS(C352:L360,2,4,6,8,10),0,TRUE),_xlfn.TOCOL(_xlfn.CHOOSECOLS(C352:L360,1,3,5,7,9),0,TRUE)&lt;&gt;""),Lists!$AC$2:$AC$9,Lists!$AF$2:$AF$9,0)))*--(ROW()-ROW(C384)=_xlfn.XLOOKUP(MAX(IF(O385:O390&gt;0,INT(C385:C390)*3+MOD(ROUND(C385:C390*10,0),10),-1)),IF(O385:O390&gt;0,INT(C385:C390)*3+MOD(ROUND(C385:C390*10,0),10),-1),_xlfn.SEQUENCE(ROWS(O385:O390)),,0)))</f>
        <v>0</v>
      </c>
      <c r="K385" s="68" cm="1">
        <f t="array" aca="1" ref="K385" ca="1">IF(OR(B385="",O385=""),"",--(SUM(_xlfn.XLOOKUP(_xlfn._xlws.FILTER(_xlfn.TOCOL(_xlfn.CHOOSECOLS(C373:L381,2,4,6,8,10),0,TRUE),_xlfn.TOCOL(_xlfn.CHOOSECOLS(C373:L381,1,3,5,7,9),0,TRUE)&lt;&gt;""),Lists!$AC$2:$AC$9,Lists!$AF$2:$AF$9,0))&lt;SUM(_xlfn.XLOOKUP(_xlfn._xlws.FILTER(_xlfn.TOCOL(_xlfn.CHOOSECOLS(C352:L360,2,4,6,8,10),0,TRUE),_xlfn.TOCOL(_xlfn.CHOOSECOLS(C352:L360,1,3,5,7,9),0,TRUE)&lt;&gt;""),Lists!$AC$2:$AC$9,Lists!$AF$2:$AF$9,0)))*--(ROW()-ROW(C384)=_xlfn.XLOOKUP(MAX(IF(O385:O390&gt;0,E385:E390,-1)),IF(O385:O390&gt;0,E385:E390,-1),_xlfn.SEQUENCE(ROWS(O385:O390)),,0)))</f>
        <v>1</v>
      </c>
      <c r="L385" s="68" cm="1">
        <f t="array" aca="1" ref="L385" ca="1">IF(OR(B385="",O385=""),"",--(SUM(_xlfn.XLOOKUP(_xlfn._xlws.FILTER(_xlfn.TOCOL(_xlfn.CHOOSECOLS(C373:L381,2,4,6,8,10),0,TRUE),_xlfn.TOCOL(_xlfn.CHOOSECOLS(C373:L381,1,3,5,7,9),0,TRUE)&lt;&gt;""),Lists!$AC$2:$AC$9,Lists!$AF$2:$AF$9,0))&gt;SUM(_xlfn.XLOOKUP(_xlfn._xlws.FILTER(_xlfn.TOCOL(_xlfn.CHOOSECOLS(C352:L360,2,4,6,8,10),0,TRUE),_xlfn.TOCOL(_xlfn.CHOOSECOLS(C352:L360,1,3,5,7,9),0,TRUE)&lt;&gt;""),Lists!$AC$2:$AC$9,Lists!$AF$2:$AF$9,0)))*--(COUNTIF(O385:O390,"&gt;0")&gt;1)*--(ROW()-ROW(C384)=_xlfn.XLOOKUP(TRUE,O385:O390&gt;0,_xlfn.SEQUENCE(ROWS(O385:O390)),,0,-1))*--(_xlfn.XLOOKUP(TRUE,O385:O390&gt;0,_xlfn.SEQUENCE(ROWS(O385:O390)),,0,-1)&lt;&gt;_xlfn.XLOOKUP(MAX(IF(O385:O390&gt;0,INT(C385:C390)*3+MOD(ROUND(C385:C390*10,0),10),-1)),IF(O385:O390&gt;0,INT(C385:C390)*3+MOD(ROUND(C385:C390*10,0),10),-1),_xlfn.SEQUENCE(ROWS(O385:O390)),,0))*--(SUM(_xlfn.XLOOKUP(_xlfn._xlws.FILTER(_xlfn.TOCOL(_xlfn.CHOOSECOLS(C373:L381,2,4,6,8,10),0,TRUE),_xlfn.TOCOL(_xlfn.CHOOSECOLS(C373:L381,1,3,5,7,9),0,TRUE)&lt;&gt;""),Lists!$AC$2:$AC$9,Lists!$AF$2:$AF$9,0))-SUM(_xlfn.XLOOKUP(_xlfn._xlws.FILTER(_xlfn.TOCOL(_xlfn.CHOOSECOLS(C352:L360,2,4,6,8,10),0,TRUE),_xlfn.TOCOL(_xlfn.CHOOSECOLS(C352:L360,1,3,5,7,9),0,TRUE)&lt;&gt;""),Lists!$AC$2:$AC$9,Lists!$AF$2:$AF$9,0))&lt;=3)*--((INT(C385)*3+MOD(ROUND(C385*10,0),10))&gt;=3))</f>
        <v>0</v>
      </c>
      <c r="M385" s="68" cm="1">
        <f t="array" aca="1" ref="M385" ca="1">IF(OR(B385="",O385=""),"",--(COUNTIF(O385:O390,"&gt;0")=1)*--(SUM(_xlfn.XLOOKUP(_xlfn._xlws.FILTER(_xlfn.TOCOL(_xlfn.CHOOSECOLS(C352:L360,2,4,6,8,10),0,TRUE),_xlfn.TOCOL(_xlfn.CHOOSECOLS(C352:L360,1,3,5,7,9),0,TRUE)&lt;&gt;""),Lists!$AC$2:$AC$9,Lists!$AF$2:$AF$9,0))=0))</f>
        <v>0</v>
      </c>
      <c r="N385" s="69">
        <f ca="1">IF(OR(B385="",O385=""),"",--(COUNTIF(O385:O390,"&gt;0")=1))</f>
        <v>0</v>
      </c>
      <c r="O385" s="51">
        <v>9</v>
      </c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18"/>
      <c r="CN385" s="18"/>
      <c r="CO385" s="18"/>
      <c r="CP385" s="18"/>
      <c r="CQ385" s="18"/>
      <c r="CR385" s="18"/>
      <c r="CS385" s="18"/>
      <c r="CT385" s="18"/>
      <c r="CU385" s="18"/>
      <c r="CV385" s="18"/>
      <c r="CW385" s="18"/>
      <c r="CX385" s="18"/>
      <c r="CY385" s="18"/>
      <c r="CZ385" s="18"/>
      <c r="DA385" s="18"/>
      <c r="DB385" s="18"/>
      <c r="DC385" s="18"/>
      <c r="DD385" s="18"/>
      <c r="DE385" s="18"/>
      <c r="DF385" s="18"/>
    </row>
    <row r="386" spans="1:110">
      <c r="A386" s="168">
        <v>2</v>
      </c>
      <c r="B386" s="71" t="s">
        <v>60</v>
      </c>
      <c r="C386" s="70" cm="1">
        <f t="array" aca="1" ref="C386" ca="1">IF(OR(B386="",O386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1.1</v>
      </c>
      <c r="D386" s="67" cm="1">
        <f t="array" aca="1" ref="D386" ca="1">IF(OR(B386="",O386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2</v>
      </c>
      <c r="E386" s="67" cm="1">
        <f t="array" aca="1" ref="E386" ca="1">IF(OR(B386="",O386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386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0</v>
      </c>
      <c r="F386" s="67" cm="1">
        <f t="array" aca="1" ref="F386" ca="1">IF(OR(B386="",O386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386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0</v>
      </c>
      <c r="G386" s="67" cm="1">
        <f t="array" aca="1" ref="G386" ca="1">IF(OR(B386="",O386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386" s="67" cm="1">
        <f t="array" aca="1" ref="H386" ca="1">IF(OR(B386="",O386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2</v>
      </c>
      <c r="I386" s="68" cm="1">
        <f t="array" aca="1" ref="I386" ca="1">IF(OR(B386="",O386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386" s="68" cm="1">
        <f t="array" aca="1" ref="J386" ca="1">IF(OR(B386="",O386=""),"",--(SUM(_xlfn.XLOOKUP(_xlfn._xlws.FILTER(_xlfn.TOCOL(_xlfn.CHOOSECOLS(C373:L381,2,4,6,8,10),0,TRUE),_xlfn.TOCOL(_xlfn.CHOOSECOLS(C373:L381,1,3,5,7,9),0,TRUE)&lt;&gt;""),Lists!$AC$2:$AC$9,Lists!$AF$2:$AF$9,0))&gt;SUM(_xlfn.XLOOKUP(_xlfn._xlws.FILTER(_xlfn.TOCOL(_xlfn.CHOOSECOLS(C352:L360,2,4,6,8,10),0,TRUE),_xlfn.TOCOL(_xlfn.CHOOSECOLS(C352:L360,1,3,5,7,9),0,TRUE)&lt;&gt;""),Lists!$AC$2:$AC$9,Lists!$AF$2:$AF$9,0)))*--(ROW()-ROW(C384)=_xlfn.XLOOKUP(MAX(IF(O385:O390&gt;0,INT(C385:C390)*3+MOD(ROUND(C385:C390*10,0),10),-1)),IF(O385:O390&gt;0,INT(C385:C390)*3+MOD(ROUND(C385:C390*10,0),10),-1),_xlfn.SEQUENCE(ROWS(O385:O390)),,0)))</f>
        <v>0</v>
      </c>
      <c r="K386" s="68" cm="1">
        <f t="array" aca="1" ref="K386" ca="1">IF(OR(B386="",O386=""),"",--(SUM(_xlfn.XLOOKUP(_xlfn._xlws.FILTER(_xlfn.TOCOL(_xlfn.CHOOSECOLS(C373:L381,2,4,6,8,10),0,TRUE),_xlfn.TOCOL(_xlfn.CHOOSECOLS(C373:L381,1,3,5,7,9),0,TRUE)&lt;&gt;""),Lists!$AC$2:$AC$9,Lists!$AF$2:$AF$9,0))&lt;SUM(_xlfn.XLOOKUP(_xlfn._xlws.FILTER(_xlfn.TOCOL(_xlfn.CHOOSECOLS(C352:L360,2,4,6,8,10),0,TRUE),_xlfn.TOCOL(_xlfn.CHOOSECOLS(C352:L360,1,3,5,7,9),0,TRUE)&lt;&gt;""),Lists!$AC$2:$AC$9,Lists!$AF$2:$AF$9,0)))*--(ROW()-ROW(C384)=_xlfn.XLOOKUP(MAX(IF(O385:O390&gt;0,E385:E390,-1)),IF(O385:O390&gt;0,E385:E390,-1),_xlfn.SEQUENCE(ROWS(O385:O390)),,0)))</f>
        <v>0</v>
      </c>
      <c r="L386" s="68" cm="1">
        <f t="array" aca="1" ref="L386" ca="1">IF(OR(B386="",O386=""),"",--(SUM(_xlfn.XLOOKUP(_xlfn._xlws.FILTER(_xlfn.TOCOL(_xlfn.CHOOSECOLS(C373:L381,2,4,6,8,10),0,TRUE),_xlfn.TOCOL(_xlfn.CHOOSECOLS(C373:L381,1,3,5,7,9),0,TRUE)&lt;&gt;""),Lists!$AC$2:$AC$9,Lists!$AF$2:$AF$9,0))&gt;SUM(_xlfn.XLOOKUP(_xlfn._xlws.FILTER(_xlfn.TOCOL(_xlfn.CHOOSECOLS(C352:L360,2,4,6,8,10),0,TRUE),_xlfn.TOCOL(_xlfn.CHOOSECOLS(C352:L360,1,3,5,7,9),0,TRUE)&lt;&gt;""),Lists!$AC$2:$AC$9,Lists!$AF$2:$AF$9,0)))*--(COUNTIF(O385:O390,"&gt;0")&gt;1)*--(ROW()-ROW(C384)=_xlfn.XLOOKUP(TRUE,O385:O390&gt;0,_xlfn.SEQUENCE(ROWS(O385:O390)),,0,-1))*--(_xlfn.XLOOKUP(TRUE,O385:O390&gt;0,_xlfn.SEQUENCE(ROWS(O385:O390)),,0,-1)&lt;&gt;_xlfn.XLOOKUP(MAX(IF(O385:O390&gt;0,INT(C385:C390)*3+MOD(ROUND(C385:C390*10,0),10),-1)),IF(O385:O390&gt;0,INT(C385:C390)*3+MOD(ROUND(C385:C390*10,0),10),-1),_xlfn.SEQUENCE(ROWS(O385:O390)),,0))*--(SUM(_xlfn.XLOOKUP(_xlfn._xlws.FILTER(_xlfn.TOCOL(_xlfn.CHOOSECOLS(C373:L381,2,4,6,8,10),0,TRUE),_xlfn.TOCOL(_xlfn.CHOOSECOLS(C373:L381,1,3,5,7,9),0,TRUE)&lt;&gt;""),Lists!$AC$2:$AC$9,Lists!$AF$2:$AF$9,0))-SUM(_xlfn.XLOOKUP(_xlfn._xlws.FILTER(_xlfn.TOCOL(_xlfn.CHOOSECOLS(C352:L360,2,4,6,8,10),0,TRUE),_xlfn.TOCOL(_xlfn.CHOOSECOLS(C352:L360,1,3,5,7,9),0,TRUE)&lt;&gt;""),Lists!$AC$2:$AC$9,Lists!$AF$2:$AF$9,0))&lt;=3)*--((INT(C386)*3+MOD(ROUND(C386*10,0),10))&gt;=3))</f>
        <v>0</v>
      </c>
      <c r="M386" s="68" cm="1">
        <f t="array" aca="1" ref="M386" ca="1">IF(OR(B386="",O386=""),"",--(COUNTIF(O385:O390,"&gt;0")=1)*--(SUM(_xlfn.XLOOKUP(_xlfn._xlws.FILTER(_xlfn.TOCOL(_xlfn.CHOOSECOLS(C352:L360,2,4,6,8,10),0,TRUE),_xlfn.TOCOL(_xlfn.CHOOSECOLS(C352:L360,1,3,5,7,9),0,TRUE)&lt;&gt;""),Lists!$AC$2:$AC$9,Lists!$AF$2:$AF$9,0))=0))</f>
        <v>0</v>
      </c>
      <c r="N386" s="69">
        <f ca="1">IF(OR(B386="",O386=""),"",--(COUNTIF(O385:O390,"&gt;0")=1))</f>
        <v>0</v>
      </c>
      <c r="O386" s="51">
        <v>6</v>
      </c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  <c r="CR386" s="18"/>
      <c r="CS386" s="18"/>
      <c r="CT386" s="18"/>
      <c r="CU386" s="18"/>
      <c r="CV386" s="18"/>
      <c r="CW386" s="18"/>
      <c r="CX386" s="18"/>
      <c r="CY386" s="18"/>
      <c r="CZ386" s="18"/>
      <c r="DA386" s="18"/>
      <c r="DB386" s="18"/>
      <c r="DC386" s="18"/>
      <c r="DD386" s="18"/>
      <c r="DE386" s="18"/>
      <c r="DF386" s="18"/>
    </row>
    <row r="387" spans="1:110">
      <c r="A387" s="168">
        <v>3</v>
      </c>
      <c r="B387" s="71" t="s">
        <v>84</v>
      </c>
      <c r="C387" s="70" cm="1">
        <f t="array" aca="1" ref="C387" ca="1">IF(OR(B387="",O387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</c>
      <c r="D387" s="67" cm="1">
        <f t="array" aca="1" ref="D387" ca="1">IF(OR(B387="",O387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2</v>
      </c>
      <c r="E387" s="67" cm="1">
        <f t="array" aca="1" ref="E387" ca="1">IF(OR(B387="",O387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387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5</v>
      </c>
      <c r="F387" s="67" cm="1">
        <f t="array" aca="1" ref="F387" ca="1">IF(OR(B387="",O387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387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5</v>
      </c>
      <c r="G387" s="67" cm="1">
        <f t="array" aca="1" ref="G387" ca="1">IF(OR(B387="",O387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387" s="67" cm="1">
        <f t="array" aca="1" ref="H387" ca="1">IF(OR(B387="",O387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0</v>
      </c>
      <c r="I387" s="68" cm="1">
        <f t="array" aca="1" ref="I387" ca="1">IF(OR(B387="",O387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1</v>
      </c>
      <c r="J387" s="68" cm="1">
        <f t="array" aca="1" ref="J387" ca="1">IF(OR(B387="",O387=""),"",--(SUM(_xlfn.XLOOKUP(_xlfn._xlws.FILTER(_xlfn.TOCOL(_xlfn.CHOOSECOLS(C373:L381,2,4,6,8,10),0,TRUE),_xlfn.TOCOL(_xlfn.CHOOSECOLS(C373:L381,1,3,5,7,9),0,TRUE)&lt;&gt;""),Lists!$AC$2:$AC$9,Lists!$AF$2:$AF$9,0))&gt;SUM(_xlfn.XLOOKUP(_xlfn._xlws.FILTER(_xlfn.TOCOL(_xlfn.CHOOSECOLS(C352:L360,2,4,6,8,10),0,TRUE),_xlfn.TOCOL(_xlfn.CHOOSECOLS(C352:L360,1,3,5,7,9),0,TRUE)&lt;&gt;""),Lists!$AC$2:$AC$9,Lists!$AF$2:$AF$9,0)))*--(ROW()-ROW(C384)=_xlfn.XLOOKUP(MAX(IF(O385:O390&gt;0,INT(C385:C390)*3+MOD(ROUND(C385:C390*10,0),10),-1)),IF(O385:O390&gt;0,INT(C385:C390)*3+MOD(ROUND(C385:C390*10,0),10),-1),_xlfn.SEQUENCE(ROWS(O385:O390)),,0)))</f>
        <v>0</v>
      </c>
      <c r="K387" s="68" cm="1">
        <f t="array" aca="1" ref="K387" ca="1">IF(OR(B387="",O387=""),"",--(SUM(_xlfn.XLOOKUP(_xlfn._xlws.FILTER(_xlfn.TOCOL(_xlfn.CHOOSECOLS(C373:L381,2,4,6,8,10),0,TRUE),_xlfn.TOCOL(_xlfn.CHOOSECOLS(C373:L381,1,3,5,7,9),0,TRUE)&lt;&gt;""),Lists!$AC$2:$AC$9,Lists!$AF$2:$AF$9,0))&lt;SUM(_xlfn.XLOOKUP(_xlfn._xlws.FILTER(_xlfn.TOCOL(_xlfn.CHOOSECOLS(C352:L360,2,4,6,8,10),0,TRUE),_xlfn.TOCOL(_xlfn.CHOOSECOLS(C352:L360,1,3,5,7,9),0,TRUE)&lt;&gt;""),Lists!$AC$2:$AC$9,Lists!$AF$2:$AF$9,0)))*--(ROW()-ROW(C384)=_xlfn.XLOOKUP(MAX(IF(O385:O390&gt;0,E385:E390,-1)),IF(O385:O390&gt;0,E385:E390,-1),_xlfn.SEQUENCE(ROWS(O385:O390)),,0)))</f>
        <v>0</v>
      </c>
      <c r="L387" s="68" cm="1">
        <f t="array" aca="1" ref="L387" ca="1">IF(OR(B387="",O387=""),"",--(SUM(_xlfn.XLOOKUP(_xlfn._xlws.FILTER(_xlfn.TOCOL(_xlfn.CHOOSECOLS(C373:L381,2,4,6,8,10),0,TRUE),_xlfn.TOCOL(_xlfn.CHOOSECOLS(C373:L381,1,3,5,7,9),0,TRUE)&lt;&gt;""),Lists!$AC$2:$AC$9,Lists!$AF$2:$AF$9,0))&gt;SUM(_xlfn.XLOOKUP(_xlfn._xlws.FILTER(_xlfn.TOCOL(_xlfn.CHOOSECOLS(C352:L360,2,4,6,8,10),0,TRUE),_xlfn.TOCOL(_xlfn.CHOOSECOLS(C352:L360,1,3,5,7,9),0,TRUE)&lt;&gt;""),Lists!$AC$2:$AC$9,Lists!$AF$2:$AF$9,0)))*--(COUNTIF(O385:O390,"&gt;0")&gt;1)*--(ROW()-ROW(C384)=_xlfn.XLOOKUP(TRUE,O385:O390&gt;0,_xlfn.SEQUENCE(ROWS(O385:O390)),,0,-1))*--(_xlfn.XLOOKUP(TRUE,O385:O390&gt;0,_xlfn.SEQUENCE(ROWS(O385:O390)),,0,-1)&lt;&gt;_xlfn.XLOOKUP(MAX(IF(O385:O390&gt;0,INT(C385:C390)*3+MOD(ROUND(C385:C390*10,0),10),-1)),IF(O385:O390&gt;0,INT(C385:C390)*3+MOD(ROUND(C385:C390*10,0),10),-1),_xlfn.SEQUENCE(ROWS(O385:O390)),,0))*--(SUM(_xlfn.XLOOKUP(_xlfn._xlws.FILTER(_xlfn.TOCOL(_xlfn.CHOOSECOLS(C373:L381,2,4,6,8,10),0,TRUE),_xlfn.TOCOL(_xlfn.CHOOSECOLS(C373:L381,1,3,5,7,9),0,TRUE)&lt;&gt;""),Lists!$AC$2:$AC$9,Lists!$AF$2:$AF$9,0))-SUM(_xlfn.XLOOKUP(_xlfn._xlws.FILTER(_xlfn.TOCOL(_xlfn.CHOOSECOLS(C352:L360,2,4,6,8,10),0,TRUE),_xlfn.TOCOL(_xlfn.CHOOSECOLS(C352:L360,1,3,5,7,9),0,TRUE)&lt;&gt;""),Lists!$AC$2:$AC$9,Lists!$AF$2:$AF$9,0))&lt;=3)*--((INT(C387)*3+MOD(ROUND(C387*10,0),10))&gt;=3))</f>
        <v>0</v>
      </c>
      <c r="M387" s="68" cm="1">
        <f t="array" aca="1" ref="M387" ca="1">IF(OR(B387="",O387=""),"",--(COUNTIF(O385:O390,"&gt;0")=1)*--(SUM(_xlfn.XLOOKUP(_xlfn._xlws.FILTER(_xlfn.TOCOL(_xlfn.CHOOSECOLS(C352:L360,2,4,6,8,10),0,TRUE),_xlfn.TOCOL(_xlfn.CHOOSECOLS(C352:L360,1,3,5,7,9),0,TRUE)&lt;&gt;""),Lists!$AC$2:$AC$9,Lists!$AF$2:$AF$9,0))=0))</f>
        <v>0</v>
      </c>
      <c r="N387" s="69">
        <f ca="1">IF(OR(B387="",O387=""),"",--(COUNTIF(O385:O390,"&gt;0")=1))</f>
        <v>0</v>
      </c>
      <c r="O387" s="51">
        <v>3</v>
      </c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P387" s="18"/>
      <c r="CQ387" s="18"/>
      <c r="CR387" s="18"/>
      <c r="CS387" s="18"/>
      <c r="CT387" s="18"/>
      <c r="CU387" s="18"/>
      <c r="CV387" s="18"/>
      <c r="CW387" s="18"/>
      <c r="CX387" s="18"/>
      <c r="CY387" s="18"/>
      <c r="CZ387" s="18"/>
      <c r="DA387" s="18"/>
      <c r="DB387" s="18"/>
      <c r="DC387" s="18"/>
      <c r="DD387" s="18"/>
      <c r="DE387" s="18"/>
      <c r="DF387" s="18"/>
    </row>
    <row r="388" spans="1:110">
      <c r="A388" s="168">
        <v>4</v>
      </c>
      <c r="B388" s="71" t="s">
        <v>93</v>
      </c>
      <c r="C388" s="70" cm="1">
        <f t="array" aca="1" ref="C388" ca="1">IF(OR(B388="",O388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0.2</v>
      </c>
      <c r="D388" s="67" cm="1">
        <f t="array" aca="1" ref="D388" ca="1">IF(OR(B388="",O388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1</v>
      </c>
      <c r="E388" s="67" cm="1">
        <f t="array" aca="1" ref="E388" ca="1">IF(OR(B388="",O388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388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0</v>
      </c>
      <c r="F388" s="67" cm="1">
        <f t="array" aca="1" ref="F388" ca="1">IF(OR(B388="",O388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388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0</v>
      </c>
      <c r="G388" s="67" cm="1">
        <f t="array" aca="1" ref="G388" ca="1">IF(OR(B388="",O388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388" s="67" cm="1">
        <f t="array" aca="1" ref="H388" ca="1">IF(OR(B388="",O388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1</v>
      </c>
      <c r="I388" s="68" cm="1">
        <f t="array" aca="1" ref="I388" ca="1">IF(OR(B388="",O388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388" s="68" cm="1">
        <f t="array" aca="1" ref="J388" ca="1">IF(OR(B388="",O388=""),"",--(SUM(_xlfn.XLOOKUP(_xlfn._xlws.FILTER(_xlfn.TOCOL(_xlfn.CHOOSECOLS(C373:L381,2,4,6,8,10),0,TRUE),_xlfn.TOCOL(_xlfn.CHOOSECOLS(C373:L381,1,3,5,7,9),0,TRUE)&lt;&gt;""),Lists!$AC$2:$AC$9,Lists!$AF$2:$AF$9,0))&gt;SUM(_xlfn.XLOOKUP(_xlfn._xlws.FILTER(_xlfn.TOCOL(_xlfn.CHOOSECOLS(C352:L360,2,4,6,8,10),0,TRUE),_xlfn.TOCOL(_xlfn.CHOOSECOLS(C352:L360,1,3,5,7,9),0,TRUE)&lt;&gt;""),Lists!$AC$2:$AC$9,Lists!$AF$2:$AF$9,0)))*--(ROW()-ROW(C384)=_xlfn.XLOOKUP(MAX(IF(O385:O390&gt;0,INT(C385:C390)*3+MOD(ROUND(C385:C390*10,0),10),-1)),IF(O385:O390&gt;0,INT(C385:C390)*3+MOD(ROUND(C385:C390*10,0),10),-1),_xlfn.SEQUENCE(ROWS(O385:O390)),,0)))</f>
        <v>0</v>
      </c>
      <c r="K388" s="68" cm="1">
        <f t="array" aca="1" ref="K388" ca="1">IF(OR(B388="",O388=""),"",--(SUM(_xlfn.XLOOKUP(_xlfn._xlws.FILTER(_xlfn.TOCOL(_xlfn.CHOOSECOLS(C373:L381,2,4,6,8,10),0,TRUE),_xlfn.TOCOL(_xlfn.CHOOSECOLS(C373:L381,1,3,5,7,9),0,TRUE)&lt;&gt;""),Lists!$AC$2:$AC$9,Lists!$AF$2:$AF$9,0))&lt;SUM(_xlfn.XLOOKUP(_xlfn._xlws.FILTER(_xlfn.TOCOL(_xlfn.CHOOSECOLS(C352:L360,2,4,6,8,10),0,TRUE),_xlfn.TOCOL(_xlfn.CHOOSECOLS(C352:L360,1,3,5,7,9),0,TRUE)&lt;&gt;""),Lists!$AC$2:$AC$9,Lists!$AF$2:$AF$9,0)))*--(ROW()-ROW(C384)=_xlfn.XLOOKUP(MAX(IF(O385:O390&gt;0,E385:E390,-1)),IF(O385:O390&gt;0,E385:E390,-1),_xlfn.SEQUENCE(ROWS(O385:O390)),,0)))</f>
        <v>0</v>
      </c>
      <c r="L388" s="68" cm="1">
        <f t="array" aca="1" ref="L388" ca="1">IF(OR(B388="",O388=""),"",--(SUM(_xlfn.XLOOKUP(_xlfn._xlws.FILTER(_xlfn.TOCOL(_xlfn.CHOOSECOLS(C373:L381,2,4,6,8,10),0,TRUE),_xlfn.TOCOL(_xlfn.CHOOSECOLS(C373:L381,1,3,5,7,9),0,TRUE)&lt;&gt;""),Lists!$AC$2:$AC$9,Lists!$AF$2:$AF$9,0))&gt;SUM(_xlfn.XLOOKUP(_xlfn._xlws.FILTER(_xlfn.TOCOL(_xlfn.CHOOSECOLS(C352:L360,2,4,6,8,10),0,TRUE),_xlfn.TOCOL(_xlfn.CHOOSECOLS(C352:L360,1,3,5,7,9),0,TRUE)&lt;&gt;""),Lists!$AC$2:$AC$9,Lists!$AF$2:$AF$9,0)))*--(COUNTIF(O385:O390,"&gt;0")&gt;1)*--(ROW()-ROW(C384)=_xlfn.XLOOKUP(TRUE,O385:O390&gt;0,_xlfn.SEQUENCE(ROWS(O385:O390)),,0,-1))*--(_xlfn.XLOOKUP(TRUE,O385:O390&gt;0,_xlfn.SEQUENCE(ROWS(O385:O390)),,0,-1)&lt;&gt;_xlfn.XLOOKUP(MAX(IF(O385:O390&gt;0,INT(C385:C390)*3+MOD(ROUND(C385:C390*10,0),10),-1)),IF(O385:O390&gt;0,INT(C385:C390)*3+MOD(ROUND(C385:C390*10,0),10),-1),_xlfn.SEQUENCE(ROWS(O385:O390)),,0))*--(SUM(_xlfn.XLOOKUP(_xlfn._xlws.FILTER(_xlfn.TOCOL(_xlfn.CHOOSECOLS(C373:L381,2,4,6,8,10),0,TRUE),_xlfn.TOCOL(_xlfn.CHOOSECOLS(C373:L381,1,3,5,7,9),0,TRUE)&lt;&gt;""),Lists!$AC$2:$AC$9,Lists!$AF$2:$AF$9,0))-SUM(_xlfn.XLOOKUP(_xlfn._xlws.FILTER(_xlfn.TOCOL(_xlfn.CHOOSECOLS(C352:L360,2,4,6,8,10),0,TRUE),_xlfn.TOCOL(_xlfn.CHOOSECOLS(C352:L360,1,3,5,7,9),0,TRUE)&lt;&gt;""),Lists!$AC$2:$AC$9,Lists!$AF$2:$AF$9,0))&lt;=3)*--((INT(C388)*3+MOD(ROUND(C388*10,0),10))&gt;=3))</f>
        <v>0</v>
      </c>
      <c r="M388" s="68" cm="1">
        <f t="array" aca="1" ref="M388" ca="1">IF(OR(B388="",O388=""),"",--(COUNTIF(O385:O390,"&gt;0")=1)*--(SUM(_xlfn.XLOOKUP(_xlfn._xlws.FILTER(_xlfn.TOCOL(_xlfn.CHOOSECOLS(C352:L360,2,4,6,8,10),0,TRUE),_xlfn.TOCOL(_xlfn.CHOOSECOLS(C352:L360,1,3,5,7,9),0,TRUE)&lt;&gt;""),Lists!$AC$2:$AC$9,Lists!$AF$2:$AF$9,0))=0))</f>
        <v>0</v>
      </c>
      <c r="N388" s="69">
        <f ca="1">IF(OR(B388="",O388=""),"",--(COUNTIF(O385:O390,"&gt;0")=1))</f>
        <v>0</v>
      </c>
      <c r="O388" s="51">
        <v>3</v>
      </c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  <c r="CR388" s="18"/>
      <c r="CS388" s="18"/>
      <c r="CT388" s="18"/>
      <c r="CU388" s="18"/>
      <c r="CV388" s="18"/>
      <c r="CW388" s="18"/>
      <c r="CX388" s="18"/>
      <c r="CY388" s="18"/>
      <c r="CZ388" s="18"/>
      <c r="DA388" s="18"/>
      <c r="DB388" s="18"/>
      <c r="DC388" s="18"/>
      <c r="DD388" s="18"/>
      <c r="DE388" s="18"/>
      <c r="DF388" s="18"/>
    </row>
    <row r="389" spans="1:110">
      <c r="A389" s="168">
        <v>5</v>
      </c>
      <c r="B389" s="71"/>
      <c r="C389" s="70" t="str" cm="1">
        <f t="array" aca="1" ref="C389" ca="1">IF(OR(B389="",O389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389" s="67" t="str" cm="1">
        <f t="array" aca="1" ref="D389" ca="1">IF(OR(B389="",O389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389" s="67" t="str" cm="1">
        <f t="array" aca="1" ref="E389" ca="1">IF(OR(B389="",O389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389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389" s="67" t="str" cm="1">
        <f t="array" aca="1" ref="F389" ca="1">IF(OR(B389="",O389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389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389" s="67" t="str" cm="1">
        <f t="array" aca="1" ref="G389" ca="1">IF(OR(B389="",O389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389" s="67" t="str" cm="1">
        <f t="array" aca="1" ref="H389" ca="1">IF(OR(B389="",O389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389" s="68" t="str" cm="1">
        <f t="array" aca="1" ref="I389" ca="1">IF(OR(B389="",O389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389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389" s="68" t="str" cm="1">
        <f t="array" aca="1" ref="J389" ca="1">IF(OR(B389="",O389=""),"",--(SUM(_xlfn.XLOOKUP(_xlfn._xlws.FILTER(_xlfn.TOCOL(_xlfn.CHOOSECOLS(C373:L381,2,4,6,8,10),0,TRUE),_xlfn.TOCOL(_xlfn.CHOOSECOLS(C373:L381,1,3,5,7,9),0,TRUE)&lt;&gt;""),Lists!$AC$2:$AC$9,Lists!$AF$2:$AF$9,0))&gt;SUM(_xlfn.XLOOKUP(_xlfn._xlws.FILTER(_xlfn.TOCOL(_xlfn.CHOOSECOLS(C352:L360,2,4,6,8,10),0,TRUE),_xlfn.TOCOL(_xlfn.CHOOSECOLS(C352:L360,1,3,5,7,9),0,TRUE)&lt;&gt;""),Lists!$AC$2:$AC$9,Lists!$AF$2:$AF$9,0)))*--(ROW()-ROW(C384)=_xlfn.XLOOKUP(MAX(IF(O385:O390&gt;0,INT(C385:C390)*3+MOD(ROUND(C385:C390*10,0),10),-1)),IF(O385:O390&gt;0,INT(C385:C390)*3+MOD(ROUND(C385:C390*10,0),10),-1),_xlfn.SEQUENCE(ROWS(O385:O390)),,0)))</f>
        <v/>
      </c>
      <c r="K389" s="68" t="str" cm="1">
        <f t="array" aca="1" ref="K389" ca="1">IF(OR(B389="",O389=""),"",--(SUM(_xlfn.XLOOKUP(_xlfn._xlws.FILTER(_xlfn.TOCOL(_xlfn.CHOOSECOLS(C373:L381,2,4,6,8,10),0,TRUE),_xlfn.TOCOL(_xlfn.CHOOSECOLS(C373:L381,1,3,5,7,9),0,TRUE)&lt;&gt;""),Lists!$AC$2:$AC$9,Lists!$AF$2:$AF$9,0))&lt;SUM(_xlfn.XLOOKUP(_xlfn._xlws.FILTER(_xlfn.TOCOL(_xlfn.CHOOSECOLS(C352:L360,2,4,6,8,10),0,TRUE),_xlfn.TOCOL(_xlfn.CHOOSECOLS(C352:L360,1,3,5,7,9),0,TRUE)&lt;&gt;""),Lists!$AC$2:$AC$9,Lists!$AF$2:$AF$9,0)))*--(ROW()-ROW(C384)=_xlfn.XLOOKUP(MAX(IF(O385:O390&gt;0,E385:E390,-1)),IF(O385:O390&gt;0,E385:E390,-1),_xlfn.SEQUENCE(ROWS(O385:O390)),,0)))</f>
        <v/>
      </c>
      <c r="L389" s="68" t="str" cm="1">
        <f t="array" aca="1" ref="L389" ca="1">IF(OR(B389="",O389=""),"",--(SUM(_xlfn.XLOOKUP(_xlfn._xlws.FILTER(_xlfn.TOCOL(_xlfn.CHOOSECOLS(C373:L381,2,4,6,8,10),0,TRUE),_xlfn.TOCOL(_xlfn.CHOOSECOLS(C373:L381,1,3,5,7,9),0,TRUE)&lt;&gt;""),Lists!$AC$2:$AC$9,Lists!$AF$2:$AF$9,0))&gt;SUM(_xlfn.XLOOKUP(_xlfn._xlws.FILTER(_xlfn.TOCOL(_xlfn.CHOOSECOLS(C352:L360,2,4,6,8,10),0,TRUE),_xlfn.TOCOL(_xlfn.CHOOSECOLS(C352:L360,1,3,5,7,9),0,TRUE)&lt;&gt;""),Lists!$AC$2:$AC$9,Lists!$AF$2:$AF$9,0)))*--(COUNTIF(O385:O390,"&gt;0")&gt;1)*--(ROW()-ROW(C384)=_xlfn.XLOOKUP(TRUE,O385:O390&gt;0,_xlfn.SEQUENCE(ROWS(O385:O390)),,0,-1))*--(_xlfn.XLOOKUP(TRUE,O385:O390&gt;0,_xlfn.SEQUENCE(ROWS(O385:O390)),,0,-1)&lt;&gt;_xlfn.XLOOKUP(MAX(IF(O385:O390&gt;0,INT(C385:C390)*3+MOD(ROUND(C385:C390*10,0),10),-1)),IF(O385:O390&gt;0,INT(C385:C390)*3+MOD(ROUND(C385:C390*10,0),10),-1),_xlfn.SEQUENCE(ROWS(O385:O390)),,0))*--(SUM(_xlfn.XLOOKUP(_xlfn._xlws.FILTER(_xlfn.TOCOL(_xlfn.CHOOSECOLS(C373:L381,2,4,6,8,10),0,TRUE),_xlfn.TOCOL(_xlfn.CHOOSECOLS(C373:L381,1,3,5,7,9),0,TRUE)&lt;&gt;""),Lists!$AC$2:$AC$9,Lists!$AF$2:$AF$9,0))-SUM(_xlfn.XLOOKUP(_xlfn._xlws.FILTER(_xlfn.TOCOL(_xlfn.CHOOSECOLS(C352:L360,2,4,6,8,10),0,TRUE),_xlfn.TOCOL(_xlfn.CHOOSECOLS(C352:L360,1,3,5,7,9),0,TRUE)&lt;&gt;""),Lists!$AC$2:$AC$9,Lists!$AF$2:$AF$9,0))&lt;=3)*--((INT(C389)*3+MOD(ROUND(C389*10,0),10))&gt;=3))</f>
        <v/>
      </c>
      <c r="M389" s="68" t="str" cm="1">
        <f t="array" aca="1" ref="M389" ca="1">IF(OR(B389="",O389=""),"",--(COUNTIF(O385:O390,"&gt;0")=1)*--(SUM(_xlfn.XLOOKUP(_xlfn._xlws.FILTER(_xlfn.TOCOL(_xlfn.CHOOSECOLS(C352:L360,2,4,6,8,10),0,TRUE),_xlfn.TOCOL(_xlfn.CHOOSECOLS(C352:L360,1,3,5,7,9),0,TRUE)&lt;&gt;""),Lists!$AC$2:$AC$9,Lists!$AF$2:$AF$9,0))=0))</f>
        <v/>
      </c>
      <c r="N389" s="69" t="str">
        <f ca="1">IF(OR(B389="",O389=""),"",--(COUNTIF(O385:O390,"&gt;0")=1))</f>
        <v/>
      </c>
      <c r="O389" s="5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18"/>
      <c r="CN389" s="18"/>
      <c r="CO389" s="18"/>
      <c r="CP389" s="18"/>
      <c r="CQ389" s="18"/>
      <c r="CR389" s="18"/>
      <c r="CS389" s="18"/>
      <c r="CT389" s="18"/>
      <c r="CU389" s="18"/>
      <c r="CV389" s="18"/>
      <c r="CW389" s="18"/>
      <c r="CX389" s="18"/>
      <c r="CY389" s="18"/>
      <c r="CZ389" s="18"/>
      <c r="DA389" s="18"/>
      <c r="DB389" s="18"/>
      <c r="DC389" s="18"/>
      <c r="DD389" s="18"/>
      <c r="DE389" s="18"/>
      <c r="DF389" s="18"/>
    </row>
    <row r="390" spans="1:110">
      <c r="A390" s="168">
        <v>6</v>
      </c>
      <c r="B390" s="71"/>
      <c r="C390" s="70" t="str" cm="1">
        <f t="array" aca="1" ref="C390" ca="1">IF(OR(B390="",O390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390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390" s="67" t="str" cm="1">
        <f t="array" aca="1" ref="D390" ca="1">IF(OR(B390="",O390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390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390" s="67" t="str" cm="1">
        <f t="array" aca="1" ref="E390" ca="1">IF(OR(B390="",O390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390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390" s="67" t="str" cm="1">
        <f t="array" aca="1" ref="F390" ca="1">IF(OR(B390="",O390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390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390" s="67" t="str" cm="1">
        <f t="array" aca="1" ref="G390" ca="1">IF(OR(B390="",O390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390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390" s="67" t="str" cm="1">
        <f t="array" aca="1" ref="H390" ca="1">IF(OR(B390="",O390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390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390" s="68" t="str" cm="1">
        <f t="array" aca="1" ref="I390" ca="1">IF(OR(B390="",O390=""),"",_xlfn.LET(_xlpm.flatPAraw,_xlfn.TOCOL(_xlfn.CHOOSECOLS(C352:L360,1,3,5,7,9),0,TRUE),_xlpm.flatPARraw,_xlfn.TOCOL(_xlfn.CHOOSECOLS(C352:L360,2,4,6,8,10),0,TRUE),_xlpm.flatPA,_xlfn._xlws.FILTER(_xlpm.flatPAraw,_xlpm.flatPAraw&lt;&gt;""),_xlpm.flatPAR,_xlfn._xlws.FILTER(_xlpm.flatPARraw,_xlpm.flatPAraw&lt;&gt;""),_xlpm.prev,IF(ROW()=ROW(C385),0,SUM(INDEX(O:O,ROW(C385)):INDEX(O:O,ROW()-1))),_xlpm.need,O390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390" s="68" t="str" cm="1">
        <f t="array" aca="1" ref="J390" ca="1">IF(OR(B390="",O390=""),"",--(SUM(_xlfn.XLOOKUP(_xlfn._xlws.FILTER(_xlfn.TOCOL(_xlfn.CHOOSECOLS(C373:L381,2,4,6,8,10),0,TRUE),_xlfn.TOCOL(_xlfn.CHOOSECOLS(C373:L381,1,3,5,7,9),0,TRUE)&lt;&gt;""),Lists!$AC$2:$AC$9,Lists!$AF$2:$AF$9,0))&gt;SUM(_xlfn.XLOOKUP(_xlfn._xlws.FILTER(_xlfn.TOCOL(_xlfn.CHOOSECOLS(C352:L360,2,4,6,8,10),0,TRUE),_xlfn.TOCOL(_xlfn.CHOOSECOLS(C352:L360,1,3,5,7,9),0,TRUE)&lt;&gt;""),Lists!$AC$2:$AC$9,Lists!$AF$2:$AF$9,0)))*--(ROW()-ROW(C384)=_xlfn.XLOOKUP(MAX(IF(O385:O390&gt;0,INT(C385:C390)*3+MOD(ROUND(C385:C390*10,0),10),-1)),IF(O385:O390&gt;0,INT(C385:C390)*3+MOD(ROUND(C385:C390*10,0),10),-1),_xlfn.SEQUENCE(ROWS(O385:O390)),,0)))</f>
        <v/>
      </c>
      <c r="K390" s="68" t="str" cm="1">
        <f t="array" aca="1" ref="K390" ca="1">IF(OR(B390="",O390=""),"",--(SUM(_xlfn.XLOOKUP(_xlfn._xlws.FILTER(_xlfn.TOCOL(_xlfn.CHOOSECOLS(C373:L381,2,4,6,8,10),0,TRUE),_xlfn.TOCOL(_xlfn.CHOOSECOLS(C373:L381,1,3,5,7,9),0,TRUE)&lt;&gt;""),Lists!$AC$2:$AC$9,Lists!$AF$2:$AF$9,0))&lt;SUM(_xlfn.XLOOKUP(_xlfn._xlws.FILTER(_xlfn.TOCOL(_xlfn.CHOOSECOLS(C352:L360,2,4,6,8,10),0,TRUE),_xlfn.TOCOL(_xlfn.CHOOSECOLS(C352:L360,1,3,5,7,9),0,TRUE)&lt;&gt;""),Lists!$AC$2:$AC$9,Lists!$AF$2:$AF$9,0)))*--(ROW()-ROW(C384)=_xlfn.XLOOKUP(MAX(IF(O385:O390&gt;0,E385:E390,-1)),IF(O385:O390&gt;0,E385:E390,-1),_xlfn.SEQUENCE(ROWS(O385:O390)),,0)))</f>
        <v/>
      </c>
      <c r="L390" s="68" t="str" cm="1">
        <f t="array" aca="1" ref="L390" ca="1">IF(OR(B390="",O390=""),"",--(SUM(_xlfn.XLOOKUP(_xlfn._xlws.FILTER(_xlfn.TOCOL(_xlfn.CHOOSECOLS(C373:L381,2,4,6,8,10),0,TRUE),_xlfn.TOCOL(_xlfn.CHOOSECOLS(C373:L381,1,3,5,7,9),0,TRUE)&lt;&gt;""),Lists!$AC$2:$AC$9,Lists!$AF$2:$AF$9,0))&gt;SUM(_xlfn.XLOOKUP(_xlfn._xlws.FILTER(_xlfn.TOCOL(_xlfn.CHOOSECOLS(C352:L360,2,4,6,8,10),0,TRUE),_xlfn.TOCOL(_xlfn.CHOOSECOLS(C352:L360,1,3,5,7,9),0,TRUE)&lt;&gt;""),Lists!$AC$2:$AC$9,Lists!$AF$2:$AF$9,0)))*--(COUNTIF(O385:O390,"&gt;0")&gt;1)*--(ROW()-ROW(C384)=_xlfn.XLOOKUP(TRUE,O385:O390&gt;0,_xlfn.SEQUENCE(ROWS(O385:O390)),,0,-1))*--(_xlfn.XLOOKUP(TRUE,O385:O390&gt;0,_xlfn.SEQUENCE(ROWS(O385:O390)),,0,-1)&lt;&gt;_xlfn.XLOOKUP(MAX(IF(O385:O390&gt;0,INT(C385:C390)*3+MOD(ROUND(C385:C390*10,0),10),-1)),IF(O385:O390&gt;0,INT(C385:C390)*3+MOD(ROUND(C385:C390*10,0),10),-1),_xlfn.SEQUENCE(ROWS(O385:O390)),,0))*--(SUM(_xlfn.XLOOKUP(_xlfn._xlws.FILTER(_xlfn.TOCOL(_xlfn.CHOOSECOLS(C373:L381,2,4,6,8,10),0,TRUE),_xlfn.TOCOL(_xlfn.CHOOSECOLS(C373:L381,1,3,5,7,9),0,TRUE)&lt;&gt;""),Lists!$AC$2:$AC$9,Lists!$AF$2:$AF$9,0))-SUM(_xlfn.XLOOKUP(_xlfn._xlws.FILTER(_xlfn.TOCOL(_xlfn.CHOOSECOLS(C352:L360,2,4,6,8,10),0,TRUE),_xlfn.TOCOL(_xlfn.CHOOSECOLS(C352:L360,1,3,5,7,9),0,TRUE)&lt;&gt;""),Lists!$AC$2:$AC$9,Lists!$AF$2:$AF$9,0))&lt;=3)*--((INT(C390)*3+MOD(ROUND(C390*10,0),10))&gt;=3))</f>
        <v/>
      </c>
      <c r="M390" s="68" t="str" cm="1">
        <f t="array" aca="1" ref="M390" ca="1">IF(OR(B390="",O390=""),"",--(COUNTIF(O385:O390,"&gt;0")=1)*--(SUM(_xlfn.XLOOKUP(_xlfn._xlws.FILTER(_xlfn.TOCOL(_xlfn.CHOOSECOLS(C352:L360,2,4,6,8,10),0,TRUE),_xlfn.TOCOL(_xlfn.CHOOSECOLS(C352:L360,1,3,5,7,9),0,TRUE)&lt;&gt;""),Lists!$AC$2:$AC$9,Lists!$AF$2:$AF$9,0))=0))</f>
        <v/>
      </c>
      <c r="N390" s="69" t="str">
        <f ca="1">IF(OR(B390="",O390=""),"",--(COUNTIF(O385:O390,"&gt;0")=1))</f>
        <v/>
      </c>
      <c r="O390" s="5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  <c r="CR390" s="18"/>
      <c r="CS390" s="18"/>
      <c r="CT390" s="18"/>
      <c r="CU390" s="18"/>
      <c r="CV390" s="18"/>
      <c r="CW390" s="18"/>
      <c r="CX390" s="18"/>
      <c r="CY390" s="18"/>
      <c r="CZ390" s="18"/>
      <c r="DA390" s="18"/>
      <c r="DB390" s="18"/>
      <c r="DC390" s="18"/>
      <c r="DD390" s="18"/>
      <c r="DE390" s="18"/>
      <c r="DF390" s="18"/>
    </row>
    <row r="391" spans="1:110">
      <c r="A391" s="173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18"/>
      <c r="CN391" s="18"/>
      <c r="CO391" s="18"/>
      <c r="CP391" s="18"/>
      <c r="CQ391" s="18"/>
      <c r="CR391" s="18"/>
      <c r="CS391" s="18"/>
      <c r="CT391" s="18"/>
      <c r="CU391" s="18"/>
      <c r="CV391" s="18"/>
      <c r="CW391" s="18"/>
      <c r="CX391" s="18"/>
      <c r="CY391" s="18"/>
      <c r="CZ391" s="18"/>
      <c r="DA391" s="18"/>
      <c r="DB391" s="18"/>
      <c r="DC391" s="18"/>
      <c r="DD391" s="18"/>
      <c r="DE391" s="18"/>
      <c r="DF391" s="18"/>
    </row>
    <row r="392" spans="1:110">
      <c r="A392" s="174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  <c r="CR392" s="18"/>
      <c r="CS392" s="18"/>
      <c r="CT392" s="18"/>
      <c r="CU392" s="18"/>
      <c r="CV392" s="18"/>
      <c r="CW392" s="18"/>
      <c r="CX392" s="18"/>
      <c r="CY392" s="18"/>
      <c r="CZ392" s="18"/>
      <c r="DA392" s="18"/>
      <c r="DB392" s="18"/>
      <c r="DC392" s="18"/>
      <c r="DD392" s="18"/>
      <c r="DE392" s="18"/>
      <c r="DF392" s="18"/>
    </row>
    <row r="393" spans="1:110">
      <c r="A393" s="217" t="s">
        <v>213</v>
      </c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9"/>
      <c r="N393" s="207"/>
      <c r="O393" s="36"/>
      <c r="P393" s="37"/>
      <c r="Q393" s="38"/>
      <c r="R393" s="38"/>
      <c r="S393" s="38"/>
      <c r="T393" s="38"/>
      <c r="U393" s="38"/>
      <c r="V393" s="38"/>
      <c r="W393" s="38"/>
      <c r="X393" s="3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  <c r="CL393" s="18"/>
      <c r="CM393" s="18"/>
      <c r="CN393" s="18"/>
      <c r="CO393" s="18"/>
      <c r="CP393" s="18"/>
      <c r="CQ393" s="18"/>
      <c r="CR393" s="18"/>
      <c r="CS393" s="18"/>
      <c r="CT393" s="18"/>
      <c r="CU393" s="18"/>
      <c r="CV393" s="18"/>
      <c r="CW393" s="18"/>
      <c r="CX393" s="18"/>
      <c r="CY393" s="18"/>
      <c r="CZ393" s="18"/>
      <c r="DA393" s="18"/>
      <c r="DB393" s="18"/>
      <c r="DC393" s="18"/>
      <c r="DD393" s="18"/>
      <c r="DE393" s="18"/>
      <c r="DF393" s="18"/>
    </row>
    <row r="394" spans="1:110">
      <c r="A394" s="169" t="s">
        <v>33</v>
      </c>
      <c r="B394" s="40">
        <f>Settings!$B$2</f>
        <v>1</v>
      </c>
      <c r="C394" s="41"/>
      <c r="D394" s="40" t="s">
        <v>95</v>
      </c>
      <c r="E394" s="41"/>
      <c r="F394" s="40" t="str">
        <f>Bracket!$F$14</f>
        <v>G9</v>
      </c>
      <c r="G394" s="41"/>
      <c r="H394" s="40" t="s">
        <v>97</v>
      </c>
      <c r="I394" s="41"/>
      <c r="J394" s="40" t="str">
        <f>Bracket!$G$14</f>
        <v>Losers Final</v>
      </c>
      <c r="K394" s="41"/>
      <c r="L394" s="40" t="s">
        <v>134</v>
      </c>
      <c r="M394" s="24"/>
      <c r="N394" s="24" t="s">
        <v>21</v>
      </c>
      <c r="O394" s="24"/>
      <c r="P394" s="18"/>
      <c r="Q394" s="18"/>
      <c r="R394" s="18" t="str">
        <f ca="1">Bracket!$I$14</f>
        <v>May</v>
      </c>
      <c r="S394" s="18"/>
      <c r="T394" s="18"/>
      <c r="U394" s="18"/>
      <c r="V394" s="18" t="str">
        <f ca="1">Bracket!$L$14</f>
        <v>Jason</v>
      </c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  <c r="CR394" s="18"/>
      <c r="CS394" s="18"/>
      <c r="CT394" s="18"/>
      <c r="CU394" s="18"/>
      <c r="CV394" s="18"/>
      <c r="CW394" s="18"/>
      <c r="CX394" s="18"/>
      <c r="CY394" s="18"/>
      <c r="CZ394" s="18"/>
      <c r="DA394" s="18"/>
      <c r="DB394" s="18"/>
      <c r="DC394" s="18"/>
      <c r="DD394" s="18"/>
      <c r="DE394" s="18"/>
      <c r="DF394" s="18"/>
    </row>
    <row r="395" spans="1:110">
      <c r="A395" s="170" t="s">
        <v>160</v>
      </c>
      <c r="B395" s="72">
        <v>1</v>
      </c>
      <c r="C395" s="72">
        <v>2</v>
      </c>
      <c r="D395" s="72">
        <v>3</v>
      </c>
      <c r="E395" s="72">
        <v>4</v>
      </c>
      <c r="F395" s="72">
        <v>5</v>
      </c>
      <c r="G395" s="72">
        <v>6</v>
      </c>
      <c r="H395" s="72">
        <v>7</v>
      </c>
      <c r="I395" s="73">
        <v>8</v>
      </c>
      <c r="J395" s="73">
        <v>9</v>
      </c>
      <c r="K395" s="73" t="s">
        <v>161</v>
      </c>
      <c r="L395" s="73" t="s">
        <v>162</v>
      </c>
      <c r="M395" s="74" t="s">
        <v>163</v>
      </c>
      <c r="N395" s="24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  <c r="CL395" s="18"/>
      <c r="CM395" s="18"/>
      <c r="CN395" s="18"/>
      <c r="CO395" s="18"/>
      <c r="CP395" s="18"/>
      <c r="CQ395" s="18"/>
      <c r="CR395" s="18"/>
      <c r="CS395" s="18"/>
      <c r="CT395" s="18"/>
      <c r="CU395" s="18"/>
      <c r="CV395" s="18"/>
      <c r="CW395" s="18"/>
      <c r="CX395" s="18"/>
      <c r="CY395" s="18"/>
      <c r="CZ395" s="18"/>
      <c r="DA395" s="18"/>
      <c r="DB395" s="18"/>
      <c r="DC395" s="18"/>
      <c r="DD395" s="18"/>
      <c r="DE395" s="18"/>
      <c r="DF395" s="18"/>
    </row>
    <row r="396" spans="1:110">
      <c r="A396" s="171" t="s">
        <v>21</v>
      </c>
      <c r="B396" s="75" cm="1">
        <f t="array" aca="1" ref="B396" ca="1">IFERROR(_xlfn.LET(_xlpm.flatPAraw,_xlfn.TOCOL(_xlfn.CHOOSECOLS(C401:L409,1,3,5,7,9),0,TRUE),_xlpm.flatPARraw,_xlfn.TOCOL(_xlfn.CHOOSECOLS(C401:L409,2,4,6,8,10)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396" s="75" cm="1">
        <f t="array" aca="1" ref="C396" ca="1">IFERROR(_xlfn.LET(_xlpm.flatPAraw,_xlfn.TOCOL(_xlfn.CHOOSECOLS(C401:L409,1,3,5,7,9),0,TRUE),_xlpm.flatPARraw,_xlfn.TOCOL(_xlfn.CHOOSECOLS(C401:L409,2,4,6,8,10)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396" s="75" cm="1">
        <f t="array" aca="1" ref="D396" ca="1">IFERROR(_xlfn.LET(_xlpm.flatPAraw,_xlfn.TOCOL(_xlfn.CHOOSECOLS(C401:L409,1,3,5,7,9),0,TRUE),_xlpm.flatPARraw,_xlfn.TOCOL(_xlfn.CHOOSECOLS(C401:L409,2,4,6,8,10)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1</v>
      </c>
      <c r="E396" s="75" cm="1">
        <f t="array" aca="1" ref="E396" ca="1">IFERROR(_xlfn.LET(_xlpm.flatPAraw,_xlfn.TOCOL(_xlfn.CHOOSECOLS(C401:L409,1,3,5,7,9),0,TRUE),_xlpm.flatPARraw,_xlfn.TOCOL(_xlfn.CHOOSECOLS(C401:L409,2,4,6,8,10)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396" s="75" cm="1">
        <f t="array" aca="1" ref="F396" ca="1">IFERROR(_xlfn.LET(_xlpm.flatPAraw,_xlfn.TOCOL(_xlfn.CHOOSECOLS(C401:L409,1,3,5,7,9),0,TRUE),_xlpm.flatPARraw,_xlfn.TOCOL(_xlfn.CHOOSECOLS(C401:L409,2,4,6,8,10)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396" s="75" cm="1">
        <f t="array" aca="1" ref="G396" ca="1">IFERROR(_xlfn.LET(_xlpm.flatPAraw,_xlfn.TOCOL(_xlfn.CHOOSECOLS(C401:L409,1,3,5,7,9),0,TRUE),_xlpm.flatPARraw,_xlfn.TOCOL(_xlfn.CHOOSECOLS(C401:L409,2,4,6,8,10)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396" s="75" cm="1">
        <f t="array" aca="1" ref="H396" ca="1">IFERROR(_xlfn.LET(_xlpm.flatPAraw,_xlfn.TOCOL(_xlfn.CHOOSECOLS(C401:L409,1,3,5,7,9),0,TRUE),_xlpm.flatPARraw,_xlfn.TOCOL(_xlfn.CHOOSECOLS(C401:L409,2,4,6,8,10)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396" s="76" cm="1">
        <f t="array" aca="1" ref="I396" ca="1">IFERROR(_xlfn.LET(_xlpm.flatPAraw,_xlfn.TOCOL(_xlfn.CHOOSECOLS(C401:L409,1,3,5,7,9),0,TRUE),_xlpm.flatPARraw,_xlfn.TOCOL(_xlfn.CHOOSECOLS(C401:L409,2,4,6,8,10)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396" s="76" cm="1">
        <f t="array" aca="1" ref="J396" ca="1">IFERROR(_xlfn.LET(_xlpm.flatPAraw,_xlfn.TOCOL(_xlfn.CHOOSECOLS(C401:L409,1,3,5,7,9),0,TRUE),_xlpm.flatPARraw,_xlfn.TOCOL(_xlfn.CHOOSECOLS(C401:L409,2,4,6,8,10)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396" s="164">
        <f ca="1">SUM(B396:J396)</f>
        <v>1</v>
      </c>
      <c r="L396" s="77">
        <f ca="1">SUM(O401:O409)</f>
        <v>6</v>
      </c>
      <c r="M396" s="78">
        <f ca="1">COUNTIF(C422:L430,"ROE")</f>
        <v>0</v>
      </c>
      <c r="N396" s="24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  <c r="CR396" s="18"/>
      <c r="CS396" s="18"/>
      <c r="CT396" s="18"/>
      <c r="CU396" s="18"/>
      <c r="CV396" s="18"/>
      <c r="CW396" s="18"/>
      <c r="CX396" s="18"/>
      <c r="CY396" s="18"/>
      <c r="CZ396" s="18"/>
      <c r="DA396" s="18"/>
      <c r="DB396" s="18"/>
      <c r="DC396" s="18"/>
      <c r="DD396" s="18"/>
      <c r="DE396" s="18"/>
      <c r="DF396" s="18"/>
    </row>
    <row r="397" spans="1:110">
      <c r="A397" s="172" t="str">
        <f ca="1">R394</f>
        <v>May</v>
      </c>
      <c r="B397" s="79" cm="1">
        <f t="array" aca="1" ref="B397" ca="1">IFERROR(_xlfn.LET(_xlpm.flatPAraw,_xlfn.TOCOL(_xlfn.CHOOSECOLS(C422:L430,1,3,5,7,9),0,TRUE),_xlpm.flatPARraw,_xlfn.TOCOL(_xlfn.CHOOSECOLS(C422:L430,2,4,6,8,10)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397" s="79" cm="1">
        <f t="array" aca="1" ref="C397" ca="1">IFERROR(_xlfn.LET(_xlpm.flatPAraw,_xlfn.TOCOL(_xlfn.CHOOSECOLS(C422:L430,1,3,5,7,9),0,TRUE),_xlpm.flatPARraw,_xlfn.TOCOL(_xlfn.CHOOSECOLS(C422:L430,2,4,6,8,10)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397" s="79" cm="1">
        <f t="array" aca="1" ref="D397" ca="1">IFERROR(_xlfn.LET(_xlpm.flatPAraw,_xlfn.TOCOL(_xlfn.CHOOSECOLS(C422:L430,1,3,5,7,9),0,TRUE),_xlpm.flatPARraw,_xlfn.TOCOL(_xlfn.CHOOSECOLS(C422:L430,2,4,6,8,10)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397" s="79" cm="1">
        <f t="array" aca="1" ref="E397" ca="1">IFERROR(_xlfn.LET(_xlpm.flatPAraw,_xlfn.TOCOL(_xlfn.CHOOSECOLS(C422:L430,1,3,5,7,9),0,TRUE),_xlpm.flatPARraw,_xlfn.TOCOL(_xlfn.CHOOSECOLS(C422:L430,2,4,6,8,10)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397" s="79" cm="1">
        <f t="array" aca="1" ref="F397" ca="1">IFERROR(_xlfn.LET(_xlpm.flatPAraw,_xlfn.TOCOL(_xlfn.CHOOSECOLS(C422:L430,1,3,5,7,9),0,TRUE),_xlpm.flatPARraw,_xlfn.TOCOL(_xlfn.CHOOSECOLS(C422:L430,2,4,6,8,10)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397" s="79" cm="1">
        <f t="array" aca="1" ref="G397" ca="1">IFERROR(_xlfn.LET(_xlpm.flatPAraw,_xlfn.TOCOL(_xlfn.CHOOSECOLS(C422:L430,1,3,5,7,9),0,TRUE),_xlpm.flatPARraw,_xlfn.TOCOL(_xlfn.CHOOSECOLS(C422:L430,2,4,6,8,10)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397" s="79" cm="1">
        <f t="array" aca="1" ref="H397" ca="1">IFERROR(_xlfn.LET(_xlpm.flatPAraw,_xlfn.TOCOL(_xlfn.CHOOSECOLS(C422:L430,1,3,5,7,9),0,TRUE),_xlpm.flatPARraw,_xlfn.TOCOL(_xlfn.CHOOSECOLS(C422:L430,2,4,6,8,10)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397" s="80" cm="1">
        <f t="array" aca="1" ref="I397" ca="1">IFERROR(_xlfn.LET(_xlpm.flatPAraw,_xlfn.TOCOL(_xlfn.CHOOSECOLS(C422:L430,1,3,5,7,9),0,TRUE),_xlpm.flatPARraw,_xlfn.TOCOL(_xlfn.CHOOSECOLS(C422:L430,2,4,6,8,10)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397" s="80" cm="1">
        <f t="array" aca="1" ref="J397" ca="1">IFERROR(_xlfn.LET(_xlpm.flatPAraw,_xlfn.TOCOL(_xlfn.CHOOSECOLS(C422:L430,1,3,5,7,9),0,TRUE),_xlpm.flatPARraw,_xlfn.TOCOL(_xlfn.CHOOSECOLS(C422:L430,2,4,6,8,10)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397" s="165">
        <f ca="1">SUM(B397:J397)</f>
        <v>0</v>
      </c>
      <c r="L397" s="81">
        <f ca="1">SUM(O422:O430)</f>
        <v>0</v>
      </c>
      <c r="M397" s="82">
        <f ca="1">COUNTIF(C401:L409,"ROE")</f>
        <v>0</v>
      </c>
      <c r="N397" s="24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  <c r="CI397" s="18"/>
      <c r="CJ397" s="18"/>
      <c r="CK397" s="18"/>
      <c r="CL397" s="18"/>
      <c r="CM397" s="18"/>
      <c r="CN397" s="18"/>
      <c r="CO397" s="18"/>
      <c r="CP397" s="18"/>
      <c r="CQ397" s="18"/>
      <c r="CR397" s="18"/>
      <c r="CS397" s="18"/>
      <c r="CT397" s="18"/>
      <c r="CU397" s="18"/>
      <c r="CV397" s="18"/>
      <c r="CW397" s="18"/>
      <c r="CX397" s="18"/>
      <c r="CY397" s="18"/>
      <c r="CZ397" s="18"/>
      <c r="DA397" s="18"/>
      <c r="DB397" s="18"/>
      <c r="DC397" s="18"/>
      <c r="DD397" s="18"/>
      <c r="DE397" s="18"/>
      <c r="DF397" s="18"/>
    </row>
    <row r="398" spans="1:110">
      <c r="A398" s="173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  <c r="CR398" s="18"/>
      <c r="CS398" s="18"/>
      <c r="CT398" s="18"/>
      <c r="CU398" s="18"/>
      <c r="CV398" s="18"/>
      <c r="CW398" s="18"/>
      <c r="CX398" s="18"/>
      <c r="CY398" s="18"/>
      <c r="CZ398" s="18"/>
      <c r="DA398" s="18"/>
      <c r="DB398" s="18"/>
      <c r="DC398" s="18"/>
      <c r="DD398" s="18"/>
      <c r="DE398" s="18"/>
      <c r="DF398" s="18"/>
    </row>
    <row r="399" spans="1:110">
      <c r="A399" s="205" t="str">
        <f ca="1">IF($N$394="","Team A Batting",$N$394&amp;" Batting")</f>
        <v>Jason Batting</v>
      </c>
      <c r="B399" s="206"/>
      <c r="C399" s="206"/>
      <c r="D399" s="206"/>
      <c r="E399" s="206"/>
      <c r="F399" s="206"/>
      <c r="G399" s="206"/>
      <c r="H399" s="206"/>
      <c r="I399" s="206"/>
      <c r="J399" s="206"/>
      <c r="K399" s="206"/>
      <c r="L399" s="206"/>
      <c r="M399" s="206"/>
      <c r="N399" s="206"/>
      <c r="O399" s="181"/>
      <c r="P399" s="182"/>
      <c r="Q399" s="182"/>
      <c r="R399" s="182"/>
      <c r="S399" s="182"/>
      <c r="T399" s="182"/>
      <c r="U399" s="182"/>
      <c r="V399" s="182"/>
      <c r="W399" s="182"/>
      <c r="X399" s="182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  <c r="CL399" s="18"/>
      <c r="CM399" s="18"/>
      <c r="CN399" s="18"/>
      <c r="CO399" s="18"/>
      <c r="CP399" s="18"/>
      <c r="CQ399" s="18"/>
      <c r="CR399" s="18"/>
      <c r="CS399" s="18"/>
      <c r="CT399" s="18"/>
      <c r="CU399" s="18"/>
      <c r="CV399" s="18"/>
      <c r="CW399" s="18"/>
      <c r="CX399" s="18"/>
      <c r="CY399" s="18"/>
      <c r="CZ399" s="18"/>
      <c r="DA399" s="18"/>
      <c r="DB399" s="18"/>
      <c r="DC399" s="18"/>
      <c r="DD399" s="18"/>
      <c r="DE399" s="18"/>
      <c r="DF399" s="18"/>
    </row>
    <row r="400" spans="1:110">
      <c r="A400" s="167" t="s">
        <v>164</v>
      </c>
      <c r="B400" s="43" t="s">
        <v>39</v>
      </c>
      <c r="C400" s="43" t="s">
        <v>165</v>
      </c>
      <c r="D400" s="43" t="s">
        <v>166</v>
      </c>
      <c r="E400" s="43" t="s">
        <v>167</v>
      </c>
      <c r="F400" s="43" t="s">
        <v>168</v>
      </c>
      <c r="G400" s="43" t="s">
        <v>169</v>
      </c>
      <c r="H400" s="43" t="s">
        <v>170</v>
      </c>
      <c r="I400" s="43" t="s">
        <v>171</v>
      </c>
      <c r="J400" s="43" t="s">
        <v>172</v>
      </c>
      <c r="K400" s="43" t="s">
        <v>173</v>
      </c>
      <c r="L400" s="43" t="s">
        <v>174</v>
      </c>
      <c r="M400" s="43" t="s">
        <v>175</v>
      </c>
      <c r="N400" s="44" t="s">
        <v>161</v>
      </c>
      <c r="O400" s="44" t="s">
        <v>162</v>
      </c>
      <c r="P400" s="44" t="s">
        <v>176</v>
      </c>
      <c r="Q400" s="44" t="s">
        <v>177</v>
      </c>
      <c r="R400" s="44" t="s">
        <v>178</v>
      </c>
      <c r="S400" s="44" t="s">
        <v>179</v>
      </c>
      <c r="T400" s="44" t="s">
        <v>180</v>
      </c>
      <c r="U400" s="44" t="s">
        <v>181</v>
      </c>
      <c r="V400" s="44" t="s">
        <v>182</v>
      </c>
      <c r="W400" s="44" t="s">
        <v>183</v>
      </c>
      <c r="X400" s="45" t="s">
        <v>184</v>
      </c>
      <c r="Y400" s="45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P400" s="18"/>
      <c r="CQ400" s="18"/>
      <c r="CR400" s="18"/>
      <c r="CS400" s="18"/>
      <c r="CT400" s="18"/>
      <c r="CU400" s="18"/>
      <c r="CV400" s="18"/>
      <c r="CW400" s="18"/>
      <c r="CX400" s="18"/>
      <c r="CY400" s="18"/>
      <c r="CZ400" s="18"/>
      <c r="DA400" s="18"/>
      <c r="DB400" s="18"/>
      <c r="DC400" s="18"/>
      <c r="DD400" s="18"/>
      <c r="DE400" s="18"/>
      <c r="DF400" s="18"/>
    </row>
    <row r="401" spans="1:110">
      <c r="A401" s="168">
        <v>1</v>
      </c>
      <c r="B401" s="47" t="str">
        <f ca="1">Lineups!$C$117</f>
        <v>Yoshi</v>
      </c>
      <c r="C401" s="48" t="s">
        <v>188</v>
      </c>
      <c r="D401" s="49"/>
      <c r="E401" s="49" t="s">
        <v>188</v>
      </c>
      <c r="F401" s="49" t="s">
        <v>187</v>
      </c>
      <c r="G401" s="49"/>
      <c r="H401" s="50"/>
      <c r="I401" s="50"/>
      <c r="J401" s="50"/>
      <c r="K401" s="50"/>
      <c r="L401" s="50"/>
      <c r="M401" s="67">
        <f ca="1">IF($B401="","",SUM(_xlfn.XLOOKUP(C401,Lists!$P$2:$P$19,Lists!$R$2:$R$19,0),_xlfn.XLOOKUP(E401,Lists!$P$2:$P$19,Lists!$R$2:$R$19,0),_xlfn.XLOOKUP(G401,Lists!$P$2:$P$19,Lists!$R$2:$R$19,0),_xlfn.XLOOKUP(I401,Lists!$P$2:$P$19,Lists!$R$2:$R$19,0),_xlfn.XLOOKUP(K401,Lists!$P$2:$P$19,Lists!$R$2:$R$19,0)))</f>
        <v>2</v>
      </c>
      <c r="N401" s="68">
        <f ca="1">IF($B401="","",SUM(_xlfn.XLOOKUP(D401,Lists!$AC$2:$AC$9,Lists!$AE$2:$AE$9,0),_xlfn.XLOOKUP(F401,Lists!$AC$2:$AC$9,Lists!$AE$2:$AE$9,0),_xlfn.XLOOKUP(H401,Lists!$AC$2:$AC$9,Lists!$AE$2:$AE$9,0),_xlfn.XLOOKUP(J401,Lists!$AC$2:$AC$9,Lists!$AE$2:$AE$9,0),_xlfn.XLOOKUP(L401,Lists!$AC$2:$AC$9,Lists!$AE$2:$AE$9,0)))</f>
        <v>1</v>
      </c>
      <c r="O401" s="68">
        <f ca="1">IF($B401="","",SUM(_xlfn.XLOOKUP(C401,Lists!$P$2:$P$19,Lists!$S$2:$S$19,0),_xlfn.XLOOKUP(E401,Lists!$P$2:$P$19,Lists!$S$2:$S$19,0),_xlfn.XLOOKUP(G401,Lists!$P$2:$P$19,Lists!$S$2:$S$19,0),_xlfn.XLOOKUP(I401,Lists!$P$2:$P$19,Lists!$S$2:$S$19,0),_xlfn.XLOOKUP(K401,Lists!$P$2:$P$19,Lists!$S$2:$S$19,0)))</f>
        <v>2</v>
      </c>
      <c r="P401" s="68">
        <f ca="1">IF($B401="","",SUM(_xlfn.XLOOKUP(C401,Lists!$P$2:$P$19,Lists!$T$2:$T$19,0),_xlfn.XLOOKUP(E401,Lists!$P$2:$P$19,Lists!$T$2:$T$19,0),_xlfn.XLOOKUP(G401,Lists!$P$2:$P$19,Lists!$T$2:$T$19,0),_xlfn.XLOOKUP(I401,Lists!$P$2:$P$19,Lists!$T$2:$T$19,0),_xlfn.XLOOKUP(K401,Lists!$P$2:$P$19,Lists!$T$2:$T$19,0)))</f>
        <v>0</v>
      </c>
      <c r="Q401" s="68">
        <f ca="1">IF($B401="","",SUM(_xlfn.XLOOKUP(C401,Lists!$P$2:$P$19,Lists!$U$2:$U$19,0),_xlfn.XLOOKUP(E401,Lists!$P$2:$P$19,Lists!$U$2:$U$19,0),_xlfn.XLOOKUP(G401,Lists!$P$2:$P$19,Lists!$U$2:$U$19,0),_xlfn.XLOOKUP(I401,Lists!$P$2:$P$19,Lists!$U$2:$U$19,0),_xlfn.XLOOKUP(K401,Lists!$P$2:$P$19,Lists!$U$2:$U$19,0)))</f>
        <v>0</v>
      </c>
      <c r="R401" s="68">
        <f ca="1">IF($B401="","",SUM(_xlfn.XLOOKUP(C401,Lists!$P$2:$P$19,Lists!$V$2:$V$19,0),_xlfn.XLOOKUP(E401,Lists!$P$2:$P$19,Lists!$V$2:$V$19,0),_xlfn.XLOOKUP(G401,Lists!$P$2:$P$19,Lists!$V$2:$V$19,0),_xlfn.XLOOKUP(I401,Lists!$P$2:$P$19,Lists!$V$2:$V$19,0),_xlfn.XLOOKUP(K401,Lists!$P$2:$P$19,Lists!$V$2:$V$19,0)))</f>
        <v>0</v>
      </c>
      <c r="S401" s="68">
        <f ca="1">IF($B401="","",SUM(_xlfn.XLOOKUP(D401,Lists!$AC$2:$AC$9,Lists!$AD$2:$AD$9,0),_xlfn.XLOOKUP(F401,Lists!$AC$2:$AC$9,Lists!$AD$2:$AD$9,0),_xlfn.XLOOKUP(H401,Lists!$AC$2:$AC$9,Lists!$AD$2:$AD$9,0),_xlfn.XLOOKUP(J401,Lists!$AC$2:$AC$9,Lists!$AD$2:$AD$9,0),_xlfn.XLOOKUP(L401,Lists!$AC$2:$AC$9,Lists!$AD$2:$AD$9,0)))</f>
        <v>0</v>
      </c>
      <c r="T401" s="68">
        <f ca="1">IF($B401="","",SUM(_xlfn.XLOOKUP(C401,Lists!$P$2:$P$19,Lists!$W$2:$W$19,0),_xlfn.XLOOKUP(E401,Lists!$P$2:$P$19,Lists!$W$2:$W$19,0),_xlfn.XLOOKUP(G401,Lists!$P$2:$P$19,Lists!$W$2:$W$19,0),_xlfn.XLOOKUP(I401,Lists!$P$2:$P$19,Lists!$W$2:$W$19,0),_xlfn.XLOOKUP(K401,Lists!$P$2:$P$19,Lists!$W$2:$W$19,0)))</f>
        <v>0</v>
      </c>
      <c r="U401" s="68">
        <f ca="1">IF($B401="","",SUM(_xlfn.XLOOKUP(C401,Lists!$P$2:$P$19,Lists!$X$2:$X$19,0),_xlfn.XLOOKUP(E401,Lists!$P$2:$P$19,Lists!$X$2:$X$19,0),_xlfn.XLOOKUP(G401,Lists!$P$2:$P$19,Lists!$X$2:$X$19,0),_xlfn.XLOOKUP(I401,Lists!$P$2:$P$19,Lists!$X$2:$X$19,0),_xlfn.XLOOKUP(K401,Lists!$P$2:$P$19,Lists!$X$2:$X$19,0)))</f>
        <v>0</v>
      </c>
      <c r="V401" s="68">
        <f ca="1">IF($B401="","",SUM(_xlfn.XLOOKUP(C401,Lists!$P$2:$P$19,Lists!$Y$2:$Y$19,0),_xlfn.XLOOKUP(E401,Lists!$P$2:$P$19,Lists!$Y$2:$Y$19,0),_xlfn.XLOOKUP(G401,Lists!$P$2:$P$19,Lists!$Y$2:$Y$19,0),_xlfn.XLOOKUP(I401,Lists!$P$2:$P$19,Lists!$Y$2:$Y$19,0),_xlfn.XLOOKUP(K401,Lists!$P$2:$P$19,Lists!$Y$2:$Y$19,0)))</f>
        <v>0</v>
      </c>
      <c r="W401" s="68">
        <f ca="1">IF($B401="","",SUM(_xlfn.XLOOKUP(C401,Lists!$P$2:$P$19,Lists!$Z$2:$Z$19,0),_xlfn.XLOOKUP(E401,Lists!$P$2:$P$19,Lists!$Z$2:$Z$19,0),_xlfn.XLOOKUP(G401,Lists!$P$2:$P$19,Lists!$Z$2:$Z$19,0),_xlfn.XLOOKUP(I401,Lists!$P$2:$P$19,Lists!$Z$2:$Z$19,0),_xlfn.XLOOKUP(K401,Lists!$P$2:$P$19,Lists!$Z$2:$Z$19,0)))</f>
        <v>0</v>
      </c>
      <c r="X401" s="69">
        <f ca="1">IF($B401="","",SUM(_xlfn.XLOOKUP(C401,Lists!$P$2:$P$19,Lists!$AA$2:$AA$19,0),_xlfn.XLOOKUP(E401,Lists!$P$2:$P$19,Lists!$AA$2:$AA$19,0),_xlfn.XLOOKUP(G401,Lists!$P$2:$P$19,Lists!$AA$2:$AA$19,0),_xlfn.XLOOKUP(I401,Lists!$P$2:$P$19,Lists!$AA$2:$AA$19,0),_xlfn.XLOOKUP(K401,Lists!$P$2:$P$19,Lists!$AA$2:$AA$19,0)))</f>
        <v>0</v>
      </c>
      <c r="Y401" s="4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  <c r="CL401" s="18"/>
      <c r="CM401" s="18"/>
      <c r="CN401" s="18"/>
      <c r="CO401" s="18"/>
      <c r="CP401" s="18"/>
      <c r="CQ401" s="18"/>
      <c r="CR401" s="18"/>
      <c r="CS401" s="18"/>
      <c r="CT401" s="18"/>
      <c r="CU401" s="18"/>
      <c r="CV401" s="18"/>
      <c r="CW401" s="18"/>
      <c r="CX401" s="18"/>
      <c r="CY401" s="18"/>
      <c r="CZ401" s="18"/>
      <c r="DA401" s="18"/>
      <c r="DB401" s="18"/>
      <c r="DC401" s="18"/>
      <c r="DD401" s="18"/>
      <c r="DE401" s="18"/>
      <c r="DF401" s="18"/>
    </row>
    <row r="402" spans="1:110">
      <c r="A402" s="168">
        <v>2</v>
      </c>
      <c r="B402" s="47" t="str">
        <f ca="1">Lineups!$C$118</f>
        <v>Brown Kritter</v>
      </c>
      <c r="C402" s="49" t="s">
        <v>189</v>
      </c>
      <c r="D402" s="49"/>
      <c r="E402" s="49" t="s">
        <v>188</v>
      </c>
      <c r="F402" s="49" t="s">
        <v>191</v>
      </c>
      <c r="G402" s="49"/>
      <c r="H402" s="50"/>
      <c r="I402" s="50"/>
      <c r="J402" s="50"/>
      <c r="K402" s="50"/>
      <c r="L402" s="50"/>
      <c r="M402" s="67">
        <f ca="1">IF($B402="","",SUM(_xlfn.XLOOKUP(C402,Lists!$P$2:$P$19,Lists!$R$2:$R$19,0),_xlfn.XLOOKUP(E402,Lists!$P$2:$P$19,Lists!$R$2:$R$19,0),_xlfn.XLOOKUP(G402,Lists!$P$2:$P$19,Lists!$R$2:$R$19,0),_xlfn.XLOOKUP(I402,Lists!$P$2:$P$19,Lists!$R$2:$R$19,0),_xlfn.XLOOKUP(K402,Lists!$P$2:$P$19,Lists!$R$2:$R$19,0)))</f>
        <v>2</v>
      </c>
      <c r="N402" s="68">
        <f ca="1">IF($B402="","",SUM(_xlfn.XLOOKUP(D402,Lists!$AC$2:$AC$9,Lists!$AE$2:$AE$9,0),_xlfn.XLOOKUP(F402,Lists!$AC$2:$AC$9,Lists!$AE$2:$AE$9,0),_xlfn.XLOOKUP(H402,Lists!$AC$2:$AC$9,Lists!$AE$2:$AE$9,0),_xlfn.XLOOKUP(J402,Lists!$AC$2:$AC$9,Lists!$AE$2:$AE$9,0),_xlfn.XLOOKUP(L402,Lists!$AC$2:$AC$9,Lists!$AE$2:$AE$9,0)))</f>
        <v>0</v>
      </c>
      <c r="O402" s="68">
        <f ca="1">IF($B402="","",SUM(_xlfn.XLOOKUP(C402,Lists!$P$2:$P$19,Lists!$S$2:$S$19,0),_xlfn.XLOOKUP(E402,Lists!$P$2:$P$19,Lists!$S$2:$S$19,0),_xlfn.XLOOKUP(G402,Lists!$P$2:$P$19,Lists!$S$2:$S$19,0),_xlfn.XLOOKUP(I402,Lists!$P$2:$P$19,Lists!$S$2:$S$19,0),_xlfn.XLOOKUP(K402,Lists!$P$2:$P$19,Lists!$S$2:$S$19,0)))</f>
        <v>1</v>
      </c>
      <c r="P402" s="68">
        <f ca="1">IF($B402="","",SUM(_xlfn.XLOOKUP(C402,Lists!$P$2:$P$19,Lists!$T$2:$T$19,0),_xlfn.XLOOKUP(E402,Lists!$P$2:$P$19,Lists!$T$2:$T$19,0),_xlfn.XLOOKUP(G402,Lists!$P$2:$P$19,Lists!$T$2:$T$19,0),_xlfn.XLOOKUP(I402,Lists!$P$2:$P$19,Lists!$T$2:$T$19,0),_xlfn.XLOOKUP(K402,Lists!$P$2:$P$19,Lists!$T$2:$T$19,0)))</f>
        <v>0</v>
      </c>
      <c r="Q402" s="68">
        <f ca="1">IF($B402="","",SUM(_xlfn.XLOOKUP(C402,Lists!$P$2:$P$19,Lists!$U$2:$U$19,0),_xlfn.XLOOKUP(E402,Lists!$P$2:$P$19,Lists!$U$2:$U$19,0),_xlfn.XLOOKUP(G402,Lists!$P$2:$P$19,Lists!$U$2:$U$19,0),_xlfn.XLOOKUP(I402,Lists!$P$2:$P$19,Lists!$U$2:$U$19,0),_xlfn.XLOOKUP(K402,Lists!$P$2:$P$19,Lists!$U$2:$U$19,0)))</f>
        <v>0</v>
      </c>
      <c r="R402" s="68">
        <f ca="1">IF($B402="","",SUM(_xlfn.XLOOKUP(C402,Lists!$P$2:$P$19,Lists!$V$2:$V$19,0),_xlfn.XLOOKUP(E402,Lists!$P$2:$P$19,Lists!$V$2:$V$19,0),_xlfn.XLOOKUP(G402,Lists!$P$2:$P$19,Lists!$V$2:$V$19,0),_xlfn.XLOOKUP(I402,Lists!$P$2:$P$19,Lists!$V$2:$V$19,0),_xlfn.XLOOKUP(K402,Lists!$P$2:$P$19,Lists!$V$2:$V$19,0)))</f>
        <v>0</v>
      </c>
      <c r="S402" s="68">
        <f ca="1">IF($B402="","",SUM(_xlfn.XLOOKUP(D402,Lists!$AC$2:$AC$9,Lists!$AD$2:$AD$9,0),_xlfn.XLOOKUP(F402,Lists!$AC$2:$AC$9,Lists!$AD$2:$AD$9,0),_xlfn.XLOOKUP(H402,Lists!$AC$2:$AC$9,Lists!$AD$2:$AD$9,0),_xlfn.XLOOKUP(J402,Lists!$AC$2:$AC$9,Lists!$AD$2:$AD$9,0),_xlfn.XLOOKUP(L402,Lists!$AC$2:$AC$9,Lists!$AD$2:$AD$9,0)))</f>
        <v>1</v>
      </c>
      <c r="T402" s="68">
        <f ca="1">IF($B402="","",SUM(_xlfn.XLOOKUP(C402,Lists!$P$2:$P$19,Lists!$W$2:$W$19,0),_xlfn.XLOOKUP(E402,Lists!$P$2:$P$19,Lists!$W$2:$W$19,0),_xlfn.XLOOKUP(G402,Lists!$P$2:$P$19,Lists!$W$2:$W$19,0),_xlfn.XLOOKUP(I402,Lists!$P$2:$P$19,Lists!$W$2:$W$19,0),_xlfn.XLOOKUP(K402,Lists!$P$2:$P$19,Lists!$W$2:$W$19,0)))</f>
        <v>0</v>
      </c>
      <c r="U402" s="68">
        <f ca="1">IF($B402="","",SUM(_xlfn.XLOOKUP(C402,Lists!$P$2:$P$19,Lists!$X$2:$X$19,0),_xlfn.XLOOKUP(E402,Lists!$P$2:$P$19,Lists!$X$2:$X$19,0),_xlfn.XLOOKUP(G402,Lists!$P$2:$P$19,Lists!$X$2:$X$19,0),_xlfn.XLOOKUP(I402,Lists!$P$2:$P$19,Lists!$X$2:$X$19,0),_xlfn.XLOOKUP(K402,Lists!$P$2:$P$19,Lists!$X$2:$X$19,0)))</f>
        <v>0</v>
      </c>
      <c r="V402" s="68">
        <f ca="1">IF($B402="","",SUM(_xlfn.XLOOKUP(C402,Lists!$P$2:$P$19,Lists!$Y$2:$Y$19,0),_xlfn.XLOOKUP(E402,Lists!$P$2:$P$19,Lists!$Y$2:$Y$19,0),_xlfn.XLOOKUP(G402,Lists!$P$2:$P$19,Lists!$Y$2:$Y$19,0),_xlfn.XLOOKUP(I402,Lists!$P$2:$P$19,Lists!$Y$2:$Y$19,0),_xlfn.XLOOKUP(K402,Lists!$P$2:$P$19,Lists!$Y$2:$Y$19,0)))</f>
        <v>0</v>
      </c>
      <c r="W402" s="68">
        <f ca="1">IF($B402="","",SUM(_xlfn.XLOOKUP(C402,Lists!$P$2:$P$19,Lists!$Z$2:$Z$19,0),_xlfn.XLOOKUP(E402,Lists!$P$2:$P$19,Lists!$Z$2:$Z$19,0),_xlfn.XLOOKUP(G402,Lists!$P$2:$P$19,Lists!$Z$2:$Z$19,0),_xlfn.XLOOKUP(I402,Lists!$P$2:$P$19,Lists!$Z$2:$Z$19,0),_xlfn.XLOOKUP(K402,Lists!$P$2:$P$19,Lists!$Z$2:$Z$19,0)))</f>
        <v>0</v>
      </c>
      <c r="X402" s="69">
        <f ca="1">IF($B402="","",SUM(_xlfn.XLOOKUP(C402,Lists!$P$2:$P$19,Lists!$AA$2:$AA$19,0),_xlfn.XLOOKUP(E402,Lists!$P$2:$P$19,Lists!$AA$2:$AA$19,0),_xlfn.XLOOKUP(G402,Lists!$P$2:$P$19,Lists!$AA$2:$AA$19,0),_xlfn.XLOOKUP(I402,Lists!$P$2:$P$19,Lists!$AA$2:$AA$19,0),_xlfn.XLOOKUP(K402,Lists!$P$2:$P$19,Lists!$AA$2:$AA$19,0)))</f>
        <v>0</v>
      </c>
      <c r="Y402" s="49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  <c r="CR402" s="18"/>
      <c r="CS402" s="18"/>
      <c r="CT402" s="18"/>
      <c r="CU402" s="18"/>
      <c r="CV402" s="18"/>
      <c r="CW402" s="18"/>
      <c r="CX402" s="18"/>
      <c r="CY402" s="18"/>
      <c r="CZ402" s="18"/>
      <c r="DA402" s="18"/>
      <c r="DB402" s="18"/>
      <c r="DC402" s="18"/>
      <c r="DD402" s="18"/>
      <c r="DE402" s="18"/>
      <c r="DF402" s="18"/>
    </row>
    <row r="403" spans="1:110">
      <c r="A403" s="168">
        <v>3</v>
      </c>
      <c r="B403" s="47" t="str">
        <f ca="1">Lineups!$C$119</f>
        <v>Bowser</v>
      </c>
      <c r="C403" s="49" t="s">
        <v>205</v>
      </c>
      <c r="D403" s="49"/>
      <c r="E403" s="49"/>
      <c r="F403" s="49"/>
      <c r="G403" s="49"/>
      <c r="H403" s="50"/>
      <c r="I403" s="50"/>
      <c r="J403" s="50"/>
      <c r="K403" s="50"/>
      <c r="L403" s="50"/>
      <c r="M403" s="67">
        <f ca="1">IF($B403="","",SUM(_xlfn.XLOOKUP(C403,Lists!$P$2:$P$19,Lists!$R$2:$R$19,0),_xlfn.XLOOKUP(E403,Lists!$P$2:$P$19,Lists!$R$2:$R$19,0),_xlfn.XLOOKUP(G403,Lists!$P$2:$P$19,Lists!$R$2:$R$19,0),_xlfn.XLOOKUP(I403,Lists!$P$2:$P$19,Lists!$R$2:$R$19,0),_xlfn.XLOOKUP(K403,Lists!$P$2:$P$19,Lists!$R$2:$R$19,0)))</f>
        <v>1</v>
      </c>
      <c r="N403" s="68">
        <f ca="1">IF($B403="","",SUM(_xlfn.XLOOKUP(D403,Lists!$AC$2:$AC$9,Lists!$AE$2:$AE$9,0),_xlfn.XLOOKUP(F403,Lists!$AC$2:$AC$9,Lists!$AE$2:$AE$9,0),_xlfn.XLOOKUP(H403,Lists!$AC$2:$AC$9,Lists!$AE$2:$AE$9,0),_xlfn.XLOOKUP(J403,Lists!$AC$2:$AC$9,Lists!$AE$2:$AE$9,0),_xlfn.XLOOKUP(L403,Lists!$AC$2:$AC$9,Lists!$AE$2:$AE$9,0)))</f>
        <v>0</v>
      </c>
      <c r="O403" s="68">
        <f ca="1">IF($B403="","",SUM(_xlfn.XLOOKUP(C403,Lists!$P$2:$P$19,Lists!$S$2:$S$19,0),_xlfn.XLOOKUP(E403,Lists!$P$2:$P$19,Lists!$S$2:$S$19,0),_xlfn.XLOOKUP(G403,Lists!$P$2:$P$19,Lists!$S$2:$S$19,0),_xlfn.XLOOKUP(I403,Lists!$P$2:$P$19,Lists!$S$2:$S$19,0),_xlfn.XLOOKUP(K403,Lists!$P$2:$P$19,Lists!$S$2:$S$19,0)))</f>
        <v>0</v>
      </c>
      <c r="P403" s="68">
        <f ca="1">IF($B403="","",SUM(_xlfn.XLOOKUP(C403,Lists!$P$2:$P$19,Lists!$T$2:$T$19,0),_xlfn.XLOOKUP(E403,Lists!$P$2:$P$19,Lists!$T$2:$T$19,0),_xlfn.XLOOKUP(G403,Lists!$P$2:$P$19,Lists!$T$2:$T$19,0),_xlfn.XLOOKUP(I403,Lists!$P$2:$P$19,Lists!$T$2:$T$19,0),_xlfn.XLOOKUP(K403,Lists!$P$2:$P$19,Lists!$T$2:$T$19,0)))</f>
        <v>0</v>
      </c>
      <c r="Q403" s="68">
        <f ca="1">IF($B403="","",SUM(_xlfn.XLOOKUP(C403,Lists!$P$2:$P$19,Lists!$U$2:$U$19,0),_xlfn.XLOOKUP(E403,Lists!$P$2:$P$19,Lists!$U$2:$U$19,0),_xlfn.XLOOKUP(G403,Lists!$P$2:$P$19,Lists!$U$2:$U$19,0),_xlfn.XLOOKUP(I403,Lists!$P$2:$P$19,Lists!$U$2:$U$19,0),_xlfn.XLOOKUP(K403,Lists!$P$2:$P$19,Lists!$U$2:$U$19,0)))</f>
        <v>0</v>
      </c>
      <c r="R403" s="68">
        <f ca="1">IF($B403="","",SUM(_xlfn.XLOOKUP(C403,Lists!$P$2:$P$19,Lists!$V$2:$V$19,0),_xlfn.XLOOKUP(E403,Lists!$P$2:$P$19,Lists!$V$2:$V$19,0),_xlfn.XLOOKUP(G403,Lists!$P$2:$P$19,Lists!$V$2:$V$19,0),_xlfn.XLOOKUP(I403,Lists!$P$2:$P$19,Lists!$V$2:$V$19,0),_xlfn.XLOOKUP(K403,Lists!$P$2:$P$19,Lists!$V$2:$V$19,0)))</f>
        <v>0</v>
      </c>
      <c r="S403" s="68">
        <f ca="1">IF($B403="","",SUM(_xlfn.XLOOKUP(D403,Lists!$AC$2:$AC$9,Lists!$AD$2:$AD$9,0),_xlfn.XLOOKUP(F403,Lists!$AC$2:$AC$9,Lists!$AD$2:$AD$9,0),_xlfn.XLOOKUP(H403,Lists!$AC$2:$AC$9,Lists!$AD$2:$AD$9,0),_xlfn.XLOOKUP(J403,Lists!$AC$2:$AC$9,Lists!$AD$2:$AD$9,0),_xlfn.XLOOKUP(L403,Lists!$AC$2:$AC$9,Lists!$AD$2:$AD$9,0)))</f>
        <v>0</v>
      </c>
      <c r="T403" s="68">
        <f ca="1">IF($B403="","",SUM(_xlfn.XLOOKUP(C403,Lists!$P$2:$P$19,Lists!$W$2:$W$19,0),_xlfn.XLOOKUP(E403,Lists!$P$2:$P$19,Lists!$W$2:$W$19,0),_xlfn.XLOOKUP(G403,Lists!$P$2:$P$19,Lists!$W$2:$W$19,0),_xlfn.XLOOKUP(I403,Lists!$P$2:$P$19,Lists!$W$2:$W$19,0),_xlfn.XLOOKUP(K403,Lists!$P$2:$P$19,Lists!$W$2:$W$19,0)))</f>
        <v>0</v>
      </c>
      <c r="U403" s="68">
        <f ca="1">IF($B403="","",SUM(_xlfn.XLOOKUP(C403,Lists!$P$2:$P$19,Lists!$X$2:$X$19,0),_xlfn.XLOOKUP(E403,Lists!$P$2:$P$19,Lists!$X$2:$X$19,0),_xlfn.XLOOKUP(G403,Lists!$P$2:$P$19,Lists!$X$2:$X$19,0),_xlfn.XLOOKUP(I403,Lists!$P$2:$P$19,Lists!$X$2:$X$19,0),_xlfn.XLOOKUP(K403,Lists!$P$2:$P$19,Lists!$X$2:$X$19,0)))</f>
        <v>0</v>
      </c>
      <c r="V403" s="68">
        <f ca="1">IF($B403="","",SUM(_xlfn.XLOOKUP(C403,Lists!$P$2:$P$19,Lists!$Y$2:$Y$19,0),_xlfn.XLOOKUP(E403,Lists!$P$2:$P$19,Lists!$Y$2:$Y$19,0),_xlfn.XLOOKUP(G403,Lists!$P$2:$P$19,Lists!$Y$2:$Y$19,0),_xlfn.XLOOKUP(I403,Lists!$P$2:$P$19,Lists!$Y$2:$Y$19,0),_xlfn.XLOOKUP(K403,Lists!$P$2:$P$19,Lists!$Y$2:$Y$19,0)))</f>
        <v>0</v>
      </c>
      <c r="W403" s="68">
        <f ca="1">IF($B403="","",SUM(_xlfn.XLOOKUP(C403,Lists!$P$2:$P$19,Lists!$Z$2:$Z$19,0),_xlfn.XLOOKUP(E403,Lists!$P$2:$P$19,Lists!$Z$2:$Z$19,0),_xlfn.XLOOKUP(G403,Lists!$P$2:$P$19,Lists!$Z$2:$Z$19,0),_xlfn.XLOOKUP(I403,Lists!$P$2:$P$19,Lists!$Z$2:$Z$19,0),_xlfn.XLOOKUP(K403,Lists!$P$2:$P$19,Lists!$Z$2:$Z$19,0)))</f>
        <v>0</v>
      </c>
      <c r="X403" s="69">
        <f ca="1">IF($B403="","",SUM(_xlfn.XLOOKUP(C403,Lists!$P$2:$P$19,Lists!$AA$2:$AA$19,0),_xlfn.XLOOKUP(E403,Lists!$P$2:$P$19,Lists!$AA$2:$AA$19,0),_xlfn.XLOOKUP(G403,Lists!$P$2:$P$19,Lists!$AA$2:$AA$19,0),_xlfn.XLOOKUP(I403,Lists!$P$2:$P$19,Lists!$AA$2:$AA$19,0),_xlfn.XLOOKUP(K403,Lists!$P$2:$P$19,Lists!$AA$2:$AA$19,0)))</f>
        <v>0</v>
      </c>
      <c r="Y403" s="49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  <c r="CL403" s="18"/>
      <c r="CM403" s="18"/>
      <c r="CN403" s="18"/>
      <c r="CO403" s="18"/>
      <c r="CP403" s="18"/>
      <c r="CQ403" s="18"/>
      <c r="CR403" s="18"/>
      <c r="CS403" s="18"/>
      <c r="CT403" s="18"/>
      <c r="CU403" s="18"/>
      <c r="CV403" s="18"/>
      <c r="CW403" s="18"/>
      <c r="CX403" s="18"/>
      <c r="CY403" s="18"/>
      <c r="CZ403" s="18"/>
      <c r="DA403" s="18"/>
      <c r="DB403" s="18"/>
      <c r="DC403" s="18"/>
      <c r="DD403" s="18"/>
      <c r="DE403" s="18"/>
      <c r="DF403" s="18"/>
    </row>
    <row r="404" spans="1:110">
      <c r="A404" s="168">
        <v>4</v>
      </c>
      <c r="B404" s="47" t="str">
        <f ca="1">Lineups!$C$120</f>
        <v>King K. Rool</v>
      </c>
      <c r="C404" s="49" t="s">
        <v>189</v>
      </c>
      <c r="D404" s="49"/>
      <c r="E404" s="49"/>
      <c r="F404" s="49"/>
      <c r="G404" s="49"/>
      <c r="H404" s="50"/>
      <c r="I404" s="50"/>
      <c r="J404" s="50"/>
      <c r="K404" s="50"/>
      <c r="L404" s="50"/>
      <c r="M404" s="67">
        <f ca="1">IF($B404="","",SUM(_xlfn.XLOOKUP(C404,Lists!$P$2:$P$19,Lists!$R$2:$R$19,0),_xlfn.XLOOKUP(E404,Lists!$P$2:$P$19,Lists!$R$2:$R$19,0),_xlfn.XLOOKUP(G404,Lists!$P$2:$P$19,Lists!$R$2:$R$19,0),_xlfn.XLOOKUP(I404,Lists!$P$2:$P$19,Lists!$R$2:$R$19,0),_xlfn.XLOOKUP(K404,Lists!$P$2:$P$19,Lists!$R$2:$R$19,0)))</f>
        <v>1</v>
      </c>
      <c r="N404" s="68">
        <f ca="1">IF($B404="","",SUM(_xlfn.XLOOKUP(D404,Lists!$AC$2:$AC$9,Lists!$AE$2:$AE$9,0),_xlfn.XLOOKUP(F404,Lists!$AC$2:$AC$9,Lists!$AE$2:$AE$9,0),_xlfn.XLOOKUP(H404,Lists!$AC$2:$AC$9,Lists!$AE$2:$AE$9,0),_xlfn.XLOOKUP(J404,Lists!$AC$2:$AC$9,Lists!$AE$2:$AE$9,0),_xlfn.XLOOKUP(L404,Lists!$AC$2:$AC$9,Lists!$AE$2:$AE$9,0)))</f>
        <v>0</v>
      </c>
      <c r="O404" s="68">
        <f ca="1">IF($B404="","",SUM(_xlfn.XLOOKUP(C404,Lists!$P$2:$P$19,Lists!$S$2:$S$19,0),_xlfn.XLOOKUP(E404,Lists!$P$2:$P$19,Lists!$S$2:$S$19,0),_xlfn.XLOOKUP(G404,Lists!$P$2:$P$19,Lists!$S$2:$S$19,0),_xlfn.XLOOKUP(I404,Lists!$P$2:$P$19,Lists!$S$2:$S$19,0),_xlfn.XLOOKUP(K404,Lists!$P$2:$P$19,Lists!$S$2:$S$19,0)))</f>
        <v>0</v>
      </c>
      <c r="P404" s="68">
        <f ca="1">IF($B404="","",SUM(_xlfn.XLOOKUP(C404,Lists!$P$2:$P$19,Lists!$T$2:$T$19,0),_xlfn.XLOOKUP(E404,Lists!$P$2:$P$19,Lists!$T$2:$T$19,0),_xlfn.XLOOKUP(G404,Lists!$P$2:$P$19,Lists!$T$2:$T$19,0),_xlfn.XLOOKUP(I404,Lists!$P$2:$P$19,Lists!$T$2:$T$19,0),_xlfn.XLOOKUP(K404,Lists!$P$2:$P$19,Lists!$T$2:$T$19,0)))</f>
        <v>0</v>
      </c>
      <c r="Q404" s="68">
        <f ca="1">IF($B404="","",SUM(_xlfn.XLOOKUP(C404,Lists!$P$2:$P$19,Lists!$U$2:$U$19,0),_xlfn.XLOOKUP(E404,Lists!$P$2:$P$19,Lists!$U$2:$U$19,0),_xlfn.XLOOKUP(G404,Lists!$P$2:$P$19,Lists!$U$2:$U$19,0),_xlfn.XLOOKUP(I404,Lists!$P$2:$P$19,Lists!$U$2:$U$19,0),_xlfn.XLOOKUP(K404,Lists!$P$2:$P$19,Lists!$U$2:$U$19,0)))</f>
        <v>0</v>
      </c>
      <c r="R404" s="68">
        <f ca="1">IF($B404="","",SUM(_xlfn.XLOOKUP(C404,Lists!$P$2:$P$19,Lists!$V$2:$V$19,0),_xlfn.XLOOKUP(E404,Lists!$P$2:$P$19,Lists!$V$2:$V$19,0),_xlfn.XLOOKUP(G404,Lists!$P$2:$P$19,Lists!$V$2:$V$19,0),_xlfn.XLOOKUP(I404,Lists!$P$2:$P$19,Lists!$V$2:$V$19,0),_xlfn.XLOOKUP(K404,Lists!$P$2:$P$19,Lists!$V$2:$V$19,0)))</f>
        <v>0</v>
      </c>
      <c r="S404" s="68">
        <f ca="1">IF($B404="","",SUM(_xlfn.XLOOKUP(D404,Lists!$AC$2:$AC$9,Lists!$AD$2:$AD$9,0),_xlfn.XLOOKUP(F404,Lists!$AC$2:$AC$9,Lists!$AD$2:$AD$9,0),_xlfn.XLOOKUP(H404,Lists!$AC$2:$AC$9,Lists!$AD$2:$AD$9,0),_xlfn.XLOOKUP(J404,Lists!$AC$2:$AC$9,Lists!$AD$2:$AD$9,0),_xlfn.XLOOKUP(L404,Lists!$AC$2:$AC$9,Lists!$AD$2:$AD$9,0)))</f>
        <v>0</v>
      </c>
      <c r="T404" s="68">
        <f ca="1">IF($B404="","",SUM(_xlfn.XLOOKUP(C404,Lists!$P$2:$P$19,Lists!$W$2:$W$19,0),_xlfn.XLOOKUP(E404,Lists!$P$2:$P$19,Lists!$W$2:$W$19,0),_xlfn.XLOOKUP(G404,Lists!$P$2:$P$19,Lists!$W$2:$W$19,0),_xlfn.XLOOKUP(I404,Lists!$P$2:$P$19,Lists!$W$2:$W$19,0),_xlfn.XLOOKUP(K404,Lists!$P$2:$P$19,Lists!$W$2:$W$19,0)))</f>
        <v>0</v>
      </c>
      <c r="U404" s="68">
        <f ca="1">IF($B404="","",SUM(_xlfn.XLOOKUP(C404,Lists!$P$2:$P$19,Lists!$X$2:$X$19,0),_xlfn.XLOOKUP(E404,Lists!$P$2:$P$19,Lists!$X$2:$X$19,0),_xlfn.XLOOKUP(G404,Lists!$P$2:$P$19,Lists!$X$2:$X$19,0),_xlfn.XLOOKUP(I404,Lists!$P$2:$P$19,Lists!$X$2:$X$19,0),_xlfn.XLOOKUP(K404,Lists!$P$2:$P$19,Lists!$X$2:$X$19,0)))</f>
        <v>0</v>
      </c>
      <c r="V404" s="68">
        <f ca="1">IF($B404="","",SUM(_xlfn.XLOOKUP(C404,Lists!$P$2:$P$19,Lists!$Y$2:$Y$19,0),_xlfn.XLOOKUP(E404,Lists!$P$2:$P$19,Lists!$Y$2:$Y$19,0),_xlfn.XLOOKUP(G404,Lists!$P$2:$P$19,Lists!$Y$2:$Y$19,0),_xlfn.XLOOKUP(I404,Lists!$P$2:$P$19,Lists!$Y$2:$Y$19,0),_xlfn.XLOOKUP(K404,Lists!$P$2:$P$19,Lists!$Y$2:$Y$19,0)))</f>
        <v>0</v>
      </c>
      <c r="W404" s="68">
        <f ca="1">IF($B404="","",SUM(_xlfn.XLOOKUP(C404,Lists!$P$2:$P$19,Lists!$Z$2:$Z$19,0),_xlfn.XLOOKUP(E404,Lists!$P$2:$P$19,Lists!$Z$2:$Z$19,0),_xlfn.XLOOKUP(G404,Lists!$P$2:$P$19,Lists!$Z$2:$Z$19,0),_xlfn.XLOOKUP(I404,Lists!$P$2:$P$19,Lists!$Z$2:$Z$19,0),_xlfn.XLOOKUP(K404,Lists!$P$2:$P$19,Lists!$Z$2:$Z$19,0)))</f>
        <v>0</v>
      </c>
      <c r="X404" s="69">
        <f ca="1">IF($B404="","",SUM(_xlfn.XLOOKUP(C404,Lists!$P$2:$P$19,Lists!$AA$2:$AA$19,0),_xlfn.XLOOKUP(E404,Lists!$P$2:$P$19,Lists!$AA$2:$AA$19,0),_xlfn.XLOOKUP(G404,Lists!$P$2:$P$19,Lists!$AA$2:$AA$19,0),_xlfn.XLOOKUP(I404,Lists!$P$2:$P$19,Lists!$AA$2:$AA$19,0),_xlfn.XLOOKUP(K404,Lists!$P$2:$P$19,Lists!$AA$2:$AA$19,0)))</f>
        <v>0</v>
      </c>
      <c r="Y404" s="49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  <c r="CO404" s="18"/>
      <c r="CP404" s="18"/>
      <c r="CQ404" s="18"/>
      <c r="CR404" s="18"/>
      <c r="CS404" s="18"/>
      <c r="CT404" s="18"/>
      <c r="CU404" s="18"/>
      <c r="CV404" s="18"/>
      <c r="CW404" s="18"/>
      <c r="CX404" s="18"/>
      <c r="CY404" s="18"/>
      <c r="CZ404" s="18"/>
      <c r="DA404" s="18"/>
      <c r="DB404" s="18"/>
      <c r="DC404" s="18"/>
      <c r="DD404" s="18"/>
      <c r="DE404" s="18"/>
      <c r="DF404" s="18"/>
    </row>
    <row r="405" spans="1:110">
      <c r="A405" s="168">
        <v>5</v>
      </c>
      <c r="B405" s="47" t="str">
        <f ca="1">Lineups!$C$121</f>
        <v>Blooper</v>
      </c>
      <c r="C405" s="49" t="s">
        <v>188</v>
      </c>
      <c r="D405" s="49"/>
      <c r="E405" s="49"/>
      <c r="F405" s="49"/>
      <c r="G405" s="49"/>
      <c r="H405" s="50"/>
      <c r="I405" s="50"/>
      <c r="J405" s="50"/>
      <c r="K405" s="50"/>
      <c r="L405" s="50"/>
      <c r="M405" s="67">
        <f ca="1">IF($B405="","",SUM(_xlfn.XLOOKUP(C405,Lists!$P$2:$P$19,Lists!$R$2:$R$19,0),_xlfn.XLOOKUP(E405,Lists!$P$2:$P$19,Lists!$R$2:$R$19,0),_xlfn.XLOOKUP(G405,Lists!$P$2:$P$19,Lists!$R$2:$R$19,0),_xlfn.XLOOKUP(I405,Lists!$P$2:$P$19,Lists!$R$2:$R$19,0),_xlfn.XLOOKUP(K405,Lists!$P$2:$P$19,Lists!$R$2:$R$19,0)))</f>
        <v>1</v>
      </c>
      <c r="N405" s="68">
        <f ca="1">IF($B405="","",SUM(_xlfn.XLOOKUP(D405,Lists!$AC$2:$AC$9,Lists!$AE$2:$AE$9,0),_xlfn.XLOOKUP(F405,Lists!$AC$2:$AC$9,Lists!$AE$2:$AE$9,0),_xlfn.XLOOKUP(H405,Lists!$AC$2:$AC$9,Lists!$AE$2:$AE$9,0),_xlfn.XLOOKUP(J405,Lists!$AC$2:$AC$9,Lists!$AE$2:$AE$9,0),_xlfn.XLOOKUP(L405,Lists!$AC$2:$AC$9,Lists!$AE$2:$AE$9,0)))</f>
        <v>0</v>
      </c>
      <c r="O405" s="68">
        <f ca="1">IF($B405="","",SUM(_xlfn.XLOOKUP(C405,Lists!$P$2:$P$19,Lists!$S$2:$S$19,0),_xlfn.XLOOKUP(E405,Lists!$P$2:$P$19,Lists!$S$2:$S$19,0),_xlfn.XLOOKUP(G405,Lists!$P$2:$P$19,Lists!$S$2:$S$19,0),_xlfn.XLOOKUP(I405,Lists!$P$2:$P$19,Lists!$S$2:$S$19,0),_xlfn.XLOOKUP(K405,Lists!$P$2:$P$19,Lists!$S$2:$S$19,0)))</f>
        <v>1</v>
      </c>
      <c r="P405" s="68">
        <f ca="1">IF($B405="","",SUM(_xlfn.XLOOKUP(C405,Lists!$P$2:$P$19,Lists!$T$2:$T$19,0),_xlfn.XLOOKUP(E405,Lists!$P$2:$P$19,Lists!$T$2:$T$19,0),_xlfn.XLOOKUP(G405,Lists!$P$2:$P$19,Lists!$T$2:$T$19,0),_xlfn.XLOOKUP(I405,Lists!$P$2:$P$19,Lists!$T$2:$T$19,0),_xlfn.XLOOKUP(K405,Lists!$P$2:$P$19,Lists!$T$2:$T$19,0)))</f>
        <v>0</v>
      </c>
      <c r="Q405" s="68">
        <f ca="1">IF($B405="","",SUM(_xlfn.XLOOKUP(C405,Lists!$P$2:$P$19,Lists!$U$2:$U$19,0),_xlfn.XLOOKUP(E405,Lists!$P$2:$P$19,Lists!$U$2:$U$19,0),_xlfn.XLOOKUP(G405,Lists!$P$2:$P$19,Lists!$U$2:$U$19,0),_xlfn.XLOOKUP(I405,Lists!$P$2:$P$19,Lists!$U$2:$U$19,0),_xlfn.XLOOKUP(K405,Lists!$P$2:$P$19,Lists!$U$2:$U$19,0)))</f>
        <v>0</v>
      </c>
      <c r="R405" s="68">
        <f ca="1">IF($B405="","",SUM(_xlfn.XLOOKUP(C405,Lists!$P$2:$P$19,Lists!$V$2:$V$19,0),_xlfn.XLOOKUP(E405,Lists!$P$2:$P$19,Lists!$V$2:$V$19,0),_xlfn.XLOOKUP(G405,Lists!$P$2:$P$19,Lists!$V$2:$V$19,0),_xlfn.XLOOKUP(I405,Lists!$P$2:$P$19,Lists!$V$2:$V$19,0),_xlfn.XLOOKUP(K405,Lists!$P$2:$P$19,Lists!$V$2:$V$19,0)))</f>
        <v>0</v>
      </c>
      <c r="S405" s="68">
        <f ca="1">IF($B405="","",SUM(_xlfn.XLOOKUP(D405,Lists!$AC$2:$AC$9,Lists!$AD$2:$AD$9,0),_xlfn.XLOOKUP(F405,Lists!$AC$2:$AC$9,Lists!$AD$2:$AD$9,0),_xlfn.XLOOKUP(H405,Lists!$AC$2:$AC$9,Lists!$AD$2:$AD$9,0),_xlfn.XLOOKUP(J405,Lists!$AC$2:$AC$9,Lists!$AD$2:$AD$9,0),_xlfn.XLOOKUP(L405,Lists!$AC$2:$AC$9,Lists!$AD$2:$AD$9,0)))</f>
        <v>0</v>
      </c>
      <c r="T405" s="68">
        <f ca="1">IF($B405="","",SUM(_xlfn.XLOOKUP(C405,Lists!$P$2:$P$19,Lists!$W$2:$W$19,0),_xlfn.XLOOKUP(E405,Lists!$P$2:$P$19,Lists!$W$2:$W$19,0),_xlfn.XLOOKUP(G405,Lists!$P$2:$P$19,Lists!$W$2:$W$19,0),_xlfn.XLOOKUP(I405,Lists!$P$2:$P$19,Lists!$W$2:$W$19,0),_xlfn.XLOOKUP(K405,Lists!$P$2:$P$19,Lists!$W$2:$W$19,0)))</f>
        <v>0</v>
      </c>
      <c r="U405" s="68">
        <f ca="1">IF($B405="","",SUM(_xlfn.XLOOKUP(C405,Lists!$P$2:$P$19,Lists!$X$2:$X$19,0),_xlfn.XLOOKUP(E405,Lists!$P$2:$P$19,Lists!$X$2:$X$19,0),_xlfn.XLOOKUP(G405,Lists!$P$2:$P$19,Lists!$X$2:$X$19,0),_xlfn.XLOOKUP(I405,Lists!$P$2:$P$19,Lists!$X$2:$X$19,0),_xlfn.XLOOKUP(K405,Lists!$P$2:$P$19,Lists!$X$2:$X$19,0)))</f>
        <v>0</v>
      </c>
      <c r="V405" s="68">
        <f ca="1">IF($B405="","",SUM(_xlfn.XLOOKUP(C405,Lists!$P$2:$P$19,Lists!$Y$2:$Y$19,0),_xlfn.XLOOKUP(E405,Lists!$P$2:$P$19,Lists!$Y$2:$Y$19,0),_xlfn.XLOOKUP(G405,Lists!$P$2:$P$19,Lists!$Y$2:$Y$19,0),_xlfn.XLOOKUP(I405,Lists!$P$2:$P$19,Lists!$Y$2:$Y$19,0),_xlfn.XLOOKUP(K405,Lists!$P$2:$P$19,Lists!$Y$2:$Y$19,0)))</f>
        <v>0</v>
      </c>
      <c r="W405" s="68">
        <f ca="1">IF($B405="","",SUM(_xlfn.XLOOKUP(C405,Lists!$P$2:$P$19,Lists!$Z$2:$Z$19,0),_xlfn.XLOOKUP(E405,Lists!$P$2:$P$19,Lists!$Z$2:$Z$19,0),_xlfn.XLOOKUP(G405,Lists!$P$2:$P$19,Lists!$Z$2:$Z$19,0),_xlfn.XLOOKUP(I405,Lists!$P$2:$P$19,Lists!$Z$2:$Z$19,0),_xlfn.XLOOKUP(K405,Lists!$P$2:$P$19,Lists!$Z$2:$Z$19,0)))</f>
        <v>0</v>
      </c>
      <c r="X405" s="69">
        <f ca="1">IF($B405="","",SUM(_xlfn.XLOOKUP(C405,Lists!$P$2:$P$19,Lists!$AA$2:$AA$19,0),_xlfn.XLOOKUP(E405,Lists!$P$2:$P$19,Lists!$AA$2:$AA$19,0),_xlfn.XLOOKUP(G405,Lists!$P$2:$P$19,Lists!$AA$2:$AA$19,0),_xlfn.XLOOKUP(I405,Lists!$P$2:$P$19,Lists!$AA$2:$AA$19,0),_xlfn.XLOOKUP(K405,Lists!$P$2:$P$19,Lists!$AA$2:$AA$19,0)))</f>
        <v>0</v>
      </c>
      <c r="Y405" s="49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18"/>
      <c r="CN405" s="18"/>
      <c r="CO405" s="18"/>
      <c r="CP405" s="18"/>
      <c r="CQ405" s="18"/>
      <c r="CR405" s="18"/>
      <c r="CS405" s="18"/>
      <c r="CT405" s="18"/>
      <c r="CU405" s="18"/>
      <c r="CV405" s="18"/>
      <c r="CW405" s="18"/>
      <c r="CX405" s="18"/>
      <c r="CY405" s="18"/>
      <c r="CZ405" s="18"/>
      <c r="DA405" s="18"/>
      <c r="DB405" s="18"/>
      <c r="DC405" s="18"/>
      <c r="DD405" s="18"/>
      <c r="DE405" s="18"/>
      <c r="DF405" s="18"/>
    </row>
    <row r="406" spans="1:110">
      <c r="A406" s="168">
        <v>6</v>
      </c>
      <c r="B406" s="47" t="str">
        <f ca="1">Lineups!$C$122</f>
        <v>Yellow Toad</v>
      </c>
      <c r="C406" s="49" t="s">
        <v>188</v>
      </c>
      <c r="D406" s="49"/>
      <c r="E406" s="49"/>
      <c r="F406" s="49"/>
      <c r="G406" s="49"/>
      <c r="H406" s="50"/>
      <c r="I406" s="50"/>
      <c r="J406" s="50"/>
      <c r="K406" s="50"/>
      <c r="L406" s="50"/>
      <c r="M406" s="67">
        <f ca="1">IF($B406="","",SUM(_xlfn.XLOOKUP(C406,Lists!$P$2:$P$19,Lists!$R$2:$R$19,0),_xlfn.XLOOKUP(E406,Lists!$P$2:$P$19,Lists!$R$2:$R$19,0),_xlfn.XLOOKUP(G406,Lists!$P$2:$P$19,Lists!$R$2:$R$19,0),_xlfn.XLOOKUP(I406,Lists!$P$2:$P$19,Lists!$R$2:$R$19,0),_xlfn.XLOOKUP(K406,Lists!$P$2:$P$19,Lists!$R$2:$R$19,0)))</f>
        <v>1</v>
      </c>
      <c r="N406" s="68">
        <f ca="1">IF($B406="","",SUM(_xlfn.XLOOKUP(D406,Lists!$AC$2:$AC$9,Lists!$AE$2:$AE$9,0),_xlfn.XLOOKUP(F406,Lists!$AC$2:$AC$9,Lists!$AE$2:$AE$9,0),_xlfn.XLOOKUP(H406,Lists!$AC$2:$AC$9,Lists!$AE$2:$AE$9,0),_xlfn.XLOOKUP(J406,Lists!$AC$2:$AC$9,Lists!$AE$2:$AE$9,0),_xlfn.XLOOKUP(L406,Lists!$AC$2:$AC$9,Lists!$AE$2:$AE$9,0)))</f>
        <v>0</v>
      </c>
      <c r="O406" s="68">
        <f ca="1">IF($B406="","",SUM(_xlfn.XLOOKUP(C406,Lists!$P$2:$P$19,Lists!$S$2:$S$19,0),_xlfn.XLOOKUP(E406,Lists!$P$2:$P$19,Lists!$S$2:$S$19,0),_xlfn.XLOOKUP(G406,Lists!$P$2:$P$19,Lists!$S$2:$S$19,0),_xlfn.XLOOKUP(I406,Lists!$P$2:$P$19,Lists!$S$2:$S$19,0),_xlfn.XLOOKUP(K406,Lists!$P$2:$P$19,Lists!$S$2:$S$19,0)))</f>
        <v>1</v>
      </c>
      <c r="P406" s="68">
        <f ca="1">IF($B406="","",SUM(_xlfn.XLOOKUP(C406,Lists!$P$2:$P$19,Lists!$T$2:$T$19,0),_xlfn.XLOOKUP(E406,Lists!$P$2:$P$19,Lists!$T$2:$T$19,0),_xlfn.XLOOKUP(G406,Lists!$P$2:$P$19,Lists!$T$2:$T$19,0),_xlfn.XLOOKUP(I406,Lists!$P$2:$P$19,Lists!$T$2:$T$19,0),_xlfn.XLOOKUP(K406,Lists!$P$2:$P$19,Lists!$T$2:$T$19,0)))</f>
        <v>0</v>
      </c>
      <c r="Q406" s="68">
        <f ca="1">IF($B406="","",SUM(_xlfn.XLOOKUP(C406,Lists!$P$2:$P$19,Lists!$U$2:$U$19,0),_xlfn.XLOOKUP(E406,Lists!$P$2:$P$19,Lists!$U$2:$U$19,0),_xlfn.XLOOKUP(G406,Lists!$P$2:$P$19,Lists!$U$2:$U$19,0),_xlfn.XLOOKUP(I406,Lists!$P$2:$P$19,Lists!$U$2:$U$19,0),_xlfn.XLOOKUP(K406,Lists!$P$2:$P$19,Lists!$U$2:$U$19,0)))</f>
        <v>0</v>
      </c>
      <c r="R406" s="68">
        <f ca="1">IF($B406="","",SUM(_xlfn.XLOOKUP(C406,Lists!$P$2:$P$19,Lists!$V$2:$V$19,0),_xlfn.XLOOKUP(E406,Lists!$P$2:$P$19,Lists!$V$2:$V$19,0),_xlfn.XLOOKUP(G406,Lists!$P$2:$P$19,Lists!$V$2:$V$19,0),_xlfn.XLOOKUP(I406,Lists!$P$2:$P$19,Lists!$V$2:$V$19,0),_xlfn.XLOOKUP(K406,Lists!$P$2:$P$19,Lists!$V$2:$V$19,0)))</f>
        <v>0</v>
      </c>
      <c r="S406" s="68">
        <f ca="1">IF($B406="","",SUM(_xlfn.XLOOKUP(D406,Lists!$AC$2:$AC$9,Lists!$AD$2:$AD$9,0),_xlfn.XLOOKUP(F406,Lists!$AC$2:$AC$9,Lists!$AD$2:$AD$9,0),_xlfn.XLOOKUP(H406,Lists!$AC$2:$AC$9,Lists!$AD$2:$AD$9,0),_xlfn.XLOOKUP(J406,Lists!$AC$2:$AC$9,Lists!$AD$2:$AD$9,0),_xlfn.XLOOKUP(L406,Lists!$AC$2:$AC$9,Lists!$AD$2:$AD$9,0)))</f>
        <v>0</v>
      </c>
      <c r="T406" s="68">
        <f ca="1">IF($B406="","",SUM(_xlfn.XLOOKUP(C406,Lists!$P$2:$P$19,Lists!$W$2:$W$19,0),_xlfn.XLOOKUP(E406,Lists!$P$2:$P$19,Lists!$W$2:$W$19,0),_xlfn.XLOOKUP(G406,Lists!$P$2:$P$19,Lists!$W$2:$W$19,0),_xlfn.XLOOKUP(I406,Lists!$P$2:$P$19,Lists!$W$2:$W$19,0),_xlfn.XLOOKUP(K406,Lists!$P$2:$P$19,Lists!$W$2:$W$19,0)))</f>
        <v>0</v>
      </c>
      <c r="U406" s="68">
        <f ca="1">IF($B406="","",SUM(_xlfn.XLOOKUP(C406,Lists!$P$2:$P$19,Lists!$X$2:$X$19,0),_xlfn.XLOOKUP(E406,Lists!$P$2:$P$19,Lists!$X$2:$X$19,0),_xlfn.XLOOKUP(G406,Lists!$P$2:$P$19,Lists!$X$2:$X$19,0),_xlfn.XLOOKUP(I406,Lists!$P$2:$P$19,Lists!$X$2:$X$19,0),_xlfn.XLOOKUP(K406,Lists!$P$2:$P$19,Lists!$X$2:$X$19,0)))</f>
        <v>0</v>
      </c>
      <c r="V406" s="68">
        <f ca="1">IF($B406="","",SUM(_xlfn.XLOOKUP(C406,Lists!$P$2:$P$19,Lists!$Y$2:$Y$19,0),_xlfn.XLOOKUP(E406,Lists!$P$2:$P$19,Lists!$Y$2:$Y$19,0),_xlfn.XLOOKUP(G406,Lists!$P$2:$P$19,Lists!$Y$2:$Y$19,0),_xlfn.XLOOKUP(I406,Lists!$P$2:$P$19,Lists!$Y$2:$Y$19,0),_xlfn.XLOOKUP(K406,Lists!$P$2:$P$19,Lists!$Y$2:$Y$19,0)))</f>
        <v>0</v>
      </c>
      <c r="W406" s="68">
        <f ca="1">IF($B406="","",SUM(_xlfn.XLOOKUP(C406,Lists!$P$2:$P$19,Lists!$Z$2:$Z$19,0),_xlfn.XLOOKUP(E406,Lists!$P$2:$P$19,Lists!$Z$2:$Z$19,0),_xlfn.XLOOKUP(G406,Lists!$P$2:$P$19,Lists!$Z$2:$Z$19,0),_xlfn.XLOOKUP(I406,Lists!$P$2:$P$19,Lists!$Z$2:$Z$19,0),_xlfn.XLOOKUP(K406,Lists!$P$2:$P$19,Lists!$Z$2:$Z$19,0)))</f>
        <v>0</v>
      </c>
      <c r="X406" s="69">
        <f ca="1">IF($B406="","",SUM(_xlfn.XLOOKUP(C406,Lists!$P$2:$P$19,Lists!$AA$2:$AA$19,0),_xlfn.XLOOKUP(E406,Lists!$P$2:$P$19,Lists!$AA$2:$AA$19,0),_xlfn.XLOOKUP(G406,Lists!$P$2:$P$19,Lists!$AA$2:$AA$19,0),_xlfn.XLOOKUP(I406,Lists!$P$2:$P$19,Lists!$AA$2:$AA$19,0),_xlfn.XLOOKUP(K406,Lists!$P$2:$P$19,Lists!$AA$2:$AA$19,0)))</f>
        <v>0</v>
      </c>
      <c r="Y406" s="49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  <c r="CL406" s="18"/>
      <c r="CM406" s="18"/>
      <c r="CN406" s="18"/>
      <c r="CO406" s="18"/>
      <c r="CP406" s="18"/>
      <c r="CQ406" s="18"/>
      <c r="CR406" s="18"/>
      <c r="CS406" s="18"/>
      <c r="CT406" s="18"/>
      <c r="CU406" s="18"/>
      <c r="CV406" s="18"/>
      <c r="CW406" s="18"/>
      <c r="CX406" s="18"/>
      <c r="CY406" s="18"/>
      <c r="CZ406" s="18"/>
      <c r="DA406" s="18"/>
      <c r="DB406" s="18"/>
      <c r="DC406" s="18"/>
      <c r="DD406" s="18"/>
      <c r="DE406" s="18"/>
      <c r="DF406" s="18"/>
    </row>
    <row r="407" spans="1:110">
      <c r="A407" s="168">
        <v>7</v>
      </c>
      <c r="B407" s="47" t="str">
        <f ca="1">Lineups!$C$123</f>
        <v>Peach</v>
      </c>
      <c r="C407" s="49" t="s">
        <v>185</v>
      </c>
      <c r="D407" s="49"/>
      <c r="E407" s="49"/>
      <c r="F407" s="49"/>
      <c r="G407" s="49"/>
      <c r="H407" s="50"/>
      <c r="I407" s="50"/>
      <c r="J407" s="50"/>
      <c r="K407" s="50"/>
      <c r="L407" s="50"/>
      <c r="M407" s="67">
        <f ca="1">IF($B407="","",SUM(_xlfn.XLOOKUP(C407,Lists!$P$2:$P$19,Lists!$R$2:$R$19,0),_xlfn.XLOOKUP(E407,Lists!$P$2:$P$19,Lists!$R$2:$R$19,0),_xlfn.XLOOKUP(G407,Lists!$P$2:$P$19,Lists!$R$2:$R$19,0),_xlfn.XLOOKUP(I407,Lists!$P$2:$P$19,Lists!$R$2:$R$19,0),_xlfn.XLOOKUP(K407,Lists!$P$2:$P$19,Lists!$R$2:$R$19,0)))</f>
        <v>1</v>
      </c>
      <c r="N407" s="68">
        <f ca="1">IF($B407="","",SUM(_xlfn.XLOOKUP(D407,Lists!$AC$2:$AC$9,Lists!$AE$2:$AE$9,0),_xlfn.XLOOKUP(F407,Lists!$AC$2:$AC$9,Lists!$AE$2:$AE$9,0),_xlfn.XLOOKUP(H407,Lists!$AC$2:$AC$9,Lists!$AE$2:$AE$9,0),_xlfn.XLOOKUP(J407,Lists!$AC$2:$AC$9,Lists!$AE$2:$AE$9,0),_xlfn.XLOOKUP(L407,Lists!$AC$2:$AC$9,Lists!$AE$2:$AE$9,0)))</f>
        <v>0</v>
      </c>
      <c r="O407" s="68">
        <f ca="1">IF($B407="","",SUM(_xlfn.XLOOKUP(C407,Lists!$P$2:$P$19,Lists!$S$2:$S$19,0),_xlfn.XLOOKUP(E407,Lists!$P$2:$P$19,Lists!$S$2:$S$19,0),_xlfn.XLOOKUP(G407,Lists!$P$2:$P$19,Lists!$S$2:$S$19,0),_xlfn.XLOOKUP(I407,Lists!$P$2:$P$19,Lists!$S$2:$S$19,0),_xlfn.XLOOKUP(K407,Lists!$P$2:$P$19,Lists!$S$2:$S$19,0)))</f>
        <v>0</v>
      </c>
      <c r="P407" s="68">
        <f ca="1">IF($B407="","",SUM(_xlfn.XLOOKUP(C407,Lists!$P$2:$P$19,Lists!$T$2:$T$19,0),_xlfn.XLOOKUP(E407,Lists!$P$2:$P$19,Lists!$T$2:$T$19,0),_xlfn.XLOOKUP(G407,Lists!$P$2:$P$19,Lists!$T$2:$T$19,0),_xlfn.XLOOKUP(I407,Lists!$P$2:$P$19,Lists!$T$2:$T$19,0),_xlfn.XLOOKUP(K407,Lists!$P$2:$P$19,Lists!$T$2:$T$19,0)))</f>
        <v>0</v>
      </c>
      <c r="Q407" s="68">
        <f ca="1">IF($B407="","",SUM(_xlfn.XLOOKUP(C407,Lists!$P$2:$P$19,Lists!$U$2:$U$19,0),_xlfn.XLOOKUP(E407,Lists!$P$2:$P$19,Lists!$U$2:$U$19,0),_xlfn.XLOOKUP(G407,Lists!$P$2:$P$19,Lists!$U$2:$U$19,0),_xlfn.XLOOKUP(I407,Lists!$P$2:$P$19,Lists!$U$2:$U$19,0),_xlfn.XLOOKUP(K407,Lists!$P$2:$P$19,Lists!$U$2:$U$19,0)))</f>
        <v>0</v>
      </c>
      <c r="R407" s="68">
        <f ca="1">IF($B407="","",SUM(_xlfn.XLOOKUP(C407,Lists!$P$2:$P$19,Lists!$V$2:$V$19,0),_xlfn.XLOOKUP(E407,Lists!$P$2:$P$19,Lists!$V$2:$V$19,0),_xlfn.XLOOKUP(G407,Lists!$P$2:$P$19,Lists!$V$2:$V$19,0),_xlfn.XLOOKUP(I407,Lists!$P$2:$P$19,Lists!$V$2:$V$19,0),_xlfn.XLOOKUP(K407,Lists!$P$2:$P$19,Lists!$V$2:$V$19,0)))</f>
        <v>0</v>
      </c>
      <c r="S407" s="68">
        <f ca="1">IF($B407="","",SUM(_xlfn.XLOOKUP(D407,Lists!$AC$2:$AC$9,Lists!$AD$2:$AD$9,0),_xlfn.XLOOKUP(F407,Lists!$AC$2:$AC$9,Lists!$AD$2:$AD$9,0),_xlfn.XLOOKUP(H407,Lists!$AC$2:$AC$9,Lists!$AD$2:$AD$9,0),_xlfn.XLOOKUP(J407,Lists!$AC$2:$AC$9,Lists!$AD$2:$AD$9,0),_xlfn.XLOOKUP(L407,Lists!$AC$2:$AC$9,Lists!$AD$2:$AD$9,0)))</f>
        <v>0</v>
      </c>
      <c r="T407" s="68">
        <f ca="1">IF($B407="","",SUM(_xlfn.XLOOKUP(C407,Lists!$P$2:$P$19,Lists!$W$2:$W$19,0),_xlfn.XLOOKUP(E407,Lists!$P$2:$P$19,Lists!$W$2:$W$19,0),_xlfn.XLOOKUP(G407,Lists!$P$2:$P$19,Lists!$W$2:$W$19,0),_xlfn.XLOOKUP(I407,Lists!$P$2:$P$19,Lists!$W$2:$W$19,0),_xlfn.XLOOKUP(K407,Lists!$P$2:$P$19,Lists!$W$2:$W$19,0)))</f>
        <v>0</v>
      </c>
      <c r="U407" s="68">
        <f ca="1">IF($B407="","",SUM(_xlfn.XLOOKUP(C407,Lists!$P$2:$P$19,Lists!$X$2:$X$19,0),_xlfn.XLOOKUP(E407,Lists!$P$2:$P$19,Lists!$X$2:$X$19,0),_xlfn.XLOOKUP(G407,Lists!$P$2:$P$19,Lists!$X$2:$X$19,0),_xlfn.XLOOKUP(I407,Lists!$P$2:$P$19,Lists!$X$2:$X$19,0),_xlfn.XLOOKUP(K407,Lists!$P$2:$P$19,Lists!$X$2:$X$19,0)))</f>
        <v>1</v>
      </c>
      <c r="V407" s="68">
        <f ca="1">IF($B407="","",SUM(_xlfn.XLOOKUP(C407,Lists!$P$2:$P$19,Lists!$Y$2:$Y$19,0),_xlfn.XLOOKUP(E407,Lists!$P$2:$P$19,Lists!$Y$2:$Y$19,0),_xlfn.XLOOKUP(G407,Lists!$P$2:$P$19,Lists!$Y$2:$Y$19,0),_xlfn.XLOOKUP(I407,Lists!$P$2:$P$19,Lists!$Y$2:$Y$19,0),_xlfn.XLOOKUP(K407,Lists!$P$2:$P$19,Lists!$Y$2:$Y$19,0)))</f>
        <v>0</v>
      </c>
      <c r="W407" s="68">
        <f ca="1">IF($B407="","",SUM(_xlfn.XLOOKUP(C407,Lists!$P$2:$P$19,Lists!$Z$2:$Z$19,0),_xlfn.XLOOKUP(E407,Lists!$P$2:$P$19,Lists!$Z$2:$Z$19,0),_xlfn.XLOOKUP(G407,Lists!$P$2:$P$19,Lists!$Z$2:$Z$19,0),_xlfn.XLOOKUP(I407,Lists!$P$2:$P$19,Lists!$Z$2:$Z$19,0),_xlfn.XLOOKUP(K407,Lists!$P$2:$P$19,Lists!$Z$2:$Z$19,0)))</f>
        <v>0</v>
      </c>
      <c r="X407" s="69">
        <f ca="1">IF($B407="","",SUM(_xlfn.XLOOKUP(C407,Lists!$P$2:$P$19,Lists!$AA$2:$AA$19,0),_xlfn.XLOOKUP(E407,Lists!$P$2:$P$19,Lists!$AA$2:$AA$19,0),_xlfn.XLOOKUP(G407,Lists!$P$2:$P$19,Lists!$AA$2:$AA$19,0),_xlfn.XLOOKUP(I407,Lists!$P$2:$P$19,Lists!$AA$2:$AA$19,0),_xlfn.XLOOKUP(K407,Lists!$P$2:$P$19,Lists!$AA$2:$AA$19,0)))</f>
        <v>0</v>
      </c>
      <c r="Y407" s="49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  <c r="CM407" s="18"/>
      <c r="CN407" s="18"/>
      <c r="CO407" s="18"/>
      <c r="CP407" s="18"/>
      <c r="CQ407" s="18"/>
      <c r="CR407" s="18"/>
      <c r="CS407" s="18"/>
      <c r="CT407" s="18"/>
      <c r="CU407" s="18"/>
      <c r="CV407" s="18"/>
      <c r="CW407" s="18"/>
      <c r="CX407" s="18"/>
      <c r="CY407" s="18"/>
      <c r="CZ407" s="18"/>
      <c r="DA407" s="18"/>
      <c r="DB407" s="18"/>
      <c r="DC407" s="18"/>
      <c r="DD407" s="18"/>
      <c r="DE407" s="18"/>
      <c r="DF407" s="18"/>
    </row>
    <row r="408" spans="1:110">
      <c r="A408" s="168">
        <v>8</v>
      </c>
      <c r="B408" s="47" t="str">
        <f ca="1">Lineups!$C$124</f>
        <v>Baby Mario</v>
      </c>
      <c r="C408" s="49" t="s">
        <v>186</v>
      </c>
      <c r="D408" s="49"/>
      <c r="E408" s="49"/>
      <c r="F408" s="49"/>
      <c r="G408" s="49"/>
      <c r="H408" s="50"/>
      <c r="I408" s="50"/>
      <c r="J408" s="50"/>
      <c r="K408" s="50"/>
      <c r="L408" s="50"/>
      <c r="M408" s="67">
        <f ca="1">IF($B408="","",SUM(_xlfn.XLOOKUP(C408,Lists!$P$2:$P$19,Lists!$R$2:$R$19,0),_xlfn.XLOOKUP(E408,Lists!$P$2:$P$19,Lists!$R$2:$R$19,0),_xlfn.XLOOKUP(G408,Lists!$P$2:$P$19,Lists!$R$2:$R$19,0),_xlfn.XLOOKUP(I408,Lists!$P$2:$P$19,Lists!$R$2:$R$19,0),_xlfn.XLOOKUP(K408,Lists!$P$2:$P$19,Lists!$R$2:$R$19,0)))</f>
        <v>1</v>
      </c>
      <c r="N408" s="68">
        <f ca="1">IF($B408="","",SUM(_xlfn.XLOOKUP(D408,Lists!$AC$2:$AC$9,Lists!$AE$2:$AE$9,0),_xlfn.XLOOKUP(F408,Lists!$AC$2:$AC$9,Lists!$AE$2:$AE$9,0),_xlfn.XLOOKUP(H408,Lists!$AC$2:$AC$9,Lists!$AE$2:$AE$9,0),_xlfn.XLOOKUP(J408,Lists!$AC$2:$AC$9,Lists!$AE$2:$AE$9,0),_xlfn.XLOOKUP(L408,Lists!$AC$2:$AC$9,Lists!$AE$2:$AE$9,0)))</f>
        <v>0</v>
      </c>
      <c r="O408" s="68">
        <f ca="1">IF($B408="","",SUM(_xlfn.XLOOKUP(C408,Lists!$P$2:$P$19,Lists!$S$2:$S$19,0),_xlfn.XLOOKUP(E408,Lists!$P$2:$P$19,Lists!$S$2:$S$19,0),_xlfn.XLOOKUP(G408,Lists!$P$2:$P$19,Lists!$S$2:$S$19,0),_xlfn.XLOOKUP(I408,Lists!$P$2:$P$19,Lists!$S$2:$S$19,0),_xlfn.XLOOKUP(K408,Lists!$P$2:$P$19,Lists!$S$2:$S$19,0)))</f>
        <v>0</v>
      </c>
      <c r="P408" s="68">
        <f ca="1">IF($B408="","",SUM(_xlfn.XLOOKUP(C408,Lists!$P$2:$P$19,Lists!$T$2:$T$19,0),_xlfn.XLOOKUP(E408,Lists!$P$2:$P$19,Lists!$T$2:$T$19,0),_xlfn.XLOOKUP(G408,Lists!$P$2:$P$19,Lists!$T$2:$T$19,0),_xlfn.XLOOKUP(I408,Lists!$P$2:$P$19,Lists!$T$2:$T$19,0),_xlfn.XLOOKUP(K408,Lists!$P$2:$P$19,Lists!$T$2:$T$19,0)))</f>
        <v>0</v>
      </c>
      <c r="Q408" s="68">
        <f ca="1">IF($B408="","",SUM(_xlfn.XLOOKUP(C408,Lists!$P$2:$P$19,Lists!$U$2:$U$19,0),_xlfn.XLOOKUP(E408,Lists!$P$2:$P$19,Lists!$U$2:$U$19,0),_xlfn.XLOOKUP(G408,Lists!$P$2:$P$19,Lists!$U$2:$U$19,0),_xlfn.XLOOKUP(I408,Lists!$P$2:$P$19,Lists!$U$2:$U$19,0),_xlfn.XLOOKUP(K408,Lists!$P$2:$P$19,Lists!$U$2:$U$19,0)))</f>
        <v>0</v>
      </c>
      <c r="R408" s="68">
        <f ca="1">IF($B408="","",SUM(_xlfn.XLOOKUP(C408,Lists!$P$2:$P$19,Lists!$V$2:$V$19,0),_xlfn.XLOOKUP(E408,Lists!$P$2:$P$19,Lists!$V$2:$V$19,0),_xlfn.XLOOKUP(G408,Lists!$P$2:$P$19,Lists!$V$2:$V$19,0),_xlfn.XLOOKUP(I408,Lists!$P$2:$P$19,Lists!$V$2:$V$19,0),_xlfn.XLOOKUP(K408,Lists!$P$2:$P$19,Lists!$V$2:$V$19,0)))</f>
        <v>0</v>
      </c>
      <c r="S408" s="68">
        <f ca="1">IF($B408="","",SUM(_xlfn.XLOOKUP(D408,Lists!$AC$2:$AC$9,Lists!$AD$2:$AD$9,0),_xlfn.XLOOKUP(F408,Lists!$AC$2:$AC$9,Lists!$AD$2:$AD$9,0),_xlfn.XLOOKUP(H408,Lists!$AC$2:$AC$9,Lists!$AD$2:$AD$9,0),_xlfn.XLOOKUP(J408,Lists!$AC$2:$AC$9,Lists!$AD$2:$AD$9,0),_xlfn.XLOOKUP(L408,Lists!$AC$2:$AC$9,Lists!$AD$2:$AD$9,0)))</f>
        <v>0</v>
      </c>
      <c r="T408" s="68">
        <f ca="1">IF($B408="","",SUM(_xlfn.XLOOKUP(C408,Lists!$P$2:$P$19,Lists!$W$2:$W$19,0),_xlfn.XLOOKUP(E408,Lists!$P$2:$P$19,Lists!$W$2:$W$19,0),_xlfn.XLOOKUP(G408,Lists!$P$2:$P$19,Lists!$W$2:$W$19,0),_xlfn.XLOOKUP(I408,Lists!$P$2:$P$19,Lists!$W$2:$W$19,0),_xlfn.XLOOKUP(K408,Lists!$P$2:$P$19,Lists!$W$2:$W$19,0)))</f>
        <v>0</v>
      </c>
      <c r="U408" s="68">
        <f ca="1">IF($B408="","",SUM(_xlfn.XLOOKUP(C408,Lists!$P$2:$P$19,Lists!$X$2:$X$19,0),_xlfn.XLOOKUP(E408,Lists!$P$2:$P$19,Lists!$X$2:$X$19,0),_xlfn.XLOOKUP(G408,Lists!$P$2:$P$19,Lists!$X$2:$X$19,0),_xlfn.XLOOKUP(I408,Lists!$P$2:$P$19,Lists!$X$2:$X$19,0),_xlfn.XLOOKUP(K408,Lists!$P$2:$P$19,Lists!$X$2:$X$19,0)))</f>
        <v>0</v>
      </c>
      <c r="V408" s="68">
        <f ca="1">IF($B408="","",SUM(_xlfn.XLOOKUP(C408,Lists!$P$2:$P$19,Lists!$Y$2:$Y$19,0),_xlfn.XLOOKUP(E408,Lists!$P$2:$P$19,Lists!$Y$2:$Y$19,0),_xlfn.XLOOKUP(G408,Lists!$P$2:$P$19,Lists!$Y$2:$Y$19,0),_xlfn.XLOOKUP(I408,Lists!$P$2:$P$19,Lists!$Y$2:$Y$19,0),_xlfn.XLOOKUP(K408,Lists!$P$2:$P$19,Lists!$Y$2:$Y$19,0)))</f>
        <v>0</v>
      </c>
      <c r="W408" s="68">
        <f ca="1">IF($B408="","",SUM(_xlfn.XLOOKUP(C408,Lists!$P$2:$P$19,Lists!$Z$2:$Z$19,0),_xlfn.XLOOKUP(E408,Lists!$P$2:$P$19,Lists!$Z$2:$Z$19,0),_xlfn.XLOOKUP(G408,Lists!$P$2:$P$19,Lists!$Z$2:$Z$19,0),_xlfn.XLOOKUP(I408,Lists!$P$2:$P$19,Lists!$Z$2:$Z$19,0),_xlfn.XLOOKUP(K408,Lists!$P$2:$P$19,Lists!$Z$2:$Z$19,0)))</f>
        <v>0</v>
      </c>
      <c r="X408" s="69">
        <f ca="1">IF($B408="","",SUM(_xlfn.XLOOKUP(C408,Lists!$P$2:$P$19,Lists!$AA$2:$AA$19,0),_xlfn.XLOOKUP(E408,Lists!$P$2:$P$19,Lists!$AA$2:$AA$19,0),_xlfn.XLOOKUP(G408,Lists!$P$2:$P$19,Lists!$AA$2:$AA$19,0),_xlfn.XLOOKUP(I408,Lists!$P$2:$P$19,Lists!$AA$2:$AA$19,0),_xlfn.XLOOKUP(K408,Lists!$P$2:$P$19,Lists!$AA$2:$AA$19,0)))</f>
        <v>0</v>
      </c>
      <c r="Y408" s="49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  <c r="CL408" s="18"/>
      <c r="CM408" s="18"/>
      <c r="CN408" s="18"/>
      <c r="CO408" s="18"/>
      <c r="CP408" s="18"/>
      <c r="CQ408" s="18"/>
      <c r="CR408" s="18"/>
      <c r="CS408" s="18"/>
      <c r="CT408" s="18"/>
      <c r="CU408" s="18"/>
      <c r="CV408" s="18"/>
      <c r="CW408" s="18"/>
      <c r="CX408" s="18"/>
      <c r="CY408" s="18"/>
      <c r="CZ408" s="18"/>
      <c r="DA408" s="18"/>
      <c r="DB408" s="18"/>
      <c r="DC408" s="18"/>
      <c r="DD408" s="18"/>
      <c r="DE408" s="18"/>
      <c r="DF408" s="18"/>
    </row>
    <row r="409" spans="1:110">
      <c r="A409" s="168">
        <v>9</v>
      </c>
      <c r="B409" s="47" t="str">
        <f ca="1">Lineups!$C$125</f>
        <v>Baby Daisy</v>
      </c>
      <c r="C409" s="49" t="s">
        <v>188</v>
      </c>
      <c r="D409" s="49"/>
      <c r="E409" s="49"/>
      <c r="F409" s="49"/>
      <c r="G409" s="49"/>
      <c r="H409" s="50"/>
      <c r="I409" s="50"/>
      <c r="J409" s="50"/>
      <c r="K409" s="50"/>
      <c r="L409" s="50"/>
      <c r="M409" s="67">
        <f ca="1">IF($B409="","",SUM(_xlfn.XLOOKUP(C409,Lists!$P$2:$P$19,Lists!$R$2:$R$19,0),_xlfn.XLOOKUP(E409,Lists!$P$2:$P$19,Lists!$R$2:$R$19,0),_xlfn.XLOOKUP(G409,Lists!$P$2:$P$19,Lists!$R$2:$R$19,0),_xlfn.XLOOKUP(I409,Lists!$P$2:$P$19,Lists!$R$2:$R$19,0),_xlfn.XLOOKUP(K409,Lists!$P$2:$P$19,Lists!$R$2:$R$19,0)))</f>
        <v>1</v>
      </c>
      <c r="N409" s="68">
        <f ca="1">IF($B409="","",SUM(_xlfn.XLOOKUP(D409,Lists!$AC$2:$AC$9,Lists!$AE$2:$AE$9,0),_xlfn.XLOOKUP(F409,Lists!$AC$2:$AC$9,Lists!$AE$2:$AE$9,0),_xlfn.XLOOKUP(H409,Lists!$AC$2:$AC$9,Lists!$AE$2:$AE$9,0),_xlfn.XLOOKUP(J409,Lists!$AC$2:$AC$9,Lists!$AE$2:$AE$9,0),_xlfn.XLOOKUP(L409,Lists!$AC$2:$AC$9,Lists!$AE$2:$AE$9,0)))</f>
        <v>0</v>
      </c>
      <c r="O409" s="68">
        <f ca="1">IF($B409="","",SUM(_xlfn.XLOOKUP(C409,Lists!$P$2:$P$19,Lists!$S$2:$S$19,0),_xlfn.XLOOKUP(E409,Lists!$P$2:$P$19,Lists!$S$2:$S$19,0),_xlfn.XLOOKUP(G409,Lists!$P$2:$P$19,Lists!$S$2:$S$19,0),_xlfn.XLOOKUP(I409,Lists!$P$2:$P$19,Lists!$S$2:$S$19,0),_xlfn.XLOOKUP(K409,Lists!$P$2:$P$19,Lists!$S$2:$S$19,0)))</f>
        <v>1</v>
      </c>
      <c r="P409" s="68">
        <f ca="1">IF($B409="","",SUM(_xlfn.XLOOKUP(C409,Lists!$P$2:$P$19,Lists!$T$2:$T$19,0),_xlfn.XLOOKUP(E409,Lists!$P$2:$P$19,Lists!$T$2:$T$19,0),_xlfn.XLOOKUP(G409,Lists!$P$2:$P$19,Lists!$T$2:$T$19,0),_xlfn.XLOOKUP(I409,Lists!$P$2:$P$19,Lists!$T$2:$T$19,0),_xlfn.XLOOKUP(K409,Lists!$P$2:$P$19,Lists!$T$2:$T$19,0)))</f>
        <v>0</v>
      </c>
      <c r="Q409" s="68">
        <f ca="1">IF($B409="","",SUM(_xlfn.XLOOKUP(C409,Lists!$P$2:$P$19,Lists!$U$2:$U$19,0),_xlfn.XLOOKUP(E409,Lists!$P$2:$P$19,Lists!$U$2:$U$19,0),_xlfn.XLOOKUP(G409,Lists!$P$2:$P$19,Lists!$U$2:$U$19,0),_xlfn.XLOOKUP(I409,Lists!$P$2:$P$19,Lists!$U$2:$U$19,0),_xlfn.XLOOKUP(K409,Lists!$P$2:$P$19,Lists!$U$2:$U$19,0)))</f>
        <v>0</v>
      </c>
      <c r="R409" s="68">
        <f ca="1">IF($B409="","",SUM(_xlfn.XLOOKUP(C409,Lists!$P$2:$P$19,Lists!$V$2:$V$19,0),_xlfn.XLOOKUP(E409,Lists!$P$2:$P$19,Lists!$V$2:$V$19,0),_xlfn.XLOOKUP(G409,Lists!$P$2:$P$19,Lists!$V$2:$V$19,0),_xlfn.XLOOKUP(I409,Lists!$P$2:$P$19,Lists!$V$2:$V$19,0),_xlfn.XLOOKUP(K409,Lists!$P$2:$P$19,Lists!$V$2:$V$19,0)))</f>
        <v>0</v>
      </c>
      <c r="S409" s="68">
        <f ca="1">IF($B409="","",SUM(_xlfn.XLOOKUP(D409,Lists!$AC$2:$AC$9,Lists!$AD$2:$AD$9,0),_xlfn.XLOOKUP(F409,Lists!$AC$2:$AC$9,Lists!$AD$2:$AD$9,0),_xlfn.XLOOKUP(H409,Lists!$AC$2:$AC$9,Lists!$AD$2:$AD$9,0),_xlfn.XLOOKUP(J409,Lists!$AC$2:$AC$9,Lists!$AD$2:$AD$9,0),_xlfn.XLOOKUP(L409,Lists!$AC$2:$AC$9,Lists!$AD$2:$AD$9,0)))</f>
        <v>0</v>
      </c>
      <c r="T409" s="68">
        <f ca="1">IF($B409="","",SUM(_xlfn.XLOOKUP(C409,Lists!$P$2:$P$19,Lists!$W$2:$W$19,0),_xlfn.XLOOKUP(E409,Lists!$P$2:$P$19,Lists!$W$2:$W$19,0),_xlfn.XLOOKUP(G409,Lists!$P$2:$P$19,Lists!$W$2:$W$19,0),_xlfn.XLOOKUP(I409,Lists!$P$2:$P$19,Lists!$W$2:$W$19,0),_xlfn.XLOOKUP(K409,Lists!$P$2:$P$19,Lists!$W$2:$W$19,0)))</f>
        <v>0</v>
      </c>
      <c r="U409" s="68">
        <f ca="1">IF($B409="","",SUM(_xlfn.XLOOKUP(C409,Lists!$P$2:$P$19,Lists!$X$2:$X$19,0),_xlfn.XLOOKUP(E409,Lists!$P$2:$P$19,Lists!$X$2:$X$19,0),_xlfn.XLOOKUP(G409,Lists!$P$2:$P$19,Lists!$X$2:$X$19,0),_xlfn.XLOOKUP(I409,Lists!$P$2:$P$19,Lists!$X$2:$X$19,0),_xlfn.XLOOKUP(K409,Lists!$P$2:$P$19,Lists!$X$2:$X$19,0)))</f>
        <v>0</v>
      </c>
      <c r="V409" s="68">
        <f ca="1">IF($B409="","",SUM(_xlfn.XLOOKUP(C409,Lists!$P$2:$P$19,Lists!$Y$2:$Y$19,0),_xlfn.XLOOKUP(E409,Lists!$P$2:$P$19,Lists!$Y$2:$Y$19,0),_xlfn.XLOOKUP(G409,Lists!$P$2:$P$19,Lists!$Y$2:$Y$19,0),_xlfn.XLOOKUP(I409,Lists!$P$2:$P$19,Lists!$Y$2:$Y$19,0),_xlfn.XLOOKUP(K409,Lists!$P$2:$P$19,Lists!$Y$2:$Y$19,0)))</f>
        <v>0</v>
      </c>
      <c r="W409" s="68">
        <f ca="1">IF($B409="","",SUM(_xlfn.XLOOKUP(C409,Lists!$P$2:$P$19,Lists!$Z$2:$Z$19,0),_xlfn.XLOOKUP(E409,Lists!$P$2:$P$19,Lists!$Z$2:$Z$19,0),_xlfn.XLOOKUP(G409,Lists!$P$2:$P$19,Lists!$Z$2:$Z$19,0),_xlfn.XLOOKUP(I409,Lists!$P$2:$P$19,Lists!$Z$2:$Z$19,0),_xlfn.XLOOKUP(K409,Lists!$P$2:$P$19,Lists!$Z$2:$Z$19,0)))</f>
        <v>0</v>
      </c>
      <c r="X409" s="69">
        <f ca="1">IF($B409="","",SUM(_xlfn.XLOOKUP(C409,Lists!$P$2:$P$19,Lists!$AA$2:$AA$19,0),_xlfn.XLOOKUP(E409,Lists!$P$2:$P$19,Lists!$AA$2:$AA$19,0),_xlfn.XLOOKUP(G409,Lists!$P$2:$P$19,Lists!$AA$2:$AA$19,0),_xlfn.XLOOKUP(I409,Lists!$P$2:$P$19,Lists!$AA$2:$AA$19,0),_xlfn.XLOOKUP(K409,Lists!$P$2:$P$19,Lists!$AA$2:$AA$19,0)))</f>
        <v>0</v>
      </c>
      <c r="Y409" s="49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18"/>
      <c r="CN409" s="18"/>
      <c r="CO409" s="18"/>
      <c r="CP409" s="18"/>
      <c r="CQ409" s="18"/>
      <c r="CR409" s="18"/>
      <c r="CS409" s="18"/>
      <c r="CT409" s="18"/>
      <c r="CU409" s="18"/>
      <c r="CV409" s="18"/>
      <c r="CW409" s="18"/>
      <c r="CX409" s="18"/>
      <c r="CY409" s="18"/>
      <c r="CZ409" s="18"/>
      <c r="DA409" s="18"/>
      <c r="DB409" s="18"/>
      <c r="DC409" s="18"/>
      <c r="DD409" s="18"/>
      <c r="DE409" s="18"/>
      <c r="DF409" s="18"/>
    </row>
    <row r="410" spans="1:110">
      <c r="A410" s="173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18"/>
      <c r="CN410" s="18"/>
      <c r="CO410" s="18"/>
      <c r="CP410" s="18"/>
      <c r="CQ410" s="18"/>
      <c r="CR410" s="18"/>
      <c r="CS410" s="18"/>
      <c r="CT410" s="18"/>
      <c r="CU410" s="18"/>
      <c r="CV410" s="18"/>
      <c r="CW410" s="18"/>
      <c r="CX410" s="18"/>
      <c r="CY410" s="18"/>
      <c r="CZ410" s="18"/>
      <c r="DA410" s="18"/>
      <c r="DB410" s="18"/>
      <c r="DC410" s="18"/>
      <c r="DD410" s="18"/>
      <c r="DE410" s="18"/>
      <c r="DF410" s="18"/>
    </row>
    <row r="411" spans="1:110">
      <c r="A411" s="222" t="str">
        <f ca="1">IF($N$394="","Team A Pitching",$N$394&amp;" Pitching")</f>
        <v>Jason Pitching</v>
      </c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06"/>
      <c r="O411" s="186"/>
      <c r="P411" s="24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  <c r="CO411" s="18"/>
      <c r="CP411" s="18"/>
      <c r="CQ411" s="18"/>
      <c r="CR411" s="18"/>
      <c r="CS411" s="18"/>
      <c r="CT411" s="18"/>
      <c r="CU411" s="18"/>
      <c r="CV411" s="18"/>
      <c r="CW411" s="18"/>
      <c r="CX411" s="18"/>
      <c r="CY411" s="18"/>
      <c r="CZ411" s="18"/>
      <c r="DA411" s="18"/>
      <c r="DB411" s="18"/>
      <c r="DC411" s="18"/>
      <c r="DD411" s="18"/>
      <c r="DE411" s="18"/>
      <c r="DF411" s="18"/>
    </row>
    <row r="412" spans="1:110">
      <c r="A412" s="167" t="s">
        <v>103</v>
      </c>
      <c r="B412" s="43" t="s">
        <v>194</v>
      </c>
      <c r="C412" s="43" t="s">
        <v>195</v>
      </c>
      <c r="D412" s="43" t="s">
        <v>162</v>
      </c>
      <c r="E412" s="43" t="s">
        <v>161</v>
      </c>
      <c r="F412" s="43" t="s">
        <v>196</v>
      </c>
      <c r="G412" s="43" t="s">
        <v>180</v>
      </c>
      <c r="H412" s="43" t="s">
        <v>181</v>
      </c>
      <c r="I412" s="44" t="s">
        <v>197</v>
      </c>
      <c r="J412" s="44" t="s">
        <v>198</v>
      </c>
      <c r="K412" s="44" t="s">
        <v>199</v>
      </c>
      <c r="L412" s="44" t="s">
        <v>200</v>
      </c>
      <c r="M412" s="44" t="s">
        <v>201</v>
      </c>
      <c r="N412" s="45" t="s">
        <v>202</v>
      </c>
      <c r="O412" s="45" t="s">
        <v>203</v>
      </c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  <c r="CO412" s="18"/>
      <c r="CP412" s="18"/>
      <c r="CQ412" s="18"/>
      <c r="CR412" s="18"/>
      <c r="CS412" s="18"/>
      <c r="CT412" s="18"/>
      <c r="CU412" s="18"/>
      <c r="CV412" s="18"/>
      <c r="CW412" s="18"/>
      <c r="CX412" s="18"/>
      <c r="CY412" s="18"/>
      <c r="CZ412" s="18"/>
      <c r="DA412" s="18"/>
      <c r="DB412" s="18"/>
      <c r="DC412" s="18"/>
      <c r="DD412" s="18"/>
      <c r="DE412" s="18"/>
      <c r="DF412" s="18"/>
    </row>
    <row r="413" spans="1:110">
      <c r="A413" s="168">
        <v>1</v>
      </c>
      <c r="B413" s="71" t="s">
        <v>47</v>
      </c>
      <c r="C413" s="70" cm="1">
        <f t="array" aca="1" ref="C413" ca="1">IF(OR(B413="",O413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1</v>
      </c>
      <c r="D413" s="67" cm="1">
        <f t="array" aca="1" ref="D413" ca="1">IF(OR(B413="",O413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0</v>
      </c>
      <c r="E413" s="67" cm="1">
        <f t="array" aca="1" ref="E413" ca="1">IF(OR(B413="",O413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0</v>
      </c>
      <c r="F413" s="67" cm="1">
        <f t="array" aca="1" ref="F413" ca="1">IF(OR(B413="",O413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0</v>
      </c>
      <c r="G413" s="67" cm="1">
        <f t="array" aca="1" ref="G413" ca="1">IF(OR(B413="",O413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413" s="67" cm="1">
        <f t="array" aca="1" ref="H413" ca="1">IF(OR(B413="",O413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0</v>
      </c>
      <c r="I413" s="68" cm="1">
        <f t="array" aca="1" ref="I413" ca="1">IF(OR(B413="",O413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413" s="68" cm="1">
        <f t="array" aca="1" ref="J413" ca="1">IF(OR(B413="",O413=""),"",--(SUM(_xlfn.XLOOKUP(_xlfn._xlws.FILTER(_xlfn.TOCOL(_xlfn.CHOOSECOLS(C401:L409,2,4,6,8,10),0,TRUE),_xlfn.TOCOL(_xlfn.CHOOSECOLS(C401:L409,1,3,5,7,9),0,TRUE)&lt;&gt;""),Lists!$AC$2:$AC$9,Lists!$AF$2:$AF$9,0))&gt;SUM(_xlfn.XLOOKUP(_xlfn._xlws.FILTER(_xlfn.TOCOL(_xlfn.CHOOSECOLS(C422:L430,2,4,6,8,10),0,TRUE),_xlfn.TOCOL(_xlfn.CHOOSECOLS(C422:L430,1,3,5,7,9),0,TRUE)&lt;&gt;""),Lists!$AC$2:$AC$9,Lists!$AF$2:$AF$9,0)))*--(ROW()-ROW(C412)=_xlfn.XLOOKUP(MAX(IF(O413:O418&gt;0,INT(C413:C418)*3+MOD(ROUND(C413:C418*10,0),10),-1)),IF(O413:O418&gt;0,INT(C413:C418)*3+MOD(ROUND(C413:C418*10,0),10),-1),_xlfn.SEQUENCE(ROWS(O413:O418)),,0)))</f>
        <v>1</v>
      </c>
      <c r="K413" s="68" cm="1">
        <f t="array" aca="1" ref="K413" ca="1">IF(OR(B413="",O413=""),"",--(SUM(_xlfn.XLOOKUP(_xlfn._xlws.FILTER(_xlfn.TOCOL(_xlfn.CHOOSECOLS(C401:L409,2,4,6,8,10),0,TRUE),_xlfn.TOCOL(_xlfn.CHOOSECOLS(C401:L409,1,3,5,7,9),0,TRUE)&lt;&gt;""),Lists!$AC$2:$AC$9,Lists!$AF$2:$AF$9,0))&lt;SUM(_xlfn.XLOOKUP(_xlfn._xlws.FILTER(_xlfn.TOCOL(_xlfn.CHOOSECOLS(C422:L430,2,4,6,8,10),0,TRUE),_xlfn.TOCOL(_xlfn.CHOOSECOLS(C422:L430,1,3,5,7,9),0,TRUE)&lt;&gt;""),Lists!$AC$2:$AC$9,Lists!$AF$2:$AF$9,0)))*--(ROW()-ROW(C412)=_xlfn.XLOOKUP(MAX(IF(O413:O418&gt;0,E413:E418,-1)),IF(O413:O418&gt;0,E413:E418,-1),_xlfn.SEQUENCE(ROWS(O413:O418)),,0)))</f>
        <v>0</v>
      </c>
      <c r="L413" s="68" cm="1">
        <f t="array" aca="1" ref="L413" ca="1">IF(OR(B413="",O413=""),"",--(SUM(_xlfn.XLOOKUP(_xlfn._xlws.FILTER(_xlfn.TOCOL(_xlfn.CHOOSECOLS(C401:L409,2,4,6,8,10),0,TRUE),_xlfn.TOCOL(_xlfn.CHOOSECOLS(C401:L409,1,3,5,7,9),0,TRUE)&lt;&gt;""),Lists!$AC$2:$AC$9,Lists!$AF$2:$AF$9,0))&gt;SUM(_xlfn.XLOOKUP(_xlfn._xlws.FILTER(_xlfn.TOCOL(_xlfn.CHOOSECOLS(C422:L430,2,4,6,8,10),0,TRUE),_xlfn.TOCOL(_xlfn.CHOOSECOLS(C422:L430,1,3,5,7,9),0,TRUE)&lt;&gt;""),Lists!$AC$2:$AC$9,Lists!$AF$2:$AF$9,0)))*--(COUNTIF(O413:O418,"&gt;0")&gt;1)*--(ROW()-ROW(C412)=_xlfn.XLOOKUP(TRUE,O413:O418&gt;0,_xlfn.SEQUENCE(ROWS(O413:O418)),,0,-1))*--(_xlfn.XLOOKUP(TRUE,O413:O418&gt;0,_xlfn.SEQUENCE(ROWS(O413:O418)),,0,-1)&lt;&gt;_xlfn.XLOOKUP(MAX(IF(O413:O418&gt;0,INT(C413:C418)*3+MOD(ROUND(C413:C418*10,0),10),-1)),IF(O413:O418&gt;0,INT(C413:C418)*3+MOD(ROUND(C413:C418*10,0),10),-1),_xlfn.SEQUENCE(ROWS(O413:O418)),,0))*--(SUM(_xlfn.XLOOKUP(_xlfn._xlws.FILTER(_xlfn.TOCOL(_xlfn.CHOOSECOLS(C401:L409,2,4,6,8,10),0,TRUE),_xlfn.TOCOL(_xlfn.CHOOSECOLS(C401:L409,1,3,5,7,9),0,TRUE)&lt;&gt;""),Lists!$AC$2:$AC$9,Lists!$AF$2:$AF$9,0))-SUM(_xlfn.XLOOKUP(_xlfn._xlws.FILTER(_xlfn.TOCOL(_xlfn.CHOOSECOLS(C422:L430,2,4,6,8,10),0,TRUE),_xlfn.TOCOL(_xlfn.CHOOSECOLS(C422:L430,1,3,5,7,9),0,TRUE)&lt;&gt;""),Lists!$AC$2:$AC$9,Lists!$AF$2:$AF$9,0))&lt;=3)*--((INT(C413)*3+MOD(ROUND(C413*10,0),10))&gt;=3))</f>
        <v>0</v>
      </c>
      <c r="M413" s="68" cm="1">
        <f t="array" aca="1" ref="M413" ca="1">IF(OR(B413="",O413=""),"",--(COUNTIF(O413:O418,"&gt;0")=1)*--(SUM(_xlfn.XLOOKUP(_xlfn._xlws.FILTER(_xlfn.TOCOL(_xlfn.CHOOSECOLS(C422:L430,2,4,6,8,10),0,TRUE),_xlfn.TOCOL(_xlfn.CHOOSECOLS(C422:L430,1,3,5,7,9),0,TRUE)&lt;&gt;""),Lists!$AC$2:$AC$9,Lists!$AF$2:$AF$9,0))=0))</f>
        <v>1</v>
      </c>
      <c r="N413" s="69">
        <f ca="1">IF(OR(B413="",O413=""),"",--(COUNTIF(O413:O418,"&gt;0")=1))</f>
        <v>1</v>
      </c>
      <c r="O413" s="51">
        <v>3</v>
      </c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  <c r="CO413" s="18"/>
      <c r="CP413" s="18"/>
      <c r="CQ413" s="18"/>
      <c r="CR413" s="18"/>
      <c r="CS413" s="18"/>
      <c r="CT413" s="18"/>
      <c r="CU413" s="18"/>
      <c r="CV413" s="18"/>
      <c r="CW413" s="18"/>
      <c r="CX413" s="18"/>
      <c r="CY413" s="18"/>
      <c r="CZ413" s="18"/>
      <c r="DA413" s="18"/>
      <c r="DB413" s="18"/>
      <c r="DC413" s="18"/>
      <c r="DD413" s="18"/>
      <c r="DE413" s="18"/>
      <c r="DF413" s="18"/>
    </row>
    <row r="414" spans="1:110">
      <c r="A414" s="168">
        <v>2</v>
      </c>
      <c r="B414" s="71"/>
      <c r="C414" s="70" t="str" cm="1">
        <f t="array" aca="1" ref="C414" ca="1">IF(OR(B414="",O414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14" s="67" t="str" cm="1">
        <f t="array" aca="1" ref="D414" ca="1">IF(OR(B414="",O414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14" s="67" t="str" cm="1">
        <f t="array" aca="1" ref="E414" ca="1">IF(OR(B414="",O414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414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14" s="67" t="str" cm="1">
        <f t="array" aca="1" ref="F414" ca="1">IF(OR(B414="",O414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414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14" s="67" t="str" cm="1">
        <f t="array" aca="1" ref="G414" ca="1">IF(OR(B414="",O414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14" s="67" t="str" cm="1">
        <f t="array" aca="1" ref="H414" ca="1">IF(OR(B414="",O414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14" s="68" t="str" cm="1">
        <f t="array" aca="1" ref="I414" ca="1">IF(OR(B414="",O414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14" s="68" t="str" cm="1">
        <f t="array" aca="1" ref="J414" ca="1">IF(OR(B414="",O414=""),"",--(SUM(_xlfn.XLOOKUP(_xlfn._xlws.FILTER(_xlfn.TOCOL(_xlfn.CHOOSECOLS(C401:L409,2,4,6,8,10),0,TRUE),_xlfn.TOCOL(_xlfn.CHOOSECOLS(C401:L409,1,3,5,7,9),0,TRUE)&lt;&gt;""),Lists!$AC$2:$AC$9,Lists!$AF$2:$AF$9,0))&gt;SUM(_xlfn.XLOOKUP(_xlfn._xlws.FILTER(_xlfn.TOCOL(_xlfn.CHOOSECOLS(C422:L430,2,4,6,8,10),0,TRUE),_xlfn.TOCOL(_xlfn.CHOOSECOLS(C422:L430,1,3,5,7,9),0,TRUE)&lt;&gt;""),Lists!$AC$2:$AC$9,Lists!$AF$2:$AF$9,0)))*--(ROW()-ROW(C412)=_xlfn.XLOOKUP(MAX(IF(O413:O418&gt;0,INT(C413:C418)*3+MOD(ROUND(C413:C418*10,0),10),-1)),IF(O413:O418&gt;0,INT(C413:C418)*3+MOD(ROUND(C413:C418*10,0),10),-1),_xlfn.SEQUENCE(ROWS(O413:O418)),,0)))</f>
        <v/>
      </c>
      <c r="K414" s="68" t="str" cm="1">
        <f t="array" aca="1" ref="K414" ca="1">IF(OR(B414="",O414=""),"",--(SUM(_xlfn.XLOOKUP(_xlfn._xlws.FILTER(_xlfn.TOCOL(_xlfn.CHOOSECOLS(C401:L409,2,4,6,8,10),0,TRUE),_xlfn.TOCOL(_xlfn.CHOOSECOLS(C401:L409,1,3,5,7,9),0,TRUE)&lt;&gt;""),Lists!$AC$2:$AC$9,Lists!$AF$2:$AF$9,0))&lt;SUM(_xlfn.XLOOKUP(_xlfn._xlws.FILTER(_xlfn.TOCOL(_xlfn.CHOOSECOLS(C422:L430,2,4,6,8,10),0,TRUE),_xlfn.TOCOL(_xlfn.CHOOSECOLS(C422:L430,1,3,5,7,9),0,TRUE)&lt;&gt;""),Lists!$AC$2:$AC$9,Lists!$AF$2:$AF$9,0)))*--(ROW()-ROW(C412)=_xlfn.XLOOKUP(MAX(IF(O413:O418&gt;0,E413:E418,-1)),IF(O413:O418&gt;0,E413:E418,-1),_xlfn.SEQUENCE(ROWS(O413:O418)),,0)))</f>
        <v/>
      </c>
      <c r="L414" s="68" t="str" cm="1">
        <f t="array" aca="1" ref="L414" ca="1">IF(OR(B414="",O414=""),"",--(SUM(_xlfn.XLOOKUP(_xlfn._xlws.FILTER(_xlfn.TOCOL(_xlfn.CHOOSECOLS(C401:L409,2,4,6,8,10),0,TRUE),_xlfn.TOCOL(_xlfn.CHOOSECOLS(C401:L409,1,3,5,7,9),0,TRUE)&lt;&gt;""),Lists!$AC$2:$AC$9,Lists!$AF$2:$AF$9,0))&gt;SUM(_xlfn.XLOOKUP(_xlfn._xlws.FILTER(_xlfn.TOCOL(_xlfn.CHOOSECOLS(C422:L430,2,4,6,8,10),0,TRUE),_xlfn.TOCOL(_xlfn.CHOOSECOLS(C422:L430,1,3,5,7,9),0,TRUE)&lt;&gt;""),Lists!$AC$2:$AC$9,Lists!$AF$2:$AF$9,0)))*--(COUNTIF(O413:O418,"&gt;0")&gt;1)*--(ROW()-ROW(C412)=_xlfn.XLOOKUP(TRUE,O413:O418&gt;0,_xlfn.SEQUENCE(ROWS(O413:O418)),,0,-1))*--(_xlfn.XLOOKUP(TRUE,O413:O418&gt;0,_xlfn.SEQUENCE(ROWS(O413:O418)),,0,-1)&lt;&gt;_xlfn.XLOOKUP(MAX(IF(O413:O418&gt;0,INT(C413:C418)*3+MOD(ROUND(C413:C418*10,0),10),-1)),IF(O413:O418&gt;0,INT(C413:C418)*3+MOD(ROUND(C413:C418*10,0),10),-1),_xlfn.SEQUENCE(ROWS(O413:O418)),,0))*--(SUM(_xlfn.XLOOKUP(_xlfn._xlws.FILTER(_xlfn.TOCOL(_xlfn.CHOOSECOLS(C401:L409,2,4,6,8,10),0,TRUE),_xlfn.TOCOL(_xlfn.CHOOSECOLS(C401:L409,1,3,5,7,9),0,TRUE)&lt;&gt;""),Lists!$AC$2:$AC$9,Lists!$AF$2:$AF$9,0))-SUM(_xlfn.XLOOKUP(_xlfn._xlws.FILTER(_xlfn.TOCOL(_xlfn.CHOOSECOLS(C422:L430,2,4,6,8,10),0,TRUE),_xlfn.TOCOL(_xlfn.CHOOSECOLS(C422:L430,1,3,5,7,9),0,TRUE)&lt;&gt;""),Lists!$AC$2:$AC$9,Lists!$AF$2:$AF$9,0))&lt;=3)*--((INT(C414)*3+MOD(ROUND(C414*10,0),10))&gt;=3))</f>
        <v/>
      </c>
      <c r="M414" s="68" t="str" cm="1">
        <f t="array" aca="1" ref="M414" ca="1">IF(OR(B414="",O414=""),"",--(COUNTIF(O413:O418,"&gt;0")=1)*--(SUM(_xlfn.XLOOKUP(_xlfn._xlws.FILTER(_xlfn.TOCOL(_xlfn.CHOOSECOLS(C422:L430,2,4,6,8,10),0,TRUE),_xlfn.TOCOL(_xlfn.CHOOSECOLS(C422:L430,1,3,5,7,9),0,TRUE)&lt;&gt;""),Lists!$AC$2:$AC$9,Lists!$AF$2:$AF$9,0))=0))</f>
        <v/>
      </c>
      <c r="N414" s="69" t="str">
        <f ca="1">IF(OR(B414="",O414=""),"",--(COUNTIF(O413:O418,"&gt;0")=1))</f>
        <v/>
      </c>
      <c r="O414" s="5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  <c r="CR414" s="18"/>
      <c r="CS414" s="18"/>
      <c r="CT414" s="18"/>
      <c r="CU414" s="18"/>
      <c r="CV414" s="18"/>
      <c r="CW414" s="18"/>
      <c r="CX414" s="18"/>
      <c r="CY414" s="18"/>
      <c r="CZ414" s="18"/>
      <c r="DA414" s="18"/>
      <c r="DB414" s="18"/>
      <c r="DC414" s="18"/>
      <c r="DD414" s="18"/>
      <c r="DE414" s="18"/>
      <c r="DF414" s="18"/>
    </row>
    <row r="415" spans="1:110">
      <c r="A415" s="168">
        <v>3</v>
      </c>
      <c r="B415" s="71"/>
      <c r="C415" s="70" t="str" cm="1">
        <f t="array" aca="1" ref="C415" ca="1">IF(OR(B415="",O415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15" s="67" t="str" cm="1">
        <f t="array" aca="1" ref="D415" ca="1">IF(OR(B415="",O415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15" s="67" t="str" cm="1">
        <f t="array" aca="1" ref="E415" ca="1">IF(OR(B415="",O415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415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15" s="67" t="str" cm="1">
        <f t="array" aca="1" ref="F415" ca="1">IF(OR(B415="",O415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415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15" s="67" t="str" cm="1">
        <f t="array" aca="1" ref="G415" ca="1">IF(OR(B415="",O415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15" s="67" t="str" cm="1">
        <f t="array" aca="1" ref="H415" ca="1">IF(OR(B415="",O415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15" s="68" t="str" cm="1">
        <f t="array" aca="1" ref="I415" ca="1">IF(OR(B415="",O415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15" s="68" t="str" cm="1">
        <f t="array" aca="1" ref="J415" ca="1">IF(OR(B415="",O415=""),"",--(SUM(_xlfn.XLOOKUP(_xlfn._xlws.FILTER(_xlfn.TOCOL(_xlfn.CHOOSECOLS(C401:L409,2,4,6,8,10),0,TRUE),_xlfn.TOCOL(_xlfn.CHOOSECOLS(C401:L409,1,3,5,7,9),0,TRUE)&lt;&gt;""),Lists!$AC$2:$AC$9,Lists!$AF$2:$AF$9,0))&gt;SUM(_xlfn.XLOOKUP(_xlfn._xlws.FILTER(_xlfn.TOCOL(_xlfn.CHOOSECOLS(C422:L430,2,4,6,8,10),0,TRUE),_xlfn.TOCOL(_xlfn.CHOOSECOLS(C422:L430,1,3,5,7,9),0,TRUE)&lt;&gt;""),Lists!$AC$2:$AC$9,Lists!$AF$2:$AF$9,0)))*--(ROW()-ROW(C412)=_xlfn.XLOOKUP(MAX(IF(O413:O418&gt;0,INT(C413:C418)*3+MOD(ROUND(C413:C418*10,0),10),-1)),IF(O413:O418&gt;0,INT(C413:C418)*3+MOD(ROUND(C413:C418*10,0),10),-1),_xlfn.SEQUENCE(ROWS(O413:O418)),,0)))</f>
        <v/>
      </c>
      <c r="K415" s="68" t="str" cm="1">
        <f t="array" aca="1" ref="K415" ca="1">IF(OR(B415="",O415=""),"",--(SUM(_xlfn.XLOOKUP(_xlfn._xlws.FILTER(_xlfn.TOCOL(_xlfn.CHOOSECOLS(C401:L409,2,4,6,8,10),0,TRUE),_xlfn.TOCOL(_xlfn.CHOOSECOLS(C401:L409,1,3,5,7,9),0,TRUE)&lt;&gt;""),Lists!$AC$2:$AC$9,Lists!$AF$2:$AF$9,0))&lt;SUM(_xlfn.XLOOKUP(_xlfn._xlws.FILTER(_xlfn.TOCOL(_xlfn.CHOOSECOLS(C422:L430,2,4,6,8,10),0,TRUE),_xlfn.TOCOL(_xlfn.CHOOSECOLS(C422:L430,1,3,5,7,9),0,TRUE)&lt;&gt;""),Lists!$AC$2:$AC$9,Lists!$AF$2:$AF$9,0)))*--(ROW()-ROW(C412)=_xlfn.XLOOKUP(MAX(IF(O413:O418&gt;0,E413:E418,-1)),IF(O413:O418&gt;0,E413:E418,-1),_xlfn.SEQUENCE(ROWS(O413:O418)),,0)))</f>
        <v/>
      </c>
      <c r="L415" s="68" t="str" cm="1">
        <f t="array" aca="1" ref="L415" ca="1">IF(OR(B415="",O415=""),"",--(SUM(_xlfn.XLOOKUP(_xlfn._xlws.FILTER(_xlfn.TOCOL(_xlfn.CHOOSECOLS(C401:L409,2,4,6,8,10),0,TRUE),_xlfn.TOCOL(_xlfn.CHOOSECOLS(C401:L409,1,3,5,7,9),0,TRUE)&lt;&gt;""),Lists!$AC$2:$AC$9,Lists!$AF$2:$AF$9,0))&gt;SUM(_xlfn.XLOOKUP(_xlfn._xlws.FILTER(_xlfn.TOCOL(_xlfn.CHOOSECOLS(C422:L430,2,4,6,8,10),0,TRUE),_xlfn.TOCOL(_xlfn.CHOOSECOLS(C422:L430,1,3,5,7,9),0,TRUE)&lt;&gt;""),Lists!$AC$2:$AC$9,Lists!$AF$2:$AF$9,0)))*--(COUNTIF(O413:O418,"&gt;0")&gt;1)*--(ROW()-ROW(C412)=_xlfn.XLOOKUP(TRUE,O413:O418&gt;0,_xlfn.SEQUENCE(ROWS(O413:O418)),,0,-1))*--(_xlfn.XLOOKUP(TRUE,O413:O418&gt;0,_xlfn.SEQUENCE(ROWS(O413:O418)),,0,-1)&lt;&gt;_xlfn.XLOOKUP(MAX(IF(O413:O418&gt;0,INT(C413:C418)*3+MOD(ROUND(C413:C418*10,0),10),-1)),IF(O413:O418&gt;0,INT(C413:C418)*3+MOD(ROUND(C413:C418*10,0),10),-1),_xlfn.SEQUENCE(ROWS(O413:O418)),,0))*--(SUM(_xlfn.XLOOKUP(_xlfn._xlws.FILTER(_xlfn.TOCOL(_xlfn.CHOOSECOLS(C401:L409,2,4,6,8,10),0,TRUE),_xlfn.TOCOL(_xlfn.CHOOSECOLS(C401:L409,1,3,5,7,9),0,TRUE)&lt;&gt;""),Lists!$AC$2:$AC$9,Lists!$AF$2:$AF$9,0))-SUM(_xlfn.XLOOKUP(_xlfn._xlws.FILTER(_xlfn.TOCOL(_xlfn.CHOOSECOLS(C422:L430,2,4,6,8,10),0,TRUE),_xlfn.TOCOL(_xlfn.CHOOSECOLS(C422:L430,1,3,5,7,9),0,TRUE)&lt;&gt;""),Lists!$AC$2:$AC$9,Lists!$AF$2:$AF$9,0))&lt;=3)*--((INT(C415)*3+MOD(ROUND(C415*10,0),10))&gt;=3))</f>
        <v/>
      </c>
      <c r="M415" s="68" t="str" cm="1">
        <f t="array" aca="1" ref="M415" ca="1">IF(OR(B415="",O415=""),"",--(COUNTIF(O413:O418,"&gt;0")=1)*--(SUM(_xlfn.XLOOKUP(_xlfn._xlws.FILTER(_xlfn.TOCOL(_xlfn.CHOOSECOLS(C422:L430,2,4,6,8,10),0,TRUE),_xlfn.TOCOL(_xlfn.CHOOSECOLS(C422:L430,1,3,5,7,9),0,TRUE)&lt;&gt;""),Lists!$AC$2:$AC$9,Lists!$AF$2:$AF$9,0))=0))</f>
        <v/>
      </c>
      <c r="N415" s="69" t="str">
        <f ca="1">IF(OR(B415="",O415=""),"",--(COUNTIF(O413:O418,"&gt;0")=1))</f>
        <v/>
      </c>
      <c r="O415" s="5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18"/>
      <c r="CN415" s="18"/>
      <c r="CO415" s="18"/>
      <c r="CP415" s="18"/>
      <c r="CQ415" s="18"/>
      <c r="CR415" s="18"/>
      <c r="CS415" s="18"/>
      <c r="CT415" s="18"/>
      <c r="CU415" s="18"/>
      <c r="CV415" s="18"/>
      <c r="CW415" s="18"/>
      <c r="CX415" s="18"/>
      <c r="CY415" s="18"/>
      <c r="CZ415" s="18"/>
      <c r="DA415" s="18"/>
      <c r="DB415" s="18"/>
      <c r="DC415" s="18"/>
      <c r="DD415" s="18"/>
      <c r="DE415" s="18"/>
      <c r="DF415" s="18"/>
    </row>
    <row r="416" spans="1:110">
      <c r="A416" s="168">
        <v>4</v>
      </c>
      <c r="B416" s="71"/>
      <c r="C416" s="70" t="str" cm="1">
        <f t="array" aca="1" ref="C416" ca="1">IF(OR(B416="",O416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16" s="67" t="str" cm="1">
        <f t="array" aca="1" ref="D416" ca="1">IF(OR(B416="",O416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16" s="67" t="str" cm="1">
        <f t="array" aca="1" ref="E416" ca="1">IF(OR(B416="",O416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416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16" s="67" t="str" cm="1">
        <f t="array" aca="1" ref="F416" ca="1">IF(OR(B416="",O416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416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16" s="67" t="str" cm="1">
        <f t="array" aca="1" ref="G416" ca="1">IF(OR(B416="",O416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16" s="67" t="str" cm="1">
        <f t="array" aca="1" ref="H416" ca="1">IF(OR(B416="",O416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16" s="68" t="str" cm="1">
        <f t="array" aca="1" ref="I416" ca="1">IF(OR(B416="",O416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16" s="68" t="str" cm="1">
        <f t="array" aca="1" ref="J416" ca="1">IF(OR(B416="",O416=""),"",--(SUM(_xlfn.XLOOKUP(_xlfn._xlws.FILTER(_xlfn.TOCOL(_xlfn.CHOOSECOLS(C401:L409,2,4,6,8,10),0,TRUE),_xlfn.TOCOL(_xlfn.CHOOSECOLS(C401:L409,1,3,5,7,9),0,TRUE)&lt;&gt;""),Lists!$AC$2:$AC$9,Lists!$AF$2:$AF$9,0))&gt;SUM(_xlfn.XLOOKUP(_xlfn._xlws.FILTER(_xlfn.TOCOL(_xlfn.CHOOSECOLS(C422:L430,2,4,6,8,10),0,TRUE),_xlfn.TOCOL(_xlfn.CHOOSECOLS(C422:L430,1,3,5,7,9),0,TRUE)&lt;&gt;""),Lists!$AC$2:$AC$9,Lists!$AF$2:$AF$9,0)))*--(ROW()-ROW(C412)=_xlfn.XLOOKUP(MAX(IF(O413:O418&gt;0,INT(C413:C418)*3+MOD(ROUND(C413:C418*10,0),10),-1)),IF(O413:O418&gt;0,INT(C413:C418)*3+MOD(ROUND(C413:C418*10,0),10),-1),_xlfn.SEQUENCE(ROWS(O413:O418)),,0)))</f>
        <v/>
      </c>
      <c r="K416" s="68" t="str" cm="1">
        <f t="array" aca="1" ref="K416" ca="1">IF(OR(B416="",O416=""),"",--(SUM(_xlfn.XLOOKUP(_xlfn._xlws.FILTER(_xlfn.TOCOL(_xlfn.CHOOSECOLS(C401:L409,2,4,6,8,10),0,TRUE),_xlfn.TOCOL(_xlfn.CHOOSECOLS(C401:L409,1,3,5,7,9),0,TRUE)&lt;&gt;""),Lists!$AC$2:$AC$9,Lists!$AF$2:$AF$9,0))&lt;SUM(_xlfn.XLOOKUP(_xlfn._xlws.FILTER(_xlfn.TOCOL(_xlfn.CHOOSECOLS(C422:L430,2,4,6,8,10),0,TRUE),_xlfn.TOCOL(_xlfn.CHOOSECOLS(C422:L430,1,3,5,7,9),0,TRUE)&lt;&gt;""),Lists!$AC$2:$AC$9,Lists!$AF$2:$AF$9,0)))*--(ROW()-ROW(C412)=_xlfn.XLOOKUP(MAX(IF(O413:O418&gt;0,E413:E418,-1)),IF(O413:O418&gt;0,E413:E418,-1),_xlfn.SEQUENCE(ROWS(O413:O418)),,0)))</f>
        <v/>
      </c>
      <c r="L416" s="68" t="str" cm="1">
        <f t="array" aca="1" ref="L416" ca="1">IF(OR(B416="",O416=""),"",--(SUM(_xlfn.XLOOKUP(_xlfn._xlws.FILTER(_xlfn.TOCOL(_xlfn.CHOOSECOLS(C401:L409,2,4,6,8,10),0,TRUE),_xlfn.TOCOL(_xlfn.CHOOSECOLS(C401:L409,1,3,5,7,9),0,TRUE)&lt;&gt;""),Lists!$AC$2:$AC$9,Lists!$AF$2:$AF$9,0))&gt;SUM(_xlfn.XLOOKUP(_xlfn._xlws.FILTER(_xlfn.TOCOL(_xlfn.CHOOSECOLS(C422:L430,2,4,6,8,10),0,TRUE),_xlfn.TOCOL(_xlfn.CHOOSECOLS(C422:L430,1,3,5,7,9),0,TRUE)&lt;&gt;""),Lists!$AC$2:$AC$9,Lists!$AF$2:$AF$9,0)))*--(COUNTIF(O413:O418,"&gt;0")&gt;1)*--(ROW()-ROW(C412)=_xlfn.XLOOKUP(TRUE,O413:O418&gt;0,_xlfn.SEQUENCE(ROWS(O413:O418)),,0,-1))*--(_xlfn.XLOOKUP(TRUE,O413:O418&gt;0,_xlfn.SEQUENCE(ROWS(O413:O418)),,0,-1)&lt;&gt;_xlfn.XLOOKUP(MAX(IF(O413:O418&gt;0,INT(C413:C418)*3+MOD(ROUND(C413:C418*10,0),10),-1)),IF(O413:O418&gt;0,INT(C413:C418)*3+MOD(ROUND(C413:C418*10,0),10),-1),_xlfn.SEQUENCE(ROWS(O413:O418)),,0))*--(SUM(_xlfn.XLOOKUP(_xlfn._xlws.FILTER(_xlfn.TOCOL(_xlfn.CHOOSECOLS(C401:L409,2,4,6,8,10),0,TRUE),_xlfn.TOCOL(_xlfn.CHOOSECOLS(C401:L409,1,3,5,7,9),0,TRUE)&lt;&gt;""),Lists!$AC$2:$AC$9,Lists!$AF$2:$AF$9,0))-SUM(_xlfn.XLOOKUP(_xlfn._xlws.FILTER(_xlfn.TOCOL(_xlfn.CHOOSECOLS(C422:L430,2,4,6,8,10),0,TRUE),_xlfn.TOCOL(_xlfn.CHOOSECOLS(C422:L430,1,3,5,7,9),0,TRUE)&lt;&gt;""),Lists!$AC$2:$AC$9,Lists!$AF$2:$AF$9,0))&lt;=3)*--((INT(C416)*3+MOD(ROUND(C416*10,0),10))&gt;=3))</f>
        <v/>
      </c>
      <c r="M416" s="68" t="str" cm="1">
        <f t="array" aca="1" ref="M416" ca="1">IF(OR(B416="",O416=""),"",--(COUNTIF(O413:O418,"&gt;0")=1)*--(SUM(_xlfn.XLOOKUP(_xlfn._xlws.FILTER(_xlfn.TOCOL(_xlfn.CHOOSECOLS(C422:L430,2,4,6,8,10),0,TRUE),_xlfn.TOCOL(_xlfn.CHOOSECOLS(C422:L430,1,3,5,7,9),0,TRUE)&lt;&gt;""),Lists!$AC$2:$AC$9,Lists!$AF$2:$AF$9,0))=0))</f>
        <v/>
      </c>
      <c r="N416" s="69" t="str">
        <f ca="1">IF(OR(B416="",O416=""),"",--(COUNTIF(O413:O418,"&gt;0")=1))</f>
        <v/>
      </c>
      <c r="O416" s="5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  <c r="CL416" s="18"/>
      <c r="CM416" s="18"/>
      <c r="CN416" s="18"/>
      <c r="CO416" s="18"/>
      <c r="CP416" s="18"/>
      <c r="CQ416" s="18"/>
      <c r="CR416" s="18"/>
      <c r="CS416" s="18"/>
      <c r="CT416" s="18"/>
      <c r="CU416" s="18"/>
      <c r="CV416" s="18"/>
      <c r="CW416" s="18"/>
      <c r="CX416" s="18"/>
      <c r="CY416" s="18"/>
      <c r="CZ416" s="18"/>
      <c r="DA416" s="18"/>
      <c r="DB416" s="18"/>
      <c r="DC416" s="18"/>
      <c r="DD416" s="18"/>
      <c r="DE416" s="18"/>
      <c r="DF416" s="18"/>
    </row>
    <row r="417" spans="1:110">
      <c r="A417" s="168">
        <v>5</v>
      </c>
      <c r="B417" s="71"/>
      <c r="C417" s="70" t="str" cm="1">
        <f t="array" aca="1" ref="C417" ca="1">IF(OR(B417="",O417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17" s="67" t="str" cm="1">
        <f t="array" aca="1" ref="D417" ca="1">IF(OR(B417="",O417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17" s="67" t="str" cm="1">
        <f t="array" aca="1" ref="E417" ca="1">IF(OR(B417="",O417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417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17" s="67" t="str" cm="1">
        <f t="array" aca="1" ref="F417" ca="1">IF(OR(B417="",O417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417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17" s="67" t="str" cm="1">
        <f t="array" aca="1" ref="G417" ca="1">IF(OR(B417="",O417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17" s="67" t="str" cm="1">
        <f t="array" aca="1" ref="H417" ca="1">IF(OR(B417="",O417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17" s="68" t="str" cm="1">
        <f t="array" aca="1" ref="I417" ca="1">IF(OR(B417="",O417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17" s="68" t="str" cm="1">
        <f t="array" aca="1" ref="J417" ca="1">IF(OR(B417="",O417=""),"",--(SUM(_xlfn.XLOOKUP(_xlfn._xlws.FILTER(_xlfn.TOCOL(_xlfn.CHOOSECOLS(C401:L409,2,4,6,8,10),0,TRUE),_xlfn.TOCOL(_xlfn.CHOOSECOLS(C401:L409,1,3,5,7,9),0,TRUE)&lt;&gt;""),Lists!$AC$2:$AC$9,Lists!$AF$2:$AF$9,0))&gt;SUM(_xlfn.XLOOKUP(_xlfn._xlws.FILTER(_xlfn.TOCOL(_xlfn.CHOOSECOLS(C422:L430,2,4,6,8,10),0,TRUE),_xlfn.TOCOL(_xlfn.CHOOSECOLS(C422:L430,1,3,5,7,9),0,TRUE)&lt;&gt;""),Lists!$AC$2:$AC$9,Lists!$AF$2:$AF$9,0)))*--(ROW()-ROW(C412)=_xlfn.XLOOKUP(MAX(IF(O413:O418&gt;0,INT(C413:C418)*3+MOD(ROUND(C413:C418*10,0),10),-1)),IF(O413:O418&gt;0,INT(C413:C418)*3+MOD(ROUND(C413:C418*10,0),10),-1),_xlfn.SEQUENCE(ROWS(O413:O418)),,0)))</f>
        <v/>
      </c>
      <c r="K417" s="68" t="str" cm="1">
        <f t="array" aca="1" ref="K417" ca="1">IF(OR(B417="",O417=""),"",--(SUM(_xlfn.XLOOKUP(_xlfn._xlws.FILTER(_xlfn.TOCOL(_xlfn.CHOOSECOLS(C401:L409,2,4,6,8,10),0,TRUE),_xlfn.TOCOL(_xlfn.CHOOSECOLS(C401:L409,1,3,5,7,9),0,TRUE)&lt;&gt;""),Lists!$AC$2:$AC$9,Lists!$AF$2:$AF$9,0))&lt;SUM(_xlfn.XLOOKUP(_xlfn._xlws.FILTER(_xlfn.TOCOL(_xlfn.CHOOSECOLS(C422:L430,2,4,6,8,10),0,TRUE),_xlfn.TOCOL(_xlfn.CHOOSECOLS(C422:L430,1,3,5,7,9),0,TRUE)&lt;&gt;""),Lists!$AC$2:$AC$9,Lists!$AF$2:$AF$9,0)))*--(ROW()-ROW(C412)=_xlfn.XLOOKUP(MAX(IF(O413:O418&gt;0,E413:E418,-1)),IF(O413:O418&gt;0,E413:E418,-1),_xlfn.SEQUENCE(ROWS(O413:O418)),,0)))</f>
        <v/>
      </c>
      <c r="L417" s="68" t="str" cm="1">
        <f t="array" aca="1" ref="L417" ca="1">IF(OR(B417="",O417=""),"",--(SUM(_xlfn.XLOOKUP(_xlfn._xlws.FILTER(_xlfn.TOCOL(_xlfn.CHOOSECOLS(C401:L409,2,4,6,8,10),0,TRUE),_xlfn.TOCOL(_xlfn.CHOOSECOLS(C401:L409,1,3,5,7,9),0,TRUE)&lt;&gt;""),Lists!$AC$2:$AC$9,Lists!$AF$2:$AF$9,0))&gt;SUM(_xlfn.XLOOKUP(_xlfn._xlws.FILTER(_xlfn.TOCOL(_xlfn.CHOOSECOLS(C422:L430,2,4,6,8,10),0,TRUE),_xlfn.TOCOL(_xlfn.CHOOSECOLS(C422:L430,1,3,5,7,9),0,TRUE)&lt;&gt;""),Lists!$AC$2:$AC$9,Lists!$AF$2:$AF$9,0)))*--(COUNTIF(O413:O418,"&gt;0")&gt;1)*--(ROW()-ROW(C412)=_xlfn.XLOOKUP(TRUE,O413:O418&gt;0,_xlfn.SEQUENCE(ROWS(O413:O418)),,0,-1))*--(_xlfn.XLOOKUP(TRUE,O413:O418&gt;0,_xlfn.SEQUENCE(ROWS(O413:O418)),,0,-1)&lt;&gt;_xlfn.XLOOKUP(MAX(IF(O413:O418&gt;0,INT(C413:C418)*3+MOD(ROUND(C413:C418*10,0),10),-1)),IF(O413:O418&gt;0,INT(C413:C418)*3+MOD(ROUND(C413:C418*10,0),10),-1),_xlfn.SEQUENCE(ROWS(O413:O418)),,0))*--(SUM(_xlfn.XLOOKUP(_xlfn._xlws.FILTER(_xlfn.TOCOL(_xlfn.CHOOSECOLS(C401:L409,2,4,6,8,10),0,TRUE),_xlfn.TOCOL(_xlfn.CHOOSECOLS(C401:L409,1,3,5,7,9),0,TRUE)&lt;&gt;""),Lists!$AC$2:$AC$9,Lists!$AF$2:$AF$9,0))-SUM(_xlfn.XLOOKUP(_xlfn._xlws.FILTER(_xlfn.TOCOL(_xlfn.CHOOSECOLS(C422:L430,2,4,6,8,10),0,TRUE),_xlfn.TOCOL(_xlfn.CHOOSECOLS(C422:L430,1,3,5,7,9),0,TRUE)&lt;&gt;""),Lists!$AC$2:$AC$9,Lists!$AF$2:$AF$9,0))&lt;=3)*--((INT(C417)*3+MOD(ROUND(C417*10,0),10))&gt;=3))</f>
        <v/>
      </c>
      <c r="M417" s="68" t="str" cm="1">
        <f t="array" aca="1" ref="M417" ca="1">IF(OR(B417="",O417=""),"",--(COUNTIF(O413:O418,"&gt;0")=1)*--(SUM(_xlfn.XLOOKUP(_xlfn._xlws.FILTER(_xlfn.TOCOL(_xlfn.CHOOSECOLS(C422:L430,2,4,6,8,10),0,TRUE),_xlfn.TOCOL(_xlfn.CHOOSECOLS(C422:L430,1,3,5,7,9),0,TRUE)&lt;&gt;""),Lists!$AC$2:$AC$9,Lists!$AF$2:$AF$9,0))=0))</f>
        <v/>
      </c>
      <c r="N417" s="69" t="str">
        <f ca="1">IF(OR(B417="",O417=""),"",--(COUNTIF(O413:O418,"&gt;0")=1))</f>
        <v/>
      </c>
      <c r="O417" s="5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18"/>
      <c r="CN417" s="18"/>
      <c r="CO417" s="18"/>
      <c r="CP417" s="18"/>
      <c r="CQ417" s="18"/>
      <c r="CR417" s="18"/>
      <c r="CS417" s="18"/>
      <c r="CT417" s="18"/>
      <c r="CU417" s="18"/>
      <c r="CV417" s="18"/>
      <c r="CW417" s="18"/>
      <c r="CX417" s="18"/>
      <c r="CY417" s="18"/>
      <c r="CZ417" s="18"/>
      <c r="DA417" s="18"/>
      <c r="DB417" s="18"/>
      <c r="DC417" s="18"/>
      <c r="DD417" s="18"/>
      <c r="DE417" s="18"/>
      <c r="DF417" s="18"/>
    </row>
    <row r="418" spans="1:110">
      <c r="A418" s="168">
        <v>6</v>
      </c>
      <c r="B418" s="71"/>
      <c r="C418" s="70" t="str" cm="1">
        <f t="array" aca="1" ref="C418" ca="1">IF(OR(B418="",O418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18" s="67" t="str" cm="1">
        <f t="array" aca="1" ref="D418" ca="1">IF(OR(B418="",O418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18" s="67" t="str" cm="1">
        <f t="array" aca="1" ref="E418" ca="1">IF(OR(B418="",O418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418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18" s="67" t="str" cm="1">
        <f t="array" aca="1" ref="F418" ca="1">IF(OR(B418="",O418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418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18" s="67" t="str" cm="1">
        <f t="array" aca="1" ref="G418" ca="1">IF(OR(B418="",O418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18" s="67" t="str" cm="1">
        <f t="array" aca="1" ref="H418" ca="1">IF(OR(B418="",O418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18" s="68" t="str" cm="1">
        <f t="array" aca="1" ref="I418" ca="1">IF(OR(B418="",O418=""),"",_xlfn.LET(_xlpm.flatPAraw,_xlfn.TOCOL(_xlfn.CHOOSECOLS(C422:L430,1,3,5,7,9),0,TRUE),_xlpm.flatPARraw,_xlfn.TOCOL(_xlfn.CHOOSECOLS(C422:L430,2,4,6,8,10),0,TRUE),_xlpm.flatPA,_xlfn._xlws.FILTER(_xlpm.flatPAraw,_xlpm.flatPAraw&lt;&gt;""),_xlpm.flatPAR,_xlfn._xlws.FILTER(_xlpm.flatPARraw,_xlpm.flatPAraw&lt;&gt;""),_xlpm.prev,IF(ROW()=ROW(C413),0,SUM(INDEX(O:O,ROW(C413)):INDEX(O:O,ROW()-1))),_xlpm.need,O418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18" s="68" t="str" cm="1">
        <f t="array" aca="1" ref="J418" ca="1">IF(OR(B418="",O418=""),"",--(SUM(_xlfn.XLOOKUP(_xlfn._xlws.FILTER(_xlfn.TOCOL(_xlfn.CHOOSECOLS(C401:L409,2,4,6,8,10),0,TRUE),_xlfn.TOCOL(_xlfn.CHOOSECOLS(C401:L409,1,3,5,7,9),0,TRUE)&lt;&gt;""),Lists!$AC$2:$AC$9,Lists!$AF$2:$AF$9,0))&gt;SUM(_xlfn.XLOOKUP(_xlfn._xlws.FILTER(_xlfn.TOCOL(_xlfn.CHOOSECOLS(C422:L430,2,4,6,8,10),0,TRUE),_xlfn.TOCOL(_xlfn.CHOOSECOLS(C422:L430,1,3,5,7,9),0,TRUE)&lt;&gt;""),Lists!$AC$2:$AC$9,Lists!$AF$2:$AF$9,0)))*--(ROW()-ROW(C412)=_xlfn.XLOOKUP(MAX(IF(O413:O418&gt;0,INT(C413:C418)*3+MOD(ROUND(C413:C418*10,0),10),-1)),IF(O413:O418&gt;0,INT(C413:C418)*3+MOD(ROUND(C413:C418*10,0),10),-1),_xlfn.SEQUENCE(ROWS(O413:O418)),,0)))</f>
        <v/>
      </c>
      <c r="K418" s="68" t="str" cm="1">
        <f t="array" aca="1" ref="K418" ca="1">IF(OR(B418="",O418=""),"",--(SUM(_xlfn.XLOOKUP(_xlfn._xlws.FILTER(_xlfn.TOCOL(_xlfn.CHOOSECOLS(C401:L409,2,4,6,8,10),0,TRUE),_xlfn.TOCOL(_xlfn.CHOOSECOLS(C401:L409,1,3,5,7,9),0,TRUE)&lt;&gt;""),Lists!$AC$2:$AC$9,Lists!$AF$2:$AF$9,0))&lt;SUM(_xlfn.XLOOKUP(_xlfn._xlws.FILTER(_xlfn.TOCOL(_xlfn.CHOOSECOLS(C422:L430,2,4,6,8,10),0,TRUE),_xlfn.TOCOL(_xlfn.CHOOSECOLS(C422:L430,1,3,5,7,9),0,TRUE)&lt;&gt;""),Lists!$AC$2:$AC$9,Lists!$AF$2:$AF$9,0)))*--(ROW()-ROW(C412)=_xlfn.XLOOKUP(MAX(IF(O413:O418&gt;0,E413:E418,-1)),IF(O413:O418&gt;0,E413:E418,-1),_xlfn.SEQUENCE(ROWS(O413:O418)),,0)))</f>
        <v/>
      </c>
      <c r="L418" s="68" t="str" cm="1">
        <f t="array" aca="1" ref="L418" ca="1">IF(OR(B418="",O418=""),"",--(SUM(_xlfn.XLOOKUP(_xlfn._xlws.FILTER(_xlfn.TOCOL(_xlfn.CHOOSECOLS(C401:L409,2,4,6,8,10),0,TRUE),_xlfn.TOCOL(_xlfn.CHOOSECOLS(C401:L409,1,3,5,7,9),0,TRUE)&lt;&gt;""),Lists!$AC$2:$AC$9,Lists!$AF$2:$AF$9,0))&gt;SUM(_xlfn.XLOOKUP(_xlfn._xlws.FILTER(_xlfn.TOCOL(_xlfn.CHOOSECOLS(C422:L430,2,4,6,8,10),0,TRUE),_xlfn.TOCOL(_xlfn.CHOOSECOLS(C422:L430,1,3,5,7,9),0,TRUE)&lt;&gt;""),Lists!$AC$2:$AC$9,Lists!$AF$2:$AF$9,0)))*--(COUNTIF(O413:O418,"&gt;0")&gt;1)*--(ROW()-ROW(C412)=_xlfn.XLOOKUP(TRUE,O413:O418&gt;0,_xlfn.SEQUENCE(ROWS(O413:O418)),,0,-1))*--(_xlfn.XLOOKUP(TRUE,O413:O418&gt;0,_xlfn.SEQUENCE(ROWS(O413:O418)),,0,-1)&lt;&gt;_xlfn.XLOOKUP(MAX(IF(O413:O418&gt;0,INT(C413:C418)*3+MOD(ROUND(C413:C418*10,0),10),-1)),IF(O413:O418&gt;0,INT(C413:C418)*3+MOD(ROUND(C413:C418*10,0),10),-1),_xlfn.SEQUENCE(ROWS(O413:O418)),,0))*--(SUM(_xlfn.XLOOKUP(_xlfn._xlws.FILTER(_xlfn.TOCOL(_xlfn.CHOOSECOLS(C401:L409,2,4,6,8,10),0,TRUE),_xlfn.TOCOL(_xlfn.CHOOSECOLS(C401:L409,1,3,5,7,9),0,TRUE)&lt;&gt;""),Lists!$AC$2:$AC$9,Lists!$AF$2:$AF$9,0))-SUM(_xlfn.XLOOKUP(_xlfn._xlws.FILTER(_xlfn.TOCOL(_xlfn.CHOOSECOLS(C422:L430,2,4,6,8,10),0,TRUE),_xlfn.TOCOL(_xlfn.CHOOSECOLS(C422:L430,1,3,5,7,9),0,TRUE)&lt;&gt;""),Lists!$AC$2:$AC$9,Lists!$AF$2:$AF$9,0))&lt;=3)*--((INT(C418)*3+MOD(ROUND(C418*10,0),10))&gt;=3))</f>
        <v/>
      </c>
      <c r="M418" s="68" t="str" cm="1">
        <f t="array" aca="1" ref="M418" ca="1">IF(OR(B418="",O418=""),"",--(COUNTIF(O413:O418,"&gt;0")=1)*--(SUM(_xlfn.XLOOKUP(_xlfn._xlws.FILTER(_xlfn.TOCOL(_xlfn.CHOOSECOLS(C422:L430,2,4,6,8,10),0,TRUE),_xlfn.TOCOL(_xlfn.CHOOSECOLS(C422:L430,1,3,5,7,9),0,TRUE)&lt;&gt;""),Lists!$AC$2:$AC$9,Lists!$AF$2:$AF$9,0))=0))</f>
        <v/>
      </c>
      <c r="N418" s="69" t="str">
        <f ca="1">IF(OR(B418="",O418=""),"",--(COUNTIF(O413:O418,"&gt;0")=1))</f>
        <v/>
      </c>
      <c r="O418" s="5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18"/>
      <c r="CN418" s="18"/>
      <c r="CO418" s="18"/>
      <c r="CP418" s="18"/>
      <c r="CQ418" s="18"/>
      <c r="CR418" s="18"/>
      <c r="CS418" s="18"/>
      <c r="CT418" s="18"/>
      <c r="CU418" s="18"/>
      <c r="CV418" s="18"/>
      <c r="CW418" s="18"/>
      <c r="CX418" s="18"/>
      <c r="CY418" s="18"/>
      <c r="CZ418" s="18"/>
      <c r="DA418" s="18"/>
      <c r="DB418" s="18"/>
      <c r="DC418" s="18"/>
      <c r="DD418" s="18"/>
      <c r="DE418" s="18"/>
      <c r="DF418" s="18"/>
    </row>
    <row r="419" spans="1:110">
      <c r="A419" s="173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3"/>
      <c r="Q419" s="53"/>
      <c r="R419" s="53"/>
      <c r="S419" s="53"/>
      <c r="T419" s="53"/>
      <c r="U419" s="53"/>
      <c r="V419" s="53"/>
      <c r="W419" s="53"/>
      <c r="X419" s="53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18"/>
      <c r="CN419" s="18"/>
      <c r="CO419" s="18"/>
      <c r="CP419" s="18"/>
      <c r="CQ419" s="18"/>
      <c r="CR419" s="18"/>
      <c r="CS419" s="18"/>
      <c r="CT419" s="18"/>
      <c r="CU419" s="18"/>
      <c r="CV419" s="18"/>
      <c r="CW419" s="18"/>
      <c r="CX419" s="18"/>
      <c r="CY419" s="18"/>
      <c r="CZ419" s="18"/>
      <c r="DA419" s="18"/>
      <c r="DB419" s="18"/>
      <c r="DC419" s="18"/>
      <c r="DD419" s="18"/>
      <c r="DE419" s="18"/>
      <c r="DF419" s="18"/>
    </row>
    <row r="420" spans="1:110">
      <c r="A420" s="205" t="str">
        <f ca="1">IF($R$394="","Team B Batting",$R$394&amp;" Batting")</f>
        <v>May Batting</v>
      </c>
      <c r="B420" s="206"/>
      <c r="C420" s="206"/>
      <c r="D420" s="206"/>
      <c r="E420" s="206"/>
      <c r="F420" s="206"/>
      <c r="G420" s="206"/>
      <c r="H420" s="206"/>
      <c r="I420" s="206"/>
      <c r="J420" s="206"/>
      <c r="K420" s="206"/>
      <c r="L420" s="206"/>
      <c r="M420" s="206"/>
      <c r="N420" s="206"/>
      <c r="O420" s="181"/>
      <c r="P420" s="182"/>
      <c r="Q420" s="182"/>
      <c r="R420" s="182"/>
      <c r="S420" s="182"/>
      <c r="T420" s="182"/>
      <c r="U420" s="182"/>
      <c r="V420" s="182"/>
      <c r="W420" s="182"/>
      <c r="X420" s="182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  <c r="CO420" s="18"/>
      <c r="CP420" s="18"/>
      <c r="CQ420" s="18"/>
      <c r="CR420" s="18"/>
      <c r="CS420" s="18"/>
      <c r="CT420" s="18"/>
      <c r="CU420" s="18"/>
      <c r="CV420" s="18"/>
      <c r="CW420" s="18"/>
      <c r="CX420" s="18"/>
      <c r="CY420" s="18"/>
      <c r="CZ420" s="18"/>
      <c r="DA420" s="18"/>
      <c r="DB420" s="18"/>
      <c r="DC420" s="18"/>
      <c r="DD420" s="18"/>
      <c r="DE420" s="18"/>
      <c r="DF420" s="18"/>
    </row>
    <row r="421" spans="1:110">
      <c r="A421" s="167" t="s">
        <v>164</v>
      </c>
      <c r="B421" s="43" t="s">
        <v>39</v>
      </c>
      <c r="C421" s="43" t="s">
        <v>165</v>
      </c>
      <c r="D421" s="43" t="s">
        <v>166</v>
      </c>
      <c r="E421" s="43" t="s">
        <v>167</v>
      </c>
      <c r="F421" s="43" t="s">
        <v>168</v>
      </c>
      <c r="G421" s="43" t="s">
        <v>169</v>
      </c>
      <c r="H421" s="43" t="s">
        <v>170</v>
      </c>
      <c r="I421" s="43" t="s">
        <v>171</v>
      </c>
      <c r="J421" s="43" t="s">
        <v>172</v>
      </c>
      <c r="K421" s="43" t="s">
        <v>173</v>
      </c>
      <c r="L421" s="43" t="s">
        <v>174</v>
      </c>
      <c r="M421" s="43" t="s">
        <v>175</v>
      </c>
      <c r="N421" s="44" t="s">
        <v>161</v>
      </c>
      <c r="O421" s="44" t="s">
        <v>162</v>
      </c>
      <c r="P421" s="44" t="s">
        <v>176</v>
      </c>
      <c r="Q421" s="44" t="s">
        <v>177</v>
      </c>
      <c r="R421" s="44" t="s">
        <v>178</v>
      </c>
      <c r="S421" s="44" t="s">
        <v>179</v>
      </c>
      <c r="T421" s="44" t="s">
        <v>180</v>
      </c>
      <c r="U421" s="44" t="s">
        <v>181</v>
      </c>
      <c r="V421" s="44" t="s">
        <v>182</v>
      </c>
      <c r="W421" s="44" t="s">
        <v>183</v>
      </c>
      <c r="X421" s="45" t="s">
        <v>184</v>
      </c>
      <c r="Y421" s="45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P421" s="18"/>
      <c r="CQ421" s="18"/>
      <c r="CR421" s="18"/>
      <c r="CS421" s="18"/>
      <c r="CT421" s="18"/>
      <c r="CU421" s="18"/>
      <c r="CV421" s="18"/>
      <c r="CW421" s="18"/>
      <c r="CX421" s="18"/>
      <c r="CY421" s="18"/>
      <c r="CZ421" s="18"/>
      <c r="DA421" s="18"/>
      <c r="DB421" s="18"/>
      <c r="DC421" s="18"/>
      <c r="DD421" s="18"/>
      <c r="DE421" s="18"/>
      <c r="DF421" s="18"/>
    </row>
    <row r="422" spans="1:110">
      <c r="A422" s="168">
        <v>1</v>
      </c>
      <c r="B422" s="47" t="str">
        <f ca="1">Lineups!$H$117</f>
        <v>Birdo</v>
      </c>
      <c r="C422" s="49" t="s">
        <v>186</v>
      </c>
      <c r="D422" s="49"/>
      <c r="E422" s="49"/>
      <c r="F422" s="49"/>
      <c r="G422" s="49"/>
      <c r="H422" s="50"/>
      <c r="I422" s="50"/>
      <c r="J422" s="50"/>
      <c r="K422" s="50"/>
      <c r="L422" s="50"/>
      <c r="M422" s="67">
        <f ca="1">IF($B422="","",SUM(_xlfn.XLOOKUP(C422,Lists!$P$2:$P$19,Lists!$R$2:$R$19,0),_xlfn.XLOOKUP(E422,Lists!$P$2:$P$19,Lists!$R$2:$R$19,0),_xlfn.XLOOKUP(G422,Lists!$P$2:$P$19,Lists!$R$2:$R$19,0),_xlfn.XLOOKUP(I422,Lists!$P$2:$P$19,Lists!$R$2:$R$19,0),_xlfn.XLOOKUP(K422,Lists!$P$2:$P$19,Lists!$R$2:$R$19,0)))</f>
        <v>1</v>
      </c>
      <c r="N422" s="68">
        <f ca="1">IF($B422="","",SUM(_xlfn.XLOOKUP(D422,Lists!$AC$2:$AC$9,Lists!$AE$2:$AE$9,0),_xlfn.XLOOKUP(F422,Lists!$AC$2:$AC$9,Lists!$AE$2:$AE$9,0),_xlfn.XLOOKUP(H422,Lists!$AC$2:$AC$9,Lists!$AE$2:$AE$9,0),_xlfn.XLOOKUP(J422,Lists!$AC$2:$AC$9,Lists!$AE$2:$AE$9,0),_xlfn.XLOOKUP(L422,Lists!$AC$2:$AC$9,Lists!$AE$2:$AE$9,0)))</f>
        <v>0</v>
      </c>
      <c r="O422" s="68">
        <f ca="1">IF($B422="","",SUM(_xlfn.XLOOKUP(C422,Lists!$P$2:$P$19,Lists!$S$2:$S$19,0),_xlfn.XLOOKUP(E422,Lists!$P$2:$P$19,Lists!$S$2:$S$19,0),_xlfn.XLOOKUP(G422,Lists!$P$2:$P$19,Lists!$S$2:$S$19,0),_xlfn.XLOOKUP(I422,Lists!$P$2:$P$19,Lists!$S$2:$S$19,0),_xlfn.XLOOKUP(K422,Lists!$P$2:$P$19,Lists!$S$2:$S$19,0)))</f>
        <v>0</v>
      </c>
      <c r="P422" s="68">
        <f ca="1">IF($B422="","",SUM(_xlfn.XLOOKUP(C422,Lists!$P$2:$P$19,Lists!$T$2:$T$19,0),_xlfn.XLOOKUP(E422,Lists!$P$2:$P$19,Lists!$T$2:$T$19,0),_xlfn.XLOOKUP(G422,Lists!$P$2:$P$19,Lists!$T$2:$T$19,0),_xlfn.XLOOKUP(I422,Lists!$P$2:$P$19,Lists!$T$2:$T$19,0),_xlfn.XLOOKUP(K422,Lists!$P$2:$P$19,Lists!$T$2:$T$19,0)))</f>
        <v>0</v>
      </c>
      <c r="Q422" s="68">
        <f ca="1">IF($B422="","",SUM(_xlfn.XLOOKUP(C422,Lists!$P$2:$P$19,Lists!$U$2:$U$19,0),_xlfn.XLOOKUP(E422,Lists!$P$2:$P$19,Lists!$U$2:$U$19,0),_xlfn.XLOOKUP(G422,Lists!$P$2:$P$19,Lists!$U$2:$U$19,0),_xlfn.XLOOKUP(I422,Lists!$P$2:$P$19,Lists!$U$2:$U$19,0),_xlfn.XLOOKUP(K422,Lists!$P$2:$P$19,Lists!$U$2:$U$19,0)))</f>
        <v>0</v>
      </c>
      <c r="R422" s="68">
        <f ca="1">IF($B422="","",SUM(_xlfn.XLOOKUP(C422,Lists!$P$2:$P$19,Lists!$V$2:$V$19,0),_xlfn.XLOOKUP(E422,Lists!$P$2:$P$19,Lists!$V$2:$V$19,0),_xlfn.XLOOKUP(G422,Lists!$P$2:$P$19,Lists!$V$2:$V$19,0),_xlfn.XLOOKUP(I422,Lists!$P$2:$P$19,Lists!$V$2:$V$19,0),_xlfn.XLOOKUP(K422,Lists!$P$2:$P$19,Lists!$V$2:$V$19,0)))</f>
        <v>0</v>
      </c>
      <c r="S422" s="68">
        <f ca="1">IF($B422="","",SUM(_xlfn.XLOOKUP(D422,Lists!$AC$2:$AC$9,Lists!$AD$2:$AD$9,0),_xlfn.XLOOKUP(F422,Lists!$AC$2:$AC$9,Lists!$AD$2:$AD$9,0),_xlfn.XLOOKUP(H422,Lists!$AC$2:$AC$9,Lists!$AD$2:$AD$9,0),_xlfn.XLOOKUP(J422,Lists!$AC$2:$AC$9,Lists!$AD$2:$AD$9,0),_xlfn.XLOOKUP(L422,Lists!$AC$2:$AC$9,Lists!$AD$2:$AD$9,0)))</f>
        <v>0</v>
      </c>
      <c r="T422" s="68">
        <f ca="1">IF($B422="","",SUM(_xlfn.XLOOKUP(C422,Lists!$P$2:$P$19,Lists!$W$2:$W$19,0),_xlfn.XLOOKUP(E422,Lists!$P$2:$P$19,Lists!$W$2:$W$19,0),_xlfn.XLOOKUP(G422,Lists!$P$2:$P$19,Lists!$W$2:$W$19,0),_xlfn.XLOOKUP(I422,Lists!$P$2:$P$19,Lists!$W$2:$W$19,0),_xlfn.XLOOKUP(K422,Lists!$P$2:$P$19,Lists!$W$2:$W$19,0)))</f>
        <v>0</v>
      </c>
      <c r="U422" s="68">
        <f ca="1">IF($B422="","",SUM(_xlfn.XLOOKUP(C422,Lists!$P$2:$P$19,Lists!$X$2:$X$19,0),_xlfn.XLOOKUP(E422,Lists!$P$2:$P$19,Lists!$X$2:$X$19,0),_xlfn.XLOOKUP(G422,Lists!$P$2:$P$19,Lists!$X$2:$X$19,0),_xlfn.XLOOKUP(I422,Lists!$P$2:$P$19,Lists!$X$2:$X$19,0),_xlfn.XLOOKUP(K422,Lists!$P$2:$P$19,Lists!$X$2:$X$19,0)))</f>
        <v>0</v>
      </c>
      <c r="V422" s="68">
        <f ca="1">IF($B422="","",SUM(_xlfn.XLOOKUP(C422,Lists!$P$2:$P$19,Lists!$Y$2:$Y$19,0),_xlfn.XLOOKUP(E422,Lists!$P$2:$P$19,Lists!$Y$2:$Y$19,0),_xlfn.XLOOKUP(G422,Lists!$P$2:$P$19,Lists!$Y$2:$Y$19,0),_xlfn.XLOOKUP(I422,Lists!$P$2:$P$19,Lists!$Y$2:$Y$19,0),_xlfn.XLOOKUP(K422,Lists!$P$2:$P$19,Lists!$Y$2:$Y$19,0)))</f>
        <v>0</v>
      </c>
      <c r="W422" s="68">
        <f ca="1">IF($B422="","",SUM(_xlfn.XLOOKUP(C422,Lists!$P$2:$P$19,Lists!$Z$2:$Z$19,0),_xlfn.XLOOKUP(E422,Lists!$P$2:$P$19,Lists!$Z$2:$Z$19,0),_xlfn.XLOOKUP(G422,Lists!$P$2:$P$19,Lists!$Z$2:$Z$19,0),_xlfn.XLOOKUP(I422,Lists!$P$2:$P$19,Lists!$Z$2:$Z$19,0),_xlfn.XLOOKUP(K422,Lists!$P$2:$P$19,Lists!$Z$2:$Z$19,0)))</f>
        <v>0</v>
      </c>
      <c r="X422" s="69">
        <f ca="1">IF($B422="","",SUM(_xlfn.XLOOKUP(C422,Lists!$P$2:$P$19,Lists!$AA$2:$AA$19,0),_xlfn.XLOOKUP(E422,Lists!$P$2:$P$19,Lists!$AA$2:$AA$19,0),_xlfn.XLOOKUP(G422,Lists!$P$2:$P$19,Lists!$AA$2:$AA$19,0),_xlfn.XLOOKUP(I422,Lists!$P$2:$P$19,Lists!$AA$2:$AA$19,0),_xlfn.XLOOKUP(K422,Lists!$P$2:$P$19,Lists!$AA$2:$AA$19,0)))</f>
        <v>0</v>
      </c>
      <c r="Y422" s="49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  <c r="CO422" s="18"/>
      <c r="CP422" s="18"/>
      <c r="CQ422" s="18"/>
      <c r="CR422" s="18"/>
      <c r="CS422" s="18"/>
      <c r="CT422" s="18"/>
      <c r="CU422" s="18"/>
      <c r="CV422" s="18"/>
      <c r="CW422" s="18"/>
      <c r="CX422" s="18"/>
      <c r="CY422" s="18"/>
      <c r="CZ422" s="18"/>
      <c r="DA422" s="18"/>
      <c r="DB422" s="18"/>
      <c r="DC422" s="18"/>
      <c r="DD422" s="18"/>
      <c r="DE422" s="18"/>
      <c r="DF422" s="18"/>
    </row>
    <row r="423" spans="1:110">
      <c r="A423" s="168">
        <v>2</v>
      </c>
      <c r="B423" s="47" t="str">
        <f ca="1">Lineups!$H$118</f>
        <v>Red Kritter</v>
      </c>
      <c r="C423" s="49" t="s">
        <v>186</v>
      </c>
      <c r="D423" s="49"/>
      <c r="E423" s="49"/>
      <c r="F423" s="49"/>
      <c r="G423" s="49"/>
      <c r="H423" s="50"/>
      <c r="I423" s="50"/>
      <c r="J423" s="50"/>
      <c r="K423" s="50"/>
      <c r="L423" s="50"/>
      <c r="M423" s="67">
        <f ca="1">IF($B423="","",SUM(_xlfn.XLOOKUP(C423,Lists!$P$2:$P$19,Lists!$R$2:$R$19,0),_xlfn.XLOOKUP(E423,Lists!$P$2:$P$19,Lists!$R$2:$R$19,0),_xlfn.XLOOKUP(G423,Lists!$P$2:$P$19,Lists!$R$2:$R$19,0),_xlfn.XLOOKUP(I423,Lists!$P$2:$P$19,Lists!$R$2:$R$19,0),_xlfn.XLOOKUP(K423,Lists!$P$2:$P$19,Lists!$R$2:$R$19,0)))</f>
        <v>1</v>
      </c>
      <c r="N423" s="68">
        <f ca="1">IF($B423="","",SUM(_xlfn.XLOOKUP(D423,Lists!$AC$2:$AC$9,Lists!$AE$2:$AE$9,0),_xlfn.XLOOKUP(F423,Lists!$AC$2:$AC$9,Lists!$AE$2:$AE$9,0),_xlfn.XLOOKUP(H423,Lists!$AC$2:$AC$9,Lists!$AE$2:$AE$9,0),_xlfn.XLOOKUP(J423,Lists!$AC$2:$AC$9,Lists!$AE$2:$AE$9,0),_xlfn.XLOOKUP(L423,Lists!$AC$2:$AC$9,Lists!$AE$2:$AE$9,0)))</f>
        <v>0</v>
      </c>
      <c r="O423" s="68">
        <f ca="1">IF($B423="","",SUM(_xlfn.XLOOKUP(C423,Lists!$P$2:$P$19,Lists!$S$2:$S$19,0),_xlfn.XLOOKUP(E423,Lists!$P$2:$P$19,Lists!$S$2:$S$19,0),_xlfn.XLOOKUP(G423,Lists!$P$2:$P$19,Lists!$S$2:$S$19,0),_xlfn.XLOOKUP(I423,Lists!$P$2:$P$19,Lists!$S$2:$S$19,0),_xlfn.XLOOKUP(K423,Lists!$P$2:$P$19,Lists!$S$2:$S$19,0)))</f>
        <v>0</v>
      </c>
      <c r="P423" s="68">
        <f ca="1">IF($B423="","",SUM(_xlfn.XLOOKUP(C423,Lists!$P$2:$P$19,Lists!$T$2:$T$19,0),_xlfn.XLOOKUP(E423,Lists!$P$2:$P$19,Lists!$T$2:$T$19,0),_xlfn.XLOOKUP(G423,Lists!$P$2:$P$19,Lists!$T$2:$T$19,0),_xlfn.XLOOKUP(I423,Lists!$P$2:$P$19,Lists!$T$2:$T$19,0),_xlfn.XLOOKUP(K423,Lists!$P$2:$P$19,Lists!$T$2:$T$19,0)))</f>
        <v>0</v>
      </c>
      <c r="Q423" s="68">
        <f ca="1">IF($B423="","",SUM(_xlfn.XLOOKUP(C423,Lists!$P$2:$P$19,Lists!$U$2:$U$19,0),_xlfn.XLOOKUP(E423,Lists!$P$2:$P$19,Lists!$U$2:$U$19,0),_xlfn.XLOOKUP(G423,Lists!$P$2:$P$19,Lists!$U$2:$U$19,0),_xlfn.XLOOKUP(I423,Lists!$P$2:$P$19,Lists!$U$2:$U$19,0),_xlfn.XLOOKUP(K423,Lists!$P$2:$P$19,Lists!$U$2:$U$19,0)))</f>
        <v>0</v>
      </c>
      <c r="R423" s="68">
        <f ca="1">IF($B423="","",SUM(_xlfn.XLOOKUP(C423,Lists!$P$2:$P$19,Lists!$V$2:$V$19,0),_xlfn.XLOOKUP(E423,Lists!$P$2:$P$19,Lists!$V$2:$V$19,0),_xlfn.XLOOKUP(G423,Lists!$P$2:$P$19,Lists!$V$2:$V$19,0),_xlfn.XLOOKUP(I423,Lists!$P$2:$P$19,Lists!$V$2:$V$19,0),_xlfn.XLOOKUP(K423,Lists!$P$2:$P$19,Lists!$V$2:$V$19,0)))</f>
        <v>0</v>
      </c>
      <c r="S423" s="68">
        <f ca="1">IF($B423="","",SUM(_xlfn.XLOOKUP(D423,Lists!$AC$2:$AC$9,Lists!$AD$2:$AD$9,0),_xlfn.XLOOKUP(F423,Lists!$AC$2:$AC$9,Lists!$AD$2:$AD$9,0),_xlfn.XLOOKUP(H423,Lists!$AC$2:$AC$9,Lists!$AD$2:$AD$9,0),_xlfn.XLOOKUP(J423,Lists!$AC$2:$AC$9,Lists!$AD$2:$AD$9,0),_xlfn.XLOOKUP(L423,Lists!$AC$2:$AC$9,Lists!$AD$2:$AD$9,0)))</f>
        <v>0</v>
      </c>
      <c r="T423" s="68">
        <f ca="1">IF($B423="","",SUM(_xlfn.XLOOKUP(C423,Lists!$P$2:$P$19,Lists!$W$2:$W$19,0),_xlfn.XLOOKUP(E423,Lists!$P$2:$P$19,Lists!$W$2:$W$19,0),_xlfn.XLOOKUP(G423,Lists!$P$2:$P$19,Lists!$W$2:$W$19,0),_xlfn.XLOOKUP(I423,Lists!$P$2:$P$19,Lists!$W$2:$W$19,0),_xlfn.XLOOKUP(K423,Lists!$P$2:$P$19,Lists!$W$2:$W$19,0)))</f>
        <v>0</v>
      </c>
      <c r="U423" s="68">
        <f ca="1">IF($B423="","",SUM(_xlfn.XLOOKUP(C423,Lists!$P$2:$P$19,Lists!$X$2:$X$19,0),_xlfn.XLOOKUP(E423,Lists!$P$2:$P$19,Lists!$X$2:$X$19,0),_xlfn.XLOOKUP(G423,Lists!$P$2:$P$19,Lists!$X$2:$X$19,0),_xlfn.XLOOKUP(I423,Lists!$P$2:$P$19,Lists!$X$2:$X$19,0),_xlfn.XLOOKUP(K423,Lists!$P$2:$P$19,Lists!$X$2:$X$19,0)))</f>
        <v>0</v>
      </c>
      <c r="V423" s="68">
        <f ca="1">IF($B423="","",SUM(_xlfn.XLOOKUP(C423,Lists!$P$2:$P$19,Lists!$Y$2:$Y$19,0),_xlfn.XLOOKUP(E423,Lists!$P$2:$P$19,Lists!$Y$2:$Y$19,0),_xlfn.XLOOKUP(G423,Lists!$P$2:$P$19,Lists!$Y$2:$Y$19,0),_xlfn.XLOOKUP(I423,Lists!$P$2:$P$19,Lists!$Y$2:$Y$19,0),_xlfn.XLOOKUP(K423,Lists!$P$2:$P$19,Lists!$Y$2:$Y$19,0)))</f>
        <v>0</v>
      </c>
      <c r="W423" s="68">
        <f ca="1">IF($B423="","",SUM(_xlfn.XLOOKUP(C423,Lists!$P$2:$P$19,Lists!$Z$2:$Z$19,0),_xlfn.XLOOKUP(E423,Lists!$P$2:$P$19,Lists!$Z$2:$Z$19,0),_xlfn.XLOOKUP(G423,Lists!$P$2:$P$19,Lists!$Z$2:$Z$19,0),_xlfn.XLOOKUP(I423,Lists!$P$2:$P$19,Lists!$Z$2:$Z$19,0),_xlfn.XLOOKUP(K423,Lists!$P$2:$P$19,Lists!$Z$2:$Z$19,0)))</f>
        <v>0</v>
      </c>
      <c r="X423" s="69">
        <f ca="1">IF($B423="","",SUM(_xlfn.XLOOKUP(C423,Lists!$P$2:$P$19,Lists!$AA$2:$AA$19,0),_xlfn.XLOOKUP(E423,Lists!$P$2:$P$19,Lists!$AA$2:$AA$19,0),_xlfn.XLOOKUP(G423,Lists!$P$2:$P$19,Lists!$AA$2:$AA$19,0),_xlfn.XLOOKUP(I423,Lists!$P$2:$P$19,Lists!$AA$2:$AA$19,0),_xlfn.XLOOKUP(K423,Lists!$P$2:$P$19,Lists!$AA$2:$AA$19,0)))</f>
        <v>0</v>
      </c>
      <c r="Y423" s="49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18"/>
      <c r="CN423" s="18"/>
      <c r="CO423" s="18"/>
      <c r="CP423" s="18"/>
      <c r="CQ423" s="18"/>
      <c r="CR423" s="18"/>
      <c r="CS423" s="18"/>
      <c r="CT423" s="18"/>
      <c r="CU423" s="18"/>
      <c r="CV423" s="18"/>
      <c r="CW423" s="18"/>
      <c r="CX423" s="18"/>
      <c r="CY423" s="18"/>
      <c r="CZ423" s="18"/>
      <c r="DA423" s="18"/>
      <c r="DB423" s="18"/>
      <c r="DC423" s="18"/>
      <c r="DD423" s="18"/>
      <c r="DE423" s="18"/>
      <c r="DF423" s="18"/>
    </row>
    <row r="424" spans="1:110">
      <c r="A424" s="168">
        <v>3</v>
      </c>
      <c r="B424" s="47" t="str">
        <f ca="1">Lineups!$H$119</f>
        <v>Petey Piranha</v>
      </c>
      <c r="C424" s="49" t="s">
        <v>186</v>
      </c>
      <c r="D424" s="49"/>
      <c r="E424" s="49"/>
      <c r="F424" s="49"/>
      <c r="G424" s="49"/>
      <c r="H424" s="50"/>
      <c r="I424" s="50"/>
      <c r="J424" s="50"/>
      <c r="K424" s="50"/>
      <c r="L424" s="50"/>
      <c r="M424" s="67">
        <f ca="1">IF($B424="","",SUM(_xlfn.XLOOKUP(C424,Lists!$P$2:$P$19,Lists!$R$2:$R$19,0),_xlfn.XLOOKUP(E424,Lists!$P$2:$P$19,Lists!$R$2:$R$19,0),_xlfn.XLOOKUP(G424,Lists!$P$2:$P$19,Lists!$R$2:$R$19,0),_xlfn.XLOOKUP(I424,Lists!$P$2:$P$19,Lists!$R$2:$R$19,0),_xlfn.XLOOKUP(K424,Lists!$P$2:$P$19,Lists!$R$2:$R$19,0)))</f>
        <v>1</v>
      </c>
      <c r="N424" s="68">
        <f ca="1">IF($B424="","",SUM(_xlfn.XLOOKUP(D424,Lists!$AC$2:$AC$9,Lists!$AE$2:$AE$9,0),_xlfn.XLOOKUP(F424,Lists!$AC$2:$AC$9,Lists!$AE$2:$AE$9,0),_xlfn.XLOOKUP(H424,Lists!$AC$2:$AC$9,Lists!$AE$2:$AE$9,0),_xlfn.XLOOKUP(J424,Lists!$AC$2:$AC$9,Lists!$AE$2:$AE$9,0),_xlfn.XLOOKUP(L424,Lists!$AC$2:$AC$9,Lists!$AE$2:$AE$9,0)))</f>
        <v>0</v>
      </c>
      <c r="O424" s="68">
        <f ca="1">IF($B424="","",SUM(_xlfn.XLOOKUP(C424,Lists!$P$2:$P$19,Lists!$S$2:$S$19,0),_xlfn.XLOOKUP(E424,Lists!$P$2:$P$19,Lists!$S$2:$S$19,0),_xlfn.XLOOKUP(G424,Lists!$P$2:$P$19,Lists!$S$2:$S$19,0),_xlfn.XLOOKUP(I424,Lists!$P$2:$P$19,Lists!$S$2:$S$19,0),_xlfn.XLOOKUP(K424,Lists!$P$2:$P$19,Lists!$S$2:$S$19,0)))</f>
        <v>0</v>
      </c>
      <c r="P424" s="68">
        <f ca="1">IF($B424="","",SUM(_xlfn.XLOOKUP(C424,Lists!$P$2:$P$19,Lists!$T$2:$T$19,0),_xlfn.XLOOKUP(E424,Lists!$P$2:$P$19,Lists!$T$2:$T$19,0),_xlfn.XLOOKUP(G424,Lists!$P$2:$P$19,Lists!$T$2:$T$19,0),_xlfn.XLOOKUP(I424,Lists!$P$2:$P$19,Lists!$T$2:$T$19,0),_xlfn.XLOOKUP(K424,Lists!$P$2:$P$19,Lists!$T$2:$T$19,0)))</f>
        <v>0</v>
      </c>
      <c r="Q424" s="68">
        <f ca="1">IF($B424="","",SUM(_xlfn.XLOOKUP(C424,Lists!$P$2:$P$19,Lists!$U$2:$U$19,0),_xlfn.XLOOKUP(E424,Lists!$P$2:$P$19,Lists!$U$2:$U$19,0),_xlfn.XLOOKUP(G424,Lists!$P$2:$P$19,Lists!$U$2:$U$19,0),_xlfn.XLOOKUP(I424,Lists!$P$2:$P$19,Lists!$U$2:$U$19,0),_xlfn.XLOOKUP(K424,Lists!$P$2:$P$19,Lists!$U$2:$U$19,0)))</f>
        <v>0</v>
      </c>
      <c r="R424" s="68">
        <f ca="1">IF($B424="","",SUM(_xlfn.XLOOKUP(C424,Lists!$P$2:$P$19,Lists!$V$2:$V$19,0),_xlfn.XLOOKUP(E424,Lists!$P$2:$P$19,Lists!$V$2:$V$19,0),_xlfn.XLOOKUP(G424,Lists!$P$2:$P$19,Lists!$V$2:$V$19,0),_xlfn.XLOOKUP(I424,Lists!$P$2:$P$19,Lists!$V$2:$V$19,0),_xlfn.XLOOKUP(K424,Lists!$P$2:$P$19,Lists!$V$2:$V$19,0)))</f>
        <v>0</v>
      </c>
      <c r="S424" s="68">
        <f ca="1">IF($B424="","",SUM(_xlfn.XLOOKUP(D424,Lists!$AC$2:$AC$9,Lists!$AD$2:$AD$9,0),_xlfn.XLOOKUP(F424,Lists!$AC$2:$AC$9,Lists!$AD$2:$AD$9,0),_xlfn.XLOOKUP(H424,Lists!$AC$2:$AC$9,Lists!$AD$2:$AD$9,0),_xlfn.XLOOKUP(J424,Lists!$AC$2:$AC$9,Lists!$AD$2:$AD$9,0),_xlfn.XLOOKUP(L424,Lists!$AC$2:$AC$9,Lists!$AD$2:$AD$9,0)))</f>
        <v>0</v>
      </c>
      <c r="T424" s="68">
        <f ca="1">IF($B424="","",SUM(_xlfn.XLOOKUP(C424,Lists!$P$2:$P$19,Lists!$W$2:$W$19,0),_xlfn.XLOOKUP(E424,Lists!$P$2:$P$19,Lists!$W$2:$W$19,0),_xlfn.XLOOKUP(G424,Lists!$P$2:$P$19,Lists!$W$2:$W$19,0),_xlfn.XLOOKUP(I424,Lists!$P$2:$P$19,Lists!$W$2:$W$19,0),_xlfn.XLOOKUP(K424,Lists!$P$2:$P$19,Lists!$W$2:$W$19,0)))</f>
        <v>0</v>
      </c>
      <c r="U424" s="68">
        <f ca="1">IF($B424="","",SUM(_xlfn.XLOOKUP(C424,Lists!$P$2:$P$19,Lists!$X$2:$X$19,0),_xlfn.XLOOKUP(E424,Lists!$P$2:$P$19,Lists!$X$2:$X$19,0),_xlfn.XLOOKUP(G424,Lists!$P$2:$P$19,Lists!$X$2:$X$19,0),_xlfn.XLOOKUP(I424,Lists!$P$2:$P$19,Lists!$X$2:$X$19,0),_xlfn.XLOOKUP(K424,Lists!$P$2:$P$19,Lists!$X$2:$X$19,0)))</f>
        <v>0</v>
      </c>
      <c r="V424" s="68">
        <f ca="1">IF($B424="","",SUM(_xlfn.XLOOKUP(C424,Lists!$P$2:$P$19,Lists!$Y$2:$Y$19,0),_xlfn.XLOOKUP(E424,Lists!$P$2:$P$19,Lists!$Y$2:$Y$19,0),_xlfn.XLOOKUP(G424,Lists!$P$2:$P$19,Lists!$Y$2:$Y$19,0),_xlfn.XLOOKUP(I424,Lists!$P$2:$P$19,Lists!$Y$2:$Y$19,0),_xlfn.XLOOKUP(K424,Lists!$P$2:$P$19,Lists!$Y$2:$Y$19,0)))</f>
        <v>0</v>
      </c>
      <c r="W424" s="68">
        <f ca="1">IF($B424="","",SUM(_xlfn.XLOOKUP(C424,Lists!$P$2:$P$19,Lists!$Z$2:$Z$19,0),_xlfn.XLOOKUP(E424,Lists!$P$2:$P$19,Lists!$Z$2:$Z$19,0),_xlfn.XLOOKUP(G424,Lists!$P$2:$P$19,Lists!$Z$2:$Z$19,0),_xlfn.XLOOKUP(I424,Lists!$P$2:$P$19,Lists!$Z$2:$Z$19,0),_xlfn.XLOOKUP(K424,Lists!$P$2:$P$19,Lists!$Z$2:$Z$19,0)))</f>
        <v>0</v>
      </c>
      <c r="X424" s="69">
        <f ca="1">IF($B424="","",SUM(_xlfn.XLOOKUP(C424,Lists!$P$2:$P$19,Lists!$AA$2:$AA$19,0),_xlfn.XLOOKUP(E424,Lists!$P$2:$P$19,Lists!$AA$2:$AA$19,0),_xlfn.XLOOKUP(G424,Lists!$P$2:$P$19,Lists!$AA$2:$AA$19,0),_xlfn.XLOOKUP(I424,Lists!$P$2:$P$19,Lists!$AA$2:$AA$19,0),_xlfn.XLOOKUP(K424,Lists!$P$2:$P$19,Lists!$AA$2:$AA$19,0)))</f>
        <v>0</v>
      </c>
      <c r="Y424" s="49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  <c r="CL424" s="18"/>
      <c r="CM424" s="18"/>
      <c r="CN424" s="18"/>
      <c r="CO424" s="18"/>
      <c r="CP424" s="18"/>
      <c r="CQ424" s="18"/>
      <c r="CR424" s="18"/>
      <c r="CS424" s="18"/>
      <c r="CT424" s="18"/>
      <c r="CU424" s="18"/>
      <c r="CV424" s="18"/>
      <c r="CW424" s="18"/>
      <c r="CX424" s="18"/>
      <c r="CY424" s="18"/>
      <c r="CZ424" s="18"/>
      <c r="DA424" s="18"/>
      <c r="DB424" s="18"/>
      <c r="DC424" s="18"/>
      <c r="DD424" s="18"/>
      <c r="DE424" s="18"/>
      <c r="DF424" s="18"/>
    </row>
    <row r="425" spans="1:110">
      <c r="A425" s="168">
        <v>4</v>
      </c>
      <c r="B425" s="47" t="str">
        <f ca="1">Lineups!$H$120</f>
        <v>King Boo</v>
      </c>
      <c r="C425" s="49" t="s">
        <v>186</v>
      </c>
      <c r="D425" s="49"/>
      <c r="E425" s="49"/>
      <c r="F425" s="49"/>
      <c r="G425" s="49"/>
      <c r="H425" s="50"/>
      <c r="I425" s="50"/>
      <c r="J425" s="50"/>
      <c r="K425" s="50"/>
      <c r="L425" s="50"/>
      <c r="M425" s="67">
        <f ca="1">IF($B425="","",SUM(_xlfn.XLOOKUP(C425,Lists!$P$2:$P$19,Lists!$R$2:$R$19,0),_xlfn.XLOOKUP(E425,Lists!$P$2:$P$19,Lists!$R$2:$R$19,0),_xlfn.XLOOKUP(G425,Lists!$P$2:$P$19,Lists!$R$2:$R$19,0),_xlfn.XLOOKUP(I425,Lists!$P$2:$P$19,Lists!$R$2:$R$19,0),_xlfn.XLOOKUP(K425,Lists!$P$2:$P$19,Lists!$R$2:$R$19,0)))</f>
        <v>1</v>
      </c>
      <c r="N425" s="68">
        <f ca="1">IF($B425="","",SUM(_xlfn.XLOOKUP(D425,Lists!$AC$2:$AC$9,Lists!$AE$2:$AE$9,0),_xlfn.XLOOKUP(F425,Lists!$AC$2:$AC$9,Lists!$AE$2:$AE$9,0),_xlfn.XLOOKUP(H425,Lists!$AC$2:$AC$9,Lists!$AE$2:$AE$9,0),_xlfn.XLOOKUP(J425,Lists!$AC$2:$AC$9,Lists!$AE$2:$AE$9,0),_xlfn.XLOOKUP(L425,Lists!$AC$2:$AC$9,Lists!$AE$2:$AE$9,0)))</f>
        <v>0</v>
      </c>
      <c r="O425" s="68">
        <f ca="1">IF($B425="","",SUM(_xlfn.XLOOKUP(C425,Lists!$P$2:$P$19,Lists!$S$2:$S$19,0),_xlfn.XLOOKUP(E425,Lists!$P$2:$P$19,Lists!$S$2:$S$19,0),_xlfn.XLOOKUP(G425,Lists!$P$2:$P$19,Lists!$S$2:$S$19,0),_xlfn.XLOOKUP(I425,Lists!$P$2:$P$19,Lists!$S$2:$S$19,0),_xlfn.XLOOKUP(K425,Lists!$P$2:$P$19,Lists!$S$2:$S$19,0)))</f>
        <v>0</v>
      </c>
      <c r="P425" s="68">
        <f ca="1">IF($B425="","",SUM(_xlfn.XLOOKUP(C425,Lists!$P$2:$P$19,Lists!$T$2:$T$19,0),_xlfn.XLOOKUP(E425,Lists!$P$2:$P$19,Lists!$T$2:$T$19,0),_xlfn.XLOOKUP(G425,Lists!$P$2:$P$19,Lists!$T$2:$T$19,0),_xlfn.XLOOKUP(I425,Lists!$P$2:$P$19,Lists!$T$2:$T$19,0),_xlfn.XLOOKUP(K425,Lists!$P$2:$P$19,Lists!$T$2:$T$19,0)))</f>
        <v>0</v>
      </c>
      <c r="Q425" s="68">
        <f ca="1">IF($B425="","",SUM(_xlfn.XLOOKUP(C425,Lists!$P$2:$P$19,Lists!$U$2:$U$19,0),_xlfn.XLOOKUP(E425,Lists!$P$2:$P$19,Lists!$U$2:$U$19,0),_xlfn.XLOOKUP(G425,Lists!$P$2:$P$19,Lists!$U$2:$U$19,0),_xlfn.XLOOKUP(I425,Lists!$P$2:$P$19,Lists!$U$2:$U$19,0),_xlfn.XLOOKUP(K425,Lists!$P$2:$P$19,Lists!$U$2:$U$19,0)))</f>
        <v>0</v>
      </c>
      <c r="R425" s="68">
        <f ca="1">IF($B425="","",SUM(_xlfn.XLOOKUP(C425,Lists!$P$2:$P$19,Lists!$V$2:$V$19,0),_xlfn.XLOOKUP(E425,Lists!$P$2:$P$19,Lists!$V$2:$V$19,0),_xlfn.XLOOKUP(G425,Lists!$P$2:$P$19,Lists!$V$2:$V$19,0),_xlfn.XLOOKUP(I425,Lists!$P$2:$P$19,Lists!$V$2:$V$19,0),_xlfn.XLOOKUP(K425,Lists!$P$2:$P$19,Lists!$V$2:$V$19,0)))</f>
        <v>0</v>
      </c>
      <c r="S425" s="68">
        <f ca="1">IF($B425="","",SUM(_xlfn.XLOOKUP(D425,Lists!$AC$2:$AC$9,Lists!$AD$2:$AD$9,0),_xlfn.XLOOKUP(F425,Lists!$AC$2:$AC$9,Lists!$AD$2:$AD$9,0),_xlfn.XLOOKUP(H425,Lists!$AC$2:$AC$9,Lists!$AD$2:$AD$9,0),_xlfn.XLOOKUP(J425,Lists!$AC$2:$AC$9,Lists!$AD$2:$AD$9,0),_xlfn.XLOOKUP(L425,Lists!$AC$2:$AC$9,Lists!$AD$2:$AD$9,0)))</f>
        <v>0</v>
      </c>
      <c r="T425" s="68">
        <f ca="1">IF($B425="","",SUM(_xlfn.XLOOKUP(C425,Lists!$P$2:$P$19,Lists!$W$2:$W$19,0),_xlfn.XLOOKUP(E425,Lists!$P$2:$P$19,Lists!$W$2:$W$19,0),_xlfn.XLOOKUP(G425,Lists!$P$2:$P$19,Lists!$W$2:$W$19,0),_xlfn.XLOOKUP(I425,Lists!$P$2:$P$19,Lists!$W$2:$W$19,0),_xlfn.XLOOKUP(K425,Lists!$P$2:$P$19,Lists!$W$2:$W$19,0)))</f>
        <v>0</v>
      </c>
      <c r="U425" s="68">
        <f ca="1">IF($B425="","",SUM(_xlfn.XLOOKUP(C425,Lists!$P$2:$P$19,Lists!$X$2:$X$19,0),_xlfn.XLOOKUP(E425,Lists!$P$2:$P$19,Lists!$X$2:$X$19,0),_xlfn.XLOOKUP(G425,Lists!$P$2:$P$19,Lists!$X$2:$X$19,0),_xlfn.XLOOKUP(I425,Lists!$P$2:$P$19,Lists!$X$2:$X$19,0),_xlfn.XLOOKUP(K425,Lists!$P$2:$P$19,Lists!$X$2:$X$19,0)))</f>
        <v>0</v>
      </c>
      <c r="V425" s="68">
        <f ca="1">IF($B425="","",SUM(_xlfn.XLOOKUP(C425,Lists!$P$2:$P$19,Lists!$Y$2:$Y$19,0),_xlfn.XLOOKUP(E425,Lists!$P$2:$P$19,Lists!$Y$2:$Y$19,0),_xlfn.XLOOKUP(G425,Lists!$P$2:$P$19,Lists!$Y$2:$Y$19,0),_xlfn.XLOOKUP(I425,Lists!$P$2:$P$19,Lists!$Y$2:$Y$19,0),_xlfn.XLOOKUP(K425,Lists!$P$2:$P$19,Lists!$Y$2:$Y$19,0)))</f>
        <v>0</v>
      </c>
      <c r="W425" s="68">
        <f ca="1">IF($B425="","",SUM(_xlfn.XLOOKUP(C425,Lists!$P$2:$P$19,Lists!$Z$2:$Z$19,0),_xlfn.XLOOKUP(E425,Lists!$P$2:$P$19,Lists!$Z$2:$Z$19,0),_xlfn.XLOOKUP(G425,Lists!$P$2:$P$19,Lists!$Z$2:$Z$19,0),_xlfn.XLOOKUP(I425,Lists!$P$2:$P$19,Lists!$Z$2:$Z$19,0),_xlfn.XLOOKUP(K425,Lists!$P$2:$P$19,Lists!$Z$2:$Z$19,0)))</f>
        <v>0</v>
      </c>
      <c r="X425" s="69">
        <f ca="1">IF($B425="","",SUM(_xlfn.XLOOKUP(C425,Lists!$P$2:$P$19,Lists!$AA$2:$AA$19,0),_xlfn.XLOOKUP(E425,Lists!$P$2:$P$19,Lists!$AA$2:$AA$19,0),_xlfn.XLOOKUP(G425,Lists!$P$2:$P$19,Lists!$AA$2:$AA$19,0),_xlfn.XLOOKUP(I425,Lists!$P$2:$P$19,Lists!$AA$2:$AA$19,0),_xlfn.XLOOKUP(K425,Lists!$P$2:$P$19,Lists!$AA$2:$AA$19,0)))</f>
        <v>0</v>
      </c>
      <c r="Y425" s="49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  <c r="CL425" s="18"/>
      <c r="CM425" s="18"/>
      <c r="CN425" s="18"/>
      <c r="CO425" s="18"/>
      <c r="CP425" s="18"/>
      <c r="CQ425" s="18"/>
      <c r="CR425" s="18"/>
      <c r="CS425" s="18"/>
      <c r="CT425" s="18"/>
      <c r="CU425" s="18"/>
      <c r="CV425" s="18"/>
      <c r="CW425" s="18"/>
      <c r="CX425" s="18"/>
      <c r="CY425" s="18"/>
      <c r="CZ425" s="18"/>
      <c r="DA425" s="18"/>
      <c r="DB425" s="18"/>
      <c r="DC425" s="18"/>
      <c r="DD425" s="18"/>
      <c r="DE425" s="18"/>
      <c r="DF425" s="18"/>
    </row>
    <row r="426" spans="1:110">
      <c r="A426" s="168">
        <v>5</v>
      </c>
      <c r="B426" s="47" t="str">
        <f ca="1">Lineups!$H$121</f>
        <v>Hammer Bro</v>
      </c>
      <c r="C426" s="49" t="s">
        <v>186</v>
      </c>
      <c r="D426" s="49"/>
      <c r="E426" s="49"/>
      <c r="F426" s="49"/>
      <c r="G426" s="49"/>
      <c r="H426" s="50"/>
      <c r="I426" s="50"/>
      <c r="J426" s="50"/>
      <c r="K426" s="50"/>
      <c r="L426" s="50"/>
      <c r="M426" s="67">
        <f ca="1">IF($B426="","",SUM(_xlfn.XLOOKUP(C426,Lists!$P$2:$P$19,Lists!$R$2:$R$19,0),_xlfn.XLOOKUP(E426,Lists!$P$2:$P$19,Lists!$R$2:$R$19,0),_xlfn.XLOOKUP(G426,Lists!$P$2:$P$19,Lists!$R$2:$R$19,0),_xlfn.XLOOKUP(I426,Lists!$P$2:$P$19,Lists!$R$2:$R$19,0),_xlfn.XLOOKUP(K426,Lists!$P$2:$P$19,Lists!$R$2:$R$19,0)))</f>
        <v>1</v>
      </c>
      <c r="N426" s="68">
        <f ca="1">IF($B426="","",SUM(_xlfn.XLOOKUP(D426,Lists!$AC$2:$AC$9,Lists!$AE$2:$AE$9,0),_xlfn.XLOOKUP(F426,Lists!$AC$2:$AC$9,Lists!$AE$2:$AE$9,0),_xlfn.XLOOKUP(H426,Lists!$AC$2:$AC$9,Lists!$AE$2:$AE$9,0),_xlfn.XLOOKUP(J426,Lists!$AC$2:$AC$9,Lists!$AE$2:$AE$9,0),_xlfn.XLOOKUP(L426,Lists!$AC$2:$AC$9,Lists!$AE$2:$AE$9,0)))</f>
        <v>0</v>
      </c>
      <c r="O426" s="68">
        <f ca="1">IF($B426="","",SUM(_xlfn.XLOOKUP(C426,Lists!$P$2:$P$19,Lists!$S$2:$S$19,0),_xlfn.XLOOKUP(E426,Lists!$P$2:$P$19,Lists!$S$2:$S$19,0),_xlfn.XLOOKUP(G426,Lists!$P$2:$P$19,Lists!$S$2:$S$19,0),_xlfn.XLOOKUP(I426,Lists!$P$2:$P$19,Lists!$S$2:$S$19,0),_xlfn.XLOOKUP(K426,Lists!$P$2:$P$19,Lists!$S$2:$S$19,0)))</f>
        <v>0</v>
      </c>
      <c r="P426" s="68">
        <f ca="1">IF($B426="","",SUM(_xlfn.XLOOKUP(C426,Lists!$P$2:$P$19,Lists!$T$2:$T$19,0),_xlfn.XLOOKUP(E426,Lists!$P$2:$P$19,Lists!$T$2:$T$19,0),_xlfn.XLOOKUP(G426,Lists!$P$2:$P$19,Lists!$T$2:$T$19,0),_xlfn.XLOOKUP(I426,Lists!$P$2:$P$19,Lists!$T$2:$T$19,0),_xlfn.XLOOKUP(K426,Lists!$P$2:$P$19,Lists!$T$2:$T$19,0)))</f>
        <v>0</v>
      </c>
      <c r="Q426" s="68">
        <f ca="1">IF($B426="","",SUM(_xlfn.XLOOKUP(C426,Lists!$P$2:$P$19,Lists!$U$2:$U$19,0),_xlfn.XLOOKUP(E426,Lists!$P$2:$P$19,Lists!$U$2:$U$19,0),_xlfn.XLOOKUP(G426,Lists!$P$2:$P$19,Lists!$U$2:$U$19,0),_xlfn.XLOOKUP(I426,Lists!$P$2:$P$19,Lists!$U$2:$U$19,0),_xlfn.XLOOKUP(K426,Lists!$P$2:$P$19,Lists!$U$2:$U$19,0)))</f>
        <v>0</v>
      </c>
      <c r="R426" s="68">
        <f ca="1">IF($B426="","",SUM(_xlfn.XLOOKUP(C426,Lists!$P$2:$P$19,Lists!$V$2:$V$19,0),_xlfn.XLOOKUP(E426,Lists!$P$2:$P$19,Lists!$V$2:$V$19,0),_xlfn.XLOOKUP(G426,Lists!$P$2:$P$19,Lists!$V$2:$V$19,0),_xlfn.XLOOKUP(I426,Lists!$P$2:$P$19,Lists!$V$2:$V$19,0),_xlfn.XLOOKUP(K426,Lists!$P$2:$P$19,Lists!$V$2:$V$19,0)))</f>
        <v>0</v>
      </c>
      <c r="S426" s="68">
        <f ca="1">IF($B426="","",SUM(_xlfn.XLOOKUP(D426,Lists!$AC$2:$AC$9,Lists!$AD$2:$AD$9,0),_xlfn.XLOOKUP(F426,Lists!$AC$2:$AC$9,Lists!$AD$2:$AD$9,0),_xlfn.XLOOKUP(H426,Lists!$AC$2:$AC$9,Lists!$AD$2:$AD$9,0),_xlfn.XLOOKUP(J426,Lists!$AC$2:$AC$9,Lists!$AD$2:$AD$9,0),_xlfn.XLOOKUP(L426,Lists!$AC$2:$AC$9,Lists!$AD$2:$AD$9,0)))</f>
        <v>0</v>
      </c>
      <c r="T426" s="68">
        <f ca="1">IF($B426="","",SUM(_xlfn.XLOOKUP(C426,Lists!$P$2:$P$19,Lists!$W$2:$W$19,0),_xlfn.XLOOKUP(E426,Lists!$P$2:$P$19,Lists!$W$2:$W$19,0),_xlfn.XLOOKUP(G426,Lists!$P$2:$P$19,Lists!$W$2:$W$19,0),_xlfn.XLOOKUP(I426,Lists!$P$2:$P$19,Lists!$W$2:$W$19,0),_xlfn.XLOOKUP(K426,Lists!$P$2:$P$19,Lists!$W$2:$W$19,0)))</f>
        <v>0</v>
      </c>
      <c r="U426" s="68">
        <f ca="1">IF($B426="","",SUM(_xlfn.XLOOKUP(C426,Lists!$P$2:$P$19,Lists!$X$2:$X$19,0),_xlfn.XLOOKUP(E426,Lists!$P$2:$P$19,Lists!$X$2:$X$19,0),_xlfn.XLOOKUP(G426,Lists!$P$2:$P$19,Lists!$X$2:$X$19,0),_xlfn.XLOOKUP(I426,Lists!$P$2:$P$19,Lists!$X$2:$X$19,0),_xlfn.XLOOKUP(K426,Lists!$P$2:$P$19,Lists!$X$2:$X$19,0)))</f>
        <v>0</v>
      </c>
      <c r="V426" s="68">
        <f ca="1">IF($B426="","",SUM(_xlfn.XLOOKUP(C426,Lists!$P$2:$P$19,Lists!$Y$2:$Y$19,0),_xlfn.XLOOKUP(E426,Lists!$P$2:$P$19,Lists!$Y$2:$Y$19,0),_xlfn.XLOOKUP(G426,Lists!$P$2:$P$19,Lists!$Y$2:$Y$19,0),_xlfn.XLOOKUP(I426,Lists!$P$2:$P$19,Lists!$Y$2:$Y$19,0),_xlfn.XLOOKUP(K426,Lists!$P$2:$P$19,Lists!$Y$2:$Y$19,0)))</f>
        <v>0</v>
      </c>
      <c r="W426" s="68">
        <f ca="1">IF($B426="","",SUM(_xlfn.XLOOKUP(C426,Lists!$P$2:$P$19,Lists!$Z$2:$Z$19,0),_xlfn.XLOOKUP(E426,Lists!$P$2:$P$19,Lists!$Z$2:$Z$19,0),_xlfn.XLOOKUP(G426,Lists!$P$2:$P$19,Lists!$Z$2:$Z$19,0),_xlfn.XLOOKUP(I426,Lists!$P$2:$P$19,Lists!$Z$2:$Z$19,0),_xlfn.XLOOKUP(K426,Lists!$P$2:$P$19,Lists!$Z$2:$Z$19,0)))</f>
        <v>0</v>
      </c>
      <c r="X426" s="69">
        <f ca="1">IF($B426="","",SUM(_xlfn.XLOOKUP(C426,Lists!$P$2:$P$19,Lists!$AA$2:$AA$19,0),_xlfn.XLOOKUP(E426,Lists!$P$2:$P$19,Lists!$AA$2:$AA$19,0),_xlfn.XLOOKUP(G426,Lists!$P$2:$P$19,Lists!$AA$2:$AA$19,0),_xlfn.XLOOKUP(I426,Lists!$P$2:$P$19,Lists!$AA$2:$AA$19,0),_xlfn.XLOOKUP(K426,Lists!$P$2:$P$19,Lists!$AA$2:$AA$19,0)))</f>
        <v>0</v>
      </c>
      <c r="Y426" s="49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/>
      <c r="CP426" s="18"/>
      <c r="CQ426" s="18"/>
      <c r="CR426" s="18"/>
      <c r="CS426" s="18"/>
      <c r="CT426" s="18"/>
      <c r="CU426" s="18"/>
      <c r="CV426" s="18"/>
      <c r="CW426" s="18"/>
      <c r="CX426" s="18"/>
      <c r="CY426" s="18"/>
      <c r="CZ426" s="18"/>
      <c r="DA426" s="18"/>
      <c r="DB426" s="18"/>
      <c r="DC426" s="18"/>
      <c r="DD426" s="18"/>
      <c r="DE426" s="18"/>
      <c r="DF426" s="18"/>
    </row>
    <row r="427" spans="1:110">
      <c r="A427" s="168">
        <v>6</v>
      </c>
      <c r="B427" s="47" t="str">
        <f ca="1">Lineups!$H$122</f>
        <v>Red Yoshi</v>
      </c>
      <c r="C427" s="49" t="s">
        <v>193</v>
      </c>
      <c r="D427" s="49"/>
      <c r="E427" s="49"/>
      <c r="F427" s="49"/>
      <c r="G427" s="49"/>
      <c r="H427" s="50"/>
      <c r="I427" s="50"/>
      <c r="J427" s="50"/>
      <c r="K427" s="50"/>
      <c r="L427" s="50"/>
      <c r="M427" s="67">
        <f ca="1">IF($B427="","",SUM(_xlfn.XLOOKUP(C427,Lists!$P$2:$P$19,Lists!$R$2:$R$19,0),_xlfn.XLOOKUP(E427,Lists!$P$2:$P$19,Lists!$R$2:$R$19,0),_xlfn.XLOOKUP(G427,Lists!$P$2:$P$19,Lists!$R$2:$R$19,0),_xlfn.XLOOKUP(I427,Lists!$P$2:$P$19,Lists!$R$2:$R$19,0),_xlfn.XLOOKUP(K427,Lists!$P$2:$P$19,Lists!$R$2:$R$19,0)))</f>
        <v>1</v>
      </c>
      <c r="N427" s="68">
        <f ca="1">IF($B427="","",SUM(_xlfn.XLOOKUP(D427,Lists!$AC$2:$AC$9,Lists!$AE$2:$AE$9,0),_xlfn.XLOOKUP(F427,Lists!$AC$2:$AC$9,Lists!$AE$2:$AE$9,0),_xlfn.XLOOKUP(H427,Lists!$AC$2:$AC$9,Lists!$AE$2:$AE$9,0),_xlfn.XLOOKUP(J427,Lists!$AC$2:$AC$9,Lists!$AE$2:$AE$9,0),_xlfn.XLOOKUP(L427,Lists!$AC$2:$AC$9,Lists!$AE$2:$AE$9,0)))</f>
        <v>0</v>
      </c>
      <c r="O427" s="68">
        <f ca="1">IF($B427="","",SUM(_xlfn.XLOOKUP(C427,Lists!$P$2:$P$19,Lists!$S$2:$S$19,0),_xlfn.XLOOKUP(E427,Lists!$P$2:$P$19,Lists!$S$2:$S$19,0),_xlfn.XLOOKUP(G427,Lists!$P$2:$P$19,Lists!$S$2:$S$19,0),_xlfn.XLOOKUP(I427,Lists!$P$2:$P$19,Lists!$S$2:$S$19,0),_xlfn.XLOOKUP(K427,Lists!$P$2:$P$19,Lists!$S$2:$S$19,0)))</f>
        <v>0</v>
      </c>
      <c r="P427" s="68">
        <f ca="1">IF($B427="","",SUM(_xlfn.XLOOKUP(C427,Lists!$P$2:$P$19,Lists!$T$2:$T$19,0),_xlfn.XLOOKUP(E427,Lists!$P$2:$P$19,Lists!$T$2:$T$19,0),_xlfn.XLOOKUP(G427,Lists!$P$2:$P$19,Lists!$T$2:$T$19,0),_xlfn.XLOOKUP(I427,Lists!$P$2:$P$19,Lists!$T$2:$T$19,0),_xlfn.XLOOKUP(K427,Lists!$P$2:$P$19,Lists!$T$2:$T$19,0)))</f>
        <v>0</v>
      </c>
      <c r="Q427" s="68">
        <f ca="1">IF($B427="","",SUM(_xlfn.XLOOKUP(C427,Lists!$P$2:$P$19,Lists!$U$2:$U$19,0),_xlfn.XLOOKUP(E427,Lists!$P$2:$P$19,Lists!$U$2:$U$19,0),_xlfn.XLOOKUP(G427,Lists!$P$2:$P$19,Lists!$U$2:$U$19,0),_xlfn.XLOOKUP(I427,Lists!$P$2:$P$19,Lists!$U$2:$U$19,0),_xlfn.XLOOKUP(K427,Lists!$P$2:$P$19,Lists!$U$2:$U$19,0)))</f>
        <v>0</v>
      </c>
      <c r="R427" s="68">
        <f ca="1">IF($B427="","",SUM(_xlfn.XLOOKUP(C427,Lists!$P$2:$P$19,Lists!$V$2:$V$19,0),_xlfn.XLOOKUP(E427,Lists!$P$2:$P$19,Lists!$V$2:$V$19,0),_xlfn.XLOOKUP(G427,Lists!$P$2:$P$19,Lists!$V$2:$V$19,0),_xlfn.XLOOKUP(I427,Lists!$P$2:$P$19,Lists!$V$2:$V$19,0),_xlfn.XLOOKUP(K427,Lists!$P$2:$P$19,Lists!$V$2:$V$19,0)))</f>
        <v>0</v>
      </c>
      <c r="S427" s="68">
        <f ca="1">IF($B427="","",SUM(_xlfn.XLOOKUP(D427,Lists!$AC$2:$AC$9,Lists!$AD$2:$AD$9,0),_xlfn.XLOOKUP(F427,Lists!$AC$2:$AC$9,Lists!$AD$2:$AD$9,0),_xlfn.XLOOKUP(H427,Lists!$AC$2:$AC$9,Lists!$AD$2:$AD$9,0),_xlfn.XLOOKUP(J427,Lists!$AC$2:$AC$9,Lists!$AD$2:$AD$9,0),_xlfn.XLOOKUP(L427,Lists!$AC$2:$AC$9,Lists!$AD$2:$AD$9,0)))</f>
        <v>0</v>
      </c>
      <c r="T427" s="68">
        <f ca="1">IF($B427="","",SUM(_xlfn.XLOOKUP(C427,Lists!$P$2:$P$19,Lists!$W$2:$W$19,0),_xlfn.XLOOKUP(E427,Lists!$P$2:$P$19,Lists!$W$2:$W$19,0),_xlfn.XLOOKUP(G427,Lists!$P$2:$P$19,Lists!$W$2:$W$19,0),_xlfn.XLOOKUP(I427,Lists!$P$2:$P$19,Lists!$W$2:$W$19,0),_xlfn.XLOOKUP(K427,Lists!$P$2:$P$19,Lists!$W$2:$W$19,0)))</f>
        <v>0</v>
      </c>
      <c r="U427" s="68">
        <f ca="1">IF($B427="","",SUM(_xlfn.XLOOKUP(C427,Lists!$P$2:$P$19,Lists!$X$2:$X$19,0),_xlfn.XLOOKUP(E427,Lists!$P$2:$P$19,Lists!$X$2:$X$19,0),_xlfn.XLOOKUP(G427,Lists!$P$2:$P$19,Lists!$X$2:$X$19,0),_xlfn.XLOOKUP(I427,Lists!$P$2:$P$19,Lists!$X$2:$X$19,0),_xlfn.XLOOKUP(K427,Lists!$P$2:$P$19,Lists!$X$2:$X$19,0)))</f>
        <v>0</v>
      </c>
      <c r="V427" s="68">
        <f ca="1">IF($B427="","",SUM(_xlfn.XLOOKUP(C427,Lists!$P$2:$P$19,Lists!$Y$2:$Y$19,0),_xlfn.XLOOKUP(E427,Lists!$P$2:$P$19,Lists!$Y$2:$Y$19,0),_xlfn.XLOOKUP(G427,Lists!$P$2:$P$19,Lists!$Y$2:$Y$19,0),_xlfn.XLOOKUP(I427,Lists!$P$2:$P$19,Lists!$Y$2:$Y$19,0),_xlfn.XLOOKUP(K427,Lists!$P$2:$P$19,Lists!$Y$2:$Y$19,0)))</f>
        <v>0</v>
      </c>
      <c r="W427" s="68">
        <f ca="1">IF($B427="","",SUM(_xlfn.XLOOKUP(C427,Lists!$P$2:$P$19,Lists!$Z$2:$Z$19,0),_xlfn.XLOOKUP(E427,Lists!$P$2:$P$19,Lists!$Z$2:$Z$19,0),_xlfn.XLOOKUP(G427,Lists!$P$2:$P$19,Lists!$Z$2:$Z$19,0),_xlfn.XLOOKUP(I427,Lists!$P$2:$P$19,Lists!$Z$2:$Z$19,0),_xlfn.XLOOKUP(K427,Lists!$P$2:$P$19,Lists!$Z$2:$Z$19,0)))</f>
        <v>0</v>
      </c>
      <c r="X427" s="69">
        <f ca="1">IF($B427="","",SUM(_xlfn.XLOOKUP(C427,Lists!$P$2:$P$19,Lists!$AA$2:$AA$19,0),_xlfn.XLOOKUP(E427,Lists!$P$2:$P$19,Lists!$AA$2:$AA$19,0),_xlfn.XLOOKUP(G427,Lists!$P$2:$P$19,Lists!$AA$2:$AA$19,0),_xlfn.XLOOKUP(I427,Lists!$P$2:$P$19,Lists!$AA$2:$AA$19,0),_xlfn.XLOOKUP(K427,Lists!$P$2:$P$19,Lists!$AA$2:$AA$19,0)))</f>
        <v>0</v>
      </c>
      <c r="Y427" s="49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  <c r="CL427" s="18"/>
      <c r="CM427" s="18"/>
      <c r="CN427" s="18"/>
      <c r="CO427" s="18"/>
      <c r="CP427" s="18"/>
      <c r="CQ427" s="18"/>
      <c r="CR427" s="18"/>
      <c r="CS427" s="18"/>
      <c r="CT427" s="18"/>
      <c r="CU427" s="18"/>
      <c r="CV427" s="18"/>
      <c r="CW427" s="18"/>
      <c r="CX427" s="18"/>
      <c r="CY427" s="18"/>
      <c r="CZ427" s="18"/>
      <c r="DA427" s="18"/>
      <c r="DB427" s="18"/>
      <c r="DC427" s="18"/>
      <c r="DD427" s="18"/>
      <c r="DE427" s="18"/>
      <c r="DF427" s="18"/>
    </row>
    <row r="428" spans="1:110">
      <c r="A428" s="168">
        <v>7</v>
      </c>
      <c r="B428" s="47" t="str">
        <f ca="1">Lineups!$H$123</f>
        <v>Koopa</v>
      </c>
      <c r="C428" s="49" t="s">
        <v>193</v>
      </c>
      <c r="D428" s="49"/>
      <c r="E428" s="49"/>
      <c r="F428" s="49"/>
      <c r="G428" s="49"/>
      <c r="H428" s="50"/>
      <c r="I428" s="50"/>
      <c r="J428" s="50"/>
      <c r="K428" s="50"/>
      <c r="L428" s="50"/>
      <c r="M428" s="67">
        <f ca="1">IF($B428="","",SUM(_xlfn.XLOOKUP(C428,Lists!$P$2:$P$19,Lists!$R$2:$R$19,0),_xlfn.XLOOKUP(E428,Lists!$P$2:$P$19,Lists!$R$2:$R$19,0),_xlfn.XLOOKUP(G428,Lists!$P$2:$P$19,Lists!$R$2:$R$19,0),_xlfn.XLOOKUP(I428,Lists!$P$2:$P$19,Lists!$R$2:$R$19,0),_xlfn.XLOOKUP(K428,Lists!$P$2:$P$19,Lists!$R$2:$R$19,0)))</f>
        <v>1</v>
      </c>
      <c r="N428" s="68">
        <f ca="1">IF($B428="","",SUM(_xlfn.XLOOKUP(D428,Lists!$AC$2:$AC$9,Lists!$AE$2:$AE$9,0),_xlfn.XLOOKUP(F428,Lists!$AC$2:$AC$9,Lists!$AE$2:$AE$9,0),_xlfn.XLOOKUP(H428,Lists!$AC$2:$AC$9,Lists!$AE$2:$AE$9,0),_xlfn.XLOOKUP(J428,Lists!$AC$2:$AC$9,Lists!$AE$2:$AE$9,0),_xlfn.XLOOKUP(L428,Lists!$AC$2:$AC$9,Lists!$AE$2:$AE$9,0)))</f>
        <v>0</v>
      </c>
      <c r="O428" s="68">
        <f ca="1">IF($B428="","",SUM(_xlfn.XLOOKUP(C428,Lists!$P$2:$P$19,Lists!$S$2:$S$19,0),_xlfn.XLOOKUP(E428,Lists!$P$2:$P$19,Lists!$S$2:$S$19,0),_xlfn.XLOOKUP(G428,Lists!$P$2:$P$19,Lists!$S$2:$S$19,0),_xlfn.XLOOKUP(I428,Lists!$P$2:$P$19,Lists!$S$2:$S$19,0),_xlfn.XLOOKUP(K428,Lists!$P$2:$P$19,Lists!$S$2:$S$19,0)))</f>
        <v>0</v>
      </c>
      <c r="P428" s="68">
        <f ca="1">IF($B428="","",SUM(_xlfn.XLOOKUP(C428,Lists!$P$2:$P$19,Lists!$T$2:$T$19,0),_xlfn.XLOOKUP(E428,Lists!$P$2:$P$19,Lists!$T$2:$T$19,0),_xlfn.XLOOKUP(G428,Lists!$P$2:$P$19,Lists!$T$2:$T$19,0),_xlfn.XLOOKUP(I428,Lists!$P$2:$P$19,Lists!$T$2:$T$19,0),_xlfn.XLOOKUP(K428,Lists!$P$2:$P$19,Lists!$T$2:$T$19,0)))</f>
        <v>0</v>
      </c>
      <c r="Q428" s="68">
        <f ca="1">IF($B428="","",SUM(_xlfn.XLOOKUP(C428,Lists!$P$2:$P$19,Lists!$U$2:$U$19,0),_xlfn.XLOOKUP(E428,Lists!$P$2:$P$19,Lists!$U$2:$U$19,0),_xlfn.XLOOKUP(G428,Lists!$P$2:$P$19,Lists!$U$2:$U$19,0),_xlfn.XLOOKUP(I428,Lists!$P$2:$P$19,Lists!$U$2:$U$19,0),_xlfn.XLOOKUP(K428,Lists!$P$2:$P$19,Lists!$U$2:$U$19,0)))</f>
        <v>0</v>
      </c>
      <c r="R428" s="68">
        <f ca="1">IF($B428="","",SUM(_xlfn.XLOOKUP(C428,Lists!$P$2:$P$19,Lists!$V$2:$V$19,0),_xlfn.XLOOKUP(E428,Lists!$P$2:$P$19,Lists!$V$2:$V$19,0),_xlfn.XLOOKUP(G428,Lists!$P$2:$P$19,Lists!$V$2:$V$19,0),_xlfn.XLOOKUP(I428,Lists!$P$2:$P$19,Lists!$V$2:$V$19,0),_xlfn.XLOOKUP(K428,Lists!$P$2:$P$19,Lists!$V$2:$V$19,0)))</f>
        <v>0</v>
      </c>
      <c r="S428" s="68">
        <f ca="1">IF($B428="","",SUM(_xlfn.XLOOKUP(D428,Lists!$AC$2:$AC$9,Lists!$AD$2:$AD$9,0),_xlfn.XLOOKUP(F428,Lists!$AC$2:$AC$9,Lists!$AD$2:$AD$9,0),_xlfn.XLOOKUP(H428,Lists!$AC$2:$AC$9,Lists!$AD$2:$AD$9,0),_xlfn.XLOOKUP(J428,Lists!$AC$2:$AC$9,Lists!$AD$2:$AD$9,0),_xlfn.XLOOKUP(L428,Lists!$AC$2:$AC$9,Lists!$AD$2:$AD$9,0)))</f>
        <v>0</v>
      </c>
      <c r="T428" s="68">
        <f ca="1">IF($B428="","",SUM(_xlfn.XLOOKUP(C428,Lists!$P$2:$P$19,Lists!$W$2:$W$19,0),_xlfn.XLOOKUP(E428,Lists!$P$2:$P$19,Lists!$W$2:$W$19,0),_xlfn.XLOOKUP(G428,Lists!$P$2:$P$19,Lists!$W$2:$W$19,0),_xlfn.XLOOKUP(I428,Lists!$P$2:$P$19,Lists!$W$2:$W$19,0),_xlfn.XLOOKUP(K428,Lists!$P$2:$P$19,Lists!$W$2:$W$19,0)))</f>
        <v>0</v>
      </c>
      <c r="U428" s="68">
        <f ca="1">IF($B428="","",SUM(_xlfn.XLOOKUP(C428,Lists!$P$2:$P$19,Lists!$X$2:$X$19,0),_xlfn.XLOOKUP(E428,Lists!$P$2:$P$19,Lists!$X$2:$X$19,0),_xlfn.XLOOKUP(G428,Lists!$P$2:$P$19,Lists!$X$2:$X$19,0),_xlfn.XLOOKUP(I428,Lists!$P$2:$P$19,Lists!$X$2:$X$19,0),_xlfn.XLOOKUP(K428,Lists!$P$2:$P$19,Lists!$X$2:$X$19,0)))</f>
        <v>0</v>
      </c>
      <c r="V428" s="68">
        <f ca="1">IF($B428="","",SUM(_xlfn.XLOOKUP(C428,Lists!$P$2:$P$19,Lists!$Y$2:$Y$19,0),_xlfn.XLOOKUP(E428,Lists!$P$2:$P$19,Lists!$Y$2:$Y$19,0),_xlfn.XLOOKUP(G428,Lists!$P$2:$P$19,Lists!$Y$2:$Y$19,0),_xlfn.XLOOKUP(I428,Lists!$P$2:$P$19,Lists!$Y$2:$Y$19,0),_xlfn.XLOOKUP(K428,Lists!$P$2:$P$19,Lists!$Y$2:$Y$19,0)))</f>
        <v>0</v>
      </c>
      <c r="W428" s="68">
        <f ca="1">IF($B428="","",SUM(_xlfn.XLOOKUP(C428,Lists!$P$2:$P$19,Lists!$Z$2:$Z$19,0),_xlfn.XLOOKUP(E428,Lists!$P$2:$P$19,Lists!$Z$2:$Z$19,0),_xlfn.XLOOKUP(G428,Lists!$P$2:$P$19,Lists!$Z$2:$Z$19,0),_xlfn.XLOOKUP(I428,Lists!$P$2:$P$19,Lists!$Z$2:$Z$19,0),_xlfn.XLOOKUP(K428,Lists!$P$2:$P$19,Lists!$Z$2:$Z$19,0)))</f>
        <v>0</v>
      </c>
      <c r="X428" s="69">
        <f ca="1">IF($B428="","",SUM(_xlfn.XLOOKUP(C428,Lists!$P$2:$P$19,Lists!$AA$2:$AA$19,0),_xlfn.XLOOKUP(E428,Lists!$P$2:$P$19,Lists!$AA$2:$AA$19,0),_xlfn.XLOOKUP(G428,Lists!$P$2:$P$19,Lists!$AA$2:$AA$19,0),_xlfn.XLOOKUP(I428,Lists!$P$2:$P$19,Lists!$AA$2:$AA$19,0),_xlfn.XLOOKUP(K428,Lists!$P$2:$P$19,Lists!$AA$2:$AA$19,0)))</f>
        <v>0</v>
      </c>
      <c r="Y428" s="49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  <c r="CL428" s="18"/>
      <c r="CM428" s="18"/>
      <c r="CN428" s="18"/>
      <c r="CO428" s="18"/>
      <c r="CP428" s="18"/>
      <c r="CQ428" s="18"/>
      <c r="CR428" s="18"/>
      <c r="CS428" s="18"/>
      <c r="CT428" s="18"/>
      <c r="CU428" s="18"/>
      <c r="CV428" s="18"/>
      <c r="CW428" s="18"/>
      <c r="CX428" s="18"/>
      <c r="CY428" s="18"/>
      <c r="CZ428" s="18"/>
      <c r="DA428" s="18"/>
      <c r="DB428" s="18"/>
      <c r="DC428" s="18"/>
      <c r="DD428" s="18"/>
      <c r="DE428" s="18"/>
      <c r="DF428" s="18"/>
    </row>
    <row r="429" spans="1:110">
      <c r="A429" s="168">
        <v>8</v>
      </c>
      <c r="B429" s="47" t="str">
        <f ca="1">Lineups!$H$124</f>
        <v>Green Shy Guy</v>
      </c>
      <c r="C429" s="49" t="s">
        <v>193</v>
      </c>
      <c r="D429" s="49"/>
      <c r="E429" s="49"/>
      <c r="F429" s="49"/>
      <c r="G429" s="49"/>
      <c r="H429" s="50"/>
      <c r="I429" s="50"/>
      <c r="J429" s="50"/>
      <c r="K429" s="50"/>
      <c r="L429" s="50"/>
      <c r="M429" s="67">
        <f ca="1">IF($B429="","",SUM(_xlfn.XLOOKUP(C429,Lists!$P$2:$P$19,Lists!$R$2:$R$19,0),_xlfn.XLOOKUP(E429,Lists!$P$2:$P$19,Lists!$R$2:$R$19,0),_xlfn.XLOOKUP(G429,Lists!$P$2:$P$19,Lists!$R$2:$R$19,0),_xlfn.XLOOKUP(I429,Lists!$P$2:$P$19,Lists!$R$2:$R$19,0),_xlfn.XLOOKUP(K429,Lists!$P$2:$P$19,Lists!$R$2:$R$19,0)))</f>
        <v>1</v>
      </c>
      <c r="N429" s="68">
        <f ca="1">IF($B429="","",SUM(_xlfn.XLOOKUP(D429,Lists!$AC$2:$AC$9,Lists!$AE$2:$AE$9,0),_xlfn.XLOOKUP(F429,Lists!$AC$2:$AC$9,Lists!$AE$2:$AE$9,0),_xlfn.XLOOKUP(H429,Lists!$AC$2:$AC$9,Lists!$AE$2:$AE$9,0),_xlfn.XLOOKUP(J429,Lists!$AC$2:$AC$9,Lists!$AE$2:$AE$9,0),_xlfn.XLOOKUP(L429,Lists!$AC$2:$AC$9,Lists!$AE$2:$AE$9,0)))</f>
        <v>0</v>
      </c>
      <c r="O429" s="68">
        <f ca="1">IF($B429="","",SUM(_xlfn.XLOOKUP(C429,Lists!$P$2:$P$19,Lists!$S$2:$S$19,0),_xlfn.XLOOKUP(E429,Lists!$P$2:$P$19,Lists!$S$2:$S$19,0),_xlfn.XLOOKUP(G429,Lists!$P$2:$P$19,Lists!$S$2:$S$19,0),_xlfn.XLOOKUP(I429,Lists!$P$2:$P$19,Lists!$S$2:$S$19,0),_xlfn.XLOOKUP(K429,Lists!$P$2:$P$19,Lists!$S$2:$S$19,0)))</f>
        <v>0</v>
      </c>
      <c r="P429" s="68">
        <f ca="1">IF($B429="","",SUM(_xlfn.XLOOKUP(C429,Lists!$P$2:$P$19,Lists!$T$2:$T$19,0),_xlfn.XLOOKUP(E429,Lists!$P$2:$P$19,Lists!$T$2:$T$19,0),_xlfn.XLOOKUP(G429,Lists!$P$2:$P$19,Lists!$T$2:$T$19,0),_xlfn.XLOOKUP(I429,Lists!$P$2:$P$19,Lists!$T$2:$T$19,0),_xlfn.XLOOKUP(K429,Lists!$P$2:$P$19,Lists!$T$2:$T$19,0)))</f>
        <v>0</v>
      </c>
      <c r="Q429" s="68">
        <f ca="1">IF($B429="","",SUM(_xlfn.XLOOKUP(C429,Lists!$P$2:$P$19,Lists!$U$2:$U$19,0),_xlfn.XLOOKUP(E429,Lists!$P$2:$P$19,Lists!$U$2:$U$19,0),_xlfn.XLOOKUP(G429,Lists!$P$2:$P$19,Lists!$U$2:$U$19,0),_xlfn.XLOOKUP(I429,Lists!$P$2:$P$19,Lists!$U$2:$U$19,0),_xlfn.XLOOKUP(K429,Lists!$P$2:$P$19,Lists!$U$2:$U$19,0)))</f>
        <v>0</v>
      </c>
      <c r="R429" s="68">
        <f ca="1">IF($B429="","",SUM(_xlfn.XLOOKUP(C429,Lists!$P$2:$P$19,Lists!$V$2:$V$19,0),_xlfn.XLOOKUP(E429,Lists!$P$2:$P$19,Lists!$V$2:$V$19,0),_xlfn.XLOOKUP(G429,Lists!$P$2:$P$19,Lists!$V$2:$V$19,0),_xlfn.XLOOKUP(I429,Lists!$P$2:$P$19,Lists!$V$2:$V$19,0),_xlfn.XLOOKUP(K429,Lists!$P$2:$P$19,Lists!$V$2:$V$19,0)))</f>
        <v>0</v>
      </c>
      <c r="S429" s="68">
        <f ca="1">IF($B429="","",SUM(_xlfn.XLOOKUP(D429,Lists!$AC$2:$AC$9,Lists!$AD$2:$AD$9,0),_xlfn.XLOOKUP(F429,Lists!$AC$2:$AC$9,Lists!$AD$2:$AD$9,0),_xlfn.XLOOKUP(H429,Lists!$AC$2:$AC$9,Lists!$AD$2:$AD$9,0),_xlfn.XLOOKUP(J429,Lists!$AC$2:$AC$9,Lists!$AD$2:$AD$9,0),_xlfn.XLOOKUP(L429,Lists!$AC$2:$AC$9,Lists!$AD$2:$AD$9,0)))</f>
        <v>0</v>
      </c>
      <c r="T429" s="68">
        <f ca="1">IF($B429="","",SUM(_xlfn.XLOOKUP(C429,Lists!$P$2:$P$19,Lists!$W$2:$W$19,0),_xlfn.XLOOKUP(E429,Lists!$P$2:$P$19,Lists!$W$2:$W$19,0),_xlfn.XLOOKUP(G429,Lists!$P$2:$P$19,Lists!$W$2:$W$19,0),_xlfn.XLOOKUP(I429,Lists!$P$2:$P$19,Lists!$W$2:$W$19,0),_xlfn.XLOOKUP(K429,Lists!$P$2:$P$19,Lists!$W$2:$W$19,0)))</f>
        <v>0</v>
      </c>
      <c r="U429" s="68">
        <f ca="1">IF($B429="","",SUM(_xlfn.XLOOKUP(C429,Lists!$P$2:$P$19,Lists!$X$2:$X$19,0),_xlfn.XLOOKUP(E429,Lists!$P$2:$P$19,Lists!$X$2:$X$19,0),_xlfn.XLOOKUP(G429,Lists!$P$2:$P$19,Lists!$X$2:$X$19,0),_xlfn.XLOOKUP(I429,Lists!$P$2:$P$19,Lists!$X$2:$X$19,0),_xlfn.XLOOKUP(K429,Lists!$P$2:$P$19,Lists!$X$2:$X$19,0)))</f>
        <v>0</v>
      </c>
      <c r="V429" s="68">
        <f ca="1">IF($B429="","",SUM(_xlfn.XLOOKUP(C429,Lists!$P$2:$P$19,Lists!$Y$2:$Y$19,0),_xlfn.XLOOKUP(E429,Lists!$P$2:$P$19,Lists!$Y$2:$Y$19,0),_xlfn.XLOOKUP(G429,Lists!$P$2:$P$19,Lists!$Y$2:$Y$19,0),_xlfn.XLOOKUP(I429,Lists!$P$2:$P$19,Lists!$Y$2:$Y$19,0),_xlfn.XLOOKUP(K429,Lists!$P$2:$P$19,Lists!$Y$2:$Y$19,0)))</f>
        <v>0</v>
      </c>
      <c r="W429" s="68">
        <f ca="1">IF($B429="","",SUM(_xlfn.XLOOKUP(C429,Lists!$P$2:$P$19,Lists!$Z$2:$Z$19,0),_xlfn.XLOOKUP(E429,Lists!$P$2:$P$19,Lists!$Z$2:$Z$19,0),_xlfn.XLOOKUP(G429,Lists!$P$2:$P$19,Lists!$Z$2:$Z$19,0),_xlfn.XLOOKUP(I429,Lists!$P$2:$P$19,Lists!$Z$2:$Z$19,0),_xlfn.XLOOKUP(K429,Lists!$P$2:$P$19,Lists!$Z$2:$Z$19,0)))</f>
        <v>0</v>
      </c>
      <c r="X429" s="69">
        <f ca="1">IF($B429="","",SUM(_xlfn.XLOOKUP(C429,Lists!$P$2:$P$19,Lists!$AA$2:$AA$19,0),_xlfn.XLOOKUP(E429,Lists!$P$2:$P$19,Lists!$AA$2:$AA$19,0),_xlfn.XLOOKUP(G429,Lists!$P$2:$P$19,Lists!$AA$2:$AA$19,0),_xlfn.XLOOKUP(I429,Lists!$P$2:$P$19,Lists!$AA$2:$AA$19,0),_xlfn.XLOOKUP(K429,Lists!$P$2:$P$19,Lists!$AA$2:$AA$19,0)))</f>
        <v>0</v>
      </c>
      <c r="Y429" s="49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18"/>
      <c r="CN429" s="18"/>
      <c r="CO429" s="18"/>
      <c r="CP429" s="18"/>
      <c r="CQ429" s="18"/>
      <c r="CR429" s="18"/>
      <c r="CS429" s="18"/>
      <c r="CT429" s="18"/>
      <c r="CU429" s="18"/>
      <c r="CV429" s="18"/>
      <c r="CW429" s="18"/>
      <c r="CX429" s="18"/>
      <c r="CY429" s="18"/>
      <c r="CZ429" s="18"/>
      <c r="DA429" s="18"/>
      <c r="DB429" s="18"/>
      <c r="DC429" s="18"/>
      <c r="DD429" s="18"/>
      <c r="DE429" s="18"/>
      <c r="DF429" s="18"/>
    </row>
    <row r="430" spans="1:110">
      <c r="A430" s="168">
        <v>9</v>
      </c>
      <c r="B430" s="47" t="str">
        <f ca="1">Lineups!$H$125</f>
        <v>Baby Peach</v>
      </c>
      <c r="C430" s="49" t="s">
        <v>186</v>
      </c>
      <c r="D430" s="49"/>
      <c r="E430" s="49"/>
      <c r="F430" s="49"/>
      <c r="G430" s="49"/>
      <c r="H430" s="50"/>
      <c r="I430" s="50"/>
      <c r="J430" s="50"/>
      <c r="K430" s="50"/>
      <c r="L430" s="50"/>
      <c r="M430" s="67">
        <f ca="1">IF($B430="","",SUM(_xlfn.XLOOKUP(C430,Lists!$P$2:$P$19,Lists!$R$2:$R$19,0),_xlfn.XLOOKUP(E430,Lists!$P$2:$P$19,Lists!$R$2:$R$19,0),_xlfn.XLOOKUP(G430,Lists!$P$2:$P$19,Lists!$R$2:$R$19,0),_xlfn.XLOOKUP(I430,Lists!$P$2:$P$19,Lists!$R$2:$R$19,0),_xlfn.XLOOKUP(K430,Lists!$P$2:$P$19,Lists!$R$2:$R$19,0)))</f>
        <v>1</v>
      </c>
      <c r="N430" s="68">
        <f ca="1">IF($B430="","",SUM(_xlfn.XLOOKUP(D430,Lists!$AC$2:$AC$9,Lists!$AE$2:$AE$9,0),_xlfn.XLOOKUP(F430,Lists!$AC$2:$AC$9,Lists!$AE$2:$AE$9,0),_xlfn.XLOOKUP(H430,Lists!$AC$2:$AC$9,Lists!$AE$2:$AE$9,0),_xlfn.XLOOKUP(J430,Lists!$AC$2:$AC$9,Lists!$AE$2:$AE$9,0),_xlfn.XLOOKUP(L430,Lists!$AC$2:$AC$9,Lists!$AE$2:$AE$9,0)))</f>
        <v>0</v>
      </c>
      <c r="O430" s="68">
        <f ca="1">IF($B430="","",SUM(_xlfn.XLOOKUP(C430,Lists!$P$2:$P$19,Lists!$S$2:$S$19,0),_xlfn.XLOOKUP(E430,Lists!$P$2:$P$19,Lists!$S$2:$S$19,0),_xlfn.XLOOKUP(G430,Lists!$P$2:$P$19,Lists!$S$2:$S$19,0),_xlfn.XLOOKUP(I430,Lists!$P$2:$P$19,Lists!$S$2:$S$19,0),_xlfn.XLOOKUP(K430,Lists!$P$2:$P$19,Lists!$S$2:$S$19,0)))</f>
        <v>0</v>
      </c>
      <c r="P430" s="68">
        <f ca="1">IF($B430="","",SUM(_xlfn.XLOOKUP(C430,Lists!$P$2:$P$19,Lists!$T$2:$T$19,0),_xlfn.XLOOKUP(E430,Lists!$P$2:$P$19,Lists!$T$2:$T$19,0),_xlfn.XLOOKUP(G430,Lists!$P$2:$P$19,Lists!$T$2:$T$19,0),_xlfn.XLOOKUP(I430,Lists!$P$2:$P$19,Lists!$T$2:$T$19,0),_xlfn.XLOOKUP(K430,Lists!$P$2:$P$19,Lists!$T$2:$T$19,0)))</f>
        <v>0</v>
      </c>
      <c r="Q430" s="68">
        <f ca="1">IF($B430="","",SUM(_xlfn.XLOOKUP(C430,Lists!$P$2:$P$19,Lists!$U$2:$U$19,0),_xlfn.XLOOKUP(E430,Lists!$P$2:$P$19,Lists!$U$2:$U$19,0),_xlfn.XLOOKUP(G430,Lists!$P$2:$P$19,Lists!$U$2:$U$19,0),_xlfn.XLOOKUP(I430,Lists!$P$2:$P$19,Lists!$U$2:$U$19,0),_xlfn.XLOOKUP(K430,Lists!$P$2:$P$19,Lists!$U$2:$U$19,0)))</f>
        <v>0</v>
      </c>
      <c r="R430" s="68">
        <f ca="1">IF($B430="","",SUM(_xlfn.XLOOKUP(C430,Lists!$P$2:$P$19,Lists!$V$2:$V$19,0),_xlfn.XLOOKUP(E430,Lists!$P$2:$P$19,Lists!$V$2:$V$19,0),_xlfn.XLOOKUP(G430,Lists!$P$2:$P$19,Lists!$V$2:$V$19,0),_xlfn.XLOOKUP(I430,Lists!$P$2:$P$19,Lists!$V$2:$V$19,0),_xlfn.XLOOKUP(K430,Lists!$P$2:$P$19,Lists!$V$2:$V$19,0)))</f>
        <v>0</v>
      </c>
      <c r="S430" s="68">
        <f ca="1">IF($B430="","",SUM(_xlfn.XLOOKUP(D430,Lists!$AC$2:$AC$9,Lists!$AD$2:$AD$9,0),_xlfn.XLOOKUP(F430,Lists!$AC$2:$AC$9,Lists!$AD$2:$AD$9,0),_xlfn.XLOOKUP(H430,Lists!$AC$2:$AC$9,Lists!$AD$2:$AD$9,0),_xlfn.XLOOKUP(J430,Lists!$AC$2:$AC$9,Lists!$AD$2:$AD$9,0),_xlfn.XLOOKUP(L430,Lists!$AC$2:$AC$9,Lists!$AD$2:$AD$9,0)))</f>
        <v>0</v>
      </c>
      <c r="T430" s="68">
        <f ca="1">IF($B430="","",SUM(_xlfn.XLOOKUP(C430,Lists!$P$2:$P$19,Lists!$W$2:$W$19,0),_xlfn.XLOOKUP(E430,Lists!$P$2:$P$19,Lists!$W$2:$W$19,0),_xlfn.XLOOKUP(G430,Lists!$P$2:$P$19,Lists!$W$2:$W$19,0),_xlfn.XLOOKUP(I430,Lists!$P$2:$P$19,Lists!$W$2:$W$19,0),_xlfn.XLOOKUP(K430,Lists!$P$2:$P$19,Lists!$W$2:$W$19,0)))</f>
        <v>0</v>
      </c>
      <c r="U430" s="68">
        <f ca="1">IF($B430="","",SUM(_xlfn.XLOOKUP(C430,Lists!$P$2:$P$19,Lists!$X$2:$X$19,0),_xlfn.XLOOKUP(E430,Lists!$P$2:$P$19,Lists!$X$2:$X$19,0),_xlfn.XLOOKUP(G430,Lists!$P$2:$P$19,Lists!$X$2:$X$19,0),_xlfn.XLOOKUP(I430,Lists!$P$2:$P$19,Lists!$X$2:$X$19,0),_xlfn.XLOOKUP(K430,Lists!$P$2:$P$19,Lists!$X$2:$X$19,0)))</f>
        <v>0</v>
      </c>
      <c r="V430" s="68">
        <f ca="1">IF($B430="","",SUM(_xlfn.XLOOKUP(C430,Lists!$P$2:$P$19,Lists!$Y$2:$Y$19,0),_xlfn.XLOOKUP(E430,Lists!$P$2:$P$19,Lists!$Y$2:$Y$19,0),_xlfn.XLOOKUP(G430,Lists!$P$2:$P$19,Lists!$Y$2:$Y$19,0),_xlfn.XLOOKUP(I430,Lists!$P$2:$P$19,Lists!$Y$2:$Y$19,0),_xlfn.XLOOKUP(K430,Lists!$P$2:$P$19,Lists!$Y$2:$Y$19,0)))</f>
        <v>0</v>
      </c>
      <c r="W430" s="68">
        <f ca="1">IF($B430="","",SUM(_xlfn.XLOOKUP(C430,Lists!$P$2:$P$19,Lists!$Z$2:$Z$19,0),_xlfn.XLOOKUP(E430,Lists!$P$2:$P$19,Lists!$Z$2:$Z$19,0),_xlfn.XLOOKUP(G430,Lists!$P$2:$P$19,Lists!$Z$2:$Z$19,0),_xlfn.XLOOKUP(I430,Lists!$P$2:$P$19,Lists!$Z$2:$Z$19,0),_xlfn.XLOOKUP(K430,Lists!$P$2:$P$19,Lists!$Z$2:$Z$19,0)))</f>
        <v>0</v>
      </c>
      <c r="X430" s="69">
        <f ca="1">IF($B430="","",SUM(_xlfn.XLOOKUP(C430,Lists!$P$2:$P$19,Lists!$AA$2:$AA$19,0),_xlfn.XLOOKUP(E430,Lists!$P$2:$P$19,Lists!$AA$2:$AA$19,0),_xlfn.XLOOKUP(G430,Lists!$P$2:$P$19,Lists!$AA$2:$AA$19,0),_xlfn.XLOOKUP(I430,Lists!$P$2:$P$19,Lists!$AA$2:$AA$19,0),_xlfn.XLOOKUP(K430,Lists!$P$2:$P$19,Lists!$AA$2:$AA$19,0)))</f>
        <v>0</v>
      </c>
      <c r="Y430" s="49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  <c r="CL430" s="18"/>
      <c r="CM430" s="18"/>
      <c r="CN430" s="18"/>
      <c r="CO430" s="18"/>
      <c r="CP430" s="18"/>
      <c r="CQ430" s="18"/>
      <c r="CR430" s="18"/>
      <c r="CS430" s="18"/>
      <c r="CT430" s="18"/>
      <c r="CU430" s="18"/>
      <c r="CV430" s="18"/>
      <c r="CW430" s="18"/>
      <c r="CX430" s="18"/>
      <c r="CY430" s="18"/>
      <c r="CZ430" s="18"/>
      <c r="DA430" s="18"/>
      <c r="DB430" s="18"/>
      <c r="DC430" s="18"/>
      <c r="DD430" s="18"/>
      <c r="DE430" s="18"/>
      <c r="DF430" s="18"/>
    </row>
    <row r="431" spans="1:110">
      <c r="A431" s="173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  <c r="CL431" s="18"/>
      <c r="CM431" s="18"/>
      <c r="CN431" s="18"/>
      <c r="CO431" s="18"/>
      <c r="CP431" s="18"/>
      <c r="CQ431" s="18"/>
      <c r="CR431" s="18"/>
      <c r="CS431" s="18"/>
      <c r="CT431" s="18"/>
      <c r="CU431" s="18"/>
      <c r="CV431" s="18"/>
      <c r="CW431" s="18"/>
      <c r="CX431" s="18"/>
      <c r="CY431" s="18"/>
      <c r="CZ431" s="18"/>
      <c r="DA431" s="18"/>
      <c r="DB431" s="18"/>
      <c r="DC431" s="18"/>
      <c r="DD431" s="18"/>
      <c r="DE431" s="18"/>
      <c r="DF431" s="18"/>
    </row>
    <row r="432" spans="1:110">
      <c r="A432" s="222" t="str">
        <f ca="1">IF($R$394="","Team B Pitching",$R$394&amp;" Pitching")</f>
        <v>May Pitching</v>
      </c>
      <c r="B432" s="221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06"/>
      <c r="O432" s="186"/>
      <c r="P432" s="24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  <c r="CO432" s="18"/>
      <c r="CP432" s="18"/>
      <c r="CQ432" s="18"/>
      <c r="CR432" s="18"/>
      <c r="CS432" s="18"/>
      <c r="CT432" s="18"/>
      <c r="CU432" s="18"/>
      <c r="CV432" s="18"/>
      <c r="CW432" s="18"/>
      <c r="CX432" s="18"/>
      <c r="CY432" s="18"/>
      <c r="CZ432" s="18"/>
      <c r="DA432" s="18"/>
      <c r="DB432" s="18"/>
      <c r="DC432" s="18"/>
      <c r="DD432" s="18"/>
      <c r="DE432" s="18"/>
      <c r="DF432" s="18"/>
    </row>
    <row r="433" spans="1:110">
      <c r="A433" s="167" t="s">
        <v>103</v>
      </c>
      <c r="B433" s="43" t="s">
        <v>194</v>
      </c>
      <c r="C433" s="43" t="s">
        <v>195</v>
      </c>
      <c r="D433" s="43" t="s">
        <v>162</v>
      </c>
      <c r="E433" s="43" t="s">
        <v>161</v>
      </c>
      <c r="F433" s="43" t="s">
        <v>196</v>
      </c>
      <c r="G433" s="43" t="s">
        <v>180</v>
      </c>
      <c r="H433" s="43" t="s">
        <v>181</v>
      </c>
      <c r="I433" s="44" t="s">
        <v>197</v>
      </c>
      <c r="J433" s="44" t="s">
        <v>198</v>
      </c>
      <c r="K433" s="44" t="s">
        <v>199</v>
      </c>
      <c r="L433" s="44" t="s">
        <v>200</v>
      </c>
      <c r="M433" s="44" t="s">
        <v>201</v>
      </c>
      <c r="N433" s="45" t="s">
        <v>202</v>
      </c>
      <c r="O433" s="45" t="s">
        <v>203</v>
      </c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  <c r="CM433" s="18"/>
      <c r="CN433" s="18"/>
      <c r="CO433" s="18"/>
      <c r="CP433" s="18"/>
      <c r="CQ433" s="18"/>
      <c r="CR433" s="18"/>
      <c r="CS433" s="18"/>
      <c r="CT433" s="18"/>
      <c r="CU433" s="18"/>
      <c r="CV433" s="18"/>
      <c r="CW433" s="18"/>
      <c r="CX433" s="18"/>
      <c r="CY433" s="18"/>
      <c r="CZ433" s="18"/>
      <c r="DA433" s="18"/>
      <c r="DB433" s="18"/>
      <c r="DC433" s="18"/>
      <c r="DD433" s="18"/>
      <c r="DE433" s="18"/>
      <c r="DF433" s="18"/>
    </row>
    <row r="434" spans="1:110">
      <c r="A434" s="168">
        <v>1</v>
      </c>
      <c r="B434" s="71" t="s">
        <v>58</v>
      </c>
      <c r="C434" s="70" cm="1">
        <f t="array" aca="1" ref="C434" ca="1">IF(OR(B434="",O434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2</v>
      </c>
      <c r="D434" s="67" cm="1">
        <f t="array" aca="1" ref="D434" ca="1">IF(OR(B434="",O434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5</v>
      </c>
      <c r="E434" s="67" cm="1">
        <f t="array" aca="1" ref="E434" ca="1">IF(OR(B434="",O434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434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0</v>
      </c>
      <c r="F434" s="67" cm="1">
        <f t="array" aca="1" ref="F434" ca="1">IF(OR(B434="",O434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434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0</v>
      </c>
      <c r="G434" s="67" cm="1">
        <f t="array" aca="1" ref="G434" ca="1">IF(OR(B434="",O434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434" s="67" cm="1">
        <f t="array" aca="1" ref="H434" ca="1">IF(OR(B434="",O434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1</v>
      </c>
      <c r="I434" s="68" cm="1">
        <f t="array" aca="1" ref="I434" ca="1">IF(OR(B434="",O434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434" s="68" cm="1">
        <f t="array" aca="1" ref="J434" ca="1">IF(OR(B434="",O434=""),"",--(SUM(_xlfn.XLOOKUP(_xlfn._xlws.FILTER(_xlfn.TOCOL(_xlfn.CHOOSECOLS(C422:L430,2,4,6,8,10),0,TRUE),_xlfn.TOCOL(_xlfn.CHOOSECOLS(C422:L430,1,3,5,7,9),0,TRUE)&lt;&gt;""),Lists!$AC$2:$AC$9,Lists!$AF$2:$AF$9,0))&gt;SUM(_xlfn.XLOOKUP(_xlfn._xlws.FILTER(_xlfn.TOCOL(_xlfn.CHOOSECOLS(C401:L409,2,4,6,8,10),0,TRUE),_xlfn.TOCOL(_xlfn.CHOOSECOLS(C401:L409,1,3,5,7,9),0,TRUE)&lt;&gt;""),Lists!$AC$2:$AC$9,Lists!$AF$2:$AF$9,0)))*--(ROW()-ROW(C433)=_xlfn.XLOOKUP(MAX(IF(O434:O439&gt;0,INT(C434:C439)*3+MOD(ROUND(C434:C439*10,0),10),-1)),IF(O434:O439&gt;0,INT(C434:C439)*3+MOD(ROUND(C434:C439*10,0),10),-1),_xlfn.SEQUENCE(ROWS(O434:O439)),,0)))</f>
        <v>0</v>
      </c>
      <c r="K434" s="68" cm="1">
        <f t="array" aca="1" ref="K434" ca="1">IF(OR(B434="",O434=""),"",--(SUM(_xlfn.XLOOKUP(_xlfn._xlws.FILTER(_xlfn.TOCOL(_xlfn.CHOOSECOLS(C422:L430,2,4,6,8,10),0,TRUE),_xlfn.TOCOL(_xlfn.CHOOSECOLS(C422:L430,1,3,5,7,9),0,TRUE)&lt;&gt;""),Lists!$AC$2:$AC$9,Lists!$AF$2:$AF$9,0))&lt;SUM(_xlfn.XLOOKUP(_xlfn._xlws.FILTER(_xlfn.TOCOL(_xlfn.CHOOSECOLS(C401:L409,2,4,6,8,10),0,TRUE),_xlfn.TOCOL(_xlfn.CHOOSECOLS(C401:L409,1,3,5,7,9),0,TRUE)&lt;&gt;""),Lists!$AC$2:$AC$9,Lists!$AF$2:$AF$9,0)))*--(ROW()-ROW(C433)=_xlfn.XLOOKUP(MAX(IF(O434:O439&gt;0,E434:E439,-1)),IF(O434:O439&gt;0,E434:E439,-1),_xlfn.SEQUENCE(ROWS(O434:O439)),,0)))</f>
        <v>1</v>
      </c>
      <c r="L434" s="68" cm="1">
        <f t="array" aca="1" ref="L434" ca="1">IF(OR(B434="",O434=""),"",--(SUM(_xlfn.XLOOKUP(_xlfn._xlws.FILTER(_xlfn.TOCOL(_xlfn.CHOOSECOLS(C422:L430,2,4,6,8,10),0,TRUE),_xlfn.TOCOL(_xlfn.CHOOSECOLS(C422:L430,1,3,5,7,9),0,TRUE)&lt;&gt;""),Lists!$AC$2:$AC$9,Lists!$AF$2:$AF$9,0))&gt;SUM(_xlfn.XLOOKUP(_xlfn._xlws.FILTER(_xlfn.TOCOL(_xlfn.CHOOSECOLS(C401:L409,2,4,6,8,10),0,TRUE),_xlfn.TOCOL(_xlfn.CHOOSECOLS(C401:L409,1,3,5,7,9),0,TRUE)&lt;&gt;""),Lists!$AC$2:$AC$9,Lists!$AF$2:$AF$9,0)))*--(COUNTIF(O434:O439,"&gt;0")&gt;1)*--(ROW()-ROW(C433)=_xlfn.XLOOKUP(TRUE,O434:O439&gt;0,_xlfn.SEQUENCE(ROWS(O434:O439)),,0,-1))*--(_xlfn.XLOOKUP(TRUE,O434:O439&gt;0,_xlfn.SEQUENCE(ROWS(O434:O439)),,0,-1)&lt;&gt;_xlfn.XLOOKUP(MAX(IF(O434:O439&gt;0,INT(C434:C439)*3+MOD(ROUND(C434:C439*10,0),10),-1)),IF(O434:O439&gt;0,INT(C434:C439)*3+MOD(ROUND(C434:C439*10,0),10),-1),_xlfn.SEQUENCE(ROWS(O434:O439)),,0))*--(SUM(_xlfn.XLOOKUP(_xlfn._xlws.FILTER(_xlfn.TOCOL(_xlfn.CHOOSECOLS(C422:L430,2,4,6,8,10),0,TRUE),_xlfn.TOCOL(_xlfn.CHOOSECOLS(C422:L430,1,3,5,7,9),0,TRUE)&lt;&gt;""),Lists!$AC$2:$AC$9,Lists!$AF$2:$AF$9,0))-SUM(_xlfn.XLOOKUP(_xlfn._xlws.FILTER(_xlfn.TOCOL(_xlfn.CHOOSECOLS(C401:L409,2,4,6,8,10),0,TRUE),_xlfn.TOCOL(_xlfn.CHOOSECOLS(C401:L409,1,3,5,7,9),0,TRUE)&lt;&gt;""),Lists!$AC$2:$AC$9,Lists!$AF$2:$AF$9,0))&lt;=3)*--((INT(C434)*3+MOD(ROUND(C434*10,0),10))&gt;=3))</f>
        <v>0</v>
      </c>
      <c r="M434" s="68" cm="1">
        <f t="array" aca="1" ref="M434" ca="1">IF(OR(B434="",O434=""),"",--(COUNTIF(O434:O439,"&gt;0")=1)*--(SUM(_xlfn.XLOOKUP(_xlfn._xlws.FILTER(_xlfn.TOCOL(_xlfn.CHOOSECOLS(C401:L409,2,4,6,8,10),0,TRUE),_xlfn.TOCOL(_xlfn.CHOOSECOLS(C401:L409,1,3,5,7,9),0,TRUE)&lt;&gt;""),Lists!$AC$2:$AC$9,Lists!$AF$2:$AF$9,0))=0))</f>
        <v>0</v>
      </c>
      <c r="N434" s="69">
        <f ca="1">IF(OR(B434="",O434=""),"",--(COUNTIF(O434:O439,"&gt;0")=1))</f>
        <v>1</v>
      </c>
      <c r="O434" s="51">
        <v>10</v>
      </c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  <c r="CI434" s="18"/>
      <c r="CJ434" s="18"/>
      <c r="CK434" s="18"/>
      <c r="CL434" s="18"/>
      <c r="CM434" s="18"/>
      <c r="CN434" s="18"/>
      <c r="CO434" s="18"/>
      <c r="CP434" s="18"/>
      <c r="CQ434" s="18"/>
      <c r="CR434" s="18"/>
      <c r="CS434" s="18"/>
      <c r="CT434" s="18"/>
      <c r="CU434" s="18"/>
      <c r="CV434" s="18"/>
      <c r="CW434" s="18"/>
      <c r="CX434" s="18"/>
      <c r="CY434" s="18"/>
      <c r="CZ434" s="18"/>
      <c r="DA434" s="18"/>
      <c r="DB434" s="18"/>
      <c r="DC434" s="18"/>
      <c r="DD434" s="18"/>
      <c r="DE434" s="18"/>
      <c r="DF434" s="18"/>
    </row>
    <row r="435" spans="1:110">
      <c r="A435" s="168">
        <v>2</v>
      </c>
      <c r="B435" s="71" t="s">
        <v>71</v>
      </c>
      <c r="C435" s="70" cm="1">
        <f t="array" aca="1" ref="C435" ca="1">IF(OR(B435="",O435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</c>
      <c r="D435" s="67" cm="1">
        <f t="array" aca="1" ref="D435" ca="1">IF(OR(B435="",O435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0</v>
      </c>
      <c r="E435" s="67" cm="1">
        <f t="array" aca="1" ref="E435" ca="1">IF(OR(B435="",O435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435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0</v>
      </c>
      <c r="F435" s="67" cm="1">
        <f t="array" aca="1" ref="F435" ca="1">IF(OR(B435="",O435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435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0</v>
      </c>
      <c r="G435" s="67" cm="1">
        <f t="array" aca="1" ref="G435" ca="1">IF(OR(B435="",O435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435" s="67" cm="1">
        <f t="array" aca="1" ref="H435" ca="1">IF(OR(B435="",O435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0</v>
      </c>
      <c r="I435" s="68" cm="1">
        <f t="array" aca="1" ref="I435" ca="1">IF(OR(B435="",O435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435" s="68" cm="1">
        <f t="array" aca="1" ref="J435" ca="1">IF(OR(B435="",O435=""),"",--(SUM(_xlfn.XLOOKUP(_xlfn._xlws.FILTER(_xlfn.TOCOL(_xlfn.CHOOSECOLS(C422:L430,2,4,6,8,10),0,TRUE),_xlfn.TOCOL(_xlfn.CHOOSECOLS(C422:L430,1,3,5,7,9),0,TRUE)&lt;&gt;""),Lists!$AC$2:$AC$9,Lists!$AF$2:$AF$9,0))&gt;SUM(_xlfn.XLOOKUP(_xlfn._xlws.FILTER(_xlfn.TOCOL(_xlfn.CHOOSECOLS(C401:L409,2,4,6,8,10),0,TRUE),_xlfn.TOCOL(_xlfn.CHOOSECOLS(C401:L409,1,3,5,7,9),0,TRUE)&lt;&gt;""),Lists!$AC$2:$AC$9,Lists!$AF$2:$AF$9,0)))*--(ROW()-ROW(C433)=_xlfn.XLOOKUP(MAX(IF(O434:O439&gt;0,INT(C434:C439)*3+MOD(ROUND(C434:C439*10,0),10),-1)),IF(O434:O439&gt;0,INT(C434:C439)*3+MOD(ROUND(C434:C439*10,0),10),-1),_xlfn.SEQUENCE(ROWS(O434:O439)),,0)))</f>
        <v>0</v>
      </c>
      <c r="K435" s="68" cm="1">
        <f t="array" aca="1" ref="K435" ca="1">IF(OR(B435="",O435=""),"",--(SUM(_xlfn.XLOOKUP(_xlfn._xlws.FILTER(_xlfn.TOCOL(_xlfn.CHOOSECOLS(C422:L430,2,4,6,8,10),0,TRUE),_xlfn.TOCOL(_xlfn.CHOOSECOLS(C422:L430,1,3,5,7,9),0,TRUE)&lt;&gt;""),Lists!$AC$2:$AC$9,Lists!$AF$2:$AF$9,0))&lt;SUM(_xlfn.XLOOKUP(_xlfn._xlws.FILTER(_xlfn.TOCOL(_xlfn.CHOOSECOLS(C401:L409,2,4,6,8,10),0,TRUE),_xlfn.TOCOL(_xlfn.CHOOSECOLS(C401:L409,1,3,5,7,9),0,TRUE)&lt;&gt;""),Lists!$AC$2:$AC$9,Lists!$AF$2:$AF$9,0)))*--(ROW()-ROW(C433)=_xlfn.XLOOKUP(MAX(IF(O434:O439&gt;0,E434:E439,-1)),IF(O434:O439&gt;0,E434:E439,-1),_xlfn.SEQUENCE(ROWS(O434:O439)),,0)))</f>
        <v>0</v>
      </c>
      <c r="L435" s="68" cm="1">
        <f t="array" aca="1" ref="L435" ca="1">IF(OR(B435="",O435=""),"",--(SUM(_xlfn.XLOOKUP(_xlfn._xlws.FILTER(_xlfn.TOCOL(_xlfn.CHOOSECOLS(C422:L430,2,4,6,8,10),0,TRUE),_xlfn.TOCOL(_xlfn.CHOOSECOLS(C422:L430,1,3,5,7,9),0,TRUE)&lt;&gt;""),Lists!$AC$2:$AC$9,Lists!$AF$2:$AF$9,0))&gt;SUM(_xlfn.XLOOKUP(_xlfn._xlws.FILTER(_xlfn.TOCOL(_xlfn.CHOOSECOLS(C401:L409,2,4,6,8,10),0,TRUE),_xlfn.TOCOL(_xlfn.CHOOSECOLS(C401:L409,1,3,5,7,9),0,TRUE)&lt;&gt;""),Lists!$AC$2:$AC$9,Lists!$AF$2:$AF$9,0)))*--(COUNTIF(O434:O439,"&gt;0")&gt;1)*--(ROW()-ROW(C433)=_xlfn.XLOOKUP(TRUE,O434:O439&gt;0,_xlfn.SEQUENCE(ROWS(O434:O439)),,0,-1))*--(_xlfn.XLOOKUP(TRUE,O434:O439&gt;0,_xlfn.SEQUENCE(ROWS(O434:O439)),,0,-1)&lt;&gt;_xlfn.XLOOKUP(MAX(IF(O434:O439&gt;0,INT(C434:C439)*3+MOD(ROUND(C434:C439*10,0),10),-1)),IF(O434:O439&gt;0,INT(C434:C439)*3+MOD(ROUND(C434:C439*10,0),10),-1),_xlfn.SEQUENCE(ROWS(O434:O439)),,0))*--(SUM(_xlfn.XLOOKUP(_xlfn._xlws.FILTER(_xlfn.TOCOL(_xlfn.CHOOSECOLS(C422:L430,2,4,6,8,10),0,TRUE),_xlfn.TOCOL(_xlfn.CHOOSECOLS(C422:L430,1,3,5,7,9),0,TRUE)&lt;&gt;""),Lists!$AC$2:$AC$9,Lists!$AF$2:$AF$9,0))-SUM(_xlfn.XLOOKUP(_xlfn._xlws.FILTER(_xlfn.TOCOL(_xlfn.CHOOSECOLS(C401:L409,2,4,6,8,10),0,TRUE),_xlfn.TOCOL(_xlfn.CHOOSECOLS(C401:L409,1,3,5,7,9),0,TRUE)&lt;&gt;""),Lists!$AC$2:$AC$9,Lists!$AF$2:$AF$9,0))&lt;=3)*--((INT(C435)*3+MOD(ROUND(C435*10,0),10))&gt;=3))</f>
        <v>0</v>
      </c>
      <c r="M435" s="68" cm="1">
        <f t="array" aca="1" ref="M435" ca="1">IF(OR(B435="",O435=""),"",--(COUNTIF(O434:O439,"&gt;0")=1)*--(SUM(_xlfn.XLOOKUP(_xlfn._xlws.FILTER(_xlfn.TOCOL(_xlfn.CHOOSECOLS(C401:L409,2,4,6,8,10),0,TRUE),_xlfn.TOCOL(_xlfn.CHOOSECOLS(C401:L409,1,3,5,7,9),0,TRUE)&lt;&gt;""),Lists!$AC$2:$AC$9,Lists!$AF$2:$AF$9,0))=0))</f>
        <v>0</v>
      </c>
      <c r="N435" s="69">
        <f ca="1">IF(OR(B435="",O435=""),"",--(COUNTIF(O434:O439,"&gt;0")=1))</f>
        <v>0</v>
      </c>
      <c r="O435" s="5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8"/>
      <c r="CG435" s="18"/>
      <c r="CH435" s="18"/>
      <c r="CI435" s="18"/>
      <c r="CJ435" s="18"/>
      <c r="CK435" s="18"/>
      <c r="CL435" s="18"/>
      <c r="CM435" s="18"/>
      <c r="CN435" s="18"/>
      <c r="CO435" s="18"/>
      <c r="CP435" s="18"/>
      <c r="CQ435" s="18"/>
      <c r="CR435" s="18"/>
      <c r="CS435" s="18"/>
      <c r="CT435" s="18"/>
      <c r="CU435" s="18"/>
      <c r="CV435" s="18"/>
      <c r="CW435" s="18"/>
      <c r="CX435" s="18"/>
      <c r="CY435" s="18"/>
      <c r="CZ435" s="18"/>
      <c r="DA435" s="18"/>
      <c r="DB435" s="18"/>
      <c r="DC435" s="18"/>
      <c r="DD435" s="18"/>
      <c r="DE435" s="18"/>
      <c r="DF435" s="18"/>
    </row>
    <row r="436" spans="1:110">
      <c r="A436" s="168">
        <v>3</v>
      </c>
      <c r="B436" s="71"/>
      <c r="C436" s="70" t="str" cm="1">
        <f t="array" aca="1" ref="C436" ca="1">IF(OR(B436="",O436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36" s="67" t="str" cm="1">
        <f t="array" aca="1" ref="D436" ca="1">IF(OR(B436="",O436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36" s="67" t="str" cm="1">
        <f t="array" aca="1" ref="E436" ca="1">IF(OR(B436="",O436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436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36" s="67" t="str" cm="1">
        <f t="array" aca="1" ref="F436" ca="1">IF(OR(B436="",O436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436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36" s="67" t="str" cm="1">
        <f t="array" aca="1" ref="G436" ca="1">IF(OR(B436="",O436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36" s="67" t="str" cm="1">
        <f t="array" aca="1" ref="H436" ca="1">IF(OR(B436="",O436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36" s="68" t="str" cm="1">
        <f t="array" aca="1" ref="I436" ca="1">IF(OR(B436="",O436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36" s="68" t="str" cm="1">
        <f t="array" aca="1" ref="J436" ca="1">IF(OR(B436="",O436=""),"",--(SUM(_xlfn.XLOOKUP(_xlfn._xlws.FILTER(_xlfn.TOCOL(_xlfn.CHOOSECOLS(C422:L430,2,4,6,8,10),0,TRUE),_xlfn.TOCOL(_xlfn.CHOOSECOLS(C422:L430,1,3,5,7,9),0,TRUE)&lt;&gt;""),Lists!$AC$2:$AC$9,Lists!$AF$2:$AF$9,0))&gt;SUM(_xlfn.XLOOKUP(_xlfn._xlws.FILTER(_xlfn.TOCOL(_xlfn.CHOOSECOLS(C401:L409,2,4,6,8,10),0,TRUE),_xlfn.TOCOL(_xlfn.CHOOSECOLS(C401:L409,1,3,5,7,9),0,TRUE)&lt;&gt;""),Lists!$AC$2:$AC$9,Lists!$AF$2:$AF$9,0)))*--(ROW()-ROW(C433)=_xlfn.XLOOKUP(MAX(IF(O434:O439&gt;0,INT(C434:C439)*3+MOD(ROUND(C434:C439*10,0),10),-1)),IF(O434:O439&gt;0,INT(C434:C439)*3+MOD(ROUND(C434:C439*10,0),10),-1),_xlfn.SEQUENCE(ROWS(O434:O439)),,0)))</f>
        <v/>
      </c>
      <c r="K436" s="68" t="str" cm="1">
        <f t="array" aca="1" ref="K436" ca="1">IF(OR(B436="",O436=""),"",--(SUM(_xlfn.XLOOKUP(_xlfn._xlws.FILTER(_xlfn.TOCOL(_xlfn.CHOOSECOLS(C422:L430,2,4,6,8,10),0,TRUE),_xlfn.TOCOL(_xlfn.CHOOSECOLS(C422:L430,1,3,5,7,9),0,TRUE)&lt;&gt;""),Lists!$AC$2:$AC$9,Lists!$AF$2:$AF$9,0))&lt;SUM(_xlfn.XLOOKUP(_xlfn._xlws.FILTER(_xlfn.TOCOL(_xlfn.CHOOSECOLS(C401:L409,2,4,6,8,10),0,TRUE),_xlfn.TOCOL(_xlfn.CHOOSECOLS(C401:L409,1,3,5,7,9),0,TRUE)&lt;&gt;""),Lists!$AC$2:$AC$9,Lists!$AF$2:$AF$9,0)))*--(ROW()-ROW(C433)=_xlfn.XLOOKUP(MAX(IF(O434:O439&gt;0,E434:E439,-1)),IF(O434:O439&gt;0,E434:E439,-1),_xlfn.SEQUENCE(ROWS(O434:O439)),,0)))</f>
        <v/>
      </c>
      <c r="L436" s="68" t="str" cm="1">
        <f t="array" aca="1" ref="L436" ca="1">IF(OR(B436="",O436=""),"",--(SUM(_xlfn.XLOOKUP(_xlfn._xlws.FILTER(_xlfn.TOCOL(_xlfn.CHOOSECOLS(C422:L430,2,4,6,8,10),0,TRUE),_xlfn.TOCOL(_xlfn.CHOOSECOLS(C422:L430,1,3,5,7,9),0,TRUE)&lt;&gt;""),Lists!$AC$2:$AC$9,Lists!$AF$2:$AF$9,0))&gt;SUM(_xlfn.XLOOKUP(_xlfn._xlws.FILTER(_xlfn.TOCOL(_xlfn.CHOOSECOLS(C401:L409,2,4,6,8,10),0,TRUE),_xlfn.TOCOL(_xlfn.CHOOSECOLS(C401:L409,1,3,5,7,9),0,TRUE)&lt;&gt;""),Lists!$AC$2:$AC$9,Lists!$AF$2:$AF$9,0)))*--(COUNTIF(O434:O439,"&gt;0")&gt;1)*--(ROW()-ROW(C433)=_xlfn.XLOOKUP(TRUE,O434:O439&gt;0,_xlfn.SEQUENCE(ROWS(O434:O439)),,0,-1))*--(_xlfn.XLOOKUP(TRUE,O434:O439&gt;0,_xlfn.SEQUENCE(ROWS(O434:O439)),,0,-1)&lt;&gt;_xlfn.XLOOKUP(MAX(IF(O434:O439&gt;0,INT(C434:C439)*3+MOD(ROUND(C434:C439*10,0),10),-1)),IF(O434:O439&gt;0,INT(C434:C439)*3+MOD(ROUND(C434:C439*10,0),10),-1),_xlfn.SEQUENCE(ROWS(O434:O439)),,0))*--(SUM(_xlfn.XLOOKUP(_xlfn._xlws.FILTER(_xlfn.TOCOL(_xlfn.CHOOSECOLS(C422:L430,2,4,6,8,10),0,TRUE),_xlfn.TOCOL(_xlfn.CHOOSECOLS(C422:L430,1,3,5,7,9),0,TRUE)&lt;&gt;""),Lists!$AC$2:$AC$9,Lists!$AF$2:$AF$9,0))-SUM(_xlfn.XLOOKUP(_xlfn._xlws.FILTER(_xlfn.TOCOL(_xlfn.CHOOSECOLS(C401:L409,2,4,6,8,10),0,TRUE),_xlfn.TOCOL(_xlfn.CHOOSECOLS(C401:L409,1,3,5,7,9),0,TRUE)&lt;&gt;""),Lists!$AC$2:$AC$9,Lists!$AF$2:$AF$9,0))&lt;=3)*--((INT(C436)*3+MOD(ROUND(C436*10,0),10))&gt;=3))</f>
        <v/>
      </c>
      <c r="M436" s="68" t="str" cm="1">
        <f t="array" aca="1" ref="M436" ca="1">IF(OR(B436="",O436=""),"",--(COUNTIF(O434:O439,"&gt;0")=1)*--(SUM(_xlfn.XLOOKUP(_xlfn._xlws.FILTER(_xlfn.TOCOL(_xlfn.CHOOSECOLS(C401:L409,2,4,6,8,10),0,TRUE),_xlfn.TOCOL(_xlfn.CHOOSECOLS(C401:L409,1,3,5,7,9),0,TRUE)&lt;&gt;""),Lists!$AC$2:$AC$9,Lists!$AF$2:$AF$9,0))=0))</f>
        <v/>
      </c>
      <c r="N436" s="69" t="str">
        <f ca="1">IF(OR(B436="",O436=""),"",--(COUNTIF(O434:O439,"&gt;0")=1))</f>
        <v/>
      </c>
      <c r="O436" s="5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8"/>
      <c r="CG436" s="18"/>
      <c r="CH436" s="18"/>
      <c r="CI436" s="18"/>
      <c r="CJ436" s="18"/>
      <c r="CK436" s="18"/>
      <c r="CL436" s="18"/>
      <c r="CM436" s="18"/>
      <c r="CN436" s="18"/>
      <c r="CO436" s="18"/>
      <c r="CP436" s="18"/>
      <c r="CQ436" s="18"/>
      <c r="CR436" s="18"/>
      <c r="CS436" s="18"/>
      <c r="CT436" s="18"/>
      <c r="CU436" s="18"/>
      <c r="CV436" s="18"/>
      <c r="CW436" s="18"/>
      <c r="CX436" s="18"/>
      <c r="CY436" s="18"/>
      <c r="CZ436" s="18"/>
      <c r="DA436" s="18"/>
      <c r="DB436" s="18"/>
      <c r="DC436" s="18"/>
      <c r="DD436" s="18"/>
      <c r="DE436" s="18"/>
      <c r="DF436" s="18"/>
    </row>
    <row r="437" spans="1:110">
      <c r="A437" s="168">
        <v>4</v>
      </c>
      <c r="B437" s="71"/>
      <c r="C437" s="70" t="str" cm="1">
        <f t="array" aca="1" ref="C437" ca="1">IF(OR(B437="",O437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37" s="67" t="str" cm="1">
        <f t="array" aca="1" ref="D437" ca="1">IF(OR(B437="",O437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37" s="67" t="str" cm="1">
        <f t="array" aca="1" ref="E437" ca="1">IF(OR(B437="",O437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437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37" s="67" t="str" cm="1">
        <f t="array" aca="1" ref="F437" ca="1">IF(OR(B437="",O437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437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37" s="67" t="str" cm="1">
        <f t="array" aca="1" ref="G437" ca="1">IF(OR(B437="",O437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37" s="67" t="str" cm="1">
        <f t="array" aca="1" ref="H437" ca="1">IF(OR(B437="",O437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37" s="68" t="str" cm="1">
        <f t="array" aca="1" ref="I437" ca="1">IF(OR(B437="",O437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37" s="68" t="str" cm="1">
        <f t="array" aca="1" ref="J437" ca="1">IF(OR(B437="",O437=""),"",--(SUM(_xlfn.XLOOKUP(_xlfn._xlws.FILTER(_xlfn.TOCOL(_xlfn.CHOOSECOLS(C422:L430,2,4,6,8,10),0,TRUE),_xlfn.TOCOL(_xlfn.CHOOSECOLS(C422:L430,1,3,5,7,9),0,TRUE)&lt;&gt;""),Lists!$AC$2:$AC$9,Lists!$AF$2:$AF$9,0))&gt;SUM(_xlfn.XLOOKUP(_xlfn._xlws.FILTER(_xlfn.TOCOL(_xlfn.CHOOSECOLS(C401:L409,2,4,6,8,10),0,TRUE),_xlfn.TOCOL(_xlfn.CHOOSECOLS(C401:L409,1,3,5,7,9),0,TRUE)&lt;&gt;""),Lists!$AC$2:$AC$9,Lists!$AF$2:$AF$9,0)))*--(ROW()-ROW(C433)=_xlfn.XLOOKUP(MAX(IF(O434:O439&gt;0,INT(C434:C439)*3+MOD(ROUND(C434:C439*10,0),10),-1)),IF(O434:O439&gt;0,INT(C434:C439)*3+MOD(ROUND(C434:C439*10,0),10),-1),_xlfn.SEQUENCE(ROWS(O434:O439)),,0)))</f>
        <v/>
      </c>
      <c r="K437" s="68" t="str" cm="1">
        <f t="array" aca="1" ref="K437" ca="1">IF(OR(B437="",O437=""),"",--(SUM(_xlfn.XLOOKUP(_xlfn._xlws.FILTER(_xlfn.TOCOL(_xlfn.CHOOSECOLS(C422:L430,2,4,6,8,10),0,TRUE),_xlfn.TOCOL(_xlfn.CHOOSECOLS(C422:L430,1,3,5,7,9),0,TRUE)&lt;&gt;""),Lists!$AC$2:$AC$9,Lists!$AF$2:$AF$9,0))&lt;SUM(_xlfn.XLOOKUP(_xlfn._xlws.FILTER(_xlfn.TOCOL(_xlfn.CHOOSECOLS(C401:L409,2,4,6,8,10),0,TRUE),_xlfn.TOCOL(_xlfn.CHOOSECOLS(C401:L409,1,3,5,7,9),0,TRUE)&lt;&gt;""),Lists!$AC$2:$AC$9,Lists!$AF$2:$AF$9,0)))*--(ROW()-ROW(C433)=_xlfn.XLOOKUP(MAX(IF(O434:O439&gt;0,E434:E439,-1)),IF(O434:O439&gt;0,E434:E439,-1),_xlfn.SEQUENCE(ROWS(O434:O439)),,0)))</f>
        <v/>
      </c>
      <c r="L437" s="68" t="str" cm="1">
        <f t="array" aca="1" ref="L437" ca="1">IF(OR(B437="",O437=""),"",--(SUM(_xlfn.XLOOKUP(_xlfn._xlws.FILTER(_xlfn.TOCOL(_xlfn.CHOOSECOLS(C422:L430,2,4,6,8,10),0,TRUE),_xlfn.TOCOL(_xlfn.CHOOSECOLS(C422:L430,1,3,5,7,9),0,TRUE)&lt;&gt;""),Lists!$AC$2:$AC$9,Lists!$AF$2:$AF$9,0))&gt;SUM(_xlfn.XLOOKUP(_xlfn._xlws.FILTER(_xlfn.TOCOL(_xlfn.CHOOSECOLS(C401:L409,2,4,6,8,10),0,TRUE),_xlfn.TOCOL(_xlfn.CHOOSECOLS(C401:L409,1,3,5,7,9),0,TRUE)&lt;&gt;""),Lists!$AC$2:$AC$9,Lists!$AF$2:$AF$9,0)))*--(COUNTIF(O434:O439,"&gt;0")&gt;1)*--(ROW()-ROW(C433)=_xlfn.XLOOKUP(TRUE,O434:O439&gt;0,_xlfn.SEQUENCE(ROWS(O434:O439)),,0,-1))*--(_xlfn.XLOOKUP(TRUE,O434:O439&gt;0,_xlfn.SEQUENCE(ROWS(O434:O439)),,0,-1)&lt;&gt;_xlfn.XLOOKUP(MAX(IF(O434:O439&gt;0,INT(C434:C439)*3+MOD(ROUND(C434:C439*10,0),10),-1)),IF(O434:O439&gt;0,INT(C434:C439)*3+MOD(ROUND(C434:C439*10,0),10),-1),_xlfn.SEQUENCE(ROWS(O434:O439)),,0))*--(SUM(_xlfn.XLOOKUP(_xlfn._xlws.FILTER(_xlfn.TOCOL(_xlfn.CHOOSECOLS(C422:L430,2,4,6,8,10),0,TRUE),_xlfn.TOCOL(_xlfn.CHOOSECOLS(C422:L430,1,3,5,7,9),0,TRUE)&lt;&gt;""),Lists!$AC$2:$AC$9,Lists!$AF$2:$AF$9,0))-SUM(_xlfn.XLOOKUP(_xlfn._xlws.FILTER(_xlfn.TOCOL(_xlfn.CHOOSECOLS(C401:L409,2,4,6,8,10),0,TRUE),_xlfn.TOCOL(_xlfn.CHOOSECOLS(C401:L409,1,3,5,7,9),0,TRUE)&lt;&gt;""),Lists!$AC$2:$AC$9,Lists!$AF$2:$AF$9,0))&lt;=3)*--((INT(C437)*3+MOD(ROUND(C437*10,0),10))&gt;=3))</f>
        <v/>
      </c>
      <c r="M437" s="68" t="str" cm="1">
        <f t="array" aca="1" ref="M437" ca="1">IF(OR(B437="",O437=""),"",--(COUNTIF(O434:O439,"&gt;0")=1)*--(SUM(_xlfn.XLOOKUP(_xlfn._xlws.FILTER(_xlfn.TOCOL(_xlfn.CHOOSECOLS(C401:L409,2,4,6,8,10),0,TRUE),_xlfn.TOCOL(_xlfn.CHOOSECOLS(C401:L409,1,3,5,7,9),0,TRUE)&lt;&gt;""),Lists!$AC$2:$AC$9,Lists!$AF$2:$AF$9,0))=0))</f>
        <v/>
      </c>
      <c r="N437" s="69" t="str">
        <f ca="1">IF(OR(B437="",O437=""),"",--(COUNTIF(O434:O439,"&gt;0")=1))</f>
        <v/>
      </c>
      <c r="O437" s="5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  <c r="CI437" s="18"/>
      <c r="CJ437" s="18"/>
      <c r="CK437" s="18"/>
      <c r="CL437" s="18"/>
      <c r="CM437" s="18"/>
      <c r="CN437" s="18"/>
      <c r="CO437" s="18"/>
      <c r="CP437" s="18"/>
      <c r="CQ437" s="18"/>
      <c r="CR437" s="18"/>
      <c r="CS437" s="18"/>
      <c r="CT437" s="18"/>
      <c r="CU437" s="18"/>
      <c r="CV437" s="18"/>
      <c r="CW437" s="18"/>
      <c r="CX437" s="18"/>
      <c r="CY437" s="18"/>
      <c r="CZ437" s="18"/>
      <c r="DA437" s="18"/>
      <c r="DB437" s="18"/>
      <c r="DC437" s="18"/>
      <c r="DD437" s="18"/>
      <c r="DE437" s="18"/>
      <c r="DF437" s="18"/>
    </row>
    <row r="438" spans="1:110">
      <c r="A438" s="168">
        <v>5</v>
      </c>
      <c r="B438" s="71"/>
      <c r="C438" s="70" t="str" cm="1">
        <f t="array" aca="1" ref="C438" ca="1">IF(OR(B438="",O438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38" s="67" t="str" cm="1">
        <f t="array" aca="1" ref="D438" ca="1">IF(OR(B438="",O438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38" s="67" t="str" cm="1">
        <f t="array" aca="1" ref="E438" ca="1">IF(OR(B438="",O438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438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38" s="67" t="str" cm="1">
        <f t="array" aca="1" ref="F438" ca="1">IF(OR(B438="",O438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438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38" s="67" t="str" cm="1">
        <f t="array" aca="1" ref="G438" ca="1">IF(OR(B438="",O438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38" s="67" t="str" cm="1">
        <f t="array" aca="1" ref="H438" ca="1">IF(OR(B438="",O438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38" s="68" t="str" cm="1">
        <f t="array" aca="1" ref="I438" ca="1">IF(OR(B438="",O438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38" s="68" t="str" cm="1">
        <f t="array" aca="1" ref="J438" ca="1">IF(OR(B438="",O438=""),"",--(SUM(_xlfn.XLOOKUP(_xlfn._xlws.FILTER(_xlfn.TOCOL(_xlfn.CHOOSECOLS(C422:L430,2,4,6,8,10),0,TRUE),_xlfn.TOCOL(_xlfn.CHOOSECOLS(C422:L430,1,3,5,7,9),0,TRUE)&lt;&gt;""),Lists!$AC$2:$AC$9,Lists!$AF$2:$AF$9,0))&gt;SUM(_xlfn.XLOOKUP(_xlfn._xlws.FILTER(_xlfn.TOCOL(_xlfn.CHOOSECOLS(C401:L409,2,4,6,8,10),0,TRUE),_xlfn.TOCOL(_xlfn.CHOOSECOLS(C401:L409,1,3,5,7,9),0,TRUE)&lt;&gt;""),Lists!$AC$2:$AC$9,Lists!$AF$2:$AF$9,0)))*--(ROW()-ROW(C433)=_xlfn.XLOOKUP(MAX(IF(O434:O439&gt;0,INT(C434:C439)*3+MOD(ROUND(C434:C439*10,0),10),-1)),IF(O434:O439&gt;0,INT(C434:C439)*3+MOD(ROUND(C434:C439*10,0),10),-1),_xlfn.SEQUENCE(ROWS(O434:O439)),,0)))</f>
        <v/>
      </c>
      <c r="K438" s="68" t="str" cm="1">
        <f t="array" aca="1" ref="K438" ca="1">IF(OR(B438="",O438=""),"",--(SUM(_xlfn.XLOOKUP(_xlfn._xlws.FILTER(_xlfn.TOCOL(_xlfn.CHOOSECOLS(C422:L430,2,4,6,8,10),0,TRUE),_xlfn.TOCOL(_xlfn.CHOOSECOLS(C422:L430,1,3,5,7,9),0,TRUE)&lt;&gt;""),Lists!$AC$2:$AC$9,Lists!$AF$2:$AF$9,0))&lt;SUM(_xlfn.XLOOKUP(_xlfn._xlws.FILTER(_xlfn.TOCOL(_xlfn.CHOOSECOLS(C401:L409,2,4,6,8,10),0,TRUE),_xlfn.TOCOL(_xlfn.CHOOSECOLS(C401:L409,1,3,5,7,9),0,TRUE)&lt;&gt;""),Lists!$AC$2:$AC$9,Lists!$AF$2:$AF$9,0)))*--(ROW()-ROW(C433)=_xlfn.XLOOKUP(MAX(IF(O434:O439&gt;0,E434:E439,-1)),IF(O434:O439&gt;0,E434:E439,-1),_xlfn.SEQUENCE(ROWS(O434:O439)),,0)))</f>
        <v/>
      </c>
      <c r="L438" s="68" t="str" cm="1">
        <f t="array" aca="1" ref="L438" ca="1">IF(OR(B438="",O438=""),"",--(SUM(_xlfn.XLOOKUP(_xlfn._xlws.FILTER(_xlfn.TOCOL(_xlfn.CHOOSECOLS(C422:L430,2,4,6,8,10),0,TRUE),_xlfn.TOCOL(_xlfn.CHOOSECOLS(C422:L430,1,3,5,7,9),0,TRUE)&lt;&gt;""),Lists!$AC$2:$AC$9,Lists!$AF$2:$AF$9,0))&gt;SUM(_xlfn.XLOOKUP(_xlfn._xlws.FILTER(_xlfn.TOCOL(_xlfn.CHOOSECOLS(C401:L409,2,4,6,8,10),0,TRUE),_xlfn.TOCOL(_xlfn.CHOOSECOLS(C401:L409,1,3,5,7,9),0,TRUE)&lt;&gt;""),Lists!$AC$2:$AC$9,Lists!$AF$2:$AF$9,0)))*--(COUNTIF(O434:O439,"&gt;0")&gt;1)*--(ROW()-ROW(C433)=_xlfn.XLOOKUP(TRUE,O434:O439&gt;0,_xlfn.SEQUENCE(ROWS(O434:O439)),,0,-1))*--(_xlfn.XLOOKUP(TRUE,O434:O439&gt;0,_xlfn.SEQUENCE(ROWS(O434:O439)),,0,-1)&lt;&gt;_xlfn.XLOOKUP(MAX(IF(O434:O439&gt;0,INT(C434:C439)*3+MOD(ROUND(C434:C439*10,0),10),-1)),IF(O434:O439&gt;0,INT(C434:C439)*3+MOD(ROUND(C434:C439*10,0),10),-1),_xlfn.SEQUENCE(ROWS(O434:O439)),,0))*--(SUM(_xlfn.XLOOKUP(_xlfn._xlws.FILTER(_xlfn.TOCOL(_xlfn.CHOOSECOLS(C422:L430,2,4,6,8,10),0,TRUE),_xlfn.TOCOL(_xlfn.CHOOSECOLS(C422:L430,1,3,5,7,9),0,TRUE)&lt;&gt;""),Lists!$AC$2:$AC$9,Lists!$AF$2:$AF$9,0))-SUM(_xlfn.XLOOKUP(_xlfn._xlws.FILTER(_xlfn.TOCOL(_xlfn.CHOOSECOLS(C401:L409,2,4,6,8,10),0,TRUE),_xlfn.TOCOL(_xlfn.CHOOSECOLS(C401:L409,1,3,5,7,9),0,TRUE)&lt;&gt;""),Lists!$AC$2:$AC$9,Lists!$AF$2:$AF$9,0))&lt;=3)*--((INT(C438)*3+MOD(ROUND(C438*10,0),10))&gt;=3))</f>
        <v/>
      </c>
      <c r="M438" s="68" t="str" cm="1">
        <f t="array" aca="1" ref="M438" ca="1">IF(OR(B438="",O438=""),"",--(COUNTIF(O434:O439,"&gt;0")=1)*--(SUM(_xlfn.XLOOKUP(_xlfn._xlws.FILTER(_xlfn.TOCOL(_xlfn.CHOOSECOLS(C401:L409,2,4,6,8,10),0,TRUE),_xlfn.TOCOL(_xlfn.CHOOSECOLS(C401:L409,1,3,5,7,9),0,TRUE)&lt;&gt;""),Lists!$AC$2:$AC$9,Lists!$AF$2:$AF$9,0))=0))</f>
        <v/>
      </c>
      <c r="N438" s="69" t="str">
        <f ca="1">IF(OR(B438="",O438=""),"",--(COUNTIF(O434:O439,"&gt;0")=1))</f>
        <v/>
      </c>
      <c r="O438" s="5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8"/>
      <c r="CG438" s="18"/>
      <c r="CH438" s="18"/>
      <c r="CI438" s="18"/>
      <c r="CJ438" s="18"/>
      <c r="CK438" s="18"/>
      <c r="CL438" s="18"/>
      <c r="CM438" s="18"/>
      <c r="CN438" s="18"/>
      <c r="CO438" s="18"/>
      <c r="CP438" s="18"/>
      <c r="CQ438" s="18"/>
      <c r="CR438" s="18"/>
      <c r="CS438" s="18"/>
      <c r="CT438" s="18"/>
      <c r="CU438" s="18"/>
      <c r="CV438" s="18"/>
      <c r="CW438" s="18"/>
      <c r="CX438" s="18"/>
      <c r="CY438" s="18"/>
      <c r="CZ438" s="18"/>
      <c r="DA438" s="18"/>
      <c r="DB438" s="18"/>
      <c r="DC438" s="18"/>
      <c r="DD438" s="18"/>
      <c r="DE438" s="18"/>
      <c r="DF438" s="18"/>
    </row>
    <row r="439" spans="1:110">
      <c r="A439" s="168">
        <v>6</v>
      </c>
      <c r="B439" s="71"/>
      <c r="C439" s="70" t="str" cm="1">
        <f t="array" aca="1" ref="C439" ca="1">IF(OR(B439="",O439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39" s="67" t="str" cm="1">
        <f t="array" aca="1" ref="D439" ca="1">IF(OR(B439="",O439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39" s="67" t="str" cm="1">
        <f t="array" aca="1" ref="E439" ca="1">IF(OR(B439="",O439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439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39" s="67" t="str" cm="1">
        <f t="array" aca="1" ref="F439" ca="1">IF(OR(B439="",O439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439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39" s="67" t="str" cm="1">
        <f t="array" aca="1" ref="G439" ca="1">IF(OR(B439="",O439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39" s="67" t="str" cm="1">
        <f t="array" aca="1" ref="H439" ca="1">IF(OR(B439="",O439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39" s="68" t="str" cm="1">
        <f t="array" aca="1" ref="I439" ca="1">IF(OR(B439="",O439=""),"",_xlfn.LET(_xlpm.flatPAraw,_xlfn.TOCOL(_xlfn.CHOOSECOLS(C401:L409,1,3,5,7,9),0,TRUE),_xlpm.flatPARraw,_xlfn.TOCOL(_xlfn.CHOOSECOLS(C401:L409,2,4,6,8,10),0,TRUE),_xlpm.flatPA,_xlfn._xlws.FILTER(_xlpm.flatPAraw,_xlpm.flatPAraw&lt;&gt;""),_xlpm.flatPAR,_xlfn._xlws.FILTER(_xlpm.flatPARraw,_xlpm.flatPAraw&lt;&gt;""),_xlpm.prev,IF(ROW()=ROW(C434),0,SUM(INDEX(O:O,ROW(C434)):INDEX(O:O,ROW()-1))),_xlpm.need,O439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39" s="68" t="str" cm="1">
        <f t="array" aca="1" ref="J439" ca="1">IF(OR(B439="",O439=""),"",--(SUM(_xlfn.XLOOKUP(_xlfn._xlws.FILTER(_xlfn.TOCOL(_xlfn.CHOOSECOLS(C422:L430,2,4,6,8,10),0,TRUE),_xlfn.TOCOL(_xlfn.CHOOSECOLS(C422:L430,1,3,5,7,9),0,TRUE)&lt;&gt;""),Lists!$AC$2:$AC$9,Lists!$AF$2:$AF$9,0))&gt;SUM(_xlfn.XLOOKUP(_xlfn._xlws.FILTER(_xlfn.TOCOL(_xlfn.CHOOSECOLS(C401:L409,2,4,6,8,10),0,TRUE),_xlfn.TOCOL(_xlfn.CHOOSECOLS(C401:L409,1,3,5,7,9),0,TRUE)&lt;&gt;""),Lists!$AC$2:$AC$9,Lists!$AF$2:$AF$9,0)))*--(ROW()-ROW(C433)=_xlfn.XLOOKUP(MAX(IF(O434:O439&gt;0,INT(C434:C439)*3+MOD(ROUND(C434:C439*10,0),10),-1)),IF(O434:O439&gt;0,INT(C434:C439)*3+MOD(ROUND(C434:C439*10,0),10),-1),_xlfn.SEQUENCE(ROWS(O434:O439)),,0)))</f>
        <v/>
      </c>
      <c r="K439" s="68" t="str" cm="1">
        <f t="array" aca="1" ref="K439" ca="1">IF(OR(B439="",O439=""),"",--(SUM(_xlfn.XLOOKUP(_xlfn._xlws.FILTER(_xlfn.TOCOL(_xlfn.CHOOSECOLS(C422:L430,2,4,6,8,10),0,TRUE),_xlfn.TOCOL(_xlfn.CHOOSECOLS(C422:L430,1,3,5,7,9),0,TRUE)&lt;&gt;""),Lists!$AC$2:$AC$9,Lists!$AF$2:$AF$9,0))&lt;SUM(_xlfn.XLOOKUP(_xlfn._xlws.FILTER(_xlfn.TOCOL(_xlfn.CHOOSECOLS(C401:L409,2,4,6,8,10),0,TRUE),_xlfn.TOCOL(_xlfn.CHOOSECOLS(C401:L409,1,3,5,7,9),0,TRUE)&lt;&gt;""),Lists!$AC$2:$AC$9,Lists!$AF$2:$AF$9,0)))*--(ROW()-ROW(C433)=_xlfn.XLOOKUP(MAX(IF(O434:O439&gt;0,E434:E439,-1)),IF(O434:O439&gt;0,E434:E439,-1),_xlfn.SEQUENCE(ROWS(O434:O439)),,0)))</f>
        <v/>
      </c>
      <c r="L439" s="68" t="str" cm="1">
        <f t="array" aca="1" ref="L439" ca="1">IF(OR(B439="",O439=""),"",--(SUM(_xlfn.XLOOKUP(_xlfn._xlws.FILTER(_xlfn.TOCOL(_xlfn.CHOOSECOLS(C422:L430,2,4,6,8,10),0,TRUE),_xlfn.TOCOL(_xlfn.CHOOSECOLS(C422:L430,1,3,5,7,9),0,TRUE)&lt;&gt;""),Lists!$AC$2:$AC$9,Lists!$AF$2:$AF$9,0))&gt;SUM(_xlfn.XLOOKUP(_xlfn._xlws.FILTER(_xlfn.TOCOL(_xlfn.CHOOSECOLS(C401:L409,2,4,6,8,10),0,TRUE),_xlfn.TOCOL(_xlfn.CHOOSECOLS(C401:L409,1,3,5,7,9),0,TRUE)&lt;&gt;""),Lists!$AC$2:$AC$9,Lists!$AF$2:$AF$9,0)))*--(COUNTIF(O434:O439,"&gt;0")&gt;1)*--(ROW()-ROW(C433)=_xlfn.XLOOKUP(TRUE,O434:O439&gt;0,_xlfn.SEQUENCE(ROWS(O434:O439)),,0,-1))*--(_xlfn.XLOOKUP(TRUE,O434:O439&gt;0,_xlfn.SEQUENCE(ROWS(O434:O439)),,0,-1)&lt;&gt;_xlfn.XLOOKUP(MAX(IF(O434:O439&gt;0,INT(C434:C439)*3+MOD(ROUND(C434:C439*10,0),10),-1)),IF(O434:O439&gt;0,INT(C434:C439)*3+MOD(ROUND(C434:C439*10,0),10),-1),_xlfn.SEQUENCE(ROWS(O434:O439)),,0))*--(SUM(_xlfn.XLOOKUP(_xlfn._xlws.FILTER(_xlfn.TOCOL(_xlfn.CHOOSECOLS(C422:L430,2,4,6,8,10),0,TRUE),_xlfn.TOCOL(_xlfn.CHOOSECOLS(C422:L430,1,3,5,7,9),0,TRUE)&lt;&gt;""),Lists!$AC$2:$AC$9,Lists!$AF$2:$AF$9,0))-SUM(_xlfn.XLOOKUP(_xlfn._xlws.FILTER(_xlfn.TOCOL(_xlfn.CHOOSECOLS(C401:L409,2,4,6,8,10),0,TRUE),_xlfn.TOCOL(_xlfn.CHOOSECOLS(C401:L409,1,3,5,7,9),0,TRUE)&lt;&gt;""),Lists!$AC$2:$AC$9,Lists!$AF$2:$AF$9,0))&lt;=3)*--((INT(C439)*3+MOD(ROUND(C439*10,0),10))&gt;=3))</f>
        <v/>
      </c>
      <c r="M439" s="68" t="str" cm="1">
        <f t="array" aca="1" ref="M439" ca="1">IF(OR(B439="",O439=""),"",--(COUNTIF(O434:O439,"&gt;0")=1)*--(SUM(_xlfn.XLOOKUP(_xlfn._xlws.FILTER(_xlfn.TOCOL(_xlfn.CHOOSECOLS(C401:L409,2,4,6,8,10),0,TRUE),_xlfn.TOCOL(_xlfn.CHOOSECOLS(C401:L409,1,3,5,7,9),0,TRUE)&lt;&gt;""),Lists!$AC$2:$AC$9,Lists!$AF$2:$AF$9,0))=0))</f>
        <v/>
      </c>
      <c r="N439" s="69" t="str">
        <f ca="1">IF(OR(B439="",O439=""),"",--(COUNTIF(O434:O439,"&gt;0")=1))</f>
        <v/>
      </c>
      <c r="O439" s="5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  <c r="CI439" s="18"/>
      <c r="CJ439" s="18"/>
      <c r="CK439" s="18"/>
      <c r="CL439" s="18"/>
      <c r="CM439" s="18"/>
      <c r="CN439" s="18"/>
      <c r="CO439" s="18"/>
      <c r="CP439" s="18"/>
      <c r="CQ439" s="18"/>
      <c r="CR439" s="18"/>
      <c r="CS439" s="18"/>
      <c r="CT439" s="18"/>
      <c r="CU439" s="18"/>
      <c r="CV439" s="18"/>
      <c r="CW439" s="18"/>
      <c r="CX439" s="18"/>
      <c r="CY439" s="18"/>
      <c r="CZ439" s="18"/>
      <c r="DA439" s="18"/>
      <c r="DB439" s="18"/>
      <c r="DC439" s="18"/>
      <c r="DD439" s="18"/>
      <c r="DE439" s="18"/>
      <c r="DF439" s="18"/>
    </row>
    <row r="440" spans="1:110">
      <c r="A440" s="173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  <c r="CI440" s="18"/>
      <c r="CJ440" s="18"/>
      <c r="CK440" s="18"/>
      <c r="CL440" s="18"/>
      <c r="CM440" s="18"/>
      <c r="CN440" s="18"/>
      <c r="CO440" s="18"/>
      <c r="CP440" s="18"/>
      <c r="CQ440" s="18"/>
      <c r="CR440" s="18"/>
      <c r="CS440" s="18"/>
      <c r="CT440" s="18"/>
      <c r="CU440" s="18"/>
      <c r="CV440" s="18"/>
      <c r="CW440" s="18"/>
      <c r="CX440" s="18"/>
      <c r="CY440" s="18"/>
      <c r="CZ440" s="18"/>
      <c r="DA440" s="18"/>
      <c r="DB440" s="18"/>
      <c r="DC440" s="18"/>
      <c r="DD440" s="18"/>
      <c r="DE440" s="18"/>
      <c r="DF440" s="18"/>
    </row>
    <row r="441" spans="1:110">
      <c r="A441" s="174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8"/>
      <c r="CG441" s="18"/>
      <c r="CH441" s="18"/>
      <c r="CI441" s="18"/>
      <c r="CJ441" s="18"/>
      <c r="CK441" s="18"/>
      <c r="CL441" s="18"/>
      <c r="CM441" s="18"/>
      <c r="CN441" s="18"/>
      <c r="CO441" s="18"/>
      <c r="CP441" s="18"/>
      <c r="CQ441" s="18"/>
      <c r="CR441" s="18"/>
      <c r="CS441" s="18"/>
      <c r="CT441" s="18"/>
      <c r="CU441" s="18"/>
      <c r="CV441" s="18"/>
      <c r="CW441" s="18"/>
      <c r="CX441" s="18"/>
      <c r="CY441" s="18"/>
      <c r="CZ441" s="18"/>
      <c r="DA441" s="18"/>
      <c r="DB441" s="18"/>
      <c r="DC441" s="18"/>
      <c r="DD441" s="18"/>
      <c r="DE441" s="18"/>
      <c r="DF441" s="18"/>
    </row>
    <row r="442" spans="1:110">
      <c r="A442" s="217" t="s">
        <v>214</v>
      </c>
      <c r="B442" s="218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9"/>
      <c r="N442" s="207"/>
      <c r="O442" s="36"/>
      <c r="P442" s="37"/>
      <c r="Q442" s="38"/>
      <c r="R442" s="38"/>
      <c r="S442" s="38"/>
      <c r="T442" s="38"/>
      <c r="U442" s="38"/>
      <c r="V442" s="38"/>
      <c r="W442" s="38"/>
      <c r="X442" s="3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8"/>
      <c r="CG442" s="18"/>
      <c r="CH442" s="18"/>
      <c r="CI442" s="18"/>
      <c r="CJ442" s="18"/>
      <c r="CK442" s="18"/>
      <c r="CL442" s="18"/>
      <c r="CM442" s="18"/>
      <c r="CN442" s="18"/>
      <c r="CO442" s="18"/>
      <c r="CP442" s="18"/>
      <c r="CQ442" s="18"/>
      <c r="CR442" s="18"/>
      <c r="CS442" s="18"/>
      <c r="CT442" s="18"/>
      <c r="CU442" s="18"/>
      <c r="CV442" s="18"/>
      <c r="CW442" s="18"/>
      <c r="CX442" s="18"/>
      <c r="CY442" s="18"/>
      <c r="CZ442" s="18"/>
      <c r="DA442" s="18"/>
      <c r="DB442" s="18"/>
      <c r="DC442" s="18"/>
      <c r="DD442" s="18"/>
      <c r="DE442" s="18"/>
      <c r="DF442" s="18"/>
    </row>
    <row r="443" spans="1:110">
      <c r="A443" s="169" t="s">
        <v>33</v>
      </c>
      <c r="B443" s="40">
        <f>Settings!$B$2</f>
        <v>1</v>
      </c>
      <c r="C443" s="41"/>
      <c r="D443" s="40" t="s">
        <v>95</v>
      </c>
      <c r="E443" s="41"/>
      <c r="F443" s="40" t="str">
        <f>Bracket!$F$15</f>
        <v>G10</v>
      </c>
      <c r="G443" s="41"/>
      <c r="H443" s="40" t="s">
        <v>97</v>
      </c>
      <c r="I443" s="41"/>
      <c r="J443" s="40" t="str">
        <f>Bracket!$G$15</f>
        <v>CG-1</v>
      </c>
      <c r="K443" s="41"/>
      <c r="L443" s="40" t="s">
        <v>134</v>
      </c>
      <c r="M443" s="24"/>
      <c r="N443" s="24" t="str">
        <f ca="1">Bracket!$H$15</f>
        <v>Nick</v>
      </c>
      <c r="O443" s="24"/>
      <c r="P443" s="18"/>
      <c r="Q443" s="18"/>
      <c r="R443" s="18" t="str">
        <f ca="1">Bracket!$I$15</f>
        <v>Jason</v>
      </c>
      <c r="S443" s="18"/>
      <c r="T443" s="18"/>
      <c r="U443" s="18"/>
      <c r="V443" s="18" t="str">
        <f ca="1">Bracket!$L$15</f>
        <v>Jason</v>
      </c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  <c r="CI443" s="18"/>
      <c r="CJ443" s="18"/>
      <c r="CK443" s="18"/>
      <c r="CL443" s="18"/>
      <c r="CM443" s="18"/>
      <c r="CN443" s="18"/>
      <c r="CO443" s="18"/>
      <c r="CP443" s="18"/>
      <c r="CQ443" s="18"/>
      <c r="CR443" s="18"/>
      <c r="CS443" s="18"/>
      <c r="CT443" s="18"/>
      <c r="CU443" s="18"/>
      <c r="CV443" s="18"/>
      <c r="CW443" s="18"/>
      <c r="CX443" s="18"/>
      <c r="CY443" s="18"/>
      <c r="CZ443" s="18"/>
      <c r="DA443" s="18"/>
      <c r="DB443" s="18"/>
      <c r="DC443" s="18"/>
      <c r="DD443" s="18"/>
      <c r="DE443" s="18"/>
      <c r="DF443" s="18"/>
    </row>
    <row r="444" spans="1:110">
      <c r="A444" s="170" t="s">
        <v>160</v>
      </c>
      <c r="B444" s="72">
        <v>1</v>
      </c>
      <c r="C444" s="72">
        <v>2</v>
      </c>
      <c r="D444" s="72">
        <v>3</v>
      </c>
      <c r="E444" s="72">
        <v>4</v>
      </c>
      <c r="F444" s="72">
        <v>5</v>
      </c>
      <c r="G444" s="72">
        <v>6</v>
      </c>
      <c r="H444" s="72">
        <v>7</v>
      </c>
      <c r="I444" s="73">
        <v>8</v>
      </c>
      <c r="J444" s="73">
        <v>9</v>
      </c>
      <c r="K444" s="73" t="s">
        <v>161</v>
      </c>
      <c r="L444" s="73" t="s">
        <v>162</v>
      </c>
      <c r="M444" s="74" t="s">
        <v>163</v>
      </c>
      <c r="N444" s="24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8"/>
      <c r="CG444" s="18"/>
      <c r="CH444" s="18"/>
      <c r="CI444" s="18"/>
      <c r="CJ444" s="18"/>
      <c r="CK444" s="18"/>
      <c r="CL444" s="18"/>
      <c r="CM444" s="18"/>
      <c r="CN444" s="18"/>
      <c r="CO444" s="18"/>
      <c r="CP444" s="18"/>
      <c r="CQ444" s="18"/>
      <c r="CR444" s="18"/>
      <c r="CS444" s="18"/>
      <c r="CT444" s="18"/>
      <c r="CU444" s="18"/>
      <c r="CV444" s="18"/>
      <c r="CW444" s="18"/>
      <c r="CX444" s="18"/>
      <c r="CY444" s="18"/>
      <c r="CZ444" s="18"/>
      <c r="DA444" s="18"/>
      <c r="DB444" s="18"/>
      <c r="DC444" s="18"/>
      <c r="DD444" s="18"/>
      <c r="DE444" s="18"/>
      <c r="DF444" s="18"/>
    </row>
    <row r="445" spans="1:110">
      <c r="A445" s="171" t="str">
        <f ca="1">N443</f>
        <v>Nick</v>
      </c>
      <c r="B445" s="75" cm="1">
        <f t="array" aca="1" ref="B445" ca="1">IFERROR(_xlfn.LET(_xlpm.flatPAraw,_xlfn.TOCOL(_xlfn.CHOOSECOLS(C450:L458,1,3,5,7,9),0,TRUE),_xlpm.flatPARraw,_xlfn.TOCOL(_xlfn.CHOOSECOLS(C450:L458,2,4,6,8,10)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445" s="75" cm="1">
        <f t="array" aca="1" ref="C445" ca="1">IFERROR(_xlfn.LET(_xlpm.flatPAraw,_xlfn.TOCOL(_xlfn.CHOOSECOLS(C450:L458,1,3,5,7,9),0,TRUE),_xlpm.flatPARraw,_xlfn.TOCOL(_xlfn.CHOOSECOLS(C450:L458,2,4,6,8,10)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445" s="75" cm="1">
        <f t="array" aca="1" ref="D445" ca="1">IFERROR(_xlfn.LET(_xlpm.flatPAraw,_xlfn.TOCOL(_xlfn.CHOOSECOLS(C450:L458,1,3,5,7,9),0,TRUE),_xlpm.flatPARraw,_xlfn.TOCOL(_xlfn.CHOOSECOLS(C450:L458,2,4,6,8,10)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445" s="75" cm="1">
        <f t="array" aca="1" ref="E445" ca="1">IFERROR(_xlfn.LET(_xlpm.flatPAraw,_xlfn.TOCOL(_xlfn.CHOOSECOLS(C450:L458,1,3,5,7,9),0,TRUE),_xlpm.flatPARraw,_xlfn.TOCOL(_xlfn.CHOOSECOLS(C450:L458,2,4,6,8,10)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445" s="75" cm="1">
        <f t="array" aca="1" ref="F445" ca="1">IFERROR(_xlfn.LET(_xlpm.flatPAraw,_xlfn.TOCOL(_xlfn.CHOOSECOLS(C450:L458,1,3,5,7,9),0,TRUE),_xlpm.flatPARraw,_xlfn.TOCOL(_xlfn.CHOOSECOLS(C450:L458,2,4,6,8,10)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445" s="75" cm="1">
        <f t="array" aca="1" ref="G445" ca="1">IFERROR(_xlfn.LET(_xlpm.flatPAraw,_xlfn.TOCOL(_xlfn.CHOOSECOLS(C450:L458,1,3,5,7,9),0,TRUE),_xlpm.flatPARraw,_xlfn.TOCOL(_xlfn.CHOOSECOLS(C450:L458,2,4,6,8,10)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445" s="75" cm="1">
        <f t="array" aca="1" ref="H445" ca="1">IFERROR(_xlfn.LET(_xlpm.flatPAraw,_xlfn.TOCOL(_xlfn.CHOOSECOLS(C450:L458,1,3,5,7,9),0,TRUE),_xlpm.flatPARraw,_xlfn.TOCOL(_xlfn.CHOOSECOLS(C450:L458,2,4,6,8,10)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445" s="76" cm="1">
        <f t="array" aca="1" ref="I445" ca="1">IFERROR(_xlfn.LET(_xlpm.flatPAraw,_xlfn.TOCOL(_xlfn.CHOOSECOLS(C450:L458,1,3,5,7,9),0,TRUE),_xlpm.flatPARraw,_xlfn.TOCOL(_xlfn.CHOOSECOLS(C450:L458,2,4,6,8,10)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445" s="76" cm="1">
        <f t="array" aca="1" ref="J445" ca="1">IFERROR(_xlfn.LET(_xlpm.flatPAraw,_xlfn.TOCOL(_xlfn.CHOOSECOLS(C450:L458,1,3,5,7,9),0,TRUE),_xlpm.flatPARraw,_xlfn.TOCOL(_xlfn.CHOOSECOLS(C450:L458,2,4,6,8,10)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445" s="164">
        <f ca="1">SUM(B445:J445)</f>
        <v>0</v>
      </c>
      <c r="L445" s="77">
        <f ca="1">SUM(O450:O458)</f>
        <v>4</v>
      </c>
      <c r="M445" s="78">
        <f ca="1">COUNTIF(C471:L479,"ROE")</f>
        <v>0</v>
      </c>
      <c r="N445" s="24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  <c r="CI445" s="18"/>
      <c r="CJ445" s="18"/>
      <c r="CK445" s="18"/>
      <c r="CL445" s="18"/>
      <c r="CM445" s="18"/>
      <c r="CN445" s="18"/>
      <c r="CO445" s="18"/>
      <c r="CP445" s="18"/>
      <c r="CQ445" s="18"/>
      <c r="CR445" s="18"/>
      <c r="CS445" s="18"/>
      <c r="CT445" s="18"/>
      <c r="CU445" s="18"/>
      <c r="CV445" s="18"/>
      <c r="CW445" s="18"/>
      <c r="CX445" s="18"/>
      <c r="CY445" s="18"/>
      <c r="CZ445" s="18"/>
      <c r="DA445" s="18"/>
      <c r="DB445" s="18"/>
      <c r="DC445" s="18"/>
      <c r="DD445" s="18"/>
      <c r="DE445" s="18"/>
      <c r="DF445" s="18"/>
    </row>
    <row r="446" spans="1:110">
      <c r="A446" s="172" t="str">
        <f ca="1">R443</f>
        <v>Jason</v>
      </c>
      <c r="B446" s="79" cm="1">
        <f t="array" aca="1" ref="B446" ca="1">IFERROR(_xlfn.LET(_xlpm.flatPAraw,_xlfn.TOCOL(_xlfn.CHOOSECOLS(C471:L479,1,3,5,7,9),0,TRUE),_xlpm.flatPARraw,_xlfn.TOCOL(_xlfn.CHOOSECOLS(C471:L479,2,4,6,8,10)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446" s="79" cm="1">
        <f t="array" aca="1" ref="C446" ca="1">IFERROR(_xlfn.LET(_xlpm.flatPAraw,_xlfn.TOCOL(_xlfn.CHOOSECOLS(C471:L479,1,3,5,7,9),0,TRUE),_xlpm.flatPARraw,_xlfn.TOCOL(_xlfn.CHOOSECOLS(C471:L479,2,4,6,8,10)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446" s="79" cm="1">
        <f t="array" aca="1" ref="D446" ca="1">IFERROR(_xlfn.LET(_xlpm.flatPAraw,_xlfn.TOCOL(_xlfn.CHOOSECOLS(C471:L479,1,3,5,7,9),0,TRUE),_xlpm.flatPARraw,_xlfn.TOCOL(_xlfn.CHOOSECOLS(C471:L479,2,4,6,8,10)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4</v>
      </c>
      <c r="E446" s="79" cm="1">
        <f t="array" aca="1" ref="E446" ca="1">IFERROR(_xlfn.LET(_xlpm.flatPAraw,_xlfn.TOCOL(_xlfn.CHOOSECOLS(C471:L479,1,3,5,7,9),0,TRUE),_xlpm.flatPARraw,_xlfn.TOCOL(_xlfn.CHOOSECOLS(C471:L479,2,4,6,8,10)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446" s="79" cm="1">
        <f t="array" aca="1" ref="F446" ca="1">IFERROR(_xlfn.LET(_xlpm.flatPAraw,_xlfn.TOCOL(_xlfn.CHOOSECOLS(C471:L479,1,3,5,7,9),0,TRUE),_xlpm.flatPARraw,_xlfn.TOCOL(_xlfn.CHOOSECOLS(C471:L479,2,4,6,8,10)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446" s="79" cm="1">
        <f t="array" aca="1" ref="G446" ca="1">IFERROR(_xlfn.LET(_xlpm.flatPAraw,_xlfn.TOCOL(_xlfn.CHOOSECOLS(C471:L479,1,3,5,7,9),0,TRUE),_xlpm.flatPARraw,_xlfn.TOCOL(_xlfn.CHOOSECOLS(C471:L479,2,4,6,8,10)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446" s="79" cm="1">
        <f t="array" aca="1" ref="H446" ca="1">IFERROR(_xlfn.LET(_xlpm.flatPAraw,_xlfn.TOCOL(_xlfn.CHOOSECOLS(C471:L479,1,3,5,7,9),0,TRUE),_xlpm.flatPARraw,_xlfn.TOCOL(_xlfn.CHOOSECOLS(C471:L479,2,4,6,8,10)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446" s="80" cm="1">
        <f t="array" aca="1" ref="I446" ca="1">IFERROR(_xlfn.LET(_xlpm.flatPAraw,_xlfn.TOCOL(_xlfn.CHOOSECOLS(C471:L479,1,3,5,7,9),0,TRUE),_xlpm.flatPARraw,_xlfn.TOCOL(_xlfn.CHOOSECOLS(C471:L479,2,4,6,8,10)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446" s="80" cm="1">
        <f t="array" aca="1" ref="J446" ca="1">IFERROR(_xlfn.LET(_xlpm.flatPAraw,_xlfn.TOCOL(_xlfn.CHOOSECOLS(C471:L479,1,3,5,7,9),0,TRUE),_xlpm.flatPARraw,_xlfn.TOCOL(_xlfn.CHOOSECOLS(C471:L479,2,4,6,8,10)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446" s="165">
        <f ca="1">SUM(B446:J446)</f>
        <v>4</v>
      </c>
      <c r="L446" s="81">
        <f ca="1">SUM(O471:O479)</f>
        <v>7</v>
      </c>
      <c r="M446" s="82">
        <f ca="1">COUNTIF(C450:L458,"ROE")</f>
        <v>0</v>
      </c>
      <c r="N446" s="24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  <c r="CF446" s="18"/>
      <c r="CG446" s="18"/>
      <c r="CH446" s="18"/>
      <c r="CI446" s="18"/>
      <c r="CJ446" s="18"/>
      <c r="CK446" s="18"/>
      <c r="CL446" s="18"/>
      <c r="CM446" s="18"/>
      <c r="CN446" s="18"/>
      <c r="CO446" s="18"/>
      <c r="CP446" s="18"/>
      <c r="CQ446" s="18"/>
      <c r="CR446" s="18"/>
      <c r="CS446" s="18"/>
      <c r="CT446" s="18"/>
      <c r="CU446" s="18"/>
      <c r="CV446" s="18"/>
      <c r="CW446" s="18"/>
      <c r="CX446" s="18"/>
      <c r="CY446" s="18"/>
      <c r="CZ446" s="18"/>
      <c r="DA446" s="18"/>
      <c r="DB446" s="18"/>
      <c r="DC446" s="18"/>
      <c r="DD446" s="18"/>
      <c r="DE446" s="18"/>
      <c r="DF446" s="18"/>
    </row>
    <row r="447" spans="1:110">
      <c r="A447" s="173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8"/>
      <c r="CG447" s="18"/>
      <c r="CH447" s="18"/>
      <c r="CI447" s="18"/>
      <c r="CJ447" s="18"/>
      <c r="CK447" s="18"/>
      <c r="CL447" s="18"/>
      <c r="CM447" s="18"/>
      <c r="CN447" s="18"/>
      <c r="CO447" s="18"/>
      <c r="CP447" s="18"/>
      <c r="CQ447" s="18"/>
      <c r="CR447" s="18"/>
      <c r="CS447" s="18"/>
      <c r="CT447" s="18"/>
      <c r="CU447" s="18"/>
      <c r="CV447" s="18"/>
      <c r="CW447" s="18"/>
      <c r="CX447" s="18"/>
      <c r="CY447" s="18"/>
      <c r="CZ447" s="18"/>
      <c r="DA447" s="18"/>
      <c r="DB447" s="18"/>
      <c r="DC447" s="18"/>
      <c r="DD447" s="18"/>
      <c r="DE447" s="18"/>
      <c r="DF447" s="18"/>
    </row>
    <row r="448" spans="1:110">
      <c r="A448" s="205" t="str">
        <f ca="1">IF($N$443="","Team A Batting",$N$443&amp;" Batting")</f>
        <v>Nick Batting</v>
      </c>
      <c r="B448" s="206"/>
      <c r="C448" s="206"/>
      <c r="D448" s="206"/>
      <c r="E448" s="206"/>
      <c r="F448" s="206"/>
      <c r="G448" s="206"/>
      <c r="H448" s="206"/>
      <c r="I448" s="206"/>
      <c r="J448" s="206"/>
      <c r="K448" s="206"/>
      <c r="L448" s="206"/>
      <c r="M448" s="206"/>
      <c r="N448" s="206"/>
      <c r="O448" s="181"/>
      <c r="P448" s="182"/>
      <c r="Q448" s="182"/>
      <c r="R448" s="182"/>
      <c r="S448" s="182"/>
      <c r="T448" s="182"/>
      <c r="U448" s="182"/>
      <c r="V448" s="182"/>
      <c r="W448" s="182"/>
      <c r="X448" s="182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18"/>
      <c r="CI448" s="18"/>
      <c r="CJ448" s="18"/>
      <c r="CK448" s="18"/>
      <c r="CL448" s="18"/>
      <c r="CM448" s="18"/>
      <c r="CN448" s="18"/>
      <c r="CO448" s="18"/>
      <c r="CP448" s="18"/>
      <c r="CQ448" s="18"/>
      <c r="CR448" s="18"/>
      <c r="CS448" s="18"/>
      <c r="CT448" s="18"/>
      <c r="CU448" s="18"/>
      <c r="CV448" s="18"/>
      <c r="CW448" s="18"/>
      <c r="CX448" s="18"/>
      <c r="CY448" s="18"/>
      <c r="CZ448" s="18"/>
      <c r="DA448" s="18"/>
      <c r="DB448" s="18"/>
      <c r="DC448" s="18"/>
      <c r="DD448" s="18"/>
      <c r="DE448" s="18"/>
      <c r="DF448" s="18"/>
    </row>
    <row r="449" spans="1:110">
      <c r="A449" s="167" t="s">
        <v>164</v>
      </c>
      <c r="B449" s="43" t="s">
        <v>39</v>
      </c>
      <c r="C449" s="43" t="s">
        <v>165</v>
      </c>
      <c r="D449" s="43" t="s">
        <v>166</v>
      </c>
      <c r="E449" s="43" t="s">
        <v>167</v>
      </c>
      <c r="F449" s="43" t="s">
        <v>168</v>
      </c>
      <c r="G449" s="43" t="s">
        <v>169</v>
      </c>
      <c r="H449" s="43" t="s">
        <v>170</v>
      </c>
      <c r="I449" s="43" t="s">
        <v>171</v>
      </c>
      <c r="J449" s="43" t="s">
        <v>172</v>
      </c>
      <c r="K449" s="43" t="s">
        <v>173</v>
      </c>
      <c r="L449" s="43" t="s">
        <v>174</v>
      </c>
      <c r="M449" s="43" t="s">
        <v>175</v>
      </c>
      <c r="N449" s="44" t="s">
        <v>161</v>
      </c>
      <c r="O449" s="44" t="s">
        <v>162</v>
      </c>
      <c r="P449" s="44" t="s">
        <v>176</v>
      </c>
      <c r="Q449" s="44" t="s">
        <v>177</v>
      </c>
      <c r="R449" s="44" t="s">
        <v>178</v>
      </c>
      <c r="S449" s="44" t="s">
        <v>179</v>
      </c>
      <c r="T449" s="44" t="s">
        <v>180</v>
      </c>
      <c r="U449" s="44" t="s">
        <v>181</v>
      </c>
      <c r="V449" s="44" t="s">
        <v>182</v>
      </c>
      <c r="W449" s="44" t="s">
        <v>183</v>
      </c>
      <c r="X449" s="45" t="s">
        <v>184</v>
      </c>
      <c r="Y449" s="45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  <c r="CF449" s="18"/>
      <c r="CG449" s="18"/>
      <c r="CH449" s="18"/>
      <c r="CI449" s="18"/>
      <c r="CJ449" s="18"/>
      <c r="CK449" s="18"/>
      <c r="CL449" s="18"/>
      <c r="CM449" s="18"/>
      <c r="CN449" s="18"/>
      <c r="CO449" s="18"/>
      <c r="CP449" s="18"/>
      <c r="CQ449" s="18"/>
      <c r="CR449" s="18"/>
      <c r="CS449" s="18"/>
      <c r="CT449" s="18"/>
      <c r="CU449" s="18"/>
      <c r="CV449" s="18"/>
      <c r="CW449" s="18"/>
      <c r="CX449" s="18"/>
      <c r="CY449" s="18"/>
      <c r="CZ449" s="18"/>
      <c r="DA449" s="18"/>
      <c r="DB449" s="18"/>
      <c r="DC449" s="18"/>
      <c r="DD449" s="18"/>
      <c r="DE449" s="18"/>
      <c r="DF449" s="18"/>
    </row>
    <row r="450" spans="1:110">
      <c r="A450" s="168">
        <v>1</v>
      </c>
      <c r="B450" s="47" t="str">
        <f ca="1">Lineups!$C$131</f>
        <v>Monty Mole</v>
      </c>
      <c r="C450" s="48" t="s">
        <v>186</v>
      </c>
      <c r="D450" s="49"/>
      <c r="E450" s="49" t="s">
        <v>185</v>
      </c>
      <c r="F450" s="49"/>
      <c r="G450" s="49"/>
      <c r="H450" s="50"/>
      <c r="I450" s="50"/>
      <c r="J450" s="50"/>
      <c r="K450" s="50"/>
      <c r="L450" s="50"/>
      <c r="M450" s="67">
        <f ca="1">IF($B450="","",SUM(_xlfn.XLOOKUP(C450,Lists!$P$2:$P$19,Lists!$R$2:$R$19,0),_xlfn.XLOOKUP(E450,Lists!$P$2:$P$19,Lists!$R$2:$R$19,0),_xlfn.XLOOKUP(G450,Lists!$P$2:$P$19,Lists!$R$2:$R$19,0),_xlfn.XLOOKUP(I450,Lists!$P$2:$P$19,Lists!$R$2:$R$19,0),_xlfn.XLOOKUP(K450,Lists!$P$2:$P$19,Lists!$R$2:$R$19,0)))</f>
        <v>2</v>
      </c>
      <c r="N450" s="68">
        <f ca="1">IF($B450="","",SUM(_xlfn.XLOOKUP(D450,Lists!$AC$2:$AC$9,Lists!$AE$2:$AE$9,0),_xlfn.XLOOKUP(F450,Lists!$AC$2:$AC$9,Lists!$AE$2:$AE$9,0),_xlfn.XLOOKUP(H450,Lists!$AC$2:$AC$9,Lists!$AE$2:$AE$9,0),_xlfn.XLOOKUP(J450,Lists!$AC$2:$AC$9,Lists!$AE$2:$AE$9,0),_xlfn.XLOOKUP(L450,Lists!$AC$2:$AC$9,Lists!$AE$2:$AE$9,0)))</f>
        <v>0</v>
      </c>
      <c r="O450" s="68">
        <f ca="1">IF($B450="","",SUM(_xlfn.XLOOKUP(C450,Lists!$P$2:$P$19,Lists!$S$2:$S$19,0),_xlfn.XLOOKUP(E450,Lists!$P$2:$P$19,Lists!$S$2:$S$19,0),_xlfn.XLOOKUP(G450,Lists!$P$2:$P$19,Lists!$S$2:$S$19,0),_xlfn.XLOOKUP(I450,Lists!$P$2:$P$19,Lists!$S$2:$S$19,0),_xlfn.XLOOKUP(K450,Lists!$P$2:$P$19,Lists!$S$2:$S$19,0)))</f>
        <v>0</v>
      </c>
      <c r="P450" s="68">
        <f ca="1">IF($B450="","",SUM(_xlfn.XLOOKUP(C450,Lists!$P$2:$P$19,Lists!$T$2:$T$19,0),_xlfn.XLOOKUP(E450,Lists!$P$2:$P$19,Lists!$T$2:$T$19,0),_xlfn.XLOOKUP(G450,Lists!$P$2:$P$19,Lists!$T$2:$T$19,0),_xlfn.XLOOKUP(I450,Lists!$P$2:$P$19,Lists!$T$2:$T$19,0),_xlfn.XLOOKUP(K450,Lists!$P$2:$P$19,Lists!$T$2:$T$19,0)))</f>
        <v>0</v>
      </c>
      <c r="Q450" s="68">
        <f ca="1">IF($B450="","",SUM(_xlfn.XLOOKUP(C450,Lists!$P$2:$P$19,Lists!$U$2:$U$19,0),_xlfn.XLOOKUP(E450,Lists!$P$2:$P$19,Lists!$U$2:$U$19,0),_xlfn.XLOOKUP(G450,Lists!$P$2:$P$19,Lists!$U$2:$U$19,0),_xlfn.XLOOKUP(I450,Lists!$P$2:$P$19,Lists!$U$2:$U$19,0),_xlfn.XLOOKUP(K450,Lists!$P$2:$P$19,Lists!$U$2:$U$19,0)))</f>
        <v>0</v>
      </c>
      <c r="R450" s="68">
        <f ca="1">IF($B450="","",SUM(_xlfn.XLOOKUP(C450,Lists!$P$2:$P$19,Lists!$V$2:$V$19,0),_xlfn.XLOOKUP(E450,Lists!$P$2:$P$19,Lists!$V$2:$V$19,0),_xlfn.XLOOKUP(G450,Lists!$P$2:$P$19,Lists!$V$2:$V$19,0),_xlfn.XLOOKUP(I450,Lists!$P$2:$P$19,Lists!$V$2:$V$19,0),_xlfn.XLOOKUP(K450,Lists!$P$2:$P$19,Lists!$V$2:$V$19,0)))</f>
        <v>0</v>
      </c>
      <c r="S450" s="68">
        <f ca="1">IF($B450="","",SUM(_xlfn.XLOOKUP(D450,Lists!$AC$2:$AC$9,Lists!$AD$2:$AD$9,0),_xlfn.XLOOKUP(F450,Lists!$AC$2:$AC$9,Lists!$AD$2:$AD$9,0),_xlfn.XLOOKUP(H450,Lists!$AC$2:$AC$9,Lists!$AD$2:$AD$9,0),_xlfn.XLOOKUP(J450,Lists!$AC$2:$AC$9,Lists!$AD$2:$AD$9,0),_xlfn.XLOOKUP(L450,Lists!$AC$2:$AC$9,Lists!$AD$2:$AD$9,0)))</f>
        <v>0</v>
      </c>
      <c r="T450" s="68">
        <f ca="1">IF($B450="","",SUM(_xlfn.XLOOKUP(C450,Lists!$P$2:$P$19,Lists!$W$2:$W$19,0),_xlfn.XLOOKUP(E450,Lists!$P$2:$P$19,Lists!$W$2:$W$19,0),_xlfn.XLOOKUP(G450,Lists!$P$2:$P$19,Lists!$W$2:$W$19,0),_xlfn.XLOOKUP(I450,Lists!$P$2:$P$19,Lists!$W$2:$W$19,0),_xlfn.XLOOKUP(K450,Lists!$P$2:$P$19,Lists!$W$2:$W$19,0)))</f>
        <v>0</v>
      </c>
      <c r="U450" s="68">
        <f ca="1">IF($B450="","",SUM(_xlfn.XLOOKUP(C450,Lists!$P$2:$P$19,Lists!$X$2:$X$19,0),_xlfn.XLOOKUP(E450,Lists!$P$2:$P$19,Lists!$X$2:$X$19,0),_xlfn.XLOOKUP(G450,Lists!$P$2:$P$19,Lists!$X$2:$X$19,0),_xlfn.XLOOKUP(I450,Lists!$P$2:$P$19,Lists!$X$2:$X$19,0),_xlfn.XLOOKUP(K450,Lists!$P$2:$P$19,Lists!$X$2:$X$19,0)))</f>
        <v>1</v>
      </c>
      <c r="V450" s="68">
        <f ca="1">IF($B450="","",SUM(_xlfn.XLOOKUP(C450,Lists!$P$2:$P$19,Lists!$Y$2:$Y$19,0),_xlfn.XLOOKUP(E450,Lists!$P$2:$P$19,Lists!$Y$2:$Y$19,0),_xlfn.XLOOKUP(G450,Lists!$P$2:$P$19,Lists!$Y$2:$Y$19,0),_xlfn.XLOOKUP(I450,Lists!$P$2:$P$19,Lists!$Y$2:$Y$19,0),_xlfn.XLOOKUP(K450,Lists!$P$2:$P$19,Lists!$Y$2:$Y$19,0)))</f>
        <v>0</v>
      </c>
      <c r="W450" s="68">
        <f ca="1">IF($B450="","",SUM(_xlfn.XLOOKUP(C450,Lists!$P$2:$P$19,Lists!$Z$2:$Z$19,0),_xlfn.XLOOKUP(E450,Lists!$P$2:$P$19,Lists!$Z$2:$Z$19,0),_xlfn.XLOOKUP(G450,Lists!$P$2:$P$19,Lists!$Z$2:$Z$19,0),_xlfn.XLOOKUP(I450,Lists!$P$2:$P$19,Lists!$Z$2:$Z$19,0),_xlfn.XLOOKUP(K450,Lists!$P$2:$P$19,Lists!$Z$2:$Z$19,0)))</f>
        <v>0</v>
      </c>
      <c r="X450" s="69">
        <f ca="1">IF($B450="","",SUM(_xlfn.XLOOKUP(C450,Lists!$P$2:$P$19,Lists!$AA$2:$AA$19,0),_xlfn.XLOOKUP(E450,Lists!$P$2:$P$19,Lists!$AA$2:$AA$19,0),_xlfn.XLOOKUP(G450,Lists!$P$2:$P$19,Lists!$AA$2:$AA$19,0),_xlfn.XLOOKUP(I450,Lists!$P$2:$P$19,Lists!$AA$2:$AA$19,0),_xlfn.XLOOKUP(K450,Lists!$P$2:$P$19,Lists!$AA$2:$AA$19,0)))</f>
        <v>0</v>
      </c>
      <c r="Y450" s="4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8"/>
      <c r="CG450" s="18"/>
      <c r="CH450" s="18"/>
      <c r="CI450" s="18"/>
      <c r="CJ450" s="18"/>
      <c r="CK450" s="18"/>
      <c r="CL450" s="18"/>
      <c r="CM450" s="18"/>
      <c r="CN450" s="18"/>
      <c r="CO450" s="18"/>
      <c r="CP450" s="18"/>
      <c r="CQ450" s="18"/>
      <c r="CR450" s="18"/>
      <c r="CS450" s="18"/>
      <c r="CT450" s="18"/>
      <c r="CU450" s="18"/>
      <c r="CV450" s="18"/>
      <c r="CW450" s="18"/>
      <c r="CX450" s="18"/>
      <c r="CY450" s="18"/>
      <c r="CZ450" s="18"/>
      <c r="DA450" s="18"/>
      <c r="DB450" s="18"/>
      <c r="DC450" s="18"/>
      <c r="DD450" s="18"/>
      <c r="DE450" s="18"/>
      <c r="DF450" s="18"/>
    </row>
    <row r="451" spans="1:110">
      <c r="A451" s="168">
        <v>2</v>
      </c>
      <c r="B451" s="47" t="str">
        <f ca="1">Lineups!$C$132</f>
        <v>Green Dry Bones</v>
      </c>
      <c r="C451" s="49" t="s">
        <v>182</v>
      </c>
      <c r="D451" s="49"/>
      <c r="E451" s="49" t="s">
        <v>186</v>
      </c>
      <c r="F451" s="49"/>
      <c r="G451" s="49"/>
      <c r="H451" s="50"/>
      <c r="I451" s="50"/>
      <c r="J451" s="50"/>
      <c r="K451" s="50"/>
      <c r="L451" s="50"/>
      <c r="M451" s="67">
        <f ca="1">IF($B451="","",SUM(_xlfn.XLOOKUP(C451,Lists!$P$2:$P$19,Lists!$R$2:$R$19,0),_xlfn.XLOOKUP(E451,Lists!$P$2:$P$19,Lists!$R$2:$R$19,0),_xlfn.XLOOKUP(G451,Lists!$P$2:$P$19,Lists!$R$2:$R$19,0),_xlfn.XLOOKUP(I451,Lists!$P$2:$P$19,Lists!$R$2:$R$19,0),_xlfn.XLOOKUP(K451,Lists!$P$2:$P$19,Lists!$R$2:$R$19,0)))</f>
        <v>1</v>
      </c>
      <c r="N451" s="68">
        <f ca="1">IF($B451="","",SUM(_xlfn.XLOOKUP(D451,Lists!$AC$2:$AC$9,Lists!$AE$2:$AE$9,0),_xlfn.XLOOKUP(F451,Lists!$AC$2:$AC$9,Lists!$AE$2:$AE$9,0),_xlfn.XLOOKUP(H451,Lists!$AC$2:$AC$9,Lists!$AE$2:$AE$9,0),_xlfn.XLOOKUP(J451,Lists!$AC$2:$AC$9,Lists!$AE$2:$AE$9,0),_xlfn.XLOOKUP(L451,Lists!$AC$2:$AC$9,Lists!$AE$2:$AE$9,0)))</f>
        <v>0</v>
      </c>
      <c r="O451" s="68">
        <f ca="1">IF($B451="","",SUM(_xlfn.XLOOKUP(C451,Lists!$P$2:$P$19,Lists!$S$2:$S$19,0),_xlfn.XLOOKUP(E451,Lists!$P$2:$P$19,Lists!$S$2:$S$19,0),_xlfn.XLOOKUP(G451,Lists!$P$2:$P$19,Lists!$S$2:$S$19,0),_xlfn.XLOOKUP(I451,Lists!$P$2:$P$19,Lists!$S$2:$S$19,0),_xlfn.XLOOKUP(K451,Lists!$P$2:$P$19,Lists!$S$2:$S$19,0)))</f>
        <v>0</v>
      </c>
      <c r="P451" s="68">
        <f ca="1">IF($B451="","",SUM(_xlfn.XLOOKUP(C451,Lists!$P$2:$P$19,Lists!$T$2:$T$19,0),_xlfn.XLOOKUP(E451,Lists!$P$2:$P$19,Lists!$T$2:$T$19,0),_xlfn.XLOOKUP(G451,Lists!$P$2:$P$19,Lists!$T$2:$T$19,0),_xlfn.XLOOKUP(I451,Lists!$P$2:$P$19,Lists!$T$2:$T$19,0),_xlfn.XLOOKUP(K451,Lists!$P$2:$P$19,Lists!$T$2:$T$19,0)))</f>
        <v>0</v>
      </c>
      <c r="Q451" s="68">
        <f ca="1">IF($B451="","",SUM(_xlfn.XLOOKUP(C451,Lists!$P$2:$P$19,Lists!$U$2:$U$19,0),_xlfn.XLOOKUP(E451,Lists!$P$2:$P$19,Lists!$U$2:$U$19,0),_xlfn.XLOOKUP(G451,Lists!$P$2:$P$19,Lists!$U$2:$U$19,0),_xlfn.XLOOKUP(I451,Lists!$P$2:$P$19,Lists!$U$2:$U$19,0),_xlfn.XLOOKUP(K451,Lists!$P$2:$P$19,Lists!$U$2:$U$19,0)))</f>
        <v>0</v>
      </c>
      <c r="R451" s="68">
        <f ca="1">IF($B451="","",SUM(_xlfn.XLOOKUP(C451,Lists!$P$2:$P$19,Lists!$V$2:$V$19,0),_xlfn.XLOOKUP(E451,Lists!$P$2:$P$19,Lists!$V$2:$V$19,0),_xlfn.XLOOKUP(G451,Lists!$P$2:$P$19,Lists!$V$2:$V$19,0),_xlfn.XLOOKUP(I451,Lists!$P$2:$P$19,Lists!$V$2:$V$19,0),_xlfn.XLOOKUP(K451,Lists!$P$2:$P$19,Lists!$V$2:$V$19,0)))</f>
        <v>0</v>
      </c>
      <c r="S451" s="68">
        <f ca="1">IF($B451="","",SUM(_xlfn.XLOOKUP(D451,Lists!$AC$2:$AC$9,Lists!$AD$2:$AD$9,0),_xlfn.XLOOKUP(F451,Lists!$AC$2:$AC$9,Lists!$AD$2:$AD$9,0),_xlfn.XLOOKUP(H451,Lists!$AC$2:$AC$9,Lists!$AD$2:$AD$9,0),_xlfn.XLOOKUP(J451,Lists!$AC$2:$AC$9,Lists!$AD$2:$AD$9,0),_xlfn.XLOOKUP(L451,Lists!$AC$2:$AC$9,Lists!$AD$2:$AD$9,0)))</f>
        <v>0</v>
      </c>
      <c r="T451" s="68">
        <f ca="1">IF($B451="","",SUM(_xlfn.XLOOKUP(C451,Lists!$P$2:$P$19,Lists!$W$2:$W$19,0),_xlfn.XLOOKUP(E451,Lists!$P$2:$P$19,Lists!$W$2:$W$19,0),_xlfn.XLOOKUP(G451,Lists!$P$2:$P$19,Lists!$W$2:$W$19,0),_xlfn.XLOOKUP(I451,Lists!$P$2:$P$19,Lists!$W$2:$W$19,0),_xlfn.XLOOKUP(K451,Lists!$P$2:$P$19,Lists!$W$2:$W$19,0)))</f>
        <v>0</v>
      </c>
      <c r="U451" s="68">
        <f ca="1">IF($B451="","",SUM(_xlfn.XLOOKUP(C451,Lists!$P$2:$P$19,Lists!$X$2:$X$19,0),_xlfn.XLOOKUP(E451,Lists!$P$2:$P$19,Lists!$X$2:$X$19,0),_xlfn.XLOOKUP(G451,Lists!$P$2:$P$19,Lists!$X$2:$X$19,0),_xlfn.XLOOKUP(I451,Lists!$P$2:$P$19,Lists!$X$2:$X$19,0),_xlfn.XLOOKUP(K451,Lists!$P$2:$P$19,Lists!$X$2:$X$19,0)))</f>
        <v>0</v>
      </c>
      <c r="V451" s="68">
        <f ca="1">IF($B451="","",SUM(_xlfn.XLOOKUP(C451,Lists!$P$2:$P$19,Lists!$Y$2:$Y$19,0),_xlfn.XLOOKUP(E451,Lists!$P$2:$P$19,Lists!$Y$2:$Y$19,0),_xlfn.XLOOKUP(G451,Lists!$P$2:$P$19,Lists!$Y$2:$Y$19,0),_xlfn.XLOOKUP(I451,Lists!$P$2:$P$19,Lists!$Y$2:$Y$19,0),_xlfn.XLOOKUP(K451,Lists!$P$2:$P$19,Lists!$Y$2:$Y$19,0)))</f>
        <v>1</v>
      </c>
      <c r="W451" s="68">
        <f ca="1">IF($B451="","",SUM(_xlfn.XLOOKUP(C451,Lists!$P$2:$P$19,Lists!$Z$2:$Z$19,0),_xlfn.XLOOKUP(E451,Lists!$P$2:$P$19,Lists!$Z$2:$Z$19,0),_xlfn.XLOOKUP(G451,Lists!$P$2:$P$19,Lists!$Z$2:$Z$19,0),_xlfn.XLOOKUP(I451,Lists!$P$2:$P$19,Lists!$Z$2:$Z$19,0),_xlfn.XLOOKUP(K451,Lists!$P$2:$P$19,Lists!$Z$2:$Z$19,0)))</f>
        <v>0</v>
      </c>
      <c r="X451" s="69">
        <f ca="1">IF($B451="","",SUM(_xlfn.XLOOKUP(C451,Lists!$P$2:$P$19,Lists!$AA$2:$AA$19,0),_xlfn.XLOOKUP(E451,Lists!$P$2:$P$19,Lists!$AA$2:$AA$19,0),_xlfn.XLOOKUP(G451,Lists!$P$2:$P$19,Lists!$AA$2:$AA$19,0),_xlfn.XLOOKUP(I451,Lists!$P$2:$P$19,Lists!$AA$2:$AA$19,0),_xlfn.XLOOKUP(K451,Lists!$P$2:$P$19,Lists!$AA$2:$AA$19,0)))</f>
        <v>0</v>
      </c>
      <c r="Y451" s="49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8"/>
      <c r="CG451" s="18"/>
      <c r="CH451" s="18"/>
      <c r="CI451" s="18"/>
      <c r="CJ451" s="18"/>
      <c r="CK451" s="18"/>
      <c r="CL451" s="18"/>
      <c r="CM451" s="18"/>
      <c r="CN451" s="18"/>
      <c r="CO451" s="18"/>
      <c r="CP451" s="18"/>
      <c r="CQ451" s="18"/>
      <c r="CR451" s="18"/>
      <c r="CS451" s="18"/>
      <c r="CT451" s="18"/>
      <c r="CU451" s="18"/>
      <c r="CV451" s="18"/>
      <c r="CW451" s="18"/>
      <c r="CX451" s="18"/>
      <c r="CY451" s="18"/>
      <c r="CZ451" s="18"/>
      <c r="DA451" s="18"/>
      <c r="DB451" s="18"/>
      <c r="DC451" s="18"/>
      <c r="DD451" s="18"/>
      <c r="DE451" s="18"/>
      <c r="DF451" s="18"/>
    </row>
    <row r="452" spans="1:110">
      <c r="A452" s="168">
        <v>3</v>
      </c>
      <c r="B452" s="47" t="str">
        <f ca="1">Lineups!$C$133</f>
        <v>Daisy</v>
      </c>
      <c r="C452" s="49" t="s">
        <v>185</v>
      </c>
      <c r="D452" s="49"/>
      <c r="E452" s="49" t="s">
        <v>188</v>
      </c>
      <c r="F452" s="49"/>
      <c r="G452" s="49"/>
      <c r="H452" s="50"/>
      <c r="I452" s="50"/>
      <c r="J452" s="50"/>
      <c r="K452" s="50"/>
      <c r="L452" s="50"/>
      <c r="M452" s="67">
        <f ca="1">IF($B452="","",SUM(_xlfn.XLOOKUP(C452,Lists!$P$2:$P$19,Lists!$R$2:$R$19,0),_xlfn.XLOOKUP(E452,Lists!$P$2:$P$19,Lists!$R$2:$R$19,0),_xlfn.XLOOKUP(G452,Lists!$P$2:$P$19,Lists!$R$2:$R$19,0),_xlfn.XLOOKUP(I452,Lists!$P$2:$P$19,Lists!$R$2:$R$19,0),_xlfn.XLOOKUP(K452,Lists!$P$2:$P$19,Lists!$R$2:$R$19,0)))</f>
        <v>2</v>
      </c>
      <c r="N452" s="68">
        <f ca="1">IF($B452="","",SUM(_xlfn.XLOOKUP(D452,Lists!$AC$2:$AC$9,Lists!$AE$2:$AE$9,0),_xlfn.XLOOKUP(F452,Lists!$AC$2:$AC$9,Lists!$AE$2:$AE$9,0),_xlfn.XLOOKUP(H452,Lists!$AC$2:$AC$9,Lists!$AE$2:$AE$9,0),_xlfn.XLOOKUP(J452,Lists!$AC$2:$AC$9,Lists!$AE$2:$AE$9,0),_xlfn.XLOOKUP(L452,Lists!$AC$2:$AC$9,Lists!$AE$2:$AE$9,0)))</f>
        <v>0</v>
      </c>
      <c r="O452" s="68">
        <f ca="1">IF($B452="","",SUM(_xlfn.XLOOKUP(C452,Lists!$P$2:$P$19,Lists!$S$2:$S$19,0),_xlfn.XLOOKUP(E452,Lists!$P$2:$P$19,Lists!$S$2:$S$19,0),_xlfn.XLOOKUP(G452,Lists!$P$2:$P$19,Lists!$S$2:$S$19,0),_xlfn.XLOOKUP(I452,Lists!$P$2:$P$19,Lists!$S$2:$S$19,0),_xlfn.XLOOKUP(K452,Lists!$P$2:$P$19,Lists!$S$2:$S$19,0)))</f>
        <v>1</v>
      </c>
      <c r="P452" s="68">
        <f ca="1">IF($B452="","",SUM(_xlfn.XLOOKUP(C452,Lists!$P$2:$P$19,Lists!$T$2:$T$19,0),_xlfn.XLOOKUP(E452,Lists!$P$2:$P$19,Lists!$T$2:$T$19,0),_xlfn.XLOOKUP(G452,Lists!$P$2:$P$19,Lists!$T$2:$T$19,0),_xlfn.XLOOKUP(I452,Lists!$P$2:$P$19,Lists!$T$2:$T$19,0),_xlfn.XLOOKUP(K452,Lists!$P$2:$P$19,Lists!$T$2:$T$19,0)))</f>
        <v>0</v>
      </c>
      <c r="Q452" s="68">
        <f ca="1">IF($B452="","",SUM(_xlfn.XLOOKUP(C452,Lists!$P$2:$P$19,Lists!$U$2:$U$19,0),_xlfn.XLOOKUP(E452,Lists!$P$2:$P$19,Lists!$U$2:$U$19,0),_xlfn.XLOOKUP(G452,Lists!$P$2:$P$19,Lists!$U$2:$U$19,0),_xlfn.XLOOKUP(I452,Lists!$P$2:$P$19,Lists!$U$2:$U$19,0),_xlfn.XLOOKUP(K452,Lists!$P$2:$P$19,Lists!$U$2:$U$19,0)))</f>
        <v>0</v>
      </c>
      <c r="R452" s="68">
        <f ca="1">IF($B452="","",SUM(_xlfn.XLOOKUP(C452,Lists!$P$2:$P$19,Lists!$V$2:$V$19,0),_xlfn.XLOOKUP(E452,Lists!$P$2:$P$19,Lists!$V$2:$V$19,0),_xlfn.XLOOKUP(G452,Lists!$P$2:$P$19,Lists!$V$2:$V$19,0),_xlfn.XLOOKUP(I452,Lists!$P$2:$P$19,Lists!$V$2:$V$19,0),_xlfn.XLOOKUP(K452,Lists!$P$2:$P$19,Lists!$V$2:$V$19,0)))</f>
        <v>0</v>
      </c>
      <c r="S452" s="68">
        <f ca="1">IF($B452="","",SUM(_xlfn.XLOOKUP(D452,Lists!$AC$2:$AC$9,Lists!$AD$2:$AD$9,0),_xlfn.XLOOKUP(F452,Lists!$AC$2:$AC$9,Lists!$AD$2:$AD$9,0),_xlfn.XLOOKUP(H452,Lists!$AC$2:$AC$9,Lists!$AD$2:$AD$9,0),_xlfn.XLOOKUP(J452,Lists!$AC$2:$AC$9,Lists!$AD$2:$AD$9,0),_xlfn.XLOOKUP(L452,Lists!$AC$2:$AC$9,Lists!$AD$2:$AD$9,0)))</f>
        <v>0</v>
      </c>
      <c r="T452" s="68">
        <f ca="1">IF($B452="","",SUM(_xlfn.XLOOKUP(C452,Lists!$P$2:$P$19,Lists!$W$2:$W$19,0),_xlfn.XLOOKUP(E452,Lists!$P$2:$P$19,Lists!$W$2:$W$19,0),_xlfn.XLOOKUP(G452,Lists!$P$2:$P$19,Lists!$W$2:$W$19,0),_xlfn.XLOOKUP(I452,Lists!$P$2:$P$19,Lists!$W$2:$W$19,0),_xlfn.XLOOKUP(K452,Lists!$P$2:$P$19,Lists!$W$2:$W$19,0)))</f>
        <v>0</v>
      </c>
      <c r="U452" s="68">
        <f ca="1">IF($B452="","",SUM(_xlfn.XLOOKUP(C452,Lists!$P$2:$P$19,Lists!$X$2:$X$19,0),_xlfn.XLOOKUP(E452,Lists!$P$2:$P$19,Lists!$X$2:$X$19,0),_xlfn.XLOOKUP(G452,Lists!$P$2:$P$19,Lists!$X$2:$X$19,0),_xlfn.XLOOKUP(I452,Lists!$P$2:$P$19,Lists!$X$2:$X$19,0),_xlfn.XLOOKUP(K452,Lists!$P$2:$P$19,Lists!$X$2:$X$19,0)))</f>
        <v>1</v>
      </c>
      <c r="V452" s="68">
        <f ca="1">IF($B452="","",SUM(_xlfn.XLOOKUP(C452,Lists!$P$2:$P$19,Lists!$Y$2:$Y$19,0),_xlfn.XLOOKUP(E452,Lists!$P$2:$P$19,Lists!$Y$2:$Y$19,0),_xlfn.XLOOKUP(G452,Lists!$P$2:$P$19,Lists!$Y$2:$Y$19,0),_xlfn.XLOOKUP(I452,Lists!$P$2:$P$19,Lists!$Y$2:$Y$19,0),_xlfn.XLOOKUP(K452,Lists!$P$2:$P$19,Lists!$Y$2:$Y$19,0)))</f>
        <v>0</v>
      </c>
      <c r="W452" s="68">
        <f ca="1">IF($B452="","",SUM(_xlfn.XLOOKUP(C452,Lists!$P$2:$P$19,Lists!$Z$2:$Z$19,0),_xlfn.XLOOKUP(E452,Lists!$P$2:$P$19,Lists!$Z$2:$Z$19,0),_xlfn.XLOOKUP(G452,Lists!$P$2:$P$19,Lists!$Z$2:$Z$19,0),_xlfn.XLOOKUP(I452,Lists!$P$2:$P$19,Lists!$Z$2:$Z$19,0),_xlfn.XLOOKUP(K452,Lists!$P$2:$P$19,Lists!$Z$2:$Z$19,0)))</f>
        <v>0</v>
      </c>
      <c r="X452" s="69">
        <f ca="1">IF($B452="","",SUM(_xlfn.XLOOKUP(C452,Lists!$P$2:$P$19,Lists!$AA$2:$AA$19,0),_xlfn.XLOOKUP(E452,Lists!$P$2:$P$19,Lists!$AA$2:$AA$19,0),_xlfn.XLOOKUP(G452,Lists!$P$2:$P$19,Lists!$AA$2:$AA$19,0),_xlfn.XLOOKUP(I452,Lists!$P$2:$P$19,Lists!$AA$2:$AA$19,0),_xlfn.XLOOKUP(K452,Lists!$P$2:$P$19,Lists!$AA$2:$AA$19,0)))</f>
        <v>0</v>
      </c>
      <c r="Y452" s="49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  <c r="CI452" s="18"/>
      <c r="CJ452" s="18"/>
      <c r="CK452" s="18"/>
      <c r="CL452" s="18"/>
      <c r="CM452" s="18"/>
      <c r="CN452" s="18"/>
      <c r="CO452" s="18"/>
      <c r="CP452" s="18"/>
      <c r="CQ452" s="18"/>
      <c r="CR452" s="18"/>
      <c r="CS452" s="18"/>
      <c r="CT452" s="18"/>
      <c r="CU452" s="18"/>
      <c r="CV452" s="18"/>
      <c r="CW452" s="18"/>
      <c r="CX452" s="18"/>
      <c r="CY452" s="18"/>
      <c r="CZ452" s="18"/>
      <c r="DA452" s="18"/>
      <c r="DB452" s="18"/>
      <c r="DC452" s="18"/>
      <c r="DD452" s="18"/>
      <c r="DE452" s="18"/>
      <c r="DF452" s="18"/>
    </row>
    <row r="453" spans="1:110">
      <c r="A453" s="168">
        <v>4</v>
      </c>
      <c r="B453" s="47" t="str">
        <f ca="1">Lineups!$C$134</f>
        <v>Wario</v>
      </c>
      <c r="C453" s="49" t="s">
        <v>185</v>
      </c>
      <c r="D453" s="49"/>
      <c r="E453" s="49" t="s">
        <v>205</v>
      </c>
      <c r="F453" s="49"/>
      <c r="G453" s="49"/>
      <c r="H453" s="50"/>
      <c r="I453" s="50"/>
      <c r="J453" s="50"/>
      <c r="K453" s="50"/>
      <c r="L453" s="50"/>
      <c r="M453" s="67">
        <f ca="1">IF($B453="","",SUM(_xlfn.XLOOKUP(C453,Lists!$P$2:$P$19,Lists!$R$2:$R$19,0),_xlfn.XLOOKUP(E453,Lists!$P$2:$P$19,Lists!$R$2:$R$19,0),_xlfn.XLOOKUP(G453,Lists!$P$2:$P$19,Lists!$R$2:$R$19,0),_xlfn.XLOOKUP(I453,Lists!$P$2:$P$19,Lists!$R$2:$R$19,0),_xlfn.XLOOKUP(K453,Lists!$P$2:$P$19,Lists!$R$2:$R$19,0)))</f>
        <v>2</v>
      </c>
      <c r="N453" s="68">
        <f ca="1">IF($B453="","",SUM(_xlfn.XLOOKUP(D453,Lists!$AC$2:$AC$9,Lists!$AE$2:$AE$9,0),_xlfn.XLOOKUP(F453,Lists!$AC$2:$AC$9,Lists!$AE$2:$AE$9,0),_xlfn.XLOOKUP(H453,Lists!$AC$2:$AC$9,Lists!$AE$2:$AE$9,0),_xlfn.XLOOKUP(J453,Lists!$AC$2:$AC$9,Lists!$AE$2:$AE$9,0),_xlfn.XLOOKUP(L453,Lists!$AC$2:$AC$9,Lists!$AE$2:$AE$9,0)))</f>
        <v>0</v>
      </c>
      <c r="O453" s="68">
        <f ca="1">IF($B453="","",SUM(_xlfn.XLOOKUP(C453,Lists!$P$2:$P$19,Lists!$S$2:$S$19,0),_xlfn.XLOOKUP(E453,Lists!$P$2:$P$19,Lists!$S$2:$S$19,0),_xlfn.XLOOKUP(G453,Lists!$P$2:$P$19,Lists!$S$2:$S$19,0),_xlfn.XLOOKUP(I453,Lists!$P$2:$P$19,Lists!$S$2:$S$19,0),_xlfn.XLOOKUP(K453,Lists!$P$2:$P$19,Lists!$S$2:$S$19,0)))</f>
        <v>0</v>
      </c>
      <c r="P453" s="68">
        <f ca="1">IF($B453="","",SUM(_xlfn.XLOOKUP(C453,Lists!$P$2:$P$19,Lists!$T$2:$T$19,0),_xlfn.XLOOKUP(E453,Lists!$P$2:$P$19,Lists!$T$2:$T$19,0),_xlfn.XLOOKUP(G453,Lists!$P$2:$P$19,Lists!$T$2:$T$19,0),_xlfn.XLOOKUP(I453,Lists!$P$2:$P$19,Lists!$T$2:$T$19,0),_xlfn.XLOOKUP(K453,Lists!$P$2:$P$19,Lists!$T$2:$T$19,0)))</f>
        <v>0</v>
      </c>
      <c r="Q453" s="68">
        <f ca="1">IF($B453="","",SUM(_xlfn.XLOOKUP(C453,Lists!$P$2:$P$19,Lists!$U$2:$U$19,0),_xlfn.XLOOKUP(E453,Lists!$P$2:$P$19,Lists!$U$2:$U$19,0),_xlfn.XLOOKUP(G453,Lists!$P$2:$P$19,Lists!$U$2:$U$19,0),_xlfn.XLOOKUP(I453,Lists!$P$2:$P$19,Lists!$U$2:$U$19,0),_xlfn.XLOOKUP(K453,Lists!$P$2:$P$19,Lists!$U$2:$U$19,0)))</f>
        <v>0</v>
      </c>
      <c r="R453" s="68">
        <f ca="1">IF($B453="","",SUM(_xlfn.XLOOKUP(C453,Lists!$P$2:$P$19,Lists!$V$2:$V$19,0),_xlfn.XLOOKUP(E453,Lists!$P$2:$P$19,Lists!$V$2:$V$19,0),_xlfn.XLOOKUP(G453,Lists!$P$2:$P$19,Lists!$V$2:$V$19,0),_xlfn.XLOOKUP(I453,Lists!$P$2:$P$19,Lists!$V$2:$V$19,0),_xlfn.XLOOKUP(K453,Lists!$P$2:$P$19,Lists!$V$2:$V$19,0)))</f>
        <v>0</v>
      </c>
      <c r="S453" s="68">
        <f ca="1">IF($B453="","",SUM(_xlfn.XLOOKUP(D453,Lists!$AC$2:$AC$9,Lists!$AD$2:$AD$9,0),_xlfn.XLOOKUP(F453,Lists!$AC$2:$AC$9,Lists!$AD$2:$AD$9,0),_xlfn.XLOOKUP(H453,Lists!$AC$2:$AC$9,Lists!$AD$2:$AD$9,0),_xlfn.XLOOKUP(J453,Lists!$AC$2:$AC$9,Lists!$AD$2:$AD$9,0),_xlfn.XLOOKUP(L453,Lists!$AC$2:$AC$9,Lists!$AD$2:$AD$9,0)))</f>
        <v>0</v>
      </c>
      <c r="T453" s="68">
        <f ca="1">IF($B453="","",SUM(_xlfn.XLOOKUP(C453,Lists!$P$2:$P$19,Lists!$W$2:$W$19,0),_xlfn.XLOOKUP(E453,Lists!$P$2:$P$19,Lists!$W$2:$W$19,0),_xlfn.XLOOKUP(G453,Lists!$P$2:$P$19,Lists!$W$2:$W$19,0),_xlfn.XLOOKUP(I453,Lists!$P$2:$P$19,Lists!$W$2:$W$19,0),_xlfn.XLOOKUP(K453,Lists!$P$2:$P$19,Lists!$W$2:$W$19,0)))</f>
        <v>0</v>
      </c>
      <c r="U453" s="68">
        <f ca="1">IF($B453="","",SUM(_xlfn.XLOOKUP(C453,Lists!$P$2:$P$19,Lists!$X$2:$X$19,0),_xlfn.XLOOKUP(E453,Lists!$P$2:$P$19,Lists!$X$2:$X$19,0),_xlfn.XLOOKUP(G453,Lists!$P$2:$P$19,Lists!$X$2:$X$19,0),_xlfn.XLOOKUP(I453,Lists!$P$2:$P$19,Lists!$X$2:$X$19,0),_xlfn.XLOOKUP(K453,Lists!$P$2:$P$19,Lists!$X$2:$X$19,0)))</f>
        <v>1</v>
      </c>
      <c r="V453" s="68">
        <f ca="1">IF($B453="","",SUM(_xlfn.XLOOKUP(C453,Lists!$P$2:$P$19,Lists!$Y$2:$Y$19,0),_xlfn.XLOOKUP(E453,Lists!$P$2:$P$19,Lists!$Y$2:$Y$19,0),_xlfn.XLOOKUP(G453,Lists!$P$2:$P$19,Lists!$Y$2:$Y$19,0),_xlfn.XLOOKUP(I453,Lists!$P$2:$P$19,Lists!$Y$2:$Y$19,0),_xlfn.XLOOKUP(K453,Lists!$P$2:$P$19,Lists!$Y$2:$Y$19,0)))</f>
        <v>0</v>
      </c>
      <c r="W453" s="68">
        <f ca="1">IF($B453="","",SUM(_xlfn.XLOOKUP(C453,Lists!$P$2:$P$19,Lists!$Z$2:$Z$19,0),_xlfn.XLOOKUP(E453,Lists!$P$2:$P$19,Lists!$Z$2:$Z$19,0),_xlfn.XLOOKUP(G453,Lists!$P$2:$P$19,Lists!$Z$2:$Z$19,0),_xlfn.XLOOKUP(I453,Lists!$P$2:$P$19,Lists!$Z$2:$Z$19,0),_xlfn.XLOOKUP(K453,Lists!$P$2:$P$19,Lists!$Z$2:$Z$19,0)))</f>
        <v>0</v>
      </c>
      <c r="X453" s="69">
        <f ca="1">IF($B453="","",SUM(_xlfn.XLOOKUP(C453,Lists!$P$2:$P$19,Lists!$AA$2:$AA$19,0),_xlfn.XLOOKUP(E453,Lists!$P$2:$P$19,Lists!$AA$2:$AA$19,0),_xlfn.XLOOKUP(G453,Lists!$P$2:$P$19,Lists!$AA$2:$AA$19,0),_xlfn.XLOOKUP(I453,Lists!$P$2:$P$19,Lists!$AA$2:$AA$19,0),_xlfn.XLOOKUP(K453,Lists!$P$2:$P$19,Lists!$AA$2:$AA$19,0)))</f>
        <v>0</v>
      </c>
      <c r="Y453" s="49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18"/>
      <c r="CN453" s="18"/>
      <c r="CO453" s="18"/>
      <c r="CP453" s="18"/>
      <c r="CQ453" s="18"/>
      <c r="CR453" s="18"/>
      <c r="CS453" s="18"/>
      <c r="CT453" s="18"/>
      <c r="CU453" s="18"/>
      <c r="CV453" s="18"/>
      <c r="CW453" s="18"/>
      <c r="CX453" s="18"/>
      <c r="CY453" s="18"/>
      <c r="CZ453" s="18"/>
      <c r="DA453" s="18"/>
      <c r="DB453" s="18"/>
      <c r="DC453" s="18"/>
      <c r="DD453" s="18"/>
      <c r="DE453" s="18"/>
      <c r="DF453" s="18"/>
    </row>
    <row r="454" spans="1:110">
      <c r="A454" s="168">
        <v>5</v>
      </c>
      <c r="B454" s="47" t="str">
        <f ca="1">Lineups!$C$135</f>
        <v>Blue Toad</v>
      </c>
      <c r="C454" s="49" t="s">
        <v>188</v>
      </c>
      <c r="D454" s="49" t="s">
        <v>187</v>
      </c>
      <c r="E454" s="49"/>
      <c r="F454" s="49"/>
      <c r="G454" s="49"/>
      <c r="H454" s="50"/>
      <c r="I454" s="50"/>
      <c r="J454" s="50"/>
      <c r="K454" s="50"/>
      <c r="L454" s="50"/>
      <c r="M454" s="67">
        <f ca="1">IF($B454="","",SUM(_xlfn.XLOOKUP(C454,Lists!$P$2:$P$19,Lists!$R$2:$R$19,0),_xlfn.XLOOKUP(E454,Lists!$P$2:$P$19,Lists!$R$2:$R$19,0),_xlfn.XLOOKUP(G454,Lists!$P$2:$P$19,Lists!$R$2:$R$19,0),_xlfn.XLOOKUP(I454,Lists!$P$2:$P$19,Lists!$R$2:$R$19,0),_xlfn.XLOOKUP(K454,Lists!$P$2:$P$19,Lists!$R$2:$R$19,0)))</f>
        <v>1</v>
      </c>
      <c r="N454" s="68">
        <f ca="1">IF($B454="","",SUM(_xlfn.XLOOKUP(D454,Lists!$AC$2:$AC$9,Lists!$AE$2:$AE$9,0),_xlfn.XLOOKUP(F454,Lists!$AC$2:$AC$9,Lists!$AE$2:$AE$9,0),_xlfn.XLOOKUP(H454,Lists!$AC$2:$AC$9,Lists!$AE$2:$AE$9,0),_xlfn.XLOOKUP(J454,Lists!$AC$2:$AC$9,Lists!$AE$2:$AE$9,0),_xlfn.XLOOKUP(L454,Lists!$AC$2:$AC$9,Lists!$AE$2:$AE$9,0)))</f>
        <v>1</v>
      </c>
      <c r="O454" s="68">
        <f ca="1">IF($B454="","",SUM(_xlfn.XLOOKUP(C454,Lists!$P$2:$P$19,Lists!$S$2:$S$19,0),_xlfn.XLOOKUP(E454,Lists!$P$2:$P$19,Lists!$S$2:$S$19,0),_xlfn.XLOOKUP(G454,Lists!$P$2:$P$19,Lists!$S$2:$S$19,0),_xlfn.XLOOKUP(I454,Lists!$P$2:$P$19,Lists!$S$2:$S$19,0),_xlfn.XLOOKUP(K454,Lists!$P$2:$P$19,Lists!$S$2:$S$19,0)))</f>
        <v>1</v>
      </c>
      <c r="P454" s="68">
        <f ca="1">IF($B454="","",SUM(_xlfn.XLOOKUP(C454,Lists!$P$2:$P$19,Lists!$T$2:$T$19,0),_xlfn.XLOOKUP(E454,Lists!$P$2:$P$19,Lists!$T$2:$T$19,0),_xlfn.XLOOKUP(G454,Lists!$P$2:$P$19,Lists!$T$2:$T$19,0),_xlfn.XLOOKUP(I454,Lists!$P$2:$P$19,Lists!$T$2:$T$19,0),_xlfn.XLOOKUP(K454,Lists!$P$2:$P$19,Lists!$T$2:$T$19,0)))</f>
        <v>0</v>
      </c>
      <c r="Q454" s="68">
        <f ca="1">IF($B454="","",SUM(_xlfn.XLOOKUP(C454,Lists!$P$2:$P$19,Lists!$U$2:$U$19,0),_xlfn.XLOOKUP(E454,Lists!$P$2:$P$19,Lists!$U$2:$U$19,0),_xlfn.XLOOKUP(G454,Lists!$P$2:$P$19,Lists!$U$2:$U$19,0),_xlfn.XLOOKUP(I454,Lists!$P$2:$P$19,Lists!$U$2:$U$19,0),_xlfn.XLOOKUP(K454,Lists!$P$2:$P$19,Lists!$U$2:$U$19,0)))</f>
        <v>0</v>
      </c>
      <c r="R454" s="68">
        <f ca="1">IF($B454="","",SUM(_xlfn.XLOOKUP(C454,Lists!$P$2:$P$19,Lists!$V$2:$V$19,0),_xlfn.XLOOKUP(E454,Lists!$P$2:$P$19,Lists!$V$2:$V$19,0),_xlfn.XLOOKUP(G454,Lists!$P$2:$P$19,Lists!$V$2:$V$19,0),_xlfn.XLOOKUP(I454,Lists!$P$2:$P$19,Lists!$V$2:$V$19,0),_xlfn.XLOOKUP(K454,Lists!$P$2:$P$19,Lists!$V$2:$V$19,0)))</f>
        <v>0</v>
      </c>
      <c r="S454" s="68">
        <f ca="1">IF($B454="","",SUM(_xlfn.XLOOKUP(D454,Lists!$AC$2:$AC$9,Lists!$AD$2:$AD$9,0),_xlfn.XLOOKUP(F454,Lists!$AC$2:$AC$9,Lists!$AD$2:$AD$9,0),_xlfn.XLOOKUP(H454,Lists!$AC$2:$AC$9,Lists!$AD$2:$AD$9,0),_xlfn.XLOOKUP(J454,Lists!$AC$2:$AC$9,Lists!$AD$2:$AD$9,0),_xlfn.XLOOKUP(L454,Lists!$AC$2:$AC$9,Lists!$AD$2:$AD$9,0)))</f>
        <v>0</v>
      </c>
      <c r="T454" s="68">
        <f ca="1">IF($B454="","",SUM(_xlfn.XLOOKUP(C454,Lists!$P$2:$P$19,Lists!$W$2:$W$19,0),_xlfn.XLOOKUP(E454,Lists!$P$2:$P$19,Lists!$W$2:$W$19,0),_xlfn.XLOOKUP(G454,Lists!$P$2:$P$19,Lists!$W$2:$W$19,0),_xlfn.XLOOKUP(I454,Lists!$P$2:$P$19,Lists!$W$2:$W$19,0),_xlfn.XLOOKUP(K454,Lists!$P$2:$P$19,Lists!$W$2:$W$19,0)))</f>
        <v>0</v>
      </c>
      <c r="U454" s="68">
        <f ca="1">IF($B454="","",SUM(_xlfn.XLOOKUP(C454,Lists!$P$2:$P$19,Lists!$X$2:$X$19,0),_xlfn.XLOOKUP(E454,Lists!$P$2:$P$19,Lists!$X$2:$X$19,0),_xlfn.XLOOKUP(G454,Lists!$P$2:$P$19,Lists!$X$2:$X$19,0),_xlfn.XLOOKUP(I454,Lists!$P$2:$P$19,Lists!$X$2:$X$19,0),_xlfn.XLOOKUP(K454,Lists!$P$2:$P$19,Lists!$X$2:$X$19,0)))</f>
        <v>0</v>
      </c>
      <c r="V454" s="68">
        <f ca="1">IF($B454="","",SUM(_xlfn.XLOOKUP(C454,Lists!$P$2:$P$19,Lists!$Y$2:$Y$19,0),_xlfn.XLOOKUP(E454,Lists!$P$2:$P$19,Lists!$Y$2:$Y$19,0),_xlfn.XLOOKUP(G454,Lists!$P$2:$P$19,Lists!$Y$2:$Y$19,0),_xlfn.XLOOKUP(I454,Lists!$P$2:$P$19,Lists!$Y$2:$Y$19,0),_xlfn.XLOOKUP(K454,Lists!$P$2:$P$19,Lists!$Y$2:$Y$19,0)))</f>
        <v>0</v>
      </c>
      <c r="W454" s="68">
        <f ca="1">IF($B454="","",SUM(_xlfn.XLOOKUP(C454,Lists!$P$2:$P$19,Lists!$Z$2:$Z$19,0),_xlfn.XLOOKUP(E454,Lists!$P$2:$P$19,Lists!$Z$2:$Z$19,0),_xlfn.XLOOKUP(G454,Lists!$P$2:$P$19,Lists!$Z$2:$Z$19,0),_xlfn.XLOOKUP(I454,Lists!$P$2:$P$19,Lists!$Z$2:$Z$19,0),_xlfn.XLOOKUP(K454,Lists!$P$2:$P$19,Lists!$Z$2:$Z$19,0)))</f>
        <v>0</v>
      </c>
      <c r="X454" s="69">
        <f ca="1">IF($B454="","",SUM(_xlfn.XLOOKUP(C454,Lists!$P$2:$P$19,Lists!$AA$2:$AA$19,0),_xlfn.XLOOKUP(E454,Lists!$P$2:$P$19,Lists!$AA$2:$AA$19,0),_xlfn.XLOOKUP(G454,Lists!$P$2:$P$19,Lists!$AA$2:$AA$19,0),_xlfn.XLOOKUP(I454,Lists!$P$2:$P$19,Lists!$AA$2:$AA$19,0),_xlfn.XLOOKUP(K454,Lists!$P$2:$P$19,Lists!$AA$2:$AA$19,0)))</f>
        <v>0</v>
      </c>
      <c r="Y454" s="49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18"/>
      <c r="CJ454" s="18"/>
      <c r="CK454" s="18"/>
      <c r="CL454" s="18"/>
      <c r="CM454" s="18"/>
      <c r="CN454" s="18"/>
      <c r="CO454" s="18"/>
      <c r="CP454" s="18"/>
      <c r="CQ454" s="18"/>
      <c r="CR454" s="18"/>
      <c r="CS454" s="18"/>
      <c r="CT454" s="18"/>
      <c r="CU454" s="18"/>
      <c r="CV454" s="18"/>
      <c r="CW454" s="18"/>
      <c r="CX454" s="18"/>
      <c r="CY454" s="18"/>
      <c r="CZ454" s="18"/>
      <c r="DA454" s="18"/>
      <c r="DB454" s="18"/>
      <c r="DC454" s="18"/>
      <c r="DD454" s="18"/>
      <c r="DE454" s="18"/>
      <c r="DF454" s="18"/>
    </row>
    <row r="455" spans="1:110">
      <c r="A455" s="168">
        <v>6</v>
      </c>
      <c r="B455" s="47" t="str">
        <f ca="1">Lineups!$C$136</f>
        <v>Mii</v>
      </c>
      <c r="C455" s="49" t="s">
        <v>185</v>
      </c>
      <c r="D455" s="49"/>
      <c r="E455" s="49"/>
      <c r="F455" s="49"/>
      <c r="G455" s="49"/>
      <c r="H455" s="50"/>
      <c r="I455" s="50"/>
      <c r="J455" s="50"/>
      <c r="K455" s="50"/>
      <c r="L455" s="50"/>
      <c r="M455" s="67">
        <f ca="1">IF($B455="","",SUM(_xlfn.XLOOKUP(C455,Lists!$P$2:$P$19,Lists!$R$2:$R$19,0),_xlfn.XLOOKUP(E455,Lists!$P$2:$P$19,Lists!$R$2:$R$19,0),_xlfn.XLOOKUP(G455,Lists!$P$2:$P$19,Lists!$R$2:$R$19,0),_xlfn.XLOOKUP(I455,Lists!$P$2:$P$19,Lists!$R$2:$R$19,0),_xlfn.XLOOKUP(K455,Lists!$P$2:$P$19,Lists!$R$2:$R$19,0)))</f>
        <v>1</v>
      </c>
      <c r="N455" s="68">
        <f ca="1">IF($B455="","",SUM(_xlfn.XLOOKUP(D455,Lists!$AC$2:$AC$9,Lists!$AE$2:$AE$9,0),_xlfn.XLOOKUP(F455,Lists!$AC$2:$AC$9,Lists!$AE$2:$AE$9,0),_xlfn.XLOOKUP(H455,Lists!$AC$2:$AC$9,Lists!$AE$2:$AE$9,0),_xlfn.XLOOKUP(J455,Lists!$AC$2:$AC$9,Lists!$AE$2:$AE$9,0),_xlfn.XLOOKUP(L455,Lists!$AC$2:$AC$9,Lists!$AE$2:$AE$9,0)))</f>
        <v>0</v>
      </c>
      <c r="O455" s="68">
        <f ca="1">IF($B455="","",SUM(_xlfn.XLOOKUP(C455,Lists!$P$2:$P$19,Lists!$S$2:$S$19,0),_xlfn.XLOOKUP(E455,Lists!$P$2:$P$19,Lists!$S$2:$S$19,0),_xlfn.XLOOKUP(G455,Lists!$P$2:$P$19,Lists!$S$2:$S$19,0),_xlfn.XLOOKUP(I455,Lists!$P$2:$P$19,Lists!$S$2:$S$19,0),_xlfn.XLOOKUP(K455,Lists!$P$2:$P$19,Lists!$S$2:$S$19,0)))</f>
        <v>0</v>
      </c>
      <c r="P455" s="68">
        <f ca="1">IF($B455="","",SUM(_xlfn.XLOOKUP(C455,Lists!$P$2:$P$19,Lists!$T$2:$T$19,0),_xlfn.XLOOKUP(E455,Lists!$P$2:$P$19,Lists!$T$2:$T$19,0),_xlfn.XLOOKUP(G455,Lists!$P$2:$P$19,Lists!$T$2:$T$19,0),_xlfn.XLOOKUP(I455,Lists!$P$2:$P$19,Lists!$T$2:$T$19,0),_xlfn.XLOOKUP(K455,Lists!$P$2:$P$19,Lists!$T$2:$T$19,0)))</f>
        <v>0</v>
      </c>
      <c r="Q455" s="68">
        <f ca="1">IF($B455="","",SUM(_xlfn.XLOOKUP(C455,Lists!$P$2:$P$19,Lists!$U$2:$U$19,0),_xlfn.XLOOKUP(E455,Lists!$P$2:$P$19,Lists!$U$2:$U$19,0),_xlfn.XLOOKUP(G455,Lists!$P$2:$P$19,Lists!$U$2:$U$19,0),_xlfn.XLOOKUP(I455,Lists!$P$2:$P$19,Lists!$U$2:$U$19,0),_xlfn.XLOOKUP(K455,Lists!$P$2:$P$19,Lists!$U$2:$U$19,0)))</f>
        <v>0</v>
      </c>
      <c r="R455" s="68">
        <f ca="1">IF($B455="","",SUM(_xlfn.XLOOKUP(C455,Lists!$P$2:$P$19,Lists!$V$2:$V$19,0),_xlfn.XLOOKUP(E455,Lists!$P$2:$P$19,Lists!$V$2:$V$19,0),_xlfn.XLOOKUP(G455,Lists!$P$2:$P$19,Lists!$V$2:$V$19,0),_xlfn.XLOOKUP(I455,Lists!$P$2:$P$19,Lists!$V$2:$V$19,0),_xlfn.XLOOKUP(K455,Lists!$P$2:$P$19,Lists!$V$2:$V$19,0)))</f>
        <v>0</v>
      </c>
      <c r="S455" s="68">
        <f ca="1">IF($B455="","",SUM(_xlfn.XLOOKUP(D455,Lists!$AC$2:$AC$9,Lists!$AD$2:$AD$9,0),_xlfn.XLOOKUP(F455,Lists!$AC$2:$AC$9,Lists!$AD$2:$AD$9,0),_xlfn.XLOOKUP(H455,Lists!$AC$2:$AC$9,Lists!$AD$2:$AD$9,0),_xlfn.XLOOKUP(J455,Lists!$AC$2:$AC$9,Lists!$AD$2:$AD$9,0),_xlfn.XLOOKUP(L455,Lists!$AC$2:$AC$9,Lists!$AD$2:$AD$9,0)))</f>
        <v>0</v>
      </c>
      <c r="T455" s="68">
        <f ca="1">IF($B455="","",SUM(_xlfn.XLOOKUP(C455,Lists!$P$2:$P$19,Lists!$W$2:$W$19,0),_xlfn.XLOOKUP(E455,Lists!$P$2:$P$19,Lists!$W$2:$W$19,0),_xlfn.XLOOKUP(G455,Lists!$P$2:$P$19,Lists!$W$2:$W$19,0),_xlfn.XLOOKUP(I455,Lists!$P$2:$P$19,Lists!$W$2:$W$19,0),_xlfn.XLOOKUP(K455,Lists!$P$2:$P$19,Lists!$W$2:$W$19,0)))</f>
        <v>0</v>
      </c>
      <c r="U455" s="68">
        <f ca="1">IF($B455="","",SUM(_xlfn.XLOOKUP(C455,Lists!$P$2:$P$19,Lists!$X$2:$X$19,0),_xlfn.XLOOKUP(E455,Lists!$P$2:$P$19,Lists!$X$2:$X$19,0),_xlfn.XLOOKUP(G455,Lists!$P$2:$P$19,Lists!$X$2:$X$19,0),_xlfn.XLOOKUP(I455,Lists!$P$2:$P$19,Lists!$X$2:$X$19,0),_xlfn.XLOOKUP(K455,Lists!$P$2:$P$19,Lists!$X$2:$X$19,0)))</f>
        <v>1</v>
      </c>
      <c r="V455" s="68">
        <f ca="1">IF($B455="","",SUM(_xlfn.XLOOKUP(C455,Lists!$P$2:$P$19,Lists!$Y$2:$Y$19,0),_xlfn.XLOOKUP(E455,Lists!$P$2:$P$19,Lists!$Y$2:$Y$19,0),_xlfn.XLOOKUP(G455,Lists!$P$2:$P$19,Lists!$Y$2:$Y$19,0),_xlfn.XLOOKUP(I455,Lists!$P$2:$P$19,Lists!$Y$2:$Y$19,0),_xlfn.XLOOKUP(K455,Lists!$P$2:$P$19,Lists!$Y$2:$Y$19,0)))</f>
        <v>0</v>
      </c>
      <c r="W455" s="68">
        <f ca="1">IF($B455="","",SUM(_xlfn.XLOOKUP(C455,Lists!$P$2:$P$19,Lists!$Z$2:$Z$19,0),_xlfn.XLOOKUP(E455,Lists!$P$2:$P$19,Lists!$Z$2:$Z$19,0),_xlfn.XLOOKUP(G455,Lists!$P$2:$P$19,Lists!$Z$2:$Z$19,0),_xlfn.XLOOKUP(I455,Lists!$P$2:$P$19,Lists!$Z$2:$Z$19,0),_xlfn.XLOOKUP(K455,Lists!$P$2:$P$19,Lists!$Z$2:$Z$19,0)))</f>
        <v>0</v>
      </c>
      <c r="X455" s="69">
        <f ca="1">IF($B455="","",SUM(_xlfn.XLOOKUP(C455,Lists!$P$2:$P$19,Lists!$AA$2:$AA$19,0),_xlfn.XLOOKUP(E455,Lists!$P$2:$P$19,Lists!$AA$2:$AA$19,0),_xlfn.XLOOKUP(G455,Lists!$P$2:$P$19,Lists!$AA$2:$AA$19,0),_xlfn.XLOOKUP(I455,Lists!$P$2:$P$19,Lists!$AA$2:$AA$19,0),_xlfn.XLOOKUP(K455,Lists!$P$2:$P$19,Lists!$AA$2:$AA$19,0)))</f>
        <v>0</v>
      </c>
      <c r="Y455" s="49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  <c r="CI455" s="18"/>
      <c r="CJ455" s="18"/>
      <c r="CK455" s="18"/>
      <c r="CL455" s="18"/>
      <c r="CM455" s="18"/>
      <c r="CN455" s="18"/>
      <c r="CO455" s="18"/>
      <c r="CP455" s="18"/>
      <c r="CQ455" s="18"/>
      <c r="CR455" s="18"/>
      <c r="CS455" s="18"/>
      <c r="CT455" s="18"/>
      <c r="CU455" s="18"/>
      <c r="CV455" s="18"/>
      <c r="CW455" s="18"/>
      <c r="CX455" s="18"/>
      <c r="CY455" s="18"/>
      <c r="CZ455" s="18"/>
      <c r="DA455" s="18"/>
      <c r="DB455" s="18"/>
      <c r="DC455" s="18"/>
      <c r="DD455" s="18"/>
      <c r="DE455" s="18"/>
      <c r="DF455" s="18"/>
    </row>
    <row r="456" spans="1:110">
      <c r="A456" s="168">
        <v>7</v>
      </c>
      <c r="B456" s="47" t="str">
        <f ca="1">Lineups!$C$137</f>
        <v>Wiggler</v>
      </c>
      <c r="C456" s="49" t="s">
        <v>185</v>
      </c>
      <c r="D456" s="49"/>
      <c r="E456" s="49"/>
      <c r="F456" s="49"/>
      <c r="G456" s="49"/>
      <c r="H456" s="50"/>
      <c r="I456" s="50"/>
      <c r="J456" s="50"/>
      <c r="K456" s="50"/>
      <c r="L456" s="50"/>
      <c r="M456" s="67">
        <f ca="1">IF($B456="","",SUM(_xlfn.XLOOKUP(C456,Lists!$P$2:$P$19,Lists!$R$2:$R$19,0),_xlfn.XLOOKUP(E456,Lists!$P$2:$P$19,Lists!$R$2:$R$19,0),_xlfn.XLOOKUP(G456,Lists!$P$2:$P$19,Lists!$R$2:$R$19,0),_xlfn.XLOOKUP(I456,Lists!$P$2:$P$19,Lists!$R$2:$R$19,0),_xlfn.XLOOKUP(K456,Lists!$P$2:$P$19,Lists!$R$2:$R$19,0)))</f>
        <v>1</v>
      </c>
      <c r="N456" s="68">
        <f ca="1">IF($B456="","",SUM(_xlfn.XLOOKUP(D456,Lists!$AC$2:$AC$9,Lists!$AE$2:$AE$9,0),_xlfn.XLOOKUP(F456,Lists!$AC$2:$AC$9,Lists!$AE$2:$AE$9,0),_xlfn.XLOOKUP(H456,Lists!$AC$2:$AC$9,Lists!$AE$2:$AE$9,0),_xlfn.XLOOKUP(J456,Lists!$AC$2:$AC$9,Lists!$AE$2:$AE$9,0),_xlfn.XLOOKUP(L456,Lists!$AC$2:$AC$9,Lists!$AE$2:$AE$9,0)))</f>
        <v>0</v>
      </c>
      <c r="O456" s="68">
        <f ca="1">IF($B456="","",SUM(_xlfn.XLOOKUP(C456,Lists!$P$2:$P$19,Lists!$S$2:$S$19,0),_xlfn.XLOOKUP(E456,Lists!$P$2:$P$19,Lists!$S$2:$S$19,0),_xlfn.XLOOKUP(G456,Lists!$P$2:$P$19,Lists!$S$2:$S$19,0),_xlfn.XLOOKUP(I456,Lists!$P$2:$P$19,Lists!$S$2:$S$19,0),_xlfn.XLOOKUP(K456,Lists!$P$2:$P$19,Lists!$S$2:$S$19,0)))</f>
        <v>0</v>
      </c>
      <c r="P456" s="68">
        <f ca="1">IF($B456="","",SUM(_xlfn.XLOOKUP(C456,Lists!$P$2:$P$19,Lists!$T$2:$T$19,0),_xlfn.XLOOKUP(E456,Lists!$P$2:$P$19,Lists!$T$2:$T$19,0),_xlfn.XLOOKUP(G456,Lists!$P$2:$P$19,Lists!$T$2:$T$19,0),_xlfn.XLOOKUP(I456,Lists!$P$2:$P$19,Lists!$T$2:$T$19,0),_xlfn.XLOOKUP(K456,Lists!$P$2:$P$19,Lists!$T$2:$T$19,0)))</f>
        <v>0</v>
      </c>
      <c r="Q456" s="68">
        <f ca="1">IF($B456="","",SUM(_xlfn.XLOOKUP(C456,Lists!$P$2:$P$19,Lists!$U$2:$U$19,0),_xlfn.XLOOKUP(E456,Lists!$P$2:$P$19,Lists!$U$2:$U$19,0),_xlfn.XLOOKUP(G456,Lists!$P$2:$P$19,Lists!$U$2:$U$19,0),_xlfn.XLOOKUP(I456,Lists!$P$2:$P$19,Lists!$U$2:$U$19,0),_xlfn.XLOOKUP(K456,Lists!$P$2:$P$19,Lists!$U$2:$U$19,0)))</f>
        <v>0</v>
      </c>
      <c r="R456" s="68">
        <f ca="1">IF($B456="","",SUM(_xlfn.XLOOKUP(C456,Lists!$P$2:$P$19,Lists!$V$2:$V$19,0),_xlfn.XLOOKUP(E456,Lists!$P$2:$P$19,Lists!$V$2:$V$19,0),_xlfn.XLOOKUP(G456,Lists!$P$2:$P$19,Lists!$V$2:$V$19,0),_xlfn.XLOOKUP(I456,Lists!$P$2:$P$19,Lists!$V$2:$V$19,0),_xlfn.XLOOKUP(K456,Lists!$P$2:$P$19,Lists!$V$2:$V$19,0)))</f>
        <v>0</v>
      </c>
      <c r="S456" s="68">
        <f ca="1">IF($B456="","",SUM(_xlfn.XLOOKUP(D456,Lists!$AC$2:$AC$9,Lists!$AD$2:$AD$9,0),_xlfn.XLOOKUP(F456,Lists!$AC$2:$AC$9,Lists!$AD$2:$AD$9,0),_xlfn.XLOOKUP(H456,Lists!$AC$2:$AC$9,Lists!$AD$2:$AD$9,0),_xlfn.XLOOKUP(J456,Lists!$AC$2:$AC$9,Lists!$AD$2:$AD$9,0),_xlfn.XLOOKUP(L456,Lists!$AC$2:$AC$9,Lists!$AD$2:$AD$9,0)))</f>
        <v>0</v>
      </c>
      <c r="T456" s="68">
        <f ca="1">IF($B456="","",SUM(_xlfn.XLOOKUP(C456,Lists!$P$2:$P$19,Lists!$W$2:$W$19,0),_xlfn.XLOOKUP(E456,Lists!$P$2:$P$19,Lists!$W$2:$W$19,0),_xlfn.XLOOKUP(G456,Lists!$P$2:$P$19,Lists!$W$2:$W$19,0),_xlfn.XLOOKUP(I456,Lists!$P$2:$P$19,Lists!$W$2:$W$19,0),_xlfn.XLOOKUP(K456,Lists!$P$2:$P$19,Lists!$W$2:$W$19,0)))</f>
        <v>0</v>
      </c>
      <c r="U456" s="68">
        <f ca="1">IF($B456="","",SUM(_xlfn.XLOOKUP(C456,Lists!$P$2:$P$19,Lists!$X$2:$X$19,0),_xlfn.XLOOKUP(E456,Lists!$P$2:$P$19,Lists!$X$2:$X$19,0),_xlfn.XLOOKUP(G456,Lists!$P$2:$P$19,Lists!$X$2:$X$19,0),_xlfn.XLOOKUP(I456,Lists!$P$2:$P$19,Lists!$X$2:$X$19,0),_xlfn.XLOOKUP(K456,Lists!$P$2:$P$19,Lists!$X$2:$X$19,0)))</f>
        <v>1</v>
      </c>
      <c r="V456" s="68">
        <f ca="1">IF($B456="","",SUM(_xlfn.XLOOKUP(C456,Lists!$P$2:$P$19,Lists!$Y$2:$Y$19,0),_xlfn.XLOOKUP(E456,Lists!$P$2:$P$19,Lists!$Y$2:$Y$19,0),_xlfn.XLOOKUP(G456,Lists!$P$2:$P$19,Lists!$Y$2:$Y$19,0),_xlfn.XLOOKUP(I456,Lists!$P$2:$P$19,Lists!$Y$2:$Y$19,0),_xlfn.XLOOKUP(K456,Lists!$P$2:$P$19,Lists!$Y$2:$Y$19,0)))</f>
        <v>0</v>
      </c>
      <c r="W456" s="68">
        <f ca="1">IF($B456="","",SUM(_xlfn.XLOOKUP(C456,Lists!$P$2:$P$19,Lists!$Z$2:$Z$19,0),_xlfn.XLOOKUP(E456,Lists!$P$2:$P$19,Lists!$Z$2:$Z$19,0),_xlfn.XLOOKUP(G456,Lists!$P$2:$P$19,Lists!$Z$2:$Z$19,0),_xlfn.XLOOKUP(I456,Lists!$P$2:$P$19,Lists!$Z$2:$Z$19,0),_xlfn.XLOOKUP(K456,Lists!$P$2:$P$19,Lists!$Z$2:$Z$19,0)))</f>
        <v>0</v>
      </c>
      <c r="X456" s="69">
        <f ca="1">IF($B456="","",SUM(_xlfn.XLOOKUP(C456,Lists!$P$2:$P$19,Lists!$AA$2:$AA$19,0),_xlfn.XLOOKUP(E456,Lists!$P$2:$P$19,Lists!$AA$2:$AA$19,0),_xlfn.XLOOKUP(G456,Lists!$P$2:$P$19,Lists!$AA$2:$AA$19,0),_xlfn.XLOOKUP(I456,Lists!$P$2:$P$19,Lists!$AA$2:$AA$19,0),_xlfn.XLOOKUP(K456,Lists!$P$2:$P$19,Lists!$AA$2:$AA$19,0)))</f>
        <v>0</v>
      </c>
      <c r="Y456" s="49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  <c r="CI456" s="18"/>
      <c r="CJ456" s="18"/>
      <c r="CK456" s="18"/>
      <c r="CL456" s="18"/>
      <c r="CM456" s="18"/>
      <c r="CN456" s="18"/>
      <c r="CO456" s="18"/>
      <c r="CP456" s="18"/>
      <c r="CQ456" s="18"/>
      <c r="CR456" s="18"/>
      <c r="CS456" s="18"/>
      <c r="CT456" s="18"/>
      <c r="CU456" s="18"/>
      <c r="CV456" s="18"/>
      <c r="CW456" s="18"/>
      <c r="CX456" s="18"/>
      <c r="CY456" s="18"/>
      <c r="CZ456" s="18"/>
      <c r="DA456" s="18"/>
      <c r="DB456" s="18"/>
      <c r="DC456" s="18"/>
      <c r="DD456" s="18"/>
      <c r="DE456" s="18"/>
      <c r="DF456" s="18"/>
    </row>
    <row r="457" spans="1:110">
      <c r="A457" s="168">
        <v>8</v>
      </c>
      <c r="B457" s="47" t="str">
        <f ca="1">Lineups!$C$138</f>
        <v>Toadette</v>
      </c>
      <c r="C457" s="49" t="s">
        <v>188</v>
      </c>
      <c r="D457" s="49"/>
      <c r="E457" s="49"/>
      <c r="F457" s="49"/>
      <c r="G457" s="49"/>
      <c r="H457" s="50"/>
      <c r="I457" s="50"/>
      <c r="J457" s="50"/>
      <c r="K457" s="50"/>
      <c r="L457" s="50"/>
      <c r="M457" s="67">
        <f ca="1">IF($B457="","",SUM(_xlfn.XLOOKUP(C457,Lists!$P$2:$P$19,Lists!$R$2:$R$19,0),_xlfn.XLOOKUP(E457,Lists!$P$2:$P$19,Lists!$R$2:$R$19,0),_xlfn.XLOOKUP(G457,Lists!$P$2:$P$19,Lists!$R$2:$R$19,0),_xlfn.XLOOKUP(I457,Lists!$P$2:$P$19,Lists!$R$2:$R$19,0),_xlfn.XLOOKUP(K457,Lists!$P$2:$P$19,Lists!$R$2:$R$19,0)))</f>
        <v>1</v>
      </c>
      <c r="N457" s="68">
        <f ca="1">IF($B457="","",SUM(_xlfn.XLOOKUP(D457,Lists!$AC$2:$AC$9,Lists!$AE$2:$AE$9,0),_xlfn.XLOOKUP(F457,Lists!$AC$2:$AC$9,Lists!$AE$2:$AE$9,0),_xlfn.XLOOKUP(H457,Lists!$AC$2:$AC$9,Lists!$AE$2:$AE$9,0),_xlfn.XLOOKUP(J457,Lists!$AC$2:$AC$9,Lists!$AE$2:$AE$9,0),_xlfn.XLOOKUP(L457,Lists!$AC$2:$AC$9,Lists!$AE$2:$AE$9,0)))</f>
        <v>0</v>
      </c>
      <c r="O457" s="68">
        <f ca="1">IF($B457="","",SUM(_xlfn.XLOOKUP(C457,Lists!$P$2:$P$19,Lists!$S$2:$S$19,0),_xlfn.XLOOKUP(E457,Lists!$P$2:$P$19,Lists!$S$2:$S$19,0),_xlfn.XLOOKUP(G457,Lists!$P$2:$P$19,Lists!$S$2:$S$19,0),_xlfn.XLOOKUP(I457,Lists!$P$2:$P$19,Lists!$S$2:$S$19,0),_xlfn.XLOOKUP(K457,Lists!$P$2:$P$19,Lists!$S$2:$S$19,0)))</f>
        <v>1</v>
      </c>
      <c r="P457" s="68">
        <f ca="1">IF($B457="","",SUM(_xlfn.XLOOKUP(C457,Lists!$P$2:$P$19,Lists!$T$2:$T$19,0),_xlfn.XLOOKUP(E457,Lists!$P$2:$P$19,Lists!$T$2:$T$19,0),_xlfn.XLOOKUP(G457,Lists!$P$2:$P$19,Lists!$T$2:$T$19,0),_xlfn.XLOOKUP(I457,Lists!$P$2:$P$19,Lists!$T$2:$T$19,0),_xlfn.XLOOKUP(K457,Lists!$P$2:$P$19,Lists!$T$2:$T$19,0)))</f>
        <v>0</v>
      </c>
      <c r="Q457" s="68">
        <f ca="1">IF($B457="","",SUM(_xlfn.XLOOKUP(C457,Lists!$P$2:$P$19,Lists!$U$2:$U$19,0),_xlfn.XLOOKUP(E457,Lists!$P$2:$P$19,Lists!$U$2:$U$19,0),_xlfn.XLOOKUP(G457,Lists!$P$2:$P$19,Lists!$U$2:$U$19,0),_xlfn.XLOOKUP(I457,Lists!$P$2:$P$19,Lists!$U$2:$U$19,0),_xlfn.XLOOKUP(K457,Lists!$P$2:$P$19,Lists!$U$2:$U$19,0)))</f>
        <v>0</v>
      </c>
      <c r="R457" s="68">
        <f ca="1">IF($B457="","",SUM(_xlfn.XLOOKUP(C457,Lists!$P$2:$P$19,Lists!$V$2:$V$19,0),_xlfn.XLOOKUP(E457,Lists!$P$2:$P$19,Lists!$V$2:$V$19,0),_xlfn.XLOOKUP(G457,Lists!$P$2:$P$19,Lists!$V$2:$V$19,0),_xlfn.XLOOKUP(I457,Lists!$P$2:$P$19,Lists!$V$2:$V$19,0),_xlfn.XLOOKUP(K457,Lists!$P$2:$P$19,Lists!$V$2:$V$19,0)))</f>
        <v>0</v>
      </c>
      <c r="S457" s="68">
        <f ca="1">IF($B457="","",SUM(_xlfn.XLOOKUP(D457,Lists!$AC$2:$AC$9,Lists!$AD$2:$AD$9,0),_xlfn.XLOOKUP(F457,Lists!$AC$2:$AC$9,Lists!$AD$2:$AD$9,0),_xlfn.XLOOKUP(H457,Lists!$AC$2:$AC$9,Lists!$AD$2:$AD$9,0),_xlfn.XLOOKUP(J457,Lists!$AC$2:$AC$9,Lists!$AD$2:$AD$9,0),_xlfn.XLOOKUP(L457,Lists!$AC$2:$AC$9,Lists!$AD$2:$AD$9,0)))</f>
        <v>0</v>
      </c>
      <c r="T457" s="68">
        <f ca="1">IF($B457="","",SUM(_xlfn.XLOOKUP(C457,Lists!$P$2:$P$19,Lists!$W$2:$W$19,0),_xlfn.XLOOKUP(E457,Lists!$P$2:$P$19,Lists!$W$2:$W$19,0),_xlfn.XLOOKUP(G457,Lists!$P$2:$P$19,Lists!$W$2:$W$19,0),_xlfn.XLOOKUP(I457,Lists!$P$2:$P$19,Lists!$W$2:$W$19,0),_xlfn.XLOOKUP(K457,Lists!$P$2:$P$19,Lists!$W$2:$W$19,0)))</f>
        <v>0</v>
      </c>
      <c r="U457" s="68">
        <f ca="1">IF($B457="","",SUM(_xlfn.XLOOKUP(C457,Lists!$P$2:$P$19,Lists!$X$2:$X$19,0),_xlfn.XLOOKUP(E457,Lists!$P$2:$P$19,Lists!$X$2:$X$19,0),_xlfn.XLOOKUP(G457,Lists!$P$2:$P$19,Lists!$X$2:$X$19,0),_xlfn.XLOOKUP(I457,Lists!$P$2:$P$19,Lists!$X$2:$X$19,0),_xlfn.XLOOKUP(K457,Lists!$P$2:$P$19,Lists!$X$2:$X$19,0)))</f>
        <v>0</v>
      </c>
      <c r="V457" s="68">
        <f ca="1">IF($B457="","",SUM(_xlfn.XLOOKUP(C457,Lists!$P$2:$P$19,Lists!$Y$2:$Y$19,0),_xlfn.XLOOKUP(E457,Lists!$P$2:$P$19,Lists!$Y$2:$Y$19,0),_xlfn.XLOOKUP(G457,Lists!$P$2:$P$19,Lists!$Y$2:$Y$19,0),_xlfn.XLOOKUP(I457,Lists!$P$2:$P$19,Lists!$Y$2:$Y$19,0),_xlfn.XLOOKUP(K457,Lists!$P$2:$P$19,Lists!$Y$2:$Y$19,0)))</f>
        <v>0</v>
      </c>
      <c r="W457" s="68">
        <f ca="1">IF($B457="","",SUM(_xlfn.XLOOKUP(C457,Lists!$P$2:$P$19,Lists!$Z$2:$Z$19,0),_xlfn.XLOOKUP(E457,Lists!$P$2:$P$19,Lists!$Z$2:$Z$19,0),_xlfn.XLOOKUP(G457,Lists!$P$2:$P$19,Lists!$Z$2:$Z$19,0),_xlfn.XLOOKUP(I457,Lists!$P$2:$P$19,Lists!$Z$2:$Z$19,0),_xlfn.XLOOKUP(K457,Lists!$P$2:$P$19,Lists!$Z$2:$Z$19,0)))</f>
        <v>0</v>
      </c>
      <c r="X457" s="69">
        <f ca="1">IF($B457="","",SUM(_xlfn.XLOOKUP(C457,Lists!$P$2:$P$19,Lists!$AA$2:$AA$19,0),_xlfn.XLOOKUP(E457,Lists!$P$2:$P$19,Lists!$AA$2:$AA$19,0),_xlfn.XLOOKUP(G457,Lists!$P$2:$P$19,Lists!$AA$2:$AA$19,0),_xlfn.XLOOKUP(I457,Lists!$P$2:$P$19,Lists!$AA$2:$AA$19,0),_xlfn.XLOOKUP(K457,Lists!$P$2:$P$19,Lists!$AA$2:$AA$19,0)))</f>
        <v>0</v>
      </c>
      <c r="Y457" s="49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  <c r="CI457" s="18"/>
      <c r="CJ457" s="18"/>
      <c r="CK457" s="18"/>
      <c r="CL457" s="18"/>
      <c r="CM457" s="18"/>
      <c r="CN457" s="18"/>
      <c r="CO457" s="18"/>
      <c r="CP457" s="18"/>
      <c r="CQ457" s="18"/>
      <c r="CR457" s="18"/>
      <c r="CS457" s="18"/>
      <c r="CT457" s="18"/>
      <c r="CU457" s="18"/>
      <c r="CV457" s="18"/>
      <c r="CW457" s="18"/>
      <c r="CX457" s="18"/>
      <c r="CY457" s="18"/>
      <c r="CZ457" s="18"/>
      <c r="DA457" s="18"/>
      <c r="DB457" s="18"/>
      <c r="DC457" s="18"/>
      <c r="DD457" s="18"/>
      <c r="DE457" s="18"/>
      <c r="DF457" s="18"/>
    </row>
    <row r="458" spans="1:110">
      <c r="A458" s="168">
        <v>9</v>
      </c>
      <c r="B458" s="47" t="str">
        <f ca="1">Lineups!$C$139</f>
        <v>Boomerang Bro</v>
      </c>
      <c r="C458" s="49" t="s">
        <v>188</v>
      </c>
      <c r="D458" s="49"/>
      <c r="E458" s="49"/>
      <c r="F458" s="49"/>
      <c r="G458" s="49"/>
      <c r="H458" s="50"/>
      <c r="I458" s="50"/>
      <c r="J458" s="50"/>
      <c r="K458" s="50"/>
      <c r="L458" s="50"/>
      <c r="M458" s="67">
        <f ca="1">IF($B458="","",SUM(_xlfn.XLOOKUP(C458,Lists!$P$2:$P$19,Lists!$R$2:$R$19,0),_xlfn.XLOOKUP(E458,Lists!$P$2:$P$19,Lists!$R$2:$R$19,0),_xlfn.XLOOKUP(G458,Lists!$P$2:$P$19,Lists!$R$2:$R$19,0),_xlfn.XLOOKUP(I458,Lists!$P$2:$P$19,Lists!$R$2:$R$19,0),_xlfn.XLOOKUP(K458,Lists!$P$2:$P$19,Lists!$R$2:$R$19,0)))</f>
        <v>1</v>
      </c>
      <c r="N458" s="68">
        <f ca="1">IF($B458="","",SUM(_xlfn.XLOOKUP(D458,Lists!$AC$2:$AC$9,Lists!$AE$2:$AE$9,0),_xlfn.XLOOKUP(F458,Lists!$AC$2:$AC$9,Lists!$AE$2:$AE$9,0),_xlfn.XLOOKUP(H458,Lists!$AC$2:$AC$9,Lists!$AE$2:$AE$9,0),_xlfn.XLOOKUP(J458,Lists!$AC$2:$AC$9,Lists!$AE$2:$AE$9,0),_xlfn.XLOOKUP(L458,Lists!$AC$2:$AC$9,Lists!$AE$2:$AE$9,0)))</f>
        <v>0</v>
      </c>
      <c r="O458" s="68">
        <f ca="1">IF($B458="","",SUM(_xlfn.XLOOKUP(C458,Lists!$P$2:$P$19,Lists!$S$2:$S$19,0),_xlfn.XLOOKUP(E458,Lists!$P$2:$P$19,Lists!$S$2:$S$19,0),_xlfn.XLOOKUP(G458,Lists!$P$2:$P$19,Lists!$S$2:$S$19,0),_xlfn.XLOOKUP(I458,Lists!$P$2:$P$19,Lists!$S$2:$S$19,0),_xlfn.XLOOKUP(K458,Lists!$P$2:$P$19,Lists!$S$2:$S$19,0)))</f>
        <v>1</v>
      </c>
      <c r="P458" s="68">
        <f ca="1">IF($B458="","",SUM(_xlfn.XLOOKUP(C458,Lists!$P$2:$P$19,Lists!$T$2:$T$19,0),_xlfn.XLOOKUP(E458,Lists!$P$2:$P$19,Lists!$T$2:$T$19,0),_xlfn.XLOOKUP(G458,Lists!$P$2:$P$19,Lists!$T$2:$T$19,0),_xlfn.XLOOKUP(I458,Lists!$P$2:$P$19,Lists!$T$2:$T$19,0),_xlfn.XLOOKUP(K458,Lists!$P$2:$P$19,Lists!$T$2:$T$19,0)))</f>
        <v>0</v>
      </c>
      <c r="Q458" s="68">
        <f ca="1">IF($B458="","",SUM(_xlfn.XLOOKUP(C458,Lists!$P$2:$P$19,Lists!$U$2:$U$19,0),_xlfn.XLOOKUP(E458,Lists!$P$2:$P$19,Lists!$U$2:$U$19,0),_xlfn.XLOOKUP(G458,Lists!$P$2:$P$19,Lists!$U$2:$U$19,0),_xlfn.XLOOKUP(I458,Lists!$P$2:$P$19,Lists!$U$2:$U$19,0),_xlfn.XLOOKUP(K458,Lists!$P$2:$P$19,Lists!$U$2:$U$19,0)))</f>
        <v>0</v>
      </c>
      <c r="R458" s="68">
        <f ca="1">IF($B458="","",SUM(_xlfn.XLOOKUP(C458,Lists!$P$2:$P$19,Lists!$V$2:$V$19,0),_xlfn.XLOOKUP(E458,Lists!$P$2:$P$19,Lists!$V$2:$V$19,0),_xlfn.XLOOKUP(G458,Lists!$P$2:$P$19,Lists!$V$2:$V$19,0),_xlfn.XLOOKUP(I458,Lists!$P$2:$P$19,Lists!$V$2:$V$19,0),_xlfn.XLOOKUP(K458,Lists!$P$2:$P$19,Lists!$V$2:$V$19,0)))</f>
        <v>0</v>
      </c>
      <c r="S458" s="68">
        <f ca="1">IF($B458="","",SUM(_xlfn.XLOOKUP(D458,Lists!$AC$2:$AC$9,Lists!$AD$2:$AD$9,0),_xlfn.XLOOKUP(F458,Lists!$AC$2:$AC$9,Lists!$AD$2:$AD$9,0),_xlfn.XLOOKUP(H458,Lists!$AC$2:$AC$9,Lists!$AD$2:$AD$9,0),_xlfn.XLOOKUP(J458,Lists!$AC$2:$AC$9,Lists!$AD$2:$AD$9,0),_xlfn.XLOOKUP(L458,Lists!$AC$2:$AC$9,Lists!$AD$2:$AD$9,0)))</f>
        <v>0</v>
      </c>
      <c r="T458" s="68">
        <f ca="1">IF($B458="","",SUM(_xlfn.XLOOKUP(C458,Lists!$P$2:$P$19,Lists!$W$2:$W$19,0),_xlfn.XLOOKUP(E458,Lists!$P$2:$P$19,Lists!$W$2:$W$19,0),_xlfn.XLOOKUP(G458,Lists!$P$2:$P$19,Lists!$W$2:$W$19,0),_xlfn.XLOOKUP(I458,Lists!$P$2:$P$19,Lists!$W$2:$W$19,0),_xlfn.XLOOKUP(K458,Lists!$P$2:$P$19,Lists!$W$2:$W$19,0)))</f>
        <v>0</v>
      </c>
      <c r="U458" s="68">
        <f ca="1">IF($B458="","",SUM(_xlfn.XLOOKUP(C458,Lists!$P$2:$P$19,Lists!$X$2:$X$19,0),_xlfn.XLOOKUP(E458,Lists!$P$2:$P$19,Lists!$X$2:$X$19,0),_xlfn.XLOOKUP(G458,Lists!$P$2:$P$19,Lists!$X$2:$X$19,0),_xlfn.XLOOKUP(I458,Lists!$P$2:$P$19,Lists!$X$2:$X$19,0),_xlfn.XLOOKUP(K458,Lists!$P$2:$P$19,Lists!$X$2:$X$19,0)))</f>
        <v>0</v>
      </c>
      <c r="V458" s="68">
        <f ca="1">IF($B458="","",SUM(_xlfn.XLOOKUP(C458,Lists!$P$2:$P$19,Lists!$Y$2:$Y$19,0),_xlfn.XLOOKUP(E458,Lists!$P$2:$P$19,Lists!$Y$2:$Y$19,0),_xlfn.XLOOKUP(G458,Lists!$P$2:$P$19,Lists!$Y$2:$Y$19,0),_xlfn.XLOOKUP(I458,Lists!$P$2:$P$19,Lists!$Y$2:$Y$19,0),_xlfn.XLOOKUP(K458,Lists!$P$2:$P$19,Lists!$Y$2:$Y$19,0)))</f>
        <v>0</v>
      </c>
      <c r="W458" s="68">
        <f ca="1">IF($B458="","",SUM(_xlfn.XLOOKUP(C458,Lists!$P$2:$P$19,Lists!$Z$2:$Z$19,0),_xlfn.XLOOKUP(E458,Lists!$P$2:$P$19,Lists!$Z$2:$Z$19,0),_xlfn.XLOOKUP(G458,Lists!$P$2:$P$19,Lists!$Z$2:$Z$19,0),_xlfn.XLOOKUP(I458,Lists!$P$2:$P$19,Lists!$Z$2:$Z$19,0),_xlfn.XLOOKUP(K458,Lists!$P$2:$P$19,Lists!$Z$2:$Z$19,0)))</f>
        <v>0</v>
      </c>
      <c r="X458" s="69">
        <f ca="1">IF($B458="","",SUM(_xlfn.XLOOKUP(C458,Lists!$P$2:$P$19,Lists!$AA$2:$AA$19,0),_xlfn.XLOOKUP(E458,Lists!$P$2:$P$19,Lists!$AA$2:$AA$19,0),_xlfn.XLOOKUP(G458,Lists!$P$2:$P$19,Lists!$AA$2:$AA$19,0),_xlfn.XLOOKUP(I458,Lists!$P$2:$P$19,Lists!$AA$2:$AA$19,0),_xlfn.XLOOKUP(K458,Lists!$P$2:$P$19,Lists!$AA$2:$AA$19,0)))</f>
        <v>0</v>
      </c>
      <c r="Y458" s="49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  <c r="CF458" s="18"/>
      <c r="CG458" s="18"/>
      <c r="CH458" s="18"/>
      <c r="CI458" s="18"/>
      <c r="CJ458" s="18"/>
      <c r="CK458" s="18"/>
      <c r="CL458" s="18"/>
      <c r="CM458" s="18"/>
      <c r="CN458" s="18"/>
      <c r="CO458" s="18"/>
      <c r="CP458" s="18"/>
      <c r="CQ458" s="18"/>
      <c r="CR458" s="18"/>
      <c r="CS458" s="18"/>
      <c r="CT458" s="18"/>
      <c r="CU458" s="18"/>
      <c r="CV458" s="18"/>
      <c r="CW458" s="18"/>
      <c r="CX458" s="18"/>
      <c r="CY458" s="18"/>
      <c r="CZ458" s="18"/>
      <c r="DA458" s="18"/>
      <c r="DB458" s="18"/>
      <c r="DC458" s="18"/>
      <c r="DD458" s="18"/>
      <c r="DE458" s="18"/>
      <c r="DF458" s="18"/>
    </row>
    <row r="459" spans="1:110">
      <c r="A459" s="173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18"/>
      <c r="CJ459" s="18"/>
      <c r="CK459" s="18"/>
      <c r="CL459" s="18"/>
      <c r="CM459" s="18"/>
      <c r="CN459" s="18"/>
      <c r="CO459" s="18"/>
      <c r="CP459" s="18"/>
      <c r="CQ459" s="18"/>
      <c r="CR459" s="18"/>
      <c r="CS459" s="18"/>
      <c r="CT459" s="18"/>
      <c r="CU459" s="18"/>
      <c r="CV459" s="18"/>
      <c r="CW459" s="18"/>
      <c r="CX459" s="18"/>
      <c r="CY459" s="18"/>
      <c r="CZ459" s="18"/>
      <c r="DA459" s="18"/>
      <c r="DB459" s="18"/>
      <c r="DC459" s="18"/>
      <c r="DD459" s="18"/>
      <c r="DE459" s="18"/>
      <c r="DF459" s="18"/>
    </row>
    <row r="460" spans="1:110">
      <c r="A460" s="222" t="str">
        <f ca="1">IF($N$443="","Team A Pitching",$N$443&amp;" Pitching")</f>
        <v>Nick Pitching</v>
      </c>
      <c r="B460" s="221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06"/>
      <c r="O460" s="186"/>
      <c r="P460" s="24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  <c r="CI460" s="18"/>
      <c r="CJ460" s="18"/>
      <c r="CK460" s="18"/>
      <c r="CL460" s="18"/>
      <c r="CM460" s="18"/>
      <c r="CN460" s="18"/>
      <c r="CO460" s="18"/>
      <c r="CP460" s="18"/>
      <c r="CQ460" s="18"/>
      <c r="CR460" s="18"/>
      <c r="CS460" s="18"/>
      <c r="CT460" s="18"/>
      <c r="CU460" s="18"/>
      <c r="CV460" s="18"/>
      <c r="CW460" s="18"/>
      <c r="CX460" s="18"/>
      <c r="CY460" s="18"/>
      <c r="CZ460" s="18"/>
      <c r="DA460" s="18"/>
      <c r="DB460" s="18"/>
      <c r="DC460" s="18"/>
      <c r="DD460" s="18"/>
      <c r="DE460" s="18"/>
      <c r="DF460" s="18"/>
    </row>
    <row r="461" spans="1:110">
      <c r="A461" s="167" t="s">
        <v>103</v>
      </c>
      <c r="B461" s="43" t="s">
        <v>194</v>
      </c>
      <c r="C461" s="43" t="s">
        <v>195</v>
      </c>
      <c r="D461" s="43" t="s">
        <v>162</v>
      </c>
      <c r="E461" s="43" t="s">
        <v>161</v>
      </c>
      <c r="F461" s="43" t="s">
        <v>196</v>
      </c>
      <c r="G461" s="43" t="s">
        <v>180</v>
      </c>
      <c r="H461" s="43" t="s">
        <v>181</v>
      </c>
      <c r="I461" s="44" t="s">
        <v>197</v>
      </c>
      <c r="J461" s="44" t="s">
        <v>198</v>
      </c>
      <c r="K461" s="44" t="s">
        <v>199</v>
      </c>
      <c r="L461" s="44" t="s">
        <v>200</v>
      </c>
      <c r="M461" s="44" t="s">
        <v>201</v>
      </c>
      <c r="N461" s="45" t="s">
        <v>202</v>
      </c>
      <c r="O461" s="45" t="s">
        <v>203</v>
      </c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  <c r="CI461" s="18"/>
      <c r="CJ461" s="18"/>
      <c r="CK461" s="18"/>
      <c r="CL461" s="18"/>
      <c r="CM461" s="18"/>
      <c r="CN461" s="18"/>
      <c r="CO461" s="18"/>
      <c r="CP461" s="18"/>
      <c r="CQ461" s="18"/>
      <c r="CR461" s="18"/>
      <c r="CS461" s="18"/>
      <c r="CT461" s="18"/>
      <c r="CU461" s="18"/>
      <c r="CV461" s="18"/>
      <c r="CW461" s="18"/>
      <c r="CX461" s="18"/>
      <c r="CY461" s="18"/>
      <c r="CZ461" s="18"/>
      <c r="DA461" s="18"/>
      <c r="DB461" s="18"/>
      <c r="DC461" s="18"/>
      <c r="DD461" s="18"/>
      <c r="DE461" s="18"/>
      <c r="DF461" s="18"/>
    </row>
    <row r="462" spans="1:110">
      <c r="A462" s="168">
        <v>1</v>
      </c>
      <c r="B462" s="71" t="s">
        <v>42</v>
      </c>
      <c r="C462" s="70" cm="1">
        <f t="array" aca="1" ref="C462" ca="1">IF(OR(B462="",O462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2</v>
      </c>
      <c r="D462" s="67" cm="1">
        <f t="array" aca="1" ref="D462" ca="1">IF(OR(B462="",O462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4</v>
      </c>
      <c r="E462" s="67" cm="1">
        <f t="array" aca="1" ref="E462" ca="1">IF(OR(B462="",O462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0</v>
      </c>
      <c r="F462" s="67" cm="1">
        <f t="array" aca="1" ref="F462" ca="1">IF(OR(B462="",O462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0</v>
      </c>
      <c r="G462" s="67" cm="1">
        <f t="array" aca="1" ref="G462" ca="1">IF(OR(B462="",O462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462" s="67" cm="1">
        <f t="array" aca="1" ref="H462" ca="1">IF(OR(B462="",O462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1</v>
      </c>
      <c r="I462" s="68" cm="1">
        <f t="array" aca="1" ref="I462" ca="1">IF(OR(B462="",O462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462" s="68" cm="1">
        <f t="array" aca="1" ref="J462" ca="1">IF(OR(B462="",O462=""),"",--(SUM(_xlfn.XLOOKUP(_xlfn._xlws.FILTER(_xlfn.TOCOL(_xlfn.CHOOSECOLS(C450:L458,2,4,6,8,10),0,TRUE),_xlfn.TOCOL(_xlfn.CHOOSECOLS(C450:L458,1,3,5,7,9),0,TRUE)&lt;&gt;""),Lists!$AC$2:$AC$9,Lists!$AF$2:$AF$9,0))&gt;SUM(_xlfn.XLOOKUP(_xlfn._xlws.FILTER(_xlfn.TOCOL(_xlfn.CHOOSECOLS(C471:L479,2,4,6,8,10),0,TRUE),_xlfn.TOCOL(_xlfn.CHOOSECOLS(C471:L479,1,3,5,7,9),0,TRUE)&lt;&gt;""),Lists!$AC$2:$AC$9,Lists!$AF$2:$AF$9,0)))*--(ROW()-ROW(C461)=_xlfn.XLOOKUP(MAX(IF(O462:O467&gt;0,INT(C462:C467)*3+MOD(ROUND(C462:C467*10,0),10),-1)),IF(O462:O467&gt;0,INT(C462:C467)*3+MOD(ROUND(C462:C467*10,0),10),-1),_xlfn.SEQUENCE(ROWS(O462:O467)),,0)))</f>
        <v>0</v>
      </c>
      <c r="K462" s="68" cm="1">
        <f t="array" aca="1" ref="K462" ca="1">IF(OR(B462="",O462=""),"",--(SUM(_xlfn.XLOOKUP(_xlfn._xlws.FILTER(_xlfn.TOCOL(_xlfn.CHOOSECOLS(C450:L458,2,4,6,8,10),0,TRUE),_xlfn.TOCOL(_xlfn.CHOOSECOLS(C450:L458,1,3,5,7,9),0,TRUE)&lt;&gt;""),Lists!$AC$2:$AC$9,Lists!$AF$2:$AF$9,0))&lt;SUM(_xlfn.XLOOKUP(_xlfn._xlws.FILTER(_xlfn.TOCOL(_xlfn.CHOOSECOLS(C471:L479,2,4,6,8,10),0,TRUE),_xlfn.TOCOL(_xlfn.CHOOSECOLS(C471:L479,1,3,5,7,9),0,TRUE)&lt;&gt;""),Lists!$AC$2:$AC$9,Lists!$AF$2:$AF$9,0)))*--(ROW()-ROW(C461)=_xlfn.XLOOKUP(MAX(IF(O462:O467&gt;0,E462:E467,-1)),IF(O462:O467&gt;0,E462:E467,-1),_xlfn.SEQUENCE(ROWS(O462:O467)),,0)))</f>
        <v>0</v>
      </c>
      <c r="L462" s="68" cm="1">
        <f t="array" aca="1" ref="L462" ca="1">IF(OR(B462="",O462=""),"",--(SUM(_xlfn.XLOOKUP(_xlfn._xlws.FILTER(_xlfn.TOCOL(_xlfn.CHOOSECOLS(C450:L458,2,4,6,8,10),0,TRUE),_xlfn.TOCOL(_xlfn.CHOOSECOLS(C450:L458,1,3,5,7,9),0,TRUE)&lt;&gt;""),Lists!$AC$2:$AC$9,Lists!$AF$2:$AF$9,0))&gt;SUM(_xlfn.XLOOKUP(_xlfn._xlws.FILTER(_xlfn.TOCOL(_xlfn.CHOOSECOLS(C471:L479,2,4,6,8,10),0,TRUE),_xlfn.TOCOL(_xlfn.CHOOSECOLS(C471:L479,1,3,5,7,9),0,TRUE)&lt;&gt;""),Lists!$AC$2:$AC$9,Lists!$AF$2:$AF$9,0)))*--(COUNTIF(O462:O467,"&gt;0")&gt;1)*--(ROW()-ROW(C461)=_xlfn.XLOOKUP(TRUE,O462:O467&gt;0,_xlfn.SEQUENCE(ROWS(O462:O467)),,0,-1))*--(_xlfn.XLOOKUP(TRUE,O462:O467&gt;0,_xlfn.SEQUENCE(ROWS(O462:O467)),,0,-1)&lt;&gt;_xlfn.XLOOKUP(MAX(IF(O462:O467&gt;0,INT(C462:C467)*3+MOD(ROUND(C462:C467*10,0),10),-1)),IF(O462:O467&gt;0,INT(C462:C467)*3+MOD(ROUND(C462:C467*10,0),10),-1),_xlfn.SEQUENCE(ROWS(O462:O467)),,0))*--(SUM(_xlfn.XLOOKUP(_xlfn._xlws.FILTER(_xlfn.TOCOL(_xlfn.CHOOSECOLS(C450:L458,2,4,6,8,10),0,TRUE),_xlfn.TOCOL(_xlfn.CHOOSECOLS(C450:L458,1,3,5,7,9),0,TRUE)&lt;&gt;""),Lists!$AC$2:$AC$9,Lists!$AF$2:$AF$9,0))-SUM(_xlfn.XLOOKUP(_xlfn._xlws.FILTER(_xlfn.TOCOL(_xlfn.CHOOSECOLS(C471:L479,2,4,6,8,10),0,TRUE),_xlfn.TOCOL(_xlfn.CHOOSECOLS(C471:L479,1,3,5,7,9),0,TRUE)&lt;&gt;""),Lists!$AC$2:$AC$9,Lists!$AF$2:$AF$9,0))&lt;=3)*--((INT(C462)*3+MOD(ROUND(C462*10,0),10))&gt;=3))</f>
        <v>0</v>
      </c>
      <c r="M462" s="68" cm="1">
        <f t="array" aca="1" ref="M462" ca="1">IF(OR(B462="",O462=""),"",--(COUNTIF(O462:O467,"&gt;0")=1)*--(SUM(_xlfn.XLOOKUP(_xlfn._xlws.FILTER(_xlfn.TOCOL(_xlfn.CHOOSECOLS(C471:L479,2,4,6,8,10),0,TRUE),_xlfn.TOCOL(_xlfn.CHOOSECOLS(C471:L479,1,3,5,7,9),0,TRUE)&lt;&gt;""),Lists!$AC$2:$AC$9,Lists!$AF$2:$AF$9,0))=0))</f>
        <v>0</v>
      </c>
      <c r="N462" s="69">
        <f ca="1">IF(OR(B462="",O462=""),"",--(COUNTIF(O462:O467,"&gt;0")=1))</f>
        <v>0</v>
      </c>
      <c r="O462" s="51">
        <v>10</v>
      </c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  <c r="CL462" s="18"/>
      <c r="CM462" s="18"/>
      <c r="CN462" s="18"/>
      <c r="CO462" s="18"/>
      <c r="CP462" s="18"/>
      <c r="CQ462" s="18"/>
      <c r="CR462" s="18"/>
      <c r="CS462" s="18"/>
      <c r="CT462" s="18"/>
      <c r="CU462" s="18"/>
      <c r="CV462" s="18"/>
      <c r="CW462" s="18"/>
      <c r="CX462" s="18"/>
      <c r="CY462" s="18"/>
      <c r="CZ462" s="18"/>
      <c r="DA462" s="18"/>
      <c r="DB462" s="18"/>
      <c r="DC462" s="18"/>
      <c r="DD462" s="18"/>
      <c r="DE462" s="18"/>
      <c r="DF462" s="18"/>
    </row>
    <row r="463" spans="1:110">
      <c r="A463" s="168">
        <v>2</v>
      </c>
      <c r="B463" s="71" t="s">
        <v>86</v>
      </c>
      <c r="C463" s="70" cm="1">
        <f t="array" aca="1" ref="C463" ca="1">IF(OR(B463="",O463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0.2</v>
      </c>
      <c r="D463" s="67" cm="1">
        <f t="array" aca="1" ref="D463" ca="1">IF(OR(B463="",O463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2</v>
      </c>
      <c r="E463" s="67" cm="1">
        <f t="array" aca="1" ref="E463" ca="1">IF(OR(B463="",O463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4</v>
      </c>
      <c r="F463" s="67" cm="1">
        <f t="array" aca="1" ref="F463" ca="1">IF(OR(B463="",O463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4</v>
      </c>
      <c r="G463" s="67" cm="1">
        <f t="array" aca="1" ref="G463" ca="1">IF(OR(B463="",O463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463" s="67" cm="1">
        <f t="array" aca="1" ref="H463" ca="1">IF(OR(B463="",O463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0</v>
      </c>
      <c r="I463" s="68" cm="1">
        <f t="array" aca="1" ref="I463" ca="1">IF(OR(B463="",O463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1</v>
      </c>
      <c r="J463" s="68" cm="1">
        <f t="array" aca="1" ref="J463" ca="1">IF(OR(B463="",O463=""),"",--(SUM(_xlfn.XLOOKUP(_xlfn._xlws.FILTER(_xlfn.TOCOL(_xlfn.CHOOSECOLS(C450:L458,2,4,6,8,10),0,TRUE),_xlfn.TOCOL(_xlfn.CHOOSECOLS(C450:L458,1,3,5,7,9),0,TRUE)&lt;&gt;""),Lists!$AC$2:$AC$9,Lists!$AF$2:$AF$9,0))&gt;SUM(_xlfn.XLOOKUP(_xlfn._xlws.FILTER(_xlfn.TOCOL(_xlfn.CHOOSECOLS(C471:L479,2,4,6,8,10),0,TRUE),_xlfn.TOCOL(_xlfn.CHOOSECOLS(C471:L479,1,3,5,7,9),0,TRUE)&lt;&gt;""),Lists!$AC$2:$AC$9,Lists!$AF$2:$AF$9,0)))*--(ROW()-ROW(C461)=_xlfn.XLOOKUP(MAX(IF(O462:O467&gt;0,INT(C462:C467)*3+MOD(ROUND(C462:C467*10,0),10),-1)),IF(O462:O467&gt;0,INT(C462:C467)*3+MOD(ROUND(C462:C467*10,0),10),-1),_xlfn.SEQUENCE(ROWS(O462:O467)),,0)))</f>
        <v>0</v>
      </c>
      <c r="K463" s="68" cm="1">
        <f t="array" aca="1" ref="K463" ca="1">IF(OR(B463="",O463=""),"",--(SUM(_xlfn.XLOOKUP(_xlfn._xlws.FILTER(_xlfn.TOCOL(_xlfn.CHOOSECOLS(C450:L458,2,4,6,8,10),0,TRUE),_xlfn.TOCOL(_xlfn.CHOOSECOLS(C450:L458,1,3,5,7,9),0,TRUE)&lt;&gt;""),Lists!$AC$2:$AC$9,Lists!$AF$2:$AF$9,0))&lt;SUM(_xlfn.XLOOKUP(_xlfn._xlws.FILTER(_xlfn.TOCOL(_xlfn.CHOOSECOLS(C471:L479,2,4,6,8,10),0,TRUE),_xlfn.TOCOL(_xlfn.CHOOSECOLS(C471:L479,1,3,5,7,9),0,TRUE)&lt;&gt;""),Lists!$AC$2:$AC$9,Lists!$AF$2:$AF$9,0)))*--(ROW()-ROW(C461)=_xlfn.XLOOKUP(MAX(IF(O462:O467&gt;0,E462:E467,-1)),IF(O462:O467&gt;0,E462:E467,-1),_xlfn.SEQUENCE(ROWS(O462:O467)),,0)))</f>
        <v>1</v>
      </c>
      <c r="L463" s="68" cm="1">
        <f t="array" aca="1" ref="L463" ca="1">IF(OR(B463="",O463=""),"",--(SUM(_xlfn.XLOOKUP(_xlfn._xlws.FILTER(_xlfn.TOCOL(_xlfn.CHOOSECOLS(C450:L458,2,4,6,8,10),0,TRUE),_xlfn.TOCOL(_xlfn.CHOOSECOLS(C450:L458,1,3,5,7,9),0,TRUE)&lt;&gt;""),Lists!$AC$2:$AC$9,Lists!$AF$2:$AF$9,0))&gt;SUM(_xlfn.XLOOKUP(_xlfn._xlws.FILTER(_xlfn.TOCOL(_xlfn.CHOOSECOLS(C471:L479,2,4,6,8,10),0,TRUE),_xlfn.TOCOL(_xlfn.CHOOSECOLS(C471:L479,1,3,5,7,9),0,TRUE)&lt;&gt;""),Lists!$AC$2:$AC$9,Lists!$AF$2:$AF$9,0)))*--(COUNTIF(O462:O467,"&gt;0")&gt;1)*--(ROW()-ROW(C461)=_xlfn.XLOOKUP(TRUE,O462:O467&gt;0,_xlfn.SEQUENCE(ROWS(O462:O467)),,0,-1))*--(_xlfn.XLOOKUP(TRUE,O462:O467&gt;0,_xlfn.SEQUENCE(ROWS(O462:O467)),,0,-1)&lt;&gt;_xlfn.XLOOKUP(MAX(IF(O462:O467&gt;0,INT(C462:C467)*3+MOD(ROUND(C462:C467*10,0),10),-1)),IF(O462:O467&gt;0,INT(C462:C467)*3+MOD(ROUND(C462:C467*10,0),10),-1),_xlfn.SEQUENCE(ROWS(O462:O467)),,0))*--(SUM(_xlfn.XLOOKUP(_xlfn._xlws.FILTER(_xlfn.TOCOL(_xlfn.CHOOSECOLS(C450:L458,2,4,6,8,10),0,TRUE),_xlfn.TOCOL(_xlfn.CHOOSECOLS(C450:L458,1,3,5,7,9),0,TRUE)&lt;&gt;""),Lists!$AC$2:$AC$9,Lists!$AF$2:$AF$9,0))-SUM(_xlfn.XLOOKUP(_xlfn._xlws.FILTER(_xlfn.TOCOL(_xlfn.CHOOSECOLS(C471:L479,2,4,6,8,10),0,TRUE),_xlfn.TOCOL(_xlfn.CHOOSECOLS(C471:L479,1,3,5,7,9),0,TRUE)&lt;&gt;""),Lists!$AC$2:$AC$9,Lists!$AF$2:$AF$9,0))&lt;=3)*--((INT(C463)*3+MOD(ROUND(C463*10,0),10))&gt;=3))</f>
        <v>0</v>
      </c>
      <c r="M463" s="68" cm="1">
        <f t="array" aca="1" ref="M463" ca="1">IF(OR(B463="",O463=""),"",--(COUNTIF(O462:O467,"&gt;0")=1)*--(SUM(_xlfn.XLOOKUP(_xlfn._xlws.FILTER(_xlfn.TOCOL(_xlfn.CHOOSECOLS(C471:L479,2,4,6,8,10),0,TRUE),_xlfn.TOCOL(_xlfn.CHOOSECOLS(C471:L479,1,3,5,7,9),0,TRUE)&lt;&gt;""),Lists!$AC$2:$AC$9,Lists!$AF$2:$AF$9,0))=0))</f>
        <v>0</v>
      </c>
      <c r="N463" s="69">
        <f ca="1">IF(OR(B463="",O463=""),"",--(COUNTIF(O462:O467,"&gt;0")=1))</f>
        <v>0</v>
      </c>
      <c r="O463" s="51">
        <v>4</v>
      </c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8"/>
      <c r="CG463" s="18"/>
      <c r="CH463" s="18"/>
      <c r="CI463" s="18"/>
      <c r="CJ463" s="18"/>
      <c r="CK463" s="18"/>
      <c r="CL463" s="18"/>
      <c r="CM463" s="18"/>
      <c r="CN463" s="18"/>
      <c r="CO463" s="18"/>
      <c r="CP463" s="18"/>
      <c r="CQ463" s="18"/>
      <c r="CR463" s="18"/>
      <c r="CS463" s="18"/>
      <c r="CT463" s="18"/>
      <c r="CU463" s="18"/>
      <c r="CV463" s="18"/>
      <c r="CW463" s="18"/>
      <c r="CX463" s="18"/>
      <c r="CY463" s="18"/>
      <c r="CZ463" s="18"/>
      <c r="DA463" s="18"/>
      <c r="DB463" s="18"/>
      <c r="DC463" s="18"/>
      <c r="DD463" s="18"/>
      <c r="DE463" s="18"/>
      <c r="DF463" s="18"/>
    </row>
    <row r="464" spans="1:110">
      <c r="A464" s="168">
        <v>3</v>
      </c>
      <c r="B464" s="71" t="s">
        <v>74</v>
      </c>
      <c r="C464" s="70" cm="1">
        <f t="array" aca="1" ref="C464" ca="1">IF(OR(B464="",O464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0.1</v>
      </c>
      <c r="D464" s="67" cm="1">
        <f t="array" aca="1" ref="D464" ca="1">IF(OR(B464="",O464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1</v>
      </c>
      <c r="E464" s="67" cm="1">
        <f t="array" aca="1" ref="E464" ca="1">IF(OR(B464="",O464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464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0</v>
      </c>
      <c r="F464" s="67" cm="1">
        <f t="array" aca="1" ref="F464" ca="1">IF(OR(B464="",O464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464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0</v>
      </c>
      <c r="G464" s="67" cm="1">
        <f t="array" aca="1" ref="G464" ca="1">IF(OR(B464="",O464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464" s="67" cm="1">
        <f t="array" aca="1" ref="H464" ca="1">IF(OR(B464="",O464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0</v>
      </c>
      <c r="I464" s="68" cm="1">
        <f t="array" aca="1" ref="I464" ca="1">IF(OR(B464="",O464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464" s="68" cm="1">
        <f t="array" aca="1" ref="J464" ca="1">IF(OR(B464="",O464=""),"",--(SUM(_xlfn.XLOOKUP(_xlfn._xlws.FILTER(_xlfn.TOCOL(_xlfn.CHOOSECOLS(C450:L458,2,4,6,8,10),0,TRUE),_xlfn.TOCOL(_xlfn.CHOOSECOLS(C450:L458,1,3,5,7,9),0,TRUE)&lt;&gt;""),Lists!$AC$2:$AC$9,Lists!$AF$2:$AF$9,0))&gt;SUM(_xlfn.XLOOKUP(_xlfn._xlws.FILTER(_xlfn.TOCOL(_xlfn.CHOOSECOLS(C471:L479,2,4,6,8,10),0,TRUE),_xlfn.TOCOL(_xlfn.CHOOSECOLS(C471:L479,1,3,5,7,9),0,TRUE)&lt;&gt;""),Lists!$AC$2:$AC$9,Lists!$AF$2:$AF$9,0)))*--(ROW()-ROW(C461)=_xlfn.XLOOKUP(MAX(IF(O462:O467&gt;0,INT(C462:C467)*3+MOD(ROUND(C462:C467*10,0),10),-1)),IF(O462:O467&gt;0,INT(C462:C467)*3+MOD(ROUND(C462:C467*10,0),10),-1),_xlfn.SEQUENCE(ROWS(O462:O467)),,0)))</f>
        <v>0</v>
      </c>
      <c r="K464" s="68" cm="1">
        <f t="array" aca="1" ref="K464" ca="1">IF(OR(B464="",O464=""),"",--(SUM(_xlfn.XLOOKUP(_xlfn._xlws.FILTER(_xlfn.TOCOL(_xlfn.CHOOSECOLS(C450:L458,2,4,6,8,10),0,TRUE),_xlfn.TOCOL(_xlfn.CHOOSECOLS(C450:L458,1,3,5,7,9),0,TRUE)&lt;&gt;""),Lists!$AC$2:$AC$9,Lists!$AF$2:$AF$9,0))&lt;SUM(_xlfn.XLOOKUP(_xlfn._xlws.FILTER(_xlfn.TOCOL(_xlfn.CHOOSECOLS(C471:L479,2,4,6,8,10),0,TRUE),_xlfn.TOCOL(_xlfn.CHOOSECOLS(C471:L479,1,3,5,7,9),0,TRUE)&lt;&gt;""),Lists!$AC$2:$AC$9,Lists!$AF$2:$AF$9,0)))*--(ROW()-ROW(C461)=_xlfn.XLOOKUP(MAX(IF(O462:O467&gt;0,E462:E467,-1)),IF(O462:O467&gt;0,E462:E467,-1),_xlfn.SEQUENCE(ROWS(O462:O467)),,0)))</f>
        <v>0</v>
      </c>
      <c r="L464" s="68" cm="1">
        <f t="array" aca="1" ref="L464" ca="1">IF(OR(B464="",O464=""),"",--(SUM(_xlfn.XLOOKUP(_xlfn._xlws.FILTER(_xlfn.TOCOL(_xlfn.CHOOSECOLS(C450:L458,2,4,6,8,10),0,TRUE),_xlfn.TOCOL(_xlfn.CHOOSECOLS(C450:L458,1,3,5,7,9),0,TRUE)&lt;&gt;""),Lists!$AC$2:$AC$9,Lists!$AF$2:$AF$9,0))&gt;SUM(_xlfn.XLOOKUP(_xlfn._xlws.FILTER(_xlfn.TOCOL(_xlfn.CHOOSECOLS(C471:L479,2,4,6,8,10),0,TRUE),_xlfn.TOCOL(_xlfn.CHOOSECOLS(C471:L479,1,3,5,7,9),0,TRUE)&lt;&gt;""),Lists!$AC$2:$AC$9,Lists!$AF$2:$AF$9,0)))*--(COUNTIF(O462:O467,"&gt;0")&gt;1)*--(ROW()-ROW(C461)=_xlfn.XLOOKUP(TRUE,O462:O467&gt;0,_xlfn.SEQUENCE(ROWS(O462:O467)),,0,-1))*--(_xlfn.XLOOKUP(TRUE,O462:O467&gt;0,_xlfn.SEQUENCE(ROWS(O462:O467)),,0,-1)&lt;&gt;_xlfn.XLOOKUP(MAX(IF(O462:O467&gt;0,INT(C462:C467)*3+MOD(ROUND(C462:C467*10,0),10),-1)),IF(O462:O467&gt;0,INT(C462:C467)*3+MOD(ROUND(C462:C467*10,0),10),-1),_xlfn.SEQUENCE(ROWS(O462:O467)),,0))*--(SUM(_xlfn.XLOOKUP(_xlfn._xlws.FILTER(_xlfn.TOCOL(_xlfn.CHOOSECOLS(C450:L458,2,4,6,8,10),0,TRUE),_xlfn.TOCOL(_xlfn.CHOOSECOLS(C450:L458,1,3,5,7,9),0,TRUE)&lt;&gt;""),Lists!$AC$2:$AC$9,Lists!$AF$2:$AF$9,0))-SUM(_xlfn.XLOOKUP(_xlfn._xlws.FILTER(_xlfn.TOCOL(_xlfn.CHOOSECOLS(C471:L479,2,4,6,8,10),0,TRUE),_xlfn.TOCOL(_xlfn.CHOOSECOLS(C471:L479,1,3,5,7,9),0,TRUE)&lt;&gt;""),Lists!$AC$2:$AC$9,Lists!$AF$2:$AF$9,0))&lt;=3)*--((INT(C464)*3+MOD(ROUND(C464*10,0),10))&gt;=3))</f>
        <v>0</v>
      </c>
      <c r="M464" s="68" cm="1">
        <f t="array" aca="1" ref="M464" ca="1">IF(OR(B464="",O464=""),"",--(COUNTIF(O462:O467,"&gt;0")=1)*--(SUM(_xlfn.XLOOKUP(_xlfn._xlws.FILTER(_xlfn.TOCOL(_xlfn.CHOOSECOLS(C471:L479,2,4,6,8,10),0,TRUE),_xlfn.TOCOL(_xlfn.CHOOSECOLS(C471:L479,1,3,5,7,9),0,TRUE)&lt;&gt;""),Lists!$AC$2:$AC$9,Lists!$AF$2:$AF$9,0))=0))</f>
        <v>0</v>
      </c>
      <c r="N464" s="69">
        <f ca="1">IF(OR(B464="",O464=""),"",--(COUNTIF(O462:O467,"&gt;0")=1))</f>
        <v>0</v>
      </c>
      <c r="O464" s="51">
        <v>2</v>
      </c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8"/>
      <c r="CG464" s="18"/>
      <c r="CH464" s="18"/>
      <c r="CI464" s="18"/>
      <c r="CJ464" s="18"/>
      <c r="CK464" s="18"/>
      <c r="CL464" s="18"/>
      <c r="CM464" s="18"/>
      <c r="CN464" s="18"/>
      <c r="CO464" s="18"/>
      <c r="CP464" s="18"/>
      <c r="CQ464" s="18"/>
      <c r="CR464" s="18"/>
      <c r="CS464" s="18"/>
      <c r="CT464" s="18"/>
      <c r="CU464" s="18"/>
      <c r="CV464" s="18"/>
      <c r="CW464" s="18"/>
      <c r="CX464" s="18"/>
      <c r="CY464" s="18"/>
      <c r="CZ464" s="18"/>
      <c r="DA464" s="18"/>
      <c r="DB464" s="18"/>
      <c r="DC464" s="18"/>
      <c r="DD464" s="18"/>
      <c r="DE464" s="18"/>
      <c r="DF464" s="18"/>
    </row>
    <row r="465" spans="1:110">
      <c r="A465" s="168">
        <v>4</v>
      </c>
      <c r="B465" s="71"/>
      <c r="C465" s="70" t="str" cm="1">
        <f t="array" aca="1" ref="C465" ca="1">IF(OR(B465="",O465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65" s="67" t="str" cm="1">
        <f t="array" aca="1" ref="D465" ca="1">IF(OR(B465="",O465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65" s="67" t="str" cm="1">
        <f t="array" aca="1" ref="E465" ca="1">IF(OR(B465="",O465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465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65" s="67" t="str" cm="1">
        <f t="array" aca="1" ref="F465" ca="1">IF(OR(B465="",O465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465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65" s="67" t="str" cm="1">
        <f t="array" aca="1" ref="G465" ca="1">IF(OR(B465="",O465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65" s="67" t="str" cm="1">
        <f t="array" aca="1" ref="H465" ca="1">IF(OR(B465="",O465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65" s="68" t="str" cm="1">
        <f t="array" aca="1" ref="I465" ca="1">IF(OR(B465="",O465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65" s="68" t="str" cm="1">
        <f t="array" aca="1" ref="J465" ca="1">IF(OR(B465="",O465=""),"",--(SUM(_xlfn.XLOOKUP(_xlfn._xlws.FILTER(_xlfn.TOCOL(_xlfn.CHOOSECOLS(C450:L458,2,4,6,8,10),0,TRUE),_xlfn.TOCOL(_xlfn.CHOOSECOLS(C450:L458,1,3,5,7,9),0,TRUE)&lt;&gt;""),Lists!$AC$2:$AC$9,Lists!$AF$2:$AF$9,0))&gt;SUM(_xlfn.XLOOKUP(_xlfn._xlws.FILTER(_xlfn.TOCOL(_xlfn.CHOOSECOLS(C471:L479,2,4,6,8,10),0,TRUE),_xlfn.TOCOL(_xlfn.CHOOSECOLS(C471:L479,1,3,5,7,9),0,TRUE)&lt;&gt;""),Lists!$AC$2:$AC$9,Lists!$AF$2:$AF$9,0)))*--(ROW()-ROW(C461)=_xlfn.XLOOKUP(MAX(IF(O462:O467&gt;0,INT(C462:C467)*3+MOD(ROUND(C462:C467*10,0),10),-1)),IF(O462:O467&gt;0,INT(C462:C467)*3+MOD(ROUND(C462:C467*10,0),10),-1),_xlfn.SEQUENCE(ROWS(O462:O467)),,0)))</f>
        <v/>
      </c>
      <c r="K465" s="68" t="str" cm="1">
        <f t="array" aca="1" ref="K465" ca="1">IF(OR(B465="",O465=""),"",--(SUM(_xlfn.XLOOKUP(_xlfn._xlws.FILTER(_xlfn.TOCOL(_xlfn.CHOOSECOLS(C450:L458,2,4,6,8,10),0,TRUE),_xlfn.TOCOL(_xlfn.CHOOSECOLS(C450:L458,1,3,5,7,9),0,TRUE)&lt;&gt;""),Lists!$AC$2:$AC$9,Lists!$AF$2:$AF$9,0))&lt;SUM(_xlfn.XLOOKUP(_xlfn._xlws.FILTER(_xlfn.TOCOL(_xlfn.CHOOSECOLS(C471:L479,2,4,6,8,10),0,TRUE),_xlfn.TOCOL(_xlfn.CHOOSECOLS(C471:L479,1,3,5,7,9),0,TRUE)&lt;&gt;""),Lists!$AC$2:$AC$9,Lists!$AF$2:$AF$9,0)))*--(ROW()-ROW(C461)=_xlfn.XLOOKUP(MAX(IF(O462:O467&gt;0,E462:E467,-1)),IF(O462:O467&gt;0,E462:E467,-1),_xlfn.SEQUENCE(ROWS(O462:O467)),,0)))</f>
        <v/>
      </c>
      <c r="L465" s="68" t="str" cm="1">
        <f t="array" aca="1" ref="L465" ca="1">IF(OR(B465="",O465=""),"",--(SUM(_xlfn.XLOOKUP(_xlfn._xlws.FILTER(_xlfn.TOCOL(_xlfn.CHOOSECOLS(C450:L458,2,4,6,8,10),0,TRUE),_xlfn.TOCOL(_xlfn.CHOOSECOLS(C450:L458,1,3,5,7,9),0,TRUE)&lt;&gt;""),Lists!$AC$2:$AC$9,Lists!$AF$2:$AF$9,0))&gt;SUM(_xlfn.XLOOKUP(_xlfn._xlws.FILTER(_xlfn.TOCOL(_xlfn.CHOOSECOLS(C471:L479,2,4,6,8,10),0,TRUE),_xlfn.TOCOL(_xlfn.CHOOSECOLS(C471:L479,1,3,5,7,9),0,TRUE)&lt;&gt;""),Lists!$AC$2:$AC$9,Lists!$AF$2:$AF$9,0)))*--(COUNTIF(O462:O467,"&gt;0")&gt;1)*--(ROW()-ROW(C461)=_xlfn.XLOOKUP(TRUE,O462:O467&gt;0,_xlfn.SEQUENCE(ROWS(O462:O467)),,0,-1))*--(_xlfn.XLOOKUP(TRUE,O462:O467&gt;0,_xlfn.SEQUENCE(ROWS(O462:O467)),,0,-1)&lt;&gt;_xlfn.XLOOKUP(MAX(IF(O462:O467&gt;0,INT(C462:C467)*3+MOD(ROUND(C462:C467*10,0),10),-1)),IF(O462:O467&gt;0,INT(C462:C467)*3+MOD(ROUND(C462:C467*10,0),10),-1),_xlfn.SEQUENCE(ROWS(O462:O467)),,0))*--(SUM(_xlfn.XLOOKUP(_xlfn._xlws.FILTER(_xlfn.TOCOL(_xlfn.CHOOSECOLS(C450:L458,2,4,6,8,10),0,TRUE),_xlfn.TOCOL(_xlfn.CHOOSECOLS(C450:L458,1,3,5,7,9),0,TRUE)&lt;&gt;""),Lists!$AC$2:$AC$9,Lists!$AF$2:$AF$9,0))-SUM(_xlfn.XLOOKUP(_xlfn._xlws.FILTER(_xlfn.TOCOL(_xlfn.CHOOSECOLS(C471:L479,2,4,6,8,10),0,TRUE),_xlfn.TOCOL(_xlfn.CHOOSECOLS(C471:L479,1,3,5,7,9),0,TRUE)&lt;&gt;""),Lists!$AC$2:$AC$9,Lists!$AF$2:$AF$9,0))&lt;=3)*--((INT(C465)*3+MOD(ROUND(C465*10,0),10))&gt;=3))</f>
        <v/>
      </c>
      <c r="M465" s="68" t="str" cm="1">
        <f t="array" aca="1" ref="M465" ca="1">IF(OR(B465="",O465=""),"",--(COUNTIF(O462:O467,"&gt;0")=1)*--(SUM(_xlfn.XLOOKUP(_xlfn._xlws.FILTER(_xlfn.TOCOL(_xlfn.CHOOSECOLS(C471:L479,2,4,6,8,10),0,TRUE),_xlfn.TOCOL(_xlfn.CHOOSECOLS(C471:L479,1,3,5,7,9),0,TRUE)&lt;&gt;""),Lists!$AC$2:$AC$9,Lists!$AF$2:$AF$9,0))=0))</f>
        <v/>
      </c>
      <c r="N465" s="69" t="str">
        <f ca="1">IF(OR(B465="",O465=""),"",--(COUNTIF(O462:O467,"&gt;0")=1))</f>
        <v/>
      </c>
      <c r="O465" s="5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8"/>
      <c r="CG465" s="18"/>
      <c r="CH465" s="18"/>
      <c r="CI465" s="18"/>
      <c r="CJ465" s="18"/>
      <c r="CK465" s="18"/>
      <c r="CL465" s="18"/>
      <c r="CM465" s="18"/>
      <c r="CN465" s="18"/>
      <c r="CO465" s="18"/>
      <c r="CP465" s="18"/>
      <c r="CQ465" s="18"/>
      <c r="CR465" s="18"/>
      <c r="CS465" s="18"/>
      <c r="CT465" s="18"/>
      <c r="CU465" s="18"/>
      <c r="CV465" s="18"/>
      <c r="CW465" s="18"/>
      <c r="CX465" s="18"/>
      <c r="CY465" s="18"/>
      <c r="CZ465" s="18"/>
      <c r="DA465" s="18"/>
      <c r="DB465" s="18"/>
      <c r="DC465" s="18"/>
      <c r="DD465" s="18"/>
      <c r="DE465" s="18"/>
      <c r="DF465" s="18"/>
    </row>
    <row r="466" spans="1:110">
      <c r="A466" s="168">
        <v>5</v>
      </c>
      <c r="B466" s="71"/>
      <c r="C466" s="70" t="str" cm="1">
        <f t="array" aca="1" ref="C466" ca="1">IF(OR(B466="",O466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66" s="67" t="str" cm="1">
        <f t="array" aca="1" ref="D466" ca="1">IF(OR(B466="",O466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66" s="67" t="str" cm="1">
        <f t="array" aca="1" ref="E466" ca="1">IF(OR(B466="",O466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466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66" s="67" t="str" cm="1">
        <f t="array" aca="1" ref="F466" ca="1">IF(OR(B466="",O466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466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66" s="67" t="str" cm="1">
        <f t="array" aca="1" ref="G466" ca="1">IF(OR(B466="",O466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66" s="67" t="str" cm="1">
        <f t="array" aca="1" ref="H466" ca="1">IF(OR(B466="",O466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66" s="68" t="str" cm="1">
        <f t="array" aca="1" ref="I466" ca="1">IF(OR(B466="",O466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66" s="68" t="str" cm="1">
        <f t="array" aca="1" ref="J466" ca="1">IF(OR(B466="",O466=""),"",--(SUM(_xlfn.XLOOKUP(_xlfn._xlws.FILTER(_xlfn.TOCOL(_xlfn.CHOOSECOLS(C450:L458,2,4,6,8,10),0,TRUE),_xlfn.TOCOL(_xlfn.CHOOSECOLS(C450:L458,1,3,5,7,9),0,TRUE)&lt;&gt;""),Lists!$AC$2:$AC$9,Lists!$AF$2:$AF$9,0))&gt;SUM(_xlfn.XLOOKUP(_xlfn._xlws.FILTER(_xlfn.TOCOL(_xlfn.CHOOSECOLS(C471:L479,2,4,6,8,10),0,TRUE),_xlfn.TOCOL(_xlfn.CHOOSECOLS(C471:L479,1,3,5,7,9),0,TRUE)&lt;&gt;""),Lists!$AC$2:$AC$9,Lists!$AF$2:$AF$9,0)))*--(ROW()-ROW(C461)=_xlfn.XLOOKUP(MAX(IF(O462:O467&gt;0,INT(C462:C467)*3+MOD(ROUND(C462:C467*10,0),10),-1)),IF(O462:O467&gt;0,INT(C462:C467)*3+MOD(ROUND(C462:C467*10,0),10),-1),_xlfn.SEQUENCE(ROWS(O462:O467)),,0)))</f>
        <v/>
      </c>
      <c r="K466" s="68" t="str" cm="1">
        <f t="array" aca="1" ref="K466" ca="1">IF(OR(B466="",O466=""),"",--(SUM(_xlfn.XLOOKUP(_xlfn._xlws.FILTER(_xlfn.TOCOL(_xlfn.CHOOSECOLS(C450:L458,2,4,6,8,10),0,TRUE),_xlfn.TOCOL(_xlfn.CHOOSECOLS(C450:L458,1,3,5,7,9),0,TRUE)&lt;&gt;""),Lists!$AC$2:$AC$9,Lists!$AF$2:$AF$9,0))&lt;SUM(_xlfn.XLOOKUP(_xlfn._xlws.FILTER(_xlfn.TOCOL(_xlfn.CHOOSECOLS(C471:L479,2,4,6,8,10),0,TRUE),_xlfn.TOCOL(_xlfn.CHOOSECOLS(C471:L479,1,3,5,7,9),0,TRUE)&lt;&gt;""),Lists!$AC$2:$AC$9,Lists!$AF$2:$AF$9,0)))*--(ROW()-ROW(C461)=_xlfn.XLOOKUP(MAX(IF(O462:O467&gt;0,E462:E467,-1)),IF(O462:O467&gt;0,E462:E467,-1),_xlfn.SEQUENCE(ROWS(O462:O467)),,0)))</f>
        <v/>
      </c>
      <c r="L466" s="68" t="str" cm="1">
        <f t="array" aca="1" ref="L466" ca="1">IF(OR(B466="",O466=""),"",--(SUM(_xlfn.XLOOKUP(_xlfn._xlws.FILTER(_xlfn.TOCOL(_xlfn.CHOOSECOLS(C450:L458,2,4,6,8,10),0,TRUE),_xlfn.TOCOL(_xlfn.CHOOSECOLS(C450:L458,1,3,5,7,9),0,TRUE)&lt;&gt;""),Lists!$AC$2:$AC$9,Lists!$AF$2:$AF$9,0))&gt;SUM(_xlfn.XLOOKUP(_xlfn._xlws.FILTER(_xlfn.TOCOL(_xlfn.CHOOSECOLS(C471:L479,2,4,6,8,10),0,TRUE),_xlfn.TOCOL(_xlfn.CHOOSECOLS(C471:L479,1,3,5,7,9),0,TRUE)&lt;&gt;""),Lists!$AC$2:$AC$9,Lists!$AF$2:$AF$9,0)))*--(COUNTIF(O462:O467,"&gt;0")&gt;1)*--(ROW()-ROW(C461)=_xlfn.XLOOKUP(TRUE,O462:O467&gt;0,_xlfn.SEQUENCE(ROWS(O462:O467)),,0,-1))*--(_xlfn.XLOOKUP(TRUE,O462:O467&gt;0,_xlfn.SEQUENCE(ROWS(O462:O467)),,0,-1)&lt;&gt;_xlfn.XLOOKUP(MAX(IF(O462:O467&gt;0,INT(C462:C467)*3+MOD(ROUND(C462:C467*10,0),10),-1)),IF(O462:O467&gt;0,INT(C462:C467)*3+MOD(ROUND(C462:C467*10,0),10),-1),_xlfn.SEQUENCE(ROWS(O462:O467)),,0))*--(SUM(_xlfn.XLOOKUP(_xlfn._xlws.FILTER(_xlfn.TOCOL(_xlfn.CHOOSECOLS(C450:L458,2,4,6,8,10),0,TRUE),_xlfn.TOCOL(_xlfn.CHOOSECOLS(C450:L458,1,3,5,7,9),0,TRUE)&lt;&gt;""),Lists!$AC$2:$AC$9,Lists!$AF$2:$AF$9,0))-SUM(_xlfn.XLOOKUP(_xlfn._xlws.FILTER(_xlfn.TOCOL(_xlfn.CHOOSECOLS(C471:L479,2,4,6,8,10),0,TRUE),_xlfn.TOCOL(_xlfn.CHOOSECOLS(C471:L479,1,3,5,7,9),0,TRUE)&lt;&gt;""),Lists!$AC$2:$AC$9,Lists!$AF$2:$AF$9,0))&lt;=3)*--((INT(C466)*3+MOD(ROUND(C466*10,0),10))&gt;=3))</f>
        <v/>
      </c>
      <c r="M466" s="68" t="str" cm="1">
        <f t="array" aca="1" ref="M466" ca="1">IF(OR(B466="",O466=""),"",--(COUNTIF(O462:O467,"&gt;0")=1)*--(SUM(_xlfn.XLOOKUP(_xlfn._xlws.FILTER(_xlfn.TOCOL(_xlfn.CHOOSECOLS(C471:L479,2,4,6,8,10),0,TRUE),_xlfn.TOCOL(_xlfn.CHOOSECOLS(C471:L479,1,3,5,7,9),0,TRUE)&lt;&gt;""),Lists!$AC$2:$AC$9,Lists!$AF$2:$AF$9,0))=0))</f>
        <v/>
      </c>
      <c r="N466" s="69" t="str">
        <f ca="1">IF(OR(B466="",O466=""),"",--(COUNTIF(O462:O467,"&gt;0")=1))</f>
        <v/>
      </c>
      <c r="O466" s="5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  <c r="CF466" s="18"/>
      <c r="CG466" s="18"/>
      <c r="CH466" s="18"/>
      <c r="CI466" s="18"/>
      <c r="CJ466" s="18"/>
      <c r="CK466" s="18"/>
      <c r="CL466" s="18"/>
      <c r="CM466" s="18"/>
      <c r="CN466" s="18"/>
      <c r="CO466" s="18"/>
      <c r="CP466" s="18"/>
      <c r="CQ466" s="18"/>
      <c r="CR466" s="18"/>
      <c r="CS466" s="18"/>
      <c r="CT466" s="18"/>
      <c r="CU466" s="18"/>
      <c r="CV466" s="18"/>
      <c r="CW466" s="18"/>
      <c r="CX466" s="18"/>
      <c r="CY466" s="18"/>
      <c r="CZ466" s="18"/>
      <c r="DA466" s="18"/>
      <c r="DB466" s="18"/>
      <c r="DC466" s="18"/>
      <c r="DD466" s="18"/>
      <c r="DE466" s="18"/>
      <c r="DF466" s="18"/>
    </row>
    <row r="467" spans="1:110">
      <c r="A467" s="168">
        <v>6</v>
      </c>
      <c r="B467" s="71"/>
      <c r="C467" s="70" t="str" cm="1">
        <f t="array" aca="1" ref="C467" ca="1">IF(OR(B467="",O467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67" s="67" t="str" cm="1">
        <f t="array" aca="1" ref="D467" ca="1">IF(OR(B467="",O467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67" s="67" t="str" cm="1">
        <f t="array" aca="1" ref="E467" ca="1">IF(OR(B467="",O467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467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67" s="67" t="str" cm="1">
        <f t="array" aca="1" ref="F467" ca="1">IF(OR(B467="",O467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467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67" s="67" t="str" cm="1">
        <f t="array" aca="1" ref="G467" ca="1">IF(OR(B467="",O467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67" s="67" t="str" cm="1">
        <f t="array" aca="1" ref="H467" ca="1">IF(OR(B467="",O467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67" s="68" t="str" cm="1">
        <f t="array" aca="1" ref="I467" ca="1">IF(OR(B467="",O467=""),"",_xlfn.LET(_xlpm.flatPAraw,_xlfn.TOCOL(_xlfn.CHOOSECOLS(C471:L479,1,3,5,7,9),0,TRUE),_xlpm.flatPARraw,_xlfn.TOCOL(_xlfn.CHOOSECOLS(C471:L479,2,4,6,8,10),0,TRUE),_xlpm.flatPA,_xlfn._xlws.FILTER(_xlpm.flatPAraw,_xlpm.flatPAraw&lt;&gt;""),_xlpm.flatPAR,_xlfn._xlws.FILTER(_xlpm.flatPARraw,_xlpm.flatPAraw&lt;&gt;""),_xlpm.prev,IF(ROW()=ROW(C462),0,SUM(INDEX(O:O,ROW(C462)):INDEX(O:O,ROW()-1))),_xlpm.need,O467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67" s="68" t="str" cm="1">
        <f t="array" aca="1" ref="J467" ca="1">IF(OR(B467="",O467=""),"",--(SUM(_xlfn.XLOOKUP(_xlfn._xlws.FILTER(_xlfn.TOCOL(_xlfn.CHOOSECOLS(C450:L458,2,4,6,8,10),0,TRUE),_xlfn.TOCOL(_xlfn.CHOOSECOLS(C450:L458,1,3,5,7,9),0,TRUE)&lt;&gt;""),Lists!$AC$2:$AC$9,Lists!$AF$2:$AF$9,0))&gt;SUM(_xlfn.XLOOKUP(_xlfn._xlws.FILTER(_xlfn.TOCOL(_xlfn.CHOOSECOLS(C471:L479,2,4,6,8,10),0,TRUE),_xlfn.TOCOL(_xlfn.CHOOSECOLS(C471:L479,1,3,5,7,9),0,TRUE)&lt;&gt;""),Lists!$AC$2:$AC$9,Lists!$AF$2:$AF$9,0)))*--(ROW()-ROW(C461)=_xlfn.XLOOKUP(MAX(IF(O462:O467&gt;0,INT(C462:C467)*3+MOD(ROUND(C462:C467*10,0),10),-1)),IF(O462:O467&gt;0,INT(C462:C467)*3+MOD(ROUND(C462:C467*10,0),10),-1),_xlfn.SEQUENCE(ROWS(O462:O467)),,0)))</f>
        <v/>
      </c>
      <c r="K467" s="68" t="str" cm="1">
        <f t="array" aca="1" ref="K467" ca="1">IF(OR(B467="",O467=""),"",--(SUM(_xlfn.XLOOKUP(_xlfn._xlws.FILTER(_xlfn.TOCOL(_xlfn.CHOOSECOLS(C450:L458,2,4,6,8,10),0,TRUE),_xlfn.TOCOL(_xlfn.CHOOSECOLS(C450:L458,1,3,5,7,9),0,TRUE)&lt;&gt;""),Lists!$AC$2:$AC$9,Lists!$AF$2:$AF$9,0))&lt;SUM(_xlfn.XLOOKUP(_xlfn._xlws.FILTER(_xlfn.TOCOL(_xlfn.CHOOSECOLS(C471:L479,2,4,6,8,10),0,TRUE),_xlfn.TOCOL(_xlfn.CHOOSECOLS(C471:L479,1,3,5,7,9),0,TRUE)&lt;&gt;""),Lists!$AC$2:$AC$9,Lists!$AF$2:$AF$9,0)))*--(ROW()-ROW(C461)=_xlfn.XLOOKUP(MAX(IF(O462:O467&gt;0,E462:E467,-1)),IF(O462:O467&gt;0,E462:E467,-1),_xlfn.SEQUENCE(ROWS(O462:O467)),,0)))</f>
        <v/>
      </c>
      <c r="L467" s="68" t="str" cm="1">
        <f t="array" aca="1" ref="L467" ca="1">IF(OR(B467="",O467=""),"",--(SUM(_xlfn.XLOOKUP(_xlfn._xlws.FILTER(_xlfn.TOCOL(_xlfn.CHOOSECOLS(C450:L458,2,4,6,8,10),0,TRUE),_xlfn.TOCOL(_xlfn.CHOOSECOLS(C450:L458,1,3,5,7,9),0,TRUE)&lt;&gt;""),Lists!$AC$2:$AC$9,Lists!$AF$2:$AF$9,0))&gt;SUM(_xlfn.XLOOKUP(_xlfn._xlws.FILTER(_xlfn.TOCOL(_xlfn.CHOOSECOLS(C471:L479,2,4,6,8,10),0,TRUE),_xlfn.TOCOL(_xlfn.CHOOSECOLS(C471:L479,1,3,5,7,9),0,TRUE)&lt;&gt;""),Lists!$AC$2:$AC$9,Lists!$AF$2:$AF$9,0)))*--(COUNTIF(O462:O467,"&gt;0")&gt;1)*--(ROW()-ROW(C461)=_xlfn.XLOOKUP(TRUE,O462:O467&gt;0,_xlfn.SEQUENCE(ROWS(O462:O467)),,0,-1))*--(_xlfn.XLOOKUP(TRUE,O462:O467&gt;0,_xlfn.SEQUENCE(ROWS(O462:O467)),,0,-1)&lt;&gt;_xlfn.XLOOKUP(MAX(IF(O462:O467&gt;0,INT(C462:C467)*3+MOD(ROUND(C462:C467*10,0),10),-1)),IF(O462:O467&gt;0,INT(C462:C467)*3+MOD(ROUND(C462:C467*10,0),10),-1),_xlfn.SEQUENCE(ROWS(O462:O467)),,0))*--(SUM(_xlfn.XLOOKUP(_xlfn._xlws.FILTER(_xlfn.TOCOL(_xlfn.CHOOSECOLS(C450:L458,2,4,6,8,10),0,TRUE),_xlfn.TOCOL(_xlfn.CHOOSECOLS(C450:L458,1,3,5,7,9),0,TRUE)&lt;&gt;""),Lists!$AC$2:$AC$9,Lists!$AF$2:$AF$9,0))-SUM(_xlfn.XLOOKUP(_xlfn._xlws.FILTER(_xlfn.TOCOL(_xlfn.CHOOSECOLS(C471:L479,2,4,6,8,10),0,TRUE),_xlfn.TOCOL(_xlfn.CHOOSECOLS(C471:L479,1,3,5,7,9),0,TRUE)&lt;&gt;""),Lists!$AC$2:$AC$9,Lists!$AF$2:$AF$9,0))&lt;=3)*--((INT(C467)*3+MOD(ROUND(C467*10,0),10))&gt;=3))</f>
        <v/>
      </c>
      <c r="M467" s="68" t="str" cm="1">
        <f t="array" aca="1" ref="M467" ca="1">IF(OR(B467="",O467=""),"",--(COUNTIF(O462:O467,"&gt;0")=1)*--(SUM(_xlfn.XLOOKUP(_xlfn._xlws.FILTER(_xlfn.TOCOL(_xlfn.CHOOSECOLS(C471:L479,2,4,6,8,10),0,TRUE),_xlfn.TOCOL(_xlfn.CHOOSECOLS(C471:L479,1,3,5,7,9),0,TRUE)&lt;&gt;""),Lists!$AC$2:$AC$9,Lists!$AF$2:$AF$9,0))=0))</f>
        <v/>
      </c>
      <c r="N467" s="69" t="str">
        <f ca="1">IF(OR(B467="",O467=""),"",--(COUNTIF(O462:O467,"&gt;0")=1))</f>
        <v/>
      </c>
      <c r="O467" s="5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  <c r="CD467" s="18"/>
      <c r="CE467" s="18"/>
      <c r="CF467" s="18"/>
      <c r="CG467" s="18"/>
      <c r="CH467" s="18"/>
      <c r="CI467" s="18"/>
      <c r="CJ467" s="18"/>
      <c r="CK467" s="18"/>
      <c r="CL467" s="18"/>
      <c r="CM467" s="18"/>
      <c r="CN467" s="18"/>
      <c r="CO467" s="18"/>
      <c r="CP467" s="18"/>
      <c r="CQ467" s="18"/>
      <c r="CR467" s="18"/>
      <c r="CS467" s="18"/>
      <c r="CT467" s="18"/>
      <c r="CU467" s="18"/>
      <c r="CV467" s="18"/>
      <c r="CW467" s="18"/>
      <c r="CX467" s="18"/>
      <c r="CY467" s="18"/>
      <c r="CZ467" s="18"/>
      <c r="DA467" s="18"/>
      <c r="DB467" s="18"/>
      <c r="DC467" s="18"/>
      <c r="DD467" s="18"/>
      <c r="DE467" s="18"/>
      <c r="DF467" s="18"/>
    </row>
    <row r="468" spans="1:110">
      <c r="A468" s="173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3"/>
      <c r="Q468" s="53"/>
      <c r="R468" s="53"/>
      <c r="S468" s="53"/>
      <c r="T468" s="53"/>
      <c r="U468" s="53"/>
      <c r="V468" s="53"/>
      <c r="W468" s="53"/>
      <c r="X468" s="53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8"/>
      <c r="CG468" s="18"/>
      <c r="CH468" s="18"/>
      <c r="CI468" s="18"/>
      <c r="CJ468" s="18"/>
      <c r="CK468" s="18"/>
      <c r="CL468" s="18"/>
      <c r="CM468" s="18"/>
      <c r="CN468" s="18"/>
      <c r="CO468" s="18"/>
      <c r="CP468" s="18"/>
      <c r="CQ468" s="18"/>
      <c r="CR468" s="18"/>
      <c r="CS468" s="18"/>
      <c r="CT468" s="18"/>
      <c r="CU468" s="18"/>
      <c r="CV468" s="18"/>
      <c r="CW468" s="18"/>
      <c r="CX468" s="18"/>
      <c r="CY468" s="18"/>
      <c r="CZ468" s="18"/>
      <c r="DA468" s="18"/>
      <c r="DB468" s="18"/>
      <c r="DC468" s="18"/>
      <c r="DD468" s="18"/>
      <c r="DE468" s="18"/>
      <c r="DF468" s="18"/>
    </row>
    <row r="469" spans="1:110">
      <c r="A469" s="205" t="str">
        <f ca="1">IF($R$443="","Team B Batting",$R$443&amp;" Batting")</f>
        <v>Jason Batting</v>
      </c>
      <c r="B469" s="206"/>
      <c r="C469" s="206"/>
      <c r="D469" s="206"/>
      <c r="E469" s="206"/>
      <c r="F469" s="206"/>
      <c r="G469" s="206"/>
      <c r="H469" s="206"/>
      <c r="I469" s="206"/>
      <c r="J469" s="206"/>
      <c r="K469" s="206"/>
      <c r="L469" s="206"/>
      <c r="M469" s="206"/>
      <c r="N469" s="206"/>
      <c r="O469" s="181"/>
      <c r="P469" s="182"/>
      <c r="Q469" s="182"/>
      <c r="R469" s="182"/>
      <c r="S469" s="182"/>
      <c r="T469" s="182"/>
      <c r="U469" s="182"/>
      <c r="V469" s="182"/>
      <c r="W469" s="182"/>
      <c r="X469" s="182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P469" s="18"/>
      <c r="CQ469" s="18"/>
      <c r="CR469" s="18"/>
      <c r="CS469" s="18"/>
      <c r="CT469" s="18"/>
      <c r="CU469" s="18"/>
      <c r="CV469" s="18"/>
      <c r="CW469" s="18"/>
      <c r="CX469" s="18"/>
      <c r="CY469" s="18"/>
      <c r="CZ469" s="18"/>
      <c r="DA469" s="18"/>
      <c r="DB469" s="18"/>
      <c r="DC469" s="18"/>
      <c r="DD469" s="18"/>
      <c r="DE469" s="18"/>
      <c r="DF469" s="18"/>
    </row>
    <row r="470" spans="1:110">
      <c r="A470" s="167" t="s">
        <v>164</v>
      </c>
      <c r="B470" s="43" t="s">
        <v>39</v>
      </c>
      <c r="C470" s="43" t="s">
        <v>165</v>
      </c>
      <c r="D470" s="43" t="s">
        <v>166</v>
      </c>
      <c r="E470" s="43" t="s">
        <v>167</v>
      </c>
      <c r="F470" s="43" t="s">
        <v>168</v>
      </c>
      <c r="G470" s="43" t="s">
        <v>169</v>
      </c>
      <c r="H470" s="43" t="s">
        <v>170</v>
      </c>
      <c r="I470" s="43" t="s">
        <v>171</v>
      </c>
      <c r="J470" s="43" t="s">
        <v>172</v>
      </c>
      <c r="K470" s="43" t="s">
        <v>173</v>
      </c>
      <c r="L470" s="43" t="s">
        <v>174</v>
      </c>
      <c r="M470" s="43" t="s">
        <v>175</v>
      </c>
      <c r="N470" s="44" t="s">
        <v>161</v>
      </c>
      <c r="O470" s="44" t="s">
        <v>162</v>
      </c>
      <c r="P470" s="44" t="s">
        <v>176</v>
      </c>
      <c r="Q470" s="44" t="s">
        <v>177</v>
      </c>
      <c r="R470" s="44" t="s">
        <v>178</v>
      </c>
      <c r="S470" s="44" t="s">
        <v>179</v>
      </c>
      <c r="T470" s="44" t="s">
        <v>180</v>
      </c>
      <c r="U470" s="44" t="s">
        <v>181</v>
      </c>
      <c r="V470" s="44" t="s">
        <v>182</v>
      </c>
      <c r="W470" s="44" t="s">
        <v>183</v>
      </c>
      <c r="X470" s="45" t="s">
        <v>184</v>
      </c>
      <c r="Y470" s="45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  <c r="CF470" s="18"/>
      <c r="CG470" s="18"/>
      <c r="CH470" s="18"/>
      <c r="CI470" s="18"/>
      <c r="CJ470" s="18"/>
      <c r="CK470" s="18"/>
      <c r="CL470" s="18"/>
      <c r="CM470" s="18"/>
      <c r="CN470" s="18"/>
      <c r="CO470" s="18"/>
      <c r="CP470" s="18"/>
      <c r="CQ470" s="18"/>
      <c r="CR470" s="18"/>
      <c r="CS470" s="18"/>
      <c r="CT470" s="18"/>
      <c r="CU470" s="18"/>
      <c r="CV470" s="18"/>
      <c r="CW470" s="18"/>
      <c r="CX470" s="18"/>
      <c r="CY470" s="18"/>
      <c r="CZ470" s="18"/>
      <c r="DA470" s="18"/>
      <c r="DB470" s="18"/>
      <c r="DC470" s="18"/>
      <c r="DD470" s="18"/>
      <c r="DE470" s="18"/>
      <c r="DF470" s="18"/>
    </row>
    <row r="471" spans="1:110">
      <c r="A471" s="168">
        <v>1</v>
      </c>
      <c r="B471" s="47" t="str">
        <f ca="1">Lineups!$H$131</f>
        <v>Yoshi</v>
      </c>
      <c r="C471" s="49" t="s">
        <v>193</v>
      </c>
      <c r="D471" s="49"/>
      <c r="E471" s="49" t="s">
        <v>188</v>
      </c>
      <c r="F471" s="49" t="s">
        <v>187</v>
      </c>
      <c r="G471" s="49"/>
      <c r="H471" s="50"/>
      <c r="I471" s="50"/>
      <c r="J471" s="50"/>
      <c r="K471" s="50"/>
      <c r="L471" s="50"/>
      <c r="M471" s="67">
        <f ca="1">IF($B471="","",SUM(_xlfn.XLOOKUP(C471,Lists!$P$2:$P$19,Lists!$R$2:$R$19,0),_xlfn.XLOOKUP(E471,Lists!$P$2:$P$19,Lists!$R$2:$R$19,0),_xlfn.XLOOKUP(G471,Lists!$P$2:$P$19,Lists!$R$2:$R$19,0),_xlfn.XLOOKUP(I471,Lists!$P$2:$P$19,Lists!$R$2:$R$19,0),_xlfn.XLOOKUP(K471,Lists!$P$2:$P$19,Lists!$R$2:$R$19,0)))</f>
        <v>2</v>
      </c>
      <c r="N471" s="68">
        <f ca="1">IF($B471="","",SUM(_xlfn.XLOOKUP(D471,Lists!$AC$2:$AC$9,Lists!$AE$2:$AE$9,0),_xlfn.XLOOKUP(F471,Lists!$AC$2:$AC$9,Lists!$AE$2:$AE$9,0),_xlfn.XLOOKUP(H471,Lists!$AC$2:$AC$9,Lists!$AE$2:$AE$9,0),_xlfn.XLOOKUP(J471,Lists!$AC$2:$AC$9,Lists!$AE$2:$AE$9,0),_xlfn.XLOOKUP(L471,Lists!$AC$2:$AC$9,Lists!$AE$2:$AE$9,0)))</f>
        <v>1</v>
      </c>
      <c r="O471" s="68">
        <f ca="1">IF($B471="","",SUM(_xlfn.XLOOKUP(C471,Lists!$P$2:$P$19,Lists!$S$2:$S$19,0),_xlfn.XLOOKUP(E471,Lists!$P$2:$P$19,Lists!$S$2:$S$19,0),_xlfn.XLOOKUP(G471,Lists!$P$2:$P$19,Lists!$S$2:$S$19,0),_xlfn.XLOOKUP(I471,Lists!$P$2:$P$19,Lists!$S$2:$S$19,0),_xlfn.XLOOKUP(K471,Lists!$P$2:$P$19,Lists!$S$2:$S$19,0)))</f>
        <v>1</v>
      </c>
      <c r="P471" s="68">
        <f ca="1">IF($B471="","",SUM(_xlfn.XLOOKUP(C471,Lists!$P$2:$P$19,Lists!$T$2:$T$19,0),_xlfn.XLOOKUP(E471,Lists!$P$2:$P$19,Lists!$T$2:$T$19,0),_xlfn.XLOOKUP(G471,Lists!$P$2:$P$19,Lists!$T$2:$T$19,0),_xlfn.XLOOKUP(I471,Lists!$P$2:$P$19,Lists!$T$2:$T$19,0),_xlfn.XLOOKUP(K471,Lists!$P$2:$P$19,Lists!$T$2:$T$19,0)))</f>
        <v>0</v>
      </c>
      <c r="Q471" s="68">
        <f ca="1">IF($B471="","",SUM(_xlfn.XLOOKUP(C471,Lists!$P$2:$P$19,Lists!$U$2:$U$19,0),_xlfn.XLOOKUP(E471,Lists!$P$2:$P$19,Lists!$U$2:$U$19,0),_xlfn.XLOOKUP(G471,Lists!$P$2:$P$19,Lists!$U$2:$U$19,0),_xlfn.XLOOKUP(I471,Lists!$P$2:$P$19,Lists!$U$2:$U$19,0),_xlfn.XLOOKUP(K471,Lists!$P$2:$P$19,Lists!$U$2:$U$19,0)))</f>
        <v>0</v>
      </c>
      <c r="R471" s="68">
        <f ca="1">IF($B471="","",SUM(_xlfn.XLOOKUP(C471,Lists!$P$2:$P$19,Lists!$V$2:$V$19,0),_xlfn.XLOOKUP(E471,Lists!$P$2:$P$19,Lists!$V$2:$V$19,0),_xlfn.XLOOKUP(G471,Lists!$P$2:$P$19,Lists!$V$2:$V$19,0),_xlfn.XLOOKUP(I471,Lists!$P$2:$P$19,Lists!$V$2:$V$19,0),_xlfn.XLOOKUP(K471,Lists!$P$2:$P$19,Lists!$V$2:$V$19,0)))</f>
        <v>0</v>
      </c>
      <c r="S471" s="68">
        <f ca="1">IF($B471="","",SUM(_xlfn.XLOOKUP(D471,Lists!$AC$2:$AC$9,Lists!$AD$2:$AD$9,0),_xlfn.XLOOKUP(F471,Lists!$AC$2:$AC$9,Lists!$AD$2:$AD$9,0),_xlfn.XLOOKUP(H471,Lists!$AC$2:$AC$9,Lists!$AD$2:$AD$9,0),_xlfn.XLOOKUP(J471,Lists!$AC$2:$AC$9,Lists!$AD$2:$AD$9,0),_xlfn.XLOOKUP(L471,Lists!$AC$2:$AC$9,Lists!$AD$2:$AD$9,0)))</f>
        <v>0</v>
      </c>
      <c r="T471" s="68">
        <f ca="1">IF($B471="","",SUM(_xlfn.XLOOKUP(C471,Lists!$P$2:$P$19,Lists!$W$2:$W$19,0),_xlfn.XLOOKUP(E471,Lists!$P$2:$P$19,Lists!$W$2:$W$19,0),_xlfn.XLOOKUP(G471,Lists!$P$2:$P$19,Lists!$W$2:$W$19,0),_xlfn.XLOOKUP(I471,Lists!$P$2:$P$19,Lists!$W$2:$W$19,0),_xlfn.XLOOKUP(K471,Lists!$P$2:$P$19,Lists!$W$2:$W$19,0)))</f>
        <v>0</v>
      </c>
      <c r="U471" s="68">
        <f ca="1">IF($B471="","",SUM(_xlfn.XLOOKUP(C471,Lists!$P$2:$P$19,Lists!$X$2:$X$19,0),_xlfn.XLOOKUP(E471,Lists!$P$2:$P$19,Lists!$X$2:$X$19,0),_xlfn.XLOOKUP(G471,Lists!$P$2:$P$19,Lists!$X$2:$X$19,0),_xlfn.XLOOKUP(I471,Lists!$P$2:$P$19,Lists!$X$2:$X$19,0),_xlfn.XLOOKUP(K471,Lists!$P$2:$P$19,Lists!$X$2:$X$19,0)))</f>
        <v>0</v>
      </c>
      <c r="V471" s="68">
        <f ca="1">IF($B471="","",SUM(_xlfn.XLOOKUP(C471,Lists!$P$2:$P$19,Lists!$Y$2:$Y$19,0),_xlfn.XLOOKUP(E471,Lists!$P$2:$P$19,Lists!$Y$2:$Y$19,0),_xlfn.XLOOKUP(G471,Lists!$P$2:$P$19,Lists!$Y$2:$Y$19,0),_xlfn.XLOOKUP(I471,Lists!$P$2:$P$19,Lists!$Y$2:$Y$19,0),_xlfn.XLOOKUP(K471,Lists!$P$2:$P$19,Lists!$Y$2:$Y$19,0)))</f>
        <v>0</v>
      </c>
      <c r="W471" s="68">
        <f ca="1">IF($B471="","",SUM(_xlfn.XLOOKUP(C471,Lists!$P$2:$P$19,Lists!$Z$2:$Z$19,0),_xlfn.XLOOKUP(E471,Lists!$P$2:$P$19,Lists!$Z$2:$Z$19,0),_xlfn.XLOOKUP(G471,Lists!$P$2:$P$19,Lists!$Z$2:$Z$19,0),_xlfn.XLOOKUP(I471,Lists!$P$2:$P$19,Lists!$Z$2:$Z$19,0),_xlfn.XLOOKUP(K471,Lists!$P$2:$P$19,Lists!$Z$2:$Z$19,0)))</f>
        <v>0</v>
      </c>
      <c r="X471" s="69">
        <f ca="1">IF($B471="","",SUM(_xlfn.XLOOKUP(C471,Lists!$P$2:$P$19,Lists!$AA$2:$AA$19,0),_xlfn.XLOOKUP(E471,Lists!$P$2:$P$19,Lists!$AA$2:$AA$19,0),_xlfn.XLOOKUP(G471,Lists!$P$2:$P$19,Lists!$AA$2:$AA$19,0),_xlfn.XLOOKUP(I471,Lists!$P$2:$P$19,Lists!$AA$2:$AA$19,0),_xlfn.XLOOKUP(K471,Lists!$P$2:$P$19,Lists!$AA$2:$AA$19,0)))</f>
        <v>0</v>
      </c>
      <c r="Y471" s="49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8"/>
      <c r="CG471" s="18"/>
      <c r="CH471" s="18"/>
      <c r="CI471" s="18"/>
      <c r="CJ471" s="18"/>
      <c r="CK471" s="18"/>
      <c r="CL471" s="18"/>
      <c r="CM471" s="18"/>
      <c r="CN471" s="18"/>
      <c r="CO471" s="18"/>
      <c r="CP471" s="18"/>
      <c r="CQ471" s="18"/>
      <c r="CR471" s="18"/>
      <c r="CS471" s="18"/>
      <c r="CT471" s="18"/>
      <c r="CU471" s="18"/>
      <c r="CV471" s="18"/>
      <c r="CW471" s="18"/>
      <c r="CX471" s="18"/>
      <c r="CY471" s="18"/>
      <c r="CZ471" s="18"/>
      <c r="DA471" s="18"/>
      <c r="DB471" s="18"/>
      <c r="DC471" s="18"/>
      <c r="DD471" s="18"/>
      <c r="DE471" s="18"/>
      <c r="DF471" s="18"/>
    </row>
    <row r="472" spans="1:110">
      <c r="A472" s="168">
        <v>2</v>
      </c>
      <c r="B472" s="47" t="str">
        <f ca="1">Lineups!$H$132</f>
        <v>Brown Kritter</v>
      </c>
      <c r="C472" s="49" t="s">
        <v>189</v>
      </c>
      <c r="D472" s="49"/>
      <c r="E472" s="49" t="s">
        <v>186</v>
      </c>
      <c r="F472" s="49"/>
      <c r="G472" s="49"/>
      <c r="H472" s="50"/>
      <c r="I472" s="50"/>
      <c r="J472" s="50"/>
      <c r="K472" s="50"/>
      <c r="L472" s="50"/>
      <c r="M472" s="67">
        <f ca="1">IF($B472="","",SUM(_xlfn.XLOOKUP(C472,Lists!$P$2:$P$19,Lists!$R$2:$R$19,0),_xlfn.XLOOKUP(E472,Lists!$P$2:$P$19,Lists!$R$2:$R$19,0),_xlfn.XLOOKUP(G472,Lists!$P$2:$P$19,Lists!$R$2:$R$19,0),_xlfn.XLOOKUP(I472,Lists!$P$2:$P$19,Lists!$R$2:$R$19,0),_xlfn.XLOOKUP(K472,Lists!$P$2:$P$19,Lists!$R$2:$R$19,0)))</f>
        <v>2</v>
      </c>
      <c r="N472" s="68">
        <f ca="1">IF($B472="","",SUM(_xlfn.XLOOKUP(D472,Lists!$AC$2:$AC$9,Lists!$AE$2:$AE$9,0),_xlfn.XLOOKUP(F472,Lists!$AC$2:$AC$9,Lists!$AE$2:$AE$9,0),_xlfn.XLOOKUP(H472,Lists!$AC$2:$AC$9,Lists!$AE$2:$AE$9,0),_xlfn.XLOOKUP(J472,Lists!$AC$2:$AC$9,Lists!$AE$2:$AE$9,0),_xlfn.XLOOKUP(L472,Lists!$AC$2:$AC$9,Lists!$AE$2:$AE$9,0)))</f>
        <v>0</v>
      </c>
      <c r="O472" s="68">
        <f ca="1">IF($B472="","",SUM(_xlfn.XLOOKUP(C472,Lists!$P$2:$P$19,Lists!$S$2:$S$19,0),_xlfn.XLOOKUP(E472,Lists!$P$2:$P$19,Lists!$S$2:$S$19,0),_xlfn.XLOOKUP(G472,Lists!$P$2:$P$19,Lists!$S$2:$S$19,0),_xlfn.XLOOKUP(I472,Lists!$P$2:$P$19,Lists!$S$2:$S$19,0),_xlfn.XLOOKUP(K472,Lists!$P$2:$P$19,Lists!$S$2:$S$19,0)))</f>
        <v>0</v>
      </c>
      <c r="P472" s="68">
        <f ca="1">IF($B472="","",SUM(_xlfn.XLOOKUP(C472,Lists!$P$2:$P$19,Lists!$T$2:$T$19,0),_xlfn.XLOOKUP(E472,Lists!$P$2:$P$19,Lists!$T$2:$T$19,0),_xlfn.XLOOKUP(G472,Lists!$P$2:$P$19,Lists!$T$2:$T$19,0),_xlfn.XLOOKUP(I472,Lists!$P$2:$P$19,Lists!$T$2:$T$19,0),_xlfn.XLOOKUP(K472,Lists!$P$2:$P$19,Lists!$T$2:$T$19,0)))</f>
        <v>0</v>
      </c>
      <c r="Q472" s="68">
        <f ca="1">IF($B472="","",SUM(_xlfn.XLOOKUP(C472,Lists!$P$2:$P$19,Lists!$U$2:$U$19,0),_xlfn.XLOOKUP(E472,Lists!$P$2:$P$19,Lists!$U$2:$U$19,0),_xlfn.XLOOKUP(G472,Lists!$P$2:$P$19,Lists!$U$2:$U$19,0),_xlfn.XLOOKUP(I472,Lists!$P$2:$P$19,Lists!$U$2:$U$19,0),_xlfn.XLOOKUP(K472,Lists!$P$2:$P$19,Lists!$U$2:$U$19,0)))</f>
        <v>0</v>
      </c>
      <c r="R472" s="68">
        <f ca="1">IF($B472="","",SUM(_xlfn.XLOOKUP(C472,Lists!$P$2:$P$19,Lists!$V$2:$V$19,0),_xlfn.XLOOKUP(E472,Lists!$P$2:$P$19,Lists!$V$2:$V$19,0),_xlfn.XLOOKUP(G472,Lists!$P$2:$P$19,Lists!$V$2:$V$19,0),_xlfn.XLOOKUP(I472,Lists!$P$2:$P$19,Lists!$V$2:$V$19,0),_xlfn.XLOOKUP(K472,Lists!$P$2:$P$19,Lists!$V$2:$V$19,0)))</f>
        <v>0</v>
      </c>
      <c r="S472" s="68">
        <f ca="1">IF($B472="","",SUM(_xlfn.XLOOKUP(D472,Lists!$AC$2:$AC$9,Lists!$AD$2:$AD$9,0),_xlfn.XLOOKUP(F472,Lists!$AC$2:$AC$9,Lists!$AD$2:$AD$9,0),_xlfn.XLOOKUP(H472,Lists!$AC$2:$AC$9,Lists!$AD$2:$AD$9,0),_xlfn.XLOOKUP(J472,Lists!$AC$2:$AC$9,Lists!$AD$2:$AD$9,0),_xlfn.XLOOKUP(L472,Lists!$AC$2:$AC$9,Lists!$AD$2:$AD$9,0)))</f>
        <v>0</v>
      </c>
      <c r="T472" s="68">
        <f ca="1">IF($B472="","",SUM(_xlfn.XLOOKUP(C472,Lists!$P$2:$P$19,Lists!$W$2:$W$19,0),_xlfn.XLOOKUP(E472,Lists!$P$2:$P$19,Lists!$W$2:$W$19,0),_xlfn.XLOOKUP(G472,Lists!$P$2:$P$19,Lists!$W$2:$W$19,0),_xlfn.XLOOKUP(I472,Lists!$P$2:$P$19,Lists!$W$2:$W$19,0),_xlfn.XLOOKUP(K472,Lists!$P$2:$P$19,Lists!$W$2:$W$19,0)))</f>
        <v>0</v>
      </c>
      <c r="U472" s="68">
        <f ca="1">IF($B472="","",SUM(_xlfn.XLOOKUP(C472,Lists!$P$2:$P$19,Lists!$X$2:$X$19,0),_xlfn.XLOOKUP(E472,Lists!$P$2:$P$19,Lists!$X$2:$X$19,0),_xlfn.XLOOKUP(G472,Lists!$P$2:$P$19,Lists!$X$2:$X$19,0),_xlfn.XLOOKUP(I472,Lists!$P$2:$P$19,Lists!$X$2:$X$19,0),_xlfn.XLOOKUP(K472,Lists!$P$2:$P$19,Lists!$X$2:$X$19,0)))</f>
        <v>0</v>
      </c>
      <c r="V472" s="68">
        <f ca="1">IF($B472="","",SUM(_xlfn.XLOOKUP(C472,Lists!$P$2:$P$19,Lists!$Y$2:$Y$19,0),_xlfn.XLOOKUP(E472,Lists!$P$2:$P$19,Lists!$Y$2:$Y$19,0),_xlfn.XLOOKUP(G472,Lists!$P$2:$P$19,Lists!$Y$2:$Y$19,0),_xlfn.XLOOKUP(I472,Lists!$P$2:$P$19,Lists!$Y$2:$Y$19,0),_xlfn.XLOOKUP(K472,Lists!$P$2:$P$19,Lists!$Y$2:$Y$19,0)))</f>
        <v>0</v>
      </c>
      <c r="W472" s="68">
        <f ca="1">IF($B472="","",SUM(_xlfn.XLOOKUP(C472,Lists!$P$2:$P$19,Lists!$Z$2:$Z$19,0),_xlfn.XLOOKUP(E472,Lists!$P$2:$P$19,Lists!$Z$2:$Z$19,0),_xlfn.XLOOKUP(G472,Lists!$P$2:$P$19,Lists!$Z$2:$Z$19,0),_xlfn.XLOOKUP(I472,Lists!$P$2:$P$19,Lists!$Z$2:$Z$19,0),_xlfn.XLOOKUP(K472,Lists!$P$2:$P$19,Lists!$Z$2:$Z$19,0)))</f>
        <v>0</v>
      </c>
      <c r="X472" s="69">
        <f ca="1">IF($B472="","",SUM(_xlfn.XLOOKUP(C472,Lists!$P$2:$P$19,Lists!$AA$2:$AA$19,0),_xlfn.XLOOKUP(E472,Lists!$P$2:$P$19,Lists!$AA$2:$AA$19,0),_xlfn.XLOOKUP(G472,Lists!$P$2:$P$19,Lists!$AA$2:$AA$19,0),_xlfn.XLOOKUP(I472,Lists!$P$2:$P$19,Lists!$AA$2:$AA$19,0),_xlfn.XLOOKUP(K472,Lists!$P$2:$P$19,Lists!$AA$2:$AA$19,0)))</f>
        <v>0</v>
      </c>
      <c r="Y472" s="49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  <c r="CF472" s="18"/>
      <c r="CG472" s="18"/>
      <c r="CH472" s="18"/>
      <c r="CI472" s="18"/>
      <c r="CJ472" s="18"/>
      <c r="CK472" s="18"/>
      <c r="CL472" s="18"/>
      <c r="CM472" s="18"/>
      <c r="CN472" s="18"/>
      <c r="CO472" s="18"/>
      <c r="CP472" s="18"/>
      <c r="CQ472" s="18"/>
      <c r="CR472" s="18"/>
      <c r="CS472" s="18"/>
      <c r="CT472" s="18"/>
      <c r="CU472" s="18"/>
      <c r="CV472" s="18"/>
      <c r="CW472" s="18"/>
      <c r="CX472" s="18"/>
      <c r="CY472" s="18"/>
      <c r="CZ472" s="18"/>
      <c r="DA472" s="18"/>
      <c r="DB472" s="18"/>
      <c r="DC472" s="18"/>
      <c r="DD472" s="18"/>
      <c r="DE472" s="18"/>
      <c r="DF472" s="18"/>
    </row>
    <row r="473" spans="1:110">
      <c r="A473" s="168">
        <v>3</v>
      </c>
      <c r="B473" s="47" t="str">
        <f ca="1">Lineups!$H$133</f>
        <v>Bowser</v>
      </c>
      <c r="C473" s="49" t="s">
        <v>186</v>
      </c>
      <c r="D473" s="49"/>
      <c r="E473" s="49" t="s">
        <v>178</v>
      </c>
      <c r="F473" s="49" t="s">
        <v>215</v>
      </c>
      <c r="G473" s="49"/>
      <c r="H473" s="50"/>
      <c r="I473" s="50"/>
      <c r="J473" s="50"/>
      <c r="K473" s="50"/>
      <c r="L473" s="50"/>
      <c r="M473" s="67">
        <f ca="1">IF($B473="","",SUM(_xlfn.XLOOKUP(C473,Lists!$P$2:$P$19,Lists!$R$2:$R$19,0),_xlfn.XLOOKUP(E473,Lists!$P$2:$P$19,Lists!$R$2:$R$19,0),_xlfn.XLOOKUP(G473,Lists!$P$2:$P$19,Lists!$R$2:$R$19,0),_xlfn.XLOOKUP(I473,Lists!$P$2:$P$19,Lists!$R$2:$R$19,0),_xlfn.XLOOKUP(K473,Lists!$P$2:$P$19,Lists!$R$2:$R$19,0)))</f>
        <v>2</v>
      </c>
      <c r="N473" s="68">
        <f ca="1">IF($B473="","",SUM(_xlfn.XLOOKUP(D473,Lists!$AC$2:$AC$9,Lists!$AE$2:$AE$9,0),_xlfn.XLOOKUP(F473,Lists!$AC$2:$AC$9,Lists!$AE$2:$AE$9,0),_xlfn.XLOOKUP(H473,Lists!$AC$2:$AC$9,Lists!$AE$2:$AE$9,0),_xlfn.XLOOKUP(J473,Lists!$AC$2:$AC$9,Lists!$AE$2:$AE$9,0),_xlfn.XLOOKUP(L473,Lists!$AC$2:$AC$9,Lists!$AE$2:$AE$9,0)))</f>
        <v>1</v>
      </c>
      <c r="O473" s="68">
        <f ca="1">IF($B473="","",SUM(_xlfn.XLOOKUP(C473,Lists!$P$2:$P$19,Lists!$S$2:$S$19,0),_xlfn.XLOOKUP(E473,Lists!$P$2:$P$19,Lists!$S$2:$S$19,0),_xlfn.XLOOKUP(G473,Lists!$P$2:$P$19,Lists!$S$2:$S$19,0),_xlfn.XLOOKUP(I473,Lists!$P$2:$P$19,Lists!$S$2:$S$19,0),_xlfn.XLOOKUP(K473,Lists!$P$2:$P$19,Lists!$S$2:$S$19,0)))</f>
        <v>1</v>
      </c>
      <c r="P473" s="68">
        <f ca="1">IF($B473="","",SUM(_xlfn.XLOOKUP(C473,Lists!$P$2:$P$19,Lists!$T$2:$T$19,0),_xlfn.XLOOKUP(E473,Lists!$P$2:$P$19,Lists!$T$2:$T$19,0),_xlfn.XLOOKUP(G473,Lists!$P$2:$P$19,Lists!$T$2:$T$19,0),_xlfn.XLOOKUP(I473,Lists!$P$2:$P$19,Lists!$T$2:$T$19,0),_xlfn.XLOOKUP(K473,Lists!$P$2:$P$19,Lists!$T$2:$T$19,0)))</f>
        <v>0</v>
      </c>
      <c r="Q473" s="68">
        <f ca="1">IF($B473="","",SUM(_xlfn.XLOOKUP(C473,Lists!$P$2:$P$19,Lists!$U$2:$U$19,0),_xlfn.XLOOKUP(E473,Lists!$P$2:$P$19,Lists!$U$2:$U$19,0),_xlfn.XLOOKUP(G473,Lists!$P$2:$P$19,Lists!$U$2:$U$19,0),_xlfn.XLOOKUP(I473,Lists!$P$2:$P$19,Lists!$U$2:$U$19,0),_xlfn.XLOOKUP(K473,Lists!$P$2:$P$19,Lists!$U$2:$U$19,0)))</f>
        <v>0</v>
      </c>
      <c r="R473" s="68">
        <f ca="1">IF($B473="","",SUM(_xlfn.XLOOKUP(C473,Lists!$P$2:$P$19,Lists!$V$2:$V$19,0),_xlfn.XLOOKUP(E473,Lists!$P$2:$P$19,Lists!$V$2:$V$19,0),_xlfn.XLOOKUP(G473,Lists!$P$2:$P$19,Lists!$V$2:$V$19,0),_xlfn.XLOOKUP(I473,Lists!$P$2:$P$19,Lists!$V$2:$V$19,0),_xlfn.XLOOKUP(K473,Lists!$P$2:$P$19,Lists!$V$2:$V$19,0)))</f>
        <v>1</v>
      </c>
      <c r="S473" s="68">
        <f ca="1">IF($B473="","",SUM(_xlfn.XLOOKUP(D473,Lists!$AC$2:$AC$9,Lists!$AD$2:$AD$9,0),_xlfn.XLOOKUP(F473,Lists!$AC$2:$AC$9,Lists!$AD$2:$AD$9,0),_xlfn.XLOOKUP(H473,Lists!$AC$2:$AC$9,Lists!$AD$2:$AD$9,0),_xlfn.XLOOKUP(J473,Lists!$AC$2:$AC$9,Lists!$AD$2:$AD$9,0),_xlfn.XLOOKUP(L473,Lists!$AC$2:$AC$9,Lists!$AD$2:$AD$9,0)))</f>
        <v>4</v>
      </c>
      <c r="T473" s="68">
        <f ca="1">IF($B473="","",SUM(_xlfn.XLOOKUP(C473,Lists!$P$2:$P$19,Lists!$W$2:$W$19,0),_xlfn.XLOOKUP(E473,Lists!$P$2:$P$19,Lists!$W$2:$W$19,0),_xlfn.XLOOKUP(G473,Lists!$P$2:$P$19,Lists!$W$2:$W$19,0),_xlfn.XLOOKUP(I473,Lists!$P$2:$P$19,Lists!$W$2:$W$19,0),_xlfn.XLOOKUP(K473,Lists!$P$2:$P$19,Lists!$W$2:$W$19,0)))</f>
        <v>0</v>
      </c>
      <c r="U473" s="68">
        <f ca="1">IF($B473="","",SUM(_xlfn.XLOOKUP(C473,Lists!$P$2:$P$19,Lists!$X$2:$X$19,0),_xlfn.XLOOKUP(E473,Lists!$P$2:$P$19,Lists!$X$2:$X$19,0),_xlfn.XLOOKUP(G473,Lists!$P$2:$P$19,Lists!$X$2:$X$19,0),_xlfn.XLOOKUP(I473,Lists!$P$2:$P$19,Lists!$X$2:$X$19,0),_xlfn.XLOOKUP(K473,Lists!$P$2:$P$19,Lists!$X$2:$X$19,0)))</f>
        <v>0</v>
      </c>
      <c r="V473" s="68">
        <f ca="1">IF($B473="","",SUM(_xlfn.XLOOKUP(C473,Lists!$P$2:$P$19,Lists!$Y$2:$Y$19,0),_xlfn.XLOOKUP(E473,Lists!$P$2:$P$19,Lists!$Y$2:$Y$19,0),_xlfn.XLOOKUP(G473,Lists!$P$2:$P$19,Lists!$Y$2:$Y$19,0),_xlfn.XLOOKUP(I473,Lists!$P$2:$P$19,Lists!$Y$2:$Y$19,0),_xlfn.XLOOKUP(K473,Lists!$P$2:$P$19,Lists!$Y$2:$Y$19,0)))</f>
        <v>0</v>
      </c>
      <c r="W473" s="68">
        <f ca="1">IF($B473="","",SUM(_xlfn.XLOOKUP(C473,Lists!$P$2:$P$19,Lists!$Z$2:$Z$19,0),_xlfn.XLOOKUP(E473,Lists!$P$2:$P$19,Lists!$Z$2:$Z$19,0),_xlfn.XLOOKUP(G473,Lists!$P$2:$P$19,Lists!$Z$2:$Z$19,0),_xlfn.XLOOKUP(I473,Lists!$P$2:$P$19,Lists!$Z$2:$Z$19,0),_xlfn.XLOOKUP(K473,Lists!$P$2:$P$19,Lists!$Z$2:$Z$19,0)))</f>
        <v>0</v>
      </c>
      <c r="X473" s="69">
        <f ca="1">IF($B473="","",SUM(_xlfn.XLOOKUP(C473,Lists!$P$2:$P$19,Lists!$AA$2:$AA$19,0),_xlfn.XLOOKUP(E473,Lists!$P$2:$P$19,Lists!$AA$2:$AA$19,0),_xlfn.XLOOKUP(G473,Lists!$P$2:$P$19,Lists!$AA$2:$AA$19,0),_xlfn.XLOOKUP(I473,Lists!$P$2:$P$19,Lists!$AA$2:$AA$19,0),_xlfn.XLOOKUP(K473,Lists!$P$2:$P$19,Lists!$AA$2:$AA$19,0)))</f>
        <v>0</v>
      </c>
      <c r="Y473" s="49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P473" s="18"/>
      <c r="CQ473" s="18"/>
      <c r="CR473" s="18"/>
      <c r="CS473" s="18"/>
      <c r="CT473" s="18"/>
      <c r="CU473" s="18"/>
      <c r="CV473" s="18"/>
      <c r="CW473" s="18"/>
      <c r="CX473" s="18"/>
      <c r="CY473" s="18"/>
      <c r="CZ473" s="18"/>
      <c r="DA473" s="18"/>
      <c r="DB473" s="18"/>
      <c r="DC473" s="18"/>
      <c r="DD473" s="18"/>
      <c r="DE473" s="18"/>
      <c r="DF473" s="18"/>
    </row>
    <row r="474" spans="1:110">
      <c r="A474" s="168">
        <v>4</v>
      </c>
      <c r="B474" s="47" t="str">
        <f ca="1">Lineups!$H$134</f>
        <v>King K. Rool</v>
      </c>
      <c r="C474" s="49" t="s">
        <v>185</v>
      </c>
      <c r="D474" s="49"/>
      <c r="E474" s="49" t="s">
        <v>188</v>
      </c>
      <c r="F474" s="49"/>
      <c r="G474" s="49"/>
      <c r="H474" s="50"/>
      <c r="I474" s="50"/>
      <c r="J474" s="50"/>
      <c r="K474" s="50"/>
      <c r="L474" s="50"/>
      <c r="M474" s="67">
        <f ca="1">IF($B474="","",SUM(_xlfn.XLOOKUP(C474,Lists!$P$2:$P$19,Lists!$R$2:$R$19,0),_xlfn.XLOOKUP(E474,Lists!$P$2:$P$19,Lists!$R$2:$R$19,0),_xlfn.XLOOKUP(G474,Lists!$P$2:$P$19,Lists!$R$2:$R$19,0),_xlfn.XLOOKUP(I474,Lists!$P$2:$P$19,Lists!$R$2:$R$19,0),_xlfn.XLOOKUP(K474,Lists!$P$2:$P$19,Lists!$R$2:$R$19,0)))</f>
        <v>2</v>
      </c>
      <c r="N474" s="68">
        <f ca="1">IF($B474="","",SUM(_xlfn.XLOOKUP(D474,Lists!$AC$2:$AC$9,Lists!$AE$2:$AE$9,0),_xlfn.XLOOKUP(F474,Lists!$AC$2:$AC$9,Lists!$AE$2:$AE$9,0),_xlfn.XLOOKUP(H474,Lists!$AC$2:$AC$9,Lists!$AE$2:$AE$9,0),_xlfn.XLOOKUP(J474,Lists!$AC$2:$AC$9,Lists!$AE$2:$AE$9,0),_xlfn.XLOOKUP(L474,Lists!$AC$2:$AC$9,Lists!$AE$2:$AE$9,0)))</f>
        <v>0</v>
      </c>
      <c r="O474" s="68">
        <f ca="1">IF($B474="","",SUM(_xlfn.XLOOKUP(C474,Lists!$P$2:$P$19,Lists!$S$2:$S$19,0),_xlfn.XLOOKUP(E474,Lists!$P$2:$P$19,Lists!$S$2:$S$19,0),_xlfn.XLOOKUP(G474,Lists!$P$2:$P$19,Lists!$S$2:$S$19,0),_xlfn.XLOOKUP(I474,Lists!$P$2:$P$19,Lists!$S$2:$S$19,0),_xlfn.XLOOKUP(K474,Lists!$P$2:$P$19,Lists!$S$2:$S$19,0)))</f>
        <v>1</v>
      </c>
      <c r="P474" s="68">
        <f ca="1">IF($B474="","",SUM(_xlfn.XLOOKUP(C474,Lists!$P$2:$P$19,Lists!$T$2:$T$19,0),_xlfn.XLOOKUP(E474,Lists!$P$2:$P$19,Lists!$T$2:$T$19,0),_xlfn.XLOOKUP(G474,Lists!$P$2:$P$19,Lists!$T$2:$T$19,0),_xlfn.XLOOKUP(I474,Lists!$P$2:$P$19,Lists!$T$2:$T$19,0),_xlfn.XLOOKUP(K474,Lists!$P$2:$P$19,Lists!$T$2:$T$19,0)))</f>
        <v>0</v>
      </c>
      <c r="Q474" s="68">
        <f ca="1">IF($B474="","",SUM(_xlfn.XLOOKUP(C474,Lists!$P$2:$P$19,Lists!$U$2:$U$19,0),_xlfn.XLOOKUP(E474,Lists!$P$2:$P$19,Lists!$U$2:$U$19,0),_xlfn.XLOOKUP(G474,Lists!$P$2:$P$19,Lists!$U$2:$U$19,0),_xlfn.XLOOKUP(I474,Lists!$P$2:$P$19,Lists!$U$2:$U$19,0),_xlfn.XLOOKUP(K474,Lists!$P$2:$P$19,Lists!$U$2:$U$19,0)))</f>
        <v>0</v>
      </c>
      <c r="R474" s="68">
        <f ca="1">IF($B474="","",SUM(_xlfn.XLOOKUP(C474,Lists!$P$2:$P$19,Lists!$V$2:$V$19,0),_xlfn.XLOOKUP(E474,Lists!$P$2:$P$19,Lists!$V$2:$V$19,0),_xlfn.XLOOKUP(G474,Lists!$P$2:$P$19,Lists!$V$2:$V$19,0),_xlfn.XLOOKUP(I474,Lists!$P$2:$P$19,Lists!$V$2:$V$19,0),_xlfn.XLOOKUP(K474,Lists!$P$2:$P$19,Lists!$V$2:$V$19,0)))</f>
        <v>0</v>
      </c>
      <c r="S474" s="68">
        <f ca="1">IF($B474="","",SUM(_xlfn.XLOOKUP(D474,Lists!$AC$2:$AC$9,Lists!$AD$2:$AD$9,0),_xlfn.XLOOKUP(F474,Lists!$AC$2:$AC$9,Lists!$AD$2:$AD$9,0),_xlfn.XLOOKUP(H474,Lists!$AC$2:$AC$9,Lists!$AD$2:$AD$9,0),_xlfn.XLOOKUP(J474,Lists!$AC$2:$AC$9,Lists!$AD$2:$AD$9,0),_xlfn.XLOOKUP(L474,Lists!$AC$2:$AC$9,Lists!$AD$2:$AD$9,0)))</f>
        <v>0</v>
      </c>
      <c r="T474" s="68">
        <f ca="1">IF($B474="","",SUM(_xlfn.XLOOKUP(C474,Lists!$P$2:$P$19,Lists!$W$2:$W$19,0),_xlfn.XLOOKUP(E474,Lists!$P$2:$P$19,Lists!$W$2:$W$19,0),_xlfn.XLOOKUP(G474,Lists!$P$2:$P$19,Lists!$W$2:$W$19,0),_xlfn.XLOOKUP(I474,Lists!$P$2:$P$19,Lists!$W$2:$W$19,0),_xlfn.XLOOKUP(K474,Lists!$P$2:$P$19,Lists!$W$2:$W$19,0)))</f>
        <v>0</v>
      </c>
      <c r="U474" s="68">
        <f ca="1">IF($B474="","",SUM(_xlfn.XLOOKUP(C474,Lists!$P$2:$P$19,Lists!$X$2:$X$19,0),_xlfn.XLOOKUP(E474,Lists!$P$2:$P$19,Lists!$X$2:$X$19,0),_xlfn.XLOOKUP(G474,Lists!$P$2:$P$19,Lists!$X$2:$X$19,0),_xlfn.XLOOKUP(I474,Lists!$P$2:$P$19,Lists!$X$2:$X$19,0),_xlfn.XLOOKUP(K474,Lists!$P$2:$P$19,Lists!$X$2:$X$19,0)))</f>
        <v>1</v>
      </c>
      <c r="V474" s="68">
        <f ca="1">IF($B474="","",SUM(_xlfn.XLOOKUP(C474,Lists!$P$2:$P$19,Lists!$Y$2:$Y$19,0),_xlfn.XLOOKUP(E474,Lists!$P$2:$P$19,Lists!$Y$2:$Y$19,0),_xlfn.XLOOKUP(G474,Lists!$P$2:$P$19,Lists!$Y$2:$Y$19,0),_xlfn.XLOOKUP(I474,Lists!$P$2:$P$19,Lists!$Y$2:$Y$19,0),_xlfn.XLOOKUP(K474,Lists!$P$2:$P$19,Lists!$Y$2:$Y$19,0)))</f>
        <v>0</v>
      </c>
      <c r="W474" s="68">
        <f ca="1">IF($B474="","",SUM(_xlfn.XLOOKUP(C474,Lists!$P$2:$P$19,Lists!$Z$2:$Z$19,0),_xlfn.XLOOKUP(E474,Lists!$P$2:$P$19,Lists!$Z$2:$Z$19,0),_xlfn.XLOOKUP(G474,Lists!$P$2:$P$19,Lists!$Z$2:$Z$19,0),_xlfn.XLOOKUP(I474,Lists!$P$2:$P$19,Lists!$Z$2:$Z$19,0),_xlfn.XLOOKUP(K474,Lists!$P$2:$P$19,Lists!$Z$2:$Z$19,0)))</f>
        <v>0</v>
      </c>
      <c r="X474" s="69">
        <f ca="1">IF($B474="","",SUM(_xlfn.XLOOKUP(C474,Lists!$P$2:$P$19,Lists!$AA$2:$AA$19,0),_xlfn.XLOOKUP(E474,Lists!$P$2:$P$19,Lists!$AA$2:$AA$19,0),_xlfn.XLOOKUP(G474,Lists!$P$2:$P$19,Lists!$AA$2:$AA$19,0),_xlfn.XLOOKUP(I474,Lists!$P$2:$P$19,Lists!$AA$2:$AA$19,0),_xlfn.XLOOKUP(K474,Lists!$P$2:$P$19,Lists!$AA$2:$AA$19,0)))</f>
        <v>0</v>
      </c>
      <c r="Y474" s="49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18"/>
      <c r="CN474" s="18"/>
      <c r="CO474" s="18"/>
      <c r="CP474" s="18"/>
      <c r="CQ474" s="18"/>
      <c r="CR474" s="18"/>
      <c r="CS474" s="18"/>
      <c r="CT474" s="18"/>
      <c r="CU474" s="18"/>
      <c r="CV474" s="18"/>
      <c r="CW474" s="18"/>
      <c r="CX474" s="18"/>
      <c r="CY474" s="18"/>
      <c r="CZ474" s="18"/>
      <c r="DA474" s="18"/>
      <c r="DB474" s="18"/>
      <c r="DC474" s="18"/>
      <c r="DD474" s="18"/>
      <c r="DE474" s="18"/>
      <c r="DF474" s="18"/>
    </row>
    <row r="475" spans="1:110">
      <c r="A475" s="168">
        <v>5</v>
      </c>
      <c r="B475" s="47" t="str">
        <f ca="1">Lineups!$H$135</f>
        <v>Blooper</v>
      </c>
      <c r="C475" s="49" t="s">
        <v>188</v>
      </c>
      <c r="D475" s="49"/>
      <c r="E475" s="49" t="s">
        <v>189</v>
      </c>
      <c r="F475" s="49"/>
      <c r="G475" s="49"/>
      <c r="H475" s="50"/>
      <c r="I475" s="50"/>
      <c r="J475" s="50"/>
      <c r="K475" s="50"/>
      <c r="L475" s="50"/>
      <c r="M475" s="67">
        <f ca="1">IF($B475="","",SUM(_xlfn.XLOOKUP(C475,Lists!$P$2:$P$19,Lists!$R$2:$R$19,0),_xlfn.XLOOKUP(E475,Lists!$P$2:$P$19,Lists!$R$2:$R$19,0),_xlfn.XLOOKUP(G475,Lists!$P$2:$P$19,Lists!$R$2:$R$19,0),_xlfn.XLOOKUP(I475,Lists!$P$2:$P$19,Lists!$R$2:$R$19,0),_xlfn.XLOOKUP(K475,Lists!$P$2:$P$19,Lists!$R$2:$R$19,0)))</f>
        <v>2</v>
      </c>
      <c r="N475" s="68">
        <f ca="1">IF($B475="","",SUM(_xlfn.XLOOKUP(D475,Lists!$AC$2:$AC$9,Lists!$AE$2:$AE$9,0),_xlfn.XLOOKUP(F475,Lists!$AC$2:$AC$9,Lists!$AE$2:$AE$9,0),_xlfn.XLOOKUP(H475,Lists!$AC$2:$AC$9,Lists!$AE$2:$AE$9,0),_xlfn.XLOOKUP(J475,Lists!$AC$2:$AC$9,Lists!$AE$2:$AE$9,0),_xlfn.XLOOKUP(L475,Lists!$AC$2:$AC$9,Lists!$AE$2:$AE$9,0)))</f>
        <v>0</v>
      </c>
      <c r="O475" s="68">
        <f ca="1">IF($B475="","",SUM(_xlfn.XLOOKUP(C475,Lists!$P$2:$P$19,Lists!$S$2:$S$19,0),_xlfn.XLOOKUP(E475,Lists!$P$2:$P$19,Lists!$S$2:$S$19,0),_xlfn.XLOOKUP(G475,Lists!$P$2:$P$19,Lists!$S$2:$S$19,0),_xlfn.XLOOKUP(I475,Lists!$P$2:$P$19,Lists!$S$2:$S$19,0),_xlfn.XLOOKUP(K475,Lists!$P$2:$P$19,Lists!$S$2:$S$19,0)))</f>
        <v>1</v>
      </c>
      <c r="P475" s="68">
        <f ca="1">IF($B475="","",SUM(_xlfn.XLOOKUP(C475,Lists!$P$2:$P$19,Lists!$T$2:$T$19,0),_xlfn.XLOOKUP(E475,Lists!$P$2:$P$19,Lists!$T$2:$T$19,0),_xlfn.XLOOKUP(G475,Lists!$P$2:$P$19,Lists!$T$2:$T$19,0),_xlfn.XLOOKUP(I475,Lists!$P$2:$P$19,Lists!$T$2:$T$19,0),_xlfn.XLOOKUP(K475,Lists!$P$2:$P$19,Lists!$T$2:$T$19,0)))</f>
        <v>0</v>
      </c>
      <c r="Q475" s="68">
        <f ca="1">IF($B475="","",SUM(_xlfn.XLOOKUP(C475,Lists!$P$2:$P$19,Lists!$U$2:$U$19,0),_xlfn.XLOOKUP(E475,Lists!$P$2:$P$19,Lists!$U$2:$U$19,0),_xlfn.XLOOKUP(G475,Lists!$P$2:$P$19,Lists!$U$2:$U$19,0),_xlfn.XLOOKUP(I475,Lists!$P$2:$P$19,Lists!$U$2:$U$19,0),_xlfn.XLOOKUP(K475,Lists!$P$2:$P$19,Lists!$U$2:$U$19,0)))</f>
        <v>0</v>
      </c>
      <c r="R475" s="68">
        <f ca="1">IF($B475="","",SUM(_xlfn.XLOOKUP(C475,Lists!$P$2:$P$19,Lists!$V$2:$V$19,0),_xlfn.XLOOKUP(E475,Lists!$P$2:$P$19,Lists!$V$2:$V$19,0),_xlfn.XLOOKUP(G475,Lists!$P$2:$P$19,Lists!$V$2:$V$19,0),_xlfn.XLOOKUP(I475,Lists!$P$2:$P$19,Lists!$V$2:$V$19,0),_xlfn.XLOOKUP(K475,Lists!$P$2:$P$19,Lists!$V$2:$V$19,0)))</f>
        <v>0</v>
      </c>
      <c r="S475" s="68">
        <f ca="1">IF($B475="","",SUM(_xlfn.XLOOKUP(D475,Lists!$AC$2:$AC$9,Lists!$AD$2:$AD$9,0),_xlfn.XLOOKUP(F475,Lists!$AC$2:$AC$9,Lists!$AD$2:$AD$9,0),_xlfn.XLOOKUP(H475,Lists!$AC$2:$AC$9,Lists!$AD$2:$AD$9,0),_xlfn.XLOOKUP(J475,Lists!$AC$2:$AC$9,Lists!$AD$2:$AD$9,0),_xlfn.XLOOKUP(L475,Lists!$AC$2:$AC$9,Lists!$AD$2:$AD$9,0)))</f>
        <v>0</v>
      </c>
      <c r="T475" s="68">
        <f ca="1">IF($B475="","",SUM(_xlfn.XLOOKUP(C475,Lists!$P$2:$P$19,Lists!$W$2:$W$19,0),_xlfn.XLOOKUP(E475,Lists!$P$2:$P$19,Lists!$W$2:$W$19,0),_xlfn.XLOOKUP(G475,Lists!$P$2:$P$19,Lists!$W$2:$W$19,0),_xlfn.XLOOKUP(I475,Lists!$P$2:$P$19,Lists!$W$2:$W$19,0),_xlfn.XLOOKUP(K475,Lists!$P$2:$P$19,Lists!$W$2:$W$19,0)))</f>
        <v>0</v>
      </c>
      <c r="U475" s="68">
        <f ca="1">IF($B475="","",SUM(_xlfn.XLOOKUP(C475,Lists!$P$2:$P$19,Lists!$X$2:$X$19,0),_xlfn.XLOOKUP(E475,Lists!$P$2:$P$19,Lists!$X$2:$X$19,0),_xlfn.XLOOKUP(G475,Lists!$P$2:$P$19,Lists!$X$2:$X$19,0),_xlfn.XLOOKUP(I475,Lists!$P$2:$P$19,Lists!$X$2:$X$19,0),_xlfn.XLOOKUP(K475,Lists!$P$2:$P$19,Lists!$X$2:$X$19,0)))</f>
        <v>0</v>
      </c>
      <c r="V475" s="68">
        <f ca="1">IF($B475="","",SUM(_xlfn.XLOOKUP(C475,Lists!$P$2:$P$19,Lists!$Y$2:$Y$19,0),_xlfn.XLOOKUP(E475,Lists!$P$2:$P$19,Lists!$Y$2:$Y$19,0),_xlfn.XLOOKUP(G475,Lists!$P$2:$P$19,Lists!$Y$2:$Y$19,0),_xlfn.XLOOKUP(I475,Lists!$P$2:$P$19,Lists!$Y$2:$Y$19,0),_xlfn.XLOOKUP(K475,Lists!$P$2:$P$19,Lists!$Y$2:$Y$19,0)))</f>
        <v>0</v>
      </c>
      <c r="W475" s="68">
        <f ca="1">IF($B475="","",SUM(_xlfn.XLOOKUP(C475,Lists!$P$2:$P$19,Lists!$Z$2:$Z$19,0),_xlfn.XLOOKUP(E475,Lists!$P$2:$P$19,Lists!$Z$2:$Z$19,0),_xlfn.XLOOKUP(G475,Lists!$P$2:$P$19,Lists!$Z$2:$Z$19,0),_xlfn.XLOOKUP(I475,Lists!$P$2:$P$19,Lists!$Z$2:$Z$19,0),_xlfn.XLOOKUP(K475,Lists!$P$2:$P$19,Lists!$Z$2:$Z$19,0)))</f>
        <v>0</v>
      </c>
      <c r="X475" s="69">
        <f ca="1">IF($B475="","",SUM(_xlfn.XLOOKUP(C475,Lists!$P$2:$P$19,Lists!$AA$2:$AA$19,0),_xlfn.XLOOKUP(E475,Lists!$P$2:$P$19,Lists!$AA$2:$AA$19,0),_xlfn.XLOOKUP(G475,Lists!$P$2:$P$19,Lists!$AA$2:$AA$19,0),_xlfn.XLOOKUP(I475,Lists!$P$2:$P$19,Lists!$AA$2:$AA$19,0),_xlfn.XLOOKUP(K475,Lists!$P$2:$P$19,Lists!$AA$2:$AA$19,0)))</f>
        <v>0</v>
      </c>
      <c r="Y475" s="49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8"/>
      <c r="CG475" s="18"/>
      <c r="CH475" s="18"/>
      <c r="CI475" s="18"/>
      <c r="CJ475" s="18"/>
      <c r="CK475" s="18"/>
      <c r="CL475" s="18"/>
      <c r="CM475" s="18"/>
      <c r="CN475" s="18"/>
      <c r="CO475" s="18"/>
      <c r="CP475" s="18"/>
      <c r="CQ475" s="18"/>
      <c r="CR475" s="18"/>
      <c r="CS475" s="18"/>
      <c r="CT475" s="18"/>
      <c r="CU475" s="18"/>
      <c r="CV475" s="18"/>
      <c r="CW475" s="18"/>
      <c r="CX475" s="18"/>
      <c r="CY475" s="18"/>
      <c r="CZ475" s="18"/>
      <c r="DA475" s="18"/>
      <c r="DB475" s="18"/>
      <c r="DC475" s="18"/>
      <c r="DD475" s="18"/>
      <c r="DE475" s="18"/>
      <c r="DF475" s="18"/>
    </row>
    <row r="476" spans="1:110">
      <c r="A476" s="168">
        <v>6</v>
      </c>
      <c r="B476" s="47" t="str">
        <f ca="1">Lineups!$H$136</f>
        <v>Yellow Toad</v>
      </c>
      <c r="C476" s="49" t="s">
        <v>193</v>
      </c>
      <c r="D476" s="49"/>
      <c r="E476" s="49" t="s">
        <v>188</v>
      </c>
      <c r="F476" s="49"/>
      <c r="G476" s="49"/>
      <c r="H476" s="50"/>
      <c r="I476" s="50"/>
      <c r="J476" s="50"/>
      <c r="K476" s="50"/>
      <c r="L476" s="50"/>
      <c r="M476" s="67">
        <f ca="1">IF($B476="","",SUM(_xlfn.XLOOKUP(C476,Lists!$P$2:$P$19,Lists!$R$2:$R$19,0),_xlfn.XLOOKUP(E476,Lists!$P$2:$P$19,Lists!$R$2:$R$19,0),_xlfn.XLOOKUP(G476,Lists!$P$2:$P$19,Lists!$R$2:$R$19,0),_xlfn.XLOOKUP(I476,Lists!$P$2:$P$19,Lists!$R$2:$R$19,0),_xlfn.XLOOKUP(K476,Lists!$P$2:$P$19,Lists!$R$2:$R$19,0)))</f>
        <v>2</v>
      </c>
      <c r="N476" s="68">
        <f ca="1">IF($B476="","",SUM(_xlfn.XLOOKUP(D476,Lists!$AC$2:$AC$9,Lists!$AE$2:$AE$9,0),_xlfn.XLOOKUP(F476,Lists!$AC$2:$AC$9,Lists!$AE$2:$AE$9,0),_xlfn.XLOOKUP(H476,Lists!$AC$2:$AC$9,Lists!$AE$2:$AE$9,0),_xlfn.XLOOKUP(J476,Lists!$AC$2:$AC$9,Lists!$AE$2:$AE$9,0),_xlfn.XLOOKUP(L476,Lists!$AC$2:$AC$9,Lists!$AE$2:$AE$9,0)))</f>
        <v>0</v>
      </c>
      <c r="O476" s="68">
        <f ca="1">IF($B476="","",SUM(_xlfn.XLOOKUP(C476,Lists!$P$2:$P$19,Lists!$S$2:$S$19,0),_xlfn.XLOOKUP(E476,Lists!$P$2:$P$19,Lists!$S$2:$S$19,0),_xlfn.XLOOKUP(G476,Lists!$P$2:$P$19,Lists!$S$2:$S$19,0),_xlfn.XLOOKUP(I476,Lists!$P$2:$P$19,Lists!$S$2:$S$19,0),_xlfn.XLOOKUP(K476,Lists!$P$2:$P$19,Lists!$S$2:$S$19,0)))</f>
        <v>1</v>
      </c>
      <c r="P476" s="68">
        <f ca="1">IF($B476="","",SUM(_xlfn.XLOOKUP(C476,Lists!$P$2:$P$19,Lists!$T$2:$T$19,0),_xlfn.XLOOKUP(E476,Lists!$P$2:$P$19,Lists!$T$2:$T$19,0),_xlfn.XLOOKUP(G476,Lists!$P$2:$P$19,Lists!$T$2:$T$19,0),_xlfn.XLOOKUP(I476,Lists!$P$2:$P$19,Lists!$T$2:$T$19,0),_xlfn.XLOOKUP(K476,Lists!$P$2:$P$19,Lists!$T$2:$T$19,0)))</f>
        <v>0</v>
      </c>
      <c r="Q476" s="68">
        <f ca="1">IF($B476="","",SUM(_xlfn.XLOOKUP(C476,Lists!$P$2:$P$19,Lists!$U$2:$U$19,0),_xlfn.XLOOKUP(E476,Lists!$P$2:$P$19,Lists!$U$2:$U$19,0),_xlfn.XLOOKUP(G476,Lists!$P$2:$P$19,Lists!$U$2:$U$19,0),_xlfn.XLOOKUP(I476,Lists!$P$2:$P$19,Lists!$U$2:$U$19,0),_xlfn.XLOOKUP(K476,Lists!$P$2:$P$19,Lists!$U$2:$U$19,0)))</f>
        <v>0</v>
      </c>
      <c r="R476" s="68">
        <f ca="1">IF($B476="","",SUM(_xlfn.XLOOKUP(C476,Lists!$P$2:$P$19,Lists!$V$2:$V$19,0),_xlfn.XLOOKUP(E476,Lists!$P$2:$P$19,Lists!$V$2:$V$19,0),_xlfn.XLOOKUP(G476,Lists!$P$2:$P$19,Lists!$V$2:$V$19,0),_xlfn.XLOOKUP(I476,Lists!$P$2:$P$19,Lists!$V$2:$V$19,0),_xlfn.XLOOKUP(K476,Lists!$P$2:$P$19,Lists!$V$2:$V$19,0)))</f>
        <v>0</v>
      </c>
      <c r="S476" s="68">
        <f ca="1">IF($B476="","",SUM(_xlfn.XLOOKUP(D476,Lists!$AC$2:$AC$9,Lists!$AD$2:$AD$9,0),_xlfn.XLOOKUP(F476,Lists!$AC$2:$AC$9,Lists!$AD$2:$AD$9,0),_xlfn.XLOOKUP(H476,Lists!$AC$2:$AC$9,Lists!$AD$2:$AD$9,0),_xlfn.XLOOKUP(J476,Lists!$AC$2:$AC$9,Lists!$AD$2:$AD$9,0),_xlfn.XLOOKUP(L476,Lists!$AC$2:$AC$9,Lists!$AD$2:$AD$9,0)))</f>
        <v>0</v>
      </c>
      <c r="T476" s="68">
        <f ca="1">IF($B476="","",SUM(_xlfn.XLOOKUP(C476,Lists!$P$2:$P$19,Lists!$W$2:$W$19,0),_xlfn.XLOOKUP(E476,Lists!$P$2:$P$19,Lists!$W$2:$W$19,0),_xlfn.XLOOKUP(G476,Lists!$P$2:$P$19,Lists!$W$2:$W$19,0),_xlfn.XLOOKUP(I476,Lists!$P$2:$P$19,Lists!$W$2:$W$19,0),_xlfn.XLOOKUP(K476,Lists!$P$2:$P$19,Lists!$W$2:$W$19,0)))</f>
        <v>0</v>
      </c>
      <c r="U476" s="68">
        <f ca="1">IF($B476="","",SUM(_xlfn.XLOOKUP(C476,Lists!$P$2:$P$19,Lists!$X$2:$X$19,0),_xlfn.XLOOKUP(E476,Lists!$P$2:$P$19,Lists!$X$2:$X$19,0),_xlfn.XLOOKUP(G476,Lists!$P$2:$P$19,Lists!$X$2:$X$19,0),_xlfn.XLOOKUP(I476,Lists!$P$2:$P$19,Lists!$X$2:$X$19,0),_xlfn.XLOOKUP(K476,Lists!$P$2:$P$19,Lists!$X$2:$X$19,0)))</f>
        <v>0</v>
      </c>
      <c r="V476" s="68">
        <f ca="1">IF($B476="","",SUM(_xlfn.XLOOKUP(C476,Lists!$P$2:$P$19,Lists!$Y$2:$Y$19,0),_xlfn.XLOOKUP(E476,Lists!$P$2:$P$19,Lists!$Y$2:$Y$19,0),_xlfn.XLOOKUP(G476,Lists!$P$2:$P$19,Lists!$Y$2:$Y$19,0),_xlfn.XLOOKUP(I476,Lists!$P$2:$P$19,Lists!$Y$2:$Y$19,0),_xlfn.XLOOKUP(K476,Lists!$P$2:$P$19,Lists!$Y$2:$Y$19,0)))</f>
        <v>0</v>
      </c>
      <c r="W476" s="68">
        <f ca="1">IF($B476="","",SUM(_xlfn.XLOOKUP(C476,Lists!$P$2:$P$19,Lists!$Z$2:$Z$19,0),_xlfn.XLOOKUP(E476,Lists!$P$2:$P$19,Lists!$Z$2:$Z$19,0),_xlfn.XLOOKUP(G476,Lists!$P$2:$P$19,Lists!$Z$2:$Z$19,0),_xlfn.XLOOKUP(I476,Lists!$P$2:$P$19,Lists!$Z$2:$Z$19,0),_xlfn.XLOOKUP(K476,Lists!$P$2:$P$19,Lists!$Z$2:$Z$19,0)))</f>
        <v>0</v>
      </c>
      <c r="X476" s="69">
        <f ca="1">IF($B476="","",SUM(_xlfn.XLOOKUP(C476,Lists!$P$2:$P$19,Lists!$AA$2:$AA$19,0),_xlfn.XLOOKUP(E476,Lists!$P$2:$P$19,Lists!$AA$2:$AA$19,0),_xlfn.XLOOKUP(G476,Lists!$P$2:$P$19,Lists!$AA$2:$AA$19,0),_xlfn.XLOOKUP(I476,Lists!$P$2:$P$19,Lists!$AA$2:$AA$19,0),_xlfn.XLOOKUP(K476,Lists!$P$2:$P$19,Lists!$AA$2:$AA$19,0)))</f>
        <v>0</v>
      </c>
      <c r="Y476" s="49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  <c r="CF476" s="18"/>
      <c r="CG476" s="18"/>
      <c r="CH476" s="18"/>
      <c r="CI476" s="18"/>
      <c r="CJ476" s="18"/>
      <c r="CK476" s="18"/>
      <c r="CL476" s="18"/>
      <c r="CM476" s="18"/>
      <c r="CN476" s="18"/>
      <c r="CO476" s="18"/>
      <c r="CP476" s="18"/>
      <c r="CQ476" s="18"/>
      <c r="CR476" s="18"/>
      <c r="CS476" s="18"/>
      <c r="CT476" s="18"/>
      <c r="CU476" s="18"/>
      <c r="CV476" s="18"/>
      <c r="CW476" s="18"/>
      <c r="CX476" s="18"/>
      <c r="CY476" s="18"/>
      <c r="CZ476" s="18"/>
      <c r="DA476" s="18"/>
      <c r="DB476" s="18"/>
      <c r="DC476" s="18"/>
      <c r="DD476" s="18"/>
      <c r="DE476" s="18"/>
      <c r="DF476" s="18"/>
    </row>
    <row r="477" spans="1:110">
      <c r="A477" s="168">
        <v>7</v>
      </c>
      <c r="B477" s="47" t="str">
        <f ca="1">Lineups!$H$137</f>
        <v>Peach</v>
      </c>
      <c r="C477" s="49" t="s">
        <v>186</v>
      </c>
      <c r="D477" s="49"/>
      <c r="E477" s="49" t="s">
        <v>189</v>
      </c>
      <c r="F477" s="49"/>
      <c r="G477" s="49"/>
      <c r="H477" s="50"/>
      <c r="I477" s="50"/>
      <c r="J477" s="50"/>
      <c r="K477" s="50"/>
      <c r="L477" s="50"/>
      <c r="M477" s="67">
        <f ca="1">IF($B477="","",SUM(_xlfn.XLOOKUP(C477,Lists!$P$2:$P$19,Lists!$R$2:$R$19,0),_xlfn.XLOOKUP(E477,Lists!$P$2:$P$19,Lists!$R$2:$R$19,0),_xlfn.XLOOKUP(G477,Lists!$P$2:$P$19,Lists!$R$2:$R$19,0),_xlfn.XLOOKUP(I477,Lists!$P$2:$P$19,Lists!$R$2:$R$19,0),_xlfn.XLOOKUP(K477,Lists!$P$2:$P$19,Lists!$R$2:$R$19,0)))</f>
        <v>2</v>
      </c>
      <c r="N477" s="68">
        <f ca="1">IF($B477="","",SUM(_xlfn.XLOOKUP(D477,Lists!$AC$2:$AC$9,Lists!$AE$2:$AE$9,0),_xlfn.XLOOKUP(F477,Lists!$AC$2:$AC$9,Lists!$AE$2:$AE$9,0),_xlfn.XLOOKUP(H477,Lists!$AC$2:$AC$9,Lists!$AE$2:$AE$9,0),_xlfn.XLOOKUP(J477,Lists!$AC$2:$AC$9,Lists!$AE$2:$AE$9,0),_xlfn.XLOOKUP(L477,Lists!$AC$2:$AC$9,Lists!$AE$2:$AE$9,0)))</f>
        <v>0</v>
      </c>
      <c r="O477" s="68">
        <f ca="1">IF($B477="","",SUM(_xlfn.XLOOKUP(C477,Lists!$P$2:$P$19,Lists!$S$2:$S$19,0),_xlfn.XLOOKUP(E477,Lists!$P$2:$P$19,Lists!$S$2:$S$19,0),_xlfn.XLOOKUP(G477,Lists!$P$2:$P$19,Lists!$S$2:$S$19,0),_xlfn.XLOOKUP(I477,Lists!$P$2:$P$19,Lists!$S$2:$S$19,0),_xlfn.XLOOKUP(K477,Lists!$P$2:$P$19,Lists!$S$2:$S$19,0)))</f>
        <v>0</v>
      </c>
      <c r="P477" s="68">
        <f ca="1">IF($B477="","",SUM(_xlfn.XLOOKUP(C477,Lists!$P$2:$P$19,Lists!$T$2:$T$19,0),_xlfn.XLOOKUP(E477,Lists!$P$2:$P$19,Lists!$T$2:$T$19,0),_xlfn.XLOOKUP(G477,Lists!$P$2:$P$19,Lists!$T$2:$T$19,0),_xlfn.XLOOKUP(I477,Lists!$P$2:$P$19,Lists!$T$2:$T$19,0),_xlfn.XLOOKUP(K477,Lists!$P$2:$P$19,Lists!$T$2:$T$19,0)))</f>
        <v>0</v>
      </c>
      <c r="Q477" s="68">
        <f ca="1">IF($B477="","",SUM(_xlfn.XLOOKUP(C477,Lists!$P$2:$P$19,Lists!$U$2:$U$19,0),_xlfn.XLOOKUP(E477,Lists!$P$2:$P$19,Lists!$U$2:$U$19,0),_xlfn.XLOOKUP(G477,Lists!$P$2:$P$19,Lists!$U$2:$U$19,0),_xlfn.XLOOKUP(I477,Lists!$P$2:$P$19,Lists!$U$2:$U$19,0),_xlfn.XLOOKUP(K477,Lists!$P$2:$P$19,Lists!$U$2:$U$19,0)))</f>
        <v>0</v>
      </c>
      <c r="R477" s="68">
        <f ca="1">IF($B477="","",SUM(_xlfn.XLOOKUP(C477,Lists!$P$2:$P$19,Lists!$V$2:$V$19,0),_xlfn.XLOOKUP(E477,Lists!$P$2:$P$19,Lists!$V$2:$V$19,0),_xlfn.XLOOKUP(G477,Lists!$P$2:$P$19,Lists!$V$2:$V$19,0),_xlfn.XLOOKUP(I477,Lists!$P$2:$P$19,Lists!$V$2:$V$19,0),_xlfn.XLOOKUP(K477,Lists!$P$2:$P$19,Lists!$V$2:$V$19,0)))</f>
        <v>0</v>
      </c>
      <c r="S477" s="68">
        <f ca="1">IF($B477="","",SUM(_xlfn.XLOOKUP(D477,Lists!$AC$2:$AC$9,Lists!$AD$2:$AD$9,0),_xlfn.XLOOKUP(F477,Lists!$AC$2:$AC$9,Lists!$AD$2:$AD$9,0),_xlfn.XLOOKUP(H477,Lists!$AC$2:$AC$9,Lists!$AD$2:$AD$9,0),_xlfn.XLOOKUP(J477,Lists!$AC$2:$AC$9,Lists!$AD$2:$AD$9,0),_xlfn.XLOOKUP(L477,Lists!$AC$2:$AC$9,Lists!$AD$2:$AD$9,0)))</f>
        <v>0</v>
      </c>
      <c r="T477" s="68">
        <f ca="1">IF($B477="","",SUM(_xlfn.XLOOKUP(C477,Lists!$P$2:$P$19,Lists!$W$2:$W$19,0),_xlfn.XLOOKUP(E477,Lists!$P$2:$P$19,Lists!$W$2:$W$19,0),_xlfn.XLOOKUP(G477,Lists!$P$2:$P$19,Lists!$W$2:$W$19,0),_xlfn.XLOOKUP(I477,Lists!$P$2:$P$19,Lists!$W$2:$W$19,0),_xlfn.XLOOKUP(K477,Lists!$P$2:$P$19,Lists!$W$2:$W$19,0)))</f>
        <v>0</v>
      </c>
      <c r="U477" s="68">
        <f ca="1">IF($B477="","",SUM(_xlfn.XLOOKUP(C477,Lists!$P$2:$P$19,Lists!$X$2:$X$19,0),_xlfn.XLOOKUP(E477,Lists!$P$2:$P$19,Lists!$X$2:$X$19,0),_xlfn.XLOOKUP(G477,Lists!$P$2:$P$19,Lists!$X$2:$X$19,0),_xlfn.XLOOKUP(I477,Lists!$P$2:$P$19,Lists!$X$2:$X$19,0),_xlfn.XLOOKUP(K477,Lists!$P$2:$P$19,Lists!$X$2:$X$19,0)))</f>
        <v>0</v>
      </c>
      <c r="V477" s="68">
        <f ca="1">IF($B477="","",SUM(_xlfn.XLOOKUP(C477,Lists!$P$2:$P$19,Lists!$Y$2:$Y$19,0),_xlfn.XLOOKUP(E477,Lists!$P$2:$P$19,Lists!$Y$2:$Y$19,0),_xlfn.XLOOKUP(G477,Lists!$P$2:$P$19,Lists!$Y$2:$Y$19,0),_xlfn.XLOOKUP(I477,Lists!$P$2:$P$19,Lists!$Y$2:$Y$19,0),_xlfn.XLOOKUP(K477,Lists!$P$2:$P$19,Lists!$Y$2:$Y$19,0)))</f>
        <v>0</v>
      </c>
      <c r="W477" s="68">
        <f ca="1">IF($B477="","",SUM(_xlfn.XLOOKUP(C477,Lists!$P$2:$P$19,Lists!$Z$2:$Z$19,0),_xlfn.XLOOKUP(E477,Lists!$P$2:$P$19,Lists!$Z$2:$Z$19,0),_xlfn.XLOOKUP(G477,Lists!$P$2:$P$19,Lists!$Z$2:$Z$19,0),_xlfn.XLOOKUP(I477,Lists!$P$2:$P$19,Lists!$Z$2:$Z$19,0),_xlfn.XLOOKUP(K477,Lists!$P$2:$P$19,Lists!$Z$2:$Z$19,0)))</f>
        <v>0</v>
      </c>
      <c r="X477" s="69">
        <f ca="1">IF($B477="","",SUM(_xlfn.XLOOKUP(C477,Lists!$P$2:$P$19,Lists!$AA$2:$AA$19,0),_xlfn.XLOOKUP(E477,Lists!$P$2:$P$19,Lists!$AA$2:$AA$19,0),_xlfn.XLOOKUP(G477,Lists!$P$2:$P$19,Lists!$AA$2:$AA$19,0),_xlfn.XLOOKUP(I477,Lists!$P$2:$P$19,Lists!$AA$2:$AA$19,0),_xlfn.XLOOKUP(K477,Lists!$P$2:$P$19,Lists!$AA$2:$AA$19,0)))</f>
        <v>0</v>
      </c>
      <c r="Y477" s="49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P477" s="18"/>
      <c r="CQ477" s="18"/>
      <c r="CR477" s="18"/>
      <c r="CS477" s="18"/>
      <c r="CT477" s="18"/>
      <c r="CU477" s="18"/>
      <c r="CV477" s="18"/>
      <c r="CW477" s="18"/>
      <c r="CX477" s="18"/>
      <c r="CY477" s="18"/>
      <c r="CZ477" s="18"/>
      <c r="DA477" s="18"/>
      <c r="DB477" s="18"/>
      <c r="DC477" s="18"/>
      <c r="DD477" s="18"/>
      <c r="DE477" s="18"/>
      <c r="DF477" s="18"/>
    </row>
    <row r="478" spans="1:110">
      <c r="A478" s="168">
        <v>8</v>
      </c>
      <c r="B478" s="47" t="str">
        <f ca="1">Lineups!$H$138</f>
        <v>Baby Mario</v>
      </c>
      <c r="C478" s="49" t="s">
        <v>188</v>
      </c>
      <c r="D478" s="49" t="s">
        <v>187</v>
      </c>
      <c r="E478" s="49"/>
      <c r="F478" s="49"/>
      <c r="G478" s="49"/>
      <c r="H478" s="50"/>
      <c r="I478" s="50"/>
      <c r="J478" s="50"/>
      <c r="K478" s="50"/>
      <c r="L478" s="50"/>
      <c r="M478" s="67">
        <f ca="1">IF($B478="","",SUM(_xlfn.XLOOKUP(C478,Lists!$P$2:$P$19,Lists!$R$2:$R$19,0),_xlfn.XLOOKUP(E478,Lists!$P$2:$P$19,Lists!$R$2:$R$19,0),_xlfn.XLOOKUP(G478,Lists!$P$2:$P$19,Lists!$R$2:$R$19,0),_xlfn.XLOOKUP(I478,Lists!$P$2:$P$19,Lists!$R$2:$R$19,0),_xlfn.XLOOKUP(K478,Lists!$P$2:$P$19,Lists!$R$2:$R$19,0)))</f>
        <v>1</v>
      </c>
      <c r="N478" s="68">
        <f ca="1">IF($B478="","",SUM(_xlfn.XLOOKUP(D478,Lists!$AC$2:$AC$9,Lists!$AE$2:$AE$9,0),_xlfn.XLOOKUP(F478,Lists!$AC$2:$AC$9,Lists!$AE$2:$AE$9,0),_xlfn.XLOOKUP(H478,Lists!$AC$2:$AC$9,Lists!$AE$2:$AE$9,0),_xlfn.XLOOKUP(J478,Lists!$AC$2:$AC$9,Lists!$AE$2:$AE$9,0),_xlfn.XLOOKUP(L478,Lists!$AC$2:$AC$9,Lists!$AE$2:$AE$9,0)))</f>
        <v>1</v>
      </c>
      <c r="O478" s="68">
        <f ca="1">IF($B478="","",SUM(_xlfn.XLOOKUP(C478,Lists!$P$2:$P$19,Lists!$S$2:$S$19,0),_xlfn.XLOOKUP(E478,Lists!$P$2:$P$19,Lists!$S$2:$S$19,0),_xlfn.XLOOKUP(G478,Lists!$P$2:$P$19,Lists!$S$2:$S$19,0),_xlfn.XLOOKUP(I478,Lists!$P$2:$P$19,Lists!$S$2:$S$19,0),_xlfn.XLOOKUP(K478,Lists!$P$2:$P$19,Lists!$S$2:$S$19,0)))</f>
        <v>1</v>
      </c>
      <c r="P478" s="68">
        <f ca="1">IF($B478="","",SUM(_xlfn.XLOOKUP(C478,Lists!$P$2:$P$19,Lists!$T$2:$T$19,0),_xlfn.XLOOKUP(E478,Lists!$P$2:$P$19,Lists!$T$2:$T$19,0),_xlfn.XLOOKUP(G478,Lists!$P$2:$P$19,Lists!$T$2:$T$19,0),_xlfn.XLOOKUP(I478,Lists!$P$2:$P$19,Lists!$T$2:$T$19,0),_xlfn.XLOOKUP(K478,Lists!$P$2:$P$19,Lists!$T$2:$T$19,0)))</f>
        <v>0</v>
      </c>
      <c r="Q478" s="68">
        <f ca="1">IF($B478="","",SUM(_xlfn.XLOOKUP(C478,Lists!$P$2:$P$19,Lists!$U$2:$U$19,0),_xlfn.XLOOKUP(E478,Lists!$P$2:$P$19,Lists!$U$2:$U$19,0),_xlfn.XLOOKUP(G478,Lists!$P$2:$P$19,Lists!$U$2:$U$19,0),_xlfn.XLOOKUP(I478,Lists!$P$2:$P$19,Lists!$U$2:$U$19,0),_xlfn.XLOOKUP(K478,Lists!$P$2:$P$19,Lists!$U$2:$U$19,0)))</f>
        <v>0</v>
      </c>
      <c r="R478" s="68">
        <f ca="1">IF($B478="","",SUM(_xlfn.XLOOKUP(C478,Lists!$P$2:$P$19,Lists!$V$2:$V$19,0),_xlfn.XLOOKUP(E478,Lists!$P$2:$P$19,Lists!$V$2:$V$19,0),_xlfn.XLOOKUP(G478,Lists!$P$2:$P$19,Lists!$V$2:$V$19,0),_xlfn.XLOOKUP(I478,Lists!$P$2:$P$19,Lists!$V$2:$V$19,0),_xlfn.XLOOKUP(K478,Lists!$P$2:$P$19,Lists!$V$2:$V$19,0)))</f>
        <v>0</v>
      </c>
      <c r="S478" s="68">
        <f ca="1">IF($B478="","",SUM(_xlfn.XLOOKUP(D478,Lists!$AC$2:$AC$9,Lists!$AD$2:$AD$9,0),_xlfn.XLOOKUP(F478,Lists!$AC$2:$AC$9,Lists!$AD$2:$AD$9,0),_xlfn.XLOOKUP(H478,Lists!$AC$2:$AC$9,Lists!$AD$2:$AD$9,0),_xlfn.XLOOKUP(J478,Lists!$AC$2:$AC$9,Lists!$AD$2:$AD$9,0),_xlfn.XLOOKUP(L478,Lists!$AC$2:$AC$9,Lists!$AD$2:$AD$9,0)))</f>
        <v>0</v>
      </c>
      <c r="T478" s="68">
        <f ca="1">IF($B478="","",SUM(_xlfn.XLOOKUP(C478,Lists!$P$2:$P$19,Lists!$W$2:$W$19,0),_xlfn.XLOOKUP(E478,Lists!$P$2:$P$19,Lists!$W$2:$W$19,0),_xlfn.XLOOKUP(G478,Lists!$P$2:$P$19,Lists!$W$2:$W$19,0),_xlfn.XLOOKUP(I478,Lists!$P$2:$P$19,Lists!$W$2:$W$19,0),_xlfn.XLOOKUP(K478,Lists!$P$2:$P$19,Lists!$W$2:$W$19,0)))</f>
        <v>0</v>
      </c>
      <c r="U478" s="68">
        <f ca="1">IF($B478="","",SUM(_xlfn.XLOOKUP(C478,Lists!$P$2:$P$19,Lists!$X$2:$X$19,0),_xlfn.XLOOKUP(E478,Lists!$P$2:$P$19,Lists!$X$2:$X$19,0),_xlfn.XLOOKUP(G478,Lists!$P$2:$P$19,Lists!$X$2:$X$19,0),_xlfn.XLOOKUP(I478,Lists!$P$2:$P$19,Lists!$X$2:$X$19,0),_xlfn.XLOOKUP(K478,Lists!$P$2:$P$19,Lists!$X$2:$X$19,0)))</f>
        <v>0</v>
      </c>
      <c r="V478" s="68">
        <f ca="1">IF($B478="","",SUM(_xlfn.XLOOKUP(C478,Lists!$P$2:$P$19,Lists!$Y$2:$Y$19,0),_xlfn.XLOOKUP(E478,Lists!$P$2:$P$19,Lists!$Y$2:$Y$19,0),_xlfn.XLOOKUP(G478,Lists!$P$2:$P$19,Lists!$Y$2:$Y$19,0),_xlfn.XLOOKUP(I478,Lists!$P$2:$P$19,Lists!$Y$2:$Y$19,0),_xlfn.XLOOKUP(K478,Lists!$P$2:$P$19,Lists!$Y$2:$Y$19,0)))</f>
        <v>0</v>
      </c>
      <c r="W478" s="68">
        <f ca="1">IF($B478="","",SUM(_xlfn.XLOOKUP(C478,Lists!$P$2:$P$19,Lists!$Z$2:$Z$19,0),_xlfn.XLOOKUP(E478,Lists!$P$2:$P$19,Lists!$Z$2:$Z$19,0),_xlfn.XLOOKUP(G478,Lists!$P$2:$P$19,Lists!$Z$2:$Z$19,0),_xlfn.XLOOKUP(I478,Lists!$P$2:$P$19,Lists!$Z$2:$Z$19,0),_xlfn.XLOOKUP(K478,Lists!$P$2:$P$19,Lists!$Z$2:$Z$19,0)))</f>
        <v>0</v>
      </c>
      <c r="X478" s="69">
        <f ca="1">IF($B478="","",SUM(_xlfn.XLOOKUP(C478,Lists!$P$2:$P$19,Lists!$AA$2:$AA$19,0),_xlfn.XLOOKUP(E478,Lists!$P$2:$P$19,Lists!$AA$2:$AA$19,0),_xlfn.XLOOKUP(G478,Lists!$P$2:$P$19,Lists!$AA$2:$AA$19,0),_xlfn.XLOOKUP(I478,Lists!$P$2:$P$19,Lists!$AA$2:$AA$19,0),_xlfn.XLOOKUP(K478,Lists!$P$2:$P$19,Lists!$AA$2:$AA$19,0)))</f>
        <v>0</v>
      </c>
      <c r="Y478" s="49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8"/>
      <c r="CG478" s="18"/>
      <c r="CH478" s="18"/>
      <c r="CI478" s="18"/>
      <c r="CJ478" s="18"/>
      <c r="CK478" s="18"/>
      <c r="CL478" s="18"/>
      <c r="CM478" s="18"/>
      <c r="CN478" s="18"/>
      <c r="CO478" s="18"/>
      <c r="CP478" s="18"/>
      <c r="CQ478" s="18"/>
      <c r="CR478" s="18"/>
      <c r="CS478" s="18"/>
      <c r="CT478" s="18"/>
      <c r="CU478" s="18"/>
      <c r="CV478" s="18"/>
      <c r="CW478" s="18"/>
      <c r="CX478" s="18"/>
      <c r="CY478" s="18"/>
      <c r="CZ478" s="18"/>
      <c r="DA478" s="18"/>
      <c r="DB478" s="18"/>
      <c r="DC478" s="18"/>
      <c r="DD478" s="18"/>
      <c r="DE478" s="18"/>
      <c r="DF478" s="18"/>
    </row>
    <row r="479" spans="1:110">
      <c r="A479" s="168">
        <v>9</v>
      </c>
      <c r="B479" s="47" t="str">
        <f ca="1">Lineups!$H$139</f>
        <v>Baby Daisy</v>
      </c>
      <c r="C479" s="49" t="s">
        <v>188</v>
      </c>
      <c r="D479" s="49" t="s">
        <v>187</v>
      </c>
      <c r="E479" s="49"/>
      <c r="F479" s="49"/>
      <c r="G479" s="49"/>
      <c r="H479" s="50"/>
      <c r="I479" s="50"/>
      <c r="J479" s="50"/>
      <c r="K479" s="50"/>
      <c r="L479" s="50"/>
      <c r="M479" s="67">
        <f ca="1">IF($B479="","",SUM(_xlfn.XLOOKUP(C479,Lists!$P$2:$P$19,Lists!$R$2:$R$19,0),_xlfn.XLOOKUP(E479,Lists!$P$2:$P$19,Lists!$R$2:$R$19,0),_xlfn.XLOOKUP(G479,Lists!$P$2:$P$19,Lists!$R$2:$R$19,0),_xlfn.XLOOKUP(I479,Lists!$P$2:$P$19,Lists!$R$2:$R$19,0),_xlfn.XLOOKUP(K479,Lists!$P$2:$P$19,Lists!$R$2:$R$19,0)))</f>
        <v>1</v>
      </c>
      <c r="N479" s="68">
        <f ca="1">IF($B479="","",SUM(_xlfn.XLOOKUP(D479,Lists!$AC$2:$AC$9,Lists!$AE$2:$AE$9,0),_xlfn.XLOOKUP(F479,Lists!$AC$2:$AC$9,Lists!$AE$2:$AE$9,0),_xlfn.XLOOKUP(H479,Lists!$AC$2:$AC$9,Lists!$AE$2:$AE$9,0),_xlfn.XLOOKUP(J479,Lists!$AC$2:$AC$9,Lists!$AE$2:$AE$9,0),_xlfn.XLOOKUP(L479,Lists!$AC$2:$AC$9,Lists!$AE$2:$AE$9,0)))</f>
        <v>1</v>
      </c>
      <c r="O479" s="68">
        <f ca="1">IF($B479="","",SUM(_xlfn.XLOOKUP(C479,Lists!$P$2:$P$19,Lists!$S$2:$S$19,0),_xlfn.XLOOKUP(E479,Lists!$P$2:$P$19,Lists!$S$2:$S$19,0),_xlfn.XLOOKUP(G479,Lists!$P$2:$P$19,Lists!$S$2:$S$19,0),_xlfn.XLOOKUP(I479,Lists!$P$2:$P$19,Lists!$S$2:$S$19,0),_xlfn.XLOOKUP(K479,Lists!$P$2:$P$19,Lists!$S$2:$S$19,0)))</f>
        <v>1</v>
      </c>
      <c r="P479" s="68">
        <f ca="1">IF($B479="","",SUM(_xlfn.XLOOKUP(C479,Lists!$P$2:$P$19,Lists!$T$2:$T$19,0),_xlfn.XLOOKUP(E479,Lists!$P$2:$P$19,Lists!$T$2:$T$19,0),_xlfn.XLOOKUP(G479,Lists!$P$2:$P$19,Lists!$T$2:$T$19,0),_xlfn.XLOOKUP(I479,Lists!$P$2:$P$19,Lists!$T$2:$T$19,0),_xlfn.XLOOKUP(K479,Lists!$P$2:$P$19,Lists!$T$2:$T$19,0)))</f>
        <v>0</v>
      </c>
      <c r="Q479" s="68">
        <f ca="1">IF($B479="","",SUM(_xlfn.XLOOKUP(C479,Lists!$P$2:$P$19,Lists!$U$2:$U$19,0),_xlfn.XLOOKUP(E479,Lists!$P$2:$P$19,Lists!$U$2:$U$19,0),_xlfn.XLOOKUP(G479,Lists!$P$2:$P$19,Lists!$U$2:$U$19,0),_xlfn.XLOOKUP(I479,Lists!$P$2:$P$19,Lists!$U$2:$U$19,0),_xlfn.XLOOKUP(K479,Lists!$P$2:$P$19,Lists!$U$2:$U$19,0)))</f>
        <v>0</v>
      </c>
      <c r="R479" s="68">
        <f ca="1">IF($B479="","",SUM(_xlfn.XLOOKUP(C479,Lists!$P$2:$P$19,Lists!$V$2:$V$19,0),_xlfn.XLOOKUP(E479,Lists!$P$2:$P$19,Lists!$V$2:$V$19,0),_xlfn.XLOOKUP(G479,Lists!$P$2:$P$19,Lists!$V$2:$V$19,0),_xlfn.XLOOKUP(I479,Lists!$P$2:$P$19,Lists!$V$2:$V$19,0),_xlfn.XLOOKUP(K479,Lists!$P$2:$P$19,Lists!$V$2:$V$19,0)))</f>
        <v>0</v>
      </c>
      <c r="S479" s="68">
        <f ca="1">IF($B479="","",SUM(_xlfn.XLOOKUP(D479,Lists!$AC$2:$AC$9,Lists!$AD$2:$AD$9,0),_xlfn.XLOOKUP(F479,Lists!$AC$2:$AC$9,Lists!$AD$2:$AD$9,0),_xlfn.XLOOKUP(H479,Lists!$AC$2:$AC$9,Lists!$AD$2:$AD$9,0),_xlfn.XLOOKUP(J479,Lists!$AC$2:$AC$9,Lists!$AD$2:$AD$9,0),_xlfn.XLOOKUP(L479,Lists!$AC$2:$AC$9,Lists!$AD$2:$AD$9,0)))</f>
        <v>0</v>
      </c>
      <c r="T479" s="68">
        <f ca="1">IF($B479="","",SUM(_xlfn.XLOOKUP(C479,Lists!$P$2:$P$19,Lists!$W$2:$W$19,0),_xlfn.XLOOKUP(E479,Lists!$P$2:$P$19,Lists!$W$2:$W$19,0),_xlfn.XLOOKUP(G479,Lists!$P$2:$P$19,Lists!$W$2:$W$19,0),_xlfn.XLOOKUP(I479,Lists!$P$2:$P$19,Lists!$W$2:$W$19,0),_xlfn.XLOOKUP(K479,Lists!$P$2:$P$19,Lists!$W$2:$W$19,0)))</f>
        <v>0</v>
      </c>
      <c r="U479" s="68">
        <f ca="1">IF($B479="","",SUM(_xlfn.XLOOKUP(C479,Lists!$P$2:$P$19,Lists!$X$2:$X$19,0),_xlfn.XLOOKUP(E479,Lists!$P$2:$P$19,Lists!$X$2:$X$19,0),_xlfn.XLOOKUP(G479,Lists!$P$2:$P$19,Lists!$X$2:$X$19,0),_xlfn.XLOOKUP(I479,Lists!$P$2:$P$19,Lists!$X$2:$X$19,0),_xlfn.XLOOKUP(K479,Lists!$P$2:$P$19,Lists!$X$2:$X$19,0)))</f>
        <v>0</v>
      </c>
      <c r="V479" s="68">
        <f ca="1">IF($B479="","",SUM(_xlfn.XLOOKUP(C479,Lists!$P$2:$P$19,Lists!$Y$2:$Y$19,0),_xlfn.XLOOKUP(E479,Lists!$P$2:$P$19,Lists!$Y$2:$Y$19,0),_xlfn.XLOOKUP(G479,Lists!$P$2:$P$19,Lists!$Y$2:$Y$19,0),_xlfn.XLOOKUP(I479,Lists!$P$2:$P$19,Lists!$Y$2:$Y$19,0),_xlfn.XLOOKUP(K479,Lists!$P$2:$P$19,Lists!$Y$2:$Y$19,0)))</f>
        <v>0</v>
      </c>
      <c r="W479" s="68">
        <f ca="1">IF($B479="","",SUM(_xlfn.XLOOKUP(C479,Lists!$P$2:$P$19,Lists!$Z$2:$Z$19,0),_xlfn.XLOOKUP(E479,Lists!$P$2:$P$19,Lists!$Z$2:$Z$19,0),_xlfn.XLOOKUP(G479,Lists!$P$2:$P$19,Lists!$Z$2:$Z$19,0),_xlfn.XLOOKUP(I479,Lists!$P$2:$P$19,Lists!$Z$2:$Z$19,0),_xlfn.XLOOKUP(K479,Lists!$P$2:$P$19,Lists!$Z$2:$Z$19,0)))</f>
        <v>0</v>
      </c>
      <c r="X479" s="69">
        <f ca="1">IF($B479="","",SUM(_xlfn.XLOOKUP(C479,Lists!$P$2:$P$19,Lists!$AA$2:$AA$19,0),_xlfn.XLOOKUP(E479,Lists!$P$2:$P$19,Lists!$AA$2:$AA$19,0),_xlfn.XLOOKUP(G479,Lists!$P$2:$P$19,Lists!$AA$2:$AA$19,0),_xlfn.XLOOKUP(I479,Lists!$P$2:$P$19,Lists!$AA$2:$AA$19,0),_xlfn.XLOOKUP(K479,Lists!$P$2:$P$19,Lists!$AA$2:$AA$19,0)))</f>
        <v>0</v>
      </c>
      <c r="Y479" s="49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8"/>
      <c r="CG479" s="18"/>
      <c r="CH479" s="18"/>
      <c r="CI479" s="18"/>
      <c r="CJ479" s="18"/>
      <c r="CK479" s="18"/>
      <c r="CL479" s="18"/>
      <c r="CM479" s="18"/>
      <c r="CN479" s="18"/>
      <c r="CO479" s="18"/>
      <c r="CP479" s="18"/>
      <c r="CQ479" s="18"/>
      <c r="CR479" s="18"/>
      <c r="CS479" s="18"/>
      <c r="CT479" s="18"/>
      <c r="CU479" s="18"/>
      <c r="CV479" s="18"/>
      <c r="CW479" s="18"/>
      <c r="CX479" s="18"/>
      <c r="CY479" s="18"/>
      <c r="CZ479" s="18"/>
      <c r="DA479" s="18"/>
      <c r="DB479" s="18"/>
      <c r="DC479" s="18"/>
      <c r="DD479" s="18"/>
      <c r="DE479" s="18"/>
      <c r="DF479" s="18"/>
    </row>
    <row r="480" spans="1:110">
      <c r="A480" s="173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  <c r="CD480" s="18"/>
      <c r="CE480" s="18"/>
      <c r="CF480" s="18"/>
      <c r="CG480" s="18"/>
      <c r="CH480" s="18"/>
      <c r="CI480" s="18"/>
      <c r="CJ480" s="18"/>
      <c r="CK480" s="18"/>
      <c r="CL480" s="18"/>
      <c r="CM480" s="18"/>
      <c r="CN480" s="18"/>
      <c r="CO480" s="18"/>
      <c r="CP480" s="18"/>
      <c r="CQ480" s="18"/>
      <c r="CR480" s="18"/>
      <c r="CS480" s="18"/>
      <c r="CT480" s="18"/>
      <c r="CU480" s="18"/>
      <c r="CV480" s="18"/>
      <c r="CW480" s="18"/>
      <c r="CX480" s="18"/>
      <c r="CY480" s="18"/>
      <c r="CZ480" s="18"/>
      <c r="DA480" s="18"/>
      <c r="DB480" s="18"/>
      <c r="DC480" s="18"/>
      <c r="DD480" s="18"/>
      <c r="DE480" s="18"/>
      <c r="DF480" s="18"/>
    </row>
    <row r="481" spans="1:110">
      <c r="A481" s="222" t="str">
        <f ca="1">IF($R$443="","Team B Pitching",$R$443&amp;" Pitching")</f>
        <v>Jason Pitching</v>
      </c>
      <c r="B481" s="221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06"/>
      <c r="O481" s="186"/>
      <c r="P481" s="24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  <c r="CF481" s="18"/>
      <c r="CG481" s="18"/>
      <c r="CH481" s="18"/>
      <c r="CI481" s="18"/>
      <c r="CJ481" s="18"/>
      <c r="CK481" s="18"/>
      <c r="CL481" s="18"/>
      <c r="CM481" s="18"/>
      <c r="CN481" s="18"/>
      <c r="CO481" s="18"/>
      <c r="CP481" s="18"/>
      <c r="CQ481" s="18"/>
      <c r="CR481" s="18"/>
      <c r="CS481" s="18"/>
      <c r="CT481" s="18"/>
      <c r="CU481" s="18"/>
      <c r="CV481" s="18"/>
      <c r="CW481" s="18"/>
      <c r="CX481" s="18"/>
      <c r="CY481" s="18"/>
      <c r="CZ481" s="18"/>
      <c r="DA481" s="18"/>
      <c r="DB481" s="18"/>
      <c r="DC481" s="18"/>
      <c r="DD481" s="18"/>
      <c r="DE481" s="18"/>
      <c r="DF481" s="18"/>
    </row>
    <row r="482" spans="1:110">
      <c r="A482" s="167" t="s">
        <v>103</v>
      </c>
      <c r="B482" s="43" t="s">
        <v>194</v>
      </c>
      <c r="C482" s="43" t="s">
        <v>195</v>
      </c>
      <c r="D482" s="43" t="s">
        <v>162</v>
      </c>
      <c r="E482" s="43" t="s">
        <v>161</v>
      </c>
      <c r="F482" s="43" t="s">
        <v>196</v>
      </c>
      <c r="G482" s="43" t="s">
        <v>180</v>
      </c>
      <c r="H482" s="43" t="s">
        <v>181</v>
      </c>
      <c r="I482" s="44" t="s">
        <v>197</v>
      </c>
      <c r="J482" s="44" t="s">
        <v>198</v>
      </c>
      <c r="K482" s="44" t="s">
        <v>199</v>
      </c>
      <c r="L482" s="44" t="s">
        <v>200</v>
      </c>
      <c r="M482" s="44" t="s">
        <v>201</v>
      </c>
      <c r="N482" s="45" t="s">
        <v>202</v>
      </c>
      <c r="O482" s="45" t="s">
        <v>203</v>
      </c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  <c r="CF482" s="18"/>
      <c r="CG482" s="18"/>
      <c r="CH482" s="18"/>
      <c r="CI482" s="18"/>
      <c r="CJ482" s="18"/>
      <c r="CK482" s="18"/>
      <c r="CL482" s="18"/>
      <c r="CM482" s="18"/>
      <c r="CN482" s="18"/>
      <c r="CO482" s="18"/>
      <c r="CP482" s="18"/>
      <c r="CQ482" s="18"/>
      <c r="CR482" s="18"/>
      <c r="CS482" s="18"/>
      <c r="CT482" s="18"/>
      <c r="CU482" s="18"/>
      <c r="CV482" s="18"/>
      <c r="CW482" s="18"/>
      <c r="CX482" s="18"/>
      <c r="CY482" s="18"/>
      <c r="CZ482" s="18"/>
      <c r="DA482" s="18"/>
      <c r="DB482" s="18"/>
      <c r="DC482" s="18"/>
      <c r="DD482" s="18"/>
      <c r="DE482" s="18"/>
      <c r="DF482" s="18"/>
    </row>
    <row r="483" spans="1:110">
      <c r="A483" s="168">
        <v>1</v>
      </c>
      <c r="B483" s="71" t="s">
        <v>47</v>
      </c>
      <c r="C483" s="70" cm="1">
        <f t="array" aca="1" ref="C483" ca="1">IF(OR(B483="",O483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2</v>
      </c>
      <c r="D483" s="67" cm="1">
        <f t="array" aca="1" ref="D483" ca="1">IF(OR(B483="",O483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3</v>
      </c>
      <c r="E483" s="67" cm="1">
        <f t="array" aca="1" ref="E483" ca="1">IF(OR(B483="",O483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0</v>
      </c>
      <c r="F483" s="67" cm="1">
        <f t="array" aca="1" ref="F483" ca="1">IF(OR(B483="",O483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0</v>
      </c>
      <c r="G483" s="67" cm="1">
        <f t="array" aca="1" ref="G483" ca="1">IF(OR(B483="",O483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483" s="67" cm="1">
        <f t="array" aca="1" ref="H483" ca="1">IF(OR(B483="",O483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5</v>
      </c>
      <c r="I483" s="68" cm="1">
        <f t="array" aca="1" ref="I483" ca="1">IF(OR(B483="",O483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483" s="68" cm="1">
        <f t="array" aca="1" ref="J483" ca="1">IF(OR(B483="",O483=""),"",--(SUM(_xlfn.XLOOKUP(_xlfn._xlws.FILTER(_xlfn.TOCOL(_xlfn.CHOOSECOLS(C471:L479,2,4,6,8,10),0,TRUE),_xlfn.TOCOL(_xlfn.CHOOSECOLS(C471:L479,1,3,5,7,9),0,TRUE)&lt;&gt;""),Lists!$AC$2:$AC$9,Lists!$AF$2:$AF$9,0))&gt;SUM(_xlfn.XLOOKUP(_xlfn._xlws.FILTER(_xlfn.TOCOL(_xlfn.CHOOSECOLS(C450:L458,2,4,6,8,10),0,TRUE),_xlfn.TOCOL(_xlfn.CHOOSECOLS(C450:L458,1,3,5,7,9),0,TRUE)&lt;&gt;""),Lists!$AC$2:$AC$9,Lists!$AF$2:$AF$9,0)))*--(ROW()-ROW(C482)=_xlfn.XLOOKUP(MAX(IF(O483:O488&gt;0,INT(C483:C488)*3+MOD(ROUND(C483:C488*10,0),10),-1)),IF(O483:O488&gt;0,INT(C483:C488)*3+MOD(ROUND(C483:C488*10,0),10),-1),_xlfn.SEQUENCE(ROWS(O483:O488)),,0)))</f>
        <v>1</v>
      </c>
      <c r="K483" s="68" cm="1">
        <f t="array" aca="1" ref="K483" ca="1">IF(OR(B483="",O483=""),"",--(SUM(_xlfn.XLOOKUP(_xlfn._xlws.FILTER(_xlfn.TOCOL(_xlfn.CHOOSECOLS(C471:L479,2,4,6,8,10),0,TRUE),_xlfn.TOCOL(_xlfn.CHOOSECOLS(C471:L479,1,3,5,7,9),0,TRUE)&lt;&gt;""),Lists!$AC$2:$AC$9,Lists!$AF$2:$AF$9,0))&lt;SUM(_xlfn.XLOOKUP(_xlfn._xlws.FILTER(_xlfn.TOCOL(_xlfn.CHOOSECOLS(C450:L458,2,4,6,8,10),0,TRUE),_xlfn.TOCOL(_xlfn.CHOOSECOLS(C450:L458,1,3,5,7,9),0,TRUE)&lt;&gt;""),Lists!$AC$2:$AC$9,Lists!$AF$2:$AF$9,0)))*--(ROW()-ROW(C482)=_xlfn.XLOOKUP(MAX(IF(O483:O488&gt;0,E483:E488,-1)),IF(O483:O488&gt;0,E483:E488,-1),_xlfn.SEQUENCE(ROWS(O483:O488)),,0)))</f>
        <v>0</v>
      </c>
      <c r="L483" s="68" cm="1">
        <f t="array" aca="1" ref="L483" ca="1">IF(OR(B483="",O483=""),"",--(SUM(_xlfn.XLOOKUP(_xlfn._xlws.FILTER(_xlfn.TOCOL(_xlfn.CHOOSECOLS(C471:L479,2,4,6,8,10),0,TRUE),_xlfn.TOCOL(_xlfn.CHOOSECOLS(C471:L479,1,3,5,7,9),0,TRUE)&lt;&gt;""),Lists!$AC$2:$AC$9,Lists!$AF$2:$AF$9,0))&gt;SUM(_xlfn.XLOOKUP(_xlfn._xlws.FILTER(_xlfn.TOCOL(_xlfn.CHOOSECOLS(C450:L458,2,4,6,8,10),0,TRUE),_xlfn.TOCOL(_xlfn.CHOOSECOLS(C450:L458,1,3,5,7,9),0,TRUE)&lt;&gt;""),Lists!$AC$2:$AC$9,Lists!$AF$2:$AF$9,0)))*--(COUNTIF(O483:O488,"&gt;0")&gt;1)*--(ROW()-ROW(C482)=_xlfn.XLOOKUP(TRUE,O483:O488&gt;0,_xlfn.SEQUENCE(ROWS(O483:O488)),,0,-1))*--(_xlfn.XLOOKUP(TRUE,O483:O488&gt;0,_xlfn.SEQUENCE(ROWS(O483:O488)),,0,-1)&lt;&gt;_xlfn.XLOOKUP(MAX(IF(O483:O488&gt;0,INT(C483:C488)*3+MOD(ROUND(C483:C488*10,0),10),-1)),IF(O483:O488&gt;0,INT(C483:C488)*3+MOD(ROUND(C483:C488*10,0),10),-1),_xlfn.SEQUENCE(ROWS(O483:O488)),,0))*--(SUM(_xlfn.XLOOKUP(_xlfn._xlws.FILTER(_xlfn.TOCOL(_xlfn.CHOOSECOLS(C471:L479,2,4,6,8,10),0,TRUE),_xlfn.TOCOL(_xlfn.CHOOSECOLS(C471:L479,1,3,5,7,9),0,TRUE)&lt;&gt;""),Lists!$AC$2:$AC$9,Lists!$AF$2:$AF$9,0))-SUM(_xlfn.XLOOKUP(_xlfn._xlws.FILTER(_xlfn.TOCOL(_xlfn.CHOOSECOLS(C450:L458,2,4,6,8,10),0,TRUE),_xlfn.TOCOL(_xlfn.CHOOSECOLS(C450:L458,1,3,5,7,9),0,TRUE)&lt;&gt;""),Lists!$AC$2:$AC$9,Lists!$AF$2:$AF$9,0))&lt;=3)*--((INT(C483)*3+MOD(ROUND(C483*10,0),10))&gt;=3))</f>
        <v>0</v>
      </c>
      <c r="M483" s="68" cm="1">
        <f t="array" aca="1" ref="M483" ca="1">IF(OR(B483="",O483=""),"",--(COUNTIF(O483:O488,"&gt;0")=1)*--(SUM(_xlfn.XLOOKUP(_xlfn._xlws.FILTER(_xlfn.TOCOL(_xlfn.CHOOSECOLS(C450:L458,2,4,6,8,10),0,TRUE),_xlfn.TOCOL(_xlfn.CHOOSECOLS(C450:L458,1,3,5,7,9),0,TRUE)&lt;&gt;""),Lists!$AC$2:$AC$9,Lists!$AF$2:$AF$9,0))=0))</f>
        <v>0</v>
      </c>
      <c r="N483" s="69">
        <f ca="1">IF(OR(B483="",O483=""),"",--(COUNTIF(O483:O488,"&gt;0")=1))</f>
        <v>0</v>
      </c>
      <c r="O483" s="51">
        <v>10</v>
      </c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8"/>
      <c r="CG483" s="18"/>
      <c r="CH483" s="18"/>
      <c r="CI483" s="18"/>
      <c r="CJ483" s="18"/>
      <c r="CK483" s="18"/>
      <c r="CL483" s="18"/>
      <c r="CM483" s="18"/>
      <c r="CN483" s="18"/>
      <c r="CO483" s="18"/>
      <c r="CP483" s="18"/>
      <c r="CQ483" s="18"/>
      <c r="CR483" s="18"/>
      <c r="CS483" s="18"/>
      <c r="CT483" s="18"/>
      <c r="CU483" s="18"/>
      <c r="CV483" s="18"/>
      <c r="CW483" s="18"/>
      <c r="CX483" s="18"/>
      <c r="CY483" s="18"/>
      <c r="CZ483" s="18"/>
      <c r="DA483" s="18"/>
      <c r="DB483" s="18"/>
      <c r="DC483" s="18"/>
      <c r="DD483" s="18"/>
      <c r="DE483" s="18"/>
      <c r="DF483" s="18"/>
    </row>
    <row r="484" spans="1:110">
      <c r="A484" s="168">
        <v>2</v>
      </c>
      <c r="B484" s="71" t="s">
        <v>60</v>
      </c>
      <c r="C484" s="70" cm="1">
        <f t="array" aca="1" ref="C484" ca="1">IF(OR(B484="",O484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>1</v>
      </c>
      <c r="D484" s="67" cm="1">
        <f t="array" aca="1" ref="D484" ca="1">IF(OR(B484="",O484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>1</v>
      </c>
      <c r="E484" s="67" cm="1">
        <f t="array" aca="1" ref="E484" ca="1">IF(OR(B484="",O484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484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>0</v>
      </c>
      <c r="F484" s="67" cm="1">
        <f t="array" aca="1" ref="F484" ca="1">IF(OR(B484="",O484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484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>0</v>
      </c>
      <c r="G484" s="67" cm="1">
        <f t="array" aca="1" ref="G484" ca="1">IF(OR(B484="",O484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>0</v>
      </c>
      <c r="H484" s="67" cm="1">
        <f t="array" aca="1" ref="H484" ca="1">IF(OR(B484="",O484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>0</v>
      </c>
      <c r="I484" s="68" cm="1">
        <f t="array" aca="1" ref="I484" ca="1">IF(OR(B484="",O484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>0</v>
      </c>
      <c r="J484" s="68" cm="1">
        <f t="array" aca="1" ref="J484" ca="1">IF(OR(B484="",O484=""),"",--(SUM(_xlfn.XLOOKUP(_xlfn._xlws.FILTER(_xlfn.TOCOL(_xlfn.CHOOSECOLS(C471:L479,2,4,6,8,10),0,TRUE),_xlfn.TOCOL(_xlfn.CHOOSECOLS(C471:L479,1,3,5,7,9),0,TRUE)&lt;&gt;""),Lists!$AC$2:$AC$9,Lists!$AF$2:$AF$9,0))&gt;SUM(_xlfn.XLOOKUP(_xlfn._xlws.FILTER(_xlfn.TOCOL(_xlfn.CHOOSECOLS(C450:L458,2,4,6,8,10),0,TRUE),_xlfn.TOCOL(_xlfn.CHOOSECOLS(C450:L458,1,3,5,7,9),0,TRUE)&lt;&gt;""),Lists!$AC$2:$AC$9,Lists!$AF$2:$AF$9,0)))*--(ROW()-ROW(C482)=_xlfn.XLOOKUP(MAX(IF(O483:O488&gt;0,INT(C483:C488)*3+MOD(ROUND(C483:C488*10,0),10),-1)),IF(O483:O488&gt;0,INT(C483:C488)*3+MOD(ROUND(C483:C488*10,0),10),-1),_xlfn.SEQUENCE(ROWS(O483:O488)),,0)))</f>
        <v>0</v>
      </c>
      <c r="K484" s="68" cm="1">
        <f t="array" aca="1" ref="K484" ca="1">IF(OR(B484="",O484=""),"",--(SUM(_xlfn.XLOOKUP(_xlfn._xlws.FILTER(_xlfn.TOCOL(_xlfn.CHOOSECOLS(C471:L479,2,4,6,8,10),0,TRUE),_xlfn.TOCOL(_xlfn.CHOOSECOLS(C471:L479,1,3,5,7,9),0,TRUE)&lt;&gt;""),Lists!$AC$2:$AC$9,Lists!$AF$2:$AF$9,0))&lt;SUM(_xlfn.XLOOKUP(_xlfn._xlws.FILTER(_xlfn.TOCOL(_xlfn.CHOOSECOLS(C450:L458,2,4,6,8,10),0,TRUE),_xlfn.TOCOL(_xlfn.CHOOSECOLS(C450:L458,1,3,5,7,9),0,TRUE)&lt;&gt;""),Lists!$AC$2:$AC$9,Lists!$AF$2:$AF$9,0)))*--(ROW()-ROW(C482)=_xlfn.XLOOKUP(MAX(IF(O483:O488&gt;0,E483:E488,-1)),IF(O483:O488&gt;0,E483:E488,-1),_xlfn.SEQUENCE(ROWS(O483:O488)),,0)))</f>
        <v>0</v>
      </c>
      <c r="L484" s="68" cm="1">
        <f t="array" aca="1" ref="L484" ca="1">IF(OR(B484="",O484=""),"",--(SUM(_xlfn.XLOOKUP(_xlfn._xlws.FILTER(_xlfn.TOCOL(_xlfn.CHOOSECOLS(C471:L479,2,4,6,8,10),0,TRUE),_xlfn.TOCOL(_xlfn.CHOOSECOLS(C471:L479,1,3,5,7,9),0,TRUE)&lt;&gt;""),Lists!$AC$2:$AC$9,Lists!$AF$2:$AF$9,0))&gt;SUM(_xlfn.XLOOKUP(_xlfn._xlws.FILTER(_xlfn.TOCOL(_xlfn.CHOOSECOLS(C450:L458,2,4,6,8,10),0,TRUE),_xlfn.TOCOL(_xlfn.CHOOSECOLS(C450:L458,1,3,5,7,9),0,TRUE)&lt;&gt;""),Lists!$AC$2:$AC$9,Lists!$AF$2:$AF$9,0)))*--(COUNTIF(O483:O488,"&gt;0")&gt;1)*--(ROW()-ROW(C482)=_xlfn.XLOOKUP(TRUE,O483:O488&gt;0,_xlfn.SEQUENCE(ROWS(O483:O488)),,0,-1))*--(_xlfn.XLOOKUP(TRUE,O483:O488&gt;0,_xlfn.SEQUENCE(ROWS(O483:O488)),,0,-1)&lt;&gt;_xlfn.XLOOKUP(MAX(IF(O483:O488&gt;0,INT(C483:C488)*3+MOD(ROUND(C483:C488*10,0),10),-1)),IF(O483:O488&gt;0,INT(C483:C488)*3+MOD(ROUND(C483:C488*10,0),10),-1),_xlfn.SEQUENCE(ROWS(O483:O488)),,0))*--(SUM(_xlfn.XLOOKUP(_xlfn._xlws.FILTER(_xlfn.TOCOL(_xlfn.CHOOSECOLS(C471:L479,2,4,6,8,10),0,TRUE),_xlfn.TOCOL(_xlfn.CHOOSECOLS(C471:L479,1,3,5,7,9),0,TRUE)&lt;&gt;""),Lists!$AC$2:$AC$9,Lists!$AF$2:$AF$9,0))-SUM(_xlfn.XLOOKUP(_xlfn._xlws.FILTER(_xlfn.TOCOL(_xlfn.CHOOSECOLS(C450:L458,2,4,6,8,10),0,TRUE),_xlfn.TOCOL(_xlfn.CHOOSECOLS(C450:L458,1,3,5,7,9),0,TRUE)&lt;&gt;""),Lists!$AC$2:$AC$9,Lists!$AF$2:$AF$9,0))&lt;=3)*--((INT(C484)*3+MOD(ROUND(C484*10,0),10))&gt;=3))</f>
        <v>0</v>
      </c>
      <c r="M484" s="68" cm="1">
        <f t="array" aca="1" ref="M484" ca="1">IF(OR(B484="",O484=""),"",--(COUNTIF(O483:O488,"&gt;0")=1)*--(SUM(_xlfn.XLOOKUP(_xlfn._xlws.FILTER(_xlfn.TOCOL(_xlfn.CHOOSECOLS(C450:L458,2,4,6,8,10),0,TRUE),_xlfn.TOCOL(_xlfn.CHOOSECOLS(C450:L458,1,3,5,7,9),0,TRUE)&lt;&gt;""),Lists!$AC$2:$AC$9,Lists!$AF$2:$AF$9,0))=0))</f>
        <v>0</v>
      </c>
      <c r="N484" s="69">
        <f ca="1">IF(OR(B484="",O484=""),"",--(COUNTIF(O483:O488,"&gt;0")=1))</f>
        <v>0</v>
      </c>
      <c r="O484" s="51">
        <v>3</v>
      </c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  <c r="CL484" s="18"/>
      <c r="CM484" s="18"/>
      <c r="CN484" s="18"/>
      <c r="CO484" s="18"/>
      <c r="CP484" s="18"/>
      <c r="CQ484" s="18"/>
      <c r="CR484" s="18"/>
      <c r="CS484" s="18"/>
      <c r="CT484" s="18"/>
      <c r="CU484" s="18"/>
      <c r="CV484" s="18"/>
      <c r="CW484" s="18"/>
      <c r="CX484" s="18"/>
      <c r="CY484" s="18"/>
      <c r="CZ484" s="18"/>
      <c r="DA484" s="18"/>
      <c r="DB484" s="18"/>
      <c r="DC484" s="18"/>
      <c r="DD484" s="18"/>
      <c r="DE484" s="18"/>
      <c r="DF484" s="18"/>
    </row>
    <row r="485" spans="1:110">
      <c r="A485" s="168">
        <v>3</v>
      </c>
      <c r="B485" s="71"/>
      <c r="C485" s="70" t="str" cm="1">
        <f t="array" aca="1" ref="C485" ca="1">IF(OR(B485="",O485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85" s="67" t="str" cm="1">
        <f t="array" aca="1" ref="D485" ca="1">IF(OR(B485="",O485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85" s="67" t="str" cm="1">
        <f t="array" aca="1" ref="E485" ca="1">IF(OR(B485="",O485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485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85" s="67" t="str" cm="1">
        <f t="array" aca="1" ref="F485" ca="1">IF(OR(B485="",O485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485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85" s="67" t="str" cm="1">
        <f t="array" aca="1" ref="G485" ca="1">IF(OR(B485="",O485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85" s="67" t="str" cm="1">
        <f t="array" aca="1" ref="H485" ca="1">IF(OR(B485="",O485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85" s="68" t="str" cm="1">
        <f t="array" aca="1" ref="I485" ca="1">IF(OR(B485="",O485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85" s="68" t="str" cm="1">
        <f t="array" aca="1" ref="J485" ca="1">IF(OR(B485="",O485=""),"",--(SUM(_xlfn.XLOOKUP(_xlfn._xlws.FILTER(_xlfn.TOCOL(_xlfn.CHOOSECOLS(C471:L479,2,4,6,8,10),0,TRUE),_xlfn.TOCOL(_xlfn.CHOOSECOLS(C471:L479,1,3,5,7,9),0,TRUE)&lt;&gt;""),Lists!$AC$2:$AC$9,Lists!$AF$2:$AF$9,0))&gt;SUM(_xlfn.XLOOKUP(_xlfn._xlws.FILTER(_xlfn.TOCOL(_xlfn.CHOOSECOLS(C450:L458,2,4,6,8,10),0,TRUE),_xlfn.TOCOL(_xlfn.CHOOSECOLS(C450:L458,1,3,5,7,9),0,TRUE)&lt;&gt;""),Lists!$AC$2:$AC$9,Lists!$AF$2:$AF$9,0)))*--(ROW()-ROW(C482)=_xlfn.XLOOKUP(MAX(IF(O483:O488&gt;0,INT(C483:C488)*3+MOD(ROUND(C483:C488*10,0),10),-1)),IF(O483:O488&gt;0,INT(C483:C488)*3+MOD(ROUND(C483:C488*10,0),10),-1),_xlfn.SEQUENCE(ROWS(O483:O488)),,0)))</f>
        <v/>
      </c>
      <c r="K485" s="68" t="str" cm="1">
        <f t="array" aca="1" ref="K485" ca="1">IF(OR(B485="",O485=""),"",--(SUM(_xlfn.XLOOKUP(_xlfn._xlws.FILTER(_xlfn.TOCOL(_xlfn.CHOOSECOLS(C471:L479,2,4,6,8,10),0,TRUE),_xlfn.TOCOL(_xlfn.CHOOSECOLS(C471:L479,1,3,5,7,9),0,TRUE)&lt;&gt;""),Lists!$AC$2:$AC$9,Lists!$AF$2:$AF$9,0))&lt;SUM(_xlfn.XLOOKUP(_xlfn._xlws.FILTER(_xlfn.TOCOL(_xlfn.CHOOSECOLS(C450:L458,2,4,6,8,10),0,TRUE),_xlfn.TOCOL(_xlfn.CHOOSECOLS(C450:L458,1,3,5,7,9),0,TRUE)&lt;&gt;""),Lists!$AC$2:$AC$9,Lists!$AF$2:$AF$9,0)))*--(ROW()-ROW(C482)=_xlfn.XLOOKUP(MAX(IF(O483:O488&gt;0,E483:E488,-1)),IF(O483:O488&gt;0,E483:E488,-1),_xlfn.SEQUENCE(ROWS(O483:O488)),,0)))</f>
        <v/>
      </c>
      <c r="L485" s="68" t="str" cm="1">
        <f t="array" aca="1" ref="L485" ca="1">IF(OR(B485="",O485=""),"",--(SUM(_xlfn.XLOOKUP(_xlfn._xlws.FILTER(_xlfn.TOCOL(_xlfn.CHOOSECOLS(C471:L479,2,4,6,8,10),0,TRUE),_xlfn.TOCOL(_xlfn.CHOOSECOLS(C471:L479,1,3,5,7,9),0,TRUE)&lt;&gt;""),Lists!$AC$2:$AC$9,Lists!$AF$2:$AF$9,0))&gt;SUM(_xlfn.XLOOKUP(_xlfn._xlws.FILTER(_xlfn.TOCOL(_xlfn.CHOOSECOLS(C450:L458,2,4,6,8,10),0,TRUE),_xlfn.TOCOL(_xlfn.CHOOSECOLS(C450:L458,1,3,5,7,9),0,TRUE)&lt;&gt;""),Lists!$AC$2:$AC$9,Lists!$AF$2:$AF$9,0)))*--(COUNTIF(O483:O488,"&gt;0")&gt;1)*--(ROW()-ROW(C482)=_xlfn.XLOOKUP(TRUE,O483:O488&gt;0,_xlfn.SEQUENCE(ROWS(O483:O488)),,0,-1))*--(_xlfn.XLOOKUP(TRUE,O483:O488&gt;0,_xlfn.SEQUENCE(ROWS(O483:O488)),,0,-1)&lt;&gt;_xlfn.XLOOKUP(MAX(IF(O483:O488&gt;0,INT(C483:C488)*3+MOD(ROUND(C483:C488*10,0),10),-1)),IF(O483:O488&gt;0,INT(C483:C488)*3+MOD(ROUND(C483:C488*10,0),10),-1),_xlfn.SEQUENCE(ROWS(O483:O488)),,0))*--(SUM(_xlfn.XLOOKUP(_xlfn._xlws.FILTER(_xlfn.TOCOL(_xlfn.CHOOSECOLS(C471:L479,2,4,6,8,10),0,TRUE),_xlfn.TOCOL(_xlfn.CHOOSECOLS(C471:L479,1,3,5,7,9),0,TRUE)&lt;&gt;""),Lists!$AC$2:$AC$9,Lists!$AF$2:$AF$9,0))-SUM(_xlfn.XLOOKUP(_xlfn._xlws.FILTER(_xlfn.TOCOL(_xlfn.CHOOSECOLS(C450:L458,2,4,6,8,10),0,TRUE),_xlfn.TOCOL(_xlfn.CHOOSECOLS(C450:L458,1,3,5,7,9),0,TRUE)&lt;&gt;""),Lists!$AC$2:$AC$9,Lists!$AF$2:$AF$9,0))&lt;=3)*--((INT(C485)*3+MOD(ROUND(C485*10,0),10))&gt;=3))</f>
        <v/>
      </c>
      <c r="M485" s="68" t="str" cm="1">
        <f t="array" aca="1" ref="M485" ca="1">IF(OR(B485="",O485=""),"",--(COUNTIF(O483:O488,"&gt;0")=1)*--(SUM(_xlfn.XLOOKUP(_xlfn._xlws.FILTER(_xlfn.TOCOL(_xlfn.CHOOSECOLS(C450:L458,2,4,6,8,10),0,TRUE),_xlfn.TOCOL(_xlfn.CHOOSECOLS(C450:L458,1,3,5,7,9),0,TRUE)&lt;&gt;""),Lists!$AC$2:$AC$9,Lists!$AF$2:$AF$9,0))=0))</f>
        <v/>
      </c>
      <c r="N485" s="69" t="str">
        <f ca="1">IF(OR(B485="",O485=""),"",--(COUNTIF(O483:O488,"&gt;0")=1))</f>
        <v/>
      </c>
      <c r="O485" s="5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  <c r="CL485" s="18"/>
      <c r="CM485" s="18"/>
      <c r="CN485" s="18"/>
      <c r="CO485" s="18"/>
      <c r="CP485" s="18"/>
      <c r="CQ485" s="18"/>
      <c r="CR485" s="18"/>
      <c r="CS485" s="18"/>
      <c r="CT485" s="18"/>
      <c r="CU485" s="18"/>
      <c r="CV485" s="18"/>
      <c r="CW485" s="18"/>
      <c r="CX485" s="18"/>
      <c r="CY485" s="18"/>
      <c r="CZ485" s="18"/>
      <c r="DA485" s="18"/>
      <c r="DB485" s="18"/>
      <c r="DC485" s="18"/>
      <c r="DD485" s="18"/>
      <c r="DE485" s="18"/>
      <c r="DF485" s="18"/>
    </row>
    <row r="486" spans="1:110">
      <c r="A486" s="168">
        <v>4</v>
      </c>
      <c r="B486" s="71"/>
      <c r="C486" s="70" t="str" cm="1">
        <f t="array" aca="1" ref="C486" ca="1">IF(OR(B486="",O486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86" s="67" t="str" cm="1">
        <f t="array" aca="1" ref="D486" ca="1">IF(OR(B486="",O486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86" s="67" t="str" cm="1">
        <f t="array" aca="1" ref="E486" ca="1">IF(OR(B486="",O486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486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86" s="67" t="str" cm="1">
        <f t="array" aca="1" ref="F486" ca="1">IF(OR(B486="",O486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486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86" s="67" t="str" cm="1">
        <f t="array" aca="1" ref="G486" ca="1">IF(OR(B486="",O486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86" s="67" t="str" cm="1">
        <f t="array" aca="1" ref="H486" ca="1">IF(OR(B486="",O486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86" s="68" t="str" cm="1">
        <f t="array" aca="1" ref="I486" ca="1">IF(OR(B486="",O486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86" s="68" t="str" cm="1">
        <f t="array" aca="1" ref="J486" ca="1">IF(OR(B486="",O486=""),"",--(SUM(_xlfn.XLOOKUP(_xlfn._xlws.FILTER(_xlfn.TOCOL(_xlfn.CHOOSECOLS(C471:L479,2,4,6,8,10),0,TRUE),_xlfn.TOCOL(_xlfn.CHOOSECOLS(C471:L479,1,3,5,7,9),0,TRUE)&lt;&gt;""),Lists!$AC$2:$AC$9,Lists!$AF$2:$AF$9,0))&gt;SUM(_xlfn.XLOOKUP(_xlfn._xlws.FILTER(_xlfn.TOCOL(_xlfn.CHOOSECOLS(C450:L458,2,4,6,8,10),0,TRUE),_xlfn.TOCOL(_xlfn.CHOOSECOLS(C450:L458,1,3,5,7,9),0,TRUE)&lt;&gt;""),Lists!$AC$2:$AC$9,Lists!$AF$2:$AF$9,0)))*--(ROW()-ROW(C482)=_xlfn.XLOOKUP(MAX(IF(O483:O488&gt;0,INT(C483:C488)*3+MOD(ROUND(C483:C488*10,0),10),-1)),IF(O483:O488&gt;0,INT(C483:C488)*3+MOD(ROUND(C483:C488*10,0),10),-1),_xlfn.SEQUENCE(ROWS(O483:O488)),,0)))</f>
        <v/>
      </c>
      <c r="K486" s="68" t="str" cm="1">
        <f t="array" aca="1" ref="K486" ca="1">IF(OR(B486="",O486=""),"",--(SUM(_xlfn.XLOOKUP(_xlfn._xlws.FILTER(_xlfn.TOCOL(_xlfn.CHOOSECOLS(C471:L479,2,4,6,8,10),0,TRUE),_xlfn.TOCOL(_xlfn.CHOOSECOLS(C471:L479,1,3,5,7,9),0,TRUE)&lt;&gt;""),Lists!$AC$2:$AC$9,Lists!$AF$2:$AF$9,0))&lt;SUM(_xlfn.XLOOKUP(_xlfn._xlws.FILTER(_xlfn.TOCOL(_xlfn.CHOOSECOLS(C450:L458,2,4,6,8,10),0,TRUE),_xlfn.TOCOL(_xlfn.CHOOSECOLS(C450:L458,1,3,5,7,9),0,TRUE)&lt;&gt;""),Lists!$AC$2:$AC$9,Lists!$AF$2:$AF$9,0)))*--(ROW()-ROW(C482)=_xlfn.XLOOKUP(MAX(IF(O483:O488&gt;0,E483:E488,-1)),IF(O483:O488&gt;0,E483:E488,-1),_xlfn.SEQUENCE(ROWS(O483:O488)),,0)))</f>
        <v/>
      </c>
      <c r="L486" s="68" t="str" cm="1">
        <f t="array" aca="1" ref="L486" ca="1">IF(OR(B486="",O486=""),"",--(SUM(_xlfn.XLOOKUP(_xlfn._xlws.FILTER(_xlfn.TOCOL(_xlfn.CHOOSECOLS(C471:L479,2,4,6,8,10),0,TRUE),_xlfn.TOCOL(_xlfn.CHOOSECOLS(C471:L479,1,3,5,7,9),0,TRUE)&lt;&gt;""),Lists!$AC$2:$AC$9,Lists!$AF$2:$AF$9,0))&gt;SUM(_xlfn.XLOOKUP(_xlfn._xlws.FILTER(_xlfn.TOCOL(_xlfn.CHOOSECOLS(C450:L458,2,4,6,8,10),0,TRUE),_xlfn.TOCOL(_xlfn.CHOOSECOLS(C450:L458,1,3,5,7,9),0,TRUE)&lt;&gt;""),Lists!$AC$2:$AC$9,Lists!$AF$2:$AF$9,0)))*--(COUNTIF(O483:O488,"&gt;0")&gt;1)*--(ROW()-ROW(C482)=_xlfn.XLOOKUP(TRUE,O483:O488&gt;0,_xlfn.SEQUENCE(ROWS(O483:O488)),,0,-1))*--(_xlfn.XLOOKUP(TRUE,O483:O488&gt;0,_xlfn.SEQUENCE(ROWS(O483:O488)),,0,-1)&lt;&gt;_xlfn.XLOOKUP(MAX(IF(O483:O488&gt;0,INT(C483:C488)*3+MOD(ROUND(C483:C488*10,0),10),-1)),IF(O483:O488&gt;0,INT(C483:C488)*3+MOD(ROUND(C483:C488*10,0),10),-1),_xlfn.SEQUENCE(ROWS(O483:O488)),,0))*--(SUM(_xlfn.XLOOKUP(_xlfn._xlws.FILTER(_xlfn.TOCOL(_xlfn.CHOOSECOLS(C471:L479,2,4,6,8,10),0,TRUE),_xlfn.TOCOL(_xlfn.CHOOSECOLS(C471:L479,1,3,5,7,9),0,TRUE)&lt;&gt;""),Lists!$AC$2:$AC$9,Lists!$AF$2:$AF$9,0))-SUM(_xlfn.XLOOKUP(_xlfn._xlws.FILTER(_xlfn.TOCOL(_xlfn.CHOOSECOLS(C450:L458,2,4,6,8,10),0,TRUE),_xlfn.TOCOL(_xlfn.CHOOSECOLS(C450:L458,1,3,5,7,9),0,TRUE)&lt;&gt;""),Lists!$AC$2:$AC$9,Lists!$AF$2:$AF$9,0))&lt;=3)*--((INT(C486)*3+MOD(ROUND(C486*10,0),10))&gt;=3))</f>
        <v/>
      </c>
      <c r="M486" s="68" t="str" cm="1">
        <f t="array" aca="1" ref="M486" ca="1">IF(OR(B486="",O486=""),"",--(COUNTIF(O483:O488,"&gt;0")=1)*--(SUM(_xlfn.XLOOKUP(_xlfn._xlws.FILTER(_xlfn.TOCOL(_xlfn.CHOOSECOLS(C450:L458,2,4,6,8,10),0,TRUE),_xlfn.TOCOL(_xlfn.CHOOSECOLS(C450:L458,1,3,5,7,9),0,TRUE)&lt;&gt;""),Lists!$AC$2:$AC$9,Lists!$AF$2:$AF$9,0))=0))</f>
        <v/>
      </c>
      <c r="N486" s="69" t="str">
        <f ca="1">IF(OR(B486="",O486=""),"",--(COUNTIF(O483:O488,"&gt;0")=1))</f>
        <v/>
      </c>
      <c r="O486" s="5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  <c r="CF486" s="18"/>
      <c r="CG486" s="18"/>
      <c r="CH486" s="18"/>
      <c r="CI486" s="18"/>
      <c r="CJ486" s="18"/>
      <c r="CK486" s="18"/>
      <c r="CL486" s="18"/>
      <c r="CM486" s="18"/>
      <c r="CN486" s="18"/>
      <c r="CO486" s="18"/>
      <c r="CP486" s="18"/>
      <c r="CQ486" s="18"/>
      <c r="CR486" s="18"/>
      <c r="CS486" s="18"/>
      <c r="CT486" s="18"/>
      <c r="CU486" s="18"/>
      <c r="CV486" s="18"/>
      <c r="CW486" s="18"/>
      <c r="CX486" s="18"/>
      <c r="CY486" s="18"/>
      <c r="CZ486" s="18"/>
      <c r="DA486" s="18"/>
      <c r="DB486" s="18"/>
      <c r="DC486" s="18"/>
      <c r="DD486" s="18"/>
      <c r="DE486" s="18"/>
      <c r="DF486" s="18"/>
    </row>
    <row r="487" spans="1:110">
      <c r="A487" s="168">
        <v>5</v>
      </c>
      <c r="B487" s="71"/>
      <c r="C487" s="70" t="str" cm="1">
        <f t="array" aca="1" ref="C487" ca="1">IF(OR(B487="",O487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87" s="67" t="str" cm="1">
        <f t="array" aca="1" ref="D487" ca="1">IF(OR(B487="",O487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87" s="67" t="str" cm="1">
        <f t="array" aca="1" ref="E487" ca="1">IF(OR(B487="",O487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487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87" s="67" t="str" cm="1">
        <f t="array" aca="1" ref="F487" ca="1">IF(OR(B487="",O487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487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87" s="67" t="str" cm="1">
        <f t="array" aca="1" ref="G487" ca="1">IF(OR(B487="",O487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87" s="67" t="str" cm="1">
        <f t="array" aca="1" ref="H487" ca="1">IF(OR(B487="",O487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87" s="68" t="str" cm="1">
        <f t="array" aca="1" ref="I487" ca="1">IF(OR(B487="",O487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87" s="68" t="str" cm="1">
        <f t="array" aca="1" ref="J487" ca="1">IF(OR(B487="",O487=""),"",--(SUM(_xlfn.XLOOKUP(_xlfn._xlws.FILTER(_xlfn.TOCOL(_xlfn.CHOOSECOLS(C471:L479,2,4,6,8,10),0,TRUE),_xlfn.TOCOL(_xlfn.CHOOSECOLS(C471:L479,1,3,5,7,9),0,TRUE)&lt;&gt;""),Lists!$AC$2:$AC$9,Lists!$AF$2:$AF$9,0))&gt;SUM(_xlfn.XLOOKUP(_xlfn._xlws.FILTER(_xlfn.TOCOL(_xlfn.CHOOSECOLS(C450:L458,2,4,6,8,10),0,TRUE),_xlfn.TOCOL(_xlfn.CHOOSECOLS(C450:L458,1,3,5,7,9),0,TRUE)&lt;&gt;""),Lists!$AC$2:$AC$9,Lists!$AF$2:$AF$9,0)))*--(ROW()-ROW(C482)=_xlfn.XLOOKUP(MAX(IF(O483:O488&gt;0,INT(C483:C488)*3+MOD(ROUND(C483:C488*10,0),10),-1)),IF(O483:O488&gt;0,INT(C483:C488)*3+MOD(ROUND(C483:C488*10,0),10),-1),_xlfn.SEQUENCE(ROWS(O483:O488)),,0)))</f>
        <v/>
      </c>
      <c r="K487" s="68" t="str" cm="1">
        <f t="array" aca="1" ref="K487" ca="1">IF(OR(B487="",O487=""),"",--(SUM(_xlfn.XLOOKUP(_xlfn._xlws.FILTER(_xlfn.TOCOL(_xlfn.CHOOSECOLS(C471:L479,2,4,6,8,10),0,TRUE),_xlfn.TOCOL(_xlfn.CHOOSECOLS(C471:L479,1,3,5,7,9),0,TRUE)&lt;&gt;""),Lists!$AC$2:$AC$9,Lists!$AF$2:$AF$9,0))&lt;SUM(_xlfn.XLOOKUP(_xlfn._xlws.FILTER(_xlfn.TOCOL(_xlfn.CHOOSECOLS(C450:L458,2,4,6,8,10),0,TRUE),_xlfn.TOCOL(_xlfn.CHOOSECOLS(C450:L458,1,3,5,7,9),0,TRUE)&lt;&gt;""),Lists!$AC$2:$AC$9,Lists!$AF$2:$AF$9,0)))*--(ROW()-ROW(C482)=_xlfn.XLOOKUP(MAX(IF(O483:O488&gt;0,E483:E488,-1)),IF(O483:O488&gt;0,E483:E488,-1),_xlfn.SEQUENCE(ROWS(O483:O488)),,0)))</f>
        <v/>
      </c>
      <c r="L487" s="68" t="str" cm="1">
        <f t="array" aca="1" ref="L487" ca="1">IF(OR(B487="",O487=""),"",--(SUM(_xlfn.XLOOKUP(_xlfn._xlws.FILTER(_xlfn.TOCOL(_xlfn.CHOOSECOLS(C471:L479,2,4,6,8,10),0,TRUE),_xlfn.TOCOL(_xlfn.CHOOSECOLS(C471:L479,1,3,5,7,9),0,TRUE)&lt;&gt;""),Lists!$AC$2:$AC$9,Lists!$AF$2:$AF$9,0))&gt;SUM(_xlfn.XLOOKUP(_xlfn._xlws.FILTER(_xlfn.TOCOL(_xlfn.CHOOSECOLS(C450:L458,2,4,6,8,10),0,TRUE),_xlfn.TOCOL(_xlfn.CHOOSECOLS(C450:L458,1,3,5,7,9),0,TRUE)&lt;&gt;""),Lists!$AC$2:$AC$9,Lists!$AF$2:$AF$9,0)))*--(COUNTIF(O483:O488,"&gt;0")&gt;1)*--(ROW()-ROW(C482)=_xlfn.XLOOKUP(TRUE,O483:O488&gt;0,_xlfn.SEQUENCE(ROWS(O483:O488)),,0,-1))*--(_xlfn.XLOOKUP(TRUE,O483:O488&gt;0,_xlfn.SEQUENCE(ROWS(O483:O488)),,0,-1)&lt;&gt;_xlfn.XLOOKUP(MAX(IF(O483:O488&gt;0,INT(C483:C488)*3+MOD(ROUND(C483:C488*10,0),10),-1)),IF(O483:O488&gt;0,INT(C483:C488)*3+MOD(ROUND(C483:C488*10,0),10),-1),_xlfn.SEQUENCE(ROWS(O483:O488)),,0))*--(SUM(_xlfn.XLOOKUP(_xlfn._xlws.FILTER(_xlfn.TOCOL(_xlfn.CHOOSECOLS(C471:L479,2,4,6,8,10),0,TRUE),_xlfn.TOCOL(_xlfn.CHOOSECOLS(C471:L479,1,3,5,7,9),0,TRUE)&lt;&gt;""),Lists!$AC$2:$AC$9,Lists!$AF$2:$AF$9,0))-SUM(_xlfn.XLOOKUP(_xlfn._xlws.FILTER(_xlfn.TOCOL(_xlfn.CHOOSECOLS(C450:L458,2,4,6,8,10),0,TRUE),_xlfn.TOCOL(_xlfn.CHOOSECOLS(C450:L458,1,3,5,7,9),0,TRUE)&lt;&gt;""),Lists!$AC$2:$AC$9,Lists!$AF$2:$AF$9,0))&lt;=3)*--((INT(C487)*3+MOD(ROUND(C487*10,0),10))&gt;=3))</f>
        <v/>
      </c>
      <c r="M487" s="68" t="str" cm="1">
        <f t="array" aca="1" ref="M487" ca="1">IF(OR(B487="",O487=""),"",--(COUNTIF(O483:O488,"&gt;0")=1)*--(SUM(_xlfn.XLOOKUP(_xlfn._xlws.FILTER(_xlfn.TOCOL(_xlfn.CHOOSECOLS(C450:L458,2,4,6,8,10),0,TRUE),_xlfn.TOCOL(_xlfn.CHOOSECOLS(C450:L458,1,3,5,7,9),0,TRUE)&lt;&gt;""),Lists!$AC$2:$AC$9,Lists!$AF$2:$AF$9,0))=0))</f>
        <v/>
      </c>
      <c r="N487" s="69" t="str">
        <f ca="1">IF(OR(B487="",O487=""),"",--(COUNTIF(O483:O488,"&gt;0")=1))</f>
        <v/>
      </c>
      <c r="O487" s="5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  <c r="CL487" s="18"/>
      <c r="CM487" s="18"/>
      <c r="CN487" s="18"/>
      <c r="CO487" s="18"/>
      <c r="CP487" s="18"/>
      <c r="CQ487" s="18"/>
      <c r="CR487" s="18"/>
      <c r="CS487" s="18"/>
      <c r="CT487" s="18"/>
      <c r="CU487" s="18"/>
      <c r="CV487" s="18"/>
      <c r="CW487" s="18"/>
      <c r="CX487" s="18"/>
      <c r="CY487" s="18"/>
      <c r="CZ487" s="18"/>
      <c r="DA487" s="18"/>
      <c r="DB487" s="18"/>
      <c r="DC487" s="18"/>
      <c r="DD487" s="18"/>
      <c r="DE487" s="18"/>
      <c r="DF487" s="18"/>
    </row>
    <row r="488" spans="1:110">
      <c r="A488" s="168">
        <v>6</v>
      </c>
      <c r="B488" s="71"/>
      <c r="C488" s="70" t="str" cm="1">
        <f t="array" aca="1" ref="C488" ca="1">IF(OR(B488="",O488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488" s="67" t="str" cm="1">
        <f t="array" aca="1" ref="D488" ca="1">IF(OR(B488="",O488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488" s="67" t="str" cm="1">
        <f t="array" aca="1" ref="E488" ca="1">IF(OR(B488="",O488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488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488" s="67" t="str" cm="1">
        <f t="array" aca="1" ref="F488" ca="1">IF(OR(B488="",O488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488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488" s="67" t="str" cm="1">
        <f t="array" aca="1" ref="G488" ca="1">IF(OR(B488="",O488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488" s="67" t="str" cm="1">
        <f t="array" aca="1" ref="H488" ca="1">IF(OR(B488="",O488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488" s="68" t="str" cm="1">
        <f t="array" aca="1" ref="I488" ca="1">IF(OR(B488="",O488=""),"",_xlfn.LET(_xlpm.flatPAraw,_xlfn.TOCOL(_xlfn.CHOOSECOLS(C450:L458,1,3,5,7,9),0,TRUE),_xlpm.flatPARraw,_xlfn.TOCOL(_xlfn.CHOOSECOLS(C450:L458,2,4,6,8,10),0,TRUE),_xlpm.flatPA,_xlfn._xlws.FILTER(_xlpm.flatPAraw,_xlpm.flatPAraw&lt;&gt;""),_xlpm.flatPAR,_xlfn._xlws.FILTER(_xlpm.flatPARraw,_xlpm.flatPAraw&lt;&gt;""),_xlpm.prev,IF(ROW()=ROW(C483),0,SUM(INDEX(O:O,ROW(C483)):INDEX(O:O,ROW()-1))),_xlpm.need,O488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488" s="68" t="str" cm="1">
        <f t="array" aca="1" ref="J488" ca="1">IF(OR(B488="",O488=""),"",--(SUM(_xlfn.XLOOKUP(_xlfn._xlws.FILTER(_xlfn.TOCOL(_xlfn.CHOOSECOLS(C471:L479,2,4,6,8,10),0,TRUE),_xlfn.TOCOL(_xlfn.CHOOSECOLS(C471:L479,1,3,5,7,9),0,TRUE)&lt;&gt;""),Lists!$AC$2:$AC$9,Lists!$AF$2:$AF$9,0))&gt;SUM(_xlfn.XLOOKUP(_xlfn._xlws.FILTER(_xlfn.TOCOL(_xlfn.CHOOSECOLS(C450:L458,2,4,6,8,10),0,TRUE),_xlfn.TOCOL(_xlfn.CHOOSECOLS(C450:L458,1,3,5,7,9),0,TRUE)&lt;&gt;""),Lists!$AC$2:$AC$9,Lists!$AF$2:$AF$9,0)))*--(ROW()-ROW(C482)=_xlfn.XLOOKUP(MAX(IF(O483:O488&gt;0,INT(C483:C488)*3+MOD(ROUND(C483:C488*10,0),10),-1)),IF(O483:O488&gt;0,INT(C483:C488)*3+MOD(ROUND(C483:C488*10,0),10),-1),_xlfn.SEQUENCE(ROWS(O483:O488)),,0)))</f>
        <v/>
      </c>
      <c r="K488" s="68" t="str" cm="1">
        <f t="array" aca="1" ref="K488" ca="1">IF(OR(B488="",O488=""),"",--(SUM(_xlfn.XLOOKUP(_xlfn._xlws.FILTER(_xlfn.TOCOL(_xlfn.CHOOSECOLS(C471:L479,2,4,6,8,10),0,TRUE),_xlfn.TOCOL(_xlfn.CHOOSECOLS(C471:L479,1,3,5,7,9),0,TRUE)&lt;&gt;""),Lists!$AC$2:$AC$9,Lists!$AF$2:$AF$9,0))&lt;SUM(_xlfn.XLOOKUP(_xlfn._xlws.FILTER(_xlfn.TOCOL(_xlfn.CHOOSECOLS(C450:L458,2,4,6,8,10),0,TRUE),_xlfn.TOCOL(_xlfn.CHOOSECOLS(C450:L458,1,3,5,7,9),0,TRUE)&lt;&gt;""),Lists!$AC$2:$AC$9,Lists!$AF$2:$AF$9,0)))*--(ROW()-ROW(C482)=_xlfn.XLOOKUP(MAX(IF(O483:O488&gt;0,E483:E488,-1)),IF(O483:O488&gt;0,E483:E488,-1),_xlfn.SEQUENCE(ROWS(O483:O488)),,0)))</f>
        <v/>
      </c>
      <c r="L488" s="68" t="str" cm="1">
        <f t="array" aca="1" ref="L488" ca="1">IF(OR(B488="",O488=""),"",--(SUM(_xlfn.XLOOKUP(_xlfn._xlws.FILTER(_xlfn.TOCOL(_xlfn.CHOOSECOLS(C471:L479,2,4,6,8,10),0,TRUE),_xlfn.TOCOL(_xlfn.CHOOSECOLS(C471:L479,1,3,5,7,9),0,TRUE)&lt;&gt;""),Lists!$AC$2:$AC$9,Lists!$AF$2:$AF$9,0))&gt;SUM(_xlfn.XLOOKUP(_xlfn._xlws.FILTER(_xlfn.TOCOL(_xlfn.CHOOSECOLS(C450:L458,2,4,6,8,10),0,TRUE),_xlfn.TOCOL(_xlfn.CHOOSECOLS(C450:L458,1,3,5,7,9),0,TRUE)&lt;&gt;""),Lists!$AC$2:$AC$9,Lists!$AF$2:$AF$9,0)))*--(COUNTIF(O483:O488,"&gt;0")&gt;1)*--(ROW()-ROW(C482)=_xlfn.XLOOKUP(TRUE,O483:O488&gt;0,_xlfn.SEQUENCE(ROWS(O483:O488)),,0,-1))*--(_xlfn.XLOOKUP(TRUE,O483:O488&gt;0,_xlfn.SEQUENCE(ROWS(O483:O488)),,0,-1)&lt;&gt;_xlfn.XLOOKUP(MAX(IF(O483:O488&gt;0,INT(C483:C488)*3+MOD(ROUND(C483:C488*10,0),10),-1)),IF(O483:O488&gt;0,INT(C483:C488)*3+MOD(ROUND(C483:C488*10,0),10),-1),_xlfn.SEQUENCE(ROWS(O483:O488)),,0))*--(SUM(_xlfn.XLOOKUP(_xlfn._xlws.FILTER(_xlfn.TOCOL(_xlfn.CHOOSECOLS(C471:L479,2,4,6,8,10),0,TRUE),_xlfn.TOCOL(_xlfn.CHOOSECOLS(C471:L479,1,3,5,7,9),0,TRUE)&lt;&gt;""),Lists!$AC$2:$AC$9,Lists!$AF$2:$AF$9,0))-SUM(_xlfn.XLOOKUP(_xlfn._xlws.FILTER(_xlfn.TOCOL(_xlfn.CHOOSECOLS(C450:L458,2,4,6,8,10),0,TRUE),_xlfn.TOCOL(_xlfn.CHOOSECOLS(C450:L458,1,3,5,7,9),0,TRUE)&lt;&gt;""),Lists!$AC$2:$AC$9,Lists!$AF$2:$AF$9,0))&lt;=3)*--((INT(C488)*3+MOD(ROUND(C488*10,0),10))&gt;=3))</f>
        <v/>
      </c>
      <c r="M488" s="68" t="str" cm="1">
        <f t="array" aca="1" ref="M488" ca="1">IF(OR(B488="",O488=""),"",--(COUNTIF(O483:O488,"&gt;0")=1)*--(SUM(_xlfn.XLOOKUP(_xlfn._xlws.FILTER(_xlfn.TOCOL(_xlfn.CHOOSECOLS(C450:L458,2,4,6,8,10),0,TRUE),_xlfn.TOCOL(_xlfn.CHOOSECOLS(C450:L458,1,3,5,7,9),0,TRUE)&lt;&gt;""),Lists!$AC$2:$AC$9,Lists!$AF$2:$AF$9,0))=0))</f>
        <v/>
      </c>
      <c r="N488" s="69" t="str">
        <f ca="1">IF(OR(B488="",O488=""),"",--(COUNTIF(O483:O488,"&gt;0")=1))</f>
        <v/>
      </c>
      <c r="O488" s="5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8"/>
      <c r="CG488" s="18"/>
      <c r="CH488" s="18"/>
      <c r="CI488" s="18"/>
      <c r="CJ488" s="18"/>
      <c r="CK488" s="18"/>
      <c r="CL488" s="18"/>
      <c r="CM488" s="18"/>
      <c r="CN488" s="18"/>
      <c r="CO488" s="18"/>
      <c r="CP488" s="18"/>
      <c r="CQ488" s="18"/>
      <c r="CR488" s="18"/>
      <c r="CS488" s="18"/>
      <c r="CT488" s="18"/>
      <c r="CU488" s="18"/>
      <c r="CV488" s="18"/>
      <c r="CW488" s="18"/>
      <c r="CX488" s="18"/>
      <c r="CY488" s="18"/>
      <c r="CZ488" s="18"/>
      <c r="DA488" s="18"/>
      <c r="DB488" s="18"/>
      <c r="DC488" s="18"/>
      <c r="DD488" s="18"/>
      <c r="DE488" s="18"/>
      <c r="DF488" s="18"/>
    </row>
    <row r="489" spans="1:110">
      <c r="A489" s="173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  <c r="CD489" s="18"/>
      <c r="CE489" s="18"/>
      <c r="CF489" s="18"/>
      <c r="CG489" s="18"/>
      <c r="CH489" s="18"/>
      <c r="CI489" s="18"/>
      <c r="CJ489" s="18"/>
      <c r="CK489" s="18"/>
      <c r="CL489" s="18"/>
      <c r="CM489" s="18"/>
      <c r="CN489" s="18"/>
      <c r="CO489" s="18"/>
      <c r="CP489" s="18"/>
      <c r="CQ489" s="18"/>
      <c r="CR489" s="18"/>
      <c r="CS489" s="18"/>
      <c r="CT489" s="18"/>
      <c r="CU489" s="18"/>
      <c r="CV489" s="18"/>
      <c r="CW489" s="18"/>
      <c r="CX489" s="18"/>
      <c r="CY489" s="18"/>
      <c r="CZ489" s="18"/>
      <c r="DA489" s="18"/>
      <c r="DB489" s="18"/>
      <c r="DC489" s="18"/>
      <c r="DD489" s="18"/>
      <c r="DE489" s="18"/>
      <c r="DF489" s="18"/>
    </row>
    <row r="490" spans="1:110">
      <c r="A490" s="174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  <c r="CD490" s="18"/>
      <c r="CE490" s="18"/>
      <c r="CF490" s="18"/>
      <c r="CG490" s="18"/>
      <c r="CH490" s="18"/>
      <c r="CI490" s="18"/>
      <c r="CJ490" s="18"/>
      <c r="CK490" s="18"/>
      <c r="CL490" s="18"/>
      <c r="CM490" s="18"/>
      <c r="CN490" s="18"/>
      <c r="CO490" s="18"/>
      <c r="CP490" s="18"/>
      <c r="CQ490" s="18"/>
      <c r="CR490" s="18"/>
      <c r="CS490" s="18"/>
      <c r="CT490" s="18"/>
      <c r="CU490" s="18"/>
      <c r="CV490" s="18"/>
      <c r="CW490" s="18"/>
      <c r="CX490" s="18"/>
      <c r="CY490" s="18"/>
      <c r="CZ490" s="18"/>
      <c r="DA490" s="18"/>
      <c r="DB490" s="18"/>
      <c r="DC490" s="18"/>
      <c r="DD490" s="18"/>
      <c r="DE490" s="18"/>
      <c r="DF490" s="18"/>
    </row>
    <row r="491" spans="1:110">
      <c r="A491" s="217" t="s">
        <v>216</v>
      </c>
      <c r="B491" s="218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9"/>
      <c r="N491" s="207"/>
      <c r="O491" s="36"/>
      <c r="P491" s="37"/>
      <c r="Q491" s="38"/>
      <c r="R491" s="38"/>
      <c r="S491" s="38"/>
      <c r="T491" s="38"/>
      <c r="U491" s="38"/>
      <c r="V491" s="38"/>
      <c r="W491" s="38"/>
      <c r="X491" s="3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18"/>
      <c r="CF491" s="18"/>
      <c r="CG491" s="18"/>
      <c r="CH491" s="18"/>
      <c r="CI491" s="18"/>
      <c r="CJ491" s="18"/>
      <c r="CK491" s="18"/>
      <c r="CL491" s="18"/>
      <c r="CM491" s="18"/>
      <c r="CN491" s="18"/>
      <c r="CO491" s="18"/>
      <c r="CP491" s="18"/>
      <c r="CQ491" s="18"/>
      <c r="CR491" s="18"/>
      <c r="CS491" s="18"/>
      <c r="CT491" s="18"/>
      <c r="CU491" s="18"/>
      <c r="CV491" s="18"/>
      <c r="CW491" s="18"/>
      <c r="CX491" s="18"/>
      <c r="CY491" s="18"/>
      <c r="CZ491" s="18"/>
      <c r="DA491" s="18"/>
      <c r="DB491" s="18"/>
      <c r="DC491" s="18"/>
      <c r="DD491" s="18"/>
      <c r="DE491" s="18"/>
      <c r="DF491" s="18"/>
    </row>
    <row r="492" spans="1:110">
      <c r="A492" s="169" t="s">
        <v>33</v>
      </c>
      <c r="B492" s="40">
        <f>Settings!$B$2</f>
        <v>1</v>
      </c>
      <c r="C492" s="41"/>
      <c r="D492" s="40" t="s">
        <v>95</v>
      </c>
      <c r="E492" s="41"/>
      <c r="F492" s="40" t="str">
        <f>Bracket!$F$16</f>
        <v>G11</v>
      </c>
      <c r="G492" s="41"/>
      <c r="H492" s="40" t="s">
        <v>97</v>
      </c>
      <c r="I492" s="41"/>
      <c r="J492" s="40" t="str">
        <f>Bracket!$G$16</f>
        <v>CG-2</v>
      </c>
      <c r="K492" s="41"/>
      <c r="L492" s="40" t="s">
        <v>134</v>
      </c>
      <c r="M492" s="24"/>
      <c r="N492" s="24" t="str">
        <f ca="1">Bracket!$H$16</f>
        <v>Nick</v>
      </c>
      <c r="O492" s="24"/>
      <c r="P492" s="18"/>
      <c r="Q492" s="18"/>
      <c r="R492" s="18" t="str">
        <f ca="1">Bracket!$I$16</f>
        <v>Jason</v>
      </c>
      <c r="S492" s="18"/>
      <c r="T492" s="18"/>
      <c r="U492" s="18"/>
      <c r="V492" s="18" t="str">
        <f ca="1">Bracket!$L$16</f>
        <v/>
      </c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18"/>
      <c r="CF492" s="18"/>
      <c r="CG492" s="18"/>
      <c r="CH492" s="18"/>
      <c r="CI492" s="18"/>
      <c r="CJ492" s="18"/>
      <c r="CK492" s="18"/>
      <c r="CL492" s="18"/>
      <c r="CM492" s="18"/>
      <c r="CN492" s="18"/>
      <c r="CO492" s="18"/>
      <c r="CP492" s="18"/>
      <c r="CQ492" s="18"/>
      <c r="CR492" s="18"/>
      <c r="CS492" s="18"/>
      <c r="CT492" s="18"/>
      <c r="CU492" s="18"/>
      <c r="CV492" s="18"/>
      <c r="CW492" s="18"/>
      <c r="CX492" s="18"/>
      <c r="CY492" s="18"/>
      <c r="CZ492" s="18"/>
      <c r="DA492" s="18"/>
      <c r="DB492" s="18"/>
      <c r="DC492" s="18"/>
      <c r="DD492" s="18"/>
      <c r="DE492" s="18"/>
      <c r="DF492" s="18"/>
    </row>
    <row r="493" spans="1:110">
      <c r="A493" s="170" t="s">
        <v>160</v>
      </c>
      <c r="B493" s="72">
        <v>1</v>
      </c>
      <c r="C493" s="72">
        <v>2</v>
      </c>
      <c r="D493" s="72">
        <v>3</v>
      </c>
      <c r="E493" s="72">
        <v>4</v>
      </c>
      <c r="F493" s="72">
        <v>5</v>
      </c>
      <c r="G493" s="72">
        <v>6</v>
      </c>
      <c r="H493" s="72">
        <v>7</v>
      </c>
      <c r="I493" s="73">
        <v>8</v>
      </c>
      <c r="J493" s="73">
        <v>9</v>
      </c>
      <c r="K493" s="73" t="s">
        <v>161</v>
      </c>
      <c r="L493" s="73" t="s">
        <v>162</v>
      </c>
      <c r="M493" s="74" t="s">
        <v>163</v>
      </c>
      <c r="N493" s="24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  <c r="CD493" s="18"/>
      <c r="CE493" s="18"/>
      <c r="CF493" s="18"/>
      <c r="CG493" s="18"/>
      <c r="CH493" s="18"/>
      <c r="CI493" s="18"/>
      <c r="CJ493" s="18"/>
      <c r="CK493" s="18"/>
      <c r="CL493" s="18"/>
      <c r="CM493" s="18"/>
      <c r="CN493" s="18"/>
      <c r="CO493" s="18"/>
      <c r="CP493" s="18"/>
      <c r="CQ493" s="18"/>
      <c r="CR493" s="18"/>
      <c r="CS493" s="18"/>
      <c r="CT493" s="18"/>
      <c r="CU493" s="18"/>
      <c r="CV493" s="18"/>
      <c r="CW493" s="18"/>
      <c r="CX493" s="18"/>
      <c r="CY493" s="18"/>
      <c r="CZ493" s="18"/>
      <c r="DA493" s="18"/>
      <c r="DB493" s="18"/>
      <c r="DC493" s="18"/>
      <c r="DD493" s="18"/>
      <c r="DE493" s="18"/>
      <c r="DF493" s="18"/>
    </row>
    <row r="494" spans="1:110">
      <c r="A494" s="171" t="str">
        <f ca="1">N492</f>
        <v>Nick</v>
      </c>
      <c r="B494" s="75" cm="1">
        <f t="array" ref="B494">IFERROR(_xlfn.LET(_xlpm.flatPAraw,_xlfn.TOCOL(_xlfn.CHOOSECOLS(C499:L507,1,3,5,7,9),0,TRUE),_xlpm.flatPARraw,_xlfn.TOCOL(_xlfn.CHOOSECOLS(C499:L507,2,4,6,8,10)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494" s="75" cm="1">
        <f t="array" ref="C494">IFERROR(_xlfn.LET(_xlpm.flatPAraw,_xlfn.TOCOL(_xlfn.CHOOSECOLS(C499:L507,1,3,5,7,9),0,TRUE),_xlpm.flatPARraw,_xlfn.TOCOL(_xlfn.CHOOSECOLS(C499:L507,2,4,6,8,10)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494" s="75" cm="1">
        <f t="array" ref="D494">IFERROR(_xlfn.LET(_xlpm.flatPAraw,_xlfn.TOCOL(_xlfn.CHOOSECOLS(C499:L507,1,3,5,7,9),0,TRUE),_xlpm.flatPARraw,_xlfn.TOCOL(_xlfn.CHOOSECOLS(C499:L507,2,4,6,8,10)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494" s="75" cm="1">
        <f t="array" ref="E494">IFERROR(_xlfn.LET(_xlpm.flatPAraw,_xlfn.TOCOL(_xlfn.CHOOSECOLS(C499:L507,1,3,5,7,9),0,TRUE),_xlpm.flatPARraw,_xlfn.TOCOL(_xlfn.CHOOSECOLS(C499:L507,2,4,6,8,10)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494" s="75" cm="1">
        <f t="array" ref="F494">IFERROR(_xlfn.LET(_xlpm.flatPAraw,_xlfn.TOCOL(_xlfn.CHOOSECOLS(C499:L507,1,3,5,7,9),0,TRUE),_xlpm.flatPARraw,_xlfn.TOCOL(_xlfn.CHOOSECOLS(C499:L507,2,4,6,8,10)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494" s="75" cm="1">
        <f t="array" ref="G494">IFERROR(_xlfn.LET(_xlpm.flatPAraw,_xlfn.TOCOL(_xlfn.CHOOSECOLS(C499:L507,1,3,5,7,9),0,TRUE),_xlpm.flatPARraw,_xlfn.TOCOL(_xlfn.CHOOSECOLS(C499:L507,2,4,6,8,10)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494" s="75" cm="1">
        <f t="array" ref="H494">IFERROR(_xlfn.LET(_xlpm.flatPAraw,_xlfn.TOCOL(_xlfn.CHOOSECOLS(C499:L507,1,3,5,7,9),0,TRUE),_xlpm.flatPARraw,_xlfn.TOCOL(_xlfn.CHOOSECOLS(C499:L507,2,4,6,8,10)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494" s="76" cm="1">
        <f t="array" ref="I494">IFERROR(_xlfn.LET(_xlpm.flatPAraw,_xlfn.TOCOL(_xlfn.CHOOSECOLS(C499:L507,1,3,5,7,9),0,TRUE),_xlpm.flatPARraw,_xlfn.TOCOL(_xlfn.CHOOSECOLS(C499:L507,2,4,6,8,10)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494" s="76" cm="1">
        <f t="array" ref="J494">IFERROR(_xlfn.LET(_xlpm.flatPAraw,_xlfn.TOCOL(_xlfn.CHOOSECOLS(C499:L507,1,3,5,7,9),0,TRUE),_xlpm.flatPARraw,_xlfn.TOCOL(_xlfn.CHOOSECOLS(C499:L507,2,4,6,8,10)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494" s="164">
        <f>SUM(B494:J494)</f>
        <v>0</v>
      </c>
      <c r="L494" s="77">
        <f ca="1">SUM(O499:O507)</f>
        <v>0</v>
      </c>
      <c r="M494" s="78">
        <f>COUNTIF(C520:L528,"ROE")</f>
        <v>0</v>
      </c>
      <c r="N494" s="24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  <c r="BX494" s="18"/>
      <c r="BY494" s="18"/>
      <c r="BZ494" s="18"/>
      <c r="CA494" s="18"/>
      <c r="CB494" s="18"/>
      <c r="CC494" s="18"/>
      <c r="CD494" s="18"/>
      <c r="CE494" s="18"/>
      <c r="CF494" s="18"/>
      <c r="CG494" s="18"/>
      <c r="CH494" s="18"/>
      <c r="CI494" s="18"/>
      <c r="CJ494" s="18"/>
      <c r="CK494" s="18"/>
      <c r="CL494" s="18"/>
      <c r="CM494" s="18"/>
      <c r="CN494" s="18"/>
      <c r="CO494" s="18"/>
      <c r="CP494" s="18"/>
      <c r="CQ494" s="18"/>
      <c r="CR494" s="18"/>
      <c r="CS494" s="18"/>
      <c r="CT494" s="18"/>
      <c r="CU494" s="18"/>
      <c r="CV494" s="18"/>
      <c r="CW494" s="18"/>
      <c r="CX494" s="18"/>
      <c r="CY494" s="18"/>
      <c r="CZ494" s="18"/>
      <c r="DA494" s="18"/>
      <c r="DB494" s="18"/>
      <c r="DC494" s="18"/>
      <c r="DD494" s="18"/>
      <c r="DE494" s="18"/>
      <c r="DF494" s="18"/>
    </row>
    <row r="495" spans="1:110">
      <c r="A495" s="172" t="str">
        <f ca="1">R492</f>
        <v>Jason</v>
      </c>
      <c r="B495" s="79" cm="1">
        <f t="array" ref="B495">IFERROR(_xlfn.LET(_xlpm.flatPAraw,_xlfn.TOCOL(_xlfn.CHOOSECOLS(C520:L528,1,3,5,7,9),0,TRUE),_xlpm.flatPARraw,_xlfn.TOCOL(_xlfn.CHOOSECOLS(C520:L528,2,4,6,8,10)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495" s="79" cm="1">
        <f t="array" ref="C495">IFERROR(_xlfn.LET(_xlpm.flatPAraw,_xlfn.TOCOL(_xlfn.CHOOSECOLS(C520:L528,1,3,5,7,9),0,TRUE),_xlpm.flatPARraw,_xlfn.TOCOL(_xlfn.CHOOSECOLS(C520:L528,2,4,6,8,10)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495" s="79" cm="1">
        <f t="array" ref="D495">IFERROR(_xlfn.LET(_xlpm.flatPAraw,_xlfn.TOCOL(_xlfn.CHOOSECOLS(C520:L528,1,3,5,7,9),0,TRUE),_xlpm.flatPARraw,_xlfn.TOCOL(_xlfn.CHOOSECOLS(C520:L528,2,4,6,8,10)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495" s="79" cm="1">
        <f t="array" ref="E495">IFERROR(_xlfn.LET(_xlpm.flatPAraw,_xlfn.TOCOL(_xlfn.CHOOSECOLS(C520:L528,1,3,5,7,9),0,TRUE),_xlpm.flatPARraw,_xlfn.TOCOL(_xlfn.CHOOSECOLS(C520:L528,2,4,6,8,10)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495" s="79" cm="1">
        <f t="array" ref="F495">IFERROR(_xlfn.LET(_xlpm.flatPAraw,_xlfn.TOCOL(_xlfn.CHOOSECOLS(C520:L528,1,3,5,7,9),0,TRUE),_xlpm.flatPARraw,_xlfn.TOCOL(_xlfn.CHOOSECOLS(C520:L528,2,4,6,8,10)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495" s="79" cm="1">
        <f t="array" ref="G495">IFERROR(_xlfn.LET(_xlpm.flatPAraw,_xlfn.TOCOL(_xlfn.CHOOSECOLS(C520:L528,1,3,5,7,9),0,TRUE),_xlpm.flatPARraw,_xlfn.TOCOL(_xlfn.CHOOSECOLS(C520:L528,2,4,6,8,10)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495" s="79" cm="1">
        <f t="array" ref="H495">IFERROR(_xlfn.LET(_xlpm.flatPAraw,_xlfn.TOCOL(_xlfn.CHOOSECOLS(C520:L528,1,3,5,7,9),0,TRUE),_xlpm.flatPARraw,_xlfn.TOCOL(_xlfn.CHOOSECOLS(C520:L528,2,4,6,8,10)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495" s="80" cm="1">
        <f t="array" ref="I495">IFERROR(_xlfn.LET(_xlpm.flatPAraw,_xlfn.TOCOL(_xlfn.CHOOSECOLS(C520:L528,1,3,5,7,9),0,TRUE),_xlpm.flatPARraw,_xlfn.TOCOL(_xlfn.CHOOSECOLS(C520:L528,2,4,6,8,10)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495" s="80" cm="1">
        <f t="array" ref="J495">IFERROR(_xlfn.LET(_xlpm.flatPAraw,_xlfn.TOCOL(_xlfn.CHOOSECOLS(C520:L528,1,3,5,7,9),0,TRUE),_xlpm.flatPARraw,_xlfn.TOCOL(_xlfn.CHOOSECOLS(C520:L528,2,4,6,8,10)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495" s="165">
        <f>SUM(B495:J495)</f>
        <v>0</v>
      </c>
      <c r="L495" s="81">
        <f ca="1">SUM(O520:O528)</f>
        <v>0</v>
      </c>
      <c r="M495" s="82">
        <f>COUNTIF(C499:L507,"ROE")</f>
        <v>0</v>
      </c>
      <c r="N495" s="24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  <c r="CD495" s="18"/>
      <c r="CE495" s="18"/>
      <c r="CF495" s="18"/>
      <c r="CG495" s="18"/>
      <c r="CH495" s="18"/>
      <c r="CI495" s="18"/>
      <c r="CJ495" s="18"/>
      <c r="CK495" s="18"/>
      <c r="CL495" s="18"/>
      <c r="CM495" s="18"/>
      <c r="CN495" s="18"/>
      <c r="CO495" s="18"/>
      <c r="CP495" s="18"/>
      <c r="CQ495" s="18"/>
      <c r="CR495" s="18"/>
      <c r="CS495" s="18"/>
      <c r="CT495" s="18"/>
      <c r="CU495" s="18"/>
      <c r="CV495" s="18"/>
      <c r="CW495" s="18"/>
      <c r="CX495" s="18"/>
      <c r="CY495" s="18"/>
      <c r="CZ495" s="18"/>
      <c r="DA495" s="18"/>
      <c r="DB495" s="18"/>
      <c r="DC495" s="18"/>
      <c r="DD495" s="18"/>
      <c r="DE495" s="18"/>
      <c r="DF495" s="18"/>
    </row>
    <row r="496" spans="1:110">
      <c r="A496" s="173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  <c r="CF496" s="18"/>
      <c r="CG496" s="18"/>
      <c r="CH496" s="18"/>
      <c r="CI496" s="18"/>
      <c r="CJ496" s="18"/>
      <c r="CK496" s="18"/>
      <c r="CL496" s="18"/>
      <c r="CM496" s="18"/>
      <c r="CN496" s="18"/>
      <c r="CO496" s="18"/>
      <c r="CP496" s="18"/>
      <c r="CQ496" s="18"/>
      <c r="CR496" s="18"/>
      <c r="CS496" s="18"/>
      <c r="CT496" s="18"/>
      <c r="CU496" s="18"/>
      <c r="CV496" s="18"/>
      <c r="CW496" s="18"/>
      <c r="CX496" s="18"/>
      <c r="CY496" s="18"/>
      <c r="CZ496" s="18"/>
      <c r="DA496" s="18"/>
      <c r="DB496" s="18"/>
      <c r="DC496" s="18"/>
      <c r="DD496" s="18"/>
      <c r="DE496" s="18"/>
      <c r="DF496" s="18"/>
    </row>
    <row r="497" spans="1:110">
      <c r="A497" s="205" t="str">
        <f ca="1">IF($N$492="","Team A Batting",$N$492&amp;" Batting")</f>
        <v>Nick Batting</v>
      </c>
      <c r="B497" s="206"/>
      <c r="C497" s="206"/>
      <c r="D497" s="206"/>
      <c r="E497" s="206"/>
      <c r="F497" s="206"/>
      <c r="G497" s="206"/>
      <c r="H497" s="206"/>
      <c r="I497" s="206"/>
      <c r="J497" s="206"/>
      <c r="K497" s="206"/>
      <c r="L497" s="206"/>
      <c r="M497" s="206"/>
      <c r="N497" s="206"/>
      <c r="O497" s="181"/>
      <c r="P497" s="182"/>
      <c r="Q497" s="182"/>
      <c r="R497" s="182"/>
      <c r="S497" s="182"/>
      <c r="T497" s="182"/>
      <c r="U497" s="182"/>
      <c r="V497" s="182"/>
      <c r="W497" s="182"/>
      <c r="X497" s="182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  <c r="CL497" s="18"/>
      <c r="CM497" s="18"/>
      <c r="CN497" s="18"/>
      <c r="CO497" s="18"/>
      <c r="CP497" s="18"/>
      <c r="CQ497" s="18"/>
      <c r="CR497" s="18"/>
      <c r="CS497" s="18"/>
      <c r="CT497" s="18"/>
      <c r="CU497" s="18"/>
      <c r="CV497" s="18"/>
      <c r="CW497" s="18"/>
      <c r="CX497" s="18"/>
      <c r="CY497" s="18"/>
      <c r="CZ497" s="18"/>
      <c r="DA497" s="18"/>
      <c r="DB497" s="18"/>
      <c r="DC497" s="18"/>
      <c r="DD497" s="18"/>
      <c r="DE497" s="18"/>
      <c r="DF497" s="18"/>
    </row>
    <row r="498" spans="1:110">
      <c r="A498" s="167" t="s">
        <v>164</v>
      </c>
      <c r="B498" s="43" t="s">
        <v>39</v>
      </c>
      <c r="C498" s="43" t="s">
        <v>165</v>
      </c>
      <c r="D498" s="43" t="s">
        <v>166</v>
      </c>
      <c r="E498" s="43" t="s">
        <v>167</v>
      </c>
      <c r="F498" s="43" t="s">
        <v>168</v>
      </c>
      <c r="G498" s="43" t="s">
        <v>169</v>
      </c>
      <c r="H498" s="43" t="s">
        <v>170</v>
      </c>
      <c r="I498" s="43" t="s">
        <v>171</v>
      </c>
      <c r="J498" s="43" t="s">
        <v>172</v>
      </c>
      <c r="K498" s="43" t="s">
        <v>173</v>
      </c>
      <c r="L498" s="43" t="s">
        <v>174</v>
      </c>
      <c r="M498" s="43" t="s">
        <v>175</v>
      </c>
      <c r="N498" s="44" t="s">
        <v>161</v>
      </c>
      <c r="O498" s="44" t="s">
        <v>162</v>
      </c>
      <c r="P498" s="44" t="s">
        <v>176</v>
      </c>
      <c r="Q498" s="44" t="s">
        <v>177</v>
      </c>
      <c r="R498" s="44" t="s">
        <v>178</v>
      </c>
      <c r="S498" s="44" t="s">
        <v>179</v>
      </c>
      <c r="T498" s="44" t="s">
        <v>180</v>
      </c>
      <c r="U498" s="44" t="s">
        <v>181</v>
      </c>
      <c r="V498" s="44" t="s">
        <v>182</v>
      </c>
      <c r="W498" s="44" t="s">
        <v>183</v>
      </c>
      <c r="X498" s="45" t="s">
        <v>184</v>
      </c>
      <c r="Y498" s="45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  <c r="CL498" s="18"/>
      <c r="CM498" s="18"/>
      <c r="CN498" s="18"/>
      <c r="CO498" s="18"/>
      <c r="CP498" s="18"/>
      <c r="CQ498" s="18"/>
      <c r="CR498" s="18"/>
      <c r="CS498" s="18"/>
      <c r="CT498" s="18"/>
      <c r="CU498" s="18"/>
      <c r="CV498" s="18"/>
      <c r="CW498" s="18"/>
      <c r="CX498" s="18"/>
      <c r="CY498" s="18"/>
      <c r="CZ498" s="18"/>
      <c r="DA498" s="18"/>
      <c r="DB498" s="18"/>
      <c r="DC498" s="18"/>
      <c r="DD498" s="18"/>
      <c r="DE498" s="18"/>
      <c r="DF498" s="18"/>
    </row>
    <row r="499" spans="1:110">
      <c r="A499" s="168">
        <v>1</v>
      </c>
      <c r="B499" s="47" t="str">
        <f ca="1">Lineups!$C$145</f>
        <v>Daisy</v>
      </c>
      <c r="C499" s="48"/>
      <c r="D499" s="49"/>
      <c r="E499" s="49"/>
      <c r="F499" s="49"/>
      <c r="G499" s="49"/>
      <c r="H499" s="50"/>
      <c r="I499" s="50"/>
      <c r="J499" s="50"/>
      <c r="K499" s="50"/>
      <c r="L499" s="50"/>
      <c r="M499" s="67">
        <f ca="1">IF($B499="","",SUM(_xlfn.XLOOKUP(C499,Lists!$P$2:$P$19,Lists!$R$2:$R$19,0),_xlfn.XLOOKUP(E499,Lists!$P$2:$P$19,Lists!$R$2:$R$19,0),_xlfn.XLOOKUP(G499,Lists!$P$2:$P$19,Lists!$R$2:$R$19,0),_xlfn.XLOOKUP(I499,Lists!$P$2:$P$19,Lists!$R$2:$R$19,0),_xlfn.XLOOKUP(K499,Lists!$P$2:$P$19,Lists!$R$2:$R$19,0)))</f>
        <v>0</v>
      </c>
      <c r="N499" s="68">
        <f ca="1">IF($B499="","",SUM(_xlfn.XLOOKUP(D499,Lists!$AC$2:$AC$9,Lists!$AE$2:$AE$9,0),_xlfn.XLOOKUP(F499,Lists!$AC$2:$AC$9,Lists!$AE$2:$AE$9,0),_xlfn.XLOOKUP(H499,Lists!$AC$2:$AC$9,Lists!$AE$2:$AE$9,0),_xlfn.XLOOKUP(J499,Lists!$AC$2:$AC$9,Lists!$AE$2:$AE$9,0),_xlfn.XLOOKUP(L499,Lists!$AC$2:$AC$9,Lists!$AE$2:$AE$9,0)))</f>
        <v>0</v>
      </c>
      <c r="O499" s="68">
        <f ca="1">IF($B499="","",SUM(_xlfn.XLOOKUP(C499,Lists!$P$2:$P$19,Lists!$S$2:$S$19,0),_xlfn.XLOOKUP(E499,Lists!$P$2:$P$19,Lists!$S$2:$S$19,0),_xlfn.XLOOKUP(G499,Lists!$P$2:$P$19,Lists!$S$2:$S$19,0),_xlfn.XLOOKUP(I499,Lists!$P$2:$P$19,Lists!$S$2:$S$19,0),_xlfn.XLOOKUP(K499,Lists!$P$2:$P$19,Lists!$S$2:$S$19,0)))</f>
        <v>0</v>
      </c>
      <c r="P499" s="68">
        <f ca="1">IF($B499="","",SUM(_xlfn.XLOOKUP(C499,Lists!$P$2:$P$19,Lists!$T$2:$T$19,0),_xlfn.XLOOKUP(E499,Lists!$P$2:$P$19,Lists!$T$2:$T$19,0),_xlfn.XLOOKUP(G499,Lists!$P$2:$P$19,Lists!$T$2:$T$19,0),_xlfn.XLOOKUP(I499,Lists!$P$2:$P$19,Lists!$T$2:$T$19,0),_xlfn.XLOOKUP(K499,Lists!$P$2:$P$19,Lists!$T$2:$T$19,0)))</f>
        <v>0</v>
      </c>
      <c r="Q499" s="68">
        <f ca="1">IF($B499="","",SUM(_xlfn.XLOOKUP(C499,Lists!$P$2:$P$19,Lists!$U$2:$U$19,0),_xlfn.XLOOKUP(E499,Lists!$P$2:$P$19,Lists!$U$2:$U$19,0),_xlfn.XLOOKUP(G499,Lists!$P$2:$P$19,Lists!$U$2:$U$19,0),_xlfn.XLOOKUP(I499,Lists!$P$2:$P$19,Lists!$U$2:$U$19,0),_xlfn.XLOOKUP(K499,Lists!$P$2:$P$19,Lists!$U$2:$U$19,0)))</f>
        <v>0</v>
      </c>
      <c r="R499" s="68">
        <f ca="1">IF($B499="","",SUM(_xlfn.XLOOKUP(C499,Lists!$P$2:$P$19,Lists!$V$2:$V$19,0),_xlfn.XLOOKUP(E499,Lists!$P$2:$P$19,Lists!$V$2:$V$19,0),_xlfn.XLOOKUP(G499,Lists!$P$2:$P$19,Lists!$V$2:$V$19,0),_xlfn.XLOOKUP(I499,Lists!$P$2:$P$19,Lists!$V$2:$V$19,0),_xlfn.XLOOKUP(K499,Lists!$P$2:$P$19,Lists!$V$2:$V$19,0)))</f>
        <v>0</v>
      </c>
      <c r="S499" s="68">
        <f ca="1">IF($B499="","",SUM(_xlfn.XLOOKUP(D499,Lists!$AC$2:$AC$9,Lists!$AD$2:$AD$9,0),_xlfn.XLOOKUP(F499,Lists!$AC$2:$AC$9,Lists!$AD$2:$AD$9,0),_xlfn.XLOOKUP(H499,Lists!$AC$2:$AC$9,Lists!$AD$2:$AD$9,0),_xlfn.XLOOKUP(J499,Lists!$AC$2:$AC$9,Lists!$AD$2:$AD$9,0),_xlfn.XLOOKUP(L499,Lists!$AC$2:$AC$9,Lists!$AD$2:$AD$9,0)))</f>
        <v>0</v>
      </c>
      <c r="T499" s="68">
        <f ca="1">IF($B499="","",SUM(_xlfn.XLOOKUP(C499,Lists!$P$2:$P$19,Lists!$W$2:$W$19,0),_xlfn.XLOOKUP(E499,Lists!$P$2:$P$19,Lists!$W$2:$W$19,0),_xlfn.XLOOKUP(G499,Lists!$P$2:$P$19,Lists!$W$2:$W$19,0),_xlfn.XLOOKUP(I499,Lists!$P$2:$P$19,Lists!$W$2:$W$19,0),_xlfn.XLOOKUP(K499,Lists!$P$2:$P$19,Lists!$W$2:$W$19,0)))</f>
        <v>0</v>
      </c>
      <c r="U499" s="68">
        <f ca="1">IF($B499="","",SUM(_xlfn.XLOOKUP(C499,Lists!$P$2:$P$19,Lists!$X$2:$X$19,0),_xlfn.XLOOKUP(E499,Lists!$P$2:$P$19,Lists!$X$2:$X$19,0),_xlfn.XLOOKUP(G499,Lists!$P$2:$P$19,Lists!$X$2:$X$19,0),_xlfn.XLOOKUP(I499,Lists!$P$2:$P$19,Lists!$X$2:$X$19,0),_xlfn.XLOOKUP(K499,Lists!$P$2:$P$19,Lists!$X$2:$X$19,0)))</f>
        <v>0</v>
      </c>
      <c r="V499" s="68">
        <f ca="1">IF($B499="","",SUM(_xlfn.XLOOKUP(C499,Lists!$P$2:$P$19,Lists!$Y$2:$Y$19,0),_xlfn.XLOOKUP(E499,Lists!$P$2:$P$19,Lists!$Y$2:$Y$19,0),_xlfn.XLOOKUP(G499,Lists!$P$2:$P$19,Lists!$Y$2:$Y$19,0),_xlfn.XLOOKUP(I499,Lists!$P$2:$P$19,Lists!$Y$2:$Y$19,0),_xlfn.XLOOKUP(K499,Lists!$P$2:$P$19,Lists!$Y$2:$Y$19,0)))</f>
        <v>0</v>
      </c>
      <c r="W499" s="68">
        <f ca="1">IF($B499="","",SUM(_xlfn.XLOOKUP(C499,Lists!$P$2:$P$19,Lists!$Z$2:$Z$19,0),_xlfn.XLOOKUP(E499,Lists!$P$2:$P$19,Lists!$Z$2:$Z$19,0),_xlfn.XLOOKUP(G499,Lists!$P$2:$P$19,Lists!$Z$2:$Z$19,0),_xlfn.XLOOKUP(I499,Lists!$P$2:$P$19,Lists!$Z$2:$Z$19,0),_xlfn.XLOOKUP(K499,Lists!$P$2:$P$19,Lists!$Z$2:$Z$19,0)))</f>
        <v>0</v>
      </c>
      <c r="X499" s="69">
        <f ca="1">IF($B499="","",SUM(_xlfn.XLOOKUP(C499,Lists!$P$2:$P$19,Lists!$AA$2:$AA$19,0),_xlfn.XLOOKUP(E499,Lists!$P$2:$P$19,Lists!$AA$2:$AA$19,0),_xlfn.XLOOKUP(G499,Lists!$P$2:$P$19,Lists!$AA$2:$AA$19,0),_xlfn.XLOOKUP(I499,Lists!$P$2:$P$19,Lists!$AA$2:$AA$19,0),_xlfn.XLOOKUP(K499,Lists!$P$2:$P$19,Lists!$AA$2:$AA$19,0)))</f>
        <v>0</v>
      </c>
      <c r="Y499" s="4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  <c r="CL499" s="18"/>
      <c r="CM499" s="18"/>
      <c r="CN499" s="18"/>
      <c r="CO499" s="18"/>
      <c r="CP499" s="18"/>
      <c r="CQ499" s="18"/>
      <c r="CR499" s="18"/>
      <c r="CS499" s="18"/>
      <c r="CT499" s="18"/>
      <c r="CU499" s="18"/>
      <c r="CV499" s="18"/>
      <c r="CW499" s="18"/>
      <c r="CX499" s="18"/>
      <c r="CY499" s="18"/>
      <c r="CZ499" s="18"/>
      <c r="DA499" s="18"/>
      <c r="DB499" s="18"/>
      <c r="DC499" s="18"/>
      <c r="DD499" s="18"/>
      <c r="DE499" s="18"/>
      <c r="DF499" s="18"/>
    </row>
    <row r="500" spans="1:110">
      <c r="A500" s="168">
        <v>2</v>
      </c>
      <c r="B500" s="47" t="str">
        <f ca="1">Lineups!$C$146</f>
        <v>Mii</v>
      </c>
      <c r="C500" s="49"/>
      <c r="D500" s="49"/>
      <c r="E500" s="49"/>
      <c r="F500" s="49"/>
      <c r="G500" s="49"/>
      <c r="H500" s="50"/>
      <c r="I500" s="50"/>
      <c r="J500" s="50"/>
      <c r="K500" s="50"/>
      <c r="L500" s="50"/>
      <c r="M500" s="67">
        <f ca="1">IF($B500="","",SUM(_xlfn.XLOOKUP(C500,Lists!$P$2:$P$19,Lists!$R$2:$R$19,0),_xlfn.XLOOKUP(E500,Lists!$P$2:$P$19,Lists!$R$2:$R$19,0),_xlfn.XLOOKUP(G500,Lists!$P$2:$P$19,Lists!$R$2:$R$19,0),_xlfn.XLOOKUP(I500,Lists!$P$2:$P$19,Lists!$R$2:$R$19,0),_xlfn.XLOOKUP(K500,Lists!$P$2:$P$19,Lists!$R$2:$R$19,0)))</f>
        <v>0</v>
      </c>
      <c r="N500" s="68">
        <f ca="1">IF($B500="","",SUM(_xlfn.XLOOKUP(D500,Lists!$AC$2:$AC$9,Lists!$AE$2:$AE$9,0),_xlfn.XLOOKUP(F500,Lists!$AC$2:$AC$9,Lists!$AE$2:$AE$9,0),_xlfn.XLOOKUP(H500,Lists!$AC$2:$AC$9,Lists!$AE$2:$AE$9,0),_xlfn.XLOOKUP(J500,Lists!$AC$2:$AC$9,Lists!$AE$2:$AE$9,0),_xlfn.XLOOKUP(L500,Lists!$AC$2:$AC$9,Lists!$AE$2:$AE$9,0)))</f>
        <v>0</v>
      </c>
      <c r="O500" s="68">
        <f ca="1">IF($B500="","",SUM(_xlfn.XLOOKUP(C500,Lists!$P$2:$P$19,Lists!$S$2:$S$19,0),_xlfn.XLOOKUP(E500,Lists!$P$2:$P$19,Lists!$S$2:$S$19,0),_xlfn.XLOOKUP(G500,Lists!$P$2:$P$19,Lists!$S$2:$S$19,0),_xlfn.XLOOKUP(I500,Lists!$P$2:$P$19,Lists!$S$2:$S$19,0),_xlfn.XLOOKUP(K500,Lists!$P$2:$P$19,Lists!$S$2:$S$19,0)))</f>
        <v>0</v>
      </c>
      <c r="P500" s="68">
        <f ca="1">IF($B500="","",SUM(_xlfn.XLOOKUP(C500,Lists!$P$2:$P$19,Lists!$T$2:$T$19,0),_xlfn.XLOOKUP(E500,Lists!$P$2:$P$19,Lists!$T$2:$T$19,0),_xlfn.XLOOKUP(G500,Lists!$P$2:$P$19,Lists!$T$2:$T$19,0),_xlfn.XLOOKUP(I500,Lists!$P$2:$P$19,Lists!$T$2:$T$19,0),_xlfn.XLOOKUP(K500,Lists!$P$2:$P$19,Lists!$T$2:$T$19,0)))</f>
        <v>0</v>
      </c>
      <c r="Q500" s="68">
        <f ca="1">IF($B500="","",SUM(_xlfn.XLOOKUP(C500,Lists!$P$2:$P$19,Lists!$U$2:$U$19,0),_xlfn.XLOOKUP(E500,Lists!$P$2:$P$19,Lists!$U$2:$U$19,0),_xlfn.XLOOKUP(G500,Lists!$P$2:$P$19,Lists!$U$2:$U$19,0),_xlfn.XLOOKUP(I500,Lists!$P$2:$P$19,Lists!$U$2:$U$19,0),_xlfn.XLOOKUP(K500,Lists!$P$2:$P$19,Lists!$U$2:$U$19,0)))</f>
        <v>0</v>
      </c>
      <c r="R500" s="68">
        <f ca="1">IF($B500="","",SUM(_xlfn.XLOOKUP(C500,Lists!$P$2:$P$19,Lists!$V$2:$V$19,0),_xlfn.XLOOKUP(E500,Lists!$P$2:$P$19,Lists!$V$2:$V$19,0),_xlfn.XLOOKUP(G500,Lists!$P$2:$P$19,Lists!$V$2:$V$19,0),_xlfn.XLOOKUP(I500,Lists!$P$2:$P$19,Lists!$V$2:$V$19,0),_xlfn.XLOOKUP(K500,Lists!$P$2:$P$19,Lists!$V$2:$V$19,0)))</f>
        <v>0</v>
      </c>
      <c r="S500" s="68">
        <f ca="1">IF($B500="","",SUM(_xlfn.XLOOKUP(D500,Lists!$AC$2:$AC$9,Lists!$AD$2:$AD$9,0),_xlfn.XLOOKUP(F500,Lists!$AC$2:$AC$9,Lists!$AD$2:$AD$9,0),_xlfn.XLOOKUP(H500,Lists!$AC$2:$AC$9,Lists!$AD$2:$AD$9,0),_xlfn.XLOOKUP(J500,Lists!$AC$2:$AC$9,Lists!$AD$2:$AD$9,0),_xlfn.XLOOKUP(L500,Lists!$AC$2:$AC$9,Lists!$AD$2:$AD$9,0)))</f>
        <v>0</v>
      </c>
      <c r="T500" s="68">
        <f ca="1">IF($B500="","",SUM(_xlfn.XLOOKUP(C500,Lists!$P$2:$P$19,Lists!$W$2:$W$19,0),_xlfn.XLOOKUP(E500,Lists!$P$2:$P$19,Lists!$W$2:$W$19,0),_xlfn.XLOOKUP(G500,Lists!$P$2:$P$19,Lists!$W$2:$W$19,0),_xlfn.XLOOKUP(I500,Lists!$P$2:$P$19,Lists!$W$2:$W$19,0),_xlfn.XLOOKUP(K500,Lists!$P$2:$P$19,Lists!$W$2:$W$19,0)))</f>
        <v>0</v>
      </c>
      <c r="U500" s="68">
        <f ca="1">IF($B500="","",SUM(_xlfn.XLOOKUP(C500,Lists!$P$2:$P$19,Lists!$X$2:$X$19,0),_xlfn.XLOOKUP(E500,Lists!$P$2:$P$19,Lists!$X$2:$X$19,0),_xlfn.XLOOKUP(G500,Lists!$P$2:$P$19,Lists!$X$2:$X$19,0),_xlfn.XLOOKUP(I500,Lists!$P$2:$P$19,Lists!$X$2:$X$19,0),_xlfn.XLOOKUP(K500,Lists!$P$2:$P$19,Lists!$X$2:$X$19,0)))</f>
        <v>0</v>
      </c>
      <c r="V500" s="68">
        <f ca="1">IF($B500="","",SUM(_xlfn.XLOOKUP(C500,Lists!$P$2:$P$19,Lists!$Y$2:$Y$19,0),_xlfn.XLOOKUP(E500,Lists!$P$2:$P$19,Lists!$Y$2:$Y$19,0),_xlfn.XLOOKUP(G500,Lists!$P$2:$P$19,Lists!$Y$2:$Y$19,0),_xlfn.XLOOKUP(I500,Lists!$P$2:$P$19,Lists!$Y$2:$Y$19,0),_xlfn.XLOOKUP(K500,Lists!$P$2:$P$19,Lists!$Y$2:$Y$19,0)))</f>
        <v>0</v>
      </c>
      <c r="W500" s="68">
        <f ca="1">IF($B500="","",SUM(_xlfn.XLOOKUP(C500,Lists!$P$2:$P$19,Lists!$Z$2:$Z$19,0),_xlfn.XLOOKUP(E500,Lists!$P$2:$P$19,Lists!$Z$2:$Z$19,0),_xlfn.XLOOKUP(G500,Lists!$P$2:$P$19,Lists!$Z$2:$Z$19,0),_xlfn.XLOOKUP(I500,Lists!$P$2:$P$19,Lists!$Z$2:$Z$19,0),_xlfn.XLOOKUP(K500,Lists!$P$2:$P$19,Lists!$Z$2:$Z$19,0)))</f>
        <v>0</v>
      </c>
      <c r="X500" s="69">
        <f ca="1">IF($B500="","",SUM(_xlfn.XLOOKUP(C500,Lists!$P$2:$P$19,Lists!$AA$2:$AA$19,0),_xlfn.XLOOKUP(E500,Lists!$P$2:$P$19,Lists!$AA$2:$AA$19,0),_xlfn.XLOOKUP(G500,Lists!$P$2:$P$19,Lists!$AA$2:$AA$19,0),_xlfn.XLOOKUP(I500,Lists!$P$2:$P$19,Lists!$AA$2:$AA$19,0),_xlfn.XLOOKUP(K500,Lists!$P$2:$P$19,Lists!$AA$2:$AA$19,0)))</f>
        <v>0</v>
      </c>
      <c r="Y500" s="49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  <c r="CL500" s="18"/>
      <c r="CM500" s="18"/>
      <c r="CN500" s="18"/>
      <c r="CO500" s="18"/>
      <c r="CP500" s="18"/>
      <c r="CQ500" s="18"/>
      <c r="CR500" s="18"/>
      <c r="CS500" s="18"/>
      <c r="CT500" s="18"/>
      <c r="CU500" s="18"/>
      <c r="CV500" s="18"/>
      <c r="CW500" s="18"/>
      <c r="CX500" s="18"/>
      <c r="CY500" s="18"/>
      <c r="CZ500" s="18"/>
      <c r="DA500" s="18"/>
      <c r="DB500" s="18"/>
      <c r="DC500" s="18"/>
      <c r="DD500" s="18"/>
      <c r="DE500" s="18"/>
      <c r="DF500" s="18"/>
    </row>
    <row r="501" spans="1:110">
      <c r="A501" s="168">
        <v>3</v>
      </c>
      <c r="B501" s="47" t="str">
        <f ca="1">Lineups!$C$147</f>
        <v>Toadette</v>
      </c>
      <c r="C501" s="49"/>
      <c r="D501" s="49"/>
      <c r="E501" s="49"/>
      <c r="F501" s="49"/>
      <c r="G501" s="49"/>
      <c r="H501" s="50"/>
      <c r="I501" s="50"/>
      <c r="J501" s="50"/>
      <c r="K501" s="50"/>
      <c r="L501" s="50"/>
      <c r="M501" s="67">
        <f ca="1">IF($B501="","",SUM(_xlfn.XLOOKUP(C501,Lists!$P$2:$P$19,Lists!$R$2:$R$19,0),_xlfn.XLOOKUP(E501,Lists!$P$2:$P$19,Lists!$R$2:$R$19,0),_xlfn.XLOOKUP(G501,Lists!$P$2:$P$19,Lists!$R$2:$R$19,0),_xlfn.XLOOKUP(I501,Lists!$P$2:$P$19,Lists!$R$2:$R$19,0),_xlfn.XLOOKUP(K501,Lists!$P$2:$P$19,Lists!$R$2:$R$19,0)))</f>
        <v>0</v>
      </c>
      <c r="N501" s="68">
        <f ca="1">IF($B501="","",SUM(_xlfn.XLOOKUP(D501,Lists!$AC$2:$AC$9,Lists!$AE$2:$AE$9,0),_xlfn.XLOOKUP(F501,Lists!$AC$2:$AC$9,Lists!$AE$2:$AE$9,0),_xlfn.XLOOKUP(H501,Lists!$AC$2:$AC$9,Lists!$AE$2:$AE$9,0),_xlfn.XLOOKUP(J501,Lists!$AC$2:$AC$9,Lists!$AE$2:$AE$9,0),_xlfn.XLOOKUP(L501,Lists!$AC$2:$AC$9,Lists!$AE$2:$AE$9,0)))</f>
        <v>0</v>
      </c>
      <c r="O501" s="68">
        <f ca="1">IF($B501="","",SUM(_xlfn.XLOOKUP(C501,Lists!$P$2:$P$19,Lists!$S$2:$S$19,0),_xlfn.XLOOKUP(E501,Lists!$P$2:$P$19,Lists!$S$2:$S$19,0),_xlfn.XLOOKUP(G501,Lists!$P$2:$P$19,Lists!$S$2:$S$19,0),_xlfn.XLOOKUP(I501,Lists!$P$2:$P$19,Lists!$S$2:$S$19,0),_xlfn.XLOOKUP(K501,Lists!$P$2:$P$19,Lists!$S$2:$S$19,0)))</f>
        <v>0</v>
      </c>
      <c r="P501" s="68">
        <f ca="1">IF($B501="","",SUM(_xlfn.XLOOKUP(C501,Lists!$P$2:$P$19,Lists!$T$2:$T$19,0),_xlfn.XLOOKUP(E501,Lists!$P$2:$P$19,Lists!$T$2:$T$19,0),_xlfn.XLOOKUP(G501,Lists!$P$2:$P$19,Lists!$T$2:$T$19,0),_xlfn.XLOOKUP(I501,Lists!$P$2:$P$19,Lists!$T$2:$T$19,0),_xlfn.XLOOKUP(K501,Lists!$P$2:$P$19,Lists!$T$2:$T$19,0)))</f>
        <v>0</v>
      </c>
      <c r="Q501" s="68">
        <f ca="1">IF($B501="","",SUM(_xlfn.XLOOKUP(C501,Lists!$P$2:$P$19,Lists!$U$2:$U$19,0),_xlfn.XLOOKUP(E501,Lists!$P$2:$P$19,Lists!$U$2:$U$19,0),_xlfn.XLOOKUP(G501,Lists!$P$2:$P$19,Lists!$U$2:$U$19,0),_xlfn.XLOOKUP(I501,Lists!$P$2:$P$19,Lists!$U$2:$U$19,0),_xlfn.XLOOKUP(K501,Lists!$P$2:$P$19,Lists!$U$2:$U$19,0)))</f>
        <v>0</v>
      </c>
      <c r="R501" s="68">
        <f ca="1">IF($B501="","",SUM(_xlfn.XLOOKUP(C501,Lists!$P$2:$P$19,Lists!$V$2:$V$19,0),_xlfn.XLOOKUP(E501,Lists!$P$2:$P$19,Lists!$V$2:$V$19,0),_xlfn.XLOOKUP(G501,Lists!$P$2:$P$19,Lists!$V$2:$V$19,0),_xlfn.XLOOKUP(I501,Lists!$P$2:$P$19,Lists!$V$2:$V$19,0),_xlfn.XLOOKUP(K501,Lists!$P$2:$P$19,Lists!$V$2:$V$19,0)))</f>
        <v>0</v>
      </c>
      <c r="S501" s="68">
        <f ca="1">IF($B501="","",SUM(_xlfn.XLOOKUP(D501,Lists!$AC$2:$AC$9,Lists!$AD$2:$AD$9,0),_xlfn.XLOOKUP(F501,Lists!$AC$2:$AC$9,Lists!$AD$2:$AD$9,0),_xlfn.XLOOKUP(H501,Lists!$AC$2:$AC$9,Lists!$AD$2:$AD$9,0),_xlfn.XLOOKUP(J501,Lists!$AC$2:$AC$9,Lists!$AD$2:$AD$9,0),_xlfn.XLOOKUP(L501,Lists!$AC$2:$AC$9,Lists!$AD$2:$AD$9,0)))</f>
        <v>0</v>
      </c>
      <c r="T501" s="68">
        <f ca="1">IF($B501="","",SUM(_xlfn.XLOOKUP(C501,Lists!$P$2:$P$19,Lists!$W$2:$W$19,0),_xlfn.XLOOKUP(E501,Lists!$P$2:$P$19,Lists!$W$2:$W$19,0),_xlfn.XLOOKUP(G501,Lists!$P$2:$P$19,Lists!$W$2:$W$19,0),_xlfn.XLOOKUP(I501,Lists!$P$2:$P$19,Lists!$W$2:$W$19,0),_xlfn.XLOOKUP(K501,Lists!$P$2:$P$19,Lists!$W$2:$W$19,0)))</f>
        <v>0</v>
      </c>
      <c r="U501" s="68">
        <f ca="1">IF($B501="","",SUM(_xlfn.XLOOKUP(C501,Lists!$P$2:$P$19,Lists!$X$2:$X$19,0),_xlfn.XLOOKUP(E501,Lists!$P$2:$P$19,Lists!$X$2:$X$19,0),_xlfn.XLOOKUP(G501,Lists!$P$2:$P$19,Lists!$X$2:$X$19,0),_xlfn.XLOOKUP(I501,Lists!$P$2:$P$19,Lists!$X$2:$X$19,0),_xlfn.XLOOKUP(K501,Lists!$P$2:$P$19,Lists!$X$2:$X$19,0)))</f>
        <v>0</v>
      </c>
      <c r="V501" s="68">
        <f ca="1">IF($B501="","",SUM(_xlfn.XLOOKUP(C501,Lists!$P$2:$P$19,Lists!$Y$2:$Y$19,0),_xlfn.XLOOKUP(E501,Lists!$P$2:$P$19,Lists!$Y$2:$Y$19,0),_xlfn.XLOOKUP(G501,Lists!$P$2:$P$19,Lists!$Y$2:$Y$19,0),_xlfn.XLOOKUP(I501,Lists!$P$2:$P$19,Lists!$Y$2:$Y$19,0),_xlfn.XLOOKUP(K501,Lists!$P$2:$P$19,Lists!$Y$2:$Y$19,0)))</f>
        <v>0</v>
      </c>
      <c r="W501" s="68">
        <f ca="1">IF($B501="","",SUM(_xlfn.XLOOKUP(C501,Lists!$P$2:$P$19,Lists!$Z$2:$Z$19,0),_xlfn.XLOOKUP(E501,Lists!$P$2:$P$19,Lists!$Z$2:$Z$19,0),_xlfn.XLOOKUP(G501,Lists!$P$2:$P$19,Lists!$Z$2:$Z$19,0),_xlfn.XLOOKUP(I501,Lists!$P$2:$P$19,Lists!$Z$2:$Z$19,0),_xlfn.XLOOKUP(K501,Lists!$P$2:$P$19,Lists!$Z$2:$Z$19,0)))</f>
        <v>0</v>
      </c>
      <c r="X501" s="69">
        <f ca="1">IF($B501="","",SUM(_xlfn.XLOOKUP(C501,Lists!$P$2:$P$19,Lists!$AA$2:$AA$19,0),_xlfn.XLOOKUP(E501,Lists!$P$2:$P$19,Lists!$AA$2:$AA$19,0),_xlfn.XLOOKUP(G501,Lists!$P$2:$P$19,Lists!$AA$2:$AA$19,0),_xlfn.XLOOKUP(I501,Lists!$P$2:$P$19,Lists!$AA$2:$AA$19,0),_xlfn.XLOOKUP(K501,Lists!$P$2:$P$19,Lists!$AA$2:$AA$19,0)))</f>
        <v>0</v>
      </c>
      <c r="Y501" s="49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18"/>
      <c r="CN501" s="18"/>
      <c r="CO501" s="18"/>
      <c r="CP501" s="18"/>
      <c r="CQ501" s="18"/>
      <c r="CR501" s="18"/>
      <c r="CS501" s="18"/>
      <c r="CT501" s="18"/>
      <c r="CU501" s="18"/>
      <c r="CV501" s="18"/>
      <c r="CW501" s="18"/>
      <c r="CX501" s="18"/>
      <c r="CY501" s="18"/>
      <c r="CZ501" s="18"/>
      <c r="DA501" s="18"/>
      <c r="DB501" s="18"/>
      <c r="DC501" s="18"/>
      <c r="DD501" s="18"/>
      <c r="DE501" s="18"/>
      <c r="DF501" s="18"/>
    </row>
    <row r="502" spans="1:110">
      <c r="A502" s="168">
        <v>4</v>
      </c>
      <c r="B502" s="47" t="str">
        <f ca="1">Lineups!$C$148</f>
        <v>Blue Toad</v>
      </c>
      <c r="C502" s="49"/>
      <c r="D502" s="49"/>
      <c r="E502" s="49"/>
      <c r="F502" s="49"/>
      <c r="G502" s="49"/>
      <c r="H502" s="50"/>
      <c r="I502" s="50"/>
      <c r="J502" s="50"/>
      <c r="K502" s="50"/>
      <c r="L502" s="50"/>
      <c r="M502" s="67">
        <f ca="1">IF($B502="","",SUM(_xlfn.XLOOKUP(C502,Lists!$P$2:$P$19,Lists!$R$2:$R$19,0),_xlfn.XLOOKUP(E502,Lists!$P$2:$P$19,Lists!$R$2:$R$19,0),_xlfn.XLOOKUP(G502,Lists!$P$2:$P$19,Lists!$R$2:$R$19,0),_xlfn.XLOOKUP(I502,Lists!$P$2:$P$19,Lists!$R$2:$R$19,0),_xlfn.XLOOKUP(K502,Lists!$P$2:$P$19,Lists!$R$2:$R$19,0)))</f>
        <v>0</v>
      </c>
      <c r="N502" s="68">
        <f ca="1">IF($B502="","",SUM(_xlfn.XLOOKUP(D502,Lists!$AC$2:$AC$9,Lists!$AE$2:$AE$9,0),_xlfn.XLOOKUP(F502,Lists!$AC$2:$AC$9,Lists!$AE$2:$AE$9,0),_xlfn.XLOOKUP(H502,Lists!$AC$2:$AC$9,Lists!$AE$2:$AE$9,0),_xlfn.XLOOKUP(J502,Lists!$AC$2:$AC$9,Lists!$AE$2:$AE$9,0),_xlfn.XLOOKUP(L502,Lists!$AC$2:$AC$9,Lists!$AE$2:$AE$9,0)))</f>
        <v>0</v>
      </c>
      <c r="O502" s="68">
        <f ca="1">IF($B502="","",SUM(_xlfn.XLOOKUP(C502,Lists!$P$2:$P$19,Lists!$S$2:$S$19,0),_xlfn.XLOOKUP(E502,Lists!$P$2:$P$19,Lists!$S$2:$S$19,0),_xlfn.XLOOKUP(G502,Lists!$P$2:$P$19,Lists!$S$2:$S$19,0),_xlfn.XLOOKUP(I502,Lists!$P$2:$P$19,Lists!$S$2:$S$19,0),_xlfn.XLOOKUP(K502,Lists!$P$2:$P$19,Lists!$S$2:$S$19,0)))</f>
        <v>0</v>
      </c>
      <c r="P502" s="68">
        <f ca="1">IF($B502="","",SUM(_xlfn.XLOOKUP(C502,Lists!$P$2:$P$19,Lists!$T$2:$T$19,0),_xlfn.XLOOKUP(E502,Lists!$P$2:$P$19,Lists!$T$2:$T$19,0),_xlfn.XLOOKUP(G502,Lists!$P$2:$P$19,Lists!$T$2:$T$19,0),_xlfn.XLOOKUP(I502,Lists!$P$2:$P$19,Lists!$T$2:$T$19,0),_xlfn.XLOOKUP(K502,Lists!$P$2:$P$19,Lists!$T$2:$T$19,0)))</f>
        <v>0</v>
      </c>
      <c r="Q502" s="68">
        <f ca="1">IF($B502="","",SUM(_xlfn.XLOOKUP(C502,Lists!$P$2:$P$19,Lists!$U$2:$U$19,0),_xlfn.XLOOKUP(E502,Lists!$P$2:$P$19,Lists!$U$2:$U$19,0),_xlfn.XLOOKUP(G502,Lists!$P$2:$P$19,Lists!$U$2:$U$19,0),_xlfn.XLOOKUP(I502,Lists!$P$2:$P$19,Lists!$U$2:$U$19,0),_xlfn.XLOOKUP(K502,Lists!$P$2:$P$19,Lists!$U$2:$U$19,0)))</f>
        <v>0</v>
      </c>
      <c r="R502" s="68">
        <f ca="1">IF($B502="","",SUM(_xlfn.XLOOKUP(C502,Lists!$P$2:$P$19,Lists!$V$2:$V$19,0),_xlfn.XLOOKUP(E502,Lists!$P$2:$P$19,Lists!$V$2:$V$19,0),_xlfn.XLOOKUP(G502,Lists!$P$2:$P$19,Lists!$V$2:$V$19,0),_xlfn.XLOOKUP(I502,Lists!$P$2:$P$19,Lists!$V$2:$V$19,0),_xlfn.XLOOKUP(K502,Lists!$P$2:$P$19,Lists!$V$2:$V$19,0)))</f>
        <v>0</v>
      </c>
      <c r="S502" s="68">
        <f ca="1">IF($B502="","",SUM(_xlfn.XLOOKUP(D502,Lists!$AC$2:$AC$9,Lists!$AD$2:$AD$9,0),_xlfn.XLOOKUP(F502,Lists!$AC$2:$AC$9,Lists!$AD$2:$AD$9,0),_xlfn.XLOOKUP(H502,Lists!$AC$2:$AC$9,Lists!$AD$2:$AD$9,0),_xlfn.XLOOKUP(J502,Lists!$AC$2:$AC$9,Lists!$AD$2:$AD$9,0),_xlfn.XLOOKUP(L502,Lists!$AC$2:$AC$9,Lists!$AD$2:$AD$9,0)))</f>
        <v>0</v>
      </c>
      <c r="T502" s="68">
        <f ca="1">IF($B502="","",SUM(_xlfn.XLOOKUP(C502,Lists!$P$2:$P$19,Lists!$W$2:$W$19,0),_xlfn.XLOOKUP(E502,Lists!$P$2:$P$19,Lists!$W$2:$W$19,0),_xlfn.XLOOKUP(G502,Lists!$P$2:$P$19,Lists!$W$2:$W$19,0),_xlfn.XLOOKUP(I502,Lists!$P$2:$P$19,Lists!$W$2:$W$19,0),_xlfn.XLOOKUP(K502,Lists!$P$2:$P$19,Lists!$W$2:$W$19,0)))</f>
        <v>0</v>
      </c>
      <c r="U502" s="68">
        <f ca="1">IF($B502="","",SUM(_xlfn.XLOOKUP(C502,Lists!$P$2:$P$19,Lists!$X$2:$X$19,0),_xlfn.XLOOKUP(E502,Lists!$P$2:$P$19,Lists!$X$2:$X$19,0),_xlfn.XLOOKUP(G502,Lists!$P$2:$P$19,Lists!$X$2:$X$19,0),_xlfn.XLOOKUP(I502,Lists!$P$2:$P$19,Lists!$X$2:$X$19,0),_xlfn.XLOOKUP(K502,Lists!$P$2:$P$19,Lists!$X$2:$X$19,0)))</f>
        <v>0</v>
      </c>
      <c r="V502" s="68">
        <f ca="1">IF($B502="","",SUM(_xlfn.XLOOKUP(C502,Lists!$P$2:$P$19,Lists!$Y$2:$Y$19,0),_xlfn.XLOOKUP(E502,Lists!$P$2:$P$19,Lists!$Y$2:$Y$19,0),_xlfn.XLOOKUP(G502,Lists!$P$2:$P$19,Lists!$Y$2:$Y$19,0),_xlfn.XLOOKUP(I502,Lists!$P$2:$P$19,Lists!$Y$2:$Y$19,0),_xlfn.XLOOKUP(K502,Lists!$P$2:$P$19,Lists!$Y$2:$Y$19,0)))</f>
        <v>0</v>
      </c>
      <c r="W502" s="68">
        <f ca="1">IF($B502="","",SUM(_xlfn.XLOOKUP(C502,Lists!$P$2:$P$19,Lists!$Z$2:$Z$19,0),_xlfn.XLOOKUP(E502,Lists!$P$2:$P$19,Lists!$Z$2:$Z$19,0),_xlfn.XLOOKUP(G502,Lists!$P$2:$P$19,Lists!$Z$2:$Z$19,0),_xlfn.XLOOKUP(I502,Lists!$P$2:$P$19,Lists!$Z$2:$Z$19,0),_xlfn.XLOOKUP(K502,Lists!$P$2:$P$19,Lists!$Z$2:$Z$19,0)))</f>
        <v>0</v>
      </c>
      <c r="X502" s="69">
        <f ca="1">IF($B502="","",SUM(_xlfn.XLOOKUP(C502,Lists!$P$2:$P$19,Lists!$AA$2:$AA$19,0),_xlfn.XLOOKUP(E502,Lists!$P$2:$P$19,Lists!$AA$2:$AA$19,0),_xlfn.XLOOKUP(G502,Lists!$P$2:$P$19,Lists!$AA$2:$AA$19,0),_xlfn.XLOOKUP(I502,Lists!$P$2:$P$19,Lists!$AA$2:$AA$19,0),_xlfn.XLOOKUP(K502,Lists!$P$2:$P$19,Lists!$AA$2:$AA$19,0)))</f>
        <v>0</v>
      </c>
      <c r="Y502" s="49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  <c r="CI502" s="18"/>
      <c r="CJ502" s="18"/>
      <c r="CK502" s="18"/>
      <c r="CL502" s="18"/>
      <c r="CM502" s="18"/>
      <c r="CN502" s="18"/>
      <c r="CO502" s="18"/>
      <c r="CP502" s="18"/>
      <c r="CQ502" s="18"/>
      <c r="CR502" s="18"/>
      <c r="CS502" s="18"/>
      <c r="CT502" s="18"/>
      <c r="CU502" s="18"/>
      <c r="CV502" s="18"/>
      <c r="CW502" s="18"/>
      <c r="CX502" s="18"/>
      <c r="CY502" s="18"/>
      <c r="CZ502" s="18"/>
      <c r="DA502" s="18"/>
      <c r="DB502" s="18"/>
      <c r="DC502" s="18"/>
      <c r="DD502" s="18"/>
      <c r="DE502" s="18"/>
      <c r="DF502" s="18"/>
    </row>
    <row r="503" spans="1:110">
      <c r="A503" s="168">
        <v>5</v>
      </c>
      <c r="B503" s="47" t="str">
        <f ca="1">Lineups!$C$149</f>
        <v>Monty Mole</v>
      </c>
      <c r="C503" s="49"/>
      <c r="D503" s="49"/>
      <c r="E503" s="49"/>
      <c r="F503" s="49"/>
      <c r="G503" s="49"/>
      <c r="H503" s="50"/>
      <c r="I503" s="50"/>
      <c r="J503" s="50"/>
      <c r="K503" s="50"/>
      <c r="L503" s="50"/>
      <c r="M503" s="67">
        <f ca="1">IF($B503="","",SUM(_xlfn.XLOOKUP(C503,Lists!$P$2:$P$19,Lists!$R$2:$R$19,0),_xlfn.XLOOKUP(E503,Lists!$P$2:$P$19,Lists!$R$2:$R$19,0),_xlfn.XLOOKUP(G503,Lists!$P$2:$P$19,Lists!$R$2:$R$19,0),_xlfn.XLOOKUP(I503,Lists!$P$2:$P$19,Lists!$R$2:$R$19,0),_xlfn.XLOOKUP(K503,Lists!$P$2:$P$19,Lists!$R$2:$R$19,0)))</f>
        <v>0</v>
      </c>
      <c r="N503" s="68">
        <f ca="1">IF($B503="","",SUM(_xlfn.XLOOKUP(D503,Lists!$AC$2:$AC$9,Lists!$AE$2:$AE$9,0),_xlfn.XLOOKUP(F503,Lists!$AC$2:$AC$9,Lists!$AE$2:$AE$9,0),_xlfn.XLOOKUP(H503,Lists!$AC$2:$AC$9,Lists!$AE$2:$AE$9,0),_xlfn.XLOOKUP(J503,Lists!$AC$2:$AC$9,Lists!$AE$2:$AE$9,0),_xlfn.XLOOKUP(L503,Lists!$AC$2:$AC$9,Lists!$AE$2:$AE$9,0)))</f>
        <v>0</v>
      </c>
      <c r="O503" s="68">
        <f ca="1">IF($B503="","",SUM(_xlfn.XLOOKUP(C503,Lists!$P$2:$P$19,Lists!$S$2:$S$19,0),_xlfn.XLOOKUP(E503,Lists!$P$2:$P$19,Lists!$S$2:$S$19,0),_xlfn.XLOOKUP(G503,Lists!$P$2:$P$19,Lists!$S$2:$S$19,0),_xlfn.XLOOKUP(I503,Lists!$P$2:$P$19,Lists!$S$2:$S$19,0),_xlfn.XLOOKUP(K503,Lists!$P$2:$P$19,Lists!$S$2:$S$19,0)))</f>
        <v>0</v>
      </c>
      <c r="P503" s="68">
        <f ca="1">IF($B503="","",SUM(_xlfn.XLOOKUP(C503,Lists!$P$2:$P$19,Lists!$T$2:$T$19,0),_xlfn.XLOOKUP(E503,Lists!$P$2:$P$19,Lists!$T$2:$T$19,0),_xlfn.XLOOKUP(G503,Lists!$P$2:$P$19,Lists!$T$2:$T$19,0),_xlfn.XLOOKUP(I503,Lists!$P$2:$P$19,Lists!$T$2:$T$19,0),_xlfn.XLOOKUP(K503,Lists!$P$2:$P$19,Lists!$T$2:$T$19,0)))</f>
        <v>0</v>
      </c>
      <c r="Q503" s="68">
        <f ca="1">IF($B503="","",SUM(_xlfn.XLOOKUP(C503,Lists!$P$2:$P$19,Lists!$U$2:$U$19,0),_xlfn.XLOOKUP(E503,Lists!$P$2:$P$19,Lists!$U$2:$U$19,0),_xlfn.XLOOKUP(G503,Lists!$P$2:$P$19,Lists!$U$2:$U$19,0),_xlfn.XLOOKUP(I503,Lists!$P$2:$P$19,Lists!$U$2:$U$19,0),_xlfn.XLOOKUP(K503,Lists!$P$2:$P$19,Lists!$U$2:$U$19,0)))</f>
        <v>0</v>
      </c>
      <c r="R503" s="68">
        <f ca="1">IF($B503="","",SUM(_xlfn.XLOOKUP(C503,Lists!$P$2:$P$19,Lists!$V$2:$V$19,0),_xlfn.XLOOKUP(E503,Lists!$P$2:$P$19,Lists!$V$2:$V$19,0),_xlfn.XLOOKUP(G503,Lists!$P$2:$P$19,Lists!$V$2:$V$19,0),_xlfn.XLOOKUP(I503,Lists!$P$2:$P$19,Lists!$V$2:$V$19,0),_xlfn.XLOOKUP(K503,Lists!$P$2:$P$19,Lists!$V$2:$V$19,0)))</f>
        <v>0</v>
      </c>
      <c r="S503" s="68">
        <f ca="1">IF($B503="","",SUM(_xlfn.XLOOKUP(D503,Lists!$AC$2:$AC$9,Lists!$AD$2:$AD$9,0),_xlfn.XLOOKUP(F503,Lists!$AC$2:$AC$9,Lists!$AD$2:$AD$9,0),_xlfn.XLOOKUP(H503,Lists!$AC$2:$AC$9,Lists!$AD$2:$AD$9,0),_xlfn.XLOOKUP(J503,Lists!$AC$2:$AC$9,Lists!$AD$2:$AD$9,0),_xlfn.XLOOKUP(L503,Lists!$AC$2:$AC$9,Lists!$AD$2:$AD$9,0)))</f>
        <v>0</v>
      </c>
      <c r="T503" s="68">
        <f ca="1">IF($B503="","",SUM(_xlfn.XLOOKUP(C503,Lists!$P$2:$P$19,Lists!$W$2:$W$19,0),_xlfn.XLOOKUP(E503,Lists!$P$2:$P$19,Lists!$W$2:$W$19,0),_xlfn.XLOOKUP(G503,Lists!$P$2:$P$19,Lists!$W$2:$W$19,0),_xlfn.XLOOKUP(I503,Lists!$P$2:$P$19,Lists!$W$2:$W$19,0),_xlfn.XLOOKUP(K503,Lists!$P$2:$P$19,Lists!$W$2:$W$19,0)))</f>
        <v>0</v>
      </c>
      <c r="U503" s="68">
        <f ca="1">IF($B503="","",SUM(_xlfn.XLOOKUP(C503,Lists!$P$2:$P$19,Lists!$X$2:$X$19,0),_xlfn.XLOOKUP(E503,Lists!$P$2:$P$19,Lists!$X$2:$X$19,0),_xlfn.XLOOKUP(G503,Lists!$P$2:$P$19,Lists!$X$2:$X$19,0),_xlfn.XLOOKUP(I503,Lists!$P$2:$P$19,Lists!$X$2:$X$19,0),_xlfn.XLOOKUP(K503,Lists!$P$2:$P$19,Lists!$X$2:$X$19,0)))</f>
        <v>0</v>
      </c>
      <c r="V503" s="68">
        <f ca="1">IF($B503="","",SUM(_xlfn.XLOOKUP(C503,Lists!$P$2:$P$19,Lists!$Y$2:$Y$19,0),_xlfn.XLOOKUP(E503,Lists!$P$2:$P$19,Lists!$Y$2:$Y$19,0),_xlfn.XLOOKUP(G503,Lists!$P$2:$P$19,Lists!$Y$2:$Y$19,0),_xlfn.XLOOKUP(I503,Lists!$P$2:$P$19,Lists!$Y$2:$Y$19,0),_xlfn.XLOOKUP(K503,Lists!$P$2:$P$19,Lists!$Y$2:$Y$19,0)))</f>
        <v>0</v>
      </c>
      <c r="W503" s="68">
        <f ca="1">IF($B503="","",SUM(_xlfn.XLOOKUP(C503,Lists!$P$2:$P$19,Lists!$Z$2:$Z$19,0),_xlfn.XLOOKUP(E503,Lists!$P$2:$P$19,Lists!$Z$2:$Z$19,0),_xlfn.XLOOKUP(G503,Lists!$P$2:$P$19,Lists!$Z$2:$Z$19,0),_xlfn.XLOOKUP(I503,Lists!$P$2:$P$19,Lists!$Z$2:$Z$19,0),_xlfn.XLOOKUP(K503,Lists!$P$2:$P$19,Lists!$Z$2:$Z$19,0)))</f>
        <v>0</v>
      </c>
      <c r="X503" s="69">
        <f ca="1">IF($B503="","",SUM(_xlfn.XLOOKUP(C503,Lists!$P$2:$P$19,Lists!$AA$2:$AA$19,0),_xlfn.XLOOKUP(E503,Lists!$P$2:$P$19,Lists!$AA$2:$AA$19,0),_xlfn.XLOOKUP(G503,Lists!$P$2:$P$19,Lists!$AA$2:$AA$19,0),_xlfn.XLOOKUP(I503,Lists!$P$2:$P$19,Lists!$AA$2:$AA$19,0),_xlfn.XLOOKUP(K503,Lists!$P$2:$P$19,Lists!$AA$2:$AA$19,0)))</f>
        <v>0</v>
      </c>
      <c r="Y503" s="49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  <c r="CF503" s="18"/>
      <c r="CG503" s="18"/>
      <c r="CH503" s="18"/>
      <c r="CI503" s="18"/>
      <c r="CJ503" s="18"/>
      <c r="CK503" s="18"/>
      <c r="CL503" s="18"/>
      <c r="CM503" s="18"/>
      <c r="CN503" s="18"/>
      <c r="CO503" s="18"/>
      <c r="CP503" s="18"/>
      <c r="CQ503" s="18"/>
      <c r="CR503" s="18"/>
      <c r="CS503" s="18"/>
      <c r="CT503" s="18"/>
      <c r="CU503" s="18"/>
      <c r="CV503" s="18"/>
      <c r="CW503" s="18"/>
      <c r="CX503" s="18"/>
      <c r="CY503" s="18"/>
      <c r="CZ503" s="18"/>
      <c r="DA503" s="18"/>
      <c r="DB503" s="18"/>
      <c r="DC503" s="18"/>
      <c r="DD503" s="18"/>
      <c r="DE503" s="18"/>
      <c r="DF503" s="18"/>
    </row>
    <row r="504" spans="1:110">
      <c r="A504" s="168">
        <v>6</v>
      </c>
      <c r="B504" s="47" t="str">
        <f ca="1">Lineups!$C$150</f>
        <v>Wario</v>
      </c>
      <c r="C504" s="49"/>
      <c r="D504" s="49"/>
      <c r="E504" s="49"/>
      <c r="F504" s="49"/>
      <c r="G504" s="49"/>
      <c r="H504" s="50"/>
      <c r="I504" s="50"/>
      <c r="J504" s="50"/>
      <c r="K504" s="50"/>
      <c r="L504" s="50"/>
      <c r="M504" s="67">
        <f ca="1">IF($B504="","",SUM(_xlfn.XLOOKUP(C504,Lists!$P$2:$P$19,Lists!$R$2:$R$19,0),_xlfn.XLOOKUP(E504,Lists!$P$2:$P$19,Lists!$R$2:$R$19,0),_xlfn.XLOOKUP(G504,Lists!$P$2:$P$19,Lists!$R$2:$R$19,0),_xlfn.XLOOKUP(I504,Lists!$P$2:$P$19,Lists!$R$2:$R$19,0),_xlfn.XLOOKUP(K504,Lists!$P$2:$P$19,Lists!$R$2:$R$19,0)))</f>
        <v>0</v>
      </c>
      <c r="N504" s="68">
        <f ca="1">IF($B504="","",SUM(_xlfn.XLOOKUP(D504,Lists!$AC$2:$AC$9,Lists!$AE$2:$AE$9,0),_xlfn.XLOOKUP(F504,Lists!$AC$2:$AC$9,Lists!$AE$2:$AE$9,0),_xlfn.XLOOKUP(H504,Lists!$AC$2:$AC$9,Lists!$AE$2:$AE$9,0),_xlfn.XLOOKUP(J504,Lists!$AC$2:$AC$9,Lists!$AE$2:$AE$9,0),_xlfn.XLOOKUP(L504,Lists!$AC$2:$AC$9,Lists!$AE$2:$AE$9,0)))</f>
        <v>0</v>
      </c>
      <c r="O504" s="68">
        <f ca="1">IF($B504="","",SUM(_xlfn.XLOOKUP(C504,Lists!$P$2:$P$19,Lists!$S$2:$S$19,0),_xlfn.XLOOKUP(E504,Lists!$P$2:$P$19,Lists!$S$2:$S$19,0),_xlfn.XLOOKUP(G504,Lists!$P$2:$P$19,Lists!$S$2:$S$19,0),_xlfn.XLOOKUP(I504,Lists!$P$2:$P$19,Lists!$S$2:$S$19,0),_xlfn.XLOOKUP(K504,Lists!$P$2:$P$19,Lists!$S$2:$S$19,0)))</f>
        <v>0</v>
      </c>
      <c r="P504" s="68">
        <f ca="1">IF($B504="","",SUM(_xlfn.XLOOKUP(C504,Lists!$P$2:$P$19,Lists!$T$2:$T$19,0),_xlfn.XLOOKUP(E504,Lists!$P$2:$P$19,Lists!$T$2:$T$19,0),_xlfn.XLOOKUP(G504,Lists!$P$2:$P$19,Lists!$T$2:$T$19,0),_xlfn.XLOOKUP(I504,Lists!$P$2:$P$19,Lists!$T$2:$T$19,0),_xlfn.XLOOKUP(K504,Lists!$P$2:$P$19,Lists!$T$2:$T$19,0)))</f>
        <v>0</v>
      </c>
      <c r="Q504" s="68">
        <f ca="1">IF($B504="","",SUM(_xlfn.XLOOKUP(C504,Lists!$P$2:$P$19,Lists!$U$2:$U$19,0),_xlfn.XLOOKUP(E504,Lists!$P$2:$P$19,Lists!$U$2:$U$19,0),_xlfn.XLOOKUP(G504,Lists!$P$2:$P$19,Lists!$U$2:$U$19,0),_xlfn.XLOOKUP(I504,Lists!$P$2:$P$19,Lists!$U$2:$U$19,0),_xlfn.XLOOKUP(K504,Lists!$P$2:$P$19,Lists!$U$2:$U$19,0)))</f>
        <v>0</v>
      </c>
      <c r="R504" s="68">
        <f ca="1">IF($B504="","",SUM(_xlfn.XLOOKUP(C504,Lists!$P$2:$P$19,Lists!$V$2:$V$19,0),_xlfn.XLOOKUP(E504,Lists!$P$2:$P$19,Lists!$V$2:$V$19,0),_xlfn.XLOOKUP(G504,Lists!$P$2:$P$19,Lists!$V$2:$V$19,0),_xlfn.XLOOKUP(I504,Lists!$P$2:$P$19,Lists!$V$2:$V$19,0),_xlfn.XLOOKUP(K504,Lists!$P$2:$P$19,Lists!$V$2:$V$19,0)))</f>
        <v>0</v>
      </c>
      <c r="S504" s="68">
        <f ca="1">IF($B504="","",SUM(_xlfn.XLOOKUP(D504,Lists!$AC$2:$AC$9,Lists!$AD$2:$AD$9,0),_xlfn.XLOOKUP(F504,Lists!$AC$2:$AC$9,Lists!$AD$2:$AD$9,0),_xlfn.XLOOKUP(H504,Lists!$AC$2:$AC$9,Lists!$AD$2:$AD$9,0),_xlfn.XLOOKUP(J504,Lists!$AC$2:$AC$9,Lists!$AD$2:$AD$9,0),_xlfn.XLOOKUP(L504,Lists!$AC$2:$AC$9,Lists!$AD$2:$AD$9,0)))</f>
        <v>0</v>
      </c>
      <c r="T504" s="68">
        <f ca="1">IF($B504="","",SUM(_xlfn.XLOOKUP(C504,Lists!$P$2:$P$19,Lists!$W$2:$W$19,0),_xlfn.XLOOKUP(E504,Lists!$P$2:$P$19,Lists!$W$2:$W$19,0),_xlfn.XLOOKUP(G504,Lists!$P$2:$P$19,Lists!$W$2:$W$19,0),_xlfn.XLOOKUP(I504,Lists!$P$2:$P$19,Lists!$W$2:$W$19,0),_xlfn.XLOOKUP(K504,Lists!$P$2:$P$19,Lists!$W$2:$W$19,0)))</f>
        <v>0</v>
      </c>
      <c r="U504" s="68">
        <f ca="1">IF($B504="","",SUM(_xlfn.XLOOKUP(C504,Lists!$P$2:$P$19,Lists!$X$2:$X$19,0),_xlfn.XLOOKUP(E504,Lists!$P$2:$P$19,Lists!$X$2:$X$19,0),_xlfn.XLOOKUP(G504,Lists!$P$2:$P$19,Lists!$X$2:$X$19,0),_xlfn.XLOOKUP(I504,Lists!$P$2:$P$19,Lists!$X$2:$X$19,0),_xlfn.XLOOKUP(K504,Lists!$P$2:$P$19,Lists!$X$2:$X$19,0)))</f>
        <v>0</v>
      </c>
      <c r="V504" s="68">
        <f ca="1">IF($B504="","",SUM(_xlfn.XLOOKUP(C504,Lists!$P$2:$P$19,Lists!$Y$2:$Y$19,0),_xlfn.XLOOKUP(E504,Lists!$P$2:$P$19,Lists!$Y$2:$Y$19,0),_xlfn.XLOOKUP(G504,Lists!$P$2:$P$19,Lists!$Y$2:$Y$19,0),_xlfn.XLOOKUP(I504,Lists!$P$2:$P$19,Lists!$Y$2:$Y$19,0),_xlfn.XLOOKUP(K504,Lists!$P$2:$P$19,Lists!$Y$2:$Y$19,0)))</f>
        <v>0</v>
      </c>
      <c r="W504" s="68">
        <f ca="1">IF($B504="","",SUM(_xlfn.XLOOKUP(C504,Lists!$P$2:$P$19,Lists!$Z$2:$Z$19,0),_xlfn.XLOOKUP(E504,Lists!$P$2:$P$19,Lists!$Z$2:$Z$19,0),_xlfn.XLOOKUP(G504,Lists!$P$2:$P$19,Lists!$Z$2:$Z$19,0),_xlfn.XLOOKUP(I504,Lists!$P$2:$P$19,Lists!$Z$2:$Z$19,0),_xlfn.XLOOKUP(K504,Lists!$P$2:$P$19,Lists!$Z$2:$Z$19,0)))</f>
        <v>0</v>
      </c>
      <c r="X504" s="69">
        <f ca="1">IF($B504="","",SUM(_xlfn.XLOOKUP(C504,Lists!$P$2:$P$19,Lists!$AA$2:$AA$19,0),_xlfn.XLOOKUP(E504,Lists!$P$2:$P$19,Lists!$AA$2:$AA$19,0),_xlfn.XLOOKUP(G504,Lists!$P$2:$P$19,Lists!$AA$2:$AA$19,0),_xlfn.XLOOKUP(I504,Lists!$P$2:$P$19,Lists!$AA$2:$AA$19,0),_xlfn.XLOOKUP(K504,Lists!$P$2:$P$19,Lists!$AA$2:$AA$19,0)))</f>
        <v>0</v>
      </c>
      <c r="Y504" s="49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  <c r="CF504" s="18"/>
      <c r="CG504" s="18"/>
      <c r="CH504" s="18"/>
      <c r="CI504" s="18"/>
      <c r="CJ504" s="18"/>
      <c r="CK504" s="18"/>
      <c r="CL504" s="18"/>
      <c r="CM504" s="18"/>
      <c r="CN504" s="18"/>
      <c r="CO504" s="18"/>
      <c r="CP504" s="18"/>
      <c r="CQ504" s="18"/>
      <c r="CR504" s="18"/>
      <c r="CS504" s="18"/>
      <c r="CT504" s="18"/>
      <c r="CU504" s="18"/>
      <c r="CV504" s="18"/>
      <c r="CW504" s="18"/>
      <c r="CX504" s="18"/>
      <c r="CY504" s="18"/>
      <c r="CZ504" s="18"/>
      <c r="DA504" s="18"/>
      <c r="DB504" s="18"/>
      <c r="DC504" s="18"/>
      <c r="DD504" s="18"/>
      <c r="DE504" s="18"/>
      <c r="DF504" s="18"/>
    </row>
    <row r="505" spans="1:110">
      <c r="A505" s="168">
        <v>7</v>
      </c>
      <c r="B505" s="47" t="str">
        <f ca="1">Lineups!$C$151</f>
        <v>Wiggler</v>
      </c>
      <c r="C505" s="49"/>
      <c r="D505" s="49"/>
      <c r="E505" s="49"/>
      <c r="F505" s="49"/>
      <c r="G505" s="49"/>
      <c r="H505" s="50"/>
      <c r="I505" s="50"/>
      <c r="J505" s="50"/>
      <c r="K505" s="50"/>
      <c r="L505" s="50"/>
      <c r="M505" s="67">
        <f ca="1">IF($B505="","",SUM(_xlfn.XLOOKUP(C505,Lists!$P$2:$P$19,Lists!$R$2:$R$19,0),_xlfn.XLOOKUP(E505,Lists!$P$2:$P$19,Lists!$R$2:$R$19,0),_xlfn.XLOOKUP(G505,Lists!$P$2:$P$19,Lists!$R$2:$R$19,0),_xlfn.XLOOKUP(I505,Lists!$P$2:$P$19,Lists!$R$2:$R$19,0),_xlfn.XLOOKUP(K505,Lists!$P$2:$P$19,Lists!$R$2:$R$19,0)))</f>
        <v>0</v>
      </c>
      <c r="N505" s="68">
        <f ca="1">IF($B505="","",SUM(_xlfn.XLOOKUP(D505,Lists!$AC$2:$AC$9,Lists!$AE$2:$AE$9,0),_xlfn.XLOOKUP(F505,Lists!$AC$2:$AC$9,Lists!$AE$2:$AE$9,0),_xlfn.XLOOKUP(H505,Lists!$AC$2:$AC$9,Lists!$AE$2:$AE$9,0),_xlfn.XLOOKUP(J505,Lists!$AC$2:$AC$9,Lists!$AE$2:$AE$9,0),_xlfn.XLOOKUP(L505,Lists!$AC$2:$AC$9,Lists!$AE$2:$AE$9,0)))</f>
        <v>0</v>
      </c>
      <c r="O505" s="68">
        <f ca="1">IF($B505="","",SUM(_xlfn.XLOOKUP(C505,Lists!$P$2:$P$19,Lists!$S$2:$S$19,0),_xlfn.XLOOKUP(E505,Lists!$P$2:$P$19,Lists!$S$2:$S$19,0),_xlfn.XLOOKUP(G505,Lists!$P$2:$P$19,Lists!$S$2:$S$19,0),_xlfn.XLOOKUP(I505,Lists!$P$2:$P$19,Lists!$S$2:$S$19,0),_xlfn.XLOOKUP(K505,Lists!$P$2:$P$19,Lists!$S$2:$S$19,0)))</f>
        <v>0</v>
      </c>
      <c r="P505" s="68">
        <f ca="1">IF($B505="","",SUM(_xlfn.XLOOKUP(C505,Lists!$P$2:$P$19,Lists!$T$2:$T$19,0),_xlfn.XLOOKUP(E505,Lists!$P$2:$P$19,Lists!$T$2:$T$19,0),_xlfn.XLOOKUP(G505,Lists!$P$2:$P$19,Lists!$T$2:$T$19,0),_xlfn.XLOOKUP(I505,Lists!$P$2:$P$19,Lists!$T$2:$T$19,0),_xlfn.XLOOKUP(K505,Lists!$P$2:$P$19,Lists!$T$2:$T$19,0)))</f>
        <v>0</v>
      </c>
      <c r="Q505" s="68">
        <f ca="1">IF($B505="","",SUM(_xlfn.XLOOKUP(C505,Lists!$P$2:$P$19,Lists!$U$2:$U$19,0),_xlfn.XLOOKUP(E505,Lists!$P$2:$P$19,Lists!$U$2:$U$19,0),_xlfn.XLOOKUP(G505,Lists!$P$2:$P$19,Lists!$U$2:$U$19,0),_xlfn.XLOOKUP(I505,Lists!$P$2:$P$19,Lists!$U$2:$U$19,0),_xlfn.XLOOKUP(K505,Lists!$P$2:$P$19,Lists!$U$2:$U$19,0)))</f>
        <v>0</v>
      </c>
      <c r="R505" s="68">
        <f ca="1">IF($B505="","",SUM(_xlfn.XLOOKUP(C505,Lists!$P$2:$P$19,Lists!$V$2:$V$19,0),_xlfn.XLOOKUP(E505,Lists!$P$2:$P$19,Lists!$V$2:$V$19,0),_xlfn.XLOOKUP(G505,Lists!$P$2:$P$19,Lists!$V$2:$V$19,0),_xlfn.XLOOKUP(I505,Lists!$P$2:$P$19,Lists!$V$2:$V$19,0),_xlfn.XLOOKUP(K505,Lists!$P$2:$P$19,Lists!$V$2:$V$19,0)))</f>
        <v>0</v>
      </c>
      <c r="S505" s="68">
        <f ca="1">IF($B505="","",SUM(_xlfn.XLOOKUP(D505,Lists!$AC$2:$AC$9,Lists!$AD$2:$AD$9,0),_xlfn.XLOOKUP(F505,Lists!$AC$2:$AC$9,Lists!$AD$2:$AD$9,0),_xlfn.XLOOKUP(H505,Lists!$AC$2:$AC$9,Lists!$AD$2:$AD$9,0),_xlfn.XLOOKUP(J505,Lists!$AC$2:$AC$9,Lists!$AD$2:$AD$9,0),_xlfn.XLOOKUP(L505,Lists!$AC$2:$AC$9,Lists!$AD$2:$AD$9,0)))</f>
        <v>0</v>
      </c>
      <c r="T505" s="68">
        <f ca="1">IF($B505="","",SUM(_xlfn.XLOOKUP(C505,Lists!$P$2:$P$19,Lists!$W$2:$W$19,0),_xlfn.XLOOKUP(E505,Lists!$P$2:$P$19,Lists!$W$2:$W$19,0),_xlfn.XLOOKUP(G505,Lists!$P$2:$P$19,Lists!$W$2:$W$19,0),_xlfn.XLOOKUP(I505,Lists!$P$2:$P$19,Lists!$W$2:$W$19,0),_xlfn.XLOOKUP(K505,Lists!$P$2:$P$19,Lists!$W$2:$W$19,0)))</f>
        <v>0</v>
      </c>
      <c r="U505" s="68">
        <f ca="1">IF($B505="","",SUM(_xlfn.XLOOKUP(C505,Lists!$P$2:$P$19,Lists!$X$2:$X$19,0),_xlfn.XLOOKUP(E505,Lists!$P$2:$P$19,Lists!$X$2:$X$19,0),_xlfn.XLOOKUP(G505,Lists!$P$2:$P$19,Lists!$X$2:$X$19,0),_xlfn.XLOOKUP(I505,Lists!$P$2:$P$19,Lists!$X$2:$X$19,0),_xlfn.XLOOKUP(K505,Lists!$P$2:$P$19,Lists!$X$2:$X$19,0)))</f>
        <v>0</v>
      </c>
      <c r="V505" s="68">
        <f ca="1">IF($B505="","",SUM(_xlfn.XLOOKUP(C505,Lists!$P$2:$P$19,Lists!$Y$2:$Y$19,0),_xlfn.XLOOKUP(E505,Lists!$P$2:$P$19,Lists!$Y$2:$Y$19,0),_xlfn.XLOOKUP(G505,Lists!$P$2:$P$19,Lists!$Y$2:$Y$19,0),_xlfn.XLOOKUP(I505,Lists!$P$2:$P$19,Lists!$Y$2:$Y$19,0),_xlfn.XLOOKUP(K505,Lists!$P$2:$P$19,Lists!$Y$2:$Y$19,0)))</f>
        <v>0</v>
      </c>
      <c r="W505" s="68">
        <f ca="1">IF($B505="","",SUM(_xlfn.XLOOKUP(C505,Lists!$P$2:$P$19,Lists!$Z$2:$Z$19,0),_xlfn.XLOOKUP(E505,Lists!$P$2:$P$19,Lists!$Z$2:$Z$19,0),_xlfn.XLOOKUP(G505,Lists!$P$2:$P$19,Lists!$Z$2:$Z$19,0),_xlfn.XLOOKUP(I505,Lists!$P$2:$P$19,Lists!$Z$2:$Z$19,0),_xlfn.XLOOKUP(K505,Lists!$P$2:$P$19,Lists!$Z$2:$Z$19,0)))</f>
        <v>0</v>
      </c>
      <c r="X505" s="69">
        <f ca="1">IF($B505="","",SUM(_xlfn.XLOOKUP(C505,Lists!$P$2:$P$19,Lists!$AA$2:$AA$19,0),_xlfn.XLOOKUP(E505,Lists!$P$2:$P$19,Lists!$AA$2:$AA$19,0),_xlfn.XLOOKUP(G505,Lists!$P$2:$P$19,Lists!$AA$2:$AA$19,0),_xlfn.XLOOKUP(I505,Lists!$P$2:$P$19,Lists!$AA$2:$AA$19,0),_xlfn.XLOOKUP(K505,Lists!$P$2:$P$19,Lists!$AA$2:$AA$19,0)))</f>
        <v>0</v>
      </c>
      <c r="Y505" s="49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8"/>
      <c r="CG505" s="18"/>
      <c r="CH505" s="18"/>
      <c r="CI505" s="18"/>
      <c r="CJ505" s="18"/>
      <c r="CK505" s="18"/>
      <c r="CL505" s="18"/>
      <c r="CM505" s="18"/>
      <c r="CN505" s="18"/>
      <c r="CO505" s="18"/>
      <c r="CP505" s="18"/>
      <c r="CQ505" s="18"/>
      <c r="CR505" s="18"/>
      <c r="CS505" s="18"/>
      <c r="CT505" s="18"/>
      <c r="CU505" s="18"/>
      <c r="CV505" s="18"/>
      <c r="CW505" s="18"/>
      <c r="CX505" s="18"/>
      <c r="CY505" s="18"/>
      <c r="CZ505" s="18"/>
      <c r="DA505" s="18"/>
      <c r="DB505" s="18"/>
      <c r="DC505" s="18"/>
      <c r="DD505" s="18"/>
      <c r="DE505" s="18"/>
      <c r="DF505" s="18"/>
    </row>
    <row r="506" spans="1:110">
      <c r="A506" s="168">
        <v>8</v>
      </c>
      <c r="B506" s="47" t="str">
        <f ca="1">Lineups!$C$152</f>
        <v>Boomerang Bro</v>
      </c>
      <c r="C506" s="49"/>
      <c r="D506" s="49"/>
      <c r="E506" s="49"/>
      <c r="F506" s="49"/>
      <c r="G506" s="49"/>
      <c r="H506" s="50"/>
      <c r="I506" s="50"/>
      <c r="J506" s="50"/>
      <c r="K506" s="50"/>
      <c r="L506" s="50"/>
      <c r="M506" s="67">
        <f ca="1">IF($B506="","",SUM(_xlfn.XLOOKUP(C506,Lists!$P$2:$P$19,Lists!$R$2:$R$19,0),_xlfn.XLOOKUP(E506,Lists!$P$2:$P$19,Lists!$R$2:$R$19,0),_xlfn.XLOOKUP(G506,Lists!$P$2:$P$19,Lists!$R$2:$R$19,0),_xlfn.XLOOKUP(I506,Lists!$P$2:$P$19,Lists!$R$2:$R$19,0),_xlfn.XLOOKUP(K506,Lists!$P$2:$P$19,Lists!$R$2:$R$19,0)))</f>
        <v>0</v>
      </c>
      <c r="N506" s="68">
        <f ca="1">IF($B506="","",SUM(_xlfn.XLOOKUP(D506,Lists!$AC$2:$AC$9,Lists!$AE$2:$AE$9,0),_xlfn.XLOOKUP(F506,Lists!$AC$2:$AC$9,Lists!$AE$2:$AE$9,0),_xlfn.XLOOKUP(H506,Lists!$AC$2:$AC$9,Lists!$AE$2:$AE$9,0),_xlfn.XLOOKUP(J506,Lists!$AC$2:$AC$9,Lists!$AE$2:$AE$9,0),_xlfn.XLOOKUP(L506,Lists!$AC$2:$AC$9,Lists!$AE$2:$AE$9,0)))</f>
        <v>0</v>
      </c>
      <c r="O506" s="68">
        <f ca="1">IF($B506="","",SUM(_xlfn.XLOOKUP(C506,Lists!$P$2:$P$19,Lists!$S$2:$S$19,0),_xlfn.XLOOKUP(E506,Lists!$P$2:$P$19,Lists!$S$2:$S$19,0),_xlfn.XLOOKUP(G506,Lists!$P$2:$P$19,Lists!$S$2:$S$19,0),_xlfn.XLOOKUP(I506,Lists!$P$2:$P$19,Lists!$S$2:$S$19,0),_xlfn.XLOOKUP(K506,Lists!$P$2:$P$19,Lists!$S$2:$S$19,0)))</f>
        <v>0</v>
      </c>
      <c r="P506" s="68">
        <f ca="1">IF($B506="","",SUM(_xlfn.XLOOKUP(C506,Lists!$P$2:$P$19,Lists!$T$2:$T$19,0),_xlfn.XLOOKUP(E506,Lists!$P$2:$P$19,Lists!$T$2:$T$19,0),_xlfn.XLOOKUP(G506,Lists!$P$2:$P$19,Lists!$T$2:$T$19,0),_xlfn.XLOOKUP(I506,Lists!$P$2:$P$19,Lists!$T$2:$T$19,0),_xlfn.XLOOKUP(K506,Lists!$P$2:$P$19,Lists!$T$2:$T$19,0)))</f>
        <v>0</v>
      </c>
      <c r="Q506" s="68">
        <f ca="1">IF($B506="","",SUM(_xlfn.XLOOKUP(C506,Lists!$P$2:$P$19,Lists!$U$2:$U$19,0),_xlfn.XLOOKUP(E506,Lists!$P$2:$P$19,Lists!$U$2:$U$19,0),_xlfn.XLOOKUP(G506,Lists!$P$2:$P$19,Lists!$U$2:$U$19,0),_xlfn.XLOOKUP(I506,Lists!$P$2:$P$19,Lists!$U$2:$U$19,0),_xlfn.XLOOKUP(K506,Lists!$P$2:$P$19,Lists!$U$2:$U$19,0)))</f>
        <v>0</v>
      </c>
      <c r="R506" s="68">
        <f ca="1">IF($B506="","",SUM(_xlfn.XLOOKUP(C506,Lists!$P$2:$P$19,Lists!$V$2:$V$19,0),_xlfn.XLOOKUP(E506,Lists!$P$2:$P$19,Lists!$V$2:$V$19,0),_xlfn.XLOOKUP(G506,Lists!$P$2:$P$19,Lists!$V$2:$V$19,0),_xlfn.XLOOKUP(I506,Lists!$P$2:$P$19,Lists!$V$2:$V$19,0),_xlfn.XLOOKUP(K506,Lists!$P$2:$P$19,Lists!$V$2:$V$19,0)))</f>
        <v>0</v>
      </c>
      <c r="S506" s="68">
        <f ca="1">IF($B506="","",SUM(_xlfn.XLOOKUP(D506,Lists!$AC$2:$AC$9,Lists!$AD$2:$AD$9,0),_xlfn.XLOOKUP(F506,Lists!$AC$2:$AC$9,Lists!$AD$2:$AD$9,0),_xlfn.XLOOKUP(H506,Lists!$AC$2:$AC$9,Lists!$AD$2:$AD$9,0),_xlfn.XLOOKUP(J506,Lists!$AC$2:$AC$9,Lists!$AD$2:$AD$9,0),_xlfn.XLOOKUP(L506,Lists!$AC$2:$AC$9,Lists!$AD$2:$AD$9,0)))</f>
        <v>0</v>
      </c>
      <c r="T506" s="68">
        <f ca="1">IF($B506="","",SUM(_xlfn.XLOOKUP(C506,Lists!$P$2:$P$19,Lists!$W$2:$W$19,0),_xlfn.XLOOKUP(E506,Lists!$P$2:$P$19,Lists!$W$2:$W$19,0),_xlfn.XLOOKUP(G506,Lists!$P$2:$P$19,Lists!$W$2:$W$19,0),_xlfn.XLOOKUP(I506,Lists!$P$2:$P$19,Lists!$W$2:$W$19,0),_xlfn.XLOOKUP(K506,Lists!$P$2:$P$19,Lists!$W$2:$W$19,0)))</f>
        <v>0</v>
      </c>
      <c r="U506" s="68">
        <f ca="1">IF($B506="","",SUM(_xlfn.XLOOKUP(C506,Lists!$P$2:$P$19,Lists!$X$2:$X$19,0),_xlfn.XLOOKUP(E506,Lists!$P$2:$P$19,Lists!$X$2:$X$19,0),_xlfn.XLOOKUP(G506,Lists!$P$2:$P$19,Lists!$X$2:$X$19,0),_xlfn.XLOOKUP(I506,Lists!$P$2:$P$19,Lists!$X$2:$X$19,0),_xlfn.XLOOKUP(K506,Lists!$P$2:$P$19,Lists!$X$2:$X$19,0)))</f>
        <v>0</v>
      </c>
      <c r="V506" s="68">
        <f ca="1">IF($B506="","",SUM(_xlfn.XLOOKUP(C506,Lists!$P$2:$P$19,Lists!$Y$2:$Y$19,0),_xlfn.XLOOKUP(E506,Lists!$P$2:$P$19,Lists!$Y$2:$Y$19,0),_xlfn.XLOOKUP(G506,Lists!$P$2:$P$19,Lists!$Y$2:$Y$19,0),_xlfn.XLOOKUP(I506,Lists!$P$2:$P$19,Lists!$Y$2:$Y$19,0),_xlfn.XLOOKUP(K506,Lists!$P$2:$P$19,Lists!$Y$2:$Y$19,0)))</f>
        <v>0</v>
      </c>
      <c r="W506" s="68">
        <f ca="1">IF($B506="","",SUM(_xlfn.XLOOKUP(C506,Lists!$P$2:$P$19,Lists!$Z$2:$Z$19,0),_xlfn.XLOOKUP(E506,Lists!$P$2:$P$19,Lists!$Z$2:$Z$19,0),_xlfn.XLOOKUP(G506,Lists!$P$2:$P$19,Lists!$Z$2:$Z$19,0),_xlfn.XLOOKUP(I506,Lists!$P$2:$P$19,Lists!$Z$2:$Z$19,0),_xlfn.XLOOKUP(K506,Lists!$P$2:$P$19,Lists!$Z$2:$Z$19,0)))</f>
        <v>0</v>
      </c>
      <c r="X506" s="69">
        <f ca="1">IF($B506="","",SUM(_xlfn.XLOOKUP(C506,Lists!$P$2:$P$19,Lists!$AA$2:$AA$19,0),_xlfn.XLOOKUP(E506,Lists!$P$2:$P$19,Lists!$AA$2:$AA$19,0),_xlfn.XLOOKUP(G506,Lists!$P$2:$P$19,Lists!$AA$2:$AA$19,0),_xlfn.XLOOKUP(I506,Lists!$P$2:$P$19,Lists!$AA$2:$AA$19,0),_xlfn.XLOOKUP(K506,Lists!$P$2:$P$19,Lists!$AA$2:$AA$19,0)))</f>
        <v>0</v>
      </c>
      <c r="Y506" s="49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8"/>
      <c r="CG506" s="18"/>
      <c r="CH506" s="18"/>
      <c r="CI506" s="18"/>
      <c r="CJ506" s="18"/>
      <c r="CK506" s="18"/>
      <c r="CL506" s="18"/>
      <c r="CM506" s="18"/>
      <c r="CN506" s="18"/>
      <c r="CO506" s="18"/>
      <c r="CP506" s="18"/>
      <c r="CQ506" s="18"/>
      <c r="CR506" s="18"/>
      <c r="CS506" s="18"/>
      <c r="CT506" s="18"/>
      <c r="CU506" s="18"/>
      <c r="CV506" s="18"/>
      <c r="CW506" s="18"/>
      <c r="CX506" s="18"/>
      <c r="CY506" s="18"/>
      <c r="CZ506" s="18"/>
      <c r="DA506" s="18"/>
      <c r="DB506" s="18"/>
      <c r="DC506" s="18"/>
      <c r="DD506" s="18"/>
      <c r="DE506" s="18"/>
      <c r="DF506" s="18"/>
    </row>
    <row r="507" spans="1:110">
      <c r="A507" s="168">
        <v>9</v>
      </c>
      <c r="B507" s="47" t="str">
        <f ca="1">Lineups!$C$153</f>
        <v>Green Dry Bones</v>
      </c>
      <c r="C507" s="49"/>
      <c r="D507" s="49"/>
      <c r="E507" s="49"/>
      <c r="F507" s="49"/>
      <c r="G507" s="49"/>
      <c r="H507" s="50"/>
      <c r="I507" s="50"/>
      <c r="J507" s="50"/>
      <c r="K507" s="50"/>
      <c r="L507" s="50"/>
      <c r="M507" s="67">
        <f ca="1">IF($B507="","",SUM(_xlfn.XLOOKUP(C507,Lists!$P$2:$P$19,Lists!$R$2:$R$19,0),_xlfn.XLOOKUP(E507,Lists!$P$2:$P$19,Lists!$R$2:$R$19,0),_xlfn.XLOOKUP(G507,Lists!$P$2:$P$19,Lists!$R$2:$R$19,0),_xlfn.XLOOKUP(I507,Lists!$P$2:$P$19,Lists!$R$2:$R$19,0),_xlfn.XLOOKUP(K507,Lists!$P$2:$P$19,Lists!$R$2:$R$19,0)))</f>
        <v>0</v>
      </c>
      <c r="N507" s="68">
        <f ca="1">IF($B507="","",SUM(_xlfn.XLOOKUP(D507,Lists!$AC$2:$AC$9,Lists!$AE$2:$AE$9,0),_xlfn.XLOOKUP(F507,Lists!$AC$2:$AC$9,Lists!$AE$2:$AE$9,0),_xlfn.XLOOKUP(H507,Lists!$AC$2:$AC$9,Lists!$AE$2:$AE$9,0),_xlfn.XLOOKUP(J507,Lists!$AC$2:$AC$9,Lists!$AE$2:$AE$9,0),_xlfn.XLOOKUP(L507,Lists!$AC$2:$AC$9,Lists!$AE$2:$AE$9,0)))</f>
        <v>0</v>
      </c>
      <c r="O507" s="68">
        <f ca="1">IF($B507="","",SUM(_xlfn.XLOOKUP(C507,Lists!$P$2:$P$19,Lists!$S$2:$S$19,0),_xlfn.XLOOKUP(E507,Lists!$P$2:$P$19,Lists!$S$2:$S$19,0),_xlfn.XLOOKUP(G507,Lists!$P$2:$P$19,Lists!$S$2:$S$19,0),_xlfn.XLOOKUP(I507,Lists!$P$2:$P$19,Lists!$S$2:$S$19,0),_xlfn.XLOOKUP(K507,Lists!$P$2:$P$19,Lists!$S$2:$S$19,0)))</f>
        <v>0</v>
      </c>
      <c r="P507" s="68">
        <f ca="1">IF($B507="","",SUM(_xlfn.XLOOKUP(C507,Lists!$P$2:$P$19,Lists!$T$2:$T$19,0),_xlfn.XLOOKUP(E507,Lists!$P$2:$P$19,Lists!$T$2:$T$19,0),_xlfn.XLOOKUP(G507,Lists!$P$2:$P$19,Lists!$T$2:$T$19,0),_xlfn.XLOOKUP(I507,Lists!$P$2:$P$19,Lists!$T$2:$T$19,0),_xlfn.XLOOKUP(K507,Lists!$P$2:$P$19,Lists!$T$2:$T$19,0)))</f>
        <v>0</v>
      </c>
      <c r="Q507" s="68">
        <f ca="1">IF($B507="","",SUM(_xlfn.XLOOKUP(C507,Lists!$P$2:$P$19,Lists!$U$2:$U$19,0),_xlfn.XLOOKUP(E507,Lists!$P$2:$P$19,Lists!$U$2:$U$19,0),_xlfn.XLOOKUP(G507,Lists!$P$2:$P$19,Lists!$U$2:$U$19,0),_xlfn.XLOOKUP(I507,Lists!$P$2:$P$19,Lists!$U$2:$U$19,0),_xlfn.XLOOKUP(K507,Lists!$P$2:$P$19,Lists!$U$2:$U$19,0)))</f>
        <v>0</v>
      </c>
      <c r="R507" s="68">
        <f ca="1">IF($B507="","",SUM(_xlfn.XLOOKUP(C507,Lists!$P$2:$P$19,Lists!$V$2:$V$19,0),_xlfn.XLOOKUP(E507,Lists!$P$2:$P$19,Lists!$V$2:$V$19,0),_xlfn.XLOOKUP(G507,Lists!$P$2:$P$19,Lists!$V$2:$V$19,0),_xlfn.XLOOKUP(I507,Lists!$P$2:$P$19,Lists!$V$2:$V$19,0),_xlfn.XLOOKUP(K507,Lists!$P$2:$P$19,Lists!$V$2:$V$19,0)))</f>
        <v>0</v>
      </c>
      <c r="S507" s="68">
        <f ca="1">IF($B507="","",SUM(_xlfn.XLOOKUP(D507,Lists!$AC$2:$AC$9,Lists!$AD$2:$AD$9,0),_xlfn.XLOOKUP(F507,Lists!$AC$2:$AC$9,Lists!$AD$2:$AD$9,0),_xlfn.XLOOKUP(H507,Lists!$AC$2:$AC$9,Lists!$AD$2:$AD$9,0),_xlfn.XLOOKUP(J507,Lists!$AC$2:$AC$9,Lists!$AD$2:$AD$9,0),_xlfn.XLOOKUP(L507,Lists!$AC$2:$AC$9,Lists!$AD$2:$AD$9,0)))</f>
        <v>0</v>
      </c>
      <c r="T507" s="68">
        <f ca="1">IF($B507="","",SUM(_xlfn.XLOOKUP(C507,Lists!$P$2:$P$19,Lists!$W$2:$W$19,0),_xlfn.XLOOKUP(E507,Lists!$P$2:$P$19,Lists!$W$2:$W$19,0),_xlfn.XLOOKUP(G507,Lists!$P$2:$P$19,Lists!$W$2:$W$19,0),_xlfn.XLOOKUP(I507,Lists!$P$2:$P$19,Lists!$W$2:$W$19,0),_xlfn.XLOOKUP(K507,Lists!$P$2:$P$19,Lists!$W$2:$W$19,0)))</f>
        <v>0</v>
      </c>
      <c r="U507" s="68">
        <f ca="1">IF($B507="","",SUM(_xlfn.XLOOKUP(C507,Lists!$P$2:$P$19,Lists!$X$2:$X$19,0),_xlfn.XLOOKUP(E507,Lists!$P$2:$P$19,Lists!$X$2:$X$19,0),_xlfn.XLOOKUP(G507,Lists!$P$2:$P$19,Lists!$X$2:$X$19,0),_xlfn.XLOOKUP(I507,Lists!$P$2:$P$19,Lists!$X$2:$X$19,0),_xlfn.XLOOKUP(K507,Lists!$P$2:$P$19,Lists!$X$2:$X$19,0)))</f>
        <v>0</v>
      </c>
      <c r="V507" s="68">
        <f ca="1">IF($B507="","",SUM(_xlfn.XLOOKUP(C507,Lists!$P$2:$P$19,Lists!$Y$2:$Y$19,0),_xlfn.XLOOKUP(E507,Lists!$P$2:$P$19,Lists!$Y$2:$Y$19,0),_xlfn.XLOOKUP(G507,Lists!$P$2:$P$19,Lists!$Y$2:$Y$19,0),_xlfn.XLOOKUP(I507,Lists!$P$2:$P$19,Lists!$Y$2:$Y$19,0),_xlfn.XLOOKUP(K507,Lists!$P$2:$P$19,Lists!$Y$2:$Y$19,0)))</f>
        <v>0</v>
      </c>
      <c r="W507" s="68">
        <f ca="1">IF($B507="","",SUM(_xlfn.XLOOKUP(C507,Lists!$P$2:$P$19,Lists!$Z$2:$Z$19,0),_xlfn.XLOOKUP(E507,Lists!$P$2:$P$19,Lists!$Z$2:$Z$19,0),_xlfn.XLOOKUP(G507,Lists!$P$2:$P$19,Lists!$Z$2:$Z$19,0),_xlfn.XLOOKUP(I507,Lists!$P$2:$P$19,Lists!$Z$2:$Z$19,0),_xlfn.XLOOKUP(K507,Lists!$P$2:$P$19,Lists!$Z$2:$Z$19,0)))</f>
        <v>0</v>
      </c>
      <c r="X507" s="69">
        <f ca="1">IF($B507="","",SUM(_xlfn.XLOOKUP(C507,Lists!$P$2:$P$19,Lists!$AA$2:$AA$19,0),_xlfn.XLOOKUP(E507,Lists!$P$2:$P$19,Lists!$AA$2:$AA$19,0),_xlfn.XLOOKUP(G507,Lists!$P$2:$P$19,Lists!$AA$2:$AA$19,0),_xlfn.XLOOKUP(I507,Lists!$P$2:$P$19,Lists!$AA$2:$AA$19,0),_xlfn.XLOOKUP(K507,Lists!$P$2:$P$19,Lists!$AA$2:$AA$19,0)))</f>
        <v>0</v>
      </c>
      <c r="Y507" s="49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  <c r="CF507" s="18"/>
      <c r="CG507" s="18"/>
      <c r="CH507" s="18"/>
      <c r="CI507" s="18"/>
      <c r="CJ507" s="18"/>
      <c r="CK507" s="18"/>
      <c r="CL507" s="18"/>
      <c r="CM507" s="18"/>
      <c r="CN507" s="18"/>
      <c r="CO507" s="18"/>
      <c r="CP507" s="18"/>
      <c r="CQ507" s="18"/>
      <c r="CR507" s="18"/>
      <c r="CS507" s="18"/>
      <c r="CT507" s="18"/>
      <c r="CU507" s="18"/>
      <c r="CV507" s="18"/>
      <c r="CW507" s="18"/>
      <c r="CX507" s="18"/>
      <c r="CY507" s="18"/>
      <c r="CZ507" s="18"/>
      <c r="DA507" s="18"/>
      <c r="DB507" s="18"/>
      <c r="DC507" s="18"/>
      <c r="DD507" s="18"/>
      <c r="DE507" s="18"/>
      <c r="DF507" s="18"/>
    </row>
    <row r="508" spans="1:110">
      <c r="A508" s="173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  <c r="CD508" s="18"/>
      <c r="CE508" s="18"/>
      <c r="CF508" s="18"/>
      <c r="CG508" s="18"/>
      <c r="CH508" s="18"/>
      <c r="CI508" s="18"/>
      <c r="CJ508" s="18"/>
      <c r="CK508" s="18"/>
      <c r="CL508" s="18"/>
      <c r="CM508" s="18"/>
      <c r="CN508" s="18"/>
      <c r="CO508" s="18"/>
      <c r="CP508" s="18"/>
      <c r="CQ508" s="18"/>
      <c r="CR508" s="18"/>
      <c r="CS508" s="18"/>
      <c r="CT508" s="18"/>
      <c r="CU508" s="18"/>
      <c r="CV508" s="18"/>
      <c r="CW508" s="18"/>
      <c r="CX508" s="18"/>
      <c r="CY508" s="18"/>
      <c r="CZ508" s="18"/>
      <c r="DA508" s="18"/>
      <c r="DB508" s="18"/>
      <c r="DC508" s="18"/>
      <c r="DD508" s="18"/>
      <c r="DE508" s="18"/>
      <c r="DF508" s="18"/>
    </row>
    <row r="509" spans="1:110">
      <c r="A509" s="222" t="str">
        <f ca="1">IF($N$492="","Team A Pitching",$N$492&amp;" Pitching")</f>
        <v>Nick Pitching</v>
      </c>
      <c r="B509" s="221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06"/>
      <c r="O509" s="186"/>
      <c r="P509" s="24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18"/>
      <c r="CF509" s="18"/>
      <c r="CG509" s="18"/>
      <c r="CH509" s="18"/>
      <c r="CI509" s="18"/>
      <c r="CJ509" s="18"/>
      <c r="CK509" s="18"/>
      <c r="CL509" s="18"/>
      <c r="CM509" s="18"/>
      <c r="CN509" s="18"/>
      <c r="CO509" s="18"/>
      <c r="CP509" s="18"/>
      <c r="CQ509" s="18"/>
      <c r="CR509" s="18"/>
      <c r="CS509" s="18"/>
      <c r="CT509" s="18"/>
      <c r="CU509" s="18"/>
      <c r="CV509" s="18"/>
      <c r="CW509" s="18"/>
      <c r="CX509" s="18"/>
      <c r="CY509" s="18"/>
      <c r="CZ509" s="18"/>
      <c r="DA509" s="18"/>
      <c r="DB509" s="18"/>
      <c r="DC509" s="18"/>
      <c r="DD509" s="18"/>
      <c r="DE509" s="18"/>
      <c r="DF509" s="18"/>
    </row>
    <row r="510" spans="1:110">
      <c r="A510" s="167" t="s">
        <v>103</v>
      </c>
      <c r="B510" s="43" t="s">
        <v>194</v>
      </c>
      <c r="C510" s="43" t="s">
        <v>195</v>
      </c>
      <c r="D510" s="43" t="s">
        <v>162</v>
      </c>
      <c r="E510" s="43" t="s">
        <v>161</v>
      </c>
      <c r="F510" s="43" t="s">
        <v>196</v>
      </c>
      <c r="G510" s="43" t="s">
        <v>180</v>
      </c>
      <c r="H510" s="43" t="s">
        <v>181</v>
      </c>
      <c r="I510" s="44" t="s">
        <v>197</v>
      </c>
      <c r="J510" s="44" t="s">
        <v>198</v>
      </c>
      <c r="K510" s="44" t="s">
        <v>199</v>
      </c>
      <c r="L510" s="44" t="s">
        <v>200</v>
      </c>
      <c r="M510" s="44" t="s">
        <v>201</v>
      </c>
      <c r="N510" s="45" t="s">
        <v>202</v>
      </c>
      <c r="O510" s="45" t="s">
        <v>203</v>
      </c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  <c r="CD510" s="18"/>
      <c r="CE510" s="18"/>
      <c r="CF510" s="18"/>
      <c r="CG510" s="18"/>
      <c r="CH510" s="18"/>
      <c r="CI510" s="18"/>
      <c r="CJ510" s="18"/>
      <c r="CK510" s="18"/>
      <c r="CL510" s="18"/>
      <c r="CM510" s="18"/>
      <c r="CN510" s="18"/>
      <c r="CO510" s="18"/>
      <c r="CP510" s="18"/>
      <c r="CQ510" s="18"/>
      <c r="CR510" s="18"/>
      <c r="CS510" s="18"/>
      <c r="CT510" s="18"/>
      <c r="CU510" s="18"/>
      <c r="CV510" s="18"/>
      <c r="CW510" s="18"/>
      <c r="CX510" s="18"/>
      <c r="CY510" s="18"/>
      <c r="CZ510" s="18"/>
      <c r="DA510" s="18"/>
      <c r="DB510" s="18"/>
      <c r="DC510" s="18"/>
      <c r="DD510" s="18"/>
      <c r="DE510" s="18"/>
      <c r="DF510" s="18"/>
    </row>
    <row r="511" spans="1:110">
      <c r="A511" s="168">
        <v>1</v>
      </c>
      <c r="B511" s="71"/>
      <c r="C511" s="70" t="str" cm="1">
        <f t="array" aca="1" ref="C511" ca="1">IF(OR(B511="",O511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11" s="67" t="str" cm="1">
        <f t="array" aca="1" ref="D511" ca="1">IF(OR(B511="",O511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11" s="67" t="str" cm="1">
        <f t="array" aca="1" ref="E511" ca="1">IF(OR(B511="",O511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11" s="67" t="str" cm="1">
        <f t="array" aca="1" ref="F511" ca="1">IF(OR(B511="",O511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11" s="67" t="str" cm="1">
        <f t="array" aca="1" ref="G511" ca="1">IF(OR(B511="",O511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11" s="67" t="str" cm="1">
        <f t="array" aca="1" ref="H511" ca="1">IF(OR(B511="",O511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11" s="68" t="str" cm="1">
        <f t="array" aca="1" ref="I511" ca="1">IF(OR(B511="",O511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11" s="68" t="str" cm="1">
        <f t="array" aca="1" ref="J511" ca="1">IF(OR(B511="",O511=""),"",--(SUM(_xlfn.XLOOKUP(_xlfn._xlws.FILTER(_xlfn.TOCOL(_xlfn.CHOOSECOLS(C499:L507,2,4,6,8,10),0,TRUE),_xlfn.TOCOL(_xlfn.CHOOSECOLS(C499:L507,1,3,5,7,9),0,TRUE)&lt;&gt;""),Lists!$AC$2:$AC$9,Lists!$AF$2:$AF$9,0))&gt;SUM(_xlfn.XLOOKUP(_xlfn._xlws.FILTER(_xlfn.TOCOL(_xlfn.CHOOSECOLS(C520:L528,2,4,6,8,10),0,TRUE),_xlfn.TOCOL(_xlfn.CHOOSECOLS(C520:L528,1,3,5,7,9),0,TRUE)&lt;&gt;""),Lists!$AC$2:$AC$9,Lists!$AF$2:$AF$9,0)))*--(ROW()-ROW(C510)=_xlfn.XLOOKUP(MAX(IF(O511:O516&gt;0,INT(C511:C516)*3+MOD(ROUND(C511:C516*10,0),10),-1)),IF(O511:O516&gt;0,INT(C511:C516)*3+MOD(ROUND(C511:C516*10,0),10),-1),_xlfn.SEQUENCE(ROWS(O511:O516)),,0)))</f>
        <v/>
      </c>
      <c r="K511" s="68" t="str" cm="1">
        <f t="array" aca="1" ref="K511" ca="1">IF(OR(B511="",O511=""),"",--(SUM(_xlfn.XLOOKUP(_xlfn._xlws.FILTER(_xlfn.TOCOL(_xlfn.CHOOSECOLS(C499:L507,2,4,6,8,10),0,TRUE),_xlfn.TOCOL(_xlfn.CHOOSECOLS(C499:L507,1,3,5,7,9),0,TRUE)&lt;&gt;""),Lists!$AC$2:$AC$9,Lists!$AF$2:$AF$9,0))&lt;SUM(_xlfn.XLOOKUP(_xlfn._xlws.FILTER(_xlfn.TOCOL(_xlfn.CHOOSECOLS(C520:L528,2,4,6,8,10),0,TRUE),_xlfn.TOCOL(_xlfn.CHOOSECOLS(C520:L528,1,3,5,7,9),0,TRUE)&lt;&gt;""),Lists!$AC$2:$AC$9,Lists!$AF$2:$AF$9,0)))*--(ROW()-ROW(C510)=_xlfn.XLOOKUP(MAX(IF(O511:O516&gt;0,E511:E516,-1)),IF(O511:O516&gt;0,E511:E516,-1),_xlfn.SEQUENCE(ROWS(O511:O516)),,0)))</f>
        <v/>
      </c>
      <c r="L511" s="68" t="str" cm="1">
        <f t="array" aca="1" ref="L511" ca="1">IF(OR(B511="",O511=""),"",--(SUM(_xlfn.XLOOKUP(_xlfn._xlws.FILTER(_xlfn.TOCOL(_xlfn.CHOOSECOLS(C499:L507,2,4,6,8,10),0,TRUE),_xlfn.TOCOL(_xlfn.CHOOSECOLS(C499:L507,1,3,5,7,9),0,TRUE)&lt;&gt;""),Lists!$AC$2:$AC$9,Lists!$AF$2:$AF$9,0))&gt;SUM(_xlfn.XLOOKUP(_xlfn._xlws.FILTER(_xlfn.TOCOL(_xlfn.CHOOSECOLS(C520:L528,2,4,6,8,10),0,TRUE),_xlfn.TOCOL(_xlfn.CHOOSECOLS(C520:L528,1,3,5,7,9),0,TRUE)&lt;&gt;""),Lists!$AC$2:$AC$9,Lists!$AF$2:$AF$9,0)))*--(COUNTIF(O511:O516,"&gt;0")&gt;1)*--(ROW()-ROW(C510)=_xlfn.XLOOKUP(TRUE,O511:O516&gt;0,_xlfn.SEQUENCE(ROWS(O511:O516)),,0,-1))*--(_xlfn.XLOOKUP(TRUE,O511:O516&gt;0,_xlfn.SEQUENCE(ROWS(O511:O516)),,0,-1)&lt;&gt;_xlfn.XLOOKUP(MAX(IF(O511:O516&gt;0,INT(C511:C516)*3+MOD(ROUND(C511:C516*10,0),10),-1)),IF(O511:O516&gt;0,INT(C511:C516)*3+MOD(ROUND(C511:C516*10,0),10),-1),_xlfn.SEQUENCE(ROWS(O511:O516)),,0))*--(SUM(_xlfn.XLOOKUP(_xlfn._xlws.FILTER(_xlfn.TOCOL(_xlfn.CHOOSECOLS(C499:L507,2,4,6,8,10),0,TRUE),_xlfn.TOCOL(_xlfn.CHOOSECOLS(C499:L507,1,3,5,7,9),0,TRUE)&lt;&gt;""),Lists!$AC$2:$AC$9,Lists!$AF$2:$AF$9,0))-SUM(_xlfn.XLOOKUP(_xlfn._xlws.FILTER(_xlfn.TOCOL(_xlfn.CHOOSECOLS(C520:L528,2,4,6,8,10),0,TRUE),_xlfn.TOCOL(_xlfn.CHOOSECOLS(C520:L528,1,3,5,7,9),0,TRUE)&lt;&gt;""),Lists!$AC$2:$AC$9,Lists!$AF$2:$AF$9,0))&lt;=3)*--((INT(C511)*3+MOD(ROUND(C511*10,0),10))&gt;=3))</f>
        <v/>
      </c>
      <c r="M511" s="68" t="str" cm="1">
        <f t="array" ref="M511">IF(OR(B511="",O511=""),"",--(COUNTIF(O511:O516,"&gt;0")=1)*--(SUM(_xlfn.XLOOKUP(_xlfn._xlws.FILTER(_xlfn.TOCOL(_xlfn.CHOOSECOLS(C520:L528,2,4,6,8,10),0,TRUE),_xlfn.TOCOL(_xlfn.CHOOSECOLS(C520:L528,1,3,5,7,9),0,TRUE)&lt;&gt;""),Lists!$AC$2:$AC$9,Lists!$AF$2:$AF$9,0))=0))</f>
        <v/>
      </c>
      <c r="N511" s="69" t="str">
        <f>IF(OR(B511="",O511=""),"",--(COUNTIF(O511:O516,"&gt;0")=1))</f>
        <v/>
      </c>
      <c r="O511" s="5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8"/>
      <c r="CG511" s="18"/>
      <c r="CH511" s="18"/>
      <c r="CI511" s="18"/>
      <c r="CJ511" s="18"/>
      <c r="CK511" s="18"/>
      <c r="CL511" s="18"/>
      <c r="CM511" s="18"/>
      <c r="CN511" s="18"/>
      <c r="CO511" s="18"/>
      <c r="CP511" s="18"/>
      <c r="CQ511" s="18"/>
      <c r="CR511" s="18"/>
      <c r="CS511" s="18"/>
      <c r="CT511" s="18"/>
      <c r="CU511" s="18"/>
      <c r="CV511" s="18"/>
      <c r="CW511" s="18"/>
      <c r="CX511" s="18"/>
      <c r="CY511" s="18"/>
      <c r="CZ511" s="18"/>
      <c r="DA511" s="18"/>
      <c r="DB511" s="18"/>
      <c r="DC511" s="18"/>
      <c r="DD511" s="18"/>
      <c r="DE511" s="18"/>
      <c r="DF511" s="18"/>
    </row>
    <row r="512" spans="1:110">
      <c r="A512" s="168">
        <v>2</v>
      </c>
      <c r="B512" s="71"/>
      <c r="C512" s="70" t="str" cm="1">
        <f t="array" aca="1" ref="C512" ca="1">IF(OR(B512="",O512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12" s="67" t="str" cm="1">
        <f t="array" aca="1" ref="D512" ca="1">IF(OR(B512="",O512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12" s="67" t="str" cm="1">
        <f t="array" aca="1" ref="E512" ca="1">IF(OR(B512="",O512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12" s="67" t="str" cm="1">
        <f t="array" aca="1" ref="F512" ca="1">IF(OR(B512="",O512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12" s="67" t="str" cm="1">
        <f t="array" aca="1" ref="G512" ca="1">IF(OR(B512="",O512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12" s="67" t="str" cm="1">
        <f t="array" aca="1" ref="H512" ca="1">IF(OR(B512="",O512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12" s="68" t="str" cm="1">
        <f t="array" aca="1" ref="I512" ca="1">IF(OR(B512="",O512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12" s="68" t="str" cm="1">
        <f t="array" aca="1" ref="J512" ca="1">IF(OR(B512="",O512=""),"",--(SUM(_xlfn.XLOOKUP(_xlfn._xlws.FILTER(_xlfn.TOCOL(_xlfn.CHOOSECOLS(C499:L507,2,4,6,8,10),0,TRUE),_xlfn.TOCOL(_xlfn.CHOOSECOLS(C499:L507,1,3,5,7,9),0,TRUE)&lt;&gt;""),Lists!$AC$2:$AC$9,Lists!$AF$2:$AF$9,0))&gt;SUM(_xlfn.XLOOKUP(_xlfn._xlws.FILTER(_xlfn.TOCOL(_xlfn.CHOOSECOLS(C520:L528,2,4,6,8,10),0,TRUE),_xlfn.TOCOL(_xlfn.CHOOSECOLS(C520:L528,1,3,5,7,9),0,TRUE)&lt;&gt;""),Lists!$AC$2:$AC$9,Lists!$AF$2:$AF$9,0)))*--(ROW()-ROW(C510)=_xlfn.XLOOKUP(MAX(IF(O511:O516&gt;0,INT(C511:C516)*3+MOD(ROUND(C511:C516*10,0),10),-1)),IF(O511:O516&gt;0,INT(C511:C516)*3+MOD(ROUND(C511:C516*10,0),10),-1),_xlfn.SEQUENCE(ROWS(O511:O516)),,0)))</f>
        <v/>
      </c>
      <c r="K512" s="68" t="str" cm="1">
        <f t="array" aca="1" ref="K512" ca="1">IF(OR(B512="",O512=""),"",--(SUM(_xlfn.XLOOKUP(_xlfn._xlws.FILTER(_xlfn.TOCOL(_xlfn.CHOOSECOLS(C499:L507,2,4,6,8,10),0,TRUE),_xlfn.TOCOL(_xlfn.CHOOSECOLS(C499:L507,1,3,5,7,9),0,TRUE)&lt;&gt;""),Lists!$AC$2:$AC$9,Lists!$AF$2:$AF$9,0))&lt;SUM(_xlfn.XLOOKUP(_xlfn._xlws.FILTER(_xlfn.TOCOL(_xlfn.CHOOSECOLS(C520:L528,2,4,6,8,10),0,TRUE),_xlfn.TOCOL(_xlfn.CHOOSECOLS(C520:L528,1,3,5,7,9),0,TRUE)&lt;&gt;""),Lists!$AC$2:$AC$9,Lists!$AF$2:$AF$9,0)))*--(ROW()-ROW(C510)=_xlfn.XLOOKUP(MAX(IF(O511:O516&gt;0,E511:E516,-1)),IF(O511:O516&gt;0,E511:E516,-1),_xlfn.SEQUENCE(ROWS(O511:O516)),,0)))</f>
        <v/>
      </c>
      <c r="L512" s="68" t="str" cm="1">
        <f t="array" aca="1" ref="L512" ca="1">IF(OR(B512="",O512=""),"",--(SUM(_xlfn.XLOOKUP(_xlfn._xlws.FILTER(_xlfn.TOCOL(_xlfn.CHOOSECOLS(C499:L507,2,4,6,8,10),0,TRUE),_xlfn.TOCOL(_xlfn.CHOOSECOLS(C499:L507,1,3,5,7,9),0,TRUE)&lt;&gt;""),Lists!$AC$2:$AC$9,Lists!$AF$2:$AF$9,0))&gt;SUM(_xlfn.XLOOKUP(_xlfn._xlws.FILTER(_xlfn.TOCOL(_xlfn.CHOOSECOLS(C520:L528,2,4,6,8,10),0,TRUE),_xlfn.TOCOL(_xlfn.CHOOSECOLS(C520:L528,1,3,5,7,9),0,TRUE)&lt;&gt;""),Lists!$AC$2:$AC$9,Lists!$AF$2:$AF$9,0)))*--(COUNTIF(O511:O516,"&gt;0")&gt;1)*--(ROW()-ROW(C510)=_xlfn.XLOOKUP(TRUE,O511:O516&gt;0,_xlfn.SEQUENCE(ROWS(O511:O516)),,0,-1))*--(_xlfn.XLOOKUP(TRUE,O511:O516&gt;0,_xlfn.SEQUENCE(ROWS(O511:O516)),,0,-1)&lt;&gt;_xlfn.XLOOKUP(MAX(IF(O511:O516&gt;0,INT(C511:C516)*3+MOD(ROUND(C511:C516*10,0),10),-1)),IF(O511:O516&gt;0,INT(C511:C516)*3+MOD(ROUND(C511:C516*10,0),10),-1),_xlfn.SEQUENCE(ROWS(O511:O516)),,0))*--(SUM(_xlfn.XLOOKUP(_xlfn._xlws.FILTER(_xlfn.TOCOL(_xlfn.CHOOSECOLS(C499:L507,2,4,6,8,10),0,TRUE),_xlfn.TOCOL(_xlfn.CHOOSECOLS(C499:L507,1,3,5,7,9),0,TRUE)&lt;&gt;""),Lists!$AC$2:$AC$9,Lists!$AF$2:$AF$9,0))-SUM(_xlfn.XLOOKUP(_xlfn._xlws.FILTER(_xlfn.TOCOL(_xlfn.CHOOSECOLS(C520:L528,2,4,6,8,10),0,TRUE),_xlfn.TOCOL(_xlfn.CHOOSECOLS(C520:L528,1,3,5,7,9),0,TRUE)&lt;&gt;""),Lists!$AC$2:$AC$9,Lists!$AF$2:$AF$9,0))&lt;=3)*--((INT(C512)*3+MOD(ROUND(C512*10,0),10))&gt;=3))</f>
        <v/>
      </c>
      <c r="M512" s="68" t="str" cm="1">
        <f t="array" ref="M512">IF(OR(B512="",O512=""),"",--(COUNTIF(O511:O516,"&gt;0")=1)*--(SUM(_xlfn.XLOOKUP(_xlfn._xlws.FILTER(_xlfn.TOCOL(_xlfn.CHOOSECOLS(C520:L528,2,4,6,8,10),0,TRUE),_xlfn.TOCOL(_xlfn.CHOOSECOLS(C520:L528,1,3,5,7,9),0,TRUE)&lt;&gt;""),Lists!$AC$2:$AC$9,Lists!$AF$2:$AF$9,0))=0))</f>
        <v/>
      </c>
      <c r="N512" s="69" t="str">
        <f>IF(OR(B512="",O512=""),"",--(COUNTIF(O511:O516,"&gt;0")=1))</f>
        <v/>
      </c>
      <c r="O512" s="5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  <c r="CL512" s="18"/>
      <c r="CM512" s="18"/>
      <c r="CN512" s="18"/>
      <c r="CO512" s="18"/>
      <c r="CP512" s="18"/>
      <c r="CQ512" s="18"/>
      <c r="CR512" s="18"/>
      <c r="CS512" s="18"/>
      <c r="CT512" s="18"/>
      <c r="CU512" s="18"/>
      <c r="CV512" s="18"/>
      <c r="CW512" s="18"/>
      <c r="CX512" s="18"/>
      <c r="CY512" s="18"/>
      <c r="CZ512" s="18"/>
      <c r="DA512" s="18"/>
      <c r="DB512" s="18"/>
      <c r="DC512" s="18"/>
      <c r="DD512" s="18"/>
      <c r="DE512" s="18"/>
      <c r="DF512" s="18"/>
    </row>
    <row r="513" spans="1:110">
      <c r="A513" s="168">
        <v>3</v>
      </c>
      <c r="B513" s="71"/>
      <c r="C513" s="70" t="str" cm="1">
        <f t="array" aca="1" ref="C513" ca="1">IF(OR(B513="",O513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13" s="67" t="str" cm="1">
        <f t="array" aca="1" ref="D513" ca="1">IF(OR(B513="",O513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13" s="67" t="str" cm="1">
        <f t="array" aca="1" ref="E513" ca="1">IF(OR(B513="",O513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13" s="67" t="str" cm="1">
        <f t="array" aca="1" ref="F513" ca="1">IF(OR(B513="",O513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13" s="67" t="str" cm="1">
        <f t="array" aca="1" ref="G513" ca="1">IF(OR(B513="",O513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13" s="67" t="str" cm="1">
        <f t="array" aca="1" ref="H513" ca="1">IF(OR(B513="",O513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13" s="68" t="str" cm="1">
        <f t="array" aca="1" ref="I513" ca="1">IF(OR(B513="",O513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13" s="68" t="str" cm="1">
        <f t="array" aca="1" ref="J513" ca="1">IF(OR(B513="",O513=""),"",--(SUM(_xlfn.XLOOKUP(_xlfn._xlws.FILTER(_xlfn.TOCOL(_xlfn.CHOOSECOLS(C499:L507,2,4,6,8,10),0,TRUE),_xlfn.TOCOL(_xlfn.CHOOSECOLS(C499:L507,1,3,5,7,9),0,TRUE)&lt;&gt;""),Lists!$AC$2:$AC$9,Lists!$AF$2:$AF$9,0))&gt;SUM(_xlfn.XLOOKUP(_xlfn._xlws.FILTER(_xlfn.TOCOL(_xlfn.CHOOSECOLS(C520:L528,2,4,6,8,10),0,TRUE),_xlfn.TOCOL(_xlfn.CHOOSECOLS(C520:L528,1,3,5,7,9),0,TRUE)&lt;&gt;""),Lists!$AC$2:$AC$9,Lists!$AF$2:$AF$9,0)))*--(ROW()-ROW(C510)=_xlfn.XLOOKUP(MAX(IF(O511:O516&gt;0,INT(C511:C516)*3+MOD(ROUND(C511:C516*10,0),10),-1)),IF(O511:O516&gt;0,INT(C511:C516)*3+MOD(ROUND(C511:C516*10,0),10),-1),_xlfn.SEQUENCE(ROWS(O511:O516)),,0)))</f>
        <v/>
      </c>
      <c r="K513" s="68" t="str" cm="1">
        <f t="array" aca="1" ref="K513" ca="1">IF(OR(B513="",O513=""),"",--(SUM(_xlfn.XLOOKUP(_xlfn._xlws.FILTER(_xlfn.TOCOL(_xlfn.CHOOSECOLS(C499:L507,2,4,6,8,10),0,TRUE),_xlfn.TOCOL(_xlfn.CHOOSECOLS(C499:L507,1,3,5,7,9),0,TRUE)&lt;&gt;""),Lists!$AC$2:$AC$9,Lists!$AF$2:$AF$9,0))&lt;SUM(_xlfn.XLOOKUP(_xlfn._xlws.FILTER(_xlfn.TOCOL(_xlfn.CHOOSECOLS(C520:L528,2,4,6,8,10),0,TRUE),_xlfn.TOCOL(_xlfn.CHOOSECOLS(C520:L528,1,3,5,7,9),0,TRUE)&lt;&gt;""),Lists!$AC$2:$AC$9,Lists!$AF$2:$AF$9,0)))*--(ROW()-ROW(C510)=_xlfn.XLOOKUP(MAX(IF(O511:O516&gt;0,E511:E516,-1)),IF(O511:O516&gt;0,E511:E516,-1),_xlfn.SEQUENCE(ROWS(O511:O516)),,0)))</f>
        <v/>
      </c>
      <c r="L513" s="68" t="str" cm="1">
        <f t="array" aca="1" ref="L513" ca="1">IF(OR(B513="",O513=""),"",--(SUM(_xlfn.XLOOKUP(_xlfn._xlws.FILTER(_xlfn.TOCOL(_xlfn.CHOOSECOLS(C499:L507,2,4,6,8,10),0,TRUE),_xlfn.TOCOL(_xlfn.CHOOSECOLS(C499:L507,1,3,5,7,9),0,TRUE)&lt;&gt;""),Lists!$AC$2:$AC$9,Lists!$AF$2:$AF$9,0))&gt;SUM(_xlfn.XLOOKUP(_xlfn._xlws.FILTER(_xlfn.TOCOL(_xlfn.CHOOSECOLS(C520:L528,2,4,6,8,10),0,TRUE),_xlfn.TOCOL(_xlfn.CHOOSECOLS(C520:L528,1,3,5,7,9),0,TRUE)&lt;&gt;""),Lists!$AC$2:$AC$9,Lists!$AF$2:$AF$9,0)))*--(COUNTIF(O511:O516,"&gt;0")&gt;1)*--(ROW()-ROW(C510)=_xlfn.XLOOKUP(TRUE,O511:O516&gt;0,_xlfn.SEQUENCE(ROWS(O511:O516)),,0,-1))*--(_xlfn.XLOOKUP(TRUE,O511:O516&gt;0,_xlfn.SEQUENCE(ROWS(O511:O516)),,0,-1)&lt;&gt;_xlfn.XLOOKUP(MAX(IF(O511:O516&gt;0,INT(C511:C516)*3+MOD(ROUND(C511:C516*10,0),10),-1)),IF(O511:O516&gt;0,INT(C511:C516)*3+MOD(ROUND(C511:C516*10,0),10),-1),_xlfn.SEQUENCE(ROWS(O511:O516)),,0))*--(SUM(_xlfn.XLOOKUP(_xlfn._xlws.FILTER(_xlfn.TOCOL(_xlfn.CHOOSECOLS(C499:L507,2,4,6,8,10),0,TRUE),_xlfn.TOCOL(_xlfn.CHOOSECOLS(C499:L507,1,3,5,7,9),0,TRUE)&lt;&gt;""),Lists!$AC$2:$AC$9,Lists!$AF$2:$AF$9,0))-SUM(_xlfn.XLOOKUP(_xlfn._xlws.FILTER(_xlfn.TOCOL(_xlfn.CHOOSECOLS(C520:L528,2,4,6,8,10),0,TRUE),_xlfn.TOCOL(_xlfn.CHOOSECOLS(C520:L528,1,3,5,7,9),0,TRUE)&lt;&gt;""),Lists!$AC$2:$AC$9,Lists!$AF$2:$AF$9,0))&lt;=3)*--((INT(C513)*3+MOD(ROUND(C513*10,0),10))&gt;=3))</f>
        <v/>
      </c>
      <c r="M513" s="68" t="str" cm="1">
        <f t="array" ref="M513">IF(OR(B513="",O513=""),"",--(COUNTIF(O511:O516,"&gt;0")=1)*--(SUM(_xlfn.XLOOKUP(_xlfn._xlws.FILTER(_xlfn.TOCOL(_xlfn.CHOOSECOLS(C520:L528,2,4,6,8,10),0,TRUE),_xlfn.TOCOL(_xlfn.CHOOSECOLS(C520:L528,1,3,5,7,9),0,TRUE)&lt;&gt;""),Lists!$AC$2:$AC$9,Lists!$AF$2:$AF$9,0))=0))</f>
        <v/>
      </c>
      <c r="N513" s="69" t="str">
        <f>IF(OR(B513="",O513=""),"",--(COUNTIF(O511:O516,"&gt;0")=1))</f>
        <v/>
      </c>
      <c r="O513" s="5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8"/>
      <c r="CG513" s="18"/>
      <c r="CH513" s="18"/>
      <c r="CI513" s="18"/>
      <c r="CJ513" s="18"/>
      <c r="CK513" s="18"/>
      <c r="CL513" s="18"/>
      <c r="CM513" s="18"/>
      <c r="CN513" s="18"/>
      <c r="CO513" s="18"/>
      <c r="CP513" s="18"/>
      <c r="CQ513" s="18"/>
      <c r="CR513" s="18"/>
      <c r="CS513" s="18"/>
      <c r="CT513" s="18"/>
      <c r="CU513" s="18"/>
      <c r="CV513" s="18"/>
      <c r="CW513" s="18"/>
      <c r="CX513" s="18"/>
      <c r="CY513" s="18"/>
      <c r="CZ513" s="18"/>
      <c r="DA513" s="18"/>
      <c r="DB513" s="18"/>
      <c r="DC513" s="18"/>
      <c r="DD513" s="18"/>
      <c r="DE513" s="18"/>
      <c r="DF513" s="18"/>
    </row>
    <row r="514" spans="1:110">
      <c r="A514" s="168">
        <v>4</v>
      </c>
      <c r="B514" s="71"/>
      <c r="C514" s="70" t="str" cm="1">
        <f t="array" aca="1" ref="C514" ca="1">IF(OR(B514="",O514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14" s="67" t="str" cm="1">
        <f t="array" aca="1" ref="D514" ca="1">IF(OR(B514="",O514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14" s="67" t="str" cm="1">
        <f t="array" aca="1" ref="E514" ca="1">IF(OR(B514="",O514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514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14" s="67" t="str" cm="1">
        <f t="array" aca="1" ref="F514" ca="1">IF(OR(B514="",O514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514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14" s="67" t="str" cm="1">
        <f t="array" aca="1" ref="G514" ca="1">IF(OR(B514="",O514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14" s="67" t="str" cm="1">
        <f t="array" aca="1" ref="H514" ca="1">IF(OR(B514="",O514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14" s="68" t="str" cm="1">
        <f t="array" aca="1" ref="I514" ca="1">IF(OR(B514="",O514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14" s="68" t="str" cm="1">
        <f t="array" aca="1" ref="J514" ca="1">IF(OR(B514="",O514=""),"",--(SUM(_xlfn.XLOOKUP(_xlfn._xlws.FILTER(_xlfn.TOCOL(_xlfn.CHOOSECOLS(C499:L507,2,4,6,8,10),0,TRUE),_xlfn.TOCOL(_xlfn.CHOOSECOLS(C499:L507,1,3,5,7,9),0,TRUE)&lt;&gt;""),Lists!$AC$2:$AC$9,Lists!$AF$2:$AF$9,0))&gt;SUM(_xlfn.XLOOKUP(_xlfn._xlws.FILTER(_xlfn.TOCOL(_xlfn.CHOOSECOLS(C520:L528,2,4,6,8,10),0,TRUE),_xlfn.TOCOL(_xlfn.CHOOSECOLS(C520:L528,1,3,5,7,9),0,TRUE)&lt;&gt;""),Lists!$AC$2:$AC$9,Lists!$AF$2:$AF$9,0)))*--(ROW()-ROW(C510)=_xlfn.XLOOKUP(MAX(IF(O511:O516&gt;0,INT(C511:C516)*3+MOD(ROUND(C511:C516*10,0),10),-1)),IF(O511:O516&gt;0,INT(C511:C516)*3+MOD(ROUND(C511:C516*10,0),10),-1),_xlfn.SEQUENCE(ROWS(O511:O516)),,0)))</f>
        <v/>
      </c>
      <c r="K514" s="68" t="str" cm="1">
        <f t="array" aca="1" ref="K514" ca="1">IF(OR(B514="",O514=""),"",--(SUM(_xlfn.XLOOKUP(_xlfn._xlws.FILTER(_xlfn.TOCOL(_xlfn.CHOOSECOLS(C499:L507,2,4,6,8,10),0,TRUE),_xlfn.TOCOL(_xlfn.CHOOSECOLS(C499:L507,1,3,5,7,9),0,TRUE)&lt;&gt;""),Lists!$AC$2:$AC$9,Lists!$AF$2:$AF$9,0))&lt;SUM(_xlfn.XLOOKUP(_xlfn._xlws.FILTER(_xlfn.TOCOL(_xlfn.CHOOSECOLS(C520:L528,2,4,6,8,10),0,TRUE),_xlfn.TOCOL(_xlfn.CHOOSECOLS(C520:L528,1,3,5,7,9),0,TRUE)&lt;&gt;""),Lists!$AC$2:$AC$9,Lists!$AF$2:$AF$9,0)))*--(ROW()-ROW(C510)=_xlfn.XLOOKUP(MAX(IF(O511:O516&gt;0,E511:E516,-1)),IF(O511:O516&gt;0,E511:E516,-1),_xlfn.SEQUENCE(ROWS(O511:O516)),,0)))</f>
        <v/>
      </c>
      <c r="L514" s="68" t="str" cm="1">
        <f t="array" aca="1" ref="L514" ca="1">IF(OR(B514="",O514=""),"",--(SUM(_xlfn.XLOOKUP(_xlfn._xlws.FILTER(_xlfn.TOCOL(_xlfn.CHOOSECOLS(C499:L507,2,4,6,8,10),0,TRUE),_xlfn.TOCOL(_xlfn.CHOOSECOLS(C499:L507,1,3,5,7,9),0,TRUE)&lt;&gt;""),Lists!$AC$2:$AC$9,Lists!$AF$2:$AF$9,0))&gt;SUM(_xlfn.XLOOKUP(_xlfn._xlws.FILTER(_xlfn.TOCOL(_xlfn.CHOOSECOLS(C520:L528,2,4,6,8,10),0,TRUE),_xlfn.TOCOL(_xlfn.CHOOSECOLS(C520:L528,1,3,5,7,9),0,TRUE)&lt;&gt;""),Lists!$AC$2:$AC$9,Lists!$AF$2:$AF$9,0)))*--(COUNTIF(O511:O516,"&gt;0")&gt;1)*--(ROW()-ROW(C510)=_xlfn.XLOOKUP(TRUE,O511:O516&gt;0,_xlfn.SEQUENCE(ROWS(O511:O516)),,0,-1))*--(_xlfn.XLOOKUP(TRUE,O511:O516&gt;0,_xlfn.SEQUENCE(ROWS(O511:O516)),,0,-1)&lt;&gt;_xlfn.XLOOKUP(MAX(IF(O511:O516&gt;0,INT(C511:C516)*3+MOD(ROUND(C511:C516*10,0),10),-1)),IF(O511:O516&gt;0,INT(C511:C516)*3+MOD(ROUND(C511:C516*10,0),10),-1),_xlfn.SEQUENCE(ROWS(O511:O516)),,0))*--(SUM(_xlfn.XLOOKUP(_xlfn._xlws.FILTER(_xlfn.TOCOL(_xlfn.CHOOSECOLS(C499:L507,2,4,6,8,10),0,TRUE),_xlfn.TOCOL(_xlfn.CHOOSECOLS(C499:L507,1,3,5,7,9),0,TRUE)&lt;&gt;""),Lists!$AC$2:$AC$9,Lists!$AF$2:$AF$9,0))-SUM(_xlfn.XLOOKUP(_xlfn._xlws.FILTER(_xlfn.TOCOL(_xlfn.CHOOSECOLS(C520:L528,2,4,6,8,10),0,TRUE),_xlfn.TOCOL(_xlfn.CHOOSECOLS(C520:L528,1,3,5,7,9),0,TRUE)&lt;&gt;""),Lists!$AC$2:$AC$9,Lists!$AF$2:$AF$9,0))&lt;=3)*--((INT(C514)*3+MOD(ROUND(C514*10,0),10))&gt;=3))</f>
        <v/>
      </c>
      <c r="M514" s="68" t="str" cm="1">
        <f t="array" ref="M514">IF(OR(B514="",O514=""),"",--(COUNTIF(O511:O516,"&gt;0")=1)*--(SUM(_xlfn.XLOOKUP(_xlfn._xlws.FILTER(_xlfn.TOCOL(_xlfn.CHOOSECOLS(C520:L528,2,4,6,8,10),0,TRUE),_xlfn.TOCOL(_xlfn.CHOOSECOLS(C520:L528,1,3,5,7,9),0,TRUE)&lt;&gt;""),Lists!$AC$2:$AC$9,Lists!$AF$2:$AF$9,0))=0))</f>
        <v/>
      </c>
      <c r="N514" s="69" t="str">
        <f>IF(OR(B514="",O514=""),"",--(COUNTIF(O511:O516,"&gt;0")=1))</f>
        <v/>
      </c>
      <c r="O514" s="5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  <c r="CF514" s="18"/>
      <c r="CG514" s="18"/>
      <c r="CH514" s="18"/>
      <c r="CI514" s="18"/>
      <c r="CJ514" s="18"/>
      <c r="CK514" s="18"/>
      <c r="CL514" s="18"/>
      <c r="CM514" s="18"/>
      <c r="CN514" s="18"/>
      <c r="CO514" s="18"/>
      <c r="CP514" s="18"/>
      <c r="CQ514" s="18"/>
      <c r="CR514" s="18"/>
      <c r="CS514" s="18"/>
      <c r="CT514" s="18"/>
      <c r="CU514" s="18"/>
      <c r="CV514" s="18"/>
      <c r="CW514" s="18"/>
      <c r="CX514" s="18"/>
      <c r="CY514" s="18"/>
      <c r="CZ514" s="18"/>
      <c r="DA514" s="18"/>
      <c r="DB514" s="18"/>
      <c r="DC514" s="18"/>
      <c r="DD514" s="18"/>
      <c r="DE514" s="18"/>
      <c r="DF514" s="18"/>
    </row>
    <row r="515" spans="1:110">
      <c r="A515" s="168">
        <v>5</v>
      </c>
      <c r="B515" s="71"/>
      <c r="C515" s="70" t="str" cm="1">
        <f t="array" aca="1" ref="C515" ca="1">IF(OR(B515="",O515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15" s="67" t="str" cm="1">
        <f t="array" aca="1" ref="D515" ca="1">IF(OR(B515="",O515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15" s="67" t="str" cm="1">
        <f t="array" aca="1" ref="E515" ca="1">IF(OR(B515="",O515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515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15" s="67" t="str" cm="1">
        <f t="array" aca="1" ref="F515" ca="1">IF(OR(B515="",O515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515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15" s="67" t="str" cm="1">
        <f t="array" aca="1" ref="G515" ca="1">IF(OR(B515="",O515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15" s="67" t="str" cm="1">
        <f t="array" aca="1" ref="H515" ca="1">IF(OR(B515="",O515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15" s="68" t="str" cm="1">
        <f t="array" aca="1" ref="I515" ca="1">IF(OR(B515="",O515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15" s="68" t="str" cm="1">
        <f t="array" aca="1" ref="J515" ca="1">IF(OR(B515="",O515=""),"",--(SUM(_xlfn.XLOOKUP(_xlfn._xlws.FILTER(_xlfn.TOCOL(_xlfn.CHOOSECOLS(C499:L507,2,4,6,8,10),0,TRUE),_xlfn.TOCOL(_xlfn.CHOOSECOLS(C499:L507,1,3,5,7,9),0,TRUE)&lt;&gt;""),Lists!$AC$2:$AC$9,Lists!$AF$2:$AF$9,0))&gt;SUM(_xlfn.XLOOKUP(_xlfn._xlws.FILTER(_xlfn.TOCOL(_xlfn.CHOOSECOLS(C520:L528,2,4,6,8,10),0,TRUE),_xlfn.TOCOL(_xlfn.CHOOSECOLS(C520:L528,1,3,5,7,9),0,TRUE)&lt;&gt;""),Lists!$AC$2:$AC$9,Lists!$AF$2:$AF$9,0)))*--(ROW()-ROW(C510)=_xlfn.XLOOKUP(MAX(IF(O511:O516&gt;0,INT(C511:C516)*3+MOD(ROUND(C511:C516*10,0),10),-1)),IF(O511:O516&gt;0,INT(C511:C516)*3+MOD(ROUND(C511:C516*10,0),10),-1),_xlfn.SEQUENCE(ROWS(O511:O516)),,0)))</f>
        <v/>
      </c>
      <c r="K515" s="68" t="str" cm="1">
        <f t="array" aca="1" ref="K515" ca="1">IF(OR(B515="",O515=""),"",--(SUM(_xlfn.XLOOKUP(_xlfn._xlws.FILTER(_xlfn.TOCOL(_xlfn.CHOOSECOLS(C499:L507,2,4,6,8,10),0,TRUE),_xlfn.TOCOL(_xlfn.CHOOSECOLS(C499:L507,1,3,5,7,9),0,TRUE)&lt;&gt;""),Lists!$AC$2:$AC$9,Lists!$AF$2:$AF$9,0))&lt;SUM(_xlfn.XLOOKUP(_xlfn._xlws.FILTER(_xlfn.TOCOL(_xlfn.CHOOSECOLS(C520:L528,2,4,6,8,10),0,TRUE),_xlfn.TOCOL(_xlfn.CHOOSECOLS(C520:L528,1,3,5,7,9),0,TRUE)&lt;&gt;""),Lists!$AC$2:$AC$9,Lists!$AF$2:$AF$9,0)))*--(ROW()-ROW(C510)=_xlfn.XLOOKUP(MAX(IF(O511:O516&gt;0,E511:E516,-1)),IF(O511:O516&gt;0,E511:E516,-1),_xlfn.SEQUENCE(ROWS(O511:O516)),,0)))</f>
        <v/>
      </c>
      <c r="L515" s="68" t="str" cm="1">
        <f t="array" aca="1" ref="L515" ca="1">IF(OR(B515="",O515=""),"",--(SUM(_xlfn.XLOOKUP(_xlfn._xlws.FILTER(_xlfn.TOCOL(_xlfn.CHOOSECOLS(C499:L507,2,4,6,8,10),0,TRUE),_xlfn.TOCOL(_xlfn.CHOOSECOLS(C499:L507,1,3,5,7,9),0,TRUE)&lt;&gt;""),Lists!$AC$2:$AC$9,Lists!$AF$2:$AF$9,0))&gt;SUM(_xlfn.XLOOKUP(_xlfn._xlws.FILTER(_xlfn.TOCOL(_xlfn.CHOOSECOLS(C520:L528,2,4,6,8,10),0,TRUE),_xlfn.TOCOL(_xlfn.CHOOSECOLS(C520:L528,1,3,5,7,9),0,TRUE)&lt;&gt;""),Lists!$AC$2:$AC$9,Lists!$AF$2:$AF$9,0)))*--(COUNTIF(O511:O516,"&gt;0")&gt;1)*--(ROW()-ROW(C510)=_xlfn.XLOOKUP(TRUE,O511:O516&gt;0,_xlfn.SEQUENCE(ROWS(O511:O516)),,0,-1))*--(_xlfn.XLOOKUP(TRUE,O511:O516&gt;0,_xlfn.SEQUENCE(ROWS(O511:O516)),,0,-1)&lt;&gt;_xlfn.XLOOKUP(MAX(IF(O511:O516&gt;0,INT(C511:C516)*3+MOD(ROUND(C511:C516*10,0),10),-1)),IF(O511:O516&gt;0,INT(C511:C516)*3+MOD(ROUND(C511:C516*10,0),10),-1),_xlfn.SEQUENCE(ROWS(O511:O516)),,0))*--(SUM(_xlfn.XLOOKUP(_xlfn._xlws.FILTER(_xlfn.TOCOL(_xlfn.CHOOSECOLS(C499:L507,2,4,6,8,10),0,TRUE),_xlfn.TOCOL(_xlfn.CHOOSECOLS(C499:L507,1,3,5,7,9),0,TRUE)&lt;&gt;""),Lists!$AC$2:$AC$9,Lists!$AF$2:$AF$9,0))-SUM(_xlfn.XLOOKUP(_xlfn._xlws.FILTER(_xlfn.TOCOL(_xlfn.CHOOSECOLS(C520:L528,2,4,6,8,10),0,TRUE),_xlfn.TOCOL(_xlfn.CHOOSECOLS(C520:L528,1,3,5,7,9),0,TRUE)&lt;&gt;""),Lists!$AC$2:$AC$9,Lists!$AF$2:$AF$9,0))&lt;=3)*--((INT(C515)*3+MOD(ROUND(C515*10,0),10))&gt;=3))</f>
        <v/>
      </c>
      <c r="M515" s="68" t="str" cm="1">
        <f t="array" ref="M515">IF(OR(B515="",O515=""),"",--(COUNTIF(O511:O516,"&gt;0")=1)*--(SUM(_xlfn.XLOOKUP(_xlfn._xlws.FILTER(_xlfn.TOCOL(_xlfn.CHOOSECOLS(C520:L528,2,4,6,8,10),0,TRUE),_xlfn.TOCOL(_xlfn.CHOOSECOLS(C520:L528,1,3,5,7,9),0,TRUE)&lt;&gt;""),Lists!$AC$2:$AC$9,Lists!$AF$2:$AF$9,0))=0))</f>
        <v/>
      </c>
      <c r="N515" s="69" t="str">
        <f>IF(OR(B515="",O515=""),"",--(COUNTIF(O511:O516,"&gt;0")=1))</f>
        <v/>
      </c>
      <c r="O515" s="5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  <c r="CF515" s="18"/>
      <c r="CG515" s="18"/>
      <c r="CH515" s="18"/>
      <c r="CI515" s="18"/>
      <c r="CJ515" s="18"/>
      <c r="CK515" s="18"/>
      <c r="CL515" s="18"/>
      <c r="CM515" s="18"/>
      <c r="CN515" s="18"/>
      <c r="CO515" s="18"/>
      <c r="CP515" s="18"/>
      <c r="CQ515" s="18"/>
      <c r="CR515" s="18"/>
      <c r="CS515" s="18"/>
      <c r="CT515" s="18"/>
      <c r="CU515" s="18"/>
      <c r="CV515" s="18"/>
      <c r="CW515" s="18"/>
      <c r="CX515" s="18"/>
      <c r="CY515" s="18"/>
      <c r="CZ515" s="18"/>
      <c r="DA515" s="18"/>
      <c r="DB515" s="18"/>
      <c r="DC515" s="18"/>
      <c r="DD515" s="18"/>
      <c r="DE515" s="18"/>
      <c r="DF515" s="18"/>
    </row>
    <row r="516" spans="1:110">
      <c r="A516" s="168">
        <v>6</v>
      </c>
      <c r="B516" s="71"/>
      <c r="C516" s="70" t="str" cm="1">
        <f t="array" aca="1" ref="C516" ca="1">IF(OR(B516="",O516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16" s="67" t="str" cm="1">
        <f t="array" aca="1" ref="D516" ca="1">IF(OR(B516="",O516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16" s="67" t="str" cm="1">
        <f t="array" aca="1" ref="E516" ca="1">IF(OR(B516="",O516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516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16" s="67" t="str" cm="1">
        <f t="array" aca="1" ref="F516" ca="1">IF(OR(B516="",O516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516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16" s="67" t="str" cm="1">
        <f t="array" aca="1" ref="G516" ca="1">IF(OR(B516="",O516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16" s="67" t="str" cm="1">
        <f t="array" aca="1" ref="H516" ca="1">IF(OR(B516="",O516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16" s="68" t="str" cm="1">
        <f t="array" aca="1" ref="I516" ca="1">IF(OR(B516="",O516=""),"",_xlfn.LET(_xlpm.flatPAraw,_xlfn.TOCOL(_xlfn.CHOOSECOLS(C520:L528,1,3,5,7,9),0,TRUE),_xlpm.flatPARraw,_xlfn.TOCOL(_xlfn.CHOOSECOLS(C520:L528,2,4,6,8,10),0,TRUE),_xlpm.flatPA,_xlfn._xlws.FILTER(_xlpm.flatPAraw,_xlpm.flatPAraw&lt;&gt;""),_xlpm.flatPAR,_xlfn._xlws.FILTER(_xlpm.flatPARraw,_xlpm.flatPAraw&lt;&gt;""),_xlpm.prev,IF(ROW()=ROW(C511),0,SUM(INDEX(O:O,ROW(C511)):INDEX(O:O,ROW()-1))),_xlpm.need,O516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16" s="68" t="str" cm="1">
        <f t="array" aca="1" ref="J516" ca="1">IF(OR(B516="",O516=""),"",--(SUM(_xlfn.XLOOKUP(_xlfn._xlws.FILTER(_xlfn.TOCOL(_xlfn.CHOOSECOLS(C499:L507,2,4,6,8,10),0,TRUE),_xlfn.TOCOL(_xlfn.CHOOSECOLS(C499:L507,1,3,5,7,9),0,TRUE)&lt;&gt;""),Lists!$AC$2:$AC$9,Lists!$AF$2:$AF$9,0))&gt;SUM(_xlfn.XLOOKUP(_xlfn._xlws.FILTER(_xlfn.TOCOL(_xlfn.CHOOSECOLS(C520:L528,2,4,6,8,10),0,TRUE),_xlfn.TOCOL(_xlfn.CHOOSECOLS(C520:L528,1,3,5,7,9),0,TRUE)&lt;&gt;""),Lists!$AC$2:$AC$9,Lists!$AF$2:$AF$9,0)))*--(ROW()-ROW(C510)=_xlfn.XLOOKUP(MAX(IF(O511:O516&gt;0,INT(C511:C516)*3+MOD(ROUND(C511:C516*10,0),10),-1)),IF(O511:O516&gt;0,INT(C511:C516)*3+MOD(ROUND(C511:C516*10,0),10),-1),_xlfn.SEQUENCE(ROWS(O511:O516)),,0)))</f>
        <v/>
      </c>
      <c r="K516" s="68" t="str" cm="1">
        <f t="array" aca="1" ref="K516" ca="1">IF(OR(B516="",O516=""),"",--(SUM(_xlfn.XLOOKUP(_xlfn._xlws.FILTER(_xlfn.TOCOL(_xlfn.CHOOSECOLS(C499:L507,2,4,6,8,10),0,TRUE),_xlfn.TOCOL(_xlfn.CHOOSECOLS(C499:L507,1,3,5,7,9),0,TRUE)&lt;&gt;""),Lists!$AC$2:$AC$9,Lists!$AF$2:$AF$9,0))&lt;SUM(_xlfn.XLOOKUP(_xlfn._xlws.FILTER(_xlfn.TOCOL(_xlfn.CHOOSECOLS(C520:L528,2,4,6,8,10),0,TRUE),_xlfn.TOCOL(_xlfn.CHOOSECOLS(C520:L528,1,3,5,7,9),0,TRUE)&lt;&gt;""),Lists!$AC$2:$AC$9,Lists!$AF$2:$AF$9,0)))*--(ROW()-ROW(C510)=_xlfn.XLOOKUP(MAX(IF(O511:O516&gt;0,E511:E516,-1)),IF(O511:O516&gt;0,E511:E516,-1),_xlfn.SEQUENCE(ROWS(O511:O516)),,0)))</f>
        <v/>
      </c>
      <c r="L516" s="68" t="str" cm="1">
        <f t="array" aca="1" ref="L516" ca="1">IF(OR(B516="",O516=""),"",--(SUM(_xlfn.XLOOKUP(_xlfn._xlws.FILTER(_xlfn.TOCOL(_xlfn.CHOOSECOLS(C499:L507,2,4,6,8,10),0,TRUE),_xlfn.TOCOL(_xlfn.CHOOSECOLS(C499:L507,1,3,5,7,9),0,TRUE)&lt;&gt;""),Lists!$AC$2:$AC$9,Lists!$AF$2:$AF$9,0))&gt;SUM(_xlfn.XLOOKUP(_xlfn._xlws.FILTER(_xlfn.TOCOL(_xlfn.CHOOSECOLS(C520:L528,2,4,6,8,10),0,TRUE),_xlfn.TOCOL(_xlfn.CHOOSECOLS(C520:L528,1,3,5,7,9),0,TRUE)&lt;&gt;""),Lists!$AC$2:$AC$9,Lists!$AF$2:$AF$9,0)))*--(COUNTIF(O511:O516,"&gt;0")&gt;1)*--(ROW()-ROW(C510)=_xlfn.XLOOKUP(TRUE,O511:O516&gt;0,_xlfn.SEQUENCE(ROWS(O511:O516)),,0,-1))*--(_xlfn.XLOOKUP(TRUE,O511:O516&gt;0,_xlfn.SEQUENCE(ROWS(O511:O516)),,0,-1)&lt;&gt;_xlfn.XLOOKUP(MAX(IF(O511:O516&gt;0,INT(C511:C516)*3+MOD(ROUND(C511:C516*10,0),10),-1)),IF(O511:O516&gt;0,INT(C511:C516)*3+MOD(ROUND(C511:C516*10,0),10),-1),_xlfn.SEQUENCE(ROWS(O511:O516)),,0))*--(SUM(_xlfn.XLOOKUP(_xlfn._xlws.FILTER(_xlfn.TOCOL(_xlfn.CHOOSECOLS(C499:L507,2,4,6,8,10),0,TRUE),_xlfn.TOCOL(_xlfn.CHOOSECOLS(C499:L507,1,3,5,7,9),0,TRUE)&lt;&gt;""),Lists!$AC$2:$AC$9,Lists!$AF$2:$AF$9,0))-SUM(_xlfn.XLOOKUP(_xlfn._xlws.FILTER(_xlfn.TOCOL(_xlfn.CHOOSECOLS(C520:L528,2,4,6,8,10),0,TRUE),_xlfn.TOCOL(_xlfn.CHOOSECOLS(C520:L528,1,3,5,7,9),0,TRUE)&lt;&gt;""),Lists!$AC$2:$AC$9,Lists!$AF$2:$AF$9,0))&lt;=3)*--((INT(C516)*3+MOD(ROUND(C516*10,0),10))&gt;=3))</f>
        <v/>
      </c>
      <c r="M516" s="68" t="str" cm="1">
        <f t="array" ref="M516">IF(OR(B516="",O516=""),"",--(COUNTIF(O511:O516,"&gt;0")=1)*--(SUM(_xlfn.XLOOKUP(_xlfn._xlws.FILTER(_xlfn.TOCOL(_xlfn.CHOOSECOLS(C520:L528,2,4,6,8,10),0,TRUE),_xlfn.TOCOL(_xlfn.CHOOSECOLS(C520:L528,1,3,5,7,9),0,TRUE)&lt;&gt;""),Lists!$AC$2:$AC$9,Lists!$AF$2:$AF$9,0))=0))</f>
        <v/>
      </c>
      <c r="N516" s="69" t="str">
        <f>IF(OR(B516="",O516=""),"",--(COUNTIF(O511:O516,"&gt;0")=1))</f>
        <v/>
      </c>
      <c r="O516" s="5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  <c r="CD516" s="18"/>
      <c r="CE516" s="18"/>
      <c r="CF516" s="18"/>
      <c r="CG516" s="18"/>
      <c r="CH516" s="18"/>
      <c r="CI516" s="18"/>
      <c r="CJ516" s="18"/>
      <c r="CK516" s="18"/>
      <c r="CL516" s="18"/>
      <c r="CM516" s="18"/>
      <c r="CN516" s="18"/>
      <c r="CO516" s="18"/>
      <c r="CP516" s="18"/>
      <c r="CQ516" s="18"/>
      <c r="CR516" s="18"/>
      <c r="CS516" s="18"/>
      <c r="CT516" s="18"/>
      <c r="CU516" s="18"/>
      <c r="CV516" s="18"/>
      <c r="CW516" s="18"/>
      <c r="CX516" s="18"/>
      <c r="CY516" s="18"/>
      <c r="CZ516" s="18"/>
      <c r="DA516" s="18"/>
      <c r="DB516" s="18"/>
      <c r="DC516" s="18"/>
      <c r="DD516" s="18"/>
      <c r="DE516" s="18"/>
      <c r="DF516" s="18"/>
    </row>
    <row r="517" spans="1:110">
      <c r="A517" s="173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3"/>
      <c r="Q517" s="53"/>
      <c r="R517" s="53"/>
      <c r="S517" s="53"/>
      <c r="T517" s="53"/>
      <c r="U517" s="53"/>
      <c r="V517" s="53"/>
      <c r="W517" s="53"/>
      <c r="X517" s="53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  <c r="CF517" s="18"/>
      <c r="CG517" s="18"/>
      <c r="CH517" s="18"/>
      <c r="CI517" s="18"/>
      <c r="CJ517" s="18"/>
      <c r="CK517" s="18"/>
      <c r="CL517" s="18"/>
      <c r="CM517" s="18"/>
      <c r="CN517" s="18"/>
      <c r="CO517" s="18"/>
      <c r="CP517" s="18"/>
      <c r="CQ517" s="18"/>
      <c r="CR517" s="18"/>
      <c r="CS517" s="18"/>
      <c r="CT517" s="18"/>
      <c r="CU517" s="18"/>
      <c r="CV517" s="18"/>
      <c r="CW517" s="18"/>
      <c r="CX517" s="18"/>
      <c r="CY517" s="18"/>
      <c r="CZ517" s="18"/>
      <c r="DA517" s="18"/>
      <c r="DB517" s="18"/>
      <c r="DC517" s="18"/>
      <c r="DD517" s="18"/>
      <c r="DE517" s="18"/>
      <c r="DF517" s="18"/>
    </row>
    <row r="518" spans="1:110">
      <c r="A518" s="205" t="str">
        <f ca="1">IF($R$492="","Team B Batting",$R$492&amp;" Batting")</f>
        <v>Jason Batting</v>
      </c>
      <c r="B518" s="206"/>
      <c r="C518" s="206"/>
      <c r="D518" s="206"/>
      <c r="E518" s="206"/>
      <c r="F518" s="206"/>
      <c r="G518" s="206"/>
      <c r="H518" s="206"/>
      <c r="I518" s="206"/>
      <c r="J518" s="206"/>
      <c r="K518" s="206"/>
      <c r="L518" s="206"/>
      <c r="M518" s="206"/>
      <c r="N518" s="206"/>
      <c r="O518" s="181"/>
      <c r="P518" s="182"/>
      <c r="Q518" s="182"/>
      <c r="R518" s="182"/>
      <c r="S518" s="182"/>
      <c r="T518" s="182"/>
      <c r="U518" s="182"/>
      <c r="V518" s="182"/>
      <c r="W518" s="182"/>
      <c r="X518" s="182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8"/>
      <c r="CG518" s="18"/>
      <c r="CH518" s="18"/>
      <c r="CI518" s="18"/>
      <c r="CJ518" s="18"/>
      <c r="CK518" s="18"/>
      <c r="CL518" s="18"/>
      <c r="CM518" s="18"/>
      <c r="CN518" s="18"/>
      <c r="CO518" s="18"/>
      <c r="CP518" s="18"/>
      <c r="CQ518" s="18"/>
      <c r="CR518" s="18"/>
      <c r="CS518" s="18"/>
      <c r="CT518" s="18"/>
      <c r="CU518" s="18"/>
      <c r="CV518" s="18"/>
      <c r="CW518" s="18"/>
      <c r="CX518" s="18"/>
      <c r="CY518" s="18"/>
      <c r="CZ518" s="18"/>
      <c r="DA518" s="18"/>
      <c r="DB518" s="18"/>
      <c r="DC518" s="18"/>
      <c r="DD518" s="18"/>
      <c r="DE518" s="18"/>
      <c r="DF518" s="18"/>
    </row>
    <row r="519" spans="1:110">
      <c r="A519" s="167" t="s">
        <v>164</v>
      </c>
      <c r="B519" s="43" t="s">
        <v>39</v>
      </c>
      <c r="C519" s="43" t="s">
        <v>165</v>
      </c>
      <c r="D519" s="43" t="s">
        <v>166</v>
      </c>
      <c r="E519" s="43" t="s">
        <v>167</v>
      </c>
      <c r="F519" s="43" t="s">
        <v>168</v>
      </c>
      <c r="G519" s="43" t="s">
        <v>169</v>
      </c>
      <c r="H519" s="43" t="s">
        <v>170</v>
      </c>
      <c r="I519" s="43" t="s">
        <v>171</v>
      </c>
      <c r="J519" s="43" t="s">
        <v>172</v>
      </c>
      <c r="K519" s="43" t="s">
        <v>173</v>
      </c>
      <c r="L519" s="43" t="s">
        <v>174</v>
      </c>
      <c r="M519" s="43" t="s">
        <v>175</v>
      </c>
      <c r="N519" s="44" t="s">
        <v>161</v>
      </c>
      <c r="O519" s="44" t="s">
        <v>162</v>
      </c>
      <c r="P519" s="44" t="s">
        <v>176</v>
      </c>
      <c r="Q519" s="44" t="s">
        <v>177</v>
      </c>
      <c r="R519" s="44" t="s">
        <v>178</v>
      </c>
      <c r="S519" s="44" t="s">
        <v>179</v>
      </c>
      <c r="T519" s="44" t="s">
        <v>180</v>
      </c>
      <c r="U519" s="44" t="s">
        <v>181</v>
      </c>
      <c r="V519" s="44" t="s">
        <v>182</v>
      </c>
      <c r="W519" s="44" t="s">
        <v>183</v>
      </c>
      <c r="X519" s="45" t="s">
        <v>184</v>
      </c>
      <c r="Y519" s="45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  <c r="CF519" s="18"/>
      <c r="CG519" s="18"/>
      <c r="CH519" s="18"/>
      <c r="CI519" s="18"/>
      <c r="CJ519" s="18"/>
      <c r="CK519" s="18"/>
      <c r="CL519" s="18"/>
      <c r="CM519" s="18"/>
      <c r="CN519" s="18"/>
      <c r="CO519" s="18"/>
      <c r="CP519" s="18"/>
      <c r="CQ519" s="18"/>
      <c r="CR519" s="18"/>
      <c r="CS519" s="18"/>
      <c r="CT519" s="18"/>
      <c r="CU519" s="18"/>
      <c r="CV519" s="18"/>
      <c r="CW519" s="18"/>
      <c r="CX519" s="18"/>
      <c r="CY519" s="18"/>
      <c r="CZ519" s="18"/>
      <c r="DA519" s="18"/>
      <c r="DB519" s="18"/>
      <c r="DC519" s="18"/>
      <c r="DD519" s="18"/>
      <c r="DE519" s="18"/>
      <c r="DF519" s="18"/>
    </row>
    <row r="520" spans="1:110">
      <c r="A520" s="168">
        <v>1</v>
      </c>
      <c r="B520" s="47" t="str">
        <f ca="1">Lineups!$H$145</f>
        <v>Bowser</v>
      </c>
      <c r="C520" s="49"/>
      <c r="D520" s="49"/>
      <c r="E520" s="49"/>
      <c r="F520" s="49"/>
      <c r="G520" s="49"/>
      <c r="H520" s="50"/>
      <c r="I520" s="50"/>
      <c r="J520" s="50"/>
      <c r="K520" s="50"/>
      <c r="L520" s="50"/>
      <c r="M520" s="67">
        <f ca="1">IF($B520="","",SUM(_xlfn.XLOOKUP(C520,Lists!$P$2:$P$19,Lists!$R$2:$R$19,0),_xlfn.XLOOKUP(E520,Lists!$P$2:$P$19,Lists!$R$2:$R$19,0),_xlfn.XLOOKUP(G520,Lists!$P$2:$P$19,Lists!$R$2:$R$19,0),_xlfn.XLOOKUP(I520,Lists!$P$2:$P$19,Lists!$R$2:$R$19,0),_xlfn.XLOOKUP(K520,Lists!$P$2:$P$19,Lists!$R$2:$R$19,0)))</f>
        <v>0</v>
      </c>
      <c r="N520" s="68">
        <f ca="1">IF($B520="","",SUM(_xlfn.XLOOKUP(D520,Lists!$AC$2:$AC$9,Lists!$AE$2:$AE$9,0),_xlfn.XLOOKUP(F520,Lists!$AC$2:$AC$9,Lists!$AE$2:$AE$9,0),_xlfn.XLOOKUP(H520,Lists!$AC$2:$AC$9,Lists!$AE$2:$AE$9,0),_xlfn.XLOOKUP(J520,Lists!$AC$2:$AC$9,Lists!$AE$2:$AE$9,0),_xlfn.XLOOKUP(L520,Lists!$AC$2:$AC$9,Lists!$AE$2:$AE$9,0)))</f>
        <v>0</v>
      </c>
      <c r="O520" s="68">
        <f ca="1">IF($B520="","",SUM(_xlfn.XLOOKUP(C520,Lists!$P$2:$P$19,Lists!$S$2:$S$19,0),_xlfn.XLOOKUP(E520,Lists!$P$2:$P$19,Lists!$S$2:$S$19,0),_xlfn.XLOOKUP(G520,Lists!$P$2:$P$19,Lists!$S$2:$S$19,0),_xlfn.XLOOKUP(I520,Lists!$P$2:$P$19,Lists!$S$2:$S$19,0),_xlfn.XLOOKUP(K520,Lists!$P$2:$P$19,Lists!$S$2:$S$19,0)))</f>
        <v>0</v>
      </c>
      <c r="P520" s="68">
        <f ca="1">IF($B520="","",SUM(_xlfn.XLOOKUP(C520,Lists!$P$2:$P$19,Lists!$T$2:$T$19,0),_xlfn.XLOOKUP(E520,Lists!$P$2:$P$19,Lists!$T$2:$T$19,0),_xlfn.XLOOKUP(G520,Lists!$P$2:$P$19,Lists!$T$2:$T$19,0),_xlfn.XLOOKUP(I520,Lists!$P$2:$P$19,Lists!$T$2:$T$19,0),_xlfn.XLOOKUP(K520,Lists!$P$2:$P$19,Lists!$T$2:$T$19,0)))</f>
        <v>0</v>
      </c>
      <c r="Q520" s="68">
        <f ca="1">IF($B520="","",SUM(_xlfn.XLOOKUP(C520,Lists!$P$2:$P$19,Lists!$U$2:$U$19,0),_xlfn.XLOOKUP(E520,Lists!$P$2:$P$19,Lists!$U$2:$U$19,0),_xlfn.XLOOKUP(G520,Lists!$P$2:$P$19,Lists!$U$2:$U$19,0),_xlfn.XLOOKUP(I520,Lists!$P$2:$P$19,Lists!$U$2:$U$19,0),_xlfn.XLOOKUP(K520,Lists!$P$2:$P$19,Lists!$U$2:$U$19,0)))</f>
        <v>0</v>
      </c>
      <c r="R520" s="68">
        <f ca="1">IF($B520="","",SUM(_xlfn.XLOOKUP(C520,Lists!$P$2:$P$19,Lists!$V$2:$V$19,0),_xlfn.XLOOKUP(E520,Lists!$P$2:$P$19,Lists!$V$2:$V$19,0),_xlfn.XLOOKUP(G520,Lists!$P$2:$P$19,Lists!$V$2:$V$19,0),_xlfn.XLOOKUP(I520,Lists!$P$2:$P$19,Lists!$V$2:$V$19,0),_xlfn.XLOOKUP(K520,Lists!$P$2:$P$19,Lists!$V$2:$V$19,0)))</f>
        <v>0</v>
      </c>
      <c r="S520" s="68">
        <f ca="1">IF($B520="","",SUM(_xlfn.XLOOKUP(D520,Lists!$AC$2:$AC$9,Lists!$AD$2:$AD$9,0),_xlfn.XLOOKUP(F520,Lists!$AC$2:$AC$9,Lists!$AD$2:$AD$9,0),_xlfn.XLOOKUP(H520,Lists!$AC$2:$AC$9,Lists!$AD$2:$AD$9,0),_xlfn.XLOOKUP(J520,Lists!$AC$2:$AC$9,Lists!$AD$2:$AD$9,0),_xlfn.XLOOKUP(L520,Lists!$AC$2:$AC$9,Lists!$AD$2:$AD$9,0)))</f>
        <v>0</v>
      </c>
      <c r="T520" s="68">
        <f ca="1">IF($B520="","",SUM(_xlfn.XLOOKUP(C520,Lists!$P$2:$P$19,Lists!$W$2:$W$19,0),_xlfn.XLOOKUP(E520,Lists!$P$2:$P$19,Lists!$W$2:$W$19,0),_xlfn.XLOOKUP(G520,Lists!$P$2:$P$19,Lists!$W$2:$W$19,0),_xlfn.XLOOKUP(I520,Lists!$P$2:$P$19,Lists!$W$2:$W$19,0),_xlfn.XLOOKUP(K520,Lists!$P$2:$P$19,Lists!$W$2:$W$19,0)))</f>
        <v>0</v>
      </c>
      <c r="U520" s="68">
        <f ca="1">IF($B520="","",SUM(_xlfn.XLOOKUP(C520,Lists!$P$2:$P$19,Lists!$X$2:$X$19,0),_xlfn.XLOOKUP(E520,Lists!$P$2:$P$19,Lists!$X$2:$X$19,0),_xlfn.XLOOKUP(G520,Lists!$P$2:$P$19,Lists!$X$2:$X$19,0),_xlfn.XLOOKUP(I520,Lists!$P$2:$P$19,Lists!$X$2:$X$19,0),_xlfn.XLOOKUP(K520,Lists!$P$2:$P$19,Lists!$X$2:$X$19,0)))</f>
        <v>0</v>
      </c>
      <c r="V520" s="68">
        <f ca="1">IF($B520="","",SUM(_xlfn.XLOOKUP(C520,Lists!$P$2:$P$19,Lists!$Y$2:$Y$19,0),_xlfn.XLOOKUP(E520,Lists!$P$2:$P$19,Lists!$Y$2:$Y$19,0),_xlfn.XLOOKUP(G520,Lists!$P$2:$P$19,Lists!$Y$2:$Y$19,0),_xlfn.XLOOKUP(I520,Lists!$P$2:$P$19,Lists!$Y$2:$Y$19,0),_xlfn.XLOOKUP(K520,Lists!$P$2:$P$19,Lists!$Y$2:$Y$19,0)))</f>
        <v>0</v>
      </c>
      <c r="W520" s="68">
        <f ca="1">IF($B520="","",SUM(_xlfn.XLOOKUP(C520,Lists!$P$2:$P$19,Lists!$Z$2:$Z$19,0),_xlfn.XLOOKUP(E520,Lists!$P$2:$P$19,Lists!$Z$2:$Z$19,0),_xlfn.XLOOKUP(G520,Lists!$P$2:$P$19,Lists!$Z$2:$Z$19,0),_xlfn.XLOOKUP(I520,Lists!$P$2:$P$19,Lists!$Z$2:$Z$19,0),_xlfn.XLOOKUP(K520,Lists!$P$2:$P$19,Lists!$Z$2:$Z$19,0)))</f>
        <v>0</v>
      </c>
      <c r="X520" s="69">
        <f ca="1">IF($B520="","",SUM(_xlfn.XLOOKUP(C520,Lists!$P$2:$P$19,Lists!$AA$2:$AA$19,0),_xlfn.XLOOKUP(E520,Lists!$P$2:$P$19,Lists!$AA$2:$AA$19,0),_xlfn.XLOOKUP(G520,Lists!$P$2:$P$19,Lists!$AA$2:$AA$19,0),_xlfn.XLOOKUP(I520,Lists!$P$2:$P$19,Lists!$AA$2:$AA$19,0),_xlfn.XLOOKUP(K520,Lists!$P$2:$P$19,Lists!$AA$2:$AA$19,0)))</f>
        <v>0</v>
      </c>
      <c r="Y520" s="49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  <c r="CF520" s="18"/>
      <c r="CG520" s="18"/>
      <c r="CH520" s="18"/>
      <c r="CI520" s="18"/>
      <c r="CJ520" s="18"/>
      <c r="CK520" s="18"/>
      <c r="CL520" s="18"/>
      <c r="CM520" s="18"/>
      <c r="CN520" s="18"/>
      <c r="CO520" s="18"/>
      <c r="CP520" s="18"/>
      <c r="CQ520" s="18"/>
      <c r="CR520" s="18"/>
      <c r="CS520" s="18"/>
      <c r="CT520" s="18"/>
      <c r="CU520" s="18"/>
      <c r="CV520" s="18"/>
      <c r="CW520" s="18"/>
      <c r="CX520" s="18"/>
      <c r="CY520" s="18"/>
      <c r="CZ520" s="18"/>
      <c r="DA520" s="18"/>
      <c r="DB520" s="18"/>
      <c r="DC520" s="18"/>
      <c r="DD520" s="18"/>
      <c r="DE520" s="18"/>
      <c r="DF520" s="18"/>
    </row>
    <row r="521" spans="1:110">
      <c r="A521" s="168">
        <v>2</v>
      </c>
      <c r="B521" s="47" t="str">
        <f ca="1">Lineups!$H$146</f>
        <v>Peach</v>
      </c>
      <c r="C521" s="49"/>
      <c r="D521" s="49"/>
      <c r="E521" s="49"/>
      <c r="F521" s="49"/>
      <c r="G521" s="49"/>
      <c r="H521" s="50"/>
      <c r="I521" s="50"/>
      <c r="J521" s="50"/>
      <c r="K521" s="50"/>
      <c r="L521" s="50"/>
      <c r="M521" s="67">
        <f ca="1">IF($B521="","",SUM(_xlfn.XLOOKUP(C521,Lists!$P$2:$P$19,Lists!$R$2:$R$19,0),_xlfn.XLOOKUP(E521,Lists!$P$2:$P$19,Lists!$R$2:$R$19,0),_xlfn.XLOOKUP(G521,Lists!$P$2:$P$19,Lists!$R$2:$R$19,0),_xlfn.XLOOKUP(I521,Lists!$P$2:$P$19,Lists!$R$2:$R$19,0),_xlfn.XLOOKUP(K521,Lists!$P$2:$P$19,Lists!$R$2:$R$19,0)))</f>
        <v>0</v>
      </c>
      <c r="N521" s="68">
        <f ca="1">IF($B521="","",SUM(_xlfn.XLOOKUP(D521,Lists!$AC$2:$AC$9,Lists!$AE$2:$AE$9,0),_xlfn.XLOOKUP(F521,Lists!$AC$2:$AC$9,Lists!$AE$2:$AE$9,0),_xlfn.XLOOKUP(H521,Lists!$AC$2:$AC$9,Lists!$AE$2:$AE$9,0),_xlfn.XLOOKUP(J521,Lists!$AC$2:$AC$9,Lists!$AE$2:$AE$9,0),_xlfn.XLOOKUP(L521,Lists!$AC$2:$AC$9,Lists!$AE$2:$AE$9,0)))</f>
        <v>0</v>
      </c>
      <c r="O521" s="68">
        <f ca="1">IF($B521="","",SUM(_xlfn.XLOOKUP(C521,Lists!$P$2:$P$19,Lists!$S$2:$S$19,0),_xlfn.XLOOKUP(E521,Lists!$P$2:$P$19,Lists!$S$2:$S$19,0),_xlfn.XLOOKUP(G521,Lists!$P$2:$P$19,Lists!$S$2:$S$19,0),_xlfn.XLOOKUP(I521,Lists!$P$2:$P$19,Lists!$S$2:$S$19,0),_xlfn.XLOOKUP(K521,Lists!$P$2:$P$19,Lists!$S$2:$S$19,0)))</f>
        <v>0</v>
      </c>
      <c r="P521" s="68">
        <f ca="1">IF($B521="","",SUM(_xlfn.XLOOKUP(C521,Lists!$P$2:$P$19,Lists!$T$2:$T$19,0),_xlfn.XLOOKUP(E521,Lists!$P$2:$P$19,Lists!$T$2:$T$19,0),_xlfn.XLOOKUP(G521,Lists!$P$2:$P$19,Lists!$T$2:$T$19,0),_xlfn.XLOOKUP(I521,Lists!$P$2:$P$19,Lists!$T$2:$T$19,0),_xlfn.XLOOKUP(K521,Lists!$P$2:$P$19,Lists!$T$2:$T$19,0)))</f>
        <v>0</v>
      </c>
      <c r="Q521" s="68">
        <f ca="1">IF($B521="","",SUM(_xlfn.XLOOKUP(C521,Lists!$P$2:$P$19,Lists!$U$2:$U$19,0),_xlfn.XLOOKUP(E521,Lists!$P$2:$P$19,Lists!$U$2:$U$19,0),_xlfn.XLOOKUP(G521,Lists!$P$2:$P$19,Lists!$U$2:$U$19,0),_xlfn.XLOOKUP(I521,Lists!$P$2:$P$19,Lists!$U$2:$U$19,0),_xlfn.XLOOKUP(K521,Lists!$P$2:$P$19,Lists!$U$2:$U$19,0)))</f>
        <v>0</v>
      </c>
      <c r="R521" s="68">
        <f ca="1">IF($B521="","",SUM(_xlfn.XLOOKUP(C521,Lists!$P$2:$P$19,Lists!$V$2:$V$19,0),_xlfn.XLOOKUP(E521,Lists!$P$2:$P$19,Lists!$V$2:$V$19,0),_xlfn.XLOOKUP(G521,Lists!$P$2:$P$19,Lists!$V$2:$V$19,0),_xlfn.XLOOKUP(I521,Lists!$P$2:$P$19,Lists!$V$2:$V$19,0),_xlfn.XLOOKUP(K521,Lists!$P$2:$P$19,Lists!$V$2:$V$19,0)))</f>
        <v>0</v>
      </c>
      <c r="S521" s="68">
        <f ca="1">IF($B521="","",SUM(_xlfn.XLOOKUP(D521,Lists!$AC$2:$AC$9,Lists!$AD$2:$AD$9,0),_xlfn.XLOOKUP(F521,Lists!$AC$2:$AC$9,Lists!$AD$2:$AD$9,0),_xlfn.XLOOKUP(H521,Lists!$AC$2:$AC$9,Lists!$AD$2:$AD$9,0),_xlfn.XLOOKUP(J521,Lists!$AC$2:$AC$9,Lists!$AD$2:$AD$9,0),_xlfn.XLOOKUP(L521,Lists!$AC$2:$AC$9,Lists!$AD$2:$AD$9,0)))</f>
        <v>0</v>
      </c>
      <c r="T521" s="68">
        <f ca="1">IF($B521="","",SUM(_xlfn.XLOOKUP(C521,Lists!$P$2:$P$19,Lists!$W$2:$W$19,0),_xlfn.XLOOKUP(E521,Lists!$P$2:$P$19,Lists!$W$2:$W$19,0),_xlfn.XLOOKUP(G521,Lists!$P$2:$P$19,Lists!$W$2:$W$19,0),_xlfn.XLOOKUP(I521,Lists!$P$2:$P$19,Lists!$W$2:$W$19,0),_xlfn.XLOOKUP(K521,Lists!$P$2:$P$19,Lists!$W$2:$W$19,0)))</f>
        <v>0</v>
      </c>
      <c r="U521" s="68">
        <f ca="1">IF($B521="","",SUM(_xlfn.XLOOKUP(C521,Lists!$P$2:$P$19,Lists!$X$2:$X$19,0),_xlfn.XLOOKUP(E521,Lists!$P$2:$P$19,Lists!$X$2:$X$19,0),_xlfn.XLOOKUP(G521,Lists!$P$2:$P$19,Lists!$X$2:$X$19,0),_xlfn.XLOOKUP(I521,Lists!$P$2:$P$19,Lists!$X$2:$X$19,0),_xlfn.XLOOKUP(K521,Lists!$P$2:$P$19,Lists!$X$2:$X$19,0)))</f>
        <v>0</v>
      </c>
      <c r="V521" s="68">
        <f ca="1">IF($B521="","",SUM(_xlfn.XLOOKUP(C521,Lists!$P$2:$P$19,Lists!$Y$2:$Y$19,0),_xlfn.XLOOKUP(E521,Lists!$P$2:$P$19,Lists!$Y$2:$Y$19,0),_xlfn.XLOOKUP(G521,Lists!$P$2:$P$19,Lists!$Y$2:$Y$19,0),_xlfn.XLOOKUP(I521,Lists!$P$2:$P$19,Lists!$Y$2:$Y$19,0),_xlfn.XLOOKUP(K521,Lists!$P$2:$P$19,Lists!$Y$2:$Y$19,0)))</f>
        <v>0</v>
      </c>
      <c r="W521" s="68">
        <f ca="1">IF($B521="","",SUM(_xlfn.XLOOKUP(C521,Lists!$P$2:$P$19,Lists!$Z$2:$Z$19,0),_xlfn.XLOOKUP(E521,Lists!$P$2:$P$19,Lists!$Z$2:$Z$19,0),_xlfn.XLOOKUP(G521,Lists!$P$2:$P$19,Lists!$Z$2:$Z$19,0),_xlfn.XLOOKUP(I521,Lists!$P$2:$P$19,Lists!$Z$2:$Z$19,0),_xlfn.XLOOKUP(K521,Lists!$P$2:$P$19,Lists!$Z$2:$Z$19,0)))</f>
        <v>0</v>
      </c>
      <c r="X521" s="69">
        <f ca="1">IF($B521="","",SUM(_xlfn.XLOOKUP(C521,Lists!$P$2:$P$19,Lists!$AA$2:$AA$19,0),_xlfn.XLOOKUP(E521,Lists!$P$2:$P$19,Lists!$AA$2:$AA$19,0),_xlfn.XLOOKUP(G521,Lists!$P$2:$P$19,Lists!$AA$2:$AA$19,0),_xlfn.XLOOKUP(I521,Lists!$P$2:$P$19,Lists!$AA$2:$AA$19,0),_xlfn.XLOOKUP(K521,Lists!$P$2:$P$19,Lists!$AA$2:$AA$19,0)))</f>
        <v>0</v>
      </c>
      <c r="Y521" s="49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  <c r="CD521" s="18"/>
      <c r="CE521" s="18"/>
      <c r="CF521" s="18"/>
      <c r="CG521" s="18"/>
      <c r="CH521" s="18"/>
      <c r="CI521" s="18"/>
      <c r="CJ521" s="18"/>
      <c r="CK521" s="18"/>
      <c r="CL521" s="18"/>
      <c r="CM521" s="18"/>
      <c r="CN521" s="18"/>
      <c r="CO521" s="18"/>
      <c r="CP521" s="18"/>
      <c r="CQ521" s="18"/>
      <c r="CR521" s="18"/>
      <c r="CS521" s="18"/>
      <c r="CT521" s="18"/>
      <c r="CU521" s="18"/>
      <c r="CV521" s="18"/>
      <c r="CW521" s="18"/>
      <c r="CX521" s="18"/>
      <c r="CY521" s="18"/>
      <c r="CZ521" s="18"/>
      <c r="DA521" s="18"/>
      <c r="DB521" s="18"/>
      <c r="DC521" s="18"/>
      <c r="DD521" s="18"/>
      <c r="DE521" s="18"/>
      <c r="DF521" s="18"/>
    </row>
    <row r="522" spans="1:110">
      <c r="A522" s="168">
        <v>3</v>
      </c>
      <c r="B522" s="47" t="str">
        <f ca="1">Lineups!$H$147</f>
        <v>Yoshi</v>
      </c>
      <c r="C522" s="49"/>
      <c r="D522" s="49"/>
      <c r="E522" s="49"/>
      <c r="F522" s="49"/>
      <c r="G522" s="49"/>
      <c r="H522" s="50"/>
      <c r="I522" s="50"/>
      <c r="J522" s="50"/>
      <c r="K522" s="50"/>
      <c r="L522" s="50"/>
      <c r="M522" s="67">
        <f ca="1">IF($B522="","",SUM(_xlfn.XLOOKUP(C522,Lists!$P$2:$P$19,Lists!$R$2:$R$19,0),_xlfn.XLOOKUP(E522,Lists!$P$2:$P$19,Lists!$R$2:$R$19,0),_xlfn.XLOOKUP(G522,Lists!$P$2:$P$19,Lists!$R$2:$R$19,0),_xlfn.XLOOKUP(I522,Lists!$P$2:$P$19,Lists!$R$2:$R$19,0),_xlfn.XLOOKUP(K522,Lists!$P$2:$P$19,Lists!$R$2:$R$19,0)))</f>
        <v>0</v>
      </c>
      <c r="N522" s="68">
        <f ca="1">IF($B522="","",SUM(_xlfn.XLOOKUP(D522,Lists!$AC$2:$AC$9,Lists!$AE$2:$AE$9,0),_xlfn.XLOOKUP(F522,Lists!$AC$2:$AC$9,Lists!$AE$2:$AE$9,0),_xlfn.XLOOKUP(H522,Lists!$AC$2:$AC$9,Lists!$AE$2:$AE$9,0),_xlfn.XLOOKUP(J522,Lists!$AC$2:$AC$9,Lists!$AE$2:$AE$9,0),_xlfn.XLOOKUP(L522,Lists!$AC$2:$AC$9,Lists!$AE$2:$AE$9,0)))</f>
        <v>0</v>
      </c>
      <c r="O522" s="68">
        <f ca="1">IF($B522="","",SUM(_xlfn.XLOOKUP(C522,Lists!$P$2:$P$19,Lists!$S$2:$S$19,0),_xlfn.XLOOKUP(E522,Lists!$P$2:$P$19,Lists!$S$2:$S$19,0),_xlfn.XLOOKUP(G522,Lists!$P$2:$P$19,Lists!$S$2:$S$19,0),_xlfn.XLOOKUP(I522,Lists!$P$2:$P$19,Lists!$S$2:$S$19,0),_xlfn.XLOOKUP(K522,Lists!$P$2:$P$19,Lists!$S$2:$S$19,0)))</f>
        <v>0</v>
      </c>
      <c r="P522" s="68">
        <f ca="1">IF($B522="","",SUM(_xlfn.XLOOKUP(C522,Lists!$P$2:$P$19,Lists!$T$2:$T$19,0),_xlfn.XLOOKUP(E522,Lists!$P$2:$P$19,Lists!$T$2:$T$19,0),_xlfn.XLOOKUP(G522,Lists!$P$2:$P$19,Lists!$T$2:$T$19,0),_xlfn.XLOOKUP(I522,Lists!$P$2:$P$19,Lists!$T$2:$T$19,0),_xlfn.XLOOKUP(K522,Lists!$P$2:$P$19,Lists!$T$2:$T$19,0)))</f>
        <v>0</v>
      </c>
      <c r="Q522" s="68">
        <f ca="1">IF($B522="","",SUM(_xlfn.XLOOKUP(C522,Lists!$P$2:$P$19,Lists!$U$2:$U$19,0),_xlfn.XLOOKUP(E522,Lists!$P$2:$P$19,Lists!$U$2:$U$19,0),_xlfn.XLOOKUP(G522,Lists!$P$2:$P$19,Lists!$U$2:$U$19,0),_xlfn.XLOOKUP(I522,Lists!$P$2:$P$19,Lists!$U$2:$U$19,0),_xlfn.XLOOKUP(K522,Lists!$P$2:$P$19,Lists!$U$2:$U$19,0)))</f>
        <v>0</v>
      </c>
      <c r="R522" s="68">
        <f ca="1">IF($B522="","",SUM(_xlfn.XLOOKUP(C522,Lists!$P$2:$P$19,Lists!$V$2:$V$19,0),_xlfn.XLOOKUP(E522,Lists!$P$2:$P$19,Lists!$V$2:$V$19,0),_xlfn.XLOOKUP(G522,Lists!$P$2:$P$19,Lists!$V$2:$V$19,0),_xlfn.XLOOKUP(I522,Lists!$P$2:$P$19,Lists!$V$2:$V$19,0),_xlfn.XLOOKUP(K522,Lists!$P$2:$P$19,Lists!$V$2:$V$19,0)))</f>
        <v>0</v>
      </c>
      <c r="S522" s="68">
        <f ca="1">IF($B522="","",SUM(_xlfn.XLOOKUP(D522,Lists!$AC$2:$AC$9,Lists!$AD$2:$AD$9,0),_xlfn.XLOOKUP(F522,Lists!$AC$2:$AC$9,Lists!$AD$2:$AD$9,0),_xlfn.XLOOKUP(H522,Lists!$AC$2:$AC$9,Lists!$AD$2:$AD$9,0),_xlfn.XLOOKUP(J522,Lists!$AC$2:$AC$9,Lists!$AD$2:$AD$9,0),_xlfn.XLOOKUP(L522,Lists!$AC$2:$AC$9,Lists!$AD$2:$AD$9,0)))</f>
        <v>0</v>
      </c>
      <c r="T522" s="68">
        <f ca="1">IF($B522="","",SUM(_xlfn.XLOOKUP(C522,Lists!$P$2:$P$19,Lists!$W$2:$W$19,0),_xlfn.XLOOKUP(E522,Lists!$P$2:$P$19,Lists!$W$2:$W$19,0),_xlfn.XLOOKUP(G522,Lists!$P$2:$P$19,Lists!$W$2:$W$19,0),_xlfn.XLOOKUP(I522,Lists!$P$2:$P$19,Lists!$W$2:$W$19,0),_xlfn.XLOOKUP(K522,Lists!$P$2:$P$19,Lists!$W$2:$W$19,0)))</f>
        <v>0</v>
      </c>
      <c r="U522" s="68">
        <f ca="1">IF($B522="","",SUM(_xlfn.XLOOKUP(C522,Lists!$P$2:$P$19,Lists!$X$2:$X$19,0),_xlfn.XLOOKUP(E522,Lists!$P$2:$P$19,Lists!$X$2:$X$19,0),_xlfn.XLOOKUP(G522,Lists!$P$2:$P$19,Lists!$X$2:$X$19,0),_xlfn.XLOOKUP(I522,Lists!$P$2:$P$19,Lists!$X$2:$X$19,0),_xlfn.XLOOKUP(K522,Lists!$P$2:$P$19,Lists!$X$2:$X$19,0)))</f>
        <v>0</v>
      </c>
      <c r="V522" s="68">
        <f ca="1">IF($B522="","",SUM(_xlfn.XLOOKUP(C522,Lists!$P$2:$P$19,Lists!$Y$2:$Y$19,0),_xlfn.XLOOKUP(E522,Lists!$P$2:$P$19,Lists!$Y$2:$Y$19,0),_xlfn.XLOOKUP(G522,Lists!$P$2:$P$19,Lists!$Y$2:$Y$19,0),_xlfn.XLOOKUP(I522,Lists!$P$2:$P$19,Lists!$Y$2:$Y$19,0),_xlfn.XLOOKUP(K522,Lists!$P$2:$P$19,Lists!$Y$2:$Y$19,0)))</f>
        <v>0</v>
      </c>
      <c r="W522" s="68">
        <f ca="1">IF($B522="","",SUM(_xlfn.XLOOKUP(C522,Lists!$P$2:$P$19,Lists!$Z$2:$Z$19,0),_xlfn.XLOOKUP(E522,Lists!$P$2:$P$19,Lists!$Z$2:$Z$19,0),_xlfn.XLOOKUP(G522,Lists!$P$2:$P$19,Lists!$Z$2:$Z$19,0),_xlfn.XLOOKUP(I522,Lists!$P$2:$P$19,Lists!$Z$2:$Z$19,0),_xlfn.XLOOKUP(K522,Lists!$P$2:$P$19,Lists!$Z$2:$Z$19,0)))</f>
        <v>0</v>
      </c>
      <c r="X522" s="69">
        <f ca="1">IF($B522="","",SUM(_xlfn.XLOOKUP(C522,Lists!$P$2:$P$19,Lists!$AA$2:$AA$19,0),_xlfn.XLOOKUP(E522,Lists!$P$2:$P$19,Lists!$AA$2:$AA$19,0),_xlfn.XLOOKUP(G522,Lists!$P$2:$P$19,Lists!$AA$2:$AA$19,0),_xlfn.XLOOKUP(I522,Lists!$P$2:$P$19,Lists!$AA$2:$AA$19,0),_xlfn.XLOOKUP(K522,Lists!$P$2:$P$19,Lists!$AA$2:$AA$19,0)))</f>
        <v>0</v>
      </c>
      <c r="Y522" s="49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8"/>
      <c r="CG522" s="18"/>
      <c r="CH522" s="18"/>
      <c r="CI522" s="18"/>
      <c r="CJ522" s="18"/>
      <c r="CK522" s="18"/>
      <c r="CL522" s="18"/>
      <c r="CM522" s="18"/>
      <c r="CN522" s="18"/>
      <c r="CO522" s="18"/>
      <c r="CP522" s="18"/>
      <c r="CQ522" s="18"/>
      <c r="CR522" s="18"/>
      <c r="CS522" s="18"/>
      <c r="CT522" s="18"/>
      <c r="CU522" s="18"/>
      <c r="CV522" s="18"/>
      <c r="CW522" s="18"/>
      <c r="CX522" s="18"/>
      <c r="CY522" s="18"/>
      <c r="CZ522" s="18"/>
      <c r="DA522" s="18"/>
      <c r="DB522" s="18"/>
      <c r="DC522" s="18"/>
      <c r="DD522" s="18"/>
      <c r="DE522" s="18"/>
      <c r="DF522" s="18"/>
    </row>
    <row r="523" spans="1:110">
      <c r="A523" s="168">
        <v>4</v>
      </c>
      <c r="B523" s="47" t="str">
        <f ca="1">Lineups!$H$148</f>
        <v>King K. Rool</v>
      </c>
      <c r="C523" s="49"/>
      <c r="D523" s="49"/>
      <c r="E523" s="49"/>
      <c r="F523" s="49"/>
      <c r="G523" s="49"/>
      <c r="H523" s="50"/>
      <c r="I523" s="50"/>
      <c r="J523" s="50"/>
      <c r="K523" s="50"/>
      <c r="L523" s="50"/>
      <c r="M523" s="67">
        <f ca="1">IF($B523="","",SUM(_xlfn.XLOOKUP(C523,Lists!$P$2:$P$19,Lists!$R$2:$R$19,0),_xlfn.XLOOKUP(E523,Lists!$P$2:$P$19,Lists!$R$2:$R$19,0),_xlfn.XLOOKUP(G523,Lists!$P$2:$P$19,Lists!$R$2:$R$19,0),_xlfn.XLOOKUP(I523,Lists!$P$2:$P$19,Lists!$R$2:$R$19,0),_xlfn.XLOOKUP(K523,Lists!$P$2:$P$19,Lists!$R$2:$R$19,0)))</f>
        <v>0</v>
      </c>
      <c r="N523" s="68">
        <f ca="1">IF($B523="","",SUM(_xlfn.XLOOKUP(D523,Lists!$AC$2:$AC$9,Lists!$AE$2:$AE$9,0),_xlfn.XLOOKUP(F523,Lists!$AC$2:$AC$9,Lists!$AE$2:$AE$9,0),_xlfn.XLOOKUP(H523,Lists!$AC$2:$AC$9,Lists!$AE$2:$AE$9,0),_xlfn.XLOOKUP(J523,Lists!$AC$2:$AC$9,Lists!$AE$2:$AE$9,0),_xlfn.XLOOKUP(L523,Lists!$AC$2:$AC$9,Lists!$AE$2:$AE$9,0)))</f>
        <v>0</v>
      </c>
      <c r="O523" s="68">
        <f ca="1">IF($B523="","",SUM(_xlfn.XLOOKUP(C523,Lists!$P$2:$P$19,Lists!$S$2:$S$19,0),_xlfn.XLOOKUP(E523,Lists!$P$2:$P$19,Lists!$S$2:$S$19,0),_xlfn.XLOOKUP(G523,Lists!$P$2:$P$19,Lists!$S$2:$S$19,0),_xlfn.XLOOKUP(I523,Lists!$P$2:$P$19,Lists!$S$2:$S$19,0),_xlfn.XLOOKUP(K523,Lists!$P$2:$P$19,Lists!$S$2:$S$19,0)))</f>
        <v>0</v>
      </c>
      <c r="P523" s="68">
        <f ca="1">IF($B523="","",SUM(_xlfn.XLOOKUP(C523,Lists!$P$2:$P$19,Lists!$T$2:$T$19,0),_xlfn.XLOOKUP(E523,Lists!$P$2:$P$19,Lists!$T$2:$T$19,0),_xlfn.XLOOKUP(G523,Lists!$P$2:$P$19,Lists!$T$2:$T$19,0),_xlfn.XLOOKUP(I523,Lists!$P$2:$P$19,Lists!$T$2:$T$19,0),_xlfn.XLOOKUP(K523,Lists!$P$2:$P$19,Lists!$T$2:$T$19,0)))</f>
        <v>0</v>
      </c>
      <c r="Q523" s="68">
        <f ca="1">IF($B523="","",SUM(_xlfn.XLOOKUP(C523,Lists!$P$2:$P$19,Lists!$U$2:$U$19,0),_xlfn.XLOOKUP(E523,Lists!$P$2:$P$19,Lists!$U$2:$U$19,0),_xlfn.XLOOKUP(G523,Lists!$P$2:$P$19,Lists!$U$2:$U$19,0),_xlfn.XLOOKUP(I523,Lists!$P$2:$P$19,Lists!$U$2:$U$19,0),_xlfn.XLOOKUP(K523,Lists!$P$2:$P$19,Lists!$U$2:$U$19,0)))</f>
        <v>0</v>
      </c>
      <c r="R523" s="68">
        <f ca="1">IF($B523="","",SUM(_xlfn.XLOOKUP(C523,Lists!$P$2:$P$19,Lists!$V$2:$V$19,0),_xlfn.XLOOKUP(E523,Lists!$P$2:$P$19,Lists!$V$2:$V$19,0),_xlfn.XLOOKUP(G523,Lists!$P$2:$P$19,Lists!$V$2:$V$19,0),_xlfn.XLOOKUP(I523,Lists!$P$2:$P$19,Lists!$V$2:$V$19,0),_xlfn.XLOOKUP(K523,Lists!$P$2:$P$19,Lists!$V$2:$V$19,0)))</f>
        <v>0</v>
      </c>
      <c r="S523" s="68">
        <f ca="1">IF($B523="","",SUM(_xlfn.XLOOKUP(D523,Lists!$AC$2:$AC$9,Lists!$AD$2:$AD$9,0),_xlfn.XLOOKUP(F523,Lists!$AC$2:$AC$9,Lists!$AD$2:$AD$9,0),_xlfn.XLOOKUP(H523,Lists!$AC$2:$AC$9,Lists!$AD$2:$AD$9,0),_xlfn.XLOOKUP(J523,Lists!$AC$2:$AC$9,Lists!$AD$2:$AD$9,0),_xlfn.XLOOKUP(L523,Lists!$AC$2:$AC$9,Lists!$AD$2:$AD$9,0)))</f>
        <v>0</v>
      </c>
      <c r="T523" s="68">
        <f ca="1">IF($B523="","",SUM(_xlfn.XLOOKUP(C523,Lists!$P$2:$P$19,Lists!$W$2:$W$19,0),_xlfn.XLOOKUP(E523,Lists!$P$2:$P$19,Lists!$W$2:$W$19,0),_xlfn.XLOOKUP(G523,Lists!$P$2:$P$19,Lists!$W$2:$W$19,0),_xlfn.XLOOKUP(I523,Lists!$P$2:$P$19,Lists!$W$2:$W$19,0),_xlfn.XLOOKUP(K523,Lists!$P$2:$P$19,Lists!$W$2:$W$19,0)))</f>
        <v>0</v>
      </c>
      <c r="U523" s="68">
        <f ca="1">IF($B523="","",SUM(_xlfn.XLOOKUP(C523,Lists!$P$2:$P$19,Lists!$X$2:$X$19,0),_xlfn.XLOOKUP(E523,Lists!$P$2:$P$19,Lists!$X$2:$X$19,0),_xlfn.XLOOKUP(G523,Lists!$P$2:$P$19,Lists!$X$2:$X$19,0),_xlfn.XLOOKUP(I523,Lists!$P$2:$P$19,Lists!$X$2:$X$19,0),_xlfn.XLOOKUP(K523,Lists!$P$2:$P$19,Lists!$X$2:$X$19,0)))</f>
        <v>0</v>
      </c>
      <c r="V523" s="68">
        <f ca="1">IF($B523="","",SUM(_xlfn.XLOOKUP(C523,Lists!$P$2:$P$19,Lists!$Y$2:$Y$19,0),_xlfn.XLOOKUP(E523,Lists!$P$2:$P$19,Lists!$Y$2:$Y$19,0),_xlfn.XLOOKUP(G523,Lists!$P$2:$P$19,Lists!$Y$2:$Y$19,0),_xlfn.XLOOKUP(I523,Lists!$P$2:$P$19,Lists!$Y$2:$Y$19,0),_xlfn.XLOOKUP(K523,Lists!$P$2:$P$19,Lists!$Y$2:$Y$19,0)))</f>
        <v>0</v>
      </c>
      <c r="W523" s="68">
        <f ca="1">IF($B523="","",SUM(_xlfn.XLOOKUP(C523,Lists!$P$2:$P$19,Lists!$Z$2:$Z$19,0),_xlfn.XLOOKUP(E523,Lists!$P$2:$P$19,Lists!$Z$2:$Z$19,0),_xlfn.XLOOKUP(G523,Lists!$P$2:$P$19,Lists!$Z$2:$Z$19,0),_xlfn.XLOOKUP(I523,Lists!$P$2:$P$19,Lists!$Z$2:$Z$19,0),_xlfn.XLOOKUP(K523,Lists!$P$2:$P$19,Lists!$Z$2:$Z$19,0)))</f>
        <v>0</v>
      </c>
      <c r="X523" s="69">
        <f ca="1">IF($B523="","",SUM(_xlfn.XLOOKUP(C523,Lists!$P$2:$P$19,Lists!$AA$2:$AA$19,0),_xlfn.XLOOKUP(E523,Lists!$P$2:$P$19,Lists!$AA$2:$AA$19,0),_xlfn.XLOOKUP(G523,Lists!$P$2:$P$19,Lists!$AA$2:$AA$19,0),_xlfn.XLOOKUP(I523,Lists!$P$2:$P$19,Lists!$AA$2:$AA$19,0),_xlfn.XLOOKUP(K523,Lists!$P$2:$P$19,Lists!$AA$2:$AA$19,0)))</f>
        <v>0</v>
      </c>
      <c r="Y523" s="49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8"/>
      <c r="CG523" s="18"/>
      <c r="CH523" s="18"/>
      <c r="CI523" s="18"/>
      <c r="CJ523" s="18"/>
      <c r="CK523" s="18"/>
      <c r="CL523" s="18"/>
      <c r="CM523" s="18"/>
      <c r="CN523" s="18"/>
      <c r="CO523" s="18"/>
      <c r="CP523" s="18"/>
      <c r="CQ523" s="18"/>
      <c r="CR523" s="18"/>
      <c r="CS523" s="18"/>
      <c r="CT523" s="18"/>
      <c r="CU523" s="18"/>
      <c r="CV523" s="18"/>
      <c r="CW523" s="18"/>
      <c r="CX523" s="18"/>
      <c r="CY523" s="18"/>
      <c r="CZ523" s="18"/>
      <c r="DA523" s="18"/>
      <c r="DB523" s="18"/>
      <c r="DC523" s="18"/>
      <c r="DD523" s="18"/>
      <c r="DE523" s="18"/>
      <c r="DF523" s="18"/>
    </row>
    <row r="524" spans="1:110">
      <c r="A524" s="168">
        <v>5</v>
      </c>
      <c r="B524" s="47" t="str">
        <f ca="1">Lineups!$H$149</f>
        <v>Baby Daisy</v>
      </c>
      <c r="C524" s="49"/>
      <c r="D524" s="49"/>
      <c r="E524" s="49"/>
      <c r="F524" s="49"/>
      <c r="G524" s="49"/>
      <c r="H524" s="50"/>
      <c r="I524" s="50"/>
      <c r="J524" s="50"/>
      <c r="K524" s="50"/>
      <c r="L524" s="50"/>
      <c r="M524" s="67">
        <f ca="1">IF($B524="","",SUM(_xlfn.XLOOKUP(C524,Lists!$P$2:$P$19,Lists!$R$2:$R$19,0),_xlfn.XLOOKUP(E524,Lists!$P$2:$P$19,Lists!$R$2:$R$19,0),_xlfn.XLOOKUP(G524,Lists!$P$2:$P$19,Lists!$R$2:$R$19,0),_xlfn.XLOOKUP(I524,Lists!$P$2:$P$19,Lists!$R$2:$R$19,0),_xlfn.XLOOKUP(K524,Lists!$P$2:$P$19,Lists!$R$2:$R$19,0)))</f>
        <v>0</v>
      </c>
      <c r="N524" s="68">
        <f ca="1">IF($B524="","",SUM(_xlfn.XLOOKUP(D524,Lists!$AC$2:$AC$9,Lists!$AE$2:$AE$9,0),_xlfn.XLOOKUP(F524,Lists!$AC$2:$AC$9,Lists!$AE$2:$AE$9,0),_xlfn.XLOOKUP(H524,Lists!$AC$2:$AC$9,Lists!$AE$2:$AE$9,0),_xlfn.XLOOKUP(J524,Lists!$AC$2:$AC$9,Lists!$AE$2:$AE$9,0),_xlfn.XLOOKUP(L524,Lists!$AC$2:$AC$9,Lists!$AE$2:$AE$9,0)))</f>
        <v>0</v>
      </c>
      <c r="O524" s="68">
        <f ca="1">IF($B524="","",SUM(_xlfn.XLOOKUP(C524,Lists!$P$2:$P$19,Lists!$S$2:$S$19,0),_xlfn.XLOOKUP(E524,Lists!$P$2:$P$19,Lists!$S$2:$S$19,0),_xlfn.XLOOKUP(G524,Lists!$P$2:$P$19,Lists!$S$2:$S$19,0),_xlfn.XLOOKUP(I524,Lists!$P$2:$P$19,Lists!$S$2:$S$19,0),_xlfn.XLOOKUP(K524,Lists!$P$2:$P$19,Lists!$S$2:$S$19,0)))</f>
        <v>0</v>
      </c>
      <c r="P524" s="68">
        <f ca="1">IF($B524="","",SUM(_xlfn.XLOOKUP(C524,Lists!$P$2:$P$19,Lists!$T$2:$T$19,0),_xlfn.XLOOKUP(E524,Lists!$P$2:$P$19,Lists!$T$2:$T$19,0),_xlfn.XLOOKUP(G524,Lists!$P$2:$P$19,Lists!$T$2:$T$19,0),_xlfn.XLOOKUP(I524,Lists!$P$2:$P$19,Lists!$T$2:$T$19,0),_xlfn.XLOOKUP(K524,Lists!$P$2:$P$19,Lists!$T$2:$T$19,0)))</f>
        <v>0</v>
      </c>
      <c r="Q524" s="68">
        <f ca="1">IF($B524="","",SUM(_xlfn.XLOOKUP(C524,Lists!$P$2:$P$19,Lists!$U$2:$U$19,0),_xlfn.XLOOKUP(E524,Lists!$P$2:$P$19,Lists!$U$2:$U$19,0),_xlfn.XLOOKUP(G524,Lists!$P$2:$P$19,Lists!$U$2:$U$19,0),_xlfn.XLOOKUP(I524,Lists!$P$2:$P$19,Lists!$U$2:$U$19,0),_xlfn.XLOOKUP(K524,Lists!$P$2:$P$19,Lists!$U$2:$U$19,0)))</f>
        <v>0</v>
      </c>
      <c r="R524" s="68">
        <f ca="1">IF($B524="","",SUM(_xlfn.XLOOKUP(C524,Lists!$P$2:$P$19,Lists!$V$2:$V$19,0),_xlfn.XLOOKUP(E524,Lists!$P$2:$P$19,Lists!$V$2:$V$19,0),_xlfn.XLOOKUP(G524,Lists!$P$2:$P$19,Lists!$V$2:$V$19,0),_xlfn.XLOOKUP(I524,Lists!$P$2:$P$19,Lists!$V$2:$V$19,0),_xlfn.XLOOKUP(K524,Lists!$P$2:$P$19,Lists!$V$2:$V$19,0)))</f>
        <v>0</v>
      </c>
      <c r="S524" s="68">
        <f ca="1">IF($B524="","",SUM(_xlfn.XLOOKUP(D524,Lists!$AC$2:$AC$9,Lists!$AD$2:$AD$9,0),_xlfn.XLOOKUP(F524,Lists!$AC$2:$AC$9,Lists!$AD$2:$AD$9,0),_xlfn.XLOOKUP(H524,Lists!$AC$2:$AC$9,Lists!$AD$2:$AD$9,0),_xlfn.XLOOKUP(J524,Lists!$AC$2:$AC$9,Lists!$AD$2:$AD$9,0),_xlfn.XLOOKUP(L524,Lists!$AC$2:$AC$9,Lists!$AD$2:$AD$9,0)))</f>
        <v>0</v>
      </c>
      <c r="T524" s="68">
        <f ca="1">IF($B524="","",SUM(_xlfn.XLOOKUP(C524,Lists!$P$2:$P$19,Lists!$W$2:$W$19,0),_xlfn.XLOOKUP(E524,Lists!$P$2:$P$19,Lists!$W$2:$W$19,0),_xlfn.XLOOKUP(G524,Lists!$P$2:$P$19,Lists!$W$2:$W$19,0),_xlfn.XLOOKUP(I524,Lists!$P$2:$P$19,Lists!$W$2:$W$19,0),_xlfn.XLOOKUP(K524,Lists!$P$2:$P$19,Lists!$W$2:$W$19,0)))</f>
        <v>0</v>
      </c>
      <c r="U524" s="68">
        <f ca="1">IF($B524="","",SUM(_xlfn.XLOOKUP(C524,Lists!$P$2:$P$19,Lists!$X$2:$X$19,0),_xlfn.XLOOKUP(E524,Lists!$P$2:$P$19,Lists!$X$2:$X$19,0),_xlfn.XLOOKUP(G524,Lists!$P$2:$P$19,Lists!$X$2:$X$19,0),_xlfn.XLOOKUP(I524,Lists!$P$2:$P$19,Lists!$X$2:$X$19,0),_xlfn.XLOOKUP(K524,Lists!$P$2:$P$19,Lists!$X$2:$X$19,0)))</f>
        <v>0</v>
      </c>
      <c r="V524" s="68">
        <f ca="1">IF($B524="","",SUM(_xlfn.XLOOKUP(C524,Lists!$P$2:$P$19,Lists!$Y$2:$Y$19,0),_xlfn.XLOOKUP(E524,Lists!$P$2:$P$19,Lists!$Y$2:$Y$19,0),_xlfn.XLOOKUP(G524,Lists!$P$2:$P$19,Lists!$Y$2:$Y$19,0),_xlfn.XLOOKUP(I524,Lists!$P$2:$P$19,Lists!$Y$2:$Y$19,0),_xlfn.XLOOKUP(K524,Lists!$P$2:$P$19,Lists!$Y$2:$Y$19,0)))</f>
        <v>0</v>
      </c>
      <c r="W524" s="68">
        <f ca="1">IF($B524="","",SUM(_xlfn.XLOOKUP(C524,Lists!$P$2:$P$19,Lists!$Z$2:$Z$19,0),_xlfn.XLOOKUP(E524,Lists!$P$2:$P$19,Lists!$Z$2:$Z$19,0),_xlfn.XLOOKUP(G524,Lists!$P$2:$P$19,Lists!$Z$2:$Z$19,0),_xlfn.XLOOKUP(I524,Lists!$P$2:$P$19,Lists!$Z$2:$Z$19,0),_xlfn.XLOOKUP(K524,Lists!$P$2:$P$19,Lists!$Z$2:$Z$19,0)))</f>
        <v>0</v>
      </c>
      <c r="X524" s="69">
        <f ca="1">IF($B524="","",SUM(_xlfn.XLOOKUP(C524,Lists!$P$2:$P$19,Lists!$AA$2:$AA$19,0),_xlfn.XLOOKUP(E524,Lists!$P$2:$P$19,Lists!$AA$2:$AA$19,0),_xlfn.XLOOKUP(G524,Lists!$P$2:$P$19,Lists!$AA$2:$AA$19,0),_xlfn.XLOOKUP(I524,Lists!$P$2:$P$19,Lists!$AA$2:$AA$19,0),_xlfn.XLOOKUP(K524,Lists!$P$2:$P$19,Lists!$AA$2:$AA$19,0)))</f>
        <v>0</v>
      </c>
      <c r="Y524" s="49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8"/>
      <c r="CG524" s="18"/>
      <c r="CH524" s="18"/>
      <c r="CI524" s="18"/>
      <c r="CJ524" s="18"/>
      <c r="CK524" s="18"/>
      <c r="CL524" s="18"/>
      <c r="CM524" s="18"/>
      <c r="CN524" s="18"/>
      <c r="CO524" s="18"/>
      <c r="CP524" s="18"/>
      <c r="CQ524" s="18"/>
      <c r="CR524" s="18"/>
      <c r="CS524" s="18"/>
      <c r="CT524" s="18"/>
      <c r="CU524" s="18"/>
      <c r="CV524" s="18"/>
      <c r="CW524" s="18"/>
      <c r="CX524" s="18"/>
      <c r="CY524" s="18"/>
      <c r="CZ524" s="18"/>
      <c r="DA524" s="18"/>
      <c r="DB524" s="18"/>
      <c r="DC524" s="18"/>
      <c r="DD524" s="18"/>
      <c r="DE524" s="18"/>
      <c r="DF524" s="18"/>
    </row>
    <row r="525" spans="1:110">
      <c r="A525" s="168">
        <v>6</v>
      </c>
      <c r="B525" s="47" t="str">
        <f ca="1">Lineups!$H$150</f>
        <v>Baby Mario</v>
      </c>
      <c r="C525" s="49"/>
      <c r="D525" s="49"/>
      <c r="E525" s="49"/>
      <c r="F525" s="49"/>
      <c r="G525" s="49"/>
      <c r="H525" s="50"/>
      <c r="I525" s="50"/>
      <c r="J525" s="50"/>
      <c r="K525" s="50"/>
      <c r="L525" s="50"/>
      <c r="M525" s="67">
        <f ca="1">IF($B525="","",SUM(_xlfn.XLOOKUP(C525,Lists!$P$2:$P$19,Lists!$R$2:$R$19,0),_xlfn.XLOOKUP(E525,Lists!$P$2:$P$19,Lists!$R$2:$R$19,0),_xlfn.XLOOKUP(G525,Lists!$P$2:$P$19,Lists!$R$2:$R$19,0),_xlfn.XLOOKUP(I525,Lists!$P$2:$P$19,Lists!$R$2:$R$19,0),_xlfn.XLOOKUP(K525,Lists!$P$2:$P$19,Lists!$R$2:$R$19,0)))</f>
        <v>0</v>
      </c>
      <c r="N525" s="68">
        <f ca="1">IF($B525="","",SUM(_xlfn.XLOOKUP(D525,Lists!$AC$2:$AC$9,Lists!$AE$2:$AE$9,0),_xlfn.XLOOKUP(F525,Lists!$AC$2:$AC$9,Lists!$AE$2:$AE$9,0),_xlfn.XLOOKUP(H525,Lists!$AC$2:$AC$9,Lists!$AE$2:$AE$9,0),_xlfn.XLOOKUP(J525,Lists!$AC$2:$AC$9,Lists!$AE$2:$AE$9,0),_xlfn.XLOOKUP(L525,Lists!$AC$2:$AC$9,Lists!$AE$2:$AE$9,0)))</f>
        <v>0</v>
      </c>
      <c r="O525" s="68">
        <f ca="1">IF($B525="","",SUM(_xlfn.XLOOKUP(C525,Lists!$P$2:$P$19,Lists!$S$2:$S$19,0),_xlfn.XLOOKUP(E525,Lists!$P$2:$P$19,Lists!$S$2:$S$19,0),_xlfn.XLOOKUP(G525,Lists!$P$2:$P$19,Lists!$S$2:$S$19,0),_xlfn.XLOOKUP(I525,Lists!$P$2:$P$19,Lists!$S$2:$S$19,0),_xlfn.XLOOKUP(K525,Lists!$P$2:$P$19,Lists!$S$2:$S$19,0)))</f>
        <v>0</v>
      </c>
      <c r="P525" s="68">
        <f ca="1">IF($B525="","",SUM(_xlfn.XLOOKUP(C525,Lists!$P$2:$P$19,Lists!$T$2:$T$19,0),_xlfn.XLOOKUP(E525,Lists!$P$2:$P$19,Lists!$T$2:$T$19,0),_xlfn.XLOOKUP(G525,Lists!$P$2:$P$19,Lists!$T$2:$T$19,0),_xlfn.XLOOKUP(I525,Lists!$P$2:$P$19,Lists!$T$2:$T$19,0),_xlfn.XLOOKUP(K525,Lists!$P$2:$P$19,Lists!$T$2:$T$19,0)))</f>
        <v>0</v>
      </c>
      <c r="Q525" s="68">
        <f ca="1">IF($B525="","",SUM(_xlfn.XLOOKUP(C525,Lists!$P$2:$P$19,Lists!$U$2:$U$19,0),_xlfn.XLOOKUP(E525,Lists!$P$2:$P$19,Lists!$U$2:$U$19,0),_xlfn.XLOOKUP(G525,Lists!$P$2:$P$19,Lists!$U$2:$U$19,0),_xlfn.XLOOKUP(I525,Lists!$P$2:$P$19,Lists!$U$2:$U$19,0),_xlfn.XLOOKUP(K525,Lists!$P$2:$P$19,Lists!$U$2:$U$19,0)))</f>
        <v>0</v>
      </c>
      <c r="R525" s="68">
        <f ca="1">IF($B525="","",SUM(_xlfn.XLOOKUP(C525,Lists!$P$2:$P$19,Lists!$V$2:$V$19,0),_xlfn.XLOOKUP(E525,Lists!$P$2:$P$19,Lists!$V$2:$V$19,0),_xlfn.XLOOKUP(G525,Lists!$P$2:$P$19,Lists!$V$2:$V$19,0),_xlfn.XLOOKUP(I525,Lists!$P$2:$P$19,Lists!$V$2:$V$19,0),_xlfn.XLOOKUP(K525,Lists!$P$2:$P$19,Lists!$V$2:$V$19,0)))</f>
        <v>0</v>
      </c>
      <c r="S525" s="68">
        <f ca="1">IF($B525="","",SUM(_xlfn.XLOOKUP(D525,Lists!$AC$2:$AC$9,Lists!$AD$2:$AD$9,0),_xlfn.XLOOKUP(F525,Lists!$AC$2:$AC$9,Lists!$AD$2:$AD$9,0),_xlfn.XLOOKUP(H525,Lists!$AC$2:$AC$9,Lists!$AD$2:$AD$9,0),_xlfn.XLOOKUP(J525,Lists!$AC$2:$AC$9,Lists!$AD$2:$AD$9,0),_xlfn.XLOOKUP(L525,Lists!$AC$2:$AC$9,Lists!$AD$2:$AD$9,0)))</f>
        <v>0</v>
      </c>
      <c r="T525" s="68">
        <f ca="1">IF($B525="","",SUM(_xlfn.XLOOKUP(C525,Lists!$P$2:$P$19,Lists!$W$2:$W$19,0),_xlfn.XLOOKUP(E525,Lists!$P$2:$P$19,Lists!$W$2:$W$19,0),_xlfn.XLOOKUP(G525,Lists!$P$2:$P$19,Lists!$W$2:$W$19,0),_xlfn.XLOOKUP(I525,Lists!$P$2:$P$19,Lists!$W$2:$W$19,0),_xlfn.XLOOKUP(K525,Lists!$P$2:$P$19,Lists!$W$2:$W$19,0)))</f>
        <v>0</v>
      </c>
      <c r="U525" s="68">
        <f ca="1">IF($B525="","",SUM(_xlfn.XLOOKUP(C525,Lists!$P$2:$P$19,Lists!$X$2:$X$19,0),_xlfn.XLOOKUP(E525,Lists!$P$2:$P$19,Lists!$X$2:$X$19,0),_xlfn.XLOOKUP(G525,Lists!$P$2:$P$19,Lists!$X$2:$X$19,0),_xlfn.XLOOKUP(I525,Lists!$P$2:$P$19,Lists!$X$2:$X$19,0),_xlfn.XLOOKUP(K525,Lists!$P$2:$P$19,Lists!$X$2:$X$19,0)))</f>
        <v>0</v>
      </c>
      <c r="V525" s="68">
        <f ca="1">IF($B525="","",SUM(_xlfn.XLOOKUP(C525,Lists!$P$2:$P$19,Lists!$Y$2:$Y$19,0),_xlfn.XLOOKUP(E525,Lists!$P$2:$P$19,Lists!$Y$2:$Y$19,0),_xlfn.XLOOKUP(G525,Lists!$P$2:$P$19,Lists!$Y$2:$Y$19,0),_xlfn.XLOOKUP(I525,Lists!$P$2:$P$19,Lists!$Y$2:$Y$19,0),_xlfn.XLOOKUP(K525,Lists!$P$2:$P$19,Lists!$Y$2:$Y$19,0)))</f>
        <v>0</v>
      </c>
      <c r="W525" s="68">
        <f ca="1">IF($B525="","",SUM(_xlfn.XLOOKUP(C525,Lists!$P$2:$P$19,Lists!$Z$2:$Z$19,0),_xlfn.XLOOKUP(E525,Lists!$P$2:$P$19,Lists!$Z$2:$Z$19,0),_xlfn.XLOOKUP(G525,Lists!$P$2:$P$19,Lists!$Z$2:$Z$19,0),_xlfn.XLOOKUP(I525,Lists!$P$2:$P$19,Lists!$Z$2:$Z$19,0),_xlfn.XLOOKUP(K525,Lists!$P$2:$P$19,Lists!$Z$2:$Z$19,0)))</f>
        <v>0</v>
      </c>
      <c r="X525" s="69">
        <f ca="1">IF($B525="","",SUM(_xlfn.XLOOKUP(C525,Lists!$P$2:$P$19,Lists!$AA$2:$AA$19,0),_xlfn.XLOOKUP(E525,Lists!$P$2:$P$19,Lists!$AA$2:$AA$19,0),_xlfn.XLOOKUP(G525,Lists!$P$2:$P$19,Lists!$AA$2:$AA$19,0),_xlfn.XLOOKUP(I525,Lists!$P$2:$P$19,Lists!$AA$2:$AA$19,0),_xlfn.XLOOKUP(K525,Lists!$P$2:$P$19,Lists!$AA$2:$AA$19,0)))</f>
        <v>0</v>
      </c>
      <c r="Y525" s="49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  <c r="CD525" s="18"/>
      <c r="CE525" s="18"/>
      <c r="CF525" s="18"/>
      <c r="CG525" s="18"/>
      <c r="CH525" s="18"/>
      <c r="CI525" s="18"/>
      <c r="CJ525" s="18"/>
      <c r="CK525" s="18"/>
      <c r="CL525" s="18"/>
      <c r="CM525" s="18"/>
      <c r="CN525" s="18"/>
      <c r="CO525" s="18"/>
      <c r="CP525" s="18"/>
      <c r="CQ525" s="18"/>
      <c r="CR525" s="18"/>
      <c r="CS525" s="18"/>
      <c r="CT525" s="18"/>
      <c r="CU525" s="18"/>
      <c r="CV525" s="18"/>
      <c r="CW525" s="18"/>
      <c r="CX525" s="18"/>
      <c r="CY525" s="18"/>
      <c r="CZ525" s="18"/>
      <c r="DA525" s="18"/>
      <c r="DB525" s="18"/>
      <c r="DC525" s="18"/>
      <c r="DD525" s="18"/>
      <c r="DE525" s="18"/>
      <c r="DF525" s="18"/>
    </row>
    <row r="526" spans="1:110">
      <c r="A526" s="168">
        <v>7</v>
      </c>
      <c r="B526" s="47" t="str">
        <f ca="1">Lineups!$H$151</f>
        <v>Brown Kritter</v>
      </c>
      <c r="C526" s="49"/>
      <c r="D526" s="49"/>
      <c r="E526" s="49"/>
      <c r="F526" s="49"/>
      <c r="G526" s="49"/>
      <c r="H526" s="50"/>
      <c r="I526" s="50"/>
      <c r="J526" s="50"/>
      <c r="K526" s="50"/>
      <c r="L526" s="50"/>
      <c r="M526" s="67">
        <f ca="1">IF($B526="","",SUM(_xlfn.XLOOKUP(C526,Lists!$P$2:$P$19,Lists!$R$2:$R$19,0),_xlfn.XLOOKUP(E526,Lists!$P$2:$P$19,Lists!$R$2:$R$19,0),_xlfn.XLOOKUP(G526,Lists!$P$2:$P$19,Lists!$R$2:$R$19,0),_xlfn.XLOOKUP(I526,Lists!$P$2:$P$19,Lists!$R$2:$R$19,0),_xlfn.XLOOKUP(K526,Lists!$P$2:$P$19,Lists!$R$2:$R$19,0)))</f>
        <v>0</v>
      </c>
      <c r="N526" s="68">
        <f ca="1">IF($B526="","",SUM(_xlfn.XLOOKUP(D526,Lists!$AC$2:$AC$9,Lists!$AE$2:$AE$9,0),_xlfn.XLOOKUP(F526,Lists!$AC$2:$AC$9,Lists!$AE$2:$AE$9,0),_xlfn.XLOOKUP(H526,Lists!$AC$2:$AC$9,Lists!$AE$2:$AE$9,0),_xlfn.XLOOKUP(J526,Lists!$AC$2:$AC$9,Lists!$AE$2:$AE$9,0),_xlfn.XLOOKUP(L526,Lists!$AC$2:$AC$9,Lists!$AE$2:$AE$9,0)))</f>
        <v>0</v>
      </c>
      <c r="O526" s="68">
        <f ca="1">IF($B526="","",SUM(_xlfn.XLOOKUP(C526,Lists!$P$2:$P$19,Lists!$S$2:$S$19,0),_xlfn.XLOOKUP(E526,Lists!$P$2:$P$19,Lists!$S$2:$S$19,0),_xlfn.XLOOKUP(G526,Lists!$P$2:$P$19,Lists!$S$2:$S$19,0),_xlfn.XLOOKUP(I526,Lists!$P$2:$P$19,Lists!$S$2:$S$19,0),_xlfn.XLOOKUP(K526,Lists!$P$2:$P$19,Lists!$S$2:$S$19,0)))</f>
        <v>0</v>
      </c>
      <c r="P526" s="68">
        <f ca="1">IF($B526="","",SUM(_xlfn.XLOOKUP(C526,Lists!$P$2:$P$19,Lists!$T$2:$T$19,0),_xlfn.XLOOKUP(E526,Lists!$P$2:$P$19,Lists!$T$2:$T$19,0),_xlfn.XLOOKUP(G526,Lists!$P$2:$P$19,Lists!$T$2:$T$19,0),_xlfn.XLOOKUP(I526,Lists!$P$2:$P$19,Lists!$T$2:$T$19,0),_xlfn.XLOOKUP(K526,Lists!$P$2:$P$19,Lists!$T$2:$T$19,0)))</f>
        <v>0</v>
      </c>
      <c r="Q526" s="68">
        <f ca="1">IF($B526="","",SUM(_xlfn.XLOOKUP(C526,Lists!$P$2:$P$19,Lists!$U$2:$U$19,0),_xlfn.XLOOKUP(E526,Lists!$P$2:$P$19,Lists!$U$2:$U$19,0),_xlfn.XLOOKUP(G526,Lists!$P$2:$P$19,Lists!$U$2:$U$19,0),_xlfn.XLOOKUP(I526,Lists!$P$2:$P$19,Lists!$U$2:$U$19,0),_xlfn.XLOOKUP(K526,Lists!$P$2:$P$19,Lists!$U$2:$U$19,0)))</f>
        <v>0</v>
      </c>
      <c r="R526" s="68">
        <f ca="1">IF($B526="","",SUM(_xlfn.XLOOKUP(C526,Lists!$P$2:$P$19,Lists!$V$2:$V$19,0),_xlfn.XLOOKUP(E526,Lists!$P$2:$P$19,Lists!$V$2:$V$19,0),_xlfn.XLOOKUP(G526,Lists!$P$2:$P$19,Lists!$V$2:$V$19,0),_xlfn.XLOOKUP(I526,Lists!$P$2:$P$19,Lists!$V$2:$V$19,0),_xlfn.XLOOKUP(K526,Lists!$P$2:$P$19,Lists!$V$2:$V$19,0)))</f>
        <v>0</v>
      </c>
      <c r="S526" s="68">
        <f ca="1">IF($B526="","",SUM(_xlfn.XLOOKUP(D526,Lists!$AC$2:$AC$9,Lists!$AD$2:$AD$9,0),_xlfn.XLOOKUP(F526,Lists!$AC$2:$AC$9,Lists!$AD$2:$AD$9,0),_xlfn.XLOOKUP(H526,Lists!$AC$2:$AC$9,Lists!$AD$2:$AD$9,0),_xlfn.XLOOKUP(J526,Lists!$AC$2:$AC$9,Lists!$AD$2:$AD$9,0),_xlfn.XLOOKUP(L526,Lists!$AC$2:$AC$9,Lists!$AD$2:$AD$9,0)))</f>
        <v>0</v>
      </c>
      <c r="T526" s="68">
        <f ca="1">IF($B526="","",SUM(_xlfn.XLOOKUP(C526,Lists!$P$2:$P$19,Lists!$W$2:$W$19,0),_xlfn.XLOOKUP(E526,Lists!$P$2:$P$19,Lists!$W$2:$W$19,0),_xlfn.XLOOKUP(G526,Lists!$P$2:$P$19,Lists!$W$2:$W$19,0),_xlfn.XLOOKUP(I526,Lists!$P$2:$P$19,Lists!$W$2:$W$19,0),_xlfn.XLOOKUP(K526,Lists!$P$2:$P$19,Lists!$W$2:$W$19,0)))</f>
        <v>0</v>
      </c>
      <c r="U526" s="68">
        <f ca="1">IF($B526="","",SUM(_xlfn.XLOOKUP(C526,Lists!$P$2:$P$19,Lists!$X$2:$X$19,0),_xlfn.XLOOKUP(E526,Lists!$P$2:$P$19,Lists!$X$2:$X$19,0),_xlfn.XLOOKUP(G526,Lists!$P$2:$P$19,Lists!$X$2:$X$19,0),_xlfn.XLOOKUP(I526,Lists!$P$2:$P$19,Lists!$X$2:$X$19,0),_xlfn.XLOOKUP(K526,Lists!$P$2:$P$19,Lists!$X$2:$X$19,0)))</f>
        <v>0</v>
      </c>
      <c r="V526" s="68">
        <f ca="1">IF($B526="","",SUM(_xlfn.XLOOKUP(C526,Lists!$P$2:$P$19,Lists!$Y$2:$Y$19,0),_xlfn.XLOOKUP(E526,Lists!$P$2:$P$19,Lists!$Y$2:$Y$19,0),_xlfn.XLOOKUP(G526,Lists!$P$2:$P$19,Lists!$Y$2:$Y$19,0),_xlfn.XLOOKUP(I526,Lists!$P$2:$P$19,Lists!$Y$2:$Y$19,0),_xlfn.XLOOKUP(K526,Lists!$P$2:$P$19,Lists!$Y$2:$Y$19,0)))</f>
        <v>0</v>
      </c>
      <c r="W526" s="68">
        <f ca="1">IF($B526="","",SUM(_xlfn.XLOOKUP(C526,Lists!$P$2:$P$19,Lists!$Z$2:$Z$19,0),_xlfn.XLOOKUP(E526,Lists!$P$2:$P$19,Lists!$Z$2:$Z$19,0),_xlfn.XLOOKUP(G526,Lists!$P$2:$P$19,Lists!$Z$2:$Z$19,0),_xlfn.XLOOKUP(I526,Lists!$P$2:$P$19,Lists!$Z$2:$Z$19,0),_xlfn.XLOOKUP(K526,Lists!$P$2:$P$19,Lists!$Z$2:$Z$19,0)))</f>
        <v>0</v>
      </c>
      <c r="X526" s="69">
        <f ca="1">IF($B526="","",SUM(_xlfn.XLOOKUP(C526,Lists!$P$2:$P$19,Lists!$AA$2:$AA$19,0),_xlfn.XLOOKUP(E526,Lists!$P$2:$P$19,Lists!$AA$2:$AA$19,0),_xlfn.XLOOKUP(G526,Lists!$P$2:$P$19,Lists!$AA$2:$AA$19,0),_xlfn.XLOOKUP(I526,Lists!$P$2:$P$19,Lists!$AA$2:$AA$19,0),_xlfn.XLOOKUP(K526,Lists!$P$2:$P$19,Lists!$AA$2:$AA$19,0)))</f>
        <v>0</v>
      </c>
      <c r="Y526" s="49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  <c r="CF526" s="18"/>
      <c r="CG526" s="18"/>
      <c r="CH526" s="18"/>
      <c r="CI526" s="18"/>
      <c r="CJ526" s="18"/>
      <c r="CK526" s="18"/>
      <c r="CL526" s="18"/>
      <c r="CM526" s="18"/>
      <c r="CN526" s="18"/>
      <c r="CO526" s="18"/>
      <c r="CP526" s="18"/>
      <c r="CQ526" s="18"/>
      <c r="CR526" s="18"/>
      <c r="CS526" s="18"/>
      <c r="CT526" s="18"/>
      <c r="CU526" s="18"/>
      <c r="CV526" s="18"/>
      <c r="CW526" s="18"/>
      <c r="CX526" s="18"/>
      <c r="CY526" s="18"/>
      <c r="CZ526" s="18"/>
      <c r="DA526" s="18"/>
      <c r="DB526" s="18"/>
      <c r="DC526" s="18"/>
      <c r="DD526" s="18"/>
      <c r="DE526" s="18"/>
      <c r="DF526" s="18"/>
    </row>
    <row r="527" spans="1:110">
      <c r="A527" s="168">
        <v>8</v>
      </c>
      <c r="B527" s="47" t="str">
        <f ca="1">Lineups!$H$152</f>
        <v>Blooper</v>
      </c>
      <c r="C527" s="49"/>
      <c r="D527" s="49"/>
      <c r="E527" s="49"/>
      <c r="F527" s="49"/>
      <c r="G527" s="49"/>
      <c r="H527" s="50"/>
      <c r="I527" s="50"/>
      <c r="J527" s="50"/>
      <c r="K527" s="50"/>
      <c r="L527" s="50"/>
      <c r="M527" s="67">
        <f ca="1">IF($B527="","",SUM(_xlfn.XLOOKUP(C527,Lists!$P$2:$P$19,Lists!$R$2:$R$19,0),_xlfn.XLOOKUP(E527,Lists!$P$2:$P$19,Lists!$R$2:$R$19,0),_xlfn.XLOOKUP(G527,Lists!$P$2:$P$19,Lists!$R$2:$R$19,0),_xlfn.XLOOKUP(I527,Lists!$P$2:$P$19,Lists!$R$2:$R$19,0),_xlfn.XLOOKUP(K527,Lists!$P$2:$P$19,Lists!$R$2:$R$19,0)))</f>
        <v>0</v>
      </c>
      <c r="N527" s="68">
        <f ca="1">IF($B527="","",SUM(_xlfn.XLOOKUP(D527,Lists!$AC$2:$AC$9,Lists!$AE$2:$AE$9,0),_xlfn.XLOOKUP(F527,Lists!$AC$2:$AC$9,Lists!$AE$2:$AE$9,0),_xlfn.XLOOKUP(H527,Lists!$AC$2:$AC$9,Lists!$AE$2:$AE$9,0),_xlfn.XLOOKUP(J527,Lists!$AC$2:$AC$9,Lists!$AE$2:$AE$9,0),_xlfn.XLOOKUP(L527,Lists!$AC$2:$AC$9,Lists!$AE$2:$AE$9,0)))</f>
        <v>0</v>
      </c>
      <c r="O527" s="68">
        <f ca="1">IF($B527="","",SUM(_xlfn.XLOOKUP(C527,Lists!$P$2:$P$19,Lists!$S$2:$S$19,0),_xlfn.XLOOKUP(E527,Lists!$P$2:$P$19,Lists!$S$2:$S$19,0),_xlfn.XLOOKUP(G527,Lists!$P$2:$P$19,Lists!$S$2:$S$19,0),_xlfn.XLOOKUP(I527,Lists!$P$2:$P$19,Lists!$S$2:$S$19,0),_xlfn.XLOOKUP(K527,Lists!$P$2:$P$19,Lists!$S$2:$S$19,0)))</f>
        <v>0</v>
      </c>
      <c r="P527" s="68">
        <f ca="1">IF($B527="","",SUM(_xlfn.XLOOKUP(C527,Lists!$P$2:$P$19,Lists!$T$2:$T$19,0),_xlfn.XLOOKUP(E527,Lists!$P$2:$P$19,Lists!$T$2:$T$19,0),_xlfn.XLOOKUP(G527,Lists!$P$2:$P$19,Lists!$T$2:$T$19,0),_xlfn.XLOOKUP(I527,Lists!$P$2:$P$19,Lists!$T$2:$T$19,0),_xlfn.XLOOKUP(K527,Lists!$P$2:$P$19,Lists!$T$2:$T$19,0)))</f>
        <v>0</v>
      </c>
      <c r="Q527" s="68">
        <f ca="1">IF($B527="","",SUM(_xlfn.XLOOKUP(C527,Lists!$P$2:$P$19,Lists!$U$2:$U$19,0),_xlfn.XLOOKUP(E527,Lists!$P$2:$P$19,Lists!$U$2:$U$19,0),_xlfn.XLOOKUP(G527,Lists!$P$2:$P$19,Lists!$U$2:$U$19,0),_xlfn.XLOOKUP(I527,Lists!$P$2:$P$19,Lists!$U$2:$U$19,0),_xlfn.XLOOKUP(K527,Lists!$P$2:$P$19,Lists!$U$2:$U$19,0)))</f>
        <v>0</v>
      </c>
      <c r="R527" s="68">
        <f ca="1">IF($B527="","",SUM(_xlfn.XLOOKUP(C527,Lists!$P$2:$P$19,Lists!$V$2:$V$19,0),_xlfn.XLOOKUP(E527,Lists!$P$2:$P$19,Lists!$V$2:$V$19,0),_xlfn.XLOOKUP(G527,Lists!$P$2:$P$19,Lists!$V$2:$V$19,0),_xlfn.XLOOKUP(I527,Lists!$P$2:$P$19,Lists!$V$2:$V$19,0),_xlfn.XLOOKUP(K527,Lists!$P$2:$P$19,Lists!$V$2:$V$19,0)))</f>
        <v>0</v>
      </c>
      <c r="S527" s="68">
        <f ca="1">IF($B527="","",SUM(_xlfn.XLOOKUP(D527,Lists!$AC$2:$AC$9,Lists!$AD$2:$AD$9,0),_xlfn.XLOOKUP(F527,Lists!$AC$2:$AC$9,Lists!$AD$2:$AD$9,0),_xlfn.XLOOKUP(H527,Lists!$AC$2:$AC$9,Lists!$AD$2:$AD$9,0),_xlfn.XLOOKUP(J527,Lists!$AC$2:$AC$9,Lists!$AD$2:$AD$9,0),_xlfn.XLOOKUP(L527,Lists!$AC$2:$AC$9,Lists!$AD$2:$AD$9,0)))</f>
        <v>0</v>
      </c>
      <c r="T527" s="68">
        <f ca="1">IF($B527="","",SUM(_xlfn.XLOOKUP(C527,Lists!$P$2:$P$19,Lists!$W$2:$W$19,0),_xlfn.XLOOKUP(E527,Lists!$P$2:$P$19,Lists!$W$2:$W$19,0),_xlfn.XLOOKUP(G527,Lists!$P$2:$P$19,Lists!$W$2:$W$19,0),_xlfn.XLOOKUP(I527,Lists!$P$2:$P$19,Lists!$W$2:$W$19,0),_xlfn.XLOOKUP(K527,Lists!$P$2:$P$19,Lists!$W$2:$W$19,0)))</f>
        <v>0</v>
      </c>
      <c r="U527" s="68">
        <f ca="1">IF($B527="","",SUM(_xlfn.XLOOKUP(C527,Lists!$P$2:$P$19,Lists!$X$2:$X$19,0),_xlfn.XLOOKUP(E527,Lists!$P$2:$P$19,Lists!$X$2:$X$19,0),_xlfn.XLOOKUP(G527,Lists!$P$2:$P$19,Lists!$X$2:$X$19,0),_xlfn.XLOOKUP(I527,Lists!$P$2:$P$19,Lists!$X$2:$X$19,0),_xlfn.XLOOKUP(K527,Lists!$P$2:$P$19,Lists!$X$2:$X$19,0)))</f>
        <v>0</v>
      </c>
      <c r="V527" s="68">
        <f ca="1">IF($B527="","",SUM(_xlfn.XLOOKUP(C527,Lists!$P$2:$P$19,Lists!$Y$2:$Y$19,0),_xlfn.XLOOKUP(E527,Lists!$P$2:$P$19,Lists!$Y$2:$Y$19,0),_xlfn.XLOOKUP(G527,Lists!$P$2:$P$19,Lists!$Y$2:$Y$19,0),_xlfn.XLOOKUP(I527,Lists!$P$2:$P$19,Lists!$Y$2:$Y$19,0),_xlfn.XLOOKUP(K527,Lists!$P$2:$P$19,Lists!$Y$2:$Y$19,0)))</f>
        <v>0</v>
      </c>
      <c r="W527" s="68">
        <f ca="1">IF($B527="","",SUM(_xlfn.XLOOKUP(C527,Lists!$P$2:$P$19,Lists!$Z$2:$Z$19,0),_xlfn.XLOOKUP(E527,Lists!$P$2:$P$19,Lists!$Z$2:$Z$19,0),_xlfn.XLOOKUP(G527,Lists!$P$2:$P$19,Lists!$Z$2:$Z$19,0),_xlfn.XLOOKUP(I527,Lists!$P$2:$P$19,Lists!$Z$2:$Z$19,0),_xlfn.XLOOKUP(K527,Lists!$P$2:$P$19,Lists!$Z$2:$Z$19,0)))</f>
        <v>0</v>
      </c>
      <c r="X527" s="69">
        <f ca="1">IF($B527="","",SUM(_xlfn.XLOOKUP(C527,Lists!$P$2:$P$19,Lists!$AA$2:$AA$19,0),_xlfn.XLOOKUP(E527,Lists!$P$2:$P$19,Lists!$AA$2:$AA$19,0),_xlfn.XLOOKUP(G527,Lists!$P$2:$P$19,Lists!$AA$2:$AA$19,0),_xlfn.XLOOKUP(I527,Lists!$P$2:$P$19,Lists!$AA$2:$AA$19,0),_xlfn.XLOOKUP(K527,Lists!$P$2:$P$19,Lists!$AA$2:$AA$19,0)))</f>
        <v>0</v>
      </c>
      <c r="Y527" s="49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  <c r="CD527" s="18"/>
      <c r="CE527" s="18"/>
      <c r="CF527" s="18"/>
      <c r="CG527" s="18"/>
      <c r="CH527" s="18"/>
      <c r="CI527" s="18"/>
      <c r="CJ527" s="18"/>
      <c r="CK527" s="18"/>
      <c r="CL527" s="18"/>
      <c r="CM527" s="18"/>
      <c r="CN527" s="18"/>
      <c r="CO527" s="18"/>
      <c r="CP527" s="18"/>
      <c r="CQ527" s="18"/>
      <c r="CR527" s="18"/>
      <c r="CS527" s="18"/>
      <c r="CT527" s="18"/>
      <c r="CU527" s="18"/>
      <c r="CV527" s="18"/>
      <c r="CW527" s="18"/>
      <c r="CX527" s="18"/>
      <c r="CY527" s="18"/>
      <c r="CZ527" s="18"/>
      <c r="DA527" s="18"/>
      <c r="DB527" s="18"/>
      <c r="DC527" s="18"/>
      <c r="DD527" s="18"/>
      <c r="DE527" s="18"/>
      <c r="DF527" s="18"/>
    </row>
    <row r="528" spans="1:110">
      <c r="A528" s="168">
        <v>9</v>
      </c>
      <c r="B528" s="47" t="str">
        <f ca="1">Lineups!$H$153</f>
        <v>Yellow Toad</v>
      </c>
      <c r="C528" s="49"/>
      <c r="D528" s="49"/>
      <c r="E528" s="49"/>
      <c r="F528" s="49"/>
      <c r="G528" s="49"/>
      <c r="H528" s="50"/>
      <c r="I528" s="50"/>
      <c r="J528" s="50"/>
      <c r="K528" s="50"/>
      <c r="L528" s="50"/>
      <c r="M528" s="67">
        <f ca="1">IF($B528="","",SUM(_xlfn.XLOOKUP(C528,Lists!$P$2:$P$19,Lists!$R$2:$R$19,0),_xlfn.XLOOKUP(E528,Lists!$P$2:$P$19,Lists!$R$2:$R$19,0),_xlfn.XLOOKUP(G528,Lists!$P$2:$P$19,Lists!$R$2:$R$19,0),_xlfn.XLOOKUP(I528,Lists!$P$2:$P$19,Lists!$R$2:$R$19,0),_xlfn.XLOOKUP(K528,Lists!$P$2:$P$19,Lists!$R$2:$R$19,0)))</f>
        <v>0</v>
      </c>
      <c r="N528" s="68">
        <f ca="1">IF($B528="","",SUM(_xlfn.XLOOKUP(D528,Lists!$AC$2:$AC$9,Lists!$AE$2:$AE$9,0),_xlfn.XLOOKUP(F528,Lists!$AC$2:$AC$9,Lists!$AE$2:$AE$9,0),_xlfn.XLOOKUP(H528,Lists!$AC$2:$AC$9,Lists!$AE$2:$AE$9,0),_xlfn.XLOOKUP(J528,Lists!$AC$2:$AC$9,Lists!$AE$2:$AE$9,0),_xlfn.XLOOKUP(L528,Lists!$AC$2:$AC$9,Lists!$AE$2:$AE$9,0)))</f>
        <v>0</v>
      </c>
      <c r="O528" s="68">
        <f ca="1">IF($B528="","",SUM(_xlfn.XLOOKUP(C528,Lists!$P$2:$P$19,Lists!$S$2:$S$19,0),_xlfn.XLOOKUP(E528,Lists!$P$2:$P$19,Lists!$S$2:$S$19,0),_xlfn.XLOOKUP(G528,Lists!$P$2:$P$19,Lists!$S$2:$S$19,0),_xlfn.XLOOKUP(I528,Lists!$P$2:$P$19,Lists!$S$2:$S$19,0),_xlfn.XLOOKUP(K528,Lists!$P$2:$P$19,Lists!$S$2:$S$19,0)))</f>
        <v>0</v>
      </c>
      <c r="P528" s="68">
        <f ca="1">IF($B528="","",SUM(_xlfn.XLOOKUP(C528,Lists!$P$2:$P$19,Lists!$T$2:$T$19,0),_xlfn.XLOOKUP(E528,Lists!$P$2:$P$19,Lists!$T$2:$T$19,0),_xlfn.XLOOKUP(G528,Lists!$P$2:$P$19,Lists!$T$2:$T$19,0),_xlfn.XLOOKUP(I528,Lists!$P$2:$P$19,Lists!$T$2:$T$19,0),_xlfn.XLOOKUP(K528,Lists!$P$2:$P$19,Lists!$T$2:$T$19,0)))</f>
        <v>0</v>
      </c>
      <c r="Q528" s="68">
        <f ca="1">IF($B528="","",SUM(_xlfn.XLOOKUP(C528,Lists!$P$2:$P$19,Lists!$U$2:$U$19,0),_xlfn.XLOOKUP(E528,Lists!$P$2:$P$19,Lists!$U$2:$U$19,0),_xlfn.XLOOKUP(G528,Lists!$P$2:$P$19,Lists!$U$2:$U$19,0),_xlfn.XLOOKUP(I528,Lists!$P$2:$P$19,Lists!$U$2:$U$19,0),_xlfn.XLOOKUP(K528,Lists!$P$2:$P$19,Lists!$U$2:$U$19,0)))</f>
        <v>0</v>
      </c>
      <c r="R528" s="68">
        <f ca="1">IF($B528="","",SUM(_xlfn.XLOOKUP(C528,Lists!$P$2:$P$19,Lists!$V$2:$V$19,0),_xlfn.XLOOKUP(E528,Lists!$P$2:$P$19,Lists!$V$2:$V$19,0),_xlfn.XLOOKUP(G528,Lists!$P$2:$P$19,Lists!$V$2:$V$19,0),_xlfn.XLOOKUP(I528,Lists!$P$2:$P$19,Lists!$V$2:$V$19,0),_xlfn.XLOOKUP(K528,Lists!$P$2:$P$19,Lists!$V$2:$V$19,0)))</f>
        <v>0</v>
      </c>
      <c r="S528" s="68">
        <f ca="1">IF($B528="","",SUM(_xlfn.XLOOKUP(D528,Lists!$AC$2:$AC$9,Lists!$AD$2:$AD$9,0),_xlfn.XLOOKUP(F528,Lists!$AC$2:$AC$9,Lists!$AD$2:$AD$9,0),_xlfn.XLOOKUP(H528,Lists!$AC$2:$AC$9,Lists!$AD$2:$AD$9,0),_xlfn.XLOOKUP(J528,Lists!$AC$2:$AC$9,Lists!$AD$2:$AD$9,0),_xlfn.XLOOKUP(L528,Lists!$AC$2:$AC$9,Lists!$AD$2:$AD$9,0)))</f>
        <v>0</v>
      </c>
      <c r="T528" s="68">
        <f ca="1">IF($B528="","",SUM(_xlfn.XLOOKUP(C528,Lists!$P$2:$P$19,Lists!$W$2:$W$19,0),_xlfn.XLOOKUP(E528,Lists!$P$2:$P$19,Lists!$W$2:$W$19,0),_xlfn.XLOOKUP(G528,Lists!$P$2:$P$19,Lists!$W$2:$W$19,0),_xlfn.XLOOKUP(I528,Lists!$P$2:$P$19,Lists!$W$2:$W$19,0),_xlfn.XLOOKUP(K528,Lists!$P$2:$P$19,Lists!$W$2:$W$19,0)))</f>
        <v>0</v>
      </c>
      <c r="U528" s="68">
        <f ca="1">IF($B528="","",SUM(_xlfn.XLOOKUP(C528,Lists!$P$2:$P$19,Lists!$X$2:$X$19,0),_xlfn.XLOOKUP(E528,Lists!$P$2:$P$19,Lists!$X$2:$X$19,0),_xlfn.XLOOKUP(G528,Lists!$P$2:$P$19,Lists!$X$2:$X$19,0),_xlfn.XLOOKUP(I528,Lists!$P$2:$P$19,Lists!$X$2:$X$19,0),_xlfn.XLOOKUP(K528,Lists!$P$2:$P$19,Lists!$X$2:$X$19,0)))</f>
        <v>0</v>
      </c>
      <c r="V528" s="68">
        <f ca="1">IF($B528="","",SUM(_xlfn.XLOOKUP(C528,Lists!$P$2:$P$19,Lists!$Y$2:$Y$19,0),_xlfn.XLOOKUP(E528,Lists!$P$2:$P$19,Lists!$Y$2:$Y$19,0),_xlfn.XLOOKUP(G528,Lists!$P$2:$P$19,Lists!$Y$2:$Y$19,0),_xlfn.XLOOKUP(I528,Lists!$P$2:$P$19,Lists!$Y$2:$Y$19,0),_xlfn.XLOOKUP(K528,Lists!$P$2:$P$19,Lists!$Y$2:$Y$19,0)))</f>
        <v>0</v>
      </c>
      <c r="W528" s="68">
        <f ca="1">IF($B528="","",SUM(_xlfn.XLOOKUP(C528,Lists!$P$2:$P$19,Lists!$Z$2:$Z$19,0),_xlfn.XLOOKUP(E528,Lists!$P$2:$P$19,Lists!$Z$2:$Z$19,0),_xlfn.XLOOKUP(G528,Lists!$P$2:$P$19,Lists!$Z$2:$Z$19,0),_xlfn.XLOOKUP(I528,Lists!$P$2:$P$19,Lists!$Z$2:$Z$19,0),_xlfn.XLOOKUP(K528,Lists!$P$2:$P$19,Lists!$Z$2:$Z$19,0)))</f>
        <v>0</v>
      </c>
      <c r="X528" s="69">
        <f ca="1">IF($B528="","",SUM(_xlfn.XLOOKUP(C528,Lists!$P$2:$P$19,Lists!$AA$2:$AA$19,0),_xlfn.XLOOKUP(E528,Lists!$P$2:$P$19,Lists!$AA$2:$AA$19,0),_xlfn.XLOOKUP(G528,Lists!$P$2:$P$19,Lists!$AA$2:$AA$19,0),_xlfn.XLOOKUP(I528,Lists!$P$2:$P$19,Lists!$AA$2:$AA$19,0),_xlfn.XLOOKUP(K528,Lists!$P$2:$P$19,Lists!$AA$2:$AA$19,0)))</f>
        <v>0</v>
      </c>
      <c r="Y528" s="49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  <c r="CD528" s="18"/>
      <c r="CE528" s="18"/>
      <c r="CF528" s="18"/>
      <c r="CG528" s="18"/>
      <c r="CH528" s="18"/>
      <c r="CI528" s="18"/>
      <c r="CJ528" s="18"/>
      <c r="CK528" s="18"/>
      <c r="CL528" s="18"/>
      <c r="CM528" s="18"/>
      <c r="CN528" s="18"/>
      <c r="CO528" s="18"/>
      <c r="CP528" s="18"/>
      <c r="CQ528" s="18"/>
      <c r="CR528" s="18"/>
      <c r="CS528" s="18"/>
      <c r="CT528" s="18"/>
      <c r="CU528" s="18"/>
      <c r="CV528" s="18"/>
      <c r="CW528" s="18"/>
      <c r="CX528" s="18"/>
      <c r="CY528" s="18"/>
      <c r="CZ528" s="18"/>
      <c r="DA528" s="18"/>
      <c r="DB528" s="18"/>
      <c r="DC528" s="18"/>
      <c r="DD528" s="18"/>
      <c r="DE528" s="18"/>
      <c r="DF528" s="18"/>
    </row>
    <row r="529" spans="1:110">
      <c r="A529" s="173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  <c r="CL529" s="18"/>
      <c r="CM529" s="18"/>
      <c r="CN529" s="18"/>
      <c r="CO529" s="18"/>
      <c r="CP529" s="18"/>
      <c r="CQ529" s="18"/>
      <c r="CR529" s="18"/>
      <c r="CS529" s="18"/>
      <c r="CT529" s="18"/>
      <c r="CU529" s="18"/>
      <c r="CV529" s="18"/>
      <c r="CW529" s="18"/>
      <c r="CX529" s="18"/>
      <c r="CY529" s="18"/>
      <c r="CZ529" s="18"/>
      <c r="DA529" s="18"/>
      <c r="DB529" s="18"/>
      <c r="DC529" s="18"/>
      <c r="DD529" s="18"/>
      <c r="DE529" s="18"/>
      <c r="DF529" s="18"/>
    </row>
    <row r="530" spans="1:110">
      <c r="A530" s="222" t="str">
        <f ca="1">IF($R$492="","Team B Pitching",$R$492&amp;" Pitching")</f>
        <v>Jason Pitching</v>
      </c>
      <c r="B530" s="221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06"/>
      <c r="O530" s="186"/>
      <c r="P530" s="24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8"/>
      <c r="CH530" s="18"/>
      <c r="CI530" s="18"/>
      <c r="CJ530" s="18"/>
      <c r="CK530" s="18"/>
      <c r="CL530" s="18"/>
      <c r="CM530" s="18"/>
      <c r="CN530" s="18"/>
      <c r="CO530" s="18"/>
      <c r="CP530" s="18"/>
      <c r="CQ530" s="18"/>
      <c r="CR530" s="18"/>
      <c r="CS530" s="18"/>
      <c r="CT530" s="18"/>
      <c r="CU530" s="18"/>
      <c r="CV530" s="18"/>
      <c r="CW530" s="18"/>
      <c r="CX530" s="18"/>
      <c r="CY530" s="18"/>
      <c r="CZ530" s="18"/>
      <c r="DA530" s="18"/>
      <c r="DB530" s="18"/>
      <c r="DC530" s="18"/>
      <c r="DD530" s="18"/>
      <c r="DE530" s="18"/>
      <c r="DF530" s="18"/>
    </row>
    <row r="531" spans="1:110">
      <c r="A531" s="167" t="s">
        <v>103</v>
      </c>
      <c r="B531" s="43" t="s">
        <v>194</v>
      </c>
      <c r="C531" s="43" t="s">
        <v>195</v>
      </c>
      <c r="D531" s="43" t="s">
        <v>162</v>
      </c>
      <c r="E531" s="43" t="s">
        <v>161</v>
      </c>
      <c r="F531" s="43" t="s">
        <v>196</v>
      </c>
      <c r="G531" s="43" t="s">
        <v>180</v>
      </c>
      <c r="H531" s="43" t="s">
        <v>181</v>
      </c>
      <c r="I531" s="44" t="s">
        <v>197</v>
      </c>
      <c r="J531" s="44" t="s">
        <v>198</v>
      </c>
      <c r="K531" s="44" t="s">
        <v>199</v>
      </c>
      <c r="L531" s="44" t="s">
        <v>200</v>
      </c>
      <c r="M531" s="44" t="s">
        <v>201</v>
      </c>
      <c r="N531" s="45" t="s">
        <v>202</v>
      </c>
      <c r="O531" s="45" t="s">
        <v>203</v>
      </c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8"/>
      <c r="CG531" s="18"/>
      <c r="CH531" s="18"/>
      <c r="CI531" s="18"/>
      <c r="CJ531" s="18"/>
      <c r="CK531" s="18"/>
      <c r="CL531" s="18"/>
      <c r="CM531" s="18"/>
      <c r="CN531" s="18"/>
      <c r="CO531" s="18"/>
      <c r="CP531" s="18"/>
      <c r="CQ531" s="18"/>
      <c r="CR531" s="18"/>
      <c r="CS531" s="18"/>
      <c r="CT531" s="18"/>
      <c r="CU531" s="18"/>
      <c r="CV531" s="18"/>
      <c r="CW531" s="18"/>
      <c r="CX531" s="18"/>
      <c r="CY531" s="18"/>
      <c r="CZ531" s="18"/>
      <c r="DA531" s="18"/>
      <c r="DB531" s="18"/>
      <c r="DC531" s="18"/>
      <c r="DD531" s="18"/>
      <c r="DE531" s="18"/>
      <c r="DF531" s="18"/>
    </row>
    <row r="532" spans="1:110">
      <c r="A532" s="168">
        <v>1</v>
      </c>
      <c r="B532" s="71"/>
      <c r="C532" s="70" t="str" cm="1">
        <f t="array" aca="1" ref="C532" ca="1">IF(OR(B532="",O532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32" s="67" t="str" cm="1">
        <f t="array" aca="1" ref="D532" ca="1">IF(OR(B532="",O532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32" s="67" t="str" cm="1">
        <f t="array" aca="1" ref="E532" ca="1">IF(OR(B532="",O532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32" s="67" t="str" cm="1">
        <f t="array" aca="1" ref="F532" ca="1">IF(OR(B532="",O532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32" s="67" t="str" cm="1">
        <f t="array" aca="1" ref="G532" ca="1">IF(OR(B532="",O532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32" s="67" t="str" cm="1">
        <f t="array" aca="1" ref="H532" ca="1">IF(OR(B532="",O532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32" s="68" t="str" cm="1">
        <f t="array" aca="1" ref="I532" ca="1">IF(OR(B532="",O532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32" s="68" t="str" cm="1">
        <f t="array" aca="1" ref="J532" ca="1">IF(OR(B532="",O532=""),"",--(SUM(_xlfn.XLOOKUP(_xlfn._xlws.FILTER(_xlfn.TOCOL(_xlfn.CHOOSECOLS(C520:L528,2,4,6,8,10),0,TRUE),_xlfn.TOCOL(_xlfn.CHOOSECOLS(C520:L528,1,3,5,7,9),0,TRUE)&lt;&gt;""),Lists!$AC$2:$AC$9,Lists!$AF$2:$AF$9,0))&gt;SUM(_xlfn.XLOOKUP(_xlfn._xlws.FILTER(_xlfn.TOCOL(_xlfn.CHOOSECOLS(C499:L507,2,4,6,8,10),0,TRUE),_xlfn.TOCOL(_xlfn.CHOOSECOLS(C499:L507,1,3,5,7,9),0,TRUE)&lt;&gt;""),Lists!$AC$2:$AC$9,Lists!$AF$2:$AF$9,0)))*--(ROW()-ROW(C531)=_xlfn.XLOOKUP(MAX(IF(O532:O537&gt;0,INT(C532:C537)*3+MOD(ROUND(C532:C537*10,0),10),-1)),IF(O532:O537&gt;0,INT(C532:C537)*3+MOD(ROUND(C532:C537*10,0),10),-1),_xlfn.SEQUENCE(ROWS(O532:O537)),,0)))</f>
        <v/>
      </c>
      <c r="K532" s="68" t="str" cm="1">
        <f t="array" aca="1" ref="K532" ca="1">IF(OR(B532="",O532=""),"",--(SUM(_xlfn.XLOOKUP(_xlfn._xlws.FILTER(_xlfn.TOCOL(_xlfn.CHOOSECOLS(C520:L528,2,4,6,8,10),0,TRUE),_xlfn.TOCOL(_xlfn.CHOOSECOLS(C520:L528,1,3,5,7,9),0,TRUE)&lt;&gt;""),Lists!$AC$2:$AC$9,Lists!$AF$2:$AF$9,0))&lt;SUM(_xlfn.XLOOKUP(_xlfn._xlws.FILTER(_xlfn.TOCOL(_xlfn.CHOOSECOLS(C499:L507,2,4,6,8,10),0,TRUE),_xlfn.TOCOL(_xlfn.CHOOSECOLS(C499:L507,1,3,5,7,9),0,TRUE)&lt;&gt;""),Lists!$AC$2:$AC$9,Lists!$AF$2:$AF$9,0)))*--(ROW()-ROW(C531)=_xlfn.XLOOKUP(MAX(IF(O532:O537&gt;0,E532:E537,-1)),IF(O532:O537&gt;0,E532:E537,-1),_xlfn.SEQUENCE(ROWS(O532:O537)),,0)))</f>
        <v/>
      </c>
      <c r="L532" s="68" t="str" cm="1">
        <f t="array" aca="1" ref="L532" ca="1">IF(OR(B532="",O532=""),"",--(SUM(_xlfn.XLOOKUP(_xlfn._xlws.FILTER(_xlfn.TOCOL(_xlfn.CHOOSECOLS(C520:L528,2,4,6,8,10),0,TRUE),_xlfn.TOCOL(_xlfn.CHOOSECOLS(C520:L528,1,3,5,7,9),0,TRUE)&lt;&gt;""),Lists!$AC$2:$AC$9,Lists!$AF$2:$AF$9,0))&gt;SUM(_xlfn.XLOOKUP(_xlfn._xlws.FILTER(_xlfn.TOCOL(_xlfn.CHOOSECOLS(C499:L507,2,4,6,8,10),0,TRUE),_xlfn.TOCOL(_xlfn.CHOOSECOLS(C499:L507,1,3,5,7,9),0,TRUE)&lt;&gt;""),Lists!$AC$2:$AC$9,Lists!$AF$2:$AF$9,0)))*--(COUNTIF(O532:O537,"&gt;0")&gt;1)*--(ROW()-ROW(C531)=_xlfn.XLOOKUP(TRUE,O532:O537&gt;0,_xlfn.SEQUENCE(ROWS(O532:O537)),,0,-1))*--(_xlfn.XLOOKUP(TRUE,O532:O537&gt;0,_xlfn.SEQUENCE(ROWS(O532:O537)),,0,-1)&lt;&gt;_xlfn.XLOOKUP(MAX(IF(O532:O537&gt;0,INT(C532:C537)*3+MOD(ROUND(C532:C537*10,0),10),-1)),IF(O532:O537&gt;0,INT(C532:C537)*3+MOD(ROUND(C532:C537*10,0),10),-1),_xlfn.SEQUENCE(ROWS(O532:O537)),,0))*--(SUM(_xlfn.XLOOKUP(_xlfn._xlws.FILTER(_xlfn.TOCOL(_xlfn.CHOOSECOLS(C520:L528,2,4,6,8,10),0,TRUE),_xlfn.TOCOL(_xlfn.CHOOSECOLS(C520:L528,1,3,5,7,9),0,TRUE)&lt;&gt;""),Lists!$AC$2:$AC$9,Lists!$AF$2:$AF$9,0))-SUM(_xlfn.XLOOKUP(_xlfn._xlws.FILTER(_xlfn.TOCOL(_xlfn.CHOOSECOLS(C499:L507,2,4,6,8,10),0,TRUE),_xlfn.TOCOL(_xlfn.CHOOSECOLS(C499:L507,1,3,5,7,9),0,TRUE)&lt;&gt;""),Lists!$AC$2:$AC$9,Lists!$AF$2:$AF$9,0))&lt;=3)*--((INT(C532)*3+MOD(ROUND(C532*10,0),10))&gt;=3))</f>
        <v/>
      </c>
      <c r="M532" s="68" t="str" cm="1">
        <f t="array" ref="M532">IF(OR(B532="",O532=""),"",--(COUNTIF(O532:O537,"&gt;0")=1)*--(SUM(_xlfn.XLOOKUP(_xlfn._xlws.FILTER(_xlfn.TOCOL(_xlfn.CHOOSECOLS(C499:L507,2,4,6,8,10),0,TRUE),_xlfn.TOCOL(_xlfn.CHOOSECOLS(C499:L507,1,3,5,7,9),0,TRUE)&lt;&gt;""),Lists!$AC$2:$AC$9,Lists!$AF$2:$AF$9,0))=0))</f>
        <v/>
      </c>
      <c r="N532" s="69" t="str">
        <f>IF(OR(B532="",O532=""),"",--(COUNTIF(O532:O537,"&gt;0")=1))</f>
        <v/>
      </c>
      <c r="O532" s="5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  <c r="CF532" s="18"/>
      <c r="CG532" s="18"/>
      <c r="CH532" s="18"/>
      <c r="CI532" s="18"/>
      <c r="CJ532" s="18"/>
      <c r="CK532" s="18"/>
      <c r="CL532" s="18"/>
      <c r="CM532" s="18"/>
      <c r="CN532" s="18"/>
      <c r="CO532" s="18"/>
      <c r="CP532" s="18"/>
      <c r="CQ532" s="18"/>
      <c r="CR532" s="18"/>
      <c r="CS532" s="18"/>
      <c r="CT532" s="18"/>
      <c r="CU532" s="18"/>
      <c r="CV532" s="18"/>
      <c r="CW532" s="18"/>
      <c r="CX532" s="18"/>
      <c r="CY532" s="18"/>
      <c r="CZ532" s="18"/>
      <c r="DA532" s="18"/>
      <c r="DB532" s="18"/>
      <c r="DC532" s="18"/>
      <c r="DD532" s="18"/>
      <c r="DE532" s="18"/>
      <c r="DF532" s="18"/>
    </row>
    <row r="533" spans="1:110">
      <c r="A533" s="168">
        <v>2</v>
      </c>
      <c r="B533" s="71"/>
      <c r="C533" s="70" t="str" cm="1">
        <f t="array" aca="1" ref="C533" ca="1">IF(OR(B533="",O533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33" s="67" t="str" cm="1">
        <f t="array" aca="1" ref="D533" ca="1">IF(OR(B533="",O533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33" s="67" t="str" cm="1">
        <f t="array" aca="1" ref="E533" ca="1">IF(OR(B533="",O533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33" s="67" t="str" cm="1">
        <f t="array" aca="1" ref="F533" ca="1">IF(OR(B533="",O533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33" s="67" t="str" cm="1">
        <f t="array" aca="1" ref="G533" ca="1">IF(OR(B533="",O533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33" s="67" t="str" cm="1">
        <f t="array" aca="1" ref="H533" ca="1">IF(OR(B533="",O533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33" s="68" t="str" cm="1">
        <f t="array" aca="1" ref="I533" ca="1">IF(OR(B533="",O533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33" s="68" t="str" cm="1">
        <f t="array" aca="1" ref="J533" ca="1">IF(OR(B533="",O533=""),"",--(SUM(_xlfn.XLOOKUP(_xlfn._xlws.FILTER(_xlfn.TOCOL(_xlfn.CHOOSECOLS(C520:L528,2,4,6,8,10),0,TRUE),_xlfn.TOCOL(_xlfn.CHOOSECOLS(C520:L528,1,3,5,7,9),0,TRUE)&lt;&gt;""),Lists!$AC$2:$AC$9,Lists!$AF$2:$AF$9,0))&gt;SUM(_xlfn.XLOOKUP(_xlfn._xlws.FILTER(_xlfn.TOCOL(_xlfn.CHOOSECOLS(C499:L507,2,4,6,8,10),0,TRUE),_xlfn.TOCOL(_xlfn.CHOOSECOLS(C499:L507,1,3,5,7,9),0,TRUE)&lt;&gt;""),Lists!$AC$2:$AC$9,Lists!$AF$2:$AF$9,0)))*--(ROW()-ROW(C531)=_xlfn.XLOOKUP(MAX(IF(O532:O537&gt;0,INT(C532:C537)*3+MOD(ROUND(C532:C537*10,0),10),-1)),IF(O532:O537&gt;0,INT(C532:C537)*3+MOD(ROUND(C532:C537*10,0),10),-1),_xlfn.SEQUENCE(ROWS(O532:O537)),,0)))</f>
        <v/>
      </c>
      <c r="K533" s="68" t="str" cm="1">
        <f t="array" aca="1" ref="K533" ca="1">IF(OR(B533="",O533=""),"",--(SUM(_xlfn.XLOOKUP(_xlfn._xlws.FILTER(_xlfn.TOCOL(_xlfn.CHOOSECOLS(C520:L528,2,4,6,8,10),0,TRUE),_xlfn.TOCOL(_xlfn.CHOOSECOLS(C520:L528,1,3,5,7,9),0,TRUE)&lt;&gt;""),Lists!$AC$2:$AC$9,Lists!$AF$2:$AF$9,0))&lt;SUM(_xlfn.XLOOKUP(_xlfn._xlws.FILTER(_xlfn.TOCOL(_xlfn.CHOOSECOLS(C499:L507,2,4,6,8,10),0,TRUE),_xlfn.TOCOL(_xlfn.CHOOSECOLS(C499:L507,1,3,5,7,9),0,TRUE)&lt;&gt;""),Lists!$AC$2:$AC$9,Lists!$AF$2:$AF$9,0)))*--(ROW()-ROW(C531)=_xlfn.XLOOKUP(MAX(IF(O532:O537&gt;0,E532:E537,-1)),IF(O532:O537&gt;0,E532:E537,-1),_xlfn.SEQUENCE(ROWS(O532:O537)),,0)))</f>
        <v/>
      </c>
      <c r="L533" s="68" t="str" cm="1">
        <f t="array" aca="1" ref="L533" ca="1">IF(OR(B533="",O533=""),"",--(SUM(_xlfn.XLOOKUP(_xlfn._xlws.FILTER(_xlfn.TOCOL(_xlfn.CHOOSECOLS(C520:L528,2,4,6,8,10),0,TRUE),_xlfn.TOCOL(_xlfn.CHOOSECOLS(C520:L528,1,3,5,7,9),0,TRUE)&lt;&gt;""),Lists!$AC$2:$AC$9,Lists!$AF$2:$AF$9,0))&gt;SUM(_xlfn.XLOOKUP(_xlfn._xlws.FILTER(_xlfn.TOCOL(_xlfn.CHOOSECOLS(C499:L507,2,4,6,8,10),0,TRUE),_xlfn.TOCOL(_xlfn.CHOOSECOLS(C499:L507,1,3,5,7,9),0,TRUE)&lt;&gt;""),Lists!$AC$2:$AC$9,Lists!$AF$2:$AF$9,0)))*--(COUNTIF(O532:O537,"&gt;0")&gt;1)*--(ROW()-ROW(C531)=_xlfn.XLOOKUP(TRUE,O532:O537&gt;0,_xlfn.SEQUENCE(ROWS(O532:O537)),,0,-1))*--(_xlfn.XLOOKUP(TRUE,O532:O537&gt;0,_xlfn.SEQUENCE(ROWS(O532:O537)),,0,-1)&lt;&gt;_xlfn.XLOOKUP(MAX(IF(O532:O537&gt;0,INT(C532:C537)*3+MOD(ROUND(C532:C537*10,0),10),-1)),IF(O532:O537&gt;0,INT(C532:C537)*3+MOD(ROUND(C532:C537*10,0),10),-1),_xlfn.SEQUENCE(ROWS(O532:O537)),,0))*--(SUM(_xlfn.XLOOKUP(_xlfn._xlws.FILTER(_xlfn.TOCOL(_xlfn.CHOOSECOLS(C520:L528,2,4,6,8,10),0,TRUE),_xlfn.TOCOL(_xlfn.CHOOSECOLS(C520:L528,1,3,5,7,9),0,TRUE)&lt;&gt;""),Lists!$AC$2:$AC$9,Lists!$AF$2:$AF$9,0))-SUM(_xlfn.XLOOKUP(_xlfn._xlws.FILTER(_xlfn.TOCOL(_xlfn.CHOOSECOLS(C499:L507,2,4,6,8,10),0,TRUE),_xlfn.TOCOL(_xlfn.CHOOSECOLS(C499:L507,1,3,5,7,9),0,TRUE)&lt;&gt;""),Lists!$AC$2:$AC$9,Lists!$AF$2:$AF$9,0))&lt;=3)*--((INT(C533)*3+MOD(ROUND(C533*10,0),10))&gt;=3))</f>
        <v/>
      </c>
      <c r="M533" s="68" t="str" cm="1">
        <f t="array" ref="M533">IF(OR(B533="",O533=""),"",--(COUNTIF(O532:O537,"&gt;0")=1)*--(SUM(_xlfn.XLOOKUP(_xlfn._xlws.FILTER(_xlfn.TOCOL(_xlfn.CHOOSECOLS(C499:L507,2,4,6,8,10),0,TRUE),_xlfn.TOCOL(_xlfn.CHOOSECOLS(C499:L507,1,3,5,7,9),0,TRUE)&lt;&gt;""),Lists!$AC$2:$AC$9,Lists!$AF$2:$AF$9,0))=0))</f>
        <v/>
      </c>
      <c r="N533" s="69" t="str">
        <f>IF(OR(B533="",O533=""),"",--(COUNTIF(O532:O537,"&gt;0")=1))</f>
        <v/>
      </c>
      <c r="O533" s="5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8"/>
      <c r="CG533" s="18"/>
      <c r="CH533" s="18"/>
      <c r="CI533" s="18"/>
      <c r="CJ533" s="18"/>
      <c r="CK533" s="18"/>
      <c r="CL533" s="18"/>
      <c r="CM533" s="18"/>
      <c r="CN533" s="18"/>
      <c r="CO533" s="18"/>
      <c r="CP533" s="18"/>
      <c r="CQ533" s="18"/>
      <c r="CR533" s="18"/>
      <c r="CS533" s="18"/>
      <c r="CT533" s="18"/>
      <c r="CU533" s="18"/>
      <c r="CV533" s="18"/>
      <c r="CW533" s="18"/>
      <c r="CX533" s="18"/>
      <c r="CY533" s="18"/>
      <c r="CZ533" s="18"/>
      <c r="DA533" s="18"/>
      <c r="DB533" s="18"/>
      <c r="DC533" s="18"/>
      <c r="DD533" s="18"/>
      <c r="DE533" s="18"/>
      <c r="DF533" s="18"/>
    </row>
    <row r="534" spans="1:110">
      <c r="A534" s="168">
        <v>3</v>
      </c>
      <c r="B534" s="71"/>
      <c r="C534" s="70" t="str" cm="1">
        <f t="array" aca="1" ref="C534" ca="1">IF(OR(B534="",O534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34" s="67" t="str" cm="1">
        <f t="array" aca="1" ref="D534" ca="1">IF(OR(B534="",O534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34" s="67" t="str" cm="1">
        <f t="array" aca="1" ref="E534" ca="1">IF(OR(B534="",O534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534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34" s="67" t="str" cm="1">
        <f t="array" aca="1" ref="F534" ca="1">IF(OR(B534="",O534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534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34" s="67" t="str" cm="1">
        <f t="array" aca="1" ref="G534" ca="1">IF(OR(B534="",O534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34" s="67" t="str" cm="1">
        <f t="array" aca="1" ref="H534" ca="1">IF(OR(B534="",O534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34" s="68" t="str" cm="1">
        <f t="array" aca="1" ref="I534" ca="1">IF(OR(B534="",O534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34" s="68" t="str" cm="1">
        <f t="array" aca="1" ref="J534" ca="1">IF(OR(B534="",O534=""),"",--(SUM(_xlfn.XLOOKUP(_xlfn._xlws.FILTER(_xlfn.TOCOL(_xlfn.CHOOSECOLS(C520:L528,2,4,6,8,10),0,TRUE),_xlfn.TOCOL(_xlfn.CHOOSECOLS(C520:L528,1,3,5,7,9),0,TRUE)&lt;&gt;""),Lists!$AC$2:$AC$9,Lists!$AF$2:$AF$9,0))&gt;SUM(_xlfn.XLOOKUP(_xlfn._xlws.FILTER(_xlfn.TOCOL(_xlfn.CHOOSECOLS(C499:L507,2,4,6,8,10),0,TRUE),_xlfn.TOCOL(_xlfn.CHOOSECOLS(C499:L507,1,3,5,7,9),0,TRUE)&lt;&gt;""),Lists!$AC$2:$AC$9,Lists!$AF$2:$AF$9,0)))*--(ROW()-ROW(C531)=_xlfn.XLOOKUP(MAX(IF(O532:O537&gt;0,INT(C532:C537)*3+MOD(ROUND(C532:C537*10,0),10),-1)),IF(O532:O537&gt;0,INT(C532:C537)*3+MOD(ROUND(C532:C537*10,0),10),-1),_xlfn.SEQUENCE(ROWS(O532:O537)),,0)))</f>
        <v/>
      </c>
      <c r="K534" s="68" t="str" cm="1">
        <f t="array" aca="1" ref="K534" ca="1">IF(OR(B534="",O534=""),"",--(SUM(_xlfn.XLOOKUP(_xlfn._xlws.FILTER(_xlfn.TOCOL(_xlfn.CHOOSECOLS(C520:L528,2,4,6,8,10),0,TRUE),_xlfn.TOCOL(_xlfn.CHOOSECOLS(C520:L528,1,3,5,7,9),0,TRUE)&lt;&gt;""),Lists!$AC$2:$AC$9,Lists!$AF$2:$AF$9,0))&lt;SUM(_xlfn.XLOOKUP(_xlfn._xlws.FILTER(_xlfn.TOCOL(_xlfn.CHOOSECOLS(C499:L507,2,4,6,8,10),0,TRUE),_xlfn.TOCOL(_xlfn.CHOOSECOLS(C499:L507,1,3,5,7,9),0,TRUE)&lt;&gt;""),Lists!$AC$2:$AC$9,Lists!$AF$2:$AF$9,0)))*--(ROW()-ROW(C531)=_xlfn.XLOOKUP(MAX(IF(O532:O537&gt;0,E532:E537,-1)),IF(O532:O537&gt;0,E532:E537,-1),_xlfn.SEQUENCE(ROWS(O532:O537)),,0)))</f>
        <v/>
      </c>
      <c r="L534" s="68" t="str" cm="1">
        <f t="array" aca="1" ref="L534" ca="1">IF(OR(B534="",O534=""),"",--(SUM(_xlfn.XLOOKUP(_xlfn._xlws.FILTER(_xlfn.TOCOL(_xlfn.CHOOSECOLS(C520:L528,2,4,6,8,10),0,TRUE),_xlfn.TOCOL(_xlfn.CHOOSECOLS(C520:L528,1,3,5,7,9),0,TRUE)&lt;&gt;""),Lists!$AC$2:$AC$9,Lists!$AF$2:$AF$9,0))&gt;SUM(_xlfn.XLOOKUP(_xlfn._xlws.FILTER(_xlfn.TOCOL(_xlfn.CHOOSECOLS(C499:L507,2,4,6,8,10),0,TRUE),_xlfn.TOCOL(_xlfn.CHOOSECOLS(C499:L507,1,3,5,7,9),0,TRUE)&lt;&gt;""),Lists!$AC$2:$AC$9,Lists!$AF$2:$AF$9,0)))*--(COUNTIF(O532:O537,"&gt;0")&gt;1)*--(ROW()-ROW(C531)=_xlfn.XLOOKUP(TRUE,O532:O537&gt;0,_xlfn.SEQUENCE(ROWS(O532:O537)),,0,-1))*--(_xlfn.XLOOKUP(TRUE,O532:O537&gt;0,_xlfn.SEQUENCE(ROWS(O532:O537)),,0,-1)&lt;&gt;_xlfn.XLOOKUP(MAX(IF(O532:O537&gt;0,INT(C532:C537)*3+MOD(ROUND(C532:C537*10,0),10),-1)),IF(O532:O537&gt;0,INT(C532:C537)*3+MOD(ROUND(C532:C537*10,0),10),-1),_xlfn.SEQUENCE(ROWS(O532:O537)),,0))*--(SUM(_xlfn.XLOOKUP(_xlfn._xlws.FILTER(_xlfn.TOCOL(_xlfn.CHOOSECOLS(C520:L528,2,4,6,8,10),0,TRUE),_xlfn.TOCOL(_xlfn.CHOOSECOLS(C520:L528,1,3,5,7,9),0,TRUE)&lt;&gt;""),Lists!$AC$2:$AC$9,Lists!$AF$2:$AF$9,0))-SUM(_xlfn.XLOOKUP(_xlfn._xlws.FILTER(_xlfn.TOCOL(_xlfn.CHOOSECOLS(C499:L507,2,4,6,8,10),0,TRUE),_xlfn.TOCOL(_xlfn.CHOOSECOLS(C499:L507,1,3,5,7,9),0,TRUE)&lt;&gt;""),Lists!$AC$2:$AC$9,Lists!$AF$2:$AF$9,0))&lt;=3)*--((INT(C534)*3+MOD(ROUND(C534*10,0),10))&gt;=3))</f>
        <v/>
      </c>
      <c r="M534" s="68" t="str" cm="1">
        <f t="array" ref="M534">IF(OR(B534="",O534=""),"",--(COUNTIF(O532:O537,"&gt;0")=1)*--(SUM(_xlfn.XLOOKUP(_xlfn._xlws.FILTER(_xlfn.TOCOL(_xlfn.CHOOSECOLS(C499:L507,2,4,6,8,10),0,TRUE),_xlfn.TOCOL(_xlfn.CHOOSECOLS(C499:L507,1,3,5,7,9),0,TRUE)&lt;&gt;""),Lists!$AC$2:$AC$9,Lists!$AF$2:$AF$9,0))=0))</f>
        <v/>
      </c>
      <c r="N534" s="69" t="str">
        <f>IF(OR(B534="",O534=""),"",--(COUNTIF(O532:O537,"&gt;0")=1))</f>
        <v/>
      </c>
      <c r="O534" s="5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  <c r="CF534" s="18"/>
      <c r="CG534" s="18"/>
      <c r="CH534" s="18"/>
      <c r="CI534" s="18"/>
      <c r="CJ534" s="18"/>
      <c r="CK534" s="18"/>
      <c r="CL534" s="18"/>
      <c r="CM534" s="18"/>
      <c r="CN534" s="18"/>
      <c r="CO534" s="18"/>
      <c r="CP534" s="18"/>
      <c r="CQ534" s="18"/>
      <c r="CR534" s="18"/>
      <c r="CS534" s="18"/>
      <c r="CT534" s="18"/>
      <c r="CU534" s="18"/>
      <c r="CV534" s="18"/>
      <c r="CW534" s="18"/>
      <c r="CX534" s="18"/>
      <c r="CY534" s="18"/>
      <c r="CZ534" s="18"/>
      <c r="DA534" s="18"/>
      <c r="DB534" s="18"/>
      <c r="DC534" s="18"/>
      <c r="DD534" s="18"/>
      <c r="DE534" s="18"/>
      <c r="DF534" s="18"/>
    </row>
    <row r="535" spans="1:110">
      <c r="A535" s="168">
        <v>4</v>
      </c>
      <c r="B535" s="71"/>
      <c r="C535" s="70" t="str" cm="1">
        <f t="array" aca="1" ref="C535" ca="1">IF(OR(B535="",O535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35" s="67" t="str" cm="1">
        <f t="array" aca="1" ref="D535" ca="1">IF(OR(B535="",O535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35" s="67" t="str" cm="1">
        <f t="array" aca="1" ref="E535" ca="1">IF(OR(B535="",O535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535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35" s="67" t="str" cm="1">
        <f t="array" aca="1" ref="F535" ca="1">IF(OR(B535="",O535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535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35" s="67" t="str" cm="1">
        <f t="array" aca="1" ref="G535" ca="1">IF(OR(B535="",O535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35" s="67" t="str" cm="1">
        <f t="array" aca="1" ref="H535" ca="1">IF(OR(B535="",O535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35" s="68" t="str" cm="1">
        <f t="array" aca="1" ref="I535" ca="1">IF(OR(B535="",O535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35" s="68" t="str" cm="1">
        <f t="array" aca="1" ref="J535" ca="1">IF(OR(B535="",O535=""),"",--(SUM(_xlfn.XLOOKUP(_xlfn._xlws.FILTER(_xlfn.TOCOL(_xlfn.CHOOSECOLS(C520:L528,2,4,6,8,10),0,TRUE),_xlfn.TOCOL(_xlfn.CHOOSECOLS(C520:L528,1,3,5,7,9),0,TRUE)&lt;&gt;""),Lists!$AC$2:$AC$9,Lists!$AF$2:$AF$9,0))&gt;SUM(_xlfn.XLOOKUP(_xlfn._xlws.FILTER(_xlfn.TOCOL(_xlfn.CHOOSECOLS(C499:L507,2,4,6,8,10),0,TRUE),_xlfn.TOCOL(_xlfn.CHOOSECOLS(C499:L507,1,3,5,7,9),0,TRUE)&lt;&gt;""),Lists!$AC$2:$AC$9,Lists!$AF$2:$AF$9,0)))*--(ROW()-ROW(C531)=_xlfn.XLOOKUP(MAX(IF(O532:O537&gt;0,INT(C532:C537)*3+MOD(ROUND(C532:C537*10,0),10),-1)),IF(O532:O537&gt;0,INT(C532:C537)*3+MOD(ROUND(C532:C537*10,0),10),-1),_xlfn.SEQUENCE(ROWS(O532:O537)),,0)))</f>
        <v/>
      </c>
      <c r="K535" s="68" t="str" cm="1">
        <f t="array" aca="1" ref="K535" ca="1">IF(OR(B535="",O535=""),"",--(SUM(_xlfn.XLOOKUP(_xlfn._xlws.FILTER(_xlfn.TOCOL(_xlfn.CHOOSECOLS(C520:L528,2,4,6,8,10),0,TRUE),_xlfn.TOCOL(_xlfn.CHOOSECOLS(C520:L528,1,3,5,7,9),0,TRUE)&lt;&gt;""),Lists!$AC$2:$AC$9,Lists!$AF$2:$AF$9,0))&lt;SUM(_xlfn.XLOOKUP(_xlfn._xlws.FILTER(_xlfn.TOCOL(_xlfn.CHOOSECOLS(C499:L507,2,4,6,8,10),0,TRUE),_xlfn.TOCOL(_xlfn.CHOOSECOLS(C499:L507,1,3,5,7,9),0,TRUE)&lt;&gt;""),Lists!$AC$2:$AC$9,Lists!$AF$2:$AF$9,0)))*--(ROW()-ROW(C531)=_xlfn.XLOOKUP(MAX(IF(O532:O537&gt;0,E532:E537,-1)),IF(O532:O537&gt;0,E532:E537,-1),_xlfn.SEQUENCE(ROWS(O532:O537)),,0)))</f>
        <v/>
      </c>
      <c r="L535" s="68" t="str" cm="1">
        <f t="array" aca="1" ref="L535" ca="1">IF(OR(B535="",O535=""),"",--(SUM(_xlfn.XLOOKUP(_xlfn._xlws.FILTER(_xlfn.TOCOL(_xlfn.CHOOSECOLS(C520:L528,2,4,6,8,10),0,TRUE),_xlfn.TOCOL(_xlfn.CHOOSECOLS(C520:L528,1,3,5,7,9),0,TRUE)&lt;&gt;""),Lists!$AC$2:$AC$9,Lists!$AF$2:$AF$9,0))&gt;SUM(_xlfn.XLOOKUP(_xlfn._xlws.FILTER(_xlfn.TOCOL(_xlfn.CHOOSECOLS(C499:L507,2,4,6,8,10),0,TRUE),_xlfn.TOCOL(_xlfn.CHOOSECOLS(C499:L507,1,3,5,7,9),0,TRUE)&lt;&gt;""),Lists!$AC$2:$AC$9,Lists!$AF$2:$AF$9,0)))*--(COUNTIF(O532:O537,"&gt;0")&gt;1)*--(ROW()-ROW(C531)=_xlfn.XLOOKUP(TRUE,O532:O537&gt;0,_xlfn.SEQUENCE(ROWS(O532:O537)),,0,-1))*--(_xlfn.XLOOKUP(TRUE,O532:O537&gt;0,_xlfn.SEQUENCE(ROWS(O532:O537)),,0,-1)&lt;&gt;_xlfn.XLOOKUP(MAX(IF(O532:O537&gt;0,INT(C532:C537)*3+MOD(ROUND(C532:C537*10,0),10),-1)),IF(O532:O537&gt;0,INT(C532:C537)*3+MOD(ROUND(C532:C537*10,0),10),-1),_xlfn.SEQUENCE(ROWS(O532:O537)),,0))*--(SUM(_xlfn.XLOOKUP(_xlfn._xlws.FILTER(_xlfn.TOCOL(_xlfn.CHOOSECOLS(C520:L528,2,4,6,8,10),0,TRUE),_xlfn.TOCOL(_xlfn.CHOOSECOLS(C520:L528,1,3,5,7,9),0,TRUE)&lt;&gt;""),Lists!$AC$2:$AC$9,Lists!$AF$2:$AF$9,0))-SUM(_xlfn.XLOOKUP(_xlfn._xlws.FILTER(_xlfn.TOCOL(_xlfn.CHOOSECOLS(C499:L507,2,4,6,8,10),0,TRUE),_xlfn.TOCOL(_xlfn.CHOOSECOLS(C499:L507,1,3,5,7,9),0,TRUE)&lt;&gt;""),Lists!$AC$2:$AC$9,Lists!$AF$2:$AF$9,0))&lt;=3)*--((INT(C535)*3+MOD(ROUND(C535*10,0),10))&gt;=3))</f>
        <v/>
      </c>
      <c r="M535" s="68" t="str" cm="1">
        <f t="array" ref="M535">IF(OR(B535="",O535=""),"",--(COUNTIF(O532:O537,"&gt;0")=1)*--(SUM(_xlfn.XLOOKUP(_xlfn._xlws.FILTER(_xlfn.TOCOL(_xlfn.CHOOSECOLS(C499:L507,2,4,6,8,10),0,TRUE),_xlfn.TOCOL(_xlfn.CHOOSECOLS(C499:L507,1,3,5,7,9),0,TRUE)&lt;&gt;""),Lists!$AC$2:$AC$9,Lists!$AF$2:$AF$9,0))=0))</f>
        <v/>
      </c>
      <c r="N535" s="69" t="str">
        <f>IF(OR(B535="",O535=""),"",--(COUNTIF(O532:O537,"&gt;0")=1))</f>
        <v/>
      </c>
      <c r="O535" s="5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8"/>
      <c r="CG535" s="18"/>
      <c r="CH535" s="18"/>
      <c r="CI535" s="18"/>
      <c r="CJ535" s="18"/>
      <c r="CK535" s="18"/>
      <c r="CL535" s="18"/>
      <c r="CM535" s="18"/>
      <c r="CN535" s="18"/>
      <c r="CO535" s="18"/>
      <c r="CP535" s="18"/>
      <c r="CQ535" s="18"/>
      <c r="CR535" s="18"/>
      <c r="CS535" s="18"/>
      <c r="CT535" s="18"/>
      <c r="CU535" s="18"/>
      <c r="CV535" s="18"/>
      <c r="CW535" s="18"/>
      <c r="CX535" s="18"/>
      <c r="CY535" s="18"/>
      <c r="CZ535" s="18"/>
      <c r="DA535" s="18"/>
      <c r="DB535" s="18"/>
      <c r="DC535" s="18"/>
      <c r="DD535" s="18"/>
      <c r="DE535" s="18"/>
      <c r="DF535" s="18"/>
    </row>
    <row r="536" spans="1:110">
      <c r="A536" s="168">
        <v>5</v>
      </c>
      <c r="B536" s="71"/>
      <c r="C536" s="70" t="str" cm="1">
        <f t="array" aca="1" ref="C536" ca="1">IF(OR(B536="",O536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36" s="67" t="str" cm="1">
        <f t="array" aca="1" ref="D536" ca="1">IF(OR(B536="",O536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36" s="67" t="str" cm="1">
        <f t="array" aca="1" ref="E536" ca="1">IF(OR(B536="",O536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536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36" s="67" t="str" cm="1">
        <f t="array" aca="1" ref="F536" ca="1">IF(OR(B536="",O536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536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36" s="67" t="str" cm="1">
        <f t="array" aca="1" ref="G536" ca="1">IF(OR(B536="",O536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36" s="67" t="str" cm="1">
        <f t="array" aca="1" ref="H536" ca="1">IF(OR(B536="",O536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36" s="68" t="str" cm="1">
        <f t="array" aca="1" ref="I536" ca="1">IF(OR(B536="",O536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36" s="68" t="str" cm="1">
        <f t="array" aca="1" ref="J536" ca="1">IF(OR(B536="",O536=""),"",--(SUM(_xlfn.XLOOKUP(_xlfn._xlws.FILTER(_xlfn.TOCOL(_xlfn.CHOOSECOLS(C520:L528,2,4,6,8,10),0,TRUE),_xlfn.TOCOL(_xlfn.CHOOSECOLS(C520:L528,1,3,5,7,9),0,TRUE)&lt;&gt;""),Lists!$AC$2:$AC$9,Lists!$AF$2:$AF$9,0))&gt;SUM(_xlfn.XLOOKUP(_xlfn._xlws.FILTER(_xlfn.TOCOL(_xlfn.CHOOSECOLS(C499:L507,2,4,6,8,10),0,TRUE),_xlfn.TOCOL(_xlfn.CHOOSECOLS(C499:L507,1,3,5,7,9),0,TRUE)&lt;&gt;""),Lists!$AC$2:$AC$9,Lists!$AF$2:$AF$9,0)))*--(ROW()-ROW(C531)=_xlfn.XLOOKUP(MAX(IF(O532:O537&gt;0,INT(C532:C537)*3+MOD(ROUND(C532:C537*10,0),10),-1)),IF(O532:O537&gt;0,INT(C532:C537)*3+MOD(ROUND(C532:C537*10,0),10),-1),_xlfn.SEQUENCE(ROWS(O532:O537)),,0)))</f>
        <v/>
      </c>
      <c r="K536" s="68" t="str" cm="1">
        <f t="array" aca="1" ref="K536" ca="1">IF(OR(B536="",O536=""),"",--(SUM(_xlfn.XLOOKUP(_xlfn._xlws.FILTER(_xlfn.TOCOL(_xlfn.CHOOSECOLS(C520:L528,2,4,6,8,10),0,TRUE),_xlfn.TOCOL(_xlfn.CHOOSECOLS(C520:L528,1,3,5,7,9),0,TRUE)&lt;&gt;""),Lists!$AC$2:$AC$9,Lists!$AF$2:$AF$9,0))&lt;SUM(_xlfn.XLOOKUP(_xlfn._xlws.FILTER(_xlfn.TOCOL(_xlfn.CHOOSECOLS(C499:L507,2,4,6,8,10),0,TRUE),_xlfn.TOCOL(_xlfn.CHOOSECOLS(C499:L507,1,3,5,7,9),0,TRUE)&lt;&gt;""),Lists!$AC$2:$AC$9,Lists!$AF$2:$AF$9,0)))*--(ROW()-ROW(C531)=_xlfn.XLOOKUP(MAX(IF(O532:O537&gt;0,E532:E537,-1)),IF(O532:O537&gt;0,E532:E537,-1),_xlfn.SEQUENCE(ROWS(O532:O537)),,0)))</f>
        <v/>
      </c>
      <c r="L536" s="68" t="str" cm="1">
        <f t="array" aca="1" ref="L536" ca="1">IF(OR(B536="",O536=""),"",--(SUM(_xlfn.XLOOKUP(_xlfn._xlws.FILTER(_xlfn.TOCOL(_xlfn.CHOOSECOLS(C520:L528,2,4,6,8,10),0,TRUE),_xlfn.TOCOL(_xlfn.CHOOSECOLS(C520:L528,1,3,5,7,9),0,TRUE)&lt;&gt;""),Lists!$AC$2:$AC$9,Lists!$AF$2:$AF$9,0))&gt;SUM(_xlfn.XLOOKUP(_xlfn._xlws.FILTER(_xlfn.TOCOL(_xlfn.CHOOSECOLS(C499:L507,2,4,6,8,10),0,TRUE),_xlfn.TOCOL(_xlfn.CHOOSECOLS(C499:L507,1,3,5,7,9),0,TRUE)&lt;&gt;""),Lists!$AC$2:$AC$9,Lists!$AF$2:$AF$9,0)))*--(COUNTIF(O532:O537,"&gt;0")&gt;1)*--(ROW()-ROW(C531)=_xlfn.XLOOKUP(TRUE,O532:O537&gt;0,_xlfn.SEQUENCE(ROWS(O532:O537)),,0,-1))*--(_xlfn.XLOOKUP(TRUE,O532:O537&gt;0,_xlfn.SEQUENCE(ROWS(O532:O537)),,0,-1)&lt;&gt;_xlfn.XLOOKUP(MAX(IF(O532:O537&gt;0,INT(C532:C537)*3+MOD(ROUND(C532:C537*10,0),10),-1)),IF(O532:O537&gt;0,INT(C532:C537)*3+MOD(ROUND(C532:C537*10,0),10),-1),_xlfn.SEQUENCE(ROWS(O532:O537)),,0))*--(SUM(_xlfn.XLOOKUP(_xlfn._xlws.FILTER(_xlfn.TOCOL(_xlfn.CHOOSECOLS(C520:L528,2,4,6,8,10),0,TRUE),_xlfn.TOCOL(_xlfn.CHOOSECOLS(C520:L528,1,3,5,7,9),0,TRUE)&lt;&gt;""),Lists!$AC$2:$AC$9,Lists!$AF$2:$AF$9,0))-SUM(_xlfn.XLOOKUP(_xlfn._xlws.FILTER(_xlfn.TOCOL(_xlfn.CHOOSECOLS(C499:L507,2,4,6,8,10),0,TRUE),_xlfn.TOCOL(_xlfn.CHOOSECOLS(C499:L507,1,3,5,7,9),0,TRUE)&lt;&gt;""),Lists!$AC$2:$AC$9,Lists!$AF$2:$AF$9,0))&lt;=3)*--((INT(C536)*3+MOD(ROUND(C536*10,0),10))&gt;=3))</f>
        <v/>
      </c>
      <c r="M536" s="68" t="str" cm="1">
        <f t="array" ref="M536">IF(OR(B536="",O536=""),"",--(COUNTIF(O532:O537,"&gt;0")=1)*--(SUM(_xlfn.XLOOKUP(_xlfn._xlws.FILTER(_xlfn.TOCOL(_xlfn.CHOOSECOLS(C499:L507,2,4,6,8,10),0,TRUE),_xlfn.TOCOL(_xlfn.CHOOSECOLS(C499:L507,1,3,5,7,9),0,TRUE)&lt;&gt;""),Lists!$AC$2:$AC$9,Lists!$AF$2:$AF$9,0))=0))</f>
        <v/>
      </c>
      <c r="N536" s="69" t="str">
        <f>IF(OR(B536="",O536=""),"",--(COUNTIF(O532:O537,"&gt;0")=1))</f>
        <v/>
      </c>
      <c r="O536" s="5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  <c r="CF536" s="18"/>
      <c r="CG536" s="18"/>
      <c r="CH536" s="18"/>
      <c r="CI536" s="18"/>
      <c r="CJ536" s="18"/>
      <c r="CK536" s="18"/>
      <c r="CL536" s="18"/>
      <c r="CM536" s="18"/>
      <c r="CN536" s="18"/>
      <c r="CO536" s="18"/>
      <c r="CP536" s="18"/>
      <c r="CQ536" s="18"/>
      <c r="CR536" s="18"/>
      <c r="CS536" s="18"/>
      <c r="CT536" s="18"/>
      <c r="CU536" s="18"/>
      <c r="CV536" s="18"/>
      <c r="CW536" s="18"/>
      <c r="CX536" s="18"/>
      <c r="CY536" s="18"/>
      <c r="CZ536" s="18"/>
      <c r="DA536" s="18"/>
      <c r="DB536" s="18"/>
      <c r="DC536" s="18"/>
      <c r="DD536" s="18"/>
      <c r="DE536" s="18"/>
      <c r="DF536" s="18"/>
    </row>
    <row r="537" spans="1:110">
      <c r="A537" s="168">
        <v>6</v>
      </c>
      <c r="B537" s="71"/>
      <c r="C537" s="70" t="str" cm="1">
        <f t="array" aca="1" ref="C537" ca="1">IF(OR(B537="",O537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37" s="67" t="str" cm="1">
        <f t="array" aca="1" ref="D537" ca="1">IF(OR(B537="",O537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37" s="67" t="str" cm="1">
        <f t="array" aca="1" ref="E537" ca="1">IF(OR(B537="",O537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537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37" s="67" t="str" cm="1">
        <f t="array" aca="1" ref="F537" ca="1">IF(OR(B537="",O537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537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37" s="67" t="str" cm="1">
        <f t="array" aca="1" ref="G537" ca="1">IF(OR(B537="",O537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37" s="67" t="str" cm="1">
        <f t="array" aca="1" ref="H537" ca="1">IF(OR(B537="",O537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37" s="68" t="str" cm="1">
        <f t="array" aca="1" ref="I537" ca="1">IF(OR(B537="",O537=""),"",_xlfn.LET(_xlpm.flatPAraw,_xlfn.TOCOL(_xlfn.CHOOSECOLS(C499:L507,1,3,5,7,9),0,TRUE),_xlpm.flatPARraw,_xlfn.TOCOL(_xlfn.CHOOSECOLS(C499:L507,2,4,6,8,10),0,TRUE),_xlpm.flatPA,_xlfn._xlws.FILTER(_xlpm.flatPAraw,_xlpm.flatPAraw&lt;&gt;""),_xlpm.flatPAR,_xlfn._xlws.FILTER(_xlpm.flatPARraw,_xlpm.flatPAraw&lt;&gt;""),_xlpm.prev,IF(ROW()=ROW(C532),0,SUM(INDEX(O:O,ROW(C532)):INDEX(O:O,ROW()-1))),_xlpm.need,O537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37" s="68" t="str" cm="1">
        <f t="array" aca="1" ref="J537" ca="1">IF(OR(B537="",O537=""),"",--(SUM(_xlfn.XLOOKUP(_xlfn._xlws.FILTER(_xlfn.TOCOL(_xlfn.CHOOSECOLS(C520:L528,2,4,6,8,10),0,TRUE),_xlfn.TOCOL(_xlfn.CHOOSECOLS(C520:L528,1,3,5,7,9),0,TRUE)&lt;&gt;""),Lists!$AC$2:$AC$9,Lists!$AF$2:$AF$9,0))&gt;SUM(_xlfn.XLOOKUP(_xlfn._xlws.FILTER(_xlfn.TOCOL(_xlfn.CHOOSECOLS(C499:L507,2,4,6,8,10),0,TRUE),_xlfn.TOCOL(_xlfn.CHOOSECOLS(C499:L507,1,3,5,7,9),0,TRUE)&lt;&gt;""),Lists!$AC$2:$AC$9,Lists!$AF$2:$AF$9,0)))*--(ROW()-ROW(C531)=_xlfn.XLOOKUP(MAX(IF(O532:O537&gt;0,INT(C532:C537)*3+MOD(ROUND(C532:C537*10,0),10),-1)),IF(O532:O537&gt;0,INT(C532:C537)*3+MOD(ROUND(C532:C537*10,0),10),-1),_xlfn.SEQUENCE(ROWS(O532:O537)),,0)))</f>
        <v/>
      </c>
      <c r="K537" s="68" t="str" cm="1">
        <f t="array" aca="1" ref="K537" ca="1">IF(OR(B537="",O537=""),"",--(SUM(_xlfn.XLOOKUP(_xlfn._xlws.FILTER(_xlfn.TOCOL(_xlfn.CHOOSECOLS(C520:L528,2,4,6,8,10),0,TRUE),_xlfn.TOCOL(_xlfn.CHOOSECOLS(C520:L528,1,3,5,7,9),0,TRUE)&lt;&gt;""),Lists!$AC$2:$AC$9,Lists!$AF$2:$AF$9,0))&lt;SUM(_xlfn.XLOOKUP(_xlfn._xlws.FILTER(_xlfn.TOCOL(_xlfn.CHOOSECOLS(C499:L507,2,4,6,8,10),0,TRUE),_xlfn.TOCOL(_xlfn.CHOOSECOLS(C499:L507,1,3,5,7,9),0,TRUE)&lt;&gt;""),Lists!$AC$2:$AC$9,Lists!$AF$2:$AF$9,0)))*--(ROW()-ROW(C531)=_xlfn.XLOOKUP(MAX(IF(O532:O537&gt;0,E532:E537,-1)),IF(O532:O537&gt;0,E532:E537,-1),_xlfn.SEQUENCE(ROWS(O532:O537)),,0)))</f>
        <v/>
      </c>
      <c r="L537" s="68" t="str" cm="1">
        <f t="array" aca="1" ref="L537" ca="1">IF(OR(B537="",O537=""),"",--(SUM(_xlfn.XLOOKUP(_xlfn._xlws.FILTER(_xlfn.TOCOL(_xlfn.CHOOSECOLS(C520:L528,2,4,6,8,10),0,TRUE),_xlfn.TOCOL(_xlfn.CHOOSECOLS(C520:L528,1,3,5,7,9),0,TRUE)&lt;&gt;""),Lists!$AC$2:$AC$9,Lists!$AF$2:$AF$9,0))&gt;SUM(_xlfn.XLOOKUP(_xlfn._xlws.FILTER(_xlfn.TOCOL(_xlfn.CHOOSECOLS(C499:L507,2,4,6,8,10),0,TRUE),_xlfn.TOCOL(_xlfn.CHOOSECOLS(C499:L507,1,3,5,7,9),0,TRUE)&lt;&gt;""),Lists!$AC$2:$AC$9,Lists!$AF$2:$AF$9,0)))*--(COUNTIF(O532:O537,"&gt;0")&gt;1)*--(ROW()-ROW(C531)=_xlfn.XLOOKUP(TRUE,O532:O537&gt;0,_xlfn.SEQUENCE(ROWS(O532:O537)),,0,-1))*--(_xlfn.XLOOKUP(TRUE,O532:O537&gt;0,_xlfn.SEQUENCE(ROWS(O532:O537)),,0,-1)&lt;&gt;_xlfn.XLOOKUP(MAX(IF(O532:O537&gt;0,INT(C532:C537)*3+MOD(ROUND(C532:C537*10,0),10),-1)),IF(O532:O537&gt;0,INT(C532:C537)*3+MOD(ROUND(C532:C537*10,0),10),-1),_xlfn.SEQUENCE(ROWS(O532:O537)),,0))*--(SUM(_xlfn.XLOOKUP(_xlfn._xlws.FILTER(_xlfn.TOCOL(_xlfn.CHOOSECOLS(C520:L528,2,4,6,8,10),0,TRUE),_xlfn.TOCOL(_xlfn.CHOOSECOLS(C520:L528,1,3,5,7,9),0,TRUE)&lt;&gt;""),Lists!$AC$2:$AC$9,Lists!$AF$2:$AF$9,0))-SUM(_xlfn.XLOOKUP(_xlfn._xlws.FILTER(_xlfn.TOCOL(_xlfn.CHOOSECOLS(C499:L507,2,4,6,8,10),0,TRUE),_xlfn.TOCOL(_xlfn.CHOOSECOLS(C499:L507,1,3,5,7,9),0,TRUE)&lt;&gt;""),Lists!$AC$2:$AC$9,Lists!$AF$2:$AF$9,0))&lt;=3)*--((INT(C537)*3+MOD(ROUND(C537*10,0),10))&gt;=3))</f>
        <v/>
      </c>
      <c r="M537" s="68" t="str" cm="1">
        <f t="array" ref="M537">IF(OR(B537="",O537=""),"",--(COUNTIF(O532:O537,"&gt;0")=1)*--(SUM(_xlfn.XLOOKUP(_xlfn._xlws.FILTER(_xlfn.TOCOL(_xlfn.CHOOSECOLS(C499:L507,2,4,6,8,10),0,TRUE),_xlfn.TOCOL(_xlfn.CHOOSECOLS(C499:L507,1,3,5,7,9),0,TRUE)&lt;&gt;""),Lists!$AC$2:$AC$9,Lists!$AF$2:$AF$9,0))=0))</f>
        <v/>
      </c>
      <c r="N537" s="69" t="str">
        <f>IF(OR(B537="",O537=""),"",--(COUNTIF(O532:O537,"&gt;0")=1))</f>
        <v/>
      </c>
      <c r="O537" s="5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  <c r="CF537" s="18"/>
      <c r="CG537" s="18"/>
      <c r="CH537" s="18"/>
      <c r="CI537" s="18"/>
      <c r="CJ537" s="18"/>
      <c r="CK537" s="18"/>
      <c r="CL537" s="18"/>
      <c r="CM537" s="18"/>
      <c r="CN537" s="18"/>
      <c r="CO537" s="18"/>
      <c r="CP537" s="18"/>
      <c r="CQ537" s="18"/>
      <c r="CR537" s="18"/>
      <c r="CS537" s="18"/>
      <c r="CT537" s="18"/>
      <c r="CU537" s="18"/>
      <c r="CV537" s="18"/>
      <c r="CW537" s="18"/>
      <c r="CX537" s="18"/>
      <c r="CY537" s="18"/>
      <c r="CZ537" s="18"/>
      <c r="DA537" s="18"/>
      <c r="DB537" s="18"/>
      <c r="DC537" s="18"/>
      <c r="DD537" s="18"/>
      <c r="DE537" s="18"/>
      <c r="DF537" s="18"/>
    </row>
    <row r="538" spans="1:110">
      <c r="A538" s="173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  <c r="CD538" s="18"/>
      <c r="CE538" s="18"/>
      <c r="CF538" s="18"/>
      <c r="CG538" s="18"/>
      <c r="CH538" s="18"/>
      <c r="CI538" s="18"/>
      <c r="CJ538" s="18"/>
      <c r="CK538" s="18"/>
      <c r="CL538" s="18"/>
      <c r="CM538" s="18"/>
      <c r="CN538" s="18"/>
      <c r="CO538" s="18"/>
      <c r="CP538" s="18"/>
      <c r="CQ538" s="18"/>
      <c r="CR538" s="18"/>
      <c r="CS538" s="18"/>
      <c r="CT538" s="18"/>
      <c r="CU538" s="18"/>
      <c r="CV538" s="18"/>
      <c r="CW538" s="18"/>
      <c r="CX538" s="18"/>
      <c r="CY538" s="18"/>
      <c r="CZ538" s="18"/>
      <c r="DA538" s="18"/>
      <c r="DB538" s="18"/>
      <c r="DC538" s="18"/>
      <c r="DD538" s="18"/>
      <c r="DE538" s="18"/>
      <c r="DF538" s="18"/>
    </row>
    <row r="539" spans="1:110">
      <c r="A539" s="174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  <c r="BY539" s="18"/>
      <c r="BZ539" s="18"/>
      <c r="CA539" s="18"/>
      <c r="CB539" s="18"/>
      <c r="CC539" s="18"/>
      <c r="CD539" s="18"/>
      <c r="CE539" s="18"/>
      <c r="CF539" s="18"/>
      <c r="CG539" s="18"/>
      <c r="CH539" s="18"/>
      <c r="CI539" s="18"/>
      <c r="CJ539" s="18"/>
      <c r="CK539" s="18"/>
      <c r="CL539" s="18"/>
      <c r="CM539" s="18"/>
      <c r="CN539" s="18"/>
      <c r="CO539" s="18"/>
      <c r="CP539" s="18"/>
      <c r="CQ539" s="18"/>
      <c r="CR539" s="18"/>
      <c r="CS539" s="18"/>
      <c r="CT539" s="18"/>
      <c r="CU539" s="18"/>
      <c r="CV539" s="18"/>
      <c r="CW539" s="18"/>
      <c r="CX539" s="18"/>
      <c r="CY539" s="18"/>
      <c r="CZ539" s="18"/>
      <c r="DA539" s="18"/>
      <c r="DB539" s="18"/>
      <c r="DC539" s="18"/>
      <c r="DD539" s="18"/>
      <c r="DE539" s="18"/>
      <c r="DF539" s="18"/>
    </row>
    <row r="540" spans="1:110">
      <c r="A540" s="217" t="s">
        <v>217</v>
      </c>
      <c r="B540" s="218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9"/>
      <c r="N540" s="207"/>
      <c r="O540" s="36"/>
      <c r="P540" s="37"/>
      <c r="Q540" s="38"/>
      <c r="R540" s="38"/>
      <c r="S540" s="38"/>
      <c r="T540" s="38"/>
      <c r="U540" s="38"/>
      <c r="V540" s="38"/>
      <c r="W540" s="38"/>
      <c r="X540" s="3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  <c r="CF540" s="18"/>
      <c r="CG540" s="18"/>
      <c r="CH540" s="18"/>
      <c r="CI540" s="18"/>
      <c r="CJ540" s="18"/>
      <c r="CK540" s="18"/>
      <c r="CL540" s="18"/>
      <c r="CM540" s="18"/>
      <c r="CN540" s="18"/>
      <c r="CO540" s="18"/>
      <c r="CP540" s="18"/>
      <c r="CQ540" s="18"/>
      <c r="CR540" s="18"/>
      <c r="CS540" s="18"/>
      <c r="CT540" s="18"/>
      <c r="CU540" s="18"/>
      <c r="CV540" s="18"/>
      <c r="CW540" s="18"/>
      <c r="CX540" s="18"/>
      <c r="CY540" s="18"/>
      <c r="CZ540" s="18"/>
      <c r="DA540" s="18"/>
      <c r="DB540" s="18"/>
      <c r="DC540" s="18"/>
      <c r="DD540" s="18"/>
      <c r="DE540" s="18"/>
      <c r="DF540" s="18"/>
    </row>
    <row r="541" spans="1:110">
      <c r="A541" s="169" t="s">
        <v>33</v>
      </c>
      <c r="B541" s="40">
        <f>Settings!$B$2</f>
        <v>1</v>
      </c>
      <c r="C541" s="41"/>
      <c r="D541" s="40" t="s">
        <v>95</v>
      </c>
      <c r="E541" s="41"/>
      <c r="F541" s="40" t="str">
        <f>Bracket!$F$17</f>
        <v/>
      </c>
      <c r="G541" s="41"/>
      <c r="H541" s="40" t="s">
        <v>97</v>
      </c>
      <c r="I541" s="41"/>
      <c r="J541" s="40" t="str">
        <f>Bracket!$G$17</f>
        <v/>
      </c>
      <c r="K541" s="41"/>
      <c r="L541" s="40" t="s">
        <v>134</v>
      </c>
      <c r="M541" s="24"/>
      <c r="N541" s="24" t="str">
        <f ca="1">Bracket!$H$17</f>
        <v/>
      </c>
      <c r="O541" s="24"/>
      <c r="P541" s="18"/>
      <c r="Q541" s="18"/>
      <c r="R541" s="18" t="str">
        <f ca="1">Bracket!$I$17</f>
        <v/>
      </c>
      <c r="S541" s="18"/>
      <c r="T541" s="18"/>
      <c r="U541" s="18"/>
      <c r="V541" s="18" t="str">
        <f ca="1">Bracket!$L$17</f>
        <v/>
      </c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  <c r="CF541" s="18"/>
      <c r="CG541" s="18"/>
      <c r="CH541" s="18"/>
      <c r="CI541" s="18"/>
      <c r="CJ541" s="18"/>
      <c r="CK541" s="18"/>
      <c r="CL541" s="18"/>
      <c r="CM541" s="18"/>
      <c r="CN541" s="18"/>
      <c r="CO541" s="18"/>
      <c r="CP541" s="18"/>
      <c r="CQ541" s="18"/>
      <c r="CR541" s="18"/>
      <c r="CS541" s="18"/>
      <c r="CT541" s="18"/>
      <c r="CU541" s="18"/>
      <c r="CV541" s="18"/>
      <c r="CW541" s="18"/>
      <c r="CX541" s="18"/>
      <c r="CY541" s="18"/>
      <c r="CZ541" s="18"/>
      <c r="DA541" s="18"/>
      <c r="DB541" s="18"/>
      <c r="DC541" s="18"/>
      <c r="DD541" s="18"/>
      <c r="DE541" s="18"/>
      <c r="DF541" s="18"/>
    </row>
    <row r="542" spans="1:110">
      <c r="A542" s="170" t="s">
        <v>160</v>
      </c>
      <c r="B542" s="72">
        <v>1</v>
      </c>
      <c r="C542" s="72">
        <v>2</v>
      </c>
      <c r="D542" s="72">
        <v>3</v>
      </c>
      <c r="E542" s="72">
        <v>4</v>
      </c>
      <c r="F542" s="72">
        <v>5</v>
      </c>
      <c r="G542" s="72">
        <v>6</v>
      </c>
      <c r="H542" s="72">
        <v>7</v>
      </c>
      <c r="I542" s="73">
        <v>8</v>
      </c>
      <c r="J542" s="73">
        <v>9</v>
      </c>
      <c r="K542" s="73" t="s">
        <v>161</v>
      </c>
      <c r="L542" s="73" t="s">
        <v>162</v>
      </c>
      <c r="M542" s="74" t="s">
        <v>163</v>
      </c>
      <c r="N542" s="24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  <c r="CO542" s="18"/>
      <c r="CP542" s="18"/>
      <c r="CQ542" s="18"/>
      <c r="CR542" s="18"/>
      <c r="CS542" s="18"/>
      <c r="CT542" s="18"/>
      <c r="CU542" s="18"/>
      <c r="CV542" s="18"/>
      <c r="CW542" s="18"/>
      <c r="CX542" s="18"/>
      <c r="CY542" s="18"/>
      <c r="CZ542" s="18"/>
      <c r="DA542" s="18"/>
      <c r="DB542" s="18"/>
      <c r="DC542" s="18"/>
      <c r="DD542" s="18"/>
      <c r="DE542" s="18"/>
      <c r="DF542" s="18"/>
    </row>
    <row r="543" spans="1:110">
      <c r="A543" s="171" t="str">
        <f ca="1">N541</f>
        <v/>
      </c>
      <c r="B543" s="75" cm="1">
        <f t="array" ref="B543">IFERROR(_xlfn.LET(_xlpm.flatPAraw,_xlfn.TOCOL(_xlfn.CHOOSECOLS(C548:L556,1,3,5,7,9),0,TRUE),_xlpm.flatPARraw,_xlfn.TOCOL(_xlfn.CHOOSECOLS(C548:L556,2,4,6,8,10)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543" s="75" cm="1">
        <f t="array" ref="C543">IFERROR(_xlfn.LET(_xlpm.flatPAraw,_xlfn.TOCOL(_xlfn.CHOOSECOLS(C548:L556,1,3,5,7,9),0,TRUE),_xlpm.flatPARraw,_xlfn.TOCOL(_xlfn.CHOOSECOLS(C548:L556,2,4,6,8,10)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543" s="75" cm="1">
        <f t="array" ref="D543">IFERROR(_xlfn.LET(_xlpm.flatPAraw,_xlfn.TOCOL(_xlfn.CHOOSECOLS(C548:L556,1,3,5,7,9),0,TRUE),_xlpm.flatPARraw,_xlfn.TOCOL(_xlfn.CHOOSECOLS(C548:L556,2,4,6,8,10)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543" s="75" cm="1">
        <f t="array" ref="E543">IFERROR(_xlfn.LET(_xlpm.flatPAraw,_xlfn.TOCOL(_xlfn.CHOOSECOLS(C548:L556,1,3,5,7,9),0,TRUE),_xlpm.flatPARraw,_xlfn.TOCOL(_xlfn.CHOOSECOLS(C548:L556,2,4,6,8,10)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543" s="75" cm="1">
        <f t="array" ref="F543">IFERROR(_xlfn.LET(_xlpm.flatPAraw,_xlfn.TOCOL(_xlfn.CHOOSECOLS(C548:L556,1,3,5,7,9),0,TRUE),_xlpm.flatPARraw,_xlfn.TOCOL(_xlfn.CHOOSECOLS(C548:L556,2,4,6,8,10)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543" s="75" cm="1">
        <f t="array" ref="G543">IFERROR(_xlfn.LET(_xlpm.flatPAraw,_xlfn.TOCOL(_xlfn.CHOOSECOLS(C548:L556,1,3,5,7,9),0,TRUE),_xlpm.flatPARraw,_xlfn.TOCOL(_xlfn.CHOOSECOLS(C548:L556,2,4,6,8,10)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543" s="75" cm="1">
        <f t="array" ref="H543">IFERROR(_xlfn.LET(_xlpm.flatPAraw,_xlfn.TOCOL(_xlfn.CHOOSECOLS(C548:L556,1,3,5,7,9),0,TRUE),_xlpm.flatPARraw,_xlfn.TOCOL(_xlfn.CHOOSECOLS(C548:L556,2,4,6,8,10)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543" s="76" cm="1">
        <f t="array" ref="I543">IFERROR(_xlfn.LET(_xlpm.flatPAraw,_xlfn.TOCOL(_xlfn.CHOOSECOLS(C548:L556,1,3,5,7,9),0,TRUE),_xlpm.flatPARraw,_xlfn.TOCOL(_xlfn.CHOOSECOLS(C548:L556,2,4,6,8,10)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543" s="76" cm="1">
        <f t="array" ref="J543">IFERROR(_xlfn.LET(_xlpm.flatPAraw,_xlfn.TOCOL(_xlfn.CHOOSECOLS(C548:L556,1,3,5,7,9),0,TRUE),_xlpm.flatPARraw,_xlfn.TOCOL(_xlfn.CHOOSECOLS(C548:L556,2,4,6,8,10)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543" s="164">
        <f>SUM(B543:J543)</f>
        <v>0</v>
      </c>
      <c r="L543" s="77">
        <f ca="1">SUM(O548:O556)</f>
        <v>0</v>
      </c>
      <c r="M543" s="78">
        <f>COUNTIF(C569:L577,"ROE")</f>
        <v>0</v>
      </c>
      <c r="N543" s="24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8"/>
      <c r="CG543" s="18"/>
      <c r="CH543" s="18"/>
      <c r="CI543" s="18"/>
      <c r="CJ543" s="18"/>
      <c r="CK543" s="18"/>
      <c r="CL543" s="18"/>
      <c r="CM543" s="18"/>
      <c r="CN543" s="18"/>
      <c r="CO543" s="18"/>
      <c r="CP543" s="18"/>
      <c r="CQ543" s="18"/>
      <c r="CR543" s="18"/>
      <c r="CS543" s="18"/>
      <c r="CT543" s="18"/>
      <c r="CU543" s="18"/>
      <c r="CV543" s="18"/>
      <c r="CW543" s="18"/>
      <c r="CX543" s="18"/>
      <c r="CY543" s="18"/>
      <c r="CZ543" s="18"/>
      <c r="DA543" s="18"/>
      <c r="DB543" s="18"/>
      <c r="DC543" s="18"/>
      <c r="DD543" s="18"/>
      <c r="DE543" s="18"/>
      <c r="DF543" s="18"/>
    </row>
    <row r="544" spans="1:110">
      <c r="A544" s="172" t="str">
        <f ca="1">R541</f>
        <v/>
      </c>
      <c r="B544" s="79" cm="1">
        <f t="array" ref="B544">IFERROR(_xlfn.LET(_xlpm.flatPAraw,_xlfn.TOCOL(_xlfn.CHOOSECOLS(C569:L577,1,3,5,7,9),0,TRUE),_xlpm.flatPARraw,_xlfn.TOCOL(_xlfn.CHOOSECOLS(C569:L577,2,4,6,8,10)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544" s="79" cm="1">
        <f t="array" ref="C544">IFERROR(_xlfn.LET(_xlpm.flatPAraw,_xlfn.TOCOL(_xlfn.CHOOSECOLS(C569:L577,1,3,5,7,9),0,TRUE),_xlpm.flatPARraw,_xlfn.TOCOL(_xlfn.CHOOSECOLS(C569:L577,2,4,6,8,10)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544" s="79" cm="1">
        <f t="array" ref="D544">IFERROR(_xlfn.LET(_xlpm.flatPAraw,_xlfn.TOCOL(_xlfn.CHOOSECOLS(C569:L577,1,3,5,7,9),0,TRUE),_xlpm.flatPARraw,_xlfn.TOCOL(_xlfn.CHOOSECOLS(C569:L577,2,4,6,8,10)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544" s="79" cm="1">
        <f t="array" ref="E544">IFERROR(_xlfn.LET(_xlpm.flatPAraw,_xlfn.TOCOL(_xlfn.CHOOSECOLS(C569:L577,1,3,5,7,9),0,TRUE),_xlpm.flatPARraw,_xlfn.TOCOL(_xlfn.CHOOSECOLS(C569:L577,2,4,6,8,10)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544" s="79" cm="1">
        <f t="array" ref="F544">IFERROR(_xlfn.LET(_xlpm.flatPAraw,_xlfn.TOCOL(_xlfn.CHOOSECOLS(C569:L577,1,3,5,7,9),0,TRUE),_xlpm.flatPARraw,_xlfn.TOCOL(_xlfn.CHOOSECOLS(C569:L577,2,4,6,8,10)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544" s="79" cm="1">
        <f t="array" ref="G544">IFERROR(_xlfn.LET(_xlpm.flatPAraw,_xlfn.TOCOL(_xlfn.CHOOSECOLS(C569:L577,1,3,5,7,9),0,TRUE),_xlpm.flatPARraw,_xlfn.TOCOL(_xlfn.CHOOSECOLS(C569:L577,2,4,6,8,10)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544" s="79" cm="1">
        <f t="array" ref="H544">IFERROR(_xlfn.LET(_xlpm.flatPAraw,_xlfn.TOCOL(_xlfn.CHOOSECOLS(C569:L577,1,3,5,7,9),0,TRUE),_xlpm.flatPARraw,_xlfn.TOCOL(_xlfn.CHOOSECOLS(C569:L577,2,4,6,8,10)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544" s="80" cm="1">
        <f t="array" ref="I544">IFERROR(_xlfn.LET(_xlpm.flatPAraw,_xlfn.TOCOL(_xlfn.CHOOSECOLS(C569:L577,1,3,5,7,9),0,TRUE),_xlpm.flatPARraw,_xlfn.TOCOL(_xlfn.CHOOSECOLS(C569:L577,2,4,6,8,10)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544" s="80" cm="1">
        <f t="array" ref="J544">IFERROR(_xlfn.LET(_xlpm.flatPAraw,_xlfn.TOCOL(_xlfn.CHOOSECOLS(C569:L577,1,3,5,7,9),0,TRUE),_xlpm.flatPARraw,_xlfn.TOCOL(_xlfn.CHOOSECOLS(C569:L577,2,4,6,8,10)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544" s="165">
        <f>SUM(B544:J544)</f>
        <v>0</v>
      </c>
      <c r="L544" s="81">
        <f ca="1">SUM(O569:O577)</f>
        <v>0</v>
      </c>
      <c r="M544" s="82">
        <f>COUNTIF(C548:L556,"ROE")</f>
        <v>0</v>
      </c>
      <c r="N544" s="24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  <c r="CD544" s="18"/>
      <c r="CE544" s="18"/>
      <c r="CF544" s="18"/>
      <c r="CG544" s="18"/>
      <c r="CH544" s="18"/>
      <c r="CI544" s="18"/>
      <c r="CJ544" s="18"/>
      <c r="CK544" s="18"/>
      <c r="CL544" s="18"/>
      <c r="CM544" s="18"/>
      <c r="CN544" s="18"/>
      <c r="CO544" s="18"/>
      <c r="CP544" s="18"/>
      <c r="CQ544" s="18"/>
      <c r="CR544" s="18"/>
      <c r="CS544" s="18"/>
      <c r="CT544" s="18"/>
      <c r="CU544" s="18"/>
      <c r="CV544" s="18"/>
      <c r="CW544" s="18"/>
      <c r="CX544" s="18"/>
      <c r="CY544" s="18"/>
      <c r="CZ544" s="18"/>
      <c r="DA544" s="18"/>
      <c r="DB544" s="18"/>
      <c r="DC544" s="18"/>
      <c r="DD544" s="18"/>
      <c r="DE544" s="18"/>
      <c r="DF544" s="18"/>
    </row>
    <row r="545" spans="1:110">
      <c r="A545" s="173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8"/>
      <c r="CG545" s="18"/>
      <c r="CH545" s="18"/>
      <c r="CI545" s="18"/>
      <c r="CJ545" s="18"/>
      <c r="CK545" s="18"/>
      <c r="CL545" s="18"/>
      <c r="CM545" s="18"/>
      <c r="CN545" s="18"/>
      <c r="CO545" s="18"/>
      <c r="CP545" s="18"/>
      <c r="CQ545" s="18"/>
      <c r="CR545" s="18"/>
      <c r="CS545" s="18"/>
      <c r="CT545" s="18"/>
      <c r="CU545" s="18"/>
      <c r="CV545" s="18"/>
      <c r="CW545" s="18"/>
      <c r="CX545" s="18"/>
      <c r="CY545" s="18"/>
      <c r="CZ545" s="18"/>
      <c r="DA545" s="18"/>
      <c r="DB545" s="18"/>
      <c r="DC545" s="18"/>
      <c r="DD545" s="18"/>
      <c r="DE545" s="18"/>
      <c r="DF545" s="18"/>
    </row>
    <row r="546" spans="1:110">
      <c r="A546" s="205" t="str">
        <f ca="1">IF($N$541="","Team A Batting",$N$541&amp;" Batting")</f>
        <v>Team A Batting</v>
      </c>
      <c r="B546" s="206"/>
      <c r="C546" s="206"/>
      <c r="D546" s="206"/>
      <c r="E546" s="206"/>
      <c r="F546" s="206"/>
      <c r="G546" s="206"/>
      <c r="H546" s="206"/>
      <c r="I546" s="206"/>
      <c r="J546" s="206"/>
      <c r="K546" s="206"/>
      <c r="L546" s="206"/>
      <c r="M546" s="206"/>
      <c r="N546" s="206"/>
      <c r="O546" s="181"/>
      <c r="P546" s="182"/>
      <c r="Q546" s="182"/>
      <c r="R546" s="182"/>
      <c r="S546" s="182"/>
      <c r="T546" s="182"/>
      <c r="U546" s="182"/>
      <c r="V546" s="182"/>
      <c r="W546" s="182"/>
      <c r="X546" s="182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8"/>
      <c r="CG546" s="18"/>
      <c r="CH546" s="18"/>
      <c r="CI546" s="18"/>
      <c r="CJ546" s="18"/>
      <c r="CK546" s="18"/>
      <c r="CL546" s="18"/>
      <c r="CM546" s="18"/>
      <c r="CN546" s="18"/>
      <c r="CO546" s="18"/>
      <c r="CP546" s="18"/>
      <c r="CQ546" s="18"/>
      <c r="CR546" s="18"/>
      <c r="CS546" s="18"/>
      <c r="CT546" s="18"/>
      <c r="CU546" s="18"/>
      <c r="CV546" s="18"/>
      <c r="CW546" s="18"/>
      <c r="CX546" s="18"/>
      <c r="CY546" s="18"/>
      <c r="CZ546" s="18"/>
      <c r="DA546" s="18"/>
      <c r="DB546" s="18"/>
      <c r="DC546" s="18"/>
      <c r="DD546" s="18"/>
      <c r="DE546" s="18"/>
      <c r="DF546" s="18"/>
    </row>
    <row r="547" spans="1:110">
      <c r="A547" s="167" t="s">
        <v>164</v>
      </c>
      <c r="B547" s="43" t="s">
        <v>39</v>
      </c>
      <c r="C547" s="43" t="s">
        <v>165</v>
      </c>
      <c r="D547" s="43" t="s">
        <v>166</v>
      </c>
      <c r="E547" s="43" t="s">
        <v>167</v>
      </c>
      <c r="F547" s="43" t="s">
        <v>168</v>
      </c>
      <c r="G547" s="43" t="s">
        <v>169</v>
      </c>
      <c r="H547" s="43" t="s">
        <v>170</v>
      </c>
      <c r="I547" s="43" t="s">
        <v>171</v>
      </c>
      <c r="J547" s="43" t="s">
        <v>172</v>
      </c>
      <c r="K547" s="43" t="s">
        <v>173</v>
      </c>
      <c r="L547" s="43" t="s">
        <v>174</v>
      </c>
      <c r="M547" s="43" t="s">
        <v>175</v>
      </c>
      <c r="N547" s="44" t="s">
        <v>161</v>
      </c>
      <c r="O547" s="44" t="s">
        <v>162</v>
      </c>
      <c r="P547" s="44" t="s">
        <v>176</v>
      </c>
      <c r="Q547" s="44" t="s">
        <v>177</v>
      </c>
      <c r="R547" s="44" t="s">
        <v>178</v>
      </c>
      <c r="S547" s="44" t="s">
        <v>179</v>
      </c>
      <c r="T547" s="44" t="s">
        <v>180</v>
      </c>
      <c r="U547" s="44" t="s">
        <v>181</v>
      </c>
      <c r="V547" s="44" t="s">
        <v>182</v>
      </c>
      <c r="W547" s="44" t="s">
        <v>183</v>
      </c>
      <c r="X547" s="45" t="s">
        <v>184</v>
      </c>
      <c r="Y547" s="45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8"/>
      <c r="CG547" s="18"/>
      <c r="CH547" s="18"/>
      <c r="CI547" s="18"/>
      <c r="CJ547" s="18"/>
      <c r="CK547" s="18"/>
      <c r="CL547" s="18"/>
      <c r="CM547" s="18"/>
      <c r="CN547" s="18"/>
      <c r="CO547" s="18"/>
      <c r="CP547" s="18"/>
      <c r="CQ547" s="18"/>
      <c r="CR547" s="18"/>
      <c r="CS547" s="18"/>
      <c r="CT547" s="18"/>
      <c r="CU547" s="18"/>
      <c r="CV547" s="18"/>
      <c r="CW547" s="18"/>
      <c r="CX547" s="18"/>
      <c r="CY547" s="18"/>
      <c r="CZ547" s="18"/>
      <c r="DA547" s="18"/>
      <c r="DB547" s="18"/>
      <c r="DC547" s="18"/>
      <c r="DD547" s="18"/>
      <c r="DE547" s="18"/>
      <c r="DF547" s="18"/>
    </row>
    <row r="548" spans="1:110">
      <c r="A548" s="168">
        <v>1</v>
      </c>
      <c r="B548" s="47" t="str">
        <f ca="1">Lineups!$C$159</f>
        <v/>
      </c>
      <c r="C548" s="48"/>
      <c r="D548" s="49"/>
      <c r="E548" s="49"/>
      <c r="F548" s="49"/>
      <c r="G548" s="49"/>
      <c r="H548" s="50"/>
      <c r="I548" s="50"/>
      <c r="J548" s="50"/>
      <c r="K548" s="50"/>
      <c r="L548" s="50"/>
      <c r="M548" s="67" t="str">
        <f ca="1">IF($B548="","",SUM(_xlfn.XLOOKUP(C548,Lists!$P$2:$P$19,Lists!$R$2:$R$19,0),_xlfn.XLOOKUP(E548,Lists!$P$2:$P$19,Lists!$R$2:$R$19,0),_xlfn.XLOOKUP(G548,Lists!$P$2:$P$19,Lists!$R$2:$R$19,0),_xlfn.XLOOKUP(I548,Lists!$P$2:$P$19,Lists!$R$2:$R$19,0),_xlfn.XLOOKUP(K548,Lists!$P$2:$P$19,Lists!$R$2:$R$19,0)))</f>
        <v/>
      </c>
      <c r="N548" s="68" t="str">
        <f ca="1">IF($B548="","",SUM(_xlfn.XLOOKUP(D548,Lists!$AC$2:$AC$9,Lists!$AE$2:$AE$9,0),_xlfn.XLOOKUP(F548,Lists!$AC$2:$AC$9,Lists!$AE$2:$AE$9,0),_xlfn.XLOOKUP(H548,Lists!$AC$2:$AC$9,Lists!$AE$2:$AE$9,0),_xlfn.XLOOKUP(J548,Lists!$AC$2:$AC$9,Lists!$AE$2:$AE$9,0),_xlfn.XLOOKUP(L548,Lists!$AC$2:$AC$9,Lists!$AE$2:$AE$9,0)))</f>
        <v/>
      </c>
      <c r="O548" s="68" t="str">
        <f ca="1">IF($B548="","",SUM(_xlfn.XLOOKUP(C548,Lists!$P$2:$P$19,Lists!$S$2:$S$19,0),_xlfn.XLOOKUP(E548,Lists!$P$2:$P$19,Lists!$S$2:$S$19,0),_xlfn.XLOOKUP(G548,Lists!$P$2:$P$19,Lists!$S$2:$S$19,0),_xlfn.XLOOKUP(I548,Lists!$P$2:$P$19,Lists!$S$2:$S$19,0),_xlfn.XLOOKUP(K548,Lists!$P$2:$P$19,Lists!$S$2:$S$19,0)))</f>
        <v/>
      </c>
      <c r="P548" s="68" t="str">
        <f ca="1">IF($B548="","",SUM(_xlfn.XLOOKUP(C548,Lists!$P$2:$P$19,Lists!$T$2:$T$19,0),_xlfn.XLOOKUP(E548,Lists!$P$2:$P$19,Lists!$T$2:$T$19,0),_xlfn.XLOOKUP(G548,Lists!$P$2:$P$19,Lists!$T$2:$T$19,0),_xlfn.XLOOKUP(I548,Lists!$P$2:$P$19,Lists!$T$2:$T$19,0),_xlfn.XLOOKUP(K548,Lists!$P$2:$P$19,Lists!$T$2:$T$19,0)))</f>
        <v/>
      </c>
      <c r="Q548" s="68" t="str">
        <f ca="1">IF($B548="","",SUM(_xlfn.XLOOKUP(C548,Lists!$P$2:$P$19,Lists!$U$2:$U$19,0),_xlfn.XLOOKUP(E548,Lists!$P$2:$P$19,Lists!$U$2:$U$19,0),_xlfn.XLOOKUP(G548,Lists!$P$2:$P$19,Lists!$U$2:$U$19,0),_xlfn.XLOOKUP(I548,Lists!$P$2:$P$19,Lists!$U$2:$U$19,0),_xlfn.XLOOKUP(K548,Lists!$P$2:$P$19,Lists!$U$2:$U$19,0)))</f>
        <v/>
      </c>
      <c r="R548" s="68" t="str">
        <f ca="1">IF($B548="","",SUM(_xlfn.XLOOKUP(C548,Lists!$P$2:$P$19,Lists!$V$2:$V$19,0),_xlfn.XLOOKUP(E548,Lists!$P$2:$P$19,Lists!$V$2:$V$19,0),_xlfn.XLOOKUP(G548,Lists!$P$2:$P$19,Lists!$V$2:$V$19,0),_xlfn.XLOOKUP(I548,Lists!$P$2:$P$19,Lists!$V$2:$V$19,0),_xlfn.XLOOKUP(K548,Lists!$P$2:$P$19,Lists!$V$2:$V$19,0)))</f>
        <v/>
      </c>
      <c r="S548" s="68" t="str">
        <f ca="1">IF($B548="","",SUM(_xlfn.XLOOKUP(D548,Lists!$AC$2:$AC$9,Lists!$AD$2:$AD$9,0),_xlfn.XLOOKUP(F548,Lists!$AC$2:$AC$9,Lists!$AD$2:$AD$9,0),_xlfn.XLOOKUP(H548,Lists!$AC$2:$AC$9,Lists!$AD$2:$AD$9,0),_xlfn.XLOOKUP(J548,Lists!$AC$2:$AC$9,Lists!$AD$2:$AD$9,0),_xlfn.XLOOKUP(L548,Lists!$AC$2:$AC$9,Lists!$AD$2:$AD$9,0)))</f>
        <v/>
      </c>
      <c r="T548" s="68" t="str">
        <f ca="1">IF($B548="","",SUM(_xlfn.XLOOKUP(C548,Lists!$P$2:$P$19,Lists!$W$2:$W$19,0),_xlfn.XLOOKUP(E548,Lists!$P$2:$P$19,Lists!$W$2:$W$19,0),_xlfn.XLOOKUP(G548,Lists!$P$2:$P$19,Lists!$W$2:$W$19,0),_xlfn.XLOOKUP(I548,Lists!$P$2:$P$19,Lists!$W$2:$W$19,0),_xlfn.XLOOKUP(K548,Lists!$P$2:$P$19,Lists!$W$2:$W$19,0)))</f>
        <v/>
      </c>
      <c r="U548" s="68" t="str">
        <f ca="1">IF($B548="","",SUM(_xlfn.XLOOKUP(C548,Lists!$P$2:$P$19,Lists!$X$2:$X$19,0),_xlfn.XLOOKUP(E548,Lists!$P$2:$P$19,Lists!$X$2:$X$19,0),_xlfn.XLOOKUP(G548,Lists!$P$2:$P$19,Lists!$X$2:$X$19,0),_xlfn.XLOOKUP(I548,Lists!$P$2:$P$19,Lists!$X$2:$X$19,0),_xlfn.XLOOKUP(K548,Lists!$P$2:$P$19,Lists!$X$2:$X$19,0)))</f>
        <v/>
      </c>
      <c r="V548" s="68" t="str">
        <f ca="1">IF($B548="","",SUM(_xlfn.XLOOKUP(C548,Lists!$P$2:$P$19,Lists!$Y$2:$Y$19,0),_xlfn.XLOOKUP(E548,Lists!$P$2:$P$19,Lists!$Y$2:$Y$19,0),_xlfn.XLOOKUP(G548,Lists!$P$2:$P$19,Lists!$Y$2:$Y$19,0),_xlfn.XLOOKUP(I548,Lists!$P$2:$P$19,Lists!$Y$2:$Y$19,0),_xlfn.XLOOKUP(K548,Lists!$P$2:$P$19,Lists!$Y$2:$Y$19,0)))</f>
        <v/>
      </c>
      <c r="W548" s="68" t="str">
        <f ca="1">IF($B548="","",SUM(_xlfn.XLOOKUP(C548,Lists!$P$2:$P$19,Lists!$Z$2:$Z$19,0),_xlfn.XLOOKUP(E548,Lists!$P$2:$P$19,Lists!$Z$2:$Z$19,0),_xlfn.XLOOKUP(G548,Lists!$P$2:$P$19,Lists!$Z$2:$Z$19,0),_xlfn.XLOOKUP(I548,Lists!$P$2:$P$19,Lists!$Z$2:$Z$19,0),_xlfn.XLOOKUP(K548,Lists!$P$2:$P$19,Lists!$Z$2:$Z$19,0)))</f>
        <v/>
      </c>
      <c r="X548" s="69" t="str">
        <f ca="1">IF($B548="","",SUM(_xlfn.XLOOKUP(C548,Lists!$P$2:$P$19,Lists!$AA$2:$AA$19,0),_xlfn.XLOOKUP(E548,Lists!$P$2:$P$19,Lists!$AA$2:$AA$19,0),_xlfn.XLOOKUP(G548,Lists!$P$2:$P$19,Lists!$AA$2:$AA$19,0),_xlfn.XLOOKUP(I548,Lists!$P$2:$P$19,Lists!$AA$2:$AA$19,0),_xlfn.XLOOKUP(K548,Lists!$P$2:$P$19,Lists!$AA$2:$AA$19,0)))</f>
        <v/>
      </c>
      <c r="Y548" s="4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  <c r="CD548" s="18"/>
      <c r="CE548" s="18"/>
      <c r="CF548" s="18"/>
      <c r="CG548" s="18"/>
      <c r="CH548" s="18"/>
      <c r="CI548" s="18"/>
      <c r="CJ548" s="18"/>
      <c r="CK548" s="18"/>
      <c r="CL548" s="18"/>
      <c r="CM548" s="18"/>
      <c r="CN548" s="18"/>
      <c r="CO548" s="18"/>
      <c r="CP548" s="18"/>
      <c r="CQ548" s="18"/>
      <c r="CR548" s="18"/>
      <c r="CS548" s="18"/>
      <c r="CT548" s="18"/>
      <c r="CU548" s="18"/>
      <c r="CV548" s="18"/>
      <c r="CW548" s="18"/>
      <c r="CX548" s="18"/>
      <c r="CY548" s="18"/>
      <c r="CZ548" s="18"/>
      <c r="DA548" s="18"/>
      <c r="DB548" s="18"/>
      <c r="DC548" s="18"/>
      <c r="DD548" s="18"/>
      <c r="DE548" s="18"/>
      <c r="DF548" s="18"/>
    </row>
    <row r="549" spans="1:110">
      <c r="A549" s="168">
        <v>2</v>
      </c>
      <c r="B549" s="47" t="str">
        <f ca="1">Lineups!$C$160</f>
        <v/>
      </c>
      <c r="C549" s="49"/>
      <c r="D549" s="49"/>
      <c r="E549" s="49"/>
      <c r="F549" s="49"/>
      <c r="G549" s="49"/>
      <c r="H549" s="50"/>
      <c r="I549" s="50"/>
      <c r="J549" s="50"/>
      <c r="K549" s="50"/>
      <c r="L549" s="50"/>
      <c r="M549" s="67" t="str">
        <f ca="1">IF($B549="","",SUM(_xlfn.XLOOKUP(C549,Lists!$P$2:$P$19,Lists!$R$2:$R$19,0),_xlfn.XLOOKUP(E549,Lists!$P$2:$P$19,Lists!$R$2:$R$19,0),_xlfn.XLOOKUP(G549,Lists!$P$2:$P$19,Lists!$R$2:$R$19,0),_xlfn.XLOOKUP(I549,Lists!$P$2:$P$19,Lists!$R$2:$R$19,0),_xlfn.XLOOKUP(K549,Lists!$P$2:$P$19,Lists!$R$2:$R$19,0)))</f>
        <v/>
      </c>
      <c r="N549" s="68" t="str">
        <f ca="1">IF($B549="","",SUM(_xlfn.XLOOKUP(D549,Lists!$AC$2:$AC$9,Lists!$AE$2:$AE$9,0),_xlfn.XLOOKUP(F549,Lists!$AC$2:$AC$9,Lists!$AE$2:$AE$9,0),_xlfn.XLOOKUP(H549,Lists!$AC$2:$AC$9,Lists!$AE$2:$AE$9,0),_xlfn.XLOOKUP(J549,Lists!$AC$2:$AC$9,Lists!$AE$2:$AE$9,0),_xlfn.XLOOKUP(L549,Lists!$AC$2:$AC$9,Lists!$AE$2:$AE$9,0)))</f>
        <v/>
      </c>
      <c r="O549" s="68" t="str">
        <f ca="1">IF($B549="","",SUM(_xlfn.XLOOKUP(C549,Lists!$P$2:$P$19,Lists!$S$2:$S$19,0),_xlfn.XLOOKUP(E549,Lists!$P$2:$P$19,Lists!$S$2:$S$19,0),_xlfn.XLOOKUP(G549,Lists!$P$2:$P$19,Lists!$S$2:$S$19,0),_xlfn.XLOOKUP(I549,Lists!$P$2:$P$19,Lists!$S$2:$S$19,0),_xlfn.XLOOKUP(K549,Lists!$P$2:$P$19,Lists!$S$2:$S$19,0)))</f>
        <v/>
      </c>
      <c r="P549" s="68" t="str">
        <f ca="1">IF($B549="","",SUM(_xlfn.XLOOKUP(C549,Lists!$P$2:$P$19,Lists!$T$2:$T$19,0),_xlfn.XLOOKUP(E549,Lists!$P$2:$P$19,Lists!$T$2:$T$19,0),_xlfn.XLOOKUP(G549,Lists!$P$2:$P$19,Lists!$T$2:$T$19,0),_xlfn.XLOOKUP(I549,Lists!$P$2:$P$19,Lists!$T$2:$T$19,0),_xlfn.XLOOKUP(K549,Lists!$P$2:$P$19,Lists!$T$2:$T$19,0)))</f>
        <v/>
      </c>
      <c r="Q549" s="68" t="str">
        <f ca="1">IF($B549="","",SUM(_xlfn.XLOOKUP(C549,Lists!$P$2:$P$19,Lists!$U$2:$U$19,0),_xlfn.XLOOKUP(E549,Lists!$P$2:$P$19,Lists!$U$2:$U$19,0),_xlfn.XLOOKUP(G549,Lists!$P$2:$P$19,Lists!$U$2:$U$19,0),_xlfn.XLOOKUP(I549,Lists!$P$2:$P$19,Lists!$U$2:$U$19,0),_xlfn.XLOOKUP(K549,Lists!$P$2:$P$19,Lists!$U$2:$U$19,0)))</f>
        <v/>
      </c>
      <c r="R549" s="68" t="str">
        <f ca="1">IF($B549="","",SUM(_xlfn.XLOOKUP(C549,Lists!$P$2:$P$19,Lists!$V$2:$V$19,0),_xlfn.XLOOKUP(E549,Lists!$P$2:$P$19,Lists!$V$2:$V$19,0),_xlfn.XLOOKUP(G549,Lists!$P$2:$P$19,Lists!$V$2:$V$19,0),_xlfn.XLOOKUP(I549,Lists!$P$2:$P$19,Lists!$V$2:$V$19,0),_xlfn.XLOOKUP(K549,Lists!$P$2:$P$19,Lists!$V$2:$V$19,0)))</f>
        <v/>
      </c>
      <c r="S549" s="68" t="str">
        <f ca="1">IF($B549="","",SUM(_xlfn.XLOOKUP(D549,Lists!$AC$2:$AC$9,Lists!$AD$2:$AD$9,0),_xlfn.XLOOKUP(F549,Lists!$AC$2:$AC$9,Lists!$AD$2:$AD$9,0),_xlfn.XLOOKUP(H549,Lists!$AC$2:$AC$9,Lists!$AD$2:$AD$9,0),_xlfn.XLOOKUP(J549,Lists!$AC$2:$AC$9,Lists!$AD$2:$AD$9,0),_xlfn.XLOOKUP(L549,Lists!$AC$2:$AC$9,Lists!$AD$2:$AD$9,0)))</f>
        <v/>
      </c>
      <c r="T549" s="68" t="str">
        <f ca="1">IF($B549="","",SUM(_xlfn.XLOOKUP(C549,Lists!$P$2:$P$19,Lists!$W$2:$W$19,0),_xlfn.XLOOKUP(E549,Lists!$P$2:$P$19,Lists!$W$2:$W$19,0),_xlfn.XLOOKUP(G549,Lists!$P$2:$P$19,Lists!$W$2:$W$19,0),_xlfn.XLOOKUP(I549,Lists!$P$2:$P$19,Lists!$W$2:$W$19,0),_xlfn.XLOOKUP(K549,Lists!$P$2:$P$19,Lists!$W$2:$W$19,0)))</f>
        <v/>
      </c>
      <c r="U549" s="68" t="str">
        <f ca="1">IF($B549="","",SUM(_xlfn.XLOOKUP(C549,Lists!$P$2:$P$19,Lists!$X$2:$X$19,0),_xlfn.XLOOKUP(E549,Lists!$P$2:$P$19,Lists!$X$2:$X$19,0),_xlfn.XLOOKUP(G549,Lists!$P$2:$P$19,Lists!$X$2:$X$19,0),_xlfn.XLOOKUP(I549,Lists!$P$2:$P$19,Lists!$X$2:$X$19,0),_xlfn.XLOOKUP(K549,Lists!$P$2:$P$19,Lists!$X$2:$X$19,0)))</f>
        <v/>
      </c>
      <c r="V549" s="68" t="str">
        <f ca="1">IF($B549="","",SUM(_xlfn.XLOOKUP(C549,Lists!$P$2:$P$19,Lists!$Y$2:$Y$19,0),_xlfn.XLOOKUP(E549,Lists!$P$2:$P$19,Lists!$Y$2:$Y$19,0),_xlfn.XLOOKUP(G549,Lists!$P$2:$P$19,Lists!$Y$2:$Y$19,0),_xlfn.XLOOKUP(I549,Lists!$P$2:$P$19,Lists!$Y$2:$Y$19,0),_xlfn.XLOOKUP(K549,Lists!$P$2:$P$19,Lists!$Y$2:$Y$19,0)))</f>
        <v/>
      </c>
      <c r="W549" s="68" t="str">
        <f ca="1">IF($B549="","",SUM(_xlfn.XLOOKUP(C549,Lists!$P$2:$P$19,Lists!$Z$2:$Z$19,0),_xlfn.XLOOKUP(E549,Lists!$P$2:$P$19,Lists!$Z$2:$Z$19,0),_xlfn.XLOOKUP(G549,Lists!$P$2:$P$19,Lists!$Z$2:$Z$19,0),_xlfn.XLOOKUP(I549,Lists!$P$2:$P$19,Lists!$Z$2:$Z$19,0),_xlfn.XLOOKUP(K549,Lists!$P$2:$P$19,Lists!$Z$2:$Z$19,0)))</f>
        <v/>
      </c>
      <c r="X549" s="69" t="str">
        <f ca="1">IF($B549="","",SUM(_xlfn.XLOOKUP(C549,Lists!$P$2:$P$19,Lists!$AA$2:$AA$19,0),_xlfn.XLOOKUP(E549,Lists!$P$2:$P$19,Lists!$AA$2:$AA$19,0),_xlfn.XLOOKUP(G549,Lists!$P$2:$P$19,Lists!$AA$2:$AA$19,0),_xlfn.XLOOKUP(I549,Lists!$P$2:$P$19,Lists!$AA$2:$AA$19,0),_xlfn.XLOOKUP(K549,Lists!$P$2:$P$19,Lists!$AA$2:$AA$19,0)))</f>
        <v/>
      </c>
      <c r="Y549" s="49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  <c r="CF549" s="18"/>
      <c r="CG549" s="18"/>
      <c r="CH549" s="18"/>
      <c r="CI549" s="18"/>
      <c r="CJ549" s="18"/>
      <c r="CK549" s="18"/>
      <c r="CL549" s="18"/>
      <c r="CM549" s="18"/>
      <c r="CN549" s="18"/>
      <c r="CO549" s="18"/>
      <c r="CP549" s="18"/>
      <c r="CQ549" s="18"/>
      <c r="CR549" s="18"/>
      <c r="CS549" s="18"/>
      <c r="CT549" s="18"/>
      <c r="CU549" s="18"/>
      <c r="CV549" s="18"/>
      <c r="CW549" s="18"/>
      <c r="CX549" s="18"/>
      <c r="CY549" s="18"/>
      <c r="CZ549" s="18"/>
      <c r="DA549" s="18"/>
      <c r="DB549" s="18"/>
      <c r="DC549" s="18"/>
      <c r="DD549" s="18"/>
      <c r="DE549" s="18"/>
      <c r="DF549" s="18"/>
    </row>
    <row r="550" spans="1:110">
      <c r="A550" s="168">
        <v>3</v>
      </c>
      <c r="B550" s="47" t="str">
        <f ca="1">Lineups!$C$161</f>
        <v/>
      </c>
      <c r="C550" s="49"/>
      <c r="D550" s="49"/>
      <c r="E550" s="49"/>
      <c r="F550" s="49"/>
      <c r="G550" s="49"/>
      <c r="H550" s="50"/>
      <c r="I550" s="50"/>
      <c r="J550" s="50"/>
      <c r="K550" s="50"/>
      <c r="L550" s="50"/>
      <c r="M550" s="67" t="str">
        <f ca="1">IF($B550="","",SUM(_xlfn.XLOOKUP(C550,Lists!$P$2:$P$19,Lists!$R$2:$R$19,0),_xlfn.XLOOKUP(E550,Lists!$P$2:$P$19,Lists!$R$2:$R$19,0),_xlfn.XLOOKUP(G550,Lists!$P$2:$P$19,Lists!$R$2:$R$19,0),_xlfn.XLOOKUP(I550,Lists!$P$2:$P$19,Lists!$R$2:$R$19,0),_xlfn.XLOOKUP(K550,Lists!$P$2:$P$19,Lists!$R$2:$R$19,0)))</f>
        <v/>
      </c>
      <c r="N550" s="68" t="str">
        <f ca="1">IF($B550="","",SUM(_xlfn.XLOOKUP(D550,Lists!$AC$2:$AC$9,Lists!$AE$2:$AE$9,0),_xlfn.XLOOKUP(F550,Lists!$AC$2:$AC$9,Lists!$AE$2:$AE$9,0),_xlfn.XLOOKUP(H550,Lists!$AC$2:$AC$9,Lists!$AE$2:$AE$9,0),_xlfn.XLOOKUP(J550,Lists!$AC$2:$AC$9,Lists!$AE$2:$AE$9,0),_xlfn.XLOOKUP(L550,Lists!$AC$2:$AC$9,Lists!$AE$2:$AE$9,0)))</f>
        <v/>
      </c>
      <c r="O550" s="68" t="str">
        <f ca="1">IF($B550="","",SUM(_xlfn.XLOOKUP(C550,Lists!$P$2:$P$19,Lists!$S$2:$S$19,0),_xlfn.XLOOKUP(E550,Lists!$P$2:$P$19,Lists!$S$2:$S$19,0),_xlfn.XLOOKUP(G550,Lists!$P$2:$P$19,Lists!$S$2:$S$19,0),_xlfn.XLOOKUP(I550,Lists!$P$2:$P$19,Lists!$S$2:$S$19,0),_xlfn.XLOOKUP(K550,Lists!$P$2:$P$19,Lists!$S$2:$S$19,0)))</f>
        <v/>
      </c>
      <c r="P550" s="68" t="str">
        <f ca="1">IF($B550="","",SUM(_xlfn.XLOOKUP(C550,Lists!$P$2:$P$19,Lists!$T$2:$T$19,0),_xlfn.XLOOKUP(E550,Lists!$P$2:$P$19,Lists!$T$2:$T$19,0),_xlfn.XLOOKUP(G550,Lists!$P$2:$P$19,Lists!$T$2:$T$19,0),_xlfn.XLOOKUP(I550,Lists!$P$2:$P$19,Lists!$T$2:$T$19,0),_xlfn.XLOOKUP(K550,Lists!$P$2:$P$19,Lists!$T$2:$T$19,0)))</f>
        <v/>
      </c>
      <c r="Q550" s="68" t="str">
        <f ca="1">IF($B550="","",SUM(_xlfn.XLOOKUP(C550,Lists!$P$2:$P$19,Lists!$U$2:$U$19,0),_xlfn.XLOOKUP(E550,Lists!$P$2:$P$19,Lists!$U$2:$U$19,0),_xlfn.XLOOKUP(G550,Lists!$P$2:$P$19,Lists!$U$2:$U$19,0),_xlfn.XLOOKUP(I550,Lists!$P$2:$P$19,Lists!$U$2:$U$19,0),_xlfn.XLOOKUP(K550,Lists!$P$2:$P$19,Lists!$U$2:$U$19,0)))</f>
        <v/>
      </c>
      <c r="R550" s="68" t="str">
        <f ca="1">IF($B550="","",SUM(_xlfn.XLOOKUP(C550,Lists!$P$2:$P$19,Lists!$V$2:$V$19,0),_xlfn.XLOOKUP(E550,Lists!$P$2:$P$19,Lists!$V$2:$V$19,0),_xlfn.XLOOKUP(G550,Lists!$P$2:$P$19,Lists!$V$2:$V$19,0),_xlfn.XLOOKUP(I550,Lists!$P$2:$P$19,Lists!$V$2:$V$19,0),_xlfn.XLOOKUP(K550,Lists!$P$2:$P$19,Lists!$V$2:$V$19,0)))</f>
        <v/>
      </c>
      <c r="S550" s="68" t="str">
        <f ca="1">IF($B550="","",SUM(_xlfn.XLOOKUP(D550,Lists!$AC$2:$AC$9,Lists!$AD$2:$AD$9,0),_xlfn.XLOOKUP(F550,Lists!$AC$2:$AC$9,Lists!$AD$2:$AD$9,0),_xlfn.XLOOKUP(H550,Lists!$AC$2:$AC$9,Lists!$AD$2:$AD$9,0),_xlfn.XLOOKUP(J550,Lists!$AC$2:$AC$9,Lists!$AD$2:$AD$9,0),_xlfn.XLOOKUP(L550,Lists!$AC$2:$AC$9,Lists!$AD$2:$AD$9,0)))</f>
        <v/>
      </c>
      <c r="T550" s="68" t="str">
        <f ca="1">IF($B550="","",SUM(_xlfn.XLOOKUP(C550,Lists!$P$2:$P$19,Lists!$W$2:$W$19,0),_xlfn.XLOOKUP(E550,Lists!$P$2:$P$19,Lists!$W$2:$W$19,0),_xlfn.XLOOKUP(G550,Lists!$P$2:$P$19,Lists!$W$2:$W$19,0),_xlfn.XLOOKUP(I550,Lists!$P$2:$P$19,Lists!$W$2:$W$19,0),_xlfn.XLOOKUP(K550,Lists!$P$2:$P$19,Lists!$W$2:$W$19,0)))</f>
        <v/>
      </c>
      <c r="U550" s="68" t="str">
        <f ca="1">IF($B550="","",SUM(_xlfn.XLOOKUP(C550,Lists!$P$2:$P$19,Lists!$X$2:$X$19,0),_xlfn.XLOOKUP(E550,Lists!$P$2:$P$19,Lists!$X$2:$X$19,0),_xlfn.XLOOKUP(G550,Lists!$P$2:$P$19,Lists!$X$2:$X$19,0),_xlfn.XLOOKUP(I550,Lists!$P$2:$P$19,Lists!$X$2:$X$19,0),_xlfn.XLOOKUP(K550,Lists!$P$2:$P$19,Lists!$X$2:$X$19,0)))</f>
        <v/>
      </c>
      <c r="V550" s="68" t="str">
        <f ca="1">IF($B550="","",SUM(_xlfn.XLOOKUP(C550,Lists!$P$2:$P$19,Lists!$Y$2:$Y$19,0),_xlfn.XLOOKUP(E550,Lists!$P$2:$P$19,Lists!$Y$2:$Y$19,0),_xlfn.XLOOKUP(G550,Lists!$P$2:$P$19,Lists!$Y$2:$Y$19,0),_xlfn.XLOOKUP(I550,Lists!$P$2:$P$19,Lists!$Y$2:$Y$19,0),_xlfn.XLOOKUP(K550,Lists!$P$2:$P$19,Lists!$Y$2:$Y$19,0)))</f>
        <v/>
      </c>
      <c r="W550" s="68" t="str">
        <f ca="1">IF($B550="","",SUM(_xlfn.XLOOKUP(C550,Lists!$P$2:$P$19,Lists!$Z$2:$Z$19,0),_xlfn.XLOOKUP(E550,Lists!$P$2:$P$19,Lists!$Z$2:$Z$19,0),_xlfn.XLOOKUP(G550,Lists!$P$2:$P$19,Lists!$Z$2:$Z$19,0),_xlfn.XLOOKUP(I550,Lists!$P$2:$P$19,Lists!$Z$2:$Z$19,0),_xlfn.XLOOKUP(K550,Lists!$P$2:$P$19,Lists!$Z$2:$Z$19,0)))</f>
        <v/>
      </c>
      <c r="X550" s="69" t="str">
        <f ca="1">IF($B550="","",SUM(_xlfn.XLOOKUP(C550,Lists!$P$2:$P$19,Lists!$AA$2:$AA$19,0),_xlfn.XLOOKUP(E550,Lists!$P$2:$P$19,Lists!$AA$2:$AA$19,0),_xlfn.XLOOKUP(G550,Lists!$P$2:$P$19,Lists!$AA$2:$AA$19,0),_xlfn.XLOOKUP(I550,Lists!$P$2:$P$19,Lists!$AA$2:$AA$19,0),_xlfn.XLOOKUP(K550,Lists!$P$2:$P$19,Lists!$AA$2:$AA$19,0)))</f>
        <v/>
      </c>
      <c r="Y550" s="49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  <c r="CI550" s="18"/>
      <c r="CJ550" s="18"/>
      <c r="CK550" s="18"/>
      <c r="CL550" s="18"/>
      <c r="CM550" s="18"/>
      <c r="CN550" s="18"/>
      <c r="CO550" s="18"/>
      <c r="CP550" s="18"/>
      <c r="CQ550" s="18"/>
      <c r="CR550" s="18"/>
      <c r="CS550" s="18"/>
      <c r="CT550" s="18"/>
      <c r="CU550" s="18"/>
      <c r="CV550" s="18"/>
      <c r="CW550" s="18"/>
      <c r="CX550" s="18"/>
      <c r="CY550" s="18"/>
      <c r="CZ550" s="18"/>
      <c r="DA550" s="18"/>
      <c r="DB550" s="18"/>
      <c r="DC550" s="18"/>
      <c r="DD550" s="18"/>
      <c r="DE550" s="18"/>
      <c r="DF550" s="18"/>
    </row>
    <row r="551" spans="1:110">
      <c r="A551" s="168">
        <v>4</v>
      </c>
      <c r="B551" s="47" t="str">
        <f ca="1">Lineups!$C$162</f>
        <v/>
      </c>
      <c r="C551" s="49"/>
      <c r="D551" s="49"/>
      <c r="E551" s="49"/>
      <c r="F551" s="49"/>
      <c r="G551" s="49"/>
      <c r="H551" s="50"/>
      <c r="I551" s="50"/>
      <c r="J551" s="50"/>
      <c r="K551" s="50"/>
      <c r="L551" s="50"/>
      <c r="M551" s="67" t="str">
        <f ca="1">IF($B551="","",SUM(_xlfn.XLOOKUP(C551,Lists!$P$2:$P$19,Lists!$R$2:$R$19,0),_xlfn.XLOOKUP(E551,Lists!$P$2:$P$19,Lists!$R$2:$R$19,0),_xlfn.XLOOKUP(G551,Lists!$P$2:$P$19,Lists!$R$2:$R$19,0),_xlfn.XLOOKUP(I551,Lists!$P$2:$P$19,Lists!$R$2:$R$19,0),_xlfn.XLOOKUP(K551,Lists!$P$2:$P$19,Lists!$R$2:$R$19,0)))</f>
        <v/>
      </c>
      <c r="N551" s="68" t="str">
        <f ca="1">IF($B551="","",SUM(_xlfn.XLOOKUP(D551,Lists!$AC$2:$AC$9,Lists!$AE$2:$AE$9,0),_xlfn.XLOOKUP(F551,Lists!$AC$2:$AC$9,Lists!$AE$2:$AE$9,0),_xlfn.XLOOKUP(H551,Lists!$AC$2:$AC$9,Lists!$AE$2:$AE$9,0),_xlfn.XLOOKUP(J551,Lists!$AC$2:$AC$9,Lists!$AE$2:$AE$9,0),_xlfn.XLOOKUP(L551,Lists!$AC$2:$AC$9,Lists!$AE$2:$AE$9,0)))</f>
        <v/>
      </c>
      <c r="O551" s="68" t="str">
        <f ca="1">IF($B551="","",SUM(_xlfn.XLOOKUP(C551,Lists!$P$2:$P$19,Lists!$S$2:$S$19,0),_xlfn.XLOOKUP(E551,Lists!$P$2:$P$19,Lists!$S$2:$S$19,0),_xlfn.XLOOKUP(G551,Lists!$P$2:$P$19,Lists!$S$2:$S$19,0),_xlfn.XLOOKUP(I551,Lists!$P$2:$P$19,Lists!$S$2:$S$19,0),_xlfn.XLOOKUP(K551,Lists!$P$2:$P$19,Lists!$S$2:$S$19,0)))</f>
        <v/>
      </c>
      <c r="P551" s="68" t="str">
        <f ca="1">IF($B551="","",SUM(_xlfn.XLOOKUP(C551,Lists!$P$2:$P$19,Lists!$T$2:$T$19,0),_xlfn.XLOOKUP(E551,Lists!$P$2:$P$19,Lists!$T$2:$T$19,0),_xlfn.XLOOKUP(G551,Lists!$P$2:$P$19,Lists!$T$2:$T$19,0),_xlfn.XLOOKUP(I551,Lists!$P$2:$P$19,Lists!$T$2:$T$19,0),_xlfn.XLOOKUP(K551,Lists!$P$2:$P$19,Lists!$T$2:$T$19,0)))</f>
        <v/>
      </c>
      <c r="Q551" s="68" t="str">
        <f ca="1">IF($B551="","",SUM(_xlfn.XLOOKUP(C551,Lists!$P$2:$P$19,Lists!$U$2:$U$19,0),_xlfn.XLOOKUP(E551,Lists!$P$2:$P$19,Lists!$U$2:$U$19,0),_xlfn.XLOOKUP(G551,Lists!$P$2:$P$19,Lists!$U$2:$U$19,0),_xlfn.XLOOKUP(I551,Lists!$P$2:$P$19,Lists!$U$2:$U$19,0),_xlfn.XLOOKUP(K551,Lists!$P$2:$P$19,Lists!$U$2:$U$19,0)))</f>
        <v/>
      </c>
      <c r="R551" s="68" t="str">
        <f ca="1">IF($B551="","",SUM(_xlfn.XLOOKUP(C551,Lists!$P$2:$P$19,Lists!$V$2:$V$19,0),_xlfn.XLOOKUP(E551,Lists!$P$2:$P$19,Lists!$V$2:$V$19,0),_xlfn.XLOOKUP(G551,Lists!$P$2:$P$19,Lists!$V$2:$V$19,0),_xlfn.XLOOKUP(I551,Lists!$P$2:$P$19,Lists!$V$2:$V$19,0),_xlfn.XLOOKUP(K551,Lists!$P$2:$P$19,Lists!$V$2:$V$19,0)))</f>
        <v/>
      </c>
      <c r="S551" s="68" t="str">
        <f ca="1">IF($B551="","",SUM(_xlfn.XLOOKUP(D551,Lists!$AC$2:$AC$9,Lists!$AD$2:$AD$9,0),_xlfn.XLOOKUP(F551,Lists!$AC$2:$AC$9,Lists!$AD$2:$AD$9,0),_xlfn.XLOOKUP(H551,Lists!$AC$2:$AC$9,Lists!$AD$2:$AD$9,0),_xlfn.XLOOKUP(J551,Lists!$AC$2:$AC$9,Lists!$AD$2:$AD$9,0),_xlfn.XLOOKUP(L551,Lists!$AC$2:$AC$9,Lists!$AD$2:$AD$9,0)))</f>
        <v/>
      </c>
      <c r="T551" s="68" t="str">
        <f ca="1">IF($B551="","",SUM(_xlfn.XLOOKUP(C551,Lists!$P$2:$P$19,Lists!$W$2:$W$19,0),_xlfn.XLOOKUP(E551,Lists!$P$2:$P$19,Lists!$W$2:$W$19,0),_xlfn.XLOOKUP(G551,Lists!$P$2:$P$19,Lists!$W$2:$W$19,0),_xlfn.XLOOKUP(I551,Lists!$P$2:$P$19,Lists!$W$2:$W$19,0),_xlfn.XLOOKUP(K551,Lists!$P$2:$P$19,Lists!$W$2:$W$19,0)))</f>
        <v/>
      </c>
      <c r="U551" s="68" t="str">
        <f ca="1">IF($B551="","",SUM(_xlfn.XLOOKUP(C551,Lists!$P$2:$P$19,Lists!$X$2:$X$19,0),_xlfn.XLOOKUP(E551,Lists!$P$2:$P$19,Lists!$X$2:$X$19,0),_xlfn.XLOOKUP(G551,Lists!$P$2:$P$19,Lists!$X$2:$X$19,0),_xlfn.XLOOKUP(I551,Lists!$P$2:$P$19,Lists!$X$2:$X$19,0),_xlfn.XLOOKUP(K551,Lists!$P$2:$P$19,Lists!$X$2:$X$19,0)))</f>
        <v/>
      </c>
      <c r="V551" s="68" t="str">
        <f ca="1">IF($B551="","",SUM(_xlfn.XLOOKUP(C551,Lists!$P$2:$P$19,Lists!$Y$2:$Y$19,0),_xlfn.XLOOKUP(E551,Lists!$P$2:$P$19,Lists!$Y$2:$Y$19,0),_xlfn.XLOOKUP(G551,Lists!$P$2:$P$19,Lists!$Y$2:$Y$19,0),_xlfn.XLOOKUP(I551,Lists!$P$2:$P$19,Lists!$Y$2:$Y$19,0),_xlfn.XLOOKUP(K551,Lists!$P$2:$P$19,Lists!$Y$2:$Y$19,0)))</f>
        <v/>
      </c>
      <c r="W551" s="68" t="str">
        <f ca="1">IF($B551="","",SUM(_xlfn.XLOOKUP(C551,Lists!$P$2:$P$19,Lists!$Z$2:$Z$19,0),_xlfn.XLOOKUP(E551,Lists!$P$2:$P$19,Lists!$Z$2:$Z$19,0),_xlfn.XLOOKUP(G551,Lists!$P$2:$P$19,Lists!$Z$2:$Z$19,0),_xlfn.XLOOKUP(I551,Lists!$P$2:$P$19,Lists!$Z$2:$Z$19,0),_xlfn.XLOOKUP(K551,Lists!$P$2:$P$19,Lists!$Z$2:$Z$19,0)))</f>
        <v/>
      </c>
      <c r="X551" s="69" t="str">
        <f ca="1">IF($B551="","",SUM(_xlfn.XLOOKUP(C551,Lists!$P$2:$P$19,Lists!$AA$2:$AA$19,0),_xlfn.XLOOKUP(E551,Lists!$P$2:$P$19,Lists!$AA$2:$AA$19,0),_xlfn.XLOOKUP(G551,Lists!$P$2:$P$19,Lists!$AA$2:$AA$19,0),_xlfn.XLOOKUP(I551,Lists!$P$2:$P$19,Lists!$AA$2:$AA$19,0),_xlfn.XLOOKUP(K551,Lists!$P$2:$P$19,Lists!$AA$2:$AA$19,0)))</f>
        <v/>
      </c>
      <c r="Y551" s="49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  <c r="CF551" s="18"/>
      <c r="CG551" s="18"/>
      <c r="CH551" s="18"/>
      <c r="CI551" s="18"/>
      <c r="CJ551" s="18"/>
      <c r="CK551" s="18"/>
      <c r="CL551" s="18"/>
      <c r="CM551" s="18"/>
      <c r="CN551" s="18"/>
      <c r="CO551" s="18"/>
      <c r="CP551" s="18"/>
      <c r="CQ551" s="18"/>
      <c r="CR551" s="18"/>
      <c r="CS551" s="18"/>
      <c r="CT551" s="18"/>
      <c r="CU551" s="18"/>
      <c r="CV551" s="18"/>
      <c r="CW551" s="18"/>
      <c r="CX551" s="18"/>
      <c r="CY551" s="18"/>
      <c r="CZ551" s="18"/>
      <c r="DA551" s="18"/>
      <c r="DB551" s="18"/>
      <c r="DC551" s="18"/>
      <c r="DD551" s="18"/>
      <c r="DE551" s="18"/>
      <c r="DF551" s="18"/>
    </row>
    <row r="552" spans="1:110">
      <c r="A552" s="168">
        <v>5</v>
      </c>
      <c r="B552" s="47" t="str">
        <f ca="1">Lineups!$C$163</f>
        <v/>
      </c>
      <c r="C552" s="49"/>
      <c r="D552" s="49"/>
      <c r="E552" s="49"/>
      <c r="F552" s="49"/>
      <c r="G552" s="49"/>
      <c r="H552" s="50"/>
      <c r="I552" s="50"/>
      <c r="J552" s="50"/>
      <c r="K552" s="50"/>
      <c r="L552" s="50"/>
      <c r="M552" s="67" t="str">
        <f ca="1">IF($B552="","",SUM(_xlfn.XLOOKUP(C552,Lists!$P$2:$P$19,Lists!$R$2:$R$19,0),_xlfn.XLOOKUP(E552,Lists!$P$2:$P$19,Lists!$R$2:$R$19,0),_xlfn.XLOOKUP(G552,Lists!$P$2:$P$19,Lists!$R$2:$R$19,0),_xlfn.XLOOKUP(I552,Lists!$P$2:$P$19,Lists!$R$2:$R$19,0),_xlfn.XLOOKUP(K552,Lists!$P$2:$P$19,Lists!$R$2:$R$19,0)))</f>
        <v/>
      </c>
      <c r="N552" s="68" t="str">
        <f ca="1">IF($B552="","",SUM(_xlfn.XLOOKUP(D552,Lists!$AC$2:$AC$9,Lists!$AE$2:$AE$9,0),_xlfn.XLOOKUP(F552,Lists!$AC$2:$AC$9,Lists!$AE$2:$AE$9,0),_xlfn.XLOOKUP(H552,Lists!$AC$2:$AC$9,Lists!$AE$2:$AE$9,0),_xlfn.XLOOKUP(J552,Lists!$AC$2:$AC$9,Lists!$AE$2:$AE$9,0),_xlfn.XLOOKUP(L552,Lists!$AC$2:$AC$9,Lists!$AE$2:$AE$9,0)))</f>
        <v/>
      </c>
      <c r="O552" s="68" t="str">
        <f ca="1">IF($B552="","",SUM(_xlfn.XLOOKUP(C552,Lists!$P$2:$P$19,Lists!$S$2:$S$19,0),_xlfn.XLOOKUP(E552,Lists!$P$2:$P$19,Lists!$S$2:$S$19,0),_xlfn.XLOOKUP(G552,Lists!$P$2:$P$19,Lists!$S$2:$S$19,0),_xlfn.XLOOKUP(I552,Lists!$P$2:$P$19,Lists!$S$2:$S$19,0),_xlfn.XLOOKUP(K552,Lists!$P$2:$P$19,Lists!$S$2:$S$19,0)))</f>
        <v/>
      </c>
      <c r="P552" s="68" t="str">
        <f ca="1">IF($B552="","",SUM(_xlfn.XLOOKUP(C552,Lists!$P$2:$P$19,Lists!$T$2:$T$19,0),_xlfn.XLOOKUP(E552,Lists!$P$2:$P$19,Lists!$T$2:$T$19,0),_xlfn.XLOOKUP(G552,Lists!$P$2:$P$19,Lists!$T$2:$T$19,0),_xlfn.XLOOKUP(I552,Lists!$P$2:$P$19,Lists!$T$2:$T$19,0),_xlfn.XLOOKUP(K552,Lists!$P$2:$P$19,Lists!$T$2:$T$19,0)))</f>
        <v/>
      </c>
      <c r="Q552" s="68" t="str">
        <f ca="1">IF($B552="","",SUM(_xlfn.XLOOKUP(C552,Lists!$P$2:$P$19,Lists!$U$2:$U$19,0),_xlfn.XLOOKUP(E552,Lists!$P$2:$P$19,Lists!$U$2:$U$19,0),_xlfn.XLOOKUP(G552,Lists!$P$2:$P$19,Lists!$U$2:$U$19,0),_xlfn.XLOOKUP(I552,Lists!$P$2:$P$19,Lists!$U$2:$U$19,0),_xlfn.XLOOKUP(K552,Lists!$P$2:$P$19,Lists!$U$2:$U$19,0)))</f>
        <v/>
      </c>
      <c r="R552" s="68" t="str">
        <f ca="1">IF($B552="","",SUM(_xlfn.XLOOKUP(C552,Lists!$P$2:$P$19,Lists!$V$2:$V$19,0),_xlfn.XLOOKUP(E552,Lists!$P$2:$P$19,Lists!$V$2:$V$19,0),_xlfn.XLOOKUP(G552,Lists!$P$2:$P$19,Lists!$V$2:$V$19,0),_xlfn.XLOOKUP(I552,Lists!$P$2:$P$19,Lists!$V$2:$V$19,0),_xlfn.XLOOKUP(K552,Lists!$P$2:$P$19,Lists!$V$2:$V$19,0)))</f>
        <v/>
      </c>
      <c r="S552" s="68" t="str">
        <f ca="1">IF($B552="","",SUM(_xlfn.XLOOKUP(D552,Lists!$AC$2:$AC$9,Lists!$AD$2:$AD$9,0),_xlfn.XLOOKUP(F552,Lists!$AC$2:$AC$9,Lists!$AD$2:$AD$9,0),_xlfn.XLOOKUP(H552,Lists!$AC$2:$AC$9,Lists!$AD$2:$AD$9,0),_xlfn.XLOOKUP(J552,Lists!$AC$2:$AC$9,Lists!$AD$2:$AD$9,0),_xlfn.XLOOKUP(L552,Lists!$AC$2:$AC$9,Lists!$AD$2:$AD$9,0)))</f>
        <v/>
      </c>
      <c r="T552" s="68" t="str">
        <f ca="1">IF($B552="","",SUM(_xlfn.XLOOKUP(C552,Lists!$P$2:$P$19,Lists!$W$2:$W$19,0),_xlfn.XLOOKUP(E552,Lists!$P$2:$P$19,Lists!$W$2:$W$19,0),_xlfn.XLOOKUP(G552,Lists!$P$2:$P$19,Lists!$W$2:$W$19,0),_xlfn.XLOOKUP(I552,Lists!$P$2:$P$19,Lists!$W$2:$W$19,0),_xlfn.XLOOKUP(K552,Lists!$P$2:$P$19,Lists!$W$2:$W$19,0)))</f>
        <v/>
      </c>
      <c r="U552" s="68" t="str">
        <f ca="1">IF($B552="","",SUM(_xlfn.XLOOKUP(C552,Lists!$P$2:$P$19,Lists!$X$2:$X$19,0),_xlfn.XLOOKUP(E552,Lists!$P$2:$P$19,Lists!$X$2:$X$19,0),_xlfn.XLOOKUP(G552,Lists!$P$2:$P$19,Lists!$X$2:$X$19,0),_xlfn.XLOOKUP(I552,Lists!$P$2:$P$19,Lists!$X$2:$X$19,0),_xlfn.XLOOKUP(K552,Lists!$P$2:$P$19,Lists!$X$2:$X$19,0)))</f>
        <v/>
      </c>
      <c r="V552" s="68" t="str">
        <f ca="1">IF($B552="","",SUM(_xlfn.XLOOKUP(C552,Lists!$P$2:$P$19,Lists!$Y$2:$Y$19,0),_xlfn.XLOOKUP(E552,Lists!$P$2:$P$19,Lists!$Y$2:$Y$19,0),_xlfn.XLOOKUP(G552,Lists!$P$2:$P$19,Lists!$Y$2:$Y$19,0),_xlfn.XLOOKUP(I552,Lists!$P$2:$P$19,Lists!$Y$2:$Y$19,0),_xlfn.XLOOKUP(K552,Lists!$P$2:$P$19,Lists!$Y$2:$Y$19,0)))</f>
        <v/>
      </c>
      <c r="W552" s="68" t="str">
        <f ca="1">IF($B552="","",SUM(_xlfn.XLOOKUP(C552,Lists!$P$2:$P$19,Lists!$Z$2:$Z$19,0),_xlfn.XLOOKUP(E552,Lists!$P$2:$P$19,Lists!$Z$2:$Z$19,0),_xlfn.XLOOKUP(G552,Lists!$P$2:$P$19,Lists!$Z$2:$Z$19,0),_xlfn.XLOOKUP(I552,Lists!$P$2:$P$19,Lists!$Z$2:$Z$19,0),_xlfn.XLOOKUP(K552,Lists!$P$2:$P$19,Lists!$Z$2:$Z$19,0)))</f>
        <v/>
      </c>
      <c r="X552" s="69" t="str">
        <f ca="1">IF($B552="","",SUM(_xlfn.XLOOKUP(C552,Lists!$P$2:$P$19,Lists!$AA$2:$AA$19,0),_xlfn.XLOOKUP(E552,Lists!$P$2:$P$19,Lists!$AA$2:$AA$19,0),_xlfn.XLOOKUP(G552,Lists!$P$2:$P$19,Lists!$AA$2:$AA$19,0),_xlfn.XLOOKUP(I552,Lists!$P$2:$P$19,Lists!$AA$2:$AA$19,0),_xlfn.XLOOKUP(K552,Lists!$P$2:$P$19,Lists!$AA$2:$AA$19,0)))</f>
        <v/>
      </c>
      <c r="Y552" s="49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  <c r="CI552" s="18"/>
      <c r="CJ552" s="18"/>
      <c r="CK552" s="18"/>
      <c r="CL552" s="18"/>
      <c r="CM552" s="18"/>
      <c r="CN552" s="18"/>
      <c r="CO552" s="18"/>
      <c r="CP552" s="18"/>
      <c r="CQ552" s="18"/>
      <c r="CR552" s="18"/>
      <c r="CS552" s="18"/>
      <c r="CT552" s="18"/>
      <c r="CU552" s="18"/>
      <c r="CV552" s="18"/>
      <c r="CW552" s="18"/>
      <c r="CX552" s="18"/>
      <c r="CY552" s="18"/>
      <c r="CZ552" s="18"/>
      <c r="DA552" s="18"/>
      <c r="DB552" s="18"/>
      <c r="DC552" s="18"/>
      <c r="DD552" s="18"/>
      <c r="DE552" s="18"/>
      <c r="DF552" s="18"/>
    </row>
    <row r="553" spans="1:110">
      <c r="A553" s="168">
        <v>6</v>
      </c>
      <c r="B553" s="47" t="str">
        <f ca="1">Lineups!$C$164</f>
        <v/>
      </c>
      <c r="C553" s="49"/>
      <c r="D553" s="49"/>
      <c r="E553" s="49"/>
      <c r="F553" s="49"/>
      <c r="G553" s="49"/>
      <c r="H553" s="50"/>
      <c r="I553" s="50"/>
      <c r="J553" s="50"/>
      <c r="K553" s="50"/>
      <c r="L553" s="50"/>
      <c r="M553" s="67" t="str">
        <f ca="1">IF($B553="","",SUM(_xlfn.XLOOKUP(C553,Lists!$P$2:$P$19,Lists!$R$2:$R$19,0),_xlfn.XLOOKUP(E553,Lists!$P$2:$P$19,Lists!$R$2:$R$19,0),_xlfn.XLOOKUP(G553,Lists!$P$2:$P$19,Lists!$R$2:$R$19,0),_xlfn.XLOOKUP(I553,Lists!$P$2:$P$19,Lists!$R$2:$R$19,0),_xlfn.XLOOKUP(K553,Lists!$P$2:$P$19,Lists!$R$2:$R$19,0)))</f>
        <v/>
      </c>
      <c r="N553" s="68" t="str">
        <f ca="1">IF($B553="","",SUM(_xlfn.XLOOKUP(D553,Lists!$AC$2:$AC$9,Lists!$AE$2:$AE$9,0),_xlfn.XLOOKUP(F553,Lists!$AC$2:$AC$9,Lists!$AE$2:$AE$9,0),_xlfn.XLOOKUP(H553,Lists!$AC$2:$AC$9,Lists!$AE$2:$AE$9,0),_xlfn.XLOOKUP(J553,Lists!$AC$2:$AC$9,Lists!$AE$2:$AE$9,0),_xlfn.XLOOKUP(L553,Lists!$AC$2:$AC$9,Lists!$AE$2:$AE$9,0)))</f>
        <v/>
      </c>
      <c r="O553" s="68" t="str">
        <f ca="1">IF($B553="","",SUM(_xlfn.XLOOKUP(C553,Lists!$P$2:$P$19,Lists!$S$2:$S$19,0),_xlfn.XLOOKUP(E553,Lists!$P$2:$P$19,Lists!$S$2:$S$19,0),_xlfn.XLOOKUP(G553,Lists!$P$2:$P$19,Lists!$S$2:$S$19,0),_xlfn.XLOOKUP(I553,Lists!$P$2:$P$19,Lists!$S$2:$S$19,0),_xlfn.XLOOKUP(K553,Lists!$P$2:$P$19,Lists!$S$2:$S$19,0)))</f>
        <v/>
      </c>
      <c r="P553" s="68" t="str">
        <f ca="1">IF($B553="","",SUM(_xlfn.XLOOKUP(C553,Lists!$P$2:$P$19,Lists!$T$2:$T$19,0),_xlfn.XLOOKUP(E553,Lists!$P$2:$P$19,Lists!$T$2:$T$19,0),_xlfn.XLOOKUP(G553,Lists!$P$2:$P$19,Lists!$T$2:$T$19,0),_xlfn.XLOOKUP(I553,Lists!$P$2:$P$19,Lists!$T$2:$T$19,0),_xlfn.XLOOKUP(K553,Lists!$P$2:$P$19,Lists!$T$2:$T$19,0)))</f>
        <v/>
      </c>
      <c r="Q553" s="68" t="str">
        <f ca="1">IF($B553="","",SUM(_xlfn.XLOOKUP(C553,Lists!$P$2:$P$19,Lists!$U$2:$U$19,0),_xlfn.XLOOKUP(E553,Lists!$P$2:$P$19,Lists!$U$2:$U$19,0),_xlfn.XLOOKUP(G553,Lists!$P$2:$P$19,Lists!$U$2:$U$19,0),_xlfn.XLOOKUP(I553,Lists!$P$2:$P$19,Lists!$U$2:$U$19,0),_xlfn.XLOOKUP(K553,Lists!$P$2:$P$19,Lists!$U$2:$U$19,0)))</f>
        <v/>
      </c>
      <c r="R553" s="68" t="str">
        <f ca="1">IF($B553="","",SUM(_xlfn.XLOOKUP(C553,Lists!$P$2:$P$19,Lists!$V$2:$V$19,0),_xlfn.XLOOKUP(E553,Lists!$P$2:$P$19,Lists!$V$2:$V$19,0),_xlfn.XLOOKUP(G553,Lists!$P$2:$P$19,Lists!$V$2:$V$19,0),_xlfn.XLOOKUP(I553,Lists!$P$2:$P$19,Lists!$V$2:$V$19,0),_xlfn.XLOOKUP(K553,Lists!$P$2:$P$19,Lists!$V$2:$V$19,0)))</f>
        <v/>
      </c>
      <c r="S553" s="68" t="str">
        <f ca="1">IF($B553="","",SUM(_xlfn.XLOOKUP(D553,Lists!$AC$2:$AC$9,Lists!$AD$2:$AD$9,0),_xlfn.XLOOKUP(F553,Lists!$AC$2:$AC$9,Lists!$AD$2:$AD$9,0),_xlfn.XLOOKUP(H553,Lists!$AC$2:$AC$9,Lists!$AD$2:$AD$9,0),_xlfn.XLOOKUP(J553,Lists!$AC$2:$AC$9,Lists!$AD$2:$AD$9,0),_xlfn.XLOOKUP(L553,Lists!$AC$2:$AC$9,Lists!$AD$2:$AD$9,0)))</f>
        <v/>
      </c>
      <c r="T553" s="68" t="str">
        <f ca="1">IF($B553="","",SUM(_xlfn.XLOOKUP(C553,Lists!$P$2:$P$19,Lists!$W$2:$W$19,0),_xlfn.XLOOKUP(E553,Lists!$P$2:$P$19,Lists!$W$2:$W$19,0),_xlfn.XLOOKUP(G553,Lists!$P$2:$P$19,Lists!$W$2:$W$19,0),_xlfn.XLOOKUP(I553,Lists!$P$2:$P$19,Lists!$W$2:$W$19,0),_xlfn.XLOOKUP(K553,Lists!$P$2:$P$19,Lists!$W$2:$W$19,0)))</f>
        <v/>
      </c>
      <c r="U553" s="68" t="str">
        <f ca="1">IF($B553="","",SUM(_xlfn.XLOOKUP(C553,Lists!$P$2:$P$19,Lists!$X$2:$X$19,0),_xlfn.XLOOKUP(E553,Lists!$P$2:$P$19,Lists!$X$2:$X$19,0),_xlfn.XLOOKUP(G553,Lists!$P$2:$P$19,Lists!$X$2:$X$19,0),_xlfn.XLOOKUP(I553,Lists!$P$2:$P$19,Lists!$X$2:$X$19,0),_xlfn.XLOOKUP(K553,Lists!$P$2:$P$19,Lists!$X$2:$X$19,0)))</f>
        <v/>
      </c>
      <c r="V553" s="68" t="str">
        <f ca="1">IF($B553="","",SUM(_xlfn.XLOOKUP(C553,Lists!$P$2:$P$19,Lists!$Y$2:$Y$19,0),_xlfn.XLOOKUP(E553,Lists!$P$2:$P$19,Lists!$Y$2:$Y$19,0),_xlfn.XLOOKUP(G553,Lists!$P$2:$P$19,Lists!$Y$2:$Y$19,0),_xlfn.XLOOKUP(I553,Lists!$P$2:$P$19,Lists!$Y$2:$Y$19,0),_xlfn.XLOOKUP(K553,Lists!$P$2:$P$19,Lists!$Y$2:$Y$19,0)))</f>
        <v/>
      </c>
      <c r="W553" s="68" t="str">
        <f ca="1">IF($B553="","",SUM(_xlfn.XLOOKUP(C553,Lists!$P$2:$P$19,Lists!$Z$2:$Z$19,0),_xlfn.XLOOKUP(E553,Lists!$P$2:$P$19,Lists!$Z$2:$Z$19,0),_xlfn.XLOOKUP(G553,Lists!$P$2:$P$19,Lists!$Z$2:$Z$19,0),_xlfn.XLOOKUP(I553,Lists!$P$2:$P$19,Lists!$Z$2:$Z$19,0),_xlfn.XLOOKUP(K553,Lists!$P$2:$P$19,Lists!$Z$2:$Z$19,0)))</f>
        <v/>
      </c>
      <c r="X553" s="69" t="str">
        <f ca="1">IF($B553="","",SUM(_xlfn.XLOOKUP(C553,Lists!$P$2:$P$19,Lists!$AA$2:$AA$19,0),_xlfn.XLOOKUP(E553,Lists!$P$2:$P$19,Lists!$AA$2:$AA$19,0),_xlfn.XLOOKUP(G553,Lists!$P$2:$P$19,Lists!$AA$2:$AA$19,0),_xlfn.XLOOKUP(I553,Lists!$P$2:$P$19,Lists!$AA$2:$AA$19,0),_xlfn.XLOOKUP(K553,Lists!$P$2:$P$19,Lists!$AA$2:$AA$19,0)))</f>
        <v/>
      </c>
      <c r="Y553" s="49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  <c r="CF553" s="18"/>
      <c r="CG553" s="18"/>
      <c r="CH553" s="18"/>
      <c r="CI553" s="18"/>
      <c r="CJ553" s="18"/>
      <c r="CK553" s="18"/>
      <c r="CL553" s="18"/>
      <c r="CM553" s="18"/>
      <c r="CN553" s="18"/>
      <c r="CO553" s="18"/>
      <c r="CP553" s="18"/>
      <c r="CQ553" s="18"/>
      <c r="CR553" s="18"/>
      <c r="CS553" s="18"/>
      <c r="CT553" s="18"/>
      <c r="CU553" s="18"/>
      <c r="CV553" s="18"/>
      <c r="CW553" s="18"/>
      <c r="CX553" s="18"/>
      <c r="CY553" s="18"/>
      <c r="CZ553" s="18"/>
      <c r="DA553" s="18"/>
      <c r="DB553" s="18"/>
      <c r="DC553" s="18"/>
      <c r="DD553" s="18"/>
      <c r="DE553" s="18"/>
      <c r="DF553" s="18"/>
    </row>
    <row r="554" spans="1:110">
      <c r="A554" s="168">
        <v>7</v>
      </c>
      <c r="B554" s="47" t="str">
        <f ca="1">Lineups!$C$165</f>
        <v/>
      </c>
      <c r="C554" s="49"/>
      <c r="D554" s="49"/>
      <c r="E554" s="49"/>
      <c r="F554" s="49"/>
      <c r="G554" s="49"/>
      <c r="H554" s="50"/>
      <c r="I554" s="50"/>
      <c r="J554" s="50"/>
      <c r="K554" s="50"/>
      <c r="L554" s="50"/>
      <c r="M554" s="67" t="str">
        <f ca="1">IF($B554="","",SUM(_xlfn.XLOOKUP(C554,Lists!$P$2:$P$19,Lists!$R$2:$R$19,0),_xlfn.XLOOKUP(E554,Lists!$P$2:$P$19,Lists!$R$2:$R$19,0),_xlfn.XLOOKUP(G554,Lists!$P$2:$P$19,Lists!$R$2:$R$19,0),_xlfn.XLOOKUP(I554,Lists!$P$2:$P$19,Lists!$R$2:$R$19,0),_xlfn.XLOOKUP(K554,Lists!$P$2:$P$19,Lists!$R$2:$R$19,0)))</f>
        <v/>
      </c>
      <c r="N554" s="68" t="str">
        <f ca="1">IF($B554="","",SUM(_xlfn.XLOOKUP(D554,Lists!$AC$2:$AC$9,Lists!$AE$2:$AE$9,0),_xlfn.XLOOKUP(F554,Lists!$AC$2:$AC$9,Lists!$AE$2:$AE$9,0),_xlfn.XLOOKUP(H554,Lists!$AC$2:$AC$9,Lists!$AE$2:$AE$9,0),_xlfn.XLOOKUP(J554,Lists!$AC$2:$AC$9,Lists!$AE$2:$AE$9,0),_xlfn.XLOOKUP(L554,Lists!$AC$2:$AC$9,Lists!$AE$2:$AE$9,0)))</f>
        <v/>
      </c>
      <c r="O554" s="68" t="str">
        <f ca="1">IF($B554="","",SUM(_xlfn.XLOOKUP(C554,Lists!$P$2:$P$19,Lists!$S$2:$S$19,0),_xlfn.XLOOKUP(E554,Lists!$P$2:$P$19,Lists!$S$2:$S$19,0),_xlfn.XLOOKUP(G554,Lists!$P$2:$P$19,Lists!$S$2:$S$19,0),_xlfn.XLOOKUP(I554,Lists!$P$2:$P$19,Lists!$S$2:$S$19,0),_xlfn.XLOOKUP(K554,Lists!$P$2:$P$19,Lists!$S$2:$S$19,0)))</f>
        <v/>
      </c>
      <c r="P554" s="68" t="str">
        <f ca="1">IF($B554="","",SUM(_xlfn.XLOOKUP(C554,Lists!$P$2:$P$19,Lists!$T$2:$T$19,0),_xlfn.XLOOKUP(E554,Lists!$P$2:$P$19,Lists!$T$2:$T$19,0),_xlfn.XLOOKUP(G554,Lists!$P$2:$P$19,Lists!$T$2:$T$19,0),_xlfn.XLOOKUP(I554,Lists!$P$2:$P$19,Lists!$T$2:$T$19,0),_xlfn.XLOOKUP(K554,Lists!$P$2:$P$19,Lists!$T$2:$T$19,0)))</f>
        <v/>
      </c>
      <c r="Q554" s="68" t="str">
        <f ca="1">IF($B554="","",SUM(_xlfn.XLOOKUP(C554,Lists!$P$2:$P$19,Lists!$U$2:$U$19,0),_xlfn.XLOOKUP(E554,Lists!$P$2:$P$19,Lists!$U$2:$U$19,0),_xlfn.XLOOKUP(G554,Lists!$P$2:$P$19,Lists!$U$2:$U$19,0),_xlfn.XLOOKUP(I554,Lists!$P$2:$P$19,Lists!$U$2:$U$19,0),_xlfn.XLOOKUP(K554,Lists!$P$2:$P$19,Lists!$U$2:$U$19,0)))</f>
        <v/>
      </c>
      <c r="R554" s="68" t="str">
        <f ca="1">IF($B554="","",SUM(_xlfn.XLOOKUP(C554,Lists!$P$2:$P$19,Lists!$V$2:$V$19,0),_xlfn.XLOOKUP(E554,Lists!$P$2:$P$19,Lists!$V$2:$V$19,0),_xlfn.XLOOKUP(G554,Lists!$P$2:$P$19,Lists!$V$2:$V$19,0),_xlfn.XLOOKUP(I554,Lists!$P$2:$P$19,Lists!$V$2:$V$19,0),_xlfn.XLOOKUP(K554,Lists!$P$2:$P$19,Lists!$V$2:$V$19,0)))</f>
        <v/>
      </c>
      <c r="S554" s="68" t="str">
        <f ca="1">IF($B554="","",SUM(_xlfn.XLOOKUP(D554,Lists!$AC$2:$AC$9,Lists!$AD$2:$AD$9,0),_xlfn.XLOOKUP(F554,Lists!$AC$2:$AC$9,Lists!$AD$2:$AD$9,0),_xlfn.XLOOKUP(H554,Lists!$AC$2:$AC$9,Lists!$AD$2:$AD$9,0),_xlfn.XLOOKUP(J554,Lists!$AC$2:$AC$9,Lists!$AD$2:$AD$9,0),_xlfn.XLOOKUP(L554,Lists!$AC$2:$AC$9,Lists!$AD$2:$AD$9,0)))</f>
        <v/>
      </c>
      <c r="T554" s="68" t="str">
        <f ca="1">IF($B554="","",SUM(_xlfn.XLOOKUP(C554,Lists!$P$2:$P$19,Lists!$W$2:$W$19,0),_xlfn.XLOOKUP(E554,Lists!$P$2:$P$19,Lists!$W$2:$W$19,0),_xlfn.XLOOKUP(G554,Lists!$P$2:$P$19,Lists!$W$2:$W$19,0),_xlfn.XLOOKUP(I554,Lists!$P$2:$P$19,Lists!$W$2:$W$19,0),_xlfn.XLOOKUP(K554,Lists!$P$2:$P$19,Lists!$W$2:$W$19,0)))</f>
        <v/>
      </c>
      <c r="U554" s="68" t="str">
        <f ca="1">IF($B554="","",SUM(_xlfn.XLOOKUP(C554,Lists!$P$2:$P$19,Lists!$X$2:$X$19,0),_xlfn.XLOOKUP(E554,Lists!$P$2:$P$19,Lists!$X$2:$X$19,0),_xlfn.XLOOKUP(G554,Lists!$P$2:$P$19,Lists!$X$2:$X$19,0),_xlfn.XLOOKUP(I554,Lists!$P$2:$P$19,Lists!$X$2:$X$19,0),_xlfn.XLOOKUP(K554,Lists!$P$2:$P$19,Lists!$X$2:$X$19,0)))</f>
        <v/>
      </c>
      <c r="V554" s="68" t="str">
        <f ca="1">IF($B554="","",SUM(_xlfn.XLOOKUP(C554,Lists!$P$2:$P$19,Lists!$Y$2:$Y$19,0),_xlfn.XLOOKUP(E554,Lists!$P$2:$P$19,Lists!$Y$2:$Y$19,0),_xlfn.XLOOKUP(G554,Lists!$P$2:$P$19,Lists!$Y$2:$Y$19,0),_xlfn.XLOOKUP(I554,Lists!$P$2:$P$19,Lists!$Y$2:$Y$19,0),_xlfn.XLOOKUP(K554,Lists!$P$2:$P$19,Lists!$Y$2:$Y$19,0)))</f>
        <v/>
      </c>
      <c r="W554" s="68" t="str">
        <f ca="1">IF($B554="","",SUM(_xlfn.XLOOKUP(C554,Lists!$P$2:$P$19,Lists!$Z$2:$Z$19,0),_xlfn.XLOOKUP(E554,Lists!$P$2:$P$19,Lists!$Z$2:$Z$19,0),_xlfn.XLOOKUP(G554,Lists!$P$2:$P$19,Lists!$Z$2:$Z$19,0),_xlfn.XLOOKUP(I554,Lists!$P$2:$P$19,Lists!$Z$2:$Z$19,0),_xlfn.XLOOKUP(K554,Lists!$P$2:$P$19,Lists!$Z$2:$Z$19,0)))</f>
        <v/>
      </c>
      <c r="X554" s="69" t="str">
        <f ca="1">IF($B554="","",SUM(_xlfn.XLOOKUP(C554,Lists!$P$2:$P$19,Lists!$AA$2:$AA$19,0),_xlfn.XLOOKUP(E554,Lists!$P$2:$P$19,Lists!$AA$2:$AA$19,0),_xlfn.XLOOKUP(G554,Lists!$P$2:$P$19,Lists!$AA$2:$AA$19,0),_xlfn.XLOOKUP(I554,Lists!$P$2:$P$19,Lists!$AA$2:$AA$19,0),_xlfn.XLOOKUP(K554,Lists!$P$2:$P$19,Lists!$AA$2:$AA$19,0)))</f>
        <v/>
      </c>
      <c r="Y554" s="49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  <c r="CD554" s="18"/>
      <c r="CE554" s="18"/>
      <c r="CF554" s="18"/>
      <c r="CG554" s="18"/>
      <c r="CH554" s="18"/>
      <c r="CI554" s="18"/>
      <c r="CJ554" s="18"/>
      <c r="CK554" s="18"/>
      <c r="CL554" s="18"/>
      <c r="CM554" s="18"/>
      <c r="CN554" s="18"/>
      <c r="CO554" s="18"/>
      <c r="CP554" s="18"/>
      <c r="CQ554" s="18"/>
      <c r="CR554" s="18"/>
      <c r="CS554" s="18"/>
      <c r="CT554" s="18"/>
      <c r="CU554" s="18"/>
      <c r="CV554" s="18"/>
      <c r="CW554" s="18"/>
      <c r="CX554" s="18"/>
      <c r="CY554" s="18"/>
      <c r="CZ554" s="18"/>
      <c r="DA554" s="18"/>
      <c r="DB554" s="18"/>
      <c r="DC554" s="18"/>
      <c r="DD554" s="18"/>
      <c r="DE554" s="18"/>
      <c r="DF554" s="18"/>
    </row>
    <row r="555" spans="1:110">
      <c r="A555" s="168">
        <v>8</v>
      </c>
      <c r="B555" s="47" t="str">
        <f ca="1">Lineups!$C$166</f>
        <v/>
      </c>
      <c r="C555" s="49"/>
      <c r="D555" s="49"/>
      <c r="E555" s="49"/>
      <c r="F555" s="49"/>
      <c r="G555" s="49"/>
      <c r="H555" s="50"/>
      <c r="I555" s="50"/>
      <c r="J555" s="50"/>
      <c r="K555" s="50"/>
      <c r="L555" s="50"/>
      <c r="M555" s="67" t="str">
        <f ca="1">IF($B555="","",SUM(_xlfn.XLOOKUP(C555,Lists!$P$2:$P$19,Lists!$R$2:$R$19,0),_xlfn.XLOOKUP(E555,Lists!$P$2:$P$19,Lists!$R$2:$R$19,0),_xlfn.XLOOKUP(G555,Lists!$P$2:$P$19,Lists!$R$2:$R$19,0),_xlfn.XLOOKUP(I555,Lists!$P$2:$P$19,Lists!$R$2:$R$19,0),_xlfn.XLOOKUP(K555,Lists!$P$2:$P$19,Lists!$R$2:$R$19,0)))</f>
        <v/>
      </c>
      <c r="N555" s="68" t="str">
        <f ca="1">IF($B555="","",SUM(_xlfn.XLOOKUP(D555,Lists!$AC$2:$AC$9,Lists!$AE$2:$AE$9,0),_xlfn.XLOOKUP(F555,Lists!$AC$2:$AC$9,Lists!$AE$2:$AE$9,0),_xlfn.XLOOKUP(H555,Lists!$AC$2:$AC$9,Lists!$AE$2:$AE$9,0),_xlfn.XLOOKUP(J555,Lists!$AC$2:$AC$9,Lists!$AE$2:$AE$9,0),_xlfn.XLOOKUP(L555,Lists!$AC$2:$AC$9,Lists!$AE$2:$AE$9,0)))</f>
        <v/>
      </c>
      <c r="O555" s="68" t="str">
        <f ca="1">IF($B555="","",SUM(_xlfn.XLOOKUP(C555,Lists!$P$2:$P$19,Lists!$S$2:$S$19,0),_xlfn.XLOOKUP(E555,Lists!$P$2:$P$19,Lists!$S$2:$S$19,0),_xlfn.XLOOKUP(G555,Lists!$P$2:$P$19,Lists!$S$2:$S$19,0),_xlfn.XLOOKUP(I555,Lists!$P$2:$P$19,Lists!$S$2:$S$19,0),_xlfn.XLOOKUP(K555,Lists!$P$2:$P$19,Lists!$S$2:$S$19,0)))</f>
        <v/>
      </c>
      <c r="P555" s="68" t="str">
        <f ca="1">IF($B555="","",SUM(_xlfn.XLOOKUP(C555,Lists!$P$2:$P$19,Lists!$T$2:$T$19,0),_xlfn.XLOOKUP(E555,Lists!$P$2:$P$19,Lists!$T$2:$T$19,0),_xlfn.XLOOKUP(G555,Lists!$P$2:$P$19,Lists!$T$2:$T$19,0),_xlfn.XLOOKUP(I555,Lists!$P$2:$P$19,Lists!$T$2:$T$19,0),_xlfn.XLOOKUP(K555,Lists!$P$2:$P$19,Lists!$T$2:$T$19,0)))</f>
        <v/>
      </c>
      <c r="Q555" s="68" t="str">
        <f ca="1">IF($B555="","",SUM(_xlfn.XLOOKUP(C555,Lists!$P$2:$P$19,Lists!$U$2:$U$19,0),_xlfn.XLOOKUP(E555,Lists!$P$2:$P$19,Lists!$U$2:$U$19,0),_xlfn.XLOOKUP(G555,Lists!$P$2:$P$19,Lists!$U$2:$U$19,0),_xlfn.XLOOKUP(I555,Lists!$P$2:$P$19,Lists!$U$2:$U$19,0),_xlfn.XLOOKUP(K555,Lists!$P$2:$P$19,Lists!$U$2:$U$19,0)))</f>
        <v/>
      </c>
      <c r="R555" s="68" t="str">
        <f ca="1">IF($B555="","",SUM(_xlfn.XLOOKUP(C555,Lists!$P$2:$P$19,Lists!$V$2:$V$19,0),_xlfn.XLOOKUP(E555,Lists!$P$2:$P$19,Lists!$V$2:$V$19,0),_xlfn.XLOOKUP(G555,Lists!$P$2:$P$19,Lists!$V$2:$V$19,0),_xlfn.XLOOKUP(I555,Lists!$P$2:$P$19,Lists!$V$2:$V$19,0),_xlfn.XLOOKUP(K555,Lists!$P$2:$P$19,Lists!$V$2:$V$19,0)))</f>
        <v/>
      </c>
      <c r="S555" s="68" t="str">
        <f ca="1">IF($B555="","",SUM(_xlfn.XLOOKUP(D555,Lists!$AC$2:$AC$9,Lists!$AD$2:$AD$9,0),_xlfn.XLOOKUP(F555,Lists!$AC$2:$AC$9,Lists!$AD$2:$AD$9,0),_xlfn.XLOOKUP(H555,Lists!$AC$2:$AC$9,Lists!$AD$2:$AD$9,0),_xlfn.XLOOKUP(J555,Lists!$AC$2:$AC$9,Lists!$AD$2:$AD$9,0),_xlfn.XLOOKUP(L555,Lists!$AC$2:$AC$9,Lists!$AD$2:$AD$9,0)))</f>
        <v/>
      </c>
      <c r="T555" s="68" t="str">
        <f ca="1">IF($B555="","",SUM(_xlfn.XLOOKUP(C555,Lists!$P$2:$P$19,Lists!$W$2:$W$19,0),_xlfn.XLOOKUP(E555,Lists!$P$2:$P$19,Lists!$W$2:$W$19,0),_xlfn.XLOOKUP(G555,Lists!$P$2:$P$19,Lists!$W$2:$W$19,0),_xlfn.XLOOKUP(I555,Lists!$P$2:$P$19,Lists!$W$2:$W$19,0),_xlfn.XLOOKUP(K555,Lists!$P$2:$P$19,Lists!$W$2:$W$19,0)))</f>
        <v/>
      </c>
      <c r="U555" s="68" t="str">
        <f ca="1">IF($B555="","",SUM(_xlfn.XLOOKUP(C555,Lists!$P$2:$P$19,Lists!$X$2:$X$19,0),_xlfn.XLOOKUP(E555,Lists!$P$2:$P$19,Lists!$X$2:$X$19,0),_xlfn.XLOOKUP(G555,Lists!$P$2:$P$19,Lists!$X$2:$X$19,0),_xlfn.XLOOKUP(I555,Lists!$P$2:$P$19,Lists!$X$2:$X$19,0),_xlfn.XLOOKUP(K555,Lists!$P$2:$P$19,Lists!$X$2:$X$19,0)))</f>
        <v/>
      </c>
      <c r="V555" s="68" t="str">
        <f ca="1">IF($B555="","",SUM(_xlfn.XLOOKUP(C555,Lists!$P$2:$P$19,Lists!$Y$2:$Y$19,0),_xlfn.XLOOKUP(E555,Lists!$P$2:$P$19,Lists!$Y$2:$Y$19,0),_xlfn.XLOOKUP(G555,Lists!$P$2:$P$19,Lists!$Y$2:$Y$19,0),_xlfn.XLOOKUP(I555,Lists!$P$2:$P$19,Lists!$Y$2:$Y$19,0),_xlfn.XLOOKUP(K555,Lists!$P$2:$P$19,Lists!$Y$2:$Y$19,0)))</f>
        <v/>
      </c>
      <c r="W555" s="68" t="str">
        <f ca="1">IF($B555="","",SUM(_xlfn.XLOOKUP(C555,Lists!$P$2:$P$19,Lists!$Z$2:$Z$19,0),_xlfn.XLOOKUP(E555,Lists!$P$2:$P$19,Lists!$Z$2:$Z$19,0),_xlfn.XLOOKUP(G555,Lists!$P$2:$P$19,Lists!$Z$2:$Z$19,0),_xlfn.XLOOKUP(I555,Lists!$P$2:$P$19,Lists!$Z$2:$Z$19,0),_xlfn.XLOOKUP(K555,Lists!$P$2:$P$19,Lists!$Z$2:$Z$19,0)))</f>
        <v/>
      </c>
      <c r="X555" s="69" t="str">
        <f ca="1">IF($B555="","",SUM(_xlfn.XLOOKUP(C555,Lists!$P$2:$P$19,Lists!$AA$2:$AA$19,0),_xlfn.XLOOKUP(E555,Lists!$P$2:$P$19,Lists!$AA$2:$AA$19,0),_xlfn.XLOOKUP(G555,Lists!$P$2:$P$19,Lists!$AA$2:$AA$19,0),_xlfn.XLOOKUP(I555,Lists!$P$2:$P$19,Lists!$AA$2:$AA$19,0),_xlfn.XLOOKUP(K555,Lists!$P$2:$P$19,Lists!$AA$2:$AA$19,0)))</f>
        <v/>
      </c>
      <c r="Y555" s="49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  <c r="BY555" s="18"/>
      <c r="BZ555" s="18"/>
      <c r="CA555" s="18"/>
      <c r="CB555" s="18"/>
      <c r="CC555" s="18"/>
      <c r="CD555" s="18"/>
      <c r="CE555" s="18"/>
      <c r="CF555" s="18"/>
      <c r="CG555" s="18"/>
      <c r="CH555" s="18"/>
      <c r="CI555" s="18"/>
      <c r="CJ555" s="18"/>
      <c r="CK555" s="18"/>
      <c r="CL555" s="18"/>
      <c r="CM555" s="18"/>
      <c r="CN555" s="18"/>
      <c r="CO555" s="18"/>
      <c r="CP555" s="18"/>
      <c r="CQ555" s="18"/>
      <c r="CR555" s="18"/>
      <c r="CS555" s="18"/>
      <c r="CT555" s="18"/>
      <c r="CU555" s="18"/>
      <c r="CV555" s="18"/>
      <c r="CW555" s="18"/>
      <c r="CX555" s="18"/>
      <c r="CY555" s="18"/>
      <c r="CZ555" s="18"/>
      <c r="DA555" s="18"/>
      <c r="DB555" s="18"/>
      <c r="DC555" s="18"/>
      <c r="DD555" s="18"/>
      <c r="DE555" s="18"/>
      <c r="DF555" s="18"/>
    </row>
    <row r="556" spans="1:110">
      <c r="A556" s="168">
        <v>9</v>
      </c>
      <c r="B556" s="47" t="str">
        <f ca="1">Lineups!$C$167</f>
        <v/>
      </c>
      <c r="C556" s="49"/>
      <c r="D556" s="49"/>
      <c r="E556" s="49"/>
      <c r="F556" s="49"/>
      <c r="G556" s="49"/>
      <c r="H556" s="50"/>
      <c r="I556" s="50"/>
      <c r="J556" s="50"/>
      <c r="K556" s="50"/>
      <c r="L556" s="50"/>
      <c r="M556" s="67" t="str">
        <f ca="1">IF($B556="","",SUM(_xlfn.XLOOKUP(C556,Lists!$P$2:$P$19,Lists!$R$2:$R$19,0),_xlfn.XLOOKUP(E556,Lists!$P$2:$P$19,Lists!$R$2:$R$19,0),_xlfn.XLOOKUP(G556,Lists!$P$2:$P$19,Lists!$R$2:$R$19,0),_xlfn.XLOOKUP(I556,Lists!$P$2:$P$19,Lists!$R$2:$R$19,0),_xlfn.XLOOKUP(K556,Lists!$P$2:$P$19,Lists!$R$2:$R$19,0)))</f>
        <v/>
      </c>
      <c r="N556" s="68" t="str">
        <f ca="1">IF($B556="","",SUM(_xlfn.XLOOKUP(D556,Lists!$AC$2:$AC$9,Lists!$AE$2:$AE$9,0),_xlfn.XLOOKUP(F556,Lists!$AC$2:$AC$9,Lists!$AE$2:$AE$9,0),_xlfn.XLOOKUP(H556,Lists!$AC$2:$AC$9,Lists!$AE$2:$AE$9,0),_xlfn.XLOOKUP(J556,Lists!$AC$2:$AC$9,Lists!$AE$2:$AE$9,0),_xlfn.XLOOKUP(L556,Lists!$AC$2:$AC$9,Lists!$AE$2:$AE$9,0)))</f>
        <v/>
      </c>
      <c r="O556" s="68" t="str">
        <f ca="1">IF($B556="","",SUM(_xlfn.XLOOKUP(C556,Lists!$P$2:$P$19,Lists!$S$2:$S$19,0),_xlfn.XLOOKUP(E556,Lists!$P$2:$P$19,Lists!$S$2:$S$19,0),_xlfn.XLOOKUP(G556,Lists!$P$2:$P$19,Lists!$S$2:$S$19,0),_xlfn.XLOOKUP(I556,Lists!$P$2:$P$19,Lists!$S$2:$S$19,0),_xlfn.XLOOKUP(K556,Lists!$P$2:$P$19,Lists!$S$2:$S$19,0)))</f>
        <v/>
      </c>
      <c r="P556" s="68" t="str">
        <f ca="1">IF($B556="","",SUM(_xlfn.XLOOKUP(C556,Lists!$P$2:$P$19,Lists!$T$2:$T$19,0),_xlfn.XLOOKUP(E556,Lists!$P$2:$P$19,Lists!$T$2:$T$19,0),_xlfn.XLOOKUP(G556,Lists!$P$2:$P$19,Lists!$T$2:$T$19,0),_xlfn.XLOOKUP(I556,Lists!$P$2:$P$19,Lists!$T$2:$T$19,0),_xlfn.XLOOKUP(K556,Lists!$P$2:$P$19,Lists!$T$2:$T$19,0)))</f>
        <v/>
      </c>
      <c r="Q556" s="68" t="str">
        <f ca="1">IF($B556="","",SUM(_xlfn.XLOOKUP(C556,Lists!$P$2:$P$19,Lists!$U$2:$U$19,0),_xlfn.XLOOKUP(E556,Lists!$P$2:$P$19,Lists!$U$2:$U$19,0),_xlfn.XLOOKUP(G556,Lists!$P$2:$P$19,Lists!$U$2:$U$19,0),_xlfn.XLOOKUP(I556,Lists!$P$2:$P$19,Lists!$U$2:$U$19,0),_xlfn.XLOOKUP(K556,Lists!$P$2:$P$19,Lists!$U$2:$U$19,0)))</f>
        <v/>
      </c>
      <c r="R556" s="68" t="str">
        <f ca="1">IF($B556="","",SUM(_xlfn.XLOOKUP(C556,Lists!$P$2:$P$19,Lists!$V$2:$V$19,0),_xlfn.XLOOKUP(E556,Lists!$P$2:$P$19,Lists!$V$2:$V$19,0),_xlfn.XLOOKUP(G556,Lists!$P$2:$P$19,Lists!$V$2:$V$19,0),_xlfn.XLOOKUP(I556,Lists!$P$2:$P$19,Lists!$V$2:$V$19,0),_xlfn.XLOOKUP(K556,Lists!$P$2:$P$19,Lists!$V$2:$V$19,0)))</f>
        <v/>
      </c>
      <c r="S556" s="68" t="str">
        <f ca="1">IF($B556="","",SUM(_xlfn.XLOOKUP(D556,Lists!$AC$2:$AC$9,Lists!$AD$2:$AD$9,0),_xlfn.XLOOKUP(F556,Lists!$AC$2:$AC$9,Lists!$AD$2:$AD$9,0),_xlfn.XLOOKUP(H556,Lists!$AC$2:$AC$9,Lists!$AD$2:$AD$9,0),_xlfn.XLOOKUP(J556,Lists!$AC$2:$AC$9,Lists!$AD$2:$AD$9,0),_xlfn.XLOOKUP(L556,Lists!$AC$2:$AC$9,Lists!$AD$2:$AD$9,0)))</f>
        <v/>
      </c>
      <c r="T556" s="68" t="str">
        <f ca="1">IF($B556="","",SUM(_xlfn.XLOOKUP(C556,Lists!$P$2:$P$19,Lists!$W$2:$W$19,0),_xlfn.XLOOKUP(E556,Lists!$P$2:$P$19,Lists!$W$2:$W$19,0),_xlfn.XLOOKUP(G556,Lists!$P$2:$P$19,Lists!$W$2:$W$19,0),_xlfn.XLOOKUP(I556,Lists!$P$2:$P$19,Lists!$W$2:$W$19,0),_xlfn.XLOOKUP(K556,Lists!$P$2:$P$19,Lists!$W$2:$W$19,0)))</f>
        <v/>
      </c>
      <c r="U556" s="68" t="str">
        <f ca="1">IF($B556="","",SUM(_xlfn.XLOOKUP(C556,Lists!$P$2:$P$19,Lists!$X$2:$X$19,0),_xlfn.XLOOKUP(E556,Lists!$P$2:$P$19,Lists!$X$2:$X$19,0),_xlfn.XLOOKUP(G556,Lists!$P$2:$P$19,Lists!$X$2:$X$19,0),_xlfn.XLOOKUP(I556,Lists!$P$2:$P$19,Lists!$X$2:$X$19,0),_xlfn.XLOOKUP(K556,Lists!$P$2:$P$19,Lists!$X$2:$X$19,0)))</f>
        <v/>
      </c>
      <c r="V556" s="68" t="str">
        <f ca="1">IF($B556="","",SUM(_xlfn.XLOOKUP(C556,Lists!$P$2:$P$19,Lists!$Y$2:$Y$19,0),_xlfn.XLOOKUP(E556,Lists!$P$2:$P$19,Lists!$Y$2:$Y$19,0),_xlfn.XLOOKUP(G556,Lists!$P$2:$P$19,Lists!$Y$2:$Y$19,0),_xlfn.XLOOKUP(I556,Lists!$P$2:$P$19,Lists!$Y$2:$Y$19,0),_xlfn.XLOOKUP(K556,Lists!$P$2:$P$19,Lists!$Y$2:$Y$19,0)))</f>
        <v/>
      </c>
      <c r="W556" s="68" t="str">
        <f ca="1">IF($B556="","",SUM(_xlfn.XLOOKUP(C556,Lists!$P$2:$P$19,Lists!$Z$2:$Z$19,0),_xlfn.XLOOKUP(E556,Lists!$P$2:$P$19,Lists!$Z$2:$Z$19,0),_xlfn.XLOOKUP(G556,Lists!$P$2:$P$19,Lists!$Z$2:$Z$19,0),_xlfn.XLOOKUP(I556,Lists!$P$2:$P$19,Lists!$Z$2:$Z$19,0),_xlfn.XLOOKUP(K556,Lists!$P$2:$P$19,Lists!$Z$2:$Z$19,0)))</f>
        <v/>
      </c>
      <c r="X556" s="69" t="str">
        <f ca="1">IF($B556="","",SUM(_xlfn.XLOOKUP(C556,Lists!$P$2:$P$19,Lists!$AA$2:$AA$19,0),_xlfn.XLOOKUP(E556,Lists!$P$2:$P$19,Lists!$AA$2:$AA$19,0),_xlfn.XLOOKUP(G556,Lists!$P$2:$P$19,Lists!$AA$2:$AA$19,0),_xlfn.XLOOKUP(I556,Lists!$P$2:$P$19,Lists!$AA$2:$AA$19,0),_xlfn.XLOOKUP(K556,Lists!$P$2:$P$19,Lists!$AA$2:$AA$19,0)))</f>
        <v/>
      </c>
      <c r="Y556" s="49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  <c r="CF556" s="18"/>
      <c r="CG556" s="18"/>
      <c r="CH556" s="18"/>
      <c r="CI556" s="18"/>
      <c r="CJ556" s="18"/>
      <c r="CK556" s="18"/>
      <c r="CL556" s="18"/>
      <c r="CM556" s="18"/>
      <c r="CN556" s="18"/>
      <c r="CO556" s="18"/>
      <c r="CP556" s="18"/>
      <c r="CQ556" s="18"/>
      <c r="CR556" s="18"/>
      <c r="CS556" s="18"/>
      <c r="CT556" s="18"/>
      <c r="CU556" s="18"/>
      <c r="CV556" s="18"/>
      <c r="CW556" s="18"/>
      <c r="CX556" s="18"/>
      <c r="CY556" s="18"/>
      <c r="CZ556" s="18"/>
      <c r="DA556" s="18"/>
      <c r="DB556" s="18"/>
      <c r="DC556" s="18"/>
      <c r="DD556" s="18"/>
      <c r="DE556" s="18"/>
      <c r="DF556" s="18"/>
    </row>
    <row r="557" spans="1:110">
      <c r="A557" s="173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  <c r="CF557" s="18"/>
      <c r="CG557" s="18"/>
      <c r="CH557" s="18"/>
      <c r="CI557" s="18"/>
      <c r="CJ557" s="18"/>
      <c r="CK557" s="18"/>
      <c r="CL557" s="18"/>
      <c r="CM557" s="18"/>
      <c r="CN557" s="18"/>
      <c r="CO557" s="18"/>
      <c r="CP557" s="18"/>
      <c r="CQ557" s="18"/>
      <c r="CR557" s="18"/>
      <c r="CS557" s="18"/>
      <c r="CT557" s="18"/>
      <c r="CU557" s="18"/>
      <c r="CV557" s="18"/>
      <c r="CW557" s="18"/>
      <c r="CX557" s="18"/>
      <c r="CY557" s="18"/>
      <c r="CZ557" s="18"/>
      <c r="DA557" s="18"/>
      <c r="DB557" s="18"/>
      <c r="DC557" s="18"/>
      <c r="DD557" s="18"/>
      <c r="DE557" s="18"/>
      <c r="DF557" s="18"/>
    </row>
    <row r="558" spans="1:110">
      <c r="A558" s="222" t="str">
        <f ca="1">IF($N$541="","Team A Pitching",$N$541&amp;" Pitching")</f>
        <v>Team A Pitching</v>
      </c>
      <c r="B558" s="221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06"/>
      <c r="O558" s="186"/>
      <c r="P558" s="24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  <c r="CF558" s="18"/>
      <c r="CG558" s="18"/>
      <c r="CH558" s="18"/>
      <c r="CI558" s="18"/>
      <c r="CJ558" s="18"/>
      <c r="CK558" s="18"/>
      <c r="CL558" s="18"/>
      <c r="CM558" s="18"/>
      <c r="CN558" s="18"/>
      <c r="CO558" s="18"/>
      <c r="CP558" s="18"/>
      <c r="CQ558" s="18"/>
      <c r="CR558" s="18"/>
      <c r="CS558" s="18"/>
      <c r="CT558" s="18"/>
      <c r="CU558" s="18"/>
      <c r="CV558" s="18"/>
      <c r="CW558" s="18"/>
      <c r="CX558" s="18"/>
      <c r="CY558" s="18"/>
      <c r="CZ558" s="18"/>
      <c r="DA558" s="18"/>
      <c r="DB558" s="18"/>
      <c r="DC558" s="18"/>
      <c r="DD558" s="18"/>
      <c r="DE558" s="18"/>
      <c r="DF558" s="18"/>
    </row>
    <row r="559" spans="1:110">
      <c r="A559" s="167" t="s">
        <v>103</v>
      </c>
      <c r="B559" s="43" t="s">
        <v>194</v>
      </c>
      <c r="C559" s="43" t="s">
        <v>195</v>
      </c>
      <c r="D559" s="43" t="s">
        <v>162</v>
      </c>
      <c r="E559" s="43" t="s">
        <v>161</v>
      </c>
      <c r="F559" s="43" t="s">
        <v>196</v>
      </c>
      <c r="G559" s="43" t="s">
        <v>180</v>
      </c>
      <c r="H559" s="43" t="s">
        <v>181</v>
      </c>
      <c r="I559" s="44" t="s">
        <v>197</v>
      </c>
      <c r="J559" s="44" t="s">
        <v>198</v>
      </c>
      <c r="K559" s="44" t="s">
        <v>199</v>
      </c>
      <c r="L559" s="44" t="s">
        <v>200</v>
      </c>
      <c r="M559" s="44" t="s">
        <v>201</v>
      </c>
      <c r="N559" s="45" t="s">
        <v>202</v>
      </c>
      <c r="O559" s="45" t="s">
        <v>203</v>
      </c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  <c r="CD559" s="18"/>
      <c r="CE559" s="18"/>
      <c r="CF559" s="18"/>
      <c r="CG559" s="18"/>
      <c r="CH559" s="18"/>
      <c r="CI559" s="18"/>
      <c r="CJ559" s="18"/>
      <c r="CK559" s="18"/>
      <c r="CL559" s="18"/>
      <c r="CM559" s="18"/>
      <c r="CN559" s="18"/>
      <c r="CO559" s="18"/>
      <c r="CP559" s="18"/>
      <c r="CQ559" s="18"/>
      <c r="CR559" s="18"/>
      <c r="CS559" s="18"/>
      <c r="CT559" s="18"/>
      <c r="CU559" s="18"/>
      <c r="CV559" s="18"/>
      <c r="CW559" s="18"/>
      <c r="CX559" s="18"/>
      <c r="CY559" s="18"/>
      <c r="CZ559" s="18"/>
      <c r="DA559" s="18"/>
      <c r="DB559" s="18"/>
      <c r="DC559" s="18"/>
      <c r="DD559" s="18"/>
      <c r="DE559" s="18"/>
      <c r="DF559" s="18"/>
    </row>
    <row r="560" spans="1:110">
      <c r="A560" s="168">
        <v>1</v>
      </c>
      <c r="B560" s="71"/>
      <c r="C560" s="70" t="str" cm="1">
        <f t="array" aca="1" ref="C560" ca="1">IF(OR(B560="",O560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60" s="67" t="str" cm="1">
        <f t="array" aca="1" ref="D560" ca="1">IF(OR(B560="",O560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60" s="67" t="str" cm="1">
        <f t="array" aca="1" ref="E560" ca="1">IF(OR(B560="",O560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560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60" s="67" t="str" cm="1">
        <f t="array" aca="1" ref="F560" ca="1">IF(OR(B560="",O560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560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60" s="67" t="str" cm="1">
        <f t="array" aca="1" ref="G560" ca="1">IF(OR(B560="",O560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60" s="67" t="str" cm="1">
        <f t="array" aca="1" ref="H560" ca="1">IF(OR(B560="",O560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60" s="68" t="str" cm="1">
        <f t="array" aca="1" ref="I560" ca="1">IF(OR(B560="",O560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60" s="68" t="str" cm="1">
        <f t="array" aca="1" ref="J560" ca="1">IF(OR(B560="",O560=""),"",--(SUM(_xlfn.XLOOKUP(_xlfn._xlws.FILTER(_xlfn.TOCOL(_xlfn.CHOOSECOLS(C548:L556,2,4,6,8,10),0,TRUE),_xlfn.TOCOL(_xlfn.CHOOSECOLS(C548:L556,1,3,5,7,9),0,TRUE)&lt;&gt;""),Lists!$AC$2:$AC$9,Lists!$AF$2:$AF$9,0))&gt;SUM(_xlfn.XLOOKUP(_xlfn._xlws.FILTER(_xlfn.TOCOL(_xlfn.CHOOSECOLS(C569:L577,2,4,6,8,10),0,TRUE),_xlfn.TOCOL(_xlfn.CHOOSECOLS(C569:L577,1,3,5,7,9),0,TRUE)&lt;&gt;""),Lists!$AC$2:$AC$9,Lists!$AF$2:$AF$9,0)))*--(ROW()-ROW(C559)=_xlfn.XLOOKUP(MAX(IF(O560:O565&gt;0,INT(C560:C565)*3+MOD(ROUND(C560:C565*10,0),10),-1)),IF(O560:O565&gt;0,INT(C560:C565)*3+MOD(ROUND(C560:C565*10,0),10),-1),_xlfn.SEQUENCE(ROWS(O560:O565)),,0)))</f>
        <v/>
      </c>
      <c r="K560" s="68" t="str" cm="1">
        <f t="array" aca="1" ref="K560" ca="1">IF(OR(B560="",O560=""),"",--(SUM(_xlfn.XLOOKUP(_xlfn._xlws.FILTER(_xlfn.TOCOL(_xlfn.CHOOSECOLS(C548:L556,2,4,6,8,10),0,TRUE),_xlfn.TOCOL(_xlfn.CHOOSECOLS(C548:L556,1,3,5,7,9),0,TRUE)&lt;&gt;""),Lists!$AC$2:$AC$9,Lists!$AF$2:$AF$9,0))&lt;SUM(_xlfn.XLOOKUP(_xlfn._xlws.FILTER(_xlfn.TOCOL(_xlfn.CHOOSECOLS(C569:L577,2,4,6,8,10),0,TRUE),_xlfn.TOCOL(_xlfn.CHOOSECOLS(C569:L577,1,3,5,7,9),0,TRUE)&lt;&gt;""),Lists!$AC$2:$AC$9,Lists!$AF$2:$AF$9,0)))*--(ROW()-ROW(C559)=_xlfn.XLOOKUP(MAX(IF(O560:O565&gt;0,E560:E565,-1)),IF(O560:O565&gt;0,E560:E565,-1),_xlfn.SEQUENCE(ROWS(O560:O565)),,0)))</f>
        <v/>
      </c>
      <c r="L560" s="68" t="str" cm="1">
        <f t="array" aca="1" ref="L560" ca="1">IF(OR(B560="",O560=""),"",--(SUM(_xlfn.XLOOKUP(_xlfn._xlws.FILTER(_xlfn.TOCOL(_xlfn.CHOOSECOLS(C548:L556,2,4,6,8,10),0,TRUE),_xlfn.TOCOL(_xlfn.CHOOSECOLS(C548:L556,1,3,5,7,9),0,TRUE)&lt;&gt;""),Lists!$AC$2:$AC$9,Lists!$AF$2:$AF$9,0))&gt;SUM(_xlfn.XLOOKUP(_xlfn._xlws.FILTER(_xlfn.TOCOL(_xlfn.CHOOSECOLS(C569:L577,2,4,6,8,10),0,TRUE),_xlfn.TOCOL(_xlfn.CHOOSECOLS(C569:L577,1,3,5,7,9),0,TRUE)&lt;&gt;""),Lists!$AC$2:$AC$9,Lists!$AF$2:$AF$9,0)))*--(COUNTIF(O560:O565,"&gt;0")&gt;1)*--(ROW()-ROW(C559)=_xlfn.XLOOKUP(TRUE,O560:O565&gt;0,_xlfn.SEQUENCE(ROWS(O560:O565)),,0,-1))*--(_xlfn.XLOOKUP(TRUE,O560:O565&gt;0,_xlfn.SEQUENCE(ROWS(O560:O565)),,0,-1)&lt;&gt;_xlfn.XLOOKUP(MAX(IF(O560:O565&gt;0,INT(C560:C565)*3+MOD(ROUND(C560:C565*10,0),10),-1)),IF(O560:O565&gt;0,INT(C560:C565)*3+MOD(ROUND(C560:C565*10,0),10),-1),_xlfn.SEQUENCE(ROWS(O560:O565)),,0))*--(SUM(_xlfn.XLOOKUP(_xlfn._xlws.FILTER(_xlfn.TOCOL(_xlfn.CHOOSECOLS(C548:L556,2,4,6,8,10),0,TRUE),_xlfn.TOCOL(_xlfn.CHOOSECOLS(C548:L556,1,3,5,7,9),0,TRUE)&lt;&gt;""),Lists!$AC$2:$AC$9,Lists!$AF$2:$AF$9,0))-SUM(_xlfn.XLOOKUP(_xlfn._xlws.FILTER(_xlfn.TOCOL(_xlfn.CHOOSECOLS(C569:L577,2,4,6,8,10),0,TRUE),_xlfn.TOCOL(_xlfn.CHOOSECOLS(C569:L577,1,3,5,7,9),0,TRUE)&lt;&gt;""),Lists!$AC$2:$AC$9,Lists!$AF$2:$AF$9,0))&lt;=3)*--((INT(C560)*3+MOD(ROUND(C560*10,0),10))&gt;=3))</f>
        <v/>
      </c>
      <c r="M560" s="68" t="str" cm="1">
        <f t="array" ref="M560">IF(OR(B560="",O560=""),"",--(COUNTIF(O560:O565,"&gt;0")=1)*--(SUM(_xlfn.XLOOKUP(_xlfn._xlws.FILTER(_xlfn.TOCOL(_xlfn.CHOOSECOLS(C569:L577,2,4,6,8,10),0,TRUE),_xlfn.TOCOL(_xlfn.CHOOSECOLS(C569:L577,1,3,5,7,9),0,TRUE)&lt;&gt;""),Lists!$AC$2:$AC$9,Lists!$AF$2:$AF$9,0))=0))</f>
        <v/>
      </c>
      <c r="N560" s="69" t="str">
        <f>IF(OR(B560="",O560=""),"",--(COUNTIF(O560:O565,"&gt;0")=1))</f>
        <v/>
      </c>
      <c r="O560" s="5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8"/>
      <c r="CG560" s="18"/>
      <c r="CH560" s="18"/>
      <c r="CI560" s="18"/>
      <c r="CJ560" s="18"/>
      <c r="CK560" s="18"/>
      <c r="CL560" s="18"/>
      <c r="CM560" s="18"/>
      <c r="CN560" s="18"/>
      <c r="CO560" s="18"/>
      <c r="CP560" s="18"/>
      <c r="CQ560" s="18"/>
      <c r="CR560" s="18"/>
      <c r="CS560" s="18"/>
      <c r="CT560" s="18"/>
      <c r="CU560" s="18"/>
      <c r="CV560" s="18"/>
      <c r="CW560" s="18"/>
      <c r="CX560" s="18"/>
      <c r="CY560" s="18"/>
      <c r="CZ560" s="18"/>
      <c r="DA560" s="18"/>
      <c r="DB560" s="18"/>
      <c r="DC560" s="18"/>
      <c r="DD560" s="18"/>
      <c r="DE560" s="18"/>
      <c r="DF560" s="18"/>
    </row>
    <row r="561" spans="1:110">
      <c r="A561" s="168">
        <v>2</v>
      </c>
      <c r="B561" s="71"/>
      <c r="C561" s="70" t="str" cm="1">
        <f t="array" aca="1" ref="C561" ca="1">IF(OR(B561="",O561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61" s="67" t="str" cm="1">
        <f t="array" aca="1" ref="D561" ca="1">IF(OR(B561="",O561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61" s="67" t="str" cm="1">
        <f t="array" aca="1" ref="E561" ca="1">IF(OR(B561="",O561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61" s="67" t="str" cm="1">
        <f t="array" aca="1" ref="F561" ca="1">IF(OR(B561="",O561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61" s="67" t="str" cm="1">
        <f t="array" aca="1" ref="G561" ca="1">IF(OR(B561="",O561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61" s="67" t="str" cm="1">
        <f t="array" aca="1" ref="H561" ca="1">IF(OR(B561="",O561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61" s="68" t="str" cm="1">
        <f t="array" aca="1" ref="I561" ca="1">IF(OR(B561="",O561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61" s="68" t="str" cm="1">
        <f t="array" aca="1" ref="J561" ca="1">IF(OR(B561="",O561=""),"",--(SUM(_xlfn.XLOOKUP(_xlfn._xlws.FILTER(_xlfn.TOCOL(_xlfn.CHOOSECOLS(C548:L556,2,4,6,8,10),0,TRUE),_xlfn.TOCOL(_xlfn.CHOOSECOLS(C548:L556,1,3,5,7,9),0,TRUE)&lt;&gt;""),Lists!$AC$2:$AC$9,Lists!$AF$2:$AF$9,0))&gt;SUM(_xlfn.XLOOKUP(_xlfn._xlws.FILTER(_xlfn.TOCOL(_xlfn.CHOOSECOLS(C569:L577,2,4,6,8,10),0,TRUE),_xlfn.TOCOL(_xlfn.CHOOSECOLS(C569:L577,1,3,5,7,9),0,TRUE)&lt;&gt;""),Lists!$AC$2:$AC$9,Lists!$AF$2:$AF$9,0)))*--(ROW()-ROW(C559)=_xlfn.XLOOKUP(MAX(IF(O560:O565&gt;0,INT(C560:C565)*3+MOD(ROUND(C560:C565*10,0),10),-1)),IF(O560:O565&gt;0,INT(C560:C565)*3+MOD(ROUND(C560:C565*10,0),10),-1),_xlfn.SEQUENCE(ROWS(O560:O565)),,0)))</f>
        <v/>
      </c>
      <c r="K561" s="68" t="str" cm="1">
        <f t="array" aca="1" ref="K561" ca="1">IF(OR(B561="",O561=""),"",--(SUM(_xlfn.XLOOKUP(_xlfn._xlws.FILTER(_xlfn.TOCOL(_xlfn.CHOOSECOLS(C548:L556,2,4,6,8,10),0,TRUE),_xlfn.TOCOL(_xlfn.CHOOSECOLS(C548:L556,1,3,5,7,9),0,TRUE)&lt;&gt;""),Lists!$AC$2:$AC$9,Lists!$AF$2:$AF$9,0))&lt;SUM(_xlfn.XLOOKUP(_xlfn._xlws.FILTER(_xlfn.TOCOL(_xlfn.CHOOSECOLS(C569:L577,2,4,6,8,10),0,TRUE),_xlfn.TOCOL(_xlfn.CHOOSECOLS(C569:L577,1,3,5,7,9),0,TRUE)&lt;&gt;""),Lists!$AC$2:$AC$9,Lists!$AF$2:$AF$9,0)))*--(ROW()-ROW(C559)=_xlfn.XLOOKUP(MAX(IF(O560:O565&gt;0,E560:E565,-1)),IF(O560:O565&gt;0,E560:E565,-1),_xlfn.SEQUENCE(ROWS(O560:O565)),,0)))</f>
        <v/>
      </c>
      <c r="L561" s="68" t="str" cm="1">
        <f t="array" aca="1" ref="L561" ca="1">IF(OR(B561="",O561=""),"",--(SUM(_xlfn.XLOOKUP(_xlfn._xlws.FILTER(_xlfn.TOCOL(_xlfn.CHOOSECOLS(C548:L556,2,4,6,8,10),0,TRUE),_xlfn.TOCOL(_xlfn.CHOOSECOLS(C548:L556,1,3,5,7,9),0,TRUE)&lt;&gt;""),Lists!$AC$2:$AC$9,Lists!$AF$2:$AF$9,0))&gt;SUM(_xlfn.XLOOKUP(_xlfn._xlws.FILTER(_xlfn.TOCOL(_xlfn.CHOOSECOLS(C569:L577,2,4,6,8,10),0,TRUE),_xlfn.TOCOL(_xlfn.CHOOSECOLS(C569:L577,1,3,5,7,9),0,TRUE)&lt;&gt;""),Lists!$AC$2:$AC$9,Lists!$AF$2:$AF$9,0)))*--(COUNTIF(O560:O565,"&gt;0")&gt;1)*--(ROW()-ROW(C559)=_xlfn.XLOOKUP(TRUE,O560:O565&gt;0,_xlfn.SEQUENCE(ROWS(O560:O565)),,0,-1))*--(_xlfn.XLOOKUP(TRUE,O560:O565&gt;0,_xlfn.SEQUENCE(ROWS(O560:O565)),,0,-1)&lt;&gt;_xlfn.XLOOKUP(MAX(IF(O560:O565&gt;0,INT(C560:C565)*3+MOD(ROUND(C560:C565*10,0),10),-1)),IF(O560:O565&gt;0,INT(C560:C565)*3+MOD(ROUND(C560:C565*10,0),10),-1),_xlfn.SEQUENCE(ROWS(O560:O565)),,0))*--(SUM(_xlfn.XLOOKUP(_xlfn._xlws.FILTER(_xlfn.TOCOL(_xlfn.CHOOSECOLS(C548:L556,2,4,6,8,10),0,TRUE),_xlfn.TOCOL(_xlfn.CHOOSECOLS(C548:L556,1,3,5,7,9),0,TRUE)&lt;&gt;""),Lists!$AC$2:$AC$9,Lists!$AF$2:$AF$9,0))-SUM(_xlfn.XLOOKUP(_xlfn._xlws.FILTER(_xlfn.TOCOL(_xlfn.CHOOSECOLS(C569:L577,2,4,6,8,10),0,TRUE),_xlfn.TOCOL(_xlfn.CHOOSECOLS(C569:L577,1,3,5,7,9),0,TRUE)&lt;&gt;""),Lists!$AC$2:$AC$9,Lists!$AF$2:$AF$9,0))&lt;=3)*--((INT(C561)*3+MOD(ROUND(C561*10,0),10))&gt;=3))</f>
        <v/>
      </c>
      <c r="M561" s="68" t="str" cm="1">
        <f t="array" ref="M561">IF(OR(B561="",O561=""),"",--(COUNTIF(O560:O565,"&gt;0")=1)*--(SUM(_xlfn.XLOOKUP(_xlfn._xlws.FILTER(_xlfn.TOCOL(_xlfn.CHOOSECOLS(C569:L577,2,4,6,8,10),0,TRUE),_xlfn.TOCOL(_xlfn.CHOOSECOLS(C569:L577,1,3,5,7,9),0,TRUE)&lt;&gt;""),Lists!$AC$2:$AC$9,Lists!$AF$2:$AF$9,0))=0))</f>
        <v/>
      </c>
      <c r="N561" s="69" t="str">
        <f>IF(OR(B561="",O561=""),"",--(COUNTIF(O560:O565,"&gt;0")=1))</f>
        <v/>
      </c>
      <c r="O561" s="5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  <c r="CF561" s="18"/>
      <c r="CG561" s="18"/>
      <c r="CH561" s="18"/>
      <c r="CI561" s="18"/>
      <c r="CJ561" s="18"/>
      <c r="CK561" s="18"/>
      <c r="CL561" s="18"/>
      <c r="CM561" s="18"/>
      <c r="CN561" s="18"/>
      <c r="CO561" s="18"/>
      <c r="CP561" s="18"/>
      <c r="CQ561" s="18"/>
      <c r="CR561" s="18"/>
      <c r="CS561" s="18"/>
      <c r="CT561" s="18"/>
      <c r="CU561" s="18"/>
      <c r="CV561" s="18"/>
      <c r="CW561" s="18"/>
      <c r="CX561" s="18"/>
      <c r="CY561" s="18"/>
      <c r="CZ561" s="18"/>
      <c r="DA561" s="18"/>
      <c r="DB561" s="18"/>
      <c r="DC561" s="18"/>
      <c r="DD561" s="18"/>
      <c r="DE561" s="18"/>
      <c r="DF561" s="18"/>
    </row>
    <row r="562" spans="1:110">
      <c r="A562" s="168">
        <v>3</v>
      </c>
      <c r="B562" s="71"/>
      <c r="C562" s="70" t="str" cm="1">
        <f t="array" aca="1" ref="C562" ca="1">IF(OR(B562="",O562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62" s="67" t="str" cm="1">
        <f t="array" aca="1" ref="D562" ca="1">IF(OR(B562="",O562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62" s="67" t="str" cm="1">
        <f t="array" aca="1" ref="E562" ca="1">IF(OR(B562="",O562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62" s="67" t="str" cm="1">
        <f t="array" aca="1" ref="F562" ca="1">IF(OR(B562="",O562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62" s="67" t="str" cm="1">
        <f t="array" aca="1" ref="G562" ca="1">IF(OR(B562="",O562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62" s="67" t="str" cm="1">
        <f t="array" aca="1" ref="H562" ca="1">IF(OR(B562="",O562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62" s="68" t="str" cm="1">
        <f t="array" aca="1" ref="I562" ca="1">IF(OR(B562="",O562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62" s="68" t="str" cm="1">
        <f t="array" aca="1" ref="J562" ca="1">IF(OR(B562="",O562=""),"",--(SUM(_xlfn.XLOOKUP(_xlfn._xlws.FILTER(_xlfn.TOCOL(_xlfn.CHOOSECOLS(C548:L556,2,4,6,8,10),0,TRUE),_xlfn.TOCOL(_xlfn.CHOOSECOLS(C548:L556,1,3,5,7,9),0,TRUE)&lt;&gt;""),Lists!$AC$2:$AC$9,Lists!$AF$2:$AF$9,0))&gt;SUM(_xlfn.XLOOKUP(_xlfn._xlws.FILTER(_xlfn.TOCOL(_xlfn.CHOOSECOLS(C569:L577,2,4,6,8,10),0,TRUE),_xlfn.TOCOL(_xlfn.CHOOSECOLS(C569:L577,1,3,5,7,9),0,TRUE)&lt;&gt;""),Lists!$AC$2:$AC$9,Lists!$AF$2:$AF$9,0)))*--(ROW()-ROW(C559)=_xlfn.XLOOKUP(MAX(IF(O560:O565&gt;0,INT(C560:C565)*3+MOD(ROUND(C560:C565*10,0),10),-1)),IF(O560:O565&gt;0,INT(C560:C565)*3+MOD(ROUND(C560:C565*10,0),10),-1),_xlfn.SEQUENCE(ROWS(O560:O565)),,0)))</f>
        <v/>
      </c>
      <c r="K562" s="68" t="str" cm="1">
        <f t="array" aca="1" ref="K562" ca="1">IF(OR(B562="",O562=""),"",--(SUM(_xlfn.XLOOKUP(_xlfn._xlws.FILTER(_xlfn.TOCOL(_xlfn.CHOOSECOLS(C548:L556,2,4,6,8,10),0,TRUE),_xlfn.TOCOL(_xlfn.CHOOSECOLS(C548:L556,1,3,5,7,9),0,TRUE)&lt;&gt;""),Lists!$AC$2:$AC$9,Lists!$AF$2:$AF$9,0))&lt;SUM(_xlfn.XLOOKUP(_xlfn._xlws.FILTER(_xlfn.TOCOL(_xlfn.CHOOSECOLS(C569:L577,2,4,6,8,10),0,TRUE),_xlfn.TOCOL(_xlfn.CHOOSECOLS(C569:L577,1,3,5,7,9),0,TRUE)&lt;&gt;""),Lists!$AC$2:$AC$9,Lists!$AF$2:$AF$9,0)))*--(ROW()-ROW(C559)=_xlfn.XLOOKUP(MAX(IF(O560:O565&gt;0,E560:E565,-1)),IF(O560:O565&gt;0,E560:E565,-1),_xlfn.SEQUENCE(ROWS(O560:O565)),,0)))</f>
        <v/>
      </c>
      <c r="L562" s="68" t="str" cm="1">
        <f t="array" aca="1" ref="L562" ca="1">IF(OR(B562="",O562=""),"",--(SUM(_xlfn.XLOOKUP(_xlfn._xlws.FILTER(_xlfn.TOCOL(_xlfn.CHOOSECOLS(C548:L556,2,4,6,8,10),0,TRUE),_xlfn.TOCOL(_xlfn.CHOOSECOLS(C548:L556,1,3,5,7,9),0,TRUE)&lt;&gt;""),Lists!$AC$2:$AC$9,Lists!$AF$2:$AF$9,0))&gt;SUM(_xlfn.XLOOKUP(_xlfn._xlws.FILTER(_xlfn.TOCOL(_xlfn.CHOOSECOLS(C569:L577,2,4,6,8,10),0,TRUE),_xlfn.TOCOL(_xlfn.CHOOSECOLS(C569:L577,1,3,5,7,9),0,TRUE)&lt;&gt;""),Lists!$AC$2:$AC$9,Lists!$AF$2:$AF$9,0)))*--(COUNTIF(O560:O565,"&gt;0")&gt;1)*--(ROW()-ROW(C559)=_xlfn.XLOOKUP(TRUE,O560:O565&gt;0,_xlfn.SEQUENCE(ROWS(O560:O565)),,0,-1))*--(_xlfn.XLOOKUP(TRUE,O560:O565&gt;0,_xlfn.SEQUENCE(ROWS(O560:O565)),,0,-1)&lt;&gt;_xlfn.XLOOKUP(MAX(IF(O560:O565&gt;0,INT(C560:C565)*3+MOD(ROUND(C560:C565*10,0),10),-1)),IF(O560:O565&gt;0,INT(C560:C565)*3+MOD(ROUND(C560:C565*10,0),10),-1),_xlfn.SEQUENCE(ROWS(O560:O565)),,0))*--(SUM(_xlfn.XLOOKUP(_xlfn._xlws.FILTER(_xlfn.TOCOL(_xlfn.CHOOSECOLS(C548:L556,2,4,6,8,10),0,TRUE),_xlfn.TOCOL(_xlfn.CHOOSECOLS(C548:L556,1,3,5,7,9),0,TRUE)&lt;&gt;""),Lists!$AC$2:$AC$9,Lists!$AF$2:$AF$9,0))-SUM(_xlfn.XLOOKUP(_xlfn._xlws.FILTER(_xlfn.TOCOL(_xlfn.CHOOSECOLS(C569:L577,2,4,6,8,10),0,TRUE),_xlfn.TOCOL(_xlfn.CHOOSECOLS(C569:L577,1,3,5,7,9),0,TRUE)&lt;&gt;""),Lists!$AC$2:$AC$9,Lists!$AF$2:$AF$9,0))&lt;=3)*--((INT(C562)*3+MOD(ROUND(C562*10,0),10))&gt;=3))</f>
        <v/>
      </c>
      <c r="M562" s="68" t="str" cm="1">
        <f t="array" ref="M562">IF(OR(B562="",O562=""),"",--(COUNTIF(O560:O565,"&gt;0")=1)*--(SUM(_xlfn.XLOOKUP(_xlfn._xlws.FILTER(_xlfn.TOCOL(_xlfn.CHOOSECOLS(C569:L577,2,4,6,8,10),0,TRUE),_xlfn.TOCOL(_xlfn.CHOOSECOLS(C569:L577,1,3,5,7,9),0,TRUE)&lt;&gt;""),Lists!$AC$2:$AC$9,Lists!$AF$2:$AF$9,0))=0))</f>
        <v/>
      </c>
      <c r="N562" s="69" t="str">
        <f>IF(OR(B562="",O562=""),"",--(COUNTIF(O560:O565,"&gt;0")=1))</f>
        <v/>
      </c>
      <c r="O562" s="5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8"/>
      <c r="CG562" s="18"/>
      <c r="CH562" s="18"/>
      <c r="CI562" s="18"/>
      <c r="CJ562" s="18"/>
      <c r="CK562" s="18"/>
      <c r="CL562" s="18"/>
      <c r="CM562" s="18"/>
      <c r="CN562" s="18"/>
      <c r="CO562" s="18"/>
      <c r="CP562" s="18"/>
      <c r="CQ562" s="18"/>
      <c r="CR562" s="18"/>
      <c r="CS562" s="18"/>
      <c r="CT562" s="18"/>
      <c r="CU562" s="18"/>
      <c r="CV562" s="18"/>
      <c r="CW562" s="18"/>
      <c r="CX562" s="18"/>
      <c r="CY562" s="18"/>
      <c r="CZ562" s="18"/>
      <c r="DA562" s="18"/>
      <c r="DB562" s="18"/>
      <c r="DC562" s="18"/>
      <c r="DD562" s="18"/>
      <c r="DE562" s="18"/>
      <c r="DF562" s="18"/>
    </row>
    <row r="563" spans="1:110">
      <c r="A563" s="168">
        <v>4</v>
      </c>
      <c r="B563" s="71"/>
      <c r="C563" s="70" t="str" cm="1">
        <f t="array" aca="1" ref="C563" ca="1">IF(OR(B563="",O563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63" s="67" t="str" cm="1">
        <f t="array" aca="1" ref="D563" ca="1">IF(OR(B563="",O563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63" s="67" t="str" cm="1">
        <f t="array" aca="1" ref="E563" ca="1">IF(OR(B563="",O563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63" s="67" t="str" cm="1">
        <f t="array" aca="1" ref="F563" ca="1">IF(OR(B563="",O563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63" s="67" t="str" cm="1">
        <f t="array" aca="1" ref="G563" ca="1">IF(OR(B563="",O563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63" s="67" t="str" cm="1">
        <f t="array" aca="1" ref="H563" ca="1">IF(OR(B563="",O563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63" s="68" t="str" cm="1">
        <f t="array" aca="1" ref="I563" ca="1">IF(OR(B563="",O563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63" s="68" t="str" cm="1">
        <f t="array" aca="1" ref="J563" ca="1">IF(OR(B563="",O563=""),"",--(SUM(_xlfn.XLOOKUP(_xlfn._xlws.FILTER(_xlfn.TOCOL(_xlfn.CHOOSECOLS(C548:L556,2,4,6,8,10),0,TRUE),_xlfn.TOCOL(_xlfn.CHOOSECOLS(C548:L556,1,3,5,7,9),0,TRUE)&lt;&gt;""),Lists!$AC$2:$AC$9,Lists!$AF$2:$AF$9,0))&gt;SUM(_xlfn.XLOOKUP(_xlfn._xlws.FILTER(_xlfn.TOCOL(_xlfn.CHOOSECOLS(C569:L577,2,4,6,8,10),0,TRUE),_xlfn.TOCOL(_xlfn.CHOOSECOLS(C569:L577,1,3,5,7,9),0,TRUE)&lt;&gt;""),Lists!$AC$2:$AC$9,Lists!$AF$2:$AF$9,0)))*--(ROW()-ROW(C559)=_xlfn.XLOOKUP(MAX(IF(O560:O565&gt;0,INT(C560:C565)*3+MOD(ROUND(C560:C565*10,0),10),-1)),IF(O560:O565&gt;0,INT(C560:C565)*3+MOD(ROUND(C560:C565*10,0),10),-1),_xlfn.SEQUENCE(ROWS(O560:O565)),,0)))</f>
        <v/>
      </c>
      <c r="K563" s="68" t="str" cm="1">
        <f t="array" aca="1" ref="K563" ca="1">IF(OR(B563="",O563=""),"",--(SUM(_xlfn.XLOOKUP(_xlfn._xlws.FILTER(_xlfn.TOCOL(_xlfn.CHOOSECOLS(C548:L556,2,4,6,8,10),0,TRUE),_xlfn.TOCOL(_xlfn.CHOOSECOLS(C548:L556,1,3,5,7,9),0,TRUE)&lt;&gt;""),Lists!$AC$2:$AC$9,Lists!$AF$2:$AF$9,0))&lt;SUM(_xlfn.XLOOKUP(_xlfn._xlws.FILTER(_xlfn.TOCOL(_xlfn.CHOOSECOLS(C569:L577,2,4,6,8,10),0,TRUE),_xlfn.TOCOL(_xlfn.CHOOSECOLS(C569:L577,1,3,5,7,9),0,TRUE)&lt;&gt;""),Lists!$AC$2:$AC$9,Lists!$AF$2:$AF$9,0)))*--(ROW()-ROW(C559)=_xlfn.XLOOKUP(MAX(IF(O560:O565&gt;0,E560:E565,-1)),IF(O560:O565&gt;0,E560:E565,-1),_xlfn.SEQUENCE(ROWS(O560:O565)),,0)))</f>
        <v/>
      </c>
      <c r="L563" s="68" t="str" cm="1">
        <f t="array" aca="1" ref="L563" ca="1">IF(OR(B563="",O563=""),"",--(SUM(_xlfn.XLOOKUP(_xlfn._xlws.FILTER(_xlfn.TOCOL(_xlfn.CHOOSECOLS(C548:L556,2,4,6,8,10),0,TRUE),_xlfn.TOCOL(_xlfn.CHOOSECOLS(C548:L556,1,3,5,7,9),0,TRUE)&lt;&gt;""),Lists!$AC$2:$AC$9,Lists!$AF$2:$AF$9,0))&gt;SUM(_xlfn.XLOOKUP(_xlfn._xlws.FILTER(_xlfn.TOCOL(_xlfn.CHOOSECOLS(C569:L577,2,4,6,8,10),0,TRUE),_xlfn.TOCOL(_xlfn.CHOOSECOLS(C569:L577,1,3,5,7,9),0,TRUE)&lt;&gt;""),Lists!$AC$2:$AC$9,Lists!$AF$2:$AF$9,0)))*--(COUNTIF(O560:O565,"&gt;0")&gt;1)*--(ROW()-ROW(C559)=_xlfn.XLOOKUP(TRUE,O560:O565&gt;0,_xlfn.SEQUENCE(ROWS(O560:O565)),,0,-1))*--(_xlfn.XLOOKUP(TRUE,O560:O565&gt;0,_xlfn.SEQUENCE(ROWS(O560:O565)),,0,-1)&lt;&gt;_xlfn.XLOOKUP(MAX(IF(O560:O565&gt;0,INT(C560:C565)*3+MOD(ROUND(C560:C565*10,0),10),-1)),IF(O560:O565&gt;0,INT(C560:C565)*3+MOD(ROUND(C560:C565*10,0),10),-1),_xlfn.SEQUENCE(ROWS(O560:O565)),,0))*--(SUM(_xlfn.XLOOKUP(_xlfn._xlws.FILTER(_xlfn.TOCOL(_xlfn.CHOOSECOLS(C548:L556,2,4,6,8,10),0,TRUE),_xlfn.TOCOL(_xlfn.CHOOSECOLS(C548:L556,1,3,5,7,9),0,TRUE)&lt;&gt;""),Lists!$AC$2:$AC$9,Lists!$AF$2:$AF$9,0))-SUM(_xlfn.XLOOKUP(_xlfn._xlws.FILTER(_xlfn.TOCOL(_xlfn.CHOOSECOLS(C569:L577,2,4,6,8,10),0,TRUE),_xlfn.TOCOL(_xlfn.CHOOSECOLS(C569:L577,1,3,5,7,9),0,TRUE)&lt;&gt;""),Lists!$AC$2:$AC$9,Lists!$AF$2:$AF$9,0))&lt;=3)*--((INT(C563)*3+MOD(ROUND(C563*10,0),10))&gt;=3))</f>
        <v/>
      </c>
      <c r="M563" s="68" t="str" cm="1">
        <f t="array" ref="M563">IF(OR(B563="",O563=""),"",--(COUNTIF(O560:O565,"&gt;0")=1)*--(SUM(_xlfn.XLOOKUP(_xlfn._xlws.FILTER(_xlfn.TOCOL(_xlfn.CHOOSECOLS(C569:L577,2,4,6,8,10),0,TRUE),_xlfn.TOCOL(_xlfn.CHOOSECOLS(C569:L577,1,3,5,7,9),0,TRUE)&lt;&gt;""),Lists!$AC$2:$AC$9,Lists!$AF$2:$AF$9,0))=0))</f>
        <v/>
      </c>
      <c r="N563" s="69" t="str">
        <f>IF(OR(B563="",O563=""),"",--(COUNTIF(O560:O565,"&gt;0")=1))</f>
        <v/>
      </c>
      <c r="O563" s="5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  <c r="CF563" s="18"/>
      <c r="CG563" s="18"/>
      <c r="CH563" s="18"/>
      <c r="CI563" s="18"/>
      <c r="CJ563" s="18"/>
      <c r="CK563" s="18"/>
      <c r="CL563" s="18"/>
      <c r="CM563" s="18"/>
      <c r="CN563" s="18"/>
      <c r="CO563" s="18"/>
      <c r="CP563" s="18"/>
      <c r="CQ563" s="18"/>
      <c r="CR563" s="18"/>
      <c r="CS563" s="18"/>
      <c r="CT563" s="18"/>
      <c r="CU563" s="18"/>
      <c r="CV563" s="18"/>
      <c r="CW563" s="18"/>
      <c r="CX563" s="18"/>
      <c r="CY563" s="18"/>
      <c r="CZ563" s="18"/>
      <c r="DA563" s="18"/>
      <c r="DB563" s="18"/>
      <c r="DC563" s="18"/>
      <c r="DD563" s="18"/>
      <c r="DE563" s="18"/>
      <c r="DF563" s="18"/>
    </row>
    <row r="564" spans="1:110">
      <c r="A564" s="168">
        <v>5</v>
      </c>
      <c r="B564" s="71"/>
      <c r="C564" s="70" t="str" cm="1">
        <f t="array" aca="1" ref="C564" ca="1">IF(OR(B564="",O564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64" s="67" t="str" cm="1">
        <f t="array" aca="1" ref="D564" ca="1">IF(OR(B564="",O564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64" s="67" t="str" cm="1">
        <f t="array" aca="1" ref="E564" ca="1">IF(OR(B564="",O564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564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64" s="67" t="str" cm="1">
        <f t="array" aca="1" ref="F564" ca="1">IF(OR(B564="",O564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564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64" s="67" t="str" cm="1">
        <f t="array" aca="1" ref="G564" ca="1">IF(OR(B564="",O564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64" s="67" t="str" cm="1">
        <f t="array" aca="1" ref="H564" ca="1">IF(OR(B564="",O564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64" s="68" t="str" cm="1">
        <f t="array" aca="1" ref="I564" ca="1">IF(OR(B564="",O564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64" s="68" t="str" cm="1">
        <f t="array" aca="1" ref="J564" ca="1">IF(OR(B564="",O564=""),"",--(SUM(_xlfn.XLOOKUP(_xlfn._xlws.FILTER(_xlfn.TOCOL(_xlfn.CHOOSECOLS(C548:L556,2,4,6,8,10),0,TRUE),_xlfn.TOCOL(_xlfn.CHOOSECOLS(C548:L556,1,3,5,7,9),0,TRUE)&lt;&gt;""),Lists!$AC$2:$AC$9,Lists!$AF$2:$AF$9,0))&gt;SUM(_xlfn.XLOOKUP(_xlfn._xlws.FILTER(_xlfn.TOCOL(_xlfn.CHOOSECOLS(C569:L577,2,4,6,8,10),0,TRUE),_xlfn.TOCOL(_xlfn.CHOOSECOLS(C569:L577,1,3,5,7,9),0,TRUE)&lt;&gt;""),Lists!$AC$2:$AC$9,Lists!$AF$2:$AF$9,0)))*--(ROW()-ROW(C559)=_xlfn.XLOOKUP(MAX(IF(O560:O565&gt;0,INT(C560:C565)*3+MOD(ROUND(C560:C565*10,0),10),-1)),IF(O560:O565&gt;0,INT(C560:C565)*3+MOD(ROUND(C560:C565*10,0),10),-1),_xlfn.SEQUENCE(ROWS(O560:O565)),,0)))</f>
        <v/>
      </c>
      <c r="K564" s="68" t="str" cm="1">
        <f t="array" aca="1" ref="K564" ca="1">IF(OR(B564="",O564=""),"",--(SUM(_xlfn.XLOOKUP(_xlfn._xlws.FILTER(_xlfn.TOCOL(_xlfn.CHOOSECOLS(C548:L556,2,4,6,8,10),0,TRUE),_xlfn.TOCOL(_xlfn.CHOOSECOLS(C548:L556,1,3,5,7,9),0,TRUE)&lt;&gt;""),Lists!$AC$2:$AC$9,Lists!$AF$2:$AF$9,0))&lt;SUM(_xlfn.XLOOKUP(_xlfn._xlws.FILTER(_xlfn.TOCOL(_xlfn.CHOOSECOLS(C569:L577,2,4,6,8,10),0,TRUE),_xlfn.TOCOL(_xlfn.CHOOSECOLS(C569:L577,1,3,5,7,9),0,TRUE)&lt;&gt;""),Lists!$AC$2:$AC$9,Lists!$AF$2:$AF$9,0)))*--(ROW()-ROW(C559)=_xlfn.XLOOKUP(MAX(IF(O560:O565&gt;0,E560:E565,-1)),IF(O560:O565&gt;0,E560:E565,-1),_xlfn.SEQUENCE(ROWS(O560:O565)),,0)))</f>
        <v/>
      </c>
      <c r="L564" s="68" t="str" cm="1">
        <f t="array" aca="1" ref="L564" ca="1">IF(OR(B564="",O564=""),"",--(SUM(_xlfn.XLOOKUP(_xlfn._xlws.FILTER(_xlfn.TOCOL(_xlfn.CHOOSECOLS(C548:L556,2,4,6,8,10),0,TRUE),_xlfn.TOCOL(_xlfn.CHOOSECOLS(C548:L556,1,3,5,7,9),0,TRUE)&lt;&gt;""),Lists!$AC$2:$AC$9,Lists!$AF$2:$AF$9,0))&gt;SUM(_xlfn.XLOOKUP(_xlfn._xlws.FILTER(_xlfn.TOCOL(_xlfn.CHOOSECOLS(C569:L577,2,4,6,8,10),0,TRUE),_xlfn.TOCOL(_xlfn.CHOOSECOLS(C569:L577,1,3,5,7,9),0,TRUE)&lt;&gt;""),Lists!$AC$2:$AC$9,Lists!$AF$2:$AF$9,0)))*--(COUNTIF(O560:O565,"&gt;0")&gt;1)*--(ROW()-ROW(C559)=_xlfn.XLOOKUP(TRUE,O560:O565&gt;0,_xlfn.SEQUENCE(ROWS(O560:O565)),,0,-1))*--(_xlfn.XLOOKUP(TRUE,O560:O565&gt;0,_xlfn.SEQUENCE(ROWS(O560:O565)),,0,-1)&lt;&gt;_xlfn.XLOOKUP(MAX(IF(O560:O565&gt;0,INT(C560:C565)*3+MOD(ROUND(C560:C565*10,0),10),-1)),IF(O560:O565&gt;0,INT(C560:C565)*3+MOD(ROUND(C560:C565*10,0),10),-1),_xlfn.SEQUENCE(ROWS(O560:O565)),,0))*--(SUM(_xlfn.XLOOKUP(_xlfn._xlws.FILTER(_xlfn.TOCOL(_xlfn.CHOOSECOLS(C548:L556,2,4,6,8,10),0,TRUE),_xlfn.TOCOL(_xlfn.CHOOSECOLS(C548:L556,1,3,5,7,9),0,TRUE)&lt;&gt;""),Lists!$AC$2:$AC$9,Lists!$AF$2:$AF$9,0))-SUM(_xlfn.XLOOKUP(_xlfn._xlws.FILTER(_xlfn.TOCOL(_xlfn.CHOOSECOLS(C569:L577,2,4,6,8,10),0,TRUE),_xlfn.TOCOL(_xlfn.CHOOSECOLS(C569:L577,1,3,5,7,9),0,TRUE)&lt;&gt;""),Lists!$AC$2:$AC$9,Lists!$AF$2:$AF$9,0))&lt;=3)*--((INT(C564)*3+MOD(ROUND(C564*10,0),10))&gt;=3))</f>
        <v/>
      </c>
      <c r="M564" s="68" t="str" cm="1">
        <f t="array" ref="M564">IF(OR(B564="",O564=""),"",--(COUNTIF(O560:O565,"&gt;0")=1)*--(SUM(_xlfn.XLOOKUP(_xlfn._xlws.FILTER(_xlfn.TOCOL(_xlfn.CHOOSECOLS(C569:L577,2,4,6,8,10),0,TRUE),_xlfn.TOCOL(_xlfn.CHOOSECOLS(C569:L577,1,3,5,7,9),0,TRUE)&lt;&gt;""),Lists!$AC$2:$AC$9,Lists!$AF$2:$AF$9,0))=0))</f>
        <v/>
      </c>
      <c r="N564" s="69" t="str">
        <f>IF(OR(B564="",O564=""),"",--(COUNTIF(O560:O565,"&gt;0")=1))</f>
        <v/>
      </c>
      <c r="O564" s="5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8"/>
      <c r="CG564" s="18"/>
      <c r="CH564" s="18"/>
      <c r="CI564" s="18"/>
      <c r="CJ564" s="18"/>
      <c r="CK564" s="18"/>
      <c r="CL564" s="18"/>
      <c r="CM564" s="18"/>
      <c r="CN564" s="18"/>
      <c r="CO564" s="18"/>
      <c r="CP564" s="18"/>
      <c r="CQ564" s="18"/>
      <c r="CR564" s="18"/>
      <c r="CS564" s="18"/>
      <c r="CT564" s="18"/>
      <c r="CU564" s="18"/>
      <c r="CV564" s="18"/>
      <c r="CW564" s="18"/>
      <c r="CX564" s="18"/>
      <c r="CY564" s="18"/>
      <c r="CZ564" s="18"/>
      <c r="DA564" s="18"/>
      <c r="DB564" s="18"/>
      <c r="DC564" s="18"/>
      <c r="DD564" s="18"/>
      <c r="DE564" s="18"/>
      <c r="DF564" s="18"/>
    </row>
    <row r="565" spans="1:110">
      <c r="A565" s="168">
        <v>6</v>
      </c>
      <c r="B565" s="71"/>
      <c r="C565" s="70" t="str" cm="1">
        <f t="array" aca="1" ref="C565" ca="1">IF(OR(B565="",O565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65" s="67" t="str" cm="1">
        <f t="array" aca="1" ref="D565" ca="1">IF(OR(B565="",O565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65" s="67" t="str" cm="1">
        <f t="array" aca="1" ref="E565" ca="1">IF(OR(B565="",O565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565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65" s="67" t="str" cm="1">
        <f t="array" aca="1" ref="F565" ca="1">IF(OR(B565="",O565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565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65" s="67" t="str" cm="1">
        <f t="array" aca="1" ref="G565" ca="1">IF(OR(B565="",O565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65" s="67" t="str" cm="1">
        <f t="array" aca="1" ref="H565" ca="1">IF(OR(B565="",O565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65" s="68" t="str" cm="1">
        <f t="array" aca="1" ref="I565" ca="1">IF(OR(B565="",O565=""),"",_xlfn.LET(_xlpm.flatPAraw,_xlfn.TOCOL(_xlfn.CHOOSECOLS(C569:L577,1,3,5,7,9),0,TRUE),_xlpm.flatPARraw,_xlfn.TOCOL(_xlfn.CHOOSECOLS(C569:L577,2,4,6,8,10),0,TRUE),_xlpm.flatPA,_xlfn._xlws.FILTER(_xlpm.flatPAraw,_xlpm.flatPAraw&lt;&gt;""),_xlpm.flatPAR,_xlfn._xlws.FILTER(_xlpm.flatPARraw,_xlpm.flatPAraw&lt;&gt;""),_xlpm.prev,IF(ROW()=ROW(C560),0,SUM(INDEX(O:O,ROW(C560)):INDEX(O:O,ROW()-1))),_xlpm.need,O565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65" s="68" t="str" cm="1">
        <f t="array" aca="1" ref="J565" ca="1">IF(OR(B565="",O565=""),"",--(SUM(_xlfn.XLOOKUP(_xlfn._xlws.FILTER(_xlfn.TOCOL(_xlfn.CHOOSECOLS(C548:L556,2,4,6,8,10),0,TRUE),_xlfn.TOCOL(_xlfn.CHOOSECOLS(C548:L556,1,3,5,7,9),0,TRUE)&lt;&gt;""),Lists!$AC$2:$AC$9,Lists!$AF$2:$AF$9,0))&gt;SUM(_xlfn.XLOOKUP(_xlfn._xlws.FILTER(_xlfn.TOCOL(_xlfn.CHOOSECOLS(C569:L577,2,4,6,8,10),0,TRUE),_xlfn.TOCOL(_xlfn.CHOOSECOLS(C569:L577,1,3,5,7,9),0,TRUE)&lt;&gt;""),Lists!$AC$2:$AC$9,Lists!$AF$2:$AF$9,0)))*--(ROW()-ROW(C559)=_xlfn.XLOOKUP(MAX(IF(O560:O565&gt;0,INT(C560:C565)*3+MOD(ROUND(C560:C565*10,0),10),-1)),IF(O560:O565&gt;0,INT(C560:C565)*3+MOD(ROUND(C560:C565*10,0),10),-1),_xlfn.SEQUENCE(ROWS(O560:O565)),,0)))</f>
        <v/>
      </c>
      <c r="K565" s="68" t="str" cm="1">
        <f t="array" aca="1" ref="K565" ca="1">IF(OR(B565="",O565=""),"",--(SUM(_xlfn.XLOOKUP(_xlfn._xlws.FILTER(_xlfn.TOCOL(_xlfn.CHOOSECOLS(C548:L556,2,4,6,8,10),0,TRUE),_xlfn.TOCOL(_xlfn.CHOOSECOLS(C548:L556,1,3,5,7,9),0,TRUE)&lt;&gt;""),Lists!$AC$2:$AC$9,Lists!$AF$2:$AF$9,0))&lt;SUM(_xlfn.XLOOKUP(_xlfn._xlws.FILTER(_xlfn.TOCOL(_xlfn.CHOOSECOLS(C569:L577,2,4,6,8,10),0,TRUE),_xlfn.TOCOL(_xlfn.CHOOSECOLS(C569:L577,1,3,5,7,9),0,TRUE)&lt;&gt;""),Lists!$AC$2:$AC$9,Lists!$AF$2:$AF$9,0)))*--(ROW()-ROW(C559)=_xlfn.XLOOKUP(MAX(IF(O560:O565&gt;0,E560:E565,-1)),IF(O560:O565&gt;0,E560:E565,-1),_xlfn.SEQUENCE(ROWS(O560:O565)),,0)))</f>
        <v/>
      </c>
      <c r="L565" s="68" t="str" cm="1">
        <f t="array" aca="1" ref="L565" ca="1">IF(OR(B565="",O565=""),"",--(SUM(_xlfn.XLOOKUP(_xlfn._xlws.FILTER(_xlfn.TOCOL(_xlfn.CHOOSECOLS(C548:L556,2,4,6,8,10),0,TRUE),_xlfn.TOCOL(_xlfn.CHOOSECOLS(C548:L556,1,3,5,7,9),0,TRUE)&lt;&gt;""),Lists!$AC$2:$AC$9,Lists!$AF$2:$AF$9,0))&gt;SUM(_xlfn.XLOOKUP(_xlfn._xlws.FILTER(_xlfn.TOCOL(_xlfn.CHOOSECOLS(C569:L577,2,4,6,8,10),0,TRUE),_xlfn.TOCOL(_xlfn.CHOOSECOLS(C569:L577,1,3,5,7,9),0,TRUE)&lt;&gt;""),Lists!$AC$2:$AC$9,Lists!$AF$2:$AF$9,0)))*--(COUNTIF(O560:O565,"&gt;0")&gt;1)*--(ROW()-ROW(C559)=_xlfn.XLOOKUP(TRUE,O560:O565&gt;0,_xlfn.SEQUENCE(ROWS(O560:O565)),,0,-1))*--(_xlfn.XLOOKUP(TRUE,O560:O565&gt;0,_xlfn.SEQUENCE(ROWS(O560:O565)),,0,-1)&lt;&gt;_xlfn.XLOOKUP(MAX(IF(O560:O565&gt;0,INT(C560:C565)*3+MOD(ROUND(C560:C565*10,0),10),-1)),IF(O560:O565&gt;0,INT(C560:C565)*3+MOD(ROUND(C560:C565*10,0),10),-1),_xlfn.SEQUENCE(ROWS(O560:O565)),,0))*--(SUM(_xlfn.XLOOKUP(_xlfn._xlws.FILTER(_xlfn.TOCOL(_xlfn.CHOOSECOLS(C548:L556,2,4,6,8,10),0,TRUE),_xlfn.TOCOL(_xlfn.CHOOSECOLS(C548:L556,1,3,5,7,9),0,TRUE)&lt;&gt;""),Lists!$AC$2:$AC$9,Lists!$AF$2:$AF$9,0))-SUM(_xlfn.XLOOKUP(_xlfn._xlws.FILTER(_xlfn.TOCOL(_xlfn.CHOOSECOLS(C569:L577,2,4,6,8,10),0,TRUE),_xlfn.TOCOL(_xlfn.CHOOSECOLS(C569:L577,1,3,5,7,9),0,TRUE)&lt;&gt;""),Lists!$AC$2:$AC$9,Lists!$AF$2:$AF$9,0))&lt;=3)*--((INT(C565)*3+MOD(ROUND(C565*10,0),10))&gt;=3))</f>
        <v/>
      </c>
      <c r="M565" s="68" t="str" cm="1">
        <f t="array" ref="M565">IF(OR(B565="",O565=""),"",--(COUNTIF(O560:O565,"&gt;0")=1)*--(SUM(_xlfn.XLOOKUP(_xlfn._xlws.FILTER(_xlfn.TOCOL(_xlfn.CHOOSECOLS(C569:L577,2,4,6,8,10),0,TRUE),_xlfn.TOCOL(_xlfn.CHOOSECOLS(C569:L577,1,3,5,7,9),0,TRUE)&lt;&gt;""),Lists!$AC$2:$AC$9,Lists!$AF$2:$AF$9,0))=0))</f>
        <v/>
      </c>
      <c r="N565" s="69" t="str">
        <f>IF(OR(B565="",O565=""),"",--(COUNTIF(O560:O565,"&gt;0")=1))</f>
        <v/>
      </c>
      <c r="O565" s="5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  <c r="CL565" s="18"/>
      <c r="CM565" s="18"/>
      <c r="CN565" s="18"/>
      <c r="CO565" s="18"/>
      <c r="CP565" s="18"/>
      <c r="CQ565" s="18"/>
      <c r="CR565" s="18"/>
      <c r="CS565" s="18"/>
      <c r="CT565" s="18"/>
      <c r="CU565" s="18"/>
      <c r="CV565" s="18"/>
      <c r="CW565" s="18"/>
      <c r="CX565" s="18"/>
      <c r="CY565" s="18"/>
      <c r="CZ565" s="18"/>
      <c r="DA565" s="18"/>
      <c r="DB565" s="18"/>
      <c r="DC565" s="18"/>
      <c r="DD565" s="18"/>
      <c r="DE565" s="18"/>
      <c r="DF565" s="18"/>
    </row>
    <row r="566" spans="1:110">
      <c r="A566" s="173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3"/>
      <c r="Q566" s="53"/>
      <c r="R566" s="53"/>
      <c r="S566" s="53"/>
      <c r="T566" s="53"/>
      <c r="U566" s="53"/>
      <c r="V566" s="53"/>
      <c r="W566" s="53"/>
      <c r="X566" s="53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8"/>
      <c r="CG566" s="18"/>
      <c r="CH566" s="18"/>
      <c r="CI566" s="18"/>
      <c r="CJ566" s="18"/>
      <c r="CK566" s="18"/>
      <c r="CL566" s="18"/>
      <c r="CM566" s="18"/>
      <c r="CN566" s="18"/>
      <c r="CO566" s="18"/>
      <c r="CP566" s="18"/>
      <c r="CQ566" s="18"/>
      <c r="CR566" s="18"/>
      <c r="CS566" s="18"/>
      <c r="CT566" s="18"/>
      <c r="CU566" s="18"/>
      <c r="CV566" s="18"/>
      <c r="CW566" s="18"/>
      <c r="CX566" s="18"/>
      <c r="CY566" s="18"/>
      <c r="CZ566" s="18"/>
      <c r="DA566" s="18"/>
      <c r="DB566" s="18"/>
      <c r="DC566" s="18"/>
      <c r="DD566" s="18"/>
      <c r="DE566" s="18"/>
      <c r="DF566" s="18"/>
    </row>
    <row r="567" spans="1:110">
      <c r="A567" s="205" t="str">
        <f ca="1">IF($R$541="","Team B Batting",$R$541&amp;" Batting")</f>
        <v>Team B Batting</v>
      </c>
      <c r="B567" s="206"/>
      <c r="C567" s="206"/>
      <c r="D567" s="206"/>
      <c r="E567" s="206"/>
      <c r="F567" s="206"/>
      <c r="G567" s="206"/>
      <c r="H567" s="206"/>
      <c r="I567" s="206"/>
      <c r="J567" s="206"/>
      <c r="K567" s="206"/>
      <c r="L567" s="206"/>
      <c r="M567" s="206"/>
      <c r="N567" s="206"/>
      <c r="O567" s="181"/>
      <c r="P567" s="182"/>
      <c r="Q567" s="182"/>
      <c r="R567" s="182"/>
      <c r="S567" s="182"/>
      <c r="T567" s="182"/>
      <c r="U567" s="182"/>
      <c r="V567" s="182"/>
      <c r="W567" s="182"/>
      <c r="X567" s="182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  <c r="CF567" s="18"/>
      <c r="CG567" s="18"/>
      <c r="CH567" s="18"/>
      <c r="CI567" s="18"/>
      <c r="CJ567" s="18"/>
      <c r="CK567" s="18"/>
      <c r="CL567" s="18"/>
      <c r="CM567" s="18"/>
      <c r="CN567" s="18"/>
      <c r="CO567" s="18"/>
      <c r="CP567" s="18"/>
      <c r="CQ567" s="18"/>
      <c r="CR567" s="18"/>
      <c r="CS567" s="18"/>
      <c r="CT567" s="18"/>
      <c r="CU567" s="18"/>
      <c r="CV567" s="18"/>
      <c r="CW567" s="18"/>
      <c r="CX567" s="18"/>
      <c r="CY567" s="18"/>
      <c r="CZ567" s="18"/>
      <c r="DA567" s="18"/>
      <c r="DB567" s="18"/>
      <c r="DC567" s="18"/>
      <c r="DD567" s="18"/>
      <c r="DE567" s="18"/>
      <c r="DF567" s="18"/>
    </row>
    <row r="568" spans="1:110">
      <c r="A568" s="167" t="s">
        <v>164</v>
      </c>
      <c r="B568" s="43" t="s">
        <v>39</v>
      </c>
      <c r="C568" s="43" t="s">
        <v>165</v>
      </c>
      <c r="D568" s="43" t="s">
        <v>166</v>
      </c>
      <c r="E568" s="43" t="s">
        <v>167</v>
      </c>
      <c r="F568" s="43" t="s">
        <v>168</v>
      </c>
      <c r="G568" s="43" t="s">
        <v>169</v>
      </c>
      <c r="H568" s="43" t="s">
        <v>170</v>
      </c>
      <c r="I568" s="43" t="s">
        <v>171</v>
      </c>
      <c r="J568" s="43" t="s">
        <v>172</v>
      </c>
      <c r="K568" s="43" t="s">
        <v>173</v>
      </c>
      <c r="L568" s="43" t="s">
        <v>174</v>
      </c>
      <c r="M568" s="43" t="s">
        <v>175</v>
      </c>
      <c r="N568" s="44" t="s">
        <v>161</v>
      </c>
      <c r="O568" s="44" t="s">
        <v>162</v>
      </c>
      <c r="P568" s="44" t="s">
        <v>176</v>
      </c>
      <c r="Q568" s="44" t="s">
        <v>177</v>
      </c>
      <c r="R568" s="44" t="s">
        <v>178</v>
      </c>
      <c r="S568" s="44" t="s">
        <v>179</v>
      </c>
      <c r="T568" s="44" t="s">
        <v>180</v>
      </c>
      <c r="U568" s="44" t="s">
        <v>181</v>
      </c>
      <c r="V568" s="44" t="s">
        <v>182</v>
      </c>
      <c r="W568" s="44" t="s">
        <v>183</v>
      </c>
      <c r="X568" s="45" t="s">
        <v>184</v>
      </c>
      <c r="Y568" s="45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  <c r="CF568" s="18"/>
      <c r="CG568" s="18"/>
      <c r="CH568" s="18"/>
      <c r="CI568" s="18"/>
      <c r="CJ568" s="18"/>
      <c r="CK568" s="18"/>
      <c r="CL568" s="18"/>
      <c r="CM568" s="18"/>
      <c r="CN568" s="18"/>
      <c r="CO568" s="18"/>
      <c r="CP568" s="18"/>
      <c r="CQ568" s="18"/>
      <c r="CR568" s="18"/>
      <c r="CS568" s="18"/>
      <c r="CT568" s="18"/>
      <c r="CU568" s="18"/>
      <c r="CV568" s="18"/>
      <c r="CW568" s="18"/>
      <c r="CX568" s="18"/>
      <c r="CY568" s="18"/>
      <c r="CZ568" s="18"/>
      <c r="DA568" s="18"/>
      <c r="DB568" s="18"/>
      <c r="DC568" s="18"/>
      <c r="DD568" s="18"/>
      <c r="DE568" s="18"/>
      <c r="DF568" s="18"/>
    </row>
    <row r="569" spans="1:110">
      <c r="A569" s="168">
        <v>1</v>
      </c>
      <c r="B569" s="47" t="str">
        <f ca="1">Lineups!$H$159</f>
        <v/>
      </c>
      <c r="C569" s="49"/>
      <c r="D569" s="49"/>
      <c r="E569" s="49"/>
      <c r="F569" s="49"/>
      <c r="G569" s="49"/>
      <c r="H569" s="50"/>
      <c r="I569" s="50"/>
      <c r="J569" s="50"/>
      <c r="K569" s="50"/>
      <c r="L569" s="50"/>
      <c r="M569" s="67" t="str">
        <f ca="1">IF($B569="","",SUM(_xlfn.XLOOKUP(C569,Lists!$P$2:$P$19,Lists!$R$2:$R$19,0),_xlfn.XLOOKUP(E569,Lists!$P$2:$P$19,Lists!$R$2:$R$19,0),_xlfn.XLOOKUP(G569,Lists!$P$2:$P$19,Lists!$R$2:$R$19,0),_xlfn.XLOOKUP(I569,Lists!$P$2:$P$19,Lists!$R$2:$R$19,0),_xlfn.XLOOKUP(K569,Lists!$P$2:$P$19,Lists!$R$2:$R$19,0)))</f>
        <v/>
      </c>
      <c r="N569" s="68" t="str">
        <f ca="1">IF($B569="","",SUM(_xlfn.XLOOKUP(D569,Lists!$AC$2:$AC$9,Lists!$AE$2:$AE$9,0),_xlfn.XLOOKUP(F569,Lists!$AC$2:$AC$9,Lists!$AE$2:$AE$9,0),_xlfn.XLOOKUP(H569,Lists!$AC$2:$AC$9,Lists!$AE$2:$AE$9,0),_xlfn.XLOOKUP(J569,Lists!$AC$2:$AC$9,Lists!$AE$2:$AE$9,0),_xlfn.XLOOKUP(L569,Lists!$AC$2:$AC$9,Lists!$AE$2:$AE$9,0)))</f>
        <v/>
      </c>
      <c r="O569" s="68" t="str">
        <f ca="1">IF($B569="","",SUM(_xlfn.XLOOKUP(C569,Lists!$P$2:$P$19,Lists!$S$2:$S$19,0),_xlfn.XLOOKUP(E569,Lists!$P$2:$P$19,Lists!$S$2:$S$19,0),_xlfn.XLOOKUP(G569,Lists!$P$2:$P$19,Lists!$S$2:$S$19,0),_xlfn.XLOOKUP(I569,Lists!$P$2:$P$19,Lists!$S$2:$S$19,0),_xlfn.XLOOKUP(K569,Lists!$P$2:$P$19,Lists!$S$2:$S$19,0)))</f>
        <v/>
      </c>
      <c r="P569" s="68" t="str">
        <f ca="1">IF($B569="","",SUM(_xlfn.XLOOKUP(C569,Lists!$P$2:$P$19,Lists!$T$2:$T$19,0),_xlfn.XLOOKUP(E569,Lists!$P$2:$P$19,Lists!$T$2:$T$19,0),_xlfn.XLOOKUP(G569,Lists!$P$2:$P$19,Lists!$T$2:$T$19,0),_xlfn.XLOOKUP(I569,Lists!$P$2:$P$19,Lists!$T$2:$T$19,0),_xlfn.XLOOKUP(K569,Lists!$P$2:$P$19,Lists!$T$2:$T$19,0)))</f>
        <v/>
      </c>
      <c r="Q569" s="68" t="str">
        <f ca="1">IF($B569="","",SUM(_xlfn.XLOOKUP(C569,Lists!$P$2:$P$19,Lists!$U$2:$U$19,0),_xlfn.XLOOKUP(E569,Lists!$P$2:$P$19,Lists!$U$2:$U$19,0),_xlfn.XLOOKUP(G569,Lists!$P$2:$P$19,Lists!$U$2:$U$19,0),_xlfn.XLOOKUP(I569,Lists!$P$2:$P$19,Lists!$U$2:$U$19,0),_xlfn.XLOOKUP(K569,Lists!$P$2:$P$19,Lists!$U$2:$U$19,0)))</f>
        <v/>
      </c>
      <c r="R569" s="68" t="str">
        <f ca="1">IF($B569="","",SUM(_xlfn.XLOOKUP(C569,Lists!$P$2:$P$19,Lists!$V$2:$V$19,0),_xlfn.XLOOKUP(E569,Lists!$P$2:$P$19,Lists!$V$2:$V$19,0),_xlfn.XLOOKUP(G569,Lists!$P$2:$P$19,Lists!$V$2:$V$19,0),_xlfn.XLOOKUP(I569,Lists!$P$2:$P$19,Lists!$V$2:$V$19,0),_xlfn.XLOOKUP(K569,Lists!$P$2:$P$19,Lists!$V$2:$V$19,0)))</f>
        <v/>
      </c>
      <c r="S569" s="68" t="str">
        <f ca="1">IF($B569="","",SUM(_xlfn.XLOOKUP(D569,Lists!$AC$2:$AC$9,Lists!$AD$2:$AD$9,0),_xlfn.XLOOKUP(F569,Lists!$AC$2:$AC$9,Lists!$AD$2:$AD$9,0),_xlfn.XLOOKUP(H569,Lists!$AC$2:$AC$9,Lists!$AD$2:$AD$9,0),_xlfn.XLOOKUP(J569,Lists!$AC$2:$AC$9,Lists!$AD$2:$AD$9,0),_xlfn.XLOOKUP(L569,Lists!$AC$2:$AC$9,Lists!$AD$2:$AD$9,0)))</f>
        <v/>
      </c>
      <c r="T569" s="68" t="str">
        <f ca="1">IF($B569="","",SUM(_xlfn.XLOOKUP(C569,Lists!$P$2:$P$19,Lists!$W$2:$W$19,0),_xlfn.XLOOKUP(E569,Lists!$P$2:$P$19,Lists!$W$2:$W$19,0),_xlfn.XLOOKUP(G569,Lists!$P$2:$P$19,Lists!$W$2:$W$19,0),_xlfn.XLOOKUP(I569,Lists!$P$2:$P$19,Lists!$W$2:$W$19,0),_xlfn.XLOOKUP(K569,Lists!$P$2:$P$19,Lists!$W$2:$W$19,0)))</f>
        <v/>
      </c>
      <c r="U569" s="68" t="str">
        <f ca="1">IF($B569="","",SUM(_xlfn.XLOOKUP(C569,Lists!$P$2:$P$19,Lists!$X$2:$X$19,0),_xlfn.XLOOKUP(E569,Lists!$P$2:$P$19,Lists!$X$2:$X$19,0),_xlfn.XLOOKUP(G569,Lists!$P$2:$P$19,Lists!$X$2:$X$19,0),_xlfn.XLOOKUP(I569,Lists!$P$2:$P$19,Lists!$X$2:$X$19,0),_xlfn.XLOOKUP(K569,Lists!$P$2:$P$19,Lists!$X$2:$X$19,0)))</f>
        <v/>
      </c>
      <c r="V569" s="68" t="str">
        <f ca="1">IF($B569="","",SUM(_xlfn.XLOOKUP(C569,Lists!$P$2:$P$19,Lists!$Y$2:$Y$19,0),_xlfn.XLOOKUP(E569,Lists!$P$2:$P$19,Lists!$Y$2:$Y$19,0),_xlfn.XLOOKUP(G569,Lists!$P$2:$P$19,Lists!$Y$2:$Y$19,0),_xlfn.XLOOKUP(I569,Lists!$P$2:$P$19,Lists!$Y$2:$Y$19,0),_xlfn.XLOOKUP(K569,Lists!$P$2:$P$19,Lists!$Y$2:$Y$19,0)))</f>
        <v/>
      </c>
      <c r="W569" s="68" t="str">
        <f ca="1">IF($B569="","",SUM(_xlfn.XLOOKUP(C569,Lists!$P$2:$P$19,Lists!$Z$2:$Z$19,0),_xlfn.XLOOKUP(E569,Lists!$P$2:$P$19,Lists!$Z$2:$Z$19,0),_xlfn.XLOOKUP(G569,Lists!$P$2:$P$19,Lists!$Z$2:$Z$19,0),_xlfn.XLOOKUP(I569,Lists!$P$2:$P$19,Lists!$Z$2:$Z$19,0),_xlfn.XLOOKUP(K569,Lists!$P$2:$P$19,Lists!$Z$2:$Z$19,0)))</f>
        <v/>
      </c>
      <c r="X569" s="69" t="str">
        <f ca="1">IF($B569="","",SUM(_xlfn.XLOOKUP(C569,Lists!$P$2:$P$19,Lists!$AA$2:$AA$19,0),_xlfn.XLOOKUP(E569,Lists!$P$2:$P$19,Lists!$AA$2:$AA$19,0),_xlfn.XLOOKUP(G569,Lists!$P$2:$P$19,Lists!$AA$2:$AA$19,0),_xlfn.XLOOKUP(I569,Lists!$P$2:$P$19,Lists!$AA$2:$AA$19,0),_xlfn.XLOOKUP(K569,Lists!$P$2:$P$19,Lists!$AA$2:$AA$19,0)))</f>
        <v/>
      </c>
      <c r="Y569" s="49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  <c r="CI569" s="18"/>
      <c r="CJ569" s="18"/>
      <c r="CK569" s="18"/>
      <c r="CL569" s="18"/>
      <c r="CM569" s="18"/>
      <c r="CN569" s="18"/>
      <c r="CO569" s="18"/>
      <c r="CP569" s="18"/>
      <c r="CQ569" s="18"/>
      <c r="CR569" s="18"/>
      <c r="CS569" s="18"/>
      <c r="CT569" s="18"/>
      <c r="CU569" s="18"/>
      <c r="CV569" s="18"/>
      <c r="CW569" s="18"/>
      <c r="CX569" s="18"/>
      <c r="CY569" s="18"/>
      <c r="CZ569" s="18"/>
      <c r="DA569" s="18"/>
      <c r="DB569" s="18"/>
      <c r="DC569" s="18"/>
      <c r="DD569" s="18"/>
      <c r="DE569" s="18"/>
      <c r="DF569" s="18"/>
    </row>
    <row r="570" spans="1:110">
      <c r="A570" s="168">
        <v>2</v>
      </c>
      <c r="B570" s="47" t="str">
        <f ca="1">Lineups!$H$160</f>
        <v/>
      </c>
      <c r="C570" s="49"/>
      <c r="D570" s="49"/>
      <c r="E570" s="49"/>
      <c r="F570" s="49"/>
      <c r="G570" s="49"/>
      <c r="H570" s="50"/>
      <c r="I570" s="50"/>
      <c r="J570" s="50"/>
      <c r="K570" s="50"/>
      <c r="L570" s="50"/>
      <c r="M570" s="67" t="str">
        <f ca="1">IF($B570="","",SUM(_xlfn.XLOOKUP(C570,Lists!$P$2:$P$19,Lists!$R$2:$R$19,0),_xlfn.XLOOKUP(E570,Lists!$P$2:$P$19,Lists!$R$2:$R$19,0),_xlfn.XLOOKUP(G570,Lists!$P$2:$P$19,Lists!$R$2:$R$19,0),_xlfn.XLOOKUP(I570,Lists!$P$2:$P$19,Lists!$R$2:$R$19,0),_xlfn.XLOOKUP(K570,Lists!$P$2:$P$19,Lists!$R$2:$R$19,0)))</f>
        <v/>
      </c>
      <c r="N570" s="68" t="str">
        <f ca="1">IF($B570="","",SUM(_xlfn.XLOOKUP(D570,Lists!$AC$2:$AC$9,Lists!$AE$2:$AE$9,0),_xlfn.XLOOKUP(F570,Lists!$AC$2:$AC$9,Lists!$AE$2:$AE$9,0),_xlfn.XLOOKUP(H570,Lists!$AC$2:$AC$9,Lists!$AE$2:$AE$9,0),_xlfn.XLOOKUP(J570,Lists!$AC$2:$AC$9,Lists!$AE$2:$AE$9,0),_xlfn.XLOOKUP(L570,Lists!$AC$2:$AC$9,Lists!$AE$2:$AE$9,0)))</f>
        <v/>
      </c>
      <c r="O570" s="68" t="str">
        <f ca="1">IF($B570="","",SUM(_xlfn.XLOOKUP(C570,Lists!$P$2:$P$19,Lists!$S$2:$S$19,0),_xlfn.XLOOKUP(E570,Lists!$P$2:$P$19,Lists!$S$2:$S$19,0),_xlfn.XLOOKUP(G570,Lists!$P$2:$P$19,Lists!$S$2:$S$19,0),_xlfn.XLOOKUP(I570,Lists!$P$2:$P$19,Lists!$S$2:$S$19,0),_xlfn.XLOOKUP(K570,Lists!$P$2:$P$19,Lists!$S$2:$S$19,0)))</f>
        <v/>
      </c>
      <c r="P570" s="68" t="str">
        <f ca="1">IF($B570="","",SUM(_xlfn.XLOOKUP(C570,Lists!$P$2:$P$19,Lists!$T$2:$T$19,0),_xlfn.XLOOKUP(E570,Lists!$P$2:$P$19,Lists!$T$2:$T$19,0),_xlfn.XLOOKUP(G570,Lists!$P$2:$P$19,Lists!$T$2:$T$19,0),_xlfn.XLOOKUP(I570,Lists!$P$2:$P$19,Lists!$T$2:$T$19,0),_xlfn.XLOOKUP(K570,Lists!$P$2:$P$19,Lists!$T$2:$T$19,0)))</f>
        <v/>
      </c>
      <c r="Q570" s="68" t="str">
        <f ca="1">IF($B570="","",SUM(_xlfn.XLOOKUP(C570,Lists!$P$2:$P$19,Lists!$U$2:$U$19,0),_xlfn.XLOOKUP(E570,Lists!$P$2:$P$19,Lists!$U$2:$U$19,0),_xlfn.XLOOKUP(G570,Lists!$P$2:$P$19,Lists!$U$2:$U$19,0),_xlfn.XLOOKUP(I570,Lists!$P$2:$P$19,Lists!$U$2:$U$19,0),_xlfn.XLOOKUP(K570,Lists!$P$2:$P$19,Lists!$U$2:$U$19,0)))</f>
        <v/>
      </c>
      <c r="R570" s="68" t="str">
        <f ca="1">IF($B570="","",SUM(_xlfn.XLOOKUP(C570,Lists!$P$2:$P$19,Lists!$V$2:$V$19,0),_xlfn.XLOOKUP(E570,Lists!$P$2:$P$19,Lists!$V$2:$V$19,0),_xlfn.XLOOKUP(G570,Lists!$P$2:$P$19,Lists!$V$2:$V$19,0),_xlfn.XLOOKUP(I570,Lists!$P$2:$P$19,Lists!$V$2:$V$19,0),_xlfn.XLOOKUP(K570,Lists!$P$2:$P$19,Lists!$V$2:$V$19,0)))</f>
        <v/>
      </c>
      <c r="S570" s="68" t="str">
        <f ca="1">IF($B570="","",SUM(_xlfn.XLOOKUP(D570,Lists!$AC$2:$AC$9,Lists!$AD$2:$AD$9,0),_xlfn.XLOOKUP(F570,Lists!$AC$2:$AC$9,Lists!$AD$2:$AD$9,0),_xlfn.XLOOKUP(H570,Lists!$AC$2:$AC$9,Lists!$AD$2:$AD$9,0),_xlfn.XLOOKUP(J570,Lists!$AC$2:$AC$9,Lists!$AD$2:$AD$9,0),_xlfn.XLOOKUP(L570,Lists!$AC$2:$AC$9,Lists!$AD$2:$AD$9,0)))</f>
        <v/>
      </c>
      <c r="T570" s="68" t="str">
        <f ca="1">IF($B570="","",SUM(_xlfn.XLOOKUP(C570,Lists!$P$2:$P$19,Lists!$W$2:$W$19,0),_xlfn.XLOOKUP(E570,Lists!$P$2:$P$19,Lists!$W$2:$W$19,0),_xlfn.XLOOKUP(G570,Lists!$P$2:$P$19,Lists!$W$2:$W$19,0),_xlfn.XLOOKUP(I570,Lists!$P$2:$P$19,Lists!$W$2:$W$19,0),_xlfn.XLOOKUP(K570,Lists!$P$2:$P$19,Lists!$W$2:$W$19,0)))</f>
        <v/>
      </c>
      <c r="U570" s="68" t="str">
        <f ca="1">IF($B570="","",SUM(_xlfn.XLOOKUP(C570,Lists!$P$2:$P$19,Lists!$X$2:$X$19,0),_xlfn.XLOOKUP(E570,Lists!$P$2:$P$19,Lists!$X$2:$X$19,0),_xlfn.XLOOKUP(G570,Lists!$P$2:$P$19,Lists!$X$2:$X$19,0),_xlfn.XLOOKUP(I570,Lists!$P$2:$P$19,Lists!$X$2:$X$19,0),_xlfn.XLOOKUP(K570,Lists!$P$2:$P$19,Lists!$X$2:$X$19,0)))</f>
        <v/>
      </c>
      <c r="V570" s="68" t="str">
        <f ca="1">IF($B570="","",SUM(_xlfn.XLOOKUP(C570,Lists!$P$2:$P$19,Lists!$Y$2:$Y$19,0),_xlfn.XLOOKUP(E570,Lists!$P$2:$P$19,Lists!$Y$2:$Y$19,0),_xlfn.XLOOKUP(G570,Lists!$P$2:$P$19,Lists!$Y$2:$Y$19,0),_xlfn.XLOOKUP(I570,Lists!$P$2:$P$19,Lists!$Y$2:$Y$19,0),_xlfn.XLOOKUP(K570,Lists!$P$2:$P$19,Lists!$Y$2:$Y$19,0)))</f>
        <v/>
      </c>
      <c r="W570" s="68" t="str">
        <f ca="1">IF($B570="","",SUM(_xlfn.XLOOKUP(C570,Lists!$P$2:$P$19,Lists!$Z$2:$Z$19,0),_xlfn.XLOOKUP(E570,Lists!$P$2:$P$19,Lists!$Z$2:$Z$19,0),_xlfn.XLOOKUP(G570,Lists!$P$2:$P$19,Lists!$Z$2:$Z$19,0),_xlfn.XLOOKUP(I570,Lists!$P$2:$P$19,Lists!$Z$2:$Z$19,0),_xlfn.XLOOKUP(K570,Lists!$P$2:$P$19,Lists!$Z$2:$Z$19,0)))</f>
        <v/>
      </c>
      <c r="X570" s="69" t="str">
        <f ca="1">IF($B570="","",SUM(_xlfn.XLOOKUP(C570,Lists!$P$2:$P$19,Lists!$AA$2:$AA$19,0),_xlfn.XLOOKUP(E570,Lists!$P$2:$P$19,Lists!$AA$2:$AA$19,0),_xlfn.XLOOKUP(G570,Lists!$P$2:$P$19,Lists!$AA$2:$AA$19,0),_xlfn.XLOOKUP(I570,Lists!$P$2:$P$19,Lists!$AA$2:$AA$19,0),_xlfn.XLOOKUP(K570,Lists!$P$2:$P$19,Lists!$AA$2:$AA$19,0)))</f>
        <v/>
      </c>
      <c r="Y570" s="49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  <c r="CI570" s="18"/>
      <c r="CJ570" s="18"/>
      <c r="CK570" s="18"/>
      <c r="CL570" s="18"/>
      <c r="CM570" s="18"/>
      <c r="CN570" s="18"/>
      <c r="CO570" s="18"/>
      <c r="CP570" s="18"/>
      <c r="CQ570" s="18"/>
      <c r="CR570" s="18"/>
      <c r="CS570" s="18"/>
      <c r="CT570" s="18"/>
      <c r="CU570" s="18"/>
      <c r="CV570" s="18"/>
      <c r="CW570" s="18"/>
      <c r="CX570" s="18"/>
      <c r="CY570" s="18"/>
      <c r="CZ570" s="18"/>
      <c r="DA570" s="18"/>
      <c r="DB570" s="18"/>
      <c r="DC570" s="18"/>
      <c r="DD570" s="18"/>
      <c r="DE570" s="18"/>
      <c r="DF570" s="18"/>
    </row>
    <row r="571" spans="1:110">
      <c r="A571" s="168">
        <v>3</v>
      </c>
      <c r="B571" s="47" t="str">
        <f ca="1">Lineups!$H$161</f>
        <v/>
      </c>
      <c r="C571" s="49"/>
      <c r="D571" s="49"/>
      <c r="E571" s="49"/>
      <c r="F571" s="49"/>
      <c r="G571" s="49"/>
      <c r="H571" s="50"/>
      <c r="I571" s="50"/>
      <c r="J571" s="50"/>
      <c r="K571" s="50"/>
      <c r="L571" s="50"/>
      <c r="M571" s="67" t="str">
        <f ca="1">IF($B571="","",SUM(_xlfn.XLOOKUP(C571,Lists!$P$2:$P$19,Lists!$R$2:$R$19,0),_xlfn.XLOOKUP(E571,Lists!$P$2:$P$19,Lists!$R$2:$R$19,0),_xlfn.XLOOKUP(G571,Lists!$P$2:$P$19,Lists!$R$2:$R$19,0),_xlfn.XLOOKUP(I571,Lists!$P$2:$P$19,Lists!$R$2:$R$19,0),_xlfn.XLOOKUP(K571,Lists!$P$2:$P$19,Lists!$R$2:$R$19,0)))</f>
        <v/>
      </c>
      <c r="N571" s="68" t="str">
        <f ca="1">IF($B571="","",SUM(_xlfn.XLOOKUP(D571,Lists!$AC$2:$AC$9,Lists!$AE$2:$AE$9,0),_xlfn.XLOOKUP(F571,Lists!$AC$2:$AC$9,Lists!$AE$2:$AE$9,0),_xlfn.XLOOKUP(H571,Lists!$AC$2:$AC$9,Lists!$AE$2:$AE$9,0),_xlfn.XLOOKUP(J571,Lists!$AC$2:$AC$9,Lists!$AE$2:$AE$9,0),_xlfn.XLOOKUP(L571,Lists!$AC$2:$AC$9,Lists!$AE$2:$AE$9,0)))</f>
        <v/>
      </c>
      <c r="O571" s="68" t="str">
        <f ca="1">IF($B571="","",SUM(_xlfn.XLOOKUP(C571,Lists!$P$2:$P$19,Lists!$S$2:$S$19,0),_xlfn.XLOOKUP(E571,Lists!$P$2:$P$19,Lists!$S$2:$S$19,0),_xlfn.XLOOKUP(G571,Lists!$P$2:$P$19,Lists!$S$2:$S$19,0),_xlfn.XLOOKUP(I571,Lists!$P$2:$P$19,Lists!$S$2:$S$19,0),_xlfn.XLOOKUP(K571,Lists!$P$2:$P$19,Lists!$S$2:$S$19,0)))</f>
        <v/>
      </c>
      <c r="P571" s="68" t="str">
        <f ca="1">IF($B571="","",SUM(_xlfn.XLOOKUP(C571,Lists!$P$2:$P$19,Lists!$T$2:$T$19,0),_xlfn.XLOOKUP(E571,Lists!$P$2:$P$19,Lists!$T$2:$T$19,0),_xlfn.XLOOKUP(G571,Lists!$P$2:$P$19,Lists!$T$2:$T$19,0),_xlfn.XLOOKUP(I571,Lists!$P$2:$P$19,Lists!$T$2:$T$19,0),_xlfn.XLOOKUP(K571,Lists!$P$2:$P$19,Lists!$T$2:$T$19,0)))</f>
        <v/>
      </c>
      <c r="Q571" s="68" t="str">
        <f ca="1">IF($B571="","",SUM(_xlfn.XLOOKUP(C571,Lists!$P$2:$P$19,Lists!$U$2:$U$19,0),_xlfn.XLOOKUP(E571,Lists!$P$2:$P$19,Lists!$U$2:$U$19,0),_xlfn.XLOOKUP(G571,Lists!$P$2:$P$19,Lists!$U$2:$U$19,0),_xlfn.XLOOKUP(I571,Lists!$P$2:$P$19,Lists!$U$2:$U$19,0),_xlfn.XLOOKUP(K571,Lists!$P$2:$P$19,Lists!$U$2:$U$19,0)))</f>
        <v/>
      </c>
      <c r="R571" s="68" t="str">
        <f ca="1">IF($B571="","",SUM(_xlfn.XLOOKUP(C571,Lists!$P$2:$P$19,Lists!$V$2:$V$19,0),_xlfn.XLOOKUP(E571,Lists!$P$2:$P$19,Lists!$V$2:$V$19,0),_xlfn.XLOOKUP(G571,Lists!$P$2:$P$19,Lists!$V$2:$V$19,0),_xlfn.XLOOKUP(I571,Lists!$P$2:$P$19,Lists!$V$2:$V$19,0),_xlfn.XLOOKUP(K571,Lists!$P$2:$P$19,Lists!$V$2:$V$19,0)))</f>
        <v/>
      </c>
      <c r="S571" s="68" t="str">
        <f ca="1">IF($B571="","",SUM(_xlfn.XLOOKUP(D571,Lists!$AC$2:$AC$9,Lists!$AD$2:$AD$9,0),_xlfn.XLOOKUP(F571,Lists!$AC$2:$AC$9,Lists!$AD$2:$AD$9,0),_xlfn.XLOOKUP(H571,Lists!$AC$2:$AC$9,Lists!$AD$2:$AD$9,0),_xlfn.XLOOKUP(J571,Lists!$AC$2:$AC$9,Lists!$AD$2:$AD$9,0),_xlfn.XLOOKUP(L571,Lists!$AC$2:$AC$9,Lists!$AD$2:$AD$9,0)))</f>
        <v/>
      </c>
      <c r="T571" s="68" t="str">
        <f ca="1">IF($B571="","",SUM(_xlfn.XLOOKUP(C571,Lists!$P$2:$P$19,Lists!$W$2:$W$19,0),_xlfn.XLOOKUP(E571,Lists!$P$2:$P$19,Lists!$W$2:$W$19,0),_xlfn.XLOOKUP(G571,Lists!$P$2:$P$19,Lists!$W$2:$W$19,0),_xlfn.XLOOKUP(I571,Lists!$P$2:$P$19,Lists!$W$2:$W$19,0),_xlfn.XLOOKUP(K571,Lists!$P$2:$P$19,Lists!$W$2:$W$19,0)))</f>
        <v/>
      </c>
      <c r="U571" s="68" t="str">
        <f ca="1">IF($B571="","",SUM(_xlfn.XLOOKUP(C571,Lists!$P$2:$P$19,Lists!$X$2:$X$19,0),_xlfn.XLOOKUP(E571,Lists!$P$2:$P$19,Lists!$X$2:$X$19,0),_xlfn.XLOOKUP(G571,Lists!$P$2:$P$19,Lists!$X$2:$X$19,0),_xlfn.XLOOKUP(I571,Lists!$P$2:$P$19,Lists!$X$2:$X$19,0),_xlfn.XLOOKUP(K571,Lists!$P$2:$P$19,Lists!$X$2:$X$19,0)))</f>
        <v/>
      </c>
      <c r="V571" s="68" t="str">
        <f ca="1">IF($B571="","",SUM(_xlfn.XLOOKUP(C571,Lists!$P$2:$P$19,Lists!$Y$2:$Y$19,0),_xlfn.XLOOKUP(E571,Lists!$P$2:$P$19,Lists!$Y$2:$Y$19,0),_xlfn.XLOOKUP(G571,Lists!$P$2:$P$19,Lists!$Y$2:$Y$19,0),_xlfn.XLOOKUP(I571,Lists!$P$2:$P$19,Lists!$Y$2:$Y$19,0),_xlfn.XLOOKUP(K571,Lists!$P$2:$P$19,Lists!$Y$2:$Y$19,0)))</f>
        <v/>
      </c>
      <c r="W571" s="68" t="str">
        <f ca="1">IF($B571="","",SUM(_xlfn.XLOOKUP(C571,Lists!$P$2:$P$19,Lists!$Z$2:$Z$19,0),_xlfn.XLOOKUP(E571,Lists!$P$2:$P$19,Lists!$Z$2:$Z$19,0),_xlfn.XLOOKUP(G571,Lists!$P$2:$P$19,Lists!$Z$2:$Z$19,0),_xlfn.XLOOKUP(I571,Lists!$P$2:$P$19,Lists!$Z$2:$Z$19,0),_xlfn.XLOOKUP(K571,Lists!$P$2:$P$19,Lists!$Z$2:$Z$19,0)))</f>
        <v/>
      </c>
      <c r="X571" s="69" t="str">
        <f ca="1">IF($B571="","",SUM(_xlfn.XLOOKUP(C571,Lists!$P$2:$P$19,Lists!$AA$2:$AA$19,0),_xlfn.XLOOKUP(E571,Lists!$P$2:$P$19,Lists!$AA$2:$AA$19,0),_xlfn.XLOOKUP(G571,Lists!$P$2:$P$19,Lists!$AA$2:$AA$19,0),_xlfn.XLOOKUP(I571,Lists!$P$2:$P$19,Lists!$AA$2:$AA$19,0),_xlfn.XLOOKUP(K571,Lists!$P$2:$P$19,Lists!$AA$2:$AA$19,0)))</f>
        <v/>
      </c>
      <c r="Y571" s="49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  <c r="CF571" s="18"/>
      <c r="CG571" s="18"/>
      <c r="CH571" s="18"/>
      <c r="CI571" s="18"/>
      <c r="CJ571" s="18"/>
      <c r="CK571" s="18"/>
      <c r="CL571" s="18"/>
      <c r="CM571" s="18"/>
      <c r="CN571" s="18"/>
      <c r="CO571" s="18"/>
      <c r="CP571" s="18"/>
      <c r="CQ571" s="18"/>
      <c r="CR571" s="18"/>
      <c r="CS571" s="18"/>
      <c r="CT571" s="18"/>
      <c r="CU571" s="18"/>
      <c r="CV571" s="18"/>
      <c r="CW571" s="18"/>
      <c r="CX571" s="18"/>
      <c r="CY571" s="18"/>
      <c r="CZ571" s="18"/>
      <c r="DA571" s="18"/>
      <c r="DB571" s="18"/>
      <c r="DC571" s="18"/>
      <c r="DD571" s="18"/>
      <c r="DE571" s="18"/>
      <c r="DF571" s="18"/>
    </row>
    <row r="572" spans="1:110">
      <c r="A572" s="168">
        <v>4</v>
      </c>
      <c r="B572" s="47" t="str">
        <f ca="1">Lineups!$H$162</f>
        <v/>
      </c>
      <c r="C572" s="49"/>
      <c r="D572" s="49"/>
      <c r="E572" s="49"/>
      <c r="F572" s="49"/>
      <c r="G572" s="49"/>
      <c r="H572" s="50"/>
      <c r="I572" s="50"/>
      <c r="J572" s="50"/>
      <c r="K572" s="50"/>
      <c r="L572" s="50"/>
      <c r="M572" s="67" t="str">
        <f ca="1">IF($B572="","",SUM(_xlfn.XLOOKUP(C572,Lists!$P$2:$P$19,Lists!$R$2:$R$19,0),_xlfn.XLOOKUP(E572,Lists!$P$2:$P$19,Lists!$R$2:$R$19,0),_xlfn.XLOOKUP(G572,Lists!$P$2:$P$19,Lists!$R$2:$R$19,0),_xlfn.XLOOKUP(I572,Lists!$P$2:$P$19,Lists!$R$2:$R$19,0),_xlfn.XLOOKUP(K572,Lists!$P$2:$P$19,Lists!$R$2:$R$19,0)))</f>
        <v/>
      </c>
      <c r="N572" s="68" t="str">
        <f ca="1">IF($B572="","",SUM(_xlfn.XLOOKUP(D572,Lists!$AC$2:$AC$9,Lists!$AE$2:$AE$9,0),_xlfn.XLOOKUP(F572,Lists!$AC$2:$AC$9,Lists!$AE$2:$AE$9,0),_xlfn.XLOOKUP(H572,Lists!$AC$2:$AC$9,Lists!$AE$2:$AE$9,0),_xlfn.XLOOKUP(J572,Lists!$AC$2:$AC$9,Lists!$AE$2:$AE$9,0),_xlfn.XLOOKUP(L572,Lists!$AC$2:$AC$9,Lists!$AE$2:$AE$9,0)))</f>
        <v/>
      </c>
      <c r="O572" s="68" t="str">
        <f ca="1">IF($B572="","",SUM(_xlfn.XLOOKUP(C572,Lists!$P$2:$P$19,Lists!$S$2:$S$19,0),_xlfn.XLOOKUP(E572,Lists!$P$2:$P$19,Lists!$S$2:$S$19,0),_xlfn.XLOOKUP(G572,Lists!$P$2:$P$19,Lists!$S$2:$S$19,0),_xlfn.XLOOKUP(I572,Lists!$P$2:$P$19,Lists!$S$2:$S$19,0),_xlfn.XLOOKUP(K572,Lists!$P$2:$P$19,Lists!$S$2:$S$19,0)))</f>
        <v/>
      </c>
      <c r="P572" s="68" t="str">
        <f ca="1">IF($B572="","",SUM(_xlfn.XLOOKUP(C572,Lists!$P$2:$P$19,Lists!$T$2:$T$19,0),_xlfn.XLOOKUP(E572,Lists!$P$2:$P$19,Lists!$T$2:$T$19,0),_xlfn.XLOOKUP(G572,Lists!$P$2:$P$19,Lists!$T$2:$T$19,0),_xlfn.XLOOKUP(I572,Lists!$P$2:$P$19,Lists!$T$2:$T$19,0),_xlfn.XLOOKUP(K572,Lists!$P$2:$P$19,Lists!$T$2:$T$19,0)))</f>
        <v/>
      </c>
      <c r="Q572" s="68" t="str">
        <f ca="1">IF($B572="","",SUM(_xlfn.XLOOKUP(C572,Lists!$P$2:$P$19,Lists!$U$2:$U$19,0),_xlfn.XLOOKUP(E572,Lists!$P$2:$P$19,Lists!$U$2:$U$19,0),_xlfn.XLOOKUP(G572,Lists!$P$2:$P$19,Lists!$U$2:$U$19,0),_xlfn.XLOOKUP(I572,Lists!$P$2:$P$19,Lists!$U$2:$U$19,0),_xlfn.XLOOKUP(K572,Lists!$P$2:$P$19,Lists!$U$2:$U$19,0)))</f>
        <v/>
      </c>
      <c r="R572" s="68" t="str">
        <f ca="1">IF($B572="","",SUM(_xlfn.XLOOKUP(C572,Lists!$P$2:$P$19,Lists!$V$2:$V$19,0),_xlfn.XLOOKUP(E572,Lists!$P$2:$P$19,Lists!$V$2:$V$19,0),_xlfn.XLOOKUP(G572,Lists!$P$2:$P$19,Lists!$V$2:$V$19,0),_xlfn.XLOOKUP(I572,Lists!$P$2:$P$19,Lists!$V$2:$V$19,0),_xlfn.XLOOKUP(K572,Lists!$P$2:$P$19,Lists!$V$2:$V$19,0)))</f>
        <v/>
      </c>
      <c r="S572" s="68" t="str">
        <f ca="1">IF($B572="","",SUM(_xlfn.XLOOKUP(D572,Lists!$AC$2:$AC$9,Lists!$AD$2:$AD$9,0),_xlfn.XLOOKUP(F572,Lists!$AC$2:$AC$9,Lists!$AD$2:$AD$9,0),_xlfn.XLOOKUP(H572,Lists!$AC$2:$AC$9,Lists!$AD$2:$AD$9,0),_xlfn.XLOOKUP(J572,Lists!$AC$2:$AC$9,Lists!$AD$2:$AD$9,0),_xlfn.XLOOKUP(L572,Lists!$AC$2:$AC$9,Lists!$AD$2:$AD$9,0)))</f>
        <v/>
      </c>
      <c r="T572" s="68" t="str">
        <f ca="1">IF($B572="","",SUM(_xlfn.XLOOKUP(C572,Lists!$P$2:$P$19,Lists!$W$2:$W$19,0),_xlfn.XLOOKUP(E572,Lists!$P$2:$P$19,Lists!$W$2:$W$19,0),_xlfn.XLOOKUP(G572,Lists!$P$2:$P$19,Lists!$W$2:$W$19,0),_xlfn.XLOOKUP(I572,Lists!$P$2:$P$19,Lists!$W$2:$W$19,0),_xlfn.XLOOKUP(K572,Lists!$P$2:$P$19,Lists!$W$2:$W$19,0)))</f>
        <v/>
      </c>
      <c r="U572" s="68" t="str">
        <f ca="1">IF($B572="","",SUM(_xlfn.XLOOKUP(C572,Lists!$P$2:$P$19,Lists!$X$2:$X$19,0),_xlfn.XLOOKUP(E572,Lists!$P$2:$P$19,Lists!$X$2:$X$19,0),_xlfn.XLOOKUP(G572,Lists!$P$2:$P$19,Lists!$X$2:$X$19,0),_xlfn.XLOOKUP(I572,Lists!$P$2:$P$19,Lists!$X$2:$X$19,0),_xlfn.XLOOKUP(K572,Lists!$P$2:$P$19,Lists!$X$2:$X$19,0)))</f>
        <v/>
      </c>
      <c r="V572" s="68" t="str">
        <f ca="1">IF($B572="","",SUM(_xlfn.XLOOKUP(C572,Lists!$P$2:$P$19,Lists!$Y$2:$Y$19,0),_xlfn.XLOOKUP(E572,Lists!$P$2:$P$19,Lists!$Y$2:$Y$19,0),_xlfn.XLOOKUP(G572,Lists!$P$2:$P$19,Lists!$Y$2:$Y$19,0),_xlfn.XLOOKUP(I572,Lists!$P$2:$P$19,Lists!$Y$2:$Y$19,0),_xlfn.XLOOKUP(K572,Lists!$P$2:$P$19,Lists!$Y$2:$Y$19,0)))</f>
        <v/>
      </c>
      <c r="W572" s="68" t="str">
        <f ca="1">IF($B572="","",SUM(_xlfn.XLOOKUP(C572,Lists!$P$2:$P$19,Lists!$Z$2:$Z$19,0),_xlfn.XLOOKUP(E572,Lists!$P$2:$P$19,Lists!$Z$2:$Z$19,0),_xlfn.XLOOKUP(G572,Lists!$P$2:$P$19,Lists!$Z$2:$Z$19,0),_xlfn.XLOOKUP(I572,Lists!$P$2:$P$19,Lists!$Z$2:$Z$19,0),_xlfn.XLOOKUP(K572,Lists!$P$2:$P$19,Lists!$Z$2:$Z$19,0)))</f>
        <v/>
      </c>
      <c r="X572" s="69" t="str">
        <f ca="1">IF($B572="","",SUM(_xlfn.XLOOKUP(C572,Lists!$P$2:$P$19,Lists!$AA$2:$AA$19,0),_xlfn.XLOOKUP(E572,Lists!$P$2:$P$19,Lists!$AA$2:$AA$19,0),_xlfn.XLOOKUP(G572,Lists!$P$2:$P$19,Lists!$AA$2:$AA$19,0),_xlfn.XLOOKUP(I572,Lists!$P$2:$P$19,Lists!$AA$2:$AA$19,0),_xlfn.XLOOKUP(K572,Lists!$P$2:$P$19,Lists!$AA$2:$AA$19,0)))</f>
        <v/>
      </c>
      <c r="Y572" s="49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  <c r="CI572" s="18"/>
      <c r="CJ572" s="18"/>
      <c r="CK572" s="18"/>
      <c r="CL572" s="18"/>
      <c r="CM572" s="18"/>
      <c r="CN572" s="18"/>
      <c r="CO572" s="18"/>
      <c r="CP572" s="18"/>
      <c r="CQ572" s="18"/>
      <c r="CR572" s="18"/>
      <c r="CS572" s="18"/>
      <c r="CT572" s="18"/>
      <c r="CU572" s="18"/>
      <c r="CV572" s="18"/>
      <c r="CW572" s="18"/>
      <c r="CX572" s="18"/>
      <c r="CY572" s="18"/>
      <c r="CZ572" s="18"/>
      <c r="DA572" s="18"/>
      <c r="DB572" s="18"/>
      <c r="DC572" s="18"/>
      <c r="DD572" s="18"/>
      <c r="DE572" s="18"/>
      <c r="DF572" s="18"/>
    </row>
    <row r="573" spans="1:110">
      <c r="A573" s="168">
        <v>5</v>
      </c>
      <c r="B573" s="47" t="str">
        <f ca="1">Lineups!$H$163</f>
        <v/>
      </c>
      <c r="C573" s="49"/>
      <c r="D573" s="49"/>
      <c r="E573" s="49"/>
      <c r="F573" s="49"/>
      <c r="G573" s="49"/>
      <c r="H573" s="50"/>
      <c r="I573" s="50"/>
      <c r="J573" s="50"/>
      <c r="K573" s="50"/>
      <c r="L573" s="50"/>
      <c r="M573" s="67" t="str">
        <f ca="1">IF($B573="","",SUM(_xlfn.XLOOKUP(C573,Lists!$P$2:$P$19,Lists!$R$2:$R$19,0),_xlfn.XLOOKUP(E573,Lists!$P$2:$P$19,Lists!$R$2:$R$19,0),_xlfn.XLOOKUP(G573,Lists!$P$2:$P$19,Lists!$R$2:$R$19,0),_xlfn.XLOOKUP(I573,Lists!$P$2:$P$19,Lists!$R$2:$R$19,0),_xlfn.XLOOKUP(K573,Lists!$P$2:$P$19,Lists!$R$2:$R$19,0)))</f>
        <v/>
      </c>
      <c r="N573" s="68" t="str">
        <f ca="1">IF($B573="","",SUM(_xlfn.XLOOKUP(D573,Lists!$AC$2:$AC$9,Lists!$AE$2:$AE$9,0),_xlfn.XLOOKUP(F573,Lists!$AC$2:$AC$9,Lists!$AE$2:$AE$9,0),_xlfn.XLOOKUP(H573,Lists!$AC$2:$AC$9,Lists!$AE$2:$AE$9,0),_xlfn.XLOOKUP(J573,Lists!$AC$2:$AC$9,Lists!$AE$2:$AE$9,0),_xlfn.XLOOKUP(L573,Lists!$AC$2:$AC$9,Lists!$AE$2:$AE$9,0)))</f>
        <v/>
      </c>
      <c r="O573" s="68" t="str">
        <f ca="1">IF($B573="","",SUM(_xlfn.XLOOKUP(C573,Lists!$P$2:$P$19,Lists!$S$2:$S$19,0),_xlfn.XLOOKUP(E573,Lists!$P$2:$P$19,Lists!$S$2:$S$19,0),_xlfn.XLOOKUP(G573,Lists!$P$2:$P$19,Lists!$S$2:$S$19,0),_xlfn.XLOOKUP(I573,Lists!$P$2:$P$19,Lists!$S$2:$S$19,0),_xlfn.XLOOKUP(K573,Lists!$P$2:$P$19,Lists!$S$2:$S$19,0)))</f>
        <v/>
      </c>
      <c r="P573" s="68" t="str">
        <f ca="1">IF($B573="","",SUM(_xlfn.XLOOKUP(C573,Lists!$P$2:$P$19,Lists!$T$2:$T$19,0),_xlfn.XLOOKUP(E573,Lists!$P$2:$P$19,Lists!$T$2:$T$19,0),_xlfn.XLOOKUP(G573,Lists!$P$2:$P$19,Lists!$T$2:$T$19,0),_xlfn.XLOOKUP(I573,Lists!$P$2:$P$19,Lists!$T$2:$T$19,0),_xlfn.XLOOKUP(K573,Lists!$P$2:$P$19,Lists!$T$2:$T$19,0)))</f>
        <v/>
      </c>
      <c r="Q573" s="68" t="str">
        <f ca="1">IF($B573="","",SUM(_xlfn.XLOOKUP(C573,Lists!$P$2:$P$19,Lists!$U$2:$U$19,0),_xlfn.XLOOKUP(E573,Lists!$P$2:$P$19,Lists!$U$2:$U$19,0),_xlfn.XLOOKUP(G573,Lists!$P$2:$P$19,Lists!$U$2:$U$19,0),_xlfn.XLOOKUP(I573,Lists!$P$2:$P$19,Lists!$U$2:$U$19,0),_xlfn.XLOOKUP(K573,Lists!$P$2:$P$19,Lists!$U$2:$U$19,0)))</f>
        <v/>
      </c>
      <c r="R573" s="68" t="str">
        <f ca="1">IF($B573="","",SUM(_xlfn.XLOOKUP(C573,Lists!$P$2:$P$19,Lists!$V$2:$V$19,0),_xlfn.XLOOKUP(E573,Lists!$P$2:$P$19,Lists!$V$2:$V$19,0),_xlfn.XLOOKUP(G573,Lists!$P$2:$P$19,Lists!$V$2:$V$19,0),_xlfn.XLOOKUP(I573,Lists!$P$2:$P$19,Lists!$V$2:$V$19,0),_xlfn.XLOOKUP(K573,Lists!$P$2:$P$19,Lists!$V$2:$V$19,0)))</f>
        <v/>
      </c>
      <c r="S573" s="68" t="str">
        <f ca="1">IF($B573="","",SUM(_xlfn.XLOOKUP(D573,Lists!$AC$2:$AC$9,Lists!$AD$2:$AD$9,0),_xlfn.XLOOKUP(F573,Lists!$AC$2:$AC$9,Lists!$AD$2:$AD$9,0),_xlfn.XLOOKUP(H573,Lists!$AC$2:$AC$9,Lists!$AD$2:$AD$9,0),_xlfn.XLOOKUP(J573,Lists!$AC$2:$AC$9,Lists!$AD$2:$AD$9,0),_xlfn.XLOOKUP(L573,Lists!$AC$2:$AC$9,Lists!$AD$2:$AD$9,0)))</f>
        <v/>
      </c>
      <c r="T573" s="68" t="str">
        <f ca="1">IF($B573="","",SUM(_xlfn.XLOOKUP(C573,Lists!$P$2:$P$19,Lists!$W$2:$W$19,0),_xlfn.XLOOKUP(E573,Lists!$P$2:$P$19,Lists!$W$2:$W$19,0),_xlfn.XLOOKUP(G573,Lists!$P$2:$P$19,Lists!$W$2:$W$19,0),_xlfn.XLOOKUP(I573,Lists!$P$2:$P$19,Lists!$W$2:$W$19,0),_xlfn.XLOOKUP(K573,Lists!$P$2:$P$19,Lists!$W$2:$W$19,0)))</f>
        <v/>
      </c>
      <c r="U573" s="68" t="str">
        <f ca="1">IF($B573="","",SUM(_xlfn.XLOOKUP(C573,Lists!$P$2:$P$19,Lists!$X$2:$X$19,0),_xlfn.XLOOKUP(E573,Lists!$P$2:$P$19,Lists!$X$2:$X$19,0),_xlfn.XLOOKUP(G573,Lists!$P$2:$P$19,Lists!$X$2:$X$19,0),_xlfn.XLOOKUP(I573,Lists!$P$2:$P$19,Lists!$X$2:$X$19,0),_xlfn.XLOOKUP(K573,Lists!$P$2:$P$19,Lists!$X$2:$X$19,0)))</f>
        <v/>
      </c>
      <c r="V573" s="68" t="str">
        <f ca="1">IF($B573="","",SUM(_xlfn.XLOOKUP(C573,Lists!$P$2:$P$19,Lists!$Y$2:$Y$19,0),_xlfn.XLOOKUP(E573,Lists!$P$2:$P$19,Lists!$Y$2:$Y$19,0),_xlfn.XLOOKUP(G573,Lists!$P$2:$P$19,Lists!$Y$2:$Y$19,0),_xlfn.XLOOKUP(I573,Lists!$P$2:$P$19,Lists!$Y$2:$Y$19,0),_xlfn.XLOOKUP(K573,Lists!$P$2:$P$19,Lists!$Y$2:$Y$19,0)))</f>
        <v/>
      </c>
      <c r="W573" s="68" t="str">
        <f ca="1">IF($B573="","",SUM(_xlfn.XLOOKUP(C573,Lists!$P$2:$P$19,Lists!$Z$2:$Z$19,0),_xlfn.XLOOKUP(E573,Lists!$P$2:$P$19,Lists!$Z$2:$Z$19,0),_xlfn.XLOOKUP(G573,Lists!$P$2:$P$19,Lists!$Z$2:$Z$19,0),_xlfn.XLOOKUP(I573,Lists!$P$2:$P$19,Lists!$Z$2:$Z$19,0),_xlfn.XLOOKUP(K573,Lists!$P$2:$P$19,Lists!$Z$2:$Z$19,0)))</f>
        <v/>
      </c>
      <c r="X573" s="69" t="str">
        <f ca="1">IF($B573="","",SUM(_xlfn.XLOOKUP(C573,Lists!$P$2:$P$19,Lists!$AA$2:$AA$19,0),_xlfn.XLOOKUP(E573,Lists!$P$2:$P$19,Lists!$AA$2:$AA$19,0),_xlfn.XLOOKUP(G573,Lists!$P$2:$P$19,Lists!$AA$2:$AA$19,0),_xlfn.XLOOKUP(I573,Lists!$P$2:$P$19,Lists!$AA$2:$AA$19,0),_xlfn.XLOOKUP(K573,Lists!$P$2:$P$19,Lists!$AA$2:$AA$19,0)))</f>
        <v/>
      </c>
      <c r="Y573" s="49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  <c r="CI573" s="18"/>
      <c r="CJ573" s="18"/>
      <c r="CK573" s="18"/>
      <c r="CL573" s="18"/>
      <c r="CM573" s="18"/>
      <c r="CN573" s="18"/>
      <c r="CO573" s="18"/>
      <c r="CP573" s="18"/>
      <c r="CQ573" s="18"/>
      <c r="CR573" s="18"/>
      <c r="CS573" s="18"/>
      <c r="CT573" s="18"/>
      <c r="CU573" s="18"/>
      <c r="CV573" s="18"/>
      <c r="CW573" s="18"/>
      <c r="CX573" s="18"/>
      <c r="CY573" s="18"/>
      <c r="CZ573" s="18"/>
      <c r="DA573" s="18"/>
      <c r="DB573" s="18"/>
      <c r="DC573" s="18"/>
      <c r="DD573" s="18"/>
      <c r="DE573" s="18"/>
      <c r="DF573" s="18"/>
    </row>
    <row r="574" spans="1:110">
      <c r="A574" s="168">
        <v>6</v>
      </c>
      <c r="B574" s="47" t="str">
        <f ca="1">Lineups!$H$164</f>
        <v/>
      </c>
      <c r="C574" s="49"/>
      <c r="D574" s="49"/>
      <c r="E574" s="49"/>
      <c r="F574" s="49"/>
      <c r="G574" s="49"/>
      <c r="H574" s="50"/>
      <c r="I574" s="50"/>
      <c r="J574" s="50"/>
      <c r="K574" s="50"/>
      <c r="L574" s="50"/>
      <c r="M574" s="67" t="str">
        <f ca="1">IF($B574="","",SUM(_xlfn.XLOOKUP(C574,Lists!$P$2:$P$19,Lists!$R$2:$R$19,0),_xlfn.XLOOKUP(E574,Lists!$P$2:$P$19,Lists!$R$2:$R$19,0),_xlfn.XLOOKUP(G574,Lists!$P$2:$P$19,Lists!$R$2:$R$19,0),_xlfn.XLOOKUP(I574,Lists!$P$2:$P$19,Lists!$R$2:$R$19,0),_xlfn.XLOOKUP(K574,Lists!$P$2:$P$19,Lists!$R$2:$R$19,0)))</f>
        <v/>
      </c>
      <c r="N574" s="68" t="str">
        <f ca="1">IF($B574="","",SUM(_xlfn.XLOOKUP(D574,Lists!$AC$2:$AC$9,Lists!$AE$2:$AE$9,0),_xlfn.XLOOKUP(F574,Lists!$AC$2:$AC$9,Lists!$AE$2:$AE$9,0),_xlfn.XLOOKUP(H574,Lists!$AC$2:$AC$9,Lists!$AE$2:$AE$9,0),_xlfn.XLOOKUP(J574,Lists!$AC$2:$AC$9,Lists!$AE$2:$AE$9,0),_xlfn.XLOOKUP(L574,Lists!$AC$2:$AC$9,Lists!$AE$2:$AE$9,0)))</f>
        <v/>
      </c>
      <c r="O574" s="68" t="str">
        <f ca="1">IF($B574="","",SUM(_xlfn.XLOOKUP(C574,Lists!$P$2:$P$19,Lists!$S$2:$S$19,0),_xlfn.XLOOKUP(E574,Lists!$P$2:$P$19,Lists!$S$2:$S$19,0),_xlfn.XLOOKUP(G574,Lists!$P$2:$P$19,Lists!$S$2:$S$19,0),_xlfn.XLOOKUP(I574,Lists!$P$2:$P$19,Lists!$S$2:$S$19,0),_xlfn.XLOOKUP(K574,Lists!$P$2:$P$19,Lists!$S$2:$S$19,0)))</f>
        <v/>
      </c>
      <c r="P574" s="68" t="str">
        <f ca="1">IF($B574="","",SUM(_xlfn.XLOOKUP(C574,Lists!$P$2:$P$19,Lists!$T$2:$T$19,0),_xlfn.XLOOKUP(E574,Lists!$P$2:$P$19,Lists!$T$2:$T$19,0),_xlfn.XLOOKUP(G574,Lists!$P$2:$P$19,Lists!$T$2:$T$19,0),_xlfn.XLOOKUP(I574,Lists!$P$2:$P$19,Lists!$T$2:$T$19,0),_xlfn.XLOOKUP(K574,Lists!$P$2:$P$19,Lists!$T$2:$T$19,0)))</f>
        <v/>
      </c>
      <c r="Q574" s="68" t="str">
        <f ca="1">IF($B574="","",SUM(_xlfn.XLOOKUP(C574,Lists!$P$2:$P$19,Lists!$U$2:$U$19,0),_xlfn.XLOOKUP(E574,Lists!$P$2:$P$19,Lists!$U$2:$U$19,0),_xlfn.XLOOKUP(G574,Lists!$P$2:$P$19,Lists!$U$2:$U$19,0),_xlfn.XLOOKUP(I574,Lists!$P$2:$P$19,Lists!$U$2:$U$19,0),_xlfn.XLOOKUP(K574,Lists!$P$2:$P$19,Lists!$U$2:$U$19,0)))</f>
        <v/>
      </c>
      <c r="R574" s="68" t="str">
        <f ca="1">IF($B574="","",SUM(_xlfn.XLOOKUP(C574,Lists!$P$2:$P$19,Lists!$V$2:$V$19,0),_xlfn.XLOOKUP(E574,Lists!$P$2:$P$19,Lists!$V$2:$V$19,0),_xlfn.XLOOKUP(G574,Lists!$P$2:$P$19,Lists!$V$2:$V$19,0),_xlfn.XLOOKUP(I574,Lists!$P$2:$P$19,Lists!$V$2:$V$19,0),_xlfn.XLOOKUP(K574,Lists!$P$2:$P$19,Lists!$V$2:$V$19,0)))</f>
        <v/>
      </c>
      <c r="S574" s="68" t="str">
        <f ca="1">IF($B574="","",SUM(_xlfn.XLOOKUP(D574,Lists!$AC$2:$AC$9,Lists!$AD$2:$AD$9,0),_xlfn.XLOOKUP(F574,Lists!$AC$2:$AC$9,Lists!$AD$2:$AD$9,0),_xlfn.XLOOKUP(H574,Lists!$AC$2:$AC$9,Lists!$AD$2:$AD$9,0),_xlfn.XLOOKUP(J574,Lists!$AC$2:$AC$9,Lists!$AD$2:$AD$9,0),_xlfn.XLOOKUP(L574,Lists!$AC$2:$AC$9,Lists!$AD$2:$AD$9,0)))</f>
        <v/>
      </c>
      <c r="T574" s="68" t="str">
        <f ca="1">IF($B574="","",SUM(_xlfn.XLOOKUP(C574,Lists!$P$2:$P$19,Lists!$W$2:$W$19,0),_xlfn.XLOOKUP(E574,Lists!$P$2:$P$19,Lists!$W$2:$W$19,0),_xlfn.XLOOKUP(G574,Lists!$P$2:$P$19,Lists!$W$2:$W$19,0),_xlfn.XLOOKUP(I574,Lists!$P$2:$P$19,Lists!$W$2:$W$19,0),_xlfn.XLOOKUP(K574,Lists!$P$2:$P$19,Lists!$W$2:$W$19,0)))</f>
        <v/>
      </c>
      <c r="U574" s="68" t="str">
        <f ca="1">IF($B574="","",SUM(_xlfn.XLOOKUP(C574,Lists!$P$2:$P$19,Lists!$X$2:$X$19,0),_xlfn.XLOOKUP(E574,Lists!$P$2:$P$19,Lists!$X$2:$X$19,0),_xlfn.XLOOKUP(G574,Lists!$P$2:$P$19,Lists!$X$2:$X$19,0),_xlfn.XLOOKUP(I574,Lists!$P$2:$P$19,Lists!$X$2:$X$19,0),_xlfn.XLOOKUP(K574,Lists!$P$2:$P$19,Lists!$X$2:$X$19,0)))</f>
        <v/>
      </c>
      <c r="V574" s="68" t="str">
        <f ca="1">IF($B574="","",SUM(_xlfn.XLOOKUP(C574,Lists!$P$2:$P$19,Lists!$Y$2:$Y$19,0),_xlfn.XLOOKUP(E574,Lists!$P$2:$P$19,Lists!$Y$2:$Y$19,0),_xlfn.XLOOKUP(G574,Lists!$P$2:$P$19,Lists!$Y$2:$Y$19,0),_xlfn.XLOOKUP(I574,Lists!$P$2:$P$19,Lists!$Y$2:$Y$19,0),_xlfn.XLOOKUP(K574,Lists!$P$2:$P$19,Lists!$Y$2:$Y$19,0)))</f>
        <v/>
      </c>
      <c r="W574" s="68" t="str">
        <f ca="1">IF($B574="","",SUM(_xlfn.XLOOKUP(C574,Lists!$P$2:$P$19,Lists!$Z$2:$Z$19,0),_xlfn.XLOOKUP(E574,Lists!$P$2:$P$19,Lists!$Z$2:$Z$19,0),_xlfn.XLOOKUP(G574,Lists!$P$2:$P$19,Lists!$Z$2:$Z$19,0),_xlfn.XLOOKUP(I574,Lists!$P$2:$P$19,Lists!$Z$2:$Z$19,0),_xlfn.XLOOKUP(K574,Lists!$P$2:$P$19,Lists!$Z$2:$Z$19,0)))</f>
        <v/>
      </c>
      <c r="X574" s="69" t="str">
        <f ca="1">IF($B574="","",SUM(_xlfn.XLOOKUP(C574,Lists!$P$2:$P$19,Lists!$AA$2:$AA$19,0),_xlfn.XLOOKUP(E574,Lists!$P$2:$P$19,Lists!$AA$2:$AA$19,0),_xlfn.XLOOKUP(G574,Lists!$P$2:$P$19,Lists!$AA$2:$AA$19,0),_xlfn.XLOOKUP(I574,Lists!$P$2:$P$19,Lists!$AA$2:$AA$19,0),_xlfn.XLOOKUP(K574,Lists!$P$2:$P$19,Lists!$AA$2:$AA$19,0)))</f>
        <v/>
      </c>
      <c r="Y574" s="49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  <c r="CI574" s="18"/>
      <c r="CJ574" s="18"/>
      <c r="CK574" s="18"/>
      <c r="CL574" s="18"/>
      <c r="CM574" s="18"/>
      <c r="CN574" s="18"/>
      <c r="CO574" s="18"/>
      <c r="CP574" s="18"/>
      <c r="CQ574" s="18"/>
      <c r="CR574" s="18"/>
      <c r="CS574" s="18"/>
      <c r="CT574" s="18"/>
      <c r="CU574" s="18"/>
      <c r="CV574" s="18"/>
      <c r="CW574" s="18"/>
      <c r="CX574" s="18"/>
      <c r="CY574" s="18"/>
      <c r="CZ574" s="18"/>
      <c r="DA574" s="18"/>
      <c r="DB574" s="18"/>
      <c r="DC574" s="18"/>
      <c r="DD574" s="18"/>
      <c r="DE574" s="18"/>
      <c r="DF574" s="18"/>
    </row>
    <row r="575" spans="1:110">
      <c r="A575" s="168">
        <v>7</v>
      </c>
      <c r="B575" s="47" t="str">
        <f ca="1">Lineups!$H$165</f>
        <v/>
      </c>
      <c r="C575" s="49"/>
      <c r="D575" s="49"/>
      <c r="E575" s="49"/>
      <c r="F575" s="49"/>
      <c r="G575" s="49"/>
      <c r="H575" s="50"/>
      <c r="I575" s="50"/>
      <c r="J575" s="50"/>
      <c r="K575" s="50"/>
      <c r="L575" s="50"/>
      <c r="M575" s="67" t="str">
        <f ca="1">IF($B575="","",SUM(_xlfn.XLOOKUP(C575,Lists!$P$2:$P$19,Lists!$R$2:$R$19,0),_xlfn.XLOOKUP(E575,Lists!$P$2:$P$19,Lists!$R$2:$R$19,0),_xlfn.XLOOKUP(G575,Lists!$P$2:$P$19,Lists!$R$2:$R$19,0),_xlfn.XLOOKUP(I575,Lists!$P$2:$P$19,Lists!$R$2:$R$19,0),_xlfn.XLOOKUP(K575,Lists!$P$2:$P$19,Lists!$R$2:$R$19,0)))</f>
        <v/>
      </c>
      <c r="N575" s="68" t="str">
        <f ca="1">IF($B575="","",SUM(_xlfn.XLOOKUP(D575,Lists!$AC$2:$AC$9,Lists!$AE$2:$AE$9,0),_xlfn.XLOOKUP(F575,Lists!$AC$2:$AC$9,Lists!$AE$2:$AE$9,0),_xlfn.XLOOKUP(H575,Lists!$AC$2:$AC$9,Lists!$AE$2:$AE$9,0),_xlfn.XLOOKUP(J575,Lists!$AC$2:$AC$9,Lists!$AE$2:$AE$9,0),_xlfn.XLOOKUP(L575,Lists!$AC$2:$AC$9,Lists!$AE$2:$AE$9,0)))</f>
        <v/>
      </c>
      <c r="O575" s="68" t="str">
        <f ca="1">IF($B575="","",SUM(_xlfn.XLOOKUP(C575,Lists!$P$2:$P$19,Lists!$S$2:$S$19,0),_xlfn.XLOOKUP(E575,Lists!$P$2:$P$19,Lists!$S$2:$S$19,0),_xlfn.XLOOKUP(G575,Lists!$P$2:$P$19,Lists!$S$2:$S$19,0),_xlfn.XLOOKUP(I575,Lists!$P$2:$P$19,Lists!$S$2:$S$19,0),_xlfn.XLOOKUP(K575,Lists!$P$2:$P$19,Lists!$S$2:$S$19,0)))</f>
        <v/>
      </c>
      <c r="P575" s="68" t="str">
        <f ca="1">IF($B575="","",SUM(_xlfn.XLOOKUP(C575,Lists!$P$2:$P$19,Lists!$T$2:$T$19,0),_xlfn.XLOOKUP(E575,Lists!$P$2:$P$19,Lists!$T$2:$T$19,0),_xlfn.XLOOKUP(G575,Lists!$P$2:$P$19,Lists!$T$2:$T$19,0),_xlfn.XLOOKUP(I575,Lists!$P$2:$P$19,Lists!$T$2:$T$19,0),_xlfn.XLOOKUP(K575,Lists!$P$2:$P$19,Lists!$T$2:$T$19,0)))</f>
        <v/>
      </c>
      <c r="Q575" s="68" t="str">
        <f ca="1">IF($B575="","",SUM(_xlfn.XLOOKUP(C575,Lists!$P$2:$P$19,Lists!$U$2:$U$19,0),_xlfn.XLOOKUP(E575,Lists!$P$2:$P$19,Lists!$U$2:$U$19,0),_xlfn.XLOOKUP(G575,Lists!$P$2:$P$19,Lists!$U$2:$U$19,0),_xlfn.XLOOKUP(I575,Lists!$P$2:$P$19,Lists!$U$2:$U$19,0),_xlfn.XLOOKUP(K575,Lists!$P$2:$P$19,Lists!$U$2:$U$19,0)))</f>
        <v/>
      </c>
      <c r="R575" s="68" t="str">
        <f ca="1">IF($B575="","",SUM(_xlfn.XLOOKUP(C575,Lists!$P$2:$P$19,Lists!$V$2:$V$19,0),_xlfn.XLOOKUP(E575,Lists!$P$2:$P$19,Lists!$V$2:$V$19,0),_xlfn.XLOOKUP(G575,Lists!$P$2:$P$19,Lists!$V$2:$V$19,0),_xlfn.XLOOKUP(I575,Lists!$P$2:$P$19,Lists!$V$2:$V$19,0),_xlfn.XLOOKUP(K575,Lists!$P$2:$P$19,Lists!$V$2:$V$19,0)))</f>
        <v/>
      </c>
      <c r="S575" s="68" t="str">
        <f ca="1">IF($B575="","",SUM(_xlfn.XLOOKUP(D575,Lists!$AC$2:$AC$9,Lists!$AD$2:$AD$9,0),_xlfn.XLOOKUP(F575,Lists!$AC$2:$AC$9,Lists!$AD$2:$AD$9,0),_xlfn.XLOOKUP(H575,Lists!$AC$2:$AC$9,Lists!$AD$2:$AD$9,0),_xlfn.XLOOKUP(J575,Lists!$AC$2:$AC$9,Lists!$AD$2:$AD$9,0),_xlfn.XLOOKUP(L575,Lists!$AC$2:$AC$9,Lists!$AD$2:$AD$9,0)))</f>
        <v/>
      </c>
      <c r="T575" s="68" t="str">
        <f ca="1">IF($B575="","",SUM(_xlfn.XLOOKUP(C575,Lists!$P$2:$P$19,Lists!$W$2:$W$19,0),_xlfn.XLOOKUP(E575,Lists!$P$2:$P$19,Lists!$W$2:$W$19,0),_xlfn.XLOOKUP(G575,Lists!$P$2:$P$19,Lists!$W$2:$W$19,0),_xlfn.XLOOKUP(I575,Lists!$P$2:$P$19,Lists!$W$2:$W$19,0),_xlfn.XLOOKUP(K575,Lists!$P$2:$P$19,Lists!$W$2:$W$19,0)))</f>
        <v/>
      </c>
      <c r="U575" s="68" t="str">
        <f ca="1">IF($B575="","",SUM(_xlfn.XLOOKUP(C575,Lists!$P$2:$P$19,Lists!$X$2:$X$19,0),_xlfn.XLOOKUP(E575,Lists!$P$2:$P$19,Lists!$X$2:$X$19,0),_xlfn.XLOOKUP(G575,Lists!$P$2:$P$19,Lists!$X$2:$X$19,0),_xlfn.XLOOKUP(I575,Lists!$P$2:$P$19,Lists!$X$2:$X$19,0),_xlfn.XLOOKUP(K575,Lists!$P$2:$P$19,Lists!$X$2:$X$19,0)))</f>
        <v/>
      </c>
      <c r="V575" s="68" t="str">
        <f ca="1">IF($B575="","",SUM(_xlfn.XLOOKUP(C575,Lists!$P$2:$P$19,Lists!$Y$2:$Y$19,0),_xlfn.XLOOKUP(E575,Lists!$P$2:$P$19,Lists!$Y$2:$Y$19,0),_xlfn.XLOOKUP(G575,Lists!$P$2:$P$19,Lists!$Y$2:$Y$19,0),_xlfn.XLOOKUP(I575,Lists!$P$2:$P$19,Lists!$Y$2:$Y$19,0),_xlfn.XLOOKUP(K575,Lists!$P$2:$P$19,Lists!$Y$2:$Y$19,0)))</f>
        <v/>
      </c>
      <c r="W575" s="68" t="str">
        <f ca="1">IF($B575="","",SUM(_xlfn.XLOOKUP(C575,Lists!$P$2:$P$19,Lists!$Z$2:$Z$19,0),_xlfn.XLOOKUP(E575,Lists!$P$2:$P$19,Lists!$Z$2:$Z$19,0),_xlfn.XLOOKUP(G575,Lists!$P$2:$P$19,Lists!$Z$2:$Z$19,0),_xlfn.XLOOKUP(I575,Lists!$P$2:$P$19,Lists!$Z$2:$Z$19,0),_xlfn.XLOOKUP(K575,Lists!$P$2:$P$19,Lists!$Z$2:$Z$19,0)))</f>
        <v/>
      </c>
      <c r="X575" s="69" t="str">
        <f ca="1">IF($B575="","",SUM(_xlfn.XLOOKUP(C575,Lists!$P$2:$P$19,Lists!$AA$2:$AA$19,0),_xlfn.XLOOKUP(E575,Lists!$P$2:$P$19,Lists!$AA$2:$AA$19,0),_xlfn.XLOOKUP(G575,Lists!$P$2:$P$19,Lists!$AA$2:$AA$19,0),_xlfn.XLOOKUP(I575,Lists!$P$2:$P$19,Lists!$AA$2:$AA$19,0),_xlfn.XLOOKUP(K575,Lists!$P$2:$P$19,Lists!$AA$2:$AA$19,0)))</f>
        <v/>
      </c>
      <c r="Y575" s="49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  <c r="CI575" s="18"/>
      <c r="CJ575" s="18"/>
      <c r="CK575" s="18"/>
      <c r="CL575" s="18"/>
      <c r="CM575" s="18"/>
      <c r="CN575" s="18"/>
      <c r="CO575" s="18"/>
      <c r="CP575" s="18"/>
      <c r="CQ575" s="18"/>
      <c r="CR575" s="18"/>
      <c r="CS575" s="18"/>
      <c r="CT575" s="18"/>
      <c r="CU575" s="18"/>
      <c r="CV575" s="18"/>
      <c r="CW575" s="18"/>
      <c r="CX575" s="18"/>
      <c r="CY575" s="18"/>
      <c r="CZ575" s="18"/>
      <c r="DA575" s="18"/>
      <c r="DB575" s="18"/>
      <c r="DC575" s="18"/>
      <c r="DD575" s="18"/>
      <c r="DE575" s="18"/>
      <c r="DF575" s="18"/>
    </row>
    <row r="576" spans="1:110">
      <c r="A576" s="168">
        <v>8</v>
      </c>
      <c r="B576" s="47" t="str">
        <f ca="1">Lineups!$H$166</f>
        <v/>
      </c>
      <c r="C576" s="49"/>
      <c r="D576" s="49"/>
      <c r="E576" s="49"/>
      <c r="F576" s="49"/>
      <c r="G576" s="49"/>
      <c r="H576" s="50"/>
      <c r="I576" s="50"/>
      <c r="J576" s="50"/>
      <c r="K576" s="50"/>
      <c r="L576" s="50"/>
      <c r="M576" s="67" t="str">
        <f ca="1">IF($B576="","",SUM(_xlfn.XLOOKUP(C576,Lists!$P$2:$P$19,Lists!$R$2:$R$19,0),_xlfn.XLOOKUP(E576,Lists!$P$2:$P$19,Lists!$R$2:$R$19,0),_xlfn.XLOOKUP(G576,Lists!$P$2:$P$19,Lists!$R$2:$R$19,0),_xlfn.XLOOKUP(I576,Lists!$P$2:$P$19,Lists!$R$2:$R$19,0),_xlfn.XLOOKUP(K576,Lists!$P$2:$P$19,Lists!$R$2:$R$19,0)))</f>
        <v/>
      </c>
      <c r="N576" s="68" t="str">
        <f ca="1">IF($B576="","",SUM(_xlfn.XLOOKUP(D576,Lists!$AC$2:$AC$9,Lists!$AE$2:$AE$9,0),_xlfn.XLOOKUP(F576,Lists!$AC$2:$AC$9,Lists!$AE$2:$AE$9,0),_xlfn.XLOOKUP(H576,Lists!$AC$2:$AC$9,Lists!$AE$2:$AE$9,0),_xlfn.XLOOKUP(J576,Lists!$AC$2:$AC$9,Lists!$AE$2:$AE$9,0),_xlfn.XLOOKUP(L576,Lists!$AC$2:$AC$9,Lists!$AE$2:$AE$9,0)))</f>
        <v/>
      </c>
      <c r="O576" s="68" t="str">
        <f ca="1">IF($B576="","",SUM(_xlfn.XLOOKUP(C576,Lists!$P$2:$P$19,Lists!$S$2:$S$19,0),_xlfn.XLOOKUP(E576,Lists!$P$2:$P$19,Lists!$S$2:$S$19,0),_xlfn.XLOOKUP(G576,Lists!$P$2:$P$19,Lists!$S$2:$S$19,0),_xlfn.XLOOKUP(I576,Lists!$P$2:$P$19,Lists!$S$2:$S$19,0),_xlfn.XLOOKUP(K576,Lists!$P$2:$P$19,Lists!$S$2:$S$19,0)))</f>
        <v/>
      </c>
      <c r="P576" s="68" t="str">
        <f ca="1">IF($B576="","",SUM(_xlfn.XLOOKUP(C576,Lists!$P$2:$P$19,Lists!$T$2:$T$19,0),_xlfn.XLOOKUP(E576,Lists!$P$2:$P$19,Lists!$T$2:$T$19,0),_xlfn.XLOOKUP(G576,Lists!$P$2:$P$19,Lists!$T$2:$T$19,0),_xlfn.XLOOKUP(I576,Lists!$P$2:$P$19,Lists!$T$2:$T$19,0),_xlfn.XLOOKUP(K576,Lists!$P$2:$P$19,Lists!$T$2:$T$19,0)))</f>
        <v/>
      </c>
      <c r="Q576" s="68" t="str">
        <f ca="1">IF($B576="","",SUM(_xlfn.XLOOKUP(C576,Lists!$P$2:$P$19,Lists!$U$2:$U$19,0),_xlfn.XLOOKUP(E576,Lists!$P$2:$P$19,Lists!$U$2:$U$19,0),_xlfn.XLOOKUP(G576,Lists!$P$2:$P$19,Lists!$U$2:$U$19,0),_xlfn.XLOOKUP(I576,Lists!$P$2:$P$19,Lists!$U$2:$U$19,0),_xlfn.XLOOKUP(K576,Lists!$P$2:$P$19,Lists!$U$2:$U$19,0)))</f>
        <v/>
      </c>
      <c r="R576" s="68" t="str">
        <f ca="1">IF($B576="","",SUM(_xlfn.XLOOKUP(C576,Lists!$P$2:$P$19,Lists!$V$2:$V$19,0),_xlfn.XLOOKUP(E576,Lists!$P$2:$P$19,Lists!$V$2:$V$19,0),_xlfn.XLOOKUP(G576,Lists!$P$2:$P$19,Lists!$V$2:$V$19,0),_xlfn.XLOOKUP(I576,Lists!$P$2:$P$19,Lists!$V$2:$V$19,0),_xlfn.XLOOKUP(K576,Lists!$P$2:$P$19,Lists!$V$2:$V$19,0)))</f>
        <v/>
      </c>
      <c r="S576" s="68" t="str">
        <f ca="1">IF($B576="","",SUM(_xlfn.XLOOKUP(D576,Lists!$AC$2:$AC$9,Lists!$AD$2:$AD$9,0),_xlfn.XLOOKUP(F576,Lists!$AC$2:$AC$9,Lists!$AD$2:$AD$9,0),_xlfn.XLOOKUP(H576,Lists!$AC$2:$AC$9,Lists!$AD$2:$AD$9,0),_xlfn.XLOOKUP(J576,Lists!$AC$2:$AC$9,Lists!$AD$2:$AD$9,0),_xlfn.XLOOKUP(L576,Lists!$AC$2:$AC$9,Lists!$AD$2:$AD$9,0)))</f>
        <v/>
      </c>
      <c r="T576" s="68" t="str">
        <f ca="1">IF($B576="","",SUM(_xlfn.XLOOKUP(C576,Lists!$P$2:$P$19,Lists!$W$2:$W$19,0),_xlfn.XLOOKUP(E576,Lists!$P$2:$P$19,Lists!$W$2:$W$19,0),_xlfn.XLOOKUP(G576,Lists!$P$2:$P$19,Lists!$W$2:$W$19,0),_xlfn.XLOOKUP(I576,Lists!$P$2:$P$19,Lists!$W$2:$W$19,0),_xlfn.XLOOKUP(K576,Lists!$P$2:$P$19,Lists!$W$2:$W$19,0)))</f>
        <v/>
      </c>
      <c r="U576" s="68" t="str">
        <f ca="1">IF($B576="","",SUM(_xlfn.XLOOKUP(C576,Lists!$P$2:$P$19,Lists!$X$2:$X$19,0),_xlfn.XLOOKUP(E576,Lists!$P$2:$P$19,Lists!$X$2:$X$19,0),_xlfn.XLOOKUP(G576,Lists!$P$2:$P$19,Lists!$X$2:$X$19,0),_xlfn.XLOOKUP(I576,Lists!$P$2:$P$19,Lists!$X$2:$X$19,0),_xlfn.XLOOKUP(K576,Lists!$P$2:$P$19,Lists!$X$2:$X$19,0)))</f>
        <v/>
      </c>
      <c r="V576" s="68" t="str">
        <f ca="1">IF($B576="","",SUM(_xlfn.XLOOKUP(C576,Lists!$P$2:$P$19,Lists!$Y$2:$Y$19,0),_xlfn.XLOOKUP(E576,Lists!$P$2:$P$19,Lists!$Y$2:$Y$19,0),_xlfn.XLOOKUP(G576,Lists!$P$2:$P$19,Lists!$Y$2:$Y$19,0),_xlfn.XLOOKUP(I576,Lists!$P$2:$P$19,Lists!$Y$2:$Y$19,0),_xlfn.XLOOKUP(K576,Lists!$P$2:$P$19,Lists!$Y$2:$Y$19,0)))</f>
        <v/>
      </c>
      <c r="W576" s="68" t="str">
        <f ca="1">IF($B576="","",SUM(_xlfn.XLOOKUP(C576,Lists!$P$2:$P$19,Lists!$Z$2:$Z$19,0),_xlfn.XLOOKUP(E576,Lists!$P$2:$P$19,Lists!$Z$2:$Z$19,0),_xlfn.XLOOKUP(G576,Lists!$P$2:$P$19,Lists!$Z$2:$Z$19,0),_xlfn.XLOOKUP(I576,Lists!$P$2:$P$19,Lists!$Z$2:$Z$19,0),_xlfn.XLOOKUP(K576,Lists!$P$2:$P$19,Lists!$Z$2:$Z$19,0)))</f>
        <v/>
      </c>
      <c r="X576" s="69" t="str">
        <f ca="1">IF($B576="","",SUM(_xlfn.XLOOKUP(C576,Lists!$P$2:$P$19,Lists!$AA$2:$AA$19,0),_xlfn.XLOOKUP(E576,Lists!$P$2:$P$19,Lists!$AA$2:$AA$19,0),_xlfn.XLOOKUP(G576,Lists!$P$2:$P$19,Lists!$AA$2:$AA$19,0),_xlfn.XLOOKUP(I576,Lists!$P$2:$P$19,Lists!$AA$2:$AA$19,0),_xlfn.XLOOKUP(K576,Lists!$P$2:$P$19,Lists!$AA$2:$AA$19,0)))</f>
        <v/>
      </c>
      <c r="Y576" s="49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  <c r="CL576" s="18"/>
      <c r="CM576" s="18"/>
      <c r="CN576" s="18"/>
      <c r="CO576" s="18"/>
      <c r="CP576" s="18"/>
      <c r="CQ576" s="18"/>
      <c r="CR576" s="18"/>
      <c r="CS576" s="18"/>
      <c r="CT576" s="18"/>
      <c r="CU576" s="18"/>
      <c r="CV576" s="18"/>
      <c r="CW576" s="18"/>
      <c r="CX576" s="18"/>
      <c r="CY576" s="18"/>
      <c r="CZ576" s="18"/>
      <c r="DA576" s="18"/>
      <c r="DB576" s="18"/>
      <c r="DC576" s="18"/>
      <c r="DD576" s="18"/>
      <c r="DE576" s="18"/>
      <c r="DF576" s="18"/>
    </row>
    <row r="577" spans="1:110">
      <c r="A577" s="168">
        <v>9</v>
      </c>
      <c r="B577" s="47" t="str">
        <f ca="1">Lineups!$H$167</f>
        <v/>
      </c>
      <c r="C577" s="49"/>
      <c r="D577" s="49"/>
      <c r="E577" s="49"/>
      <c r="F577" s="49"/>
      <c r="G577" s="49"/>
      <c r="H577" s="50"/>
      <c r="I577" s="50"/>
      <c r="J577" s="50"/>
      <c r="K577" s="50"/>
      <c r="L577" s="50"/>
      <c r="M577" s="67" t="str">
        <f ca="1">IF($B577="","",SUM(_xlfn.XLOOKUP(C577,Lists!$P$2:$P$19,Lists!$R$2:$R$19,0),_xlfn.XLOOKUP(E577,Lists!$P$2:$P$19,Lists!$R$2:$R$19,0),_xlfn.XLOOKUP(G577,Lists!$P$2:$P$19,Lists!$R$2:$R$19,0),_xlfn.XLOOKUP(I577,Lists!$P$2:$P$19,Lists!$R$2:$R$19,0),_xlfn.XLOOKUP(K577,Lists!$P$2:$P$19,Lists!$R$2:$R$19,0)))</f>
        <v/>
      </c>
      <c r="N577" s="68" t="str">
        <f ca="1">IF($B577="","",SUM(_xlfn.XLOOKUP(D577,Lists!$AC$2:$AC$9,Lists!$AE$2:$AE$9,0),_xlfn.XLOOKUP(F577,Lists!$AC$2:$AC$9,Lists!$AE$2:$AE$9,0),_xlfn.XLOOKUP(H577,Lists!$AC$2:$AC$9,Lists!$AE$2:$AE$9,0),_xlfn.XLOOKUP(J577,Lists!$AC$2:$AC$9,Lists!$AE$2:$AE$9,0),_xlfn.XLOOKUP(L577,Lists!$AC$2:$AC$9,Lists!$AE$2:$AE$9,0)))</f>
        <v/>
      </c>
      <c r="O577" s="68" t="str">
        <f ca="1">IF($B577="","",SUM(_xlfn.XLOOKUP(C577,Lists!$P$2:$P$19,Lists!$S$2:$S$19,0),_xlfn.XLOOKUP(E577,Lists!$P$2:$P$19,Lists!$S$2:$S$19,0),_xlfn.XLOOKUP(G577,Lists!$P$2:$P$19,Lists!$S$2:$S$19,0),_xlfn.XLOOKUP(I577,Lists!$P$2:$P$19,Lists!$S$2:$S$19,0),_xlfn.XLOOKUP(K577,Lists!$P$2:$P$19,Lists!$S$2:$S$19,0)))</f>
        <v/>
      </c>
      <c r="P577" s="68" t="str">
        <f ca="1">IF($B577="","",SUM(_xlfn.XLOOKUP(C577,Lists!$P$2:$P$19,Lists!$T$2:$T$19,0),_xlfn.XLOOKUP(E577,Lists!$P$2:$P$19,Lists!$T$2:$T$19,0),_xlfn.XLOOKUP(G577,Lists!$P$2:$P$19,Lists!$T$2:$T$19,0),_xlfn.XLOOKUP(I577,Lists!$P$2:$P$19,Lists!$T$2:$T$19,0),_xlfn.XLOOKUP(K577,Lists!$P$2:$P$19,Lists!$T$2:$T$19,0)))</f>
        <v/>
      </c>
      <c r="Q577" s="68" t="str">
        <f ca="1">IF($B577="","",SUM(_xlfn.XLOOKUP(C577,Lists!$P$2:$P$19,Lists!$U$2:$U$19,0),_xlfn.XLOOKUP(E577,Lists!$P$2:$P$19,Lists!$U$2:$U$19,0),_xlfn.XLOOKUP(G577,Lists!$P$2:$P$19,Lists!$U$2:$U$19,0),_xlfn.XLOOKUP(I577,Lists!$P$2:$P$19,Lists!$U$2:$U$19,0),_xlfn.XLOOKUP(K577,Lists!$P$2:$P$19,Lists!$U$2:$U$19,0)))</f>
        <v/>
      </c>
      <c r="R577" s="68" t="str">
        <f ca="1">IF($B577="","",SUM(_xlfn.XLOOKUP(C577,Lists!$P$2:$P$19,Lists!$V$2:$V$19,0),_xlfn.XLOOKUP(E577,Lists!$P$2:$P$19,Lists!$V$2:$V$19,0),_xlfn.XLOOKUP(G577,Lists!$P$2:$P$19,Lists!$V$2:$V$19,0),_xlfn.XLOOKUP(I577,Lists!$P$2:$P$19,Lists!$V$2:$V$19,0),_xlfn.XLOOKUP(K577,Lists!$P$2:$P$19,Lists!$V$2:$V$19,0)))</f>
        <v/>
      </c>
      <c r="S577" s="68" t="str">
        <f ca="1">IF($B577="","",SUM(_xlfn.XLOOKUP(D577,Lists!$AC$2:$AC$9,Lists!$AD$2:$AD$9,0),_xlfn.XLOOKUP(F577,Lists!$AC$2:$AC$9,Lists!$AD$2:$AD$9,0),_xlfn.XLOOKUP(H577,Lists!$AC$2:$AC$9,Lists!$AD$2:$AD$9,0),_xlfn.XLOOKUP(J577,Lists!$AC$2:$AC$9,Lists!$AD$2:$AD$9,0),_xlfn.XLOOKUP(L577,Lists!$AC$2:$AC$9,Lists!$AD$2:$AD$9,0)))</f>
        <v/>
      </c>
      <c r="T577" s="68" t="str">
        <f ca="1">IF($B577="","",SUM(_xlfn.XLOOKUP(C577,Lists!$P$2:$P$19,Lists!$W$2:$W$19,0),_xlfn.XLOOKUP(E577,Lists!$P$2:$P$19,Lists!$W$2:$W$19,0),_xlfn.XLOOKUP(G577,Lists!$P$2:$P$19,Lists!$W$2:$W$19,0),_xlfn.XLOOKUP(I577,Lists!$P$2:$P$19,Lists!$W$2:$W$19,0),_xlfn.XLOOKUP(K577,Lists!$P$2:$P$19,Lists!$W$2:$W$19,0)))</f>
        <v/>
      </c>
      <c r="U577" s="68" t="str">
        <f ca="1">IF($B577="","",SUM(_xlfn.XLOOKUP(C577,Lists!$P$2:$P$19,Lists!$X$2:$X$19,0),_xlfn.XLOOKUP(E577,Lists!$P$2:$P$19,Lists!$X$2:$X$19,0),_xlfn.XLOOKUP(G577,Lists!$P$2:$P$19,Lists!$X$2:$X$19,0),_xlfn.XLOOKUP(I577,Lists!$P$2:$P$19,Lists!$X$2:$X$19,0),_xlfn.XLOOKUP(K577,Lists!$P$2:$P$19,Lists!$X$2:$X$19,0)))</f>
        <v/>
      </c>
      <c r="V577" s="68" t="str">
        <f ca="1">IF($B577="","",SUM(_xlfn.XLOOKUP(C577,Lists!$P$2:$P$19,Lists!$Y$2:$Y$19,0),_xlfn.XLOOKUP(E577,Lists!$P$2:$P$19,Lists!$Y$2:$Y$19,0),_xlfn.XLOOKUP(G577,Lists!$P$2:$P$19,Lists!$Y$2:$Y$19,0),_xlfn.XLOOKUP(I577,Lists!$P$2:$P$19,Lists!$Y$2:$Y$19,0),_xlfn.XLOOKUP(K577,Lists!$P$2:$P$19,Lists!$Y$2:$Y$19,0)))</f>
        <v/>
      </c>
      <c r="W577" s="68" t="str">
        <f ca="1">IF($B577="","",SUM(_xlfn.XLOOKUP(C577,Lists!$P$2:$P$19,Lists!$Z$2:$Z$19,0),_xlfn.XLOOKUP(E577,Lists!$P$2:$P$19,Lists!$Z$2:$Z$19,0),_xlfn.XLOOKUP(G577,Lists!$P$2:$P$19,Lists!$Z$2:$Z$19,0),_xlfn.XLOOKUP(I577,Lists!$P$2:$P$19,Lists!$Z$2:$Z$19,0),_xlfn.XLOOKUP(K577,Lists!$P$2:$P$19,Lists!$Z$2:$Z$19,0)))</f>
        <v/>
      </c>
      <c r="X577" s="69" t="str">
        <f ca="1">IF($B577="","",SUM(_xlfn.XLOOKUP(C577,Lists!$P$2:$P$19,Lists!$AA$2:$AA$19,0),_xlfn.XLOOKUP(E577,Lists!$P$2:$P$19,Lists!$AA$2:$AA$19,0),_xlfn.XLOOKUP(G577,Lists!$P$2:$P$19,Lists!$AA$2:$AA$19,0),_xlfn.XLOOKUP(I577,Lists!$P$2:$P$19,Lists!$AA$2:$AA$19,0),_xlfn.XLOOKUP(K577,Lists!$P$2:$P$19,Lists!$AA$2:$AA$19,0)))</f>
        <v/>
      </c>
      <c r="Y577" s="49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  <c r="CI577" s="18"/>
      <c r="CJ577" s="18"/>
      <c r="CK577" s="18"/>
      <c r="CL577" s="18"/>
      <c r="CM577" s="18"/>
      <c r="CN577" s="18"/>
      <c r="CO577" s="18"/>
      <c r="CP577" s="18"/>
      <c r="CQ577" s="18"/>
      <c r="CR577" s="18"/>
      <c r="CS577" s="18"/>
      <c r="CT577" s="18"/>
      <c r="CU577" s="18"/>
      <c r="CV577" s="18"/>
      <c r="CW577" s="18"/>
      <c r="CX577" s="18"/>
      <c r="CY577" s="18"/>
      <c r="CZ577" s="18"/>
      <c r="DA577" s="18"/>
      <c r="DB577" s="18"/>
      <c r="DC577" s="18"/>
      <c r="DD577" s="18"/>
      <c r="DE577" s="18"/>
      <c r="DF577" s="18"/>
    </row>
    <row r="578" spans="1:110">
      <c r="A578" s="173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  <c r="CI578" s="18"/>
      <c r="CJ578" s="18"/>
      <c r="CK578" s="18"/>
      <c r="CL578" s="18"/>
      <c r="CM578" s="18"/>
      <c r="CN578" s="18"/>
      <c r="CO578" s="18"/>
      <c r="CP578" s="18"/>
      <c r="CQ578" s="18"/>
      <c r="CR578" s="18"/>
      <c r="CS578" s="18"/>
      <c r="CT578" s="18"/>
      <c r="CU578" s="18"/>
      <c r="CV578" s="18"/>
      <c r="CW578" s="18"/>
      <c r="CX578" s="18"/>
      <c r="CY578" s="18"/>
      <c r="CZ578" s="18"/>
      <c r="DA578" s="18"/>
      <c r="DB578" s="18"/>
      <c r="DC578" s="18"/>
      <c r="DD578" s="18"/>
      <c r="DE578" s="18"/>
      <c r="DF578" s="18"/>
    </row>
    <row r="579" spans="1:110">
      <c r="A579" s="222" t="str">
        <f ca="1">IF($R$541="","Team B Pitching",$R$541&amp;" Pitching")</f>
        <v>Team B Pitching</v>
      </c>
      <c r="B579" s="221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06"/>
      <c r="O579" s="186"/>
      <c r="P579" s="24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  <c r="CJ579" s="18"/>
      <c r="CK579" s="18"/>
      <c r="CL579" s="18"/>
      <c r="CM579" s="18"/>
      <c r="CN579" s="18"/>
      <c r="CO579" s="18"/>
      <c r="CP579" s="18"/>
      <c r="CQ579" s="18"/>
      <c r="CR579" s="18"/>
      <c r="CS579" s="18"/>
      <c r="CT579" s="18"/>
      <c r="CU579" s="18"/>
      <c r="CV579" s="18"/>
      <c r="CW579" s="18"/>
      <c r="CX579" s="18"/>
      <c r="CY579" s="18"/>
      <c r="CZ579" s="18"/>
      <c r="DA579" s="18"/>
      <c r="DB579" s="18"/>
      <c r="DC579" s="18"/>
      <c r="DD579" s="18"/>
      <c r="DE579" s="18"/>
      <c r="DF579" s="18"/>
    </row>
    <row r="580" spans="1:110">
      <c r="A580" s="167" t="s">
        <v>103</v>
      </c>
      <c r="B580" s="43" t="s">
        <v>194</v>
      </c>
      <c r="C580" s="43" t="s">
        <v>195</v>
      </c>
      <c r="D580" s="43" t="s">
        <v>162</v>
      </c>
      <c r="E580" s="43" t="s">
        <v>161</v>
      </c>
      <c r="F580" s="43" t="s">
        <v>196</v>
      </c>
      <c r="G580" s="43" t="s">
        <v>180</v>
      </c>
      <c r="H580" s="43" t="s">
        <v>181</v>
      </c>
      <c r="I580" s="44" t="s">
        <v>197</v>
      </c>
      <c r="J580" s="44" t="s">
        <v>198</v>
      </c>
      <c r="K580" s="44" t="s">
        <v>199</v>
      </c>
      <c r="L580" s="44" t="s">
        <v>200</v>
      </c>
      <c r="M580" s="44" t="s">
        <v>201</v>
      </c>
      <c r="N580" s="45" t="s">
        <v>202</v>
      </c>
      <c r="O580" s="45" t="s">
        <v>203</v>
      </c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  <c r="CI580" s="18"/>
      <c r="CJ580" s="18"/>
      <c r="CK580" s="18"/>
      <c r="CL580" s="18"/>
      <c r="CM580" s="18"/>
      <c r="CN580" s="18"/>
      <c r="CO580" s="18"/>
      <c r="CP580" s="18"/>
      <c r="CQ580" s="18"/>
      <c r="CR580" s="18"/>
      <c r="CS580" s="18"/>
      <c r="CT580" s="18"/>
      <c r="CU580" s="18"/>
      <c r="CV580" s="18"/>
      <c r="CW580" s="18"/>
      <c r="CX580" s="18"/>
      <c r="CY580" s="18"/>
      <c r="CZ580" s="18"/>
      <c r="DA580" s="18"/>
      <c r="DB580" s="18"/>
      <c r="DC580" s="18"/>
      <c r="DD580" s="18"/>
      <c r="DE580" s="18"/>
      <c r="DF580" s="18"/>
    </row>
    <row r="581" spans="1:110">
      <c r="A581" s="168">
        <v>1</v>
      </c>
      <c r="B581" s="71"/>
      <c r="C581" s="70" t="str" cm="1">
        <f t="array" aca="1" ref="C581" ca="1">IF(OR(B581="",O581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81" s="67" t="str" cm="1">
        <f t="array" aca="1" ref="D581" ca="1">IF(OR(B581="",O581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81" s="67" t="str" cm="1">
        <f t="array" aca="1" ref="E581" ca="1">IF(OR(B581="",O581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81" s="67" t="str" cm="1">
        <f t="array" aca="1" ref="F581" ca="1">IF(OR(B581="",O581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81" s="67" t="str" cm="1">
        <f t="array" aca="1" ref="G581" ca="1">IF(OR(B581="",O581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81" s="67" t="str" cm="1">
        <f t="array" aca="1" ref="H581" ca="1">IF(OR(B581="",O581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81" s="68" t="str" cm="1">
        <f t="array" aca="1" ref="I581" ca="1">IF(OR(B581="",O581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81" s="68" t="str" cm="1">
        <f t="array" aca="1" ref="J581" ca="1">IF(OR(B581="",O581=""),"",--(SUM(_xlfn.XLOOKUP(_xlfn._xlws.FILTER(_xlfn.TOCOL(_xlfn.CHOOSECOLS(C569:L577,2,4,6,8,10),0,TRUE),_xlfn.TOCOL(_xlfn.CHOOSECOLS(C569:L577,1,3,5,7,9),0,TRUE)&lt;&gt;""),Lists!$AC$2:$AC$9,Lists!$AF$2:$AF$9,0))&gt;SUM(_xlfn.XLOOKUP(_xlfn._xlws.FILTER(_xlfn.TOCOL(_xlfn.CHOOSECOLS(C548:L556,2,4,6,8,10),0,TRUE),_xlfn.TOCOL(_xlfn.CHOOSECOLS(C548:L556,1,3,5,7,9),0,TRUE)&lt;&gt;""),Lists!$AC$2:$AC$9,Lists!$AF$2:$AF$9,0)))*--(ROW()-ROW(C580)=_xlfn.XLOOKUP(MAX(IF(O581:O586&gt;0,INT(C581:C586)*3+MOD(ROUND(C581:C586*10,0),10),-1)),IF(O581:O586&gt;0,INT(C581:C586)*3+MOD(ROUND(C581:C586*10,0),10),-1),_xlfn.SEQUENCE(ROWS(O581:O586)),,0)))</f>
        <v/>
      </c>
      <c r="K581" s="68" t="str" cm="1">
        <f t="array" aca="1" ref="K581" ca="1">IF(OR(B581="",O581=""),"",--(SUM(_xlfn.XLOOKUP(_xlfn._xlws.FILTER(_xlfn.TOCOL(_xlfn.CHOOSECOLS(C569:L577,2,4,6,8,10),0,TRUE),_xlfn.TOCOL(_xlfn.CHOOSECOLS(C569:L577,1,3,5,7,9),0,TRUE)&lt;&gt;""),Lists!$AC$2:$AC$9,Lists!$AF$2:$AF$9,0))&lt;SUM(_xlfn.XLOOKUP(_xlfn._xlws.FILTER(_xlfn.TOCOL(_xlfn.CHOOSECOLS(C548:L556,2,4,6,8,10),0,TRUE),_xlfn.TOCOL(_xlfn.CHOOSECOLS(C548:L556,1,3,5,7,9),0,TRUE)&lt;&gt;""),Lists!$AC$2:$AC$9,Lists!$AF$2:$AF$9,0)))*--(ROW()-ROW(C580)=_xlfn.XLOOKUP(MAX(IF(O581:O586&gt;0,E581:E586,-1)),IF(O581:O586&gt;0,E581:E586,-1),_xlfn.SEQUENCE(ROWS(O581:O586)),,0)))</f>
        <v/>
      </c>
      <c r="L581" s="68" t="str" cm="1">
        <f t="array" aca="1" ref="L581" ca="1">IF(OR(B581="",O581=""),"",--(SUM(_xlfn.XLOOKUP(_xlfn._xlws.FILTER(_xlfn.TOCOL(_xlfn.CHOOSECOLS(C569:L577,2,4,6,8,10),0,TRUE),_xlfn.TOCOL(_xlfn.CHOOSECOLS(C569:L577,1,3,5,7,9),0,TRUE)&lt;&gt;""),Lists!$AC$2:$AC$9,Lists!$AF$2:$AF$9,0))&gt;SUM(_xlfn.XLOOKUP(_xlfn._xlws.FILTER(_xlfn.TOCOL(_xlfn.CHOOSECOLS(C548:L556,2,4,6,8,10),0,TRUE),_xlfn.TOCOL(_xlfn.CHOOSECOLS(C548:L556,1,3,5,7,9),0,TRUE)&lt;&gt;""),Lists!$AC$2:$AC$9,Lists!$AF$2:$AF$9,0)))*--(COUNTIF(O581:O586,"&gt;0")&gt;1)*--(ROW()-ROW(C580)=_xlfn.XLOOKUP(TRUE,O581:O586&gt;0,_xlfn.SEQUENCE(ROWS(O581:O586)),,0,-1))*--(_xlfn.XLOOKUP(TRUE,O581:O586&gt;0,_xlfn.SEQUENCE(ROWS(O581:O586)),,0,-1)&lt;&gt;_xlfn.XLOOKUP(MAX(IF(O581:O586&gt;0,INT(C581:C586)*3+MOD(ROUND(C581:C586*10,0),10),-1)),IF(O581:O586&gt;0,INT(C581:C586)*3+MOD(ROUND(C581:C586*10,0),10),-1),_xlfn.SEQUENCE(ROWS(O581:O586)),,0))*--(SUM(_xlfn.XLOOKUP(_xlfn._xlws.FILTER(_xlfn.TOCOL(_xlfn.CHOOSECOLS(C569:L577,2,4,6,8,10),0,TRUE),_xlfn.TOCOL(_xlfn.CHOOSECOLS(C569:L577,1,3,5,7,9),0,TRUE)&lt;&gt;""),Lists!$AC$2:$AC$9,Lists!$AF$2:$AF$9,0))-SUM(_xlfn.XLOOKUP(_xlfn._xlws.FILTER(_xlfn.TOCOL(_xlfn.CHOOSECOLS(C548:L556,2,4,6,8,10),0,TRUE),_xlfn.TOCOL(_xlfn.CHOOSECOLS(C548:L556,1,3,5,7,9),0,TRUE)&lt;&gt;""),Lists!$AC$2:$AC$9,Lists!$AF$2:$AF$9,0))&lt;=3)*--((INT(C581)*3+MOD(ROUND(C581*10,0),10))&gt;=3))</f>
        <v/>
      </c>
      <c r="M581" s="68" t="str" cm="1">
        <f t="array" ref="M581">IF(OR(B581="",O581=""),"",--(COUNTIF(O581:O586,"&gt;0")=1)*--(SUM(_xlfn.XLOOKUP(_xlfn._xlws.FILTER(_xlfn.TOCOL(_xlfn.CHOOSECOLS(C548:L556,2,4,6,8,10),0,TRUE),_xlfn.TOCOL(_xlfn.CHOOSECOLS(C548:L556,1,3,5,7,9),0,TRUE)&lt;&gt;""),Lists!$AC$2:$AC$9,Lists!$AF$2:$AF$9,0))=0))</f>
        <v/>
      </c>
      <c r="N581" s="69" t="str">
        <f>IF(OR(B581="",O581=""),"",--(COUNTIF(O581:O586,"&gt;0")=1))</f>
        <v/>
      </c>
      <c r="O581" s="5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  <c r="CL581" s="18"/>
      <c r="CM581" s="18"/>
      <c r="CN581" s="18"/>
      <c r="CO581" s="18"/>
      <c r="CP581" s="18"/>
      <c r="CQ581" s="18"/>
      <c r="CR581" s="18"/>
      <c r="CS581" s="18"/>
      <c r="CT581" s="18"/>
      <c r="CU581" s="18"/>
      <c r="CV581" s="18"/>
      <c r="CW581" s="18"/>
      <c r="CX581" s="18"/>
      <c r="CY581" s="18"/>
      <c r="CZ581" s="18"/>
      <c r="DA581" s="18"/>
      <c r="DB581" s="18"/>
      <c r="DC581" s="18"/>
      <c r="DD581" s="18"/>
      <c r="DE581" s="18"/>
      <c r="DF581" s="18"/>
    </row>
    <row r="582" spans="1:110">
      <c r="A582" s="168">
        <v>2</v>
      </c>
      <c r="B582" s="71"/>
      <c r="C582" s="70" t="str" cm="1">
        <f t="array" aca="1" ref="C582" ca="1">IF(OR(B582="",O582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82" s="67" t="str" cm="1">
        <f t="array" aca="1" ref="D582" ca="1">IF(OR(B582="",O582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82" s="67" t="str" cm="1">
        <f t="array" aca="1" ref="E582" ca="1">IF(OR(B582="",O582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82" s="67" t="str" cm="1">
        <f t="array" aca="1" ref="F582" ca="1">IF(OR(B582="",O582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82" s="67" t="str" cm="1">
        <f t="array" aca="1" ref="G582" ca="1">IF(OR(B582="",O582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82" s="67" t="str" cm="1">
        <f t="array" aca="1" ref="H582" ca="1">IF(OR(B582="",O582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82" s="68" t="str" cm="1">
        <f t="array" aca="1" ref="I582" ca="1">IF(OR(B582="",O582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82" s="68" t="str" cm="1">
        <f t="array" aca="1" ref="J582" ca="1">IF(OR(B582="",O582=""),"",--(SUM(_xlfn.XLOOKUP(_xlfn._xlws.FILTER(_xlfn.TOCOL(_xlfn.CHOOSECOLS(C569:L577,2,4,6,8,10),0,TRUE),_xlfn.TOCOL(_xlfn.CHOOSECOLS(C569:L577,1,3,5,7,9),0,TRUE)&lt;&gt;""),Lists!$AC$2:$AC$9,Lists!$AF$2:$AF$9,0))&gt;SUM(_xlfn.XLOOKUP(_xlfn._xlws.FILTER(_xlfn.TOCOL(_xlfn.CHOOSECOLS(C548:L556,2,4,6,8,10),0,TRUE),_xlfn.TOCOL(_xlfn.CHOOSECOLS(C548:L556,1,3,5,7,9),0,TRUE)&lt;&gt;""),Lists!$AC$2:$AC$9,Lists!$AF$2:$AF$9,0)))*--(ROW()-ROW(C580)=_xlfn.XLOOKUP(MAX(IF(O581:O586&gt;0,INT(C581:C586)*3+MOD(ROUND(C581:C586*10,0),10),-1)),IF(O581:O586&gt;0,INT(C581:C586)*3+MOD(ROUND(C581:C586*10,0),10),-1),_xlfn.SEQUENCE(ROWS(O581:O586)),,0)))</f>
        <v/>
      </c>
      <c r="K582" s="68" t="str" cm="1">
        <f t="array" aca="1" ref="K582" ca="1">IF(OR(B582="",O582=""),"",--(SUM(_xlfn.XLOOKUP(_xlfn._xlws.FILTER(_xlfn.TOCOL(_xlfn.CHOOSECOLS(C569:L577,2,4,6,8,10),0,TRUE),_xlfn.TOCOL(_xlfn.CHOOSECOLS(C569:L577,1,3,5,7,9),0,TRUE)&lt;&gt;""),Lists!$AC$2:$AC$9,Lists!$AF$2:$AF$9,0))&lt;SUM(_xlfn.XLOOKUP(_xlfn._xlws.FILTER(_xlfn.TOCOL(_xlfn.CHOOSECOLS(C548:L556,2,4,6,8,10),0,TRUE),_xlfn.TOCOL(_xlfn.CHOOSECOLS(C548:L556,1,3,5,7,9),0,TRUE)&lt;&gt;""),Lists!$AC$2:$AC$9,Lists!$AF$2:$AF$9,0)))*--(ROW()-ROW(C580)=_xlfn.XLOOKUP(MAX(IF(O581:O586&gt;0,E581:E586,-1)),IF(O581:O586&gt;0,E581:E586,-1),_xlfn.SEQUENCE(ROWS(O581:O586)),,0)))</f>
        <v/>
      </c>
      <c r="L582" s="68" t="str" cm="1">
        <f t="array" aca="1" ref="L582" ca="1">IF(OR(B582="",O582=""),"",--(SUM(_xlfn.XLOOKUP(_xlfn._xlws.FILTER(_xlfn.TOCOL(_xlfn.CHOOSECOLS(C569:L577,2,4,6,8,10),0,TRUE),_xlfn.TOCOL(_xlfn.CHOOSECOLS(C569:L577,1,3,5,7,9),0,TRUE)&lt;&gt;""),Lists!$AC$2:$AC$9,Lists!$AF$2:$AF$9,0))&gt;SUM(_xlfn.XLOOKUP(_xlfn._xlws.FILTER(_xlfn.TOCOL(_xlfn.CHOOSECOLS(C548:L556,2,4,6,8,10),0,TRUE),_xlfn.TOCOL(_xlfn.CHOOSECOLS(C548:L556,1,3,5,7,9),0,TRUE)&lt;&gt;""),Lists!$AC$2:$AC$9,Lists!$AF$2:$AF$9,0)))*--(COUNTIF(O581:O586,"&gt;0")&gt;1)*--(ROW()-ROW(C580)=_xlfn.XLOOKUP(TRUE,O581:O586&gt;0,_xlfn.SEQUENCE(ROWS(O581:O586)),,0,-1))*--(_xlfn.XLOOKUP(TRUE,O581:O586&gt;0,_xlfn.SEQUENCE(ROWS(O581:O586)),,0,-1)&lt;&gt;_xlfn.XLOOKUP(MAX(IF(O581:O586&gt;0,INT(C581:C586)*3+MOD(ROUND(C581:C586*10,0),10),-1)),IF(O581:O586&gt;0,INT(C581:C586)*3+MOD(ROUND(C581:C586*10,0),10),-1),_xlfn.SEQUENCE(ROWS(O581:O586)),,0))*--(SUM(_xlfn.XLOOKUP(_xlfn._xlws.FILTER(_xlfn.TOCOL(_xlfn.CHOOSECOLS(C569:L577,2,4,6,8,10),0,TRUE),_xlfn.TOCOL(_xlfn.CHOOSECOLS(C569:L577,1,3,5,7,9),0,TRUE)&lt;&gt;""),Lists!$AC$2:$AC$9,Lists!$AF$2:$AF$9,0))-SUM(_xlfn.XLOOKUP(_xlfn._xlws.FILTER(_xlfn.TOCOL(_xlfn.CHOOSECOLS(C548:L556,2,4,6,8,10),0,TRUE),_xlfn.TOCOL(_xlfn.CHOOSECOLS(C548:L556,1,3,5,7,9),0,TRUE)&lt;&gt;""),Lists!$AC$2:$AC$9,Lists!$AF$2:$AF$9,0))&lt;=3)*--((INT(C582)*3+MOD(ROUND(C582*10,0),10))&gt;=3))</f>
        <v/>
      </c>
      <c r="M582" s="68" t="str" cm="1">
        <f t="array" ref="M582">IF(OR(B582="",O582=""),"",--(COUNTIF(O581:O586,"&gt;0")=1)*--(SUM(_xlfn.XLOOKUP(_xlfn._xlws.FILTER(_xlfn.TOCOL(_xlfn.CHOOSECOLS(C548:L556,2,4,6,8,10),0,TRUE),_xlfn.TOCOL(_xlfn.CHOOSECOLS(C548:L556,1,3,5,7,9),0,TRUE)&lt;&gt;""),Lists!$AC$2:$AC$9,Lists!$AF$2:$AF$9,0))=0))</f>
        <v/>
      </c>
      <c r="N582" s="69" t="str">
        <f>IF(OR(B582="",O582=""),"",--(COUNTIF(O581:O586,"&gt;0")=1))</f>
        <v/>
      </c>
      <c r="O582" s="5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18"/>
      <c r="CN582" s="18"/>
      <c r="CO582" s="18"/>
      <c r="CP582" s="18"/>
      <c r="CQ582" s="18"/>
      <c r="CR582" s="18"/>
      <c r="CS582" s="18"/>
      <c r="CT582" s="18"/>
      <c r="CU582" s="18"/>
      <c r="CV582" s="18"/>
      <c r="CW582" s="18"/>
      <c r="CX582" s="18"/>
      <c r="CY582" s="18"/>
      <c r="CZ582" s="18"/>
      <c r="DA582" s="18"/>
      <c r="DB582" s="18"/>
      <c r="DC582" s="18"/>
      <c r="DD582" s="18"/>
      <c r="DE582" s="18"/>
      <c r="DF582" s="18"/>
    </row>
    <row r="583" spans="1:110">
      <c r="A583" s="168">
        <v>3</v>
      </c>
      <c r="B583" s="71"/>
      <c r="C583" s="70" t="str" cm="1">
        <f t="array" aca="1" ref="C583" ca="1">IF(OR(B583="",O583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83" s="67" t="str" cm="1">
        <f t="array" aca="1" ref="D583" ca="1">IF(OR(B583="",O583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83" s="67" t="str" cm="1">
        <f t="array" aca="1" ref="E583" ca="1">IF(OR(B583="",O583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83" s="67" t="str" cm="1">
        <f t="array" aca="1" ref="F583" ca="1">IF(OR(B583="",O583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83" s="67" t="str" cm="1">
        <f t="array" aca="1" ref="G583" ca="1">IF(OR(B583="",O583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83" s="67" t="str" cm="1">
        <f t="array" aca="1" ref="H583" ca="1">IF(OR(B583="",O583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83" s="68" t="str" cm="1">
        <f t="array" aca="1" ref="I583" ca="1">IF(OR(B583="",O583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83" s="68" t="str" cm="1">
        <f t="array" aca="1" ref="J583" ca="1">IF(OR(B583="",O583=""),"",--(SUM(_xlfn.XLOOKUP(_xlfn._xlws.FILTER(_xlfn.TOCOL(_xlfn.CHOOSECOLS(C569:L577,2,4,6,8,10),0,TRUE),_xlfn.TOCOL(_xlfn.CHOOSECOLS(C569:L577,1,3,5,7,9),0,TRUE)&lt;&gt;""),Lists!$AC$2:$AC$9,Lists!$AF$2:$AF$9,0))&gt;SUM(_xlfn.XLOOKUP(_xlfn._xlws.FILTER(_xlfn.TOCOL(_xlfn.CHOOSECOLS(C548:L556,2,4,6,8,10),0,TRUE),_xlfn.TOCOL(_xlfn.CHOOSECOLS(C548:L556,1,3,5,7,9),0,TRUE)&lt;&gt;""),Lists!$AC$2:$AC$9,Lists!$AF$2:$AF$9,0)))*--(ROW()-ROW(C580)=_xlfn.XLOOKUP(MAX(IF(O581:O586&gt;0,INT(C581:C586)*3+MOD(ROUND(C581:C586*10,0),10),-1)),IF(O581:O586&gt;0,INT(C581:C586)*3+MOD(ROUND(C581:C586*10,0),10),-1),_xlfn.SEQUENCE(ROWS(O581:O586)),,0)))</f>
        <v/>
      </c>
      <c r="K583" s="68" t="str" cm="1">
        <f t="array" aca="1" ref="K583" ca="1">IF(OR(B583="",O583=""),"",--(SUM(_xlfn.XLOOKUP(_xlfn._xlws.FILTER(_xlfn.TOCOL(_xlfn.CHOOSECOLS(C569:L577,2,4,6,8,10),0,TRUE),_xlfn.TOCOL(_xlfn.CHOOSECOLS(C569:L577,1,3,5,7,9),0,TRUE)&lt;&gt;""),Lists!$AC$2:$AC$9,Lists!$AF$2:$AF$9,0))&lt;SUM(_xlfn.XLOOKUP(_xlfn._xlws.FILTER(_xlfn.TOCOL(_xlfn.CHOOSECOLS(C548:L556,2,4,6,8,10),0,TRUE),_xlfn.TOCOL(_xlfn.CHOOSECOLS(C548:L556,1,3,5,7,9),0,TRUE)&lt;&gt;""),Lists!$AC$2:$AC$9,Lists!$AF$2:$AF$9,0)))*--(ROW()-ROW(C580)=_xlfn.XLOOKUP(MAX(IF(O581:O586&gt;0,E581:E586,-1)),IF(O581:O586&gt;0,E581:E586,-1),_xlfn.SEQUENCE(ROWS(O581:O586)),,0)))</f>
        <v/>
      </c>
      <c r="L583" s="68" t="str" cm="1">
        <f t="array" aca="1" ref="L583" ca="1">IF(OR(B583="",O583=""),"",--(SUM(_xlfn.XLOOKUP(_xlfn._xlws.FILTER(_xlfn.TOCOL(_xlfn.CHOOSECOLS(C569:L577,2,4,6,8,10),0,TRUE),_xlfn.TOCOL(_xlfn.CHOOSECOLS(C569:L577,1,3,5,7,9),0,TRUE)&lt;&gt;""),Lists!$AC$2:$AC$9,Lists!$AF$2:$AF$9,0))&gt;SUM(_xlfn.XLOOKUP(_xlfn._xlws.FILTER(_xlfn.TOCOL(_xlfn.CHOOSECOLS(C548:L556,2,4,6,8,10),0,TRUE),_xlfn.TOCOL(_xlfn.CHOOSECOLS(C548:L556,1,3,5,7,9),0,TRUE)&lt;&gt;""),Lists!$AC$2:$AC$9,Lists!$AF$2:$AF$9,0)))*--(COUNTIF(O581:O586,"&gt;0")&gt;1)*--(ROW()-ROW(C580)=_xlfn.XLOOKUP(TRUE,O581:O586&gt;0,_xlfn.SEQUENCE(ROWS(O581:O586)),,0,-1))*--(_xlfn.XLOOKUP(TRUE,O581:O586&gt;0,_xlfn.SEQUENCE(ROWS(O581:O586)),,0,-1)&lt;&gt;_xlfn.XLOOKUP(MAX(IF(O581:O586&gt;0,INT(C581:C586)*3+MOD(ROUND(C581:C586*10,0),10),-1)),IF(O581:O586&gt;0,INT(C581:C586)*3+MOD(ROUND(C581:C586*10,0),10),-1),_xlfn.SEQUENCE(ROWS(O581:O586)),,0))*--(SUM(_xlfn.XLOOKUP(_xlfn._xlws.FILTER(_xlfn.TOCOL(_xlfn.CHOOSECOLS(C569:L577,2,4,6,8,10),0,TRUE),_xlfn.TOCOL(_xlfn.CHOOSECOLS(C569:L577,1,3,5,7,9),0,TRUE)&lt;&gt;""),Lists!$AC$2:$AC$9,Lists!$AF$2:$AF$9,0))-SUM(_xlfn.XLOOKUP(_xlfn._xlws.FILTER(_xlfn.TOCOL(_xlfn.CHOOSECOLS(C548:L556,2,4,6,8,10),0,TRUE),_xlfn.TOCOL(_xlfn.CHOOSECOLS(C548:L556,1,3,5,7,9),0,TRUE)&lt;&gt;""),Lists!$AC$2:$AC$9,Lists!$AF$2:$AF$9,0))&lt;=3)*--((INT(C583)*3+MOD(ROUND(C583*10,0),10))&gt;=3))</f>
        <v/>
      </c>
      <c r="M583" s="68" t="str" cm="1">
        <f t="array" ref="M583">IF(OR(B583="",O583=""),"",--(COUNTIF(O581:O586,"&gt;0")=1)*--(SUM(_xlfn.XLOOKUP(_xlfn._xlws.FILTER(_xlfn.TOCOL(_xlfn.CHOOSECOLS(C548:L556,2,4,6,8,10),0,TRUE),_xlfn.TOCOL(_xlfn.CHOOSECOLS(C548:L556,1,3,5,7,9),0,TRUE)&lt;&gt;""),Lists!$AC$2:$AC$9,Lists!$AF$2:$AF$9,0))=0))</f>
        <v/>
      </c>
      <c r="N583" s="69" t="str">
        <f>IF(OR(B583="",O583=""),"",--(COUNTIF(O581:O586,"&gt;0")=1))</f>
        <v/>
      </c>
      <c r="O583" s="5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  <c r="CI583" s="18"/>
      <c r="CJ583" s="18"/>
      <c r="CK583" s="18"/>
      <c r="CL583" s="18"/>
      <c r="CM583" s="18"/>
      <c r="CN583" s="18"/>
      <c r="CO583" s="18"/>
      <c r="CP583" s="18"/>
      <c r="CQ583" s="18"/>
      <c r="CR583" s="18"/>
      <c r="CS583" s="18"/>
      <c r="CT583" s="18"/>
      <c r="CU583" s="18"/>
      <c r="CV583" s="18"/>
      <c r="CW583" s="18"/>
      <c r="CX583" s="18"/>
      <c r="CY583" s="18"/>
      <c r="CZ583" s="18"/>
      <c r="DA583" s="18"/>
      <c r="DB583" s="18"/>
      <c r="DC583" s="18"/>
      <c r="DD583" s="18"/>
      <c r="DE583" s="18"/>
      <c r="DF583" s="18"/>
    </row>
    <row r="584" spans="1:110">
      <c r="A584" s="168">
        <v>4</v>
      </c>
      <c r="B584" s="71"/>
      <c r="C584" s="70" t="str" cm="1">
        <f t="array" aca="1" ref="C584" ca="1">IF(OR(B584="",O584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84" s="67" t="str" cm="1">
        <f t="array" aca="1" ref="D584" ca="1">IF(OR(B584="",O584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84" s="67" t="str" cm="1">
        <f t="array" aca="1" ref="E584" ca="1">IF(OR(B584="",O584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584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84" s="67" t="str" cm="1">
        <f t="array" aca="1" ref="F584" ca="1">IF(OR(B584="",O584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584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84" s="67" t="str" cm="1">
        <f t="array" aca="1" ref="G584" ca="1">IF(OR(B584="",O584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84" s="67" t="str" cm="1">
        <f t="array" aca="1" ref="H584" ca="1">IF(OR(B584="",O584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84" s="68" t="str" cm="1">
        <f t="array" aca="1" ref="I584" ca="1">IF(OR(B584="",O584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84" s="68" t="str" cm="1">
        <f t="array" aca="1" ref="J584" ca="1">IF(OR(B584="",O584=""),"",--(SUM(_xlfn.XLOOKUP(_xlfn._xlws.FILTER(_xlfn.TOCOL(_xlfn.CHOOSECOLS(C569:L577,2,4,6,8,10),0,TRUE),_xlfn.TOCOL(_xlfn.CHOOSECOLS(C569:L577,1,3,5,7,9),0,TRUE)&lt;&gt;""),Lists!$AC$2:$AC$9,Lists!$AF$2:$AF$9,0))&gt;SUM(_xlfn.XLOOKUP(_xlfn._xlws.FILTER(_xlfn.TOCOL(_xlfn.CHOOSECOLS(C548:L556,2,4,6,8,10),0,TRUE),_xlfn.TOCOL(_xlfn.CHOOSECOLS(C548:L556,1,3,5,7,9),0,TRUE)&lt;&gt;""),Lists!$AC$2:$AC$9,Lists!$AF$2:$AF$9,0)))*--(ROW()-ROW(C580)=_xlfn.XLOOKUP(MAX(IF(O581:O586&gt;0,INT(C581:C586)*3+MOD(ROUND(C581:C586*10,0),10),-1)),IF(O581:O586&gt;0,INT(C581:C586)*3+MOD(ROUND(C581:C586*10,0),10),-1),_xlfn.SEQUENCE(ROWS(O581:O586)),,0)))</f>
        <v/>
      </c>
      <c r="K584" s="68" t="str" cm="1">
        <f t="array" aca="1" ref="K584" ca="1">IF(OR(B584="",O584=""),"",--(SUM(_xlfn.XLOOKUP(_xlfn._xlws.FILTER(_xlfn.TOCOL(_xlfn.CHOOSECOLS(C569:L577,2,4,6,8,10),0,TRUE),_xlfn.TOCOL(_xlfn.CHOOSECOLS(C569:L577,1,3,5,7,9),0,TRUE)&lt;&gt;""),Lists!$AC$2:$AC$9,Lists!$AF$2:$AF$9,0))&lt;SUM(_xlfn.XLOOKUP(_xlfn._xlws.FILTER(_xlfn.TOCOL(_xlfn.CHOOSECOLS(C548:L556,2,4,6,8,10),0,TRUE),_xlfn.TOCOL(_xlfn.CHOOSECOLS(C548:L556,1,3,5,7,9),0,TRUE)&lt;&gt;""),Lists!$AC$2:$AC$9,Lists!$AF$2:$AF$9,0)))*--(ROW()-ROW(C580)=_xlfn.XLOOKUP(MAX(IF(O581:O586&gt;0,E581:E586,-1)),IF(O581:O586&gt;0,E581:E586,-1),_xlfn.SEQUENCE(ROWS(O581:O586)),,0)))</f>
        <v/>
      </c>
      <c r="L584" s="68" t="str" cm="1">
        <f t="array" aca="1" ref="L584" ca="1">IF(OR(B584="",O584=""),"",--(SUM(_xlfn.XLOOKUP(_xlfn._xlws.FILTER(_xlfn.TOCOL(_xlfn.CHOOSECOLS(C569:L577,2,4,6,8,10),0,TRUE),_xlfn.TOCOL(_xlfn.CHOOSECOLS(C569:L577,1,3,5,7,9),0,TRUE)&lt;&gt;""),Lists!$AC$2:$AC$9,Lists!$AF$2:$AF$9,0))&gt;SUM(_xlfn.XLOOKUP(_xlfn._xlws.FILTER(_xlfn.TOCOL(_xlfn.CHOOSECOLS(C548:L556,2,4,6,8,10),0,TRUE),_xlfn.TOCOL(_xlfn.CHOOSECOLS(C548:L556,1,3,5,7,9),0,TRUE)&lt;&gt;""),Lists!$AC$2:$AC$9,Lists!$AF$2:$AF$9,0)))*--(COUNTIF(O581:O586,"&gt;0")&gt;1)*--(ROW()-ROW(C580)=_xlfn.XLOOKUP(TRUE,O581:O586&gt;0,_xlfn.SEQUENCE(ROWS(O581:O586)),,0,-1))*--(_xlfn.XLOOKUP(TRUE,O581:O586&gt;0,_xlfn.SEQUENCE(ROWS(O581:O586)),,0,-1)&lt;&gt;_xlfn.XLOOKUP(MAX(IF(O581:O586&gt;0,INT(C581:C586)*3+MOD(ROUND(C581:C586*10,0),10),-1)),IF(O581:O586&gt;0,INT(C581:C586)*3+MOD(ROUND(C581:C586*10,0),10),-1),_xlfn.SEQUENCE(ROWS(O581:O586)),,0))*--(SUM(_xlfn.XLOOKUP(_xlfn._xlws.FILTER(_xlfn.TOCOL(_xlfn.CHOOSECOLS(C569:L577,2,4,6,8,10),0,TRUE),_xlfn.TOCOL(_xlfn.CHOOSECOLS(C569:L577,1,3,5,7,9),0,TRUE)&lt;&gt;""),Lists!$AC$2:$AC$9,Lists!$AF$2:$AF$9,0))-SUM(_xlfn.XLOOKUP(_xlfn._xlws.FILTER(_xlfn.TOCOL(_xlfn.CHOOSECOLS(C548:L556,2,4,6,8,10),0,TRUE),_xlfn.TOCOL(_xlfn.CHOOSECOLS(C548:L556,1,3,5,7,9),0,TRUE)&lt;&gt;""),Lists!$AC$2:$AC$9,Lists!$AF$2:$AF$9,0))&lt;=3)*--((INT(C584)*3+MOD(ROUND(C584*10,0),10))&gt;=3))</f>
        <v/>
      </c>
      <c r="M584" s="68" t="str" cm="1">
        <f t="array" ref="M584">IF(OR(B584="",O584=""),"",--(COUNTIF(O581:O586,"&gt;0")=1)*--(SUM(_xlfn.XLOOKUP(_xlfn._xlws.FILTER(_xlfn.TOCOL(_xlfn.CHOOSECOLS(C548:L556,2,4,6,8,10),0,TRUE),_xlfn.TOCOL(_xlfn.CHOOSECOLS(C548:L556,1,3,5,7,9),0,TRUE)&lt;&gt;""),Lists!$AC$2:$AC$9,Lists!$AF$2:$AF$9,0))=0))</f>
        <v/>
      </c>
      <c r="N584" s="69" t="str">
        <f>IF(OR(B584="",O584=""),"",--(COUNTIF(O581:O586,"&gt;0")=1))</f>
        <v/>
      </c>
      <c r="O584" s="5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  <c r="CL584" s="18"/>
      <c r="CM584" s="18"/>
      <c r="CN584" s="18"/>
      <c r="CO584" s="18"/>
      <c r="CP584" s="18"/>
      <c r="CQ584" s="18"/>
      <c r="CR584" s="18"/>
      <c r="CS584" s="18"/>
      <c r="CT584" s="18"/>
      <c r="CU584" s="18"/>
      <c r="CV584" s="18"/>
      <c r="CW584" s="18"/>
      <c r="CX584" s="18"/>
      <c r="CY584" s="18"/>
      <c r="CZ584" s="18"/>
      <c r="DA584" s="18"/>
      <c r="DB584" s="18"/>
      <c r="DC584" s="18"/>
      <c r="DD584" s="18"/>
      <c r="DE584" s="18"/>
      <c r="DF584" s="18"/>
    </row>
    <row r="585" spans="1:110">
      <c r="A585" s="168">
        <v>5</v>
      </c>
      <c r="B585" s="71"/>
      <c r="C585" s="70" t="str" cm="1">
        <f t="array" aca="1" ref="C585" ca="1">IF(OR(B585="",O585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85" s="67" t="str" cm="1">
        <f t="array" aca="1" ref="D585" ca="1">IF(OR(B585="",O585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85" s="67" t="str" cm="1">
        <f t="array" aca="1" ref="E585" ca="1">IF(OR(B585="",O585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585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85" s="67" t="str" cm="1">
        <f t="array" aca="1" ref="F585" ca="1">IF(OR(B585="",O585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585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85" s="67" t="str" cm="1">
        <f t="array" aca="1" ref="G585" ca="1">IF(OR(B585="",O585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85" s="67" t="str" cm="1">
        <f t="array" aca="1" ref="H585" ca="1">IF(OR(B585="",O585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85" s="68" t="str" cm="1">
        <f t="array" aca="1" ref="I585" ca="1">IF(OR(B585="",O585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85" s="68" t="str" cm="1">
        <f t="array" aca="1" ref="J585" ca="1">IF(OR(B585="",O585=""),"",--(SUM(_xlfn.XLOOKUP(_xlfn._xlws.FILTER(_xlfn.TOCOL(_xlfn.CHOOSECOLS(C569:L577,2,4,6,8,10),0,TRUE),_xlfn.TOCOL(_xlfn.CHOOSECOLS(C569:L577,1,3,5,7,9),0,TRUE)&lt;&gt;""),Lists!$AC$2:$AC$9,Lists!$AF$2:$AF$9,0))&gt;SUM(_xlfn.XLOOKUP(_xlfn._xlws.FILTER(_xlfn.TOCOL(_xlfn.CHOOSECOLS(C548:L556,2,4,6,8,10),0,TRUE),_xlfn.TOCOL(_xlfn.CHOOSECOLS(C548:L556,1,3,5,7,9),0,TRUE)&lt;&gt;""),Lists!$AC$2:$AC$9,Lists!$AF$2:$AF$9,0)))*--(ROW()-ROW(C580)=_xlfn.XLOOKUP(MAX(IF(O581:O586&gt;0,INT(C581:C586)*3+MOD(ROUND(C581:C586*10,0),10),-1)),IF(O581:O586&gt;0,INT(C581:C586)*3+MOD(ROUND(C581:C586*10,0),10),-1),_xlfn.SEQUENCE(ROWS(O581:O586)),,0)))</f>
        <v/>
      </c>
      <c r="K585" s="68" t="str" cm="1">
        <f t="array" aca="1" ref="K585" ca="1">IF(OR(B585="",O585=""),"",--(SUM(_xlfn.XLOOKUP(_xlfn._xlws.FILTER(_xlfn.TOCOL(_xlfn.CHOOSECOLS(C569:L577,2,4,6,8,10),0,TRUE),_xlfn.TOCOL(_xlfn.CHOOSECOLS(C569:L577,1,3,5,7,9),0,TRUE)&lt;&gt;""),Lists!$AC$2:$AC$9,Lists!$AF$2:$AF$9,0))&lt;SUM(_xlfn.XLOOKUP(_xlfn._xlws.FILTER(_xlfn.TOCOL(_xlfn.CHOOSECOLS(C548:L556,2,4,6,8,10),0,TRUE),_xlfn.TOCOL(_xlfn.CHOOSECOLS(C548:L556,1,3,5,7,9),0,TRUE)&lt;&gt;""),Lists!$AC$2:$AC$9,Lists!$AF$2:$AF$9,0)))*--(ROW()-ROW(C580)=_xlfn.XLOOKUP(MAX(IF(O581:O586&gt;0,E581:E586,-1)),IF(O581:O586&gt;0,E581:E586,-1),_xlfn.SEQUENCE(ROWS(O581:O586)),,0)))</f>
        <v/>
      </c>
      <c r="L585" s="68" t="str" cm="1">
        <f t="array" aca="1" ref="L585" ca="1">IF(OR(B585="",O585=""),"",--(SUM(_xlfn.XLOOKUP(_xlfn._xlws.FILTER(_xlfn.TOCOL(_xlfn.CHOOSECOLS(C569:L577,2,4,6,8,10),0,TRUE),_xlfn.TOCOL(_xlfn.CHOOSECOLS(C569:L577,1,3,5,7,9),0,TRUE)&lt;&gt;""),Lists!$AC$2:$AC$9,Lists!$AF$2:$AF$9,0))&gt;SUM(_xlfn.XLOOKUP(_xlfn._xlws.FILTER(_xlfn.TOCOL(_xlfn.CHOOSECOLS(C548:L556,2,4,6,8,10),0,TRUE),_xlfn.TOCOL(_xlfn.CHOOSECOLS(C548:L556,1,3,5,7,9),0,TRUE)&lt;&gt;""),Lists!$AC$2:$AC$9,Lists!$AF$2:$AF$9,0)))*--(COUNTIF(O581:O586,"&gt;0")&gt;1)*--(ROW()-ROW(C580)=_xlfn.XLOOKUP(TRUE,O581:O586&gt;0,_xlfn.SEQUENCE(ROWS(O581:O586)),,0,-1))*--(_xlfn.XLOOKUP(TRUE,O581:O586&gt;0,_xlfn.SEQUENCE(ROWS(O581:O586)),,0,-1)&lt;&gt;_xlfn.XLOOKUP(MAX(IF(O581:O586&gt;0,INT(C581:C586)*3+MOD(ROUND(C581:C586*10,0),10),-1)),IF(O581:O586&gt;0,INT(C581:C586)*3+MOD(ROUND(C581:C586*10,0),10),-1),_xlfn.SEQUENCE(ROWS(O581:O586)),,0))*--(SUM(_xlfn.XLOOKUP(_xlfn._xlws.FILTER(_xlfn.TOCOL(_xlfn.CHOOSECOLS(C569:L577,2,4,6,8,10),0,TRUE),_xlfn.TOCOL(_xlfn.CHOOSECOLS(C569:L577,1,3,5,7,9),0,TRUE)&lt;&gt;""),Lists!$AC$2:$AC$9,Lists!$AF$2:$AF$9,0))-SUM(_xlfn.XLOOKUP(_xlfn._xlws.FILTER(_xlfn.TOCOL(_xlfn.CHOOSECOLS(C548:L556,2,4,6,8,10),0,TRUE),_xlfn.TOCOL(_xlfn.CHOOSECOLS(C548:L556,1,3,5,7,9),0,TRUE)&lt;&gt;""),Lists!$AC$2:$AC$9,Lists!$AF$2:$AF$9,0))&lt;=3)*--((INT(C585)*3+MOD(ROUND(C585*10,0),10))&gt;=3))</f>
        <v/>
      </c>
      <c r="M585" s="68" t="str" cm="1">
        <f t="array" ref="M585">IF(OR(B585="",O585=""),"",--(COUNTIF(O581:O586,"&gt;0")=1)*--(SUM(_xlfn.XLOOKUP(_xlfn._xlws.FILTER(_xlfn.TOCOL(_xlfn.CHOOSECOLS(C548:L556,2,4,6,8,10),0,TRUE),_xlfn.TOCOL(_xlfn.CHOOSECOLS(C548:L556,1,3,5,7,9),0,TRUE)&lt;&gt;""),Lists!$AC$2:$AC$9,Lists!$AF$2:$AF$9,0))=0))</f>
        <v/>
      </c>
      <c r="N585" s="69" t="str">
        <f>IF(OR(B585="",O585=""),"",--(COUNTIF(O581:O586,"&gt;0")=1))</f>
        <v/>
      </c>
      <c r="O585" s="5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  <c r="CL585" s="18"/>
      <c r="CM585" s="18"/>
      <c r="CN585" s="18"/>
      <c r="CO585" s="18"/>
      <c r="CP585" s="18"/>
      <c r="CQ585" s="18"/>
      <c r="CR585" s="18"/>
      <c r="CS585" s="18"/>
      <c r="CT585" s="18"/>
      <c r="CU585" s="18"/>
      <c r="CV585" s="18"/>
      <c r="CW585" s="18"/>
      <c r="CX585" s="18"/>
      <c r="CY585" s="18"/>
      <c r="CZ585" s="18"/>
      <c r="DA585" s="18"/>
      <c r="DB585" s="18"/>
      <c r="DC585" s="18"/>
      <c r="DD585" s="18"/>
      <c r="DE585" s="18"/>
      <c r="DF585" s="18"/>
    </row>
    <row r="586" spans="1:110">
      <c r="A586" s="168">
        <v>6</v>
      </c>
      <c r="B586" s="71"/>
      <c r="C586" s="70" t="str" cm="1">
        <f t="array" aca="1" ref="C586" ca="1">IF(OR(B586="",O586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586" s="67" t="str" cm="1">
        <f t="array" aca="1" ref="D586" ca="1">IF(OR(B586="",O586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586" s="67" t="str" cm="1">
        <f t="array" aca="1" ref="E586" ca="1">IF(OR(B586="",O586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586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586" s="67" t="str" cm="1">
        <f t="array" aca="1" ref="F586" ca="1">IF(OR(B586="",O586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586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586" s="67" t="str" cm="1">
        <f t="array" aca="1" ref="G586" ca="1">IF(OR(B586="",O586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586" s="67" t="str" cm="1">
        <f t="array" aca="1" ref="H586" ca="1">IF(OR(B586="",O586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586" s="68" t="str" cm="1">
        <f t="array" aca="1" ref="I586" ca="1">IF(OR(B586="",O586=""),"",_xlfn.LET(_xlpm.flatPAraw,_xlfn.TOCOL(_xlfn.CHOOSECOLS(C548:L556,1,3,5,7,9),0,TRUE),_xlpm.flatPARraw,_xlfn.TOCOL(_xlfn.CHOOSECOLS(C548:L556,2,4,6,8,10),0,TRUE),_xlpm.flatPA,_xlfn._xlws.FILTER(_xlpm.flatPAraw,_xlpm.flatPAraw&lt;&gt;""),_xlpm.flatPAR,_xlfn._xlws.FILTER(_xlpm.flatPARraw,_xlpm.flatPAraw&lt;&gt;""),_xlpm.prev,IF(ROW()=ROW(C581),0,SUM(INDEX(O:O,ROW(C581)):INDEX(O:O,ROW()-1))),_xlpm.need,O586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586" s="68" t="str" cm="1">
        <f t="array" aca="1" ref="J586" ca="1">IF(OR(B586="",O586=""),"",--(SUM(_xlfn.XLOOKUP(_xlfn._xlws.FILTER(_xlfn.TOCOL(_xlfn.CHOOSECOLS(C569:L577,2,4,6,8,10),0,TRUE),_xlfn.TOCOL(_xlfn.CHOOSECOLS(C569:L577,1,3,5,7,9),0,TRUE)&lt;&gt;""),Lists!$AC$2:$AC$9,Lists!$AF$2:$AF$9,0))&gt;SUM(_xlfn.XLOOKUP(_xlfn._xlws.FILTER(_xlfn.TOCOL(_xlfn.CHOOSECOLS(C548:L556,2,4,6,8,10),0,TRUE),_xlfn.TOCOL(_xlfn.CHOOSECOLS(C548:L556,1,3,5,7,9),0,TRUE)&lt;&gt;""),Lists!$AC$2:$AC$9,Lists!$AF$2:$AF$9,0)))*--(ROW()-ROW(C580)=_xlfn.XLOOKUP(MAX(IF(O581:O586&gt;0,INT(C581:C586)*3+MOD(ROUND(C581:C586*10,0),10),-1)),IF(O581:O586&gt;0,INT(C581:C586)*3+MOD(ROUND(C581:C586*10,0),10),-1),_xlfn.SEQUENCE(ROWS(O581:O586)),,0)))</f>
        <v/>
      </c>
      <c r="K586" s="68" t="str" cm="1">
        <f t="array" aca="1" ref="K586" ca="1">IF(OR(B586="",O586=""),"",--(SUM(_xlfn.XLOOKUP(_xlfn._xlws.FILTER(_xlfn.TOCOL(_xlfn.CHOOSECOLS(C569:L577,2,4,6,8,10),0,TRUE),_xlfn.TOCOL(_xlfn.CHOOSECOLS(C569:L577,1,3,5,7,9),0,TRUE)&lt;&gt;""),Lists!$AC$2:$AC$9,Lists!$AF$2:$AF$9,0))&lt;SUM(_xlfn.XLOOKUP(_xlfn._xlws.FILTER(_xlfn.TOCOL(_xlfn.CHOOSECOLS(C548:L556,2,4,6,8,10),0,TRUE),_xlfn.TOCOL(_xlfn.CHOOSECOLS(C548:L556,1,3,5,7,9),0,TRUE)&lt;&gt;""),Lists!$AC$2:$AC$9,Lists!$AF$2:$AF$9,0)))*--(ROW()-ROW(C580)=_xlfn.XLOOKUP(MAX(IF(O581:O586&gt;0,E581:E586,-1)),IF(O581:O586&gt;0,E581:E586,-1),_xlfn.SEQUENCE(ROWS(O581:O586)),,0)))</f>
        <v/>
      </c>
      <c r="L586" s="68" t="str" cm="1">
        <f t="array" aca="1" ref="L586" ca="1">IF(OR(B586="",O586=""),"",--(SUM(_xlfn.XLOOKUP(_xlfn._xlws.FILTER(_xlfn.TOCOL(_xlfn.CHOOSECOLS(C569:L577,2,4,6,8,10),0,TRUE),_xlfn.TOCOL(_xlfn.CHOOSECOLS(C569:L577,1,3,5,7,9),0,TRUE)&lt;&gt;""),Lists!$AC$2:$AC$9,Lists!$AF$2:$AF$9,0))&gt;SUM(_xlfn.XLOOKUP(_xlfn._xlws.FILTER(_xlfn.TOCOL(_xlfn.CHOOSECOLS(C548:L556,2,4,6,8,10),0,TRUE),_xlfn.TOCOL(_xlfn.CHOOSECOLS(C548:L556,1,3,5,7,9),0,TRUE)&lt;&gt;""),Lists!$AC$2:$AC$9,Lists!$AF$2:$AF$9,0)))*--(COUNTIF(O581:O586,"&gt;0")&gt;1)*--(ROW()-ROW(C580)=_xlfn.XLOOKUP(TRUE,O581:O586&gt;0,_xlfn.SEQUENCE(ROWS(O581:O586)),,0,-1))*--(_xlfn.XLOOKUP(TRUE,O581:O586&gt;0,_xlfn.SEQUENCE(ROWS(O581:O586)),,0,-1)&lt;&gt;_xlfn.XLOOKUP(MAX(IF(O581:O586&gt;0,INT(C581:C586)*3+MOD(ROUND(C581:C586*10,0),10),-1)),IF(O581:O586&gt;0,INT(C581:C586)*3+MOD(ROUND(C581:C586*10,0),10),-1),_xlfn.SEQUENCE(ROWS(O581:O586)),,0))*--(SUM(_xlfn.XLOOKUP(_xlfn._xlws.FILTER(_xlfn.TOCOL(_xlfn.CHOOSECOLS(C569:L577,2,4,6,8,10),0,TRUE),_xlfn.TOCOL(_xlfn.CHOOSECOLS(C569:L577,1,3,5,7,9),0,TRUE)&lt;&gt;""),Lists!$AC$2:$AC$9,Lists!$AF$2:$AF$9,0))-SUM(_xlfn.XLOOKUP(_xlfn._xlws.FILTER(_xlfn.TOCOL(_xlfn.CHOOSECOLS(C548:L556,2,4,6,8,10),0,TRUE),_xlfn.TOCOL(_xlfn.CHOOSECOLS(C548:L556,1,3,5,7,9),0,TRUE)&lt;&gt;""),Lists!$AC$2:$AC$9,Lists!$AF$2:$AF$9,0))&lt;=3)*--((INT(C586)*3+MOD(ROUND(C586*10,0),10))&gt;=3))</f>
        <v/>
      </c>
      <c r="M586" s="68" t="str" cm="1">
        <f t="array" ref="M586">IF(OR(B586="",O586=""),"",--(COUNTIF(O581:O586,"&gt;0")=1)*--(SUM(_xlfn.XLOOKUP(_xlfn._xlws.FILTER(_xlfn.TOCOL(_xlfn.CHOOSECOLS(C548:L556,2,4,6,8,10),0,TRUE),_xlfn.TOCOL(_xlfn.CHOOSECOLS(C548:L556,1,3,5,7,9),0,TRUE)&lt;&gt;""),Lists!$AC$2:$AC$9,Lists!$AF$2:$AF$9,0))=0))</f>
        <v/>
      </c>
      <c r="N586" s="69" t="str">
        <f>IF(OR(B586="",O586=""),"",--(COUNTIF(O581:O586,"&gt;0")=1))</f>
        <v/>
      </c>
      <c r="O586" s="5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  <c r="CI586" s="18"/>
      <c r="CJ586" s="18"/>
      <c r="CK586" s="18"/>
      <c r="CL586" s="18"/>
      <c r="CM586" s="18"/>
      <c r="CN586" s="18"/>
      <c r="CO586" s="18"/>
      <c r="CP586" s="18"/>
      <c r="CQ586" s="18"/>
      <c r="CR586" s="18"/>
      <c r="CS586" s="18"/>
      <c r="CT586" s="18"/>
      <c r="CU586" s="18"/>
      <c r="CV586" s="18"/>
      <c r="CW586" s="18"/>
      <c r="CX586" s="18"/>
      <c r="CY586" s="18"/>
      <c r="CZ586" s="18"/>
      <c r="DA586" s="18"/>
      <c r="DB586" s="18"/>
      <c r="DC586" s="18"/>
      <c r="DD586" s="18"/>
      <c r="DE586" s="18"/>
      <c r="DF586" s="18"/>
    </row>
    <row r="587" spans="1:110">
      <c r="A587" s="173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  <c r="CI587" s="18"/>
      <c r="CJ587" s="18"/>
      <c r="CK587" s="18"/>
      <c r="CL587" s="18"/>
      <c r="CM587" s="18"/>
      <c r="CN587" s="18"/>
      <c r="CO587" s="18"/>
      <c r="CP587" s="18"/>
      <c r="CQ587" s="18"/>
      <c r="CR587" s="18"/>
      <c r="CS587" s="18"/>
      <c r="CT587" s="18"/>
      <c r="CU587" s="18"/>
      <c r="CV587" s="18"/>
      <c r="CW587" s="18"/>
      <c r="CX587" s="18"/>
      <c r="CY587" s="18"/>
      <c r="CZ587" s="18"/>
      <c r="DA587" s="18"/>
      <c r="DB587" s="18"/>
      <c r="DC587" s="18"/>
      <c r="DD587" s="18"/>
      <c r="DE587" s="18"/>
      <c r="DF587" s="18"/>
    </row>
    <row r="588" spans="1:110">
      <c r="A588" s="174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  <c r="CI588" s="18"/>
      <c r="CJ588" s="18"/>
      <c r="CK588" s="18"/>
      <c r="CL588" s="18"/>
      <c r="CM588" s="18"/>
      <c r="CN588" s="18"/>
      <c r="CO588" s="18"/>
      <c r="CP588" s="18"/>
      <c r="CQ588" s="18"/>
      <c r="CR588" s="18"/>
      <c r="CS588" s="18"/>
      <c r="CT588" s="18"/>
      <c r="CU588" s="18"/>
      <c r="CV588" s="18"/>
      <c r="CW588" s="18"/>
      <c r="CX588" s="18"/>
      <c r="CY588" s="18"/>
      <c r="CZ588" s="18"/>
      <c r="DA588" s="18"/>
      <c r="DB588" s="18"/>
      <c r="DC588" s="18"/>
      <c r="DD588" s="18"/>
      <c r="DE588" s="18"/>
      <c r="DF588" s="18"/>
    </row>
    <row r="589" spans="1:110">
      <c r="A589" s="217" t="s">
        <v>218</v>
      </c>
      <c r="B589" s="218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9"/>
      <c r="N589" s="207"/>
      <c r="O589" s="36"/>
      <c r="P589" s="37"/>
      <c r="Q589" s="38"/>
      <c r="R589" s="38"/>
      <c r="S589" s="38"/>
      <c r="T589" s="38"/>
      <c r="U589" s="38"/>
      <c r="V589" s="38"/>
      <c r="W589" s="38"/>
      <c r="X589" s="3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  <c r="CJ589" s="18"/>
      <c r="CK589" s="18"/>
      <c r="CL589" s="18"/>
      <c r="CM589" s="18"/>
      <c r="CN589" s="18"/>
      <c r="CO589" s="18"/>
      <c r="CP589" s="18"/>
      <c r="CQ589" s="18"/>
      <c r="CR589" s="18"/>
      <c r="CS589" s="18"/>
      <c r="CT589" s="18"/>
      <c r="CU589" s="18"/>
      <c r="CV589" s="18"/>
      <c r="CW589" s="18"/>
      <c r="CX589" s="18"/>
      <c r="CY589" s="18"/>
      <c r="CZ589" s="18"/>
      <c r="DA589" s="18"/>
      <c r="DB589" s="18"/>
      <c r="DC589" s="18"/>
      <c r="DD589" s="18"/>
      <c r="DE589" s="18"/>
      <c r="DF589" s="18"/>
    </row>
    <row r="590" spans="1:110">
      <c r="A590" s="169" t="s">
        <v>33</v>
      </c>
      <c r="B590" s="40">
        <f>Settings!$B$2</f>
        <v>1</v>
      </c>
      <c r="C590" s="41"/>
      <c r="D590" s="40" t="s">
        <v>95</v>
      </c>
      <c r="E590" s="41"/>
      <c r="F590" s="40" t="str">
        <f>Bracket!$F$18</f>
        <v/>
      </c>
      <c r="G590" s="41"/>
      <c r="H590" s="40" t="s">
        <v>97</v>
      </c>
      <c r="I590" s="41"/>
      <c r="J590" s="40" t="str">
        <f>Bracket!$G$18</f>
        <v/>
      </c>
      <c r="K590" s="41"/>
      <c r="L590" s="40" t="s">
        <v>134</v>
      </c>
      <c r="M590" s="24"/>
      <c r="N590" s="24" t="str">
        <f ca="1">Bracket!$H$18</f>
        <v/>
      </c>
      <c r="O590" s="24"/>
      <c r="P590" s="18"/>
      <c r="Q590" s="18"/>
      <c r="R590" s="18" t="str">
        <f ca="1">Bracket!$I$18</f>
        <v/>
      </c>
      <c r="S590" s="18"/>
      <c r="T590" s="18"/>
      <c r="U590" s="18"/>
      <c r="V590" s="18" t="str">
        <f ca="1">Bracket!$L$18</f>
        <v/>
      </c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  <c r="CL590" s="18"/>
      <c r="CM590" s="18"/>
      <c r="CN590" s="18"/>
      <c r="CO590" s="18"/>
      <c r="CP590" s="18"/>
      <c r="CQ590" s="18"/>
      <c r="CR590" s="18"/>
      <c r="CS590" s="18"/>
      <c r="CT590" s="18"/>
      <c r="CU590" s="18"/>
      <c r="CV590" s="18"/>
      <c r="CW590" s="18"/>
      <c r="CX590" s="18"/>
      <c r="CY590" s="18"/>
      <c r="CZ590" s="18"/>
      <c r="DA590" s="18"/>
      <c r="DB590" s="18"/>
      <c r="DC590" s="18"/>
      <c r="DD590" s="18"/>
      <c r="DE590" s="18"/>
      <c r="DF590" s="18"/>
    </row>
    <row r="591" spans="1:110">
      <c r="A591" s="170" t="s">
        <v>160</v>
      </c>
      <c r="B591" s="72">
        <v>1</v>
      </c>
      <c r="C591" s="72">
        <v>2</v>
      </c>
      <c r="D591" s="72">
        <v>3</v>
      </c>
      <c r="E591" s="72">
        <v>4</v>
      </c>
      <c r="F591" s="72">
        <v>5</v>
      </c>
      <c r="G591" s="72">
        <v>6</v>
      </c>
      <c r="H591" s="72">
        <v>7</v>
      </c>
      <c r="I591" s="73">
        <v>8</v>
      </c>
      <c r="J591" s="73">
        <v>9</v>
      </c>
      <c r="K591" s="73" t="s">
        <v>161</v>
      </c>
      <c r="L591" s="73" t="s">
        <v>162</v>
      </c>
      <c r="M591" s="74" t="s">
        <v>163</v>
      </c>
      <c r="N591" s="24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  <c r="CL591" s="18"/>
      <c r="CM591" s="18"/>
      <c r="CN591" s="18"/>
      <c r="CO591" s="18"/>
      <c r="CP591" s="18"/>
      <c r="CQ591" s="18"/>
      <c r="CR591" s="18"/>
      <c r="CS591" s="18"/>
      <c r="CT591" s="18"/>
      <c r="CU591" s="18"/>
      <c r="CV591" s="18"/>
      <c r="CW591" s="18"/>
      <c r="CX591" s="18"/>
      <c r="CY591" s="18"/>
      <c r="CZ591" s="18"/>
      <c r="DA591" s="18"/>
      <c r="DB591" s="18"/>
      <c r="DC591" s="18"/>
      <c r="DD591" s="18"/>
      <c r="DE591" s="18"/>
      <c r="DF591" s="18"/>
    </row>
    <row r="592" spans="1:110">
      <c r="A592" s="171" t="str">
        <f ca="1">N590</f>
        <v/>
      </c>
      <c r="B592" s="75" cm="1">
        <f t="array" ref="B592">IFERROR(_xlfn.LET(_xlpm.flatPAraw,_xlfn.TOCOL(_xlfn.CHOOSECOLS(C597:L605,1,3,5,7,9),0,TRUE),_xlpm.flatPARraw,_xlfn.TOCOL(_xlfn.CHOOSECOLS(C597:L605,2,4,6,8,10)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592" s="75" cm="1">
        <f t="array" ref="C592">IFERROR(_xlfn.LET(_xlpm.flatPAraw,_xlfn.TOCOL(_xlfn.CHOOSECOLS(C597:L605,1,3,5,7,9),0,TRUE),_xlpm.flatPARraw,_xlfn.TOCOL(_xlfn.CHOOSECOLS(C597:L605,2,4,6,8,10)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592" s="75" cm="1">
        <f t="array" ref="D592">IFERROR(_xlfn.LET(_xlpm.flatPAraw,_xlfn.TOCOL(_xlfn.CHOOSECOLS(C597:L605,1,3,5,7,9),0,TRUE),_xlpm.flatPARraw,_xlfn.TOCOL(_xlfn.CHOOSECOLS(C597:L605,2,4,6,8,10)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592" s="75" cm="1">
        <f t="array" ref="E592">IFERROR(_xlfn.LET(_xlpm.flatPAraw,_xlfn.TOCOL(_xlfn.CHOOSECOLS(C597:L605,1,3,5,7,9),0,TRUE),_xlpm.flatPARraw,_xlfn.TOCOL(_xlfn.CHOOSECOLS(C597:L605,2,4,6,8,10)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592" s="75" cm="1">
        <f t="array" ref="F592">IFERROR(_xlfn.LET(_xlpm.flatPAraw,_xlfn.TOCOL(_xlfn.CHOOSECOLS(C597:L605,1,3,5,7,9),0,TRUE),_xlpm.flatPARraw,_xlfn.TOCOL(_xlfn.CHOOSECOLS(C597:L605,2,4,6,8,10)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592" s="75" cm="1">
        <f t="array" ref="G592">IFERROR(_xlfn.LET(_xlpm.flatPAraw,_xlfn.TOCOL(_xlfn.CHOOSECOLS(C597:L605,1,3,5,7,9),0,TRUE),_xlpm.flatPARraw,_xlfn.TOCOL(_xlfn.CHOOSECOLS(C597:L605,2,4,6,8,10)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592" s="75" cm="1">
        <f t="array" ref="H592">IFERROR(_xlfn.LET(_xlpm.flatPAraw,_xlfn.TOCOL(_xlfn.CHOOSECOLS(C597:L605,1,3,5,7,9),0,TRUE),_xlpm.flatPARraw,_xlfn.TOCOL(_xlfn.CHOOSECOLS(C597:L605,2,4,6,8,10)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592" s="76" cm="1">
        <f t="array" ref="I592">IFERROR(_xlfn.LET(_xlpm.flatPAraw,_xlfn.TOCOL(_xlfn.CHOOSECOLS(C597:L605,1,3,5,7,9),0,TRUE),_xlpm.flatPARraw,_xlfn.TOCOL(_xlfn.CHOOSECOLS(C597:L605,2,4,6,8,10)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592" s="76" cm="1">
        <f t="array" ref="J592">IFERROR(_xlfn.LET(_xlpm.flatPAraw,_xlfn.TOCOL(_xlfn.CHOOSECOLS(C597:L605,1,3,5,7,9),0,TRUE),_xlpm.flatPARraw,_xlfn.TOCOL(_xlfn.CHOOSECOLS(C597:L605,2,4,6,8,10)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592" s="164">
        <f>SUM(B592:J592)</f>
        <v>0</v>
      </c>
      <c r="L592" s="77">
        <f ca="1">SUM(O597:O605)</f>
        <v>0</v>
      </c>
      <c r="M592" s="78">
        <f>COUNTIF(C618:L626,"ROE")</f>
        <v>0</v>
      </c>
      <c r="N592" s="24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18"/>
      <c r="CJ592" s="18"/>
      <c r="CK592" s="18"/>
      <c r="CL592" s="18"/>
      <c r="CM592" s="18"/>
      <c r="CN592" s="18"/>
      <c r="CO592" s="18"/>
      <c r="CP592" s="18"/>
      <c r="CQ592" s="18"/>
      <c r="CR592" s="18"/>
      <c r="CS592" s="18"/>
      <c r="CT592" s="18"/>
      <c r="CU592" s="18"/>
      <c r="CV592" s="18"/>
      <c r="CW592" s="18"/>
      <c r="CX592" s="18"/>
      <c r="CY592" s="18"/>
      <c r="CZ592" s="18"/>
      <c r="DA592" s="18"/>
      <c r="DB592" s="18"/>
      <c r="DC592" s="18"/>
      <c r="DD592" s="18"/>
      <c r="DE592" s="18"/>
      <c r="DF592" s="18"/>
    </row>
    <row r="593" spans="1:110">
      <c r="A593" s="172" t="str">
        <f ca="1">R590</f>
        <v/>
      </c>
      <c r="B593" s="79" cm="1">
        <f t="array" ref="B593">IFERROR(_xlfn.LET(_xlpm.flatPAraw,_xlfn.TOCOL(_xlfn.CHOOSECOLS(C618:L626,1,3,5,7,9),0,TRUE),_xlpm.flatPARraw,_xlfn.TOCOL(_xlfn.CHOOSECOLS(C618:L626,2,4,6,8,10)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593" s="79" cm="1">
        <f t="array" ref="C593">IFERROR(_xlfn.LET(_xlpm.flatPAraw,_xlfn.TOCOL(_xlfn.CHOOSECOLS(C618:L626,1,3,5,7,9),0,TRUE),_xlpm.flatPARraw,_xlfn.TOCOL(_xlfn.CHOOSECOLS(C618:L626,2,4,6,8,10)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593" s="79" cm="1">
        <f t="array" ref="D593">IFERROR(_xlfn.LET(_xlpm.flatPAraw,_xlfn.TOCOL(_xlfn.CHOOSECOLS(C618:L626,1,3,5,7,9),0,TRUE),_xlpm.flatPARraw,_xlfn.TOCOL(_xlfn.CHOOSECOLS(C618:L626,2,4,6,8,10)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593" s="79" cm="1">
        <f t="array" ref="E593">IFERROR(_xlfn.LET(_xlpm.flatPAraw,_xlfn.TOCOL(_xlfn.CHOOSECOLS(C618:L626,1,3,5,7,9),0,TRUE),_xlpm.flatPARraw,_xlfn.TOCOL(_xlfn.CHOOSECOLS(C618:L626,2,4,6,8,10)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593" s="79" cm="1">
        <f t="array" ref="F593">IFERROR(_xlfn.LET(_xlpm.flatPAraw,_xlfn.TOCOL(_xlfn.CHOOSECOLS(C618:L626,1,3,5,7,9),0,TRUE),_xlpm.flatPARraw,_xlfn.TOCOL(_xlfn.CHOOSECOLS(C618:L626,2,4,6,8,10)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593" s="79" cm="1">
        <f t="array" ref="G593">IFERROR(_xlfn.LET(_xlpm.flatPAraw,_xlfn.TOCOL(_xlfn.CHOOSECOLS(C618:L626,1,3,5,7,9),0,TRUE),_xlpm.flatPARraw,_xlfn.TOCOL(_xlfn.CHOOSECOLS(C618:L626,2,4,6,8,10)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593" s="79" cm="1">
        <f t="array" ref="H593">IFERROR(_xlfn.LET(_xlpm.flatPAraw,_xlfn.TOCOL(_xlfn.CHOOSECOLS(C618:L626,1,3,5,7,9),0,TRUE),_xlpm.flatPARraw,_xlfn.TOCOL(_xlfn.CHOOSECOLS(C618:L626,2,4,6,8,10)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593" s="80" cm="1">
        <f t="array" ref="I593">IFERROR(_xlfn.LET(_xlpm.flatPAraw,_xlfn.TOCOL(_xlfn.CHOOSECOLS(C618:L626,1,3,5,7,9),0,TRUE),_xlpm.flatPARraw,_xlfn.TOCOL(_xlfn.CHOOSECOLS(C618:L626,2,4,6,8,10)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593" s="80" cm="1">
        <f t="array" ref="J593">IFERROR(_xlfn.LET(_xlpm.flatPAraw,_xlfn.TOCOL(_xlfn.CHOOSECOLS(C618:L626,1,3,5,7,9),0,TRUE),_xlpm.flatPARraw,_xlfn.TOCOL(_xlfn.CHOOSECOLS(C618:L626,2,4,6,8,10)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593" s="165">
        <f>SUM(B593:J593)</f>
        <v>0</v>
      </c>
      <c r="L593" s="81">
        <f ca="1">SUM(O618:O626)</f>
        <v>0</v>
      </c>
      <c r="M593" s="82">
        <f>COUNTIF(C597:L605,"ROE")</f>
        <v>0</v>
      </c>
      <c r="N593" s="24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  <c r="CL593" s="18"/>
      <c r="CM593" s="18"/>
      <c r="CN593" s="18"/>
      <c r="CO593" s="18"/>
      <c r="CP593" s="18"/>
      <c r="CQ593" s="18"/>
      <c r="CR593" s="18"/>
      <c r="CS593" s="18"/>
      <c r="CT593" s="18"/>
      <c r="CU593" s="18"/>
      <c r="CV593" s="18"/>
      <c r="CW593" s="18"/>
      <c r="CX593" s="18"/>
      <c r="CY593" s="18"/>
      <c r="CZ593" s="18"/>
      <c r="DA593" s="18"/>
      <c r="DB593" s="18"/>
      <c r="DC593" s="18"/>
      <c r="DD593" s="18"/>
      <c r="DE593" s="18"/>
      <c r="DF593" s="18"/>
    </row>
    <row r="594" spans="1:110">
      <c r="A594" s="173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18"/>
      <c r="CN594" s="18"/>
      <c r="CO594" s="18"/>
      <c r="CP594" s="18"/>
      <c r="CQ594" s="18"/>
      <c r="CR594" s="18"/>
      <c r="CS594" s="18"/>
      <c r="CT594" s="18"/>
      <c r="CU594" s="18"/>
      <c r="CV594" s="18"/>
      <c r="CW594" s="18"/>
      <c r="CX594" s="18"/>
      <c r="CY594" s="18"/>
      <c r="CZ594" s="18"/>
      <c r="DA594" s="18"/>
      <c r="DB594" s="18"/>
      <c r="DC594" s="18"/>
      <c r="DD594" s="18"/>
      <c r="DE594" s="18"/>
      <c r="DF594" s="18"/>
    </row>
    <row r="595" spans="1:110">
      <c r="A595" s="205" t="str">
        <f ca="1">IF($N$590="","Team A Batting",$N$590&amp;" Batting")</f>
        <v>Team A Batting</v>
      </c>
      <c r="B595" s="206"/>
      <c r="C595" s="206"/>
      <c r="D595" s="206"/>
      <c r="E595" s="206"/>
      <c r="F595" s="206"/>
      <c r="G595" s="206"/>
      <c r="H595" s="206"/>
      <c r="I595" s="206"/>
      <c r="J595" s="206"/>
      <c r="K595" s="206"/>
      <c r="L595" s="206"/>
      <c r="M595" s="206"/>
      <c r="N595" s="206"/>
      <c r="O595" s="181"/>
      <c r="P595" s="182"/>
      <c r="Q595" s="182"/>
      <c r="R595" s="182"/>
      <c r="S595" s="182"/>
      <c r="T595" s="182"/>
      <c r="U595" s="182"/>
      <c r="V595" s="182"/>
      <c r="W595" s="182"/>
      <c r="X595" s="182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  <c r="CL595" s="18"/>
      <c r="CM595" s="18"/>
      <c r="CN595" s="18"/>
      <c r="CO595" s="18"/>
      <c r="CP595" s="18"/>
      <c r="CQ595" s="18"/>
      <c r="CR595" s="18"/>
      <c r="CS595" s="18"/>
      <c r="CT595" s="18"/>
      <c r="CU595" s="18"/>
      <c r="CV595" s="18"/>
      <c r="CW595" s="18"/>
      <c r="CX595" s="18"/>
      <c r="CY595" s="18"/>
      <c r="CZ595" s="18"/>
      <c r="DA595" s="18"/>
      <c r="DB595" s="18"/>
      <c r="DC595" s="18"/>
      <c r="DD595" s="18"/>
      <c r="DE595" s="18"/>
      <c r="DF595" s="18"/>
    </row>
    <row r="596" spans="1:110">
      <c r="A596" s="167" t="s">
        <v>164</v>
      </c>
      <c r="B596" s="43" t="s">
        <v>39</v>
      </c>
      <c r="C596" s="43" t="s">
        <v>165</v>
      </c>
      <c r="D596" s="43" t="s">
        <v>166</v>
      </c>
      <c r="E596" s="43" t="s">
        <v>167</v>
      </c>
      <c r="F596" s="43" t="s">
        <v>168</v>
      </c>
      <c r="G596" s="43" t="s">
        <v>169</v>
      </c>
      <c r="H596" s="43" t="s">
        <v>170</v>
      </c>
      <c r="I596" s="43" t="s">
        <v>171</v>
      </c>
      <c r="J596" s="43" t="s">
        <v>172</v>
      </c>
      <c r="K596" s="43" t="s">
        <v>173</v>
      </c>
      <c r="L596" s="43" t="s">
        <v>174</v>
      </c>
      <c r="M596" s="43" t="s">
        <v>175</v>
      </c>
      <c r="N596" s="44" t="s">
        <v>161</v>
      </c>
      <c r="O596" s="44" t="s">
        <v>162</v>
      </c>
      <c r="P596" s="44" t="s">
        <v>176</v>
      </c>
      <c r="Q596" s="44" t="s">
        <v>177</v>
      </c>
      <c r="R596" s="44" t="s">
        <v>178</v>
      </c>
      <c r="S596" s="44" t="s">
        <v>179</v>
      </c>
      <c r="T596" s="44" t="s">
        <v>180</v>
      </c>
      <c r="U596" s="44" t="s">
        <v>181</v>
      </c>
      <c r="V596" s="44" t="s">
        <v>182</v>
      </c>
      <c r="W596" s="44" t="s">
        <v>183</v>
      </c>
      <c r="X596" s="45" t="s">
        <v>184</v>
      </c>
      <c r="Y596" s="45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18"/>
      <c r="CN596" s="18"/>
      <c r="CO596" s="18"/>
      <c r="CP596" s="18"/>
      <c r="CQ596" s="18"/>
      <c r="CR596" s="18"/>
      <c r="CS596" s="18"/>
      <c r="CT596" s="18"/>
      <c r="CU596" s="18"/>
      <c r="CV596" s="18"/>
      <c r="CW596" s="18"/>
      <c r="CX596" s="18"/>
      <c r="CY596" s="18"/>
      <c r="CZ596" s="18"/>
      <c r="DA596" s="18"/>
      <c r="DB596" s="18"/>
      <c r="DC596" s="18"/>
      <c r="DD596" s="18"/>
      <c r="DE596" s="18"/>
      <c r="DF596" s="18"/>
    </row>
    <row r="597" spans="1:110">
      <c r="A597" s="168">
        <v>1</v>
      </c>
      <c r="B597" s="47" t="str">
        <f ca="1">Lineups!$C$173</f>
        <v/>
      </c>
      <c r="C597" s="48"/>
      <c r="D597" s="49"/>
      <c r="E597" s="49"/>
      <c r="F597" s="49"/>
      <c r="G597" s="49"/>
      <c r="H597" s="50"/>
      <c r="I597" s="50"/>
      <c r="J597" s="50"/>
      <c r="K597" s="50"/>
      <c r="L597" s="50"/>
      <c r="M597" s="67" t="str">
        <f ca="1">IF($B597="","",SUM(_xlfn.XLOOKUP(C597,Lists!$P$2:$P$19,Lists!$R$2:$R$19,0),_xlfn.XLOOKUP(E597,Lists!$P$2:$P$19,Lists!$R$2:$R$19,0),_xlfn.XLOOKUP(G597,Lists!$P$2:$P$19,Lists!$R$2:$R$19,0),_xlfn.XLOOKUP(I597,Lists!$P$2:$P$19,Lists!$R$2:$R$19,0),_xlfn.XLOOKUP(K597,Lists!$P$2:$P$19,Lists!$R$2:$R$19,0)))</f>
        <v/>
      </c>
      <c r="N597" s="68" t="str">
        <f ca="1">IF($B597="","",SUM(_xlfn.XLOOKUP(D597,Lists!$AC$2:$AC$9,Lists!$AE$2:$AE$9,0),_xlfn.XLOOKUP(F597,Lists!$AC$2:$AC$9,Lists!$AE$2:$AE$9,0),_xlfn.XLOOKUP(H597,Lists!$AC$2:$AC$9,Lists!$AE$2:$AE$9,0),_xlfn.XLOOKUP(J597,Lists!$AC$2:$AC$9,Lists!$AE$2:$AE$9,0),_xlfn.XLOOKUP(L597,Lists!$AC$2:$AC$9,Lists!$AE$2:$AE$9,0)))</f>
        <v/>
      </c>
      <c r="O597" s="68" t="str">
        <f ca="1">IF($B597="","",SUM(_xlfn.XLOOKUP(C597,Lists!$P$2:$P$19,Lists!$S$2:$S$19,0),_xlfn.XLOOKUP(E597,Lists!$P$2:$P$19,Lists!$S$2:$S$19,0),_xlfn.XLOOKUP(G597,Lists!$P$2:$P$19,Lists!$S$2:$S$19,0),_xlfn.XLOOKUP(I597,Lists!$P$2:$P$19,Lists!$S$2:$S$19,0),_xlfn.XLOOKUP(K597,Lists!$P$2:$P$19,Lists!$S$2:$S$19,0)))</f>
        <v/>
      </c>
      <c r="P597" s="68" t="str">
        <f ca="1">IF($B597="","",SUM(_xlfn.XLOOKUP(C597,Lists!$P$2:$P$19,Lists!$T$2:$T$19,0),_xlfn.XLOOKUP(E597,Lists!$P$2:$P$19,Lists!$T$2:$T$19,0),_xlfn.XLOOKUP(G597,Lists!$P$2:$P$19,Lists!$T$2:$T$19,0),_xlfn.XLOOKUP(I597,Lists!$P$2:$P$19,Lists!$T$2:$T$19,0),_xlfn.XLOOKUP(K597,Lists!$P$2:$P$19,Lists!$T$2:$T$19,0)))</f>
        <v/>
      </c>
      <c r="Q597" s="68" t="str">
        <f ca="1">IF($B597="","",SUM(_xlfn.XLOOKUP(C597,Lists!$P$2:$P$19,Lists!$U$2:$U$19,0),_xlfn.XLOOKUP(E597,Lists!$P$2:$P$19,Lists!$U$2:$U$19,0),_xlfn.XLOOKUP(G597,Lists!$P$2:$P$19,Lists!$U$2:$U$19,0),_xlfn.XLOOKUP(I597,Lists!$P$2:$P$19,Lists!$U$2:$U$19,0),_xlfn.XLOOKUP(K597,Lists!$P$2:$P$19,Lists!$U$2:$U$19,0)))</f>
        <v/>
      </c>
      <c r="R597" s="68" t="str">
        <f ca="1">IF($B597="","",SUM(_xlfn.XLOOKUP(C597,Lists!$P$2:$P$19,Lists!$V$2:$V$19,0),_xlfn.XLOOKUP(E597,Lists!$P$2:$P$19,Lists!$V$2:$V$19,0),_xlfn.XLOOKUP(G597,Lists!$P$2:$P$19,Lists!$V$2:$V$19,0),_xlfn.XLOOKUP(I597,Lists!$P$2:$P$19,Lists!$V$2:$V$19,0),_xlfn.XLOOKUP(K597,Lists!$P$2:$P$19,Lists!$V$2:$V$19,0)))</f>
        <v/>
      </c>
      <c r="S597" s="68" t="str">
        <f ca="1">IF($B597="","",SUM(_xlfn.XLOOKUP(D597,Lists!$AC$2:$AC$9,Lists!$AD$2:$AD$9,0),_xlfn.XLOOKUP(F597,Lists!$AC$2:$AC$9,Lists!$AD$2:$AD$9,0),_xlfn.XLOOKUP(H597,Lists!$AC$2:$AC$9,Lists!$AD$2:$AD$9,0),_xlfn.XLOOKUP(J597,Lists!$AC$2:$AC$9,Lists!$AD$2:$AD$9,0),_xlfn.XLOOKUP(L597,Lists!$AC$2:$AC$9,Lists!$AD$2:$AD$9,0)))</f>
        <v/>
      </c>
      <c r="T597" s="68" t="str">
        <f ca="1">IF($B597="","",SUM(_xlfn.XLOOKUP(C597,Lists!$P$2:$P$19,Lists!$W$2:$W$19,0),_xlfn.XLOOKUP(E597,Lists!$P$2:$P$19,Lists!$W$2:$W$19,0),_xlfn.XLOOKUP(G597,Lists!$P$2:$P$19,Lists!$W$2:$W$19,0),_xlfn.XLOOKUP(I597,Lists!$P$2:$P$19,Lists!$W$2:$W$19,0),_xlfn.XLOOKUP(K597,Lists!$P$2:$P$19,Lists!$W$2:$W$19,0)))</f>
        <v/>
      </c>
      <c r="U597" s="68" t="str">
        <f ca="1">IF($B597="","",SUM(_xlfn.XLOOKUP(C597,Lists!$P$2:$P$19,Lists!$X$2:$X$19,0),_xlfn.XLOOKUP(E597,Lists!$P$2:$P$19,Lists!$X$2:$X$19,0),_xlfn.XLOOKUP(G597,Lists!$P$2:$P$19,Lists!$X$2:$X$19,0),_xlfn.XLOOKUP(I597,Lists!$P$2:$P$19,Lists!$X$2:$X$19,0),_xlfn.XLOOKUP(K597,Lists!$P$2:$P$19,Lists!$X$2:$X$19,0)))</f>
        <v/>
      </c>
      <c r="V597" s="68" t="str">
        <f ca="1">IF($B597="","",SUM(_xlfn.XLOOKUP(C597,Lists!$P$2:$P$19,Lists!$Y$2:$Y$19,0),_xlfn.XLOOKUP(E597,Lists!$P$2:$P$19,Lists!$Y$2:$Y$19,0),_xlfn.XLOOKUP(G597,Lists!$P$2:$P$19,Lists!$Y$2:$Y$19,0),_xlfn.XLOOKUP(I597,Lists!$P$2:$P$19,Lists!$Y$2:$Y$19,0),_xlfn.XLOOKUP(K597,Lists!$P$2:$P$19,Lists!$Y$2:$Y$19,0)))</f>
        <v/>
      </c>
      <c r="W597" s="68" t="str">
        <f ca="1">IF($B597="","",SUM(_xlfn.XLOOKUP(C597,Lists!$P$2:$P$19,Lists!$Z$2:$Z$19,0),_xlfn.XLOOKUP(E597,Lists!$P$2:$P$19,Lists!$Z$2:$Z$19,0),_xlfn.XLOOKUP(G597,Lists!$P$2:$P$19,Lists!$Z$2:$Z$19,0),_xlfn.XLOOKUP(I597,Lists!$P$2:$P$19,Lists!$Z$2:$Z$19,0),_xlfn.XLOOKUP(K597,Lists!$P$2:$P$19,Lists!$Z$2:$Z$19,0)))</f>
        <v/>
      </c>
      <c r="X597" s="69" t="str">
        <f ca="1">IF($B597="","",SUM(_xlfn.XLOOKUP(C597,Lists!$P$2:$P$19,Lists!$AA$2:$AA$19,0),_xlfn.XLOOKUP(E597,Lists!$P$2:$P$19,Lists!$AA$2:$AA$19,0),_xlfn.XLOOKUP(G597,Lists!$P$2:$P$19,Lists!$AA$2:$AA$19,0),_xlfn.XLOOKUP(I597,Lists!$P$2:$P$19,Lists!$AA$2:$AA$19,0),_xlfn.XLOOKUP(K597,Lists!$P$2:$P$19,Lists!$AA$2:$AA$19,0)))</f>
        <v/>
      </c>
      <c r="Y597" s="4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  <c r="CL597" s="18"/>
      <c r="CM597" s="18"/>
      <c r="CN597" s="18"/>
      <c r="CO597" s="18"/>
      <c r="CP597" s="18"/>
      <c r="CQ597" s="18"/>
      <c r="CR597" s="18"/>
      <c r="CS597" s="18"/>
      <c r="CT597" s="18"/>
      <c r="CU597" s="18"/>
      <c r="CV597" s="18"/>
      <c r="CW597" s="18"/>
      <c r="CX597" s="18"/>
      <c r="CY597" s="18"/>
      <c r="CZ597" s="18"/>
      <c r="DA597" s="18"/>
      <c r="DB597" s="18"/>
      <c r="DC597" s="18"/>
      <c r="DD597" s="18"/>
      <c r="DE597" s="18"/>
      <c r="DF597" s="18"/>
    </row>
    <row r="598" spans="1:110">
      <c r="A598" s="168">
        <v>2</v>
      </c>
      <c r="B598" s="47" t="str">
        <f ca="1">Lineups!$C$174</f>
        <v/>
      </c>
      <c r="C598" s="49"/>
      <c r="D598" s="49"/>
      <c r="E598" s="49"/>
      <c r="F598" s="49"/>
      <c r="G598" s="49"/>
      <c r="H598" s="50"/>
      <c r="I598" s="50"/>
      <c r="J598" s="50"/>
      <c r="K598" s="50"/>
      <c r="L598" s="50"/>
      <c r="M598" s="67" t="str">
        <f ca="1">IF($B598="","",SUM(_xlfn.XLOOKUP(C598,Lists!$P$2:$P$19,Lists!$R$2:$R$19,0),_xlfn.XLOOKUP(E598,Lists!$P$2:$P$19,Lists!$R$2:$R$19,0),_xlfn.XLOOKUP(G598,Lists!$P$2:$P$19,Lists!$R$2:$R$19,0),_xlfn.XLOOKUP(I598,Lists!$P$2:$P$19,Lists!$R$2:$R$19,0),_xlfn.XLOOKUP(K598,Lists!$P$2:$P$19,Lists!$R$2:$R$19,0)))</f>
        <v/>
      </c>
      <c r="N598" s="68" t="str">
        <f ca="1">IF($B598="","",SUM(_xlfn.XLOOKUP(D598,Lists!$AC$2:$AC$9,Lists!$AE$2:$AE$9,0),_xlfn.XLOOKUP(F598,Lists!$AC$2:$AC$9,Lists!$AE$2:$AE$9,0),_xlfn.XLOOKUP(H598,Lists!$AC$2:$AC$9,Lists!$AE$2:$AE$9,0),_xlfn.XLOOKUP(J598,Lists!$AC$2:$AC$9,Lists!$AE$2:$AE$9,0),_xlfn.XLOOKUP(L598,Lists!$AC$2:$AC$9,Lists!$AE$2:$AE$9,0)))</f>
        <v/>
      </c>
      <c r="O598" s="68" t="str">
        <f ca="1">IF($B598="","",SUM(_xlfn.XLOOKUP(C598,Lists!$P$2:$P$19,Lists!$S$2:$S$19,0),_xlfn.XLOOKUP(E598,Lists!$P$2:$P$19,Lists!$S$2:$S$19,0),_xlfn.XLOOKUP(G598,Lists!$P$2:$P$19,Lists!$S$2:$S$19,0),_xlfn.XLOOKUP(I598,Lists!$P$2:$P$19,Lists!$S$2:$S$19,0),_xlfn.XLOOKUP(K598,Lists!$P$2:$P$19,Lists!$S$2:$S$19,0)))</f>
        <v/>
      </c>
      <c r="P598" s="68" t="str">
        <f ca="1">IF($B598="","",SUM(_xlfn.XLOOKUP(C598,Lists!$P$2:$P$19,Lists!$T$2:$T$19,0),_xlfn.XLOOKUP(E598,Lists!$P$2:$P$19,Lists!$T$2:$T$19,0),_xlfn.XLOOKUP(G598,Lists!$P$2:$P$19,Lists!$T$2:$T$19,0),_xlfn.XLOOKUP(I598,Lists!$P$2:$P$19,Lists!$T$2:$T$19,0),_xlfn.XLOOKUP(K598,Lists!$P$2:$P$19,Lists!$T$2:$T$19,0)))</f>
        <v/>
      </c>
      <c r="Q598" s="68" t="str">
        <f ca="1">IF($B598="","",SUM(_xlfn.XLOOKUP(C598,Lists!$P$2:$P$19,Lists!$U$2:$U$19,0),_xlfn.XLOOKUP(E598,Lists!$P$2:$P$19,Lists!$U$2:$U$19,0),_xlfn.XLOOKUP(G598,Lists!$P$2:$P$19,Lists!$U$2:$U$19,0),_xlfn.XLOOKUP(I598,Lists!$P$2:$P$19,Lists!$U$2:$U$19,0),_xlfn.XLOOKUP(K598,Lists!$P$2:$P$19,Lists!$U$2:$U$19,0)))</f>
        <v/>
      </c>
      <c r="R598" s="68" t="str">
        <f ca="1">IF($B598="","",SUM(_xlfn.XLOOKUP(C598,Lists!$P$2:$P$19,Lists!$V$2:$V$19,0),_xlfn.XLOOKUP(E598,Lists!$P$2:$P$19,Lists!$V$2:$V$19,0),_xlfn.XLOOKUP(G598,Lists!$P$2:$P$19,Lists!$V$2:$V$19,0),_xlfn.XLOOKUP(I598,Lists!$P$2:$P$19,Lists!$V$2:$V$19,0),_xlfn.XLOOKUP(K598,Lists!$P$2:$P$19,Lists!$V$2:$V$19,0)))</f>
        <v/>
      </c>
      <c r="S598" s="68" t="str">
        <f ca="1">IF($B598="","",SUM(_xlfn.XLOOKUP(D598,Lists!$AC$2:$AC$9,Lists!$AD$2:$AD$9,0),_xlfn.XLOOKUP(F598,Lists!$AC$2:$AC$9,Lists!$AD$2:$AD$9,0),_xlfn.XLOOKUP(H598,Lists!$AC$2:$AC$9,Lists!$AD$2:$AD$9,0),_xlfn.XLOOKUP(J598,Lists!$AC$2:$AC$9,Lists!$AD$2:$AD$9,0),_xlfn.XLOOKUP(L598,Lists!$AC$2:$AC$9,Lists!$AD$2:$AD$9,0)))</f>
        <v/>
      </c>
      <c r="T598" s="68" t="str">
        <f ca="1">IF($B598="","",SUM(_xlfn.XLOOKUP(C598,Lists!$P$2:$P$19,Lists!$W$2:$W$19,0),_xlfn.XLOOKUP(E598,Lists!$P$2:$P$19,Lists!$W$2:$W$19,0),_xlfn.XLOOKUP(G598,Lists!$P$2:$P$19,Lists!$W$2:$W$19,0),_xlfn.XLOOKUP(I598,Lists!$P$2:$P$19,Lists!$W$2:$W$19,0),_xlfn.XLOOKUP(K598,Lists!$P$2:$P$19,Lists!$W$2:$W$19,0)))</f>
        <v/>
      </c>
      <c r="U598" s="68" t="str">
        <f ca="1">IF($B598="","",SUM(_xlfn.XLOOKUP(C598,Lists!$P$2:$P$19,Lists!$X$2:$X$19,0),_xlfn.XLOOKUP(E598,Lists!$P$2:$P$19,Lists!$X$2:$X$19,0),_xlfn.XLOOKUP(G598,Lists!$P$2:$P$19,Lists!$X$2:$X$19,0),_xlfn.XLOOKUP(I598,Lists!$P$2:$P$19,Lists!$X$2:$X$19,0),_xlfn.XLOOKUP(K598,Lists!$P$2:$P$19,Lists!$X$2:$X$19,0)))</f>
        <v/>
      </c>
      <c r="V598" s="68" t="str">
        <f ca="1">IF($B598="","",SUM(_xlfn.XLOOKUP(C598,Lists!$P$2:$P$19,Lists!$Y$2:$Y$19,0),_xlfn.XLOOKUP(E598,Lists!$P$2:$P$19,Lists!$Y$2:$Y$19,0),_xlfn.XLOOKUP(G598,Lists!$P$2:$P$19,Lists!$Y$2:$Y$19,0),_xlfn.XLOOKUP(I598,Lists!$P$2:$P$19,Lists!$Y$2:$Y$19,0),_xlfn.XLOOKUP(K598,Lists!$P$2:$P$19,Lists!$Y$2:$Y$19,0)))</f>
        <v/>
      </c>
      <c r="W598" s="68" t="str">
        <f ca="1">IF($B598="","",SUM(_xlfn.XLOOKUP(C598,Lists!$P$2:$P$19,Lists!$Z$2:$Z$19,0),_xlfn.XLOOKUP(E598,Lists!$P$2:$P$19,Lists!$Z$2:$Z$19,0),_xlfn.XLOOKUP(G598,Lists!$P$2:$P$19,Lists!$Z$2:$Z$19,0),_xlfn.XLOOKUP(I598,Lists!$P$2:$P$19,Lists!$Z$2:$Z$19,0),_xlfn.XLOOKUP(K598,Lists!$P$2:$P$19,Lists!$Z$2:$Z$19,0)))</f>
        <v/>
      </c>
      <c r="X598" s="69" t="str">
        <f ca="1">IF($B598="","",SUM(_xlfn.XLOOKUP(C598,Lists!$P$2:$P$19,Lists!$AA$2:$AA$19,0),_xlfn.XLOOKUP(E598,Lists!$P$2:$P$19,Lists!$AA$2:$AA$19,0),_xlfn.XLOOKUP(G598,Lists!$P$2:$P$19,Lists!$AA$2:$AA$19,0),_xlfn.XLOOKUP(I598,Lists!$P$2:$P$19,Lists!$AA$2:$AA$19,0),_xlfn.XLOOKUP(K598,Lists!$P$2:$P$19,Lists!$AA$2:$AA$19,0)))</f>
        <v/>
      </c>
      <c r="Y598" s="49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  <c r="CL598" s="18"/>
      <c r="CM598" s="18"/>
      <c r="CN598" s="18"/>
      <c r="CO598" s="18"/>
      <c r="CP598" s="18"/>
      <c r="CQ598" s="18"/>
      <c r="CR598" s="18"/>
      <c r="CS598" s="18"/>
      <c r="CT598" s="18"/>
      <c r="CU598" s="18"/>
      <c r="CV598" s="18"/>
      <c r="CW598" s="18"/>
      <c r="CX598" s="18"/>
      <c r="CY598" s="18"/>
      <c r="CZ598" s="18"/>
      <c r="DA598" s="18"/>
      <c r="DB598" s="18"/>
      <c r="DC598" s="18"/>
      <c r="DD598" s="18"/>
      <c r="DE598" s="18"/>
      <c r="DF598" s="18"/>
    </row>
    <row r="599" spans="1:110">
      <c r="A599" s="168">
        <v>3</v>
      </c>
      <c r="B599" s="47" t="str">
        <f ca="1">Lineups!$C$175</f>
        <v/>
      </c>
      <c r="C599" s="49"/>
      <c r="D599" s="49"/>
      <c r="E599" s="49"/>
      <c r="F599" s="49"/>
      <c r="G599" s="49"/>
      <c r="H599" s="50"/>
      <c r="I599" s="50"/>
      <c r="J599" s="50"/>
      <c r="K599" s="50"/>
      <c r="L599" s="50"/>
      <c r="M599" s="67" t="str">
        <f ca="1">IF($B599="","",SUM(_xlfn.XLOOKUP(C599,Lists!$P$2:$P$19,Lists!$R$2:$R$19,0),_xlfn.XLOOKUP(E599,Lists!$P$2:$P$19,Lists!$R$2:$R$19,0),_xlfn.XLOOKUP(G599,Lists!$P$2:$P$19,Lists!$R$2:$R$19,0),_xlfn.XLOOKUP(I599,Lists!$P$2:$P$19,Lists!$R$2:$R$19,0),_xlfn.XLOOKUP(K599,Lists!$P$2:$P$19,Lists!$R$2:$R$19,0)))</f>
        <v/>
      </c>
      <c r="N599" s="68" t="str">
        <f ca="1">IF($B599="","",SUM(_xlfn.XLOOKUP(D599,Lists!$AC$2:$AC$9,Lists!$AE$2:$AE$9,0),_xlfn.XLOOKUP(F599,Lists!$AC$2:$AC$9,Lists!$AE$2:$AE$9,0),_xlfn.XLOOKUP(H599,Lists!$AC$2:$AC$9,Lists!$AE$2:$AE$9,0),_xlfn.XLOOKUP(J599,Lists!$AC$2:$AC$9,Lists!$AE$2:$AE$9,0),_xlfn.XLOOKUP(L599,Lists!$AC$2:$AC$9,Lists!$AE$2:$AE$9,0)))</f>
        <v/>
      </c>
      <c r="O599" s="68" t="str">
        <f ca="1">IF($B599="","",SUM(_xlfn.XLOOKUP(C599,Lists!$P$2:$P$19,Lists!$S$2:$S$19,0),_xlfn.XLOOKUP(E599,Lists!$P$2:$P$19,Lists!$S$2:$S$19,0),_xlfn.XLOOKUP(G599,Lists!$P$2:$P$19,Lists!$S$2:$S$19,0),_xlfn.XLOOKUP(I599,Lists!$P$2:$P$19,Lists!$S$2:$S$19,0),_xlfn.XLOOKUP(K599,Lists!$P$2:$P$19,Lists!$S$2:$S$19,0)))</f>
        <v/>
      </c>
      <c r="P599" s="68" t="str">
        <f ca="1">IF($B599="","",SUM(_xlfn.XLOOKUP(C599,Lists!$P$2:$P$19,Lists!$T$2:$T$19,0),_xlfn.XLOOKUP(E599,Lists!$P$2:$P$19,Lists!$T$2:$T$19,0),_xlfn.XLOOKUP(G599,Lists!$P$2:$P$19,Lists!$T$2:$T$19,0),_xlfn.XLOOKUP(I599,Lists!$P$2:$P$19,Lists!$T$2:$T$19,0),_xlfn.XLOOKUP(K599,Lists!$P$2:$P$19,Lists!$T$2:$T$19,0)))</f>
        <v/>
      </c>
      <c r="Q599" s="68" t="str">
        <f ca="1">IF($B599="","",SUM(_xlfn.XLOOKUP(C599,Lists!$P$2:$P$19,Lists!$U$2:$U$19,0),_xlfn.XLOOKUP(E599,Lists!$P$2:$P$19,Lists!$U$2:$U$19,0),_xlfn.XLOOKUP(G599,Lists!$P$2:$P$19,Lists!$U$2:$U$19,0),_xlfn.XLOOKUP(I599,Lists!$P$2:$P$19,Lists!$U$2:$U$19,0),_xlfn.XLOOKUP(K599,Lists!$P$2:$P$19,Lists!$U$2:$U$19,0)))</f>
        <v/>
      </c>
      <c r="R599" s="68" t="str">
        <f ca="1">IF($B599="","",SUM(_xlfn.XLOOKUP(C599,Lists!$P$2:$P$19,Lists!$V$2:$V$19,0),_xlfn.XLOOKUP(E599,Lists!$P$2:$P$19,Lists!$V$2:$V$19,0),_xlfn.XLOOKUP(G599,Lists!$P$2:$P$19,Lists!$V$2:$V$19,0),_xlfn.XLOOKUP(I599,Lists!$P$2:$P$19,Lists!$V$2:$V$19,0),_xlfn.XLOOKUP(K599,Lists!$P$2:$P$19,Lists!$V$2:$V$19,0)))</f>
        <v/>
      </c>
      <c r="S599" s="68" t="str">
        <f ca="1">IF($B599="","",SUM(_xlfn.XLOOKUP(D599,Lists!$AC$2:$AC$9,Lists!$AD$2:$AD$9,0),_xlfn.XLOOKUP(F599,Lists!$AC$2:$AC$9,Lists!$AD$2:$AD$9,0),_xlfn.XLOOKUP(H599,Lists!$AC$2:$AC$9,Lists!$AD$2:$AD$9,0),_xlfn.XLOOKUP(J599,Lists!$AC$2:$AC$9,Lists!$AD$2:$AD$9,0),_xlfn.XLOOKUP(L599,Lists!$AC$2:$AC$9,Lists!$AD$2:$AD$9,0)))</f>
        <v/>
      </c>
      <c r="T599" s="68" t="str">
        <f ca="1">IF($B599="","",SUM(_xlfn.XLOOKUP(C599,Lists!$P$2:$P$19,Lists!$W$2:$W$19,0),_xlfn.XLOOKUP(E599,Lists!$P$2:$P$19,Lists!$W$2:$W$19,0),_xlfn.XLOOKUP(G599,Lists!$P$2:$P$19,Lists!$W$2:$W$19,0),_xlfn.XLOOKUP(I599,Lists!$P$2:$P$19,Lists!$W$2:$W$19,0),_xlfn.XLOOKUP(K599,Lists!$P$2:$P$19,Lists!$W$2:$W$19,0)))</f>
        <v/>
      </c>
      <c r="U599" s="68" t="str">
        <f ca="1">IF($B599="","",SUM(_xlfn.XLOOKUP(C599,Lists!$P$2:$P$19,Lists!$X$2:$X$19,0),_xlfn.XLOOKUP(E599,Lists!$P$2:$P$19,Lists!$X$2:$X$19,0),_xlfn.XLOOKUP(G599,Lists!$P$2:$P$19,Lists!$X$2:$X$19,0),_xlfn.XLOOKUP(I599,Lists!$P$2:$P$19,Lists!$X$2:$X$19,0),_xlfn.XLOOKUP(K599,Lists!$P$2:$P$19,Lists!$X$2:$X$19,0)))</f>
        <v/>
      </c>
      <c r="V599" s="68" t="str">
        <f ca="1">IF($B599="","",SUM(_xlfn.XLOOKUP(C599,Lists!$P$2:$P$19,Lists!$Y$2:$Y$19,0),_xlfn.XLOOKUP(E599,Lists!$P$2:$P$19,Lists!$Y$2:$Y$19,0),_xlfn.XLOOKUP(G599,Lists!$P$2:$P$19,Lists!$Y$2:$Y$19,0),_xlfn.XLOOKUP(I599,Lists!$P$2:$P$19,Lists!$Y$2:$Y$19,0),_xlfn.XLOOKUP(K599,Lists!$P$2:$P$19,Lists!$Y$2:$Y$19,0)))</f>
        <v/>
      </c>
      <c r="W599" s="68" t="str">
        <f ca="1">IF($B599="","",SUM(_xlfn.XLOOKUP(C599,Lists!$P$2:$P$19,Lists!$Z$2:$Z$19,0),_xlfn.XLOOKUP(E599,Lists!$P$2:$P$19,Lists!$Z$2:$Z$19,0),_xlfn.XLOOKUP(G599,Lists!$P$2:$P$19,Lists!$Z$2:$Z$19,0),_xlfn.XLOOKUP(I599,Lists!$P$2:$P$19,Lists!$Z$2:$Z$19,0),_xlfn.XLOOKUP(K599,Lists!$P$2:$P$19,Lists!$Z$2:$Z$19,0)))</f>
        <v/>
      </c>
      <c r="X599" s="69" t="str">
        <f ca="1">IF($B599="","",SUM(_xlfn.XLOOKUP(C599,Lists!$P$2:$P$19,Lists!$AA$2:$AA$19,0),_xlfn.XLOOKUP(E599,Lists!$P$2:$P$19,Lists!$AA$2:$AA$19,0),_xlfn.XLOOKUP(G599,Lists!$P$2:$P$19,Lists!$AA$2:$AA$19,0),_xlfn.XLOOKUP(I599,Lists!$P$2:$P$19,Lists!$AA$2:$AA$19,0),_xlfn.XLOOKUP(K599,Lists!$P$2:$P$19,Lists!$AA$2:$AA$19,0)))</f>
        <v/>
      </c>
      <c r="Y599" s="49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  <c r="CL599" s="18"/>
      <c r="CM599" s="18"/>
      <c r="CN599" s="18"/>
      <c r="CO599" s="18"/>
      <c r="CP599" s="18"/>
      <c r="CQ599" s="18"/>
      <c r="CR599" s="18"/>
      <c r="CS599" s="18"/>
      <c r="CT599" s="18"/>
      <c r="CU599" s="18"/>
      <c r="CV599" s="18"/>
      <c r="CW599" s="18"/>
      <c r="CX599" s="18"/>
      <c r="CY599" s="18"/>
      <c r="CZ599" s="18"/>
      <c r="DA599" s="18"/>
      <c r="DB599" s="18"/>
      <c r="DC599" s="18"/>
      <c r="DD599" s="18"/>
      <c r="DE599" s="18"/>
      <c r="DF599" s="18"/>
    </row>
    <row r="600" spans="1:110">
      <c r="A600" s="168">
        <v>4</v>
      </c>
      <c r="B600" s="47" t="str">
        <f ca="1">Lineups!$C$176</f>
        <v/>
      </c>
      <c r="C600" s="49"/>
      <c r="D600" s="49"/>
      <c r="E600" s="49"/>
      <c r="F600" s="49"/>
      <c r="G600" s="49"/>
      <c r="H600" s="50"/>
      <c r="I600" s="50"/>
      <c r="J600" s="50"/>
      <c r="K600" s="50"/>
      <c r="L600" s="50"/>
      <c r="M600" s="67" t="str">
        <f ca="1">IF($B600="","",SUM(_xlfn.XLOOKUP(C600,Lists!$P$2:$P$19,Lists!$R$2:$R$19,0),_xlfn.XLOOKUP(E600,Lists!$P$2:$P$19,Lists!$R$2:$R$19,0),_xlfn.XLOOKUP(G600,Lists!$P$2:$P$19,Lists!$R$2:$R$19,0),_xlfn.XLOOKUP(I600,Lists!$P$2:$P$19,Lists!$R$2:$R$19,0),_xlfn.XLOOKUP(K600,Lists!$P$2:$P$19,Lists!$R$2:$R$19,0)))</f>
        <v/>
      </c>
      <c r="N600" s="68" t="str">
        <f ca="1">IF($B600="","",SUM(_xlfn.XLOOKUP(D600,Lists!$AC$2:$AC$9,Lists!$AE$2:$AE$9,0),_xlfn.XLOOKUP(F600,Lists!$AC$2:$AC$9,Lists!$AE$2:$AE$9,0),_xlfn.XLOOKUP(H600,Lists!$AC$2:$AC$9,Lists!$AE$2:$AE$9,0),_xlfn.XLOOKUP(J600,Lists!$AC$2:$AC$9,Lists!$AE$2:$AE$9,0),_xlfn.XLOOKUP(L600,Lists!$AC$2:$AC$9,Lists!$AE$2:$AE$9,0)))</f>
        <v/>
      </c>
      <c r="O600" s="68" t="str">
        <f ca="1">IF($B600="","",SUM(_xlfn.XLOOKUP(C600,Lists!$P$2:$P$19,Lists!$S$2:$S$19,0),_xlfn.XLOOKUP(E600,Lists!$P$2:$P$19,Lists!$S$2:$S$19,0),_xlfn.XLOOKUP(G600,Lists!$P$2:$P$19,Lists!$S$2:$S$19,0),_xlfn.XLOOKUP(I600,Lists!$P$2:$P$19,Lists!$S$2:$S$19,0),_xlfn.XLOOKUP(K600,Lists!$P$2:$P$19,Lists!$S$2:$S$19,0)))</f>
        <v/>
      </c>
      <c r="P600" s="68" t="str">
        <f ca="1">IF($B600="","",SUM(_xlfn.XLOOKUP(C600,Lists!$P$2:$P$19,Lists!$T$2:$T$19,0),_xlfn.XLOOKUP(E600,Lists!$P$2:$P$19,Lists!$T$2:$T$19,0),_xlfn.XLOOKUP(G600,Lists!$P$2:$P$19,Lists!$T$2:$T$19,0),_xlfn.XLOOKUP(I600,Lists!$P$2:$P$19,Lists!$T$2:$T$19,0),_xlfn.XLOOKUP(K600,Lists!$P$2:$P$19,Lists!$T$2:$T$19,0)))</f>
        <v/>
      </c>
      <c r="Q600" s="68" t="str">
        <f ca="1">IF($B600="","",SUM(_xlfn.XLOOKUP(C600,Lists!$P$2:$P$19,Lists!$U$2:$U$19,0),_xlfn.XLOOKUP(E600,Lists!$P$2:$P$19,Lists!$U$2:$U$19,0),_xlfn.XLOOKUP(G600,Lists!$P$2:$P$19,Lists!$U$2:$U$19,0),_xlfn.XLOOKUP(I600,Lists!$P$2:$P$19,Lists!$U$2:$U$19,0),_xlfn.XLOOKUP(K600,Lists!$P$2:$P$19,Lists!$U$2:$U$19,0)))</f>
        <v/>
      </c>
      <c r="R600" s="68" t="str">
        <f ca="1">IF($B600="","",SUM(_xlfn.XLOOKUP(C600,Lists!$P$2:$P$19,Lists!$V$2:$V$19,0),_xlfn.XLOOKUP(E600,Lists!$P$2:$P$19,Lists!$V$2:$V$19,0),_xlfn.XLOOKUP(G600,Lists!$P$2:$P$19,Lists!$V$2:$V$19,0),_xlfn.XLOOKUP(I600,Lists!$P$2:$P$19,Lists!$V$2:$V$19,0),_xlfn.XLOOKUP(K600,Lists!$P$2:$P$19,Lists!$V$2:$V$19,0)))</f>
        <v/>
      </c>
      <c r="S600" s="68" t="str">
        <f ca="1">IF($B600="","",SUM(_xlfn.XLOOKUP(D600,Lists!$AC$2:$AC$9,Lists!$AD$2:$AD$9,0),_xlfn.XLOOKUP(F600,Lists!$AC$2:$AC$9,Lists!$AD$2:$AD$9,0),_xlfn.XLOOKUP(H600,Lists!$AC$2:$AC$9,Lists!$AD$2:$AD$9,0),_xlfn.XLOOKUP(J600,Lists!$AC$2:$AC$9,Lists!$AD$2:$AD$9,0),_xlfn.XLOOKUP(L600,Lists!$AC$2:$AC$9,Lists!$AD$2:$AD$9,0)))</f>
        <v/>
      </c>
      <c r="T600" s="68" t="str">
        <f ca="1">IF($B600="","",SUM(_xlfn.XLOOKUP(C600,Lists!$P$2:$P$19,Lists!$W$2:$W$19,0),_xlfn.XLOOKUP(E600,Lists!$P$2:$P$19,Lists!$W$2:$W$19,0),_xlfn.XLOOKUP(G600,Lists!$P$2:$P$19,Lists!$W$2:$W$19,0),_xlfn.XLOOKUP(I600,Lists!$P$2:$P$19,Lists!$W$2:$W$19,0),_xlfn.XLOOKUP(K600,Lists!$P$2:$P$19,Lists!$W$2:$W$19,0)))</f>
        <v/>
      </c>
      <c r="U600" s="68" t="str">
        <f ca="1">IF($B600="","",SUM(_xlfn.XLOOKUP(C600,Lists!$P$2:$P$19,Lists!$X$2:$X$19,0),_xlfn.XLOOKUP(E600,Lists!$P$2:$P$19,Lists!$X$2:$X$19,0),_xlfn.XLOOKUP(G600,Lists!$P$2:$P$19,Lists!$X$2:$X$19,0),_xlfn.XLOOKUP(I600,Lists!$P$2:$P$19,Lists!$X$2:$X$19,0),_xlfn.XLOOKUP(K600,Lists!$P$2:$P$19,Lists!$X$2:$X$19,0)))</f>
        <v/>
      </c>
      <c r="V600" s="68" t="str">
        <f ca="1">IF($B600="","",SUM(_xlfn.XLOOKUP(C600,Lists!$P$2:$P$19,Lists!$Y$2:$Y$19,0),_xlfn.XLOOKUP(E600,Lists!$P$2:$P$19,Lists!$Y$2:$Y$19,0),_xlfn.XLOOKUP(G600,Lists!$P$2:$P$19,Lists!$Y$2:$Y$19,0),_xlfn.XLOOKUP(I600,Lists!$P$2:$P$19,Lists!$Y$2:$Y$19,0),_xlfn.XLOOKUP(K600,Lists!$P$2:$P$19,Lists!$Y$2:$Y$19,0)))</f>
        <v/>
      </c>
      <c r="W600" s="68" t="str">
        <f ca="1">IF($B600="","",SUM(_xlfn.XLOOKUP(C600,Lists!$P$2:$P$19,Lists!$Z$2:$Z$19,0),_xlfn.XLOOKUP(E600,Lists!$P$2:$P$19,Lists!$Z$2:$Z$19,0),_xlfn.XLOOKUP(G600,Lists!$P$2:$P$19,Lists!$Z$2:$Z$19,0),_xlfn.XLOOKUP(I600,Lists!$P$2:$P$19,Lists!$Z$2:$Z$19,0),_xlfn.XLOOKUP(K600,Lists!$P$2:$P$19,Lists!$Z$2:$Z$19,0)))</f>
        <v/>
      </c>
      <c r="X600" s="69" t="str">
        <f ca="1">IF($B600="","",SUM(_xlfn.XLOOKUP(C600,Lists!$P$2:$P$19,Lists!$AA$2:$AA$19,0),_xlfn.XLOOKUP(E600,Lists!$P$2:$P$19,Lists!$AA$2:$AA$19,0),_xlfn.XLOOKUP(G600,Lists!$P$2:$P$19,Lists!$AA$2:$AA$19,0),_xlfn.XLOOKUP(I600,Lists!$P$2:$P$19,Lists!$AA$2:$AA$19,0),_xlfn.XLOOKUP(K600,Lists!$P$2:$P$19,Lists!$AA$2:$AA$19,0)))</f>
        <v/>
      </c>
      <c r="Y600" s="49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8"/>
      <c r="CM600" s="18"/>
      <c r="CN600" s="18"/>
      <c r="CO600" s="18"/>
      <c r="CP600" s="18"/>
      <c r="CQ600" s="18"/>
      <c r="CR600" s="18"/>
      <c r="CS600" s="18"/>
      <c r="CT600" s="18"/>
      <c r="CU600" s="18"/>
      <c r="CV600" s="18"/>
      <c r="CW600" s="18"/>
      <c r="CX600" s="18"/>
      <c r="CY600" s="18"/>
      <c r="CZ600" s="18"/>
      <c r="DA600" s="18"/>
      <c r="DB600" s="18"/>
      <c r="DC600" s="18"/>
      <c r="DD600" s="18"/>
      <c r="DE600" s="18"/>
      <c r="DF600" s="18"/>
    </row>
    <row r="601" spans="1:110">
      <c r="A601" s="168">
        <v>5</v>
      </c>
      <c r="B601" s="47" t="str">
        <f ca="1">Lineups!$C$177</f>
        <v/>
      </c>
      <c r="C601" s="49"/>
      <c r="D601" s="49"/>
      <c r="E601" s="49"/>
      <c r="F601" s="49"/>
      <c r="G601" s="49"/>
      <c r="H601" s="50"/>
      <c r="I601" s="50"/>
      <c r="J601" s="50"/>
      <c r="K601" s="50"/>
      <c r="L601" s="50"/>
      <c r="M601" s="67" t="str">
        <f ca="1">IF($B601="","",SUM(_xlfn.XLOOKUP(C601,Lists!$P$2:$P$19,Lists!$R$2:$R$19,0),_xlfn.XLOOKUP(E601,Lists!$P$2:$P$19,Lists!$R$2:$R$19,0),_xlfn.XLOOKUP(G601,Lists!$P$2:$P$19,Lists!$R$2:$R$19,0),_xlfn.XLOOKUP(I601,Lists!$P$2:$P$19,Lists!$R$2:$R$19,0),_xlfn.XLOOKUP(K601,Lists!$P$2:$P$19,Lists!$R$2:$R$19,0)))</f>
        <v/>
      </c>
      <c r="N601" s="68" t="str">
        <f ca="1">IF($B601="","",SUM(_xlfn.XLOOKUP(D601,Lists!$AC$2:$AC$9,Lists!$AE$2:$AE$9,0),_xlfn.XLOOKUP(F601,Lists!$AC$2:$AC$9,Lists!$AE$2:$AE$9,0),_xlfn.XLOOKUP(H601,Lists!$AC$2:$AC$9,Lists!$AE$2:$AE$9,0),_xlfn.XLOOKUP(J601,Lists!$AC$2:$AC$9,Lists!$AE$2:$AE$9,0),_xlfn.XLOOKUP(L601,Lists!$AC$2:$AC$9,Lists!$AE$2:$AE$9,0)))</f>
        <v/>
      </c>
      <c r="O601" s="68" t="str">
        <f ca="1">IF($B601="","",SUM(_xlfn.XLOOKUP(C601,Lists!$P$2:$P$19,Lists!$S$2:$S$19,0),_xlfn.XLOOKUP(E601,Lists!$P$2:$P$19,Lists!$S$2:$S$19,0),_xlfn.XLOOKUP(G601,Lists!$P$2:$P$19,Lists!$S$2:$S$19,0),_xlfn.XLOOKUP(I601,Lists!$P$2:$P$19,Lists!$S$2:$S$19,0),_xlfn.XLOOKUP(K601,Lists!$P$2:$P$19,Lists!$S$2:$S$19,0)))</f>
        <v/>
      </c>
      <c r="P601" s="68" t="str">
        <f ca="1">IF($B601="","",SUM(_xlfn.XLOOKUP(C601,Lists!$P$2:$P$19,Lists!$T$2:$T$19,0),_xlfn.XLOOKUP(E601,Lists!$P$2:$P$19,Lists!$T$2:$T$19,0),_xlfn.XLOOKUP(G601,Lists!$P$2:$P$19,Lists!$T$2:$T$19,0),_xlfn.XLOOKUP(I601,Lists!$P$2:$P$19,Lists!$T$2:$T$19,0),_xlfn.XLOOKUP(K601,Lists!$P$2:$P$19,Lists!$T$2:$T$19,0)))</f>
        <v/>
      </c>
      <c r="Q601" s="68" t="str">
        <f ca="1">IF($B601="","",SUM(_xlfn.XLOOKUP(C601,Lists!$P$2:$P$19,Lists!$U$2:$U$19,0),_xlfn.XLOOKUP(E601,Lists!$P$2:$P$19,Lists!$U$2:$U$19,0),_xlfn.XLOOKUP(G601,Lists!$P$2:$P$19,Lists!$U$2:$U$19,0),_xlfn.XLOOKUP(I601,Lists!$P$2:$P$19,Lists!$U$2:$U$19,0),_xlfn.XLOOKUP(K601,Lists!$P$2:$P$19,Lists!$U$2:$U$19,0)))</f>
        <v/>
      </c>
      <c r="R601" s="68" t="str">
        <f ca="1">IF($B601="","",SUM(_xlfn.XLOOKUP(C601,Lists!$P$2:$P$19,Lists!$V$2:$V$19,0),_xlfn.XLOOKUP(E601,Lists!$P$2:$P$19,Lists!$V$2:$V$19,0),_xlfn.XLOOKUP(G601,Lists!$P$2:$P$19,Lists!$V$2:$V$19,0),_xlfn.XLOOKUP(I601,Lists!$P$2:$P$19,Lists!$V$2:$V$19,0),_xlfn.XLOOKUP(K601,Lists!$P$2:$P$19,Lists!$V$2:$V$19,0)))</f>
        <v/>
      </c>
      <c r="S601" s="68" t="str">
        <f ca="1">IF($B601="","",SUM(_xlfn.XLOOKUP(D601,Lists!$AC$2:$AC$9,Lists!$AD$2:$AD$9,0),_xlfn.XLOOKUP(F601,Lists!$AC$2:$AC$9,Lists!$AD$2:$AD$9,0),_xlfn.XLOOKUP(H601,Lists!$AC$2:$AC$9,Lists!$AD$2:$AD$9,0),_xlfn.XLOOKUP(J601,Lists!$AC$2:$AC$9,Lists!$AD$2:$AD$9,0),_xlfn.XLOOKUP(L601,Lists!$AC$2:$AC$9,Lists!$AD$2:$AD$9,0)))</f>
        <v/>
      </c>
      <c r="T601" s="68" t="str">
        <f ca="1">IF($B601="","",SUM(_xlfn.XLOOKUP(C601,Lists!$P$2:$P$19,Lists!$W$2:$W$19,0),_xlfn.XLOOKUP(E601,Lists!$P$2:$P$19,Lists!$W$2:$W$19,0),_xlfn.XLOOKUP(G601,Lists!$P$2:$P$19,Lists!$W$2:$W$19,0),_xlfn.XLOOKUP(I601,Lists!$P$2:$P$19,Lists!$W$2:$W$19,0),_xlfn.XLOOKUP(K601,Lists!$P$2:$P$19,Lists!$W$2:$W$19,0)))</f>
        <v/>
      </c>
      <c r="U601" s="68" t="str">
        <f ca="1">IF($B601="","",SUM(_xlfn.XLOOKUP(C601,Lists!$P$2:$P$19,Lists!$X$2:$X$19,0),_xlfn.XLOOKUP(E601,Lists!$P$2:$P$19,Lists!$X$2:$X$19,0),_xlfn.XLOOKUP(G601,Lists!$P$2:$P$19,Lists!$X$2:$X$19,0),_xlfn.XLOOKUP(I601,Lists!$P$2:$P$19,Lists!$X$2:$X$19,0),_xlfn.XLOOKUP(K601,Lists!$P$2:$P$19,Lists!$X$2:$X$19,0)))</f>
        <v/>
      </c>
      <c r="V601" s="68" t="str">
        <f ca="1">IF($B601="","",SUM(_xlfn.XLOOKUP(C601,Lists!$P$2:$P$19,Lists!$Y$2:$Y$19,0),_xlfn.XLOOKUP(E601,Lists!$P$2:$P$19,Lists!$Y$2:$Y$19,0),_xlfn.XLOOKUP(G601,Lists!$P$2:$P$19,Lists!$Y$2:$Y$19,0),_xlfn.XLOOKUP(I601,Lists!$P$2:$P$19,Lists!$Y$2:$Y$19,0),_xlfn.XLOOKUP(K601,Lists!$P$2:$P$19,Lists!$Y$2:$Y$19,0)))</f>
        <v/>
      </c>
      <c r="W601" s="68" t="str">
        <f ca="1">IF($B601="","",SUM(_xlfn.XLOOKUP(C601,Lists!$P$2:$P$19,Lists!$Z$2:$Z$19,0),_xlfn.XLOOKUP(E601,Lists!$P$2:$P$19,Lists!$Z$2:$Z$19,0),_xlfn.XLOOKUP(G601,Lists!$P$2:$P$19,Lists!$Z$2:$Z$19,0),_xlfn.XLOOKUP(I601,Lists!$P$2:$P$19,Lists!$Z$2:$Z$19,0),_xlfn.XLOOKUP(K601,Lists!$P$2:$P$19,Lists!$Z$2:$Z$19,0)))</f>
        <v/>
      </c>
      <c r="X601" s="69" t="str">
        <f ca="1">IF($B601="","",SUM(_xlfn.XLOOKUP(C601,Lists!$P$2:$P$19,Lists!$AA$2:$AA$19,0),_xlfn.XLOOKUP(E601,Lists!$P$2:$P$19,Lists!$AA$2:$AA$19,0),_xlfn.XLOOKUP(G601,Lists!$P$2:$P$19,Lists!$AA$2:$AA$19,0),_xlfn.XLOOKUP(I601,Lists!$P$2:$P$19,Lists!$AA$2:$AA$19,0),_xlfn.XLOOKUP(K601,Lists!$P$2:$P$19,Lists!$AA$2:$AA$19,0)))</f>
        <v/>
      </c>
      <c r="Y601" s="49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  <c r="CI601" s="18"/>
      <c r="CJ601" s="18"/>
      <c r="CK601" s="18"/>
      <c r="CL601" s="18"/>
      <c r="CM601" s="18"/>
      <c r="CN601" s="18"/>
      <c r="CO601" s="18"/>
      <c r="CP601" s="18"/>
      <c r="CQ601" s="18"/>
      <c r="CR601" s="18"/>
      <c r="CS601" s="18"/>
      <c r="CT601" s="18"/>
      <c r="CU601" s="18"/>
      <c r="CV601" s="18"/>
      <c r="CW601" s="18"/>
      <c r="CX601" s="18"/>
      <c r="CY601" s="18"/>
      <c r="CZ601" s="18"/>
      <c r="DA601" s="18"/>
      <c r="DB601" s="18"/>
      <c r="DC601" s="18"/>
      <c r="DD601" s="18"/>
      <c r="DE601" s="18"/>
      <c r="DF601" s="18"/>
    </row>
    <row r="602" spans="1:110">
      <c r="A602" s="168">
        <v>6</v>
      </c>
      <c r="B602" s="47" t="str">
        <f ca="1">Lineups!$C$178</f>
        <v/>
      </c>
      <c r="C602" s="49"/>
      <c r="D602" s="49"/>
      <c r="E602" s="49"/>
      <c r="F602" s="49"/>
      <c r="G602" s="49"/>
      <c r="H602" s="50"/>
      <c r="I602" s="50"/>
      <c r="J602" s="50"/>
      <c r="K602" s="50"/>
      <c r="L602" s="50"/>
      <c r="M602" s="67" t="str">
        <f ca="1">IF($B602="","",SUM(_xlfn.XLOOKUP(C602,Lists!$P$2:$P$19,Lists!$R$2:$R$19,0),_xlfn.XLOOKUP(E602,Lists!$P$2:$P$19,Lists!$R$2:$R$19,0),_xlfn.XLOOKUP(G602,Lists!$P$2:$P$19,Lists!$R$2:$R$19,0),_xlfn.XLOOKUP(I602,Lists!$P$2:$P$19,Lists!$R$2:$R$19,0),_xlfn.XLOOKUP(K602,Lists!$P$2:$P$19,Lists!$R$2:$R$19,0)))</f>
        <v/>
      </c>
      <c r="N602" s="68" t="str">
        <f ca="1">IF($B602="","",SUM(_xlfn.XLOOKUP(D602,Lists!$AC$2:$AC$9,Lists!$AE$2:$AE$9,0),_xlfn.XLOOKUP(F602,Lists!$AC$2:$AC$9,Lists!$AE$2:$AE$9,0),_xlfn.XLOOKUP(H602,Lists!$AC$2:$AC$9,Lists!$AE$2:$AE$9,0),_xlfn.XLOOKUP(J602,Lists!$AC$2:$AC$9,Lists!$AE$2:$AE$9,0),_xlfn.XLOOKUP(L602,Lists!$AC$2:$AC$9,Lists!$AE$2:$AE$9,0)))</f>
        <v/>
      </c>
      <c r="O602" s="68" t="str">
        <f ca="1">IF($B602="","",SUM(_xlfn.XLOOKUP(C602,Lists!$P$2:$P$19,Lists!$S$2:$S$19,0),_xlfn.XLOOKUP(E602,Lists!$P$2:$P$19,Lists!$S$2:$S$19,0),_xlfn.XLOOKUP(G602,Lists!$P$2:$P$19,Lists!$S$2:$S$19,0),_xlfn.XLOOKUP(I602,Lists!$P$2:$P$19,Lists!$S$2:$S$19,0),_xlfn.XLOOKUP(K602,Lists!$P$2:$P$19,Lists!$S$2:$S$19,0)))</f>
        <v/>
      </c>
      <c r="P602" s="68" t="str">
        <f ca="1">IF($B602="","",SUM(_xlfn.XLOOKUP(C602,Lists!$P$2:$P$19,Lists!$T$2:$T$19,0),_xlfn.XLOOKUP(E602,Lists!$P$2:$P$19,Lists!$T$2:$T$19,0),_xlfn.XLOOKUP(G602,Lists!$P$2:$P$19,Lists!$T$2:$T$19,0),_xlfn.XLOOKUP(I602,Lists!$P$2:$P$19,Lists!$T$2:$T$19,0),_xlfn.XLOOKUP(K602,Lists!$P$2:$P$19,Lists!$T$2:$T$19,0)))</f>
        <v/>
      </c>
      <c r="Q602" s="68" t="str">
        <f ca="1">IF($B602="","",SUM(_xlfn.XLOOKUP(C602,Lists!$P$2:$P$19,Lists!$U$2:$U$19,0),_xlfn.XLOOKUP(E602,Lists!$P$2:$P$19,Lists!$U$2:$U$19,0),_xlfn.XLOOKUP(G602,Lists!$P$2:$P$19,Lists!$U$2:$U$19,0),_xlfn.XLOOKUP(I602,Lists!$P$2:$P$19,Lists!$U$2:$U$19,0),_xlfn.XLOOKUP(K602,Lists!$P$2:$P$19,Lists!$U$2:$U$19,0)))</f>
        <v/>
      </c>
      <c r="R602" s="68" t="str">
        <f ca="1">IF($B602="","",SUM(_xlfn.XLOOKUP(C602,Lists!$P$2:$P$19,Lists!$V$2:$V$19,0),_xlfn.XLOOKUP(E602,Lists!$P$2:$P$19,Lists!$V$2:$V$19,0),_xlfn.XLOOKUP(G602,Lists!$P$2:$P$19,Lists!$V$2:$V$19,0),_xlfn.XLOOKUP(I602,Lists!$P$2:$P$19,Lists!$V$2:$V$19,0),_xlfn.XLOOKUP(K602,Lists!$P$2:$P$19,Lists!$V$2:$V$19,0)))</f>
        <v/>
      </c>
      <c r="S602" s="68" t="str">
        <f ca="1">IF($B602="","",SUM(_xlfn.XLOOKUP(D602,Lists!$AC$2:$AC$9,Lists!$AD$2:$AD$9,0),_xlfn.XLOOKUP(F602,Lists!$AC$2:$AC$9,Lists!$AD$2:$AD$9,0),_xlfn.XLOOKUP(H602,Lists!$AC$2:$AC$9,Lists!$AD$2:$AD$9,0),_xlfn.XLOOKUP(J602,Lists!$AC$2:$AC$9,Lists!$AD$2:$AD$9,0),_xlfn.XLOOKUP(L602,Lists!$AC$2:$AC$9,Lists!$AD$2:$AD$9,0)))</f>
        <v/>
      </c>
      <c r="T602" s="68" t="str">
        <f ca="1">IF($B602="","",SUM(_xlfn.XLOOKUP(C602,Lists!$P$2:$P$19,Lists!$W$2:$W$19,0),_xlfn.XLOOKUP(E602,Lists!$P$2:$P$19,Lists!$W$2:$W$19,0),_xlfn.XLOOKUP(G602,Lists!$P$2:$P$19,Lists!$W$2:$W$19,0),_xlfn.XLOOKUP(I602,Lists!$P$2:$P$19,Lists!$W$2:$W$19,0),_xlfn.XLOOKUP(K602,Lists!$P$2:$P$19,Lists!$W$2:$W$19,0)))</f>
        <v/>
      </c>
      <c r="U602" s="68" t="str">
        <f ca="1">IF($B602="","",SUM(_xlfn.XLOOKUP(C602,Lists!$P$2:$P$19,Lists!$X$2:$X$19,0),_xlfn.XLOOKUP(E602,Lists!$P$2:$P$19,Lists!$X$2:$X$19,0),_xlfn.XLOOKUP(G602,Lists!$P$2:$P$19,Lists!$X$2:$X$19,0),_xlfn.XLOOKUP(I602,Lists!$P$2:$P$19,Lists!$X$2:$X$19,0),_xlfn.XLOOKUP(K602,Lists!$P$2:$P$19,Lists!$X$2:$X$19,0)))</f>
        <v/>
      </c>
      <c r="V602" s="68" t="str">
        <f ca="1">IF($B602="","",SUM(_xlfn.XLOOKUP(C602,Lists!$P$2:$P$19,Lists!$Y$2:$Y$19,0),_xlfn.XLOOKUP(E602,Lists!$P$2:$P$19,Lists!$Y$2:$Y$19,0),_xlfn.XLOOKUP(G602,Lists!$P$2:$P$19,Lists!$Y$2:$Y$19,0),_xlfn.XLOOKUP(I602,Lists!$P$2:$P$19,Lists!$Y$2:$Y$19,0),_xlfn.XLOOKUP(K602,Lists!$P$2:$P$19,Lists!$Y$2:$Y$19,0)))</f>
        <v/>
      </c>
      <c r="W602" s="68" t="str">
        <f ca="1">IF($B602="","",SUM(_xlfn.XLOOKUP(C602,Lists!$P$2:$P$19,Lists!$Z$2:$Z$19,0),_xlfn.XLOOKUP(E602,Lists!$P$2:$P$19,Lists!$Z$2:$Z$19,0),_xlfn.XLOOKUP(G602,Lists!$P$2:$P$19,Lists!$Z$2:$Z$19,0),_xlfn.XLOOKUP(I602,Lists!$P$2:$P$19,Lists!$Z$2:$Z$19,0),_xlfn.XLOOKUP(K602,Lists!$P$2:$P$19,Lists!$Z$2:$Z$19,0)))</f>
        <v/>
      </c>
      <c r="X602" s="69" t="str">
        <f ca="1">IF($B602="","",SUM(_xlfn.XLOOKUP(C602,Lists!$P$2:$P$19,Lists!$AA$2:$AA$19,0),_xlfn.XLOOKUP(E602,Lists!$P$2:$P$19,Lists!$AA$2:$AA$19,0),_xlfn.XLOOKUP(G602,Lists!$P$2:$P$19,Lists!$AA$2:$AA$19,0),_xlfn.XLOOKUP(I602,Lists!$P$2:$P$19,Lists!$AA$2:$AA$19,0),_xlfn.XLOOKUP(K602,Lists!$P$2:$P$19,Lists!$AA$2:$AA$19,0)))</f>
        <v/>
      </c>
      <c r="Y602" s="49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  <c r="CI602" s="18"/>
      <c r="CJ602" s="18"/>
      <c r="CK602" s="18"/>
      <c r="CL602" s="18"/>
      <c r="CM602" s="18"/>
      <c r="CN602" s="18"/>
      <c r="CO602" s="18"/>
      <c r="CP602" s="18"/>
      <c r="CQ602" s="18"/>
      <c r="CR602" s="18"/>
      <c r="CS602" s="18"/>
      <c r="CT602" s="18"/>
      <c r="CU602" s="18"/>
      <c r="CV602" s="18"/>
      <c r="CW602" s="18"/>
      <c r="CX602" s="18"/>
      <c r="CY602" s="18"/>
      <c r="CZ602" s="18"/>
      <c r="DA602" s="18"/>
      <c r="DB602" s="18"/>
      <c r="DC602" s="18"/>
      <c r="DD602" s="18"/>
      <c r="DE602" s="18"/>
      <c r="DF602" s="18"/>
    </row>
    <row r="603" spans="1:110">
      <c r="A603" s="168">
        <v>7</v>
      </c>
      <c r="B603" s="47" t="str">
        <f ca="1">Lineups!$C$179</f>
        <v/>
      </c>
      <c r="C603" s="49"/>
      <c r="D603" s="49"/>
      <c r="E603" s="49"/>
      <c r="F603" s="49"/>
      <c r="G603" s="49"/>
      <c r="H603" s="50"/>
      <c r="I603" s="50"/>
      <c r="J603" s="50"/>
      <c r="K603" s="50"/>
      <c r="L603" s="50"/>
      <c r="M603" s="67" t="str">
        <f ca="1">IF($B603="","",SUM(_xlfn.XLOOKUP(C603,Lists!$P$2:$P$19,Lists!$R$2:$R$19,0),_xlfn.XLOOKUP(E603,Lists!$P$2:$P$19,Lists!$R$2:$R$19,0),_xlfn.XLOOKUP(G603,Lists!$P$2:$P$19,Lists!$R$2:$R$19,0),_xlfn.XLOOKUP(I603,Lists!$P$2:$P$19,Lists!$R$2:$R$19,0),_xlfn.XLOOKUP(K603,Lists!$P$2:$P$19,Lists!$R$2:$R$19,0)))</f>
        <v/>
      </c>
      <c r="N603" s="68" t="str">
        <f ca="1">IF($B603="","",SUM(_xlfn.XLOOKUP(D603,Lists!$AC$2:$AC$9,Lists!$AE$2:$AE$9,0),_xlfn.XLOOKUP(F603,Lists!$AC$2:$AC$9,Lists!$AE$2:$AE$9,0),_xlfn.XLOOKUP(H603,Lists!$AC$2:$AC$9,Lists!$AE$2:$AE$9,0),_xlfn.XLOOKUP(J603,Lists!$AC$2:$AC$9,Lists!$AE$2:$AE$9,0),_xlfn.XLOOKUP(L603,Lists!$AC$2:$AC$9,Lists!$AE$2:$AE$9,0)))</f>
        <v/>
      </c>
      <c r="O603" s="68" t="str">
        <f ca="1">IF($B603="","",SUM(_xlfn.XLOOKUP(C603,Lists!$P$2:$P$19,Lists!$S$2:$S$19,0),_xlfn.XLOOKUP(E603,Lists!$P$2:$P$19,Lists!$S$2:$S$19,0),_xlfn.XLOOKUP(G603,Lists!$P$2:$P$19,Lists!$S$2:$S$19,0),_xlfn.XLOOKUP(I603,Lists!$P$2:$P$19,Lists!$S$2:$S$19,0),_xlfn.XLOOKUP(K603,Lists!$P$2:$P$19,Lists!$S$2:$S$19,0)))</f>
        <v/>
      </c>
      <c r="P603" s="68" t="str">
        <f ca="1">IF($B603="","",SUM(_xlfn.XLOOKUP(C603,Lists!$P$2:$P$19,Lists!$T$2:$T$19,0),_xlfn.XLOOKUP(E603,Lists!$P$2:$P$19,Lists!$T$2:$T$19,0),_xlfn.XLOOKUP(G603,Lists!$P$2:$P$19,Lists!$T$2:$T$19,0),_xlfn.XLOOKUP(I603,Lists!$P$2:$P$19,Lists!$T$2:$T$19,0),_xlfn.XLOOKUP(K603,Lists!$P$2:$P$19,Lists!$T$2:$T$19,0)))</f>
        <v/>
      </c>
      <c r="Q603" s="68" t="str">
        <f ca="1">IF($B603="","",SUM(_xlfn.XLOOKUP(C603,Lists!$P$2:$P$19,Lists!$U$2:$U$19,0),_xlfn.XLOOKUP(E603,Lists!$P$2:$P$19,Lists!$U$2:$U$19,0),_xlfn.XLOOKUP(G603,Lists!$P$2:$P$19,Lists!$U$2:$U$19,0),_xlfn.XLOOKUP(I603,Lists!$P$2:$P$19,Lists!$U$2:$U$19,0),_xlfn.XLOOKUP(K603,Lists!$P$2:$P$19,Lists!$U$2:$U$19,0)))</f>
        <v/>
      </c>
      <c r="R603" s="68" t="str">
        <f ca="1">IF($B603="","",SUM(_xlfn.XLOOKUP(C603,Lists!$P$2:$P$19,Lists!$V$2:$V$19,0),_xlfn.XLOOKUP(E603,Lists!$P$2:$P$19,Lists!$V$2:$V$19,0),_xlfn.XLOOKUP(G603,Lists!$P$2:$P$19,Lists!$V$2:$V$19,0),_xlfn.XLOOKUP(I603,Lists!$P$2:$P$19,Lists!$V$2:$V$19,0),_xlfn.XLOOKUP(K603,Lists!$P$2:$P$19,Lists!$V$2:$V$19,0)))</f>
        <v/>
      </c>
      <c r="S603" s="68" t="str">
        <f ca="1">IF($B603="","",SUM(_xlfn.XLOOKUP(D603,Lists!$AC$2:$AC$9,Lists!$AD$2:$AD$9,0),_xlfn.XLOOKUP(F603,Lists!$AC$2:$AC$9,Lists!$AD$2:$AD$9,0),_xlfn.XLOOKUP(H603,Lists!$AC$2:$AC$9,Lists!$AD$2:$AD$9,0),_xlfn.XLOOKUP(J603,Lists!$AC$2:$AC$9,Lists!$AD$2:$AD$9,0),_xlfn.XLOOKUP(L603,Lists!$AC$2:$AC$9,Lists!$AD$2:$AD$9,0)))</f>
        <v/>
      </c>
      <c r="T603" s="68" t="str">
        <f ca="1">IF($B603="","",SUM(_xlfn.XLOOKUP(C603,Lists!$P$2:$P$19,Lists!$W$2:$W$19,0),_xlfn.XLOOKUP(E603,Lists!$P$2:$P$19,Lists!$W$2:$W$19,0),_xlfn.XLOOKUP(G603,Lists!$P$2:$P$19,Lists!$W$2:$W$19,0),_xlfn.XLOOKUP(I603,Lists!$P$2:$P$19,Lists!$W$2:$W$19,0),_xlfn.XLOOKUP(K603,Lists!$P$2:$P$19,Lists!$W$2:$W$19,0)))</f>
        <v/>
      </c>
      <c r="U603" s="68" t="str">
        <f ca="1">IF($B603="","",SUM(_xlfn.XLOOKUP(C603,Lists!$P$2:$P$19,Lists!$X$2:$X$19,0),_xlfn.XLOOKUP(E603,Lists!$P$2:$P$19,Lists!$X$2:$X$19,0),_xlfn.XLOOKUP(G603,Lists!$P$2:$P$19,Lists!$X$2:$X$19,0),_xlfn.XLOOKUP(I603,Lists!$P$2:$P$19,Lists!$X$2:$X$19,0),_xlfn.XLOOKUP(K603,Lists!$P$2:$P$19,Lists!$X$2:$X$19,0)))</f>
        <v/>
      </c>
      <c r="V603" s="68" t="str">
        <f ca="1">IF($B603="","",SUM(_xlfn.XLOOKUP(C603,Lists!$P$2:$P$19,Lists!$Y$2:$Y$19,0),_xlfn.XLOOKUP(E603,Lists!$P$2:$P$19,Lists!$Y$2:$Y$19,0),_xlfn.XLOOKUP(G603,Lists!$P$2:$P$19,Lists!$Y$2:$Y$19,0),_xlfn.XLOOKUP(I603,Lists!$P$2:$P$19,Lists!$Y$2:$Y$19,0),_xlfn.XLOOKUP(K603,Lists!$P$2:$P$19,Lists!$Y$2:$Y$19,0)))</f>
        <v/>
      </c>
      <c r="W603" s="68" t="str">
        <f ca="1">IF($B603="","",SUM(_xlfn.XLOOKUP(C603,Lists!$P$2:$P$19,Lists!$Z$2:$Z$19,0),_xlfn.XLOOKUP(E603,Lists!$P$2:$P$19,Lists!$Z$2:$Z$19,0),_xlfn.XLOOKUP(G603,Lists!$P$2:$P$19,Lists!$Z$2:$Z$19,0),_xlfn.XLOOKUP(I603,Lists!$P$2:$P$19,Lists!$Z$2:$Z$19,0),_xlfn.XLOOKUP(K603,Lists!$P$2:$P$19,Lists!$Z$2:$Z$19,0)))</f>
        <v/>
      </c>
      <c r="X603" s="69" t="str">
        <f ca="1">IF($B603="","",SUM(_xlfn.XLOOKUP(C603,Lists!$P$2:$P$19,Lists!$AA$2:$AA$19,0),_xlfn.XLOOKUP(E603,Lists!$P$2:$P$19,Lists!$AA$2:$AA$19,0),_xlfn.XLOOKUP(G603,Lists!$P$2:$P$19,Lists!$AA$2:$AA$19,0),_xlfn.XLOOKUP(I603,Lists!$P$2:$P$19,Lists!$AA$2:$AA$19,0),_xlfn.XLOOKUP(K603,Lists!$P$2:$P$19,Lists!$AA$2:$AA$19,0)))</f>
        <v/>
      </c>
      <c r="Y603" s="49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  <c r="CL603" s="18"/>
      <c r="CM603" s="18"/>
      <c r="CN603" s="18"/>
      <c r="CO603" s="18"/>
      <c r="CP603" s="18"/>
      <c r="CQ603" s="18"/>
      <c r="CR603" s="18"/>
      <c r="CS603" s="18"/>
      <c r="CT603" s="18"/>
      <c r="CU603" s="18"/>
      <c r="CV603" s="18"/>
      <c r="CW603" s="18"/>
      <c r="CX603" s="18"/>
      <c r="CY603" s="18"/>
      <c r="CZ603" s="18"/>
      <c r="DA603" s="18"/>
      <c r="DB603" s="18"/>
      <c r="DC603" s="18"/>
      <c r="DD603" s="18"/>
      <c r="DE603" s="18"/>
      <c r="DF603" s="18"/>
    </row>
    <row r="604" spans="1:110">
      <c r="A604" s="168">
        <v>8</v>
      </c>
      <c r="B604" s="47" t="str">
        <f ca="1">Lineups!$C$180</f>
        <v/>
      </c>
      <c r="C604" s="49"/>
      <c r="D604" s="49"/>
      <c r="E604" s="49"/>
      <c r="F604" s="49"/>
      <c r="G604" s="49"/>
      <c r="H604" s="50"/>
      <c r="I604" s="50"/>
      <c r="J604" s="50"/>
      <c r="K604" s="50"/>
      <c r="L604" s="50"/>
      <c r="M604" s="67" t="str">
        <f ca="1">IF($B604="","",SUM(_xlfn.XLOOKUP(C604,Lists!$P$2:$P$19,Lists!$R$2:$R$19,0),_xlfn.XLOOKUP(E604,Lists!$P$2:$P$19,Lists!$R$2:$R$19,0),_xlfn.XLOOKUP(G604,Lists!$P$2:$P$19,Lists!$R$2:$R$19,0),_xlfn.XLOOKUP(I604,Lists!$P$2:$P$19,Lists!$R$2:$R$19,0),_xlfn.XLOOKUP(K604,Lists!$P$2:$P$19,Lists!$R$2:$R$19,0)))</f>
        <v/>
      </c>
      <c r="N604" s="68" t="str">
        <f ca="1">IF($B604="","",SUM(_xlfn.XLOOKUP(D604,Lists!$AC$2:$AC$9,Lists!$AE$2:$AE$9,0),_xlfn.XLOOKUP(F604,Lists!$AC$2:$AC$9,Lists!$AE$2:$AE$9,0),_xlfn.XLOOKUP(H604,Lists!$AC$2:$AC$9,Lists!$AE$2:$AE$9,0),_xlfn.XLOOKUP(J604,Lists!$AC$2:$AC$9,Lists!$AE$2:$AE$9,0),_xlfn.XLOOKUP(L604,Lists!$AC$2:$AC$9,Lists!$AE$2:$AE$9,0)))</f>
        <v/>
      </c>
      <c r="O604" s="68" t="str">
        <f ca="1">IF($B604="","",SUM(_xlfn.XLOOKUP(C604,Lists!$P$2:$P$19,Lists!$S$2:$S$19,0),_xlfn.XLOOKUP(E604,Lists!$P$2:$P$19,Lists!$S$2:$S$19,0),_xlfn.XLOOKUP(G604,Lists!$P$2:$P$19,Lists!$S$2:$S$19,0),_xlfn.XLOOKUP(I604,Lists!$P$2:$P$19,Lists!$S$2:$S$19,0),_xlfn.XLOOKUP(K604,Lists!$P$2:$P$19,Lists!$S$2:$S$19,0)))</f>
        <v/>
      </c>
      <c r="P604" s="68" t="str">
        <f ca="1">IF($B604="","",SUM(_xlfn.XLOOKUP(C604,Lists!$P$2:$P$19,Lists!$T$2:$T$19,0),_xlfn.XLOOKUP(E604,Lists!$P$2:$P$19,Lists!$T$2:$T$19,0),_xlfn.XLOOKUP(G604,Lists!$P$2:$P$19,Lists!$T$2:$T$19,0),_xlfn.XLOOKUP(I604,Lists!$P$2:$P$19,Lists!$T$2:$T$19,0),_xlfn.XLOOKUP(K604,Lists!$P$2:$P$19,Lists!$T$2:$T$19,0)))</f>
        <v/>
      </c>
      <c r="Q604" s="68" t="str">
        <f ca="1">IF($B604="","",SUM(_xlfn.XLOOKUP(C604,Lists!$P$2:$P$19,Lists!$U$2:$U$19,0),_xlfn.XLOOKUP(E604,Lists!$P$2:$P$19,Lists!$U$2:$U$19,0),_xlfn.XLOOKUP(G604,Lists!$P$2:$P$19,Lists!$U$2:$U$19,0),_xlfn.XLOOKUP(I604,Lists!$P$2:$P$19,Lists!$U$2:$U$19,0),_xlfn.XLOOKUP(K604,Lists!$P$2:$P$19,Lists!$U$2:$U$19,0)))</f>
        <v/>
      </c>
      <c r="R604" s="68" t="str">
        <f ca="1">IF($B604="","",SUM(_xlfn.XLOOKUP(C604,Lists!$P$2:$P$19,Lists!$V$2:$V$19,0),_xlfn.XLOOKUP(E604,Lists!$P$2:$P$19,Lists!$V$2:$V$19,0),_xlfn.XLOOKUP(G604,Lists!$P$2:$P$19,Lists!$V$2:$V$19,0),_xlfn.XLOOKUP(I604,Lists!$P$2:$P$19,Lists!$V$2:$V$19,0),_xlfn.XLOOKUP(K604,Lists!$P$2:$P$19,Lists!$V$2:$V$19,0)))</f>
        <v/>
      </c>
      <c r="S604" s="68" t="str">
        <f ca="1">IF($B604="","",SUM(_xlfn.XLOOKUP(D604,Lists!$AC$2:$AC$9,Lists!$AD$2:$AD$9,0),_xlfn.XLOOKUP(F604,Lists!$AC$2:$AC$9,Lists!$AD$2:$AD$9,0),_xlfn.XLOOKUP(H604,Lists!$AC$2:$AC$9,Lists!$AD$2:$AD$9,0),_xlfn.XLOOKUP(J604,Lists!$AC$2:$AC$9,Lists!$AD$2:$AD$9,0),_xlfn.XLOOKUP(L604,Lists!$AC$2:$AC$9,Lists!$AD$2:$AD$9,0)))</f>
        <v/>
      </c>
      <c r="T604" s="68" t="str">
        <f ca="1">IF($B604="","",SUM(_xlfn.XLOOKUP(C604,Lists!$P$2:$P$19,Lists!$W$2:$W$19,0),_xlfn.XLOOKUP(E604,Lists!$P$2:$P$19,Lists!$W$2:$W$19,0),_xlfn.XLOOKUP(G604,Lists!$P$2:$P$19,Lists!$W$2:$W$19,0),_xlfn.XLOOKUP(I604,Lists!$P$2:$P$19,Lists!$W$2:$W$19,0),_xlfn.XLOOKUP(K604,Lists!$P$2:$P$19,Lists!$W$2:$W$19,0)))</f>
        <v/>
      </c>
      <c r="U604" s="68" t="str">
        <f ca="1">IF($B604="","",SUM(_xlfn.XLOOKUP(C604,Lists!$P$2:$P$19,Lists!$X$2:$X$19,0),_xlfn.XLOOKUP(E604,Lists!$P$2:$P$19,Lists!$X$2:$X$19,0),_xlfn.XLOOKUP(G604,Lists!$P$2:$P$19,Lists!$X$2:$X$19,0),_xlfn.XLOOKUP(I604,Lists!$P$2:$P$19,Lists!$X$2:$X$19,0),_xlfn.XLOOKUP(K604,Lists!$P$2:$P$19,Lists!$X$2:$X$19,0)))</f>
        <v/>
      </c>
      <c r="V604" s="68" t="str">
        <f ca="1">IF($B604="","",SUM(_xlfn.XLOOKUP(C604,Lists!$P$2:$P$19,Lists!$Y$2:$Y$19,0),_xlfn.XLOOKUP(E604,Lists!$P$2:$P$19,Lists!$Y$2:$Y$19,0),_xlfn.XLOOKUP(G604,Lists!$P$2:$P$19,Lists!$Y$2:$Y$19,0),_xlfn.XLOOKUP(I604,Lists!$P$2:$P$19,Lists!$Y$2:$Y$19,0),_xlfn.XLOOKUP(K604,Lists!$P$2:$P$19,Lists!$Y$2:$Y$19,0)))</f>
        <v/>
      </c>
      <c r="W604" s="68" t="str">
        <f ca="1">IF($B604="","",SUM(_xlfn.XLOOKUP(C604,Lists!$P$2:$P$19,Lists!$Z$2:$Z$19,0),_xlfn.XLOOKUP(E604,Lists!$P$2:$P$19,Lists!$Z$2:$Z$19,0),_xlfn.XLOOKUP(G604,Lists!$P$2:$P$19,Lists!$Z$2:$Z$19,0),_xlfn.XLOOKUP(I604,Lists!$P$2:$P$19,Lists!$Z$2:$Z$19,0),_xlfn.XLOOKUP(K604,Lists!$P$2:$P$19,Lists!$Z$2:$Z$19,0)))</f>
        <v/>
      </c>
      <c r="X604" s="69" t="str">
        <f ca="1">IF($B604="","",SUM(_xlfn.XLOOKUP(C604,Lists!$P$2:$P$19,Lists!$AA$2:$AA$19,0),_xlfn.XLOOKUP(E604,Lists!$P$2:$P$19,Lists!$AA$2:$AA$19,0),_xlfn.XLOOKUP(G604,Lists!$P$2:$P$19,Lists!$AA$2:$AA$19,0),_xlfn.XLOOKUP(I604,Lists!$P$2:$P$19,Lists!$AA$2:$AA$19,0),_xlfn.XLOOKUP(K604,Lists!$P$2:$P$19,Lists!$AA$2:$AA$19,0)))</f>
        <v/>
      </c>
      <c r="Y604" s="49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  <c r="CL604" s="18"/>
      <c r="CM604" s="18"/>
      <c r="CN604" s="18"/>
      <c r="CO604" s="18"/>
      <c r="CP604" s="18"/>
      <c r="CQ604" s="18"/>
      <c r="CR604" s="18"/>
      <c r="CS604" s="18"/>
      <c r="CT604" s="18"/>
      <c r="CU604" s="18"/>
      <c r="CV604" s="18"/>
      <c r="CW604" s="18"/>
      <c r="CX604" s="18"/>
      <c r="CY604" s="18"/>
      <c r="CZ604" s="18"/>
      <c r="DA604" s="18"/>
      <c r="DB604" s="18"/>
      <c r="DC604" s="18"/>
      <c r="DD604" s="18"/>
      <c r="DE604" s="18"/>
      <c r="DF604" s="18"/>
    </row>
    <row r="605" spans="1:110">
      <c r="A605" s="168">
        <v>9</v>
      </c>
      <c r="B605" s="47" t="str">
        <f ca="1">Lineups!$C$181</f>
        <v/>
      </c>
      <c r="C605" s="49"/>
      <c r="D605" s="49"/>
      <c r="E605" s="49"/>
      <c r="F605" s="49"/>
      <c r="G605" s="49"/>
      <c r="H605" s="50"/>
      <c r="I605" s="50"/>
      <c r="J605" s="50"/>
      <c r="K605" s="50"/>
      <c r="L605" s="50"/>
      <c r="M605" s="67" t="str">
        <f ca="1">IF($B605="","",SUM(_xlfn.XLOOKUP(C605,Lists!$P$2:$P$19,Lists!$R$2:$R$19,0),_xlfn.XLOOKUP(E605,Lists!$P$2:$P$19,Lists!$R$2:$R$19,0),_xlfn.XLOOKUP(G605,Lists!$P$2:$P$19,Lists!$R$2:$R$19,0),_xlfn.XLOOKUP(I605,Lists!$P$2:$P$19,Lists!$R$2:$R$19,0),_xlfn.XLOOKUP(K605,Lists!$P$2:$P$19,Lists!$R$2:$R$19,0)))</f>
        <v/>
      </c>
      <c r="N605" s="68" t="str">
        <f ca="1">IF($B605="","",SUM(_xlfn.XLOOKUP(D605,Lists!$AC$2:$AC$9,Lists!$AE$2:$AE$9,0),_xlfn.XLOOKUP(F605,Lists!$AC$2:$AC$9,Lists!$AE$2:$AE$9,0),_xlfn.XLOOKUP(H605,Lists!$AC$2:$AC$9,Lists!$AE$2:$AE$9,0),_xlfn.XLOOKUP(J605,Lists!$AC$2:$AC$9,Lists!$AE$2:$AE$9,0),_xlfn.XLOOKUP(L605,Lists!$AC$2:$AC$9,Lists!$AE$2:$AE$9,0)))</f>
        <v/>
      </c>
      <c r="O605" s="68" t="str">
        <f ca="1">IF($B605="","",SUM(_xlfn.XLOOKUP(C605,Lists!$P$2:$P$19,Lists!$S$2:$S$19,0),_xlfn.XLOOKUP(E605,Lists!$P$2:$P$19,Lists!$S$2:$S$19,0),_xlfn.XLOOKUP(G605,Lists!$P$2:$P$19,Lists!$S$2:$S$19,0),_xlfn.XLOOKUP(I605,Lists!$P$2:$P$19,Lists!$S$2:$S$19,0),_xlfn.XLOOKUP(K605,Lists!$P$2:$P$19,Lists!$S$2:$S$19,0)))</f>
        <v/>
      </c>
      <c r="P605" s="68" t="str">
        <f ca="1">IF($B605="","",SUM(_xlfn.XLOOKUP(C605,Lists!$P$2:$P$19,Lists!$T$2:$T$19,0),_xlfn.XLOOKUP(E605,Lists!$P$2:$P$19,Lists!$T$2:$T$19,0),_xlfn.XLOOKUP(G605,Lists!$P$2:$P$19,Lists!$T$2:$T$19,0),_xlfn.XLOOKUP(I605,Lists!$P$2:$P$19,Lists!$T$2:$T$19,0),_xlfn.XLOOKUP(K605,Lists!$P$2:$P$19,Lists!$T$2:$T$19,0)))</f>
        <v/>
      </c>
      <c r="Q605" s="68" t="str">
        <f ca="1">IF($B605="","",SUM(_xlfn.XLOOKUP(C605,Lists!$P$2:$P$19,Lists!$U$2:$U$19,0),_xlfn.XLOOKUP(E605,Lists!$P$2:$P$19,Lists!$U$2:$U$19,0),_xlfn.XLOOKUP(G605,Lists!$P$2:$P$19,Lists!$U$2:$U$19,0),_xlfn.XLOOKUP(I605,Lists!$P$2:$P$19,Lists!$U$2:$U$19,0),_xlfn.XLOOKUP(K605,Lists!$P$2:$P$19,Lists!$U$2:$U$19,0)))</f>
        <v/>
      </c>
      <c r="R605" s="68" t="str">
        <f ca="1">IF($B605="","",SUM(_xlfn.XLOOKUP(C605,Lists!$P$2:$P$19,Lists!$V$2:$V$19,0),_xlfn.XLOOKUP(E605,Lists!$P$2:$P$19,Lists!$V$2:$V$19,0),_xlfn.XLOOKUP(G605,Lists!$P$2:$P$19,Lists!$V$2:$V$19,0),_xlfn.XLOOKUP(I605,Lists!$P$2:$P$19,Lists!$V$2:$V$19,0),_xlfn.XLOOKUP(K605,Lists!$P$2:$P$19,Lists!$V$2:$V$19,0)))</f>
        <v/>
      </c>
      <c r="S605" s="68" t="str">
        <f ca="1">IF($B605="","",SUM(_xlfn.XLOOKUP(D605,Lists!$AC$2:$AC$9,Lists!$AD$2:$AD$9,0),_xlfn.XLOOKUP(F605,Lists!$AC$2:$AC$9,Lists!$AD$2:$AD$9,0),_xlfn.XLOOKUP(H605,Lists!$AC$2:$AC$9,Lists!$AD$2:$AD$9,0),_xlfn.XLOOKUP(J605,Lists!$AC$2:$AC$9,Lists!$AD$2:$AD$9,0),_xlfn.XLOOKUP(L605,Lists!$AC$2:$AC$9,Lists!$AD$2:$AD$9,0)))</f>
        <v/>
      </c>
      <c r="T605" s="68" t="str">
        <f ca="1">IF($B605="","",SUM(_xlfn.XLOOKUP(C605,Lists!$P$2:$P$19,Lists!$W$2:$W$19,0),_xlfn.XLOOKUP(E605,Lists!$P$2:$P$19,Lists!$W$2:$W$19,0),_xlfn.XLOOKUP(G605,Lists!$P$2:$P$19,Lists!$W$2:$W$19,0),_xlfn.XLOOKUP(I605,Lists!$P$2:$P$19,Lists!$W$2:$W$19,0),_xlfn.XLOOKUP(K605,Lists!$P$2:$P$19,Lists!$W$2:$W$19,0)))</f>
        <v/>
      </c>
      <c r="U605" s="68" t="str">
        <f ca="1">IF($B605="","",SUM(_xlfn.XLOOKUP(C605,Lists!$P$2:$P$19,Lists!$X$2:$X$19,0),_xlfn.XLOOKUP(E605,Lists!$P$2:$P$19,Lists!$X$2:$X$19,0),_xlfn.XLOOKUP(G605,Lists!$P$2:$P$19,Lists!$X$2:$X$19,0),_xlfn.XLOOKUP(I605,Lists!$P$2:$P$19,Lists!$X$2:$X$19,0),_xlfn.XLOOKUP(K605,Lists!$P$2:$P$19,Lists!$X$2:$X$19,0)))</f>
        <v/>
      </c>
      <c r="V605" s="68" t="str">
        <f ca="1">IF($B605="","",SUM(_xlfn.XLOOKUP(C605,Lists!$P$2:$P$19,Lists!$Y$2:$Y$19,0),_xlfn.XLOOKUP(E605,Lists!$P$2:$P$19,Lists!$Y$2:$Y$19,0),_xlfn.XLOOKUP(G605,Lists!$P$2:$P$19,Lists!$Y$2:$Y$19,0),_xlfn.XLOOKUP(I605,Lists!$P$2:$P$19,Lists!$Y$2:$Y$19,0),_xlfn.XLOOKUP(K605,Lists!$P$2:$P$19,Lists!$Y$2:$Y$19,0)))</f>
        <v/>
      </c>
      <c r="W605" s="68" t="str">
        <f ca="1">IF($B605="","",SUM(_xlfn.XLOOKUP(C605,Lists!$P$2:$P$19,Lists!$Z$2:$Z$19,0),_xlfn.XLOOKUP(E605,Lists!$P$2:$P$19,Lists!$Z$2:$Z$19,0),_xlfn.XLOOKUP(G605,Lists!$P$2:$P$19,Lists!$Z$2:$Z$19,0),_xlfn.XLOOKUP(I605,Lists!$P$2:$P$19,Lists!$Z$2:$Z$19,0),_xlfn.XLOOKUP(K605,Lists!$P$2:$P$19,Lists!$Z$2:$Z$19,0)))</f>
        <v/>
      </c>
      <c r="X605" s="69" t="str">
        <f ca="1">IF($B605="","",SUM(_xlfn.XLOOKUP(C605,Lists!$P$2:$P$19,Lists!$AA$2:$AA$19,0),_xlfn.XLOOKUP(E605,Lists!$P$2:$P$19,Lists!$AA$2:$AA$19,0),_xlfn.XLOOKUP(G605,Lists!$P$2:$P$19,Lists!$AA$2:$AA$19,0),_xlfn.XLOOKUP(I605,Lists!$P$2:$P$19,Lists!$AA$2:$AA$19,0),_xlfn.XLOOKUP(K605,Lists!$P$2:$P$19,Lists!$AA$2:$AA$19,0)))</f>
        <v/>
      </c>
      <c r="Y605" s="49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  <c r="CI605" s="18"/>
      <c r="CJ605" s="18"/>
      <c r="CK605" s="18"/>
      <c r="CL605" s="18"/>
      <c r="CM605" s="18"/>
      <c r="CN605" s="18"/>
      <c r="CO605" s="18"/>
      <c r="CP605" s="18"/>
      <c r="CQ605" s="18"/>
      <c r="CR605" s="18"/>
      <c r="CS605" s="18"/>
      <c r="CT605" s="18"/>
      <c r="CU605" s="18"/>
      <c r="CV605" s="18"/>
      <c r="CW605" s="18"/>
      <c r="CX605" s="18"/>
      <c r="CY605" s="18"/>
      <c r="CZ605" s="18"/>
      <c r="DA605" s="18"/>
      <c r="DB605" s="18"/>
      <c r="DC605" s="18"/>
      <c r="DD605" s="18"/>
      <c r="DE605" s="18"/>
      <c r="DF605" s="18"/>
    </row>
    <row r="606" spans="1:110">
      <c r="A606" s="173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  <c r="CL606" s="18"/>
      <c r="CM606" s="18"/>
      <c r="CN606" s="18"/>
      <c r="CO606" s="18"/>
      <c r="CP606" s="18"/>
      <c r="CQ606" s="18"/>
      <c r="CR606" s="18"/>
      <c r="CS606" s="18"/>
      <c r="CT606" s="18"/>
      <c r="CU606" s="18"/>
      <c r="CV606" s="18"/>
      <c r="CW606" s="18"/>
      <c r="CX606" s="18"/>
      <c r="CY606" s="18"/>
      <c r="CZ606" s="18"/>
      <c r="DA606" s="18"/>
      <c r="DB606" s="18"/>
      <c r="DC606" s="18"/>
      <c r="DD606" s="18"/>
      <c r="DE606" s="18"/>
      <c r="DF606" s="18"/>
    </row>
    <row r="607" spans="1:110">
      <c r="A607" s="222" t="str">
        <f ca="1">IF($N$590="","Team A Pitching",$N$590&amp;" Pitching")</f>
        <v>Team A Pitching</v>
      </c>
      <c r="B607" s="221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06"/>
      <c r="O607" s="186"/>
      <c r="P607" s="24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  <c r="CL607" s="18"/>
      <c r="CM607" s="18"/>
      <c r="CN607" s="18"/>
      <c r="CO607" s="18"/>
      <c r="CP607" s="18"/>
      <c r="CQ607" s="18"/>
      <c r="CR607" s="18"/>
      <c r="CS607" s="18"/>
      <c r="CT607" s="18"/>
      <c r="CU607" s="18"/>
      <c r="CV607" s="18"/>
      <c r="CW607" s="18"/>
      <c r="CX607" s="18"/>
      <c r="CY607" s="18"/>
      <c r="CZ607" s="18"/>
      <c r="DA607" s="18"/>
      <c r="DB607" s="18"/>
      <c r="DC607" s="18"/>
      <c r="DD607" s="18"/>
      <c r="DE607" s="18"/>
      <c r="DF607" s="18"/>
    </row>
    <row r="608" spans="1:110">
      <c r="A608" s="167" t="s">
        <v>103</v>
      </c>
      <c r="B608" s="43" t="s">
        <v>194</v>
      </c>
      <c r="C608" s="43" t="s">
        <v>195</v>
      </c>
      <c r="D608" s="43" t="s">
        <v>162</v>
      </c>
      <c r="E608" s="43" t="s">
        <v>161</v>
      </c>
      <c r="F608" s="43" t="s">
        <v>196</v>
      </c>
      <c r="G608" s="43" t="s">
        <v>180</v>
      </c>
      <c r="H608" s="43" t="s">
        <v>181</v>
      </c>
      <c r="I608" s="44" t="s">
        <v>197</v>
      </c>
      <c r="J608" s="44" t="s">
        <v>198</v>
      </c>
      <c r="K608" s="44" t="s">
        <v>199</v>
      </c>
      <c r="L608" s="44" t="s">
        <v>200</v>
      </c>
      <c r="M608" s="44" t="s">
        <v>201</v>
      </c>
      <c r="N608" s="45" t="s">
        <v>202</v>
      </c>
      <c r="O608" s="45" t="s">
        <v>203</v>
      </c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  <c r="CI608" s="18"/>
      <c r="CJ608" s="18"/>
      <c r="CK608" s="18"/>
      <c r="CL608" s="18"/>
      <c r="CM608" s="18"/>
      <c r="CN608" s="18"/>
      <c r="CO608" s="18"/>
      <c r="CP608" s="18"/>
      <c r="CQ608" s="18"/>
      <c r="CR608" s="18"/>
      <c r="CS608" s="18"/>
      <c r="CT608" s="18"/>
      <c r="CU608" s="18"/>
      <c r="CV608" s="18"/>
      <c r="CW608" s="18"/>
      <c r="CX608" s="18"/>
      <c r="CY608" s="18"/>
      <c r="CZ608" s="18"/>
      <c r="DA608" s="18"/>
      <c r="DB608" s="18"/>
      <c r="DC608" s="18"/>
      <c r="DD608" s="18"/>
      <c r="DE608" s="18"/>
      <c r="DF608" s="18"/>
    </row>
    <row r="609" spans="1:110">
      <c r="A609" s="168">
        <v>1</v>
      </c>
      <c r="B609" s="71"/>
      <c r="C609" s="70" t="str" cm="1">
        <f t="array" aca="1" ref="C609" ca="1">IF(OR(B609="",O609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609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09" s="67" t="str" cm="1">
        <f t="array" aca="1" ref="D609" ca="1">IF(OR(B609="",O609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609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09" s="67" t="str" cm="1">
        <f t="array" aca="1" ref="E609" ca="1">IF(OR(B609="",O609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609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09" s="67" t="str" cm="1">
        <f t="array" aca="1" ref="F609" ca="1">IF(OR(B609="",O609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609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09" s="67" t="str" cm="1">
        <f t="array" aca="1" ref="G609" ca="1">IF(OR(B609="",O609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609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09" s="67" t="str" cm="1">
        <f t="array" aca="1" ref="H609" ca="1">IF(OR(B609="",O609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609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09" s="68" t="str" cm="1">
        <f t="array" aca="1" ref="I609" ca="1">IF(OR(B609="",O609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609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09" s="68" t="str" cm="1">
        <f t="array" aca="1" ref="J609" ca="1">IF(OR(B609="",O609=""),"",--(SUM(_xlfn.XLOOKUP(_xlfn._xlws.FILTER(_xlfn.TOCOL(_xlfn.CHOOSECOLS(C597:L605,2,4,6,8,10),0,TRUE),_xlfn.TOCOL(_xlfn.CHOOSECOLS(C597:L605,1,3,5,7,9),0,TRUE)&lt;&gt;""),Lists!$AC$2:$AC$9,Lists!$AF$2:$AF$9,0))&gt;SUM(_xlfn.XLOOKUP(_xlfn._xlws.FILTER(_xlfn.TOCOL(_xlfn.CHOOSECOLS(C618:L626,2,4,6,8,10),0,TRUE),_xlfn.TOCOL(_xlfn.CHOOSECOLS(C618:L626,1,3,5,7,9),0,TRUE)&lt;&gt;""),Lists!$AC$2:$AC$9,Lists!$AF$2:$AF$9,0)))*--(ROW()-ROW(C608)=_xlfn.XLOOKUP(MAX(IF(O609:O614&gt;0,INT(C609:C614)*3+MOD(ROUND(C609:C614*10,0),10),-1)),IF(O609:O614&gt;0,INT(C609:C614)*3+MOD(ROUND(C609:C614*10,0),10),-1),_xlfn.SEQUENCE(ROWS(O609:O614)),,0)))</f>
        <v/>
      </c>
      <c r="K609" s="68" t="str" cm="1">
        <f t="array" aca="1" ref="K609" ca="1">IF(OR(B609="",O609=""),"",--(SUM(_xlfn.XLOOKUP(_xlfn._xlws.FILTER(_xlfn.TOCOL(_xlfn.CHOOSECOLS(C597:L605,2,4,6,8,10),0,TRUE),_xlfn.TOCOL(_xlfn.CHOOSECOLS(C597:L605,1,3,5,7,9),0,TRUE)&lt;&gt;""),Lists!$AC$2:$AC$9,Lists!$AF$2:$AF$9,0))&lt;SUM(_xlfn.XLOOKUP(_xlfn._xlws.FILTER(_xlfn.TOCOL(_xlfn.CHOOSECOLS(C618:L626,2,4,6,8,10),0,TRUE),_xlfn.TOCOL(_xlfn.CHOOSECOLS(C618:L626,1,3,5,7,9),0,TRUE)&lt;&gt;""),Lists!$AC$2:$AC$9,Lists!$AF$2:$AF$9,0)))*--(ROW()-ROW(C608)=_xlfn.XLOOKUP(MAX(IF(O609:O614&gt;0,E609:E614,-1)),IF(O609:O614&gt;0,E609:E614,-1),_xlfn.SEQUENCE(ROWS(O609:O614)),,0)))</f>
        <v/>
      </c>
      <c r="L609" s="68" t="str" cm="1">
        <f t="array" aca="1" ref="L609" ca="1">IF(OR(B609="",O609=""),"",--(SUM(_xlfn.XLOOKUP(_xlfn._xlws.FILTER(_xlfn.TOCOL(_xlfn.CHOOSECOLS(C597:L605,2,4,6,8,10),0,TRUE),_xlfn.TOCOL(_xlfn.CHOOSECOLS(C597:L605,1,3,5,7,9),0,TRUE)&lt;&gt;""),Lists!$AC$2:$AC$9,Lists!$AF$2:$AF$9,0))&gt;SUM(_xlfn.XLOOKUP(_xlfn._xlws.FILTER(_xlfn.TOCOL(_xlfn.CHOOSECOLS(C618:L626,2,4,6,8,10),0,TRUE),_xlfn.TOCOL(_xlfn.CHOOSECOLS(C618:L626,1,3,5,7,9),0,TRUE)&lt;&gt;""),Lists!$AC$2:$AC$9,Lists!$AF$2:$AF$9,0)))*--(COUNTIF(O609:O614,"&gt;0")&gt;1)*--(ROW()-ROW(C608)=_xlfn.XLOOKUP(TRUE,O609:O614&gt;0,_xlfn.SEQUENCE(ROWS(O609:O614)),,0,-1))*--(_xlfn.XLOOKUP(TRUE,O609:O614&gt;0,_xlfn.SEQUENCE(ROWS(O609:O614)),,0,-1)&lt;&gt;_xlfn.XLOOKUP(MAX(IF(O609:O614&gt;0,INT(C609:C614)*3+MOD(ROUND(C609:C614*10,0),10),-1)),IF(O609:O614&gt;0,INT(C609:C614)*3+MOD(ROUND(C609:C614*10,0),10),-1),_xlfn.SEQUENCE(ROWS(O609:O614)),,0))*--(SUM(_xlfn.XLOOKUP(_xlfn._xlws.FILTER(_xlfn.TOCOL(_xlfn.CHOOSECOLS(C597:L605,2,4,6,8,10),0,TRUE),_xlfn.TOCOL(_xlfn.CHOOSECOLS(C597:L605,1,3,5,7,9),0,TRUE)&lt;&gt;""),Lists!$AC$2:$AC$9,Lists!$AF$2:$AF$9,0))-SUM(_xlfn.XLOOKUP(_xlfn._xlws.FILTER(_xlfn.TOCOL(_xlfn.CHOOSECOLS(C618:L626,2,4,6,8,10),0,TRUE),_xlfn.TOCOL(_xlfn.CHOOSECOLS(C618:L626,1,3,5,7,9),0,TRUE)&lt;&gt;""),Lists!$AC$2:$AC$9,Lists!$AF$2:$AF$9,0))&lt;=3)*--((INT(C609)*3+MOD(ROUND(C609*10,0),10))&gt;=3))</f>
        <v/>
      </c>
      <c r="M609" s="68" t="str" cm="1">
        <f t="array" ref="M609">IF(OR(B609="",O609=""),"",--(COUNTIF(O609:O614,"&gt;0")=1)*--(SUM(_xlfn.XLOOKUP(_xlfn._xlws.FILTER(_xlfn.TOCOL(_xlfn.CHOOSECOLS(C618:L626,2,4,6,8,10),0,TRUE),_xlfn.TOCOL(_xlfn.CHOOSECOLS(C618:L626,1,3,5,7,9),0,TRUE)&lt;&gt;""),Lists!$AC$2:$AC$9,Lists!$AF$2:$AF$9,0))=0))</f>
        <v/>
      </c>
      <c r="N609" s="69" t="str">
        <f>IF(OR(B609="",O609=""),"",--(COUNTIF(O609:O614,"&gt;0")=1))</f>
        <v/>
      </c>
      <c r="O609" s="5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  <c r="CI609" s="18"/>
      <c r="CJ609" s="18"/>
      <c r="CK609" s="18"/>
      <c r="CL609" s="18"/>
      <c r="CM609" s="18"/>
      <c r="CN609" s="18"/>
      <c r="CO609" s="18"/>
      <c r="CP609" s="18"/>
      <c r="CQ609" s="18"/>
      <c r="CR609" s="18"/>
      <c r="CS609" s="18"/>
      <c r="CT609" s="18"/>
      <c r="CU609" s="18"/>
      <c r="CV609" s="18"/>
      <c r="CW609" s="18"/>
      <c r="CX609" s="18"/>
      <c r="CY609" s="18"/>
      <c r="CZ609" s="18"/>
      <c r="DA609" s="18"/>
      <c r="DB609" s="18"/>
      <c r="DC609" s="18"/>
      <c r="DD609" s="18"/>
      <c r="DE609" s="18"/>
      <c r="DF609" s="18"/>
    </row>
    <row r="610" spans="1:110">
      <c r="A610" s="168">
        <v>2</v>
      </c>
      <c r="B610" s="71"/>
      <c r="C610" s="70" t="str" cm="1">
        <f t="array" aca="1" ref="C610" ca="1">IF(OR(B610="",O610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10" s="67" t="str" cm="1">
        <f t="array" aca="1" ref="D610" ca="1">IF(OR(B610="",O610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10" s="67" t="str" cm="1">
        <f t="array" aca="1" ref="E610" ca="1">IF(OR(B610="",O610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610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10" s="67" t="str" cm="1">
        <f t="array" aca="1" ref="F610" ca="1">IF(OR(B610="",O610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610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10" s="67" t="str" cm="1">
        <f t="array" aca="1" ref="G610" ca="1">IF(OR(B610="",O610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10" s="67" t="str" cm="1">
        <f t="array" aca="1" ref="H610" ca="1">IF(OR(B610="",O610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10" s="68" t="str" cm="1">
        <f t="array" aca="1" ref="I610" ca="1">IF(OR(B610="",O610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10" s="68" t="str" cm="1">
        <f t="array" aca="1" ref="J610" ca="1">IF(OR(B610="",O610=""),"",--(SUM(_xlfn.XLOOKUP(_xlfn._xlws.FILTER(_xlfn.TOCOL(_xlfn.CHOOSECOLS(C597:L605,2,4,6,8,10),0,TRUE),_xlfn.TOCOL(_xlfn.CHOOSECOLS(C597:L605,1,3,5,7,9),0,TRUE)&lt;&gt;""),Lists!$AC$2:$AC$9,Lists!$AF$2:$AF$9,0))&gt;SUM(_xlfn.XLOOKUP(_xlfn._xlws.FILTER(_xlfn.TOCOL(_xlfn.CHOOSECOLS(C618:L626,2,4,6,8,10),0,TRUE),_xlfn.TOCOL(_xlfn.CHOOSECOLS(C618:L626,1,3,5,7,9),0,TRUE)&lt;&gt;""),Lists!$AC$2:$AC$9,Lists!$AF$2:$AF$9,0)))*--(ROW()-ROW(C608)=_xlfn.XLOOKUP(MAX(IF(O609:O614&gt;0,INT(C609:C614)*3+MOD(ROUND(C609:C614*10,0),10),-1)),IF(O609:O614&gt;0,INT(C609:C614)*3+MOD(ROUND(C609:C614*10,0),10),-1),_xlfn.SEQUENCE(ROWS(O609:O614)),,0)))</f>
        <v/>
      </c>
      <c r="K610" s="68" t="str" cm="1">
        <f t="array" aca="1" ref="K610" ca="1">IF(OR(B610="",O610=""),"",--(SUM(_xlfn.XLOOKUP(_xlfn._xlws.FILTER(_xlfn.TOCOL(_xlfn.CHOOSECOLS(C597:L605,2,4,6,8,10),0,TRUE),_xlfn.TOCOL(_xlfn.CHOOSECOLS(C597:L605,1,3,5,7,9),0,TRUE)&lt;&gt;""),Lists!$AC$2:$AC$9,Lists!$AF$2:$AF$9,0))&lt;SUM(_xlfn.XLOOKUP(_xlfn._xlws.FILTER(_xlfn.TOCOL(_xlfn.CHOOSECOLS(C618:L626,2,4,6,8,10),0,TRUE),_xlfn.TOCOL(_xlfn.CHOOSECOLS(C618:L626,1,3,5,7,9),0,TRUE)&lt;&gt;""),Lists!$AC$2:$AC$9,Lists!$AF$2:$AF$9,0)))*--(ROW()-ROW(C608)=_xlfn.XLOOKUP(MAX(IF(O609:O614&gt;0,E609:E614,-1)),IF(O609:O614&gt;0,E609:E614,-1),_xlfn.SEQUENCE(ROWS(O609:O614)),,0)))</f>
        <v/>
      </c>
      <c r="L610" s="68" t="str" cm="1">
        <f t="array" aca="1" ref="L610" ca="1">IF(OR(B610="",O610=""),"",--(SUM(_xlfn.XLOOKUP(_xlfn._xlws.FILTER(_xlfn.TOCOL(_xlfn.CHOOSECOLS(C597:L605,2,4,6,8,10),0,TRUE),_xlfn.TOCOL(_xlfn.CHOOSECOLS(C597:L605,1,3,5,7,9),0,TRUE)&lt;&gt;""),Lists!$AC$2:$AC$9,Lists!$AF$2:$AF$9,0))&gt;SUM(_xlfn.XLOOKUP(_xlfn._xlws.FILTER(_xlfn.TOCOL(_xlfn.CHOOSECOLS(C618:L626,2,4,6,8,10),0,TRUE),_xlfn.TOCOL(_xlfn.CHOOSECOLS(C618:L626,1,3,5,7,9),0,TRUE)&lt;&gt;""),Lists!$AC$2:$AC$9,Lists!$AF$2:$AF$9,0)))*--(COUNTIF(O609:O614,"&gt;0")&gt;1)*--(ROW()-ROW(C608)=_xlfn.XLOOKUP(TRUE,O609:O614&gt;0,_xlfn.SEQUENCE(ROWS(O609:O614)),,0,-1))*--(_xlfn.XLOOKUP(TRUE,O609:O614&gt;0,_xlfn.SEQUENCE(ROWS(O609:O614)),,0,-1)&lt;&gt;_xlfn.XLOOKUP(MAX(IF(O609:O614&gt;0,INT(C609:C614)*3+MOD(ROUND(C609:C614*10,0),10),-1)),IF(O609:O614&gt;0,INT(C609:C614)*3+MOD(ROUND(C609:C614*10,0),10),-1),_xlfn.SEQUENCE(ROWS(O609:O614)),,0))*--(SUM(_xlfn.XLOOKUP(_xlfn._xlws.FILTER(_xlfn.TOCOL(_xlfn.CHOOSECOLS(C597:L605,2,4,6,8,10),0,TRUE),_xlfn.TOCOL(_xlfn.CHOOSECOLS(C597:L605,1,3,5,7,9),0,TRUE)&lt;&gt;""),Lists!$AC$2:$AC$9,Lists!$AF$2:$AF$9,0))-SUM(_xlfn.XLOOKUP(_xlfn._xlws.FILTER(_xlfn.TOCOL(_xlfn.CHOOSECOLS(C618:L626,2,4,6,8,10),0,TRUE),_xlfn.TOCOL(_xlfn.CHOOSECOLS(C618:L626,1,3,5,7,9),0,TRUE)&lt;&gt;""),Lists!$AC$2:$AC$9,Lists!$AF$2:$AF$9,0))&lt;=3)*--((INT(C610)*3+MOD(ROUND(C610*10,0),10))&gt;=3))</f>
        <v/>
      </c>
      <c r="M610" s="68" t="str" cm="1">
        <f t="array" ref="M610">IF(OR(B610="",O610=""),"",--(COUNTIF(O609:O614,"&gt;0")=1)*--(SUM(_xlfn.XLOOKUP(_xlfn._xlws.FILTER(_xlfn.TOCOL(_xlfn.CHOOSECOLS(C618:L626,2,4,6,8,10),0,TRUE),_xlfn.TOCOL(_xlfn.CHOOSECOLS(C618:L626,1,3,5,7,9),0,TRUE)&lt;&gt;""),Lists!$AC$2:$AC$9,Lists!$AF$2:$AF$9,0))=0))</f>
        <v/>
      </c>
      <c r="N610" s="69" t="str">
        <f>IF(OR(B610="",O610=""),"",--(COUNTIF(O609:O614,"&gt;0")=1))</f>
        <v/>
      </c>
      <c r="O610" s="5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  <c r="CL610" s="18"/>
      <c r="CM610" s="18"/>
      <c r="CN610" s="18"/>
      <c r="CO610" s="18"/>
      <c r="CP610" s="18"/>
      <c r="CQ610" s="18"/>
      <c r="CR610" s="18"/>
      <c r="CS610" s="18"/>
      <c r="CT610" s="18"/>
      <c r="CU610" s="18"/>
      <c r="CV610" s="18"/>
      <c r="CW610" s="18"/>
      <c r="CX610" s="18"/>
      <c r="CY610" s="18"/>
      <c r="CZ610" s="18"/>
      <c r="DA610" s="18"/>
      <c r="DB610" s="18"/>
      <c r="DC610" s="18"/>
      <c r="DD610" s="18"/>
      <c r="DE610" s="18"/>
      <c r="DF610" s="18"/>
    </row>
    <row r="611" spans="1:110">
      <c r="A611" s="168">
        <v>3</v>
      </c>
      <c r="B611" s="71"/>
      <c r="C611" s="70" t="str" cm="1">
        <f t="array" aca="1" ref="C611" ca="1">IF(OR(B611="",O611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11" s="67" t="str" cm="1">
        <f t="array" aca="1" ref="D611" ca="1">IF(OR(B611="",O611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11" s="67" t="str" cm="1">
        <f t="array" aca="1" ref="E611" ca="1">IF(OR(B611="",O611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11" s="67" t="str" cm="1">
        <f t="array" aca="1" ref="F611" ca="1">IF(OR(B611="",O611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11" s="67" t="str" cm="1">
        <f t="array" aca="1" ref="G611" ca="1">IF(OR(B611="",O611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11" s="67" t="str" cm="1">
        <f t="array" aca="1" ref="H611" ca="1">IF(OR(B611="",O611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11" s="68" t="str" cm="1">
        <f t="array" aca="1" ref="I611" ca="1">IF(OR(B611="",O611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11" s="68" t="str" cm="1">
        <f t="array" aca="1" ref="J611" ca="1">IF(OR(B611="",O611=""),"",--(SUM(_xlfn.XLOOKUP(_xlfn._xlws.FILTER(_xlfn.TOCOL(_xlfn.CHOOSECOLS(C597:L605,2,4,6,8,10),0,TRUE),_xlfn.TOCOL(_xlfn.CHOOSECOLS(C597:L605,1,3,5,7,9),0,TRUE)&lt;&gt;""),Lists!$AC$2:$AC$9,Lists!$AF$2:$AF$9,0))&gt;SUM(_xlfn.XLOOKUP(_xlfn._xlws.FILTER(_xlfn.TOCOL(_xlfn.CHOOSECOLS(C618:L626,2,4,6,8,10),0,TRUE),_xlfn.TOCOL(_xlfn.CHOOSECOLS(C618:L626,1,3,5,7,9),0,TRUE)&lt;&gt;""),Lists!$AC$2:$AC$9,Lists!$AF$2:$AF$9,0)))*--(ROW()-ROW(C608)=_xlfn.XLOOKUP(MAX(IF(O609:O614&gt;0,INT(C609:C614)*3+MOD(ROUND(C609:C614*10,0),10),-1)),IF(O609:O614&gt;0,INT(C609:C614)*3+MOD(ROUND(C609:C614*10,0),10),-1),_xlfn.SEQUENCE(ROWS(O609:O614)),,0)))</f>
        <v/>
      </c>
      <c r="K611" s="68" t="str" cm="1">
        <f t="array" aca="1" ref="K611" ca="1">IF(OR(B611="",O611=""),"",--(SUM(_xlfn.XLOOKUP(_xlfn._xlws.FILTER(_xlfn.TOCOL(_xlfn.CHOOSECOLS(C597:L605,2,4,6,8,10),0,TRUE),_xlfn.TOCOL(_xlfn.CHOOSECOLS(C597:L605,1,3,5,7,9),0,TRUE)&lt;&gt;""),Lists!$AC$2:$AC$9,Lists!$AF$2:$AF$9,0))&lt;SUM(_xlfn.XLOOKUP(_xlfn._xlws.FILTER(_xlfn.TOCOL(_xlfn.CHOOSECOLS(C618:L626,2,4,6,8,10),0,TRUE),_xlfn.TOCOL(_xlfn.CHOOSECOLS(C618:L626,1,3,5,7,9),0,TRUE)&lt;&gt;""),Lists!$AC$2:$AC$9,Lists!$AF$2:$AF$9,0)))*--(ROW()-ROW(C608)=_xlfn.XLOOKUP(MAX(IF(O609:O614&gt;0,E609:E614,-1)),IF(O609:O614&gt;0,E609:E614,-1),_xlfn.SEQUENCE(ROWS(O609:O614)),,0)))</f>
        <v/>
      </c>
      <c r="L611" s="68" t="str" cm="1">
        <f t="array" aca="1" ref="L611" ca="1">IF(OR(B611="",O611=""),"",--(SUM(_xlfn.XLOOKUP(_xlfn._xlws.FILTER(_xlfn.TOCOL(_xlfn.CHOOSECOLS(C597:L605,2,4,6,8,10),0,TRUE),_xlfn.TOCOL(_xlfn.CHOOSECOLS(C597:L605,1,3,5,7,9),0,TRUE)&lt;&gt;""),Lists!$AC$2:$AC$9,Lists!$AF$2:$AF$9,0))&gt;SUM(_xlfn.XLOOKUP(_xlfn._xlws.FILTER(_xlfn.TOCOL(_xlfn.CHOOSECOLS(C618:L626,2,4,6,8,10),0,TRUE),_xlfn.TOCOL(_xlfn.CHOOSECOLS(C618:L626,1,3,5,7,9),0,TRUE)&lt;&gt;""),Lists!$AC$2:$AC$9,Lists!$AF$2:$AF$9,0)))*--(COUNTIF(O609:O614,"&gt;0")&gt;1)*--(ROW()-ROW(C608)=_xlfn.XLOOKUP(TRUE,O609:O614&gt;0,_xlfn.SEQUENCE(ROWS(O609:O614)),,0,-1))*--(_xlfn.XLOOKUP(TRUE,O609:O614&gt;0,_xlfn.SEQUENCE(ROWS(O609:O614)),,0,-1)&lt;&gt;_xlfn.XLOOKUP(MAX(IF(O609:O614&gt;0,INT(C609:C614)*3+MOD(ROUND(C609:C614*10,0),10),-1)),IF(O609:O614&gt;0,INT(C609:C614)*3+MOD(ROUND(C609:C614*10,0),10),-1),_xlfn.SEQUENCE(ROWS(O609:O614)),,0))*--(SUM(_xlfn.XLOOKUP(_xlfn._xlws.FILTER(_xlfn.TOCOL(_xlfn.CHOOSECOLS(C597:L605,2,4,6,8,10),0,TRUE),_xlfn.TOCOL(_xlfn.CHOOSECOLS(C597:L605,1,3,5,7,9),0,TRUE)&lt;&gt;""),Lists!$AC$2:$AC$9,Lists!$AF$2:$AF$9,0))-SUM(_xlfn.XLOOKUP(_xlfn._xlws.FILTER(_xlfn.TOCOL(_xlfn.CHOOSECOLS(C618:L626,2,4,6,8,10),0,TRUE),_xlfn.TOCOL(_xlfn.CHOOSECOLS(C618:L626,1,3,5,7,9),0,TRUE)&lt;&gt;""),Lists!$AC$2:$AC$9,Lists!$AF$2:$AF$9,0))&lt;=3)*--((INT(C611)*3+MOD(ROUND(C611*10,0),10))&gt;=3))</f>
        <v/>
      </c>
      <c r="M611" s="68" t="str" cm="1">
        <f t="array" ref="M611">IF(OR(B611="",O611=""),"",--(COUNTIF(O609:O614,"&gt;0")=1)*--(SUM(_xlfn.XLOOKUP(_xlfn._xlws.FILTER(_xlfn.TOCOL(_xlfn.CHOOSECOLS(C618:L626,2,4,6,8,10),0,TRUE),_xlfn.TOCOL(_xlfn.CHOOSECOLS(C618:L626,1,3,5,7,9),0,TRUE)&lt;&gt;""),Lists!$AC$2:$AC$9,Lists!$AF$2:$AF$9,0))=0))</f>
        <v/>
      </c>
      <c r="N611" s="69" t="str">
        <f>IF(OR(B611="",O611=""),"",--(COUNTIF(O609:O614,"&gt;0")=1))</f>
        <v/>
      </c>
      <c r="O611" s="5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  <c r="CI611" s="18"/>
      <c r="CJ611" s="18"/>
      <c r="CK611" s="18"/>
      <c r="CL611" s="18"/>
      <c r="CM611" s="18"/>
      <c r="CN611" s="18"/>
      <c r="CO611" s="18"/>
      <c r="CP611" s="18"/>
      <c r="CQ611" s="18"/>
      <c r="CR611" s="18"/>
      <c r="CS611" s="18"/>
      <c r="CT611" s="18"/>
      <c r="CU611" s="18"/>
      <c r="CV611" s="18"/>
      <c r="CW611" s="18"/>
      <c r="CX611" s="18"/>
      <c r="CY611" s="18"/>
      <c r="CZ611" s="18"/>
      <c r="DA611" s="18"/>
      <c r="DB611" s="18"/>
      <c r="DC611" s="18"/>
      <c r="DD611" s="18"/>
      <c r="DE611" s="18"/>
      <c r="DF611" s="18"/>
    </row>
    <row r="612" spans="1:110">
      <c r="A612" s="168">
        <v>4</v>
      </c>
      <c r="B612" s="71"/>
      <c r="C612" s="70" t="str" cm="1">
        <f t="array" aca="1" ref="C612" ca="1">IF(OR(B612="",O612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12" s="67" t="str" cm="1">
        <f t="array" aca="1" ref="D612" ca="1">IF(OR(B612="",O612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12" s="67" t="str" cm="1">
        <f t="array" aca="1" ref="E612" ca="1">IF(OR(B612="",O612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12" s="67" t="str" cm="1">
        <f t="array" aca="1" ref="F612" ca="1">IF(OR(B612="",O612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12" s="67" t="str" cm="1">
        <f t="array" aca="1" ref="G612" ca="1">IF(OR(B612="",O612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12" s="67" t="str" cm="1">
        <f t="array" aca="1" ref="H612" ca="1">IF(OR(B612="",O612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12" s="68" t="str" cm="1">
        <f t="array" aca="1" ref="I612" ca="1">IF(OR(B612="",O612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12" s="68" t="str" cm="1">
        <f t="array" aca="1" ref="J612" ca="1">IF(OR(B612="",O612=""),"",--(SUM(_xlfn.XLOOKUP(_xlfn._xlws.FILTER(_xlfn.TOCOL(_xlfn.CHOOSECOLS(C597:L605,2,4,6,8,10),0,TRUE),_xlfn.TOCOL(_xlfn.CHOOSECOLS(C597:L605,1,3,5,7,9),0,TRUE)&lt;&gt;""),Lists!$AC$2:$AC$9,Lists!$AF$2:$AF$9,0))&gt;SUM(_xlfn.XLOOKUP(_xlfn._xlws.FILTER(_xlfn.TOCOL(_xlfn.CHOOSECOLS(C618:L626,2,4,6,8,10),0,TRUE),_xlfn.TOCOL(_xlfn.CHOOSECOLS(C618:L626,1,3,5,7,9),0,TRUE)&lt;&gt;""),Lists!$AC$2:$AC$9,Lists!$AF$2:$AF$9,0)))*--(ROW()-ROW(C608)=_xlfn.XLOOKUP(MAX(IF(O609:O614&gt;0,INT(C609:C614)*3+MOD(ROUND(C609:C614*10,0),10),-1)),IF(O609:O614&gt;0,INT(C609:C614)*3+MOD(ROUND(C609:C614*10,0),10),-1),_xlfn.SEQUENCE(ROWS(O609:O614)),,0)))</f>
        <v/>
      </c>
      <c r="K612" s="68" t="str" cm="1">
        <f t="array" aca="1" ref="K612" ca="1">IF(OR(B612="",O612=""),"",--(SUM(_xlfn.XLOOKUP(_xlfn._xlws.FILTER(_xlfn.TOCOL(_xlfn.CHOOSECOLS(C597:L605,2,4,6,8,10),0,TRUE),_xlfn.TOCOL(_xlfn.CHOOSECOLS(C597:L605,1,3,5,7,9),0,TRUE)&lt;&gt;""),Lists!$AC$2:$AC$9,Lists!$AF$2:$AF$9,0))&lt;SUM(_xlfn.XLOOKUP(_xlfn._xlws.FILTER(_xlfn.TOCOL(_xlfn.CHOOSECOLS(C618:L626,2,4,6,8,10),0,TRUE),_xlfn.TOCOL(_xlfn.CHOOSECOLS(C618:L626,1,3,5,7,9),0,TRUE)&lt;&gt;""),Lists!$AC$2:$AC$9,Lists!$AF$2:$AF$9,0)))*--(ROW()-ROW(C608)=_xlfn.XLOOKUP(MAX(IF(O609:O614&gt;0,E609:E614,-1)),IF(O609:O614&gt;0,E609:E614,-1),_xlfn.SEQUENCE(ROWS(O609:O614)),,0)))</f>
        <v/>
      </c>
      <c r="L612" s="68" t="str" cm="1">
        <f t="array" aca="1" ref="L612" ca="1">IF(OR(B612="",O612=""),"",--(SUM(_xlfn.XLOOKUP(_xlfn._xlws.FILTER(_xlfn.TOCOL(_xlfn.CHOOSECOLS(C597:L605,2,4,6,8,10),0,TRUE),_xlfn.TOCOL(_xlfn.CHOOSECOLS(C597:L605,1,3,5,7,9),0,TRUE)&lt;&gt;""),Lists!$AC$2:$AC$9,Lists!$AF$2:$AF$9,0))&gt;SUM(_xlfn.XLOOKUP(_xlfn._xlws.FILTER(_xlfn.TOCOL(_xlfn.CHOOSECOLS(C618:L626,2,4,6,8,10),0,TRUE),_xlfn.TOCOL(_xlfn.CHOOSECOLS(C618:L626,1,3,5,7,9),0,TRUE)&lt;&gt;""),Lists!$AC$2:$AC$9,Lists!$AF$2:$AF$9,0)))*--(COUNTIF(O609:O614,"&gt;0")&gt;1)*--(ROW()-ROW(C608)=_xlfn.XLOOKUP(TRUE,O609:O614&gt;0,_xlfn.SEQUENCE(ROWS(O609:O614)),,0,-1))*--(_xlfn.XLOOKUP(TRUE,O609:O614&gt;0,_xlfn.SEQUENCE(ROWS(O609:O614)),,0,-1)&lt;&gt;_xlfn.XLOOKUP(MAX(IF(O609:O614&gt;0,INT(C609:C614)*3+MOD(ROUND(C609:C614*10,0),10),-1)),IF(O609:O614&gt;0,INT(C609:C614)*3+MOD(ROUND(C609:C614*10,0),10),-1),_xlfn.SEQUENCE(ROWS(O609:O614)),,0))*--(SUM(_xlfn.XLOOKUP(_xlfn._xlws.FILTER(_xlfn.TOCOL(_xlfn.CHOOSECOLS(C597:L605,2,4,6,8,10),0,TRUE),_xlfn.TOCOL(_xlfn.CHOOSECOLS(C597:L605,1,3,5,7,9),0,TRUE)&lt;&gt;""),Lists!$AC$2:$AC$9,Lists!$AF$2:$AF$9,0))-SUM(_xlfn.XLOOKUP(_xlfn._xlws.FILTER(_xlfn.TOCOL(_xlfn.CHOOSECOLS(C618:L626,2,4,6,8,10),0,TRUE),_xlfn.TOCOL(_xlfn.CHOOSECOLS(C618:L626,1,3,5,7,9),0,TRUE)&lt;&gt;""),Lists!$AC$2:$AC$9,Lists!$AF$2:$AF$9,0))&lt;=3)*--((INT(C612)*3+MOD(ROUND(C612*10,0),10))&gt;=3))</f>
        <v/>
      </c>
      <c r="M612" s="68" t="str" cm="1">
        <f t="array" ref="M612">IF(OR(B612="",O612=""),"",--(COUNTIF(O609:O614,"&gt;0")=1)*--(SUM(_xlfn.XLOOKUP(_xlfn._xlws.FILTER(_xlfn.TOCOL(_xlfn.CHOOSECOLS(C618:L626,2,4,6,8,10),0,TRUE),_xlfn.TOCOL(_xlfn.CHOOSECOLS(C618:L626,1,3,5,7,9),0,TRUE)&lt;&gt;""),Lists!$AC$2:$AC$9,Lists!$AF$2:$AF$9,0))=0))</f>
        <v/>
      </c>
      <c r="N612" s="69" t="str">
        <f>IF(OR(B612="",O612=""),"",--(COUNTIF(O609:O614,"&gt;0")=1))</f>
        <v/>
      </c>
      <c r="O612" s="5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8"/>
      <c r="CG612" s="18"/>
      <c r="CH612" s="18"/>
      <c r="CI612" s="18"/>
      <c r="CJ612" s="18"/>
      <c r="CK612" s="18"/>
      <c r="CL612" s="18"/>
      <c r="CM612" s="18"/>
      <c r="CN612" s="18"/>
      <c r="CO612" s="18"/>
      <c r="CP612" s="18"/>
      <c r="CQ612" s="18"/>
      <c r="CR612" s="18"/>
      <c r="CS612" s="18"/>
      <c r="CT612" s="18"/>
      <c r="CU612" s="18"/>
      <c r="CV612" s="18"/>
      <c r="CW612" s="18"/>
      <c r="CX612" s="18"/>
      <c r="CY612" s="18"/>
      <c r="CZ612" s="18"/>
      <c r="DA612" s="18"/>
      <c r="DB612" s="18"/>
      <c r="DC612" s="18"/>
      <c r="DD612" s="18"/>
      <c r="DE612" s="18"/>
      <c r="DF612" s="18"/>
    </row>
    <row r="613" spans="1:110">
      <c r="A613" s="168">
        <v>5</v>
      </c>
      <c r="B613" s="71"/>
      <c r="C613" s="70" t="str" cm="1">
        <f t="array" aca="1" ref="C613" ca="1">IF(OR(B613="",O613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13" s="67" t="str" cm="1">
        <f t="array" aca="1" ref="D613" ca="1">IF(OR(B613="",O613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13" s="67" t="str" cm="1">
        <f t="array" aca="1" ref="E613" ca="1">IF(OR(B613="",O613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13" s="67" t="str" cm="1">
        <f t="array" aca="1" ref="F613" ca="1">IF(OR(B613="",O613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13" s="67" t="str" cm="1">
        <f t="array" aca="1" ref="G613" ca="1">IF(OR(B613="",O613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13" s="67" t="str" cm="1">
        <f t="array" aca="1" ref="H613" ca="1">IF(OR(B613="",O613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13" s="68" t="str" cm="1">
        <f t="array" aca="1" ref="I613" ca="1">IF(OR(B613="",O613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13" s="68" t="str" cm="1">
        <f t="array" aca="1" ref="J613" ca="1">IF(OR(B613="",O613=""),"",--(SUM(_xlfn.XLOOKUP(_xlfn._xlws.FILTER(_xlfn.TOCOL(_xlfn.CHOOSECOLS(C597:L605,2,4,6,8,10),0,TRUE),_xlfn.TOCOL(_xlfn.CHOOSECOLS(C597:L605,1,3,5,7,9),0,TRUE)&lt;&gt;""),Lists!$AC$2:$AC$9,Lists!$AF$2:$AF$9,0))&gt;SUM(_xlfn.XLOOKUP(_xlfn._xlws.FILTER(_xlfn.TOCOL(_xlfn.CHOOSECOLS(C618:L626,2,4,6,8,10),0,TRUE),_xlfn.TOCOL(_xlfn.CHOOSECOLS(C618:L626,1,3,5,7,9),0,TRUE)&lt;&gt;""),Lists!$AC$2:$AC$9,Lists!$AF$2:$AF$9,0)))*--(ROW()-ROW(C608)=_xlfn.XLOOKUP(MAX(IF(O609:O614&gt;0,INT(C609:C614)*3+MOD(ROUND(C609:C614*10,0),10),-1)),IF(O609:O614&gt;0,INT(C609:C614)*3+MOD(ROUND(C609:C614*10,0),10),-1),_xlfn.SEQUENCE(ROWS(O609:O614)),,0)))</f>
        <v/>
      </c>
      <c r="K613" s="68" t="str" cm="1">
        <f t="array" aca="1" ref="K613" ca="1">IF(OR(B613="",O613=""),"",--(SUM(_xlfn.XLOOKUP(_xlfn._xlws.FILTER(_xlfn.TOCOL(_xlfn.CHOOSECOLS(C597:L605,2,4,6,8,10),0,TRUE),_xlfn.TOCOL(_xlfn.CHOOSECOLS(C597:L605,1,3,5,7,9),0,TRUE)&lt;&gt;""),Lists!$AC$2:$AC$9,Lists!$AF$2:$AF$9,0))&lt;SUM(_xlfn.XLOOKUP(_xlfn._xlws.FILTER(_xlfn.TOCOL(_xlfn.CHOOSECOLS(C618:L626,2,4,6,8,10),0,TRUE),_xlfn.TOCOL(_xlfn.CHOOSECOLS(C618:L626,1,3,5,7,9),0,TRUE)&lt;&gt;""),Lists!$AC$2:$AC$9,Lists!$AF$2:$AF$9,0)))*--(ROW()-ROW(C608)=_xlfn.XLOOKUP(MAX(IF(O609:O614&gt;0,E609:E614,-1)),IF(O609:O614&gt;0,E609:E614,-1),_xlfn.SEQUENCE(ROWS(O609:O614)),,0)))</f>
        <v/>
      </c>
      <c r="L613" s="68" t="str" cm="1">
        <f t="array" aca="1" ref="L613" ca="1">IF(OR(B613="",O613=""),"",--(SUM(_xlfn.XLOOKUP(_xlfn._xlws.FILTER(_xlfn.TOCOL(_xlfn.CHOOSECOLS(C597:L605,2,4,6,8,10),0,TRUE),_xlfn.TOCOL(_xlfn.CHOOSECOLS(C597:L605,1,3,5,7,9),0,TRUE)&lt;&gt;""),Lists!$AC$2:$AC$9,Lists!$AF$2:$AF$9,0))&gt;SUM(_xlfn.XLOOKUP(_xlfn._xlws.FILTER(_xlfn.TOCOL(_xlfn.CHOOSECOLS(C618:L626,2,4,6,8,10),0,TRUE),_xlfn.TOCOL(_xlfn.CHOOSECOLS(C618:L626,1,3,5,7,9),0,TRUE)&lt;&gt;""),Lists!$AC$2:$AC$9,Lists!$AF$2:$AF$9,0)))*--(COUNTIF(O609:O614,"&gt;0")&gt;1)*--(ROW()-ROW(C608)=_xlfn.XLOOKUP(TRUE,O609:O614&gt;0,_xlfn.SEQUENCE(ROWS(O609:O614)),,0,-1))*--(_xlfn.XLOOKUP(TRUE,O609:O614&gt;0,_xlfn.SEQUENCE(ROWS(O609:O614)),,0,-1)&lt;&gt;_xlfn.XLOOKUP(MAX(IF(O609:O614&gt;0,INT(C609:C614)*3+MOD(ROUND(C609:C614*10,0),10),-1)),IF(O609:O614&gt;0,INT(C609:C614)*3+MOD(ROUND(C609:C614*10,0),10),-1),_xlfn.SEQUENCE(ROWS(O609:O614)),,0))*--(SUM(_xlfn.XLOOKUP(_xlfn._xlws.FILTER(_xlfn.TOCOL(_xlfn.CHOOSECOLS(C597:L605,2,4,6,8,10),0,TRUE),_xlfn.TOCOL(_xlfn.CHOOSECOLS(C597:L605,1,3,5,7,9),0,TRUE)&lt;&gt;""),Lists!$AC$2:$AC$9,Lists!$AF$2:$AF$9,0))-SUM(_xlfn.XLOOKUP(_xlfn._xlws.FILTER(_xlfn.TOCOL(_xlfn.CHOOSECOLS(C618:L626,2,4,6,8,10),0,TRUE),_xlfn.TOCOL(_xlfn.CHOOSECOLS(C618:L626,1,3,5,7,9),0,TRUE)&lt;&gt;""),Lists!$AC$2:$AC$9,Lists!$AF$2:$AF$9,0))&lt;=3)*--((INT(C613)*3+MOD(ROUND(C613*10,0),10))&gt;=3))</f>
        <v/>
      </c>
      <c r="M613" s="68" t="str" cm="1">
        <f t="array" ref="M613">IF(OR(B613="",O613=""),"",--(COUNTIF(O609:O614,"&gt;0")=1)*--(SUM(_xlfn.XLOOKUP(_xlfn._xlws.FILTER(_xlfn.TOCOL(_xlfn.CHOOSECOLS(C618:L626,2,4,6,8,10),0,TRUE),_xlfn.TOCOL(_xlfn.CHOOSECOLS(C618:L626,1,3,5,7,9),0,TRUE)&lt;&gt;""),Lists!$AC$2:$AC$9,Lists!$AF$2:$AF$9,0))=0))</f>
        <v/>
      </c>
      <c r="N613" s="69" t="str">
        <f>IF(OR(B613="",O613=""),"",--(COUNTIF(O609:O614,"&gt;0")=1))</f>
        <v/>
      </c>
      <c r="O613" s="5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  <c r="CF613" s="18"/>
      <c r="CG613" s="18"/>
      <c r="CH613" s="18"/>
      <c r="CI613" s="18"/>
      <c r="CJ613" s="18"/>
      <c r="CK613" s="18"/>
      <c r="CL613" s="18"/>
      <c r="CM613" s="18"/>
      <c r="CN613" s="18"/>
      <c r="CO613" s="18"/>
      <c r="CP613" s="18"/>
      <c r="CQ613" s="18"/>
      <c r="CR613" s="18"/>
      <c r="CS613" s="18"/>
      <c r="CT613" s="18"/>
      <c r="CU613" s="18"/>
      <c r="CV613" s="18"/>
      <c r="CW613" s="18"/>
      <c r="CX613" s="18"/>
      <c r="CY613" s="18"/>
      <c r="CZ613" s="18"/>
      <c r="DA613" s="18"/>
      <c r="DB613" s="18"/>
      <c r="DC613" s="18"/>
      <c r="DD613" s="18"/>
      <c r="DE613" s="18"/>
      <c r="DF613" s="18"/>
    </row>
    <row r="614" spans="1:110">
      <c r="A614" s="168">
        <v>6</v>
      </c>
      <c r="B614" s="71"/>
      <c r="C614" s="70" t="str" cm="1">
        <f t="array" aca="1" ref="C614" ca="1">IF(OR(B614="",O614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14" s="67" t="str" cm="1">
        <f t="array" aca="1" ref="D614" ca="1">IF(OR(B614="",O614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14" s="67" t="str" cm="1">
        <f t="array" aca="1" ref="E614" ca="1">IF(OR(B614="",O614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614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14" s="67" t="str" cm="1">
        <f t="array" aca="1" ref="F614" ca="1">IF(OR(B614="",O614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614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14" s="67" t="str" cm="1">
        <f t="array" aca="1" ref="G614" ca="1">IF(OR(B614="",O614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14" s="67" t="str" cm="1">
        <f t="array" aca="1" ref="H614" ca="1">IF(OR(B614="",O614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14" s="68" t="str" cm="1">
        <f t="array" aca="1" ref="I614" ca="1">IF(OR(B614="",O614=""),"",_xlfn.LET(_xlpm.flatPAraw,_xlfn.TOCOL(_xlfn.CHOOSECOLS(C618:L626,1,3,5,7,9),0,TRUE),_xlpm.flatPARraw,_xlfn.TOCOL(_xlfn.CHOOSECOLS(C618:L626,2,4,6,8,10),0,TRUE),_xlpm.flatPA,_xlfn._xlws.FILTER(_xlpm.flatPAraw,_xlpm.flatPAraw&lt;&gt;""),_xlpm.flatPAR,_xlfn._xlws.FILTER(_xlpm.flatPARraw,_xlpm.flatPAraw&lt;&gt;""),_xlpm.prev,IF(ROW()=ROW(C609),0,SUM(INDEX(O:O,ROW(C609)):INDEX(O:O,ROW()-1))),_xlpm.need,O614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14" s="68" t="str" cm="1">
        <f t="array" aca="1" ref="J614" ca="1">IF(OR(B614="",O614=""),"",--(SUM(_xlfn.XLOOKUP(_xlfn._xlws.FILTER(_xlfn.TOCOL(_xlfn.CHOOSECOLS(C597:L605,2,4,6,8,10),0,TRUE),_xlfn.TOCOL(_xlfn.CHOOSECOLS(C597:L605,1,3,5,7,9),0,TRUE)&lt;&gt;""),Lists!$AC$2:$AC$9,Lists!$AF$2:$AF$9,0))&gt;SUM(_xlfn.XLOOKUP(_xlfn._xlws.FILTER(_xlfn.TOCOL(_xlfn.CHOOSECOLS(C618:L626,2,4,6,8,10),0,TRUE),_xlfn.TOCOL(_xlfn.CHOOSECOLS(C618:L626,1,3,5,7,9),0,TRUE)&lt;&gt;""),Lists!$AC$2:$AC$9,Lists!$AF$2:$AF$9,0)))*--(ROW()-ROW(C608)=_xlfn.XLOOKUP(MAX(IF(O609:O614&gt;0,INT(C609:C614)*3+MOD(ROUND(C609:C614*10,0),10),-1)),IF(O609:O614&gt;0,INT(C609:C614)*3+MOD(ROUND(C609:C614*10,0),10),-1),_xlfn.SEQUENCE(ROWS(O609:O614)),,0)))</f>
        <v/>
      </c>
      <c r="K614" s="68" t="str" cm="1">
        <f t="array" aca="1" ref="K614" ca="1">IF(OR(B614="",O614=""),"",--(SUM(_xlfn.XLOOKUP(_xlfn._xlws.FILTER(_xlfn.TOCOL(_xlfn.CHOOSECOLS(C597:L605,2,4,6,8,10),0,TRUE),_xlfn.TOCOL(_xlfn.CHOOSECOLS(C597:L605,1,3,5,7,9),0,TRUE)&lt;&gt;""),Lists!$AC$2:$AC$9,Lists!$AF$2:$AF$9,0))&lt;SUM(_xlfn.XLOOKUP(_xlfn._xlws.FILTER(_xlfn.TOCOL(_xlfn.CHOOSECOLS(C618:L626,2,4,6,8,10),0,TRUE),_xlfn.TOCOL(_xlfn.CHOOSECOLS(C618:L626,1,3,5,7,9),0,TRUE)&lt;&gt;""),Lists!$AC$2:$AC$9,Lists!$AF$2:$AF$9,0)))*--(ROW()-ROW(C608)=_xlfn.XLOOKUP(MAX(IF(O609:O614&gt;0,E609:E614,-1)),IF(O609:O614&gt;0,E609:E614,-1),_xlfn.SEQUENCE(ROWS(O609:O614)),,0)))</f>
        <v/>
      </c>
      <c r="L614" s="68" t="str" cm="1">
        <f t="array" aca="1" ref="L614" ca="1">IF(OR(B614="",O614=""),"",--(SUM(_xlfn.XLOOKUP(_xlfn._xlws.FILTER(_xlfn.TOCOL(_xlfn.CHOOSECOLS(C597:L605,2,4,6,8,10),0,TRUE),_xlfn.TOCOL(_xlfn.CHOOSECOLS(C597:L605,1,3,5,7,9),0,TRUE)&lt;&gt;""),Lists!$AC$2:$AC$9,Lists!$AF$2:$AF$9,0))&gt;SUM(_xlfn.XLOOKUP(_xlfn._xlws.FILTER(_xlfn.TOCOL(_xlfn.CHOOSECOLS(C618:L626,2,4,6,8,10),0,TRUE),_xlfn.TOCOL(_xlfn.CHOOSECOLS(C618:L626,1,3,5,7,9),0,TRUE)&lt;&gt;""),Lists!$AC$2:$AC$9,Lists!$AF$2:$AF$9,0)))*--(COUNTIF(O609:O614,"&gt;0")&gt;1)*--(ROW()-ROW(C608)=_xlfn.XLOOKUP(TRUE,O609:O614&gt;0,_xlfn.SEQUENCE(ROWS(O609:O614)),,0,-1))*--(_xlfn.XLOOKUP(TRUE,O609:O614&gt;0,_xlfn.SEQUENCE(ROWS(O609:O614)),,0,-1)&lt;&gt;_xlfn.XLOOKUP(MAX(IF(O609:O614&gt;0,INT(C609:C614)*3+MOD(ROUND(C609:C614*10,0),10),-1)),IF(O609:O614&gt;0,INT(C609:C614)*3+MOD(ROUND(C609:C614*10,0),10),-1),_xlfn.SEQUENCE(ROWS(O609:O614)),,0))*--(SUM(_xlfn.XLOOKUP(_xlfn._xlws.FILTER(_xlfn.TOCOL(_xlfn.CHOOSECOLS(C597:L605,2,4,6,8,10),0,TRUE),_xlfn.TOCOL(_xlfn.CHOOSECOLS(C597:L605,1,3,5,7,9),0,TRUE)&lt;&gt;""),Lists!$AC$2:$AC$9,Lists!$AF$2:$AF$9,0))-SUM(_xlfn.XLOOKUP(_xlfn._xlws.FILTER(_xlfn.TOCOL(_xlfn.CHOOSECOLS(C618:L626,2,4,6,8,10),0,TRUE),_xlfn.TOCOL(_xlfn.CHOOSECOLS(C618:L626,1,3,5,7,9),0,TRUE)&lt;&gt;""),Lists!$AC$2:$AC$9,Lists!$AF$2:$AF$9,0))&lt;=3)*--((INT(C614)*3+MOD(ROUND(C614*10,0),10))&gt;=3))</f>
        <v/>
      </c>
      <c r="M614" s="68" t="str" cm="1">
        <f t="array" ref="M614">IF(OR(B614="",O614=""),"",--(COUNTIF(O609:O614,"&gt;0")=1)*--(SUM(_xlfn.XLOOKUP(_xlfn._xlws.FILTER(_xlfn.TOCOL(_xlfn.CHOOSECOLS(C618:L626,2,4,6,8,10),0,TRUE),_xlfn.TOCOL(_xlfn.CHOOSECOLS(C618:L626,1,3,5,7,9),0,TRUE)&lt;&gt;""),Lists!$AC$2:$AC$9,Lists!$AF$2:$AF$9,0))=0))</f>
        <v/>
      </c>
      <c r="N614" s="69" t="str">
        <f>IF(OR(B614="",O614=""),"",--(COUNTIF(O609:O614,"&gt;0")=1))</f>
        <v/>
      </c>
      <c r="O614" s="5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8"/>
      <c r="CG614" s="18"/>
      <c r="CH614" s="18"/>
      <c r="CI614" s="18"/>
      <c r="CJ614" s="18"/>
      <c r="CK614" s="18"/>
      <c r="CL614" s="18"/>
      <c r="CM614" s="18"/>
      <c r="CN614" s="18"/>
      <c r="CO614" s="18"/>
      <c r="CP614" s="18"/>
      <c r="CQ614" s="18"/>
      <c r="CR614" s="18"/>
      <c r="CS614" s="18"/>
      <c r="CT614" s="18"/>
      <c r="CU614" s="18"/>
      <c r="CV614" s="18"/>
      <c r="CW614" s="18"/>
      <c r="CX614" s="18"/>
      <c r="CY614" s="18"/>
      <c r="CZ614" s="18"/>
      <c r="DA614" s="18"/>
      <c r="DB614" s="18"/>
      <c r="DC614" s="18"/>
      <c r="DD614" s="18"/>
      <c r="DE614" s="18"/>
      <c r="DF614" s="18"/>
    </row>
    <row r="615" spans="1:110">
      <c r="A615" s="173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3"/>
      <c r="Q615" s="53"/>
      <c r="R615" s="53"/>
      <c r="S615" s="53"/>
      <c r="T615" s="53"/>
      <c r="U615" s="53"/>
      <c r="V615" s="53"/>
      <c r="W615" s="53"/>
      <c r="X615" s="53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  <c r="CI615" s="18"/>
      <c r="CJ615" s="18"/>
      <c r="CK615" s="18"/>
      <c r="CL615" s="18"/>
      <c r="CM615" s="18"/>
      <c r="CN615" s="18"/>
      <c r="CO615" s="18"/>
      <c r="CP615" s="18"/>
      <c r="CQ615" s="18"/>
      <c r="CR615" s="18"/>
      <c r="CS615" s="18"/>
      <c r="CT615" s="18"/>
      <c r="CU615" s="18"/>
      <c r="CV615" s="18"/>
      <c r="CW615" s="18"/>
      <c r="CX615" s="18"/>
      <c r="CY615" s="18"/>
      <c r="CZ615" s="18"/>
      <c r="DA615" s="18"/>
      <c r="DB615" s="18"/>
      <c r="DC615" s="18"/>
      <c r="DD615" s="18"/>
      <c r="DE615" s="18"/>
      <c r="DF615" s="18"/>
    </row>
    <row r="616" spans="1:110">
      <c r="A616" s="205" t="str">
        <f ca="1">IF($R$590="","Team B Batting",$R$590&amp;" Batting")</f>
        <v>Team B Batting</v>
      </c>
      <c r="B616" s="206"/>
      <c r="C616" s="206"/>
      <c r="D616" s="206"/>
      <c r="E616" s="206"/>
      <c r="F616" s="206"/>
      <c r="G616" s="206"/>
      <c r="H616" s="206"/>
      <c r="I616" s="206"/>
      <c r="J616" s="206"/>
      <c r="K616" s="206"/>
      <c r="L616" s="206"/>
      <c r="M616" s="206"/>
      <c r="N616" s="206"/>
      <c r="O616" s="181"/>
      <c r="P616" s="182"/>
      <c r="Q616" s="182"/>
      <c r="R616" s="182"/>
      <c r="S616" s="182"/>
      <c r="T616" s="182"/>
      <c r="U616" s="182"/>
      <c r="V616" s="182"/>
      <c r="W616" s="182"/>
      <c r="X616" s="182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8"/>
      <c r="CG616" s="18"/>
      <c r="CH616" s="18"/>
      <c r="CI616" s="18"/>
      <c r="CJ616" s="18"/>
      <c r="CK616" s="18"/>
      <c r="CL616" s="18"/>
      <c r="CM616" s="18"/>
      <c r="CN616" s="18"/>
      <c r="CO616" s="18"/>
      <c r="CP616" s="18"/>
      <c r="CQ616" s="18"/>
      <c r="CR616" s="18"/>
      <c r="CS616" s="18"/>
      <c r="CT616" s="18"/>
      <c r="CU616" s="18"/>
      <c r="CV616" s="18"/>
      <c r="CW616" s="18"/>
      <c r="CX616" s="18"/>
      <c r="CY616" s="18"/>
      <c r="CZ616" s="18"/>
      <c r="DA616" s="18"/>
      <c r="DB616" s="18"/>
      <c r="DC616" s="18"/>
      <c r="DD616" s="18"/>
      <c r="DE616" s="18"/>
      <c r="DF616" s="18"/>
    </row>
    <row r="617" spans="1:110">
      <c r="A617" s="167" t="s">
        <v>164</v>
      </c>
      <c r="B617" s="43" t="s">
        <v>39</v>
      </c>
      <c r="C617" s="43" t="s">
        <v>165</v>
      </c>
      <c r="D617" s="43" t="s">
        <v>166</v>
      </c>
      <c r="E617" s="43" t="s">
        <v>167</v>
      </c>
      <c r="F617" s="43" t="s">
        <v>168</v>
      </c>
      <c r="G617" s="43" t="s">
        <v>169</v>
      </c>
      <c r="H617" s="43" t="s">
        <v>170</v>
      </c>
      <c r="I617" s="43" t="s">
        <v>171</v>
      </c>
      <c r="J617" s="43" t="s">
        <v>172</v>
      </c>
      <c r="K617" s="43" t="s">
        <v>173</v>
      </c>
      <c r="L617" s="43" t="s">
        <v>174</v>
      </c>
      <c r="M617" s="43" t="s">
        <v>175</v>
      </c>
      <c r="N617" s="44" t="s">
        <v>161</v>
      </c>
      <c r="O617" s="44" t="s">
        <v>162</v>
      </c>
      <c r="P617" s="44" t="s">
        <v>176</v>
      </c>
      <c r="Q617" s="44" t="s">
        <v>177</v>
      </c>
      <c r="R617" s="44" t="s">
        <v>178</v>
      </c>
      <c r="S617" s="44" t="s">
        <v>179</v>
      </c>
      <c r="T617" s="44" t="s">
        <v>180</v>
      </c>
      <c r="U617" s="44" t="s">
        <v>181</v>
      </c>
      <c r="V617" s="44" t="s">
        <v>182</v>
      </c>
      <c r="W617" s="44" t="s">
        <v>183</v>
      </c>
      <c r="X617" s="45" t="s">
        <v>184</v>
      </c>
      <c r="Y617" s="45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  <c r="CL617" s="18"/>
      <c r="CM617" s="18"/>
      <c r="CN617" s="18"/>
      <c r="CO617" s="18"/>
      <c r="CP617" s="18"/>
      <c r="CQ617" s="18"/>
      <c r="CR617" s="18"/>
      <c r="CS617" s="18"/>
      <c r="CT617" s="18"/>
      <c r="CU617" s="18"/>
      <c r="CV617" s="18"/>
      <c r="CW617" s="18"/>
      <c r="CX617" s="18"/>
      <c r="CY617" s="18"/>
      <c r="CZ617" s="18"/>
      <c r="DA617" s="18"/>
      <c r="DB617" s="18"/>
      <c r="DC617" s="18"/>
      <c r="DD617" s="18"/>
      <c r="DE617" s="18"/>
      <c r="DF617" s="18"/>
    </row>
    <row r="618" spans="1:110">
      <c r="A618" s="168">
        <v>1</v>
      </c>
      <c r="B618" s="47" t="str">
        <f ca="1">Lineups!$H$173</f>
        <v/>
      </c>
      <c r="C618" s="49"/>
      <c r="D618" s="49"/>
      <c r="E618" s="49"/>
      <c r="F618" s="49"/>
      <c r="G618" s="49"/>
      <c r="H618" s="50"/>
      <c r="I618" s="50"/>
      <c r="J618" s="50"/>
      <c r="K618" s="50"/>
      <c r="L618" s="50"/>
      <c r="M618" s="67" t="str">
        <f ca="1">IF($B618="","",SUM(_xlfn.XLOOKUP(C618,Lists!$P$2:$P$19,Lists!$R$2:$R$19,0),_xlfn.XLOOKUP(E618,Lists!$P$2:$P$19,Lists!$R$2:$R$19,0),_xlfn.XLOOKUP(G618,Lists!$P$2:$P$19,Lists!$R$2:$R$19,0),_xlfn.XLOOKUP(I618,Lists!$P$2:$P$19,Lists!$R$2:$R$19,0),_xlfn.XLOOKUP(K618,Lists!$P$2:$P$19,Lists!$R$2:$R$19,0)))</f>
        <v/>
      </c>
      <c r="N618" s="68" t="str">
        <f ca="1">IF($B618="","",SUM(_xlfn.XLOOKUP(D618,Lists!$AC$2:$AC$9,Lists!$AE$2:$AE$9,0),_xlfn.XLOOKUP(F618,Lists!$AC$2:$AC$9,Lists!$AE$2:$AE$9,0),_xlfn.XLOOKUP(H618,Lists!$AC$2:$AC$9,Lists!$AE$2:$AE$9,0),_xlfn.XLOOKUP(J618,Lists!$AC$2:$AC$9,Lists!$AE$2:$AE$9,0),_xlfn.XLOOKUP(L618,Lists!$AC$2:$AC$9,Lists!$AE$2:$AE$9,0)))</f>
        <v/>
      </c>
      <c r="O618" s="68" t="str">
        <f ca="1">IF($B618="","",SUM(_xlfn.XLOOKUP(C618,Lists!$P$2:$P$19,Lists!$S$2:$S$19,0),_xlfn.XLOOKUP(E618,Lists!$P$2:$P$19,Lists!$S$2:$S$19,0),_xlfn.XLOOKUP(G618,Lists!$P$2:$P$19,Lists!$S$2:$S$19,0),_xlfn.XLOOKUP(I618,Lists!$P$2:$P$19,Lists!$S$2:$S$19,0),_xlfn.XLOOKUP(K618,Lists!$P$2:$P$19,Lists!$S$2:$S$19,0)))</f>
        <v/>
      </c>
      <c r="P618" s="68" t="str">
        <f ca="1">IF($B618="","",SUM(_xlfn.XLOOKUP(C618,Lists!$P$2:$P$19,Lists!$T$2:$T$19,0),_xlfn.XLOOKUP(E618,Lists!$P$2:$P$19,Lists!$T$2:$T$19,0),_xlfn.XLOOKUP(G618,Lists!$P$2:$P$19,Lists!$T$2:$T$19,0),_xlfn.XLOOKUP(I618,Lists!$P$2:$P$19,Lists!$T$2:$T$19,0),_xlfn.XLOOKUP(K618,Lists!$P$2:$P$19,Lists!$T$2:$T$19,0)))</f>
        <v/>
      </c>
      <c r="Q618" s="68" t="str">
        <f ca="1">IF($B618="","",SUM(_xlfn.XLOOKUP(C618,Lists!$P$2:$P$19,Lists!$U$2:$U$19,0),_xlfn.XLOOKUP(E618,Lists!$P$2:$P$19,Lists!$U$2:$U$19,0),_xlfn.XLOOKUP(G618,Lists!$P$2:$P$19,Lists!$U$2:$U$19,0),_xlfn.XLOOKUP(I618,Lists!$P$2:$P$19,Lists!$U$2:$U$19,0),_xlfn.XLOOKUP(K618,Lists!$P$2:$P$19,Lists!$U$2:$U$19,0)))</f>
        <v/>
      </c>
      <c r="R618" s="68" t="str">
        <f ca="1">IF($B618="","",SUM(_xlfn.XLOOKUP(C618,Lists!$P$2:$P$19,Lists!$V$2:$V$19,0),_xlfn.XLOOKUP(E618,Lists!$P$2:$P$19,Lists!$V$2:$V$19,0),_xlfn.XLOOKUP(G618,Lists!$P$2:$P$19,Lists!$V$2:$V$19,0),_xlfn.XLOOKUP(I618,Lists!$P$2:$P$19,Lists!$V$2:$V$19,0),_xlfn.XLOOKUP(K618,Lists!$P$2:$P$19,Lists!$V$2:$V$19,0)))</f>
        <v/>
      </c>
      <c r="S618" s="68" t="str">
        <f ca="1">IF($B618="","",SUM(_xlfn.XLOOKUP(D618,Lists!$AC$2:$AC$9,Lists!$AD$2:$AD$9,0),_xlfn.XLOOKUP(F618,Lists!$AC$2:$AC$9,Lists!$AD$2:$AD$9,0),_xlfn.XLOOKUP(H618,Lists!$AC$2:$AC$9,Lists!$AD$2:$AD$9,0),_xlfn.XLOOKUP(J618,Lists!$AC$2:$AC$9,Lists!$AD$2:$AD$9,0),_xlfn.XLOOKUP(L618,Lists!$AC$2:$AC$9,Lists!$AD$2:$AD$9,0)))</f>
        <v/>
      </c>
      <c r="T618" s="68" t="str">
        <f ca="1">IF($B618="","",SUM(_xlfn.XLOOKUP(C618,Lists!$P$2:$P$19,Lists!$W$2:$W$19,0),_xlfn.XLOOKUP(E618,Lists!$P$2:$P$19,Lists!$W$2:$W$19,0),_xlfn.XLOOKUP(G618,Lists!$P$2:$P$19,Lists!$W$2:$W$19,0),_xlfn.XLOOKUP(I618,Lists!$P$2:$P$19,Lists!$W$2:$W$19,0),_xlfn.XLOOKUP(K618,Lists!$P$2:$P$19,Lists!$W$2:$W$19,0)))</f>
        <v/>
      </c>
      <c r="U618" s="68" t="str">
        <f ca="1">IF($B618="","",SUM(_xlfn.XLOOKUP(C618,Lists!$P$2:$P$19,Lists!$X$2:$X$19,0),_xlfn.XLOOKUP(E618,Lists!$P$2:$P$19,Lists!$X$2:$X$19,0),_xlfn.XLOOKUP(G618,Lists!$P$2:$P$19,Lists!$X$2:$X$19,0),_xlfn.XLOOKUP(I618,Lists!$P$2:$P$19,Lists!$X$2:$X$19,0),_xlfn.XLOOKUP(K618,Lists!$P$2:$P$19,Lists!$X$2:$X$19,0)))</f>
        <v/>
      </c>
      <c r="V618" s="68" t="str">
        <f ca="1">IF($B618="","",SUM(_xlfn.XLOOKUP(C618,Lists!$P$2:$P$19,Lists!$Y$2:$Y$19,0),_xlfn.XLOOKUP(E618,Lists!$P$2:$P$19,Lists!$Y$2:$Y$19,0),_xlfn.XLOOKUP(G618,Lists!$P$2:$P$19,Lists!$Y$2:$Y$19,0),_xlfn.XLOOKUP(I618,Lists!$P$2:$P$19,Lists!$Y$2:$Y$19,0),_xlfn.XLOOKUP(K618,Lists!$P$2:$P$19,Lists!$Y$2:$Y$19,0)))</f>
        <v/>
      </c>
      <c r="W618" s="68" t="str">
        <f ca="1">IF($B618="","",SUM(_xlfn.XLOOKUP(C618,Lists!$P$2:$P$19,Lists!$Z$2:$Z$19,0),_xlfn.XLOOKUP(E618,Lists!$P$2:$P$19,Lists!$Z$2:$Z$19,0),_xlfn.XLOOKUP(G618,Lists!$P$2:$P$19,Lists!$Z$2:$Z$19,0),_xlfn.XLOOKUP(I618,Lists!$P$2:$P$19,Lists!$Z$2:$Z$19,0),_xlfn.XLOOKUP(K618,Lists!$P$2:$P$19,Lists!$Z$2:$Z$19,0)))</f>
        <v/>
      </c>
      <c r="X618" s="69" t="str">
        <f ca="1">IF($B618="","",SUM(_xlfn.XLOOKUP(C618,Lists!$P$2:$P$19,Lists!$AA$2:$AA$19,0),_xlfn.XLOOKUP(E618,Lists!$P$2:$P$19,Lists!$AA$2:$AA$19,0),_xlfn.XLOOKUP(G618,Lists!$P$2:$P$19,Lists!$AA$2:$AA$19,0),_xlfn.XLOOKUP(I618,Lists!$P$2:$P$19,Lists!$AA$2:$AA$19,0),_xlfn.XLOOKUP(K618,Lists!$P$2:$P$19,Lists!$AA$2:$AA$19,0)))</f>
        <v/>
      </c>
      <c r="Y618" s="49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  <c r="CL618" s="18"/>
      <c r="CM618" s="18"/>
      <c r="CN618" s="18"/>
      <c r="CO618" s="18"/>
      <c r="CP618" s="18"/>
      <c r="CQ618" s="18"/>
      <c r="CR618" s="18"/>
      <c r="CS618" s="18"/>
      <c r="CT618" s="18"/>
      <c r="CU618" s="18"/>
      <c r="CV618" s="18"/>
      <c r="CW618" s="18"/>
      <c r="CX618" s="18"/>
      <c r="CY618" s="18"/>
      <c r="CZ618" s="18"/>
      <c r="DA618" s="18"/>
      <c r="DB618" s="18"/>
      <c r="DC618" s="18"/>
      <c r="DD618" s="18"/>
      <c r="DE618" s="18"/>
      <c r="DF618" s="18"/>
    </row>
    <row r="619" spans="1:110">
      <c r="A619" s="168">
        <v>2</v>
      </c>
      <c r="B619" s="47" t="str">
        <f ca="1">Lineups!$H$174</f>
        <v/>
      </c>
      <c r="C619" s="49"/>
      <c r="D619" s="49"/>
      <c r="E619" s="49"/>
      <c r="F619" s="49"/>
      <c r="G619" s="49"/>
      <c r="H619" s="50"/>
      <c r="I619" s="50"/>
      <c r="J619" s="50"/>
      <c r="K619" s="50"/>
      <c r="L619" s="50"/>
      <c r="M619" s="67" t="str">
        <f ca="1">IF($B619="","",SUM(_xlfn.XLOOKUP(C619,Lists!$P$2:$P$19,Lists!$R$2:$R$19,0),_xlfn.XLOOKUP(E619,Lists!$P$2:$P$19,Lists!$R$2:$R$19,0),_xlfn.XLOOKUP(G619,Lists!$P$2:$P$19,Lists!$R$2:$R$19,0),_xlfn.XLOOKUP(I619,Lists!$P$2:$P$19,Lists!$R$2:$R$19,0),_xlfn.XLOOKUP(K619,Lists!$P$2:$P$19,Lists!$R$2:$R$19,0)))</f>
        <v/>
      </c>
      <c r="N619" s="68" t="str">
        <f ca="1">IF($B619="","",SUM(_xlfn.XLOOKUP(D619,Lists!$AC$2:$AC$9,Lists!$AE$2:$AE$9,0),_xlfn.XLOOKUP(F619,Lists!$AC$2:$AC$9,Lists!$AE$2:$AE$9,0),_xlfn.XLOOKUP(H619,Lists!$AC$2:$AC$9,Lists!$AE$2:$AE$9,0),_xlfn.XLOOKUP(J619,Lists!$AC$2:$AC$9,Lists!$AE$2:$AE$9,0),_xlfn.XLOOKUP(L619,Lists!$AC$2:$AC$9,Lists!$AE$2:$AE$9,0)))</f>
        <v/>
      </c>
      <c r="O619" s="68" t="str">
        <f ca="1">IF($B619="","",SUM(_xlfn.XLOOKUP(C619,Lists!$P$2:$P$19,Lists!$S$2:$S$19,0),_xlfn.XLOOKUP(E619,Lists!$P$2:$P$19,Lists!$S$2:$S$19,0),_xlfn.XLOOKUP(G619,Lists!$P$2:$P$19,Lists!$S$2:$S$19,0),_xlfn.XLOOKUP(I619,Lists!$P$2:$P$19,Lists!$S$2:$S$19,0),_xlfn.XLOOKUP(K619,Lists!$P$2:$P$19,Lists!$S$2:$S$19,0)))</f>
        <v/>
      </c>
      <c r="P619" s="68" t="str">
        <f ca="1">IF($B619="","",SUM(_xlfn.XLOOKUP(C619,Lists!$P$2:$P$19,Lists!$T$2:$T$19,0),_xlfn.XLOOKUP(E619,Lists!$P$2:$P$19,Lists!$T$2:$T$19,0),_xlfn.XLOOKUP(G619,Lists!$P$2:$P$19,Lists!$T$2:$T$19,0),_xlfn.XLOOKUP(I619,Lists!$P$2:$P$19,Lists!$T$2:$T$19,0),_xlfn.XLOOKUP(K619,Lists!$P$2:$P$19,Lists!$T$2:$T$19,0)))</f>
        <v/>
      </c>
      <c r="Q619" s="68" t="str">
        <f ca="1">IF($B619="","",SUM(_xlfn.XLOOKUP(C619,Lists!$P$2:$P$19,Lists!$U$2:$U$19,0),_xlfn.XLOOKUP(E619,Lists!$P$2:$P$19,Lists!$U$2:$U$19,0),_xlfn.XLOOKUP(G619,Lists!$P$2:$P$19,Lists!$U$2:$U$19,0),_xlfn.XLOOKUP(I619,Lists!$P$2:$P$19,Lists!$U$2:$U$19,0),_xlfn.XLOOKUP(K619,Lists!$P$2:$P$19,Lists!$U$2:$U$19,0)))</f>
        <v/>
      </c>
      <c r="R619" s="68" t="str">
        <f ca="1">IF($B619="","",SUM(_xlfn.XLOOKUP(C619,Lists!$P$2:$P$19,Lists!$V$2:$V$19,0),_xlfn.XLOOKUP(E619,Lists!$P$2:$P$19,Lists!$V$2:$V$19,0),_xlfn.XLOOKUP(G619,Lists!$P$2:$P$19,Lists!$V$2:$V$19,0),_xlfn.XLOOKUP(I619,Lists!$P$2:$P$19,Lists!$V$2:$V$19,0),_xlfn.XLOOKUP(K619,Lists!$P$2:$P$19,Lists!$V$2:$V$19,0)))</f>
        <v/>
      </c>
      <c r="S619" s="68" t="str">
        <f ca="1">IF($B619="","",SUM(_xlfn.XLOOKUP(D619,Lists!$AC$2:$AC$9,Lists!$AD$2:$AD$9,0),_xlfn.XLOOKUP(F619,Lists!$AC$2:$AC$9,Lists!$AD$2:$AD$9,0),_xlfn.XLOOKUP(H619,Lists!$AC$2:$AC$9,Lists!$AD$2:$AD$9,0),_xlfn.XLOOKUP(J619,Lists!$AC$2:$AC$9,Lists!$AD$2:$AD$9,0),_xlfn.XLOOKUP(L619,Lists!$AC$2:$AC$9,Lists!$AD$2:$AD$9,0)))</f>
        <v/>
      </c>
      <c r="T619" s="68" t="str">
        <f ca="1">IF($B619="","",SUM(_xlfn.XLOOKUP(C619,Lists!$P$2:$P$19,Lists!$W$2:$W$19,0),_xlfn.XLOOKUP(E619,Lists!$P$2:$P$19,Lists!$W$2:$W$19,0),_xlfn.XLOOKUP(G619,Lists!$P$2:$P$19,Lists!$W$2:$W$19,0),_xlfn.XLOOKUP(I619,Lists!$P$2:$P$19,Lists!$W$2:$W$19,0),_xlfn.XLOOKUP(K619,Lists!$P$2:$P$19,Lists!$W$2:$W$19,0)))</f>
        <v/>
      </c>
      <c r="U619" s="68" t="str">
        <f ca="1">IF($B619="","",SUM(_xlfn.XLOOKUP(C619,Lists!$P$2:$P$19,Lists!$X$2:$X$19,0),_xlfn.XLOOKUP(E619,Lists!$P$2:$P$19,Lists!$X$2:$X$19,0),_xlfn.XLOOKUP(G619,Lists!$P$2:$P$19,Lists!$X$2:$X$19,0),_xlfn.XLOOKUP(I619,Lists!$P$2:$P$19,Lists!$X$2:$X$19,0),_xlfn.XLOOKUP(K619,Lists!$P$2:$P$19,Lists!$X$2:$X$19,0)))</f>
        <v/>
      </c>
      <c r="V619" s="68" t="str">
        <f ca="1">IF($B619="","",SUM(_xlfn.XLOOKUP(C619,Lists!$P$2:$P$19,Lists!$Y$2:$Y$19,0),_xlfn.XLOOKUP(E619,Lists!$P$2:$P$19,Lists!$Y$2:$Y$19,0),_xlfn.XLOOKUP(G619,Lists!$P$2:$P$19,Lists!$Y$2:$Y$19,0),_xlfn.XLOOKUP(I619,Lists!$P$2:$P$19,Lists!$Y$2:$Y$19,0),_xlfn.XLOOKUP(K619,Lists!$P$2:$P$19,Lists!$Y$2:$Y$19,0)))</f>
        <v/>
      </c>
      <c r="W619" s="68" t="str">
        <f ca="1">IF($B619="","",SUM(_xlfn.XLOOKUP(C619,Lists!$P$2:$P$19,Lists!$Z$2:$Z$19,0),_xlfn.XLOOKUP(E619,Lists!$P$2:$P$19,Lists!$Z$2:$Z$19,0),_xlfn.XLOOKUP(G619,Lists!$P$2:$P$19,Lists!$Z$2:$Z$19,0),_xlfn.XLOOKUP(I619,Lists!$P$2:$P$19,Lists!$Z$2:$Z$19,0),_xlfn.XLOOKUP(K619,Lists!$P$2:$P$19,Lists!$Z$2:$Z$19,0)))</f>
        <v/>
      </c>
      <c r="X619" s="69" t="str">
        <f ca="1">IF($B619="","",SUM(_xlfn.XLOOKUP(C619,Lists!$P$2:$P$19,Lists!$AA$2:$AA$19,0),_xlfn.XLOOKUP(E619,Lists!$P$2:$P$19,Lists!$AA$2:$AA$19,0),_xlfn.XLOOKUP(G619,Lists!$P$2:$P$19,Lists!$AA$2:$AA$19,0),_xlfn.XLOOKUP(I619,Lists!$P$2:$P$19,Lists!$AA$2:$AA$19,0),_xlfn.XLOOKUP(K619,Lists!$P$2:$P$19,Lists!$AA$2:$AA$19,0)))</f>
        <v/>
      </c>
      <c r="Y619" s="49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  <c r="CL619" s="18"/>
      <c r="CM619" s="18"/>
      <c r="CN619" s="18"/>
      <c r="CO619" s="18"/>
      <c r="CP619" s="18"/>
      <c r="CQ619" s="18"/>
      <c r="CR619" s="18"/>
      <c r="CS619" s="18"/>
      <c r="CT619" s="18"/>
      <c r="CU619" s="18"/>
      <c r="CV619" s="18"/>
      <c r="CW619" s="18"/>
      <c r="CX619" s="18"/>
      <c r="CY619" s="18"/>
      <c r="CZ619" s="18"/>
      <c r="DA619" s="18"/>
      <c r="DB619" s="18"/>
      <c r="DC619" s="18"/>
      <c r="DD619" s="18"/>
      <c r="DE619" s="18"/>
      <c r="DF619" s="18"/>
    </row>
    <row r="620" spans="1:110">
      <c r="A620" s="168">
        <v>3</v>
      </c>
      <c r="B620" s="47" t="str">
        <f ca="1">Lineups!$H$175</f>
        <v/>
      </c>
      <c r="C620" s="49"/>
      <c r="D620" s="49"/>
      <c r="E620" s="49"/>
      <c r="F620" s="49"/>
      <c r="G620" s="49"/>
      <c r="H620" s="50"/>
      <c r="I620" s="50"/>
      <c r="J620" s="50"/>
      <c r="K620" s="50"/>
      <c r="L620" s="50"/>
      <c r="M620" s="67" t="str">
        <f ca="1">IF($B620="","",SUM(_xlfn.XLOOKUP(C620,Lists!$P$2:$P$19,Lists!$R$2:$R$19,0),_xlfn.XLOOKUP(E620,Lists!$P$2:$P$19,Lists!$R$2:$R$19,0),_xlfn.XLOOKUP(G620,Lists!$P$2:$P$19,Lists!$R$2:$R$19,0),_xlfn.XLOOKUP(I620,Lists!$P$2:$P$19,Lists!$R$2:$R$19,0),_xlfn.XLOOKUP(K620,Lists!$P$2:$P$19,Lists!$R$2:$R$19,0)))</f>
        <v/>
      </c>
      <c r="N620" s="68" t="str">
        <f ca="1">IF($B620="","",SUM(_xlfn.XLOOKUP(D620,Lists!$AC$2:$AC$9,Lists!$AE$2:$AE$9,0),_xlfn.XLOOKUP(F620,Lists!$AC$2:$AC$9,Lists!$AE$2:$AE$9,0),_xlfn.XLOOKUP(H620,Lists!$AC$2:$AC$9,Lists!$AE$2:$AE$9,0),_xlfn.XLOOKUP(J620,Lists!$AC$2:$AC$9,Lists!$AE$2:$AE$9,0),_xlfn.XLOOKUP(L620,Lists!$AC$2:$AC$9,Lists!$AE$2:$AE$9,0)))</f>
        <v/>
      </c>
      <c r="O620" s="68" t="str">
        <f ca="1">IF($B620="","",SUM(_xlfn.XLOOKUP(C620,Lists!$P$2:$P$19,Lists!$S$2:$S$19,0),_xlfn.XLOOKUP(E620,Lists!$P$2:$P$19,Lists!$S$2:$S$19,0),_xlfn.XLOOKUP(G620,Lists!$P$2:$P$19,Lists!$S$2:$S$19,0),_xlfn.XLOOKUP(I620,Lists!$P$2:$P$19,Lists!$S$2:$S$19,0),_xlfn.XLOOKUP(K620,Lists!$P$2:$P$19,Lists!$S$2:$S$19,0)))</f>
        <v/>
      </c>
      <c r="P620" s="68" t="str">
        <f ca="1">IF($B620="","",SUM(_xlfn.XLOOKUP(C620,Lists!$P$2:$P$19,Lists!$T$2:$T$19,0),_xlfn.XLOOKUP(E620,Lists!$P$2:$P$19,Lists!$T$2:$T$19,0),_xlfn.XLOOKUP(G620,Lists!$P$2:$P$19,Lists!$T$2:$T$19,0),_xlfn.XLOOKUP(I620,Lists!$P$2:$P$19,Lists!$T$2:$T$19,0),_xlfn.XLOOKUP(K620,Lists!$P$2:$P$19,Lists!$T$2:$T$19,0)))</f>
        <v/>
      </c>
      <c r="Q620" s="68" t="str">
        <f ca="1">IF($B620="","",SUM(_xlfn.XLOOKUP(C620,Lists!$P$2:$P$19,Lists!$U$2:$U$19,0),_xlfn.XLOOKUP(E620,Lists!$P$2:$P$19,Lists!$U$2:$U$19,0),_xlfn.XLOOKUP(G620,Lists!$P$2:$P$19,Lists!$U$2:$U$19,0),_xlfn.XLOOKUP(I620,Lists!$P$2:$P$19,Lists!$U$2:$U$19,0),_xlfn.XLOOKUP(K620,Lists!$P$2:$P$19,Lists!$U$2:$U$19,0)))</f>
        <v/>
      </c>
      <c r="R620" s="68" t="str">
        <f ca="1">IF($B620="","",SUM(_xlfn.XLOOKUP(C620,Lists!$P$2:$P$19,Lists!$V$2:$V$19,0),_xlfn.XLOOKUP(E620,Lists!$P$2:$P$19,Lists!$V$2:$V$19,0),_xlfn.XLOOKUP(G620,Lists!$P$2:$P$19,Lists!$V$2:$V$19,0),_xlfn.XLOOKUP(I620,Lists!$P$2:$P$19,Lists!$V$2:$V$19,0),_xlfn.XLOOKUP(K620,Lists!$P$2:$P$19,Lists!$V$2:$V$19,0)))</f>
        <v/>
      </c>
      <c r="S620" s="68" t="str">
        <f ca="1">IF($B620="","",SUM(_xlfn.XLOOKUP(D620,Lists!$AC$2:$AC$9,Lists!$AD$2:$AD$9,0),_xlfn.XLOOKUP(F620,Lists!$AC$2:$AC$9,Lists!$AD$2:$AD$9,0),_xlfn.XLOOKUP(H620,Lists!$AC$2:$AC$9,Lists!$AD$2:$AD$9,0),_xlfn.XLOOKUP(J620,Lists!$AC$2:$AC$9,Lists!$AD$2:$AD$9,0),_xlfn.XLOOKUP(L620,Lists!$AC$2:$AC$9,Lists!$AD$2:$AD$9,0)))</f>
        <v/>
      </c>
      <c r="T620" s="68" t="str">
        <f ca="1">IF($B620="","",SUM(_xlfn.XLOOKUP(C620,Lists!$P$2:$P$19,Lists!$W$2:$W$19,0),_xlfn.XLOOKUP(E620,Lists!$P$2:$P$19,Lists!$W$2:$W$19,0),_xlfn.XLOOKUP(G620,Lists!$P$2:$P$19,Lists!$W$2:$W$19,0),_xlfn.XLOOKUP(I620,Lists!$P$2:$P$19,Lists!$W$2:$W$19,0),_xlfn.XLOOKUP(K620,Lists!$P$2:$P$19,Lists!$W$2:$W$19,0)))</f>
        <v/>
      </c>
      <c r="U620" s="68" t="str">
        <f ca="1">IF($B620="","",SUM(_xlfn.XLOOKUP(C620,Lists!$P$2:$P$19,Lists!$X$2:$X$19,0),_xlfn.XLOOKUP(E620,Lists!$P$2:$P$19,Lists!$X$2:$X$19,0),_xlfn.XLOOKUP(G620,Lists!$P$2:$P$19,Lists!$X$2:$X$19,0),_xlfn.XLOOKUP(I620,Lists!$P$2:$P$19,Lists!$X$2:$X$19,0),_xlfn.XLOOKUP(K620,Lists!$P$2:$P$19,Lists!$X$2:$X$19,0)))</f>
        <v/>
      </c>
      <c r="V620" s="68" t="str">
        <f ca="1">IF($B620="","",SUM(_xlfn.XLOOKUP(C620,Lists!$P$2:$P$19,Lists!$Y$2:$Y$19,0),_xlfn.XLOOKUP(E620,Lists!$P$2:$P$19,Lists!$Y$2:$Y$19,0),_xlfn.XLOOKUP(G620,Lists!$P$2:$P$19,Lists!$Y$2:$Y$19,0),_xlfn.XLOOKUP(I620,Lists!$P$2:$P$19,Lists!$Y$2:$Y$19,0),_xlfn.XLOOKUP(K620,Lists!$P$2:$P$19,Lists!$Y$2:$Y$19,0)))</f>
        <v/>
      </c>
      <c r="W620" s="68" t="str">
        <f ca="1">IF($B620="","",SUM(_xlfn.XLOOKUP(C620,Lists!$P$2:$P$19,Lists!$Z$2:$Z$19,0),_xlfn.XLOOKUP(E620,Lists!$P$2:$P$19,Lists!$Z$2:$Z$19,0),_xlfn.XLOOKUP(G620,Lists!$P$2:$P$19,Lists!$Z$2:$Z$19,0),_xlfn.XLOOKUP(I620,Lists!$P$2:$P$19,Lists!$Z$2:$Z$19,0),_xlfn.XLOOKUP(K620,Lists!$P$2:$P$19,Lists!$Z$2:$Z$19,0)))</f>
        <v/>
      </c>
      <c r="X620" s="69" t="str">
        <f ca="1">IF($B620="","",SUM(_xlfn.XLOOKUP(C620,Lists!$P$2:$P$19,Lists!$AA$2:$AA$19,0),_xlfn.XLOOKUP(E620,Lists!$P$2:$P$19,Lists!$AA$2:$AA$19,0),_xlfn.XLOOKUP(G620,Lists!$P$2:$P$19,Lists!$AA$2:$AA$19,0),_xlfn.XLOOKUP(I620,Lists!$P$2:$P$19,Lists!$AA$2:$AA$19,0),_xlfn.XLOOKUP(K620,Lists!$P$2:$P$19,Lists!$AA$2:$AA$19,0)))</f>
        <v/>
      </c>
      <c r="Y620" s="49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  <c r="CL620" s="18"/>
      <c r="CM620" s="18"/>
      <c r="CN620" s="18"/>
      <c r="CO620" s="18"/>
      <c r="CP620" s="18"/>
      <c r="CQ620" s="18"/>
      <c r="CR620" s="18"/>
      <c r="CS620" s="18"/>
      <c r="CT620" s="18"/>
      <c r="CU620" s="18"/>
      <c r="CV620" s="18"/>
      <c r="CW620" s="18"/>
      <c r="CX620" s="18"/>
      <c r="CY620" s="18"/>
      <c r="CZ620" s="18"/>
      <c r="DA620" s="18"/>
      <c r="DB620" s="18"/>
      <c r="DC620" s="18"/>
      <c r="DD620" s="18"/>
      <c r="DE620" s="18"/>
      <c r="DF620" s="18"/>
    </row>
    <row r="621" spans="1:110">
      <c r="A621" s="168">
        <v>4</v>
      </c>
      <c r="B621" s="47" t="str">
        <f ca="1">Lineups!$H$176</f>
        <v/>
      </c>
      <c r="C621" s="49"/>
      <c r="D621" s="49"/>
      <c r="E621" s="49"/>
      <c r="F621" s="49"/>
      <c r="G621" s="49"/>
      <c r="H621" s="50"/>
      <c r="I621" s="50"/>
      <c r="J621" s="50"/>
      <c r="K621" s="50"/>
      <c r="L621" s="50"/>
      <c r="M621" s="67" t="str">
        <f ca="1">IF($B621="","",SUM(_xlfn.XLOOKUP(C621,Lists!$P$2:$P$19,Lists!$R$2:$R$19,0),_xlfn.XLOOKUP(E621,Lists!$P$2:$P$19,Lists!$R$2:$R$19,0),_xlfn.XLOOKUP(G621,Lists!$P$2:$P$19,Lists!$R$2:$R$19,0),_xlfn.XLOOKUP(I621,Lists!$P$2:$P$19,Lists!$R$2:$R$19,0),_xlfn.XLOOKUP(K621,Lists!$P$2:$P$19,Lists!$R$2:$R$19,0)))</f>
        <v/>
      </c>
      <c r="N621" s="68" t="str">
        <f ca="1">IF($B621="","",SUM(_xlfn.XLOOKUP(D621,Lists!$AC$2:$AC$9,Lists!$AE$2:$AE$9,0),_xlfn.XLOOKUP(F621,Lists!$AC$2:$AC$9,Lists!$AE$2:$AE$9,0),_xlfn.XLOOKUP(H621,Lists!$AC$2:$AC$9,Lists!$AE$2:$AE$9,0),_xlfn.XLOOKUP(J621,Lists!$AC$2:$AC$9,Lists!$AE$2:$AE$9,0),_xlfn.XLOOKUP(L621,Lists!$AC$2:$AC$9,Lists!$AE$2:$AE$9,0)))</f>
        <v/>
      </c>
      <c r="O621" s="68" t="str">
        <f ca="1">IF($B621="","",SUM(_xlfn.XLOOKUP(C621,Lists!$P$2:$P$19,Lists!$S$2:$S$19,0),_xlfn.XLOOKUP(E621,Lists!$P$2:$P$19,Lists!$S$2:$S$19,0),_xlfn.XLOOKUP(G621,Lists!$P$2:$P$19,Lists!$S$2:$S$19,0),_xlfn.XLOOKUP(I621,Lists!$P$2:$P$19,Lists!$S$2:$S$19,0),_xlfn.XLOOKUP(K621,Lists!$P$2:$P$19,Lists!$S$2:$S$19,0)))</f>
        <v/>
      </c>
      <c r="P621" s="68" t="str">
        <f ca="1">IF($B621="","",SUM(_xlfn.XLOOKUP(C621,Lists!$P$2:$P$19,Lists!$T$2:$T$19,0),_xlfn.XLOOKUP(E621,Lists!$P$2:$P$19,Lists!$T$2:$T$19,0),_xlfn.XLOOKUP(G621,Lists!$P$2:$P$19,Lists!$T$2:$T$19,0),_xlfn.XLOOKUP(I621,Lists!$P$2:$P$19,Lists!$T$2:$T$19,0),_xlfn.XLOOKUP(K621,Lists!$P$2:$P$19,Lists!$T$2:$T$19,0)))</f>
        <v/>
      </c>
      <c r="Q621" s="68" t="str">
        <f ca="1">IF($B621="","",SUM(_xlfn.XLOOKUP(C621,Lists!$P$2:$P$19,Lists!$U$2:$U$19,0),_xlfn.XLOOKUP(E621,Lists!$P$2:$P$19,Lists!$U$2:$U$19,0),_xlfn.XLOOKUP(G621,Lists!$P$2:$P$19,Lists!$U$2:$U$19,0),_xlfn.XLOOKUP(I621,Lists!$P$2:$P$19,Lists!$U$2:$U$19,0),_xlfn.XLOOKUP(K621,Lists!$P$2:$P$19,Lists!$U$2:$U$19,0)))</f>
        <v/>
      </c>
      <c r="R621" s="68" t="str">
        <f ca="1">IF($B621="","",SUM(_xlfn.XLOOKUP(C621,Lists!$P$2:$P$19,Lists!$V$2:$V$19,0),_xlfn.XLOOKUP(E621,Lists!$P$2:$P$19,Lists!$V$2:$V$19,0),_xlfn.XLOOKUP(G621,Lists!$P$2:$P$19,Lists!$V$2:$V$19,0),_xlfn.XLOOKUP(I621,Lists!$P$2:$P$19,Lists!$V$2:$V$19,0),_xlfn.XLOOKUP(K621,Lists!$P$2:$P$19,Lists!$V$2:$V$19,0)))</f>
        <v/>
      </c>
      <c r="S621" s="68" t="str">
        <f ca="1">IF($B621="","",SUM(_xlfn.XLOOKUP(D621,Lists!$AC$2:$AC$9,Lists!$AD$2:$AD$9,0),_xlfn.XLOOKUP(F621,Lists!$AC$2:$AC$9,Lists!$AD$2:$AD$9,0),_xlfn.XLOOKUP(H621,Lists!$AC$2:$AC$9,Lists!$AD$2:$AD$9,0),_xlfn.XLOOKUP(J621,Lists!$AC$2:$AC$9,Lists!$AD$2:$AD$9,0),_xlfn.XLOOKUP(L621,Lists!$AC$2:$AC$9,Lists!$AD$2:$AD$9,0)))</f>
        <v/>
      </c>
      <c r="T621" s="68" t="str">
        <f ca="1">IF($B621="","",SUM(_xlfn.XLOOKUP(C621,Lists!$P$2:$P$19,Lists!$W$2:$W$19,0),_xlfn.XLOOKUP(E621,Lists!$P$2:$P$19,Lists!$W$2:$W$19,0),_xlfn.XLOOKUP(G621,Lists!$P$2:$P$19,Lists!$W$2:$W$19,0),_xlfn.XLOOKUP(I621,Lists!$P$2:$P$19,Lists!$W$2:$W$19,0),_xlfn.XLOOKUP(K621,Lists!$P$2:$P$19,Lists!$W$2:$W$19,0)))</f>
        <v/>
      </c>
      <c r="U621" s="68" t="str">
        <f ca="1">IF($B621="","",SUM(_xlfn.XLOOKUP(C621,Lists!$P$2:$P$19,Lists!$X$2:$X$19,0),_xlfn.XLOOKUP(E621,Lists!$P$2:$P$19,Lists!$X$2:$X$19,0),_xlfn.XLOOKUP(G621,Lists!$P$2:$P$19,Lists!$X$2:$X$19,0),_xlfn.XLOOKUP(I621,Lists!$P$2:$P$19,Lists!$X$2:$X$19,0),_xlfn.XLOOKUP(K621,Lists!$P$2:$P$19,Lists!$X$2:$X$19,0)))</f>
        <v/>
      </c>
      <c r="V621" s="68" t="str">
        <f ca="1">IF($B621="","",SUM(_xlfn.XLOOKUP(C621,Lists!$P$2:$P$19,Lists!$Y$2:$Y$19,0),_xlfn.XLOOKUP(E621,Lists!$P$2:$P$19,Lists!$Y$2:$Y$19,0),_xlfn.XLOOKUP(G621,Lists!$P$2:$P$19,Lists!$Y$2:$Y$19,0),_xlfn.XLOOKUP(I621,Lists!$P$2:$P$19,Lists!$Y$2:$Y$19,0),_xlfn.XLOOKUP(K621,Lists!$P$2:$P$19,Lists!$Y$2:$Y$19,0)))</f>
        <v/>
      </c>
      <c r="W621" s="68" t="str">
        <f ca="1">IF($B621="","",SUM(_xlfn.XLOOKUP(C621,Lists!$P$2:$P$19,Lists!$Z$2:$Z$19,0),_xlfn.XLOOKUP(E621,Lists!$P$2:$P$19,Lists!$Z$2:$Z$19,0),_xlfn.XLOOKUP(G621,Lists!$P$2:$P$19,Lists!$Z$2:$Z$19,0),_xlfn.XLOOKUP(I621,Lists!$P$2:$P$19,Lists!$Z$2:$Z$19,0),_xlfn.XLOOKUP(K621,Lists!$P$2:$P$19,Lists!$Z$2:$Z$19,0)))</f>
        <v/>
      </c>
      <c r="X621" s="69" t="str">
        <f ca="1">IF($B621="","",SUM(_xlfn.XLOOKUP(C621,Lists!$P$2:$P$19,Lists!$AA$2:$AA$19,0),_xlfn.XLOOKUP(E621,Lists!$P$2:$P$19,Lists!$AA$2:$AA$19,0),_xlfn.XLOOKUP(G621,Lists!$P$2:$P$19,Lists!$AA$2:$AA$19,0),_xlfn.XLOOKUP(I621,Lists!$P$2:$P$19,Lists!$AA$2:$AA$19,0),_xlfn.XLOOKUP(K621,Lists!$P$2:$P$19,Lists!$AA$2:$AA$19,0)))</f>
        <v/>
      </c>
      <c r="Y621" s="49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  <c r="CF621" s="18"/>
      <c r="CG621" s="18"/>
      <c r="CH621" s="18"/>
      <c r="CI621" s="18"/>
      <c r="CJ621" s="18"/>
      <c r="CK621" s="18"/>
      <c r="CL621" s="18"/>
      <c r="CM621" s="18"/>
      <c r="CN621" s="18"/>
      <c r="CO621" s="18"/>
      <c r="CP621" s="18"/>
      <c r="CQ621" s="18"/>
      <c r="CR621" s="18"/>
      <c r="CS621" s="18"/>
      <c r="CT621" s="18"/>
      <c r="CU621" s="18"/>
      <c r="CV621" s="18"/>
      <c r="CW621" s="18"/>
      <c r="CX621" s="18"/>
      <c r="CY621" s="18"/>
      <c r="CZ621" s="18"/>
      <c r="DA621" s="18"/>
      <c r="DB621" s="18"/>
      <c r="DC621" s="18"/>
      <c r="DD621" s="18"/>
      <c r="DE621" s="18"/>
      <c r="DF621" s="18"/>
    </row>
    <row r="622" spans="1:110">
      <c r="A622" s="168">
        <v>5</v>
      </c>
      <c r="B622" s="47" t="str">
        <f ca="1">Lineups!$H$177</f>
        <v/>
      </c>
      <c r="C622" s="49"/>
      <c r="D622" s="49"/>
      <c r="E622" s="49"/>
      <c r="F622" s="49"/>
      <c r="G622" s="49"/>
      <c r="H622" s="50"/>
      <c r="I622" s="50"/>
      <c r="J622" s="50"/>
      <c r="K622" s="50"/>
      <c r="L622" s="50"/>
      <c r="M622" s="67" t="str">
        <f ca="1">IF($B622="","",SUM(_xlfn.XLOOKUP(C622,Lists!$P$2:$P$19,Lists!$R$2:$R$19,0),_xlfn.XLOOKUP(E622,Lists!$P$2:$P$19,Lists!$R$2:$R$19,0),_xlfn.XLOOKUP(G622,Lists!$P$2:$P$19,Lists!$R$2:$R$19,0),_xlfn.XLOOKUP(I622,Lists!$P$2:$P$19,Lists!$R$2:$R$19,0),_xlfn.XLOOKUP(K622,Lists!$P$2:$P$19,Lists!$R$2:$R$19,0)))</f>
        <v/>
      </c>
      <c r="N622" s="68" t="str">
        <f ca="1">IF($B622="","",SUM(_xlfn.XLOOKUP(D622,Lists!$AC$2:$AC$9,Lists!$AE$2:$AE$9,0),_xlfn.XLOOKUP(F622,Lists!$AC$2:$AC$9,Lists!$AE$2:$AE$9,0),_xlfn.XLOOKUP(H622,Lists!$AC$2:$AC$9,Lists!$AE$2:$AE$9,0),_xlfn.XLOOKUP(J622,Lists!$AC$2:$AC$9,Lists!$AE$2:$AE$9,0),_xlfn.XLOOKUP(L622,Lists!$AC$2:$AC$9,Lists!$AE$2:$AE$9,0)))</f>
        <v/>
      </c>
      <c r="O622" s="68" t="str">
        <f ca="1">IF($B622="","",SUM(_xlfn.XLOOKUP(C622,Lists!$P$2:$P$19,Lists!$S$2:$S$19,0),_xlfn.XLOOKUP(E622,Lists!$P$2:$P$19,Lists!$S$2:$S$19,0),_xlfn.XLOOKUP(G622,Lists!$P$2:$P$19,Lists!$S$2:$S$19,0),_xlfn.XLOOKUP(I622,Lists!$P$2:$P$19,Lists!$S$2:$S$19,0),_xlfn.XLOOKUP(K622,Lists!$P$2:$P$19,Lists!$S$2:$S$19,0)))</f>
        <v/>
      </c>
      <c r="P622" s="68" t="str">
        <f ca="1">IF($B622="","",SUM(_xlfn.XLOOKUP(C622,Lists!$P$2:$P$19,Lists!$T$2:$T$19,0),_xlfn.XLOOKUP(E622,Lists!$P$2:$P$19,Lists!$T$2:$T$19,0),_xlfn.XLOOKUP(G622,Lists!$P$2:$P$19,Lists!$T$2:$T$19,0),_xlfn.XLOOKUP(I622,Lists!$P$2:$P$19,Lists!$T$2:$T$19,0),_xlfn.XLOOKUP(K622,Lists!$P$2:$P$19,Lists!$T$2:$T$19,0)))</f>
        <v/>
      </c>
      <c r="Q622" s="68" t="str">
        <f ca="1">IF($B622="","",SUM(_xlfn.XLOOKUP(C622,Lists!$P$2:$P$19,Lists!$U$2:$U$19,0),_xlfn.XLOOKUP(E622,Lists!$P$2:$P$19,Lists!$U$2:$U$19,0),_xlfn.XLOOKUP(G622,Lists!$P$2:$P$19,Lists!$U$2:$U$19,0),_xlfn.XLOOKUP(I622,Lists!$P$2:$P$19,Lists!$U$2:$U$19,0),_xlfn.XLOOKUP(K622,Lists!$P$2:$P$19,Lists!$U$2:$U$19,0)))</f>
        <v/>
      </c>
      <c r="R622" s="68" t="str">
        <f ca="1">IF($B622="","",SUM(_xlfn.XLOOKUP(C622,Lists!$P$2:$P$19,Lists!$V$2:$V$19,0),_xlfn.XLOOKUP(E622,Lists!$P$2:$P$19,Lists!$V$2:$V$19,0),_xlfn.XLOOKUP(G622,Lists!$P$2:$P$19,Lists!$V$2:$V$19,0),_xlfn.XLOOKUP(I622,Lists!$P$2:$P$19,Lists!$V$2:$V$19,0),_xlfn.XLOOKUP(K622,Lists!$P$2:$P$19,Lists!$V$2:$V$19,0)))</f>
        <v/>
      </c>
      <c r="S622" s="68" t="str">
        <f ca="1">IF($B622="","",SUM(_xlfn.XLOOKUP(D622,Lists!$AC$2:$AC$9,Lists!$AD$2:$AD$9,0),_xlfn.XLOOKUP(F622,Lists!$AC$2:$AC$9,Lists!$AD$2:$AD$9,0),_xlfn.XLOOKUP(H622,Lists!$AC$2:$AC$9,Lists!$AD$2:$AD$9,0),_xlfn.XLOOKUP(J622,Lists!$AC$2:$AC$9,Lists!$AD$2:$AD$9,0),_xlfn.XLOOKUP(L622,Lists!$AC$2:$AC$9,Lists!$AD$2:$AD$9,0)))</f>
        <v/>
      </c>
      <c r="T622" s="68" t="str">
        <f ca="1">IF($B622="","",SUM(_xlfn.XLOOKUP(C622,Lists!$P$2:$P$19,Lists!$W$2:$W$19,0),_xlfn.XLOOKUP(E622,Lists!$P$2:$P$19,Lists!$W$2:$W$19,0),_xlfn.XLOOKUP(G622,Lists!$P$2:$P$19,Lists!$W$2:$W$19,0),_xlfn.XLOOKUP(I622,Lists!$P$2:$P$19,Lists!$W$2:$W$19,0),_xlfn.XLOOKUP(K622,Lists!$P$2:$P$19,Lists!$W$2:$W$19,0)))</f>
        <v/>
      </c>
      <c r="U622" s="68" t="str">
        <f ca="1">IF($B622="","",SUM(_xlfn.XLOOKUP(C622,Lists!$P$2:$P$19,Lists!$X$2:$X$19,0),_xlfn.XLOOKUP(E622,Lists!$P$2:$P$19,Lists!$X$2:$X$19,0),_xlfn.XLOOKUP(G622,Lists!$P$2:$P$19,Lists!$X$2:$X$19,0),_xlfn.XLOOKUP(I622,Lists!$P$2:$P$19,Lists!$X$2:$X$19,0),_xlfn.XLOOKUP(K622,Lists!$P$2:$P$19,Lists!$X$2:$X$19,0)))</f>
        <v/>
      </c>
      <c r="V622" s="68" t="str">
        <f ca="1">IF($B622="","",SUM(_xlfn.XLOOKUP(C622,Lists!$P$2:$P$19,Lists!$Y$2:$Y$19,0),_xlfn.XLOOKUP(E622,Lists!$P$2:$P$19,Lists!$Y$2:$Y$19,0),_xlfn.XLOOKUP(G622,Lists!$P$2:$P$19,Lists!$Y$2:$Y$19,0),_xlfn.XLOOKUP(I622,Lists!$P$2:$P$19,Lists!$Y$2:$Y$19,0),_xlfn.XLOOKUP(K622,Lists!$P$2:$P$19,Lists!$Y$2:$Y$19,0)))</f>
        <v/>
      </c>
      <c r="W622" s="68" t="str">
        <f ca="1">IF($B622="","",SUM(_xlfn.XLOOKUP(C622,Lists!$P$2:$P$19,Lists!$Z$2:$Z$19,0),_xlfn.XLOOKUP(E622,Lists!$P$2:$P$19,Lists!$Z$2:$Z$19,0),_xlfn.XLOOKUP(G622,Lists!$P$2:$P$19,Lists!$Z$2:$Z$19,0),_xlfn.XLOOKUP(I622,Lists!$P$2:$P$19,Lists!$Z$2:$Z$19,0),_xlfn.XLOOKUP(K622,Lists!$P$2:$P$19,Lists!$Z$2:$Z$19,0)))</f>
        <v/>
      </c>
      <c r="X622" s="69" t="str">
        <f ca="1">IF($B622="","",SUM(_xlfn.XLOOKUP(C622,Lists!$P$2:$P$19,Lists!$AA$2:$AA$19,0),_xlfn.XLOOKUP(E622,Lists!$P$2:$P$19,Lists!$AA$2:$AA$19,0),_xlfn.XLOOKUP(G622,Lists!$P$2:$P$19,Lists!$AA$2:$AA$19,0),_xlfn.XLOOKUP(I622,Lists!$P$2:$P$19,Lists!$AA$2:$AA$19,0),_xlfn.XLOOKUP(K622,Lists!$P$2:$P$19,Lists!$AA$2:$AA$19,0)))</f>
        <v/>
      </c>
      <c r="Y622" s="49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  <c r="CL622" s="18"/>
      <c r="CM622" s="18"/>
      <c r="CN622" s="18"/>
      <c r="CO622" s="18"/>
      <c r="CP622" s="18"/>
      <c r="CQ622" s="18"/>
      <c r="CR622" s="18"/>
      <c r="CS622" s="18"/>
      <c r="CT622" s="18"/>
      <c r="CU622" s="18"/>
      <c r="CV622" s="18"/>
      <c r="CW622" s="18"/>
      <c r="CX622" s="18"/>
      <c r="CY622" s="18"/>
      <c r="CZ622" s="18"/>
      <c r="DA622" s="18"/>
      <c r="DB622" s="18"/>
      <c r="DC622" s="18"/>
      <c r="DD622" s="18"/>
      <c r="DE622" s="18"/>
      <c r="DF622" s="18"/>
    </row>
    <row r="623" spans="1:110">
      <c r="A623" s="168">
        <v>6</v>
      </c>
      <c r="B623" s="47" t="str">
        <f ca="1">Lineups!$H$178</f>
        <v/>
      </c>
      <c r="C623" s="49"/>
      <c r="D623" s="49"/>
      <c r="E623" s="49"/>
      <c r="F623" s="49"/>
      <c r="G623" s="49"/>
      <c r="H623" s="50"/>
      <c r="I623" s="50"/>
      <c r="J623" s="50"/>
      <c r="K623" s="50"/>
      <c r="L623" s="50"/>
      <c r="M623" s="67" t="str">
        <f ca="1">IF($B623="","",SUM(_xlfn.XLOOKUP(C623,Lists!$P$2:$P$19,Lists!$R$2:$R$19,0),_xlfn.XLOOKUP(E623,Lists!$P$2:$P$19,Lists!$R$2:$R$19,0),_xlfn.XLOOKUP(G623,Lists!$P$2:$P$19,Lists!$R$2:$R$19,0),_xlfn.XLOOKUP(I623,Lists!$P$2:$P$19,Lists!$R$2:$R$19,0),_xlfn.XLOOKUP(K623,Lists!$P$2:$P$19,Lists!$R$2:$R$19,0)))</f>
        <v/>
      </c>
      <c r="N623" s="68" t="str">
        <f ca="1">IF($B623="","",SUM(_xlfn.XLOOKUP(D623,Lists!$AC$2:$AC$9,Lists!$AE$2:$AE$9,0),_xlfn.XLOOKUP(F623,Lists!$AC$2:$AC$9,Lists!$AE$2:$AE$9,0),_xlfn.XLOOKUP(H623,Lists!$AC$2:$AC$9,Lists!$AE$2:$AE$9,0),_xlfn.XLOOKUP(J623,Lists!$AC$2:$AC$9,Lists!$AE$2:$AE$9,0),_xlfn.XLOOKUP(L623,Lists!$AC$2:$AC$9,Lists!$AE$2:$AE$9,0)))</f>
        <v/>
      </c>
      <c r="O623" s="68" t="str">
        <f ca="1">IF($B623="","",SUM(_xlfn.XLOOKUP(C623,Lists!$P$2:$P$19,Lists!$S$2:$S$19,0),_xlfn.XLOOKUP(E623,Lists!$P$2:$P$19,Lists!$S$2:$S$19,0),_xlfn.XLOOKUP(G623,Lists!$P$2:$P$19,Lists!$S$2:$S$19,0),_xlfn.XLOOKUP(I623,Lists!$P$2:$P$19,Lists!$S$2:$S$19,0),_xlfn.XLOOKUP(K623,Lists!$P$2:$P$19,Lists!$S$2:$S$19,0)))</f>
        <v/>
      </c>
      <c r="P623" s="68" t="str">
        <f ca="1">IF($B623="","",SUM(_xlfn.XLOOKUP(C623,Lists!$P$2:$P$19,Lists!$T$2:$T$19,0),_xlfn.XLOOKUP(E623,Lists!$P$2:$P$19,Lists!$T$2:$T$19,0),_xlfn.XLOOKUP(G623,Lists!$P$2:$P$19,Lists!$T$2:$T$19,0),_xlfn.XLOOKUP(I623,Lists!$P$2:$P$19,Lists!$T$2:$T$19,0),_xlfn.XLOOKUP(K623,Lists!$P$2:$P$19,Lists!$T$2:$T$19,0)))</f>
        <v/>
      </c>
      <c r="Q623" s="68" t="str">
        <f ca="1">IF($B623="","",SUM(_xlfn.XLOOKUP(C623,Lists!$P$2:$P$19,Lists!$U$2:$U$19,0),_xlfn.XLOOKUP(E623,Lists!$P$2:$P$19,Lists!$U$2:$U$19,0),_xlfn.XLOOKUP(G623,Lists!$P$2:$P$19,Lists!$U$2:$U$19,0),_xlfn.XLOOKUP(I623,Lists!$P$2:$P$19,Lists!$U$2:$U$19,0),_xlfn.XLOOKUP(K623,Lists!$P$2:$P$19,Lists!$U$2:$U$19,0)))</f>
        <v/>
      </c>
      <c r="R623" s="68" t="str">
        <f ca="1">IF($B623="","",SUM(_xlfn.XLOOKUP(C623,Lists!$P$2:$P$19,Lists!$V$2:$V$19,0),_xlfn.XLOOKUP(E623,Lists!$P$2:$P$19,Lists!$V$2:$V$19,0),_xlfn.XLOOKUP(G623,Lists!$P$2:$P$19,Lists!$V$2:$V$19,0),_xlfn.XLOOKUP(I623,Lists!$P$2:$P$19,Lists!$V$2:$V$19,0),_xlfn.XLOOKUP(K623,Lists!$P$2:$P$19,Lists!$V$2:$V$19,0)))</f>
        <v/>
      </c>
      <c r="S623" s="68" t="str">
        <f ca="1">IF($B623="","",SUM(_xlfn.XLOOKUP(D623,Lists!$AC$2:$AC$9,Lists!$AD$2:$AD$9,0),_xlfn.XLOOKUP(F623,Lists!$AC$2:$AC$9,Lists!$AD$2:$AD$9,0),_xlfn.XLOOKUP(H623,Lists!$AC$2:$AC$9,Lists!$AD$2:$AD$9,0),_xlfn.XLOOKUP(J623,Lists!$AC$2:$AC$9,Lists!$AD$2:$AD$9,0),_xlfn.XLOOKUP(L623,Lists!$AC$2:$AC$9,Lists!$AD$2:$AD$9,0)))</f>
        <v/>
      </c>
      <c r="T623" s="68" t="str">
        <f ca="1">IF($B623="","",SUM(_xlfn.XLOOKUP(C623,Lists!$P$2:$P$19,Lists!$W$2:$W$19,0),_xlfn.XLOOKUP(E623,Lists!$P$2:$P$19,Lists!$W$2:$W$19,0),_xlfn.XLOOKUP(G623,Lists!$P$2:$P$19,Lists!$W$2:$W$19,0),_xlfn.XLOOKUP(I623,Lists!$P$2:$P$19,Lists!$W$2:$W$19,0),_xlfn.XLOOKUP(K623,Lists!$P$2:$P$19,Lists!$W$2:$W$19,0)))</f>
        <v/>
      </c>
      <c r="U623" s="68" t="str">
        <f ca="1">IF($B623="","",SUM(_xlfn.XLOOKUP(C623,Lists!$P$2:$P$19,Lists!$X$2:$X$19,0),_xlfn.XLOOKUP(E623,Lists!$P$2:$P$19,Lists!$X$2:$X$19,0),_xlfn.XLOOKUP(G623,Lists!$P$2:$P$19,Lists!$X$2:$X$19,0),_xlfn.XLOOKUP(I623,Lists!$P$2:$P$19,Lists!$X$2:$X$19,0),_xlfn.XLOOKUP(K623,Lists!$P$2:$P$19,Lists!$X$2:$X$19,0)))</f>
        <v/>
      </c>
      <c r="V623" s="68" t="str">
        <f ca="1">IF($B623="","",SUM(_xlfn.XLOOKUP(C623,Lists!$P$2:$P$19,Lists!$Y$2:$Y$19,0),_xlfn.XLOOKUP(E623,Lists!$P$2:$P$19,Lists!$Y$2:$Y$19,0),_xlfn.XLOOKUP(G623,Lists!$P$2:$P$19,Lists!$Y$2:$Y$19,0),_xlfn.XLOOKUP(I623,Lists!$P$2:$P$19,Lists!$Y$2:$Y$19,0),_xlfn.XLOOKUP(K623,Lists!$P$2:$P$19,Lists!$Y$2:$Y$19,0)))</f>
        <v/>
      </c>
      <c r="W623" s="68" t="str">
        <f ca="1">IF($B623="","",SUM(_xlfn.XLOOKUP(C623,Lists!$P$2:$P$19,Lists!$Z$2:$Z$19,0),_xlfn.XLOOKUP(E623,Lists!$P$2:$P$19,Lists!$Z$2:$Z$19,0),_xlfn.XLOOKUP(G623,Lists!$P$2:$P$19,Lists!$Z$2:$Z$19,0),_xlfn.XLOOKUP(I623,Lists!$P$2:$P$19,Lists!$Z$2:$Z$19,0),_xlfn.XLOOKUP(K623,Lists!$P$2:$P$19,Lists!$Z$2:$Z$19,0)))</f>
        <v/>
      </c>
      <c r="X623" s="69" t="str">
        <f ca="1">IF($B623="","",SUM(_xlfn.XLOOKUP(C623,Lists!$P$2:$P$19,Lists!$AA$2:$AA$19,0),_xlfn.XLOOKUP(E623,Lists!$P$2:$P$19,Lists!$AA$2:$AA$19,0),_xlfn.XLOOKUP(G623,Lists!$P$2:$P$19,Lists!$AA$2:$AA$19,0),_xlfn.XLOOKUP(I623,Lists!$P$2:$P$19,Lists!$AA$2:$AA$19,0),_xlfn.XLOOKUP(K623,Lists!$P$2:$P$19,Lists!$AA$2:$AA$19,0)))</f>
        <v/>
      </c>
      <c r="Y623" s="49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18"/>
      <c r="CN623" s="18"/>
      <c r="CO623" s="18"/>
      <c r="CP623" s="18"/>
      <c r="CQ623" s="18"/>
      <c r="CR623" s="18"/>
      <c r="CS623" s="18"/>
      <c r="CT623" s="18"/>
      <c r="CU623" s="18"/>
      <c r="CV623" s="18"/>
      <c r="CW623" s="18"/>
      <c r="CX623" s="18"/>
      <c r="CY623" s="18"/>
      <c r="CZ623" s="18"/>
      <c r="DA623" s="18"/>
      <c r="DB623" s="18"/>
      <c r="DC623" s="18"/>
      <c r="DD623" s="18"/>
      <c r="DE623" s="18"/>
      <c r="DF623" s="18"/>
    </row>
    <row r="624" spans="1:110">
      <c r="A624" s="168">
        <v>7</v>
      </c>
      <c r="B624" s="47" t="str">
        <f ca="1">Lineups!$H$179</f>
        <v/>
      </c>
      <c r="C624" s="49"/>
      <c r="D624" s="49"/>
      <c r="E624" s="49"/>
      <c r="F624" s="49"/>
      <c r="G624" s="49"/>
      <c r="H624" s="50"/>
      <c r="I624" s="50"/>
      <c r="J624" s="50"/>
      <c r="K624" s="50"/>
      <c r="L624" s="50"/>
      <c r="M624" s="67" t="str">
        <f ca="1">IF($B624="","",SUM(_xlfn.XLOOKUP(C624,Lists!$P$2:$P$19,Lists!$R$2:$R$19,0),_xlfn.XLOOKUP(E624,Lists!$P$2:$P$19,Lists!$R$2:$R$19,0),_xlfn.XLOOKUP(G624,Lists!$P$2:$P$19,Lists!$R$2:$R$19,0),_xlfn.XLOOKUP(I624,Lists!$P$2:$P$19,Lists!$R$2:$R$19,0),_xlfn.XLOOKUP(K624,Lists!$P$2:$P$19,Lists!$R$2:$R$19,0)))</f>
        <v/>
      </c>
      <c r="N624" s="68" t="str">
        <f ca="1">IF($B624="","",SUM(_xlfn.XLOOKUP(D624,Lists!$AC$2:$AC$9,Lists!$AE$2:$AE$9,0),_xlfn.XLOOKUP(F624,Lists!$AC$2:$AC$9,Lists!$AE$2:$AE$9,0),_xlfn.XLOOKUP(H624,Lists!$AC$2:$AC$9,Lists!$AE$2:$AE$9,0),_xlfn.XLOOKUP(J624,Lists!$AC$2:$AC$9,Lists!$AE$2:$AE$9,0),_xlfn.XLOOKUP(L624,Lists!$AC$2:$AC$9,Lists!$AE$2:$AE$9,0)))</f>
        <v/>
      </c>
      <c r="O624" s="68" t="str">
        <f ca="1">IF($B624="","",SUM(_xlfn.XLOOKUP(C624,Lists!$P$2:$P$19,Lists!$S$2:$S$19,0),_xlfn.XLOOKUP(E624,Lists!$P$2:$P$19,Lists!$S$2:$S$19,0),_xlfn.XLOOKUP(G624,Lists!$P$2:$P$19,Lists!$S$2:$S$19,0),_xlfn.XLOOKUP(I624,Lists!$P$2:$P$19,Lists!$S$2:$S$19,0),_xlfn.XLOOKUP(K624,Lists!$P$2:$P$19,Lists!$S$2:$S$19,0)))</f>
        <v/>
      </c>
      <c r="P624" s="68" t="str">
        <f ca="1">IF($B624="","",SUM(_xlfn.XLOOKUP(C624,Lists!$P$2:$P$19,Lists!$T$2:$T$19,0),_xlfn.XLOOKUP(E624,Lists!$P$2:$P$19,Lists!$T$2:$T$19,0),_xlfn.XLOOKUP(G624,Lists!$P$2:$P$19,Lists!$T$2:$T$19,0),_xlfn.XLOOKUP(I624,Lists!$P$2:$P$19,Lists!$T$2:$T$19,0),_xlfn.XLOOKUP(K624,Lists!$P$2:$P$19,Lists!$T$2:$T$19,0)))</f>
        <v/>
      </c>
      <c r="Q624" s="68" t="str">
        <f ca="1">IF($B624="","",SUM(_xlfn.XLOOKUP(C624,Lists!$P$2:$P$19,Lists!$U$2:$U$19,0),_xlfn.XLOOKUP(E624,Lists!$P$2:$P$19,Lists!$U$2:$U$19,0),_xlfn.XLOOKUP(G624,Lists!$P$2:$P$19,Lists!$U$2:$U$19,0),_xlfn.XLOOKUP(I624,Lists!$P$2:$P$19,Lists!$U$2:$U$19,0),_xlfn.XLOOKUP(K624,Lists!$P$2:$P$19,Lists!$U$2:$U$19,0)))</f>
        <v/>
      </c>
      <c r="R624" s="68" t="str">
        <f ca="1">IF($B624="","",SUM(_xlfn.XLOOKUP(C624,Lists!$P$2:$P$19,Lists!$V$2:$V$19,0),_xlfn.XLOOKUP(E624,Lists!$P$2:$P$19,Lists!$V$2:$V$19,0),_xlfn.XLOOKUP(G624,Lists!$P$2:$P$19,Lists!$V$2:$V$19,0),_xlfn.XLOOKUP(I624,Lists!$P$2:$P$19,Lists!$V$2:$V$19,0),_xlfn.XLOOKUP(K624,Lists!$P$2:$P$19,Lists!$V$2:$V$19,0)))</f>
        <v/>
      </c>
      <c r="S624" s="68" t="str">
        <f ca="1">IF($B624="","",SUM(_xlfn.XLOOKUP(D624,Lists!$AC$2:$AC$9,Lists!$AD$2:$AD$9,0),_xlfn.XLOOKUP(F624,Lists!$AC$2:$AC$9,Lists!$AD$2:$AD$9,0),_xlfn.XLOOKUP(H624,Lists!$AC$2:$AC$9,Lists!$AD$2:$AD$9,0),_xlfn.XLOOKUP(J624,Lists!$AC$2:$AC$9,Lists!$AD$2:$AD$9,0),_xlfn.XLOOKUP(L624,Lists!$AC$2:$AC$9,Lists!$AD$2:$AD$9,0)))</f>
        <v/>
      </c>
      <c r="T624" s="68" t="str">
        <f ca="1">IF($B624="","",SUM(_xlfn.XLOOKUP(C624,Lists!$P$2:$P$19,Lists!$W$2:$W$19,0),_xlfn.XLOOKUP(E624,Lists!$P$2:$P$19,Lists!$W$2:$W$19,0),_xlfn.XLOOKUP(G624,Lists!$P$2:$P$19,Lists!$W$2:$W$19,0),_xlfn.XLOOKUP(I624,Lists!$P$2:$P$19,Lists!$W$2:$W$19,0),_xlfn.XLOOKUP(K624,Lists!$P$2:$P$19,Lists!$W$2:$W$19,0)))</f>
        <v/>
      </c>
      <c r="U624" s="68" t="str">
        <f ca="1">IF($B624="","",SUM(_xlfn.XLOOKUP(C624,Lists!$P$2:$P$19,Lists!$X$2:$X$19,0),_xlfn.XLOOKUP(E624,Lists!$P$2:$P$19,Lists!$X$2:$X$19,0),_xlfn.XLOOKUP(G624,Lists!$P$2:$P$19,Lists!$X$2:$X$19,0),_xlfn.XLOOKUP(I624,Lists!$P$2:$P$19,Lists!$X$2:$X$19,0),_xlfn.XLOOKUP(K624,Lists!$P$2:$P$19,Lists!$X$2:$X$19,0)))</f>
        <v/>
      </c>
      <c r="V624" s="68" t="str">
        <f ca="1">IF($B624="","",SUM(_xlfn.XLOOKUP(C624,Lists!$P$2:$P$19,Lists!$Y$2:$Y$19,0),_xlfn.XLOOKUP(E624,Lists!$P$2:$P$19,Lists!$Y$2:$Y$19,0),_xlfn.XLOOKUP(G624,Lists!$P$2:$P$19,Lists!$Y$2:$Y$19,0),_xlfn.XLOOKUP(I624,Lists!$P$2:$P$19,Lists!$Y$2:$Y$19,0),_xlfn.XLOOKUP(K624,Lists!$P$2:$P$19,Lists!$Y$2:$Y$19,0)))</f>
        <v/>
      </c>
      <c r="W624" s="68" t="str">
        <f ca="1">IF($B624="","",SUM(_xlfn.XLOOKUP(C624,Lists!$P$2:$P$19,Lists!$Z$2:$Z$19,0),_xlfn.XLOOKUP(E624,Lists!$P$2:$P$19,Lists!$Z$2:$Z$19,0),_xlfn.XLOOKUP(G624,Lists!$P$2:$P$19,Lists!$Z$2:$Z$19,0),_xlfn.XLOOKUP(I624,Lists!$P$2:$P$19,Lists!$Z$2:$Z$19,0),_xlfn.XLOOKUP(K624,Lists!$P$2:$P$19,Lists!$Z$2:$Z$19,0)))</f>
        <v/>
      </c>
      <c r="X624" s="69" t="str">
        <f ca="1">IF($B624="","",SUM(_xlfn.XLOOKUP(C624,Lists!$P$2:$P$19,Lists!$AA$2:$AA$19,0),_xlfn.XLOOKUP(E624,Lists!$P$2:$P$19,Lists!$AA$2:$AA$19,0),_xlfn.XLOOKUP(G624,Lists!$P$2:$P$19,Lists!$AA$2:$AA$19,0),_xlfn.XLOOKUP(I624,Lists!$P$2:$P$19,Lists!$AA$2:$AA$19,0),_xlfn.XLOOKUP(K624,Lists!$P$2:$P$19,Lists!$AA$2:$AA$19,0)))</f>
        <v/>
      </c>
      <c r="Y624" s="49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  <c r="CL624" s="18"/>
      <c r="CM624" s="18"/>
      <c r="CN624" s="18"/>
      <c r="CO624" s="18"/>
      <c r="CP624" s="18"/>
      <c r="CQ624" s="18"/>
      <c r="CR624" s="18"/>
      <c r="CS624" s="18"/>
      <c r="CT624" s="18"/>
      <c r="CU624" s="18"/>
      <c r="CV624" s="18"/>
      <c r="CW624" s="18"/>
      <c r="CX624" s="18"/>
      <c r="CY624" s="18"/>
      <c r="CZ624" s="18"/>
      <c r="DA624" s="18"/>
      <c r="DB624" s="18"/>
      <c r="DC624" s="18"/>
      <c r="DD624" s="18"/>
      <c r="DE624" s="18"/>
      <c r="DF624" s="18"/>
    </row>
    <row r="625" spans="1:110">
      <c r="A625" s="168">
        <v>8</v>
      </c>
      <c r="B625" s="47" t="str">
        <f ca="1">Lineups!$H$180</f>
        <v/>
      </c>
      <c r="C625" s="49"/>
      <c r="D625" s="49"/>
      <c r="E625" s="49"/>
      <c r="F625" s="49"/>
      <c r="G625" s="49"/>
      <c r="H625" s="50"/>
      <c r="I625" s="50"/>
      <c r="J625" s="50"/>
      <c r="K625" s="50"/>
      <c r="L625" s="50"/>
      <c r="M625" s="67" t="str">
        <f ca="1">IF($B625="","",SUM(_xlfn.XLOOKUP(C625,Lists!$P$2:$P$19,Lists!$R$2:$R$19,0),_xlfn.XLOOKUP(E625,Lists!$P$2:$P$19,Lists!$R$2:$R$19,0),_xlfn.XLOOKUP(G625,Lists!$P$2:$P$19,Lists!$R$2:$R$19,0),_xlfn.XLOOKUP(I625,Lists!$P$2:$P$19,Lists!$R$2:$R$19,0),_xlfn.XLOOKUP(K625,Lists!$P$2:$P$19,Lists!$R$2:$R$19,0)))</f>
        <v/>
      </c>
      <c r="N625" s="68" t="str">
        <f ca="1">IF($B625="","",SUM(_xlfn.XLOOKUP(D625,Lists!$AC$2:$AC$9,Lists!$AE$2:$AE$9,0),_xlfn.XLOOKUP(F625,Lists!$AC$2:$AC$9,Lists!$AE$2:$AE$9,0),_xlfn.XLOOKUP(H625,Lists!$AC$2:$AC$9,Lists!$AE$2:$AE$9,0),_xlfn.XLOOKUP(J625,Lists!$AC$2:$AC$9,Lists!$AE$2:$AE$9,0),_xlfn.XLOOKUP(L625,Lists!$AC$2:$AC$9,Lists!$AE$2:$AE$9,0)))</f>
        <v/>
      </c>
      <c r="O625" s="68" t="str">
        <f ca="1">IF($B625="","",SUM(_xlfn.XLOOKUP(C625,Lists!$P$2:$P$19,Lists!$S$2:$S$19,0),_xlfn.XLOOKUP(E625,Lists!$P$2:$P$19,Lists!$S$2:$S$19,0),_xlfn.XLOOKUP(G625,Lists!$P$2:$P$19,Lists!$S$2:$S$19,0),_xlfn.XLOOKUP(I625,Lists!$P$2:$P$19,Lists!$S$2:$S$19,0),_xlfn.XLOOKUP(K625,Lists!$P$2:$P$19,Lists!$S$2:$S$19,0)))</f>
        <v/>
      </c>
      <c r="P625" s="68" t="str">
        <f ca="1">IF($B625="","",SUM(_xlfn.XLOOKUP(C625,Lists!$P$2:$P$19,Lists!$T$2:$T$19,0),_xlfn.XLOOKUP(E625,Lists!$P$2:$P$19,Lists!$T$2:$T$19,0),_xlfn.XLOOKUP(G625,Lists!$P$2:$P$19,Lists!$T$2:$T$19,0),_xlfn.XLOOKUP(I625,Lists!$P$2:$P$19,Lists!$T$2:$T$19,0),_xlfn.XLOOKUP(K625,Lists!$P$2:$P$19,Lists!$T$2:$T$19,0)))</f>
        <v/>
      </c>
      <c r="Q625" s="68" t="str">
        <f ca="1">IF($B625="","",SUM(_xlfn.XLOOKUP(C625,Lists!$P$2:$P$19,Lists!$U$2:$U$19,0),_xlfn.XLOOKUP(E625,Lists!$P$2:$P$19,Lists!$U$2:$U$19,0),_xlfn.XLOOKUP(G625,Lists!$P$2:$P$19,Lists!$U$2:$U$19,0),_xlfn.XLOOKUP(I625,Lists!$P$2:$P$19,Lists!$U$2:$U$19,0),_xlfn.XLOOKUP(K625,Lists!$P$2:$P$19,Lists!$U$2:$U$19,0)))</f>
        <v/>
      </c>
      <c r="R625" s="68" t="str">
        <f ca="1">IF($B625="","",SUM(_xlfn.XLOOKUP(C625,Lists!$P$2:$P$19,Lists!$V$2:$V$19,0),_xlfn.XLOOKUP(E625,Lists!$P$2:$P$19,Lists!$V$2:$V$19,0),_xlfn.XLOOKUP(G625,Lists!$P$2:$P$19,Lists!$V$2:$V$19,0),_xlfn.XLOOKUP(I625,Lists!$P$2:$P$19,Lists!$V$2:$V$19,0),_xlfn.XLOOKUP(K625,Lists!$P$2:$P$19,Lists!$V$2:$V$19,0)))</f>
        <v/>
      </c>
      <c r="S625" s="68" t="str">
        <f ca="1">IF($B625="","",SUM(_xlfn.XLOOKUP(D625,Lists!$AC$2:$AC$9,Lists!$AD$2:$AD$9,0),_xlfn.XLOOKUP(F625,Lists!$AC$2:$AC$9,Lists!$AD$2:$AD$9,0),_xlfn.XLOOKUP(H625,Lists!$AC$2:$AC$9,Lists!$AD$2:$AD$9,0),_xlfn.XLOOKUP(J625,Lists!$AC$2:$AC$9,Lists!$AD$2:$AD$9,0),_xlfn.XLOOKUP(L625,Lists!$AC$2:$AC$9,Lists!$AD$2:$AD$9,0)))</f>
        <v/>
      </c>
      <c r="T625" s="68" t="str">
        <f ca="1">IF($B625="","",SUM(_xlfn.XLOOKUP(C625,Lists!$P$2:$P$19,Lists!$W$2:$W$19,0),_xlfn.XLOOKUP(E625,Lists!$P$2:$P$19,Lists!$W$2:$W$19,0),_xlfn.XLOOKUP(G625,Lists!$P$2:$P$19,Lists!$W$2:$W$19,0),_xlfn.XLOOKUP(I625,Lists!$P$2:$P$19,Lists!$W$2:$W$19,0),_xlfn.XLOOKUP(K625,Lists!$P$2:$P$19,Lists!$W$2:$W$19,0)))</f>
        <v/>
      </c>
      <c r="U625" s="68" t="str">
        <f ca="1">IF($B625="","",SUM(_xlfn.XLOOKUP(C625,Lists!$P$2:$P$19,Lists!$X$2:$X$19,0),_xlfn.XLOOKUP(E625,Lists!$P$2:$P$19,Lists!$X$2:$X$19,0),_xlfn.XLOOKUP(G625,Lists!$P$2:$P$19,Lists!$X$2:$X$19,0),_xlfn.XLOOKUP(I625,Lists!$P$2:$P$19,Lists!$X$2:$X$19,0),_xlfn.XLOOKUP(K625,Lists!$P$2:$P$19,Lists!$X$2:$X$19,0)))</f>
        <v/>
      </c>
      <c r="V625" s="68" t="str">
        <f ca="1">IF($B625="","",SUM(_xlfn.XLOOKUP(C625,Lists!$P$2:$P$19,Lists!$Y$2:$Y$19,0),_xlfn.XLOOKUP(E625,Lists!$P$2:$P$19,Lists!$Y$2:$Y$19,0),_xlfn.XLOOKUP(G625,Lists!$P$2:$P$19,Lists!$Y$2:$Y$19,0),_xlfn.XLOOKUP(I625,Lists!$P$2:$P$19,Lists!$Y$2:$Y$19,0),_xlfn.XLOOKUP(K625,Lists!$P$2:$P$19,Lists!$Y$2:$Y$19,0)))</f>
        <v/>
      </c>
      <c r="W625" s="68" t="str">
        <f ca="1">IF($B625="","",SUM(_xlfn.XLOOKUP(C625,Lists!$P$2:$P$19,Lists!$Z$2:$Z$19,0),_xlfn.XLOOKUP(E625,Lists!$P$2:$P$19,Lists!$Z$2:$Z$19,0),_xlfn.XLOOKUP(G625,Lists!$P$2:$P$19,Lists!$Z$2:$Z$19,0),_xlfn.XLOOKUP(I625,Lists!$P$2:$P$19,Lists!$Z$2:$Z$19,0),_xlfn.XLOOKUP(K625,Lists!$P$2:$P$19,Lists!$Z$2:$Z$19,0)))</f>
        <v/>
      </c>
      <c r="X625" s="69" t="str">
        <f ca="1">IF($B625="","",SUM(_xlfn.XLOOKUP(C625,Lists!$P$2:$P$19,Lists!$AA$2:$AA$19,0),_xlfn.XLOOKUP(E625,Lists!$P$2:$P$19,Lists!$AA$2:$AA$19,0),_xlfn.XLOOKUP(G625,Lists!$P$2:$P$19,Lists!$AA$2:$AA$19,0),_xlfn.XLOOKUP(I625,Lists!$P$2:$P$19,Lists!$AA$2:$AA$19,0),_xlfn.XLOOKUP(K625,Lists!$P$2:$P$19,Lists!$AA$2:$AA$19,0)))</f>
        <v/>
      </c>
      <c r="Y625" s="49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  <c r="CL625" s="18"/>
      <c r="CM625" s="18"/>
      <c r="CN625" s="18"/>
      <c r="CO625" s="18"/>
      <c r="CP625" s="18"/>
      <c r="CQ625" s="18"/>
      <c r="CR625" s="18"/>
      <c r="CS625" s="18"/>
      <c r="CT625" s="18"/>
      <c r="CU625" s="18"/>
      <c r="CV625" s="18"/>
      <c r="CW625" s="18"/>
      <c r="CX625" s="18"/>
      <c r="CY625" s="18"/>
      <c r="CZ625" s="18"/>
      <c r="DA625" s="18"/>
      <c r="DB625" s="18"/>
      <c r="DC625" s="18"/>
      <c r="DD625" s="18"/>
      <c r="DE625" s="18"/>
      <c r="DF625" s="18"/>
    </row>
    <row r="626" spans="1:110">
      <c r="A626" s="168">
        <v>9</v>
      </c>
      <c r="B626" s="47" t="str">
        <f ca="1">Lineups!$H$181</f>
        <v/>
      </c>
      <c r="C626" s="49"/>
      <c r="D626" s="49"/>
      <c r="E626" s="49"/>
      <c r="F626" s="49"/>
      <c r="G626" s="49"/>
      <c r="H626" s="50"/>
      <c r="I626" s="50"/>
      <c r="J626" s="50"/>
      <c r="K626" s="50"/>
      <c r="L626" s="50"/>
      <c r="M626" s="67" t="str">
        <f ca="1">IF($B626="","",SUM(_xlfn.XLOOKUP(C626,Lists!$P$2:$P$19,Lists!$R$2:$R$19,0),_xlfn.XLOOKUP(E626,Lists!$P$2:$P$19,Lists!$R$2:$R$19,0),_xlfn.XLOOKUP(G626,Lists!$P$2:$P$19,Lists!$R$2:$R$19,0),_xlfn.XLOOKUP(I626,Lists!$P$2:$P$19,Lists!$R$2:$R$19,0),_xlfn.XLOOKUP(K626,Lists!$P$2:$P$19,Lists!$R$2:$R$19,0)))</f>
        <v/>
      </c>
      <c r="N626" s="68" t="str">
        <f ca="1">IF($B626="","",SUM(_xlfn.XLOOKUP(D626,Lists!$AC$2:$AC$9,Lists!$AE$2:$AE$9,0),_xlfn.XLOOKUP(F626,Lists!$AC$2:$AC$9,Lists!$AE$2:$AE$9,0),_xlfn.XLOOKUP(H626,Lists!$AC$2:$AC$9,Lists!$AE$2:$AE$9,0),_xlfn.XLOOKUP(J626,Lists!$AC$2:$AC$9,Lists!$AE$2:$AE$9,0),_xlfn.XLOOKUP(L626,Lists!$AC$2:$AC$9,Lists!$AE$2:$AE$9,0)))</f>
        <v/>
      </c>
      <c r="O626" s="68" t="str">
        <f ca="1">IF($B626="","",SUM(_xlfn.XLOOKUP(C626,Lists!$P$2:$P$19,Lists!$S$2:$S$19,0),_xlfn.XLOOKUP(E626,Lists!$P$2:$P$19,Lists!$S$2:$S$19,0),_xlfn.XLOOKUP(G626,Lists!$P$2:$P$19,Lists!$S$2:$S$19,0),_xlfn.XLOOKUP(I626,Lists!$P$2:$P$19,Lists!$S$2:$S$19,0),_xlfn.XLOOKUP(K626,Lists!$P$2:$P$19,Lists!$S$2:$S$19,0)))</f>
        <v/>
      </c>
      <c r="P626" s="68" t="str">
        <f ca="1">IF($B626="","",SUM(_xlfn.XLOOKUP(C626,Lists!$P$2:$P$19,Lists!$T$2:$T$19,0),_xlfn.XLOOKUP(E626,Lists!$P$2:$P$19,Lists!$T$2:$T$19,0),_xlfn.XLOOKUP(G626,Lists!$P$2:$P$19,Lists!$T$2:$T$19,0),_xlfn.XLOOKUP(I626,Lists!$P$2:$P$19,Lists!$T$2:$T$19,0),_xlfn.XLOOKUP(K626,Lists!$P$2:$P$19,Lists!$T$2:$T$19,0)))</f>
        <v/>
      </c>
      <c r="Q626" s="68" t="str">
        <f ca="1">IF($B626="","",SUM(_xlfn.XLOOKUP(C626,Lists!$P$2:$P$19,Lists!$U$2:$U$19,0),_xlfn.XLOOKUP(E626,Lists!$P$2:$P$19,Lists!$U$2:$U$19,0),_xlfn.XLOOKUP(G626,Lists!$P$2:$P$19,Lists!$U$2:$U$19,0),_xlfn.XLOOKUP(I626,Lists!$P$2:$P$19,Lists!$U$2:$U$19,0),_xlfn.XLOOKUP(K626,Lists!$P$2:$P$19,Lists!$U$2:$U$19,0)))</f>
        <v/>
      </c>
      <c r="R626" s="68" t="str">
        <f ca="1">IF($B626="","",SUM(_xlfn.XLOOKUP(C626,Lists!$P$2:$P$19,Lists!$V$2:$V$19,0),_xlfn.XLOOKUP(E626,Lists!$P$2:$P$19,Lists!$V$2:$V$19,0),_xlfn.XLOOKUP(G626,Lists!$P$2:$P$19,Lists!$V$2:$V$19,0),_xlfn.XLOOKUP(I626,Lists!$P$2:$P$19,Lists!$V$2:$V$19,0),_xlfn.XLOOKUP(K626,Lists!$P$2:$P$19,Lists!$V$2:$V$19,0)))</f>
        <v/>
      </c>
      <c r="S626" s="68" t="str">
        <f ca="1">IF($B626="","",SUM(_xlfn.XLOOKUP(D626,Lists!$AC$2:$AC$9,Lists!$AD$2:$AD$9,0),_xlfn.XLOOKUP(F626,Lists!$AC$2:$AC$9,Lists!$AD$2:$AD$9,0),_xlfn.XLOOKUP(H626,Lists!$AC$2:$AC$9,Lists!$AD$2:$AD$9,0),_xlfn.XLOOKUP(J626,Lists!$AC$2:$AC$9,Lists!$AD$2:$AD$9,0),_xlfn.XLOOKUP(L626,Lists!$AC$2:$AC$9,Lists!$AD$2:$AD$9,0)))</f>
        <v/>
      </c>
      <c r="T626" s="68" t="str">
        <f ca="1">IF($B626="","",SUM(_xlfn.XLOOKUP(C626,Lists!$P$2:$P$19,Lists!$W$2:$W$19,0),_xlfn.XLOOKUP(E626,Lists!$P$2:$P$19,Lists!$W$2:$W$19,0),_xlfn.XLOOKUP(G626,Lists!$P$2:$P$19,Lists!$W$2:$W$19,0),_xlfn.XLOOKUP(I626,Lists!$P$2:$P$19,Lists!$W$2:$W$19,0),_xlfn.XLOOKUP(K626,Lists!$P$2:$P$19,Lists!$W$2:$W$19,0)))</f>
        <v/>
      </c>
      <c r="U626" s="68" t="str">
        <f ca="1">IF($B626="","",SUM(_xlfn.XLOOKUP(C626,Lists!$P$2:$P$19,Lists!$X$2:$X$19,0),_xlfn.XLOOKUP(E626,Lists!$P$2:$P$19,Lists!$X$2:$X$19,0),_xlfn.XLOOKUP(G626,Lists!$P$2:$P$19,Lists!$X$2:$X$19,0),_xlfn.XLOOKUP(I626,Lists!$P$2:$P$19,Lists!$X$2:$X$19,0),_xlfn.XLOOKUP(K626,Lists!$P$2:$P$19,Lists!$X$2:$X$19,0)))</f>
        <v/>
      </c>
      <c r="V626" s="68" t="str">
        <f ca="1">IF($B626="","",SUM(_xlfn.XLOOKUP(C626,Lists!$P$2:$P$19,Lists!$Y$2:$Y$19,0),_xlfn.XLOOKUP(E626,Lists!$P$2:$P$19,Lists!$Y$2:$Y$19,0),_xlfn.XLOOKUP(G626,Lists!$P$2:$P$19,Lists!$Y$2:$Y$19,0),_xlfn.XLOOKUP(I626,Lists!$P$2:$P$19,Lists!$Y$2:$Y$19,0),_xlfn.XLOOKUP(K626,Lists!$P$2:$P$19,Lists!$Y$2:$Y$19,0)))</f>
        <v/>
      </c>
      <c r="W626" s="68" t="str">
        <f ca="1">IF($B626="","",SUM(_xlfn.XLOOKUP(C626,Lists!$P$2:$P$19,Lists!$Z$2:$Z$19,0),_xlfn.XLOOKUP(E626,Lists!$P$2:$P$19,Lists!$Z$2:$Z$19,0),_xlfn.XLOOKUP(G626,Lists!$P$2:$P$19,Lists!$Z$2:$Z$19,0),_xlfn.XLOOKUP(I626,Lists!$P$2:$P$19,Lists!$Z$2:$Z$19,0),_xlfn.XLOOKUP(K626,Lists!$P$2:$P$19,Lists!$Z$2:$Z$19,0)))</f>
        <v/>
      </c>
      <c r="X626" s="69" t="str">
        <f ca="1">IF($B626="","",SUM(_xlfn.XLOOKUP(C626,Lists!$P$2:$P$19,Lists!$AA$2:$AA$19,0),_xlfn.XLOOKUP(E626,Lists!$P$2:$P$19,Lists!$AA$2:$AA$19,0),_xlfn.XLOOKUP(G626,Lists!$P$2:$P$19,Lists!$AA$2:$AA$19,0),_xlfn.XLOOKUP(I626,Lists!$P$2:$P$19,Lists!$AA$2:$AA$19,0),_xlfn.XLOOKUP(K626,Lists!$P$2:$P$19,Lists!$AA$2:$AA$19,0)))</f>
        <v/>
      </c>
      <c r="Y626" s="49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  <c r="CJ626" s="18"/>
      <c r="CK626" s="18"/>
      <c r="CL626" s="18"/>
      <c r="CM626" s="18"/>
      <c r="CN626" s="18"/>
      <c r="CO626" s="18"/>
      <c r="CP626" s="18"/>
      <c r="CQ626" s="18"/>
      <c r="CR626" s="18"/>
      <c r="CS626" s="18"/>
      <c r="CT626" s="18"/>
      <c r="CU626" s="18"/>
      <c r="CV626" s="18"/>
      <c r="CW626" s="18"/>
      <c r="CX626" s="18"/>
      <c r="CY626" s="18"/>
      <c r="CZ626" s="18"/>
      <c r="DA626" s="18"/>
      <c r="DB626" s="18"/>
      <c r="DC626" s="18"/>
      <c r="DD626" s="18"/>
      <c r="DE626" s="18"/>
      <c r="DF626" s="18"/>
    </row>
    <row r="627" spans="1:110">
      <c r="A627" s="173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  <c r="CF627" s="18"/>
      <c r="CG627" s="18"/>
      <c r="CH627" s="18"/>
      <c r="CI627" s="18"/>
      <c r="CJ627" s="18"/>
      <c r="CK627" s="18"/>
      <c r="CL627" s="18"/>
      <c r="CM627" s="18"/>
      <c r="CN627" s="18"/>
      <c r="CO627" s="18"/>
      <c r="CP627" s="18"/>
      <c r="CQ627" s="18"/>
      <c r="CR627" s="18"/>
      <c r="CS627" s="18"/>
      <c r="CT627" s="18"/>
      <c r="CU627" s="18"/>
      <c r="CV627" s="18"/>
      <c r="CW627" s="18"/>
      <c r="CX627" s="18"/>
      <c r="CY627" s="18"/>
      <c r="CZ627" s="18"/>
      <c r="DA627" s="18"/>
      <c r="DB627" s="18"/>
      <c r="DC627" s="18"/>
      <c r="DD627" s="18"/>
      <c r="DE627" s="18"/>
      <c r="DF627" s="18"/>
    </row>
    <row r="628" spans="1:110">
      <c r="A628" s="222" t="str">
        <f ca="1">IF($R$590="","Team B Pitching",$R$590&amp;" Pitching")</f>
        <v>Team B Pitching</v>
      </c>
      <c r="B628" s="221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06"/>
      <c r="O628" s="186"/>
      <c r="P628" s="24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8"/>
      <c r="CG628" s="18"/>
      <c r="CH628" s="18"/>
      <c r="CI628" s="18"/>
      <c r="CJ628" s="18"/>
      <c r="CK628" s="18"/>
      <c r="CL628" s="18"/>
      <c r="CM628" s="18"/>
      <c r="CN628" s="18"/>
      <c r="CO628" s="18"/>
      <c r="CP628" s="18"/>
      <c r="CQ628" s="18"/>
      <c r="CR628" s="18"/>
      <c r="CS628" s="18"/>
      <c r="CT628" s="18"/>
      <c r="CU628" s="18"/>
      <c r="CV628" s="18"/>
      <c r="CW628" s="18"/>
      <c r="CX628" s="18"/>
      <c r="CY628" s="18"/>
      <c r="CZ628" s="18"/>
      <c r="DA628" s="18"/>
      <c r="DB628" s="18"/>
      <c r="DC628" s="18"/>
      <c r="DD628" s="18"/>
      <c r="DE628" s="18"/>
      <c r="DF628" s="18"/>
    </row>
    <row r="629" spans="1:110">
      <c r="A629" s="167" t="s">
        <v>103</v>
      </c>
      <c r="B629" s="43" t="s">
        <v>194</v>
      </c>
      <c r="C629" s="43" t="s">
        <v>195</v>
      </c>
      <c r="D629" s="43" t="s">
        <v>162</v>
      </c>
      <c r="E629" s="43" t="s">
        <v>161</v>
      </c>
      <c r="F629" s="43" t="s">
        <v>196</v>
      </c>
      <c r="G629" s="43" t="s">
        <v>180</v>
      </c>
      <c r="H629" s="43" t="s">
        <v>181</v>
      </c>
      <c r="I629" s="44" t="s">
        <v>197</v>
      </c>
      <c r="J629" s="44" t="s">
        <v>198</v>
      </c>
      <c r="K629" s="44" t="s">
        <v>199</v>
      </c>
      <c r="L629" s="44" t="s">
        <v>200</v>
      </c>
      <c r="M629" s="44" t="s">
        <v>201</v>
      </c>
      <c r="N629" s="45" t="s">
        <v>202</v>
      </c>
      <c r="O629" s="45" t="s">
        <v>203</v>
      </c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  <c r="CI629" s="18"/>
      <c r="CJ629" s="18"/>
      <c r="CK629" s="18"/>
      <c r="CL629" s="18"/>
      <c r="CM629" s="18"/>
      <c r="CN629" s="18"/>
      <c r="CO629" s="18"/>
      <c r="CP629" s="18"/>
      <c r="CQ629" s="18"/>
      <c r="CR629" s="18"/>
      <c r="CS629" s="18"/>
      <c r="CT629" s="18"/>
      <c r="CU629" s="18"/>
      <c r="CV629" s="18"/>
      <c r="CW629" s="18"/>
      <c r="CX629" s="18"/>
      <c r="CY629" s="18"/>
      <c r="CZ629" s="18"/>
      <c r="DA629" s="18"/>
      <c r="DB629" s="18"/>
      <c r="DC629" s="18"/>
      <c r="DD629" s="18"/>
      <c r="DE629" s="18"/>
      <c r="DF629" s="18"/>
    </row>
    <row r="630" spans="1:110">
      <c r="A630" s="168">
        <v>1</v>
      </c>
      <c r="B630" s="71"/>
      <c r="C630" s="70" t="str" cm="1">
        <f t="array" aca="1" ref="C630" ca="1">IF(OR(B630="",O630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30" s="67" t="str" cm="1">
        <f t="array" aca="1" ref="D630" ca="1">IF(OR(B630="",O630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30" s="67" t="str" cm="1">
        <f t="array" aca="1" ref="E630" ca="1">IF(OR(B630="",O630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630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30" s="67" t="str" cm="1">
        <f t="array" aca="1" ref="F630" ca="1">IF(OR(B630="",O630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630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30" s="67" t="str" cm="1">
        <f t="array" aca="1" ref="G630" ca="1">IF(OR(B630="",O630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30" s="67" t="str" cm="1">
        <f t="array" aca="1" ref="H630" ca="1">IF(OR(B630="",O630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30" s="68" t="str" cm="1">
        <f t="array" aca="1" ref="I630" ca="1">IF(OR(B630="",O630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30" s="68" t="str" cm="1">
        <f t="array" aca="1" ref="J630" ca="1">IF(OR(B630="",O630=""),"",--(SUM(_xlfn.XLOOKUP(_xlfn._xlws.FILTER(_xlfn.TOCOL(_xlfn.CHOOSECOLS(C618:L626,2,4,6,8,10),0,TRUE),_xlfn.TOCOL(_xlfn.CHOOSECOLS(C618:L626,1,3,5,7,9),0,TRUE)&lt;&gt;""),Lists!$AC$2:$AC$9,Lists!$AF$2:$AF$9,0))&gt;SUM(_xlfn.XLOOKUP(_xlfn._xlws.FILTER(_xlfn.TOCOL(_xlfn.CHOOSECOLS(C597:L605,2,4,6,8,10),0,TRUE),_xlfn.TOCOL(_xlfn.CHOOSECOLS(C597:L605,1,3,5,7,9),0,TRUE)&lt;&gt;""),Lists!$AC$2:$AC$9,Lists!$AF$2:$AF$9,0)))*--(ROW()-ROW(C629)=_xlfn.XLOOKUP(MAX(IF(O630:O635&gt;0,INT(C630:C635)*3+MOD(ROUND(C630:C635*10,0),10),-1)),IF(O630:O635&gt;0,INT(C630:C635)*3+MOD(ROUND(C630:C635*10,0),10),-1),_xlfn.SEQUENCE(ROWS(O630:O635)),,0)))</f>
        <v/>
      </c>
      <c r="K630" s="68" t="str" cm="1">
        <f t="array" aca="1" ref="K630" ca="1">IF(OR(B630="",O630=""),"",--(SUM(_xlfn.XLOOKUP(_xlfn._xlws.FILTER(_xlfn.TOCOL(_xlfn.CHOOSECOLS(C618:L626,2,4,6,8,10),0,TRUE),_xlfn.TOCOL(_xlfn.CHOOSECOLS(C618:L626,1,3,5,7,9),0,TRUE)&lt;&gt;""),Lists!$AC$2:$AC$9,Lists!$AF$2:$AF$9,0))&lt;SUM(_xlfn.XLOOKUP(_xlfn._xlws.FILTER(_xlfn.TOCOL(_xlfn.CHOOSECOLS(C597:L605,2,4,6,8,10),0,TRUE),_xlfn.TOCOL(_xlfn.CHOOSECOLS(C597:L605,1,3,5,7,9),0,TRUE)&lt;&gt;""),Lists!$AC$2:$AC$9,Lists!$AF$2:$AF$9,0)))*--(ROW()-ROW(C629)=_xlfn.XLOOKUP(MAX(IF(O630:O635&gt;0,E630:E635,-1)),IF(O630:O635&gt;0,E630:E635,-1),_xlfn.SEQUENCE(ROWS(O630:O635)),,0)))</f>
        <v/>
      </c>
      <c r="L630" s="68" t="str" cm="1">
        <f t="array" aca="1" ref="L630" ca="1">IF(OR(B630="",O630=""),"",--(SUM(_xlfn.XLOOKUP(_xlfn._xlws.FILTER(_xlfn.TOCOL(_xlfn.CHOOSECOLS(C618:L626,2,4,6,8,10),0,TRUE),_xlfn.TOCOL(_xlfn.CHOOSECOLS(C618:L626,1,3,5,7,9),0,TRUE)&lt;&gt;""),Lists!$AC$2:$AC$9,Lists!$AF$2:$AF$9,0))&gt;SUM(_xlfn.XLOOKUP(_xlfn._xlws.FILTER(_xlfn.TOCOL(_xlfn.CHOOSECOLS(C597:L605,2,4,6,8,10),0,TRUE),_xlfn.TOCOL(_xlfn.CHOOSECOLS(C597:L605,1,3,5,7,9),0,TRUE)&lt;&gt;""),Lists!$AC$2:$AC$9,Lists!$AF$2:$AF$9,0)))*--(COUNTIF(O630:O635,"&gt;0")&gt;1)*--(ROW()-ROW(C629)=_xlfn.XLOOKUP(TRUE,O630:O635&gt;0,_xlfn.SEQUENCE(ROWS(O630:O635)),,0,-1))*--(_xlfn.XLOOKUP(TRUE,O630:O635&gt;0,_xlfn.SEQUENCE(ROWS(O630:O635)),,0,-1)&lt;&gt;_xlfn.XLOOKUP(MAX(IF(O630:O635&gt;0,INT(C630:C635)*3+MOD(ROUND(C630:C635*10,0),10),-1)),IF(O630:O635&gt;0,INT(C630:C635)*3+MOD(ROUND(C630:C635*10,0),10),-1),_xlfn.SEQUENCE(ROWS(O630:O635)),,0))*--(SUM(_xlfn.XLOOKUP(_xlfn._xlws.FILTER(_xlfn.TOCOL(_xlfn.CHOOSECOLS(C618:L626,2,4,6,8,10),0,TRUE),_xlfn.TOCOL(_xlfn.CHOOSECOLS(C618:L626,1,3,5,7,9),0,TRUE)&lt;&gt;""),Lists!$AC$2:$AC$9,Lists!$AF$2:$AF$9,0))-SUM(_xlfn.XLOOKUP(_xlfn._xlws.FILTER(_xlfn.TOCOL(_xlfn.CHOOSECOLS(C597:L605,2,4,6,8,10),0,TRUE),_xlfn.TOCOL(_xlfn.CHOOSECOLS(C597:L605,1,3,5,7,9),0,TRUE)&lt;&gt;""),Lists!$AC$2:$AC$9,Lists!$AF$2:$AF$9,0))&lt;=3)*--((INT(C630)*3+MOD(ROUND(C630*10,0),10))&gt;=3))</f>
        <v/>
      </c>
      <c r="M630" s="68" t="str" cm="1">
        <f t="array" ref="M630">IF(OR(B630="",O630=""),"",--(COUNTIF(O630:O635,"&gt;0")=1)*--(SUM(_xlfn.XLOOKUP(_xlfn._xlws.FILTER(_xlfn.TOCOL(_xlfn.CHOOSECOLS(C597:L605,2,4,6,8,10),0,TRUE),_xlfn.TOCOL(_xlfn.CHOOSECOLS(C597:L605,1,3,5,7,9),0,TRUE)&lt;&gt;""),Lists!$AC$2:$AC$9,Lists!$AF$2:$AF$9,0))=0))</f>
        <v/>
      </c>
      <c r="N630" s="69" t="str">
        <f>IF(OR(B630="",O630=""),"",--(COUNTIF(O630:O635,"&gt;0")=1))</f>
        <v/>
      </c>
      <c r="O630" s="5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  <c r="CD630" s="18"/>
      <c r="CE630" s="18"/>
      <c r="CF630" s="18"/>
      <c r="CG630" s="18"/>
      <c r="CH630" s="18"/>
      <c r="CI630" s="18"/>
      <c r="CJ630" s="18"/>
      <c r="CK630" s="18"/>
      <c r="CL630" s="18"/>
      <c r="CM630" s="18"/>
      <c r="CN630" s="18"/>
      <c r="CO630" s="18"/>
      <c r="CP630" s="18"/>
      <c r="CQ630" s="18"/>
      <c r="CR630" s="18"/>
      <c r="CS630" s="18"/>
      <c r="CT630" s="18"/>
      <c r="CU630" s="18"/>
      <c r="CV630" s="18"/>
      <c r="CW630" s="18"/>
      <c r="CX630" s="18"/>
      <c r="CY630" s="18"/>
      <c r="CZ630" s="18"/>
      <c r="DA630" s="18"/>
      <c r="DB630" s="18"/>
      <c r="DC630" s="18"/>
      <c r="DD630" s="18"/>
      <c r="DE630" s="18"/>
      <c r="DF630" s="18"/>
    </row>
    <row r="631" spans="1:110">
      <c r="A631" s="168">
        <v>2</v>
      </c>
      <c r="B631" s="71"/>
      <c r="C631" s="70" t="str" cm="1">
        <f t="array" aca="1" ref="C631" ca="1">IF(OR(B631="",O631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31" s="67" t="str" cm="1">
        <f t="array" aca="1" ref="D631" ca="1">IF(OR(B631="",O631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31" s="67" t="str" cm="1">
        <f t="array" aca="1" ref="E631" ca="1">IF(OR(B631="",O631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31" s="67" t="str" cm="1">
        <f t="array" aca="1" ref="F631" ca="1">IF(OR(B631="",O631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31" s="67" t="str" cm="1">
        <f t="array" aca="1" ref="G631" ca="1">IF(OR(B631="",O631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31" s="67" t="str" cm="1">
        <f t="array" aca="1" ref="H631" ca="1">IF(OR(B631="",O631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31" s="68" t="str" cm="1">
        <f t="array" aca="1" ref="I631" ca="1">IF(OR(B631="",O631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31" s="68" t="str" cm="1">
        <f t="array" aca="1" ref="J631" ca="1">IF(OR(B631="",O631=""),"",--(SUM(_xlfn.XLOOKUP(_xlfn._xlws.FILTER(_xlfn.TOCOL(_xlfn.CHOOSECOLS(C618:L626,2,4,6,8,10),0,TRUE),_xlfn.TOCOL(_xlfn.CHOOSECOLS(C618:L626,1,3,5,7,9),0,TRUE)&lt;&gt;""),Lists!$AC$2:$AC$9,Lists!$AF$2:$AF$9,0))&gt;SUM(_xlfn.XLOOKUP(_xlfn._xlws.FILTER(_xlfn.TOCOL(_xlfn.CHOOSECOLS(C597:L605,2,4,6,8,10),0,TRUE),_xlfn.TOCOL(_xlfn.CHOOSECOLS(C597:L605,1,3,5,7,9),0,TRUE)&lt;&gt;""),Lists!$AC$2:$AC$9,Lists!$AF$2:$AF$9,0)))*--(ROW()-ROW(C629)=_xlfn.XLOOKUP(MAX(IF(O630:O635&gt;0,INT(C630:C635)*3+MOD(ROUND(C630:C635*10,0),10),-1)),IF(O630:O635&gt;0,INT(C630:C635)*3+MOD(ROUND(C630:C635*10,0),10),-1),_xlfn.SEQUENCE(ROWS(O630:O635)),,0)))</f>
        <v/>
      </c>
      <c r="K631" s="68" t="str" cm="1">
        <f t="array" aca="1" ref="K631" ca="1">IF(OR(B631="",O631=""),"",--(SUM(_xlfn.XLOOKUP(_xlfn._xlws.FILTER(_xlfn.TOCOL(_xlfn.CHOOSECOLS(C618:L626,2,4,6,8,10),0,TRUE),_xlfn.TOCOL(_xlfn.CHOOSECOLS(C618:L626,1,3,5,7,9),0,TRUE)&lt;&gt;""),Lists!$AC$2:$AC$9,Lists!$AF$2:$AF$9,0))&lt;SUM(_xlfn.XLOOKUP(_xlfn._xlws.FILTER(_xlfn.TOCOL(_xlfn.CHOOSECOLS(C597:L605,2,4,6,8,10),0,TRUE),_xlfn.TOCOL(_xlfn.CHOOSECOLS(C597:L605,1,3,5,7,9),0,TRUE)&lt;&gt;""),Lists!$AC$2:$AC$9,Lists!$AF$2:$AF$9,0)))*--(ROW()-ROW(C629)=_xlfn.XLOOKUP(MAX(IF(O630:O635&gt;0,E630:E635,-1)),IF(O630:O635&gt;0,E630:E635,-1),_xlfn.SEQUENCE(ROWS(O630:O635)),,0)))</f>
        <v/>
      </c>
      <c r="L631" s="68" t="str" cm="1">
        <f t="array" aca="1" ref="L631" ca="1">IF(OR(B631="",O631=""),"",--(SUM(_xlfn.XLOOKUP(_xlfn._xlws.FILTER(_xlfn.TOCOL(_xlfn.CHOOSECOLS(C618:L626,2,4,6,8,10),0,TRUE),_xlfn.TOCOL(_xlfn.CHOOSECOLS(C618:L626,1,3,5,7,9),0,TRUE)&lt;&gt;""),Lists!$AC$2:$AC$9,Lists!$AF$2:$AF$9,0))&gt;SUM(_xlfn.XLOOKUP(_xlfn._xlws.FILTER(_xlfn.TOCOL(_xlfn.CHOOSECOLS(C597:L605,2,4,6,8,10),0,TRUE),_xlfn.TOCOL(_xlfn.CHOOSECOLS(C597:L605,1,3,5,7,9),0,TRUE)&lt;&gt;""),Lists!$AC$2:$AC$9,Lists!$AF$2:$AF$9,0)))*--(COUNTIF(O630:O635,"&gt;0")&gt;1)*--(ROW()-ROW(C629)=_xlfn.XLOOKUP(TRUE,O630:O635&gt;0,_xlfn.SEQUENCE(ROWS(O630:O635)),,0,-1))*--(_xlfn.XLOOKUP(TRUE,O630:O635&gt;0,_xlfn.SEQUENCE(ROWS(O630:O635)),,0,-1)&lt;&gt;_xlfn.XLOOKUP(MAX(IF(O630:O635&gt;0,INT(C630:C635)*3+MOD(ROUND(C630:C635*10,0),10),-1)),IF(O630:O635&gt;0,INT(C630:C635)*3+MOD(ROUND(C630:C635*10,0),10),-1),_xlfn.SEQUENCE(ROWS(O630:O635)),,0))*--(SUM(_xlfn.XLOOKUP(_xlfn._xlws.FILTER(_xlfn.TOCOL(_xlfn.CHOOSECOLS(C618:L626,2,4,6,8,10),0,TRUE),_xlfn.TOCOL(_xlfn.CHOOSECOLS(C618:L626,1,3,5,7,9),0,TRUE)&lt;&gt;""),Lists!$AC$2:$AC$9,Lists!$AF$2:$AF$9,0))-SUM(_xlfn.XLOOKUP(_xlfn._xlws.FILTER(_xlfn.TOCOL(_xlfn.CHOOSECOLS(C597:L605,2,4,6,8,10),0,TRUE),_xlfn.TOCOL(_xlfn.CHOOSECOLS(C597:L605,1,3,5,7,9),0,TRUE)&lt;&gt;""),Lists!$AC$2:$AC$9,Lists!$AF$2:$AF$9,0))&lt;=3)*--((INT(C631)*3+MOD(ROUND(C631*10,0),10))&gt;=3))</f>
        <v/>
      </c>
      <c r="M631" s="68" t="str" cm="1">
        <f t="array" ref="M631">IF(OR(B631="",O631=""),"",--(COUNTIF(O630:O635,"&gt;0")=1)*--(SUM(_xlfn.XLOOKUP(_xlfn._xlws.FILTER(_xlfn.TOCOL(_xlfn.CHOOSECOLS(C597:L605,2,4,6,8,10),0,TRUE),_xlfn.TOCOL(_xlfn.CHOOSECOLS(C597:L605,1,3,5,7,9),0,TRUE)&lt;&gt;""),Lists!$AC$2:$AC$9,Lists!$AF$2:$AF$9,0))=0))</f>
        <v/>
      </c>
      <c r="N631" s="69" t="str">
        <f>IF(OR(B631="",O631=""),"",--(COUNTIF(O630:O635,"&gt;0")=1))</f>
        <v/>
      </c>
      <c r="O631" s="5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  <c r="CF631" s="18"/>
      <c r="CG631" s="18"/>
      <c r="CH631" s="18"/>
      <c r="CI631" s="18"/>
      <c r="CJ631" s="18"/>
      <c r="CK631" s="18"/>
      <c r="CL631" s="18"/>
      <c r="CM631" s="18"/>
      <c r="CN631" s="18"/>
      <c r="CO631" s="18"/>
      <c r="CP631" s="18"/>
      <c r="CQ631" s="18"/>
      <c r="CR631" s="18"/>
      <c r="CS631" s="18"/>
      <c r="CT631" s="18"/>
      <c r="CU631" s="18"/>
      <c r="CV631" s="18"/>
      <c r="CW631" s="18"/>
      <c r="CX631" s="18"/>
      <c r="CY631" s="18"/>
      <c r="CZ631" s="18"/>
      <c r="DA631" s="18"/>
      <c r="DB631" s="18"/>
      <c r="DC631" s="18"/>
      <c r="DD631" s="18"/>
      <c r="DE631" s="18"/>
      <c r="DF631" s="18"/>
    </row>
    <row r="632" spans="1:110">
      <c r="A632" s="168">
        <v>3</v>
      </c>
      <c r="B632" s="71"/>
      <c r="C632" s="70" t="str" cm="1">
        <f t="array" aca="1" ref="C632" ca="1">IF(OR(B632="",O632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32" s="67" t="str" cm="1">
        <f t="array" aca="1" ref="D632" ca="1">IF(OR(B632="",O632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32" s="67" t="str" cm="1">
        <f t="array" aca="1" ref="E632" ca="1">IF(OR(B632="",O632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32" s="67" t="str" cm="1">
        <f t="array" aca="1" ref="F632" ca="1">IF(OR(B632="",O632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32" s="67" t="str" cm="1">
        <f t="array" aca="1" ref="G632" ca="1">IF(OR(B632="",O632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32" s="67" t="str" cm="1">
        <f t="array" aca="1" ref="H632" ca="1">IF(OR(B632="",O632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32" s="68" t="str" cm="1">
        <f t="array" aca="1" ref="I632" ca="1">IF(OR(B632="",O632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32" s="68" t="str" cm="1">
        <f t="array" aca="1" ref="J632" ca="1">IF(OR(B632="",O632=""),"",--(SUM(_xlfn.XLOOKUP(_xlfn._xlws.FILTER(_xlfn.TOCOL(_xlfn.CHOOSECOLS(C618:L626,2,4,6,8,10),0,TRUE),_xlfn.TOCOL(_xlfn.CHOOSECOLS(C618:L626,1,3,5,7,9),0,TRUE)&lt;&gt;""),Lists!$AC$2:$AC$9,Lists!$AF$2:$AF$9,0))&gt;SUM(_xlfn.XLOOKUP(_xlfn._xlws.FILTER(_xlfn.TOCOL(_xlfn.CHOOSECOLS(C597:L605,2,4,6,8,10),0,TRUE),_xlfn.TOCOL(_xlfn.CHOOSECOLS(C597:L605,1,3,5,7,9),0,TRUE)&lt;&gt;""),Lists!$AC$2:$AC$9,Lists!$AF$2:$AF$9,0)))*--(ROW()-ROW(C629)=_xlfn.XLOOKUP(MAX(IF(O630:O635&gt;0,INT(C630:C635)*3+MOD(ROUND(C630:C635*10,0),10),-1)),IF(O630:O635&gt;0,INT(C630:C635)*3+MOD(ROUND(C630:C635*10,0),10),-1),_xlfn.SEQUENCE(ROWS(O630:O635)),,0)))</f>
        <v/>
      </c>
      <c r="K632" s="68" t="str" cm="1">
        <f t="array" aca="1" ref="K632" ca="1">IF(OR(B632="",O632=""),"",--(SUM(_xlfn.XLOOKUP(_xlfn._xlws.FILTER(_xlfn.TOCOL(_xlfn.CHOOSECOLS(C618:L626,2,4,6,8,10),0,TRUE),_xlfn.TOCOL(_xlfn.CHOOSECOLS(C618:L626,1,3,5,7,9),0,TRUE)&lt;&gt;""),Lists!$AC$2:$AC$9,Lists!$AF$2:$AF$9,0))&lt;SUM(_xlfn.XLOOKUP(_xlfn._xlws.FILTER(_xlfn.TOCOL(_xlfn.CHOOSECOLS(C597:L605,2,4,6,8,10),0,TRUE),_xlfn.TOCOL(_xlfn.CHOOSECOLS(C597:L605,1,3,5,7,9),0,TRUE)&lt;&gt;""),Lists!$AC$2:$AC$9,Lists!$AF$2:$AF$9,0)))*--(ROW()-ROW(C629)=_xlfn.XLOOKUP(MAX(IF(O630:O635&gt;0,E630:E635,-1)),IF(O630:O635&gt;0,E630:E635,-1),_xlfn.SEQUENCE(ROWS(O630:O635)),,0)))</f>
        <v/>
      </c>
      <c r="L632" s="68" t="str" cm="1">
        <f t="array" aca="1" ref="L632" ca="1">IF(OR(B632="",O632=""),"",--(SUM(_xlfn.XLOOKUP(_xlfn._xlws.FILTER(_xlfn.TOCOL(_xlfn.CHOOSECOLS(C618:L626,2,4,6,8,10),0,TRUE),_xlfn.TOCOL(_xlfn.CHOOSECOLS(C618:L626,1,3,5,7,9),0,TRUE)&lt;&gt;""),Lists!$AC$2:$AC$9,Lists!$AF$2:$AF$9,0))&gt;SUM(_xlfn.XLOOKUP(_xlfn._xlws.FILTER(_xlfn.TOCOL(_xlfn.CHOOSECOLS(C597:L605,2,4,6,8,10),0,TRUE),_xlfn.TOCOL(_xlfn.CHOOSECOLS(C597:L605,1,3,5,7,9),0,TRUE)&lt;&gt;""),Lists!$AC$2:$AC$9,Lists!$AF$2:$AF$9,0)))*--(COUNTIF(O630:O635,"&gt;0")&gt;1)*--(ROW()-ROW(C629)=_xlfn.XLOOKUP(TRUE,O630:O635&gt;0,_xlfn.SEQUENCE(ROWS(O630:O635)),,0,-1))*--(_xlfn.XLOOKUP(TRUE,O630:O635&gt;0,_xlfn.SEQUENCE(ROWS(O630:O635)),,0,-1)&lt;&gt;_xlfn.XLOOKUP(MAX(IF(O630:O635&gt;0,INT(C630:C635)*3+MOD(ROUND(C630:C635*10,0),10),-1)),IF(O630:O635&gt;0,INT(C630:C635)*3+MOD(ROUND(C630:C635*10,0),10),-1),_xlfn.SEQUENCE(ROWS(O630:O635)),,0))*--(SUM(_xlfn.XLOOKUP(_xlfn._xlws.FILTER(_xlfn.TOCOL(_xlfn.CHOOSECOLS(C618:L626,2,4,6,8,10),0,TRUE),_xlfn.TOCOL(_xlfn.CHOOSECOLS(C618:L626,1,3,5,7,9),0,TRUE)&lt;&gt;""),Lists!$AC$2:$AC$9,Lists!$AF$2:$AF$9,0))-SUM(_xlfn.XLOOKUP(_xlfn._xlws.FILTER(_xlfn.TOCOL(_xlfn.CHOOSECOLS(C597:L605,2,4,6,8,10),0,TRUE),_xlfn.TOCOL(_xlfn.CHOOSECOLS(C597:L605,1,3,5,7,9),0,TRUE)&lt;&gt;""),Lists!$AC$2:$AC$9,Lists!$AF$2:$AF$9,0))&lt;=3)*--((INT(C632)*3+MOD(ROUND(C632*10,0),10))&gt;=3))</f>
        <v/>
      </c>
      <c r="M632" s="68" t="str" cm="1">
        <f t="array" ref="M632">IF(OR(B632="",O632=""),"",--(COUNTIF(O630:O635,"&gt;0")=1)*--(SUM(_xlfn.XLOOKUP(_xlfn._xlws.FILTER(_xlfn.TOCOL(_xlfn.CHOOSECOLS(C597:L605,2,4,6,8,10),0,TRUE),_xlfn.TOCOL(_xlfn.CHOOSECOLS(C597:L605,1,3,5,7,9),0,TRUE)&lt;&gt;""),Lists!$AC$2:$AC$9,Lists!$AF$2:$AF$9,0))=0))</f>
        <v/>
      </c>
      <c r="N632" s="69" t="str">
        <f>IF(OR(B632="",O632=""),"",--(COUNTIF(O630:O635,"&gt;0")=1))</f>
        <v/>
      </c>
      <c r="O632" s="5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8"/>
      <c r="CE632" s="18"/>
      <c r="CF632" s="18"/>
      <c r="CG632" s="18"/>
      <c r="CH632" s="18"/>
      <c r="CI632" s="18"/>
      <c r="CJ632" s="18"/>
      <c r="CK632" s="18"/>
      <c r="CL632" s="18"/>
      <c r="CM632" s="18"/>
      <c r="CN632" s="18"/>
      <c r="CO632" s="18"/>
      <c r="CP632" s="18"/>
      <c r="CQ632" s="18"/>
      <c r="CR632" s="18"/>
      <c r="CS632" s="18"/>
      <c r="CT632" s="18"/>
      <c r="CU632" s="18"/>
      <c r="CV632" s="18"/>
      <c r="CW632" s="18"/>
      <c r="CX632" s="18"/>
      <c r="CY632" s="18"/>
      <c r="CZ632" s="18"/>
      <c r="DA632" s="18"/>
      <c r="DB632" s="18"/>
      <c r="DC632" s="18"/>
      <c r="DD632" s="18"/>
      <c r="DE632" s="18"/>
      <c r="DF632" s="18"/>
    </row>
    <row r="633" spans="1:110">
      <c r="A633" s="168">
        <v>4</v>
      </c>
      <c r="B633" s="71"/>
      <c r="C633" s="70" t="str" cm="1">
        <f t="array" aca="1" ref="C633" ca="1">IF(OR(B633="",O633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33" s="67" t="str" cm="1">
        <f t="array" aca="1" ref="D633" ca="1">IF(OR(B633="",O633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33" s="67" t="str" cm="1">
        <f t="array" aca="1" ref="E633" ca="1">IF(OR(B633="",O633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33" s="67" t="str" cm="1">
        <f t="array" aca="1" ref="F633" ca="1">IF(OR(B633="",O633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33" s="67" t="str" cm="1">
        <f t="array" aca="1" ref="G633" ca="1">IF(OR(B633="",O633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33" s="67" t="str" cm="1">
        <f t="array" aca="1" ref="H633" ca="1">IF(OR(B633="",O633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33" s="68" t="str" cm="1">
        <f t="array" aca="1" ref="I633" ca="1">IF(OR(B633="",O633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33" s="68" t="str" cm="1">
        <f t="array" aca="1" ref="J633" ca="1">IF(OR(B633="",O633=""),"",--(SUM(_xlfn.XLOOKUP(_xlfn._xlws.FILTER(_xlfn.TOCOL(_xlfn.CHOOSECOLS(C618:L626,2,4,6,8,10),0,TRUE),_xlfn.TOCOL(_xlfn.CHOOSECOLS(C618:L626,1,3,5,7,9),0,TRUE)&lt;&gt;""),Lists!$AC$2:$AC$9,Lists!$AF$2:$AF$9,0))&gt;SUM(_xlfn.XLOOKUP(_xlfn._xlws.FILTER(_xlfn.TOCOL(_xlfn.CHOOSECOLS(C597:L605,2,4,6,8,10),0,TRUE),_xlfn.TOCOL(_xlfn.CHOOSECOLS(C597:L605,1,3,5,7,9),0,TRUE)&lt;&gt;""),Lists!$AC$2:$AC$9,Lists!$AF$2:$AF$9,0)))*--(ROW()-ROW(C629)=_xlfn.XLOOKUP(MAX(IF(O630:O635&gt;0,INT(C630:C635)*3+MOD(ROUND(C630:C635*10,0),10),-1)),IF(O630:O635&gt;0,INT(C630:C635)*3+MOD(ROUND(C630:C635*10,0),10),-1),_xlfn.SEQUENCE(ROWS(O630:O635)),,0)))</f>
        <v/>
      </c>
      <c r="K633" s="68" t="str" cm="1">
        <f t="array" aca="1" ref="K633" ca="1">IF(OR(B633="",O633=""),"",--(SUM(_xlfn.XLOOKUP(_xlfn._xlws.FILTER(_xlfn.TOCOL(_xlfn.CHOOSECOLS(C618:L626,2,4,6,8,10),0,TRUE),_xlfn.TOCOL(_xlfn.CHOOSECOLS(C618:L626,1,3,5,7,9),0,TRUE)&lt;&gt;""),Lists!$AC$2:$AC$9,Lists!$AF$2:$AF$9,0))&lt;SUM(_xlfn.XLOOKUP(_xlfn._xlws.FILTER(_xlfn.TOCOL(_xlfn.CHOOSECOLS(C597:L605,2,4,6,8,10),0,TRUE),_xlfn.TOCOL(_xlfn.CHOOSECOLS(C597:L605,1,3,5,7,9),0,TRUE)&lt;&gt;""),Lists!$AC$2:$AC$9,Lists!$AF$2:$AF$9,0)))*--(ROW()-ROW(C629)=_xlfn.XLOOKUP(MAX(IF(O630:O635&gt;0,E630:E635,-1)),IF(O630:O635&gt;0,E630:E635,-1),_xlfn.SEQUENCE(ROWS(O630:O635)),,0)))</f>
        <v/>
      </c>
      <c r="L633" s="68" t="str" cm="1">
        <f t="array" aca="1" ref="L633" ca="1">IF(OR(B633="",O633=""),"",--(SUM(_xlfn.XLOOKUP(_xlfn._xlws.FILTER(_xlfn.TOCOL(_xlfn.CHOOSECOLS(C618:L626,2,4,6,8,10),0,TRUE),_xlfn.TOCOL(_xlfn.CHOOSECOLS(C618:L626,1,3,5,7,9),0,TRUE)&lt;&gt;""),Lists!$AC$2:$AC$9,Lists!$AF$2:$AF$9,0))&gt;SUM(_xlfn.XLOOKUP(_xlfn._xlws.FILTER(_xlfn.TOCOL(_xlfn.CHOOSECOLS(C597:L605,2,4,6,8,10),0,TRUE),_xlfn.TOCOL(_xlfn.CHOOSECOLS(C597:L605,1,3,5,7,9),0,TRUE)&lt;&gt;""),Lists!$AC$2:$AC$9,Lists!$AF$2:$AF$9,0)))*--(COUNTIF(O630:O635,"&gt;0")&gt;1)*--(ROW()-ROW(C629)=_xlfn.XLOOKUP(TRUE,O630:O635&gt;0,_xlfn.SEQUENCE(ROWS(O630:O635)),,0,-1))*--(_xlfn.XLOOKUP(TRUE,O630:O635&gt;0,_xlfn.SEQUENCE(ROWS(O630:O635)),,0,-1)&lt;&gt;_xlfn.XLOOKUP(MAX(IF(O630:O635&gt;0,INT(C630:C635)*3+MOD(ROUND(C630:C635*10,0),10),-1)),IF(O630:O635&gt;0,INT(C630:C635)*3+MOD(ROUND(C630:C635*10,0),10),-1),_xlfn.SEQUENCE(ROWS(O630:O635)),,0))*--(SUM(_xlfn.XLOOKUP(_xlfn._xlws.FILTER(_xlfn.TOCOL(_xlfn.CHOOSECOLS(C618:L626,2,4,6,8,10),0,TRUE),_xlfn.TOCOL(_xlfn.CHOOSECOLS(C618:L626,1,3,5,7,9),0,TRUE)&lt;&gt;""),Lists!$AC$2:$AC$9,Lists!$AF$2:$AF$9,0))-SUM(_xlfn.XLOOKUP(_xlfn._xlws.FILTER(_xlfn.TOCOL(_xlfn.CHOOSECOLS(C597:L605,2,4,6,8,10),0,TRUE),_xlfn.TOCOL(_xlfn.CHOOSECOLS(C597:L605,1,3,5,7,9),0,TRUE)&lt;&gt;""),Lists!$AC$2:$AC$9,Lists!$AF$2:$AF$9,0))&lt;=3)*--((INT(C633)*3+MOD(ROUND(C633*10,0),10))&gt;=3))</f>
        <v/>
      </c>
      <c r="M633" s="68" t="str" cm="1">
        <f t="array" ref="M633">IF(OR(B633="",O633=""),"",--(COUNTIF(O630:O635,"&gt;0")=1)*--(SUM(_xlfn.XLOOKUP(_xlfn._xlws.FILTER(_xlfn.TOCOL(_xlfn.CHOOSECOLS(C597:L605,2,4,6,8,10),0,TRUE),_xlfn.TOCOL(_xlfn.CHOOSECOLS(C597:L605,1,3,5,7,9),0,TRUE)&lt;&gt;""),Lists!$AC$2:$AC$9,Lists!$AF$2:$AF$9,0))=0))</f>
        <v/>
      </c>
      <c r="N633" s="69" t="str">
        <f>IF(OR(B633="",O633=""),"",--(COUNTIF(O630:O635,"&gt;0")=1))</f>
        <v/>
      </c>
      <c r="O633" s="5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  <c r="CF633" s="18"/>
      <c r="CG633" s="18"/>
      <c r="CH633" s="18"/>
      <c r="CI633" s="18"/>
      <c r="CJ633" s="18"/>
      <c r="CK633" s="18"/>
      <c r="CL633" s="18"/>
      <c r="CM633" s="18"/>
      <c r="CN633" s="18"/>
      <c r="CO633" s="18"/>
      <c r="CP633" s="18"/>
      <c r="CQ633" s="18"/>
      <c r="CR633" s="18"/>
      <c r="CS633" s="18"/>
      <c r="CT633" s="18"/>
      <c r="CU633" s="18"/>
      <c r="CV633" s="18"/>
      <c r="CW633" s="18"/>
      <c r="CX633" s="18"/>
      <c r="CY633" s="18"/>
      <c r="CZ633" s="18"/>
      <c r="DA633" s="18"/>
      <c r="DB633" s="18"/>
      <c r="DC633" s="18"/>
      <c r="DD633" s="18"/>
      <c r="DE633" s="18"/>
      <c r="DF633" s="18"/>
    </row>
    <row r="634" spans="1:110">
      <c r="A634" s="168">
        <v>5</v>
      </c>
      <c r="B634" s="71"/>
      <c r="C634" s="70" t="str" cm="1">
        <f t="array" aca="1" ref="C634" ca="1">IF(OR(B634="",O634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34" s="67" t="str" cm="1">
        <f t="array" aca="1" ref="D634" ca="1">IF(OR(B634="",O634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34" s="67" t="str" cm="1">
        <f t="array" aca="1" ref="E634" ca="1">IF(OR(B634="",O634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634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34" s="67" t="str" cm="1">
        <f t="array" aca="1" ref="F634" ca="1">IF(OR(B634="",O634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634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34" s="67" t="str" cm="1">
        <f t="array" aca="1" ref="G634" ca="1">IF(OR(B634="",O634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34" s="67" t="str" cm="1">
        <f t="array" aca="1" ref="H634" ca="1">IF(OR(B634="",O634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34" s="68" t="str" cm="1">
        <f t="array" aca="1" ref="I634" ca="1">IF(OR(B634="",O634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34" s="68" t="str" cm="1">
        <f t="array" aca="1" ref="J634" ca="1">IF(OR(B634="",O634=""),"",--(SUM(_xlfn.XLOOKUP(_xlfn._xlws.FILTER(_xlfn.TOCOL(_xlfn.CHOOSECOLS(C618:L626,2,4,6,8,10),0,TRUE),_xlfn.TOCOL(_xlfn.CHOOSECOLS(C618:L626,1,3,5,7,9),0,TRUE)&lt;&gt;""),Lists!$AC$2:$AC$9,Lists!$AF$2:$AF$9,0))&gt;SUM(_xlfn.XLOOKUP(_xlfn._xlws.FILTER(_xlfn.TOCOL(_xlfn.CHOOSECOLS(C597:L605,2,4,6,8,10),0,TRUE),_xlfn.TOCOL(_xlfn.CHOOSECOLS(C597:L605,1,3,5,7,9),0,TRUE)&lt;&gt;""),Lists!$AC$2:$AC$9,Lists!$AF$2:$AF$9,0)))*--(ROW()-ROW(C629)=_xlfn.XLOOKUP(MAX(IF(O630:O635&gt;0,INT(C630:C635)*3+MOD(ROUND(C630:C635*10,0),10),-1)),IF(O630:O635&gt;0,INT(C630:C635)*3+MOD(ROUND(C630:C635*10,0),10),-1),_xlfn.SEQUENCE(ROWS(O630:O635)),,0)))</f>
        <v/>
      </c>
      <c r="K634" s="68" t="str" cm="1">
        <f t="array" aca="1" ref="K634" ca="1">IF(OR(B634="",O634=""),"",--(SUM(_xlfn.XLOOKUP(_xlfn._xlws.FILTER(_xlfn.TOCOL(_xlfn.CHOOSECOLS(C618:L626,2,4,6,8,10),0,TRUE),_xlfn.TOCOL(_xlfn.CHOOSECOLS(C618:L626,1,3,5,7,9),0,TRUE)&lt;&gt;""),Lists!$AC$2:$AC$9,Lists!$AF$2:$AF$9,0))&lt;SUM(_xlfn.XLOOKUP(_xlfn._xlws.FILTER(_xlfn.TOCOL(_xlfn.CHOOSECOLS(C597:L605,2,4,6,8,10),0,TRUE),_xlfn.TOCOL(_xlfn.CHOOSECOLS(C597:L605,1,3,5,7,9),0,TRUE)&lt;&gt;""),Lists!$AC$2:$AC$9,Lists!$AF$2:$AF$9,0)))*--(ROW()-ROW(C629)=_xlfn.XLOOKUP(MAX(IF(O630:O635&gt;0,E630:E635,-1)),IF(O630:O635&gt;0,E630:E635,-1),_xlfn.SEQUENCE(ROWS(O630:O635)),,0)))</f>
        <v/>
      </c>
      <c r="L634" s="68" t="str" cm="1">
        <f t="array" aca="1" ref="L634" ca="1">IF(OR(B634="",O634=""),"",--(SUM(_xlfn.XLOOKUP(_xlfn._xlws.FILTER(_xlfn.TOCOL(_xlfn.CHOOSECOLS(C618:L626,2,4,6,8,10),0,TRUE),_xlfn.TOCOL(_xlfn.CHOOSECOLS(C618:L626,1,3,5,7,9),0,TRUE)&lt;&gt;""),Lists!$AC$2:$AC$9,Lists!$AF$2:$AF$9,0))&gt;SUM(_xlfn.XLOOKUP(_xlfn._xlws.FILTER(_xlfn.TOCOL(_xlfn.CHOOSECOLS(C597:L605,2,4,6,8,10),0,TRUE),_xlfn.TOCOL(_xlfn.CHOOSECOLS(C597:L605,1,3,5,7,9),0,TRUE)&lt;&gt;""),Lists!$AC$2:$AC$9,Lists!$AF$2:$AF$9,0)))*--(COUNTIF(O630:O635,"&gt;0")&gt;1)*--(ROW()-ROW(C629)=_xlfn.XLOOKUP(TRUE,O630:O635&gt;0,_xlfn.SEQUENCE(ROWS(O630:O635)),,0,-1))*--(_xlfn.XLOOKUP(TRUE,O630:O635&gt;0,_xlfn.SEQUENCE(ROWS(O630:O635)),,0,-1)&lt;&gt;_xlfn.XLOOKUP(MAX(IF(O630:O635&gt;0,INT(C630:C635)*3+MOD(ROUND(C630:C635*10,0),10),-1)),IF(O630:O635&gt;0,INT(C630:C635)*3+MOD(ROUND(C630:C635*10,0),10),-1),_xlfn.SEQUENCE(ROWS(O630:O635)),,0))*--(SUM(_xlfn.XLOOKUP(_xlfn._xlws.FILTER(_xlfn.TOCOL(_xlfn.CHOOSECOLS(C618:L626,2,4,6,8,10),0,TRUE),_xlfn.TOCOL(_xlfn.CHOOSECOLS(C618:L626,1,3,5,7,9),0,TRUE)&lt;&gt;""),Lists!$AC$2:$AC$9,Lists!$AF$2:$AF$9,0))-SUM(_xlfn.XLOOKUP(_xlfn._xlws.FILTER(_xlfn.TOCOL(_xlfn.CHOOSECOLS(C597:L605,2,4,6,8,10),0,TRUE),_xlfn.TOCOL(_xlfn.CHOOSECOLS(C597:L605,1,3,5,7,9),0,TRUE)&lt;&gt;""),Lists!$AC$2:$AC$9,Lists!$AF$2:$AF$9,0))&lt;=3)*--((INT(C634)*3+MOD(ROUND(C634*10,0),10))&gt;=3))</f>
        <v/>
      </c>
      <c r="M634" s="68" t="str" cm="1">
        <f t="array" ref="M634">IF(OR(B634="",O634=""),"",--(COUNTIF(O630:O635,"&gt;0")=1)*--(SUM(_xlfn.XLOOKUP(_xlfn._xlws.FILTER(_xlfn.TOCOL(_xlfn.CHOOSECOLS(C597:L605,2,4,6,8,10),0,TRUE),_xlfn.TOCOL(_xlfn.CHOOSECOLS(C597:L605,1,3,5,7,9),0,TRUE)&lt;&gt;""),Lists!$AC$2:$AC$9,Lists!$AF$2:$AF$9,0))=0))</f>
        <v/>
      </c>
      <c r="N634" s="69" t="str">
        <f>IF(OR(B634="",O634=""),"",--(COUNTIF(O630:O635,"&gt;0")=1))</f>
        <v/>
      </c>
      <c r="O634" s="5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  <c r="CI634" s="18"/>
      <c r="CJ634" s="18"/>
      <c r="CK634" s="18"/>
      <c r="CL634" s="18"/>
      <c r="CM634" s="18"/>
      <c r="CN634" s="18"/>
      <c r="CO634" s="18"/>
      <c r="CP634" s="18"/>
      <c r="CQ634" s="18"/>
      <c r="CR634" s="18"/>
      <c r="CS634" s="18"/>
      <c r="CT634" s="18"/>
      <c r="CU634" s="18"/>
      <c r="CV634" s="18"/>
      <c r="CW634" s="18"/>
      <c r="CX634" s="18"/>
      <c r="CY634" s="18"/>
      <c r="CZ634" s="18"/>
      <c r="DA634" s="18"/>
      <c r="DB634" s="18"/>
      <c r="DC634" s="18"/>
      <c r="DD634" s="18"/>
      <c r="DE634" s="18"/>
      <c r="DF634" s="18"/>
    </row>
    <row r="635" spans="1:110">
      <c r="A635" s="168">
        <v>6</v>
      </c>
      <c r="B635" s="71"/>
      <c r="C635" s="70" t="str" cm="1">
        <f t="array" aca="1" ref="C635" ca="1">IF(OR(B635="",O635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35" s="67" t="str" cm="1">
        <f t="array" aca="1" ref="D635" ca="1">IF(OR(B635="",O635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35" s="67" t="str" cm="1">
        <f t="array" aca="1" ref="E635" ca="1">IF(OR(B635="",O635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635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35" s="67" t="str" cm="1">
        <f t="array" aca="1" ref="F635" ca="1">IF(OR(B635="",O635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635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35" s="67" t="str" cm="1">
        <f t="array" aca="1" ref="G635" ca="1">IF(OR(B635="",O635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35" s="67" t="str" cm="1">
        <f t="array" aca="1" ref="H635" ca="1">IF(OR(B635="",O635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35" s="68" t="str" cm="1">
        <f t="array" aca="1" ref="I635" ca="1">IF(OR(B635="",O635=""),"",_xlfn.LET(_xlpm.flatPAraw,_xlfn.TOCOL(_xlfn.CHOOSECOLS(C597:L605,1,3,5,7,9),0,TRUE),_xlpm.flatPARraw,_xlfn.TOCOL(_xlfn.CHOOSECOLS(C597:L605,2,4,6,8,10),0,TRUE),_xlpm.flatPA,_xlfn._xlws.FILTER(_xlpm.flatPAraw,_xlpm.flatPAraw&lt;&gt;""),_xlpm.flatPAR,_xlfn._xlws.FILTER(_xlpm.flatPARraw,_xlpm.flatPAraw&lt;&gt;""),_xlpm.prev,IF(ROW()=ROW(C630),0,SUM(INDEX(O:O,ROW(C630)):INDEX(O:O,ROW()-1))),_xlpm.need,O635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35" s="68" t="str" cm="1">
        <f t="array" aca="1" ref="J635" ca="1">IF(OR(B635="",O635=""),"",--(SUM(_xlfn.XLOOKUP(_xlfn._xlws.FILTER(_xlfn.TOCOL(_xlfn.CHOOSECOLS(C618:L626,2,4,6,8,10),0,TRUE),_xlfn.TOCOL(_xlfn.CHOOSECOLS(C618:L626,1,3,5,7,9),0,TRUE)&lt;&gt;""),Lists!$AC$2:$AC$9,Lists!$AF$2:$AF$9,0))&gt;SUM(_xlfn.XLOOKUP(_xlfn._xlws.FILTER(_xlfn.TOCOL(_xlfn.CHOOSECOLS(C597:L605,2,4,6,8,10),0,TRUE),_xlfn.TOCOL(_xlfn.CHOOSECOLS(C597:L605,1,3,5,7,9),0,TRUE)&lt;&gt;""),Lists!$AC$2:$AC$9,Lists!$AF$2:$AF$9,0)))*--(ROW()-ROW(C629)=_xlfn.XLOOKUP(MAX(IF(O630:O635&gt;0,INT(C630:C635)*3+MOD(ROUND(C630:C635*10,0),10),-1)),IF(O630:O635&gt;0,INT(C630:C635)*3+MOD(ROUND(C630:C635*10,0),10),-1),_xlfn.SEQUENCE(ROWS(O630:O635)),,0)))</f>
        <v/>
      </c>
      <c r="K635" s="68" t="str" cm="1">
        <f t="array" aca="1" ref="K635" ca="1">IF(OR(B635="",O635=""),"",--(SUM(_xlfn.XLOOKUP(_xlfn._xlws.FILTER(_xlfn.TOCOL(_xlfn.CHOOSECOLS(C618:L626,2,4,6,8,10),0,TRUE),_xlfn.TOCOL(_xlfn.CHOOSECOLS(C618:L626,1,3,5,7,9),0,TRUE)&lt;&gt;""),Lists!$AC$2:$AC$9,Lists!$AF$2:$AF$9,0))&lt;SUM(_xlfn.XLOOKUP(_xlfn._xlws.FILTER(_xlfn.TOCOL(_xlfn.CHOOSECOLS(C597:L605,2,4,6,8,10),0,TRUE),_xlfn.TOCOL(_xlfn.CHOOSECOLS(C597:L605,1,3,5,7,9),0,TRUE)&lt;&gt;""),Lists!$AC$2:$AC$9,Lists!$AF$2:$AF$9,0)))*--(ROW()-ROW(C629)=_xlfn.XLOOKUP(MAX(IF(O630:O635&gt;0,E630:E635,-1)),IF(O630:O635&gt;0,E630:E635,-1),_xlfn.SEQUENCE(ROWS(O630:O635)),,0)))</f>
        <v/>
      </c>
      <c r="L635" s="68" t="str" cm="1">
        <f t="array" aca="1" ref="L635" ca="1">IF(OR(B635="",O635=""),"",--(SUM(_xlfn.XLOOKUP(_xlfn._xlws.FILTER(_xlfn.TOCOL(_xlfn.CHOOSECOLS(C618:L626,2,4,6,8,10),0,TRUE),_xlfn.TOCOL(_xlfn.CHOOSECOLS(C618:L626,1,3,5,7,9),0,TRUE)&lt;&gt;""),Lists!$AC$2:$AC$9,Lists!$AF$2:$AF$9,0))&gt;SUM(_xlfn.XLOOKUP(_xlfn._xlws.FILTER(_xlfn.TOCOL(_xlfn.CHOOSECOLS(C597:L605,2,4,6,8,10),0,TRUE),_xlfn.TOCOL(_xlfn.CHOOSECOLS(C597:L605,1,3,5,7,9),0,TRUE)&lt;&gt;""),Lists!$AC$2:$AC$9,Lists!$AF$2:$AF$9,0)))*--(COUNTIF(O630:O635,"&gt;0")&gt;1)*--(ROW()-ROW(C629)=_xlfn.XLOOKUP(TRUE,O630:O635&gt;0,_xlfn.SEQUENCE(ROWS(O630:O635)),,0,-1))*--(_xlfn.XLOOKUP(TRUE,O630:O635&gt;0,_xlfn.SEQUENCE(ROWS(O630:O635)),,0,-1)&lt;&gt;_xlfn.XLOOKUP(MAX(IF(O630:O635&gt;0,INT(C630:C635)*3+MOD(ROUND(C630:C635*10,0),10),-1)),IF(O630:O635&gt;0,INT(C630:C635)*3+MOD(ROUND(C630:C635*10,0),10),-1),_xlfn.SEQUENCE(ROWS(O630:O635)),,0))*--(SUM(_xlfn.XLOOKUP(_xlfn._xlws.FILTER(_xlfn.TOCOL(_xlfn.CHOOSECOLS(C618:L626,2,4,6,8,10),0,TRUE),_xlfn.TOCOL(_xlfn.CHOOSECOLS(C618:L626,1,3,5,7,9),0,TRUE)&lt;&gt;""),Lists!$AC$2:$AC$9,Lists!$AF$2:$AF$9,0))-SUM(_xlfn.XLOOKUP(_xlfn._xlws.FILTER(_xlfn.TOCOL(_xlfn.CHOOSECOLS(C597:L605,2,4,6,8,10),0,TRUE),_xlfn.TOCOL(_xlfn.CHOOSECOLS(C597:L605,1,3,5,7,9),0,TRUE)&lt;&gt;""),Lists!$AC$2:$AC$9,Lists!$AF$2:$AF$9,0))&lt;=3)*--((INT(C635)*3+MOD(ROUND(C635*10,0),10))&gt;=3))</f>
        <v/>
      </c>
      <c r="M635" s="68" t="str" cm="1">
        <f t="array" ref="M635">IF(OR(B635="",O635=""),"",--(COUNTIF(O630:O635,"&gt;0")=1)*--(SUM(_xlfn.XLOOKUP(_xlfn._xlws.FILTER(_xlfn.TOCOL(_xlfn.CHOOSECOLS(C597:L605,2,4,6,8,10),0,TRUE),_xlfn.TOCOL(_xlfn.CHOOSECOLS(C597:L605,1,3,5,7,9),0,TRUE)&lt;&gt;""),Lists!$AC$2:$AC$9,Lists!$AF$2:$AF$9,0))=0))</f>
        <v/>
      </c>
      <c r="N635" s="69" t="str">
        <f>IF(OR(B635="",O635=""),"",--(COUNTIF(O630:O635,"&gt;0")=1))</f>
        <v/>
      </c>
      <c r="O635" s="5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18"/>
      <c r="CJ635" s="18"/>
      <c r="CK635" s="18"/>
      <c r="CL635" s="18"/>
      <c r="CM635" s="18"/>
      <c r="CN635" s="18"/>
      <c r="CO635" s="18"/>
      <c r="CP635" s="18"/>
      <c r="CQ635" s="18"/>
      <c r="CR635" s="18"/>
      <c r="CS635" s="18"/>
      <c r="CT635" s="18"/>
      <c r="CU635" s="18"/>
      <c r="CV635" s="18"/>
      <c r="CW635" s="18"/>
      <c r="CX635" s="18"/>
      <c r="CY635" s="18"/>
      <c r="CZ635" s="18"/>
      <c r="DA635" s="18"/>
      <c r="DB635" s="18"/>
      <c r="DC635" s="18"/>
      <c r="DD635" s="18"/>
      <c r="DE635" s="18"/>
      <c r="DF635" s="18"/>
    </row>
    <row r="636" spans="1:110">
      <c r="A636" s="173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  <c r="CL636" s="18"/>
      <c r="CM636" s="18"/>
      <c r="CN636" s="18"/>
      <c r="CO636" s="18"/>
      <c r="CP636" s="18"/>
      <c r="CQ636" s="18"/>
      <c r="CR636" s="18"/>
      <c r="CS636" s="18"/>
      <c r="CT636" s="18"/>
      <c r="CU636" s="18"/>
      <c r="CV636" s="18"/>
      <c r="CW636" s="18"/>
      <c r="CX636" s="18"/>
      <c r="CY636" s="18"/>
      <c r="CZ636" s="18"/>
      <c r="DA636" s="18"/>
      <c r="DB636" s="18"/>
      <c r="DC636" s="18"/>
      <c r="DD636" s="18"/>
      <c r="DE636" s="18"/>
      <c r="DF636" s="18"/>
    </row>
    <row r="637" spans="1:110">
      <c r="A637" s="174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  <c r="CL637" s="18"/>
      <c r="CM637" s="18"/>
      <c r="CN637" s="18"/>
      <c r="CO637" s="18"/>
      <c r="CP637" s="18"/>
      <c r="CQ637" s="18"/>
      <c r="CR637" s="18"/>
      <c r="CS637" s="18"/>
      <c r="CT637" s="18"/>
      <c r="CU637" s="18"/>
      <c r="CV637" s="18"/>
      <c r="CW637" s="18"/>
      <c r="CX637" s="18"/>
      <c r="CY637" s="18"/>
      <c r="CZ637" s="18"/>
      <c r="DA637" s="18"/>
      <c r="DB637" s="18"/>
      <c r="DC637" s="18"/>
      <c r="DD637" s="18"/>
      <c r="DE637" s="18"/>
      <c r="DF637" s="18"/>
    </row>
    <row r="638" spans="1:110">
      <c r="A638" s="217" t="s">
        <v>219</v>
      </c>
      <c r="B638" s="218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9"/>
      <c r="N638" s="207"/>
      <c r="O638" s="36"/>
      <c r="P638" s="37"/>
      <c r="Q638" s="38"/>
      <c r="R638" s="38"/>
      <c r="S638" s="38"/>
      <c r="T638" s="38"/>
      <c r="U638" s="38"/>
      <c r="V638" s="38"/>
      <c r="W638" s="38"/>
      <c r="X638" s="3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  <c r="CL638" s="18"/>
      <c r="CM638" s="18"/>
      <c r="CN638" s="18"/>
      <c r="CO638" s="18"/>
      <c r="CP638" s="18"/>
      <c r="CQ638" s="18"/>
      <c r="CR638" s="18"/>
      <c r="CS638" s="18"/>
      <c r="CT638" s="18"/>
      <c r="CU638" s="18"/>
      <c r="CV638" s="18"/>
      <c r="CW638" s="18"/>
      <c r="CX638" s="18"/>
      <c r="CY638" s="18"/>
      <c r="CZ638" s="18"/>
      <c r="DA638" s="18"/>
      <c r="DB638" s="18"/>
      <c r="DC638" s="18"/>
      <c r="DD638" s="18"/>
      <c r="DE638" s="18"/>
      <c r="DF638" s="18"/>
    </row>
    <row r="639" spans="1:110">
      <c r="A639" s="169" t="s">
        <v>33</v>
      </c>
      <c r="B639" s="40">
        <f>Settings!$B$2</f>
        <v>1</v>
      </c>
      <c r="C639" s="41"/>
      <c r="D639" s="40" t="s">
        <v>95</v>
      </c>
      <c r="E639" s="41"/>
      <c r="F639" s="40" t="str">
        <f>Bracket!$F$19</f>
        <v/>
      </c>
      <c r="G639" s="41"/>
      <c r="H639" s="40" t="s">
        <v>97</v>
      </c>
      <c r="I639" s="41"/>
      <c r="J639" s="40" t="str">
        <f>Bracket!$G$19</f>
        <v/>
      </c>
      <c r="K639" s="41"/>
      <c r="L639" s="40" t="s">
        <v>134</v>
      </c>
      <c r="M639" s="24"/>
      <c r="N639" s="24" t="str">
        <f ca="1">Bracket!$H$19</f>
        <v/>
      </c>
      <c r="O639" s="24"/>
      <c r="P639" s="18"/>
      <c r="Q639" s="18"/>
      <c r="R639" s="18" t="str">
        <f ca="1">Bracket!$I$19</f>
        <v/>
      </c>
      <c r="S639" s="18"/>
      <c r="T639" s="18"/>
      <c r="U639" s="18"/>
      <c r="V639" s="18" t="str">
        <f ca="1">Bracket!$L$19</f>
        <v/>
      </c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18"/>
      <c r="CN639" s="18"/>
      <c r="CO639" s="18"/>
      <c r="CP639" s="18"/>
      <c r="CQ639" s="18"/>
      <c r="CR639" s="18"/>
      <c r="CS639" s="18"/>
      <c r="CT639" s="18"/>
      <c r="CU639" s="18"/>
      <c r="CV639" s="18"/>
      <c r="CW639" s="18"/>
      <c r="CX639" s="18"/>
      <c r="CY639" s="18"/>
      <c r="CZ639" s="18"/>
      <c r="DA639" s="18"/>
      <c r="DB639" s="18"/>
      <c r="DC639" s="18"/>
      <c r="DD639" s="18"/>
      <c r="DE639" s="18"/>
      <c r="DF639" s="18"/>
    </row>
    <row r="640" spans="1:110">
      <c r="A640" s="170" t="s">
        <v>160</v>
      </c>
      <c r="B640" s="72">
        <v>1</v>
      </c>
      <c r="C640" s="72">
        <v>2</v>
      </c>
      <c r="D640" s="72">
        <v>3</v>
      </c>
      <c r="E640" s="72">
        <v>4</v>
      </c>
      <c r="F640" s="72">
        <v>5</v>
      </c>
      <c r="G640" s="72">
        <v>6</v>
      </c>
      <c r="H640" s="72">
        <v>7</v>
      </c>
      <c r="I640" s="73">
        <v>8</v>
      </c>
      <c r="J640" s="73">
        <v>9</v>
      </c>
      <c r="K640" s="73" t="s">
        <v>161</v>
      </c>
      <c r="L640" s="73" t="s">
        <v>162</v>
      </c>
      <c r="M640" s="74" t="s">
        <v>163</v>
      </c>
      <c r="N640" s="24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18"/>
      <c r="CJ640" s="18"/>
      <c r="CK640" s="18"/>
      <c r="CL640" s="18"/>
      <c r="CM640" s="18"/>
      <c r="CN640" s="18"/>
      <c r="CO640" s="18"/>
      <c r="CP640" s="18"/>
      <c r="CQ640" s="18"/>
      <c r="CR640" s="18"/>
      <c r="CS640" s="18"/>
      <c r="CT640" s="18"/>
      <c r="CU640" s="18"/>
      <c r="CV640" s="18"/>
      <c r="CW640" s="18"/>
      <c r="CX640" s="18"/>
      <c r="CY640" s="18"/>
      <c r="CZ640" s="18"/>
      <c r="DA640" s="18"/>
      <c r="DB640" s="18"/>
      <c r="DC640" s="18"/>
      <c r="DD640" s="18"/>
      <c r="DE640" s="18"/>
      <c r="DF640" s="18"/>
    </row>
    <row r="641" spans="1:110">
      <c r="A641" s="171" t="str">
        <f ca="1">N639</f>
        <v/>
      </c>
      <c r="B641" s="75" cm="1">
        <f t="array" ref="B641">IFERROR(_xlfn.LET(_xlpm.flatPAraw,_xlfn.TOCOL(_xlfn.CHOOSECOLS(C646:L654,1,3,5,7,9),0,TRUE),_xlpm.flatPARraw,_xlfn.TOCOL(_xlfn.CHOOSECOLS(C646:L654,2,4,6,8,10)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641" s="75" cm="1">
        <f t="array" ref="C641">IFERROR(_xlfn.LET(_xlpm.flatPAraw,_xlfn.TOCOL(_xlfn.CHOOSECOLS(C646:L654,1,3,5,7,9),0,TRUE),_xlpm.flatPARraw,_xlfn.TOCOL(_xlfn.CHOOSECOLS(C646:L654,2,4,6,8,10)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641" s="75" cm="1">
        <f t="array" ref="D641">IFERROR(_xlfn.LET(_xlpm.flatPAraw,_xlfn.TOCOL(_xlfn.CHOOSECOLS(C646:L654,1,3,5,7,9),0,TRUE),_xlpm.flatPARraw,_xlfn.TOCOL(_xlfn.CHOOSECOLS(C646:L654,2,4,6,8,10)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641" s="75" cm="1">
        <f t="array" ref="E641">IFERROR(_xlfn.LET(_xlpm.flatPAraw,_xlfn.TOCOL(_xlfn.CHOOSECOLS(C646:L654,1,3,5,7,9),0,TRUE),_xlpm.flatPARraw,_xlfn.TOCOL(_xlfn.CHOOSECOLS(C646:L654,2,4,6,8,10)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641" s="75" cm="1">
        <f t="array" ref="F641">IFERROR(_xlfn.LET(_xlpm.flatPAraw,_xlfn.TOCOL(_xlfn.CHOOSECOLS(C646:L654,1,3,5,7,9),0,TRUE),_xlpm.flatPARraw,_xlfn.TOCOL(_xlfn.CHOOSECOLS(C646:L654,2,4,6,8,10)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641" s="75" cm="1">
        <f t="array" ref="G641">IFERROR(_xlfn.LET(_xlpm.flatPAraw,_xlfn.TOCOL(_xlfn.CHOOSECOLS(C646:L654,1,3,5,7,9),0,TRUE),_xlpm.flatPARraw,_xlfn.TOCOL(_xlfn.CHOOSECOLS(C646:L654,2,4,6,8,10)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641" s="75" cm="1">
        <f t="array" ref="H641">IFERROR(_xlfn.LET(_xlpm.flatPAraw,_xlfn.TOCOL(_xlfn.CHOOSECOLS(C646:L654,1,3,5,7,9),0,TRUE),_xlpm.flatPARraw,_xlfn.TOCOL(_xlfn.CHOOSECOLS(C646:L654,2,4,6,8,10)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641" s="76" cm="1">
        <f t="array" ref="I641">IFERROR(_xlfn.LET(_xlpm.flatPAraw,_xlfn.TOCOL(_xlfn.CHOOSECOLS(C646:L654,1,3,5,7,9),0,TRUE),_xlpm.flatPARraw,_xlfn.TOCOL(_xlfn.CHOOSECOLS(C646:L654,2,4,6,8,10)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641" s="76" cm="1">
        <f t="array" ref="J641">IFERROR(_xlfn.LET(_xlpm.flatPAraw,_xlfn.TOCOL(_xlfn.CHOOSECOLS(C646:L654,1,3,5,7,9),0,TRUE),_xlpm.flatPARraw,_xlfn.TOCOL(_xlfn.CHOOSECOLS(C646:L654,2,4,6,8,10)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641" s="164">
        <f>SUM(B641:J641)</f>
        <v>0</v>
      </c>
      <c r="L641" s="77">
        <f ca="1">SUM(O646:O654)</f>
        <v>0</v>
      </c>
      <c r="M641" s="78">
        <f>COUNTIF(C667:L675,"ROE")</f>
        <v>0</v>
      </c>
      <c r="N641" s="24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18"/>
      <c r="CJ641" s="18"/>
      <c r="CK641" s="18"/>
      <c r="CL641" s="18"/>
      <c r="CM641" s="18"/>
      <c r="CN641" s="18"/>
      <c r="CO641" s="18"/>
      <c r="CP641" s="18"/>
      <c r="CQ641" s="18"/>
      <c r="CR641" s="18"/>
      <c r="CS641" s="18"/>
      <c r="CT641" s="18"/>
      <c r="CU641" s="18"/>
      <c r="CV641" s="18"/>
      <c r="CW641" s="18"/>
      <c r="CX641" s="18"/>
      <c r="CY641" s="18"/>
      <c r="CZ641" s="18"/>
      <c r="DA641" s="18"/>
      <c r="DB641" s="18"/>
      <c r="DC641" s="18"/>
      <c r="DD641" s="18"/>
      <c r="DE641" s="18"/>
      <c r="DF641" s="18"/>
    </row>
    <row r="642" spans="1:110">
      <c r="A642" s="172" t="str">
        <f ca="1">R639</f>
        <v/>
      </c>
      <c r="B642" s="79" cm="1">
        <f t="array" ref="B642">IFERROR(_xlfn.LET(_xlpm.flatPAraw,_xlfn.TOCOL(_xlfn.CHOOSECOLS(C667:L675,1,3,5,7,9),0,TRUE),_xlpm.flatPARraw,_xlfn.TOCOL(_xlfn.CHOOSECOLS(C667:L675,2,4,6,8,10)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642" s="79" cm="1">
        <f t="array" ref="C642">IFERROR(_xlfn.LET(_xlpm.flatPAraw,_xlfn.TOCOL(_xlfn.CHOOSECOLS(C667:L675,1,3,5,7,9),0,TRUE),_xlpm.flatPARraw,_xlfn.TOCOL(_xlfn.CHOOSECOLS(C667:L675,2,4,6,8,10)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642" s="79" cm="1">
        <f t="array" ref="D642">IFERROR(_xlfn.LET(_xlpm.flatPAraw,_xlfn.TOCOL(_xlfn.CHOOSECOLS(C667:L675,1,3,5,7,9),0,TRUE),_xlpm.flatPARraw,_xlfn.TOCOL(_xlfn.CHOOSECOLS(C667:L675,2,4,6,8,10)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642" s="79" cm="1">
        <f t="array" ref="E642">IFERROR(_xlfn.LET(_xlpm.flatPAraw,_xlfn.TOCOL(_xlfn.CHOOSECOLS(C667:L675,1,3,5,7,9),0,TRUE),_xlpm.flatPARraw,_xlfn.TOCOL(_xlfn.CHOOSECOLS(C667:L675,2,4,6,8,10)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642" s="79" cm="1">
        <f t="array" ref="F642">IFERROR(_xlfn.LET(_xlpm.flatPAraw,_xlfn.TOCOL(_xlfn.CHOOSECOLS(C667:L675,1,3,5,7,9),0,TRUE),_xlpm.flatPARraw,_xlfn.TOCOL(_xlfn.CHOOSECOLS(C667:L675,2,4,6,8,10)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642" s="79" cm="1">
        <f t="array" ref="G642">IFERROR(_xlfn.LET(_xlpm.flatPAraw,_xlfn.TOCOL(_xlfn.CHOOSECOLS(C667:L675,1,3,5,7,9),0,TRUE),_xlpm.flatPARraw,_xlfn.TOCOL(_xlfn.CHOOSECOLS(C667:L675,2,4,6,8,10)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642" s="79" cm="1">
        <f t="array" ref="H642">IFERROR(_xlfn.LET(_xlpm.flatPAraw,_xlfn.TOCOL(_xlfn.CHOOSECOLS(C667:L675,1,3,5,7,9),0,TRUE),_xlpm.flatPARraw,_xlfn.TOCOL(_xlfn.CHOOSECOLS(C667:L675,2,4,6,8,10)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642" s="80" cm="1">
        <f t="array" ref="I642">IFERROR(_xlfn.LET(_xlpm.flatPAraw,_xlfn.TOCOL(_xlfn.CHOOSECOLS(C667:L675,1,3,5,7,9),0,TRUE),_xlpm.flatPARraw,_xlfn.TOCOL(_xlfn.CHOOSECOLS(C667:L675,2,4,6,8,10)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642" s="80" cm="1">
        <f t="array" ref="J642">IFERROR(_xlfn.LET(_xlpm.flatPAraw,_xlfn.TOCOL(_xlfn.CHOOSECOLS(C667:L675,1,3,5,7,9),0,TRUE),_xlpm.flatPARraw,_xlfn.TOCOL(_xlfn.CHOOSECOLS(C667:L675,2,4,6,8,10)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642" s="165">
        <f>SUM(B642:J642)</f>
        <v>0</v>
      </c>
      <c r="L642" s="81">
        <f ca="1">SUM(O667:O675)</f>
        <v>0</v>
      </c>
      <c r="M642" s="82">
        <f>COUNTIF(C646:L654,"ROE")</f>
        <v>0</v>
      </c>
      <c r="N642" s="24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18"/>
      <c r="CJ642" s="18"/>
      <c r="CK642" s="18"/>
      <c r="CL642" s="18"/>
      <c r="CM642" s="18"/>
      <c r="CN642" s="18"/>
      <c r="CO642" s="18"/>
      <c r="CP642" s="18"/>
      <c r="CQ642" s="18"/>
      <c r="CR642" s="18"/>
      <c r="CS642" s="18"/>
      <c r="CT642" s="18"/>
      <c r="CU642" s="18"/>
      <c r="CV642" s="18"/>
      <c r="CW642" s="18"/>
      <c r="CX642" s="18"/>
      <c r="CY642" s="18"/>
      <c r="CZ642" s="18"/>
      <c r="DA642" s="18"/>
      <c r="DB642" s="18"/>
      <c r="DC642" s="18"/>
      <c r="DD642" s="18"/>
      <c r="DE642" s="18"/>
      <c r="DF642" s="18"/>
    </row>
    <row r="643" spans="1:110">
      <c r="A643" s="173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  <c r="CI643" s="18"/>
      <c r="CJ643" s="18"/>
      <c r="CK643" s="18"/>
      <c r="CL643" s="18"/>
      <c r="CM643" s="18"/>
      <c r="CN643" s="18"/>
      <c r="CO643" s="18"/>
      <c r="CP643" s="18"/>
      <c r="CQ643" s="18"/>
      <c r="CR643" s="18"/>
      <c r="CS643" s="18"/>
      <c r="CT643" s="18"/>
      <c r="CU643" s="18"/>
      <c r="CV643" s="18"/>
      <c r="CW643" s="18"/>
      <c r="CX643" s="18"/>
      <c r="CY643" s="18"/>
      <c r="CZ643" s="18"/>
      <c r="DA643" s="18"/>
      <c r="DB643" s="18"/>
      <c r="DC643" s="18"/>
      <c r="DD643" s="18"/>
      <c r="DE643" s="18"/>
      <c r="DF643" s="18"/>
    </row>
    <row r="644" spans="1:110">
      <c r="A644" s="205" t="str">
        <f ca="1">IF($N$639="","Team A Batting",$N$639&amp;" Batting")</f>
        <v>Team A Batting</v>
      </c>
      <c r="B644" s="206"/>
      <c r="C644" s="206"/>
      <c r="D644" s="206"/>
      <c r="E644" s="206"/>
      <c r="F644" s="206"/>
      <c r="G644" s="206"/>
      <c r="H644" s="206"/>
      <c r="I644" s="206"/>
      <c r="J644" s="206"/>
      <c r="K644" s="206"/>
      <c r="L644" s="206"/>
      <c r="M644" s="206"/>
      <c r="N644" s="206"/>
      <c r="O644" s="181"/>
      <c r="P644" s="182"/>
      <c r="Q644" s="182"/>
      <c r="R644" s="182"/>
      <c r="S644" s="182"/>
      <c r="T644" s="182"/>
      <c r="U644" s="182"/>
      <c r="V644" s="182"/>
      <c r="W644" s="182"/>
      <c r="X644" s="182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18"/>
      <c r="CJ644" s="18"/>
      <c r="CK644" s="18"/>
      <c r="CL644" s="18"/>
      <c r="CM644" s="18"/>
      <c r="CN644" s="18"/>
      <c r="CO644" s="18"/>
      <c r="CP644" s="18"/>
      <c r="CQ644" s="18"/>
      <c r="CR644" s="18"/>
      <c r="CS644" s="18"/>
      <c r="CT644" s="18"/>
      <c r="CU644" s="18"/>
      <c r="CV644" s="18"/>
      <c r="CW644" s="18"/>
      <c r="CX644" s="18"/>
      <c r="CY644" s="18"/>
      <c r="CZ644" s="18"/>
      <c r="DA644" s="18"/>
      <c r="DB644" s="18"/>
      <c r="DC644" s="18"/>
      <c r="DD644" s="18"/>
      <c r="DE644" s="18"/>
      <c r="DF644" s="18"/>
    </row>
    <row r="645" spans="1:110">
      <c r="A645" s="167" t="s">
        <v>164</v>
      </c>
      <c r="B645" s="43" t="s">
        <v>39</v>
      </c>
      <c r="C645" s="43" t="s">
        <v>165</v>
      </c>
      <c r="D645" s="43" t="s">
        <v>166</v>
      </c>
      <c r="E645" s="43" t="s">
        <v>167</v>
      </c>
      <c r="F645" s="43" t="s">
        <v>168</v>
      </c>
      <c r="G645" s="43" t="s">
        <v>169</v>
      </c>
      <c r="H645" s="43" t="s">
        <v>170</v>
      </c>
      <c r="I645" s="43" t="s">
        <v>171</v>
      </c>
      <c r="J645" s="43" t="s">
        <v>172</v>
      </c>
      <c r="K645" s="43" t="s">
        <v>173</v>
      </c>
      <c r="L645" s="43" t="s">
        <v>174</v>
      </c>
      <c r="M645" s="43" t="s">
        <v>175</v>
      </c>
      <c r="N645" s="44" t="s">
        <v>161</v>
      </c>
      <c r="O645" s="44" t="s">
        <v>162</v>
      </c>
      <c r="P645" s="44" t="s">
        <v>176</v>
      </c>
      <c r="Q645" s="44" t="s">
        <v>177</v>
      </c>
      <c r="R645" s="44" t="s">
        <v>178</v>
      </c>
      <c r="S645" s="44" t="s">
        <v>179</v>
      </c>
      <c r="T645" s="44" t="s">
        <v>180</v>
      </c>
      <c r="U645" s="44" t="s">
        <v>181</v>
      </c>
      <c r="V645" s="44" t="s">
        <v>182</v>
      </c>
      <c r="W645" s="44" t="s">
        <v>183</v>
      </c>
      <c r="X645" s="45" t="s">
        <v>184</v>
      </c>
      <c r="Y645" s="45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18"/>
      <c r="CJ645" s="18"/>
      <c r="CK645" s="18"/>
      <c r="CL645" s="18"/>
      <c r="CM645" s="18"/>
      <c r="CN645" s="18"/>
      <c r="CO645" s="18"/>
      <c r="CP645" s="18"/>
      <c r="CQ645" s="18"/>
      <c r="CR645" s="18"/>
      <c r="CS645" s="18"/>
      <c r="CT645" s="18"/>
      <c r="CU645" s="18"/>
      <c r="CV645" s="18"/>
      <c r="CW645" s="18"/>
      <c r="CX645" s="18"/>
      <c r="CY645" s="18"/>
      <c r="CZ645" s="18"/>
      <c r="DA645" s="18"/>
      <c r="DB645" s="18"/>
      <c r="DC645" s="18"/>
      <c r="DD645" s="18"/>
      <c r="DE645" s="18"/>
      <c r="DF645" s="18"/>
    </row>
    <row r="646" spans="1:110">
      <c r="A646" s="168">
        <v>1</v>
      </c>
      <c r="B646" s="47" t="str">
        <f ca="1">Lineups!$C$187</f>
        <v/>
      </c>
      <c r="C646" s="48"/>
      <c r="D646" s="49"/>
      <c r="E646" s="49"/>
      <c r="F646" s="49"/>
      <c r="G646" s="49"/>
      <c r="H646" s="50"/>
      <c r="I646" s="50"/>
      <c r="J646" s="50"/>
      <c r="K646" s="50"/>
      <c r="L646" s="50"/>
      <c r="M646" s="67" t="str">
        <f ca="1">IF($B646="","",SUM(_xlfn.XLOOKUP(C646,Lists!$P$2:$P$19,Lists!$R$2:$R$19,0),_xlfn.XLOOKUP(E646,Lists!$P$2:$P$19,Lists!$R$2:$R$19,0),_xlfn.XLOOKUP(G646,Lists!$P$2:$P$19,Lists!$R$2:$R$19,0),_xlfn.XLOOKUP(I646,Lists!$P$2:$P$19,Lists!$R$2:$R$19,0),_xlfn.XLOOKUP(K646,Lists!$P$2:$P$19,Lists!$R$2:$R$19,0)))</f>
        <v/>
      </c>
      <c r="N646" s="68" t="str">
        <f ca="1">IF($B646="","",SUM(_xlfn.XLOOKUP(D646,Lists!$AC$2:$AC$9,Lists!$AE$2:$AE$9,0),_xlfn.XLOOKUP(F646,Lists!$AC$2:$AC$9,Lists!$AE$2:$AE$9,0),_xlfn.XLOOKUP(H646,Lists!$AC$2:$AC$9,Lists!$AE$2:$AE$9,0),_xlfn.XLOOKUP(J646,Lists!$AC$2:$AC$9,Lists!$AE$2:$AE$9,0),_xlfn.XLOOKUP(L646,Lists!$AC$2:$AC$9,Lists!$AE$2:$AE$9,0)))</f>
        <v/>
      </c>
      <c r="O646" s="68" t="str">
        <f ca="1">IF($B646="","",SUM(_xlfn.XLOOKUP(C646,Lists!$P$2:$P$19,Lists!$S$2:$S$19,0),_xlfn.XLOOKUP(E646,Lists!$P$2:$P$19,Lists!$S$2:$S$19,0),_xlfn.XLOOKUP(G646,Lists!$P$2:$P$19,Lists!$S$2:$S$19,0),_xlfn.XLOOKUP(I646,Lists!$P$2:$P$19,Lists!$S$2:$S$19,0),_xlfn.XLOOKUP(K646,Lists!$P$2:$P$19,Lists!$S$2:$S$19,0)))</f>
        <v/>
      </c>
      <c r="P646" s="68" t="str">
        <f ca="1">IF($B646="","",SUM(_xlfn.XLOOKUP(C646,Lists!$P$2:$P$19,Lists!$T$2:$T$19,0),_xlfn.XLOOKUP(E646,Lists!$P$2:$P$19,Lists!$T$2:$T$19,0),_xlfn.XLOOKUP(G646,Lists!$P$2:$P$19,Lists!$T$2:$T$19,0),_xlfn.XLOOKUP(I646,Lists!$P$2:$P$19,Lists!$T$2:$T$19,0),_xlfn.XLOOKUP(K646,Lists!$P$2:$P$19,Lists!$T$2:$T$19,0)))</f>
        <v/>
      </c>
      <c r="Q646" s="68" t="str">
        <f ca="1">IF($B646="","",SUM(_xlfn.XLOOKUP(C646,Lists!$P$2:$P$19,Lists!$U$2:$U$19,0),_xlfn.XLOOKUP(E646,Lists!$P$2:$P$19,Lists!$U$2:$U$19,0),_xlfn.XLOOKUP(G646,Lists!$P$2:$P$19,Lists!$U$2:$U$19,0),_xlfn.XLOOKUP(I646,Lists!$P$2:$P$19,Lists!$U$2:$U$19,0),_xlfn.XLOOKUP(K646,Lists!$P$2:$P$19,Lists!$U$2:$U$19,0)))</f>
        <v/>
      </c>
      <c r="R646" s="68" t="str">
        <f ca="1">IF($B646="","",SUM(_xlfn.XLOOKUP(C646,Lists!$P$2:$P$19,Lists!$V$2:$V$19,0),_xlfn.XLOOKUP(E646,Lists!$P$2:$P$19,Lists!$V$2:$V$19,0),_xlfn.XLOOKUP(G646,Lists!$P$2:$P$19,Lists!$V$2:$V$19,0),_xlfn.XLOOKUP(I646,Lists!$P$2:$P$19,Lists!$V$2:$V$19,0),_xlfn.XLOOKUP(K646,Lists!$P$2:$P$19,Lists!$V$2:$V$19,0)))</f>
        <v/>
      </c>
      <c r="S646" s="68" t="str">
        <f ca="1">IF($B646="","",SUM(_xlfn.XLOOKUP(D646,Lists!$AC$2:$AC$9,Lists!$AD$2:$AD$9,0),_xlfn.XLOOKUP(F646,Lists!$AC$2:$AC$9,Lists!$AD$2:$AD$9,0),_xlfn.XLOOKUP(H646,Lists!$AC$2:$AC$9,Lists!$AD$2:$AD$9,0),_xlfn.XLOOKUP(J646,Lists!$AC$2:$AC$9,Lists!$AD$2:$AD$9,0),_xlfn.XLOOKUP(L646,Lists!$AC$2:$AC$9,Lists!$AD$2:$AD$9,0)))</f>
        <v/>
      </c>
      <c r="T646" s="68" t="str">
        <f ca="1">IF($B646="","",SUM(_xlfn.XLOOKUP(C646,Lists!$P$2:$P$19,Lists!$W$2:$W$19,0),_xlfn.XLOOKUP(E646,Lists!$P$2:$P$19,Lists!$W$2:$W$19,0),_xlfn.XLOOKUP(G646,Lists!$P$2:$P$19,Lists!$W$2:$W$19,0),_xlfn.XLOOKUP(I646,Lists!$P$2:$P$19,Lists!$W$2:$W$19,0),_xlfn.XLOOKUP(K646,Lists!$P$2:$P$19,Lists!$W$2:$W$19,0)))</f>
        <v/>
      </c>
      <c r="U646" s="68" t="str">
        <f ca="1">IF($B646="","",SUM(_xlfn.XLOOKUP(C646,Lists!$P$2:$P$19,Lists!$X$2:$X$19,0),_xlfn.XLOOKUP(E646,Lists!$P$2:$P$19,Lists!$X$2:$X$19,0),_xlfn.XLOOKUP(G646,Lists!$P$2:$P$19,Lists!$X$2:$X$19,0),_xlfn.XLOOKUP(I646,Lists!$P$2:$P$19,Lists!$X$2:$X$19,0),_xlfn.XLOOKUP(K646,Lists!$P$2:$P$19,Lists!$X$2:$X$19,0)))</f>
        <v/>
      </c>
      <c r="V646" s="68" t="str">
        <f ca="1">IF($B646="","",SUM(_xlfn.XLOOKUP(C646,Lists!$P$2:$P$19,Lists!$Y$2:$Y$19,0),_xlfn.XLOOKUP(E646,Lists!$P$2:$P$19,Lists!$Y$2:$Y$19,0),_xlfn.XLOOKUP(G646,Lists!$P$2:$P$19,Lists!$Y$2:$Y$19,0),_xlfn.XLOOKUP(I646,Lists!$P$2:$P$19,Lists!$Y$2:$Y$19,0),_xlfn.XLOOKUP(K646,Lists!$P$2:$P$19,Lists!$Y$2:$Y$19,0)))</f>
        <v/>
      </c>
      <c r="W646" s="68" t="str">
        <f ca="1">IF($B646="","",SUM(_xlfn.XLOOKUP(C646,Lists!$P$2:$P$19,Lists!$Z$2:$Z$19,0),_xlfn.XLOOKUP(E646,Lists!$P$2:$P$19,Lists!$Z$2:$Z$19,0),_xlfn.XLOOKUP(G646,Lists!$P$2:$P$19,Lists!$Z$2:$Z$19,0),_xlfn.XLOOKUP(I646,Lists!$P$2:$P$19,Lists!$Z$2:$Z$19,0),_xlfn.XLOOKUP(K646,Lists!$P$2:$P$19,Lists!$Z$2:$Z$19,0)))</f>
        <v/>
      </c>
      <c r="X646" s="69" t="str">
        <f ca="1">IF($B646="","",SUM(_xlfn.XLOOKUP(C646,Lists!$P$2:$P$19,Lists!$AA$2:$AA$19,0),_xlfn.XLOOKUP(E646,Lists!$P$2:$P$19,Lists!$AA$2:$AA$19,0),_xlfn.XLOOKUP(G646,Lists!$P$2:$P$19,Lists!$AA$2:$AA$19,0),_xlfn.XLOOKUP(I646,Lists!$P$2:$P$19,Lists!$AA$2:$AA$19,0),_xlfn.XLOOKUP(K646,Lists!$P$2:$P$19,Lists!$AA$2:$AA$19,0)))</f>
        <v/>
      </c>
      <c r="Y646" s="4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  <c r="CI646" s="18"/>
      <c r="CJ646" s="18"/>
      <c r="CK646" s="18"/>
      <c r="CL646" s="18"/>
      <c r="CM646" s="18"/>
      <c r="CN646" s="18"/>
      <c r="CO646" s="18"/>
      <c r="CP646" s="18"/>
      <c r="CQ646" s="18"/>
      <c r="CR646" s="18"/>
      <c r="CS646" s="18"/>
      <c r="CT646" s="18"/>
      <c r="CU646" s="18"/>
      <c r="CV646" s="18"/>
      <c r="CW646" s="18"/>
      <c r="CX646" s="18"/>
      <c r="CY646" s="18"/>
      <c r="CZ646" s="18"/>
      <c r="DA646" s="18"/>
      <c r="DB646" s="18"/>
      <c r="DC646" s="18"/>
      <c r="DD646" s="18"/>
      <c r="DE646" s="18"/>
      <c r="DF646" s="18"/>
    </row>
    <row r="647" spans="1:110">
      <c r="A647" s="168">
        <v>2</v>
      </c>
      <c r="B647" s="47" t="str">
        <f ca="1">Lineups!$C$188</f>
        <v/>
      </c>
      <c r="C647" s="49"/>
      <c r="D647" s="49"/>
      <c r="E647" s="49"/>
      <c r="F647" s="49"/>
      <c r="G647" s="49"/>
      <c r="H647" s="50"/>
      <c r="I647" s="50"/>
      <c r="J647" s="50"/>
      <c r="K647" s="50"/>
      <c r="L647" s="50"/>
      <c r="M647" s="67" t="str">
        <f ca="1">IF($B647="","",SUM(_xlfn.XLOOKUP(C647,Lists!$P$2:$P$19,Lists!$R$2:$R$19,0),_xlfn.XLOOKUP(E647,Lists!$P$2:$P$19,Lists!$R$2:$R$19,0),_xlfn.XLOOKUP(G647,Lists!$P$2:$P$19,Lists!$R$2:$R$19,0),_xlfn.XLOOKUP(I647,Lists!$P$2:$P$19,Lists!$R$2:$R$19,0),_xlfn.XLOOKUP(K647,Lists!$P$2:$P$19,Lists!$R$2:$R$19,0)))</f>
        <v/>
      </c>
      <c r="N647" s="68" t="str">
        <f ca="1">IF($B647="","",SUM(_xlfn.XLOOKUP(D647,Lists!$AC$2:$AC$9,Lists!$AE$2:$AE$9,0),_xlfn.XLOOKUP(F647,Lists!$AC$2:$AC$9,Lists!$AE$2:$AE$9,0),_xlfn.XLOOKUP(H647,Lists!$AC$2:$AC$9,Lists!$AE$2:$AE$9,0),_xlfn.XLOOKUP(J647,Lists!$AC$2:$AC$9,Lists!$AE$2:$AE$9,0),_xlfn.XLOOKUP(L647,Lists!$AC$2:$AC$9,Lists!$AE$2:$AE$9,0)))</f>
        <v/>
      </c>
      <c r="O647" s="68" t="str">
        <f ca="1">IF($B647="","",SUM(_xlfn.XLOOKUP(C647,Lists!$P$2:$P$19,Lists!$S$2:$S$19,0),_xlfn.XLOOKUP(E647,Lists!$P$2:$P$19,Lists!$S$2:$S$19,0),_xlfn.XLOOKUP(G647,Lists!$P$2:$P$19,Lists!$S$2:$S$19,0),_xlfn.XLOOKUP(I647,Lists!$P$2:$P$19,Lists!$S$2:$S$19,0),_xlfn.XLOOKUP(K647,Lists!$P$2:$P$19,Lists!$S$2:$S$19,0)))</f>
        <v/>
      </c>
      <c r="P647" s="68" t="str">
        <f ca="1">IF($B647="","",SUM(_xlfn.XLOOKUP(C647,Lists!$P$2:$P$19,Lists!$T$2:$T$19,0),_xlfn.XLOOKUP(E647,Lists!$P$2:$P$19,Lists!$T$2:$T$19,0),_xlfn.XLOOKUP(G647,Lists!$P$2:$P$19,Lists!$T$2:$T$19,0),_xlfn.XLOOKUP(I647,Lists!$P$2:$P$19,Lists!$T$2:$T$19,0),_xlfn.XLOOKUP(K647,Lists!$P$2:$P$19,Lists!$T$2:$T$19,0)))</f>
        <v/>
      </c>
      <c r="Q647" s="68" t="str">
        <f ca="1">IF($B647="","",SUM(_xlfn.XLOOKUP(C647,Lists!$P$2:$P$19,Lists!$U$2:$U$19,0),_xlfn.XLOOKUP(E647,Lists!$P$2:$P$19,Lists!$U$2:$U$19,0),_xlfn.XLOOKUP(G647,Lists!$P$2:$P$19,Lists!$U$2:$U$19,0),_xlfn.XLOOKUP(I647,Lists!$P$2:$P$19,Lists!$U$2:$U$19,0),_xlfn.XLOOKUP(K647,Lists!$P$2:$P$19,Lists!$U$2:$U$19,0)))</f>
        <v/>
      </c>
      <c r="R647" s="68" t="str">
        <f ca="1">IF($B647="","",SUM(_xlfn.XLOOKUP(C647,Lists!$P$2:$P$19,Lists!$V$2:$V$19,0),_xlfn.XLOOKUP(E647,Lists!$P$2:$P$19,Lists!$V$2:$V$19,0),_xlfn.XLOOKUP(G647,Lists!$P$2:$P$19,Lists!$V$2:$V$19,0),_xlfn.XLOOKUP(I647,Lists!$P$2:$P$19,Lists!$V$2:$V$19,0),_xlfn.XLOOKUP(K647,Lists!$P$2:$P$19,Lists!$V$2:$V$19,0)))</f>
        <v/>
      </c>
      <c r="S647" s="68" t="str">
        <f ca="1">IF($B647="","",SUM(_xlfn.XLOOKUP(D647,Lists!$AC$2:$AC$9,Lists!$AD$2:$AD$9,0),_xlfn.XLOOKUP(F647,Lists!$AC$2:$AC$9,Lists!$AD$2:$AD$9,0),_xlfn.XLOOKUP(H647,Lists!$AC$2:$AC$9,Lists!$AD$2:$AD$9,0),_xlfn.XLOOKUP(J647,Lists!$AC$2:$AC$9,Lists!$AD$2:$AD$9,0),_xlfn.XLOOKUP(L647,Lists!$AC$2:$AC$9,Lists!$AD$2:$AD$9,0)))</f>
        <v/>
      </c>
      <c r="T647" s="68" t="str">
        <f ca="1">IF($B647="","",SUM(_xlfn.XLOOKUP(C647,Lists!$P$2:$P$19,Lists!$W$2:$W$19,0),_xlfn.XLOOKUP(E647,Lists!$P$2:$P$19,Lists!$W$2:$W$19,0),_xlfn.XLOOKUP(G647,Lists!$P$2:$P$19,Lists!$W$2:$W$19,0),_xlfn.XLOOKUP(I647,Lists!$P$2:$P$19,Lists!$W$2:$W$19,0),_xlfn.XLOOKUP(K647,Lists!$P$2:$P$19,Lists!$W$2:$W$19,0)))</f>
        <v/>
      </c>
      <c r="U647" s="68" t="str">
        <f ca="1">IF($B647="","",SUM(_xlfn.XLOOKUP(C647,Lists!$P$2:$P$19,Lists!$X$2:$X$19,0),_xlfn.XLOOKUP(E647,Lists!$P$2:$P$19,Lists!$X$2:$X$19,0),_xlfn.XLOOKUP(G647,Lists!$P$2:$P$19,Lists!$X$2:$X$19,0),_xlfn.XLOOKUP(I647,Lists!$P$2:$P$19,Lists!$X$2:$X$19,0),_xlfn.XLOOKUP(K647,Lists!$P$2:$P$19,Lists!$X$2:$X$19,0)))</f>
        <v/>
      </c>
      <c r="V647" s="68" t="str">
        <f ca="1">IF($B647="","",SUM(_xlfn.XLOOKUP(C647,Lists!$P$2:$P$19,Lists!$Y$2:$Y$19,0),_xlfn.XLOOKUP(E647,Lists!$P$2:$P$19,Lists!$Y$2:$Y$19,0),_xlfn.XLOOKUP(G647,Lists!$P$2:$P$19,Lists!$Y$2:$Y$19,0),_xlfn.XLOOKUP(I647,Lists!$P$2:$P$19,Lists!$Y$2:$Y$19,0),_xlfn.XLOOKUP(K647,Lists!$P$2:$P$19,Lists!$Y$2:$Y$19,0)))</f>
        <v/>
      </c>
      <c r="W647" s="68" t="str">
        <f ca="1">IF($B647="","",SUM(_xlfn.XLOOKUP(C647,Lists!$P$2:$P$19,Lists!$Z$2:$Z$19,0),_xlfn.XLOOKUP(E647,Lists!$P$2:$P$19,Lists!$Z$2:$Z$19,0),_xlfn.XLOOKUP(G647,Lists!$P$2:$P$19,Lists!$Z$2:$Z$19,0),_xlfn.XLOOKUP(I647,Lists!$P$2:$P$19,Lists!$Z$2:$Z$19,0),_xlfn.XLOOKUP(K647,Lists!$P$2:$P$19,Lists!$Z$2:$Z$19,0)))</f>
        <v/>
      </c>
      <c r="X647" s="69" t="str">
        <f ca="1">IF($B647="","",SUM(_xlfn.XLOOKUP(C647,Lists!$P$2:$P$19,Lists!$AA$2:$AA$19,0),_xlfn.XLOOKUP(E647,Lists!$P$2:$P$19,Lists!$AA$2:$AA$19,0),_xlfn.XLOOKUP(G647,Lists!$P$2:$P$19,Lists!$AA$2:$AA$19,0),_xlfn.XLOOKUP(I647,Lists!$P$2:$P$19,Lists!$AA$2:$AA$19,0),_xlfn.XLOOKUP(K647,Lists!$P$2:$P$19,Lists!$AA$2:$AA$19,0)))</f>
        <v/>
      </c>
      <c r="Y647" s="49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  <c r="CI647" s="18"/>
      <c r="CJ647" s="18"/>
      <c r="CK647" s="18"/>
      <c r="CL647" s="18"/>
      <c r="CM647" s="18"/>
      <c r="CN647" s="18"/>
      <c r="CO647" s="18"/>
      <c r="CP647" s="18"/>
      <c r="CQ647" s="18"/>
      <c r="CR647" s="18"/>
      <c r="CS647" s="18"/>
      <c r="CT647" s="18"/>
      <c r="CU647" s="18"/>
      <c r="CV647" s="18"/>
      <c r="CW647" s="18"/>
      <c r="CX647" s="18"/>
      <c r="CY647" s="18"/>
      <c r="CZ647" s="18"/>
      <c r="DA647" s="18"/>
      <c r="DB647" s="18"/>
      <c r="DC647" s="18"/>
      <c r="DD647" s="18"/>
      <c r="DE647" s="18"/>
      <c r="DF647" s="18"/>
    </row>
    <row r="648" spans="1:110">
      <c r="A648" s="168">
        <v>3</v>
      </c>
      <c r="B648" s="47" t="str">
        <f ca="1">Lineups!$C$189</f>
        <v/>
      </c>
      <c r="C648" s="49"/>
      <c r="D648" s="49"/>
      <c r="E648" s="49"/>
      <c r="F648" s="49"/>
      <c r="G648" s="49"/>
      <c r="H648" s="50"/>
      <c r="I648" s="50"/>
      <c r="J648" s="50"/>
      <c r="K648" s="50"/>
      <c r="L648" s="50"/>
      <c r="M648" s="67" t="str">
        <f ca="1">IF($B648="","",SUM(_xlfn.XLOOKUP(C648,Lists!$P$2:$P$19,Lists!$R$2:$R$19,0),_xlfn.XLOOKUP(E648,Lists!$P$2:$P$19,Lists!$R$2:$R$19,0),_xlfn.XLOOKUP(G648,Lists!$P$2:$P$19,Lists!$R$2:$R$19,0),_xlfn.XLOOKUP(I648,Lists!$P$2:$P$19,Lists!$R$2:$R$19,0),_xlfn.XLOOKUP(K648,Lists!$P$2:$P$19,Lists!$R$2:$R$19,0)))</f>
        <v/>
      </c>
      <c r="N648" s="68" t="str">
        <f ca="1">IF($B648="","",SUM(_xlfn.XLOOKUP(D648,Lists!$AC$2:$AC$9,Lists!$AE$2:$AE$9,0),_xlfn.XLOOKUP(F648,Lists!$AC$2:$AC$9,Lists!$AE$2:$AE$9,0),_xlfn.XLOOKUP(H648,Lists!$AC$2:$AC$9,Lists!$AE$2:$AE$9,0),_xlfn.XLOOKUP(J648,Lists!$AC$2:$AC$9,Lists!$AE$2:$AE$9,0),_xlfn.XLOOKUP(L648,Lists!$AC$2:$AC$9,Lists!$AE$2:$AE$9,0)))</f>
        <v/>
      </c>
      <c r="O648" s="68" t="str">
        <f ca="1">IF($B648="","",SUM(_xlfn.XLOOKUP(C648,Lists!$P$2:$P$19,Lists!$S$2:$S$19,0),_xlfn.XLOOKUP(E648,Lists!$P$2:$P$19,Lists!$S$2:$S$19,0),_xlfn.XLOOKUP(G648,Lists!$P$2:$P$19,Lists!$S$2:$S$19,0),_xlfn.XLOOKUP(I648,Lists!$P$2:$P$19,Lists!$S$2:$S$19,0),_xlfn.XLOOKUP(K648,Lists!$P$2:$P$19,Lists!$S$2:$S$19,0)))</f>
        <v/>
      </c>
      <c r="P648" s="68" t="str">
        <f ca="1">IF($B648="","",SUM(_xlfn.XLOOKUP(C648,Lists!$P$2:$P$19,Lists!$T$2:$T$19,0),_xlfn.XLOOKUP(E648,Lists!$P$2:$P$19,Lists!$T$2:$T$19,0),_xlfn.XLOOKUP(G648,Lists!$P$2:$P$19,Lists!$T$2:$T$19,0),_xlfn.XLOOKUP(I648,Lists!$P$2:$P$19,Lists!$T$2:$T$19,0),_xlfn.XLOOKUP(K648,Lists!$P$2:$P$19,Lists!$T$2:$T$19,0)))</f>
        <v/>
      </c>
      <c r="Q648" s="68" t="str">
        <f ca="1">IF($B648="","",SUM(_xlfn.XLOOKUP(C648,Lists!$P$2:$P$19,Lists!$U$2:$U$19,0),_xlfn.XLOOKUP(E648,Lists!$P$2:$P$19,Lists!$U$2:$U$19,0),_xlfn.XLOOKUP(G648,Lists!$P$2:$P$19,Lists!$U$2:$U$19,0),_xlfn.XLOOKUP(I648,Lists!$P$2:$P$19,Lists!$U$2:$U$19,0),_xlfn.XLOOKUP(K648,Lists!$P$2:$P$19,Lists!$U$2:$U$19,0)))</f>
        <v/>
      </c>
      <c r="R648" s="68" t="str">
        <f ca="1">IF($B648="","",SUM(_xlfn.XLOOKUP(C648,Lists!$P$2:$P$19,Lists!$V$2:$V$19,0),_xlfn.XLOOKUP(E648,Lists!$P$2:$P$19,Lists!$V$2:$V$19,0),_xlfn.XLOOKUP(G648,Lists!$P$2:$P$19,Lists!$V$2:$V$19,0),_xlfn.XLOOKUP(I648,Lists!$P$2:$P$19,Lists!$V$2:$V$19,0),_xlfn.XLOOKUP(K648,Lists!$P$2:$P$19,Lists!$V$2:$V$19,0)))</f>
        <v/>
      </c>
      <c r="S648" s="68" t="str">
        <f ca="1">IF($B648="","",SUM(_xlfn.XLOOKUP(D648,Lists!$AC$2:$AC$9,Lists!$AD$2:$AD$9,0),_xlfn.XLOOKUP(F648,Lists!$AC$2:$AC$9,Lists!$AD$2:$AD$9,0),_xlfn.XLOOKUP(H648,Lists!$AC$2:$AC$9,Lists!$AD$2:$AD$9,0),_xlfn.XLOOKUP(J648,Lists!$AC$2:$AC$9,Lists!$AD$2:$AD$9,0),_xlfn.XLOOKUP(L648,Lists!$AC$2:$AC$9,Lists!$AD$2:$AD$9,0)))</f>
        <v/>
      </c>
      <c r="T648" s="68" t="str">
        <f ca="1">IF($B648="","",SUM(_xlfn.XLOOKUP(C648,Lists!$P$2:$P$19,Lists!$W$2:$W$19,0),_xlfn.XLOOKUP(E648,Lists!$P$2:$P$19,Lists!$W$2:$W$19,0),_xlfn.XLOOKUP(G648,Lists!$P$2:$P$19,Lists!$W$2:$W$19,0),_xlfn.XLOOKUP(I648,Lists!$P$2:$P$19,Lists!$W$2:$W$19,0),_xlfn.XLOOKUP(K648,Lists!$P$2:$P$19,Lists!$W$2:$W$19,0)))</f>
        <v/>
      </c>
      <c r="U648" s="68" t="str">
        <f ca="1">IF($B648="","",SUM(_xlfn.XLOOKUP(C648,Lists!$P$2:$P$19,Lists!$X$2:$X$19,0),_xlfn.XLOOKUP(E648,Lists!$P$2:$P$19,Lists!$X$2:$X$19,0),_xlfn.XLOOKUP(G648,Lists!$P$2:$P$19,Lists!$X$2:$X$19,0),_xlfn.XLOOKUP(I648,Lists!$P$2:$P$19,Lists!$X$2:$X$19,0),_xlfn.XLOOKUP(K648,Lists!$P$2:$P$19,Lists!$X$2:$X$19,0)))</f>
        <v/>
      </c>
      <c r="V648" s="68" t="str">
        <f ca="1">IF($B648="","",SUM(_xlfn.XLOOKUP(C648,Lists!$P$2:$P$19,Lists!$Y$2:$Y$19,0),_xlfn.XLOOKUP(E648,Lists!$P$2:$P$19,Lists!$Y$2:$Y$19,0),_xlfn.XLOOKUP(G648,Lists!$P$2:$P$19,Lists!$Y$2:$Y$19,0),_xlfn.XLOOKUP(I648,Lists!$P$2:$P$19,Lists!$Y$2:$Y$19,0),_xlfn.XLOOKUP(K648,Lists!$P$2:$P$19,Lists!$Y$2:$Y$19,0)))</f>
        <v/>
      </c>
      <c r="W648" s="68" t="str">
        <f ca="1">IF($B648="","",SUM(_xlfn.XLOOKUP(C648,Lists!$P$2:$P$19,Lists!$Z$2:$Z$19,0),_xlfn.XLOOKUP(E648,Lists!$P$2:$P$19,Lists!$Z$2:$Z$19,0),_xlfn.XLOOKUP(G648,Lists!$P$2:$P$19,Lists!$Z$2:$Z$19,0),_xlfn.XLOOKUP(I648,Lists!$P$2:$P$19,Lists!$Z$2:$Z$19,0),_xlfn.XLOOKUP(K648,Lists!$P$2:$P$19,Lists!$Z$2:$Z$19,0)))</f>
        <v/>
      </c>
      <c r="X648" s="69" t="str">
        <f ca="1">IF($B648="","",SUM(_xlfn.XLOOKUP(C648,Lists!$P$2:$P$19,Lists!$AA$2:$AA$19,0),_xlfn.XLOOKUP(E648,Lists!$P$2:$P$19,Lists!$AA$2:$AA$19,0),_xlfn.XLOOKUP(G648,Lists!$P$2:$P$19,Lists!$AA$2:$AA$19,0),_xlfn.XLOOKUP(I648,Lists!$P$2:$P$19,Lists!$AA$2:$AA$19,0),_xlfn.XLOOKUP(K648,Lists!$P$2:$P$19,Lists!$AA$2:$AA$19,0)))</f>
        <v/>
      </c>
      <c r="Y648" s="49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8"/>
      <c r="CG648" s="18"/>
      <c r="CH648" s="18"/>
      <c r="CI648" s="18"/>
      <c r="CJ648" s="18"/>
      <c r="CK648" s="18"/>
      <c r="CL648" s="18"/>
      <c r="CM648" s="18"/>
      <c r="CN648" s="18"/>
      <c r="CO648" s="18"/>
      <c r="CP648" s="18"/>
      <c r="CQ648" s="18"/>
      <c r="CR648" s="18"/>
      <c r="CS648" s="18"/>
      <c r="CT648" s="18"/>
      <c r="CU648" s="18"/>
      <c r="CV648" s="18"/>
      <c r="CW648" s="18"/>
      <c r="CX648" s="18"/>
      <c r="CY648" s="18"/>
      <c r="CZ648" s="18"/>
      <c r="DA648" s="18"/>
      <c r="DB648" s="18"/>
      <c r="DC648" s="18"/>
      <c r="DD648" s="18"/>
      <c r="DE648" s="18"/>
      <c r="DF648" s="18"/>
    </row>
    <row r="649" spans="1:110">
      <c r="A649" s="168">
        <v>4</v>
      </c>
      <c r="B649" s="47" t="str">
        <f ca="1">Lineups!$C$190</f>
        <v/>
      </c>
      <c r="C649" s="49"/>
      <c r="D649" s="49"/>
      <c r="E649" s="49"/>
      <c r="F649" s="49"/>
      <c r="G649" s="49"/>
      <c r="H649" s="50"/>
      <c r="I649" s="50"/>
      <c r="J649" s="50"/>
      <c r="K649" s="50"/>
      <c r="L649" s="50"/>
      <c r="M649" s="67" t="str">
        <f ca="1">IF($B649="","",SUM(_xlfn.XLOOKUP(C649,Lists!$P$2:$P$19,Lists!$R$2:$R$19,0),_xlfn.XLOOKUP(E649,Lists!$P$2:$P$19,Lists!$R$2:$R$19,0),_xlfn.XLOOKUP(G649,Lists!$P$2:$P$19,Lists!$R$2:$R$19,0),_xlfn.XLOOKUP(I649,Lists!$P$2:$P$19,Lists!$R$2:$R$19,0),_xlfn.XLOOKUP(K649,Lists!$P$2:$P$19,Lists!$R$2:$R$19,0)))</f>
        <v/>
      </c>
      <c r="N649" s="68" t="str">
        <f ca="1">IF($B649="","",SUM(_xlfn.XLOOKUP(D649,Lists!$AC$2:$AC$9,Lists!$AE$2:$AE$9,0),_xlfn.XLOOKUP(F649,Lists!$AC$2:$AC$9,Lists!$AE$2:$AE$9,0),_xlfn.XLOOKUP(H649,Lists!$AC$2:$AC$9,Lists!$AE$2:$AE$9,0),_xlfn.XLOOKUP(J649,Lists!$AC$2:$AC$9,Lists!$AE$2:$AE$9,0),_xlfn.XLOOKUP(L649,Lists!$AC$2:$AC$9,Lists!$AE$2:$AE$9,0)))</f>
        <v/>
      </c>
      <c r="O649" s="68" t="str">
        <f ca="1">IF($B649="","",SUM(_xlfn.XLOOKUP(C649,Lists!$P$2:$P$19,Lists!$S$2:$S$19,0),_xlfn.XLOOKUP(E649,Lists!$P$2:$P$19,Lists!$S$2:$S$19,0),_xlfn.XLOOKUP(G649,Lists!$P$2:$P$19,Lists!$S$2:$S$19,0),_xlfn.XLOOKUP(I649,Lists!$P$2:$P$19,Lists!$S$2:$S$19,0),_xlfn.XLOOKUP(K649,Lists!$P$2:$P$19,Lists!$S$2:$S$19,0)))</f>
        <v/>
      </c>
      <c r="P649" s="68" t="str">
        <f ca="1">IF($B649="","",SUM(_xlfn.XLOOKUP(C649,Lists!$P$2:$P$19,Lists!$T$2:$T$19,0),_xlfn.XLOOKUP(E649,Lists!$P$2:$P$19,Lists!$T$2:$T$19,0),_xlfn.XLOOKUP(G649,Lists!$P$2:$P$19,Lists!$T$2:$T$19,0),_xlfn.XLOOKUP(I649,Lists!$P$2:$P$19,Lists!$T$2:$T$19,0),_xlfn.XLOOKUP(K649,Lists!$P$2:$P$19,Lists!$T$2:$T$19,0)))</f>
        <v/>
      </c>
      <c r="Q649" s="68" t="str">
        <f ca="1">IF($B649="","",SUM(_xlfn.XLOOKUP(C649,Lists!$P$2:$P$19,Lists!$U$2:$U$19,0),_xlfn.XLOOKUP(E649,Lists!$P$2:$P$19,Lists!$U$2:$U$19,0),_xlfn.XLOOKUP(G649,Lists!$P$2:$P$19,Lists!$U$2:$U$19,0),_xlfn.XLOOKUP(I649,Lists!$P$2:$P$19,Lists!$U$2:$U$19,0),_xlfn.XLOOKUP(K649,Lists!$P$2:$P$19,Lists!$U$2:$U$19,0)))</f>
        <v/>
      </c>
      <c r="R649" s="68" t="str">
        <f ca="1">IF($B649="","",SUM(_xlfn.XLOOKUP(C649,Lists!$P$2:$P$19,Lists!$V$2:$V$19,0),_xlfn.XLOOKUP(E649,Lists!$P$2:$P$19,Lists!$V$2:$V$19,0),_xlfn.XLOOKUP(G649,Lists!$P$2:$P$19,Lists!$V$2:$V$19,0),_xlfn.XLOOKUP(I649,Lists!$P$2:$P$19,Lists!$V$2:$V$19,0),_xlfn.XLOOKUP(K649,Lists!$P$2:$P$19,Lists!$V$2:$V$19,0)))</f>
        <v/>
      </c>
      <c r="S649" s="68" t="str">
        <f ca="1">IF($B649="","",SUM(_xlfn.XLOOKUP(D649,Lists!$AC$2:$AC$9,Lists!$AD$2:$AD$9,0),_xlfn.XLOOKUP(F649,Lists!$AC$2:$AC$9,Lists!$AD$2:$AD$9,0),_xlfn.XLOOKUP(H649,Lists!$AC$2:$AC$9,Lists!$AD$2:$AD$9,0),_xlfn.XLOOKUP(J649,Lists!$AC$2:$AC$9,Lists!$AD$2:$AD$9,0),_xlfn.XLOOKUP(L649,Lists!$AC$2:$AC$9,Lists!$AD$2:$AD$9,0)))</f>
        <v/>
      </c>
      <c r="T649" s="68" t="str">
        <f ca="1">IF($B649="","",SUM(_xlfn.XLOOKUP(C649,Lists!$P$2:$P$19,Lists!$W$2:$W$19,0),_xlfn.XLOOKUP(E649,Lists!$P$2:$P$19,Lists!$W$2:$W$19,0),_xlfn.XLOOKUP(G649,Lists!$P$2:$P$19,Lists!$W$2:$W$19,0),_xlfn.XLOOKUP(I649,Lists!$P$2:$P$19,Lists!$W$2:$W$19,0),_xlfn.XLOOKUP(K649,Lists!$P$2:$P$19,Lists!$W$2:$W$19,0)))</f>
        <v/>
      </c>
      <c r="U649" s="68" t="str">
        <f ca="1">IF($B649="","",SUM(_xlfn.XLOOKUP(C649,Lists!$P$2:$P$19,Lists!$X$2:$X$19,0),_xlfn.XLOOKUP(E649,Lists!$P$2:$P$19,Lists!$X$2:$X$19,0),_xlfn.XLOOKUP(G649,Lists!$P$2:$P$19,Lists!$X$2:$X$19,0),_xlfn.XLOOKUP(I649,Lists!$P$2:$P$19,Lists!$X$2:$X$19,0),_xlfn.XLOOKUP(K649,Lists!$P$2:$P$19,Lists!$X$2:$X$19,0)))</f>
        <v/>
      </c>
      <c r="V649" s="68" t="str">
        <f ca="1">IF($B649="","",SUM(_xlfn.XLOOKUP(C649,Lists!$P$2:$P$19,Lists!$Y$2:$Y$19,0),_xlfn.XLOOKUP(E649,Lists!$P$2:$P$19,Lists!$Y$2:$Y$19,0),_xlfn.XLOOKUP(G649,Lists!$P$2:$P$19,Lists!$Y$2:$Y$19,0),_xlfn.XLOOKUP(I649,Lists!$P$2:$P$19,Lists!$Y$2:$Y$19,0),_xlfn.XLOOKUP(K649,Lists!$P$2:$P$19,Lists!$Y$2:$Y$19,0)))</f>
        <v/>
      </c>
      <c r="W649" s="68" t="str">
        <f ca="1">IF($B649="","",SUM(_xlfn.XLOOKUP(C649,Lists!$P$2:$P$19,Lists!$Z$2:$Z$19,0),_xlfn.XLOOKUP(E649,Lists!$P$2:$P$19,Lists!$Z$2:$Z$19,0),_xlfn.XLOOKUP(G649,Lists!$P$2:$P$19,Lists!$Z$2:$Z$19,0),_xlfn.XLOOKUP(I649,Lists!$P$2:$P$19,Lists!$Z$2:$Z$19,0),_xlfn.XLOOKUP(K649,Lists!$P$2:$P$19,Lists!$Z$2:$Z$19,0)))</f>
        <v/>
      </c>
      <c r="X649" s="69" t="str">
        <f ca="1">IF($B649="","",SUM(_xlfn.XLOOKUP(C649,Lists!$P$2:$P$19,Lists!$AA$2:$AA$19,0),_xlfn.XLOOKUP(E649,Lists!$P$2:$P$19,Lists!$AA$2:$AA$19,0),_xlfn.XLOOKUP(G649,Lists!$P$2:$P$19,Lists!$AA$2:$AA$19,0),_xlfn.XLOOKUP(I649,Lists!$P$2:$P$19,Lists!$AA$2:$AA$19,0),_xlfn.XLOOKUP(K649,Lists!$P$2:$P$19,Lists!$AA$2:$AA$19,0)))</f>
        <v/>
      </c>
      <c r="Y649" s="49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  <c r="CI649" s="18"/>
      <c r="CJ649" s="18"/>
      <c r="CK649" s="18"/>
      <c r="CL649" s="18"/>
      <c r="CM649" s="18"/>
      <c r="CN649" s="18"/>
      <c r="CO649" s="18"/>
      <c r="CP649" s="18"/>
      <c r="CQ649" s="18"/>
      <c r="CR649" s="18"/>
      <c r="CS649" s="18"/>
      <c r="CT649" s="18"/>
      <c r="CU649" s="18"/>
      <c r="CV649" s="18"/>
      <c r="CW649" s="18"/>
      <c r="CX649" s="18"/>
      <c r="CY649" s="18"/>
      <c r="CZ649" s="18"/>
      <c r="DA649" s="18"/>
      <c r="DB649" s="18"/>
      <c r="DC649" s="18"/>
      <c r="DD649" s="18"/>
      <c r="DE649" s="18"/>
      <c r="DF649" s="18"/>
    </row>
    <row r="650" spans="1:110">
      <c r="A650" s="168">
        <v>5</v>
      </c>
      <c r="B650" s="47" t="str">
        <f ca="1">Lineups!$C$191</f>
        <v/>
      </c>
      <c r="C650" s="49"/>
      <c r="D650" s="49"/>
      <c r="E650" s="49"/>
      <c r="F650" s="49"/>
      <c r="G650" s="49"/>
      <c r="H650" s="50"/>
      <c r="I650" s="50"/>
      <c r="J650" s="50"/>
      <c r="K650" s="50"/>
      <c r="L650" s="50"/>
      <c r="M650" s="67" t="str">
        <f ca="1">IF($B650="","",SUM(_xlfn.XLOOKUP(C650,Lists!$P$2:$P$19,Lists!$R$2:$R$19,0),_xlfn.XLOOKUP(E650,Lists!$P$2:$P$19,Lists!$R$2:$R$19,0),_xlfn.XLOOKUP(G650,Lists!$P$2:$P$19,Lists!$R$2:$R$19,0),_xlfn.XLOOKUP(I650,Lists!$P$2:$P$19,Lists!$R$2:$R$19,0),_xlfn.XLOOKUP(K650,Lists!$P$2:$P$19,Lists!$R$2:$R$19,0)))</f>
        <v/>
      </c>
      <c r="N650" s="68" t="str">
        <f ca="1">IF($B650="","",SUM(_xlfn.XLOOKUP(D650,Lists!$AC$2:$AC$9,Lists!$AE$2:$AE$9,0),_xlfn.XLOOKUP(F650,Lists!$AC$2:$AC$9,Lists!$AE$2:$AE$9,0),_xlfn.XLOOKUP(H650,Lists!$AC$2:$AC$9,Lists!$AE$2:$AE$9,0),_xlfn.XLOOKUP(J650,Lists!$AC$2:$AC$9,Lists!$AE$2:$AE$9,0),_xlfn.XLOOKUP(L650,Lists!$AC$2:$AC$9,Lists!$AE$2:$AE$9,0)))</f>
        <v/>
      </c>
      <c r="O650" s="68" t="str">
        <f ca="1">IF($B650="","",SUM(_xlfn.XLOOKUP(C650,Lists!$P$2:$P$19,Lists!$S$2:$S$19,0),_xlfn.XLOOKUP(E650,Lists!$P$2:$P$19,Lists!$S$2:$S$19,0),_xlfn.XLOOKUP(G650,Lists!$P$2:$P$19,Lists!$S$2:$S$19,0),_xlfn.XLOOKUP(I650,Lists!$P$2:$P$19,Lists!$S$2:$S$19,0),_xlfn.XLOOKUP(K650,Lists!$P$2:$P$19,Lists!$S$2:$S$19,0)))</f>
        <v/>
      </c>
      <c r="P650" s="68" t="str">
        <f ca="1">IF($B650="","",SUM(_xlfn.XLOOKUP(C650,Lists!$P$2:$P$19,Lists!$T$2:$T$19,0),_xlfn.XLOOKUP(E650,Lists!$P$2:$P$19,Lists!$T$2:$T$19,0),_xlfn.XLOOKUP(G650,Lists!$P$2:$P$19,Lists!$T$2:$T$19,0),_xlfn.XLOOKUP(I650,Lists!$P$2:$P$19,Lists!$T$2:$T$19,0),_xlfn.XLOOKUP(K650,Lists!$P$2:$P$19,Lists!$T$2:$T$19,0)))</f>
        <v/>
      </c>
      <c r="Q650" s="68" t="str">
        <f ca="1">IF($B650="","",SUM(_xlfn.XLOOKUP(C650,Lists!$P$2:$P$19,Lists!$U$2:$U$19,0),_xlfn.XLOOKUP(E650,Lists!$P$2:$P$19,Lists!$U$2:$U$19,0),_xlfn.XLOOKUP(G650,Lists!$P$2:$P$19,Lists!$U$2:$U$19,0),_xlfn.XLOOKUP(I650,Lists!$P$2:$P$19,Lists!$U$2:$U$19,0),_xlfn.XLOOKUP(K650,Lists!$P$2:$P$19,Lists!$U$2:$U$19,0)))</f>
        <v/>
      </c>
      <c r="R650" s="68" t="str">
        <f ca="1">IF($B650="","",SUM(_xlfn.XLOOKUP(C650,Lists!$P$2:$P$19,Lists!$V$2:$V$19,0),_xlfn.XLOOKUP(E650,Lists!$P$2:$P$19,Lists!$V$2:$V$19,0),_xlfn.XLOOKUP(G650,Lists!$P$2:$P$19,Lists!$V$2:$V$19,0),_xlfn.XLOOKUP(I650,Lists!$P$2:$P$19,Lists!$V$2:$V$19,0),_xlfn.XLOOKUP(K650,Lists!$P$2:$P$19,Lists!$V$2:$V$19,0)))</f>
        <v/>
      </c>
      <c r="S650" s="68" t="str">
        <f ca="1">IF($B650="","",SUM(_xlfn.XLOOKUP(D650,Lists!$AC$2:$AC$9,Lists!$AD$2:$AD$9,0),_xlfn.XLOOKUP(F650,Lists!$AC$2:$AC$9,Lists!$AD$2:$AD$9,0),_xlfn.XLOOKUP(H650,Lists!$AC$2:$AC$9,Lists!$AD$2:$AD$9,0),_xlfn.XLOOKUP(J650,Lists!$AC$2:$AC$9,Lists!$AD$2:$AD$9,0),_xlfn.XLOOKUP(L650,Lists!$AC$2:$AC$9,Lists!$AD$2:$AD$9,0)))</f>
        <v/>
      </c>
      <c r="T650" s="68" t="str">
        <f ca="1">IF($B650="","",SUM(_xlfn.XLOOKUP(C650,Lists!$P$2:$P$19,Lists!$W$2:$W$19,0),_xlfn.XLOOKUP(E650,Lists!$P$2:$P$19,Lists!$W$2:$W$19,0),_xlfn.XLOOKUP(G650,Lists!$P$2:$P$19,Lists!$W$2:$W$19,0),_xlfn.XLOOKUP(I650,Lists!$P$2:$P$19,Lists!$W$2:$W$19,0),_xlfn.XLOOKUP(K650,Lists!$P$2:$P$19,Lists!$W$2:$W$19,0)))</f>
        <v/>
      </c>
      <c r="U650" s="68" t="str">
        <f ca="1">IF($B650="","",SUM(_xlfn.XLOOKUP(C650,Lists!$P$2:$P$19,Lists!$X$2:$X$19,0),_xlfn.XLOOKUP(E650,Lists!$P$2:$P$19,Lists!$X$2:$X$19,0),_xlfn.XLOOKUP(G650,Lists!$P$2:$P$19,Lists!$X$2:$X$19,0),_xlfn.XLOOKUP(I650,Lists!$P$2:$P$19,Lists!$X$2:$X$19,0),_xlfn.XLOOKUP(K650,Lists!$P$2:$P$19,Lists!$X$2:$X$19,0)))</f>
        <v/>
      </c>
      <c r="V650" s="68" t="str">
        <f ca="1">IF($B650="","",SUM(_xlfn.XLOOKUP(C650,Lists!$P$2:$P$19,Lists!$Y$2:$Y$19,0),_xlfn.XLOOKUP(E650,Lists!$P$2:$P$19,Lists!$Y$2:$Y$19,0),_xlfn.XLOOKUP(G650,Lists!$P$2:$P$19,Lists!$Y$2:$Y$19,0),_xlfn.XLOOKUP(I650,Lists!$P$2:$P$19,Lists!$Y$2:$Y$19,0),_xlfn.XLOOKUP(K650,Lists!$P$2:$P$19,Lists!$Y$2:$Y$19,0)))</f>
        <v/>
      </c>
      <c r="W650" s="68" t="str">
        <f ca="1">IF($B650="","",SUM(_xlfn.XLOOKUP(C650,Lists!$P$2:$P$19,Lists!$Z$2:$Z$19,0),_xlfn.XLOOKUP(E650,Lists!$P$2:$P$19,Lists!$Z$2:$Z$19,0),_xlfn.XLOOKUP(G650,Lists!$P$2:$P$19,Lists!$Z$2:$Z$19,0),_xlfn.XLOOKUP(I650,Lists!$P$2:$P$19,Lists!$Z$2:$Z$19,0),_xlfn.XLOOKUP(K650,Lists!$P$2:$P$19,Lists!$Z$2:$Z$19,0)))</f>
        <v/>
      </c>
      <c r="X650" s="69" t="str">
        <f ca="1">IF($B650="","",SUM(_xlfn.XLOOKUP(C650,Lists!$P$2:$P$19,Lists!$AA$2:$AA$19,0),_xlfn.XLOOKUP(E650,Lists!$P$2:$P$19,Lists!$AA$2:$AA$19,0),_xlfn.XLOOKUP(G650,Lists!$P$2:$P$19,Lists!$AA$2:$AA$19,0),_xlfn.XLOOKUP(I650,Lists!$P$2:$P$19,Lists!$AA$2:$AA$19,0),_xlfn.XLOOKUP(K650,Lists!$P$2:$P$19,Lists!$AA$2:$AA$19,0)))</f>
        <v/>
      </c>
      <c r="Y650" s="49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  <c r="CI650" s="18"/>
      <c r="CJ650" s="18"/>
      <c r="CK650" s="18"/>
      <c r="CL650" s="18"/>
      <c r="CM650" s="18"/>
      <c r="CN650" s="18"/>
      <c r="CO650" s="18"/>
      <c r="CP650" s="18"/>
      <c r="CQ650" s="18"/>
      <c r="CR650" s="18"/>
      <c r="CS650" s="18"/>
      <c r="CT650" s="18"/>
      <c r="CU650" s="18"/>
      <c r="CV650" s="18"/>
      <c r="CW650" s="18"/>
      <c r="CX650" s="18"/>
      <c r="CY650" s="18"/>
      <c r="CZ650" s="18"/>
      <c r="DA650" s="18"/>
      <c r="DB650" s="18"/>
      <c r="DC650" s="18"/>
      <c r="DD650" s="18"/>
      <c r="DE650" s="18"/>
      <c r="DF650" s="18"/>
    </row>
    <row r="651" spans="1:110">
      <c r="A651" s="168">
        <v>6</v>
      </c>
      <c r="B651" s="47" t="str">
        <f ca="1">Lineups!$C$192</f>
        <v/>
      </c>
      <c r="C651" s="49"/>
      <c r="D651" s="49"/>
      <c r="E651" s="49"/>
      <c r="F651" s="49"/>
      <c r="G651" s="49"/>
      <c r="H651" s="50"/>
      <c r="I651" s="50"/>
      <c r="J651" s="50"/>
      <c r="K651" s="50"/>
      <c r="L651" s="50"/>
      <c r="M651" s="67" t="str">
        <f ca="1">IF($B651="","",SUM(_xlfn.XLOOKUP(C651,Lists!$P$2:$P$19,Lists!$R$2:$R$19,0),_xlfn.XLOOKUP(E651,Lists!$P$2:$P$19,Lists!$R$2:$R$19,0),_xlfn.XLOOKUP(G651,Lists!$P$2:$P$19,Lists!$R$2:$R$19,0),_xlfn.XLOOKUP(I651,Lists!$P$2:$P$19,Lists!$R$2:$R$19,0),_xlfn.XLOOKUP(K651,Lists!$P$2:$P$19,Lists!$R$2:$R$19,0)))</f>
        <v/>
      </c>
      <c r="N651" s="68" t="str">
        <f ca="1">IF($B651="","",SUM(_xlfn.XLOOKUP(D651,Lists!$AC$2:$AC$9,Lists!$AE$2:$AE$9,0),_xlfn.XLOOKUP(F651,Lists!$AC$2:$AC$9,Lists!$AE$2:$AE$9,0),_xlfn.XLOOKUP(H651,Lists!$AC$2:$AC$9,Lists!$AE$2:$AE$9,0),_xlfn.XLOOKUP(J651,Lists!$AC$2:$AC$9,Lists!$AE$2:$AE$9,0),_xlfn.XLOOKUP(L651,Lists!$AC$2:$AC$9,Lists!$AE$2:$AE$9,0)))</f>
        <v/>
      </c>
      <c r="O651" s="68" t="str">
        <f ca="1">IF($B651="","",SUM(_xlfn.XLOOKUP(C651,Lists!$P$2:$P$19,Lists!$S$2:$S$19,0),_xlfn.XLOOKUP(E651,Lists!$P$2:$P$19,Lists!$S$2:$S$19,0),_xlfn.XLOOKUP(G651,Lists!$P$2:$P$19,Lists!$S$2:$S$19,0),_xlfn.XLOOKUP(I651,Lists!$P$2:$P$19,Lists!$S$2:$S$19,0),_xlfn.XLOOKUP(K651,Lists!$P$2:$P$19,Lists!$S$2:$S$19,0)))</f>
        <v/>
      </c>
      <c r="P651" s="68" t="str">
        <f ca="1">IF($B651="","",SUM(_xlfn.XLOOKUP(C651,Lists!$P$2:$P$19,Lists!$T$2:$T$19,0),_xlfn.XLOOKUP(E651,Lists!$P$2:$P$19,Lists!$T$2:$T$19,0),_xlfn.XLOOKUP(G651,Lists!$P$2:$P$19,Lists!$T$2:$T$19,0),_xlfn.XLOOKUP(I651,Lists!$P$2:$P$19,Lists!$T$2:$T$19,0),_xlfn.XLOOKUP(K651,Lists!$P$2:$P$19,Lists!$T$2:$T$19,0)))</f>
        <v/>
      </c>
      <c r="Q651" s="68" t="str">
        <f ca="1">IF($B651="","",SUM(_xlfn.XLOOKUP(C651,Lists!$P$2:$P$19,Lists!$U$2:$U$19,0),_xlfn.XLOOKUP(E651,Lists!$P$2:$P$19,Lists!$U$2:$U$19,0),_xlfn.XLOOKUP(G651,Lists!$P$2:$P$19,Lists!$U$2:$U$19,0),_xlfn.XLOOKUP(I651,Lists!$P$2:$P$19,Lists!$U$2:$U$19,0),_xlfn.XLOOKUP(K651,Lists!$P$2:$P$19,Lists!$U$2:$U$19,0)))</f>
        <v/>
      </c>
      <c r="R651" s="68" t="str">
        <f ca="1">IF($B651="","",SUM(_xlfn.XLOOKUP(C651,Lists!$P$2:$P$19,Lists!$V$2:$V$19,0),_xlfn.XLOOKUP(E651,Lists!$P$2:$P$19,Lists!$V$2:$V$19,0),_xlfn.XLOOKUP(G651,Lists!$P$2:$P$19,Lists!$V$2:$V$19,0),_xlfn.XLOOKUP(I651,Lists!$P$2:$P$19,Lists!$V$2:$V$19,0),_xlfn.XLOOKUP(K651,Lists!$P$2:$P$19,Lists!$V$2:$V$19,0)))</f>
        <v/>
      </c>
      <c r="S651" s="68" t="str">
        <f ca="1">IF($B651="","",SUM(_xlfn.XLOOKUP(D651,Lists!$AC$2:$AC$9,Lists!$AD$2:$AD$9,0),_xlfn.XLOOKUP(F651,Lists!$AC$2:$AC$9,Lists!$AD$2:$AD$9,0),_xlfn.XLOOKUP(H651,Lists!$AC$2:$AC$9,Lists!$AD$2:$AD$9,0),_xlfn.XLOOKUP(J651,Lists!$AC$2:$AC$9,Lists!$AD$2:$AD$9,0),_xlfn.XLOOKUP(L651,Lists!$AC$2:$AC$9,Lists!$AD$2:$AD$9,0)))</f>
        <v/>
      </c>
      <c r="T651" s="68" t="str">
        <f ca="1">IF($B651="","",SUM(_xlfn.XLOOKUP(C651,Lists!$P$2:$P$19,Lists!$W$2:$W$19,0),_xlfn.XLOOKUP(E651,Lists!$P$2:$P$19,Lists!$W$2:$W$19,0),_xlfn.XLOOKUP(G651,Lists!$P$2:$P$19,Lists!$W$2:$W$19,0),_xlfn.XLOOKUP(I651,Lists!$P$2:$P$19,Lists!$W$2:$W$19,0),_xlfn.XLOOKUP(K651,Lists!$P$2:$P$19,Lists!$W$2:$W$19,0)))</f>
        <v/>
      </c>
      <c r="U651" s="68" t="str">
        <f ca="1">IF($B651="","",SUM(_xlfn.XLOOKUP(C651,Lists!$P$2:$P$19,Lists!$X$2:$X$19,0),_xlfn.XLOOKUP(E651,Lists!$P$2:$P$19,Lists!$X$2:$X$19,0),_xlfn.XLOOKUP(G651,Lists!$P$2:$P$19,Lists!$X$2:$X$19,0),_xlfn.XLOOKUP(I651,Lists!$P$2:$P$19,Lists!$X$2:$X$19,0),_xlfn.XLOOKUP(K651,Lists!$P$2:$P$19,Lists!$X$2:$X$19,0)))</f>
        <v/>
      </c>
      <c r="V651" s="68" t="str">
        <f ca="1">IF($B651="","",SUM(_xlfn.XLOOKUP(C651,Lists!$P$2:$P$19,Lists!$Y$2:$Y$19,0),_xlfn.XLOOKUP(E651,Lists!$P$2:$P$19,Lists!$Y$2:$Y$19,0),_xlfn.XLOOKUP(G651,Lists!$P$2:$P$19,Lists!$Y$2:$Y$19,0),_xlfn.XLOOKUP(I651,Lists!$P$2:$P$19,Lists!$Y$2:$Y$19,0),_xlfn.XLOOKUP(K651,Lists!$P$2:$P$19,Lists!$Y$2:$Y$19,0)))</f>
        <v/>
      </c>
      <c r="W651" s="68" t="str">
        <f ca="1">IF($B651="","",SUM(_xlfn.XLOOKUP(C651,Lists!$P$2:$P$19,Lists!$Z$2:$Z$19,0),_xlfn.XLOOKUP(E651,Lists!$P$2:$P$19,Lists!$Z$2:$Z$19,0),_xlfn.XLOOKUP(G651,Lists!$P$2:$P$19,Lists!$Z$2:$Z$19,0),_xlfn.XLOOKUP(I651,Lists!$P$2:$P$19,Lists!$Z$2:$Z$19,0),_xlfn.XLOOKUP(K651,Lists!$P$2:$P$19,Lists!$Z$2:$Z$19,0)))</f>
        <v/>
      </c>
      <c r="X651" s="69" t="str">
        <f ca="1">IF($B651="","",SUM(_xlfn.XLOOKUP(C651,Lists!$P$2:$P$19,Lists!$AA$2:$AA$19,0),_xlfn.XLOOKUP(E651,Lists!$P$2:$P$19,Lists!$AA$2:$AA$19,0),_xlfn.XLOOKUP(G651,Lists!$P$2:$P$19,Lists!$AA$2:$AA$19,0),_xlfn.XLOOKUP(I651,Lists!$P$2:$P$19,Lists!$AA$2:$AA$19,0),_xlfn.XLOOKUP(K651,Lists!$P$2:$P$19,Lists!$AA$2:$AA$19,0)))</f>
        <v/>
      </c>
      <c r="Y651" s="49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8"/>
      <c r="CG651" s="18"/>
      <c r="CH651" s="18"/>
      <c r="CI651" s="18"/>
      <c r="CJ651" s="18"/>
      <c r="CK651" s="18"/>
      <c r="CL651" s="18"/>
      <c r="CM651" s="18"/>
      <c r="CN651" s="18"/>
      <c r="CO651" s="18"/>
      <c r="CP651" s="18"/>
      <c r="CQ651" s="18"/>
      <c r="CR651" s="18"/>
      <c r="CS651" s="18"/>
      <c r="CT651" s="18"/>
      <c r="CU651" s="18"/>
      <c r="CV651" s="18"/>
      <c r="CW651" s="18"/>
      <c r="CX651" s="18"/>
      <c r="CY651" s="18"/>
      <c r="CZ651" s="18"/>
      <c r="DA651" s="18"/>
      <c r="DB651" s="18"/>
      <c r="DC651" s="18"/>
      <c r="DD651" s="18"/>
      <c r="DE651" s="18"/>
      <c r="DF651" s="18"/>
    </row>
    <row r="652" spans="1:110">
      <c r="A652" s="168">
        <v>7</v>
      </c>
      <c r="B652" s="47" t="str">
        <f ca="1">Lineups!$C$193</f>
        <v/>
      </c>
      <c r="C652" s="49"/>
      <c r="D652" s="49"/>
      <c r="E652" s="49"/>
      <c r="F652" s="49"/>
      <c r="G652" s="49"/>
      <c r="H652" s="50"/>
      <c r="I652" s="50"/>
      <c r="J652" s="50"/>
      <c r="K652" s="50"/>
      <c r="L652" s="50"/>
      <c r="M652" s="67" t="str">
        <f ca="1">IF($B652="","",SUM(_xlfn.XLOOKUP(C652,Lists!$P$2:$P$19,Lists!$R$2:$R$19,0),_xlfn.XLOOKUP(E652,Lists!$P$2:$P$19,Lists!$R$2:$R$19,0),_xlfn.XLOOKUP(G652,Lists!$P$2:$P$19,Lists!$R$2:$R$19,0),_xlfn.XLOOKUP(I652,Lists!$P$2:$P$19,Lists!$R$2:$R$19,0),_xlfn.XLOOKUP(K652,Lists!$P$2:$P$19,Lists!$R$2:$R$19,0)))</f>
        <v/>
      </c>
      <c r="N652" s="68" t="str">
        <f ca="1">IF($B652="","",SUM(_xlfn.XLOOKUP(D652,Lists!$AC$2:$AC$9,Lists!$AE$2:$AE$9,0),_xlfn.XLOOKUP(F652,Lists!$AC$2:$AC$9,Lists!$AE$2:$AE$9,0),_xlfn.XLOOKUP(H652,Lists!$AC$2:$AC$9,Lists!$AE$2:$AE$9,0),_xlfn.XLOOKUP(J652,Lists!$AC$2:$AC$9,Lists!$AE$2:$AE$9,0),_xlfn.XLOOKUP(L652,Lists!$AC$2:$AC$9,Lists!$AE$2:$AE$9,0)))</f>
        <v/>
      </c>
      <c r="O652" s="68" t="str">
        <f ca="1">IF($B652="","",SUM(_xlfn.XLOOKUP(C652,Lists!$P$2:$P$19,Lists!$S$2:$S$19,0),_xlfn.XLOOKUP(E652,Lists!$P$2:$P$19,Lists!$S$2:$S$19,0),_xlfn.XLOOKUP(G652,Lists!$P$2:$P$19,Lists!$S$2:$S$19,0),_xlfn.XLOOKUP(I652,Lists!$P$2:$P$19,Lists!$S$2:$S$19,0),_xlfn.XLOOKUP(K652,Lists!$P$2:$P$19,Lists!$S$2:$S$19,0)))</f>
        <v/>
      </c>
      <c r="P652" s="68" t="str">
        <f ca="1">IF($B652="","",SUM(_xlfn.XLOOKUP(C652,Lists!$P$2:$P$19,Lists!$T$2:$T$19,0),_xlfn.XLOOKUP(E652,Lists!$P$2:$P$19,Lists!$T$2:$T$19,0),_xlfn.XLOOKUP(G652,Lists!$P$2:$P$19,Lists!$T$2:$T$19,0),_xlfn.XLOOKUP(I652,Lists!$P$2:$P$19,Lists!$T$2:$T$19,0),_xlfn.XLOOKUP(K652,Lists!$P$2:$P$19,Lists!$T$2:$T$19,0)))</f>
        <v/>
      </c>
      <c r="Q652" s="68" t="str">
        <f ca="1">IF($B652="","",SUM(_xlfn.XLOOKUP(C652,Lists!$P$2:$P$19,Lists!$U$2:$U$19,0),_xlfn.XLOOKUP(E652,Lists!$P$2:$P$19,Lists!$U$2:$U$19,0),_xlfn.XLOOKUP(G652,Lists!$P$2:$P$19,Lists!$U$2:$U$19,0),_xlfn.XLOOKUP(I652,Lists!$P$2:$P$19,Lists!$U$2:$U$19,0),_xlfn.XLOOKUP(K652,Lists!$P$2:$P$19,Lists!$U$2:$U$19,0)))</f>
        <v/>
      </c>
      <c r="R652" s="68" t="str">
        <f ca="1">IF($B652="","",SUM(_xlfn.XLOOKUP(C652,Lists!$P$2:$P$19,Lists!$V$2:$V$19,0),_xlfn.XLOOKUP(E652,Lists!$P$2:$P$19,Lists!$V$2:$V$19,0),_xlfn.XLOOKUP(G652,Lists!$P$2:$P$19,Lists!$V$2:$V$19,0),_xlfn.XLOOKUP(I652,Lists!$P$2:$P$19,Lists!$V$2:$V$19,0),_xlfn.XLOOKUP(K652,Lists!$P$2:$P$19,Lists!$V$2:$V$19,0)))</f>
        <v/>
      </c>
      <c r="S652" s="68" t="str">
        <f ca="1">IF($B652="","",SUM(_xlfn.XLOOKUP(D652,Lists!$AC$2:$AC$9,Lists!$AD$2:$AD$9,0),_xlfn.XLOOKUP(F652,Lists!$AC$2:$AC$9,Lists!$AD$2:$AD$9,0),_xlfn.XLOOKUP(H652,Lists!$AC$2:$AC$9,Lists!$AD$2:$AD$9,0),_xlfn.XLOOKUP(J652,Lists!$AC$2:$AC$9,Lists!$AD$2:$AD$9,0),_xlfn.XLOOKUP(L652,Lists!$AC$2:$AC$9,Lists!$AD$2:$AD$9,0)))</f>
        <v/>
      </c>
      <c r="T652" s="68" t="str">
        <f ca="1">IF($B652="","",SUM(_xlfn.XLOOKUP(C652,Lists!$P$2:$P$19,Lists!$W$2:$W$19,0),_xlfn.XLOOKUP(E652,Lists!$P$2:$P$19,Lists!$W$2:$W$19,0),_xlfn.XLOOKUP(G652,Lists!$P$2:$P$19,Lists!$W$2:$W$19,0),_xlfn.XLOOKUP(I652,Lists!$P$2:$P$19,Lists!$W$2:$W$19,0),_xlfn.XLOOKUP(K652,Lists!$P$2:$P$19,Lists!$W$2:$W$19,0)))</f>
        <v/>
      </c>
      <c r="U652" s="68" t="str">
        <f ca="1">IF($B652="","",SUM(_xlfn.XLOOKUP(C652,Lists!$P$2:$P$19,Lists!$X$2:$X$19,0),_xlfn.XLOOKUP(E652,Lists!$P$2:$P$19,Lists!$X$2:$X$19,0),_xlfn.XLOOKUP(G652,Lists!$P$2:$P$19,Lists!$X$2:$X$19,0),_xlfn.XLOOKUP(I652,Lists!$P$2:$P$19,Lists!$X$2:$X$19,0),_xlfn.XLOOKUP(K652,Lists!$P$2:$P$19,Lists!$X$2:$X$19,0)))</f>
        <v/>
      </c>
      <c r="V652" s="68" t="str">
        <f ca="1">IF($B652="","",SUM(_xlfn.XLOOKUP(C652,Lists!$P$2:$P$19,Lists!$Y$2:$Y$19,0),_xlfn.XLOOKUP(E652,Lists!$P$2:$P$19,Lists!$Y$2:$Y$19,0),_xlfn.XLOOKUP(G652,Lists!$P$2:$P$19,Lists!$Y$2:$Y$19,0),_xlfn.XLOOKUP(I652,Lists!$P$2:$P$19,Lists!$Y$2:$Y$19,0),_xlfn.XLOOKUP(K652,Lists!$P$2:$P$19,Lists!$Y$2:$Y$19,0)))</f>
        <v/>
      </c>
      <c r="W652" s="68" t="str">
        <f ca="1">IF($B652="","",SUM(_xlfn.XLOOKUP(C652,Lists!$P$2:$P$19,Lists!$Z$2:$Z$19,0),_xlfn.XLOOKUP(E652,Lists!$P$2:$P$19,Lists!$Z$2:$Z$19,0),_xlfn.XLOOKUP(G652,Lists!$P$2:$P$19,Lists!$Z$2:$Z$19,0),_xlfn.XLOOKUP(I652,Lists!$P$2:$P$19,Lists!$Z$2:$Z$19,0),_xlfn.XLOOKUP(K652,Lists!$P$2:$P$19,Lists!$Z$2:$Z$19,0)))</f>
        <v/>
      </c>
      <c r="X652" s="69" t="str">
        <f ca="1">IF($B652="","",SUM(_xlfn.XLOOKUP(C652,Lists!$P$2:$P$19,Lists!$AA$2:$AA$19,0),_xlfn.XLOOKUP(E652,Lists!$P$2:$P$19,Lists!$AA$2:$AA$19,0),_xlfn.XLOOKUP(G652,Lists!$P$2:$P$19,Lists!$AA$2:$AA$19,0),_xlfn.XLOOKUP(I652,Lists!$P$2:$P$19,Lists!$AA$2:$AA$19,0),_xlfn.XLOOKUP(K652,Lists!$P$2:$P$19,Lists!$AA$2:$AA$19,0)))</f>
        <v/>
      </c>
      <c r="Y652" s="49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8"/>
      <c r="CG652" s="18"/>
      <c r="CH652" s="18"/>
      <c r="CI652" s="18"/>
      <c r="CJ652" s="18"/>
      <c r="CK652" s="18"/>
      <c r="CL652" s="18"/>
      <c r="CM652" s="18"/>
      <c r="CN652" s="18"/>
      <c r="CO652" s="18"/>
      <c r="CP652" s="18"/>
      <c r="CQ652" s="18"/>
      <c r="CR652" s="18"/>
      <c r="CS652" s="18"/>
      <c r="CT652" s="18"/>
      <c r="CU652" s="18"/>
      <c r="CV652" s="18"/>
      <c r="CW652" s="18"/>
      <c r="CX652" s="18"/>
      <c r="CY652" s="18"/>
      <c r="CZ652" s="18"/>
      <c r="DA652" s="18"/>
      <c r="DB652" s="18"/>
      <c r="DC652" s="18"/>
      <c r="DD652" s="18"/>
      <c r="DE652" s="18"/>
      <c r="DF652" s="18"/>
    </row>
    <row r="653" spans="1:110">
      <c r="A653" s="168">
        <v>8</v>
      </c>
      <c r="B653" s="47" t="str">
        <f ca="1">Lineups!$C$194</f>
        <v/>
      </c>
      <c r="C653" s="49"/>
      <c r="D653" s="49"/>
      <c r="E653" s="49"/>
      <c r="F653" s="49"/>
      <c r="G653" s="49"/>
      <c r="H653" s="50"/>
      <c r="I653" s="50"/>
      <c r="J653" s="50"/>
      <c r="K653" s="50"/>
      <c r="L653" s="50"/>
      <c r="M653" s="67" t="str">
        <f ca="1">IF($B653="","",SUM(_xlfn.XLOOKUP(C653,Lists!$P$2:$P$19,Lists!$R$2:$R$19,0),_xlfn.XLOOKUP(E653,Lists!$P$2:$P$19,Lists!$R$2:$R$19,0),_xlfn.XLOOKUP(G653,Lists!$P$2:$P$19,Lists!$R$2:$R$19,0),_xlfn.XLOOKUP(I653,Lists!$P$2:$P$19,Lists!$R$2:$R$19,0),_xlfn.XLOOKUP(K653,Lists!$P$2:$P$19,Lists!$R$2:$R$19,0)))</f>
        <v/>
      </c>
      <c r="N653" s="68" t="str">
        <f ca="1">IF($B653="","",SUM(_xlfn.XLOOKUP(D653,Lists!$AC$2:$AC$9,Lists!$AE$2:$AE$9,0),_xlfn.XLOOKUP(F653,Lists!$AC$2:$AC$9,Lists!$AE$2:$AE$9,0),_xlfn.XLOOKUP(H653,Lists!$AC$2:$AC$9,Lists!$AE$2:$AE$9,0),_xlfn.XLOOKUP(J653,Lists!$AC$2:$AC$9,Lists!$AE$2:$AE$9,0),_xlfn.XLOOKUP(L653,Lists!$AC$2:$AC$9,Lists!$AE$2:$AE$9,0)))</f>
        <v/>
      </c>
      <c r="O653" s="68" t="str">
        <f ca="1">IF($B653="","",SUM(_xlfn.XLOOKUP(C653,Lists!$P$2:$P$19,Lists!$S$2:$S$19,0),_xlfn.XLOOKUP(E653,Lists!$P$2:$P$19,Lists!$S$2:$S$19,0),_xlfn.XLOOKUP(G653,Lists!$P$2:$P$19,Lists!$S$2:$S$19,0),_xlfn.XLOOKUP(I653,Lists!$P$2:$P$19,Lists!$S$2:$S$19,0),_xlfn.XLOOKUP(K653,Lists!$P$2:$P$19,Lists!$S$2:$S$19,0)))</f>
        <v/>
      </c>
      <c r="P653" s="68" t="str">
        <f ca="1">IF($B653="","",SUM(_xlfn.XLOOKUP(C653,Lists!$P$2:$P$19,Lists!$T$2:$T$19,0),_xlfn.XLOOKUP(E653,Lists!$P$2:$P$19,Lists!$T$2:$T$19,0),_xlfn.XLOOKUP(G653,Lists!$P$2:$P$19,Lists!$T$2:$T$19,0),_xlfn.XLOOKUP(I653,Lists!$P$2:$P$19,Lists!$T$2:$T$19,0),_xlfn.XLOOKUP(K653,Lists!$P$2:$P$19,Lists!$T$2:$T$19,0)))</f>
        <v/>
      </c>
      <c r="Q653" s="68" t="str">
        <f ca="1">IF($B653="","",SUM(_xlfn.XLOOKUP(C653,Lists!$P$2:$P$19,Lists!$U$2:$U$19,0),_xlfn.XLOOKUP(E653,Lists!$P$2:$P$19,Lists!$U$2:$U$19,0),_xlfn.XLOOKUP(G653,Lists!$P$2:$P$19,Lists!$U$2:$U$19,0),_xlfn.XLOOKUP(I653,Lists!$P$2:$P$19,Lists!$U$2:$U$19,0),_xlfn.XLOOKUP(K653,Lists!$P$2:$P$19,Lists!$U$2:$U$19,0)))</f>
        <v/>
      </c>
      <c r="R653" s="68" t="str">
        <f ca="1">IF($B653="","",SUM(_xlfn.XLOOKUP(C653,Lists!$P$2:$P$19,Lists!$V$2:$V$19,0),_xlfn.XLOOKUP(E653,Lists!$P$2:$P$19,Lists!$V$2:$V$19,0),_xlfn.XLOOKUP(G653,Lists!$P$2:$P$19,Lists!$V$2:$V$19,0),_xlfn.XLOOKUP(I653,Lists!$P$2:$P$19,Lists!$V$2:$V$19,0),_xlfn.XLOOKUP(K653,Lists!$P$2:$P$19,Lists!$V$2:$V$19,0)))</f>
        <v/>
      </c>
      <c r="S653" s="68" t="str">
        <f ca="1">IF($B653="","",SUM(_xlfn.XLOOKUP(D653,Lists!$AC$2:$AC$9,Lists!$AD$2:$AD$9,0),_xlfn.XLOOKUP(F653,Lists!$AC$2:$AC$9,Lists!$AD$2:$AD$9,0),_xlfn.XLOOKUP(H653,Lists!$AC$2:$AC$9,Lists!$AD$2:$AD$9,0),_xlfn.XLOOKUP(J653,Lists!$AC$2:$AC$9,Lists!$AD$2:$AD$9,0),_xlfn.XLOOKUP(L653,Lists!$AC$2:$AC$9,Lists!$AD$2:$AD$9,0)))</f>
        <v/>
      </c>
      <c r="T653" s="68" t="str">
        <f ca="1">IF($B653="","",SUM(_xlfn.XLOOKUP(C653,Lists!$P$2:$P$19,Lists!$W$2:$W$19,0),_xlfn.XLOOKUP(E653,Lists!$P$2:$P$19,Lists!$W$2:$W$19,0),_xlfn.XLOOKUP(G653,Lists!$P$2:$P$19,Lists!$W$2:$W$19,0),_xlfn.XLOOKUP(I653,Lists!$P$2:$P$19,Lists!$W$2:$W$19,0),_xlfn.XLOOKUP(K653,Lists!$P$2:$P$19,Lists!$W$2:$W$19,0)))</f>
        <v/>
      </c>
      <c r="U653" s="68" t="str">
        <f ca="1">IF($B653="","",SUM(_xlfn.XLOOKUP(C653,Lists!$P$2:$P$19,Lists!$X$2:$X$19,0),_xlfn.XLOOKUP(E653,Lists!$P$2:$P$19,Lists!$X$2:$X$19,0),_xlfn.XLOOKUP(G653,Lists!$P$2:$P$19,Lists!$X$2:$X$19,0),_xlfn.XLOOKUP(I653,Lists!$P$2:$P$19,Lists!$X$2:$X$19,0),_xlfn.XLOOKUP(K653,Lists!$P$2:$P$19,Lists!$X$2:$X$19,0)))</f>
        <v/>
      </c>
      <c r="V653" s="68" t="str">
        <f ca="1">IF($B653="","",SUM(_xlfn.XLOOKUP(C653,Lists!$P$2:$P$19,Lists!$Y$2:$Y$19,0),_xlfn.XLOOKUP(E653,Lists!$P$2:$P$19,Lists!$Y$2:$Y$19,0),_xlfn.XLOOKUP(G653,Lists!$P$2:$P$19,Lists!$Y$2:$Y$19,0),_xlfn.XLOOKUP(I653,Lists!$P$2:$P$19,Lists!$Y$2:$Y$19,0),_xlfn.XLOOKUP(K653,Lists!$P$2:$P$19,Lists!$Y$2:$Y$19,0)))</f>
        <v/>
      </c>
      <c r="W653" s="68" t="str">
        <f ca="1">IF($B653="","",SUM(_xlfn.XLOOKUP(C653,Lists!$P$2:$P$19,Lists!$Z$2:$Z$19,0),_xlfn.XLOOKUP(E653,Lists!$P$2:$P$19,Lists!$Z$2:$Z$19,0),_xlfn.XLOOKUP(G653,Lists!$P$2:$P$19,Lists!$Z$2:$Z$19,0),_xlfn.XLOOKUP(I653,Lists!$P$2:$P$19,Lists!$Z$2:$Z$19,0),_xlfn.XLOOKUP(K653,Lists!$P$2:$P$19,Lists!$Z$2:$Z$19,0)))</f>
        <v/>
      </c>
      <c r="X653" s="69" t="str">
        <f ca="1">IF($B653="","",SUM(_xlfn.XLOOKUP(C653,Lists!$P$2:$P$19,Lists!$AA$2:$AA$19,0),_xlfn.XLOOKUP(E653,Lists!$P$2:$P$19,Lists!$AA$2:$AA$19,0),_xlfn.XLOOKUP(G653,Lists!$P$2:$P$19,Lists!$AA$2:$AA$19,0),_xlfn.XLOOKUP(I653,Lists!$P$2:$P$19,Lists!$AA$2:$AA$19,0),_xlfn.XLOOKUP(K653,Lists!$P$2:$P$19,Lists!$AA$2:$AA$19,0)))</f>
        <v/>
      </c>
      <c r="Y653" s="49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  <c r="CI653" s="18"/>
      <c r="CJ653" s="18"/>
      <c r="CK653" s="18"/>
      <c r="CL653" s="18"/>
      <c r="CM653" s="18"/>
      <c r="CN653" s="18"/>
      <c r="CO653" s="18"/>
      <c r="CP653" s="18"/>
      <c r="CQ653" s="18"/>
      <c r="CR653" s="18"/>
      <c r="CS653" s="18"/>
      <c r="CT653" s="18"/>
      <c r="CU653" s="18"/>
      <c r="CV653" s="18"/>
      <c r="CW653" s="18"/>
      <c r="CX653" s="18"/>
      <c r="CY653" s="18"/>
      <c r="CZ653" s="18"/>
      <c r="DA653" s="18"/>
      <c r="DB653" s="18"/>
      <c r="DC653" s="18"/>
      <c r="DD653" s="18"/>
      <c r="DE653" s="18"/>
      <c r="DF653" s="18"/>
    </row>
    <row r="654" spans="1:110">
      <c r="A654" s="168">
        <v>9</v>
      </c>
      <c r="B654" s="47" t="str">
        <f ca="1">Lineups!$C$195</f>
        <v/>
      </c>
      <c r="C654" s="49"/>
      <c r="D654" s="49"/>
      <c r="E654" s="49"/>
      <c r="F654" s="49"/>
      <c r="G654" s="49"/>
      <c r="H654" s="50"/>
      <c r="I654" s="50"/>
      <c r="J654" s="50"/>
      <c r="K654" s="50"/>
      <c r="L654" s="50"/>
      <c r="M654" s="67" t="str">
        <f ca="1">IF($B654="","",SUM(_xlfn.XLOOKUP(C654,Lists!$P$2:$P$19,Lists!$R$2:$R$19,0),_xlfn.XLOOKUP(E654,Lists!$P$2:$P$19,Lists!$R$2:$R$19,0),_xlfn.XLOOKUP(G654,Lists!$P$2:$P$19,Lists!$R$2:$R$19,0),_xlfn.XLOOKUP(I654,Lists!$P$2:$P$19,Lists!$R$2:$R$19,0),_xlfn.XLOOKUP(K654,Lists!$P$2:$P$19,Lists!$R$2:$R$19,0)))</f>
        <v/>
      </c>
      <c r="N654" s="68" t="str">
        <f ca="1">IF($B654="","",SUM(_xlfn.XLOOKUP(D654,Lists!$AC$2:$AC$9,Lists!$AE$2:$AE$9,0),_xlfn.XLOOKUP(F654,Lists!$AC$2:$AC$9,Lists!$AE$2:$AE$9,0),_xlfn.XLOOKUP(H654,Lists!$AC$2:$AC$9,Lists!$AE$2:$AE$9,0),_xlfn.XLOOKUP(J654,Lists!$AC$2:$AC$9,Lists!$AE$2:$AE$9,0),_xlfn.XLOOKUP(L654,Lists!$AC$2:$AC$9,Lists!$AE$2:$AE$9,0)))</f>
        <v/>
      </c>
      <c r="O654" s="68" t="str">
        <f ca="1">IF($B654="","",SUM(_xlfn.XLOOKUP(C654,Lists!$P$2:$P$19,Lists!$S$2:$S$19,0),_xlfn.XLOOKUP(E654,Lists!$P$2:$P$19,Lists!$S$2:$S$19,0),_xlfn.XLOOKUP(G654,Lists!$P$2:$P$19,Lists!$S$2:$S$19,0),_xlfn.XLOOKUP(I654,Lists!$P$2:$P$19,Lists!$S$2:$S$19,0),_xlfn.XLOOKUP(K654,Lists!$P$2:$P$19,Lists!$S$2:$S$19,0)))</f>
        <v/>
      </c>
      <c r="P654" s="68" t="str">
        <f ca="1">IF($B654="","",SUM(_xlfn.XLOOKUP(C654,Lists!$P$2:$P$19,Lists!$T$2:$T$19,0),_xlfn.XLOOKUP(E654,Lists!$P$2:$P$19,Lists!$T$2:$T$19,0),_xlfn.XLOOKUP(G654,Lists!$P$2:$P$19,Lists!$T$2:$T$19,0),_xlfn.XLOOKUP(I654,Lists!$P$2:$P$19,Lists!$T$2:$T$19,0),_xlfn.XLOOKUP(K654,Lists!$P$2:$P$19,Lists!$T$2:$T$19,0)))</f>
        <v/>
      </c>
      <c r="Q654" s="68" t="str">
        <f ca="1">IF($B654="","",SUM(_xlfn.XLOOKUP(C654,Lists!$P$2:$P$19,Lists!$U$2:$U$19,0),_xlfn.XLOOKUP(E654,Lists!$P$2:$P$19,Lists!$U$2:$U$19,0),_xlfn.XLOOKUP(G654,Lists!$P$2:$P$19,Lists!$U$2:$U$19,0),_xlfn.XLOOKUP(I654,Lists!$P$2:$P$19,Lists!$U$2:$U$19,0),_xlfn.XLOOKUP(K654,Lists!$P$2:$P$19,Lists!$U$2:$U$19,0)))</f>
        <v/>
      </c>
      <c r="R654" s="68" t="str">
        <f ca="1">IF($B654="","",SUM(_xlfn.XLOOKUP(C654,Lists!$P$2:$P$19,Lists!$V$2:$V$19,0),_xlfn.XLOOKUP(E654,Lists!$P$2:$P$19,Lists!$V$2:$V$19,0),_xlfn.XLOOKUP(G654,Lists!$P$2:$P$19,Lists!$V$2:$V$19,0),_xlfn.XLOOKUP(I654,Lists!$P$2:$P$19,Lists!$V$2:$V$19,0),_xlfn.XLOOKUP(K654,Lists!$P$2:$P$19,Lists!$V$2:$V$19,0)))</f>
        <v/>
      </c>
      <c r="S654" s="68" t="str">
        <f ca="1">IF($B654="","",SUM(_xlfn.XLOOKUP(D654,Lists!$AC$2:$AC$9,Lists!$AD$2:$AD$9,0),_xlfn.XLOOKUP(F654,Lists!$AC$2:$AC$9,Lists!$AD$2:$AD$9,0),_xlfn.XLOOKUP(H654,Lists!$AC$2:$AC$9,Lists!$AD$2:$AD$9,0),_xlfn.XLOOKUP(J654,Lists!$AC$2:$AC$9,Lists!$AD$2:$AD$9,0),_xlfn.XLOOKUP(L654,Lists!$AC$2:$AC$9,Lists!$AD$2:$AD$9,0)))</f>
        <v/>
      </c>
      <c r="T654" s="68" t="str">
        <f ca="1">IF($B654="","",SUM(_xlfn.XLOOKUP(C654,Lists!$P$2:$P$19,Lists!$W$2:$W$19,0),_xlfn.XLOOKUP(E654,Lists!$P$2:$P$19,Lists!$W$2:$W$19,0),_xlfn.XLOOKUP(G654,Lists!$P$2:$P$19,Lists!$W$2:$W$19,0),_xlfn.XLOOKUP(I654,Lists!$P$2:$P$19,Lists!$W$2:$W$19,0),_xlfn.XLOOKUP(K654,Lists!$P$2:$P$19,Lists!$W$2:$W$19,0)))</f>
        <v/>
      </c>
      <c r="U654" s="68" t="str">
        <f ca="1">IF($B654="","",SUM(_xlfn.XLOOKUP(C654,Lists!$P$2:$P$19,Lists!$X$2:$X$19,0),_xlfn.XLOOKUP(E654,Lists!$P$2:$P$19,Lists!$X$2:$X$19,0),_xlfn.XLOOKUP(G654,Lists!$P$2:$P$19,Lists!$X$2:$X$19,0),_xlfn.XLOOKUP(I654,Lists!$P$2:$P$19,Lists!$X$2:$X$19,0),_xlfn.XLOOKUP(K654,Lists!$P$2:$P$19,Lists!$X$2:$X$19,0)))</f>
        <v/>
      </c>
      <c r="V654" s="68" t="str">
        <f ca="1">IF($B654="","",SUM(_xlfn.XLOOKUP(C654,Lists!$P$2:$P$19,Lists!$Y$2:$Y$19,0),_xlfn.XLOOKUP(E654,Lists!$P$2:$P$19,Lists!$Y$2:$Y$19,0),_xlfn.XLOOKUP(G654,Lists!$P$2:$P$19,Lists!$Y$2:$Y$19,0),_xlfn.XLOOKUP(I654,Lists!$P$2:$P$19,Lists!$Y$2:$Y$19,0),_xlfn.XLOOKUP(K654,Lists!$P$2:$P$19,Lists!$Y$2:$Y$19,0)))</f>
        <v/>
      </c>
      <c r="W654" s="68" t="str">
        <f ca="1">IF($B654="","",SUM(_xlfn.XLOOKUP(C654,Lists!$P$2:$P$19,Lists!$Z$2:$Z$19,0),_xlfn.XLOOKUP(E654,Lists!$P$2:$P$19,Lists!$Z$2:$Z$19,0),_xlfn.XLOOKUP(G654,Lists!$P$2:$P$19,Lists!$Z$2:$Z$19,0),_xlfn.XLOOKUP(I654,Lists!$P$2:$P$19,Lists!$Z$2:$Z$19,0),_xlfn.XLOOKUP(K654,Lists!$P$2:$P$19,Lists!$Z$2:$Z$19,0)))</f>
        <v/>
      </c>
      <c r="X654" s="69" t="str">
        <f ca="1">IF($B654="","",SUM(_xlfn.XLOOKUP(C654,Lists!$P$2:$P$19,Lists!$AA$2:$AA$19,0),_xlfn.XLOOKUP(E654,Lists!$P$2:$P$19,Lists!$AA$2:$AA$19,0),_xlfn.XLOOKUP(G654,Lists!$P$2:$P$19,Lists!$AA$2:$AA$19,0),_xlfn.XLOOKUP(I654,Lists!$P$2:$P$19,Lists!$AA$2:$AA$19,0),_xlfn.XLOOKUP(K654,Lists!$P$2:$P$19,Lists!$AA$2:$AA$19,0)))</f>
        <v/>
      </c>
      <c r="Y654" s="49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  <c r="CI654" s="18"/>
      <c r="CJ654" s="18"/>
      <c r="CK654" s="18"/>
      <c r="CL654" s="18"/>
      <c r="CM654" s="18"/>
      <c r="CN654" s="18"/>
      <c r="CO654" s="18"/>
      <c r="CP654" s="18"/>
      <c r="CQ654" s="18"/>
      <c r="CR654" s="18"/>
      <c r="CS654" s="18"/>
      <c r="CT654" s="18"/>
      <c r="CU654" s="18"/>
      <c r="CV654" s="18"/>
      <c r="CW654" s="18"/>
      <c r="CX654" s="18"/>
      <c r="CY654" s="18"/>
      <c r="CZ654" s="18"/>
      <c r="DA654" s="18"/>
      <c r="DB654" s="18"/>
      <c r="DC654" s="18"/>
      <c r="DD654" s="18"/>
      <c r="DE654" s="18"/>
      <c r="DF654" s="18"/>
    </row>
    <row r="655" spans="1:110">
      <c r="A655" s="173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  <c r="CI655" s="18"/>
      <c r="CJ655" s="18"/>
      <c r="CK655" s="18"/>
      <c r="CL655" s="18"/>
      <c r="CM655" s="18"/>
      <c r="CN655" s="18"/>
      <c r="CO655" s="18"/>
      <c r="CP655" s="18"/>
      <c r="CQ655" s="18"/>
      <c r="CR655" s="18"/>
      <c r="CS655" s="18"/>
      <c r="CT655" s="18"/>
      <c r="CU655" s="18"/>
      <c r="CV655" s="18"/>
      <c r="CW655" s="18"/>
      <c r="CX655" s="18"/>
      <c r="CY655" s="18"/>
      <c r="CZ655" s="18"/>
      <c r="DA655" s="18"/>
      <c r="DB655" s="18"/>
      <c r="DC655" s="18"/>
      <c r="DD655" s="18"/>
      <c r="DE655" s="18"/>
      <c r="DF655" s="18"/>
    </row>
    <row r="656" spans="1:110">
      <c r="A656" s="222" t="str">
        <f ca="1">IF($N$639="","Team A Pitching",$N$639&amp;" Pitching")</f>
        <v>Team A Pitching</v>
      </c>
      <c r="B656" s="221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06"/>
      <c r="O656" s="186"/>
      <c r="P656" s="24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  <c r="CL656" s="18"/>
      <c r="CM656" s="18"/>
      <c r="CN656" s="18"/>
      <c r="CO656" s="18"/>
      <c r="CP656" s="18"/>
      <c r="CQ656" s="18"/>
      <c r="CR656" s="18"/>
      <c r="CS656" s="18"/>
      <c r="CT656" s="18"/>
      <c r="CU656" s="18"/>
      <c r="CV656" s="18"/>
      <c r="CW656" s="18"/>
      <c r="CX656" s="18"/>
      <c r="CY656" s="18"/>
      <c r="CZ656" s="18"/>
      <c r="DA656" s="18"/>
      <c r="DB656" s="18"/>
      <c r="DC656" s="18"/>
      <c r="DD656" s="18"/>
      <c r="DE656" s="18"/>
      <c r="DF656" s="18"/>
    </row>
    <row r="657" spans="1:110">
      <c r="A657" s="167" t="s">
        <v>103</v>
      </c>
      <c r="B657" s="43" t="s">
        <v>194</v>
      </c>
      <c r="C657" s="43" t="s">
        <v>195</v>
      </c>
      <c r="D657" s="43" t="s">
        <v>162</v>
      </c>
      <c r="E657" s="43" t="s">
        <v>161</v>
      </c>
      <c r="F657" s="43" t="s">
        <v>196</v>
      </c>
      <c r="G657" s="43" t="s">
        <v>180</v>
      </c>
      <c r="H657" s="43" t="s">
        <v>181</v>
      </c>
      <c r="I657" s="44" t="s">
        <v>197</v>
      </c>
      <c r="J657" s="44" t="s">
        <v>198</v>
      </c>
      <c r="K657" s="44" t="s">
        <v>199</v>
      </c>
      <c r="L657" s="44" t="s">
        <v>200</v>
      </c>
      <c r="M657" s="44" t="s">
        <v>201</v>
      </c>
      <c r="N657" s="45" t="s">
        <v>202</v>
      </c>
      <c r="O657" s="45" t="s">
        <v>203</v>
      </c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  <c r="CL657" s="18"/>
      <c r="CM657" s="18"/>
      <c r="CN657" s="18"/>
      <c r="CO657" s="18"/>
      <c r="CP657" s="18"/>
      <c r="CQ657" s="18"/>
      <c r="CR657" s="18"/>
      <c r="CS657" s="18"/>
      <c r="CT657" s="18"/>
      <c r="CU657" s="18"/>
      <c r="CV657" s="18"/>
      <c r="CW657" s="18"/>
      <c r="CX657" s="18"/>
      <c r="CY657" s="18"/>
      <c r="CZ657" s="18"/>
      <c r="DA657" s="18"/>
      <c r="DB657" s="18"/>
      <c r="DC657" s="18"/>
      <c r="DD657" s="18"/>
      <c r="DE657" s="18"/>
      <c r="DF657" s="18"/>
    </row>
    <row r="658" spans="1:110">
      <c r="A658" s="168">
        <v>1</v>
      </c>
      <c r="B658" s="71"/>
      <c r="C658" s="70" t="str" cm="1">
        <f t="array" aca="1" ref="C658" ca="1">IF(OR(B658="",O658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658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58" s="67" t="str" cm="1">
        <f t="array" aca="1" ref="D658" ca="1">IF(OR(B658="",O658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658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58" s="67" t="str" cm="1">
        <f t="array" aca="1" ref="E658" ca="1">IF(OR(B658="",O658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658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58" s="67" t="str" cm="1">
        <f t="array" aca="1" ref="F658" ca="1">IF(OR(B658="",O658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658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58" s="67" t="str" cm="1">
        <f t="array" aca="1" ref="G658" ca="1">IF(OR(B658="",O658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658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58" s="67" t="str" cm="1">
        <f t="array" aca="1" ref="H658" ca="1">IF(OR(B658="",O658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658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58" s="68" t="str" cm="1">
        <f t="array" aca="1" ref="I658" ca="1">IF(OR(B658="",O658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658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58" s="68" t="str" cm="1">
        <f t="array" aca="1" ref="J658" ca="1">IF(OR(B658="",O658=""),"",--(SUM(_xlfn.XLOOKUP(_xlfn._xlws.FILTER(_xlfn.TOCOL(_xlfn.CHOOSECOLS(C646:L654,2,4,6,8,10),0,TRUE),_xlfn.TOCOL(_xlfn.CHOOSECOLS(C646:L654,1,3,5,7,9),0,TRUE)&lt;&gt;""),Lists!$AC$2:$AC$9,Lists!$AF$2:$AF$9,0))&gt;SUM(_xlfn.XLOOKUP(_xlfn._xlws.FILTER(_xlfn.TOCOL(_xlfn.CHOOSECOLS(C667:L675,2,4,6,8,10),0,TRUE),_xlfn.TOCOL(_xlfn.CHOOSECOLS(C667:L675,1,3,5,7,9),0,TRUE)&lt;&gt;""),Lists!$AC$2:$AC$9,Lists!$AF$2:$AF$9,0)))*--(ROW()-ROW(C657)=_xlfn.XLOOKUP(MAX(IF(O658:O663&gt;0,INT(C658:C663)*3+MOD(ROUND(C658:C663*10,0),10),-1)),IF(O658:O663&gt;0,INT(C658:C663)*3+MOD(ROUND(C658:C663*10,0),10),-1),_xlfn.SEQUENCE(ROWS(O658:O663)),,0)))</f>
        <v/>
      </c>
      <c r="K658" s="68" t="str" cm="1">
        <f t="array" aca="1" ref="K658" ca="1">IF(OR(B658="",O658=""),"",--(SUM(_xlfn.XLOOKUP(_xlfn._xlws.FILTER(_xlfn.TOCOL(_xlfn.CHOOSECOLS(C646:L654,2,4,6,8,10),0,TRUE),_xlfn.TOCOL(_xlfn.CHOOSECOLS(C646:L654,1,3,5,7,9),0,TRUE)&lt;&gt;""),Lists!$AC$2:$AC$9,Lists!$AF$2:$AF$9,0))&lt;SUM(_xlfn.XLOOKUP(_xlfn._xlws.FILTER(_xlfn.TOCOL(_xlfn.CHOOSECOLS(C667:L675,2,4,6,8,10),0,TRUE),_xlfn.TOCOL(_xlfn.CHOOSECOLS(C667:L675,1,3,5,7,9),0,TRUE)&lt;&gt;""),Lists!$AC$2:$AC$9,Lists!$AF$2:$AF$9,0)))*--(ROW()-ROW(C657)=_xlfn.XLOOKUP(MAX(IF(O658:O663&gt;0,E658:E663,-1)),IF(O658:O663&gt;0,E658:E663,-1),_xlfn.SEQUENCE(ROWS(O658:O663)),,0)))</f>
        <v/>
      </c>
      <c r="L658" s="68" t="str" cm="1">
        <f t="array" aca="1" ref="L658" ca="1">IF(OR(B658="",O658=""),"",--(SUM(_xlfn.XLOOKUP(_xlfn._xlws.FILTER(_xlfn.TOCOL(_xlfn.CHOOSECOLS(C646:L654,2,4,6,8,10),0,TRUE),_xlfn.TOCOL(_xlfn.CHOOSECOLS(C646:L654,1,3,5,7,9),0,TRUE)&lt;&gt;""),Lists!$AC$2:$AC$9,Lists!$AF$2:$AF$9,0))&gt;SUM(_xlfn.XLOOKUP(_xlfn._xlws.FILTER(_xlfn.TOCOL(_xlfn.CHOOSECOLS(C667:L675,2,4,6,8,10),0,TRUE),_xlfn.TOCOL(_xlfn.CHOOSECOLS(C667:L675,1,3,5,7,9),0,TRUE)&lt;&gt;""),Lists!$AC$2:$AC$9,Lists!$AF$2:$AF$9,0)))*--(COUNTIF(O658:O663,"&gt;0")&gt;1)*--(ROW()-ROW(C657)=_xlfn.XLOOKUP(TRUE,O658:O663&gt;0,_xlfn.SEQUENCE(ROWS(O658:O663)),,0,-1))*--(_xlfn.XLOOKUP(TRUE,O658:O663&gt;0,_xlfn.SEQUENCE(ROWS(O658:O663)),,0,-1)&lt;&gt;_xlfn.XLOOKUP(MAX(IF(O658:O663&gt;0,INT(C658:C663)*3+MOD(ROUND(C658:C663*10,0),10),-1)),IF(O658:O663&gt;0,INT(C658:C663)*3+MOD(ROUND(C658:C663*10,0),10),-1),_xlfn.SEQUENCE(ROWS(O658:O663)),,0))*--(SUM(_xlfn.XLOOKUP(_xlfn._xlws.FILTER(_xlfn.TOCOL(_xlfn.CHOOSECOLS(C646:L654,2,4,6,8,10),0,TRUE),_xlfn.TOCOL(_xlfn.CHOOSECOLS(C646:L654,1,3,5,7,9),0,TRUE)&lt;&gt;""),Lists!$AC$2:$AC$9,Lists!$AF$2:$AF$9,0))-SUM(_xlfn.XLOOKUP(_xlfn._xlws.FILTER(_xlfn.TOCOL(_xlfn.CHOOSECOLS(C667:L675,2,4,6,8,10),0,TRUE),_xlfn.TOCOL(_xlfn.CHOOSECOLS(C667:L675,1,3,5,7,9),0,TRUE)&lt;&gt;""),Lists!$AC$2:$AC$9,Lists!$AF$2:$AF$9,0))&lt;=3)*--((INT(C658)*3+MOD(ROUND(C658*10,0),10))&gt;=3))</f>
        <v/>
      </c>
      <c r="M658" s="68" t="str" cm="1">
        <f t="array" ref="M658">IF(OR(B658="",O658=""),"",--(COUNTIF(O658:O663,"&gt;0")=1)*--(SUM(_xlfn.XLOOKUP(_xlfn._xlws.FILTER(_xlfn.TOCOL(_xlfn.CHOOSECOLS(C667:L675,2,4,6,8,10),0,TRUE),_xlfn.TOCOL(_xlfn.CHOOSECOLS(C667:L675,1,3,5,7,9),0,TRUE)&lt;&gt;""),Lists!$AC$2:$AC$9,Lists!$AF$2:$AF$9,0))=0))</f>
        <v/>
      </c>
      <c r="N658" s="69" t="str">
        <f>IF(OR(B658="",O658=""),"",--(COUNTIF(O658:O663,"&gt;0")=1))</f>
        <v/>
      </c>
      <c r="O658" s="5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  <c r="CI658" s="18"/>
      <c r="CJ658" s="18"/>
      <c r="CK658" s="18"/>
      <c r="CL658" s="18"/>
      <c r="CM658" s="18"/>
      <c r="CN658" s="18"/>
      <c r="CO658" s="18"/>
      <c r="CP658" s="18"/>
      <c r="CQ658" s="18"/>
      <c r="CR658" s="18"/>
      <c r="CS658" s="18"/>
      <c r="CT658" s="18"/>
      <c r="CU658" s="18"/>
      <c r="CV658" s="18"/>
      <c r="CW658" s="18"/>
      <c r="CX658" s="18"/>
      <c r="CY658" s="18"/>
      <c r="CZ658" s="18"/>
      <c r="DA658" s="18"/>
      <c r="DB658" s="18"/>
      <c r="DC658" s="18"/>
      <c r="DD658" s="18"/>
      <c r="DE658" s="18"/>
      <c r="DF658" s="18"/>
    </row>
    <row r="659" spans="1:110">
      <c r="A659" s="168">
        <v>2</v>
      </c>
      <c r="B659" s="71"/>
      <c r="C659" s="70" t="str" cm="1">
        <f t="array" aca="1" ref="C659" ca="1">IF(OR(B659="",O659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659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59" s="67" t="str" cm="1">
        <f t="array" aca="1" ref="D659" ca="1">IF(OR(B659="",O659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659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59" s="67" t="str" cm="1">
        <f t="array" aca="1" ref="E659" ca="1">IF(OR(B659="",O659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659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59" s="67" t="str" cm="1">
        <f t="array" aca="1" ref="F659" ca="1">IF(OR(B659="",O659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659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59" s="67" t="str" cm="1">
        <f t="array" aca="1" ref="G659" ca="1">IF(OR(B659="",O659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659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59" s="67" t="str" cm="1">
        <f t="array" aca="1" ref="H659" ca="1">IF(OR(B659="",O659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659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59" s="68" t="str" cm="1">
        <f t="array" aca="1" ref="I659" ca="1">IF(OR(B659="",O659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659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59" s="68" t="str" cm="1">
        <f t="array" aca="1" ref="J659" ca="1">IF(OR(B659="",O659=""),"",--(SUM(_xlfn.XLOOKUP(_xlfn._xlws.FILTER(_xlfn.TOCOL(_xlfn.CHOOSECOLS(C646:L654,2,4,6,8,10),0,TRUE),_xlfn.TOCOL(_xlfn.CHOOSECOLS(C646:L654,1,3,5,7,9),0,TRUE)&lt;&gt;""),Lists!$AC$2:$AC$9,Lists!$AF$2:$AF$9,0))&gt;SUM(_xlfn.XLOOKUP(_xlfn._xlws.FILTER(_xlfn.TOCOL(_xlfn.CHOOSECOLS(C667:L675,2,4,6,8,10),0,TRUE),_xlfn.TOCOL(_xlfn.CHOOSECOLS(C667:L675,1,3,5,7,9),0,TRUE)&lt;&gt;""),Lists!$AC$2:$AC$9,Lists!$AF$2:$AF$9,0)))*--(ROW()-ROW(C657)=_xlfn.XLOOKUP(MAX(IF(O658:O663&gt;0,INT(C658:C663)*3+MOD(ROUND(C658:C663*10,0),10),-1)),IF(O658:O663&gt;0,INT(C658:C663)*3+MOD(ROUND(C658:C663*10,0),10),-1),_xlfn.SEQUENCE(ROWS(O658:O663)),,0)))</f>
        <v/>
      </c>
      <c r="K659" s="68" t="str" cm="1">
        <f t="array" aca="1" ref="K659" ca="1">IF(OR(B659="",O659=""),"",--(SUM(_xlfn.XLOOKUP(_xlfn._xlws.FILTER(_xlfn.TOCOL(_xlfn.CHOOSECOLS(C646:L654,2,4,6,8,10),0,TRUE),_xlfn.TOCOL(_xlfn.CHOOSECOLS(C646:L654,1,3,5,7,9),0,TRUE)&lt;&gt;""),Lists!$AC$2:$AC$9,Lists!$AF$2:$AF$9,0))&lt;SUM(_xlfn.XLOOKUP(_xlfn._xlws.FILTER(_xlfn.TOCOL(_xlfn.CHOOSECOLS(C667:L675,2,4,6,8,10),0,TRUE),_xlfn.TOCOL(_xlfn.CHOOSECOLS(C667:L675,1,3,5,7,9),0,TRUE)&lt;&gt;""),Lists!$AC$2:$AC$9,Lists!$AF$2:$AF$9,0)))*--(ROW()-ROW(C657)=_xlfn.XLOOKUP(MAX(IF(O658:O663&gt;0,E658:E663,-1)),IF(O658:O663&gt;0,E658:E663,-1),_xlfn.SEQUENCE(ROWS(O658:O663)),,0)))</f>
        <v/>
      </c>
      <c r="L659" s="68" t="str" cm="1">
        <f t="array" aca="1" ref="L659" ca="1">IF(OR(B659="",O659=""),"",--(SUM(_xlfn.XLOOKUP(_xlfn._xlws.FILTER(_xlfn.TOCOL(_xlfn.CHOOSECOLS(C646:L654,2,4,6,8,10),0,TRUE),_xlfn.TOCOL(_xlfn.CHOOSECOLS(C646:L654,1,3,5,7,9),0,TRUE)&lt;&gt;""),Lists!$AC$2:$AC$9,Lists!$AF$2:$AF$9,0))&gt;SUM(_xlfn.XLOOKUP(_xlfn._xlws.FILTER(_xlfn.TOCOL(_xlfn.CHOOSECOLS(C667:L675,2,4,6,8,10),0,TRUE),_xlfn.TOCOL(_xlfn.CHOOSECOLS(C667:L675,1,3,5,7,9),0,TRUE)&lt;&gt;""),Lists!$AC$2:$AC$9,Lists!$AF$2:$AF$9,0)))*--(COUNTIF(O658:O663,"&gt;0")&gt;1)*--(ROW()-ROW(C657)=_xlfn.XLOOKUP(TRUE,O658:O663&gt;0,_xlfn.SEQUENCE(ROWS(O658:O663)),,0,-1))*--(_xlfn.XLOOKUP(TRUE,O658:O663&gt;0,_xlfn.SEQUENCE(ROWS(O658:O663)),,0,-1)&lt;&gt;_xlfn.XLOOKUP(MAX(IF(O658:O663&gt;0,INT(C658:C663)*3+MOD(ROUND(C658:C663*10,0),10),-1)),IF(O658:O663&gt;0,INT(C658:C663)*3+MOD(ROUND(C658:C663*10,0),10),-1),_xlfn.SEQUENCE(ROWS(O658:O663)),,0))*--(SUM(_xlfn.XLOOKUP(_xlfn._xlws.FILTER(_xlfn.TOCOL(_xlfn.CHOOSECOLS(C646:L654,2,4,6,8,10),0,TRUE),_xlfn.TOCOL(_xlfn.CHOOSECOLS(C646:L654,1,3,5,7,9),0,TRUE)&lt;&gt;""),Lists!$AC$2:$AC$9,Lists!$AF$2:$AF$9,0))-SUM(_xlfn.XLOOKUP(_xlfn._xlws.FILTER(_xlfn.TOCOL(_xlfn.CHOOSECOLS(C667:L675,2,4,6,8,10),0,TRUE),_xlfn.TOCOL(_xlfn.CHOOSECOLS(C667:L675,1,3,5,7,9),0,TRUE)&lt;&gt;""),Lists!$AC$2:$AC$9,Lists!$AF$2:$AF$9,0))&lt;=3)*--((INT(C659)*3+MOD(ROUND(C659*10,0),10))&gt;=3))</f>
        <v/>
      </c>
      <c r="M659" s="68" t="str" cm="1">
        <f t="array" ref="M659">IF(OR(B659="",O659=""),"",--(COUNTIF(O658:O663,"&gt;0")=1)*--(SUM(_xlfn.XLOOKUP(_xlfn._xlws.FILTER(_xlfn.TOCOL(_xlfn.CHOOSECOLS(C667:L675,2,4,6,8,10),0,TRUE),_xlfn.TOCOL(_xlfn.CHOOSECOLS(C667:L675,1,3,5,7,9),0,TRUE)&lt;&gt;""),Lists!$AC$2:$AC$9,Lists!$AF$2:$AF$9,0))=0))</f>
        <v/>
      </c>
      <c r="N659" s="69" t="str">
        <f>IF(OR(B659="",O659=""),"",--(COUNTIF(O658:O663,"&gt;0")=1))</f>
        <v/>
      </c>
      <c r="O659" s="5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  <c r="CI659" s="18"/>
      <c r="CJ659" s="18"/>
      <c r="CK659" s="18"/>
      <c r="CL659" s="18"/>
      <c r="CM659" s="18"/>
      <c r="CN659" s="18"/>
      <c r="CO659" s="18"/>
      <c r="CP659" s="18"/>
      <c r="CQ659" s="18"/>
      <c r="CR659" s="18"/>
      <c r="CS659" s="18"/>
      <c r="CT659" s="18"/>
      <c r="CU659" s="18"/>
      <c r="CV659" s="18"/>
      <c r="CW659" s="18"/>
      <c r="CX659" s="18"/>
      <c r="CY659" s="18"/>
      <c r="CZ659" s="18"/>
      <c r="DA659" s="18"/>
      <c r="DB659" s="18"/>
      <c r="DC659" s="18"/>
      <c r="DD659" s="18"/>
      <c r="DE659" s="18"/>
      <c r="DF659" s="18"/>
    </row>
    <row r="660" spans="1:110">
      <c r="A660" s="168">
        <v>3</v>
      </c>
      <c r="B660" s="71"/>
      <c r="C660" s="70" t="str" cm="1">
        <f t="array" aca="1" ref="C660" ca="1">IF(OR(B660="",O660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60" s="67" t="str" cm="1">
        <f t="array" aca="1" ref="D660" ca="1">IF(OR(B660="",O660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60" s="67" t="str" cm="1">
        <f t="array" aca="1" ref="E660" ca="1">IF(OR(B660="",O660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660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60" s="67" t="str" cm="1">
        <f t="array" aca="1" ref="F660" ca="1">IF(OR(B660="",O660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660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60" s="67" t="str" cm="1">
        <f t="array" aca="1" ref="G660" ca="1">IF(OR(B660="",O660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60" s="67" t="str" cm="1">
        <f t="array" aca="1" ref="H660" ca="1">IF(OR(B660="",O660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60" s="68" t="str" cm="1">
        <f t="array" aca="1" ref="I660" ca="1">IF(OR(B660="",O660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60" s="68" t="str" cm="1">
        <f t="array" aca="1" ref="J660" ca="1">IF(OR(B660="",O660=""),"",--(SUM(_xlfn.XLOOKUP(_xlfn._xlws.FILTER(_xlfn.TOCOL(_xlfn.CHOOSECOLS(C646:L654,2,4,6,8,10),0,TRUE),_xlfn.TOCOL(_xlfn.CHOOSECOLS(C646:L654,1,3,5,7,9),0,TRUE)&lt;&gt;""),Lists!$AC$2:$AC$9,Lists!$AF$2:$AF$9,0))&gt;SUM(_xlfn.XLOOKUP(_xlfn._xlws.FILTER(_xlfn.TOCOL(_xlfn.CHOOSECOLS(C667:L675,2,4,6,8,10),0,TRUE),_xlfn.TOCOL(_xlfn.CHOOSECOLS(C667:L675,1,3,5,7,9),0,TRUE)&lt;&gt;""),Lists!$AC$2:$AC$9,Lists!$AF$2:$AF$9,0)))*--(ROW()-ROW(C657)=_xlfn.XLOOKUP(MAX(IF(O658:O663&gt;0,INT(C658:C663)*3+MOD(ROUND(C658:C663*10,0),10),-1)),IF(O658:O663&gt;0,INT(C658:C663)*3+MOD(ROUND(C658:C663*10,0),10),-1),_xlfn.SEQUENCE(ROWS(O658:O663)),,0)))</f>
        <v/>
      </c>
      <c r="K660" s="68" t="str" cm="1">
        <f t="array" aca="1" ref="K660" ca="1">IF(OR(B660="",O660=""),"",--(SUM(_xlfn.XLOOKUP(_xlfn._xlws.FILTER(_xlfn.TOCOL(_xlfn.CHOOSECOLS(C646:L654,2,4,6,8,10),0,TRUE),_xlfn.TOCOL(_xlfn.CHOOSECOLS(C646:L654,1,3,5,7,9),0,TRUE)&lt;&gt;""),Lists!$AC$2:$AC$9,Lists!$AF$2:$AF$9,0))&lt;SUM(_xlfn.XLOOKUP(_xlfn._xlws.FILTER(_xlfn.TOCOL(_xlfn.CHOOSECOLS(C667:L675,2,4,6,8,10),0,TRUE),_xlfn.TOCOL(_xlfn.CHOOSECOLS(C667:L675,1,3,5,7,9),0,TRUE)&lt;&gt;""),Lists!$AC$2:$AC$9,Lists!$AF$2:$AF$9,0)))*--(ROW()-ROW(C657)=_xlfn.XLOOKUP(MAX(IF(O658:O663&gt;0,E658:E663,-1)),IF(O658:O663&gt;0,E658:E663,-1),_xlfn.SEQUENCE(ROWS(O658:O663)),,0)))</f>
        <v/>
      </c>
      <c r="L660" s="68" t="str" cm="1">
        <f t="array" aca="1" ref="L660" ca="1">IF(OR(B660="",O660=""),"",--(SUM(_xlfn.XLOOKUP(_xlfn._xlws.FILTER(_xlfn.TOCOL(_xlfn.CHOOSECOLS(C646:L654,2,4,6,8,10),0,TRUE),_xlfn.TOCOL(_xlfn.CHOOSECOLS(C646:L654,1,3,5,7,9),0,TRUE)&lt;&gt;""),Lists!$AC$2:$AC$9,Lists!$AF$2:$AF$9,0))&gt;SUM(_xlfn.XLOOKUP(_xlfn._xlws.FILTER(_xlfn.TOCOL(_xlfn.CHOOSECOLS(C667:L675,2,4,6,8,10),0,TRUE),_xlfn.TOCOL(_xlfn.CHOOSECOLS(C667:L675,1,3,5,7,9),0,TRUE)&lt;&gt;""),Lists!$AC$2:$AC$9,Lists!$AF$2:$AF$9,0)))*--(COUNTIF(O658:O663,"&gt;0")&gt;1)*--(ROW()-ROW(C657)=_xlfn.XLOOKUP(TRUE,O658:O663&gt;0,_xlfn.SEQUENCE(ROWS(O658:O663)),,0,-1))*--(_xlfn.XLOOKUP(TRUE,O658:O663&gt;0,_xlfn.SEQUENCE(ROWS(O658:O663)),,0,-1)&lt;&gt;_xlfn.XLOOKUP(MAX(IF(O658:O663&gt;0,INT(C658:C663)*3+MOD(ROUND(C658:C663*10,0),10),-1)),IF(O658:O663&gt;0,INT(C658:C663)*3+MOD(ROUND(C658:C663*10,0),10),-1),_xlfn.SEQUENCE(ROWS(O658:O663)),,0))*--(SUM(_xlfn.XLOOKUP(_xlfn._xlws.FILTER(_xlfn.TOCOL(_xlfn.CHOOSECOLS(C646:L654,2,4,6,8,10),0,TRUE),_xlfn.TOCOL(_xlfn.CHOOSECOLS(C646:L654,1,3,5,7,9),0,TRUE)&lt;&gt;""),Lists!$AC$2:$AC$9,Lists!$AF$2:$AF$9,0))-SUM(_xlfn.XLOOKUP(_xlfn._xlws.FILTER(_xlfn.TOCOL(_xlfn.CHOOSECOLS(C667:L675,2,4,6,8,10),0,TRUE),_xlfn.TOCOL(_xlfn.CHOOSECOLS(C667:L675,1,3,5,7,9),0,TRUE)&lt;&gt;""),Lists!$AC$2:$AC$9,Lists!$AF$2:$AF$9,0))&lt;=3)*--((INT(C660)*3+MOD(ROUND(C660*10,0),10))&gt;=3))</f>
        <v/>
      </c>
      <c r="M660" s="68" t="str" cm="1">
        <f t="array" ref="M660">IF(OR(B660="",O660=""),"",--(COUNTIF(O658:O663,"&gt;0")=1)*--(SUM(_xlfn.XLOOKUP(_xlfn._xlws.FILTER(_xlfn.TOCOL(_xlfn.CHOOSECOLS(C667:L675,2,4,6,8,10),0,TRUE),_xlfn.TOCOL(_xlfn.CHOOSECOLS(C667:L675,1,3,5,7,9),0,TRUE)&lt;&gt;""),Lists!$AC$2:$AC$9,Lists!$AF$2:$AF$9,0))=0))</f>
        <v/>
      </c>
      <c r="N660" s="69" t="str">
        <f>IF(OR(B660="",O660=""),"",--(COUNTIF(O658:O663,"&gt;0")=1))</f>
        <v/>
      </c>
      <c r="O660" s="5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  <c r="CI660" s="18"/>
      <c r="CJ660" s="18"/>
      <c r="CK660" s="18"/>
      <c r="CL660" s="18"/>
      <c r="CM660" s="18"/>
      <c r="CN660" s="18"/>
      <c r="CO660" s="18"/>
      <c r="CP660" s="18"/>
      <c r="CQ660" s="18"/>
      <c r="CR660" s="18"/>
      <c r="CS660" s="18"/>
      <c r="CT660" s="18"/>
      <c r="CU660" s="18"/>
      <c r="CV660" s="18"/>
      <c r="CW660" s="18"/>
      <c r="CX660" s="18"/>
      <c r="CY660" s="18"/>
      <c r="CZ660" s="18"/>
      <c r="DA660" s="18"/>
      <c r="DB660" s="18"/>
      <c r="DC660" s="18"/>
      <c r="DD660" s="18"/>
      <c r="DE660" s="18"/>
      <c r="DF660" s="18"/>
    </row>
    <row r="661" spans="1:110">
      <c r="A661" s="168">
        <v>4</v>
      </c>
      <c r="B661" s="71"/>
      <c r="C661" s="70" t="str" cm="1">
        <f t="array" aca="1" ref="C661" ca="1">IF(OR(B661="",O661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61" s="67" t="str" cm="1">
        <f t="array" aca="1" ref="D661" ca="1">IF(OR(B661="",O661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61" s="67" t="str" cm="1">
        <f t="array" aca="1" ref="E661" ca="1">IF(OR(B661="",O661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61" s="67" t="str" cm="1">
        <f t="array" aca="1" ref="F661" ca="1">IF(OR(B661="",O661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61" s="67" t="str" cm="1">
        <f t="array" aca="1" ref="G661" ca="1">IF(OR(B661="",O661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61" s="67" t="str" cm="1">
        <f t="array" aca="1" ref="H661" ca="1">IF(OR(B661="",O661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61" s="68" t="str" cm="1">
        <f t="array" aca="1" ref="I661" ca="1">IF(OR(B661="",O661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61" s="68" t="str" cm="1">
        <f t="array" aca="1" ref="J661" ca="1">IF(OR(B661="",O661=""),"",--(SUM(_xlfn.XLOOKUP(_xlfn._xlws.FILTER(_xlfn.TOCOL(_xlfn.CHOOSECOLS(C646:L654,2,4,6,8,10),0,TRUE),_xlfn.TOCOL(_xlfn.CHOOSECOLS(C646:L654,1,3,5,7,9),0,TRUE)&lt;&gt;""),Lists!$AC$2:$AC$9,Lists!$AF$2:$AF$9,0))&gt;SUM(_xlfn.XLOOKUP(_xlfn._xlws.FILTER(_xlfn.TOCOL(_xlfn.CHOOSECOLS(C667:L675,2,4,6,8,10),0,TRUE),_xlfn.TOCOL(_xlfn.CHOOSECOLS(C667:L675,1,3,5,7,9),0,TRUE)&lt;&gt;""),Lists!$AC$2:$AC$9,Lists!$AF$2:$AF$9,0)))*--(ROW()-ROW(C657)=_xlfn.XLOOKUP(MAX(IF(O658:O663&gt;0,INT(C658:C663)*3+MOD(ROUND(C658:C663*10,0),10),-1)),IF(O658:O663&gt;0,INT(C658:C663)*3+MOD(ROUND(C658:C663*10,0),10),-1),_xlfn.SEQUENCE(ROWS(O658:O663)),,0)))</f>
        <v/>
      </c>
      <c r="K661" s="68" t="str" cm="1">
        <f t="array" aca="1" ref="K661" ca="1">IF(OR(B661="",O661=""),"",--(SUM(_xlfn.XLOOKUP(_xlfn._xlws.FILTER(_xlfn.TOCOL(_xlfn.CHOOSECOLS(C646:L654,2,4,6,8,10),0,TRUE),_xlfn.TOCOL(_xlfn.CHOOSECOLS(C646:L654,1,3,5,7,9),0,TRUE)&lt;&gt;""),Lists!$AC$2:$AC$9,Lists!$AF$2:$AF$9,0))&lt;SUM(_xlfn.XLOOKUP(_xlfn._xlws.FILTER(_xlfn.TOCOL(_xlfn.CHOOSECOLS(C667:L675,2,4,6,8,10),0,TRUE),_xlfn.TOCOL(_xlfn.CHOOSECOLS(C667:L675,1,3,5,7,9),0,TRUE)&lt;&gt;""),Lists!$AC$2:$AC$9,Lists!$AF$2:$AF$9,0)))*--(ROW()-ROW(C657)=_xlfn.XLOOKUP(MAX(IF(O658:O663&gt;0,E658:E663,-1)),IF(O658:O663&gt;0,E658:E663,-1),_xlfn.SEQUENCE(ROWS(O658:O663)),,0)))</f>
        <v/>
      </c>
      <c r="L661" s="68" t="str" cm="1">
        <f t="array" aca="1" ref="L661" ca="1">IF(OR(B661="",O661=""),"",--(SUM(_xlfn.XLOOKUP(_xlfn._xlws.FILTER(_xlfn.TOCOL(_xlfn.CHOOSECOLS(C646:L654,2,4,6,8,10),0,TRUE),_xlfn.TOCOL(_xlfn.CHOOSECOLS(C646:L654,1,3,5,7,9),0,TRUE)&lt;&gt;""),Lists!$AC$2:$AC$9,Lists!$AF$2:$AF$9,0))&gt;SUM(_xlfn.XLOOKUP(_xlfn._xlws.FILTER(_xlfn.TOCOL(_xlfn.CHOOSECOLS(C667:L675,2,4,6,8,10),0,TRUE),_xlfn.TOCOL(_xlfn.CHOOSECOLS(C667:L675,1,3,5,7,9),0,TRUE)&lt;&gt;""),Lists!$AC$2:$AC$9,Lists!$AF$2:$AF$9,0)))*--(COUNTIF(O658:O663,"&gt;0")&gt;1)*--(ROW()-ROW(C657)=_xlfn.XLOOKUP(TRUE,O658:O663&gt;0,_xlfn.SEQUENCE(ROWS(O658:O663)),,0,-1))*--(_xlfn.XLOOKUP(TRUE,O658:O663&gt;0,_xlfn.SEQUENCE(ROWS(O658:O663)),,0,-1)&lt;&gt;_xlfn.XLOOKUP(MAX(IF(O658:O663&gt;0,INT(C658:C663)*3+MOD(ROUND(C658:C663*10,0),10),-1)),IF(O658:O663&gt;0,INT(C658:C663)*3+MOD(ROUND(C658:C663*10,0),10),-1),_xlfn.SEQUENCE(ROWS(O658:O663)),,0))*--(SUM(_xlfn.XLOOKUP(_xlfn._xlws.FILTER(_xlfn.TOCOL(_xlfn.CHOOSECOLS(C646:L654,2,4,6,8,10),0,TRUE),_xlfn.TOCOL(_xlfn.CHOOSECOLS(C646:L654,1,3,5,7,9),0,TRUE)&lt;&gt;""),Lists!$AC$2:$AC$9,Lists!$AF$2:$AF$9,0))-SUM(_xlfn.XLOOKUP(_xlfn._xlws.FILTER(_xlfn.TOCOL(_xlfn.CHOOSECOLS(C667:L675,2,4,6,8,10),0,TRUE),_xlfn.TOCOL(_xlfn.CHOOSECOLS(C667:L675,1,3,5,7,9),0,TRUE)&lt;&gt;""),Lists!$AC$2:$AC$9,Lists!$AF$2:$AF$9,0))&lt;=3)*--((INT(C661)*3+MOD(ROUND(C661*10,0),10))&gt;=3))</f>
        <v/>
      </c>
      <c r="M661" s="68" t="str" cm="1">
        <f t="array" ref="M661">IF(OR(B661="",O661=""),"",--(COUNTIF(O658:O663,"&gt;0")=1)*--(SUM(_xlfn.XLOOKUP(_xlfn._xlws.FILTER(_xlfn.TOCOL(_xlfn.CHOOSECOLS(C667:L675,2,4,6,8,10),0,TRUE),_xlfn.TOCOL(_xlfn.CHOOSECOLS(C667:L675,1,3,5,7,9),0,TRUE)&lt;&gt;""),Lists!$AC$2:$AC$9,Lists!$AF$2:$AF$9,0))=0))</f>
        <v/>
      </c>
      <c r="N661" s="69" t="str">
        <f>IF(OR(B661="",O661=""),"",--(COUNTIF(O658:O663,"&gt;0")=1))</f>
        <v/>
      </c>
      <c r="O661" s="5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  <c r="CL661" s="18"/>
      <c r="CM661" s="18"/>
      <c r="CN661" s="18"/>
      <c r="CO661" s="18"/>
      <c r="CP661" s="18"/>
      <c r="CQ661" s="18"/>
      <c r="CR661" s="18"/>
      <c r="CS661" s="18"/>
      <c r="CT661" s="18"/>
      <c r="CU661" s="18"/>
      <c r="CV661" s="18"/>
      <c r="CW661" s="18"/>
      <c r="CX661" s="18"/>
      <c r="CY661" s="18"/>
      <c r="CZ661" s="18"/>
      <c r="DA661" s="18"/>
      <c r="DB661" s="18"/>
      <c r="DC661" s="18"/>
      <c r="DD661" s="18"/>
      <c r="DE661" s="18"/>
      <c r="DF661" s="18"/>
    </row>
    <row r="662" spans="1:110">
      <c r="A662" s="168">
        <v>5</v>
      </c>
      <c r="B662" s="71"/>
      <c r="C662" s="70" t="str" cm="1">
        <f t="array" aca="1" ref="C662" ca="1">IF(OR(B662="",O662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62" s="67" t="str" cm="1">
        <f t="array" aca="1" ref="D662" ca="1">IF(OR(B662="",O662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62" s="67" t="str" cm="1">
        <f t="array" aca="1" ref="E662" ca="1">IF(OR(B662="",O662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62" s="67" t="str" cm="1">
        <f t="array" aca="1" ref="F662" ca="1">IF(OR(B662="",O662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62" s="67" t="str" cm="1">
        <f t="array" aca="1" ref="G662" ca="1">IF(OR(B662="",O662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62" s="67" t="str" cm="1">
        <f t="array" aca="1" ref="H662" ca="1">IF(OR(B662="",O662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62" s="68" t="str" cm="1">
        <f t="array" aca="1" ref="I662" ca="1">IF(OR(B662="",O662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62" s="68" t="str" cm="1">
        <f t="array" aca="1" ref="J662" ca="1">IF(OR(B662="",O662=""),"",--(SUM(_xlfn.XLOOKUP(_xlfn._xlws.FILTER(_xlfn.TOCOL(_xlfn.CHOOSECOLS(C646:L654,2,4,6,8,10),0,TRUE),_xlfn.TOCOL(_xlfn.CHOOSECOLS(C646:L654,1,3,5,7,9),0,TRUE)&lt;&gt;""),Lists!$AC$2:$AC$9,Lists!$AF$2:$AF$9,0))&gt;SUM(_xlfn.XLOOKUP(_xlfn._xlws.FILTER(_xlfn.TOCOL(_xlfn.CHOOSECOLS(C667:L675,2,4,6,8,10),0,TRUE),_xlfn.TOCOL(_xlfn.CHOOSECOLS(C667:L675,1,3,5,7,9),0,TRUE)&lt;&gt;""),Lists!$AC$2:$AC$9,Lists!$AF$2:$AF$9,0)))*--(ROW()-ROW(C657)=_xlfn.XLOOKUP(MAX(IF(O658:O663&gt;0,INT(C658:C663)*3+MOD(ROUND(C658:C663*10,0),10),-1)),IF(O658:O663&gt;0,INT(C658:C663)*3+MOD(ROUND(C658:C663*10,0),10),-1),_xlfn.SEQUENCE(ROWS(O658:O663)),,0)))</f>
        <v/>
      </c>
      <c r="K662" s="68" t="str" cm="1">
        <f t="array" aca="1" ref="K662" ca="1">IF(OR(B662="",O662=""),"",--(SUM(_xlfn.XLOOKUP(_xlfn._xlws.FILTER(_xlfn.TOCOL(_xlfn.CHOOSECOLS(C646:L654,2,4,6,8,10),0,TRUE),_xlfn.TOCOL(_xlfn.CHOOSECOLS(C646:L654,1,3,5,7,9),0,TRUE)&lt;&gt;""),Lists!$AC$2:$AC$9,Lists!$AF$2:$AF$9,0))&lt;SUM(_xlfn.XLOOKUP(_xlfn._xlws.FILTER(_xlfn.TOCOL(_xlfn.CHOOSECOLS(C667:L675,2,4,6,8,10),0,TRUE),_xlfn.TOCOL(_xlfn.CHOOSECOLS(C667:L675,1,3,5,7,9),0,TRUE)&lt;&gt;""),Lists!$AC$2:$AC$9,Lists!$AF$2:$AF$9,0)))*--(ROW()-ROW(C657)=_xlfn.XLOOKUP(MAX(IF(O658:O663&gt;0,E658:E663,-1)),IF(O658:O663&gt;0,E658:E663,-1),_xlfn.SEQUENCE(ROWS(O658:O663)),,0)))</f>
        <v/>
      </c>
      <c r="L662" s="68" t="str" cm="1">
        <f t="array" aca="1" ref="L662" ca="1">IF(OR(B662="",O662=""),"",--(SUM(_xlfn.XLOOKUP(_xlfn._xlws.FILTER(_xlfn.TOCOL(_xlfn.CHOOSECOLS(C646:L654,2,4,6,8,10),0,TRUE),_xlfn.TOCOL(_xlfn.CHOOSECOLS(C646:L654,1,3,5,7,9),0,TRUE)&lt;&gt;""),Lists!$AC$2:$AC$9,Lists!$AF$2:$AF$9,0))&gt;SUM(_xlfn.XLOOKUP(_xlfn._xlws.FILTER(_xlfn.TOCOL(_xlfn.CHOOSECOLS(C667:L675,2,4,6,8,10),0,TRUE),_xlfn.TOCOL(_xlfn.CHOOSECOLS(C667:L675,1,3,5,7,9),0,TRUE)&lt;&gt;""),Lists!$AC$2:$AC$9,Lists!$AF$2:$AF$9,0)))*--(COUNTIF(O658:O663,"&gt;0")&gt;1)*--(ROW()-ROW(C657)=_xlfn.XLOOKUP(TRUE,O658:O663&gt;0,_xlfn.SEQUENCE(ROWS(O658:O663)),,0,-1))*--(_xlfn.XLOOKUP(TRUE,O658:O663&gt;0,_xlfn.SEQUENCE(ROWS(O658:O663)),,0,-1)&lt;&gt;_xlfn.XLOOKUP(MAX(IF(O658:O663&gt;0,INT(C658:C663)*3+MOD(ROUND(C658:C663*10,0),10),-1)),IF(O658:O663&gt;0,INT(C658:C663)*3+MOD(ROUND(C658:C663*10,0),10),-1),_xlfn.SEQUENCE(ROWS(O658:O663)),,0))*--(SUM(_xlfn.XLOOKUP(_xlfn._xlws.FILTER(_xlfn.TOCOL(_xlfn.CHOOSECOLS(C646:L654,2,4,6,8,10),0,TRUE),_xlfn.TOCOL(_xlfn.CHOOSECOLS(C646:L654,1,3,5,7,9),0,TRUE)&lt;&gt;""),Lists!$AC$2:$AC$9,Lists!$AF$2:$AF$9,0))-SUM(_xlfn.XLOOKUP(_xlfn._xlws.FILTER(_xlfn.TOCOL(_xlfn.CHOOSECOLS(C667:L675,2,4,6,8,10),0,TRUE),_xlfn.TOCOL(_xlfn.CHOOSECOLS(C667:L675,1,3,5,7,9),0,TRUE)&lt;&gt;""),Lists!$AC$2:$AC$9,Lists!$AF$2:$AF$9,0))&lt;=3)*--((INT(C662)*3+MOD(ROUND(C662*10,0),10))&gt;=3))</f>
        <v/>
      </c>
      <c r="M662" s="68" t="str" cm="1">
        <f t="array" ref="M662">IF(OR(B662="",O662=""),"",--(COUNTIF(O658:O663,"&gt;0")=1)*--(SUM(_xlfn.XLOOKUP(_xlfn._xlws.FILTER(_xlfn.TOCOL(_xlfn.CHOOSECOLS(C667:L675,2,4,6,8,10),0,TRUE),_xlfn.TOCOL(_xlfn.CHOOSECOLS(C667:L675,1,3,5,7,9),0,TRUE)&lt;&gt;""),Lists!$AC$2:$AC$9,Lists!$AF$2:$AF$9,0))=0))</f>
        <v/>
      </c>
      <c r="N662" s="69" t="str">
        <f>IF(OR(B662="",O662=""),"",--(COUNTIF(O658:O663,"&gt;0")=1))</f>
        <v/>
      </c>
      <c r="O662" s="5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  <c r="CI662" s="18"/>
      <c r="CJ662" s="18"/>
      <c r="CK662" s="18"/>
      <c r="CL662" s="18"/>
      <c r="CM662" s="18"/>
      <c r="CN662" s="18"/>
      <c r="CO662" s="18"/>
      <c r="CP662" s="18"/>
      <c r="CQ662" s="18"/>
      <c r="CR662" s="18"/>
      <c r="CS662" s="18"/>
      <c r="CT662" s="18"/>
      <c r="CU662" s="18"/>
      <c r="CV662" s="18"/>
      <c r="CW662" s="18"/>
      <c r="CX662" s="18"/>
      <c r="CY662" s="18"/>
      <c r="CZ662" s="18"/>
      <c r="DA662" s="18"/>
      <c r="DB662" s="18"/>
      <c r="DC662" s="18"/>
      <c r="DD662" s="18"/>
      <c r="DE662" s="18"/>
      <c r="DF662" s="18"/>
    </row>
    <row r="663" spans="1:110">
      <c r="A663" s="168">
        <v>6</v>
      </c>
      <c r="B663" s="71"/>
      <c r="C663" s="70" t="str" cm="1">
        <f t="array" aca="1" ref="C663" ca="1">IF(OR(B663="",O663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63" s="67" t="str" cm="1">
        <f t="array" aca="1" ref="D663" ca="1">IF(OR(B663="",O663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63" s="67" t="str" cm="1">
        <f t="array" aca="1" ref="E663" ca="1">IF(OR(B663="",O663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63" s="67" t="str" cm="1">
        <f t="array" aca="1" ref="F663" ca="1">IF(OR(B663="",O663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63" s="67" t="str" cm="1">
        <f t="array" aca="1" ref="G663" ca="1">IF(OR(B663="",O663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63" s="67" t="str" cm="1">
        <f t="array" aca="1" ref="H663" ca="1">IF(OR(B663="",O663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63" s="68" t="str" cm="1">
        <f t="array" aca="1" ref="I663" ca="1">IF(OR(B663="",O663=""),"",_xlfn.LET(_xlpm.flatPAraw,_xlfn.TOCOL(_xlfn.CHOOSECOLS(C667:L675,1,3,5,7,9),0,TRUE),_xlpm.flatPARraw,_xlfn.TOCOL(_xlfn.CHOOSECOLS(C667:L675,2,4,6,8,10),0,TRUE),_xlpm.flatPA,_xlfn._xlws.FILTER(_xlpm.flatPAraw,_xlpm.flatPAraw&lt;&gt;""),_xlpm.flatPAR,_xlfn._xlws.FILTER(_xlpm.flatPARraw,_xlpm.flatPAraw&lt;&gt;""),_xlpm.prev,IF(ROW()=ROW(C658),0,SUM(INDEX(O:O,ROW(C658)):INDEX(O:O,ROW()-1))),_xlpm.need,O663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63" s="68" t="str" cm="1">
        <f t="array" aca="1" ref="J663" ca="1">IF(OR(B663="",O663=""),"",--(SUM(_xlfn.XLOOKUP(_xlfn._xlws.FILTER(_xlfn.TOCOL(_xlfn.CHOOSECOLS(C646:L654,2,4,6,8,10),0,TRUE),_xlfn.TOCOL(_xlfn.CHOOSECOLS(C646:L654,1,3,5,7,9),0,TRUE)&lt;&gt;""),Lists!$AC$2:$AC$9,Lists!$AF$2:$AF$9,0))&gt;SUM(_xlfn.XLOOKUP(_xlfn._xlws.FILTER(_xlfn.TOCOL(_xlfn.CHOOSECOLS(C667:L675,2,4,6,8,10),0,TRUE),_xlfn.TOCOL(_xlfn.CHOOSECOLS(C667:L675,1,3,5,7,9),0,TRUE)&lt;&gt;""),Lists!$AC$2:$AC$9,Lists!$AF$2:$AF$9,0)))*--(ROW()-ROW(C657)=_xlfn.XLOOKUP(MAX(IF(O658:O663&gt;0,INT(C658:C663)*3+MOD(ROUND(C658:C663*10,0),10),-1)),IF(O658:O663&gt;0,INT(C658:C663)*3+MOD(ROUND(C658:C663*10,0),10),-1),_xlfn.SEQUENCE(ROWS(O658:O663)),,0)))</f>
        <v/>
      </c>
      <c r="K663" s="68" t="str" cm="1">
        <f t="array" aca="1" ref="K663" ca="1">IF(OR(B663="",O663=""),"",--(SUM(_xlfn.XLOOKUP(_xlfn._xlws.FILTER(_xlfn.TOCOL(_xlfn.CHOOSECOLS(C646:L654,2,4,6,8,10),0,TRUE),_xlfn.TOCOL(_xlfn.CHOOSECOLS(C646:L654,1,3,5,7,9),0,TRUE)&lt;&gt;""),Lists!$AC$2:$AC$9,Lists!$AF$2:$AF$9,0))&lt;SUM(_xlfn.XLOOKUP(_xlfn._xlws.FILTER(_xlfn.TOCOL(_xlfn.CHOOSECOLS(C667:L675,2,4,6,8,10),0,TRUE),_xlfn.TOCOL(_xlfn.CHOOSECOLS(C667:L675,1,3,5,7,9),0,TRUE)&lt;&gt;""),Lists!$AC$2:$AC$9,Lists!$AF$2:$AF$9,0)))*--(ROW()-ROW(C657)=_xlfn.XLOOKUP(MAX(IF(O658:O663&gt;0,E658:E663,-1)),IF(O658:O663&gt;0,E658:E663,-1),_xlfn.SEQUENCE(ROWS(O658:O663)),,0)))</f>
        <v/>
      </c>
      <c r="L663" s="68" t="str" cm="1">
        <f t="array" aca="1" ref="L663" ca="1">IF(OR(B663="",O663=""),"",--(SUM(_xlfn.XLOOKUP(_xlfn._xlws.FILTER(_xlfn.TOCOL(_xlfn.CHOOSECOLS(C646:L654,2,4,6,8,10),0,TRUE),_xlfn.TOCOL(_xlfn.CHOOSECOLS(C646:L654,1,3,5,7,9),0,TRUE)&lt;&gt;""),Lists!$AC$2:$AC$9,Lists!$AF$2:$AF$9,0))&gt;SUM(_xlfn.XLOOKUP(_xlfn._xlws.FILTER(_xlfn.TOCOL(_xlfn.CHOOSECOLS(C667:L675,2,4,6,8,10),0,TRUE),_xlfn.TOCOL(_xlfn.CHOOSECOLS(C667:L675,1,3,5,7,9),0,TRUE)&lt;&gt;""),Lists!$AC$2:$AC$9,Lists!$AF$2:$AF$9,0)))*--(COUNTIF(O658:O663,"&gt;0")&gt;1)*--(ROW()-ROW(C657)=_xlfn.XLOOKUP(TRUE,O658:O663&gt;0,_xlfn.SEQUENCE(ROWS(O658:O663)),,0,-1))*--(_xlfn.XLOOKUP(TRUE,O658:O663&gt;0,_xlfn.SEQUENCE(ROWS(O658:O663)),,0,-1)&lt;&gt;_xlfn.XLOOKUP(MAX(IF(O658:O663&gt;0,INT(C658:C663)*3+MOD(ROUND(C658:C663*10,0),10),-1)),IF(O658:O663&gt;0,INT(C658:C663)*3+MOD(ROUND(C658:C663*10,0),10),-1),_xlfn.SEQUENCE(ROWS(O658:O663)),,0))*--(SUM(_xlfn.XLOOKUP(_xlfn._xlws.FILTER(_xlfn.TOCOL(_xlfn.CHOOSECOLS(C646:L654,2,4,6,8,10),0,TRUE),_xlfn.TOCOL(_xlfn.CHOOSECOLS(C646:L654,1,3,5,7,9),0,TRUE)&lt;&gt;""),Lists!$AC$2:$AC$9,Lists!$AF$2:$AF$9,0))-SUM(_xlfn.XLOOKUP(_xlfn._xlws.FILTER(_xlfn.TOCOL(_xlfn.CHOOSECOLS(C667:L675,2,4,6,8,10),0,TRUE),_xlfn.TOCOL(_xlfn.CHOOSECOLS(C667:L675,1,3,5,7,9),0,TRUE)&lt;&gt;""),Lists!$AC$2:$AC$9,Lists!$AF$2:$AF$9,0))&lt;=3)*--((INT(C663)*3+MOD(ROUND(C663*10,0),10))&gt;=3))</f>
        <v/>
      </c>
      <c r="M663" s="68" t="str" cm="1">
        <f t="array" ref="M663">IF(OR(B663="",O663=""),"",--(COUNTIF(O658:O663,"&gt;0")=1)*--(SUM(_xlfn.XLOOKUP(_xlfn._xlws.FILTER(_xlfn.TOCOL(_xlfn.CHOOSECOLS(C667:L675,2,4,6,8,10),0,TRUE),_xlfn.TOCOL(_xlfn.CHOOSECOLS(C667:L675,1,3,5,7,9),0,TRUE)&lt;&gt;""),Lists!$AC$2:$AC$9,Lists!$AF$2:$AF$9,0))=0))</f>
        <v/>
      </c>
      <c r="N663" s="69" t="str">
        <f>IF(OR(B663="",O663=""),"",--(COUNTIF(O658:O663,"&gt;0")=1))</f>
        <v/>
      </c>
      <c r="O663" s="5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  <c r="CI663" s="18"/>
      <c r="CJ663" s="18"/>
      <c r="CK663" s="18"/>
      <c r="CL663" s="18"/>
      <c r="CM663" s="18"/>
      <c r="CN663" s="18"/>
      <c r="CO663" s="18"/>
      <c r="CP663" s="18"/>
      <c r="CQ663" s="18"/>
      <c r="CR663" s="18"/>
      <c r="CS663" s="18"/>
      <c r="CT663" s="18"/>
      <c r="CU663" s="18"/>
      <c r="CV663" s="18"/>
      <c r="CW663" s="18"/>
      <c r="CX663" s="18"/>
      <c r="CY663" s="18"/>
      <c r="CZ663" s="18"/>
      <c r="DA663" s="18"/>
      <c r="DB663" s="18"/>
      <c r="DC663" s="18"/>
      <c r="DD663" s="18"/>
      <c r="DE663" s="18"/>
      <c r="DF663" s="18"/>
    </row>
    <row r="664" spans="1:110">
      <c r="A664" s="173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3"/>
      <c r="Q664" s="53"/>
      <c r="R664" s="53"/>
      <c r="S664" s="53"/>
      <c r="T664" s="53"/>
      <c r="U664" s="53"/>
      <c r="V664" s="53"/>
      <c r="W664" s="53"/>
      <c r="X664" s="53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  <c r="CI664" s="18"/>
      <c r="CJ664" s="18"/>
      <c r="CK664" s="18"/>
      <c r="CL664" s="18"/>
      <c r="CM664" s="18"/>
      <c r="CN664" s="18"/>
      <c r="CO664" s="18"/>
      <c r="CP664" s="18"/>
      <c r="CQ664" s="18"/>
      <c r="CR664" s="18"/>
      <c r="CS664" s="18"/>
      <c r="CT664" s="18"/>
      <c r="CU664" s="18"/>
      <c r="CV664" s="18"/>
      <c r="CW664" s="18"/>
      <c r="CX664" s="18"/>
      <c r="CY664" s="18"/>
      <c r="CZ664" s="18"/>
      <c r="DA664" s="18"/>
      <c r="DB664" s="18"/>
      <c r="DC664" s="18"/>
      <c r="DD664" s="18"/>
      <c r="DE664" s="18"/>
      <c r="DF664" s="18"/>
    </row>
    <row r="665" spans="1:110">
      <c r="A665" s="205" t="str">
        <f ca="1">IF($R$639="","Team B Batting",$R$639&amp;" Batting")</f>
        <v>Team B Batting</v>
      </c>
      <c r="B665" s="206"/>
      <c r="C665" s="206"/>
      <c r="D665" s="206"/>
      <c r="E665" s="206"/>
      <c r="F665" s="206"/>
      <c r="G665" s="206"/>
      <c r="H665" s="206"/>
      <c r="I665" s="206"/>
      <c r="J665" s="206"/>
      <c r="K665" s="206"/>
      <c r="L665" s="206"/>
      <c r="M665" s="206"/>
      <c r="N665" s="206"/>
      <c r="O665" s="181"/>
      <c r="P665" s="182"/>
      <c r="Q665" s="182"/>
      <c r="R665" s="182"/>
      <c r="S665" s="182"/>
      <c r="T665" s="182"/>
      <c r="U665" s="182"/>
      <c r="V665" s="182"/>
      <c r="W665" s="182"/>
      <c r="X665" s="182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  <c r="CL665" s="18"/>
      <c r="CM665" s="18"/>
      <c r="CN665" s="18"/>
      <c r="CO665" s="18"/>
      <c r="CP665" s="18"/>
      <c r="CQ665" s="18"/>
      <c r="CR665" s="18"/>
      <c r="CS665" s="18"/>
      <c r="CT665" s="18"/>
      <c r="CU665" s="18"/>
      <c r="CV665" s="18"/>
      <c r="CW665" s="18"/>
      <c r="CX665" s="18"/>
      <c r="CY665" s="18"/>
      <c r="CZ665" s="18"/>
      <c r="DA665" s="18"/>
      <c r="DB665" s="18"/>
      <c r="DC665" s="18"/>
      <c r="DD665" s="18"/>
      <c r="DE665" s="18"/>
      <c r="DF665" s="18"/>
    </row>
    <row r="666" spans="1:110">
      <c r="A666" s="167" t="s">
        <v>164</v>
      </c>
      <c r="B666" s="43" t="s">
        <v>39</v>
      </c>
      <c r="C666" s="43" t="s">
        <v>165</v>
      </c>
      <c r="D666" s="43" t="s">
        <v>166</v>
      </c>
      <c r="E666" s="43" t="s">
        <v>167</v>
      </c>
      <c r="F666" s="43" t="s">
        <v>168</v>
      </c>
      <c r="G666" s="43" t="s">
        <v>169</v>
      </c>
      <c r="H666" s="43" t="s">
        <v>170</v>
      </c>
      <c r="I666" s="43" t="s">
        <v>171</v>
      </c>
      <c r="J666" s="43" t="s">
        <v>172</v>
      </c>
      <c r="K666" s="43" t="s">
        <v>173</v>
      </c>
      <c r="L666" s="43" t="s">
        <v>174</v>
      </c>
      <c r="M666" s="43" t="s">
        <v>175</v>
      </c>
      <c r="N666" s="44" t="s">
        <v>161</v>
      </c>
      <c r="O666" s="44" t="s">
        <v>162</v>
      </c>
      <c r="P666" s="44" t="s">
        <v>176</v>
      </c>
      <c r="Q666" s="44" t="s">
        <v>177</v>
      </c>
      <c r="R666" s="44" t="s">
        <v>178</v>
      </c>
      <c r="S666" s="44" t="s">
        <v>179</v>
      </c>
      <c r="T666" s="44" t="s">
        <v>180</v>
      </c>
      <c r="U666" s="44" t="s">
        <v>181</v>
      </c>
      <c r="V666" s="44" t="s">
        <v>182</v>
      </c>
      <c r="W666" s="44" t="s">
        <v>183</v>
      </c>
      <c r="X666" s="45" t="s">
        <v>184</v>
      </c>
      <c r="Y666" s="45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  <c r="CI666" s="18"/>
      <c r="CJ666" s="18"/>
      <c r="CK666" s="18"/>
      <c r="CL666" s="18"/>
      <c r="CM666" s="18"/>
      <c r="CN666" s="18"/>
      <c r="CO666" s="18"/>
      <c r="CP666" s="18"/>
      <c r="CQ666" s="18"/>
      <c r="CR666" s="18"/>
      <c r="CS666" s="18"/>
      <c r="CT666" s="18"/>
      <c r="CU666" s="18"/>
      <c r="CV666" s="18"/>
      <c r="CW666" s="18"/>
      <c r="CX666" s="18"/>
      <c r="CY666" s="18"/>
      <c r="CZ666" s="18"/>
      <c r="DA666" s="18"/>
      <c r="DB666" s="18"/>
      <c r="DC666" s="18"/>
      <c r="DD666" s="18"/>
      <c r="DE666" s="18"/>
      <c r="DF666" s="18"/>
    </row>
    <row r="667" spans="1:110">
      <c r="A667" s="168">
        <v>1</v>
      </c>
      <c r="B667" s="47" t="str">
        <f ca="1">Lineups!$H$187</f>
        <v/>
      </c>
      <c r="C667" s="49"/>
      <c r="D667" s="49"/>
      <c r="E667" s="49"/>
      <c r="F667" s="49"/>
      <c r="G667" s="49"/>
      <c r="H667" s="50"/>
      <c r="I667" s="50"/>
      <c r="J667" s="50"/>
      <c r="K667" s="50"/>
      <c r="L667" s="50"/>
      <c r="M667" s="67" t="str">
        <f ca="1">IF($B667="","",SUM(_xlfn.XLOOKUP(C667,Lists!$P$2:$P$19,Lists!$R$2:$R$19,0),_xlfn.XLOOKUP(E667,Lists!$P$2:$P$19,Lists!$R$2:$R$19,0),_xlfn.XLOOKUP(G667,Lists!$P$2:$P$19,Lists!$R$2:$R$19,0),_xlfn.XLOOKUP(I667,Lists!$P$2:$P$19,Lists!$R$2:$R$19,0),_xlfn.XLOOKUP(K667,Lists!$P$2:$P$19,Lists!$R$2:$R$19,0)))</f>
        <v/>
      </c>
      <c r="N667" s="68" t="str">
        <f ca="1">IF($B667="","",SUM(_xlfn.XLOOKUP(D667,Lists!$AC$2:$AC$9,Lists!$AE$2:$AE$9,0),_xlfn.XLOOKUP(F667,Lists!$AC$2:$AC$9,Lists!$AE$2:$AE$9,0),_xlfn.XLOOKUP(H667,Lists!$AC$2:$AC$9,Lists!$AE$2:$AE$9,0),_xlfn.XLOOKUP(J667,Lists!$AC$2:$AC$9,Lists!$AE$2:$AE$9,0),_xlfn.XLOOKUP(L667,Lists!$AC$2:$AC$9,Lists!$AE$2:$AE$9,0)))</f>
        <v/>
      </c>
      <c r="O667" s="68" t="str">
        <f ca="1">IF($B667="","",SUM(_xlfn.XLOOKUP(C667,Lists!$P$2:$P$19,Lists!$S$2:$S$19,0),_xlfn.XLOOKUP(E667,Lists!$P$2:$P$19,Lists!$S$2:$S$19,0),_xlfn.XLOOKUP(G667,Lists!$P$2:$P$19,Lists!$S$2:$S$19,0),_xlfn.XLOOKUP(I667,Lists!$P$2:$P$19,Lists!$S$2:$S$19,0),_xlfn.XLOOKUP(K667,Lists!$P$2:$P$19,Lists!$S$2:$S$19,0)))</f>
        <v/>
      </c>
      <c r="P667" s="68" t="str">
        <f ca="1">IF($B667="","",SUM(_xlfn.XLOOKUP(C667,Lists!$P$2:$P$19,Lists!$T$2:$T$19,0),_xlfn.XLOOKUP(E667,Lists!$P$2:$P$19,Lists!$T$2:$T$19,0),_xlfn.XLOOKUP(G667,Lists!$P$2:$P$19,Lists!$T$2:$T$19,0),_xlfn.XLOOKUP(I667,Lists!$P$2:$P$19,Lists!$T$2:$T$19,0),_xlfn.XLOOKUP(K667,Lists!$P$2:$P$19,Lists!$T$2:$T$19,0)))</f>
        <v/>
      </c>
      <c r="Q667" s="68" t="str">
        <f ca="1">IF($B667="","",SUM(_xlfn.XLOOKUP(C667,Lists!$P$2:$P$19,Lists!$U$2:$U$19,0),_xlfn.XLOOKUP(E667,Lists!$P$2:$P$19,Lists!$U$2:$U$19,0),_xlfn.XLOOKUP(G667,Lists!$P$2:$P$19,Lists!$U$2:$U$19,0),_xlfn.XLOOKUP(I667,Lists!$P$2:$P$19,Lists!$U$2:$U$19,0),_xlfn.XLOOKUP(K667,Lists!$P$2:$P$19,Lists!$U$2:$U$19,0)))</f>
        <v/>
      </c>
      <c r="R667" s="68" t="str">
        <f ca="1">IF($B667="","",SUM(_xlfn.XLOOKUP(C667,Lists!$P$2:$P$19,Lists!$V$2:$V$19,0),_xlfn.XLOOKUP(E667,Lists!$P$2:$P$19,Lists!$V$2:$V$19,0),_xlfn.XLOOKUP(G667,Lists!$P$2:$P$19,Lists!$V$2:$V$19,0),_xlfn.XLOOKUP(I667,Lists!$P$2:$P$19,Lists!$V$2:$V$19,0),_xlfn.XLOOKUP(K667,Lists!$P$2:$P$19,Lists!$V$2:$V$19,0)))</f>
        <v/>
      </c>
      <c r="S667" s="68" t="str">
        <f ca="1">IF($B667="","",SUM(_xlfn.XLOOKUP(D667,Lists!$AC$2:$AC$9,Lists!$AD$2:$AD$9,0),_xlfn.XLOOKUP(F667,Lists!$AC$2:$AC$9,Lists!$AD$2:$AD$9,0),_xlfn.XLOOKUP(H667,Lists!$AC$2:$AC$9,Lists!$AD$2:$AD$9,0),_xlfn.XLOOKUP(J667,Lists!$AC$2:$AC$9,Lists!$AD$2:$AD$9,0),_xlfn.XLOOKUP(L667,Lists!$AC$2:$AC$9,Lists!$AD$2:$AD$9,0)))</f>
        <v/>
      </c>
      <c r="T667" s="68" t="str">
        <f ca="1">IF($B667="","",SUM(_xlfn.XLOOKUP(C667,Lists!$P$2:$P$19,Lists!$W$2:$W$19,0),_xlfn.XLOOKUP(E667,Lists!$P$2:$P$19,Lists!$W$2:$W$19,0),_xlfn.XLOOKUP(G667,Lists!$P$2:$P$19,Lists!$W$2:$W$19,0),_xlfn.XLOOKUP(I667,Lists!$P$2:$P$19,Lists!$W$2:$W$19,0),_xlfn.XLOOKUP(K667,Lists!$P$2:$P$19,Lists!$W$2:$W$19,0)))</f>
        <v/>
      </c>
      <c r="U667" s="68" t="str">
        <f ca="1">IF($B667="","",SUM(_xlfn.XLOOKUP(C667,Lists!$P$2:$P$19,Lists!$X$2:$X$19,0),_xlfn.XLOOKUP(E667,Lists!$P$2:$P$19,Lists!$X$2:$X$19,0),_xlfn.XLOOKUP(G667,Lists!$P$2:$P$19,Lists!$X$2:$X$19,0),_xlfn.XLOOKUP(I667,Lists!$P$2:$P$19,Lists!$X$2:$X$19,0),_xlfn.XLOOKUP(K667,Lists!$P$2:$P$19,Lists!$X$2:$X$19,0)))</f>
        <v/>
      </c>
      <c r="V667" s="68" t="str">
        <f ca="1">IF($B667="","",SUM(_xlfn.XLOOKUP(C667,Lists!$P$2:$P$19,Lists!$Y$2:$Y$19,0),_xlfn.XLOOKUP(E667,Lists!$P$2:$P$19,Lists!$Y$2:$Y$19,0),_xlfn.XLOOKUP(G667,Lists!$P$2:$P$19,Lists!$Y$2:$Y$19,0),_xlfn.XLOOKUP(I667,Lists!$P$2:$P$19,Lists!$Y$2:$Y$19,0),_xlfn.XLOOKUP(K667,Lists!$P$2:$P$19,Lists!$Y$2:$Y$19,0)))</f>
        <v/>
      </c>
      <c r="W667" s="68" t="str">
        <f ca="1">IF($B667="","",SUM(_xlfn.XLOOKUP(C667,Lists!$P$2:$P$19,Lists!$Z$2:$Z$19,0),_xlfn.XLOOKUP(E667,Lists!$P$2:$P$19,Lists!$Z$2:$Z$19,0),_xlfn.XLOOKUP(G667,Lists!$P$2:$P$19,Lists!$Z$2:$Z$19,0),_xlfn.XLOOKUP(I667,Lists!$P$2:$P$19,Lists!$Z$2:$Z$19,0),_xlfn.XLOOKUP(K667,Lists!$P$2:$P$19,Lists!$Z$2:$Z$19,0)))</f>
        <v/>
      </c>
      <c r="X667" s="69" t="str">
        <f ca="1">IF($B667="","",SUM(_xlfn.XLOOKUP(C667,Lists!$P$2:$P$19,Lists!$AA$2:$AA$19,0),_xlfn.XLOOKUP(E667,Lists!$P$2:$P$19,Lists!$AA$2:$AA$19,0),_xlfn.XLOOKUP(G667,Lists!$P$2:$P$19,Lists!$AA$2:$AA$19,0),_xlfn.XLOOKUP(I667,Lists!$P$2:$P$19,Lists!$AA$2:$AA$19,0),_xlfn.XLOOKUP(K667,Lists!$P$2:$P$19,Lists!$AA$2:$AA$19,0)))</f>
        <v/>
      </c>
      <c r="Y667" s="49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/>
      <c r="CP667" s="18"/>
      <c r="CQ667" s="18"/>
      <c r="CR667" s="18"/>
      <c r="CS667" s="18"/>
      <c r="CT667" s="18"/>
      <c r="CU667" s="18"/>
      <c r="CV667" s="18"/>
      <c r="CW667" s="18"/>
      <c r="CX667" s="18"/>
      <c r="CY667" s="18"/>
      <c r="CZ667" s="18"/>
      <c r="DA667" s="18"/>
      <c r="DB667" s="18"/>
      <c r="DC667" s="18"/>
      <c r="DD667" s="18"/>
      <c r="DE667" s="18"/>
      <c r="DF667" s="18"/>
    </row>
    <row r="668" spans="1:110">
      <c r="A668" s="168">
        <v>2</v>
      </c>
      <c r="B668" s="47" t="str">
        <f ca="1">Lineups!$H$188</f>
        <v/>
      </c>
      <c r="C668" s="49"/>
      <c r="D668" s="49"/>
      <c r="E668" s="49"/>
      <c r="F668" s="49"/>
      <c r="G668" s="49"/>
      <c r="H668" s="50"/>
      <c r="I668" s="50"/>
      <c r="J668" s="50"/>
      <c r="K668" s="50"/>
      <c r="L668" s="50"/>
      <c r="M668" s="67" t="str">
        <f ca="1">IF($B668="","",SUM(_xlfn.XLOOKUP(C668,Lists!$P$2:$P$19,Lists!$R$2:$R$19,0),_xlfn.XLOOKUP(E668,Lists!$P$2:$P$19,Lists!$R$2:$R$19,0),_xlfn.XLOOKUP(G668,Lists!$P$2:$P$19,Lists!$R$2:$R$19,0),_xlfn.XLOOKUP(I668,Lists!$P$2:$P$19,Lists!$R$2:$R$19,0),_xlfn.XLOOKUP(K668,Lists!$P$2:$P$19,Lists!$R$2:$R$19,0)))</f>
        <v/>
      </c>
      <c r="N668" s="68" t="str">
        <f ca="1">IF($B668="","",SUM(_xlfn.XLOOKUP(D668,Lists!$AC$2:$AC$9,Lists!$AE$2:$AE$9,0),_xlfn.XLOOKUP(F668,Lists!$AC$2:$AC$9,Lists!$AE$2:$AE$9,0),_xlfn.XLOOKUP(H668,Lists!$AC$2:$AC$9,Lists!$AE$2:$AE$9,0),_xlfn.XLOOKUP(J668,Lists!$AC$2:$AC$9,Lists!$AE$2:$AE$9,0),_xlfn.XLOOKUP(L668,Lists!$AC$2:$AC$9,Lists!$AE$2:$AE$9,0)))</f>
        <v/>
      </c>
      <c r="O668" s="68" t="str">
        <f ca="1">IF($B668="","",SUM(_xlfn.XLOOKUP(C668,Lists!$P$2:$P$19,Lists!$S$2:$S$19,0),_xlfn.XLOOKUP(E668,Lists!$P$2:$P$19,Lists!$S$2:$S$19,0),_xlfn.XLOOKUP(G668,Lists!$P$2:$P$19,Lists!$S$2:$S$19,0),_xlfn.XLOOKUP(I668,Lists!$P$2:$P$19,Lists!$S$2:$S$19,0),_xlfn.XLOOKUP(K668,Lists!$P$2:$P$19,Lists!$S$2:$S$19,0)))</f>
        <v/>
      </c>
      <c r="P668" s="68" t="str">
        <f ca="1">IF($B668="","",SUM(_xlfn.XLOOKUP(C668,Lists!$P$2:$P$19,Lists!$T$2:$T$19,0),_xlfn.XLOOKUP(E668,Lists!$P$2:$P$19,Lists!$T$2:$T$19,0),_xlfn.XLOOKUP(G668,Lists!$P$2:$P$19,Lists!$T$2:$T$19,0),_xlfn.XLOOKUP(I668,Lists!$P$2:$P$19,Lists!$T$2:$T$19,0),_xlfn.XLOOKUP(K668,Lists!$P$2:$P$19,Lists!$T$2:$T$19,0)))</f>
        <v/>
      </c>
      <c r="Q668" s="68" t="str">
        <f ca="1">IF($B668="","",SUM(_xlfn.XLOOKUP(C668,Lists!$P$2:$P$19,Lists!$U$2:$U$19,0),_xlfn.XLOOKUP(E668,Lists!$P$2:$P$19,Lists!$U$2:$U$19,0),_xlfn.XLOOKUP(G668,Lists!$P$2:$P$19,Lists!$U$2:$U$19,0),_xlfn.XLOOKUP(I668,Lists!$P$2:$P$19,Lists!$U$2:$U$19,0),_xlfn.XLOOKUP(K668,Lists!$P$2:$P$19,Lists!$U$2:$U$19,0)))</f>
        <v/>
      </c>
      <c r="R668" s="68" t="str">
        <f ca="1">IF($B668="","",SUM(_xlfn.XLOOKUP(C668,Lists!$P$2:$P$19,Lists!$V$2:$V$19,0),_xlfn.XLOOKUP(E668,Lists!$P$2:$P$19,Lists!$V$2:$V$19,0),_xlfn.XLOOKUP(G668,Lists!$P$2:$P$19,Lists!$V$2:$V$19,0),_xlfn.XLOOKUP(I668,Lists!$P$2:$P$19,Lists!$V$2:$V$19,0),_xlfn.XLOOKUP(K668,Lists!$P$2:$P$19,Lists!$V$2:$V$19,0)))</f>
        <v/>
      </c>
      <c r="S668" s="68" t="str">
        <f ca="1">IF($B668="","",SUM(_xlfn.XLOOKUP(D668,Lists!$AC$2:$AC$9,Lists!$AD$2:$AD$9,0),_xlfn.XLOOKUP(F668,Lists!$AC$2:$AC$9,Lists!$AD$2:$AD$9,0),_xlfn.XLOOKUP(H668,Lists!$AC$2:$AC$9,Lists!$AD$2:$AD$9,0),_xlfn.XLOOKUP(J668,Lists!$AC$2:$AC$9,Lists!$AD$2:$AD$9,0),_xlfn.XLOOKUP(L668,Lists!$AC$2:$AC$9,Lists!$AD$2:$AD$9,0)))</f>
        <v/>
      </c>
      <c r="T668" s="68" t="str">
        <f ca="1">IF($B668="","",SUM(_xlfn.XLOOKUP(C668,Lists!$P$2:$P$19,Lists!$W$2:$W$19,0),_xlfn.XLOOKUP(E668,Lists!$P$2:$P$19,Lists!$W$2:$W$19,0),_xlfn.XLOOKUP(G668,Lists!$P$2:$P$19,Lists!$W$2:$W$19,0),_xlfn.XLOOKUP(I668,Lists!$P$2:$P$19,Lists!$W$2:$W$19,0),_xlfn.XLOOKUP(K668,Lists!$P$2:$P$19,Lists!$W$2:$W$19,0)))</f>
        <v/>
      </c>
      <c r="U668" s="68" t="str">
        <f ca="1">IF($B668="","",SUM(_xlfn.XLOOKUP(C668,Lists!$P$2:$P$19,Lists!$X$2:$X$19,0),_xlfn.XLOOKUP(E668,Lists!$P$2:$P$19,Lists!$X$2:$X$19,0),_xlfn.XLOOKUP(G668,Lists!$P$2:$P$19,Lists!$X$2:$X$19,0),_xlfn.XLOOKUP(I668,Lists!$P$2:$P$19,Lists!$X$2:$X$19,0),_xlfn.XLOOKUP(K668,Lists!$P$2:$P$19,Lists!$X$2:$X$19,0)))</f>
        <v/>
      </c>
      <c r="V668" s="68" t="str">
        <f ca="1">IF($B668="","",SUM(_xlfn.XLOOKUP(C668,Lists!$P$2:$P$19,Lists!$Y$2:$Y$19,0),_xlfn.XLOOKUP(E668,Lists!$P$2:$P$19,Lists!$Y$2:$Y$19,0),_xlfn.XLOOKUP(G668,Lists!$P$2:$P$19,Lists!$Y$2:$Y$19,0),_xlfn.XLOOKUP(I668,Lists!$P$2:$P$19,Lists!$Y$2:$Y$19,0),_xlfn.XLOOKUP(K668,Lists!$P$2:$P$19,Lists!$Y$2:$Y$19,0)))</f>
        <v/>
      </c>
      <c r="W668" s="68" t="str">
        <f ca="1">IF($B668="","",SUM(_xlfn.XLOOKUP(C668,Lists!$P$2:$P$19,Lists!$Z$2:$Z$19,0),_xlfn.XLOOKUP(E668,Lists!$P$2:$P$19,Lists!$Z$2:$Z$19,0),_xlfn.XLOOKUP(G668,Lists!$P$2:$P$19,Lists!$Z$2:$Z$19,0),_xlfn.XLOOKUP(I668,Lists!$P$2:$P$19,Lists!$Z$2:$Z$19,0),_xlfn.XLOOKUP(K668,Lists!$P$2:$P$19,Lists!$Z$2:$Z$19,0)))</f>
        <v/>
      </c>
      <c r="X668" s="69" t="str">
        <f ca="1">IF($B668="","",SUM(_xlfn.XLOOKUP(C668,Lists!$P$2:$P$19,Lists!$AA$2:$AA$19,0),_xlfn.XLOOKUP(E668,Lists!$P$2:$P$19,Lists!$AA$2:$AA$19,0),_xlfn.XLOOKUP(G668,Lists!$P$2:$P$19,Lists!$AA$2:$AA$19,0),_xlfn.XLOOKUP(I668,Lists!$P$2:$P$19,Lists!$AA$2:$AA$19,0),_xlfn.XLOOKUP(K668,Lists!$P$2:$P$19,Lists!$AA$2:$AA$19,0)))</f>
        <v/>
      </c>
      <c r="Y668" s="49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  <c r="CI668" s="18"/>
      <c r="CJ668" s="18"/>
      <c r="CK668" s="18"/>
      <c r="CL668" s="18"/>
      <c r="CM668" s="18"/>
      <c r="CN668" s="18"/>
      <c r="CO668" s="18"/>
      <c r="CP668" s="18"/>
      <c r="CQ668" s="18"/>
      <c r="CR668" s="18"/>
      <c r="CS668" s="18"/>
      <c r="CT668" s="18"/>
      <c r="CU668" s="18"/>
      <c r="CV668" s="18"/>
      <c r="CW668" s="18"/>
      <c r="CX668" s="18"/>
      <c r="CY668" s="18"/>
      <c r="CZ668" s="18"/>
      <c r="DA668" s="18"/>
      <c r="DB668" s="18"/>
      <c r="DC668" s="18"/>
      <c r="DD668" s="18"/>
      <c r="DE668" s="18"/>
      <c r="DF668" s="18"/>
    </row>
    <row r="669" spans="1:110">
      <c r="A669" s="168">
        <v>3</v>
      </c>
      <c r="B669" s="47" t="str">
        <f ca="1">Lineups!$H$189</f>
        <v/>
      </c>
      <c r="C669" s="49"/>
      <c r="D669" s="49"/>
      <c r="E669" s="49"/>
      <c r="F669" s="49"/>
      <c r="G669" s="49"/>
      <c r="H669" s="50"/>
      <c r="I669" s="50"/>
      <c r="J669" s="50"/>
      <c r="K669" s="50"/>
      <c r="L669" s="50"/>
      <c r="M669" s="67" t="str">
        <f ca="1">IF($B669="","",SUM(_xlfn.XLOOKUP(C669,Lists!$P$2:$P$19,Lists!$R$2:$R$19,0),_xlfn.XLOOKUP(E669,Lists!$P$2:$P$19,Lists!$R$2:$R$19,0),_xlfn.XLOOKUP(G669,Lists!$P$2:$P$19,Lists!$R$2:$R$19,0),_xlfn.XLOOKUP(I669,Lists!$P$2:$P$19,Lists!$R$2:$R$19,0),_xlfn.XLOOKUP(K669,Lists!$P$2:$P$19,Lists!$R$2:$R$19,0)))</f>
        <v/>
      </c>
      <c r="N669" s="68" t="str">
        <f ca="1">IF($B669="","",SUM(_xlfn.XLOOKUP(D669,Lists!$AC$2:$AC$9,Lists!$AE$2:$AE$9,0),_xlfn.XLOOKUP(F669,Lists!$AC$2:$AC$9,Lists!$AE$2:$AE$9,0),_xlfn.XLOOKUP(H669,Lists!$AC$2:$AC$9,Lists!$AE$2:$AE$9,0),_xlfn.XLOOKUP(J669,Lists!$AC$2:$AC$9,Lists!$AE$2:$AE$9,0),_xlfn.XLOOKUP(L669,Lists!$AC$2:$AC$9,Lists!$AE$2:$AE$9,0)))</f>
        <v/>
      </c>
      <c r="O669" s="68" t="str">
        <f ca="1">IF($B669="","",SUM(_xlfn.XLOOKUP(C669,Lists!$P$2:$P$19,Lists!$S$2:$S$19,0),_xlfn.XLOOKUP(E669,Lists!$P$2:$P$19,Lists!$S$2:$S$19,0),_xlfn.XLOOKUP(G669,Lists!$P$2:$P$19,Lists!$S$2:$S$19,0),_xlfn.XLOOKUP(I669,Lists!$P$2:$P$19,Lists!$S$2:$S$19,0),_xlfn.XLOOKUP(K669,Lists!$P$2:$P$19,Lists!$S$2:$S$19,0)))</f>
        <v/>
      </c>
      <c r="P669" s="68" t="str">
        <f ca="1">IF($B669="","",SUM(_xlfn.XLOOKUP(C669,Lists!$P$2:$P$19,Lists!$T$2:$T$19,0),_xlfn.XLOOKUP(E669,Lists!$P$2:$P$19,Lists!$T$2:$T$19,0),_xlfn.XLOOKUP(G669,Lists!$P$2:$P$19,Lists!$T$2:$T$19,0),_xlfn.XLOOKUP(I669,Lists!$P$2:$P$19,Lists!$T$2:$T$19,0),_xlfn.XLOOKUP(K669,Lists!$P$2:$P$19,Lists!$T$2:$T$19,0)))</f>
        <v/>
      </c>
      <c r="Q669" s="68" t="str">
        <f ca="1">IF($B669="","",SUM(_xlfn.XLOOKUP(C669,Lists!$P$2:$P$19,Lists!$U$2:$U$19,0),_xlfn.XLOOKUP(E669,Lists!$P$2:$P$19,Lists!$U$2:$U$19,0),_xlfn.XLOOKUP(G669,Lists!$P$2:$P$19,Lists!$U$2:$U$19,0),_xlfn.XLOOKUP(I669,Lists!$P$2:$P$19,Lists!$U$2:$U$19,0),_xlfn.XLOOKUP(K669,Lists!$P$2:$P$19,Lists!$U$2:$U$19,0)))</f>
        <v/>
      </c>
      <c r="R669" s="68" t="str">
        <f ca="1">IF($B669="","",SUM(_xlfn.XLOOKUP(C669,Lists!$P$2:$P$19,Lists!$V$2:$V$19,0),_xlfn.XLOOKUP(E669,Lists!$P$2:$P$19,Lists!$V$2:$V$19,0),_xlfn.XLOOKUP(G669,Lists!$P$2:$P$19,Lists!$V$2:$V$19,0),_xlfn.XLOOKUP(I669,Lists!$P$2:$P$19,Lists!$V$2:$V$19,0),_xlfn.XLOOKUP(K669,Lists!$P$2:$P$19,Lists!$V$2:$V$19,0)))</f>
        <v/>
      </c>
      <c r="S669" s="68" t="str">
        <f ca="1">IF($B669="","",SUM(_xlfn.XLOOKUP(D669,Lists!$AC$2:$AC$9,Lists!$AD$2:$AD$9,0),_xlfn.XLOOKUP(F669,Lists!$AC$2:$AC$9,Lists!$AD$2:$AD$9,0),_xlfn.XLOOKUP(H669,Lists!$AC$2:$AC$9,Lists!$AD$2:$AD$9,0),_xlfn.XLOOKUP(J669,Lists!$AC$2:$AC$9,Lists!$AD$2:$AD$9,0),_xlfn.XLOOKUP(L669,Lists!$AC$2:$AC$9,Lists!$AD$2:$AD$9,0)))</f>
        <v/>
      </c>
      <c r="T669" s="68" t="str">
        <f ca="1">IF($B669="","",SUM(_xlfn.XLOOKUP(C669,Lists!$P$2:$P$19,Lists!$W$2:$W$19,0),_xlfn.XLOOKUP(E669,Lists!$P$2:$P$19,Lists!$W$2:$W$19,0),_xlfn.XLOOKUP(G669,Lists!$P$2:$P$19,Lists!$W$2:$W$19,0),_xlfn.XLOOKUP(I669,Lists!$P$2:$P$19,Lists!$W$2:$W$19,0),_xlfn.XLOOKUP(K669,Lists!$P$2:$P$19,Lists!$W$2:$W$19,0)))</f>
        <v/>
      </c>
      <c r="U669" s="68" t="str">
        <f ca="1">IF($B669="","",SUM(_xlfn.XLOOKUP(C669,Lists!$P$2:$P$19,Lists!$X$2:$X$19,0),_xlfn.XLOOKUP(E669,Lists!$P$2:$P$19,Lists!$X$2:$X$19,0),_xlfn.XLOOKUP(G669,Lists!$P$2:$P$19,Lists!$X$2:$X$19,0),_xlfn.XLOOKUP(I669,Lists!$P$2:$P$19,Lists!$X$2:$X$19,0),_xlfn.XLOOKUP(K669,Lists!$P$2:$P$19,Lists!$X$2:$X$19,0)))</f>
        <v/>
      </c>
      <c r="V669" s="68" t="str">
        <f ca="1">IF($B669="","",SUM(_xlfn.XLOOKUP(C669,Lists!$P$2:$P$19,Lists!$Y$2:$Y$19,0),_xlfn.XLOOKUP(E669,Lists!$P$2:$P$19,Lists!$Y$2:$Y$19,0),_xlfn.XLOOKUP(G669,Lists!$P$2:$P$19,Lists!$Y$2:$Y$19,0),_xlfn.XLOOKUP(I669,Lists!$P$2:$P$19,Lists!$Y$2:$Y$19,0),_xlfn.XLOOKUP(K669,Lists!$P$2:$P$19,Lists!$Y$2:$Y$19,0)))</f>
        <v/>
      </c>
      <c r="W669" s="68" t="str">
        <f ca="1">IF($B669="","",SUM(_xlfn.XLOOKUP(C669,Lists!$P$2:$P$19,Lists!$Z$2:$Z$19,0),_xlfn.XLOOKUP(E669,Lists!$P$2:$P$19,Lists!$Z$2:$Z$19,0),_xlfn.XLOOKUP(G669,Lists!$P$2:$P$19,Lists!$Z$2:$Z$19,0),_xlfn.XLOOKUP(I669,Lists!$P$2:$P$19,Lists!$Z$2:$Z$19,0),_xlfn.XLOOKUP(K669,Lists!$P$2:$P$19,Lists!$Z$2:$Z$19,0)))</f>
        <v/>
      </c>
      <c r="X669" s="69" t="str">
        <f ca="1">IF($B669="","",SUM(_xlfn.XLOOKUP(C669,Lists!$P$2:$P$19,Lists!$AA$2:$AA$19,0),_xlfn.XLOOKUP(E669,Lists!$P$2:$P$19,Lists!$AA$2:$AA$19,0),_xlfn.XLOOKUP(G669,Lists!$P$2:$P$19,Lists!$AA$2:$AA$19,0),_xlfn.XLOOKUP(I669,Lists!$P$2:$P$19,Lists!$AA$2:$AA$19,0),_xlfn.XLOOKUP(K669,Lists!$P$2:$P$19,Lists!$AA$2:$AA$19,0)))</f>
        <v/>
      </c>
      <c r="Y669" s="49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  <c r="CI669" s="18"/>
      <c r="CJ669" s="18"/>
      <c r="CK669" s="18"/>
      <c r="CL669" s="18"/>
      <c r="CM669" s="18"/>
      <c r="CN669" s="18"/>
      <c r="CO669" s="18"/>
      <c r="CP669" s="18"/>
      <c r="CQ669" s="18"/>
      <c r="CR669" s="18"/>
      <c r="CS669" s="18"/>
      <c r="CT669" s="18"/>
      <c r="CU669" s="18"/>
      <c r="CV669" s="18"/>
      <c r="CW669" s="18"/>
      <c r="CX669" s="18"/>
      <c r="CY669" s="18"/>
      <c r="CZ669" s="18"/>
      <c r="DA669" s="18"/>
      <c r="DB669" s="18"/>
      <c r="DC669" s="18"/>
      <c r="DD669" s="18"/>
      <c r="DE669" s="18"/>
      <c r="DF669" s="18"/>
    </row>
    <row r="670" spans="1:110">
      <c r="A670" s="168">
        <v>4</v>
      </c>
      <c r="B670" s="47" t="str">
        <f ca="1">Lineups!$H$190</f>
        <v/>
      </c>
      <c r="C670" s="49"/>
      <c r="D670" s="49"/>
      <c r="E670" s="49"/>
      <c r="F670" s="49"/>
      <c r="G670" s="49"/>
      <c r="H670" s="50"/>
      <c r="I670" s="50"/>
      <c r="J670" s="50"/>
      <c r="K670" s="50"/>
      <c r="L670" s="50"/>
      <c r="M670" s="67" t="str">
        <f ca="1">IF($B670="","",SUM(_xlfn.XLOOKUP(C670,Lists!$P$2:$P$19,Lists!$R$2:$R$19,0),_xlfn.XLOOKUP(E670,Lists!$P$2:$P$19,Lists!$R$2:$R$19,0),_xlfn.XLOOKUP(G670,Lists!$P$2:$P$19,Lists!$R$2:$R$19,0),_xlfn.XLOOKUP(I670,Lists!$P$2:$P$19,Lists!$R$2:$R$19,0),_xlfn.XLOOKUP(K670,Lists!$P$2:$P$19,Lists!$R$2:$R$19,0)))</f>
        <v/>
      </c>
      <c r="N670" s="68" t="str">
        <f ca="1">IF($B670="","",SUM(_xlfn.XLOOKUP(D670,Lists!$AC$2:$AC$9,Lists!$AE$2:$AE$9,0),_xlfn.XLOOKUP(F670,Lists!$AC$2:$AC$9,Lists!$AE$2:$AE$9,0),_xlfn.XLOOKUP(H670,Lists!$AC$2:$AC$9,Lists!$AE$2:$AE$9,0),_xlfn.XLOOKUP(J670,Lists!$AC$2:$AC$9,Lists!$AE$2:$AE$9,0),_xlfn.XLOOKUP(L670,Lists!$AC$2:$AC$9,Lists!$AE$2:$AE$9,0)))</f>
        <v/>
      </c>
      <c r="O670" s="68" t="str">
        <f ca="1">IF($B670="","",SUM(_xlfn.XLOOKUP(C670,Lists!$P$2:$P$19,Lists!$S$2:$S$19,0),_xlfn.XLOOKUP(E670,Lists!$P$2:$P$19,Lists!$S$2:$S$19,0),_xlfn.XLOOKUP(G670,Lists!$P$2:$P$19,Lists!$S$2:$S$19,0),_xlfn.XLOOKUP(I670,Lists!$P$2:$P$19,Lists!$S$2:$S$19,0),_xlfn.XLOOKUP(K670,Lists!$P$2:$P$19,Lists!$S$2:$S$19,0)))</f>
        <v/>
      </c>
      <c r="P670" s="68" t="str">
        <f ca="1">IF($B670="","",SUM(_xlfn.XLOOKUP(C670,Lists!$P$2:$P$19,Lists!$T$2:$T$19,0),_xlfn.XLOOKUP(E670,Lists!$P$2:$P$19,Lists!$T$2:$T$19,0),_xlfn.XLOOKUP(G670,Lists!$P$2:$P$19,Lists!$T$2:$T$19,0),_xlfn.XLOOKUP(I670,Lists!$P$2:$P$19,Lists!$T$2:$T$19,0),_xlfn.XLOOKUP(K670,Lists!$P$2:$P$19,Lists!$T$2:$T$19,0)))</f>
        <v/>
      </c>
      <c r="Q670" s="68" t="str">
        <f ca="1">IF($B670="","",SUM(_xlfn.XLOOKUP(C670,Lists!$P$2:$P$19,Lists!$U$2:$U$19,0),_xlfn.XLOOKUP(E670,Lists!$P$2:$P$19,Lists!$U$2:$U$19,0),_xlfn.XLOOKUP(G670,Lists!$P$2:$P$19,Lists!$U$2:$U$19,0),_xlfn.XLOOKUP(I670,Lists!$P$2:$P$19,Lists!$U$2:$U$19,0),_xlfn.XLOOKUP(K670,Lists!$P$2:$P$19,Lists!$U$2:$U$19,0)))</f>
        <v/>
      </c>
      <c r="R670" s="68" t="str">
        <f ca="1">IF($B670="","",SUM(_xlfn.XLOOKUP(C670,Lists!$P$2:$P$19,Lists!$V$2:$V$19,0),_xlfn.XLOOKUP(E670,Lists!$P$2:$P$19,Lists!$V$2:$V$19,0),_xlfn.XLOOKUP(G670,Lists!$P$2:$P$19,Lists!$V$2:$V$19,0),_xlfn.XLOOKUP(I670,Lists!$P$2:$P$19,Lists!$V$2:$V$19,0),_xlfn.XLOOKUP(K670,Lists!$P$2:$P$19,Lists!$V$2:$V$19,0)))</f>
        <v/>
      </c>
      <c r="S670" s="68" t="str">
        <f ca="1">IF($B670="","",SUM(_xlfn.XLOOKUP(D670,Lists!$AC$2:$AC$9,Lists!$AD$2:$AD$9,0),_xlfn.XLOOKUP(F670,Lists!$AC$2:$AC$9,Lists!$AD$2:$AD$9,0),_xlfn.XLOOKUP(H670,Lists!$AC$2:$AC$9,Lists!$AD$2:$AD$9,0),_xlfn.XLOOKUP(J670,Lists!$AC$2:$AC$9,Lists!$AD$2:$AD$9,0),_xlfn.XLOOKUP(L670,Lists!$AC$2:$AC$9,Lists!$AD$2:$AD$9,0)))</f>
        <v/>
      </c>
      <c r="T670" s="68" t="str">
        <f ca="1">IF($B670="","",SUM(_xlfn.XLOOKUP(C670,Lists!$P$2:$P$19,Lists!$W$2:$W$19,0),_xlfn.XLOOKUP(E670,Lists!$P$2:$P$19,Lists!$W$2:$W$19,0),_xlfn.XLOOKUP(G670,Lists!$P$2:$P$19,Lists!$W$2:$W$19,0),_xlfn.XLOOKUP(I670,Lists!$P$2:$P$19,Lists!$W$2:$W$19,0),_xlfn.XLOOKUP(K670,Lists!$P$2:$P$19,Lists!$W$2:$W$19,0)))</f>
        <v/>
      </c>
      <c r="U670" s="68" t="str">
        <f ca="1">IF($B670="","",SUM(_xlfn.XLOOKUP(C670,Lists!$P$2:$P$19,Lists!$X$2:$X$19,0),_xlfn.XLOOKUP(E670,Lists!$P$2:$P$19,Lists!$X$2:$X$19,0),_xlfn.XLOOKUP(G670,Lists!$P$2:$P$19,Lists!$X$2:$X$19,0),_xlfn.XLOOKUP(I670,Lists!$P$2:$P$19,Lists!$X$2:$X$19,0),_xlfn.XLOOKUP(K670,Lists!$P$2:$P$19,Lists!$X$2:$X$19,0)))</f>
        <v/>
      </c>
      <c r="V670" s="68" t="str">
        <f ca="1">IF($B670="","",SUM(_xlfn.XLOOKUP(C670,Lists!$P$2:$P$19,Lists!$Y$2:$Y$19,0),_xlfn.XLOOKUP(E670,Lists!$P$2:$P$19,Lists!$Y$2:$Y$19,0),_xlfn.XLOOKUP(G670,Lists!$P$2:$P$19,Lists!$Y$2:$Y$19,0),_xlfn.XLOOKUP(I670,Lists!$P$2:$P$19,Lists!$Y$2:$Y$19,0),_xlfn.XLOOKUP(K670,Lists!$P$2:$P$19,Lists!$Y$2:$Y$19,0)))</f>
        <v/>
      </c>
      <c r="W670" s="68" t="str">
        <f ca="1">IF($B670="","",SUM(_xlfn.XLOOKUP(C670,Lists!$P$2:$P$19,Lists!$Z$2:$Z$19,0),_xlfn.XLOOKUP(E670,Lists!$P$2:$P$19,Lists!$Z$2:$Z$19,0),_xlfn.XLOOKUP(G670,Lists!$P$2:$P$19,Lists!$Z$2:$Z$19,0),_xlfn.XLOOKUP(I670,Lists!$P$2:$P$19,Lists!$Z$2:$Z$19,0),_xlfn.XLOOKUP(K670,Lists!$P$2:$P$19,Lists!$Z$2:$Z$19,0)))</f>
        <v/>
      </c>
      <c r="X670" s="69" t="str">
        <f ca="1">IF($B670="","",SUM(_xlfn.XLOOKUP(C670,Lists!$P$2:$P$19,Lists!$AA$2:$AA$19,0),_xlfn.XLOOKUP(E670,Lists!$P$2:$P$19,Lists!$AA$2:$AA$19,0),_xlfn.XLOOKUP(G670,Lists!$P$2:$P$19,Lists!$AA$2:$AA$19,0),_xlfn.XLOOKUP(I670,Lists!$P$2:$P$19,Lists!$AA$2:$AA$19,0),_xlfn.XLOOKUP(K670,Lists!$P$2:$P$19,Lists!$AA$2:$AA$19,0)))</f>
        <v/>
      </c>
      <c r="Y670" s="49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  <c r="CI670" s="18"/>
      <c r="CJ670" s="18"/>
      <c r="CK670" s="18"/>
      <c r="CL670" s="18"/>
      <c r="CM670" s="18"/>
      <c r="CN670" s="18"/>
      <c r="CO670" s="18"/>
      <c r="CP670" s="18"/>
      <c r="CQ670" s="18"/>
      <c r="CR670" s="18"/>
      <c r="CS670" s="18"/>
      <c r="CT670" s="18"/>
      <c r="CU670" s="18"/>
      <c r="CV670" s="18"/>
      <c r="CW670" s="18"/>
      <c r="CX670" s="18"/>
      <c r="CY670" s="18"/>
      <c r="CZ670" s="18"/>
      <c r="DA670" s="18"/>
      <c r="DB670" s="18"/>
      <c r="DC670" s="18"/>
      <c r="DD670" s="18"/>
      <c r="DE670" s="18"/>
      <c r="DF670" s="18"/>
    </row>
    <row r="671" spans="1:110">
      <c r="A671" s="168">
        <v>5</v>
      </c>
      <c r="B671" s="47" t="str">
        <f ca="1">Lineups!$H$191</f>
        <v/>
      </c>
      <c r="C671" s="49"/>
      <c r="D671" s="49"/>
      <c r="E671" s="49"/>
      <c r="F671" s="49"/>
      <c r="G671" s="49"/>
      <c r="H671" s="50"/>
      <c r="I671" s="50"/>
      <c r="J671" s="50"/>
      <c r="K671" s="50"/>
      <c r="L671" s="50"/>
      <c r="M671" s="67" t="str">
        <f ca="1">IF($B671="","",SUM(_xlfn.XLOOKUP(C671,Lists!$P$2:$P$19,Lists!$R$2:$R$19,0),_xlfn.XLOOKUP(E671,Lists!$P$2:$P$19,Lists!$R$2:$R$19,0),_xlfn.XLOOKUP(G671,Lists!$P$2:$P$19,Lists!$R$2:$R$19,0),_xlfn.XLOOKUP(I671,Lists!$P$2:$P$19,Lists!$R$2:$R$19,0),_xlfn.XLOOKUP(K671,Lists!$P$2:$P$19,Lists!$R$2:$R$19,0)))</f>
        <v/>
      </c>
      <c r="N671" s="68" t="str">
        <f ca="1">IF($B671="","",SUM(_xlfn.XLOOKUP(D671,Lists!$AC$2:$AC$9,Lists!$AE$2:$AE$9,0),_xlfn.XLOOKUP(F671,Lists!$AC$2:$AC$9,Lists!$AE$2:$AE$9,0),_xlfn.XLOOKUP(H671,Lists!$AC$2:$AC$9,Lists!$AE$2:$AE$9,0),_xlfn.XLOOKUP(J671,Lists!$AC$2:$AC$9,Lists!$AE$2:$AE$9,0),_xlfn.XLOOKUP(L671,Lists!$AC$2:$AC$9,Lists!$AE$2:$AE$9,0)))</f>
        <v/>
      </c>
      <c r="O671" s="68" t="str">
        <f ca="1">IF($B671="","",SUM(_xlfn.XLOOKUP(C671,Lists!$P$2:$P$19,Lists!$S$2:$S$19,0),_xlfn.XLOOKUP(E671,Lists!$P$2:$P$19,Lists!$S$2:$S$19,0),_xlfn.XLOOKUP(G671,Lists!$P$2:$P$19,Lists!$S$2:$S$19,0),_xlfn.XLOOKUP(I671,Lists!$P$2:$P$19,Lists!$S$2:$S$19,0),_xlfn.XLOOKUP(K671,Lists!$P$2:$P$19,Lists!$S$2:$S$19,0)))</f>
        <v/>
      </c>
      <c r="P671" s="68" t="str">
        <f ca="1">IF($B671="","",SUM(_xlfn.XLOOKUP(C671,Lists!$P$2:$P$19,Lists!$T$2:$T$19,0),_xlfn.XLOOKUP(E671,Lists!$P$2:$P$19,Lists!$T$2:$T$19,0),_xlfn.XLOOKUP(G671,Lists!$P$2:$P$19,Lists!$T$2:$T$19,0),_xlfn.XLOOKUP(I671,Lists!$P$2:$P$19,Lists!$T$2:$T$19,0),_xlfn.XLOOKUP(K671,Lists!$P$2:$P$19,Lists!$T$2:$T$19,0)))</f>
        <v/>
      </c>
      <c r="Q671" s="68" t="str">
        <f ca="1">IF($B671="","",SUM(_xlfn.XLOOKUP(C671,Lists!$P$2:$P$19,Lists!$U$2:$U$19,0),_xlfn.XLOOKUP(E671,Lists!$P$2:$P$19,Lists!$U$2:$U$19,0),_xlfn.XLOOKUP(G671,Lists!$P$2:$P$19,Lists!$U$2:$U$19,0),_xlfn.XLOOKUP(I671,Lists!$P$2:$P$19,Lists!$U$2:$U$19,0),_xlfn.XLOOKUP(K671,Lists!$P$2:$P$19,Lists!$U$2:$U$19,0)))</f>
        <v/>
      </c>
      <c r="R671" s="68" t="str">
        <f ca="1">IF($B671="","",SUM(_xlfn.XLOOKUP(C671,Lists!$P$2:$P$19,Lists!$V$2:$V$19,0),_xlfn.XLOOKUP(E671,Lists!$P$2:$P$19,Lists!$V$2:$V$19,0),_xlfn.XLOOKUP(G671,Lists!$P$2:$P$19,Lists!$V$2:$V$19,0),_xlfn.XLOOKUP(I671,Lists!$P$2:$P$19,Lists!$V$2:$V$19,0),_xlfn.XLOOKUP(K671,Lists!$P$2:$P$19,Lists!$V$2:$V$19,0)))</f>
        <v/>
      </c>
      <c r="S671" s="68" t="str">
        <f ca="1">IF($B671="","",SUM(_xlfn.XLOOKUP(D671,Lists!$AC$2:$AC$9,Lists!$AD$2:$AD$9,0),_xlfn.XLOOKUP(F671,Lists!$AC$2:$AC$9,Lists!$AD$2:$AD$9,0),_xlfn.XLOOKUP(H671,Lists!$AC$2:$AC$9,Lists!$AD$2:$AD$9,0),_xlfn.XLOOKUP(J671,Lists!$AC$2:$AC$9,Lists!$AD$2:$AD$9,0),_xlfn.XLOOKUP(L671,Lists!$AC$2:$AC$9,Lists!$AD$2:$AD$9,0)))</f>
        <v/>
      </c>
      <c r="T671" s="68" t="str">
        <f ca="1">IF($B671="","",SUM(_xlfn.XLOOKUP(C671,Lists!$P$2:$P$19,Lists!$W$2:$W$19,0),_xlfn.XLOOKUP(E671,Lists!$P$2:$P$19,Lists!$W$2:$W$19,0),_xlfn.XLOOKUP(G671,Lists!$P$2:$P$19,Lists!$W$2:$W$19,0),_xlfn.XLOOKUP(I671,Lists!$P$2:$P$19,Lists!$W$2:$W$19,0),_xlfn.XLOOKUP(K671,Lists!$P$2:$P$19,Lists!$W$2:$W$19,0)))</f>
        <v/>
      </c>
      <c r="U671" s="68" t="str">
        <f ca="1">IF($B671="","",SUM(_xlfn.XLOOKUP(C671,Lists!$P$2:$P$19,Lists!$X$2:$X$19,0),_xlfn.XLOOKUP(E671,Lists!$P$2:$P$19,Lists!$X$2:$X$19,0),_xlfn.XLOOKUP(G671,Lists!$P$2:$P$19,Lists!$X$2:$X$19,0),_xlfn.XLOOKUP(I671,Lists!$P$2:$P$19,Lists!$X$2:$X$19,0),_xlfn.XLOOKUP(K671,Lists!$P$2:$P$19,Lists!$X$2:$X$19,0)))</f>
        <v/>
      </c>
      <c r="V671" s="68" t="str">
        <f ca="1">IF($B671="","",SUM(_xlfn.XLOOKUP(C671,Lists!$P$2:$P$19,Lists!$Y$2:$Y$19,0),_xlfn.XLOOKUP(E671,Lists!$P$2:$P$19,Lists!$Y$2:$Y$19,0),_xlfn.XLOOKUP(G671,Lists!$P$2:$P$19,Lists!$Y$2:$Y$19,0),_xlfn.XLOOKUP(I671,Lists!$P$2:$P$19,Lists!$Y$2:$Y$19,0),_xlfn.XLOOKUP(K671,Lists!$P$2:$P$19,Lists!$Y$2:$Y$19,0)))</f>
        <v/>
      </c>
      <c r="W671" s="68" t="str">
        <f ca="1">IF($B671="","",SUM(_xlfn.XLOOKUP(C671,Lists!$P$2:$P$19,Lists!$Z$2:$Z$19,0),_xlfn.XLOOKUP(E671,Lists!$P$2:$P$19,Lists!$Z$2:$Z$19,0),_xlfn.XLOOKUP(G671,Lists!$P$2:$P$19,Lists!$Z$2:$Z$19,0),_xlfn.XLOOKUP(I671,Lists!$P$2:$P$19,Lists!$Z$2:$Z$19,0),_xlfn.XLOOKUP(K671,Lists!$P$2:$P$19,Lists!$Z$2:$Z$19,0)))</f>
        <v/>
      </c>
      <c r="X671" s="69" t="str">
        <f ca="1">IF($B671="","",SUM(_xlfn.XLOOKUP(C671,Lists!$P$2:$P$19,Lists!$AA$2:$AA$19,0),_xlfn.XLOOKUP(E671,Lists!$P$2:$P$19,Lists!$AA$2:$AA$19,0),_xlfn.XLOOKUP(G671,Lists!$P$2:$P$19,Lists!$AA$2:$AA$19,0),_xlfn.XLOOKUP(I671,Lists!$P$2:$P$19,Lists!$AA$2:$AA$19,0),_xlfn.XLOOKUP(K671,Lists!$P$2:$P$19,Lists!$AA$2:$AA$19,0)))</f>
        <v/>
      </c>
      <c r="Y671" s="49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  <c r="CI671" s="18"/>
      <c r="CJ671" s="18"/>
      <c r="CK671" s="18"/>
      <c r="CL671" s="18"/>
      <c r="CM671" s="18"/>
      <c r="CN671" s="18"/>
      <c r="CO671" s="18"/>
      <c r="CP671" s="18"/>
      <c r="CQ671" s="18"/>
      <c r="CR671" s="18"/>
      <c r="CS671" s="18"/>
      <c r="CT671" s="18"/>
      <c r="CU671" s="18"/>
      <c r="CV671" s="18"/>
      <c r="CW671" s="18"/>
      <c r="CX671" s="18"/>
      <c r="CY671" s="18"/>
      <c r="CZ671" s="18"/>
      <c r="DA671" s="18"/>
      <c r="DB671" s="18"/>
      <c r="DC671" s="18"/>
      <c r="DD671" s="18"/>
      <c r="DE671" s="18"/>
      <c r="DF671" s="18"/>
    </row>
    <row r="672" spans="1:110">
      <c r="A672" s="168">
        <v>6</v>
      </c>
      <c r="B672" s="47" t="str">
        <f ca="1">Lineups!$H$192</f>
        <v/>
      </c>
      <c r="C672" s="49"/>
      <c r="D672" s="49"/>
      <c r="E672" s="49"/>
      <c r="F672" s="49"/>
      <c r="G672" s="49"/>
      <c r="H672" s="50"/>
      <c r="I672" s="50"/>
      <c r="J672" s="50"/>
      <c r="K672" s="50"/>
      <c r="L672" s="50"/>
      <c r="M672" s="67" t="str">
        <f ca="1">IF($B672="","",SUM(_xlfn.XLOOKUP(C672,Lists!$P$2:$P$19,Lists!$R$2:$R$19,0),_xlfn.XLOOKUP(E672,Lists!$P$2:$P$19,Lists!$R$2:$R$19,0),_xlfn.XLOOKUP(G672,Lists!$P$2:$P$19,Lists!$R$2:$R$19,0),_xlfn.XLOOKUP(I672,Lists!$P$2:$P$19,Lists!$R$2:$R$19,0),_xlfn.XLOOKUP(K672,Lists!$P$2:$P$19,Lists!$R$2:$R$19,0)))</f>
        <v/>
      </c>
      <c r="N672" s="68" t="str">
        <f ca="1">IF($B672="","",SUM(_xlfn.XLOOKUP(D672,Lists!$AC$2:$AC$9,Lists!$AE$2:$AE$9,0),_xlfn.XLOOKUP(F672,Lists!$AC$2:$AC$9,Lists!$AE$2:$AE$9,0),_xlfn.XLOOKUP(H672,Lists!$AC$2:$AC$9,Lists!$AE$2:$AE$9,0),_xlfn.XLOOKUP(J672,Lists!$AC$2:$AC$9,Lists!$AE$2:$AE$9,0),_xlfn.XLOOKUP(L672,Lists!$AC$2:$AC$9,Lists!$AE$2:$AE$9,0)))</f>
        <v/>
      </c>
      <c r="O672" s="68" t="str">
        <f ca="1">IF($B672="","",SUM(_xlfn.XLOOKUP(C672,Lists!$P$2:$P$19,Lists!$S$2:$S$19,0),_xlfn.XLOOKUP(E672,Lists!$P$2:$P$19,Lists!$S$2:$S$19,0),_xlfn.XLOOKUP(G672,Lists!$P$2:$P$19,Lists!$S$2:$S$19,0),_xlfn.XLOOKUP(I672,Lists!$P$2:$P$19,Lists!$S$2:$S$19,0),_xlfn.XLOOKUP(K672,Lists!$P$2:$P$19,Lists!$S$2:$S$19,0)))</f>
        <v/>
      </c>
      <c r="P672" s="68" t="str">
        <f ca="1">IF($B672="","",SUM(_xlfn.XLOOKUP(C672,Lists!$P$2:$P$19,Lists!$T$2:$T$19,0),_xlfn.XLOOKUP(E672,Lists!$P$2:$P$19,Lists!$T$2:$T$19,0),_xlfn.XLOOKUP(G672,Lists!$P$2:$P$19,Lists!$T$2:$T$19,0),_xlfn.XLOOKUP(I672,Lists!$P$2:$P$19,Lists!$T$2:$T$19,0),_xlfn.XLOOKUP(K672,Lists!$P$2:$P$19,Lists!$T$2:$T$19,0)))</f>
        <v/>
      </c>
      <c r="Q672" s="68" t="str">
        <f ca="1">IF($B672="","",SUM(_xlfn.XLOOKUP(C672,Lists!$P$2:$P$19,Lists!$U$2:$U$19,0),_xlfn.XLOOKUP(E672,Lists!$P$2:$P$19,Lists!$U$2:$U$19,0),_xlfn.XLOOKUP(G672,Lists!$P$2:$P$19,Lists!$U$2:$U$19,0),_xlfn.XLOOKUP(I672,Lists!$P$2:$P$19,Lists!$U$2:$U$19,0),_xlfn.XLOOKUP(K672,Lists!$P$2:$P$19,Lists!$U$2:$U$19,0)))</f>
        <v/>
      </c>
      <c r="R672" s="68" t="str">
        <f ca="1">IF($B672="","",SUM(_xlfn.XLOOKUP(C672,Lists!$P$2:$P$19,Lists!$V$2:$V$19,0),_xlfn.XLOOKUP(E672,Lists!$P$2:$P$19,Lists!$V$2:$V$19,0),_xlfn.XLOOKUP(G672,Lists!$P$2:$P$19,Lists!$V$2:$V$19,0),_xlfn.XLOOKUP(I672,Lists!$P$2:$P$19,Lists!$V$2:$V$19,0),_xlfn.XLOOKUP(K672,Lists!$P$2:$P$19,Lists!$V$2:$V$19,0)))</f>
        <v/>
      </c>
      <c r="S672" s="68" t="str">
        <f ca="1">IF($B672="","",SUM(_xlfn.XLOOKUP(D672,Lists!$AC$2:$AC$9,Lists!$AD$2:$AD$9,0),_xlfn.XLOOKUP(F672,Lists!$AC$2:$AC$9,Lists!$AD$2:$AD$9,0),_xlfn.XLOOKUP(H672,Lists!$AC$2:$AC$9,Lists!$AD$2:$AD$9,0),_xlfn.XLOOKUP(J672,Lists!$AC$2:$AC$9,Lists!$AD$2:$AD$9,0),_xlfn.XLOOKUP(L672,Lists!$AC$2:$AC$9,Lists!$AD$2:$AD$9,0)))</f>
        <v/>
      </c>
      <c r="T672" s="68" t="str">
        <f ca="1">IF($B672="","",SUM(_xlfn.XLOOKUP(C672,Lists!$P$2:$P$19,Lists!$W$2:$W$19,0),_xlfn.XLOOKUP(E672,Lists!$P$2:$P$19,Lists!$W$2:$W$19,0),_xlfn.XLOOKUP(G672,Lists!$P$2:$P$19,Lists!$W$2:$W$19,0),_xlfn.XLOOKUP(I672,Lists!$P$2:$P$19,Lists!$W$2:$W$19,0),_xlfn.XLOOKUP(K672,Lists!$P$2:$P$19,Lists!$W$2:$W$19,0)))</f>
        <v/>
      </c>
      <c r="U672" s="68" t="str">
        <f ca="1">IF($B672="","",SUM(_xlfn.XLOOKUP(C672,Lists!$P$2:$P$19,Lists!$X$2:$X$19,0),_xlfn.XLOOKUP(E672,Lists!$P$2:$P$19,Lists!$X$2:$X$19,0),_xlfn.XLOOKUP(G672,Lists!$P$2:$P$19,Lists!$X$2:$X$19,0),_xlfn.XLOOKUP(I672,Lists!$P$2:$P$19,Lists!$X$2:$X$19,0),_xlfn.XLOOKUP(K672,Lists!$P$2:$P$19,Lists!$X$2:$X$19,0)))</f>
        <v/>
      </c>
      <c r="V672" s="68" t="str">
        <f ca="1">IF($B672="","",SUM(_xlfn.XLOOKUP(C672,Lists!$P$2:$P$19,Lists!$Y$2:$Y$19,0),_xlfn.XLOOKUP(E672,Lists!$P$2:$P$19,Lists!$Y$2:$Y$19,0),_xlfn.XLOOKUP(G672,Lists!$P$2:$P$19,Lists!$Y$2:$Y$19,0),_xlfn.XLOOKUP(I672,Lists!$P$2:$P$19,Lists!$Y$2:$Y$19,0),_xlfn.XLOOKUP(K672,Lists!$P$2:$P$19,Lists!$Y$2:$Y$19,0)))</f>
        <v/>
      </c>
      <c r="W672" s="68" t="str">
        <f ca="1">IF($B672="","",SUM(_xlfn.XLOOKUP(C672,Lists!$P$2:$P$19,Lists!$Z$2:$Z$19,0),_xlfn.XLOOKUP(E672,Lists!$P$2:$P$19,Lists!$Z$2:$Z$19,0),_xlfn.XLOOKUP(G672,Lists!$P$2:$P$19,Lists!$Z$2:$Z$19,0),_xlfn.XLOOKUP(I672,Lists!$P$2:$P$19,Lists!$Z$2:$Z$19,0),_xlfn.XLOOKUP(K672,Lists!$P$2:$P$19,Lists!$Z$2:$Z$19,0)))</f>
        <v/>
      </c>
      <c r="X672" s="69" t="str">
        <f ca="1">IF($B672="","",SUM(_xlfn.XLOOKUP(C672,Lists!$P$2:$P$19,Lists!$AA$2:$AA$19,0),_xlfn.XLOOKUP(E672,Lists!$P$2:$P$19,Lists!$AA$2:$AA$19,0),_xlfn.XLOOKUP(G672,Lists!$P$2:$P$19,Lists!$AA$2:$AA$19,0),_xlfn.XLOOKUP(I672,Lists!$P$2:$P$19,Lists!$AA$2:$AA$19,0),_xlfn.XLOOKUP(K672,Lists!$P$2:$P$19,Lists!$AA$2:$AA$19,0)))</f>
        <v/>
      </c>
      <c r="Y672" s="49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  <c r="CI672" s="18"/>
      <c r="CJ672" s="18"/>
      <c r="CK672" s="18"/>
      <c r="CL672" s="18"/>
      <c r="CM672" s="18"/>
      <c r="CN672" s="18"/>
      <c r="CO672" s="18"/>
      <c r="CP672" s="18"/>
      <c r="CQ672" s="18"/>
      <c r="CR672" s="18"/>
      <c r="CS672" s="18"/>
      <c r="CT672" s="18"/>
      <c r="CU672" s="18"/>
      <c r="CV672" s="18"/>
      <c r="CW672" s="18"/>
      <c r="CX672" s="18"/>
      <c r="CY672" s="18"/>
      <c r="CZ672" s="18"/>
      <c r="DA672" s="18"/>
      <c r="DB672" s="18"/>
      <c r="DC672" s="18"/>
      <c r="DD672" s="18"/>
      <c r="DE672" s="18"/>
      <c r="DF672" s="18"/>
    </row>
    <row r="673" spans="1:110">
      <c r="A673" s="168">
        <v>7</v>
      </c>
      <c r="B673" s="47" t="str">
        <f ca="1">Lineups!$H$193</f>
        <v/>
      </c>
      <c r="C673" s="49"/>
      <c r="D673" s="49"/>
      <c r="E673" s="49"/>
      <c r="F673" s="49"/>
      <c r="G673" s="49"/>
      <c r="H673" s="50"/>
      <c r="I673" s="50"/>
      <c r="J673" s="50"/>
      <c r="K673" s="50"/>
      <c r="L673" s="50"/>
      <c r="M673" s="67" t="str">
        <f ca="1">IF($B673="","",SUM(_xlfn.XLOOKUP(C673,Lists!$P$2:$P$19,Lists!$R$2:$R$19,0),_xlfn.XLOOKUP(E673,Lists!$P$2:$P$19,Lists!$R$2:$R$19,0),_xlfn.XLOOKUP(G673,Lists!$P$2:$P$19,Lists!$R$2:$R$19,0),_xlfn.XLOOKUP(I673,Lists!$P$2:$P$19,Lists!$R$2:$R$19,0),_xlfn.XLOOKUP(K673,Lists!$P$2:$P$19,Lists!$R$2:$R$19,0)))</f>
        <v/>
      </c>
      <c r="N673" s="68" t="str">
        <f ca="1">IF($B673="","",SUM(_xlfn.XLOOKUP(D673,Lists!$AC$2:$AC$9,Lists!$AE$2:$AE$9,0),_xlfn.XLOOKUP(F673,Lists!$AC$2:$AC$9,Lists!$AE$2:$AE$9,0),_xlfn.XLOOKUP(H673,Lists!$AC$2:$AC$9,Lists!$AE$2:$AE$9,0),_xlfn.XLOOKUP(J673,Lists!$AC$2:$AC$9,Lists!$AE$2:$AE$9,0),_xlfn.XLOOKUP(L673,Lists!$AC$2:$AC$9,Lists!$AE$2:$AE$9,0)))</f>
        <v/>
      </c>
      <c r="O673" s="68" t="str">
        <f ca="1">IF($B673="","",SUM(_xlfn.XLOOKUP(C673,Lists!$P$2:$P$19,Lists!$S$2:$S$19,0),_xlfn.XLOOKUP(E673,Lists!$P$2:$P$19,Lists!$S$2:$S$19,0),_xlfn.XLOOKUP(G673,Lists!$P$2:$P$19,Lists!$S$2:$S$19,0),_xlfn.XLOOKUP(I673,Lists!$P$2:$P$19,Lists!$S$2:$S$19,0),_xlfn.XLOOKUP(K673,Lists!$P$2:$P$19,Lists!$S$2:$S$19,0)))</f>
        <v/>
      </c>
      <c r="P673" s="68" t="str">
        <f ca="1">IF($B673="","",SUM(_xlfn.XLOOKUP(C673,Lists!$P$2:$P$19,Lists!$T$2:$T$19,0),_xlfn.XLOOKUP(E673,Lists!$P$2:$P$19,Lists!$T$2:$T$19,0),_xlfn.XLOOKUP(G673,Lists!$P$2:$P$19,Lists!$T$2:$T$19,0),_xlfn.XLOOKUP(I673,Lists!$P$2:$P$19,Lists!$T$2:$T$19,0),_xlfn.XLOOKUP(K673,Lists!$P$2:$P$19,Lists!$T$2:$T$19,0)))</f>
        <v/>
      </c>
      <c r="Q673" s="68" t="str">
        <f ca="1">IF($B673="","",SUM(_xlfn.XLOOKUP(C673,Lists!$P$2:$P$19,Lists!$U$2:$U$19,0),_xlfn.XLOOKUP(E673,Lists!$P$2:$P$19,Lists!$U$2:$U$19,0),_xlfn.XLOOKUP(G673,Lists!$P$2:$P$19,Lists!$U$2:$U$19,0),_xlfn.XLOOKUP(I673,Lists!$P$2:$P$19,Lists!$U$2:$U$19,0),_xlfn.XLOOKUP(K673,Lists!$P$2:$P$19,Lists!$U$2:$U$19,0)))</f>
        <v/>
      </c>
      <c r="R673" s="68" t="str">
        <f ca="1">IF($B673="","",SUM(_xlfn.XLOOKUP(C673,Lists!$P$2:$P$19,Lists!$V$2:$V$19,0),_xlfn.XLOOKUP(E673,Lists!$P$2:$P$19,Lists!$V$2:$V$19,0),_xlfn.XLOOKUP(G673,Lists!$P$2:$P$19,Lists!$V$2:$V$19,0),_xlfn.XLOOKUP(I673,Lists!$P$2:$P$19,Lists!$V$2:$V$19,0),_xlfn.XLOOKUP(K673,Lists!$P$2:$P$19,Lists!$V$2:$V$19,0)))</f>
        <v/>
      </c>
      <c r="S673" s="68" t="str">
        <f ca="1">IF($B673="","",SUM(_xlfn.XLOOKUP(D673,Lists!$AC$2:$AC$9,Lists!$AD$2:$AD$9,0),_xlfn.XLOOKUP(F673,Lists!$AC$2:$AC$9,Lists!$AD$2:$AD$9,0),_xlfn.XLOOKUP(H673,Lists!$AC$2:$AC$9,Lists!$AD$2:$AD$9,0),_xlfn.XLOOKUP(J673,Lists!$AC$2:$AC$9,Lists!$AD$2:$AD$9,0),_xlfn.XLOOKUP(L673,Lists!$AC$2:$AC$9,Lists!$AD$2:$AD$9,0)))</f>
        <v/>
      </c>
      <c r="T673" s="68" t="str">
        <f ca="1">IF($B673="","",SUM(_xlfn.XLOOKUP(C673,Lists!$P$2:$P$19,Lists!$W$2:$W$19,0),_xlfn.XLOOKUP(E673,Lists!$P$2:$P$19,Lists!$W$2:$W$19,0),_xlfn.XLOOKUP(G673,Lists!$P$2:$P$19,Lists!$W$2:$W$19,0),_xlfn.XLOOKUP(I673,Lists!$P$2:$P$19,Lists!$W$2:$W$19,0),_xlfn.XLOOKUP(K673,Lists!$P$2:$P$19,Lists!$W$2:$W$19,0)))</f>
        <v/>
      </c>
      <c r="U673" s="68" t="str">
        <f ca="1">IF($B673="","",SUM(_xlfn.XLOOKUP(C673,Lists!$P$2:$P$19,Lists!$X$2:$X$19,0),_xlfn.XLOOKUP(E673,Lists!$P$2:$P$19,Lists!$X$2:$X$19,0),_xlfn.XLOOKUP(G673,Lists!$P$2:$P$19,Lists!$X$2:$X$19,0),_xlfn.XLOOKUP(I673,Lists!$P$2:$P$19,Lists!$X$2:$X$19,0),_xlfn.XLOOKUP(K673,Lists!$P$2:$P$19,Lists!$X$2:$X$19,0)))</f>
        <v/>
      </c>
      <c r="V673" s="68" t="str">
        <f ca="1">IF($B673="","",SUM(_xlfn.XLOOKUP(C673,Lists!$P$2:$P$19,Lists!$Y$2:$Y$19,0),_xlfn.XLOOKUP(E673,Lists!$P$2:$P$19,Lists!$Y$2:$Y$19,0),_xlfn.XLOOKUP(G673,Lists!$P$2:$P$19,Lists!$Y$2:$Y$19,0),_xlfn.XLOOKUP(I673,Lists!$P$2:$P$19,Lists!$Y$2:$Y$19,0),_xlfn.XLOOKUP(K673,Lists!$P$2:$P$19,Lists!$Y$2:$Y$19,0)))</f>
        <v/>
      </c>
      <c r="W673" s="68" t="str">
        <f ca="1">IF($B673="","",SUM(_xlfn.XLOOKUP(C673,Lists!$P$2:$P$19,Lists!$Z$2:$Z$19,0),_xlfn.XLOOKUP(E673,Lists!$P$2:$P$19,Lists!$Z$2:$Z$19,0),_xlfn.XLOOKUP(G673,Lists!$P$2:$P$19,Lists!$Z$2:$Z$19,0),_xlfn.XLOOKUP(I673,Lists!$P$2:$P$19,Lists!$Z$2:$Z$19,0),_xlfn.XLOOKUP(K673,Lists!$P$2:$P$19,Lists!$Z$2:$Z$19,0)))</f>
        <v/>
      </c>
      <c r="X673" s="69" t="str">
        <f ca="1">IF($B673="","",SUM(_xlfn.XLOOKUP(C673,Lists!$P$2:$P$19,Lists!$AA$2:$AA$19,0),_xlfn.XLOOKUP(E673,Lists!$P$2:$P$19,Lists!$AA$2:$AA$19,0),_xlfn.XLOOKUP(G673,Lists!$P$2:$P$19,Lists!$AA$2:$AA$19,0),_xlfn.XLOOKUP(I673,Lists!$P$2:$P$19,Lists!$AA$2:$AA$19,0),_xlfn.XLOOKUP(K673,Lists!$P$2:$P$19,Lists!$AA$2:$AA$19,0)))</f>
        <v/>
      </c>
      <c r="Y673" s="49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  <c r="CI673" s="18"/>
      <c r="CJ673" s="18"/>
      <c r="CK673" s="18"/>
      <c r="CL673" s="18"/>
      <c r="CM673" s="18"/>
      <c r="CN673" s="18"/>
      <c r="CO673" s="18"/>
      <c r="CP673" s="18"/>
      <c r="CQ673" s="18"/>
      <c r="CR673" s="18"/>
      <c r="CS673" s="18"/>
      <c r="CT673" s="18"/>
      <c r="CU673" s="18"/>
      <c r="CV673" s="18"/>
      <c r="CW673" s="18"/>
      <c r="CX673" s="18"/>
      <c r="CY673" s="18"/>
      <c r="CZ673" s="18"/>
      <c r="DA673" s="18"/>
      <c r="DB673" s="18"/>
      <c r="DC673" s="18"/>
      <c r="DD673" s="18"/>
      <c r="DE673" s="18"/>
      <c r="DF673" s="18"/>
    </row>
    <row r="674" spans="1:110">
      <c r="A674" s="168">
        <v>8</v>
      </c>
      <c r="B674" s="47" t="str">
        <f ca="1">Lineups!$H$194</f>
        <v/>
      </c>
      <c r="C674" s="49"/>
      <c r="D674" s="49"/>
      <c r="E674" s="49"/>
      <c r="F674" s="49"/>
      <c r="G674" s="49"/>
      <c r="H674" s="50"/>
      <c r="I674" s="50"/>
      <c r="J674" s="50"/>
      <c r="K674" s="50"/>
      <c r="L674" s="50"/>
      <c r="M674" s="67" t="str">
        <f ca="1">IF($B674="","",SUM(_xlfn.XLOOKUP(C674,Lists!$P$2:$P$19,Lists!$R$2:$R$19,0),_xlfn.XLOOKUP(E674,Lists!$P$2:$P$19,Lists!$R$2:$R$19,0),_xlfn.XLOOKUP(G674,Lists!$P$2:$P$19,Lists!$R$2:$R$19,0),_xlfn.XLOOKUP(I674,Lists!$P$2:$P$19,Lists!$R$2:$R$19,0),_xlfn.XLOOKUP(K674,Lists!$P$2:$P$19,Lists!$R$2:$R$19,0)))</f>
        <v/>
      </c>
      <c r="N674" s="68" t="str">
        <f ca="1">IF($B674="","",SUM(_xlfn.XLOOKUP(D674,Lists!$AC$2:$AC$9,Lists!$AE$2:$AE$9,0),_xlfn.XLOOKUP(F674,Lists!$AC$2:$AC$9,Lists!$AE$2:$AE$9,0),_xlfn.XLOOKUP(H674,Lists!$AC$2:$AC$9,Lists!$AE$2:$AE$9,0),_xlfn.XLOOKUP(J674,Lists!$AC$2:$AC$9,Lists!$AE$2:$AE$9,0),_xlfn.XLOOKUP(L674,Lists!$AC$2:$AC$9,Lists!$AE$2:$AE$9,0)))</f>
        <v/>
      </c>
      <c r="O674" s="68" t="str">
        <f ca="1">IF($B674="","",SUM(_xlfn.XLOOKUP(C674,Lists!$P$2:$P$19,Lists!$S$2:$S$19,0),_xlfn.XLOOKUP(E674,Lists!$P$2:$P$19,Lists!$S$2:$S$19,0),_xlfn.XLOOKUP(G674,Lists!$P$2:$P$19,Lists!$S$2:$S$19,0),_xlfn.XLOOKUP(I674,Lists!$P$2:$P$19,Lists!$S$2:$S$19,0),_xlfn.XLOOKUP(K674,Lists!$P$2:$P$19,Lists!$S$2:$S$19,0)))</f>
        <v/>
      </c>
      <c r="P674" s="68" t="str">
        <f ca="1">IF($B674="","",SUM(_xlfn.XLOOKUP(C674,Lists!$P$2:$P$19,Lists!$T$2:$T$19,0),_xlfn.XLOOKUP(E674,Lists!$P$2:$P$19,Lists!$T$2:$T$19,0),_xlfn.XLOOKUP(G674,Lists!$P$2:$P$19,Lists!$T$2:$T$19,0),_xlfn.XLOOKUP(I674,Lists!$P$2:$P$19,Lists!$T$2:$T$19,0),_xlfn.XLOOKUP(K674,Lists!$P$2:$P$19,Lists!$T$2:$T$19,0)))</f>
        <v/>
      </c>
      <c r="Q674" s="68" t="str">
        <f ca="1">IF($B674="","",SUM(_xlfn.XLOOKUP(C674,Lists!$P$2:$P$19,Lists!$U$2:$U$19,0),_xlfn.XLOOKUP(E674,Lists!$P$2:$P$19,Lists!$U$2:$U$19,0),_xlfn.XLOOKUP(G674,Lists!$P$2:$P$19,Lists!$U$2:$U$19,0),_xlfn.XLOOKUP(I674,Lists!$P$2:$P$19,Lists!$U$2:$U$19,0),_xlfn.XLOOKUP(K674,Lists!$P$2:$P$19,Lists!$U$2:$U$19,0)))</f>
        <v/>
      </c>
      <c r="R674" s="68" t="str">
        <f ca="1">IF($B674="","",SUM(_xlfn.XLOOKUP(C674,Lists!$P$2:$P$19,Lists!$V$2:$V$19,0),_xlfn.XLOOKUP(E674,Lists!$P$2:$P$19,Lists!$V$2:$V$19,0),_xlfn.XLOOKUP(G674,Lists!$P$2:$P$19,Lists!$V$2:$V$19,0),_xlfn.XLOOKUP(I674,Lists!$P$2:$P$19,Lists!$V$2:$V$19,0),_xlfn.XLOOKUP(K674,Lists!$P$2:$P$19,Lists!$V$2:$V$19,0)))</f>
        <v/>
      </c>
      <c r="S674" s="68" t="str">
        <f ca="1">IF($B674="","",SUM(_xlfn.XLOOKUP(D674,Lists!$AC$2:$AC$9,Lists!$AD$2:$AD$9,0),_xlfn.XLOOKUP(F674,Lists!$AC$2:$AC$9,Lists!$AD$2:$AD$9,0),_xlfn.XLOOKUP(H674,Lists!$AC$2:$AC$9,Lists!$AD$2:$AD$9,0),_xlfn.XLOOKUP(J674,Lists!$AC$2:$AC$9,Lists!$AD$2:$AD$9,0),_xlfn.XLOOKUP(L674,Lists!$AC$2:$AC$9,Lists!$AD$2:$AD$9,0)))</f>
        <v/>
      </c>
      <c r="T674" s="68" t="str">
        <f ca="1">IF($B674="","",SUM(_xlfn.XLOOKUP(C674,Lists!$P$2:$P$19,Lists!$W$2:$W$19,0),_xlfn.XLOOKUP(E674,Lists!$P$2:$P$19,Lists!$W$2:$W$19,0),_xlfn.XLOOKUP(G674,Lists!$P$2:$P$19,Lists!$W$2:$W$19,0),_xlfn.XLOOKUP(I674,Lists!$P$2:$P$19,Lists!$W$2:$W$19,0),_xlfn.XLOOKUP(K674,Lists!$P$2:$P$19,Lists!$W$2:$W$19,0)))</f>
        <v/>
      </c>
      <c r="U674" s="68" t="str">
        <f ca="1">IF($B674="","",SUM(_xlfn.XLOOKUP(C674,Lists!$P$2:$P$19,Lists!$X$2:$X$19,0),_xlfn.XLOOKUP(E674,Lists!$P$2:$P$19,Lists!$X$2:$X$19,0),_xlfn.XLOOKUP(G674,Lists!$P$2:$P$19,Lists!$X$2:$X$19,0),_xlfn.XLOOKUP(I674,Lists!$P$2:$P$19,Lists!$X$2:$X$19,0),_xlfn.XLOOKUP(K674,Lists!$P$2:$P$19,Lists!$X$2:$X$19,0)))</f>
        <v/>
      </c>
      <c r="V674" s="68" t="str">
        <f ca="1">IF($B674="","",SUM(_xlfn.XLOOKUP(C674,Lists!$P$2:$P$19,Lists!$Y$2:$Y$19,0),_xlfn.XLOOKUP(E674,Lists!$P$2:$P$19,Lists!$Y$2:$Y$19,0),_xlfn.XLOOKUP(G674,Lists!$P$2:$P$19,Lists!$Y$2:$Y$19,0),_xlfn.XLOOKUP(I674,Lists!$P$2:$P$19,Lists!$Y$2:$Y$19,0),_xlfn.XLOOKUP(K674,Lists!$P$2:$P$19,Lists!$Y$2:$Y$19,0)))</f>
        <v/>
      </c>
      <c r="W674" s="68" t="str">
        <f ca="1">IF($B674="","",SUM(_xlfn.XLOOKUP(C674,Lists!$P$2:$P$19,Lists!$Z$2:$Z$19,0),_xlfn.XLOOKUP(E674,Lists!$P$2:$P$19,Lists!$Z$2:$Z$19,0),_xlfn.XLOOKUP(G674,Lists!$P$2:$P$19,Lists!$Z$2:$Z$19,0),_xlfn.XLOOKUP(I674,Lists!$P$2:$P$19,Lists!$Z$2:$Z$19,0),_xlfn.XLOOKUP(K674,Lists!$P$2:$P$19,Lists!$Z$2:$Z$19,0)))</f>
        <v/>
      </c>
      <c r="X674" s="69" t="str">
        <f ca="1">IF($B674="","",SUM(_xlfn.XLOOKUP(C674,Lists!$P$2:$P$19,Lists!$AA$2:$AA$19,0),_xlfn.XLOOKUP(E674,Lists!$P$2:$P$19,Lists!$AA$2:$AA$19,0),_xlfn.XLOOKUP(G674,Lists!$P$2:$P$19,Lists!$AA$2:$AA$19,0),_xlfn.XLOOKUP(I674,Lists!$P$2:$P$19,Lists!$AA$2:$AA$19,0),_xlfn.XLOOKUP(K674,Lists!$P$2:$P$19,Lists!$AA$2:$AA$19,0)))</f>
        <v/>
      </c>
      <c r="Y674" s="49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  <c r="CI674" s="18"/>
      <c r="CJ674" s="18"/>
      <c r="CK674" s="18"/>
      <c r="CL674" s="18"/>
      <c r="CM674" s="18"/>
      <c r="CN674" s="18"/>
      <c r="CO674" s="18"/>
      <c r="CP674" s="18"/>
      <c r="CQ674" s="18"/>
      <c r="CR674" s="18"/>
      <c r="CS674" s="18"/>
      <c r="CT674" s="18"/>
      <c r="CU674" s="18"/>
      <c r="CV674" s="18"/>
      <c r="CW674" s="18"/>
      <c r="CX674" s="18"/>
      <c r="CY674" s="18"/>
      <c r="CZ674" s="18"/>
      <c r="DA674" s="18"/>
      <c r="DB674" s="18"/>
      <c r="DC674" s="18"/>
      <c r="DD674" s="18"/>
      <c r="DE674" s="18"/>
      <c r="DF674" s="18"/>
    </row>
    <row r="675" spans="1:110">
      <c r="A675" s="168">
        <v>9</v>
      </c>
      <c r="B675" s="47" t="str">
        <f ca="1">Lineups!$H$195</f>
        <v/>
      </c>
      <c r="C675" s="49"/>
      <c r="D675" s="49"/>
      <c r="E675" s="49"/>
      <c r="F675" s="49"/>
      <c r="G675" s="49"/>
      <c r="H675" s="50"/>
      <c r="I675" s="50"/>
      <c r="J675" s="50"/>
      <c r="K675" s="50"/>
      <c r="L675" s="50"/>
      <c r="M675" s="67" t="str">
        <f ca="1">IF($B675="","",SUM(_xlfn.XLOOKUP(C675,Lists!$P$2:$P$19,Lists!$R$2:$R$19,0),_xlfn.XLOOKUP(E675,Lists!$P$2:$P$19,Lists!$R$2:$R$19,0),_xlfn.XLOOKUP(G675,Lists!$P$2:$P$19,Lists!$R$2:$R$19,0),_xlfn.XLOOKUP(I675,Lists!$P$2:$P$19,Lists!$R$2:$R$19,0),_xlfn.XLOOKUP(K675,Lists!$P$2:$P$19,Lists!$R$2:$R$19,0)))</f>
        <v/>
      </c>
      <c r="N675" s="68" t="str">
        <f ca="1">IF($B675="","",SUM(_xlfn.XLOOKUP(D675,Lists!$AC$2:$AC$9,Lists!$AE$2:$AE$9,0),_xlfn.XLOOKUP(F675,Lists!$AC$2:$AC$9,Lists!$AE$2:$AE$9,0),_xlfn.XLOOKUP(H675,Lists!$AC$2:$AC$9,Lists!$AE$2:$AE$9,0),_xlfn.XLOOKUP(J675,Lists!$AC$2:$AC$9,Lists!$AE$2:$AE$9,0),_xlfn.XLOOKUP(L675,Lists!$AC$2:$AC$9,Lists!$AE$2:$AE$9,0)))</f>
        <v/>
      </c>
      <c r="O675" s="68" t="str">
        <f ca="1">IF($B675="","",SUM(_xlfn.XLOOKUP(C675,Lists!$P$2:$P$19,Lists!$S$2:$S$19,0),_xlfn.XLOOKUP(E675,Lists!$P$2:$P$19,Lists!$S$2:$S$19,0),_xlfn.XLOOKUP(G675,Lists!$P$2:$P$19,Lists!$S$2:$S$19,0),_xlfn.XLOOKUP(I675,Lists!$P$2:$P$19,Lists!$S$2:$S$19,0),_xlfn.XLOOKUP(K675,Lists!$P$2:$P$19,Lists!$S$2:$S$19,0)))</f>
        <v/>
      </c>
      <c r="P675" s="68" t="str">
        <f ca="1">IF($B675="","",SUM(_xlfn.XLOOKUP(C675,Lists!$P$2:$P$19,Lists!$T$2:$T$19,0),_xlfn.XLOOKUP(E675,Lists!$P$2:$P$19,Lists!$T$2:$T$19,0),_xlfn.XLOOKUP(G675,Lists!$P$2:$P$19,Lists!$T$2:$T$19,0),_xlfn.XLOOKUP(I675,Lists!$P$2:$P$19,Lists!$T$2:$T$19,0),_xlfn.XLOOKUP(K675,Lists!$P$2:$P$19,Lists!$T$2:$T$19,0)))</f>
        <v/>
      </c>
      <c r="Q675" s="68" t="str">
        <f ca="1">IF($B675="","",SUM(_xlfn.XLOOKUP(C675,Lists!$P$2:$P$19,Lists!$U$2:$U$19,0),_xlfn.XLOOKUP(E675,Lists!$P$2:$P$19,Lists!$U$2:$U$19,0),_xlfn.XLOOKUP(G675,Lists!$P$2:$P$19,Lists!$U$2:$U$19,0),_xlfn.XLOOKUP(I675,Lists!$P$2:$P$19,Lists!$U$2:$U$19,0),_xlfn.XLOOKUP(K675,Lists!$P$2:$P$19,Lists!$U$2:$U$19,0)))</f>
        <v/>
      </c>
      <c r="R675" s="68" t="str">
        <f ca="1">IF($B675="","",SUM(_xlfn.XLOOKUP(C675,Lists!$P$2:$P$19,Lists!$V$2:$V$19,0),_xlfn.XLOOKUP(E675,Lists!$P$2:$P$19,Lists!$V$2:$V$19,0),_xlfn.XLOOKUP(G675,Lists!$P$2:$P$19,Lists!$V$2:$V$19,0),_xlfn.XLOOKUP(I675,Lists!$P$2:$P$19,Lists!$V$2:$V$19,0),_xlfn.XLOOKUP(K675,Lists!$P$2:$P$19,Lists!$V$2:$V$19,0)))</f>
        <v/>
      </c>
      <c r="S675" s="68" t="str">
        <f ca="1">IF($B675="","",SUM(_xlfn.XLOOKUP(D675,Lists!$AC$2:$AC$9,Lists!$AD$2:$AD$9,0),_xlfn.XLOOKUP(F675,Lists!$AC$2:$AC$9,Lists!$AD$2:$AD$9,0),_xlfn.XLOOKUP(H675,Lists!$AC$2:$AC$9,Lists!$AD$2:$AD$9,0),_xlfn.XLOOKUP(J675,Lists!$AC$2:$AC$9,Lists!$AD$2:$AD$9,0),_xlfn.XLOOKUP(L675,Lists!$AC$2:$AC$9,Lists!$AD$2:$AD$9,0)))</f>
        <v/>
      </c>
      <c r="T675" s="68" t="str">
        <f ca="1">IF($B675="","",SUM(_xlfn.XLOOKUP(C675,Lists!$P$2:$P$19,Lists!$W$2:$W$19,0),_xlfn.XLOOKUP(E675,Lists!$P$2:$P$19,Lists!$W$2:$W$19,0),_xlfn.XLOOKUP(G675,Lists!$P$2:$P$19,Lists!$W$2:$W$19,0),_xlfn.XLOOKUP(I675,Lists!$P$2:$P$19,Lists!$W$2:$W$19,0),_xlfn.XLOOKUP(K675,Lists!$P$2:$P$19,Lists!$W$2:$W$19,0)))</f>
        <v/>
      </c>
      <c r="U675" s="68" t="str">
        <f ca="1">IF($B675="","",SUM(_xlfn.XLOOKUP(C675,Lists!$P$2:$P$19,Lists!$X$2:$X$19,0),_xlfn.XLOOKUP(E675,Lists!$P$2:$P$19,Lists!$X$2:$X$19,0),_xlfn.XLOOKUP(G675,Lists!$P$2:$P$19,Lists!$X$2:$X$19,0),_xlfn.XLOOKUP(I675,Lists!$P$2:$P$19,Lists!$X$2:$X$19,0),_xlfn.XLOOKUP(K675,Lists!$P$2:$P$19,Lists!$X$2:$X$19,0)))</f>
        <v/>
      </c>
      <c r="V675" s="68" t="str">
        <f ca="1">IF($B675="","",SUM(_xlfn.XLOOKUP(C675,Lists!$P$2:$P$19,Lists!$Y$2:$Y$19,0),_xlfn.XLOOKUP(E675,Lists!$P$2:$P$19,Lists!$Y$2:$Y$19,0),_xlfn.XLOOKUP(G675,Lists!$P$2:$P$19,Lists!$Y$2:$Y$19,0),_xlfn.XLOOKUP(I675,Lists!$P$2:$P$19,Lists!$Y$2:$Y$19,0),_xlfn.XLOOKUP(K675,Lists!$P$2:$P$19,Lists!$Y$2:$Y$19,0)))</f>
        <v/>
      </c>
      <c r="W675" s="68" t="str">
        <f ca="1">IF($B675="","",SUM(_xlfn.XLOOKUP(C675,Lists!$P$2:$P$19,Lists!$Z$2:$Z$19,0),_xlfn.XLOOKUP(E675,Lists!$P$2:$P$19,Lists!$Z$2:$Z$19,0),_xlfn.XLOOKUP(G675,Lists!$P$2:$P$19,Lists!$Z$2:$Z$19,0),_xlfn.XLOOKUP(I675,Lists!$P$2:$P$19,Lists!$Z$2:$Z$19,0),_xlfn.XLOOKUP(K675,Lists!$P$2:$P$19,Lists!$Z$2:$Z$19,0)))</f>
        <v/>
      </c>
      <c r="X675" s="69" t="str">
        <f ca="1">IF($B675="","",SUM(_xlfn.XLOOKUP(C675,Lists!$P$2:$P$19,Lists!$AA$2:$AA$19,0),_xlfn.XLOOKUP(E675,Lists!$P$2:$P$19,Lists!$AA$2:$AA$19,0),_xlfn.XLOOKUP(G675,Lists!$P$2:$P$19,Lists!$AA$2:$AA$19,0),_xlfn.XLOOKUP(I675,Lists!$P$2:$P$19,Lists!$AA$2:$AA$19,0),_xlfn.XLOOKUP(K675,Lists!$P$2:$P$19,Lists!$AA$2:$AA$19,0)))</f>
        <v/>
      </c>
      <c r="Y675" s="49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  <c r="CI675" s="18"/>
      <c r="CJ675" s="18"/>
      <c r="CK675" s="18"/>
      <c r="CL675" s="18"/>
      <c r="CM675" s="18"/>
      <c r="CN675" s="18"/>
      <c r="CO675" s="18"/>
      <c r="CP675" s="18"/>
      <c r="CQ675" s="18"/>
      <c r="CR675" s="18"/>
      <c r="CS675" s="18"/>
      <c r="CT675" s="18"/>
      <c r="CU675" s="18"/>
      <c r="CV675" s="18"/>
      <c r="CW675" s="18"/>
      <c r="CX675" s="18"/>
      <c r="CY675" s="18"/>
      <c r="CZ675" s="18"/>
      <c r="DA675" s="18"/>
      <c r="DB675" s="18"/>
      <c r="DC675" s="18"/>
      <c r="DD675" s="18"/>
      <c r="DE675" s="18"/>
      <c r="DF675" s="18"/>
    </row>
    <row r="676" spans="1:110">
      <c r="A676" s="173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  <c r="CI676" s="18"/>
      <c r="CJ676" s="18"/>
      <c r="CK676" s="18"/>
      <c r="CL676" s="18"/>
      <c r="CM676" s="18"/>
      <c r="CN676" s="18"/>
      <c r="CO676" s="18"/>
      <c r="CP676" s="18"/>
      <c r="CQ676" s="18"/>
      <c r="CR676" s="18"/>
      <c r="CS676" s="18"/>
      <c r="CT676" s="18"/>
      <c r="CU676" s="18"/>
      <c r="CV676" s="18"/>
      <c r="CW676" s="18"/>
      <c r="CX676" s="18"/>
      <c r="CY676" s="18"/>
      <c r="CZ676" s="18"/>
      <c r="DA676" s="18"/>
      <c r="DB676" s="18"/>
      <c r="DC676" s="18"/>
      <c r="DD676" s="18"/>
      <c r="DE676" s="18"/>
      <c r="DF676" s="18"/>
    </row>
    <row r="677" spans="1:110">
      <c r="A677" s="222" t="str">
        <f ca="1">IF($R$639="","Team B Pitching",$R$639&amp;" Pitching")</f>
        <v>Team B Pitching</v>
      </c>
      <c r="B677" s="221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06"/>
      <c r="O677" s="186"/>
      <c r="P677" s="24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  <c r="CI677" s="18"/>
      <c r="CJ677" s="18"/>
      <c r="CK677" s="18"/>
      <c r="CL677" s="18"/>
      <c r="CM677" s="18"/>
      <c r="CN677" s="18"/>
      <c r="CO677" s="18"/>
      <c r="CP677" s="18"/>
      <c r="CQ677" s="18"/>
      <c r="CR677" s="18"/>
      <c r="CS677" s="18"/>
      <c r="CT677" s="18"/>
      <c r="CU677" s="18"/>
      <c r="CV677" s="18"/>
      <c r="CW677" s="18"/>
      <c r="CX677" s="18"/>
      <c r="CY677" s="18"/>
      <c r="CZ677" s="18"/>
      <c r="DA677" s="18"/>
      <c r="DB677" s="18"/>
      <c r="DC677" s="18"/>
      <c r="DD677" s="18"/>
      <c r="DE677" s="18"/>
      <c r="DF677" s="18"/>
    </row>
    <row r="678" spans="1:110">
      <c r="A678" s="167" t="s">
        <v>103</v>
      </c>
      <c r="B678" s="43" t="s">
        <v>194</v>
      </c>
      <c r="C678" s="43" t="s">
        <v>195</v>
      </c>
      <c r="D678" s="43" t="s">
        <v>162</v>
      </c>
      <c r="E678" s="43" t="s">
        <v>161</v>
      </c>
      <c r="F678" s="43" t="s">
        <v>196</v>
      </c>
      <c r="G678" s="43" t="s">
        <v>180</v>
      </c>
      <c r="H678" s="43" t="s">
        <v>181</v>
      </c>
      <c r="I678" s="44" t="s">
        <v>197</v>
      </c>
      <c r="J678" s="44" t="s">
        <v>198</v>
      </c>
      <c r="K678" s="44" t="s">
        <v>199</v>
      </c>
      <c r="L678" s="44" t="s">
        <v>200</v>
      </c>
      <c r="M678" s="44" t="s">
        <v>201</v>
      </c>
      <c r="N678" s="45" t="s">
        <v>202</v>
      </c>
      <c r="O678" s="45" t="s">
        <v>203</v>
      </c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  <c r="CI678" s="18"/>
      <c r="CJ678" s="18"/>
      <c r="CK678" s="18"/>
      <c r="CL678" s="18"/>
      <c r="CM678" s="18"/>
      <c r="CN678" s="18"/>
      <c r="CO678" s="18"/>
      <c r="CP678" s="18"/>
      <c r="CQ678" s="18"/>
      <c r="CR678" s="18"/>
      <c r="CS678" s="18"/>
      <c r="CT678" s="18"/>
      <c r="CU678" s="18"/>
      <c r="CV678" s="18"/>
      <c r="CW678" s="18"/>
      <c r="CX678" s="18"/>
      <c r="CY678" s="18"/>
      <c r="CZ678" s="18"/>
      <c r="DA678" s="18"/>
      <c r="DB678" s="18"/>
      <c r="DC678" s="18"/>
      <c r="DD678" s="18"/>
      <c r="DE678" s="18"/>
      <c r="DF678" s="18"/>
    </row>
    <row r="679" spans="1:110">
      <c r="A679" s="168">
        <v>1</v>
      </c>
      <c r="B679" s="71"/>
      <c r="C679" s="70" t="str" cm="1">
        <f t="array" aca="1" ref="C679" ca="1">IF(OR(B679="",O679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679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79" s="67" t="str" cm="1">
        <f t="array" aca="1" ref="D679" ca="1">IF(OR(B679="",O679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679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79" s="67" t="str" cm="1">
        <f t="array" aca="1" ref="E679" ca="1">IF(OR(B679="",O679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679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79" s="67" t="str" cm="1">
        <f t="array" aca="1" ref="F679" ca="1">IF(OR(B679="",O679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679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79" s="67" t="str" cm="1">
        <f t="array" aca="1" ref="G679" ca="1">IF(OR(B679="",O679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679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79" s="67" t="str" cm="1">
        <f t="array" aca="1" ref="H679" ca="1">IF(OR(B679="",O679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679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79" s="68" t="str" cm="1">
        <f t="array" aca="1" ref="I679" ca="1">IF(OR(B679="",O679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679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79" s="68" t="str" cm="1">
        <f t="array" aca="1" ref="J679" ca="1">IF(OR(B679="",O679=""),"",--(SUM(_xlfn.XLOOKUP(_xlfn._xlws.FILTER(_xlfn.TOCOL(_xlfn.CHOOSECOLS(C667:L675,2,4,6,8,10),0,TRUE),_xlfn.TOCOL(_xlfn.CHOOSECOLS(C667:L675,1,3,5,7,9),0,TRUE)&lt;&gt;""),Lists!$AC$2:$AC$9,Lists!$AF$2:$AF$9,0))&gt;SUM(_xlfn.XLOOKUP(_xlfn._xlws.FILTER(_xlfn.TOCOL(_xlfn.CHOOSECOLS(C646:L654,2,4,6,8,10),0,TRUE),_xlfn.TOCOL(_xlfn.CHOOSECOLS(C646:L654,1,3,5,7,9),0,TRUE)&lt;&gt;""),Lists!$AC$2:$AC$9,Lists!$AF$2:$AF$9,0)))*--(ROW()-ROW(C678)=_xlfn.XLOOKUP(MAX(IF(O679:O684&gt;0,INT(C679:C684)*3+MOD(ROUND(C679:C684*10,0),10),-1)),IF(O679:O684&gt;0,INT(C679:C684)*3+MOD(ROUND(C679:C684*10,0),10),-1),_xlfn.SEQUENCE(ROWS(O679:O684)),,0)))</f>
        <v/>
      </c>
      <c r="K679" s="68" t="str" cm="1">
        <f t="array" aca="1" ref="K679" ca="1">IF(OR(B679="",O679=""),"",--(SUM(_xlfn.XLOOKUP(_xlfn._xlws.FILTER(_xlfn.TOCOL(_xlfn.CHOOSECOLS(C667:L675,2,4,6,8,10),0,TRUE),_xlfn.TOCOL(_xlfn.CHOOSECOLS(C667:L675,1,3,5,7,9),0,TRUE)&lt;&gt;""),Lists!$AC$2:$AC$9,Lists!$AF$2:$AF$9,0))&lt;SUM(_xlfn.XLOOKUP(_xlfn._xlws.FILTER(_xlfn.TOCOL(_xlfn.CHOOSECOLS(C646:L654,2,4,6,8,10),0,TRUE),_xlfn.TOCOL(_xlfn.CHOOSECOLS(C646:L654,1,3,5,7,9),0,TRUE)&lt;&gt;""),Lists!$AC$2:$AC$9,Lists!$AF$2:$AF$9,0)))*--(ROW()-ROW(C678)=_xlfn.XLOOKUP(MAX(IF(O679:O684&gt;0,E679:E684,-1)),IF(O679:O684&gt;0,E679:E684,-1),_xlfn.SEQUENCE(ROWS(O679:O684)),,0)))</f>
        <v/>
      </c>
      <c r="L679" s="68" t="str" cm="1">
        <f t="array" aca="1" ref="L679" ca="1">IF(OR(B679="",O679=""),"",--(SUM(_xlfn.XLOOKUP(_xlfn._xlws.FILTER(_xlfn.TOCOL(_xlfn.CHOOSECOLS(C667:L675,2,4,6,8,10),0,TRUE),_xlfn.TOCOL(_xlfn.CHOOSECOLS(C667:L675,1,3,5,7,9),0,TRUE)&lt;&gt;""),Lists!$AC$2:$AC$9,Lists!$AF$2:$AF$9,0))&gt;SUM(_xlfn.XLOOKUP(_xlfn._xlws.FILTER(_xlfn.TOCOL(_xlfn.CHOOSECOLS(C646:L654,2,4,6,8,10),0,TRUE),_xlfn.TOCOL(_xlfn.CHOOSECOLS(C646:L654,1,3,5,7,9),0,TRUE)&lt;&gt;""),Lists!$AC$2:$AC$9,Lists!$AF$2:$AF$9,0)))*--(COUNTIF(O679:O684,"&gt;0")&gt;1)*--(ROW()-ROW(C678)=_xlfn.XLOOKUP(TRUE,O679:O684&gt;0,_xlfn.SEQUENCE(ROWS(O679:O684)),,0,-1))*--(_xlfn.XLOOKUP(TRUE,O679:O684&gt;0,_xlfn.SEQUENCE(ROWS(O679:O684)),,0,-1)&lt;&gt;_xlfn.XLOOKUP(MAX(IF(O679:O684&gt;0,INT(C679:C684)*3+MOD(ROUND(C679:C684*10,0),10),-1)),IF(O679:O684&gt;0,INT(C679:C684)*3+MOD(ROUND(C679:C684*10,0),10),-1),_xlfn.SEQUENCE(ROWS(O679:O684)),,0))*--(SUM(_xlfn.XLOOKUP(_xlfn._xlws.FILTER(_xlfn.TOCOL(_xlfn.CHOOSECOLS(C667:L675,2,4,6,8,10),0,TRUE),_xlfn.TOCOL(_xlfn.CHOOSECOLS(C667:L675,1,3,5,7,9),0,TRUE)&lt;&gt;""),Lists!$AC$2:$AC$9,Lists!$AF$2:$AF$9,0))-SUM(_xlfn.XLOOKUP(_xlfn._xlws.FILTER(_xlfn.TOCOL(_xlfn.CHOOSECOLS(C646:L654,2,4,6,8,10),0,TRUE),_xlfn.TOCOL(_xlfn.CHOOSECOLS(C646:L654,1,3,5,7,9),0,TRUE)&lt;&gt;""),Lists!$AC$2:$AC$9,Lists!$AF$2:$AF$9,0))&lt;=3)*--((INT(C679)*3+MOD(ROUND(C679*10,0),10))&gt;=3))</f>
        <v/>
      </c>
      <c r="M679" s="68" t="str" cm="1">
        <f t="array" ref="M679">IF(OR(B679="",O679=""),"",--(COUNTIF(O679:O684,"&gt;0")=1)*--(SUM(_xlfn.XLOOKUP(_xlfn._xlws.FILTER(_xlfn.TOCOL(_xlfn.CHOOSECOLS(C646:L654,2,4,6,8,10),0,TRUE),_xlfn.TOCOL(_xlfn.CHOOSECOLS(C646:L654,1,3,5,7,9),0,TRUE)&lt;&gt;""),Lists!$AC$2:$AC$9,Lists!$AF$2:$AF$9,0))=0))</f>
        <v/>
      </c>
      <c r="N679" s="69" t="str">
        <f>IF(OR(B679="",O679=""),"",--(COUNTIF(O679:O684,"&gt;0")=1))</f>
        <v/>
      </c>
      <c r="O679" s="5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  <c r="CL679" s="18"/>
      <c r="CM679" s="18"/>
      <c r="CN679" s="18"/>
      <c r="CO679" s="18"/>
      <c r="CP679" s="18"/>
      <c r="CQ679" s="18"/>
      <c r="CR679" s="18"/>
      <c r="CS679" s="18"/>
      <c r="CT679" s="18"/>
      <c r="CU679" s="18"/>
      <c r="CV679" s="18"/>
      <c r="CW679" s="18"/>
      <c r="CX679" s="18"/>
      <c r="CY679" s="18"/>
      <c r="CZ679" s="18"/>
      <c r="DA679" s="18"/>
      <c r="DB679" s="18"/>
      <c r="DC679" s="18"/>
      <c r="DD679" s="18"/>
      <c r="DE679" s="18"/>
      <c r="DF679" s="18"/>
    </row>
    <row r="680" spans="1:110">
      <c r="A680" s="168">
        <v>2</v>
      </c>
      <c r="B680" s="71"/>
      <c r="C680" s="70" t="str" cm="1">
        <f t="array" aca="1" ref="C680" ca="1">IF(OR(B680="",O680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80" s="67" t="str" cm="1">
        <f t="array" aca="1" ref="D680" ca="1">IF(OR(B680="",O680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80" s="67" t="str" cm="1">
        <f t="array" aca="1" ref="E680" ca="1">IF(OR(B680="",O680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680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80" s="67" t="str" cm="1">
        <f t="array" aca="1" ref="F680" ca="1">IF(OR(B680="",O680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680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80" s="67" t="str" cm="1">
        <f t="array" aca="1" ref="G680" ca="1">IF(OR(B680="",O680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80" s="67" t="str" cm="1">
        <f t="array" aca="1" ref="H680" ca="1">IF(OR(B680="",O680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80" s="68" t="str" cm="1">
        <f t="array" aca="1" ref="I680" ca="1">IF(OR(B680="",O680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80" s="68" t="str" cm="1">
        <f t="array" aca="1" ref="J680" ca="1">IF(OR(B680="",O680=""),"",--(SUM(_xlfn.XLOOKUP(_xlfn._xlws.FILTER(_xlfn.TOCOL(_xlfn.CHOOSECOLS(C667:L675,2,4,6,8,10),0,TRUE),_xlfn.TOCOL(_xlfn.CHOOSECOLS(C667:L675,1,3,5,7,9),0,TRUE)&lt;&gt;""),Lists!$AC$2:$AC$9,Lists!$AF$2:$AF$9,0))&gt;SUM(_xlfn.XLOOKUP(_xlfn._xlws.FILTER(_xlfn.TOCOL(_xlfn.CHOOSECOLS(C646:L654,2,4,6,8,10),0,TRUE),_xlfn.TOCOL(_xlfn.CHOOSECOLS(C646:L654,1,3,5,7,9),0,TRUE)&lt;&gt;""),Lists!$AC$2:$AC$9,Lists!$AF$2:$AF$9,0)))*--(ROW()-ROW(C678)=_xlfn.XLOOKUP(MAX(IF(O679:O684&gt;0,INT(C679:C684)*3+MOD(ROUND(C679:C684*10,0),10),-1)),IF(O679:O684&gt;0,INT(C679:C684)*3+MOD(ROUND(C679:C684*10,0),10),-1),_xlfn.SEQUENCE(ROWS(O679:O684)),,0)))</f>
        <v/>
      </c>
      <c r="K680" s="68" t="str" cm="1">
        <f t="array" aca="1" ref="K680" ca="1">IF(OR(B680="",O680=""),"",--(SUM(_xlfn.XLOOKUP(_xlfn._xlws.FILTER(_xlfn.TOCOL(_xlfn.CHOOSECOLS(C667:L675,2,4,6,8,10),0,TRUE),_xlfn.TOCOL(_xlfn.CHOOSECOLS(C667:L675,1,3,5,7,9),0,TRUE)&lt;&gt;""),Lists!$AC$2:$AC$9,Lists!$AF$2:$AF$9,0))&lt;SUM(_xlfn.XLOOKUP(_xlfn._xlws.FILTER(_xlfn.TOCOL(_xlfn.CHOOSECOLS(C646:L654,2,4,6,8,10),0,TRUE),_xlfn.TOCOL(_xlfn.CHOOSECOLS(C646:L654,1,3,5,7,9),0,TRUE)&lt;&gt;""),Lists!$AC$2:$AC$9,Lists!$AF$2:$AF$9,0)))*--(ROW()-ROW(C678)=_xlfn.XLOOKUP(MAX(IF(O679:O684&gt;0,E679:E684,-1)),IF(O679:O684&gt;0,E679:E684,-1),_xlfn.SEQUENCE(ROWS(O679:O684)),,0)))</f>
        <v/>
      </c>
      <c r="L680" s="68" t="str" cm="1">
        <f t="array" aca="1" ref="L680" ca="1">IF(OR(B680="",O680=""),"",--(SUM(_xlfn.XLOOKUP(_xlfn._xlws.FILTER(_xlfn.TOCOL(_xlfn.CHOOSECOLS(C667:L675,2,4,6,8,10),0,TRUE),_xlfn.TOCOL(_xlfn.CHOOSECOLS(C667:L675,1,3,5,7,9),0,TRUE)&lt;&gt;""),Lists!$AC$2:$AC$9,Lists!$AF$2:$AF$9,0))&gt;SUM(_xlfn.XLOOKUP(_xlfn._xlws.FILTER(_xlfn.TOCOL(_xlfn.CHOOSECOLS(C646:L654,2,4,6,8,10),0,TRUE),_xlfn.TOCOL(_xlfn.CHOOSECOLS(C646:L654,1,3,5,7,9),0,TRUE)&lt;&gt;""),Lists!$AC$2:$AC$9,Lists!$AF$2:$AF$9,0)))*--(COUNTIF(O679:O684,"&gt;0")&gt;1)*--(ROW()-ROW(C678)=_xlfn.XLOOKUP(TRUE,O679:O684&gt;0,_xlfn.SEQUENCE(ROWS(O679:O684)),,0,-1))*--(_xlfn.XLOOKUP(TRUE,O679:O684&gt;0,_xlfn.SEQUENCE(ROWS(O679:O684)),,0,-1)&lt;&gt;_xlfn.XLOOKUP(MAX(IF(O679:O684&gt;0,INT(C679:C684)*3+MOD(ROUND(C679:C684*10,0),10),-1)),IF(O679:O684&gt;0,INT(C679:C684)*3+MOD(ROUND(C679:C684*10,0),10),-1),_xlfn.SEQUENCE(ROWS(O679:O684)),,0))*--(SUM(_xlfn.XLOOKUP(_xlfn._xlws.FILTER(_xlfn.TOCOL(_xlfn.CHOOSECOLS(C667:L675,2,4,6,8,10),0,TRUE),_xlfn.TOCOL(_xlfn.CHOOSECOLS(C667:L675,1,3,5,7,9),0,TRUE)&lt;&gt;""),Lists!$AC$2:$AC$9,Lists!$AF$2:$AF$9,0))-SUM(_xlfn.XLOOKUP(_xlfn._xlws.FILTER(_xlfn.TOCOL(_xlfn.CHOOSECOLS(C646:L654,2,4,6,8,10),0,TRUE),_xlfn.TOCOL(_xlfn.CHOOSECOLS(C646:L654,1,3,5,7,9),0,TRUE)&lt;&gt;""),Lists!$AC$2:$AC$9,Lists!$AF$2:$AF$9,0))&lt;=3)*--((INT(C680)*3+MOD(ROUND(C680*10,0),10))&gt;=3))</f>
        <v/>
      </c>
      <c r="M680" s="68" t="str" cm="1">
        <f t="array" ref="M680">IF(OR(B680="",O680=""),"",--(COUNTIF(O679:O684,"&gt;0")=1)*--(SUM(_xlfn.XLOOKUP(_xlfn._xlws.FILTER(_xlfn.TOCOL(_xlfn.CHOOSECOLS(C646:L654,2,4,6,8,10),0,TRUE),_xlfn.TOCOL(_xlfn.CHOOSECOLS(C646:L654,1,3,5,7,9),0,TRUE)&lt;&gt;""),Lists!$AC$2:$AC$9,Lists!$AF$2:$AF$9,0))=0))</f>
        <v/>
      </c>
      <c r="N680" s="69" t="str">
        <f>IF(OR(B680="",O680=""),"",--(COUNTIF(O679:O684,"&gt;0")=1))</f>
        <v/>
      </c>
      <c r="O680" s="5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  <c r="CI680" s="18"/>
      <c r="CJ680" s="18"/>
      <c r="CK680" s="18"/>
      <c r="CL680" s="18"/>
      <c r="CM680" s="18"/>
      <c r="CN680" s="18"/>
      <c r="CO680" s="18"/>
      <c r="CP680" s="18"/>
      <c r="CQ680" s="18"/>
      <c r="CR680" s="18"/>
      <c r="CS680" s="18"/>
      <c r="CT680" s="18"/>
      <c r="CU680" s="18"/>
      <c r="CV680" s="18"/>
      <c r="CW680" s="18"/>
      <c r="CX680" s="18"/>
      <c r="CY680" s="18"/>
      <c r="CZ680" s="18"/>
      <c r="DA680" s="18"/>
      <c r="DB680" s="18"/>
      <c r="DC680" s="18"/>
      <c r="DD680" s="18"/>
      <c r="DE680" s="18"/>
      <c r="DF680" s="18"/>
    </row>
    <row r="681" spans="1:110">
      <c r="A681" s="168">
        <v>3</v>
      </c>
      <c r="B681" s="71"/>
      <c r="C681" s="70" t="str" cm="1">
        <f t="array" aca="1" ref="C681" ca="1">IF(OR(B681="",O681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81" s="67" t="str" cm="1">
        <f t="array" aca="1" ref="D681" ca="1">IF(OR(B681="",O681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81" s="67" t="str" cm="1">
        <f t="array" aca="1" ref="E681" ca="1">IF(OR(B681="",O681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81" s="67" t="str" cm="1">
        <f t="array" aca="1" ref="F681" ca="1">IF(OR(B681="",O681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81" s="67" t="str" cm="1">
        <f t="array" aca="1" ref="G681" ca="1">IF(OR(B681="",O681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81" s="67" t="str" cm="1">
        <f t="array" aca="1" ref="H681" ca="1">IF(OR(B681="",O681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81" s="68" t="str" cm="1">
        <f t="array" aca="1" ref="I681" ca="1">IF(OR(B681="",O681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81" s="68" t="str" cm="1">
        <f t="array" aca="1" ref="J681" ca="1">IF(OR(B681="",O681=""),"",--(SUM(_xlfn.XLOOKUP(_xlfn._xlws.FILTER(_xlfn.TOCOL(_xlfn.CHOOSECOLS(C667:L675,2,4,6,8,10),0,TRUE),_xlfn.TOCOL(_xlfn.CHOOSECOLS(C667:L675,1,3,5,7,9),0,TRUE)&lt;&gt;""),Lists!$AC$2:$AC$9,Lists!$AF$2:$AF$9,0))&gt;SUM(_xlfn.XLOOKUP(_xlfn._xlws.FILTER(_xlfn.TOCOL(_xlfn.CHOOSECOLS(C646:L654,2,4,6,8,10),0,TRUE),_xlfn.TOCOL(_xlfn.CHOOSECOLS(C646:L654,1,3,5,7,9),0,TRUE)&lt;&gt;""),Lists!$AC$2:$AC$9,Lists!$AF$2:$AF$9,0)))*--(ROW()-ROW(C678)=_xlfn.XLOOKUP(MAX(IF(O679:O684&gt;0,INT(C679:C684)*3+MOD(ROUND(C679:C684*10,0),10),-1)),IF(O679:O684&gt;0,INT(C679:C684)*3+MOD(ROUND(C679:C684*10,0),10),-1),_xlfn.SEQUENCE(ROWS(O679:O684)),,0)))</f>
        <v/>
      </c>
      <c r="K681" s="68" t="str" cm="1">
        <f t="array" aca="1" ref="K681" ca="1">IF(OR(B681="",O681=""),"",--(SUM(_xlfn.XLOOKUP(_xlfn._xlws.FILTER(_xlfn.TOCOL(_xlfn.CHOOSECOLS(C667:L675,2,4,6,8,10),0,TRUE),_xlfn.TOCOL(_xlfn.CHOOSECOLS(C667:L675,1,3,5,7,9),0,TRUE)&lt;&gt;""),Lists!$AC$2:$AC$9,Lists!$AF$2:$AF$9,0))&lt;SUM(_xlfn.XLOOKUP(_xlfn._xlws.FILTER(_xlfn.TOCOL(_xlfn.CHOOSECOLS(C646:L654,2,4,6,8,10),0,TRUE),_xlfn.TOCOL(_xlfn.CHOOSECOLS(C646:L654,1,3,5,7,9),0,TRUE)&lt;&gt;""),Lists!$AC$2:$AC$9,Lists!$AF$2:$AF$9,0)))*--(ROW()-ROW(C678)=_xlfn.XLOOKUP(MAX(IF(O679:O684&gt;0,E679:E684,-1)),IF(O679:O684&gt;0,E679:E684,-1),_xlfn.SEQUENCE(ROWS(O679:O684)),,0)))</f>
        <v/>
      </c>
      <c r="L681" s="68" t="str" cm="1">
        <f t="array" aca="1" ref="L681" ca="1">IF(OR(B681="",O681=""),"",--(SUM(_xlfn.XLOOKUP(_xlfn._xlws.FILTER(_xlfn.TOCOL(_xlfn.CHOOSECOLS(C667:L675,2,4,6,8,10),0,TRUE),_xlfn.TOCOL(_xlfn.CHOOSECOLS(C667:L675,1,3,5,7,9),0,TRUE)&lt;&gt;""),Lists!$AC$2:$AC$9,Lists!$AF$2:$AF$9,0))&gt;SUM(_xlfn.XLOOKUP(_xlfn._xlws.FILTER(_xlfn.TOCOL(_xlfn.CHOOSECOLS(C646:L654,2,4,6,8,10),0,TRUE),_xlfn.TOCOL(_xlfn.CHOOSECOLS(C646:L654,1,3,5,7,9),0,TRUE)&lt;&gt;""),Lists!$AC$2:$AC$9,Lists!$AF$2:$AF$9,0)))*--(COUNTIF(O679:O684,"&gt;0")&gt;1)*--(ROW()-ROW(C678)=_xlfn.XLOOKUP(TRUE,O679:O684&gt;0,_xlfn.SEQUENCE(ROWS(O679:O684)),,0,-1))*--(_xlfn.XLOOKUP(TRUE,O679:O684&gt;0,_xlfn.SEQUENCE(ROWS(O679:O684)),,0,-1)&lt;&gt;_xlfn.XLOOKUP(MAX(IF(O679:O684&gt;0,INT(C679:C684)*3+MOD(ROUND(C679:C684*10,0),10),-1)),IF(O679:O684&gt;0,INT(C679:C684)*3+MOD(ROUND(C679:C684*10,0),10),-1),_xlfn.SEQUENCE(ROWS(O679:O684)),,0))*--(SUM(_xlfn.XLOOKUP(_xlfn._xlws.FILTER(_xlfn.TOCOL(_xlfn.CHOOSECOLS(C667:L675,2,4,6,8,10),0,TRUE),_xlfn.TOCOL(_xlfn.CHOOSECOLS(C667:L675,1,3,5,7,9),0,TRUE)&lt;&gt;""),Lists!$AC$2:$AC$9,Lists!$AF$2:$AF$9,0))-SUM(_xlfn.XLOOKUP(_xlfn._xlws.FILTER(_xlfn.TOCOL(_xlfn.CHOOSECOLS(C646:L654,2,4,6,8,10),0,TRUE),_xlfn.TOCOL(_xlfn.CHOOSECOLS(C646:L654,1,3,5,7,9),0,TRUE)&lt;&gt;""),Lists!$AC$2:$AC$9,Lists!$AF$2:$AF$9,0))&lt;=3)*--((INT(C681)*3+MOD(ROUND(C681*10,0),10))&gt;=3))</f>
        <v/>
      </c>
      <c r="M681" s="68" t="str" cm="1">
        <f t="array" ref="M681">IF(OR(B681="",O681=""),"",--(COUNTIF(O679:O684,"&gt;0")=1)*--(SUM(_xlfn.XLOOKUP(_xlfn._xlws.FILTER(_xlfn.TOCOL(_xlfn.CHOOSECOLS(C646:L654,2,4,6,8,10),0,TRUE),_xlfn.TOCOL(_xlfn.CHOOSECOLS(C646:L654,1,3,5,7,9),0,TRUE)&lt;&gt;""),Lists!$AC$2:$AC$9,Lists!$AF$2:$AF$9,0))=0))</f>
        <v/>
      </c>
      <c r="N681" s="69" t="str">
        <f>IF(OR(B681="",O681=""),"",--(COUNTIF(O679:O684,"&gt;0")=1))</f>
        <v/>
      </c>
      <c r="O681" s="5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18"/>
      <c r="CJ681" s="18"/>
      <c r="CK681" s="18"/>
      <c r="CL681" s="18"/>
      <c r="CM681" s="18"/>
      <c r="CN681" s="18"/>
      <c r="CO681" s="18"/>
      <c r="CP681" s="18"/>
      <c r="CQ681" s="18"/>
      <c r="CR681" s="18"/>
      <c r="CS681" s="18"/>
      <c r="CT681" s="18"/>
      <c r="CU681" s="18"/>
      <c r="CV681" s="18"/>
      <c r="CW681" s="18"/>
      <c r="CX681" s="18"/>
      <c r="CY681" s="18"/>
      <c r="CZ681" s="18"/>
      <c r="DA681" s="18"/>
      <c r="DB681" s="18"/>
      <c r="DC681" s="18"/>
      <c r="DD681" s="18"/>
      <c r="DE681" s="18"/>
      <c r="DF681" s="18"/>
    </row>
    <row r="682" spans="1:110">
      <c r="A682" s="168">
        <v>4</v>
      </c>
      <c r="B682" s="71"/>
      <c r="C682" s="70" t="str" cm="1">
        <f t="array" aca="1" ref="C682" ca="1">IF(OR(B682="",O682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82" s="67" t="str" cm="1">
        <f t="array" aca="1" ref="D682" ca="1">IF(OR(B682="",O682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82" s="67" t="str" cm="1">
        <f t="array" aca="1" ref="E682" ca="1">IF(OR(B682="",O682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82" s="67" t="str" cm="1">
        <f t="array" aca="1" ref="F682" ca="1">IF(OR(B682="",O682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82" s="67" t="str" cm="1">
        <f t="array" aca="1" ref="G682" ca="1">IF(OR(B682="",O682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82" s="67" t="str" cm="1">
        <f t="array" aca="1" ref="H682" ca="1">IF(OR(B682="",O682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82" s="68" t="str" cm="1">
        <f t="array" aca="1" ref="I682" ca="1">IF(OR(B682="",O682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82" s="68" t="str" cm="1">
        <f t="array" aca="1" ref="J682" ca="1">IF(OR(B682="",O682=""),"",--(SUM(_xlfn.XLOOKUP(_xlfn._xlws.FILTER(_xlfn.TOCOL(_xlfn.CHOOSECOLS(C667:L675,2,4,6,8,10),0,TRUE),_xlfn.TOCOL(_xlfn.CHOOSECOLS(C667:L675,1,3,5,7,9),0,TRUE)&lt;&gt;""),Lists!$AC$2:$AC$9,Lists!$AF$2:$AF$9,0))&gt;SUM(_xlfn.XLOOKUP(_xlfn._xlws.FILTER(_xlfn.TOCOL(_xlfn.CHOOSECOLS(C646:L654,2,4,6,8,10),0,TRUE),_xlfn.TOCOL(_xlfn.CHOOSECOLS(C646:L654,1,3,5,7,9),0,TRUE)&lt;&gt;""),Lists!$AC$2:$AC$9,Lists!$AF$2:$AF$9,0)))*--(ROW()-ROW(C678)=_xlfn.XLOOKUP(MAX(IF(O679:O684&gt;0,INT(C679:C684)*3+MOD(ROUND(C679:C684*10,0),10),-1)),IF(O679:O684&gt;0,INT(C679:C684)*3+MOD(ROUND(C679:C684*10,0),10),-1),_xlfn.SEQUENCE(ROWS(O679:O684)),,0)))</f>
        <v/>
      </c>
      <c r="K682" s="68" t="str" cm="1">
        <f t="array" aca="1" ref="K682" ca="1">IF(OR(B682="",O682=""),"",--(SUM(_xlfn.XLOOKUP(_xlfn._xlws.FILTER(_xlfn.TOCOL(_xlfn.CHOOSECOLS(C667:L675,2,4,6,8,10),0,TRUE),_xlfn.TOCOL(_xlfn.CHOOSECOLS(C667:L675,1,3,5,7,9),0,TRUE)&lt;&gt;""),Lists!$AC$2:$AC$9,Lists!$AF$2:$AF$9,0))&lt;SUM(_xlfn.XLOOKUP(_xlfn._xlws.FILTER(_xlfn.TOCOL(_xlfn.CHOOSECOLS(C646:L654,2,4,6,8,10),0,TRUE),_xlfn.TOCOL(_xlfn.CHOOSECOLS(C646:L654,1,3,5,7,9),0,TRUE)&lt;&gt;""),Lists!$AC$2:$AC$9,Lists!$AF$2:$AF$9,0)))*--(ROW()-ROW(C678)=_xlfn.XLOOKUP(MAX(IF(O679:O684&gt;0,E679:E684,-1)),IF(O679:O684&gt;0,E679:E684,-1),_xlfn.SEQUENCE(ROWS(O679:O684)),,0)))</f>
        <v/>
      </c>
      <c r="L682" s="68" t="str" cm="1">
        <f t="array" aca="1" ref="L682" ca="1">IF(OR(B682="",O682=""),"",--(SUM(_xlfn.XLOOKUP(_xlfn._xlws.FILTER(_xlfn.TOCOL(_xlfn.CHOOSECOLS(C667:L675,2,4,6,8,10),0,TRUE),_xlfn.TOCOL(_xlfn.CHOOSECOLS(C667:L675,1,3,5,7,9),0,TRUE)&lt;&gt;""),Lists!$AC$2:$AC$9,Lists!$AF$2:$AF$9,0))&gt;SUM(_xlfn.XLOOKUP(_xlfn._xlws.FILTER(_xlfn.TOCOL(_xlfn.CHOOSECOLS(C646:L654,2,4,6,8,10),0,TRUE),_xlfn.TOCOL(_xlfn.CHOOSECOLS(C646:L654,1,3,5,7,9),0,TRUE)&lt;&gt;""),Lists!$AC$2:$AC$9,Lists!$AF$2:$AF$9,0)))*--(COUNTIF(O679:O684,"&gt;0")&gt;1)*--(ROW()-ROW(C678)=_xlfn.XLOOKUP(TRUE,O679:O684&gt;0,_xlfn.SEQUENCE(ROWS(O679:O684)),,0,-1))*--(_xlfn.XLOOKUP(TRUE,O679:O684&gt;0,_xlfn.SEQUENCE(ROWS(O679:O684)),,0,-1)&lt;&gt;_xlfn.XLOOKUP(MAX(IF(O679:O684&gt;0,INT(C679:C684)*3+MOD(ROUND(C679:C684*10,0),10),-1)),IF(O679:O684&gt;0,INT(C679:C684)*3+MOD(ROUND(C679:C684*10,0),10),-1),_xlfn.SEQUENCE(ROWS(O679:O684)),,0))*--(SUM(_xlfn.XLOOKUP(_xlfn._xlws.FILTER(_xlfn.TOCOL(_xlfn.CHOOSECOLS(C667:L675,2,4,6,8,10),0,TRUE),_xlfn.TOCOL(_xlfn.CHOOSECOLS(C667:L675,1,3,5,7,9),0,TRUE)&lt;&gt;""),Lists!$AC$2:$AC$9,Lists!$AF$2:$AF$9,0))-SUM(_xlfn.XLOOKUP(_xlfn._xlws.FILTER(_xlfn.TOCOL(_xlfn.CHOOSECOLS(C646:L654,2,4,6,8,10),0,TRUE),_xlfn.TOCOL(_xlfn.CHOOSECOLS(C646:L654,1,3,5,7,9),0,TRUE)&lt;&gt;""),Lists!$AC$2:$AC$9,Lists!$AF$2:$AF$9,0))&lt;=3)*--((INT(C682)*3+MOD(ROUND(C682*10,0),10))&gt;=3))</f>
        <v/>
      </c>
      <c r="M682" s="68" t="str" cm="1">
        <f t="array" ref="M682">IF(OR(B682="",O682=""),"",--(COUNTIF(O679:O684,"&gt;0")=1)*--(SUM(_xlfn.XLOOKUP(_xlfn._xlws.FILTER(_xlfn.TOCOL(_xlfn.CHOOSECOLS(C646:L654,2,4,6,8,10),0,TRUE),_xlfn.TOCOL(_xlfn.CHOOSECOLS(C646:L654,1,3,5,7,9),0,TRUE)&lt;&gt;""),Lists!$AC$2:$AC$9,Lists!$AF$2:$AF$9,0))=0))</f>
        <v/>
      </c>
      <c r="N682" s="69" t="str">
        <f>IF(OR(B682="",O682=""),"",--(COUNTIF(O679:O684,"&gt;0")=1))</f>
        <v/>
      </c>
      <c r="O682" s="5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18"/>
      <c r="CJ682" s="18"/>
      <c r="CK682" s="18"/>
      <c r="CL682" s="18"/>
      <c r="CM682" s="18"/>
      <c r="CN682" s="18"/>
      <c r="CO682" s="18"/>
      <c r="CP682" s="18"/>
      <c r="CQ682" s="18"/>
      <c r="CR682" s="18"/>
      <c r="CS682" s="18"/>
      <c r="CT682" s="18"/>
      <c r="CU682" s="18"/>
      <c r="CV682" s="18"/>
      <c r="CW682" s="18"/>
      <c r="CX682" s="18"/>
      <c r="CY682" s="18"/>
      <c r="CZ682" s="18"/>
      <c r="DA682" s="18"/>
      <c r="DB682" s="18"/>
      <c r="DC682" s="18"/>
      <c r="DD682" s="18"/>
      <c r="DE682" s="18"/>
      <c r="DF682" s="18"/>
    </row>
    <row r="683" spans="1:110">
      <c r="A683" s="168">
        <v>5</v>
      </c>
      <c r="B683" s="71"/>
      <c r="C683" s="70" t="str" cm="1">
        <f t="array" aca="1" ref="C683" ca="1">IF(OR(B683="",O683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83" s="67" t="str" cm="1">
        <f t="array" aca="1" ref="D683" ca="1">IF(OR(B683="",O683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83" s="67" t="str" cm="1">
        <f t="array" aca="1" ref="E683" ca="1">IF(OR(B683="",O683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83" s="67" t="str" cm="1">
        <f t="array" aca="1" ref="F683" ca="1">IF(OR(B683="",O683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83" s="67" t="str" cm="1">
        <f t="array" aca="1" ref="G683" ca="1">IF(OR(B683="",O683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83" s="67" t="str" cm="1">
        <f t="array" aca="1" ref="H683" ca="1">IF(OR(B683="",O683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83" s="68" t="str" cm="1">
        <f t="array" aca="1" ref="I683" ca="1">IF(OR(B683="",O683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83" s="68" t="str" cm="1">
        <f t="array" aca="1" ref="J683" ca="1">IF(OR(B683="",O683=""),"",--(SUM(_xlfn.XLOOKUP(_xlfn._xlws.FILTER(_xlfn.TOCOL(_xlfn.CHOOSECOLS(C667:L675,2,4,6,8,10),0,TRUE),_xlfn.TOCOL(_xlfn.CHOOSECOLS(C667:L675,1,3,5,7,9),0,TRUE)&lt;&gt;""),Lists!$AC$2:$AC$9,Lists!$AF$2:$AF$9,0))&gt;SUM(_xlfn.XLOOKUP(_xlfn._xlws.FILTER(_xlfn.TOCOL(_xlfn.CHOOSECOLS(C646:L654,2,4,6,8,10),0,TRUE),_xlfn.TOCOL(_xlfn.CHOOSECOLS(C646:L654,1,3,5,7,9),0,TRUE)&lt;&gt;""),Lists!$AC$2:$AC$9,Lists!$AF$2:$AF$9,0)))*--(ROW()-ROW(C678)=_xlfn.XLOOKUP(MAX(IF(O679:O684&gt;0,INT(C679:C684)*3+MOD(ROUND(C679:C684*10,0),10),-1)),IF(O679:O684&gt;0,INT(C679:C684)*3+MOD(ROUND(C679:C684*10,0),10),-1),_xlfn.SEQUENCE(ROWS(O679:O684)),,0)))</f>
        <v/>
      </c>
      <c r="K683" s="68" t="str" cm="1">
        <f t="array" aca="1" ref="K683" ca="1">IF(OR(B683="",O683=""),"",--(SUM(_xlfn.XLOOKUP(_xlfn._xlws.FILTER(_xlfn.TOCOL(_xlfn.CHOOSECOLS(C667:L675,2,4,6,8,10),0,TRUE),_xlfn.TOCOL(_xlfn.CHOOSECOLS(C667:L675,1,3,5,7,9),0,TRUE)&lt;&gt;""),Lists!$AC$2:$AC$9,Lists!$AF$2:$AF$9,0))&lt;SUM(_xlfn.XLOOKUP(_xlfn._xlws.FILTER(_xlfn.TOCOL(_xlfn.CHOOSECOLS(C646:L654,2,4,6,8,10),0,TRUE),_xlfn.TOCOL(_xlfn.CHOOSECOLS(C646:L654,1,3,5,7,9),0,TRUE)&lt;&gt;""),Lists!$AC$2:$AC$9,Lists!$AF$2:$AF$9,0)))*--(ROW()-ROW(C678)=_xlfn.XLOOKUP(MAX(IF(O679:O684&gt;0,E679:E684,-1)),IF(O679:O684&gt;0,E679:E684,-1),_xlfn.SEQUENCE(ROWS(O679:O684)),,0)))</f>
        <v/>
      </c>
      <c r="L683" s="68" t="str" cm="1">
        <f t="array" aca="1" ref="L683" ca="1">IF(OR(B683="",O683=""),"",--(SUM(_xlfn.XLOOKUP(_xlfn._xlws.FILTER(_xlfn.TOCOL(_xlfn.CHOOSECOLS(C667:L675,2,4,6,8,10),0,TRUE),_xlfn.TOCOL(_xlfn.CHOOSECOLS(C667:L675,1,3,5,7,9),0,TRUE)&lt;&gt;""),Lists!$AC$2:$AC$9,Lists!$AF$2:$AF$9,0))&gt;SUM(_xlfn.XLOOKUP(_xlfn._xlws.FILTER(_xlfn.TOCOL(_xlfn.CHOOSECOLS(C646:L654,2,4,6,8,10),0,TRUE),_xlfn.TOCOL(_xlfn.CHOOSECOLS(C646:L654,1,3,5,7,9),0,TRUE)&lt;&gt;""),Lists!$AC$2:$AC$9,Lists!$AF$2:$AF$9,0)))*--(COUNTIF(O679:O684,"&gt;0")&gt;1)*--(ROW()-ROW(C678)=_xlfn.XLOOKUP(TRUE,O679:O684&gt;0,_xlfn.SEQUENCE(ROWS(O679:O684)),,0,-1))*--(_xlfn.XLOOKUP(TRUE,O679:O684&gt;0,_xlfn.SEQUENCE(ROWS(O679:O684)),,0,-1)&lt;&gt;_xlfn.XLOOKUP(MAX(IF(O679:O684&gt;0,INT(C679:C684)*3+MOD(ROUND(C679:C684*10,0),10),-1)),IF(O679:O684&gt;0,INT(C679:C684)*3+MOD(ROUND(C679:C684*10,0),10),-1),_xlfn.SEQUENCE(ROWS(O679:O684)),,0))*--(SUM(_xlfn.XLOOKUP(_xlfn._xlws.FILTER(_xlfn.TOCOL(_xlfn.CHOOSECOLS(C667:L675,2,4,6,8,10),0,TRUE),_xlfn.TOCOL(_xlfn.CHOOSECOLS(C667:L675,1,3,5,7,9),0,TRUE)&lt;&gt;""),Lists!$AC$2:$AC$9,Lists!$AF$2:$AF$9,0))-SUM(_xlfn.XLOOKUP(_xlfn._xlws.FILTER(_xlfn.TOCOL(_xlfn.CHOOSECOLS(C646:L654,2,4,6,8,10),0,TRUE),_xlfn.TOCOL(_xlfn.CHOOSECOLS(C646:L654,1,3,5,7,9),0,TRUE)&lt;&gt;""),Lists!$AC$2:$AC$9,Lists!$AF$2:$AF$9,0))&lt;=3)*--((INT(C683)*3+MOD(ROUND(C683*10,0),10))&gt;=3))</f>
        <v/>
      </c>
      <c r="M683" s="68" t="str" cm="1">
        <f t="array" ref="M683">IF(OR(B683="",O683=""),"",--(COUNTIF(O679:O684,"&gt;0")=1)*--(SUM(_xlfn.XLOOKUP(_xlfn._xlws.FILTER(_xlfn.TOCOL(_xlfn.CHOOSECOLS(C646:L654,2,4,6,8,10),0,TRUE),_xlfn.TOCOL(_xlfn.CHOOSECOLS(C646:L654,1,3,5,7,9),0,TRUE)&lt;&gt;""),Lists!$AC$2:$AC$9,Lists!$AF$2:$AF$9,0))=0))</f>
        <v/>
      </c>
      <c r="N683" s="69" t="str">
        <f>IF(OR(B683="",O683=""),"",--(COUNTIF(O679:O684,"&gt;0")=1))</f>
        <v/>
      </c>
      <c r="O683" s="5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18"/>
      <c r="CJ683" s="18"/>
      <c r="CK683" s="18"/>
      <c r="CL683" s="18"/>
      <c r="CM683" s="18"/>
      <c r="CN683" s="18"/>
      <c r="CO683" s="18"/>
      <c r="CP683" s="18"/>
      <c r="CQ683" s="18"/>
      <c r="CR683" s="18"/>
      <c r="CS683" s="18"/>
      <c r="CT683" s="18"/>
      <c r="CU683" s="18"/>
      <c r="CV683" s="18"/>
      <c r="CW683" s="18"/>
      <c r="CX683" s="18"/>
      <c r="CY683" s="18"/>
      <c r="CZ683" s="18"/>
      <c r="DA683" s="18"/>
      <c r="DB683" s="18"/>
      <c r="DC683" s="18"/>
      <c r="DD683" s="18"/>
      <c r="DE683" s="18"/>
      <c r="DF683" s="18"/>
    </row>
    <row r="684" spans="1:110">
      <c r="A684" s="168">
        <v>6</v>
      </c>
      <c r="B684" s="71"/>
      <c r="C684" s="70" t="str" cm="1">
        <f t="array" aca="1" ref="C684" ca="1">IF(OR(B684="",O684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684" s="67" t="str" cm="1">
        <f t="array" aca="1" ref="D684" ca="1">IF(OR(B684="",O684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684" s="67" t="str" cm="1">
        <f t="array" aca="1" ref="E684" ca="1">IF(OR(B684="",O684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684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684" s="67" t="str" cm="1">
        <f t="array" aca="1" ref="F684" ca="1">IF(OR(B684="",O684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684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684" s="67" t="str" cm="1">
        <f t="array" aca="1" ref="G684" ca="1">IF(OR(B684="",O684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684" s="67" t="str" cm="1">
        <f t="array" aca="1" ref="H684" ca="1">IF(OR(B684="",O684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684" s="68" t="str" cm="1">
        <f t="array" aca="1" ref="I684" ca="1">IF(OR(B684="",O684=""),"",_xlfn.LET(_xlpm.flatPAraw,_xlfn.TOCOL(_xlfn.CHOOSECOLS(C646:L654,1,3,5,7,9),0,TRUE),_xlpm.flatPARraw,_xlfn.TOCOL(_xlfn.CHOOSECOLS(C646:L654,2,4,6,8,10),0,TRUE),_xlpm.flatPA,_xlfn._xlws.FILTER(_xlpm.flatPAraw,_xlpm.flatPAraw&lt;&gt;""),_xlpm.flatPAR,_xlfn._xlws.FILTER(_xlpm.flatPARraw,_xlpm.flatPAraw&lt;&gt;""),_xlpm.prev,IF(ROW()=ROW(C679),0,SUM(INDEX(O:O,ROW(C679)):INDEX(O:O,ROW()-1))),_xlpm.need,O684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684" s="68" t="str" cm="1">
        <f t="array" aca="1" ref="J684" ca="1">IF(OR(B684="",O684=""),"",--(SUM(_xlfn.XLOOKUP(_xlfn._xlws.FILTER(_xlfn.TOCOL(_xlfn.CHOOSECOLS(C667:L675,2,4,6,8,10),0,TRUE),_xlfn.TOCOL(_xlfn.CHOOSECOLS(C667:L675,1,3,5,7,9),0,TRUE)&lt;&gt;""),Lists!$AC$2:$AC$9,Lists!$AF$2:$AF$9,0))&gt;SUM(_xlfn.XLOOKUP(_xlfn._xlws.FILTER(_xlfn.TOCOL(_xlfn.CHOOSECOLS(C646:L654,2,4,6,8,10),0,TRUE),_xlfn.TOCOL(_xlfn.CHOOSECOLS(C646:L654,1,3,5,7,9),0,TRUE)&lt;&gt;""),Lists!$AC$2:$AC$9,Lists!$AF$2:$AF$9,0)))*--(ROW()-ROW(C678)=_xlfn.XLOOKUP(MAX(IF(O679:O684&gt;0,INT(C679:C684)*3+MOD(ROUND(C679:C684*10,0),10),-1)),IF(O679:O684&gt;0,INT(C679:C684)*3+MOD(ROUND(C679:C684*10,0),10),-1),_xlfn.SEQUENCE(ROWS(O679:O684)),,0)))</f>
        <v/>
      </c>
      <c r="K684" s="68" t="str" cm="1">
        <f t="array" aca="1" ref="K684" ca="1">IF(OR(B684="",O684=""),"",--(SUM(_xlfn.XLOOKUP(_xlfn._xlws.FILTER(_xlfn.TOCOL(_xlfn.CHOOSECOLS(C667:L675,2,4,6,8,10),0,TRUE),_xlfn.TOCOL(_xlfn.CHOOSECOLS(C667:L675,1,3,5,7,9),0,TRUE)&lt;&gt;""),Lists!$AC$2:$AC$9,Lists!$AF$2:$AF$9,0))&lt;SUM(_xlfn.XLOOKUP(_xlfn._xlws.FILTER(_xlfn.TOCOL(_xlfn.CHOOSECOLS(C646:L654,2,4,6,8,10),0,TRUE),_xlfn.TOCOL(_xlfn.CHOOSECOLS(C646:L654,1,3,5,7,9),0,TRUE)&lt;&gt;""),Lists!$AC$2:$AC$9,Lists!$AF$2:$AF$9,0)))*--(ROW()-ROW(C678)=_xlfn.XLOOKUP(MAX(IF(O679:O684&gt;0,E679:E684,-1)),IF(O679:O684&gt;0,E679:E684,-1),_xlfn.SEQUENCE(ROWS(O679:O684)),,0)))</f>
        <v/>
      </c>
      <c r="L684" s="68" t="str" cm="1">
        <f t="array" aca="1" ref="L684" ca="1">IF(OR(B684="",O684=""),"",--(SUM(_xlfn.XLOOKUP(_xlfn._xlws.FILTER(_xlfn.TOCOL(_xlfn.CHOOSECOLS(C667:L675,2,4,6,8,10),0,TRUE),_xlfn.TOCOL(_xlfn.CHOOSECOLS(C667:L675,1,3,5,7,9),0,TRUE)&lt;&gt;""),Lists!$AC$2:$AC$9,Lists!$AF$2:$AF$9,0))&gt;SUM(_xlfn.XLOOKUP(_xlfn._xlws.FILTER(_xlfn.TOCOL(_xlfn.CHOOSECOLS(C646:L654,2,4,6,8,10),0,TRUE),_xlfn.TOCOL(_xlfn.CHOOSECOLS(C646:L654,1,3,5,7,9),0,TRUE)&lt;&gt;""),Lists!$AC$2:$AC$9,Lists!$AF$2:$AF$9,0)))*--(COUNTIF(O679:O684,"&gt;0")&gt;1)*--(ROW()-ROW(C678)=_xlfn.XLOOKUP(TRUE,O679:O684&gt;0,_xlfn.SEQUENCE(ROWS(O679:O684)),,0,-1))*--(_xlfn.XLOOKUP(TRUE,O679:O684&gt;0,_xlfn.SEQUENCE(ROWS(O679:O684)),,0,-1)&lt;&gt;_xlfn.XLOOKUP(MAX(IF(O679:O684&gt;0,INT(C679:C684)*3+MOD(ROUND(C679:C684*10,0),10),-1)),IF(O679:O684&gt;0,INT(C679:C684)*3+MOD(ROUND(C679:C684*10,0),10),-1),_xlfn.SEQUENCE(ROWS(O679:O684)),,0))*--(SUM(_xlfn.XLOOKUP(_xlfn._xlws.FILTER(_xlfn.TOCOL(_xlfn.CHOOSECOLS(C667:L675,2,4,6,8,10),0,TRUE),_xlfn.TOCOL(_xlfn.CHOOSECOLS(C667:L675,1,3,5,7,9),0,TRUE)&lt;&gt;""),Lists!$AC$2:$AC$9,Lists!$AF$2:$AF$9,0))-SUM(_xlfn.XLOOKUP(_xlfn._xlws.FILTER(_xlfn.TOCOL(_xlfn.CHOOSECOLS(C646:L654,2,4,6,8,10),0,TRUE),_xlfn.TOCOL(_xlfn.CHOOSECOLS(C646:L654,1,3,5,7,9),0,TRUE)&lt;&gt;""),Lists!$AC$2:$AC$9,Lists!$AF$2:$AF$9,0))&lt;=3)*--((INT(C684)*3+MOD(ROUND(C684*10,0),10))&gt;=3))</f>
        <v/>
      </c>
      <c r="M684" s="68" t="str" cm="1">
        <f t="array" ref="M684">IF(OR(B684="",O684=""),"",--(COUNTIF(O679:O684,"&gt;0")=1)*--(SUM(_xlfn.XLOOKUP(_xlfn._xlws.FILTER(_xlfn.TOCOL(_xlfn.CHOOSECOLS(C646:L654,2,4,6,8,10),0,TRUE),_xlfn.TOCOL(_xlfn.CHOOSECOLS(C646:L654,1,3,5,7,9),0,TRUE)&lt;&gt;""),Lists!$AC$2:$AC$9,Lists!$AF$2:$AF$9,0))=0))</f>
        <v/>
      </c>
      <c r="N684" s="69" t="str">
        <f>IF(OR(B684="",O684=""),"",--(COUNTIF(O679:O684,"&gt;0")=1))</f>
        <v/>
      </c>
      <c r="O684" s="5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18"/>
      <c r="CJ684" s="18"/>
      <c r="CK684" s="18"/>
      <c r="CL684" s="18"/>
      <c r="CM684" s="18"/>
      <c r="CN684" s="18"/>
      <c r="CO684" s="18"/>
      <c r="CP684" s="18"/>
      <c r="CQ684" s="18"/>
      <c r="CR684" s="18"/>
      <c r="CS684" s="18"/>
      <c r="CT684" s="18"/>
      <c r="CU684" s="18"/>
      <c r="CV684" s="18"/>
      <c r="CW684" s="18"/>
      <c r="CX684" s="18"/>
      <c r="CY684" s="18"/>
      <c r="CZ684" s="18"/>
      <c r="DA684" s="18"/>
      <c r="DB684" s="18"/>
      <c r="DC684" s="18"/>
      <c r="DD684" s="18"/>
      <c r="DE684" s="18"/>
      <c r="DF684" s="18"/>
    </row>
    <row r="685" spans="1:110">
      <c r="A685" s="173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  <c r="CL685" s="18"/>
      <c r="CM685" s="18"/>
      <c r="CN685" s="18"/>
      <c r="CO685" s="18"/>
      <c r="CP685" s="18"/>
      <c r="CQ685" s="18"/>
      <c r="CR685" s="18"/>
      <c r="CS685" s="18"/>
      <c r="CT685" s="18"/>
      <c r="CU685" s="18"/>
      <c r="CV685" s="18"/>
      <c r="CW685" s="18"/>
      <c r="CX685" s="18"/>
      <c r="CY685" s="18"/>
      <c r="CZ685" s="18"/>
      <c r="DA685" s="18"/>
      <c r="DB685" s="18"/>
      <c r="DC685" s="18"/>
      <c r="DD685" s="18"/>
      <c r="DE685" s="18"/>
      <c r="DF685" s="18"/>
    </row>
    <row r="686" spans="1:110">
      <c r="A686" s="174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18"/>
      <c r="CJ686" s="18"/>
      <c r="CK686" s="18"/>
      <c r="CL686" s="18"/>
      <c r="CM686" s="18"/>
      <c r="CN686" s="18"/>
      <c r="CO686" s="18"/>
      <c r="CP686" s="18"/>
      <c r="CQ686" s="18"/>
      <c r="CR686" s="18"/>
      <c r="CS686" s="18"/>
      <c r="CT686" s="18"/>
      <c r="CU686" s="18"/>
      <c r="CV686" s="18"/>
      <c r="CW686" s="18"/>
      <c r="CX686" s="18"/>
      <c r="CY686" s="18"/>
      <c r="CZ686" s="18"/>
      <c r="DA686" s="18"/>
      <c r="DB686" s="18"/>
      <c r="DC686" s="18"/>
      <c r="DD686" s="18"/>
      <c r="DE686" s="18"/>
      <c r="DF686" s="18"/>
    </row>
    <row r="687" spans="1:110">
      <c r="A687" s="217" t="s">
        <v>220</v>
      </c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9"/>
      <c r="N687" s="207"/>
      <c r="O687" s="36"/>
      <c r="P687" s="37"/>
      <c r="Q687" s="38"/>
      <c r="R687" s="38"/>
      <c r="S687" s="38"/>
      <c r="T687" s="38"/>
      <c r="U687" s="38"/>
      <c r="V687" s="38"/>
      <c r="W687" s="38"/>
      <c r="X687" s="3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18"/>
      <c r="CJ687" s="18"/>
      <c r="CK687" s="18"/>
      <c r="CL687" s="18"/>
      <c r="CM687" s="18"/>
      <c r="CN687" s="18"/>
      <c r="CO687" s="18"/>
      <c r="CP687" s="18"/>
      <c r="CQ687" s="18"/>
      <c r="CR687" s="18"/>
      <c r="CS687" s="18"/>
      <c r="CT687" s="18"/>
      <c r="CU687" s="18"/>
      <c r="CV687" s="18"/>
      <c r="CW687" s="18"/>
      <c r="CX687" s="18"/>
      <c r="CY687" s="18"/>
      <c r="CZ687" s="18"/>
      <c r="DA687" s="18"/>
      <c r="DB687" s="18"/>
      <c r="DC687" s="18"/>
      <c r="DD687" s="18"/>
      <c r="DE687" s="18"/>
      <c r="DF687" s="18"/>
    </row>
    <row r="688" spans="1:110">
      <c r="A688" s="169" t="s">
        <v>33</v>
      </c>
      <c r="B688" s="40">
        <f>Settings!$B$2</f>
        <v>1</v>
      </c>
      <c r="C688" s="41"/>
      <c r="D688" s="40" t="s">
        <v>95</v>
      </c>
      <c r="E688" s="41"/>
      <c r="F688" s="40" t="str">
        <f>Bracket!$F$20</f>
        <v/>
      </c>
      <c r="G688" s="41"/>
      <c r="H688" s="40" t="s">
        <v>97</v>
      </c>
      <c r="I688" s="41"/>
      <c r="J688" s="40" t="str">
        <f>Bracket!$G$20</f>
        <v/>
      </c>
      <c r="K688" s="41"/>
      <c r="L688" s="40" t="s">
        <v>134</v>
      </c>
      <c r="M688" s="24"/>
      <c r="N688" s="173" t="str">
        <f ca="1">Bracket!$H$20</f>
        <v/>
      </c>
      <c r="O688" s="24"/>
      <c r="P688" s="18"/>
      <c r="Q688" s="18"/>
      <c r="R688" s="18" t="str">
        <f ca="1">Bracket!$I$20</f>
        <v/>
      </c>
      <c r="S688" s="18"/>
      <c r="T688" s="18"/>
      <c r="U688" s="18"/>
      <c r="V688" s="18" t="str">
        <f ca="1">Bracket!$L$20</f>
        <v/>
      </c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8"/>
      <c r="CG688" s="18"/>
      <c r="CH688" s="18"/>
      <c r="CI688" s="18"/>
      <c r="CJ688" s="18"/>
      <c r="CK688" s="18"/>
      <c r="CL688" s="18"/>
      <c r="CM688" s="18"/>
      <c r="CN688" s="18"/>
      <c r="CO688" s="18"/>
      <c r="CP688" s="18"/>
      <c r="CQ688" s="18"/>
      <c r="CR688" s="18"/>
      <c r="CS688" s="18"/>
      <c r="CT688" s="18"/>
      <c r="CU688" s="18"/>
      <c r="CV688" s="18"/>
      <c r="CW688" s="18"/>
      <c r="CX688" s="18"/>
      <c r="CY688" s="18"/>
      <c r="CZ688" s="18"/>
      <c r="DA688" s="18"/>
      <c r="DB688" s="18"/>
      <c r="DC688" s="18"/>
      <c r="DD688" s="18"/>
      <c r="DE688" s="18"/>
      <c r="DF688" s="18"/>
    </row>
    <row r="689" spans="1:110">
      <c r="A689" s="170" t="s">
        <v>160</v>
      </c>
      <c r="B689" s="72">
        <v>1</v>
      </c>
      <c r="C689" s="72">
        <v>2</v>
      </c>
      <c r="D689" s="72">
        <v>3</v>
      </c>
      <c r="E689" s="72">
        <v>4</v>
      </c>
      <c r="F689" s="72">
        <v>5</v>
      </c>
      <c r="G689" s="72">
        <v>6</v>
      </c>
      <c r="H689" s="72">
        <v>7</v>
      </c>
      <c r="I689" s="73">
        <v>8</v>
      </c>
      <c r="J689" s="73">
        <v>9</v>
      </c>
      <c r="K689" s="73" t="s">
        <v>161</v>
      </c>
      <c r="L689" s="73" t="s">
        <v>162</v>
      </c>
      <c r="M689" s="74" t="s">
        <v>163</v>
      </c>
      <c r="N689" s="24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8"/>
      <c r="CG689" s="18"/>
      <c r="CH689" s="18"/>
      <c r="CI689" s="18"/>
      <c r="CJ689" s="18"/>
      <c r="CK689" s="18"/>
      <c r="CL689" s="18"/>
      <c r="CM689" s="18"/>
      <c r="CN689" s="18"/>
      <c r="CO689" s="18"/>
      <c r="CP689" s="18"/>
      <c r="CQ689" s="18"/>
      <c r="CR689" s="18"/>
      <c r="CS689" s="18"/>
      <c r="CT689" s="18"/>
      <c r="CU689" s="18"/>
      <c r="CV689" s="18"/>
      <c r="CW689" s="18"/>
      <c r="CX689" s="18"/>
      <c r="CY689" s="18"/>
      <c r="CZ689" s="18"/>
      <c r="DA689" s="18"/>
      <c r="DB689" s="18"/>
      <c r="DC689" s="18"/>
      <c r="DD689" s="18"/>
      <c r="DE689" s="18"/>
      <c r="DF689" s="18"/>
    </row>
    <row r="690" spans="1:110">
      <c r="A690" s="171" t="str">
        <f ca="1">N688</f>
        <v/>
      </c>
      <c r="B690" s="75" cm="1">
        <f t="array" ref="B690">IFERROR(_xlfn.LET(_xlpm.flatPAraw,_xlfn.TOCOL(_xlfn.CHOOSECOLS(C695:L703,1,3,5,7,9),0,TRUE),_xlpm.flatPARraw,_xlfn.TOCOL(_xlfn.CHOOSECOLS(C695:L703,2,4,6,8,10)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690" s="75" cm="1">
        <f t="array" ref="C690">IFERROR(_xlfn.LET(_xlpm.flatPAraw,_xlfn.TOCOL(_xlfn.CHOOSECOLS(C695:L703,1,3,5,7,9),0,TRUE),_xlpm.flatPARraw,_xlfn.TOCOL(_xlfn.CHOOSECOLS(C695:L703,2,4,6,8,10)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690" s="75" cm="1">
        <f t="array" ref="D690">IFERROR(_xlfn.LET(_xlpm.flatPAraw,_xlfn.TOCOL(_xlfn.CHOOSECOLS(C695:L703,1,3,5,7,9),0,TRUE),_xlpm.flatPARraw,_xlfn.TOCOL(_xlfn.CHOOSECOLS(C695:L703,2,4,6,8,10)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690" s="75" cm="1">
        <f t="array" ref="E690">IFERROR(_xlfn.LET(_xlpm.flatPAraw,_xlfn.TOCOL(_xlfn.CHOOSECOLS(C695:L703,1,3,5,7,9),0,TRUE),_xlpm.flatPARraw,_xlfn.TOCOL(_xlfn.CHOOSECOLS(C695:L703,2,4,6,8,10)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690" s="75" cm="1">
        <f t="array" ref="F690">IFERROR(_xlfn.LET(_xlpm.flatPAraw,_xlfn.TOCOL(_xlfn.CHOOSECOLS(C695:L703,1,3,5,7,9),0,TRUE),_xlpm.flatPARraw,_xlfn.TOCOL(_xlfn.CHOOSECOLS(C695:L703,2,4,6,8,10)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690" s="75" cm="1">
        <f t="array" ref="G690">IFERROR(_xlfn.LET(_xlpm.flatPAraw,_xlfn.TOCOL(_xlfn.CHOOSECOLS(C695:L703,1,3,5,7,9),0,TRUE),_xlpm.flatPARraw,_xlfn.TOCOL(_xlfn.CHOOSECOLS(C695:L703,2,4,6,8,10)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690" s="75" cm="1">
        <f t="array" ref="H690">IFERROR(_xlfn.LET(_xlpm.flatPAraw,_xlfn.TOCOL(_xlfn.CHOOSECOLS(C695:L703,1,3,5,7,9),0,TRUE),_xlpm.flatPARraw,_xlfn.TOCOL(_xlfn.CHOOSECOLS(C695:L703,2,4,6,8,10)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690" s="76" cm="1">
        <f t="array" ref="I690">IFERROR(_xlfn.LET(_xlpm.flatPAraw,_xlfn.TOCOL(_xlfn.CHOOSECOLS(C695:L703,1,3,5,7,9),0,TRUE),_xlpm.flatPARraw,_xlfn.TOCOL(_xlfn.CHOOSECOLS(C695:L703,2,4,6,8,10)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690" s="76" cm="1">
        <f t="array" ref="J690">IFERROR(_xlfn.LET(_xlpm.flatPAraw,_xlfn.TOCOL(_xlfn.CHOOSECOLS(C695:L703,1,3,5,7,9),0,TRUE),_xlpm.flatPARraw,_xlfn.TOCOL(_xlfn.CHOOSECOLS(C695:L703,2,4,6,8,10)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690" s="164">
        <f>SUM(B690:J690)</f>
        <v>0</v>
      </c>
      <c r="L690" s="77">
        <f ca="1">SUM(O695:O703)</f>
        <v>0</v>
      </c>
      <c r="M690" s="78">
        <f>COUNTIF(C716:L724,"ROE")</f>
        <v>0</v>
      </c>
      <c r="N690" s="24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  <c r="CI690" s="18"/>
      <c r="CJ690" s="18"/>
      <c r="CK690" s="18"/>
      <c r="CL690" s="18"/>
      <c r="CM690" s="18"/>
      <c r="CN690" s="18"/>
      <c r="CO690" s="18"/>
      <c r="CP690" s="18"/>
      <c r="CQ690" s="18"/>
      <c r="CR690" s="18"/>
      <c r="CS690" s="18"/>
      <c r="CT690" s="18"/>
      <c r="CU690" s="18"/>
      <c r="CV690" s="18"/>
      <c r="CW690" s="18"/>
      <c r="CX690" s="18"/>
      <c r="CY690" s="18"/>
      <c r="CZ690" s="18"/>
      <c r="DA690" s="18"/>
      <c r="DB690" s="18"/>
      <c r="DC690" s="18"/>
      <c r="DD690" s="18"/>
      <c r="DE690" s="18"/>
      <c r="DF690" s="18"/>
    </row>
    <row r="691" spans="1:110">
      <c r="A691" s="172" t="str">
        <f ca="1">R688</f>
        <v/>
      </c>
      <c r="B691" s="79" cm="1">
        <f t="array" ref="B691">IFERROR(_xlfn.LET(_xlpm.flatPAraw,_xlfn.TOCOL(_xlfn.CHOOSECOLS(C716:L724,1,3,5,7,9),0,TRUE),_xlpm.flatPARraw,_xlfn.TOCOL(_xlfn.CHOOSECOLS(C716:L724,2,4,6,8,10)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1,0))),0)</f>
        <v>0</v>
      </c>
      <c r="C691" s="79" cm="1">
        <f t="array" ref="C691">IFERROR(_xlfn.LET(_xlpm.flatPAraw,_xlfn.TOCOL(_xlfn.CHOOSECOLS(C716:L724,1,3,5,7,9),0,TRUE),_xlpm.flatPARraw,_xlfn.TOCOL(_xlfn.CHOOSECOLS(C716:L724,2,4,6,8,10)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2,0))),0)</f>
        <v>0</v>
      </c>
      <c r="D691" s="79" cm="1">
        <f t="array" ref="D691">IFERROR(_xlfn.LET(_xlpm.flatPAraw,_xlfn.TOCOL(_xlfn.CHOOSECOLS(C716:L724,1,3,5,7,9),0,TRUE),_xlpm.flatPARraw,_xlfn.TOCOL(_xlfn.CHOOSECOLS(C716:L724,2,4,6,8,10)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3,0))),0)</f>
        <v>0</v>
      </c>
      <c r="E691" s="79" cm="1">
        <f t="array" ref="E691">IFERROR(_xlfn.LET(_xlpm.flatPAraw,_xlfn.TOCOL(_xlfn.CHOOSECOLS(C716:L724,1,3,5,7,9),0,TRUE),_xlpm.flatPARraw,_xlfn.TOCOL(_xlfn.CHOOSECOLS(C716:L724,2,4,6,8,10)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4,0))),0)</f>
        <v>0</v>
      </c>
      <c r="F691" s="79" cm="1">
        <f t="array" ref="F691">IFERROR(_xlfn.LET(_xlpm.flatPAraw,_xlfn.TOCOL(_xlfn.CHOOSECOLS(C716:L724,1,3,5,7,9),0,TRUE),_xlpm.flatPARraw,_xlfn.TOCOL(_xlfn.CHOOSECOLS(C716:L724,2,4,6,8,10)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5,0))),0)</f>
        <v>0</v>
      </c>
      <c r="G691" s="79" cm="1">
        <f t="array" ref="G691">IFERROR(_xlfn.LET(_xlpm.flatPAraw,_xlfn.TOCOL(_xlfn.CHOOSECOLS(C716:L724,1,3,5,7,9),0,TRUE),_xlpm.flatPARraw,_xlfn.TOCOL(_xlfn.CHOOSECOLS(C716:L724,2,4,6,8,10)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6,0))),0)</f>
        <v>0</v>
      </c>
      <c r="H691" s="79" cm="1">
        <f t="array" ref="H691">IFERROR(_xlfn.LET(_xlpm.flatPAraw,_xlfn.TOCOL(_xlfn.CHOOSECOLS(C716:L724,1,3,5,7,9),0,TRUE),_xlpm.flatPARraw,_xlfn.TOCOL(_xlfn.CHOOSECOLS(C716:L724,2,4,6,8,10)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7,0))),0)</f>
        <v>0</v>
      </c>
      <c r="I691" s="80" cm="1">
        <f t="array" ref="I691">IFERROR(_xlfn.LET(_xlpm.flatPAraw,_xlfn.TOCOL(_xlfn.CHOOSECOLS(C716:L724,1,3,5,7,9),0,TRUE),_xlpm.flatPARraw,_xlfn.TOCOL(_xlfn.CHOOSECOLS(C716:L724,2,4,6,8,10)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8,0))),0)</f>
        <v>0</v>
      </c>
      <c r="J691" s="80" cm="1">
        <f t="array" ref="J691">IFERROR(_xlfn.LET(_xlpm.flatPAraw,_xlfn.TOCOL(_xlfn.CHOOSECOLS(C716:L724,1,3,5,7,9),0,TRUE),_xlpm.flatPARraw,_xlfn.TOCOL(_xlfn.CHOOSECOLS(C716:L724,2,4,6,8,10),0,TRUE),_xlpm.mask,_xlpm.flatPAraw&lt;&gt;"",_xlpm.flatPA,_xlfn._xlws.FILTER(_xlpm.flatPAraw,_xlpm.mask),_xlpm.flatPAR,_xlfn._xlws.FILTER(_xlpm.flatPARraw,_xlpm.mask),_xlpm.outs,_xlfn.XLOOKUP(_xlpm.flatPA,Lists!$P$2:$P$19,Lists!$AH$2:$AH$19,0),_xlpm.n,ROWS(_xlpm.outs),_xlpm.prevOuts,MMULT(--(_xlfn.SEQUENCE(_xlpm.n)&gt;TRANSPOSE(_xlfn.SEQUENCE(_xlpm.n))),_xlpm.outs),_xlpm.evtRuns,_xlfn.XLOOKUP(_xlpm.flatPAR,Lists!$AC$2:$AC$9,Lists!$AF$2:$AF$9,0),_xlpm.evtInn,1+QUOTIENT(_xlpm.prevOuts,3),SUM(_xlfn._xlws.FILTER(_xlpm.evtRuns,_xlpm.evtInn=9,0))),0)</f>
        <v>0</v>
      </c>
      <c r="K691" s="165">
        <f>SUM(B691:J691)</f>
        <v>0</v>
      </c>
      <c r="L691" s="81">
        <f ca="1">SUM(O716:O724)</f>
        <v>0</v>
      </c>
      <c r="M691" s="82">
        <f>COUNTIF(C695:L703,"ROE")</f>
        <v>0</v>
      </c>
      <c r="N691" s="24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  <c r="CI691" s="18"/>
      <c r="CJ691" s="18"/>
      <c r="CK691" s="18"/>
      <c r="CL691" s="18"/>
      <c r="CM691" s="18"/>
      <c r="CN691" s="18"/>
      <c r="CO691" s="18"/>
      <c r="CP691" s="18"/>
      <c r="CQ691" s="18"/>
      <c r="CR691" s="18"/>
      <c r="CS691" s="18"/>
      <c r="CT691" s="18"/>
      <c r="CU691" s="18"/>
      <c r="CV691" s="18"/>
      <c r="CW691" s="18"/>
      <c r="CX691" s="18"/>
      <c r="CY691" s="18"/>
      <c r="CZ691" s="18"/>
      <c r="DA691" s="18"/>
      <c r="DB691" s="18"/>
      <c r="DC691" s="18"/>
      <c r="DD691" s="18"/>
      <c r="DE691" s="18"/>
      <c r="DF691" s="18"/>
    </row>
    <row r="692" spans="1:110">
      <c r="A692" s="173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8"/>
      <c r="CG692" s="18"/>
      <c r="CH692" s="18"/>
      <c r="CI692" s="18"/>
      <c r="CJ692" s="18"/>
      <c r="CK692" s="18"/>
      <c r="CL692" s="18"/>
      <c r="CM692" s="18"/>
      <c r="CN692" s="18"/>
      <c r="CO692" s="18"/>
      <c r="CP692" s="18"/>
      <c r="CQ692" s="18"/>
      <c r="CR692" s="18"/>
      <c r="CS692" s="18"/>
      <c r="CT692" s="18"/>
      <c r="CU692" s="18"/>
      <c r="CV692" s="18"/>
      <c r="CW692" s="18"/>
      <c r="CX692" s="18"/>
      <c r="CY692" s="18"/>
      <c r="CZ692" s="18"/>
      <c r="DA692" s="18"/>
      <c r="DB692" s="18"/>
      <c r="DC692" s="18"/>
      <c r="DD692" s="18"/>
      <c r="DE692" s="18"/>
      <c r="DF692" s="18"/>
    </row>
    <row r="693" spans="1:110">
      <c r="A693" s="205" t="str">
        <f ca="1">IF($N$688="","Team A Batting",$N$688&amp;" Batting")</f>
        <v>Team A Batting</v>
      </c>
      <c r="B693" s="206"/>
      <c r="C693" s="206"/>
      <c r="D693" s="206"/>
      <c r="E693" s="206"/>
      <c r="F693" s="206"/>
      <c r="G693" s="206"/>
      <c r="H693" s="206"/>
      <c r="I693" s="206"/>
      <c r="J693" s="206"/>
      <c r="K693" s="206"/>
      <c r="L693" s="206"/>
      <c r="M693" s="206"/>
      <c r="N693" s="206"/>
      <c r="O693" s="181"/>
      <c r="P693" s="182"/>
      <c r="Q693" s="182"/>
      <c r="R693" s="182"/>
      <c r="S693" s="182"/>
      <c r="T693" s="182"/>
      <c r="U693" s="182"/>
      <c r="V693" s="182"/>
      <c r="W693" s="182"/>
      <c r="X693" s="182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8"/>
      <c r="CG693" s="18"/>
      <c r="CH693" s="18"/>
      <c r="CI693" s="18"/>
      <c r="CJ693" s="18"/>
      <c r="CK693" s="18"/>
      <c r="CL693" s="18"/>
      <c r="CM693" s="18"/>
      <c r="CN693" s="18"/>
      <c r="CO693" s="18"/>
      <c r="CP693" s="18"/>
      <c r="CQ693" s="18"/>
      <c r="CR693" s="18"/>
      <c r="CS693" s="18"/>
      <c r="CT693" s="18"/>
      <c r="CU693" s="18"/>
      <c r="CV693" s="18"/>
      <c r="CW693" s="18"/>
      <c r="CX693" s="18"/>
      <c r="CY693" s="18"/>
      <c r="CZ693" s="18"/>
      <c r="DA693" s="18"/>
      <c r="DB693" s="18"/>
      <c r="DC693" s="18"/>
      <c r="DD693" s="18"/>
      <c r="DE693" s="18"/>
      <c r="DF693" s="18"/>
    </row>
    <row r="694" spans="1:110">
      <c r="A694" s="167" t="s">
        <v>164</v>
      </c>
      <c r="B694" s="43" t="s">
        <v>39</v>
      </c>
      <c r="C694" s="43" t="s">
        <v>165</v>
      </c>
      <c r="D694" s="43" t="s">
        <v>166</v>
      </c>
      <c r="E694" s="43" t="s">
        <v>167</v>
      </c>
      <c r="F694" s="43" t="s">
        <v>168</v>
      </c>
      <c r="G694" s="43" t="s">
        <v>169</v>
      </c>
      <c r="H694" s="43" t="s">
        <v>170</v>
      </c>
      <c r="I694" s="43" t="s">
        <v>171</v>
      </c>
      <c r="J694" s="43" t="s">
        <v>172</v>
      </c>
      <c r="K694" s="43" t="s">
        <v>173</v>
      </c>
      <c r="L694" s="43" t="s">
        <v>174</v>
      </c>
      <c r="M694" s="43" t="s">
        <v>175</v>
      </c>
      <c r="N694" s="44" t="s">
        <v>161</v>
      </c>
      <c r="O694" s="44" t="s">
        <v>162</v>
      </c>
      <c r="P694" s="44" t="s">
        <v>176</v>
      </c>
      <c r="Q694" s="44" t="s">
        <v>177</v>
      </c>
      <c r="R694" s="44" t="s">
        <v>178</v>
      </c>
      <c r="S694" s="44" t="s">
        <v>179</v>
      </c>
      <c r="T694" s="44" t="s">
        <v>180</v>
      </c>
      <c r="U694" s="44" t="s">
        <v>181</v>
      </c>
      <c r="V694" s="44" t="s">
        <v>182</v>
      </c>
      <c r="W694" s="44" t="s">
        <v>183</v>
      </c>
      <c r="X694" s="45" t="s">
        <v>184</v>
      </c>
      <c r="Y694" s="45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8"/>
      <c r="CG694" s="18"/>
      <c r="CH694" s="18"/>
      <c r="CI694" s="18"/>
      <c r="CJ694" s="18"/>
      <c r="CK694" s="18"/>
      <c r="CL694" s="18"/>
      <c r="CM694" s="18"/>
      <c r="CN694" s="18"/>
      <c r="CO694" s="18"/>
      <c r="CP694" s="18"/>
      <c r="CQ694" s="18"/>
      <c r="CR694" s="18"/>
      <c r="CS694" s="18"/>
      <c r="CT694" s="18"/>
      <c r="CU694" s="18"/>
      <c r="CV694" s="18"/>
      <c r="CW694" s="18"/>
      <c r="CX694" s="18"/>
      <c r="CY694" s="18"/>
      <c r="CZ694" s="18"/>
      <c r="DA694" s="18"/>
      <c r="DB694" s="18"/>
      <c r="DC694" s="18"/>
      <c r="DD694" s="18"/>
      <c r="DE694" s="18"/>
      <c r="DF694" s="18"/>
    </row>
    <row r="695" spans="1:110">
      <c r="A695" s="168">
        <v>1</v>
      </c>
      <c r="B695" s="47" t="str">
        <f ca="1">Lineups!$C$201</f>
        <v/>
      </c>
      <c r="C695" s="48"/>
      <c r="D695" s="49"/>
      <c r="E695" s="49"/>
      <c r="F695" s="49"/>
      <c r="G695" s="49"/>
      <c r="H695" s="50"/>
      <c r="I695" s="50"/>
      <c r="J695" s="50"/>
      <c r="K695" s="50"/>
      <c r="L695" s="50"/>
      <c r="M695" s="67" t="str">
        <f ca="1">IF($B695="","",SUM(_xlfn.XLOOKUP(C695,Lists!$P$2:$P$19,Lists!$R$2:$R$19,0),_xlfn.XLOOKUP(E695,Lists!$P$2:$P$19,Lists!$R$2:$R$19,0),_xlfn.XLOOKUP(G695,Lists!$P$2:$P$19,Lists!$R$2:$R$19,0),_xlfn.XLOOKUP(I695,Lists!$P$2:$P$19,Lists!$R$2:$R$19,0),_xlfn.XLOOKUP(K695,Lists!$P$2:$P$19,Lists!$R$2:$R$19,0)))</f>
        <v/>
      </c>
      <c r="N695" s="68" t="str">
        <f ca="1">IF($B695="","",SUM(_xlfn.XLOOKUP(D695,Lists!$AC$2:$AC$9,Lists!$AE$2:$AE$9,0),_xlfn.XLOOKUP(F695,Lists!$AC$2:$AC$9,Lists!$AE$2:$AE$9,0),_xlfn.XLOOKUP(H695,Lists!$AC$2:$AC$9,Lists!$AE$2:$AE$9,0),_xlfn.XLOOKUP(J695,Lists!$AC$2:$AC$9,Lists!$AE$2:$AE$9,0),_xlfn.XLOOKUP(L695,Lists!$AC$2:$AC$9,Lists!$AE$2:$AE$9,0)))</f>
        <v/>
      </c>
      <c r="O695" s="68" t="str">
        <f ca="1">IF($B695="","",SUM(_xlfn.XLOOKUP(C695,Lists!$P$2:$P$19,Lists!$S$2:$S$19,0),_xlfn.XLOOKUP(E695,Lists!$P$2:$P$19,Lists!$S$2:$S$19,0),_xlfn.XLOOKUP(G695,Lists!$P$2:$P$19,Lists!$S$2:$S$19,0),_xlfn.XLOOKUP(I695,Lists!$P$2:$P$19,Lists!$S$2:$S$19,0),_xlfn.XLOOKUP(K695,Lists!$P$2:$P$19,Lists!$S$2:$S$19,0)))</f>
        <v/>
      </c>
      <c r="P695" s="68" t="str">
        <f ca="1">IF($B695="","",SUM(_xlfn.XLOOKUP(C695,Lists!$P$2:$P$19,Lists!$T$2:$T$19,0),_xlfn.XLOOKUP(E695,Lists!$P$2:$P$19,Lists!$T$2:$T$19,0),_xlfn.XLOOKUP(G695,Lists!$P$2:$P$19,Lists!$T$2:$T$19,0),_xlfn.XLOOKUP(I695,Lists!$P$2:$P$19,Lists!$T$2:$T$19,0),_xlfn.XLOOKUP(K695,Lists!$P$2:$P$19,Lists!$T$2:$T$19,0)))</f>
        <v/>
      </c>
      <c r="Q695" s="68" t="str">
        <f ca="1">IF($B695="","",SUM(_xlfn.XLOOKUP(C695,Lists!$P$2:$P$19,Lists!$U$2:$U$19,0),_xlfn.XLOOKUP(E695,Lists!$P$2:$P$19,Lists!$U$2:$U$19,0),_xlfn.XLOOKUP(G695,Lists!$P$2:$P$19,Lists!$U$2:$U$19,0),_xlfn.XLOOKUP(I695,Lists!$P$2:$P$19,Lists!$U$2:$U$19,0),_xlfn.XLOOKUP(K695,Lists!$P$2:$P$19,Lists!$U$2:$U$19,0)))</f>
        <v/>
      </c>
      <c r="R695" s="68" t="str">
        <f ca="1">IF($B695="","",SUM(_xlfn.XLOOKUP(C695,Lists!$P$2:$P$19,Lists!$V$2:$V$19,0),_xlfn.XLOOKUP(E695,Lists!$P$2:$P$19,Lists!$V$2:$V$19,0),_xlfn.XLOOKUP(G695,Lists!$P$2:$P$19,Lists!$V$2:$V$19,0),_xlfn.XLOOKUP(I695,Lists!$P$2:$P$19,Lists!$V$2:$V$19,0),_xlfn.XLOOKUP(K695,Lists!$P$2:$P$19,Lists!$V$2:$V$19,0)))</f>
        <v/>
      </c>
      <c r="S695" s="68" t="str">
        <f ca="1">IF($B695="","",SUM(_xlfn.XLOOKUP(D695,Lists!$AC$2:$AC$9,Lists!$AD$2:$AD$9,0),_xlfn.XLOOKUP(F695,Lists!$AC$2:$AC$9,Lists!$AD$2:$AD$9,0),_xlfn.XLOOKUP(H695,Lists!$AC$2:$AC$9,Lists!$AD$2:$AD$9,0),_xlfn.XLOOKUP(J695,Lists!$AC$2:$AC$9,Lists!$AD$2:$AD$9,0),_xlfn.XLOOKUP(L695,Lists!$AC$2:$AC$9,Lists!$AD$2:$AD$9,0)))</f>
        <v/>
      </c>
      <c r="T695" s="68" t="str">
        <f ca="1">IF($B695="","",SUM(_xlfn.XLOOKUP(C695,Lists!$P$2:$P$19,Lists!$W$2:$W$19,0),_xlfn.XLOOKUP(E695,Lists!$P$2:$P$19,Lists!$W$2:$W$19,0),_xlfn.XLOOKUP(G695,Lists!$P$2:$P$19,Lists!$W$2:$W$19,0),_xlfn.XLOOKUP(I695,Lists!$P$2:$P$19,Lists!$W$2:$W$19,0),_xlfn.XLOOKUP(K695,Lists!$P$2:$P$19,Lists!$W$2:$W$19,0)))</f>
        <v/>
      </c>
      <c r="U695" s="68" t="str">
        <f ca="1">IF($B695="","",SUM(_xlfn.XLOOKUP(C695,Lists!$P$2:$P$19,Lists!$X$2:$X$19,0),_xlfn.XLOOKUP(E695,Lists!$P$2:$P$19,Lists!$X$2:$X$19,0),_xlfn.XLOOKUP(G695,Lists!$P$2:$P$19,Lists!$X$2:$X$19,0),_xlfn.XLOOKUP(I695,Lists!$P$2:$P$19,Lists!$X$2:$X$19,0),_xlfn.XLOOKUP(K695,Lists!$P$2:$P$19,Lists!$X$2:$X$19,0)))</f>
        <v/>
      </c>
      <c r="V695" s="68" t="str">
        <f ca="1">IF($B695="","",SUM(_xlfn.XLOOKUP(C695,Lists!$P$2:$P$19,Lists!$Y$2:$Y$19,0),_xlfn.XLOOKUP(E695,Lists!$P$2:$P$19,Lists!$Y$2:$Y$19,0),_xlfn.XLOOKUP(G695,Lists!$P$2:$P$19,Lists!$Y$2:$Y$19,0),_xlfn.XLOOKUP(I695,Lists!$P$2:$P$19,Lists!$Y$2:$Y$19,0),_xlfn.XLOOKUP(K695,Lists!$P$2:$P$19,Lists!$Y$2:$Y$19,0)))</f>
        <v/>
      </c>
      <c r="W695" s="68" t="str">
        <f ca="1">IF($B695="","",SUM(_xlfn.XLOOKUP(C695,Lists!$P$2:$P$19,Lists!$Z$2:$Z$19,0),_xlfn.XLOOKUP(E695,Lists!$P$2:$P$19,Lists!$Z$2:$Z$19,0),_xlfn.XLOOKUP(G695,Lists!$P$2:$P$19,Lists!$Z$2:$Z$19,0),_xlfn.XLOOKUP(I695,Lists!$P$2:$P$19,Lists!$Z$2:$Z$19,0),_xlfn.XLOOKUP(K695,Lists!$P$2:$P$19,Lists!$Z$2:$Z$19,0)))</f>
        <v/>
      </c>
      <c r="X695" s="69" t="str">
        <f ca="1">IF($B695="","",SUM(_xlfn.XLOOKUP(C695,Lists!$P$2:$P$19,Lists!$AA$2:$AA$19,0),_xlfn.XLOOKUP(E695,Lists!$P$2:$P$19,Lists!$AA$2:$AA$19,0),_xlfn.XLOOKUP(G695,Lists!$P$2:$P$19,Lists!$AA$2:$AA$19,0),_xlfn.XLOOKUP(I695,Lists!$P$2:$P$19,Lists!$AA$2:$AA$19,0),_xlfn.XLOOKUP(K695,Lists!$P$2:$P$19,Lists!$AA$2:$AA$19,0)))</f>
        <v/>
      </c>
      <c r="Y695" s="4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  <c r="CF695" s="18"/>
      <c r="CG695" s="18"/>
      <c r="CH695" s="18"/>
      <c r="CI695" s="18"/>
      <c r="CJ695" s="18"/>
      <c r="CK695" s="18"/>
      <c r="CL695" s="18"/>
      <c r="CM695" s="18"/>
      <c r="CN695" s="18"/>
      <c r="CO695" s="18"/>
      <c r="CP695" s="18"/>
      <c r="CQ695" s="18"/>
      <c r="CR695" s="18"/>
      <c r="CS695" s="18"/>
      <c r="CT695" s="18"/>
      <c r="CU695" s="18"/>
      <c r="CV695" s="18"/>
      <c r="CW695" s="18"/>
      <c r="CX695" s="18"/>
      <c r="CY695" s="18"/>
      <c r="CZ695" s="18"/>
      <c r="DA695" s="18"/>
      <c r="DB695" s="18"/>
      <c r="DC695" s="18"/>
      <c r="DD695" s="18"/>
      <c r="DE695" s="18"/>
      <c r="DF695" s="18"/>
    </row>
    <row r="696" spans="1:110">
      <c r="A696" s="168">
        <v>2</v>
      </c>
      <c r="B696" s="47" t="str">
        <f ca="1">Lineups!$C$202</f>
        <v/>
      </c>
      <c r="C696" s="49"/>
      <c r="D696" s="49"/>
      <c r="E696" s="49"/>
      <c r="F696" s="49"/>
      <c r="G696" s="49"/>
      <c r="H696" s="50"/>
      <c r="I696" s="50"/>
      <c r="J696" s="50"/>
      <c r="K696" s="50"/>
      <c r="L696" s="50"/>
      <c r="M696" s="67" t="str">
        <f ca="1">IF($B696="","",SUM(_xlfn.XLOOKUP(C696,Lists!$P$2:$P$19,Lists!$R$2:$R$19,0),_xlfn.XLOOKUP(E696,Lists!$P$2:$P$19,Lists!$R$2:$R$19,0),_xlfn.XLOOKUP(G696,Lists!$P$2:$P$19,Lists!$R$2:$R$19,0),_xlfn.XLOOKUP(I696,Lists!$P$2:$P$19,Lists!$R$2:$R$19,0),_xlfn.XLOOKUP(K696,Lists!$P$2:$P$19,Lists!$R$2:$R$19,0)))</f>
        <v/>
      </c>
      <c r="N696" s="68" t="str">
        <f ca="1">IF($B696="","",SUM(_xlfn.XLOOKUP(D696,Lists!$AC$2:$AC$9,Lists!$AE$2:$AE$9,0),_xlfn.XLOOKUP(F696,Lists!$AC$2:$AC$9,Lists!$AE$2:$AE$9,0),_xlfn.XLOOKUP(H696,Lists!$AC$2:$AC$9,Lists!$AE$2:$AE$9,0),_xlfn.XLOOKUP(J696,Lists!$AC$2:$AC$9,Lists!$AE$2:$AE$9,0),_xlfn.XLOOKUP(L696,Lists!$AC$2:$AC$9,Lists!$AE$2:$AE$9,0)))</f>
        <v/>
      </c>
      <c r="O696" s="68" t="str">
        <f ca="1">IF($B696="","",SUM(_xlfn.XLOOKUP(C696,Lists!$P$2:$P$19,Lists!$S$2:$S$19,0),_xlfn.XLOOKUP(E696,Lists!$P$2:$P$19,Lists!$S$2:$S$19,0),_xlfn.XLOOKUP(G696,Lists!$P$2:$P$19,Lists!$S$2:$S$19,0),_xlfn.XLOOKUP(I696,Lists!$P$2:$P$19,Lists!$S$2:$S$19,0),_xlfn.XLOOKUP(K696,Lists!$P$2:$P$19,Lists!$S$2:$S$19,0)))</f>
        <v/>
      </c>
      <c r="P696" s="68" t="str">
        <f ca="1">IF($B696="","",SUM(_xlfn.XLOOKUP(C696,Lists!$P$2:$P$19,Lists!$T$2:$T$19,0),_xlfn.XLOOKUP(E696,Lists!$P$2:$P$19,Lists!$T$2:$T$19,0),_xlfn.XLOOKUP(G696,Lists!$P$2:$P$19,Lists!$T$2:$T$19,0),_xlfn.XLOOKUP(I696,Lists!$P$2:$P$19,Lists!$T$2:$T$19,0),_xlfn.XLOOKUP(K696,Lists!$P$2:$P$19,Lists!$T$2:$T$19,0)))</f>
        <v/>
      </c>
      <c r="Q696" s="68" t="str">
        <f ca="1">IF($B696="","",SUM(_xlfn.XLOOKUP(C696,Lists!$P$2:$P$19,Lists!$U$2:$U$19,0),_xlfn.XLOOKUP(E696,Lists!$P$2:$P$19,Lists!$U$2:$U$19,0),_xlfn.XLOOKUP(G696,Lists!$P$2:$P$19,Lists!$U$2:$U$19,0),_xlfn.XLOOKUP(I696,Lists!$P$2:$P$19,Lists!$U$2:$U$19,0),_xlfn.XLOOKUP(K696,Lists!$P$2:$P$19,Lists!$U$2:$U$19,0)))</f>
        <v/>
      </c>
      <c r="R696" s="68" t="str">
        <f ca="1">IF($B696="","",SUM(_xlfn.XLOOKUP(C696,Lists!$P$2:$P$19,Lists!$V$2:$V$19,0),_xlfn.XLOOKUP(E696,Lists!$P$2:$P$19,Lists!$V$2:$V$19,0),_xlfn.XLOOKUP(G696,Lists!$P$2:$P$19,Lists!$V$2:$V$19,0),_xlfn.XLOOKUP(I696,Lists!$P$2:$P$19,Lists!$V$2:$V$19,0),_xlfn.XLOOKUP(K696,Lists!$P$2:$P$19,Lists!$V$2:$V$19,0)))</f>
        <v/>
      </c>
      <c r="S696" s="68" t="str">
        <f ca="1">IF($B696="","",SUM(_xlfn.XLOOKUP(D696,Lists!$AC$2:$AC$9,Lists!$AD$2:$AD$9,0),_xlfn.XLOOKUP(F696,Lists!$AC$2:$AC$9,Lists!$AD$2:$AD$9,0),_xlfn.XLOOKUP(H696,Lists!$AC$2:$AC$9,Lists!$AD$2:$AD$9,0),_xlfn.XLOOKUP(J696,Lists!$AC$2:$AC$9,Lists!$AD$2:$AD$9,0),_xlfn.XLOOKUP(L696,Lists!$AC$2:$AC$9,Lists!$AD$2:$AD$9,0)))</f>
        <v/>
      </c>
      <c r="T696" s="68" t="str">
        <f ca="1">IF($B696="","",SUM(_xlfn.XLOOKUP(C696,Lists!$P$2:$P$19,Lists!$W$2:$W$19,0),_xlfn.XLOOKUP(E696,Lists!$P$2:$P$19,Lists!$W$2:$W$19,0),_xlfn.XLOOKUP(G696,Lists!$P$2:$P$19,Lists!$W$2:$W$19,0),_xlfn.XLOOKUP(I696,Lists!$P$2:$P$19,Lists!$W$2:$W$19,0),_xlfn.XLOOKUP(K696,Lists!$P$2:$P$19,Lists!$W$2:$W$19,0)))</f>
        <v/>
      </c>
      <c r="U696" s="68" t="str">
        <f ca="1">IF($B696="","",SUM(_xlfn.XLOOKUP(C696,Lists!$P$2:$P$19,Lists!$X$2:$X$19,0),_xlfn.XLOOKUP(E696,Lists!$P$2:$P$19,Lists!$X$2:$X$19,0),_xlfn.XLOOKUP(G696,Lists!$P$2:$P$19,Lists!$X$2:$X$19,0),_xlfn.XLOOKUP(I696,Lists!$P$2:$P$19,Lists!$X$2:$X$19,0),_xlfn.XLOOKUP(K696,Lists!$P$2:$P$19,Lists!$X$2:$X$19,0)))</f>
        <v/>
      </c>
      <c r="V696" s="68" t="str">
        <f ca="1">IF($B696="","",SUM(_xlfn.XLOOKUP(C696,Lists!$P$2:$P$19,Lists!$Y$2:$Y$19,0),_xlfn.XLOOKUP(E696,Lists!$P$2:$P$19,Lists!$Y$2:$Y$19,0),_xlfn.XLOOKUP(G696,Lists!$P$2:$P$19,Lists!$Y$2:$Y$19,0),_xlfn.XLOOKUP(I696,Lists!$P$2:$P$19,Lists!$Y$2:$Y$19,0),_xlfn.XLOOKUP(K696,Lists!$P$2:$P$19,Lists!$Y$2:$Y$19,0)))</f>
        <v/>
      </c>
      <c r="W696" s="68" t="str">
        <f ca="1">IF($B696="","",SUM(_xlfn.XLOOKUP(C696,Lists!$P$2:$P$19,Lists!$Z$2:$Z$19,0),_xlfn.XLOOKUP(E696,Lists!$P$2:$P$19,Lists!$Z$2:$Z$19,0),_xlfn.XLOOKUP(G696,Lists!$P$2:$P$19,Lists!$Z$2:$Z$19,0),_xlfn.XLOOKUP(I696,Lists!$P$2:$P$19,Lists!$Z$2:$Z$19,0),_xlfn.XLOOKUP(K696,Lists!$P$2:$P$19,Lists!$Z$2:$Z$19,0)))</f>
        <v/>
      </c>
      <c r="X696" s="69" t="str">
        <f ca="1">IF($B696="","",SUM(_xlfn.XLOOKUP(C696,Lists!$P$2:$P$19,Lists!$AA$2:$AA$19,0),_xlfn.XLOOKUP(E696,Lists!$P$2:$P$19,Lists!$AA$2:$AA$19,0),_xlfn.XLOOKUP(G696,Lists!$P$2:$P$19,Lists!$AA$2:$AA$19,0),_xlfn.XLOOKUP(I696,Lists!$P$2:$P$19,Lists!$AA$2:$AA$19,0),_xlfn.XLOOKUP(K696,Lists!$P$2:$P$19,Lists!$AA$2:$AA$19,0)))</f>
        <v/>
      </c>
      <c r="Y696" s="49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8"/>
      <c r="CG696" s="18"/>
      <c r="CH696" s="18"/>
      <c r="CI696" s="18"/>
      <c r="CJ696" s="18"/>
      <c r="CK696" s="18"/>
      <c r="CL696" s="18"/>
      <c r="CM696" s="18"/>
      <c r="CN696" s="18"/>
      <c r="CO696" s="18"/>
      <c r="CP696" s="18"/>
      <c r="CQ696" s="18"/>
      <c r="CR696" s="18"/>
      <c r="CS696" s="18"/>
      <c r="CT696" s="18"/>
      <c r="CU696" s="18"/>
      <c r="CV696" s="18"/>
      <c r="CW696" s="18"/>
      <c r="CX696" s="18"/>
      <c r="CY696" s="18"/>
      <c r="CZ696" s="18"/>
      <c r="DA696" s="18"/>
      <c r="DB696" s="18"/>
      <c r="DC696" s="18"/>
      <c r="DD696" s="18"/>
      <c r="DE696" s="18"/>
      <c r="DF696" s="18"/>
    </row>
    <row r="697" spans="1:110">
      <c r="A697" s="168">
        <v>3</v>
      </c>
      <c r="B697" s="47" t="str">
        <f ca="1">Lineups!$C$203</f>
        <v/>
      </c>
      <c r="C697" s="49"/>
      <c r="D697" s="49"/>
      <c r="E697" s="49"/>
      <c r="F697" s="49"/>
      <c r="G697" s="49"/>
      <c r="H697" s="50"/>
      <c r="I697" s="50"/>
      <c r="J697" s="50"/>
      <c r="K697" s="50"/>
      <c r="L697" s="50"/>
      <c r="M697" s="67" t="str">
        <f ca="1">IF($B697="","",SUM(_xlfn.XLOOKUP(C697,Lists!$P$2:$P$19,Lists!$R$2:$R$19,0),_xlfn.XLOOKUP(E697,Lists!$P$2:$P$19,Lists!$R$2:$R$19,0),_xlfn.XLOOKUP(G697,Lists!$P$2:$P$19,Lists!$R$2:$R$19,0),_xlfn.XLOOKUP(I697,Lists!$P$2:$P$19,Lists!$R$2:$R$19,0),_xlfn.XLOOKUP(K697,Lists!$P$2:$P$19,Lists!$R$2:$R$19,0)))</f>
        <v/>
      </c>
      <c r="N697" s="68" t="str">
        <f ca="1">IF($B697="","",SUM(_xlfn.XLOOKUP(D697,Lists!$AC$2:$AC$9,Lists!$AE$2:$AE$9,0),_xlfn.XLOOKUP(F697,Lists!$AC$2:$AC$9,Lists!$AE$2:$AE$9,0),_xlfn.XLOOKUP(H697,Lists!$AC$2:$AC$9,Lists!$AE$2:$AE$9,0),_xlfn.XLOOKUP(J697,Lists!$AC$2:$AC$9,Lists!$AE$2:$AE$9,0),_xlfn.XLOOKUP(L697,Lists!$AC$2:$AC$9,Lists!$AE$2:$AE$9,0)))</f>
        <v/>
      </c>
      <c r="O697" s="68" t="str">
        <f ca="1">IF($B697="","",SUM(_xlfn.XLOOKUP(C697,Lists!$P$2:$P$19,Lists!$S$2:$S$19,0),_xlfn.XLOOKUP(E697,Lists!$P$2:$P$19,Lists!$S$2:$S$19,0),_xlfn.XLOOKUP(G697,Lists!$P$2:$P$19,Lists!$S$2:$S$19,0),_xlfn.XLOOKUP(I697,Lists!$P$2:$P$19,Lists!$S$2:$S$19,0),_xlfn.XLOOKUP(K697,Lists!$P$2:$P$19,Lists!$S$2:$S$19,0)))</f>
        <v/>
      </c>
      <c r="P697" s="68" t="str">
        <f ca="1">IF($B697="","",SUM(_xlfn.XLOOKUP(C697,Lists!$P$2:$P$19,Lists!$T$2:$T$19,0),_xlfn.XLOOKUP(E697,Lists!$P$2:$P$19,Lists!$T$2:$T$19,0),_xlfn.XLOOKUP(G697,Lists!$P$2:$P$19,Lists!$T$2:$T$19,0),_xlfn.XLOOKUP(I697,Lists!$P$2:$P$19,Lists!$T$2:$T$19,0),_xlfn.XLOOKUP(K697,Lists!$P$2:$P$19,Lists!$T$2:$T$19,0)))</f>
        <v/>
      </c>
      <c r="Q697" s="68" t="str">
        <f ca="1">IF($B697="","",SUM(_xlfn.XLOOKUP(C697,Lists!$P$2:$P$19,Lists!$U$2:$U$19,0),_xlfn.XLOOKUP(E697,Lists!$P$2:$P$19,Lists!$U$2:$U$19,0),_xlfn.XLOOKUP(G697,Lists!$P$2:$P$19,Lists!$U$2:$U$19,0),_xlfn.XLOOKUP(I697,Lists!$P$2:$P$19,Lists!$U$2:$U$19,0),_xlfn.XLOOKUP(K697,Lists!$P$2:$P$19,Lists!$U$2:$U$19,0)))</f>
        <v/>
      </c>
      <c r="R697" s="68" t="str">
        <f ca="1">IF($B697="","",SUM(_xlfn.XLOOKUP(C697,Lists!$P$2:$P$19,Lists!$V$2:$V$19,0),_xlfn.XLOOKUP(E697,Lists!$P$2:$P$19,Lists!$V$2:$V$19,0),_xlfn.XLOOKUP(G697,Lists!$P$2:$P$19,Lists!$V$2:$V$19,0),_xlfn.XLOOKUP(I697,Lists!$P$2:$P$19,Lists!$V$2:$V$19,0),_xlfn.XLOOKUP(K697,Lists!$P$2:$P$19,Lists!$V$2:$V$19,0)))</f>
        <v/>
      </c>
      <c r="S697" s="68" t="str">
        <f ca="1">IF($B697="","",SUM(_xlfn.XLOOKUP(D697,Lists!$AC$2:$AC$9,Lists!$AD$2:$AD$9,0),_xlfn.XLOOKUP(F697,Lists!$AC$2:$AC$9,Lists!$AD$2:$AD$9,0),_xlfn.XLOOKUP(H697,Lists!$AC$2:$AC$9,Lists!$AD$2:$AD$9,0),_xlfn.XLOOKUP(J697,Lists!$AC$2:$AC$9,Lists!$AD$2:$AD$9,0),_xlfn.XLOOKUP(L697,Lists!$AC$2:$AC$9,Lists!$AD$2:$AD$9,0)))</f>
        <v/>
      </c>
      <c r="T697" s="68" t="str">
        <f ca="1">IF($B697="","",SUM(_xlfn.XLOOKUP(C697,Lists!$P$2:$P$19,Lists!$W$2:$W$19,0),_xlfn.XLOOKUP(E697,Lists!$P$2:$P$19,Lists!$W$2:$W$19,0),_xlfn.XLOOKUP(G697,Lists!$P$2:$P$19,Lists!$W$2:$W$19,0),_xlfn.XLOOKUP(I697,Lists!$P$2:$P$19,Lists!$W$2:$W$19,0),_xlfn.XLOOKUP(K697,Lists!$P$2:$P$19,Lists!$W$2:$W$19,0)))</f>
        <v/>
      </c>
      <c r="U697" s="68" t="str">
        <f ca="1">IF($B697="","",SUM(_xlfn.XLOOKUP(C697,Lists!$P$2:$P$19,Lists!$X$2:$X$19,0),_xlfn.XLOOKUP(E697,Lists!$P$2:$P$19,Lists!$X$2:$X$19,0),_xlfn.XLOOKUP(G697,Lists!$P$2:$P$19,Lists!$X$2:$X$19,0),_xlfn.XLOOKUP(I697,Lists!$P$2:$P$19,Lists!$X$2:$X$19,0),_xlfn.XLOOKUP(K697,Lists!$P$2:$P$19,Lists!$X$2:$X$19,0)))</f>
        <v/>
      </c>
      <c r="V697" s="68" t="str">
        <f ca="1">IF($B697="","",SUM(_xlfn.XLOOKUP(C697,Lists!$P$2:$P$19,Lists!$Y$2:$Y$19,0),_xlfn.XLOOKUP(E697,Lists!$P$2:$P$19,Lists!$Y$2:$Y$19,0),_xlfn.XLOOKUP(G697,Lists!$P$2:$P$19,Lists!$Y$2:$Y$19,0),_xlfn.XLOOKUP(I697,Lists!$P$2:$P$19,Lists!$Y$2:$Y$19,0),_xlfn.XLOOKUP(K697,Lists!$P$2:$P$19,Lists!$Y$2:$Y$19,0)))</f>
        <v/>
      </c>
      <c r="W697" s="68" t="str">
        <f ca="1">IF($B697="","",SUM(_xlfn.XLOOKUP(C697,Lists!$P$2:$P$19,Lists!$Z$2:$Z$19,0),_xlfn.XLOOKUP(E697,Lists!$P$2:$P$19,Lists!$Z$2:$Z$19,0),_xlfn.XLOOKUP(G697,Lists!$P$2:$P$19,Lists!$Z$2:$Z$19,0),_xlfn.XLOOKUP(I697,Lists!$P$2:$P$19,Lists!$Z$2:$Z$19,0),_xlfn.XLOOKUP(K697,Lists!$P$2:$P$19,Lists!$Z$2:$Z$19,0)))</f>
        <v/>
      </c>
      <c r="X697" s="69" t="str">
        <f ca="1">IF($B697="","",SUM(_xlfn.XLOOKUP(C697,Lists!$P$2:$P$19,Lists!$AA$2:$AA$19,0),_xlfn.XLOOKUP(E697,Lists!$P$2:$P$19,Lists!$AA$2:$AA$19,0),_xlfn.XLOOKUP(G697,Lists!$P$2:$P$19,Lists!$AA$2:$AA$19,0),_xlfn.XLOOKUP(I697,Lists!$P$2:$P$19,Lists!$AA$2:$AA$19,0),_xlfn.XLOOKUP(K697,Lists!$P$2:$P$19,Lists!$AA$2:$AA$19,0)))</f>
        <v/>
      </c>
      <c r="Y697" s="49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8"/>
      <c r="CG697" s="18"/>
      <c r="CH697" s="18"/>
      <c r="CI697" s="18"/>
      <c r="CJ697" s="18"/>
      <c r="CK697" s="18"/>
      <c r="CL697" s="18"/>
      <c r="CM697" s="18"/>
      <c r="CN697" s="18"/>
      <c r="CO697" s="18"/>
      <c r="CP697" s="18"/>
      <c r="CQ697" s="18"/>
      <c r="CR697" s="18"/>
      <c r="CS697" s="18"/>
      <c r="CT697" s="18"/>
      <c r="CU697" s="18"/>
      <c r="CV697" s="18"/>
      <c r="CW697" s="18"/>
      <c r="CX697" s="18"/>
      <c r="CY697" s="18"/>
      <c r="CZ697" s="18"/>
      <c r="DA697" s="18"/>
      <c r="DB697" s="18"/>
      <c r="DC697" s="18"/>
      <c r="DD697" s="18"/>
      <c r="DE697" s="18"/>
      <c r="DF697" s="18"/>
    </row>
    <row r="698" spans="1:110">
      <c r="A698" s="168">
        <v>4</v>
      </c>
      <c r="B698" s="47" t="str">
        <f ca="1">Lineups!$C$204</f>
        <v/>
      </c>
      <c r="C698" s="49"/>
      <c r="D698" s="49"/>
      <c r="E698" s="49"/>
      <c r="F698" s="49"/>
      <c r="G698" s="49"/>
      <c r="H698" s="50"/>
      <c r="I698" s="50"/>
      <c r="J698" s="50"/>
      <c r="K698" s="50"/>
      <c r="L698" s="50"/>
      <c r="M698" s="67" t="str">
        <f ca="1">IF($B698="","",SUM(_xlfn.XLOOKUP(C698,Lists!$P$2:$P$19,Lists!$R$2:$R$19,0),_xlfn.XLOOKUP(E698,Lists!$P$2:$P$19,Lists!$R$2:$R$19,0),_xlfn.XLOOKUP(G698,Lists!$P$2:$P$19,Lists!$R$2:$R$19,0),_xlfn.XLOOKUP(I698,Lists!$P$2:$P$19,Lists!$R$2:$R$19,0),_xlfn.XLOOKUP(K698,Lists!$P$2:$P$19,Lists!$R$2:$R$19,0)))</f>
        <v/>
      </c>
      <c r="N698" s="68" t="str">
        <f ca="1">IF($B698="","",SUM(_xlfn.XLOOKUP(D698,Lists!$AC$2:$AC$9,Lists!$AE$2:$AE$9,0),_xlfn.XLOOKUP(F698,Lists!$AC$2:$AC$9,Lists!$AE$2:$AE$9,0),_xlfn.XLOOKUP(H698,Lists!$AC$2:$AC$9,Lists!$AE$2:$AE$9,0),_xlfn.XLOOKUP(J698,Lists!$AC$2:$AC$9,Lists!$AE$2:$AE$9,0),_xlfn.XLOOKUP(L698,Lists!$AC$2:$AC$9,Lists!$AE$2:$AE$9,0)))</f>
        <v/>
      </c>
      <c r="O698" s="68" t="str">
        <f ca="1">IF($B698="","",SUM(_xlfn.XLOOKUP(C698,Lists!$P$2:$P$19,Lists!$S$2:$S$19,0),_xlfn.XLOOKUP(E698,Lists!$P$2:$P$19,Lists!$S$2:$S$19,0),_xlfn.XLOOKUP(G698,Lists!$P$2:$P$19,Lists!$S$2:$S$19,0),_xlfn.XLOOKUP(I698,Lists!$P$2:$P$19,Lists!$S$2:$S$19,0),_xlfn.XLOOKUP(K698,Lists!$P$2:$P$19,Lists!$S$2:$S$19,0)))</f>
        <v/>
      </c>
      <c r="P698" s="68" t="str">
        <f ca="1">IF($B698="","",SUM(_xlfn.XLOOKUP(C698,Lists!$P$2:$P$19,Lists!$T$2:$T$19,0),_xlfn.XLOOKUP(E698,Lists!$P$2:$P$19,Lists!$T$2:$T$19,0),_xlfn.XLOOKUP(G698,Lists!$P$2:$P$19,Lists!$T$2:$T$19,0),_xlfn.XLOOKUP(I698,Lists!$P$2:$P$19,Lists!$T$2:$T$19,0),_xlfn.XLOOKUP(K698,Lists!$P$2:$P$19,Lists!$T$2:$T$19,0)))</f>
        <v/>
      </c>
      <c r="Q698" s="68" t="str">
        <f ca="1">IF($B698="","",SUM(_xlfn.XLOOKUP(C698,Lists!$P$2:$P$19,Lists!$U$2:$U$19,0),_xlfn.XLOOKUP(E698,Lists!$P$2:$P$19,Lists!$U$2:$U$19,0),_xlfn.XLOOKUP(G698,Lists!$P$2:$P$19,Lists!$U$2:$U$19,0),_xlfn.XLOOKUP(I698,Lists!$P$2:$P$19,Lists!$U$2:$U$19,0),_xlfn.XLOOKUP(K698,Lists!$P$2:$P$19,Lists!$U$2:$U$19,0)))</f>
        <v/>
      </c>
      <c r="R698" s="68" t="str">
        <f ca="1">IF($B698="","",SUM(_xlfn.XLOOKUP(C698,Lists!$P$2:$P$19,Lists!$V$2:$V$19,0),_xlfn.XLOOKUP(E698,Lists!$P$2:$P$19,Lists!$V$2:$V$19,0),_xlfn.XLOOKUP(G698,Lists!$P$2:$P$19,Lists!$V$2:$V$19,0),_xlfn.XLOOKUP(I698,Lists!$P$2:$P$19,Lists!$V$2:$V$19,0),_xlfn.XLOOKUP(K698,Lists!$P$2:$P$19,Lists!$V$2:$V$19,0)))</f>
        <v/>
      </c>
      <c r="S698" s="68" t="str">
        <f ca="1">IF($B698="","",SUM(_xlfn.XLOOKUP(D698,Lists!$AC$2:$AC$9,Lists!$AD$2:$AD$9,0),_xlfn.XLOOKUP(F698,Lists!$AC$2:$AC$9,Lists!$AD$2:$AD$9,0),_xlfn.XLOOKUP(H698,Lists!$AC$2:$AC$9,Lists!$AD$2:$AD$9,0),_xlfn.XLOOKUP(J698,Lists!$AC$2:$AC$9,Lists!$AD$2:$AD$9,0),_xlfn.XLOOKUP(L698,Lists!$AC$2:$AC$9,Lists!$AD$2:$AD$9,0)))</f>
        <v/>
      </c>
      <c r="T698" s="68" t="str">
        <f ca="1">IF($B698="","",SUM(_xlfn.XLOOKUP(C698,Lists!$P$2:$P$19,Lists!$W$2:$W$19,0),_xlfn.XLOOKUP(E698,Lists!$P$2:$P$19,Lists!$W$2:$W$19,0),_xlfn.XLOOKUP(G698,Lists!$P$2:$P$19,Lists!$W$2:$W$19,0),_xlfn.XLOOKUP(I698,Lists!$P$2:$P$19,Lists!$W$2:$W$19,0),_xlfn.XLOOKUP(K698,Lists!$P$2:$P$19,Lists!$W$2:$W$19,0)))</f>
        <v/>
      </c>
      <c r="U698" s="68" t="str">
        <f ca="1">IF($B698="","",SUM(_xlfn.XLOOKUP(C698,Lists!$P$2:$P$19,Lists!$X$2:$X$19,0),_xlfn.XLOOKUP(E698,Lists!$P$2:$P$19,Lists!$X$2:$X$19,0),_xlfn.XLOOKUP(G698,Lists!$P$2:$P$19,Lists!$X$2:$X$19,0),_xlfn.XLOOKUP(I698,Lists!$P$2:$P$19,Lists!$X$2:$X$19,0),_xlfn.XLOOKUP(K698,Lists!$P$2:$P$19,Lists!$X$2:$X$19,0)))</f>
        <v/>
      </c>
      <c r="V698" s="68" t="str">
        <f ca="1">IF($B698="","",SUM(_xlfn.XLOOKUP(C698,Lists!$P$2:$P$19,Lists!$Y$2:$Y$19,0),_xlfn.XLOOKUP(E698,Lists!$P$2:$P$19,Lists!$Y$2:$Y$19,0),_xlfn.XLOOKUP(G698,Lists!$P$2:$P$19,Lists!$Y$2:$Y$19,0),_xlfn.XLOOKUP(I698,Lists!$P$2:$P$19,Lists!$Y$2:$Y$19,0),_xlfn.XLOOKUP(K698,Lists!$P$2:$P$19,Lists!$Y$2:$Y$19,0)))</f>
        <v/>
      </c>
      <c r="W698" s="68" t="str">
        <f ca="1">IF($B698="","",SUM(_xlfn.XLOOKUP(C698,Lists!$P$2:$P$19,Lists!$Z$2:$Z$19,0),_xlfn.XLOOKUP(E698,Lists!$P$2:$P$19,Lists!$Z$2:$Z$19,0),_xlfn.XLOOKUP(G698,Lists!$P$2:$P$19,Lists!$Z$2:$Z$19,0),_xlfn.XLOOKUP(I698,Lists!$P$2:$P$19,Lists!$Z$2:$Z$19,0),_xlfn.XLOOKUP(K698,Lists!$P$2:$P$19,Lists!$Z$2:$Z$19,0)))</f>
        <v/>
      </c>
      <c r="X698" s="69" t="str">
        <f ca="1">IF($B698="","",SUM(_xlfn.XLOOKUP(C698,Lists!$P$2:$P$19,Lists!$AA$2:$AA$19,0),_xlfn.XLOOKUP(E698,Lists!$P$2:$P$19,Lists!$AA$2:$AA$19,0),_xlfn.XLOOKUP(G698,Lists!$P$2:$P$19,Lists!$AA$2:$AA$19,0),_xlfn.XLOOKUP(I698,Lists!$P$2:$P$19,Lists!$AA$2:$AA$19,0),_xlfn.XLOOKUP(K698,Lists!$P$2:$P$19,Lists!$AA$2:$AA$19,0)))</f>
        <v/>
      </c>
      <c r="Y698" s="49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  <c r="CF698" s="18"/>
      <c r="CG698" s="18"/>
      <c r="CH698" s="18"/>
      <c r="CI698" s="18"/>
      <c r="CJ698" s="18"/>
      <c r="CK698" s="18"/>
      <c r="CL698" s="18"/>
      <c r="CM698" s="18"/>
      <c r="CN698" s="18"/>
      <c r="CO698" s="18"/>
      <c r="CP698" s="18"/>
      <c r="CQ698" s="18"/>
      <c r="CR698" s="18"/>
      <c r="CS698" s="18"/>
      <c r="CT698" s="18"/>
      <c r="CU698" s="18"/>
      <c r="CV698" s="18"/>
      <c r="CW698" s="18"/>
      <c r="CX698" s="18"/>
      <c r="CY698" s="18"/>
      <c r="CZ698" s="18"/>
      <c r="DA698" s="18"/>
      <c r="DB698" s="18"/>
      <c r="DC698" s="18"/>
      <c r="DD698" s="18"/>
      <c r="DE698" s="18"/>
      <c r="DF698" s="18"/>
    </row>
    <row r="699" spans="1:110">
      <c r="A699" s="168">
        <v>5</v>
      </c>
      <c r="B699" s="47" t="str">
        <f ca="1">Lineups!$C$205</f>
        <v/>
      </c>
      <c r="C699" s="49"/>
      <c r="D699" s="49"/>
      <c r="E699" s="49"/>
      <c r="F699" s="49"/>
      <c r="G699" s="49"/>
      <c r="H699" s="50"/>
      <c r="I699" s="50"/>
      <c r="J699" s="50"/>
      <c r="K699" s="50"/>
      <c r="L699" s="50"/>
      <c r="M699" s="67" t="str">
        <f ca="1">IF($B699="","",SUM(_xlfn.XLOOKUP(C699,Lists!$P$2:$P$19,Lists!$R$2:$R$19,0),_xlfn.XLOOKUP(E699,Lists!$P$2:$P$19,Lists!$R$2:$R$19,0),_xlfn.XLOOKUP(G699,Lists!$P$2:$P$19,Lists!$R$2:$R$19,0),_xlfn.XLOOKUP(I699,Lists!$P$2:$P$19,Lists!$R$2:$R$19,0),_xlfn.XLOOKUP(K699,Lists!$P$2:$P$19,Lists!$R$2:$R$19,0)))</f>
        <v/>
      </c>
      <c r="N699" s="68" t="str">
        <f ca="1">IF($B699="","",SUM(_xlfn.XLOOKUP(D699,Lists!$AC$2:$AC$9,Lists!$AE$2:$AE$9,0),_xlfn.XLOOKUP(F699,Lists!$AC$2:$AC$9,Lists!$AE$2:$AE$9,0),_xlfn.XLOOKUP(H699,Lists!$AC$2:$AC$9,Lists!$AE$2:$AE$9,0),_xlfn.XLOOKUP(J699,Lists!$AC$2:$AC$9,Lists!$AE$2:$AE$9,0),_xlfn.XLOOKUP(L699,Lists!$AC$2:$AC$9,Lists!$AE$2:$AE$9,0)))</f>
        <v/>
      </c>
      <c r="O699" s="68" t="str">
        <f ca="1">IF($B699="","",SUM(_xlfn.XLOOKUP(C699,Lists!$P$2:$P$19,Lists!$S$2:$S$19,0),_xlfn.XLOOKUP(E699,Lists!$P$2:$P$19,Lists!$S$2:$S$19,0),_xlfn.XLOOKUP(G699,Lists!$P$2:$P$19,Lists!$S$2:$S$19,0),_xlfn.XLOOKUP(I699,Lists!$P$2:$P$19,Lists!$S$2:$S$19,0),_xlfn.XLOOKUP(K699,Lists!$P$2:$P$19,Lists!$S$2:$S$19,0)))</f>
        <v/>
      </c>
      <c r="P699" s="68" t="str">
        <f ca="1">IF($B699="","",SUM(_xlfn.XLOOKUP(C699,Lists!$P$2:$P$19,Lists!$T$2:$T$19,0),_xlfn.XLOOKUP(E699,Lists!$P$2:$P$19,Lists!$T$2:$T$19,0),_xlfn.XLOOKUP(G699,Lists!$P$2:$P$19,Lists!$T$2:$T$19,0),_xlfn.XLOOKUP(I699,Lists!$P$2:$P$19,Lists!$T$2:$T$19,0),_xlfn.XLOOKUP(K699,Lists!$P$2:$P$19,Lists!$T$2:$T$19,0)))</f>
        <v/>
      </c>
      <c r="Q699" s="68" t="str">
        <f ca="1">IF($B699="","",SUM(_xlfn.XLOOKUP(C699,Lists!$P$2:$P$19,Lists!$U$2:$U$19,0),_xlfn.XLOOKUP(E699,Lists!$P$2:$P$19,Lists!$U$2:$U$19,0),_xlfn.XLOOKUP(G699,Lists!$P$2:$P$19,Lists!$U$2:$U$19,0),_xlfn.XLOOKUP(I699,Lists!$P$2:$P$19,Lists!$U$2:$U$19,0),_xlfn.XLOOKUP(K699,Lists!$P$2:$P$19,Lists!$U$2:$U$19,0)))</f>
        <v/>
      </c>
      <c r="R699" s="68" t="str">
        <f ca="1">IF($B699="","",SUM(_xlfn.XLOOKUP(C699,Lists!$P$2:$P$19,Lists!$V$2:$V$19,0),_xlfn.XLOOKUP(E699,Lists!$P$2:$P$19,Lists!$V$2:$V$19,0),_xlfn.XLOOKUP(G699,Lists!$P$2:$P$19,Lists!$V$2:$V$19,0),_xlfn.XLOOKUP(I699,Lists!$P$2:$P$19,Lists!$V$2:$V$19,0),_xlfn.XLOOKUP(K699,Lists!$P$2:$P$19,Lists!$V$2:$V$19,0)))</f>
        <v/>
      </c>
      <c r="S699" s="68" t="str">
        <f ca="1">IF($B699="","",SUM(_xlfn.XLOOKUP(D699,Lists!$AC$2:$AC$9,Lists!$AD$2:$AD$9,0),_xlfn.XLOOKUP(F699,Lists!$AC$2:$AC$9,Lists!$AD$2:$AD$9,0),_xlfn.XLOOKUP(H699,Lists!$AC$2:$AC$9,Lists!$AD$2:$AD$9,0),_xlfn.XLOOKUP(J699,Lists!$AC$2:$AC$9,Lists!$AD$2:$AD$9,0),_xlfn.XLOOKUP(L699,Lists!$AC$2:$AC$9,Lists!$AD$2:$AD$9,0)))</f>
        <v/>
      </c>
      <c r="T699" s="68" t="str">
        <f ca="1">IF($B699="","",SUM(_xlfn.XLOOKUP(C699,Lists!$P$2:$P$19,Lists!$W$2:$W$19,0),_xlfn.XLOOKUP(E699,Lists!$P$2:$P$19,Lists!$W$2:$W$19,0),_xlfn.XLOOKUP(G699,Lists!$P$2:$P$19,Lists!$W$2:$W$19,0),_xlfn.XLOOKUP(I699,Lists!$P$2:$P$19,Lists!$W$2:$W$19,0),_xlfn.XLOOKUP(K699,Lists!$P$2:$P$19,Lists!$W$2:$W$19,0)))</f>
        <v/>
      </c>
      <c r="U699" s="68" t="str">
        <f ca="1">IF($B699="","",SUM(_xlfn.XLOOKUP(C699,Lists!$P$2:$P$19,Lists!$X$2:$X$19,0),_xlfn.XLOOKUP(E699,Lists!$P$2:$P$19,Lists!$X$2:$X$19,0),_xlfn.XLOOKUP(G699,Lists!$P$2:$P$19,Lists!$X$2:$X$19,0),_xlfn.XLOOKUP(I699,Lists!$P$2:$P$19,Lists!$X$2:$X$19,0),_xlfn.XLOOKUP(K699,Lists!$P$2:$P$19,Lists!$X$2:$X$19,0)))</f>
        <v/>
      </c>
      <c r="V699" s="68" t="str">
        <f ca="1">IF($B699="","",SUM(_xlfn.XLOOKUP(C699,Lists!$P$2:$P$19,Lists!$Y$2:$Y$19,0),_xlfn.XLOOKUP(E699,Lists!$P$2:$P$19,Lists!$Y$2:$Y$19,0),_xlfn.XLOOKUP(G699,Lists!$P$2:$P$19,Lists!$Y$2:$Y$19,0),_xlfn.XLOOKUP(I699,Lists!$P$2:$P$19,Lists!$Y$2:$Y$19,0),_xlfn.XLOOKUP(K699,Lists!$P$2:$P$19,Lists!$Y$2:$Y$19,0)))</f>
        <v/>
      </c>
      <c r="W699" s="68" t="str">
        <f ca="1">IF($B699="","",SUM(_xlfn.XLOOKUP(C699,Lists!$P$2:$P$19,Lists!$Z$2:$Z$19,0),_xlfn.XLOOKUP(E699,Lists!$P$2:$P$19,Lists!$Z$2:$Z$19,0),_xlfn.XLOOKUP(G699,Lists!$P$2:$P$19,Lists!$Z$2:$Z$19,0),_xlfn.XLOOKUP(I699,Lists!$P$2:$P$19,Lists!$Z$2:$Z$19,0),_xlfn.XLOOKUP(K699,Lists!$P$2:$P$19,Lists!$Z$2:$Z$19,0)))</f>
        <v/>
      </c>
      <c r="X699" s="69" t="str">
        <f ca="1">IF($B699="","",SUM(_xlfn.XLOOKUP(C699,Lists!$P$2:$P$19,Lists!$AA$2:$AA$19,0),_xlfn.XLOOKUP(E699,Lists!$P$2:$P$19,Lists!$AA$2:$AA$19,0),_xlfn.XLOOKUP(G699,Lists!$P$2:$P$19,Lists!$AA$2:$AA$19,0),_xlfn.XLOOKUP(I699,Lists!$P$2:$P$19,Lists!$AA$2:$AA$19,0),_xlfn.XLOOKUP(K699,Lists!$P$2:$P$19,Lists!$AA$2:$AA$19,0)))</f>
        <v/>
      </c>
      <c r="Y699" s="49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  <c r="CD699" s="18"/>
      <c r="CE699" s="18"/>
      <c r="CF699" s="18"/>
      <c r="CG699" s="18"/>
      <c r="CH699" s="18"/>
      <c r="CI699" s="18"/>
      <c r="CJ699" s="18"/>
      <c r="CK699" s="18"/>
      <c r="CL699" s="18"/>
      <c r="CM699" s="18"/>
      <c r="CN699" s="18"/>
      <c r="CO699" s="18"/>
      <c r="CP699" s="18"/>
      <c r="CQ699" s="18"/>
      <c r="CR699" s="18"/>
      <c r="CS699" s="18"/>
      <c r="CT699" s="18"/>
      <c r="CU699" s="18"/>
      <c r="CV699" s="18"/>
      <c r="CW699" s="18"/>
      <c r="CX699" s="18"/>
      <c r="CY699" s="18"/>
      <c r="CZ699" s="18"/>
      <c r="DA699" s="18"/>
      <c r="DB699" s="18"/>
      <c r="DC699" s="18"/>
      <c r="DD699" s="18"/>
      <c r="DE699" s="18"/>
      <c r="DF699" s="18"/>
    </row>
    <row r="700" spans="1:110">
      <c r="A700" s="168">
        <v>6</v>
      </c>
      <c r="B700" s="47" t="str">
        <f ca="1">Lineups!$C$206</f>
        <v/>
      </c>
      <c r="C700" s="49"/>
      <c r="D700" s="49"/>
      <c r="E700" s="49"/>
      <c r="F700" s="49"/>
      <c r="G700" s="49"/>
      <c r="H700" s="50"/>
      <c r="I700" s="50"/>
      <c r="J700" s="50"/>
      <c r="K700" s="50"/>
      <c r="L700" s="50"/>
      <c r="M700" s="67" t="str">
        <f ca="1">IF($B700="","",SUM(_xlfn.XLOOKUP(C700,Lists!$P$2:$P$19,Lists!$R$2:$R$19,0),_xlfn.XLOOKUP(E700,Lists!$P$2:$P$19,Lists!$R$2:$R$19,0),_xlfn.XLOOKUP(G700,Lists!$P$2:$P$19,Lists!$R$2:$R$19,0),_xlfn.XLOOKUP(I700,Lists!$P$2:$P$19,Lists!$R$2:$R$19,0),_xlfn.XLOOKUP(K700,Lists!$P$2:$P$19,Lists!$R$2:$R$19,0)))</f>
        <v/>
      </c>
      <c r="N700" s="68" t="str">
        <f ca="1">IF($B700="","",SUM(_xlfn.XLOOKUP(D700,Lists!$AC$2:$AC$9,Lists!$AE$2:$AE$9,0),_xlfn.XLOOKUP(F700,Lists!$AC$2:$AC$9,Lists!$AE$2:$AE$9,0),_xlfn.XLOOKUP(H700,Lists!$AC$2:$AC$9,Lists!$AE$2:$AE$9,0),_xlfn.XLOOKUP(J700,Lists!$AC$2:$AC$9,Lists!$AE$2:$AE$9,0),_xlfn.XLOOKUP(L700,Lists!$AC$2:$AC$9,Lists!$AE$2:$AE$9,0)))</f>
        <v/>
      </c>
      <c r="O700" s="68" t="str">
        <f ca="1">IF($B700="","",SUM(_xlfn.XLOOKUP(C700,Lists!$P$2:$P$19,Lists!$S$2:$S$19,0),_xlfn.XLOOKUP(E700,Lists!$P$2:$P$19,Lists!$S$2:$S$19,0),_xlfn.XLOOKUP(G700,Lists!$P$2:$P$19,Lists!$S$2:$S$19,0),_xlfn.XLOOKUP(I700,Lists!$P$2:$P$19,Lists!$S$2:$S$19,0),_xlfn.XLOOKUP(K700,Lists!$P$2:$P$19,Lists!$S$2:$S$19,0)))</f>
        <v/>
      </c>
      <c r="P700" s="68" t="str">
        <f ca="1">IF($B700="","",SUM(_xlfn.XLOOKUP(C700,Lists!$P$2:$P$19,Lists!$T$2:$T$19,0),_xlfn.XLOOKUP(E700,Lists!$P$2:$P$19,Lists!$T$2:$T$19,0),_xlfn.XLOOKUP(G700,Lists!$P$2:$P$19,Lists!$T$2:$T$19,0),_xlfn.XLOOKUP(I700,Lists!$P$2:$P$19,Lists!$T$2:$T$19,0),_xlfn.XLOOKUP(K700,Lists!$P$2:$P$19,Lists!$T$2:$T$19,0)))</f>
        <v/>
      </c>
      <c r="Q700" s="68" t="str">
        <f ca="1">IF($B700="","",SUM(_xlfn.XLOOKUP(C700,Lists!$P$2:$P$19,Lists!$U$2:$U$19,0),_xlfn.XLOOKUP(E700,Lists!$P$2:$P$19,Lists!$U$2:$U$19,0),_xlfn.XLOOKUP(G700,Lists!$P$2:$P$19,Lists!$U$2:$U$19,0),_xlfn.XLOOKUP(I700,Lists!$P$2:$P$19,Lists!$U$2:$U$19,0),_xlfn.XLOOKUP(K700,Lists!$P$2:$P$19,Lists!$U$2:$U$19,0)))</f>
        <v/>
      </c>
      <c r="R700" s="68" t="str">
        <f ca="1">IF($B700="","",SUM(_xlfn.XLOOKUP(C700,Lists!$P$2:$P$19,Lists!$V$2:$V$19,0),_xlfn.XLOOKUP(E700,Lists!$P$2:$P$19,Lists!$V$2:$V$19,0),_xlfn.XLOOKUP(G700,Lists!$P$2:$P$19,Lists!$V$2:$V$19,0),_xlfn.XLOOKUP(I700,Lists!$P$2:$P$19,Lists!$V$2:$V$19,0),_xlfn.XLOOKUP(K700,Lists!$P$2:$P$19,Lists!$V$2:$V$19,0)))</f>
        <v/>
      </c>
      <c r="S700" s="68" t="str">
        <f ca="1">IF($B700="","",SUM(_xlfn.XLOOKUP(D700,Lists!$AC$2:$AC$9,Lists!$AD$2:$AD$9,0),_xlfn.XLOOKUP(F700,Lists!$AC$2:$AC$9,Lists!$AD$2:$AD$9,0),_xlfn.XLOOKUP(H700,Lists!$AC$2:$AC$9,Lists!$AD$2:$AD$9,0),_xlfn.XLOOKUP(J700,Lists!$AC$2:$AC$9,Lists!$AD$2:$AD$9,0),_xlfn.XLOOKUP(L700,Lists!$AC$2:$AC$9,Lists!$AD$2:$AD$9,0)))</f>
        <v/>
      </c>
      <c r="T700" s="68" t="str">
        <f ca="1">IF($B700="","",SUM(_xlfn.XLOOKUP(C700,Lists!$P$2:$P$19,Lists!$W$2:$W$19,0),_xlfn.XLOOKUP(E700,Lists!$P$2:$P$19,Lists!$W$2:$W$19,0),_xlfn.XLOOKUP(G700,Lists!$P$2:$P$19,Lists!$W$2:$W$19,0),_xlfn.XLOOKUP(I700,Lists!$P$2:$P$19,Lists!$W$2:$W$19,0),_xlfn.XLOOKUP(K700,Lists!$P$2:$P$19,Lists!$W$2:$W$19,0)))</f>
        <v/>
      </c>
      <c r="U700" s="68" t="str">
        <f ca="1">IF($B700="","",SUM(_xlfn.XLOOKUP(C700,Lists!$P$2:$P$19,Lists!$X$2:$X$19,0),_xlfn.XLOOKUP(E700,Lists!$P$2:$P$19,Lists!$X$2:$X$19,0),_xlfn.XLOOKUP(G700,Lists!$P$2:$P$19,Lists!$X$2:$X$19,0),_xlfn.XLOOKUP(I700,Lists!$P$2:$P$19,Lists!$X$2:$X$19,0),_xlfn.XLOOKUP(K700,Lists!$P$2:$P$19,Lists!$X$2:$X$19,0)))</f>
        <v/>
      </c>
      <c r="V700" s="68" t="str">
        <f ca="1">IF($B700="","",SUM(_xlfn.XLOOKUP(C700,Lists!$P$2:$P$19,Lists!$Y$2:$Y$19,0),_xlfn.XLOOKUP(E700,Lists!$P$2:$P$19,Lists!$Y$2:$Y$19,0),_xlfn.XLOOKUP(G700,Lists!$P$2:$P$19,Lists!$Y$2:$Y$19,0),_xlfn.XLOOKUP(I700,Lists!$P$2:$P$19,Lists!$Y$2:$Y$19,0),_xlfn.XLOOKUP(K700,Lists!$P$2:$P$19,Lists!$Y$2:$Y$19,0)))</f>
        <v/>
      </c>
      <c r="W700" s="68" t="str">
        <f ca="1">IF($B700="","",SUM(_xlfn.XLOOKUP(C700,Lists!$P$2:$P$19,Lists!$Z$2:$Z$19,0),_xlfn.XLOOKUP(E700,Lists!$P$2:$P$19,Lists!$Z$2:$Z$19,0),_xlfn.XLOOKUP(G700,Lists!$P$2:$P$19,Lists!$Z$2:$Z$19,0),_xlfn.XLOOKUP(I700,Lists!$P$2:$P$19,Lists!$Z$2:$Z$19,0),_xlfn.XLOOKUP(K700,Lists!$P$2:$P$19,Lists!$Z$2:$Z$19,0)))</f>
        <v/>
      </c>
      <c r="X700" s="69" t="str">
        <f ca="1">IF($B700="","",SUM(_xlfn.XLOOKUP(C700,Lists!$P$2:$P$19,Lists!$AA$2:$AA$19,0),_xlfn.XLOOKUP(E700,Lists!$P$2:$P$19,Lists!$AA$2:$AA$19,0),_xlfn.XLOOKUP(G700,Lists!$P$2:$P$19,Lists!$AA$2:$AA$19,0),_xlfn.XLOOKUP(I700,Lists!$P$2:$P$19,Lists!$AA$2:$AA$19,0),_xlfn.XLOOKUP(K700,Lists!$P$2:$P$19,Lists!$AA$2:$AA$19,0)))</f>
        <v/>
      </c>
      <c r="Y700" s="49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  <c r="CD700" s="18"/>
      <c r="CE700" s="18"/>
      <c r="CF700" s="18"/>
      <c r="CG700" s="18"/>
      <c r="CH700" s="18"/>
      <c r="CI700" s="18"/>
      <c r="CJ700" s="18"/>
      <c r="CK700" s="18"/>
      <c r="CL700" s="18"/>
      <c r="CM700" s="18"/>
      <c r="CN700" s="18"/>
      <c r="CO700" s="18"/>
      <c r="CP700" s="18"/>
      <c r="CQ700" s="18"/>
      <c r="CR700" s="18"/>
      <c r="CS700" s="18"/>
      <c r="CT700" s="18"/>
      <c r="CU700" s="18"/>
      <c r="CV700" s="18"/>
      <c r="CW700" s="18"/>
      <c r="CX700" s="18"/>
      <c r="CY700" s="18"/>
      <c r="CZ700" s="18"/>
      <c r="DA700" s="18"/>
      <c r="DB700" s="18"/>
      <c r="DC700" s="18"/>
      <c r="DD700" s="18"/>
      <c r="DE700" s="18"/>
      <c r="DF700" s="18"/>
    </row>
    <row r="701" spans="1:110">
      <c r="A701" s="168">
        <v>7</v>
      </c>
      <c r="B701" s="47" t="str">
        <f ca="1">Lineups!$C$207</f>
        <v/>
      </c>
      <c r="C701" s="49"/>
      <c r="D701" s="49"/>
      <c r="E701" s="49"/>
      <c r="F701" s="49"/>
      <c r="G701" s="49"/>
      <c r="H701" s="50"/>
      <c r="I701" s="50"/>
      <c r="J701" s="50"/>
      <c r="K701" s="50"/>
      <c r="L701" s="50"/>
      <c r="M701" s="67" t="str">
        <f ca="1">IF($B701="","",SUM(_xlfn.XLOOKUP(C701,Lists!$P$2:$P$19,Lists!$R$2:$R$19,0),_xlfn.XLOOKUP(E701,Lists!$P$2:$P$19,Lists!$R$2:$R$19,0),_xlfn.XLOOKUP(G701,Lists!$P$2:$P$19,Lists!$R$2:$R$19,0),_xlfn.XLOOKUP(I701,Lists!$P$2:$P$19,Lists!$R$2:$R$19,0),_xlfn.XLOOKUP(K701,Lists!$P$2:$P$19,Lists!$R$2:$R$19,0)))</f>
        <v/>
      </c>
      <c r="N701" s="68" t="str">
        <f ca="1">IF($B701="","",SUM(_xlfn.XLOOKUP(D701,Lists!$AC$2:$AC$9,Lists!$AE$2:$AE$9,0),_xlfn.XLOOKUP(F701,Lists!$AC$2:$AC$9,Lists!$AE$2:$AE$9,0),_xlfn.XLOOKUP(H701,Lists!$AC$2:$AC$9,Lists!$AE$2:$AE$9,0),_xlfn.XLOOKUP(J701,Lists!$AC$2:$AC$9,Lists!$AE$2:$AE$9,0),_xlfn.XLOOKUP(L701,Lists!$AC$2:$AC$9,Lists!$AE$2:$AE$9,0)))</f>
        <v/>
      </c>
      <c r="O701" s="68" t="str">
        <f ca="1">IF($B701="","",SUM(_xlfn.XLOOKUP(C701,Lists!$P$2:$P$19,Lists!$S$2:$S$19,0),_xlfn.XLOOKUP(E701,Lists!$P$2:$P$19,Lists!$S$2:$S$19,0),_xlfn.XLOOKUP(G701,Lists!$P$2:$P$19,Lists!$S$2:$S$19,0),_xlfn.XLOOKUP(I701,Lists!$P$2:$P$19,Lists!$S$2:$S$19,0),_xlfn.XLOOKUP(K701,Lists!$P$2:$P$19,Lists!$S$2:$S$19,0)))</f>
        <v/>
      </c>
      <c r="P701" s="68" t="str">
        <f ca="1">IF($B701="","",SUM(_xlfn.XLOOKUP(C701,Lists!$P$2:$P$19,Lists!$T$2:$T$19,0),_xlfn.XLOOKUP(E701,Lists!$P$2:$P$19,Lists!$T$2:$T$19,0),_xlfn.XLOOKUP(G701,Lists!$P$2:$P$19,Lists!$T$2:$T$19,0),_xlfn.XLOOKUP(I701,Lists!$P$2:$P$19,Lists!$T$2:$T$19,0),_xlfn.XLOOKUP(K701,Lists!$P$2:$P$19,Lists!$T$2:$T$19,0)))</f>
        <v/>
      </c>
      <c r="Q701" s="68" t="str">
        <f ca="1">IF($B701="","",SUM(_xlfn.XLOOKUP(C701,Lists!$P$2:$P$19,Lists!$U$2:$U$19,0),_xlfn.XLOOKUP(E701,Lists!$P$2:$P$19,Lists!$U$2:$U$19,0),_xlfn.XLOOKUP(G701,Lists!$P$2:$P$19,Lists!$U$2:$U$19,0),_xlfn.XLOOKUP(I701,Lists!$P$2:$P$19,Lists!$U$2:$U$19,0),_xlfn.XLOOKUP(K701,Lists!$P$2:$P$19,Lists!$U$2:$U$19,0)))</f>
        <v/>
      </c>
      <c r="R701" s="68" t="str">
        <f ca="1">IF($B701="","",SUM(_xlfn.XLOOKUP(C701,Lists!$P$2:$P$19,Lists!$V$2:$V$19,0),_xlfn.XLOOKUP(E701,Lists!$P$2:$P$19,Lists!$V$2:$V$19,0),_xlfn.XLOOKUP(G701,Lists!$P$2:$P$19,Lists!$V$2:$V$19,0),_xlfn.XLOOKUP(I701,Lists!$P$2:$P$19,Lists!$V$2:$V$19,0),_xlfn.XLOOKUP(K701,Lists!$P$2:$P$19,Lists!$V$2:$V$19,0)))</f>
        <v/>
      </c>
      <c r="S701" s="68" t="str">
        <f ca="1">IF($B701="","",SUM(_xlfn.XLOOKUP(D701,Lists!$AC$2:$AC$9,Lists!$AD$2:$AD$9,0),_xlfn.XLOOKUP(F701,Lists!$AC$2:$AC$9,Lists!$AD$2:$AD$9,0),_xlfn.XLOOKUP(H701,Lists!$AC$2:$AC$9,Lists!$AD$2:$AD$9,0),_xlfn.XLOOKUP(J701,Lists!$AC$2:$AC$9,Lists!$AD$2:$AD$9,0),_xlfn.XLOOKUP(L701,Lists!$AC$2:$AC$9,Lists!$AD$2:$AD$9,0)))</f>
        <v/>
      </c>
      <c r="T701" s="68" t="str">
        <f ca="1">IF($B701="","",SUM(_xlfn.XLOOKUP(C701,Lists!$P$2:$P$19,Lists!$W$2:$W$19,0),_xlfn.XLOOKUP(E701,Lists!$P$2:$P$19,Lists!$W$2:$W$19,0),_xlfn.XLOOKUP(G701,Lists!$P$2:$P$19,Lists!$W$2:$W$19,0),_xlfn.XLOOKUP(I701,Lists!$P$2:$P$19,Lists!$W$2:$W$19,0),_xlfn.XLOOKUP(K701,Lists!$P$2:$P$19,Lists!$W$2:$W$19,0)))</f>
        <v/>
      </c>
      <c r="U701" s="68" t="str">
        <f ca="1">IF($B701="","",SUM(_xlfn.XLOOKUP(C701,Lists!$P$2:$P$19,Lists!$X$2:$X$19,0),_xlfn.XLOOKUP(E701,Lists!$P$2:$P$19,Lists!$X$2:$X$19,0),_xlfn.XLOOKUP(G701,Lists!$P$2:$P$19,Lists!$X$2:$X$19,0),_xlfn.XLOOKUP(I701,Lists!$P$2:$P$19,Lists!$X$2:$X$19,0),_xlfn.XLOOKUP(K701,Lists!$P$2:$P$19,Lists!$X$2:$X$19,0)))</f>
        <v/>
      </c>
      <c r="V701" s="68" t="str">
        <f ca="1">IF($B701="","",SUM(_xlfn.XLOOKUP(C701,Lists!$P$2:$P$19,Lists!$Y$2:$Y$19,0),_xlfn.XLOOKUP(E701,Lists!$P$2:$P$19,Lists!$Y$2:$Y$19,0),_xlfn.XLOOKUP(G701,Lists!$P$2:$P$19,Lists!$Y$2:$Y$19,0),_xlfn.XLOOKUP(I701,Lists!$P$2:$P$19,Lists!$Y$2:$Y$19,0),_xlfn.XLOOKUP(K701,Lists!$P$2:$P$19,Lists!$Y$2:$Y$19,0)))</f>
        <v/>
      </c>
      <c r="W701" s="68" t="str">
        <f ca="1">IF($B701="","",SUM(_xlfn.XLOOKUP(C701,Lists!$P$2:$P$19,Lists!$Z$2:$Z$19,0),_xlfn.XLOOKUP(E701,Lists!$P$2:$P$19,Lists!$Z$2:$Z$19,0),_xlfn.XLOOKUP(G701,Lists!$P$2:$P$19,Lists!$Z$2:$Z$19,0),_xlfn.XLOOKUP(I701,Lists!$P$2:$P$19,Lists!$Z$2:$Z$19,0),_xlfn.XLOOKUP(K701,Lists!$P$2:$P$19,Lists!$Z$2:$Z$19,0)))</f>
        <v/>
      </c>
      <c r="X701" s="69" t="str">
        <f ca="1">IF($B701="","",SUM(_xlfn.XLOOKUP(C701,Lists!$P$2:$P$19,Lists!$AA$2:$AA$19,0),_xlfn.XLOOKUP(E701,Lists!$P$2:$P$19,Lists!$AA$2:$AA$19,0),_xlfn.XLOOKUP(G701,Lists!$P$2:$P$19,Lists!$AA$2:$AA$19,0),_xlfn.XLOOKUP(I701,Lists!$P$2:$P$19,Lists!$AA$2:$AA$19,0),_xlfn.XLOOKUP(K701,Lists!$P$2:$P$19,Lists!$AA$2:$AA$19,0)))</f>
        <v/>
      </c>
      <c r="Y701" s="49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  <c r="CL701" s="18"/>
      <c r="CM701" s="18"/>
      <c r="CN701" s="18"/>
      <c r="CO701" s="18"/>
      <c r="CP701" s="18"/>
      <c r="CQ701" s="18"/>
      <c r="CR701" s="18"/>
      <c r="CS701" s="18"/>
      <c r="CT701" s="18"/>
      <c r="CU701" s="18"/>
      <c r="CV701" s="18"/>
      <c r="CW701" s="18"/>
      <c r="CX701" s="18"/>
      <c r="CY701" s="18"/>
      <c r="CZ701" s="18"/>
      <c r="DA701" s="18"/>
      <c r="DB701" s="18"/>
      <c r="DC701" s="18"/>
      <c r="DD701" s="18"/>
      <c r="DE701" s="18"/>
      <c r="DF701" s="18"/>
    </row>
    <row r="702" spans="1:110">
      <c r="A702" s="168">
        <v>8</v>
      </c>
      <c r="B702" s="47" t="str">
        <f ca="1">Lineups!$C$208</f>
        <v/>
      </c>
      <c r="C702" s="49"/>
      <c r="D702" s="49"/>
      <c r="E702" s="49"/>
      <c r="F702" s="49"/>
      <c r="G702" s="49"/>
      <c r="H702" s="50"/>
      <c r="I702" s="50"/>
      <c r="J702" s="50"/>
      <c r="K702" s="50"/>
      <c r="L702" s="50"/>
      <c r="M702" s="67" t="str">
        <f ca="1">IF($B702="","",SUM(_xlfn.XLOOKUP(C702,Lists!$P$2:$P$19,Lists!$R$2:$R$19,0),_xlfn.XLOOKUP(E702,Lists!$P$2:$P$19,Lists!$R$2:$R$19,0),_xlfn.XLOOKUP(G702,Lists!$P$2:$P$19,Lists!$R$2:$R$19,0),_xlfn.XLOOKUP(I702,Lists!$P$2:$P$19,Lists!$R$2:$R$19,0),_xlfn.XLOOKUP(K702,Lists!$P$2:$P$19,Lists!$R$2:$R$19,0)))</f>
        <v/>
      </c>
      <c r="N702" s="68" t="str">
        <f ca="1">IF($B702="","",SUM(_xlfn.XLOOKUP(D702,Lists!$AC$2:$AC$9,Lists!$AE$2:$AE$9,0),_xlfn.XLOOKUP(F702,Lists!$AC$2:$AC$9,Lists!$AE$2:$AE$9,0),_xlfn.XLOOKUP(H702,Lists!$AC$2:$AC$9,Lists!$AE$2:$AE$9,0),_xlfn.XLOOKUP(J702,Lists!$AC$2:$AC$9,Lists!$AE$2:$AE$9,0),_xlfn.XLOOKUP(L702,Lists!$AC$2:$AC$9,Lists!$AE$2:$AE$9,0)))</f>
        <v/>
      </c>
      <c r="O702" s="68" t="str">
        <f ca="1">IF($B702="","",SUM(_xlfn.XLOOKUP(C702,Lists!$P$2:$P$19,Lists!$S$2:$S$19,0),_xlfn.XLOOKUP(E702,Lists!$P$2:$P$19,Lists!$S$2:$S$19,0),_xlfn.XLOOKUP(G702,Lists!$P$2:$P$19,Lists!$S$2:$S$19,0),_xlfn.XLOOKUP(I702,Lists!$P$2:$P$19,Lists!$S$2:$S$19,0),_xlfn.XLOOKUP(K702,Lists!$P$2:$P$19,Lists!$S$2:$S$19,0)))</f>
        <v/>
      </c>
      <c r="P702" s="68" t="str">
        <f ca="1">IF($B702="","",SUM(_xlfn.XLOOKUP(C702,Lists!$P$2:$P$19,Lists!$T$2:$T$19,0),_xlfn.XLOOKUP(E702,Lists!$P$2:$P$19,Lists!$T$2:$T$19,0),_xlfn.XLOOKUP(G702,Lists!$P$2:$P$19,Lists!$T$2:$T$19,0),_xlfn.XLOOKUP(I702,Lists!$P$2:$P$19,Lists!$T$2:$T$19,0),_xlfn.XLOOKUP(K702,Lists!$P$2:$P$19,Lists!$T$2:$T$19,0)))</f>
        <v/>
      </c>
      <c r="Q702" s="68" t="str">
        <f ca="1">IF($B702="","",SUM(_xlfn.XLOOKUP(C702,Lists!$P$2:$P$19,Lists!$U$2:$U$19,0),_xlfn.XLOOKUP(E702,Lists!$P$2:$P$19,Lists!$U$2:$U$19,0),_xlfn.XLOOKUP(G702,Lists!$P$2:$P$19,Lists!$U$2:$U$19,0),_xlfn.XLOOKUP(I702,Lists!$P$2:$P$19,Lists!$U$2:$U$19,0),_xlfn.XLOOKUP(K702,Lists!$P$2:$P$19,Lists!$U$2:$U$19,0)))</f>
        <v/>
      </c>
      <c r="R702" s="68" t="str">
        <f ca="1">IF($B702="","",SUM(_xlfn.XLOOKUP(C702,Lists!$P$2:$P$19,Lists!$V$2:$V$19,0),_xlfn.XLOOKUP(E702,Lists!$P$2:$P$19,Lists!$V$2:$V$19,0),_xlfn.XLOOKUP(G702,Lists!$P$2:$P$19,Lists!$V$2:$V$19,0),_xlfn.XLOOKUP(I702,Lists!$P$2:$P$19,Lists!$V$2:$V$19,0),_xlfn.XLOOKUP(K702,Lists!$P$2:$P$19,Lists!$V$2:$V$19,0)))</f>
        <v/>
      </c>
      <c r="S702" s="68" t="str">
        <f ca="1">IF($B702="","",SUM(_xlfn.XLOOKUP(D702,Lists!$AC$2:$AC$9,Lists!$AD$2:$AD$9,0),_xlfn.XLOOKUP(F702,Lists!$AC$2:$AC$9,Lists!$AD$2:$AD$9,0),_xlfn.XLOOKUP(H702,Lists!$AC$2:$AC$9,Lists!$AD$2:$AD$9,0),_xlfn.XLOOKUP(J702,Lists!$AC$2:$AC$9,Lists!$AD$2:$AD$9,0),_xlfn.XLOOKUP(L702,Lists!$AC$2:$AC$9,Lists!$AD$2:$AD$9,0)))</f>
        <v/>
      </c>
      <c r="T702" s="68" t="str">
        <f ca="1">IF($B702="","",SUM(_xlfn.XLOOKUP(C702,Lists!$P$2:$P$19,Lists!$W$2:$W$19,0),_xlfn.XLOOKUP(E702,Lists!$P$2:$P$19,Lists!$W$2:$W$19,0),_xlfn.XLOOKUP(G702,Lists!$P$2:$P$19,Lists!$W$2:$W$19,0),_xlfn.XLOOKUP(I702,Lists!$P$2:$P$19,Lists!$W$2:$W$19,0),_xlfn.XLOOKUP(K702,Lists!$P$2:$P$19,Lists!$W$2:$W$19,0)))</f>
        <v/>
      </c>
      <c r="U702" s="68" t="str">
        <f ca="1">IF($B702="","",SUM(_xlfn.XLOOKUP(C702,Lists!$P$2:$P$19,Lists!$X$2:$X$19,0),_xlfn.XLOOKUP(E702,Lists!$P$2:$P$19,Lists!$X$2:$X$19,0),_xlfn.XLOOKUP(G702,Lists!$P$2:$P$19,Lists!$X$2:$X$19,0),_xlfn.XLOOKUP(I702,Lists!$P$2:$P$19,Lists!$X$2:$X$19,0),_xlfn.XLOOKUP(K702,Lists!$P$2:$P$19,Lists!$X$2:$X$19,0)))</f>
        <v/>
      </c>
      <c r="V702" s="68" t="str">
        <f ca="1">IF($B702="","",SUM(_xlfn.XLOOKUP(C702,Lists!$P$2:$P$19,Lists!$Y$2:$Y$19,0),_xlfn.XLOOKUP(E702,Lists!$P$2:$P$19,Lists!$Y$2:$Y$19,0),_xlfn.XLOOKUP(G702,Lists!$P$2:$P$19,Lists!$Y$2:$Y$19,0),_xlfn.XLOOKUP(I702,Lists!$P$2:$P$19,Lists!$Y$2:$Y$19,0),_xlfn.XLOOKUP(K702,Lists!$P$2:$P$19,Lists!$Y$2:$Y$19,0)))</f>
        <v/>
      </c>
      <c r="W702" s="68" t="str">
        <f ca="1">IF($B702="","",SUM(_xlfn.XLOOKUP(C702,Lists!$P$2:$P$19,Lists!$Z$2:$Z$19,0),_xlfn.XLOOKUP(E702,Lists!$P$2:$P$19,Lists!$Z$2:$Z$19,0),_xlfn.XLOOKUP(G702,Lists!$P$2:$P$19,Lists!$Z$2:$Z$19,0),_xlfn.XLOOKUP(I702,Lists!$P$2:$P$19,Lists!$Z$2:$Z$19,0),_xlfn.XLOOKUP(K702,Lists!$P$2:$P$19,Lists!$Z$2:$Z$19,0)))</f>
        <v/>
      </c>
      <c r="X702" s="69" t="str">
        <f ca="1">IF($B702="","",SUM(_xlfn.XLOOKUP(C702,Lists!$P$2:$P$19,Lists!$AA$2:$AA$19,0),_xlfn.XLOOKUP(E702,Lists!$P$2:$P$19,Lists!$AA$2:$AA$19,0),_xlfn.XLOOKUP(G702,Lists!$P$2:$P$19,Lists!$AA$2:$AA$19,0),_xlfn.XLOOKUP(I702,Lists!$P$2:$P$19,Lists!$AA$2:$AA$19,0),_xlfn.XLOOKUP(K702,Lists!$P$2:$P$19,Lists!$AA$2:$AA$19,0)))</f>
        <v/>
      </c>
      <c r="Y702" s="49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  <c r="CI702" s="18"/>
      <c r="CJ702" s="18"/>
      <c r="CK702" s="18"/>
      <c r="CL702" s="18"/>
      <c r="CM702" s="18"/>
      <c r="CN702" s="18"/>
      <c r="CO702" s="18"/>
      <c r="CP702" s="18"/>
      <c r="CQ702" s="18"/>
      <c r="CR702" s="18"/>
      <c r="CS702" s="18"/>
      <c r="CT702" s="18"/>
      <c r="CU702" s="18"/>
      <c r="CV702" s="18"/>
      <c r="CW702" s="18"/>
      <c r="CX702" s="18"/>
      <c r="CY702" s="18"/>
      <c r="CZ702" s="18"/>
      <c r="DA702" s="18"/>
      <c r="DB702" s="18"/>
      <c r="DC702" s="18"/>
      <c r="DD702" s="18"/>
      <c r="DE702" s="18"/>
      <c r="DF702" s="18"/>
    </row>
    <row r="703" spans="1:110">
      <c r="A703" s="168">
        <v>9</v>
      </c>
      <c r="B703" s="47" t="str">
        <f ca="1">Lineups!$C$209</f>
        <v/>
      </c>
      <c r="C703" s="49"/>
      <c r="D703" s="49"/>
      <c r="E703" s="49"/>
      <c r="F703" s="49"/>
      <c r="G703" s="49"/>
      <c r="H703" s="50"/>
      <c r="I703" s="50"/>
      <c r="J703" s="50"/>
      <c r="K703" s="50"/>
      <c r="L703" s="50"/>
      <c r="M703" s="67" t="str">
        <f ca="1">IF($B703="","",SUM(_xlfn.XLOOKUP(C703,Lists!$P$2:$P$19,Lists!$R$2:$R$19,0),_xlfn.XLOOKUP(E703,Lists!$P$2:$P$19,Lists!$R$2:$R$19,0),_xlfn.XLOOKUP(G703,Lists!$P$2:$P$19,Lists!$R$2:$R$19,0),_xlfn.XLOOKUP(I703,Lists!$P$2:$P$19,Lists!$R$2:$R$19,0),_xlfn.XLOOKUP(K703,Lists!$P$2:$P$19,Lists!$R$2:$R$19,0)))</f>
        <v/>
      </c>
      <c r="N703" s="68" t="str">
        <f ca="1">IF($B703="","",SUM(_xlfn.XLOOKUP(D703,Lists!$AC$2:$AC$9,Lists!$AE$2:$AE$9,0),_xlfn.XLOOKUP(F703,Lists!$AC$2:$AC$9,Lists!$AE$2:$AE$9,0),_xlfn.XLOOKUP(H703,Lists!$AC$2:$AC$9,Lists!$AE$2:$AE$9,0),_xlfn.XLOOKUP(J703,Lists!$AC$2:$AC$9,Lists!$AE$2:$AE$9,0),_xlfn.XLOOKUP(L703,Lists!$AC$2:$AC$9,Lists!$AE$2:$AE$9,0)))</f>
        <v/>
      </c>
      <c r="O703" s="68" t="str">
        <f ca="1">IF($B703="","",SUM(_xlfn.XLOOKUP(C703,Lists!$P$2:$P$19,Lists!$S$2:$S$19,0),_xlfn.XLOOKUP(E703,Lists!$P$2:$P$19,Lists!$S$2:$S$19,0),_xlfn.XLOOKUP(G703,Lists!$P$2:$P$19,Lists!$S$2:$S$19,0),_xlfn.XLOOKUP(I703,Lists!$P$2:$P$19,Lists!$S$2:$S$19,0),_xlfn.XLOOKUP(K703,Lists!$P$2:$P$19,Lists!$S$2:$S$19,0)))</f>
        <v/>
      </c>
      <c r="P703" s="68" t="str">
        <f ca="1">IF($B703="","",SUM(_xlfn.XLOOKUP(C703,Lists!$P$2:$P$19,Lists!$T$2:$T$19,0),_xlfn.XLOOKUP(E703,Lists!$P$2:$P$19,Lists!$T$2:$T$19,0),_xlfn.XLOOKUP(G703,Lists!$P$2:$P$19,Lists!$T$2:$T$19,0),_xlfn.XLOOKUP(I703,Lists!$P$2:$P$19,Lists!$T$2:$T$19,0),_xlfn.XLOOKUP(K703,Lists!$P$2:$P$19,Lists!$T$2:$T$19,0)))</f>
        <v/>
      </c>
      <c r="Q703" s="68" t="str">
        <f ca="1">IF($B703="","",SUM(_xlfn.XLOOKUP(C703,Lists!$P$2:$P$19,Lists!$U$2:$U$19,0),_xlfn.XLOOKUP(E703,Lists!$P$2:$P$19,Lists!$U$2:$U$19,0),_xlfn.XLOOKUP(G703,Lists!$P$2:$P$19,Lists!$U$2:$U$19,0),_xlfn.XLOOKUP(I703,Lists!$P$2:$P$19,Lists!$U$2:$U$19,0),_xlfn.XLOOKUP(K703,Lists!$P$2:$P$19,Lists!$U$2:$U$19,0)))</f>
        <v/>
      </c>
      <c r="R703" s="68" t="str">
        <f ca="1">IF($B703="","",SUM(_xlfn.XLOOKUP(C703,Lists!$P$2:$P$19,Lists!$V$2:$V$19,0),_xlfn.XLOOKUP(E703,Lists!$P$2:$P$19,Lists!$V$2:$V$19,0),_xlfn.XLOOKUP(G703,Lists!$P$2:$P$19,Lists!$V$2:$V$19,0),_xlfn.XLOOKUP(I703,Lists!$P$2:$P$19,Lists!$V$2:$V$19,0),_xlfn.XLOOKUP(K703,Lists!$P$2:$P$19,Lists!$V$2:$V$19,0)))</f>
        <v/>
      </c>
      <c r="S703" s="68" t="str">
        <f ca="1">IF($B703="","",SUM(_xlfn.XLOOKUP(D703,Lists!$AC$2:$AC$9,Lists!$AD$2:$AD$9,0),_xlfn.XLOOKUP(F703,Lists!$AC$2:$AC$9,Lists!$AD$2:$AD$9,0),_xlfn.XLOOKUP(H703,Lists!$AC$2:$AC$9,Lists!$AD$2:$AD$9,0),_xlfn.XLOOKUP(J703,Lists!$AC$2:$AC$9,Lists!$AD$2:$AD$9,0),_xlfn.XLOOKUP(L703,Lists!$AC$2:$AC$9,Lists!$AD$2:$AD$9,0)))</f>
        <v/>
      </c>
      <c r="T703" s="68" t="str">
        <f ca="1">IF($B703="","",SUM(_xlfn.XLOOKUP(C703,Lists!$P$2:$P$19,Lists!$W$2:$W$19,0),_xlfn.XLOOKUP(E703,Lists!$P$2:$P$19,Lists!$W$2:$W$19,0),_xlfn.XLOOKUP(G703,Lists!$P$2:$P$19,Lists!$W$2:$W$19,0),_xlfn.XLOOKUP(I703,Lists!$P$2:$P$19,Lists!$W$2:$W$19,0),_xlfn.XLOOKUP(K703,Lists!$P$2:$P$19,Lists!$W$2:$W$19,0)))</f>
        <v/>
      </c>
      <c r="U703" s="68" t="str">
        <f ca="1">IF($B703="","",SUM(_xlfn.XLOOKUP(C703,Lists!$P$2:$P$19,Lists!$X$2:$X$19,0),_xlfn.XLOOKUP(E703,Lists!$P$2:$P$19,Lists!$X$2:$X$19,0),_xlfn.XLOOKUP(G703,Lists!$P$2:$P$19,Lists!$X$2:$X$19,0),_xlfn.XLOOKUP(I703,Lists!$P$2:$P$19,Lists!$X$2:$X$19,0),_xlfn.XLOOKUP(K703,Lists!$P$2:$P$19,Lists!$X$2:$X$19,0)))</f>
        <v/>
      </c>
      <c r="V703" s="68" t="str">
        <f ca="1">IF($B703="","",SUM(_xlfn.XLOOKUP(C703,Lists!$P$2:$P$19,Lists!$Y$2:$Y$19,0),_xlfn.XLOOKUP(E703,Lists!$P$2:$P$19,Lists!$Y$2:$Y$19,0),_xlfn.XLOOKUP(G703,Lists!$P$2:$P$19,Lists!$Y$2:$Y$19,0),_xlfn.XLOOKUP(I703,Lists!$P$2:$P$19,Lists!$Y$2:$Y$19,0),_xlfn.XLOOKUP(K703,Lists!$P$2:$P$19,Lists!$Y$2:$Y$19,0)))</f>
        <v/>
      </c>
      <c r="W703" s="68" t="str">
        <f ca="1">IF($B703="","",SUM(_xlfn.XLOOKUP(C703,Lists!$P$2:$P$19,Lists!$Z$2:$Z$19,0),_xlfn.XLOOKUP(E703,Lists!$P$2:$P$19,Lists!$Z$2:$Z$19,0),_xlfn.XLOOKUP(G703,Lists!$P$2:$P$19,Lists!$Z$2:$Z$19,0),_xlfn.XLOOKUP(I703,Lists!$P$2:$P$19,Lists!$Z$2:$Z$19,0),_xlfn.XLOOKUP(K703,Lists!$P$2:$P$19,Lists!$Z$2:$Z$19,0)))</f>
        <v/>
      </c>
      <c r="X703" s="69" t="str">
        <f ca="1">IF($B703="","",SUM(_xlfn.XLOOKUP(C703,Lists!$P$2:$P$19,Lists!$AA$2:$AA$19,0),_xlfn.XLOOKUP(E703,Lists!$P$2:$P$19,Lists!$AA$2:$AA$19,0),_xlfn.XLOOKUP(G703,Lists!$P$2:$P$19,Lists!$AA$2:$AA$19,0),_xlfn.XLOOKUP(I703,Lists!$P$2:$P$19,Lists!$AA$2:$AA$19,0),_xlfn.XLOOKUP(K703,Lists!$P$2:$P$19,Lists!$AA$2:$AA$19,0)))</f>
        <v/>
      </c>
      <c r="Y703" s="49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  <c r="CF703" s="18"/>
      <c r="CG703" s="18"/>
      <c r="CH703" s="18"/>
      <c r="CI703" s="18"/>
      <c r="CJ703" s="18"/>
      <c r="CK703" s="18"/>
      <c r="CL703" s="18"/>
      <c r="CM703" s="18"/>
      <c r="CN703" s="18"/>
      <c r="CO703" s="18"/>
      <c r="CP703" s="18"/>
      <c r="CQ703" s="18"/>
      <c r="CR703" s="18"/>
      <c r="CS703" s="18"/>
      <c r="CT703" s="18"/>
      <c r="CU703" s="18"/>
      <c r="CV703" s="18"/>
      <c r="CW703" s="18"/>
      <c r="CX703" s="18"/>
      <c r="CY703" s="18"/>
      <c r="CZ703" s="18"/>
      <c r="DA703" s="18"/>
      <c r="DB703" s="18"/>
      <c r="DC703" s="18"/>
      <c r="DD703" s="18"/>
      <c r="DE703" s="18"/>
      <c r="DF703" s="18"/>
    </row>
    <row r="704" spans="1:110">
      <c r="A704" s="173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  <c r="BX704" s="18"/>
      <c r="BY704" s="18"/>
      <c r="BZ704" s="18"/>
      <c r="CA704" s="18"/>
      <c r="CB704" s="18"/>
      <c r="CC704" s="18"/>
      <c r="CD704" s="18"/>
      <c r="CE704" s="18"/>
      <c r="CF704" s="18"/>
      <c r="CG704" s="18"/>
      <c r="CH704" s="18"/>
      <c r="CI704" s="18"/>
      <c r="CJ704" s="18"/>
      <c r="CK704" s="18"/>
      <c r="CL704" s="18"/>
      <c r="CM704" s="18"/>
      <c r="CN704" s="18"/>
      <c r="CO704" s="18"/>
      <c r="CP704" s="18"/>
      <c r="CQ704" s="18"/>
      <c r="CR704" s="18"/>
      <c r="CS704" s="18"/>
      <c r="CT704" s="18"/>
      <c r="CU704" s="18"/>
      <c r="CV704" s="18"/>
      <c r="CW704" s="18"/>
      <c r="CX704" s="18"/>
      <c r="CY704" s="18"/>
      <c r="CZ704" s="18"/>
      <c r="DA704" s="18"/>
      <c r="DB704" s="18"/>
      <c r="DC704" s="18"/>
      <c r="DD704" s="18"/>
      <c r="DE704" s="18"/>
      <c r="DF704" s="18"/>
    </row>
    <row r="705" spans="1:110">
      <c r="A705" s="222" t="str">
        <f ca="1">IF($N$688="","Team A Pitching",$N$688&amp;" Pitching")</f>
        <v>Team A Pitching</v>
      </c>
      <c r="B705" s="221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06"/>
      <c r="O705" s="186"/>
      <c r="P705" s="24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  <c r="BX705" s="18"/>
      <c r="BY705" s="18"/>
      <c r="BZ705" s="18"/>
      <c r="CA705" s="18"/>
      <c r="CB705" s="18"/>
      <c r="CC705" s="18"/>
      <c r="CD705" s="18"/>
      <c r="CE705" s="18"/>
      <c r="CF705" s="18"/>
      <c r="CG705" s="18"/>
      <c r="CH705" s="18"/>
      <c r="CI705" s="18"/>
      <c r="CJ705" s="18"/>
      <c r="CK705" s="18"/>
      <c r="CL705" s="18"/>
      <c r="CM705" s="18"/>
      <c r="CN705" s="18"/>
      <c r="CO705" s="18"/>
      <c r="CP705" s="18"/>
      <c r="CQ705" s="18"/>
      <c r="CR705" s="18"/>
      <c r="CS705" s="18"/>
      <c r="CT705" s="18"/>
      <c r="CU705" s="18"/>
      <c r="CV705" s="18"/>
      <c r="CW705" s="18"/>
      <c r="CX705" s="18"/>
      <c r="CY705" s="18"/>
      <c r="CZ705" s="18"/>
      <c r="DA705" s="18"/>
      <c r="DB705" s="18"/>
      <c r="DC705" s="18"/>
      <c r="DD705" s="18"/>
      <c r="DE705" s="18"/>
      <c r="DF705" s="18"/>
    </row>
    <row r="706" spans="1:110">
      <c r="A706" s="167" t="s">
        <v>103</v>
      </c>
      <c r="B706" s="43" t="s">
        <v>194</v>
      </c>
      <c r="C706" s="43" t="s">
        <v>195</v>
      </c>
      <c r="D706" s="43" t="s">
        <v>162</v>
      </c>
      <c r="E706" s="43" t="s">
        <v>161</v>
      </c>
      <c r="F706" s="43" t="s">
        <v>196</v>
      </c>
      <c r="G706" s="43" t="s">
        <v>180</v>
      </c>
      <c r="H706" s="43" t="s">
        <v>181</v>
      </c>
      <c r="I706" s="44" t="s">
        <v>197</v>
      </c>
      <c r="J706" s="44" t="s">
        <v>198</v>
      </c>
      <c r="K706" s="44" t="s">
        <v>199</v>
      </c>
      <c r="L706" s="44" t="s">
        <v>200</v>
      </c>
      <c r="M706" s="44" t="s">
        <v>201</v>
      </c>
      <c r="N706" s="45" t="s">
        <v>202</v>
      </c>
      <c r="O706" s="45" t="s">
        <v>203</v>
      </c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  <c r="BX706" s="18"/>
      <c r="BY706" s="18"/>
      <c r="BZ706" s="18"/>
      <c r="CA706" s="18"/>
      <c r="CB706" s="18"/>
      <c r="CC706" s="18"/>
      <c r="CD706" s="18"/>
      <c r="CE706" s="18"/>
      <c r="CF706" s="18"/>
      <c r="CG706" s="18"/>
      <c r="CH706" s="18"/>
      <c r="CI706" s="18"/>
      <c r="CJ706" s="18"/>
      <c r="CK706" s="18"/>
      <c r="CL706" s="18"/>
      <c r="CM706" s="18"/>
      <c r="CN706" s="18"/>
      <c r="CO706" s="18"/>
      <c r="CP706" s="18"/>
      <c r="CQ706" s="18"/>
      <c r="CR706" s="18"/>
      <c r="CS706" s="18"/>
      <c r="CT706" s="18"/>
      <c r="CU706" s="18"/>
      <c r="CV706" s="18"/>
      <c r="CW706" s="18"/>
      <c r="CX706" s="18"/>
      <c r="CY706" s="18"/>
      <c r="CZ706" s="18"/>
      <c r="DA706" s="18"/>
      <c r="DB706" s="18"/>
      <c r="DC706" s="18"/>
      <c r="DD706" s="18"/>
      <c r="DE706" s="18"/>
      <c r="DF706" s="18"/>
    </row>
    <row r="707" spans="1:110">
      <c r="A707" s="168">
        <v>1</v>
      </c>
      <c r="B707" s="71"/>
      <c r="C707" s="70" t="str" cm="1">
        <f t="array" aca="1" ref="C707" ca="1">IF(OR(B707="",O707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707" s="67" t="str" cm="1">
        <f t="array" aca="1" ref="D707" ca="1">IF(OR(B707="",O707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707" s="67" t="str" cm="1">
        <f t="array" aca="1" ref="E707" ca="1">IF(OR(B707="",O707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707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707" s="67" t="str" cm="1">
        <f t="array" aca="1" ref="F707" ca="1">IF(OR(B707="",O707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707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707" s="67" t="str" cm="1">
        <f t="array" aca="1" ref="G707" ca="1">IF(OR(B707="",O707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707" s="67" t="str" cm="1">
        <f t="array" aca="1" ref="H707" ca="1">IF(OR(B707="",O707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707" s="68" t="str" cm="1">
        <f t="array" aca="1" ref="I707" ca="1">IF(OR(B707="",O707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707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707" s="68" t="str" cm="1">
        <f t="array" aca="1" ref="J707" ca="1">IF(OR(B707="",O707=""),"",--(SUM(_xlfn.XLOOKUP(_xlfn._xlws.FILTER(_xlfn.TOCOL(_xlfn.CHOOSECOLS(C695:L703,2,4,6,8,10),0,TRUE),_xlfn.TOCOL(_xlfn.CHOOSECOLS(C695:L703,1,3,5,7,9),0,TRUE)&lt;&gt;""),Lists!$AC$2:$AC$9,Lists!$AF$2:$AF$9,0))&gt;SUM(_xlfn.XLOOKUP(_xlfn._xlws.FILTER(_xlfn.TOCOL(_xlfn.CHOOSECOLS(C716:L724,2,4,6,8,10),0,TRUE),_xlfn.TOCOL(_xlfn.CHOOSECOLS(C716:L724,1,3,5,7,9),0,TRUE)&lt;&gt;""),Lists!$AC$2:$AC$9,Lists!$AF$2:$AF$9,0)))*--(ROW()-ROW(C706)=_xlfn.XLOOKUP(MAX(IF(O707:O712&gt;0,INT(C707:C712)*3+MOD(ROUND(C707:C712*10,0),10),-1)),IF(O707:O712&gt;0,INT(C707:C712)*3+MOD(ROUND(C707:C712*10,0),10),-1),_xlfn.SEQUENCE(ROWS(O707:O712)),,0)))</f>
        <v/>
      </c>
      <c r="K707" s="68" t="str" cm="1">
        <f t="array" aca="1" ref="K707" ca="1">IF(OR(B707="",O707=""),"",--(SUM(_xlfn.XLOOKUP(_xlfn._xlws.FILTER(_xlfn.TOCOL(_xlfn.CHOOSECOLS(C695:L703,2,4,6,8,10),0,TRUE),_xlfn.TOCOL(_xlfn.CHOOSECOLS(C695:L703,1,3,5,7,9),0,TRUE)&lt;&gt;""),Lists!$AC$2:$AC$9,Lists!$AF$2:$AF$9,0))&lt;SUM(_xlfn.XLOOKUP(_xlfn._xlws.FILTER(_xlfn.TOCOL(_xlfn.CHOOSECOLS(C716:L724,2,4,6,8,10),0,TRUE),_xlfn.TOCOL(_xlfn.CHOOSECOLS(C716:L724,1,3,5,7,9),0,TRUE)&lt;&gt;""),Lists!$AC$2:$AC$9,Lists!$AF$2:$AF$9,0)))*--(ROW()-ROW(C706)=_xlfn.XLOOKUP(MAX(IF(O707:O712&gt;0,E707:E712,-1)),IF(O707:O712&gt;0,E707:E712,-1),_xlfn.SEQUENCE(ROWS(O707:O712)),,0)))</f>
        <v/>
      </c>
      <c r="L707" s="68" t="str" cm="1">
        <f t="array" aca="1" ref="L707" ca="1">IF(OR(B707="",O707=""),"",--(SUM(_xlfn.XLOOKUP(_xlfn._xlws.FILTER(_xlfn.TOCOL(_xlfn.CHOOSECOLS(C695:L703,2,4,6,8,10),0,TRUE),_xlfn.TOCOL(_xlfn.CHOOSECOLS(C695:L703,1,3,5,7,9),0,TRUE)&lt;&gt;""),Lists!$AC$2:$AC$9,Lists!$AF$2:$AF$9,0))&gt;SUM(_xlfn.XLOOKUP(_xlfn._xlws.FILTER(_xlfn.TOCOL(_xlfn.CHOOSECOLS(C716:L724,2,4,6,8,10),0,TRUE),_xlfn.TOCOL(_xlfn.CHOOSECOLS(C716:L724,1,3,5,7,9),0,TRUE)&lt;&gt;""),Lists!$AC$2:$AC$9,Lists!$AF$2:$AF$9,0)))*--(COUNTIF(O707:O712,"&gt;0")&gt;1)*--(ROW()-ROW(C706)=_xlfn.XLOOKUP(TRUE,O707:O712&gt;0,_xlfn.SEQUENCE(ROWS(O707:O712)),,0,-1))*--(_xlfn.XLOOKUP(TRUE,O707:O712&gt;0,_xlfn.SEQUENCE(ROWS(O707:O712)),,0,-1)&lt;&gt;_xlfn.XLOOKUP(MAX(IF(O707:O712&gt;0,INT(C707:C712)*3+MOD(ROUND(C707:C712*10,0),10),-1)),IF(O707:O712&gt;0,INT(C707:C712)*3+MOD(ROUND(C707:C712*10,0),10),-1),_xlfn.SEQUENCE(ROWS(O707:O712)),,0))*--(SUM(_xlfn.XLOOKUP(_xlfn._xlws.FILTER(_xlfn.TOCOL(_xlfn.CHOOSECOLS(C695:L703,2,4,6,8,10),0,TRUE),_xlfn.TOCOL(_xlfn.CHOOSECOLS(C695:L703,1,3,5,7,9),0,TRUE)&lt;&gt;""),Lists!$AC$2:$AC$9,Lists!$AF$2:$AF$9,0))-SUM(_xlfn.XLOOKUP(_xlfn._xlws.FILTER(_xlfn.TOCOL(_xlfn.CHOOSECOLS(C716:L724,2,4,6,8,10),0,TRUE),_xlfn.TOCOL(_xlfn.CHOOSECOLS(C716:L724,1,3,5,7,9),0,TRUE)&lt;&gt;""),Lists!$AC$2:$AC$9,Lists!$AF$2:$AF$9,0))&lt;=3)*--((INT(C707)*3+MOD(ROUND(C707*10,0),10))&gt;=3))</f>
        <v/>
      </c>
      <c r="M707" s="68" t="str" cm="1">
        <f t="array" ref="M707">IF(OR(B707="",O707=""),"",--(COUNTIF(O707:O712,"&gt;0")=1)*--(SUM(_xlfn.XLOOKUP(_xlfn._xlws.FILTER(_xlfn.TOCOL(_xlfn.CHOOSECOLS(C716:L724,2,4,6,8,10),0,TRUE),_xlfn.TOCOL(_xlfn.CHOOSECOLS(C716:L724,1,3,5,7,9),0,TRUE)&lt;&gt;""),Lists!$AC$2:$AC$9,Lists!$AF$2:$AF$9,0))=0))</f>
        <v/>
      </c>
      <c r="N707" s="69" t="str">
        <f>IF(OR(B707="",O707=""),"",--(COUNTIF(O707:O712,"&gt;0")=1))</f>
        <v/>
      </c>
      <c r="O707" s="5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  <c r="BX707" s="18"/>
      <c r="BY707" s="18"/>
      <c r="BZ707" s="18"/>
      <c r="CA707" s="18"/>
      <c r="CB707" s="18"/>
      <c r="CC707" s="18"/>
      <c r="CD707" s="18"/>
      <c r="CE707" s="18"/>
      <c r="CF707" s="18"/>
      <c r="CG707" s="18"/>
      <c r="CH707" s="18"/>
      <c r="CI707" s="18"/>
      <c r="CJ707" s="18"/>
      <c r="CK707" s="18"/>
      <c r="CL707" s="18"/>
      <c r="CM707" s="18"/>
      <c r="CN707" s="18"/>
      <c r="CO707" s="18"/>
      <c r="CP707" s="18"/>
      <c r="CQ707" s="18"/>
      <c r="CR707" s="18"/>
      <c r="CS707" s="18"/>
      <c r="CT707" s="18"/>
      <c r="CU707" s="18"/>
      <c r="CV707" s="18"/>
      <c r="CW707" s="18"/>
      <c r="CX707" s="18"/>
      <c r="CY707" s="18"/>
      <c r="CZ707" s="18"/>
      <c r="DA707" s="18"/>
      <c r="DB707" s="18"/>
      <c r="DC707" s="18"/>
      <c r="DD707" s="18"/>
      <c r="DE707" s="18"/>
      <c r="DF707" s="18"/>
    </row>
    <row r="708" spans="1:110">
      <c r="A708" s="168">
        <v>2</v>
      </c>
      <c r="B708" s="71"/>
      <c r="C708" s="70" t="str" cm="1">
        <f t="array" aca="1" ref="C708" ca="1">IF(OR(B708="",O708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708" s="67" t="str" cm="1">
        <f t="array" aca="1" ref="D708" ca="1">IF(OR(B708="",O708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708" s="67" t="str" cm="1">
        <f t="array" aca="1" ref="E708" ca="1">IF(OR(B708="",O708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708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708" s="67" t="str" cm="1">
        <f t="array" aca="1" ref="F708" ca="1">IF(OR(B708="",O708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708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708" s="67" t="str" cm="1">
        <f t="array" aca="1" ref="G708" ca="1">IF(OR(B708="",O708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708" s="67" t="str" cm="1">
        <f t="array" aca="1" ref="H708" ca="1">IF(OR(B708="",O708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708" s="68" t="str" cm="1">
        <f t="array" aca="1" ref="I708" ca="1">IF(OR(B708="",O708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708" s="68" t="str" cm="1">
        <f t="array" aca="1" ref="J708" ca="1">IF(OR(B708="",O708=""),"",--(SUM(_xlfn.XLOOKUP(_xlfn._xlws.FILTER(_xlfn.TOCOL(_xlfn.CHOOSECOLS(C695:L703,2,4,6,8,10),0,TRUE),_xlfn.TOCOL(_xlfn.CHOOSECOLS(C695:L703,1,3,5,7,9),0,TRUE)&lt;&gt;""),Lists!$AC$2:$AC$9,Lists!$AF$2:$AF$9,0))&gt;SUM(_xlfn.XLOOKUP(_xlfn._xlws.FILTER(_xlfn.TOCOL(_xlfn.CHOOSECOLS(C716:L724,2,4,6,8,10),0,TRUE),_xlfn.TOCOL(_xlfn.CHOOSECOLS(C716:L724,1,3,5,7,9),0,TRUE)&lt;&gt;""),Lists!$AC$2:$AC$9,Lists!$AF$2:$AF$9,0)))*--(ROW()-ROW(C706)=_xlfn.XLOOKUP(MAX(IF(O707:O712&gt;0,INT(C707:C712)*3+MOD(ROUND(C707:C712*10,0),10),-1)),IF(O707:O712&gt;0,INT(C707:C712)*3+MOD(ROUND(C707:C712*10,0),10),-1),_xlfn.SEQUENCE(ROWS(O707:O712)),,0)))</f>
        <v/>
      </c>
      <c r="K708" s="68" t="str" cm="1">
        <f t="array" aca="1" ref="K708" ca="1">IF(OR(B708="",O708=""),"",--(SUM(_xlfn.XLOOKUP(_xlfn._xlws.FILTER(_xlfn.TOCOL(_xlfn.CHOOSECOLS(C695:L703,2,4,6,8,10),0,TRUE),_xlfn.TOCOL(_xlfn.CHOOSECOLS(C695:L703,1,3,5,7,9),0,TRUE)&lt;&gt;""),Lists!$AC$2:$AC$9,Lists!$AF$2:$AF$9,0))&lt;SUM(_xlfn.XLOOKUP(_xlfn._xlws.FILTER(_xlfn.TOCOL(_xlfn.CHOOSECOLS(C716:L724,2,4,6,8,10),0,TRUE),_xlfn.TOCOL(_xlfn.CHOOSECOLS(C716:L724,1,3,5,7,9),0,TRUE)&lt;&gt;""),Lists!$AC$2:$AC$9,Lists!$AF$2:$AF$9,0)))*--(ROW()-ROW(C706)=_xlfn.XLOOKUP(MAX(IF(O707:O712&gt;0,E707:E712,-1)),IF(O707:O712&gt;0,E707:E712,-1),_xlfn.SEQUENCE(ROWS(O707:O712)),,0)))</f>
        <v/>
      </c>
      <c r="L708" s="68" t="str" cm="1">
        <f t="array" aca="1" ref="L708" ca="1">IF(OR(B708="",O708=""),"",--(SUM(_xlfn.XLOOKUP(_xlfn._xlws.FILTER(_xlfn.TOCOL(_xlfn.CHOOSECOLS(C695:L703,2,4,6,8,10),0,TRUE),_xlfn.TOCOL(_xlfn.CHOOSECOLS(C695:L703,1,3,5,7,9),0,TRUE)&lt;&gt;""),Lists!$AC$2:$AC$9,Lists!$AF$2:$AF$9,0))&gt;SUM(_xlfn.XLOOKUP(_xlfn._xlws.FILTER(_xlfn.TOCOL(_xlfn.CHOOSECOLS(C716:L724,2,4,6,8,10),0,TRUE),_xlfn.TOCOL(_xlfn.CHOOSECOLS(C716:L724,1,3,5,7,9),0,TRUE)&lt;&gt;""),Lists!$AC$2:$AC$9,Lists!$AF$2:$AF$9,0)))*--(COUNTIF(O707:O712,"&gt;0")&gt;1)*--(ROW()-ROW(C706)=_xlfn.XLOOKUP(TRUE,O707:O712&gt;0,_xlfn.SEQUENCE(ROWS(O707:O712)),,0,-1))*--(_xlfn.XLOOKUP(TRUE,O707:O712&gt;0,_xlfn.SEQUENCE(ROWS(O707:O712)),,0,-1)&lt;&gt;_xlfn.XLOOKUP(MAX(IF(O707:O712&gt;0,INT(C707:C712)*3+MOD(ROUND(C707:C712*10,0),10),-1)),IF(O707:O712&gt;0,INT(C707:C712)*3+MOD(ROUND(C707:C712*10,0),10),-1),_xlfn.SEQUENCE(ROWS(O707:O712)),,0))*--(SUM(_xlfn.XLOOKUP(_xlfn._xlws.FILTER(_xlfn.TOCOL(_xlfn.CHOOSECOLS(C695:L703,2,4,6,8,10),0,TRUE),_xlfn.TOCOL(_xlfn.CHOOSECOLS(C695:L703,1,3,5,7,9),0,TRUE)&lt;&gt;""),Lists!$AC$2:$AC$9,Lists!$AF$2:$AF$9,0))-SUM(_xlfn.XLOOKUP(_xlfn._xlws.FILTER(_xlfn.TOCOL(_xlfn.CHOOSECOLS(C716:L724,2,4,6,8,10),0,TRUE),_xlfn.TOCOL(_xlfn.CHOOSECOLS(C716:L724,1,3,5,7,9),0,TRUE)&lt;&gt;""),Lists!$AC$2:$AC$9,Lists!$AF$2:$AF$9,0))&lt;=3)*--((INT(C708)*3+MOD(ROUND(C708*10,0),10))&gt;=3))</f>
        <v/>
      </c>
      <c r="M708" s="68" t="str" cm="1">
        <f t="array" ref="M708">IF(OR(B708="",O708=""),"",--(COUNTIF(O707:O712,"&gt;0")=1)*--(SUM(_xlfn.XLOOKUP(_xlfn._xlws.FILTER(_xlfn.TOCOL(_xlfn.CHOOSECOLS(C716:L724,2,4,6,8,10),0,TRUE),_xlfn.TOCOL(_xlfn.CHOOSECOLS(C716:L724,1,3,5,7,9),0,TRUE)&lt;&gt;""),Lists!$AC$2:$AC$9,Lists!$AF$2:$AF$9,0))=0))</f>
        <v/>
      </c>
      <c r="N708" s="69" t="str">
        <f>IF(OR(B708="",O708=""),"",--(COUNTIF(O707:O712,"&gt;0")=1))</f>
        <v/>
      </c>
      <c r="O708" s="5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  <c r="BX708" s="18"/>
      <c r="BY708" s="18"/>
      <c r="BZ708" s="18"/>
      <c r="CA708" s="18"/>
      <c r="CB708" s="18"/>
      <c r="CC708" s="18"/>
      <c r="CD708" s="18"/>
      <c r="CE708" s="18"/>
      <c r="CF708" s="18"/>
      <c r="CG708" s="18"/>
      <c r="CH708" s="18"/>
      <c r="CI708" s="18"/>
      <c r="CJ708" s="18"/>
      <c r="CK708" s="18"/>
      <c r="CL708" s="18"/>
      <c r="CM708" s="18"/>
      <c r="CN708" s="18"/>
      <c r="CO708" s="18"/>
      <c r="CP708" s="18"/>
      <c r="CQ708" s="18"/>
      <c r="CR708" s="18"/>
      <c r="CS708" s="18"/>
      <c r="CT708" s="18"/>
      <c r="CU708" s="18"/>
      <c r="CV708" s="18"/>
      <c r="CW708" s="18"/>
      <c r="CX708" s="18"/>
      <c r="CY708" s="18"/>
      <c r="CZ708" s="18"/>
      <c r="DA708" s="18"/>
      <c r="DB708" s="18"/>
      <c r="DC708" s="18"/>
      <c r="DD708" s="18"/>
      <c r="DE708" s="18"/>
      <c r="DF708" s="18"/>
    </row>
    <row r="709" spans="1:110">
      <c r="A709" s="168">
        <v>3</v>
      </c>
      <c r="B709" s="71"/>
      <c r="C709" s="70" t="str" cm="1">
        <f t="array" aca="1" ref="C709" ca="1">IF(OR(B709="",O709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709" s="67" t="str" cm="1">
        <f t="array" aca="1" ref="D709" ca="1">IF(OR(B709="",O709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709" s="67" t="str" cm="1">
        <f t="array" aca="1" ref="E709" ca="1">IF(OR(B709="",O709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709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709" s="67" t="str" cm="1">
        <f t="array" aca="1" ref="F709" ca="1">IF(OR(B709="",O709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709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709" s="67" t="str" cm="1">
        <f t="array" aca="1" ref="G709" ca="1">IF(OR(B709="",O709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709" s="67" t="str" cm="1">
        <f t="array" aca="1" ref="H709" ca="1">IF(OR(B709="",O709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709" s="68" t="str" cm="1">
        <f t="array" aca="1" ref="I709" ca="1">IF(OR(B709="",O709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709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709" s="68" t="str" cm="1">
        <f t="array" aca="1" ref="J709" ca="1">IF(OR(B709="",O709=""),"",--(SUM(_xlfn.XLOOKUP(_xlfn._xlws.FILTER(_xlfn.TOCOL(_xlfn.CHOOSECOLS(C695:L703,2,4,6,8,10),0,TRUE),_xlfn.TOCOL(_xlfn.CHOOSECOLS(C695:L703,1,3,5,7,9),0,TRUE)&lt;&gt;""),Lists!$AC$2:$AC$9,Lists!$AF$2:$AF$9,0))&gt;SUM(_xlfn.XLOOKUP(_xlfn._xlws.FILTER(_xlfn.TOCOL(_xlfn.CHOOSECOLS(C716:L724,2,4,6,8,10),0,TRUE),_xlfn.TOCOL(_xlfn.CHOOSECOLS(C716:L724,1,3,5,7,9),0,TRUE)&lt;&gt;""),Lists!$AC$2:$AC$9,Lists!$AF$2:$AF$9,0)))*--(ROW()-ROW(C706)=_xlfn.XLOOKUP(MAX(IF(O707:O712&gt;0,INT(C707:C712)*3+MOD(ROUND(C707:C712*10,0),10),-1)),IF(O707:O712&gt;0,INT(C707:C712)*3+MOD(ROUND(C707:C712*10,0),10),-1),_xlfn.SEQUENCE(ROWS(O707:O712)),,0)))</f>
        <v/>
      </c>
      <c r="K709" s="68" t="str" cm="1">
        <f t="array" aca="1" ref="K709" ca="1">IF(OR(B709="",O709=""),"",--(SUM(_xlfn.XLOOKUP(_xlfn._xlws.FILTER(_xlfn.TOCOL(_xlfn.CHOOSECOLS(C695:L703,2,4,6,8,10),0,TRUE),_xlfn.TOCOL(_xlfn.CHOOSECOLS(C695:L703,1,3,5,7,9),0,TRUE)&lt;&gt;""),Lists!$AC$2:$AC$9,Lists!$AF$2:$AF$9,0))&lt;SUM(_xlfn.XLOOKUP(_xlfn._xlws.FILTER(_xlfn.TOCOL(_xlfn.CHOOSECOLS(C716:L724,2,4,6,8,10),0,TRUE),_xlfn.TOCOL(_xlfn.CHOOSECOLS(C716:L724,1,3,5,7,9),0,TRUE)&lt;&gt;""),Lists!$AC$2:$AC$9,Lists!$AF$2:$AF$9,0)))*--(ROW()-ROW(C706)=_xlfn.XLOOKUP(MAX(IF(O707:O712&gt;0,E707:E712,-1)),IF(O707:O712&gt;0,E707:E712,-1),_xlfn.SEQUENCE(ROWS(O707:O712)),,0)))</f>
        <v/>
      </c>
      <c r="L709" s="68" t="str" cm="1">
        <f t="array" aca="1" ref="L709" ca="1">IF(OR(B709="",O709=""),"",--(SUM(_xlfn.XLOOKUP(_xlfn._xlws.FILTER(_xlfn.TOCOL(_xlfn.CHOOSECOLS(C695:L703,2,4,6,8,10),0,TRUE),_xlfn.TOCOL(_xlfn.CHOOSECOLS(C695:L703,1,3,5,7,9),0,TRUE)&lt;&gt;""),Lists!$AC$2:$AC$9,Lists!$AF$2:$AF$9,0))&gt;SUM(_xlfn.XLOOKUP(_xlfn._xlws.FILTER(_xlfn.TOCOL(_xlfn.CHOOSECOLS(C716:L724,2,4,6,8,10),0,TRUE),_xlfn.TOCOL(_xlfn.CHOOSECOLS(C716:L724,1,3,5,7,9),0,TRUE)&lt;&gt;""),Lists!$AC$2:$AC$9,Lists!$AF$2:$AF$9,0)))*--(COUNTIF(O707:O712,"&gt;0")&gt;1)*--(ROW()-ROW(C706)=_xlfn.XLOOKUP(TRUE,O707:O712&gt;0,_xlfn.SEQUENCE(ROWS(O707:O712)),,0,-1))*--(_xlfn.XLOOKUP(TRUE,O707:O712&gt;0,_xlfn.SEQUENCE(ROWS(O707:O712)),,0,-1)&lt;&gt;_xlfn.XLOOKUP(MAX(IF(O707:O712&gt;0,INT(C707:C712)*3+MOD(ROUND(C707:C712*10,0),10),-1)),IF(O707:O712&gt;0,INT(C707:C712)*3+MOD(ROUND(C707:C712*10,0),10),-1),_xlfn.SEQUENCE(ROWS(O707:O712)),,0))*--(SUM(_xlfn.XLOOKUP(_xlfn._xlws.FILTER(_xlfn.TOCOL(_xlfn.CHOOSECOLS(C695:L703,2,4,6,8,10),0,TRUE),_xlfn.TOCOL(_xlfn.CHOOSECOLS(C695:L703,1,3,5,7,9),0,TRUE)&lt;&gt;""),Lists!$AC$2:$AC$9,Lists!$AF$2:$AF$9,0))-SUM(_xlfn.XLOOKUP(_xlfn._xlws.FILTER(_xlfn.TOCOL(_xlfn.CHOOSECOLS(C716:L724,2,4,6,8,10),0,TRUE),_xlfn.TOCOL(_xlfn.CHOOSECOLS(C716:L724,1,3,5,7,9),0,TRUE)&lt;&gt;""),Lists!$AC$2:$AC$9,Lists!$AF$2:$AF$9,0))&lt;=3)*--((INT(C709)*3+MOD(ROUND(C709*10,0),10))&gt;=3))</f>
        <v/>
      </c>
      <c r="M709" s="68" t="str" cm="1">
        <f t="array" ref="M709">IF(OR(B709="",O709=""),"",--(COUNTIF(O707:O712,"&gt;0")=1)*--(SUM(_xlfn.XLOOKUP(_xlfn._xlws.FILTER(_xlfn.TOCOL(_xlfn.CHOOSECOLS(C716:L724,2,4,6,8,10),0,TRUE),_xlfn.TOCOL(_xlfn.CHOOSECOLS(C716:L724,1,3,5,7,9),0,TRUE)&lt;&gt;""),Lists!$AC$2:$AC$9,Lists!$AF$2:$AF$9,0))=0))</f>
        <v/>
      </c>
      <c r="N709" s="69" t="str">
        <f>IF(OR(B709="",O709=""),"",--(COUNTIF(O707:O712,"&gt;0")=1))</f>
        <v/>
      </c>
      <c r="O709" s="5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8"/>
      <c r="CG709" s="18"/>
      <c r="CH709" s="18"/>
      <c r="CI709" s="18"/>
      <c r="CJ709" s="18"/>
      <c r="CK709" s="18"/>
      <c r="CL709" s="18"/>
      <c r="CM709" s="18"/>
      <c r="CN709" s="18"/>
      <c r="CO709" s="18"/>
      <c r="CP709" s="18"/>
      <c r="CQ709" s="18"/>
      <c r="CR709" s="18"/>
      <c r="CS709" s="18"/>
      <c r="CT709" s="18"/>
      <c r="CU709" s="18"/>
      <c r="CV709" s="18"/>
      <c r="CW709" s="18"/>
      <c r="CX709" s="18"/>
      <c r="CY709" s="18"/>
      <c r="CZ709" s="18"/>
      <c r="DA709" s="18"/>
      <c r="DB709" s="18"/>
      <c r="DC709" s="18"/>
      <c r="DD709" s="18"/>
      <c r="DE709" s="18"/>
      <c r="DF709" s="18"/>
    </row>
    <row r="710" spans="1:110">
      <c r="A710" s="168">
        <v>4</v>
      </c>
      <c r="B710" s="71"/>
      <c r="C710" s="70" t="str" cm="1">
        <f t="array" aca="1" ref="C710" ca="1">IF(OR(B710="",O710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710" s="67" t="str" cm="1">
        <f t="array" aca="1" ref="D710" ca="1">IF(OR(B710="",O710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710" s="67" t="str" cm="1">
        <f t="array" aca="1" ref="E710" ca="1">IF(OR(B710="",O710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710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710" s="67" t="str" cm="1">
        <f t="array" aca="1" ref="F710" ca="1">IF(OR(B710="",O710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710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710" s="67" t="str" cm="1">
        <f t="array" aca="1" ref="G710" ca="1">IF(OR(B710="",O710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710" s="67" t="str" cm="1">
        <f t="array" aca="1" ref="H710" ca="1">IF(OR(B710="",O710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710" s="68" t="str" cm="1">
        <f t="array" aca="1" ref="I710" ca="1">IF(OR(B710="",O710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710" s="68" t="str" cm="1">
        <f t="array" aca="1" ref="J710" ca="1">IF(OR(B710="",O710=""),"",--(SUM(_xlfn.XLOOKUP(_xlfn._xlws.FILTER(_xlfn.TOCOL(_xlfn.CHOOSECOLS(C695:L703,2,4,6,8,10),0,TRUE),_xlfn.TOCOL(_xlfn.CHOOSECOLS(C695:L703,1,3,5,7,9),0,TRUE)&lt;&gt;""),Lists!$AC$2:$AC$9,Lists!$AF$2:$AF$9,0))&gt;SUM(_xlfn.XLOOKUP(_xlfn._xlws.FILTER(_xlfn.TOCOL(_xlfn.CHOOSECOLS(C716:L724,2,4,6,8,10),0,TRUE),_xlfn.TOCOL(_xlfn.CHOOSECOLS(C716:L724,1,3,5,7,9),0,TRUE)&lt;&gt;""),Lists!$AC$2:$AC$9,Lists!$AF$2:$AF$9,0)))*--(ROW()-ROW(C706)=_xlfn.XLOOKUP(MAX(IF(O707:O712&gt;0,INT(C707:C712)*3+MOD(ROUND(C707:C712*10,0),10),-1)),IF(O707:O712&gt;0,INT(C707:C712)*3+MOD(ROUND(C707:C712*10,0),10),-1),_xlfn.SEQUENCE(ROWS(O707:O712)),,0)))</f>
        <v/>
      </c>
      <c r="K710" s="68" t="str" cm="1">
        <f t="array" aca="1" ref="K710" ca="1">IF(OR(B710="",O710=""),"",--(SUM(_xlfn.XLOOKUP(_xlfn._xlws.FILTER(_xlfn.TOCOL(_xlfn.CHOOSECOLS(C695:L703,2,4,6,8,10),0,TRUE),_xlfn.TOCOL(_xlfn.CHOOSECOLS(C695:L703,1,3,5,7,9),0,TRUE)&lt;&gt;""),Lists!$AC$2:$AC$9,Lists!$AF$2:$AF$9,0))&lt;SUM(_xlfn.XLOOKUP(_xlfn._xlws.FILTER(_xlfn.TOCOL(_xlfn.CHOOSECOLS(C716:L724,2,4,6,8,10),0,TRUE),_xlfn.TOCOL(_xlfn.CHOOSECOLS(C716:L724,1,3,5,7,9),0,TRUE)&lt;&gt;""),Lists!$AC$2:$AC$9,Lists!$AF$2:$AF$9,0)))*--(ROW()-ROW(C706)=_xlfn.XLOOKUP(MAX(IF(O707:O712&gt;0,E707:E712,-1)),IF(O707:O712&gt;0,E707:E712,-1),_xlfn.SEQUENCE(ROWS(O707:O712)),,0)))</f>
        <v/>
      </c>
      <c r="L710" s="68" t="str" cm="1">
        <f t="array" aca="1" ref="L710" ca="1">IF(OR(B710="",O710=""),"",--(SUM(_xlfn.XLOOKUP(_xlfn._xlws.FILTER(_xlfn.TOCOL(_xlfn.CHOOSECOLS(C695:L703,2,4,6,8,10),0,TRUE),_xlfn.TOCOL(_xlfn.CHOOSECOLS(C695:L703,1,3,5,7,9),0,TRUE)&lt;&gt;""),Lists!$AC$2:$AC$9,Lists!$AF$2:$AF$9,0))&gt;SUM(_xlfn.XLOOKUP(_xlfn._xlws.FILTER(_xlfn.TOCOL(_xlfn.CHOOSECOLS(C716:L724,2,4,6,8,10),0,TRUE),_xlfn.TOCOL(_xlfn.CHOOSECOLS(C716:L724,1,3,5,7,9),0,TRUE)&lt;&gt;""),Lists!$AC$2:$AC$9,Lists!$AF$2:$AF$9,0)))*--(COUNTIF(O707:O712,"&gt;0")&gt;1)*--(ROW()-ROW(C706)=_xlfn.XLOOKUP(TRUE,O707:O712&gt;0,_xlfn.SEQUENCE(ROWS(O707:O712)),,0,-1))*--(_xlfn.XLOOKUP(TRUE,O707:O712&gt;0,_xlfn.SEQUENCE(ROWS(O707:O712)),,0,-1)&lt;&gt;_xlfn.XLOOKUP(MAX(IF(O707:O712&gt;0,INT(C707:C712)*3+MOD(ROUND(C707:C712*10,0),10),-1)),IF(O707:O712&gt;0,INT(C707:C712)*3+MOD(ROUND(C707:C712*10,0),10),-1),_xlfn.SEQUENCE(ROWS(O707:O712)),,0))*--(SUM(_xlfn.XLOOKUP(_xlfn._xlws.FILTER(_xlfn.TOCOL(_xlfn.CHOOSECOLS(C695:L703,2,4,6,8,10),0,TRUE),_xlfn.TOCOL(_xlfn.CHOOSECOLS(C695:L703,1,3,5,7,9),0,TRUE)&lt;&gt;""),Lists!$AC$2:$AC$9,Lists!$AF$2:$AF$9,0))-SUM(_xlfn.XLOOKUP(_xlfn._xlws.FILTER(_xlfn.TOCOL(_xlfn.CHOOSECOLS(C716:L724,2,4,6,8,10),0,TRUE),_xlfn.TOCOL(_xlfn.CHOOSECOLS(C716:L724,1,3,5,7,9),0,TRUE)&lt;&gt;""),Lists!$AC$2:$AC$9,Lists!$AF$2:$AF$9,0))&lt;=3)*--((INT(C710)*3+MOD(ROUND(C710*10,0),10))&gt;=3))</f>
        <v/>
      </c>
      <c r="M710" s="68" t="str" cm="1">
        <f t="array" ref="M710">IF(OR(B710="",O710=""),"",--(COUNTIF(O707:O712,"&gt;0")=1)*--(SUM(_xlfn.XLOOKUP(_xlfn._xlws.FILTER(_xlfn.TOCOL(_xlfn.CHOOSECOLS(C716:L724,2,4,6,8,10),0,TRUE),_xlfn.TOCOL(_xlfn.CHOOSECOLS(C716:L724,1,3,5,7,9),0,TRUE)&lt;&gt;""),Lists!$AC$2:$AC$9,Lists!$AF$2:$AF$9,0))=0))</f>
        <v/>
      </c>
      <c r="N710" s="69" t="str">
        <f>IF(OR(B710="",O710=""),"",--(COUNTIF(O707:O712,"&gt;0")=1))</f>
        <v/>
      </c>
      <c r="O710" s="5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  <c r="BX710" s="18"/>
      <c r="BY710" s="18"/>
      <c r="BZ710" s="18"/>
      <c r="CA710" s="18"/>
      <c r="CB710" s="18"/>
      <c r="CC710" s="18"/>
      <c r="CD710" s="18"/>
      <c r="CE710" s="18"/>
      <c r="CF710" s="18"/>
      <c r="CG710" s="18"/>
      <c r="CH710" s="18"/>
      <c r="CI710" s="18"/>
      <c r="CJ710" s="18"/>
      <c r="CK710" s="18"/>
      <c r="CL710" s="18"/>
      <c r="CM710" s="18"/>
      <c r="CN710" s="18"/>
      <c r="CO710" s="18"/>
      <c r="CP710" s="18"/>
      <c r="CQ710" s="18"/>
      <c r="CR710" s="18"/>
      <c r="CS710" s="18"/>
      <c r="CT710" s="18"/>
      <c r="CU710" s="18"/>
      <c r="CV710" s="18"/>
      <c r="CW710" s="18"/>
      <c r="CX710" s="18"/>
      <c r="CY710" s="18"/>
      <c r="CZ710" s="18"/>
      <c r="DA710" s="18"/>
      <c r="DB710" s="18"/>
      <c r="DC710" s="18"/>
      <c r="DD710" s="18"/>
      <c r="DE710" s="18"/>
      <c r="DF710" s="18"/>
    </row>
    <row r="711" spans="1:110">
      <c r="A711" s="168">
        <v>5</v>
      </c>
      <c r="B711" s="71"/>
      <c r="C711" s="70" t="str" cm="1">
        <f t="array" aca="1" ref="C711" ca="1">IF(OR(B711="",O711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711" s="67" t="str" cm="1">
        <f t="array" aca="1" ref="D711" ca="1">IF(OR(B711="",O711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711" s="67" t="str" cm="1">
        <f t="array" aca="1" ref="E711" ca="1">IF(OR(B711="",O711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711" s="67" t="str" cm="1">
        <f t="array" aca="1" ref="F711" ca="1">IF(OR(B711="",O711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711" s="67" t="str" cm="1">
        <f t="array" aca="1" ref="G711" ca="1">IF(OR(B711="",O711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711" s="67" t="str" cm="1">
        <f t="array" aca="1" ref="H711" ca="1">IF(OR(B711="",O711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711" s="68" t="str" cm="1">
        <f t="array" aca="1" ref="I711" ca="1">IF(OR(B711="",O711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711" s="68" t="str" cm="1">
        <f t="array" aca="1" ref="J711" ca="1">IF(OR(B711="",O711=""),"",--(SUM(_xlfn.XLOOKUP(_xlfn._xlws.FILTER(_xlfn.TOCOL(_xlfn.CHOOSECOLS(C695:L703,2,4,6,8,10),0,TRUE),_xlfn.TOCOL(_xlfn.CHOOSECOLS(C695:L703,1,3,5,7,9),0,TRUE)&lt;&gt;""),Lists!$AC$2:$AC$9,Lists!$AF$2:$AF$9,0))&gt;SUM(_xlfn.XLOOKUP(_xlfn._xlws.FILTER(_xlfn.TOCOL(_xlfn.CHOOSECOLS(C716:L724,2,4,6,8,10),0,TRUE),_xlfn.TOCOL(_xlfn.CHOOSECOLS(C716:L724,1,3,5,7,9),0,TRUE)&lt;&gt;""),Lists!$AC$2:$AC$9,Lists!$AF$2:$AF$9,0)))*--(ROW()-ROW(C706)=_xlfn.XLOOKUP(MAX(IF(O707:O712&gt;0,INT(C707:C712)*3+MOD(ROUND(C707:C712*10,0),10),-1)),IF(O707:O712&gt;0,INT(C707:C712)*3+MOD(ROUND(C707:C712*10,0),10),-1),_xlfn.SEQUENCE(ROWS(O707:O712)),,0)))</f>
        <v/>
      </c>
      <c r="K711" s="68" t="str" cm="1">
        <f t="array" aca="1" ref="K711" ca="1">IF(OR(B711="",O711=""),"",--(SUM(_xlfn.XLOOKUP(_xlfn._xlws.FILTER(_xlfn.TOCOL(_xlfn.CHOOSECOLS(C695:L703,2,4,6,8,10),0,TRUE),_xlfn.TOCOL(_xlfn.CHOOSECOLS(C695:L703,1,3,5,7,9),0,TRUE)&lt;&gt;""),Lists!$AC$2:$AC$9,Lists!$AF$2:$AF$9,0))&lt;SUM(_xlfn.XLOOKUP(_xlfn._xlws.FILTER(_xlfn.TOCOL(_xlfn.CHOOSECOLS(C716:L724,2,4,6,8,10),0,TRUE),_xlfn.TOCOL(_xlfn.CHOOSECOLS(C716:L724,1,3,5,7,9),0,TRUE)&lt;&gt;""),Lists!$AC$2:$AC$9,Lists!$AF$2:$AF$9,0)))*--(ROW()-ROW(C706)=_xlfn.XLOOKUP(MAX(IF(O707:O712&gt;0,E707:E712,-1)),IF(O707:O712&gt;0,E707:E712,-1),_xlfn.SEQUENCE(ROWS(O707:O712)),,0)))</f>
        <v/>
      </c>
      <c r="L711" s="68" t="str" cm="1">
        <f t="array" aca="1" ref="L711" ca="1">IF(OR(B711="",O711=""),"",--(SUM(_xlfn.XLOOKUP(_xlfn._xlws.FILTER(_xlfn.TOCOL(_xlfn.CHOOSECOLS(C695:L703,2,4,6,8,10),0,TRUE),_xlfn.TOCOL(_xlfn.CHOOSECOLS(C695:L703,1,3,5,7,9),0,TRUE)&lt;&gt;""),Lists!$AC$2:$AC$9,Lists!$AF$2:$AF$9,0))&gt;SUM(_xlfn.XLOOKUP(_xlfn._xlws.FILTER(_xlfn.TOCOL(_xlfn.CHOOSECOLS(C716:L724,2,4,6,8,10),0,TRUE),_xlfn.TOCOL(_xlfn.CHOOSECOLS(C716:L724,1,3,5,7,9),0,TRUE)&lt;&gt;""),Lists!$AC$2:$AC$9,Lists!$AF$2:$AF$9,0)))*--(COUNTIF(O707:O712,"&gt;0")&gt;1)*--(ROW()-ROW(C706)=_xlfn.XLOOKUP(TRUE,O707:O712&gt;0,_xlfn.SEQUENCE(ROWS(O707:O712)),,0,-1))*--(_xlfn.XLOOKUP(TRUE,O707:O712&gt;0,_xlfn.SEQUENCE(ROWS(O707:O712)),,0,-1)&lt;&gt;_xlfn.XLOOKUP(MAX(IF(O707:O712&gt;0,INT(C707:C712)*3+MOD(ROUND(C707:C712*10,0),10),-1)),IF(O707:O712&gt;0,INT(C707:C712)*3+MOD(ROUND(C707:C712*10,0),10),-1),_xlfn.SEQUENCE(ROWS(O707:O712)),,0))*--(SUM(_xlfn.XLOOKUP(_xlfn._xlws.FILTER(_xlfn.TOCOL(_xlfn.CHOOSECOLS(C695:L703,2,4,6,8,10),0,TRUE),_xlfn.TOCOL(_xlfn.CHOOSECOLS(C695:L703,1,3,5,7,9),0,TRUE)&lt;&gt;""),Lists!$AC$2:$AC$9,Lists!$AF$2:$AF$9,0))-SUM(_xlfn.XLOOKUP(_xlfn._xlws.FILTER(_xlfn.TOCOL(_xlfn.CHOOSECOLS(C716:L724,2,4,6,8,10),0,TRUE),_xlfn.TOCOL(_xlfn.CHOOSECOLS(C716:L724,1,3,5,7,9),0,TRUE)&lt;&gt;""),Lists!$AC$2:$AC$9,Lists!$AF$2:$AF$9,0))&lt;=3)*--((INT(C711)*3+MOD(ROUND(C711*10,0),10))&gt;=3))</f>
        <v/>
      </c>
      <c r="M711" s="68" t="str" cm="1">
        <f t="array" ref="M711">IF(OR(B711="",O711=""),"",--(COUNTIF(O707:O712,"&gt;0")=1)*--(SUM(_xlfn.XLOOKUP(_xlfn._xlws.FILTER(_xlfn.TOCOL(_xlfn.CHOOSECOLS(C716:L724,2,4,6,8,10),0,TRUE),_xlfn.TOCOL(_xlfn.CHOOSECOLS(C716:L724,1,3,5,7,9),0,TRUE)&lt;&gt;""),Lists!$AC$2:$AC$9,Lists!$AF$2:$AF$9,0))=0))</f>
        <v/>
      </c>
      <c r="N711" s="69" t="str">
        <f>IF(OR(B711="",O711=""),"",--(COUNTIF(O707:O712,"&gt;0")=1))</f>
        <v/>
      </c>
      <c r="O711" s="5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  <c r="BY711" s="18"/>
      <c r="BZ711" s="18"/>
      <c r="CA711" s="18"/>
      <c r="CB711" s="18"/>
      <c r="CC711" s="18"/>
      <c r="CD711" s="18"/>
      <c r="CE711" s="18"/>
      <c r="CF711" s="18"/>
      <c r="CG711" s="18"/>
      <c r="CH711" s="18"/>
      <c r="CI711" s="18"/>
      <c r="CJ711" s="18"/>
      <c r="CK711" s="18"/>
      <c r="CL711" s="18"/>
      <c r="CM711" s="18"/>
      <c r="CN711" s="18"/>
      <c r="CO711" s="18"/>
      <c r="CP711" s="18"/>
      <c r="CQ711" s="18"/>
      <c r="CR711" s="18"/>
      <c r="CS711" s="18"/>
      <c r="CT711" s="18"/>
      <c r="CU711" s="18"/>
      <c r="CV711" s="18"/>
      <c r="CW711" s="18"/>
      <c r="CX711" s="18"/>
      <c r="CY711" s="18"/>
      <c r="CZ711" s="18"/>
      <c r="DA711" s="18"/>
      <c r="DB711" s="18"/>
      <c r="DC711" s="18"/>
      <c r="DD711" s="18"/>
      <c r="DE711" s="18"/>
      <c r="DF711" s="18"/>
    </row>
    <row r="712" spans="1:110">
      <c r="A712" s="168">
        <v>6</v>
      </c>
      <c r="B712" s="71"/>
      <c r="C712" s="70" t="str" cm="1">
        <f t="array" aca="1" ref="C712" ca="1">IF(OR(B712="",O712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712" s="67" t="str" cm="1">
        <f t="array" aca="1" ref="D712" ca="1">IF(OR(B712="",O712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712" s="67" t="str" cm="1">
        <f t="array" aca="1" ref="E712" ca="1">IF(OR(B712="",O712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712" s="67" t="str" cm="1">
        <f t="array" aca="1" ref="F712" ca="1">IF(OR(B712="",O712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712" s="67" t="str" cm="1">
        <f t="array" aca="1" ref="G712" ca="1">IF(OR(B712="",O712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712" s="67" t="str" cm="1">
        <f t="array" aca="1" ref="H712" ca="1">IF(OR(B712="",O712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712" s="68" t="str" cm="1">
        <f t="array" aca="1" ref="I712" ca="1">IF(OR(B712="",O712=""),"",_xlfn.LET(_xlpm.flatPAraw,_xlfn.TOCOL(_xlfn.CHOOSECOLS(C716:L724,1,3,5,7,9),0,TRUE),_xlpm.flatPARraw,_xlfn.TOCOL(_xlfn.CHOOSECOLS(C716:L724,2,4,6,8,10),0,TRUE),_xlpm.flatPA,_xlfn._xlws.FILTER(_xlpm.flatPAraw,_xlpm.flatPAraw&lt;&gt;""),_xlpm.flatPAR,_xlfn._xlws.FILTER(_xlpm.flatPARraw,_xlpm.flatPAraw&lt;&gt;""),_xlpm.prev,IF(ROW()=ROW(C707),0,SUM(INDEX(O:O,ROW(C707)):INDEX(O:O,ROW()-1))),_xlpm.need,O712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712" s="68" t="str" cm="1">
        <f t="array" aca="1" ref="J712" ca="1">IF(OR(B712="",O712=""),"",--(SUM(_xlfn.XLOOKUP(_xlfn._xlws.FILTER(_xlfn.TOCOL(_xlfn.CHOOSECOLS(C695:L703,2,4,6,8,10),0,TRUE),_xlfn.TOCOL(_xlfn.CHOOSECOLS(C695:L703,1,3,5,7,9),0,TRUE)&lt;&gt;""),Lists!$AC$2:$AC$9,Lists!$AF$2:$AF$9,0))&gt;SUM(_xlfn.XLOOKUP(_xlfn._xlws.FILTER(_xlfn.TOCOL(_xlfn.CHOOSECOLS(C716:L724,2,4,6,8,10),0,TRUE),_xlfn.TOCOL(_xlfn.CHOOSECOLS(C716:L724,1,3,5,7,9),0,TRUE)&lt;&gt;""),Lists!$AC$2:$AC$9,Lists!$AF$2:$AF$9,0)))*--(ROW()-ROW(C706)=_xlfn.XLOOKUP(MAX(IF(O707:O712&gt;0,INT(C707:C712)*3+MOD(ROUND(C707:C712*10,0),10),-1)),IF(O707:O712&gt;0,INT(C707:C712)*3+MOD(ROUND(C707:C712*10,0),10),-1),_xlfn.SEQUENCE(ROWS(O707:O712)),,0)))</f>
        <v/>
      </c>
      <c r="K712" s="68" t="str" cm="1">
        <f t="array" aca="1" ref="K712" ca="1">IF(OR(B712="",O712=""),"",--(SUM(_xlfn.XLOOKUP(_xlfn._xlws.FILTER(_xlfn.TOCOL(_xlfn.CHOOSECOLS(C695:L703,2,4,6,8,10),0,TRUE),_xlfn.TOCOL(_xlfn.CHOOSECOLS(C695:L703,1,3,5,7,9),0,TRUE)&lt;&gt;""),Lists!$AC$2:$AC$9,Lists!$AF$2:$AF$9,0))&lt;SUM(_xlfn.XLOOKUP(_xlfn._xlws.FILTER(_xlfn.TOCOL(_xlfn.CHOOSECOLS(C716:L724,2,4,6,8,10),0,TRUE),_xlfn.TOCOL(_xlfn.CHOOSECOLS(C716:L724,1,3,5,7,9),0,TRUE)&lt;&gt;""),Lists!$AC$2:$AC$9,Lists!$AF$2:$AF$9,0)))*--(ROW()-ROW(C706)=_xlfn.XLOOKUP(MAX(IF(O707:O712&gt;0,E707:E712,-1)),IF(O707:O712&gt;0,E707:E712,-1),_xlfn.SEQUENCE(ROWS(O707:O712)),,0)))</f>
        <v/>
      </c>
      <c r="L712" s="68" t="str" cm="1">
        <f t="array" aca="1" ref="L712" ca="1">IF(OR(B712="",O712=""),"",--(SUM(_xlfn.XLOOKUP(_xlfn._xlws.FILTER(_xlfn.TOCOL(_xlfn.CHOOSECOLS(C695:L703,2,4,6,8,10),0,TRUE),_xlfn.TOCOL(_xlfn.CHOOSECOLS(C695:L703,1,3,5,7,9),0,TRUE)&lt;&gt;""),Lists!$AC$2:$AC$9,Lists!$AF$2:$AF$9,0))&gt;SUM(_xlfn.XLOOKUP(_xlfn._xlws.FILTER(_xlfn.TOCOL(_xlfn.CHOOSECOLS(C716:L724,2,4,6,8,10),0,TRUE),_xlfn.TOCOL(_xlfn.CHOOSECOLS(C716:L724,1,3,5,7,9),0,TRUE)&lt;&gt;""),Lists!$AC$2:$AC$9,Lists!$AF$2:$AF$9,0)))*--(COUNTIF(O707:O712,"&gt;0")&gt;1)*--(ROW()-ROW(C706)=_xlfn.XLOOKUP(TRUE,O707:O712&gt;0,_xlfn.SEQUENCE(ROWS(O707:O712)),,0,-1))*--(_xlfn.XLOOKUP(TRUE,O707:O712&gt;0,_xlfn.SEQUENCE(ROWS(O707:O712)),,0,-1)&lt;&gt;_xlfn.XLOOKUP(MAX(IF(O707:O712&gt;0,INT(C707:C712)*3+MOD(ROUND(C707:C712*10,0),10),-1)),IF(O707:O712&gt;0,INT(C707:C712)*3+MOD(ROUND(C707:C712*10,0),10),-1),_xlfn.SEQUENCE(ROWS(O707:O712)),,0))*--(SUM(_xlfn.XLOOKUP(_xlfn._xlws.FILTER(_xlfn.TOCOL(_xlfn.CHOOSECOLS(C695:L703,2,4,6,8,10),0,TRUE),_xlfn.TOCOL(_xlfn.CHOOSECOLS(C695:L703,1,3,5,7,9),0,TRUE)&lt;&gt;""),Lists!$AC$2:$AC$9,Lists!$AF$2:$AF$9,0))-SUM(_xlfn.XLOOKUP(_xlfn._xlws.FILTER(_xlfn.TOCOL(_xlfn.CHOOSECOLS(C716:L724,2,4,6,8,10),0,TRUE),_xlfn.TOCOL(_xlfn.CHOOSECOLS(C716:L724,1,3,5,7,9),0,TRUE)&lt;&gt;""),Lists!$AC$2:$AC$9,Lists!$AF$2:$AF$9,0))&lt;=3)*--((INT(C712)*3+MOD(ROUND(C712*10,0),10))&gt;=3))</f>
        <v/>
      </c>
      <c r="M712" s="68" t="str" cm="1">
        <f t="array" ref="M712">IF(OR(B712="",O712=""),"",--(COUNTIF(O707:O712,"&gt;0")=1)*--(SUM(_xlfn.XLOOKUP(_xlfn._xlws.FILTER(_xlfn.TOCOL(_xlfn.CHOOSECOLS(C716:L724,2,4,6,8,10),0,TRUE),_xlfn.TOCOL(_xlfn.CHOOSECOLS(C716:L724,1,3,5,7,9),0,TRUE)&lt;&gt;""),Lists!$AC$2:$AC$9,Lists!$AF$2:$AF$9,0))=0))</f>
        <v/>
      </c>
      <c r="N712" s="69" t="str">
        <f>IF(OR(B712="",O712=""),"",--(COUNTIF(O707:O712,"&gt;0")=1))</f>
        <v/>
      </c>
      <c r="O712" s="5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  <c r="CF712" s="18"/>
      <c r="CG712" s="18"/>
      <c r="CH712" s="18"/>
      <c r="CI712" s="18"/>
      <c r="CJ712" s="18"/>
      <c r="CK712" s="18"/>
      <c r="CL712" s="18"/>
      <c r="CM712" s="18"/>
      <c r="CN712" s="18"/>
      <c r="CO712" s="18"/>
      <c r="CP712" s="18"/>
      <c r="CQ712" s="18"/>
      <c r="CR712" s="18"/>
      <c r="CS712" s="18"/>
      <c r="CT712" s="18"/>
      <c r="CU712" s="18"/>
      <c r="CV712" s="18"/>
      <c r="CW712" s="18"/>
      <c r="CX712" s="18"/>
      <c r="CY712" s="18"/>
      <c r="CZ712" s="18"/>
      <c r="DA712" s="18"/>
      <c r="DB712" s="18"/>
      <c r="DC712" s="18"/>
      <c r="DD712" s="18"/>
      <c r="DE712" s="18"/>
      <c r="DF712" s="18"/>
    </row>
    <row r="713" spans="1:110">
      <c r="A713" s="173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3"/>
      <c r="Q713" s="53"/>
      <c r="R713" s="53"/>
      <c r="S713" s="53"/>
      <c r="T713" s="53"/>
      <c r="U713" s="53"/>
      <c r="V713" s="53"/>
      <c r="W713" s="53"/>
      <c r="X713" s="53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  <c r="BX713" s="18"/>
      <c r="BY713" s="18"/>
      <c r="BZ713" s="18"/>
      <c r="CA713" s="18"/>
      <c r="CB713" s="18"/>
      <c r="CC713" s="18"/>
      <c r="CD713" s="18"/>
      <c r="CE713" s="18"/>
      <c r="CF713" s="18"/>
      <c r="CG713" s="18"/>
      <c r="CH713" s="18"/>
      <c r="CI713" s="18"/>
      <c r="CJ713" s="18"/>
      <c r="CK713" s="18"/>
      <c r="CL713" s="18"/>
      <c r="CM713" s="18"/>
      <c r="CN713" s="18"/>
      <c r="CO713" s="18"/>
      <c r="CP713" s="18"/>
      <c r="CQ713" s="18"/>
      <c r="CR713" s="18"/>
      <c r="CS713" s="18"/>
      <c r="CT713" s="18"/>
      <c r="CU713" s="18"/>
      <c r="CV713" s="18"/>
      <c r="CW713" s="18"/>
      <c r="CX713" s="18"/>
      <c r="CY713" s="18"/>
      <c r="CZ713" s="18"/>
      <c r="DA713" s="18"/>
      <c r="DB713" s="18"/>
      <c r="DC713" s="18"/>
      <c r="DD713" s="18"/>
      <c r="DE713" s="18"/>
      <c r="DF713" s="18"/>
    </row>
    <row r="714" spans="1:110">
      <c r="A714" s="205" t="str">
        <f ca="1">IF($R$688="","Team B Batting",$R$688&amp;" Batting")</f>
        <v>Team B Batting</v>
      </c>
      <c r="B714" s="206"/>
      <c r="C714" s="206"/>
      <c r="D714" s="206"/>
      <c r="E714" s="206"/>
      <c r="F714" s="206"/>
      <c r="G714" s="206"/>
      <c r="H714" s="206"/>
      <c r="I714" s="206"/>
      <c r="J714" s="206"/>
      <c r="K714" s="206"/>
      <c r="L714" s="206"/>
      <c r="M714" s="206"/>
      <c r="N714" s="206"/>
      <c r="O714" s="181"/>
      <c r="P714" s="182"/>
      <c r="Q714" s="182"/>
      <c r="R714" s="182"/>
      <c r="S714" s="182"/>
      <c r="T714" s="182"/>
      <c r="U714" s="182"/>
      <c r="V714" s="182"/>
      <c r="W714" s="182"/>
      <c r="X714" s="182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  <c r="BX714" s="18"/>
      <c r="BY714" s="18"/>
      <c r="BZ714" s="18"/>
      <c r="CA714" s="18"/>
      <c r="CB714" s="18"/>
      <c r="CC714" s="18"/>
      <c r="CD714" s="18"/>
      <c r="CE714" s="18"/>
      <c r="CF714" s="18"/>
      <c r="CG714" s="18"/>
      <c r="CH714" s="18"/>
      <c r="CI714" s="18"/>
      <c r="CJ714" s="18"/>
      <c r="CK714" s="18"/>
      <c r="CL714" s="18"/>
      <c r="CM714" s="18"/>
      <c r="CN714" s="18"/>
      <c r="CO714" s="18"/>
      <c r="CP714" s="18"/>
      <c r="CQ714" s="18"/>
      <c r="CR714" s="18"/>
      <c r="CS714" s="18"/>
      <c r="CT714" s="18"/>
      <c r="CU714" s="18"/>
      <c r="CV714" s="18"/>
      <c r="CW714" s="18"/>
      <c r="CX714" s="18"/>
      <c r="CY714" s="18"/>
      <c r="CZ714" s="18"/>
      <c r="DA714" s="18"/>
      <c r="DB714" s="18"/>
      <c r="DC714" s="18"/>
      <c r="DD714" s="18"/>
      <c r="DE714" s="18"/>
      <c r="DF714" s="18"/>
    </row>
    <row r="715" spans="1:110">
      <c r="A715" s="167" t="s">
        <v>164</v>
      </c>
      <c r="B715" s="43" t="s">
        <v>39</v>
      </c>
      <c r="C715" s="43" t="s">
        <v>165</v>
      </c>
      <c r="D715" s="43" t="s">
        <v>166</v>
      </c>
      <c r="E715" s="43" t="s">
        <v>167</v>
      </c>
      <c r="F715" s="43" t="s">
        <v>168</v>
      </c>
      <c r="G715" s="43" t="s">
        <v>169</v>
      </c>
      <c r="H715" s="43" t="s">
        <v>170</v>
      </c>
      <c r="I715" s="43" t="s">
        <v>171</v>
      </c>
      <c r="J715" s="43" t="s">
        <v>172</v>
      </c>
      <c r="K715" s="43" t="s">
        <v>173</v>
      </c>
      <c r="L715" s="43" t="s">
        <v>174</v>
      </c>
      <c r="M715" s="43" t="s">
        <v>175</v>
      </c>
      <c r="N715" s="44" t="s">
        <v>161</v>
      </c>
      <c r="O715" s="44" t="s">
        <v>162</v>
      </c>
      <c r="P715" s="44" t="s">
        <v>176</v>
      </c>
      <c r="Q715" s="44" t="s">
        <v>177</v>
      </c>
      <c r="R715" s="44" t="s">
        <v>178</v>
      </c>
      <c r="S715" s="44" t="s">
        <v>179</v>
      </c>
      <c r="T715" s="44" t="s">
        <v>180</v>
      </c>
      <c r="U715" s="44" t="s">
        <v>181</v>
      </c>
      <c r="V715" s="44" t="s">
        <v>182</v>
      </c>
      <c r="W715" s="44" t="s">
        <v>183</v>
      </c>
      <c r="X715" s="45" t="s">
        <v>184</v>
      </c>
      <c r="Y715" s="45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  <c r="BY715" s="18"/>
      <c r="BZ715" s="18"/>
      <c r="CA715" s="18"/>
      <c r="CB715" s="18"/>
      <c r="CC715" s="18"/>
      <c r="CD715" s="18"/>
      <c r="CE715" s="18"/>
      <c r="CF715" s="18"/>
      <c r="CG715" s="18"/>
      <c r="CH715" s="18"/>
      <c r="CI715" s="18"/>
      <c r="CJ715" s="18"/>
      <c r="CK715" s="18"/>
      <c r="CL715" s="18"/>
      <c r="CM715" s="18"/>
      <c r="CN715" s="18"/>
      <c r="CO715" s="18"/>
      <c r="CP715" s="18"/>
      <c r="CQ715" s="18"/>
      <c r="CR715" s="18"/>
      <c r="CS715" s="18"/>
      <c r="CT715" s="18"/>
      <c r="CU715" s="18"/>
      <c r="CV715" s="18"/>
      <c r="CW715" s="18"/>
      <c r="CX715" s="18"/>
      <c r="CY715" s="18"/>
      <c r="CZ715" s="18"/>
      <c r="DA715" s="18"/>
      <c r="DB715" s="18"/>
      <c r="DC715" s="18"/>
      <c r="DD715" s="18"/>
      <c r="DE715" s="18"/>
      <c r="DF715" s="18"/>
    </row>
    <row r="716" spans="1:110">
      <c r="A716" s="168">
        <v>1</v>
      </c>
      <c r="B716" s="47" t="str">
        <f ca="1">Lineups!$H$201</f>
        <v/>
      </c>
      <c r="C716" s="49"/>
      <c r="D716" s="49"/>
      <c r="E716" s="49"/>
      <c r="F716" s="49"/>
      <c r="G716" s="49"/>
      <c r="H716" s="50"/>
      <c r="I716" s="50"/>
      <c r="J716" s="50"/>
      <c r="K716" s="50"/>
      <c r="L716" s="50"/>
      <c r="M716" s="67" t="str">
        <f ca="1">IF($B716="","",SUM(_xlfn.XLOOKUP(C716,Lists!$P$2:$P$19,Lists!$R$2:$R$19,0),_xlfn.XLOOKUP(E716,Lists!$P$2:$P$19,Lists!$R$2:$R$19,0),_xlfn.XLOOKUP(G716,Lists!$P$2:$P$19,Lists!$R$2:$R$19,0),_xlfn.XLOOKUP(I716,Lists!$P$2:$P$19,Lists!$R$2:$R$19,0),_xlfn.XLOOKUP(K716,Lists!$P$2:$P$19,Lists!$R$2:$R$19,0)))</f>
        <v/>
      </c>
      <c r="N716" s="68" t="str">
        <f ca="1">IF($B716="","",SUM(_xlfn.XLOOKUP(D716,Lists!$AC$2:$AC$9,Lists!$AE$2:$AE$9,0),_xlfn.XLOOKUP(F716,Lists!$AC$2:$AC$9,Lists!$AE$2:$AE$9,0),_xlfn.XLOOKUP(H716,Lists!$AC$2:$AC$9,Lists!$AE$2:$AE$9,0),_xlfn.XLOOKUP(J716,Lists!$AC$2:$AC$9,Lists!$AE$2:$AE$9,0),_xlfn.XLOOKUP(L716,Lists!$AC$2:$AC$9,Lists!$AE$2:$AE$9,0)))</f>
        <v/>
      </c>
      <c r="O716" s="68" t="str">
        <f ca="1">IF($B716="","",SUM(_xlfn.XLOOKUP(C716,Lists!$P$2:$P$19,Lists!$S$2:$S$19,0),_xlfn.XLOOKUP(E716,Lists!$P$2:$P$19,Lists!$S$2:$S$19,0),_xlfn.XLOOKUP(G716,Lists!$P$2:$P$19,Lists!$S$2:$S$19,0),_xlfn.XLOOKUP(I716,Lists!$P$2:$P$19,Lists!$S$2:$S$19,0),_xlfn.XLOOKUP(K716,Lists!$P$2:$P$19,Lists!$S$2:$S$19,0)))</f>
        <v/>
      </c>
      <c r="P716" s="68" t="str">
        <f ca="1">IF($B716="","",SUM(_xlfn.XLOOKUP(C716,Lists!$P$2:$P$19,Lists!$T$2:$T$19,0),_xlfn.XLOOKUP(E716,Lists!$P$2:$P$19,Lists!$T$2:$T$19,0),_xlfn.XLOOKUP(G716,Lists!$P$2:$P$19,Lists!$T$2:$T$19,0),_xlfn.XLOOKUP(I716,Lists!$P$2:$P$19,Lists!$T$2:$T$19,0),_xlfn.XLOOKUP(K716,Lists!$P$2:$P$19,Lists!$T$2:$T$19,0)))</f>
        <v/>
      </c>
      <c r="Q716" s="68" t="str">
        <f ca="1">IF($B716="","",SUM(_xlfn.XLOOKUP(C716,Lists!$P$2:$P$19,Lists!$U$2:$U$19,0),_xlfn.XLOOKUP(E716,Lists!$P$2:$P$19,Lists!$U$2:$U$19,0),_xlfn.XLOOKUP(G716,Lists!$P$2:$P$19,Lists!$U$2:$U$19,0),_xlfn.XLOOKUP(I716,Lists!$P$2:$P$19,Lists!$U$2:$U$19,0),_xlfn.XLOOKUP(K716,Lists!$P$2:$P$19,Lists!$U$2:$U$19,0)))</f>
        <v/>
      </c>
      <c r="R716" s="68" t="str">
        <f ca="1">IF($B716="","",SUM(_xlfn.XLOOKUP(C716,Lists!$P$2:$P$19,Lists!$V$2:$V$19,0),_xlfn.XLOOKUP(E716,Lists!$P$2:$P$19,Lists!$V$2:$V$19,0),_xlfn.XLOOKUP(G716,Lists!$P$2:$P$19,Lists!$V$2:$V$19,0),_xlfn.XLOOKUP(I716,Lists!$P$2:$P$19,Lists!$V$2:$V$19,0),_xlfn.XLOOKUP(K716,Lists!$P$2:$P$19,Lists!$V$2:$V$19,0)))</f>
        <v/>
      </c>
      <c r="S716" s="68" t="str">
        <f ca="1">IF($B716="","",SUM(_xlfn.XLOOKUP(D716,Lists!$AC$2:$AC$9,Lists!$AD$2:$AD$9,0),_xlfn.XLOOKUP(F716,Lists!$AC$2:$AC$9,Lists!$AD$2:$AD$9,0),_xlfn.XLOOKUP(H716,Lists!$AC$2:$AC$9,Lists!$AD$2:$AD$9,0),_xlfn.XLOOKUP(J716,Lists!$AC$2:$AC$9,Lists!$AD$2:$AD$9,0),_xlfn.XLOOKUP(L716,Lists!$AC$2:$AC$9,Lists!$AD$2:$AD$9,0)))</f>
        <v/>
      </c>
      <c r="T716" s="68" t="str">
        <f ca="1">IF($B716="","",SUM(_xlfn.XLOOKUP(C716,Lists!$P$2:$P$19,Lists!$W$2:$W$19,0),_xlfn.XLOOKUP(E716,Lists!$P$2:$P$19,Lists!$W$2:$W$19,0),_xlfn.XLOOKUP(G716,Lists!$P$2:$P$19,Lists!$W$2:$W$19,0),_xlfn.XLOOKUP(I716,Lists!$P$2:$P$19,Lists!$W$2:$W$19,0),_xlfn.XLOOKUP(K716,Lists!$P$2:$P$19,Lists!$W$2:$W$19,0)))</f>
        <v/>
      </c>
      <c r="U716" s="68" t="str">
        <f ca="1">IF($B716="","",SUM(_xlfn.XLOOKUP(C716,Lists!$P$2:$P$19,Lists!$X$2:$X$19,0),_xlfn.XLOOKUP(E716,Lists!$P$2:$P$19,Lists!$X$2:$X$19,0),_xlfn.XLOOKUP(G716,Lists!$P$2:$P$19,Lists!$X$2:$X$19,0),_xlfn.XLOOKUP(I716,Lists!$P$2:$P$19,Lists!$X$2:$X$19,0),_xlfn.XLOOKUP(K716,Lists!$P$2:$P$19,Lists!$X$2:$X$19,0)))</f>
        <v/>
      </c>
      <c r="V716" s="68" t="str">
        <f ca="1">IF($B716="","",SUM(_xlfn.XLOOKUP(C716,Lists!$P$2:$P$19,Lists!$Y$2:$Y$19,0),_xlfn.XLOOKUP(E716,Lists!$P$2:$P$19,Lists!$Y$2:$Y$19,0),_xlfn.XLOOKUP(G716,Lists!$P$2:$P$19,Lists!$Y$2:$Y$19,0),_xlfn.XLOOKUP(I716,Lists!$P$2:$P$19,Lists!$Y$2:$Y$19,0),_xlfn.XLOOKUP(K716,Lists!$P$2:$P$19,Lists!$Y$2:$Y$19,0)))</f>
        <v/>
      </c>
      <c r="W716" s="68" t="str">
        <f ca="1">IF($B716="","",SUM(_xlfn.XLOOKUP(C716,Lists!$P$2:$P$19,Lists!$Z$2:$Z$19,0),_xlfn.XLOOKUP(E716,Lists!$P$2:$P$19,Lists!$Z$2:$Z$19,0),_xlfn.XLOOKUP(G716,Lists!$P$2:$P$19,Lists!$Z$2:$Z$19,0),_xlfn.XLOOKUP(I716,Lists!$P$2:$P$19,Lists!$Z$2:$Z$19,0),_xlfn.XLOOKUP(K716,Lists!$P$2:$P$19,Lists!$Z$2:$Z$19,0)))</f>
        <v/>
      </c>
      <c r="X716" s="69" t="str">
        <f ca="1">IF($B716="","",SUM(_xlfn.XLOOKUP(C716,Lists!$P$2:$P$19,Lists!$AA$2:$AA$19,0),_xlfn.XLOOKUP(E716,Lists!$P$2:$P$19,Lists!$AA$2:$AA$19,0),_xlfn.XLOOKUP(G716,Lists!$P$2:$P$19,Lists!$AA$2:$AA$19,0),_xlfn.XLOOKUP(I716,Lists!$P$2:$P$19,Lists!$AA$2:$AA$19,0),_xlfn.XLOOKUP(K716,Lists!$P$2:$P$19,Lists!$AA$2:$AA$19,0)))</f>
        <v/>
      </c>
      <c r="Y716" s="49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8"/>
      <c r="BY716" s="18"/>
      <c r="BZ716" s="18"/>
      <c r="CA716" s="18"/>
      <c r="CB716" s="18"/>
      <c r="CC716" s="18"/>
      <c r="CD716" s="18"/>
      <c r="CE716" s="18"/>
      <c r="CF716" s="18"/>
      <c r="CG716" s="18"/>
      <c r="CH716" s="18"/>
      <c r="CI716" s="18"/>
      <c r="CJ716" s="18"/>
      <c r="CK716" s="18"/>
      <c r="CL716" s="18"/>
      <c r="CM716" s="18"/>
      <c r="CN716" s="18"/>
      <c r="CO716" s="18"/>
      <c r="CP716" s="18"/>
      <c r="CQ716" s="18"/>
      <c r="CR716" s="18"/>
      <c r="CS716" s="18"/>
      <c r="CT716" s="18"/>
      <c r="CU716" s="18"/>
      <c r="CV716" s="18"/>
      <c r="CW716" s="18"/>
      <c r="CX716" s="18"/>
      <c r="CY716" s="18"/>
      <c r="CZ716" s="18"/>
      <c r="DA716" s="18"/>
      <c r="DB716" s="18"/>
      <c r="DC716" s="18"/>
      <c r="DD716" s="18"/>
      <c r="DE716" s="18"/>
      <c r="DF716" s="18"/>
    </row>
    <row r="717" spans="1:110">
      <c r="A717" s="168">
        <v>2</v>
      </c>
      <c r="B717" s="47" t="str">
        <f ca="1">Lineups!$H$202</f>
        <v/>
      </c>
      <c r="C717" s="49"/>
      <c r="D717" s="49"/>
      <c r="E717" s="49"/>
      <c r="F717" s="49"/>
      <c r="G717" s="49"/>
      <c r="H717" s="50"/>
      <c r="I717" s="50"/>
      <c r="J717" s="50"/>
      <c r="K717" s="50"/>
      <c r="L717" s="50"/>
      <c r="M717" s="67" t="str">
        <f ca="1">IF($B717="","",SUM(_xlfn.XLOOKUP(C717,Lists!$P$2:$P$19,Lists!$R$2:$R$19,0),_xlfn.XLOOKUP(E717,Lists!$P$2:$P$19,Lists!$R$2:$R$19,0),_xlfn.XLOOKUP(G717,Lists!$P$2:$P$19,Lists!$R$2:$R$19,0),_xlfn.XLOOKUP(I717,Lists!$P$2:$P$19,Lists!$R$2:$R$19,0),_xlfn.XLOOKUP(K717,Lists!$P$2:$P$19,Lists!$R$2:$R$19,0)))</f>
        <v/>
      </c>
      <c r="N717" s="68" t="str">
        <f ca="1">IF($B717="","",SUM(_xlfn.XLOOKUP(D717,Lists!$AC$2:$AC$9,Lists!$AE$2:$AE$9,0),_xlfn.XLOOKUP(F717,Lists!$AC$2:$AC$9,Lists!$AE$2:$AE$9,0),_xlfn.XLOOKUP(H717,Lists!$AC$2:$AC$9,Lists!$AE$2:$AE$9,0),_xlfn.XLOOKUP(J717,Lists!$AC$2:$AC$9,Lists!$AE$2:$AE$9,0),_xlfn.XLOOKUP(L717,Lists!$AC$2:$AC$9,Lists!$AE$2:$AE$9,0)))</f>
        <v/>
      </c>
      <c r="O717" s="68" t="str">
        <f ca="1">IF($B717="","",SUM(_xlfn.XLOOKUP(C717,Lists!$P$2:$P$19,Lists!$S$2:$S$19,0),_xlfn.XLOOKUP(E717,Lists!$P$2:$P$19,Lists!$S$2:$S$19,0),_xlfn.XLOOKUP(G717,Lists!$P$2:$P$19,Lists!$S$2:$S$19,0),_xlfn.XLOOKUP(I717,Lists!$P$2:$P$19,Lists!$S$2:$S$19,0),_xlfn.XLOOKUP(K717,Lists!$P$2:$P$19,Lists!$S$2:$S$19,0)))</f>
        <v/>
      </c>
      <c r="P717" s="68" t="str">
        <f ca="1">IF($B717="","",SUM(_xlfn.XLOOKUP(C717,Lists!$P$2:$P$19,Lists!$T$2:$T$19,0),_xlfn.XLOOKUP(E717,Lists!$P$2:$P$19,Lists!$T$2:$T$19,0),_xlfn.XLOOKUP(G717,Lists!$P$2:$P$19,Lists!$T$2:$T$19,0),_xlfn.XLOOKUP(I717,Lists!$P$2:$P$19,Lists!$T$2:$T$19,0),_xlfn.XLOOKUP(K717,Lists!$P$2:$P$19,Lists!$T$2:$T$19,0)))</f>
        <v/>
      </c>
      <c r="Q717" s="68" t="str">
        <f ca="1">IF($B717="","",SUM(_xlfn.XLOOKUP(C717,Lists!$P$2:$P$19,Lists!$U$2:$U$19,0),_xlfn.XLOOKUP(E717,Lists!$P$2:$P$19,Lists!$U$2:$U$19,0),_xlfn.XLOOKUP(G717,Lists!$P$2:$P$19,Lists!$U$2:$U$19,0),_xlfn.XLOOKUP(I717,Lists!$P$2:$P$19,Lists!$U$2:$U$19,0),_xlfn.XLOOKUP(K717,Lists!$P$2:$P$19,Lists!$U$2:$U$19,0)))</f>
        <v/>
      </c>
      <c r="R717" s="68" t="str">
        <f ca="1">IF($B717="","",SUM(_xlfn.XLOOKUP(C717,Lists!$P$2:$P$19,Lists!$V$2:$V$19,0),_xlfn.XLOOKUP(E717,Lists!$P$2:$P$19,Lists!$V$2:$V$19,0),_xlfn.XLOOKUP(G717,Lists!$P$2:$P$19,Lists!$V$2:$V$19,0),_xlfn.XLOOKUP(I717,Lists!$P$2:$P$19,Lists!$V$2:$V$19,0),_xlfn.XLOOKUP(K717,Lists!$P$2:$P$19,Lists!$V$2:$V$19,0)))</f>
        <v/>
      </c>
      <c r="S717" s="68" t="str">
        <f ca="1">IF($B717="","",SUM(_xlfn.XLOOKUP(D717,Lists!$AC$2:$AC$9,Lists!$AD$2:$AD$9,0),_xlfn.XLOOKUP(F717,Lists!$AC$2:$AC$9,Lists!$AD$2:$AD$9,0),_xlfn.XLOOKUP(H717,Lists!$AC$2:$AC$9,Lists!$AD$2:$AD$9,0),_xlfn.XLOOKUP(J717,Lists!$AC$2:$AC$9,Lists!$AD$2:$AD$9,0),_xlfn.XLOOKUP(L717,Lists!$AC$2:$AC$9,Lists!$AD$2:$AD$9,0)))</f>
        <v/>
      </c>
      <c r="T717" s="68" t="str">
        <f ca="1">IF($B717="","",SUM(_xlfn.XLOOKUP(C717,Lists!$P$2:$P$19,Lists!$W$2:$W$19,0),_xlfn.XLOOKUP(E717,Lists!$P$2:$P$19,Lists!$W$2:$W$19,0),_xlfn.XLOOKUP(G717,Lists!$P$2:$P$19,Lists!$W$2:$W$19,0),_xlfn.XLOOKUP(I717,Lists!$P$2:$P$19,Lists!$W$2:$W$19,0),_xlfn.XLOOKUP(K717,Lists!$P$2:$P$19,Lists!$W$2:$W$19,0)))</f>
        <v/>
      </c>
      <c r="U717" s="68" t="str">
        <f ca="1">IF($B717="","",SUM(_xlfn.XLOOKUP(C717,Lists!$P$2:$P$19,Lists!$X$2:$X$19,0),_xlfn.XLOOKUP(E717,Lists!$P$2:$P$19,Lists!$X$2:$X$19,0),_xlfn.XLOOKUP(G717,Lists!$P$2:$P$19,Lists!$X$2:$X$19,0),_xlfn.XLOOKUP(I717,Lists!$P$2:$P$19,Lists!$X$2:$X$19,0),_xlfn.XLOOKUP(K717,Lists!$P$2:$P$19,Lists!$X$2:$X$19,0)))</f>
        <v/>
      </c>
      <c r="V717" s="68" t="str">
        <f ca="1">IF($B717="","",SUM(_xlfn.XLOOKUP(C717,Lists!$P$2:$P$19,Lists!$Y$2:$Y$19,0),_xlfn.XLOOKUP(E717,Lists!$P$2:$P$19,Lists!$Y$2:$Y$19,0),_xlfn.XLOOKUP(G717,Lists!$P$2:$P$19,Lists!$Y$2:$Y$19,0),_xlfn.XLOOKUP(I717,Lists!$P$2:$P$19,Lists!$Y$2:$Y$19,0),_xlfn.XLOOKUP(K717,Lists!$P$2:$P$19,Lists!$Y$2:$Y$19,0)))</f>
        <v/>
      </c>
      <c r="W717" s="68" t="str">
        <f ca="1">IF($B717="","",SUM(_xlfn.XLOOKUP(C717,Lists!$P$2:$P$19,Lists!$Z$2:$Z$19,0),_xlfn.XLOOKUP(E717,Lists!$P$2:$P$19,Lists!$Z$2:$Z$19,0),_xlfn.XLOOKUP(G717,Lists!$P$2:$P$19,Lists!$Z$2:$Z$19,0),_xlfn.XLOOKUP(I717,Lists!$P$2:$P$19,Lists!$Z$2:$Z$19,0),_xlfn.XLOOKUP(K717,Lists!$P$2:$P$19,Lists!$Z$2:$Z$19,0)))</f>
        <v/>
      </c>
      <c r="X717" s="69" t="str">
        <f ca="1">IF($B717="","",SUM(_xlfn.XLOOKUP(C717,Lists!$P$2:$P$19,Lists!$AA$2:$AA$19,0),_xlfn.XLOOKUP(E717,Lists!$P$2:$P$19,Lists!$AA$2:$AA$19,0),_xlfn.XLOOKUP(G717,Lists!$P$2:$P$19,Lists!$AA$2:$AA$19,0),_xlfn.XLOOKUP(I717,Lists!$P$2:$P$19,Lists!$AA$2:$AA$19,0),_xlfn.XLOOKUP(K717,Lists!$P$2:$P$19,Lists!$AA$2:$AA$19,0)))</f>
        <v/>
      </c>
      <c r="Y717" s="49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  <c r="CL717" s="18"/>
      <c r="CM717" s="18"/>
      <c r="CN717" s="18"/>
      <c r="CO717" s="18"/>
      <c r="CP717" s="18"/>
      <c r="CQ717" s="18"/>
      <c r="CR717" s="18"/>
      <c r="CS717" s="18"/>
      <c r="CT717" s="18"/>
      <c r="CU717" s="18"/>
      <c r="CV717" s="18"/>
      <c r="CW717" s="18"/>
      <c r="CX717" s="18"/>
      <c r="CY717" s="18"/>
      <c r="CZ717" s="18"/>
      <c r="DA717" s="18"/>
      <c r="DB717" s="18"/>
      <c r="DC717" s="18"/>
      <c r="DD717" s="18"/>
      <c r="DE717" s="18"/>
      <c r="DF717" s="18"/>
    </row>
    <row r="718" spans="1:110">
      <c r="A718" s="168">
        <v>3</v>
      </c>
      <c r="B718" s="47" t="str">
        <f ca="1">Lineups!$H$203</f>
        <v/>
      </c>
      <c r="C718" s="49"/>
      <c r="D718" s="49"/>
      <c r="E718" s="49"/>
      <c r="F718" s="49"/>
      <c r="G718" s="49"/>
      <c r="H718" s="50"/>
      <c r="I718" s="50"/>
      <c r="J718" s="50"/>
      <c r="K718" s="50"/>
      <c r="L718" s="50"/>
      <c r="M718" s="67" t="str">
        <f ca="1">IF($B718="","",SUM(_xlfn.XLOOKUP(C718,Lists!$P$2:$P$19,Lists!$R$2:$R$19,0),_xlfn.XLOOKUP(E718,Lists!$P$2:$P$19,Lists!$R$2:$R$19,0),_xlfn.XLOOKUP(G718,Lists!$P$2:$P$19,Lists!$R$2:$R$19,0),_xlfn.XLOOKUP(I718,Lists!$P$2:$P$19,Lists!$R$2:$R$19,0),_xlfn.XLOOKUP(K718,Lists!$P$2:$P$19,Lists!$R$2:$R$19,0)))</f>
        <v/>
      </c>
      <c r="N718" s="68" t="str">
        <f ca="1">IF($B718="","",SUM(_xlfn.XLOOKUP(D718,Lists!$AC$2:$AC$9,Lists!$AE$2:$AE$9,0),_xlfn.XLOOKUP(F718,Lists!$AC$2:$AC$9,Lists!$AE$2:$AE$9,0),_xlfn.XLOOKUP(H718,Lists!$AC$2:$AC$9,Lists!$AE$2:$AE$9,0),_xlfn.XLOOKUP(J718,Lists!$AC$2:$AC$9,Lists!$AE$2:$AE$9,0),_xlfn.XLOOKUP(L718,Lists!$AC$2:$AC$9,Lists!$AE$2:$AE$9,0)))</f>
        <v/>
      </c>
      <c r="O718" s="68" t="str">
        <f ca="1">IF($B718="","",SUM(_xlfn.XLOOKUP(C718,Lists!$P$2:$P$19,Lists!$S$2:$S$19,0),_xlfn.XLOOKUP(E718,Lists!$P$2:$P$19,Lists!$S$2:$S$19,0),_xlfn.XLOOKUP(G718,Lists!$P$2:$P$19,Lists!$S$2:$S$19,0),_xlfn.XLOOKUP(I718,Lists!$P$2:$P$19,Lists!$S$2:$S$19,0),_xlfn.XLOOKUP(K718,Lists!$P$2:$P$19,Lists!$S$2:$S$19,0)))</f>
        <v/>
      </c>
      <c r="P718" s="68" t="str">
        <f ca="1">IF($B718="","",SUM(_xlfn.XLOOKUP(C718,Lists!$P$2:$P$19,Lists!$T$2:$T$19,0),_xlfn.XLOOKUP(E718,Lists!$P$2:$P$19,Lists!$T$2:$T$19,0),_xlfn.XLOOKUP(G718,Lists!$P$2:$P$19,Lists!$T$2:$T$19,0),_xlfn.XLOOKUP(I718,Lists!$P$2:$P$19,Lists!$T$2:$T$19,0),_xlfn.XLOOKUP(K718,Lists!$P$2:$P$19,Lists!$T$2:$T$19,0)))</f>
        <v/>
      </c>
      <c r="Q718" s="68" t="str">
        <f ca="1">IF($B718="","",SUM(_xlfn.XLOOKUP(C718,Lists!$P$2:$P$19,Lists!$U$2:$U$19,0),_xlfn.XLOOKUP(E718,Lists!$P$2:$P$19,Lists!$U$2:$U$19,0),_xlfn.XLOOKUP(G718,Lists!$P$2:$P$19,Lists!$U$2:$U$19,0),_xlfn.XLOOKUP(I718,Lists!$P$2:$P$19,Lists!$U$2:$U$19,0),_xlfn.XLOOKUP(K718,Lists!$P$2:$P$19,Lists!$U$2:$U$19,0)))</f>
        <v/>
      </c>
      <c r="R718" s="68" t="str">
        <f ca="1">IF($B718="","",SUM(_xlfn.XLOOKUP(C718,Lists!$P$2:$P$19,Lists!$V$2:$V$19,0),_xlfn.XLOOKUP(E718,Lists!$P$2:$P$19,Lists!$V$2:$V$19,0),_xlfn.XLOOKUP(G718,Lists!$P$2:$P$19,Lists!$V$2:$V$19,0),_xlfn.XLOOKUP(I718,Lists!$P$2:$P$19,Lists!$V$2:$V$19,0),_xlfn.XLOOKUP(K718,Lists!$P$2:$P$19,Lists!$V$2:$V$19,0)))</f>
        <v/>
      </c>
      <c r="S718" s="68" t="str">
        <f ca="1">IF($B718="","",SUM(_xlfn.XLOOKUP(D718,Lists!$AC$2:$AC$9,Lists!$AD$2:$AD$9,0),_xlfn.XLOOKUP(F718,Lists!$AC$2:$AC$9,Lists!$AD$2:$AD$9,0),_xlfn.XLOOKUP(H718,Lists!$AC$2:$AC$9,Lists!$AD$2:$AD$9,0),_xlfn.XLOOKUP(J718,Lists!$AC$2:$AC$9,Lists!$AD$2:$AD$9,0),_xlfn.XLOOKUP(L718,Lists!$AC$2:$AC$9,Lists!$AD$2:$AD$9,0)))</f>
        <v/>
      </c>
      <c r="T718" s="68" t="str">
        <f ca="1">IF($B718="","",SUM(_xlfn.XLOOKUP(C718,Lists!$P$2:$P$19,Lists!$W$2:$W$19,0),_xlfn.XLOOKUP(E718,Lists!$P$2:$P$19,Lists!$W$2:$W$19,0),_xlfn.XLOOKUP(G718,Lists!$P$2:$P$19,Lists!$W$2:$W$19,0),_xlfn.XLOOKUP(I718,Lists!$P$2:$P$19,Lists!$W$2:$W$19,0),_xlfn.XLOOKUP(K718,Lists!$P$2:$P$19,Lists!$W$2:$W$19,0)))</f>
        <v/>
      </c>
      <c r="U718" s="68" t="str">
        <f ca="1">IF($B718="","",SUM(_xlfn.XLOOKUP(C718,Lists!$P$2:$P$19,Lists!$X$2:$X$19,0),_xlfn.XLOOKUP(E718,Lists!$P$2:$P$19,Lists!$X$2:$X$19,0),_xlfn.XLOOKUP(G718,Lists!$P$2:$P$19,Lists!$X$2:$X$19,0),_xlfn.XLOOKUP(I718,Lists!$P$2:$P$19,Lists!$X$2:$X$19,0),_xlfn.XLOOKUP(K718,Lists!$P$2:$P$19,Lists!$X$2:$X$19,0)))</f>
        <v/>
      </c>
      <c r="V718" s="68" t="str">
        <f ca="1">IF($B718="","",SUM(_xlfn.XLOOKUP(C718,Lists!$P$2:$P$19,Lists!$Y$2:$Y$19,0),_xlfn.XLOOKUP(E718,Lists!$P$2:$P$19,Lists!$Y$2:$Y$19,0),_xlfn.XLOOKUP(G718,Lists!$P$2:$P$19,Lists!$Y$2:$Y$19,0),_xlfn.XLOOKUP(I718,Lists!$P$2:$P$19,Lists!$Y$2:$Y$19,0),_xlfn.XLOOKUP(K718,Lists!$P$2:$P$19,Lists!$Y$2:$Y$19,0)))</f>
        <v/>
      </c>
      <c r="W718" s="68" t="str">
        <f ca="1">IF($B718="","",SUM(_xlfn.XLOOKUP(C718,Lists!$P$2:$P$19,Lists!$Z$2:$Z$19,0),_xlfn.XLOOKUP(E718,Lists!$P$2:$P$19,Lists!$Z$2:$Z$19,0),_xlfn.XLOOKUP(G718,Lists!$P$2:$P$19,Lists!$Z$2:$Z$19,0),_xlfn.XLOOKUP(I718,Lists!$P$2:$P$19,Lists!$Z$2:$Z$19,0),_xlfn.XLOOKUP(K718,Lists!$P$2:$P$19,Lists!$Z$2:$Z$19,0)))</f>
        <v/>
      </c>
      <c r="X718" s="69" t="str">
        <f ca="1">IF($B718="","",SUM(_xlfn.XLOOKUP(C718,Lists!$P$2:$P$19,Lists!$AA$2:$AA$19,0),_xlfn.XLOOKUP(E718,Lists!$P$2:$P$19,Lists!$AA$2:$AA$19,0),_xlfn.XLOOKUP(G718,Lists!$P$2:$P$19,Lists!$AA$2:$AA$19,0),_xlfn.XLOOKUP(I718,Lists!$P$2:$P$19,Lists!$AA$2:$AA$19,0),_xlfn.XLOOKUP(K718,Lists!$P$2:$P$19,Lists!$AA$2:$AA$19,0)))</f>
        <v/>
      </c>
      <c r="Y718" s="49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8"/>
      <c r="CG718" s="18"/>
      <c r="CH718" s="18"/>
      <c r="CI718" s="18"/>
      <c r="CJ718" s="18"/>
      <c r="CK718" s="18"/>
      <c r="CL718" s="18"/>
      <c r="CM718" s="18"/>
      <c r="CN718" s="18"/>
      <c r="CO718" s="18"/>
      <c r="CP718" s="18"/>
      <c r="CQ718" s="18"/>
      <c r="CR718" s="18"/>
      <c r="CS718" s="18"/>
      <c r="CT718" s="18"/>
      <c r="CU718" s="18"/>
      <c r="CV718" s="18"/>
      <c r="CW718" s="18"/>
      <c r="CX718" s="18"/>
      <c r="CY718" s="18"/>
      <c r="CZ718" s="18"/>
      <c r="DA718" s="18"/>
      <c r="DB718" s="18"/>
      <c r="DC718" s="18"/>
      <c r="DD718" s="18"/>
      <c r="DE718" s="18"/>
      <c r="DF718" s="18"/>
    </row>
    <row r="719" spans="1:110">
      <c r="A719" s="168">
        <v>4</v>
      </c>
      <c r="B719" s="47" t="str">
        <f ca="1">Lineups!$H$204</f>
        <v/>
      </c>
      <c r="C719" s="49"/>
      <c r="D719" s="49"/>
      <c r="E719" s="49"/>
      <c r="F719" s="49"/>
      <c r="G719" s="49"/>
      <c r="H719" s="50"/>
      <c r="I719" s="50"/>
      <c r="J719" s="50"/>
      <c r="K719" s="50"/>
      <c r="L719" s="50"/>
      <c r="M719" s="67" t="str">
        <f ca="1">IF($B719="","",SUM(_xlfn.XLOOKUP(C719,Lists!$P$2:$P$19,Lists!$R$2:$R$19,0),_xlfn.XLOOKUP(E719,Lists!$P$2:$P$19,Lists!$R$2:$R$19,0),_xlfn.XLOOKUP(G719,Lists!$P$2:$P$19,Lists!$R$2:$R$19,0),_xlfn.XLOOKUP(I719,Lists!$P$2:$P$19,Lists!$R$2:$R$19,0),_xlfn.XLOOKUP(K719,Lists!$P$2:$P$19,Lists!$R$2:$R$19,0)))</f>
        <v/>
      </c>
      <c r="N719" s="68" t="str">
        <f ca="1">IF($B719="","",SUM(_xlfn.XLOOKUP(D719,Lists!$AC$2:$AC$9,Lists!$AE$2:$AE$9,0),_xlfn.XLOOKUP(F719,Lists!$AC$2:$AC$9,Lists!$AE$2:$AE$9,0),_xlfn.XLOOKUP(H719,Lists!$AC$2:$AC$9,Lists!$AE$2:$AE$9,0),_xlfn.XLOOKUP(J719,Lists!$AC$2:$AC$9,Lists!$AE$2:$AE$9,0),_xlfn.XLOOKUP(L719,Lists!$AC$2:$AC$9,Lists!$AE$2:$AE$9,0)))</f>
        <v/>
      </c>
      <c r="O719" s="68" t="str">
        <f ca="1">IF($B719="","",SUM(_xlfn.XLOOKUP(C719,Lists!$P$2:$P$19,Lists!$S$2:$S$19,0),_xlfn.XLOOKUP(E719,Lists!$P$2:$P$19,Lists!$S$2:$S$19,0),_xlfn.XLOOKUP(G719,Lists!$P$2:$P$19,Lists!$S$2:$S$19,0),_xlfn.XLOOKUP(I719,Lists!$P$2:$P$19,Lists!$S$2:$S$19,0),_xlfn.XLOOKUP(K719,Lists!$P$2:$P$19,Lists!$S$2:$S$19,0)))</f>
        <v/>
      </c>
      <c r="P719" s="68" t="str">
        <f ca="1">IF($B719="","",SUM(_xlfn.XLOOKUP(C719,Lists!$P$2:$P$19,Lists!$T$2:$T$19,0),_xlfn.XLOOKUP(E719,Lists!$P$2:$P$19,Lists!$T$2:$T$19,0),_xlfn.XLOOKUP(G719,Lists!$P$2:$P$19,Lists!$T$2:$T$19,0),_xlfn.XLOOKUP(I719,Lists!$P$2:$P$19,Lists!$T$2:$T$19,0),_xlfn.XLOOKUP(K719,Lists!$P$2:$P$19,Lists!$T$2:$T$19,0)))</f>
        <v/>
      </c>
      <c r="Q719" s="68" t="str">
        <f ca="1">IF($B719="","",SUM(_xlfn.XLOOKUP(C719,Lists!$P$2:$P$19,Lists!$U$2:$U$19,0),_xlfn.XLOOKUP(E719,Lists!$P$2:$P$19,Lists!$U$2:$U$19,0),_xlfn.XLOOKUP(G719,Lists!$P$2:$P$19,Lists!$U$2:$U$19,0),_xlfn.XLOOKUP(I719,Lists!$P$2:$P$19,Lists!$U$2:$U$19,0),_xlfn.XLOOKUP(K719,Lists!$P$2:$P$19,Lists!$U$2:$U$19,0)))</f>
        <v/>
      </c>
      <c r="R719" s="68" t="str">
        <f ca="1">IF($B719="","",SUM(_xlfn.XLOOKUP(C719,Lists!$P$2:$P$19,Lists!$V$2:$V$19,0),_xlfn.XLOOKUP(E719,Lists!$P$2:$P$19,Lists!$V$2:$V$19,0),_xlfn.XLOOKUP(G719,Lists!$P$2:$P$19,Lists!$V$2:$V$19,0),_xlfn.XLOOKUP(I719,Lists!$P$2:$P$19,Lists!$V$2:$V$19,0),_xlfn.XLOOKUP(K719,Lists!$P$2:$P$19,Lists!$V$2:$V$19,0)))</f>
        <v/>
      </c>
      <c r="S719" s="68" t="str">
        <f ca="1">IF($B719="","",SUM(_xlfn.XLOOKUP(D719,Lists!$AC$2:$AC$9,Lists!$AD$2:$AD$9,0),_xlfn.XLOOKUP(F719,Lists!$AC$2:$AC$9,Lists!$AD$2:$AD$9,0),_xlfn.XLOOKUP(H719,Lists!$AC$2:$AC$9,Lists!$AD$2:$AD$9,0),_xlfn.XLOOKUP(J719,Lists!$AC$2:$AC$9,Lists!$AD$2:$AD$9,0),_xlfn.XLOOKUP(L719,Lists!$AC$2:$AC$9,Lists!$AD$2:$AD$9,0)))</f>
        <v/>
      </c>
      <c r="T719" s="68" t="str">
        <f ca="1">IF($B719="","",SUM(_xlfn.XLOOKUP(C719,Lists!$P$2:$P$19,Lists!$W$2:$W$19,0),_xlfn.XLOOKUP(E719,Lists!$P$2:$P$19,Lists!$W$2:$W$19,0),_xlfn.XLOOKUP(G719,Lists!$P$2:$P$19,Lists!$W$2:$W$19,0),_xlfn.XLOOKUP(I719,Lists!$P$2:$P$19,Lists!$W$2:$W$19,0),_xlfn.XLOOKUP(K719,Lists!$P$2:$P$19,Lists!$W$2:$W$19,0)))</f>
        <v/>
      </c>
      <c r="U719" s="68" t="str">
        <f ca="1">IF($B719="","",SUM(_xlfn.XLOOKUP(C719,Lists!$P$2:$P$19,Lists!$X$2:$X$19,0),_xlfn.XLOOKUP(E719,Lists!$P$2:$P$19,Lists!$X$2:$X$19,0),_xlfn.XLOOKUP(G719,Lists!$P$2:$P$19,Lists!$X$2:$X$19,0),_xlfn.XLOOKUP(I719,Lists!$P$2:$P$19,Lists!$X$2:$X$19,0),_xlfn.XLOOKUP(K719,Lists!$P$2:$P$19,Lists!$X$2:$X$19,0)))</f>
        <v/>
      </c>
      <c r="V719" s="68" t="str">
        <f ca="1">IF($B719="","",SUM(_xlfn.XLOOKUP(C719,Lists!$P$2:$P$19,Lists!$Y$2:$Y$19,0),_xlfn.XLOOKUP(E719,Lists!$P$2:$P$19,Lists!$Y$2:$Y$19,0),_xlfn.XLOOKUP(G719,Lists!$P$2:$P$19,Lists!$Y$2:$Y$19,0),_xlfn.XLOOKUP(I719,Lists!$P$2:$P$19,Lists!$Y$2:$Y$19,0),_xlfn.XLOOKUP(K719,Lists!$P$2:$P$19,Lists!$Y$2:$Y$19,0)))</f>
        <v/>
      </c>
      <c r="W719" s="68" t="str">
        <f ca="1">IF($B719="","",SUM(_xlfn.XLOOKUP(C719,Lists!$P$2:$P$19,Lists!$Z$2:$Z$19,0),_xlfn.XLOOKUP(E719,Lists!$P$2:$P$19,Lists!$Z$2:$Z$19,0),_xlfn.XLOOKUP(G719,Lists!$P$2:$P$19,Lists!$Z$2:$Z$19,0),_xlfn.XLOOKUP(I719,Lists!$P$2:$P$19,Lists!$Z$2:$Z$19,0),_xlfn.XLOOKUP(K719,Lists!$P$2:$P$19,Lists!$Z$2:$Z$19,0)))</f>
        <v/>
      </c>
      <c r="X719" s="69" t="str">
        <f ca="1">IF($B719="","",SUM(_xlfn.XLOOKUP(C719,Lists!$P$2:$P$19,Lists!$AA$2:$AA$19,0),_xlfn.XLOOKUP(E719,Lists!$P$2:$P$19,Lists!$AA$2:$AA$19,0),_xlfn.XLOOKUP(G719,Lists!$P$2:$P$19,Lists!$AA$2:$AA$19,0),_xlfn.XLOOKUP(I719,Lists!$P$2:$P$19,Lists!$AA$2:$AA$19,0),_xlfn.XLOOKUP(K719,Lists!$P$2:$P$19,Lists!$AA$2:$AA$19,0)))</f>
        <v/>
      </c>
      <c r="Y719" s="49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  <c r="CF719" s="18"/>
      <c r="CG719" s="18"/>
      <c r="CH719" s="18"/>
      <c r="CI719" s="18"/>
      <c r="CJ719" s="18"/>
      <c r="CK719" s="18"/>
      <c r="CL719" s="18"/>
      <c r="CM719" s="18"/>
      <c r="CN719" s="18"/>
      <c r="CO719" s="18"/>
      <c r="CP719" s="18"/>
      <c r="CQ719" s="18"/>
      <c r="CR719" s="18"/>
      <c r="CS719" s="18"/>
      <c r="CT719" s="18"/>
      <c r="CU719" s="18"/>
      <c r="CV719" s="18"/>
      <c r="CW719" s="18"/>
      <c r="CX719" s="18"/>
      <c r="CY719" s="18"/>
      <c r="CZ719" s="18"/>
      <c r="DA719" s="18"/>
      <c r="DB719" s="18"/>
      <c r="DC719" s="18"/>
      <c r="DD719" s="18"/>
      <c r="DE719" s="18"/>
      <c r="DF719" s="18"/>
    </row>
    <row r="720" spans="1:110">
      <c r="A720" s="168">
        <v>5</v>
      </c>
      <c r="B720" s="47" t="str">
        <f ca="1">Lineups!$H$205</f>
        <v/>
      </c>
      <c r="C720" s="49"/>
      <c r="D720" s="49"/>
      <c r="E720" s="49"/>
      <c r="F720" s="49"/>
      <c r="G720" s="49"/>
      <c r="H720" s="50"/>
      <c r="I720" s="50"/>
      <c r="J720" s="50"/>
      <c r="K720" s="50"/>
      <c r="L720" s="50"/>
      <c r="M720" s="67" t="str">
        <f ca="1">IF($B720="","",SUM(_xlfn.XLOOKUP(C720,Lists!$P$2:$P$19,Lists!$R$2:$R$19,0),_xlfn.XLOOKUP(E720,Lists!$P$2:$P$19,Lists!$R$2:$R$19,0),_xlfn.XLOOKUP(G720,Lists!$P$2:$P$19,Lists!$R$2:$R$19,0),_xlfn.XLOOKUP(I720,Lists!$P$2:$P$19,Lists!$R$2:$R$19,0),_xlfn.XLOOKUP(K720,Lists!$P$2:$P$19,Lists!$R$2:$R$19,0)))</f>
        <v/>
      </c>
      <c r="N720" s="68" t="str">
        <f ca="1">IF($B720="","",SUM(_xlfn.XLOOKUP(D720,Lists!$AC$2:$AC$9,Lists!$AE$2:$AE$9,0),_xlfn.XLOOKUP(F720,Lists!$AC$2:$AC$9,Lists!$AE$2:$AE$9,0),_xlfn.XLOOKUP(H720,Lists!$AC$2:$AC$9,Lists!$AE$2:$AE$9,0),_xlfn.XLOOKUP(J720,Lists!$AC$2:$AC$9,Lists!$AE$2:$AE$9,0),_xlfn.XLOOKUP(L720,Lists!$AC$2:$AC$9,Lists!$AE$2:$AE$9,0)))</f>
        <v/>
      </c>
      <c r="O720" s="68" t="str">
        <f ca="1">IF($B720="","",SUM(_xlfn.XLOOKUP(C720,Lists!$P$2:$P$19,Lists!$S$2:$S$19,0),_xlfn.XLOOKUP(E720,Lists!$P$2:$P$19,Lists!$S$2:$S$19,0),_xlfn.XLOOKUP(G720,Lists!$P$2:$P$19,Lists!$S$2:$S$19,0),_xlfn.XLOOKUP(I720,Lists!$P$2:$P$19,Lists!$S$2:$S$19,0),_xlfn.XLOOKUP(K720,Lists!$P$2:$P$19,Lists!$S$2:$S$19,0)))</f>
        <v/>
      </c>
      <c r="P720" s="68" t="str">
        <f ca="1">IF($B720="","",SUM(_xlfn.XLOOKUP(C720,Lists!$P$2:$P$19,Lists!$T$2:$T$19,0),_xlfn.XLOOKUP(E720,Lists!$P$2:$P$19,Lists!$T$2:$T$19,0),_xlfn.XLOOKUP(G720,Lists!$P$2:$P$19,Lists!$T$2:$T$19,0),_xlfn.XLOOKUP(I720,Lists!$P$2:$P$19,Lists!$T$2:$T$19,0),_xlfn.XLOOKUP(K720,Lists!$P$2:$P$19,Lists!$T$2:$T$19,0)))</f>
        <v/>
      </c>
      <c r="Q720" s="68" t="str">
        <f ca="1">IF($B720="","",SUM(_xlfn.XLOOKUP(C720,Lists!$P$2:$P$19,Lists!$U$2:$U$19,0),_xlfn.XLOOKUP(E720,Lists!$P$2:$P$19,Lists!$U$2:$U$19,0),_xlfn.XLOOKUP(G720,Lists!$P$2:$P$19,Lists!$U$2:$U$19,0),_xlfn.XLOOKUP(I720,Lists!$P$2:$P$19,Lists!$U$2:$U$19,0),_xlfn.XLOOKUP(K720,Lists!$P$2:$P$19,Lists!$U$2:$U$19,0)))</f>
        <v/>
      </c>
      <c r="R720" s="68" t="str">
        <f ca="1">IF($B720="","",SUM(_xlfn.XLOOKUP(C720,Lists!$P$2:$P$19,Lists!$V$2:$V$19,0),_xlfn.XLOOKUP(E720,Lists!$P$2:$P$19,Lists!$V$2:$V$19,0),_xlfn.XLOOKUP(G720,Lists!$P$2:$P$19,Lists!$V$2:$V$19,0),_xlfn.XLOOKUP(I720,Lists!$P$2:$P$19,Lists!$V$2:$V$19,0),_xlfn.XLOOKUP(K720,Lists!$P$2:$P$19,Lists!$V$2:$V$19,0)))</f>
        <v/>
      </c>
      <c r="S720" s="68" t="str">
        <f ca="1">IF($B720="","",SUM(_xlfn.XLOOKUP(D720,Lists!$AC$2:$AC$9,Lists!$AD$2:$AD$9,0),_xlfn.XLOOKUP(F720,Lists!$AC$2:$AC$9,Lists!$AD$2:$AD$9,0),_xlfn.XLOOKUP(H720,Lists!$AC$2:$AC$9,Lists!$AD$2:$AD$9,0),_xlfn.XLOOKUP(J720,Lists!$AC$2:$AC$9,Lists!$AD$2:$AD$9,0),_xlfn.XLOOKUP(L720,Lists!$AC$2:$AC$9,Lists!$AD$2:$AD$9,0)))</f>
        <v/>
      </c>
      <c r="T720" s="68" t="str">
        <f ca="1">IF($B720="","",SUM(_xlfn.XLOOKUP(C720,Lists!$P$2:$P$19,Lists!$W$2:$W$19,0),_xlfn.XLOOKUP(E720,Lists!$P$2:$P$19,Lists!$W$2:$W$19,0),_xlfn.XLOOKUP(G720,Lists!$P$2:$P$19,Lists!$W$2:$W$19,0),_xlfn.XLOOKUP(I720,Lists!$P$2:$P$19,Lists!$W$2:$W$19,0),_xlfn.XLOOKUP(K720,Lists!$P$2:$P$19,Lists!$W$2:$W$19,0)))</f>
        <v/>
      </c>
      <c r="U720" s="68" t="str">
        <f ca="1">IF($B720="","",SUM(_xlfn.XLOOKUP(C720,Lists!$P$2:$P$19,Lists!$X$2:$X$19,0),_xlfn.XLOOKUP(E720,Lists!$P$2:$P$19,Lists!$X$2:$X$19,0),_xlfn.XLOOKUP(G720,Lists!$P$2:$P$19,Lists!$X$2:$X$19,0),_xlfn.XLOOKUP(I720,Lists!$P$2:$P$19,Lists!$X$2:$X$19,0),_xlfn.XLOOKUP(K720,Lists!$P$2:$P$19,Lists!$X$2:$X$19,0)))</f>
        <v/>
      </c>
      <c r="V720" s="68" t="str">
        <f ca="1">IF($B720="","",SUM(_xlfn.XLOOKUP(C720,Lists!$P$2:$P$19,Lists!$Y$2:$Y$19,0),_xlfn.XLOOKUP(E720,Lists!$P$2:$P$19,Lists!$Y$2:$Y$19,0),_xlfn.XLOOKUP(G720,Lists!$P$2:$P$19,Lists!$Y$2:$Y$19,0),_xlfn.XLOOKUP(I720,Lists!$P$2:$P$19,Lists!$Y$2:$Y$19,0),_xlfn.XLOOKUP(K720,Lists!$P$2:$P$19,Lists!$Y$2:$Y$19,0)))</f>
        <v/>
      </c>
      <c r="W720" s="68" t="str">
        <f ca="1">IF($B720="","",SUM(_xlfn.XLOOKUP(C720,Lists!$P$2:$P$19,Lists!$Z$2:$Z$19,0),_xlfn.XLOOKUP(E720,Lists!$P$2:$P$19,Lists!$Z$2:$Z$19,0),_xlfn.XLOOKUP(G720,Lists!$P$2:$P$19,Lists!$Z$2:$Z$19,0),_xlfn.XLOOKUP(I720,Lists!$P$2:$P$19,Lists!$Z$2:$Z$19,0),_xlfn.XLOOKUP(K720,Lists!$P$2:$P$19,Lists!$Z$2:$Z$19,0)))</f>
        <v/>
      </c>
      <c r="X720" s="69" t="str">
        <f ca="1">IF($B720="","",SUM(_xlfn.XLOOKUP(C720,Lists!$P$2:$P$19,Lists!$AA$2:$AA$19,0),_xlfn.XLOOKUP(E720,Lists!$P$2:$P$19,Lists!$AA$2:$AA$19,0),_xlfn.XLOOKUP(G720,Lists!$P$2:$P$19,Lists!$AA$2:$AA$19,0),_xlfn.XLOOKUP(I720,Lists!$P$2:$P$19,Lists!$AA$2:$AA$19,0),_xlfn.XLOOKUP(K720,Lists!$P$2:$P$19,Lists!$AA$2:$AA$19,0)))</f>
        <v/>
      </c>
      <c r="Y720" s="49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  <c r="BX720" s="18"/>
      <c r="BY720" s="18"/>
      <c r="BZ720" s="18"/>
      <c r="CA720" s="18"/>
      <c r="CB720" s="18"/>
      <c r="CC720" s="18"/>
      <c r="CD720" s="18"/>
      <c r="CE720" s="18"/>
      <c r="CF720" s="18"/>
      <c r="CG720" s="18"/>
      <c r="CH720" s="18"/>
      <c r="CI720" s="18"/>
      <c r="CJ720" s="18"/>
      <c r="CK720" s="18"/>
      <c r="CL720" s="18"/>
      <c r="CM720" s="18"/>
      <c r="CN720" s="18"/>
      <c r="CO720" s="18"/>
      <c r="CP720" s="18"/>
      <c r="CQ720" s="18"/>
      <c r="CR720" s="18"/>
      <c r="CS720" s="18"/>
      <c r="CT720" s="18"/>
      <c r="CU720" s="18"/>
      <c r="CV720" s="18"/>
      <c r="CW720" s="18"/>
      <c r="CX720" s="18"/>
      <c r="CY720" s="18"/>
      <c r="CZ720" s="18"/>
      <c r="DA720" s="18"/>
      <c r="DB720" s="18"/>
      <c r="DC720" s="18"/>
      <c r="DD720" s="18"/>
      <c r="DE720" s="18"/>
      <c r="DF720" s="18"/>
    </row>
    <row r="721" spans="1:110">
      <c r="A721" s="168">
        <v>6</v>
      </c>
      <c r="B721" s="47" t="str">
        <f ca="1">Lineups!$H$206</f>
        <v/>
      </c>
      <c r="C721" s="49"/>
      <c r="D721" s="49"/>
      <c r="E721" s="49"/>
      <c r="F721" s="49"/>
      <c r="G721" s="49"/>
      <c r="H721" s="50"/>
      <c r="I721" s="50"/>
      <c r="J721" s="50"/>
      <c r="K721" s="50"/>
      <c r="L721" s="50"/>
      <c r="M721" s="67" t="str">
        <f ca="1">IF($B721="","",SUM(_xlfn.XLOOKUP(C721,Lists!$P$2:$P$19,Lists!$R$2:$R$19,0),_xlfn.XLOOKUP(E721,Lists!$P$2:$P$19,Lists!$R$2:$R$19,0),_xlfn.XLOOKUP(G721,Lists!$P$2:$P$19,Lists!$R$2:$R$19,0),_xlfn.XLOOKUP(I721,Lists!$P$2:$P$19,Lists!$R$2:$R$19,0),_xlfn.XLOOKUP(K721,Lists!$P$2:$P$19,Lists!$R$2:$R$19,0)))</f>
        <v/>
      </c>
      <c r="N721" s="68" t="str">
        <f ca="1">IF($B721="","",SUM(_xlfn.XLOOKUP(D721,Lists!$AC$2:$AC$9,Lists!$AE$2:$AE$9,0),_xlfn.XLOOKUP(F721,Lists!$AC$2:$AC$9,Lists!$AE$2:$AE$9,0),_xlfn.XLOOKUP(H721,Lists!$AC$2:$AC$9,Lists!$AE$2:$AE$9,0),_xlfn.XLOOKUP(J721,Lists!$AC$2:$AC$9,Lists!$AE$2:$AE$9,0),_xlfn.XLOOKUP(L721,Lists!$AC$2:$AC$9,Lists!$AE$2:$AE$9,0)))</f>
        <v/>
      </c>
      <c r="O721" s="68" t="str">
        <f ca="1">IF($B721="","",SUM(_xlfn.XLOOKUP(C721,Lists!$P$2:$P$19,Lists!$S$2:$S$19,0),_xlfn.XLOOKUP(E721,Lists!$P$2:$P$19,Lists!$S$2:$S$19,0),_xlfn.XLOOKUP(G721,Lists!$P$2:$P$19,Lists!$S$2:$S$19,0),_xlfn.XLOOKUP(I721,Lists!$P$2:$P$19,Lists!$S$2:$S$19,0),_xlfn.XLOOKUP(K721,Lists!$P$2:$P$19,Lists!$S$2:$S$19,0)))</f>
        <v/>
      </c>
      <c r="P721" s="68" t="str">
        <f ca="1">IF($B721="","",SUM(_xlfn.XLOOKUP(C721,Lists!$P$2:$P$19,Lists!$T$2:$T$19,0),_xlfn.XLOOKUP(E721,Lists!$P$2:$P$19,Lists!$T$2:$T$19,0),_xlfn.XLOOKUP(G721,Lists!$P$2:$P$19,Lists!$T$2:$T$19,0),_xlfn.XLOOKUP(I721,Lists!$P$2:$P$19,Lists!$T$2:$T$19,0),_xlfn.XLOOKUP(K721,Lists!$P$2:$P$19,Lists!$T$2:$T$19,0)))</f>
        <v/>
      </c>
      <c r="Q721" s="68" t="str">
        <f ca="1">IF($B721="","",SUM(_xlfn.XLOOKUP(C721,Lists!$P$2:$P$19,Lists!$U$2:$U$19,0),_xlfn.XLOOKUP(E721,Lists!$P$2:$P$19,Lists!$U$2:$U$19,0),_xlfn.XLOOKUP(G721,Lists!$P$2:$P$19,Lists!$U$2:$U$19,0),_xlfn.XLOOKUP(I721,Lists!$P$2:$P$19,Lists!$U$2:$U$19,0),_xlfn.XLOOKUP(K721,Lists!$P$2:$P$19,Lists!$U$2:$U$19,0)))</f>
        <v/>
      </c>
      <c r="R721" s="68" t="str">
        <f ca="1">IF($B721="","",SUM(_xlfn.XLOOKUP(C721,Lists!$P$2:$P$19,Lists!$V$2:$V$19,0),_xlfn.XLOOKUP(E721,Lists!$P$2:$P$19,Lists!$V$2:$V$19,0),_xlfn.XLOOKUP(G721,Lists!$P$2:$P$19,Lists!$V$2:$V$19,0),_xlfn.XLOOKUP(I721,Lists!$P$2:$P$19,Lists!$V$2:$V$19,0),_xlfn.XLOOKUP(K721,Lists!$P$2:$P$19,Lists!$V$2:$V$19,0)))</f>
        <v/>
      </c>
      <c r="S721" s="68" t="str">
        <f ca="1">IF($B721="","",SUM(_xlfn.XLOOKUP(D721,Lists!$AC$2:$AC$9,Lists!$AD$2:$AD$9,0),_xlfn.XLOOKUP(F721,Lists!$AC$2:$AC$9,Lists!$AD$2:$AD$9,0),_xlfn.XLOOKUP(H721,Lists!$AC$2:$AC$9,Lists!$AD$2:$AD$9,0),_xlfn.XLOOKUP(J721,Lists!$AC$2:$AC$9,Lists!$AD$2:$AD$9,0),_xlfn.XLOOKUP(L721,Lists!$AC$2:$AC$9,Lists!$AD$2:$AD$9,0)))</f>
        <v/>
      </c>
      <c r="T721" s="68" t="str">
        <f ca="1">IF($B721="","",SUM(_xlfn.XLOOKUP(C721,Lists!$P$2:$P$19,Lists!$W$2:$W$19,0),_xlfn.XLOOKUP(E721,Lists!$P$2:$P$19,Lists!$W$2:$W$19,0),_xlfn.XLOOKUP(G721,Lists!$P$2:$P$19,Lists!$W$2:$W$19,0),_xlfn.XLOOKUP(I721,Lists!$P$2:$P$19,Lists!$W$2:$W$19,0),_xlfn.XLOOKUP(K721,Lists!$P$2:$P$19,Lists!$W$2:$W$19,0)))</f>
        <v/>
      </c>
      <c r="U721" s="68" t="str">
        <f ca="1">IF($B721="","",SUM(_xlfn.XLOOKUP(C721,Lists!$P$2:$P$19,Lists!$X$2:$X$19,0),_xlfn.XLOOKUP(E721,Lists!$P$2:$P$19,Lists!$X$2:$X$19,0),_xlfn.XLOOKUP(G721,Lists!$P$2:$P$19,Lists!$X$2:$X$19,0),_xlfn.XLOOKUP(I721,Lists!$P$2:$P$19,Lists!$X$2:$X$19,0),_xlfn.XLOOKUP(K721,Lists!$P$2:$P$19,Lists!$X$2:$X$19,0)))</f>
        <v/>
      </c>
      <c r="V721" s="68" t="str">
        <f ca="1">IF($B721="","",SUM(_xlfn.XLOOKUP(C721,Lists!$P$2:$P$19,Lists!$Y$2:$Y$19,0),_xlfn.XLOOKUP(E721,Lists!$P$2:$P$19,Lists!$Y$2:$Y$19,0),_xlfn.XLOOKUP(G721,Lists!$P$2:$P$19,Lists!$Y$2:$Y$19,0),_xlfn.XLOOKUP(I721,Lists!$P$2:$P$19,Lists!$Y$2:$Y$19,0),_xlfn.XLOOKUP(K721,Lists!$P$2:$P$19,Lists!$Y$2:$Y$19,0)))</f>
        <v/>
      </c>
      <c r="W721" s="68" t="str">
        <f ca="1">IF($B721="","",SUM(_xlfn.XLOOKUP(C721,Lists!$P$2:$P$19,Lists!$Z$2:$Z$19,0),_xlfn.XLOOKUP(E721,Lists!$P$2:$P$19,Lists!$Z$2:$Z$19,0),_xlfn.XLOOKUP(G721,Lists!$P$2:$P$19,Lists!$Z$2:$Z$19,0),_xlfn.XLOOKUP(I721,Lists!$P$2:$P$19,Lists!$Z$2:$Z$19,0),_xlfn.XLOOKUP(K721,Lists!$P$2:$P$19,Lists!$Z$2:$Z$19,0)))</f>
        <v/>
      </c>
      <c r="X721" s="69" t="str">
        <f ca="1">IF($B721="","",SUM(_xlfn.XLOOKUP(C721,Lists!$P$2:$P$19,Lists!$AA$2:$AA$19,0),_xlfn.XLOOKUP(E721,Lists!$P$2:$P$19,Lists!$AA$2:$AA$19,0),_xlfn.XLOOKUP(G721,Lists!$P$2:$P$19,Lists!$AA$2:$AA$19,0),_xlfn.XLOOKUP(I721,Lists!$P$2:$P$19,Lists!$AA$2:$AA$19,0),_xlfn.XLOOKUP(K721,Lists!$P$2:$P$19,Lists!$AA$2:$AA$19,0)))</f>
        <v/>
      </c>
      <c r="Y721" s="49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  <c r="BX721" s="18"/>
      <c r="BY721" s="18"/>
      <c r="BZ721" s="18"/>
      <c r="CA721" s="18"/>
      <c r="CB721" s="18"/>
      <c r="CC721" s="18"/>
      <c r="CD721" s="18"/>
      <c r="CE721" s="18"/>
      <c r="CF721" s="18"/>
      <c r="CG721" s="18"/>
      <c r="CH721" s="18"/>
      <c r="CI721" s="18"/>
      <c r="CJ721" s="18"/>
      <c r="CK721" s="18"/>
      <c r="CL721" s="18"/>
      <c r="CM721" s="18"/>
      <c r="CN721" s="18"/>
      <c r="CO721" s="18"/>
      <c r="CP721" s="18"/>
      <c r="CQ721" s="18"/>
      <c r="CR721" s="18"/>
      <c r="CS721" s="18"/>
      <c r="CT721" s="18"/>
      <c r="CU721" s="18"/>
      <c r="CV721" s="18"/>
      <c r="CW721" s="18"/>
      <c r="CX721" s="18"/>
      <c r="CY721" s="18"/>
      <c r="CZ721" s="18"/>
      <c r="DA721" s="18"/>
      <c r="DB721" s="18"/>
      <c r="DC721" s="18"/>
      <c r="DD721" s="18"/>
      <c r="DE721" s="18"/>
      <c r="DF721" s="18"/>
    </row>
    <row r="722" spans="1:110">
      <c r="A722" s="168">
        <v>7</v>
      </c>
      <c r="B722" s="47" t="str">
        <f ca="1">Lineups!$H$207</f>
        <v/>
      </c>
      <c r="C722" s="49"/>
      <c r="D722" s="49"/>
      <c r="E722" s="49"/>
      <c r="F722" s="49"/>
      <c r="G722" s="49"/>
      <c r="H722" s="50"/>
      <c r="I722" s="50"/>
      <c r="J722" s="50"/>
      <c r="K722" s="50"/>
      <c r="L722" s="50"/>
      <c r="M722" s="67" t="str">
        <f ca="1">IF($B722="","",SUM(_xlfn.XLOOKUP(C722,Lists!$P$2:$P$19,Lists!$R$2:$R$19,0),_xlfn.XLOOKUP(E722,Lists!$P$2:$P$19,Lists!$R$2:$R$19,0),_xlfn.XLOOKUP(G722,Lists!$P$2:$P$19,Lists!$R$2:$R$19,0),_xlfn.XLOOKUP(I722,Lists!$P$2:$P$19,Lists!$R$2:$R$19,0),_xlfn.XLOOKUP(K722,Lists!$P$2:$P$19,Lists!$R$2:$R$19,0)))</f>
        <v/>
      </c>
      <c r="N722" s="68" t="str">
        <f ca="1">IF($B722="","",SUM(_xlfn.XLOOKUP(D722,Lists!$AC$2:$AC$9,Lists!$AE$2:$AE$9,0),_xlfn.XLOOKUP(F722,Lists!$AC$2:$AC$9,Lists!$AE$2:$AE$9,0),_xlfn.XLOOKUP(H722,Lists!$AC$2:$AC$9,Lists!$AE$2:$AE$9,0),_xlfn.XLOOKUP(J722,Lists!$AC$2:$AC$9,Lists!$AE$2:$AE$9,0),_xlfn.XLOOKUP(L722,Lists!$AC$2:$AC$9,Lists!$AE$2:$AE$9,0)))</f>
        <v/>
      </c>
      <c r="O722" s="68" t="str">
        <f ca="1">IF($B722="","",SUM(_xlfn.XLOOKUP(C722,Lists!$P$2:$P$19,Lists!$S$2:$S$19,0),_xlfn.XLOOKUP(E722,Lists!$P$2:$P$19,Lists!$S$2:$S$19,0),_xlfn.XLOOKUP(G722,Lists!$P$2:$P$19,Lists!$S$2:$S$19,0),_xlfn.XLOOKUP(I722,Lists!$P$2:$P$19,Lists!$S$2:$S$19,0),_xlfn.XLOOKUP(K722,Lists!$P$2:$P$19,Lists!$S$2:$S$19,0)))</f>
        <v/>
      </c>
      <c r="P722" s="68" t="str">
        <f ca="1">IF($B722="","",SUM(_xlfn.XLOOKUP(C722,Lists!$P$2:$P$19,Lists!$T$2:$T$19,0),_xlfn.XLOOKUP(E722,Lists!$P$2:$P$19,Lists!$T$2:$T$19,0),_xlfn.XLOOKUP(G722,Lists!$P$2:$P$19,Lists!$T$2:$T$19,0),_xlfn.XLOOKUP(I722,Lists!$P$2:$P$19,Lists!$T$2:$T$19,0),_xlfn.XLOOKUP(K722,Lists!$P$2:$P$19,Lists!$T$2:$T$19,0)))</f>
        <v/>
      </c>
      <c r="Q722" s="68" t="str">
        <f ca="1">IF($B722="","",SUM(_xlfn.XLOOKUP(C722,Lists!$P$2:$P$19,Lists!$U$2:$U$19,0),_xlfn.XLOOKUP(E722,Lists!$P$2:$P$19,Lists!$U$2:$U$19,0),_xlfn.XLOOKUP(G722,Lists!$P$2:$P$19,Lists!$U$2:$U$19,0),_xlfn.XLOOKUP(I722,Lists!$P$2:$P$19,Lists!$U$2:$U$19,0),_xlfn.XLOOKUP(K722,Lists!$P$2:$P$19,Lists!$U$2:$U$19,0)))</f>
        <v/>
      </c>
      <c r="R722" s="68" t="str">
        <f ca="1">IF($B722="","",SUM(_xlfn.XLOOKUP(C722,Lists!$P$2:$P$19,Lists!$V$2:$V$19,0),_xlfn.XLOOKUP(E722,Lists!$P$2:$P$19,Lists!$V$2:$V$19,0),_xlfn.XLOOKUP(G722,Lists!$P$2:$P$19,Lists!$V$2:$V$19,0),_xlfn.XLOOKUP(I722,Lists!$P$2:$P$19,Lists!$V$2:$V$19,0),_xlfn.XLOOKUP(K722,Lists!$P$2:$P$19,Lists!$V$2:$V$19,0)))</f>
        <v/>
      </c>
      <c r="S722" s="68" t="str">
        <f ca="1">IF($B722="","",SUM(_xlfn.XLOOKUP(D722,Lists!$AC$2:$AC$9,Lists!$AD$2:$AD$9,0),_xlfn.XLOOKUP(F722,Lists!$AC$2:$AC$9,Lists!$AD$2:$AD$9,0),_xlfn.XLOOKUP(H722,Lists!$AC$2:$AC$9,Lists!$AD$2:$AD$9,0),_xlfn.XLOOKUP(J722,Lists!$AC$2:$AC$9,Lists!$AD$2:$AD$9,0),_xlfn.XLOOKUP(L722,Lists!$AC$2:$AC$9,Lists!$AD$2:$AD$9,0)))</f>
        <v/>
      </c>
      <c r="T722" s="68" t="str">
        <f ca="1">IF($B722="","",SUM(_xlfn.XLOOKUP(C722,Lists!$P$2:$P$19,Lists!$W$2:$W$19,0),_xlfn.XLOOKUP(E722,Lists!$P$2:$P$19,Lists!$W$2:$W$19,0),_xlfn.XLOOKUP(G722,Lists!$P$2:$P$19,Lists!$W$2:$W$19,0),_xlfn.XLOOKUP(I722,Lists!$P$2:$P$19,Lists!$W$2:$W$19,0),_xlfn.XLOOKUP(K722,Lists!$P$2:$P$19,Lists!$W$2:$W$19,0)))</f>
        <v/>
      </c>
      <c r="U722" s="68" t="str">
        <f ca="1">IF($B722="","",SUM(_xlfn.XLOOKUP(C722,Lists!$P$2:$P$19,Lists!$X$2:$X$19,0),_xlfn.XLOOKUP(E722,Lists!$P$2:$P$19,Lists!$X$2:$X$19,0),_xlfn.XLOOKUP(G722,Lists!$P$2:$P$19,Lists!$X$2:$X$19,0),_xlfn.XLOOKUP(I722,Lists!$P$2:$P$19,Lists!$X$2:$X$19,0),_xlfn.XLOOKUP(K722,Lists!$P$2:$P$19,Lists!$X$2:$X$19,0)))</f>
        <v/>
      </c>
      <c r="V722" s="68" t="str">
        <f ca="1">IF($B722="","",SUM(_xlfn.XLOOKUP(C722,Lists!$P$2:$P$19,Lists!$Y$2:$Y$19,0),_xlfn.XLOOKUP(E722,Lists!$P$2:$P$19,Lists!$Y$2:$Y$19,0),_xlfn.XLOOKUP(G722,Lists!$P$2:$P$19,Lists!$Y$2:$Y$19,0),_xlfn.XLOOKUP(I722,Lists!$P$2:$P$19,Lists!$Y$2:$Y$19,0),_xlfn.XLOOKUP(K722,Lists!$P$2:$P$19,Lists!$Y$2:$Y$19,0)))</f>
        <v/>
      </c>
      <c r="W722" s="68" t="str">
        <f ca="1">IF($B722="","",SUM(_xlfn.XLOOKUP(C722,Lists!$P$2:$P$19,Lists!$Z$2:$Z$19,0),_xlfn.XLOOKUP(E722,Lists!$P$2:$P$19,Lists!$Z$2:$Z$19,0),_xlfn.XLOOKUP(G722,Lists!$P$2:$P$19,Lists!$Z$2:$Z$19,0),_xlfn.XLOOKUP(I722,Lists!$P$2:$P$19,Lists!$Z$2:$Z$19,0),_xlfn.XLOOKUP(K722,Lists!$P$2:$P$19,Lists!$Z$2:$Z$19,0)))</f>
        <v/>
      </c>
      <c r="X722" s="69" t="str">
        <f ca="1">IF($B722="","",SUM(_xlfn.XLOOKUP(C722,Lists!$P$2:$P$19,Lists!$AA$2:$AA$19,0),_xlfn.XLOOKUP(E722,Lists!$P$2:$P$19,Lists!$AA$2:$AA$19,0),_xlfn.XLOOKUP(G722,Lists!$P$2:$P$19,Lists!$AA$2:$AA$19,0),_xlfn.XLOOKUP(I722,Lists!$P$2:$P$19,Lists!$AA$2:$AA$19,0),_xlfn.XLOOKUP(K722,Lists!$P$2:$P$19,Lists!$AA$2:$AA$19,0)))</f>
        <v/>
      </c>
      <c r="Y722" s="49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  <c r="BX722" s="18"/>
      <c r="BY722" s="18"/>
      <c r="BZ722" s="18"/>
      <c r="CA722" s="18"/>
      <c r="CB722" s="18"/>
      <c r="CC722" s="18"/>
      <c r="CD722" s="18"/>
      <c r="CE722" s="18"/>
      <c r="CF722" s="18"/>
      <c r="CG722" s="18"/>
      <c r="CH722" s="18"/>
      <c r="CI722" s="18"/>
      <c r="CJ722" s="18"/>
      <c r="CK722" s="18"/>
      <c r="CL722" s="18"/>
      <c r="CM722" s="18"/>
      <c r="CN722" s="18"/>
      <c r="CO722" s="18"/>
      <c r="CP722" s="18"/>
      <c r="CQ722" s="18"/>
      <c r="CR722" s="18"/>
      <c r="CS722" s="18"/>
      <c r="CT722" s="18"/>
      <c r="CU722" s="18"/>
      <c r="CV722" s="18"/>
      <c r="CW722" s="18"/>
      <c r="CX722" s="18"/>
      <c r="CY722" s="18"/>
      <c r="CZ722" s="18"/>
      <c r="DA722" s="18"/>
      <c r="DB722" s="18"/>
      <c r="DC722" s="18"/>
      <c r="DD722" s="18"/>
      <c r="DE722" s="18"/>
      <c r="DF722" s="18"/>
    </row>
    <row r="723" spans="1:110">
      <c r="A723" s="168">
        <v>8</v>
      </c>
      <c r="B723" s="47" t="str">
        <f ca="1">Lineups!$H$208</f>
        <v/>
      </c>
      <c r="C723" s="49"/>
      <c r="D723" s="49"/>
      <c r="E723" s="49"/>
      <c r="F723" s="49"/>
      <c r="G723" s="49"/>
      <c r="H723" s="50"/>
      <c r="I723" s="50"/>
      <c r="J723" s="50"/>
      <c r="K723" s="50"/>
      <c r="L723" s="50"/>
      <c r="M723" s="67" t="str">
        <f ca="1">IF($B723="","",SUM(_xlfn.XLOOKUP(C723,Lists!$P$2:$P$19,Lists!$R$2:$R$19,0),_xlfn.XLOOKUP(E723,Lists!$P$2:$P$19,Lists!$R$2:$R$19,0),_xlfn.XLOOKUP(G723,Lists!$P$2:$P$19,Lists!$R$2:$R$19,0),_xlfn.XLOOKUP(I723,Lists!$P$2:$P$19,Lists!$R$2:$R$19,0),_xlfn.XLOOKUP(K723,Lists!$P$2:$P$19,Lists!$R$2:$R$19,0)))</f>
        <v/>
      </c>
      <c r="N723" s="68" t="str">
        <f ca="1">IF($B723="","",SUM(_xlfn.XLOOKUP(D723,Lists!$AC$2:$AC$9,Lists!$AE$2:$AE$9,0),_xlfn.XLOOKUP(F723,Lists!$AC$2:$AC$9,Lists!$AE$2:$AE$9,0),_xlfn.XLOOKUP(H723,Lists!$AC$2:$AC$9,Lists!$AE$2:$AE$9,0),_xlfn.XLOOKUP(J723,Lists!$AC$2:$AC$9,Lists!$AE$2:$AE$9,0),_xlfn.XLOOKUP(L723,Lists!$AC$2:$AC$9,Lists!$AE$2:$AE$9,0)))</f>
        <v/>
      </c>
      <c r="O723" s="68" t="str">
        <f ca="1">IF($B723="","",SUM(_xlfn.XLOOKUP(C723,Lists!$P$2:$P$19,Lists!$S$2:$S$19,0),_xlfn.XLOOKUP(E723,Lists!$P$2:$P$19,Lists!$S$2:$S$19,0),_xlfn.XLOOKUP(G723,Lists!$P$2:$P$19,Lists!$S$2:$S$19,0),_xlfn.XLOOKUP(I723,Lists!$P$2:$P$19,Lists!$S$2:$S$19,0),_xlfn.XLOOKUP(K723,Lists!$P$2:$P$19,Lists!$S$2:$S$19,0)))</f>
        <v/>
      </c>
      <c r="P723" s="68" t="str">
        <f ca="1">IF($B723="","",SUM(_xlfn.XLOOKUP(C723,Lists!$P$2:$P$19,Lists!$T$2:$T$19,0),_xlfn.XLOOKUP(E723,Lists!$P$2:$P$19,Lists!$T$2:$T$19,0),_xlfn.XLOOKUP(G723,Lists!$P$2:$P$19,Lists!$T$2:$T$19,0),_xlfn.XLOOKUP(I723,Lists!$P$2:$P$19,Lists!$T$2:$T$19,0),_xlfn.XLOOKUP(K723,Lists!$P$2:$P$19,Lists!$T$2:$T$19,0)))</f>
        <v/>
      </c>
      <c r="Q723" s="68" t="str">
        <f ca="1">IF($B723="","",SUM(_xlfn.XLOOKUP(C723,Lists!$P$2:$P$19,Lists!$U$2:$U$19,0),_xlfn.XLOOKUP(E723,Lists!$P$2:$P$19,Lists!$U$2:$U$19,0),_xlfn.XLOOKUP(G723,Lists!$P$2:$P$19,Lists!$U$2:$U$19,0),_xlfn.XLOOKUP(I723,Lists!$P$2:$P$19,Lists!$U$2:$U$19,0),_xlfn.XLOOKUP(K723,Lists!$P$2:$P$19,Lists!$U$2:$U$19,0)))</f>
        <v/>
      </c>
      <c r="R723" s="68" t="str">
        <f ca="1">IF($B723="","",SUM(_xlfn.XLOOKUP(C723,Lists!$P$2:$P$19,Lists!$V$2:$V$19,0),_xlfn.XLOOKUP(E723,Lists!$P$2:$P$19,Lists!$V$2:$V$19,0),_xlfn.XLOOKUP(G723,Lists!$P$2:$P$19,Lists!$V$2:$V$19,0),_xlfn.XLOOKUP(I723,Lists!$P$2:$P$19,Lists!$V$2:$V$19,0),_xlfn.XLOOKUP(K723,Lists!$P$2:$P$19,Lists!$V$2:$V$19,0)))</f>
        <v/>
      </c>
      <c r="S723" s="68" t="str">
        <f ca="1">IF($B723="","",SUM(_xlfn.XLOOKUP(D723,Lists!$AC$2:$AC$9,Lists!$AD$2:$AD$9,0),_xlfn.XLOOKUP(F723,Lists!$AC$2:$AC$9,Lists!$AD$2:$AD$9,0),_xlfn.XLOOKUP(H723,Lists!$AC$2:$AC$9,Lists!$AD$2:$AD$9,0),_xlfn.XLOOKUP(J723,Lists!$AC$2:$AC$9,Lists!$AD$2:$AD$9,0),_xlfn.XLOOKUP(L723,Lists!$AC$2:$AC$9,Lists!$AD$2:$AD$9,0)))</f>
        <v/>
      </c>
      <c r="T723" s="68" t="str">
        <f ca="1">IF($B723="","",SUM(_xlfn.XLOOKUP(C723,Lists!$P$2:$P$19,Lists!$W$2:$W$19,0),_xlfn.XLOOKUP(E723,Lists!$P$2:$P$19,Lists!$W$2:$W$19,0),_xlfn.XLOOKUP(G723,Lists!$P$2:$P$19,Lists!$W$2:$W$19,0),_xlfn.XLOOKUP(I723,Lists!$P$2:$P$19,Lists!$W$2:$W$19,0),_xlfn.XLOOKUP(K723,Lists!$P$2:$P$19,Lists!$W$2:$W$19,0)))</f>
        <v/>
      </c>
      <c r="U723" s="68" t="str">
        <f ca="1">IF($B723="","",SUM(_xlfn.XLOOKUP(C723,Lists!$P$2:$P$19,Lists!$X$2:$X$19,0),_xlfn.XLOOKUP(E723,Lists!$P$2:$P$19,Lists!$X$2:$X$19,0),_xlfn.XLOOKUP(G723,Lists!$P$2:$P$19,Lists!$X$2:$X$19,0),_xlfn.XLOOKUP(I723,Lists!$P$2:$P$19,Lists!$X$2:$X$19,0),_xlfn.XLOOKUP(K723,Lists!$P$2:$P$19,Lists!$X$2:$X$19,0)))</f>
        <v/>
      </c>
      <c r="V723" s="68" t="str">
        <f ca="1">IF($B723="","",SUM(_xlfn.XLOOKUP(C723,Lists!$P$2:$P$19,Lists!$Y$2:$Y$19,0),_xlfn.XLOOKUP(E723,Lists!$P$2:$P$19,Lists!$Y$2:$Y$19,0),_xlfn.XLOOKUP(G723,Lists!$P$2:$P$19,Lists!$Y$2:$Y$19,0),_xlfn.XLOOKUP(I723,Lists!$P$2:$P$19,Lists!$Y$2:$Y$19,0),_xlfn.XLOOKUP(K723,Lists!$P$2:$P$19,Lists!$Y$2:$Y$19,0)))</f>
        <v/>
      </c>
      <c r="W723" s="68" t="str">
        <f ca="1">IF($B723="","",SUM(_xlfn.XLOOKUP(C723,Lists!$P$2:$P$19,Lists!$Z$2:$Z$19,0),_xlfn.XLOOKUP(E723,Lists!$P$2:$P$19,Lists!$Z$2:$Z$19,0),_xlfn.XLOOKUP(G723,Lists!$P$2:$P$19,Lists!$Z$2:$Z$19,0),_xlfn.XLOOKUP(I723,Lists!$P$2:$P$19,Lists!$Z$2:$Z$19,0),_xlfn.XLOOKUP(K723,Lists!$P$2:$P$19,Lists!$Z$2:$Z$19,0)))</f>
        <v/>
      </c>
      <c r="X723" s="69" t="str">
        <f ca="1">IF($B723="","",SUM(_xlfn.XLOOKUP(C723,Lists!$P$2:$P$19,Lists!$AA$2:$AA$19,0),_xlfn.XLOOKUP(E723,Lists!$P$2:$P$19,Lists!$AA$2:$AA$19,0),_xlfn.XLOOKUP(G723,Lists!$P$2:$P$19,Lists!$AA$2:$AA$19,0),_xlfn.XLOOKUP(I723,Lists!$P$2:$P$19,Lists!$AA$2:$AA$19,0),_xlfn.XLOOKUP(K723,Lists!$P$2:$P$19,Lists!$AA$2:$AA$19,0)))</f>
        <v/>
      </c>
      <c r="Y723" s="49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  <c r="BX723" s="18"/>
      <c r="BY723" s="18"/>
      <c r="BZ723" s="18"/>
      <c r="CA723" s="18"/>
      <c r="CB723" s="18"/>
      <c r="CC723" s="18"/>
      <c r="CD723" s="18"/>
      <c r="CE723" s="18"/>
      <c r="CF723" s="18"/>
      <c r="CG723" s="18"/>
      <c r="CH723" s="18"/>
      <c r="CI723" s="18"/>
      <c r="CJ723" s="18"/>
      <c r="CK723" s="18"/>
      <c r="CL723" s="18"/>
      <c r="CM723" s="18"/>
      <c r="CN723" s="18"/>
      <c r="CO723" s="18"/>
      <c r="CP723" s="18"/>
      <c r="CQ723" s="18"/>
      <c r="CR723" s="18"/>
      <c r="CS723" s="18"/>
      <c r="CT723" s="18"/>
      <c r="CU723" s="18"/>
      <c r="CV723" s="18"/>
      <c r="CW723" s="18"/>
      <c r="CX723" s="18"/>
      <c r="CY723" s="18"/>
      <c r="CZ723" s="18"/>
      <c r="DA723" s="18"/>
      <c r="DB723" s="18"/>
      <c r="DC723" s="18"/>
      <c r="DD723" s="18"/>
      <c r="DE723" s="18"/>
      <c r="DF723" s="18"/>
    </row>
    <row r="724" spans="1:110">
      <c r="A724" s="168">
        <v>9</v>
      </c>
      <c r="B724" s="47" t="str">
        <f ca="1">Lineups!$H$209</f>
        <v/>
      </c>
      <c r="C724" s="49"/>
      <c r="D724" s="49"/>
      <c r="E724" s="49"/>
      <c r="F724" s="49"/>
      <c r="G724" s="49"/>
      <c r="H724" s="50"/>
      <c r="I724" s="50"/>
      <c r="J724" s="50"/>
      <c r="K724" s="50"/>
      <c r="L724" s="50"/>
      <c r="M724" s="67" t="str">
        <f ca="1">IF($B724="","",SUM(_xlfn.XLOOKUP(C724,Lists!$P$2:$P$19,Lists!$R$2:$R$19,0),_xlfn.XLOOKUP(E724,Lists!$P$2:$P$19,Lists!$R$2:$R$19,0),_xlfn.XLOOKUP(G724,Lists!$P$2:$P$19,Lists!$R$2:$R$19,0),_xlfn.XLOOKUP(I724,Lists!$P$2:$P$19,Lists!$R$2:$R$19,0),_xlfn.XLOOKUP(K724,Lists!$P$2:$P$19,Lists!$R$2:$R$19,0)))</f>
        <v/>
      </c>
      <c r="N724" s="68" t="str">
        <f ca="1">IF($B724="","",SUM(_xlfn.XLOOKUP(D724,Lists!$AC$2:$AC$9,Lists!$AE$2:$AE$9,0),_xlfn.XLOOKUP(F724,Lists!$AC$2:$AC$9,Lists!$AE$2:$AE$9,0),_xlfn.XLOOKUP(H724,Lists!$AC$2:$AC$9,Lists!$AE$2:$AE$9,0),_xlfn.XLOOKUP(J724,Lists!$AC$2:$AC$9,Lists!$AE$2:$AE$9,0),_xlfn.XLOOKUP(L724,Lists!$AC$2:$AC$9,Lists!$AE$2:$AE$9,0)))</f>
        <v/>
      </c>
      <c r="O724" s="68" t="str">
        <f ca="1">IF($B724="","",SUM(_xlfn.XLOOKUP(C724,Lists!$P$2:$P$19,Lists!$S$2:$S$19,0),_xlfn.XLOOKUP(E724,Lists!$P$2:$P$19,Lists!$S$2:$S$19,0),_xlfn.XLOOKUP(G724,Lists!$P$2:$P$19,Lists!$S$2:$S$19,0),_xlfn.XLOOKUP(I724,Lists!$P$2:$P$19,Lists!$S$2:$S$19,0),_xlfn.XLOOKUP(K724,Lists!$P$2:$P$19,Lists!$S$2:$S$19,0)))</f>
        <v/>
      </c>
      <c r="P724" s="68" t="str">
        <f ca="1">IF($B724="","",SUM(_xlfn.XLOOKUP(C724,Lists!$P$2:$P$19,Lists!$T$2:$T$19,0),_xlfn.XLOOKUP(E724,Lists!$P$2:$P$19,Lists!$T$2:$T$19,0),_xlfn.XLOOKUP(G724,Lists!$P$2:$P$19,Lists!$T$2:$T$19,0),_xlfn.XLOOKUP(I724,Lists!$P$2:$P$19,Lists!$T$2:$T$19,0),_xlfn.XLOOKUP(K724,Lists!$P$2:$P$19,Lists!$T$2:$T$19,0)))</f>
        <v/>
      </c>
      <c r="Q724" s="68" t="str">
        <f ca="1">IF($B724="","",SUM(_xlfn.XLOOKUP(C724,Lists!$P$2:$P$19,Lists!$U$2:$U$19,0),_xlfn.XLOOKUP(E724,Lists!$P$2:$P$19,Lists!$U$2:$U$19,0),_xlfn.XLOOKUP(G724,Lists!$P$2:$P$19,Lists!$U$2:$U$19,0),_xlfn.XLOOKUP(I724,Lists!$P$2:$P$19,Lists!$U$2:$U$19,0),_xlfn.XLOOKUP(K724,Lists!$P$2:$P$19,Lists!$U$2:$U$19,0)))</f>
        <v/>
      </c>
      <c r="R724" s="68" t="str">
        <f ca="1">IF($B724="","",SUM(_xlfn.XLOOKUP(C724,Lists!$P$2:$P$19,Lists!$V$2:$V$19,0),_xlfn.XLOOKUP(E724,Lists!$P$2:$P$19,Lists!$V$2:$V$19,0),_xlfn.XLOOKUP(G724,Lists!$P$2:$P$19,Lists!$V$2:$V$19,0),_xlfn.XLOOKUP(I724,Lists!$P$2:$P$19,Lists!$V$2:$V$19,0),_xlfn.XLOOKUP(K724,Lists!$P$2:$P$19,Lists!$V$2:$V$19,0)))</f>
        <v/>
      </c>
      <c r="S724" s="68" t="str">
        <f ca="1">IF($B724="","",SUM(_xlfn.XLOOKUP(D724,Lists!$AC$2:$AC$9,Lists!$AD$2:$AD$9,0),_xlfn.XLOOKUP(F724,Lists!$AC$2:$AC$9,Lists!$AD$2:$AD$9,0),_xlfn.XLOOKUP(H724,Lists!$AC$2:$AC$9,Lists!$AD$2:$AD$9,0),_xlfn.XLOOKUP(J724,Lists!$AC$2:$AC$9,Lists!$AD$2:$AD$9,0),_xlfn.XLOOKUP(L724,Lists!$AC$2:$AC$9,Lists!$AD$2:$AD$9,0)))</f>
        <v/>
      </c>
      <c r="T724" s="68" t="str">
        <f ca="1">IF($B724="","",SUM(_xlfn.XLOOKUP(C724,Lists!$P$2:$P$19,Lists!$W$2:$W$19,0),_xlfn.XLOOKUP(E724,Lists!$P$2:$P$19,Lists!$W$2:$W$19,0),_xlfn.XLOOKUP(G724,Lists!$P$2:$P$19,Lists!$W$2:$W$19,0),_xlfn.XLOOKUP(I724,Lists!$P$2:$P$19,Lists!$W$2:$W$19,0),_xlfn.XLOOKUP(K724,Lists!$P$2:$P$19,Lists!$W$2:$W$19,0)))</f>
        <v/>
      </c>
      <c r="U724" s="68" t="str">
        <f ca="1">IF($B724="","",SUM(_xlfn.XLOOKUP(C724,Lists!$P$2:$P$19,Lists!$X$2:$X$19,0),_xlfn.XLOOKUP(E724,Lists!$P$2:$P$19,Lists!$X$2:$X$19,0),_xlfn.XLOOKUP(G724,Lists!$P$2:$P$19,Lists!$X$2:$X$19,0),_xlfn.XLOOKUP(I724,Lists!$P$2:$P$19,Lists!$X$2:$X$19,0),_xlfn.XLOOKUP(K724,Lists!$P$2:$P$19,Lists!$X$2:$X$19,0)))</f>
        <v/>
      </c>
      <c r="V724" s="68" t="str">
        <f ca="1">IF($B724="","",SUM(_xlfn.XLOOKUP(C724,Lists!$P$2:$P$19,Lists!$Y$2:$Y$19,0),_xlfn.XLOOKUP(E724,Lists!$P$2:$P$19,Lists!$Y$2:$Y$19,0),_xlfn.XLOOKUP(G724,Lists!$P$2:$P$19,Lists!$Y$2:$Y$19,0),_xlfn.XLOOKUP(I724,Lists!$P$2:$P$19,Lists!$Y$2:$Y$19,0),_xlfn.XLOOKUP(K724,Lists!$P$2:$P$19,Lists!$Y$2:$Y$19,0)))</f>
        <v/>
      </c>
      <c r="W724" s="68" t="str">
        <f ca="1">IF($B724="","",SUM(_xlfn.XLOOKUP(C724,Lists!$P$2:$P$19,Lists!$Z$2:$Z$19,0),_xlfn.XLOOKUP(E724,Lists!$P$2:$P$19,Lists!$Z$2:$Z$19,0),_xlfn.XLOOKUP(G724,Lists!$P$2:$P$19,Lists!$Z$2:$Z$19,0),_xlfn.XLOOKUP(I724,Lists!$P$2:$P$19,Lists!$Z$2:$Z$19,0),_xlfn.XLOOKUP(K724,Lists!$P$2:$P$19,Lists!$Z$2:$Z$19,0)))</f>
        <v/>
      </c>
      <c r="X724" s="69" t="str">
        <f ca="1">IF($B724="","",SUM(_xlfn.XLOOKUP(C724,Lists!$P$2:$P$19,Lists!$AA$2:$AA$19,0),_xlfn.XLOOKUP(E724,Lists!$P$2:$P$19,Lists!$AA$2:$AA$19,0),_xlfn.XLOOKUP(G724,Lists!$P$2:$P$19,Lists!$AA$2:$AA$19,0),_xlfn.XLOOKUP(I724,Lists!$P$2:$P$19,Lists!$AA$2:$AA$19,0),_xlfn.XLOOKUP(K724,Lists!$P$2:$P$19,Lists!$AA$2:$AA$19,0)))</f>
        <v/>
      </c>
      <c r="Y724" s="49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  <c r="BX724" s="18"/>
      <c r="BY724" s="18"/>
      <c r="BZ724" s="18"/>
      <c r="CA724" s="18"/>
      <c r="CB724" s="18"/>
      <c r="CC724" s="18"/>
      <c r="CD724" s="18"/>
      <c r="CE724" s="18"/>
      <c r="CF724" s="18"/>
      <c r="CG724" s="18"/>
      <c r="CH724" s="18"/>
      <c r="CI724" s="18"/>
      <c r="CJ724" s="18"/>
      <c r="CK724" s="18"/>
      <c r="CL724" s="18"/>
      <c r="CM724" s="18"/>
      <c r="CN724" s="18"/>
      <c r="CO724" s="18"/>
      <c r="CP724" s="18"/>
      <c r="CQ724" s="18"/>
      <c r="CR724" s="18"/>
      <c r="CS724" s="18"/>
      <c r="CT724" s="18"/>
      <c r="CU724" s="18"/>
      <c r="CV724" s="18"/>
      <c r="CW724" s="18"/>
      <c r="CX724" s="18"/>
      <c r="CY724" s="18"/>
      <c r="CZ724" s="18"/>
      <c r="DA724" s="18"/>
      <c r="DB724" s="18"/>
      <c r="DC724" s="18"/>
      <c r="DD724" s="18"/>
      <c r="DE724" s="18"/>
      <c r="DF724" s="18"/>
    </row>
    <row r="725" spans="1:110">
      <c r="A725" s="173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  <c r="BX725" s="18"/>
      <c r="BY725" s="18"/>
      <c r="BZ725" s="18"/>
      <c r="CA725" s="18"/>
      <c r="CB725" s="18"/>
      <c r="CC725" s="18"/>
      <c r="CD725" s="18"/>
      <c r="CE725" s="18"/>
      <c r="CF725" s="18"/>
      <c r="CG725" s="18"/>
      <c r="CH725" s="18"/>
      <c r="CI725" s="18"/>
      <c r="CJ725" s="18"/>
      <c r="CK725" s="18"/>
      <c r="CL725" s="18"/>
      <c r="CM725" s="18"/>
      <c r="CN725" s="18"/>
      <c r="CO725" s="18"/>
      <c r="CP725" s="18"/>
      <c r="CQ725" s="18"/>
      <c r="CR725" s="18"/>
      <c r="CS725" s="18"/>
      <c r="CT725" s="18"/>
      <c r="CU725" s="18"/>
      <c r="CV725" s="18"/>
      <c r="CW725" s="18"/>
      <c r="CX725" s="18"/>
      <c r="CY725" s="18"/>
      <c r="CZ725" s="18"/>
      <c r="DA725" s="18"/>
      <c r="DB725" s="18"/>
      <c r="DC725" s="18"/>
      <c r="DD725" s="18"/>
      <c r="DE725" s="18"/>
      <c r="DF725" s="18"/>
    </row>
    <row r="726" spans="1:110">
      <c r="A726" s="222" t="str">
        <f ca="1">IF($R$688="","Team B Pitching",$R$688&amp;" Pitching")</f>
        <v>Team B Pitching</v>
      </c>
      <c r="B726" s="221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06"/>
      <c r="O726" s="186"/>
      <c r="P726" s="24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  <c r="BX726" s="18"/>
      <c r="BY726" s="18"/>
      <c r="BZ726" s="18"/>
      <c r="CA726" s="18"/>
      <c r="CB726" s="18"/>
      <c r="CC726" s="18"/>
      <c r="CD726" s="18"/>
      <c r="CE726" s="18"/>
      <c r="CF726" s="18"/>
      <c r="CG726" s="18"/>
      <c r="CH726" s="18"/>
      <c r="CI726" s="18"/>
      <c r="CJ726" s="18"/>
      <c r="CK726" s="18"/>
      <c r="CL726" s="18"/>
      <c r="CM726" s="18"/>
      <c r="CN726" s="18"/>
      <c r="CO726" s="18"/>
      <c r="CP726" s="18"/>
      <c r="CQ726" s="18"/>
      <c r="CR726" s="18"/>
      <c r="CS726" s="18"/>
      <c r="CT726" s="18"/>
      <c r="CU726" s="18"/>
      <c r="CV726" s="18"/>
      <c r="CW726" s="18"/>
      <c r="CX726" s="18"/>
      <c r="CY726" s="18"/>
      <c r="CZ726" s="18"/>
      <c r="DA726" s="18"/>
      <c r="DB726" s="18"/>
      <c r="DC726" s="18"/>
      <c r="DD726" s="18"/>
      <c r="DE726" s="18"/>
      <c r="DF726" s="18"/>
    </row>
    <row r="727" spans="1:110">
      <c r="A727" s="42" t="s">
        <v>103</v>
      </c>
      <c r="B727" s="43" t="s">
        <v>194</v>
      </c>
      <c r="C727" s="43" t="s">
        <v>195</v>
      </c>
      <c r="D727" s="43" t="s">
        <v>162</v>
      </c>
      <c r="E727" s="43" t="s">
        <v>161</v>
      </c>
      <c r="F727" s="43" t="s">
        <v>196</v>
      </c>
      <c r="G727" s="43" t="s">
        <v>180</v>
      </c>
      <c r="H727" s="43" t="s">
        <v>181</v>
      </c>
      <c r="I727" s="44" t="s">
        <v>197</v>
      </c>
      <c r="J727" s="44" t="s">
        <v>198</v>
      </c>
      <c r="K727" s="44" t="s">
        <v>199</v>
      </c>
      <c r="L727" s="44" t="s">
        <v>200</v>
      </c>
      <c r="M727" s="44" t="s">
        <v>201</v>
      </c>
      <c r="N727" s="45" t="s">
        <v>202</v>
      </c>
      <c r="O727" s="45" t="s">
        <v>203</v>
      </c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  <c r="BX727" s="18"/>
      <c r="BY727" s="18"/>
      <c r="BZ727" s="18"/>
      <c r="CA727" s="18"/>
      <c r="CB727" s="18"/>
      <c r="CC727" s="18"/>
      <c r="CD727" s="18"/>
      <c r="CE727" s="18"/>
      <c r="CF727" s="18"/>
      <c r="CG727" s="18"/>
      <c r="CH727" s="18"/>
      <c r="CI727" s="18"/>
      <c r="CJ727" s="18"/>
      <c r="CK727" s="18"/>
      <c r="CL727" s="18"/>
      <c r="CM727" s="18"/>
      <c r="CN727" s="18"/>
      <c r="CO727" s="18"/>
      <c r="CP727" s="18"/>
      <c r="CQ727" s="18"/>
      <c r="CR727" s="18"/>
      <c r="CS727" s="18"/>
      <c r="CT727" s="18"/>
      <c r="CU727" s="18"/>
      <c r="CV727" s="18"/>
      <c r="CW727" s="18"/>
      <c r="CX727" s="18"/>
      <c r="CY727" s="18"/>
      <c r="CZ727" s="18"/>
      <c r="DA727" s="18"/>
      <c r="DB727" s="18"/>
      <c r="DC727" s="18"/>
      <c r="DD727" s="18"/>
      <c r="DE727" s="18"/>
      <c r="DF727" s="18"/>
    </row>
    <row r="728" spans="1:110">
      <c r="A728" s="46">
        <v>1</v>
      </c>
      <c r="B728" s="71"/>
      <c r="C728" s="70" t="str" cm="1">
        <f t="array" aca="1" ref="C728" ca="1">IF(OR(B728="",O728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728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728" s="67" t="str" cm="1">
        <f t="array" aca="1" ref="D728" ca="1">IF(OR(B728="",O728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728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728" s="67" t="str" cm="1">
        <f t="array" aca="1" ref="E728" ca="1">IF(OR(B728="",O728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728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728" s="67" t="str" cm="1">
        <f t="array" aca="1" ref="F728" ca="1">IF(OR(B728="",O728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728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728" s="67" t="str" cm="1">
        <f t="array" aca="1" ref="G728" ca="1">IF(OR(B728="",O728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728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728" s="67" t="str" cm="1">
        <f t="array" aca="1" ref="H728" ca="1">IF(OR(B728="",O728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728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728" s="68" t="str" cm="1">
        <f t="array" aca="1" ref="I728" ca="1">IF(OR(B728="",O728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728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728" s="68" t="str" cm="1">
        <f t="array" aca="1" ref="J728" ca="1">IF(OR(B728="",O728=""),"",--(SUM(_xlfn.XLOOKUP(_xlfn._xlws.FILTER(_xlfn.TOCOL(_xlfn.CHOOSECOLS(C716:L724,2,4,6,8,10),0,TRUE),_xlfn.TOCOL(_xlfn.CHOOSECOLS(C716:L724,1,3,5,7,9),0,TRUE)&lt;&gt;""),Lists!$AC$2:$AC$9,Lists!$AF$2:$AF$9,0))&gt;SUM(_xlfn.XLOOKUP(_xlfn._xlws.FILTER(_xlfn.TOCOL(_xlfn.CHOOSECOLS(C695:L703,2,4,6,8,10),0,TRUE),_xlfn.TOCOL(_xlfn.CHOOSECOLS(C695:L703,1,3,5,7,9),0,TRUE)&lt;&gt;""),Lists!$AC$2:$AC$9,Lists!$AF$2:$AF$9,0)))*--(ROW()-ROW(C727)=_xlfn.XLOOKUP(MAX(IF(O728:O733&gt;0,INT(C728:C733)*3+MOD(ROUND(C728:C733*10,0),10),-1)),IF(O728:O733&gt;0,INT(C728:C733)*3+MOD(ROUND(C728:C733*10,0),10),-1),_xlfn.SEQUENCE(ROWS(O728:O733)),,0)))</f>
        <v/>
      </c>
      <c r="K728" s="68" t="str" cm="1">
        <f t="array" aca="1" ref="K728" ca="1">IF(OR(B728="",O728=""),"",--(SUM(_xlfn.XLOOKUP(_xlfn._xlws.FILTER(_xlfn.TOCOL(_xlfn.CHOOSECOLS(C716:L724,2,4,6,8,10),0,TRUE),_xlfn.TOCOL(_xlfn.CHOOSECOLS(C716:L724,1,3,5,7,9),0,TRUE)&lt;&gt;""),Lists!$AC$2:$AC$9,Lists!$AF$2:$AF$9,0))&lt;SUM(_xlfn.XLOOKUP(_xlfn._xlws.FILTER(_xlfn.TOCOL(_xlfn.CHOOSECOLS(C695:L703,2,4,6,8,10),0,TRUE),_xlfn.TOCOL(_xlfn.CHOOSECOLS(C695:L703,1,3,5,7,9),0,TRUE)&lt;&gt;""),Lists!$AC$2:$AC$9,Lists!$AF$2:$AF$9,0)))*--(ROW()-ROW(C727)=_xlfn.XLOOKUP(MAX(IF(O728:O733&gt;0,E728:E733,-1)),IF(O728:O733&gt;0,E728:E733,-1),_xlfn.SEQUENCE(ROWS(O728:O733)),,0)))</f>
        <v/>
      </c>
      <c r="L728" s="68" t="str" cm="1">
        <f t="array" aca="1" ref="L728" ca="1">IF(OR(B728="",O728=""),"",--(SUM(_xlfn.XLOOKUP(_xlfn._xlws.FILTER(_xlfn.TOCOL(_xlfn.CHOOSECOLS(C716:L724,2,4,6,8,10),0,TRUE),_xlfn.TOCOL(_xlfn.CHOOSECOLS(C716:L724,1,3,5,7,9),0,TRUE)&lt;&gt;""),Lists!$AC$2:$AC$9,Lists!$AF$2:$AF$9,0))&gt;SUM(_xlfn.XLOOKUP(_xlfn._xlws.FILTER(_xlfn.TOCOL(_xlfn.CHOOSECOLS(C695:L703,2,4,6,8,10),0,TRUE),_xlfn.TOCOL(_xlfn.CHOOSECOLS(C695:L703,1,3,5,7,9),0,TRUE)&lt;&gt;""),Lists!$AC$2:$AC$9,Lists!$AF$2:$AF$9,0)))*--(COUNTIF(O728:O733,"&gt;0")&gt;1)*--(ROW()-ROW(C727)=_xlfn.XLOOKUP(TRUE,O728:O733&gt;0,_xlfn.SEQUENCE(ROWS(O728:O733)),,0,-1))*--(_xlfn.XLOOKUP(TRUE,O728:O733&gt;0,_xlfn.SEQUENCE(ROWS(O728:O733)),,0,-1)&lt;&gt;_xlfn.XLOOKUP(MAX(IF(O728:O733&gt;0,INT(C728:C733)*3+MOD(ROUND(C728:C733*10,0),10),-1)),IF(O728:O733&gt;0,INT(C728:C733)*3+MOD(ROUND(C728:C733*10,0),10),-1),_xlfn.SEQUENCE(ROWS(O728:O733)),,0))*--(SUM(_xlfn.XLOOKUP(_xlfn._xlws.FILTER(_xlfn.TOCOL(_xlfn.CHOOSECOLS(C716:L724,2,4,6,8,10),0,TRUE),_xlfn.TOCOL(_xlfn.CHOOSECOLS(C716:L724,1,3,5,7,9),0,TRUE)&lt;&gt;""),Lists!$AC$2:$AC$9,Lists!$AF$2:$AF$9,0))-SUM(_xlfn.XLOOKUP(_xlfn._xlws.FILTER(_xlfn.TOCOL(_xlfn.CHOOSECOLS(C695:L703,2,4,6,8,10),0,TRUE),_xlfn.TOCOL(_xlfn.CHOOSECOLS(C695:L703,1,3,5,7,9),0,TRUE)&lt;&gt;""),Lists!$AC$2:$AC$9,Lists!$AF$2:$AF$9,0))&lt;=3)*--((INT(C728)*3+MOD(ROUND(C728*10,0),10))&gt;=3))</f>
        <v/>
      </c>
      <c r="M728" s="68" t="str" cm="1">
        <f t="array" ref="M728">IF(OR(B728="",O728=""),"",--(COUNTIF(O728:O733,"&gt;0")=1)*--(SUM(_xlfn.XLOOKUP(_xlfn._xlws.FILTER(_xlfn.TOCOL(_xlfn.CHOOSECOLS(C695:L703,2,4,6,8,10),0,TRUE),_xlfn.TOCOL(_xlfn.CHOOSECOLS(C695:L703,1,3,5,7,9),0,TRUE)&lt;&gt;""),Lists!$AC$2:$AC$9,Lists!$AF$2:$AF$9,0))=0))</f>
        <v/>
      </c>
      <c r="N728" s="69" t="str">
        <f>IF(OR(B728="",O728=""),"",--(COUNTIF(O728:O733,"&gt;0")=1))</f>
        <v/>
      </c>
      <c r="O728" s="5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  <c r="BX728" s="18"/>
      <c r="BY728" s="18"/>
      <c r="BZ728" s="18"/>
      <c r="CA728" s="18"/>
      <c r="CB728" s="18"/>
      <c r="CC728" s="18"/>
      <c r="CD728" s="18"/>
      <c r="CE728" s="18"/>
      <c r="CF728" s="18"/>
      <c r="CG728" s="18"/>
      <c r="CH728" s="18"/>
      <c r="CI728" s="18"/>
      <c r="CJ728" s="18"/>
      <c r="CK728" s="18"/>
      <c r="CL728" s="18"/>
      <c r="CM728" s="18"/>
      <c r="CN728" s="18"/>
      <c r="CO728" s="18"/>
      <c r="CP728" s="18"/>
      <c r="CQ728" s="18"/>
      <c r="CR728" s="18"/>
      <c r="CS728" s="18"/>
      <c r="CT728" s="18"/>
      <c r="CU728" s="18"/>
      <c r="CV728" s="18"/>
      <c r="CW728" s="18"/>
      <c r="CX728" s="18"/>
      <c r="CY728" s="18"/>
      <c r="CZ728" s="18"/>
      <c r="DA728" s="18"/>
      <c r="DB728" s="18"/>
      <c r="DC728" s="18"/>
      <c r="DD728" s="18"/>
      <c r="DE728" s="18"/>
      <c r="DF728" s="18"/>
    </row>
    <row r="729" spans="1:110">
      <c r="A729" s="46">
        <v>2</v>
      </c>
      <c r="B729" s="71"/>
      <c r="C729" s="70" t="str" cm="1">
        <f t="array" aca="1" ref="C729" ca="1">IF(OR(B729="",O729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729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729" s="67" t="str" cm="1">
        <f t="array" aca="1" ref="D729" ca="1">IF(OR(B729="",O729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729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729" s="67" t="str" cm="1">
        <f t="array" aca="1" ref="E729" ca="1">IF(OR(B729="",O729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729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729" s="67" t="str" cm="1">
        <f t="array" aca="1" ref="F729" ca="1">IF(OR(B729="",O729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729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729" s="67" t="str" cm="1">
        <f t="array" aca="1" ref="G729" ca="1">IF(OR(B729="",O729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729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729" s="67" t="str" cm="1">
        <f t="array" aca="1" ref="H729" ca="1">IF(OR(B729="",O729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729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729" s="68" t="str" cm="1">
        <f t="array" aca="1" ref="I729" ca="1">IF(OR(B729="",O729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729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729" s="68" t="str" cm="1">
        <f t="array" aca="1" ref="J729" ca="1">IF(OR(B729="",O729=""),"",--(SUM(_xlfn.XLOOKUP(_xlfn._xlws.FILTER(_xlfn.TOCOL(_xlfn.CHOOSECOLS(C716:L724,2,4,6,8,10),0,TRUE),_xlfn.TOCOL(_xlfn.CHOOSECOLS(C716:L724,1,3,5,7,9),0,TRUE)&lt;&gt;""),Lists!$AC$2:$AC$9,Lists!$AF$2:$AF$9,0))&gt;SUM(_xlfn.XLOOKUP(_xlfn._xlws.FILTER(_xlfn.TOCOL(_xlfn.CHOOSECOLS(C695:L703,2,4,6,8,10),0,TRUE),_xlfn.TOCOL(_xlfn.CHOOSECOLS(C695:L703,1,3,5,7,9),0,TRUE)&lt;&gt;""),Lists!$AC$2:$AC$9,Lists!$AF$2:$AF$9,0)))*--(ROW()-ROW(C727)=_xlfn.XLOOKUP(MAX(IF(O728:O733&gt;0,INT(C728:C733)*3+MOD(ROUND(C728:C733*10,0),10),-1)),IF(O728:O733&gt;0,INT(C728:C733)*3+MOD(ROUND(C728:C733*10,0),10),-1),_xlfn.SEQUENCE(ROWS(O728:O733)),,0)))</f>
        <v/>
      </c>
      <c r="K729" s="68" t="str" cm="1">
        <f t="array" aca="1" ref="K729" ca="1">IF(OR(B729="",O729=""),"",--(SUM(_xlfn.XLOOKUP(_xlfn._xlws.FILTER(_xlfn.TOCOL(_xlfn.CHOOSECOLS(C716:L724,2,4,6,8,10),0,TRUE),_xlfn.TOCOL(_xlfn.CHOOSECOLS(C716:L724,1,3,5,7,9),0,TRUE)&lt;&gt;""),Lists!$AC$2:$AC$9,Lists!$AF$2:$AF$9,0))&lt;SUM(_xlfn.XLOOKUP(_xlfn._xlws.FILTER(_xlfn.TOCOL(_xlfn.CHOOSECOLS(C695:L703,2,4,6,8,10),0,TRUE),_xlfn.TOCOL(_xlfn.CHOOSECOLS(C695:L703,1,3,5,7,9),0,TRUE)&lt;&gt;""),Lists!$AC$2:$AC$9,Lists!$AF$2:$AF$9,0)))*--(ROW()-ROW(C727)=_xlfn.XLOOKUP(MAX(IF(O728:O733&gt;0,E728:E733,-1)),IF(O728:O733&gt;0,E728:E733,-1),_xlfn.SEQUENCE(ROWS(O728:O733)),,0)))</f>
        <v/>
      </c>
      <c r="L729" s="68" t="str" cm="1">
        <f t="array" aca="1" ref="L729" ca="1">IF(OR(B729="",O729=""),"",--(SUM(_xlfn.XLOOKUP(_xlfn._xlws.FILTER(_xlfn.TOCOL(_xlfn.CHOOSECOLS(C716:L724,2,4,6,8,10),0,TRUE),_xlfn.TOCOL(_xlfn.CHOOSECOLS(C716:L724,1,3,5,7,9),0,TRUE)&lt;&gt;""),Lists!$AC$2:$AC$9,Lists!$AF$2:$AF$9,0))&gt;SUM(_xlfn.XLOOKUP(_xlfn._xlws.FILTER(_xlfn.TOCOL(_xlfn.CHOOSECOLS(C695:L703,2,4,6,8,10),0,TRUE),_xlfn.TOCOL(_xlfn.CHOOSECOLS(C695:L703,1,3,5,7,9),0,TRUE)&lt;&gt;""),Lists!$AC$2:$AC$9,Lists!$AF$2:$AF$9,0)))*--(COUNTIF(O728:O733,"&gt;0")&gt;1)*--(ROW()-ROW(C727)=_xlfn.XLOOKUP(TRUE,O728:O733&gt;0,_xlfn.SEQUENCE(ROWS(O728:O733)),,0,-1))*--(_xlfn.XLOOKUP(TRUE,O728:O733&gt;0,_xlfn.SEQUENCE(ROWS(O728:O733)),,0,-1)&lt;&gt;_xlfn.XLOOKUP(MAX(IF(O728:O733&gt;0,INT(C728:C733)*3+MOD(ROUND(C728:C733*10,0),10),-1)),IF(O728:O733&gt;0,INT(C728:C733)*3+MOD(ROUND(C728:C733*10,0),10),-1),_xlfn.SEQUENCE(ROWS(O728:O733)),,0))*--(SUM(_xlfn.XLOOKUP(_xlfn._xlws.FILTER(_xlfn.TOCOL(_xlfn.CHOOSECOLS(C716:L724,2,4,6,8,10),0,TRUE),_xlfn.TOCOL(_xlfn.CHOOSECOLS(C716:L724,1,3,5,7,9),0,TRUE)&lt;&gt;""),Lists!$AC$2:$AC$9,Lists!$AF$2:$AF$9,0))-SUM(_xlfn.XLOOKUP(_xlfn._xlws.FILTER(_xlfn.TOCOL(_xlfn.CHOOSECOLS(C695:L703,2,4,6,8,10),0,TRUE),_xlfn.TOCOL(_xlfn.CHOOSECOLS(C695:L703,1,3,5,7,9),0,TRUE)&lt;&gt;""),Lists!$AC$2:$AC$9,Lists!$AF$2:$AF$9,0))&lt;=3)*--((INT(C729)*3+MOD(ROUND(C729*10,0),10))&gt;=3))</f>
        <v/>
      </c>
      <c r="M729" s="68" t="str" cm="1">
        <f t="array" ref="M729">IF(OR(B729="",O729=""),"",--(COUNTIF(O728:O733,"&gt;0")=1)*--(SUM(_xlfn.XLOOKUP(_xlfn._xlws.FILTER(_xlfn.TOCOL(_xlfn.CHOOSECOLS(C695:L703,2,4,6,8,10),0,TRUE),_xlfn.TOCOL(_xlfn.CHOOSECOLS(C695:L703,1,3,5,7,9),0,TRUE)&lt;&gt;""),Lists!$AC$2:$AC$9,Lists!$AF$2:$AF$9,0))=0))</f>
        <v/>
      </c>
      <c r="N729" s="69" t="str">
        <f>IF(OR(B729="",O729=""),"",--(COUNTIF(O728:O733,"&gt;0")=1))</f>
        <v/>
      </c>
      <c r="O729" s="5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  <c r="BX729" s="18"/>
      <c r="BY729" s="18"/>
      <c r="BZ729" s="18"/>
      <c r="CA729" s="18"/>
      <c r="CB729" s="18"/>
      <c r="CC729" s="18"/>
      <c r="CD729" s="18"/>
      <c r="CE729" s="18"/>
      <c r="CF729" s="18"/>
      <c r="CG729" s="18"/>
      <c r="CH729" s="18"/>
      <c r="CI729" s="18"/>
      <c r="CJ729" s="18"/>
      <c r="CK729" s="18"/>
      <c r="CL729" s="18"/>
      <c r="CM729" s="18"/>
      <c r="CN729" s="18"/>
      <c r="CO729" s="18"/>
      <c r="CP729" s="18"/>
      <c r="CQ729" s="18"/>
      <c r="CR729" s="18"/>
      <c r="CS729" s="18"/>
      <c r="CT729" s="18"/>
      <c r="CU729" s="18"/>
      <c r="CV729" s="18"/>
      <c r="CW729" s="18"/>
      <c r="CX729" s="18"/>
      <c r="CY729" s="18"/>
      <c r="CZ729" s="18"/>
      <c r="DA729" s="18"/>
      <c r="DB729" s="18"/>
      <c r="DC729" s="18"/>
      <c r="DD729" s="18"/>
      <c r="DE729" s="18"/>
      <c r="DF729" s="18"/>
    </row>
    <row r="730" spans="1:110">
      <c r="A730" s="46">
        <v>3</v>
      </c>
      <c r="B730" s="71"/>
      <c r="C730" s="70" t="str" cm="1">
        <f t="array" aca="1" ref="C730" ca="1">IF(OR(B730="",O730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730" s="67" t="str" cm="1">
        <f t="array" aca="1" ref="D730" ca="1">IF(OR(B730="",O730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730" s="67" t="str" cm="1">
        <f t="array" aca="1" ref="E730" ca="1">IF(OR(B730="",O730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730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730" s="67" t="str" cm="1">
        <f t="array" aca="1" ref="F730" ca="1">IF(OR(B730="",O730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730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730" s="67" t="str" cm="1">
        <f t="array" aca="1" ref="G730" ca="1">IF(OR(B730="",O730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730" s="67" t="str" cm="1">
        <f t="array" aca="1" ref="H730" ca="1">IF(OR(B730="",O730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730" s="68" t="str" cm="1">
        <f t="array" aca="1" ref="I730" ca="1">IF(OR(B730="",O730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730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730" s="68" t="str" cm="1">
        <f t="array" aca="1" ref="J730" ca="1">IF(OR(B730="",O730=""),"",--(SUM(_xlfn.XLOOKUP(_xlfn._xlws.FILTER(_xlfn.TOCOL(_xlfn.CHOOSECOLS(C716:L724,2,4,6,8,10),0,TRUE),_xlfn.TOCOL(_xlfn.CHOOSECOLS(C716:L724,1,3,5,7,9),0,TRUE)&lt;&gt;""),Lists!$AC$2:$AC$9,Lists!$AF$2:$AF$9,0))&gt;SUM(_xlfn.XLOOKUP(_xlfn._xlws.FILTER(_xlfn.TOCOL(_xlfn.CHOOSECOLS(C695:L703,2,4,6,8,10),0,TRUE),_xlfn.TOCOL(_xlfn.CHOOSECOLS(C695:L703,1,3,5,7,9),0,TRUE)&lt;&gt;""),Lists!$AC$2:$AC$9,Lists!$AF$2:$AF$9,0)))*--(ROW()-ROW(C727)=_xlfn.XLOOKUP(MAX(IF(O728:O733&gt;0,INT(C728:C733)*3+MOD(ROUND(C728:C733*10,0),10),-1)),IF(O728:O733&gt;0,INT(C728:C733)*3+MOD(ROUND(C728:C733*10,0),10),-1),_xlfn.SEQUENCE(ROWS(O728:O733)),,0)))</f>
        <v/>
      </c>
      <c r="K730" s="68" t="str" cm="1">
        <f t="array" aca="1" ref="K730" ca="1">IF(OR(B730="",O730=""),"",--(SUM(_xlfn.XLOOKUP(_xlfn._xlws.FILTER(_xlfn.TOCOL(_xlfn.CHOOSECOLS(C716:L724,2,4,6,8,10),0,TRUE),_xlfn.TOCOL(_xlfn.CHOOSECOLS(C716:L724,1,3,5,7,9),0,TRUE)&lt;&gt;""),Lists!$AC$2:$AC$9,Lists!$AF$2:$AF$9,0))&lt;SUM(_xlfn.XLOOKUP(_xlfn._xlws.FILTER(_xlfn.TOCOL(_xlfn.CHOOSECOLS(C695:L703,2,4,6,8,10),0,TRUE),_xlfn.TOCOL(_xlfn.CHOOSECOLS(C695:L703,1,3,5,7,9),0,TRUE)&lt;&gt;""),Lists!$AC$2:$AC$9,Lists!$AF$2:$AF$9,0)))*--(ROW()-ROW(C727)=_xlfn.XLOOKUP(MAX(IF(O728:O733&gt;0,E728:E733,-1)),IF(O728:O733&gt;0,E728:E733,-1),_xlfn.SEQUENCE(ROWS(O728:O733)),,0)))</f>
        <v/>
      </c>
      <c r="L730" s="68" t="str" cm="1">
        <f t="array" aca="1" ref="L730" ca="1">IF(OR(B730="",O730=""),"",--(SUM(_xlfn.XLOOKUP(_xlfn._xlws.FILTER(_xlfn.TOCOL(_xlfn.CHOOSECOLS(C716:L724,2,4,6,8,10),0,TRUE),_xlfn.TOCOL(_xlfn.CHOOSECOLS(C716:L724,1,3,5,7,9),0,TRUE)&lt;&gt;""),Lists!$AC$2:$AC$9,Lists!$AF$2:$AF$9,0))&gt;SUM(_xlfn.XLOOKUP(_xlfn._xlws.FILTER(_xlfn.TOCOL(_xlfn.CHOOSECOLS(C695:L703,2,4,6,8,10),0,TRUE),_xlfn.TOCOL(_xlfn.CHOOSECOLS(C695:L703,1,3,5,7,9),0,TRUE)&lt;&gt;""),Lists!$AC$2:$AC$9,Lists!$AF$2:$AF$9,0)))*--(COUNTIF(O728:O733,"&gt;0")&gt;1)*--(ROW()-ROW(C727)=_xlfn.XLOOKUP(TRUE,O728:O733&gt;0,_xlfn.SEQUENCE(ROWS(O728:O733)),,0,-1))*--(_xlfn.XLOOKUP(TRUE,O728:O733&gt;0,_xlfn.SEQUENCE(ROWS(O728:O733)),,0,-1)&lt;&gt;_xlfn.XLOOKUP(MAX(IF(O728:O733&gt;0,INT(C728:C733)*3+MOD(ROUND(C728:C733*10,0),10),-1)),IF(O728:O733&gt;0,INT(C728:C733)*3+MOD(ROUND(C728:C733*10,0),10),-1),_xlfn.SEQUENCE(ROWS(O728:O733)),,0))*--(SUM(_xlfn.XLOOKUP(_xlfn._xlws.FILTER(_xlfn.TOCOL(_xlfn.CHOOSECOLS(C716:L724,2,4,6,8,10),0,TRUE),_xlfn.TOCOL(_xlfn.CHOOSECOLS(C716:L724,1,3,5,7,9),0,TRUE)&lt;&gt;""),Lists!$AC$2:$AC$9,Lists!$AF$2:$AF$9,0))-SUM(_xlfn.XLOOKUP(_xlfn._xlws.FILTER(_xlfn.TOCOL(_xlfn.CHOOSECOLS(C695:L703,2,4,6,8,10),0,TRUE),_xlfn.TOCOL(_xlfn.CHOOSECOLS(C695:L703,1,3,5,7,9),0,TRUE)&lt;&gt;""),Lists!$AC$2:$AC$9,Lists!$AF$2:$AF$9,0))&lt;=3)*--((INT(C730)*3+MOD(ROUND(C730*10,0),10))&gt;=3))</f>
        <v/>
      </c>
      <c r="M730" s="68" t="str" cm="1">
        <f t="array" ref="M730">IF(OR(B730="",O730=""),"",--(COUNTIF(O728:O733,"&gt;0")=1)*--(SUM(_xlfn.XLOOKUP(_xlfn._xlws.FILTER(_xlfn.TOCOL(_xlfn.CHOOSECOLS(C695:L703,2,4,6,8,10),0,TRUE),_xlfn.TOCOL(_xlfn.CHOOSECOLS(C695:L703,1,3,5,7,9),0,TRUE)&lt;&gt;""),Lists!$AC$2:$AC$9,Lists!$AF$2:$AF$9,0))=0))</f>
        <v/>
      </c>
      <c r="N730" s="69" t="str">
        <f>IF(OR(B730="",O730=""),"",--(COUNTIF(O728:O733,"&gt;0")=1))</f>
        <v/>
      </c>
      <c r="O730" s="5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  <c r="BX730" s="18"/>
      <c r="BY730" s="18"/>
      <c r="BZ730" s="18"/>
      <c r="CA730" s="18"/>
      <c r="CB730" s="18"/>
      <c r="CC730" s="18"/>
      <c r="CD730" s="18"/>
      <c r="CE730" s="18"/>
      <c r="CF730" s="18"/>
      <c r="CG730" s="18"/>
      <c r="CH730" s="18"/>
      <c r="CI730" s="18"/>
      <c r="CJ730" s="18"/>
      <c r="CK730" s="18"/>
      <c r="CL730" s="18"/>
      <c r="CM730" s="18"/>
      <c r="CN730" s="18"/>
      <c r="CO730" s="18"/>
      <c r="CP730" s="18"/>
      <c r="CQ730" s="18"/>
      <c r="CR730" s="18"/>
      <c r="CS730" s="18"/>
      <c r="CT730" s="18"/>
      <c r="CU730" s="18"/>
      <c r="CV730" s="18"/>
      <c r="CW730" s="18"/>
      <c r="CX730" s="18"/>
      <c r="CY730" s="18"/>
      <c r="CZ730" s="18"/>
      <c r="DA730" s="18"/>
      <c r="DB730" s="18"/>
      <c r="DC730" s="18"/>
      <c r="DD730" s="18"/>
      <c r="DE730" s="18"/>
      <c r="DF730" s="18"/>
    </row>
    <row r="731" spans="1:110">
      <c r="A731" s="46">
        <v>4</v>
      </c>
      <c r="B731" s="71"/>
      <c r="C731" s="70" t="str" cm="1">
        <f t="array" aca="1" ref="C731" ca="1">IF(OR(B731="",O731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731" s="67" t="str" cm="1">
        <f t="array" aca="1" ref="D731" ca="1">IF(OR(B731="",O731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731" s="67" t="str" cm="1">
        <f t="array" aca="1" ref="E731" ca="1">IF(OR(B731="",O731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731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731" s="67" t="str" cm="1">
        <f t="array" aca="1" ref="F731" ca="1">IF(OR(B731="",O731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731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731" s="67" t="str" cm="1">
        <f t="array" aca="1" ref="G731" ca="1">IF(OR(B731="",O731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731" s="67" t="str" cm="1">
        <f t="array" aca="1" ref="H731" ca="1">IF(OR(B731="",O731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731" s="68" t="str" cm="1">
        <f t="array" aca="1" ref="I731" ca="1">IF(OR(B731="",O731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731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731" s="68" t="str" cm="1">
        <f t="array" aca="1" ref="J731" ca="1">IF(OR(B731="",O731=""),"",--(SUM(_xlfn.XLOOKUP(_xlfn._xlws.FILTER(_xlfn.TOCOL(_xlfn.CHOOSECOLS(C716:L724,2,4,6,8,10),0,TRUE),_xlfn.TOCOL(_xlfn.CHOOSECOLS(C716:L724,1,3,5,7,9),0,TRUE)&lt;&gt;""),Lists!$AC$2:$AC$9,Lists!$AF$2:$AF$9,0))&gt;SUM(_xlfn.XLOOKUP(_xlfn._xlws.FILTER(_xlfn.TOCOL(_xlfn.CHOOSECOLS(C695:L703,2,4,6,8,10),0,TRUE),_xlfn.TOCOL(_xlfn.CHOOSECOLS(C695:L703,1,3,5,7,9),0,TRUE)&lt;&gt;""),Lists!$AC$2:$AC$9,Lists!$AF$2:$AF$9,0)))*--(ROW()-ROW(C727)=_xlfn.XLOOKUP(MAX(IF(O728:O733&gt;0,INT(C728:C733)*3+MOD(ROUND(C728:C733*10,0),10),-1)),IF(O728:O733&gt;0,INT(C728:C733)*3+MOD(ROUND(C728:C733*10,0),10),-1),_xlfn.SEQUENCE(ROWS(O728:O733)),,0)))</f>
        <v/>
      </c>
      <c r="K731" s="68" t="str" cm="1">
        <f t="array" aca="1" ref="K731" ca="1">IF(OR(B731="",O731=""),"",--(SUM(_xlfn.XLOOKUP(_xlfn._xlws.FILTER(_xlfn.TOCOL(_xlfn.CHOOSECOLS(C716:L724,2,4,6,8,10),0,TRUE),_xlfn.TOCOL(_xlfn.CHOOSECOLS(C716:L724,1,3,5,7,9),0,TRUE)&lt;&gt;""),Lists!$AC$2:$AC$9,Lists!$AF$2:$AF$9,0))&lt;SUM(_xlfn.XLOOKUP(_xlfn._xlws.FILTER(_xlfn.TOCOL(_xlfn.CHOOSECOLS(C695:L703,2,4,6,8,10),0,TRUE),_xlfn.TOCOL(_xlfn.CHOOSECOLS(C695:L703,1,3,5,7,9),0,TRUE)&lt;&gt;""),Lists!$AC$2:$AC$9,Lists!$AF$2:$AF$9,0)))*--(ROW()-ROW(C727)=_xlfn.XLOOKUP(MAX(IF(O728:O733&gt;0,E728:E733,-1)),IF(O728:O733&gt;0,E728:E733,-1),_xlfn.SEQUENCE(ROWS(O728:O733)),,0)))</f>
        <v/>
      </c>
      <c r="L731" s="68" t="str" cm="1">
        <f t="array" aca="1" ref="L731" ca="1">IF(OR(B731="",O731=""),"",--(SUM(_xlfn.XLOOKUP(_xlfn._xlws.FILTER(_xlfn.TOCOL(_xlfn.CHOOSECOLS(C716:L724,2,4,6,8,10),0,TRUE),_xlfn.TOCOL(_xlfn.CHOOSECOLS(C716:L724,1,3,5,7,9),0,TRUE)&lt;&gt;""),Lists!$AC$2:$AC$9,Lists!$AF$2:$AF$9,0))&gt;SUM(_xlfn.XLOOKUP(_xlfn._xlws.FILTER(_xlfn.TOCOL(_xlfn.CHOOSECOLS(C695:L703,2,4,6,8,10),0,TRUE),_xlfn.TOCOL(_xlfn.CHOOSECOLS(C695:L703,1,3,5,7,9),0,TRUE)&lt;&gt;""),Lists!$AC$2:$AC$9,Lists!$AF$2:$AF$9,0)))*--(COUNTIF(O728:O733,"&gt;0")&gt;1)*--(ROW()-ROW(C727)=_xlfn.XLOOKUP(TRUE,O728:O733&gt;0,_xlfn.SEQUENCE(ROWS(O728:O733)),,0,-1))*--(_xlfn.XLOOKUP(TRUE,O728:O733&gt;0,_xlfn.SEQUENCE(ROWS(O728:O733)),,0,-1)&lt;&gt;_xlfn.XLOOKUP(MAX(IF(O728:O733&gt;0,INT(C728:C733)*3+MOD(ROUND(C728:C733*10,0),10),-1)),IF(O728:O733&gt;0,INT(C728:C733)*3+MOD(ROUND(C728:C733*10,0),10),-1),_xlfn.SEQUENCE(ROWS(O728:O733)),,0))*--(SUM(_xlfn.XLOOKUP(_xlfn._xlws.FILTER(_xlfn.TOCOL(_xlfn.CHOOSECOLS(C716:L724,2,4,6,8,10),0,TRUE),_xlfn.TOCOL(_xlfn.CHOOSECOLS(C716:L724,1,3,5,7,9),0,TRUE)&lt;&gt;""),Lists!$AC$2:$AC$9,Lists!$AF$2:$AF$9,0))-SUM(_xlfn.XLOOKUP(_xlfn._xlws.FILTER(_xlfn.TOCOL(_xlfn.CHOOSECOLS(C695:L703,2,4,6,8,10),0,TRUE),_xlfn.TOCOL(_xlfn.CHOOSECOLS(C695:L703,1,3,5,7,9),0,TRUE)&lt;&gt;""),Lists!$AC$2:$AC$9,Lists!$AF$2:$AF$9,0))&lt;=3)*--((INT(C731)*3+MOD(ROUND(C731*10,0),10))&gt;=3))</f>
        <v/>
      </c>
      <c r="M731" s="68" t="str" cm="1">
        <f t="array" ref="M731">IF(OR(B731="",O731=""),"",--(COUNTIF(O728:O733,"&gt;0")=1)*--(SUM(_xlfn.XLOOKUP(_xlfn._xlws.FILTER(_xlfn.TOCOL(_xlfn.CHOOSECOLS(C695:L703,2,4,6,8,10),0,TRUE),_xlfn.TOCOL(_xlfn.CHOOSECOLS(C695:L703,1,3,5,7,9),0,TRUE)&lt;&gt;""),Lists!$AC$2:$AC$9,Lists!$AF$2:$AF$9,0))=0))</f>
        <v/>
      </c>
      <c r="N731" s="69" t="str">
        <f>IF(OR(B731="",O731=""),"",--(COUNTIF(O728:O733,"&gt;0")=1))</f>
        <v/>
      </c>
      <c r="O731" s="5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  <c r="BX731" s="18"/>
      <c r="BY731" s="18"/>
      <c r="BZ731" s="18"/>
      <c r="CA731" s="18"/>
      <c r="CB731" s="18"/>
      <c r="CC731" s="18"/>
      <c r="CD731" s="18"/>
      <c r="CE731" s="18"/>
      <c r="CF731" s="18"/>
      <c r="CG731" s="18"/>
      <c r="CH731" s="18"/>
      <c r="CI731" s="18"/>
      <c r="CJ731" s="18"/>
      <c r="CK731" s="18"/>
      <c r="CL731" s="18"/>
      <c r="CM731" s="18"/>
      <c r="CN731" s="18"/>
      <c r="CO731" s="18"/>
      <c r="CP731" s="18"/>
      <c r="CQ731" s="18"/>
      <c r="CR731" s="18"/>
      <c r="CS731" s="18"/>
      <c r="CT731" s="18"/>
      <c r="CU731" s="18"/>
      <c r="CV731" s="18"/>
      <c r="CW731" s="18"/>
      <c r="CX731" s="18"/>
      <c r="CY731" s="18"/>
      <c r="CZ731" s="18"/>
      <c r="DA731" s="18"/>
      <c r="DB731" s="18"/>
      <c r="DC731" s="18"/>
      <c r="DD731" s="18"/>
      <c r="DE731" s="18"/>
      <c r="DF731" s="18"/>
    </row>
    <row r="732" spans="1:110">
      <c r="A732" s="46">
        <v>5</v>
      </c>
      <c r="B732" s="71"/>
      <c r="C732" s="70" t="str" cm="1">
        <f t="array" aca="1" ref="C732" ca="1">IF(OR(B732="",O732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732" s="67" t="str" cm="1">
        <f t="array" aca="1" ref="D732" ca="1">IF(OR(B732="",O732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732" s="67" t="str" cm="1">
        <f t="array" aca="1" ref="E732" ca="1">IF(OR(B732="",O732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732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732" s="67" t="str" cm="1">
        <f t="array" aca="1" ref="F732" ca="1">IF(OR(B732="",O732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732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732" s="67" t="str" cm="1">
        <f t="array" aca="1" ref="G732" ca="1">IF(OR(B732="",O732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732" s="67" t="str" cm="1">
        <f t="array" aca="1" ref="H732" ca="1">IF(OR(B732="",O732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732" s="68" t="str" cm="1">
        <f t="array" aca="1" ref="I732" ca="1">IF(OR(B732="",O732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732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732" s="68" t="str" cm="1">
        <f t="array" aca="1" ref="J732" ca="1">IF(OR(B732="",O732=""),"",--(SUM(_xlfn.XLOOKUP(_xlfn._xlws.FILTER(_xlfn.TOCOL(_xlfn.CHOOSECOLS(C716:L724,2,4,6,8,10),0,TRUE),_xlfn.TOCOL(_xlfn.CHOOSECOLS(C716:L724,1,3,5,7,9),0,TRUE)&lt;&gt;""),Lists!$AC$2:$AC$9,Lists!$AF$2:$AF$9,0))&gt;SUM(_xlfn.XLOOKUP(_xlfn._xlws.FILTER(_xlfn.TOCOL(_xlfn.CHOOSECOLS(C695:L703,2,4,6,8,10),0,TRUE),_xlfn.TOCOL(_xlfn.CHOOSECOLS(C695:L703,1,3,5,7,9),0,TRUE)&lt;&gt;""),Lists!$AC$2:$AC$9,Lists!$AF$2:$AF$9,0)))*--(ROW()-ROW(C727)=_xlfn.XLOOKUP(MAX(IF(O728:O733&gt;0,INT(C728:C733)*3+MOD(ROUND(C728:C733*10,0),10),-1)),IF(O728:O733&gt;0,INT(C728:C733)*3+MOD(ROUND(C728:C733*10,0),10),-1),_xlfn.SEQUENCE(ROWS(O728:O733)),,0)))</f>
        <v/>
      </c>
      <c r="K732" s="68" t="str" cm="1">
        <f t="array" aca="1" ref="K732" ca="1">IF(OR(B732="",O732=""),"",--(SUM(_xlfn.XLOOKUP(_xlfn._xlws.FILTER(_xlfn.TOCOL(_xlfn.CHOOSECOLS(C716:L724,2,4,6,8,10),0,TRUE),_xlfn.TOCOL(_xlfn.CHOOSECOLS(C716:L724,1,3,5,7,9),0,TRUE)&lt;&gt;""),Lists!$AC$2:$AC$9,Lists!$AF$2:$AF$9,0))&lt;SUM(_xlfn.XLOOKUP(_xlfn._xlws.FILTER(_xlfn.TOCOL(_xlfn.CHOOSECOLS(C695:L703,2,4,6,8,10),0,TRUE),_xlfn.TOCOL(_xlfn.CHOOSECOLS(C695:L703,1,3,5,7,9),0,TRUE)&lt;&gt;""),Lists!$AC$2:$AC$9,Lists!$AF$2:$AF$9,0)))*--(ROW()-ROW(C727)=_xlfn.XLOOKUP(MAX(IF(O728:O733&gt;0,E728:E733,-1)),IF(O728:O733&gt;0,E728:E733,-1),_xlfn.SEQUENCE(ROWS(O728:O733)),,0)))</f>
        <v/>
      </c>
      <c r="L732" s="68" t="str" cm="1">
        <f t="array" aca="1" ref="L732" ca="1">IF(OR(B732="",O732=""),"",--(SUM(_xlfn.XLOOKUP(_xlfn._xlws.FILTER(_xlfn.TOCOL(_xlfn.CHOOSECOLS(C716:L724,2,4,6,8,10),0,TRUE),_xlfn.TOCOL(_xlfn.CHOOSECOLS(C716:L724,1,3,5,7,9),0,TRUE)&lt;&gt;""),Lists!$AC$2:$AC$9,Lists!$AF$2:$AF$9,0))&gt;SUM(_xlfn.XLOOKUP(_xlfn._xlws.FILTER(_xlfn.TOCOL(_xlfn.CHOOSECOLS(C695:L703,2,4,6,8,10),0,TRUE),_xlfn.TOCOL(_xlfn.CHOOSECOLS(C695:L703,1,3,5,7,9),0,TRUE)&lt;&gt;""),Lists!$AC$2:$AC$9,Lists!$AF$2:$AF$9,0)))*--(COUNTIF(O728:O733,"&gt;0")&gt;1)*--(ROW()-ROW(C727)=_xlfn.XLOOKUP(TRUE,O728:O733&gt;0,_xlfn.SEQUENCE(ROWS(O728:O733)),,0,-1))*--(_xlfn.XLOOKUP(TRUE,O728:O733&gt;0,_xlfn.SEQUENCE(ROWS(O728:O733)),,0,-1)&lt;&gt;_xlfn.XLOOKUP(MAX(IF(O728:O733&gt;0,INT(C728:C733)*3+MOD(ROUND(C728:C733*10,0),10),-1)),IF(O728:O733&gt;0,INT(C728:C733)*3+MOD(ROUND(C728:C733*10,0),10),-1),_xlfn.SEQUENCE(ROWS(O728:O733)),,0))*--(SUM(_xlfn.XLOOKUP(_xlfn._xlws.FILTER(_xlfn.TOCOL(_xlfn.CHOOSECOLS(C716:L724,2,4,6,8,10),0,TRUE),_xlfn.TOCOL(_xlfn.CHOOSECOLS(C716:L724,1,3,5,7,9),0,TRUE)&lt;&gt;""),Lists!$AC$2:$AC$9,Lists!$AF$2:$AF$9,0))-SUM(_xlfn.XLOOKUP(_xlfn._xlws.FILTER(_xlfn.TOCOL(_xlfn.CHOOSECOLS(C695:L703,2,4,6,8,10),0,TRUE),_xlfn.TOCOL(_xlfn.CHOOSECOLS(C695:L703,1,3,5,7,9),0,TRUE)&lt;&gt;""),Lists!$AC$2:$AC$9,Lists!$AF$2:$AF$9,0))&lt;=3)*--((INT(C732)*3+MOD(ROUND(C732*10,0),10))&gt;=3))</f>
        <v/>
      </c>
      <c r="M732" s="68" t="str" cm="1">
        <f t="array" ref="M732">IF(OR(B732="",O732=""),"",--(COUNTIF(O728:O733,"&gt;0")=1)*--(SUM(_xlfn.XLOOKUP(_xlfn._xlws.FILTER(_xlfn.TOCOL(_xlfn.CHOOSECOLS(C695:L703,2,4,6,8,10),0,TRUE),_xlfn.TOCOL(_xlfn.CHOOSECOLS(C695:L703,1,3,5,7,9),0,TRUE)&lt;&gt;""),Lists!$AC$2:$AC$9,Lists!$AF$2:$AF$9,0))=0))</f>
        <v/>
      </c>
      <c r="N732" s="69" t="str">
        <f>IF(OR(B732="",O732=""),"",--(COUNTIF(O728:O733,"&gt;0")=1))</f>
        <v/>
      </c>
      <c r="O732" s="5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  <c r="BX732" s="18"/>
      <c r="BY732" s="18"/>
      <c r="BZ732" s="18"/>
      <c r="CA732" s="18"/>
      <c r="CB732" s="18"/>
      <c r="CC732" s="18"/>
      <c r="CD732" s="18"/>
      <c r="CE732" s="18"/>
      <c r="CF732" s="18"/>
      <c r="CG732" s="18"/>
      <c r="CH732" s="18"/>
      <c r="CI732" s="18"/>
      <c r="CJ732" s="18"/>
      <c r="CK732" s="18"/>
      <c r="CL732" s="18"/>
      <c r="CM732" s="18"/>
      <c r="CN732" s="18"/>
      <c r="CO732" s="18"/>
      <c r="CP732" s="18"/>
      <c r="CQ732" s="18"/>
      <c r="CR732" s="18"/>
      <c r="CS732" s="18"/>
      <c r="CT732" s="18"/>
      <c r="CU732" s="18"/>
      <c r="CV732" s="18"/>
      <c r="CW732" s="18"/>
      <c r="CX732" s="18"/>
      <c r="CY732" s="18"/>
      <c r="CZ732" s="18"/>
      <c r="DA732" s="18"/>
      <c r="DB732" s="18"/>
      <c r="DC732" s="18"/>
      <c r="DD732" s="18"/>
      <c r="DE732" s="18"/>
      <c r="DF732" s="18"/>
    </row>
    <row r="733" spans="1:110">
      <c r="A733" s="46">
        <v>6</v>
      </c>
      <c r="B733" s="71"/>
      <c r="C733" s="70" t="str" cm="1">
        <f t="array" aca="1" ref="C733" ca="1">IF(OR(B733="",O733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QUOTIENT(_xlpm.outs,3)+MOD(_xlpm.outs,3)/10))</f>
        <v/>
      </c>
      <c r="D733" s="67" t="str" cm="1">
        <f t="array" aca="1" ref="D733" ca="1">IF(OR(B733="",O733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S$2:$S$19,0))))</f>
        <v/>
      </c>
      <c r="E733" s="67" t="str" cm="1">
        <f t="array" aca="1" ref="E733" ca="1">IF(OR(B733="",O733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733,_xlpm.takeN,MAX(0,MIN(_xlpm.need,ROWS(_xlpm.flatPA)-_xlpm.prev)),_xlpm.segPA,IF(_xlpm.takeN&gt;0,INDEX(_xlpm.flatPA,_xlfn.SEQUENCE(_xlpm.takeN,,_xlpm.prev+1)),""),_xlpm.segPAR,IF(_xlpm.takeN&gt;0,INDEX(_xlpm.flatPAR,_xlfn.SEQUENCE(_xlpm.takeN,,_xlpm.prev+1)),""),SUM(_xlfn.XLOOKUP(_xlpm.segPAR,Lists!$AC$2:$AC$9,Lists!$AF$2:$AF$9,0))))</f>
        <v/>
      </c>
      <c r="F733" s="67" t="str" cm="1">
        <f t="array" aca="1" ref="F733" ca="1">IF(OR(B733="",O733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733,_xlpm.takeN,MAX(0,MIN(_xlpm.need,ROWS(_xlpm.flatPA)-_xlpm.prev)),_xlpm.segPA,IF(_xlpm.takeN&gt;0,INDEX(_xlpm.flatPA,_xlfn.SEQUENCE(_xlpm.takeN,,_xlpm.prev+1)),""),_xlpm.segPAR,IF(_xlpm.takeN&gt;0,INDEX(_xlpm.flatPAR,_xlfn.SEQUENCE(_xlpm.takeN,,_xlpm.prev+1)),""),SUM(IF(_xlpm.segPA="ROE",0,_xlfn.XLOOKUP(_xlpm.segPAR,Lists!$AC$2:$AC$9,Lists!$AG$2:$AG$9,0)))))</f>
        <v/>
      </c>
      <c r="G733" s="67" t="str" cm="1">
        <f t="array" aca="1" ref="G733" ca="1">IF(OR(B733="",O733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W$2:$W$19,0))))</f>
        <v/>
      </c>
      <c r="H733" s="67" t="str" cm="1">
        <f t="array" aca="1" ref="H733" ca="1">IF(OR(B733="",O733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X$2:$X$19,0))))</f>
        <v/>
      </c>
      <c r="I733" s="68" t="str" cm="1">
        <f t="array" aca="1" ref="I733" ca="1">IF(OR(B733="",O733=""),"",_xlfn.LET(_xlpm.flatPAraw,_xlfn.TOCOL(_xlfn.CHOOSECOLS(C695:L703,1,3,5,7,9),0,TRUE),_xlpm.flatPARraw,_xlfn.TOCOL(_xlfn.CHOOSECOLS(C695:L703,2,4,6,8,10),0,TRUE),_xlpm.flatPA,_xlfn._xlws.FILTER(_xlpm.flatPAraw,_xlpm.flatPAraw&lt;&gt;""),_xlpm.flatPAR,_xlfn._xlws.FILTER(_xlpm.flatPARraw,_xlpm.flatPAraw&lt;&gt;""),_xlpm.prev,IF(ROW()=ROW(C728),0,SUM(INDEX(O:O,ROW(C728)):INDEX(O:O,ROW()-1))),_xlpm.need,O733,_xlpm.takeN,MAX(0,MIN(_xlpm.need,ROWS(_xlpm.flatPA)-_xlpm.prev)),_xlpm.segPA,IF(_xlpm.takeN&gt;0,INDEX(_xlpm.flatPA,_xlfn.SEQUENCE(_xlpm.takeN,,_xlpm.prev+1)),""),_xlpm.segPAR,IF(_xlpm.takeN&gt;0,INDEX(_xlpm.flatPAR,_xlfn.SEQUENCE(_xlpm.takeN,,_xlpm.prev+1)),""),_xlpm.outs,SUM(_xlfn.XLOOKUP(_xlpm.segPA,Lists!$P$2:$P$19,Lists!$AH$2:$AH$19,0)),SUM(_xlfn.XLOOKUP(_xlpm.segPA,Lists!$P$2:$P$19,Lists!$V$2:$V$19,0))))</f>
        <v/>
      </c>
      <c r="J733" s="68" t="str" cm="1">
        <f t="array" aca="1" ref="J733" ca="1">IF(OR(B733="",O733=""),"",--(SUM(_xlfn.XLOOKUP(_xlfn._xlws.FILTER(_xlfn.TOCOL(_xlfn.CHOOSECOLS(C716:L724,2,4,6,8,10),0,TRUE),_xlfn.TOCOL(_xlfn.CHOOSECOLS(C716:L724,1,3,5,7,9),0,TRUE)&lt;&gt;""),Lists!$AC$2:$AC$9,Lists!$AF$2:$AF$9,0))&gt;SUM(_xlfn.XLOOKUP(_xlfn._xlws.FILTER(_xlfn.TOCOL(_xlfn.CHOOSECOLS(C695:L703,2,4,6,8,10),0,TRUE),_xlfn.TOCOL(_xlfn.CHOOSECOLS(C695:L703,1,3,5,7,9),0,TRUE)&lt;&gt;""),Lists!$AC$2:$AC$9,Lists!$AF$2:$AF$9,0)))*--(ROW()-ROW(C727)=_xlfn.XLOOKUP(MAX(IF(O728:O733&gt;0,INT(C728:C733)*3+MOD(ROUND(C728:C733*10,0),10),-1)),IF(O728:O733&gt;0,INT(C728:C733)*3+MOD(ROUND(C728:C733*10,0),10),-1),_xlfn.SEQUENCE(ROWS(O728:O733)),,0)))</f>
        <v/>
      </c>
      <c r="K733" s="68" t="str" cm="1">
        <f t="array" aca="1" ref="K733" ca="1">IF(OR(B733="",O733=""),"",--(SUM(_xlfn.XLOOKUP(_xlfn._xlws.FILTER(_xlfn.TOCOL(_xlfn.CHOOSECOLS(C716:L724,2,4,6,8,10),0,TRUE),_xlfn.TOCOL(_xlfn.CHOOSECOLS(C716:L724,1,3,5,7,9),0,TRUE)&lt;&gt;""),Lists!$AC$2:$AC$9,Lists!$AF$2:$AF$9,0))&lt;SUM(_xlfn.XLOOKUP(_xlfn._xlws.FILTER(_xlfn.TOCOL(_xlfn.CHOOSECOLS(C695:L703,2,4,6,8,10),0,TRUE),_xlfn.TOCOL(_xlfn.CHOOSECOLS(C695:L703,1,3,5,7,9),0,TRUE)&lt;&gt;""),Lists!$AC$2:$AC$9,Lists!$AF$2:$AF$9,0)))*--(ROW()-ROW(C727)=_xlfn.XLOOKUP(MAX(IF(O728:O733&gt;0,E728:E733,-1)),IF(O728:O733&gt;0,E728:E733,-1),_xlfn.SEQUENCE(ROWS(O728:O733)),,0)))</f>
        <v/>
      </c>
      <c r="L733" s="68" t="str" cm="1">
        <f t="array" aca="1" ref="L733" ca="1">IF(OR(B733="",O733=""),"",--(SUM(_xlfn.XLOOKUP(_xlfn._xlws.FILTER(_xlfn.TOCOL(_xlfn.CHOOSECOLS(C716:L724,2,4,6,8,10),0,TRUE),_xlfn.TOCOL(_xlfn.CHOOSECOLS(C716:L724,1,3,5,7,9),0,TRUE)&lt;&gt;""),Lists!$AC$2:$AC$9,Lists!$AF$2:$AF$9,0))&gt;SUM(_xlfn.XLOOKUP(_xlfn._xlws.FILTER(_xlfn.TOCOL(_xlfn.CHOOSECOLS(C695:L703,2,4,6,8,10),0,TRUE),_xlfn.TOCOL(_xlfn.CHOOSECOLS(C695:L703,1,3,5,7,9),0,TRUE)&lt;&gt;""),Lists!$AC$2:$AC$9,Lists!$AF$2:$AF$9,0)))*--(COUNTIF(O728:O733,"&gt;0")&gt;1)*--(ROW()-ROW(C727)=_xlfn.XLOOKUP(TRUE,O728:O733&gt;0,_xlfn.SEQUENCE(ROWS(O728:O733)),,0,-1))*--(_xlfn.XLOOKUP(TRUE,O728:O733&gt;0,_xlfn.SEQUENCE(ROWS(O728:O733)),,0,-1)&lt;&gt;_xlfn.XLOOKUP(MAX(IF(O728:O733&gt;0,INT(C728:C733)*3+MOD(ROUND(C728:C733*10,0),10),-1)),IF(O728:O733&gt;0,INT(C728:C733)*3+MOD(ROUND(C728:C733*10,0),10),-1),_xlfn.SEQUENCE(ROWS(O728:O733)),,0))*--(SUM(_xlfn.XLOOKUP(_xlfn._xlws.FILTER(_xlfn.TOCOL(_xlfn.CHOOSECOLS(C716:L724,2,4,6,8,10),0,TRUE),_xlfn.TOCOL(_xlfn.CHOOSECOLS(C716:L724,1,3,5,7,9),0,TRUE)&lt;&gt;""),Lists!$AC$2:$AC$9,Lists!$AF$2:$AF$9,0))-SUM(_xlfn.XLOOKUP(_xlfn._xlws.FILTER(_xlfn.TOCOL(_xlfn.CHOOSECOLS(C695:L703,2,4,6,8,10),0,TRUE),_xlfn.TOCOL(_xlfn.CHOOSECOLS(C695:L703,1,3,5,7,9),0,TRUE)&lt;&gt;""),Lists!$AC$2:$AC$9,Lists!$AF$2:$AF$9,0))&lt;=3)*--((INT(C733)*3+MOD(ROUND(C733*10,0),10))&gt;=3))</f>
        <v/>
      </c>
      <c r="M733" s="68" t="str" cm="1">
        <f t="array" ref="M733">IF(OR(B733="",O733=""),"",--(COUNTIF(O728:O733,"&gt;0")=1)*--(SUM(_xlfn.XLOOKUP(_xlfn._xlws.FILTER(_xlfn.TOCOL(_xlfn.CHOOSECOLS(C695:L703,2,4,6,8,10),0,TRUE),_xlfn.TOCOL(_xlfn.CHOOSECOLS(C695:L703,1,3,5,7,9),0,TRUE)&lt;&gt;""),Lists!$AC$2:$AC$9,Lists!$AF$2:$AF$9,0))=0))</f>
        <v/>
      </c>
      <c r="N733" s="69" t="str">
        <f>IF(OR(B733="",O733=""),"",--(COUNTIF(O728:O733,"&gt;0")=1))</f>
        <v/>
      </c>
      <c r="O733" s="5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  <c r="CF733" s="18"/>
      <c r="CG733" s="18"/>
      <c r="CH733" s="18"/>
      <c r="CI733" s="18"/>
      <c r="CJ733" s="18"/>
      <c r="CK733" s="18"/>
      <c r="CL733" s="18"/>
      <c r="CM733" s="18"/>
      <c r="CN733" s="18"/>
      <c r="CO733" s="18"/>
      <c r="CP733" s="18"/>
      <c r="CQ733" s="18"/>
      <c r="CR733" s="18"/>
      <c r="CS733" s="18"/>
      <c r="CT733" s="18"/>
      <c r="CU733" s="18"/>
      <c r="CV733" s="18"/>
      <c r="CW733" s="18"/>
      <c r="CX733" s="18"/>
      <c r="CY733" s="18"/>
      <c r="CZ733" s="18"/>
      <c r="DA733" s="18"/>
      <c r="DB733" s="18"/>
      <c r="DC733" s="18"/>
      <c r="DD733" s="18"/>
      <c r="DE733" s="18"/>
      <c r="DF733" s="18"/>
    </row>
    <row r="734" spans="1:110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  <c r="BX734" s="18"/>
      <c r="BY734" s="18"/>
      <c r="BZ734" s="18"/>
      <c r="CA734" s="18"/>
      <c r="CB734" s="18"/>
      <c r="CC734" s="18"/>
      <c r="CD734" s="18"/>
      <c r="CE734" s="18"/>
      <c r="CF734" s="18"/>
      <c r="CG734" s="18"/>
      <c r="CH734" s="18"/>
      <c r="CI734" s="18"/>
      <c r="CJ734" s="18"/>
      <c r="CK734" s="18"/>
      <c r="CL734" s="18"/>
      <c r="CM734" s="18"/>
      <c r="CN734" s="18"/>
      <c r="CO734" s="18"/>
      <c r="CP734" s="18"/>
      <c r="CQ734" s="18"/>
      <c r="CR734" s="18"/>
      <c r="CS734" s="18"/>
      <c r="CT734" s="18"/>
      <c r="CU734" s="18"/>
      <c r="CV734" s="18"/>
      <c r="CW734" s="18"/>
      <c r="CX734" s="18"/>
      <c r="CY734" s="18"/>
      <c r="CZ734" s="18"/>
      <c r="DA734" s="18"/>
      <c r="DB734" s="18"/>
      <c r="DC734" s="18"/>
      <c r="DD734" s="18"/>
      <c r="DE734" s="18"/>
      <c r="DF734" s="18"/>
    </row>
    <row r="735" spans="1:110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  <c r="BX735" s="18"/>
      <c r="BY735" s="18"/>
      <c r="BZ735" s="18"/>
      <c r="CA735" s="18"/>
      <c r="CB735" s="18"/>
      <c r="CC735" s="18"/>
      <c r="CD735" s="18"/>
      <c r="CE735" s="18"/>
      <c r="CF735" s="18"/>
      <c r="CG735" s="18"/>
      <c r="CH735" s="18"/>
      <c r="CI735" s="18"/>
      <c r="CJ735" s="18"/>
      <c r="CK735" s="18"/>
      <c r="CL735" s="18"/>
      <c r="CM735" s="18"/>
      <c r="CN735" s="18"/>
      <c r="CO735" s="18"/>
      <c r="CP735" s="18"/>
      <c r="CQ735" s="18"/>
      <c r="CR735" s="18"/>
      <c r="CS735" s="18"/>
      <c r="CT735" s="18"/>
      <c r="CU735" s="18"/>
      <c r="CV735" s="18"/>
      <c r="CW735" s="18"/>
      <c r="CX735" s="18"/>
      <c r="CY735" s="18"/>
      <c r="CZ735" s="18"/>
      <c r="DA735" s="18"/>
      <c r="DB735" s="18"/>
      <c r="DC735" s="18"/>
      <c r="DD735" s="18"/>
      <c r="DE735" s="18"/>
      <c r="DF735" s="18"/>
    </row>
  </sheetData>
  <mergeCells count="45">
    <mergeCell ref="A656:M656"/>
    <mergeCell ref="A677:M677"/>
    <mergeCell ref="A687:M687"/>
    <mergeCell ref="A705:M705"/>
    <mergeCell ref="A726:M726"/>
    <mergeCell ref="A579:M579"/>
    <mergeCell ref="A589:M589"/>
    <mergeCell ref="A607:M607"/>
    <mergeCell ref="A628:M628"/>
    <mergeCell ref="A638:M638"/>
    <mergeCell ref="A491:M491"/>
    <mergeCell ref="A509:M509"/>
    <mergeCell ref="A530:M530"/>
    <mergeCell ref="A540:M540"/>
    <mergeCell ref="A558:M558"/>
    <mergeCell ref="A411:M411"/>
    <mergeCell ref="A432:M432"/>
    <mergeCell ref="A442:M442"/>
    <mergeCell ref="A460:M460"/>
    <mergeCell ref="A481:M481"/>
    <mergeCell ref="A334:M334"/>
    <mergeCell ref="A344:M344"/>
    <mergeCell ref="A362:M362"/>
    <mergeCell ref="A383:M383"/>
    <mergeCell ref="A393:M393"/>
    <mergeCell ref="A246:M246"/>
    <mergeCell ref="A264:M264"/>
    <mergeCell ref="A285:M285"/>
    <mergeCell ref="A295:M295"/>
    <mergeCell ref="A313:M313"/>
    <mergeCell ref="A166:M166"/>
    <mergeCell ref="A187:M187"/>
    <mergeCell ref="A197:M197"/>
    <mergeCell ref="A215:M215"/>
    <mergeCell ref="A236:M236"/>
    <mergeCell ref="A1:M1"/>
    <mergeCell ref="A99:M99"/>
    <mergeCell ref="A117:M117"/>
    <mergeCell ref="A138:M138"/>
    <mergeCell ref="A148:M148"/>
    <mergeCell ref="A50:M50"/>
    <mergeCell ref="A68:M68"/>
    <mergeCell ref="A89:M89"/>
    <mergeCell ref="A19:M19"/>
    <mergeCell ref="A40:M40"/>
  </mergeCells>
  <pageMargins left="0.7" right="0.7" top="0.75" bottom="0.75" header="0.3" footer="0.3"/>
  <extLst>
    <ext uri="{78C0D931-6437-407d-A8EE-F0AAD7539E65}">
      <ns3:conditionalFormattings>
        <ns3:conditionalFormatting>
          <ns3:cfRule type="expression" priority="1" id="{279921E3-6BCF-4B9B-8E1E-30014BBA28C3}">
            <ns4:f>OR(AND(Settings!$G$3=TRUE,Settings!$I$3="Blue",ISNUMBER(SEARCH(Settings!$E$3,A1&amp;""))),AND(Settings!$G$4=TRUE,Settings!$I$4="Blue",ISNUMBER(SEARCH(Settings!$E$4,A1&amp;""))),AND(Settings!$G$5=TRUE,Settings!$I$5="Blue",ISNUMBER(SEARCH(Settings!$E$5,A1&amp;""))),AND(Settings!$G$6=TRUE,Settings!$I$6="Blue",ISNUMBER(SEARCH(Settings!$E$6,A1&amp;""))),AND(Settings!$G$7=TRUE,Settings!$I$7="Blue",ISNUMBER(SEARCH(Settings!$E$7,A1&amp;""))),AND(Settings!$G$8=TRUE,Settings!$I$8="Blue",ISNUMBER(SEARCH(Settings!$E$8,A1&amp;""))),AND(Settings!$G$9=TRUE,Settings!$I$9="Blue",ISNUMBER(SEARCH(Settings!$E$9,A1&amp;""))),AND(Settings!$G$10=TRUE,Settings!$I$10="Blue",ISNUMBER(SEARCH(Settings!$E$10,A1&amp;""))))</ns4:f>
            <ns3:dxf>
              <font>
                <b/>
                <i val="0"/>
                <color rgb="FF49B6FF"/>
              </font>
            </ns3:dxf>
          </ns3:cfRule>
          <ns4:sqref>A1:AC734</ns4:sqref>
        </ns3:conditionalFormatting>
        <ns3:conditionalFormatting>
          <ns3:cfRule type="expression" priority="2" id="{9DA03D41-C70C-4341-A4AA-12437227510E}">
            <ns4:f>OR(AND(Settings!$G$3=TRUE,Settings!$I$3="Orange",ISNUMBER(SEARCH(Settings!$E$3,A1&amp;""))),AND(Settings!$G$4=TRUE,Settings!$I$4="Orange",ISNUMBER(SEARCH(Settings!$E$4,A1&amp;""))),AND(Settings!$G$5=TRUE,Settings!$I$5="Orange",ISNUMBER(SEARCH(Settings!$E$5,A1&amp;""))),AND(Settings!$G$6=TRUE,Settings!$I$6="Orange",ISNUMBER(SEARCH(Settings!$E$6,A1&amp;""))),AND(Settings!$G$7=TRUE,Settings!$I$7="Orange",ISNUMBER(SEARCH(Settings!$E$7,A1&amp;""))),AND(Settings!$G$8=TRUE,Settings!$I$8="Orange",ISNUMBER(SEARCH(Settings!$E$8,A1&amp;""))),AND(Settings!$G$9=TRUE,Settings!$I$9="Orange",ISNUMBER(SEARCH(Settings!$E$9,A1&amp;""))),AND(Settings!$G$10=TRUE,Settings!$I$10="Orange",ISNUMBER(SEARCH(Settings!$E$10,A1&amp;""))))</ns4:f>
            <ns3:dxf>
              <font>
                <b/>
                <i val="0"/>
                <color rgb="FFFFB347"/>
              </font>
            </ns3:dxf>
          </ns3:cfRule>
          <ns4:sqref>A1:AC734</ns4:sqref>
        </ns3:conditionalFormatting>
        <ns3:conditionalFormatting>
          <ns3:cfRule type="expression" priority="3" id="{5DFAB955-4AC1-4C5C-864B-25A928A76E47}">
            <ns4:f>OR(AND(Settings!$G$3=TRUE,Settings!$I$3="Green",ISNUMBER(SEARCH(Settings!$E$3,A1&amp;""))),AND(Settings!$G$4=TRUE,Settings!$I$4="Green",ISNUMBER(SEARCH(Settings!$E$4,A1&amp;""))),AND(Settings!$G$5=TRUE,Settings!$I$5="Green",ISNUMBER(SEARCH(Settings!$E$5,A1&amp;""))),AND(Settings!$G$6=TRUE,Settings!$I$6="Green",ISNUMBER(SEARCH(Settings!$E$6,A1&amp;""))),AND(Settings!$G$7=TRUE,Settings!$I$7="Green",ISNUMBER(SEARCH(Settings!$E$7,A1&amp;""))),AND(Settings!$G$8=TRUE,Settings!$I$8="Green",ISNUMBER(SEARCH(Settings!$E$8,A1&amp;""))),AND(Settings!$G$9=TRUE,Settings!$I$9="Green",ISNUMBER(SEARCH(Settings!$E$9,A1&amp;""))),AND(Settings!$G$10=TRUE,Settings!$I$10="Green",ISNUMBER(SEARCH(Settings!$E$10,A1&amp;""))))</ns4:f>
            <ns3:dxf>
              <font>
                <b/>
                <i val="0"/>
                <color rgb="FF7ED957"/>
              </font>
            </ns3:dxf>
          </ns3:cfRule>
          <ns4:sqref>A1:AC734</ns4:sqref>
        </ns3:conditionalFormatting>
        <ns3:conditionalFormatting>
          <ns3:cfRule type="expression" priority="4" id="{D7ED3ED2-2EFB-49F9-B495-E00C22D2A7BF}">
            <ns4:f>OR(AND(Settings!$G$3=TRUE,Settings!$I$3="Red",ISNUMBER(SEARCH(Settings!$E$3,A1&amp;""))),AND(Settings!$G$4=TRUE,Settings!$I$4="Red",ISNUMBER(SEARCH(Settings!$E$4,A1&amp;""))),AND(Settings!$G$5=TRUE,Settings!$I$5="Red",ISNUMBER(SEARCH(Settings!$E$5,A1&amp;""))),AND(Settings!$G$6=TRUE,Settings!$I$6="Red",ISNUMBER(SEARCH(Settings!$E$6,A1&amp;""))),AND(Settings!$G$7=TRUE,Settings!$I$7="Red",ISNUMBER(SEARCH(Settings!$E$7,A1&amp;""))),AND(Settings!$G$8=TRUE,Settings!$I$8="Red",ISNUMBER(SEARCH(Settings!$E$8,A1&amp;""))),AND(Settings!$G$9=TRUE,Settings!$I$9="Red",ISNUMBER(SEARCH(Settings!$E$9,A1&amp;""))),AND(Settings!$G$10=TRUE,Settings!$I$10="Red",ISNUMBER(SEARCH(Settings!$E$10,A1&amp;""))))</ns4:f>
            <ns3:dxf>
              <font>
                <b/>
                <i val="0"/>
                <color rgb="FFFF5A5F"/>
              </font>
            </ns3:dxf>
          </ns3:cfRule>
          <ns4:sqref>A1:AC734</ns4:sqref>
        </ns3:conditionalFormatting>
        <ns3:conditionalFormatting>
          <ns3:cfRule type="expression" priority="5" id="{6040C6D4-8CE3-4940-A0E8-8D4007B2154D}">
            <ns4:f>OR(AND(Settings!$G$3=TRUE,Settings!$I$3="Purple",ISNUMBER(SEARCH(Settings!$E$3,A1&amp;""))),AND(Settings!$G$4=TRUE,Settings!$I$4="Purple",ISNUMBER(SEARCH(Settings!$E$4,A1&amp;""))),AND(Settings!$G$5=TRUE,Settings!$I$5="Purple",ISNUMBER(SEARCH(Settings!$E$5,A1&amp;""))),AND(Settings!$G$6=TRUE,Settings!$I$6="Purple",ISNUMBER(SEARCH(Settings!$E$6,A1&amp;""))),AND(Settings!$G$7=TRUE,Settings!$I$7="Purple",ISNUMBER(SEARCH(Settings!$E$7,A1&amp;""))),AND(Settings!$G$8=TRUE,Settings!$I$8="Purple",ISNUMBER(SEARCH(Settings!$E$8,A1&amp;""))),AND(Settings!$G$9=TRUE,Settings!$I$9="Purple",ISNUMBER(SEARCH(Settings!$E$9,A1&amp;""))),AND(Settings!$G$10=TRUE,Settings!$I$10="Purple",ISNUMBER(SEARCH(Settings!$E$10,A1&amp;""))))</ns4:f>
            <ns3:dxf>
              <font>
                <b/>
                <i val="0"/>
                <color rgb="FFC77DFF"/>
              </font>
            </ns3:dxf>
          </ns3:cfRule>
          <ns4:sqref>A1:AC734</ns4:sqref>
        </ns3:conditionalFormatting>
        <ns3:conditionalFormatting>
          <ns3:cfRule type="expression" priority="6" id="{D5E4E387-6B82-4259-8E9A-21303266251A}">
            <ns4:f>OR(AND(Settings!$G$3=TRUE,Settings!$I$3="Pink",ISNUMBER(SEARCH(Settings!$E$3,A1&amp;""))),AND(Settings!$G$4=TRUE,Settings!$I$4="Pink",ISNUMBER(SEARCH(Settings!$E$4,A1&amp;""))),AND(Settings!$G$5=TRUE,Settings!$I$5="Pink",ISNUMBER(SEARCH(Settings!$E$5,A1&amp;""))),AND(Settings!$G$6=TRUE,Settings!$I$6="Pink",ISNUMBER(SEARCH(Settings!$E$6,A1&amp;""))),AND(Settings!$G$7=TRUE,Settings!$I$7="Pink",ISNUMBER(SEARCH(Settings!$E$7,A1&amp;""))),AND(Settings!$G$8=TRUE,Settings!$I$8="Pink",ISNUMBER(SEARCH(Settings!$E$8,A1&amp;""))),AND(Settings!$G$9=TRUE,Settings!$I$9="Pink",ISNUMBER(SEARCH(Settings!$E$9,A1&amp;""))),AND(Settings!$G$10=TRUE,Settings!$I$10="Pink",ISNUMBER(SEARCH(Settings!$E$10,A1&amp;""))))</ns4:f>
            <ns3:dxf>
              <font>
                <b/>
                <i val="0"/>
                <color rgb="FFFF66C4"/>
              </font>
            </ns3:dxf>
          </ns3:cfRule>
          <ns4:sqref>A1:AC734</ns4:sqref>
        </ns3:conditionalFormatting>
        <ns3:conditionalFormatting>
          <ns3:cfRule type="expression" priority="7" id="{C5915AC9-A680-494E-8B94-575A91BE7669}">
            <ns4:f>OR(AND(Settings!$G$3=TRUE,Settings!$I$3="Gray",ISNUMBER(SEARCH(Settings!$E$3,A1&amp;""))),AND(Settings!$G$4=TRUE,Settings!$I$4="Gray",ISNUMBER(SEARCH(Settings!$E$4,A1&amp;""))),AND(Settings!$G$5=TRUE,Settings!$I$5="Gray",ISNUMBER(SEARCH(Settings!$E$5,A1&amp;""))),AND(Settings!$G$6=TRUE,Settings!$I$6="Gray",ISNUMBER(SEARCH(Settings!$E$6,A1&amp;""))),AND(Settings!$G$7=TRUE,Settings!$I$7="Gray",ISNUMBER(SEARCH(Settings!$E$7,A1&amp;""))),AND(Settings!$G$8=TRUE,Settings!$I$8="Gray",ISNUMBER(SEARCH(Settings!$E$8,A1&amp;""))),AND(Settings!$G$9=TRUE,Settings!$I$9="Gray",ISNUMBER(SEARCH(Settings!$E$9,A1&amp;""))),AND(Settings!$G$10=TRUE,Settings!$I$10="Gray",ISNUMBER(SEARCH(Settings!$E$10,A1&amp;""))))</ns4:f>
            <ns3:dxf>
              <font>
                <b/>
                <i val="0"/>
                <color rgb="FFB7B7B7"/>
              </font>
            </ns3:dxf>
          </ns3:cfRule>
          <ns4:sqref>A1:AC734</ns4:sqref>
        </ns3:conditionalFormatting>
        <ns3:conditionalFormatting>
          <ns3:cfRule type="expression" priority="8" id="{D87BE018-E2DD-4147-B587-EF6ED3ADC855}">
            <ns4:f>OR(AND(Settings!$G$3=TRUE,Settings!$I$3="Brown",ISNUMBER(SEARCH(Settings!$E$3,A1&amp;""))),AND(Settings!$G$4=TRUE,Settings!$I$4="Brown",ISNUMBER(SEARCH(Settings!$E$4,A1&amp;""))),AND(Settings!$G$5=TRUE,Settings!$I$5="Brown",ISNUMBER(SEARCH(Settings!$E$5,A1&amp;""))),AND(Settings!$G$6=TRUE,Settings!$I$6="Brown",ISNUMBER(SEARCH(Settings!$E$6,A1&amp;""))),AND(Settings!$G$7=TRUE,Settings!$I$7="Brown",ISNUMBER(SEARCH(Settings!$E$7,A1&amp;""))),AND(Settings!$G$8=TRUE,Settings!$I$8="Brown",ISNUMBER(SEARCH(Settings!$E$8,A1&amp;""))),AND(Settings!$G$9=TRUE,Settings!$I$9="Brown",ISNUMBER(SEARCH(Settings!$E$9,A1&amp;""))),AND(Settings!$G$10=TRUE,Settings!$I$10="Brown",ISNUMBER(SEARCH(Settings!$E$10,A1&amp;""))))</ns4:f>
            <ns3:dxf>
              <font>
                <b/>
                <i val="0"/>
                <color rgb="FFD8A15B"/>
              </font>
            </ns3:dxf>
          </ns3:cfRule>
          <ns4:sqref>A1:AC734</ns4:sqref>
        </ns3:conditionalFormatting>
        <ns3:conditionalFormatting>
          <ns3:cfRule type="expression" priority="9" id="{D7499D3E-2AD8-430A-AFC9-2194B3C499E0}">
            <ns4:f>OR(AND(Settings!$G$3=TRUE,Settings!$I$3="Blue",ISNUMBER(SEARCH(Settings!$E$3,A1&amp;""))),AND(Settings!$G$4=TRUE,Settings!$I$4="Blue",ISNUMBER(SEARCH(Settings!$E$4,A1&amp;""))),AND(Settings!$G$5=TRUE,Settings!$I$5="Blue",ISNUMBER(SEARCH(Settings!$E$5,A1&amp;""))),AND(Settings!$G$6=TRUE,Settings!$I$6="Blue",ISNUMBER(SEARCH(Settings!$E$6,A1&amp;""))),AND(Settings!$G$7=TRUE,Settings!$I$7="Blue",ISNUMBER(SEARCH(Settings!$E$7,A1&amp;""))),AND(Settings!$G$8=TRUE,Settings!$I$8="Blue",ISNUMBER(SEARCH(Settings!$E$8,A1&amp;""))),AND(Settings!$G$9=TRUE,Settings!$I$9="Blue",ISNUMBER(SEARCH(Settings!$E$9,A1&amp;""))),AND(Settings!$G$10=TRUE,Settings!$I$10="Blue",ISNUMBER(SEARCH(Settings!$E$10,A1&amp;""))))</ns4:f>
            <ns3:dxf>
              <font>
                <b/>
                <i val="0"/>
                <color rgb="FF49B6FF"/>
              </font>
            </ns3:dxf>
          </ns3:cfRule>
          <ns4:sqref>A1:A734</ns4:sqref>
        </ns3:conditionalFormatting>
        <ns3:conditionalFormatting>
          <ns3:cfRule type="expression" priority="10" id="{671F1019-9BC8-4E00-A5D1-62C0DC6E97B4}">
            <ns4:f>OR(AND(Settings!$G$3=TRUE,Settings!$I$3="Orange",ISNUMBER(SEARCH(Settings!$E$3,A1&amp;""))),AND(Settings!$G$4=TRUE,Settings!$I$4="Orange",ISNUMBER(SEARCH(Settings!$E$4,A1&amp;""))),AND(Settings!$G$5=TRUE,Settings!$I$5="Orange",ISNUMBER(SEARCH(Settings!$E$5,A1&amp;""))),AND(Settings!$G$6=TRUE,Settings!$I$6="Orange",ISNUMBER(SEARCH(Settings!$E$6,A1&amp;""))),AND(Settings!$G$7=TRUE,Settings!$I$7="Orange",ISNUMBER(SEARCH(Settings!$E$7,A1&amp;""))),AND(Settings!$G$8=TRUE,Settings!$I$8="Orange",ISNUMBER(SEARCH(Settings!$E$8,A1&amp;""))),AND(Settings!$G$9=TRUE,Settings!$I$9="Orange",ISNUMBER(SEARCH(Settings!$E$9,A1&amp;""))),AND(Settings!$G$10=TRUE,Settings!$I$10="Orange",ISNUMBER(SEARCH(Settings!$E$10,A1&amp;""))))</ns4:f>
            <ns3:dxf>
              <font>
                <b/>
                <i val="0"/>
                <color rgb="FFFFB347"/>
              </font>
            </ns3:dxf>
          </ns3:cfRule>
          <ns4:sqref>A1:A734</ns4:sqref>
        </ns3:conditionalFormatting>
        <ns3:conditionalFormatting>
          <ns3:cfRule type="expression" priority="11" id="{8830F686-7A4C-4413-9878-8F8D008917C6}">
            <ns4:f>OR(AND(Settings!$G$3=TRUE,Settings!$I$3="Green",ISNUMBER(SEARCH(Settings!$E$3,A1&amp;""))),AND(Settings!$G$4=TRUE,Settings!$I$4="Green",ISNUMBER(SEARCH(Settings!$E$4,A1&amp;""))),AND(Settings!$G$5=TRUE,Settings!$I$5="Green",ISNUMBER(SEARCH(Settings!$E$5,A1&amp;""))),AND(Settings!$G$6=TRUE,Settings!$I$6="Green",ISNUMBER(SEARCH(Settings!$E$6,A1&amp;""))),AND(Settings!$G$7=TRUE,Settings!$I$7="Green",ISNUMBER(SEARCH(Settings!$E$7,A1&amp;""))),AND(Settings!$G$8=TRUE,Settings!$I$8="Green",ISNUMBER(SEARCH(Settings!$E$8,A1&amp;""))),AND(Settings!$G$9=TRUE,Settings!$I$9="Green",ISNUMBER(SEARCH(Settings!$E$9,A1&amp;""))),AND(Settings!$G$10=TRUE,Settings!$I$10="Green",ISNUMBER(SEARCH(Settings!$E$10,A1&amp;""))))</ns4:f>
            <ns3:dxf>
              <font>
                <b/>
                <i val="0"/>
                <color rgb="FF7ED957"/>
              </font>
            </ns3:dxf>
          </ns3:cfRule>
          <ns4:sqref>A1:A734</ns4:sqref>
        </ns3:conditionalFormatting>
        <ns3:conditionalFormatting>
          <ns3:cfRule type="expression" priority="12" id="{9A3BF7B2-CA11-498B-AD48-A85415C1FC34}">
            <ns4:f>OR(AND(Settings!$G$3=TRUE,Settings!$I$3="Red",ISNUMBER(SEARCH(Settings!$E$3,A1&amp;""))),AND(Settings!$G$4=TRUE,Settings!$I$4="Red",ISNUMBER(SEARCH(Settings!$E$4,A1&amp;""))),AND(Settings!$G$5=TRUE,Settings!$I$5="Red",ISNUMBER(SEARCH(Settings!$E$5,A1&amp;""))),AND(Settings!$G$6=TRUE,Settings!$I$6="Red",ISNUMBER(SEARCH(Settings!$E$6,A1&amp;""))),AND(Settings!$G$7=TRUE,Settings!$I$7="Red",ISNUMBER(SEARCH(Settings!$E$7,A1&amp;""))),AND(Settings!$G$8=TRUE,Settings!$I$8="Red",ISNUMBER(SEARCH(Settings!$E$8,A1&amp;""))),AND(Settings!$G$9=TRUE,Settings!$I$9="Red",ISNUMBER(SEARCH(Settings!$E$9,A1&amp;""))),AND(Settings!$G$10=TRUE,Settings!$I$10="Red",ISNUMBER(SEARCH(Settings!$E$10,A1&amp;""))))</ns4:f>
            <ns3:dxf>
              <font>
                <b/>
                <i val="0"/>
                <color rgb="FFFF5A5F"/>
              </font>
            </ns3:dxf>
          </ns3:cfRule>
          <ns4:sqref>A1:A734</ns4:sqref>
        </ns3:conditionalFormatting>
        <ns3:conditionalFormatting>
          <ns3:cfRule type="expression" priority="13" id="{BCF93EC7-B5A7-4DD6-8FF1-46EDB4695EA8}">
            <ns4:f>OR(AND(Settings!$G$3=TRUE,Settings!$I$3="Purple",ISNUMBER(SEARCH(Settings!$E$3,A1&amp;""))),AND(Settings!$G$4=TRUE,Settings!$I$4="Purple",ISNUMBER(SEARCH(Settings!$E$4,A1&amp;""))),AND(Settings!$G$5=TRUE,Settings!$I$5="Purple",ISNUMBER(SEARCH(Settings!$E$5,A1&amp;""))),AND(Settings!$G$6=TRUE,Settings!$I$6="Purple",ISNUMBER(SEARCH(Settings!$E$6,A1&amp;""))),AND(Settings!$G$7=TRUE,Settings!$I$7="Purple",ISNUMBER(SEARCH(Settings!$E$7,A1&amp;""))),AND(Settings!$G$8=TRUE,Settings!$I$8="Purple",ISNUMBER(SEARCH(Settings!$E$8,A1&amp;""))),AND(Settings!$G$9=TRUE,Settings!$I$9="Purple",ISNUMBER(SEARCH(Settings!$E$9,A1&amp;""))),AND(Settings!$G$10=TRUE,Settings!$I$10="Purple",ISNUMBER(SEARCH(Settings!$E$10,A1&amp;""))))</ns4:f>
            <ns3:dxf>
              <font>
                <b/>
                <i val="0"/>
                <color rgb="FFC77DFF"/>
              </font>
            </ns3:dxf>
          </ns3:cfRule>
          <ns4:sqref>A1:A734</ns4:sqref>
        </ns3:conditionalFormatting>
        <ns3:conditionalFormatting>
          <ns3:cfRule type="expression" priority="14" id="{40FFD15E-FA1D-4676-B4C0-9414213DF3FA}">
            <ns4:f>OR(AND(Settings!$G$3=TRUE,Settings!$I$3="Pink",ISNUMBER(SEARCH(Settings!$E$3,A1&amp;""))),AND(Settings!$G$4=TRUE,Settings!$I$4="Pink",ISNUMBER(SEARCH(Settings!$E$4,A1&amp;""))),AND(Settings!$G$5=TRUE,Settings!$I$5="Pink",ISNUMBER(SEARCH(Settings!$E$5,A1&amp;""))),AND(Settings!$G$6=TRUE,Settings!$I$6="Pink",ISNUMBER(SEARCH(Settings!$E$6,A1&amp;""))),AND(Settings!$G$7=TRUE,Settings!$I$7="Pink",ISNUMBER(SEARCH(Settings!$E$7,A1&amp;""))),AND(Settings!$G$8=TRUE,Settings!$I$8="Pink",ISNUMBER(SEARCH(Settings!$E$8,A1&amp;""))),AND(Settings!$G$9=TRUE,Settings!$I$9="Pink",ISNUMBER(SEARCH(Settings!$E$9,A1&amp;""))),AND(Settings!$G$10=TRUE,Settings!$I$10="Pink",ISNUMBER(SEARCH(Settings!$E$10,A1&amp;""))))</ns4:f>
            <ns3:dxf>
              <font>
                <b/>
                <i val="0"/>
                <color rgb="FFFF66C4"/>
              </font>
            </ns3:dxf>
          </ns3:cfRule>
          <ns4:sqref>A1:A734</ns4:sqref>
        </ns3:conditionalFormatting>
        <ns3:conditionalFormatting>
          <ns3:cfRule type="expression" priority="15" id="{F572C724-7188-4B69-9D52-A3DE88EAD788}">
            <ns4:f>OR(AND(Settings!$G$3=TRUE,Settings!$I$3="Gray",ISNUMBER(SEARCH(Settings!$E$3,A1&amp;""))),AND(Settings!$G$4=TRUE,Settings!$I$4="Gray",ISNUMBER(SEARCH(Settings!$E$4,A1&amp;""))),AND(Settings!$G$5=TRUE,Settings!$I$5="Gray",ISNUMBER(SEARCH(Settings!$E$5,A1&amp;""))),AND(Settings!$G$6=TRUE,Settings!$I$6="Gray",ISNUMBER(SEARCH(Settings!$E$6,A1&amp;""))),AND(Settings!$G$7=TRUE,Settings!$I$7="Gray",ISNUMBER(SEARCH(Settings!$E$7,A1&amp;""))),AND(Settings!$G$8=TRUE,Settings!$I$8="Gray",ISNUMBER(SEARCH(Settings!$E$8,A1&amp;""))),AND(Settings!$G$9=TRUE,Settings!$I$9="Gray",ISNUMBER(SEARCH(Settings!$E$9,A1&amp;""))),AND(Settings!$G$10=TRUE,Settings!$I$10="Gray",ISNUMBER(SEARCH(Settings!$E$10,A1&amp;""))))</ns4:f>
            <ns3:dxf>
              <font>
                <b/>
                <i val="0"/>
                <color rgb="FFB7B7B7"/>
              </font>
            </ns3:dxf>
          </ns3:cfRule>
          <ns4:sqref>A1:A734</ns4:sqref>
        </ns3:conditionalFormatting>
        <ns3:conditionalFormatting>
          <ns3:cfRule type="expression" priority="16" id="{3AAA6BAE-9FBE-425C-9584-696EC5ED850B}">
            <ns4:f>OR(AND(Settings!$G$3=TRUE,Settings!$I$3="Brown",ISNUMBER(SEARCH(Settings!$E$3,A1&amp;""))),AND(Settings!$G$4=TRUE,Settings!$I$4="Brown",ISNUMBER(SEARCH(Settings!$E$4,A1&amp;""))),AND(Settings!$G$5=TRUE,Settings!$I$5="Brown",ISNUMBER(SEARCH(Settings!$E$5,A1&amp;""))),AND(Settings!$G$6=TRUE,Settings!$I$6="Brown",ISNUMBER(SEARCH(Settings!$E$6,A1&amp;""))),AND(Settings!$G$7=TRUE,Settings!$I$7="Brown",ISNUMBER(SEARCH(Settings!$E$7,A1&amp;""))),AND(Settings!$G$8=TRUE,Settings!$I$8="Brown",ISNUMBER(SEARCH(Settings!$E$8,A1&amp;""))),AND(Settings!$G$9=TRUE,Settings!$I$9="Brown",ISNUMBER(SEARCH(Settings!$E$9,A1&amp;""))),AND(Settings!$G$10=TRUE,Settings!$I$10="Brown",ISNUMBER(SEARCH(Settings!$E$10,A1&amp;""))))</ns4:f>
            <ns3:dxf>
              <font>
                <b/>
                <i val="0"/>
                <color rgb="FFD8A15B"/>
              </font>
            </ns3:dxf>
          </ns3:cfRule>
          <ns4:sqref>A1:A734</ns4:sqref>
        </ns3:conditionalFormatting>
      </ns3:conditionalFormattings>
    </ext>
    <ext uri="{CCE6A557-97BC-4b89-ADB6-D9C93CAAB3DF}">
      <ns3:dataValidations count="34">
        <ns3:dataValidation type="list" allowBlank="1" ns2:uid="{00000000-0002-0000-0400-000000000000}">
          <ns3:formula1>
            <ns4:f>Data!$BJ$6:$BJ$14</ns4:f>
          </ns3:formula1>
          <ns4:sqref>B644:B656 B7:B19 B56:B68 B105:B117 B154:B166 B203:B215 B252:B264 B301:B313 B350:B362 B399:B411 B448:B460 B497:B509 B546:B558 B595:B607 B693:B705</ns4:sqref>
        </ns3:dataValidation>
        <ns3:dataValidation type="list" allowBlank="1" ns2:uid="{00000000-0002-0000-0400-000001000000}">
          <ns3:formula1>
            <ns4:f>Data!$BK$6:$BK$14</ns4:f>
          </ns3:formula1>
          <ns4:sqref>B664:B677 B27:B40 B76:B89 B125:B138 B174:B187 B223:B236 B272:B285 B321:B334 B370:B383 B419:B432 B468:B481 B517:B530 B566:B579 B615:B628 B713:B726</ns4:sqref>
        </ns3:dataValidation>
        <ns3:dataValidation type="list" allowBlank="1" showInputMessage="1" showErrorMessage="1" ns2:uid="{03E21759-8294-47AC-95E2-7B9C6C0A410A}">
          <ns3:formula1>
            <ns4:f>Lineups!$C$5:$C$13</ns4:f>
          </ns3:formula1>
          <ns4:sqref>B663 B75 B124 B173 B222 B271 B320 B369 B418 B467 B516 B565 B614 B20:B26 B712</ns4:sqref>
        </ns3:dataValidation>
        <ns3:dataValidation type="list" allowBlank="1" showInputMessage="1" showErrorMessage="1" ns2:uid="{D1A51F4A-B2B6-4C67-9E81-8953923B26F0}">
          <ns3:formula1>
            <ns4:f>Lineups!$H$5:$H$13</ns4:f>
          </ns3:formula1>
          <ns4:sqref>B684 B96 B145 B194 B243 B292 B341 B390 B439 B488 B537 B586 B635 B41:B47 B733</ns4:sqref>
        </ns3:dataValidation>
        <ns3:dataValidation type="list" allowBlank="1" showInputMessage="1" showErrorMessage="1" ns2:uid="{65B02B50-CDC7-43A6-805B-289346AB22F7}">
          <ns3:formula1>
            <ns4:f>Lists!$P$2:$P$19</ns4:f>
          </ns3:formula1>
          <ns4:sqref>C58:C66 K646:K654 C107:C115 K716:K724 K128:K136 C79:C87 K177:K185 K226:K234 K275:K283 K324:K332 K373:K381 K422:K430 K471:K479 K520:K528 K569:K577 K618:K626 E79:E87 C9:C17 K156:K164 K667:K675 K205:K213 K254:K262 K303:K311 K352:K360 K401:K409 K450:K458 K499:K507 K548:K556 K597:K605 E107:E115 G107:G115 I107:I115 K107:K115 G79:G87 I79:I87 K79:K87 K695:K703 E9:E17 G9:G17 I9:I17 K9:K17 E30:E38 G30:G38 I30:I38 K30:K38 E58:E66 G58:G66 I58:I66 K58:K66 C128:C136 E128:E136 G128:G136 I128:I136 C156:C164 E156:E164 G156:G164 I156:I164 C177:C185 E177:E185 G177:G185 I177:I185 C205:C213 E205:E213 G205:G213 I205:I213 C226:C234 E226:E234 G226:G234 I226:I234 C254:C262 E254:E262 G254:G262 I254:I262 C275:C283 E275:E283 G275:G283 I275:I283 C303:C311 E303:E311 G303:G311 I303:I311 C324:C332 E324:E332 G324:G332 I324:I332 C352:C360 E352:E360 G352:G360 I352:I360 C373:C381 E373:E381 G373:G381 I373:I381 C401:C409 E401:E409 G401:G409 I401:I409 C422:C430 E422:E430 G422:G430 I422:I430 C450:C458 E450:E458 G450:G458 I450:I458 C471:C479 E471:E479 G471:G479 I471:I479 C499:C507 E499:E507 G499:G507 I499:I507 C520:C528 E520:E528 G520:G528 I520:I528 C548:C556 E548:E556 G548:G556 I548:I556 C569:C577 E569:E577 G569:G577 I569:I577 C597:C605 E597:E605 G597:G605 I597:I605 C618:C626 E618:E626 G618:G626 I618:I626 C646:C654 E646:E654 G646:G654 I646:I654 C667:C675 E667:E675 G667:G675 I667:I675 C695:C703 E695:E703 G695:G703 I695:I703 C716:C724 E716:E724 G716:G724 I716:I724 C30:C38</ns4:sqref>
        </ns3:dataValidation>
        <ns3:dataValidation type="list" allowBlank="1" showInputMessage="1" showErrorMessage="1" ns2:uid="{759175D0-5218-4A54-863A-7FB0E7F41561}">
          <ns3:formula1>
            <ns4:f>Lineups!$C$19:$C$27</ns4:f>
          </ns3:formula1>
          <ns4:sqref>B69:B74</ns4:sqref>
        </ns3:dataValidation>
        <ns3:dataValidation type="list" allowBlank="1" showInputMessage="1" showErrorMessage="1" ns2:uid="{771B5CA9-BA4E-45CD-AF35-23DA8B84280D}">
          <ns3:formula1>
            <ns4:f>Lineups!$H$19:$H$27</ns4:f>
          </ns3:formula1>
          <ns4:sqref>B90:B95</ns4:sqref>
        </ns3:dataValidation>
        <ns3:dataValidation type="list" allowBlank="1" showInputMessage="1" showErrorMessage="1" ns2:uid="{F3CA97B4-F8F8-4973-B792-D35E53D41784}">
          <ns3:formula1>
            <ns4:f>Lineups!$C$33:$C$41</ns4:f>
          </ns3:formula1>
          <ns4:sqref>B118:B123</ns4:sqref>
        </ns3:dataValidation>
        <ns3:dataValidation type="list" allowBlank="1" showInputMessage="1" showErrorMessage="1" ns2:uid="{1AEF4012-8944-43A8-ABC1-A8E867E2ACFE}">
          <ns3:formula1>
            <ns4:f>Lineups!$H$33:$H$41</ns4:f>
          </ns3:formula1>
          <ns4:sqref>B139:B144</ns4:sqref>
        </ns3:dataValidation>
        <ns3:dataValidation type="list" allowBlank="1" showInputMessage="1" showErrorMessage="1" ns2:uid="{92FF7256-77D2-43A9-8208-EB80AFB5DABB}">
          <ns3:formula1>
            <ns4:f>Lineups!$C$47:$C$55</ns4:f>
          </ns3:formula1>
          <ns4:sqref>B167:B172</ns4:sqref>
        </ns3:dataValidation>
        <ns3:dataValidation type="list" allowBlank="1" showInputMessage="1" showErrorMessage="1" ns2:uid="{8C379DE6-2831-460F-827B-D3479C186288}">
          <ns3:formula1>
            <ns4:f>Lineups!$H$47:$H$55</ns4:f>
          </ns3:formula1>
          <ns4:sqref>B188:B193</ns4:sqref>
        </ns3:dataValidation>
        <ns3:dataValidation type="list" allowBlank="1" showInputMessage="1" showErrorMessage="1" ns2:uid="{1472AC90-5B68-4B7A-90EE-6809C18A1892}">
          <ns3:formula1>
            <ns4:f>Lineups!$C$61:$C$69</ns4:f>
          </ns3:formula1>
          <ns4:sqref>B216:B221</ns4:sqref>
        </ns3:dataValidation>
        <ns3:dataValidation type="list" allowBlank="1" showInputMessage="1" showErrorMessage="1" ns2:uid="{C8AA972C-5E0F-4ED2-812E-34CC17A80BFB}">
          <ns3:formula1>
            <ns4:f>Lineups!$H$61:$H$69</ns4:f>
          </ns3:formula1>
          <ns4:sqref>B237:B242</ns4:sqref>
        </ns3:dataValidation>
        <ns3:dataValidation type="list" allowBlank="1" showInputMessage="1" showErrorMessage="1" ns2:uid="{0FC848ED-8399-48C6-AA22-92AE9F006BEB}">
          <ns3:formula1>
            <ns4:f>Lineups!$C$75:$C$83</ns4:f>
          </ns3:formula1>
          <ns4:sqref>B265:B270</ns4:sqref>
        </ns3:dataValidation>
        <ns3:dataValidation type="list" allowBlank="1" showInputMessage="1" showErrorMessage="1" ns2:uid="{37845790-07ED-4482-B93C-45E51EC74A35}">
          <ns3:formula1>
            <ns4:f>Lineups!$H$75:$H$83</ns4:f>
          </ns3:formula1>
          <ns4:sqref>B286:B291</ns4:sqref>
        </ns3:dataValidation>
        <ns3:dataValidation type="list" allowBlank="1" showInputMessage="1" showErrorMessage="1" ns2:uid="{7FE26024-FEEF-4A61-93ED-67D723E4651A}">
          <ns3:formula1>
            <ns4:f>Lineups!$C$89:$C$97</ns4:f>
          </ns3:formula1>
          <ns4:sqref>B314:B319</ns4:sqref>
        </ns3:dataValidation>
        <ns3:dataValidation type="list" allowBlank="1" showInputMessage="1" showErrorMessage="1" ns2:uid="{43ACC43B-7A04-46B2-8EA8-B13F2093F331}">
          <ns3:formula1>
            <ns4:f>Lineups!$H$89:$H$97</ns4:f>
          </ns3:formula1>
          <ns4:sqref>B335:B340</ns4:sqref>
        </ns3:dataValidation>
        <ns3:dataValidation type="list" allowBlank="1" showInputMessage="1" showErrorMessage="1" ns2:uid="{0B8253F9-3D68-44F3-B40E-9B7EA57F8FDC}">
          <ns3:formula1>
            <ns4:f>Lineups!$C$103:$C$111</ns4:f>
          </ns3:formula1>
          <ns4:sqref>B363:B368</ns4:sqref>
        </ns3:dataValidation>
        <ns3:dataValidation type="list" allowBlank="1" showInputMessage="1" showErrorMessage="1" ns2:uid="{38DE2B03-8E9E-4074-8BB0-48A0370F29CC}">
          <ns3:formula1>
            <ns4:f>Lineups!$H$103:$H$111</ns4:f>
          </ns3:formula1>
          <ns4:sqref>B384:B389</ns4:sqref>
        </ns3:dataValidation>
        <ns3:dataValidation type="list" allowBlank="1" showInputMessage="1" showErrorMessage="1" ns2:uid="{14FD48A1-1373-4DB8-8332-14B2269E9D60}">
          <ns3:formula1>
            <ns4:f>Lineups!$C$117:$C$125</ns4:f>
          </ns3:formula1>
          <ns4:sqref>B412:B417</ns4:sqref>
        </ns3:dataValidation>
        <ns3:dataValidation type="list" allowBlank="1" showInputMessage="1" showErrorMessage="1" ns2:uid="{2EA8C9E0-518A-4E0D-87A4-B0BF7EC547D6}">
          <ns3:formula1>
            <ns4:f>Lineups!$H$117:$H$125</ns4:f>
          </ns3:formula1>
          <ns4:sqref>B433:B438</ns4:sqref>
        </ns3:dataValidation>
        <ns3:dataValidation type="list" allowBlank="1" showInputMessage="1" showErrorMessage="1" ns2:uid="{BEC4AE86-41A9-4889-9F33-ED6186C9104C}">
          <ns3:formula1>
            <ns4:f>Lineups!$C$131:$C$139</ns4:f>
          </ns3:formula1>
          <ns4:sqref>B461:B466</ns4:sqref>
        </ns3:dataValidation>
        <ns3:dataValidation type="list" allowBlank="1" showInputMessage="1" showErrorMessage="1" ns2:uid="{490ED7A1-6CCB-4C1A-B2D0-352955348117}">
          <ns3:formula1>
            <ns4:f>Lineups!$H$131:$H$139</ns4:f>
          </ns3:formula1>
          <ns4:sqref>B482:B487</ns4:sqref>
        </ns3:dataValidation>
        <ns3:dataValidation type="list" allowBlank="1" showInputMessage="1" showErrorMessage="1" ns2:uid="{D473758E-7BEE-43CE-B5DC-E5142364E01F}">
          <ns3:formula1>
            <ns4:f>Lineups!$C$145:$C$153</ns4:f>
          </ns3:formula1>
          <ns4:sqref>B510:B515</ns4:sqref>
        </ns3:dataValidation>
        <ns3:dataValidation type="list" allowBlank="1" showInputMessage="1" showErrorMessage="1" ns2:uid="{13D579C0-F201-4A2D-81A5-70DB82593DB3}">
          <ns3:formula1>
            <ns4:f>Lineups!$H$145:$H$153</ns4:f>
          </ns3:formula1>
          <ns4:sqref>B531:B536</ns4:sqref>
        </ns3:dataValidation>
        <ns3:dataValidation type="list" allowBlank="1" showInputMessage="1" showErrorMessage="1" ns2:uid="{439C4F25-44F8-410A-84A1-97DF72FEFF00}">
          <ns3:formula1>
            <ns4:f>Lineups!$C$159:$C$167</ns4:f>
          </ns3:formula1>
          <ns4:sqref>B559:B564</ns4:sqref>
        </ns3:dataValidation>
        <ns3:dataValidation type="list" allowBlank="1" showInputMessage="1" showErrorMessage="1" ns2:uid="{1F8CBEEA-F838-4835-8A68-080A08CD68CB}">
          <ns3:formula1>
            <ns4:f>Lineups!$H$159:$H$167</ns4:f>
          </ns3:formula1>
          <ns4:sqref>B580:B585</ns4:sqref>
        </ns3:dataValidation>
        <ns3:dataValidation type="list" allowBlank="1" showInputMessage="1" showErrorMessage="1" ns2:uid="{E5C232FA-CA18-4578-AF6E-012801D24D84}">
          <ns3:formula1>
            <ns4:f>Lineups!$C$173:$C$181</ns4:f>
          </ns3:formula1>
          <ns4:sqref>B608:B613</ns4:sqref>
        </ns3:dataValidation>
        <ns3:dataValidation type="list" allowBlank="1" showInputMessage="1" showErrorMessage="1" ns2:uid="{218B4869-C1C3-4FF8-905B-052A70039D96}">
          <ns3:formula1>
            <ns4:f>Lineups!$H$173:$H$181</ns4:f>
          </ns3:formula1>
          <ns4:sqref>B629:B634</ns4:sqref>
        </ns3:dataValidation>
        <ns3:dataValidation type="list" allowBlank="1" showInputMessage="1" showErrorMessage="1" ns2:uid="{A6EC5A57-A33A-4C94-928D-87025F359983}">
          <ns3:formula1>
            <ns4:f>Lineups!$C$187:$C$195</ns4:f>
          </ns3:formula1>
          <ns4:sqref>B657:B662</ns4:sqref>
        </ns3:dataValidation>
        <ns3:dataValidation type="list" allowBlank="1" showInputMessage="1" showErrorMessage="1" ns2:uid="{45277EF0-43BD-4CBA-AB69-A7B29E1A97F4}">
          <ns3:formula1>
            <ns4:f>Lineups!$H$187:$H$195</ns4:f>
          </ns3:formula1>
          <ns4:sqref>B678:B683</ns4:sqref>
        </ns3:dataValidation>
        <ns3:dataValidation type="list" allowBlank="1" showInputMessage="1" showErrorMessage="1" ns2:uid="{8E2A2827-6DC9-4DE1-A74E-4165BA8729DD}">
          <ns3:formula1>
            <ns4:f>Lineups!$C$201:$C$209</ns4:f>
          </ns3:formula1>
          <ns4:sqref>B706:B711</ns4:sqref>
        </ns3:dataValidation>
        <ns3:dataValidation type="list" allowBlank="1" showInputMessage="1" showErrorMessage="1" ns2:uid="{43EE0F65-7DF8-4494-A5EF-0C54529C60C4}">
          <ns3:formula1>
            <ns4:f>Lineups!$H$201:$H$209</ns4:f>
          </ns3:formula1>
          <ns4:sqref>B727:B732</ns4:sqref>
        </ns3:dataValidation>
        <ns3:dataValidation type="list" allowBlank="1" showInputMessage="1" showErrorMessage="1" ns2:uid="{C874A555-FC8D-4669-A92F-24C34FFE2E20}">
          <ns3:formula1>
            <ns4:f>Lists!$AC$2:$AC$9</ns4:f>
          </ns3:formula1>
          <ns4:sqref>D107:D115 F107:F115 H107:H115 J107:J115 L107:L115 D79:D87 F79:F87 H79:H87 J79:J87 L79:L87 D9:D17 F9:F17 H9:H17 J9:J17 L9:L17 D30:D38 F30:F38 H30:H38 J30:J38 L30:L38 D58:D66 F58:F66 H58:H66 J58:J66 L58:L66 D128:D136 F128:F136 H128:H136 J128:J136 L128:L136 D156:D164 F156:F164 H156:H164 J156:J164 L156:L164 D177:D185 F177:F185 H177:H185 J177:J185 L177:L185 D205:D213 F205:F213 H205:H213 J205:J213 L205:L213 D226:D234 F226:F234 H226:H234 J226:J234 L226:L234 D254:D262 F254:F262 H254:H262 J254:J262 L254:L262 D275:D283 F275:F283 H275:H283 J275:J283 L275:L283 D303:D311 F303:F311 H303:H311 J303:J311 L303:L311 D324:D332 F324:F332 H324:H332 J324:J332 L324:L332 D352:D360 F352:F360 H352:H360 J352:J360 L352:L360 D373:D381 F373:F381 H373:H381 J373:J381 L373:L381 D401:D409 F401:F409 H401:H409 J401:J409 L401:L409 D422:D430 F422:F430 H422:H430 J422:J430 L422:L430 D450:D458 F450:F458 H450:H458 J450:J458 L450:L458 D471:D479 F471:F479 H471:H479 J471:J479 L471:L479 D499:D507 F499:F507 H499:H507 J499:J507 L499:L507 D520:D528 F520:F528 H520:H528 J520:J528 L520:L528 D548:D556 F548:F556 H548:H556 J548:J556 L548:L556 D569:D577 F569:F577 H569:H577 J569:J577 L569:L577 D597:D605 F597:F605 H597:H605 J597:J605 L597:L605 D618:D626 F618:F626 H618:H626 J618:J626 L618:L626 D646:D654 F646:F654 H646:H654 J646:J654 L646:L654 D667:D675 F667:F675 H667:H675 J667:J675 L667:L675 D695:D703 F695:F703 H695:H703 J695:J703 L695:L703 D716:D724 F716:F724 H716:H724 J716:J724 L716:L724</ns4:sqref>
        </ns3:dataValidation>
      </ns3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5"/>
  <sheetViews>
    <sheetView showGridLines="0" workbookViewId="0">
      <selection activeCell="C6" sqref="C6"/>
    </sheetView>
  </sheetViews>
  <sheetFormatPr defaultRowHeight="15"/>
  <cols>
    <col min="1" max="1" width="16" customWidth="1"/>
    <col min="2" max="2" width="10" customWidth="1"/>
    <col min="3" max="3" width="18" customWidth="1"/>
    <col min="4" max="4" width="12" customWidth="1"/>
    <col min="5" max="5" width="10" customWidth="1"/>
    <col min="6" max="6" width="12" customWidth="1"/>
    <col min="7" max="7" width="10" customWidth="1"/>
    <col min="8" max="8" width="18" customWidth="1"/>
    <col min="9" max="9" width="20" customWidth="1"/>
  </cols>
  <sheetData>
    <row r="1" spans="1:9">
      <c r="A1" s="214" t="s">
        <v>221</v>
      </c>
      <c r="B1" s="215"/>
      <c r="C1" s="215"/>
      <c r="D1" s="215"/>
      <c r="E1" s="215"/>
      <c r="F1" s="215"/>
      <c r="G1" s="215"/>
      <c r="H1" s="215"/>
      <c r="I1" s="216"/>
    </row>
    <row r="3" spans="1:9">
      <c r="A3" s="18" t="s">
        <v>33</v>
      </c>
      <c r="B3" s="6">
        <f>Settings!$B$2</f>
        <v>1</v>
      </c>
      <c r="C3" s="18"/>
      <c r="D3" s="18"/>
      <c r="E3" s="18"/>
      <c r="F3" s="18"/>
      <c r="G3" s="18"/>
      <c r="H3" s="18"/>
      <c r="I3" s="18"/>
    </row>
    <row r="5" spans="1:9">
      <c r="A5" s="3" t="s">
        <v>222</v>
      </c>
      <c r="B5" s="3" t="s">
        <v>95</v>
      </c>
      <c r="C5" s="3" t="s">
        <v>223</v>
      </c>
      <c r="D5" s="3" t="s">
        <v>224</v>
      </c>
      <c r="E5" s="3" t="s">
        <v>225</v>
      </c>
      <c r="F5" s="3" t="s">
        <v>226</v>
      </c>
      <c r="G5" s="3" t="s">
        <v>227</v>
      </c>
      <c r="H5" s="3" t="s">
        <v>228</v>
      </c>
      <c r="I5" s="3" t="s">
        <v>22</v>
      </c>
    </row>
    <row r="6" spans="1:9">
      <c r="A6" s="2"/>
      <c r="B6" s="2"/>
      <c r="C6" s="2"/>
      <c r="D6" s="2"/>
      <c r="E6" s="2"/>
      <c r="F6" s="2"/>
      <c r="G6" s="2"/>
      <c r="H6" s="2"/>
      <c r="I6" s="7"/>
    </row>
    <row r="7" spans="1:9">
      <c r="A7" s="2"/>
      <c r="B7" s="2"/>
      <c r="C7" s="2"/>
      <c r="D7" s="2"/>
      <c r="E7" s="2"/>
      <c r="F7" s="2"/>
      <c r="G7" s="2"/>
      <c r="H7" s="2"/>
      <c r="I7" s="7"/>
    </row>
    <row r="8" spans="1:9">
      <c r="A8" s="2"/>
      <c r="B8" s="2"/>
      <c r="C8" s="2"/>
      <c r="D8" s="2"/>
      <c r="E8" s="2"/>
      <c r="F8" s="2"/>
      <c r="G8" s="2"/>
      <c r="H8" s="2"/>
      <c r="I8" s="7"/>
    </row>
    <row r="9" spans="1:9">
      <c r="A9" s="2"/>
      <c r="B9" s="2"/>
      <c r="C9" s="2"/>
      <c r="D9" s="2"/>
      <c r="E9" s="2"/>
      <c r="F9" s="2"/>
      <c r="G9" s="2"/>
      <c r="H9" s="2"/>
      <c r="I9" s="7"/>
    </row>
    <row r="10" spans="1:9">
      <c r="A10" s="2"/>
      <c r="B10" s="2"/>
      <c r="C10" s="2"/>
      <c r="D10" s="2"/>
      <c r="E10" s="2"/>
      <c r="F10" s="2"/>
      <c r="G10" s="2"/>
      <c r="H10" s="2"/>
      <c r="I10" s="7"/>
    </row>
    <row r="11" spans="1:9">
      <c r="A11" s="2"/>
      <c r="B11" s="2"/>
      <c r="C11" s="2"/>
      <c r="D11" s="2"/>
      <c r="E11" s="2"/>
      <c r="F11" s="2"/>
      <c r="G11" s="2"/>
      <c r="H11" s="2"/>
      <c r="I11" s="7"/>
    </row>
    <row r="12" spans="1:9">
      <c r="A12" s="2"/>
      <c r="B12" s="2"/>
      <c r="C12" s="2"/>
      <c r="D12" s="2"/>
      <c r="E12" s="2"/>
      <c r="F12" s="2"/>
      <c r="G12" s="2"/>
      <c r="H12" s="2"/>
      <c r="I12" s="7"/>
    </row>
    <row r="13" spans="1:9">
      <c r="A13" s="2"/>
      <c r="B13" s="2"/>
      <c r="C13" s="2"/>
      <c r="D13" s="2"/>
      <c r="E13" s="2"/>
      <c r="F13" s="2"/>
      <c r="G13" s="2"/>
      <c r="H13" s="2"/>
      <c r="I13" s="7"/>
    </row>
    <row r="14" spans="1:9">
      <c r="A14" s="2"/>
      <c r="B14" s="2"/>
      <c r="C14" s="2"/>
      <c r="D14" s="2"/>
      <c r="E14" s="2"/>
      <c r="F14" s="2"/>
      <c r="G14" s="2"/>
      <c r="H14" s="2"/>
      <c r="I14" s="7"/>
    </row>
    <row r="15" spans="1:9">
      <c r="A15" s="2"/>
      <c r="B15" s="2"/>
      <c r="C15" s="2"/>
      <c r="D15" s="2"/>
      <c r="E15" s="2"/>
      <c r="F15" s="2"/>
      <c r="G15" s="2"/>
      <c r="H15" s="2"/>
      <c r="I15" s="7"/>
    </row>
    <row r="16" spans="1:9">
      <c r="A16" s="2"/>
      <c r="B16" s="2"/>
      <c r="C16" s="2"/>
      <c r="D16" s="2"/>
      <c r="E16" s="2"/>
      <c r="F16" s="2"/>
      <c r="G16" s="2"/>
      <c r="H16" s="2"/>
      <c r="I16" s="7"/>
    </row>
    <row r="17" spans="1:9">
      <c r="A17" s="2"/>
      <c r="B17" s="2"/>
      <c r="C17" s="2"/>
      <c r="D17" s="2"/>
      <c r="E17" s="2"/>
      <c r="F17" s="2"/>
      <c r="G17" s="2"/>
      <c r="H17" s="2"/>
      <c r="I17" s="7"/>
    </row>
    <row r="18" spans="1:9">
      <c r="A18" s="2"/>
      <c r="B18" s="2"/>
      <c r="C18" s="2"/>
      <c r="D18" s="2"/>
      <c r="E18" s="2"/>
      <c r="F18" s="2"/>
      <c r="G18" s="2"/>
      <c r="H18" s="2"/>
      <c r="I18" s="7"/>
    </row>
    <row r="19" spans="1:9">
      <c r="A19" s="2"/>
      <c r="B19" s="2"/>
      <c r="C19" s="2"/>
      <c r="D19" s="2"/>
      <c r="E19" s="2"/>
      <c r="F19" s="2"/>
      <c r="G19" s="2"/>
      <c r="H19" s="2"/>
      <c r="I19" s="7"/>
    </row>
    <row r="20" spans="1:9">
      <c r="A20" s="2"/>
      <c r="B20" s="2"/>
      <c r="C20" s="2"/>
      <c r="D20" s="2"/>
      <c r="E20" s="2"/>
      <c r="F20" s="2"/>
      <c r="G20" s="2"/>
      <c r="H20" s="2"/>
      <c r="I20" s="7"/>
    </row>
    <row r="21" spans="1:9">
      <c r="A21" s="2"/>
      <c r="B21" s="2"/>
      <c r="C21" s="2"/>
      <c r="D21" s="2"/>
      <c r="E21" s="2"/>
      <c r="F21" s="2"/>
      <c r="G21" s="2"/>
      <c r="H21" s="2"/>
      <c r="I21" s="7"/>
    </row>
    <row r="22" spans="1:9">
      <c r="A22" s="2"/>
      <c r="B22" s="2"/>
      <c r="C22" s="2"/>
      <c r="D22" s="2"/>
      <c r="E22" s="2"/>
      <c r="F22" s="2"/>
      <c r="G22" s="2"/>
      <c r="H22" s="2"/>
      <c r="I22" s="7"/>
    </row>
    <row r="23" spans="1:9">
      <c r="A23" s="2"/>
      <c r="B23" s="2"/>
      <c r="C23" s="2"/>
      <c r="D23" s="2"/>
      <c r="E23" s="2"/>
      <c r="F23" s="2"/>
      <c r="G23" s="2"/>
      <c r="H23" s="2"/>
      <c r="I23" s="7"/>
    </row>
    <row r="24" spans="1:9">
      <c r="A24" s="2"/>
      <c r="B24" s="2"/>
      <c r="C24" s="2"/>
      <c r="D24" s="2"/>
      <c r="E24" s="2"/>
      <c r="F24" s="2"/>
      <c r="G24" s="2"/>
      <c r="H24" s="2"/>
      <c r="I24" s="7"/>
    </row>
    <row r="25" spans="1:9">
      <c r="A25" s="2"/>
      <c r="B25" s="2"/>
      <c r="C25" s="2"/>
      <c r="D25" s="2"/>
      <c r="E25" s="2"/>
      <c r="F25" s="2"/>
      <c r="G25" s="2"/>
      <c r="H25" s="2"/>
      <c r="I25" s="7"/>
    </row>
    <row r="26" spans="1:9">
      <c r="A26" s="2"/>
      <c r="B26" s="2"/>
      <c r="C26" s="2"/>
      <c r="D26" s="2"/>
      <c r="E26" s="2"/>
      <c r="F26" s="2"/>
      <c r="G26" s="2"/>
      <c r="H26" s="2"/>
      <c r="I26" s="7"/>
    </row>
    <row r="27" spans="1:9">
      <c r="A27" s="2"/>
      <c r="B27" s="2"/>
      <c r="C27" s="2"/>
      <c r="D27" s="2"/>
      <c r="E27" s="2"/>
      <c r="F27" s="2"/>
      <c r="G27" s="2"/>
      <c r="H27" s="2"/>
      <c r="I27" s="7"/>
    </row>
    <row r="28" spans="1:9">
      <c r="A28" s="2"/>
      <c r="B28" s="2"/>
      <c r="C28" s="2"/>
      <c r="D28" s="2"/>
      <c r="E28" s="2"/>
      <c r="F28" s="2"/>
      <c r="G28" s="2"/>
      <c r="H28" s="2"/>
      <c r="I28" s="7"/>
    </row>
    <row r="29" spans="1:9">
      <c r="A29" s="2"/>
      <c r="B29" s="2"/>
      <c r="C29" s="2"/>
      <c r="D29" s="2"/>
      <c r="E29" s="2"/>
      <c r="F29" s="2"/>
      <c r="G29" s="2"/>
      <c r="H29" s="2"/>
      <c r="I29" s="7"/>
    </row>
    <row r="30" spans="1:9">
      <c r="A30" s="2"/>
      <c r="B30" s="2"/>
      <c r="C30" s="2"/>
      <c r="D30" s="2"/>
      <c r="E30" s="2"/>
      <c r="F30" s="2"/>
      <c r="G30" s="2"/>
      <c r="H30" s="2"/>
      <c r="I30" s="7"/>
    </row>
    <row r="31" spans="1:9">
      <c r="A31" s="2"/>
      <c r="B31" s="2"/>
      <c r="C31" s="2"/>
      <c r="D31" s="2"/>
      <c r="E31" s="2"/>
      <c r="F31" s="2"/>
      <c r="G31" s="2"/>
      <c r="H31" s="2"/>
      <c r="I31" s="7"/>
    </row>
    <row r="32" spans="1:9">
      <c r="A32" s="2"/>
      <c r="B32" s="2"/>
      <c r="C32" s="2"/>
      <c r="D32" s="2"/>
      <c r="E32" s="2"/>
      <c r="F32" s="2"/>
      <c r="G32" s="2"/>
      <c r="H32" s="2"/>
      <c r="I32" s="7"/>
    </row>
    <row r="33" spans="1:9">
      <c r="A33" s="2"/>
      <c r="B33" s="2"/>
      <c r="C33" s="2"/>
      <c r="D33" s="2"/>
      <c r="E33" s="2"/>
      <c r="F33" s="2"/>
      <c r="G33" s="2"/>
      <c r="H33" s="2"/>
      <c r="I33" s="7"/>
    </row>
    <row r="34" spans="1:9">
      <c r="A34" s="2"/>
      <c r="B34" s="2"/>
      <c r="C34" s="2"/>
      <c r="D34" s="2"/>
      <c r="E34" s="2"/>
      <c r="F34" s="2"/>
      <c r="G34" s="2"/>
      <c r="H34" s="2"/>
      <c r="I34" s="7"/>
    </row>
    <row r="35" spans="1:9">
      <c r="A35" s="2"/>
      <c r="B35" s="2"/>
      <c r="C35" s="2"/>
      <c r="D35" s="2"/>
      <c r="E35" s="2"/>
      <c r="F35" s="2"/>
      <c r="G35" s="2"/>
      <c r="H35" s="2"/>
      <c r="I35" s="7"/>
    </row>
    <row r="36" spans="1:9">
      <c r="A36" s="2"/>
      <c r="B36" s="2"/>
      <c r="C36" s="2"/>
      <c r="D36" s="2"/>
      <c r="E36" s="2"/>
      <c r="F36" s="2"/>
      <c r="G36" s="2"/>
      <c r="H36" s="2"/>
      <c r="I36" s="7"/>
    </row>
    <row r="37" spans="1:9">
      <c r="A37" s="2"/>
      <c r="B37" s="2"/>
      <c r="C37" s="2"/>
      <c r="D37" s="2"/>
      <c r="E37" s="2"/>
      <c r="F37" s="2"/>
      <c r="G37" s="2"/>
      <c r="H37" s="2"/>
      <c r="I37" s="7"/>
    </row>
    <row r="38" spans="1:9">
      <c r="A38" s="2"/>
      <c r="B38" s="2"/>
      <c r="C38" s="2"/>
      <c r="D38" s="2"/>
      <c r="E38" s="2"/>
      <c r="F38" s="2"/>
      <c r="G38" s="2"/>
      <c r="H38" s="2"/>
      <c r="I38" s="7"/>
    </row>
    <row r="39" spans="1:9">
      <c r="A39" s="2"/>
      <c r="B39" s="2"/>
      <c r="C39" s="2"/>
      <c r="D39" s="2"/>
      <c r="E39" s="2"/>
      <c r="F39" s="2"/>
      <c r="G39" s="2"/>
      <c r="H39" s="2"/>
      <c r="I39" s="7"/>
    </row>
    <row r="40" spans="1:9">
      <c r="A40" s="2"/>
      <c r="B40" s="2"/>
      <c r="C40" s="2"/>
      <c r="D40" s="2"/>
      <c r="E40" s="2"/>
      <c r="F40" s="2"/>
      <c r="G40" s="2"/>
      <c r="H40" s="2"/>
      <c r="I40" s="7"/>
    </row>
    <row r="41" spans="1:9">
      <c r="A41" s="2"/>
      <c r="B41" s="2"/>
      <c r="C41" s="2"/>
      <c r="D41" s="2"/>
      <c r="E41" s="2"/>
      <c r="F41" s="2"/>
      <c r="G41" s="2"/>
      <c r="H41" s="2"/>
      <c r="I41" s="7"/>
    </row>
    <row r="42" spans="1:9">
      <c r="A42" s="2"/>
      <c r="B42" s="2"/>
      <c r="C42" s="2"/>
      <c r="D42" s="2"/>
      <c r="E42" s="2"/>
      <c r="F42" s="2"/>
      <c r="G42" s="2"/>
      <c r="H42" s="2"/>
      <c r="I42" s="7"/>
    </row>
    <row r="43" spans="1:9">
      <c r="A43" s="2"/>
      <c r="B43" s="2"/>
      <c r="C43" s="2"/>
      <c r="D43" s="2"/>
      <c r="E43" s="2"/>
      <c r="F43" s="2"/>
      <c r="G43" s="2"/>
      <c r="H43" s="2"/>
      <c r="I43" s="7"/>
    </row>
    <row r="44" spans="1:9">
      <c r="A44" s="2"/>
      <c r="B44" s="2"/>
      <c r="C44" s="2"/>
      <c r="D44" s="2"/>
      <c r="E44" s="2"/>
      <c r="F44" s="2"/>
      <c r="G44" s="2"/>
      <c r="H44" s="2"/>
      <c r="I44" s="7"/>
    </row>
    <row r="45" spans="1:9">
      <c r="A45" s="2"/>
      <c r="B45" s="2"/>
      <c r="C45" s="2"/>
      <c r="D45" s="2"/>
      <c r="E45" s="2"/>
      <c r="F45" s="2"/>
      <c r="G45" s="2"/>
      <c r="H45" s="2"/>
      <c r="I45" s="7"/>
    </row>
    <row r="46" spans="1:9">
      <c r="A46" s="2"/>
      <c r="B46" s="2"/>
      <c r="C46" s="2"/>
      <c r="D46" s="2"/>
      <c r="E46" s="2"/>
      <c r="F46" s="2"/>
      <c r="G46" s="2"/>
      <c r="H46" s="2"/>
      <c r="I46" s="7"/>
    </row>
    <row r="47" spans="1:9">
      <c r="A47" s="2"/>
      <c r="B47" s="2"/>
      <c r="C47" s="2"/>
      <c r="D47" s="2"/>
      <c r="E47" s="2"/>
      <c r="F47" s="2"/>
      <c r="G47" s="2"/>
      <c r="H47" s="2"/>
      <c r="I47" s="7"/>
    </row>
    <row r="48" spans="1:9">
      <c r="A48" s="2"/>
      <c r="B48" s="2"/>
      <c r="C48" s="2"/>
      <c r="D48" s="2"/>
      <c r="E48" s="2"/>
      <c r="F48" s="2"/>
      <c r="G48" s="2"/>
      <c r="H48" s="2"/>
      <c r="I48" s="7"/>
    </row>
    <row r="49" spans="1:9">
      <c r="A49" s="2"/>
      <c r="B49" s="2"/>
      <c r="C49" s="2"/>
      <c r="D49" s="2"/>
      <c r="E49" s="2"/>
      <c r="F49" s="2"/>
      <c r="G49" s="2"/>
      <c r="H49" s="2"/>
      <c r="I49" s="7"/>
    </row>
    <row r="50" spans="1:9">
      <c r="A50" s="2"/>
      <c r="B50" s="2"/>
      <c r="C50" s="2"/>
      <c r="D50" s="2"/>
      <c r="E50" s="2"/>
      <c r="F50" s="2"/>
      <c r="G50" s="2"/>
      <c r="H50" s="2"/>
      <c r="I50" s="7"/>
    </row>
    <row r="51" spans="1:9">
      <c r="A51" s="2"/>
      <c r="B51" s="2"/>
      <c r="C51" s="2"/>
      <c r="D51" s="2"/>
      <c r="E51" s="2"/>
      <c r="F51" s="2"/>
      <c r="G51" s="2"/>
      <c r="H51" s="2"/>
      <c r="I51" s="7"/>
    </row>
    <row r="52" spans="1:9">
      <c r="A52" s="2"/>
      <c r="B52" s="2"/>
      <c r="C52" s="2"/>
      <c r="D52" s="2"/>
      <c r="E52" s="2"/>
      <c r="F52" s="2"/>
      <c r="G52" s="2"/>
      <c r="H52" s="2"/>
      <c r="I52" s="7"/>
    </row>
    <row r="53" spans="1:9">
      <c r="A53" s="2"/>
      <c r="B53" s="2"/>
      <c r="C53" s="2"/>
      <c r="D53" s="2"/>
      <c r="E53" s="2"/>
      <c r="F53" s="2"/>
      <c r="G53" s="2"/>
      <c r="H53" s="2"/>
      <c r="I53" s="7"/>
    </row>
    <row r="54" spans="1:9">
      <c r="A54" s="2"/>
      <c r="B54" s="2"/>
      <c r="C54" s="2"/>
      <c r="D54" s="2"/>
      <c r="E54" s="2"/>
      <c r="F54" s="2"/>
      <c r="G54" s="2"/>
      <c r="H54" s="2"/>
      <c r="I54" s="7"/>
    </row>
    <row r="55" spans="1:9">
      <c r="A55" s="2"/>
      <c r="B55" s="2"/>
      <c r="C55" s="2"/>
      <c r="D55" s="2"/>
      <c r="E55" s="2"/>
      <c r="F55" s="2"/>
      <c r="G55" s="2"/>
      <c r="H55" s="2"/>
      <c r="I55" s="7"/>
    </row>
    <row r="56" spans="1:9">
      <c r="A56" s="2"/>
      <c r="B56" s="2"/>
      <c r="C56" s="2"/>
      <c r="D56" s="2"/>
      <c r="E56" s="2"/>
      <c r="F56" s="2"/>
      <c r="G56" s="2"/>
      <c r="H56" s="2"/>
      <c r="I56" s="7"/>
    </row>
    <row r="57" spans="1:9">
      <c r="A57" s="2"/>
      <c r="B57" s="2"/>
      <c r="C57" s="2"/>
      <c r="D57" s="2"/>
      <c r="E57" s="2"/>
      <c r="F57" s="2"/>
      <c r="G57" s="2"/>
      <c r="H57" s="2"/>
      <c r="I57" s="7"/>
    </row>
    <row r="58" spans="1:9">
      <c r="A58" s="2"/>
      <c r="B58" s="2"/>
      <c r="C58" s="2"/>
      <c r="D58" s="2"/>
      <c r="E58" s="2"/>
      <c r="F58" s="2"/>
      <c r="G58" s="2"/>
      <c r="H58" s="2"/>
      <c r="I58" s="7"/>
    </row>
    <row r="59" spans="1:9">
      <c r="A59" s="2"/>
      <c r="B59" s="2"/>
      <c r="C59" s="2"/>
      <c r="D59" s="2"/>
      <c r="E59" s="2"/>
      <c r="F59" s="2"/>
      <c r="G59" s="2"/>
      <c r="H59" s="2"/>
      <c r="I59" s="7"/>
    </row>
    <row r="60" spans="1:9">
      <c r="A60" s="2"/>
      <c r="B60" s="2"/>
      <c r="C60" s="2"/>
      <c r="D60" s="2"/>
      <c r="E60" s="2"/>
      <c r="F60" s="2"/>
      <c r="G60" s="2"/>
      <c r="H60" s="2"/>
      <c r="I60" s="7"/>
    </row>
    <row r="61" spans="1:9">
      <c r="A61" s="2"/>
      <c r="B61" s="2"/>
      <c r="C61" s="2"/>
      <c r="D61" s="2"/>
      <c r="E61" s="2"/>
      <c r="F61" s="2"/>
      <c r="G61" s="2"/>
      <c r="H61" s="2"/>
      <c r="I61" s="7"/>
    </row>
    <row r="62" spans="1:9">
      <c r="A62" s="2"/>
      <c r="B62" s="2"/>
      <c r="C62" s="2"/>
      <c r="D62" s="2"/>
      <c r="E62" s="2"/>
      <c r="F62" s="2"/>
      <c r="G62" s="2"/>
      <c r="H62" s="2"/>
      <c r="I62" s="7"/>
    </row>
    <row r="63" spans="1:9">
      <c r="A63" s="2"/>
      <c r="B63" s="2"/>
      <c r="C63" s="2"/>
      <c r="D63" s="2"/>
      <c r="E63" s="2"/>
      <c r="F63" s="2"/>
      <c r="G63" s="2"/>
      <c r="H63" s="2"/>
      <c r="I63" s="7"/>
    </row>
    <row r="64" spans="1:9">
      <c r="A64" s="2"/>
      <c r="B64" s="2"/>
      <c r="C64" s="2"/>
      <c r="D64" s="2"/>
      <c r="E64" s="2"/>
      <c r="F64" s="2"/>
      <c r="G64" s="2"/>
      <c r="H64" s="2"/>
      <c r="I64" s="7"/>
    </row>
    <row r="65" spans="1:9">
      <c r="A65" s="2"/>
      <c r="B65" s="2"/>
      <c r="C65" s="2"/>
      <c r="D65" s="2"/>
      <c r="E65" s="2"/>
      <c r="F65" s="2"/>
      <c r="G65" s="2"/>
      <c r="H65" s="2"/>
      <c r="I65" s="7"/>
    </row>
    <row r="66" spans="1:9">
      <c r="A66" s="2"/>
      <c r="B66" s="2"/>
      <c r="C66" s="2"/>
      <c r="D66" s="2"/>
      <c r="E66" s="2"/>
      <c r="F66" s="2"/>
      <c r="G66" s="2"/>
      <c r="H66" s="2"/>
      <c r="I66" s="7"/>
    </row>
    <row r="67" spans="1:9">
      <c r="A67" s="2"/>
      <c r="B67" s="2"/>
      <c r="C67" s="2"/>
      <c r="D67" s="2"/>
      <c r="E67" s="2"/>
      <c r="F67" s="2"/>
      <c r="G67" s="2"/>
      <c r="H67" s="2"/>
      <c r="I67" s="7"/>
    </row>
    <row r="68" spans="1:9">
      <c r="A68" s="2"/>
      <c r="B68" s="2"/>
      <c r="C68" s="2"/>
      <c r="D68" s="2"/>
      <c r="E68" s="2"/>
      <c r="F68" s="2"/>
      <c r="G68" s="2"/>
      <c r="H68" s="2"/>
      <c r="I68" s="7"/>
    </row>
    <row r="69" spans="1:9">
      <c r="A69" s="2"/>
      <c r="B69" s="2"/>
      <c r="C69" s="2"/>
      <c r="D69" s="2"/>
      <c r="E69" s="2"/>
      <c r="F69" s="2"/>
      <c r="G69" s="2"/>
      <c r="H69" s="2"/>
      <c r="I69" s="7"/>
    </row>
    <row r="70" spans="1:9">
      <c r="A70" s="2"/>
      <c r="B70" s="2"/>
      <c r="C70" s="2"/>
      <c r="D70" s="2"/>
      <c r="E70" s="2"/>
      <c r="F70" s="2"/>
      <c r="G70" s="2"/>
      <c r="H70" s="2"/>
      <c r="I70" s="7"/>
    </row>
    <row r="71" spans="1:9">
      <c r="A71" s="2"/>
      <c r="B71" s="2"/>
      <c r="C71" s="2"/>
      <c r="D71" s="2"/>
      <c r="E71" s="2"/>
      <c r="F71" s="2"/>
      <c r="G71" s="2"/>
      <c r="H71" s="2"/>
      <c r="I71" s="7"/>
    </row>
    <row r="72" spans="1:9">
      <c r="A72" s="2"/>
      <c r="B72" s="2"/>
      <c r="C72" s="2"/>
      <c r="D72" s="2"/>
      <c r="E72" s="2"/>
      <c r="F72" s="2"/>
      <c r="G72" s="2"/>
      <c r="H72" s="2"/>
      <c r="I72" s="7"/>
    </row>
    <row r="73" spans="1:9">
      <c r="A73" s="2"/>
      <c r="B73" s="2"/>
      <c r="C73" s="2"/>
      <c r="D73" s="2"/>
      <c r="E73" s="2"/>
      <c r="F73" s="2"/>
      <c r="G73" s="2"/>
      <c r="H73" s="2"/>
      <c r="I73" s="7"/>
    </row>
    <row r="74" spans="1:9">
      <c r="A74" s="2"/>
      <c r="B74" s="2"/>
      <c r="C74" s="2"/>
      <c r="D74" s="2"/>
      <c r="E74" s="2"/>
      <c r="F74" s="2"/>
      <c r="G74" s="2"/>
      <c r="H74" s="2"/>
      <c r="I74" s="7"/>
    </row>
    <row r="75" spans="1:9">
      <c r="A75" s="2"/>
      <c r="B75" s="2"/>
      <c r="C75" s="2"/>
      <c r="D75" s="2"/>
      <c r="E75" s="2"/>
      <c r="F75" s="2"/>
      <c r="G75" s="2"/>
      <c r="H75" s="2"/>
      <c r="I75" s="7"/>
    </row>
    <row r="76" spans="1:9">
      <c r="A76" s="2"/>
      <c r="B76" s="2"/>
      <c r="C76" s="2"/>
      <c r="D76" s="2"/>
      <c r="E76" s="2"/>
      <c r="F76" s="2"/>
      <c r="G76" s="2"/>
      <c r="H76" s="2"/>
      <c r="I76" s="7"/>
    </row>
    <row r="77" spans="1:9">
      <c r="A77" s="2"/>
      <c r="B77" s="2"/>
      <c r="C77" s="2"/>
      <c r="D77" s="2"/>
      <c r="E77" s="2"/>
      <c r="F77" s="2"/>
      <c r="G77" s="2"/>
      <c r="H77" s="2"/>
      <c r="I77" s="7"/>
    </row>
    <row r="78" spans="1:9">
      <c r="A78" s="2"/>
      <c r="B78" s="2"/>
      <c r="C78" s="2"/>
      <c r="D78" s="2"/>
      <c r="E78" s="2"/>
      <c r="F78" s="2"/>
      <c r="G78" s="2"/>
      <c r="H78" s="2"/>
      <c r="I78" s="7"/>
    </row>
    <row r="79" spans="1:9">
      <c r="A79" s="2"/>
      <c r="B79" s="2"/>
      <c r="C79" s="2"/>
      <c r="D79" s="2"/>
      <c r="E79" s="2"/>
      <c r="F79" s="2"/>
      <c r="G79" s="2"/>
      <c r="H79" s="2"/>
      <c r="I79" s="7"/>
    </row>
    <row r="80" spans="1:9">
      <c r="A80" s="2"/>
      <c r="B80" s="2"/>
      <c r="C80" s="2"/>
      <c r="D80" s="2"/>
      <c r="E80" s="2"/>
      <c r="F80" s="2"/>
      <c r="G80" s="2"/>
      <c r="H80" s="2"/>
      <c r="I80" s="7"/>
    </row>
    <row r="81" spans="1:9">
      <c r="A81" s="2"/>
      <c r="B81" s="2"/>
      <c r="C81" s="2"/>
      <c r="D81" s="2"/>
      <c r="E81" s="2"/>
      <c r="F81" s="2"/>
      <c r="G81" s="2"/>
      <c r="H81" s="2"/>
      <c r="I81" s="7"/>
    </row>
    <row r="82" spans="1:9">
      <c r="A82" s="2"/>
      <c r="B82" s="2"/>
      <c r="C82" s="2"/>
      <c r="D82" s="2"/>
      <c r="E82" s="2"/>
      <c r="F82" s="2"/>
      <c r="G82" s="2"/>
      <c r="H82" s="2"/>
      <c r="I82" s="7"/>
    </row>
    <row r="83" spans="1:9">
      <c r="A83" s="2"/>
      <c r="B83" s="2"/>
      <c r="C83" s="2"/>
      <c r="D83" s="2"/>
      <c r="E83" s="2"/>
      <c r="F83" s="2"/>
      <c r="G83" s="2"/>
      <c r="H83" s="2"/>
      <c r="I83" s="7"/>
    </row>
    <row r="84" spans="1:9">
      <c r="A84" s="2"/>
      <c r="B84" s="2"/>
      <c r="C84" s="2"/>
      <c r="D84" s="2"/>
      <c r="E84" s="2"/>
      <c r="F84" s="2"/>
      <c r="G84" s="2"/>
      <c r="H84" s="2"/>
      <c r="I84" s="7"/>
    </row>
    <row r="85" spans="1:9">
      <c r="A85" s="2"/>
      <c r="B85" s="2"/>
      <c r="C85" s="2"/>
      <c r="D85" s="2"/>
      <c r="E85" s="2"/>
      <c r="F85" s="2"/>
      <c r="G85" s="2"/>
      <c r="H85" s="2"/>
      <c r="I85" s="7"/>
    </row>
    <row r="86" spans="1:9">
      <c r="A86" s="2"/>
      <c r="B86" s="2"/>
      <c r="C86" s="2"/>
      <c r="D86" s="2"/>
      <c r="E86" s="2"/>
      <c r="F86" s="2"/>
      <c r="G86" s="2"/>
      <c r="H86" s="2"/>
      <c r="I86" s="7"/>
    </row>
    <row r="87" spans="1:9">
      <c r="A87" s="2"/>
      <c r="B87" s="2"/>
      <c r="C87" s="2"/>
      <c r="D87" s="2"/>
      <c r="E87" s="2"/>
      <c r="F87" s="2"/>
      <c r="G87" s="2"/>
      <c r="H87" s="2"/>
      <c r="I87" s="7"/>
    </row>
    <row r="88" spans="1:9">
      <c r="A88" s="2"/>
      <c r="B88" s="2"/>
      <c r="C88" s="2"/>
      <c r="D88" s="2"/>
      <c r="E88" s="2"/>
      <c r="F88" s="2"/>
      <c r="G88" s="2"/>
      <c r="H88" s="2"/>
      <c r="I88" s="7"/>
    </row>
    <row r="89" spans="1:9">
      <c r="A89" s="2"/>
      <c r="B89" s="2"/>
      <c r="C89" s="2"/>
      <c r="D89" s="2"/>
      <c r="E89" s="2"/>
      <c r="F89" s="2"/>
      <c r="G89" s="2"/>
      <c r="H89" s="2"/>
      <c r="I89" s="7"/>
    </row>
    <row r="90" spans="1:9">
      <c r="A90" s="2"/>
      <c r="B90" s="2"/>
      <c r="C90" s="2"/>
      <c r="D90" s="2"/>
      <c r="E90" s="2"/>
      <c r="F90" s="2"/>
      <c r="G90" s="2"/>
      <c r="H90" s="2"/>
      <c r="I90" s="7"/>
    </row>
    <row r="91" spans="1:9">
      <c r="A91" s="2"/>
      <c r="B91" s="2"/>
      <c r="C91" s="2"/>
      <c r="D91" s="2"/>
      <c r="E91" s="2"/>
      <c r="F91" s="2"/>
      <c r="G91" s="2"/>
      <c r="H91" s="2"/>
      <c r="I91" s="7"/>
    </row>
    <row r="92" spans="1:9">
      <c r="A92" s="2"/>
      <c r="B92" s="2"/>
      <c r="C92" s="2"/>
      <c r="D92" s="2"/>
      <c r="E92" s="2"/>
      <c r="F92" s="2"/>
      <c r="G92" s="2"/>
      <c r="H92" s="2"/>
      <c r="I92" s="7"/>
    </row>
    <row r="93" spans="1:9">
      <c r="A93" s="2"/>
      <c r="B93" s="2"/>
      <c r="C93" s="2"/>
      <c r="D93" s="2"/>
      <c r="E93" s="2"/>
      <c r="F93" s="2"/>
      <c r="G93" s="2"/>
      <c r="H93" s="2"/>
      <c r="I93" s="7"/>
    </row>
    <row r="94" spans="1:9">
      <c r="A94" s="2"/>
      <c r="B94" s="2"/>
      <c r="C94" s="2"/>
      <c r="D94" s="2"/>
      <c r="E94" s="2"/>
      <c r="F94" s="2"/>
      <c r="G94" s="2"/>
      <c r="H94" s="2"/>
      <c r="I94" s="7"/>
    </row>
    <row r="95" spans="1:9">
      <c r="A95" s="2"/>
      <c r="B95" s="2"/>
      <c r="C95" s="2"/>
      <c r="D95" s="2"/>
      <c r="E95" s="2"/>
      <c r="F95" s="2"/>
      <c r="G95" s="2"/>
      <c r="H95" s="2"/>
      <c r="I95" s="7"/>
    </row>
    <row r="96" spans="1:9">
      <c r="A96" s="2"/>
      <c r="B96" s="2"/>
      <c r="C96" s="2"/>
      <c r="D96" s="2"/>
      <c r="E96" s="2"/>
      <c r="F96" s="2"/>
      <c r="G96" s="2"/>
      <c r="H96" s="2"/>
      <c r="I96" s="7"/>
    </row>
    <row r="97" spans="1:9">
      <c r="A97" s="2"/>
      <c r="B97" s="2"/>
      <c r="C97" s="2"/>
      <c r="D97" s="2"/>
      <c r="E97" s="2"/>
      <c r="F97" s="2"/>
      <c r="G97" s="2"/>
      <c r="H97" s="2"/>
      <c r="I97" s="7"/>
    </row>
    <row r="98" spans="1:9">
      <c r="A98" s="2"/>
      <c r="B98" s="2"/>
      <c r="C98" s="2"/>
      <c r="D98" s="2"/>
      <c r="E98" s="2"/>
      <c r="F98" s="2"/>
      <c r="G98" s="2"/>
      <c r="H98" s="2"/>
      <c r="I98" s="7"/>
    </row>
    <row r="99" spans="1:9">
      <c r="A99" s="2"/>
      <c r="B99" s="2"/>
      <c r="C99" s="2"/>
      <c r="D99" s="2"/>
      <c r="E99" s="2"/>
      <c r="F99" s="2"/>
      <c r="G99" s="2"/>
      <c r="H99" s="2"/>
      <c r="I99" s="7"/>
    </row>
    <row r="100" spans="1:9">
      <c r="A100" s="2"/>
      <c r="B100" s="2"/>
      <c r="C100" s="2"/>
      <c r="D100" s="2"/>
      <c r="E100" s="2"/>
      <c r="F100" s="2"/>
      <c r="G100" s="2"/>
      <c r="H100" s="2"/>
      <c r="I100" s="7"/>
    </row>
    <row r="101" spans="1:9">
      <c r="A101" s="2"/>
      <c r="B101" s="2"/>
      <c r="C101" s="2"/>
      <c r="D101" s="2"/>
      <c r="E101" s="2"/>
      <c r="F101" s="2"/>
      <c r="G101" s="2"/>
      <c r="H101" s="2"/>
      <c r="I101" s="7"/>
    </row>
    <row r="102" spans="1:9">
      <c r="A102" s="2"/>
      <c r="B102" s="2"/>
      <c r="C102" s="2"/>
      <c r="D102" s="2"/>
      <c r="E102" s="2"/>
      <c r="F102" s="2"/>
      <c r="G102" s="2"/>
      <c r="H102" s="2"/>
      <c r="I102" s="7"/>
    </row>
    <row r="103" spans="1:9">
      <c r="A103" s="2"/>
      <c r="B103" s="2"/>
      <c r="C103" s="2"/>
      <c r="D103" s="2"/>
      <c r="E103" s="2"/>
      <c r="F103" s="2"/>
      <c r="G103" s="2"/>
      <c r="H103" s="2"/>
      <c r="I103" s="7"/>
    </row>
    <row r="104" spans="1:9">
      <c r="A104" s="2"/>
      <c r="B104" s="2"/>
      <c r="C104" s="2"/>
      <c r="D104" s="2"/>
      <c r="E104" s="2"/>
      <c r="F104" s="2"/>
      <c r="G104" s="2"/>
      <c r="H104" s="2"/>
      <c r="I104" s="7"/>
    </row>
    <row r="105" spans="1:9">
      <c r="A105" s="2"/>
      <c r="B105" s="2"/>
      <c r="C105" s="2"/>
      <c r="D105" s="2"/>
      <c r="E105" s="2"/>
      <c r="F105" s="2"/>
      <c r="G105" s="2"/>
      <c r="H105" s="2"/>
      <c r="I105" s="7"/>
    </row>
  </sheetData>
  <mergeCells count="1">
    <mergeCell ref="A1:I1"/>
  </mergeCells>
  <dataValidations count="1">
    <dataValidation type="list" allowBlank="1" sqref="G6:G105" xr:uid="{00000000-0002-0000-0500-000002000000}">
      <formula1>"Win,Loss"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0000000}">
          <x14:formula1>
            <xm:f>Settings!$E$3:$E$10</xm:f>
          </x14:formula1>
          <xm:sqref>A6:A105</xm:sqref>
        </x14:dataValidation>
        <x14:dataValidation type="list" allowBlank="1" xr:uid="{00000000-0002-0000-0500-000001000000}">
          <x14:formula1>
            <xm:f>Bracket!$F$6:$F$21</xm:f>
          </x14:formula1>
          <xm:sqref>B6:B105</xm:sqref>
        </x14:dataValidation>
      </x14:dataValidations>
    </ext>
  </extLst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600-000000000000}">
  <dimension ref="A1:CM273"/>
  <sheetViews>
    <sheetView showGridLines="0" workbookViewId="0">
      <selection activeCell="P4" sqref="P4"/>
    </sheetView>
  </sheetViews>
  <sheetFormatPr defaultRowHeight="15"/>
  <cols>
    <col min="1" max="2" width="10" customWidth="1"/>
    <col min="3" max="13" width="14" customWidth="1"/>
    <col min="14" max="14" width="12.42578125" bestFit="1" customWidth="1"/>
    <col min="15" max="15" width="12.28515625" bestFit="1" customWidth="1"/>
    <col min="16" max="89" width="14" customWidth="1"/>
  </cols>
  <sheetData>
    <row r="1" spans="1:91">
      <c r="A1" s="214" t="s">
        <v>229</v>
      </c>
      <c r="B1" s="215"/>
      <c r="C1" s="215"/>
      <c r="D1" s="215"/>
      <c r="E1" s="215"/>
      <c r="F1" s="215"/>
      <c r="G1" s="215"/>
      <c r="H1" s="216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</row>
    <row r="3" spans="1:91">
      <c r="A3" s="3" t="s">
        <v>36</v>
      </c>
      <c r="B3" s="3" t="s">
        <v>37</v>
      </c>
      <c r="C3" s="3" t="s">
        <v>230</v>
      </c>
      <c r="D3" s="3" t="s">
        <v>39</v>
      </c>
      <c r="E3" s="3" t="s">
        <v>33</v>
      </c>
      <c r="F3" s="3" t="s">
        <v>231</v>
      </c>
      <c r="G3" s="18"/>
      <c r="H3" s="3" t="s">
        <v>95</v>
      </c>
      <c r="I3" s="3" t="s">
        <v>96</v>
      </c>
      <c r="J3" s="3" t="s">
        <v>97</v>
      </c>
      <c r="K3" s="3" t="s">
        <v>98</v>
      </c>
      <c r="L3" s="3" t="s">
        <v>134</v>
      </c>
      <c r="M3" s="3" t="s">
        <v>135</v>
      </c>
      <c r="N3" s="3" t="s">
        <v>232</v>
      </c>
      <c r="O3" s="3" t="s">
        <v>233</v>
      </c>
      <c r="P3" s="3" t="s">
        <v>136</v>
      </c>
      <c r="Q3" s="3" t="s">
        <v>33</v>
      </c>
      <c r="R3" s="18"/>
      <c r="S3" s="3" t="s">
        <v>95</v>
      </c>
      <c r="T3" s="3" t="s">
        <v>234</v>
      </c>
      <c r="U3" s="3" t="s">
        <v>39</v>
      </c>
      <c r="V3" s="3" t="s">
        <v>235</v>
      </c>
      <c r="W3" s="3" t="s">
        <v>175</v>
      </c>
      <c r="X3" s="3" t="s">
        <v>161</v>
      </c>
      <c r="Y3" s="3" t="s">
        <v>162</v>
      </c>
      <c r="Z3" s="3" t="s">
        <v>176</v>
      </c>
      <c r="AA3" s="3" t="s">
        <v>177</v>
      </c>
      <c r="AB3" s="3" t="s">
        <v>178</v>
      </c>
      <c r="AC3" s="3" t="s">
        <v>179</v>
      </c>
      <c r="AD3" s="3" t="s">
        <v>180</v>
      </c>
      <c r="AE3" s="3" t="s">
        <v>181</v>
      </c>
      <c r="AF3" s="3" t="s">
        <v>182</v>
      </c>
      <c r="AG3" s="3" t="s">
        <v>183</v>
      </c>
      <c r="AH3" s="3" t="s">
        <v>184</v>
      </c>
      <c r="AI3" s="3" t="s">
        <v>33</v>
      </c>
      <c r="AJ3" s="18" t="s">
        <v>203</v>
      </c>
      <c r="AK3" s="3" t="s">
        <v>95</v>
      </c>
      <c r="AL3" s="3" t="s">
        <v>234</v>
      </c>
      <c r="AM3" s="3" t="s">
        <v>194</v>
      </c>
      <c r="AN3" s="3" t="s">
        <v>195</v>
      </c>
      <c r="AO3" s="3" t="s">
        <v>162</v>
      </c>
      <c r="AP3" s="3" t="s">
        <v>161</v>
      </c>
      <c r="AQ3" s="3" t="s">
        <v>196</v>
      </c>
      <c r="AR3" s="3" t="s">
        <v>180</v>
      </c>
      <c r="AS3" s="3" t="s">
        <v>181</v>
      </c>
      <c r="AT3" s="3" t="s">
        <v>197</v>
      </c>
      <c r="AU3" s="3" t="s">
        <v>198</v>
      </c>
      <c r="AV3" s="3" t="s">
        <v>199</v>
      </c>
      <c r="AW3" s="3" t="s">
        <v>200</v>
      </c>
      <c r="AX3" s="3" t="s">
        <v>201</v>
      </c>
      <c r="AY3" s="18" t="s">
        <v>202</v>
      </c>
      <c r="AZ3" s="9"/>
      <c r="BA3" s="9"/>
      <c r="BB3" s="3" t="s">
        <v>33</v>
      </c>
      <c r="BC3" s="3" t="s">
        <v>222</v>
      </c>
      <c r="BD3" s="3" t="s">
        <v>95</v>
      </c>
      <c r="BE3" s="3" t="s">
        <v>223</v>
      </c>
      <c r="BF3" s="3" t="s">
        <v>224</v>
      </c>
      <c r="BG3" s="3" t="s">
        <v>225</v>
      </c>
      <c r="BH3" s="3" t="s">
        <v>226</v>
      </c>
      <c r="BI3" s="3" t="s">
        <v>227</v>
      </c>
      <c r="BJ3" s="3" t="s">
        <v>228</v>
      </c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</row>
    <row r="4" spans="1:91">
      <c r="A4" s="4">
        <f>ROW()-3</f>
        <v>1</v>
      </c>
      <c r="B4" s="4">
        <f>IF(A4="","",ROUNDUP(A4/Settings!$B$3,0))</f>
        <v>1</v>
      </c>
      <c r="C4" s="5" t="str">
        <f>IF(Draft!$A$6="","",Draft!$D$6)</f>
        <v>Justin</v>
      </c>
      <c r="D4" s="5" t="str">
        <f>IF(Draft!$E$6="","",Draft!$E$6)</f>
        <v>Bowser Jr.</v>
      </c>
      <c r="E4" s="5">
        <f>Settings!$B$2</f>
        <v>1</v>
      </c>
      <c r="F4" s="5" t="b">
        <f>AND(C4&lt;&gt;"",D4&lt;&gt;"")</f>
        <v>1</v>
      </c>
      <c r="G4" s="18"/>
      <c r="H4" s="4" t="str">
        <f ca="1">Scorebook!$F$2</f>
        <v>G1</v>
      </c>
      <c r="I4" s="5" t="str">
        <f ca="1">IF(AND(Bracket!$H$6&lt;&gt;"",Bracket!$I$6&lt;&gt;""),Bracket!$G$6,"")</f>
        <v>Winners R1-1</v>
      </c>
      <c r="J4" s="5" t="str">
        <f ca="1">Scorebook!$N$2</f>
        <v>Nick</v>
      </c>
      <c r="K4" s="5" t="str">
        <f ca="1">Scorebook!$R$2</f>
        <v>Donovan</v>
      </c>
      <c r="L4" s="5" t="str">
        <f ca="1">Scorebook!$V$2</f>
        <v>Nick</v>
      </c>
      <c r="M4" s="5" t="str">
        <f ca="1">IF(L4="","",IF(L4=J4,K4,J4))</f>
        <v>Donovan</v>
      </c>
      <c r="N4" s="5">
        <f ca="1">Scorebook!$K$4</f>
        <v>4</v>
      </c>
      <c r="O4" s="5">
        <f ca="1">Scorebook!$K$5</f>
        <v>0</v>
      </c>
      <c r="P4" s="5">
        <f ca="1">IF(H4="","",--(L4&lt;&gt;""))</f>
        <v>1</v>
      </c>
      <c r="Q4" s="5">
        <f>Settings!$B$2</f>
        <v>1</v>
      </c>
      <c r="R4" s="18"/>
      <c r="S4" s="4" t="str">
        <f ca="1">Scorebook!$F$2</f>
        <v>G1</v>
      </c>
      <c r="T4" s="5" t="str">
        <f ca="1">Scorebook!$N$2</f>
        <v>Nick</v>
      </c>
      <c r="U4" s="5" t="str">
        <f ca="1">Scorebook!$B$9</f>
        <v>Monty Mole</v>
      </c>
      <c r="V4" s="4">
        <v>1</v>
      </c>
      <c r="W4" s="5">
        <f ca="1">Scorebook!M9</f>
        <v>2</v>
      </c>
      <c r="X4" s="5">
        <f ca="1">Scorebook!N9</f>
        <v>0</v>
      </c>
      <c r="Y4" s="5">
        <f ca="1">Scorebook!O9</f>
        <v>0</v>
      </c>
      <c r="Z4" s="5">
        <f ca="1">Scorebook!P9</f>
        <v>0</v>
      </c>
      <c r="AA4" s="5">
        <f ca="1">Scorebook!Q9</f>
        <v>0</v>
      </c>
      <c r="AB4" s="5">
        <f ca="1">Scorebook!R9</f>
        <v>0</v>
      </c>
      <c r="AC4" s="5">
        <f ca="1">Scorebook!S9</f>
        <v>0</v>
      </c>
      <c r="AD4" s="5">
        <f ca="1">Scorebook!T9</f>
        <v>0</v>
      </c>
      <c r="AE4" s="5">
        <f ca="1">Scorebook!U9</f>
        <v>1</v>
      </c>
      <c r="AF4" s="5">
        <f ca="1">Scorebook!V9</f>
        <v>0</v>
      </c>
      <c r="AG4" s="5">
        <f ca="1">Scorebook!W9</f>
        <v>0</v>
      </c>
      <c r="AH4" s="5">
        <f ca="1">Scorebook!X9</f>
        <v>0</v>
      </c>
      <c r="AI4" s="5">
        <f>Settings!$B$2</f>
        <v>1</v>
      </c>
      <c r="AJ4" s="18">
        <f ca="1">IF($AK4="","",Scorebook!$O$21)</f>
        <v>6</v>
      </c>
      <c r="AK4" s="4" t="str">
        <f ca="1">Scorebook!$F$2</f>
        <v>G1</v>
      </c>
      <c r="AL4" s="5" t="str">
        <f ca="1">Scorebook!$N$2</f>
        <v>Nick</v>
      </c>
      <c r="AM4" s="5" t="str">
        <f>Scorebook!$B$21</f>
        <v>Daisy</v>
      </c>
      <c r="AN4" s="5">
        <f ca="1">IF(Scorebook!C21="","",INT(Scorebook!C21)+MOD(ROUND(Scorebook!C21*10,0),10)/3)</f>
        <v>2.0</v>
      </c>
      <c r="AO4" s="5" cm="1">
        <f t="array" aca="1" ref="AO4" ca="1">IF($AK4="","",_xlfn.LET(_xlpm.auto,AND(MOD(ROW()-4,6)=0,$AM4&lt;&gt;0,SUMPRODUCT(--(OFFSET($AM4,1,0,5,1)&lt;&gt;0))=0),_xlpm.oppA,_xlfn.XLOOKUP($AK4,$H$4:$H$18,$J$4:$J$18,""),_xlpm.oppB,_xlfn.XLOOKUP($AK4,$H$4:$H$18,$K$4:$K$18,""),_xlpm.opp,IF($AL4=_xlpm.oppA,_xlpm.oppB,_xlpm.oppA),IF(_xlpm.auto,SUMIFS($Y$4:$Y$273,$S$4:$S$273,$AK4,$T$4:$T$273,_xlpm.opp),Scorebook!D21)))</f>
        <v>0</v>
      </c>
      <c r="AP4" s="5" cm="1">
        <f t="array" aca="1" ref="AP4" ca="1">IF($AK4="","",_xlfn.LET(_xlpm.auto,AND(MOD(ROW()-4,6)=0,$AM4&lt;&gt;0,SUMPRODUCT(--(OFFSET($AM4,1,0,5,1)&lt;&gt;0))=0),_xlpm.oppA,_xlfn.XLOOKUP($AK4,$H$4:$H$18,$J$4:$J$18,""),_xlpm.oppRuns,IF($AL4=_xlpm.oppA,_xlfn.XLOOKUP($AK4,$H$4:$H$18,$O$4:$O$18,""),_xlfn.XLOOKUP($AK4,$H$4:$H$18,$N$4:$N$18,"")),IF(_xlpm.auto,_xlpm.oppRuns,Scorebook!E21)))</f>
        <v>0</v>
      </c>
      <c r="AQ4" s="5">
        <f ca="1">Scorebook!F21</f>
        <v>0</v>
      </c>
      <c r="AR4" s="5" cm="1">
        <f t="array" aca="1" ref="AR4" ca="1">IF($AK4="","",_xlfn.LET(_xlpm.auto,AND(MOD(ROW()-4,6)=0,$AM4&lt;&gt;0,SUMPRODUCT(--(OFFSET($AM4,1,0,5,1)&lt;&gt;0))=0),_xlpm.oppA,_xlfn.XLOOKUP($AK4,$H$4:$H$18,$J$4:$J$18,""),_xlpm.oppB,_xlfn.XLOOKUP($AK4,$H$4:$H$18,$K$4:$K$18,""),_xlpm.opp,IF($AL4=_xlpm.oppA,_xlpm.oppB,_xlpm.oppA),IF(_xlpm.auto,SUMIFS($AD$4:$AD$273,$S$4:$S$273,$AK4,$T$4:$T$273,_xlpm.opp),Scorebook!G21)))</f>
        <v>0</v>
      </c>
      <c r="AS4" s="5" cm="1">
        <f t="array" aca="1" ref="AS4" ca="1">IF($AK4="","",_xlfn.LET(_xlpm.auto,AND(MOD(ROW()-4,6)=0,$AM4&lt;&gt;0,SUMPRODUCT(--(OFFSET($AM4,1,0,5,1)&lt;&gt;0))=0),_xlpm.oppA,_xlfn.XLOOKUP($AK4,$H$4:$H$18,$J$4:$J$18,""),_xlpm.oppB,_xlfn.XLOOKUP($AK4,$H$4:$H$18,$K$4:$K$18,""),_xlpm.opp,IF($AL4=_xlpm.oppA,_xlpm.oppB,_xlpm.oppA),IF(_xlpm.auto,SUMIFS($AE$4:$AE$273,$S$4:$S$273,$AK4,$T$4:$T$273,_xlpm.opp),Scorebook!H21)))</f>
        <v>3</v>
      </c>
      <c r="AT4" s="5" cm="1">
        <f t="array" aca="1" ref="AT4" ca="1">IF($AK4="","",_xlfn.LET(_xlpm.auto,AND(MOD(ROW()-4,6)=0,$AM4&lt;&gt;0,SUMPRODUCT(--(OFFSET($AM4,1,0,5,1)&lt;&gt;0))=0),_xlpm.oppA,_xlfn.XLOOKUP($AK4,$H$4:$H$18,$J$4:$J$18,""),_xlpm.oppB,_xlfn.XLOOKUP($AK4,$H$4:$H$18,$K$4:$K$18,""),_xlpm.opp,IF($AL4=_xlpm.oppA,_xlpm.oppB,_xlpm.oppA),IF(_xlpm.auto,SUMIFS($AB$4:$AB$273,$S$4:$S$273,$AK4,$T$4:$T$273,_xlpm.opp),Scorebook!I21)))</f>
        <v>0</v>
      </c>
      <c r="AU4" s="5" cm="1">
        <f t="array" aca="1" ref="AU4" ca="1">IF($AK4="","",_xlfn.LET(_xlpm.auto,AND(MOD(ROW()-4,6)=0,$AM4&lt;&gt;0,SUMPRODUCT(--(OFFSET($AM4,1,0,5,1)&lt;&gt;0))=0),_xlpm.winner,_xlfn.XLOOKUP($AK4,$H$4:$H$18,$L$4:$L$18,""),IF(_xlpm.auto,--($AL4=_xlpm.winner),Scorebook!J21)))</f>
        <v>1</v>
      </c>
      <c r="AV4" s="5" cm="1">
        <f t="array" aca="1" ref="AV4" ca="1">IF($AK4="","",_xlfn.LET(_xlpm.auto,AND(MOD(ROW()-4,6)=0,$AM4&lt;&gt;0,SUMPRODUCT(--(OFFSET($AM4,1,0,5,1)&lt;&gt;0))=0),_xlpm.loser,_xlfn.XLOOKUP($AK4,$H$4:$H$18,$M$4:$M$18,""),IF(_xlpm.auto,--($AL4=_xlpm.loser),Scorebook!K21)))</f>
        <v>0</v>
      </c>
      <c r="AW4" s="5">
        <f ca="1">Scorebook!L21</f>
        <v>0</v>
      </c>
      <c r="AX4" s="5" cm="1">
        <f t="array" aca="1" ref="AX4" ca="1">IF($AK4="","",_xlfn.LET(_xlpm.auto,AND(MOD(ROW()-4,6)=0,$AM4&lt;&gt;0,SUMPRODUCT(--(OFFSET($AM4,1,0,5,1)&lt;&gt;0))=0),_xlpm.oppA,_xlfn.XLOOKUP($AK4,$H$4:$H$18,$J$4:$J$18,""),_xlpm.oppRuns,IF($AL4=_xlpm.oppA,_xlfn.XLOOKUP($AK4,$H$4:$H$18,$O$4:$O$18,""),_xlfn.XLOOKUP($AK4,$H$4:$H$18,$N$4:$N$18,"")),IF(_xlpm.auto,--(_xlpm.oppRuns=0),Scorebook!M21)))</f>
        <v>0</v>
      </c>
      <c r="AY4" s="5" cm="1">
        <f t="array" aca="1" ref="AY4" ca="1">IF($AK4="","",_xlfn.LET(_xlpm.auto,AND(MOD(ROW()-4,6)=0,$AM4&lt;&gt;0,SUMPRODUCT(--(OFFSET($AM4,1,0,5,1)&lt;&gt;0))=0),IF(_xlpm.auto,1,Scorebook!N21)))</f>
        <v>0</v>
      </c>
      <c r="AZ4" s="10"/>
      <c r="BA4" s="10"/>
      <c r="BB4" s="5">
        <f>Settings!$B$2</f>
        <v>1</v>
      </c>
      <c r="BC4" s="5">
        <f>Betting!A6</f>
        <v>0</v>
      </c>
      <c r="BD4" s="5">
        <f>Betting!B6</f>
        <v>0</v>
      </c>
      <c r="BE4" s="5">
        <f>Betting!C6</f>
        <v>0</v>
      </c>
      <c r="BF4" s="5">
        <f>Betting!D6</f>
        <v>0</v>
      </c>
      <c r="BG4" s="5">
        <f>Betting!E6</f>
        <v>0</v>
      </c>
      <c r="BH4" s="5">
        <f>Betting!F6</f>
        <v>0</v>
      </c>
      <c r="BI4" s="4">
        <f>Betting!G6</f>
        <v>0</v>
      </c>
      <c r="BJ4" s="4">
        <f>Betting!H6</f>
        <v>0</v>
      </c>
      <c r="BK4" s="18" t="s">
        <v>236</v>
      </c>
      <c r="BL4" s="18" t="s">
        <v>237</v>
      </c>
      <c r="BM4" s="18" t="s">
        <v>238</v>
      </c>
      <c r="BN4" s="18" t="s">
        <v>239</v>
      </c>
      <c r="BO4" s="18" t="s">
        <v>240</v>
      </c>
      <c r="BP4" s="18" t="s">
        <v>241</v>
      </c>
      <c r="BQ4" s="18" t="s">
        <v>242</v>
      </c>
      <c r="BR4" s="18" t="s">
        <v>243</v>
      </c>
      <c r="BS4" s="18" t="s">
        <v>244</v>
      </c>
      <c r="BT4" s="18" t="s">
        <v>245</v>
      </c>
      <c r="BU4" s="18" t="s">
        <v>246</v>
      </c>
      <c r="BV4" s="18" t="s">
        <v>247</v>
      </c>
      <c r="BW4" s="18" t="s">
        <v>248</v>
      </c>
      <c r="BX4" s="18" t="s">
        <v>249</v>
      </c>
      <c r="BY4" s="18" t="s">
        <v>250</v>
      </c>
      <c r="BZ4" s="18" t="s">
        <v>251</v>
      </c>
      <c r="CA4" s="18" t="s">
        <v>252</v>
      </c>
      <c r="CB4" s="18" t="s">
        <v>253</v>
      </c>
      <c r="CC4" s="18" t="s">
        <v>254</v>
      </c>
      <c r="CD4" s="18" t="s">
        <v>255</v>
      </c>
      <c r="CE4" s="18" t="s">
        <v>256</v>
      </c>
      <c r="CF4" s="18" t="s">
        <v>257</v>
      </c>
      <c r="CG4" s="18" t="s">
        <v>258</v>
      </c>
      <c r="CH4" s="18" t="s">
        <v>259</v>
      </c>
      <c r="CI4" s="18" t="s">
        <v>260</v>
      </c>
      <c r="CJ4" s="18" t="s">
        <v>261</v>
      </c>
      <c r="CK4" s="18" t="s">
        <v>262</v>
      </c>
      <c r="CL4" s="18" t="s">
        <v>263</v>
      </c>
      <c r="CM4" s="18" t="s">
        <v>264</v>
      </c>
    </row>
    <row r="5" spans="1:91">
      <c r="A5" s="4">
        <f>ROW()-3</f>
        <v>2</v>
      </c>
      <c r="B5" s="4">
        <f>IF(A5="","",ROUNDUP(A5/Settings!$B$3,0))</f>
        <v>1</v>
      </c>
      <c r="C5" s="5" t="str">
        <f>IF(Draft!$A$7="","",Draft!$D$7)</f>
        <v>Donovan</v>
      </c>
      <c r="D5" s="5" t="str">
        <f>IF(Draft!$E$7="","",Draft!$E$7)</f>
        <v>Donkey Kong</v>
      </c>
      <c r="E5" s="5">
        <f>Settings!$B$2</f>
        <v>1</v>
      </c>
      <c r="F5" s="5" t="b">
        <f>AND(C5&lt;&gt;"",D5&lt;&gt;"")</f>
        <v>1</v>
      </c>
      <c r="G5" s="18"/>
      <c r="H5" s="4" t="str">
        <f ca="1">Scorebook!$F$51</f>
        <v>G2</v>
      </c>
      <c r="I5" s="5" t="str">
        <f ca="1">IF(AND(Bracket!$H$7&lt;&gt;"",Bracket!$I$7&lt;&gt;""),Bracket!$G$7,"")</f>
        <v>Winners R1-2</v>
      </c>
      <c r="J5" s="5" t="str">
        <f ca="1">Scorebook!$N$51</f>
        <v>Aidan</v>
      </c>
      <c r="K5" s="5" t="str">
        <f ca="1">Scorebook!$R$51</f>
        <v>Justin</v>
      </c>
      <c r="L5" s="5" t="str">
        <f ca="1">Scorebook!$V$51</f>
        <v>Aidan</v>
      </c>
      <c r="M5" s="5" t="str">
        <f ca="1">IF(L5="","",IF(L5=J5,K5,J5))</f>
        <v>Justin</v>
      </c>
      <c r="N5" s="5">
        <f ca="1">Scorebook!$K$53</f>
        <v>4</v>
      </c>
      <c r="O5" s="5">
        <f ca="1">Scorebook!$K$54</f>
        <v>3</v>
      </c>
      <c r="P5" s="5">
        <f ca="1">IF(H5="","",--(L5&lt;&gt;""))</f>
        <v>1</v>
      </c>
      <c r="Q5" s="5">
        <f>Settings!$B$2</f>
        <v>1</v>
      </c>
      <c r="R5" s="18"/>
      <c r="S5" s="4" t="str">
        <f ca="1">Scorebook!$F$2</f>
        <v>G1</v>
      </c>
      <c r="T5" s="5" t="str">
        <f ca="1">Scorebook!$N$2</f>
        <v>Nick</v>
      </c>
      <c r="U5" s="5" t="str">
        <f ca="1">Scorebook!$B$10</f>
        <v>Green Dry Bones</v>
      </c>
      <c r="V5" s="4">
        <v>2</v>
      </c>
      <c r="W5" s="5">
        <f ca="1">Scorebook!M10</f>
        <v>2</v>
      </c>
      <c r="X5" s="5">
        <f ca="1">Scorebook!N10</f>
        <v>2</v>
      </c>
      <c r="Y5" s="5">
        <f ca="1">Scorebook!O10</f>
        <v>2</v>
      </c>
      <c r="Z5" s="5">
        <f ca="1">Scorebook!P10</f>
        <v>0</v>
      </c>
      <c r="AA5" s="5">
        <f ca="1">Scorebook!Q10</f>
        <v>1</v>
      </c>
      <c r="AB5" s="5">
        <f ca="1">Scorebook!R10</f>
        <v>0</v>
      </c>
      <c r="AC5" s="5">
        <f ca="1">Scorebook!S10</f>
        <v>0</v>
      </c>
      <c r="AD5" s="5">
        <f ca="1">Scorebook!T10</f>
        <v>0</v>
      </c>
      <c r="AE5" s="5">
        <f ca="1">Scorebook!U10</f>
        <v>0</v>
      </c>
      <c r="AF5" s="5">
        <f ca="1">Scorebook!V10</f>
        <v>0</v>
      </c>
      <c r="AG5" s="5">
        <f ca="1">Scorebook!W10</f>
        <v>0</v>
      </c>
      <c r="AH5" s="5">
        <f ca="1">Scorebook!X10</f>
        <v>0</v>
      </c>
      <c r="AI5" s="5">
        <f>Settings!$B$2</f>
        <v>1</v>
      </c>
      <c r="AJ5" s="18">
        <f ca="1">IF($AK5="","",Scorebook!$O$22)</f>
        <v>3</v>
      </c>
      <c r="AK5" s="4" t="str">
        <f ca="1">Scorebook!$F$2</f>
        <v>G1</v>
      </c>
      <c r="AL5" s="5" t="str">
        <f ca="1">Scorebook!$N$2</f>
        <v>Nick</v>
      </c>
      <c r="AM5" s="5" t="str">
        <f>Scorebook!$B$22</f>
        <v>Boomerang Bro</v>
      </c>
      <c r="AN5" s="5">
        <f ca="1">IF(Scorebook!C22="","",INT(Scorebook!C22)+MOD(ROUND(Scorebook!C22*10,0),10)/3)</f>
        <v>1.0</v>
      </c>
      <c r="AO5" s="5" cm="1">
        <f t="array" aca="1" ref="AO5" ca="1">IF($AK5="","",_xlfn.LET(_xlpm.auto,AND(MOD(ROW()-4,6)=0,$AM5&lt;&gt;0,SUMPRODUCT(--(OFFSET($AM5,1,0,5,1)&lt;&gt;0))=0),_xlpm.oppA,_xlfn.XLOOKUP($AK5,$H$4:$H$18,$J$4:$J$18,""),_xlpm.oppB,_xlfn.XLOOKUP($AK5,$H$4:$H$18,$K$4:$K$18,""),_xlpm.opp,IF($AL5=_xlpm.oppA,_xlpm.oppB,_xlpm.oppA),IF(_xlpm.auto,SUMIFS($Y$4:$Y$273,$S$4:$S$273,$AK5,$T$4:$T$273,_xlpm.opp),Scorebook!D22)))</f>
        <v>0</v>
      </c>
      <c r="AP5" s="5" cm="1">
        <f t="array" aca="1" ref="AP5" ca="1">IF($AK5="","",_xlfn.LET(_xlpm.auto,AND(MOD(ROW()-4,6)=0,$AM5&lt;&gt;0,SUMPRODUCT(--(OFFSET($AM5,1,0,5,1)&lt;&gt;0))=0),_xlpm.oppA,_xlfn.XLOOKUP($AK5,$H$4:$H$18,$J$4:$J$18,""),_xlpm.oppRuns,IF($AL5=_xlpm.oppA,_xlfn.XLOOKUP($AK5,$H$4:$H$18,$O$4:$O$18,""),_xlfn.XLOOKUP($AK5,$H$4:$H$18,$N$4:$N$18,"")),IF(_xlpm.auto,_xlpm.oppRuns,Scorebook!E22)))</f>
        <v>0</v>
      </c>
      <c r="AQ5" s="5">
        <f ca="1">Scorebook!F22</f>
        <v>0</v>
      </c>
      <c r="AR5" s="5" cm="1">
        <f t="array" aca="1" ref="AR5" ca="1">IF($AK5="","",_xlfn.LET(_xlpm.auto,AND(MOD(ROW()-4,6)=0,$AM5&lt;&gt;0,SUMPRODUCT(--(OFFSET($AM5,1,0,5,1)&lt;&gt;0))=0),_xlpm.oppA,_xlfn.XLOOKUP($AK5,$H$4:$H$18,$J$4:$J$18,""),_xlpm.oppB,_xlfn.XLOOKUP($AK5,$H$4:$H$18,$K$4:$K$18,""),_xlpm.opp,IF($AL5=_xlpm.oppA,_xlpm.oppB,_xlpm.oppA),IF(_xlpm.auto,SUMIFS($AD$4:$AD$273,$S$4:$S$273,$AK5,$T$4:$T$273,_xlpm.opp),Scorebook!G22)))</f>
        <v>0</v>
      </c>
      <c r="AS5" s="5" cm="1">
        <f t="array" aca="1" ref="AS5" ca="1">IF($AK5="","",_xlfn.LET(_xlpm.auto,AND(MOD(ROW()-4,6)=0,$AM5&lt;&gt;0,SUMPRODUCT(--(OFFSET($AM5,1,0,5,1)&lt;&gt;0))=0),_xlpm.oppA,_xlfn.XLOOKUP($AK5,$H$4:$H$18,$J$4:$J$18,""),_xlpm.oppB,_xlfn.XLOOKUP($AK5,$H$4:$H$18,$K$4:$K$18,""),_xlpm.opp,IF($AL5=_xlpm.oppA,_xlpm.oppB,_xlpm.oppA),IF(_xlpm.auto,SUMIFS($AE$4:$AE$273,$S$4:$S$273,$AK5,$T$4:$T$273,_xlpm.opp),Scorebook!H22)))</f>
        <v>1</v>
      </c>
      <c r="AT5" s="5" cm="1">
        <f t="array" aca="1" ref="AT5" ca="1">IF($AK5="","",_xlfn.LET(_xlpm.auto,AND(MOD(ROW()-4,6)=0,$AM5&lt;&gt;0,SUMPRODUCT(--(OFFSET($AM5,1,0,5,1)&lt;&gt;0))=0),_xlpm.oppA,_xlfn.XLOOKUP($AK5,$H$4:$H$18,$J$4:$J$18,""),_xlpm.oppB,_xlfn.XLOOKUP($AK5,$H$4:$H$18,$K$4:$K$18,""),_xlpm.opp,IF($AL5=_xlpm.oppA,_xlpm.oppB,_xlpm.oppA),IF(_xlpm.auto,SUMIFS($AB$4:$AB$273,$S$4:$S$273,$AK5,$T$4:$T$273,_xlpm.opp),Scorebook!I22)))</f>
        <v>0</v>
      </c>
      <c r="AU5" s="5" cm="1">
        <f t="array" aca="1" ref="AU5" ca="1">IF($AK5="","",_xlfn.LET(_xlpm.auto,AND(MOD(ROW()-4,6)=0,$AM5&lt;&gt;0,SUMPRODUCT(--(OFFSET($AM5,1,0,5,1)&lt;&gt;0))=0),_xlpm.winner,_xlfn.XLOOKUP($AK5,$H$4:$H$18,$L$4:$L$18,""),IF(_xlpm.auto,--($AL5=_xlpm.winner),Scorebook!J22)))</f>
        <v>0</v>
      </c>
      <c r="AV5" s="5" cm="1">
        <f t="array" aca="1" ref="AV5" ca="1">IF($AK5="","",_xlfn.LET(_xlpm.auto,AND(MOD(ROW()-4,6)=0,$AM5&lt;&gt;0,SUMPRODUCT(--(OFFSET($AM5,1,0,5,1)&lt;&gt;0))=0),_xlpm.loser,_xlfn.XLOOKUP($AK5,$H$4:$H$18,$M$4:$M$18,""),IF(_xlpm.auto,--($AL5=_xlpm.loser),Scorebook!K22)))</f>
        <v>0</v>
      </c>
      <c r="AW5" s="5">
        <f ca="1">Scorebook!L22</f>
        <v>0</v>
      </c>
      <c r="AX5" s="5" cm="1">
        <f t="array" aca="1" ref="AX5" ca="1">IF($AK5="","",_xlfn.LET(_xlpm.auto,AND(MOD(ROW()-4,6)=0,$AM5&lt;&gt;0,SUMPRODUCT(--(OFFSET($AM5,1,0,5,1)&lt;&gt;0))=0),_xlpm.oppA,_xlfn.XLOOKUP($AK5,$H$4:$H$18,$J$4:$J$18,""),_xlpm.oppRuns,IF($AL5=_xlpm.oppA,_xlfn.XLOOKUP($AK5,$H$4:$H$18,$O$4:$O$18,""),_xlfn.XLOOKUP($AK5,$H$4:$H$18,$N$4:$N$18,"")),IF(_xlpm.auto,--(_xlpm.oppRuns=0),Scorebook!M22)))</f>
        <v>0</v>
      </c>
      <c r="AY5" s="5" cm="1">
        <f t="array" aca="1" ref="AY5" ca="1">IF($AK5="","",_xlfn.LET(_xlpm.auto,AND(MOD(ROW()-4,6)=0,$AM5&lt;&gt;0,SUMPRODUCT(--(OFFSET($AM5,1,0,5,1)&lt;&gt;0))=0),IF(_xlpm.auto,1,Scorebook!N22)))</f>
        <v>0</v>
      </c>
      <c r="AZ5" s="10"/>
      <c r="BA5" s="10"/>
      <c r="BB5" s="5">
        <f>Settings!$B$2</f>
        <v>1</v>
      </c>
      <c r="BC5" s="5">
        <f>Betting!A7</f>
        <v>0</v>
      </c>
      <c r="BD5" s="5">
        <f>Betting!B7</f>
        <v>0</v>
      </c>
      <c r="BE5" s="5">
        <f>Betting!C7</f>
        <v>0</v>
      </c>
      <c r="BF5" s="5">
        <f>Betting!D7</f>
        <v>0</v>
      </c>
      <c r="BG5" s="5">
        <f>Betting!E7</f>
        <v>0</v>
      </c>
      <c r="BH5" s="5">
        <f>Betting!F7</f>
        <v>0</v>
      </c>
      <c r="BI5" s="4">
        <f>Betting!G7</f>
        <v>0</v>
      </c>
      <c r="BJ5" s="5">
        <f>Betting!H7</f>
        <v>0</v>
      </c>
      <c r="BK5" s="8" t="str">
        <f ca="1">Bracket!$I$6</f>
        <v>Donovan</v>
      </c>
      <c r="BL5" s="8" t="str">
        <f ca="1">Bracket!$H$7</f>
        <v>Aidan</v>
      </c>
      <c r="BM5" s="8" t="str">
        <f ca="1">Bracket!$I$7</f>
        <v>Justin</v>
      </c>
      <c r="BN5" s="8" t="str">
        <f ca="1">Bracket!$H$8</f>
        <v>May</v>
      </c>
      <c r="BO5" s="8" t="str">
        <f ca="1">Bracket!$I$8</f>
        <v>Nick</v>
      </c>
      <c r="BP5" s="8" t="str">
        <f ca="1">Bracket!$H$9</f>
        <v>Jason</v>
      </c>
      <c r="BQ5" s="8" t="str">
        <f ca="1">Bracket!$I$9</f>
        <v>Aidan</v>
      </c>
      <c r="BR5" s="8" t="str">
        <f ca="1">Bracket!$H$10</f>
        <v>May</v>
      </c>
      <c r="BS5" s="8" t="str">
        <f ca="1">Bracket!$I$10</f>
        <v>Justin</v>
      </c>
      <c r="BT5" s="8" t="str">
        <f ca="1">Bracket!$H$11</f>
        <v>Aidan</v>
      </c>
      <c r="BU5" s="8" t="str">
        <f ca="1">Bracket!$I$11</f>
        <v>Donovan</v>
      </c>
      <c r="BV5" s="8" t="str">
        <f ca="1">Bracket!$H$13</f>
        <v>Nick</v>
      </c>
      <c r="BW5" s="8" t="str">
        <f ca="1">Bracket!$I$13</f>
        <v>Jason</v>
      </c>
      <c r="BX5" s="8" t="str">
        <f ca="1">Bracket!$H$14</f>
        <v>Jason</v>
      </c>
      <c r="BY5" s="8" t="str">
        <f ca="1">Bracket!$I$14</f>
        <v>May</v>
      </c>
      <c r="BZ5" s="8" t="str">
        <f ca="1">Bracket!$H$15</f>
        <v>Nick</v>
      </c>
      <c r="CA5" s="8" t="str">
        <f ca="1">Bracket!$I$15</f>
        <v>Jason</v>
      </c>
      <c r="CB5" s="8" t="str">
        <f ca="1">Bracket!$H$16</f>
        <v>Nick</v>
      </c>
      <c r="CC5" s="8" t="str">
        <f ca="1">Bracket!$I$16</f>
        <v>Jason</v>
      </c>
      <c r="CD5" s="8" t="str">
        <f ca="1">Bracket!$H$17</f>
        <v/>
      </c>
      <c r="CE5" s="8" t="str">
        <f ca="1">Bracket!$I$17</f>
        <v/>
      </c>
      <c r="CF5" s="8" t="str">
        <f ca="1">Bracket!$H$18</f>
        <v/>
      </c>
      <c r="CG5" s="8" t="str">
        <f ca="1">Bracket!$I$18</f>
        <v/>
      </c>
      <c r="CH5" s="8" t="str">
        <f ca="1">Bracket!$H$19</f>
        <v/>
      </c>
      <c r="CI5" s="8" t="str">
        <f ca="1">Bracket!$I$19</f>
        <v/>
      </c>
      <c r="CJ5" s="8" t="str">
        <f ca="1">Bracket!$H$20</f>
        <v/>
      </c>
      <c r="CK5" s="8" t="str">
        <f ca="1">Bracket!$I$20</f>
        <v/>
      </c>
      <c r="CL5" s="8" t="str">
        <f ca="1">Bracket!$H$21</f>
        <v/>
      </c>
      <c r="CM5" s="8" t="str">
        <f ca="1">Bracket!$I$21</f>
        <v/>
      </c>
    </row>
    <row r="6" spans="1:91">
      <c r="A6" s="4">
        <f>ROW()-3</f>
        <v>3</v>
      </c>
      <c r="B6" s="4">
        <f>IF(A6="","",ROUNDUP(A6/Settings!$B$3,0))</f>
        <v>1</v>
      </c>
      <c r="C6" s="5" t="str">
        <f>IF(Draft!$A$8="","",Draft!$D$8)</f>
        <v>Nick</v>
      </c>
      <c r="D6" s="5" t="str">
        <f>IF(Draft!$E$8="","",Draft!$E$8)</f>
        <v>Daisy</v>
      </c>
      <c r="E6" s="5">
        <f>Settings!$B$2</f>
        <v>1</v>
      </c>
      <c r="F6" s="5" t="b">
        <f>AND(C6&lt;&gt;"",D6&lt;&gt;"")</f>
        <v>1</v>
      </c>
      <c r="G6" s="18"/>
      <c r="H6" s="4" t="str">
        <f ca="1">Scorebook!$F$100</f>
        <v>G3</v>
      </c>
      <c r="I6" s="5" t="str">
        <f ca="1">IF(AND(Bracket!$H$8&lt;&gt;"",Bracket!$I$8&lt;&gt;""),Bracket!$G$8,"")</f>
        <v>Winners R2-1</v>
      </c>
      <c r="J6" s="5" t="str">
        <f ca="1">Scorebook!$N$100</f>
        <v>May</v>
      </c>
      <c r="K6" s="5" t="str">
        <f ca="1">Scorebook!$R$100</f>
        <v>Nick</v>
      </c>
      <c r="L6" s="5" t="str">
        <f ca="1">Scorebook!$V$100</f>
        <v>Nick</v>
      </c>
      <c r="M6" s="5" t="str">
        <f ca="1">IF(L6="","",IF(L6=J6,K6,J6))</f>
        <v>May</v>
      </c>
      <c r="N6" s="5">
        <f ca="1">Scorebook!$K$102</f>
        <v>1</v>
      </c>
      <c r="O6" s="5">
        <f ca="1">Scorebook!$K$103</f>
        <v>2</v>
      </c>
      <c r="P6" s="5">
        <f ca="1">IF(H6="","",--(L6&lt;&gt;""))</f>
        <v>1</v>
      </c>
      <c r="Q6" s="5">
        <f>Settings!$B$2</f>
        <v>1</v>
      </c>
      <c r="R6" s="18"/>
      <c r="S6" s="4" t="str">
        <f ca="1">Scorebook!$F$2</f>
        <v>G1</v>
      </c>
      <c r="T6" s="5" t="str">
        <f ca="1">Scorebook!$N$2</f>
        <v>Nick</v>
      </c>
      <c r="U6" s="5" t="str">
        <f ca="1">Scorebook!$B$11</f>
        <v>Daisy</v>
      </c>
      <c r="V6" s="4">
        <v>3</v>
      </c>
      <c r="W6" s="5">
        <f ca="1">Scorebook!M11</f>
        <v>2</v>
      </c>
      <c r="X6" s="5">
        <f ca="1">Scorebook!N11</f>
        <v>1</v>
      </c>
      <c r="Y6" s="5">
        <f ca="1">Scorebook!O11</f>
        <v>1</v>
      </c>
      <c r="Z6" s="5">
        <f ca="1">Scorebook!P11</f>
        <v>1</v>
      </c>
      <c r="AA6" s="5">
        <f ca="1">Scorebook!Q11</f>
        <v>0</v>
      </c>
      <c r="AB6" s="5">
        <f ca="1">Scorebook!R11</f>
        <v>0</v>
      </c>
      <c r="AC6" s="5">
        <f ca="1">Scorebook!S11</f>
        <v>1</v>
      </c>
      <c r="AD6" s="5">
        <f ca="1">Scorebook!T11</f>
        <v>0</v>
      </c>
      <c r="AE6" s="5">
        <f ca="1">Scorebook!U11</f>
        <v>0</v>
      </c>
      <c r="AF6" s="5">
        <f ca="1">Scorebook!V11</f>
        <v>0</v>
      </c>
      <c r="AG6" s="5">
        <f ca="1">Scorebook!W11</f>
        <v>0</v>
      </c>
      <c r="AH6" s="5">
        <f ca="1">Scorebook!X11</f>
        <v>0</v>
      </c>
      <c r="AI6" s="5">
        <f>Settings!$B$2</f>
        <v>1</v>
      </c>
      <c r="AJ6" s="18">
        <f ca="1">IF($AK6="","",Scorebook!$O$23)</f>
      </c>
      <c r="AK6" s="4" t="str">
        <f ca="1">Scorebook!$F$2</f>
        <v>G1</v>
      </c>
      <c r="AL6" s="5" t="str">
        <f ca="1">Scorebook!$N$2</f>
        <v>Nick</v>
      </c>
      <c r="AM6" s="5" t="str">
        <f>Scorebook!$B$23</f>
      </c>
      <c r="AN6" s="5">
        <f ca="1">IF(Scorebook!C23="","",INT(Scorebook!C23)+MOD(ROUND(Scorebook!C23*10,0),10)/3)</f>
      </c>
      <c r="AO6" s="5" cm="1">
        <f t="array" aca="1" ref="AO6" ca="1">IF($AK6="","",_xlfn.LET(_xlpm.auto,AND(MOD(ROW()-4,6)=0,$AM6&lt;&gt;0,SUMPRODUCT(--(OFFSET($AM6,1,0,5,1)&lt;&gt;0))=0),_xlpm.oppA,_xlfn.XLOOKUP($AK6,$H$4:$H$18,$J$4:$J$18,""),_xlpm.oppB,_xlfn.XLOOKUP($AK6,$H$4:$H$18,$K$4:$K$18,""),_xlpm.opp,IF($AL6=_xlpm.oppA,_xlpm.oppB,_xlpm.oppA),IF(_xlpm.auto,SUMIFS($Y$4:$Y$273,$S$4:$S$273,$AK6,$T$4:$T$273,_xlpm.opp),Scorebook!D23)))</f>
      </c>
      <c r="AP6" s="5" cm="1">
        <f t="array" aca="1" ref="AP6" ca="1">IF($AK6="","",_xlfn.LET(_xlpm.auto,AND(MOD(ROW()-4,6)=0,$AM6&lt;&gt;0,SUMPRODUCT(--(OFFSET($AM6,1,0,5,1)&lt;&gt;0))=0),_xlpm.oppA,_xlfn.XLOOKUP($AK6,$H$4:$H$18,$J$4:$J$18,""),_xlpm.oppRuns,IF($AL6=_xlpm.oppA,_xlfn.XLOOKUP($AK6,$H$4:$H$18,$O$4:$O$18,""),_xlfn.XLOOKUP($AK6,$H$4:$H$18,$N$4:$N$18,"")),IF(_xlpm.auto,_xlpm.oppRuns,Scorebook!E23)))</f>
      </c>
      <c r="AQ6" s="5">
        <f ca="1">Scorebook!F23</f>
      </c>
      <c r="AR6" s="5" cm="1">
        <f t="array" aca="1" ref="AR6" ca="1">IF($AK6="","",_xlfn.LET(_xlpm.auto,AND(MOD(ROW()-4,6)=0,$AM6&lt;&gt;0,SUMPRODUCT(--(OFFSET($AM6,1,0,5,1)&lt;&gt;0))=0),_xlpm.oppA,_xlfn.XLOOKUP($AK6,$H$4:$H$18,$J$4:$J$18,""),_xlpm.oppB,_xlfn.XLOOKUP($AK6,$H$4:$H$18,$K$4:$K$18,""),_xlpm.opp,IF($AL6=_xlpm.oppA,_xlpm.oppB,_xlpm.oppA),IF(_xlpm.auto,SUMIFS($AD$4:$AD$273,$S$4:$S$273,$AK6,$T$4:$T$273,_xlpm.opp),Scorebook!G23)))</f>
      </c>
      <c r="AS6" s="5" cm="1">
        <f t="array" aca="1" ref="AS6" ca="1">IF($AK6="","",_xlfn.LET(_xlpm.auto,AND(MOD(ROW()-4,6)=0,$AM6&lt;&gt;0,SUMPRODUCT(--(OFFSET($AM6,1,0,5,1)&lt;&gt;0))=0),_xlpm.oppA,_xlfn.XLOOKUP($AK6,$H$4:$H$18,$J$4:$J$18,""),_xlpm.oppB,_xlfn.XLOOKUP($AK6,$H$4:$H$18,$K$4:$K$18,""),_xlpm.opp,IF($AL6=_xlpm.oppA,_xlpm.oppB,_xlpm.oppA),IF(_xlpm.auto,SUMIFS($AE$4:$AE$273,$S$4:$S$273,$AK6,$T$4:$T$273,_xlpm.opp),Scorebook!H23)))</f>
      </c>
      <c r="AT6" s="5" cm="1">
        <f t="array" aca="1" ref="AT6" ca="1">IF($AK6="","",_xlfn.LET(_xlpm.auto,AND(MOD(ROW()-4,6)=0,$AM6&lt;&gt;0,SUMPRODUCT(--(OFFSET($AM6,1,0,5,1)&lt;&gt;0))=0),_xlpm.oppA,_xlfn.XLOOKUP($AK6,$H$4:$H$18,$J$4:$J$18,""),_xlpm.oppB,_xlfn.XLOOKUP($AK6,$H$4:$H$18,$K$4:$K$18,""),_xlpm.opp,IF($AL6=_xlpm.oppA,_xlpm.oppB,_xlpm.oppA),IF(_xlpm.auto,SUMIFS($AB$4:$AB$273,$S$4:$S$273,$AK6,$T$4:$T$273,_xlpm.opp),Scorebook!I23)))</f>
      </c>
      <c r="AU6" s="5" cm="1">
        <f t="array" aca="1" ref="AU6" ca="1">IF($AK6="","",_xlfn.LET(_xlpm.auto,AND(MOD(ROW()-4,6)=0,$AM6&lt;&gt;0,SUMPRODUCT(--(OFFSET($AM6,1,0,5,1)&lt;&gt;0))=0),_xlpm.winner,_xlfn.XLOOKUP($AK6,$H$4:$H$18,$L$4:$L$18,""),IF(_xlpm.auto,--($AL6=_xlpm.winner),Scorebook!J23)))</f>
      </c>
      <c r="AV6" s="5" cm="1">
        <f t="array" aca="1" ref="AV6" ca="1">IF($AK6="","",_xlfn.LET(_xlpm.auto,AND(MOD(ROW()-4,6)=0,$AM6&lt;&gt;0,SUMPRODUCT(--(OFFSET($AM6,1,0,5,1)&lt;&gt;0))=0),_xlpm.loser,_xlfn.XLOOKUP($AK6,$H$4:$H$18,$M$4:$M$18,""),IF(_xlpm.auto,--($AL6=_xlpm.loser),Scorebook!K23)))</f>
      </c>
      <c r="AW6" s="5">
        <f ca="1">Scorebook!L23</f>
      </c>
      <c r="AX6" s="5" cm="1">
        <f t="array" aca="1" ref="AX6" ca="1">IF($AK6="","",_xlfn.LET(_xlpm.auto,AND(MOD(ROW()-4,6)=0,$AM6&lt;&gt;0,SUMPRODUCT(--(OFFSET($AM6,1,0,5,1)&lt;&gt;0))=0),_xlpm.oppA,_xlfn.XLOOKUP($AK6,$H$4:$H$18,$J$4:$J$18,""),_xlpm.oppRuns,IF($AL6=_xlpm.oppA,_xlfn.XLOOKUP($AK6,$H$4:$H$18,$O$4:$O$18,""),_xlfn.XLOOKUP($AK6,$H$4:$H$18,$N$4:$N$18,"")),IF(_xlpm.auto,--(_xlpm.oppRuns=0),Scorebook!M23)))</f>
      </c>
      <c r="AY6" s="5" cm="1">
        <f t="array" aca="1" ref="AY6" ca="1">IF($AK6="","",_xlfn.LET(_xlpm.auto,AND(MOD(ROW()-4,6)=0,$AM6&lt;&gt;0,SUMPRODUCT(--(OFFSET($AM6,1,0,5,1)&lt;&gt;0))=0),IF(_xlpm.auto,1,Scorebook!N23)))</f>
      </c>
      <c r="AZ6" s="10"/>
      <c r="BA6" s="10"/>
      <c r="BB6" s="5">
        <f>Settings!$B$2</f>
        <v>1</v>
      </c>
      <c r="BC6" s="5">
        <f>Betting!A8</f>
        <v>0</v>
      </c>
      <c r="BD6" s="5">
        <f>Betting!B8</f>
        <v>0</v>
      </c>
      <c r="BE6" s="5">
        <f>Betting!C8</f>
        <v>0</v>
      </c>
      <c r="BF6" s="5">
        <f>Betting!D8</f>
        <v>0</v>
      </c>
      <c r="BG6" s="5">
        <f>Betting!E8</f>
        <v>0</v>
      </c>
      <c r="BH6" s="5">
        <f>Betting!F8</f>
        <v>0</v>
      </c>
      <c r="BI6" s="4">
        <f>Betting!G8</f>
        <v>0</v>
      </c>
      <c r="BJ6" s="5">
        <f>Betting!H8</f>
        <v>0</v>
      </c>
      <c r="BK6" s="8" t="str">
        <f t="shared" ref="BK6:CM6" ca="1" si="0">IFERROR(_xlfn.SINGLE(INDEX(_xlfn._xlws.FILTER($D$4:$D$75, _xlfn.SINGLE($C$4:$C$75) = BK$5), ROWS(BK$6:BK$6))), "")</f>
        <v/>
      </c>
      <c r="BL6" s="8" t="str">
        <f t="shared" ca="1" si="0"/>
        <v/>
      </c>
      <c r="BM6" s="8" t="str">
        <f t="shared" ca="1" si="0"/>
        <v/>
      </c>
      <c r="BN6" s="8" t="str">
        <f t="shared" ca="1" si="0"/>
        <v/>
      </c>
      <c r="BO6" s="8" t="str">
        <f t="shared" ca="1" si="0"/>
        <v>Bowser Jr.</v>
      </c>
      <c r="BP6" s="8" t="str">
        <f t="shared" ca="1" si="0"/>
        <v/>
      </c>
      <c r="BQ6" s="8" t="str">
        <f t="shared" ca="1" si="0"/>
        <v/>
      </c>
      <c r="BR6" s="8" t="str">
        <f t="shared" ca="1" si="0"/>
        <v/>
      </c>
      <c r="BS6" s="8" t="str">
        <f t="shared" ca="1" si="0"/>
        <v/>
      </c>
      <c r="BT6" s="8" t="str">
        <f t="shared" ca="1" si="0"/>
        <v/>
      </c>
      <c r="BU6" s="8" t="str">
        <f t="shared" ca="1" si="0"/>
        <v/>
      </c>
      <c r="BV6" s="8" t="str">
        <f t="shared" ca="1" si="0"/>
        <v>Bowser Jr.</v>
      </c>
      <c r="BW6" s="8" t="str">
        <f t="shared" ca="1" si="0"/>
        <v/>
      </c>
      <c r="BX6" s="8" t="str">
        <f t="shared" ca="1" si="0"/>
        <v/>
      </c>
      <c r="BY6" s="8" t="str">
        <f t="shared" ca="1" si="0"/>
        <v/>
      </c>
      <c r="BZ6" s="8" t="str">
        <f t="shared" ca="1" si="0"/>
        <v>Bowser Jr.</v>
      </c>
      <c r="CA6" s="8" t="str">
        <f t="shared" ca="1" si="0"/>
        <v/>
      </c>
      <c r="CB6" s="8" t="str">
        <f t="shared" ca="1" si="0"/>
        <v>Bowser Jr.</v>
      </c>
      <c r="CC6" s="8" t="str">
        <f t="shared" ca="1" si="0"/>
        <v/>
      </c>
      <c r="CD6" s="8" t="str">
        <f t="shared" ca="1" si="0"/>
        <v/>
      </c>
      <c r="CE6" s="8" t="str">
        <f t="shared" ca="1" si="0"/>
        <v/>
      </c>
      <c r="CF6" s="8" t="str">
        <f t="shared" ca="1" si="0"/>
        <v/>
      </c>
      <c r="CG6" s="8" t="str">
        <f t="shared" ca="1" si="0"/>
        <v/>
      </c>
      <c r="CH6" s="8" t="str">
        <f t="shared" ca="1" si="0"/>
        <v/>
      </c>
      <c r="CI6" s="8" t="str">
        <f t="shared" ca="1" si="0"/>
        <v/>
      </c>
      <c r="CJ6" s="8" t="str">
        <f t="shared" ca="1" si="0"/>
        <v/>
      </c>
      <c r="CK6" s="8" t="str">
        <f t="shared" ca="1" si="0"/>
        <v/>
      </c>
      <c r="CL6" s="8" t="str">
        <f t="shared" ca="1" si="0"/>
        <v/>
      </c>
      <c r="CM6" s="8" t="str">
        <f t="shared" ca="1" si="0"/>
        <v/>
      </c>
    </row>
    <row r="7" spans="1:91">
      <c r="A7" s="4">
        <f>ROW()-3</f>
        <v>4</v>
      </c>
      <c r="B7" s="4">
        <f>IF(A7="","",ROUNDUP(A7/Settings!$B$3,0))</f>
        <v>1</v>
      </c>
      <c r="C7" s="5" t="str">
        <f>IF(Draft!$A$9="","",Draft!$D$9)</f>
        <v>Aidan</v>
      </c>
      <c r="D7" s="5" t="str">
        <f>IF(Draft!$E$9="","",Draft!$E$9)</f>
        <v>Mario</v>
      </c>
      <c r="E7" s="5">
        <f>Settings!$B$2</f>
        <v>1</v>
      </c>
      <c r="F7" s="5" t="b">
        <f>AND(C7&lt;&gt;"",D7&lt;&gt;"")</f>
        <v>1</v>
      </c>
      <c r="G7" s="18"/>
      <c r="H7" s="4" t="str">
        <f ca="1">Scorebook!$F$149</f>
        <v>G4</v>
      </c>
      <c r="I7" s="5" t="str">
        <f ca="1">IF(AND(Bracket!$H$9&lt;&gt;"",Bracket!$I$9&lt;&gt;""),Bracket!$G$9,"")</f>
        <v>Winners R2-2</v>
      </c>
      <c r="J7" s="5" t="str">
        <f ca="1">Scorebook!$N$149</f>
        <v>Jason</v>
      </c>
      <c r="K7" s="5" t="str">
        <f ca="1">Scorebook!$R$149</f>
        <v>Aidan</v>
      </c>
      <c r="L7" s="5" t="str">
        <f ca="1">Scorebook!$V$149</f>
        <v>Jason</v>
      </c>
      <c r="M7" s="5" t="str">
        <f ca="1">IF(L7="","",IF(L7=J7,K7,J7))</f>
        <v>Aidan</v>
      </c>
      <c r="N7" s="5">
        <f ca="1">Scorebook!$K$151</f>
        <v>5</v>
      </c>
      <c r="O7" s="5">
        <f ca="1">Scorebook!$K$152</f>
        <v>2</v>
      </c>
      <c r="P7" s="5">
        <f ca="1">IF(H7="","",--(L7&lt;&gt;""))</f>
        <v>1</v>
      </c>
      <c r="Q7" s="5">
        <f>Settings!$B$2</f>
        <v>1</v>
      </c>
      <c r="R7" s="18"/>
      <c r="S7" s="4" t="str">
        <f ca="1">Scorebook!$F$2</f>
        <v>G1</v>
      </c>
      <c r="T7" s="5" t="str">
        <f ca="1">Scorebook!$N$2</f>
        <v>Nick</v>
      </c>
      <c r="U7" s="5" t="str">
        <f ca="1">Scorebook!$B$12</f>
        <v>Wario</v>
      </c>
      <c r="V7" s="4">
        <v>4</v>
      </c>
      <c r="W7" s="5">
        <f ca="1">Scorebook!M12</f>
        <v>2</v>
      </c>
      <c r="X7" s="5">
        <f ca="1">Scorebook!N12</f>
        <v>0</v>
      </c>
      <c r="Y7" s="5">
        <f ca="1">Scorebook!O12</f>
        <v>2</v>
      </c>
      <c r="Z7" s="5">
        <f ca="1">Scorebook!P12</f>
        <v>1</v>
      </c>
      <c r="AA7" s="5">
        <f ca="1">Scorebook!Q12</f>
        <v>0</v>
      </c>
      <c r="AB7" s="5">
        <f ca="1">Scorebook!R12</f>
        <v>1</v>
      </c>
      <c r="AC7" s="5">
        <f ca="1">Scorebook!S12</f>
        <v>3</v>
      </c>
      <c r="AD7" s="5">
        <f ca="1">Scorebook!T12</f>
        <v>0</v>
      </c>
      <c r="AE7" s="5">
        <f ca="1">Scorebook!U12</f>
        <v>0</v>
      </c>
      <c r="AF7" s="5">
        <f ca="1">Scorebook!V12</f>
        <v>0</v>
      </c>
      <c r="AG7" s="5">
        <f ca="1">Scorebook!W12</f>
        <v>0</v>
      </c>
      <c r="AH7" s="5">
        <f ca="1">Scorebook!X12</f>
        <v>0</v>
      </c>
      <c r="AI7" s="5">
        <f>Settings!$B$2</f>
        <v>1</v>
      </c>
      <c r="AJ7" s="18">
        <f ca="1">IF($AK7="","",Scorebook!$O$24)</f>
      </c>
      <c r="AK7" s="4" t="str">
        <f ca="1">Scorebook!$F$2</f>
        <v>G1</v>
      </c>
      <c r="AL7" s="5" t="str">
        <f ca="1">Scorebook!$N$2</f>
        <v>Nick</v>
      </c>
      <c r="AM7" s="5" t="str">
        <f>Scorebook!$B$24</f>
      </c>
      <c r="AN7" s="5">
        <f ca="1">IF(Scorebook!C24="","",INT(Scorebook!C24)+MOD(ROUND(Scorebook!C24*10,0),10)/3)</f>
      </c>
      <c r="AO7" s="5" cm="1">
        <f t="array" aca="1" ref="AO7" ca="1">IF($AK7="","",_xlfn.LET(_xlpm.auto,AND(MOD(ROW()-4,6)=0,$AM7&lt;&gt;0,SUMPRODUCT(--(OFFSET($AM7,1,0,5,1)&lt;&gt;0))=0),_xlpm.oppA,_xlfn.XLOOKUP($AK7,$H$4:$H$18,$J$4:$J$18,""),_xlpm.oppB,_xlfn.XLOOKUP($AK7,$H$4:$H$18,$K$4:$K$18,""),_xlpm.opp,IF($AL7=_xlpm.oppA,_xlpm.oppB,_xlpm.oppA),IF(_xlpm.auto,SUMIFS($Y$4:$Y$273,$S$4:$S$273,$AK7,$T$4:$T$273,_xlpm.opp),Scorebook!D24)))</f>
      </c>
      <c r="AP7" s="5" cm="1">
        <f t="array" aca="1" ref="AP7" ca="1">IF($AK7="","",_xlfn.LET(_xlpm.auto,AND(MOD(ROW()-4,6)=0,$AM7&lt;&gt;0,SUMPRODUCT(--(OFFSET($AM7,1,0,5,1)&lt;&gt;0))=0),_xlpm.oppA,_xlfn.XLOOKUP($AK7,$H$4:$H$18,$J$4:$J$18,""),_xlpm.oppRuns,IF($AL7=_xlpm.oppA,_xlfn.XLOOKUP($AK7,$H$4:$H$18,$O$4:$O$18,""),_xlfn.XLOOKUP($AK7,$H$4:$H$18,$N$4:$N$18,"")),IF(_xlpm.auto,_xlpm.oppRuns,Scorebook!E24)))</f>
      </c>
      <c r="AQ7" s="5">
        <f ca="1">Scorebook!F24</f>
      </c>
      <c r="AR7" s="5" cm="1">
        <f t="array" aca="1" ref="AR7" ca="1">IF($AK7="","",_xlfn.LET(_xlpm.auto,AND(MOD(ROW()-4,6)=0,$AM7&lt;&gt;0,SUMPRODUCT(--(OFFSET($AM7,1,0,5,1)&lt;&gt;0))=0),_xlpm.oppA,_xlfn.XLOOKUP($AK7,$H$4:$H$18,$J$4:$J$18,""),_xlpm.oppB,_xlfn.XLOOKUP($AK7,$H$4:$H$18,$K$4:$K$18,""),_xlpm.opp,IF($AL7=_xlpm.oppA,_xlpm.oppB,_xlpm.oppA),IF(_xlpm.auto,SUMIFS($AD$4:$AD$273,$S$4:$S$273,$AK7,$T$4:$T$273,_xlpm.opp),Scorebook!G24)))</f>
      </c>
      <c r="AS7" s="5" cm="1">
        <f t="array" aca="1" ref="AS7" ca="1">IF($AK7="","",_xlfn.LET(_xlpm.auto,AND(MOD(ROW()-4,6)=0,$AM7&lt;&gt;0,SUMPRODUCT(--(OFFSET($AM7,1,0,5,1)&lt;&gt;0))=0),_xlpm.oppA,_xlfn.XLOOKUP($AK7,$H$4:$H$18,$J$4:$J$18,""),_xlpm.oppB,_xlfn.XLOOKUP($AK7,$H$4:$H$18,$K$4:$K$18,""),_xlpm.opp,IF($AL7=_xlpm.oppA,_xlpm.oppB,_xlpm.oppA),IF(_xlpm.auto,SUMIFS($AE$4:$AE$273,$S$4:$S$273,$AK7,$T$4:$T$273,_xlpm.opp),Scorebook!H24)))</f>
      </c>
      <c r="AT7" s="5" cm="1">
        <f t="array" aca="1" ref="AT7" ca="1">IF($AK7="","",_xlfn.LET(_xlpm.auto,AND(MOD(ROW()-4,6)=0,$AM7&lt;&gt;0,SUMPRODUCT(--(OFFSET($AM7,1,0,5,1)&lt;&gt;0))=0),_xlpm.oppA,_xlfn.XLOOKUP($AK7,$H$4:$H$18,$J$4:$J$18,""),_xlpm.oppB,_xlfn.XLOOKUP($AK7,$H$4:$H$18,$K$4:$K$18,""),_xlpm.opp,IF($AL7=_xlpm.oppA,_xlpm.oppB,_xlpm.oppA),IF(_xlpm.auto,SUMIFS($AB$4:$AB$273,$S$4:$S$273,$AK7,$T$4:$T$273,_xlpm.opp),Scorebook!I24)))</f>
      </c>
      <c r="AU7" s="5" cm="1">
        <f t="array" aca="1" ref="AU7" ca="1">IF($AK7="","",_xlfn.LET(_xlpm.auto,AND(MOD(ROW()-4,6)=0,$AM7&lt;&gt;0,SUMPRODUCT(--(OFFSET($AM7,1,0,5,1)&lt;&gt;0))=0),_xlpm.winner,_xlfn.XLOOKUP($AK7,$H$4:$H$18,$L$4:$L$18,""),IF(_xlpm.auto,--($AL7=_xlpm.winner),Scorebook!J24)))</f>
      </c>
      <c r="AV7" s="5" cm="1">
        <f t="array" aca="1" ref="AV7" ca="1">IF($AK7="","",_xlfn.LET(_xlpm.auto,AND(MOD(ROW()-4,6)=0,$AM7&lt;&gt;0,SUMPRODUCT(--(OFFSET($AM7,1,0,5,1)&lt;&gt;0))=0),_xlpm.loser,_xlfn.XLOOKUP($AK7,$H$4:$H$18,$M$4:$M$18,""),IF(_xlpm.auto,--($AL7=_xlpm.loser),Scorebook!K24)))</f>
      </c>
      <c r="AW7" s="5">
        <f ca="1">Scorebook!L24</f>
      </c>
      <c r="AX7" s="5" cm="1">
        <f t="array" aca="1" ref="AX7" ca="1">IF($AK7="","",_xlfn.LET(_xlpm.auto,AND(MOD(ROW()-4,6)=0,$AM7&lt;&gt;0,SUMPRODUCT(--(OFFSET($AM7,1,0,5,1)&lt;&gt;0))=0),_xlpm.oppA,_xlfn.XLOOKUP($AK7,$H$4:$H$18,$J$4:$J$18,""),_xlpm.oppRuns,IF($AL7=_xlpm.oppA,_xlfn.XLOOKUP($AK7,$H$4:$H$18,$O$4:$O$18,""),_xlfn.XLOOKUP($AK7,$H$4:$H$18,$N$4:$N$18,"")),IF(_xlpm.auto,--(_xlpm.oppRuns=0),Scorebook!M24)))</f>
      </c>
      <c r="AY7" s="5" cm="1">
        <f t="array" aca="1" ref="AY7" ca="1">IF($AK7="","",_xlfn.LET(_xlpm.auto,AND(MOD(ROW()-4,6)=0,$AM7&lt;&gt;0,SUMPRODUCT(--(OFFSET($AM7,1,0,5,1)&lt;&gt;0))=0),IF(_xlpm.auto,1,Scorebook!N24)))</f>
      </c>
      <c r="AZ7" s="10"/>
      <c r="BA7" s="10"/>
      <c r="BB7" s="5">
        <f>Settings!$B$2</f>
        <v>1</v>
      </c>
      <c r="BC7" s="5">
        <f>Betting!A9</f>
        <v>0</v>
      </c>
      <c r="BD7" s="5">
        <f>Betting!B9</f>
        <v>0</v>
      </c>
      <c r="BE7" s="5">
        <f>Betting!C9</f>
        <v>0</v>
      </c>
      <c r="BF7" s="5">
        <f>Betting!D9</f>
        <v>0</v>
      </c>
      <c r="BG7" s="5">
        <f>Betting!E9</f>
        <v>0</v>
      </c>
      <c r="BH7" s="5">
        <f>Betting!F9</f>
        <v>0</v>
      </c>
      <c r="BI7" s="4">
        <f>Betting!G9</f>
        <v>0</v>
      </c>
      <c r="BJ7" s="5">
        <f>Betting!H9</f>
        <v>0</v>
      </c>
      <c r="BK7" s="8" t="str">
        <f t="shared" ref="BK7:CM7" ca="1" si="1">IFERROR(_xlfn.SINGLE(INDEX(_xlfn._xlws.FILTER($D$4:$D$75, _xlfn.SINGLE($C$4:$C$75) = BK$5), ROWS(BK$6:BK$7))), "")</f>
        <v/>
      </c>
      <c r="BL7" s="8" t="str">
        <f t="shared" ca="1" si="1"/>
        <v>Donkey Kong</v>
      </c>
      <c r="BM7" s="8" t="str">
        <f t="shared" ca="1" si="1"/>
        <v/>
      </c>
      <c r="BN7" s="8" t="str">
        <f t="shared" ca="1" si="1"/>
        <v/>
      </c>
      <c r="BO7" s="8" t="str">
        <f t="shared" ca="1" si="1"/>
        <v/>
      </c>
      <c r="BP7" s="8" t="str">
        <f t="shared" ca="1" si="1"/>
        <v/>
      </c>
      <c r="BQ7" s="8" t="str">
        <f t="shared" ca="1" si="1"/>
        <v>Donkey Kong</v>
      </c>
      <c r="BR7" s="8" t="str">
        <f t="shared" ca="1" si="1"/>
        <v/>
      </c>
      <c r="BS7" s="8" t="str">
        <f t="shared" ca="1" si="1"/>
        <v/>
      </c>
      <c r="BT7" s="8" t="str">
        <f t="shared" ca="1" si="1"/>
        <v>Donkey Kong</v>
      </c>
      <c r="BU7" s="8" t="str">
        <f t="shared" ca="1" si="1"/>
        <v/>
      </c>
      <c r="BV7" s="8" t="str">
        <f t="shared" ca="1" si="1"/>
        <v/>
      </c>
      <c r="BW7" s="8" t="str">
        <f t="shared" ca="1" si="1"/>
        <v/>
      </c>
      <c r="BX7" s="8" t="str">
        <f t="shared" ca="1" si="1"/>
        <v/>
      </c>
      <c r="BY7" s="8" t="str">
        <f t="shared" ca="1" si="1"/>
        <v/>
      </c>
      <c r="BZ7" s="8" t="str">
        <f t="shared" ca="1" si="1"/>
        <v/>
      </c>
      <c r="CA7" s="8" t="str">
        <f t="shared" ca="1" si="1"/>
        <v/>
      </c>
      <c r="CB7" s="8" t="str">
        <f t="shared" ca="1" si="1"/>
        <v/>
      </c>
      <c r="CC7" s="8" t="str">
        <f t="shared" ca="1" si="1"/>
        <v/>
      </c>
      <c r="CD7" s="8" t="str">
        <f t="shared" ca="1" si="1"/>
        <v/>
      </c>
      <c r="CE7" s="8" t="str">
        <f t="shared" ca="1" si="1"/>
        <v/>
      </c>
      <c r="CF7" s="8" t="str">
        <f t="shared" ca="1" si="1"/>
        <v/>
      </c>
      <c r="CG7" s="8" t="str">
        <f t="shared" ca="1" si="1"/>
        <v/>
      </c>
      <c r="CH7" s="8" t="str">
        <f t="shared" ca="1" si="1"/>
        <v/>
      </c>
      <c r="CI7" s="8" t="str">
        <f t="shared" ca="1" si="1"/>
        <v/>
      </c>
      <c r="CJ7" s="8" t="str">
        <f t="shared" ca="1" si="1"/>
        <v/>
      </c>
      <c r="CK7" s="8" t="str">
        <f t="shared" ca="1" si="1"/>
        <v/>
      </c>
      <c r="CL7" s="8" t="str">
        <f t="shared" ca="1" si="1"/>
        <v/>
      </c>
      <c r="CM7" s="8" t="str">
        <f t="shared" ca="1" si="1"/>
        <v/>
      </c>
    </row>
    <row r="8" spans="1:91">
      <c r="A8" s="4">
        <f>ROW()-3</f>
        <v>5</v>
      </c>
      <c r="B8" s="4">
        <f>IF(A8="","",ROUNDUP(A8/Settings!$B$3,0))</f>
        <v>1</v>
      </c>
      <c r="C8" s="5" t="str">
        <f>IF(Draft!$A$10="","",Draft!$D$10)</f>
        <v>Jason</v>
      </c>
      <c r="D8" s="5" t="str">
        <f>IF(Draft!$E$10="","",Draft!$E$10)</f>
        <v>Bowser</v>
      </c>
      <c r="E8" s="5">
        <f>Settings!$B$2</f>
        <v>1</v>
      </c>
      <c r="F8" s="5" t="b">
        <f>AND(C8&lt;&gt;"",D8&lt;&gt;"")</f>
        <v>1</v>
      </c>
      <c r="G8" s="18"/>
      <c r="H8" s="4" t="str">
        <f ca="1">Scorebook!$F$198</f>
        <v>G5</v>
      </c>
      <c r="I8" s="5" t="str">
        <f ca="1">IF(AND(Bracket!$H$10&lt;&gt;"",Bracket!$I$10&lt;&gt;""),Bracket!$G$10,"")</f>
        <v>Losers R1-1</v>
      </c>
      <c r="J8" s="5" t="str">
        <f ca="1">Scorebook!$N$198</f>
        <v>May</v>
      </c>
      <c r="K8" s="5" t="str">
        <f ca="1">Scorebook!$R$198</f>
        <v>Justin</v>
      </c>
      <c r="L8" s="5" t="str">
        <f ca="1">Scorebook!$V$198</f>
        <v>May</v>
      </c>
      <c r="M8" s="5" t="str">
        <f ca="1">IF(L8="","",IF(L8=J8,K8,J8))</f>
        <v>Justin</v>
      </c>
      <c r="N8" s="5">
        <f ca="1">Scorebook!$K$200</f>
        <v>2</v>
      </c>
      <c r="O8" s="5">
        <f ca="1">Scorebook!$K$201</f>
        <v>1</v>
      </c>
      <c r="P8" s="5">
        <f ca="1">IF(H8="","",--(L8&lt;&gt;""))</f>
        <v>1</v>
      </c>
      <c r="Q8" s="5">
        <f>Settings!$B$2</f>
        <v>1</v>
      </c>
      <c r="R8" s="18"/>
      <c r="S8" s="4" t="str">
        <f ca="1">Scorebook!$F$2</f>
        <v>G1</v>
      </c>
      <c r="T8" s="5" t="str">
        <f ca="1">Scorebook!$N$2</f>
        <v>Nick</v>
      </c>
      <c r="U8" s="5" t="str">
        <f ca="1">Scorebook!$B$13</f>
        <v>Boomerang Bro</v>
      </c>
      <c r="V8" s="4">
        <v>5</v>
      </c>
      <c r="W8" s="5">
        <f ca="1">Scorebook!M13</f>
        <v>2</v>
      </c>
      <c r="X8" s="5">
        <f ca="1">Scorebook!N13</f>
        <v>0</v>
      </c>
      <c r="Y8" s="5">
        <f ca="1">Scorebook!O13</f>
        <v>0</v>
      </c>
      <c r="Z8" s="5">
        <f ca="1">Scorebook!P13</f>
        <v>0</v>
      </c>
      <c r="AA8" s="5">
        <f ca="1">Scorebook!Q13</f>
        <v>0</v>
      </c>
      <c r="AB8" s="5">
        <f ca="1">Scorebook!R13</f>
        <v>0</v>
      </c>
      <c r="AC8" s="5">
        <f ca="1">Scorebook!S13</f>
        <v>0</v>
      </c>
      <c r="AD8" s="5">
        <f ca="1">Scorebook!T13</f>
        <v>0</v>
      </c>
      <c r="AE8" s="5">
        <f ca="1">Scorebook!U13</f>
        <v>1</v>
      </c>
      <c r="AF8" s="5">
        <f ca="1">Scorebook!V13</f>
        <v>0</v>
      </c>
      <c r="AG8" s="5">
        <f ca="1">Scorebook!W13</f>
        <v>0</v>
      </c>
      <c r="AH8" s="5">
        <f ca="1">Scorebook!X13</f>
        <v>0</v>
      </c>
      <c r="AI8" s="5">
        <f>Settings!$B$2</f>
        <v>1</v>
      </c>
      <c r="AJ8" s="18">
        <f ca="1">IF($AK8="","",Scorebook!$O$25)</f>
      </c>
      <c r="AK8" s="4" t="str">
        <f ca="1">Scorebook!$F$2</f>
        <v>G1</v>
      </c>
      <c r="AL8" s="5" t="str">
        <f ca="1">Scorebook!$N$2</f>
        <v>Nick</v>
      </c>
      <c r="AM8" s="5" t="str">
        <f>Scorebook!$B$25</f>
      </c>
      <c r="AN8" s="5">
        <f ca="1">IF(Scorebook!C25="","",INT(Scorebook!C25)+MOD(ROUND(Scorebook!C25*10,0),10)/3)</f>
      </c>
      <c r="AO8" s="5" cm="1">
        <f t="array" aca="1" ref="AO8" ca="1">IF($AK8="","",_xlfn.LET(_xlpm.auto,AND(MOD(ROW()-4,6)=0,$AM8&lt;&gt;0,SUMPRODUCT(--(OFFSET($AM8,1,0,5,1)&lt;&gt;0))=0),_xlpm.oppA,_xlfn.XLOOKUP($AK8,$H$4:$H$18,$J$4:$J$18,""),_xlpm.oppB,_xlfn.XLOOKUP($AK8,$H$4:$H$18,$K$4:$K$18,""),_xlpm.opp,IF($AL8=_xlpm.oppA,_xlpm.oppB,_xlpm.oppA),IF(_xlpm.auto,SUMIFS($Y$4:$Y$273,$S$4:$S$273,$AK8,$T$4:$T$273,_xlpm.opp),Scorebook!D25)))</f>
      </c>
      <c r="AP8" s="5" cm="1">
        <f t="array" aca="1" ref="AP8" ca="1">IF($AK8="","",_xlfn.LET(_xlpm.auto,AND(MOD(ROW()-4,6)=0,$AM8&lt;&gt;0,SUMPRODUCT(--(OFFSET($AM8,1,0,5,1)&lt;&gt;0))=0),_xlpm.oppA,_xlfn.XLOOKUP($AK8,$H$4:$H$18,$J$4:$J$18,""),_xlpm.oppRuns,IF($AL8=_xlpm.oppA,_xlfn.XLOOKUP($AK8,$H$4:$H$18,$O$4:$O$18,""),_xlfn.XLOOKUP($AK8,$H$4:$H$18,$N$4:$N$18,"")),IF(_xlpm.auto,_xlpm.oppRuns,Scorebook!E25)))</f>
      </c>
      <c r="AQ8" s="5">
        <f ca="1">Scorebook!F25</f>
      </c>
      <c r="AR8" s="5" cm="1">
        <f t="array" aca="1" ref="AR8" ca="1">IF($AK8="","",_xlfn.LET(_xlpm.auto,AND(MOD(ROW()-4,6)=0,$AM8&lt;&gt;0,SUMPRODUCT(--(OFFSET($AM8,1,0,5,1)&lt;&gt;0))=0),_xlpm.oppA,_xlfn.XLOOKUP($AK8,$H$4:$H$18,$J$4:$J$18,""),_xlpm.oppB,_xlfn.XLOOKUP($AK8,$H$4:$H$18,$K$4:$K$18,""),_xlpm.opp,IF($AL8=_xlpm.oppA,_xlpm.oppB,_xlpm.oppA),IF(_xlpm.auto,SUMIFS($AD$4:$AD$273,$S$4:$S$273,$AK8,$T$4:$T$273,_xlpm.opp),Scorebook!G25)))</f>
      </c>
      <c r="AS8" s="5" cm="1">
        <f t="array" aca="1" ref="AS8" ca="1">IF($AK8="","",_xlfn.LET(_xlpm.auto,AND(MOD(ROW()-4,6)=0,$AM8&lt;&gt;0,SUMPRODUCT(--(OFFSET($AM8,1,0,5,1)&lt;&gt;0))=0),_xlpm.oppA,_xlfn.XLOOKUP($AK8,$H$4:$H$18,$J$4:$J$18,""),_xlpm.oppB,_xlfn.XLOOKUP($AK8,$H$4:$H$18,$K$4:$K$18,""),_xlpm.opp,IF($AL8=_xlpm.oppA,_xlpm.oppB,_xlpm.oppA),IF(_xlpm.auto,SUMIFS($AE$4:$AE$273,$S$4:$S$273,$AK8,$T$4:$T$273,_xlpm.opp),Scorebook!H25)))</f>
      </c>
      <c r="AT8" s="5" cm="1">
        <f t="array" aca="1" ref="AT8" ca="1">IF($AK8="","",_xlfn.LET(_xlpm.auto,AND(MOD(ROW()-4,6)=0,$AM8&lt;&gt;0,SUMPRODUCT(--(OFFSET($AM8,1,0,5,1)&lt;&gt;0))=0),_xlpm.oppA,_xlfn.XLOOKUP($AK8,$H$4:$H$18,$J$4:$J$18,""),_xlpm.oppB,_xlfn.XLOOKUP($AK8,$H$4:$H$18,$K$4:$K$18,""),_xlpm.opp,IF($AL8=_xlpm.oppA,_xlpm.oppB,_xlpm.oppA),IF(_xlpm.auto,SUMIFS($AB$4:$AB$273,$S$4:$S$273,$AK8,$T$4:$T$273,_xlpm.opp),Scorebook!I25)))</f>
      </c>
      <c r="AU8" s="5" cm="1">
        <f t="array" aca="1" ref="AU8" ca="1">IF($AK8="","",_xlfn.LET(_xlpm.auto,AND(MOD(ROW()-4,6)=0,$AM8&lt;&gt;0,SUMPRODUCT(--(OFFSET($AM8,1,0,5,1)&lt;&gt;0))=0),_xlpm.winner,_xlfn.XLOOKUP($AK8,$H$4:$H$18,$L$4:$L$18,""),IF(_xlpm.auto,--($AL8=_xlpm.winner),Scorebook!J25)))</f>
      </c>
      <c r="AV8" s="5" cm="1">
        <f t="array" aca="1" ref="AV8" ca="1">IF($AK8="","",_xlfn.LET(_xlpm.auto,AND(MOD(ROW()-4,6)=0,$AM8&lt;&gt;0,SUMPRODUCT(--(OFFSET($AM8,1,0,5,1)&lt;&gt;0))=0),_xlpm.loser,_xlfn.XLOOKUP($AK8,$H$4:$H$18,$M$4:$M$18,""),IF(_xlpm.auto,--($AL8=_xlpm.loser),Scorebook!K25)))</f>
      </c>
      <c r="AW8" s="5">
        <f ca="1">Scorebook!L25</f>
      </c>
      <c r="AX8" s="5" cm="1">
        <f t="array" aca="1" ref="AX8" ca="1">IF($AK8="","",_xlfn.LET(_xlpm.auto,AND(MOD(ROW()-4,6)=0,$AM8&lt;&gt;0,SUMPRODUCT(--(OFFSET($AM8,1,0,5,1)&lt;&gt;0))=0),_xlpm.oppA,_xlfn.XLOOKUP($AK8,$H$4:$H$18,$J$4:$J$18,""),_xlpm.oppRuns,IF($AL8=_xlpm.oppA,_xlfn.XLOOKUP($AK8,$H$4:$H$18,$O$4:$O$18,""),_xlfn.XLOOKUP($AK8,$H$4:$H$18,$N$4:$N$18,"")),IF(_xlpm.auto,--(_xlpm.oppRuns=0),Scorebook!M25)))</f>
      </c>
      <c r="AY8" s="5" cm="1">
        <f t="array" aca="1" ref="AY8" ca="1">IF($AK8="","",_xlfn.LET(_xlpm.auto,AND(MOD(ROW()-4,6)=0,$AM8&lt;&gt;0,SUMPRODUCT(--(OFFSET($AM8,1,0,5,1)&lt;&gt;0))=0),IF(_xlpm.auto,1,Scorebook!N25)))</f>
      </c>
      <c r="AZ8" s="10"/>
      <c r="BA8" s="10"/>
      <c r="BB8" s="5">
        <f>Settings!$B$2</f>
        <v>1</v>
      </c>
      <c r="BC8" s="5">
        <f>Betting!A10</f>
        <v>0</v>
      </c>
      <c r="BD8" s="5">
        <f>Betting!B10</f>
        <v>0</v>
      </c>
      <c r="BE8" s="5">
        <f>Betting!C10</f>
        <v>0</v>
      </c>
      <c r="BF8" s="5">
        <f>Betting!D10</f>
        <v>0</v>
      </c>
      <c r="BG8" s="5">
        <f>Betting!E10</f>
        <v>0</v>
      </c>
      <c r="BH8" s="5">
        <f>Betting!F10</f>
        <v>0</v>
      </c>
      <c r="BI8" s="4">
        <f>Betting!G10</f>
        <v>0</v>
      </c>
      <c r="BJ8" s="5">
        <f>Betting!H10</f>
        <v>0</v>
      </c>
      <c r="BK8" s="8" t="str">
        <f t="shared" ref="BK8:CM8" ca="1" si="2">IFERROR(_xlfn.SINGLE(INDEX(_xlfn._xlws.FILTER($D$4:$D$75, _xlfn.SINGLE($C$4:$C$75) = BK$5), ROWS(BK$6:BK$8))), "")</f>
        <v/>
      </c>
      <c r="BL8" s="8" t="str">
        <f t="shared" ca="1" si="2"/>
        <v/>
      </c>
      <c r="BM8" s="8" t="str">
        <f t="shared" ca="1" si="2"/>
        <v/>
      </c>
      <c r="BN8" s="8" t="str">
        <f t="shared" ca="1" si="2"/>
        <v/>
      </c>
      <c r="BO8" s="8" t="str">
        <f t="shared" ca="1" si="2"/>
        <v/>
      </c>
      <c r="BP8" s="8" t="str">
        <f t="shared" ca="1" si="2"/>
        <v>Daisy</v>
      </c>
      <c r="BQ8" s="8" t="str">
        <f t="shared" ca="1" si="2"/>
        <v/>
      </c>
      <c r="BR8" s="8" t="str">
        <f t="shared" ca="1" si="2"/>
        <v/>
      </c>
      <c r="BS8" s="8" t="str">
        <f t="shared" ca="1" si="2"/>
        <v/>
      </c>
      <c r="BT8" s="8" t="str">
        <f t="shared" ca="1" si="2"/>
        <v/>
      </c>
      <c r="BU8" s="8" t="str">
        <f t="shared" ca="1" si="2"/>
        <v/>
      </c>
      <c r="BV8" s="8" t="str">
        <f t="shared" ca="1" si="2"/>
        <v/>
      </c>
      <c r="BW8" s="8" t="str">
        <f t="shared" ca="1" si="2"/>
        <v>Daisy</v>
      </c>
      <c r="BX8" s="8" t="str">
        <f t="shared" ca="1" si="2"/>
        <v>Daisy</v>
      </c>
      <c r="BY8" s="8" t="str">
        <f t="shared" ca="1" si="2"/>
        <v/>
      </c>
      <c r="BZ8" s="8" t="str">
        <f t="shared" ca="1" si="2"/>
        <v/>
      </c>
      <c r="CA8" s="8" t="str">
        <f t="shared" ca="1" si="2"/>
        <v>Daisy</v>
      </c>
      <c r="CB8" s="8" t="str">
        <f t="shared" ca="1" si="2"/>
        <v/>
      </c>
      <c r="CC8" s="8" t="str">
        <f t="shared" ca="1" si="2"/>
        <v>Daisy</v>
      </c>
      <c r="CD8" s="8" t="str">
        <f t="shared" ca="1" si="2"/>
        <v/>
      </c>
      <c r="CE8" s="8" t="str">
        <f t="shared" ca="1" si="2"/>
        <v/>
      </c>
      <c r="CF8" s="8" t="str">
        <f t="shared" ca="1" si="2"/>
        <v/>
      </c>
      <c r="CG8" s="8" t="str">
        <f t="shared" ca="1" si="2"/>
        <v/>
      </c>
      <c r="CH8" s="8" t="str">
        <f t="shared" ca="1" si="2"/>
        <v/>
      </c>
      <c r="CI8" s="8" t="str">
        <f t="shared" ca="1" si="2"/>
        <v/>
      </c>
      <c r="CJ8" s="8" t="str">
        <f t="shared" ca="1" si="2"/>
        <v/>
      </c>
      <c r="CK8" s="8" t="str">
        <f t="shared" ca="1" si="2"/>
        <v/>
      </c>
      <c r="CL8" s="8" t="str">
        <f t="shared" ca="1" si="2"/>
        <v/>
      </c>
      <c r="CM8" s="8" t="str">
        <f t="shared" ca="1" si="2"/>
        <v/>
      </c>
    </row>
    <row r="9" spans="1:91">
      <c r="A9" s="4">
        <f>ROW()-3</f>
        <v>6</v>
      </c>
      <c r="B9" s="4">
        <f>IF(A9="","",ROUNDUP(A9/Settings!$B$3,0))</f>
        <v>1</v>
      </c>
      <c r="C9" s="5" t="str">
        <f>IF(Draft!$A$11="","",Draft!$D$11)</f>
        <v>May</v>
      </c>
      <c r="D9" s="5" t="str">
        <f>IF(Draft!$E$11="","",Draft!$E$11)</f>
        <v>Birdo</v>
      </c>
      <c r="E9" s="5">
        <f>Settings!$B$2</f>
        <v>1</v>
      </c>
      <c r="F9" s="5" t="b">
        <f>AND(C9&lt;&gt;"",D9&lt;&gt;"")</f>
        <v>1</v>
      </c>
      <c r="G9" s="18"/>
      <c r="H9" s="4" t="str">
        <f ca="1">Scorebook!$F$247</f>
        <v>G6</v>
      </c>
      <c r="I9" s="5" t="str">
        <f ca="1">IF(AND(Bracket!$H$11&lt;&gt;"",Bracket!$I$11&lt;&gt;""),Bracket!$G$11,"")</f>
        <v>Losers R1-2</v>
      </c>
      <c r="J9" s="5" t="str">
        <f ca="1">Scorebook!$N$247</f>
        <v>Aidan</v>
      </c>
      <c r="K9" s="5" t="str">
        <f ca="1">Scorebook!$R$247</f>
        <v>Donovan</v>
      </c>
      <c r="L9" s="5" t="str">
        <f ca="1">Scorebook!$V$247</f>
        <v>Donovan</v>
      </c>
      <c r="M9" s="5" t="str">
        <f ca="1">IF(L9="","",IF(L9=J9,K9,J9))</f>
        <v>Aidan</v>
      </c>
      <c r="N9" s="5">
        <f ca="1">Scorebook!$K$249</f>
        <v>1</v>
      </c>
      <c r="O9" s="5">
        <f ca="1">Scorebook!$K$250</f>
        <v>4</v>
      </c>
      <c r="P9" s="5">
        <f ca="1">IF(H9="","",--(L9&lt;&gt;""))</f>
        <v>1</v>
      </c>
      <c r="Q9" s="5">
        <f>Settings!$B$2</f>
        <v>1</v>
      </c>
      <c r="R9" s="18"/>
      <c r="S9" s="4" t="str">
        <f ca="1">Scorebook!$F$2</f>
        <v>G1</v>
      </c>
      <c r="T9" s="5" t="str">
        <f ca="1">Scorebook!$N$2</f>
        <v>Nick</v>
      </c>
      <c r="U9" s="5" t="str">
        <f ca="1">Scorebook!$B$14</f>
        <v>Mii</v>
      </c>
      <c r="V9" s="4">
        <v>6</v>
      </c>
      <c r="W9" s="5">
        <f ca="1">Scorebook!M14</f>
        <v>1</v>
      </c>
      <c r="X9" s="5">
        <f ca="1">Scorebook!N14</f>
        <v>0</v>
      </c>
      <c r="Y9" s="5">
        <f ca="1">Scorebook!O14</f>
        <v>0</v>
      </c>
      <c r="Z9" s="5">
        <f ca="1">Scorebook!P14</f>
        <v>0</v>
      </c>
      <c r="AA9" s="5">
        <f ca="1">Scorebook!Q14</f>
        <v>0</v>
      </c>
      <c r="AB9" s="5">
        <f ca="1">Scorebook!R14</f>
        <v>0</v>
      </c>
      <c r="AC9" s="5">
        <f ca="1">Scorebook!S14</f>
        <v>0</v>
      </c>
      <c r="AD9" s="5">
        <f ca="1">Scorebook!T14</f>
        <v>0</v>
      </c>
      <c r="AE9" s="5">
        <f ca="1">Scorebook!U14</f>
        <v>0</v>
      </c>
      <c r="AF9" s="5">
        <f ca="1">Scorebook!V14</f>
        <v>0</v>
      </c>
      <c r="AG9" s="5">
        <f ca="1">Scorebook!W14</f>
        <v>0</v>
      </c>
      <c r="AH9" s="5">
        <f ca="1">Scorebook!X14</f>
        <v>0</v>
      </c>
      <c r="AI9" s="5">
        <f>Settings!$B$2</f>
        <v>1</v>
      </c>
      <c r="AJ9" s="18">
        <f ca="1">IF($AK9="","",Scorebook!$O$26)</f>
      </c>
      <c r="AK9" s="4" t="str">
        <f ca="1">Scorebook!$F$2</f>
        <v>G1</v>
      </c>
      <c r="AL9" s="5" t="str">
        <f ca="1">Scorebook!$N$2</f>
        <v>Nick</v>
      </c>
      <c r="AM9" s="5" t="str">
        <f>Scorebook!$B$26</f>
      </c>
      <c r="AN9" s="5">
        <f ca="1">IF(Scorebook!C26="","",INT(Scorebook!C26)+MOD(ROUND(Scorebook!C26*10,0),10)/3)</f>
      </c>
      <c r="AO9" s="5" cm="1">
        <f t="array" aca="1" ref="AO9" ca="1">IF($AK9="","",_xlfn.LET(_xlpm.auto,AND(MOD(ROW()-4,6)=0,$AM9&lt;&gt;0,SUMPRODUCT(--(OFFSET($AM9,1,0,5,1)&lt;&gt;0))=0),_xlpm.oppA,_xlfn.XLOOKUP($AK9,$H$4:$H$18,$J$4:$J$18,""),_xlpm.oppB,_xlfn.XLOOKUP($AK9,$H$4:$H$18,$K$4:$K$18,""),_xlpm.opp,IF($AL9=_xlpm.oppA,_xlpm.oppB,_xlpm.oppA),IF(_xlpm.auto,SUMIFS($Y$4:$Y$273,$S$4:$S$273,$AK9,$T$4:$T$273,_xlpm.opp),Scorebook!D26)))</f>
      </c>
      <c r="AP9" s="5" cm="1">
        <f t="array" aca="1" ref="AP9" ca="1">IF($AK9="","",_xlfn.LET(_xlpm.auto,AND(MOD(ROW()-4,6)=0,$AM9&lt;&gt;0,SUMPRODUCT(--(OFFSET($AM9,1,0,5,1)&lt;&gt;0))=0),_xlpm.oppA,_xlfn.XLOOKUP($AK9,$H$4:$H$18,$J$4:$J$18,""),_xlpm.oppRuns,IF($AL9=_xlpm.oppA,_xlfn.XLOOKUP($AK9,$H$4:$H$18,$O$4:$O$18,""),_xlfn.XLOOKUP($AK9,$H$4:$H$18,$N$4:$N$18,"")),IF(_xlpm.auto,_xlpm.oppRuns,Scorebook!E26)))</f>
      </c>
      <c r="AQ9" s="5">
        <f ca="1">Scorebook!F26</f>
      </c>
      <c r="AR9" s="5" cm="1">
        <f t="array" aca="1" ref="AR9" ca="1">IF($AK9="","",_xlfn.LET(_xlpm.auto,AND(MOD(ROW()-4,6)=0,$AM9&lt;&gt;0,SUMPRODUCT(--(OFFSET($AM9,1,0,5,1)&lt;&gt;0))=0),_xlpm.oppA,_xlfn.XLOOKUP($AK9,$H$4:$H$18,$J$4:$J$18,""),_xlpm.oppB,_xlfn.XLOOKUP($AK9,$H$4:$H$18,$K$4:$K$18,""),_xlpm.opp,IF($AL9=_xlpm.oppA,_xlpm.oppB,_xlpm.oppA),IF(_xlpm.auto,SUMIFS($AD$4:$AD$273,$S$4:$S$273,$AK9,$T$4:$T$273,_xlpm.opp),Scorebook!G26)))</f>
      </c>
      <c r="AS9" s="5" cm="1">
        <f t="array" aca="1" ref="AS9" ca="1">IF($AK9="","",_xlfn.LET(_xlpm.auto,AND(MOD(ROW()-4,6)=0,$AM9&lt;&gt;0,SUMPRODUCT(--(OFFSET($AM9,1,0,5,1)&lt;&gt;0))=0),_xlpm.oppA,_xlfn.XLOOKUP($AK9,$H$4:$H$18,$J$4:$J$18,""),_xlpm.oppB,_xlfn.XLOOKUP($AK9,$H$4:$H$18,$K$4:$K$18,""),_xlpm.opp,IF($AL9=_xlpm.oppA,_xlpm.oppB,_xlpm.oppA),IF(_xlpm.auto,SUMIFS($AE$4:$AE$273,$S$4:$S$273,$AK9,$T$4:$T$273,_xlpm.opp),Scorebook!H26)))</f>
      </c>
      <c r="AT9" s="5" cm="1">
        <f t="array" aca="1" ref="AT9" ca="1">IF($AK9="","",_xlfn.LET(_xlpm.auto,AND(MOD(ROW()-4,6)=0,$AM9&lt;&gt;0,SUMPRODUCT(--(OFFSET($AM9,1,0,5,1)&lt;&gt;0))=0),_xlpm.oppA,_xlfn.XLOOKUP($AK9,$H$4:$H$18,$J$4:$J$18,""),_xlpm.oppB,_xlfn.XLOOKUP($AK9,$H$4:$H$18,$K$4:$K$18,""),_xlpm.opp,IF($AL9=_xlpm.oppA,_xlpm.oppB,_xlpm.oppA),IF(_xlpm.auto,SUMIFS($AB$4:$AB$273,$S$4:$S$273,$AK9,$T$4:$T$273,_xlpm.opp),Scorebook!I26)))</f>
      </c>
      <c r="AU9" s="5" cm="1">
        <f t="array" aca="1" ref="AU9" ca="1">IF($AK9="","",_xlfn.LET(_xlpm.auto,AND(MOD(ROW()-4,6)=0,$AM9&lt;&gt;0,SUMPRODUCT(--(OFFSET($AM9,1,0,5,1)&lt;&gt;0))=0),_xlpm.winner,_xlfn.XLOOKUP($AK9,$H$4:$H$18,$L$4:$L$18,""),IF(_xlpm.auto,--($AL9=_xlpm.winner),Scorebook!J26)))</f>
      </c>
      <c r="AV9" s="5" cm="1">
        <f t="array" aca="1" ref="AV9" ca="1">IF($AK9="","",_xlfn.LET(_xlpm.auto,AND(MOD(ROW()-4,6)=0,$AM9&lt;&gt;0,SUMPRODUCT(--(OFFSET($AM9,1,0,5,1)&lt;&gt;0))=0),_xlpm.loser,_xlfn.XLOOKUP($AK9,$H$4:$H$18,$M$4:$M$18,""),IF(_xlpm.auto,--($AL9=_xlpm.loser),Scorebook!K26)))</f>
      </c>
      <c r="AW9" s="5">
        <f ca="1">Scorebook!L26</f>
      </c>
      <c r="AX9" s="5" cm="1">
        <f t="array" aca="1" ref="AX9" ca="1">IF($AK9="","",_xlfn.LET(_xlpm.auto,AND(MOD(ROW()-4,6)=0,$AM9&lt;&gt;0,SUMPRODUCT(--(OFFSET($AM9,1,0,5,1)&lt;&gt;0))=0),_xlpm.oppA,_xlfn.XLOOKUP($AK9,$H$4:$H$18,$J$4:$J$18,""),_xlpm.oppRuns,IF($AL9=_xlpm.oppA,_xlfn.XLOOKUP($AK9,$H$4:$H$18,$O$4:$O$18,""),_xlfn.XLOOKUP($AK9,$H$4:$H$18,$N$4:$N$18,"")),IF(_xlpm.auto,--(_xlpm.oppRuns=0),Scorebook!M26)))</f>
      </c>
      <c r="AY9" s="5" cm="1">
        <f t="array" aca="1" ref="AY9" ca="1">IF($AK9="","",_xlfn.LET(_xlpm.auto,AND(MOD(ROW()-4,6)=0,$AM9&lt;&gt;0,SUMPRODUCT(--(OFFSET($AM9,1,0,5,1)&lt;&gt;0))=0),IF(_xlpm.auto,1,Scorebook!N26)))</f>
      </c>
      <c r="AZ9" s="10"/>
      <c r="BA9" s="10"/>
      <c r="BB9" s="5">
        <f>Settings!$B$2</f>
        <v>1</v>
      </c>
      <c r="BC9" s="5">
        <f>Betting!A11</f>
        <v>0</v>
      </c>
      <c r="BD9" s="5">
        <f>Betting!B11</f>
        <v>0</v>
      </c>
      <c r="BE9" s="5">
        <f>Betting!C11</f>
        <v>0</v>
      </c>
      <c r="BF9" s="5">
        <f>Betting!D11</f>
        <v>0</v>
      </c>
      <c r="BG9" s="5">
        <f>Betting!E11</f>
        <v>0</v>
      </c>
      <c r="BH9" s="5">
        <f>Betting!F11</f>
        <v>0</v>
      </c>
      <c r="BI9" s="4">
        <f>Betting!G11</f>
        <v>0</v>
      </c>
      <c r="BJ9" s="5">
        <f>Betting!H11</f>
        <v>0</v>
      </c>
      <c r="BK9" s="8" t="str">
        <f t="shared" ref="BK9:CM9" ca="1" si="3">IFERROR(_xlfn.SINGLE(INDEX(_xlfn._xlws.FILTER($D$4:$D$75, _xlfn.SINGLE($C$4:$C$75) = BK$5), ROWS(BK$6:BK$9))), "")</f>
        <v/>
      </c>
      <c r="BL9" s="8" t="str">
        <f t="shared" ca="1" si="3"/>
        <v/>
      </c>
      <c r="BM9" s="8" t="str">
        <f t="shared" ca="1" si="3"/>
        <v/>
      </c>
      <c r="BN9" s="8" t="str">
        <f t="shared" ca="1" si="3"/>
        <v>Mario</v>
      </c>
      <c r="BO9" s="8" t="str">
        <f t="shared" ca="1" si="3"/>
        <v/>
      </c>
      <c r="BP9" s="8" t="str">
        <f t="shared" ca="1" si="3"/>
        <v/>
      </c>
      <c r="BQ9" s="8" t="str">
        <f t="shared" ca="1" si="3"/>
        <v/>
      </c>
      <c r="BR9" s="8" t="str">
        <f t="shared" ca="1" si="3"/>
        <v>Mario</v>
      </c>
      <c r="BS9" s="8" t="str">
        <f t="shared" ca="1" si="3"/>
        <v/>
      </c>
      <c r="BT9" s="8" t="str">
        <f t="shared" ca="1" si="3"/>
        <v/>
      </c>
      <c r="BU9" s="8" t="str">
        <f t="shared" ca="1" si="3"/>
        <v/>
      </c>
      <c r="BV9" s="8" t="str">
        <f t="shared" ca="1" si="3"/>
        <v/>
      </c>
      <c r="BW9" s="8" t="str">
        <f t="shared" ca="1" si="3"/>
        <v/>
      </c>
      <c r="BX9" s="8" t="str">
        <f t="shared" ca="1" si="3"/>
        <v/>
      </c>
      <c r="BY9" s="8" t="str">
        <f t="shared" ca="1" si="3"/>
        <v>Mario</v>
      </c>
      <c r="BZ9" s="8" t="str">
        <f t="shared" ca="1" si="3"/>
        <v/>
      </c>
      <c r="CA9" s="8" t="str">
        <f t="shared" ca="1" si="3"/>
        <v/>
      </c>
      <c r="CB9" s="8" t="str">
        <f t="shared" ca="1" si="3"/>
        <v/>
      </c>
      <c r="CC9" s="8" t="str">
        <f t="shared" ca="1" si="3"/>
        <v/>
      </c>
      <c r="CD9" s="8" t="str">
        <f t="shared" ca="1" si="3"/>
        <v/>
      </c>
      <c r="CE9" s="8" t="str">
        <f t="shared" ca="1" si="3"/>
        <v/>
      </c>
      <c r="CF9" s="8" t="str">
        <f t="shared" ca="1" si="3"/>
        <v/>
      </c>
      <c r="CG9" s="8" t="str">
        <f t="shared" ca="1" si="3"/>
        <v/>
      </c>
      <c r="CH9" s="8" t="str">
        <f t="shared" ca="1" si="3"/>
        <v/>
      </c>
      <c r="CI9" s="8" t="str">
        <f t="shared" ca="1" si="3"/>
        <v/>
      </c>
      <c r="CJ9" s="8" t="str">
        <f t="shared" ca="1" si="3"/>
        <v/>
      </c>
      <c r="CK9" s="8" t="str">
        <f t="shared" ca="1" si="3"/>
        <v/>
      </c>
      <c r="CL9" s="8" t="str">
        <f t="shared" ca="1" si="3"/>
        <v/>
      </c>
      <c r="CM9" s="8" t="str">
        <f t="shared" ca="1" si="3"/>
        <v/>
      </c>
    </row>
    <row r="10" spans="1:91">
      <c r="A10" s="4">
        <f>ROW()-3</f>
        <v>7</v>
      </c>
      <c r="B10" s="4">
        <f>IF(A10="","",ROUNDUP(A10/Settings!$B$3,0))</f>
        <v>2</v>
      </c>
      <c r="C10" s="5" t="str">
        <f>IF(Draft!$A$12="","",Draft!$D$12)</f>
        <v>May</v>
      </c>
      <c r="D10" s="5" t="str">
        <f>IF(Draft!$E$12="","",Draft!$E$12)</f>
        <v>Petey Piranha</v>
      </c>
      <c r="E10" s="5">
        <f>Settings!$B$2</f>
        <v>1</v>
      </c>
      <c r="F10" s="5" t="b">
        <f>AND(C10&lt;&gt;"",D10&lt;&gt;"")</f>
        <v>1</v>
      </c>
      <c r="G10" s="18"/>
      <c r="H10" s="4" t="str">
        <f ca="1">Scorebook!$F$296</f>
        <v>G7</v>
      </c>
      <c r="I10" s="5" t="str">
        <f ca="1">IF(AND(Bracket!$H$13&lt;&gt;"",Bracket!$I$13&lt;&gt;""),Bracket!$G$13,"")</f>
        <v>Winners Final</v>
      </c>
      <c r="J10" s="5" t="str">
        <f ca="1">Scorebook!$N$296</f>
        <v>May</v>
      </c>
      <c r="K10" s="5" t="str">
        <f ca="1">Scorebook!$R$296</f>
        <v>Donovan</v>
      </c>
      <c r="L10" s="5" t="str">
        <f ca="1">Scorebook!$V$296</f>
        <v>May</v>
      </c>
      <c r="M10" s="5" t="str">
        <f ca="1">IF(L10="","",IF(L10=J10,K10,J10))</f>
        <v>Donovan</v>
      </c>
      <c r="N10" s="5">
        <f ca="1">Scorebook!$K$298</f>
        <v>1</v>
      </c>
      <c r="O10" s="5">
        <f ca="1">Scorebook!$K$299</f>
        <v>0</v>
      </c>
      <c r="P10" s="5">
        <f ca="1">IF(H10="","",--(L10&lt;&gt;""))</f>
        <v>1</v>
      </c>
      <c r="Q10" s="5">
        <f>Settings!$B$2</f>
        <v>1</v>
      </c>
      <c r="R10" s="18"/>
      <c r="S10" s="4" t="str">
        <f ca="1">Scorebook!$F$2</f>
        <v>G1</v>
      </c>
      <c r="T10" s="5" t="str">
        <f ca="1">Scorebook!$N$2</f>
        <v>Nick</v>
      </c>
      <c r="U10" s="5" t="str">
        <f ca="1">Scorebook!$B$15</f>
        <v>Blue Toad</v>
      </c>
      <c r="V10" s="4">
        <v>7</v>
      </c>
      <c r="W10" s="5">
        <f ca="1">Scorebook!M15</f>
        <v>1</v>
      </c>
      <c r="X10" s="5">
        <f ca="1">Scorebook!N15</f>
        <v>0</v>
      </c>
      <c r="Y10" s="5">
        <f ca="1">Scorebook!O15</f>
        <v>0</v>
      </c>
      <c r="Z10" s="5">
        <f ca="1">Scorebook!P15</f>
        <v>0</v>
      </c>
      <c r="AA10" s="5">
        <f ca="1">Scorebook!Q15</f>
        <v>0</v>
      </c>
      <c r="AB10" s="5">
        <f ca="1">Scorebook!R15</f>
        <v>0</v>
      </c>
      <c r="AC10" s="5">
        <f ca="1">Scorebook!S15</f>
        <v>0</v>
      </c>
      <c r="AD10" s="5">
        <f ca="1">Scorebook!T15</f>
        <v>0</v>
      </c>
      <c r="AE10" s="5">
        <f ca="1">Scorebook!U15</f>
        <v>0</v>
      </c>
      <c r="AF10" s="5">
        <f ca="1">Scorebook!V15</f>
        <v>0</v>
      </c>
      <c r="AG10" s="5">
        <f ca="1">Scorebook!W15</f>
        <v>0</v>
      </c>
      <c r="AH10" s="5">
        <f ca="1">Scorebook!X15</f>
        <v>0</v>
      </c>
      <c r="AI10" s="5">
        <f>Settings!$B$2</f>
        <v>1</v>
      </c>
      <c r="AJ10" s="18">
        <f ca="1">IF($AK10="","",Scorebook!$O$42)</f>
        <v>14</v>
      </c>
      <c r="AK10" s="4" t="str">
        <f ca="1">Scorebook!$F$2</f>
        <v>G1</v>
      </c>
      <c r="AL10" s="5" t="str">
        <f ca="1">Scorebook!$R$2</f>
        <v>Donovan</v>
      </c>
      <c r="AM10" s="5" t="str">
        <f>Scorebook!$B$42</f>
        <v>Waluigi</v>
      </c>
      <c r="AN10" s="5">
        <f ca="1">IF(Scorebook!C42="","",INT(Scorebook!C42)+MOD(ROUND(Scorebook!C42*10,0),10)/3)</f>
        <v>3.0</v>
      </c>
      <c r="AO10" s="5" cm="1">
        <f t="array" aca="1" ref="AO10" ca="1">IF($AK10="","",_xlfn.LET(_xlpm.auto,AND(MOD(ROW()-4,6)=0,$AM10&lt;&gt;0,SUMPRODUCT(--(OFFSET($AM10,1,0,5,1)&lt;&gt;0))=0),_xlpm.oppA,_xlfn.XLOOKUP($AK10,$H$4:$H$18,$J$4:$J$18,""),_xlpm.oppB,_xlfn.XLOOKUP($AK10,$H$4:$H$18,$K$4:$K$18,""),_xlpm.opp,IF($AL10=_xlpm.oppA,_xlpm.oppB,_xlpm.oppA),IF(_xlpm.auto,SUMIFS($Y$4:$Y$273,$S$4:$S$273,$AK10,$T$4:$T$273,_xlpm.opp),Scorebook!D42)))</f>
        <v>5</v>
      </c>
      <c r="AP10" s="5" cm="1">
        <f t="array" aca="1" ref="AP10" ca="1">IF($AK10="","",_xlfn.LET(_xlpm.auto,AND(MOD(ROW()-4,6)=0,$AM10&lt;&gt;0,SUMPRODUCT(--(OFFSET($AM10,1,0,5,1)&lt;&gt;0))=0),_xlpm.oppA,_xlfn.XLOOKUP($AK10,$H$4:$H$18,$J$4:$J$18,""),_xlpm.oppRuns,IF($AL10=_xlpm.oppA,_xlfn.XLOOKUP($AK10,$H$4:$H$18,$O$4:$O$18,""),_xlfn.XLOOKUP($AK10,$H$4:$H$18,$N$4:$N$18,"")),IF(_xlpm.auto,_xlpm.oppRuns,Scorebook!E42)))</f>
        <v>4</v>
      </c>
      <c r="AQ10" s="5">
        <f ca="1">Scorebook!F42</f>
        <v>4</v>
      </c>
      <c r="AR10" s="5" cm="1">
        <f t="array" aca="1" ref="AR10" ca="1">IF($AK10="","",_xlfn.LET(_xlpm.auto,AND(MOD(ROW()-4,6)=0,$AM10&lt;&gt;0,SUMPRODUCT(--(OFFSET($AM10,1,0,5,1)&lt;&gt;0))=0),_xlpm.oppA,_xlfn.XLOOKUP($AK10,$H$4:$H$18,$J$4:$J$18,""),_xlpm.oppB,_xlfn.XLOOKUP($AK10,$H$4:$H$18,$K$4:$K$18,""),_xlpm.opp,IF($AL10=_xlpm.oppA,_xlpm.oppB,_xlpm.oppA),IF(_xlpm.auto,SUMIFS($AD$4:$AD$273,$S$4:$S$273,$AK10,$T$4:$T$273,_xlpm.opp),Scorebook!G42)))</f>
        <v>0</v>
      </c>
      <c r="AS10" s="5" cm="1">
        <f t="array" aca="1" ref="AS10" ca="1">IF($AK10="","",_xlfn.LET(_xlpm.auto,AND(MOD(ROW()-4,6)=0,$AM10&lt;&gt;0,SUMPRODUCT(--(OFFSET($AM10,1,0,5,1)&lt;&gt;0))=0),_xlpm.oppA,_xlfn.XLOOKUP($AK10,$H$4:$H$18,$J$4:$J$18,""),_xlpm.oppB,_xlfn.XLOOKUP($AK10,$H$4:$H$18,$K$4:$K$18,""),_xlpm.opp,IF($AL10=_xlpm.oppA,_xlpm.oppB,_xlpm.oppA),IF(_xlpm.auto,SUMIFS($AE$4:$AE$273,$S$4:$S$273,$AK10,$T$4:$T$273,_xlpm.opp),Scorebook!H42)))</f>
        <v>2</v>
      </c>
      <c r="AT10" s="5" cm="1">
        <f t="array" aca="1" ref="AT10" ca="1">IF($AK10="","",_xlfn.LET(_xlpm.auto,AND(MOD(ROW()-4,6)=0,$AM10&lt;&gt;0,SUMPRODUCT(--(OFFSET($AM10,1,0,5,1)&lt;&gt;0))=0),_xlpm.oppA,_xlfn.XLOOKUP($AK10,$H$4:$H$18,$J$4:$J$18,""),_xlpm.oppB,_xlfn.XLOOKUP($AK10,$H$4:$H$18,$K$4:$K$18,""),_xlpm.opp,IF($AL10=_xlpm.oppA,_xlpm.oppB,_xlpm.oppA),IF(_xlpm.auto,SUMIFS($AB$4:$AB$273,$S$4:$S$273,$AK10,$T$4:$T$273,_xlpm.opp),Scorebook!I42)))</f>
        <v>1</v>
      </c>
      <c r="AU10" s="5" cm="1">
        <f t="array" aca="1" ref="AU10" ca="1">IF($AK10="","",_xlfn.LET(_xlpm.auto,AND(MOD(ROW()-4,6)=0,$AM10&lt;&gt;0,SUMPRODUCT(--(OFFSET($AM10,1,0,5,1)&lt;&gt;0))=0),_xlpm.winner,_xlfn.XLOOKUP($AK10,$H$4:$H$18,$L$4:$L$18,""),IF(_xlpm.auto,--($AL10=_xlpm.winner),Scorebook!J42)))</f>
        <v>0</v>
      </c>
      <c r="AV10" s="5" cm="1">
        <f t="array" aca="1" ref="AV10" ca="1">IF($AK10="","",_xlfn.LET(_xlpm.auto,AND(MOD(ROW()-4,6)=0,$AM10&lt;&gt;0,SUMPRODUCT(--(OFFSET($AM10,1,0,5,1)&lt;&gt;0))=0),_xlpm.loser,_xlfn.XLOOKUP($AK10,$H$4:$H$18,$M$4:$M$18,""),IF(_xlpm.auto,--($AL10=_xlpm.loser),Scorebook!K42)))</f>
        <v>1</v>
      </c>
      <c r="AW10" s="5">
        <f ca="1">Scorebook!L42</f>
        <v>0</v>
      </c>
      <c r="AX10" s="5" cm="1">
        <f t="array" aca="1" ref="AX10" ca="1">IF($AK10="","",_xlfn.LET(_xlpm.auto,AND(MOD(ROW()-4,6)=0,$AM10&lt;&gt;0,SUMPRODUCT(--(OFFSET($AM10,1,0,5,1)&lt;&gt;0))=0),_xlpm.oppA,_xlfn.XLOOKUP($AK10,$H$4:$H$18,$J$4:$J$18,""),_xlpm.oppRuns,IF($AL10=_xlpm.oppA,_xlfn.XLOOKUP($AK10,$H$4:$H$18,$O$4:$O$18,""),_xlfn.XLOOKUP($AK10,$H$4:$H$18,$N$4:$N$18,"")),IF(_xlpm.auto,--(_xlpm.oppRuns=0),Scorebook!M42)))</f>
        <v>0</v>
      </c>
      <c r="AY10" s="5" cm="1">
        <f t="array" aca="1" ref="AY10" ca="1">IF($AK10="","",_xlfn.LET(_xlpm.auto,AND(MOD(ROW()-4,6)=0,$AM10&lt;&gt;0,SUMPRODUCT(--(OFFSET($AM10,1,0,5,1)&lt;&gt;0))=0),IF(_xlpm.auto,1,Scorebook!N42)))</f>
        <v>1</v>
      </c>
      <c r="AZ10" s="10"/>
      <c r="BA10" s="10"/>
      <c r="BB10" s="5">
        <f>Settings!$B$2</f>
        <v>1</v>
      </c>
      <c r="BC10" s="5">
        <f>Betting!A12</f>
        <v>0</v>
      </c>
      <c r="BD10" s="5">
        <f>Betting!B12</f>
        <v>0</v>
      </c>
      <c r="BE10" s="5">
        <f>Betting!C12</f>
        <v>0</v>
      </c>
      <c r="BF10" s="5">
        <f>Betting!D12</f>
        <v>0</v>
      </c>
      <c r="BG10" s="5">
        <f>Betting!E12</f>
        <v>0</v>
      </c>
      <c r="BH10" s="5">
        <f>Betting!F12</f>
        <v>0</v>
      </c>
      <c r="BI10" s="4">
        <f>Betting!G12</f>
        <v>0</v>
      </c>
      <c r="BJ10" s="5">
        <f>Betting!H12</f>
        <v>0</v>
      </c>
      <c r="BK10" s="8" t="str">
        <f t="shared" ref="BK10:CM10" ca="1" si="4">IFERROR(_xlfn.SINGLE(INDEX(_xlfn._xlws.FILTER($D$4:$D$75, _xlfn.SINGLE($C$4:$C$75) = BK$5), ROWS(BK$6:BK$10))), "")</f>
        <v/>
      </c>
      <c r="BL10" s="8" t="str">
        <f t="shared" ca="1" si="4"/>
        <v/>
      </c>
      <c r="BM10" s="8" t="str">
        <f t="shared" ca="1" si="4"/>
        <v/>
      </c>
      <c r="BN10" s="8" t="str">
        <f t="shared" ca="1" si="4"/>
        <v>Bowser</v>
      </c>
      <c r="BO10" s="8" t="str">
        <f t="shared" ca="1" si="4"/>
        <v/>
      </c>
      <c r="BP10" s="8" t="str">
        <f t="shared" ca="1" si="4"/>
        <v/>
      </c>
      <c r="BQ10" s="8" t="str">
        <f t="shared" ca="1" si="4"/>
        <v/>
      </c>
      <c r="BR10" s="8" t="str">
        <f t="shared" ca="1" si="4"/>
        <v>Bowser</v>
      </c>
      <c r="BS10" s="8" t="str">
        <f t="shared" ca="1" si="4"/>
        <v/>
      </c>
      <c r="BT10" s="8" t="str">
        <f t="shared" ca="1" si="4"/>
        <v/>
      </c>
      <c r="BU10" s="8" t="str">
        <f t="shared" ca="1" si="4"/>
        <v/>
      </c>
      <c r="BV10" s="8" t="str">
        <f t="shared" ca="1" si="4"/>
        <v/>
      </c>
      <c r="BW10" s="8" t="str">
        <f t="shared" ca="1" si="4"/>
        <v/>
      </c>
      <c r="BX10" s="8" t="str">
        <f t="shared" ca="1" si="4"/>
        <v/>
      </c>
      <c r="BY10" s="8" t="str">
        <f t="shared" ca="1" si="4"/>
        <v>Bowser</v>
      </c>
      <c r="BZ10" s="8" t="str">
        <f t="shared" ca="1" si="4"/>
        <v/>
      </c>
      <c r="CA10" s="8" t="str">
        <f t="shared" ca="1" si="4"/>
        <v/>
      </c>
      <c r="CB10" s="8" t="str">
        <f t="shared" ca="1" si="4"/>
        <v/>
      </c>
      <c r="CC10" s="8" t="str">
        <f t="shared" ca="1" si="4"/>
        <v/>
      </c>
      <c r="CD10" s="8" t="str">
        <f t="shared" ca="1" si="4"/>
        <v/>
      </c>
      <c r="CE10" s="8" t="str">
        <f t="shared" ca="1" si="4"/>
        <v/>
      </c>
      <c r="CF10" s="8" t="str">
        <f t="shared" ca="1" si="4"/>
        <v/>
      </c>
      <c r="CG10" s="8" t="str">
        <f t="shared" ca="1" si="4"/>
        <v/>
      </c>
      <c r="CH10" s="8" t="str">
        <f t="shared" ca="1" si="4"/>
        <v/>
      </c>
      <c r="CI10" s="8" t="str">
        <f t="shared" ca="1" si="4"/>
        <v/>
      </c>
      <c r="CJ10" s="8" t="str">
        <f t="shared" ca="1" si="4"/>
        <v/>
      </c>
      <c r="CK10" s="8" t="str">
        <f t="shared" ca="1" si="4"/>
        <v/>
      </c>
      <c r="CL10" s="8" t="str">
        <f t="shared" ca="1" si="4"/>
        <v/>
      </c>
      <c r="CM10" s="8" t="str">
        <f t="shared" ca="1" si="4"/>
        <v/>
      </c>
    </row>
    <row r="11" spans="1:91">
      <c r="A11" s="4">
        <f>ROW()-3</f>
        <v>8</v>
      </c>
      <c r="B11" s="4">
        <f>IF(A11="","",ROUNDUP(A11/Settings!$B$3,0))</f>
        <v>2</v>
      </c>
      <c r="C11" s="5" t="str">
        <f>IF(Draft!$A$13="","",Draft!$D$13)</f>
        <v>Jason</v>
      </c>
      <c r="D11" s="5" t="str">
        <f>IF(Draft!$E$13="","",Draft!$E$13)</f>
        <v>Peach</v>
      </c>
      <c r="E11" s="5">
        <f>Settings!$B$2</f>
        <v>1</v>
      </c>
      <c r="F11" s="5" t="b">
        <f>AND(C11&lt;&gt;"",D11&lt;&gt;"")</f>
        <v>1</v>
      </c>
      <c r="G11" s="18"/>
      <c r="H11" s="4" t="str">
        <f ca="1">Scorebook!$F$345</f>
        <v>G8</v>
      </c>
      <c r="I11" s="5" t="str">
        <f ca="1">IF(AND(Bracket!$H$14&lt;&gt;"",Bracket!$I$14&lt;&gt;""),Bracket!$G$14,"")</f>
        <v>Losers Final</v>
      </c>
      <c r="J11" s="5" t="str">
        <f ca="1">Scorebook!$N$345</f>
        <v>Nick</v>
      </c>
      <c r="K11" s="5" t="str">
        <f ca="1">Scorebook!$R$345</f>
        <v>Jason</v>
      </c>
      <c r="L11" s="5" t="str">
        <f ca="1">Scorebook!$V$345</f>
        <v>Nick</v>
      </c>
      <c r="M11" s="5" t="str">
        <f ca="1">IF(L11="","",IF(L11=J11,K11,J11))</f>
        <v>Jason</v>
      </c>
      <c r="N11" s="5">
        <f ca="1">Scorebook!$K$347</f>
        <v>7</v>
      </c>
      <c r="O11" s="5">
        <f ca="1">Scorebook!$K$348</f>
        <v>4</v>
      </c>
      <c r="P11" s="5">
        <f ca="1">IF(H11="","",--(L11&lt;&gt;""))</f>
        <v>1</v>
      </c>
      <c r="Q11" s="5">
        <f>Settings!$B$2</f>
        <v>1</v>
      </c>
      <c r="R11" s="18"/>
      <c r="S11" s="4" t="str">
        <f ca="1">Scorebook!$F$2</f>
        <v>G1</v>
      </c>
      <c r="T11" s="5" t="str">
        <f ca="1">Scorebook!$N$2</f>
        <v>Nick</v>
      </c>
      <c r="U11" s="5" t="str">
        <f ca="1">Scorebook!$B$16</f>
        <v>Toadette</v>
      </c>
      <c r="V11" s="4">
        <v>8</v>
      </c>
      <c r="W11" s="5">
        <f ca="1">Scorebook!M16</f>
        <v>1</v>
      </c>
      <c r="X11" s="5">
        <f ca="1">Scorebook!N16</f>
        <v>0</v>
      </c>
      <c r="Y11" s="5">
        <f ca="1">Scorebook!O16</f>
        <v>0</v>
      </c>
      <c r="Z11" s="5">
        <f ca="1">Scorebook!P16</f>
        <v>0</v>
      </c>
      <c r="AA11" s="5">
        <f ca="1">Scorebook!Q16</f>
        <v>0</v>
      </c>
      <c r="AB11" s="5">
        <f ca="1">Scorebook!R16</f>
        <v>0</v>
      </c>
      <c r="AC11" s="5">
        <f ca="1">Scorebook!S16</f>
        <v>0</v>
      </c>
      <c r="AD11" s="5">
        <f ca="1">Scorebook!T16</f>
        <v>0</v>
      </c>
      <c r="AE11" s="5">
        <f ca="1">Scorebook!U16</f>
        <v>0</v>
      </c>
      <c r="AF11" s="5">
        <f ca="1">Scorebook!V16</f>
        <v>0</v>
      </c>
      <c r="AG11" s="5">
        <f ca="1">Scorebook!W16</f>
        <v>0</v>
      </c>
      <c r="AH11" s="5">
        <f ca="1">Scorebook!X16</f>
        <v>0</v>
      </c>
      <c r="AI11" s="5">
        <f>Settings!$B$2</f>
        <v>1</v>
      </c>
      <c r="AJ11" s="18">
        <f ca="1">IF($AK11="","",Scorebook!$O$43)</f>
      </c>
      <c r="AK11" s="4" t="str">
        <f ca="1">Scorebook!$F$2</f>
        <v>G1</v>
      </c>
      <c r="AL11" s="5" t="str">
        <f ca="1">Scorebook!$R$2</f>
        <v>Donovan</v>
      </c>
      <c r="AM11" s="5" t="str">
        <f>Scorebook!$B$43</f>
      </c>
      <c r="AN11" s="5">
        <f ca="1">IF(Scorebook!C43="","",INT(Scorebook!C43)+MOD(ROUND(Scorebook!C43*10,0),10)/3)</f>
      </c>
      <c r="AO11" s="5" cm="1">
        <f t="array" aca="1" ref="AO11" ca="1">IF($AK11="","",_xlfn.LET(_xlpm.auto,AND(MOD(ROW()-4,6)=0,$AM11&lt;&gt;0,SUMPRODUCT(--(OFFSET($AM11,1,0,5,1)&lt;&gt;0))=0),_xlpm.oppA,_xlfn.XLOOKUP($AK11,$H$4:$H$18,$J$4:$J$18,""),_xlpm.oppB,_xlfn.XLOOKUP($AK11,$H$4:$H$18,$K$4:$K$18,""),_xlpm.opp,IF($AL11=_xlpm.oppA,_xlpm.oppB,_xlpm.oppA),IF(_xlpm.auto,SUMIFS($Y$4:$Y$273,$S$4:$S$273,$AK11,$T$4:$T$273,_xlpm.opp),Scorebook!D43)))</f>
      </c>
      <c r="AP11" s="5" cm="1">
        <f t="array" aca="1" ref="AP11" ca="1">IF($AK11="","",_xlfn.LET(_xlpm.auto,AND(MOD(ROW()-4,6)=0,$AM11&lt;&gt;0,SUMPRODUCT(--(OFFSET($AM11,1,0,5,1)&lt;&gt;0))=0),_xlpm.oppA,_xlfn.XLOOKUP($AK11,$H$4:$H$18,$J$4:$J$18,""),_xlpm.oppRuns,IF($AL11=_xlpm.oppA,_xlfn.XLOOKUP($AK11,$H$4:$H$18,$O$4:$O$18,""),_xlfn.XLOOKUP($AK11,$H$4:$H$18,$N$4:$N$18,"")),IF(_xlpm.auto,_xlpm.oppRuns,Scorebook!E43)))</f>
      </c>
      <c r="AQ11" s="5">
        <f ca="1">Scorebook!F43</f>
      </c>
      <c r="AR11" s="5" cm="1">
        <f t="array" aca="1" ref="AR11" ca="1">IF($AK11="","",_xlfn.LET(_xlpm.auto,AND(MOD(ROW()-4,6)=0,$AM11&lt;&gt;0,SUMPRODUCT(--(OFFSET($AM11,1,0,5,1)&lt;&gt;0))=0),_xlpm.oppA,_xlfn.XLOOKUP($AK11,$H$4:$H$18,$J$4:$J$18,""),_xlpm.oppB,_xlfn.XLOOKUP($AK11,$H$4:$H$18,$K$4:$K$18,""),_xlpm.opp,IF($AL11=_xlpm.oppA,_xlpm.oppB,_xlpm.oppA),IF(_xlpm.auto,SUMIFS($AD$4:$AD$273,$S$4:$S$273,$AK11,$T$4:$T$273,_xlpm.opp),Scorebook!G43)))</f>
      </c>
      <c r="AS11" s="5" cm="1">
        <f t="array" aca="1" ref="AS11" ca="1">IF($AK11="","",_xlfn.LET(_xlpm.auto,AND(MOD(ROW()-4,6)=0,$AM11&lt;&gt;0,SUMPRODUCT(--(OFFSET($AM11,1,0,5,1)&lt;&gt;0))=0),_xlpm.oppA,_xlfn.XLOOKUP($AK11,$H$4:$H$18,$J$4:$J$18,""),_xlpm.oppB,_xlfn.XLOOKUP($AK11,$H$4:$H$18,$K$4:$K$18,""),_xlpm.opp,IF($AL11=_xlpm.oppA,_xlpm.oppB,_xlpm.oppA),IF(_xlpm.auto,SUMIFS($AE$4:$AE$273,$S$4:$S$273,$AK11,$T$4:$T$273,_xlpm.opp),Scorebook!H43)))</f>
      </c>
      <c r="AT11" s="5" cm="1">
        <f t="array" aca="1" ref="AT11" ca="1">IF($AK11="","",_xlfn.LET(_xlpm.auto,AND(MOD(ROW()-4,6)=0,$AM11&lt;&gt;0,SUMPRODUCT(--(OFFSET($AM11,1,0,5,1)&lt;&gt;0))=0),_xlpm.oppA,_xlfn.XLOOKUP($AK11,$H$4:$H$18,$J$4:$J$18,""),_xlpm.oppB,_xlfn.XLOOKUP($AK11,$H$4:$H$18,$K$4:$K$18,""),_xlpm.opp,IF($AL11=_xlpm.oppA,_xlpm.oppB,_xlpm.oppA),IF(_xlpm.auto,SUMIFS($AB$4:$AB$273,$S$4:$S$273,$AK11,$T$4:$T$273,_xlpm.opp),Scorebook!I43)))</f>
      </c>
      <c r="AU11" s="5" cm="1">
        <f t="array" aca="1" ref="AU11" ca="1">IF($AK11="","",_xlfn.LET(_xlpm.auto,AND(MOD(ROW()-4,6)=0,$AM11&lt;&gt;0,SUMPRODUCT(--(OFFSET($AM11,1,0,5,1)&lt;&gt;0))=0),_xlpm.winner,_xlfn.XLOOKUP($AK11,$H$4:$H$18,$L$4:$L$18,""),IF(_xlpm.auto,--($AL11=_xlpm.winner),Scorebook!J43)))</f>
      </c>
      <c r="AV11" s="5" cm="1">
        <f t="array" aca="1" ref="AV11" ca="1">IF($AK11="","",_xlfn.LET(_xlpm.auto,AND(MOD(ROW()-4,6)=0,$AM11&lt;&gt;0,SUMPRODUCT(--(OFFSET($AM11,1,0,5,1)&lt;&gt;0))=0),_xlpm.loser,_xlfn.XLOOKUP($AK11,$H$4:$H$18,$M$4:$M$18,""),IF(_xlpm.auto,--($AL11=_xlpm.loser),Scorebook!K43)))</f>
      </c>
      <c r="AW11" s="5">
        <f ca="1">Scorebook!L43</f>
      </c>
      <c r="AX11" s="5" cm="1">
        <f t="array" aca="1" ref="AX11" ca="1">IF($AK11="","",_xlfn.LET(_xlpm.auto,AND(MOD(ROW()-4,6)=0,$AM11&lt;&gt;0,SUMPRODUCT(--(OFFSET($AM11,1,0,5,1)&lt;&gt;0))=0),_xlpm.oppA,_xlfn.XLOOKUP($AK11,$H$4:$H$18,$J$4:$J$18,""),_xlpm.oppRuns,IF($AL11=_xlpm.oppA,_xlfn.XLOOKUP($AK11,$H$4:$H$18,$O$4:$O$18,""),_xlfn.XLOOKUP($AK11,$H$4:$H$18,$N$4:$N$18,"")),IF(_xlpm.auto,--(_xlpm.oppRuns=0),Scorebook!M43)))</f>
      </c>
      <c r="AY11" s="5" cm="1">
        <f t="array" aca="1" ref="AY11" ca="1">IF($AK11="","",_xlfn.LET(_xlpm.auto,AND(MOD(ROW()-4,6)=0,$AM11&lt;&gt;0,SUMPRODUCT(--(OFFSET($AM11,1,0,5,1)&lt;&gt;0))=0),IF(_xlpm.auto,1,Scorebook!N43)))</f>
      </c>
      <c r="AZ11" s="10"/>
      <c r="BA11" s="10"/>
      <c r="BB11" s="5">
        <f>Settings!$B$2</f>
        <v>1</v>
      </c>
      <c r="BC11" s="5">
        <f>Betting!A13</f>
        <v>0</v>
      </c>
      <c r="BD11" s="5">
        <f>Betting!B13</f>
        <v>0</v>
      </c>
      <c r="BE11" s="5">
        <f>Betting!C13</f>
        <v>0</v>
      </c>
      <c r="BF11" s="5">
        <f>Betting!D13</f>
        <v>0</v>
      </c>
      <c r="BG11" s="5">
        <f>Betting!E13</f>
        <v>0</v>
      </c>
      <c r="BH11" s="5">
        <f>Betting!F13</f>
        <v>0</v>
      </c>
      <c r="BI11" s="4">
        <f>Betting!G13</f>
        <v>0</v>
      </c>
      <c r="BJ11" s="5">
        <f>Betting!H13</f>
        <v>0</v>
      </c>
      <c r="BK11" s="8" t="str">
        <f t="shared" ref="BK11:CM11" ca="1" si="5">IFERROR(_xlfn.SINGLE(INDEX(_xlfn._xlws.FILTER($D$4:$D$75, _xlfn.SINGLE($C$4:$C$75) = BK$5), ROWS(BK$6:BK$11))), "")</f>
        <v/>
      </c>
      <c r="BL11" s="8" t="str">
        <f t="shared" ca="1" si="5"/>
        <v/>
      </c>
      <c r="BM11" s="8" t="str">
        <f t="shared" ca="1" si="5"/>
        <v/>
      </c>
      <c r="BN11" s="8" t="str">
        <f t="shared" ca="1" si="5"/>
        <v/>
      </c>
      <c r="BO11" s="8" t="str">
        <f t="shared" ca="1" si="5"/>
        <v/>
      </c>
      <c r="BP11" s="8" t="str">
        <f t="shared" ca="1" si="5"/>
        <v>Birdo</v>
      </c>
      <c r="BQ11" s="8" t="str">
        <f t="shared" ca="1" si="5"/>
        <v/>
      </c>
      <c r="BR11" s="8" t="str">
        <f t="shared" ca="1" si="5"/>
        <v/>
      </c>
      <c r="BS11" s="8" t="str">
        <f t="shared" ca="1" si="5"/>
        <v/>
      </c>
      <c r="BT11" s="8" t="str">
        <f t="shared" ca="1" si="5"/>
        <v/>
      </c>
      <c r="BU11" s="8" t="str">
        <f t="shared" ca="1" si="5"/>
        <v/>
      </c>
      <c r="BV11" s="8" t="str">
        <f t="shared" ca="1" si="5"/>
        <v/>
      </c>
      <c r="BW11" s="8" t="str">
        <f t="shared" ca="1" si="5"/>
        <v>Birdo</v>
      </c>
      <c r="BX11" s="8" t="str">
        <f t="shared" ca="1" si="5"/>
        <v>Birdo</v>
      </c>
      <c r="BY11" s="8" t="str">
        <f t="shared" ca="1" si="5"/>
        <v/>
      </c>
      <c r="BZ11" s="8" t="str">
        <f t="shared" ca="1" si="5"/>
        <v/>
      </c>
      <c r="CA11" s="8" t="str">
        <f t="shared" ca="1" si="5"/>
        <v>Birdo</v>
      </c>
      <c r="CB11" s="8" t="str">
        <f t="shared" ca="1" si="5"/>
        <v/>
      </c>
      <c r="CC11" s="8" t="str">
        <f t="shared" ca="1" si="5"/>
        <v>Birdo</v>
      </c>
      <c r="CD11" s="8" t="str">
        <f t="shared" ca="1" si="5"/>
        <v/>
      </c>
      <c r="CE11" s="8" t="str">
        <f t="shared" ca="1" si="5"/>
        <v/>
      </c>
      <c r="CF11" s="8" t="str">
        <f t="shared" ca="1" si="5"/>
        <v/>
      </c>
      <c r="CG11" s="8" t="str">
        <f t="shared" ca="1" si="5"/>
        <v/>
      </c>
      <c r="CH11" s="8" t="str">
        <f t="shared" ca="1" si="5"/>
        <v/>
      </c>
      <c r="CI11" s="8" t="str">
        <f t="shared" ca="1" si="5"/>
        <v/>
      </c>
      <c r="CJ11" s="8" t="str">
        <f t="shared" ca="1" si="5"/>
        <v/>
      </c>
      <c r="CK11" s="8" t="str">
        <f t="shared" ca="1" si="5"/>
        <v/>
      </c>
      <c r="CL11" s="8" t="str">
        <f t="shared" ca="1" si="5"/>
        <v/>
      </c>
      <c r="CM11" s="8" t="str">
        <f t="shared" ca="1" si="5"/>
        <v/>
      </c>
    </row>
    <row r="12" spans="1:91">
      <c r="A12" s="4">
        <f>ROW()-3</f>
        <v>9</v>
      </c>
      <c r="B12" s="4">
        <f>IF(A12="","",ROUNDUP(A12/Settings!$B$3,0))</f>
        <v>2</v>
      </c>
      <c r="C12" s="5" t="str">
        <f>IF(Draft!$A$14="","",Draft!$D$14)</f>
        <v>Aidan</v>
      </c>
      <c r="D12" s="5" t="str">
        <f>IF(Draft!$E$14="","",Draft!$E$14)</f>
        <v>Luigi</v>
      </c>
      <c r="E12" s="5">
        <f>Settings!$B$2</f>
        <v>1</v>
      </c>
      <c r="F12" s="5" t="b">
        <f>AND(C12&lt;&gt;"",D12&lt;&gt;"")</f>
        <v>1</v>
      </c>
      <c r="G12" s="18"/>
      <c r="H12" s="4" t="str">
        <f ca="1">Scorebook!$F$394</f>
        <v>G9</v>
      </c>
      <c r="I12" s="5" t="str">
        <f ca="1">IF(AND(Bracket!$H$15&lt;&gt;"",Bracket!$I$15&lt;&gt;""),Bracket!$G$15,"")</f>
        <v>CG-1</v>
      </c>
      <c r="J12" s="5" t="str">
        <f ca="1">Scorebook!$N$394</f>
        <v>Jason</v>
      </c>
      <c r="K12" s="5" t="str">
        <f ca="1">Scorebook!$R$394</f>
        <v>May</v>
      </c>
      <c r="L12" s="5" t="str">
        <f ca="1">Scorebook!$V$394</f>
        <v>Jason</v>
      </c>
      <c r="M12" s="5" t="str">
        <f ca="1">IF(L12="","",IF(L12=J12,K12,J12))</f>
        <v>May</v>
      </c>
      <c r="N12" s="5">
        <f ca="1">Scorebook!$K$396</f>
        <v>1</v>
      </c>
      <c r="O12" s="5">
        <f ca="1">Scorebook!$K$397</f>
        <v>0</v>
      </c>
      <c r="P12" s="5">
        <f ca="1">IF(H12="","",--(L12&lt;&gt;""))</f>
        <v>1</v>
      </c>
      <c r="Q12" s="5">
        <f>Settings!$B$2</f>
        <v>1</v>
      </c>
      <c r="R12" s="18"/>
      <c r="S12" s="4" t="str">
        <f ca="1">Scorebook!$F$2</f>
        <v>G1</v>
      </c>
      <c r="T12" s="5" t="str">
        <f ca="1">Scorebook!$N$2</f>
        <v>Nick</v>
      </c>
      <c r="U12" s="5" t="str">
        <f ca="1">Scorebook!$B$17</f>
        <v>Wiggler</v>
      </c>
      <c r="V12" s="4">
        <v>9</v>
      </c>
      <c r="W12" s="5">
        <f ca="1">Scorebook!M17</f>
        <v>1</v>
      </c>
      <c r="X12" s="5">
        <f ca="1">Scorebook!N17</f>
        <v>0</v>
      </c>
      <c r="Y12" s="5">
        <f ca="1">Scorebook!O17</f>
        <v>0</v>
      </c>
      <c r="Z12" s="5">
        <f ca="1">Scorebook!P17</f>
        <v>0</v>
      </c>
      <c r="AA12" s="5">
        <f ca="1">Scorebook!Q17</f>
        <v>0</v>
      </c>
      <c r="AB12" s="5">
        <f ca="1">Scorebook!R17</f>
        <v>0</v>
      </c>
      <c r="AC12" s="5">
        <f ca="1">Scorebook!S17</f>
        <v>0</v>
      </c>
      <c r="AD12" s="5">
        <f ca="1">Scorebook!T17</f>
        <v>0</v>
      </c>
      <c r="AE12" s="5">
        <f ca="1">Scorebook!U17</f>
        <v>0</v>
      </c>
      <c r="AF12" s="5">
        <f ca="1">Scorebook!V17</f>
        <v>0</v>
      </c>
      <c r="AG12" s="5">
        <f ca="1">Scorebook!W17</f>
        <v>0</v>
      </c>
      <c r="AH12" s="5">
        <f ca="1">Scorebook!X17</f>
        <v>0</v>
      </c>
      <c r="AI12" s="5">
        <f>Settings!$B$2</f>
        <v>1</v>
      </c>
      <c r="AJ12" s="18">
        <f ca="1">IF($AK12="","",Scorebook!$O$44)</f>
      </c>
      <c r="AK12" s="4" t="str">
        <f ca="1">Scorebook!$F$2</f>
        <v>G1</v>
      </c>
      <c r="AL12" s="5" t="str">
        <f ca="1">Scorebook!$R$2</f>
        <v>Donovan</v>
      </c>
      <c r="AM12" s="5" t="str">
        <f>Scorebook!$B$44</f>
      </c>
      <c r="AN12" s="5">
        <f ca="1">IF(Scorebook!C44="","",INT(Scorebook!C44)+MOD(ROUND(Scorebook!C44*10,0),10)/3)</f>
      </c>
      <c r="AO12" s="5" cm="1">
        <f t="array" aca="1" ref="AO12" ca="1">IF($AK12="","",_xlfn.LET(_xlpm.auto,AND(MOD(ROW()-4,6)=0,$AM12&lt;&gt;0,SUMPRODUCT(--(OFFSET($AM12,1,0,5,1)&lt;&gt;0))=0),_xlpm.oppA,_xlfn.XLOOKUP($AK12,$H$4:$H$18,$J$4:$J$18,""),_xlpm.oppB,_xlfn.XLOOKUP($AK12,$H$4:$H$18,$K$4:$K$18,""),_xlpm.opp,IF($AL12=_xlpm.oppA,_xlpm.oppB,_xlpm.oppA),IF(_xlpm.auto,SUMIFS($Y$4:$Y$273,$S$4:$S$273,$AK12,$T$4:$T$273,_xlpm.opp),Scorebook!D44)))</f>
      </c>
      <c r="AP12" s="5" cm="1">
        <f t="array" aca="1" ref="AP12" ca="1">IF($AK12="","",_xlfn.LET(_xlpm.auto,AND(MOD(ROW()-4,6)=0,$AM12&lt;&gt;0,SUMPRODUCT(--(OFFSET($AM12,1,0,5,1)&lt;&gt;0))=0),_xlpm.oppA,_xlfn.XLOOKUP($AK12,$H$4:$H$18,$J$4:$J$18,""),_xlpm.oppRuns,IF($AL12=_xlpm.oppA,_xlfn.XLOOKUP($AK12,$H$4:$H$18,$O$4:$O$18,""),_xlfn.XLOOKUP($AK12,$H$4:$H$18,$N$4:$N$18,"")),IF(_xlpm.auto,_xlpm.oppRuns,Scorebook!E44)))</f>
      </c>
      <c r="AQ12" s="5">
        <f ca="1">Scorebook!F44</f>
      </c>
      <c r="AR12" s="5" cm="1">
        <f t="array" aca="1" ref="AR12" ca="1">IF($AK12="","",_xlfn.LET(_xlpm.auto,AND(MOD(ROW()-4,6)=0,$AM12&lt;&gt;0,SUMPRODUCT(--(OFFSET($AM12,1,0,5,1)&lt;&gt;0))=0),_xlpm.oppA,_xlfn.XLOOKUP($AK12,$H$4:$H$18,$J$4:$J$18,""),_xlpm.oppB,_xlfn.XLOOKUP($AK12,$H$4:$H$18,$K$4:$K$18,""),_xlpm.opp,IF($AL12=_xlpm.oppA,_xlpm.oppB,_xlpm.oppA),IF(_xlpm.auto,SUMIFS($AD$4:$AD$273,$S$4:$S$273,$AK12,$T$4:$T$273,_xlpm.opp),Scorebook!G44)))</f>
      </c>
      <c r="AS12" s="5" cm="1">
        <f t="array" aca="1" ref="AS12" ca="1">IF($AK12="","",_xlfn.LET(_xlpm.auto,AND(MOD(ROW()-4,6)=0,$AM12&lt;&gt;0,SUMPRODUCT(--(OFFSET($AM12,1,0,5,1)&lt;&gt;0))=0),_xlpm.oppA,_xlfn.XLOOKUP($AK12,$H$4:$H$18,$J$4:$J$18,""),_xlpm.oppB,_xlfn.XLOOKUP($AK12,$H$4:$H$18,$K$4:$K$18,""),_xlpm.opp,IF($AL12=_xlpm.oppA,_xlpm.oppB,_xlpm.oppA),IF(_xlpm.auto,SUMIFS($AE$4:$AE$273,$S$4:$S$273,$AK12,$T$4:$T$273,_xlpm.opp),Scorebook!H44)))</f>
      </c>
      <c r="AT12" s="5" cm="1">
        <f t="array" aca="1" ref="AT12" ca="1">IF($AK12="","",_xlfn.LET(_xlpm.auto,AND(MOD(ROW()-4,6)=0,$AM12&lt;&gt;0,SUMPRODUCT(--(OFFSET($AM12,1,0,5,1)&lt;&gt;0))=0),_xlpm.oppA,_xlfn.XLOOKUP($AK12,$H$4:$H$18,$J$4:$J$18,""),_xlpm.oppB,_xlfn.XLOOKUP($AK12,$H$4:$H$18,$K$4:$K$18,""),_xlpm.opp,IF($AL12=_xlpm.oppA,_xlpm.oppB,_xlpm.oppA),IF(_xlpm.auto,SUMIFS($AB$4:$AB$273,$S$4:$S$273,$AK12,$T$4:$T$273,_xlpm.opp),Scorebook!I44)))</f>
      </c>
      <c r="AU12" s="5" cm="1">
        <f t="array" aca="1" ref="AU12" ca="1">IF($AK12="","",_xlfn.LET(_xlpm.auto,AND(MOD(ROW()-4,6)=0,$AM12&lt;&gt;0,SUMPRODUCT(--(OFFSET($AM12,1,0,5,1)&lt;&gt;0))=0),_xlpm.winner,_xlfn.XLOOKUP($AK12,$H$4:$H$18,$L$4:$L$18,""),IF(_xlpm.auto,--($AL12=_xlpm.winner),Scorebook!J44)))</f>
      </c>
      <c r="AV12" s="5" cm="1">
        <f t="array" aca="1" ref="AV12" ca="1">IF($AK12="","",_xlfn.LET(_xlpm.auto,AND(MOD(ROW()-4,6)=0,$AM12&lt;&gt;0,SUMPRODUCT(--(OFFSET($AM12,1,0,5,1)&lt;&gt;0))=0),_xlpm.loser,_xlfn.XLOOKUP($AK12,$H$4:$H$18,$M$4:$M$18,""),IF(_xlpm.auto,--($AL12=_xlpm.loser),Scorebook!K44)))</f>
      </c>
      <c r="AW12" s="5">
        <f ca="1">Scorebook!L44</f>
      </c>
      <c r="AX12" s="5" cm="1">
        <f t="array" aca="1" ref="AX12" ca="1">IF($AK12="","",_xlfn.LET(_xlpm.auto,AND(MOD(ROW()-4,6)=0,$AM12&lt;&gt;0,SUMPRODUCT(--(OFFSET($AM12,1,0,5,1)&lt;&gt;0))=0),_xlpm.oppA,_xlfn.XLOOKUP($AK12,$H$4:$H$18,$J$4:$J$18,""),_xlpm.oppRuns,IF($AL12=_xlpm.oppA,_xlfn.XLOOKUP($AK12,$H$4:$H$18,$O$4:$O$18,""),_xlfn.XLOOKUP($AK12,$H$4:$H$18,$N$4:$N$18,"")),IF(_xlpm.auto,--(_xlpm.oppRuns=0),Scorebook!M44)))</f>
      </c>
      <c r="AY12" s="5" cm="1">
        <f t="array" aca="1" ref="AY12" ca="1">IF($AK12="","",_xlfn.LET(_xlpm.auto,AND(MOD(ROW()-4,6)=0,$AM12&lt;&gt;0,SUMPRODUCT(--(OFFSET($AM12,1,0,5,1)&lt;&gt;0))=0),IF(_xlpm.auto,1,Scorebook!N44)))</f>
      </c>
      <c r="AZ12" s="10"/>
      <c r="BA12" s="10"/>
      <c r="BB12" s="5">
        <f>Settings!$B$2</f>
        <v>1</v>
      </c>
      <c r="BC12" s="5">
        <f>Betting!A14</f>
        <v>0</v>
      </c>
      <c r="BD12" s="5">
        <f>Betting!B14</f>
        <v>0</v>
      </c>
      <c r="BE12" s="5">
        <f>Betting!C14</f>
        <v>0</v>
      </c>
      <c r="BF12" s="5">
        <f>Betting!D14</f>
        <v>0</v>
      </c>
      <c r="BG12" s="5">
        <f>Betting!E14</f>
        <v>0</v>
      </c>
      <c r="BH12" s="5">
        <f>Betting!F14</f>
        <v>0</v>
      </c>
      <c r="BI12" s="4">
        <f>Betting!G14</f>
        <v>0</v>
      </c>
      <c r="BJ12" s="5">
        <f>Betting!H14</f>
        <v>0</v>
      </c>
      <c r="BK12" s="8" t="str">
        <f t="shared" ref="BK12:CM12" ca="1" si="6">IFERROR(_xlfn.SINGLE(INDEX(_xlfn._xlws.FILTER($D$4:$D$75, _xlfn.SINGLE($C$4:$C$75) = BK$5), ROWS(BK$6:BK$12))), "")</f>
        <v/>
      </c>
      <c r="BL12" s="8" t="str">
        <f t="shared" ca="1" si="6"/>
        <v>Petey Piranha</v>
      </c>
      <c r="BM12" s="8" t="str">
        <f t="shared" ca="1" si="6"/>
        <v/>
      </c>
      <c r="BN12" s="8" t="str">
        <f t="shared" ca="1" si="6"/>
        <v/>
      </c>
      <c r="BO12" s="8" t="str">
        <f t="shared" ca="1" si="6"/>
        <v/>
      </c>
      <c r="BP12" s="8" t="str">
        <f t="shared" ca="1" si="6"/>
        <v/>
      </c>
      <c r="BQ12" s="8" t="str">
        <f t="shared" ca="1" si="6"/>
        <v>Petey Piranha</v>
      </c>
      <c r="BR12" s="8" t="str">
        <f t="shared" ca="1" si="6"/>
        <v/>
      </c>
      <c r="BS12" s="8" t="str">
        <f t="shared" ca="1" si="6"/>
        <v/>
      </c>
      <c r="BT12" s="8" t="str">
        <f t="shared" ca="1" si="6"/>
        <v>Petey Piranha</v>
      </c>
      <c r="BU12" s="8" t="str">
        <f t="shared" ca="1" si="6"/>
        <v/>
      </c>
      <c r="BV12" s="8" t="str">
        <f t="shared" ca="1" si="6"/>
        <v/>
      </c>
      <c r="BW12" s="8" t="str">
        <f t="shared" ca="1" si="6"/>
        <v/>
      </c>
      <c r="BX12" s="8" t="str">
        <f t="shared" ca="1" si="6"/>
        <v/>
      </c>
      <c r="BY12" s="8" t="str">
        <f t="shared" ca="1" si="6"/>
        <v/>
      </c>
      <c r="BZ12" s="8" t="str">
        <f t="shared" ca="1" si="6"/>
        <v/>
      </c>
      <c r="CA12" s="8" t="str">
        <f t="shared" ca="1" si="6"/>
        <v/>
      </c>
      <c r="CB12" s="8" t="str">
        <f t="shared" ca="1" si="6"/>
        <v/>
      </c>
      <c r="CC12" s="8" t="str">
        <f t="shared" ca="1" si="6"/>
        <v/>
      </c>
      <c r="CD12" s="8" t="str">
        <f t="shared" ca="1" si="6"/>
        <v/>
      </c>
      <c r="CE12" s="8" t="str">
        <f t="shared" ca="1" si="6"/>
        <v/>
      </c>
      <c r="CF12" s="8" t="str">
        <f t="shared" ca="1" si="6"/>
        <v/>
      </c>
      <c r="CG12" s="8" t="str">
        <f t="shared" ca="1" si="6"/>
        <v/>
      </c>
      <c r="CH12" s="8" t="str">
        <f t="shared" ca="1" si="6"/>
        <v/>
      </c>
      <c r="CI12" s="8" t="str">
        <f t="shared" ca="1" si="6"/>
        <v/>
      </c>
      <c r="CJ12" s="8" t="str">
        <f t="shared" ca="1" si="6"/>
        <v/>
      </c>
      <c r="CK12" s="8" t="str">
        <f t="shared" ca="1" si="6"/>
        <v/>
      </c>
      <c r="CL12" s="8" t="str">
        <f t="shared" ca="1" si="6"/>
        <v/>
      </c>
      <c r="CM12" s="8" t="str">
        <f t="shared" ca="1" si="6"/>
        <v/>
      </c>
    </row>
    <row r="13" spans="1:91">
      <c r="A13" s="4">
        <f>ROW()-3</f>
        <v>10</v>
      </c>
      <c r="B13" s="4">
        <f>IF(A13="","",ROUNDUP(A13/Settings!$B$3,0))</f>
        <v>2</v>
      </c>
      <c r="C13" s="5" t="str">
        <f>IF(Draft!$A$15="","",Draft!$D$15)</f>
        <v>Nick</v>
      </c>
      <c r="D13" s="5" t="str">
        <f>IF(Draft!$E$15="","",Draft!$E$15)</f>
        <v>Mii</v>
      </c>
      <c r="E13" s="5">
        <f>Settings!$B$2</f>
        <v>1</v>
      </c>
      <c r="F13" s="5" t="b">
        <f>AND(C13&lt;&gt;"",D13&lt;&gt;"")</f>
        <v>1</v>
      </c>
      <c r="G13" s="18"/>
      <c r="H13" s="4" t="str">
        <f ca="1">Scorebook!$F$443</f>
        <v>G10</v>
      </c>
      <c r="I13" s="5" t="str">
        <f ca="1">IF(AND(Bracket!$H$16&lt;&gt;"",Bracket!$I$16&lt;&gt;""),Bracket!$G$16,"")</f>
        <v>CG-2</v>
      </c>
      <c r="J13" s="5" t="str">
        <f ca="1">Scorebook!$N$443</f>
        <v>Nick</v>
      </c>
      <c r="K13" s="5" t="str">
        <f ca="1">Scorebook!$R$443</f>
        <v>Jason</v>
      </c>
      <c r="L13" s="5" t="str">
        <f ca="1">Scorebook!$V$443</f>
        <v>Jason</v>
      </c>
      <c r="M13" s="5" t="str">
        <f ca="1">IF(L13="","",IF(L13=J13,K13,J13))</f>
        <v>Nick</v>
      </c>
      <c r="N13" s="5">
        <f ca="1">Scorebook!$K$445</f>
        <v>0</v>
      </c>
      <c r="O13" s="5">
        <f ca="1">Scorebook!$K$446</f>
        <v>4</v>
      </c>
      <c r="P13" s="5">
        <f ca="1">IF(H13="","",--(L13&lt;&gt;""))</f>
        <v>1</v>
      </c>
      <c r="Q13" s="5">
        <f>Settings!$B$2</f>
        <v>1</v>
      </c>
      <c r="R13" s="18"/>
      <c r="S13" s="4" t="str">
        <f ca="1">Scorebook!$F$2</f>
        <v>G1</v>
      </c>
      <c r="T13" s="5" t="str">
        <f ca="1">Scorebook!$R$2</f>
        <v>Donovan</v>
      </c>
      <c r="U13" s="5" t="str">
        <f ca="1">Scorebook!$B$30</f>
        <v>Donkey Kong</v>
      </c>
      <c r="V13" s="4">
        <v>1</v>
      </c>
      <c r="W13" s="5">
        <f ca="1">Scorebook!M30</f>
        <v>1</v>
      </c>
      <c r="X13" s="5">
        <f ca="1">Scorebook!N30</f>
        <v>0</v>
      </c>
      <c r="Y13" s="5">
        <f ca="1">Scorebook!O30</f>
        <v>0</v>
      </c>
      <c r="Z13" s="5">
        <f ca="1">Scorebook!P30</f>
        <v>0</v>
      </c>
      <c r="AA13" s="5">
        <f ca="1">Scorebook!Q30</f>
        <v>0</v>
      </c>
      <c r="AB13" s="5">
        <f ca="1">Scorebook!R30</f>
        <v>0</v>
      </c>
      <c r="AC13" s="5">
        <f ca="1">Scorebook!S30</f>
        <v>0</v>
      </c>
      <c r="AD13" s="5">
        <f ca="1">Scorebook!T30</f>
        <v>0</v>
      </c>
      <c r="AE13" s="5">
        <f ca="1">Scorebook!U30</f>
        <v>0</v>
      </c>
      <c r="AF13" s="5">
        <f ca="1">Scorebook!V30</f>
        <v>0</v>
      </c>
      <c r="AG13" s="5">
        <f ca="1">Scorebook!W30</f>
        <v>0</v>
      </c>
      <c r="AH13" s="5">
        <f ca="1">Scorebook!X30</f>
        <v>0</v>
      </c>
      <c r="AI13" s="5">
        <f>Settings!$B$2</f>
        <v>1</v>
      </c>
      <c r="AJ13" s="18">
        <f ca="1">IF($AK13="","",Scorebook!$O$45)</f>
      </c>
      <c r="AK13" s="4" t="str">
        <f ca="1">Scorebook!$F$2</f>
        <v>G1</v>
      </c>
      <c r="AL13" s="5" t="str">
        <f ca="1">Scorebook!$R$2</f>
        <v>Donovan</v>
      </c>
      <c r="AM13" s="5" t="str">
        <f>Scorebook!$B$45</f>
      </c>
      <c r="AN13" s="5">
        <f ca="1">IF(Scorebook!C45="","",INT(Scorebook!C45)+MOD(ROUND(Scorebook!C45*10,0),10)/3)</f>
      </c>
      <c r="AO13" s="5" cm="1">
        <f t="array" aca="1" ref="AO13" ca="1">IF($AK13="","",_xlfn.LET(_xlpm.auto,AND(MOD(ROW()-4,6)=0,$AM13&lt;&gt;0,SUMPRODUCT(--(OFFSET($AM13,1,0,5,1)&lt;&gt;0))=0),_xlpm.oppA,_xlfn.XLOOKUP($AK13,$H$4:$H$18,$J$4:$J$18,""),_xlpm.oppB,_xlfn.XLOOKUP($AK13,$H$4:$H$18,$K$4:$K$18,""),_xlpm.opp,IF($AL13=_xlpm.oppA,_xlpm.oppB,_xlpm.oppA),IF(_xlpm.auto,SUMIFS($Y$4:$Y$273,$S$4:$S$273,$AK13,$T$4:$T$273,_xlpm.opp),Scorebook!D45)))</f>
      </c>
      <c r="AP13" s="5" cm="1">
        <f t="array" aca="1" ref="AP13" ca="1">IF($AK13="","",_xlfn.LET(_xlpm.auto,AND(MOD(ROW()-4,6)=0,$AM13&lt;&gt;0,SUMPRODUCT(--(OFFSET($AM13,1,0,5,1)&lt;&gt;0))=0),_xlpm.oppA,_xlfn.XLOOKUP($AK13,$H$4:$H$18,$J$4:$J$18,""),_xlpm.oppRuns,IF($AL13=_xlpm.oppA,_xlfn.XLOOKUP($AK13,$H$4:$H$18,$O$4:$O$18,""),_xlfn.XLOOKUP($AK13,$H$4:$H$18,$N$4:$N$18,"")),IF(_xlpm.auto,_xlpm.oppRuns,Scorebook!E45)))</f>
      </c>
      <c r="AQ13" s="5">
        <f ca="1">Scorebook!F45</f>
      </c>
      <c r="AR13" s="5" cm="1">
        <f t="array" aca="1" ref="AR13" ca="1">IF($AK13="","",_xlfn.LET(_xlpm.auto,AND(MOD(ROW()-4,6)=0,$AM13&lt;&gt;0,SUMPRODUCT(--(OFFSET($AM13,1,0,5,1)&lt;&gt;0))=0),_xlpm.oppA,_xlfn.XLOOKUP($AK13,$H$4:$H$18,$J$4:$J$18,""),_xlpm.oppB,_xlfn.XLOOKUP($AK13,$H$4:$H$18,$K$4:$K$18,""),_xlpm.opp,IF($AL13=_xlpm.oppA,_xlpm.oppB,_xlpm.oppA),IF(_xlpm.auto,SUMIFS($AD$4:$AD$273,$S$4:$S$273,$AK13,$T$4:$T$273,_xlpm.opp),Scorebook!G45)))</f>
      </c>
      <c r="AS13" s="5" cm="1">
        <f t="array" aca="1" ref="AS13" ca="1">IF($AK13="","",_xlfn.LET(_xlpm.auto,AND(MOD(ROW()-4,6)=0,$AM13&lt;&gt;0,SUMPRODUCT(--(OFFSET($AM13,1,0,5,1)&lt;&gt;0))=0),_xlpm.oppA,_xlfn.XLOOKUP($AK13,$H$4:$H$18,$J$4:$J$18,""),_xlpm.oppB,_xlfn.XLOOKUP($AK13,$H$4:$H$18,$K$4:$K$18,""),_xlpm.opp,IF($AL13=_xlpm.oppA,_xlpm.oppB,_xlpm.oppA),IF(_xlpm.auto,SUMIFS($AE$4:$AE$273,$S$4:$S$273,$AK13,$T$4:$T$273,_xlpm.opp),Scorebook!H45)))</f>
      </c>
      <c r="AT13" s="5" cm="1">
        <f t="array" aca="1" ref="AT13" ca="1">IF($AK13="","",_xlfn.LET(_xlpm.auto,AND(MOD(ROW()-4,6)=0,$AM13&lt;&gt;0,SUMPRODUCT(--(OFFSET($AM13,1,0,5,1)&lt;&gt;0))=0),_xlpm.oppA,_xlfn.XLOOKUP($AK13,$H$4:$H$18,$J$4:$J$18,""),_xlpm.oppB,_xlfn.XLOOKUP($AK13,$H$4:$H$18,$K$4:$K$18,""),_xlpm.opp,IF($AL13=_xlpm.oppA,_xlpm.oppB,_xlpm.oppA),IF(_xlpm.auto,SUMIFS($AB$4:$AB$273,$S$4:$S$273,$AK13,$T$4:$T$273,_xlpm.opp),Scorebook!I45)))</f>
      </c>
      <c r="AU13" s="5" cm="1">
        <f t="array" aca="1" ref="AU13" ca="1">IF($AK13="","",_xlfn.LET(_xlpm.auto,AND(MOD(ROW()-4,6)=0,$AM13&lt;&gt;0,SUMPRODUCT(--(OFFSET($AM13,1,0,5,1)&lt;&gt;0))=0),_xlpm.winner,_xlfn.XLOOKUP($AK13,$H$4:$H$18,$L$4:$L$18,""),IF(_xlpm.auto,--($AL13=_xlpm.winner),Scorebook!J45)))</f>
      </c>
      <c r="AV13" s="5" cm="1">
        <f t="array" aca="1" ref="AV13" ca="1">IF($AK13="","",_xlfn.LET(_xlpm.auto,AND(MOD(ROW()-4,6)=0,$AM13&lt;&gt;0,SUMPRODUCT(--(OFFSET($AM13,1,0,5,1)&lt;&gt;0))=0),_xlpm.loser,_xlfn.XLOOKUP($AK13,$H$4:$H$18,$M$4:$M$18,""),IF(_xlpm.auto,--($AL13=_xlpm.loser),Scorebook!K45)))</f>
      </c>
      <c r="AW13" s="5">
        <f ca="1">Scorebook!L45</f>
      </c>
      <c r="AX13" s="5" cm="1">
        <f t="array" aca="1" ref="AX13" ca="1">IF($AK13="","",_xlfn.LET(_xlpm.auto,AND(MOD(ROW()-4,6)=0,$AM13&lt;&gt;0,SUMPRODUCT(--(OFFSET($AM13,1,0,5,1)&lt;&gt;0))=0),_xlpm.oppA,_xlfn.XLOOKUP($AK13,$H$4:$H$18,$J$4:$J$18,""),_xlpm.oppRuns,IF($AL13=_xlpm.oppA,_xlfn.XLOOKUP($AK13,$H$4:$H$18,$O$4:$O$18,""),_xlfn.XLOOKUP($AK13,$H$4:$H$18,$N$4:$N$18,"")),IF(_xlpm.auto,--(_xlpm.oppRuns=0),Scorebook!M45)))</f>
      </c>
      <c r="AY13" s="5" cm="1">
        <f t="array" aca="1" ref="AY13" ca="1">IF($AK13="","",_xlfn.LET(_xlpm.auto,AND(MOD(ROW()-4,6)=0,$AM13&lt;&gt;0,SUMPRODUCT(--(OFFSET($AM13,1,0,5,1)&lt;&gt;0))=0),IF(_xlpm.auto,1,Scorebook!N45)))</f>
      </c>
      <c r="AZ13" s="10"/>
      <c r="BA13" s="10"/>
      <c r="BB13" s="5">
        <f>Settings!$B$2</f>
        <v>1</v>
      </c>
      <c r="BC13" s="5">
        <f>Betting!A15</f>
        <v>0</v>
      </c>
      <c r="BD13" s="5">
        <f>Betting!B15</f>
        <v>0</v>
      </c>
      <c r="BE13" s="5">
        <f>Betting!C15</f>
        <v>0</v>
      </c>
      <c r="BF13" s="5">
        <f>Betting!D15</f>
        <v>0</v>
      </c>
      <c r="BG13" s="5">
        <f>Betting!E15</f>
        <v>0</v>
      </c>
      <c r="BH13" s="5">
        <f>Betting!F15</f>
        <v>0</v>
      </c>
      <c r="BI13" s="4">
        <f>Betting!G15</f>
        <v>0</v>
      </c>
      <c r="BJ13" s="5">
        <f>Betting!H15</f>
        <v>0</v>
      </c>
      <c r="BK13" s="8" t="str">
        <f t="shared" ref="BK13:CM13" ca="1" si="7">IFERROR(_xlfn.SINGLE(INDEX(_xlfn._xlws.FILTER($D$4:$D$75, _xlfn.SINGLE($C$4:$C$75) = BK$5), ROWS(BK$6:BK$13))), "")</f>
        <v/>
      </c>
      <c r="BL13" s="8" t="str">
        <f t="shared" ca="1" si="7"/>
        <v/>
      </c>
      <c r="BM13" s="8" t="str">
        <f t="shared" ca="1" si="7"/>
        <v/>
      </c>
      <c r="BN13" s="8" t="str">
        <f t="shared" ca="1" si="7"/>
        <v/>
      </c>
      <c r="BO13" s="8" t="str">
        <f t="shared" ca="1" si="7"/>
        <v>Peach</v>
      </c>
      <c r="BP13" s="8" t="str">
        <f t="shared" ca="1" si="7"/>
        <v/>
      </c>
      <c r="BQ13" s="8" t="str">
        <f t="shared" ca="1" si="7"/>
        <v/>
      </c>
      <c r="BR13" s="8" t="str">
        <f t="shared" ca="1" si="7"/>
        <v/>
      </c>
      <c r="BS13" s="8" t="str">
        <f t="shared" ca="1" si="7"/>
        <v/>
      </c>
      <c r="BT13" s="8" t="str">
        <f t="shared" ca="1" si="7"/>
        <v/>
      </c>
      <c r="BU13" s="8" t="str">
        <f t="shared" ca="1" si="7"/>
        <v/>
      </c>
      <c r="BV13" s="8" t="str">
        <f t="shared" ca="1" si="7"/>
        <v>Peach</v>
      </c>
      <c r="BW13" s="8" t="str">
        <f t="shared" ca="1" si="7"/>
        <v/>
      </c>
      <c r="BX13" s="8" t="str">
        <f t="shared" ca="1" si="7"/>
        <v/>
      </c>
      <c r="BY13" s="8" t="str">
        <f t="shared" ca="1" si="7"/>
        <v/>
      </c>
      <c r="BZ13" s="8" t="str">
        <f t="shared" ca="1" si="7"/>
        <v>Peach</v>
      </c>
      <c r="CA13" s="8" t="str">
        <f t="shared" ca="1" si="7"/>
        <v/>
      </c>
      <c r="CB13" s="8" t="str">
        <f t="shared" ca="1" si="7"/>
        <v>Peach</v>
      </c>
      <c r="CC13" s="8" t="str">
        <f t="shared" ca="1" si="7"/>
        <v/>
      </c>
      <c r="CD13" s="8" t="str">
        <f t="shared" ca="1" si="7"/>
        <v/>
      </c>
      <c r="CE13" s="8" t="str">
        <f t="shared" ca="1" si="7"/>
        <v/>
      </c>
      <c r="CF13" s="8" t="str">
        <f t="shared" ca="1" si="7"/>
        <v/>
      </c>
      <c r="CG13" s="8" t="str">
        <f t="shared" ca="1" si="7"/>
        <v/>
      </c>
      <c r="CH13" s="8" t="str">
        <f t="shared" ca="1" si="7"/>
        <v/>
      </c>
      <c r="CI13" s="8" t="str">
        <f t="shared" ca="1" si="7"/>
        <v/>
      </c>
      <c r="CJ13" s="8" t="str">
        <f t="shared" ca="1" si="7"/>
        <v/>
      </c>
      <c r="CK13" s="8" t="str">
        <f t="shared" ca="1" si="7"/>
        <v/>
      </c>
      <c r="CL13" s="8" t="str">
        <f t="shared" ca="1" si="7"/>
        <v/>
      </c>
      <c r="CM13" s="8" t="str">
        <f t="shared" ca="1" si="7"/>
        <v/>
      </c>
    </row>
    <row r="14" spans="1:91">
      <c r="A14" s="4">
        <f>ROW()-3</f>
        <v>11</v>
      </c>
      <c r="B14" s="4">
        <f>IF(A14="","",ROUNDUP(A14/Settings!$B$3,0))</f>
        <v>2</v>
      </c>
      <c r="C14" s="5" t="str">
        <f>IF(Draft!$A$16="","",Draft!$D$16)</f>
        <v>Donovan</v>
      </c>
      <c r="D14" s="5" t="str">
        <f>IF(Draft!$E$16="","",Draft!$E$16)</f>
        <v>Waluigi</v>
      </c>
      <c r="E14" s="5">
        <f>Settings!$B$2</f>
        <v>1</v>
      </c>
      <c r="F14" s="5" t="b">
        <f>AND(C14&lt;&gt;"",D14&lt;&gt;"")</f>
        <v>1</v>
      </c>
      <c r="G14" s="18"/>
      <c r="H14" s="4" t="str">
        <f ca="1">IF(AND(Bracket!$H$17&lt;&gt;"",Bracket!$I$17&lt;&gt;""),"G11","")</f>
      </c>
      <c r="I14" s="5" t="str">
        <f ca="1">IF(AND(Bracket!$H$17&lt;&gt;"",Bracket!$I$17&lt;&gt;""),Bracket!$G$17,"")</f>
        <v/>
      </c>
      <c r="J14" s="5" t="str">
        <f ca="1">IF(AND(Bracket!$H$17&lt;&gt;"",Bracket!$I$17&lt;&gt;""),Bracket!$H$17,"")</f>
      </c>
      <c r="K14" s="5" t="str">
        <f ca="1">IF(AND(Bracket!$H$17&lt;&gt;"",Bracket!$I$17&lt;&gt;""),Bracket!$I$17,"")</f>
      </c>
      <c r="L14" s="5" t="str">
        <f ca="1">IF(AND(Bracket!$H$17&lt;&gt;"",Bracket!$I$17&lt;&gt;""),Bracket!$L$17,"")</f>
      </c>
      <c r="M14" s="5" t="str">
        <f ca="1">IF(AND(Bracket!$H$17&lt;&gt;"",Bracket!$I$17&lt;&gt;""),Bracket!$M$17,"")</f>
      </c>
      <c r="N14" s="5">
        <f ca="1">IF(AND(Bracket!$H$17&lt;&gt;"",Bracket!$I$17&lt;&gt;""),Scorebook!$K$494,"")</f>
      </c>
      <c r="O14" s="5">
        <f ca="1">IF(AND(Bracket!$H$17&lt;&gt;"",Bracket!$I$17&lt;&gt;""),Scorebook!$K$495,"")</f>
      </c>
      <c r="P14" s="5">
        <f ca="1">IF(AND(AND(Bracket!$H$17&lt;&gt;"",Bracket!$I$17&lt;&gt;""),L14&lt;&gt;"",M14&lt;&gt;""),TRUE,"")</f>
      </c>
      <c r="Q14" s="5">
        <f>Settings!$B$2</f>
        <v>1</v>
      </c>
      <c r="R14" s="18"/>
      <c r="S14" s="4" t="str">
        <f ca="1">Scorebook!$F$2</f>
        <v>G1</v>
      </c>
      <c r="T14" s="5" t="str">
        <f ca="1">Scorebook!$R$2</f>
        <v>Donovan</v>
      </c>
      <c r="U14" s="5" t="str">
        <f ca="1">Scorebook!$B$31</f>
        <v>Waluigi</v>
      </c>
      <c r="V14" s="4">
        <v>2</v>
      </c>
      <c r="W14" s="5">
        <f ca="1">Scorebook!M31</f>
        <v>1</v>
      </c>
      <c r="X14" s="5">
        <f ca="1">Scorebook!N31</f>
        <v>0</v>
      </c>
      <c r="Y14" s="5">
        <f ca="1">Scorebook!O31</f>
        <v>0</v>
      </c>
      <c r="Z14" s="5">
        <f ca="1">Scorebook!P31</f>
        <v>0</v>
      </c>
      <c r="AA14" s="5">
        <f ca="1">Scorebook!Q31</f>
        <v>0</v>
      </c>
      <c r="AB14" s="5">
        <f ca="1">Scorebook!R31</f>
        <v>0</v>
      </c>
      <c r="AC14" s="5">
        <f ca="1">Scorebook!S31</f>
        <v>0</v>
      </c>
      <c r="AD14" s="5">
        <f ca="1">Scorebook!T31</f>
        <v>0</v>
      </c>
      <c r="AE14" s="5">
        <f ca="1">Scorebook!U31</f>
        <v>0</v>
      </c>
      <c r="AF14" s="5">
        <f ca="1">Scorebook!V31</f>
        <v>0</v>
      </c>
      <c r="AG14" s="5">
        <f ca="1">Scorebook!W31</f>
        <v>0</v>
      </c>
      <c r="AH14" s="5">
        <f ca="1">Scorebook!X31</f>
        <v>0</v>
      </c>
      <c r="AI14" s="5">
        <f>Settings!$B$2</f>
        <v>1</v>
      </c>
      <c r="AJ14" s="18">
        <f ca="1">IF($AK14="","",Scorebook!$O$46)</f>
      </c>
      <c r="AK14" s="4" t="str">
        <f ca="1">Scorebook!$F$2</f>
        <v>G1</v>
      </c>
      <c r="AL14" s="5" t="str">
        <f ca="1">Scorebook!$R$2</f>
        <v>Donovan</v>
      </c>
      <c r="AM14" s="5" t="str">
        <f>Scorebook!$B$46</f>
      </c>
      <c r="AN14" s="5">
        <f ca="1">IF(Scorebook!C46="","",INT(Scorebook!C46)+MOD(ROUND(Scorebook!C46*10,0),10)/3)</f>
      </c>
      <c r="AO14" s="5" cm="1">
        <f t="array" aca="1" ref="AO14" ca="1">IF($AK14="","",_xlfn.LET(_xlpm.auto,AND(MOD(ROW()-4,6)=0,$AM14&lt;&gt;0,SUMPRODUCT(--(OFFSET($AM14,1,0,5,1)&lt;&gt;0))=0),_xlpm.oppA,_xlfn.XLOOKUP($AK14,$H$4:$H$18,$J$4:$J$18,""),_xlpm.oppB,_xlfn.XLOOKUP($AK14,$H$4:$H$18,$K$4:$K$18,""),_xlpm.opp,IF($AL14=_xlpm.oppA,_xlpm.oppB,_xlpm.oppA),IF(_xlpm.auto,SUMIFS($Y$4:$Y$273,$S$4:$S$273,$AK14,$T$4:$T$273,_xlpm.opp),Scorebook!D46)))</f>
      </c>
      <c r="AP14" s="5" cm="1">
        <f t="array" aca="1" ref="AP14" ca="1">IF($AK14="","",_xlfn.LET(_xlpm.auto,AND(MOD(ROW()-4,6)=0,$AM14&lt;&gt;0,SUMPRODUCT(--(OFFSET($AM14,1,0,5,1)&lt;&gt;0))=0),_xlpm.oppA,_xlfn.XLOOKUP($AK14,$H$4:$H$18,$J$4:$J$18,""),_xlpm.oppRuns,IF($AL14=_xlpm.oppA,_xlfn.XLOOKUP($AK14,$H$4:$H$18,$O$4:$O$18,""),_xlfn.XLOOKUP($AK14,$H$4:$H$18,$N$4:$N$18,"")),IF(_xlpm.auto,_xlpm.oppRuns,Scorebook!E46)))</f>
      </c>
      <c r="AQ14" s="5">
        <f ca="1">Scorebook!F46</f>
      </c>
      <c r="AR14" s="5" cm="1">
        <f t="array" aca="1" ref="AR14" ca="1">IF($AK14="","",_xlfn.LET(_xlpm.auto,AND(MOD(ROW()-4,6)=0,$AM14&lt;&gt;0,SUMPRODUCT(--(OFFSET($AM14,1,0,5,1)&lt;&gt;0))=0),_xlpm.oppA,_xlfn.XLOOKUP($AK14,$H$4:$H$18,$J$4:$J$18,""),_xlpm.oppB,_xlfn.XLOOKUP($AK14,$H$4:$H$18,$K$4:$K$18,""),_xlpm.opp,IF($AL14=_xlpm.oppA,_xlpm.oppB,_xlpm.oppA),IF(_xlpm.auto,SUMIFS($AD$4:$AD$273,$S$4:$S$273,$AK14,$T$4:$T$273,_xlpm.opp),Scorebook!G46)))</f>
      </c>
      <c r="AS14" s="5" cm="1">
        <f t="array" aca="1" ref="AS14" ca="1">IF($AK14="","",_xlfn.LET(_xlpm.auto,AND(MOD(ROW()-4,6)=0,$AM14&lt;&gt;0,SUMPRODUCT(--(OFFSET($AM14,1,0,5,1)&lt;&gt;0))=0),_xlpm.oppA,_xlfn.XLOOKUP($AK14,$H$4:$H$18,$J$4:$J$18,""),_xlpm.oppB,_xlfn.XLOOKUP($AK14,$H$4:$H$18,$K$4:$K$18,""),_xlpm.opp,IF($AL14=_xlpm.oppA,_xlpm.oppB,_xlpm.oppA),IF(_xlpm.auto,SUMIFS($AE$4:$AE$273,$S$4:$S$273,$AK14,$T$4:$T$273,_xlpm.opp),Scorebook!H46)))</f>
      </c>
      <c r="AT14" s="5" cm="1">
        <f t="array" aca="1" ref="AT14" ca="1">IF($AK14="","",_xlfn.LET(_xlpm.auto,AND(MOD(ROW()-4,6)=0,$AM14&lt;&gt;0,SUMPRODUCT(--(OFFSET($AM14,1,0,5,1)&lt;&gt;0))=0),_xlpm.oppA,_xlfn.XLOOKUP($AK14,$H$4:$H$18,$J$4:$J$18,""),_xlpm.oppB,_xlfn.XLOOKUP($AK14,$H$4:$H$18,$K$4:$K$18,""),_xlpm.opp,IF($AL14=_xlpm.oppA,_xlpm.oppB,_xlpm.oppA),IF(_xlpm.auto,SUMIFS($AB$4:$AB$273,$S$4:$S$273,$AK14,$T$4:$T$273,_xlpm.opp),Scorebook!I46)))</f>
      </c>
      <c r="AU14" s="5" cm="1">
        <f t="array" aca="1" ref="AU14" ca="1">IF($AK14="","",_xlfn.LET(_xlpm.auto,AND(MOD(ROW()-4,6)=0,$AM14&lt;&gt;0,SUMPRODUCT(--(OFFSET($AM14,1,0,5,1)&lt;&gt;0))=0),_xlpm.winner,_xlfn.XLOOKUP($AK14,$H$4:$H$18,$L$4:$L$18,""),IF(_xlpm.auto,--($AL14=_xlpm.winner),Scorebook!J46)))</f>
      </c>
      <c r="AV14" s="5" cm="1">
        <f t="array" aca="1" ref="AV14" ca="1">IF($AK14="","",_xlfn.LET(_xlpm.auto,AND(MOD(ROW()-4,6)=0,$AM14&lt;&gt;0,SUMPRODUCT(--(OFFSET($AM14,1,0,5,1)&lt;&gt;0))=0),_xlpm.loser,_xlfn.XLOOKUP($AK14,$H$4:$H$18,$M$4:$M$18,""),IF(_xlpm.auto,--($AL14=_xlpm.loser),Scorebook!K46)))</f>
      </c>
      <c r="AW14" s="5">
        <f ca="1">Scorebook!L46</f>
      </c>
      <c r="AX14" s="5" cm="1">
        <f t="array" aca="1" ref="AX14" ca="1">IF($AK14="","",_xlfn.LET(_xlpm.auto,AND(MOD(ROW()-4,6)=0,$AM14&lt;&gt;0,SUMPRODUCT(--(OFFSET($AM14,1,0,5,1)&lt;&gt;0))=0),_xlpm.oppA,_xlfn.XLOOKUP($AK14,$H$4:$H$18,$J$4:$J$18,""),_xlpm.oppRuns,IF($AL14=_xlpm.oppA,_xlfn.XLOOKUP($AK14,$H$4:$H$18,$O$4:$O$18,""),_xlfn.XLOOKUP($AK14,$H$4:$H$18,$N$4:$N$18,"")),IF(_xlpm.auto,--(_xlpm.oppRuns=0),Scorebook!M46)))</f>
      </c>
      <c r="AY14" s="5" cm="1">
        <f t="array" aca="1" ref="AY14" ca="1">IF($AK14="","",_xlfn.LET(_xlpm.auto,AND(MOD(ROW()-4,6)=0,$AM14&lt;&gt;0,SUMPRODUCT(--(OFFSET($AM14,1,0,5,1)&lt;&gt;0))=0),IF(_xlpm.auto,1,Scorebook!N46)))</f>
      </c>
      <c r="AZ14" s="10"/>
      <c r="BA14" s="10"/>
      <c r="BB14" s="5">
        <f>Settings!$B$2</f>
        <v>1</v>
      </c>
      <c r="BC14" s="5">
        <f>Betting!A16</f>
        <v>0</v>
      </c>
      <c r="BD14" s="5">
        <f>Betting!B16</f>
        <v>0</v>
      </c>
      <c r="BE14" s="5">
        <f>Betting!C16</f>
        <v>0</v>
      </c>
      <c r="BF14" s="5">
        <f>Betting!D16</f>
        <v>0</v>
      </c>
      <c r="BG14" s="5">
        <f>Betting!E16</f>
        <v>0</v>
      </c>
      <c r="BH14" s="5">
        <f>Betting!F16</f>
        <v>0</v>
      </c>
      <c r="BI14" s="4">
        <f>Betting!G16</f>
        <v>0</v>
      </c>
      <c r="BJ14" s="5">
        <f>Betting!H16</f>
        <v>0</v>
      </c>
      <c r="BK14" s="8" t="str">
        <f t="shared" ref="BK14:CM14" ca="1" si="8">IFERROR(_xlfn.SINGLE(INDEX(_xlfn._xlws.FILTER($D$4:$D$75, _xlfn.SINGLE($C$4:$C$75) = BK$5), ROWS(BK$6:BK$14))), "")</f>
        <v>Luigi</v>
      </c>
      <c r="BL14" s="8" t="str">
        <f t="shared" ca="1" si="8"/>
        <v/>
      </c>
      <c r="BM14" s="8" t="str">
        <f t="shared" ca="1" si="8"/>
        <v/>
      </c>
      <c r="BN14" s="8" t="str">
        <f t="shared" ca="1" si="8"/>
        <v/>
      </c>
      <c r="BO14" s="8" t="str">
        <f t="shared" ca="1" si="8"/>
        <v/>
      </c>
      <c r="BP14" s="8" t="str">
        <f t="shared" ca="1" si="8"/>
        <v/>
      </c>
      <c r="BQ14" s="8" t="str">
        <f t="shared" ca="1" si="8"/>
        <v/>
      </c>
      <c r="BR14" s="8" t="str">
        <f t="shared" ca="1" si="8"/>
        <v/>
      </c>
      <c r="BS14" s="8" t="str">
        <f t="shared" ca="1" si="8"/>
        <v/>
      </c>
      <c r="BT14" s="8" t="str">
        <f t="shared" ca="1" si="8"/>
        <v/>
      </c>
      <c r="BU14" s="8" t="str">
        <f t="shared" ca="1" si="8"/>
        <v>Luigi</v>
      </c>
      <c r="BV14" s="8" t="str">
        <f t="shared" ca="1" si="8"/>
        <v/>
      </c>
      <c r="BW14" s="8" t="str">
        <f t="shared" ca="1" si="8"/>
        <v/>
      </c>
      <c r="BX14" s="8" t="str">
        <f t="shared" ca="1" si="8"/>
        <v/>
      </c>
      <c r="BY14" s="8" t="str">
        <f t="shared" ca="1" si="8"/>
        <v/>
      </c>
      <c r="BZ14" s="8" t="str">
        <f t="shared" ca="1" si="8"/>
        <v/>
      </c>
      <c r="CA14" s="8" t="str">
        <f t="shared" ca="1" si="8"/>
        <v/>
      </c>
      <c r="CB14" s="8" t="str">
        <f t="shared" ca="1" si="8"/>
        <v/>
      </c>
      <c r="CC14" s="8" t="str">
        <f t="shared" ca="1" si="8"/>
        <v/>
      </c>
      <c r="CD14" s="8" t="str">
        <f t="shared" ca="1" si="8"/>
        <v/>
      </c>
      <c r="CE14" s="8" t="str">
        <f t="shared" ca="1" si="8"/>
        <v/>
      </c>
      <c r="CF14" s="8" t="str">
        <f t="shared" ca="1" si="8"/>
        <v/>
      </c>
      <c r="CG14" s="8" t="str">
        <f t="shared" ca="1" si="8"/>
        <v/>
      </c>
      <c r="CH14" s="8" t="str">
        <f t="shared" ca="1" si="8"/>
        <v/>
      </c>
      <c r="CI14" s="8" t="str">
        <f t="shared" ca="1" si="8"/>
        <v/>
      </c>
      <c r="CJ14" s="8" t="str">
        <f t="shared" ca="1" si="8"/>
        <v/>
      </c>
      <c r="CK14" s="8" t="str">
        <f t="shared" ca="1" si="8"/>
        <v/>
      </c>
      <c r="CL14" s="8" t="str">
        <f t="shared" ca="1" si="8"/>
        <v/>
      </c>
      <c r="CM14" s="8" t="str">
        <f t="shared" ca="1" si="8"/>
        <v/>
      </c>
    </row>
    <row r="15" spans="1:91">
      <c r="A15" s="4">
        <f>ROW()-3</f>
        <v>12</v>
      </c>
      <c r="B15" s="4">
        <f>IF(A15="","",ROUNDUP(A15/Settings!$B$3,0))</f>
        <v>2</v>
      </c>
      <c r="C15" s="5" t="str">
        <f>IF(Draft!$A$17="","",Draft!$D$17)</f>
        <v>Justin</v>
      </c>
      <c r="D15" s="5" t="str">
        <f>IF(Draft!$E$17="","",Draft!$E$17)</f>
        <v>Boo</v>
      </c>
      <c r="E15" s="5">
        <f>Settings!$B$2</f>
        <v>1</v>
      </c>
      <c r="F15" s="5" t="b">
        <f>AND(C15&lt;&gt;"",D15&lt;&gt;"")</f>
        <v>1</v>
      </c>
      <c r="G15" s="18"/>
      <c r="H15" s="4" t="str">
        <f ca="1">IF(AND(Bracket!$H$18&lt;&gt;"",Bracket!$I$18&lt;&gt;""),"G12","")</f>
      </c>
      <c r="I15" s="5" t="str">
        <f ca="1">IF(AND(Bracket!$H$18&lt;&gt;"",Bracket!$I$18&lt;&gt;""),Bracket!$G$18,"")</f>
        <v/>
      </c>
      <c r="J15" s="5" t="str">
        <f ca="1">IF(AND(Bracket!$H$18&lt;&gt;"",Bracket!$I$18&lt;&gt;""),Bracket!$H$18,"")</f>
      </c>
      <c r="K15" s="5" t="str">
        <f ca="1">IF(AND(Bracket!$H$18&lt;&gt;"",Bracket!$I$18&lt;&gt;""),Bracket!$I$18,"")</f>
      </c>
      <c r="L15" s="5" t="str">
        <f ca="1">IF(AND(Bracket!$H$18&lt;&gt;"",Bracket!$I$18&lt;&gt;""),Bracket!$L$18,"")</f>
      </c>
      <c r="M15" s="5" t="str">
        <f ca="1">IF(AND(Bracket!$H$18&lt;&gt;"",Bracket!$I$18&lt;&gt;""),Bracket!$M$18,"")</f>
      </c>
      <c r="N15" s="5">
        <f ca="1">IF(AND(Bracket!$H$18&lt;&gt;"",Bracket!$I$18&lt;&gt;""),Scorebook!$K$543,"")</f>
      </c>
      <c r="O15" s="5">
        <f ca="1">IF(AND(Bracket!$H$18&lt;&gt;"",Bracket!$I$18&lt;&gt;""),Scorebook!$K$544,"")</f>
      </c>
      <c r="P15" s="5">
        <f ca="1">IF(AND(AND(Bracket!$H$18&lt;&gt;"",Bracket!$I$18&lt;&gt;""),L15&lt;&gt;"",M15&lt;&gt;""),TRUE,"")</f>
      </c>
      <c r="Q15" s="5">
        <f>Settings!$B$2</f>
        <v>1</v>
      </c>
      <c r="R15" s="18"/>
      <c r="S15" s="4" t="str">
        <f ca="1">Scorebook!$F$2</f>
        <v>G1</v>
      </c>
      <c r="T15" s="5" t="str">
        <f ca="1">Scorebook!$R$2</f>
        <v>Donovan</v>
      </c>
      <c r="U15" s="5" t="str">
        <f ca="1">Scorebook!$B$32</f>
        <v>Dry Bones</v>
      </c>
      <c r="V15" s="4">
        <v>3</v>
      </c>
      <c r="W15" s="5">
        <f ca="1">Scorebook!M32</f>
        <v>1</v>
      </c>
      <c r="X15" s="5">
        <f ca="1">Scorebook!N32</f>
        <v>0</v>
      </c>
      <c r="Y15" s="5">
        <f ca="1">Scorebook!O32</f>
        <v>0</v>
      </c>
      <c r="Z15" s="5">
        <f ca="1">Scorebook!P32</f>
        <v>0</v>
      </c>
      <c r="AA15" s="5">
        <f ca="1">Scorebook!Q32</f>
        <v>0</v>
      </c>
      <c r="AB15" s="5">
        <f ca="1">Scorebook!R32</f>
        <v>0</v>
      </c>
      <c r="AC15" s="5">
        <f ca="1">Scorebook!S32</f>
        <v>0</v>
      </c>
      <c r="AD15" s="5">
        <f ca="1">Scorebook!T32</f>
        <v>0</v>
      </c>
      <c r="AE15" s="5">
        <f ca="1">Scorebook!U32</f>
        <v>1</v>
      </c>
      <c r="AF15" s="5">
        <f ca="1">Scorebook!V32</f>
        <v>0</v>
      </c>
      <c r="AG15" s="5">
        <f ca="1">Scorebook!W32</f>
        <v>0</v>
      </c>
      <c r="AH15" s="5">
        <f ca="1">Scorebook!X32</f>
        <v>0</v>
      </c>
      <c r="AI15" s="5">
        <f>Settings!$B$2</f>
        <v>1</v>
      </c>
      <c r="AJ15" s="18">
        <f ca="1">IF($AK15="","",Scorebook!$O$47)</f>
      </c>
      <c r="AK15" s="4" t="str">
        <f ca="1">Scorebook!$F$2</f>
        <v>G1</v>
      </c>
      <c r="AL15" s="5" t="str">
        <f ca="1">Scorebook!$R$2</f>
        <v>Donovan</v>
      </c>
      <c r="AM15" s="5" t="str">
        <f>Scorebook!$B$47</f>
      </c>
      <c r="AN15" s="5">
        <f ca="1">IF(Scorebook!C47="","",INT(Scorebook!C47)+MOD(ROUND(Scorebook!C47*10,0),10)/3)</f>
      </c>
      <c r="AO15" s="5" cm="1">
        <f t="array" aca="1" ref="AO15" ca="1">IF($AK15="","",_xlfn.LET(_xlpm.auto,AND(MOD(ROW()-4,6)=0,$AM15&lt;&gt;0,SUMPRODUCT(--(OFFSET($AM15,1,0,5,1)&lt;&gt;0))=0),_xlpm.oppA,_xlfn.XLOOKUP($AK15,$H$4:$H$18,$J$4:$J$18,""),_xlpm.oppB,_xlfn.XLOOKUP($AK15,$H$4:$H$18,$K$4:$K$18,""),_xlpm.opp,IF($AL15=_xlpm.oppA,_xlpm.oppB,_xlpm.oppA),IF(_xlpm.auto,SUMIFS($Y$4:$Y$273,$S$4:$S$273,$AK15,$T$4:$T$273,_xlpm.opp),Scorebook!D47)))</f>
      </c>
      <c r="AP15" s="5" cm="1">
        <f t="array" aca="1" ref="AP15" ca="1">IF($AK15="","",_xlfn.LET(_xlpm.auto,AND(MOD(ROW()-4,6)=0,$AM15&lt;&gt;0,SUMPRODUCT(--(OFFSET($AM15,1,0,5,1)&lt;&gt;0))=0),_xlpm.oppA,_xlfn.XLOOKUP($AK15,$H$4:$H$18,$J$4:$J$18,""),_xlpm.oppRuns,IF($AL15=_xlpm.oppA,_xlfn.XLOOKUP($AK15,$H$4:$H$18,$O$4:$O$18,""),_xlfn.XLOOKUP($AK15,$H$4:$H$18,$N$4:$N$18,"")),IF(_xlpm.auto,_xlpm.oppRuns,Scorebook!E47)))</f>
      </c>
      <c r="AQ15" s="5">
        <f ca="1">Scorebook!F47</f>
      </c>
      <c r="AR15" s="5" cm="1">
        <f t="array" aca="1" ref="AR15" ca="1">IF($AK15="","",_xlfn.LET(_xlpm.auto,AND(MOD(ROW()-4,6)=0,$AM15&lt;&gt;0,SUMPRODUCT(--(OFFSET($AM15,1,0,5,1)&lt;&gt;0))=0),_xlpm.oppA,_xlfn.XLOOKUP($AK15,$H$4:$H$18,$J$4:$J$18,""),_xlpm.oppB,_xlfn.XLOOKUP($AK15,$H$4:$H$18,$K$4:$K$18,""),_xlpm.opp,IF($AL15=_xlpm.oppA,_xlpm.oppB,_xlpm.oppA),IF(_xlpm.auto,SUMIFS($AD$4:$AD$273,$S$4:$S$273,$AK15,$T$4:$T$273,_xlpm.opp),Scorebook!G47)))</f>
      </c>
      <c r="AS15" s="5" cm="1">
        <f t="array" aca="1" ref="AS15" ca="1">IF($AK15="","",_xlfn.LET(_xlpm.auto,AND(MOD(ROW()-4,6)=0,$AM15&lt;&gt;0,SUMPRODUCT(--(OFFSET($AM15,1,0,5,1)&lt;&gt;0))=0),_xlpm.oppA,_xlfn.XLOOKUP($AK15,$H$4:$H$18,$J$4:$J$18,""),_xlpm.oppB,_xlfn.XLOOKUP($AK15,$H$4:$H$18,$K$4:$K$18,""),_xlpm.opp,IF($AL15=_xlpm.oppA,_xlpm.oppB,_xlpm.oppA),IF(_xlpm.auto,SUMIFS($AE$4:$AE$273,$S$4:$S$273,$AK15,$T$4:$T$273,_xlpm.opp),Scorebook!H47)))</f>
      </c>
      <c r="AT15" s="5" cm="1">
        <f t="array" aca="1" ref="AT15" ca="1">IF($AK15="","",_xlfn.LET(_xlpm.auto,AND(MOD(ROW()-4,6)=0,$AM15&lt;&gt;0,SUMPRODUCT(--(OFFSET($AM15,1,0,5,1)&lt;&gt;0))=0),_xlpm.oppA,_xlfn.XLOOKUP($AK15,$H$4:$H$18,$J$4:$J$18,""),_xlpm.oppB,_xlfn.XLOOKUP($AK15,$H$4:$H$18,$K$4:$K$18,""),_xlpm.opp,IF($AL15=_xlpm.oppA,_xlpm.oppB,_xlpm.oppA),IF(_xlpm.auto,SUMIFS($AB$4:$AB$273,$S$4:$S$273,$AK15,$T$4:$T$273,_xlpm.opp),Scorebook!I47)))</f>
      </c>
      <c r="AU15" s="5" cm="1">
        <f t="array" aca="1" ref="AU15" ca="1">IF($AK15="","",_xlfn.LET(_xlpm.auto,AND(MOD(ROW()-4,6)=0,$AM15&lt;&gt;0,SUMPRODUCT(--(OFFSET($AM15,1,0,5,1)&lt;&gt;0))=0),_xlpm.winner,_xlfn.XLOOKUP($AK15,$H$4:$H$18,$L$4:$L$18,""),IF(_xlpm.auto,--($AL15=_xlpm.winner),Scorebook!J47)))</f>
      </c>
      <c r="AV15" s="5" cm="1">
        <f t="array" aca="1" ref="AV15" ca="1">IF($AK15="","",_xlfn.LET(_xlpm.auto,AND(MOD(ROW()-4,6)=0,$AM15&lt;&gt;0,SUMPRODUCT(--(OFFSET($AM15,1,0,5,1)&lt;&gt;0))=0),_xlpm.loser,_xlfn.XLOOKUP($AK15,$H$4:$H$18,$M$4:$M$18,""),IF(_xlpm.auto,--($AL15=_xlpm.loser),Scorebook!K47)))</f>
      </c>
      <c r="AW15" s="5">
        <f ca="1">Scorebook!L47</f>
      </c>
      <c r="AX15" s="5" cm="1">
        <f t="array" aca="1" ref="AX15" ca="1">IF($AK15="","",_xlfn.LET(_xlpm.auto,AND(MOD(ROW()-4,6)=0,$AM15&lt;&gt;0,SUMPRODUCT(--(OFFSET($AM15,1,0,5,1)&lt;&gt;0))=0),_xlpm.oppA,_xlfn.XLOOKUP($AK15,$H$4:$H$18,$J$4:$J$18,""),_xlpm.oppRuns,IF($AL15=_xlpm.oppA,_xlfn.XLOOKUP($AK15,$H$4:$H$18,$O$4:$O$18,""),_xlfn.XLOOKUP($AK15,$H$4:$H$18,$N$4:$N$18,"")),IF(_xlpm.auto,--(_xlpm.oppRuns=0),Scorebook!M47)))</f>
      </c>
      <c r="AY15" s="5" cm="1">
        <f t="array" aca="1" ref="AY15" ca="1">IF($AK15="","",_xlfn.LET(_xlpm.auto,AND(MOD(ROW()-4,6)=0,$AM15&lt;&gt;0,SUMPRODUCT(--(OFFSET($AM15,1,0,5,1)&lt;&gt;0))=0),IF(_xlpm.auto,1,Scorebook!N47)))</f>
      </c>
      <c r="AZ15" s="10"/>
      <c r="BA15" s="10"/>
      <c r="BB15" s="5">
        <f>Settings!$B$2</f>
        <v>1</v>
      </c>
      <c r="BC15" s="5">
        <f>Betting!A17</f>
        <v>0</v>
      </c>
      <c r="BD15" s="5">
        <f>Betting!B17</f>
        <v>0</v>
      </c>
      <c r="BE15" s="5">
        <f>Betting!C17</f>
        <v>0</v>
      </c>
      <c r="BF15" s="5">
        <f>Betting!D17</f>
        <v>0</v>
      </c>
      <c r="BG15" s="5">
        <f>Betting!E17</f>
        <v>0</v>
      </c>
      <c r="BH15" s="5">
        <f>Betting!F17</f>
        <v>0</v>
      </c>
      <c r="BI15" s="4">
        <f>Betting!G17</f>
        <v>0</v>
      </c>
      <c r="BJ15" s="4">
        <f>Betting!H17</f>
        <v>0</v>
      </c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</row>
    <row r="16" spans="1:91">
      <c r="A16" s="4">
        <f>ROW()-3</f>
        <v>13</v>
      </c>
      <c r="B16" s="4">
        <f>IF(A16="","",ROUNDUP(A16/Settings!$B$3,0))</f>
        <v>3</v>
      </c>
      <c r="C16" s="5" t="str">
        <f>IF(Draft!$A$18="","",Draft!$D$18)</f>
        <v>Justin</v>
      </c>
      <c r="D16" s="5" t="str">
        <f>IF(Draft!$E$18="","",Draft!$E$18)</f>
        <v>Funky Kong</v>
      </c>
      <c r="E16" s="5">
        <f>Settings!$B$2</f>
        <v>1</v>
      </c>
      <c r="F16" s="5" t="b">
        <f>AND(C16&lt;&gt;"",D16&lt;&gt;"")</f>
        <v>1</v>
      </c>
      <c r="G16" s="18"/>
      <c r="H16" s="4" t="str">
        <f ca="1">IF(AND(Bracket!$H$19&lt;&gt;"",Bracket!$I$19&lt;&gt;""),"G13","")</f>
      </c>
      <c r="I16" s="5" t="str">
        <f ca="1">IF(AND(Bracket!$H$19&lt;&gt;"",Bracket!$I$19&lt;&gt;""),Bracket!$G$19,"")</f>
        <v/>
      </c>
      <c r="J16" s="5" t="str">
        <f ca="1">IF(AND(Bracket!$H$19&lt;&gt;"",Bracket!$I$19&lt;&gt;""),Bracket!$H$19,"")</f>
      </c>
      <c r="K16" s="5" t="str">
        <f ca="1">IF(AND(Bracket!$H$19&lt;&gt;"",Bracket!$I$19&lt;&gt;""),Bracket!$I$19,"")</f>
      </c>
      <c r="L16" s="5" t="str">
        <f ca="1">IF(AND(Bracket!$H$19&lt;&gt;"",Bracket!$I$19&lt;&gt;""),Bracket!$L$19,"")</f>
      </c>
      <c r="M16" s="5" t="str">
        <f ca="1">IF(AND(Bracket!$H$19&lt;&gt;"",Bracket!$I$19&lt;&gt;""),Bracket!$M$19,"")</f>
      </c>
      <c r="N16" s="5">
        <f ca="1">IF(AND(Bracket!$H$19&lt;&gt;"",Bracket!$I$19&lt;&gt;""),Scorebook!$K$592,"")</f>
      </c>
      <c r="O16" s="5">
        <f ca="1">IF(AND(Bracket!$H$19&lt;&gt;"",Bracket!$I$19&lt;&gt;""),Scorebook!$K$593,"")</f>
      </c>
      <c r="P16" s="5">
        <f ca="1">IF(AND(AND(Bracket!$H$19&lt;&gt;"",Bracket!$I$19&lt;&gt;""),L16&lt;&gt;"",M16&lt;&gt;""),TRUE,"")</f>
      </c>
      <c r="Q16" s="5">
        <f>Settings!$B$2</f>
        <v>1</v>
      </c>
      <c r="R16" s="18"/>
      <c r="S16" s="4" t="str">
        <f ca="1">Scorebook!$F$2</f>
        <v>G1</v>
      </c>
      <c r="T16" s="5" t="str">
        <f ca="1">Scorebook!$R$2</f>
        <v>Donovan</v>
      </c>
      <c r="U16" s="5" t="str">
        <f ca="1">Scorebook!$B$33</f>
        <v>Diddy Kong</v>
      </c>
      <c r="V16" s="4">
        <v>4</v>
      </c>
      <c r="W16" s="5">
        <f ca="1">Scorebook!M33</f>
        <v>1</v>
      </c>
      <c r="X16" s="5">
        <f ca="1">Scorebook!N33</f>
        <v>0</v>
      </c>
      <c r="Y16" s="5">
        <f ca="1">Scorebook!O33</f>
        <v>0</v>
      </c>
      <c r="Z16" s="5">
        <f ca="1">Scorebook!P33</f>
        <v>0</v>
      </c>
      <c r="AA16" s="5">
        <f ca="1">Scorebook!Q33</f>
        <v>0</v>
      </c>
      <c r="AB16" s="5">
        <f ca="1">Scorebook!R33</f>
        <v>0</v>
      </c>
      <c r="AC16" s="5">
        <f ca="1">Scorebook!S33</f>
        <v>0</v>
      </c>
      <c r="AD16" s="5">
        <f ca="1">Scorebook!T33</f>
        <v>0</v>
      </c>
      <c r="AE16" s="5">
        <f ca="1">Scorebook!U33</f>
        <v>1</v>
      </c>
      <c r="AF16" s="5">
        <f ca="1">Scorebook!V33</f>
        <v>0</v>
      </c>
      <c r="AG16" s="5">
        <f ca="1">Scorebook!W33</f>
        <v>0</v>
      </c>
      <c r="AH16" s="5">
        <f ca="1">Scorebook!X33</f>
        <v>0</v>
      </c>
      <c r="AI16" s="5">
        <f>Settings!$B$2</f>
        <v>1</v>
      </c>
      <c r="AJ16" s="18">
        <f ca="1">IF($AK16="","",Scorebook!$O$70)</f>
        <v>9</v>
      </c>
      <c r="AK16" s="4" t="str">
        <f ca="1">Scorebook!$F$51</f>
        <v>G2</v>
      </c>
      <c r="AL16" s="5" t="str">
        <f ca="1">Scorebook!$N$51</f>
        <v>Aidan</v>
      </c>
      <c r="AM16" s="5" t="str">
        <f>Scorebook!$B$70</f>
        <v>Red Magikoopa</v>
      </c>
      <c r="AN16" s="5">
        <f ca="1">IF(Scorebook!C70="","",INT(Scorebook!C70)+MOD(ROUND(Scorebook!C70*10,0),10)/3)</f>
        <v>2.0</v>
      </c>
      <c r="AO16" s="5" cm="1">
        <f t="array" aca="1" ref="AO16" ca="1">IF($AK16="","",_xlfn.LET(_xlpm.auto,AND(MOD(ROW()-4,6)=0,$AM16&lt;&gt;0,SUMPRODUCT(--(OFFSET($AM16,1,0,5,1)&lt;&gt;0))=0),_xlpm.oppA,_xlfn.XLOOKUP($AK16,$H$4:$H$18,$J$4:$J$18,""),_xlpm.oppB,_xlfn.XLOOKUP($AK16,$H$4:$H$18,$K$4:$K$18,""),_xlpm.opp,IF($AL16=_xlpm.oppA,_xlpm.oppB,_xlpm.oppA),IF(_xlpm.auto,SUMIFS($Y$4:$Y$273,$S$4:$S$273,$AK16,$T$4:$T$273,_xlpm.opp),Scorebook!D70)))</f>
        <v>3</v>
      </c>
      <c r="AP16" s="5" cm="1">
        <f t="array" aca="1" ref="AP16" ca="1">IF($AK16="","",_xlfn.LET(_xlpm.auto,AND(MOD(ROW()-4,6)=0,$AM16&lt;&gt;0,SUMPRODUCT(--(OFFSET($AM16,1,0,5,1)&lt;&gt;0))=0),_xlpm.oppA,_xlfn.XLOOKUP($AK16,$H$4:$H$18,$J$4:$J$18,""),_xlpm.oppRuns,IF($AL16=_xlpm.oppA,_xlfn.XLOOKUP($AK16,$H$4:$H$18,$O$4:$O$18,""),_xlfn.XLOOKUP($AK16,$H$4:$H$18,$N$4:$N$18,"")),IF(_xlpm.auto,_xlpm.oppRuns,Scorebook!E70)))</f>
        <v>2</v>
      </c>
      <c r="AQ16" s="5">
        <f ca="1">Scorebook!F70</f>
        <v>2</v>
      </c>
      <c r="AR16" s="5" cm="1">
        <f t="array" aca="1" ref="AR16" ca="1">IF($AK16="","",_xlfn.LET(_xlpm.auto,AND(MOD(ROW()-4,6)=0,$AM16&lt;&gt;0,SUMPRODUCT(--(OFFSET($AM16,1,0,5,1)&lt;&gt;0))=0),_xlpm.oppA,_xlfn.XLOOKUP($AK16,$H$4:$H$18,$J$4:$J$18,""),_xlpm.oppB,_xlfn.XLOOKUP($AK16,$H$4:$H$18,$K$4:$K$18,""),_xlpm.opp,IF($AL16=_xlpm.oppA,_xlpm.oppB,_xlpm.oppA),IF(_xlpm.auto,SUMIFS($AD$4:$AD$273,$S$4:$S$273,$AK16,$T$4:$T$273,_xlpm.opp),Scorebook!G70)))</f>
        <v>0</v>
      </c>
      <c r="AS16" s="5" cm="1">
        <f t="array" aca="1" ref="AS16" ca="1">IF($AK16="","",_xlfn.LET(_xlpm.auto,AND(MOD(ROW()-4,6)=0,$AM16&lt;&gt;0,SUMPRODUCT(--(OFFSET($AM16,1,0,5,1)&lt;&gt;0))=0),_xlpm.oppA,_xlfn.XLOOKUP($AK16,$H$4:$H$18,$J$4:$J$18,""),_xlpm.oppB,_xlfn.XLOOKUP($AK16,$H$4:$H$18,$K$4:$K$18,""),_xlpm.opp,IF($AL16=_xlpm.oppA,_xlpm.oppB,_xlpm.oppA),IF(_xlpm.auto,SUMIFS($AE$4:$AE$273,$S$4:$S$273,$AK16,$T$4:$T$273,_xlpm.opp),Scorebook!H70)))</f>
        <v>3</v>
      </c>
      <c r="AT16" s="5" cm="1">
        <f t="array" aca="1" ref="AT16" ca="1">IF($AK16="","",_xlfn.LET(_xlpm.auto,AND(MOD(ROW()-4,6)=0,$AM16&lt;&gt;0,SUMPRODUCT(--(OFFSET($AM16,1,0,5,1)&lt;&gt;0))=0),_xlpm.oppA,_xlfn.XLOOKUP($AK16,$H$4:$H$18,$J$4:$J$18,""),_xlpm.oppB,_xlfn.XLOOKUP($AK16,$H$4:$H$18,$K$4:$K$18,""),_xlpm.opp,IF($AL16=_xlpm.oppA,_xlpm.oppB,_xlpm.oppA),IF(_xlpm.auto,SUMIFS($AB$4:$AB$273,$S$4:$S$273,$AK16,$T$4:$T$273,_xlpm.opp),Scorebook!I70)))</f>
        <v>2</v>
      </c>
      <c r="AU16" s="5" cm="1">
        <f t="array" aca="1" ref="AU16" ca="1">IF($AK16="","",_xlfn.LET(_xlpm.auto,AND(MOD(ROW()-4,6)=0,$AM16&lt;&gt;0,SUMPRODUCT(--(OFFSET($AM16,1,0,5,1)&lt;&gt;0))=0),_xlpm.winner,_xlfn.XLOOKUP($AK16,$H$4:$H$18,$L$4:$L$18,""),IF(_xlpm.auto,--($AL16=_xlpm.winner),Scorebook!J70)))</f>
        <v>1</v>
      </c>
      <c r="AV16" s="5" cm="1">
        <f t="array" aca="1" ref="AV16" ca="1">IF($AK16="","",_xlfn.LET(_xlpm.auto,AND(MOD(ROW()-4,6)=0,$AM16&lt;&gt;0,SUMPRODUCT(--(OFFSET($AM16,1,0,5,1)&lt;&gt;0))=0),_xlpm.loser,_xlfn.XLOOKUP($AK16,$H$4:$H$18,$M$4:$M$18,""),IF(_xlpm.auto,--($AL16=_xlpm.loser),Scorebook!K70)))</f>
        <v>0</v>
      </c>
      <c r="AW16" s="5">
        <f ca="1">Scorebook!L70</f>
        <v>0</v>
      </c>
      <c r="AX16" s="5" cm="1">
        <f t="array" aca="1" ref="AX16" ca="1">IF($AK16="","",_xlfn.LET(_xlpm.auto,AND(MOD(ROW()-4,6)=0,$AM16&lt;&gt;0,SUMPRODUCT(--(OFFSET($AM16,1,0,5,1)&lt;&gt;0))=0),_xlpm.oppA,_xlfn.XLOOKUP($AK16,$H$4:$H$18,$J$4:$J$18,""),_xlpm.oppRuns,IF($AL16=_xlpm.oppA,_xlfn.XLOOKUP($AK16,$H$4:$H$18,$O$4:$O$18,""),_xlfn.XLOOKUP($AK16,$H$4:$H$18,$N$4:$N$18,"")),IF(_xlpm.auto,--(_xlpm.oppRuns=0),Scorebook!M70)))</f>
        <v>0</v>
      </c>
      <c r="AY16" s="5" cm="1">
        <f t="array" aca="1" ref="AY16" ca="1">IF($AK16="","",_xlfn.LET(_xlpm.auto,AND(MOD(ROW()-4,6)=0,$AM16&lt;&gt;0,SUMPRODUCT(--(OFFSET($AM16,1,0,5,1)&lt;&gt;0))=0),IF(_xlpm.auto,1,Scorebook!N70)))</f>
        <v>0</v>
      </c>
      <c r="AZ16" s="10"/>
      <c r="BA16" s="10"/>
      <c r="BB16" s="5">
        <f>Settings!$B$2</f>
        <v>1</v>
      </c>
      <c r="BC16" s="5">
        <f>Betting!A18</f>
        <v>0</v>
      </c>
      <c r="BD16" s="5">
        <f>Betting!B18</f>
        <v>0</v>
      </c>
      <c r="BE16" s="5">
        <f>Betting!C18</f>
        <v>0</v>
      </c>
      <c r="BF16" s="5">
        <f>Betting!D18</f>
        <v>0</v>
      </c>
      <c r="BG16" s="5">
        <f>Betting!E18</f>
        <v>0</v>
      </c>
      <c r="BH16" s="5">
        <f>Betting!F18</f>
        <v>0</v>
      </c>
      <c r="BI16" s="4">
        <f>Betting!G18</f>
        <v>0</v>
      </c>
      <c r="BJ16" s="4">
        <f>Betting!H18</f>
        <v>0</v>
      </c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</row>
    <row r="17" spans="1:62">
      <c r="A17" s="4">
        <f>ROW()-3</f>
        <v>14</v>
      </c>
      <c r="B17" s="4">
        <f>IF(A17="","",ROUNDUP(A17/Settings!$B$3,0))</f>
        <v>3</v>
      </c>
      <c r="C17" s="5" t="str">
        <f>IF(Draft!$A$19="","",Draft!$D$19)</f>
        <v>Donovan</v>
      </c>
      <c r="D17" s="5" t="str">
        <f>IF(Draft!$E$19="","",Draft!$E$19)</f>
        <v>Diddy Kong</v>
      </c>
      <c r="E17" s="5">
        <f>Settings!$B$2</f>
        <v>1</v>
      </c>
      <c r="F17" s="5" t="b">
        <f>AND(C17&lt;&gt;"",D17&lt;&gt;"")</f>
        <v>1</v>
      </c>
      <c r="G17" s="18"/>
      <c r="H17" s="4" t="str">
        <f ca="1">IF(AND(Bracket!$H$20&lt;&gt;"",Bracket!$I$20&lt;&gt;""),"G14","")</f>
      </c>
      <c r="I17" s="5" t="str">
        <f ca="1">IF(AND(Bracket!$H$20&lt;&gt;"",Bracket!$I$20&lt;&gt;""),Bracket!$G$20,"")</f>
        <v/>
      </c>
      <c r="J17" s="5" t="str">
        <f ca="1">IF(AND(Bracket!$H$20&lt;&gt;"",Bracket!$I$20&lt;&gt;""),Bracket!$H$20,"")</f>
      </c>
      <c r="K17" s="5" t="str">
        <f ca="1">IF(AND(Bracket!$H$20&lt;&gt;"",Bracket!$I$20&lt;&gt;""),Bracket!$I$20,"")</f>
      </c>
      <c r="L17" s="5" t="str">
        <f ca="1">IF(AND(Bracket!$H$20&lt;&gt;"",Bracket!$I$20&lt;&gt;""),Bracket!$L$20,"")</f>
      </c>
      <c r="M17" s="5" t="str">
        <f ca="1">IF(AND(Bracket!$H$20&lt;&gt;"",Bracket!$I$20&lt;&gt;""),Bracket!$M$20,"")</f>
      </c>
      <c r="N17" s="5">
        <f ca="1">IF(AND(Bracket!$H$20&lt;&gt;"",Bracket!$I$20&lt;&gt;""),Scorebook!$K$641,"")</f>
      </c>
      <c r="O17" s="5">
        <f ca="1">IF(AND(Bracket!$H$20&lt;&gt;"",Bracket!$I$20&lt;&gt;""),Scorebook!$K$642,"")</f>
      </c>
      <c r="P17" s="5">
        <f ca="1">IF(AND(AND(Bracket!$H$20&lt;&gt;"",Bracket!$I$20&lt;&gt;""),L17&lt;&gt;"",M17&lt;&gt;""),TRUE,"")</f>
      </c>
      <c r="Q17" s="5">
        <f>Settings!$B$2</f>
        <v>1</v>
      </c>
      <c r="R17" s="18"/>
      <c r="S17" s="4" t="str">
        <f ca="1">Scorebook!$F$2</f>
        <v>G1</v>
      </c>
      <c r="T17" s="5" t="str">
        <f ca="1">Scorebook!$R$2</f>
        <v>Donovan</v>
      </c>
      <c r="U17" s="5" t="str">
        <f ca="1">Scorebook!$B$34</f>
        <v>Fire Bro</v>
      </c>
      <c r="V17" s="4">
        <v>5</v>
      </c>
      <c r="W17" s="5">
        <f ca="1">Scorebook!M34</f>
        <v>1</v>
      </c>
      <c r="X17" s="5">
        <f ca="1">Scorebook!N34</f>
        <v>0</v>
      </c>
      <c r="Y17" s="5">
        <f ca="1">Scorebook!O34</f>
        <v>0</v>
      </c>
      <c r="Z17" s="5">
        <f ca="1">Scorebook!P34</f>
        <v>0</v>
      </c>
      <c r="AA17" s="5">
        <f ca="1">Scorebook!Q34</f>
        <v>0</v>
      </c>
      <c r="AB17" s="5">
        <f ca="1">Scorebook!R34</f>
        <v>0</v>
      </c>
      <c r="AC17" s="5">
        <f ca="1">Scorebook!S34</f>
        <v>0</v>
      </c>
      <c r="AD17" s="5">
        <f ca="1">Scorebook!T34</f>
        <v>0</v>
      </c>
      <c r="AE17" s="5">
        <f ca="1">Scorebook!U34</f>
        <v>1</v>
      </c>
      <c r="AF17" s="5">
        <f ca="1">Scorebook!V34</f>
        <v>0</v>
      </c>
      <c r="AG17" s="5">
        <f ca="1">Scorebook!W34</f>
        <v>0</v>
      </c>
      <c r="AH17" s="5">
        <f ca="1">Scorebook!X34</f>
        <v>0</v>
      </c>
      <c r="AI17" s="5">
        <f>Settings!$B$2</f>
        <v>1</v>
      </c>
      <c r="AJ17" s="18">
        <f ca="1">IF($AK17="","",Scorebook!$O$71)</f>
        <v>5</v>
      </c>
      <c r="AK17" s="4" t="str">
        <f ca="1">Scorebook!$F$51</f>
        <v>G2</v>
      </c>
      <c r="AL17" s="5" t="str">
        <f ca="1">Scorebook!$N$51</f>
        <v>Aidan</v>
      </c>
      <c r="AM17" s="5" t="str">
        <f>Scorebook!$B$71</f>
        <v>Blue Kritter</v>
      </c>
      <c r="AN17" s="5">
        <f ca="1">IF(Scorebook!C71="","",INT(Scorebook!C71)+MOD(ROUND(Scorebook!C71*10,0),10)/3)</f>
        <v>1.0</v>
      </c>
      <c r="AO17" s="5" cm="1">
        <f t="array" aca="1" ref="AO17" ca="1">IF($AK17="","",_xlfn.LET(_xlpm.auto,AND(MOD(ROW()-4,6)=0,$AM17&lt;&gt;0,SUMPRODUCT(--(OFFSET($AM17,1,0,5,1)&lt;&gt;0))=0),_xlpm.oppA,_xlfn.XLOOKUP($AK17,$H$4:$H$18,$J$4:$J$18,""),_xlpm.oppB,_xlfn.XLOOKUP($AK17,$H$4:$H$18,$K$4:$K$18,""),_xlpm.opp,IF($AL17=_xlpm.oppA,_xlpm.oppB,_xlpm.oppA),IF(_xlpm.auto,SUMIFS($Y$4:$Y$273,$S$4:$S$273,$AK17,$T$4:$T$273,_xlpm.opp),Scorebook!D71)))</f>
        <v>2</v>
      </c>
      <c r="AP17" s="5" cm="1">
        <f t="array" aca="1" ref="AP17" ca="1">IF($AK17="","",_xlfn.LET(_xlpm.auto,AND(MOD(ROW()-4,6)=0,$AM17&lt;&gt;0,SUMPRODUCT(--(OFFSET($AM17,1,0,5,1)&lt;&gt;0))=0),_xlpm.oppA,_xlfn.XLOOKUP($AK17,$H$4:$H$18,$J$4:$J$18,""),_xlpm.oppRuns,IF($AL17=_xlpm.oppA,_xlfn.XLOOKUP($AK17,$H$4:$H$18,$O$4:$O$18,""),_xlfn.XLOOKUP($AK17,$H$4:$H$18,$N$4:$N$18,"")),IF(_xlpm.auto,_xlpm.oppRuns,Scorebook!E71)))</f>
        <v>1</v>
      </c>
      <c r="AQ17" s="5">
        <f ca="1">Scorebook!F71</f>
        <v>1</v>
      </c>
      <c r="AR17" s="5" cm="1">
        <f t="array" aca="1" ref="AR17" ca="1">IF($AK17="","",_xlfn.LET(_xlpm.auto,AND(MOD(ROW()-4,6)=0,$AM17&lt;&gt;0,SUMPRODUCT(--(OFFSET($AM17,1,0,5,1)&lt;&gt;0))=0),_xlpm.oppA,_xlfn.XLOOKUP($AK17,$H$4:$H$18,$J$4:$J$18,""),_xlpm.oppB,_xlfn.XLOOKUP($AK17,$H$4:$H$18,$K$4:$K$18,""),_xlpm.opp,IF($AL17=_xlpm.oppA,_xlpm.oppB,_xlpm.oppA),IF(_xlpm.auto,SUMIFS($AD$4:$AD$273,$S$4:$S$273,$AK17,$T$4:$T$273,_xlpm.opp),Scorebook!G71)))</f>
        <v>0</v>
      </c>
      <c r="AS17" s="5" cm="1">
        <f t="array" aca="1" ref="AS17" ca="1">IF($AK17="","",_xlfn.LET(_xlpm.auto,AND(MOD(ROW()-4,6)=0,$AM17&lt;&gt;0,SUMPRODUCT(--(OFFSET($AM17,1,0,5,1)&lt;&gt;0))=0),_xlpm.oppA,_xlfn.XLOOKUP($AK17,$H$4:$H$18,$J$4:$J$18,""),_xlpm.oppB,_xlfn.XLOOKUP($AK17,$H$4:$H$18,$K$4:$K$18,""),_xlpm.opp,IF($AL17=_xlpm.oppA,_xlpm.oppB,_xlpm.oppA),IF(_xlpm.auto,SUMIFS($AE$4:$AE$273,$S$4:$S$273,$AK17,$T$4:$T$273,_xlpm.opp),Scorebook!H71)))</f>
        <v>2</v>
      </c>
      <c r="AT17" s="5" cm="1">
        <f t="array" aca="1" ref="AT17" ca="1">IF($AK17="","",_xlfn.LET(_xlpm.auto,AND(MOD(ROW()-4,6)=0,$AM17&lt;&gt;0,SUMPRODUCT(--(OFFSET($AM17,1,0,5,1)&lt;&gt;0))=0),_xlpm.oppA,_xlfn.XLOOKUP($AK17,$H$4:$H$18,$J$4:$J$18,""),_xlpm.oppB,_xlfn.XLOOKUP($AK17,$H$4:$H$18,$K$4:$K$18,""),_xlpm.opp,IF($AL17=_xlpm.oppA,_xlpm.oppB,_xlpm.oppA),IF(_xlpm.auto,SUMIFS($AB$4:$AB$273,$S$4:$S$273,$AK17,$T$4:$T$273,_xlpm.opp),Scorebook!I71)))</f>
        <v>1</v>
      </c>
      <c r="AU17" s="5" cm="1">
        <f t="array" aca="1" ref="AU17" ca="1">IF($AK17="","",_xlfn.LET(_xlpm.auto,AND(MOD(ROW()-4,6)=0,$AM17&lt;&gt;0,SUMPRODUCT(--(OFFSET($AM17,1,0,5,1)&lt;&gt;0))=0),_xlpm.winner,_xlfn.XLOOKUP($AK17,$H$4:$H$18,$L$4:$L$18,""),IF(_xlpm.auto,--($AL17=_xlpm.winner),Scorebook!J71)))</f>
        <v>0</v>
      </c>
      <c r="AV17" s="5" cm="1">
        <f t="array" aca="1" ref="AV17" ca="1">IF($AK17="","",_xlfn.LET(_xlpm.auto,AND(MOD(ROW()-4,6)=0,$AM17&lt;&gt;0,SUMPRODUCT(--(OFFSET($AM17,1,0,5,1)&lt;&gt;0))=0),_xlpm.loser,_xlfn.XLOOKUP($AK17,$H$4:$H$18,$M$4:$M$18,""),IF(_xlpm.auto,--($AL17=_xlpm.loser),Scorebook!K71)))</f>
        <v>0</v>
      </c>
      <c r="AW17" s="5">
        <f ca="1">Scorebook!L71</f>
        <v>1</v>
      </c>
      <c r="AX17" s="5" cm="1">
        <f t="array" aca="1" ref="AX17" ca="1">IF($AK17="","",_xlfn.LET(_xlpm.auto,AND(MOD(ROW()-4,6)=0,$AM17&lt;&gt;0,SUMPRODUCT(--(OFFSET($AM17,1,0,5,1)&lt;&gt;0))=0),_xlpm.oppA,_xlfn.XLOOKUP($AK17,$H$4:$H$18,$J$4:$J$18,""),_xlpm.oppRuns,IF($AL17=_xlpm.oppA,_xlfn.XLOOKUP($AK17,$H$4:$H$18,$O$4:$O$18,""),_xlfn.XLOOKUP($AK17,$H$4:$H$18,$N$4:$N$18,"")),IF(_xlpm.auto,--(_xlpm.oppRuns=0),Scorebook!M71)))</f>
        <v>0</v>
      </c>
      <c r="AY17" s="5" cm="1">
        <f t="array" aca="1" ref="AY17" ca="1">IF($AK17="","",_xlfn.LET(_xlpm.auto,AND(MOD(ROW()-4,6)=0,$AM17&lt;&gt;0,SUMPRODUCT(--(OFFSET($AM17,1,0,5,1)&lt;&gt;0))=0),IF(_xlpm.auto,1,Scorebook!N71)))</f>
        <v>0</v>
      </c>
      <c r="AZ17" s="10"/>
      <c r="BA17" s="10"/>
      <c r="BB17" s="5">
        <f>Settings!$B$2</f>
        <v>1</v>
      </c>
      <c r="BC17" s="5">
        <f>Betting!A19</f>
        <v>0</v>
      </c>
      <c r="BD17" s="5">
        <f>Betting!B19</f>
        <v>0</v>
      </c>
      <c r="BE17" s="5">
        <f>Betting!C19</f>
        <v>0</v>
      </c>
      <c r="BF17" s="5">
        <f>Betting!D19</f>
        <v>0</v>
      </c>
      <c r="BG17" s="5">
        <f>Betting!E19</f>
        <v>0</v>
      </c>
      <c r="BH17" s="5">
        <f>Betting!F19</f>
        <v>0</v>
      </c>
      <c r="BI17" s="4">
        <f>Betting!G19</f>
        <v>0</v>
      </c>
      <c r="BJ17" s="4">
        <f>Betting!H19</f>
        <v>0</v>
      </c>
    </row>
    <row r="18" spans="1:62">
      <c r="A18" s="4">
        <f>ROW()-3</f>
        <v>15</v>
      </c>
      <c r="B18" s="4">
        <f>IF(A18="","",ROUNDUP(A18/Settings!$B$3,0))</f>
        <v>3</v>
      </c>
      <c r="C18" s="5" t="str">
        <f>IF(Draft!$A$20="","",Draft!$D$20)</f>
        <v>Nick</v>
      </c>
      <c r="D18" s="5" t="str">
        <f>IF(Draft!$E$20="","",Draft!$E$20)</f>
        <v>Toadette</v>
      </c>
      <c r="E18" s="5">
        <f>Settings!$B$2</f>
        <v>1</v>
      </c>
      <c r="F18" s="5" t="b">
        <f>AND(C18&lt;&gt;"",D18&lt;&gt;"")</f>
        <v>1</v>
      </c>
      <c r="G18" s="18"/>
      <c r="H18" s="4" t="str">
        <f ca="1">IF(AND(Bracket!$H$21&lt;&gt;"",Bracket!$I$21&lt;&gt;""),"G15","")</f>
      </c>
      <c r="I18" s="5" t="str">
        <f ca="1">IF(AND(Bracket!$H$21&lt;&gt;"",Bracket!$I$21&lt;&gt;""),Bracket!$G$21,"")</f>
        <v/>
      </c>
      <c r="J18" s="5" t="str">
        <f ca="1">IF(AND(Bracket!$H$21&lt;&gt;"",Bracket!$I$21&lt;&gt;""),Bracket!$H$21,"")</f>
      </c>
      <c r="K18" s="5" t="str">
        <f ca="1">IF(AND(Bracket!$H$21&lt;&gt;"",Bracket!$I$21&lt;&gt;""),Bracket!$I$21,"")</f>
      </c>
      <c r="L18" s="5" t="str">
        <f ca="1">IF(AND(Bracket!$H$21&lt;&gt;"",Bracket!$I$21&lt;&gt;""),Bracket!$L$21,"")</f>
      </c>
      <c r="M18" s="5" t="str">
        <f ca="1">IF(AND(Bracket!$H$21&lt;&gt;"",Bracket!$I$21&lt;&gt;""),Bracket!$M$21,"")</f>
      </c>
      <c r="N18" s="5">
        <f ca="1">IF(AND(Bracket!$H$21&lt;&gt;"",Bracket!$I$21&lt;&gt;""),Scorebook!$K$690,"")</f>
      </c>
      <c r="O18" s="5">
        <f ca="1">IF(AND(Bracket!$H$21&lt;&gt;"",Bracket!$I$21&lt;&gt;""),Scorebook!$K$691,"")</f>
      </c>
      <c r="P18" s="5">
        <f ca="1">IF(AND(AND(Bracket!$H$21&lt;&gt;"",Bracket!$I$21&lt;&gt;""),L18&lt;&gt;"",M18&lt;&gt;""),TRUE,"")</f>
      </c>
      <c r="Q18" s="5">
        <f>Settings!$B$2</f>
        <v>1</v>
      </c>
      <c r="R18" s="18"/>
      <c r="S18" s="4" t="str">
        <f ca="1">Scorebook!$F$2</f>
        <v>G1</v>
      </c>
      <c r="T18" s="5" t="str">
        <f ca="1">Scorebook!$R$2</f>
        <v>Donovan</v>
      </c>
      <c r="U18" s="5" t="str">
        <f ca="1">Scorebook!$B$35</f>
        <v>Dixie Kong</v>
      </c>
      <c r="V18" s="4">
        <v>6</v>
      </c>
      <c r="W18" s="5">
        <f ca="1">Scorebook!M35</f>
        <v>1</v>
      </c>
      <c r="X18" s="5">
        <f ca="1">Scorebook!N35</f>
        <v>0</v>
      </c>
      <c r="Y18" s="5">
        <f ca="1">Scorebook!O35</f>
        <v>0</v>
      </c>
      <c r="Z18" s="5">
        <f ca="1">Scorebook!P35</f>
        <v>0</v>
      </c>
      <c r="AA18" s="5">
        <f ca="1">Scorebook!Q35</f>
        <v>0</v>
      </c>
      <c r="AB18" s="5">
        <f ca="1">Scorebook!R35</f>
        <v>0</v>
      </c>
      <c r="AC18" s="5">
        <f ca="1">Scorebook!S35</f>
        <v>0</v>
      </c>
      <c r="AD18" s="5">
        <f ca="1">Scorebook!T35</f>
        <v>0</v>
      </c>
      <c r="AE18" s="5">
        <f ca="1">Scorebook!U35</f>
        <v>0</v>
      </c>
      <c r="AF18" s="5">
        <f ca="1">Scorebook!V35</f>
        <v>0</v>
      </c>
      <c r="AG18" s="5">
        <f ca="1">Scorebook!W35</f>
        <v>0</v>
      </c>
      <c r="AH18" s="5">
        <f ca="1">Scorebook!X35</f>
        <v>0</v>
      </c>
      <c r="AI18" s="5">
        <f>Settings!$B$2</f>
        <v>1</v>
      </c>
      <c r="AJ18" s="18">
        <f ca="1">IF($AK18="","",Scorebook!$O$72)</f>
      </c>
      <c r="AK18" s="4" t="str">
        <f ca="1">Scorebook!$F$51</f>
        <v>G2</v>
      </c>
      <c r="AL18" s="5" t="str">
        <f ca="1">Scorebook!$N$51</f>
        <v>Aidan</v>
      </c>
      <c r="AM18" s="5" t="str">
        <f>Scorebook!$B$72</f>
      </c>
      <c r="AN18" s="5">
        <f ca="1">IF(Scorebook!C72="","",INT(Scorebook!C72)+MOD(ROUND(Scorebook!C72*10,0),10)/3)</f>
      </c>
      <c r="AO18" s="5" cm="1">
        <f t="array" aca="1" ref="AO18" ca="1">IF($AK18="","",_xlfn.LET(_xlpm.auto,AND(MOD(ROW()-4,6)=0,$AM18&lt;&gt;0,SUMPRODUCT(--(OFFSET($AM18,1,0,5,1)&lt;&gt;0))=0),_xlpm.oppA,_xlfn.XLOOKUP($AK18,$H$4:$H$18,$J$4:$J$18,""),_xlpm.oppB,_xlfn.XLOOKUP($AK18,$H$4:$H$18,$K$4:$K$18,""),_xlpm.opp,IF($AL18=_xlpm.oppA,_xlpm.oppB,_xlpm.oppA),IF(_xlpm.auto,SUMIFS($Y$4:$Y$273,$S$4:$S$273,$AK18,$T$4:$T$273,_xlpm.opp),Scorebook!D72)))</f>
      </c>
      <c r="AP18" s="5" cm="1">
        <f t="array" aca="1" ref="AP18" ca="1">IF($AK18="","",_xlfn.LET(_xlpm.auto,AND(MOD(ROW()-4,6)=0,$AM18&lt;&gt;0,SUMPRODUCT(--(OFFSET($AM18,1,0,5,1)&lt;&gt;0))=0),_xlpm.oppA,_xlfn.XLOOKUP($AK18,$H$4:$H$18,$J$4:$J$18,""),_xlpm.oppRuns,IF($AL18=_xlpm.oppA,_xlfn.XLOOKUP($AK18,$H$4:$H$18,$O$4:$O$18,""),_xlfn.XLOOKUP($AK18,$H$4:$H$18,$N$4:$N$18,"")),IF(_xlpm.auto,_xlpm.oppRuns,Scorebook!E72)))</f>
      </c>
      <c r="AQ18" s="5">
        <f ca="1">Scorebook!F72</f>
      </c>
      <c r="AR18" s="5" cm="1">
        <f t="array" aca="1" ref="AR18" ca="1">IF($AK18="","",_xlfn.LET(_xlpm.auto,AND(MOD(ROW()-4,6)=0,$AM18&lt;&gt;0,SUMPRODUCT(--(OFFSET($AM18,1,0,5,1)&lt;&gt;0))=0),_xlpm.oppA,_xlfn.XLOOKUP($AK18,$H$4:$H$18,$J$4:$J$18,""),_xlpm.oppB,_xlfn.XLOOKUP($AK18,$H$4:$H$18,$K$4:$K$18,""),_xlpm.opp,IF($AL18=_xlpm.oppA,_xlpm.oppB,_xlpm.oppA),IF(_xlpm.auto,SUMIFS($AD$4:$AD$273,$S$4:$S$273,$AK18,$T$4:$T$273,_xlpm.opp),Scorebook!G72)))</f>
      </c>
      <c r="AS18" s="5" cm="1">
        <f t="array" aca="1" ref="AS18" ca="1">IF($AK18="","",_xlfn.LET(_xlpm.auto,AND(MOD(ROW()-4,6)=0,$AM18&lt;&gt;0,SUMPRODUCT(--(OFFSET($AM18,1,0,5,1)&lt;&gt;0))=0),_xlpm.oppA,_xlfn.XLOOKUP($AK18,$H$4:$H$18,$J$4:$J$18,""),_xlpm.oppB,_xlfn.XLOOKUP($AK18,$H$4:$H$18,$K$4:$K$18,""),_xlpm.opp,IF($AL18=_xlpm.oppA,_xlpm.oppB,_xlpm.oppA),IF(_xlpm.auto,SUMIFS($AE$4:$AE$273,$S$4:$S$273,$AK18,$T$4:$T$273,_xlpm.opp),Scorebook!H72)))</f>
      </c>
      <c r="AT18" s="5" cm="1">
        <f t="array" aca="1" ref="AT18" ca="1">IF($AK18="","",_xlfn.LET(_xlpm.auto,AND(MOD(ROW()-4,6)=0,$AM18&lt;&gt;0,SUMPRODUCT(--(OFFSET($AM18,1,0,5,1)&lt;&gt;0))=0),_xlpm.oppA,_xlfn.XLOOKUP($AK18,$H$4:$H$18,$J$4:$J$18,""),_xlpm.oppB,_xlfn.XLOOKUP($AK18,$H$4:$H$18,$K$4:$K$18,""),_xlpm.opp,IF($AL18=_xlpm.oppA,_xlpm.oppB,_xlpm.oppA),IF(_xlpm.auto,SUMIFS($AB$4:$AB$273,$S$4:$S$273,$AK18,$T$4:$T$273,_xlpm.opp),Scorebook!I72)))</f>
      </c>
      <c r="AU18" s="5" cm="1">
        <f t="array" aca="1" ref="AU18" ca="1">IF($AK18="","",_xlfn.LET(_xlpm.auto,AND(MOD(ROW()-4,6)=0,$AM18&lt;&gt;0,SUMPRODUCT(--(OFFSET($AM18,1,0,5,1)&lt;&gt;0))=0),_xlpm.winner,_xlfn.XLOOKUP($AK18,$H$4:$H$18,$L$4:$L$18,""),IF(_xlpm.auto,--($AL18=_xlpm.winner),Scorebook!J72)))</f>
      </c>
      <c r="AV18" s="5" cm="1">
        <f t="array" aca="1" ref="AV18" ca="1">IF($AK18="","",_xlfn.LET(_xlpm.auto,AND(MOD(ROW()-4,6)=0,$AM18&lt;&gt;0,SUMPRODUCT(--(OFFSET($AM18,1,0,5,1)&lt;&gt;0))=0),_xlpm.loser,_xlfn.XLOOKUP($AK18,$H$4:$H$18,$M$4:$M$18,""),IF(_xlpm.auto,--($AL18=_xlpm.loser),Scorebook!K72)))</f>
      </c>
      <c r="AW18" s="5">
        <f ca="1">Scorebook!L72</f>
      </c>
      <c r="AX18" s="5" cm="1">
        <f t="array" aca="1" ref="AX18" ca="1">IF($AK18="","",_xlfn.LET(_xlpm.auto,AND(MOD(ROW()-4,6)=0,$AM18&lt;&gt;0,SUMPRODUCT(--(OFFSET($AM18,1,0,5,1)&lt;&gt;0))=0),_xlpm.oppA,_xlfn.XLOOKUP($AK18,$H$4:$H$18,$J$4:$J$18,""),_xlpm.oppRuns,IF($AL18=_xlpm.oppA,_xlfn.XLOOKUP($AK18,$H$4:$H$18,$O$4:$O$18,""),_xlfn.XLOOKUP($AK18,$H$4:$H$18,$N$4:$N$18,"")),IF(_xlpm.auto,--(_xlpm.oppRuns=0),Scorebook!M72)))</f>
      </c>
      <c r="AY18" s="5" cm="1">
        <f t="array" aca="1" ref="AY18" ca="1">IF($AK18="","",_xlfn.LET(_xlpm.auto,AND(MOD(ROW()-4,6)=0,$AM18&lt;&gt;0,SUMPRODUCT(--(OFFSET($AM18,1,0,5,1)&lt;&gt;0))=0),IF(_xlpm.auto,1,Scorebook!N72)))</f>
      </c>
      <c r="AZ18" s="10"/>
      <c r="BA18" s="10"/>
      <c r="BB18" s="5">
        <f>Settings!$B$2</f>
        <v>1</v>
      </c>
      <c r="BC18" s="5">
        <f>Betting!A20</f>
        <v>0</v>
      </c>
      <c r="BD18" s="5">
        <f>Betting!B20</f>
        <v>0</v>
      </c>
      <c r="BE18" s="5">
        <f>Betting!C20</f>
        <v>0</v>
      </c>
      <c r="BF18" s="5">
        <f>Betting!D20</f>
        <v>0</v>
      </c>
      <c r="BG18" s="5">
        <f>Betting!E20</f>
        <v>0</v>
      </c>
      <c r="BH18" s="5">
        <f>Betting!F20</f>
        <v>0</v>
      </c>
      <c r="BI18" s="4">
        <f>Betting!G20</f>
        <v>0</v>
      </c>
      <c r="BJ18" s="4">
        <f>Betting!H20</f>
        <v>0</v>
      </c>
    </row>
    <row r="19" spans="1:62">
      <c r="A19" s="4">
        <f>ROW()-3</f>
        <v>16</v>
      </c>
      <c r="B19" s="4">
        <f>IF(A19="","",ROUNDUP(A19/Settings!$B$3,0))</f>
        <v>3</v>
      </c>
      <c r="C19" s="5" t="str">
        <f>IF(Draft!$A$21="","",Draft!$D$21)</f>
        <v>Aidan</v>
      </c>
      <c r="D19" s="5" t="str">
        <f>IF(Draft!$E$21="","",Draft!$E$21)</f>
        <v>Dark Bones</v>
      </c>
      <c r="E19" s="5">
        <f>Settings!$B$2</f>
        <v>1</v>
      </c>
      <c r="F19" s="5" t="b">
        <f>AND(C19&lt;&gt;"",D19&lt;&gt;"")</f>
        <v>1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4" t="str">
        <f ca="1">Scorebook!$F$2</f>
        <v>G1</v>
      </c>
      <c r="T19" s="5" t="str">
        <f ca="1">Scorebook!$R$2</f>
        <v>Donovan</v>
      </c>
      <c r="U19" s="5" t="str">
        <f ca="1">Scorebook!$B$36</f>
        <v>Baby DK</v>
      </c>
      <c r="V19" s="4">
        <v>7</v>
      </c>
      <c r="W19" s="5">
        <f ca="1">Scorebook!M36</f>
        <v>1</v>
      </c>
      <c r="X19" s="5">
        <f ca="1">Scorebook!N36</f>
        <v>0</v>
      </c>
      <c r="Y19" s="5">
        <f ca="1">Scorebook!O36</f>
        <v>0</v>
      </c>
      <c r="Z19" s="5">
        <f ca="1">Scorebook!P36</f>
        <v>0</v>
      </c>
      <c r="AA19" s="5">
        <f ca="1">Scorebook!Q36</f>
        <v>0</v>
      </c>
      <c r="AB19" s="5">
        <f ca="1">Scorebook!R36</f>
        <v>0</v>
      </c>
      <c r="AC19" s="5">
        <f ca="1">Scorebook!S36</f>
        <v>0</v>
      </c>
      <c r="AD19" s="5">
        <f ca="1">Scorebook!T36</f>
        <v>0</v>
      </c>
      <c r="AE19" s="5">
        <f ca="1">Scorebook!U36</f>
        <v>0</v>
      </c>
      <c r="AF19" s="5">
        <f ca="1">Scorebook!V36</f>
        <v>0</v>
      </c>
      <c r="AG19" s="5">
        <f ca="1">Scorebook!W36</f>
        <v>0</v>
      </c>
      <c r="AH19" s="5">
        <f ca="1">Scorebook!X36</f>
        <v>0</v>
      </c>
      <c r="AI19" s="5">
        <f>Settings!$B$2</f>
        <v>1</v>
      </c>
      <c r="AJ19" s="18">
        <f ca="1">IF($AK19="","",Scorebook!$O$73)</f>
      </c>
      <c r="AK19" s="4" t="str">
        <f ca="1">Scorebook!$F$51</f>
        <v>G2</v>
      </c>
      <c r="AL19" s="5" t="str">
        <f ca="1">Scorebook!$N$51</f>
        <v>Aidan</v>
      </c>
      <c r="AM19" s="5" t="str">
        <f>Scorebook!$B$73</f>
      </c>
      <c r="AN19" s="5">
        <f ca="1">IF(Scorebook!C73="","",INT(Scorebook!C73)+MOD(ROUND(Scorebook!C73*10,0),10)/3)</f>
      </c>
      <c r="AO19" s="5" cm="1">
        <f t="array" aca="1" ref="AO19" ca="1">IF($AK19="","",_xlfn.LET(_xlpm.auto,AND(MOD(ROW()-4,6)=0,$AM19&lt;&gt;0,SUMPRODUCT(--(OFFSET($AM19,1,0,5,1)&lt;&gt;0))=0),_xlpm.oppA,_xlfn.XLOOKUP($AK19,$H$4:$H$18,$J$4:$J$18,""),_xlpm.oppB,_xlfn.XLOOKUP($AK19,$H$4:$H$18,$K$4:$K$18,""),_xlpm.opp,IF($AL19=_xlpm.oppA,_xlpm.oppB,_xlpm.oppA),IF(_xlpm.auto,SUMIFS($Y$4:$Y$273,$S$4:$S$273,$AK19,$T$4:$T$273,_xlpm.opp),Scorebook!D73)))</f>
      </c>
      <c r="AP19" s="5" cm="1">
        <f t="array" aca="1" ref="AP19" ca="1">IF($AK19="","",_xlfn.LET(_xlpm.auto,AND(MOD(ROW()-4,6)=0,$AM19&lt;&gt;0,SUMPRODUCT(--(OFFSET($AM19,1,0,5,1)&lt;&gt;0))=0),_xlpm.oppA,_xlfn.XLOOKUP($AK19,$H$4:$H$18,$J$4:$J$18,""),_xlpm.oppRuns,IF($AL19=_xlpm.oppA,_xlfn.XLOOKUP($AK19,$H$4:$H$18,$O$4:$O$18,""),_xlfn.XLOOKUP($AK19,$H$4:$H$18,$N$4:$N$18,"")),IF(_xlpm.auto,_xlpm.oppRuns,Scorebook!E73)))</f>
      </c>
      <c r="AQ19" s="5">
        <f ca="1">Scorebook!F73</f>
      </c>
      <c r="AR19" s="5" cm="1">
        <f t="array" aca="1" ref="AR19" ca="1">IF($AK19="","",_xlfn.LET(_xlpm.auto,AND(MOD(ROW()-4,6)=0,$AM19&lt;&gt;0,SUMPRODUCT(--(OFFSET($AM19,1,0,5,1)&lt;&gt;0))=0),_xlpm.oppA,_xlfn.XLOOKUP($AK19,$H$4:$H$18,$J$4:$J$18,""),_xlpm.oppB,_xlfn.XLOOKUP($AK19,$H$4:$H$18,$K$4:$K$18,""),_xlpm.opp,IF($AL19=_xlpm.oppA,_xlpm.oppB,_xlpm.oppA),IF(_xlpm.auto,SUMIFS($AD$4:$AD$273,$S$4:$S$273,$AK19,$T$4:$T$273,_xlpm.opp),Scorebook!G73)))</f>
      </c>
      <c r="AS19" s="5" cm="1">
        <f t="array" aca="1" ref="AS19" ca="1">IF($AK19="","",_xlfn.LET(_xlpm.auto,AND(MOD(ROW()-4,6)=0,$AM19&lt;&gt;0,SUMPRODUCT(--(OFFSET($AM19,1,0,5,1)&lt;&gt;0))=0),_xlpm.oppA,_xlfn.XLOOKUP($AK19,$H$4:$H$18,$J$4:$J$18,""),_xlpm.oppB,_xlfn.XLOOKUP($AK19,$H$4:$H$18,$K$4:$K$18,""),_xlpm.opp,IF($AL19=_xlpm.oppA,_xlpm.oppB,_xlpm.oppA),IF(_xlpm.auto,SUMIFS($AE$4:$AE$273,$S$4:$S$273,$AK19,$T$4:$T$273,_xlpm.opp),Scorebook!H73)))</f>
      </c>
      <c r="AT19" s="5" cm="1">
        <f t="array" aca="1" ref="AT19" ca="1">IF($AK19="","",_xlfn.LET(_xlpm.auto,AND(MOD(ROW()-4,6)=0,$AM19&lt;&gt;0,SUMPRODUCT(--(OFFSET($AM19,1,0,5,1)&lt;&gt;0))=0),_xlpm.oppA,_xlfn.XLOOKUP($AK19,$H$4:$H$18,$J$4:$J$18,""),_xlpm.oppB,_xlfn.XLOOKUP($AK19,$H$4:$H$18,$K$4:$K$18,""),_xlpm.opp,IF($AL19=_xlpm.oppA,_xlpm.oppB,_xlpm.oppA),IF(_xlpm.auto,SUMIFS($AB$4:$AB$273,$S$4:$S$273,$AK19,$T$4:$T$273,_xlpm.opp),Scorebook!I73)))</f>
      </c>
      <c r="AU19" s="5" cm="1">
        <f t="array" aca="1" ref="AU19" ca="1">IF($AK19="","",_xlfn.LET(_xlpm.auto,AND(MOD(ROW()-4,6)=0,$AM19&lt;&gt;0,SUMPRODUCT(--(OFFSET($AM19,1,0,5,1)&lt;&gt;0))=0),_xlpm.winner,_xlfn.XLOOKUP($AK19,$H$4:$H$18,$L$4:$L$18,""),IF(_xlpm.auto,--($AL19=_xlpm.winner),Scorebook!J73)))</f>
      </c>
      <c r="AV19" s="5" cm="1">
        <f t="array" aca="1" ref="AV19" ca="1">IF($AK19="","",_xlfn.LET(_xlpm.auto,AND(MOD(ROW()-4,6)=0,$AM19&lt;&gt;0,SUMPRODUCT(--(OFFSET($AM19,1,0,5,1)&lt;&gt;0))=0),_xlpm.loser,_xlfn.XLOOKUP($AK19,$H$4:$H$18,$M$4:$M$18,""),IF(_xlpm.auto,--($AL19=_xlpm.loser),Scorebook!K73)))</f>
      </c>
      <c r="AW19" s="5">
        <f ca="1">Scorebook!L73</f>
      </c>
      <c r="AX19" s="5" cm="1">
        <f t="array" aca="1" ref="AX19" ca="1">IF($AK19="","",_xlfn.LET(_xlpm.auto,AND(MOD(ROW()-4,6)=0,$AM19&lt;&gt;0,SUMPRODUCT(--(OFFSET($AM19,1,0,5,1)&lt;&gt;0))=0),_xlpm.oppA,_xlfn.XLOOKUP($AK19,$H$4:$H$18,$J$4:$J$18,""),_xlpm.oppRuns,IF($AL19=_xlpm.oppA,_xlfn.XLOOKUP($AK19,$H$4:$H$18,$O$4:$O$18,""),_xlfn.XLOOKUP($AK19,$H$4:$H$18,$N$4:$N$18,"")),IF(_xlpm.auto,--(_xlpm.oppRuns=0),Scorebook!M73)))</f>
      </c>
      <c r="AY19" s="5" cm="1">
        <f t="array" aca="1" ref="AY19" ca="1">IF($AK19="","",_xlfn.LET(_xlpm.auto,AND(MOD(ROW()-4,6)=0,$AM19&lt;&gt;0,SUMPRODUCT(--(OFFSET($AM19,1,0,5,1)&lt;&gt;0))=0),IF(_xlpm.auto,1,Scorebook!N73)))</f>
      </c>
      <c r="AZ19" s="10"/>
      <c r="BA19" s="10"/>
      <c r="BB19" s="5">
        <f>Settings!$B$2</f>
        <v>1</v>
      </c>
      <c r="BC19" s="5">
        <f>Betting!A21</f>
        <v>0</v>
      </c>
      <c r="BD19" s="5">
        <f>Betting!B21</f>
        <v>0</v>
      </c>
      <c r="BE19" s="5">
        <f>Betting!C21</f>
        <v>0</v>
      </c>
      <c r="BF19" s="5">
        <f>Betting!D21</f>
        <v>0</v>
      </c>
      <c r="BG19" s="5">
        <f>Betting!E21</f>
        <v>0</v>
      </c>
      <c r="BH19" s="5">
        <f>Betting!F21</f>
        <v>0</v>
      </c>
      <c r="BI19" s="4">
        <f>Betting!G21</f>
        <v>0</v>
      </c>
      <c r="BJ19" s="4">
        <f>Betting!H21</f>
        <v>0</v>
      </c>
    </row>
    <row r="20" spans="1:62">
      <c r="A20" s="4">
        <f>ROW()-3</f>
        <v>17</v>
      </c>
      <c r="B20" s="4">
        <f>IF(A20="","",ROUNDUP(A20/Settings!$B$3,0))</f>
        <v>3</v>
      </c>
      <c r="C20" s="5" t="str">
        <f>IF(Draft!$A$22="","",Draft!$D$22)</f>
        <v>Jason</v>
      </c>
      <c r="D20" s="5" t="str">
        <f>IF(Draft!$E$22="","",Draft!$E$22)</f>
        <v>Yoshi</v>
      </c>
      <c r="E20" s="5">
        <f>Settings!$B$2</f>
        <v>1</v>
      </c>
      <c r="F20" s="5" t="b">
        <f>AND(C20&lt;&gt;"",D20&lt;&gt;"")</f>
        <v>1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4" t="str">
        <f ca="1">Scorebook!$F$2</f>
        <v>G1</v>
      </c>
      <c r="T20" s="5" t="str">
        <f ca="1">Scorebook!$R$2</f>
        <v>Donovan</v>
      </c>
      <c r="U20" s="5" t="str">
        <f ca="1">Scorebook!$B$37</f>
        <v>Tiny Kong</v>
      </c>
      <c r="V20" s="4">
        <v>8</v>
      </c>
      <c r="W20" s="5">
        <f ca="1">Scorebook!M37</f>
        <v>1</v>
      </c>
      <c r="X20" s="5">
        <f ca="1">Scorebook!N37</f>
        <v>0</v>
      </c>
      <c r="Y20" s="5">
        <f ca="1">Scorebook!O37</f>
        <v>0</v>
      </c>
      <c r="Z20" s="5">
        <f ca="1">Scorebook!P37</f>
        <v>0</v>
      </c>
      <c r="AA20" s="5">
        <f ca="1">Scorebook!Q37</f>
        <v>0</v>
      </c>
      <c r="AB20" s="5">
        <f ca="1">Scorebook!R37</f>
        <v>0</v>
      </c>
      <c r="AC20" s="5">
        <f ca="1">Scorebook!S37</f>
        <v>0</v>
      </c>
      <c r="AD20" s="5">
        <f ca="1">Scorebook!T37</f>
        <v>0</v>
      </c>
      <c r="AE20" s="5">
        <f ca="1">Scorebook!U37</f>
        <v>1</v>
      </c>
      <c r="AF20" s="5">
        <f ca="1">Scorebook!V37</f>
        <v>0</v>
      </c>
      <c r="AG20" s="5">
        <f ca="1">Scorebook!W37</f>
        <v>0</v>
      </c>
      <c r="AH20" s="5">
        <f ca="1">Scorebook!X37</f>
        <v>0</v>
      </c>
      <c r="AI20" s="5">
        <f>Settings!$B$2</f>
        <v>1</v>
      </c>
      <c r="AJ20" s="18">
        <f ca="1">IF($AK20="","",Scorebook!$O$74)</f>
      </c>
      <c r="AK20" s="4" t="str">
        <f ca="1">Scorebook!$F$51</f>
        <v>G2</v>
      </c>
      <c r="AL20" s="5" t="str">
        <f ca="1">Scorebook!$N$51</f>
        <v>Aidan</v>
      </c>
      <c r="AM20" s="5" t="str">
        <f>Scorebook!$B$74</f>
      </c>
      <c r="AN20" s="5">
        <f ca="1">IF(Scorebook!C74="","",INT(Scorebook!C74)+MOD(ROUND(Scorebook!C74*10,0),10)/3)</f>
      </c>
      <c r="AO20" s="5" cm="1">
        <f t="array" aca="1" ref="AO20" ca="1">IF($AK20="","",_xlfn.LET(_xlpm.auto,AND(MOD(ROW()-4,6)=0,$AM20&lt;&gt;0,SUMPRODUCT(--(OFFSET($AM20,1,0,5,1)&lt;&gt;0))=0),_xlpm.oppA,_xlfn.XLOOKUP($AK20,$H$4:$H$18,$J$4:$J$18,""),_xlpm.oppB,_xlfn.XLOOKUP($AK20,$H$4:$H$18,$K$4:$K$18,""),_xlpm.opp,IF($AL20=_xlpm.oppA,_xlpm.oppB,_xlpm.oppA),IF(_xlpm.auto,SUMIFS($Y$4:$Y$273,$S$4:$S$273,$AK20,$T$4:$T$273,_xlpm.opp),Scorebook!D74)))</f>
      </c>
      <c r="AP20" s="5" cm="1">
        <f t="array" aca="1" ref="AP20" ca="1">IF($AK20="","",_xlfn.LET(_xlpm.auto,AND(MOD(ROW()-4,6)=0,$AM20&lt;&gt;0,SUMPRODUCT(--(OFFSET($AM20,1,0,5,1)&lt;&gt;0))=0),_xlpm.oppA,_xlfn.XLOOKUP($AK20,$H$4:$H$18,$J$4:$J$18,""),_xlpm.oppRuns,IF($AL20=_xlpm.oppA,_xlfn.XLOOKUP($AK20,$H$4:$H$18,$O$4:$O$18,""),_xlfn.XLOOKUP($AK20,$H$4:$H$18,$N$4:$N$18,"")),IF(_xlpm.auto,_xlpm.oppRuns,Scorebook!E74)))</f>
      </c>
      <c r="AQ20" s="5">
        <f ca="1">Scorebook!F74</f>
      </c>
      <c r="AR20" s="5" cm="1">
        <f t="array" aca="1" ref="AR20" ca="1">IF($AK20="","",_xlfn.LET(_xlpm.auto,AND(MOD(ROW()-4,6)=0,$AM20&lt;&gt;0,SUMPRODUCT(--(OFFSET($AM20,1,0,5,1)&lt;&gt;0))=0),_xlpm.oppA,_xlfn.XLOOKUP($AK20,$H$4:$H$18,$J$4:$J$18,""),_xlpm.oppB,_xlfn.XLOOKUP($AK20,$H$4:$H$18,$K$4:$K$18,""),_xlpm.opp,IF($AL20=_xlpm.oppA,_xlpm.oppB,_xlpm.oppA),IF(_xlpm.auto,SUMIFS($AD$4:$AD$273,$S$4:$S$273,$AK20,$T$4:$T$273,_xlpm.opp),Scorebook!G74)))</f>
      </c>
      <c r="AS20" s="5" cm="1">
        <f t="array" aca="1" ref="AS20" ca="1">IF($AK20="","",_xlfn.LET(_xlpm.auto,AND(MOD(ROW()-4,6)=0,$AM20&lt;&gt;0,SUMPRODUCT(--(OFFSET($AM20,1,0,5,1)&lt;&gt;0))=0),_xlpm.oppA,_xlfn.XLOOKUP($AK20,$H$4:$H$18,$J$4:$J$18,""),_xlpm.oppB,_xlfn.XLOOKUP($AK20,$H$4:$H$18,$K$4:$K$18,""),_xlpm.opp,IF($AL20=_xlpm.oppA,_xlpm.oppB,_xlpm.oppA),IF(_xlpm.auto,SUMIFS($AE$4:$AE$273,$S$4:$S$273,$AK20,$T$4:$T$273,_xlpm.opp),Scorebook!H74)))</f>
      </c>
      <c r="AT20" s="5" cm="1">
        <f t="array" aca="1" ref="AT20" ca="1">IF($AK20="","",_xlfn.LET(_xlpm.auto,AND(MOD(ROW()-4,6)=0,$AM20&lt;&gt;0,SUMPRODUCT(--(OFFSET($AM20,1,0,5,1)&lt;&gt;0))=0),_xlpm.oppA,_xlfn.XLOOKUP($AK20,$H$4:$H$18,$J$4:$J$18,""),_xlpm.oppB,_xlfn.XLOOKUP($AK20,$H$4:$H$18,$K$4:$K$18,""),_xlpm.opp,IF($AL20=_xlpm.oppA,_xlpm.oppB,_xlpm.oppA),IF(_xlpm.auto,SUMIFS($AB$4:$AB$273,$S$4:$S$273,$AK20,$T$4:$T$273,_xlpm.opp),Scorebook!I74)))</f>
      </c>
      <c r="AU20" s="5" cm="1">
        <f t="array" aca="1" ref="AU20" ca="1">IF($AK20="","",_xlfn.LET(_xlpm.auto,AND(MOD(ROW()-4,6)=0,$AM20&lt;&gt;0,SUMPRODUCT(--(OFFSET($AM20,1,0,5,1)&lt;&gt;0))=0),_xlpm.winner,_xlfn.XLOOKUP($AK20,$H$4:$H$18,$L$4:$L$18,""),IF(_xlpm.auto,--($AL20=_xlpm.winner),Scorebook!J74)))</f>
      </c>
      <c r="AV20" s="5" cm="1">
        <f t="array" aca="1" ref="AV20" ca="1">IF($AK20="","",_xlfn.LET(_xlpm.auto,AND(MOD(ROW()-4,6)=0,$AM20&lt;&gt;0,SUMPRODUCT(--(OFFSET($AM20,1,0,5,1)&lt;&gt;0))=0),_xlpm.loser,_xlfn.XLOOKUP($AK20,$H$4:$H$18,$M$4:$M$18,""),IF(_xlpm.auto,--($AL20=_xlpm.loser),Scorebook!K74)))</f>
      </c>
      <c r="AW20" s="5">
        <f ca="1">Scorebook!L74</f>
      </c>
      <c r="AX20" s="5" cm="1">
        <f t="array" aca="1" ref="AX20" ca="1">IF($AK20="","",_xlfn.LET(_xlpm.auto,AND(MOD(ROW()-4,6)=0,$AM20&lt;&gt;0,SUMPRODUCT(--(OFFSET($AM20,1,0,5,1)&lt;&gt;0))=0),_xlpm.oppA,_xlfn.XLOOKUP($AK20,$H$4:$H$18,$J$4:$J$18,""),_xlpm.oppRuns,IF($AL20=_xlpm.oppA,_xlfn.XLOOKUP($AK20,$H$4:$H$18,$O$4:$O$18,""),_xlfn.XLOOKUP($AK20,$H$4:$H$18,$N$4:$N$18,"")),IF(_xlpm.auto,--(_xlpm.oppRuns=0),Scorebook!M74)))</f>
      </c>
      <c r="AY20" s="5" cm="1">
        <f t="array" aca="1" ref="AY20" ca="1">IF($AK20="","",_xlfn.LET(_xlpm.auto,AND(MOD(ROW()-4,6)=0,$AM20&lt;&gt;0,SUMPRODUCT(--(OFFSET($AM20,1,0,5,1)&lt;&gt;0))=0),IF(_xlpm.auto,1,Scorebook!N74)))</f>
      </c>
      <c r="AZ20" s="10"/>
      <c r="BA20" s="10"/>
      <c r="BB20" s="5">
        <f>Settings!$B$2</f>
        <v>1</v>
      </c>
      <c r="BC20" s="5">
        <f>Betting!A22</f>
        <v>0</v>
      </c>
      <c r="BD20" s="5">
        <f>Betting!B22</f>
        <v>0</v>
      </c>
      <c r="BE20" s="5">
        <f>Betting!C22</f>
        <v>0</v>
      </c>
      <c r="BF20" s="5">
        <f>Betting!D22</f>
        <v>0</v>
      </c>
      <c r="BG20" s="5">
        <f>Betting!E22</f>
        <v>0</v>
      </c>
      <c r="BH20" s="5">
        <f>Betting!F22</f>
        <v>0</v>
      </c>
      <c r="BI20" s="4">
        <f>Betting!G22</f>
        <v>0</v>
      </c>
      <c r="BJ20" s="4">
        <f>Betting!H22</f>
        <v>0</v>
      </c>
    </row>
    <row r="21" spans="1:62">
      <c r="A21" s="4">
        <f>ROW()-3</f>
        <v>18</v>
      </c>
      <c r="B21" s="4">
        <f>IF(A21="","",ROUNDUP(A21/Settings!$B$3,0))</f>
        <v>3</v>
      </c>
      <c r="C21" s="5" t="str">
        <f>IF(Draft!$A$23="","",Draft!$D$23)</f>
        <v>May</v>
      </c>
      <c r="D21" s="5" t="str">
        <f>IF(Draft!$E$23="","",Draft!$E$23)</f>
        <v>King Boo</v>
      </c>
      <c r="E21" s="5">
        <f>Settings!$B$2</f>
        <v>1</v>
      </c>
      <c r="F21" s="5" t="b">
        <f>AND(C21&lt;&gt;"",D21&lt;&gt;"")</f>
        <v>1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4" t="str">
        <f ca="1">Scorebook!$F$2</f>
        <v>G1</v>
      </c>
      <c r="T21" s="5" t="str">
        <f ca="1">Scorebook!$R$2</f>
        <v>Donovan</v>
      </c>
      <c r="U21" s="5" t="str">
        <f ca="1">Scorebook!$B$38</f>
        <v>Paragoomba</v>
      </c>
      <c r="V21" s="4">
        <v>9</v>
      </c>
      <c r="W21" s="5">
        <f ca="1">Scorebook!M38</f>
        <v>1</v>
      </c>
      <c r="X21" s="5">
        <f ca="1">Scorebook!N38</f>
        <v>0</v>
      </c>
      <c r="Y21" s="5">
        <f ca="1">Scorebook!O38</f>
        <v>0</v>
      </c>
      <c r="Z21" s="5">
        <f ca="1">Scorebook!P38</f>
        <v>0</v>
      </c>
      <c r="AA21" s="5">
        <f ca="1">Scorebook!Q38</f>
        <v>0</v>
      </c>
      <c r="AB21" s="5">
        <f ca="1">Scorebook!R38</f>
        <v>0</v>
      </c>
      <c r="AC21" s="5">
        <f ca="1">Scorebook!S38</f>
        <v>0</v>
      </c>
      <c r="AD21" s="5">
        <f ca="1">Scorebook!T38</f>
        <v>0</v>
      </c>
      <c r="AE21" s="5">
        <f ca="1">Scorebook!U38</f>
        <v>0</v>
      </c>
      <c r="AF21" s="5">
        <f ca="1">Scorebook!V38</f>
        <v>0</v>
      </c>
      <c r="AG21" s="5">
        <f ca="1">Scorebook!W38</f>
        <v>0</v>
      </c>
      <c r="AH21" s="5">
        <f ca="1">Scorebook!X38</f>
        <v>0</v>
      </c>
      <c r="AI21" s="5">
        <f>Settings!$B$2</f>
        <v>1</v>
      </c>
      <c r="AJ21" s="18">
        <f ca="1">IF($AK21="","",Scorebook!$O$75)</f>
      </c>
      <c r="AK21" s="4" t="str">
        <f ca="1">Scorebook!$F$51</f>
        <v>G2</v>
      </c>
      <c r="AL21" s="5" t="str">
        <f ca="1">Scorebook!$N$51</f>
        <v>Aidan</v>
      </c>
      <c r="AM21" s="5" t="str">
        <f>Scorebook!$B$75</f>
      </c>
      <c r="AN21" s="5">
        <f ca="1">IF(Scorebook!C75="","",INT(Scorebook!C75)+MOD(ROUND(Scorebook!C75*10,0),10)/3)</f>
      </c>
      <c r="AO21" s="5" cm="1">
        <f t="array" aca="1" ref="AO21" ca="1">IF($AK21="","",_xlfn.LET(_xlpm.auto,AND(MOD(ROW()-4,6)=0,$AM21&lt;&gt;0,SUMPRODUCT(--(OFFSET($AM21,1,0,5,1)&lt;&gt;0))=0),_xlpm.oppA,_xlfn.XLOOKUP($AK21,$H$4:$H$18,$J$4:$J$18,""),_xlpm.oppB,_xlfn.XLOOKUP($AK21,$H$4:$H$18,$K$4:$K$18,""),_xlpm.opp,IF($AL21=_xlpm.oppA,_xlpm.oppB,_xlpm.oppA),IF(_xlpm.auto,SUMIFS($Y$4:$Y$273,$S$4:$S$273,$AK21,$T$4:$T$273,_xlpm.opp),Scorebook!D75)))</f>
      </c>
      <c r="AP21" s="5" cm="1">
        <f t="array" aca="1" ref="AP21" ca="1">IF($AK21="","",_xlfn.LET(_xlpm.auto,AND(MOD(ROW()-4,6)=0,$AM21&lt;&gt;0,SUMPRODUCT(--(OFFSET($AM21,1,0,5,1)&lt;&gt;0))=0),_xlpm.oppA,_xlfn.XLOOKUP($AK21,$H$4:$H$18,$J$4:$J$18,""),_xlpm.oppRuns,IF($AL21=_xlpm.oppA,_xlfn.XLOOKUP($AK21,$H$4:$H$18,$O$4:$O$18,""),_xlfn.XLOOKUP($AK21,$H$4:$H$18,$N$4:$N$18,"")),IF(_xlpm.auto,_xlpm.oppRuns,Scorebook!E75)))</f>
      </c>
      <c r="AQ21" s="5">
        <f ca="1">Scorebook!F75</f>
      </c>
      <c r="AR21" s="5" cm="1">
        <f t="array" aca="1" ref="AR21" ca="1">IF($AK21="","",_xlfn.LET(_xlpm.auto,AND(MOD(ROW()-4,6)=0,$AM21&lt;&gt;0,SUMPRODUCT(--(OFFSET($AM21,1,0,5,1)&lt;&gt;0))=0),_xlpm.oppA,_xlfn.XLOOKUP($AK21,$H$4:$H$18,$J$4:$J$18,""),_xlpm.oppB,_xlfn.XLOOKUP($AK21,$H$4:$H$18,$K$4:$K$18,""),_xlpm.opp,IF($AL21=_xlpm.oppA,_xlpm.oppB,_xlpm.oppA),IF(_xlpm.auto,SUMIFS($AD$4:$AD$273,$S$4:$S$273,$AK21,$T$4:$T$273,_xlpm.opp),Scorebook!G75)))</f>
      </c>
      <c r="AS21" s="5" cm="1">
        <f t="array" aca="1" ref="AS21" ca="1">IF($AK21="","",_xlfn.LET(_xlpm.auto,AND(MOD(ROW()-4,6)=0,$AM21&lt;&gt;0,SUMPRODUCT(--(OFFSET($AM21,1,0,5,1)&lt;&gt;0))=0),_xlpm.oppA,_xlfn.XLOOKUP($AK21,$H$4:$H$18,$J$4:$J$18,""),_xlpm.oppB,_xlfn.XLOOKUP($AK21,$H$4:$H$18,$K$4:$K$18,""),_xlpm.opp,IF($AL21=_xlpm.oppA,_xlpm.oppB,_xlpm.oppA),IF(_xlpm.auto,SUMIFS($AE$4:$AE$273,$S$4:$S$273,$AK21,$T$4:$T$273,_xlpm.opp),Scorebook!H75)))</f>
      </c>
      <c r="AT21" s="5" cm="1">
        <f t="array" aca="1" ref="AT21" ca="1">IF($AK21="","",_xlfn.LET(_xlpm.auto,AND(MOD(ROW()-4,6)=0,$AM21&lt;&gt;0,SUMPRODUCT(--(OFFSET($AM21,1,0,5,1)&lt;&gt;0))=0),_xlpm.oppA,_xlfn.XLOOKUP($AK21,$H$4:$H$18,$J$4:$J$18,""),_xlpm.oppB,_xlfn.XLOOKUP($AK21,$H$4:$H$18,$K$4:$K$18,""),_xlpm.opp,IF($AL21=_xlpm.oppA,_xlpm.oppB,_xlpm.oppA),IF(_xlpm.auto,SUMIFS($AB$4:$AB$273,$S$4:$S$273,$AK21,$T$4:$T$273,_xlpm.opp),Scorebook!I75)))</f>
      </c>
      <c r="AU21" s="5" cm="1">
        <f t="array" aca="1" ref="AU21" ca="1">IF($AK21="","",_xlfn.LET(_xlpm.auto,AND(MOD(ROW()-4,6)=0,$AM21&lt;&gt;0,SUMPRODUCT(--(OFFSET($AM21,1,0,5,1)&lt;&gt;0))=0),_xlpm.winner,_xlfn.XLOOKUP($AK21,$H$4:$H$18,$L$4:$L$18,""),IF(_xlpm.auto,--($AL21=_xlpm.winner),Scorebook!J75)))</f>
      </c>
      <c r="AV21" s="5" cm="1">
        <f t="array" aca="1" ref="AV21" ca="1">IF($AK21="","",_xlfn.LET(_xlpm.auto,AND(MOD(ROW()-4,6)=0,$AM21&lt;&gt;0,SUMPRODUCT(--(OFFSET($AM21,1,0,5,1)&lt;&gt;0))=0),_xlpm.loser,_xlfn.XLOOKUP($AK21,$H$4:$H$18,$M$4:$M$18,""),IF(_xlpm.auto,--($AL21=_xlpm.loser),Scorebook!K75)))</f>
      </c>
      <c r="AW21" s="5">
        <f ca="1">Scorebook!L75</f>
      </c>
      <c r="AX21" s="5" cm="1">
        <f t="array" aca="1" ref="AX21" ca="1">IF($AK21="","",_xlfn.LET(_xlpm.auto,AND(MOD(ROW()-4,6)=0,$AM21&lt;&gt;0,SUMPRODUCT(--(OFFSET($AM21,1,0,5,1)&lt;&gt;0))=0),_xlpm.oppA,_xlfn.XLOOKUP($AK21,$H$4:$H$18,$J$4:$J$18,""),_xlpm.oppRuns,IF($AL21=_xlpm.oppA,_xlfn.XLOOKUP($AK21,$H$4:$H$18,$O$4:$O$18,""),_xlfn.XLOOKUP($AK21,$H$4:$H$18,$N$4:$N$18,"")),IF(_xlpm.auto,--(_xlpm.oppRuns=0),Scorebook!M75)))</f>
      </c>
      <c r="AY21" s="5" cm="1">
        <f t="array" aca="1" ref="AY21" ca="1">IF($AK21="","",_xlfn.LET(_xlpm.auto,AND(MOD(ROW()-4,6)=0,$AM21&lt;&gt;0,SUMPRODUCT(--(OFFSET($AM21,1,0,5,1)&lt;&gt;0))=0),IF(_xlpm.auto,1,Scorebook!N75)))</f>
      </c>
      <c r="AZ21" s="10"/>
      <c r="BA21" s="10"/>
      <c r="BB21" s="5">
        <f>Settings!$B$2</f>
        <v>1</v>
      </c>
      <c r="BC21" s="5">
        <f>Betting!A23</f>
        <v>0</v>
      </c>
      <c r="BD21" s="5">
        <f>Betting!B23</f>
        <v>0</v>
      </c>
      <c r="BE21" s="5">
        <f>Betting!C23</f>
        <v>0</v>
      </c>
      <c r="BF21" s="5">
        <f>Betting!D23</f>
        <v>0</v>
      </c>
      <c r="BG21" s="5">
        <f>Betting!E23</f>
        <v>0</v>
      </c>
      <c r="BH21" s="5">
        <f>Betting!F23</f>
        <v>0</v>
      </c>
      <c r="BI21" s="4">
        <f>Betting!G23</f>
        <v>0</v>
      </c>
      <c r="BJ21" s="4">
        <f>Betting!H23</f>
        <v>0</v>
      </c>
    </row>
    <row r="22" spans="1:62">
      <c r="A22" s="4">
        <f>ROW()-3</f>
        <v>19</v>
      </c>
      <c r="B22" s="4">
        <f>IF(A22="","",ROUNDUP(A22/Settings!$B$3,0))</f>
        <v>4</v>
      </c>
      <c r="C22" s="5" t="str">
        <f>IF(Draft!$A$24="","",Draft!$D$24)</f>
        <v>May</v>
      </c>
      <c r="D22" s="5" t="str">
        <f>IF(Draft!$E$24="","",Draft!$E$24)</f>
        <v>Red Kritter</v>
      </c>
      <c r="E22" s="5">
        <f>Settings!$B$2</f>
        <v>1</v>
      </c>
      <c r="F22" s="5" t="b">
        <f>AND(C22&lt;&gt;"",D22&lt;&gt;"")</f>
        <v>1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4" t="str">
        <f ca="1">Scorebook!$F$51</f>
        <v>G2</v>
      </c>
      <c r="T22" s="5" t="str">
        <f ca="1">Scorebook!$N$51</f>
        <v>Aidan</v>
      </c>
      <c r="U22" s="5" t="str">
        <f ca="1">Scorebook!$B$58</f>
        <v>Dark Bones</v>
      </c>
      <c r="V22" s="4">
        <v>1</v>
      </c>
      <c r="W22" s="5">
        <f ca="1">Scorebook!M58</f>
        <v>2</v>
      </c>
      <c r="X22" s="5">
        <f ca="1">Scorebook!N58</f>
        <v>0</v>
      </c>
      <c r="Y22" s="5">
        <f ca="1">Scorebook!O58</f>
        <v>0</v>
      </c>
      <c r="Z22" s="5">
        <f ca="1">Scorebook!P58</f>
        <v>0</v>
      </c>
      <c r="AA22" s="5">
        <f ca="1">Scorebook!Q58</f>
        <v>0</v>
      </c>
      <c r="AB22" s="5">
        <f ca="1">Scorebook!R58</f>
        <v>0</v>
      </c>
      <c r="AC22" s="5">
        <f ca="1">Scorebook!S58</f>
        <v>0</v>
      </c>
      <c r="AD22" s="5">
        <f ca="1">Scorebook!T58</f>
        <v>0</v>
      </c>
      <c r="AE22" s="5">
        <f ca="1">Scorebook!U58</f>
        <v>0</v>
      </c>
      <c r="AF22" s="5">
        <f ca="1">Scorebook!V58</f>
        <v>0</v>
      </c>
      <c r="AG22" s="5">
        <f ca="1">Scorebook!W58</f>
        <v>0</v>
      </c>
      <c r="AH22" s="5">
        <f ca="1">Scorebook!X58</f>
        <v>0</v>
      </c>
      <c r="AI22" s="5">
        <f>Settings!$B$2</f>
        <v>1</v>
      </c>
      <c r="AJ22" s="18">
        <f ca="1">IF($AK22="","",Scorebook!$O$91)</f>
        <v>13</v>
      </c>
      <c r="AK22" s="4" t="str">
        <f ca="1">Scorebook!$F$51</f>
        <v>G2</v>
      </c>
      <c r="AL22" s="5" t="str">
        <f ca="1">Scorebook!$R$51</f>
        <v>Justin</v>
      </c>
      <c r="AM22" s="5" t="str">
        <f>Scorebook!$B$91</f>
        <v>Boo</v>
      </c>
      <c r="AN22" s="5">
        <f ca="1">IF(Scorebook!C91="","",INT(Scorebook!C91)+MOD(ROUND(Scorebook!C91*10,0),10)/3)</f>
        <v>2.3333333333333335</v>
      </c>
      <c r="AO22" s="5" cm="1">
        <f t="array" aca="1" ref="AO22" ca="1">IF($AK22="","",_xlfn.LET(_xlpm.auto,AND(MOD(ROW()-4,6)=0,$AM22&lt;&gt;0,SUMPRODUCT(--(OFFSET($AM22,1,0,5,1)&lt;&gt;0))=0),_xlpm.oppA,_xlfn.XLOOKUP($AK22,$H$4:$H$18,$J$4:$J$18,""),_xlpm.oppB,_xlfn.XLOOKUP($AK22,$H$4:$H$18,$K$4:$K$18,""),_xlpm.opp,IF($AL22=_xlpm.oppA,_xlpm.oppB,_xlpm.oppA),IF(_xlpm.auto,SUMIFS($Y$4:$Y$273,$S$4:$S$273,$AK22,$T$4:$T$273,_xlpm.opp),Scorebook!D91)))</f>
        <v>7</v>
      </c>
      <c r="AP22" s="5" cm="1">
        <f t="array" aca="1" ref="AP22" ca="1">IF($AK22="","",_xlfn.LET(_xlpm.auto,AND(MOD(ROW()-4,6)=0,$AM22&lt;&gt;0,SUMPRODUCT(--(OFFSET($AM22,1,0,5,1)&lt;&gt;0))=0),_xlpm.oppA,_xlfn.XLOOKUP($AK22,$H$4:$H$18,$J$4:$J$18,""),_xlpm.oppRuns,IF($AL22=_xlpm.oppA,_xlfn.XLOOKUP($AK22,$H$4:$H$18,$O$4:$O$18,""),_xlfn.XLOOKUP($AK22,$H$4:$H$18,$N$4:$N$18,"")),IF(_xlpm.auto,_xlpm.oppRuns,Scorebook!E91)))</f>
        <v>4</v>
      </c>
      <c r="AQ22" s="5">
        <f ca="1">Scorebook!F91</f>
        <v>4</v>
      </c>
      <c r="AR22" s="5" cm="1">
        <f t="array" aca="1" ref="AR22" ca="1">IF($AK22="","",_xlfn.LET(_xlpm.auto,AND(MOD(ROW()-4,6)=0,$AM22&lt;&gt;0,SUMPRODUCT(--(OFFSET($AM22,1,0,5,1)&lt;&gt;0))=0),_xlpm.oppA,_xlfn.XLOOKUP($AK22,$H$4:$H$18,$J$4:$J$18,""),_xlpm.oppB,_xlfn.XLOOKUP($AK22,$H$4:$H$18,$K$4:$K$18,""),_xlpm.opp,IF($AL22=_xlpm.oppA,_xlpm.oppB,_xlpm.oppA),IF(_xlpm.auto,SUMIFS($AD$4:$AD$273,$S$4:$S$273,$AK22,$T$4:$T$273,_xlpm.opp),Scorebook!G91)))</f>
        <v>0</v>
      </c>
      <c r="AS22" s="5" cm="1">
        <f t="array" aca="1" ref="AS22" ca="1">IF($AK22="","",_xlfn.LET(_xlpm.auto,AND(MOD(ROW()-4,6)=0,$AM22&lt;&gt;0,SUMPRODUCT(--(OFFSET($AM22,1,0,5,1)&lt;&gt;0))=0),_xlpm.oppA,_xlfn.XLOOKUP($AK22,$H$4:$H$18,$J$4:$J$18,""),_xlpm.oppB,_xlfn.XLOOKUP($AK22,$H$4:$H$18,$K$4:$K$18,""),_xlpm.opp,IF($AL22=_xlpm.oppA,_xlpm.oppB,_xlpm.oppA),IF(_xlpm.auto,SUMIFS($AE$4:$AE$273,$S$4:$S$273,$AK22,$T$4:$T$273,_xlpm.opp),Scorebook!H91)))</f>
        <v>1</v>
      </c>
      <c r="AT22" s="5" cm="1">
        <f t="array" aca="1" ref="AT22" ca="1">IF($AK22="","",_xlfn.LET(_xlpm.auto,AND(MOD(ROW()-4,6)=0,$AM22&lt;&gt;0,SUMPRODUCT(--(OFFSET($AM22,1,0,5,1)&lt;&gt;0))=0),_xlpm.oppA,_xlfn.XLOOKUP($AK22,$H$4:$H$18,$J$4:$J$18,""),_xlpm.oppB,_xlfn.XLOOKUP($AK22,$H$4:$H$18,$K$4:$K$18,""),_xlpm.opp,IF($AL22=_xlpm.oppA,_xlpm.oppB,_xlpm.oppA),IF(_xlpm.auto,SUMIFS($AB$4:$AB$273,$S$4:$S$273,$AK22,$T$4:$T$273,_xlpm.opp),Scorebook!I91)))</f>
        <v>2</v>
      </c>
      <c r="AU22" s="5" cm="1">
        <f t="array" aca="1" ref="AU22" ca="1">IF($AK22="","",_xlfn.LET(_xlpm.auto,AND(MOD(ROW()-4,6)=0,$AM22&lt;&gt;0,SUMPRODUCT(--(OFFSET($AM22,1,0,5,1)&lt;&gt;0))=0),_xlpm.winner,_xlfn.XLOOKUP($AK22,$H$4:$H$18,$L$4:$L$18,""),IF(_xlpm.auto,--($AL22=_xlpm.winner),Scorebook!J91)))</f>
        <v>0</v>
      </c>
      <c r="AV22" s="5" cm="1">
        <f t="array" aca="1" ref="AV22" ca="1">IF($AK22="","",_xlfn.LET(_xlpm.auto,AND(MOD(ROW()-4,6)=0,$AM22&lt;&gt;0,SUMPRODUCT(--(OFFSET($AM22,1,0,5,1)&lt;&gt;0))=0),_xlpm.loser,_xlfn.XLOOKUP($AK22,$H$4:$H$18,$M$4:$M$18,""),IF(_xlpm.auto,--($AL22=_xlpm.loser),Scorebook!K91)))</f>
        <v>1</v>
      </c>
      <c r="AW22" s="5">
        <f ca="1">Scorebook!L91</f>
        <v>0</v>
      </c>
      <c r="AX22" s="5" cm="1">
        <f t="array" aca="1" ref="AX22" ca="1">IF($AK22="","",_xlfn.LET(_xlpm.auto,AND(MOD(ROW()-4,6)=0,$AM22&lt;&gt;0,SUMPRODUCT(--(OFFSET($AM22,1,0,5,1)&lt;&gt;0))=0),_xlpm.oppA,_xlfn.XLOOKUP($AK22,$H$4:$H$18,$J$4:$J$18,""),_xlpm.oppRuns,IF($AL22=_xlpm.oppA,_xlfn.XLOOKUP($AK22,$H$4:$H$18,$O$4:$O$18,""),_xlfn.XLOOKUP($AK22,$H$4:$H$18,$N$4:$N$18,"")),IF(_xlpm.auto,--(_xlpm.oppRuns=0),Scorebook!M91)))</f>
        <v>0</v>
      </c>
      <c r="AY22" s="5" cm="1">
        <f t="array" aca="1" ref="AY22" ca="1">IF($AK22="","",_xlfn.LET(_xlpm.auto,AND(MOD(ROW()-4,6)=0,$AM22&lt;&gt;0,SUMPRODUCT(--(OFFSET($AM22,1,0,5,1)&lt;&gt;0))=0),IF(_xlpm.auto,1,Scorebook!N91)))</f>
        <v>1</v>
      </c>
      <c r="AZ22" s="10"/>
      <c r="BA22" s="10"/>
      <c r="BB22" s="5">
        <f>Settings!$B$2</f>
        <v>1</v>
      </c>
      <c r="BC22" s="5">
        <f>Betting!A24</f>
        <v>0</v>
      </c>
      <c r="BD22" s="5">
        <f>Betting!B24</f>
        <v>0</v>
      </c>
      <c r="BE22" s="5">
        <f>Betting!C24</f>
        <v>0</v>
      </c>
      <c r="BF22" s="5">
        <f>Betting!D24</f>
        <v>0</v>
      </c>
      <c r="BG22" s="5">
        <f>Betting!E24</f>
        <v>0</v>
      </c>
      <c r="BH22" s="5">
        <f>Betting!F24</f>
        <v>0</v>
      </c>
      <c r="BI22" s="4">
        <f>Betting!G24</f>
        <v>0</v>
      </c>
      <c r="BJ22" s="4">
        <f>Betting!H24</f>
        <v>0</v>
      </c>
    </row>
    <row r="23" spans="1:62">
      <c r="A23" s="4">
        <f>ROW()-3</f>
        <v>20</v>
      </c>
      <c r="B23" s="4">
        <f>IF(A23="","",ROUNDUP(A23/Settings!$B$3,0))</f>
        <v>4</v>
      </c>
      <c r="C23" s="5" t="str">
        <f>IF(Draft!$A$25="","",Draft!$D$25)</f>
        <v>Jason</v>
      </c>
      <c r="D23" s="5" t="str">
        <f>IF(Draft!$E$25="","",Draft!$E$25)</f>
        <v>King K. Rool</v>
      </c>
      <c r="E23" s="5">
        <f>Settings!$B$2</f>
        <v>1</v>
      </c>
      <c r="F23" s="5" t="b">
        <f>AND(C23&lt;&gt;"",D23&lt;&gt;"")</f>
        <v>1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4" t="str">
        <f ca="1">Scorebook!$F$51</f>
        <v>G2</v>
      </c>
      <c r="T23" s="5" t="str">
        <f ca="1">Scorebook!$N$51</f>
        <v>Aidan</v>
      </c>
      <c r="U23" s="5" t="str">
        <f ca="1">Scorebook!$B$59</f>
        <v>Blue Pianta</v>
      </c>
      <c r="V23" s="4">
        <v>2</v>
      </c>
      <c r="W23" s="5">
        <f ca="1">Scorebook!M59</f>
        <v>2</v>
      </c>
      <c r="X23" s="5">
        <f ca="1">Scorebook!N59</f>
        <v>0</v>
      </c>
      <c r="Y23" s="5">
        <f ca="1">Scorebook!O59</f>
        <v>0</v>
      </c>
      <c r="Z23" s="5">
        <f ca="1">Scorebook!P59</f>
        <v>0</v>
      </c>
      <c r="AA23" s="5">
        <f ca="1">Scorebook!Q59</f>
        <v>0</v>
      </c>
      <c r="AB23" s="5">
        <f ca="1">Scorebook!R59</f>
        <v>0</v>
      </c>
      <c r="AC23" s="5">
        <f ca="1">Scorebook!S59</f>
        <v>0</v>
      </c>
      <c r="AD23" s="5">
        <f ca="1">Scorebook!T59</f>
        <v>0</v>
      </c>
      <c r="AE23" s="5">
        <f ca="1">Scorebook!U59</f>
        <v>1</v>
      </c>
      <c r="AF23" s="5">
        <f ca="1">Scorebook!V59</f>
        <v>0</v>
      </c>
      <c r="AG23" s="5">
        <f ca="1">Scorebook!W59</f>
        <v>0</v>
      </c>
      <c r="AH23" s="5">
        <f ca="1">Scorebook!X59</f>
        <v>0</v>
      </c>
      <c r="AI23" s="5">
        <f>Settings!$B$2</f>
        <v>1</v>
      </c>
      <c r="AJ23" s="18">
        <f ca="1">IF($AK23="","",Scorebook!$O$92)</f>
      </c>
      <c r="AK23" s="4" t="str">
        <f ca="1">Scorebook!$F$51</f>
        <v>G2</v>
      </c>
      <c r="AL23" s="5" t="str">
        <f ca="1">Scorebook!$R$51</f>
        <v>Justin</v>
      </c>
      <c r="AM23" s="5" t="str">
        <f>Scorebook!$B$92</f>
      </c>
      <c r="AN23" s="5">
        <f ca="1">IF(Scorebook!C92="","",INT(Scorebook!C92)+MOD(ROUND(Scorebook!C92*10,0),10)/3)</f>
      </c>
      <c r="AO23" s="5" cm="1">
        <f t="array" aca="1" ref="AO23" ca="1">IF($AK23="","",_xlfn.LET(_xlpm.auto,AND(MOD(ROW()-4,6)=0,$AM23&lt;&gt;0,SUMPRODUCT(--(OFFSET($AM23,1,0,5,1)&lt;&gt;0))=0),_xlpm.oppA,_xlfn.XLOOKUP($AK23,$H$4:$H$18,$J$4:$J$18,""),_xlpm.oppB,_xlfn.XLOOKUP($AK23,$H$4:$H$18,$K$4:$K$18,""),_xlpm.opp,IF($AL23=_xlpm.oppA,_xlpm.oppB,_xlpm.oppA),IF(_xlpm.auto,SUMIFS($Y$4:$Y$273,$S$4:$S$273,$AK23,$T$4:$T$273,_xlpm.opp),Scorebook!D92)))</f>
      </c>
      <c r="AP23" s="5" cm="1">
        <f t="array" aca="1" ref="AP23" ca="1">IF($AK23="","",_xlfn.LET(_xlpm.auto,AND(MOD(ROW()-4,6)=0,$AM23&lt;&gt;0,SUMPRODUCT(--(OFFSET($AM23,1,0,5,1)&lt;&gt;0))=0),_xlpm.oppA,_xlfn.XLOOKUP($AK23,$H$4:$H$18,$J$4:$J$18,""),_xlpm.oppRuns,IF($AL23=_xlpm.oppA,_xlfn.XLOOKUP($AK23,$H$4:$H$18,$O$4:$O$18,""),_xlfn.XLOOKUP($AK23,$H$4:$H$18,$N$4:$N$18,"")),IF(_xlpm.auto,_xlpm.oppRuns,Scorebook!E92)))</f>
      </c>
      <c r="AQ23" s="5">
        <f ca="1">Scorebook!F92</f>
      </c>
      <c r="AR23" s="5" cm="1">
        <f t="array" aca="1" ref="AR23" ca="1">IF($AK23="","",_xlfn.LET(_xlpm.auto,AND(MOD(ROW()-4,6)=0,$AM23&lt;&gt;0,SUMPRODUCT(--(OFFSET($AM23,1,0,5,1)&lt;&gt;0))=0),_xlpm.oppA,_xlfn.XLOOKUP($AK23,$H$4:$H$18,$J$4:$J$18,""),_xlpm.oppB,_xlfn.XLOOKUP($AK23,$H$4:$H$18,$K$4:$K$18,""),_xlpm.opp,IF($AL23=_xlpm.oppA,_xlpm.oppB,_xlpm.oppA),IF(_xlpm.auto,SUMIFS($AD$4:$AD$273,$S$4:$S$273,$AK23,$T$4:$T$273,_xlpm.opp),Scorebook!G92)))</f>
      </c>
      <c r="AS23" s="5" cm="1">
        <f t="array" aca="1" ref="AS23" ca="1">IF($AK23="","",_xlfn.LET(_xlpm.auto,AND(MOD(ROW()-4,6)=0,$AM23&lt;&gt;0,SUMPRODUCT(--(OFFSET($AM23,1,0,5,1)&lt;&gt;0))=0),_xlpm.oppA,_xlfn.XLOOKUP($AK23,$H$4:$H$18,$J$4:$J$18,""),_xlpm.oppB,_xlfn.XLOOKUP($AK23,$H$4:$H$18,$K$4:$K$18,""),_xlpm.opp,IF($AL23=_xlpm.oppA,_xlpm.oppB,_xlpm.oppA),IF(_xlpm.auto,SUMIFS($AE$4:$AE$273,$S$4:$S$273,$AK23,$T$4:$T$273,_xlpm.opp),Scorebook!H92)))</f>
      </c>
      <c r="AT23" s="5" cm="1">
        <f t="array" aca="1" ref="AT23" ca="1">IF($AK23="","",_xlfn.LET(_xlpm.auto,AND(MOD(ROW()-4,6)=0,$AM23&lt;&gt;0,SUMPRODUCT(--(OFFSET($AM23,1,0,5,1)&lt;&gt;0))=0),_xlpm.oppA,_xlfn.XLOOKUP($AK23,$H$4:$H$18,$J$4:$J$18,""),_xlpm.oppB,_xlfn.XLOOKUP($AK23,$H$4:$H$18,$K$4:$K$18,""),_xlpm.opp,IF($AL23=_xlpm.oppA,_xlpm.oppB,_xlpm.oppA),IF(_xlpm.auto,SUMIFS($AB$4:$AB$273,$S$4:$S$273,$AK23,$T$4:$T$273,_xlpm.opp),Scorebook!I92)))</f>
      </c>
      <c r="AU23" s="5" cm="1">
        <f t="array" aca="1" ref="AU23" ca="1">IF($AK23="","",_xlfn.LET(_xlpm.auto,AND(MOD(ROW()-4,6)=0,$AM23&lt;&gt;0,SUMPRODUCT(--(OFFSET($AM23,1,0,5,1)&lt;&gt;0))=0),_xlpm.winner,_xlfn.XLOOKUP($AK23,$H$4:$H$18,$L$4:$L$18,""),IF(_xlpm.auto,--($AL23=_xlpm.winner),Scorebook!J92)))</f>
      </c>
      <c r="AV23" s="5" cm="1">
        <f t="array" aca="1" ref="AV23" ca="1">IF($AK23="","",_xlfn.LET(_xlpm.auto,AND(MOD(ROW()-4,6)=0,$AM23&lt;&gt;0,SUMPRODUCT(--(OFFSET($AM23,1,0,5,1)&lt;&gt;0))=0),_xlpm.loser,_xlfn.XLOOKUP($AK23,$H$4:$H$18,$M$4:$M$18,""),IF(_xlpm.auto,--($AL23=_xlpm.loser),Scorebook!K92)))</f>
      </c>
      <c r="AW23" s="5">
        <f ca="1">Scorebook!L92</f>
      </c>
      <c r="AX23" s="5" cm="1">
        <f t="array" aca="1" ref="AX23" ca="1">IF($AK23="","",_xlfn.LET(_xlpm.auto,AND(MOD(ROW()-4,6)=0,$AM23&lt;&gt;0,SUMPRODUCT(--(OFFSET($AM23,1,0,5,1)&lt;&gt;0))=0),_xlpm.oppA,_xlfn.XLOOKUP($AK23,$H$4:$H$18,$J$4:$J$18,""),_xlpm.oppRuns,IF($AL23=_xlpm.oppA,_xlfn.XLOOKUP($AK23,$H$4:$H$18,$O$4:$O$18,""),_xlfn.XLOOKUP($AK23,$H$4:$H$18,$N$4:$N$18,"")),IF(_xlpm.auto,--(_xlpm.oppRuns=0),Scorebook!M92)))</f>
      </c>
      <c r="AY23" s="5" cm="1">
        <f t="array" aca="1" ref="AY23" ca="1">IF($AK23="","",_xlfn.LET(_xlpm.auto,AND(MOD(ROW()-4,6)=0,$AM23&lt;&gt;0,SUMPRODUCT(--(OFFSET($AM23,1,0,5,1)&lt;&gt;0))=0),IF(_xlpm.auto,1,Scorebook!N92)))</f>
      </c>
      <c r="AZ23" s="10"/>
      <c r="BA23" s="10"/>
      <c r="BB23" s="5">
        <f>Settings!$B$2</f>
        <v>1</v>
      </c>
      <c r="BC23" s="5">
        <f>Betting!A25</f>
        <v>0</v>
      </c>
      <c r="BD23" s="5">
        <f>Betting!B25</f>
        <v>0</v>
      </c>
      <c r="BE23" s="5">
        <f>Betting!C25</f>
        <v>0</v>
      </c>
      <c r="BF23" s="5">
        <f>Betting!D25</f>
        <v>0</v>
      </c>
      <c r="BG23" s="5">
        <f>Betting!E25</f>
        <v>0</v>
      </c>
      <c r="BH23" s="5">
        <f>Betting!F25</f>
        <v>0</v>
      </c>
      <c r="BI23" s="4">
        <f>Betting!G25</f>
        <v>0</v>
      </c>
      <c r="BJ23" s="4">
        <f>Betting!H25</f>
        <v>0</v>
      </c>
    </row>
    <row r="24" spans="1:62">
      <c r="A24" s="4">
        <f>ROW()-3</f>
        <v>21</v>
      </c>
      <c r="B24" s="4">
        <f>IF(A24="","",ROUNDUP(A24/Settings!$B$3,0))</f>
        <v>4</v>
      </c>
      <c r="C24" s="5" t="str">
        <f>IF(Draft!$A$26="","",Draft!$D$26)</f>
        <v>Aidan</v>
      </c>
      <c r="D24" s="5" t="str">
        <f>IF(Draft!$E$26="","",Draft!$E$26)</f>
        <v>Pink Yoshi</v>
      </c>
      <c r="E24" s="5">
        <f>Settings!$B$2</f>
        <v>1</v>
      </c>
      <c r="F24" s="5" t="b">
        <f>AND(C24&lt;&gt;"",D24&lt;&gt;"")</f>
        <v>1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4" t="str">
        <f ca="1">Scorebook!$F$51</f>
        <v>G2</v>
      </c>
      <c r="T24" s="5" t="str">
        <f ca="1">Scorebook!$N$51</f>
        <v>Aidan</v>
      </c>
      <c r="U24" s="5" t="str">
        <f ca="1">Scorebook!$B$60</f>
        <v>Mario</v>
      </c>
      <c r="V24" s="4">
        <v>3</v>
      </c>
      <c r="W24" s="5">
        <f ca="1">Scorebook!M60</f>
        <v>2</v>
      </c>
      <c r="X24" s="5">
        <f ca="1">Scorebook!N60</f>
        <v>1</v>
      </c>
      <c r="Y24" s="5">
        <f ca="1">Scorebook!O60</f>
        <v>2</v>
      </c>
      <c r="Z24" s="5">
        <f ca="1">Scorebook!P60</f>
        <v>0</v>
      </c>
      <c r="AA24" s="5">
        <f ca="1">Scorebook!Q60</f>
        <v>0</v>
      </c>
      <c r="AB24" s="5">
        <f ca="1">Scorebook!R60</f>
        <v>0</v>
      </c>
      <c r="AC24" s="5">
        <f ca="1">Scorebook!S60</f>
        <v>0</v>
      </c>
      <c r="AD24" s="5">
        <f ca="1">Scorebook!T60</f>
        <v>0</v>
      </c>
      <c r="AE24" s="5">
        <f ca="1">Scorebook!U60</f>
        <v>0</v>
      </c>
      <c r="AF24" s="5">
        <f ca="1">Scorebook!V60</f>
        <v>0</v>
      </c>
      <c r="AG24" s="5">
        <f ca="1">Scorebook!W60</f>
        <v>0</v>
      </c>
      <c r="AH24" s="5">
        <f ca="1">Scorebook!X60</f>
        <v>0</v>
      </c>
      <c r="AI24" s="5">
        <f>Settings!$B$2</f>
        <v>1</v>
      </c>
      <c r="AJ24" s="18">
        <f ca="1">IF($AK24="","",Scorebook!$O$93)</f>
      </c>
      <c r="AK24" s="4" t="str">
        <f ca="1">Scorebook!$F$51</f>
        <v>G2</v>
      </c>
      <c r="AL24" s="5" t="str">
        <f ca="1">Scorebook!$R$51</f>
        <v>Justin</v>
      </c>
      <c r="AM24" s="5" t="str">
        <f>Scorebook!$B$93</f>
      </c>
      <c r="AN24" s="5">
        <f ca="1">IF(Scorebook!C93="","",INT(Scorebook!C93)+MOD(ROUND(Scorebook!C93*10,0),10)/3)</f>
      </c>
      <c r="AO24" s="5" cm="1">
        <f t="array" aca="1" ref="AO24" ca="1">IF($AK24="","",_xlfn.LET(_xlpm.auto,AND(MOD(ROW()-4,6)=0,$AM24&lt;&gt;0,SUMPRODUCT(--(OFFSET($AM24,1,0,5,1)&lt;&gt;0))=0),_xlpm.oppA,_xlfn.XLOOKUP($AK24,$H$4:$H$18,$J$4:$J$18,""),_xlpm.oppB,_xlfn.XLOOKUP($AK24,$H$4:$H$18,$K$4:$K$18,""),_xlpm.opp,IF($AL24=_xlpm.oppA,_xlpm.oppB,_xlpm.oppA),IF(_xlpm.auto,SUMIFS($Y$4:$Y$273,$S$4:$S$273,$AK24,$T$4:$T$273,_xlpm.opp),Scorebook!D93)))</f>
      </c>
      <c r="AP24" s="5" cm="1">
        <f t="array" aca="1" ref="AP24" ca="1">IF($AK24="","",_xlfn.LET(_xlpm.auto,AND(MOD(ROW()-4,6)=0,$AM24&lt;&gt;0,SUMPRODUCT(--(OFFSET($AM24,1,0,5,1)&lt;&gt;0))=0),_xlpm.oppA,_xlfn.XLOOKUP($AK24,$H$4:$H$18,$J$4:$J$18,""),_xlpm.oppRuns,IF($AL24=_xlpm.oppA,_xlfn.XLOOKUP($AK24,$H$4:$H$18,$O$4:$O$18,""),_xlfn.XLOOKUP($AK24,$H$4:$H$18,$N$4:$N$18,"")),IF(_xlpm.auto,_xlpm.oppRuns,Scorebook!E93)))</f>
      </c>
      <c r="AQ24" s="5">
        <f ca="1">Scorebook!F93</f>
      </c>
      <c r="AR24" s="5" cm="1">
        <f t="array" aca="1" ref="AR24" ca="1">IF($AK24="","",_xlfn.LET(_xlpm.auto,AND(MOD(ROW()-4,6)=0,$AM24&lt;&gt;0,SUMPRODUCT(--(OFFSET($AM24,1,0,5,1)&lt;&gt;0))=0),_xlpm.oppA,_xlfn.XLOOKUP($AK24,$H$4:$H$18,$J$4:$J$18,""),_xlpm.oppB,_xlfn.XLOOKUP($AK24,$H$4:$H$18,$K$4:$K$18,""),_xlpm.opp,IF($AL24=_xlpm.oppA,_xlpm.oppB,_xlpm.oppA),IF(_xlpm.auto,SUMIFS($AD$4:$AD$273,$S$4:$S$273,$AK24,$T$4:$T$273,_xlpm.opp),Scorebook!G93)))</f>
      </c>
      <c r="AS24" s="5" cm="1">
        <f t="array" aca="1" ref="AS24" ca="1">IF($AK24="","",_xlfn.LET(_xlpm.auto,AND(MOD(ROW()-4,6)=0,$AM24&lt;&gt;0,SUMPRODUCT(--(OFFSET($AM24,1,0,5,1)&lt;&gt;0))=0),_xlpm.oppA,_xlfn.XLOOKUP($AK24,$H$4:$H$18,$J$4:$J$18,""),_xlpm.oppB,_xlfn.XLOOKUP($AK24,$H$4:$H$18,$K$4:$K$18,""),_xlpm.opp,IF($AL24=_xlpm.oppA,_xlpm.oppB,_xlpm.oppA),IF(_xlpm.auto,SUMIFS($AE$4:$AE$273,$S$4:$S$273,$AK24,$T$4:$T$273,_xlpm.opp),Scorebook!H93)))</f>
      </c>
      <c r="AT24" s="5" cm="1">
        <f t="array" aca="1" ref="AT24" ca="1">IF($AK24="","",_xlfn.LET(_xlpm.auto,AND(MOD(ROW()-4,6)=0,$AM24&lt;&gt;0,SUMPRODUCT(--(OFFSET($AM24,1,0,5,1)&lt;&gt;0))=0),_xlpm.oppA,_xlfn.XLOOKUP($AK24,$H$4:$H$18,$J$4:$J$18,""),_xlpm.oppB,_xlfn.XLOOKUP($AK24,$H$4:$H$18,$K$4:$K$18,""),_xlpm.opp,IF($AL24=_xlpm.oppA,_xlpm.oppB,_xlpm.oppA),IF(_xlpm.auto,SUMIFS($AB$4:$AB$273,$S$4:$S$273,$AK24,$T$4:$T$273,_xlpm.opp),Scorebook!I93)))</f>
      </c>
      <c r="AU24" s="5" cm="1">
        <f t="array" aca="1" ref="AU24" ca="1">IF($AK24="","",_xlfn.LET(_xlpm.auto,AND(MOD(ROW()-4,6)=0,$AM24&lt;&gt;0,SUMPRODUCT(--(OFFSET($AM24,1,0,5,1)&lt;&gt;0))=0),_xlpm.winner,_xlfn.XLOOKUP($AK24,$H$4:$H$18,$L$4:$L$18,""),IF(_xlpm.auto,--($AL24=_xlpm.winner),Scorebook!J93)))</f>
      </c>
      <c r="AV24" s="5" cm="1">
        <f t="array" aca="1" ref="AV24" ca="1">IF($AK24="","",_xlfn.LET(_xlpm.auto,AND(MOD(ROW()-4,6)=0,$AM24&lt;&gt;0,SUMPRODUCT(--(OFFSET($AM24,1,0,5,1)&lt;&gt;0))=0),_xlpm.loser,_xlfn.XLOOKUP($AK24,$H$4:$H$18,$M$4:$M$18,""),IF(_xlpm.auto,--($AL24=_xlpm.loser),Scorebook!K93)))</f>
      </c>
      <c r="AW24" s="5">
        <f ca="1">Scorebook!L93</f>
      </c>
      <c r="AX24" s="5" cm="1">
        <f t="array" aca="1" ref="AX24" ca="1">IF($AK24="","",_xlfn.LET(_xlpm.auto,AND(MOD(ROW()-4,6)=0,$AM24&lt;&gt;0,SUMPRODUCT(--(OFFSET($AM24,1,0,5,1)&lt;&gt;0))=0),_xlpm.oppA,_xlfn.XLOOKUP($AK24,$H$4:$H$18,$J$4:$J$18,""),_xlpm.oppRuns,IF($AL24=_xlpm.oppA,_xlfn.XLOOKUP($AK24,$H$4:$H$18,$O$4:$O$18,""),_xlfn.XLOOKUP($AK24,$H$4:$H$18,$N$4:$N$18,"")),IF(_xlpm.auto,--(_xlpm.oppRuns=0),Scorebook!M93)))</f>
      </c>
      <c r="AY24" s="5" cm="1">
        <f t="array" aca="1" ref="AY24" ca="1">IF($AK24="","",_xlfn.LET(_xlpm.auto,AND(MOD(ROW()-4,6)=0,$AM24&lt;&gt;0,SUMPRODUCT(--(OFFSET($AM24,1,0,5,1)&lt;&gt;0))=0),IF(_xlpm.auto,1,Scorebook!N93)))</f>
      </c>
      <c r="AZ24" s="10"/>
      <c r="BA24" s="10"/>
      <c r="BB24" s="5">
        <f>Settings!$B$2</f>
        <v>1</v>
      </c>
      <c r="BC24" s="5">
        <f>Betting!A26</f>
        <v>0</v>
      </c>
      <c r="BD24" s="5">
        <f>Betting!B26</f>
        <v>0</v>
      </c>
      <c r="BE24" s="5">
        <f>Betting!C26</f>
        <v>0</v>
      </c>
      <c r="BF24" s="5">
        <f>Betting!D26</f>
        <v>0</v>
      </c>
      <c r="BG24" s="5">
        <f>Betting!E26</f>
        <v>0</v>
      </c>
      <c r="BH24" s="5">
        <f>Betting!F26</f>
        <v>0</v>
      </c>
      <c r="BI24" s="4">
        <f>Betting!G26</f>
        <v>0</v>
      </c>
      <c r="BJ24" s="4">
        <f>Betting!H26</f>
        <v>0</v>
      </c>
    </row>
    <row r="25" spans="1:62">
      <c r="A25" s="4">
        <f>ROW()-3</f>
        <v>22</v>
      </c>
      <c r="B25" s="4">
        <f>IF(A25="","",ROUNDUP(A25/Settings!$B$3,0))</f>
        <v>4</v>
      </c>
      <c r="C25" s="5" t="str">
        <f>IF(Draft!$A$27="","",Draft!$D$27)</f>
        <v>Nick</v>
      </c>
      <c r="D25" s="5" t="str">
        <f>IF(Draft!$E$27="","",Draft!$E$27)</f>
        <v>Blue Toad</v>
      </c>
      <c r="E25" s="5">
        <f>Settings!$B$2</f>
        <v>1</v>
      </c>
      <c r="F25" s="5" t="b">
        <f>AND(C25&lt;&gt;"",D25&lt;&gt;"")</f>
        <v>1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4" t="str">
        <f ca="1">Scorebook!$F$51</f>
        <v>G2</v>
      </c>
      <c r="T25" s="5" t="str">
        <f ca="1">Scorebook!$N$51</f>
        <v>Aidan</v>
      </c>
      <c r="U25" s="5" t="str">
        <f ca="1">Scorebook!$B$61</f>
        <v>Yellow Pianta</v>
      </c>
      <c r="V25" s="4">
        <v>4</v>
      </c>
      <c r="W25" s="5">
        <f ca="1">Scorebook!M61</f>
        <v>2</v>
      </c>
      <c r="X25" s="5">
        <f ca="1">Scorebook!N61</f>
        <v>1</v>
      </c>
      <c r="Y25" s="5">
        <f ca="1">Scorebook!O61</f>
        <v>1</v>
      </c>
      <c r="Z25" s="5">
        <f ca="1">Scorebook!P61</f>
        <v>0</v>
      </c>
      <c r="AA25" s="5">
        <f ca="1">Scorebook!Q61</f>
        <v>0</v>
      </c>
      <c r="AB25" s="5">
        <f ca="1">Scorebook!R61</f>
        <v>1</v>
      </c>
      <c r="AC25" s="5">
        <f ca="1">Scorebook!S61</f>
        <v>1</v>
      </c>
      <c r="AD25" s="5">
        <f ca="1">Scorebook!T61</f>
        <v>0</v>
      </c>
      <c r="AE25" s="5">
        <f ca="1">Scorebook!U61</f>
        <v>0</v>
      </c>
      <c r="AF25" s="5">
        <f ca="1">Scorebook!V61</f>
        <v>0</v>
      </c>
      <c r="AG25" s="5">
        <f ca="1">Scorebook!W61</f>
        <v>0</v>
      </c>
      <c r="AH25" s="5">
        <f ca="1">Scorebook!X61</f>
        <v>0</v>
      </c>
      <c r="AI25" s="5">
        <f>Settings!$B$2</f>
        <v>1</v>
      </c>
      <c r="AJ25" s="18">
        <f ca="1">IF($AK25="","",Scorebook!$O$94)</f>
      </c>
      <c r="AK25" s="4" t="str">
        <f ca="1">Scorebook!$F$51</f>
        <v>G2</v>
      </c>
      <c r="AL25" s="5" t="str">
        <f ca="1">Scorebook!$R$51</f>
        <v>Justin</v>
      </c>
      <c r="AM25" s="5" t="str">
        <f>Scorebook!$B$94</f>
      </c>
      <c r="AN25" s="5">
        <f ca="1">IF(Scorebook!C94="","",INT(Scorebook!C94)+MOD(ROUND(Scorebook!C94*10,0),10)/3)</f>
      </c>
      <c r="AO25" s="5" cm="1">
        <f t="array" aca="1" ref="AO25" ca="1">IF($AK25="","",_xlfn.LET(_xlpm.auto,AND(MOD(ROW()-4,6)=0,$AM25&lt;&gt;0,SUMPRODUCT(--(OFFSET($AM25,1,0,5,1)&lt;&gt;0))=0),_xlpm.oppA,_xlfn.XLOOKUP($AK25,$H$4:$H$18,$J$4:$J$18,""),_xlpm.oppB,_xlfn.XLOOKUP($AK25,$H$4:$H$18,$K$4:$K$18,""),_xlpm.opp,IF($AL25=_xlpm.oppA,_xlpm.oppB,_xlpm.oppA),IF(_xlpm.auto,SUMIFS($Y$4:$Y$273,$S$4:$S$273,$AK25,$T$4:$T$273,_xlpm.opp),Scorebook!D94)))</f>
      </c>
      <c r="AP25" s="5" cm="1">
        <f t="array" aca="1" ref="AP25" ca="1">IF($AK25="","",_xlfn.LET(_xlpm.auto,AND(MOD(ROW()-4,6)=0,$AM25&lt;&gt;0,SUMPRODUCT(--(OFFSET($AM25,1,0,5,1)&lt;&gt;0))=0),_xlpm.oppA,_xlfn.XLOOKUP($AK25,$H$4:$H$18,$J$4:$J$18,""),_xlpm.oppRuns,IF($AL25=_xlpm.oppA,_xlfn.XLOOKUP($AK25,$H$4:$H$18,$O$4:$O$18,""),_xlfn.XLOOKUP($AK25,$H$4:$H$18,$N$4:$N$18,"")),IF(_xlpm.auto,_xlpm.oppRuns,Scorebook!E94)))</f>
      </c>
      <c r="AQ25" s="5">
        <f ca="1">Scorebook!F94</f>
      </c>
      <c r="AR25" s="5" cm="1">
        <f t="array" aca="1" ref="AR25" ca="1">IF($AK25="","",_xlfn.LET(_xlpm.auto,AND(MOD(ROW()-4,6)=0,$AM25&lt;&gt;0,SUMPRODUCT(--(OFFSET($AM25,1,0,5,1)&lt;&gt;0))=0),_xlpm.oppA,_xlfn.XLOOKUP($AK25,$H$4:$H$18,$J$4:$J$18,""),_xlpm.oppB,_xlfn.XLOOKUP($AK25,$H$4:$H$18,$K$4:$K$18,""),_xlpm.opp,IF($AL25=_xlpm.oppA,_xlpm.oppB,_xlpm.oppA),IF(_xlpm.auto,SUMIFS($AD$4:$AD$273,$S$4:$S$273,$AK25,$T$4:$T$273,_xlpm.opp),Scorebook!G94)))</f>
      </c>
      <c r="AS25" s="5" cm="1">
        <f t="array" aca="1" ref="AS25" ca="1">IF($AK25="","",_xlfn.LET(_xlpm.auto,AND(MOD(ROW()-4,6)=0,$AM25&lt;&gt;0,SUMPRODUCT(--(OFFSET($AM25,1,0,5,1)&lt;&gt;0))=0),_xlpm.oppA,_xlfn.XLOOKUP($AK25,$H$4:$H$18,$J$4:$J$18,""),_xlpm.oppB,_xlfn.XLOOKUP($AK25,$H$4:$H$18,$K$4:$K$18,""),_xlpm.opp,IF($AL25=_xlpm.oppA,_xlpm.oppB,_xlpm.oppA),IF(_xlpm.auto,SUMIFS($AE$4:$AE$273,$S$4:$S$273,$AK25,$T$4:$T$273,_xlpm.opp),Scorebook!H94)))</f>
      </c>
      <c r="AT25" s="5" cm="1">
        <f t="array" aca="1" ref="AT25" ca="1">IF($AK25="","",_xlfn.LET(_xlpm.auto,AND(MOD(ROW()-4,6)=0,$AM25&lt;&gt;0,SUMPRODUCT(--(OFFSET($AM25,1,0,5,1)&lt;&gt;0))=0),_xlpm.oppA,_xlfn.XLOOKUP($AK25,$H$4:$H$18,$J$4:$J$18,""),_xlpm.oppB,_xlfn.XLOOKUP($AK25,$H$4:$H$18,$K$4:$K$18,""),_xlpm.opp,IF($AL25=_xlpm.oppA,_xlpm.oppB,_xlpm.oppA),IF(_xlpm.auto,SUMIFS($AB$4:$AB$273,$S$4:$S$273,$AK25,$T$4:$T$273,_xlpm.opp),Scorebook!I94)))</f>
      </c>
      <c r="AU25" s="5" cm="1">
        <f t="array" aca="1" ref="AU25" ca="1">IF($AK25="","",_xlfn.LET(_xlpm.auto,AND(MOD(ROW()-4,6)=0,$AM25&lt;&gt;0,SUMPRODUCT(--(OFFSET($AM25,1,0,5,1)&lt;&gt;0))=0),_xlpm.winner,_xlfn.XLOOKUP($AK25,$H$4:$H$18,$L$4:$L$18,""),IF(_xlpm.auto,--($AL25=_xlpm.winner),Scorebook!J94)))</f>
      </c>
      <c r="AV25" s="5" cm="1">
        <f t="array" aca="1" ref="AV25" ca="1">IF($AK25="","",_xlfn.LET(_xlpm.auto,AND(MOD(ROW()-4,6)=0,$AM25&lt;&gt;0,SUMPRODUCT(--(OFFSET($AM25,1,0,5,1)&lt;&gt;0))=0),_xlpm.loser,_xlfn.XLOOKUP($AK25,$H$4:$H$18,$M$4:$M$18,""),IF(_xlpm.auto,--($AL25=_xlpm.loser),Scorebook!K94)))</f>
      </c>
      <c r="AW25" s="5">
        <f ca="1">Scorebook!L94</f>
      </c>
      <c r="AX25" s="5" cm="1">
        <f t="array" aca="1" ref="AX25" ca="1">IF($AK25="","",_xlfn.LET(_xlpm.auto,AND(MOD(ROW()-4,6)=0,$AM25&lt;&gt;0,SUMPRODUCT(--(OFFSET($AM25,1,0,5,1)&lt;&gt;0))=0),_xlpm.oppA,_xlfn.XLOOKUP($AK25,$H$4:$H$18,$J$4:$J$18,""),_xlpm.oppRuns,IF($AL25=_xlpm.oppA,_xlfn.XLOOKUP($AK25,$H$4:$H$18,$O$4:$O$18,""),_xlfn.XLOOKUP($AK25,$H$4:$H$18,$N$4:$N$18,"")),IF(_xlpm.auto,--(_xlpm.oppRuns=0),Scorebook!M94)))</f>
      </c>
      <c r="AY25" s="5" cm="1">
        <f t="array" aca="1" ref="AY25" ca="1">IF($AK25="","",_xlfn.LET(_xlpm.auto,AND(MOD(ROW()-4,6)=0,$AM25&lt;&gt;0,SUMPRODUCT(--(OFFSET($AM25,1,0,5,1)&lt;&gt;0))=0),IF(_xlpm.auto,1,Scorebook!N94)))</f>
      </c>
      <c r="AZ25" s="10"/>
      <c r="BA25" s="10"/>
      <c r="BB25" s="5">
        <f>Settings!$B$2</f>
        <v>1</v>
      </c>
      <c r="BC25" s="5">
        <f>Betting!A27</f>
        <v>0</v>
      </c>
      <c r="BD25" s="5">
        <f>Betting!B27</f>
        <v>0</v>
      </c>
      <c r="BE25" s="5">
        <f>Betting!C27</f>
        <v>0</v>
      </c>
      <c r="BF25" s="5">
        <f>Betting!D27</f>
        <v>0</v>
      </c>
      <c r="BG25" s="5">
        <f>Betting!E27</f>
        <v>0</v>
      </c>
      <c r="BH25" s="5">
        <f>Betting!F27</f>
        <v>0</v>
      </c>
      <c r="BI25" s="4">
        <f>Betting!G27</f>
        <v>0</v>
      </c>
      <c r="BJ25" s="4">
        <f>Betting!H27</f>
        <v>0</v>
      </c>
    </row>
    <row r="26" spans="1:62">
      <c r="A26" s="4">
        <f>ROW()-3</f>
        <v>23</v>
      </c>
      <c r="B26" s="4">
        <f>IF(A26="","",ROUNDUP(A26/Settings!$B$3,0))</f>
        <v>4</v>
      </c>
      <c r="C26" s="5" t="str">
        <f>IF(Draft!$A$28="","",Draft!$D$28)</f>
        <v>Donovan</v>
      </c>
      <c r="D26" s="5" t="str">
        <f>IF(Draft!$E$28="","",Draft!$E$28)</f>
        <v>Baby DK</v>
      </c>
      <c r="E26" s="5">
        <f>Settings!$B$2</f>
        <v>1</v>
      </c>
      <c r="F26" s="5" t="b">
        <f>AND(C26&lt;&gt;"",D26&lt;&gt;"")</f>
        <v>1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4" t="str">
        <f ca="1">Scorebook!$F$51</f>
        <v>G2</v>
      </c>
      <c r="T26" s="5" t="str">
        <f ca="1">Scorebook!$N$51</f>
        <v>Aidan</v>
      </c>
      <c r="U26" s="5" t="str">
        <f ca="1">Scorebook!$B$62</f>
        <v>Blue Kritter</v>
      </c>
      <c r="V26" s="4">
        <v>5</v>
      </c>
      <c r="W26" s="5">
        <f ca="1">Scorebook!M62</f>
        <v>1</v>
      </c>
      <c r="X26" s="5">
        <f ca="1">Scorebook!N62</f>
        <v>1</v>
      </c>
      <c r="Y26" s="5">
        <f ca="1">Scorebook!O62</f>
        <v>1</v>
      </c>
      <c r="Z26" s="5">
        <f ca="1">Scorebook!P62</f>
        <v>0</v>
      </c>
      <c r="AA26" s="5">
        <f ca="1">Scorebook!Q62</f>
        <v>1</v>
      </c>
      <c r="AB26" s="5">
        <f ca="1">Scorebook!R62</f>
        <v>0</v>
      </c>
      <c r="AC26" s="5">
        <f ca="1">Scorebook!S62</f>
        <v>0</v>
      </c>
      <c r="AD26" s="5">
        <f ca="1">Scorebook!T62</f>
        <v>0</v>
      </c>
      <c r="AE26" s="5">
        <f ca="1">Scorebook!U62</f>
        <v>0</v>
      </c>
      <c r="AF26" s="5">
        <f ca="1">Scorebook!V62</f>
        <v>0</v>
      </c>
      <c r="AG26" s="5">
        <f ca="1">Scorebook!W62</f>
        <v>0</v>
      </c>
      <c r="AH26" s="5">
        <f ca="1">Scorebook!X62</f>
        <v>0</v>
      </c>
      <c r="AI26" s="5">
        <f>Settings!$B$2</f>
        <v>1</v>
      </c>
      <c r="AJ26" s="18">
        <f ca="1">IF($AK26="","",Scorebook!$O$95)</f>
      </c>
      <c r="AK26" s="4" t="str">
        <f ca="1">Scorebook!$F$51</f>
        <v>G2</v>
      </c>
      <c r="AL26" s="5" t="str">
        <f ca="1">Scorebook!$R$51</f>
        <v>Justin</v>
      </c>
      <c r="AM26" s="5" t="str">
        <f>Scorebook!$B$95</f>
      </c>
      <c r="AN26" s="5">
        <f ca="1">IF(Scorebook!C95="","",INT(Scorebook!C95)+MOD(ROUND(Scorebook!C95*10,0),10)/3)</f>
      </c>
      <c r="AO26" s="5" cm="1">
        <f t="array" aca="1" ref="AO26" ca="1">IF($AK26="","",_xlfn.LET(_xlpm.auto,AND(MOD(ROW()-4,6)=0,$AM26&lt;&gt;0,SUMPRODUCT(--(OFFSET($AM26,1,0,5,1)&lt;&gt;0))=0),_xlpm.oppA,_xlfn.XLOOKUP($AK26,$H$4:$H$18,$J$4:$J$18,""),_xlpm.oppB,_xlfn.XLOOKUP($AK26,$H$4:$H$18,$K$4:$K$18,""),_xlpm.opp,IF($AL26=_xlpm.oppA,_xlpm.oppB,_xlpm.oppA),IF(_xlpm.auto,SUMIFS($Y$4:$Y$273,$S$4:$S$273,$AK26,$T$4:$T$273,_xlpm.opp),Scorebook!D95)))</f>
      </c>
      <c r="AP26" s="5" cm="1">
        <f t="array" aca="1" ref="AP26" ca="1">IF($AK26="","",_xlfn.LET(_xlpm.auto,AND(MOD(ROW()-4,6)=0,$AM26&lt;&gt;0,SUMPRODUCT(--(OFFSET($AM26,1,0,5,1)&lt;&gt;0))=0),_xlpm.oppA,_xlfn.XLOOKUP($AK26,$H$4:$H$18,$J$4:$J$18,""),_xlpm.oppRuns,IF($AL26=_xlpm.oppA,_xlfn.XLOOKUP($AK26,$H$4:$H$18,$O$4:$O$18,""),_xlfn.XLOOKUP($AK26,$H$4:$H$18,$N$4:$N$18,"")),IF(_xlpm.auto,_xlpm.oppRuns,Scorebook!E95)))</f>
      </c>
      <c r="AQ26" s="5">
        <f ca="1">Scorebook!F95</f>
      </c>
      <c r="AR26" s="5" cm="1">
        <f t="array" aca="1" ref="AR26" ca="1">IF($AK26="","",_xlfn.LET(_xlpm.auto,AND(MOD(ROW()-4,6)=0,$AM26&lt;&gt;0,SUMPRODUCT(--(OFFSET($AM26,1,0,5,1)&lt;&gt;0))=0),_xlpm.oppA,_xlfn.XLOOKUP($AK26,$H$4:$H$18,$J$4:$J$18,""),_xlpm.oppB,_xlfn.XLOOKUP($AK26,$H$4:$H$18,$K$4:$K$18,""),_xlpm.opp,IF($AL26=_xlpm.oppA,_xlpm.oppB,_xlpm.oppA),IF(_xlpm.auto,SUMIFS($AD$4:$AD$273,$S$4:$S$273,$AK26,$T$4:$T$273,_xlpm.opp),Scorebook!G95)))</f>
      </c>
      <c r="AS26" s="5" cm="1">
        <f t="array" aca="1" ref="AS26" ca="1">IF($AK26="","",_xlfn.LET(_xlpm.auto,AND(MOD(ROW()-4,6)=0,$AM26&lt;&gt;0,SUMPRODUCT(--(OFFSET($AM26,1,0,5,1)&lt;&gt;0))=0),_xlpm.oppA,_xlfn.XLOOKUP($AK26,$H$4:$H$18,$J$4:$J$18,""),_xlpm.oppB,_xlfn.XLOOKUP($AK26,$H$4:$H$18,$K$4:$K$18,""),_xlpm.opp,IF($AL26=_xlpm.oppA,_xlpm.oppB,_xlpm.oppA),IF(_xlpm.auto,SUMIFS($AE$4:$AE$273,$S$4:$S$273,$AK26,$T$4:$T$273,_xlpm.opp),Scorebook!H95)))</f>
      </c>
      <c r="AT26" s="5" cm="1">
        <f t="array" aca="1" ref="AT26" ca="1">IF($AK26="","",_xlfn.LET(_xlpm.auto,AND(MOD(ROW()-4,6)=0,$AM26&lt;&gt;0,SUMPRODUCT(--(OFFSET($AM26,1,0,5,1)&lt;&gt;0))=0),_xlpm.oppA,_xlfn.XLOOKUP($AK26,$H$4:$H$18,$J$4:$J$18,""),_xlpm.oppB,_xlfn.XLOOKUP($AK26,$H$4:$H$18,$K$4:$K$18,""),_xlpm.opp,IF($AL26=_xlpm.oppA,_xlpm.oppB,_xlpm.oppA),IF(_xlpm.auto,SUMIFS($AB$4:$AB$273,$S$4:$S$273,$AK26,$T$4:$T$273,_xlpm.opp),Scorebook!I95)))</f>
      </c>
      <c r="AU26" s="5" cm="1">
        <f t="array" aca="1" ref="AU26" ca="1">IF($AK26="","",_xlfn.LET(_xlpm.auto,AND(MOD(ROW()-4,6)=0,$AM26&lt;&gt;0,SUMPRODUCT(--(OFFSET($AM26,1,0,5,1)&lt;&gt;0))=0),_xlpm.winner,_xlfn.XLOOKUP($AK26,$H$4:$H$18,$L$4:$L$18,""),IF(_xlpm.auto,--($AL26=_xlpm.winner),Scorebook!J95)))</f>
      </c>
      <c r="AV26" s="5" cm="1">
        <f t="array" aca="1" ref="AV26" ca="1">IF($AK26="","",_xlfn.LET(_xlpm.auto,AND(MOD(ROW()-4,6)=0,$AM26&lt;&gt;0,SUMPRODUCT(--(OFFSET($AM26,1,0,5,1)&lt;&gt;0))=0),_xlpm.loser,_xlfn.XLOOKUP($AK26,$H$4:$H$18,$M$4:$M$18,""),IF(_xlpm.auto,--($AL26=_xlpm.loser),Scorebook!K95)))</f>
      </c>
      <c r="AW26" s="5">
        <f ca="1">Scorebook!L95</f>
      </c>
      <c r="AX26" s="5" cm="1">
        <f t="array" aca="1" ref="AX26" ca="1">IF($AK26="","",_xlfn.LET(_xlpm.auto,AND(MOD(ROW()-4,6)=0,$AM26&lt;&gt;0,SUMPRODUCT(--(OFFSET($AM26,1,0,5,1)&lt;&gt;0))=0),_xlpm.oppA,_xlfn.XLOOKUP($AK26,$H$4:$H$18,$J$4:$J$18,""),_xlpm.oppRuns,IF($AL26=_xlpm.oppA,_xlfn.XLOOKUP($AK26,$H$4:$H$18,$O$4:$O$18,""),_xlfn.XLOOKUP($AK26,$H$4:$H$18,$N$4:$N$18,"")),IF(_xlpm.auto,--(_xlpm.oppRuns=0),Scorebook!M95)))</f>
      </c>
      <c r="AY26" s="5" cm="1">
        <f t="array" aca="1" ref="AY26" ca="1">IF($AK26="","",_xlfn.LET(_xlpm.auto,AND(MOD(ROW()-4,6)=0,$AM26&lt;&gt;0,SUMPRODUCT(--(OFFSET($AM26,1,0,5,1)&lt;&gt;0))=0),IF(_xlpm.auto,1,Scorebook!N95)))</f>
      </c>
      <c r="AZ26" s="10"/>
      <c r="BA26" s="10"/>
      <c r="BB26" s="5">
        <f>Settings!$B$2</f>
        <v>1</v>
      </c>
      <c r="BC26" s="5">
        <f>Betting!A28</f>
        <v>0</v>
      </c>
      <c r="BD26" s="5">
        <f>Betting!B28</f>
        <v>0</v>
      </c>
      <c r="BE26" s="5">
        <f>Betting!C28</f>
        <v>0</v>
      </c>
      <c r="BF26" s="5">
        <f>Betting!D28</f>
        <v>0</v>
      </c>
      <c r="BG26" s="5">
        <f>Betting!E28</f>
        <v>0</v>
      </c>
      <c r="BH26" s="5">
        <f>Betting!F28</f>
        <v>0</v>
      </c>
      <c r="BI26" s="4">
        <f>Betting!G28</f>
        <v>0</v>
      </c>
      <c r="BJ26" s="4">
        <f>Betting!H28</f>
        <v>0</v>
      </c>
    </row>
    <row r="27" spans="1:62">
      <c r="A27" s="4">
        <f>ROW()-3</f>
        <v>24</v>
      </c>
      <c r="B27" s="4">
        <f>IF(A27="","",ROUNDUP(A27/Settings!$B$3,0))</f>
        <v>4</v>
      </c>
      <c r="C27" s="5" t="str">
        <f>IF(Draft!$A$29="","",Draft!$D$29)</f>
        <v>Justin</v>
      </c>
      <c r="D27" s="5" t="str">
        <f>IF(Draft!$E$29="","",Draft!$E$29)</f>
        <v>Yellow Magikoopa</v>
      </c>
      <c r="E27" s="5">
        <f>Settings!$B$2</f>
        <v>1</v>
      </c>
      <c r="F27" s="5" t="b">
        <f>AND(C27&lt;&gt;"",D27&lt;&gt;"")</f>
        <v>1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4" t="str">
        <f ca="1">Scorebook!$F$51</f>
        <v>G2</v>
      </c>
      <c r="T27" s="5" t="str">
        <f ca="1">Scorebook!$N$51</f>
        <v>Aidan</v>
      </c>
      <c r="U27" s="5" t="str">
        <f ca="1">Scorebook!$B$63</f>
        <v>Luigi</v>
      </c>
      <c r="V27" s="4">
        <v>6</v>
      </c>
      <c r="W27" s="5">
        <f ca="1">Scorebook!M63</f>
        <v>1</v>
      </c>
      <c r="X27" s="5">
        <f ca="1">Scorebook!N63</f>
        <v>1</v>
      </c>
      <c r="Y27" s="5">
        <f ca="1">Scorebook!O63</f>
        <v>1</v>
      </c>
      <c r="Z27" s="5">
        <f ca="1">Scorebook!P63</f>
        <v>0</v>
      </c>
      <c r="AA27" s="5">
        <f ca="1">Scorebook!Q63</f>
        <v>0</v>
      </c>
      <c r="AB27" s="5">
        <f ca="1">Scorebook!R63</f>
        <v>0</v>
      </c>
      <c r="AC27" s="5">
        <f ca="1">Scorebook!S63</f>
        <v>1</v>
      </c>
      <c r="AD27" s="5">
        <f ca="1">Scorebook!T63</f>
        <v>0</v>
      </c>
      <c r="AE27" s="5">
        <f ca="1">Scorebook!U63</f>
        <v>0</v>
      </c>
      <c r="AF27" s="5">
        <f ca="1">Scorebook!V63</f>
        <v>0</v>
      </c>
      <c r="AG27" s="5">
        <f ca="1">Scorebook!W63</f>
        <v>0</v>
      </c>
      <c r="AH27" s="5">
        <f ca="1">Scorebook!X63</f>
        <v>0</v>
      </c>
      <c r="AI27" s="5">
        <f>Settings!$B$2</f>
        <v>1</v>
      </c>
      <c r="AJ27" s="18">
        <f ca="1">IF($AK27="","",Scorebook!$O$96)</f>
      </c>
      <c r="AK27" s="4" t="str">
        <f ca="1">Scorebook!$F$51</f>
        <v>G2</v>
      </c>
      <c r="AL27" s="5" t="str">
        <f ca="1">Scorebook!$R$51</f>
        <v>Justin</v>
      </c>
      <c r="AM27" s="5" t="str">
        <f>Scorebook!$B$96</f>
      </c>
      <c r="AN27" s="5">
        <f ca="1">IF(Scorebook!C96="","",INT(Scorebook!C96)+MOD(ROUND(Scorebook!C96*10,0),10)/3)</f>
      </c>
      <c r="AO27" s="5" cm="1">
        <f t="array" aca="1" ref="AO27" ca="1">IF($AK27="","",_xlfn.LET(_xlpm.auto,AND(MOD(ROW()-4,6)=0,$AM27&lt;&gt;0,SUMPRODUCT(--(OFFSET($AM27,1,0,5,1)&lt;&gt;0))=0),_xlpm.oppA,_xlfn.XLOOKUP($AK27,$H$4:$H$18,$J$4:$J$18,""),_xlpm.oppB,_xlfn.XLOOKUP($AK27,$H$4:$H$18,$K$4:$K$18,""),_xlpm.opp,IF($AL27=_xlpm.oppA,_xlpm.oppB,_xlpm.oppA),IF(_xlpm.auto,SUMIFS($Y$4:$Y$273,$S$4:$S$273,$AK27,$T$4:$T$273,_xlpm.opp),Scorebook!D96)))</f>
      </c>
      <c r="AP27" s="5" cm="1">
        <f t="array" aca="1" ref="AP27" ca="1">IF($AK27="","",_xlfn.LET(_xlpm.auto,AND(MOD(ROW()-4,6)=0,$AM27&lt;&gt;0,SUMPRODUCT(--(OFFSET($AM27,1,0,5,1)&lt;&gt;0))=0),_xlpm.oppA,_xlfn.XLOOKUP($AK27,$H$4:$H$18,$J$4:$J$18,""),_xlpm.oppRuns,IF($AL27=_xlpm.oppA,_xlfn.XLOOKUP($AK27,$H$4:$H$18,$O$4:$O$18,""),_xlfn.XLOOKUP($AK27,$H$4:$H$18,$N$4:$N$18,"")),IF(_xlpm.auto,_xlpm.oppRuns,Scorebook!E96)))</f>
      </c>
      <c r="AQ27" s="5">
        <f ca="1">Scorebook!F96</f>
      </c>
      <c r="AR27" s="5" cm="1">
        <f t="array" aca="1" ref="AR27" ca="1">IF($AK27="","",_xlfn.LET(_xlpm.auto,AND(MOD(ROW()-4,6)=0,$AM27&lt;&gt;0,SUMPRODUCT(--(OFFSET($AM27,1,0,5,1)&lt;&gt;0))=0),_xlpm.oppA,_xlfn.XLOOKUP($AK27,$H$4:$H$18,$J$4:$J$18,""),_xlpm.oppB,_xlfn.XLOOKUP($AK27,$H$4:$H$18,$K$4:$K$18,""),_xlpm.opp,IF($AL27=_xlpm.oppA,_xlpm.oppB,_xlpm.oppA),IF(_xlpm.auto,SUMIFS($AD$4:$AD$273,$S$4:$S$273,$AK27,$T$4:$T$273,_xlpm.opp),Scorebook!G96)))</f>
      </c>
      <c r="AS27" s="5" cm="1">
        <f t="array" aca="1" ref="AS27" ca="1">IF($AK27="","",_xlfn.LET(_xlpm.auto,AND(MOD(ROW()-4,6)=0,$AM27&lt;&gt;0,SUMPRODUCT(--(OFFSET($AM27,1,0,5,1)&lt;&gt;0))=0),_xlpm.oppA,_xlfn.XLOOKUP($AK27,$H$4:$H$18,$J$4:$J$18,""),_xlpm.oppB,_xlfn.XLOOKUP($AK27,$H$4:$H$18,$K$4:$K$18,""),_xlpm.opp,IF($AL27=_xlpm.oppA,_xlpm.oppB,_xlpm.oppA),IF(_xlpm.auto,SUMIFS($AE$4:$AE$273,$S$4:$S$273,$AK27,$T$4:$T$273,_xlpm.opp),Scorebook!H96)))</f>
      </c>
      <c r="AT27" s="5" cm="1">
        <f t="array" aca="1" ref="AT27" ca="1">IF($AK27="","",_xlfn.LET(_xlpm.auto,AND(MOD(ROW()-4,6)=0,$AM27&lt;&gt;0,SUMPRODUCT(--(OFFSET($AM27,1,0,5,1)&lt;&gt;0))=0),_xlpm.oppA,_xlfn.XLOOKUP($AK27,$H$4:$H$18,$J$4:$J$18,""),_xlpm.oppB,_xlfn.XLOOKUP($AK27,$H$4:$H$18,$K$4:$K$18,""),_xlpm.opp,IF($AL27=_xlpm.oppA,_xlpm.oppB,_xlpm.oppA),IF(_xlpm.auto,SUMIFS($AB$4:$AB$273,$S$4:$S$273,$AK27,$T$4:$T$273,_xlpm.opp),Scorebook!I96)))</f>
      </c>
      <c r="AU27" s="5" cm="1">
        <f t="array" aca="1" ref="AU27" ca="1">IF($AK27="","",_xlfn.LET(_xlpm.auto,AND(MOD(ROW()-4,6)=0,$AM27&lt;&gt;0,SUMPRODUCT(--(OFFSET($AM27,1,0,5,1)&lt;&gt;0))=0),_xlpm.winner,_xlfn.XLOOKUP($AK27,$H$4:$H$18,$L$4:$L$18,""),IF(_xlpm.auto,--($AL27=_xlpm.winner),Scorebook!J96)))</f>
      </c>
      <c r="AV27" s="5" cm="1">
        <f t="array" aca="1" ref="AV27" ca="1">IF($AK27="","",_xlfn.LET(_xlpm.auto,AND(MOD(ROW()-4,6)=0,$AM27&lt;&gt;0,SUMPRODUCT(--(OFFSET($AM27,1,0,5,1)&lt;&gt;0))=0),_xlpm.loser,_xlfn.XLOOKUP($AK27,$H$4:$H$18,$M$4:$M$18,""),IF(_xlpm.auto,--($AL27=_xlpm.loser),Scorebook!K96)))</f>
      </c>
      <c r="AW27" s="5">
        <f ca="1">Scorebook!L96</f>
      </c>
      <c r="AX27" s="5" cm="1">
        <f t="array" aca="1" ref="AX27" ca="1">IF($AK27="","",_xlfn.LET(_xlpm.auto,AND(MOD(ROW()-4,6)=0,$AM27&lt;&gt;0,SUMPRODUCT(--(OFFSET($AM27,1,0,5,1)&lt;&gt;0))=0),_xlpm.oppA,_xlfn.XLOOKUP($AK27,$H$4:$H$18,$J$4:$J$18,""),_xlpm.oppRuns,IF($AL27=_xlpm.oppA,_xlfn.XLOOKUP($AK27,$H$4:$H$18,$O$4:$O$18,""),_xlfn.XLOOKUP($AK27,$H$4:$H$18,$N$4:$N$18,"")),IF(_xlpm.auto,--(_xlpm.oppRuns=0),Scorebook!M96)))</f>
      </c>
      <c r="AY27" s="5" cm="1">
        <f t="array" aca="1" ref="AY27" ca="1">IF($AK27="","",_xlfn.LET(_xlpm.auto,AND(MOD(ROW()-4,6)=0,$AM27&lt;&gt;0,SUMPRODUCT(--(OFFSET($AM27,1,0,5,1)&lt;&gt;0))=0),IF(_xlpm.auto,1,Scorebook!N96)))</f>
      </c>
      <c r="AZ27" s="10"/>
      <c r="BA27" s="10"/>
      <c r="BB27" s="5">
        <f>Settings!$B$2</f>
        <v>1</v>
      </c>
      <c r="BC27" s="5">
        <f>Betting!A29</f>
        <v>0</v>
      </c>
      <c r="BD27" s="5">
        <f>Betting!B29</f>
        <v>0</v>
      </c>
      <c r="BE27" s="5">
        <f>Betting!C29</f>
        <v>0</v>
      </c>
      <c r="BF27" s="5">
        <f>Betting!D29</f>
        <v>0</v>
      </c>
      <c r="BG27" s="5">
        <f>Betting!E29</f>
        <v>0</v>
      </c>
      <c r="BH27" s="5">
        <f>Betting!F29</f>
        <v>0</v>
      </c>
      <c r="BI27" s="4">
        <f>Betting!G29</f>
        <v>0</v>
      </c>
      <c r="BJ27" s="4">
        <f>Betting!H29</f>
        <v>0</v>
      </c>
    </row>
    <row r="28" spans="1:62">
      <c r="A28" s="4">
        <f>ROW()-3</f>
        <v>25</v>
      </c>
      <c r="B28" s="4">
        <f>IF(A28="","",ROUNDUP(A28/Settings!$B$3,0))</f>
        <v>5</v>
      </c>
      <c r="C28" s="5" t="str">
        <f>IF(Draft!$A$30="","",Draft!$D$30)</f>
        <v>Justin</v>
      </c>
      <c r="D28" s="5" t="str">
        <f>IF(Draft!$E$30="","",Draft!$E$30)</f>
        <v>Blue Yoshi</v>
      </c>
      <c r="E28" s="5">
        <f>Settings!$B$2</f>
        <v>1</v>
      </c>
      <c r="F28" s="5" t="b">
        <f>AND(C28&lt;&gt;"",D28&lt;&gt;"")</f>
        <v>1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4" t="str">
        <f ca="1">Scorebook!$F$51</f>
        <v>G2</v>
      </c>
      <c r="T28" s="5" t="str">
        <f ca="1">Scorebook!$N$51</f>
        <v>Aidan</v>
      </c>
      <c r="U28" s="5" t="str">
        <f ca="1">Scorebook!$B$64</f>
        <v>Blue Dry Bones</v>
      </c>
      <c r="V28" s="4">
        <v>7</v>
      </c>
      <c r="W28" s="5">
        <f ca="1">Scorebook!M64</f>
        <v>1</v>
      </c>
      <c r="X28" s="5">
        <f ca="1">Scorebook!N64</f>
        <v>1</v>
      </c>
      <c r="Y28" s="5">
        <f ca="1">Scorebook!O64</f>
        <v>1</v>
      </c>
      <c r="Z28" s="5">
        <f ca="1">Scorebook!P64</f>
        <v>0</v>
      </c>
      <c r="AA28" s="5">
        <f ca="1">Scorebook!Q64</f>
        <v>0</v>
      </c>
      <c r="AB28" s="5">
        <f ca="1">Scorebook!R64</f>
        <v>1</v>
      </c>
      <c r="AC28" s="5">
        <f ca="1">Scorebook!S64</f>
        <v>2</v>
      </c>
      <c r="AD28" s="5">
        <f ca="1">Scorebook!T64</f>
        <v>0</v>
      </c>
      <c r="AE28" s="5">
        <f ca="1">Scorebook!U64</f>
        <v>0</v>
      </c>
      <c r="AF28" s="5">
        <f ca="1">Scorebook!V64</f>
        <v>0</v>
      </c>
      <c r="AG28" s="5">
        <f ca="1">Scorebook!W64</f>
        <v>0</v>
      </c>
      <c r="AH28" s="5">
        <f ca="1">Scorebook!X64</f>
        <v>0</v>
      </c>
      <c r="AI28" s="5">
        <f>Settings!$B$2</f>
        <v>1</v>
      </c>
      <c r="AJ28" s="18">
        <f ca="1">IF($AK28="","",Scorebook!$O$119)</f>
        <v>5</v>
      </c>
      <c r="AK28" s="4" t="str">
        <f ca="1">Scorebook!$F$100</f>
        <v>G3</v>
      </c>
      <c r="AL28" s="5" t="str">
        <f ca="1">Scorebook!$N$100</f>
        <v>May</v>
      </c>
      <c r="AM28" s="5" t="str">
        <f>Scorebook!$B$119</f>
        <v>King Boo</v>
      </c>
      <c r="AN28" s="5">
        <f ca="1">IF(Scorebook!C119="","",INT(Scorebook!C119)+MOD(ROUND(Scorebook!C119*10,0),10)/3)</f>
        <v>1.0</v>
      </c>
      <c r="AO28" s="5" cm="1">
        <f t="array" aca="1" ref="AO28" ca="1">IF($AK28="","",_xlfn.LET(_xlpm.auto,AND(MOD(ROW()-4,6)=0,$AM28&lt;&gt;0,SUMPRODUCT(--(OFFSET($AM28,1,0,5,1)&lt;&gt;0))=0),_xlpm.oppA,_xlfn.XLOOKUP($AK28,$H$4:$H$18,$J$4:$J$18,""),_xlpm.oppB,_xlfn.XLOOKUP($AK28,$H$4:$H$18,$K$4:$K$18,""),_xlpm.opp,IF($AL28=_xlpm.oppA,_xlpm.oppB,_xlpm.oppA),IF(_xlpm.auto,SUMIFS($Y$4:$Y$273,$S$4:$S$273,$AK28,$T$4:$T$273,_xlpm.opp),Scorebook!D119)))</f>
        <v>2</v>
      </c>
      <c r="AP28" s="5" cm="1">
        <f t="array" aca="1" ref="AP28" ca="1">IF($AK28="","",_xlfn.LET(_xlpm.auto,AND(MOD(ROW()-4,6)=0,$AM28&lt;&gt;0,SUMPRODUCT(--(OFFSET($AM28,1,0,5,1)&lt;&gt;0))=0),_xlpm.oppA,_xlfn.XLOOKUP($AK28,$H$4:$H$18,$J$4:$J$18,""),_xlpm.oppRuns,IF($AL28=_xlpm.oppA,_xlfn.XLOOKUP($AK28,$H$4:$H$18,$O$4:$O$18,""),_xlfn.XLOOKUP($AK28,$H$4:$H$18,$N$4:$N$18,"")),IF(_xlpm.auto,_xlpm.oppRuns,Scorebook!E119)))</f>
        <v>1</v>
      </c>
      <c r="AQ28" s="5">
        <f ca="1">Scorebook!F119</f>
        <v>1</v>
      </c>
      <c r="AR28" s="5" cm="1">
        <f t="array" aca="1" ref="AR28" ca="1">IF($AK28="","",_xlfn.LET(_xlpm.auto,AND(MOD(ROW()-4,6)=0,$AM28&lt;&gt;0,SUMPRODUCT(--(OFFSET($AM28,1,0,5,1)&lt;&gt;0))=0),_xlpm.oppA,_xlfn.XLOOKUP($AK28,$H$4:$H$18,$J$4:$J$18,""),_xlpm.oppB,_xlfn.XLOOKUP($AK28,$H$4:$H$18,$K$4:$K$18,""),_xlpm.opp,IF($AL28=_xlpm.oppA,_xlpm.oppB,_xlpm.oppA),IF(_xlpm.auto,SUMIFS($AD$4:$AD$273,$S$4:$S$273,$AK28,$T$4:$T$273,_xlpm.opp),Scorebook!G119)))</f>
        <v>0</v>
      </c>
      <c r="AS28" s="5" cm="1">
        <f t="array" aca="1" ref="AS28" ca="1">IF($AK28="","",_xlfn.LET(_xlpm.auto,AND(MOD(ROW()-4,6)=0,$AM28&lt;&gt;0,SUMPRODUCT(--(OFFSET($AM28,1,0,5,1)&lt;&gt;0))=0),_xlpm.oppA,_xlfn.XLOOKUP($AK28,$H$4:$H$18,$J$4:$J$18,""),_xlpm.oppB,_xlfn.XLOOKUP($AK28,$H$4:$H$18,$K$4:$K$18,""),_xlpm.opp,IF($AL28=_xlpm.oppA,_xlpm.oppB,_xlpm.oppA),IF(_xlpm.auto,SUMIFS($AE$4:$AE$273,$S$4:$S$273,$AK28,$T$4:$T$273,_xlpm.opp),Scorebook!H119)))</f>
        <v>1</v>
      </c>
      <c r="AT28" s="5" cm="1">
        <f t="array" aca="1" ref="AT28" ca="1">IF($AK28="","",_xlfn.LET(_xlpm.auto,AND(MOD(ROW()-4,6)=0,$AM28&lt;&gt;0,SUMPRODUCT(--(OFFSET($AM28,1,0,5,1)&lt;&gt;0))=0),_xlpm.oppA,_xlfn.XLOOKUP($AK28,$H$4:$H$18,$J$4:$J$18,""),_xlpm.oppB,_xlfn.XLOOKUP($AK28,$H$4:$H$18,$K$4:$K$18,""),_xlpm.opp,IF($AL28=_xlpm.oppA,_xlpm.oppB,_xlpm.oppA),IF(_xlpm.auto,SUMIFS($AB$4:$AB$273,$S$4:$S$273,$AK28,$T$4:$T$273,_xlpm.opp),Scorebook!I119)))</f>
        <v>1</v>
      </c>
      <c r="AU28" s="5" cm="1">
        <f t="array" aca="1" ref="AU28" ca="1">IF($AK28="","",_xlfn.LET(_xlpm.auto,AND(MOD(ROW()-4,6)=0,$AM28&lt;&gt;0,SUMPRODUCT(--(OFFSET($AM28,1,0,5,1)&lt;&gt;0))=0),_xlpm.winner,_xlfn.XLOOKUP($AK28,$H$4:$H$18,$L$4:$L$18,""),IF(_xlpm.auto,--($AL28=_xlpm.winner),Scorebook!J119)))</f>
        <v>0</v>
      </c>
      <c r="AV28" s="5" cm="1">
        <f t="array" aca="1" ref="AV28" ca="1">IF($AK28="","",_xlfn.LET(_xlpm.auto,AND(MOD(ROW()-4,6)=0,$AM28&lt;&gt;0,SUMPRODUCT(--(OFFSET($AM28,1,0,5,1)&lt;&gt;0))=0),_xlpm.loser,_xlfn.XLOOKUP($AK28,$H$4:$H$18,$M$4:$M$18,""),IF(_xlpm.auto,--($AL28=_xlpm.loser),Scorebook!K119)))</f>
        <v>1</v>
      </c>
      <c r="AW28" s="5">
        <f ca="1">Scorebook!L119</f>
        <v>0</v>
      </c>
      <c r="AX28" s="5" cm="1">
        <f t="array" aca="1" ref="AX28" ca="1">IF($AK28="","",_xlfn.LET(_xlpm.auto,AND(MOD(ROW()-4,6)=0,$AM28&lt;&gt;0,SUMPRODUCT(--(OFFSET($AM28,1,0,5,1)&lt;&gt;0))=0),_xlpm.oppA,_xlfn.XLOOKUP($AK28,$H$4:$H$18,$J$4:$J$18,""),_xlpm.oppRuns,IF($AL28=_xlpm.oppA,_xlfn.XLOOKUP($AK28,$H$4:$H$18,$O$4:$O$18,""),_xlfn.XLOOKUP($AK28,$H$4:$H$18,$N$4:$N$18,"")),IF(_xlpm.auto,--(_xlpm.oppRuns=0),Scorebook!M119)))</f>
        <v>0</v>
      </c>
      <c r="AY28" s="5" cm="1">
        <f t="array" aca="1" ref="AY28" ca="1">IF($AK28="","",_xlfn.LET(_xlpm.auto,AND(MOD(ROW()-4,6)=0,$AM28&lt;&gt;0,SUMPRODUCT(--(OFFSET($AM28,1,0,5,1)&lt;&gt;0))=0),IF(_xlpm.auto,1,Scorebook!N119)))</f>
        <v>0</v>
      </c>
      <c r="AZ28" s="10"/>
      <c r="BA28" s="10"/>
      <c r="BB28" s="5">
        <f>Settings!$B$2</f>
        <v>1</v>
      </c>
      <c r="BC28" s="5">
        <f>Betting!A30</f>
        <v>0</v>
      </c>
      <c r="BD28" s="5">
        <f>Betting!B30</f>
        <v>0</v>
      </c>
      <c r="BE28" s="5">
        <f>Betting!C30</f>
        <v>0</v>
      </c>
      <c r="BF28" s="5">
        <f>Betting!D30</f>
        <v>0</v>
      </c>
      <c r="BG28" s="5">
        <f>Betting!E30</f>
        <v>0</v>
      </c>
      <c r="BH28" s="5">
        <f>Betting!F30</f>
        <v>0</v>
      </c>
      <c r="BI28" s="4">
        <f>Betting!G30</f>
        <v>0</v>
      </c>
      <c r="BJ28" s="4">
        <f>Betting!H30</f>
        <v>0</v>
      </c>
    </row>
    <row r="29" spans="1:62">
      <c r="A29" s="4">
        <f>ROW()-3</f>
        <v>26</v>
      </c>
      <c r="B29" s="4">
        <f>IF(A29="","",ROUNDUP(A29/Settings!$B$3,0))</f>
        <v>5</v>
      </c>
      <c r="C29" s="5" t="str">
        <f>IF(Draft!$A$31="","",Draft!$D$31)</f>
        <v>Donovan</v>
      </c>
      <c r="D29" s="5" t="str">
        <f>IF(Draft!$E$31="","",Draft!$E$31)</f>
        <v>Dixie Kong</v>
      </c>
      <c r="E29" s="5">
        <f>Settings!$B$2</f>
        <v>1</v>
      </c>
      <c r="F29" s="5" t="b">
        <f>AND(C29&lt;&gt;"",D29&lt;&gt;"")</f>
        <v>1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4" t="str">
        <f ca="1">Scorebook!$F$51</f>
        <v>G2</v>
      </c>
      <c r="T29" s="5" t="str">
        <f ca="1">Scorebook!$N$51</f>
        <v>Aidan</v>
      </c>
      <c r="U29" s="5" t="str">
        <f ca="1">Scorebook!$B$65</f>
        <v>Red Magikoopa</v>
      </c>
      <c r="V29" s="4">
        <v>8</v>
      </c>
      <c r="W29" s="5">
        <f ca="1">Scorebook!M65</f>
        <v>1</v>
      </c>
      <c r="X29" s="5">
        <f ca="1">Scorebook!N65</f>
        <v>0</v>
      </c>
      <c r="Y29" s="5">
        <f ca="1">Scorebook!O65</f>
        <v>1</v>
      </c>
      <c r="Z29" s="5">
        <f ca="1">Scorebook!P65</f>
        <v>0</v>
      </c>
      <c r="AA29" s="5">
        <f ca="1">Scorebook!Q65</f>
        <v>0</v>
      </c>
      <c r="AB29" s="5">
        <f ca="1">Scorebook!R65</f>
        <v>0</v>
      </c>
      <c r="AC29" s="5">
        <f ca="1">Scorebook!S65</f>
        <v>0</v>
      </c>
      <c r="AD29" s="5">
        <f ca="1">Scorebook!T65</f>
        <v>0</v>
      </c>
      <c r="AE29" s="5">
        <f ca="1">Scorebook!U65</f>
        <v>0</v>
      </c>
      <c r="AF29" s="5">
        <f ca="1">Scorebook!V65</f>
        <v>0</v>
      </c>
      <c r="AG29" s="5">
        <f ca="1">Scorebook!W65</f>
        <v>0</v>
      </c>
      <c r="AH29" s="5">
        <f ca="1">Scorebook!X65</f>
        <v>0</v>
      </c>
      <c r="AI29" s="5">
        <f>Settings!$B$2</f>
        <v>1</v>
      </c>
      <c r="AJ29" s="18">
        <f ca="1">IF($AK29="","",Scorebook!$O$120)</f>
        <v>13</v>
      </c>
      <c r="AK29" s="4" t="str">
        <f ca="1">Scorebook!$F$100</f>
        <v>G3</v>
      </c>
      <c r="AL29" s="5" t="str">
        <f ca="1">Scorebook!$N$100</f>
        <v>May</v>
      </c>
      <c r="AM29" s="5" t="str">
        <f>Scorebook!$B$120</f>
        <v>Baby Peach</v>
      </c>
      <c r="AN29" s="5">
        <f ca="1">IF(Scorebook!C120="","",INT(Scorebook!C120)+MOD(ROUND(Scorebook!C120*10,0),10)/3)</f>
        <v>3.0</v>
      </c>
      <c r="AO29" s="5" cm="1">
        <f t="array" aca="1" ref="AO29" ca="1">IF($AK29="","",_xlfn.LET(_xlpm.auto,AND(MOD(ROW()-4,6)=0,$AM29&lt;&gt;0,SUMPRODUCT(--(OFFSET($AM29,1,0,5,1)&lt;&gt;0))=0),_xlpm.oppA,_xlfn.XLOOKUP($AK29,$H$4:$H$18,$J$4:$J$18,""),_xlpm.oppB,_xlfn.XLOOKUP($AK29,$H$4:$H$18,$K$4:$K$18,""),_xlpm.opp,IF($AL29=_xlpm.oppA,_xlpm.oppB,_xlpm.oppA),IF(_xlpm.auto,SUMIFS($Y$4:$Y$273,$S$4:$S$273,$AK29,$T$4:$T$273,_xlpm.opp),Scorebook!D120)))</f>
        <v>3</v>
      </c>
      <c r="AP29" s="5" cm="1">
        <f t="array" aca="1" ref="AP29" ca="1">IF($AK29="","",_xlfn.LET(_xlpm.auto,AND(MOD(ROW()-4,6)=0,$AM29&lt;&gt;0,SUMPRODUCT(--(OFFSET($AM29,1,0,5,1)&lt;&gt;0))=0),_xlpm.oppA,_xlfn.XLOOKUP($AK29,$H$4:$H$18,$J$4:$J$18,""),_xlpm.oppRuns,IF($AL29=_xlpm.oppA,_xlfn.XLOOKUP($AK29,$H$4:$H$18,$O$4:$O$18,""),_xlfn.XLOOKUP($AK29,$H$4:$H$18,$N$4:$N$18,"")),IF(_xlpm.auto,_xlpm.oppRuns,Scorebook!E120)))</f>
        <v>1</v>
      </c>
      <c r="AQ29" s="5">
        <f ca="1">Scorebook!F120</f>
        <v>1</v>
      </c>
      <c r="AR29" s="5" cm="1">
        <f t="array" aca="1" ref="AR29" ca="1">IF($AK29="","",_xlfn.LET(_xlpm.auto,AND(MOD(ROW()-4,6)=0,$AM29&lt;&gt;0,SUMPRODUCT(--(OFFSET($AM29,1,0,5,1)&lt;&gt;0))=0),_xlpm.oppA,_xlfn.XLOOKUP($AK29,$H$4:$H$18,$J$4:$J$18,""),_xlpm.oppB,_xlfn.XLOOKUP($AK29,$H$4:$H$18,$K$4:$K$18,""),_xlpm.opp,IF($AL29=_xlpm.oppA,_xlpm.oppB,_xlpm.oppA),IF(_xlpm.auto,SUMIFS($AD$4:$AD$273,$S$4:$S$273,$AK29,$T$4:$T$273,_xlpm.opp),Scorebook!G120)))</f>
        <v>0</v>
      </c>
      <c r="AS29" s="5" cm="1">
        <f t="array" aca="1" ref="AS29" ca="1">IF($AK29="","",_xlfn.LET(_xlpm.auto,AND(MOD(ROW()-4,6)=0,$AM29&lt;&gt;0,SUMPRODUCT(--(OFFSET($AM29,1,0,5,1)&lt;&gt;0))=0),_xlpm.oppA,_xlfn.XLOOKUP($AK29,$H$4:$H$18,$J$4:$J$18,""),_xlpm.oppB,_xlfn.XLOOKUP($AK29,$H$4:$H$18,$K$4:$K$18,""),_xlpm.opp,IF($AL29=_xlpm.oppA,_xlpm.oppB,_xlpm.oppA),IF(_xlpm.auto,SUMIFS($AE$4:$AE$273,$S$4:$S$273,$AK29,$T$4:$T$273,_xlpm.opp),Scorebook!H120)))</f>
        <v>1</v>
      </c>
      <c r="AT29" s="5" cm="1">
        <f t="array" aca="1" ref="AT29" ca="1">IF($AK29="","",_xlfn.LET(_xlpm.auto,AND(MOD(ROW()-4,6)=0,$AM29&lt;&gt;0,SUMPRODUCT(--(OFFSET($AM29,1,0,5,1)&lt;&gt;0))=0),_xlpm.oppA,_xlfn.XLOOKUP($AK29,$H$4:$H$18,$J$4:$J$18,""),_xlpm.oppB,_xlfn.XLOOKUP($AK29,$H$4:$H$18,$K$4:$K$18,""),_xlpm.opp,IF($AL29=_xlpm.oppA,_xlpm.oppB,_xlpm.oppA),IF(_xlpm.auto,SUMIFS($AB$4:$AB$273,$S$4:$S$273,$AK29,$T$4:$T$273,_xlpm.opp),Scorebook!I120)))</f>
        <v>0</v>
      </c>
      <c r="AU29" s="5" cm="1">
        <f t="array" aca="1" ref="AU29" ca="1">IF($AK29="","",_xlfn.LET(_xlpm.auto,AND(MOD(ROW()-4,6)=0,$AM29&lt;&gt;0,SUMPRODUCT(--(OFFSET($AM29,1,0,5,1)&lt;&gt;0))=0),_xlpm.winner,_xlfn.XLOOKUP($AK29,$H$4:$H$18,$L$4:$L$18,""),IF(_xlpm.auto,--($AL29=_xlpm.winner),Scorebook!J120)))</f>
        <v>0</v>
      </c>
      <c r="AV29" s="5" cm="1">
        <f t="array" aca="1" ref="AV29" ca="1">IF($AK29="","",_xlfn.LET(_xlpm.auto,AND(MOD(ROW()-4,6)=0,$AM29&lt;&gt;0,SUMPRODUCT(--(OFFSET($AM29,1,0,5,1)&lt;&gt;0))=0),_xlpm.loser,_xlfn.XLOOKUP($AK29,$H$4:$H$18,$M$4:$M$18,""),IF(_xlpm.auto,--($AL29=_xlpm.loser),Scorebook!K120)))</f>
        <v>0</v>
      </c>
      <c r="AW29" s="5">
        <f ca="1">Scorebook!L120</f>
        <v>0</v>
      </c>
      <c r="AX29" s="5" cm="1">
        <f t="array" aca="1" ref="AX29" ca="1">IF($AK29="","",_xlfn.LET(_xlpm.auto,AND(MOD(ROW()-4,6)=0,$AM29&lt;&gt;0,SUMPRODUCT(--(OFFSET($AM29,1,0,5,1)&lt;&gt;0))=0),_xlpm.oppA,_xlfn.XLOOKUP($AK29,$H$4:$H$18,$J$4:$J$18,""),_xlpm.oppRuns,IF($AL29=_xlpm.oppA,_xlfn.XLOOKUP($AK29,$H$4:$H$18,$O$4:$O$18,""),_xlfn.XLOOKUP($AK29,$H$4:$H$18,$N$4:$N$18,"")),IF(_xlpm.auto,--(_xlpm.oppRuns=0),Scorebook!M120)))</f>
        <v>0</v>
      </c>
      <c r="AY29" s="5" cm="1">
        <f t="array" aca="1" ref="AY29" ca="1">IF($AK29="","",_xlfn.LET(_xlpm.auto,AND(MOD(ROW()-4,6)=0,$AM29&lt;&gt;0,SUMPRODUCT(--(OFFSET($AM29,1,0,5,1)&lt;&gt;0))=0),IF(_xlpm.auto,1,Scorebook!N120)))</f>
        <v>0</v>
      </c>
      <c r="AZ29" s="10"/>
      <c r="BA29" s="10"/>
      <c r="BB29" s="5">
        <f>Settings!$B$2</f>
        <v>1</v>
      </c>
      <c r="BC29" s="5">
        <f>Betting!A31</f>
        <v>0</v>
      </c>
      <c r="BD29" s="5">
        <f>Betting!B31</f>
        <v>0</v>
      </c>
      <c r="BE29" s="5">
        <f>Betting!C31</f>
        <v>0</v>
      </c>
      <c r="BF29" s="5">
        <f>Betting!D31</f>
        <v>0</v>
      </c>
      <c r="BG29" s="5">
        <f>Betting!E31</f>
        <v>0</v>
      </c>
      <c r="BH29" s="5">
        <f>Betting!F31</f>
        <v>0</v>
      </c>
      <c r="BI29" s="4">
        <f>Betting!G31</f>
        <v>0</v>
      </c>
      <c r="BJ29" s="4">
        <f>Betting!H31</f>
        <v>0</v>
      </c>
    </row>
    <row r="30" spans="1:62">
      <c r="A30" s="4">
        <f>ROW()-3</f>
        <v>27</v>
      </c>
      <c r="B30" s="4">
        <f>IF(A30="","",ROUNDUP(A30/Settings!$B$3,0))</f>
        <v>5</v>
      </c>
      <c r="C30" s="5" t="str">
        <f>IF(Draft!$A$32="","",Draft!$D$32)</f>
        <v>Nick</v>
      </c>
      <c r="D30" s="5" t="str">
        <f>IF(Draft!$E$32="","",Draft!$E$32)</f>
        <v>Monty Mole</v>
      </c>
      <c r="E30" s="5">
        <f>Settings!$B$2</f>
        <v>1</v>
      </c>
      <c r="F30" s="5" t="b">
        <f>AND(C30&lt;&gt;"",D30&lt;&gt;"")</f>
        <v>1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4" t="str">
        <f ca="1">Scorebook!$F$51</f>
        <v>G2</v>
      </c>
      <c r="T30" s="5" t="str">
        <f ca="1">Scorebook!$N$51</f>
        <v>Aidan</v>
      </c>
      <c r="U30" s="5" t="str">
        <f ca="1">Scorebook!$B$66</f>
        <v>Pink Yoshi</v>
      </c>
      <c r="V30" s="4">
        <v>9</v>
      </c>
      <c r="W30" s="5">
        <f ca="1">Scorebook!M66</f>
        <v>1</v>
      </c>
      <c r="X30" s="5">
        <f ca="1">Scorebook!N66</f>
        <v>0</v>
      </c>
      <c r="Y30" s="5">
        <f ca="1">Scorebook!O66</f>
        <v>0</v>
      </c>
      <c r="Z30" s="5">
        <f ca="1">Scorebook!P66</f>
        <v>0</v>
      </c>
      <c r="AA30" s="5">
        <f ca="1">Scorebook!Q66</f>
        <v>0</v>
      </c>
      <c r="AB30" s="5">
        <f ca="1">Scorebook!R66</f>
        <v>0</v>
      </c>
      <c r="AC30" s="5">
        <f ca="1">Scorebook!S66</f>
        <v>0</v>
      </c>
      <c r="AD30" s="5">
        <f ca="1">Scorebook!T66</f>
        <v>0</v>
      </c>
      <c r="AE30" s="5">
        <f ca="1">Scorebook!U66</f>
        <v>0</v>
      </c>
      <c r="AF30" s="5">
        <f ca="1">Scorebook!V66</f>
        <v>0</v>
      </c>
      <c r="AG30" s="5">
        <f ca="1">Scorebook!W66</f>
        <v>0</v>
      </c>
      <c r="AH30" s="5">
        <f ca="1">Scorebook!X66</f>
        <v>0</v>
      </c>
      <c r="AI30" s="5">
        <f>Settings!$B$2</f>
        <v>1</v>
      </c>
      <c r="AJ30" s="18">
        <f ca="1">IF($AK30="","",Scorebook!$O$121)</f>
      </c>
      <c r="AK30" s="4" t="str">
        <f ca="1">Scorebook!$F$100</f>
        <v>G3</v>
      </c>
      <c r="AL30" s="5" t="str">
        <f ca="1">Scorebook!$N$100</f>
        <v>May</v>
      </c>
      <c r="AM30" s="5" t="str">
        <f>Scorebook!$B$121</f>
      </c>
      <c r="AN30" s="5">
        <f ca="1">IF(Scorebook!C121="","",INT(Scorebook!C121)+MOD(ROUND(Scorebook!C121*10,0),10)/3)</f>
      </c>
      <c r="AO30" s="5" cm="1">
        <f t="array" aca="1" ref="AO30" ca="1">IF($AK30="","",_xlfn.LET(_xlpm.auto,AND(MOD(ROW()-4,6)=0,$AM30&lt;&gt;0,SUMPRODUCT(--(OFFSET($AM30,1,0,5,1)&lt;&gt;0))=0),_xlpm.oppA,_xlfn.XLOOKUP($AK30,$H$4:$H$18,$J$4:$J$18,""),_xlpm.oppB,_xlfn.XLOOKUP($AK30,$H$4:$H$18,$K$4:$K$18,""),_xlpm.opp,IF($AL30=_xlpm.oppA,_xlpm.oppB,_xlpm.oppA),IF(_xlpm.auto,SUMIFS($Y$4:$Y$273,$S$4:$S$273,$AK30,$T$4:$T$273,_xlpm.opp),Scorebook!D121)))</f>
      </c>
      <c r="AP30" s="5" cm="1">
        <f t="array" aca="1" ref="AP30" ca="1">IF($AK30="","",_xlfn.LET(_xlpm.auto,AND(MOD(ROW()-4,6)=0,$AM30&lt;&gt;0,SUMPRODUCT(--(OFFSET($AM30,1,0,5,1)&lt;&gt;0))=0),_xlpm.oppA,_xlfn.XLOOKUP($AK30,$H$4:$H$18,$J$4:$J$18,""),_xlpm.oppRuns,IF($AL30=_xlpm.oppA,_xlfn.XLOOKUP($AK30,$H$4:$H$18,$O$4:$O$18,""),_xlfn.XLOOKUP($AK30,$H$4:$H$18,$N$4:$N$18,"")),IF(_xlpm.auto,_xlpm.oppRuns,Scorebook!E121)))</f>
      </c>
      <c r="AQ30" s="5">
        <f ca="1">Scorebook!F121</f>
      </c>
      <c r="AR30" s="5" cm="1">
        <f t="array" aca="1" ref="AR30" ca="1">IF($AK30="","",_xlfn.LET(_xlpm.auto,AND(MOD(ROW()-4,6)=0,$AM30&lt;&gt;0,SUMPRODUCT(--(OFFSET($AM30,1,0,5,1)&lt;&gt;0))=0),_xlpm.oppA,_xlfn.XLOOKUP($AK30,$H$4:$H$18,$J$4:$J$18,""),_xlpm.oppB,_xlfn.XLOOKUP($AK30,$H$4:$H$18,$K$4:$K$18,""),_xlpm.opp,IF($AL30=_xlpm.oppA,_xlpm.oppB,_xlpm.oppA),IF(_xlpm.auto,SUMIFS($AD$4:$AD$273,$S$4:$S$273,$AK30,$T$4:$T$273,_xlpm.opp),Scorebook!G121)))</f>
      </c>
      <c r="AS30" s="5" cm="1">
        <f t="array" aca="1" ref="AS30" ca="1">IF($AK30="","",_xlfn.LET(_xlpm.auto,AND(MOD(ROW()-4,6)=0,$AM30&lt;&gt;0,SUMPRODUCT(--(OFFSET($AM30,1,0,5,1)&lt;&gt;0))=0),_xlpm.oppA,_xlfn.XLOOKUP($AK30,$H$4:$H$18,$J$4:$J$18,""),_xlpm.oppB,_xlfn.XLOOKUP($AK30,$H$4:$H$18,$K$4:$K$18,""),_xlpm.opp,IF($AL30=_xlpm.oppA,_xlpm.oppB,_xlpm.oppA),IF(_xlpm.auto,SUMIFS($AE$4:$AE$273,$S$4:$S$273,$AK30,$T$4:$T$273,_xlpm.opp),Scorebook!H121)))</f>
      </c>
      <c r="AT30" s="5" cm="1">
        <f t="array" aca="1" ref="AT30" ca="1">IF($AK30="","",_xlfn.LET(_xlpm.auto,AND(MOD(ROW()-4,6)=0,$AM30&lt;&gt;0,SUMPRODUCT(--(OFFSET($AM30,1,0,5,1)&lt;&gt;0))=0),_xlpm.oppA,_xlfn.XLOOKUP($AK30,$H$4:$H$18,$J$4:$J$18,""),_xlpm.oppB,_xlfn.XLOOKUP($AK30,$H$4:$H$18,$K$4:$K$18,""),_xlpm.opp,IF($AL30=_xlpm.oppA,_xlpm.oppB,_xlpm.oppA),IF(_xlpm.auto,SUMIFS($AB$4:$AB$273,$S$4:$S$273,$AK30,$T$4:$T$273,_xlpm.opp),Scorebook!I121)))</f>
      </c>
      <c r="AU30" s="5" cm="1">
        <f t="array" aca="1" ref="AU30" ca="1">IF($AK30="","",_xlfn.LET(_xlpm.auto,AND(MOD(ROW()-4,6)=0,$AM30&lt;&gt;0,SUMPRODUCT(--(OFFSET($AM30,1,0,5,1)&lt;&gt;0))=0),_xlpm.winner,_xlfn.XLOOKUP($AK30,$H$4:$H$18,$L$4:$L$18,""),IF(_xlpm.auto,--($AL30=_xlpm.winner),Scorebook!J121)))</f>
      </c>
      <c r="AV30" s="5" cm="1">
        <f t="array" aca="1" ref="AV30" ca="1">IF($AK30="","",_xlfn.LET(_xlpm.auto,AND(MOD(ROW()-4,6)=0,$AM30&lt;&gt;0,SUMPRODUCT(--(OFFSET($AM30,1,0,5,1)&lt;&gt;0))=0),_xlpm.loser,_xlfn.XLOOKUP($AK30,$H$4:$H$18,$M$4:$M$18,""),IF(_xlpm.auto,--($AL30=_xlpm.loser),Scorebook!K121)))</f>
      </c>
      <c r="AW30" s="5">
        <f ca="1">Scorebook!L121</f>
      </c>
      <c r="AX30" s="5" cm="1">
        <f t="array" aca="1" ref="AX30" ca="1">IF($AK30="","",_xlfn.LET(_xlpm.auto,AND(MOD(ROW()-4,6)=0,$AM30&lt;&gt;0,SUMPRODUCT(--(OFFSET($AM30,1,0,5,1)&lt;&gt;0))=0),_xlpm.oppA,_xlfn.XLOOKUP($AK30,$H$4:$H$18,$J$4:$J$18,""),_xlpm.oppRuns,IF($AL30=_xlpm.oppA,_xlfn.XLOOKUP($AK30,$H$4:$H$18,$O$4:$O$18,""),_xlfn.XLOOKUP($AK30,$H$4:$H$18,$N$4:$N$18,"")),IF(_xlpm.auto,--(_xlpm.oppRuns=0),Scorebook!M121)))</f>
      </c>
      <c r="AY30" s="5" cm="1">
        <f t="array" aca="1" ref="AY30" ca="1">IF($AK30="","",_xlfn.LET(_xlpm.auto,AND(MOD(ROW()-4,6)=0,$AM30&lt;&gt;0,SUMPRODUCT(--(OFFSET($AM30,1,0,5,1)&lt;&gt;0))=0),IF(_xlpm.auto,1,Scorebook!N121)))</f>
      </c>
      <c r="AZ30" s="10"/>
      <c r="BA30" s="10"/>
      <c r="BB30" s="5">
        <f>Settings!$B$2</f>
        <v>1</v>
      </c>
      <c r="BC30" s="5">
        <f>Betting!A32</f>
        <v>0</v>
      </c>
      <c r="BD30" s="5">
        <f>Betting!B32</f>
        <v>0</v>
      </c>
      <c r="BE30" s="5">
        <f>Betting!C32</f>
        <v>0</v>
      </c>
      <c r="BF30" s="5">
        <f>Betting!D32</f>
        <v>0</v>
      </c>
      <c r="BG30" s="5">
        <f>Betting!E32</f>
        <v>0</v>
      </c>
      <c r="BH30" s="5">
        <f>Betting!F32</f>
        <v>0</v>
      </c>
      <c r="BI30" s="4">
        <f>Betting!G32</f>
        <v>0</v>
      </c>
      <c r="BJ30" s="4">
        <f>Betting!H32</f>
        <v>0</v>
      </c>
    </row>
    <row r="31" spans="1:62">
      <c r="A31" s="4">
        <f>ROW()-3</f>
        <v>28</v>
      </c>
      <c r="B31" s="4">
        <f>IF(A31="","",ROUNDUP(A31/Settings!$B$3,0))</f>
        <v>5</v>
      </c>
      <c r="C31" s="5" t="str">
        <f>IF(Draft!$A$33="","",Draft!$D$33)</f>
        <v>Aidan</v>
      </c>
      <c r="D31" s="5" t="str">
        <f>IF(Draft!$E$33="","",Draft!$E$33)</f>
        <v>Red Magikoopa</v>
      </c>
      <c r="E31" s="5">
        <f>Settings!$B$2</f>
        <v>1</v>
      </c>
      <c r="F31" s="5" t="b">
        <f>AND(C31&lt;&gt;"",D31&lt;&gt;"")</f>
        <v>1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4" t="str">
        <f ca="1">Scorebook!$F$51</f>
        <v>G2</v>
      </c>
      <c r="T31" s="5" t="str">
        <f ca="1">Scorebook!$R$51</f>
        <v>Justin</v>
      </c>
      <c r="U31" s="5" t="str">
        <f ca="1">Scorebook!$B$79</f>
        <v>Bowser Jr.</v>
      </c>
      <c r="V31" s="4">
        <v>1</v>
      </c>
      <c r="W31" s="5">
        <f ca="1">Scorebook!M79</f>
        <v>2</v>
      </c>
      <c r="X31" s="5">
        <f ca="1">Scorebook!N79</f>
        <v>1</v>
      </c>
      <c r="Y31" s="5">
        <f ca="1">Scorebook!O79</f>
        <v>1</v>
      </c>
      <c r="Z31" s="5">
        <f ca="1">Scorebook!P79</f>
        <v>1</v>
      </c>
      <c r="AA31" s="5">
        <f ca="1">Scorebook!Q79</f>
        <v>0</v>
      </c>
      <c r="AB31" s="5">
        <f ca="1">Scorebook!R79</f>
        <v>0</v>
      </c>
      <c r="AC31" s="5">
        <f ca="1">Scorebook!S79</f>
        <v>0</v>
      </c>
      <c r="AD31" s="5">
        <f ca="1">Scorebook!T79</f>
        <v>0</v>
      </c>
      <c r="AE31" s="5">
        <f ca="1">Scorebook!U79</f>
        <v>0</v>
      </c>
      <c r="AF31" s="5">
        <f ca="1">Scorebook!V79</f>
        <v>0</v>
      </c>
      <c r="AG31" s="5">
        <f ca="1">Scorebook!W79</f>
        <v>0</v>
      </c>
      <c r="AH31" s="5">
        <f ca="1">Scorebook!X79</f>
        <v>0</v>
      </c>
      <c r="AI31" s="5">
        <f>Settings!$B$2</f>
        <v>1</v>
      </c>
      <c r="AJ31" s="18">
        <f ca="1">IF($AK31="","",Scorebook!$O$122)</f>
      </c>
      <c r="AK31" s="4" t="str">
        <f ca="1">Scorebook!$F$100</f>
        <v>G3</v>
      </c>
      <c r="AL31" s="5" t="str">
        <f ca="1">Scorebook!$N$100</f>
        <v>May</v>
      </c>
      <c r="AM31" s="5" t="str">
        <f>Scorebook!$B$122</f>
      </c>
      <c r="AN31" s="5">
        <f ca="1">IF(Scorebook!C122="","",INT(Scorebook!C122)+MOD(ROUND(Scorebook!C122*10,0),10)/3)</f>
      </c>
      <c r="AO31" s="5" cm="1">
        <f t="array" aca="1" ref="AO31" ca="1">IF($AK31="","",_xlfn.LET(_xlpm.auto,AND(MOD(ROW()-4,6)=0,$AM31&lt;&gt;0,SUMPRODUCT(--(OFFSET($AM31,1,0,5,1)&lt;&gt;0))=0),_xlpm.oppA,_xlfn.XLOOKUP($AK31,$H$4:$H$18,$J$4:$J$18,""),_xlpm.oppB,_xlfn.XLOOKUP($AK31,$H$4:$H$18,$K$4:$K$18,""),_xlpm.opp,IF($AL31=_xlpm.oppA,_xlpm.oppB,_xlpm.oppA),IF(_xlpm.auto,SUMIFS($Y$4:$Y$273,$S$4:$S$273,$AK31,$T$4:$T$273,_xlpm.opp),Scorebook!D122)))</f>
      </c>
      <c r="AP31" s="5" cm="1">
        <f t="array" aca="1" ref="AP31" ca="1">IF($AK31="","",_xlfn.LET(_xlpm.auto,AND(MOD(ROW()-4,6)=0,$AM31&lt;&gt;0,SUMPRODUCT(--(OFFSET($AM31,1,0,5,1)&lt;&gt;0))=0),_xlpm.oppA,_xlfn.XLOOKUP($AK31,$H$4:$H$18,$J$4:$J$18,""),_xlpm.oppRuns,IF($AL31=_xlpm.oppA,_xlfn.XLOOKUP($AK31,$H$4:$H$18,$O$4:$O$18,""),_xlfn.XLOOKUP($AK31,$H$4:$H$18,$N$4:$N$18,"")),IF(_xlpm.auto,_xlpm.oppRuns,Scorebook!E122)))</f>
      </c>
      <c r="AQ31" s="5">
        <f ca="1">Scorebook!F122</f>
      </c>
      <c r="AR31" s="5" cm="1">
        <f t="array" aca="1" ref="AR31" ca="1">IF($AK31="","",_xlfn.LET(_xlpm.auto,AND(MOD(ROW()-4,6)=0,$AM31&lt;&gt;0,SUMPRODUCT(--(OFFSET($AM31,1,0,5,1)&lt;&gt;0))=0),_xlpm.oppA,_xlfn.XLOOKUP($AK31,$H$4:$H$18,$J$4:$J$18,""),_xlpm.oppB,_xlfn.XLOOKUP($AK31,$H$4:$H$18,$K$4:$K$18,""),_xlpm.opp,IF($AL31=_xlpm.oppA,_xlpm.oppB,_xlpm.oppA),IF(_xlpm.auto,SUMIFS($AD$4:$AD$273,$S$4:$S$273,$AK31,$T$4:$T$273,_xlpm.opp),Scorebook!G122)))</f>
      </c>
      <c r="AS31" s="5" cm="1">
        <f t="array" aca="1" ref="AS31" ca="1">IF($AK31="","",_xlfn.LET(_xlpm.auto,AND(MOD(ROW()-4,6)=0,$AM31&lt;&gt;0,SUMPRODUCT(--(OFFSET($AM31,1,0,5,1)&lt;&gt;0))=0),_xlpm.oppA,_xlfn.XLOOKUP($AK31,$H$4:$H$18,$J$4:$J$18,""),_xlpm.oppB,_xlfn.XLOOKUP($AK31,$H$4:$H$18,$K$4:$K$18,""),_xlpm.opp,IF($AL31=_xlpm.oppA,_xlpm.oppB,_xlpm.oppA),IF(_xlpm.auto,SUMIFS($AE$4:$AE$273,$S$4:$S$273,$AK31,$T$4:$T$273,_xlpm.opp),Scorebook!H122)))</f>
      </c>
      <c r="AT31" s="5" cm="1">
        <f t="array" aca="1" ref="AT31" ca="1">IF($AK31="","",_xlfn.LET(_xlpm.auto,AND(MOD(ROW()-4,6)=0,$AM31&lt;&gt;0,SUMPRODUCT(--(OFFSET($AM31,1,0,5,1)&lt;&gt;0))=0),_xlpm.oppA,_xlfn.XLOOKUP($AK31,$H$4:$H$18,$J$4:$J$18,""),_xlpm.oppB,_xlfn.XLOOKUP($AK31,$H$4:$H$18,$K$4:$K$18,""),_xlpm.opp,IF($AL31=_xlpm.oppA,_xlpm.oppB,_xlpm.oppA),IF(_xlpm.auto,SUMIFS($AB$4:$AB$273,$S$4:$S$273,$AK31,$T$4:$T$273,_xlpm.opp),Scorebook!I122)))</f>
      </c>
      <c r="AU31" s="5" cm="1">
        <f t="array" aca="1" ref="AU31" ca="1">IF($AK31="","",_xlfn.LET(_xlpm.auto,AND(MOD(ROW()-4,6)=0,$AM31&lt;&gt;0,SUMPRODUCT(--(OFFSET($AM31,1,0,5,1)&lt;&gt;0))=0),_xlpm.winner,_xlfn.XLOOKUP($AK31,$H$4:$H$18,$L$4:$L$18,""),IF(_xlpm.auto,--($AL31=_xlpm.winner),Scorebook!J122)))</f>
      </c>
      <c r="AV31" s="5" cm="1">
        <f t="array" aca="1" ref="AV31" ca="1">IF($AK31="","",_xlfn.LET(_xlpm.auto,AND(MOD(ROW()-4,6)=0,$AM31&lt;&gt;0,SUMPRODUCT(--(OFFSET($AM31,1,0,5,1)&lt;&gt;0))=0),_xlpm.loser,_xlfn.XLOOKUP($AK31,$H$4:$H$18,$M$4:$M$18,""),IF(_xlpm.auto,--($AL31=_xlpm.loser),Scorebook!K122)))</f>
      </c>
      <c r="AW31" s="5">
        <f ca="1">Scorebook!L122</f>
      </c>
      <c r="AX31" s="5" cm="1">
        <f t="array" aca="1" ref="AX31" ca="1">IF($AK31="","",_xlfn.LET(_xlpm.auto,AND(MOD(ROW()-4,6)=0,$AM31&lt;&gt;0,SUMPRODUCT(--(OFFSET($AM31,1,0,5,1)&lt;&gt;0))=0),_xlpm.oppA,_xlfn.XLOOKUP($AK31,$H$4:$H$18,$J$4:$J$18,""),_xlpm.oppRuns,IF($AL31=_xlpm.oppA,_xlfn.XLOOKUP($AK31,$H$4:$H$18,$O$4:$O$18,""),_xlfn.XLOOKUP($AK31,$H$4:$H$18,$N$4:$N$18,"")),IF(_xlpm.auto,--(_xlpm.oppRuns=0),Scorebook!M122)))</f>
      </c>
      <c r="AY31" s="5" cm="1">
        <f t="array" aca="1" ref="AY31" ca="1">IF($AK31="","",_xlfn.LET(_xlpm.auto,AND(MOD(ROW()-4,6)=0,$AM31&lt;&gt;0,SUMPRODUCT(--(OFFSET($AM31,1,0,5,1)&lt;&gt;0))=0),IF(_xlpm.auto,1,Scorebook!N122)))</f>
      </c>
      <c r="AZ31" s="10"/>
      <c r="BA31" s="10"/>
      <c r="BB31" s="5">
        <f>Settings!$B$2</f>
        <v>1</v>
      </c>
      <c r="BC31" s="5">
        <f>Betting!A33</f>
        <v>0</v>
      </c>
      <c r="BD31" s="5">
        <f>Betting!B33</f>
        <v>0</v>
      </c>
      <c r="BE31" s="5">
        <f>Betting!C33</f>
        <v>0</v>
      </c>
      <c r="BF31" s="5">
        <f>Betting!D33</f>
        <v>0</v>
      </c>
      <c r="BG31" s="5">
        <f>Betting!E33</f>
        <v>0</v>
      </c>
      <c r="BH31" s="5">
        <f>Betting!F33</f>
        <v>0</v>
      </c>
      <c r="BI31" s="4">
        <f>Betting!G33</f>
        <v>0</v>
      </c>
      <c r="BJ31" s="4">
        <f>Betting!H33</f>
        <v>0</v>
      </c>
    </row>
    <row r="32" spans="1:62">
      <c r="A32" s="4">
        <f>ROW()-3</f>
        <v>29</v>
      </c>
      <c r="B32" s="4">
        <f>IF(A32="","",ROUNDUP(A32/Settings!$B$3,0))</f>
        <v>5</v>
      </c>
      <c r="C32" s="5" t="str">
        <f>IF(Draft!$A$34="","",Draft!$D$34)</f>
        <v>Jason</v>
      </c>
      <c r="D32" s="5" t="str">
        <f>IF(Draft!$E$34="","",Draft!$E$34)</f>
        <v>Baby Daisy</v>
      </c>
      <c r="E32" s="5">
        <f>Settings!$B$2</f>
        <v>1</v>
      </c>
      <c r="F32" s="5" t="b">
        <f>AND(C32&lt;&gt;"",D32&lt;&gt;"")</f>
        <v>1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4" t="str">
        <f ca="1">Scorebook!$F$51</f>
        <v>G2</v>
      </c>
      <c r="T32" s="5" t="str">
        <f ca="1">Scorebook!$R$51</f>
        <v>Justin</v>
      </c>
      <c r="U32" s="5" t="str">
        <f ca="1">Scorebook!$B$80</f>
        <v>Kritter</v>
      </c>
      <c r="V32" s="4">
        <v>2</v>
      </c>
      <c r="W32" s="5">
        <f ca="1">Scorebook!M80</f>
        <v>2</v>
      </c>
      <c r="X32" s="5">
        <f ca="1">Scorebook!N80</f>
        <v>0</v>
      </c>
      <c r="Y32" s="5">
        <f ca="1">Scorebook!O80</f>
        <v>0</v>
      </c>
      <c r="Z32" s="5">
        <f ca="1">Scorebook!P80</f>
        <v>0</v>
      </c>
      <c r="AA32" s="5">
        <f ca="1">Scorebook!Q80</f>
        <v>0</v>
      </c>
      <c r="AB32" s="5">
        <f ca="1">Scorebook!R80</f>
        <v>0</v>
      </c>
      <c r="AC32" s="5">
        <f ca="1">Scorebook!S80</f>
        <v>0</v>
      </c>
      <c r="AD32" s="5">
        <f ca="1">Scorebook!T80</f>
        <v>0</v>
      </c>
      <c r="AE32" s="5">
        <f ca="1">Scorebook!U80</f>
        <v>2</v>
      </c>
      <c r="AF32" s="5">
        <f ca="1">Scorebook!V80</f>
        <v>0</v>
      </c>
      <c r="AG32" s="5">
        <f ca="1">Scorebook!W80</f>
        <v>0</v>
      </c>
      <c r="AH32" s="5">
        <f ca="1">Scorebook!X80</f>
        <v>0</v>
      </c>
      <c r="AI32" s="5">
        <f>Settings!$B$2</f>
        <v>1</v>
      </c>
      <c r="AJ32" s="18">
        <f ca="1">IF($AK32="","",Scorebook!$O$123)</f>
      </c>
      <c r="AK32" s="4" t="str">
        <f ca="1">Scorebook!$F$100</f>
        <v>G3</v>
      </c>
      <c r="AL32" s="5" t="str">
        <f ca="1">Scorebook!$N$100</f>
        <v>May</v>
      </c>
      <c r="AM32" s="5" t="str">
        <f>Scorebook!$B$123</f>
      </c>
      <c r="AN32" s="5">
        <f ca="1">IF(Scorebook!C123="","",INT(Scorebook!C123)+MOD(ROUND(Scorebook!C123*10,0),10)/3)</f>
      </c>
      <c r="AO32" s="5" cm="1">
        <f t="array" aca="1" ref="AO32" ca="1">IF($AK32="","",_xlfn.LET(_xlpm.auto,AND(MOD(ROW()-4,6)=0,$AM32&lt;&gt;0,SUMPRODUCT(--(OFFSET($AM32,1,0,5,1)&lt;&gt;0))=0),_xlpm.oppA,_xlfn.XLOOKUP($AK32,$H$4:$H$18,$J$4:$J$18,""),_xlpm.oppB,_xlfn.XLOOKUP($AK32,$H$4:$H$18,$K$4:$K$18,""),_xlpm.opp,IF($AL32=_xlpm.oppA,_xlpm.oppB,_xlpm.oppA),IF(_xlpm.auto,SUMIFS($Y$4:$Y$273,$S$4:$S$273,$AK32,$T$4:$T$273,_xlpm.opp),Scorebook!D123)))</f>
      </c>
      <c r="AP32" s="5" cm="1">
        <f t="array" aca="1" ref="AP32" ca="1">IF($AK32="","",_xlfn.LET(_xlpm.auto,AND(MOD(ROW()-4,6)=0,$AM32&lt;&gt;0,SUMPRODUCT(--(OFFSET($AM32,1,0,5,1)&lt;&gt;0))=0),_xlpm.oppA,_xlfn.XLOOKUP($AK32,$H$4:$H$18,$J$4:$J$18,""),_xlpm.oppRuns,IF($AL32=_xlpm.oppA,_xlfn.XLOOKUP($AK32,$H$4:$H$18,$O$4:$O$18,""),_xlfn.XLOOKUP($AK32,$H$4:$H$18,$N$4:$N$18,"")),IF(_xlpm.auto,_xlpm.oppRuns,Scorebook!E123)))</f>
      </c>
      <c r="AQ32" s="5">
        <f ca="1">Scorebook!F123</f>
      </c>
      <c r="AR32" s="5" cm="1">
        <f t="array" aca="1" ref="AR32" ca="1">IF($AK32="","",_xlfn.LET(_xlpm.auto,AND(MOD(ROW()-4,6)=0,$AM32&lt;&gt;0,SUMPRODUCT(--(OFFSET($AM32,1,0,5,1)&lt;&gt;0))=0),_xlpm.oppA,_xlfn.XLOOKUP($AK32,$H$4:$H$18,$J$4:$J$18,""),_xlpm.oppB,_xlfn.XLOOKUP($AK32,$H$4:$H$18,$K$4:$K$18,""),_xlpm.opp,IF($AL32=_xlpm.oppA,_xlpm.oppB,_xlpm.oppA),IF(_xlpm.auto,SUMIFS($AD$4:$AD$273,$S$4:$S$273,$AK32,$T$4:$T$273,_xlpm.opp),Scorebook!G123)))</f>
      </c>
      <c r="AS32" s="5" cm="1">
        <f t="array" aca="1" ref="AS32" ca="1">IF($AK32="","",_xlfn.LET(_xlpm.auto,AND(MOD(ROW()-4,6)=0,$AM32&lt;&gt;0,SUMPRODUCT(--(OFFSET($AM32,1,0,5,1)&lt;&gt;0))=0),_xlpm.oppA,_xlfn.XLOOKUP($AK32,$H$4:$H$18,$J$4:$J$18,""),_xlpm.oppB,_xlfn.XLOOKUP($AK32,$H$4:$H$18,$K$4:$K$18,""),_xlpm.opp,IF($AL32=_xlpm.oppA,_xlpm.oppB,_xlpm.oppA),IF(_xlpm.auto,SUMIFS($AE$4:$AE$273,$S$4:$S$273,$AK32,$T$4:$T$273,_xlpm.opp),Scorebook!H123)))</f>
      </c>
      <c r="AT32" s="5" cm="1">
        <f t="array" aca="1" ref="AT32" ca="1">IF($AK32="","",_xlfn.LET(_xlpm.auto,AND(MOD(ROW()-4,6)=0,$AM32&lt;&gt;0,SUMPRODUCT(--(OFFSET($AM32,1,0,5,1)&lt;&gt;0))=0),_xlpm.oppA,_xlfn.XLOOKUP($AK32,$H$4:$H$18,$J$4:$J$18,""),_xlpm.oppB,_xlfn.XLOOKUP($AK32,$H$4:$H$18,$K$4:$K$18,""),_xlpm.opp,IF($AL32=_xlpm.oppA,_xlpm.oppB,_xlpm.oppA),IF(_xlpm.auto,SUMIFS($AB$4:$AB$273,$S$4:$S$273,$AK32,$T$4:$T$273,_xlpm.opp),Scorebook!I123)))</f>
      </c>
      <c r="AU32" s="5" cm="1">
        <f t="array" aca="1" ref="AU32" ca="1">IF($AK32="","",_xlfn.LET(_xlpm.auto,AND(MOD(ROW()-4,6)=0,$AM32&lt;&gt;0,SUMPRODUCT(--(OFFSET($AM32,1,0,5,1)&lt;&gt;0))=0),_xlpm.winner,_xlfn.XLOOKUP($AK32,$H$4:$H$18,$L$4:$L$18,""),IF(_xlpm.auto,--($AL32=_xlpm.winner),Scorebook!J123)))</f>
      </c>
      <c r="AV32" s="5" cm="1">
        <f t="array" aca="1" ref="AV32" ca="1">IF($AK32="","",_xlfn.LET(_xlpm.auto,AND(MOD(ROW()-4,6)=0,$AM32&lt;&gt;0,SUMPRODUCT(--(OFFSET($AM32,1,0,5,1)&lt;&gt;0))=0),_xlpm.loser,_xlfn.XLOOKUP($AK32,$H$4:$H$18,$M$4:$M$18,""),IF(_xlpm.auto,--($AL32=_xlpm.loser),Scorebook!K123)))</f>
      </c>
      <c r="AW32" s="5">
        <f ca="1">Scorebook!L123</f>
      </c>
      <c r="AX32" s="5" cm="1">
        <f t="array" aca="1" ref="AX32" ca="1">IF($AK32="","",_xlfn.LET(_xlpm.auto,AND(MOD(ROW()-4,6)=0,$AM32&lt;&gt;0,SUMPRODUCT(--(OFFSET($AM32,1,0,5,1)&lt;&gt;0))=0),_xlpm.oppA,_xlfn.XLOOKUP($AK32,$H$4:$H$18,$J$4:$J$18,""),_xlpm.oppRuns,IF($AL32=_xlpm.oppA,_xlfn.XLOOKUP($AK32,$H$4:$H$18,$O$4:$O$18,""),_xlfn.XLOOKUP($AK32,$H$4:$H$18,$N$4:$N$18,"")),IF(_xlpm.auto,--(_xlpm.oppRuns=0),Scorebook!M123)))</f>
      </c>
      <c r="AY32" s="5" cm="1">
        <f t="array" aca="1" ref="AY32" ca="1">IF($AK32="","",_xlfn.LET(_xlpm.auto,AND(MOD(ROW()-4,6)=0,$AM32&lt;&gt;0,SUMPRODUCT(--(OFFSET($AM32,1,0,5,1)&lt;&gt;0))=0),IF(_xlpm.auto,1,Scorebook!N123)))</f>
      </c>
      <c r="AZ32" s="10"/>
      <c r="BA32" s="10"/>
      <c r="BB32" s="5">
        <f>Settings!$B$2</f>
        <v>1</v>
      </c>
      <c r="BC32" s="5">
        <f>Betting!A34</f>
        <v>0</v>
      </c>
      <c r="BD32" s="5">
        <f>Betting!B34</f>
        <v>0</v>
      </c>
      <c r="BE32" s="5">
        <f>Betting!C34</f>
        <v>0</v>
      </c>
      <c r="BF32" s="5">
        <f>Betting!D34</f>
        <v>0</v>
      </c>
      <c r="BG32" s="5">
        <f>Betting!E34</f>
        <v>0</v>
      </c>
      <c r="BH32" s="5">
        <f>Betting!F34</f>
        <v>0</v>
      </c>
      <c r="BI32" s="4">
        <f>Betting!G34</f>
        <v>0</v>
      </c>
      <c r="BJ32" s="4">
        <f>Betting!H34</f>
        <v>0</v>
      </c>
    </row>
    <row r="33" spans="1:62">
      <c r="A33" s="4">
        <f>ROW()-3</f>
        <v>30</v>
      </c>
      <c r="B33" s="4">
        <f>IF(A33="","",ROUNDUP(A33/Settings!$B$3,0))</f>
        <v>5</v>
      </c>
      <c r="C33" s="5" t="str">
        <f>IF(Draft!$A$35="","",Draft!$D$35)</f>
        <v>May</v>
      </c>
      <c r="D33" s="5" t="str">
        <f>IF(Draft!$E$35="","",Draft!$E$35)</f>
        <v>Red Yoshi</v>
      </c>
      <c r="E33" s="5">
        <f>Settings!$B$2</f>
        <v>1</v>
      </c>
      <c r="F33" s="5" t="b">
        <f>AND(C33&lt;&gt;"",D33&lt;&gt;"")</f>
        <v>1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4" t="str">
        <f ca="1">Scorebook!$F$51</f>
        <v>G2</v>
      </c>
      <c r="T33" s="5" t="str">
        <f ca="1">Scorebook!$R$51</f>
        <v>Justin</v>
      </c>
      <c r="U33" s="5" t="str">
        <f ca="1">Scorebook!$B$81</f>
        <v>Funky Kong</v>
      </c>
      <c r="V33" s="4">
        <v>3</v>
      </c>
      <c r="W33" s="5">
        <f ca="1">Scorebook!M81</f>
        <v>2</v>
      </c>
      <c r="X33" s="5">
        <f ca="1">Scorebook!N81</f>
        <v>1</v>
      </c>
      <c r="Y33" s="5">
        <f ca="1">Scorebook!O81</f>
        <v>1</v>
      </c>
      <c r="Z33" s="5">
        <f ca="1">Scorebook!P81</f>
        <v>0</v>
      </c>
      <c r="AA33" s="5">
        <f ca="1">Scorebook!Q81</f>
        <v>0</v>
      </c>
      <c r="AB33" s="5">
        <f ca="1">Scorebook!R81</f>
        <v>1</v>
      </c>
      <c r="AC33" s="5">
        <f ca="1">Scorebook!S81</f>
        <v>1</v>
      </c>
      <c r="AD33" s="5">
        <f ca="1">Scorebook!T81</f>
        <v>0</v>
      </c>
      <c r="AE33" s="5">
        <f ca="1">Scorebook!U81</f>
        <v>1</v>
      </c>
      <c r="AF33" s="5">
        <f ca="1">Scorebook!V81</f>
        <v>0</v>
      </c>
      <c r="AG33" s="5">
        <f ca="1">Scorebook!W81</f>
        <v>0</v>
      </c>
      <c r="AH33" s="5">
        <f ca="1">Scorebook!X81</f>
        <v>0</v>
      </c>
      <c r="AI33" s="5">
        <f>Settings!$B$2</f>
        <v>1</v>
      </c>
      <c r="AJ33" s="18">
        <f ca="1">IF($AK33="","",Scorebook!$O$124)</f>
      </c>
      <c r="AK33" s="4" t="str">
        <f ca="1">Scorebook!$F$100</f>
        <v>G3</v>
      </c>
      <c r="AL33" s="5" t="str">
        <f ca="1">Scorebook!$N$100</f>
        <v>May</v>
      </c>
      <c r="AM33" s="5" t="str">
        <f>Scorebook!$B$124</f>
      </c>
      <c r="AN33" s="5">
        <f ca="1">IF(Scorebook!C124="","",INT(Scorebook!C124)+MOD(ROUND(Scorebook!C124*10,0),10)/3)</f>
      </c>
      <c r="AO33" s="5" cm="1">
        <f t="array" aca="1" ref="AO33" ca="1">IF($AK33="","",_xlfn.LET(_xlpm.auto,AND(MOD(ROW()-4,6)=0,$AM33&lt;&gt;0,SUMPRODUCT(--(OFFSET($AM33,1,0,5,1)&lt;&gt;0))=0),_xlpm.oppA,_xlfn.XLOOKUP($AK33,$H$4:$H$18,$J$4:$J$18,""),_xlpm.oppB,_xlfn.XLOOKUP($AK33,$H$4:$H$18,$K$4:$K$18,""),_xlpm.opp,IF($AL33=_xlpm.oppA,_xlpm.oppB,_xlpm.oppA),IF(_xlpm.auto,SUMIFS($Y$4:$Y$273,$S$4:$S$273,$AK33,$T$4:$T$273,_xlpm.opp),Scorebook!D124)))</f>
      </c>
      <c r="AP33" s="5" cm="1">
        <f t="array" aca="1" ref="AP33" ca="1">IF($AK33="","",_xlfn.LET(_xlpm.auto,AND(MOD(ROW()-4,6)=0,$AM33&lt;&gt;0,SUMPRODUCT(--(OFFSET($AM33,1,0,5,1)&lt;&gt;0))=0),_xlpm.oppA,_xlfn.XLOOKUP($AK33,$H$4:$H$18,$J$4:$J$18,""),_xlpm.oppRuns,IF($AL33=_xlpm.oppA,_xlfn.XLOOKUP($AK33,$H$4:$H$18,$O$4:$O$18,""),_xlfn.XLOOKUP($AK33,$H$4:$H$18,$N$4:$N$18,"")),IF(_xlpm.auto,_xlpm.oppRuns,Scorebook!E124)))</f>
      </c>
      <c r="AQ33" s="5">
        <f ca="1">Scorebook!F124</f>
      </c>
      <c r="AR33" s="5" cm="1">
        <f t="array" aca="1" ref="AR33" ca="1">IF($AK33="","",_xlfn.LET(_xlpm.auto,AND(MOD(ROW()-4,6)=0,$AM33&lt;&gt;0,SUMPRODUCT(--(OFFSET($AM33,1,0,5,1)&lt;&gt;0))=0),_xlpm.oppA,_xlfn.XLOOKUP($AK33,$H$4:$H$18,$J$4:$J$18,""),_xlpm.oppB,_xlfn.XLOOKUP($AK33,$H$4:$H$18,$K$4:$K$18,""),_xlpm.opp,IF($AL33=_xlpm.oppA,_xlpm.oppB,_xlpm.oppA),IF(_xlpm.auto,SUMIFS($AD$4:$AD$273,$S$4:$S$273,$AK33,$T$4:$T$273,_xlpm.opp),Scorebook!G124)))</f>
      </c>
      <c r="AS33" s="5" cm="1">
        <f t="array" aca="1" ref="AS33" ca="1">IF($AK33="","",_xlfn.LET(_xlpm.auto,AND(MOD(ROW()-4,6)=0,$AM33&lt;&gt;0,SUMPRODUCT(--(OFFSET($AM33,1,0,5,1)&lt;&gt;0))=0),_xlpm.oppA,_xlfn.XLOOKUP($AK33,$H$4:$H$18,$J$4:$J$18,""),_xlpm.oppB,_xlfn.XLOOKUP($AK33,$H$4:$H$18,$K$4:$K$18,""),_xlpm.opp,IF($AL33=_xlpm.oppA,_xlpm.oppB,_xlpm.oppA),IF(_xlpm.auto,SUMIFS($AE$4:$AE$273,$S$4:$S$273,$AK33,$T$4:$T$273,_xlpm.opp),Scorebook!H124)))</f>
      </c>
      <c r="AT33" s="5" cm="1">
        <f t="array" aca="1" ref="AT33" ca="1">IF($AK33="","",_xlfn.LET(_xlpm.auto,AND(MOD(ROW()-4,6)=0,$AM33&lt;&gt;0,SUMPRODUCT(--(OFFSET($AM33,1,0,5,1)&lt;&gt;0))=0),_xlpm.oppA,_xlfn.XLOOKUP($AK33,$H$4:$H$18,$J$4:$J$18,""),_xlpm.oppB,_xlfn.XLOOKUP($AK33,$H$4:$H$18,$K$4:$K$18,""),_xlpm.opp,IF($AL33=_xlpm.oppA,_xlpm.oppB,_xlpm.oppA),IF(_xlpm.auto,SUMIFS($AB$4:$AB$273,$S$4:$S$273,$AK33,$T$4:$T$273,_xlpm.opp),Scorebook!I124)))</f>
      </c>
      <c r="AU33" s="5" cm="1">
        <f t="array" aca="1" ref="AU33" ca="1">IF($AK33="","",_xlfn.LET(_xlpm.auto,AND(MOD(ROW()-4,6)=0,$AM33&lt;&gt;0,SUMPRODUCT(--(OFFSET($AM33,1,0,5,1)&lt;&gt;0))=0),_xlpm.winner,_xlfn.XLOOKUP($AK33,$H$4:$H$18,$L$4:$L$18,""),IF(_xlpm.auto,--($AL33=_xlpm.winner),Scorebook!J124)))</f>
      </c>
      <c r="AV33" s="5" cm="1">
        <f t="array" aca="1" ref="AV33" ca="1">IF($AK33="","",_xlfn.LET(_xlpm.auto,AND(MOD(ROW()-4,6)=0,$AM33&lt;&gt;0,SUMPRODUCT(--(OFFSET($AM33,1,0,5,1)&lt;&gt;0))=0),_xlpm.loser,_xlfn.XLOOKUP($AK33,$H$4:$H$18,$M$4:$M$18,""),IF(_xlpm.auto,--($AL33=_xlpm.loser),Scorebook!K124)))</f>
      </c>
      <c r="AW33" s="5">
        <f ca="1">Scorebook!L124</f>
      </c>
      <c r="AX33" s="5" cm="1">
        <f t="array" aca="1" ref="AX33" ca="1">IF($AK33="","",_xlfn.LET(_xlpm.auto,AND(MOD(ROW()-4,6)=0,$AM33&lt;&gt;0,SUMPRODUCT(--(OFFSET($AM33,1,0,5,1)&lt;&gt;0))=0),_xlpm.oppA,_xlfn.XLOOKUP($AK33,$H$4:$H$18,$J$4:$J$18,""),_xlpm.oppRuns,IF($AL33=_xlpm.oppA,_xlfn.XLOOKUP($AK33,$H$4:$H$18,$O$4:$O$18,""),_xlfn.XLOOKUP($AK33,$H$4:$H$18,$N$4:$N$18,"")),IF(_xlpm.auto,--(_xlpm.oppRuns=0),Scorebook!M124)))</f>
      </c>
      <c r="AY33" s="5" cm="1">
        <f t="array" aca="1" ref="AY33" ca="1">IF($AK33="","",_xlfn.LET(_xlpm.auto,AND(MOD(ROW()-4,6)=0,$AM33&lt;&gt;0,SUMPRODUCT(--(OFFSET($AM33,1,0,5,1)&lt;&gt;0))=0),IF(_xlpm.auto,1,Scorebook!N124)))</f>
      </c>
      <c r="AZ33" s="10"/>
      <c r="BA33" s="10"/>
      <c r="BB33" s="5">
        <f>Settings!$B$2</f>
        <v>1</v>
      </c>
      <c r="BC33" s="5">
        <f>Betting!A35</f>
        <v>0</v>
      </c>
      <c r="BD33" s="5">
        <f>Betting!B35</f>
        <v>0</v>
      </c>
      <c r="BE33" s="5">
        <f>Betting!C35</f>
        <v>0</v>
      </c>
      <c r="BF33" s="5">
        <f>Betting!D35</f>
        <v>0</v>
      </c>
      <c r="BG33" s="5">
        <f>Betting!E35</f>
        <v>0</v>
      </c>
      <c r="BH33" s="5">
        <f>Betting!F35</f>
        <v>0</v>
      </c>
      <c r="BI33" s="4">
        <f>Betting!G35</f>
        <v>0</v>
      </c>
      <c r="BJ33" s="4">
        <f>Betting!H35</f>
        <v>0</v>
      </c>
    </row>
    <row r="34" spans="1:62">
      <c r="A34" s="4">
        <f>ROW()-3</f>
        <v>31</v>
      </c>
      <c r="B34" s="4">
        <f>IF(A34="","",ROUNDUP(A34/Settings!$B$3,0))</f>
        <v>6</v>
      </c>
      <c r="C34" s="5" t="str">
        <f>IF(Draft!$A$36="","",Draft!$D$36)</f>
        <v>May</v>
      </c>
      <c r="D34" s="5" t="str">
        <f>IF(Draft!$E$36="","",Draft!$E$36)</f>
        <v>Baby Peach</v>
      </c>
      <c r="E34" s="5">
        <f>Settings!$B$2</f>
        <v>1</v>
      </c>
      <c r="F34" s="5" t="b">
        <f>AND(C34&lt;&gt;"",D34&lt;&gt;"")</f>
        <v>1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4" t="str">
        <f ca="1">Scorebook!$F$51</f>
        <v>G2</v>
      </c>
      <c r="T34" s="5" t="str">
        <f ca="1">Scorebook!$R$51</f>
        <v>Justin</v>
      </c>
      <c r="U34" s="5" t="str">
        <f ca="1">Scorebook!$B$82</f>
        <v>Red Pianta</v>
      </c>
      <c r="V34" s="4">
        <v>4</v>
      </c>
      <c r="W34" s="5">
        <f ca="1">Scorebook!M82</f>
        <v>2</v>
      </c>
      <c r="X34" s="5">
        <f ca="1">Scorebook!N82</f>
        <v>0</v>
      </c>
      <c r="Y34" s="5">
        <f ca="1">Scorebook!O82</f>
        <v>0</v>
      </c>
      <c r="Z34" s="5">
        <f ca="1">Scorebook!P82</f>
        <v>0</v>
      </c>
      <c r="AA34" s="5">
        <f ca="1">Scorebook!Q82</f>
        <v>0</v>
      </c>
      <c r="AB34" s="5">
        <f ca="1">Scorebook!R82</f>
        <v>0</v>
      </c>
      <c r="AC34" s="5">
        <f ca="1">Scorebook!S82</f>
        <v>0</v>
      </c>
      <c r="AD34" s="5">
        <f ca="1">Scorebook!T82</f>
        <v>0</v>
      </c>
      <c r="AE34" s="5">
        <f ca="1">Scorebook!U82</f>
        <v>1</v>
      </c>
      <c r="AF34" s="5">
        <f ca="1">Scorebook!V82</f>
        <v>0</v>
      </c>
      <c r="AG34" s="5">
        <f ca="1">Scorebook!W82</f>
        <v>0</v>
      </c>
      <c r="AH34" s="5">
        <f ca="1">Scorebook!X82</f>
        <v>0</v>
      </c>
      <c r="AI34" s="5">
        <f>Settings!$B$2</f>
        <v>1</v>
      </c>
      <c r="AJ34" s="18">
        <f ca="1">IF($AK34="","",Scorebook!$O$140)</f>
        <v>8</v>
      </c>
      <c r="AK34" s="4" t="str">
        <f ca="1">Scorebook!$F$100</f>
        <v>G3</v>
      </c>
      <c r="AL34" s="5" t="str">
        <f ca="1">Scorebook!$R$100</f>
        <v>Nick</v>
      </c>
      <c r="AM34" s="5" t="str">
        <f>Scorebook!$B$140</f>
        <v>Daisy</v>
      </c>
      <c r="AN34" s="5">
        <f ca="1">IF(Scorebook!C140="","",INT(Scorebook!C140)+MOD(ROUND(Scorebook!C140*10,0),10)/3)</f>
        <v>1.6666666666666667</v>
      </c>
      <c r="AO34" s="5" cm="1">
        <f t="array" aca="1" ref="AO34" ca="1">IF($AK34="","",_xlfn.LET(_xlpm.auto,AND(MOD(ROW()-4,6)=0,$AM34&lt;&gt;0,SUMPRODUCT(--(OFFSET($AM34,1,0,5,1)&lt;&gt;0))=0),_xlpm.oppA,_xlfn.XLOOKUP($AK34,$H$4:$H$18,$J$4:$J$18,""),_xlpm.oppB,_xlfn.XLOOKUP($AK34,$H$4:$H$18,$K$4:$K$18,""),_xlpm.opp,IF($AL34=_xlpm.oppA,_xlpm.oppB,_xlpm.oppA),IF(_xlpm.auto,SUMIFS($Y$4:$Y$273,$S$4:$S$273,$AK34,$T$4:$T$273,_xlpm.opp),Scorebook!D140)))</f>
        <v>3</v>
      </c>
      <c r="AP34" s="5" cm="1">
        <f t="array" aca="1" ref="AP34" ca="1">IF($AK34="","",_xlfn.LET(_xlpm.auto,AND(MOD(ROW()-4,6)=0,$AM34&lt;&gt;0,SUMPRODUCT(--(OFFSET($AM34,1,0,5,1)&lt;&gt;0))=0),_xlpm.oppA,_xlfn.XLOOKUP($AK34,$H$4:$H$18,$J$4:$J$18,""),_xlpm.oppRuns,IF($AL34=_xlpm.oppA,_xlfn.XLOOKUP($AK34,$H$4:$H$18,$O$4:$O$18,""),_xlfn.XLOOKUP($AK34,$H$4:$H$18,$N$4:$N$18,"")),IF(_xlpm.auto,_xlpm.oppRuns,Scorebook!E140)))</f>
        <v>0</v>
      </c>
      <c r="AQ34" s="5">
        <f ca="1">Scorebook!F140</f>
        <v>0</v>
      </c>
      <c r="AR34" s="5" cm="1">
        <f t="array" aca="1" ref="AR34" ca="1">IF($AK34="","",_xlfn.LET(_xlpm.auto,AND(MOD(ROW()-4,6)=0,$AM34&lt;&gt;0,SUMPRODUCT(--(OFFSET($AM34,1,0,5,1)&lt;&gt;0))=0),_xlpm.oppA,_xlfn.XLOOKUP($AK34,$H$4:$H$18,$J$4:$J$18,""),_xlpm.oppB,_xlfn.XLOOKUP($AK34,$H$4:$H$18,$K$4:$K$18,""),_xlpm.opp,IF($AL34=_xlpm.oppA,_xlpm.oppB,_xlpm.oppA),IF(_xlpm.auto,SUMIFS($AD$4:$AD$273,$S$4:$S$273,$AK34,$T$4:$T$273,_xlpm.opp),Scorebook!G140)))</f>
        <v>1</v>
      </c>
      <c r="AS34" s="5" cm="1">
        <f t="array" aca="1" ref="AS34" ca="1">IF($AK34="","",_xlfn.LET(_xlpm.auto,AND(MOD(ROW()-4,6)=0,$AM34&lt;&gt;0,SUMPRODUCT(--(OFFSET($AM34,1,0,5,1)&lt;&gt;0))=0),_xlpm.oppA,_xlfn.XLOOKUP($AK34,$H$4:$H$18,$J$4:$J$18,""),_xlpm.oppB,_xlfn.XLOOKUP($AK34,$H$4:$H$18,$K$4:$K$18,""),_xlpm.opp,IF($AL34=_xlpm.oppA,_xlpm.oppB,_xlpm.oppA),IF(_xlpm.auto,SUMIFS($AE$4:$AE$273,$S$4:$S$273,$AK34,$T$4:$T$273,_xlpm.opp),Scorebook!H140)))</f>
        <v>0</v>
      </c>
      <c r="AT34" s="5" cm="1">
        <f t="array" aca="1" ref="AT34" ca="1">IF($AK34="","",_xlfn.LET(_xlpm.auto,AND(MOD(ROW()-4,6)=0,$AM34&lt;&gt;0,SUMPRODUCT(--(OFFSET($AM34,1,0,5,1)&lt;&gt;0))=0),_xlpm.oppA,_xlfn.XLOOKUP($AK34,$H$4:$H$18,$J$4:$J$18,""),_xlpm.oppB,_xlfn.XLOOKUP($AK34,$H$4:$H$18,$K$4:$K$18,""),_xlpm.opp,IF($AL34=_xlpm.oppA,_xlpm.oppB,_xlpm.oppA),IF(_xlpm.auto,SUMIFS($AB$4:$AB$273,$S$4:$S$273,$AK34,$T$4:$T$273,_xlpm.opp),Scorebook!I140)))</f>
        <v>0</v>
      </c>
      <c r="AU34" s="5" cm="1">
        <f t="array" aca="1" ref="AU34" ca="1">IF($AK34="","",_xlfn.LET(_xlpm.auto,AND(MOD(ROW()-4,6)=0,$AM34&lt;&gt;0,SUMPRODUCT(--(OFFSET($AM34,1,0,5,1)&lt;&gt;0))=0),_xlpm.winner,_xlfn.XLOOKUP($AK34,$H$4:$H$18,$L$4:$L$18,""),IF(_xlpm.auto,--($AL34=_xlpm.winner),Scorebook!J140)))</f>
        <v>1</v>
      </c>
      <c r="AV34" s="5" cm="1">
        <f t="array" aca="1" ref="AV34" ca="1">IF($AK34="","",_xlfn.LET(_xlpm.auto,AND(MOD(ROW()-4,6)=0,$AM34&lt;&gt;0,SUMPRODUCT(--(OFFSET($AM34,1,0,5,1)&lt;&gt;0))=0),_xlpm.loser,_xlfn.XLOOKUP($AK34,$H$4:$H$18,$M$4:$M$18,""),IF(_xlpm.auto,--($AL34=_xlpm.loser),Scorebook!K140)))</f>
        <v>0</v>
      </c>
      <c r="AW34" s="5">
        <f ca="1">Scorebook!L140</f>
        <v>0</v>
      </c>
      <c r="AX34" s="5" cm="1">
        <f t="array" aca="1" ref="AX34" ca="1">IF($AK34="","",_xlfn.LET(_xlpm.auto,AND(MOD(ROW()-4,6)=0,$AM34&lt;&gt;0,SUMPRODUCT(--(OFFSET($AM34,1,0,5,1)&lt;&gt;0))=0),_xlpm.oppA,_xlfn.XLOOKUP($AK34,$H$4:$H$18,$J$4:$J$18,""),_xlpm.oppRuns,IF($AL34=_xlpm.oppA,_xlfn.XLOOKUP($AK34,$H$4:$H$18,$O$4:$O$18,""),_xlfn.XLOOKUP($AK34,$H$4:$H$18,$N$4:$N$18,"")),IF(_xlpm.auto,--(_xlpm.oppRuns=0),Scorebook!M140)))</f>
        <v>0</v>
      </c>
      <c r="AY34" s="5" cm="1">
        <f t="array" aca="1" ref="AY34" ca="1">IF($AK34="","",_xlfn.LET(_xlpm.auto,AND(MOD(ROW()-4,6)=0,$AM34&lt;&gt;0,SUMPRODUCT(--(OFFSET($AM34,1,0,5,1)&lt;&gt;0))=0),IF(_xlpm.auto,1,Scorebook!N140)))</f>
        <v>0</v>
      </c>
      <c r="AZ34" s="10"/>
      <c r="BA34" s="10"/>
      <c r="BB34" s="5">
        <f>Settings!$B$2</f>
        <v>1</v>
      </c>
      <c r="BC34" s="5">
        <f>Betting!A36</f>
        <v>0</v>
      </c>
      <c r="BD34" s="5">
        <f>Betting!B36</f>
        <v>0</v>
      </c>
      <c r="BE34" s="5">
        <f>Betting!C36</f>
        <v>0</v>
      </c>
      <c r="BF34" s="5">
        <f>Betting!D36</f>
        <v>0</v>
      </c>
      <c r="BG34" s="5">
        <f>Betting!E36</f>
        <v>0</v>
      </c>
      <c r="BH34" s="5">
        <f>Betting!F36</f>
        <v>0</v>
      </c>
      <c r="BI34" s="4">
        <f>Betting!G36</f>
        <v>0</v>
      </c>
      <c r="BJ34" s="4">
        <f>Betting!H36</f>
        <v>0</v>
      </c>
    </row>
    <row r="35" spans="1:62">
      <c r="A35" s="4">
        <f>ROW()-3</f>
        <v>32</v>
      </c>
      <c r="B35" s="4">
        <f>IF(A35="","",ROUNDUP(A35/Settings!$B$3,0))</f>
        <v>6</v>
      </c>
      <c r="C35" s="5" t="str">
        <f>IF(Draft!$A$37="","",Draft!$D$37)</f>
        <v>Jason</v>
      </c>
      <c r="D35" s="5" t="str">
        <f>IF(Draft!$E$37="","",Draft!$E$37)</f>
        <v>Baby Mario</v>
      </c>
      <c r="E35" s="5">
        <f>Settings!$B$2</f>
        <v>1</v>
      </c>
      <c r="F35" s="5" t="b">
        <f>AND(C35&lt;&gt;"",D35&lt;&gt;"")</f>
        <v>1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4" t="str">
        <f ca="1">Scorebook!$F$51</f>
        <v>G2</v>
      </c>
      <c r="T35" s="5" t="str">
        <f ca="1">Scorebook!$R$51</f>
        <v>Justin</v>
      </c>
      <c r="U35" s="5" t="str">
        <f ca="1">Scorebook!$B$83</f>
        <v>Blue Yoshi</v>
      </c>
      <c r="V35" s="4">
        <v>5</v>
      </c>
      <c r="W35" s="5">
        <f ca="1">Scorebook!M83</f>
        <v>2</v>
      </c>
      <c r="X35" s="5">
        <f ca="1">Scorebook!N83</f>
        <v>0</v>
      </c>
      <c r="Y35" s="5">
        <f ca="1">Scorebook!O83</f>
        <v>0</v>
      </c>
      <c r="Z35" s="5">
        <f ca="1">Scorebook!P83</f>
        <v>0</v>
      </c>
      <c r="AA35" s="5">
        <f ca="1">Scorebook!Q83</f>
        <v>0</v>
      </c>
      <c r="AB35" s="5">
        <f ca="1">Scorebook!R83</f>
        <v>0</v>
      </c>
      <c r="AC35" s="5">
        <f ca="1">Scorebook!S83</f>
        <v>0</v>
      </c>
      <c r="AD35" s="5">
        <f ca="1">Scorebook!T83</f>
        <v>0</v>
      </c>
      <c r="AE35" s="5">
        <f ca="1">Scorebook!U83</f>
        <v>0</v>
      </c>
      <c r="AF35" s="5">
        <f ca="1">Scorebook!V83</f>
        <v>0</v>
      </c>
      <c r="AG35" s="5">
        <f ca="1">Scorebook!W83</f>
        <v>0</v>
      </c>
      <c r="AH35" s="5">
        <f ca="1">Scorebook!X83</f>
        <v>0</v>
      </c>
      <c r="AI35" s="5">
        <f>Settings!$B$2</f>
        <v>1</v>
      </c>
      <c r="AJ35" s="18">
        <f ca="1">IF($AK35="","",Scorebook!$O$141)</f>
        <v>6</v>
      </c>
      <c r="AK35" s="4" t="str">
        <f ca="1">Scorebook!$F$100</f>
        <v>G3</v>
      </c>
      <c r="AL35" s="5" t="str">
        <f ca="1">Scorebook!$R$100</f>
        <v>Nick</v>
      </c>
      <c r="AM35" s="5" t="str">
        <f>Scorebook!$B$141</f>
        <v>Wiggler</v>
      </c>
      <c r="AN35" s="5">
        <f ca="1">IF(Scorebook!C141="","",INT(Scorebook!C141)+MOD(ROUND(Scorebook!C141*10,0),10)/3)</f>
        <v>1.3333333333333333</v>
      </c>
      <c r="AO35" s="5" cm="1">
        <f t="array" aca="1" ref="AO35" ca="1">IF($AK35="","",_xlfn.LET(_xlpm.auto,AND(MOD(ROW()-4,6)=0,$AM35&lt;&gt;0,SUMPRODUCT(--(OFFSET($AM35,1,0,5,1)&lt;&gt;0))=0),_xlpm.oppA,_xlfn.XLOOKUP($AK35,$H$4:$H$18,$J$4:$J$18,""),_xlpm.oppB,_xlfn.XLOOKUP($AK35,$H$4:$H$18,$K$4:$K$18,""),_xlpm.opp,IF($AL35=_xlpm.oppA,_xlpm.oppB,_xlpm.oppA),IF(_xlpm.auto,SUMIFS($Y$4:$Y$273,$S$4:$S$273,$AK35,$T$4:$T$273,_xlpm.opp),Scorebook!D141)))</f>
        <v>2</v>
      </c>
      <c r="AP35" s="5" cm="1">
        <f t="array" aca="1" ref="AP35" ca="1">IF($AK35="","",_xlfn.LET(_xlpm.auto,AND(MOD(ROW()-4,6)=0,$AM35&lt;&gt;0,SUMPRODUCT(--(OFFSET($AM35,1,0,5,1)&lt;&gt;0))=0),_xlpm.oppA,_xlfn.XLOOKUP($AK35,$H$4:$H$18,$J$4:$J$18,""),_xlpm.oppRuns,IF($AL35=_xlpm.oppA,_xlfn.XLOOKUP($AK35,$H$4:$H$18,$O$4:$O$18,""),_xlfn.XLOOKUP($AK35,$H$4:$H$18,$N$4:$N$18,"")),IF(_xlpm.auto,_xlpm.oppRuns,Scorebook!E141)))</f>
        <v>1</v>
      </c>
      <c r="AQ35" s="5">
        <f ca="1">Scorebook!F141</f>
        <v>1</v>
      </c>
      <c r="AR35" s="5" cm="1">
        <f t="array" aca="1" ref="AR35" ca="1">IF($AK35="","",_xlfn.LET(_xlpm.auto,AND(MOD(ROW()-4,6)=0,$AM35&lt;&gt;0,SUMPRODUCT(--(OFFSET($AM35,1,0,5,1)&lt;&gt;0))=0),_xlpm.oppA,_xlfn.XLOOKUP($AK35,$H$4:$H$18,$J$4:$J$18,""),_xlpm.oppB,_xlfn.XLOOKUP($AK35,$H$4:$H$18,$K$4:$K$18,""),_xlpm.opp,IF($AL35=_xlpm.oppA,_xlpm.oppB,_xlpm.oppA),IF(_xlpm.auto,SUMIFS($AD$4:$AD$273,$S$4:$S$273,$AK35,$T$4:$T$273,_xlpm.opp),Scorebook!G141)))</f>
        <v>0</v>
      </c>
      <c r="AS35" s="5" cm="1">
        <f t="array" aca="1" ref="AS35" ca="1">IF($AK35="","",_xlfn.LET(_xlpm.auto,AND(MOD(ROW()-4,6)=0,$AM35&lt;&gt;0,SUMPRODUCT(--(OFFSET($AM35,1,0,5,1)&lt;&gt;0))=0),_xlpm.oppA,_xlfn.XLOOKUP($AK35,$H$4:$H$18,$J$4:$J$18,""),_xlpm.oppB,_xlfn.XLOOKUP($AK35,$H$4:$H$18,$K$4:$K$18,""),_xlpm.opp,IF($AL35=_xlpm.oppA,_xlpm.oppB,_xlpm.oppA),IF(_xlpm.auto,SUMIFS($AE$4:$AE$273,$S$4:$S$273,$AK35,$T$4:$T$273,_xlpm.opp),Scorebook!H141)))</f>
        <v>0</v>
      </c>
      <c r="AT35" s="5" cm="1">
        <f t="array" aca="1" ref="AT35" ca="1">IF($AK35="","",_xlfn.LET(_xlpm.auto,AND(MOD(ROW()-4,6)=0,$AM35&lt;&gt;0,SUMPRODUCT(--(OFFSET($AM35,1,0,5,1)&lt;&gt;0))=0),_xlpm.oppA,_xlfn.XLOOKUP($AK35,$H$4:$H$18,$J$4:$J$18,""),_xlpm.oppB,_xlfn.XLOOKUP($AK35,$H$4:$H$18,$K$4:$K$18,""),_xlpm.opp,IF($AL35=_xlpm.oppA,_xlpm.oppB,_xlpm.oppA),IF(_xlpm.auto,SUMIFS($AB$4:$AB$273,$S$4:$S$273,$AK35,$T$4:$T$273,_xlpm.opp),Scorebook!I141)))</f>
        <v>0</v>
      </c>
      <c r="AU35" s="5" cm="1">
        <f t="array" aca="1" ref="AU35" ca="1">IF($AK35="","",_xlfn.LET(_xlpm.auto,AND(MOD(ROW()-4,6)=0,$AM35&lt;&gt;0,SUMPRODUCT(--(OFFSET($AM35,1,0,5,1)&lt;&gt;0))=0),_xlpm.winner,_xlfn.XLOOKUP($AK35,$H$4:$H$18,$L$4:$L$18,""),IF(_xlpm.auto,--($AL35=_xlpm.winner),Scorebook!J141)))</f>
        <v>0</v>
      </c>
      <c r="AV35" s="5" cm="1">
        <f t="array" aca="1" ref="AV35" ca="1">IF($AK35="","",_xlfn.LET(_xlpm.auto,AND(MOD(ROW()-4,6)=0,$AM35&lt;&gt;0,SUMPRODUCT(--(OFFSET($AM35,1,0,5,1)&lt;&gt;0))=0),_xlpm.loser,_xlfn.XLOOKUP($AK35,$H$4:$H$18,$M$4:$M$18,""),IF(_xlpm.auto,--($AL35=_xlpm.loser),Scorebook!K141)))</f>
        <v>0</v>
      </c>
      <c r="AW35" s="5">
        <f ca="1">Scorebook!L141</f>
        <v>0</v>
      </c>
      <c r="AX35" s="5" cm="1">
        <f t="array" aca="1" ref="AX35" ca="1">IF($AK35="","",_xlfn.LET(_xlpm.auto,AND(MOD(ROW()-4,6)=0,$AM35&lt;&gt;0,SUMPRODUCT(--(OFFSET($AM35,1,0,5,1)&lt;&gt;0))=0),_xlpm.oppA,_xlfn.XLOOKUP($AK35,$H$4:$H$18,$J$4:$J$18,""),_xlpm.oppRuns,IF($AL35=_xlpm.oppA,_xlfn.XLOOKUP($AK35,$H$4:$H$18,$O$4:$O$18,""),_xlfn.XLOOKUP($AK35,$H$4:$H$18,$N$4:$N$18,"")),IF(_xlpm.auto,--(_xlpm.oppRuns=0),Scorebook!M141)))</f>
        <v>0</v>
      </c>
      <c r="AY35" s="5" cm="1">
        <f t="array" aca="1" ref="AY35" ca="1">IF($AK35="","",_xlfn.LET(_xlpm.auto,AND(MOD(ROW()-4,6)=0,$AM35&lt;&gt;0,SUMPRODUCT(--(OFFSET($AM35,1,0,5,1)&lt;&gt;0))=0),IF(_xlpm.auto,1,Scorebook!N141)))</f>
        <v>0</v>
      </c>
      <c r="AZ35" s="10"/>
      <c r="BA35" s="10"/>
      <c r="BB35" s="5">
        <f>Settings!$B$2</f>
        <v>1</v>
      </c>
      <c r="BC35" s="5">
        <f>Betting!A37</f>
        <v>0</v>
      </c>
      <c r="BD35" s="5">
        <f>Betting!B37</f>
        <v>0</v>
      </c>
      <c r="BE35" s="5">
        <f>Betting!C37</f>
        <v>0</v>
      </c>
      <c r="BF35" s="5">
        <f>Betting!D37</f>
        <v>0</v>
      </c>
      <c r="BG35" s="5">
        <f>Betting!E37</f>
        <v>0</v>
      </c>
      <c r="BH35" s="5">
        <f>Betting!F37</f>
        <v>0</v>
      </c>
      <c r="BI35" s="4">
        <f>Betting!G37</f>
        <v>0</v>
      </c>
      <c r="BJ35" s="4">
        <f>Betting!H37</f>
        <v>0</v>
      </c>
    </row>
    <row r="36" spans="1:62">
      <c r="A36" s="4">
        <f>ROW()-3</f>
        <v>33</v>
      </c>
      <c r="B36" s="4">
        <f>IF(A36="","",ROUNDUP(A36/Settings!$B$3,0))</f>
        <v>6</v>
      </c>
      <c r="C36" s="5" t="str">
        <f>IF(Draft!$A$38="","",Draft!$D$38)</f>
        <v>Aidan</v>
      </c>
      <c r="D36" s="5" t="str">
        <f>IF(Draft!$E$38="","",Draft!$E$38)</f>
        <v>Blue Pianta</v>
      </c>
      <c r="E36" s="5">
        <f>Settings!$B$2</f>
        <v>1</v>
      </c>
      <c r="F36" s="5" t="b">
        <f>AND(C36&lt;&gt;"",D36&lt;&gt;"")</f>
        <v>1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4" t="str">
        <f ca="1">Scorebook!$F$51</f>
        <v>G2</v>
      </c>
      <c r="T36" s="5" t="str">
        <f ca="1">Scorebook!$R$51</f>
        <v>Justin</v>
      </c>
      <c r="U36" s="5" t="str">
        <f ca="1">Scorebook!$B$84</f>
        <v>Baby Luigi</v>
      </c>
      <c r="V36" s="4">
        <v>6</v>
      </c>
      <c r="W36" s="5">
        <f ca="1">Scorebook!M84</f>
        <v>1</v>
      </c>
      <c r="X36" s="5">
        <f ca="1">Scorebook!N84</f>
        <v>0</v>
      </c>
      <c r="Y36" s="5">
        <f ca="1">Scorebook!O84</f>
        <v>1</v>
      </c>
      <c r="Z36" s="5">
        <f ca="1">Scorebook!P84</f>
        <v>0</v>
      </c>
      <c r="AA36" s="5">
        <f ca="1">Scorebook!Q84</f>
        <v>0</v>
      </c>
      <c r="AB36" s="5">
        <f ca="1">Scorebook!R84</f>
        <v>0</v>
      </c>
      <c r="AC36" s="5">
        <f ca="1">Scorebook!S84</f>
        <v>0</v>
      </c>
      <c r="AD36" s="5">
        <f ca="1">Scorebook!T84</f>
        <v>0</v>
      </c>
      <c r="AE36" s="5">
        <f ca="1">Scorebook!U84</f>
        <v>0</v>
      </c>
      <c r="AF36" s="5">
        <f ca="1">Scorebook!V84</f>
        <v>0</v>
      </c>
      <c r="AG36" s="5">
        <f ca="1">Scorebook!W84</f>
        <v>0</v>
      </c>
      <c r="AH36" s="5">
        <f ca="1">Scorebook!X84</f>
        <v>0</v>
      </c>
      <c r="AI36" s="5">
        <f>Settings!$B$2</f>
        <v>1</v>
      </c>
      <c r="AJ36" s="18">
        <f ca="1">IF($AK36="","",Scorebook!$O$142)</f>
        <v>2</v>
      </c>
      <c r="AK36" s="4" t="str">
        <f ca="1">Scorebook!$F$100</f>
        <v>G3</v>
      </c>
      <c r="AL36" s="5" t="str">
        <f ca="1">Scorebook!$R$100</f>
        <v>Nick</v>
      </c>
      <c r="AM36" s="5" t="str">
        <f>Scorebook!$B$142</f>
        <v>Boomerang Bro</v>
      </c>
      <c r="AN36" s="5">
        <f ca="1">IF(Scorebook!C142="","",INT(Scorebook!C142)+MOD(ROUND(Scorebook!C142*10,0),10)/3)</f>
        <v>0.3333333333333333</v>
      </c>
      <c r="AO36" s="5" cm="1">
        <f t="array" aca="1" ref="AO36" ca="1">IF($AK36="","",_xlfn.LET(_xlpm.auto,AND(MOD(ROW()-4,6)=0,$AM36&lt;&gt;0,SUMPRODUCT(--(OFFSET($AM36,1,0,5,1)&lt;&gt;0))=0),_xlpm.oppA,_xlfn.XLOOKUP($AK36,$H$4:$H$18,$J$4:$J$18,""),_xlpm.oppB,_xlfn.XLOOKUP($AK36,$H$4:$H$18,$K$4:$K$18,""),_xlpm.opp,IF($AL36=_xlpm.oppA,_xlpm.oppB,_xlpm.oppA),IF(_xlpm.auto,SUMIFS($Y$4:$Y$273,$S$4:$S$273,$AK36,$T$4:$T$273,_xlpm.opp),Scorebook!D142)))</f>
        <v>1</v>
      </c>
      <c r="AP36" s="5" cm="1">
        <f t="array" aca="1" ref="AP36" ca="1">IF($AK36="","",_xlfn.LET(_xlpm.auto,AND(MOD(ROW()-4,6)=0,$AM36&lt;&gt;0,SUMPRODUCT(--(OFFSET($AM36,1,0,5,1)&lt;&gt;0))=0),_xlpm.oppA,_xlfn.XLOOKUP($AK36,$H$4:$H$18,$J$4:$J$18,""),_xlpm.oppRuns,IF($AL36=_xlpm.oppA,_xlfn.XLOOKUP($AK36,$H$4:$H$18,$O$4:$O$18,""),_xlfn.XLOOKUP($AK36,$H$4:$H$18,$N$4:$N$18,"")),IF(_xlpm.auto,_xlpm.oppRuns,Scorebook!E142)))</f>
        <v>0</v>
      </c>
      <c r="AQ36" s="5">
        <f ca="1">Scorebook!F142</f>
        <v>0</v>
      </c>
      <c r="AR36" s="5" cm="1">
        <f t="array" aca="1" ref="AR36" ca="1">IF($AK36="","",_xlfn.LET(_xlpm.auto,AND(MOD(ROW()-4,6)=0,$AM36&lt;&gt;0,SUMPRODUCT(--(OFFSET($AM36,1,0,5,1)&lt;&gt;0))=0),_xlpm.oppA,_xlfn.XLOOKUP($AK36,$H$4:$H$18,$J$4:$J$18,""),_xlpm.oppB,_xlfn.XLOOKUP($AK36,$H$4:$H$18,$K$4:$K$18,""),_xlpm.opp,IF($AL36=_xlpm.oppA,_xlpm.oppB,_xlpm.oppA),IF(_xlpm.auto,SUMIFS($AD$4:$AD$273,$S$4:$S$273,$AK36,$T$4:$T$273,_xlpm.opp),Scorebook!G142)))</f>
        <v>0</v>
      </c>
      <c r="AS36" s="5" cm="1">
        <f t="array" aca="1" ref="AS36" ca="1">IF($AK36="","",_xlfn.LET(_xlpm.auto,AND(MOD(ROW()-4,6)=0,$AM36&lt;&gt;0,SUMPRODUCT(--(OFFSET($AM36,1,0,5,1)&lt;&gt;0))=0),_xlpm.oppA,_xlfn.XLOOKUP($AK36,$H$4:$H$18,$J$4:$J$18,""),_xlpm.oppB,_xlfn.XLOOKUP($AK36,$H$4:$H$18,$K$4:$K$18,""),_xlpm.opp,IF($AL36=_xlpm.oppA,_xlpm.oppB,_xlpm.oppA),IF(_xlpm.auto,SUMIFS($AE$4:$AE$273,$S$4:$S$273,$AK36,$T$4:$T$273,_xlpm.opp),Scorebook!H142)))</f>
        <v>0</v>
      </c>
      <c r="AT36" s="5" cm="1">
        <f t="array" aca="1" ref="AT36" ca="1">IF($AK36="","",_xlfn.LET(_xlpm.auto,AND(MOD(ROW()-4,6)=0,$AM36&lt;&gt;0,SUMPRODUCT(--(OFFSET($AM36,1,0,5,1)&lt;&gt;0))=0),_xlpm.oppA,_xlfn.XLOOKUP($AK36,$H$4:$H$18,$J$4:$J$18,""),_xlpm.oppB,_xlfn.XLOOKUP($AK36,$H$4:$H$18,$K$4:$K$18,""),_xlpm.opp,IF($AL36=_xlpm.oppA,_xlpm.oppB,_xlpm.oppA),IF(_xlpm.auto,SUMIFS($AB$4:$AB$273,$S$4:$S$273,$AK36,$T$4:$T$273,_xlpm.opp),Scorebook!I142)))</f>
        <v>0</v>
      </c>
      <c r="AU36" s="5" cm="1">
        <f t="array" aca="1" ref="AU36" ca="1">IF($AK36="","",_xlfn.LET(_xlpm.auto,AND(MOD(ROW()-4,6)=0,$AM36&lt;&gt;0,SUMPRODUCT(--(OFFSET($AM36,1,0,5,1)&lt;&gt;0))=0),_xlpm.winner,_xlfn.XLOOKUP($AK36,$H$4:$H$18,$L$4:$L$18,""),IF(_xlpm.auto,--($AL36=_xlpm.winner),Scorebook!J142)))</f>
        <v>0</v>
      </c>
      <c r="AV36" s="5" cm="1">
        <f t="array" aca="1" ref="AV36" ca="1">IF($AK36="","",_xlfn.LET(_xlpm.auto,AND(MOD(ROW()-4,6)=0,$AM36&lt;&gt;0,SUMPRODUCT(--(OFFSET($AM36,1,0,5,1)&lt;&gt;0))=0),_xlpm.loser,_xlfn.XLOOKUP($AK36,$H$4:$H$18,$M$4:$M$18,""),IF(_xlpm.auto,--($AL36=_xlpm.loser),Scorebook!K142)))</f>
        <v>0</v>
      </c>
      <c r="AW36" s="5">
        <f ca="1">Scorebook!L142</f>
        <v>0</v>
      </c>
      <c r="AX36" s="5" cm="1">
        <f t="array" aca="1" ref="AX36" ca="1">IF($AK36="","",_xlfn.LET(_xlpm.auto,AND(MOD(ROW()-4,6)=0,$AM36&lt;&gt;0,SUMPRODUCT(--(OFFSET($AM36,1,0,5,1)&lt;&gt;0))=0),_xlpm.oppA,_xlfn.XLOOKUP($AK36,$H$4:$H$18,$J$4:$J$18,""),_xlpm.oppRuns,IF($AL36=_xlpm.oppA,_xlfn.XLOOKUP($AK36,$H$4:$H$18,$O$4:$O$18,""),_xlfn.XLOOKUP($AK36,$H$4:$H$18,$N$4:$N$18,"")),IF(_xlpm.auto,--(_xlpm.oppRuns=0),Scorebook!M142)))</f>
        <v>0</v>
      </c>
      <c r="AY36" s="5" cm="1">
        <f t="array" aca="1" ref="AY36" ca="1">IF($AK36="","",_xlfn.LET(_xlpm.auto,AND(MOD(ROW()-4,6)=0,$AM36&lt;&gt;0,SUMPRODUCT(--(OFFSET($AM36,1,0,5,1)&lt;&gt;0))=0),IF(_xlpm.auto,1,Scorebook!N142)))</f>
        <v>0</v>
      </c>
      <c r="AZ36" s="10"/>
      <c r="BA36" s="10"/>
      <c r="BB36" s="5">
        <f>Settings!$B$2</f>
        <v>1</v>
      </c>
      <c r="BC36" s="5">
        <f>Betting!A38</f>
        <v>0</v>
      </c>
      <c r="BD36" s="5">
        <f>Betting!B38</f>
        <v>0</v>
      </c>
      <c r="BE36" s="5">
        <f>Betting!C38</f>
        <v>0</v>
      </c>
      <c r="BF36" s="5">
        <f>Betting!D38</f>
        <v>0</v>
      </c>
      <c r="BG36" s="5">
        <f>Betting!E38</f>
        <v>0</v>
      </c>
      <c r="BH36" s="5">
        <f>Betting!F38</f>
        <v>0</v>
      </c>
      <c r="BI36" s="4">
        <f>Betting!G38</f>
        <v>0</v>
      </c>
      <c r="BJ36" s="4">
        <f>Betting!H38</f>
        <v>0</v>
      </c>
    </row>
    <row r="37" spans="1:62">
      <c r="A37" s="4">
        <f>ROW()-3</f>
        <v>34</v>
      </c>
      <c r="B37" s="4">
        <f>IF(A37="","",ROUNDUP(A37/Settings!$B$3,0))</f>
        <v>6</v>
      </c>
      <c r="C37" s="5" t="str">
        <f>IF(Draft!$A$39="","",Draft!$D$39)</f>
        <v>Nick</v>
      </c>
      <c r="D37" s="5" t="str">
        <f>IF(Draft!$E$39="","",Draft!$E$39)</f>
        <v>Wario</v>
      </c>
      <c r="E37" s="5">
        <f>Settings!$B$2</f>
        <v>1</v>
      </c>
      <c r="F37" s="5" t="b">
        <f>AND(C37&lt;&gt;"",D37&lt;&gt;"")</f>
        <v>1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4" t="str">
        <f ca="1">Scorebook!$F$51</f>
        <v>G2</v>
      </c>
      <c r="T37" s="5" t="str">
        <f ca="1">Scorebook!$R$51</f>
        <v>Justin</v>
      </c>
      <c r="U37" s="5" t="str">
        <f ca="1">Scorebook!$B$85</f>
        <v>Paratroopa</v>
      </c>
      <c r="V37" s="4">
        <v>7</v>
      </c>
      <c r="W37" s="5">
        <f ca="1">Scorebook!M85</f>
        <v>1</v>
      </c>
      <c r="X37" s="5">
        <f ca="1">Scorebook!N85</f>
        <v>0</v>
      </c>
      <c r="Y37" s="5">
        <f ca="1">Scorebook!O85</f>
        <v>0</v>
      </c>
      <c r="Z37" s="5">
        <f ca="1">Scorebook!P85</f>
        <v>0</v>
      </c>
      <c r="AA37" s="5">
        <f ca="1">Scorebook!Q85</f>
        <v>0</v>
      </c>
      <c r="AB37" s="5">
        <f ca="1">Scorebook!R85</f>
        <v>0</v>
      </c>
      <c r="AC37" s="5">
        <f ca="1">Scorebook!S85</f>
        <v>0</v>
      </c>
      <c r="AD37" s="5">
        <f ca="1">Scorebook!T85</f>
        <v>0</v>
      </c>
      <c r="AE37" s="5">
        <f ca="1">Scorebook!U85</f>
        <v>1</v>
      </c>
      <c r="AF37" s="5">
        <f ca="1">Scorebook!V85</f>
        <v>0</v>
      </c>
      <c r="AG37" s="5">
        <f ca="1">Scorebook!W85</f>
        <v>0</v>
      </c>
      <c r="AH37" s="5">
        <f ca="1">Scorebook!X85</f>
        <v>0</v>
      </c>
      <c r="AI37" s="5">
        <f>Settings!$B$2</f>
        <v>1</v>
      </c>
      <c r="AJ37" s="18">
        <f ca="1">IF($AK37="","",Scorebook!$O$143)</f>
      </c>
      <c r="AK37" s="4" t="str">
        <f ca="1">Scorebook!$F$100</f>
        <v>G3</v>
      </c>
      <c r="AL37" s="5" t="str">
        <f ca="1">Scorebook!$R$100</f>
        <v>Nick</v>
      </c>
      <c r="AM37" s="5" t="str">
        <f>Scorebook!$B$143</f>
      </c>
      <c r="AN37" s="5">
        <f ca="1">IF(Scorebook!C143="","",INT(Scorebook!C143)+MOD(ROUND(Scorebook!C143*10,0),10)/3)</f>
      </c>
      <c r="AO37" s="5" cm="1">
        <f t="array" aca="1" ref="AO37" ca="1">IF($AK37="","",_xlfn.LET(_xlpm.auto,AND(MOD(ROW()-4,6)=0,$AM37&lt;&gt;0,SUMPRODUCT(--(OFFSET($AM37,1,0,5,1)&lt;&gt;0))=0),_xlpm.oppA,_xlfn.XLOOKUP($AK37,$H$4:$H$18,$J$4:$J$18,""),_xlpm.oppB,_xlfn.XLOOKUP($AK37,$H$4:$H$18,$K$4:$K$18,""),_xlpm.opp,IF($AL37=_xlpm.oppA,_xlpm.oppB,_xlpm.oppA),IF(_xlpm.auto,SUMIFS($Y$4:$Y$273,$S$4:$S$273,$AK37,$T$4:$T$273,_xlpm.opp),Scorebook!D143)))</f>
      </c>
      <c r="AP37" s="5" cm="1">
        <f t="array" aca="1" ref="AP37" ca="1">IF($AK37="","",_xlfn.LET(_xlpm.auto,AND(MOD(ROW()-4,6)=0,$AM37&lt;&gt;0,SUMPRODUCT(--(OFFSET($AM37,1,0,5,1)&lt;&gt;0))=0),_xlpm.oppA,_xlfn.XLOOKUP($AK37,$H$4:$H$18,$J$4:$J$18,""),_xlpm.oppRuns,IF($AL37=_xlpm.oppA,_xlfn.XLOOKUP($AK37,$H$4:$H$18,$O$4:$O$18,""),_xlfn.XLOOKUP($AK37,$H$4:$H$18,$N$4:$N$18,"")),IF(_xlpm.auto,_xlpm.oppRuns,Scorebook!E143)))</f>
      </c>
      <c r="AQ37" s="5">
        <f ca="1">Scorebook!F143</f>
      </c>
      <c r="AR37" s="5" cm="1">
        <f t="array" aca="1" ref="AR37" ca="1">IF($AK37="","",_xlfn.LET(_xlpm.auto,AND(MOD(ROW()-4,6)=0,$AM37&lt;&gt;0,SUMPRODUCT(--(OFFSET($AM37,1,0,5,1)&lt;&gt;0))=0),_xlpm.oppA,_xlfn.XLOOKUP($AK37,$H$4:$H$18,$J$4:$J$18,""),_xlpm.oppB,_xlfn.XLOOKUP($AK37,$H$4:$H$18,$K$4:$K$18,""),_xlpm.opp,IF($AL37=_xlpm.oppA,_xlpm.oppB,_xlpm.oppA),IF(_xlpm.auto,SUMIFS($AD$4:$AD$273,$S$4:$S$273,$AK37,$T$4:$T$273,_xlpm.opp),Scorebook!G143)))</f>
      </c>
      <c r="AS37" s="5" cm="1">
        <f t="array" aca="1" ref="AS37" ca="1">IF($AK37="","",_xlfn.LET(_xlpm.auto,AND(MOD(ROW()-4,6)=0,$AM37&lt;&gt;0,SUMPRODUCT(--(OFFSET($AM37,1,0,5,1)&lt;&gt;0))=0),_xlpm.oppA,_xlfn.XLOOKUP($AK37,$H$4:$H$18,$J$4:$J$18,""),_xlpm.oppB,_xlfn.XLOOKUP($AK37,$H$4:$H$18,$K$4:$K$18,""),_xlpm.opp,IF($AL37=_xlpm.oppA,_xlpm.oppB,_xlpm.oppA),IF(_xlpm.auto,SUMIFS($AE$4:$AE$273,$S$4:$S$273,$AK37,$T$4:$T$273,_xlpm.opp),Scorebook!H143)))</f>
      </c>
      <c r="AT37" s="5" cm="1">
        <f t="array" aca="1" ref="AT37" ca="1">IF($AK37="","",_xlfn.LET(_xlpm.auto,AND(MOD(ROW()-4,6)=0,$AM37&lt;&gt;0,SUMPRODUCT(--(OFFSET($AM37,1,0,5,1)&lt;&gt;0))=0),_xlpm.oppA,_xlfn.XLOOKUP($AK37,$H$4:$H$18,$J$4:$J$18,""),_xlpm.oppB,_xlfn.XLOOKUP($AK37,$H$4:$H$18,$K$4:$K$18,""),_xlpm.opp,IF($AL37=_xlpm.oppA,_xlpm.oppB,_xlpm.oppA),IF(_xlpm.auto,SUMIFS($AB$4:$AB$273,$S$4:$S$273,$AK37,$T$4:$T$273,_xlpm.opp),Scorebook!I143)))</f>
      </c>
      <c r="AU37" s="5" cm="1">
        <f t="array" aca="1" ref="AU37" ca="1">IF($AK37="","",_xlfn.LET(_xlpm.auto,AND(MOD(ROW()-4,6)=0,$AM37&lt;&gt;0,SUMPRODUCT(--(OFFSET($AM37,1,0,5,1)&lt;&gt;0))=0),_xlpm.winner,_xlfn.XLOOKUP($AK37,$H$4:$H$18,$L$4:$L$18,""),IF(_xlpm.auto,--($AL37=_xlpm.winner),Scorebook!J143)))</f>
      </c>
      <c r="AV37" s="5" cm="1">
        <f t="array" aca="1" ref="AV37" ca="1">IF($AK37="","",_xlfn.LET(_xlpm.auto,AND(MOD(ROW()-4,6)=0,$AM37&lt;&gt;0,SUMPRODUCT(--(OFFSET($AM37,1,0,5,1)&lt;&gt;0))=0),_xlpm.loser,_xlfn.XLOOKUP($AK37,$H$4:$H$18,$M$4:$M$18,""),IF(_xlpm.auto,--($AL37=_xlpm.loser),Scorebook!K143)))</f>
      </c>
      <c r="AW37" s="5">
        <f ca="1">Scorebook!L143</f>
      </c>
      <c r="AX37" s="5" cm="1">
        <f t="array" aca="1" ref="AX37" ca="1">IF($AK37="","",_xlfn.LET(_xlpm.auto,AND(MOD(ROW()-4,6)=0,$AM37&lt;&gt;0,SUMPRODUCT(--(OFFSET($AM37,1,0,5,1)&lt;&gt;0))=0),_xlpm.oppA,_xlfn.XLOOKUP($AK37,$H$4:$H$18,$J$4:$J$18,""),_xlpm.oppRuns,IF($AL37=_xlpm.oppA,_xlfn.XLOOKUP($AK37,$H$4:$H$18,$O$4:$O$18,""),_xlfn.XLOOKUP($AK37,$H$4:$H$18,$N$4:$N$18,"")),IF(_xlpm.auto,--(_xlpm.oppRuns=0),Scorebook!M143)))</f>
      </c>
      <c r="AY37" s="5" cm="1">
        <f t="array" aca="1" ref="AY37" ca="1">IF($AK37="","",_xlfn.LET(_xlpm.auto,AND(MOD(ROW()-4,6)=0,$AM37&lt;&gt;0,SUMPRODUCT(--(OFFSET($AM37,1,0,5,1)&lt;&gt;0))=0),IF(_xlpm.auto,1,Scorebook!N143)))</f>
      </c>
      <c r="AZ37" s="10"/>
      <c r="BA37" s="10"/>
      <c r="BB37" s="5">
        <f>Settings!$B$2</f>
        <v>1</v>
      </c>
      <c r="BC37" s="5">
        <f>Betting!A39</f>
        <v>0</v>
      </c>
      <c r="BD37" s="5">
        <f>Betting!B39</f>
        <v>0</v>
      </c>
      <c r="BE37" s="5">
        <f>Betting!C39</f>
        <v>0</v>
      </c>
      <c r="BF37" s="5">
        <f>Betting!D39</f>
        <v>0</v>
      </c>
      <c r="BG37" s="5">
        <f>Betting!E39</f>
        <v>0</v>
      </c>
      <c r="BH37" s="5">
        <f>Betting!F39</f>
        <v>0</v>
      </c>
      <c r="BI37" s="4">
        <f>Betting!G39</f>
        <v>0</v>
      </c>
      <c r="BJ37" s="4">
        <f>Betting!H39</f>
        <v>0</v>
      </c>
    </row>
    <row r="38" spans="1:62">
      <c r="A38" s="4">
        <f>ROW()-3</f>
        <v>35</v>
      </c>
      <c r="B38" s="4">
        <f>IF(A38="","",ROUNDUP(A38/Settings!$B$3,0))</f>
        <v>6</v>
      </c>
      <c r="C38" s="5" t="str">
        <f>IF(Draft!$A$40="","",Draft!$D$40)</f>
        <v>Donovan</v>
      </c>
      <c r="D38" s="5" t="str">
        <f>IF(Draft!$E$40="","",Draft!$E$40)</f>
        <v>Fire Bro</v>
      </c>
      <c r="E38" s="5">
        <f>Settings!$B$2</f>
        <v>1</v>
      </c>
      <c r="F38" s="5" t="b">
        <f>AND(C38&lt;&gt;"",D38&lt;&gt;"")</f>
        <v>1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4" t="str">
        <f ca="1">Scorebook!$F$51</f>
        <v>G2</v>
      </c>
      <c r="T38" s="5" t="str">
        <f ca="1">Scorebook!$R$51</f>
        <v>Justin</v>
      </c>
      <c r="U38" s="5" t="str">
        <f ca="1">Scorebook!$B$86</f>
        <v>Yellow Magikoopa</v>
      </c>
      <c r="V38" s="4">
        <v>8</v>
      </c>
      <c r="W38" s="5">
        <f ca="1">Scorebook!M86</f>
        <v>1</v>
      </c>
      <c r="X38" s="5">
        <f ca="1">Scorebook!N86</f>
        <v>1</v>
      </c>
      <c r="Y38" s="5">
        <f ca="1">Scorebook!O86</f>
        <v>1</v>
      </c>
      <c r="Z38" s="5">
        <f ca="1">Scorebook!P86</f>
        <v>0</v>
      </c>
      <c r="AA38" s="5">
        <f ca="1">Scorebook!Q86</f>
        <v>0</v>
      </c>
      <c r="AB38" s="5">
        <f ca="1">Scorebook!R86</f>
        <v>1</v>
      </c>
      <c r="AC38" s="5">
        <f ca="1">Scorebook!S86</f>
        <v>1</v>
      </c>
      <c r="AD38" s="5">
        <f ca="1">Scorebook!T86</f>
        <v>0</v>
      </c>
      <c r="AE38" s="5">
        <f ca="1">Scorebook!U86</f>
        <v>0</v>
      </c>
      <c r="AF38" s="5">
        <f ca="1">Scorebook!V86</f>
        <v>0</v>
      </c>
      <c r="AG38" s="5">
        <f ca="1">Scorebook!W86</f>
        <v>0</v>
      </c>
      <c r="AH38" s="5">
        <f ca="1">Scorebook!X86</f>
        <v>0</v>
      </c>
      <c r="AI38" s="5">
        <f>Settings!$B$2</f>
        <v>1</v>
      </c>
      <c r="AJ38" s="18">
        <f ca="1">IF($AK38="","",Scorebook!$O$144)</f>
      </c>
      <c r="AK38" s="4" t="str">
        <f ca="1">Scorebook!$F$100</f>
        <v>G3</v>
      </c>
      <c r="AL38" s="5" t="str">
        <f ca="1">Scorebook!$R$100</f>
        <v>Nick</v>
      </c>
      <c r="AM38" s="5" t="str">
        <f>Scorebook!$B$144</f>
      </c>
      <c r="AN38" s="5">
        <f ca="1">IF(Scorebook!C144="","",INT(Scorebook!C144)+MOD(ROUND(Scorebook!C144*10,0),10)/3)</f>
      </c>
      <c r="AO38" s="5" cm="1">
        <f t="array" aca="1" ref="AO38" ca="1">IF($AK38="","",_xlfn.LET(_xlpm.auto,AND(MOD(ROW()-4,6)=0,$AM38&lt;&gt;0,SUMPRODUCT(--(OFFSET($AM38,1,0,5,1)&lt;&gt;0))=0),_xlpm.oppA,_xlfn.XLOOKUP($AK38,$H$4:$H$18,$J$4:$J$18,""),_xlpm.oppB,_xlfn.XLOOKUP($AK38,$H$4:$H$18,$K$4:$K$18,""),_xlpm.opp,IF($AL38=_xlpm.oppA,_xlpm.oppB,_xlpm.oppA),IF(_xlpm.auto,SUMIFS($Y$4:$Y$273,$S$4:$S$273,$AK38,$T$4:$T$273,_xlpm.opp),Scorebook!D144)))</f>
      </c>
      <c r="AP38" s="5" cm="1">
        <f t="array" aca="1" ref="AP38" ca="1">IF($AK38="","",_xlfn.LET(_xlpm.auto,AND(MOD(ROW()-4,6)=0,$AM38&lt;&gt;0,SUMPRODUCT(--(OFFSET($AM38,1,0,5,1)&lt;&gt;0))=0),_xlpm.oppA,_xlfn.XLOOKUP($AK38,$H$4:$H$18,$J$4:$J$18,""),_xlpm.oppRuns,IF($AL38=_xlpm.oppA,_xlfn.XLOOKUP($AK38,$H$4:$H$18,$O$4:$O$18,""),_xlfn.XLOOKUP($AK38,$H$4:$H$18,$N$4:$N$18,"")),IF(_xlpm.auto,_xlpm.oppRuns,Scorebook!E144)))</f>
      </c>
      <c r="AQ38" s="5">
        <f ca="1">Scorebook!F144</f>
      </c>
      <c r="AR38" s="5" cm="1">
        <f t="array" aca="1" ref="AR38" ca="1">IF($AK38="","",_xlfn.LET(_xlpm.auto,AND(MOD(ROW()-4,6)=0,$AM38&lt;&gt;0,SUMPRODUCT(--(OFFSET($AM38,1,0,5,1)&lt;&gt;0))=0),_xlpm.oppA,_xlfn.XLOOKUP($AK38,$H$4:$H$18,$J$4:$J$18,""),_xlpm.oppB,_xlfn.XLOOKUP($AK38,$H$4:$H$18,$K$4:$K$18,""),_xlpm.opp,IF($AL38=_xlpm.oppA,_xlpm.oppB,_xlpm.oppA),IF(_xlpm.auto,SUMIFS($AD$4:$AD$273,$S$4:$S$273,$AK38,$T$4:$T$273,_xlpm.opp),Scorebook!G144)))</f>
      </c>
      <c r="AS38" s="5" cm="1">
        <f t="array" aca="1" ref="AS38" ca="1">IF($AK38="","",_xlfn.LET(_xlpm.auto,AND(MOD(ROW()-4,6)=0,$AM38&lt;&gt;0,SUMPRODUCT(--(OFFSET($AM38,1,0,5,1)&lt;&gt;0))=0),_xlpm.oppA,_xlfn.XLOOKUP($AK38,$H$4:$H$18,$J$4:$J$18,""),_xlpm.oppB,_xlfn.XLOOKUP($AK38,$H$4:$H$18,$K$4:$K$18,""),_xlpm.opp,IF($AL38=_xlpm.oppA,_xlpm.oppB,_xlpm.oppA),IF(_xlpm.auto,SUMIFS($AE$4:$AE$273,$S$4:$S$273,$AK38,$T$4:$T$273,_xlpm.opp),Scorebook!H144)))</f>
      </c>
      <c r="AT38" s="5" cm="1">
        <f t="array" aca="1" ref="AT38" ca="1">IF($AK38="","",_xlfn.LET(_xlpm.auto,AND(MOD(ROW()-4,6)=0,$AM38&lt;&gt;0,SUMPRODUCT(--(OFFSET($AM38,1,0,5,1)&lt;&gt;0))=0),_xlpm.oppA,_xlfn.XLOOKUP($AK38,$H$4:$H$18,$J$4:$J$18,""),_xlpm.oppB,_xlfn.XLOOKUP($AK38,$H$4:$H$18,$K$4:$K$18,""),_xlpm.opp,IF($AL38=_xlpm.oppA,_xlpm.oppB,_xlpm.oppA),IF(_xlpm.auto,SUMIFS($AB$4:$AB$273,$S$4:$S$273,$AK38,$T$4:$T$273,_xlpm.opp),Scorebook!I144)))</f>
      </c>
      <c r="AU38" s="5" cm="1">
        <f t="array" aca="1" ref="AU38" ca="1">IF($AK38="","",_xlfn.LET(_xlpm.auto,AND(MOD(ROW()-4,6)=0,$AM38&lt;&gt;0,SUMPRODUCT(--(OFFSET($AM38,1,0,5,1)&lt;&gt;0))=0),_xlpm.winner,_xlfn.XLOOKUP($AK38,$H$4:$H$18,$L$4:$L$18,""),IF(_xlpm.auto,--($AL38=_xlpm.winner),Scorebook!J144)))</f>
      </c>
      <c r="AV38" s="5" cm="1">
        <f t="array" aca="1" ref="AV38" ca="1">IF($AK38="","",_xlfn.LET(_xlpm.auto,AND(MOD(ROW()-4,6)=0,$AM38&lt;&gt;0,SUMPRODUCT(--(OFFSET($AM38,1,0,5,1)&lt;&gt;0))=0),_xlpm.loser,_xlfn.XLOOKUP($AK38,$H$4:$H$18,$M$4:$M$18,""),IF(_xlpm.auto,--($AL38=_xlpm.loser),Scorebook!K144)))</f>
      </c>
      <c r="AW38" s="5">
        <f ca="1">Scorebook!L144</f>
      </c>
      <c r="AX38" s="5" cm="1">
        <f t="array" aca="1" ref="AX38" ca="1">IF($AK38="","",_xlfn.LET(_xlpm.auto,AND(MOD(ROW()-4,6)=0,$AM38&lt;&gt;0,SUMPRODUCT(--(OFFSET($AM38,1,0,5,1)&lt;&gt;0))=0),_xlpm.oppA,_xlfn.XLOOKUP($AK38,$H$4:$H$18,$J$4:$J$18,""),_xlpm.oppRuns,IF($AL38=_xlpm.oppA,_xlfn.XLOOKUP($AK38,$H$4:$H$18,$O$4:$O$18,""),_xlfn.XLOOKUP($AK38,$H$4:$H$18,$N$4:$N$18,"")),IF(_xlpm.auto,--(_xlpm.oppRuns=0),Scorebook!M144)))</f>
      </c>
      <c r="AY38" s="5" cm="1">
        <f t="array" aca="1" ref="AY38" ca="1">IF($AK38="","",_xlfn.LET(_xlpm.auto,AND(MOD(ROW()-4,6)=0,$AM38&lt;&gt;0,SUMPRODUCT(--(OFFSET($AM38,1,0,5,1)&lt;&gt;0))=0),IF(_xlpm.auto,1,Scorebook!N144)))</f>
      </c>
      <c r="AZ38" s="10"/>
      <c r="BA38" s="10"/>
      <c r="BB38" s="5">
        <f>Settings!$B$2</f>
        <v>1</v>
      </c>
      <c r="BC38" s="5">
        <f>Betting!A40</f>
        <v>0</v>
      </c>
      <c r="BD38" s="5">
        <f>Betting!B40</f>
        <v>0</v>
      </c>
      <c r="BE38" s="5">
        <f>Betting!C40</f>
        <v>0</v>
      </c>
      <c r="BF38" s="5">
        <f>Betting!D40</f>
        <v>0</v>
      </c>
      <c r="BG38" s="5">
        <f>Betting!E40</f>
        <v>0</v>
      </c>
      <c r="BH38" s="5">
        <f>Betting!F40</f>
        <v>0</v>
      </c>
      <c r="BI38" s="4">
        <f>Betting!G40</f>
        <v>0</v>
      </c>
      <c r="BJ38" s="4">
        <f>Betting!H40</f>
        <v>0</v>
      </c>
    </row>
    <row r="39" spans="1:62">
      <c r="A39" s="4">
        <f>ROW()-3</f>
        <v>36</v>
      </c>
      <c r="B39" s="4">
        <f>IF(A39="","",ROUNDUP(A39/Settings!$B$3,0))</f>
        <v>6</v>
      </c>
      <c r="C39" s="5" t="str">
        <f>IF(Draft!$A$41="","",Draft!$D$41)</f>
        <v>Justin</v>
      </c>
      <c r="D39" s="5" t="str">
        <f>IF(Draft!$E$41="","",Draft!$E$41)</f>
        <v>Red Pianta</v>
      </c>
      <c r="E39" s="5">
        <f>Settings!$B$2</f>
        <v>1</v>
      </c>
      <c r="F39" s="5" t="b">
        <f>AND(C39&lt;&gt;"",D39&lt;&gt;"")</f>
        <v>1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4" t="str">
        <f ca="1">Scorebook!$F$51</f>
        <v>G2</v>
      </c>
      <c r="T39" s="5" t="str">
        <f ca="1">Scorebook!$R$51</f>
        <v>Justin</v>
      </c>
      <c r="U39" s="5" t="str">
        <f ca="1">Scorebook!$B$87</f>
        <v>Boo</v>
      </c>
      <c r="V39" s="4">
        <v>9</v>
      </c>
      <c r="W39" s="5">
        <f ca="1">Scorebook!M87</f>
        <v>1</v>
      </c>
      <c r="X39" s="5">
        <f ca="1">Scorebook!N87</f>
        <v>1</v>
      </c>
      <c r="Y39" s="5">
        <f ca="1">Scorebook!O87</f>
        <v>1</v>
      </c>
      <c r="Z39" s="5">
        <f ca="1">Scorebook!P87</f>
        <v>0</v>
      </c>
      <c r="AA39" s="5">
        <f ca="1">Scorebook!Q87</f>
        <v>0</v>
      </c>
      <c r="AB39" s="5">
        <f ca="1">Scorebook!R87</f>
        <v>1</v>
      </c>
      <c r="AC39" s="5">
        <f ca="1">Scorebook!S87</f>
        <v>1</v>
      </c>
      <c r="AD39" s="5">
        <f ca="1">Scorebook!T87</f>
        <v>0</v>
      </c>
      <c r="AE39" s="5">
        <f ca="1">Scorebook!U87</f>
        <v>0</v>
      </c>
      <c r="AF39" s="5">
        <f ca="1">Scorebook!V87</f>
        <v>0</v>
      </c>
      <c r="AG39" s="5">
        <f ca="1">Scorebook!W87</f>
        <v>0</v>
      </c>
      <c r="AH39" s="5">
        <f ca="1">Scorebook!X87</f>
        <v>0</v>
      </c>
      <c r="AI39" s="5">
        <f>Settings!$B$2</f>
        <v>1</v>
      </c>
      <c r="AJ39" s="18">
        <f ca="1">IF($AK39="","",Scorebook!$O$145)</f>
      </c>
      <c r="AK39" s="4" t="str">
        <f ca="1">Scorebook!$F$100</f>
        <v>G3</v>
      </c>
      <c r="AL39" s="5" t="str">
        <f ca="1">Scorebook!$R$100</f>
        <v>Nick</v>
      </c>
      <c r="AM39" s="5" t="str">
        <f>Scorebook!$B$145</f>
      </c>
      <c r="AN39" s="5">
        <f ca="1">IF(Scorebook!C145="","",INT(Scorebook!C145)+MOD(ROUND(Scorebook!C145*10,0),10)/3)</f>
      </c>
      <c r="AO39" s="5" cm="1">
        <f t="array" aca="1" ref="AO39" ca="1">IF($AK39="","",_xlfn.LET(_xlpm.auto,AND(MOD(ROW()-4,6)=0,$AM39&lt;&gt;0,SUMPRODUCT(--(OFFSET($AM39,1,0,5,1)&lt;&gt;0))=0),_xlpm.oppA,_xlfn.XLOOKUP($AK39,$H$4:$H$18,$J$4:$J$18,""),_xlpm.oppB,_xlfn.XLOOKUP($AK39,$H$4:$H$18,$K$4:$K$18,""),_xlpm.opp,IF($AL39=_xlpm.oppA,_xlpm.oppB,_xlpm.oppA),IF(_xlpm.auto,SUMIFS($Y$4:$Y$273,$S$4:$S$273,$AK39,$T$4:$T$273,_xlpm.opp),Scorebook!D145)))</f>
      </c>
      <c r="AP39" s="5" cm="1">
        <f t="array" aca="1" ref="AP39" ca="1">IF($AK39="","",_xlfn.LET(_xlpm.auto,AND(MOD(ROW()-4,6)=0,$AM39&lt;&gt;0,SUMPRODUCT(--(OFFSET($AM39,1,0,5,1)&lt;&gt;0))=0),_xlpm.oppA,_xlfn.XLOOKUP($AK39,$H$4:$H$18,$J$4:$J$18,""),_xlpm.oppRuns,IF($AL39=_xlpm.oppA,_xlfn.XLOOKUP($AK39,$H$4:$H$18,$O$4:$O$18,""),_xlfn.XLOOKUP($AK39,$H$4:$H$18,$N$4:$N$18,"")),IF(_xlpm.auto,_xlpm.oppRuns,Scorebook!E145)))</f>
      </c>
      <c r="AQ39" s="5">
        <f ca="1">Scorebook!F145</f>
      </c>
      <c r="AR39" s="5" cm="1">
        <f t="array" aca="1" ref="AR39" ca="1">IF($AK39="","",_xlfn.LET(_xlpm.auto,AND(MOD(ROW()-4,6)=0,$AM39&lt;&gt;0,SUMPRODUCT(--(OFFSET($AM39,1,0,5,1)&lt;&gt;0))=0),_xlpm.oppA,_xlfn.XLOOKUP($AK39,$H$4:$H$18,$J$4:$J$18,""),_xlpm.oppB,_xlfn.XLOOKUP($AK39,$H$4:$H$18,$K$4:$K$18,""),_xlpm.opp,IF($AL39=_xlpm.oppA,_xlpm.oppB,_xlpm.oppA),IF(_xlpm.auto,SUMIFS($AD$4:$AD$273,$S$4:$S$273,$AK39,$T$4:$T$273,_xlpm.opp),Scorebook!G145)))</f>
      </c>
      <c r="AS39" s="5" cm="1">
        <f t="array" aca="1" ref="AS39" ca="1">IF($AK39="","",_xlfn.LET(_xlpm.auto,AND(MOD(ROW()-4,6)=0,$AM39&lt;&gt;0,SUMPRODUCT(--(OFFSET($AM39,1,0,5,1)&lt;&gt;0))=0),_xlpm.oppA,_xlfn.XLOOKUP($AK39,$H$4:$H$18,$J$4:$J$18,""),_xlpm.oppB,_xlfn.XLOOKUP($AK39,$H$4:$H$18,$K$4:$K$18,""),_xlpm.opp,IF($AL39=_xlpm.oppA,_xlpm.oppB,_xlpm.oppA),IF(_xlpm.auto,SUMIFS($AE$4:$AE$273,$S$4:$S$273,$AK39,$T$4:$T$273,_xlpm.opp),Scorebook!H145)))</f>
      </c>
      <c r="AT39" s="5" cm="1">
        <f t="array" aca="1" ref="AT39" ca="1">IF($AK39="","",_xlfn.LET(_xlpm.auto,AND(MOD(ROW()-4,6)=0,$AM39&lt;&gt;0,SUMPRODUCT(--(OFFSET($AM39,1,0,5,1)&lt;&gt;0))=0),_xlpm.oppA,_xlfn.XLOOKUP($AK39,$H$4:$H$18,$J$4:$J$18,""),_xlpm.oppB,_xlfn.XLOOKUP($AK39,$H$4:$H$18,$K$4:$K$18,""),_xlpm.opp,IF($AL39=_xlpm.oppA,_xlpm.oppB,_xlpm.oppA),IF(_xlpm.auto,SUMIFS($AB$4:$AB$273,$S$4:$S$273,$AK39,$T$4:$T$273,_xlpm.opp),Scorebook!I145)))</f>
      </c>
      <c r="AU39" s="5" cm="1">
        <f t="array" aca="1" ref="AU39" ca="1">IF($AK39="","",_xlfn.LET(_xlpm.auto,AND(MOD(ROW()-4,6)=0,$AM39&lt;&gt;0,SUMPRODUCT(--(OFFSET($AM39,1,0,5,1)&lt;&gt;0))=0),_xlpm.winner,_xlfn.XLOOKUP($AK39,$H$4:$H$18,$L$4:$L$18,""),IF(_xlpm.auto,--($AL39=_xlpm.winner),Scorebook!J145)))</f>
      </c>
      <c r="AV39" s="5" cm="1">
        <f t="array" aca="1" ref="AV39" ca="1">IF($AK39="","",_xlfn.LET(_xlpm.auto,AND(MOD(ROW()-4,6)=0,$AM39&lt;&gt;0,SUMPRODUCT(--(OFFSET($AM39,1,0,5,1)&lt;&gt;0))=0),_xlpm.loser,_xlfn.XLOOKUP($AK39,$H$4:$H$18,$M$4:$M$18,""),IF(_xlpm.auto,--($AL39=_xlpm.loser),Scorebook!K145)))</f>
      </c>
      <c r="AW39" s="5">
        <f ca="1">Scorebook!L145</f>
      </c>
      <c r="AX39" s="5" cm="1">
        <f t="array" aca="1" ref="AX39" ca="1">IF($AK39="","",_xlfn.LET(_xlpm.auto,AND(MOD(ROW()-4,6)=0,$AM39&lt;&gt;0,SUMPRODUCT(--(OFFSET($AM39,1,0,5,1)&lt;&gt;0))=0),_xlpm.oppA,_xlfn.XLOOKUP($AK39,$H$4:$H$18,$J$4:$J$18,""),_xlpm.oppRuns,IF($AL39=_xlpm.oppA,_xlfn.XLOOKUP($AK39,$H$4:$H$18,$O$4:$O$18,""),_xlfn.XLOOKUP($AK39,$H$4:$H$18,$N$4:$N$18,"")),IF(_xlpm.auto,--(_xlpm.oppRuns=0),Scorebook!M145)))</f>
      </c>
      <c r="AY39" s="5" cm="1">
        <f t="array" aca="1" ref="AY39" ca="1">IF($AK39="","",_xlfn.LET(_xlpm.auto,AND(MOD(ROW()-4,6)=0,$AM39&lt;&gt;0,SUMPRODUCT(--(OFFSET($AM39,1,0,5,1)&lt;&gt;0))=0),IF(_xlpm.auto,1,Scorebook!N145)))</f>
      </c>
      <c r="AZ39" s="10"/>
      <c r="BA39" s="10"/>
      <c r="BB39" s="5">
        <f>Settings!$B$2</f>
        <v>1</v>
      </c>
      <c r="BC39" s="5">
        <f>Betting!A41</f>
        <v>0</v>
      </c>
      <c r="BD39" s="5">
        <f>Betting!B41</f>
        <v>0</v>
      </c>
      <c r="BE39" s="5">
        <f>Betting!C41</f>
        <v>0</v>
      </c>
      <c r="BF39" s="5">
        <f>Betting!D41</f>
        <v>0</v>
      </c>
      <c r="BG39" s="5">
        <f>Betting!E41</f>
        <v>0</v>
      </c>
      <c r="BH39" s="5">
        <f>Betting!F41</f>
        <v>0</v>
      </c>
      <c r="BI39" s="4">
        <f>Betting!G41</f>
        <v>0</v>
      </c>
      <c r="BJ39" s="4">
        <f>Betting!H41</f>
        <v>0</v>
      </c>
    </row>
    <row r="40" spans="1:62">
      <c r="A40" s="4">
        <f>ROW()-3</f>
        <v>37</v>
      </c>
      <c r="B40" s="4">
        <f>IF(A40="","",ROUNDUP(A40/Settings!$B$3,0))</f>
        <v>7</v>
      </c>
      <c r="C40" s="5" t="str">
        <f>IF(Draft!$A$42="","",Draft!$D$42)</f>
        <v>Justin</v>
      </c>
      <c r="D40" s="5" t="str">
        <f>IF(Draft!$E$42="","",Draft!$E$42)</f>
        <v>Baby Luigi</v>
      </c>
      <c r="E40" s="5">
        <f>Settings!$B$2</f>
        <v>1</v>
      </c>
      <c r="F40" s="5" t="b">
        <f>AND(C40&lt;&gt;"",D40&lt;&gt;"")</f>
        <v>1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4" t="str">
        <f ca="1">Scorebook!$F$100</f>
        <v>G3</v>
      </c>
      <c r="T40" s="5" t="str">
        <f ca="1">Scorebook!$N$100</f>
        <v>May</v>
      </c>
      <c r="U40" s="5" t="str">
        <f ca="1">Scorebook!$B$107</f>
        <v>Birdo</v>
      </c>
      <c r="V40" s="4">
        <v>1</v>
      </c>
      <c r="W40" s="5">
        <f ca="1">Scorebook!M107</f>
        <v>3</v>
      </c>
      <c r="X40" s="5">
        <f ca="1">Scorebook!N107</f>
        <v>0</v>
      </c>
      <c r="Y40" s="5">
        <f ca="1">Scorebook!O107</f>
        <v>1</v>
      </c>
      <c r="Z40" s="5">
        <f ca="1">Scorebook!P107</f>
        <v>0</v>
      </c>
      <c r="AA40" s="5">
        <f ca="1">Scorebook!Q107</f>
        <v>0</v>
      </c>
      <c r="AB40" s="5">
        <f ca="1">Scorebook!R107</f>
        <v>0</v>
      </c>
      <c r="AC40" s="5">
        <f ca="1">Scorebook!S107</f>
        <v>0</v>
      </c>
      <c r="AD40" s="5">
        <f ca="1">Scorebook!T107</f>
        <v>0</v>
      </c>
      <c r="AE40" s="5">
        <f ca="1">Scorebook!U107</f>
        <v>0</v>
      </c>
      <c r="AF40" s="5">
        <f ca="1">Scorebook!V107</f>
        <v>0</v>
      </c>
      <c r="AG40" s="5">
        <f ca="1">Scorebook!W107</f>
        <v>0</v>
      </c>
      <c r="AH40" s="5">
        <f ca="1">Scorebook!X107</f>
        <v>0</v>
      </c>
      <c r="AI40" s="5">
        <f>Settings!$B$2</f>
        <v>1</v>
      </c>
      <c r="AJ40" s="18">
        <f ca="1">IF($AK40="","",Scorebook!$O$168)</f>
        <v>9</v>
      </c>
      <c r="AK40" s="4" t="str">
        <f ca="1">Scorebook!$F$149</f>
        <v>G4</v>
      </c>
      <c r="AL40" s="5" t="str">
        <f ca="1">Scorebook!$N$149</f>
        <v>Jason</v>
      </c>
      <c r="AM40" s="5" t="str">
        <f>Scorebook!$B$168</f>
        <v>Peach</v>
      </c>
      <c r="AN40" s="5">
        <f ca="1">IF(Scorebook!C168="","",INT(Scorebook!C168)+MOD(ROUND(Scorebook!C168*10,0),10)/3)</f>
        <v>2.0</v>
      </c>
      <c r="AO40" s="5" cm="1">
        <f t="array" aca="1" ref="AO40" ca="1">IF($AK40="","",_xlfn.LET(_xlpm.auto,AND(MOD(ROW()-4,6)=0,$AM40&lt;&gt;0,SUMPRODUCT(--(OFFSET($AM40,1,0,5,1)&lt;&gt;0))=0),_xlpm.oppA,_xlfn.XLOOKUP($AK40,$H$4:$H$18,$J$4:$J$18,""),_xlpm.oppB,_xlfn.XLOOKUP($AK40,$H$4:$H$18,$K$4:$K$18,""),_xlpm.opp,IF($AL40=_xlpm.oppA,_xlpm.oppB,_xlpm.oppA),IF(_xlpm.auto,SUMIFS($Y$4:$Y$273,$S$4:$S$273,$AK40,$T$4:$T$273,_xlpm.opp),Scorebook!D168)))</f>
        <v>3</v>
      </c>
      <c r="AP40" s="5" cm="1">
        <f t="array" aca="1" ref="AP40" ca="1">IF($AK40="","",_xlfn.LET(_xlpm.auto,AND(MOD(ROW()-4,6)=0,$AM40&lt;&gt;0,SUMPRODUCT(--(OFFSET($AM40,1,0,5,1)&lt;&gt;0))=0),_xlpm.oppA,_xlfn.XLOOKUP($AK40,$H$4:$H$18,$J$4:$J$18,""),_xlpm.oppRuns,IF($AL40=_xlpm.oppA,_xlfn.XLOOKUP($AK40,$H$4:$H$18,$O$4:$O$18,""),_xlfn.XLOOKUP($AK40,$H$4:$H$18,$N$4:$N$18,"")),IF(_xlpm.auto,_xlpm.oppRuns,Scorebook!E168)))</f>
        <v>2</v>
      </c>
      <c r="AQ40" s="5">
        <f ca="1">Scorebook!F168</f>
        <v>2</v>
      </c>
      <c r="AR40" s="5" cm="1">
        <f t="array" aca="1" ref="AR40" ca="1">IF($AK40="","",_xlfn.LET(_xlpm.auto,AND(MOD(ROW()-4,6)=0,$AM40&lt;&gt;0,SUMPRODUCT(--(OFFSET($AM40,1,0,5,1)&lt;&gt;0))=0),_xlpm.oppA,_xlfn.XLOOKUP($AK40,$H$4:$H$18,$J$4:$J$18,""),_xlpm.oppB,_xlfn.XLOOKUP($AK40,$H$4:$H$18,$K$4:$K$18,""),_xlpm.opp,IF($AL40=_xlpm.oppA,_xlpm.oppB,_xlpm.oppA),IF(_xlpm.auto,SUMIFS($AD$4:$AD$273,$S$4:$S$273,$AK40,$T$4:$T$273,_xlpm.opp),Scorebook!G168)))</f>
        <v>0</v>
      </c>
      <c r="AS40" s="5" cm="1">
        <f t="array" aca="1" ref="AS40" ca="1">IF($AK40="","",_xlfn.LET(_xlpm.auto,AND(MOD(ROW()-4,6)=0,$AM40&lt;&gt;0,SUMPRODUCT(--(OFFSET($AM40,1,0,5,1)&lt;&gt;0))=0),_xlpm.oppA,_xlfn.XLOOKUP($AK40,$H$4:$H$18,$J$4:$J$18,""),_xlpm.oppB,_xlfn.XLOOKUP($AK40,$H$4:$H$18,$K$4:$K$18,""),_xlpm.opp,IF($AL40=_xlpm.oppA,_xlpm.oppB,_xlpm.oppA),IF(_xlpm.auto,SUMIFS($AE$4:$AE$273,$S$4:$S$273,$AK40,$T$4:$T$273,_xlpm.opp),Scorebook!H168)))</f>
        <v>3</v>
      </c>
      <c r="AT40" s="5" cm="1">
        <f t="array" aca="1" ref="AT40" ca="1">IF($AK40="","",_xlfn.LET(_xlpm.auto,AND(MOD(ROW()-4,6)=0,$AM40&lt;&gt;0,SUMPRODUCT(--(OFFSET($AM40,1,0,5,1)&lt;&gt;0))=0),_xlpm.oppA,_xlfn.XLOOKUP($AK40,$H$4:$H$18,$J$4:$J$18,""),_xlpm.oppB,_xlfn.XLOOKUP($AK40,$H$4:$H$18,$K$4:$K$18,""),_xlpm.opp,IF($AL40=_xlpm.oppA,_xlpm.oppB,_xlpm.oppA),IF(_xlpm.auto,SUMIFS($AB$4:$AB$273,$S$4:$S$273,$AK40,$T$4:$T$273,_xlpm.opp),Scorebook!I168)))</f>
        <v>1</v>
      </c>
      <c r="AU40" s="5" cm="1">
        <f t="array" aca="1" ref="AU40" ca="1">IF($AK40="","",_xlfn.LET(_xlpm.auto,AND(MOD(ROW()-4,6)=0,$AM40&lt;&gt;0,SUMPRODUCT(--(OFFSET($AM40,1,0,5,1)&lt;&gt;0))=0),_xlpm.winner,_xlfn.XLOOKUP($AK40,$H$4:$H$18,$L$4:$L$18,""),IF(_xlpm.auto,--($AL40=_xlpm.winner),Scorebook!J168)))</f>
        <v>1</v>
      </c>
      <c r="AV40" s="5" cm="1">
        <f t="array" aca="1" ref="AV40" ca="1">IF($AK40="","",_xlfn.LET(_xlpm.auto,AND(MOD(ROW()-4,6)=0,$AM40&lt;&gt;0,SUMPRODUCT(--(OFFSET($AM40,1,0,5,1)&lt;&gt;0))=0),_xlpm.loser,_xlfn.XLOOKUP($AK40,$H$4:$H$18,$M$4:$M$18,""),IF(_xlpm.auto,--($AL40=_xlpm.loser),Scorebook!K168)))</f>
        <v>0</v>
      </c>
      <c r="AW40" s="5">
        <f ca="1">Scorebook!L168</f>
        <v>0</v>
      </c>
      <c r="AX40" s="5" cm="1">
        <f t="array" aca="1" ref="AX40" ca="1">IF($AK40="","",_xlfn.LET(_xlpm.auto,AND(MOD(ROW()-4,6)=0,$AM40&lt;&gt;0,SUMPRODUCT(--(OFFSET($AM40,1,0,5,1)&lt;&gt;0))=0),_xlpm.oppA,_xlfn.XLOOKUP($AK40,$H$4:$H$18,$J$4:$J$18,""),_xlpm.oppRuns,IF($AL40=_xlpm.oppA,_xlfn.XLOOKUP($AK40,$H$4:$H$18,$O$4:$O$18,""),_xlfn.XLOOKUP($AK40,$H$4:$H$18,$N$4:$N$18,"")),IF(_xlpm.auto,--(_xlpm.oppRuns=0),Scorebook!M168)))</f>
        <v>0</v>
      </c>
      <c r="AY40" s="5" cm="1">
        <f t="array" aca="1" ref="AY40" ca="1">IF($AK40="","",_xlfn.LET(_xlpm.auto,AND(MOD(ROW()-4,6)=0,$AM40&lt;&gt;0,SUMPRODUCT(--(OFFSET($AM40,1,0,5,1)&lt;&gt;0))=0),IF(_xlpm.auto,1,Scorebook!N168)))</f>
        <v>0</v>
      </c>
      <c r="AZ40" s="10"/>
      <c r="BA40" s="10"/>
      <c r="BB40" s="5">
        <f>Settings!$B$2</f>
        <v>1</v>
      </c>
      <c r="BC40" s="5">
        <f>Betting!A42</f>
        <v>0</v>
      </c>
      <c r="BD40" s="5">
        <f>Betting!B42</f>
        <v>0</v>
      </c>
      <c r="BE40" s="5">
        <f>Betting!C42</f>
        <v>0</v>
      </c>
      <c r="BF40" s="5">
        <f>Betting!D42</f>
        <v>0</v>
      </c>
      <c r="BG40" s="5">
        <f>Betting!E42</f>
        <v>0</v>
      </c>
      <c r="BH40" s="5">
        <f>Betting!F42</f>
        <v>0</v>
      </c>
      <c r="BI40" s="4">
        <f>Betting!G42</f>
        <v>0</v>
      </c>
      <c r="BJ40" s="4">
        <f>Betting!H42</f>
        <v>0</v>
      </c>
    </row>
    <row r="41" spans="1:62">
      <c r="A41" s="4">
        <f>ROW()-3</f>
        <v>38</v>
      </c>
      <c r="B41" s="4">
        <f>IF(A41="","",ROUNDUP(A41/Settings!$B$3,0))</f>
        <v>7</v>
      </c>
      <c r="C41" s="5" t="str">
        <f>IF(Draft!$A$43="","",Draft!$D$43)</f>
        <v>Donovan</v>
      </c>
      <c r="D41" s="5" t="str">
        <f>IF(Draft!$E$43="","",Draft!$E$43)</f>
        <v>Tiny Kong</v>
      </c>
      <c r="E41" s="5">
        <f>Settings!$B$2</f>
        <v>1</v>
      </c>
      <c r="F41" s="5" t="b">
        <f>AND(C41&lt;&gt;"",D41&lt;&gt;"")</f>
        <v>1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4" t="str">
        <f ca="1">Scorebook!$F$100</f>
        <v>G3</v>
      </c>
      <c r="T41" s="5" t="str">
        <f ca="1">Scorebook!$N$100</f>
        <v>May</v>
      </c>
      <c r="U41" s="5" t="str">
        <f ca="1">Scorebook!$B$108</f>
        <v>Petey Piranha</v>
      </c>
      <c r="V41" s="4">
        <v>2</v>
      </c>
      <c r="W41" s="5">
        <f ca="1">Scorebook!M108</f>
        <v>2</v>
      </c>
      <c r="X41" s="5">
        <f ca="1">Scorebook!N108</f>
        <v>0</v>
      </c>
      <c r="Y41" s="5">
        <f ca="1">Scorebook!O108</f>
        <v>0</v>
      </c>
      <c r="Z41" s="5">
        <f ca="1">Scorebook!P108</f>
        <v>0</v>
      </c>
      <c r="AA41" s="5">
        <f ca="1">Scorebook!Q108</f>
        <v>0</v>
      </c>
      <c r="AB41" s="5">
        <f ca="1">Scorebook!R108</f>
        <v>0</v>
      </c>
      <c r="AC41" s="5">
        <f ca="1">Scorebook!S108</f>
        <v>0</v>
      </c>
      <c r="AD41" s="5">
        <f ca="1">Scorebook!T108</f>
        <v>0</v>
      </c>
      <c r="AE41" s="5">
        <f ca="1">Scorebook!U108</f>
        <v>0</v>
      </c>
      <c r="AF41" s="5">
        <f ca="1">Scorebook!V108</f>
        <v>0</v>
      </c>
      <c r="AG41" s="5">
        <f ca="1">Scorebook!W108</f>
        <v>0</v>
      </c>
      <c r="AH41" s="5">
        <f ca="1">Scorebook!X108</f>
        <v>0</v>
      </c>
      <c r="AI41" s="5">
        <f>Settings!$B$2</f>
        <v>1</v>
      </c>
      <c r="AJ41" s="18">
        <f ca="1">IF($AK41="","",Scorebook!$O$169)</f>
        <v>3</v>
      </c>
      <c r="AK41" s="4" t="str">
        <f ca="1">Scorebook!$F$149</f>
        <v>G4</v>
      </c>
      <c r="AL41" s="5" t="str">
        <f ca="1">Scorebook!$N$149</f>
        <v>Jason</v>
      </c>
      <c r="AM41" s="5" t="str">
        <f>Scorebook!$B$169</f>
        <v>King K. Rool</v>
      </c>
      <c r="AN41" s="5">
        <f ca="1">IF(Scorebook!C169="","",INT(Scorebook!C169)+MOD(ROUND(Scorebook!C169*10,0),10)/3)</f>
        <v>1.0</v>
      </c>
      <c r="AO41" s="5" cm="1">
        <f t="array" aca="1" ref="AO41" ca="1">IF($AK41="","",_xlfn.LET(_xlpm.auto,AND(MOD(ROW()-4,6)=0,$AM41&lt;&gt;0,SUMPRODUCT(--(OFFSET($AM41,1,0,5,1)&lt;&gt;0))=0),_xlpm.oppA,_xlfn.XLOOKUP($AK41,$H$4:$H$18,$J$4:$J$18,""),_xlpm.oppB,_xlfn.XLOOKUP($AK41,$H$4:$H$18,$K$4:$K$18,""),_xlpm.opp,IF($AL41=_xlpm.oppA,_xlpm.oppB,_xlpm.oppA),IF(_xlpm.auto,SUMIFS($Y$4:$Y$273,$S$4:$S$273,$AK41,$T$4:$T$273,_xlpm.opp),Scorebook!D169)))</f>
        <v>0</v>
      </c>
      <c r="AP41" s="5" cm="1">
        <f t="array" aca="1" ref="AP41" ca="1">IF($AK41="","",_xlfn.LET(_xlpm.auto,AND(MOD(ROW()-4,6)=0,$AM41&lt;&gt;0,SUMPRODUCT(--(OFFSET($AM41,1,0,5,1)&lt;&gt;0))=0),_xlpm.oppA,_xlfn.XLOOKUP($AK41,$H$4:$H$18,$J$4:$J$18,""),_xlpm.oppRuns,IF($AL41=_xlpm.oppA,_xlfn.XLOOKUP($AK41,$H$4:$H$18,$O$4:$O$18,""),_xlfn.XLOOKUP($AK41,$H$4:$H$18,$N$4:$N$18,"")),IF(_xlpm.auto,_xlpm.oppRuns,Scorebook!E169)))</f>
        <v>0</v>
      </c>
      <c r="AQ41" s="5">
        <f ca="1">Scorebook!F169</f>
        <v>0</v>
      </c>
      <c r="AR41" s="5" cm="1">
        <f t="array" aca="1" ref="AR41" ca="1">IF($AK41="","",_xlfn.LET(_xlpm.auto,AND(MOD(ROW()-4,6)=0,$AM41&lt;&gt;0,SUMPRODUCT(--(OFFSET($AM41,1,0,5,1)&lt;&gt;0))=0),_xlpm.oppA,_xlfn.XLOOKUP($AK41,$H$4:$H$18,$J$4:$J$18,""),_xlpm.oppB,_xlfn.XLOOKUP($AK41,$H$4:$H$18,$K$4:$K$18,""),_xlpm.opp,IF($AL41=_xlpm.oppA,_xlpm.oppB,_xlpm.oppA),IF(_xlpm.auto,SUMIFS($AD$4:$AD$273,$S$4:$S$273,$AK41,$T$4:$T$273,_xlpm.opp),Scorebook!G169)))</f>
        <v>0</v>
      </c>
      <c r="AS41" s="5" cm="1">
        <f t="array" aca="1" ref="AS41" ca="1">IF($AK41="","",_xlfn.LET(_xlpm.auto,AND(MOD(ROW()-4,6)=0,$AM41&lt;&gt;0,SUMPRODUCT(--(OFFSET($AM41,1,0,5,1)&lt;&gt;0))=0),_xlpm.oppA,_xlfn.XLOOKUP($AK41,$H$4:$H$18,$J$4:$J$18,""),_xlpm.oppB,_xlfn.XLOOKUP($AK41,$H$4:$H$18,$K$4:$K$18,""),_xlpm.opp,IF($AL41=_xlpm.oppA,_xlpm.oppB,_xlpm.oppA),IF(_xlpm.auto,SUMIFS($AE$4:$AE$273,$S$4:$S$273,$AK41,$T$4:$T$273,_xlpm.opp),Scorebook!H169)))</f>
        <v>0</v>
      </c>
      <c r="AT41" s="5" cm="1">
        <f t="array" aca="1" ref="AT41" ca="1">IF($AK41="","",_xlfn.LET(_xlpm.auto,AND(MOD(ROW()-4,6)=0,$AM41&lt;&gt;0,SUMPRODUCT(--(OFFSET($AM41,1,0,5,1)&lt;&gt;0))=0),_xlpm.oppA,_xlfn.XLOOKUP($AK41,$H$4:$H$18,$J$4:$J$18,""),_xlpm.oppB,_xlfn.XLOOKUP($AK41,$H$4:$H$18,$K$4:$K$18,""),_xlpm.opp,IF($AL41=_xlpm.oppA,_xlpm.oppB,_xlpm.oppA),IF(_xlpm.auto,SUMIFS($AB$4:$AB$273,$S$4:$S$273,$AK41,$T$4:$T$273,_xlpm.opp),Scorebook!I169)))</f>
        <v>0</v>
      </c>
      <c r="AU41" s="5" cm="1">
        <f t="array" aca="1" ref="AU41" ca="1">IF($AK41="","",_xlfn.LET(_xlpm.auto,AND(MOD(ROW()-4,6)=0,$AM41&lt;&gt;0,SUMPRODUCT(--(OFFSET($AM41,1,0,5,1)&lt;&gt;0))=0),_xlpm.winner,_xlfn.XLOOKUP($AK41,$H$4:$H$18,$L$4:$L$18,""),IF(_xlpm.auto,--($AL41=_xlpm.winner),Scorebook!J169)))</f>
        <v>0</v>
      </c>
      <c r="AV41" s="5" cm="1">
        <f t="array" aca="1" ref="AV41" ca="1">IF($AK41="","",_xlfn.LET(_xlpm.auto,AND(MOD(ROW()-4,6)=0,$AM41&lt;&gt;0,SUMPRODUCT(--(OFFSET($AM41,1,0,5,1)&lt;&gt;0))=0),_xlpm.loser,_xlfn.XLOOKUP($AK41,$H$4:$H$18,$M$4:$M$18,""),IF(_xlpm.auto,--($AL41=_xlpm.loser),Scorebook!K169)))</f>
        <v>0</v>
      </c>
      <c r="AW41" s="5">
        <f ca="1">Scorebook!L169</f>
        <v>1</v>
      </c>
      <c r="AX41" s="5" cm="1">
        <f t="array" aca="1" ref="AX41" ca="1">IF($AK41="","",_xlfn.LET(_xlpm.auto,AND(MOD(ROW()-4,6)=0,$AM41&lt;&gt;0,SUMPRODUCT(--(OFFSET($AM41,1,0,5,1)&lt;&gt;0))=0),_xlpm.oppA,_xlfn.XLOOKUP($AK41,$H$4:$H$18,$J$4:$J$18,""),_xlpm.oppRuns,IF($AL41=_xlpm.oppA,_xlfn.XLOOKUP($AK41,$H$4:$H$18,$O$4:$O$18,""),_xlfn.XLOOKUP($AK41,$H$4:$H$18,$N$4:$N$18,"")),IF(_xlpm.auto,--(_xlpm.oppRuns=0),Scorebook!M169)))</f>
        <v>0</v>
      </c>
      <c r="AY41" s="5" cm="1">
        <f t="array" aca="1" ref="AY41" ca="1">IF($AK41="","",_xlfn.LET(_xlpm.auto,AND(MOD(ROW()-4,6)=0,$AM41&lt;&gt;0,SUMPRODUCT(--(OFFSET($AM41,1,0,5,1)&lt;&gt;0))=0),IF(_xlpm.auto,1,Scorebook!N169)))</f>
        <v>0</v>
      </c>
      <c r="AZ41" s="10"/>
      <c r="BA41" s="10"/>
      <c r="BB41" s="5">
        <f>Settings!$B$2</f>
        <v>1</v>
      </c>
      <c r="BC41" s="5">
        <f>Betting!A43</f>
        <v>0</v>
      </c>
      <c r="BD41" s="5">
        <f>Betting!B43</f>
        <v>0</v>
      </c>
      <c r="BE41" s="5">
        <f>Betting!C43</f>
        <v>0</v>
      </c>
      <c r="BF41" s="5">
        <f>Betting!D43</f>
        <v>0</v>
      </c>
      <c r="BG41" s="5">
        <f>Betting!E43</f>
        <v>0</v>
      </c>
      <c r="BH41" s="5">
        <f>Betting!F43</f>
        <v>0</v>
      </c>
      <c r="BI41" s="4">
        <f>Betting!G43</f>
        <v>0</v>
      </c>
      <c r="BJ41" s="4">
        <f>Betting!H43</f>
        <v>0</v>
      </c>
    </row>
    <row r="42" spans="1:62">
      <c r="A42" s="4">
        <f>ROW()-3</f>
        <v>39</v>
      </c>
      <c r="B42" s="4">
        <f>IF(A42="","",ROUNDUP(A42/Settings!$B$3,0))</f>
        <v>7</v>
      </c>
      <c r="C42" s="5" t="str">
        <f>IF(Draft!$A$44="","",Draft!$D$44)</f>
        <v>Nick</v>
      </c>
      <c r="D42" s="5" t="str">
        <f>IF(Draft!$E$44="","",Draft!$E$44)</f>
        <v>Wiggler</v>
      </c>
      <c r="E42" s="5">
        <f>Settings!$B$2</f>
        <v>1</v>
      </c>
      <c r="F42" s="5" t="b">
        <f>AND(C42&lt;&gt;"",D42&lt;&gt;"")</f>
        <v>1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4" t="str">
        <f ca="1">Scorebook!$F$100</f>
        <v>G3</v>
      </c>
      <c r="T42" s="5" t="str">
        <f ca="1">Scorebook!$N$100</f>
        <v>May</v>
      </c>
      <c r="U42" s="5" t="str">
        <f ca="1">Scorebook!$B$109</f>
        <v>King Boo</v>
      </c>
      <c r="V42" s="4">
        <v>3</v>
      </c>
      <c r="W42" s="5">
        <f ca="1">Scorebook!M109</f>
        <v>2</v>
      </c>
      <c r="X42" s="5">
        <f ca="1">Scorebook!N109</f>
        <v>0</v>
      </c>
      <c r="Y42" s="5">
        <f ca="1">Scorebook!O109</f>
        <v>1</v>
      </c>
      <c r="Z42" s="5">
        <f ca="1">Scorebook!P109</f>
        <v>0</v>
      </c>
      <c r="AA42" s="5">
        <f ca="1">Scorebook!Q109</f>
        <v>0</v>
      </c>
      <c r="AB42" s="5">
        <f ca="1">Scorebook!R109</f>
        <v>0</v>
      </c>
      <c r="AC42" s="5">
        <f ca="1">Scorebook!S109</f>
        <v>0</v>
      </c>
      <c r="AD42" s="5">
        <f ca="1">Scorebook!T109</f>
        <v>0</v>
      </c>
      <c r="AE42" s="5">
        <f ca="1">Scorebook!U109</f>
        <v>0</v>
      </c>
      <c r="AF42" s="5">
        <f ca="1">Scorebook!V109</f>
        <v>0</v>
      </c>
      <c r="AG42" s="5">
        <f ca="1">Scorebook!W109</f>
        <v>0</v>
      </c>
      <c r="AH42" s="5">
        <f ca="1">Scorebook!X109</f>
        <v>0</v>
      </c>
      <c r="AI42" s="5">
        <f>Settings!$B$2</f>
        <v>1</v>
      </c>
      <c r="AJ42" s="18">
        <f ca="1">IF($AK42="","",Scorebook!$O$170)</f>
      </c>
      <c r="AK42" s="4" t="str">
        <f ca="1">Scorebook!$F$149</f>
        <v>G4</v>
      </c>
      <c r="AL42" s="5" t="str">
        <f ca="1">Scorebook!$N$149</f>
        <v>Jason</v>
      </c>
      <c r="AM42" s="5" t="str">
        <f>Scorebook!$B$170</f>
      </c>
      <c r="AN42" s="5">
        <f ca="1">IF(Scorebook!C170="","",INT(Scorebook!C170)+MOD(ROUND(Scorebook!C170*10,0),10)/3)</f>
      </c>
      <c r="AO42" s="5" cm="1">
        <f t="array" aca="1" ref="AO42" ca="1">IF($AK42="","",_xlfn.LET(_xlpm.auto,AND(MOD(ROW()-4,6)=0,$AM42&lt;&gt;0,SUMPRODUCT(--(OFFSET($AM42,1,0,5,1)&lt;&gt;0))=0),_xlpm.oppA,_xlfn.XLOOKUP($AK42,$H$4:$H$18,$J$4:$J$18,""),_xlpm.oppB,_xlfn.XLOOKUP($AK42,$H$4:$H$18,$K$4:$K$18,""),_xlpm.opp,IF($AL42=_xlpm.oppA,_xlpm.oppB,_xlpm.oppA),IF(_xlpm.auto,SUMIFS($Y$4:$Y$273,$S$4:$S$273,$AK42,$T$4:$T$273,_xlpm.opp),Scorebook!D170)))</f>
      </c>
      <c r="AP42" s="5" cm="1">
        <f t="array" aca="1" ref="AP42" ca="1">IF($AK42="","",_xlfn.LET(_xlpm.auto,AND(MOD(ROW()-4,6)=0,$AM42&lt;&gt;0,SUMPRODUCT(--(OFFSET($AM42,1,0,5,1)&lt;&gt;0))=0),_xlpm.oppA,_xlfn.XLOOKUP($AK42,$H$4:$H$18,$J$4:$J$18,""),_xlpm.oppRuns,IF($AL42=_xlpm.oppA,_xlfn.XLOOKUP($AK42,$H$4:$H$18,$O$4:$O$18,""),_xlfn.XLOOKUP($AK42,$H$4:$H$18,$N$4:$N$18,"")),IF(_xlpm.auto,_xlpm.oppRuns,Scorebook!E170)))</f>
      </c>
      <c r="AQ42" s="5">
        <f ca="1">Scorebook!F170</f>
      </c>
      <c r="AR42" s="5" cm="1">
        <f t="array" aca="1" ref="AR42" ca="1">IF($AK42="","",_xlfn.LET(_xlpm.auto,AND(MOD(ROW()-4,6)=0,$AM42&lt;&gt;0,SUMPRODUCT(--(OFFSET($AM42,1,0,5,1)&lt;&gt;0))=0),_xlpm.oppA,_xlfn.XLOOKUP($AK42,$H$4:$H$18,$J$4:$J$18,""),_xlpm.oppB,_xlfn.XLOOKUP($AK42,$H$4:$H$18,$K$4:$K$18,""),_xlpm.opp,IF($AL42=_xlpm.oppA,_xlpm.oppB,_xlpm.oppA),IF(_xlpm.auto,SUMIFS($AD$4:$AD$273,$S$4:$S$273,$AK42,$T$4:$T$273,_xlpm.opp),Scorebook!G170)))</f>
      </c>
      <c r="AS42" s="5" cm="1">
        <f t="array" aca="1" ref="AS42" ca="1">IF($AK42="","",_xlfn.LET(_xlpm.auto,AND(MOD(ROW()-4,6)=0,$AM42&lt;&gt;0,SUMPRODUCT(--(OFFSET($AM42,1,0,5,1)&lt;&gt;0))=0),_xlpm.oppA,_xlfn.XLOOKUP($AK42,$H$4:$H$18,$J$4:$J$18,""),_xlpm.oppB,_xlfn.XLOOKUP($AK42,$H$4:$H$18,$K$4:$K$18,""),_xlpm.opp,IF($AL42=_xlpm.oppA,_xlpm.oppB,_xlpm.oppA),IF(_xlpm.auto,SUMIFS($AE$4:$AE$273,$S$4:$S$273,$AK42,$T$4:$T$273,_xlpm.opp),Scorebook!H170)))</f>
      </c>
      <c r="AT42" s="5" cm="1">
        <f t="array" aca="1" ref="AT42" ca="1">IF($AK42="","",_xlfn.LET(_xlpm.auto,AND(MOD(ROW()-4,6)=0,$AM42&lt;&gt;0,SUMPRODUCT(--(OFFSET($AM42,1,0,5,1)&lt;&gt;0))=0),_xlpm.oppA,_xlfn.XLOOKUP($AK42,$H$4:$H$18,$J$4:$J$18,""),_xlpm.oppB,_xlfn.XLOOKUP($AK42,$H$4:$H$18,$K$4:$K$18,""),_xlpm.opp,IF($AL42=_xlpm.oppA,_xlpm.oppB,_xlpm.oppA),IF(_xlpm.auto,SUMIFS($AB$4:$AB$273,$S$4:$S$273,$AK42,$T$4:$T$273,_xlpm.opp),Scorebook!I170)))</f>
      </c>
      <c r="AU42" s="5" cm="1">
        <f t="array" aca="1" ref="AU42" ca="1">IF($AK42="","",_xlfn.LET(_xlpm.auto,AND(MOD(ROW()-4,6)=0,$AM42&lt;&gt;0,SUMPRODUCT(--(OFFSET($AM42,1,0,5,1)&lt;&gt;0))=0),_xlpm.winner,_xlfn.XLOOKUP($AK42,$H$4:$H$18,$L$4:$L$18,""),IF(_xlpm.auto,--($AL42=_xlpm.winner),Scorebook!J170)))</f>
      </c>
      <c r="AV42" s="5" cm="1">
        <f t="array" aca="1" ref="AV42" ca="1">IF($AK42="","",_xlfn.LET(_xlpm.auto,AND(MOD(ROW()-4,6)=0,$AM42&lt;&gt;0,SUMPRODUCT(--(OFFSET($AM42,1,0,5,1)&lt;&gt;0))=0),_xlpm.loser,_xlfn.XLOOKUP($AK42,$H$4:$H$18,$M$4:$M$18,""),IF(_xlpm.auto,--($AL42=_xlpm.loser),Scorebook!K170)))</f>
      </c>
      <c r="AW42" s="5">
        <f ca="1">Scorebook!L170</f>
      </c>
      <c r="AX42" s="5" cm="1">
        <f t="array" aca="1" ref="AX42" ca="1">IF($AK42="","",_xlfn.LET(_xlpm.auto,AND(MOD(ROW()-4,6)=0,$AM42&lt;&gt;0,SUMPRODUCT(--(OFFSET($AM42,1,0,5,1)&lt;&gt;0))=0),_xlpm.oppA,_xlfn.XLOOKUP($AK42,$H$4:$H$18,$J$4:$J$18,""),_xlpm.oppRuns,IF($AL42=_xlpm.oppA,_xlfn.XLOOKUP($AK42,$H$4:$H$18,$O$4:$O$18,""),_xlfn.XLOOKUP($AK42,$H$4:$H$18,$N$4:$N$18,"")),IF(_xlpm.auto,--(_xlpm.oppRuns=0),Scorebook!M170)))</f>
      </c>
      <c r="AY42" s="5" cm="1">
        <f t="array" aca="1" ref="AY42" ca="1">IF($AK42="","",_xlfn.LET(_xlpm.auto,AND(MOD(ROW()-4,6)=0,$AM42&lt;&gt;0,SUMPRODUCT(--(OFFSET($AM42,1,0,5,1)&lt;&gt;0))=0),IF(_xlpm.auto,1,Scorebook!N170)))</f>
      </c>
      <c r="AZ42" s="10"/>
      <c r="BA42" s="10"/>
      <c r="BB42" s="5">
        <f>Settings!$B$2</f>
        <v>1</v>
      </c>
      <c r="BC42" s="5">
        <f>Betting!A44</f>
        <v>0</v>
      </c>
      <c r="BD42" s="5">
        <f>Betting!B44</f>
        <v>0</v>
      </c>
      <c r="BE42" s="5">
        <f>Betting!C44</f>
        <v>0</v>
      </c>
      <c r="BF42" s="5">
        <f>Betting!D44</f>
        <v>0</v>
      </c>
      <c r="BG42" s="5">
        <f>Betting!E44</f>
        <v>0</v>
      </c>
      <c r="BH42" s="5">
        <f>Betting!F44</f>
        <v>0</v>
      </c>
      <c r="BI42" s="4">
        <f>Betting!G44</f>
        <v>0</v>
      </c>
      <c r="BJ42" s="4">
        <f>Betting!H44</f>
        <v>0</v>
      </c>
    </row>
    <row r="43" spans="1:62">
      <c r="A43" s="4">
        <f>ROW()-3</f>
        <v>40</v>
      </c>
      <c r="B43" s="4">
        <f>IF(A43="","",ROUNDUP(A43/Settings!$B$3,0))</f>
        <v>7</v>
      </c>
      <c r="C43" s="5" t="str">
        <f>IF(Draft!$A$45="","",Draft!$D$45)</f>
        <v>Aidan</v>
      </c>
      <c r="D43" s="5" t="str">
        <f>IF(Draft!$E$45="","",Draft!$E$45)</f>
        <v>Yellow Pianta</v>
      </c>
      <c r="E43" s="5">
        <f>Settings!$B$2</f>
        <v>1</v>
      </c>
      <c r="F43" s="5" t="b">
        <f>AND(C43&lt;&gt;"",D43&lt;&gt;"")</f>
        <v>1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4" t="str">
        <f ca="1">Scorebook!$F$100</f>
        <v>G3</v>
      </c>
      <c r="T43" s="5" t="str">
        <f ca="1">Scorebook!$N$100</f>
        <v>May</v>
      </c>
      <c r="U43" s="5" t="str">
        <f ca="1">Scorebook!$B$110</f>
        <v>Red Kritter</v>
      </c>
      <c r="V43" s="4">
        <v>4</v>
      </c>
      <c r="W43" s="5">
        <f ca="1">Scorebook!M110</f>
        <v>1</v>
      </c>
      <c r="X43" s="5">
        <f ca="1">Scorebook!N110</f>
        <v>0</v>
      </c>
      <c r="Y43" s="5">
        <f ca="1">Scorebook!O110</f>
        <v>0</v>
      </c>
      <c r="Z43" s="5">
        <f ca="1">Scorebook!P110</f>
        <v>0</v>
      </c>
      <c r="AA43" s="5">
        <f ca="1">Scorebook!Q110</f>
        <v>0</v>
      </c>
      <c r="AB43" s="5">
        <f ca="1">Scorebook!R110</f>
        <v>0</v>
      </c>
      <c r="AC43" s="5">
        <f ca="1">Scorebook!S110</f>
        <v>0</v>
      </c>
      <c r="AD43" s="5">
        <f ca="1">Scorebook!T110</f>
        <v>1</v>
      </c>
      <c r="AE43" s="5">
        <f ca="1">Scorebook!U110</f>
        <v>0</v>
      </c>
      <c r="AF43" s="5">
        <f ca="1">Scorebook!V110</f>
        <v>0</v>
      </c>
      <c r="AG43" s="5">
        <f ca="1">Scorebook!W110</f>
        <v>0</v>
      </c>
      <c r="AH43" s="5">
        <f ca="1">Scorebook!X110</f>
        <v>0</v>
      </c>
      <c r="AI43" s="5">
        <f>Settings!$B$2</f>
        <v>1</v>
      </c>
      <c r="AJ43" s="18">
        <f ca="1">IF($AK43="","",Scorebook!$O$171)</f>
      </c>
      <c r="AK43" s="4" t="str">
        <f ca="1">Scorebook!$F$149</f>
        <v>G4</v>
      </c>
      <c r="AL43" s="5" t="str">
        <f ca="1">Scorebook!$N$149</f>
        <v>Jason</v>
      </c>
      <c r="AM43" s="5" t="str">
        <f>Scorebook!$B$171</f>
      </c>
      <c r="AN43" s="5">
        <f ca="1">IF(Scorebook!C171="","",INT(Scorebook!C171)+MOD(ROUND(Scorebook!C171*10,0),10)/3)</f>
      </c>
      <c r="AO43" s="5" cm="1">
        <f t="array" aca="1" ref="AO43" ca="1">IF($AK43="","",_xlfn.LET(_xlpm.auto,AND(MOD(ROW()-4,6)=0,$AM43&lt;&gt;0,SUMPRODUCT(--(OFFSET($AM43,1,0,5,1)&lt;&gt;0))=0),_xlpm.oppA,_xlfn.XLOOKUP($AK43,$H$4:$H$18,$J$4:$J$18,""),_xlpm.oppB,_xlfn.XLOOKUP($AK43,$H$4:$H$18,$K$4:$K$18,""),_xlpm.opp,IF($AL43=_xlpm.oppA,_xlpm.oppB,_xlpm.oppA),IF(_xlpm.auto,SUMIFS($Y$4:$Y$273,$S$4:$S$273,$AK43,$T$4:$T$273,_xlpm.opp),Scorebook!D171)))</f>
      </c>
      <c r="AP43" s="5" cm="1">
        <f t="array" aca="1" ref="AP43" ca="1">IF($AK43="","",_xlfn.LET(_xlpm.auto,AND(MOD(ROW()-4,6)=0,$AM43&lt;&gt;0,SUMPRODUCT(--(OFFSET($AM43,1,0,5,1)&lt;&gt;0))=0),_xlpm.oppA,_xlfn.XLOOKUP($AK43,$H$4:$H$18,$J$4:$J$18,""),_xlpm.oppRuns,IF($AL43=_xlpm.oppA,_xlfn.XLOOKUP($AK43,$H$4:$H$18,$O$4:$O$18,""),_xlfn.XLOOKUP($AK43,$H$4:$H$18,$N$4:$N$18,"")),IF(_xlpm.auto,_xlpm.oppRuns,Scorebook!E171)))</f>
      </c>
      <c r="AQ43" s="5">
        <f ca="1">Scorebook!F171</f>
      </c>
      <c r="AR43" s="5" cm="1">
        <f t="array" aca="1" ref="AR43" ca="1">IF($AK43="","",_xlfn.LET(_xlpm.auto,AND(MOD(ROW()-4,6)=0,$AM43&lt;&gt;0,SUMPRODUCT(--(OFFSET($AM43,1,0,5,1)&lt;&gt;0))=0),_xlpm.oppA,_xlfn.XLOOKUP($AK43,$H$4:$H$18,$J$4:$J$18,""),_xlpm.oppB,_xlfn.XLOOKUP($AK43,$H$4:$H$18,$K$4:$K$18,""),_xlpm.opp,IF($AL43=_xlpm.oppA,_xlpm.oppB,_xlpm.oppA),IF(_xlpm.auto,SUMIFS($AD$4:$AD$273,$S$4:$S$273,$AK43,$T$4:$T$273,_xlpm.opp),Scorebook!G171)))</f>
      </c>
      <c r="AS43" s="5" cm="1">
        <f t="array" aca="1" ref="AS43" ca="1">IF($AK43="","",_xlfn.LET(_xlpm.auto,AND(MOD(ROW()-4,6)=0,$AM43&lt;&gt;0,SUMPRODUCT(--(OFFSET($AM43,1,0,5,1)&lt;&gt;0))=0),_xlpm.oppA,_xlfn.XLOOKUP($AK43,$H$4:$H$18,$J$4:$J$18,""),_xlpm.oppB,_xlfn.XLOOKUP($AK43,$H$4:$H$18,$K$4:$K$18,""),_xlpm.opp,IF($AL43=_xlpm.oppA,_xlpm.oppB,_xlpm.oppA),IF(_xlpm.auto,SUMIFS($AE$4:$AE$273,$S$4:$S$273,$AK43,$T$4:$T$273,_xlpm.opp),Scorebook!H171)))</f>
      </c>
      <c r="AT43" s="5" cm="1">
        <f t="array" aca="1" ref="AT43" ca="1">IF($AK43="","",_xlfn.LET(_xlpm.auto,AND(MOD(ROW()-4,6)=0,$AM43&lt;&gt;0,SUMPRODUCT(--(OFFSET($AM43,1,0,5,1)&lt;&gt;0))=0),_xlpm.oppA,_xlfn.XLOOKUP($AK43,$H$4:$H$18,$J$4:$J$18,""),_xlpm.oppB,_xlfn.XLOOKUP($AK43,$H$4:$H$18,$K$4:$K$18,""),_xlpm.opp,IF($AL43=_xlpm.oppA,_xlpm.oppB,_xlpm.oppA),IF(_xlpm.auto,SUMIFS($AB$4:$AB$273,$S$4:$S$273,$AK43,$T$4:$T$273,_xlpm.opp),Scorebook!I171)))</f>
      </c>
      <c r="AU43" s="5" cm="1">
        <f t="array" aca="1" ref="AU43" ca="1">IF($AK43="","",_xlfn.LET(_xlpm.auto,AND(MOD(ROW()-4,6)=0,$AM43&lt;&gt;0,SUMPRODUCT(--(OFFSET($AM43,1,0,5,1)&lt;&gt;0))=0),_xlpm.winner,_xlfn.XLOOKUP($AK43,$H$4:$H$18,$L$4:$L$18,""),IF(_xlpm.auto,--($AL43=_xlpm.winner),Scorebook!J171)))</f>
      </c>
      <c r="AV43" s="5" cm="1">
        <f t="array" aca="1" ref="AV43" ca="1">IF($AK43="","",_xlfn.LET(_xlpm.auto,AND(MOD(ROW()-4,6)=0,$AM43&lt;&gt;0,SUMPRODUCT(--(OFFSET($AM43,1,0,5,1)&lt;&gt;0))=0),_xlpm.loser,_xlfn.XLOOKUP($AK43,$H$4:$H$18,$M$4:$M$18,""),IF(_xlpm.auto,--($AL43=_xlpm.loser),Scorebook!K171)))</f>
      </c>
      <c r="AW43" s="5">
        <f ca="1">Scorebook!L171</f>
      </c>
      <c r="AX43" s="5" cm="1">
        <f t="array" aca="1" ref="AX43" ca="1">IF($AK43="","",_xlfn.LET(_xlpm.auto,AND(MOD(ROW()-4,6)=0,$AM43&lt;&gt;0,SUMPRODUCT(--(OFFSET($AM43,1,0,5,1)&lt;&gt;0))=0),_xlpm.oppA,_xlfn.XLOOKUP($AK43,$H$4:$H$18,$J$4:$J$18,""),_xlpm.oppRuns,IF($AL43=_xlpm.oppA,_xlfn.XLOOKUP($AK43,$H$4:$H$18,$O$4:$O$18,""),_xlfn.XLOOKUP($AK43,$H$4:$H$18,$N$4:$N$18,"")),IF(_xlpm.auto,--(_xlpm.oppRuns=0),Scorebook!M171)))</f>
      </c>
      <c r="AY43" s="5" cm="1">
        <f t="array" aca="1" ref="AY43" ca="1">IF($AK43="","",_xlfn.LET(_xlpm.auto,AND(MOD(ROW()-4,6)=0,$AM43&lt;&gt;0,SUMPRODUCT(--(OFFSET($AM43,1,0,5,1)&lt;&gt;0))=0),IF(_xlpm.auto,1,Scorebook!N171)))</f>
      </c>
      <c r="AZ43" s="10"/>
      <c r="BA43" s="10"/>
      <c r="BB43" s="5">
        <f>Settings!$B$2</f>
        <v>1</v>
      </c>
      <c r="BC43" s="5">
        <f>Betting!A45</f>
        <v>0</v>
      </c>
      <c r="BD43" s="5">
        <f>Betting!B45</f>
        <v>0</v>
      </c>
      <c r="BE43" s="5">
        <f>Betting!C45</f>
        <v>0</v>
      </c>
      <c r="BF43" s="5">
        <f>Betting!D45</f>
        <v>0</v>
      </c>
      <c r="BG43" s="5">
        <f>Betting!E45</f>
        <v>0</v>
      </c>
      <c r="BH43" s="5">
        <f>Betting!F45</f>
        <v>0</v>
      </c>
      <c r="BI43" s="4">
        <f>Betting!G45</f>
        <v>0</v>
      </c>
      <c r="BJ43" s="4">
        <f>Betting!H45</f>
        <v>0</v>
      </c>
    </row>
    <row r="44" spans="1:62">
      <c r="A44" s="4">
        <f>ROW()-3</f>
        <v>41</v>
      </c>
      <c r="B44" s="4">
        <f>IF(A44="","",ROUNDUP(A44/Settings!$B$3,0))</f>
        <v>7</v>
      </c>
      <c r="C44" s="5" t="str">
        <f>IF(Draft!$A$46="","",Draft!$D$46)</f>
        <v>Jason</v>
      </c>
      <c r="D44" s="5" t="str">
        <f>IF(Draft!$E$46="","",Draft!$E$46)</f>
        <v>Brown Kritter</v>
      </c>
      <c r="E44" s="5">
        <f>Settings!$B$2</f>
        <v>1</v>
      </c>
      <c r="F44" s="5" t="b">
        <f>AND(C44&lt;&gt;"",D44&lt;&gt;"")</f>
        <v>1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4" t="str">
        <f ca="1">Scorebook!$F$100</f>
        <v>G3</v>
      </c>
      <c r="T44" s="5" t="str">
        <f ca="1">Scorebook!$N$100</f>
        <v>May</v>
      </c>
      <c r="U44" s="5" t="str">
        <f ca="1">Scorebook!$B$111</f>
        <v>Hammer Bro</v>
      </c>
      <c r="V44" s="4">
        <v>5</v>
      </c>
      <c r="W44" s="5">
        <f ca="1">Scorebook!M111</f>
        <v>2</v>
      </c>
      <c r="X44" s="5">
        <f ca="1">Scorebook!N111</f>
        <v>0</v>
      </c>
      <c r="Y44" s="5">
        <f ca="1">Scorebook!O111</f>
        <v>0</v>
      </c>
      <c r="Z44" s="5">
        <f ca="1">Scorebook!P111</f>
        <v>0</v>
      </c>
      <c r="AA44" s="5">
        <f ca="1">Scorebook!Q111</f>
        <v>0</v>
      </c>
      <c r="AB44" s="5">
        <f ca="1">Scorebook!R111</f>
        <v>0</v>
      </c>
      <c r="AC44" s="5">
        <f ca="1">Scorebook!S111</f>
        <v>0</v>
      </c>
      <c r="AD44" s="5">
        <f ca="1">Scorebook!T111</f>
        <v>0</v>
      </c>
      <c r="AE44" s="5">
        <f ca="1">Scorebook!U111</f>
        <v>0</v>
      </c>
      <c r="AF44" s="5">
        <f ca="1">Scorebook!V111</f>
        <v>0</v>
      </c>
      <c r="AG44" s="5">
        <f ca="1">Scorebook!W111</f>
        <v>0</v>
      </c>
      <c r="AH44" s="5">
        <f ca="1">Scorebook!X111</f>
        <v>0</v>
      </c>
      <c r="AI44" s="5">
        <f>Settings!$B$2</f>
        <v>1</v>
      </c>
      <c r="AJ44" s="18">
        <f ca="1">IF($AK44="","",Scorebook!$O$172)</f>
      </c>
      <c r="AK44" s="4" t="str">
        <f ca="1">Scorebook!$F$149</f>
        <v>G4</v>
      </c>
      <c r="AL44" s="5" t="str">
        <f ca="1">Scorebook!$N$149</f>
        <v>Jason</v>
      </c>
      <c r="AM44" s="5" t="str">
        <f>Scorebook!$B$172</f>
      </c>
      <c r="AN44" s="5">
        <f ca="1">IF(Scorebook!C172="","",INT(Scorebook!C172)+MOD(ROUND(Scorebook!C172*10,0),10)/3)</f>
      </c>
      <c r="AO44" s="5" cm="1">
        <f t="array" aca="1" ref="AO44" ca="1">IF($AK44="","",_xlfn.LET(_xlpm.auto,AND(MOD(ROW()-4,6)=0,$AM44&lt;&gt;0,SUMPRODUCT(--(OFFSET($AM44,1,0,5,1)&lt;&gt;0))=0),_xlpm.oppA,_xlfn.XLOOKUP($AK44,$H$4:$H$18,$J$4:$J$18,""),_xlpm.oppB,_xlfn.XLOOKUP($AK44,$H$4:$H$18,$K$4:$K$18,""),_xlpm.opp,IF($AL44=_xlpm.oppA,_xlpm.oppB,_xlpm.oppA),IF(_xlpm.auto,SUMIFS($Y$4:$Y$273,$S$4:$S$273,$AK44,$T$4:$T$273,_xlpm.opp),Scorebook!D172)))</f>
      </c>
      <c r="AP44" s="5" cm="1">
        <f t="array" aca="1" ref="AP44" ca="1">IF($AK44="","",_xlfn.LET(_xlpm.auto,AND(MOD(ROW()-4,6)=0,$AM44&lt;&gt;0,SUMPRODUCT(--(OFFSET($AM44,1,0,5,1)&lt;&gt;0))=0),_xlpm.oppA,_xlfn.XLOOKUP($AK44,$H$4:$H$18,$J$4:$J$18,""),_xlpm.oppRuns,IF($AL44=_xlpm.oppA,_xlfn.XLOOKUP($AK44,$H$4:$H$18,$O$4:$O$18,""),_xlfn.XLOOKUP($AK44,$H$4:$H$18,$N$4:$N$18,"")),IF(_xlpm.auto,_xlpm.oppRuns,Scorebook!E172)))</f>
      </c>
      <c r="AQ44" s="5">
        <f ca="1">Scorebook!F172</f>
      </c>
      <c r="AR44" s="5" cm="1">
        <f t="array" aca="1" ref="AR44" ca="1">IF($AK44="","",_xlfn.LET(_xlpm.auto,AND(MOD(ROW()-4,6)=0,$AM44&lt;&gt;0,SUMPRODUCT(--(OFFSET($AM44,1,0,5,1)&lt;&gt;0))=0),_xlpm.oppA,_xlfn.XLOOKUP($AK44,$H$4:$H$18,$J$4:$J$18,""),_xlpm.oppB,_xlfn.XLOOKUP($AK44,$H$4:$H$18,$K$4:$K$18,""),_xlpm.opp,IF($AL44=_xlpm.oppA,_xlpm.oppB,_xlpm.oppA),IF(_xlpm.auto,SUMIFS($AD$4:$AD$273,$S$4:$S$273,$AK44,$T$4:$T$273,_xlpm.opp),Scorebook!G172)))</f>
      </c>
      <c r="AS44" s="5" cm="1">
        <f t="array" aca="1" ref="AS44" ca="1">IF($AK44="","",_xlfn.LET(_xlpm.auto,AND(MOD(ROW()-4,6)=0,$AM44&lt;&gt;0,SUMPRODUCT(--(OFFSET($AM44,1,0,5,1)&lt;&gt;0))=0),_xlpm.oppA,_xlfn.XLOOKUP($AK44,$H$4:$H$18,$J$4:$J$18,""),_xlpm.oppB,_xlfn.XLOOKUP($AK44,$H$4:$H$18,$K$4:$K$18,""),_xlpm.opp,IF($AL44=_xlpm.oppA,_xlpm.oppB,_xlpm.oppA),IF(_xlpm.auto,SUMIFS($AE$4:$AE$273,$S$4:$S$273,$AK44,$T$4:$T$273,_xlpm.opp),Scorebook!H172)))</f>
      </c>
      <c r="AT44" s="5" cm="1">
        <f t="array" aca="1" ref="AT44" ca="1">IF($AK44="","",_xlfn.LET(_xlpm.auto,AND(MOD(ROW()-4,6)=0,$AM44&lt;&gt;0,SUMPRODUCT(--(OFFSET($AM44,1,0,5,1)&lt;&gt;0))=0),_xlpm.oppA,_xlfn.XLOOKUP($AK44,$H$4:$H$18,$J$4:$J$18,""),_xlpm.oppB,_xlfn.XLOOKUP($AK44,$H$4:$H$18,$K$4:$K$18,""),_xlpm.opp,IF($AL44=_xlpm.oppA,_xlpm.oppB,_xlpm.oppA),IF(_xlpm.auto,SUMIFS($AB$4:$AB$273,$S$4:$S$273,$AK44,$T$4:$T$273,_xlpm.opp),Scorebook!I172)))</f>
      </c>
      <c r="AU44" s="5" cm="1">
        <f t="array" aca="1" ref="AU44" ca="1">IF($AK44="","",_xlfn.LET(_xlpm.auto,AND(MOD(ROW()-4,6)=0,$AM44&lt;&gt;0,SUMPRODUCT(--(OFFSET($AM44,1,0,5,1)&lt;&gt;0))=0),_xlpm.winner,_xlfn.XLOOKUP($AK44,$H$4:$H$18,$L$4:$L$18,""),IF(_xlpm.auto,--($AL44=_xlpm.winner),Scorebook!J172)))</f>
      </c>
      <c r="AV44" s="5" cm="1">
        <f t="array" aca="1" ref="AV44" ca="1">IF($AK44="","",_xlfn.LET(_xlpm.auto,AND(MOD(ROW()-4,6)=0,$AM44&lt;&gt;0,SUMPRODUCT(--(OFFSET($AM44,1,0,5,1)&lt;&gt;0))=0),_xlpm.loser,_xlfn.XLOOKUP($AK44,$H$4:$H$18,$M$4:$M$18,""),IF(_xlpm.auto,--($AL44=_xlpm.loser),Scorebook!K172)))</f>
      </c>
      <c r="AW44" s="5">
        <f ca="1">Scorebook!L172</f>
      </c>
      <c r="AX44" s="5" cm="1">
        <f t="array" aca="1" ref="AX44" ca="1">IF($AK44="","",_xlfn.LET(_xlpm.auto,AND(MOD(ROW()-4,6)=0,$AM44&lt;&gt;0,SUMPRODUCT(--(OFFSET($AM44,1,0,5,1)&lt;&gt;0))=0),_xlpm.oppA,_xlfn.XLOOKUP($AK44,$H$4:$H$18,$J$4:$J$18,""),_xlpm.oppRuns,IF($AL44=_xlpm.oppA,_xlfn.XLOOKUP($AK44,$H$4:$H$18,$O$4:$O$18,""),_xlfn.XLOOKUP($AK44,$H$4:$H$18,$N$4:$N$18,"")),IF(_xlpm.auto,--(_xlpm.oppRuns=0),Scorebook!M172)))</f>
      </c>
      <c r="AY44" s="5" cm="1">
        <f t="array" aca="1" ref="AY44" ca="1">IF($AK44="","",_xlfn.LET(_xlpm.auto,AND(MOD(ROW()-4,6)=0,$AM44&lt;&gt;0,SUMPRODUCT(--(OFFSET($AM44,1,0,5,1)&lt;&gt;0))=0),IF(_xlpm.auto,1,Scorebook!N172)))</f>
      </c>
      <c r="AZ44" s="10"/>
      <c r="BA44" s="10"/>
      <c r="BB44" s="5">
        <f>Settings!$B$2</f>
        <v>1</v>
      </c>
      <c r="BC44" s="5">
        <f>Betting!A46</f>
        <v>0</v>
      </c>
      <c r="BD44" s="5">
        <f>Betting!B46</f>
        <v>0</v>
      </c>
      <c r="BE44" s="5">
        <f>Betting!C46</f>
        <v>0</v>
      </c>
      <c r="BF44" s="5">
        <f>Betting!D46</f>
        <v>0</v>
      </c>
      <c r="BG44" s="5">
        <f>Betting!E46</f>
        <v>0</v>
      </c>
      <c r="BH44" s="5">
        <f>Betting!F46</f>
        <v>0</v>
      </c>
      <c r="BI44" s="4">
        <f>Betting!G46</f>
        <v>0</v>
      </c>
      <c r="BJ44" s="4">
        <f>Betting!H46</f>
        <v>0</v>
      </c>
    </row>
    <row r="45" spans="1:62">
      <c r="A45" s="4">
        <f>ROW()-3</f>
        <v>42</v>
      </c>
      <c r="B45" s="4">
        <f>IF(A45="","",ROUNDUP(A45/Settings!$B$3,0))</f>
        <v>7</v>
      </c>
      <c r="C45" s="5" t="str">
        <f>IF(Draft!$A$47="","",Draft!$D$47)</f>
        <v>May</v>
      </c>
      <c r="D45" s="5" t="str">
        <f>IF(Draft!$E$47="","",Draft!$E$47)</f>
        <v>Hammer Bro</v>
      </c>
      <c r="E45" s="5">
        <f>Settings!$B$2</f>
        <v>1</v>
      </c>
      <c r="F45" s="5" t="b">
        <f>AND(C45&lt;&gt;"",D45&lt;&gt;"")</f>
        <v>1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4" t="str">
        <f ca="1">Scorebook!$F$100</f>
        <v>G3</v>
      </c>
      <c r="T45" s="5" t="str">
        <f ca="1">Scorebook!$N$100</f>
        <v>May</v>
      </c>
      <c r="U45" s="5" t="str">
        <f ca="1">Scorebook!$B$112</f>
        <v>Koopa</v>
      </c>
      <c r="V45" s="4">
        <v>6</v>
      </c>
      <c r="W45" s="5">
        <f ca="1">Scorebook!M112</f>
        <v>2</v>
      </c>
      <c r="X45" s="5">
        <f ca="1">Scorebook!N112</f>
        <v>0</v>
      </c>
      <c r="Y45" s="5">
        <f ca="1">Scorebook!O112</f>
        <v>1</v>
      </c>
      <c r="Z45" s="5">
        <f ca="1">Scorebook!P112</f>
        <v>0</v>
      </c>
      <c r="AA45" s="5">
        <f ca="1">Scorebook!Q112</f>
        <v>0</v>
      </c>
      <c r="AB45" s="5">
        <f ca="1">Scorebook!R112</f>
        <v>0</v>
      </c>
      <c r="AC45" s="5">
        <f ca="1">Scorebook!S112</f>
        <v>0</v>
      </c>
      <c r="AD45" s="5">
        <f ca="1">Scorebook!T112</f>
        <v>0</v>
      </c>
      <c r="AE45" s="5">
        <f ca="1">Scorebook!U112</f>
        <v>0</v>
      </c>
      <c r="AF45" s="5">
        <f ca="1">Scorebook!V112</f>
        <v>0</v>
      </c>
      <c r="AG45" s="5">
        <f ca="1">Scorebook!W112</f>
        <v>0</v>
      </c>
      <c r="AH45" s="5">
        <f ca="1">Scorebook!X112</f>
        <v>0</v>
      </c>
      <c r="AI45" s="5">
        <f>Settings!$B$2</f>
        <v>1</v>
      </c>
      <c r="AJ45" s="18">
        <f ca="1">IF($AK45="","",Scorebook!$O$173)</f>
      </c>
      <c r="AK45" s="4" t="str">
        <f ca="1">Scorebook!$F$149</f>
        <v>G4</v>
      </c>
      <c r="AL45" s="5" t="str">
        <f ca="1">Scorebook!$N$149</f>
        <v>Jason</v>
      </c>
      <c r="AM45" s="5" t="str">
        <f>Scorebook!$B$173</f>
      </c>
      <c r="AN45" s="5">
        <f ca="1">IF(Scorebook!C173="","",INT(Scorebook!C173)+MOD(ROUND(Scorebook!C173*10,0),10)/3)</f>
      </c>
      <c r="AO45" s="5" cm="1">
        <f t="array" aca="1" ref="AO45" ca="1">IF($AK45="","",_xlfn.LET(_xlpm.auto,AND(MOD(ROW()-4,6)=0,$AM45&lt;&gt;0,SUMPRODUCT(--(OFFSET($AM45,1,0,5,1)&lt;&gt;0))=0),_xlpm.oppA,_xlfn.XLOOKUP($AK45,$H$4:$H$18,$J$4:$J$18,""),_xlpm.oppB,_xlfn.XLOOKUP($AK45,$H$4:$H$18,$K$4:$K$18,""),_xlpm.opp,IF($AL45=_xlpm.oppA,_xlpm.oppB,_xlpm.oppA),IF(_xlpm.auto,SUMIFS($Y$4:$Y$273,$S$4:$S$273,$AK45,$T$4:$T$273,_xlpm.opp),Scorebook!D173)))</f>
      </c>
      <c r="AP45" s="5" cm="1">
        <f t="array" aca="1" ref="AP45" ca="1">IF($AK45="","",_xlfn.LET(_xlpm.auto,AND(MOD(ROW()-4,6)=0,$AM45&lt;&gt;0,SUMPRODUCT(--(OFFSET($AM45,1,0,5,1)&lt;&gt;0))=0),_xlpm.oppA,_xlfn.XLOOKUP($AK45,$H$4:$H$18,$J$4:$J$18,""),_xlpm.oppRuns,IF($AL45=_xlpm.oppA,_xlfn.XLOOKUP($AK45,$H$4:$H$18,$O$4:$O$18,""),_xlfn.XLOOKUP($AK45,$H$4:$H$18,$N$4:$N$18,"")),IF(_xlpm.auto,_xlpm.oppRuns,Scorebook!E173)))</f>
      </c>
      <c r="AQ45" s="5">
        <f ca="1">Scorebook!F173</f>
      </c>
      <c r="AR45" s="5" cm="1">
        <f t="array" aca="1" ref="AR45" ca="1">IF($AK45="","",_xlfn.LET(_xlpm.auto,AND(MOD(ROW()-4,6)=0,$AM45&lt;&gt;0,SUMPRODUCT(--(OFFSET($AM45,1,0,5,1)&lt;&gt;0))=0),_xlpm.oppA,_xlfn.XLOOKUP($AK45,$H$4:$H$18,$J$4:$J$18,""),_xlpm.oppB,_xlfn.XLOOKUP($AK45,$H$4:$H$18,$K$4:$K$18,""),_xlpm.opp,IF($AL45=_xlpm.oppA,_xlpm.oppB,_xlpm.oppA),IF(_xlpm.auto,SUMIFS($AD$4:$AD$273,$S$4:$S$273,$AK45,$T$4:$T$273,_xlpm.opp),Scorebook!G173)))</f>
      </c>
      <c r="AS45" s="5" cm="1">
        <f t="array" aca="1" ref="AS45" ca="1">IF($AK45="","",_xlfn.LET(_xlpm.auto,AND(MOD(ROW()-4,6)=0,$AM45&lt;&gt;0,SUMPRODUCT(--(OFFSET($AM45,1,0,5,1)&lt;&gt;0))=0),_xlpm.oppA,_xlfn.XLOOKUP($AK45,$H$4:$H$18,$J$4:$J$18,""),_xlpm.oppB,_xlfn.XLOOKUP($AK45,$H$4:$H$18,$K$4:$K$18,""),_xlpm.opp,IF($AL45=_xlpm.oppA,_xlpm.oppB,_xlpm.oppA),IF(_xlpm.auto,SUMIFS($AE$4:$AE$273,$S$4:$S$273,$AK45,$T$4:$T$273,_xlpm.opp),Scorebook!H173)))</f>
      </c>
      <c r="AT45" s="5" cm="1">
        <f t="array" aca="1" ref="AT45" ca="1">IF($AK45="","",_xlfn.LET(_xlpm.auto,AND(MOD(ROW()-4,6)=0,$AM45&lt;&gt;0,SUMPRODUCT(--(OFFSET($AM45,1,0,5,1)&lt;&gt;0))=0),_xlpm.oppA,_xlfn.XLOOKUP($AK45,$H$4:$H$18,$J$4:$J$18,""),_xlpm.oppB,_xlfn.XLOOKUP($AK45,$H$4:$H$18,$K$4:$K$18,""),_xlpm.opp,IF($AL45=_xlpm.oppA,_xlpm.oppB,_xlpm.oppA),IF(_xlpm.auto,SUMIFS($AB$4:$AB$273,$S$4:$S$273,$AK45,$T$4:$T$273,_xlpm.opp),Scorebook!I173)))</f>
      </c>
      <c r="AU45" s="5" cm="1">
        <f t="array" aca="1" ref="AU45" ca="1">IF($AK45="","",_xlfn.LET(_xlpm.auto,AND(MOD(ROW()-4,6)=0,$AM45&lt;&gt;0,SUMPRODUCT(--(OFFSET($AM45,1,0,5,1)&lt;&gt;0))=0),_xlpm.winner,_xlfn.XLOOKUP($AK45,$H$4:$H$18,$L$4:$L$18,""),IF(_xlpm.auto,--($AL45=_xlpm.winner),Scorebook!J173)))</f>
      </c>
      <c r="AV45" s="5" cm="1">
        <f t="array" aca="1" ref="AV45" ca="1">IF($AK45="","",_xlfn.LET(_xlpm.auto,AND(MOD(ROW()-4,6)=0,$AM45&lt;&gt;0,SUMPRODUCT(--(OFFSET($AM45,1,0,5,1)&lt;&gt;0))=0),_xlpm.loser,_xlfn.XLOOKUP($AK45,$H$4:$H$18,$M$4:$M$18,""),IF(_xlpm.auto,--($AL45=_xlpm.loser),Scorebook!K173)))</f>
      </c>
      <c r="AW45" s="5">
        <f ca="1">Scorebook!L173</f>
      </c>
      <c r="AX45" s="5" cm="1">
        <f t="array" aca="1" ref="AX45" ca="1">IF($AK45="","",_xlfn.LET(_xlpm.auto,AND(MOD(ROW()-4,6)=0,$AM45&lt;&gt;0,SUMPRODUCT(--(OFFSET($AM45,1,0,5,1)&lt;&gt;0))=0),_xlpm.oppA,_xlfn.XLOOKUP($AK45,$H$4:$H$18,$J$4:$J$18,""),_xlpm.oppRuns,IF($AL45=_xlpm.oppA,_xlfn.XLOOKUP($AK45,$H$4:$H$18,$O$4:$O$18,""),_xlfn.XLOOKUP($AK45,$H$4:$H$18,$N$4:$N$18,"")),IF(_xlpm.auto,--(_xlpm.oppRuns=0),Scorebook!M173)))</f>
      </c>
      <c r="AY45" s="5" cm="1">
        <f t="array" aca="1" ref="AY45" ca="1">IF($AK45="","",_xlfn.LET(_xlpm.auto,AND(MOD(ROW()-4,6)=0,$AM45&lt;&gt;0,SUMPRODUCT(--(OFFSET($AM45,1,0,5,1)&lt;&gt;0))=0),IF(_xlpm.auto,1,Scorebook!N173)))</f>
      </c>
      <c r="AZ45" s="10"/>
      <c r="BA45" s="10"/>
      <c r="BB45" s="5">
        <f>Settings!$B$2</f>
        <v>1</v>
      </c>
      <c r="BC45" s="5">
        <f>Betting!A47</f>
        <v>0</v>
      </c>
      <c r="BD45" s="5">
        <f>Betting!B47</f>
        <v>0</v>
      </c>
      <c r="BE45" s="5">
        <f>Betting!C47</f>
        <v>0</v>
      </c>
      <c r="BF45" s="5">
        <f>Betting!D47</f>
        <v>0</v>
      </c>
      <c r="BG45" s="5">
        <f>Betting!E47</f>
        <v>0</v>
      </c>
      <c r="BH45" s="5">
        <f>Betting!F47</f>
        <v>0</v>
      </c>
      <c r="BI45" s="4">
        <f>Betting!G47</f>
        <v>0</v>
      </c>
      <c r="BJ45" s="4">
        <f>Betting!H47</f>
        <v>0</v>
      </c>
    </row>
    <row r="46" spans="1:62">
      <c r="A46" s="4">
        <f>ROW()-3</f>
        <v>43</v>
      </c>
      <c r="B46" s="4">
        <f>IF(A46="","",ROUNDUP(A46/Settings!$B$3,0))</f>
        <v>8</v>
      </c>
      <c r="C46" s="5" t="str">
        <f>IF(Draft!$A$48="","",Draft!$D$48)</f>
        <v>May</v>
      </c>
      <c r="D46" s="5" t="str">
        <f>IF(Draft!$E$48="","",Draft!$E$48)</f>
        <v>Green Shy Guy</v>
      </c>
      <c r="E46" s="5">
        <f>Settings!$B$2</f>
        <v>1</v>
      </c>
      <c r="F46" s="5" t="b">
        <f>AND(C46&lt;&gt;"",D46&lt;&gt;"")</f>
        <v>1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4" t="str">
        <f ca="1">Scorebook!$F$100</f>
        <v>G3</v>
      </c>
      <c r="T46" s="5" t="str">
        <f ca="1">Scorebook!$N$100</f>
        <v>May</v>
      </c>
      <c r="U46" s="5" t="str">
        <f ca="1">Scorebook!$B$113</f>
        <v>Green Shy Guy</v>
      </c>
      <c r="V46" s="4">
        <v>7</v>
      </c>
      <c r="W46" s="5">
        <f ca="1">Scorebook!M113</f>
        <v>2</v>
      </c>
      <c r="X46" s="5">
        <f ca="1">Scorebook!N113</f>
        <v>0</v>
      </c>
      <c r="Y46" s="5">
        <f ca="1">Scorebook!O113</f>
        <v>1</v>
      </c>
      <c r="Z46" s="5">
        <f ca="1">Scorebook!P113</f>
        <v>0</v>
      </c>
      <c r="AA46" s="5">
        <f ca="1">Scorebook!Q113</f>
        <v>0</v>
      </c>
      <c r="AB46" s="5">
        <f ca="1">Scorebook!R113</f>
        <v>0</v>
      </c>
      <c r="AC46" s="5">
        <f ca="1">Scorebook!S113</f>
        <v>0</v>
      </c>
      <c r="AD46" s="5">
        <f ca="1">Scorebook!T113</f>
        <v>0</v>
      </c>
      <c r="AE46" s="5">
        <f ca="1">Scorebook!U113</f>
        <v>0</v>
      </c>
      <c r="AF46" s="5">
        <f ca="1">Scorebook!V113</f>
        <v>0</v>
      </c>
      <c r="AG46" s="5">
        <f ca="1">Scorebook!W113</f>
        <v>0</v>
      </c>
      <c r="AH46" s="5">
        <f ca="1">Scorebook!X113</f>
        <v>0</v>
      </c>
      <c r="AI46" s="5">
        <f>Settings!$B$2</f>
        <v>1</v>
      </c>
      <c r="AJ46" s="18">
        <f ca="1">IF($AK46="","",Scorebook!$O$189)</f>
        <v>10</v>
      </c>
      <c r="AK46" s="4" t="str">
        <f ca="1">Scorebook!$F$149</f>
        <v>G4</v>
      </c>
      <c r="AL46" s="5" t="str">
        <f ca="1">Scorebook!$R$149</f>
        <v>Aidan</v>
      </c>
      <c r="AM46" s="5" t="str">
        <f>Scorebook!$B$189</f>
        <v>Red Magikoopa</v>
      </c>
      <c r="AN46" s="5">
        <f ca="1">IF(Scorebook!C189="","",INT(Scorebook!C189)+MOD(ROUND(Scorebook!C189*10,0),10)/3)</f>
        <v>1.6666666666666667</v>
      </c>
      <c r="AO46" s="5" cm="1">
        <f t="array" aca="1" ref="AO46" ca="1">IF($AK46="","",_xlfn.LET(_xlpm.auto,AND(MOD(ROW()-4,6)=0,$AM46&lt;&gt;0,SUMPRODUCT(--(OFFSET($AM46,1,0,5,1)&lt;&gt;0))=0),_xlpm.oppA,_xlfn.XLOOKUP($AK46,$H$4:$H$18,$J$4:$J$18,""),_xlpm.oppB,_xlfn.XLOOKUP($AK46,$H$4:$H$18,$K$4:$K$18,""),_xlpm.opp,IF($AL46=_xlpm.oppA,_xlpm.oppB,_xlpm.oppA),IF(_xlpm.auto,SUMIFS($Y$4:$Y$273,$S$4:$S$273,$AK46,$T$4:$T$273,_xlpm.opp),Scorebook!D189)))</f>
        <v>5</v>
      </c>
      <c r="AP46" s="5" cm="1">
        <f t="array" aca="1" ref="AP46" ca="1">IF($AK46="","",_xlfn.LET(_xlpm.auto,AND(MOD(ROW()-4,6)=0,$AM46&lt;&gt;0,SUMPRODUCT(--(OFFSET($AM46,1,0,5,1)&lt;&gt;0))=0),_xlpm.oppA,_xlfn.XLOOKUP($AK46,$H$4:$H$18,$J$4:$J$18,""),_xlpm.oppRuns,IF($AL46=_xlpm.oppA,_xlfn.XLOOKUP($AK46,$H$4:$H$18,$O$4:$O$18,""),_xlfn.XLOOKUP($AK46,$H$4:$H$18,$N$4:$N$18,"")),IF(_xlpm.auto,_xlpm.oppRuns,Scorebook!E189)))</f>
        <v>2</v>
      </c>
      <c r="AQ46" s="5">
        <f ca="1">Scorebook!F189</f>
        <v>2</v>
      </c>
      <c r="AR46" s="5" cm="1">
        <f t="array" aca="1" ref="AR46" ca="1">IF($AK46="","",_xlfn.LET(_xlpm.auto,AND(MOD(ROW()-4,6)=0,$AM46&lt;&gt;0,SUMPRODUCT(--(OFFSET($AM46,1,0,5,1)&lt;&gt;0))=0),_xlpm.oppA,_xlfn.XLOOKUP($AK46,$H$4:$H$18,$J$4:$J$18,""),_xlpm.oppB,_xlfn.XLOOKUP($AK46,$H$4:$H$18,$K$4:$K$18,""),_xlpm.opp,IF($AL46=_xlpm.oppA,_xlpm.oppB,_xlpm.oppA),IF(_xlpm.auto,SUMIFS($AD$4:$AD$273,$S$4:$S$273,$AK46,$T$4:$T$273,_xlpm.opp),Scorebook!G189)))</f>
        <v>0</v>
      </c>
      <c r="AS46" s="5" cm="1">
        <f t="array" aca="1" ref="AS46" ca="1">IF($AK46="","",_xlfn.LET(_xlpm.auto,AND(MOD(ROW()-4,6)=0,$AM46&lt;&gt;0,SUMPRODUCT(--(OFFSET($AM46,1,0,5,1)&lt;&gt;0))=0),_xlpm.oppA,_xlfn.XLOOKUP($AK46,$H$4:$H$18,$J$4:$J$18,""),_xlpm.oppB,_xlfn.XLOOKUP($AK46,$H$4:$H$18,$K$4:$K$18,""),_xlpm.opp,IF($AL46=_xlpm.oppA,_xlpm.oppB,_xlpm.oppA),IF(_xlpm.auto,SUMIFS($AE$4:$AE$273,$S$4:$S$273,$AK46,$T$4:$T$273,_xlpm.opp),Scorebook!H189)))</f>
        <v>1</v>
      </c>
      <c r="AT46" s="5" cm="1">
        <f t="array" aca="1" ref="AT46" ca="1">IF($AK46="","",_xlfn.LET(_xlpm.auto,AND(MOD(ROW()-4,6)=0,$AM46&lt;&gt;0,SUMPRODUCT(--(OFFSET($AM46,1,0,5,1)&lt;&gt;0))=0),_xlpm.oppA,_xlfn.XLOOKUP($AK46,$H$4:$H$18,$J$4:$J$18,""),_xlpm.oppB,_xlfn.XLOOKUP($AK46,$H$4:$H$18,$K$4:$K$18,""),_xlpm.opp,IF($AL46=_xlpm.oppA,_xlpm.oppB,_xlpm.oppA),IF(_xlpm.auto,SUMIFS($AB$4:$AB$273,$S$4:$S$273,$AK46,$T$4:$T$273,_xlpm.opp),Scorebook!I189)))</f>
        <v>2</v>
      </c>
      <c r="AU46" s="5" cm="1">
        <f t="array" aca="1" ref="AU46" ca="1">IF($AK46="","",_xlfn.LET(_xlpm.auto,AND(MOD(ROW()-4,6)=0,$AM46&lt;&gt;0,SUMPRODUCT(--(OFFSET($AM46,1,0,5,1)&lt;&gt;0))=0),_xlpm.winner,_xlfn.XLOOKUP($AK46,$H$4:$H$18,$L$4:$L$18,""),IF(_xlpm.auto,--($AL46=_xlpm.winner),Scorebook!J189)))</f>
        <v>0</v>
      </c>
      <c r="AV46" s="5" cm="1">
        <f t="array" aca="1" ref="AV46" ca="1">IF($AK46="","",_xlfn.LET(_xlpm.auto,AND(MOD(ROW()-4,6)=0,$AM46&lt;&gt;0,SUMPRODUCT(--(OFFSET($AM46,1,0,5,1)&lt;&gt;0))=0),_xlpm.loser,_xlfn.XLOOKUP($AK46,$H$4:$H$18,$M$4:$M$18,""),IF(_xlpm.auto,--($AL46=_xlpm.loser),Scorebook!K189)))</f>
        <v>0</v>
      </c>
      <c r="AW46" s="5">
        <f ca="1">Scorebook!L189</f>
        <v>0</v>
      </c>
      <c r="AX46" s="5" cm="1">
        <f t="array" aca="1" ref="AX46" ca="1">IF($AK46="","",_xlfn.LET(_xlpm.auto,AND(MOD(ROW()-4,6)=0,$AM46&lt;&gt;0,SUMPRODUCT(--(OFFSET($AM46,1,0,5,1)&lt;&gt;0))=0),_xlpm.oppA,_xlfn.XLOOKUP($AK46,$H$4:$H$18,$J$4:$J$18,""),_xlpm.oppRuns,IF($AL46=_xlpm.oppA,_xlfn.XLOOKUP($AK46,$H$4:$H$18,$O$4:$O$18,""),_xlfn.XLOOKUP($AK46,$H$4:$H$18,$N$4:$N$18,"")),IF(_xlpm.auto,--(_xlpm.oppRuns=0),Scorebook!M189)))</f>
        <v>0</v>
      </c>
      <c r="AY46" s="5" cm="1">
        <f t="array" aca="1" ref="AY46" ca="1">IF($AK46="","",_xlfn.LET(_xlpm.auto,AND(MOD(ROW()-4,6)=0,$AM46&lt;&gt;0,SUMPRODUCT(--(OFFSET($AM46,1,0,5,1)&lt;&gt;0))=0),IF(_xlpm.auto,1,Scorebook!N189)))</f>
        <v>0</v>
      </c>
      <c r="AZ46" s="10"/>
      <c r="BA46" s="10"/>
      <c r="BB46" s="5">
        <f>Settings!$B$2</f>
        <v>1</v>
      </c>
      <c r="BC46" s="5">
        <f>Betting!A48</f>
        <v>0</v>
      </c>
      <c r="BD46" s="5">
        <f>Betting!B48</f>
        <v>0</v>
      </c>
      <c r="BE46" s="5">
        <f>Betting!C48</f>
        <v>0</v>
      </c>
      <c r="BF46" s="5">
        <f>Betting!D48</f>
        <v>0</v>
      </c>
      <c r="BG46" s="5">
        <f>Betting!E48</f>
        <v>0</v>
      </c>
      <c r="BH46" s="5">
        <f>Betting!F48</f>
        <v>0</v>
      </c>
      <c r="BI46" s="4">
        <f>Betting!G48</f>
        <v>0</v>
      </c>
      <c r="BJ46" s="4">
        <f>Betting!H48</f>
        <v>0</v>
      </c>
    </row>
    <row r="47" spans="1:62">
      <c r="A47" s="4">
        <f>ROW()-3</f>
        <v>44</v>
      </c>
      <c r="B47" s="4">
        <f>IF(A47="","",ROUNDUP(A47/Settings!$B$3,0))</f>
        <v>8</v>
      </c>
      <c r="C47" s="5" t="str">
        <f>IF(Draft!$A$49="","",Draft!$D$49)</f>
        <v>Jason</v>
      </c>
      <c r="D47" s="5" t="str">
        <f>IF(Draft!$E$49="","",Draft!$E$49)</f>
        <v>Blooper</v>
      </c>
      <c r="E47" s="5">
        <f>Settings!$B$2</f>
        <v>1</v>
      </c>
      <c r="F47" s="5" t="b">
        <f>AND(C47&lt;&gt;"",D47&lt;&gt;"")</f>
        <v>1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4" t="str">
        <f ca="1">Scorebook!$F$100</f>
        <v>G3</v>
      </c>
      <c r="T47" s="5" t="str">
        <f ca="1">Scorebook!$N$100</f>
        <v>May</v>
      </c>
      <c r="U47" s="5" t="str">
        <f ca="1">Scorebook!$B$114</f>
        <v>Red Yoshi</v>
      </c>
      <c r="V47" s="4">
        <v>8</v>
      </c>
      <c r="W47" s="5">
        <f ca="1">Scorebook!M114</f>
        <v>2</v>
      </c>
      <c r="X47" s="5">
        <f ca="1">Scorebook!N114</f>
        <v>1</v>
      </c>
      <c r="Y47" s="5">
        <f ca="1">Scorebook!O114</f>
        <v>2</v>
      </c>
      <c r="Z47" s="5">
        <f ca="1">Scorebook!P114</f>
        <v>1</v>
      </c>
      <c r="AA47" s="5">
        <f ca="1">Scorebook!Q114</f>
        <v>0</v>
      </c>
      <c r="AB47" s="5">
        <f ca="1">Scorebook!R114</f>
        <v>0</v>
      </c>
      <c r="AC47" s="5">
        <f ca="1">Scorebook!S114</f>
        <v>0</v>
      </c>
      <c r="AD47" s="5">
        <f ca="1">Scorebook!T114</f>
        <v>0</v>
      </c>
      <c r="AE47" s="5">
        <f ca="1">Scorebook!U114</f>
        <v>0</v>
      </c>
      <c r="AF47" s="5">
        <f ca="1">Scorebook!V114</f>
        <v>0</v>
      </c>
      <c r="AG47" s="5">
        <f ca="1">Scorebook!W114</f>
        <v>0</v>
      </c>
      <c r="AH47" s="5">
        <f ca="1">Scorebook!X114</f>
        <v>0</v>
      </c>
      <c r="AI47" s="5">
        <f>Settings!$B$2</f>
        <v>1</v>
      </c>
      <c r="AJ47" s="18">
        <f ca="1">IF($AK47="","",Scorebook!$O$190)</f>
        <v>7</v>
      </c>
      <c r="AK47" s="4" t="str">
        <f ca="1">Scorebook!$F$149</f>
        <v>G4</v>
      </c>
      <c r="AL47" s="5" t="str">
        <f ca="1">Scorebook!$R$149</f>
        <v>Aidan</v>
      </c>
      <c r="AM47" s="5" t="str">
        <f>Scorebook!$B$190</f>
        <v>Blue Kritter</v>
      </c>
      <c r="AN47" s="5">
        <f ca="1">IF(Scorebook!C190="","",INT(Scorebook!C190)+MOD(ROUND(Scorebook!C190*10,0),10)/3)</f>
        <v>1.3333333333333333</v>
      </c>
      <c r="AO47" s="5" cm="1">
        <f t="array" aca="1" ref="AO47" ca="1">IF($AK47="","",_xlfn.LET(_xlpm.auto,AND(MOD(ROW()-4,6)=0,$AM47&lt;&gt;0,SUMPRODUCT(--(OFFSET($AM47,1,0,5,1)&lt;&gt;0))=0),_xlpm.oppA,_xlfn.XLOOKUP($AK47,$H$4:$H$18,$J$4:$J$18,""),_xlpm.oppB,_xlfn.XLOOKUP($AK47,$H$4:$H$18,$K$4:$K$18,""),_xlpm.opp,IF($AL47=_xlpm.oppA,_xlpm.oppB,_xlpm.oppA),IF(_xlpm.auto,SUMIFS($Y$4:$Y$273,$S$4:$S$273,$AK47,$T$4:$T$273,_xlpm.opp),Scorebook!D190)))</f>
        <v>3</v>
      </c>
      <c r="AP47" s="5" cm="1">
        <f t="array" aca="1" ref="AP47" ca="1">IF($AK47="","",_xlfn.LET(_xlpm.auto,AND(MOD(ROW()-4,6)=0,$AM47&lt;&gt;0,SUMPRODUCT(--(OFFSET($AM47,1,0,5,1)&lt;&gt;0))=0),_xlpm.oppA,_xlfn.XLOOKUP($AK47,$H$4:$H$18,$J$4:$J$18,""),_xlpm.oppRuns,IF($AL47=_xlpm.oppA,_xlfn.XLOOKUP($AK47,$H$4:$H$18,$O$4:$O$18,""),_xlfn.XLOOKUP($AK47,$H$4:$H$18,$N$4:$N$18,"")),IF(_xlpm.auto,_xlpm.oppRuns,Scorebook!E190)))</f>
        <v>3</v>
      </c>
      <c r="AQ47" s="5">
        <f ca="1">Scorebook!F190</f>
        <v>3</v>
      </c>
      <c r="AR47" s="5" cm="1">
        <f t="array" aca="1" ref="AR47" ca="1">IF($AK47="","",_xlfn.LET(_xlpm.auto,AND(MOD(ROW()-4,6)=0,$AM47&lt;&gt;0,SUMPRODUCT(--(OFFSET($AM47,1,0,5,1)&lt;&gt;0))=0),_xlpm.oppA,_xlfn.XLOOKUP($AK47,$H$4:$H$18,$J$4:$J$18,""),_xlpm.oppB,_xlfn.XLOOKUP($AK47,$H$4:$H$18,$K$4:$K$18,""),_xlpm.opp,IF($AL47=_xlpm.oppA,_xlpm.oppB,_xlpm.oppA),IF(_xlpm.auto,SUMIFS($AD$4:$AD$273,$S$4:$S$273,$AK47,$T$4:$T$273,_xlpm.opp),Scorebook!G190)))</f>
        <v>0</v>
      </c>
      <c r="AS47" s="5" cm="1">
        <f t="array" aca="1" ref="AS47" ca="1">IF($AK47="","",_xlfn.LET(_xlpm.auto,AND(MOD(ROW()-4,6)=0,$AM47&lt;&gt;0,SUMPRODUCT(--(OFFSET($AM47,1,0,5,1)&lt;&gt;0))=0),_xlpm.oppA,_xlfn.XLOOKUP($AK47,$H$4:$H$18,$J$4:$J$18,""),_xlpm.oppB,_xlfn.XLOOKUP($AK47,$H$4:$H$18,$K$4:$K$18,""),_xlpm.opp,IF($AL47=_xlpm.oppA,_xlpm.oppB,_xlpm.oppA),IF(_xlpm.auto,SUMIFS($AE$4:$AE$273,$S$4:$S$273,$AK47,$T$4:$T$273,_xlpm.opp),Scorebook!H190)))</f>
        <v>2</v>
      </c>
      <c r="AT47" s="5" cm="1">
        <f t="array" aca="1" ref="AT47" ca="1">IF($AK47="","",_xlfn.LET(_xlpm.auto,AND(MOD(ROW()-4,6)=0,$AM47&lt;&gt;0,SUMPRODUCT(--(OFFSET($AM47,1,0,5,1)&lt;&gt;0))=0),_xlpm.oppA,_xlfn.XLOOKUP($AK47,$H$4:$H$18,$J$4:$J$18,""),_xlpm.oppB,_xlfn.XLOOKUP($AK47,$H$4:$H$18,$K$4:$K$18,""),_xlpm.opp,IF($AL47=_xlpm.oppA,_xlpm.oppB,_xlpm.oppA),IF(_xlpm.auto,SUMIFS($AB$4:$AB$273,$S$4:$S$273,$AK47,$T$4:$T$273,_xlpm.opp),Scorebook!I190)))</f>
        <v>3</v>
      </c>
      <c r="AU47" s="5" cm="1">
        <f t="array" aca="1" ref="AU47" ca="1">IF($AK47="","",_xlfn.LET(_xlpm.auto,AND(MOD(ROW()-4,6)=0,$AM47&lt;&gt;0,SUMPRODUCT(--(OFFSET($AM47,1,0,5,1)&lt;&gt;0))=0),_xlpm.winner,_xlfn.XLOOKUP($AK47,$H$4:$H$18,$L$4:$L$18,""),IF(_xlpm.auto,--($AL47=_xlpm.winner),Scorebook!J190)))</f>
        <v>0</v>
      </c>
      <c r="AV47" s="5" cm="1">
        <f t="array" aca="1" ref="AV47" ca="1">IF($AK47="","",_xlfn.LET(_xlpm.auto,AND(MOD(ROW()-4,6)=0,$AM47&lt;&gt;0,SUMPRODUCT(--(OFFSET($AM47,1,0,5,1)&lt;&gt;0))=0),_xlpm.loser,_xlfn.XLOOKUP($AK47,$H$4:$H$18,$M$4:$M$18,""),IF(_xlpm.auto,--($AL47=_xlpm.loser),Scorebook!K190)))</f>
        <v>1</v>
      </c>
      <c r="AW47" s="5">
        <f ca="1">Scorebook!L190</f>
        <v>0</v>
      </c>
      <c r="AX47" s="5" cm="1">
        <f t="array" aca="1" ref="AX47" ca="1">IF($AK47="","",_xlfn.LET(_xlpm.auto,AND(MOD(ROW()-4,6)=0,$AM47&lt;&gt;0,SUMPRODUCT(--(OFFSET($AM47,1,0,5,1)&lt;&gt;0))=0),_xlpm.oppA,_xlfn.XLOOKUP($AK47,$H$4:$H$18,$J$4:$J$18,""),_xlpm.oppRuns,IF($AL47=_xlpm.oppA,_xlfn.XLOOKUP($AK47,$H$4:$H$18,$O$4:$O$18,""),_xlfn.XLOOKUP($AK47,$H$4:$H$18,$N$4:$N$18,"")),IF(_xlpm.auto,--(_xlpm.oppRuns=0),Scorebook!M190)))</f>
        <v>0</v>
      </c>
      <c r="AY47" s="5" cm="1">
        <f t="array" aca="1" ref="AY47" ca="1">IF($AK47="","",_xlfn.LET(_xlpm.auto,AND(MOD(ROW()-4,6)=0,$AM47&lt;&gt;0,SUMPRODUCT(--(OFFSET($AM47,1,0,5,1)&lt;&gt;0))=0),IF(_xlpm.auto,1,Scorebook!N190)))</f>
        <v>0</v>
      </c>
      <c r="AZ47" s="10"/>
      <c r="BA47" s="10"/>
      <c r="BB47" s="5">
        <f>Settings!$B$2</f>
        <v>1</v>
      </c>
      <c r="BC47" s="5">
        <f>Betting!A49</f>
        <v>0</v>
      </c>
      <c r="BD47" s="5">
        <f>Betting!B49</f>
        <v>0</v>
      </c>
      <c r="BE47" s="5">
        <f>Betting!C49</f>
        <v>0</v>
      </c>
      <c r="BF47" s="5">
        <f>Betting!D49</f>
        <v>0</v>
      </c>
      <c r="BG47" s="5">
        <f>Betting!E49</f>
        <v>0</v>
      </c>
      <c r="BH47" s="5">
        <f>Betting!F49</f>
        <v>0</v>
      </c>
      <c r="BI47" s="4">
        <f>Betting!G49</f>
        <v>0</v>
      </c>
      <c r="BJ47" s="4">
        <f>Betting!H49</f>
        <v>0</v>
      </c>
    </row>
    <row r="48" spans="1:62">
      <c r="A48" s="4">
        <f>ROW()-3</f>
        <v>45</v>
      </c>
      <c r="B48" s="4">
        <f>IF(A48="","",ROUNDUP(A48/Settings!$B$3,0))</f>
        <v>8</v>
      </c>
      <c r="C48" s="5" t="str">
        <f>IF(Draft!$A$50="","",Draft!$D$50)</f>
        <v>Aidan</v>
      </c>
      <c r="D48" s="5" t="str">
        <f>IF(Draft!$E$50="","",Draft!$E$50)</f>
        <v>Blue Kritter</v>
      </c>
      <c r="E48" s="5">
        <f>Settings!$B$2</f>
        <v>1</v>
      </c>
      <c r="F48" s="5" t="b">
        <f>AND(C48&lt;&gt;"",D48&lt;&gt;"")</f>
        <v>1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4" t="str">
        <f ca="1">Scorebook!$F$100</f>
        <v>G3</v>
      </c>
      <c r="T48" s="5" t="str">
        <f ca="1">Scorebook!$N$100</f>
        <v>May</v>
      </c>
      <c r="U48" s="5" t="str">
        <f ca="1">Scorebook!$B$115</f>
        <v>Baby Peach</v>
      </c>
      <c r="V48" s="4">
        <v>9</v>
      </c>
      <c r="W48" s="5">
        <f ca="1">Scorebook!M115</f>
        <v>2</v>
      </c>
      <c r="X48" s="5">
        <f ca="1">Scorebook!N115</f>
        <v>0</v>
      </c>
      <c r="Y48" s="5">
        <f ca="1">Scorebook!O115</f>
        <v>1</v>
      </c>
      <c r="Z48" s="5">
        <f ca="1">Scorebook!P115</f>
        <v>0</v>
      </c>
      <c r="AA48" s="5">
        <f ca="1">Scorebook!Q115</f>
        <v>0</v>
      </c>
      <c r="AB48" s="5">
        <f ca="1">Scorebook!R115</f>
        <v>0</v>
      </c>
      <c r="AC48" s="5">
        <f ca="1">Scorebook!S115</f>
        <v>1</v>
      </c>
      <c r="AD48" s="5">
        <f ca="1">Scorebook!T115</f>
        <v>0</v>
      </c>
      <c r="AE48" s="5">
        <f ca="1">Scorebook!U115</f>
        <v>1</v>
      </c>
      <c r="AF48" s="5">
        <f ca="1">Scorebook!V115</f>
        <v>0</v>
      </c>
      <c r="AG48" s="5">
        <f ca="1">Scorebook!W115</f>
        <v>0</v>
      </c>
      <c r="AH48" s="5">
        <f ca="1">Scorebook!X115</f>
        <v>0</v>
      </c>
      <c r="AI48" s="5">
        <f>Settings!$B$2</f>
        <v>1</v>
      </c>
      <c r="AJ48" s="18">
        <f ca="1">IF($AK48="","",Scorebook!$O$191)</f>
      </c>
      <c r="AK48" s="4" t="str">
        <f ca="1">Scorebook!$F$149</f>
        <v>G4</v>
      </c>
      <c r="AL48" s="5" t="str">
        <f ca="1">Scorebook!$R$149</f>
        <v>Aidan</v>
      </c>
      <c r="AM48" s="5" t="str">
        <f>Scorebook!$B$191</f>
      </c>
      <c r="AN48" s="5">
        <f ca="1">IF(Scorebook!C191="","",INT(Scorebook!C191)+MOD(ROUND(Scorebook!C191*10,0),10)/3)</f>
      </c>
      <c r="AO48" s="5" cm="1">
        <f t="array" aca="1" ref="AO48" ca="1">IF($AK48="","",_xlfn.LET(_xlpm.auto,AND(MOD(ROW()-4,6)=0,$AM48&lt;&gt;0,SUMPRODUCT(--(OFFSET($AM48,1,0,5,1)&lt;&gt;0))=0),_xlpm.oppA,_xlfn.XLOOKUP($AK48,$H$4:$H$18,$J$4:$J$18,""),_xlpm.oppB,_xlfn.XLOOKUP($AK48,$H$4:$H$18,$K$4:$K$18,""),_xlpm.opp,IF($AL48=_xlpm.oppA,_xlpm.oppB,_xlpm.oppA),IF(_xlpm.auto,SUMIFS($Y$4:$Y$273,$S$4:$S$273,$AK48,$T$4:$T$273,_xlpm.opp),Scorebook!D191)))</f>
      </c>
      <c r="AP48" s="5" cm="1">
        <f t="array" aca="1" ref="AP48" ca="1">IF($AK48="","",_xlfn.LET(_xlpm.auto,AND(MOD(ROW()-4,6)=0,$AM48&lt;&gt;0,SUMPRODUCT(--(OFFSET($AM48,1,0,5,1)&lt;&gt;0))=0),_xlpm.oppA,_xlfn.XLOOKUP($AK48,$H$4:$H$18,$J$4:$J$18,""),_xlpm.oppRuns,IF($AL48=_xlpm.oppA,_xlfn.XLOOKUP($AK48,$H$4:$H$18,$O$4:$O$18,""),_xlfn.XLOOKUP($AK48,$H$4:$H$18,$N$4:$N$18,"")),IF(_xlpm.auto,_xlpm.oppRuns,Scorebook!E191)))</f>
      </c>
      <c r="AQ48" s="5">
        <f ca="1">Scorebook!F191</f>
      </c>
      <c r="AR48" s="5" cm="1">
        <f t="array" aca="1" ref="AR48" ca="1">IF($AK48="","",_xlfn.LET(_xlpm.auto,AND(MOD(ROW()-4,6)=0,$AM48&lt;&gt;0,SUMPRODUCT(--(OFFSET($AM48,1,0,5,1)&lt;&gt;0))=0),_xlpm.oppA,_xlfn.XLOOKUP($AK48,$H$4:$H$18,$J$4:$J$18,""),_xlpm.oppB,_xlfn.XLOOKUP($AK48,$H$4:$H$18,$K$4:$K$18,""),_xlpm.opp,IF($AL48=_xlpm.oppA,_xlpm.oppB,_xlpm.oppA),IF(_xlpm.auto,SUMIFS($AD$4:$AD$273,$S$4:$S$273,$AK48,$T$4:$T$273,_xlpm.opp),Scorebook!G191)))</f>
      </c>
      <c r="AS48" s="5" cm="1">
        <f t="array" aca="1" ref="AS48" ca="1">IF($AK48="","",_xlfn.LET(_xlpm.auto,AND(MOD(ROW()-4,6)=0,$AM48&lt;&gt;0,SUMPRODUCT(--(OFFSET($AM48,1,0,5,1)&lt;&gt;0))=0),_xlpm.oppA,_xlfn.XLOOKUP($AK48,$H$4:$H$18,$J$4:$J$18,""),_xlpm.oppB,_xlfn.XLOOKUP($AK48,$H$4:$H$18,$K$4:$K$18,""),_xlpm.opp,IF($AL48=_xlpm.oppA,_xlpm.oppB,_xlpm.oppA),IF(_xlpm.auto,SUMIFS($AE$4:$AE$273,$S$4:$S$273,$AK48,$T$4:$T$273,_xlpm.opp),Scorebook!H191)))</f>
      </c>
      <c r="AT48" s="5" cm="1">
        <f t="array" aca="1" ref="AT48" ca="1">IF($AK48="","",_xlfn.LET(_xlpm.auto,AND(MOD(ROW()-4,6)=0,$AM48&lt;&gt;0,SUMPRODUCT(--(OFFSET($AM48,1,0,5,1)&lt;&gt;0))=0),_xlpm.oppA,_xlfn.XLOOKUP($AK48,$H$4:$H$18,$J$4:$J$18,""),_xlpm.oppB,_xlfn.XLOOKUP($AK48,$H$4:$H$18,$K$4:$K$18,""),_xlpm.opp,IF($AL48=_xlpm.oppA,_xlpm.oppB,_xlpm.oppA),IF(_xlpm.auto,SUMIFS($AB$4:$AB$273,$S$4:$S$273,$AK48,$T$4:$T$273,_xlpm.opp),Scorebook!I191)))</f>
      </c>
      <c r="AU48" s="5" cm="1">
        <f t="array" aca="1" ref="AU48" ca="1">IF($AK48="","",_xlfn.LET(_xlpm.auto,AND(MOD(ROW()-4,6)=0,$AM48&lt;&gt;0,SUMPRODUCT(--(OFFSET($AM48,1,0,5,1)&lt;&gt;0))=0),_xlpm.winner,_xlfn.XLOOKUP($AK48,$H$4:$H$18,$L$4:$L$18,""),IF(_xlpm.auto,--($AL48=_xlpm.winner),Scorebook!J191)))</f>
      </c>
      <c r="AV48" s="5" cm="1">
        <f t="array" aca="1" ref="AV48" ca="1">IF($AK48="","",_xlfn.LET(_xlpm.auto,AND(MOD(ROW()-4,6)=0,$AM48&lt;&gt;0,SUMPRODUCT(--(OFFSET($AM48,1,0,5,1)&lt;&gt;0))=0),_xlpm.loser,_xlfn.XLOOKUP($AK48,$H$4:$H$18,$M$4:$M$18,""),IF(_xlpm.auto,--($AL48=_xlpm.loser),Scorebook!K191)))</f>
      </c>
      <c r="AW48" s="5">
        <f ca="1">Scorebook!L191</f>
      </c>
      <c r="AX48" s="5" cm="1">
        <f t="array" aca="1" ref="AX48" ca="1">IF($AK48="","",_xlfn.LET(_xlpm.auto,AND(MOD(ROW()-4,6)=0,$AM48&lt;&gt;0,SUMPRODUCT(--(OFFSET($AM48,1,0,5,1)&lt;&gt;0))=0),_xlpm.oppA,_xlfn.XLOOKUP($AK48,$H$4:$H$18,$J$4:$J$18,""),_xlpm.oppRuns,IF($AL48=_xlpm.oppA,_xlfn.XLOOKUP($AK48,$H$4:$H$18,$O$4:$O$18,""),_xlfn.XLOOKUP($AK48,$H$4:$H$18,$N$4:$N$18,"")),IF(_xlpm.auto,--(_xlpm.oppRuns=0),Scorebook!M191)))</f>
      </c>
      <c r="AY48" s="5" cm="1">
        <f t="array" aca="1" ref="AY48" ca="1">IF($AK48="","",_xlfn.LET(_xlpm.auto,AND(MOD(ROW()-4,6)=0,$AM48&lt;&gt;0,SUMPRODUCT(--(OFFSET($AM48,1,0,5,1)&lt;&gt;0))=0),IF(_xlpm.auto,1,Scorebook!N191)))</f>
      </c>
      <c r="AZ48" s="10"/>
      <c r="BA48" s="10"/>
      <c r="BB48" s="5">
        <f>Settings!$B$2</f>
        <v>1</v>
      </c>
      <c r="BC48" s="5">
        <f>Betting!A50</f>
        <v>0</v>
      </c>
      <c r="BD48" s="5">
        <f>Betting!B50</f>
        <v>0</v>
      </c>
      <c r="BE48" s="5">
        <f>Betting!C50</f>
        <v>0</v>
      </c>
      <c r="BF48" s="5">
        <f>Betting!D50</f>
        <v>0</v>
      </c>
      <c r="BG48" s="5">
        <f>Betting!E50</f>
        <v>0</v>
      </c>
      <c r="BH48" s="5">
        <f>Betting!F50</f>
        <v>0</v>
      </c>
      <c r="BI48" s="4">
        <f>Betting!G50</f>
        <v>0</v>
      </c>
      <c r="BJ48" s="4">
        <f>Betting!H50</f>
        <v>0</v>
      </c>
    </row>
    <row r="49" spans="1:62">
      <c r="A49" s="4">
        <f>ROW()-3</f>
        <v>46</v>
      </c>
      <c r="B49" s="4">
        <f>IF(A49="","",ROUNDUP(A49/Settings!$B$3,0))</f>
        <v>8</v>
      </c>
      <c r="C49" s="5" t="str">
        <f>IF(Draft!$A$51="","",Draft!$D$51)</f>
        <v>Nick</v>
      </c>
      <c r="D49" s="5" t="str">
        <f>IF(Draft!$E$51="","",Draft!$E$51)</f>
        <v>Boomerang Bro</v>
      </c>
      <c r="E49" s="5">
        <f>Settings!$B$2</f>
        <v>1</v>
      </c>
      <c r="F49" s="5" t="b">
        <f>AND(C49&lt;&gt;"",D49&lt;&gt;"")</f>
        <v>1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4" t="str">
        <f ca="1">Scorebook!$F$100</f>
        <v>G3</v>
      </c>
      <c r="T49" s="5" t="str">
        <f ca="1">Scorebook!$R$100</f>
        <v>Nick</v>
      </c>
      <c r="U49" s="5" t="str">
        <f ca="1">Scorebook!$B$128</f>
        <v>Monty Mole</v>
      </c>
      <c r="V49" s="4">
        <v>1</v>
      </c>
      <c r="W49" s="5">
        <f ca="1">Scorebook!M128</f>
        <v>2</v>
      </c>
      <c r="X49" s="5">
        <f ca="1">Scorebook!N128</f>
        <v>0</v>
      </c>
      <c r="Y49" s="5">
        <f ca="1">Scorebook!O128</f>
        <v>0</v>
      </c>
      <c r="Z49" s="5">
        <f ca="1">Scorebook!P128</f>
        <v>0</v>
      </c>
      <c r="AA49" s="5">
        <f ca="1">Scorebook!Q128</f>
        <v>0</v>
      </c>
      <c r="AB49" s="5">
        <f ca="1">Scorebook!R128</f>
        <v>0</v>
      </c>
      <c r="AC49" s="5">
        <f ca="1">Scorebook!S128</f>
        <v>0</v>
      </c>
      <c r="AD49" s="5">
        <f ca="1">Scorebook!T128</f>
        <v>0</v>
      </c>
      <c r="AE49" s="5">
        <f ca="1">Scorebook!U128</f>
        <v>0</v>
      </c>
      <c r="AF49" s="5">
        <f ca="1">Scorebook!V128</f>
        <v>0</v>
      </c>
      <c r="AG49" s="5">
        <f ca="1">Scorebook!W128</f>
        <v>0</v>
      </c>
      <c r="AH49" s="5">
        <f ca="1">Scorebook!X128</f>
        <v>0</v>
      </c>
      <c r="AI49" s="5">
        <f>Settings!$B$2</f>
        <v>1</v>
      </c>
      <c r="AJ49" s="18">
        <f ca="1">IF($AK49="","",Scorebook!$O$192)</f>
      </c>
      <c r="AK49" s="4" t="str">
        <f ca="1">Scorebook!$F$149</f>
        <v>G4</v>
      </c>
      <c r="AL49" s="5" t="str">
        <f ca="1">Scorebook!$R$149</f>
        <v>Aidan</v>
      </c>
      <c r="AM49" s="5" t="str">
        <f>Scorebook!$B$192</f>
      </c>
      <c r="AN49" s="5">
        <f ca="1">IF(Scorebook!C192="","",INT(Scorebook!C192)+MOD(ROUND(Scorebook!C192*10,0),10)/3)</f>
      </c>
      <c r="AO49" s="5" cm="1">
        <f t="array" aca="1" ref="AO49" ca="1">IF($AK49="","",_xlfn.LET(_xlpm.auto,AND(MOD(ROW()-4,6)=0,$AM49&lt;&gt;0,SUMPRODUCT(--(OFFSET($AM49,1,0,5,1)&lt;&gt;0))=0),_xlpm.oppA,_xlfn.XLOOKUP($AK49,$H$4:$H$18,$J$4:$J$18,""),_xlpm.oppB,_xlfn.XLOOKUP($AK49,$H$4:$H$18,$K$4:$K$18,""),_xlpm.opp,IF($AL49=_xlpm.oppA,_xlpm.oppB,_xlpm.oppA),IF(_xlpm.auto,SUMIFS($Y$4:$Y$273,$S$4:$S$273,$AK49,$T$4:$T$273,_xlpm.opp),Scorebook!D192)))</f>
      </c>
      <c r="AP49" s="5" cm="1">
        <f t="array" aca="1" ref="AP49" ca="1">IF($AK49="","",_xlfn.LET(_xlpm.auto,AND(MOD(ROW()-4,6)=0,$AM49&lt;&gt;0,SUMPRODUCT(--(OFFSET($AM49,1,0,5,1)&lt;&gt;0))=0),_xlpm.oppA,_xlfn.XLOOKUP($AK49,$H$4:$H$18,$J$4:$J$18,""),_xlpm.oppRuns,IF($AL49=_xlpm.oppA,_xlfn.XLOOKUP($AK49,$H$4:$H$18,$O$4:$O$18,""),_xlfn.XLOOKUP($AK49,$H$4:$H$18,$N$4:$N$18,"")),IF(_xlpm.auto,_xlpm.oppRuns,Scorebook!E192)))</f>
      </c>
      <c r="AQ49" s="5">
        <f ca="1">Scorebook!F192</f>
      </c>
      <c r="AR49" s="5" cm="1">
        <f t="array" aca="1" ref="AR49" ca="1">IF($AK49="","",_xlfn.LET(_xlpm.auto,AND(MOD(ROW()-4,6)=0,$AM49&lt;&gt;0,SUMPRODUCT(--(OFFSET($AM49,1,0,5,1)&lt;&gt;0))=0),_xlpm.oppA,_xlfn.XLOOKUP($AK49,$H$4:$H$18,$J$4:$J$18,""),_xlpm.oppB,_xlfn.XLOOKUP($AK49,$H$4:$H$18,$K$4:$K$18,""),_xlpm.opp,IF($AL49=_xlpm.oppA,_xlpm.oppB,_xlpm.oppA),IF(_xlpm.auto,SUMIFS($AD$4:$AD$273,$S$4:$S$273,$AK49,$T$4:$T$273,_xlpm.opp),Scorebook!G192)))</f>
      </c>
      <c r="AS49" s="5" cm="1">
        <f t="array" aca="1" ref="AS49" ca="1">IF($AK49="","",_xlfn.LET(_xlpm.auto,AND(MOD(ROW()-4,6)=0,$AM49&lt;&gt;0,SUMPRODUCT(--(OFFSET($AM49,1,0,5,1)&lt;&gt;0))=0),_xlpm.oppA,_xlfn.XLOOKUP($AK49,$H$4:$H$18,$J$4:$J$18,""),_xlpm.oppB,_xlfn.XLOOKUP($AK49,$H$4:$H$18,$K$4:$K$18,""),_xlpm.opp,IF($AL49=_xlpm.oppA,_xlpm.oppB,_xlpm.oppA),IF(_xlpm.auto,SUMIFS($AE$4:$AE$273,$S$4:$S$273,$AK49,$T$4:$T$273,_xlpm.opp),Scorebook!H192)))</f>
      </c>
      <c r="AT49" s="5" cm="1">
        <f t="array" aca="1" ref="AT49" ca="1">IF($AK49="","",_xlfn.LET(_xlpm.auto,AND(MOD(ROW()-4,6)=0,$AM49&lt;&gt;0,SUMPRODUCT(--(OFFSET($AM49,1,0,5,1)&lt;&gt;0))=0),_xlpm.oppA,_xlfn.XLOOKUP($AK49,$H$4:$H$18,$J$4:$J$18,""),_xlpm.oppB,_xlfn.XLOOKUP($AK49,$H$4:$H$18,$K$4:$K$18,""),_xlpm.opp,IF($AL49=_xlpm.oppA,_xlpm.oppB,_xlpm.oppA),IF(_xlpm.auto,SUMIFS($AB$4:$AB$273,$S$4:$S$273,$AK49,$T$4:$T$273,_xlpm.opp),Scorebook!I192)))</f>
      </c>
      <c r="AU49" s="5" cm="1">
        <f t="array" aca="1" ref="AU49" ca="1">IF($AK49="","",_xlfn.LET(_xlpm.auto,AND(MOD(ROW()-4,6)=0,$AM49&lt;&gt;0,SUMPRODUCT(--(OFFSET($AM49,1,0,5,1)&lt;&gt;0))=0),_xlpm.winner,_xlfn.XLOOKUP($AK49,$H$4:$H$18,$L$4:$L$18,""),IF(_xlpm.auto,--($AL49=_xlpm.winner),Scorebook!J192)))</f>
      </c>
      <c r="AV49" s="5" cm="1">
        <f t="array" aca="1" ref="AV49" ca="1">IF($AK49="","",_xlfn.LET(_xlpm.auto,AND(MOD(ROW()-4,6)=0,$AM49&lt;&gt;0,SUMPRODUCT(--(OFFSET($AM49,1,0,5,1)&lt;&gt;0))=0),_xlpm.loser,_xlfn.XLOOKUP($AK49,$H$4:$H$18,$M$4:$M$18,""),IF(_xlpm.auto,--($AL49=_xlpm.loser),Scorebook!K192)))</f>
      </c>
      <c r="AW49" s="5">
        <f ca="1">Scorebook!L192</f>
      </c>
      <c r="AX49" s="5" cm="1">
        <f t="array" aca="1" ref="AX49" ca="1">IF($AK49="","",_xlfn.LET(_xlpm.auto,AND(MOD(ROW()-4,6)=0,$AM49&lt;&gt;0,SUMPRODUCT(--(OFFSET($AM49,1,0,5,1)&lt;&gt;0))=0),_xlpm.oppA,_xlfn.XLOOKUP($AK49,$H$4:$H$18,$J$4:$J$18,""),_xlpm.oppRuns,IF($AL49=_xlpm.oppA,_xlfn.XLOOKUP($AK49,$H$4:$H$18,$O$4:$O$18,""),_xlfn.XLOOKUP($AK49,$H$4:$H$18,$N$4:$N$18,"")),IF(_xlpm.auto,--(_xlpm.oppRuns=0),Scorebook!M192)))</f>
      </c>
      <c r="AY49" s="5" cm="1">
        <f t="array" aca="1" ref="AY49" ca="1">IF($AK49="","",_xlfn.LET(_xlpm.auto,AND(MOD(ROW()-4,6)=0,$AM49&lt;&gt;0,SUMPRODUCT(--(OFFSET($AM49,1,0,5,1)&lt;&gt;0))=0),IF(_xlpm.auto,1,Scorebook!N192)))</f>
      </c>
      <c r="AZ49" s="10"/>
      <c r="BA49" s="10"/>
      <c r="BB49" s="5">
        <f>Settings!$B$2</f>
        <v>1</v>
      </c>
      <c r="BC49" s="5">
        <f>Betting!A51</f>
        <v>0</v>
      </c>
      <c r="BD49" s="5">
        <f>Betting!B51</f>
        <v>0</v>
      </c>
      <c r="BE49" s="5">
        <f>Betting!C51</f>
        <v>0</v>
      </c>
      <c r="BF49" s="5">
        <f>Betting!D51</f>
        <v>0</v>
      </c>
      <c r="BG49" s="5">
        <f>Betting!E51</f>
        <v>0</v>
      </c>
      <c r="BH49" s="5">
        <f>Betting!F51</f>
        <v>0</v>
      </c>
      <c r="BI49" s="4">
        <f>Betting!G51</f>
        <v>0</v>
      </c>
      <c r="BJ49" s="4">
        <f>Betting!H51</f>
        <v>0</v>
      </c>
    </row>
    <row r="50" spans="1:62">
      <c r="A50" s="4">
        <f>ROW()-3</f>
        <v>47</v>
      </c>
      <c r="B50" s="4">
        <f>IF(A50="","",ROUNDUP(A50/Settings!$B$3,0))</f>
        <v>8</v>
      </c>
      <c r="C50" s="5" t="str">
        <f>IF(Draft!$A$52="","",Draft!$D$52)</f>
        <v>Donovan</v>
      </c>
      <c r="D50" s="5" t="str">
        <f>IF(Draft!$E$52="","",Draft!$E$52)</f>
        <v>Dry Bones</v>
      </c>
      <c r="E50" s="5">
        <f>Settings!$B$2</f>
        <v>1</v>
      </c>
      <c r="F50" s="5" t="b">
        <f>AND(C50&lt;&gt;"",D50&lt;&gt;"")</f>
        <v>1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4" t="str">
        <f ca="1">Scorebook!$F$100</f>
        <v>G3</v>
      </c>
      <c r="T50" s="5" t="str">
        <f ca="1">Scorebook!$R$100</f>
        <v>Nick</v>
      </c>
      <c r="U50" s="5" t="str">
        <f ca="1">Scorebook!$B$129</f>
        <v>Boomerang Bro</v>
      </c>
      <c r="V50" s="4">
        <v>2</v>
      </c>
      <c r="W50" s="5">
        <f ca="1">Scorebook!M129</f>
        <v>2</v>
      </c>
      <c r="X50" s="5">
        <f ca="1">Scorebook!N129</f>
        <v>0</v>
      </c>
      <c r="Y50" s="5">
        <f ca="1">Scorebook!O129</f>
        <v>0</v>
      </c>
      <c r="Z50" s="5">
        <f ca="1">Scorebook!P129</f>
        <v>0</v>
      </c>
      <c r="AA50" s="5">
        <f ca="1">Scorebook!Q129</f>
        <v>0</v>
      </c>
      <c r="AB50" s="5">
        <f ca="1">Scorebook!R129</f>
        <v>0</v>
      </c>
      <c r="AC50" s="5">
        <f ca="1">Scorebook!S129</f>
        <v>0</v>
      </c>
      <c r="AD50" s="5">
        <f ca="1">Scorebook!T129</f>
        <v>0</v>
      </c>
      <c r="AE50" s="5">
        <f ca="1">Scorebook!U129</f>
        <v>0</v>
      </c>
      <c r="AF50" s="5">
        <f ca="1">Scorebook!V129</f>
        <v>0</v>
      </c>
      <c r="AG50" s="5">
        <f ca="1">Scorebook!W129</f>
        <v>0</v>
      </c>
      <c r="AH50" s="5">
        <f ca="1">Scorebook!X129</f>
        <v>0</v>
      </c>
      <c r="AI50" s="5">
        <f>Settings!$B$2</f>
        <v>1</v>
      </c>
      <c r="AJ50" s="18">
        <f ca="1">IF($AK50="","",Scorebook!$O$193)</f>
      </c>
      <c r="AK50" s="4" t="str">
        <f ca="1">Scorebook!$F$149</f>
        <v>G4</v>
      </c>
      <c r="AL50" s="5" t="str">
        <f ca="1">Scorebook!$R$149</f>
        <v>Aidan</v>
      </c>
      <c r="AM50" s="5" t="str">
        <f>Scorebook!$B$193</f>
      </c>
      <c r="AN50" s="5">
        <f ca="1">IF(Scorebook!C193="","",INT(Scorebook!C193)+MOD(ROUND(Scorebook!C193*10,0),10)/3)</f>
      </c>
      <c r="AO50" s="5" cm="1">
        <f t="array" aca="1" ref="AO50" ca="1">IF($AK50="","",_xlfn.LET(_xlpm.auto,AND(MOD(ROW()-4,6)=0,$AM50&lt;&gt;0,SUMPRODUCT(--(OFFSET($AM50,1,0,5,1)&lt;&gt;0))=0),_xlpm.oppA,_xlfn.XLOOKUP($AK50,$H$4:$H$18,$J$4:$J$18,""),_xlpm.oppB,_xlfn.XLOOKUP($AK50,$H$4:$H$18,$K$4:$K$18,""),_xlpm.opp,IF($AL50=_xlpm.oppA,_xlpm.oppB,_xlpm.oppA),IF(_xlpm.auto,SUMIFS($Y$4:$Y$273,$S$4:$S$273,$AK50,$T$4:$T$273,_xlpm.opp),Scorebook!D193)))</f>
      </c>
      <c r="AP50" s="5" cm="1">
        <f t="array" aca="1" ref="AP50" ca="1">IF($AK50="","",_xlfn.LET(_xlpm.auto,AND(MOD(ROW()-4,6)=0,$AM50&lt;&gt;0,SUMPRODUCT(--(OFFSET($AM50,1,0,5,1)&lt;&gt;0))=0),_xlpm.oppA,_xlfn.XLOOKUP($AK50,$H$4:$H$18,$J$4:$J$18,""),_xlpm.oppRuns,IF($AL50=_xlpm.oppA,_xlfn.XLOOKUP($AK50,$H$4:$H$18,$O$4:$O$18,""),_xlfn.XLOOKUP($AK50,$H$4:$H$18,$N$4:$N$18,"")),IF(_xlpm.auto,_xlpm.oppRuns,Scorebook!E193)))</f>
      </c>
      <c r="AQ50" s="5">
        <f ca="1">Scorebook!F193</f>
      </c>
      <c r="AR50" s="5" cm="1">
        <f t="array" aca="1" ref="AR50" ca="1">IF($AK50="","",_xlfn.LET(_xlpm.auto,AND(MOD(ROW()-4,6)=0,$AM50&lt;&gt;0,SUMPRODUCT(--(OFFSET($AM50,1,0,5,1)&lt;&gt;0))=0),_xlpm.oppA,_xlfn.XLOOKUP($AK50,$H$4:$H$18,$J$4:$J$18,""),_xlpm.oppB,_xlfn.XLOOKUP($AK50,$H$4:$H$18,$K$4:$K$18,""),_xlpm.opp,IF($AL50=_xlpm.oppA,_xlpm.oppB,_xlpm.oppA),IF(_xlpm.auto,SUMIFS($AD$4:$AD$273,$S$4:$S$273,$AK50,$T$4:$T$273,_xlpm.opp),Scorebook!G193)))</f>
      </c>
      <c r="AS50" s="5" cm="1">
        <f t="array" aca="1" ref="AS50" ca="1">IF($AK50="","",_xlfn.LET(_xlpm.auto,AND(MOD(ROW()-4,6)=0,$AM50&lt;&gt;0,SUMPRODUCT(--(OFFSET($AM50,1,0,5,1)&lt;&gt;0))=0),_xlpm.oppA,_xlfn.XLOOKUP($AK50,$H$4:$H$18,$J$4:$J$18,""),_xlpm.oppB,_xlfn.XLOOKUP($AK50,$H$4:$H$18,$K$4:$K$18,""),_xlpm.opp,IF($AL50=_xlpm.oppA,_xlpm.oppB,_xlpm.oppA),IF(_xlpm.auto,SUMIFS($AE$4:$AE$273,$S$4:$S$273,$AK50,$T$4:$T$273,_xlpm.opp),Scorebook!H193)))</f>
      </c>
      <c r="AT50" s="5" cm="1">
        <f t="array" aca="1" ref="AT50" ca="1">IF($AK50="","",_xlfn.LET(_xlpm.auto,AND(MOD(ROW()-4,6)=0,$AM50&lt;&gt;0,SUMPRODUCT(--(OFFSET($AM50,1,0,5,1)&lt;&gt;0))=0),_xlpm.oppA,_xlfn.XLOOKUP($AK50,$H$4:$H$18,$J$4:$J$18,""),_xlpm.oppB,_xlfn.XLOOKUP($AK50,$H$4:$H$18,$K$4:$K$18,""),_xlpm.opp,IF($AL50=_xlpm.oppA,_xlpm.oppB,_xlpm.oppA),IF(_xlpm.auto,SUMIFS($AB$4:$AB$273,$S$4:$S$273,$AK50,$T$4:$T$273,_xlpm.opp),Scorebook!I193)))</f>
      </c>
      <c r="AU50" s="5" cm="1">
        <f t="array" aca="1" ref="AU50" ca="1">IF($AK50="","",_xlfn.LET(_xlpm.auto,AND(MOD(ROW()-4,6)=0,$AM50&lt;&gt;0,SUMPRODUCT(--(OFFSET($AM50,1,0,5,1)&lt;&gt;0))=0),_xlpm.winner,_xlfn.XLOOKUP($AK50,$H$4:$H$18,$L$4:$L$18,""),IF(_xlpm.auto,--($AL50=_xlpm.winner),Scorebook!J193)))</f>
      </c>
      <c r="AV50" s="5" cm="1">
        <f t="array" aca="1" ref="AV50" ca="1">IF($AK50="","",_xlfn.LET(_xlpm.auto,AND(MOD(ROW()-4,6)=0,$AM50&lt;&gt;0,SUMPRODUCT(--(OFFSET($AM50,1,0,5,1)&lt;&gt;0))=0),_xlpm.loser,_xlfn.XLOOKUP($AK50,$H$4:$H$18,$M$4:$M$18,""),IF(_xlpm.auto,--($AL50=_xlpm.loser),Scorebook!K193)))</f>
      </c>
      <c r="AW50" s="5">
        <f ca="1">Scorebook!L193</f>
      </c>
      <c r="AX50" s="5" cm="1">
        <f t="array" aca="1" ref="AX50" ca="1">IF($AK50="","",_xlfn.LET(_xlpm.auto,AND(MOD(ROW()-4,6)=0,$AM50&lt;&gt;0,SUMPRODUCT(--(OFFSET($AM50,1,0,5,1)&lt;&gt;0))=0),_xlpm.oppA,_xlfn.XLOOKUP($AK50,$H$4:$H$18,$J$4:$J$18,""),_xlpm.oppRuns,IF($AL50=_xlpm.oppA,_xlfn.XLOOKUP($AK50,$H$4:$H$18,$O$4:$O$18,""),_xlfn.XLOOKUP($AK50,$H$4:$H$18,$N$4:$N$18,"")),IF(_xlpm.auto,--(_xlpm.oppRuns=0),Scorebook!M193)))</f>
      </c>
      <c r="AY50" s="5" cm="1">
        <f t="array" aca="1" ref="AY50" ca="1">IF($AK50="","",_xlfn.LET(_xlpm.auto,AND(MOD(ROW()-4,6)=0,$AM50&lt;&gt;0,SUMPRODUCT(--(OFFSET($AM50,1,0,5,1)&lt;&gt;0))=0),IF(_xlpm.auto,1,Scorebook!N193)))</f>
      </c>
      <c r="AZ50" s="10"/>
      <c r="BA50" s="10"/>
      <c r="BB50" s="5">
        <f>Settings!$B$2</f>
        <v>1</v>
      </c>
      <c r="BC50" s="5">
        <f>Betting!A52</f>
        <v>0</v>
      </c>
      <c r="BD50" s="5">
        <f>Betting!B52</f>
        <v>0</v>
      </c>
      <c r="BE50" s="5">
        <f>Betting!C52</f>
        <v>0</v>
      </c>
      <c r="BF50" s="5">
        <f>Betting!D52</f>
        <v>0</v>
      </c>
      <c r="BG50" s="5">
        <f>Betting!E52</f>
        <v>0</v>
      </c>
      <c r="BH50" s="5">
        <f>Betting!F52</f>
        <v>0</v>
      </c>
      <c r="BI50" s="4">
        <f>Betting!G52</f>
        <v>0</v>
      </c>
      <c r="BJ50" s="4">
        <f>Betting!H52</f>
        <v>0</v>
      </c>
    </row>
    <row r="51" spans="1:62">
      <c r="A51" s="4">
        <f>ROW()-3</f>
        <v>48</v>
      </c>
      <c r="B51" s="4">
        <f>IF(A51="","",ROUNDUP(A51/Settings!$B$3,0))</f>
        <v>8</v>
      </c>
      <c r="C51" s="5" t="str">
        <f>IF(Draft!$A$53="","",Draft!$D$53)</f>
        <v>Justin</v>
      </c>
      <c r="D51" s="5" t="str">
        <f>IF(Draft!$E$53="","",Draft!$E$53)</f>
        <v>Paratroopa</v>
      </c>
      <c r="E51" s="5">
        <f>Settings!$B$2</f>
        <v>1</v>
      </c>
      <c r="F51" s="5" t="b">
        <f>AND(C51&lt;&gt;"",D51&lt;&gt;"")</f>
        <v>1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4" t="str">
        <f ca="1">Scorebook!$F$100</f>
        <v>G3</v>
      </c>
      <c r="T51" s="5" t="str">
        <f ca="1">Scorebook!$R$100</f>
        <v>Nick</v>
      </c>
      <c r="U51" s="5" t="str">
        <f ca="1">Scorebook!$B$130</f>
        <v>Wiggler</v>
      </c>
      <c r="V51" s="4">
        <v>3</v>
      </c>
      <c r="W51" s="5">
        <f ca="1">Scorebook!M130</f>
        <v>2</v>
      </c>
      <c r="X51" s="5">
        <f ca="1">Scorebook!N130</f>
        <v>1</v>
      </c>
      <c r="Y51" s="5">
        <f ca="1">Scorebook!O130</f>
        <v>1</v>
      </c>
      <c r="Z51" s="5">
        <f ca="1">Scorebook!P130</f>
        <v>0</v>
      </c>
      <c r="AA51" s="5">
        <f ca="1">Scorebook!Q130</f>
        <v>0</v>
      </c>
      <c r="AB51" s="5">
        <f ca="1">Scorebook!R130</f>
        <v>1</v>
      </c>
      <c r="AC51" s="5">
        <f ca="1">Scorebook!S130</f>
        <v>1</v>
      </c>
      <c r="AD51" s="5">
        <f ca="1">Scorebook!T130</f>
        <v>0</v>
      </c>
      <c r="AE51" s="5">
        <f ca="1">Scorebook!U130</f>
        <v>0</v>
      </c>
      <c r="AF51" s="5">
        <f ca="1">Scorebook!V130</f>
        <v>0</v>
      </c>
      <c r="AG51" s="5">
        <f ca="1">Scorebook!W130</f>
        <v>0</v>
      </c>
      <c r="AH51" s="5">
        <f ca="1">Scorebook!X130</f>
        <v>0</v>
      </c>
      <c r="AI51" s="5">
        <f>Settings!$B$2</f>
        <v>1</v>
      </c>
      <c r="AJ51" s="18">
        <f ca="1">IF($AK51="","",Scorebook!$O$194)</f>
      </c>
      <c r="AK51" s="4" t="str">
        <f ca="1">Scorebook!$F$149</f>
        <v>G4</v>
      </c>
      <c r="AL51" s="5" t="str">
        <f ca="1">Scorebook!$R$149</f>
        <v>Aidan</v>
      </c>
      <c r="AM51" s="5" t="str">
        <f>Scorebook!$B$194</f>
      </c>
      <c r="AN51" s="5">
        <f ca="1">IF(Scorebook!C194="","",INT(Scorebook!C194)+MOD(ROUND(Scorebook!C194*10,0),10)/3)</f>
      </c>
      <c r="AO51" s="5" cm="1">
        <f t="array" aca="1" ref="AO51" ca="1">IF($AK51="","",_xlfn.LET(_xlpm.auto,AND(MOD(ROW()-4,6)=0,$AM51&lt;&gt;0,SUMPRODUCT(--(OFFSET($AM51,1,0,5,1)&lt;&gt;0))=0),_xlpm.oppA,_xlfn.XLOOKUP($AK51,$H$4:$H$18,$J$4:$J$18,""),_xlpm.oppB,_xlfn.XLOOKUP($AK51,$H$4:$H$18,$K$4:$K$18,""),_xlpm.opp,IF($AL51=_xlpm.oppA,_xlpm.oppB,_xlpm.oppA),IF(_xlpm.auto,SUMIFS($Y$4:$Y$273,$S$4:$S$273,$AK51,$T$4:$T$273,_xlpm.opp),Scorebook!D194)))</f>
      </c>
      <c r="AP51" s="5" cm="1">
        <f t="array" aca="1" ref="AP51" ca="1">IF($AK51="","",_xlfn.LET(_xlpm.auto,AND(MOD(ROW()-4,6)=0,$AM51&lt;&gt;0,SUMPRODUCT(--(OFFSET($AM51,1,0,5,1)&lt;&gt;0))=0),_xlpm.oppA,_xlfn.XLOOKUP($AK51,$H$4:$H$18,$J$4:$J$18,""),_xlpm.oppRuns,IF($AL51=_xlpm.oppA,_xlfn.XLOOKUP($AK51,$H$4:$H$18,$O$4:$O$18,""),_xlfn.XLOOKUP($AK51,$H$4:$H$18,$N$4:$N$18,"")),IF(_xlpm.auto,_xlpm.oppRuns,Scorebook!E194)))</f>
      </c>
      <c r="AQ51" s="5">
        <f ca="1">Scorebook!F194</f>
      </c>
      <c r="AR51" s="5" cm="1">
        <f t="array" aca="1" ref="AR51" ca="1">IF($AK51="","",_xlfn.LET(_xlpm.auto,AND(MOD(ROW()-4,6)=0,$AM51&lt;&gt;0,SUMPRODUCT(--(OFFSET($AM51,1,0,5,1)&lt;&gt;0))=0),_xlpm.oppA,_xlfn.XLOOKUP($AK51,$H$4:$H$18,$J$4:$J$18,""),_xlpm.oppB,_xlfn.XLOOKUP($AK51,$H$4:$H$18,$K$4:$K$18,""),_xlpm.opp,IF($AL51=_xlpm.oppA,_xlpm.oppB,_xlpm.oppA),IF(_xlpm.auto,SUMIFS($AD$4:$AD$273,$S$4:$S$273,$AK51,$T$4:$T$273,_xlpm.opp),Scorebook!G194)))</f>
      </c>
      <c r="AS51" s="5" cm="1">
        <f t="array" aca="1" ref="AS51" ca="1">IF($AK51="","",_xlfn.LET(_xlpm.auto,AND(MOD(ROW()-4,6)=0,$AM51&lt;&gt;0,SUMPRODUCT(--(OFFSET($AM51,1,0,5,1)&lt;&gt;0))=0),_xlpm.oppA,_xlfn.XLOOKUP($AK51,$H$4:$H$18,$J$4:$J$18,""),_xlpm.oppB,_xlfn.XLOOKUP($AK51,$H$4:$H$18,$K$4:$K$18,""),_xlpm.opp,IF($AL51=_xlpm.oppA,_xlpm.oppB,_xlpm.oppA),IF(_xlpm.auto,SUMIFS($AE$4:$AE$273,$S$4:$S$273,$AK51,$T$4:$T$273,_xlpm.opp),Scorebook!H194)))</f>
      </c>
      <c r="AT51" s="5" cm="1">
        <f t="array" aca="1" ref="AT51" ca="1">IF($AK51="","",_xlfn.LET(_xlpm.auto,AND(MOD(ROW()-4,6)=0,$AM51&lt;&gt;0,SUMPRODUCT(--(OFFSET($AM51,1,0,5,1)&lt;&gt;0))=0),_xlpm.oppA,_xlfn.XLOOKUP($AK51,$H$4:$H$18,$J$4:$J$18,""),_xlpm.oppB,_xlfn.XLOOKUP($AK51,$H$4:$H$18,$K$4:$K$18,""),_xlpm.opp,IF($AL51=_xlpm.oppA,_xlpm.oppB,_xlpm.oppA),IF(_xlpm.auto,SUMIFS($AB$4:$AB$273,$S$4:$S$273,$AK51,$T$4:$T$273,_xlpm.opp),Scorebook!I194)))</f>
      </c>
      <c r="AU51" s="5" cm="1">
        <f t="array" aca="1" ref="AU51" ca="1">IF($AK51="","",_xlfn.LET(_xlpm.auto,AND(MOD(ROW()-4,6)=0,$AM51&lt;&gt;0,SUMPRODUCT(--(OFFSET($AM51,1,0,5,1)&lt;&gt;0))=0),_xlpm.winner,_xlfn.XLOOKUP($AK51,$H$4:$H$18,$L$4:$L$18,""),IF(_xlpm.auto,--($AL51=_xlpm.winner),Scorebook!J194)))</f>
      </c>
      <c r="AV51" s="5" cm="1">
        <f t="array" aca="1" ref="AV51" ca="1">IF($AK51="","",_xlfn.LET(_xlpm.auto,AND(MOD(ROW()-4,6)=0,$AM51&lt;&gt;0,SUMPRODUCT(--(OFFSET($AM51,1,0,5,1)&lt;&gt;0))=0),_xlpm.loser,_xlfn.XLOOKUP($AK51,$H$4:$H$18,$M$4:$M$18,""),IF(_xlpm.auto,--($AL51=_xlpm.loser),Scorebook!K194)))</f>
      </c>
      <c r="AW51" s="5">
        <f ca="1">Scorebook!L194</f>
      </c>
      <c r="AX51" s="5" cm="1">
        <f t="array" aca="1" ref="AX51" ca="1">IF($AK51="","",_xlfn.LET(_xlpm.auto,AND(MOD(ROW()-4,6)=0,$AM51&lt;&gt;0,SUMPRODUCT(--(OFFSET($AM51,1,0,5,1)&lt;&gt;0))=0),_xlpm.oppA,_xlfn.XLOOKUP($AK51,$H$4:$H$18,$J$4:$J$18,""),_xlpm.oppRuns,IF($AL51=_xlpm.oppA,_xlfn.XLOOKUP($AK51,$H$4:$H$18,$O$4:$O$18,""),_xlfn.XLOOKUP($AK51,$H$4:$H$18,$N$4:$N$18,"")),IF(_xlpm.auto,--(_xlpm.oppRuns=0),Scorebook!M194)))</f>
      </c>
      <c r="AY51" s="5" cm="1">
        <f t="array" aca="1" ref="AY51" ca="1">IF($AK51="","",_xlfn.LET(_xlpm.auto,AND(MOD(ROW()-4,6)=0,$AM51&lt;&gt;0,SUMPRODUCT(--(OFFSET($AM51,1,0,5,1)&lt;&gt;0))=0),IF(_xlpm.auto,1,Scorebook!N194)))</f>
      </c>
      <c r="AZ51" s="10"/>
      <c r="BA51" s="10"/>
      <c r="BB51" s="5">
        <f>Settings!$B$2</f>
        <v>1</v>
      </c>
      <c r="BC51" s="5">
        <f>Betting!A53</f>
        <v>0</v>
      </c>
      <c r="BD51" s="5">
        <f>Betting!B53</f>
        <v>0</v>
      </c>
      <c r="BE51" s="5">
        <f>Betting!C53</f>
        <v>0</v>
      </c>
      <c r="BF51" s="5">
        <f>Betting!D53</f>
        <v>0</v>
      </c>
      <c r="BG51" s="5">
        <f>Betting!E53</f>
        <v>0</v>
      </c>
      <c r="BH51" s="5">
        <f>Betting!F53</f>
        <v>0</v>
      </c>
      <c r="BI51" s="4">
        <f>Betting!G53</f>
        <v>0</v>
      </c>
      <c r="BJ51" s="4">
        <f>Betting!H53</f>
        <v>0</v>
      </c>
    </row>
    <row r="52" spans="1:62">
      <c r="A52" s="4">
        <f>ROW()-3</f>
        <v>49</v>
      </c>
      <c r="B52" s="4">
        <f>IF(A52="","",ROUNDUP(A52/Settings!$B$3,0))</f>
        <v>9</v>
      </c>
      <c r="C52" s="5" t="str">
        <f>IF(Draft!$A$54="","",Draft!$D$54)</f>
        <v>Justin</v>
      </c>
      <c r="D52" s="5" t="str">
        <f>IF(Draft!$E$54="","",Draft!$E$54)</f>
        <v>Kritter</v>
      </c>
      <c r="E52" s="5">
        <f>Settings!$B$2</f>
        <v>1</v>
      </c>
      <c r="F52" s="5" t="b">
        <f>AND(C52&lt;&gt;"",D52&lt;&gt;"")</f>
        <v>1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4" t="str">
        <f ca="1">Scorebook!$F$100</f>
        <v>G3</v>
      </c>
      <c r="T52" s="5" t="str">
        <f ca="1">Scorebook!$R$100</f>
        <v>Nick</v>
      </c>
      <c r="U52" s="5" t="str">
        <f ca="1">Scorebook!$B$131</f>
        <v>Mii</v>
      </c>
      <c r="V52" s="4">
        <v>4</v>
      </c>
      <c r="W52" s="5">
        <f ca="1">Scorebook!M131</f>
        <v>2</v>
      </c>
      <c r="X52" s="5">
        <f ca="1">Scorebook!N131</f>
        <v>0</v>
      </c>
      <c r="Y52" s="5">
        <f ca="1">Scorebook!O131</f>
        <v>2</v>
      </c>
      <c r="Z52" s="5">
        <f ca="1">Scorebook!P131</f>
        <v>0</v>
      </c>
      <c r="AA52" s="5">
        <f ca="1">Scorebook!Q131</f>
        <v>0</v>
      </c>
      <c r="AB52" s="5">
        <f ca="1">Scorebook!R131</f>
        <v>0</v>
      </c>
      <c r="AC52" s="5">
        <f ca="1">Scorebook!S131</f>
        <v>0</v>
      </c>
      <c r="AD52" s="5">
        <f ca="1">Scorebook!T131</f>
        <v>0</v>
      </c>
      <c r="AE52" s="5">
        <f ca="1">Scorebook!U131</f>
        <v>0</v>
      </c>
      <c r="AF52" s="5">
        <f ca="1">Scorebook!V131</f>
        <v>0</v>
      </c>
      <c r="AG52" s="5">
        <f ca="1">Scorebook!W131</f>
        <v>0</v>
      </c>
      <c r="AH52" s="5">
        <f ca="1">Scorebook!X131</f>
        <v>0</v>
      </c>
      <c r="AI52" s="5">
        <f>Settings!$B$2</f>
        <v>1</v>
      </c>
      <c r="AJ52" s="18">
        <f ca="1">IF($AK52="","",Scorebook!$O$217)</f>
        <v>11</v>
      </c>
      <c r="AK52" s="4" t="str">
        <f ca="1">Scorebook!$F$198</f>
        <v>G5</v>
      </c>
      <c r="AL52" s="5" t="str">
        <f ca="1">Scorebook!$N$198</f>
        <v>May</v>
      </c>
      <c r="AM52" s="5" t="str">
        <f ca="1">Scorebook!$B$217</f>
        <v>King Boo</v>
      </c>
      <c r="AN52" s="5">
        <f ca="1">IF(Scorebook!C217="","",INT(Scorebook!C217)+MOD(ROUND(Scorebook!C217*10,0),10)/3)</f>
        <v>3.0</v>
      </c>
      <c r="AO52" s="5" cm="1">
        <f t="array" aca="1" ref="AO52" ca="1">IF($AK52="","",_xlfn.LET(_xlpm.auto,AND(MOD(ROW()-4,6)=0,$AM52&lt;&gt;0,SUMPRODUCT(--(OFFSET($AM52,1,0,5,1)&lt;&gt;0))=0),_xlpm.oppA,_xlfn.XLOOKUP($AK52,$H$4:$H$18,$J$4:$J$18,""),_xlpm.oppB,_xlfn.XLOOKUP($AK52,$H$4:$H$18,$K$4:$K$18,""),_xlpm.opp,IF($AL52=_xlpm.oppA,_xlpm.oppB,_xlpm.oppA),IF(_xlpm.auto,SUMIFS($Y$4:$Y$273,$S$4:$S$273,$AK52,$T$4:$T$273,_xlpm.opp),Scorebook!D217)))</f>
        <v>2</v>
      </c>
      <c r="AP52" s="5" cm="1">
        <f t="array" aca="1" ref="AP52" ca="1">IF($AK52="","",_xlfn.LET(_xlpm.auto,AND(MOD(ROW()-4,6)=0,$AM52&lt;&gt;0,SUMPRODUCT(--(OFFSET($AM52,1,0,5,1)&lt;&gt;0))=0),_xlpm.oppA,_xlfn.XLOOKUP($AK52,$H$4:$H$18,$J$4:$J$18,""),_xlpm.oppRuns,IF($AL52=_xlpm.oppA,_xlfn.XLOOKUP($AK52,$H$4:$H$18,$O$4:$O$18,""),_xlfn.XLOOKUP($AK52,$H$4:$H$18,$N$4:$N$18,"")),IF(_xlpm.auto,_xlpm.oppRuns,Scorebook!E217)))</f>
        <v>1</v>
      </c>
      <c r="AQ52" s="5">
        <f ca="1">Scorebook!F217</f>
        <v>1</v>
      </c>
      <c r="AR52" s="5" cm="1">
        <f t="array" aca="1" ref="AR52" ca="1">IF($AK52="","",_xlfn.LET(_xlpm.auto,AND(MOD(ROW()-4,6)=0,$AM52&lt;&gt;0,SUMPRODUCT(--(OFFSET($AM52,1,0,5,1)&lt;&gt;0))=0),_xlpm.oppA,_xlfn.XLOOKUP($AK52,$H$4:$H$18,$J$4:$J$18,""),_xlpm.oppB,_xlfn.XLOOKUP($AK52,$H$4:$H$18,$K$4:$K$18,""),_xlpm.opp,IF($AL52=_xlpm.oppA,_xlpm.oppB,_xlpm.oppA),IF(_xlpm.auto,SUMIFS($AD$4:$AD$273,$S$4:$S$273,$AK52,$T$4:$T$273,_xlpm.opp),Scorebook!G217)))</f>
        <v>0</v>
      </c>
      <c r="AS52" s="5" cm="1">
        <f t="array" aca="1" ref="AS52" ca="1">IF($AK52="","",_xlfn.LET(_xlpm.auto,AND(MOD(ROW()-4,6)=0,$AM52&lt;&gt;0,SUMPRODUCT(--(OFFSET($AM52,1,0,5,1)&lt;&gt;0))=0),_xlpm.oppA,_xlfn.XLOOKUP($AK52,$H$4:$H$18,$J$4:$J$18,""),_xlpm.oppB,_xlfn.XLOOKUP($AK52,$H$4:$H$18,$K$4:$K$18,""),_xlpm.opp,IF($AL52=_xlpm.oppA,_xlpm.oppB,_xlpm.oppA),IF(_xlpm.auto,SUMIFS($AE$4:$AE$273,$S$4:$S$273,$AK52,$T$4:$T$273,_xlpm.opp),Scorebook!H217)))</f>
        <v>2</v>
      </c>
      <c r="AT52" s="5" cm="1">
        <f t="array" aca="1" ref="AT52" ca="1">IF($AK52="","",_xlfn.LET(_xlpm.auto,AND(MOD(ROW()-4,6)=0,$AM52&lt;&gt;0,SUMPRODUCT(--(OFFSET($AM52,1,0,5,1)&lt;&gt;0))=0),_xlpm.oppA,_xlfn.XLOOKUP($AK52,$H$4:$H$18,$J$4:$J$18,""),_xlpm.oppB,_xlfn.XLOOKUP($AK52,$H$4:$H$18,$K$4:$K$18,""),_xlpm.opp,IF($AL52=_xlpm.oppA,_xlpm.oppB,_xlpm.oppA),IF(_xlpm.auto,SUMIFS($AB$4:$AB$273,$S$4:$S$273,$AK52,$T$4:$T$273,_xlpm.opp),Scorebook!I217)))</f>
        <v>0</v>
      </c>
      <c r="AU52" s="5" cm="1">
        <f t="array" aca="1" ref="AU52" ca="1">IF($AK52="","",_xlfn.LET(_xlpm.auto,AND(MOD(ROW()-4,6)=0,$AM52&lt;&gt;0,SUMPRODUCT(--(OFFSET($AM52,1,0,5,1)&lt;&gt;0))=0),_xlpm.winner,_xlfn.XLOOKUP($AK52,$H$4:$H$18,$L$4:$L$18,""),IF(_xlpm.auto,--($AL52=_xlpm.winner),Scorebook!J217)))</f>
        <v>1</v>
      </c>
      <c r="AV52" s="5" cm="1">
        <f t="array" aca="1" ref="AV52" ca="1">IF($AK52="","",_xlfn.LET(_xlpm.auto,AND(MOD(ROW()-4,6)=0,$AM52&lt;&gt;0,SUMPRODUCT(--(OFFSET($AM52,1,0,5,1)&lt;&gt;0))=0),_xlpm.loser,_xlfn.XLOOKUP($AK52,$H$4:$H$18,$M$4:$M$18,""),IF(_xlpm.auto,--($AL52=_xlpm.loser),Scorebook!K217)))</f>
        <v>0</v>
      </c>
      <c r="AW52" s="5">
        <f ca="1">Scorebook!L217</f>
        <v>0</v>
      </c>
      <c r="AX52" s="5" cm="1">
        <f t="array" aca="1" ref="AX52" ca="1">IF($AK52="","",_xlfn.LET(_xlpm.auto,AND(MOD(ROW()-4,6)=0,$AM52&lt;&gt;0,SUMPRODUCT(--(OFFSET($AM52,1,0,5,1)&lt;&gt;0))=0),_xlpm.oppA,_xlfn.XLOOKUP($AK52,$H$4:$H$18,$J$4:$J$18,""),_xlpm.oppRuns,IF($AL52=_xlpm.oppA,_xlfn.XLOOKUP($AK52,$H$4:$H$18,$O$4:$O$18,""),_xlfn.XLOOKUP($AK52,$H$4:$H$18,$N$4:$N$18,"")),IF(_xlpm.auto,--(_xlpm.oppRuns=0),Scorebook!M217)))</f>
        <v>0</v>
      </c>
      <c r="AY52" s="5" cm="1">
        <f t="array" aca="1" ref="AY52" ca="1">IF($AK52="","",_xlfn.LET(_xlpm.auto,AND(MOD(ROW()-4,6)=0,$AM52&lt;&gt;0,SUMPRODUCT(--(OFFSET($AM52,1,0,5,1)&lt;&gt;0))=0),IF(_xlpm.auto,1,Scorebook!N217)))</f>
        <v>1</v>
      </c>
      <c r="AZ52" s="10"/>
      <c r="BA52" s="10"/>
      <c r="BB52" s="5">
        <f>Settings!$B$2</f>
        <v>1</v>
      </c>
      <c r="BC52" s="5">
        <f>Betting!A54</f>
        <v>0</v>
      </c>
      <c r="BD52" s="5">
        <f>Betting!B54</f>
        <v>0</v>
      </c>
      <c r="BE52" s="5">
        <f>Betting!C54</f>
        <v>0</v>
      </c>
      <c r="BF52" s="5">
        <f>Betting!D54</f>
        <v>0</v>
      </c>
      <c r="BG52" s="5">
        <f>Betting!E54</f>
        <v>0</v>
      </c>
      <c r="BH52" s="5">
        <f>Betting!F54</f>
        <v>0</v>
      </c>
      <c r="BI52" s="4">
        <f>Betting!G54</f>
        <v>0</v>
      </c>
      <c r="BJ52" s="4">
        <f>Betting!H54</f>
        <v>0</v>
      </c>
    </row>
    <row r="53" spans="1:62">
      <c r="A53" s="4">
        <f>ROW()-3</f>
        <v>50</v>
      </c>
      <c r="B53" s="4">
        <f>IF(A53="","",ROUNDUP(A53/Settings!$B$3,0))</f>
        <v>9</v>
      </c>
      <c r="C53" s="5" t="str">
        <f>IF(Draft!$A$55="","",Draft!$D$55)</f>
        <v>Donovan</v>
      </c>
      <c r="D53" s="5" t="str">
        <f>IF(Draft!$E$55="","",Draft!$E$55)</f>
        <v>Paragoomba</v>
      </c>
      <c r="E53" s="5">
        <f>Settings!$B$2</f>
        <v>1</v>
      </c>
      <c r="F53" s="5" t="b">
        <f>AND(C53&lt;&gt;"",D53&lt;&gt;"")</f>
        <v>1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4" t="str">
        <f ca="1">Scorebook!$F$100</f>
        <v>G3</v>
      </c>
      <c r="T53" s="5" t="str">
        <f ca="1">Scorebook!$R$100</f>
        <v>Nick</v>
      </c>
      <c r="U53" s="5" t="str">
        <f ca="1">Scorebook!$B$132</f>
        <v>Green Dry Bones</v>
      </c>
      <c r="V53" s="4">
        <v>5</v>
      </c>
      <c r="W53" s="5">
        <f ca="1">Scorebook!M132</f>
        <v>2</v>
      </c>
      <c r="X53" s="5">
        <f ca="1">Scorebook!N132</f>
        <v>0</v>
      </c>
      <c r="Y53" s="5">
        <f ca="1">Scorebook!O132</f>
        <v>0</v>
      </c>
      <c r="Z53" s="5">
        <f ca="1">Scorebook!P132</f>
        <v>0</v>
      </c>
      <c r="AA53" s="5">
        <f ca="1">Scorebook!Q132</f>
        <v>0</v>
      </c>
      <c r="AB53" s="5">
        <f ca="1">Scorebook!R132</f>
        <v>0</v>
      </c>
      <c r="AC53" s="5">
        <f ca="1">Scorebook!S132</f>
        <v>0</v>
      </c>
      <c r="AD53" s="5">
        <f ca="1">Scorebook!T132</f>
        <v>0</v>
      </c>
      <c r="AE53" s="5">
        <f ca="1">Scorebook!U132</f>
        <v>1</v>
      </c>
      <c r="AF53" s="5">
        <f ca="1">Scorebook!V132</f>
        <v>0</v>
      </c>
      <c r="AG53" s="5">
        <f ca="1">Scorebook!W132</f>
        <v>0</v>
      </c>
      <c r="AH53" s="5">
        <f ca="1">Scorebook!X132</f>
        <v>0</v>
      </c>
      <c r="AI53" s="5">
        <f>Settings!$B$2</f>
        <v>1</v>
      </c>
      <c r="AJ53" s="18">
        <f ca="1">IF($AK53="","",Scorebook!$O$218)</f>
      </c>
      <c r="AK53" s="4" t="str">
        <f ca="1">Scorebook!$F$198</f>
        <v>G5</v>
      </c>
      <c r="AL53" s="5" t="str">
        <f ca="1">Scorebook!$N$198</f>
        <v>May</v>
      </c>
      <c r="AM53" s="5" t="str">
        <f>Scorebook!$B$218</f>
      </c>
      <c r="AN53" s="5">
        <f ca="1">IF(Scorebook!C218="","",INT(Scorebook!C218)+MOD(ROUND(Scorebook!C218*10,0),10)/3)</f>
      </c>
      <c r="AO53" s="5" cm="1">
        <f t="array" aca="1" ref="AO53" ca="1">IF($AK53="","",_xlfn.LET(_xlpm.auto,AND(MOD(ROW()-4,6)=0,$AM53&lt;&gt;0,SUMPRODUCT(--(OFFSET($AM53,1,0,5,1)&lt;&gt;0))=0),_xlpm.oppA,_xlfn.XLOOKUP($AK53,$H$4:$H$18,$J$4:$J$18,""),_xlpm.oppB,_xlfn.XLOOKUP($AK53,$H$4:$H$18,$K$4:$K$18,""),_xlpm.opp,IF($AL53=_xlpm.oppA,_xlpm.oppB,_xlpm.oppA),IF(_xlpm.auto,SUMIFS($Y$4:$Y$273,$S$4:$S$273,$AK53,$T$4:$T$273,_xlpm.opp),Scorebook!D218)))</f>
      </c>
      <c r="AP53" s="5" cm="1">
        <f t="array" aca="1" ref="AP53" ca="1">IF($AK53="","",_xlfn.LET(_xlpm.auto,AND(MOD(ROW()-4,6)=0,$AM53&lt;&gt;0,SUMPRODUCT(--(OFFSET($AM53,1,0,5,1)&lt;&gt;0))=0),_xlpm.oppA,_xlfn.XLOOKUP($AK53,$H$4:$H$18,$J$4:$J$18,""),_xlpm.oppRuns,IF($AL53=_xlpm.oppA,_xlfn.XLOOKUP($AK53,$H$4:$H$18,$O$4:$O$18,""),_xlfn.XLOOKUP($AK53,$H$4:$H$18,$N$4:$N$18,"")),IF(_xlpm.auto,_xlpm.oppRuns,Scorebook!E218)))</f>
      </c>
      <c r="AQ53" s="5">
        <f ca="1">Scorebook!F218</f>
      </c>
      <c r="AR53" s="5" cm="1">
        <f t="array" aca="1" ref="AR53" ca="1">IF($AK53="","",_xlfn.LET(_xlpm.auto,AND(MOD(ROW()-4,6)=0,$AM53&lt;&gt;0,SUMPRODUCT(--(OFFSET($AM53,1,0,5,1)&lt;&gt;0))=0),_xlpm.oppA,_xlfn.XLOOKUP($AK53,$H$4:$H$18,$J$4:$J$18,""),_xlpm.oppB,_xlfn.XLOOKUP($AK53,$H$4:$H$18,$K$4:$K$18,""),_xlpm.opp,IF($AL53=_xlpm.oppA,_xlpm.oppB,_xlpm.oppA),IF(_xlpm.auto,SUMIFS($AD$4:$AD$273,$S$4:$S$273,$AK53,$T$4:$T$273,_xlpm.opp),Scorebook!G218)))</f>
      </c>
      <c r="AS53" s="5" cm="1">
        <f t="array" aca="1" ref="AS53" ca="1">IF($AK53="","",_xlfn.LET(_xlpm.auto,AND(MOD(ROW()-4,6)=0,$AM53&lt;&gt;0,SUMPRODUCT(--(OFFSET($AM53,1,0,5,1)&lt;&gt;0))=0),_xlpm.oppA,_xlfn.XLOOKUP($AK53,$H$4:$H$18,$J$4:$J$18,""),_xlpm.oppB,_xlfn.XLOOKUP($AK53,$H$4:$H$18,$K$4:$K$18,""),_xlpm.opp,IF($AL53=_xlpm.oppA,_xlpm.oppB,_xlpm.oppA),IF(_xlpm.auto,SUMIFS($AE$4:$AE$273,$S$4:$S$273,$AK53,$T$4:$T$273,_xlpm.opp),Scorebook!H218)))</f>
      </c>
      <c r="AT53" s="5" cm="1">
        <f t="array" aca="1" ref="AT53" ca="1">IF($AK53="","",_xlfn.LET(_xlpm.auto,AND(MOD(ROW()-4,6)=0,$AM53&lt;&gt;0,SUMPRODUCT(--(OFFSET($AM53,1,0,5,1)&lt;&gt;0))=0),_xlpm.oppA,_xlfn.XLOOKUP($AK53,$H$4:$H$18,$J$4:$J$18,""),_xlpm.oppB,_xlfn.XLOOKUP($AK53,$H$4:$H$18,$K$4:$K$18,""),_xlpm.opp,IF($AL53=_xlpm.oppA,_xlpm.oppB,_xlpm.oppA),IF(_xlpm.auto,SUMIFS($AB$4:$AB$273,$S$4:$S$273,$AK53,$T$4:$T$273,_xlpm.opp),Scorebook!I218)))</f>
      </c>
      <c r="AU53" s="5" cm="1">
        <f t="array" aca="1" ref="AU53" ca="1">IF($AK53="","",_xlfn.LET(_xlpm.auto,AND(MOD(ROW()-4,6)=0,$AM53&lt;&gt;0,SUMPRODUCT(--(OFFSET($AM53,1,0,5,1)&lt;&gt;0))=0),_xlpm.winner,_xlfn.XLOOKUP($AK53,$H$4:$H$18,$L$4:$L$18,""),IF(_xlpm.auto,--($AL53=_xlpm.winner),Scorebook!J218)))</f>
      </c>
      <c r="AV53" s="5" cm="1">
        <f t="array" aca="1" ref="AV53" ca="1">IF($AK53="","",_xlfn.LET(_xlpm.auto,AND(MOD(ROW()-4,6)=0,$AM53&lt;&gt;0,SUMPRODUCT(--(OFFSET($AM53,1,0,5,1)&lt;&gt;0))=0),_xlpm.loser,_xlfn.XLOOKUP($AK53,$H$4:$H$18,$M$4:$M$18,""),IF(_xlpm.auto,--($AL53=_xlpm.loser),Scorebook!K218)))</f>
      </c>
      <c r="AW53" s="5">
        <f ca="1">Scorebook!L218</f>
      </c>
      <c r="AX53" s="5" cm="1">
        <f t="array" aca="1" ref="AX53" ca="1">IF($AK53="","",_xlfn.LET(_xlpm.auto,AND(MOD(ROW()-4,6)=0,$AM53&lt;&gt;0,SUMPRODUCT(--(OFFSET($AM53,1,0,5,1)&lt;&gt;0))=0),_xlpm.oppA,_xlfn.XLOOKUP($AK53,$H$4:$H$18,$J$4:$J$18,""),_xlpm.oppRuns,IF($AL53=_xlpm.oppA,_xlfn.XLOOKUP($AK53,$H$4:$H$18,$O$4:$O$18,""),_xlfn.XLOOKUP($AK53,$H$4:$H$18,$N$4:$N$18,"")),IF(_xlpm.auto,--(_xlpm.oppRuns=0),Scorebook!M218)))</f>
      </c>
      <c r="AY53" s="5" cm="1">
        <f t="array" aca="1" ref="AY53" ca="1">IF($AK53="","",_xlfn.LET(_xlpm.auto,AND(MOD(ROW()-4,6)=0,$AM53&lt;&gt;0,SUMPRODUCT(--(OFFSET($AM53,1,0,5,1)&lt;&gt;0))=0),IF(_xlpm.auto,1,Scorebook!N218)))</f>
      </c>
      <c r="AZ53" s="10"/>
      <c r="BA53" s="10"/>
      <c r="BB53" s="5">
        <f>Settings!$B$2</f>
        <v>1</v>
      </c>
      <c r="BC53" s="5">
        <f>Betting!A55</f>
        <v>0</v>
      </c>
      <c r="BD53" s="5">
        <f>Betting!B55</f>
        <v>0</v>
      </c>
      <c r="BE53" s="5">
        <f>Betting!C55</f>
        <v>0</v>
      </c>
      <c r="BF53" s="5">
        <f>Betting!D55</f>
        <v>0</v>
      </c>
      <c r="BG53" s="5">
        <f>Betting!E55</f>
        <v>0</v>
      </c>
      <c r="BH53" s="5">
        <f>Betting!F55</f>
        <v>0</v>
      </c>
      <c r="BI53" s="4">
        <f>Betting!G55</f>
        <v>0</v>
      </c>
      <c r="BJ53" s="4">
        <f>Betting!H55</f>
        <v>0</v>
      </c>
    </row>
    <row r="54" spans="1:62">
      <c r="A54" s="4">
        <f>ROW()-3</f>
        <v>51</v>
      </c>
      <c r="B54" s="4">
        <f>IF(A54="","",ROUNDUP(A54/Settings!$B$3,0))</f>
        <v>9</v>
      </c>
      <c r="C54" s="5" t="str">
        <f>IF(Draft!$A$56="","",Draft!$D$56)</f>
        <v>Nick</v>
      </c>
      <c r="D54" s="5" t="str">
        <f>IF(Draft!$E$56="","",Draft!$E$56)</f>
        <v>Green Dry Bones</v>
      </c>
      <c r="E54" s="5">
        <f>Settings!$B$2</f>
        <v>1</v>
      </c>
      <c r="F54" s="5" t="b">
        <f>AND(C54&lt;&gt;"",D54&lt;&gt;"")</f>
        <v>1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4" t="str">
        <f ca="1">Scorebook!$F$100</f>
        <v>G3</v>
      </c>
      <c r="T54" s="5" t="str">
        <f ca="1">Scorebook!$R$100</f>
        <v>Nick</v>
      </c>
      <c r="U54" s="5" t="str">
        <f ca="1">Scorebook!$B$133</f>
        <v>Toadette</v>
      </c>
      <c r="V54" s="4">
        <v>6</v>
      </c>
      <c r="W54" s="5">
        <f ca="1">Scorebook!M133</f>
        <v>1</v>
      </c>
      <c r="X54" s="5">
        <f ca="1">Scorebook!N133</f>
        <v>1</v>
      </c>
      <c r="Y54" s="5">
        <f ca="1">Scorebook!O133</f>
        <v>1</v>
      </c>
      <c r="Z54" s="5">
        <f ca="1">Scorebook!P133</f>
        <v>0</v>
      </c>
      <c r="AA54" s="5">
        <f ca="1">Scorebook!Q133</f>
        <v>0</v>
      </c>
      <c r="AB54" s="5">
        <f ca="1">Scorebook!R133</f>
        <v>0</v>
      </c>
      <c r="AC54" s="5">
        <f ca="1">Scorebook!S133</f>
        <v>0</v>
      </c>
      <c r="AD54" s="5">
        <f ca="1">Scorebook!T133</f>
        <v>0</v>
      </c>
      <c r="AE54" s="5">
        <f ca="1">Scorebook!U133</f>
        <v>0</v>
      </c>
      <c r="AF54" s="5">
        <f ca="1">Scorebook!V133</f>
        <v>1</v>
      </c>
      <c r="AG54" s="5">
        <f ca="1">Scorebook!W133</f>
        <v>0</v>
      </c>
      <c r="AH54" s="5">
        <f ca="1">Scorebook!X133</f>
        <v>0</v>
      </c>
      <c r="AI54" s="5">
        <f>Settings!$B$2</f>
        <v>1</v>
      </c>
      <c r="AJ54" s="18">
        <f ca="1">IF($AK54="","",Scorebook!$O$219)</f>
      </c>
      <c r="AK54" s="4" t="str">
        <f ca="1">Scorebook!$F$198</f>
        <v>G5</v>
      </c>
      <c r="AL54" s="5" t="str">
        <f ca="1">Scorebook!$N$198</f>
        <v>May</v>
      </c>
      <c r="AM54" s="5" t="str">
        <f>Scorebook!$B$219</f>
      </c>
      <c r="AN54" s="5">
        <f ca="1">IF(Scorebook!C219="","",INT(Scorebook!C219)+MOD(ROUND(Scorebook!C219*10,0),10)/3)</f>
      </c>
      <c r="AO54" s="5" cm="1">
        <f t="array" aca="1" ref="AO54" ca="1">IF($AK54="","",_xlfn.LET(_xlpm.auto,AND(MOD(ROW()-4,6)=0,$AM54&lt;&gt;0,SUMPRODUCT(--(OFFSET($AM54,1,0,5,1)&lt;&gt;0))=0),_xlpm.oppA,_xlfn.XLOOKUP($AK54,$H$4:$H$18,$J$4:$J$18,""),_xlpm.oppB,_xlfn.XLOOKUP($AK54,$H$4:$H$18,$K$4:$K$18,""),_xlpm.opp,IF($AL54=_xlpm.oppA,_xlpm.oppB,_xlpm.oppA),IF(_xlpm.auto,SUMIFS($Y$4:$Y$273,$S$4:$S$273,$AK54,$T$4:$T$273,_xlpm.opp),Scorebook!D219)))</f>
      </c>
      <c r="AP54" s="5" cm="1">
        <f t="array" aca="1" ref="AP54" ca="1">IF($AK54="","",_xlfn.LET(_xlpm.auto,AND(MOD(ROW()-4,6)=0,$AM54&lt;&gt;0,SUMPRODUCT(--(OFFSET($AM54,1,0,5,1)&lt;&gt;0))=0),_xlpm.oppA,_xlfn.XLOOKUP($AK54,$H$4:$H$18,$J$4:$J$18,""),_xlpm.oppRuns,IF($AL54=_xlpm.oppA,_xlfn.XLOOKUP($AK54,$H$4:$H$18,$O$4:$O$18,""),_xlfn.XLOOKUP($AK54,$H$4:$H$18,$N$4:$N$18,"")),IF(_xlpm.auto,_xlpm.oppRuns,Scorebook!E219)))</f>
      </c>
      <c r="AQ54" s="5">
        <f ca="1">Scorebook!F219</f>
      </c>
      <c r="AR54" s="5" cm="1">
        <f t="array" aca="1" ref="AR54" ca="1">IF($AK54="","",_xlfn.LET(_xlpm.auto,AND(MOD(ROW()-4,6)=0,$AM54&lt;&gt;0,SUMPRODUCT(--(OFFSET($AM54,1,0,5,1)&lt;&gt;0))=0),_xlpm.oppA,_xlfn.XLOOKUP($AK54,$H$4:$H$18,$J$4:$J$18,""),_xlpm.oppB,_xlfn.XLOOKUP($AK54,$H$4:$H$18,$K$4:$K$18,""),_xlpm.opp,IF($AL54=_xlpm.oppA,_xlpm.oppB,_xlpm.oppA),IF(_xlpm.auto,SUMIFS($AD$4:$AD$273,$S$4:$S$273,$AK54,$T$4:$T$273,_xlpm.opp),Scorebook!G219)))</f>
      </c>
      <c r="AS54" s="5" cm="1">
        <f t="array" aca="1" ref="AS54" ca="1">IF($AK54="","",_xlfn.LET(_xlpm.auto,AND(MOD(ROW()-4,6)=0,$AM54&lt;&gt;0,SUMPRODUCT(--(OFFSET($AM54,1,0,5,1)&lt;&gt;0))=0),_xlpm.oppA,_xlfn.XLOOKUP($AK54,$H$4:$H$18,$J$4:$J$18,""),_xlpm.oppB,_xlfn.XLOOKUP($AK54,$H$4:$H$18,$K$4:$K$18,""),_xlpm.opp,IF($AL54=_xlpm.oppA,_xlpm.oppB,_xlpm.oppA),IF(_xlpm.auto,SUMIFS($AE$4:$AE$273,$S$4:$S$273,$AK54,$T$4:$T$273,_xlpm.opp),Scorebook!H219)))</f>
      </c>
      <c r="AT54" s="5" cm="1">
        <f t="array" aca="1" ref="AT54" ca="1">IF($AK54="","",_xlfn.LET(_xlpm.auto,AND(MOD(ROW()-4,6)=0,$AM54&lt;&gt;0,SUMPRODUCT(--(OFFSET($AM54,1,0,5,1)&lt;&gt;0))=0),_xlpm.oppA,_xlfn.XLOOKUP($AK54,$H$4:$H$18,$J$4:$J$18,""),_xlpm.oppB,_xlfn.XLOOKUP($AK54,$H$4:$H$18,$K$4:$K$18,""),_xlpm.opp,IF($AL54=_xlpm.oppA,_xlpm.oppB,_xlpm.oppA),IF(_xlpm.auto,SUMIFS($AB$4:$AB$273,$S$4:$S$273,$AK54,$T$4:$T$273,_xlpm.opp),Scorebook!I219)))</f>
      </c>
      <c r="AU54" s="5" cm="1">
        <f t="array" aca="1" ref="AU54" ca="1">IF($AK54="","",_xlfn.LET(_xlpm.auto,AND(MOD(ROW()-4,6)=0,$AM54&lt;&gt;0,SUMPRODUCT(--(OFFSET($AM54,1,0,5,1)&lt;&gt;0))=0),_xlpm.winner,_xlfn.XLOOKUP($AK54,$H$4:$H$18,$L$4:$L$18,""),IF(_xlpm.auto,--($AL54=_xlpm.winner),Scorebook!J219)))</f>
      </c>
      <c r="AV54" s="5" cm="1">
        <f t="array" aca="1" ref="AV54" ca="1">IF($AK54="","",_xlfn.LET(_xlpm.auto,AND(MOD(ROW()-4,6)=0,$AM54&lt;&gt;0,SUMPRODUCT(--(OFFSET($AM54,1,0,5,1)&lt;&gt;0))=0),_xlpm.loser,_xlfn.XLOOKUP($AK54,$H$4:$H$18,$M$4:$M$18,""),IF(_xlpm.auto,--($AL54=_xlpm.loser),Scorebook!K219)))</f>
      </c>
      <c r="AW54" s="5">
        <f ca="1">Scorebook!L219</f>
      </c>
      <c r="AX54" s="5" cm="1">
        <f t="array" aca="1" ref="AX54" ca="1">IF($AK54="","",_xlfn.LET(_xlpm.auto,AND(MOD(ROW()-4,6)=0,$AM54&lt;&gt;0,SUMPRODUCT(--(OFFSET($AM54,1,0,5,1)&lt;&gt;0))=0),_xlpm.oppA,_xlfn.XLOOKUP($AK54,$H$4:$H$18,$J$4:$J$18,""),_xlpm.oppRuns,IF($AL54=_xlpm.oppA,_xlfn.XLOOKUP($AK54,$H$4:$H$18,$O$4:$O$18,""),_xlfn.XLOOKUP($AK54,$H$4:$H$18,$N$4:$N$18,"")),IF(_xlpm.auto,--(_xlpm.oppRuns=0),Scorebook!M219)))</f>
      </c>
      <c r="AY54" s="5" cm="1">
        <f t="array" aca="1" ref="AY54" ca="1">IF($AK54="","",_xlfn.LET(_xlpm.auto,AND(MOD(ROW()-4,6)=0,$AM54&lt;&gt;0,SUMPRODUCT(--(OFFSET($AM54,1,0,5,1)&lt;&gt;0))=0),IF(_xlpm.auto,1,Scorebook!N219)))</f>
      </c>
      <c r="AZ54" s="10"/>
      <c r="BA54" s="10"/>
      <c r="BB54" s="5">
        <f>Settings!$B$2</f>
        <v>1</v>
      </c>
      <c r="BC54" s="5">
        <f>Betting!A56</f>
        <v>0</v>
      </c>
      <c r="BD54" s="5">
        <f>Betting!B56</f>
        <v>0</v>
      </c>
      <c r="BE54" s="5">
        <f>Betting!C56</f>
        <v>0</v>
      </c>
      <c r="BF54" s="5">
        <f>Betting!D56</f>
        <v>0</v>
      </c>
      <c r="BG54" s="5">
        <f>Betting!E56</f>
        <v>0</v>
      </c>
      <c r="BH54" s="5">
        <f>Betting!F56</f>
        <v>0</v>
      </c>
      <c r="BI54" s="4">
        <f>Betting!G56</f>
        <v>0</v>
      </c>
      <c r="BJ54" s="4">
        <f>Betting!H56</f>
        <v>0</v>
      </c>
    </row>
    <row r="55" spans="1:62">
      <c r="A55" s="4">
        <f>ROW()-3</f>
        <v>52</v>
      </c>
      <c r="B55" s="4">
        <f>IF(A55="","",ROUNDUP(A55/Settings!$B$3,0))</f>
        <v>9</v>
      </c>
      <c r="C55" s="5" t="str">
        <f>IF(Draft!$A$57="","",Draft!$D$57)</f>
        <v>Aidan</v>
      </c>
      <c r="D55" s="5" t="str">
        <f>IF(Draft!$E$57="","",Draft!$E$57)</f>
        <v>Blue Dry Bones</v>
      </c>
      <c r="E55" s="5">
        <f>Settings!$B$2</f>
        <v>1</v>
      </c>
      <c r="F55" s="5" t="b">
        <f>AND(C55&lt;&gt;"",D55&lt;&gt;"")</f>
        <v>1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4" t="str">
        <f ca="1">Scorebook!$F$100</f>
        <v>G3</v>
      </c>
      <c r="T55" s="5" t="str">
        <f ca="1">Scorebook!$R$100</f>
        <v>Nick</v>
      </c>
      <c r="U55" s="5" t="str">
        <f ca="1">Scorebook!$B$134</f>
        <v>Daisy</v>
      </c>
      <c r="V55" s="4">
        <v>7</v>
      </c>
      <c r="W55" s="5">
        <f ca="1">Scorebook!M134</f>
        <v>2</v>
      </c>
      <c r="X55" s="5">
        <f ca="1">Scorebook!N134</f>
        <v>0</v>
      </c>
      <c r="Y55" s="5">
        <f ca="1">Scorebook!O134</f>
        <v>1</v>
      </c>
      <c r="Z55" s="5">
        <f ca="1">Scorebook!P134</f>
        <v>1</v>
      </c>
      <c r="AA55" s="5">
        <f ca="1">Scorebook!Q134</f>
        <v>0</v>
      </c>
      <c r="AB55" s="5">
        <f ca="1">Scorebook!R134</f>
        <v>0</v>
      </c>
      <c r="AC55" s="5">
        <f ca="1">Scorebook!S134</f>
        <v>1</v>
      </c>
      <c r="AD55" s="5">
        <f ca="1">Scorebook!T134</f>
        <v>0</v>
      </c>
      <c r="AE55" s="5">
        <f ca="1">Scorebook!U134</f>
        <v>1</v>
      </c>
      <c r="AF55" s="5">
        <f ca="1">Scorebook!V134</f>
        <v>0</v>
      </c>
      <c r="AG55" s="5">
        <f ca="1">Scorebook!W134</f>
        <v>0</v>
      </c>
      <c r="AH55" s="5">
        <f ca="1">Scorebook!X134</f>
        <v>0</v>
      </c>
      <c r="AI55" s="5">
        <f>Settings!$B$2</f>
        <v>1</v>
      </c>
      <c r="AJ55" s="18">
        <f ca="1">IF($AK55="","",Scorebook!$O$220)</f>
      </c>
      <c r="AK55" s="4" t="str">
        <f ca="1">Scorebook!$F$198</f>
        <v>G5</v>
      </c>
      <c r="AL55" s="5" t="str">
        <f ca="1">Scorebook!$N$198</f>
        <v>May</v>
      </c>
      <c r="AM55" s="5" t="str">
        <f>Scorebook!$B$220</f>
      </c>
      <c r="AN55" s="5">
        <f ca="1">IF(Scorebook!C220="","",INT(Scorebook!C220)+MOD(ROUND(Scorebook!C220*10,0),10)/3)</f>
      </c>
      <c r="AO55" s="5" cm="1">
        <f t="array" aca="1" ref="AO55" ca="1">IF($AK55="","",_xlfn.LET(_xlpm.auto,AND(MOD(ROW()-4,6)=0,$AM55&lt;&gt;0,SUMPRODUCT(--(OFFSET($AM55,1,0,5,1)&lt;&gt;0))=0),_xlpm.oppA,_xlfn.XLOOKUP($AK55,$H$4:$H$18,$J$4:$J$18,""),_xlpm.oppB,_xlfn.XLOOKUP($AK55,$H$4:$H$18,$K$4:$K$18,""),_xlpm.opp,IF($AL55=_xlpm.oppA,_xlpm.oppB,_xlpm.oppA),IF(_xlpm.auto,SUMIFS($Y$4:$Y$273,$S$4:$S$273,$AK55,$T$4:$T$273,_xlpm.opp),Scorebook!D220)))</f>
      </c>
      <c r="AP55" s="5" cm="1">
        <f t="array" aca="1" ref="AP55" ca="1">IF($AK55="","",_xlfn.LET(_xlpm.auto,AND(MOD(ROW()-4,6)=0,$AM55&lt;&gt;0,SUMPRODUCT(--(OFFSET($AM55,1,0,5,1)&lt;&gt;0))=0),_xlpm.oppA,_xlfn.XLOOKUP($AK55,$H$4:$H$18,$J$4:$J$18,""),_xlpm.oppRuns,IF($AL55=_xlpm.oppA,_xlfn.XLOOKUP($AK55,$H$4:$H$18,$O$4:$O$18,""),_xlfn.XLOOKUP($AK55,$H$4:$H$18,$N$4:$N$18,"")),IF(_xlpm.auto,_xlpm.oppRuns,Scorebook!E220)))</f>
      </c>
      <c r="AQ55" s="5">
        <f ca="1">Scorebook!F220</f>
      </c>
      <c r="AR55" s="5" cm="1">
        <f t="array" aca="1" ref="AR55" ca="1">IF($AK55="","",_xlfn.LET(_xlpm.auto,AND(MOD(ROW()-4,6)=0,$AM55&lt;&gt;0,SUMPRODUCT(--(OFFSET($AM55,1,0,5,1)&lt;&gt;0))=0),_xlpm.oppA,_xlfn.XLOOKUP($AK55,$H$4:$H$18,$J$4:$J$18,""),_xlpm.oppB,_xlfn.XLOOKUP($AK55,$H$4:$H$18,$K$4:$K$18,""),_xlpm.opp,IF($AL55=_xlpm.oppA,_xlpm.oppB,_xlpm.oppA),IF(_xlpm.auto,SUMIFS($AD$4:$AD$273,$S$4:$S$273,$AK55,$T$4:$T$273,_xlpm.opp),Scorebook!G220)))</f>
      </c>
      <c r="AS55" s="5" cm="1">
        <f t="array" aca="1" ref="AS55" ca="1">IF($AK55="","",_xlfn.LET(_xlpm.auto,AND(MOD(ROW()-4,6)=0,$AM55&lt;&gt;0,SUMPRODUCT(--(OFFSET($AM55,1,0,5,1)&lt;&gt;0))=0),_xlpm.oppA,_xlfn.XLOOKUP($AK55,$H$4:$H$18,$J$4:$J$18,""),_xlpm.oppB,_xlfn.XLOOKUP($AK55,$H$4:$H$18,$K$4:$K$18,""),_xlpm.opp,IF($AL55=_xlpm.oppA,_xlpm.oppB,_xlpm.oppA),IF(_xlpm.auto,SUMIFS($AE$4:$AE$273,$S$4:$S$273,$AK55,$T$4:$T$273,_xlpm.opp),Scorebook!H220)))</f>
      </c>
      <c r="AT55" s="5" cm="1">
        <f t="array" aca="1" ref="AT55" ca="1">IF($AK55="","",_xlfn.LET(_xlpm.auto,AND(MOD(ROW()-4,6)=0,$AM55&lt;&gt;0,SUMPRODUCT(--(OFFSET($AM55,1,0,5,1)&lt;&gt;0))=0),_xlpm.oppA,_xlfn.XLOOKUP($AK55,$H$4:$H$18,$J$4:$J$18,""),_xlpm.oppB,_xlfn.XLOOKUP($AK55,$H$4:$H$18,$K$4:$K$18,""),_xlpm.opp,IF($AL55=_xlpm.oppA,_xlpm.oppB,_xlpm.oppA),IF(_xlpm.auto,SUMIFS($AB$4:$AB$273,$S$4:$S$273,$AK55,$T$4:$T$273,_xlpm.opp),Scorebook!I220)))</f>
      </c>
      <c r="AU55" s="5" cm="1">
        <f t="array" aca="1" ref="AU55" ca="1">IF($AK55="","",_xlfn.LET(_xlpm.auto,AND(MOD(ROW()-4,6)=0,$AM55&lt;&gt;0,SUMPRODUCT(--(OFFSET($AM55,1,0,5,1)&lt;&gt;0))=0),_xlpm.winner,_xlfn.XLOOKUP($AK55,$H$4:$H$18,$L$4:$L$18,""),IF(_xlpm.auto,--($AL55=_xlpm.winner),Scorebook!J220)))</f>
      </c>
      <c r="AV55" s="5" cm="1">
        <f t="array" aca="1" ref="AV55" ca="1">IF($AK55="","",_xlfn.LET(_xlpm.auto,AND(MOD(ROW()-4,6)=0,$AM55&lt;&gt;0,SUMPRODUCT(--(OFFSET($AM55,1,0,5,1)&lt;&gt;0))=0),_xlpm.loser,_xlfn.XLOOKUP($AK55,$H$4:$H$18,$M$4:$M$18,""),IF(_xlpm.auto,--($AL55=_xlpm.loser),Scorebook!K220)))</f>
      </c>
      <c r="AW55" s="5">
        <f ca="1">Scorebook!L220</f>
      </c>
      <c r="AX55" s="5" cm="1">
        <f t="array" aca="1" ref="AX55" ca="1">IF($AK55="","",_xlfn.LET(_xlpm.auto,AND(MOD(ROW()-4,6)=0,$AM55&lt;&gt;0,SUMPRODUCT(--(OFFSET($AM55,1,0,5,1)&lt;&gt;0))=0),_xlpm.oppA,_xlfn.XLOOKUP($AK55,$H$4:$H$18,$J$4:$J$18,""),_xlpm.oppRuns,IF($AL55=_xlpm.oppA,_xlfn.XLOOKUP($AK55,$H$4:$H$18,$O$4:$O$18,""),_xlfn.XLOOKUP($AK55,$H$4:$H$18,$N$4:$N$18,"")),IF(_xlpm.auto,--(_xlpm.oppRuns=0),Scorebook!M220)))</f>
      </c>
      <c r="AY55" s="5" cm="1">
        <f t="array" aca="1" ref="AY55" ca="1">IF($AK55="","",_xlfn.LET(_xlpm.auto,AND(MOD(ROW()-4,6)=0,$AM55&lt;&gt;0,SUMPRODUCT(--(OFFSET($AM55,1,0,5,1)&lt;&gt;0))=0),IF(_xlpm.auto,1,Scorebook!N220)))</f>
      </c>
      <c r="AZ55" s="10"/>
      <c r="BA55" s="10"/>
      <c r="BB55" s="5">
        <f>Settings!$B$2</f>
        <v>1</v>
      </c>
      <c r="BC55" s="5">
        <f>Betting!A57</f>
        <v>0</v>
      </c>
      <c r="BD55" s="5">
        <f>Betting!B57</f>
        <v>0</v>
      </c>
      <c r="BE55" s="5">
        <f>Betting!C57</f>
        <v>0</v>
      </c>
      <c r="BF55" s="5">
        <f>Betting!D57</f>
        <v>0</v>
      </c>
      <c r="BG55" s="5">
        <f>Betting!E57</f>
        <v>0</v>
      </c>
      <c r="BH55" s="5">
        <f>Betting!F57</f>
        <v>0</v>
      </c>
      <c r="BI55" s="4">
        <f>Betting!G57</f>
        <v>0</v>
      </c>
      <c r="BJ55" s="4">
        <f>Betting!H57</f>
        <v>0</v>
      </c>
    </row>
    <row r="56" spans="1:62">
      <c r="A56" s="4">
        <f>ROW()-3</f>
        <v>53</v>
      </c>
      <c r="B56" s="4">
        <f>IF(A56="","",ROUNDUP(A56/Settings!$B$3,0))</f>
        <v>9</v>
      </c>
      <c r="C56" s="5" t="str">
        <f>IF(Draft!$A$58="","",Draft!$D$58)</f>
        <v>Jason</v>
      </c>
      <c r="D56" s="5" t="str">
        <f>IF(Draft!$E$58="","",Draft!$E$58)</f>
        <v>Yellow Toad</v>
      </c>
      <c r="E56" s="5">
        <f>Settings!$B$2</f>
        <v>1</v>
      </c>
      <c r="F56" s="5" t="b">
        <f>AND(C56&lt;&gt;"",D56&lt;&gt;"")</f>
        <v>1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4" t="str">
        <f ca="1">Scorebook!$F$100</f>
        <v>G3</v>
      </c>
      <c r="T56" s="5" t="str">
        <f ca="1">Scorebook!$R$100</f>
        <v>Nick</v>
      </c>
      <c r="U56" s="5" t="str">
        <f ca="1">Scorebook!$B$135</f>
        <v>Blue Toad</v>
      </c>
      <c r="V56" s="4">
        <v>8</v>
      </c>
      <c r="W56" s="5">
        <f ca="1">Scorebook!M135</f>
        <v>1</v>
      </c>
      <c r="X56" s="5">
        <f ca="1">Scorebook!N135</f>
        <v>0</v>
      </c>
      <c r="Y56" s="5">
        <f ca="1">Scorebook!O135</f>
        <v>0</v>
      </c>
      <c r="Z56" s="5">
        <f ca="1">Scorebook!P135</f>
        <v>0</v>
      </c>
      <c r="AA56" s="5">
        <f ca="1">Scorebook!Q135</f>
        <v>0</v>
      </c>
      <c r="AB56" s="5">
        <f ca="1">Scorebook!R135</f>
        <v>0</v>
      </c>
      <c r="AC56" s="5">
        <f ca="1">Scorebook!S135</f>
        <v>0</v>
      </c>
      <c r="AD56" s="5">
        <f ca="1">Scorebook!T135</f>
        <v>0</v>
      </c>
      <c r="AE56" s="5">
        <f ca="1">Scorebook!U135</f>
        <v>0</v>
      </c>
      <c r="AF56" s="5">
        <f ca="1">Scorebook!V135</f>
        <v>1</v>
      </c>
      <c r="AG56" s="5">
        <f ca="1">Scorebook!W135</f>
        <v>0</v>
      </c>
      <c r="AH56" s="5">
        <f ca="1">Scorebook!X135</f>
        <v>0</v>
      </c>
      <c r="AI56" s="5">
        <f>Settings!$B$2</f>
        <v>1</v>
      </c>
      <c r="AJ56" s="18">
        <f ca="1">IF($AK56="","",Scorebook!$O$221)</f>
      </c>
      <c r="AK56" s="4" t="str">
        <f ca="1">Scorebook!$F$198</f>
        <v>G5</v>
      </c>
      <c r="AL56" s="5" t="str">
        <f ca="1">Scorebook!$N$198</f>
        <v>May</v>
      </c>
      <c r="AM56" s="5" t="str">
        <f>Scorebook!$B$221</f>
      </c>
      <c r="AN56" s="5">
        <f ca="1">IF(Scorebook!C221="","",INT(Scorebook!C221)+MOD(ROUND(Scorebook!C221*10,0),10)/3)</f>
      </c>
      <c r="AO56" s="5" cm="1">
        <f t="array" aca="1" ref="AO56" ca="1">IF($AK56="","",_xlfn.LET(_xlpm.auto,AND(MOD(ROW()-4,6)=0,$AM56&lt;&gt;0,SUMPRODUCT(--(OFFSET($AM56,1,0,5,1)&lt;&gt;0))=0),_xlpm.oppA,_xlfn.XLOOKUP($AK56,$H$4:$H$18,$J$4:$J$18,""),_xlpm.oppB,_xlfn.XLOOKUP($AK56,$H$4:$H$18,$K$4:$K$18,""),_xlpm.opp,IF($AL56=_xlpm.oppA,_xlpm.oppB,_xlpm.oppA),IF(_xlpm.auto,SUMIFS($Y$4:$Y$273,$S$4:$S$273,$AK56,$T$4:$T$273,_xlpm.opp),Scorebook!D221)))</f>
      </c>
      <c r="AP56" s="5" cm="1">
        <f t="array" aca="1" ref="AP56" ca="1">IF($AK56="","",_xlfn.LET(_xlpm.auto,AND(MOD(ROW()-4,6)=0,$AM56&lt;&gt;0,SUMPRODUCT(--(OFFSET($AM56,1,0,5,1)&lt;&gt;0))=0),_xlpm.oppA,_xlfn.XLOOKUP($AK56,$H$4:$H$18,$J$4:$J$18,""),_xlpm.oppRuns,IF($AL56=_xlpm.oppA,_xlfn.XLOOKUP($AK56,$H$4:$H$18,$O$4:$O$18,""),_xlfn.XLOOKUP($AK56,$H$4:$H$18,$N$4:$N$18,"")),IF(_xlpm.auto,_xlpm.oppRuns,Scorebook!E221)))</f>
      </c>
      <c r="AQ56" s="5">
        <f ca="1">Scorebook!F221</f>
      </c>
      <c r="AR56" s="5" cm="1">
        <f t="array" aca="1" ref="AR56" ca="1">IF($AK56="","",_xlfn.LET(_xlpm.auto,AND(MOD(ROW()-4,6)=0,$AM56&lt;&gt;0,SUMPRODUCT(--(OFFSET($AM56,1,0,5,1)&lt;&gt;0))=0),_xlpm.oppA,_xlfn.XLOOKUP($AK56,$H$4:$H$18,$J$4:$J$18,""),_xlpm.oppB,_xlfn.XLOOKUP($AK56,$H$4:$H$18,$K$4:$K$18,""),_xlpm.opp,IF($AL56=_xlpm.oppA,_xlpm.oppB,_xlpm.oppA),IF(_xlpm.auto,SUMIFS($AD$4:$AD$273,$S$4:$S$273,$AK56,$T$4:$T$273,_xlpm.opp),Scorebook!G221)))</f>
      </c>
      <c r="AS56" s="5" cm="1">
        <f t="array" aca="1" ref="AS56" ca="1">IF($AK56="","",_xlfn.LET(_xlpm.auto,AND(MOD(ROW()-4,6)=0,$AM56&lt;&gt;0,SUMPRODUCT(--(OFFSET($AM56,1,0,5,1)&lt;&gt;0))=0),_xlpm.oppA,_xlfn.XLOOKUP($AK56,$H$4:$H$18,$J$4:$J$18,""),_xlpm.oppB,_xlfn.XLOOKUP($AK56,$H$4:$H$18,$K$4:$K$18,""),_xlpm.opp,IF($AL56=_xlpm.oppA,_xlpm.oppB,_xlpm.oppA),IF(_xlpm.auto,SUMIFS($AE$4:$AE$273,$S$4:$S$273,$AK56,$T$4:$T$273,_xlpm.opp),Scorebook!H221)))</f>
      </c>
      <c r="AT56" s="5" cm="1">
        <f t="array" aca="1" ref="AT56" ca="1">IF($AK56="","",_xlfn.LET(_xlpm.auto,AND(MOD(ROW()-4,6)=0,$AM56&lt;&gt;0,SUMPRODUCT(--(OFFSET($AM56,1,0,5,1)&lt;&gt;0))=0),_xlpm.oppA,_xlfn.XLOOKUP($AK56,$H$4:$H$18,$J$4:$J$18,""),_xlpm.oppB,_xlfn.XLOOKUP($AK56,$H$4:$H$18,$K$4:$K$18,""),_xlpm.opp,IF($AL56=_xlpm.oppA,_xlpm.oppB,_xlpm.oppA),IF(_xlpm.auto,SUMIFS($AB$4:$AB$273,$S$4:$S$273,$AK56,$T$4:$T$273,_xlpm.opp),Scorebook!I221)))</f>
      </c>
      <c r="AU56" s="5" cm="1">
        <f t="array" aca="1" ref="AU56" ca="1">IF($AK56="","",_xlfn.LET(_xlpm.auto,AND(MOD(ROW()-4,6)=0,$AM56&lt;&gt;0,SUMPRODUCT(--(OFFSET($AM56,1,0,5,1)&lt;&gt;0))=0),_xlpm.winner,_xlfn.XLOOKUP($AK56,$H$4:$H$18,$L$4:$L$18,""),IF(_xlpm.auto,--($AL56=_xlpm.winner),Scorebook!J221)))</f>
      </c>
      <c r="AV56" s="5" cm="1">
        <f t="array" aca="1" ref="AV56" ca="1">IF($AK56="","",_xlfn.LET(_xlpm.auto,AND(MOD(ROW()-4,6)=0,$AM56&lt;&gt;0,SUMPRODUCT(--(OFFSET($AM56,1,0,5,1)&lt;&gt;0))=0),_xlpm.loser,_xlfn.XLOOKUP($AK56,$H$4:$H$18,$M$4:$M$18,""),IF(_xlpm.auto,--($AL56=_xlpm.loser),Scorebook!K221)))</f>
      </c>
      <c r="AW56" s="5">
        <f ca="1">Scorebook!L221</f>
      </c>
      <c r="AX56" s="5" cm="1">
        <f t="array" aca="1" ref="AX56" ca="1">IF($AK56="","",_xlfn.LET(_xlpm.auto,AND(MOD(ROW()-4,6)=0,$AM56&lt;&gt;0,SUMPRODUCT(--(OFFSET($AM56,1,0,5,1)&lt;&gt;0))=0),_xlpm.oppA,_xlfn.XLOOKUP($AK56,$H$4:$H$18,$J$4:$J$18,""),_xlpm.oppRuns,IF($AL56=_xlpm.oppA,_xlfn.XLOOKUP($AK56,$H$4:$H$18,$O$4:$O$18,""),_xlfn.XLOOKUP($AK56,$H$4:$H$18,$N$4:$N$18,"")),IF(_xlpm.auto,--(_xlpm.oppRuns=0),Scorebook!M221)))</f>
      </c>
      <c r="AY56" s="5" cm="1">
        <f t="array" aca="1" ref="AY56" ca="1">IF($AK56="","",_xlfn.LET(_xlpm.auto,AND(MOD(ROW()-4,6)=0,$AM56&lt;&gt;0,SUMPRODUCT(--(OFFSET($AM56,1,0,5,1)&lt;&gt;0))=0),IF(_xlpm.auto,1,Scorebook!N221)))</f>
      </c>
      <c r="AZ56" s="10"/>
      <c r="BA56" s="10"/>
      <c r="BB56" s="5">
        <f>Settings!$B$2</f>
        <v>1</v>
      </c>
      <c r="BC56" s="5">
        <f>Betting!A58</f>
        <v>0</v>
      </c>
      <c r="BD56" s="5">
        <f>Betting!B58</f>
        <v>0</v>
      </c>
      <c r="BE56" s="5">
        <f>Betting!C58</f>
        <v>0</v>
      </c>
      <c r="BF56" s="5">
        <f>Betting!D58</f>
        <v>0</v>
      </c>
      <c r="BG56" s="5">
        <f>Betting!E58</f>
        <v>0</v>
      </c>
      <c r="BH56" s="5">
        <f>Betting!F58</f>
        <v>0</v>
      </c>
      <c r="BI56" s="4">
        <f>Betting!G58</f>
        <v>0</v>
      </c>
      <c r="BJ56" s="4">
        <f>Betting!H58</f>
        <v>0</v>
      </c>
    </row>
    <row r="57" spans="1:62">
      <c r="A57" s="4">
        <f>ROW()-3</f>
        <v>54</v>
      </c>
      <c r="B57" s="4">
        <f>IF(A57="","",ROUNDUP(A57/Settings!$B$3,0))</f>
        <v>9</v>
      </c>
      <c r="C57" s="5" t="str">
        <f>IF(Draft!$A$59="","",Draft!$D$59)</f>
        <v>May</v>
      </c>
      <c r="D57" s="5" t="str">
        <f>IF(Draft!$E$59="","",Draft!$E$59)</f>
        <v>Koopa</v>
      </c>
      <c r="E57" s="5">
        <f>Settings!$B$2</f>
        <v>1</v>
      </c>
      <c r="F57" s="5" t="b">
        <f>AND(C57&lt;&gt;"",D57&lt;&gt;"")</f>
        <v>1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4" t="str">
        <f ca="1">Scorebook!$F$100</f>
        <v>G3</v>
      </c>
      <c r="T57" s="5" t="str">
        <f ca="1">Scorebook!$R$100</f>
        <v>Nick</v>
      </c>
      <c r="U57" s="5" t="str">
        <f ca="1">Scorebook!$B$136</f>
        <v>Wario</v>
      </c>
      <c r="V57" s="4">
        <v>9</v>
      </c>
      <c r="W57" s="5">
        <f ca="1">Scorebook!M136</f>
        <v>2</v>
      </c>
      <c r="X57" s="5">
        <f ca="1">Scorebook!N136</f>
        <v>0</v>
      </c>
      <c r="Y57" s="5">
        <f ca="1">Scorebook!O136</f>
        <v>0</v>
      </c>
      <c r="Z57" s="5">
        <f ca="1">Scorebook!P136</f>
        <v>0</v>
      </c>
      <c r="AA57" s="5">
        <f ca="1">Scorebook!Q136</f>
        <v>0</v>
      </c>
      <c r="AB57" s="5">
        <f ca="1">Scorebook!R136</f>
        <v>0</v>
      </c>
      <c r="AC57" s="5">
        <f ca="1">Scorebook!S136</f>
        <v>0</v>
      </c>
      <c r="AD57" s="5">
        <f ca="1">Scorebook!T136</f>
        <v>0</v>
      </c>
      <c r="AE57" s="5">
        <f ca="1">Scorebook!U136</f>
        <v>0</v>
      </c>
      <c r="AF57" s="5">
        <f ca="1">Scorebook!V136</f>
        <v>0</v>
      </c>
      <c r="AG57" s="5">
        <f ca="1">Scorebook!W136</f>
        <v>0</v>
      </c>
      <c r="AH57" s="5">
        <f ca="1">Scorebook!X136</f>
        <v>0</v>
      </c>
      <c r="AI57" s="5">
        <f>Settings!$B$2</f>
        <v>1</v>
      </c>
      <c r="AJ57" s="18">
        <f ca="1">IF($AK57="","",Scorebook!$O$222)</f>
      </c>
      <c r="AK57" s="4" t="str">
        <f ca="1">Scorebook!$F$198</f>
        <v>G5</v>
      </c>
      <c r="AL57" s="5" t="str">
        <f ca="1">Scorebook!$N$198</f>
        <v>May</v>
      </c>
      <c r="AM57" s="5" t="str">
        <f>Scorebook!$B$222</f>
      </c>
      <c r="AN57" s="5">
        <f ca="1">IF(Scorebook!C222="","",INT(Scorebook!C222)+MOD(ROUND(Scorebook!C222*10,0),10)/3)</f>
      </c>
      <c r="AO57" s="5" cm="1">
        <f t="array" aca="1" ref="AO57" ca="1">IF($AK57="","",_xlfn.LET(_xlpm.auto,AND(MOD(ROW()-4,6)=0,$AM57&lt;&gt;0,SUMPRODUCT(--(OFFSET($AM57,1,0,5,1)&lt;&gt;0))=0),_xlpm.oppA,_xlfn.XLOOKUP($AK57,$H$4:$H$18,$J$4:$J$18,""),_xlpm.oppB,_xlfn.XLOOKUP($AK57,$H$4:$H$18,$K$4:$K$18,""),_xlpm.opp,IF($AL57=_xlpm.oppA,_xlpm.oppB,_xlpm.oppA),IF(_xlpm.auto,SUMIFS($Y$4:$Y$273,$S$4:$S$273,$AK57,$T$4:$T$273,_xlpm.opp),Scorebook!D222)))</f>
      </c>
      <c r="AP57" s="5" cm="1">
        <f t="array" aca="1" ref="AP57" ca="1">IF($AK57="","",_xlfn.LET(_xlpm.auto,AND(MOD(ROW()-4,6)=0,$AM57&lt;&gt;0,SUMPRODUCT(--(OFFSET($AM57,1,0,5,1)&lt;&gt;0))=0),_xlpm.oppA,_xlfn.XLOOKUP($AK57,$H$4:$H$18,$J$4:$J$18,""),_xlpm.oppRuns,IF($AL57=_xlpm.oppA,_xlfn.XLOOKUP($AK57,$H$4:$H$18,$O$4:$O$18,""),_xlfn.XLOOKUP($AK57,$H$4:$H$18,$N$4:$N$18,"")),IF(_xlpm.auto,_xlpm.oppRuns,Scorebook!E222)))</f>
      </c>
      <c r="AQ57" s="5">
        <f ca="1">Scorebook!F222</f>
      </c>
      <c r="AR57" s="5" cm="1">
        <f t="array" aca="1" ref="AR57" ca="1">IF($AK57="","",_xlfn.LET(_xlpm.auto,AND(MOD(ROW()-4,6)=0,$AM57&lt;&gt;0,SUMPRODUCT(--(OFFSET($AM57,1,0,5,1)&lt;&gt;0))=0),_xlpm.oppA,_xlfn.XLOOKUP($AK57,$H$4:$H$18,$J$4:$J$18,""),_xlpm.oppB,_xlfn.XLOOKUP($AK57,$H$4:$H$18,$K$4:$K$18,""),_xlpm.opp,IF($AL57=_xlpm.oppA,_xlpm.oppB,_xlpm.oppA),IF(_xlpm.auto,SUMIFS($AD$4:$AD$273,$S$4:$S$273,$AK57,$T$4:$T$273,_xlpm.opp),Scorebook!G222)))</f>
      </c>
      <c r="AS57" s="5" cm="1">
        <f t="array" aca="1" ref="AS57" ca="1">IF($AK57="","",_xlfn.LET(_xlpm.auto,AND(MOD(ROW()-4,6)=0,$AM57&lt;&gt;0,SUMPRODUCT(--(OFFSET($AM57,1,0,5,1)&lt;&gt;0))=0),_xlpm.oppA,_xlfn.XLOOKUP($AK57,$H$4:$H$18,$J$4:$J$18,""),_xlpm.oppB,_xlfn.XLOOKUP($AK57,$H$4:$H$18,$K$4:$K$18,""),_xlpm.opp,IF($AL57=_xlpm.oppA,_xlpm.oppB,_xlpm.oppA),IF(_xlpm.auto,SUMIFS($AE$4:$AE$273,$S$4:$S$273,$AK57,$T$4:$T$273,_xlpm.opp),Scorebook!H222)))</f>
      </c>
      <c r="AT57" s="5" cm="1">
        <f t="array" aca="1" ref="AT57" ca="1">IF($AK57="","",_xlfn.LET(_xlpm.auto,AND(MOD(ROW()-4,6)=0,$AM57&lt;&gt;0,SUMPRODUCT(--(OFFSET($AM57,1,0,5,1)&lt;&gt;0))=0),_xlpm.oppA,_xlfn.XLOOKUP($AK57,$H$4:$H$18,$J$4:$J$18,""),_xlpm.oppB,_xlfn.XLOOKUP($AK57,$H$4:$H$18,$K$4:$K$18,""),_xlpm.opp,IF($AL57=_xlpm.oppA,_xlpm.oppB,_xlpm.oppA),IF(_xlpm.auto,SUMIFS($AB$4:$AB$273,$S$4:$S$273,$AK57,$T$4:$T$273,_xlpm.opp),Scorebook!I222)))</f>
      </c>
      <c r="AU57" s="5" cm="1">
        <f t="array" aca="1" ref="AU57" ca="1">IF($AK57="","",_xlfn.LET(_xlpm.auto,AND(MOD(ROW()-4,6)=0,$AM57&lt;&gt;0,SUMPRODUCT(--(OFFSET($AM57,1,0,5,1)&lt;&gt;0))=0),_xlpm.winner,_xlfn.XLOOKUP($AK57,$H$4:$H$18,$L$4:$L$18,""),IF(_xlpm.auto,--($AL57=_xlpm.winner),Scorebook!J222)))</f>
      </c>
      <c r="AV57" s="5" cm="1">
        <f t="array" aca="1" ref="AV57" ca="1">IF($AK57="","",_xlfn.LET(_xlpm.auto,AND(MOD(ROW()-4,6)=0,$AM57&lt;&gt;0,SUMPRODUCT(--(OFFSET($AM57,1,0,5,1)&lt;&gt;0))=0),_xlpm.loser,_xlfn.XLOOKUP($AK57,$H$4:$H$18,$M$4:$M$18,""),IF(_xlpm.auto,--($AL57=_xlpm.loser),Scorebook!K222)))</f>
      </c>
      <c r="AW57" s="5">
        <f ca="1">Scorebook!L222</f>
      </c>
      <c r="AX57" s="5" cm="1">
        <f t="array" aca="1" ref="AX57" ca="1">IF($AK57="","",_xlfn.LET(_xlpm.auto,AND(MOD(ROW()-4,6)=0,$AM57&lt;&gt;0,SUMPRODUCT(--(OFFSET($AM57,1,0,5,1)&lt;&gt;0))=0),_xlpm.oppA,_xlfn.XLOOKUP($AK57,$H$4:$H$18,$J$4:$J$18,""),_xlpm.oppRuns,IF($AL57=_xlpm.oppA,_xlfn.XLOOKUP($AK57,$H$4:$H$18,$O$4:$O$18,""),_xlfn.XLOOKUP($AK57,$H$4:$H$18,$N$4:$N$18,"")),IF(_xlpm.auto,--(_xlpm.oppRuns=0),Scorebook!M222)))</f>
      </c>
      <c r="AY57" s="5" cm="1">
        <f t="array" aca="1" ref="AY57" ca="1">IF($AK57="","",_xlfn.LET(_xlpm.auto,AND(MOD(ROW()-4,6)=0,$AM57&lt;&gt;0,SUMPRODUCT(--(OFFSET($AM57,1,0,5,1)&lt;&gt;0))=0),IF(_xlpm.auto,1,Scorebook!N222)))</f>
      </c>
      <c r="AZ57" s="10"/>
      <c r="BA57" s="10"/>
      <c r="BB57" s="5">
        <f>Settings!$B$2</f>
        <v>1</v>
      </c>
      <c r="BC57" s="5">
        <f>Betting!A59</f>
        <v>0</v>
      </c>
      <c r="BD57" s="5">
        <f>Betting!B59</f>
        <v>0</v>
      </c>
      <c r="BE57" s="5">
        <f>Betting!C59</f>
        <v>0</v>
      </c>
      <c r="BF57" s="5">
        <f>Betting!D59</f>
        <v>0</v>
      </c>
      <c r="BG57" s="5">
        <f>Betting!E59</f>
        <v>0</v>
      </c>
      <c r="BH57" s="5">
        <f>Betting!F59</f>
        <v>0</v>
      </c>
      <c r="BI57" s="4">
        <f>Betting!G59</f>
        <v>0</v>
      </c>
      <c r="BJ57" s="4">
        <f>Betting!H59</f>
        <v>0</v>
      </c>
    </row>
    <row r="58" spans="1:62">
      <c r="A58" s="4">
        <f>ROW()-3</f>
        <v>55</v>
      </c>
      <c r="B58" s="4">
        <f>IF(A58="","",ROUNDUP(A58/Settings!$B$3,0))</f>
        <v>10</v>
      </c>
      <c r="C58" s="5" t="str">
        <f>IF(Draft!$A$60="","",Draft!$D$60)</f>
        <v/>
      </c>
      <c r="D58" s="5" t="str">
        <f>IF(Draft!$E$60="","",Draft!$E$60)</f>
        <v/>
      </c>
      <c r="E58" s="5">
        <f>Settings!$B$2</f>
        <v>1</v>
      </c>
      <c r="F58" s="5" t="b">
        <f>AND(C58&lt;&gt;"",D58&lt;&gt;"")</f>
        <v>0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4" t="str">
        <f ca="1">Scorebook!$F$149</f>
        <v>G4</v>
      </c>
      <c r="T58" s="5" t="str">
        <f ca="1">Scorebook!$N$149</f>
        <v>Jason</v>
      </c>
      <c r="U58" s="5" t="str">
        <f ca="1">Scorebook!$B$156</f>
        <v>Yoshi</v>
      </c>
      <c r="V58" s="4">
        <v>1</v>
      </c>
      <c r="W58" s="5">
        <f ca="1">Scorebook!M156</f>
        <v>2</v>
      </c>
      <c r="X58" s="5">
        <f ca="1">Scorebook!N156</f>
        <v>0</v>
      </c>
      <c r="Y58" s="5">
        <f ca="1">Scorebook!O156</f>
        <v>1</v>
      </c>
      <c r="Z58" s="5">
        <f ca="1">Scorebook!P156</f>
        <v>0</v>
      </c>
      <c r="AA58" s="5">
        <f ca="1">Scorebook!Q156</f>
        <v>0</v>
      </c>
      <c r="AB58" s="5">
        <f ca="1">Scorebook!R156</f>
        <v>0</v>
      </c>
      <c r="AC58" s="5">
        <f ca="1">Scorebook!S156</f>
        <v>0</v>
      </c>
      <c r="AD58" s="5">
        <f ca="1">Scorebook!T156</f>
        <v>0</v>
      </c>
      <c r="AE58" s="5">
        <f ca="1">Scorebook!U156</f>
        <v>0</v>
      </c>
      <c r="AF58" s="5">
        <f ca="1">Scorebook!V156</f>
        <v>0</v>
      </c>
      <c r="AG58" s="5">
        <f ca="1">Scorebook!W156</f>
        <v>0</v>
      </c>
      <c r="AH58" s="5">
        <f ca="1">Scorebook!X156</f>
        <v>0</v>
      </c>
      <c r="AI58" s="5">
        <f>Settings!$B$2</f>
        <v>1</v>
      </c>
      <c r="AJ58" s="18">
        <f ca="1">IF($AK58="","",Scorebook!$O$238)</f>
        <v>9</v>
      </c>
      <c r="AK58" s="4" t="str">
        <f ca="1">Scorebook!$F$198</f>
        <v>G5</v>
      </c>
      <c r="AL58" s="5" t="str">
        <f ca="1">Scorebook!$R$198</f>
        <v>Justin</v>
      </c>
      <c r="AM58" s="5" t="str">
        <f ca="1">Scorebook!$B$238</f>
        <v>Boo</v>
      </c>
      <c r="AN58" s="5">
        <f ca="1">IF(Scorebook!C238="","",INT(Scorebook!C238)+MOD(ROUND(Scorebook!C238*10,0),10)/3)</f>
        <v>2.0</v>
      </c>
      <c r="AO58" s="5" cm="1">
        <f t="array" aca="1" ref="AO58" ca="1">IF($AK58="","",_xlfn.LET(_xlpm.auto,AND(MOD(ROW()-4,6)=0,$AM58&lt;&gt;0,SUMPRODUCT(--(OFFSET($AM58,1,0,5,1)&lt;&gt;0))=0),_xlpm.oppA,_xlfn.XLOOKUP($AK58,$H$4:$H$18,$J$4:$J$18,""),_xlpm.oppB,_xlfn.XLOOKUP($AK58,$H$4:$H$18,$K$4:$K$18,""),_xlpm.opp,IF($AL58=_xlpm.oppA,_xlpm.oppB,_xlpm.oppA),IF(_xlpm.auto,SUMIFS($Y$4:$Y$273,$S$4:$S$273,$AK58,$T$4:$T$273,_xlpm.opp),Scorebook!D238)))</f>
        <v>3</v>
      </c>
      <c r="AP58" s="5" cm="1">
        <f t="array" aca="1" ref="AP58" ca="1">IF($AK58="","",_xlfn.LET(_xlpm.auto,AND(MOD(ROW()-4,6)=0,$AM58&lt;&gt;0,SUMPRODUCT(--(OFFSET($AM58,1,0,5,1)&lt;&gt;0))=0),_xlpm.oppA,_xlfn.XLOOKUP($AK58,$H$4:$H$18,$J$4:$J$18,""),_xlpm.oppRuns,IF($AL58=_xlpm.oppA,_xlfn.XLOOKUP($AK58,$H$4:$H$18,$O$4:$O$18,""),_xlfn.XLOOKUP($AK58,$H$4:$H$18,$N$4:$N$18,"")),IF(_xlpm.auto,_xlpm.oppRuns,Scorebook!E238)))</f>
        <v>2</v>
      </c>
      <c r="AQ58" s="5">
        <f ca="1">Scorebook!F238</f>
        <v>2</v>
      </c>
      <c r="AR58" s="5" cm="1">
        <f t="array" aca="1" ref="AR58" ca="1">IF($AK58="","",_xlfn.LET(_xlpm.auto,AND(MOD(ROW()-4,6)=0,$AM58&lt;&gt;0,SUMPRODUCT(--(OFFSET($AM58,1,0,5,1)&lt;&gt;0))=0),_xlpm.oppA,_xlfn.XLOOKUP($AK58,$H$4:$H$18,$J$4:$J$18,""),_xlpm.oppB,_xlfn.XLOOKUP($AK58,$H$4:$H$18,$K$4:$K$18,""),_xlpm.opp,IF($AL58=_xlpm.oppA,_xlpm.oppB,_xlpm.oppA),IF(_xlpm.auto,SUMIFS($AD$4:$AD$273,$S$4:$S$273,$AK58,$T$4:$T$273,_xlpm.opp),Scorebook!G238)))</f>
        <v>0</v>
      </c>
      <c r="AS58" s="5" cm="1">
        <f t="array" aca="1" ref="AS58" ca="1">IF($AK58="","",_xlfn.LET(_xlpm.auto,AND(MOD(ROW()-4,6)=0,$AM58&lt;&gt;0,SUMPRODUCT(--(OFFSET($AM58,1,0,5,1)&lt;&gt;0))=0),_xlpm.oppA,_xlfn.XLOOKUP($AK58,$H$4:$H$18,$J$4:$J$18,""),_xlpm.oppB,_xlfn.XLOOKUP($AK58,$H$4:$H$18,$K$4:$K$18,""),_xlpm.opp,IF($AL58=_xlpm.oppA,_xlpm.oppB,_xlpm.oppA),IF(_xlpm.auto,SUMIFS($AE$4:$AE$273,$S$4:$S$273,$AK58,$T$4:$T$273,_xlpm.opp),Scorebook!H238)))</f>
        <v>1</v>
      </c>
      <c r="AT58" s="5" cm="1">
        <f t="array" aca="1" ref="AT58" ca="1">IF($AK58="","",_xlfn.LET(_xlpm.auto,AND(MOD(ROW()-4,6)=0,$AM58&lt;&gt;0,SUMPRODUCT(--(OFFSET($AM58,1,0,5,1)&lt;&gt;0))=0),_xlpm.oppA,_xlfn.XLOOKUP($AK58,$H$4:$H$18,$J$4:$J$18,""),_xlpm.oppB,_xlfn.XLOOKUP($AK58,$H$4:$H$18,$K$4:$K$18,""),_xlpm.opp,IF($AL58=_xlpm.oppA,_xlpm.oppB,_xlpm.oppA),IF(_xlpm.auto,SUMIFS($AB$4:$AB$273,$S$4:$S$273,$AK58,$T$4:$T$273,_xlpm.opp),Scorebook!I238)))</f>
        <v>2</v>
      </c>
      <c r="AU58" s="5" cm="1">
        <f t="array" aca="1" ref="AU58" ca="1">IF($AK58="","",_xlfn.LET(_xlpm.auto,AND(MOD(ROW()-4,6)=0,$AM58&lt;&gt;0,SUMPRODUCT(--(OFFSET($AM58,1,0,5,1)&lt;&gt;0))=0),_xlpm.winner,_xlfn.XLOOKUP($AK58,$H$4:$H$18,$L$4:$L$18,""),IF(_xlpm.auto,--($AL58=_xlpm.winner),Scorebook!J238)))</f>
        <v>0</v>
      </c>
      <c r="AV58" s="5" cm="1">
        <f t="array" aca="1" ref="AV58" ca="1">IF($AK58="","",_xlfn.LET(_xlpm.auto,AND(MOD(ROW()-4,6)=0,$AM58&lt;&gt;0,SUMPRODUCT(--(OFFSET($AM58,1,0,5,1)&lt;&gt;0))=0),_xlpm.loser,_xlfn.XLOOKUP($AK58,$H$4:$H$18,$M$4:$M$18,""),IF(_xlpm.auto,--($AL58=_xlpm.loser),Scorebook!K238)))</f>
        <v>1</v>
      </c>
      <c r="AW58" s="5">
        <f ca="1">Scorebook!L238</f>
        <v>0</v>
      </c>
      <c r="AX58" s="5" cm="1">
        <f t="array" aca="1" ref="AX58" ca="1">IF($AK58="","",_xlfn.LET(_xlpm.auto,AND(MOD(ROW()-4,6)=0,$AM58&lt;&gt;0,SUMPRODUCT(--(OFFSET($AM58,1,0,5,1)&lt;&gt;0))=0),_xlpm.oppA,_xlfn.XLOOKUP($AK58,$H$4:$H$18,$J$4:$J$18,""),_xlpm.oppRuns,IF($AL58=_xlpm.oppA,_xlfn.XLOOKUP($AK58,$H$4:$H$18,$O$4:$O$18,""),_xlfn.XLOOKUP($AK58,$H$4:$H$18,$N$4:$N$18,"")),IF(_xlpm.auto,--(_xlpm.oppRuns=0),Scorebook!M238)))</f>
        <v>0</v>
      </c>
      <c r="AY58" s="5" cm="1">
        <f t="array" aca="1" ref="AY58" ca="1">IF($AK58="","",_xlfn.LET(_xlpm.auto,AND(MOD(ROW()-4,6)=0,$AM58&lt;&gt;0,SUMPRODUCT(--(OFFSET($AM58,1,0,5,1)&lt;&gt;0))=0),IF(_xlpm.auto,1,Scorebook!N238)))</f>
        <v>1</v>
      </c>
      <c r="AZ58" s="10"/>
      <c r="BA58" s="10"/>
      <c r="BB58" s="5">
        <f>Settings!$B$2</f>
        <v>1</v>
      </c>
      <c r="BC58" s="5">
        <f>Betting!A60</f>
        <v>0</v>
      </c>
      <c r="BD58" s="5">
        <f>Betting!B60</f>
        <v>0</v>
      </c>
      <c r="BE58" s="5">
        <f>Betting!C60</f>
        <v>0</v>
      </c>
      <c r="BF58" s="5">
        <f>Betting!D60</f>
        <v>0</v>
      </c>
      <c r="BG58" s="5">
        <f>Betting!E60</f>
        <v>0</v>
      </c>
      <c r="BH58" s="5">
        <f>Betting!F60</f>
        <v>0</v>
      </c>
      <c r="BI58" s="4">
        <f>Betting!G60</f>
        <v>0</v>
      </c>
      <c r="BJ58" s="4">
        <f>Betting!H60</f>
        <v>0</v>
      </c>
    </row>
    <row r="59" spans="1:62">
      <c r="A59" s="4">
        <f>ROW()-3</f>
        <v>56</v>
      </c>
      <c r="B59" s="4">
        <f>IF(A59="","",ROUNDUP(A59/Settings!$B$3,0))</f>
        <v>10</v>
      </c>
      <c r="C59" s="5" t="str">
        <f>IF(Draft!$A$61="","",Draft!$D$61)</f>
        <v/>
      </c>
      <c r="D59" s="5" t="str">
        <f>IF(Draft!$E$61="","",Draft!$E$61)</f>
        <v/>
      </c>
      <c r="E59" s="5">
        <f>Settings!$B$2</f>
        <v>1</v>
      </c>
      <c r="F59" s="5" t="b">
        <f>AND(C59&lt;&gt;"",D59&lt;&gt;"")</f>
        <v>0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4" t="str">
        <f ca="1">Scorebook!$F$149</f>
        <v>G4</v>
      </c>
      <c r="T59" s="5" t="str">
        <f ca="1">Scorebook!$N$149</f>
        <v>Jason</v>
      </c>
      <c r="U59" s="5" t="str">
        <f ca="1">Scorebook!$B$157</f>
        <v>Brown Kritter</v>
      </c>
      <c r="V59" s="4">
        <v>2</v>
      </c>
      <c r="W59" s="5">
        <f ca="1">Scorebook!M157</f>
        <v>1</v>
      </c>
      <c r="X59" s="5">
        <f ca="1">Scorebook!N157</f>
        <v>0</v>
      </c>
      <c r="Y59" s="5">
        <f ca="1">Scorebook!O157</f>
        <v>0</v>
      </c>
      <c r="Z59" s="5">
        <f ca="1">Scorebook!P157</f>
        <v>0</v>
      </c>
      <c r="AA59" s="5">
        <f ca="1">Scorebook!Q157</f>
        <v>0</v>
      </c>
      <c r="AB59" s="5">
        <f ca="1">Scorebook!R157</f>
        <v>0</v>
      </c>
      <c r="AC59" s="5">
        <f ca="1">Scorebook!S157</f>
        <v>0</v>
      </c>
      <c r="AD59" s="5">
        <f ca="1">Scorebook!T157</f>
        <v>0</v>
      </c>
      <c r="AE59" s="5">
        <f ca="1">Scorebook!U157</f>
        <v>1</v>
      </c>
      <c r="AF59" s="5">
        <f ca="1">Scorebook!V157</f>
        <v>1</v>
      </c>
      <c r="AG59" s="5">
        <f ca="1">Scorebook!W157</f>
        <v>0</v>
      </c>
      <c r="AH59" s="5">
        <f ca="1">Scorebook!X157</f>
        <v>0</v>
      </c>
      <c r="AI59" s="5">
        <f>Settings!$B$2</f>
        <v>1</v>
      </c>
      <c r="AJ59" s="18">
        <f ca="1">IF($AK59="","",Scorebook!$O$239)</f>
      </c>
      <c r="AK59" s="4" t="str">
        <f ca="1">Scorebook!$F$198</f>
        <v>G5</v>
      </c>
      <c r="AL59" s="5" t="str">
        <f ca="1">Scorebook!$R$198</f>
        <v>Justin</v>
      </c>
      <c r="AM59" s="5" t="str">
        <f>Scorebook!$B$239</f>
      </c>
      <c r="AN59" s="5">
        <f ca="1">IF(Scorebook!C239="","",INT(Scorebook!C239)+MOD(ROUND(Scorebook!C239*10,0),10)/3)</f>
      </c>
      <c r="AO59" s="5" cm="1">
        <f t="array" aca="1" ref="AO59" ca="1">IF($AK59="","",_xlfn.LET(_xlpm.auto,AND(MOD(ROW()-4,6)=0,$AM59&lt;&gt;0,SUMPRODUCT(--(OFFSET($AM59,1,0,5,1)&lt;&gt;0))=0),_xlpm.oppA,_xlfn.XLOOKUP($AK59,$H$4:$H$18,$J$4:$J$18,""),_xlpm.oppB,_xlfn.XLOOKUP($AK59,$H$4:$H$18,$K$4:$K$18,""),_xlpm.opp,IF($AL59=_xlpm.oppA,_xlpm.oppB,_xlpm.oppA),IF(_xlpm.auto,SUMIFS($Y$4:$Y$273,$S$4:$S$273,$AK59,$T$4:$T$273,_xlpm.opp),Scorebook!D239)))</f>
      </c>
      <c r="AP59" s="5" cm="1">
        <f t="array" aca="1" ref="AP59" ca="1">IF($AK59="","",_xlfn.LET(_xlpm.auto,AND(MOD(ROW()-4,6)=0,$AM59&lt;&gt;0,SUMPRODUCT(--(OFFSET($AM59,1,0,5,1)&lt;&gt;0))=0),_xlpm.oppA,_xlfn.XLOOKUP($AK59,$H$4:$H$18,$J$4:$J$18,""),_xlpm.oppRuns,IF($AL59=_xlpm.oppA,_xlfn.XLOOKUP($AK59,$H$4:$H$18,$O$4:$O$18,""),_xlfn.XLOOKUP($AK59,$H$4:$H$18,$N$4:$N$18,"")),IF(_xlpm.auto,_xlpm.oppRuns,Scorebook!E239)))</f>
      </c>
      <c r="AQ59" s="5">
        <f ca="1">Scorebook!F239</f>
      </c>
      <c r="AR59" s="5" cm="1">
        <f t="array" aca="1" ref="AR59" ca="1">IF($AK59="","",_xlfn.LET(_xlpm.auto,AND(MOD(ROW()-4,6)=0,$AM59&lt;&gt;0,SUMPRODUCT(--(OFFSET($AM59,1,0,5,1)&lt;&gt;0))=0),_xlpm.oppA,_xlfn.XLOOKUP($AK59,$H$4:$H$18,$J$4:$J$18,""),_xlpm.oppB,_xlfn.XLOOKUP($AK59,$H$4:$H$18,$K$4:$K$18,""),_xlpm.opp,IF($AL59=_xlpm.oppA,_xlpm.oppB,_xlpm.oppA),IF(_xlpm.auto,SUMIFS($AD$4:$AD$273,$S$4:$S$273,$AK59,$T$4:$T$273,_xlpm.opp),Scorebook!G239)))</f>
      </c>
      <c r="AS59" s="5" cm="1">
        <f t="array" aca="1" ref="AS59" ca="1">IF($AK59="","",_xlfn.LET(_xlpm.auto,AND(MOD(ROW()-4,6)=0,$AM59&lt;&gt;0,SUMPRODUCT(--(OFFSET($AM59,1,0,5,1)&lt;&gt;0))=0),_xlpm.oppA,_xlfn.XLOOKUP($AK59,$H$4:$H$18,$J$4:$J$18,""),_xlpm.oppB,_xlfn.XLOOKUP($AK59,$H$4:$H$18,$K$4:$K$18,""),_xlpm.opp,IF($AL59=_xlpm.oppA,_xlpm.oppB,_xlpm.oppA),IF(_xlpm.auto,SUMIFS($AE$4:$AE$273,$S$4:$S$273,$AK59,$T$4:$T$273,_xlpm.opp),Scorebook!H239)))</f>
      </c>
      <c r="AT59" s="5" cm="1">
        <f t="array" aca="1" ref="AT59" ca="1">IF($AK59="","",_xlfn.LET(_xlpm.auto,AND(MOD(ROW()-4,6)=0,$AM59&lt;&gt;0,SUMPRODUCT(--(OFFSET($AM59,1,0,5,1)&lt;&gt;0))=0),_xlpm.oppA,_xlfn.XLOOKUP($AK59,$H$4:$H$18,$J$4:$J$18,""),_xlpm.oppB,_xlfn.XLOOKUP($AK59,$H$4:$H$18,$K$4:$K$18,""),_xlpm.opp,IF($AL59=_xlpm.oppA,_xlpm.oppB,_xlpm.oppA),IF(_xlpm.auto,SUMIFS($AB$4:$AB$273,$S$4:$S$273,$AK59,$T$4:$T$273,_xlpm.opp),Scorebook!I239)))</f>
      </c>
      <c r="AU59" s="5" cm="1">
        <f t="array" aca="1" ref="AU59" ca="1">IF($AK59="","",_xlfn.LET(_xlpm.auto,AND(MOD(ROW()-4,6)=0,$AM59&lt;&gt;0,SUMPRODUCT(--(OFFSET($AM59,1,0,5,1)&lt;&gt;0))=0),_xlpm.winner,_xlfn.XLOOKUP($AK59,$H$4:$H$18,$L$4:$L$18,""),IF(_xlpm.auto,--($AL59=_xlpm.winner),Scorebook!J239)))</f>
      </c>
      <c r="AV59" s="5" cm="1">
        <f t="array" aca="1" ref="AV59" ca="1">IF($AK59="","",_xlfn.LET(_xlpm.auto,AND(MOD(ROW()-4,6)=0,$AM59&lt;&gt;0,SUMPRODUCT(--(OFFSET($AM59,1,0,5,1)&lt;&gt;0))=0),_xlpm.loser,_xlfn.XLOOKUP($AK59,$H$4:$H$18,$M$4:$M$18,""),IF(_xlpm.auto,--($AL59=_xlpm.loser),Scorebook!K239)))</f>
      </c>
      <c r="AW59" s="5">
        <f ca="1">Scorebook!L239</f>
      </c>
      <c r="AX59" s="5" cm="1">
        <f t="array" aca="1" ref="AX59" ca="1">IF($AK59="","",_xlfn.LET(_xlpm.auto,AND(MOD(ROW()-4,6)=0,$AM59&lt;&gt;0,SUMPRODUCT(--(OFFSET($AM59,1,0,5,1)&lt;&gt;0))=0),_xlpm.oppA,_xlfn.XLOOKUP($AK59,$H$4:$H$18,$J$4:$J$18,""),_xlpm.oppRuns,IF($AL59=_xlpm.oppA,_xlfn.XLOOKUP($AK59,$H$4:$H$18,$O$4:$O$18,""),_xlfn.XLOOKUP($AK59,$H$4:$H$18,$N$4:$N$18,"")),IF(_xlpm.auto,--(_xlpm.oppRuns=0),Scorebook!M239)))</f>
      </c>
      <c r="AY59" s="5" cm="1">
        <f t="array" aca="1" ref="AY59" ca="1">IF($AK59="","",_xlfn.LET(_xlpm.auto,AND(MOD(ROW()-4,6)=0,$AM59&lt;&gt;0,SUMPRODUCT(--(OFFSET($AM59,1,0,5,1)&lt;&gt;0))=0),IF(_xlpm.auto,1,Scorebook!N239)))</f>
      </c>
      <c r="AZ59" s="10"/>
      <c r="BA59" s="10"/>
      <c r="BB59" s="5">
        <f>Settings!$B$2</f>
        <v>1</v>
      </c>
      <c r="BC59" s="5">
        <f>Betting!A61</f>
        <v>0</v>
      </c>
      <c r="BD59" s="5">
        <f>Betting!B61</f>
        <v>0</v>
      </c>
      <c r="BE59" s="5">
        <f>Betting!C61</f>
        <v>0</v>
      </c>
      <c r="BF59" s="5">
        <f>Betting!D61</f>
        <v>0</v>
      </c>
      <c r="BG59" s="5">
        <f>Betting!E61</f>
        <v>0</v>
      </c>
      <c r="BH59" s="5">
        <f>Betting!F61</f>
        <v>0</v>
      </c>
      <c r="BI59" s="4">
        <f>Betting!G61</f>
        <v>0</v>
      </c>
      <c r="BJ59" s="4">
        <f>Betting!H61</f>
        <v>0</v>
      </c>
    </row>
    <row r="60" spans="1:62">
      <c r="A60" s="4">
        <f>ROW()-3</f>
        <v>57</v>
      </c>
      <c r="B60" s="4">
        <f>IF(A60="","",ROUNDUP(A60/Settings!$B$3,0))</f>
        <v>10</v>
      </c>
      <c r="C60" s="5" t="str">
        <f>IF(Draft!$A$62="","",Draft!$D$62)</f>
        <v/>
      </c>
      <c r="D60" s="5" t="str">
        <f>IF(Draft!$E$62="","",Draft!$E$62)</f>
        <v/>
      </c>
      <c r="E60" s="5">
        <f>Settings!$B$2</f>
        <v>1</v>
      </c>
      <c r="F60" s="5" t="b">
        <f>AND(C60&lt;&gt;"",D60&lt;&gt;"")</f>
        <v>0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4" t="str">
        <f ca="1">Scorebook!$F$149</f>
        <v>G4</v>
      </c>
      <c r="T60" s="5" t="str">
        <f ca="1">Scorebook!$N$149</f>
        <v>Jason</v>
      </c>
      <c r="U60" s="5" t="str">
        <f ca="1">Scorebook!$B$158</f>
        <v>Bowser</v>
      </c>
      <c r="V60" s="4">
        <v>3</v>
      </c>
      <c r="W60" s="5">
        <f ca="1">Scorebook!M158</f>
        <v>2</v>
      </c>
      <c r="X60" s="5">
        <f ca="1">Scorebook!N158</f>
        <v>2</v>
      </c>
      <c r="Y60" s="5">
        <f ca="1">Scorebook!O158</f>
        <v>1</v>
      </c>
      <c r="Z60" s="5">
        <f ca="1">Scorebook!P158</f>
        <v>0</v>
      </c>
      <c r="AA60" s="5">
        <f ca="1">Scorebook!Q158</f>
        <v>0</v>
      </c>
      <c r="AB60" s="5">
        <f ca="1">Scorebook!R158</f>
        <v>1</v>
      </c>
      <c r="AC60" s="5">
        <f ca="1">Scorebook!S158</f>
        <v>1</v>
      </c>
      <c r="AD60" s="5">
        <f ca="1">Scorebook!T158</f>
        <v>0</v>
      </c>
      <c r="AE60" s="5">
        <f ca="1">Scorebook!U158</f>
        <v>0</v>
      </c>
      <c r="AF60" s="5">
        <f ca="1">Scorebook!V158</f>
        <v>0</v>
      </c>
      <c r="AG60" s="5">
        <f ca="1">Scorebook!W158</f>
        <v>0</v>
      </c>
      <c r="AH60" s="5">
        <f ca="1">Scorebook!X158</f>
        <v>0</v>
      </c>
      <c r="AI60" s="5">
        <f>Settings!$B$2</f>
        <v>1</v>
      </c>
      <c r="AJ60" s="18">
        <f ca="1">IF($AK60="","",Scorebook!$O$240)</f>
      </c>
      <c r="AK60" s="4" t="str">
        <f ca="1">Scorebook!$F$198</f>
        <v>G5</v>
      </c>
      <c r="AL60" s="5" t="str">
        <f ca="1">Scorebook!$R$198</f>
        <v>Justin</v>
      </c>
      <c r="AM60" s="5" t="str">
        <f>Scorebook!$B$240</f>
      </c>
      <c r="AN60" s="5">
        <f ca="1">IF(Scorebook!C240="","",INT(Scorebook!C240)+MOD(ROUND(Scorebook!C240*10,0),10)/3)</f>
      </c>
      <c r="AO60" s="5" cm="1">
        <f t="array" aca="1" ref="AO60" ca="1">IF($AK60="","",_xlfn.LET(_xlpm.auto,AND(MOD(ROW()-4,6)=0,$AM60&lt;&gt;0,SUMPRODUCT(--(OFFSET($AM60,1,0,5,1)&lt;&gt;0))=0),_xlpm.oppA,_xlfn.XLOOKUP($AK60,$H$4:$H$18,$J$4:$J$18,""),_xlpm.oppB,_xlfn.XLOOKUP($AK60,$H$4:$H$18,$K$4:$K$18,""),_xlpm.opp,IF($AL60=_xlpm.oppA,_xlpm.oppB,_xlpm.oppA),IF(_xlpm.auto,SUMIFS($Y$4:$Y$273,$S$4:$S$273,$AK60,$T$4:$T$273,_xlpm.opp),Scorebook!D240)))</f>
      </c>
      <c r="AP60" s="5" cm="1">
        <f t="array" aca="1" ref="AP60" ca="1">IF($AK60="","",_xlfn.LET(_xlpm.auto,AND(MOD(ROW()-4,6)=0,$AM60&lt;&gt;0,SUMPRODUCT(--(OFFSET($AM60,1,0,5,1)&lt;&gt;0))=0),_xlpm.oppA,_xlfn.XLOOKUP($AK60,$H$4:$H$18,$J$4:$J$18,""),_xlpm.oppRuns,IF($AL60=_xlpm.oppA,_xlfn.XLOOKUP($AK60,$H$4:$H$18,$O$4:$O$18,""),_xlfn.XLOOKUP($AK60,$H$4:$H$18,$N$4:$N$18,"")),IF(_xlpm.auto,_xlpm.oppRuns,Scorebook!E240)))</f>
      </c>
      <c r="AQ60" s="5">
        <f ca="1">Scorebook!F240</f>
      </c>
      <c r="AR60" s="5" cm="1">
        <f t="array" aca="1" ref="AR60" ca="1">IF($AK60="","",_xlfn.LET(_xlpm.auto,AND(MOD(ROW()-4,6)=0,$AM60&lt;&gt;0,SUMPRODUCT(--(OFFSET($AM60,1,0,5,1)&lt;&gt;0))=0),_xlpm.oppA,_xlfn.XLOOKUP($AK60,$H$4:$H$18,$J$4:$J$18,""),_xlpm.oppB,_xlfn.XLOOKUP($AK60,$H$4:$H$18,$K$4:$K$18,""),_xlpm.opp,IF($AL60=_xlpm.oppA,_xlpm.oppB,_xlpm.oppA),IF(_xlpm.auto,SUMIFS($AD$4:$AD$273,$S$4:$S$273,$AK60,$T$4:$T$273,_xlpm.opp),Scorebook!G240)))</f>
      </c>
      <c r="AS60" s="5" cm="1">
        <f t="array" aca="1" ref="AS60" ca="1">IF($AK60="","",_xlfn.LET(_xlpm.auto,AND(MOD(ROW()-4,6)=0,$AM60&lt;&gt;0,SUMPRODUCT(--(OFFSET($AM60,1,0,5,1)&lt;&gt;0))=0),_xlpm.oppA,_xlfn.XLOOKUP($AK60,$H$4:$H$18,$J$4:$J$18,""),_xlpm.oppB,_xlfn.XLOOKUP($AK60,$H$4:$H$18,$K$4:$K$18,""),_xlpm.opp,IF($AL60=_xlpm.oppA,_xlpm.oppB,_xlpm.oppA),IF(_xlpm.auto,SUMIFS($AE$4:$AE$273,$S$4:$S$273,$AK60,$T$4:$T$273,_xlpm.opp),Scorebook!H240)))</f>
      </c>
      <c r="AT60" s="5" cm="1">
        <f t="array" aca="1" ref="AT60" ca="1">IF($AK60="","",_xlfn.LET(_xlpm.auto,AND(MOD(ROW()-4,6)=0,$AM60&lt;&gt;0,SUMPRODUCT(--(OFFSET($AM60,1,0,5,1)&lt;&gt;0))=0),_xlpm.oppA,_xlfn.XLOOKUP($AK60,$H$4:$H$18,$J$4:$J$18,""),_xlpm.oppB,_xlfn.XLOOKUP($AK60,$H$4:$H$18,$K$4:$K$18,""),_xlpm.opp,IF($AL60=_xlpm.oppA,_xlpm.oppB,_xlpm.oppA),IF(_xlpm.auto,SUMIFS($AB$4:$AB$273,$S$4:$S$273,$AK60,$T$4:$T$273,_xlpm.opp),Scorebook!I240)))</f>
      </c>
      <c r="AU60" s="5" cm="1">
        <f t="array" aca="1" ref="AU60" ca="1">IF($AK60="","",_xlfn.LET(_xlpm.auto,AND(MOD(ROW()-4,6)=0,$AM60&lt;&gt;0,SUMPRODUCT(--(OFFSET($AM60,1,0,5,1)&lt;&gt;0))=0),_xlpm.winner,_xlfn.XLOOKUP($AK60,$H$4:$H$18,$L$4:$L$18,""),IF(_xlpm.auto,--($AL60=_xlpm.winner),Scorebook!J240)))</f>
      </c>
      <c r="AV60" s="5" cm="1">
        <f t="array" aca="1" ref="AV60" ca="1">IF($AK60="","",_xlfn.LET(_xlpm.auto,AND(MOD(ROW()-4,6)=0,$AM60&lt;&gt;0,SUMPRODUCT(--(OFFSET($AM60,1,0,5,1)&lt;&gt;0))=0),_xlpm.loser,_xlfn.XLOOKUP($AK60,$H$4:$H$18,$M$4:$M$18,""),IF(_xlpm.auto,--($AL60=_xlpm.loser),Scorebook!K240)))</f>
      </c>
      <c r="AW60" s="5">
        <f ca="1">Scorebook!L240</f>
      </c>
      <c r="AX60" s="5" cm="1">
        <f t="array" aca="1" ref="AX60" ca="1">IF($AK60="","",_xlfn.LET(_xlpm.auto,AND(MOD(ROW()-4,6)=0,$AM60&lt;&gt;0,SUMPRODUCT(--(OFFSET($AM60,1,0,5,1)&lt;&gt;0))=0),_xlpm.oppA,_xlfn.XLOOKUP($AK60,$H$4:$H$18,$J$4:$J$18,""),_xlpm.oppRuns,IF($AL60=_xlpm.oppA,_xlfn.XLOOKUP($AK60,$H$4:$H$18,$O$4:$O$18,""),_xlfn.XLOOKUP($AK60,$H$4:$H$18,$N$4:$N$18,"")),IF(_xlpm.auto,--(_xlpm.oppRuns=0),Scorebook!M240)))</f>
      </c>
      <c r="AY60" s="5" cm="1">
        <f t="array" aca="1" ref="AY60" ca="1">IF($AK60="","",_xlfn.LET(_xlpm.auto,AND(MOD(ROW()-4,6)=0,$AM60&lt;&gt;0,SUMPRODUCT(--(OFFSET($AM60,1,0,5,1)&lt;&gt;0))=0),IF(_xlpm.auto,1,Scorebook!N240)))</f>
      </c>
      <c r="AZ60" s="10"/>
      <c r="BA60" s="10"/>
      <c r="BB60" s="5">
        <f>Settings!$B$2</f>
        <v>1</v>
      </c>
      <c r="BC60" s="5">
        <f>Betting!A62</f>
        <v>0</v>
      </c>
      <c r="BD60" s="5">
        <f>Betting!B62</f>
        <v>0</v>
      </c>
      <c r="BE60" s="5">
        <f>Betting!C62</f>
        <v>0</v>
      </c>
      <c r="BF60" s="5">
        <f>Betting!D62</f>
        <v>0</v>
      </c>
      <c r="BG60" s="5">
        <f>Betting!E62</f>
        <v>0</v>
      </c>
      <c r="BH60" s="5">
        <f>Betting!F62</f>
        <v>0</v>
      </c>
      <c r="BI60" s="4">
        <f>Betting!G62</f>
        <v>0</v>
      </c>
      <c r="BJ60" s="4">
        <f>Betting!H62</f>
        <v>0</v>
      </c>
    </row>
    <row r="61" spans="1:62">
      <c r="A61" s="4">
        <f>ROW()-3</f>
        <v>58</v>
      </c>
      <c r="B61" s="4">
        <f>IF(A61="","",ROUNDUP(A61/Settings!$B$3,0))</f>
        <v>10</v>
      </c>
      <c r="C61" s="5" t="str">
        <f>IF(Draft!$A$63="","",Draft!$D$63)</f>
        <v/>
      </c>
      <c r="D61" s="5" t="str">
        <f>IF(Draft!$E$63="","",Draft!$E$63)</f>
        <v/>
      </c>
      <c r="E61" s="5">
        <f>Settings!$B$2</f>
        <v>1</v>
      </c>
      <c r="F61" s="5" t="b">
        <f>AND(C61&lt;&gt;"",D61&lt;&gt;"")</f>
        <v>0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4" t="str">
        <f ca="1">Scorebook!$F$149</f>
        <v>G4</v>
      </c>
      <c r="T61" s="5" t="str">
        <f ca="1">Scorebook!$N$149</f>
        <v>Jason</v>
      </c>
      <c r="U61" s="5" t="str">
        <f ca="1">Scorebook!$B$159</f>
        <v>King K. Rool</v>
      </c>
      <c r="V61" s="4">
        <v>4</v>
      </c>
      <c r="W61" s="5">
        <f ca="1">Scorebook!M159</f>
        <v>2</v>
      </c>
      <c r="X61" s="5">
        <f ca="1">Scorebook!N159</f>
        <v>1</v>
      </c>
      <c r="Y61" s="5">
        <f ca="1">Scorebook!O159</f>
        <v>1</v>
      </c>
      <c r="Z61" s="5">
        <f ca="1">Scorebook!P159</f>
        <v>0</v>
      </c>
      <c r="AA61" s="5">
        <f ca="1">Scorebook!Q159</f>
        <v>0</v>
      </c>
      <c r="AB61" s="5">
        <f ca="1">Scorebook!R159</f>
        <v>1</v>
      </c>
      <c r="AC61" s="5">
        <f ca="1">Scorebook!S159</f>
        <v>1</v>
      </c>
      <c r="AD61" s="5">
        <f ca="1">Scorebook!T159</f>
        <v>0</v>
      </c>
      <c r="AE61" s="5">
        <f ca="1">Scorebook!U159</f>
        <v>1</v>
      </c>
      <c r="AF61" s="5">
        <f ca="1">Scorebook!V159</f>
        <v>0</v>
      </c>
      <c r="AG61" s="5">
        <f ca="1">Scorebook!W159</f>
        <v>0</v>
      </c>
      <c r="AH61" s="5">
        <f ca="1">Scorebook!X159</f>
        <v>0</v>
      </c>
      <c r="AI61" s="5">
        <f>Settings!$B$2</f>
        <v>1</v>
      </c>
      <c r="AJ61" s="18">
        <f ca="1">IF($AK61="","",Scorebook!$O$241)</f>
      </c>
      <c r="AK61" s="4" t="str">
        <f ca="1">Scorebook!$F$198</f>
        <v>G5</v>
      </c>
      <c r="AL61" s="5" t="str">
        <f ca="1">Scorebook!$R$198</f>
        <v>Justin</v>
      </c>
      <c r="AM61" s="5" t="str">
        <f>Scorebook!$B$241</f>
      </c>
      <c r="AN61" s="5">
        <f ca="1">IF(Scorebook!C241="","",INT(Scorebook!C241)+MOD(ROUND(Scorebook!C241*10,0),10)/3)</f>
      </c>
      <c r="AO61" s="5" cm="1">
        <f t="array" aca="1" ref="AO61" ca="1">IF($AK61="","",_xlfn.LET(_xlpm.auto,AND(MOD(ROW()-4,6)=0,$AM61&lt;&gt;0,SUMPRODUCT(--(OFFSET($AM61,1,0,5,1)&lt;&gt;0))=0),_xlpm.oppA,_xlfn.XLOOKUP($AK61,$H$4:$H$18,$J$4:$J$18,""),_xlpm.oppB,_xlfn.XLOOKUP($AK61,$H$4:$H$18,$K$4:$K$18,""),_xlpm.opp,IF($AL61=_xlpm.oppA,_xlpm.oppB,_xlpm.oppA),IF(_xlpm.auto,SUMIFS($Y$4:$Y$273,$S$4:$S$273,$AK61,$T$4:$T$273,_xlpm.opp),Scorebook!D241)))</f>
      </c>
      <c r="AP61" s="5" cm="1">
        <f t="array" aca="1" ref="AP61" ca="1">IF($AK61="","",_xlfn.LET(_xlpm.auto,AND(MOD(ROW()-4,6)=0,$AM61&lt;&gt;0,SUMPRODUCT(--(OFFSET($AM61,1,0,5,1)&lt;&gt;0))=0),_xlpm.oppA,_xlfn.XLOOKUP($AK61,$H$4:$H$18,$J$4:$J$18,""),_xlpm.oppRuns,IF($AL61=_xlpm.oppA,_xlfn.XLOOKUP($AK61,$H$4:$H$18,$O$4:$O$18,""),_xlfn.XLOOKUP($AK61,$H$4:$H$18,$N$4:$N$18,"")),IF(_xlpm.auto,_xlpm.oppRuns,Scorebook!E241)))</f>
      </c>
      <c r="AQ61" s="5">
        <f ca="1">Scorebook!F241</f>
      </c>
      <c r="AR61" s="5" cm="1">
        <f t="array" aca="1" ref="AR61" ca="1">IF($AK61="","",_xlfn.LET(_xlpm.auto,AND(MOD(ROW()-4,6)=0,$AM61&lt;&gt;0,SUMPRODUCT(--(OFFSET($AM61,1,0,5,1)&lt;&gt;0))=0),_xlpm.oppA,_xlfn.XLOOKUP($AK61,$H$4:$H$18,$J$4:$J$18,""),_xlpm.oppB,_xlfn.XLOOKUP($AK61,$H$4:$H$18,$K$4:$K$18,""),_xlpm.opp,IF($AL61=_xlpm.oppA,_xlpm.oppB,_xlpm.oppA),IF(_xlpm.auto,SUMIFS($AD$4:$AD$273,$S$4:$S$273,$AK61,$T$4:$T$273,_xlpm.opp),Scorebook!G241)))</f>
      </c>
      <c r="AS61" s="5" cm="1">
        <f t="array" aca="1" ref="AS61" ca="1">IF($AK61="","",_xlfn.LET(_xlpm.auto,AND(MOD(ROW()-4,6)=0,$AM61&lt;&gt;0,SUMPRODUCT(--(OFFSET($AM61,1,0,5,1)&lt;&gt;0))=0),_xlpm.oppA,_xlfn.XLOOKUP($AK61,$H$4:$H$18,$J$4:$J$18,""),_xlpm.oppB,_xlfn.XLOOKUP($AK61,$H$4:$H$18,$K$4:$K$18,""),_xlpm.opp,IF($AL61=_xlpm.oppA,_xlpm.oppB,_xlpm.oppA),IF(_xlpm.auto,SUMIFS($AE$4:$AE$273,$S$4:$S$273,$AK61,$T$4:$T$273,_xlpm.opp),Scorebook!H241)))</f>
      </c>
      <c r="AT61" s="5" cm="1">
        <f t="array" aca="1" ref="AT61" ca="1">IF($AK61="","",_xlfn.LET(_xlpm.auto,AND(MOD(ROW()-4,6)=0,$AM61&lt;&gt;0,SUMPRODUCT(--(OFFSET($AM61,1,0,5,1)&lt;&gt;0))=0),_xlpm.oppA,_xlfn.XLOOKUP($AK61,$H$4:$H$18,$J$4:$J$18,""),_xlpm.oppB,_xlfn.XLOOKUP($AK61,$H$4:$H$18,$K$4:$K$18,""),_xlpm.opp,IF($AL61=_xlpm.oppA,_xlpm.oppB,_xlpm.oppA),IF(_xlpm.auto,SUMIFS($AB$4:$AB$273,$S$4:$S$273,$AK61,$T$4:$T$273,_xlpm.opp),Scorebook!I241)))</f>
      </c>
      <c r="AU61" s="5" cm="1">
        <f t="array" aca="1" ref="AU61" ca="1">IF($AK61="","",_xlfn.LET(_xlpm.auto,AND(MOD(ROW()-4,6)=0,$AM61&lt;&gt;0,SUMPRODUCT(--(OFFSET($AM61,1,0,5,1)&lt;&gt;0))=0),_xlpm.winner,_xlfn.XLOOKUP($AK61,$H$4:$H$18,$L$4:$L$18,""),IF(_xlpm.auto,--($AL61=_xlpm.winner),Scorebook!J241)))</f>
      </c>
      <c r="AV61" s="5" cm="1">
        <f t="array" aca="1" ref="AV61" ca="1">IF($AK61="","",_xlfn.LET(_xlpm.auto,AND(MOD(ROW()-4,6)=0,$AM61&lt;&gt;0,SUMPRODUCT(--(OFFSET($AM61,1,0,5,1)&lt;&gt;0))=0),_xlpm.loser,_xlfn.XLOOKUP($AK61,$H$4:$H$18,$M$4:$M$18,""),IF(_xlpm.auto,--($AL61=_xlpm.loser),Scorebook!K241)))</f>
      </c>
      <c r="AW61" s="5">
        <f ca="1">Scorebook!L241</f>
      </c>
      <c r="AX61" s="5" cm="1">
        <f t="array" aca="1" ref="AX61" ca="1">IF($AK61="","",_xlfn.LET(_xlpm.auto,AND(MOD(ROW()-4,6)=0,$AM61&lt;&gt;0,SUMPRODUCT(--(OFFSET($AM61,1,0,5,1)&lt;&gt;0))=0),_xlpm.oppA,_xlfn.XLOOKUP($AK61,$H$4:$H$18,$J$4:$J$18,""),_xlpm.oppRuns,IF($AL61=_xlpm.oppA,_xlfn.XLOOKUP($AK61,$H$4:$H$18,$O$4:$O$18,""),_xlfn.XLOOKUP($AK61,$H$4:$H$18,$N$4:$N$18,"")),IF(_xlpm.auto,--(_xlpm.oppRuns=0),Scorebook!M241)))</f>
      </c>
      <c r="AY61" s="5" cm="1">
        <f t="array" aca="1" ref="AY61" ca="1">IF($AK61="","",_xlfn.LET(_xlpm.auto,AND(MOD(ROW()-4,6)=0,$AM61&lt;&gt;0,SUMPRODUCT(--(OFFSET($AM61,1,0,5,1)&lt;&gt;0))=0),IF(_xlpm.auto,1,Scorebook!N241)))</f>
      </c>
      <c r="AZ61" s="10"/>
      <c r="BA61" s="10"/>
      <c r="BB61" s="5">
        <f>Settings!$B$2</f>
        <v>1</v>
      </c>
      <c r="BC61" s="5">
        <f>Betting!A63</f>
        <v>0</v>
      </c>
      <c r="BD61" s="5">
        <f>Betting!B63</f>
        <v>0</v>
      </c>
      <c r="BE61" s="5">
        <f>Betting!C63</f>
        <v>0</v>
      </c>
      <c r="BF61" s="5">
        <f>Betting!D63</f>
        <v>0</v>
      </c>
      <c r="BG61" s="5">
        <f>Betting!E63</f>
        <v>0</v>
      </c>
      <c r="BH61" s="5">
        <f>Betting!F63</f>
        <v>0</v>
      </c>
      <c r="BI61" s="4">
        <f>Betting!G63</f>
        <v>0</v>
      </c>
      <c r="BJ61" s="4">
        <f>Betting!H63</f>
        <v>0</v>
      </c>
    </row>
    <row r="62" spans="1:62">
      <c r="A62" s="4">
        <f>ROW()-3</f>
        <v>59</v>
      </c>
      <c r="B62" s="4">
        <f>IF(A62="","",ROUNDUP(A62/Settings!$B$3,0))</f>
        <v>10</v>
      </c>
      <c r="C62" s="5" t="str">
        <f>IF(Draft!$A$64="","",Draft!$D$64)</f>
        <v/>
      </c>
      <c r="D62" s="5" t="str">
        <f>IF(Draft!$E$64="","",Draft!$E$64)</f>
        <v/>
      </c>
      <c r="E62" s="5">
        <f>Settings!$B$2</f>
        <v>1</v>
      </c>
      <c r="F62" s="5" t="b">
        <f>AND(C62&lt;&gt;"",D62&lt;&gt;"")</f>
        <v>0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4" t="str">
        <f ca="1">Scorebook!$F$149</f>
        <v>G4</v>
      </c>
      <c r="T62" s="5" t="str">
        <f ca="1">Scorebook!$N$149</f>
        <v>Jason</v>
      </c>
      <c r="U62" s="5" t="str">
        <f ca="1">Scorebook!$B$160</f>
        <v>Yellow Toad</v>
      </c>
      <c r="V62" s="4">
        <v>5</v>
      </c>
      <c r="W62" s="5">
        <f ca="1">Scorebook!M160</f>
        <v>2</v>
      </c>
      <c r="X62" s="5">
        <f ca="1">Scorebook!N160</f>
        <v>0</v>
      </c>
      <c r="Y62" s="5">
        <f ca="1">Scorebook!O160</f>
        <v>0</v>
      </c>
      <c r="Z62" s="5">
        <f ca="1">Scorebook!P160</f>
        <v>0</v>
      </c>
      <c r="AA62" s="5">
        <f ca="1">Scorebook!Q160</f>
        <v>0</v>
      </c>
      <c r="AB62" s="5">
        <f ca="1">Scorebook!R160</f>
        <v>0</v>
      </c>
      <c r="AC62" s="5">
        <f ca="1">Scorebook!S160</f>
        <v>0</v>
      </c>
      <c r="AD62" s="5">
        <f ca="1">Scorebook!T160</f>
        <v>0</v>
      </c>
      <c r="AE62" s="5">
        <f ca="1">Scorebook!U160</f>
        <v>1</v>
      </c>
      <c r="AF62" s="5">
        <f ca="1">Scorebook!V160</f>
        <v>0</v>
      </c>
      <c r="AG62" s="5">
        <f ca="1">Scorebook!W160</f>
        <v>0</v>
      </c>
      <c r="AH62" s="5">
        <f ca="1">Scorebook!X160</f>
        <v>0</v>
      </c>
      <c r="AI62" s="5">
        <f>Settings!$B$2</f>
        <v>1</v>
      </c>
      <c r="AJ62" s="18">
        <f ca="1">IF($AK62="","",Scorebook!$O$242)</f>
      </c>
      <c r="AK62" s="4" t="str">
        <f ca="1">Scorebook!$F$198</f>
        <v>G5</v>
      </c>
      <c r="AL62" s="5" t="str">
        <f ca="1">Scorebook!$R$198</f>
        <v>Justin</v>
      </c>
      <c r="AM62" s="5" t="str">
        <f>Scorebook!$B$242</f>
      </c>
      <c r="AN62" s="5">
        <f ca="1">IF(Scorebook!C242="","",INT(Scorebook!C242)+MOD(ROUND(Scorebook!C242*10,0),10)/3)</f>
      </c>
      <c r="AO62" s="5" cm="1">
        <f t="array" aca="1" ref="AO62" ca="1">IF($AK62="","",_xlfn.LET(_xlpm.auto,AND(MOD(ROW()-4,6)=0,$AM62&lt;&gt;0,SUMPRODUCT(--(OFFSET($AM62,1,0,5,1)&lt;&gt;0))=0),_xlpm.oppA,_xlfn.XLOOKUP($AK62,$H$4:$H$18,$J$4:$J$18,""),_xlpm.oppB,_xlfn.XLOOKUP($AK62,$H$4:$H$18,$K$4:$K$18,""),_xlpm.opp,IF($AL62=_xlpm.oppA,_xlpm.oppB,_xlpm.oppA),IF(_xlpm.auto,SUMIFS($Y$4:$Y$273,$S$4:$S$273,$AK62,$T$4:$T$273,_xlpm.opp),Scorebook!D242)))</f>
      </c>
      <c r="AP62" s="5" cm="1">
        <f t="array" aca="1" ref="AP62" ca="1">IF($AK62="","",_xlfn.LET(_xlpm.auto,AND(MOD(ROW()-4,6)=0,$AM62&lt;&gt;0,SUMPRODUCT(--(OFFSET($AM62,1,0,5,1)&lt;&gt;0))=0),_xlpm.oppA,_xlfn.XLOOKUP($AK62,$H$4:$H$18,$J$4:$J$18,""),_xlpm.oppRuns,IF($AL62=_xlpm.oppA,_xlfn.XLOOKUP($AK62,$H$4:$H$18,$O$4:$O$18,""),_xlfn.XLOOKUP($AK62,$H$4:$H$18,$N$4:$N$18,"")),IF(_xlpm.auto,_xlpm.oppRuns,Scorebook!E242)))</f>
      </c>
      <c r="AQ62" s="5">
        <f ca="1">Scorebook!F242</f>
      </c>
      <c r="AR62" s="5" cm="1">
        <f t="array" aca="1" ref="AR62" ca="1">IF($AK62="","",_xlfn.LET(_xlpm.auto,AND(MOD(ROW()-4,6)=0,$AM62&lt;&gt;0,SUMPRODUCT(--(OFFSET($AM62,1,0,5,1)&lt;&gt;0))=0),_xlpm.oppA,_xlfn.XLOOKUP($AK62,$H$4:$H$18,$J$4:$J$18,""),_xlpm.oppB,_xlfn.XLOOKUP($AK62,$H$4:$H$18,$K$4:$K$18,""),_xlpm.opp,IF($AL62=_xlpm.oppA,_xlpm.oppB,_xlpm.oppA),IF(_xlpm.auto,SUMIFS($AD$4:$AD$273,$S$4:$S$273,$AK62,$T$4:$T$273,_xlpm.opp),Scorebook!G242)))</f>
      </c>
      <c r="AS62" s="5" cm="1">
        <f t="array" aca="1" ref="AS62" ca="1">IF($AK62="","",_xlfn.LET(_xlpm.auto,AND(MOD(ROW()-4,6)=0,$AM62&lt;&gt;0,SUMPRODUCT(--(OFFSET($AM62,1,0,5,1)&lt;&gt;0))=0),_xlpm.oppA,_xlfn.XLOOKUP($AK62,$H$4:$H$18,$J$4:$J$18,""),_xlpm.oppB,_xlfn.XLOOKUP($AK62,$H$4:$H$18,$K$4:$K$18,""),_xlpm.opp,IF($AL62=_xlpm.oppA,_xlpm.oppB,_xlpm.oppA),IF(_xlpm.auto,SUMIFS($AE$4:$AE$273,$S$4:$S$273,$AK62,$T$4:$T$273,_xlpm.opp),Scorebook!H242)))</f>
      </c>
      <c r="AT62" s="5" cm="1">
        <f t="array" aca="1" ref="AT62" ca="1">IF($AK62="","",_xlfn.LET(_xlpm.auto,AND(MOD(ROW()-4,6)=0,$AM62&lt;&gt;0,SUMPRODUCT(--(OFFSET($AM62,1,0,5,1)&lt;&gt;0))=0),_xlpm.oppA,_xlfn.XLOOKUP($AK62,$H$4:$H$18,$J$4:$J$18,""),_xlpm.oppB,_xlfn.XLOOKUP($AK62,$H$4:$H$18,$K$4:$K$18,""),_xlpm.opp,IF($AL62=_xlpm.oppA,_xlpm.oppB,_xlpm.oppA),IF(_xlpm.auto,SUMIFS($AB$4:$AB$273,$S$4:$S$273,$AK62,$T$4:$T$273,_xlpm.opp),Scorebook!I242)))</f>
      </c>
      <c r="AU62" s="5" cm="1">
        <f t="array" aca="1" ref="AU62" ca="1">IF($AK62="","",_xlfn.LET(_xlpm.auto,AND(MOD(ROW()-4,6)=0,$AM62&lt;&gt;0,SUMPRODUCT(--(OFFSET($AM62,1,0,5,1)&lt;&gt;0))=0),_xlpm.winner,_xlfn.XLOOKUP($AK62,$H$4:$H$18,$L$4:$L$18,""),IF(_xlpm.auto,--($AL62=_xlpm.winner),Scorebook!J242)))</f>
      </c>
      <c r="AV62" s="5" cm="1">
        <f t="array" aca="1" ref="AV62" ca="1">IF($AK62="","",_xlfn.LET(_xlpm.auto,AND(MOD(ROW()-4,6)=0,$AM62&lt;&gt;0,SUMPRODUCT(--(OFFSET($AM62,1,0,5,1)&lt;&gt;0))=0),_xlpm.loser,_xlfn.XLOOKUP($AK62,$H$4:$H$18,$M$4:$M$18,""),IF(_xlpm.auto,--($AL62=_xlpm.loser),Scorebook!K242)))</f>
      </c>
      <c r="AW62" s="5">
        <f ca="1">Scorebook!L242</f>
      </c>
      <c r="AX62" s="5" cm="1">
        <f t="array" aca="1" ref="AX62" ca="1">IF($AK62="","",_xlfn.LET(_xlpm.auto,AND(MOD(ROW()-4,6)=0,$AM62&lt;&gt;0,SUMPRODUCT(--(OFFSET($AM62,1,0,5,1)&lt;&gt;0))=0),_xlpm.oppA,_xlfn.XLOOKUP($AK62,$H$4:$H$18,$J$4:$J$18,""),_xlpm.oppRuns,IF($AL62=_xlpm.oppA,_xlfn.XLOOKUP($AK62,$H$4:$H$18,$O$4:$O$18,""),_xlfn.XLOOKUP($AK62,$H$4:$H$18,$N$4:$N$18,"")),IF(_xlpm.auto,--(_xlpm.oppRuns=0),Scorebook!M242)))</f>
      </c>
      <c r="AY62" s="5" cm="1">
        <f t="array" aca="1" ref="AY62" ca="1">IF($AK62="","",_xlfn.LET(_xlpm.auto,AND(MOD(ROW()-4,6)=0,$AM62&lt;&gt;0,SUMPRODUCT(--(OFFSET($AM62,1,0,5,1)&lt;&gt;0))=0),IF(_xlpm.auto,1,Scorebook!N242)))</f>
      </c>
      <c r="AZ62" s="10"/>
      <c r="BA62" s="10"/>
      <c r="BB62" s="5">
        <f>Settings!$B$2</f>
        <v>1</v>
      </c>
      <c r="BC62" s="5">
        <f>Betting!A64</f>
        <v>0</v>
      </c>
      <c r="BD62" s="5">
        <f>Betting!B64</f>
        <v>0</v>
      </c>
      <c r="BE62" s="5">
        <f>Betting!C64</f>
        <v>0</v>
      </c>
      <c r="BF62" s="5">
        <f>Betting!D64</f>
        <v>0</v>
      </c>
      <c r="BG62" s="5">
        <f>Betting!E64</f>
        <v>0</v>
      </c>
      <c r="BH62" s="5">
        <f>Betting!F64</f>
        <v>0</v>
      </c>
      <c r="BI62" s="4">
        <f>Betting!G64</f>
        <v>0</v>
      </c>
      <c r="BJ62" s="4">
        <f>Betting!H64</f>
        <v>0</v>
      </c>
    </row>
    <row r="63" spans="1:62">
      <c r="A63" s="4">
        <f>ROW()-3</f>
        <v>60</v>
      </c>
      <c r="B63" s="4">
        <f>IF(A63="","",ROUNDUP(A63/Settings!$B$3,0))</f>
        <v>10</v>
      </c>
      <c r="C63" s="5" t="str">
        <f>IF(Draft!$A$65="","",Draft!$D$65)</f>
        <v/>
      </c>
      <c r="D63" s="5" t="str">
        <f>IF(Draft!$E$65="","",Draft!$E$65)</f>
        <v/>
      </c>
      <c r="E63" s="5">
        <f>Settings!$B$2</f>
        <v>1</v>
      </c>
      <c r="F63" s="5" t="b">
        <f>AND(C63&lt;&gt;"",D63&lt;&gt;"")</f>
        <v>0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4" t="str">
        <f ca="1">Scorebook!$F$149</f>
        <v>G4</v>
      </c>
      <c r="T63" s="5" t="str">
        <f ca="1">Scorebook!$N$149</f>
        <v>Jason</v>
      </c>
      <c r="U63" s="5" t="str">
        <f ca="1">Scorebook!$B$161</f>
        <v>Blooper</v>
      </c>
      <c r="V63" s="4">
        <v>6</v>
      </c>
      <c r="W63" s="5">
        <f ca="1">Scorebook!M161</f>
        <v>2</v>
      </c>
      <c r="X63" s="5">
        <f ca="1">Scorebook!N161</f>
        <v>2</v>
      </c>
      <c r="Y63" s="5">
        <f ca="1">Scorebook!O161</f>
        <v>2</v>
      </c>
      <c r="Z63" s="5">
        <f ca="1">Scorebook!P161</f>
        <v>0</v>
      </c>
      <c r="AA63" s="5">
        <f ca="1">Scorebook!Q161</f>
        <v>0</v>
      </c>
      <c r="AB63" s="5">
        <f ca="1">Scorebook!R161</f>
        <v>2</v>
      </c>
      <c r="AC63" s="5">
        <f ca="1">Scorebook!S161</f>
        <v>2</v>
      </c>
      <c r="AD63" s="5">
        <f ca="1">Scorebook!T161</f>
        <v>0</v>
      </c>
      <c r="AE63" s="5">
        <f ca="1">Scorebook!U161</f>
        <v>0</v>
      </c>
      <c r="AF63" s="5">
        <f ca="1">Scorebook!V161</f>
        <v>0</v>
      </c>
      <c r="AG63" s="5">
        <f ca="1">Scorebook!W161</f>
        <v>0</v>
      </c>
      <c r="AH63" s="5">
        <f ca="1">Scorebook!X161</f>
        <v>0</v>
      </c>
      <c r="AI63" s="5">
        <f>Settings!$B$2</f>
        <v>1</v>
      </c>
      <c r="AJ63" s="18">
        <f ca="1">IF($AK63="","",Scorebook!$O$243)</f>
      </c>
      <c r="AK63" s="4" t="str">
        <f ca="1">Scorebook!$F$198</f>
        <v>G5</v>
      </c>
      <c r="AL63" s="5" t="str">
        <f ca="1">Scorebook!$R$198</f>
        <v>Justin</v>
      </c>
      <c r="AM63" s="5" t="str">
        <f>Scorebook!$B$243</f>
      </c>
      <c r="AN63" s="5">
        <f ca="1">IF(Scorebook!C243="","",INT(Scorebook!C243)+MOD(ROUND(Scorebook!C243*10,0),10)/3)</f>
      </c>
      <c r="AO63" s="5" cm="1">
        <f t="array" aca="1" ref="AO63" ca="1">IF($AK63="","",_xlfn.LET(_xlpm.auto,AND(MOD(ROW()-4,6)=0,$AM63&lt;&gt;0,SUMPRODUCT(--(OFFSET($AM63,1,0,5,1)&lt;&gt;0))=0),_xlpm.oppA,_xlfn.XLOOKUP($AK63,$H$4:$H$18,$J$4:$J$18,""),_xlpm.oppB,_xlfn.XLOOKUP($AK63,$H$4:$H$18,$K$4:$K$18,""),_xlpm.opp,IF($AL63=_xlpm.oppA,_xlpm.oppB,_xlpm.oppA),IF(_xlpm.auto,SUMIFS($Y$4:$Y$273,$S$4:$S$273,$AK63,$T$4:$T$273,_xlpm.opp),Scorebook!D243)))</f>
      </c>
      <c r="AP63" s="5" cm="1">
        <f t="array" aca="1" ref="AP63" ca="1">IF($AK63="","",_xlfn.LET(_xlpm.auto,AND(MOD(ROW()-4,6)=0,$AM63&lt;&gt;0,SUMPRODUCT(--(OFFSET($AM63,1,0,5,1)&lt;&gt;0))=0),_xlpm.oppA,_xlfn.XLOOKUP($AK63,$H$4:$H$18,$J$4:$J$18,""),_xlpm.oppRuns,IF($AL63=_xlpm.oppA,_xlfn.XLOOKUP($AK63,$H$4:$H$18,$O$4:$O$18,""),_xlfn.XLOOKUP($AK63,$H$4:$H$18,$N$4:$N$18,"")),IF(_xlpm.auto,_xlpm.oppRuns,Scorebook!E243)))</f>
      </c>
      <c r="AQ63" s="5">
        <f ca="1">Scorebook!F243</f>
      </c>
      <c r="AR63" s="5" cm="1">
        <f t="array" aca="1" ref="AR63" ca="1">IF($AK63="","",_xlfn.LET(_xlpm.auto,AND(MOD(ROW()-4,6)=0,$AM63&lt;&gt;0,SUMPRODUCT(--(OFFSET($AM63,1,0,5,1)&lt;&gt;0))=0),_xlpm.oppA,_xlfn.XLOOKUP($AK63,$H$4:$H$18,$J$4:$J$18,""),_xlpm.oppB,_xlfn.XLOOKUP($AK63,$H$4:$H$18,$K$4:$K$18,""),_xlpm.opp,IF($AL63=_xlpm.oppA,_xlpm.oppB,_xlpm.oppA),IF(_xlpm.auto,SUMIFS($AD$4:$AD$273,$S$4:$S$273,$AK63,$T$4:$T$273,_xlpm.opp),Scorebook!G243)))</f>
      </c>
      <c r="AS63" s="5" cm="1">
        <f t="array" aca="1" ref="AS63" ca="1">IF($AK63="","",_xlfn.LET(_xlpm.auto,AND(MOD(ROW()-4,6)=0,$AM63&lt;&gt;0,SUMPRODUCT(--(OFFSET($AM63,1,0,5,1)&lt;&gt;0))=0),_xlpm.oppA,_xlfn.XLOOKUP($AK63,$H$4:$H$18,$J$4:$J$18,""),_xlpm.oppB,_xlfn.XLOOKUP($AK63,$H$4:$H$18,$K$4:$K$18,""),_xlpm.opp,IF($AL63=_xlpm.oppA,_xlpm.oppB,_xlpm.oppA),IF(_xlpm.auto,SUMIFS($AE$4:$AE$273,$S$4:$S$273,$AK63,$T$4:$T$273,_xlpm.opp),Scorebook!H243)))</f>
      </c>
      <c r="AT63" s="5" cm="1">
        <f t="array" aca="1" ref="AT63" ca="1">IF($AK63="","",_xlfn.LET(_xlpm.auto,AND(MOD(ROW()-4,6)=0,$AM63&lt;&gt;0,SUMPRODUCT(--(OFFSET($AM63,1,0,5,1)&lt;&gt;0))=0),_xlpm.oppA,_xlfn.XLOOKUP($AK63,$H$4:$H$18,$J$4:$J$18,""),_xlpm.oppB,_xlfn.XLOOKUP($AK63,$H$4:$H$18,$K$4:$K$18,""),_xlpm.opp,IF($AL63=_xlpm.oppA,_xlpm.oppB,_xlpm.oppA),IF(_xlpm.auto,SUMIFS($AB$4:$AB$273,$S$4:$S$273,$AK63,$T$4:$T$273,_xlpm.opp),Scorebook!I243)))</f>
      </c>
      <c r="AU63" s="5" cm="1">
        <f t="array" aca="1" ref="AU63" ca="1">IF($AK63="","",_xlfn.LET(_xlpm.auto,AND(MOD(ROW()-4,6)=0,$AM63&lt;&gt;0,SUMPRODUCT(--(OFFSET($AM63,1,0,5,1)&lt;&gt;0))=0),_xlpm.winner,_xlfn.XLOOKUP($AK63,$H$4:$H$18,$L$4:$L$18,""),IF(_xlpm.auto,--($AL63=_xlpm.winner),Scorebook!J243)))</f>
      </c>
      <c r="AV63" s="5" cm="1">
        <f t="array" aca="1" ref="AV63" ca="1">IF($AK63="","",_xlfn.LET(_xlpm.auto,AND(MOD(ROW()-4,6)=0,$AM63&lt;&gt;0,SUMPRODUCT(--(OFFSET($AM63,1,0,5,1)&lt;&gt;0))=0),_xlpm.loser,_xlfn.XLOOKUP($AK63,$H$4:$H$18,$M$4:$M$18,""),IF(_xlpm.auto,--($AL63=_xlpm.loser),Scorebook!K243)))</f>
      </c>
      <c r="AW63" s="5">
        <f ca="1">Scorebook!L243</f>
      </c>
      <c r="AX63" s="5" cm="1">
        <f t="array" aca="1" ref="AX63" ca="1">IF($AK63="","",_xlfn.LET(_xlpm.auto,AND(MOD(ROW()-4,6)=0,$AM63&lt;&gt;0,SUMPRODUCT(--(OFFSET($AM63,1,0,5,1)&lt;&gt;0))=0),_xlpm.oppA,_xlfn.XLOOKUP($AK63,$H$4:$H$18,$J$4:$J$18,""),_xlpm.oppRuns,IF($AL63=_xlpm.oppA,_xlfn.XLOOKUP($AK63,$H$4:$H$18,$O$4:$O$18,""),_xlfn.XLOOKUP($AK63,$H$4:$H$18,$N$4:$N$18,"")),IF(_xlpm.auto,--(_xlpm.oppRuns=0),Scorebook!M243)))</f>
      </c>
      <c r="AY63" s="5" cm="1">
        <f t="array" aca="1" ref="AY63" ca="1">IF($AK63="","",_xlfn.LET(_xlpm.auto,AND(MOD(ROW()-4,6)=0,$AM63&lt;&gt;0,SUMPRODUCT(--(OFFSET($AM63,1,0,5,1)&lt;&gt;0))=0),IF(_xlpm.auto,1,Scorebook!N243)))</f>
      </c>
      <c r="AZ63" s="10"/>
      <c r="BA63" s="10"/>
      <c r="BB63" s="5">
        <f>Settings!$B$2</f>
        <v>1</v>
      </c>
      <c r="BC63" s="5">
        <f>Betting!A65</f>
        <v>0</v>
      </c>
      <c r="BD63" s="5">
        <f>Betting!B65</f>
        <v>0</v>
      </c>
      <c r="BE63" s="5">
        <f>Betting!C65</f>
        <v>0</v>
      </c>
      <c r="BF63" s="5">
        <f>Betting!D65</f>
        <v>0</v>
      </c>
      <c r="BG63" s="5">
        <f>Betting!E65</f>
        <v>0</v>
      </c>
      <c r="BH63" s="5">
        <f>Betting!F65</f>
        <v>0</v>
      </c>
      <c r="BI63" s="4">
        <f>Betting!G65</f>
        <v>0</v>
      </c>
      <c r="BJ63" s="4">
        <f>Betting!H65</f>
        <v>0</v>
      </c>
    </row>
    <row r="64" spans="1:62">
      <c r="A64" s="4">
        <f>ROW()-3</f>
        <v>61</v>
      </c>
      <c r="B64" s="4">
        <f>IF(A64="","",ROUNDUP(A64/Settings!$B$3,0))</f>
        <v>11</v>
      </c>
      <c r="C64" s="5" t="str">
        <f>IF(Draft!$A$66="","",Draft!$D$66)</f>
        <v/>
      </c>
      <c r="D64" s="5" t="str">
        <f>IF(Draft!$E$66="","",Draft!$E$66)</f>
        <v/>
      </c>
      <c r="E64" s="5">
        <f>Settings!$B$2</f>
        <v>1</v>
      </c>
      <c r="F64" s="5" t="b">
        <f>AND(C64&lt;&gt;"",D64&lt;&gt;"")</f>
        <v>0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4" t="str">
        <f ca="1">Scorebook!$F$149</f>
        <v>G4</v>
      </c>
      <c r="T64" s="5" t="str">
        <f ca="1">Scorebook!$N$149</f>
        <v>Jason</v>
      </c>
      <c r="U64" s="5" t="str">
        <f ca="1">Scorebook!$B$162</f>
        <v>Peach</v>
      </c>
      <c r="V64" s="4">
        <v>7</v>
      </c>
      <c r="W64" s="5">
        <f ca="1">Scorebook!M162</f>
        <v>2</v>
      </c>
      <c r="X64" s="5">
        <f ca="1">Scorebook!N162</f>
        <v>1</v>
      </c>
      <c r="Y64" s="5">
        <f ca="1">Scorebook!O162</f>
        <v>2</v>
      </c>
      <c r="Z64" s="5">
        <f ca="1">Scorebook!P162</f>
        <v>0</v>
      </c>
      <c r="AA64" s="5">
        <f ca="1">Scorebook!Q162</f>
        <v>0</v>
      </c>
      <c r="AB64" s="5">
        <f ca="1">Scorebook!R162</f>
        <v>1</v>
      </c>
      <c r="AC64" s="5">
        <f ca="1">Scorebook!S162</f>
        <v>1</v>
      </c>
      <c r="AD64" s="5">
        <f ca="1">Scorebook!T162</f>
        <v>0</v>
      </c>
      <c r="AE64" s="5">
        <f ca="1">Scorebook!U162</f>
        <v>0</v>
      </c>
      <c r="AF64" s="5">
        <f ca="1">Scorebook!V162</f>
        <v>0</v>
      </c>
      <c r="AG64" s="5">
        <f ca="1">Scorebook!W162</f>
        <v>0</v>
      </c>
      <c r="AH64" s="5">
        <f ca="1">Scorebook!X162</f>
        <v>0</v>
      </c>
      <c r="AI64" s="5">
        <f>Settings!$B$2</f>
        <v>1</v>
      </c>
      <c r="AJ64" s="18">
        <f ca="1">IF($AK64="","",Scorebook!$O$266)</f>
        <v>5</v>
      </c>
      <c r="AK64" s="4" t="str">
        <f ca="1">Scorebook!$F$247</f>
        <v>G6</v>
      </c>
      <c r="AL64" s="5" t="str">
        <f ca="1">Scorebook!$N$247</f>
        <v>Aidan</v>
      </c>
      <c r="AM64" s="5" t="str">
        <f ca="1">Scorebook!$B$266</f>
        <v>Red Magikoopa</v>
      </c>
      <c r="AN64" s="5">
        <f ca="1">IF(Scorebook!C266="","",INT(Scorebook!C266)+MOD(ROUND(Scorebook!C266*10,0),10)/3)</f>
        <v>1.0</v>
      </c>
      <c r="AO64" s="5" cm="1">
        <f t="array" aca="1" ref="AO64" ca="1">IF($AK64="","",_xlfn.LET(_xlpm.auto,AND(MOD(ROW()-4,6)=0,$AM64&lt;&gt;0,SUMPRODUCT(--(OFFSET($AM64,1,0,5,1)&lt;&gt;0))=0),_xlpm.oppA,_xlfn.XLOOKUP($AK64,$H$4:$H$18,$J$4:$J$18,""),_xlpm.oppB,_xlfn.XLOOKUP($AK64,$H$4:$H$18,$K$4:$K$18,""),_xlpm.opp,IF($AL64=_xlpm.oppA,_xlpm.oppB,_xlpm.oppA),IF(_xlpm.auto,SUMIFS($Y$4:$Y$273,$S$4:$S$273,$AK64,$T$4:$T$273,_xlpm.opp),Scorebook!D266)))</f>
        <v>2</v>
      </c>
      <c r="AP64" s="5" cm="1">
        <f t="array" aca="1" ref="AP64" ca="1">IF($AK64="","",_xlfn.LET(_xlpm.auto,AND(MOD(ROW()-4,6)=0,$AM64&lt;&gt;0,SUMPRODUCT(--(OFFSET($AM64,1,0,5,1)&lt;&gt;0))=0),_xlpm.oppA,_xlfn.XLOOKUP($AK64,$H$4:$H$18,$J$4:$J$18,""),_xlpm.oppRuns,IF($AL64=_xlpm.oppA,_xlfn.XLOOKUP($AK64,$H$4:$H$18,$O$4:$O$18,""),_xlfn.XLOOKUP($AK64,$H$4:$H$18,$N$4:$N$18,"")),IF(_xlpm.auto,_xlpm.oppRuns,Scorebook!E266)))</f>
        <v>2</v>
      </c>
      <c r="AQ64" s="5">
        <f ca="1">Scorebook!F266</f>
        <v>2</v>
      </c>
      <c r="AR64" s="5" cm="1">
        <f t="array" aca="1" ref="AR64" ca="1">IF($AK64="","",_xlfn.LET(_xlpm.auto,AND(MOD(ROW()-4,6)=0,$AM64&lt;&gt;0,SUMPRODUCT(--(OFFSET($AM64,1,0,5,1)&lt;&gt;0))=0),_xlpm.oppA,_xlfn.XLOOKUP($AK64,$H$4:$H$18,$J$4:$J$18,""),_xlpm.oppB,_xlfn.XLOOKUP($AK64,$H$4:$H$18,$K$4:$K$18,""),_xlpm.opp,IF($AL64=_xlpm.oppA,_xlpm.oppB,_xlpm.oppA),IF(_xlpm.auto,SUMIFS($AD$4:$AD$273,$S$4:$S$273,$AK64,$T$4:$T$273,_xlpm.opp),Scorebook!G266)))</f>
        <v>0</v>
      </c>
      <c r="AS64" s="5" cm="1">
        <f t="array" aca="1" ref="AS64" ca="1">IF($AK64="","",_xlfn.LET(_xlpm.auto,AND(MOD(ROW()-4,6)=0,$AM64&lt;&gt;0,SUMPRODUCT(--(OFFSET($AM64,1,0,5,1)&lt;&gt;0))=0),_xlpm.oppA,_xlfn.XLOOKUP($AK64,$H$4:$H$18,$J$4:$J$18,""),_xlpm.oppB,_xlfn.XLOOKUP($AK64,$H$4:$H$18,$K$4:$K$18,""),_xlpm.opp,IF($AL64=_xlpm.oppA,_xlpm.oppB,_xlpm.oppA),IF(_xlpm.auto,SUMIFS($AE$4:$AE$273,$S$4:$S$273,$AK64,$T$4:$T$273,_xlpm.opp),Scorebook!H266)))</f>
        <v>1</v>
      </c>
      <c r="AT64" s="5" cm="1">
        <f t="array" aca="1" ref="AT64" ca="1">IF($AK64="","",_xlfn.LET(_xlpm.auto,AND(MOD(ROW()-4,6)=0,$AM64&lt;&gt;0,SUMPRODUCT(--(OFFSET($AM64,1,0,5,1)&lt;&gt;0))=0),_xlpm.oppA,_xlfn.XLOOKUP($AK64,$H$4:$H$18,$J$4:$J$18,""),_xlpm.oppB,_xlfn.XLOOKUP($AK64,$H$4:$H$18,$K$4:$K$18,""),_xlpm.opp,IF($AL64=_xlpm.oppA,_xlpm.oppB,_xlpm.oppA),IF(_xlpm.auto,SUMIFS($AB$4:$AB$273,$S$4:$S$273,$AK64,$T$4:$T$273,_xlpm.opp),Scorebook!I266)))</f>
        <v>1</v>
      </c>
      <c r="AU64" s="5" cm="1">
        <f t="array" aca="1" ref="AU64" ca="1">IF($AK64="","",_xlfn.LET(_xlpm.auto,AND(MOD(ROW()-4,6)=0,$AM64&lt;&gt;0,SUMPRODUCT(--(OFFSET($AM64,1,0,5,1)&lt;&gt;0))=0),_xlpm.winner,_xlfn.XLOOKUP($AK64,$H$4:$H$18,$L$4:$L$18,""),IF(_xlpm.auto,--($AL64=_xlpm.winner),Scorebook!J266)))</f>
        <v>0</v>
      </c>
      <c r="AV64" s="5" cm="1">
        <f t="array" aca="1" ref="AV64" ca="1">IF($AK64="","",_xlfn.LET(_xlpm.auto,AND(MOD(ROW()-4,6)=0,$AM64&lt;&gt;0,SUMPRODUCT(--(OFFSET($AM64,1,0,5,1)&lt;&gt;0))=0),_xlpm.loser,_xlfn.XLOOKUP($AK64,$H$4:$H$18,$M$4:$M$18,""),IF(_xlpm.auto,--($AL64=_xlpm.loser),Scorebook!K266)))</f>
        <v>1</v>
      </c>
      <c r="AW64" s="5">
        <f ca="1">Scorebook!L266</f>
        <v>0</v>
      </c>
      <c r="AX64" s="5" cm="1">
        <f t="array" aca="1" ref="AX64" ca="1">IF($AK64="","",_xlfn.LET(_xlpm.auto,AND(MOD(ROW()-4,6)=0,$AM64&lt;&gt;0,SUMPRODUCT(--(OFFSET($AM64,1,0,5,1)&lt;&gt;0))=0),_xlpm.oppA,_xlfn.XLOOKUP($AK64,$H$4:$H$18,$J$4:$J$18,""),_xlpm.oppRuns,IF($AL64=_xlpm.oppA,_xlfn.XLOOKUP($AK64,$H$4:$H$18,$O$4:$O$18,""),_xlfn.XLOOKUP($AK64,$H$4:$H$18,$N$4:$N$18,"")),IF(_xlpm.auto,--(_xlpm.oppRuns=0),Scorebook!M266)))</f>
        <v>0</v>
      </c>
      <c r="AY64" s="5" cm="1">
        <f t="array" aca="1" ref="AY64" ca="1">IF($AK64="","",_xlfn.LET(_xlpm.auto,AND(MOD(ROW()-4,6)=0,$AM64&lt;&gt;0,SUMPRODUCT(--(OFFSET($AM64,1,0,5,1)&lt;&gt;0))=0),IF(_xlpm.auto,1,Scorebook!N266)))</f>
        <v>0</v>
      </c>
      <c r="AZ64" s="10"/>
      <c r="BA64" s="10"/>
      <c r="BB64" s="5">
        <f>Settings!$B$2</f>
        <v>1</v>
      </c>
      <c r="BC64" s="5">
        <f>Betting!A66</f>
        <v>0</v>
      </c>
      <c r="BD64" s="5">
        <f>Betting!B66</f>
        <v>0</v>
      </c>
      <c r="BE64" s="5">
        <f>Betting!C66</f>
        <v>0</v>
      </c>
      <c r="BF64" s="5">
        <f>Betting!D66</f>
        <v>0</v>
      </c>
      <c r="BG64" s="5">
        <f>Betting!E66</f>
        <v>0</v>
      </c>
      <c r="BH64" s="5">
        <f>Betting!F66</f>
        <v>0</v>
      </c>
      <c r="BI64" s="4">
        <f>Betting!G66</f>
        <v>0</v>
      </c>
      <c r="BJ64" s="4">
        <f>Betting!H66</f>
        <v>0</v>
      </c>
    </row>
    <row r="65" spans="1:62">
      <c r="A65" s="4">
        <f>ROW()-3</f>
        <v>62</v>
      </c>
      <c r="B65" s="4">
        <f>IF(A65="","",ROUNDUP(A65/Settings!$B$3,0))</f>
        <v>11</v>
      </c>
      <c r="C65" s="5" t="str">
        <f>IF(Draft!$A$67="","",Draft!$D$67)</f>
        <v/>
      </c>
      <c r="D65" s="5" t="str">
        <f>IF(Draft!$E$67="","",Draft!$E$67)</f>
        <v/>
      </c>
      <c r="E65" s="5">
        <f>Settings!$B$2</f>
        <v>1</v>
      </c>
      <c r="F65" s="5" t="b">
        <f>AND(C65&lt;&gt;"",D65&lt;&gt;"")</f>
        <v>0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4" t="str">
        <f ca="1">Scorebook!$F$149</f>
        <v>G4</v>
      </c>
      <c r="T65" s="5" t="str">
        <f ca="1">Scorebook!$N$149</f>
        <v>Jason</v>
      </c>
      <c r="U65" s="5" t="str">
        <f ca="1">Scorebook!$B$163</f>
        <v>Baby Mario</v>
      </c>
      <c r="V65" s="4">
        <v>8</v>
      </c>
      <c r="W65" s="5">
        <f ca="1">Scorebook!M163</f>
        <v>2</v>
      </c>
      <c r="X65" s="5">
        <f ca="1">Scorebook!N163</f>
        <v>0</v>
      </c>
      <c r="Y65" s="5">
        <f ca="1">Scorebook!O163</f>
        <v>0</v>
      </c>
      <c r="Z65" s="5">
        <f ca="1">Scorebook!P163</f>
        <v>0</v>
      </c>
      <c r="AA65" s="5">
        <f ca="1">Scorebook!Q163</f>
        <v>0</v>
      </c>
      <c r="AB65" s="5">
        <f ca="1">Scorebook!R163</f>
        <v>0</v>
      </c>
      <c r="AC65" s="5">
        <f ca="1">Scorebook!S163</f>
        <v>0</v>
      </c>
      <c r="AD65" s="5">
        <f ca="1">Scorebook!T163</f>
        <v>0</v>
      </c>
      <c r="AE65" s="5">
        <f ca="1">Scorebook!U163</f>
        <v>0</v>
      </c>
      <c r="AF65" s="5">
        <f ca="1">Scorebook!V163</f>
        <v>0</v>
      </c>
      <c r="AG65" s="5">
        <f ca="1">Scorebook!W163</f>
        <v>0</v>
      </c>
      <c r="AH65" s="5">
        <f ca="1">Scorebook!X163</f>
        <v>0</v>
      </c>
      <c r="AI65" s="5">
        <f>Settings!$B$2</f>
        <v>1</v>
      </c>
      <c r="AJ65" s="18">
        <f ca="1">IF($AK65="","",Scorebook!$O$267)</f>
        <v>8</v>
      </c>
      <c r="AK65" s="4" t="str">
        <f ca="1">Scorebook!$F$247</f>
        <v>G6</v>
      </c>
      <c r="AL65" s="5" t="str">
        <f ca="1">Scorebook!$N$247</f>
        <v>Aidan</v>
      </c>
      <c r="AM65" s="5" t="str">
        <f ca="1">Scorebook!$B$267</f>
        <v>Blue Kritter</v>
      </c>
      <c r="AN65" s="5">
        <f ca="1">IF(Scorebook!C267="","",INT(Scorebook!C267)+MOD(ROUND(Scorebook!C267*10,0),10)/3)</f>
        <v>2.0</v>
      </c>
      <c r="AO65" s="5" cm="1">
        <f t="array" aca="1" ref="AO65" ca="1">IF($AK65="","",_xlfn.LET(_xlpm.auto,AND(MOD(ROW()-4,6)=0,$AM65&lt;&gt;0,SUMPRODUCT(--(OFFSET($AM65,1,0,5,1)&lt;&gt;0))=0),_xlpm.oppA,_xlfn.XLOOKUP($AK65,$H$4:$H$18,$J$4:$J$18,""),_xlpm.oppB,_xlfn.XLOOKUP($AK65,$H$4:$H$18,$K$4:$K$18,""),_xlpm.opp,IF($AL65=_xlpm.oppA,_xlpm.oppB,_xlpm.oppA),IF(_xlpm.auto,SUMIFS($Y$4:$Y$273,$S$4:$S$273,$AK65,$T$4:$T$273,_xlpm.opp),Scorebook!D267)))</f>
        <v>2</v>
      </c>
      <c r="AP65" s="5" cm="1">
        <f t="array" aca="1" ref="AP65" ca="1">IF($AK65="","",_xlfn.LET(_xlpm.auto,AND(MOD(ROW()-4,6)=0,$AM65&lt;&gt;0,SUMPRODUCT(--(OFFSET($AM65,1,0,5,1)&lt;&gt;0))=0),_xlpm.oppA,_xlfn.XLOOKUP($AK65,$H$4:$H$18,$J$4:$J$18,""),_xlpm.oppRuns,IF($AL65=_xlpm.oppA,_xlfn.XLOOKUP($AK65,$H$4:$H$18,$O$4:$O$18,""),_xlfn.XLOOKUP($AK65,$H$4:$H$18,$N$4:$N$18,"")),IF(_xlpm.auto,_xlpm.oppRuns,Scorebook!E267)))</f>
        <v>2</v>
      </c>
      <c r="AQ65" s="5">
        <f ca="1">Scorebook!F267</f>
        <v>2</v>
      </c>
      <c r="AR65" s="5" cm="1">
        <f t="array" aca="1" ref="AR65" ca="1">IF($AK65="","",_xlfn.LET(_xlpm.auto,AND(MOD(ROW()-4,6)=0,$AM65&lt;&gt;0,SUMPRODUCT(--(OFFSET($AM65,1,0,5,1)&lt;&gt;0))=0),_xlpm.oppA,_xlfn.XLOOKUP($AK65,$H$4:$H$18,$J$4:$J$18,""),_xlpm.oppB,_xlfn.XLOOKUP($AK65,$H$4:$H$18,$K$4:$K$18,""),_xlpm.opp,IF($AL65=_xlpm.oppA,_xlpm.oppB,_xlpm.oppA),IF(_xlpm.auto,SUMIFS($AD$4:$AD$273,$S$4:$S$273,$AK65,$T$4:$T$273,_xlpm.opp),Scorebook!G267)))</f>
        <v>0</v>
      </c>
      <c r="AS65" s="5" cm="1">
        <f t="array" aca="1" ref="AS65" ca="1">IF($AK65="","",_xlfn.LET(_xlpm.auto,AND(MOD(ROW()-4,6)=0,$AM65&lt;&gt;0,SUMPRODUCT(--(OFFSET($AM65,1,0,5,1)&lt;&gt;0))=0),_xlpm.oppA,_xlfn.XLOOKUP($AK65,$H$4:$H$18,$J$4:$J$18,""),_xlpm.oppB,_xlfn.XLOOKUP($AK65,$H$4:$H$18,$K$4:$K$18,""),_xlpm.opp,IF($AL65=_xlpm.oppA,_xlpm.oppB,_xlpm.oppA),IF(_xlpm.auto,SUMIFS($AE$4:$AE$273,$S$4:$S$273,$AK65,$T$4:$T$273,_xlpm.opp),Scorebook!H267)))</f>
        <v>5</v>
      </c>
      <c r="AT65" s="5" cm="1">
        <f t="array" aca="1" ref="AT65" ca="1">IF($AK65="","",_xlfn.LET(_xlpm.auto,AND(MOD(ROW()-4,6)=0,$AM65&lt;&gt;0,SUMPRODUCT(--(OFFSET($AM65,1,0,5,1)&lt;&gt;0))=0),_xlpm.oppA,_xlfn.XLOOKUP($AK65,$H$4:$H$18,$J$4:$J$18,""),_xlpm.oppB,_xlfn.XLOOKUP($AK65,$H$4:$H$18,$K$4:$K$18,""),_xlpm.opp,IF($AL65=_xlpm.oppA,_xlpm.oppB,_xlpm.oppA),IF(_xlpm.auto,SUMIFS($AB$4:$AB$273,$S$4:$S$273,$AK65,$T$4:$T$273,_xlpm.opp),Scorebook!I267)))</f>
        <v>1</v>
      </c>
      <c r="AU65" s="5" cm="1">
        <f t="array" aca="1" ref="AU65" ca="1">IF($AK65="","",_xlfn.LET(_xlpm.auto,AND(MOD(ROW()-4,6)=0,$AM65&lt;&gt;0,SUMPRODUCT(--(OFFSET($AM65,1,0,5,1)&lt;&gt;0))=0),_xlpm.winner,_xlfn.XLOOKUP($AK65,$H$4:$H$18,$L$4:$L$18,""),IF(_xlpm.auto,--($AL65=_xlpm.winner),Scorebook!J267)))</f>
        <v>0</v>
      </c>
      <c r="AV65" s="5" cm="1">
        <f t="array" aca="1" ref="AV65" ca="1">IF($AK65="","",_xlfn.LET(_xlpm.auto,AND(MOD(ROW()-4,6)=0,$AM65&lt;&gt;0,SUMPRODUCT(--(OFFSET($AM65,1,0,5,1)&lt;&gt;0))=0),_xlpm.loser,_xlfn.XLOOKUP($AK65,$H$4:$H$18,$M$4:$M$18,""),IF(_xlpm.auto,--($AL65=_xlpm.loser),Scorebook!K267)))</f>
        <v>0</v>
      </c>
      <c r="AW65" s="5">
        <f ca="1">Scorebook!L267</f>
        <v>0</v>
      </c>
      <c r="AX65" s="5" cm="1">
        <f t="array" aca="1" ref="AX65" ca="1">IF($AK65="","",_xlfn.LET(_xlpm.auto,AND(MOD(ROW()-4,6)=0,$AM65&lt;&gt;0,SUMPRODUCT(--(OFFSET($AM65,1,0,5,1)&lt;&gt;0))=0),_xlpm.oppA,_xlfn.XLOOKUP($AK65,$H$4:$H$18,$J$4:$J$18,""),_xlpm.oppRuns,IF($AL65=_xlpm.oppA,_xlfn.XLOOKUP($AK65,$H$4:$H$18,$O$4:$O$18,""),_xlfn.XLOOKUP($AK65,$H$4:$H$18,$N$4:$N$18,"")),IF(_xlpm.auto,--(_xlpm.oppRuns=0),Scorebook!M267)))</f>
        <v>0</v>
      </c>
      <c r="AY65" s="5" cm="1">
        <f t="array" aca="1" ref="AY65" ca="1">IF($AK65="","",_xlfn.LET(_xlpm.auto,AND(MOD(ROW()-4,6)=0,$AM65&lt;&gt;0,SUMPRODUCT(--(OFFSET($AM65,1,0,5,1)&lt;&gt;0))=0),IF(_xlpm.auto,1,Scorebook!N267)))</f>
        <v>0</v>
      </c>
      <c r="AZ65" s="10"/>
      <c r="BA65" s="10"/>
      <c r="BB65" s="5">
        <f>Settings!$B$2</f>
        <v>1</v>
      </c>
      <c r="BC65" s="5">
        <f>Betting!A67</f>
        <v>0</v>
      </c>
      <c r="BD65" s="5">
        <f>Betting!B67</f>
        <v>0</v>
      </c>
      <c r="BE65" s="5">
        <f>Betting!C67</f>
        <v>0</v>
      </c>
      <c r="BF65" s="5">
        <f>Betting!D67</f>
        <v>0</v>
      </c>
      <c r="BG65" s="5">
        <f>Betting!E67</f>
        <v>0</v>
      </c>
      <c r="BH65" s="5">
        <f>Betting!F67</f>
        <v>0</v>
      </c>
      <c r="BI65" s="4">
        <f>Betting!G67</f>
        <v>0</v>
      </c>
      <c r="BJ65" s="4">
        <f>Betting!H67</f>
        <v>0</v>
      </c>
    </row>
    <row r="66" spans="1:62">
      <c r="A66" s="4">
        <f>ROW()-3</f>
        <v>63</v>
      </c>
      <c r="B66" s="4">
        <f>IF(A66="","",ROUNDUP(A66/Settings!$B$3,0))</f>
        <v>11</v>
      </c>
      <c r="C66" s="5" t="str">
        <f>IF(Draft!$A$68="","",Draft!$D$68)</f>
        <v/>
      </c>
      <c r="D66" s="5" t="str">
        <f>IF(Draft!$E$68="","",Draft!$E$68)</f>
        <v/>
      </c>
      <c r="E66" s="5">
        <f>Settings!$B$2</f>
        <v>1</v>
      </c>
      <c r="F66" s="5" t="b">
        <f>AND(C66&lt;&gt;"",D66&lt;&gt;"")</f>
        <v>0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4" t="str">
        <f ca="1">Scorebook!$F$149</f>
        <v>G4</v>
      </c>
      <c r="T66" s="5" t="str">
        <f ca="1">Scorebook!$N$149</f>
        <v>Jason</v>
      </c>
      <c r="U66" s="5" t="str">
        <f ca="1">Scorebook!$B$164</f>
        <v>Baby Daisy</v>
      </c>
      <c r="V66" s="4">
        <v>9</v>
      </c>
      <c r="W66" s="5">
        <f ca="1">Scorebook!M164</f>
        <v>1</v>
      </c>
      <c r="X66" s="5">
        <f ca="1">Scorebook!N164</f>
        <v>0</v>
      </c>
      <c r="Y66" s="5">
        <f ca="1">Scorebook!O164</f>
        <v>1</v>
      </c>
      <c r="Z66" s="5">
        <f ca="1">Scorebook!P164</f>
        <v>1</v>
      </c>
      <c r="AA66" s="5">
        <f ca="1">Scorebook!Q164</f>
        <v>0</v>
      </c>
      <c r="AB66" s="5">
        <f ca="1">Scorebook!R164</f>
        <v>0</v>
      </c>
      <c r="AC66" s="5">
        <f ca="1">Scorebook!S164</f>
        <v>0</v>
      </c>
      <c r="AD66" s="5">
        <f ca="1">Scorebook!T164</f>
        <v>0</v>
      </c>
      <c r="AE66" s="5">
        <f ca="1">Scorebook!U164</f>
        <v>0</v>
      </c>
      <c r="AF66" s="5">
        <f ca="1">Scorebook!V164</f>
        <v>0</v>
      </c>
      <c r="AG66" s="5">
        <f ca="1">Scorebook!W164</f>
        <v>0</v>
      </c>
      <c r="AH66" s="5">
        <f ca="1">Scorebook!X164</f>
        <v>0</v>
      </c>
      <c r="AI66" s="5">
        <f>Settings!$B$2</f>
        <v>1</v>
      </c>
      <c r="AJ66" s="18">
        <f ca="1">IF($AK66="","",Scorebook!$O$268)</f>
      </c>
      <c r="AK66" s="4" t="str">
        <f ca="1">Scorebook!$F$247</f>
        <v>G6</v>
      </c>
      <c r="AL66" s="5" t="str">
        <f ca="1">Scorebook!$N$247</f>
        <v>Aidan</v>
      </c>
      <c r="AM66" s="5" t="str">
        <f>Scorebook!$B$268</f>
      </c>
      <c r="AN66" s="5">
        <f ca="1">IF(Scorebook!C268="","",INT(Scorebook!C268)+MOD(ROUND(Scorebook!C268*10,0),10)/3)</f>
      </c>
      <c r="AO66" s="5" cm="1">
        <f t="array" aca="1" ref="AO66" ca="1">IF($AK66="","",_xlfn.LET(_xlpm.auto,AND(MOD(ROW()-4,6)=0,$AM66&lt;&gt;0,SUMPRODUCT(--(OFFSET($AM66,1,0,5,1)&lt;&gt;0))=0),_xlpm.oppA,_xlfn.XLOOKUP($AK66,$H$4:$H$18,$J$4:$J$18,""),_xlpm.oppB,_xlfn.XLOOKUP($AK66,$H$4:$H$18,$K$4:$K$18,""),_xlpm.opp,IF($AL66=_xlpm.oppA,_xlpm.oppB,_xlpm.oppA),IF(_xlpm.auto,SUMIFS($Y$4:$Y$273,$S$4:$S$273,$AK66,$T$4:$T$273,_xlpm.opp),Scorebook!D268)))</f>
      </c>
      <c r="AP66" s="5" cm="1">
        <f t="array" aca="1" ref="AP66" ca="1">IF($AK66="","",_xlfn.LET(_xlpm.auto,AND(MOD(ROW()-4,6)=0,$AM66&lt;&gt;0,SUMPRODUCT(--(OFFSET($AM66,1,0,5,1)&lt;&gt;0))=0),_xlpm.oppA,_xlfn.XLOOKUP($AK66,$H$4:$H$18,$J$4:$J$18,""),_xlpm.oppRuns,IF($AL66=_xlpm.oppA,_xlfn.XLOOKUP($AK66,$H$4:$H$18,$O$4:$O$18,""),_xlfn.XLOOKUP($AK66,$H$4:$H$18,$N$4:$N$18,"")),IF(_xlpm.auto,_xlpm.oppRuns,Scorebook!E268)))</f>
      </c>
      <c r="AQ66" s="5">
        <f ca="1">Scorebook!F268</f>
      </c>
      <c r="AR66" s="5" cm="1">
        <f t="array" aca="1" ref="AR66" ca="1">IF($AK66="","",_xlfn.LET(_xlpm.auto,AND(MOD(ROW()-4,6)=0,$AM66&lt;&gt;0,SUMPRODUCT(--(OFFSET($AM66,1,0,5,1)&lt;&gt;0))=0),_xlpm.oppA,_xlfn.XLOOKUP($AK66,$H$4:$H$18,$J$4:$J$18,""),_xlpm.oppB,_xlfn.XLOOKUP($AK66,$H$4:$H$18,$K$4:$K$18,""),_xlpm.opp,IF($AL66=_xlpm.oppA,_xlpm.oppB,_xlpm.oppA),IF(_xlpm.auto,SUMIFS($AD$4:$AD$273,$S$4:$S$273,$AK66,$T$4:$T$273,_xlpm.opp),Scorebook!G268)))</f>
      </c>
      <c r="AS66" s="5" cm="1">
        <f t="array" aca="1" ref="AS66" ca="1">IF($AK66="","",_xlfn.LET(_xlpm.auto,AND(MOD(ROW()-4,6)=0,$AM66&lt;&gt;0,SUMPRODUCT(--(OFFSET($AM66,1,0,5,1)&lt;&gt;0))=0),_xlpm.oppA,_xlfn.XLOOKUP($AK66,$H$4:$H$18,$J$4:$J$18,""),_xlpm.oppB,_xlfn.XLOOKUP($AK66,$H$4:$H$18,$K$4:$K$18,""),_xlpm.opp,IF($AL66=_xlpm.oppA,_xlpm.oppB,_xlpm.oppA),IF(_xlpm.auto,SUMIFS($AE$4:$AE$273,$S$4:$S$273,$AK66,$T$4:$T$273,_xlpm.opp),Scorebook!H268)))</f>
      </c>
      <c r="AT66" s="5" cm="1">
        <f t="array" aca="1" ref="AT66" ca="1">IF($AK66="","",_xlfn.LET(_xlpm.auto,AND(MOD(ROW()-4,6)=0,$AM66&lt;&gt;0,SUMPRODUCT(--(OFFSET($AM66,1,0,5,1)&lt;&gt;0))=0),_xlpm.oppA,_xlfn.XLOOKUP($AK66,$H$4:$H$18,$J$4:$J$18,""),_xlpm.oppB,_xlfn.XLOOKUP($AK66,$H$4:$H$18,$K$4:$K$18,""),_xlpm.opp,IF($AL66=_xlpm.oppA,_xlpm.oppB,_xlpm.oppA),IF(_xlpm.auto,SUMIFS($AB$4:$AB$273,$S$4:$S$273,$AK66,$T$4:$T$273,_xlpm.opp),Scorebook!I268)))</f>
      </c>
      <c r="AU66" s="5" cm="1">
        <f t="array" aca="1" ref="AU66" ca="1">IF($AK66="","",_xlfn.LET(_xlpm.auto,AND(MOD(ROW()-4,6)=0,$AM66&lt;&gt;0,SUMPRODUCT(--(OFFSET($AM66,1,0,5,1)&lt;&gt;0))=0),_xlpm.winner,_xlfn.XLOOKUP($AK66,$H$4:$H$18,$L$4:$L$18,""),IF(_xlpm.auto,--($AL66=_xlpm.winner),Scorebook!J268)))</f>
      </c>
      <c r="AV66" s="5" cm="1">
        <f t="array" aca="1" ref="AV66" ca="1">IF($AK66="","",_xlfn.LET(_xlpm.auto,AND(MOD(ROW()-4,6)=0,$AM66&lt;&gt;0,SUMPRODUCT(--(OFFSET($AM66,1,0,5,1)&lt;&gt;0))=0),_xlpm.loser,_xlfn.XLOOKUP($AK66,$H$4:$H$18,$M$4:$M$18,""),IF(_xlpm.auto,--($AL66=_xlpm.loser),Scorebook!K268)))</f>
      </c>
      <c r="AW66" s="5">
        <f ca="1">Scorebook!L268</f>
      </c>
      <c r="AX66" s="5" cm="1">
        <f t="array" aca="1" ref="AX66" ca="1">IF($AK66="","",_xlfn.LET(_xlpm.auto,AND(MOD(ROW()-4,6)=0,$AM66&lt;&gt;0,SUMPRODUCT(--(OFFSET($AM66,1,0,5,1)&lt;&gt;0))=0),_xlpm.oppA,_xlfn.XLOOKUP($AK66,$H$4:$H$18,$J$4:$J$18,""),_xlpm.oppRuns,IF($AL66=_xlpm.oppA,_xlfn.XLOOKUP($AK66,$H$4:$H$18,$O$4:$O$18,""),_xlfn.XLOOKUP($AK66,$H$4:$H$18,$N$4:$N$18,"")),IF(_xlpm.auto,--(_xlpm.oppRuns=0),Scorebook!M268)))</f>
      </c>
      <c r="AY66" s="5" cm="1">
        <f t="array" aca="1" ref="AY66" ca="1">IF($AK66="","",_xlfn.LET(_xlpm.auto,AND(MOD(ROW()-4,6)=0,$AM66&lt;&gt;0,SUMPRODUCT(--(OFFSET($AM66,1,0,5,1)&lt;&gt;0))=0),IF(_xlpm.auto,1,Scorebook!N268)))</f>
      </c>
      <c r="AZ66" s="10"/>
      <c r="BA66" s="10"/>
      <c r="BB66" s="5">
        <f>Settings!$B$2</f>
        <v>1</v>
      </c>
      <c r="BC66" s="5">
        <f>Betting!A68</f>
        <v>0</v>
      </c>
      <c r="BD66" s="5">
        <f>Betting!B68</f>
        <v>0</v>
      </c>
      <c r="BE66" s="5">
        <f>Betting!C68</f>
        <v>0</v>
      </c>
      <c r="BF66" s="5">
        <f>Betting!D68</f>
        <v>0</v>
      </c>
      <c r="BG66" s="5">
        <f>Betting!E68</f>
        <v>0</v>
      </c>
      <c r="BH66" s="5">
        <f>Betting!F68</f>
        <v>0</v>
      </c>
      <c r="BI66" s="4">
        <f>Betting!G68</f>
        <v>0</v>
      </c>
      <c r="BJ66" s="4">
        <f>Betting!H68</f>
        <v>0</v>
      </c>
    </row>
    <row r="67" spans="1:62">
      <c r="A67" s="4">
        <f>ROW()-3</f>
        <v>64</v>
      </c>
      <c r="B67" s="4">
        <f>IF(A67="","",ROUNDUP(A67/Settings!$B$3,0))</f>
        <v>11</v>
      </c>
      <c r="C67" s="5" t="str">
        <f>IF(Draft!$A$69="","",Draft!$D$69)</f>
        <v/>
      </c>
      <c r="D67" s="5" t="str">
        <f>IF(Draft!$E$69="","",Draft!$E$69)</f>
        <v/>
      </c>
      <c r="E67" s="5">
        <f>Settings!$B$2</f>
        <v>1</v>
      </c>
      <c r="F67" s="5" t="b">
        <f>AND(C67&lt;&gt;"",D67&lt;&gt;"")</f>
        <v>0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4" t="str">
        <f ca="1">Scorebook!$F$149</f>
        <v>G4</v>
      </c>
      <c r="T67" s="5" t="str">
        <f ca="1">Scorebook!$R$149</f>
        <v>Aidan</v>
      </c>
      <c r="U67" s="5" t="str">
        <f ca="1">Scorebook!$B$177</f>
        <v>Blue Kritter</v>
      </c>
      <c r="V67" s="4">
        <v>1</v>
      </c>
      <c r="W67" s="5">
        <f ca="1">Scorebook!M177</f>
        <v>2</v>
      </c>
      <c r="X67" s="5">
        <f ca="1">Scorebook!N177</f>
        <v>0</v>
      </c>
      <c r="Y67" s="5">
        <f ca="1">Scorebook!O177</f>
        <v>0</v>
      </c>
      <c r="Z67" s="5">
        <f ca="1">Scorebook!P177</f>
        <v>0</v>
      </c>
      <c r="AA67" s="5">
        <f ca="1">Scorebook!Q177</f>
        <v>0</v>
      </c>
      <c r="AB67" s="5">
        <f ca="1">Scorebook!R177</f>
        <v>0</v>
      </c>
      <c r="AC67" s="5">
        <f ca="1">Scorebook!S177</f>
        <v>0</v>
      </c>
      <c r="AD67" s="5">
        <f ca="1">Scorebook!T177</f>
        <v>0</v>
      </c>
      <c r="AE67" s="5">
        <f ca="1">Scorebook!U177</f>
        <v>1</v>
      </c>
      <c r="AF67" s="5">
        <f ca="1">Scorebook!V177</f>
        <v>0</v>
      </c>
      <c r="AG67" s="5">
        <f ca="1">Scorebook!W177</f>
        <v>0</v>
      </c>
      <c r="AH67" s="5">
        <f ca="1">Scorebook!X177</f>
        <v>0</v>
      </c>
      <c r="AI67" s="5">
        <f>Settings!$B$2</f>
        <v>1</v>
      </c>
      <c r="AJ67" s="18">
        <f ca="1">IF($AK67="","",Scorebook!$O$269)</f>
      </c>
      <c r="AK67" s="4" t="str">
        <f ca="1">Scorebook!$F$247</f>
        <v>G6</v>
      </c>
      <c r="AL67" s="5" t="str">
        <f ca="1">Scorebook!$N$247</f>
        <v>Aidan</v>
      </c>
      <c r="AM67" s="5" t="str">
        <f>Scorebook!$B$269</f>
      </c>
      <c r="AN67" s="5">
        <f ca="1">IF(Scorebook!C269="","",INT(Scorebook!C269)+MOD(ROUND(Scorebook!C269*10,0),10)/3)</f>
      </c>
      <c r="AO67" s="5" cm="1">
        <f t="array" aca="1" ref="AO67" ca="1">IF($AK67="","",_xlfn.LET(_xlpm.auto,AND(MOD(ROW()-4,6)=0,$AM67&lt;&gt;0,SUMPRODUCT(--(OFFSET($AM67,1,0,5,1)&lt;&gt;0))=0),_xlpm.oppA,_xlfn.XLOOKUP($AK67,$H$4:$H$18,$J$4:$J$18,""),_xlpm.oppB,_xlfn.XLOOKUP($AK67,$H$4:$H$18,$K$4:$K$18,""),_xlpm.opp,IF($AL67=_xlpm.oppA,_xlpm.oppB,_xlpm.oppA),IF(_xlpm.auto,SUMIFS($Y$4:$Y$273,$S$4:$S$273,$AK67,$T$4:$T$273,_xlpm.opp),Scorebook!D269)))</f>
      </c>
      <c r="AP67" s="5" cm="1">
        <f t="array" aca="1" ref="AP67" ca="1">IF($AK67="","",_xlfn.LET(_xlpm.auto,AND(MOD(ROW()-4,6)=0,$AM67&lt;&gt;0,SUMPRODUCT(--(OFFSET($AM67,1,0,5,1)&lt;&gt;0))=0),_xlpm.oppA,_xlfn.XLOOKUP($AK67,$H$4:$H$18,$J$4:$J$18,""),_xlpm.oppRuns,IF($AL67=_xlpm.oppA,_xlfn.XLOOKUP($AK67,$H$4:$H$18,$O$4:$O$18,""),_xlfn.XLOOKUP($AK67,$H$4:$H$18,$N$4:$N$18,"")),IF(_xlpm.auto,_xlpm.oppRuns,Scorebook!E269)))</f>
      </c>
      <c r="AQ67" s="5">
        <f ca="1">Scorebook!F269</f>
      </c>
      <c r="AR67" s="5" cm="1">
        <f t="array" aca="1" ref="AR67" ca="1">IF($AK67="","",_xlfn.LET(_xlpm.auto,AND(MOD(ROW()-4,6)=0,$AM67&lt;&gt;0,SUMPRODUCT(--(OFFSET($AM67,1,0,5,1)&lt;&gt;0))=0),_xlpm.oppA,_xlfn.XLOOKUP($AK67,$H$4:$H$18,$J$4:$J$18,""),_xlpm.oppB,_xlfn.XLOOKUP($AK67,$H$4:$H$18,$K$4:$K$18,""),_xlpm.opp,IF($AL67=_xlpm.oppA,_xlpm.oppB,_xlpm.oppA),IF(_xlpm.auto,SUMIFS($AD$4:$AD$273,$S$4:$S$273,$AK67,$T$4:$T$273,_xlpm.opp),Scorebook!G269)))</f>
      </c>
      <c r="AS67" s="5" cm="1">
        <f t="array" aca="1" ref="AS67" ca="1">IF($AK67="","",_xlfn.LET(_xlpm.auto,AND(MOD(ROW()-4,6)=0,$AM67&lt;&gt;0,SUMPRODUCT(--(OFFSET($AM67,1,0,5,1)&lt;&gt;0))=0),_xlpm.oppA,_xlfn.XLOOKUP($AK67,$H$4:$H$18,$J$4:$J$18,""),_xlpm.oppB,_xlfn.XLOOKUP($AK67,$H$4:$H$18,$K$4:$K$18,""),_xlpm.opp,IF($AL67=_xlpm.oppA,_xlpm.oppB,_xlpm.oppA),IF(_xlpm.auto,SUMIFS($AE$4:$AE$273,$S$4:$S$273,$AK67,$T$4:$T$273,_xlpm.opp),Scorebook!H269)))</f>
      </c>
      <c r="AT67" s="5" cm="1">
        <f t="array" aca="1" ref="AT67" ca="1">IF($AK67="","",_xlfn.LET(_xlpm.auto,AND(MOD(ROW()-4,6)=0,$AM67&lt;&gt;0,SUMPRODUCT(--(OFFSET($AM67,1,0,5,1)&lt;&gt;0))=0),_xlpm.oppA,_xlfn.XLOOKUP($AK67,$H$4:$H$18,$J$4:$J$18,""),_xlpm.oppB,_xlfn.XLOOKUP($AK67,$H$4:$H$18,$K$4:$K$18,""),_xlpm.opp,IF($AL67=_xlpm.oppA,_xlpm.oppB,_xlpm.oppA),IF(_xlpm.auto,SUMIFS($AB$4:$AB$273,$S$4:$S$273,$AK67,$T$4:$T$273,_xlpm.opp),Scorebook!I269)))</f>
      </c>
      <c r="AU67" s="5" cm="1">
        <f t="array" aca="1" ref="AU67" ca="1">IF($AK67="","",_xlfn.LET(_xlpm.auto,AND(MOD(ROW()-4,6)=0,$AM67&lt;&gt;0,SUMPRODUCT(--(OFFSET($AM67,1,0,5,1)&lt;&gt;0))=0),_xlpm.winner,_xlfn.XLOOKUP($AK67,$H$4:$H$18,$L$4:$L$18,""),IF(_xlpm.auto,--($AL67=_xlpm.winner),Scorebook!J269)))</f>
      </c>
      <c r="AV67" s="5" cm="1">
        <f t="array" aca="1" ref="AV67" ca="1">IF($AK67="","",_xlfn.LET(_xlpm.auto,AND(MOD(ROW()-4,6)=0,$AM67&lt;&gt;0,SUMPRODUCT(--(OFFSET($AM67,1,0,5,1)&lt;&gt;0))=0),_xlpm.loser,_xlfn.XLOOKUP($AK67,$H$4:$H$18,$M$4:$M$18,""),IF(_xlpm.auto,--($AL67=_xlpm.loser),Scorebook!K269)))</f>
      </c>
      <c r="AW67" s="5">
        <f ca="1">Scorebook!L269</f>
      </c>
      <c r="AX67" s="5" cm="1">
        <f t="array" aca="1" ref="AX67" ca="1">IF($AK67="","",_xlfn.LET(_xlpm.auto,AND(MOD(ROW()-4,6)=0,$AM67&lt;&gt;0,SUMPRODUCT(--(OFFSET($AM67,1,0,5,1)&lt;&gt;0))=0),_xlpm.oppA,_xlfn.XLOOKUP($AK67,$H$4:$H$18,$J$4:$J$18,""),_xlpm.oppRuns,IF($AL67=_xlpm.oppA,_xlfn.XLOOKUP($AK67,$H$4:$H$18,$O$4:$O$18,""),_xlfn.XLOOKUP($AK67,$H$4:$H$18,$N$4:$N$18,"")),IF(_xlpm.auto,--(_xlpm.oppRuns=0),Scorebook!M269)))</f>
      </c>
      <c r="AY67" s="5" cm="1">
        <f t="array" aca="1" ref="AY67" ca="1">IF($AK67="","",_xlfn.LET(_xlpm.auto,AND(MOD(ROW()-4,6)=0,$AM67&lt;&gt;0,SUMPRODUCT(--(OFFSET($AM67,1,0,5,1)&lt;&gt;0))=0),IF(_xlpm.auto,1,Scorebook!N269)))</f>
      </c>
      <c r="AZ67" s="10"/>
      <c r="BA67" s="10"/>
      <c r="BB67" s="5">
        <f>Settings!$B$2</f>
        <v>1</v>
      </c>
      <c r="BC67" s="5">
        <f>Betting!A69</f>
        <v>0</v>
      </c>
      <c r="BD67" s="5">
        <f>Betting!B69</f>
        <v>0</v>
      </c>
      <c r="BE67" s="5">
        <f>Betting!C69</f>
        <v>0</v>
      </c>
      <c r="BF67" s="5">
        <f>Betting!D69</f>
        <v>0</v>
      </c>
      <c r="BG67" s="5">
        <f>Betting!E69</f>
        <v>0</v>
      </c>
      <c r="BH67" s="5">
        <f>Betting!F69</f>
        <v>0</v>
      </c>
      <c r="BI67" s="4">
        <f>Betting!G69</f>
        <v>0</v>
      </c>
      <c r="BJ67" s="4">
        <f>Betting!H69</f>
        <v>0</v>
      </c>
    </row>
    <row r="68" spans="1:62">
      <c r="A68" s="4">
        <f>ROW()-3</f>
        <v>65</v>
      </c>
      <c r="B68" s="4">
        <f>IF(A68="","",ROUNDUP(A68/Settings!$B$3,0))</f>
        <v>11</v>
      </c>
      <c r="C68" s="5" t="str">
        <f>IF(Draft!$A$70="","",Draft!$D$70)</f>
        <v/>
      </c>
      <c r="D68" s="5" t="str">
        <f>IF(Draft!$E$70="","",Draft!$E$70)</f>
        <v/>
      </c>
      <c r="E68" s="5">
        <f>Settings!$B$2</f>
        <v>1</v>
      </c>
      <c r="F68" s="5" t="b">
        <f>AND(C68&lt;&gt;"",D68&lt;&gt;"")</f>
        <v>0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4" t="str">
        <f ca="1">Scorebook!$F$149</f>
        <v>G4</v>
      </c>
      <c r="T68" s="5" t="str">
        <f ca="1">Scorebook!$R$149</f>
        <v>Aidan</v>
      </c>
      <c r="U68" s="5" t="str">
        <f ca="1">Scorebook!$B$178</f>
        <v>Mario</v>
      </c>
      <c r="V68" s="4">
        <v>2</v>
      </c>
      <c r="W68" s="5">
        <f ca="1">Scorebook!M178</f>
        <v>2</v>
      </c>
      <c r="X68" s="5">
        <f ca="1">Scorebook!N178</f>
        <v>0</v>
      </c>
      <c r="Y68" s="5">
        <f ca="1">Scorebook!O178</f>
        <v>0</v>
      </c>
      <c r="Z68" s="5">
        <f ca="1">Scorebook!P178</f>
        <v>0</v>
      </c>
      <c r="AA68" s="5">
        <f ca="1">Scorebook!Q178</f>
        <v>0</v>
      </c>
      <c r="AB68" s="5">
        <f ca="1">Scorebook!R178</f>
        <v>0</v>
      </c>
      <c r="AC68" s="5">
        <f ca="1">Scorebook!S178</f>
        <v>0</v>
      </c>
      <c r="AD68" s="5">
        <f ca="1">Scorebook!T178</f>
        <v>0</v>
      </c>
      <c r="AE68" s="5">
        <f ca="1">Scorebook!U178</f>
        <v>1</v>
      </c>
      <c r="AF68" s="5">
        <f ca="1">Scorebook!V178</f>
        <v>0</v>
      </c>
      <c r="AG68" s="5">
        <f ca="1">Scorebook!W178</f>
        <v>0</v>
      </c>
      <c r="AH68" s="5">
        <f ca="1">Scorebook!X178</f>
        <v>0</v>
      </c>
      <c r="AI68" s="5">
        <f>Settings!$B$2</f>
        <v>1</v>
      </c>
      <c r="AJ68" s="18">
        <f ca="1">IF($AK68="","",Scorebook!$O$270)</f>
      </c>
      <c r="AK68" s="4" t="str">
        <f ca="1">Scorebook!$F$247</f>
        <v>G6</v>
      </c>
      <c r="AL68" s="5" t="str">
        <f ca="1">Scorebook!$N$247</f>
        <v>Aidan</v>
      </c>
      <c r="AM68" s="5" t="str">
        <f>Scorebook!$B$270</f>
      </c>
      <c r="AN68" s="5">
        <f ca="1">IF(Scorebook!C270="","",INT(Scorebook!C270)+MOD(ROUND(Scorebook!C270*10,0),10)/3)</f>
      </c>
      <c r="AO68" s="5" cm="1">
        <f t="array" aca="1" ref="AO68" ca="1">IF($AK68="","",_xlfn.LET(_xlpm.auto,AND(MOD(ROW()-4,6)=0,$AM68&lt;&gt;0,SUMPRODUCT(--(OFFSET($AM68,1,0,5,1)&lt;&gt;0))=0),_xlpm.oppA,_xlfn.XLOOKUP($AK68,$H$4:$H$18,$J$4:$J$18,""),_xlpm.oppB,_xlfn.XLOOKUP($AK68,$H$4:$H$18,$K$4:$K$18,""),_xlpm.opp,IF($AL68=_xlpm.oppA,_xlpm.oppB,_xlpm.oppA),IF(_xlpm.auto,SUMIFS($Y$4:$Y$273,$S$4:$S$273,$AK68,$T$4:$T$273,_xlpm.opp),Scorebook!D270)))</f>
      </c>
      <c r="AP68" s="5" cm="1">
        <f t="array" aca="1" ref="AP68" ca="1">IF($AK68="","",_xlfn.LET(_xlpm.auto,AND(MOD(ROW()-4,6)=0,$AM68&lt;&gt;0,SUMPRODUCT(--(OFFSET($AM68,1,0,5,1)&lt;&gt;0))=0),_xlpm.oppA,_xlfn.XLOOKUP($AK68,$H$4:$H$18,$J$4:$J$18,""),_xlpm.oppRuns,IF($AL68=_xlpm.oppA,_xlfn.XLOOKUP($AK68,$H$4:$H$18,$O$4:$O$18,""),_xlfn.XLOOKUP($AK68,$H$4:$H$18,$N$4:$N$18,"")),IF(_xlpm.auto,_xlpm.oppRuns,Scorebook!E270)))</f>
      </c>
      <c r="AQ68" s="5">
        <f ca="1">Scorebook!F270</f>
      </c>
      <c r="AR68" s="5" cm="1">
        <f t="array" aca="1" ref="AR68" ca="1">IF($AK68="","",_xlfn.LET(_xlpm.auto,AND(MOD(ROW()-4,6)=0,$AM68&lt;&gt;0,SUMPRODUCT(--(OFFSET($AM68,1,0,5,1)&lt;&gt;0))=0),_xlpm.oppA,_xlfn.XLOOKUP($AK68,$H$4:$H$18,$J$4:$J$18,""),_xlpm.oppB,_xlfn.XLOOKUP($AK68,$H$4:$H$18,$K$4:$K$18,""),_xlpm.opp,IF($AL68=_xlpm.oppA,_xlpm.oppB,_xlpm.oppA),IF(_xlpm.auto,SUMIFS($AD$4:$AD$273,$S$4:$S$273,$AK68,$T$4:$T$273,_xlpm.opp),Scorebook!G270)))</f>
      </c>
      <c r="AS68" s="5" cm="1">
        <f t="array" aca="1" ref="AS68" ca="1">IF($AK68="","",_xlfn.LET(_xlpm.auto,AND(MOD(ROW()-4,6)=0,$AM68&lt;&gt;0,SUMPRODUCT(--(OFFSET($AM68,1,0,5,1)&lt;&gt;0))=0),_xlpm.oppA,_xlfn.XLOOKUP($AK68,$H$4:$H$18,$J$4:$J$18,""),_xlpm.oppB,_xlfn.XLOOKUP($AK68,$H$4:$H$18,$K$4:$K$18,""),_xlpm.opp,IF($AL68=_xlpm.oppA,_xlpm.oppB,_xlpm.oppA),IF(_xlpm.auto,SUMIFS($AE$4:$AE$273,$S$4:$S$273,$AK68,$T$4:$T$273,_xlpm.opp),Scorebook!H270)))</f>
      </c>
      <c r="AT68" s="5" cm="1">
        <f t="array" aca="1" ref="AT68" ca="1">IF($AK68="","",_xlfn.LET(_xlpm.auto,AND(MOD(ROW()-4,6)=0,$AM68&lt;&gt;0,SUMPRODUCT(--(OFFSET($AM68,1,0,5,1)&lt;&gt;0))=0),_xlpm.oppA,_xlfn.XLOOKUP($AK68,$H$4:$H$18,$J$4:$J$18,""),_xlpm.oppB,_xlfn.XLOOKUP($AK68,$H$4:$H$18,$K$4:$K$18,""),_xlpm.opp,IF($AL68=_xlpm.oppA,_xlpm.oppB,_xlpm.oppA),IF(_xlpm.auto,SUMIFS($AB$4:$AB$273,$S$4:$S$273,$AK68,$T$4:$T$273,_xlpm.opp),Scorebook!I270)))</f>
      </c>
      <c r="AU68" s="5" cm="1">
        <f t="array" aca="1" ref="AU68" ca="1">IF($AK68="","",_xlfn.LET(_xlpm.auto,AND(MOD(ROW()-4,6)=0,$AM68&lt;&gt;0,SUMPRODUCT(--(OFFSET($AM68,1,0,5,1)&lt;&gt;0))=0),_xlpm.winner,_xlfn.XLOOKUP($AK68,$H$4:$H$18,$L$4:$L$18,""),IF(_xlpm.auto,--($AL68=_xlpm.winner),Scorebook!J270)))</f>
      </c>
      <c r="AV68" s="5" cm="1">
        <f t="array" aca="1" ref="AV68" ca="1">IF($AK68="","",_xlfn.LET(_xlpm.auto,AND(MOD(ROW()-4,6)=0,$AM68&lt;&gt;0,SUMPRODUCT(--(OFFSET($AM68,1,0,5,1)&lt;&gt;0))=0),_xlpm.loser,_xlfn.XLOOKUP($AK68,$H$4:$H$18,$M$4:$M$18,""),IF(_xlpm.auto,--($AL68=_xlpm.loser),Scorebook!K270)))</f>
      </c>
      <c r="AW68" s="5">
        <f ca="1">Scorebook!L270</f>
      </c>
      <c r="AX68" s="5" cm="1">
        <f t="array" aca="1" ref="AX68" ca="1">IF($AK68="","",_xlfn.LET(_xlpm.auto,AND(MOD(ROW()-4,6)=0,$AM68&lt;&gt;0,SUMPRODUCT(--(OFFSET($AM68,1,0,5,1)&lt;&gt;0))=0),_xlpm.oppA,_xlfn.XLOOKUP($AK68,$H$4:$H$18,$J$4:$J$18,""),_xlpm.oppRuns,IF($AL68=_xlpm.oppA,_xlfn.XLOOKUP($AK68,$H$4:$H$18,$O$4:$O$18,""),_xlfn.XLOOKUP($AK68,$H$4:$H$18,$N$4:$N$18,"")),IF(_xlpm.auto,--(_xlpm.oppRuns=0),Scorebook!M270)))</f>
      </c>
      <c r="AY68" s="5" cm="1">
        <f t="array" aca="1" ref="AY68" ca="1">IF($AK68="","",_xlfn.LET(_xlpm.auto,AND(MOD(ROW()-4,6)=0,$AM68&lt;&gt;0,SUMPRODUCT(--(OFFSET($AM68,1,0,5,1)&lt;&gt;0))=0),IF(_xlpm.auto,1,Scorebook!N270)))</f>
      </c>
      <c r="AZ68" s="10"/>
      <c r="BA68" s="10"/>
      <c r="BB68" s="5">
        <f>Settings!$B$2</f>
        <v>1</v>
      </c>
      <c r="BC68" s="5">
        <f>Betting!A70</f>
        <v>0</v>
      </c>
      <c r="BD68" s="5">
        <f>Betting!B70</f>
        <v>0</v>
      </c>
      <c r="BE68" s="5">
        <f>Betting!C70</f>
        <v>0</v>
      </c>
      <c r="BF68" s="5">
        <f>Betting!D70</f>
        <v>0</v>
      </c>
      <c r="BG68" s="5">
        <f>Betting!E70</f>
        <v>0</v>
      </c>
      <c r="BH68" s="5">
        <f>Betting!F70</f>
        <v>0</v>
      </c>
      <c r="BI68" s="4">
        <f>Betting!G70</f>
        <v>0</v>
      </c>
      <c r="BJ68" s="4">
        <f>Betting!H70</f>
        <v>0</v>
      </c>
    </row>
    <row r="69" spans="1:62">
      <c r="A69" s="4">
        <f>ROW()-3</f>
        <v>66</v>
      </c>
      <c r="B69" s="4">
        <f>IF(A69="","",ROUNDUP(A69/Settings!$B$3,0))</f>
        <v>11</v>
      </c>
      <c r="C69" s="5" t="str">
        <f>IF(Draft!$A$71="","",Draft!$D$71)</f>
        <v/>
      </c>
      <c r="D69" s="5" t="str">
        <f>IF(Draft!$E$71="","",Draft!$E$71)</f>
        <v/>
      </c>
      <c r="E69" s="5">
        <f>Settings!$B$2</f>
        <v>1</v>
      </c>
      <c r="F69" s="5" t="b">
        <f>AND(C69&lt;&gt;"",D69&lt;&gt;"")</f>
        <v>0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4" t="str">
        <f ca="1">Scorebook!$F$149</f>
        <v>G4</v>
      </c>
      <c r="T69" s="5" t="str">
        <f ca="1">Scorebook!$R$149</f>
        <v>Aidan</v>
      </c>
      <c r="U69" s="5" t="str">
        <f ca="1">Scorebook!$B$179</f>
        <v>Luigi</v>
      </c>
      <c r="V69" s="4">
        <v>3</v>
      </c>
      <c r="W69" s="5">
        <f ca="1">Scorebook!M179</f>
        <v>2</v>
      </c>
      <c r="X69" s="5">
        <f ca="1">Scorebook!N179</f>
        <v>0</v>
      </c>
      <c r="Y69" s="5">
        <f ca="1">Scorebook!O179</f>
        <v>0</v>
      </c>
      <c r="Z69" s="5">
        <f ca="1">Scorebook!P179</f>
        <v>0</v>
      </c>
      <c r="AA69" s="5">
        <f ca="1">Scorebook!Q179</f>
        <v>0</v>
      </c>
      <c r="AB69" s="5">
        <f ca="1">Scorebook!R179</f>
        <v>0</v>
      </c>
      <c r="AC69" s="5">
        <f ca="1">Scorebook!S179</f>
        <v>0</v>
      </c>
      <c r="AD69" s="5">
        <f ca="1">Scorebook!T179</f>
        <v>0</v>
      </c>
      <c r="AE69" s="5">
        <f ca="1">Scorebook!U179</f>
        <v>1</v>
      </c>
      <c r="AF69" s="5">
        <f ca="1">Scorebook!V179</f>
        <v>0</v>
      </c>
      <c r="AG69" s="5">
        <f ca="1">Scorebook!W179</f>
        <v>0</v>
      </c>
      <c r="AH69" s="5">
        <f ca="1">Scorebook!X179</f>
        <v>0</v>
      </c>
      <c r="AI69" s="5">
        <f>Settings!$B$2</f>
        <v>1</v>
      </c>
      <c r="AJ69" s="18">
        <f ca="1">IF($AK69="","",Scorebook!$O$271)</f>
      </c>
      <c r="AK69" s="4" t="str">
        <f ca="1">Scorebook!$F$247</f>
        <v>G6</v>
      </c>
      <c r="AL69" s="5" t="str">
        <f ca="1">Scorebook!$N$247</f>
        <v>Aidan</v>
      </c>
      <c r="AM69" s="5" t="str">
        <f>Scorebook!$B$271</f>
      </c>
      <c r="AN69" s="5">
        <f ca="1">IF(Scorebook!C271="","",INT(Scorebook!C271)+MOD(ROUND(Scorebook!C271*10,0),10)/3)</f>
      </c>
      <c r="AO69" s="5" cm="1">
        <f t="array" aca="1" ref="AO69" ca="1">IF($AK69="","",_xlfn.LET(_xlpm.auto,AND(MOD(ROW()-4,6)=0,$AM69&lt;&gt;0,SUMPRODUCT(--(OFFSET($AM69,1,0,5,1)&lt;&gt;0))=0),_xlpm.oppA,_xlfn.XLOOKUP($AK69,$H$4:$H$18,$J$4:$J$18,""),_xlpm.oppB,_xlfn.XLOOKUP($AK69,$H$4:$H$18,$K$4:$K$18,""),_xlpm.opp,IF($AL69=_xlpm.oppA,_xlpm.oppB,_xlpm.oppA),IF(_xlpm.auto,SUMIFS($Y$4:$Y$273,$S$4:$S$273,$AK69,$T$4:$T$273,_xlpm.opp),Scorebook!D271)))</f>
      </c>
      <c r="AP69" s="5" cm="1">
        <f t="array" aca="1" ref="AP69" ca="1">IF($AK69="","",_xlfn.LET(_xlpm.auto,AND(MOD(ROW()-4,6)=0,$AM69&lt;&gt;0,SUMPRODUCT(--(OFFSET($AM69,1,0,5,1)&lt;&gt;0))=0),_xlpm.oppA,_xlfn.XLOOKUP($AK69,$H$4:$H$18,$J$4:$J$18,""),_xlpm.oppRuns,IF($AL69=_xlpm.oppA,_xlfn.XLOOKUP($AK69,$H$4:$H$18,$O$4:$O$18,""),_xlfn.XLOOKUP($AK69,$H$4:$H$18,$N$4:$N$18,"")),IF(_xlpm.auto,_xlpm.oppRuns,Scorebook!E271)))</f>
      </c>
      <c r="AQ69" s="5">
        <f ca="1">Scorebook!F271</f>
      </c>
      <c r="AR69" s="5" cm="1">
        <f t="array" aca="1" ref="AR69" ca="1">IF($AK69="","",_xlfn.LET(_xlpm.auto,AND(MOD(ROW()-4,6)=0,$AM69&lt;&gt;0,SUMPRODUCT(--(OFFSET($AM69,1,0,5,1)&lt;&gt;0))=0),_xlpm.oppA,_xlfn.XLOOKUP($AK69,$H$4:$H$18,$J$4:$J$18,""),_xlpm.oppB,_xlfn.XLOOKUP($AK69,$H$4:$H$18,$K$4:$K$18,""),_xlpm.opp,IF($AL69=_xlpm.oppA,_xlpm.oppB,_xlpm.oppA),IF(_xlpm.auto,SUMIFS($AD$4:$AD$273,$S$4:$S$273,$AK69,$T$4:$T$273,_xlpm.opp),Scorebook!G271)))</f>
      </c>
      <c r="AS69" s="5" cm="1">
        <f t="array" aca="1" ref="AS69" ca="1">IF($AK69="","",_xlfn.LET(_xlpm.auto,AND(MOD(ROW()-4,6)=0,$AM69&lt;&gt;0,SUMPRODUCT(--(OFFSET($AM69,1,0,5,1)&lt;&gt;0))=0),_xlpm.oppA,_xlfn.XLOOKUP($AK69,$H$4:$H$18,$J$4:$J$18,""),_xlpm.oppB,_xlfn.XLOOKUP($AK69,$H$4:$H$18,$K$4:$K$18,""),_xlpm.opp,IF($AL69=_xlpm.oppA,_xlpm.oppB,_xlpm.oppA),IF(_xlpm.auto,SUMIFS($AE$4:$AE$273,$S$4:$S$273,$AK69,$T$4:$T$273,_xlpm.opp),Scorebook!H271)))</f>
      </c>
      <c r="AT69" s="5" cm="1">
        <f t="array" aca="1" ref="AT69" ca="1">IF($AK69="","",_xlfn.LET(_xlpm.auto,AND(MOD(ROW()-4,6)=0,$AM69&lt;&gt;0,SUMPRODUCT(--(OFFSET($AM69,1,0,5,1)&lt;&gt;0))=0),_xlpm.oppA,_xlfn.XLOOKUP($AK69,$H$4:$H$18,$J$4:$J$18,""),_xlpm.oppB,_xlfn.XLOOKUP($AK69,$H$4:$H$18,$K$4:$K$18,""),_xlpm.opp,IF($AL69=_xlpm.oppA,_xlpm.oppB,_xlpm.oppA),IF(_xlpm.auto,SUMIFS($AB$4:$AB$273,$S$4:$S$273,$AK69,$T$4:$T$273,_xlpm.opp),Scorebook!I271)))</f>
      </c>
      <c r="AU69" s="5" cm="1">
        <f t="array" aca="1" ref="AU69" ca="1">IF($AK69="","",_xlfn.LET(_xlpm.auto,AND(MOD(ROW()-4,6)=0,$AM69&lt;&gt;0,SUMPRODUCT(--(OFFSET($AM69,1,0,5,1)&lt;&gt;0))=0),_xlpm.winner,_xlfn.XLOOKUP($AK69,$H$4:$H$18,$L$4:$L$18,""),IF(_xlpm.auto,--($AL69=_xlpm.winner),Scorebook!J271)))</f>
      </c>
      <c r="AV69" s="5" cm="1">
        <f t="array" aca="1" ref="AV69" ca="1">IF($AK69="","",_xlfn.LET(_xlpm.auto,AND(MOD(ROW()-4,6)=0,$AM69&lt;&gt;0,SUMPRODUCT(--(OFFSET($AM69,1,0,5,1)&lt;&gt;0))=0),_xlpm.loser,_xlfn.XLOOKUP($AK69,$H$4:$H$18,$M$4:$M$18,""),IF(_xlpm.auto,--($AL69=_xlpm.loser),Scorebook!K271)))</f>
      </c>
      <c r="AW69" s="5">
        <f ca="1">Scorebook!L271</f>
      </c>
      <c r="AX69" s="5" cm="1">
        <f t="array" aca="1" ref="AX69" ca="1">IF($AK69="","",_xlfn.LET(_xlpm.auto,AND(MOD(ROW()-4,6)=0,$AM69&lt;&gt;0,SUMPRODUCT(--(OFFSET($AM69,1,0,5,1)&lt;&gt;0))=0),_xlpm.oppA,_xlfn.XLOOKUP($AK69,$H$4:$H$18,$J$4:$J$18,""),_xlpm.oppRuns,IF($AL69=_xlpm.oppA,_xlfn.XLOOKUP($AK69,$H$4:$H$18,$O$4:$O$18,""),_xlfn.XLOOKUP($AK69,$H$4:$H$18,$N$4:$N$18,"")),IF(_xlpm.auto,--(_xlpm.oppRuns=0),Scorebook!M271)))</f>
      </c>
      <c r="AY69" s="5" cm="1">
        <f t="array" aca="1" ref="AY69" ca="1">IF($AK69="","",_xlfn.LET(_xlpm.auto,AND(MOD(ROW()-4,6)=0,$AM69&lt;&gt;0,SUMPRODUCT(--(OFFSET($AM69,1,0,5,1)&lt;&gt;0))=0),IF(_xlpm.auto,1,Scorebook!N271)))</f>
      </c>
      <c r="AZ69" s="10"/>
      <c r="BA69" s="10"/>
      <c r="BB69" s="5">
        <f>Settings!$B$2</f>
        <v>1</v>
      </c>
      <c r="BC69" s="5">
        <f>Betting!A71</f>
        <v>0</v>
      </c>
      <c r="BD69" s="5">
        <f>Betting!B71</f>
        <v>0</v>
      </c>
      <c r="BE69" s="5">
        <f>Betting!C71</f>
        <v>0</v>
      </c>
      <c r="BF69" s="5">
        <f>Betting!D71</f>
        <v>0</v>
      </c>
      <c r="BG69" s="5">
        <f>Betting!E71</f>
        <v>0</v>
      </c>
      <c r="BH69" s="5">
        <f>Betting!F71</f>
        <v>0</v>
      </c>
      <c r="BI69" s="4">
        <f>Betting!G71</f>
        <v>0</v>
      </c>
      <c r="BJ69" s="4">
        <f>Betting!H71</f>
        <v>0</v>
      </c>
    </row>
    <row r="70" spans="1:62">
      <c r="A70" s="4">
        <f>ROW()-3</f>
        <v>67</v>
      </c>
      <c r="B70" s="4">
        <f>IF(A70="","",ROUNDUP(A70/Settings!$B$3,0))</f>
        <v>12</v>
      </c>
      <c r="C70" s="5" t="str">
        <f>IF(Draft!$A$72="","",Draft!$D$72)</f>
        <v/>
      </c>
      <c r="D70" s="5" t="str">
        <f>IF(Draft!$E$72="","",Draft!$E$72)</f>
        <v/>
      </c>
      <c r="E70" s="5">
        <f>Settings!$B$2</f>
        <v>1</v>
      </c>
      <c r="F70" s="5" t="b">
        <f>AND(C70&lt;&gt;"",D70&lt;&gt;"")</f>
        <v>0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4" t="str">
        <f ca="1">Scorebook!$F$149</f>
        <v>G4</v>
      </c>
      <c r="T70" s="5" t="str">
        <f ca="1">Scorebook!$R$149</f>
        <v>Aidan</v>
      </c>
      <c r="U70" s="5" t="str">
        <f ca="1">Scorebook!$B$180</f>
        <v>Blue Pianta</v>
      </c>
      <c r="V70" s="4">
        <v>4</v>
      </c>
      <c r="W70" s="5">
        <f ca="1">Scorebook!M180</f>
        <v>1</v>
      </c>
      <c r="X70" s="5">
        <f ca="1">Scorebook!N180</f>
        <v>1</v>
      </c>
      <c r="Y70" s="5">
        <f ca="1">Scorebook!O180</f>
        <v>1</v>
      </c>
      <c r="Z70" s="5">
        <f ca="1">Scorebook!P180</f>
        <v>0</v>
      </c>
      <c r="AA70" s="5">
        <f ca="1">Scorebook!Q180</f>
        <v>0</v>
      </c>
      <c r="AB70" s="5">
        <f ca="1">Scorebook!R180</f>
        <v>0</v>
      </c>
      <c r="AC70" s="5">
        <f ca="1">Scorebook!S180</f>
        <v>0</v>
      </c>
      <c r="AD70" s="5">
        <f ca="1">Scorebook!T180</f>
        <v>0</v>
      </c>
      <c r="AE70" s="5">
        <f ca="1">Scorebook!U180</f>
        <v>0</v>
      </c>
      <c r="AF70" s="5">
        <f ca="1">Scorebook!V180</f>
        <v>0</v>
      </c>
      <c r="AG70" s="5">
        <f ca="1">Scorebook!W180</f>
        <v>0</v>
      </c>
      <c r="AH70" s="5">
        <f ca="1">Scorebook!X180</f>
        <v>0</v>
      </c>
      <c r="AI70" s="5">
        <f>Settings!$B$2</f>
        <v>1</v>
      </c>
      <c r="AJ70" s="18">
        <f ca="1">IF($AK70="","",Scorebook!$O$287)</f>
        <v>3</v>
      </c>
      <c r="AK70" s="4" t="str">
        <f ca="1">Scorebook!$F$247</f>
        <v>G6</v>
      </c>
      <c r="AL70" s="5" t="str">
        <f ca="1">Scorebook!$R$247</f>
        <v>Donovan</v>
      </c>
      <c r="AM70" s="5" t="str">
        <f ca="1">Scorebook!$B$287</f>
        <v>Donkey Kong</v>
      </c>
      <c r="AN70" s="5">
        <f ca="1">IF(Scorebook!C287="","",INT(Scorebook!C287)+MOD(ROUND(Scorebook!C287*10,0),10)/3)</f>
        <v>0.3333333333333333</v>
      </c>
      <c r="AO70" s="5" cm="1">
        <f t="array" aca="1" ref="AO70" ca="1">IF($AK70="","",_xlfn.LET(_xlpm.auto,AND(MOD(ROW()-4,6)=0,$AM70&lt;&gt;0,SUMPRODUCT(--(OFFSET($AM70,1,0,5,1)&lt;&gt;0))=0),_xlpm.oppA,_xlfn.XLOOKUP($AK70,$H$4:$H$18,$J$4:$J$18,""),_xlpm.oppB,_xlfn.XLOOKUP($AK70,$H$4:$H$18,$K$4:$K$18,""),_xlpm.opp,IF($AL70=_xlpm.oppA,_xlpm.oppB,_xlpm.oppA),IF(_xlpm.auto,SUMIFS($Y$4:$Y$273,$S$4:$S$273,$AK70,$T$4:$T$273,_xlpm.opp),Scorebook!D287)))</f>
        <v>2</v>
      </c>
      <c r="AP70" s="5" cm="1">
        <f t="array" aca="1" ref="AP70" ca="1">IF($AK70="","",_xlfn.LET(_xlpm.auto,AND(MOD(ROW()-4,6)=0,$AM70&lt;&gt;0,SUMPRODUCT(--(OFFSET($AM70,1,0,5,1)&lt;&gt;0))=0),_xlpm.oppA,_xlfn.XLOOKUP($AK70,$H$4:$H$18,$J$4:$J$18,""),_xlpm.oppRuns,IF($AL70=_xlpm.oppA,_xlfn.XLOOKUP($AK70,$H$4:$H$18,$O$4:$O$18,""),_xlfn.XLOOKUP($AK70,$H$4:$H$18,$N$4:$N$18,"")),IF(_xlpm.auto,_xlpm.oppRuns,Scorebook!E287)))</f>
        <v>0</v>
      </c>
      <c r="AQ70" s="5">
        <f ca="1">Scorebook!F287</f>
        <v>0</v>
      </c>
      <c r="AR70" s="5" cm="1">
        <f t="array" aca="1" ref="AR70" ca="1">IF($AK70="","",_xlfn.LET(_xlpm.auto,AND(MOD(ROW()-4,6)=0,$AM70&lt;&gt;0,SUMPRODUCT(--(OFFSET($AM70,1,0,5,1)&lt;&gt;0))=0),_xlpm.oppA,_xlfn.XLOOKUP($AK70,$H$4:$H$18,$J$4:$J$18,""),_xlpm.oppB,_xlfn.XLOOKUP($AK70,$H$4:$H$18,$K$4:$K$18,""),_xlpm.opp,IF($AL70=_xlpm.oppA,_xlpm.oppB,_xlpm.oppA),IF(_xlpm.auto,SUMIFS($AD$4:$AD$273,$S$4:$S$273,$AK70,$T$4:$T$273,_xlpm.opp),Scorebook!G287)))</f>
        <v>0</v>
      </c>
      <c r="AS70" s="5" cm="1">
        <f t="array" aca="1" ref="AS70" ca="1">IF($AK70="","",_xlfn.LET(_xlpm.auto,AND(MOD(ROW()-4,6)=0,$AM70&lt;&gt;0,SUMPRODUCT(--(OFFSET($AM70,1,0,5,1)&lt;&gt;0))=0),_xlpm.oppA,_xlfn.XLOOKUP($AK70,$H$4:$H$18,$J$4:$J$18,""),_xlpm.oppB,_xlfn.XLOOKUP($AK70,$H$4:$H$18,$K$4:$K$18,""),_xlpm.opp,IF($AL70=_xlpm.oppA,_xlpm.oppB,_xlpm.oppA),IF(_xlpm.auto,SUMIFS($AE$4:$AE$273,$S$4:$S$273,$AK70,$T$4:$T$273,_xlpm.opp),Scorebook!H287)))</f>
        <v>0</v>
      </c>
      <c r="AT70" s="5" cm="1">
        <f t="array" aca="1" ref="AT70" ca="1">IF($AK70="","",_xlfn.LET(_xlpm.auto,AND(MOD(ROW()-4,6)=0,$AM70&lt;&gt;0,SUMPRODUCT(--(OFFSET($AM70,1,0,5,1)&lt;&gt;0))=0),_xlpm.oppA,_xlfn.XLOOKUP($AK70,$H$4:$H$18,$J$4:$J$18,""),_xlpm.oppB,_xlfn.XLOOKUP($AK70,$H$4:$H$18,$K$4:$K$18,""),_xlpm.opp,IF($AL70=_xlpm.oppA,_xlpm.oppB,_xlpm.oppA),IF(_xlpm.auto,SUMIFS($AB$4:$AB$273,$S$4:$S$273,$AK70,$T$4:$T$273,_xlpm.opp),Scorebook!I287)))</f>
        <v>0</v>
      </c>
      <c r="AU70" s="5" cm="1">
        <f t="array" aca="1" ref="AU70" ca="1">IF($AK70="","",_xlfn.LET(_xlpm.auto,AND(MOD(ROW()-4,6)=0,$AM70&lt;&gt;0,SUMPRODUCT(--(OFFSET($AM70,1,0,5,1)&lt;&gt;0))=0),_xlpm.winner,_xlfn.XLOOKUP($AK70,$H$4:$H$18,$L$4:$L$18,""),IF(_xlpm.auto,--($AL70=_xlpm.winner),Scorebook!J287)))</f>
        <v>0</v>
      </c>
      <c r="AV70" s="5" cm="1">
        <f t="array" aca="1" ref="AV70" ca="1">IF($AK70="","",_xlfn.LET(_xlpm.auto,AND(MOD(ROW()-4,6)=0,$AM70&lt;&gt;0,SUMPRODUCT(--(OFFSET($AM70,1,0,5,1)&lt;&gt;0))=0),_xlpm.loser,_xlfn.XLOOKUP($AK70,$H$4:$H$18,$M$4:$M$18,""),IF(_xlpm.auto,--($AL70=_xlpm.loser),Scorebook!K287)))</f>
        <v>0</v>
      </c>
      <c r="AW70" s="5">
        <f ca="1">Scorebook!L287</f>
        <v>0</v>
      </c>
      <c r="AX70" s="5" cm="1">
        <f t="array" aca="1" ref="AX70" ca="1">IF($AK70="","",_xlfn.LET(_xlpm.auto,AND(MOD(ROW()-4,6)=0,$AM70&lt;&gt;0,SUMPRODUCT(--(OFFSET($AM70,1,0,5,1)&lt;&gt;0))=0),_xlpm.oppA,_xlfn.XLOOKUP($AK70,$H$4:$H$18,$J$4:$J$18,""),_xlpm.oppRuns,IF($AL70=_xlpm.oppA,_xlfn.XLOOKUP($AK70,$H$4:$H$18,$O$4:$O$18,""),_xlfn.XLOOKUP($AK70,$H$4:$H$18,$N$4:$N$18,"")),IF(_xlpm.auto,--(_xlpm.oppRuns=0),Scorebook!M287)))</f>
        <v>0</v>
      </c>
      <c r="AY70" s="5" cm="1">
        <f t="array" aca="1" ref="AY70" ca="1">IF($AK70="","",_xlfn.LET(_xlpm.auto,AND(MOD(ROW()-4,6)=0,$AM70&lt;&gt;0,SUMPRODUCT(--(OFFSET($AM70,1,0,5,1)&lt;&gt;0))=0),IF(_xlpm.auto,1,Scorebook!N287)))</f>
        <v>0</v>
      </c>
      <c r="AZ70" s="10"/>
      <c r="BA70" s="10"/>
      <c r="BB70" s="5">
        <f>Settings!$B$2</f>
        <v>1</v>
      </c>
      <c r="BC70" s="5">
        <f>Betting!A72</f>
        <v>0</v>
      </c>
      <c r="BD70" s="5">
        <f>Betting!B72</f>
        <v>0</v>
      </c>
      <c r="BE70" s="5">
        <f>Betting!C72</f>
        <v>0</v>
      </c>
      <c r="BF70" s="5">
        <f>Betting!D72</f>
        <v>0</v>
      </c>
      <c r="BG70" s="5">
        <f>Betting!E72</f>
        <v>0</v>
      </c>
      <c r="BH70" s="5">
        <f>Betting!F72</f>
        <v>0</v>
      </c>
      <c r="BI70" s="4">
        <f>Betting!G72</f>
        <v>0</v>
      </c>
      <c r="BJ70" s="4">
        <f>Betting!H72</f>
        <v>0</v>
      </c>
    </row>
    <row r="71" spans="1:62">
      <c r="A71" s="4">
        <f>ROW()-3</f>
        <v>68</v>
      </c>
      <c r="B71" s="4">
        <f>IF(A71="","",ROUNDUP(A71/Settings!$B$3,0))</f>
        <v>12</v>
      </c>
      <c r="C71" s="5" t="str">
        <f>IF(Draft!$A$73="","",Draft!$D$73)</f>
        <v/>
      </c>
      <c r="D71" s="5" t="str">
        <f>IF(Draft!$E$73="","",Draft!$E$73)</f>
        <v/>
      </c>
      <c r="E71" s="5">
        <f>Settings!$B$2</f>
        <v>1</v>
      </c>
      <c r="F71" s="5" t="b">
        <f>AND(C71&lt;&gt;"",D71&lt;&gt;"")</f>
        <v>0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4" t="str">
        <f ca="1">Scorebook!$F$149</f>
        <v>G4</v>
      </c>
      <c r="T71" s="5" t="str">
        <f ca="1">Scorebook!$R$149</f>
        <v>Aidan</v>
      </c>
      <c r="U71" s="5" t="str">
        <f ca="1">Scorebook!$B$181</f>
        <v>Dark Bones</v>
      </c>
      <c r="V71" s="4">
        <v>5</v>
      </c>
      <c r="W71" s="5">
        <f ca="1">Scorebook!M181</f>
        <v>1</v>
      </c>
      <c r="X71" s="5">
        <f ca="1">Scorebook!N181</f>
        <v>1</v>
      </c>
      <c r="Y71" s="5">
        <f ca="1">Scorebook!O181</f>
        <v>1</v>
      </c>
      <c r="Z71" s="5">
        <f ca="1">Scorebook!P181</f>
        <v>0</v>
      </c>
      <c r="AA71" s="5">
        <f ca="1">Scorebook!Q181</f>
        <v>0</v>
      </c>
      <c r="AB71" s="5">
        <f ca="1">Scorebook!R181</f>
        <v>1</v>
      </c>
      <c r="AC71" s="5">
        <f ca="1">Scorebook!S181</f>
        <v>2</v>
      </c>
      <c r="AD71" s="5">
        <f ca="1">Scorebook!T181</f>
        <v>0</v>
      </c>
      <c r="AE71" s="5">
        <f ca="1">Scorebook!U181</f>
        <v>0</v>
      </c>
      <c r="AF71" s="5">
        <f ca="1">Scorebook!V181</f>
        <v>0</v>
      </c>
      <c r="AG71" s="5">
        <f ca="1">Scorebook!W181</f>
        <v>0</v>
      </c>
      <c r="AH71" s="5">
        <f ca="1">Scorebook!X181</f>
        <v>0</v>
      </c>
      <c r="AI71" s="5">
        <f>Settings!$B$2</f>
        <v>1</v>
      </c>
      <c r="AJ71" s="18">
        <f ca="1">IF($AK71="","",Scorebook!$O$288)</f>
        <v>10</v>
      </c>
      <c r="AK71" s="4" t="str">
        <f ca="1">Scorebook!$F$247</f>
        <v>G6</v>
      </c>
      <c r="AL71" s="5" t="str">
        <f ca="1">Scorebook!$R$247</f>
        <v>Donovan</v>
      </c>
      <c r="AM71" s="5" t="str">
        <f ca="1">Scorebook!$B$288</f>
        <v>Waluigi</v>
      </c>
      <c r="AN71" s="5">
        <f ca="1">IF(Scorebook!C288="","",INT(Scorebook!C288)+MOD(ROUND(Scorebook!C288*10,0),10)/3)</f>
        <v>2.6666666666666665</v>
      </c>
      <c r="AO71" s="5" cm="1">
        <f t="array" aca="1" ref="AO71" ca="1">IF($AK71="","",_xlfn.LET(_xlpm.auto,AND(MOD(ROW()-4,6)=0,$AM71&lt;&gt;0,SUMPRODUCT(--(OFFSET($AM71,1,0,5,1)&lt;&gt;0))=0),_xlpm.oppA,_xlfn.XLOOKUP($AK71,$H$4:$H$18,$J$4:$J$18,""),_xlpm.oppB,_xlfn.XLOOKUP($AK71,$H$4:$H$18,$K$4:$K$18,""),_xlpm.opp,IF($AL71=_xlpm.oppA,_xlpm.oppB,_xlpm.oppA),IF(_xlpm.auto,SUMIFS($Y$4:$Y$273,$S$4:$S$273,$AK71,$T$4:$T$273,_xlpm.opp),Scorebook!D288)))</f>
        <v>2</v>
      </c>
      <c r="AP71" s="5" cm="1">
        <f t="array" aca="1" ref="AP71" ca="1">IF($AK71="","",_xlfn.LET(_xlpm.auto,AND(MOD(ROW()-4,6)=0,$AM71&lt;&gt;0,SUMPRODUCT(--(OFFSET($AM71,1,0,5,1)&lt;&gt;0))=0),_xlpm.oppA,_xlfn.XLOOKUP($AK71,$H$4:$H$18,$J$4:$J$18,""),_xlpm.oppRuns,IF($AL71=_xlpm.oppA,_xlfn.XLOOKUP($AK71,$H$4:$H$18,$O$4:$O$18,""),_xlfn.XLOOKUP($AK71,$H$4:$H$18,$N$4:$N$18,"")),IF(_xlpm.auto,_xlpm.oppRuns,Scorebook!E288)))</f>
        <v>1</v>
      </c>
      <c r="AQ71" s="5">
        <f ca="1">Scorebook!F288</f>
        <v>1</v>
      </c>
      <c r="AR71" s="5" cm="1">
        <f t="array" aca="1" ref="AR71" ca="1">IF($AK71="","",_xlfn.LET(_xlpm.auto,AND(MOD(ROW()-4,6)=0,$AM71&lt;&gt;0,SUMPRODUCT(--(OFFSET($AM71,1,0,5,1)&lt;&gt;0))=0),_xlpm.oppA,_xlfn.XLOOKUP($AK71,$H$4:$H$18,$J$4:$J$18,""),_xlpm.oppB,_xlfn.XLOOKUP($AK71,$H$4:$H$18,$K$4:$K$18,""),_xlpm.opp,IF($AL71=_xlpm.oppA,_xlpm.oppB,_xlpm.oppA),IF(_xlpm.auto,SUMIFS($AD$4:$AD$273,$S$4:$S$273,$AK71,$T$4:$T$273,_xlpm.opp),Scorebook!G288)))</f>
        <v>0</v>
      </c>
      <c r="AS71" s="5" cm="1">
        <f t="array" aca="1" ref="AS71" ca="1">IF($AK71="","",_xlfn.LET(_xlpm.auto,AND(MOD(ROW()-4,6)=0,$AM71&lt;&gt;0,SUMPRODUCT(--(OFFSET($AM71,1,0,5,1)&lt;&gt;0))=0),_xlpm.oppA,_xlfn.XLOOKUP($AK71,$H$4:$H$18,$J$4:$J$18,""),_xlpm.oppB,_xlfn.XLOOKUP($AK71,$H$4:$H$18,$K$4:$K$18,""),_xlpm.opp,IF($AL71=_xlpm.oppA,_xlpm.oppB,_xlpm.oppA),IF(_xlpm.auto,SUMIFS($AE$4:$AE$273,$S$4:$S$273,$AK71,$T$4:$T$273,_xlpm.opp),Scorebook!H288)))</f>
        <v>3</v>
      </c>
      <c r="AT71" s="5" cm="1">
        <f t="array" aca="1" ref="AT71" ca="1">IF($AK71="","",_xlfn.LET(_xlpm.auto,AND(MOD(ROW()-4,6)=0,$AM71&lt;&gt;0,SUMPRODUCT(--(OFFSET($AM71,1,0,5,1)&lt;&gt;0))=0),_xlpm.oppA,_xlfn.XLOOKUP($AK71,$H$4:$H$18,$J$4:$J$18,""),_xlpm.oppB,_xlfn.XLOOKUP($AK71,$H$4:$H$18,$K$4:$K$18,""),_xlpm.opp,IF($AL71=_xlpm.oppA,_xlpm.oppB,_xlpm.oppA),IF(_xlpm.auto,SUMIFS($AB$4:$AB$273,$S$4:$S$273,$AK71,$T$4:$T$273,_xlpm.opp),Scorebook!I288)))</f>
        <v>1</v>
      </c>
      <c r="AU71" s="5" cm="1">
        <f t="array" aca="1" ref="AU71" ca="1">IF($AK71="","",_xlfn.LET(_xlpm.auto,AND(MOD(ROW()-4,6)=0,$AM71&lt;&gt;0,SUMPRODUCT(--(OFFSET($AM71,1,0,5,1)&lt;&gt;0))=0),_xlpm.winner,_xlfn.XLOOKUP($AK71,$H$4:$H$18,$L$4:$L$18,""),IF(_xlpm.auto,--($AL71=_xlpm.winner),Scorebook!J288)))</f>
        <v>1</v>
      </c>
      <c r="AV71" s="5" cm="1">
        <f t="array" aca="1" ref="AV71" ca="1">IF($AK71="","",_xlfn.LET(_xlpm.auto,AND(MOD(ROW()-4,6)=0,$AM71&lt;&gt;0,SUMPRODUCT(--(OFFSET($AM71,1,0,5,1)&lt;&gt;0))=0),_xlpm.loser,_xlfn.XLOOKUP($AK71,$H$4:$H$18,$M$4:$M$18,""),IF(_xlpm.auto,--($AL71=_xlpm.loser),Scorebook!K288)))</f>
        <v>0</v>
      </c>
      <c r="AW71" s="5">
        <f ca="1">Scorebook!L288</f>
        <v>0</v>
      </c>
      <c r="AX71" s="5" cm="1">
        <f t="array" aca="1" ref="AX71" ca="1">IF($AK71="","",_xlfn.LET(_xlpm.auto,AND(MOD(ROW()-4,6)=0,$AM71&lt;&gt;0,SUMPRODUCT(--(OFFSET($AM71,1,0,5,1)&lt;&gt;0))=0),_xlpm.oppA,_xlfn.XLOOKUP($AK71,$H$4:$H$18,$J$4:$J$18,""),_xlpm.oppRuns,IF($AL71=_xlpm.oppA,_xlfn.XLOOKUP($AK71,$H$4:$H$18,$O$4:$O$18,""),_xlfn.XLOOKUP($AK71,$H$4:$H$18,$N$4:$N$18,"")),IF(_xlpm.auto,--(_xlpm.oppRuns=0),Scorebook!M288)))</f>
        <v>0</v>
      </c>
      <c r="AY71" s="5" cm="1">
        <f t="array" aca="1" ref="AY71" ca="1">IF($AK71="","",_xlfn.LET(_xlpm.auto,AND(MOD(ROW()-4,6)=0,$AM71&lt;&gt;0,SUMPRODUCT(--(OFFSET($AM71,1,0,5,1)&lt;&gt;0))=0),IF(_xlpm.auto,1,Scorebook!N288)))</f>
        <v>0</v>
      </c>
      <c r="AZ71" s="10"/>
      <c r="BA71" s="10"/>
      <c r="BB71" s="5">
        <f>Settings!$B$2</f>
        <v>1</v>
      </c>
      <c r="BC71" s="5">
        <f>Betting!A73</f>
        <v>0</v>
      </c>
      <c r="BD71" s="5">
        <f>Betting!B73</f>
        <v>0</v>
      </c>
      <c r="BE71" s="5">
        <f>Betting!C73</f>
        <v>0</v>
      </c>
      <c r="BF71" s="5">
        <f>Betting!D73</f>
        <v>0</v>
      </c>
      <c r="BG71" s="5">
        <f>Betting!E73</f>
        <v>0</v>
      </c>
      <c r="BH71" s="5">
        <f>Betting!F73</f>
        <v>0</v>
      </c>
      <c r="BI71" s="4">
        <f>Betting!G73</f>
        <v>0</v>
      </c>
      <c r="BJ71" s="4">
        <f>Betting!H73</f>
        <v>0</v>
      </c>
    </row>
    <row r="72" spans="1:62">
      <c r="A72" s="4">
        <f>ROW()-3</f>
        <v>69</v>
      </c>
      <c r="B72" s="4">
        <f>IF(A72="","",ROUNDUP(A72/Settings!$B$3,0))</f>
        <v>12</v>
      </c>
      <c r="C72" s="5" t="str">
        <f>IF(Draft!$A$74="","",Draft!$D$74)</f>
        <v/>
      </c>
      <c r="D72" s="5" t="str">
        <f>IF(Draft!$E$74="","",Draft!$E$74)</f>
        <v/>
      </c>
      <c r="E72" s="5">
        <f>Settings!$B$2</f>
        <v>1</v>
      </c>
      <c r="F72" s="5" t="b">
        <f>AND(C72&lt;&gt;"",D72&lt;&gt;"")</f>
        <v>0</v>
      </c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4" t="str">
        <f ca="1">Scorebook!$F$149</f>
        <v>G4</v>
      </c>
      <c r="T72" s="5" t="str">
        <f ca="1">Scorebook!$R$149</f>
        <v>Aidan</v>
      </c>
      <c r="U72" s="5" t="str">
        <f ca="1">Scorebook!$B$182</f>
        <v>Blue Dry Bones</v>
      </c>
      <c r="V72" s="4">
        <v>6</v>
      </c>
      <c r="W72" s="5">
        <f ca="1">Scorebook!M182</f>
        <v>1</v>
      </c>
      <c r="X72" s="5">
        <f ca="1">Scorebook!N182</f>
        <v>0</v>
      </c>
      <c r="Y72" s="5">
        <f ca="1">Scorebook!O182</f>
        <v>1</v>
      </c>
      <c r="Z72" s="5">
        <f ca="1">Scorebook!P182</f>
        <v>1</v>
      </c>
      <c r="AA72" s="5">
        <f ca="1">Scorebook!Q182</f>
        <v>0</v>
      </c>
      <c r="AB72" s="5">
        <f ca="1">Scorebook!R182</f>
        <v>0</v>
      </c>
      <c r="AC72" s="5">
        <f ca="1">Scorebook!S182</f>
        <v>0</v>
      </c>
      <c r="AD72" s="5">
        <f ca="1">Scorebook!T182</f>
        <v>0</v>
      </c>
      <c r="AE72" s="5">
        <f ca="1">Scorebook!U182</f>
        <v>0</v>
      </c>
      <c r="AF72" s="5">
        <f ca="1">Scorebook!V182</f>
        <v>0</v>
      </c>
      <c r="AG72" s="5">
        <f ca="1">Scorebook!W182</f>
        <v>0</v>
      </c>
      <c r="AH72" s="5">
        <f ca="1">Scorebook!X182</f>
        <v>0</v>
      </c>
      <c r="AI72" s="5">
        <f>Settings!$B$2</f>
        <v>1</v>
      </c>
      <c r="AJ72" s="18">
        <f ca="1">IF($AK72="","",Scorebook!$O$289)</f>
      </c>
      <c r="AK72" s="4" t="str">
        <f ca="1">Scorebook!$F$247</f>
        <v>G6</v>
      </c>
      <c r="AL72" s="5" t="str">
        <f ca="1">Scorebook!$R$247</f>
        <v>Donovan</v>
      </c>
      <c r="AM72" s="5" t="str">
        <f>Scorebook!$B$289</f>
      </c>
      <c r="AN72" s="5">
        <f ca="1">IF(Scorebook!C289="","",INT(Scorebook!C289)+MOD(ROUND(Scorebook!C289*10,0),10)/3)</f>
      </c>
      <c r="AO72" s="5" cm="1">
        <f t="array" aca="1" ref="AO72" ca="1">IF($AK72="","",_xlfn.LET(_xlpm.auto,AND(MOD(ROW()-4,6)=0,$AM72&lt;&gt;0,SUMPRODUCT(--(OFFSET($AM72,1,0,5,1)&lt;&gt;0))=0),_xlpm.oppA,_xlfn.XLOOKUP($AK72,$H$4:$H$18,$J$4:$J$18,""),_xlpm.oppB,_xlfn.XLOOKUP($AK72,$H$4:$H$18,$K$4:$K$18,""),_xlpm.opp,IF($AL72=_xlpm.oppA,_xlpm.oppB,_xlpm.oppA),IF(_xlpm.auto,SUMIFS($Y$4:$Y$273,$S$4:$S$273,$AK72,$T$4:$T$273,_xlpm.opp),Scorebook!D289)))</f>
      </c>
      <c r="AP72" s="5" cm="1">
        <f t="array" aca="1" ref="AP72" ca="1">IF($AK72="","",_xlfn.LET(_xlpm.auto,AND(MOD(ROW()-4,6)=0,$AM72&lt;&gt;0,SUMPRODUCT(--(OFFSET($AM72,1,0,5,1)&lt;&gt;0))=0),_xlpm.oppA,_xlfn.XLOOKUP($AK72,$H$4:$H$18,$J$4:$J$18,""),_xlpm.oppRuns,IF($AL72=_xlpm.oppA,_xlfn.XLOOKUP($AK72,$H$4:$H$18,$O$4:$O$18,""),_xlfn.XLOOKUP($AK72,$H$4:$H$18,$N$4:$N$18,"")),IF(_xlpm.auto,_xlpm.oppRuns,Scorebook!E289)))</f>
      </c>
      <c r="AQ72" s="5">
        <f ca="1">Scorebook!F289</f>
      </c>
      <c r="AR72" s="5" cm="1">
        <f t="array" aca="1" ref="AR72" ca="1">IF($AK72="","",_xlfn.LET(_xlpm.auto,AND(MOD(ROW()-4,6)=0,$AM72&lt;&gt;0,SUMPRODUCT(--(OFFSET($AM72,1,0,5,1)&lt;&gt;0))=0),_xlpm.oppA,_xlfn.XLOOKUP($AK72,$H$4:$H$18,$J$4:$J$18,""),_xlpm.oppB,_xlfn.XLOOKUP($AK72,$H$4:$H$18,$K$4:$K$18,""),_xlpm.opp,IF($AL72=_xlpm.oppA,_xlpm.oppB,_xlpm.oppA),IF(_xlpm.auto,SUMIFS($AD$4:$AD$273,$S$4:$S$273,$AK72,$T$4:$T$273,_xlpm.opp),Scorebook!G289)))</f>
      </c>
      <c r="AS72" s="5" cm="1">
        <f t="array" aca="1" ref="AS72" ca="1">IF($AK72="","",_xlfn.LET(_xlpm.auto,AND(MOD(ROW()-4,6)=0,$AM72&lt;&gt;0,SUMPRODUCT(--(OFFSET($AM72,1,0,5,1)&lt;&gt;0))=0),_xlpm.oppA,_xlfn.XLOOKUP($AK72,$H$4:$H$18,$J$4:$J$18,""),_xlpm.oppB,_xlfn.XLOOKUP($AK72,$H$4:$H$18,$K$4:$K$18,""),_xlpm.opp,IF($AL72=_xlpm.oppA,_xlpm.oppB,_xlpm.oppA),IF(_xlpm.auto,SUMIFS($AE$4:$AE$273,$S$4:$S$273,$AK72,$T$4:$T$273,_xlpm.opp),Scorebook!H289)))</f>
      </c>
      <c r="AT72" s="5" cm="1">
        <f t="array" aca="1" ref="AT72" ca="1">IF($AK72="","",_xlfn.LET(_xlpm.auto,AND(MOD(ROW()-4,6)=0,$AM72&lt;&gt;0,SUMPRODUCT(--(OFFSET($AM72,1,0,5,1)&lt;&gt;0))=0),_xlpm.oppA,_xlfn.XLOOKUP($AK72,$H$4:$H$18,$J$4:$J$18,""),_xlpm.oppB,_xlfn.XLOOKUP($AK72,$H$4:$H$18,$K$4:$K$18,""),_xlpm.opp,IF($AL72=_xlpm.oppA,_xlpm.oppB,_xlpm.oppA),IF(_xlpm.auto,SUMIFS($AB$4:$AB$273,$S$4:$S$273,$AK72,$T$4:$T$273,_xlpm.opp),Scorebook!I289)))</f>
      </c>
      <c r="AU72" s="5" cm="1">
        <f t="array" aca="1" ref="AU72" ca="1">IF($AK72="","",_xlfn.LET(_xlpm.auto,AND(MOD(ROW()-4,6)=0,$AM72&lt;&gt;0,SUMPRODUCT(--(OFFSET($AM72,1,0,5,1)&lt;&gt;0))=0),_xlpm.winner,_xlfn.XLOOKUP($AK72,$H$4:$H$18,$L$4:$L$18,""),IF(_xlpm.auto,--($AL72=_xlpm.winner),Scorebook!J289)))</f>
      </c>
      <c r="AV72" s="5" cm="1">
        <f t="array" aca="1" ref="AV72" ca="1">IF($AK72="","",_xlfn.LET(_xlpm.auto,AND(MOD(ROW()-4,6)=0,$AM72&lt;&gt;0,SUMPRODUCT(--(OFFSET($AM72,1,0,5,1)&lt;&gt;0))=0),_xlpm.loser,_xlfn.XLOOKUP($AK72,$H$4:$H$18,$M$4:$M$18,""),IF(_xlpm.auto,--($AL72=_xlpm.loser),Scorebook!K289)))</f>
      </c>
      <c r="AW72" s="5">
        <f ca="1">Scorebook!L289</f>
      </c>
      <c r="AX72" s="5" cm="1">
        <f t="array" aca="1" ref="AX72" ca="1">IF($AK72="","",_xlfn.LET(_xlpm.auto,AND(MOD(ROW()-4,6)=0,$AM72&lt;&gt;0,SUMPRODUCT(--(OFFSET($AM72,1,0,5,1)&lt;&gt;0))=0),_xlpm.oppA,_xlfn.XLOOKUP($AK72,$H$4:$H$18,$J$4:$J$18,""),_xlpm.oppRuns,IF($AL72=_xlpm.oppA,_xlfn.XLOOKUP($AK72,$H$4:$H$18,$O$4:$O$18,""),_xlfn.XLOOKUP($AK72,$H$4:$H$18,$N$4:$N$18,"")),IF(_xlpm.auto,--(_xlpm.oppRuns=0),Scorebook!M289)))</f>
      </c>
      <c r="AY72" s="5" cm="1">
        <f t="array" aca="1" ref="AY72" ca="1">IF($AK72="","",_xlfn.LET(_xlpm.auto,AND(MOD(ROW()-4,6)=0,$AM72&lt;&gt;0,SUMPRODUCT(--(OFFSET($AM72,1,0,5,1)&lt;&gt;0))=0),IF(_xlpm.auto,1,Scorebook!N289)))</f>
      </c>
      <c r="AZ72" s="10"/>
      <c r="BA72" s="10"/>
      <c r="BB72" s="5">
        <f>Settings!$B$2</f>
        <v>1</v>
      </c>
      <c r="BC72" s="5">
        <f>Betting!A74</f>
        <v>0</v>
      </c>
      <c r="BD72" s="5">
        <f>Betting!B74</f>
        <v>0</v>
      </c>
      <c r="BE72" s="5">
        <f>Betting!C74</f>
        <v>0</v>
      </c>
      <c r="BF72" s="5">
        <f>Betting!D74</f>
        <v>0</v>
      </c>
      <c r="BG72" s="5">
        <f>Betting!E74</f>
        <v>0</v>
      </c>
      <c r="BH72" s="5">
        <f>Betting!F74</f>
        <v>0</v>
      </c>
      <c r="BI72" s="4">
        <f>Betting!G74</f>
        <v>0</v>
      </c>
      <c r="BJ72" s="4">
        <f>Betting!H74</f>
        <v>0</v>
      </c>
    </row>
    <row r="73" spans="1:62">
      <c r="A73" s="4">
        <f>ROW()-3</f>
        <v>70</v>
      </c>
      <c r="B73" s="4">
        <f>IF(A73="","",ROUNDUP(A73/Settings!$B$3,0))</f>
        <v>12</v>
      </c>
      <c r="C73" s="5" t="str">
        <f>IF(Draft!$A$75="","",Draft!$D$75)</f>
        <v/>
      </c>
      <c r="D73" s="5" t="str">
        <f>IF(Draft!$E$75="","",Draft!$E$75)</f>
        <v/>
      </c>
      <c r="E73" s="5">
        <f>Settings!$B$2</f>
        <v>1</v>
      </c>
      <c r="F73" s="5" t="b">
        <f>AND(C73&lt;&gt;"",D73&lt;&gt;"")</f>
        <v>0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4" t="str">
        <f ca="1">Scorebook!$F$149</f>
        <v>G4</v>
      </c>
      <c r="T73" s="5" t="str">
        <f ca="1">Scorebook!$R$149</f>
        <v>Aidan</v>
      </c>
      <c r="U73" s="5" t="str">
        <f ca="1">Scorebook!$B$183</f>
        <v>Red Magikoopa</v>
      </c>
      <c r="V73" s="4">
        <v>7</v>
      </c>
      <c r="W73" s="5">
        <f ca="1">Scorebook!M183</f>
        <v>1</v>
      </c>
      <c r="X73" s="5">
        <f ca="1">Scorebook!N183</f>
        <v>0</v>
      </c>
      <c r="Y73" s="5">
        <f ca="1">Scorebook!O183</f>
        <v>0</v>
      </c>
      <c r="Z73" s="5">
        <f ca="1">Scorebook!P183</f>
        <v>0</v>
      </c>
      <c r="AA73" s="5">
        <f ca="1">Scorebook!Q183</f>
        <v>0</v>
      </c>
      <c r="AB73" s="5">
        <f ca="1">Scorebook!R183</f>
        <v>0</v>
      </c>
      <c r="AC73" s="5">
        <f ca="1">Scorebook!S183</f>
        <v>0</v>
      </c>
      <c r="AD73" s="5">
        <f ca="1">Scorebook!T183</f>
        <v>0</v>
      </c>
      <c r="AE73" s="5">
        <f ca="1">Scorebook!U183</f>
        <v>0</v>
      </c>
      <c r="AF73" s="5">
        <f ca="1">Scorebook!V183</f>
        <v>0</v>
      </c>
      <c r="AG73" s="5">
        <f ca="1">Scorebook!W183</f>
        <v>0</v>
      </c>
      <c r="AH73" s="5">
        <f ca="1">Scorebook!X183</f>
        <v>0</v>
      </c>
      <c r="AI73" s="5">
        <f>Settings!$B$2</f>
        <v>1</v>
      </c>
      <c r="AJ73" s="18">
        <f ca="1">IF($AK73="","",Scorebook!$O$290)</f>
      </c>
      <c r="AK73" s="4" t="str">
        <f ca="1">Scorebook!$F$247</f>
        <v>G6</v>
      </c>
      <c r="AL73" s="5" t="str">
        <f ca="1">Scorebook!$R$247</f>
        <v>Donovan</v>
      </c>
      <c r="AM73" s="5" t="str">
        <f>Scorebook!$B$290</f>
      </c>
      <c r="AN73" s="5">
        <f ca="1">IF(Scorebook!C290="","",INT(Scorebook!C290)+MOD(ROUND(Scorebook!C290*10,0),10)/3)</f>
      </c>
      <c r="AO73" s="5" cm="1">
        <f t="array" aca="1" ref="AO73" ca="1">IF($AK73="","",_xlfn.LET(_xlpm.auto,AND(MOD(ROW()-4,6)=0,$AM73&lt;&gt;0,SUMPRODUCT(--(OFFSET($AM73,1,0,5,1)&lt;&gt;0))=0),_xlpm.oppA,_xlfn.XLOOKUP($AK73,$H$4:$H$18,$J$4:$J$18,""),_xlpm.oppB,_xlfn.XLOOKUP($AK73,$H$4:$H$18,$K$4:$K$18,""),_xlpm.opp,IF($AL73=_xlpm.oppA,_xlpm.oppB,_xlpm.oppA),IF(_xlpm.auto,SUMIFS($Y$4:$Y$273,$S$4:$S$273,$AK73,$T$4:$T$273,_xlpm.opp),Scorebook!D290)))</f>
      </c>
      <c r="AP73" s="5" cm="1">
        <f t="array" aca="1" ref="AP73" ca="1">IF($AK73="","",_xlfn.LET(_xlpm.auto,AND(MOD(ROW()-4,6)=0,$AM73&lt;&gt;0,SUMPRODUCT(--(OFFSET($AM73,1,0,5,1)&lt;&gt;0))=0),_xlpm.oppA,_xlfn.XLOOKUP($AK73,$H$4:$H$18,$J$4:$J$18,""),_xlpm.oppRuns,IF($AL73=_xlpm.oppA,_xlfn.XLOOKUP($AK73,$H$4:$H$18,$O$4:$O$18,""),_xlfn.XLOOKUP($AK73,$H$4:$H$18,$N$4:$N$18,"")),IF(_xlpm.auto,_xlpm.oppRuns,Scorebook!E290)))</f>
      </c>
      <c r="AQ73" s="5">
        <f ca="1">Scorebook!F290</f>
      </c>
      <c r="AR73" s="5" cm="1">
        <f t="array" aca="1" ref="AR73" ca="1">IF($AK73="","",_xlfn.LET(_xlpm.auto,AND(MOD(ROW()-4,6)=0,$AM73&lt;&gt;0,SUMPRODUCT(--(OFFSET($AM73,1,0,5,1)&lt;&gt;0))=0),_xlpm.oppA,_xlfn.XLOOKUP($AK73,$H$4:$H$18,$J$4:$J$18,""),_xlpm.oppB,_xlfn.XLOOKUP($AK73,$H$4:$H$18,$K$4:$K$18,""),_xlpm.opp,IF($AL73=_xlpm.oppA,_xlpm.oppB,_xlpm.oppA),IF(_xlpm.auto,SUMIFS($AD$4:$AD$273,$S$4:$S$273,$AK73,$T$4:$T$273,_xlpm.opp),Scorebook!G290)))</f>
      </c>
      <c r="AS73" s="5" cm="1">
        <f t="array" aca="1" ref="AS73" ca="1">IF($AK73="","",_xlfn.LET(_xlpm.auto,AND(MOD(ROW()-4,6)=0,$AM73&lt;&gt;0,SUMPRODUCT(--(OFFSET($AM73,1,0,5,1)&lt;&gt;0))=0),_xlpm.oppA,_xlfn.XLOOKUP($AK73,$H$4:$H$18,$J$4:$J$18,""),_xlpm.oppB,_xlfn.XLOOKUP($AK73,$H$4:$H$18,$K$4:$K$18,""),_xlpm.opp,IF($AL73=_xlpm.oppA,_xlpm.oppB,_xlpm.oppA),IF(_xlpm.auto,SUMIFS($AE$4:$AE$273,$S$4:$S$273,$AK73,$T$4:$T$273,_xlpm.opp),Scorebook!H290)))</f>
      </c>
      <c r="AT73" s="5" cm="1">
        <f t="array" aca="1" ref="AT73" ca="1">IF($AK73="","",_xlfn.LET(_xlpm.auto,AND(MOD(ROW()-4,6)=0,$AM73&lt;&gt;0,SUMPRODUCT(--(OFFSET($AM73,1,0,5,1)&lt;&gt;0))=0),_xlpm.oppA,_xlfn.XLOOKUP($AK73,$H$4:$H$18,$J$4:$J$18,""),_xlpm.oppB,_xlfn.XLOOKUP($AK73,$H$4:$H$18,$K$4:$K$18,""),_xlpm.opp,IF($AL73=_xlpm.oppA,_xlpm.oppB,_xlpm.oppA),IF(_xlpm.auto,SUMIFS($AB$4:$AB$273,$S$4:$S$273,$AK73,$T$4:$T$273,_xlpm.opp),Scorebook!I290)))</f>
      </c>
      <c r="AU73" s="5" cm="1">
        <f t="array" aca="1" ref="AU73" ca="1">IF($AK73="","",_xlfn.LET(_xlpm.auto,AND(MOD(ROW()-4,6)=0,$AM73&lt;&gt;0,SUMPRODUCT(--(OFFSET($AM73,1,0,5,1)&lt;&gt;0))=0),_xlpm.winner,_xlfn.XLOOKUP($AK73,$H$4:$H$18,$L$4:$L$18,""),IF(_xlpm.auto,--($AL73=_xlpm.winner),Scorebook!J290)))</f>
      </c>
      <c r="AV73" s="5" cm="1">
        <f t="array" aca="1" ref="AV73" ca="1">IF($AK73="","",_xlfn.LET(_xlpm.auto,AND(MOD(ROW()-4,6)=0,$AM73&lt;&gt;0,SUMPRODUCT(--(OFFSET($AM73,1,0,5,1)&lt;&gt;0))=0),_xlpm.loser,_xlfn.XLOOKUP($AK73,$H$4:$H$18,$M$4:$M$18,""),IF(_xlpm.auto,--($AL73=_xlpm.loser),Scorebook!K290)))</f>
      </c>
      <c r="AW73" s="5">
        <f ca="1">Scorebook!L290</f>
      </c>
      <c r="AX73" s="5" cm="1">
        <f t="array" aca="1" ref="AX73" ca="1">IF($AK73="","",_xlfn.LET(_xlpm.auto,AND(MOD(ROW()-4,6)=0,$AM73&lt;&gt;0,SUMPRODUCT(--(OFFSET($AM73,1,0,5,1)&lt;&gt;0))=0),_xlpm.oppA,_xlfn.XLOOKUP($AK73,$H$4:$H$18,$J$4:$J$18,""),_xlpm.oppRuns,IF($AL73=_xlpm.oppA,_xlfn.XLOOKUP($AK73,$H$4:$H$18,$O$4:$O$18,""),_xlfn.XLOOKUP($AK73,$H$4:$H$18,$N$4:$N$18,"")),IF(_xlpm.auto,--(_xlpm.oppRuns=0),Scorebook!M290)))</f>
      </c>
      <c r="AY73" s="5" cm="1">
        <f t="array" aca="1" ref="AY73" ca="1">IF($AK73="","",_xlfn.LET(_xlpm.auto,AND(MOD(ROW()-4,6)=0,$AM73&lt;&gt;0,SUMPRODUCT(--(OFFSET($AM73,1,0,5,1)&lt;&gt;0))=0),IF(_xlpm.auto,1,Scorebook!N290)))</f>
      </c>
      <c r="AZ73" s="10"/>
      <c r="BA73" s="10"/>
      <c r="BB73" s="5">
        <f>Settings!$B$2</f>
        <v>1</v>
      </c>
      <c r="BC73" s="5">
        <f>Betting!A75</f>
        <v>0</v>
      </c>
      <c r="BD73" s="5">
        <f>Betting!B75</f>
        <v>0</v>
      </c>
      <c r="BE73" s="5">
        <f>Betting!C75</f>
        <v>0</v>
      </c>
      <c r="BF73" s="5">
        <f>Betting!D75</f>
        <v>0</v>
      </c>
      <c r="BG73" s="5">
        <f>Betting!E75</f>
        <v>0</v>
      </c>
      <c r="BH73" s="5">
        <f>Betting!F75</f>
        <v>0</v>
      </c>
      <c r="BI73" s="4">
        <f>Betting!G75</f>
        <v>0</v>
      </c>
      <c r="BJ73" s="4">
        <f>Betting!H75</f>
        <v>0</v>
      </c>
    </row>
    <row r="74" spans="1:62">
      <c r="A74" s="4">
        <f>ROW()-3</f>
        <v>71</v>
      </c>
      <c r="B74" s="4">
        <f>IF(A74="","",ROUNDUP(A74/Settings!$B$3,0))</f>
        <v>12</v>
      </c>
      <c r="C74" s="5" t="str">
        <f>IF(Draft!$A$76="","",Draft!$D$76)</f>
        <v/>
      </c>
      <c r="D74" s="5" t="str">
        <f>IF(Draft!$E$76="","",Draft!$E$76)</f>
        <v/>
      </c>
      <c r="E74" s="5">
        <f>Settings!$B$2</f>
        <v>1</v>
      </c>
      <c r="F74" s="5" t="b">
        <f>AND(C74&lt;&gt;"",D74&lt;&gt;"")</f>
        <v>0</v>
      </c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4" t="str">
        <f ca="1">Scorebook!$F$149</f>
        <v>G4</v>
      </c>
      <c r="T74" s="5" t="str">
        <f ca="1">Scorebook!$R$149</f>
        <v>Aidan</v>
      </c>
      <c r="U74" s="5" t="str">
        <f ca="1">Scorebook!$B$184</f>
        <v>Yellow Pianta</v>
      </c>
      <c r="V74" s="4">
        <v>8</v>
      </c>
      <c r="W74" s="5">
        <f ca="1">Scorebook!M184</f>
        <v>1</v>
      </c>
      <c r="X74" s="5">
        <f ca="1">Scorebook!N184</f>
        <v>0</v>
      </c>
      <c r="Y74" s="5">
        <f ca="1">Scorebook!O184</f>
        <v>0</v>
      </c>
      <c r="Z74" s="5">
        <f ca="1">Scorebook!P184</f>
        <v>0</v>
      </c>
      <c r="AA74" s="5">
        <f ca="1">Scorebook!Q184</f>
        <v>0</v>
      </c>
      <c r="AB74" s="5">
        <f ca="1">Scorebook!R184</f>
        <v>0</v>
      </c>
      <c r="AC74" s="5">
        <f ca="1">Scorebook!S184</f>
        <v>0</v>
      </c>
      <c r="AD74" s="5">
        <f ca="1">Scorebook!T184</f>
        <v>0</v>
      </c>
      <c r="AE74" s="5">
        <f ca="1">Scorebook!U184</f>
        <v>0</v>
      </c>
      <c r="AF74" s="5">
        <f ca="1">Scorebook!V184</f>
        <v>0</v>
      </c>
      <c r="AG74" s="5">
        <f ca="1">Scorebook!W184</f>
        <v>0</v>
      </c>
      <c r="AH74" s="5">
        <f ca="1">Scorebook!X184</f>
        <v>0</v>
      </c>
      <c r="AI74" s="5">
        <f>Settings!$B$2</f>
        <v>1</v>
      </c>
      <c r="AJ74" s="18">
        <f ca="1">IF($AK74="","",Scorebook!$O$291)</f>
      </c>
      <c r="AK74" s="4" t="str">
        <f ca="1">Scorebook!$F$247</f>
        <v>G6</v>
      </c>
      <c r="AL74" s="5" t="str">
        <f ca="1">Scorebook!$R$247</f>
        <v>Donovan</v>
      </c>
      <c r="AM74" s="5" t="str">
        <f>Scorebook!$B$291</f>
      </c>
      <c r="AN74" s="5">
        <f ca="1">IF(Scorebook!C291="","",INT(Scorebook!C291)+MOD(ROUND(Scorebook!C291*10,0),10)/3)</f>
      </c>
      <c r="AO74" s="5" cm="1">
        <f t="array" aca="1" ref="AO74" ca="1">IF($AK74="","",_xlfn.LET(_xlpm.auto,AND(MOD(ROW()-4,6)=0,$AM74&lt;&gt;0,SUMPRODUCT(--(OFFSET($AM74,1,0,5,1)&lt;&gt;0))=0),_xlpm.oppA,_xlfn.XLOOKUP($AK74,$H$4:$H$18,$J$4:$J$18,""),_xlpm.oppB,_xlfn.XLOOKUP($AK74,$H$4:$H$18,$K$4:$K$18,""),_xlpm.opp,IF($AL74=_xlpm.oppA,_xlpm.oppB,_xlpm.oppA),IF(_xlpm.auto,SUMIFS($Y$4:$Y$273,$S$4:$S$273,$AK74,$T$4:$T$273,_xlpm.opp),Scorebook!D291)))</f>
      </c>
      <c r="AP74" s="5" cm="1">
        <f t="array" aca="1" ref="AP74" ca="1">IF($AK74="","",_xlfn.LET(_xlpm.auto,AND(MOD(ROW()-4,6)=0,$AM74&lt;&gt;0,SUMPRODUCT(--(OFFSET($AM74,1,0,5,1)&lt;&gt;0))=0),_xlpm.oppA,_xlfn.XLOOKUP($AK74,$H$4:$H$18,$J$4:$J$18,""),_xlpm.oppRuns,IF($AL74=_xlpm.oppA,_xlfn.XLOOKUP($AK74,$H$4:$H$18,$O$4:$O$18,""),_xlfn.XLOOKUP($AK74,$H$4:$H$18,$N$4:$N$18,"")),IF(_xlpm.auto,_xlpm.oppRuns,Scorebook!E291)))</f>
      </c>
      <c r="AQ74" s="5">
        <f ca="1">Scorebook!F291</f>
      </c>
      <c r="AR74" s="5" cm="1">
        <f t="array" aca="1" ref="AR74" ca="1">IF($AK74="","",_xlfn.LET(_xlpm.auto,AND(MOD(ROW()-4,6)=0,$AM74&lt;&gt;0,SUMPRODUCT(--(OFFSET($AM74,1,0,5,1)&lt;&gt;0))=0),_xlpm.oppA,_xlfn.XLOOKUP($AK74,$H$4:$H$18,$J$4:$J$18,""),_xlpm.oppB,_xlfn.XLOOKUP($AK74,$H$4:$H$18,$K$4:$K$18,""),_xlpm.opp,IF($AL74=_xlpm.oppA,_xlpm.oppB,_xlpm.oppA),IF(_xlpm.auto,SUMIFS($AD$4:$AD$273,$S$4:$S$273,$AK74,$T$4:$T$273,_xlpm.opp),Scorebook!G291)))</f>
      </c>
      <c r="AS74" s="5" cm="1">
        <f t="array" aca="1" ref="AS74" ca="1">IF($AK74="","",_xlfn.LET(_xlpm.auto,AND(MOD(ROW()-4,6)=0,$AM74&lt;&gt;0,SUMPRODUCT(--(OFFSET($AM74,1,0,5,1)&lt;&gt;0))=0),_xlpm.oppA,_xlfn.XLOOKUP($AK74,$H$4:$H$18,$J$4:$J$18,""),_xlpm.oppB,_xlfn.XLOOKUP($AK74,$H$4:$H$18,$K$4:$K$18,""),_xlpm.opp,IF($AL74=_xlpm.oppA,_xlpm.oppB,_xlpm.oppA),IF(_xlpm.auto,SUMIFS($AE$4:$AE$273,$S$4:$S$273,$AK74,$T$4:$T$273,_xlpm.opp),Scorebook!H291)))</f>
      </c>
      <c r="AT74" s="5" cm="1">
        <f t="array" aca="1" ref="AT74" ca="1">IF($AK74="","",_xlfn.LET(_xlpm.auto,AND(MOD(ROW()-4,6)=0,$AM74&lt;&gt;0,SUMPRODUCT(--(OFFSET($AM74,1,0,5,1)&lt;&gt;0))=0),_xlpm.oppA,_xlfn.XLOOKUP($AK74,$H$4:$H$18,$J$4:$J$18,""),_xlpm.oppB,_xlfn.XLOOKUP($AK74,$H$4:$H$18,$K$4:$K$18,""),_xlpm.opp,IF($AL74=_xlpm.oppA,_xlpm.oppB,_xlpm.oppA),IF(_xlpm.auto,SUMIFS($AB$4:$AB$273,$S$4:$S$273,$AK74,$T$4:$T$273,_xlpm.opp),Scorebook!I291)))</f>
      </c>
      <c r="AU74" s="5" cm="1">
        <f t="array" aca="1" ref="AU74" ca="1">IF($AK74="","",_xlfn.LET(_xlpm.auto,AND(MOD(ROW()-4,6)=0,$AM74&lt;&gt;0,SUMPRODUCT(--(OFFSET($AM74,1,0,5,1)&lt;&gt;0))=0),_xlpm.winner,_xlfn.XLOOKUP($AK74,$H$4:$H$18,$L$4:$L$18,""),IF(_xlpm.auto,--($AL74=_xlpm.winner),Scorebook!J291)))</f>
      </c>
      <c r="AV74" s="5" cm="1">
        <f t="array" aca="1" ref="AV74" ca="1">IF($AK74="","",_xlfn.LET(_xlpm.auto,AND(MOD(ROW()-4,6)=0,$AM74&lt;&gt;0,SUMPRODUCT(--(OFFSET($AM74,1,0,5,1)&lt;&gt;0))=0),_xlpm.loser,_xlfn.XLOOKUP($AK74,$H$4:$H$18,$M$4:$M$18,""),IF(_xlpm.auto,--($AL74=_xlpm.loser),Scorebook!K291)))</f>
      </c>
      <c r="AW74" s="5">
        <f ca="1">Scorebook!L291</f>
      </c>
      <c r="AX74" s="5" cm="1">
        <f t="array" aca="1" ref="AX74" ca="1">IF($AK74="","",_xlfn.LET(_xlpm.auto,AND(MOD(ROW()-4,6)=0,$AM74&lt;&gt;0,SUMPRODUCT(--(OFFSET($AM74,1,0,5,1)&lt;&gt;0))=0),_xlpm.oppA,_xlfn.XLOOKUP($AK74,$H$4:$H$18,$J$4:$J$18,""),_xlpm.oppRuns,IF($AL74=_xlpm.oppA,_xlfn.XLOOKUP($AK74,$H$4:$H$18,$O$4:$O$18,""),_xlfn.XLOOKUP($AK74,$H$4:$H$18,$N$4:$N$18,"")),IF(_xlpm.auto,--(_xlpm.oppRuns=0),Scorebook!M291)))</f>
      </c>
      <c r="AY74" s="5" cm="1">
        <f t="array" aca="1" ref="AY74" ca="1">IF($AK74="","",_xlfn.LET(_xlpm.auto,AND(MOD(ROW()-4,6)=0,$AM74&lt;&gt;0,SUMPRODUCT(--(OFFSET($AM74,1,0,5,1)&lt;&gt;0))=0),IF(_xlpm.auto,1,Scorebook!N291)))</f>
      </c>
      <c r="AZ74" s="10"/>
      <c r="BA74" s="10"/>
      <c r="BB74" s="5">
        <f>Settings!$B$2</f>
        <v>1</v>
      </c>
      <c r="BC74" s="5">
        <f>Betting!A76</f>
        <v>0</v>
      </c>
      <c r="BD74" s="5">
        <f>Betting!B76</f>
        <v>0</v>
      </c>
      <c r="BE74" s="5">
        <f>Betting!C76</f>
        <v>0</v>
      </c>
      <c r="BF74" s="5">
        <f>Betting!D76</f>
        <v>0</v>
      </c>
      <c r="BG74" s="5">
        <f>Betting!E76</f>
        <v>0</v>
      </c>
      <c r="BH74" s="5">
        <f>Betting!F76</f>
        <v>0</v>
      </c>
      <c r="BI74" s="4">
        <f>Betting!G76</f>
        <v>0</v>
      </c>
      <c r="BJ74" s="4">
        <f>Betting!H76</f>
        <v>0</v>
      </c>
    </row>
    <row r="75" spans="1:62">
      <c r="A75" s="4">
        <f>ROW()-3</f>
        <v>72</v>
      </c>
      <c r="B75" s="4">
        <f>IF(A75="","",ROUNDUP(A75/Settings!$B$3,0))</f>
        <v>12</v>
      </c>
      <c r="C75" s="5" t="str">
        <f>IF(Draft!$A$77="","",Draft!$D$77)</f>
        <v/>
      </c>
      <c r="D75" s="5" t="str">
        <f>IF(Draft!$E$77="","",Draft!$E$77)</f>
        <v/>
      </c>
      <c r="E75" s="5">
        <f>Settings!$B$2</f>
        <v>1</v>
      </c>
      <c r="F75" s="5" t="b">
        <f>AND(C75&lt;&gt;"",D75&lt;&gt;"")</f>
        <v>0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4" t="str">
        <f ca="1">Scorebook!$F$149</f>
        <v>G4</v>
      </c>
      <c r="T75" s="5" t="str">
        <f ca="1">Scorebook!$R$149</f>
        <v>Aidan</v>
      </c>
      <c r="U75" s="5" t="str">
        <f ca="1">Scorebook!$B$185</f>
        <v>Pink Yoshi</v>
      </c>
      <c r="V75" s="4">
        <v>9</v>
      </c>
      <c r="W75" s="5">
        <f ca="1">Scorebook!M185</f>
        <v>1</v>
      </c>
      <c r="X75" s="5">
        <f ca="1">Scorebook!N185</f>
        <v>0</v>
      </c>
      <c r="Y75" s="5">
        <f ca="1">Scorebook!O185</f>
        <v>0</v>
      </c>
      <c r="Z75" s="5">
        <f ca="1">Scorebook!P185</f>
        <v>0</v>
      </c>
      <c r="AA75" s="5">
        <f ca="1">Scorebook!Q185</f>
        <v>0</v>
      </c>
      <c r="AB75" s="5">
        <f ca="1">Scorebook!R185</f>
        <v>0</v>
      </c>
      <c r="AC75" s="5">
        <f ca="1">Scorebook!S185</f>
        <v>0</v>
      </c>
      <c r="AD75" s="5">
        <f ca="1">Scorebook!T185</f>
        <v>0</v>
      </c>
      <c r="AE75" s="5">
        <f ca="1">Scorebook!U185</f>
        <v>0</v>
      </c>
      <c r="AF75" s="5">
        <f ca="1">Scorebook!V185</f>
        <v>0</v>
      </c>
      <c r="AG75" s="5">
        <f ca="1">Scorebook!W185</f>
        <v>0</v>
      </c>
      <c r="AH75" s="5">
        <f ca="1">Scorebook!X185</f>
        <v>0</v>
      </c>
      <c r="AI75" s="5">
        <f>Settings!$B$2</f>
        <v>1</v>
      </c>
      <c r="AJ75" s="18">
        <f ca="1">IF($AK75="","",Scorebook!$O$292)</f>
      </c>
      <c r="AK75" s="4" t="str">
        <f ca="1">Scorebook!$F$247</f>
        <v>G6</v>
      </c>
      <c r="AL75" s="5" t="str">
        <f ca="1">Scorebook!$R$247</f>
        <v>Donovan</v>
      </c>
      <c r="AM75" s="5" t="str">
        <f>Scorebook!$B$292</f>
      </c>
      <c r="AN75" s="5">
        <f ca="1">IF(Scorebook!C292="","",INT(Scorebook!C292)+MOD(ROUND(Scorebook!C292*10,0),10)/3)</f>
      </c>
      <c r="AO75" s="5" cm="1">
        <f t="array" aca="1" ref="AO75" ca="1">IF($AK75="","",_xlfn.LET(_xlpm.auto,AND(MOD(ROW()-4,6)=0,$AM75&lt;&gt;0,SUMPRODUCT(--(OFFSET($AM75,1,0,5,1)&lt;&gt;0))=0),_xlpm.oppA,_xlfn.XLOOKUP($AK75,$H$4:$H$18,$J$4:$J$18,""),_xlpm.oppB,_xlfn.XLOOKUP($AK75,$H$4:$H$18,$K$4:$K$18,""),_xlpm.opp,IF($AL75=_xlpm.oppA,_xlpm.oppB,_xlpm.oppA),IF(_xlpm.auto,SUMIFS($Y$4:$Y$273,$S$4:$S$273,$AK75,$T$4:$T$273,_xlpm.opp),Scorebook!D292)))</f>
      </c>
      <c r="AP75" s="5" cm="1">
        <f t="array" aca="1" ref="AP75" ca="1">IF($AK75="","",_xlfn.LET(_xlpm.auto,AND(MOD(ROW()-4,6)=0,$AM75&lt;&gt;0,SUMPRODUCT(--(OFFSET($AM75,1,0,5,1)&lt;&gt;0))=0),_xlpm.oppA,_xlfn.XLOOKUP($AK75,$H$4:$H$18,$J$4:$J$18,""),_xlpm.oppRuns,IF($AL75=_xlpm.oppA,_xlfn.XLOOKUP($AK75,$H$4:$H$18,$O$4:$O$18,""),_xlfn.XLOOKUP($AK75,$H$4:$H$18,$N$4:$N$18,"")),IF(_xlpm.auto,_xlpm.oppRuns,Scorebook!E292)))</f>
      </c>
      <c r="AQ75" s="5">
        <f ca="1">Scorebook!F292</f>
      </c>
      <c r="AR75" s="5" cm="1">
        <f t="array" aca="1" ref="AR75" ca="1">IF($AK75="","",_xlfn.LET(_xlpm.auto,AND(MOD(ROW()-4,6)=0,$AM75&lt;&gt;0,SUMPRODUCT(--(OFFSET($AM75,1,0,5,1)&lt;&gt;0))=0),_xlpm.oppA,_xlfn.XLOOKUP($AK75,$H$4:$H$18,$J$4:$J$18,""),_xlpm.oppB,_xlfn.XLOOKUP($AK75,$H$4:$H$18,$K$4:$K$18,""),_xlpm.opp,IF($AL75=_xlpm.oppA,_xlpm.oppB,_xlpm.oppA),IF(_xlpm.auto,SUMIFS($AD$4:$AD$273,$S$4:$S$273,$AK75,$T$4:$T$273,_xlpm.opp),Scorebook!G292)))</f>
      </c>
      <c r="AS75" s="5" cm="1">
        <f t="array" aca="1" ref="AS75" ca="1">IF($AK75="","",_xlfn.LET(_xlpm.auto,AND(MOD(ROW()-4,6)=0,$AM75&lt;&gt;0,SUMPRODUCT(--(OFFSET($AM75,1,0,5,1)&lt;&gt;0))=0),_xlpm.oppA,_xlfn.XLOOKUP($AK75,$H$4:$H$18,$J$4:$J$18,""),_xlpm.oppB,_xlfn.XLOOKUP($AK75,$H$4:$H$18,$K$4:$K$18,""),_xlpm.opp,IF($AL75=_xlpm.oppA,_xlpm.oppB,_xlpm.oppA),IF(_xlpm.auto,SUMIFS($AE$4:$AE$273,$S$4:$S$273,$AK75,$T$4:$T$273,_xlpm.opp),Scorebook!H292)))</f>
      </c>
      <c r="AT75" s="5" cm="1">
        <f t="array" aca="1" ref="AT75" ca="1">IF($AK75="","",_xlfn.LET(_xlpm.auto,AND(MOD(ROW()-4,6)=0,$AM75&lt;&gt;0,SUMPRODUCT(--(OFFSET($AM75,1,0,5,1)&lt;&gt;0))=0),_xlpm.oppA,_xlfn.XLOOKUP($AK75,$H$4:$H$18,$J$4:$J$18,""),_xlpm.oppB,_xlfn.XLOOKUP($AK75,$H$4:$H$18,$K$4:$K$18,""),_xlpm.opp,IF($AL75=_xlpm.oppA,_xlpm.oppB,_xlpm.oppA),IF(_xlpm.auto,SUMIFS($AB$4:$AB$273,$S$4:$S$273,$AK75,$T$4:$T$273,_xlpm.opp),Scorebook!I292)))</f>
      </c>
      <c r="AU75" s="5" cm="1">
        <f t="array" aca="1" ref="AU75" ca="1">IF($AK75="","",_xlfn.LET(_xlpm.auto,AND(MOD(ROW()-4,6)=0,$AM75&lt;&gt;0,SUMPRODUCT(--(OFFSET($AM75,1,0,5,1)&lt;&gt;0))=0),_xlpm.winner,_xlfn.XLOOKUP($AK75,$H$4:$H$18,$L$4:$L$18,""),IF(_xlpm.auto,--($AL75=_xlpm.winner),Scorebook!J292)))</f>
      </c>
      <c r="AV75" s="5" cm="1">
        <f t="array" aca="1" ref="AV75" ca="1">IF($AK75="","",_xlfn.LET(_xlpm.auto,AND(MOD(ROW()-4,6)=0,$AM75&lt;&gt;0,SUMPRODUCT(--(OFFSET($AM75,1,0,5,1)&lt;&gt;0))=0),_xlpm.loser,_xlfn.XLOOKUP($AK75,$H$4:$H$18,$M$4:$M$18,""),IF(_xlpm.auto,--($AL75=_xlpm.loser),Scorebook!K292)))</f>
      </c>
      <c r="AW75" s="5">
        <f ca="1">Scorebook!L292</f>
      </c>
      <c r="AX75" s="5" cm="1">
        <f t="array" aca="1" ref="AX75" ca="1">IF($AK75="","",_xlfn.LET(_xlpm.auto,AND(MOD(ROW()-4,6)=0,$AM75&lt;&gt;0,SUMPRODUCT(--(OFFSET($AM75,1,0,5,1)&lt;&gt;0))=0),_xlpm.oppA,_xlfn.XLOOKUP($AK75,$H$4:$H$18,$J$4:$J$18,""),_xlpm.oppRuns,IF($AL75=_xlpm.oppA,_xlfn.XLOOKUP($AK75,$H$4:$H$18,$O$4:$O$18,""),_xlfn.XLOOKUP($AK75,$H$4:$H$18,$N$4:$N$18,"")),IF(_xlpm.auto,--(_xlpm.oppRuns=0),Scorebook!M292)))</f>
      </c>
      <c r="AY75" s="5" cm="1">
        <f t="array" aca="1" ref="AY75" ca="1">IF($AK75="","",_xlfn.LET(_xlpm.auto,AND(MOD(ROW()-4,6)=0,$AM75&lt;&gt;0,SUMPRODUCT(--(OFFSET($AM75,1,0,5,1)&lt;&gt;0))=0),IF(_xlpm.auto,1,Scorebook!N292)))</f>
      </c>
      <c r="AZ75" s="10"/>
      <c r="BA75" s="10"/>
      <c r="BB75" s="5">
        <f>Settings!$B$2</f>
        <v>1</v>
      </c>
      <c r="BC75" s="5">
        <f>Betting!A77</f>
        <v>0</v>
      </c>
      <c r="BD75" s="5">
        <f>Betting!B77</f>
        <v>0</v>
      </c>
      <c r="BE75" s="5">
        <f>Betting!C77</f>
        <v>0</v>
      </c>
      <c r="BF75" s="5">
        <f>Betting!D77</f>
        <v>0</v>
      </c>
      <c r="BG75" s="5">
        <f>Betting!E77</f>
        <v>0</v>
      </c>
      <c r="BH75" s="5">
        <f>Betting!F77</f>
        <v>0</v>
      </c>
      <c r="BI75" s="4">
        <f>Betting!G77</f>
        <v>0</v>
      </c>
      <c r="BJ75" s="4">
        <f>Betting!H77</f>
        <v>0</v>
      </c>
    </row>
    <row r="76" spans="1:6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4" t="str">
        <f ca="1">Scorebook!$F$198</f>
        <v>G5</v>
      </c>
      <c r="T76" s="5" t="str">
        <f ca="1">Scorebook!$N$198</f>
        <v>May</v>
      </c>
      <c r="U76" s="5" t="str">
        <f ca="1">Scorebook!$B$205</f>
        <v>Red Kritter</v>
      </c>
      <c r="V76" s="4">
        <v>1</v>
      </c>
      <c r="W76" s="5">
        <f ca="1">Scorebook!M205</f>
        <v>1</v>
      </c>
      <c r="X76" s="5">
        <f ca="1">Scorebook!N205</f>
        <v>1</v>
      </c>
      <c r="Y76" s="5">
        <f ca="1">Scorebook!O205</f>
        <v>1</v>
      </c>
      <c r="Z76" s="5">
        <f ca="1">Scorebook!P205</f>
        <v>0</v>
      </c>
      <c r="AA76" s="5">
        <f ca="1">Scorebook!Q205</f>
        <v>0</v>
      </c>
      <c r="AB76" s="5">
        <f ca="1">Scorebook!R205</f>
        <v>1</v>
      </c>
      <c r="AC76" s="5">
        <f ca="1">Scorebook!S205</f>
        <v>1</v>
      </c>
      <c r="AD76" s="5">
        <f ca="1">Scorebook!T205</f>
        <v>0</v>
      </c>
      <c r="AE76" s="5">
        <f ca="1">Scorebook!U205</f>
        <v>0</v>
      </c>
      <c r="AF76" s="5">
        <f ca="1">Scorebook!V205</f>
        <v>0</v>
      </c>
      <c r="AG76" s="5">
        <f ca="1">Scorebook!W205</f>
        <v>0</v>
      </c>
      <c r="AH76" s="5">
        <f ca="1">Scorebook!X205</f>
        <v>0</v>
      </c>
      <c r="AI76" s="5">
        <f>Settings!$B$2</f>
        <v>1</v>
      </c>
      <c r="AJ76" s="18">
        <f ca="1">IF($AK76="","",Scorebook!$O$315)</f>
        <v>9</v>
      </c>
      <c r="AK76" s="4" t="str">
        <f ca="1">Scorebook!$F$296</f>
        <v>G7</v>
      </c>
      <c r="AL76" s="5" t="str">
        <f ca="1">Scorebook!$N$296</f>
        <v>May</v>
      </c>
      <c r="AM76" s="5" t="str">
        <f ca="1">Scorebook!$B$315</f>
        <v>King Boo</v>
      </c>
      <c r="AN76" s="5">
        <f ca="1">IF(Scorebook!C315="","",INT(Scorebook!C315)+MOD(ROUND(Scorebook!C315*10,0),10)/3)</f>
        <v>3.0</v>
      </c>
      <c r="AO76" s="5" cm="1">
        <f t="array" aca="1" ref="AO76" ca="1">IF($AK76="","",_xlfn.LET(_xlpm.auto,AND(MOD(ROW()-4,6)=0,$AM76&lt;&gt;0,SUMPRODUCT(--(OFFSET($AM76,1,0,5,1)&lt;&gt;0))=0),_xlpm.oppA,_xlfn.XLOOKUP($AK76,$H$4:$H$18,$J$4:$J$18,""),_xlpm.oppB,_xlfn.XLOOKUP($AK76,$H$4:$H$18,$K$4:$K$18,""),_xlpm.opp,IF($AL76=_xlpm.oppA,_xlpm.oppB,_xlpm.oppA),IF(_xlpm.auto,SUMIFS($Y$4:$Y$273,$S$4:$S$273,$AK76,$T$4:$T$273,_xlpm.opp),Scorebook!D315)))</f>
        <v>1</v>
      </c>
      <c r="AP76" s="5" cm="1">
        <f t="array" aca="1" ref="AP76" ca="1">IF($AK76="","",_xlfn.LET(_xlpm.auto,AND(MOD(ROW()-4,6)=0,$AM76&lt;&gt;0,SUMPRODUCT(--(OFFSET($AM76,1,0,5,1)&lt;&gt;0))=0),_xlpm.oppA,_xlfn.XLOOKUP($AK76,$H$4:$H$18,$J$4:$J$18,""),_xlpm.oppRuns,IF($AL76=_xlpm.oppA,_xlfn.XLOOKUP($AK76,$H$4:$H$18,$O$4:$O$18,""),_xlfn.XLOOKUP($AK76,$H$4:$H$18,$N$4:$N$18,"")),IF(_xlpm.auto,_xlpm.oppRuns,Scorebook!E315)))</f>
        <v>0</v>
      </c>
      <c r="AQ76" s="5">
        <f ca="1">Scorebook!F315</f>
        <v>0</v>
      </c>
      <c r="AR76" s="5" cm="1">
        <f t="array" aca="1" ref="AR76" ca="1">IF($AK76="","",_xlfn.LET(_xlpm.auto,AND(MOD(ROW()-4,6)=0,$AM76&lt;&gt;0,SUMPRODUCT(--(OFFSET($AM76,1,0,5,1)&lt;&gt;0))=0),_xlpm.oppA,_xlfn.XLOOKUP($AK76,$H$4:$H$18,$J$4:$J$18,""),_xlpm.oppB,_xlfn.XLOOKUP($AK76,$H$4:$H$18,$K$4:$K$18,""),_xlpm.opp,IF($AL76=_xlpm.oppA,_xlpm.oppB,_xlpm.oppA),IF(_xlpm.auto,SUMIFS($AD$4:$AD$273,$S$4:$S$273,$AK76,$T$4:$T$273,_xlpm.opp),Scorebook!G315)))</f>
        <v>0</v>
      </c>
      <c r="AS76" s="5" cm="1">
        <f t="array" aca="1" ref="AS76" ca="1">IF($AK76="","",_xlfn.LET(_xlpm.auto,AND(MOD(ROW()-4,6)=0,$AM76&lt;&gt;0,SUMPRODUCT(--(OFFSET($AM76,1,0,5,1)&lt;&gt;0))=0),_xlpm.oppA,_xlfn.XLOOKUP($AK76,$H$4:$H$18,$J$4:$J$18,""),_xlpm.oppB,_xlfn.XLOOKUP($AK76,$H$4:$H$18,$K$4:$K$18,""),_xlpm.opp,IF($AL76=_xlpm.oppA,_xlpm.oppB,_xlpm.oppA),IF(_xlpm.auto,SUMIFS($AE$4:$AE$273,$S$4:$S$273,$AK76,$T$4:$T$273,_xlpm.opp),Scorebook!H315)))</f>
        <v>3</v>
      </c>
      <c r="AT76" s="5" cm="1">
        <f t="array" aca="1" ref="AT76" ca="1">IF($AK76="","",_xlfn.LET(_xlpm.auto,AND(MOD(ROW()-4,6)=0,$AM76&lt;&gt;0,SUMPRODUCT(--(OFFSET($AM76,1,0,5,1)&lt;&gt;0))=0),_xlpm.oppA,_xlfn.XLOOKUP($AK76,$H$4:$H$18,$J$4:$J$18,""),_xlpm.oppB,_xlfn.XLOOKUP($AK76,$H$4:$H$18,$K$4:$K$18,""),_xlpm.opp,IF($AL76=_xlpm.oppA,_xlpm.oppB,_xlpm.oppA),IF(_xlpm.auto,SUMIFS($AB$4:$AB$273,$S$4:$S$273,$AK76,$T$4:$T$273,_xlpm.opp),Scorebook!I315)))</f>
        <v>0</v>
      </c>
      <c r="AU76" s="5" cm="1">
        <f t="array" aca="1" ref="AU76" ca="1">IF($AK76="","",_xlfn.LET(_xlpm.auto,AND(MOD(ROW()-4,6)=0,$AM76&lt;&gt;0,SUMPRODUCT(--(OFFSET($AM76,1,0,5,1)&lt;&gt;0))=0),_xlpm.winner,_xlfn.XLOOKUP($AK76,$H$4:$H$18,$L$4:$L$18,""),IF(_xlpm.auto,--($AL76=_xlpm.winner),Scorebook!J315)))</f>
        <v>1</v>
      </c>
      <c r="AV76" s="5" cm="1">
        <f t="array" aca="1" ref="AV76" ca="1">IF($AK76="","",_xlfn.LET(_xlpm.auto,AND(MOD(ROW()-4,6)=0,$AM76&lt;&gt;0,SUMPRODUCT(--(OFFSET($AM76,1,0,5,1)&lt;&gt;0))=0),_xlpm.loser,_xlfn.XLOOKUP($AK76,$H$4:$H$18,$M$4:$M$18,""),IF(_xlpm.auto,--($AL76=_xlpm.loser),Scorebook!K315)))</f>
        <v>0</v>
      </c>
      <c r="AW76" s="5">
        <f ca="1">Scorebook!L315</f>
        <v>0</v>
      </c>
      <c r="AX76" s="5" cm="1">
        <f t="array" aca="1" ref="AX76" ca="1">IF($AK76="","",_xlfn.LET(_xlpm.auto,AND(MOD(ROW()-4,6)=0,$AM76&lt;&gt;0,SUMPRODUCT(--(OFFSET($AM76,1,0,5,1)&lt;&gt;0))=0),_xlpm.oppA,_xlfn.XLOOKUP($AK76,$H$4:$H$18,$J$4:$J$18,""),_xlpm.oppRuns,IF($AL76=_xlpm.oppA,_xlfn.XLOOKUP($AK76,$H$4:$H$18,$O$4:$O$18,""),_xlfn.XLOOKUP($AK76,$H$4:$H$18,$N$4:$N$18,"")),IF(_xlpm.auto,--(_xlpm.oppRuns=0),Scorebook!M315)))</f>
        <v>1</v>
      </c>
      <c r="AY76" s="5" cm="1">
        <f t="array" aca="1" ref="AY76" ca="1">IF($AK76="","",_xlfn.LET(_xlpm.auto,AND(MOD(ROW()-4,6)=0,$AM76&lt;&gt;0,SUMPRODUCT(--(OFFSET($AM76,1,0,5,1)&lt;&gt;0))=0),IF(_xlpm.auto,1,Scorebook!N315)))</f>
        <v>1</v>
      </c>
      <c r="AZ76" s="10"/>
      <c r="BA76" s="10"/>
      <c r="BB76" s="5">
        <f>Settings!$B$2</f>
        <v>1</v>
      </c>
      <c r="BC76" s="5">
        <f>Betting!A78</f>
        <v>0</v>
      </c>
      <c r="BD76" s="5">
        <f>Betting!B78</f>
        <v>0</v>
      </c>
      <c r="BE76" s="5">
        <f>Betting!C78</f>
        <v>0</v>
      </c>
      <c r="BF76" s="5">
        <f>Betting!D78</f>
        <v>0</v>
      </c>
      <c r="BG76" s="5">
        <f>Betting!E78</f>
        <v>0</v>
      </c>
      <c r="BH76" s="5">
        <f>Betting!F78</f>
        <v>0</v>
      </c>
      <c r="BI76" s="4">
        <f>Betting!G78</f>
        <v>0</v>
      </c>
      <c r="BJ76" s="4">
        <f>Betting!H78</f>
        <v>0</v>
      </c>
    </row>
    <row r="77" spans="1:6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4" t="str">
        <f ca="1">Scorebook!$F$198</f>
        <v>G5</v>
      </c>
      <c r="T77" s="5" t="str">
        <f ca="1">Scorebook!$N$198</f>
        <v>May</v>
      </c>
      <c r="U77" s="5" t="str">
        <f ca="1">Scorebook!$B$206</f>
        <v>Birdo</v>
      </c>
      <c r="V77" s="4">
        <v>2</v>
      </c>
      <c r="W77" s="5">
        <f ca="1">Scorebook!M206</f>
        <v>1</v>
      </c>
      <c r="X77" s="5">
        <f ca="1">Scorebook!N206</f>
        <v>0</v>
      </c>
      <c r="Y77" s="5">
        <f ca="1">Scorebook!O206</f>
        <v>0</v>
      </c>
      <c r="Z77" s="5">
        <f ca="1">Scorebook!P206</f>
        <v>0</v>
      </c>
      <c r="AA77" s="5">
        <f ca="1">Scorebook!Q206</f>
        <v>0</v>
      </c>
      <c r="AB77" s="5">
        <f ca="1">Scorebook!R206</f>
        <v>0</v>
      </c>
      <c r="AC77" s="5">
        <f ca="1">Scorebook!S206</f>
        <v>0</v>
      </c>
      <c r="AD77" s="5">
        <f ca="1">Scorebook!T206</f>
        <v>0</v>
      </c>
      <c r="AE77" s="5">
        <f ca="1">Scorebook!U206</f>
        <v>0</v>
      </c>
      <c r="AF77" s="5">
        <f ca="1">Scorebook!V206</f>
        <v>0</v>
      </c>
      <c r="AG77" s="5">
        <f ca="1">Scorebook!W206</f>
        <v>0</v>
      </c>
      <c r="AH77" s="5">
        <f ca="1">Scorebook!X206</f>
        <v>0</v>
      </c>
      <c r="AI77" s="5">
        <f>Settings!$B$2</f>
        <v>1</v>
      </c>
      <c r="AJ77" s="18">
        <f ca="1">IF($AK77="","",Scorebook!$O$316)</f>
      </c>
      <c r="AK77" s="4" t="str">
        <f ca="1">Scorebook!$F$296</f>
        <v>G7</v>
      </c>
      <c r="AL77" s="5" t="str">
        <f ca="1">Scorebook!$N$296</f>
        <v>May</v>
      </c>
      <c r="AM77" s="5" t="str">
        <f>Scorebook!$B$316</f>
      </c>
      <c r="AN77" s="5">
        <f ca="1">IF(Scorebook!C316="","",INT(Scorebook!C316)+MOD(ROUND(Scorebook!C316*10,0),10)/3)</f>
      </c>
      <c r="AO77" s="5" cm="1">
        <f t="array" aca="1" ref="AO77" ca="1">IF($AK77="","",_xlfn.LET(_xlpm.auto,AND(MOD(ROW()-4,6)=0,$AM77&lt;&gt;0,SUMPRODUCT(--(OFFSET($AM77,1,0,5,1)&lt;&gt;0))=0),_xlpm.oppA,_xlfn.XLOOKUP($AK77,$H$4:$H$18,$J$4:$J$18,""),_xlpm.oppB,_xlfn.XLOOKUP($AK77,$H$4:$H$18,$K$4:$K$18,""),_xlpm.opp,IF($AL77=_xlpm.oppA,_xlpm.oppB,_xlpm.oppA),IF(_xlpm.auto,SUMIFS($Y$4:$Y$273,$S$4:$S$273,$AK77,$T$4:$T$273,_xlpm.opp),Scorebook!D316)))</f>
      </c>
      <c r="AP77" s="5" cm="1">
        <f t="array" aca="1" ref="AP77" ca="1">IF($AK77="","",_xlfn.LET(_xlpm.auto,AND(MOD(ROW()-4,6)=0,$AM77&lt;&gt;0,SUMPRODUCT(--(OFFSET($AM77,1,0,5,1)&lt;&gt;0))=0),_xlpm.oppA,_xlfn.XLOOKUP($AK77,$H$4:$H$18,$J$4:$J$18,""),_xlpm.oppRuns,IF($AL77=_xlpm.oppA,_xlfn.XLOOKUP($AK77,$H$4:$H$18,$O$4:$O$18,""),_xlfn.XLOOKUP($AK77,$H$4:$H$18,$N$4:$N$18,"")),IF(_xlpm.auto,_xlpm.oppRuns,Scorebook!E316)))</f>
      </c>
      <c r="AQ77" s="5">
        <f ca="1">Scorebook!F316</f>
      </c>
      <c r="AR77" s="5" cm="1">
        <f t="array" aca="1" ref="AR77" ca="1">IF($AK77="","",_xlfn.LET(_xlpm.auto,AND(MOD(ROW()-4,6)=0,$AM77&lt;&gt;0,SUMPRODUCT(--(OFFSET($AM77,1,0,5,1)&lt;&gt;0))=0),_xlpm.oppA,_xlfn.XLOOKUP($AK77,$H$4:$H$18,$J$4:$J$18,""),_xlpm.oppB,_xlfn.XLOOKUP($AK77,$H$4:$H$18,$K$4:$K$18,""),_xlpm.opp,IF($AL77=_xlpm.oppA,_xlpm.oppB,_xlpm.oppA),IF(_xlpm.auto,SUMIFS($AD$4:$AD$273,$S$4:$S$273,$AK77,$T$4:$T$273,_xlpm.opp),Scorebook!G316)))</f>
      </c>
      <c r="AS77" s="5" cm="1">
        <f t="array" aca="1" ref="AS77" ca="1">IF($AK77="","",_xlfn.LET(_xlpm.auto,AND(MOD(ROW()-4,6)=0,$AM77&lt;&gt;0,SUMPRODUCT(--(OFFSET($AM77,1,0,5,1)&lt;&gt;0))=0),_xlpm.oppA,_xlfn.XLOOKUP($AK77,$H$4:$H$18,$J$4:$J$18,""),_xlpm.oppB,_xlfn.XLOOKUP($AK77,$H$4:$H$18,$K$4:$K$18,""),_xlpm.opp,IF($AL77=_xlpm.oppA,_xlpm.oppB,_xlpm.oppA),IF(_xlpm.auto,SUMIFS($AE$4:$AE$273,$S$4:$S$273,$AK77,$T$4:$T$273,_xlpm.opp),Scorebook!H316)))</f>
      </c>
      <c r="AT77" s="5" cm="1">
        <f t="array" aca="1" ref="AT77" ca="1">IF($AK77="","",_xlfn.LET(_xlpm.auto,AND(MOD(ROW()-4,6)=0,$AM77&lt;&gt;0,SUMPRODUCT(--(OFFSET($AM77,1,0,5,1)&lt;&gt;0))=0),_xlpm.oppA,_xlfn.XLOOKUP($AK77,$H$4:$H$18,$J$4:$J$18,""),_xlpm.oppB,_xlfn.XLOOKUP($AK77,$H$4:$H$18,$K$4:$K$18,""),_xlpm.opp,IF($AL77=_xlpm.oppA,_xlpm.oppB,_xlpm.oppA),IF(_xlpm.auto,SUMIFS($AB$4:$AB$273,$S$4:$S$273,$AK77,$T$4:$T$273,_xlpm.opp),Scorebook!I316)))</f>
      </c>
      <c r="AU77" s="5" cm="1">
        <f t="array" aca="1" ref="AU77" ca="1">IF($AK77="","",_xlfn.LET(_xlpm.auto,AND(MOD(ROW()-4,6)=0,$AM77&lt;&gt;0,SUMPRODUCT(--(OFFSET($AM77,1,0,5,1)&lt;&gt;0))=0),_xlpm.winner,_xlfn.XLOOKUP($AK77,$H$4:$H$18,$L$4:$L$18,""),IF(_xlpm.auto,--($AL77=_xlpm.winner),Scorebook!J316)))</f>
      </c>
      <c r="AV77" s="5" cm="1">
        <f t="array" aca="1" ref="AV77" ca="1">IF($AK77="","",_xlfn.LET(_xlpm.auto,AND(MOD(ROW()-4,6)=0,$AM77&lt;&gt;0,SUMPRODUCT(--(OFFSET($AM77,1,0,5,1)&lt;&gt;0))=0),_xlpm.loser,_xlfn.XLOOKUP($AK77,$H$4:$H$18,$M$4:$M$18,""),IF(_xlpm.auto,--($AL77=_xlpm.loser),Scorebook!K316)))</f>
      </c>
      <c r="AW77" s="5">
        <f ca="1">Scorebook!L316</f>
      </c>
      <c r="AX77" s="5" cm="1">
        <f t="array" aca="1" ref="AX77" ca="1">IF($AK77="","",_xlfn.LET(_xlpm.auto,AND(MOD(ROW()-4,6)=0,$AM77&lt;&gt;0,SUMPRODUCT(--(OFFSET($AM77,1,0,5,1)&lt;&gt;0))=0),_xlpm.oppA,_xlfn.XLOOKUP($AK77,$H$4:$H$18,$J$4:$J$18,""),_xlpm.oppRuns,IF($AL77=_xlpm.oppA,_xlfn.XLOOKUP($AK77,$H$4:$H$18,$O$4:$O$18,""),_xlfn.XLOOKUP($AK77,$H$4:$H$18,$N$4:$N$18,"")),IF(_xlpm.auto,--(_xlpm.oppRuns=0),Scorebook!M316)))</f>
      </c>
      <c r="AY77" s="5" cm="1">
        <f t="array" aca="1" ref="AY77" ca="1">IF($AK77="","",_xlfn.LET(_xlpm.auto,AND(MOD(ROW()-4,6)=0,$AM77&lt;&gt;0,SUMPRODUCT(--(OFFSET($AM77,1,0,5,1)&lt;&gt;0))=0),IF(_xlpm.auto,1,Scorebook!N316)))</f>
      </c>
      <c r="AZ77" s="10"/>
      <c r="BA77" s="10"/>
      <c r="BB77" s="5">
        <f>Settings!$B$2</f>
        <v>1</v>
      </c>
      <c r="BC77" s="5">
        <f>Betting!A79</f>
        <v>0</v>
      </c>
      <c r="BD77" s="5">
        <f>Betting!B79</f>
        <v>0</v>
      </c>
      <c r="BE77" s="5">
        <f>Betting!C79</f>
        <v>0</v>
      </c>
      <c r="BF77" s="5">
        <f>Betting!D79</f>
        <v>0</v>
      </c>
      <c r="BG77" s="5">
        <f>Betting!E79</f>
        <v>0</v>
      </c>
      <c r="BH77" s="5">
        <f>Betting!F79</f>
        <v>0</v>
      </c>
      <c r="BI77" s="4">
        <f>Betting!G79</f>
        <v>0</v>
      </c>
      <c r="BJ77" s="4">
        <f>Betting!H79</f>
        <v>0</v>
      </c>
    </row>
    <row r="78" spans="1:6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4" t="str">
        <f ca="1">Scorebook!$F$198</f>
        <v>G5</v>
      </c>
      <c r="T78" s="5" t="str">
        <f ca="1">Scorebook!$N$198</f>
        <v>May</v>
      </c>
      <c r="U78" s="5" t="str">
        <f ca="1">Scorebook!$B$207</f>
        <v>Petey Piranha</v>
      </c>
      <c r="V78" s="4">
        <v>3</v>
      </c>
      <c r="W78" s="5">
        <f ca="1">Scorebook!M207</f>
        <v>1</v>
      </c>
      <c r="X78" s="5">
        <f ca="1">Scorebook!N207</f>
        <v>0</v>
      </c>
      <c r="Y78" s="5">
        <f ca="1">Scorebook!O207</f>
        <v>0</v>
      </c>
      <c r="Z78" s="5">
        <f ca="1">Scorebook!P207</f>
        <v>0</v>
      </c>
      <c r="AA78" s="5">
        <f ca="1">Scorebook!Q207</f>
        <v>0</v>
      </c>
      <c r="AB78" s="5">
        <f ca="1">Scorebook!R207</f>
        <v>0</v>
      </c>
      <c r="AC78" s="5">
        <f ca="1">Scorebook!S207</f>
        <v>0</v>
      </c>
      <c r="AD78" s="5">
        <f ca="1">Scorebook!T207</f>
        <v>0</v>
      </c>
      <c r="AE78" s="5">
        <f ca="1">Scorebook!U207</f>
        <v>0</v>
      </c>
      <c r="AF78" s="5">
        <f ca="1">Scorebook!V207</f>
        <v>0</v>
      </c>
      <c r="AG78" s="5">
        <f ca="1">Scorebook!W207</f>
        <v>0</v>
      </c>
      <c r="AH78" s="5">
        <f ca="1">Scorebook!X207</f>
        <v>0</v>
      </c>
      <c r="AI78" s="5">
        <f>Settings!$B$2</f>
        <v>1</v>
      </c>
      <c r="AJ78" s="18">
        <f ca="1">IF($AK78="","",Scorebook!$O$317)</f>
      </c>
      <c r="AK78" s="4" t="str">
        <f ca="1">Scorebook!$F$296</f>
        <v>G7</v>
      </c>
      <c r="AL78" s="5" t="str">
        <f ca="1">Scorebook!$N$296</f>
        <v>May</v>
      </c>
      <c r="AM78" s="5" t="str">
        <f>Scorebook!$B$317</f>
      </c>
      <c r="AN78" s="5">
        <f ca="1">IF(Scorebook!C317="","",INT(Scorebook!C317)+MOD(ROUND(Scorebook!C317*10,0),10)/3)</f>
      </c>
      <c r="AO78" s="5" cm="1">
        <f t="array" aca="1" ref="AO78" ca="1">IF($AK78="","",_xlfn.LET(_xlpm.auto,AND(MOD(ROW()-4,6)=0,$AM78&lt;&gt;0,SUMPRODUCT(--(OFFSET($AM78,1,0,5,1)&lt;&gt;0))=0),_xlpm.oppA,_xlfn.XLOOKUP($AK78,$H$4:$H$18,$J$4:$J$18,""),_xlpm.oppB,_xlfn.XLOOKUP($AK78,$H$4:$H$18,$K$4:$K$18,""),_xlpm.opp,IF($AL78=_xlpm.oppA,_xlpm.oppB,_xlpm.oppA),IF(_xlpm.auto,SUMIFS($Y$4:$Y$273,$S$4:$S$273,$AK78,$T$4:$T$273,_xlpm.opp),Scorebook!D317)))</f>
      </c>
      <c r="AP78" s="5" cm="1">
        <f t="array" aca="1" ref="AP78" ca="1">IF($AK78="","",_xlfn.LET(_xlpm.auto,AND(MOD(ROW()-4,6)=0,$AM78&lt;&gt;0,SUMPRODUCT(--(OFFSET($AM78,1,0,5,1)&lt;&gt;0))=0),_xlpm.oppA,_xlfn.XLOOKUP($AK78,$H$4:$H$18,$J$4:$J$18,""),_xlpm.oppRuns,IF($AL78=_xlpm.oppA,_xlfn.XLOOKUP($AK78,$H$4:$H$18,$O$4:$O$18,""),_xlfn.XLOOKUP($AK78,$H$4:$H$18,$N$4:$N$18,"")),IF(_xlpm.auto,_xlpm.oppRuns,Scorebook!E317)))</f>
      </c>
      <c r="AQ78" s="5">
        <f ca="1">Scorebook!F317</f>
      </c>
      <c r="AR78" s="5" cm="1">
        <f t="array" aca="1" ref="AR78" ca="1">IF($AK78="","",_xlfn.LET(_xlpm.auto,AND(MOD(ROW()-4,6)=0,$AM78&lt;&gt;0,SUMPRODUCT(--(OFFSET($AM78,1,0,5,1)&lt;&gt;0))=0),_xlpm.oppA,_xlfn.XLOOKUP($AK78,$H$4:$H$18,$J$4:$J$18,""),_xlpm.oppB,_xlfn.XLOOKUP($AK78,$H$4:$H$18,$K$4:$K$18,""),_xlpm.opp,IF($AL78=_xlpm.oppA,_xlpm.oppB,_xlpm.oppA),IF(_xlpm.auto,SUMIFS($AD$4:$AD$273,$S$4:$S$273,$AK78,$T$4:$T$273,_xlpm.opp),Scorebook!G317)))</f>
      </c>
      <c r="AS78" s="5" cm="1">
        <f t="array" aca="1" ref="AS78" ca="1">IF($AK78="","",_xlfn.LET(_xlpm.auto,AND(MOD(ROW()-4,6)=0,$AM78&lt;&gt;0,SUMPRODUCT(--(OFFSET($AM78,1,0,5,1)&lt;&gt;0))=0),_xlpm.oppA,_xlfn.XLOOKUP($AK78,$H$4:$H$18,$J$4:$J$18,""),_xlpm.oppB,_xlfn.XLOOKUP($AK78,$H$4:$H$18,$K$4:$K$18,""),_xlpm.opp,IF($AL78=_xlpm.oppA,_xlpm.oppB,_xlpm.oppA),IF(_xlpm.auto,SUMIFS($AE$4:$AE$273,$S$4:$S$273,$AK78,$T$4:$T$273,_xlpm.opp),Scorebook!H317)))</f>
      </c>
      <c r="AT78" s="5" cm="1">
        <f t="array" aca="1" ref="AT78" ca="1">IF($AK78="","",_xlfn.LET(_xlpm.auto,AND(MOD(ROW()-4,6)=0,$AM78&lt;&gt;0,SUMPRODUCT(--(OFFSET($AM78,1,0,5,1)&lt;&gt;0))=0),_xlpm.oppA,_xlfn.XLOOKUP($AK78,$H$4:$H$18,$J$4:$J$18,""),_xlpm.oppB,_xlfn.XLOOKUP($AK78,$H$4:$H$18,$K$4:$K$18,""),_xlpm.opp,IF($AL78=_xlpm.oppA,_xlpm.oppB,_xlpm.oppA),IF(_xlpm.auto,SUMIFS($AB$4:$AB$273,$S$4:$S$273,$AK78,$T$4:$T$273,_xlpm.opp),Scorebook!I317)))</f>
      </c>
      <c r="AU78" s="5" cm="1">
        <f t="array" aca="1" ref="AU78" ca="1">IF($AK78="","",_xlfn.LET(_xlpm.auto,AND(MOD(ROW()-4,6)=0,$AM78&lt;&gt;0,SUMPRODUCT(--(OFFSET($AM78,1,0,5,1)&lt;&gt;0))=0),_xlpm.winner,_xlfn.XLOOKUP($AK78,$H$4:$H$18,$L$4:$L$18,""),IF(_xlpm.auto,--($AL78=_xlpm.winner),Scorebook!J317)))</f>
      </c>
      <c r="AV78" s="5" cm="1">
        <f t="array" aca="1" ref="AV78" ca="1">IF($AK78="","",_xlfn.LET(_xlpm.auto,AND(MOD(ROW()-4,6)=0,$AM78&lt;&gt;0,SUMPRODUCT(--(OFFSET($AM78,1,0,5,1)&lt;&gt;0))=0),_xlpm.loser,_xlfn.XLOOKUP($AK78,$H$4:$H$18,$M$4:$M$18,""),IF(_xlpm.auto,--($AL78=_xlpm.loser),Scorebook!K317)))</f>
      </c>
      <c r="AW78" s="5">
        <f ca="1">Scorebook!L317</f>
      </c>
      <c r="AX78" s="5" cm="1">
        <f t="array" aca="1" ref="AX78" ca="1">IF($AK78="","",_xlfn.LET(_xlpm.auto,AND(MOD(ROW()-4,6)=0,$AM78&lt;&gt;0,SUMPRODUCT(--(OFFSET($AM78,1,0,5,1)&lt;&gt;0))=0),_xlpm.oppA,_xlfn.XLOOKUP($AK78,$H$4:$H$18,$J$4:$J$18,""),_xlpm.oppRuns,IF($AL78=_xlpm.oppA,_xlfn.XLOOKUP($AK78,$H$4:$H$18,$O$4:$O$18,""),_xlfn.XLOOKUP($AK78,$H$4:$H$18,$N$4:$N$18,"")),IF(_xlpm.auto,--(_xlpm.oppRuns=0),Scorebook!M317)))</f>
      </c>
      <c r="AY78" s="5" cm="1">
        <f t="array" aca="1" ref="AY78" ca="1">IF($AK78="","",_xlfn.LET(_xlpm.auto,AND(MOD(ROW()-4,6)=0,$AM78&lt;&gt;0,SUMPRODUCT(--(OFFSET($AM78,1,0,5,1)&lt;&gt;0))=0),IF(_xlpm.auto,1,Scorebook!N317)))</f>
      </c>
      <c r="AZ78" s="10"/>
      <c r="BA78" s="10"/>
      <c r="BB78" s="5">
        <f>Settings!$B$2</f>
        <v>1</v>
      </c>
      <c r="BC78" s="5">
        <f>Betting!A80</f>
        <v>0</v>
      </c>
      <c r="BD78" s="5">
        <f>Betting!B80</f>
        <v>0</v>
      </c>
      <c r="BE78" s="5">
        <f>Betting!C80</f>
        <v>0</v>
      </c>
      <c r="BF78" s="5">
        <f>Betting!D80</f>
        <v>0</v>
      </c>
      <c r="BG78" s="5">
        <f>Betting!E80</f>
        <v>0</v>
      </c>
      <c r="BH78" s="5">
        <f>Betting!F80</f>
        <v>0</v>
      </c>
      <c r="BI78" s="4">
        <f>Betting!G80</f>
        <v>0</v>
      </c>
      <c r="BJ78" s="4">
        <f>Betting!H80</f>
        <v>0</v>
      </c>
    </row>
    <row r="79" spans="1:6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4" t="str">
        <f ca="1">Scorebook!$F$198</f>
        <v>G5</v>
      </c>
      <c r="T79" s="5" t="str">
        <f ca="1">Scorebook!$N$198</f>
        <v>May</v>
      </c>
      <c r="U79" s="5" t="str">
        <f ca="1">Scorebook!$B$208</f>
        <v>King Boo</v>
      </c>
      <c r="V79" s="4">
        <v>4</v>
      </c>
      <c r="W79" s="5">
        <f ca="1">Scorebook!M208</f>
        <v>1</v>
      </c>
      <c r="X79" s="5">
        <f ca="1">Scorebook!N208</f>
        <v>0</v>
      </c>
      <c r="Y79" s="5">
        <f ca="1">Scorebook!O208</f>
        <v>0</v>
      </c>
      <c r="Z79" s="5">
        <f ca="1">Scorebook!P208</f>
        <v>0</v>
      </c>
      <c r="AA79" s="5">
        <f ca="1">Scorebook!Q208</f>
        <v>0</v>
      </c>
      <c r="AB79" s="5">
        <f ca="1">Scorebook!R208</f>
        <v>0</v>
      </c>
      <c r="AC79" s="5">
        <f ca="1">Scorebook!S208</f>
        <v>0</v>
      </c>
      <c r="AD79" s="5">
        <f ca="1">Scorebook!T208</f>
        <v>0</v>
      </c>
      <c r="AE79" s="5">
        <f ca="1">Scorebook!U208</f>
        <v>0</v>
      </c>
      <c r="AF79" s="5">
        <f ca="1">Scorebook!V208</f>
        <v>0</v>
      </c>
      <c r="AG79" s="5">
        <f ca="1">Scorebook!W208</f>
        <v>0</v>
      </c>
      <c r="AH79" s="5">
        <f ca="1">Scorebook!X208</f>
        <v>0</v>
      </c>
      <c r="AI79" s="5">
        <f>Settings!$B$2</f>
        <v>1</v>
      </c>
      <c r="AJ79" s="18">
        <f ca="1">IF($AK79="","",Scorebook!$O$318)</f>
      </c>
      <c r="AK79" s="4" t="str">
        <f ca="1">Scorebook!$F$296</f>
        <v>G7</v>
      </c>
      <c r="AL79" s="5" t="str">
        <f ca="1">Scorebook!$N$296</f>
        <v>May</v>
      </c>
      <c r="AM79" s="5" t="str">
        <f>Scorebook!$B$318</f>
      </c>
      <c r="AN79" s="5">
        <f ca="1">IF(Scorebook!C318="","",INT(Scorebook!C318)+MOD(ROUND(Scorebook!C318*10,0),10)/3)</f>
      </c>
      <c r="AO79" s="5" cm="1">
        <f t="array" aca="1" ref="AO79" ca="1">IF($AK79="","",_xlfn.LET(_xlpm.auto,AND(MOD(ROW()-4,6)=0,$AM79&lt;&gt;0,SUMPRODUCT(--(OFFSET($AM79,1,0,5,1)&lt;&gt;0))=0),_xlpm.oppA,_xlfn.XLOOKUP($AK79,$H$4:$H$18,$J$4:$J$18,""),_xlpm.oppB,_xlfn.XLOOKUP($AK79,$H$4:$H$18,$K$4:$K$18,""),_xlpm.opp,IF($AL79=_xlpm.oppA,_xlpm.oppB,_xlpm.oppA),IF(_xlpm.auto,SUMIFS($Y$4:$Y$273,$S$4:$S$273,$AK79,$T$4:$T$273,_xlpm.opp),Scorebook!D318)))</f>
      </c>
      <c r="AP79" s="5" cm="1">
        <f t="array" aca="1" ref="AP79" ca="1">IF($AK79="","",_xlfn.LET(_xlpm.auto,AND(MOD(ROW()-4,6)=0,$AM79&lt;&gt;0,SUMPRODUCT(--(OFFSET($AM79,1,0,5,1)&lt;&gt;0))=0),_xlpm.oppA,_xlfn.XLOOKUP($AK79,$H$4:$H$18,$J$4:$J$18,""),_xlpm.oppRuns,IF($AL79=_xlpm.oppA,_xlfn.XLOOKUP($AK79,$H$4:$H$18,$O$4:$O$18,""),_xlfn.XLOOKUP($AK79,$H$4:$H$18,$N$4:$N$18,"")),IF(_xlpm.auto,_xlpm.oppRuns,Scorebook!E318)))</f>
      </c>
      <c r="AQ79" s="5">
        <f ca="1">Scorebook!F318</f>
      </c>
      <c r="AR79" s="5" cm="1">
        <f t="array" aca="1" ref="AR79" ca="1">IF($AK79="","",_xlfn.LET(_xlpm.auto,AND(MOD(ROW()-4,6)=0,$AM79&lt;&gt;0,SUMPRODUCT(--(OFFSET($AM79,1,0,5,1)&lt;&gt;0))=0),_xlpm.oppA,_xlfn.XLOOKUP($AK79,$H$4:$H$18,$J$4:$J$18,""),_xlpm.oppB,_xlfn.XLOOKUP($AK79,$H$4:$H$18,$K$4:$K$18,""),_xlpm.opp,IF($AL79=_xlpm.oppA,_xlpm.oppB,_xlpm.oppA),IF(_xlpm.auto,SUMIFS($AD$4:$AD$273,$S$4:$S$273,$AK79,$T$4:$T$273,_xlpm.opp),Scorebook!G318)))</f>
      </c>
      <c r="AS79" s="5" cm="1">
        <f t="array" aca="1" ref="AS79" ca="1">IF($AK79="","",_xlfn.LET(_xlpm.auto,AND(MOD(ROW()-4,6)=0,$AM79&lt;&gt;0,SUMPRODUCT(--(OFFSET($AM79,1,0,5,1)&lt;&gt;0))=0),_xlpm.oppA,_xlfn.XLOOKUP($AK79,$H$4:$H$18,$J$4:$J$18,""),_xlpm.oppB,_xlfn.XLOOKUP($AK79,$H$4:$H$18,$K$4:$K$18,""),_xlpm.opp,IF($AL79=_xlpm.oppA,_xlpm.oppB,_xlpm.oppA),IF(_xlpm.auto,SUMIFS($AE$4:$AE$273,$S$4:$S$273,$AK79,$T$4:$T$273,_xlpm.opp),Scorebook!H318)))</f>
      </c>
      <c r="AT79" s="5" cm="1">
        <f t="array" aca="1" ref="AT79" ca="1">IF($AK79="","",_xlfn.LET(_xlpm.auto,AND(MOD(ROW()-4,6)=0,$AM79&lt;&gt;0,SUMPRODUCT(--(OFFSET($AM79,1,0,5,1)&lt;&gt;0))=0),_xlpm.oppA,_xlfn.XLOOKUP($AK79,$H$4:$H$18,$J$4:$J$18,""),_xlpm.oppB,_xlfn.XLOOKUP($AK79,$H$4:$H$18,$K$4:$K$18,""),_xlpm.opp,IF($AL79=_xlpm.oppA,_xlpm.oppB,_xlpm.oppA),IF(_xlpm.auto,SUMIFS($AB$4:$AB$273,$S$4:$S$273,$AK79,$T$4:$T$273,_xlpm.opp),Scorebook!I318)))</f>
      </c>
      <c r="AU79" s="5" cm="1">
        <f t="array" aca="1" ref="AU79" ca="1">IF($AK79="","",_xlfn.LET(_xlpm.auto,AND(MOD(ROW()-4,6)=0,$AM79&lt;&gt;0,SUMPRODUCT(--(OFFSET($AM79,1,0,5,1)&lt;&gt;0))=0),_xlpm.winner,_xlfn.XLOOKUP($AK79,$H$4:$H$18,$L$4:$L$18,""),IF(_xlpm.auto,--($AL79=_xlpm.winner),Scorebook!J318)))</f>
      </c>
      <c r="AV79" s="5" cm="1">
        <f t="array" aca="1" ref="AV79" ca="1">IF($AK79="","",_xlfn.LET(_xlpm.auto,AND(MOD(ROW()-4,6)=0,$AM79&lt;&gt;0,SUMPRODUCT(--(OFFSET($AM79,1,0,5,1)&lt;&gt;0))=0),_xlpm.loser,_xlfn.XLOOKUP($AK79,$H$4:$H$18,$M$4:$M$18,""),IF(_xlpm.auto,--($AL79=_xlpm.loser),Scorebook!K318)))</f>
      </c>
      <c r="AW79" s="5">
        <f ca="1">Scorebook!L318</f>
      </c>
      <c r="AX79" s="5" cm="1">
        <f t="array" aca="1" ref="AX79" ca="1">IF($AK79="","",_xlfn.LET(_xlpm.auto,AND(MOD(ROW()-4,6)=0,$AM79&lt;&gt;0,SUMPRODUCT(--(OFFSET($AM79,1,0,5,1)&lt;&gt;0))=0),_xlpm.oppA,_xlfn.XLOOKUP($AK79,$H$4:$H$18,$J$4:$J$18,""),_xlpm.oppRuns,IF($AL79=_xlpm.oppA,_xlfn.XLOOKUP($AK79,$H$4:$H$18,$O$4:$O$18,""),_xlfn.XLOOKUP($AK79,$H$4:$H$18,$N$4:$N$18,"")),IF(_xlpm.auto,--(_xlpm.oppRuns=0),Scorebook!M318)))</f>
      </c>
      <c r="AY79" s="5" cm="1">
        <f t="array" aca="1" ref="AY79" ca="1">IF($AK79="","",_xlfn.LET(_xlpm.auto,AND(MOD(ROW()-4,6)=0,$AM79&lt;&gt;0,SUMPRODUCT(--(OFFSET($AM79,1,0,5,1)&lt;&gt;0))=0),IF(_xlpm.auto,1,Scorebook!N318)))</f>
      </c>
      <c r="AZ79" s="10"/>
      <c r="BA79" s="10"/>
      <c r="BB79" s="5">
        <f>Settings!$B$2</f>
        <v>1</v>
      </c>
      <c r="BC79" s="5">
        <f>Betting!A81</f>
        <v>0</v>
      </c>
      <c r="BD79" s="5">
        <f>Betting!B81</f>
        <v>0</v>
      </c>
      <c r="BE79" s="5">
        <f>Betting!C81</f>
        <v>0</v>
      </c>
      <c r="BF79" s="5">
        <f>Betting!D81</f>
        <v>0</v>
      </c>
      <c r="BG79" s="5">
        <f>Betting!E81</f>
        <v>0</v>
      </c>
      <c r="BH79" s="5">
        <f>Betting!F81</f>
        <v>0</v>
      </c>
      <c r="BI79" s="4">
        <f>Betting!G81</f>
        <v>0</v>
      </c>
      <c r="BJ79" s="4">
        <f>Betting!H81</f>
        <v>0</v>
      </c>
    </row>
    <row r="80" spans="1:6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4" t="str">
        <f ca="1">Scorebook!$F$198</f>
        <v>G5</v>
      </c>
      <c r="T80" s="5" t="str">
        <f ca="1">Scorebook!$N$198</f>
        <v>May</v>
      </c>
      <c r="U80" s="5" t="str">
        <f ca="1">Scorebook!$B$209</f>
        <v>Hammer Bro</v>
      </c>
      <c r="V80" s="4">
        <v>5</v>
      </c>
      <c r="W80" s="5">
        <f ca="1">Scorebook!M209</f>
        <v>1</v>
      </c>
      <c r="X80" s="5">
        <f ca="1">Scorebook!N209</f>
        <v>1</v>
      </c>
      <c r="Y80" s="5">
        <f ca="1">Scorebook!O209</f>
        <v>1</v>
      </c>
      <c r="Z80" s="5">
        <f ca="1">Scorebook!P209</f>
        <v>0</v>
      </c>
      <c r="AA80" s="5">
        <f ca="1">Scorebook!Q209</f>
        <v>0</v>
      </c>
      <c r="AB80" s="5">
        <f ca="1">Scorebook!R209</f>
        <v>1</v>
      </c>
      <c r="AC80" s="5">
        <f ca="1">Scorebook!S209</f>
        <v>1</v>
      </c>
      <c r="AD80" s="5">
        <f ca="1">Scorebook!T209</f>
        <v>0</v>
      </c>
      <c r="AE80" s="5">
        <f ca="1">Scorebook!U209</f>
        <v>0</v>
      </c>
      <c r="AF80" s="5">
        <f ca="1">Scorebook!V209</f>
        <v>0</v>
      </c>
      <c r="AG80" s="5">
        <f ca="1">Scorebook!W209</f>
        <v>0</v>
      </c>
      <c r="AH80" s="5">
        <f ca="1">Scorebook!X209</f>
        <v>0</v>
      </c>
      <c r="AI80" s="5">
        <f>Settings!$B$2</f>
        <v>1</v>
      </c>
      <c r="AJ80" s="18">
        <f ca="1">IF($AK80="","",Scorebook!$O$319)</f>
      </c>
      <c r="AK80" s="4" t="str">
        <f ca="1">Scorebook!$F$296</f>
        <v>G7</v>
      </c>
      <c r="AL80" s="5" t="str">
        <f ca="1">Scorebook!$N$296</f>
        <v>May</v>
      </c>
      <c r="AM80" s="5" t="str">
        <f>Scorebook!$B$319</f>
      </c>
      <c r="AN80" s="5">
        <f ca="1">IF(Scorebook!C319="","",INT(Scorebook!C319)+MOD(ROUND(Scorebook!C319*10,0),10)/3)</f>
      </c>
      <c r="AO80" s="5" cm="1">
        <f t="array" aca="1" ref="AO80" ca="1">IF($AK80="","",_xlfn.LET(_xlpm.auto,AND(MOD(ROW()-4,6)=0,$AM80&lt;&gt;0,SUMPRODUCT(--(OFFSET($AM80,1,0,5,1)&lt;&gt;0))=0),_xlpm.oppA,_xlfn.XLOOKUP($AK80,$H$4:$H$18,$J$4:$J$18,""),_xlpm.oppB,_xlfn.XLOOKUP($AK80,$H$4:$H$18,$K$4:$K$18,""),_xlpm.opp,IF($AL80=_xlpm.oppA,_xlpm.oppB,_xlpm.oppA),IF(_xlpm.auto,SUMIFS($Y$4:$Y$273,$S$4:$S$273,$AK80,$T$4:$T$273,_xlpm.opp),Scorebook!D319)))</f>
      </c>
      <c r="AP80" s="5" cm="1">
        <f t="array" aca="1" ref="AP80" ca="1">IF($AK80="","",_xlfn.LET(_xlpm.auto,AND(MOD(ROW()-4,6)=0,$AM80&lt;&gt;0,SUMPRODUCT(--(OFFSET($AM80,1,0,5,1)&lt;&gt;0))=0),_xlpm.oppA,_xlfn.XLOOKUP($AK80,$H$4:$H$18,$J$4:$J$18,""),_xlpm.oppRuns,IF($AL80=_xlpm.oppA,_xlfn.XLOOKUP($AK80,$H$4:$H$18,$O$4:$O$18,""),_xlfn.XLOOKUP($AK80,$H$4:$H$18,$N$4:$N$18,"")),IF(_xlpm.auto,_xlpm.oppRuns,Scorebook!E319)))</f>
      </c>
      <c r="AQ80" s="5">
        <f ca="1">Scorebook!F319</f>
      </c>
      <c r="AR80" s="5" cm="1">
        <f t="array" aca="1" ref="AR80" ca="1">IF($AK80="","",_xlfn.LET(_xlpm.auto,AND(MOD(ROW()-4,6)=0,$AM80&lt;&gt;0,SUMPRODUCT(--(OFFSET($AM80,1,0,5,1)&lt;&gt;0))=0),_xlpm.oppA,_xlfn.XLOOKUP($AK80,$H$4:$H$18,$J$4:$J$18,""),_xlpm.oppB,_xlfn.XLOOKUP($AK80,$H$4:$H$18,$K$4:$K$18,""),_xlpm.opp,IF($AL80=_xlpm.oppA,_xlpm.oppB,_xlpm.oppA),IF(_xlpm.auto,SUMIFS($AD$4:$AD$273,$S$4:$S$273,$AK80,$T$4:$T$273,_xlpm.opp),Scorebook!G319)))</f>
      </c>
      <c r="AS80" s="5" cm="1">
        <f t="array" aca="1" ref="AS80" ca="1">IF($AK80="","",_xlfn.LET(_xlpm.auto,AND(MOD(ROW()-4,6)=0,$AM80&lt;&gt;0,SUMPRODUCT(--(OFFSET($AM80,1,0,5,1)&lt;&gt;0))=0),_xlpm.oppA,_xlfn.XLOOKUP($AK80,$H$4:$H$18,$J$4:$J$18,""),_xlpm.oppB,_xlfn.XLOOKUP($AK80,$H$4:$H$18,$K$4:$K$18,""),_xlpm.opp,IF($AL80=_xlpm.oppA,_xlpm.oppB,_xlpm.oppA),IF(_xlpm.auto,SUMIFS($AE$4:$AE$273,$S$4:$S$273,$AK80,$T$4:$T$273,_xlpm.opp),Scorebook!H319)))</f>
      </c>
      <c r="AT80" s="5" cm="1">
        <f t="array" aca="1" ref="AT80" ca="1">IF($AK80="","",_xlfn.LET(_xlpm.auto,AND(MOD(ROW()-4,6)=0,$AM80&lt;&gt;0,SUMPRODUCT(--(OFFSET($AM80,1,0,5,1)&lt;&gt;0))=0),_xlpm.oppA,_xlfn.XLOOKUP($AK80,$H$4:$H$18,$J$4:$J$18,""),_xlpm.oppB,_xlfn.XLOOKUP($AK80,$H$4:$H$18,$K$4:$K$18,""),_xlpm.opp,IF($AL80=_xlpm.oppA,_xlpm.oppB,_xlpm.oppA),IF(_xlpm.auto,SUMIFS($AB$4:$AB$273,$S$4:$S$273,$AK80,$T$4:$T$273,_xlpm.opp),Scorebook!I319)))</f>
      </c>
      <c r="AU80" s="5" cm="1">
        <f t="array" aca="1" ref="AU80" ca="1">IF($AK80="","",_xlfn.LET(_xlpm.auto,AND(MOD(ROW()-4,6)=0,$AM80&lt;&gt;0,SUMPRODUCT(--(OFFSET($AM80,1,0,5,1)&lt;&gt;0))=0),_xlpm.winner,_xlfn.XLOOKUP($AK80,$H$4:$H$18,$L$4:$L$18,""),IF(_xlpm.auto,--($AL80=_xlpm.winner),Scorebook!J319)))</f>
      </c>
      <c r="AV80" s="5" cm="1">
        <f t="array" aca="1" ref="AV80" ca="1">IF($AK80="","",_xlfn.LET(_xlpm.auto,AND(MOD(ROW()-4,6)=0,$AM80&lt;&gt;0,SUMPRODUCT(--(OFFSET($AM80,1,0,5,1)&lt;&gt;0))=0),_xlpm.loser,_xlfn.XLOOKUP($AK80,$H$4:$H$18,$M$4:$M$18,""),IF(_xlpm.auto,--($AL80=_xlpm.loser),Scorebook!K319)))</f>
      </c>
      <c r="AW80" s="5">
        <f ca="1">Scorebook!L319</f>
      </c>
      <c r="AX80" s="5" cm="1">
        <f t="array" aca="1" ref="AX80" ca="1">IF($AK80="","",_xlfn.LET(_xlpm.auto,AND(MOD(ROW()-4,6)=0,$AM80&lt;&gt;0,SUMPRODUCT(--(OFFSET($AM80,1,0,5,1)&lt;&gt;0))=0),_xlpm.oppA,_xlfn.XLOOKUP($AK80,$H$4:$H$18,$J$4:$J$18,""),_xlpm.oppRuns,IF($AL80=_xlpm.oppA,_xlfn.XLOOKUP($AK80,$H$4:$H$18,$O$4:$O$18,""),_xlfn.XLOOKUP($AK80,$H$4:$H$18,$N$4:$N$18,"")),IF(_xlpm.auto,--(_xlpm.oppRuns=0),Scorebook!M319)))</f>
      </c>
      <c r="AY80" s="5" cm="1">
        <f t="array" aca="1" ref="AY80" ca="1">IF($AK80="","",_xlfn.LET(_xlpm.auto,AND(MOD(ROW()-4,6)=0,$AM80&lt;&gt;0,SUMPRODUCT(--(OFFSET($AM80,1,0,5,1)&lt;&gt;0))=0),IF(_xlpm.auto,1,Scorebook!N319)))</f>
      </c>
      <c r="AZ80" s="10"/>
      <c r="BA80" s="10"/>
      <c r="BB80" s="5">
        <f>Settings!$B$2</f>
        <v>1</v>
      </c>
      <c r="BC80" s="5">
        <f>Betting!A82</f>
        <v>0</v>
      </c>
      <c r="BD80" s="5">
        <f>Betting!B82</f>
        <v>0</v>
      </c>
      <c r="BE80" s="5">
        <f>Betting!C82</f>
        <v>0</v>
      </c>
      <c r="BF80" s="5">
        <f>Betting!D82</f>
        <v>0</v>
      </c>
      <c r="BG80" s="5">
        <f>Betting!E82</f>
        <v>0</v>
      </c>
      <c r="BH80" s="5">
        <f>Betting!F82</f>
        <v>0</v>
      </c>
      <c r="BI80" s="4">
        <f>Betting!G82</f>
        <v>0</v>
      </c>
      <c r="BJ80" s="4">
        <f>Betting!H82</f>
        <v>0</v>
      </c>
    </row>
    <row r="81" spans="19:62">
      <c r="S81" s="4" t="str">
        <f ca="1">Scorebook!$F$198</f>
        <v>G5</v>
      </c>
      <c r="T81" s="5" t="str">
        <f ca="1">Scorebook!$N$198</f>
        <v>May</v>
      </c>
      <c r="U81" s="5" t="str">
        <f ca="1">Scorebook!$B$210</f>
        <v>Green Shy Guy</v>
      </c>
      <c r="V81" s="4">
        <v>6</v>
      </c>
      <c r="W81" s="5">
        <f ca="1">Scorebook!M210</f>
        <v>1</v>
      </c>
      <c r="X81" s="5">
        <f ca="1">Scorebook!N210</f>
        <v>0</v>
      </c>
      <c r="Y81" s="5">
        <f ca="1">Scorebook!O210</f>
        <v>0</v>
      </c>
      <c r="Z81" s="5">
        <f ca="1">Scorebook!P210</f>
        <v>0</v>
      </c>
      <c r="AA81" s="5">
        <f ca="1">Scorebook!Q210</f>
        <v>0</v>
      </c>
      <c r="AB81" s="5">
        <f ca="1">Scorebook!R210</f>
        <v>0</v>
      </c>
      <c r="AC81" s="5">
        <f ca="1">Scorebook!S210</f>
        <v>0</v>
      </c>
      <c r="AD81" s="5">
        <f ca="1">Scorebook!T210</f>
        <v>0</v>
      </c>
      <c r="AE81" s="5">
        <f ca="1">Scorebook!U210</f>
        <v>0</v>
      </c>
      <c r="AF81" s="5">
        <f ca="1">Scorebook!V210</f>
        <v>0</v>
      </c>
      <c r="AG81" s="5">
        <f ca="1">Scorebook!W210</f>
        <v>0</v>
      </c>
      <c r="AH81" s="5">
        <f ca="1">Scorebook!X210</f>
        <v>0</v>
      </c>
      <c r="AI81" s="5">
        <f>Settings!$B$2</f>
        <v>1</v>
      </c>
      <c r="AJ81" s="18">
        <f ca="1">IF($AK81="","",Scorebook!$O$320)</f>
      </c>
      <c r="AK81" s="4" t="str">
        <f ca="1">Scorebook!$F$296</f>
        <v>G7</v>
      </c>
      <c r="AL81" s="5" t="str">
        <f ca="1">Scorebook!$N$296</f>
        <v>May</v>
      </c>
      <c r="AM81" s="5" t="str">
        <f>Scorebook!$B$320</f>
      </c>
      <c r="AN81" s="5">
        <f ca="1">IF(Scorebook!C320="","",INT(Scorebook!C320)+MOD(ROUND(Scorebook!C320*10,0),10)/3)</f>
      </c>
      <c r="AO81" s="5" cm="1">
        <f t="array" aca="1" ref="AO81" ca="1">IF($AK81="","",_xlfn.LET(_xlpm.auto,AND(MOD(ROW()-4,6)=0,$AM81&lt;&gt;0,SUMPRODUCT(--(OFFSET($AM81,1,0,5,1)&lt;&gt;0))=0),_xlpm.oppA,_xlfn.XLOOKUP($AK81,$H$4:$H$18,$J$4:$J$18,""),_xlpm.oppB,_xlfn.XLOOKUP($AK81,$H$4:$H$18,$K$4:$K$18,""),_xlpm.opp,IF($AL81=_xlpm.oppA,_xlpm.oppB,_xlpm.oppA),IF(_xlpm.auto,SUMIFS($Y$4:$Y$273,$S$4:$S$273,$AK81,$T$4:$T$273,_xlpm.opp),Scorebook!D320)))</f>
      </c>
      <c r="AP81" s="5" cm="1">
        <f t="array" aca="1" ref="AP81" ca="1">IF($AK81="","",_xlfn.LET(_xlpm.auto,AND(MOD(ROW()-4,6)=0,$AM81&lt;&gt;0,SUMPRODUCT(--(OFFSET($AM81,1,0,5,1)&lt;&gt;0))=0),_xlpm.oppA,_xlfn.XLOOKUP($AK81,$H$4:$H$18,$J$4:$J$18,""),_xlpm.oppRuns,IF($AL81=_xlpm.oppA,_xlfn.XLOOKUP($AK81,$H$4:$H$18,$O$4:$O$18,""),_xlfn.XLOOKUP($AK81,$H$4:$H$18,$N$4:$N$18,"")),IF(_xlpm.auto,_xlpm.oppRuns,Scorebook!E320)))</f>
      </c>
      <c r="AQ81" s="5">
        <f ca="1">Scorebook!F320</f>
      </c>
      <c r="AR81" s="5" cm="1">
        <f t="array" aca="1" ref="AR81" ca="1">IF($AK81="","",_xlfn.LET(_xlpm.auto,AND(MOD(ROW()-4,6)=0,$AM81&lt;&gt;0,SUMPRODUCT(--(OFFSET($AM81,1,0,5,1)&lt;&gt;0))=0),_xlpm.oppA,_xlfn.XLOOKUP($AK81,$H$4:$H$18,$J$4:$J$18,""),_xlpm.oppB,_xlfn.XLOOKUP($AK81,$H$4:$H$18,$K$4:$K$18,""),_xlpm.opp,IF($AL81=_xlpm.oppA,_xlpm.oppB,_xlpm.oppA),IF(_xlpm.auto,SUMIFS($AD$4:$AD$273,$S$4:$S$273,$AK81,$T$4:$T$273,_xlpm.opp),Scorebook!G320)))</f>
      </c>
      <c r="AS81" s="5" cm="1">
        <f t="array" aca="1" ref="AS81" ca="1">IF($AK81="","",_xlfn.LET(_xlpm.auto,AND(MOD(ROW()-4,6)=0,$AM81&lt;&gt;0,SUMPRODUCT(--(OFFSET($AM81,1,0,5,1)&lt;&gt;0))=0),_xlpm.oppA,_xlfn.XLOOKUP($AK81,$H$4:$H$18,$J$4:$J$18,""),_xlpm.oppB,_xlfn.XLOOKUP($AK81,$H$4:$H$18,$K$4:$K$18,""),_xlpm.opp,IF($AL81=_xlpm.oppA,_xlpm.oppB,_xlpm.oppA),IF(_xlpm.auto,SUMIFS($AE$4:$AE$273,$S$4:$S$273,$AK81,$T$4:$T$273,_xlpm.opp),Scorebook!H320)))</f>
      </c>
      <c r="AT81" s="5" cm="1">
        <f t="array" aca="1" ref="AT81" ca="1">IF($AK81="","",_xlfn.LET(_xlpm.auto,AND(MOD(ROW()-4,6)=0,$AM81&lt;&gt;0,SUMPRODUCT(--(OFFSET($AM81,1,0,5,1)&lt;&gt;0))=0),_xlpm.oppA,_xlfn.XLOOKUP($AK81,$H$4:$H$18,$J$4:$J$18,""),_xlpm.oppB,_xlfn.XLOOKUP($AK81,$H$4:$H$18,$K$4:$K$18,""),_xlpm.opp,IF($AL81=_xlpm.oppA,_xlpm.oppB,_xlpm.oppA),IF(_xlpm.auto,SUMIFS($AB$4:$AB$273,$S$4:$S$273,$AK81,$T$4:$T$273,_xlpm.opp),Scorebook!I320)))</f>
      </c>
      <c r="AU81" s="5" cm="1">
        <f t="array" aca="1" ref="AU81" ca="1">IF($AK81="","",_xlfn.LET(_xlpm.auto,AND(MOD(ROW()-4,6)=0,$AM81&lt;&gt;0,SUMPRODUCT(--(OFFSET($AM81,1,0,5,1)&lt;&gt;0))=0),_xlpm.winner,_xlfn.XLOOKUP($AK81,$H$4:$H$18,$L$4:$L$18,""),IF(_xlpm.auto,--($AL81=_xlpm.winner),Scorebook!J320)))</f>
      </c>
      <c r="AV81" s="5" cm="1">
        <f t="array" aca="1" ref="AV81" ca="1">IF($AK81="","",_xlfn.LET(_xlpm.auto,AND(MOD(ROW()-4,6)=0,$AM81&lt;&gt;0,SUMPRODUCT(--(OFFSET($AM81,1,0,5,1)&lt;&gt;0))=0),_xlpm.loser,_xlfn.XLOOKUP($AK81,$H$4:$H$18,$M$4:$M$18,""),IF(_xlpm.auto,--($AL81=_xlpm.loser),Scorebook!K320)))</f>
      </c>
      <c r="AW81" s="5">
        <f ca="1">Scorebook!L320</f>
      </c>
      <c r="AX81" s="5" cm="1">
        <f t="array" aca="1" ref="AX81" ca="1">IF($AK81="","",_xlfn.LET(_xlpm.auto,AND(MOD(ROW()-4,6)=0,$AM81&lt;&gt;0,SUMPRODUCT(--(OFFSET($AM81,1,0,5,1)&lt;&gt;0))=0),_xlpm.oppA,_xlfn.XLOOKUP($AK81,$H$4:$H$18,$J$4:$J$18,""),_xlpm.oppRuns,IF($AL81=_xlpm.oppA,_xlfn.XLOOKUP($AK81,$H$4:$H$18,$O$4:$O$18,""),_xlfn.XLOOKUP($AK81,$H$4:$H$18,$N$4:$N$18,"")),IF(_xlpm.auto,--(_xlpm.oppRuns=0),Scorebook!M320)))</f>
      </c>
      <c r="AY81" s="5" cm="1">
        <f t="array" aca="1" ref="AY81" ca="1">IF($AK81="","",_xlfn.LET(_xlpm.auto,AND(MOD(ROW()-4,6)=0,$AM81&lt;&gt;0,SUMPRODUCT(--(OFFSET($AM81,1,0,5,1)&lt;&gt;0))=0),IF(_xlpm.auto,1,Scorebook!N320)))</f>
      </c>
      <c r="AZ81" s="10"/>
      <c r="BA81" s="10"/>
      <c r="BB81" s="5">
        <f>Settings!$B$2</f>
        <v>1</v>
      </c>
      <c r="BC81" s="5">
        <f>Betting!A83</f>
        <v>0</v>
      </c>
      <c r="BD81" s="5">
        <f>Betting!B83</f>
        <v>0</v>
      </c>
      <c r="BE81" s="5">
        <f>Betting!C83</f>
        <v>0</v>
      </c>
      <c r="BF81" s="5">
        <f>Betting!D83</f>
        <v>0</v>
      </c>
      <c r="BG81" s="5">
        <f>Betting!E83</f>
        <v>0</v>
      </c>
      <c r="BH81" s="5">
        <f>Betting!F83</f>
        <v>0</v>
      </c>
      <c r="BI81" s="4">
        <f>Betting!G83</f>
        <v>0</v>
      </c>
      <c r="BJ81" s="4">
        <f>Betting!H83</f>
        <v>0</v>
      </c>
    </row>
    <row r="82" spans="19:62">
      <c r="S82" s="4" t="str">
        <f ca="1">Scorebook!$F$198</f>
        <v>G5</v>
      </c>
      <c r="T82" s="5" t="str">
        <f ca="1">Scorebook!$N$198</f>
        <v>May</v>
      </c>
      <c r="U82" s="5" t="str">
        <f ca="1">Scorebook!$B$211</f>
        <v>Koopa</v>
      </c>
      <c r="V82" s="4">
        <v>7</v>
      </c>
      <c r="W82" s="5">
        <f ca="1">Scorebook!M211</f>
        <v>1</v>
      </c>
      <c r="X82" s="5">
        <f ca="1">Scorebook!N211</f>
        <v>0</v>
      </c>
      <c r="Y82" s="5">
        <f ca="1">Scorebook!O211</f>
        <v>0</v>
      </c>
      <c r="Z82" s="5">
        <f ca="1">Scorebook!P211</f>
        <v>0</v>
      </c>
      <c r="AA82" s="5">
        <f ca="1">Scorebook!Q211</f>
        <v>0</v>
      </c>
      <c r="AB82" s="5">
        <f ca="1">Scorebook!R211</f>
        <v>0</v>
      </c>
      <c r="AC82" s="5">
        <f ca="1">Scorebook!S211</f>
        <v>0</v>
      </c>
      <c r="AD82" s="5">
        <f ca="1">Scorebook!T211</f>
        <v>0</v>
      </c>
      <c r="AE82" s="5">
        <f ca="1">Scorebook!U211</f>
        <v>1</v>
      </c>
      <c r="AF82" s="5">
        <f ca="1">Scorebook!V211</f>
        <v>0</v>
      </c>
      <c r="AG82" s="5">
        <f ca="1">Scorebook!W211</f>
        <v>0</v>
      </c>
      <c r="AH82" s="5">
        <f ca="1">Scorebook!X211</f>
        <v>0</v>
      </c>
      <c r="AI82" s="5">
        <f>Settings!$B$2</f>
        <v>1</v>
      </c>
      <c r="AJ82" s="18">
        <f ca="1">IF($AK82="","",Scorebook!$O$336)</f>
        <v>8</v>
      </c>
      <c r="AK82" s="4" t="str">
        <f ca="1">Scorebook!$F$296</f>
        <v>G7</v>
      </c>
      <c r="AL82" s="5" t="str">
        <f ca="1">Scorebook!$R$296</f>
        <v>Donovan</v>
      </c>
      <c r="AM82" s="5" t="str">
        <f ca="1">Scorebook!$B$336</f>
        <v>Waluigi</v>
      </c>
      <c r="AN82" s="5">
        <f ca="1">IF(Scorebook!C336="","",INT(Scorebook!C336)+MOD(ROUND(Scorebook!C336*10,0),10)/3)</f>
        <v>2.0</v>
      </c>
      <c r="AO82" s="5" cm="1">
        <f t="array" aca="1" ref="AO82" ca="1">IF($AK82="","",_xlfn.LET(_xlpm.auto,AND(MOD(ROW()-4,6)=0,$AM82&lt;&gt;0,SUMPRODUCT(--(OFFSET($AM82,1,0,5,1)&lt;&gt;0))=0),_xlpm.oppA,_xlfn.XLOOKUP($AK82,$H$4:$H$18,$J$4:$J$18,""),_xlpm.oppB,_xlfn.XLOOKUP($AK82,$H$4:$H$18,$K$4:$K$18,""),_xlpm.opp,IF($AL82=_xlpm.oppA,_xlpm.oppB,_xlpm.oppA),IF(_xlpm.auto,SUMIFS($Y$4:$Y$273,$S$4:$S$273,$AK82,$T$4:$T$273,_xlpm.opp),Scorebook!D336)))</f>
        <v>1</v>
      </c>
      <c r="AP82" s="5" cm="1">
        <f t="array" aca="1" ref="AP82" ca="1">IF($AK82="","",_xlfn.LET(_xlpm.auto,AND(MOD(ROW()-4,6)=0,$AM82&lt;&gt;0,SUMPRODUCT(--(OFFSET($AM82,1,0,5,1)&lt;&gt;0))=0),_xlpm.oppA,_xlfn.XLOOKUP($AK82,$H$4:$H$18,$J$4:$J$18,""),_xlpm.oppRuns,IF($AL82=_xlpm.oppA,_xlfn.XLOOKUP($AK82,$H$4:$H$18,$O$4:$O$18,""),_xlfn.XLOOKUP($AK82,$H$4:$H$18,$N$4:$N$18,"")),IF(_xlpm.auto,_xlpm.oppRuns,Scorebook!E336)))</f>
        <v>1</v>
      </c>
      <c r="AQ82" s="5">
        <f ca="1">Scorebook!F336</f>
        <v>1</v>
      </c>
      <c r="AR82" s="5" cm="1">
        <f t="array" aca="1" ref="AR82" ca="1">IF($AK82="","",_xlfn.LET(_xlpm.auto,AND(MOD(ROW()-4,6)=0,$AM82&lt;&gt;0,SUMPRODUCT(--(OFFSET($AM82,1,0,5,1)&lt;&gt;0))=0),_xlpm.oppA,_xlfn.XLOOKUP($AK82,$H$4:$H$18,$J$4:$J$18,""),_xlpm.oppB,_xlfn.XLOOKUP($AK82,$H$4:$H$18,$K$4:$K$18,""),_xlpm.opp,IF($AL82=_xlpm.oppA,_xlpm.oppB,_xlpm.oppA),IF(_xlpm.auto,SUMIFS($AD$4:$AD$273,$S$4:$S$273,$AK82,$T$4:$T$273,_xlpm.opp),Scorebook!G336)))</f>
        <v>0</v>
      </c>
      <c r="AS82" s="5" cm="1">
        <f t="array" aca="1" ref="AS82" ca="1">IF($AK82="","",_xlfn.LET(_xlpm.auto,AND(MOD(ROW()-4,6)=0,$AM82&lt;&gt;0,SUMPRODUCT(--(OFFSET($AM82,1,0,5,1)&lt;&gt;0))=0),_xlpm.oppA,_xlfn.XLOOKUP($AK82,$H$4:$H$18,$J$4:$J$18,""),_xlpm.oppB,_xlfn.XLOOKUP($AK82,$H$4:$H$18,$K$4:$K$18,""),_xlpm.opp,IF($AL82=_xlpm.oppA,_xlpm.oppB,_xlpm.oppA),IF(_xlpm.auto,SUMIFS($AE$4:$AE$273,$S$4:$S$273,$AK82,$T$4:$T$273,_xlpm.opp),Scorebook!H336)))</f>
        <v>2</v>
      </c>
      <c r="AT82" s="5" cm="1">
        <f t="array" aca="1" ref="AT82" ca="1">IF($AK82="","",_xlfn.LET(_xlpm.auto,AND(MOD(ROW()-4,6)=0,$AM82&lt;&gt;0,SUMPRODUCT(--(OFFSET($AM82,1,0,5,1)&lt;&gt;0))=0),_xlpm.oppA,_xlfn.XLOOKUP($AK82,$H$4:$H$18,$J$4:$J$18,""),_xlpm.oppB,_xlfn.XLOOKUP($AK82,$H$4:$H$18,$K$4:$K$18,""),_xlpm.opp,IF($AL82=_xlpm.oppA,_xlpm.oppB,_xlpm.oppA),IF(_xlpm.auto,SUMIFS($AB$4:$AB$273,$S$4:$S$273,$AK82,$T$4:$T$273,_xlpm.opp),Scorebook!I336)))</f>
        <v>1</v>
      </c>
      <c r="AU82" s="5" cm="1">
        <f t="array" aca="1" ref="AU82" ca="1">IF($AK82="","",_xlfn.LET(_xlpm.auto,AND(MOD(ROW()-4,6)=0,$AM82&lt;&gt;0,SUMPRODUCT(--(OFFSET($AM82,1,0,5,1)&lt;&gt;0))=0),_xlpm.winner,_xlfn.XLOOKUP($AK82,$H$4:$H$18,$L$4:$L$18,""),IF(_xlpm.auto,--($AL82=_xlpm.winner),Scorebook!J336)))</f>
        <v>0</v>
      </c>
      <c r="AV82" s="5" cm="1">
        <f t="array" aca="1" ref="AV82" ca="1">IF($AK82="","",_xlfn.LET(_xlpm.auto,AND(MOD(ROW()-4,6)=0,$AM82&lt;&gt;0,SUMPRODUCT(--(OFFSET($AM82,1,0,5,1)&lt;&gt;0))=0),_xlpm.loser,_xlfn.XLOOKUP($AK82,$H$4:$H$18,$M$4:$M$18,""),IF(_xlpm.auto,--($AL82=_xlpm.loser),Scorebook!K336)))</f>
        <v>1</v>
      </c>
      <c r="AW82" s="5">
        <f ca="1">Scorebook!L336</f>
        <v>0</v>
      </c>
      <c r="AX82" s="5" cm="1">
        <f t="array" aca="1" ref="AX82" ca="1">IF($AK82="","",_xlfn.LET(_xlpm.auto,AND(MOD(ROW()-4,6)=0,$AM82&lt;&gt;0,SUMPRODUCT(--(OFFSET($AM82,1,0,5,1)&lt;&gt;0))=0),_xlpm.oppA,_xlfn.XLOOKUP($AK82,$H$4:$H$18,$J$4:$J$18,""),_xlpm.oppRuns,IF($AL82=_xlpm.oppA,_xlfn.XLOOKUP($AK82,$H$4:$H$18,$O$4:$O$18,""),_xlfn.XLOOKUP($AK82,$H$4:$H$18,$N$4:$N$18,"")),IF(_xlpm.auto,--(_xlpm.oppRuns=0),Scorebook!M336)))</f>
        <v>0</v>
      </c>
      <c r="AY82" s="5" cm="1">
        <f t="array" aca="1" ref="AY82" ca="1">IF($AK82="","",_xlfn.LET(_xlpm.auto,AND(MOD(ROW()-4,6)=0,$AM82&lt;&gt;0,SUMPRODUCT(--(OFFSET($AM82,1,0,5,1)&lt;&gt;0))=0),IF(_xlpm.auto,1,Scorebook!N336)))</f>
        <v>1</v>
      </c>
      <c r="AZ82" s="10"/>
      <c r="BA82" s="10"/>
      <c r="BB82" s="5">
        <f>Settings!$B$2</f>
        <v>1</v>
      </c>
      <c r="BC82" s="5">
        <f>Betting!A84</f>
        <v>0</v>
      </c>
      <c r="BD82" s="5">
        <f>Betting!B84</f>
        <v>0</v>
      </c>
      <c r="BE82" s="5">
        <f>Betting!C84</f>
        <v>0</v>
      </c>
      <c r="BF82" s="5">
        <f>Betting!D84</f>
        <v>0</v>
      </c>
      <c r="BG82" s="5">
        <f>Betting!E84</f>
        <v>0</v>
      </c>
      <c r="BH82" s="5">
        <f>Betting!F84</f>
        <v>0</v>
      </c>
      <c r="BI82" s="4">
        <f>Betting!G84</f>
        <v>0</v>
      </c>
      <c r="BJ82" s="4">
        <f>Betting!H84</f>
        <v>0</v>
      </c>
    </row>
    <row r="83" spans="19:62">
      <c r="S83" s="4" t="str">
        <f ca="1">Scorebook!$F$198</f>
        <v>G5</v>
      </c>
      <c r="T83" s="5" t="str">
        <f ca="1">Scorebook!$N$198</f>
        <v>May</v>
      </c>
      <c r="U83" s="5" t="str">
        <f ca="1">Scorebook!$B$212</f>
        <v>Red Yoshi</v>
      </c>
      <c r="V83" s="4">
        <v>8</v>
      </c>
      <c r="W83" s="5">
        <f ca="1">Scorebook!M212</f>
        <v>1</v>
      </c>
      <c r="X83" s="5">
        <f ca="1">Scorebook!N212</f>
        <v>0</v>
      </c>
      <c r="Y83" s="5">
        <f ca="1">Scorebook!O212</f>
        <v>1</v>
      </c>
      <c r="Z83" s="5">
        <f ca="1">Scorebook!P212</f>
        <v>0</v>
      </c>
      <c r="AA83" s="5">
        <f ca="1">Scorebook!Q212</f>
        <v>0</v>
      </c>
      <c r="AB83" s="5">
        <f ca="1">Scorebook!R212</f>
        <v>0</v>
      </c>
      <c r="AC83" s="5">
        <f ca="1">Scorebook!S212</f>
        <v>0</v>
      </c>
      <c r="AD83" s="5">
        <f ca="1">Scorebook!T212</f>
        <v>0</v>
      </c>
      <c r="AE83" s="5">
        <f ca="1">Scorebook!U212</f>
        <v>0</v>
      </c>
      <c r="AF83" s="5">
        <f ca="1">Scorebook!V212</f>
        <v>0</v>
      </c>
      <c r="AG83" s="5">
        <f ca="1">Scorebook!W212</f>
        <v>0</v>
      </c>
      <c r="AH83" s="5">
        <f ca="1">Scorebook!X212</f>
        <v>0</v>
      </c>
      <c r="AI83" s="5">
        <f>Settings!$B$2</f>
        <v>1</v>
      </c>
      <c r="AJ83" s="18">
        <f ca="1">IF($AK83="","",Scorebook!$O$337)</f>
      </c>
      <c r="AK83" s="4" t="str">
        <f ca="1">Scorebook!$F$296</f>
        <v>G7</v>
      </c>
      <c r="AL83" s="5" t="str">
        <f ca="1">Scorebook!$R$296</f>
        <v>Donovan</v>
      </c>
      <c r="AM83" s="5" t="str">
        <f>Scorebook!$B$337</f>
      </c>
      <c r="AN83" s="5">
        <f ca="1">IF(Scorebook!C337="","",INT(Scorebook!C337)+MOD(ROUND(Scorebook!C337*10,0),10)/3)</f>
      </c>
      <c r="AO83" s="5" cm="1">
        <f t="array" aca="1" ref="AO83" ca="1">IF($AK83="","",_xlfn.LET(_xlpm.auto,AND(MOD(ROW()-4,6)=0,$AM83&lt;&gt;0,SUMPRODUCT(--(OFFSET($AM83,1,0,5,1)&lt;&gt;0))=0),_xlpm.oppA,_xlfn.XLOOKUP($AK83,$H$4:$H$18,$J$4:$J$18,""),_xlpm.oppB,_xlfn.XLOOKUP($AK83,$H$4:$H$18,$K$4:$K$18,""),_xlpm.opp,IF($AL83=_xlpm.oppA,_xlpm.oppB,_xlpm.oppA),IF(_xlpm.auto,SUMIFS($Y$4:$Y$273,$S$4:$S$273,$AK83,$T$4:$T$273,_xlpm.opp),Scorebook!D337)))</f>
      </c>
      <c r="AP83" s="5" cm="1">
        <f t="array" aca="1" ref="AP83" ca="1">IF($AK83="","",_xlfn.LET(_xlpm.auto,AND(MOD(ROW()-4,6)=0,$AM83&lt;&gt;0,SUMPRODUCT(--(OFFSET($AM83,1,0,5,1)&lt;&gt;0))=0),_xlpm.oppA,_xlfn.XLOOKUP($AK83,$H$4:$H$18,$J$4:$J$18,""),_xlpm.oppRuns,IF($AL83=_xlpm.oppA,_xlfn.XLOOKUP($AK83,$H$4:$H$18,$O$4:$O$18,""),_xlfn.XLOOKUP($AK83,$H$4:$H$18,$N$4:$N$18,"")),IF(_xlpm.auto,_xlpm.oppRuns,Scorebook!E337)))</f>
      </c>
      <c r="AQ83" s="5">
        <f ca="1">Scorebook!F337</f>
      </c>
      <c r="AR83" s="5" cm="1">
        <f t="array" aca="1" ref="AR83" ca="1">IF($AK83="","",_xlfn.LET(_xlpm.auto,AND(MOD(ROW()-4,6)=0,$AM83&lt;&gt;0,SUMPRODUCT(--(OFFSET($AM83,1,0,5,1)&lt;&gt;0))=0),_xlpm.oppA,_xlfn.XLOOKUP($AK83,$H$4:$H$18,$J$4:$J$18,""),_xlpm.oppB,_xlfn.XLOOKUP($AK83,$H$4:$H$18,$K$4:$K$18,""),_xlpm.opp,IF($AL83=_xlpm.oppA,_xlpm.oppB,_xlpm.oppA),IF(_xlpm.auto,SUMIFS($AD$4:$AD$273,$S$4:$S$273,$AK83,$T$4:$T$273,_xlpm.opp),Scorebook!G337)))</f>
      </c>
      <c r="AS83" s="5" cm="1">
        <f t="array" aca="1" ref="AS83" ca="1">IF($AK83="","",_xlfn.LET(_xlpm.auto,AND(MOD(ROW()-4,6)=0,$AM83&lt;&gt;0,SUMPRODUCT(--(OFFSET($AM83,1,0,5,1)&lt;&gt;0))=0),_xlpm.oppA,_xlfn.XLOOKUP($AK83,$H$4:$H$18,$J$4:$J$18,""),_xlpm.oppB,_xlfn.XLOOKUP($AK83,$H$4:$H$18,$K$4:$K$18,""),_xlpm.opp,IF($AL83=_xlpm.oppA,_xlpm.oppB,_xlpm.oppA),IF(_xlpm.auto,SUMIFS($AE$4:$AE$273,$S$4:$S$273,$AK83,$T$4:$T$273,_xlpm.opp),Scorebook!H337)))</f>
      </c>
      <c r="AT83" s="5" cm="1">
        <f t="array" aca="1" ref="AT83" ca="1">IF($AK83="","",_xlfn.LET(_xlpm.auto,AND(MOD(ROW()-4,6)=0,$AM83&lt;&gt;0,SUMPRODUCT(--(OFFSET($AM83,1,0,5,1)&lt;&gt;0))=0),_xlpm.oppA,_xlfn.XLOOKUP($AK83,$H$4:$H$18,$J$4:$J$18,""),_xlpm.oppB,_xlfn.XLOOKUP($AK83,$H$4:$H$18,$K$4:$K$18,""),_xlpm.opp,IF($AL83=_xlpm.oppA,_xlpm.oppB,_xlpm.oppA),IF(_xlpm.auto,SUMIFS($AB$4:$AB$273,$S$4:$S$273,$AK83,$T$4:$T$273,_xlpm.opp),Scorebook!I337)))</f>
      </c>
      <c r="AU83" s="5" cm="1">
        <f t="array" aca="1" ref="AU83" ca="1">IF($AK83="","",_xlfn.LET(_xlpm.auto,AND(MOD(ROW()-4,6)=0,$AM83&lt;&gt;0,SUMPRODUCT(--(OFFSET($AM83,1,0,5,1)&lt;&gt;0))=0),_xlpm.winner,_xlfn.XLOOKUP($AK83,$H$4:$H$18,$L$4:$L$18,""),IF(_xlpm.auto,--($AL83=_xlpm.winner),Scorebook!J337)))</f>
      </c>
      <c r="AV83" s="5" cm="1">
        <f t="array" aca="1" ref="AV83" ca="1">IF($AK83="","",_xlfn.LET(_xlpm.auto,AND(MOD(ROW()-4,6)=0,$AM83&lt;&gt;0,SUMPRODUCT(--(OFFSET($AM83,1,0,5,1)&lt;&gt;0))=0),_xlpm.loser,_xlfn.XLOOKUP($AK83,$H$4:$H$18,$M$4:$M$18,""),IF(_xlpm.auto,--($AL83=_xlpm.loser),Scorebook!K337)))</f>
      </c>
      <c r="AW83" s="5">
        <f ca="1">Scorebook!L337</f>
      </c>
      <c r="AX83" s="5" cm="1">
        <f t="array" aca="1" ref="AX83" ca="1">IF($AK83="","",_xlfn.LET(_xlpm.auto,AND(MOD(ROW()-4,6)=0,$AM83&lt;&gt;0,SUMPRODUCT(--(OFFSET($AM83,1,0,5,1)&lt;&gt;0))=0),_xlpm.oppA,_xlfn.XLOOKUP($AK83,$H$4:$H$18,$J$4:$J$18,""),_xlpm.oppRuns,IF($AL83=_xlpm.oppA,_xlfn.XLOOKUP($AK83,$H$4:$H$18,$O$4:$O$18,""),_xlfn.XLOOKUP($AK83,$H$4:$H$18,$N$4:$N$18,"")),IF(_xlpm.auto,--(_xlpm.oppRuns=0),Scorebook!M337)))</f>
      </c>
      <c r="AY83" s="5" cm="1">
        <f t="array" aca="1" ref="AY83" ca="1">IF($AK83="","",_xlfn.LET(_xlpm.auto,AND(MOD(ROW()-4,6)=0,$AM83&lt;&gt;0,SUMPRODUCT(--(OFFSET($AM83,1,0,5,1)&lt;&gt;0))=0),IF(_xlpm.auto,1,Scorebook!N337)))</f>
      </c>
      <c r="AZ83" s="10"/>
      <c r="BA83" s="10"/>
      <c r="BB83" s="5">
        <f>Settings!$B$2</f>
        <v>1</v>
      </c>
      <c r="BC83" s="5">
        <f>Betting!A85</f>
        <v>0</v>
      </c>
      <c r="BD83" s="5">
        <f>Betting!B85</f>
        <v>0</v>
      </c>
      <c r="BE83" s="5">
        <f>Betting!C85</f>
        <v>0</v>
      </c>
      <c r="BF83" s="5">
        <f>Betting!D85</f>
        <v>0</v>
      </c>
      <c r="BG83" s="5">
        <f>Betting!E85</f>
        <v>0</v>
      </c>
      <c r="BH83" s="5">
        <f>Betting!F85</f>
        <v>0</v>
      </c>
      <c r="BI83" s="4">
        <f>Betting!G85</f>
        <v>0</v>
      </c>
      <c r="BJ83" s="4">
        <f>Betting!H85</f>
        <v>0</v>
      </c>
    </row>
    <row r="84" spans="19:62">
      <c r="S84" s="4" t="str">
        <f ca="1">Scorebook!$F$198</f>
        <v>G5</v>
      </c>
      <c r="T84" s="5" t="str">
        <f ca="1">Scorebook!$N$198</f>
        <v>May</v>
      </c>
      <c r="U84" s="5" t="str">
        <f ca="1">Scorebook!$B$213</f>
        <v>Baby Peach</v>
      </c>
      <c r="V84" s="4">
        <v>9</v>
      </c>
      <c r="W84" s="5">
        <f ca="1">Scorebook!M213</f>
        <v>1</v>
      </c>
      <c r="X84" s="5">
        <f ca="1">Scorebook!N213</f>
        <v>0</v>
      </c>
      <c r="Y84" s="5">
        <f ca="1">Scorebook!O213</f>
        <v>0</v>
      </c>
      <c r="Z84" s="5">
        <f ca="1">Scorebook!P213</f>
        <v>0</v>
      </c>
      <c r="AA84" s="5">
        <f ca="1">Scorebook!Q213</f>
        <v>0</v>
      </c>
      <c r="AB84" s="5">
        <f ca="1">Scorebook!R213</f>
        <v>0</v>
      </c>
      <c r="AC84" s="5">
        <f ca="1">Scorebook!S213</f>
        <v>0</v>
      </c>
      <c r="AD84" s="5">
        <f ca="1">Scorebook!T213</f>
        <v>0</v>
      </c>
      <c r="AE84" s="5">
        <f ca="1">Scorebook!U213</f>
        <v>0</v>
      </c>
      <c r="AF84" s="5">
        <f ca="1">Scorebook!V213</f>
        <v>0</v>
      </c>
      <c r="AG84" s="5">
        <f ca="1">Scorebook!W213</f>
        <v>0</v>
      </c>
      <c r="AH84" s="5">
        <f ca="1">Scorebook!X213</f>
        <v>0</v>
      </c>
      <c r="AI84" s="5">
        <f>Settings!$B$2</f>
        <v>1</v>
      </c>
      <c r="AJ84" s="18">
        <f ca="1">IF($AK84="","",Scorebook!$O$338)</f>
      </c>
      <c r="AK84" s="4" t="str">
        <f ca="1">Scorebook!$F$296</f>
        <v>G7</v>
      </c>
      <c r="AL84" s="5" t="str">
        <f ca="1">Scorebook!$R$296</f>
        <v>Donovan</v>
      </c>
      <c r="AM84" s="5" t="str">
        <f>Scorebook!$B$338</f>
      </c>
      <c r="AN84" s="5">
        <f ca="1">IF(Scorebook!C338="","",INT(Scorebook!C338)+MOD(ROUND(Scorebook!C338*10,0),10)/3)</f>
      </c>
      <c r="AO84" s="5" cm="1">
        <f t="array" aca="1" ref="AO84" ca="1">IF($AK84="","",_xlfn.LET(_xlpm.auto,AND(MOD(ROW()-4,6)=0,$AM84&lt;&gt;0,SUMPRODUCT(--(OFFSET($AM84,1,0,5,1)&lt;&gt;0))=0),_xlpm.oppA,_xlfn.XLOOKUP($AK84,$H$4:$H$18,$J$4:$J$18,""),_xlpm.oppB,_xlfn.XLOOKUP($AK84,$H$4:$H$18,$K$4:$K$18,""),_xlpm.opp,IF($AL84=_xlpm.oppA,_xlpm.oppB,_xlpm.oppA),IF(_xlpm.auto,SUMIFS($Y$4:$Y$273,$S$4:$S$273,$AK84,$T$4:$T$273,_xlpm.opp),Scorebook!D338)))</f>
      </c>
      <c r="AP84" s="5" cm="1">
        <f t="array" aca="1" ref="AP84" ca="1">IF($AK84="","",_xlfn.LET(_xlpm.auto,AND(MOD(ROW()-4,6)=0,$AM84&lt;&gt;0,SUMPRODUCT(--(OFFSET($AM84,1,0,5,1)&lt;&gt;0))=0),_xlpm.oppA,_xlfn.XLOOKUP($AK84,$H$4:$H$18,$J$4:$J$18,""),_xlpm.oppRuns,IF($AL84=_xlpm.oppA,_xlfn.XLOOKUP($AK84,$H$4:$H$18,$O$4:$O$18,""),_xlfn.XLOOKUP($AK84,$H$4:$H$18,$N$4:$N$18,"")),IF(_xlpm.auto,_xlpm.oppRuns,Scorebook!E338)))</f>
      </c>
      <c r="AQ84" s="5">
        <f ca="1">Scorebook!F338</f>
      </c>
      <c r="AR84" s="5" cm="1">
        <f t="array" aca="1" ref="AR84" ca="1">IF($AK84="","",_xlfn.LET(_xlpm.auto,AND(MOD(ROW()-4,6)=0,$AM84&lt;&gt;0,SUMPRODUCT(--(OFFSET($AM84,1,0,5,1)&lt;&gt;0))=0),_xlpm.oppA,_xlfn.XLOOKUP($AK84,$H$4:$H$18,$J$4:$J$18,""),_xlpm.oppB,_xlfn.XLOOKUP($AK84,$H$4:$H$18,$K$4:$K$18,""),_xlpm.opp,IF($AL84=_xlpm.oppA,_xlpm.oppB,_xlpm.oppA),IF(_xlpm.auto,SUMIFS($AD$4:$AD$273,$S$4:$S$273,$AK84,$T$4:$T$273,_xlpm.opp),Scorebook!G338)))</f>
      </c>
      <c r="AS84" s="5" cm="1">
        <f t="array" aca="1" ref="AS84" ca="1">IF($AK84="","",_xlfn.LET(_xlpm.auto,AND(MOD(ROW()-4,6)=0,$AM84&lt;&gt;0,SUMPRODUCT(--(OFFSET($AM84,1,0,5,1)&lt;&gt;0))=0),_xlpm.oppA,_xlfn.XLOOKUP($AK84,$H$4:$H$18,$J$4:$J$18,""),_xlpm.oppB,_xlfn.XLOOKUP($AK84,$H$4:$H$18,$K$4:$K$18,""),_xlpm.opp,IF($AL84=_xlpm.oppA,_xlpm.oppB,_xlpm.oppA),IF(_xlpm.auto,SUMIFS($AE$4:$AE$273,$S$4:$S$273,$AK84,$T$4:$T$273,_xlpm.opp),Scorebook!H338)))</f>
      </c>
      <c r="AT84" s="5" cm="1">
        <f t="array" aca="1" ref="AT84" ca="1">IF($AK84="","",_xlfn.LET(_xlpm.auto,AND(MOD(ROW()-4,6)=0,$AM84&lt;&gt;0,SUMPRODUCT(--(OFFSET($AM84,1,0,5,1)&lt;&gt;0))=0),_xlpm.oppA,_xlfn.XLOOKUP($AK84,$H$4:$H$18,$J$4:$J$18,""),_xlpm.oppB,_xlfn.XLOOKUP($AK84,$H$4:$H$18,$K$4:$K$18,""),_xlpm.opp,IF($AL84=_xlpm.oppA,_xlpm.oppB,_xlpm.oppA),IF(_xlpm.auto,SUMIFS($AB$4:$AB$273,$S$4:$S$273,$AK84,$T$4:$T$273,_xlpm.opp),Scorebook!I338)))</f>
      </c>
      <c r="AU84" s="5" cm="1">
        <f t="array" aca="1" ref="AU84" ca="1">IF($AK84="","",_xlfn.LET(_xlpm.auto,AND(MOD(ROW()-4,6)=0,$AM84&lt;&gt;0,SUMPRODUCT(--(OFFSET($AM84,1,0,5,1)&lt;&gt;0))=0),_xlpm.winner,_xlfn.XLOOKUP($AK84,$H$4:$H$18,$L$4:$L$18,""),IF(_xlpm.auto,--($AL84=_xlpm.winner),Scorebook!J338)))</f>
      </c>
      <c r="AV84" s="5" cm="1">
        <f t="array" aca="1" ref="AV84" ca="1">IF($AK84="","",_xlfn.LET(_xlpm.auto,AND(MOD(ROW()-4,6)=0,$AM84&lt;&gt;0,SUMPRODUCT(--(OFFSET($AM84,1,0,5,1)&lt;&gt;0))=0),_xlpm.loser,_xlfn.XLOOKUP($AK84,$H$4:$H$18,$M$4:$M$18,""),IF(_xlpm.auto,--($AL84=_xlpm.loser),Scorebook!K338)))</f>
      </c>
      <c r="AW84" s="5">
        <f ca="1">Scorebook!L338</f>
      </c>
      <c r="AX84" s="5" cm="1">
        <f t="array" aca="1" ref="AX84" ca="1">IF($AK84="","",_xlfn.LET(_xlpm.auto,AND(MOD(ROW()-4,6)=0,$AM84&lt;&gt;0,SUMPRODUCT(--(OFFSET($AM84,1,0,5,1)&lt;&gt;0))=0),_xlpm.oppA,_xlfn.XLOOKUP($AK84,$H$4:$H$18,$J$4:$J$18,""),_xlpm.oppRuns,IF($AL84=_xlpm.oppA,_xlfn.XLOOKUP($AK84,$H$4:$H$18,$O$4:$O$18,""),_xlfn.XLOOKUP($AK84,$H$4:$H$18,$N$4:$N$18,"")),IF(_xlpm.auto,--(_xlpm.oppRuns=0),Scorebook!M338)))</f>
      </c>
      <c r="AY84" s="5" cm="1">
        <f t="array" aca="1" ref="AY84" ca="1">IF($AK84="","",_xlfn.LET(_xlpm.auto,AND(MOD(ROW()-4,6)=0,$AM84&lt;&gt;0,SUMPRODUCT(--(OFFSET($AM84,1,0,5,1)&lt;&gt;0))=0),IF(_xlpm.auto,1,Scorebook!N338)))</f>
      </c>
      <c r="AZ84" s="10"/>
      <c r="BA84" s="10"/>
      <c r="BB84" s="5">
        <f>Settings!$B$2</f>
        <v>1</v>
      </c>
      <c r="BC84" s="5">
        <f>Betting!A86</f>
        <v>0</v>
      </c>
      <c r="BD84" s="5">
        <f>Betting!B86</f>
        <v>0</v>
      </c>
      <c r="BE84" s="5">
        <f>Betting!C86</f>
        <v>0</v>
      </c>
      <c r="BF84" s="5">
        <f>Betting!D86</f>
        <v>0</v>
      </c>
      <c r="BG84" s="5">
        <f>Betting!E86</f>
        <v>0</v>
      </c>
      <c r="BH84" s="5">
        <f>Betting!F86</f>
        <v>0</v>
      </c>
      <c r="BI84" s="4">
        <f>Betting!G86</f>
        <v>0</v>
      </c>
      <c r="BJ84" s="4">
        <f>Betting!H86</f>
        <v>0</v>
      </c>
    </row>
    <row r="85" spans="19:62">
      <c r="S85" s="4" t="str">
        <f ca="1">Scorebook!$F$198</f>
        <v>G5</v>
      </c>
      <c r="T85" s="5" t="str">
        <f ca="1">Scorebook!$R$198</f>
        <v>Justin</v>
      </c>
      <c r="U85" s="5" t="str">
        <f ca="1">Scorebook!$B$226</f>
        <v>Bowser Jr.</v>
      </c>
      <c r="V85" s="4">
        <v>1</v>
      </c>
      <c r="W85" s="5">
        <f ca="1">Scorebook!M226</f>
        <v>2</v>
      </c>
      <c r="X85" s="5">
        <f ca="1">Scorebook!N226</f>
        <v>0</v>
      </c>
      <c r="Y85" s="5">
        <f ca="1">Scorebook!O226</f>
        <v>0</v>
      </c>
      <c r="Z85" s="5">
        <f ca="1">Scorebook!P226</f>
        <v>0</v>
      </c>
      <c r="AA85" s="5">
        <f ca="1">Scorebook!Q226</f>
        <v>0</v>
      </c>
      <c r="AB85" s="5">
        <f ca="1">Scorebook!R226</f>
        <v>0</v>
      </c>
      <c r="AC85" s="5">
        <f ca="1">Scorebook!S226</f>
        <v>0</v>
      </c>
      <c r="AD85" s="5">
        <f ca="1">Scorebook!T226</f>
        <v>0</v>
      </c>
      <c r="AE85" s="5">
        <f ca="1">Scorebook!U226</f>
        <v>1</v>
      </c>
      <c r="AF85" s="5">
        <f ca="1">Scorebook!V226</f>
        <v>0</v>
      </c>
      <c r="AG85" s="5">
        <f ca="1">Scorebook!W226</f>
        <v>0</v>
      </c>
      <c r="AH85" s="5">
        <f ca="1">Scorebook!X226</f>
        <v>0</v>
      </c>
      <c r="AI85" s="5">
        <f>Settings!$B$2</f>
        <v>1</v>
      </c>
      <c r="AJ85" s="18">
        <f ca="1">IF($AK85="","",Scorebook!$O$339)</f>
      </c>
      <c r="AK85" s="4" t="str">
        <f ca="1">Scorebook!$F$296</f>
        <v>G7</v>
      </c>
      <c r="AL85" s="5" t="str">
        <f ca="1">Scorebook!$R$296</f>
        <v>Donovan</v>
      </c>
      <c r="AM85" s="5" t="str">
        <f>Scorebook!$B$339</f>
      </c>
      <c r="AN85" s="5">
        <f ca="1">IF(Scorebook!C339="","",INT(Scorebook!C339)+MOD(ROUND(Scorebook!C339*10,0),10)/3)</f>
      </c>
      <c r="AO85" s="5" cm="1">
        <f t="array" aca="1" ref="AO85" ca="1">IF($AK85="","",_xlfn.LET(_xlpm.auto,AND(MOD(ROW()-4,6)=0,$AM85&lt;&gt;0,SUMPRODUCT(--(OFFSET($AM85,1,0,5,1)&lt;&gt;0))=0),_xlpm.oppA,_xlfn.XLOOKUP($AK85,$H$4:$H$18,$J$4:$J$18,""),_xlpm.oppB,_xlfn.XLOOKUP($AK85,$H$4:$H$18,$K$4:$K$18,""),_xlpm.opp,IF($AL85=_xlpm.oppA,_xlpm.oppB,_xlpm.oppA),IF(_xlpm.auto,SUMIFS($Y$4:$Y$273,$S$4:$S$273,$AK85,$T$4:$T$273,_xlpm.opp),Scorebook!D339)))</f>
      </c>
      <c r="AP85" s="5" cm="1">
        <f t="array" aca="1" ref="AP85" ca="1">IF($AK85="","",_xlfn.LET(_xlpm.auto,AND(MOD(ROW()-4,6)=0,$AM85&lt;&gt;0,SUMPRODUCT(--(OFFSET($AM85,1,0,5,1)&lt;&gt;0))=0),_xlpm.oppA,_xlfn.XLOOKUP($AK85,$H$4:$H$18,$J$4:$J$18,""),_xlpm.oppRuns,IF($AL85=_xlpm.oppA,_xlfn.XLOOKUP($AK85,$H$4:$H$18,$O$4:$O$18,""),_xlfn.XLOOKUP($AK85,$H$4:$H$18,$N$4:$N$18,"")),IF(_xlpm.auto,_xlpm.oppRuns,Scorebook!E339)))</f>
      </c>
      <c r="AQ85" s="5">
        <f ca="1">Scorebook!F339</f>
      </c>
      <c r="AR85" s="5" cm="1">
        <f t="array" aca="1" ref="AR85" ca="1">IF($AK85="","",_xlfn.LET(_xlpm.auto,AND(MOD(ROW()-4,6)=0,$AM85&lt;&gt;0,SUMPRODUCT(--(OFFSET($AM85,1,0,5,1)&lt;&gt;0))=0),_xlpm.oppA,_xlfn.XLOOKUP($AK85,$H$4:$H$18,$J$4:$J$18,""),_xlpm.oppB,_xlfn.XLOOKUP($AK85,$H$4:$H$18,$K$4:$K$18,""),_xlpm.opp,IF($AL85=_xlpm.oppA,_xlpm.oppB,_xlpm.oppA),IF(_xlpm.auto,SUMIFS($AD$4:$AD$273,$S$4:$S$273,$AK85,$T$4:$T$273,_xlpm.opp),Scorebook!G339)))</f>
      </c>
      <c r="AS85" s="5" cm="1">
        <f t="array" aca="1" ref="AS85" ca="1">IF($AK85="","",_xlfn.LET(_xlpm.auto,AND(MOD(ROW()-4,6)=0,$AM85&lt;&gt;0,SUMPRODUCT(--(OFFSET($AM85,1,0,5,1)&lt;&gt;0))=0),_xlpm.oppA,_xlfn.XLOOKUP($AK85,$H$4:$H$18,$J$4:$J$18,""),_xlpm.oppB,_xlfn.XLOOKUP($AK85,$H$4:$H$18,$K$4:$K$18,""),_xlpm.opp,IF($AL85=_xlpm.oppA,_xlpm.oppB,_xlpm.oppA),IF(_xlpm.auto,SUMIFS($AE$4:$AE$273,$S$4:$S$273,$AK85,$T$4:$T$273,_xlpm.opp),Scorebook!H339)))</f>
      </c>
      <c r="AT85" s="5" cm="1">
        <f t="array" aca="1" ref="AT85" ca="1">IF($AK85="","",_xlfn.LET(_xlpm.auto,AND(MOD(ROW()-4,6)=0,$AM85&lt;&gt;0,SUMPRODUCT(--(OFFSET($AM85,1,0,5,1)&lt;&gt;0))=0),_xlpm.oppA,_xlfn.XLOOKUP($AK85,$H$4:$H$18,$J$4:$J$18,""),_xlpm.oppB,_xlfn.XLOOKUP($AK85,$H$4:$H$18,$K$4:$K$18,""),_xlpm.opp,IF($AL85=_xlpm.oppA,_xlpm.oppB,_xlpm.oppA),IF(_xlpm.auto,SUMIFS($AB$4:$AB$273,$S$4:$S$273,$AK85,$T$4:$T$273,_xlpm.opp),Scorebook!I339)))</f>
      </c>
      <c r="AU85" s="5" cm="1">
        <f t="array" aca="1" ref="AU85" ca="1">IF($AK85="","",_xlfn.LET(_xlpm.auto,AND(MOD(ROW()-4,6)=0,$AM85&lt;&gt;0,SUMPRODUCT(--(OFFSET($AM85,1,0,5,1)&lt;&gt;0))=0),_xlpm.winner,_xlfn.XLOOKUP($AK85,$H$4:$H$18,$L$4:$L$18,""),IF(_xlpm.auto,--($AL85=_xlpm.winner),Scorebook!J339)))</f>
      </c>
      <c r="AV85" s="5" cm="1">
        <f t="array" aca="1" ref="AV85" ca="1">IF($AK85="","",_xlfn.LET(_xlpm.auto,AND(MOD(ROW()-4,6)=0,$AM85&lt;&gt;0,SUMPRODUCT(--(OFFSET($AM85,1,0,5,1)&lt;&gt;0))=0),_xlpm.loser,_xlfn.XLOOKUP($AK85,$H$4:$H$18,$M$4:$M$18,""),IF(_xlpm.auto,--($AL85=_xlpm.loser),Scorebook!K339)))</f>
      </c>
      <c r="AW85" s="5">
        <f ca="1">Scorebook!L339</f>
      </c>
      <c r="AX85" s="5" cm="1">
        <f t="array" aca="1" ref="AX85" ca="1">IF($AK85="","",_xlfn.LET(_xlpm.auto,AND(MOD(ROW()-4,6)=0,$AM85&lt;&gt;0,SUMPRODUCT(--(OFFSET($AM85,1,0,5,1)&lt;&gt;0))=0),_xlpm.oppA,_xlfn.XLOOKUP($AK85,$H$4:$H$18,$J$4:$J$18,""),_xlpm.oppRuns,IF($AL85=_xlpm.oppA,_xlfn.XLOOKUP($AK85,$H$4:$H$18,$O$4:$O$18,""),_xlfn.XLOOKUP($AK85,$H$4:$H$18,$N$4:$N$18,"")),IF(_xlpm.auto,--(_xlpm.oppRuns=0),Scorebook!M339)))</f>
      </c>
      <c r="AY85" s="5" cm="1">
        <f t="array" aca="1" ref="AY85" ca="1">IF($AK85="","",_xlfn.LET(_xlpm.auto,AND(MOD(ROW()-4,6)=0,$AM85&lt;&gt;0,SUMPRODUCT(--(OFFSET($AM85,1,0,5,1)&lt;&gt;0))=0),IF(_xlpm.auto,1,Scorebook!N339)))</f>
      </c>
      <c r="AZ85" s="10"/>
      <c r="BA85" s="10"/>
      <c r="BB85" s="5">
        <f>Settings!$B$2</f>
        <v>1</v>
      </c>
      <c r="BC85" s="5">
        <f>Betting!A87</f>
        <v>0</v>
      </c>
      <c r="BD85" s="5">
        <f>Betting!B87</f>
        <v>0</v>
      </c>
      <c r="BE85" s="5">
        <f>Betting!C87</f>
        <v>0</v>
      </c>
      <c r="BF85" s="5">
        <f>Betting!D87</f>
        <v>0</v>
      </c>
      <c r="BG85" s="5">
        <f>Betting!E87</f>
        <v>0</v>
      </c>
      <c r="BH85" s="5">
        <f>Betting!F87</f>
        <v>0</v>
      </c>
      <c r="BI85" s="4">
        <f>Betting!G87</f>
        <v>0</v>
      </c>
      <c r="BJ85" s="4">
        <f>Betting!H87</f>
        <v>0</v>
      </c>
    </row>
    <row r="86" spans="19:62">
      <c r="S86" s="4" t="str">
        <f ca="1">Scorebook!$F$198</f>
        <v>G5</v>
      </c>
      <c r="T86" s="5" t="str">
        <f ca="1">Scorebook!$R$198</f>
        <v>Justin</v>
      </c>
      <c r="U86" s="5" t="str">
        <f ca="1">Scorebook!$B$227</f>
        <v>Kritter</v>
      </c>
      <c r="V86" s="4">
        <v>2</v>
      </c>
      <c r="W86" s="5">
        <f ca="1">Scorebook!M227</f>
        <v>2</v>
      </c>
      <c r="X86" s="5">
        <f ca="1">Scorebook!N227</f>
        <v>1</v>
      </c>
      <c r="Y86" s="5">
        <f ca="1">Scorebook!O227</f>
        <v>1</v>
      </c>
      <c r="Z86" s="5">
        <f ca="1">Scorebook!P227</f>
        <v>0</v>
      </c>
      <c r="AA86" s="5">
        <f ca="1">Scorebook!Q227</f>
        <v>1</v>
      </c>
      <c r="AB86" s="5">
        <f ca="1">Scorebook!R227</f>
        <v>0</v>
      </c>
      <c r="AC86" s="5">
        <f ca="1">Scorebook!S227</f>
        <v>0</v>
      </c>
      <c r="AD86" s="5">
        <f ca="1">Scorebook!T227</f>
        <v>0</v>
      </c>
      <c r="AE86" s="5">
        <f ca="1">Scorebook!U227</f>
        <v>0</v>
      </c>
      <c r="AF86" s="5">
        <f ca="1">Scorebook!V227</f>
        <v>0</v>
      </c>
      <c r="AG86" s="5">
        <f ca="1">Scorebook!W227</f>
        <v>0</v>
      </c>
      <c r="AH86" s="5">
        <f ca="1">Scorebook!X227</f>
        <v>0</v>
      </c>
      <c r="AI86" s="5">
        <f>Settings!$B$2</f>
        <v>1</v>
      </c>
      <c r="AJ86" s="18">
        <f ca="1">IF($AK86="","",Scorebook!$O$340)</f>
      </c>
      <c r="AK86" s="4" t="str">
        <f ca="1">Scorebook!$F$296</f>
        <v>G7</v>
      </c>
      <c r="AL86" s="5" t="str">
        <f ca="1">Scorebook!$R$296</f>
        <v>Donovan</v>
      </c>
      <c r="AM86" s="5" t="str">
        <f>Scorebook!$B$340</f>
      </c>
      <c r="AN86" s="5">
        <f ca="1">IF(Scorebook!C340="","",INT(Scorebook!C340)+MOD(ROUND(Scorebook!C340*10,0),10)/3)</f>
      </c>
      <c r="AO86" s="5" cm="1">
        <f t="array" aca="1" ref="AO86" ca="1">IF($AK86="","",_xlfn.LET(_xlpm.auto,AND(MOD(ROW()-4,6)=0,$AM86&lt;&gt;0,SUMPRODUCT(--(OFFSET($AM86,1,0,5,1)&lt;&gt;0))=0),_xlpm.oppA,_xlfn.XLOOKUP($AK86,$H$4:$H$18,$J$4:$J$18,""),_xlpm.oppB,_xlfn.XLOOKUP($AK86,$H$4:$H$18,$K$4:$K$18,""),_xlpm.opp,IF($AL86=_xlpm.oppA,_xlpm.oppB,_xlpm.oppA),IF(_xlpm.auto,SUMIFS($Y$4:$Y$273,$S$4:$S$273,$AK86,$T$4:$T$273,_xlpm.opp),Scorebook!D340)))</f>
      </c>
      <c r="AP86" s="5" cm="1">
        <f t="array" aca="1" ref="AP86" ca="1">IF($AK86="","",_xlfn.LET(_xlpm.auto,AND(MOD(ROW()-4,6)=0,$AM86&lt;&gt;0,SUMPRODUCT(--(OFFSET($AM86,1,0,5,1)&lt;&gt;0))=0),_xlpm.oppA,_xlfn.XLOOKUP($AK86,$H$4:$H$18,$J$4:$J$18,""),_xlpm.oppRuns,IF($AL86=_xlpm.oppA,_xlfn.XLOOKUP($AK86,$H$4:$H$18,$O$4:$O$18,""),_xlfn.XLOOKUP($AK86,$H$4:$H$18,$N$4:$N$18,"")),IF(_xlpm.auto,_xlpm.oppRuns,Scorebook!E340)))</f>
      </c>
      <c r="AQ86" s="5">
        <f ca="1">Scorebook!F340</f>
      </c>
      <c r="AR86" s="5" cm="1">
        <f t="array" aca="1" ref="AR86" ca="1">IF($AK86="","",_xlfn.LET(_xlpm.auto,AND(MOD(ROW()-4,6)=0,$AM86&lt;&gt;0,SUMPRODUCT(--(OFFSET($AM86,1,0,5,1)&lt;&gt;0))=0),_xlpm.oppA,_xlfn.XLOOKUP($AK86,$H$4:$H$18,$J$4:$J$18,""),_xlpm.oppB,_xlfn.XLOOKUP($AK86,$H$4:$H$18,$K$4:$K$18,""),_xlpm.opp,IF($AL86=_xlpm.oppA,_xlpm.oppB,_xlpm.oppA),IF(_xlpm.auto,SUMIFS($AD$4:$AD$273,$S$4:$S$273,$AK86,$T$4:$T$273,_xlpm.opp),Scorebook!G340)))</f>
      </c>
      <c r="AS86" s="5" cm="1">
        <f t="array" aca="1" ref="AS86" ca="1">IF($AK86="","",_xlfn.LET(_xlpm.auto,AND(MOD(ROW()-4,6)=0,$AM86&lt;&gt;0,SUMPRODUCT(--(OFFSET($AM86,1,0,5,1)&lt;&gt;0))=0),_xlpm.oppA,_xlfn.XLOOKUP($AK86,$H$4:$H$18,$J$4:$J$18,""),_xlpm.oppB,_xlfn.XLOOKUP($AK86,$H$4:$H$18,$K$4:$K$18,""),_xlpm.opp,IF($AL86=_xlpm.oppA,_xlpm.oppB,_xlpm.oppA),IF(_xlpm.auto,SUMIFS($AE$4:$AE$273,$S$4:$S$273,$AK86,$T$4:$T$273,_xlpm.opp),Scorebook!H340)))</f>
      </c>
      <c r="AT86" s="5" cm="1">
        <f t="array" aca="1" ref="AT86" ca="1">IF($AK86="","",_xlfn.LET(_xlpm.auto,AND(MOD(ROW()-4,6)=0,$AM86&lt;&gt;0,SUMPRODUCT(--(OFFSET($AM86,1,0,5,1)&lt;&gt;0))=0),_xlpm.oppA,_xlfn.XLOOKUP($AK86,$H$4:$H$18,$J$4:$J$18,""),_xlpm.oppB,_xlfn.XLOOKUP($AK86,$H$4:$H$18,$K$4:$K$18,""),_xlpm.opp,IF($AL86=_xlpm.oppA,_xlpm.oppB,_xlpm.oppA),IF(_xlpm.auto,SUMIFS($AB$4:$AB$273,$S$4:$S$273,$AK86,$T$4:$T$273,_xlpm.opp),Scorebook!I340)))</f>
      </c>
      <c r="AU86" s="5" cm="1">
        <f t="array" aca="1" ref="AU86" ca="1">IF($AK86="","",_xlfn.LET(_xlpm.auto,AND(MOD(ROW()-4,6)=0,$AM86&lt;&gt;0,SUMPRODUCT(--(OFFSET($AM86,1,0,5,1)&lt;&gt;0))=0),_xlpm.winner,_xlfn.XLOOKUP($AK86,$H$4:$H$18,$L$4:$L$18,""),IF(_xlpm.auto,--($AL86=_xlpm.winner),Scorebook!J340)))</f>
      </c>
      <c r="AV86" s="5" cm="1">
        <f t="array" aca="1" ref="AV86" ca="1">IF($AK86="","",_xlfn.LET(_xlpm.auto,AND(MOD(ROW()-4,6)=0,$AM86&lt;&gt;0,SUMPRODUCT(--(OFFSET($AM86,1,0,5,1)&lt;&gt;0))=0),_xlpm.loser,_xlfn.XLOOKUP($AK86,$H$4:$H$18,$M$4:$M$18,""),IF(_xlpm.auto,--($AL86=_xlpm.loser),Scorebook!K340)))</f>
      </c>
      <c r="AW86" s="5">
        <f ca="1">Scorebook!L340</f>
      </c>
      <c r="AX86" s="5" cm="1">
        <f t="array" aca="1" ref="AX86" ca="1">IF($AK86="","",_xlfn.LET(_xlpm.auto,AND(MOD(ROW()-4,6)=0,$AM86&lt;&gt;0,SUMPRODUCT(--(OFFSET($AM86,1,0,5,1)&lt;&gt;0))=0),_xlpm.oppA,_xlfn.XLOOKUP($AK86,$H$4:$H$18,$J$4:$J$18,""),_xlpm.oppRuns,IF($AL86=_xlpm.oppA,_xlfn.XLOOKUP($AK86,$H$4:$H$18,$O$4:$O$18,""),_xlfn.XLOOKUP($AK86,$H$4:$H$18,$N$4:$N$18,"")),IF(_xlpm.auto,--(_xlpm.oppRuns=0),Scorebook!M340)))</f>
      </c>
      <c r="AY86" s="5" cm="1">
        <f t="array" aca="1" ref="AY86" ca="1">IF($AK86="","",_xlfn.LET(_xlpm.auto,AND(MOD(ROW()-4,6)=0,$AM86&lt;&gt;0,SUMPRODUCT(--(OFFSET($AM86,1,0,5,1)&lt;&gt;0))=0),IF(_xlpm.auto,1,Scorebook!N340)))</f>
      </c>
      <c r="AZ86" s="10"/>
      <c r="BA86" s="10"/>
      <c r="BB86" s="5">
        <f>Settings!$B$2</f>
        <v>1</v>
      </c>
      <c r="BC86" s="5">
        <f>Betting!A88</f>
        <v>0</v>
      </c>
      <c r="BD86" s="5">
        <f>Betting!B88</f>
        <v>0</v>
      </c>
      <c r="BE86" s="5">
        <f>Betting!C88</f>
        <v>0</v>
      </c>
      <c r="BF86" s="5">
        <f>Betting!D88</f>
        <v>0</v>
      </c>
      <c r="BG86" s="5">
        <f>Betting!E88</f>
        <v>0</v>
      </c>
      <c r="BH86" s="5">
        <f>Betting!F88</f>
        <v>0</v>
      </c>
      <c r="BI86" s="4">
        <f>Betting!G88</f>
        <v>0</v>
      </c>
      <c r="BJ86" s="4">
        <f>Betting!H88</f>
        <v>0</v>
      </c>
    </row>
    <row r="87" spans="19:62">
      <c r="S87" s="4" t="str">
        <f ca="1">Scorebook!$F$198</f>
        <v>G5</v>
      </c>
      <c r="T87" s="5" t="str">
        <f ca="1">Scorebook!$R$198</f>
        <v>Justin</v>
      </c>
      <c r="U87" s="5" t="str">
        <f ca="1">Scorebook!$B$228</f>
        <v>Funky Kong</v>
      </c>
      <c r="V87" s="4">
        <v>3</v>
      </c>
      <c r="W87" s="5">
        <f ca="1">Scorebook!M228</f>
        <v>0</v>
      </c>
      <c r="X87" s="5">
        <f ca="1">Scorebook!N228</f>
        <v>0</v>
      </c>
      <c r="Y87" s="5">
        <f ca="1">Scorebook!O228</f>
        <v>0</v>
      </c>
      <c r="Z87" s="5">
        <f ca="1">Scorebook!P228</f>
        <v>0</v>
      </c>
      <c r="AA87" s="5">
        <f ca="1">Scorebook!Q228</f>
        <v>0</v>
      </c>
      <c r="AB87" s="5">
        <f ca="1">Scorebook!R228</f>
        <v>0</v>
      </c>
      <c r="AC87" s="5">
        <f ca="1">Scorebook!S228</f>
        <v>1</v>
      </c>
      <c r="AD87" s="5">
        <f ca="1">Scorebook!T228</f>
        <v>0</v>
      </c>
      <c r="AE87" s="5">
        <f ca="1">Scorebook!U228</f>
        <v>0</v>
      </c>
      <c r="AF87" s="5">
        <f ca="1">Scorebook!V228</f>
        <v>0</v>
      </c>
      <c r="AG87" s="5">
        <f ca="1">Scorebook!W228</f>
        <v>1</v>
      </c>
      <c r="AH87" s="5">
        <f ca="1">Scorebook!X228</f>
        <v>0</v>
      </c>
      <c r="AI87" s="5">
        <f>Settings!$B$2</f>
        <v>1</v>
      </c>
      <c r="AJ87" s="18">
        <f ca="1">IF($AK87="","",Scorebook!$O$341)</f>
      </c>
      <c r="AK87" s="4" t="str">
        <f ca="1">Scorebook!$F$296</f>
        <v>G7</v>
      </c>
      <c r="AL87" s="5" t="str">
        <f ca="1">Scorebook!$R$296</f>
        <v>Donovan</v>
      </c>
      <c r="AM87" s="5" t="str">
        <f>Scorebook!$B$341</f>
      </c>
      <c r="AN87" s="5">
        <f ca="1">IF(Scorebook!C341="","",INT(Scorebook!C341)+MOD(ROUND(Scorebook!C341*10,0),10)/3)</f>
      </c>
      <c r="AO87" s="5" cm="1">
        <f t="array" aca="1" ref="AO87" ca="1">IF($AK87="","",_xlfn.LET(_xlpm.auto,AND(MOD(ROW()-4,6)=0,$AM87&lt;&gt;0,SUMPRODUCT(--(OFFSET($AM87,1,0,5,1)&lt;&gt;0))=0),_xlpm.oppA,_xlfn.XLOOKUP($AK87,$H$4:$H$18,$J$4:$J$18,""),_xlpm.oppB,_xlfn.XLOOKUP($AK87,$H$4:$H$18,$K$4:$K$18,""),_xlpm.opp,IF($AL87=_xlpm.oppA,_xlpm.oppB,_xlpm.oppA),IF(_xlpm.auto,SUMIFS($Y$4:$Y$273,$S$4:$S$273,$AK87,$T$4:$T$273,_xlpm.opp),Scorebook!D341)))</f>
      </c>
      <c r="AP87" s="5" cm="1">
        <f t="array" aca="1" ref="AP87" ca="1">IF($AK87="","",_xlfn.LET(_xlpm.auto,AND(MOD(ROW()-4,6)=0,$AM87&lt;&gt;0,SUMPRODUCT(--(OFFSET($AM87,1,0,5,1)&lt;&gt;0))=0),_xlpm.oppA,_xlfn.XLOOKUP($AK87,$H$4:$H$18,$J$4:$J$18,""),_xlpm.oppRuns,IF($AL87=_xlpm.oppA,_xlfn.XLOOKUP($AK87,$H$4:$H$18,$O$4:$O$18,""),_xlfn.XLOOKUP($AK87,$H$4:$H$18,$N$4:$N$18,"")),IF(_xlpm.auto,_xlpm.oppRuns,Scorebook!E341)))</f>
      </c>
      <c r="AQ87" s="5">
        <f ca="1">Scorebook!F341</f>
      </c>
      <c r="AR87" s="5" cm="1">
        <f t="array" aca="1" ref="AR87" ca="1">IF($AK87="","",_xlfn.LET(_xlpm.auto,AND(MOD(ROW()-4,6)=0,$AM87&lt;&gt;0,SUMPRODUCT(--(OFFSET($AM87,1,0,5,1)&lt;&gt;0))=0),_xlpm.oppA,_xlfn.XLOOKUP($AK87,$H$4:$H$18,$J$4:$J$18,""),_xlpm.oppB,_xlfn.XLOOKUP($AK87,$H$4:$H$18,$K$4:$K$18,""),_xlpm.opp,IF($AL87=_xlpm.oppA,_xlpm.oppB,_xlpm.oppA),IF(_xlpm.auto,SUMIFS($AD$4:$AD$273,$S$4:$S$273,$AK87,$T$4:$T$273,_xlpm.opp),Scorebook!G341)))</f>
      </c>
      <c r="AS87" s="5" cm="1">
        <f t="array" aca="1" ref="AS87" ca="1">IF($AK87="","",_xlfn.LET(_xlpm.auto,AND(MOD(ROW()-4,6)=0,$AM87&lt;&gt;0,SUMPRODUCT(--(OFFSET($AM87,1,0,5,1)&lt;&gt;0))=0),_xlpm.oppA,_xlfn.XLOOKUP($AK87,$H$4:$H$18,$J$4:$J$18,""),_xlpm.oppB,_xlfn.XLOOKUP($AK87,$H$4:$H$18,$K$4:$K$18,""),_xlpm.opp,IF($AL87=_xlpm.oppA,_xlpm.oppB,_xlpm.oppA),IF(_xlpm.auto,SUMIFS($AE$4:$AE$273,$S$4:$S$273,$AK87,$T$4:$T$273,_xlpm.opp),Scorebook!H341)))</f>
      </c>
      <c r="AT87" s="5" cm="1">
        <f t="array" aca="1" ref="AT87" ca="1">IF($AK87="","",_xlfn.LET(_xlpm.auto,AND(MOD(ROW()-4,6)=0,$AM87&lt;&gt;0,SUMPRODUCT(--(OFFSET($AM87,1,0,5,1)&lt;&gt;0))=0),_xlpm.oppA,_xlfn.XLOOKUP($AK87,$H$4:$H$18,$J$4:$J$18,""),_xlpm.oppB,_xlfn.XLOOKUP($AK87,$H$4:$H$18,$K$4:$K$18,""),_xlpm.opp,IF($AL87=_xlpm.oppA,_xlpm.oppB,_xlpm.oppA),IF(_xlpm.auto,SUMIFS($AB$4:$AB$273,$S$4:$S$273,$AK87,$T$4:$T$273,_xlpm.opp),Scorebook!I341)))</f>
      </c>
      <c r="AU87" s="5" cm="1">
        <f t="array" aca="1" ref="AU87" ca="1">IF($AK87="","",_xlfn.LET(_xlpm.auto,AND(MOD(ROW()-4,6)=0,$AM87&lt;&gt;0,SUMPRODUCT(--(OFFSET($AM87,1,0,5,1)&lt;&gt;0))=0),_xlpm.winner,_xlfn.XLOOKUP($AK87,$H$4:$H$18,$L$4:$L$18,""),IF(_xlpm.auto,--($AL87=_xlpm.winner),Scorebook!J341)))</f>
      </c>
      <c r="AV87" s="5" cm="1">
        <f t="array" aca="1" ref="AV87" ca="1">IF($AK87="","",_xlfn.LET(_xlpm.auto,AND(MOD(ROW()-4,6)=0,$AM87&lt;&gt;0,SUMPRODUCT(--(OFFSET($AM87,1,0,5,1)&lt;&gt;0))=0),_xlpm.loser,_xlfn.XLOOKUP($AK87,$H$4:$H$18,$M$4:$M$18,""),IF(_xlpm.auto,--($AL87=_xlpm.loser),Scorebook!K341)))</f>
      </c>
      <c r="AW87" s="5">
        <f ca="1">Scorebook!L341</f>
      </c>
      <c r="AX87" s="5" cm="1">
        <f t="array" aca="1" ref="AX87" ca="1">IF($AK87="","",_xlfn.LET(_xlpm.auto,AND(MOD(ROW()-4,6)=0,$AM87&lt;&gt;0,SUMPRODUCT(--(OFFSET($AM87,1,0,5,1)&lt;&gt;0))=0),_xlpm.oppA,_xlfn.XLOOKUP($AK87,$H$4:$H$18,$J$4:$J$18,""),_xlpm.oppRuns,IF($AL87=_xlpm.oppA,_xlfn.XLOOKUP($AK87,$H$4:$H$18,$O$4:$O$18,""),_xlfn.XLOOKUP($AK87,$H$4:$H$18,$N$4:$N$18,"")),IF(_xlpm.auto,--(_xlpm.oppRuns=0),Scorebook!M341)))</f>
      </c>
      <c r="AY87" s="5" cm="1">
        <f t="array" aca="1" ref="AY87" ca="1">IF($AK87="","",_xlfn.LET(_xlpm.auto,AND(MOD(ROW()-4,6)=0,$AM87&lt;&gt;0,SUMPRODUCT(--(OFFSET($AM87,1,0,5,1)&lt;&gt;0))=0),IF(_xlpm.auto,1,Scorebook!N341)))</f>
      </c>
      <c r="AZ87" s="10"/>
      <c r="BA87" s="10"/>
      <c r="BB87" s="5">
        <f>Settings!$B$2</f>
        <v>1</v>
      </c>
      <c r="BC87" s="5">
        <f>Betting!A89</f>
        <v>0</v>
      </c>
      <c r="BD87" s="5">
        <f>Betting!B89</f>
        <v>0</v>
      </c>
      <c r="BE87" s="5">
        <f>Betting!C89</f>
        <v>0</v>
      </c>
      <c r="BF87" s="5">
        <f>Betting!D89</f>
        <v>0</v>
      </c>
      <c r="BG87" s="5">
        <f>Betting!E89</f>
        <v>0</v>
      </c>
      <c r="BH87" s="5">
        <f>Betting!F89</f>
        <v>0</v>
      </c>
      <c r="BI87" s="4">
        <f>Betting!G89</f>
        <v>0</v>
      </c>
      <c r="BJ87" s="4">
        <f>Betting!H89</f>
        <v>0</v>
      </c>
    </row>
    <row r="88" spans="19:62">
      <c r="S88" s="4" t="str">
        <f ca="1">Scorebook!$F$198</f>
        <v>G5</v>
      </c>
      <c r="T88" s="5" t="str">
        <f ca="1">Scorebook!$R$198</f>
        <v>Justin</v>
      </c>
      <c r="U88" s="5" t="str">
        <f ca="1">Scorebook!$B$229</f>
        <v>Red Pianta</v>
      </c>
      <c r="V88" s="4">
        <v>4</v>
      </c>
      <c r="W88" s="5">
        <f ca="1">Scorebook!M229</f>
        <v>1</v>
      </c>
      <c r="X88" s="5">
        <f ca="1">Scorebook!N229</f>
        <v>0</v>
      </c>
      <c r="Y88" s="5">
        <f ca="1">Scorebook!O229</f>
        <v>0</v>
      </c>
      <c r="Z88" s="5">
        <f ca="1">Scorebook!P229</f>
        <v>0</v>
      </c>
      <c r="AA88" s="5">
        <f ca="1">Scorebook!Q229</f>
        <v>0</v>
      </c>
      <c r="AB88" s="5">
        <f ca="1">Scorebook!R229</f>
        <v>0</v>
      </c>
      <c r="AC88" s="5">
        <f ca="1">Scorebook!S229</f>
        <v>0</v>
      </c>
      <c r="AD88" s="5">
        <f ca="1">Scorebook!T229</f>
        <v>0</v>
      </c>
      <c r="AE88" s="5">
        <f ca="1">Scorebook!U229</f>
        <v>0</v>
      </c>
      <c r="AF88" s="5">
        <f ca="1">Scorebook!V229</f>
        <v>0</v>
      </c>
      <c r="AG88" s="5">
        <f ca="1">Scorebook!W229</f>
        <v>0</v>
      </c>
      <c r="AH88" s="5">
        <f ca="1">Scorebook!X229</f>
        <v>0</v>
      </c>
      <c r="AI88" s="5">
        <f>Settings!$B$2</f>
        <v>1</v>
      </c>
      <c r="AJ88" s="18">
        <f ca="1">IF($AK88="","",Scorebook!$O$364)</f>
        <v>9</v>
      </c>
      <c r="AK88" s="4" t="str">
        <f ca="1">Scorebook!$F$345</f>
        <v>G8</v>
      </c>
      <c r="AL88" s="5" t="str">
        <f ca="1">Scorebook!$N$345</f>
        <v>Nick</v>
      </c>
      <c r="AM88" s="5" t="str">
        <f ca="1">Scorebook!$B$364</f>
        <v>Daisy</v>
      </c>
      <c r="AN88" s="5">
        <f ca="1">IF(Scorebook!C364="","",INT(Scorebook!C364)+MOD(ROUND(Scorebook!C364*10,0),10)/3)</f>
        <v>2.3333333333333335</v>
      </c>
      <c r="AO88" s="5" cm="1">
        <f t="array" aca="1" ref="AO88" ca="1">IF($AK88="","",_xlfn.LET(_xlpm.auto,AND(MOD(ROW()-4,6)=0,$AM88&lt;&gt;0,SUMPRODUCT(--(OFFSET($AM88,1,0,5,1)&lt;&gt;0))=0),_xlpm.oppA,_xlfn.XLOOKUP($AK88,$H$4:$H$18,$J$4:$J$18,""),_xlpm.oppB,_xlfn.XLOOKUP($AK88,$H$4:$H$18,$K$4:$K$18,""),_xlpm.opp,IF($AL88=_xlpm.oppA,_xlpm.oppB,_xlpm.oppA),IF(_xlpm.auto,SUMIFS($Y$4:$Y$273,$S$4:$S$273,$AK88,$T$4:$T$273,_xlpm.opp),Scorebook!D364)))</f>
        <v>2</v>
      </c>
      <c r="AP88" s="5" cm="1">
        <f t="array" aca="1" ref="AP88" ca="1">IF($AK88="","",_xlfn.LET(_xlpm.auto,AND(MOD(ROW()-4,6)=0,$AM88&lt;&gt;0,SUMPRODUCT(--(OFFSET($AM88,1,0,5,1)&lt;&gt;0))=0),_xlpm.oppA,_xlfn.XLOOKUP($AK88,$H$4:$H$18,$J$4:$J$18,""),_xlpm.oppRuns,IF($AL88=_xlpm.oppA,_xlfn.XLOOKUP($AK88,$H$4:$H$18,$O$4:$O$18,""),_xlfn.XLOOKUP($AK88,$H$4:$H$18,$N$4:$N$18,"")),IF(_xlpm.auto,_xlpm.oppRuns,Scorebook!E364)))</f>
        <v>2</v>
      </c>
      <c r="AQ88" s="5">
        <f ca="1">Scorebook!F364</f>
        <v>2</v>
      </c>
      <c r="AR88" s="5" cm="1">
        <f t="array" aca="1" ref="AR88" ca="1">IF($AK88="","",_xlfn.LET(_xlpm.auto,AND(MOD(ROW()-4,6)=0,$AM88&lt;&gt;0,SUMPRODUCT(--(OFFSET($AM88,1,0,5,1)&lt;&gt;0))=0),_xlpm.oppA,_xlfn.XLOOKUP($AK88,$H$4:$H$18,$J$4:$J$18,""),_xlpm.oppB,_xlfn.XLOOKUP($AK88,$H$4:$H$18,$K$4:$K$18,""),_xlpm.opp,IF($AL88=_xlpm.oppA,_xlpm.oppB,_xlpm.oppA),IF(_xlpm.auto,SUMIFS($AD$4:$AD$273,$S$4:$S$273,$AK88,$T$4:$T$273,_xlpm.opp),Scorebook!G364)))</f>
        <v>0</v>
      </c>
      <c r="AS88" s="5" cm="1">
        <f t="array" aca="1" ref="AS88" ca="1">IF($AK88="","",_xlfn.LET(_xlpm.auto,AND(MOD(ROW()-4,6)=0,$AM88&lt;&gt;0,SUMPRODUCT(--(OFFSET($AM88,1,0,5,1)&lt;&gt;0))=0),_xlpm.oppA,_xlfn.XLOOKUP($AK88,$H$4:$H$18,$J$4:$J$18,""),_xlpm.oppB,_xlfn.XLOOKUP($AK88,$H$4:$H$18,$K$4:$K$18,""),_xlpm.opp,IF($AL88=_xlpm.oppA,_xlpm.oppB,_xlpm.oppA),IF(_xlpm.auto,SUMIFS($AE$4:$AE$273,$S$4:$S$273,$AK88,$T$4:$T$273,_xlpm.opp),Scorebook!H364)))</f>
        <v>1</v>
      </c>
      <c r="AT88" s="5" cm="1">
        <f t="array" aca="1" ref="AT88" ca="1">IF($AK88="","",_xlfn.LET(_xlpm.auto,AND(MOD(ROW()-4,6)=0,$AM88&lt;&gt;0,SUMPRODUCT(--(OFFSET($AM88,1,0,5,1)&lt;&gt;0))=0),_xlpm.oppA,_xlfn.XLOOKUP($AK88,$H$4:$H$18,$J$4:$J$18,""),_xlpm.oppB,_xlfn.XLOOKUP($AK88,$H$4:$H$18,$K$4:$K$18,""),_xlpm.opp,IF($AL88=_xlpm.oppA,_xlpm.oppB,_xlpm.oppA),IF(_xlpm.auto,SUMIFS($AB$4:$AB$273,$S$4:$S$273,$AK88,$T$4:$T$273,_xlpm.opp),Scorebook!I364)))</f>
        <v>1</v>
      </c>
      <c r="AU88" s="5" cm="1">
        <f t="array" aca="1" ref="AU88" ca="1">IF($AK88="","",_xlfn.LET(_xlpm.auto,AND(MOD(ROW()-4,6)=0,$AM88&lt;&gt;0,SUMPRODUCT(--(OFFSET($AM88,1,0,5,1)&lt;&gt;0))=0),_xlpm.winner,_xlfn.XLOOKUP($AK88,$H$4:$H$18,$L$4:$L$18,""),IF(_xlpm.auto,--($AL88=_xlpm.winner),Scorebook!J364)))</f>
        <v>1</v>
      </c>
      <c r="AV88" s="5" cm="1">
        <f t="array" aca="1" ref="AV88" ca="1">IF($AK88="","",_xlfn.LET(_xlpm.auto,AND(MOD(ROW()-4,6)=0,$AM88&lt;&gt;0,SUMPRODUCT(--(OFFSET($AM88,1,0,5,1)&lt;&gt;0))=0),_xlpm.loser,_xlfn.XLOOKUP($AK88,$H$4:$H$18,$M$4:$M$18,""),IF(_xlpm.auto,--($AL88=_xlpm.loser),Scorebook!K364)))</f>
        <v>0</v>
      </c>
      <c r="AW88" s="5">
        <f ca="1">Scorebook!L364</f>
        <v>0</v>
      </c>
      <c r="AX88" s="5" cm="1">
        <f t="array" aca="1" ref="AX88" ca="1">IF($AK88="","",_xlfn.LET(_xlpm.auto,AND(MOD(ROW()-4,6)=0,$AM88&lt;&gt;0,SUMPRODUCT(--(OFFSET($AM88,1,0,5,1)&lt;&gt;0))=0),_xlpm.oppA,_xlfn.XLOOKUP($AK88,$H$4:$H$18,$J$4:$J$18,""),_xlpm.oppRuns,IF($AL88=_xlpm.oppA,_xlfn.XLOOKUP($AK88,$H$4:$H$18,$O$4:$O$18,""),_xlfn.XLOOKUP($AK88,$H$4:$H$18,$N$4:$N$18,"")),IF(_xlpm.auto,--(_xlpm.oppRuns=0),Scorebook!M364)))</f>
        <v>0</v>
      </c>
      <c r="AY88" s="5" cm="1">
        <f t="array" aca="1" ref="AY88" ca="1">IF($AK88="","",_xlfn.LET(_xlpm.auto,AND(MOD(ROW()-4,6)=0,$AM88&lt;&gt;0,SUMPRODUCT(--(OFFSET($AM88,1,0,5,1)&lt;&gt;0))=0),IF(_xlpm.auto,1,Scorebook!N364)))</f>
        <v>0</v>
      </c>
      <c r="AZ88" s="10"/>
      <c r="BA88" s="10"/>
      <c r="BB88" s="5">
        <f>Settings!$B$2</f>
        <v>1</v>
      </c>
      <c r="BC88" s="5">
        <f>Betting!A90</f>
        <v>0</v>
      </c>
      <c r="BD88" s="5">
        <f>Betting!B90</f>
        <v>0</v>
      </c>
      <c r="BE88" s="5">
        <f>Betting!C90</f>
        <v>0</v>
      </c>
      <c r="BF88" s="5">
        <f>Betting!D90</f>
        <v>0</v>
      </c>
      <c r="BG88" s="5">
        <f>Betting!E90</f>
        <v>0</v>
      </c>
      <c r="BH88" s="5">
        <f>Betting!F90</f>
        <v>0</v>
      </c>
      <c r="BI88" s="4">
        <f>Betting!G90</f>
        <v>0</v>
      </c>
      <c r="BJ88" s="4">
        <f>Betting!H90</f>
        <v>0</v>
      </c>
    </row>
    <row r="89" spans="19:62">
      <c r="S89" s="4" t="str">
        <f ca="1">Scorebook!$F$198</f>
        <v>G5</v>
      </c>
      <c r="T89" s="5" t="str">
        <f ca="1">Scorebook!$R$198</f>
        <v>Justin</v>
      </c>
      <c r="U89" s="5" t="str">
        <f ca="1">Scorebook!$B$230</f>
        <v>Blue Yoshi</v>
      </c>
      <c r="V89" s="4">
        <v>5</v>
      </c>
      <c r="W89" s="5">
        <f ca="1">Scorebook!M230</f>
        <v>1</v>
      </c>
      <c r="X89" s="5">
        <f ca="1">Scorebook!N230</f>
        <v>0</v>
      </c>
      <c r="Y89" s="5">
        <f ca="1">Scorebook!O230</f>
        <v>0</v>
      </c>
      <c r="Z89" s="5">
        <f ca="1">Scorebook!P230</f>
        <v>0</v>
      </c>
      <c r="AA89" s="5">
        <f ca="1">Scorebook!Q230</f>
        <v>0</v>
      </c>
      <c r="AB89" s="5">
        <f ca="1">Scorebook!R230</f>
        <v>0</v>
      </c>
      <c r="AC89" s="5">
        <f ca="1">Scorebook!S230</f>
        <v>0</v>
      </c>
      <c r="AD89" s="5">
        <f ca="1">Scorebook!T230</f>
        <v>0</v>
      </c>
      <c r="AE89" s="5">
        <f ca="1">Scorebook!U230</f>
        <v>0</v>
      </c>
      <c r="AF89" s="5">
        <f ca="1">Scorebook!V230</f>
        <v>0</v>
      </c>
      <c r="AG89" s="5">
        <f ca="1">Scorebook!W230</f>
        <v>0</v>
      </c>
      <c r="AH89" s="5">
        <f ca="1">Scorebook!X230</f>
        <v>0</v>
      </c>
      <c r="AI89" s="5">
        <f>Settings!$B$2</f>
        <v>1</v>
      </c>
      <c r="AJ89" s="18">
        <f ca="1">IF($AK89="","",Scorebook!$O$365)</f>
        <v>8</v>
      </c>
      <c r="AK89" s="4" t="str">
        <f ca="1">Scorebook!$F$345</f>
        <v>G8</v>
      </c>
      <c r="AL89" s="5" t="str">
        <f ca="1">Scorebook!$N$345</f>
        <v>Nick</v>
      </c>
      <c r="AM89" s="5" t="str">
        <f ca="1">Scorebook!$B$365</f>
        <v>Boomerang Bro</v>
      </c>
      <c r="AN89" s="5">
        <f ca="1">IF(Scorebook!C365="","",INT(Scorebook!C365)+MOD(ROUND(Scorebook!C365*10,0),10)/3)</f>
        <v>1.6666666666666667</v>
      </c>
      <c r="AO89" s="5" cm="1">
        <f t="array" aca="1" ref="AO89" ca="1">IF($AK89="","",_xlfn.LET(_xlpm.auto,AND(MOD(ROW()-4,6)=0,$AM89&lt;&gt;0,SUMPRODUCT(--(OFFSET($AM89,1,0,5,1)&lt;&gt;0))=0),_xlpm.oppA,_xlfn.XLOOKUP($AK89,$H$4:$H$18,$J$4:$J$18,""),_xlpm.oppB,_xlfn.XLOOKUP($AK89,$H$4:$H$18,$K$4:$K$18,""),_xlpm.opp,IF($AL89=_xlpm.oppA,_xlpm.oppB,_xlpm.oppA),IF(_xlpm.auto,SUMIFS($Y$4:$Y$273,$S$4:$S$273,$AK89,$T$4:$T$273,_xlpm.opp),Scorebook!D365)))</f>
        <v>3</v>
      </c>
      <c r="AP89" s="5" cm="1">
        <f t="array" aca="1" ref="AP89" ca="1">IF($AK89="","",_xlfn.LET(_xlpm.auto,AND(MOD(ROW()-4,6)=0,$AM89&lt;&gt;0,SUMPRODUCT(--(OFFSET($AM89,1,0,5,1)&lt;&gt;0))=0),_xlpm.oppA,_xlfn.XLOOKUP($AK89,$H$4:$H$18,$J$4:$J$18,""),_xlpm.oppRuns,IF($AL89=_xlpm.oppA,_xlfn.XLOOKUP($AK89,$H$4:$H$18,$O$4:$O$18,""),_xlfn.XLOOKUP($AK89,$H$4:$H$18,$N$4:$N$18,"")),IF(_xlpm.auto,_xlpm.oppRuns,Scorebook!E365)))</f>
        <v>2</v>
      </c>
      <c r="AQ89" s="5">
        <f ca="1">Scorebook!F365</f>
        <v>2</v>
      </c>
      <c r="AR89" s="5" cm="1">
        <f t="array" aca="1" ref="AR89" ca="1">IF($AK89="","",_xlfn.LET(_xlpm.auto,AND(MOD(ROW()-4,6)=0,$AM89&lt;&gt;0,SUMPRODUCT(--(OFFSET($AM89,1,0,5,1)&lt;&gt;0))=0),_xlpm.oppA,_xlfn.XLOOKUP($AK89,$H$4:$H$18,$J$4:$J$18,""),_xlpm.oppB,_xlfn.XLOOKUP($AK89,$H$4:$H$18,$K$4:$K$18,""),_xlpm.opp,IF($AL89=_xlpm.oppA,_xlpm.oppB,_xlpm.oppA),IF(_xlpm.auto,SUMIFS($AD$4:$AD$273,$S$4:$S$273,$AK89,$T$4:$T$273,_xlpm.opp),Scorebook!G365)))</f>
        <v>0</v>
      </c>
      <c r="AS89" s="5" cm="1">
        <f t="array" aca="1" ref="AS89" ca="1">IF($AK89="","",_xlfn.LET(_xlpm.auto,AND(MOD(ROW()-4,6)=0,$AM89&lt;&gt;0,SUMPRODUCT(--(OFFSET($AM89,1,0,5,1)&lt;&gt;0))=0),_xlpm.oppA,_xlfn.XLOOKUP($AK89,$H$4:$H$18,$J$4:$J$18,""),_xlpm.oppB,_xlfn.XLOOKUP($AK89,$H$4:$H$18,$K$4:$K$18,""),_xlpm.opp,IF($AL89=_xlpm.oppA,_xlpm.oppB,_xlpm.oppA),IF(_xlpm.auto,SUMIFS($AE$4:$AE$273,$S$4:$S$273,$AK89,$T$4:$T$273,_xlpm.opp),Scorebook!H365)))</f>
        <v>1</v>
      </c>
      <c r="AT89" s="5" cm="1">
        <f t="array" aca="1" ref="AT89" ca="1">IF($AK89="","",_xlfn.LET(_xlpm.auto,AND(MOD(ROW()-4,6)=0,$AM89&lt;&gt;0,SUMPRODUCT(--(OFFSET($AM89,1,0,5,1)&lt;&gt;0))=0),_xlpm.oppA,_xlfn.XLOOKUP($AK89,$H$4:$H$18,$J$4:$J$18,""),_xlpm.oppB,_xlfn.XLOOKUP($AK89,$H$4:$H$18,$K$4:$K$18,""),_xlpm.opp,IF($AL89=_xlpm.oppA,_xlpm.oppB,_xlpm.oppA),IF(_xlpm.auto,SUMIFS($AB$4:$AB$273,$S$4:$S$273,$AK89,$T$4:$T$273,_xlpm.opp),Scorebook!I365)))</f>
        <v>1</v>
      </c>
      <c r="AU89" s="5" cm="1">
        <f t="array" aca="1" ref="AU89" ca="1">IF($AK89="","",_xlfn.LET(_xlpm.auto,AND(MOD(ROW()-4,6)=0,$AM89&lt;&gt;0,SUMPRODUCT(--(OFFSET($AM89,1,0,5,1)&lt;&gt;0))=0),_xlpm.winner,_xlfn.XLOOKUP($AK89,$H$4:$H$18,$L$4:$L$18,""),IF(_xlpm.auto,--($AL89=_xlpm.winner),Scorebook!J365)))</f>
        <v>0</v>
      </c>
      <c r="AV89" s="5" cm="1">
        <f t="array" aca="1" ref="AV89" ca="1">IF($AK89="","",_xlfn.LET(_xlpm.auto,AND(MOD(ROW()-4,6)=0,$AM89&lt;&gt;0,SUMPRODUCT(--(OFFSET($AM89,1,0,5,1)&lt;&gt;0))=0),_xlpm.loser,_xlfn.XLOOKUP($AK89,$H$4:$H$18,$M$4:$M$18,""),IF(_xlpm.auto,--($AL89=_xlpm.loser),Scorebook!K365)))</f>
        <v>0</v>
      </c>
      <c r="AW89" s="5">
        <f ca="1">Scorebook!L365</f>
        <v>1</v>
      </c>
      <c r="AX89" s="5" cm="1">
        <f t="array" aca="1" ref="AX89" ca="1">IF($AK89="","",_xlfn.LET(_xlpm.auto,AND(MOD(ROW()-4,6)=0,$AM89&lt;&gt;0,SUMPRODUCT(--(OFFSET($AM89,1,0,5,1)&lt;&gt;0))=0),_xlpm.oppA,_xlfn.XLOOKUP($AK89,$H$4:$H$18,$J$4:$J$18,""),_xlpm.oppRuns,IF($AL89=_xlpm.oppA,_xlfn.XLOOKUP($AK89,$H$4:$H$18,$O$4:$O$18,""),_xlfn.XLOOKUP($AK89,$H$4:$H$18,$N$4:$N$18,"")),IF(_xlpm.auto,--(_xlpm.oppRuns=0),Scorebook!M365)))</f>
        <v>0</v>
      </c>
      <c r="AY89" s="5" cm="1">
        <f t="array" aca="1" ref="AY89" ca="1">IF($AK89="","",_xlfn.LET(_xlpm.auto,AND(MOD(ROW()-4,6)=0,$AM89&lt;&gt;0,SUMPRODUCT(--(OFFSET($AM89,1,0,5,1)&lt;&gt;0))=0),IF(_xlpm.auto,1,Scorebook!N365)))</f>
        <v>0</v>
      </c>
      <c r="AZ89" s="10"/>
      <c r="BA89" s="10"/>
      <c r="BB89" s="5">
        <f>Settings!$B$2</f>
        <v>1</v>
      </c>
      <c r="BC89" s="5">
        <f>Betting!A91</f>
        <v>0</v>
      </c>
      <c r="BD89" s="5">
        <f>Betting!B91</f>
        <v>0</v>
      </c>
      <c r="BE89" s="5">
        <f>Betting!C91</f>
        <v>0</v>
      </c>
      <c r="BF89" s="5">
        <f>Betting!D91</f>
        <v>0</v>
      </c>
      <c r="BG89" s="5">
        <f>Betting!E91</f>
        <v>0</v>
      </c>
      <c r="BH89" s="5">
        <f>Betting!F91</f>
        <v>0</v>
      </c>
      <c r="BI89" s="4">
        <f>Betting!G91</f>
        <v>0</v>
      </c>
      <c r="BJ89" s="4">
        <f>Betting!H91</f>
        <v>0</v>
      </c>
    </row>
    <row r="90" spans="19:62">
      <c r="S90" s="4" t="str">
        <f ca="1">Scorebook!$F$198</f>
        <v>G5</v>
      </c>
      <c r="T90" s="5" t="str">
        <f ca="1">Scorebook!$R$198</f>
        <v>Justin</v>
      </c>
      <c r="U90" s="5" t="str">
        <f ca="1">Scorebook!$B$231</f>
        <v>Baby Luigi</v>
      </c>
      <c r="V90" s="4">
        <v>6</v>
      </c>
      <c r="W90" s="5">
        <f ca="1">Scorebook!M231</f>
        <v>1</v>
      </c>
      <c r="X90" s="5">
        <f ca="1">Scorebook!N231</f>
        <v>0</v>
      </c>
      <c r="Y90" s="5">
        <f ca="1">Scorebook!O231</f>
        <v>0</v>
      </c>
      <c r="Z90" s="5">
        <f ca="1">Scorebook!P231</f>
        <v>0</v>
      </c>
      <c r="AA90" s="5">
        <f ca="1">Scorebook!Q231</f>
        <v>0</v>
      </c>
      <c r="AB90" s="5">
        <f ca="1">Scorebook!R231</f>
        <v>0</v>
      </c>
      <c r="AC90" s="5">
        <f ca="1">Scorebook!S231</f>
        <v>0</v>
      </c>
      <c r="AD90" s="5">
        <f ca="1">Scorebook!T231</f>
        <v>0</v>
      </c>
      <c r="AE90" s="5">
        <f ca="1">Scorebook!U231</f>
        <v>0</v>
      </c>
      <c r="AF90" s="5">
        <f ca="1">Scorebook!V231</f>
        <v>0</v>
      </c>
      <c r="AG90" s="5">
        <f ca="1">Scorebook!W231</f>
        <v>0</v>
      </c>
      <c r="AH90" s="5">
        <f ca="1">Scorebook!X231</f>
        <v>0</v>
      </c>
      <c r="AI90" s="5">
        <f>Settings!$B$2</f>
        <v>1</v>
      </c>
      <c r="AJ90" s="18">
        <f ca="1">IF($AK90="","",Scorebook!$O$366)</f>
      </c>
      <c r="AK90" s="4" t="str">
        <f ca="1">Scorebook!$F$345</f>
        <v>G8</v>
      </c>
      <c r="AL90" s="5" t="str">
        <f ca="1">Scorebook!$N$345</f>
        <v>Nick</v>
      </c>
      <c r="AM90" s="5" t="str">
        <f>Scorebook!$B$366</f>
      </c>
      <c r="AN90" s="5">
        <f ca="1">IF(Scorebook!C366="","",INT(Scorebook!C366)+MOD(ROUND(Scorebook!C366*10,0),10)/3)</f>
      </c>
      <c r="AO90" s="5" cm="1">
        <f t="array" aca="1" ref="AO90" ca="1">IF($AK90="","",_xlfn.LET(_xlpm.auto,AND(MOD(ROW()-4,6)=0,$AM90&lt;&gt;0,SUMPRODUCT(--(OFFSET($AM90,1,0,5,1)&lt;&gt;0))=0),_xlpm.oppA,_xlfn.XLOOKUP($AK90,$H$4:$H$18,$J$4:$J$18,""),_xlpm.oppB,_xlfn.XLOOKUP($AK90,$H$4:$H$18,$K$4:$K$18,""),_xlpm.opp,IF($AL90=_xlpm.oppA,_xlpm.oppB,_xlpm.oppA),IF(_xlpm.auto,SUMIFS($Y$4:$Y$273,$S$4:$S$273,$AK90,$T$4:$T$273,_xlpm.opp),Scorebook!D366)))</f>
      </c>
      <c r="AP90" s="5" cm="1">
        <f t="array" aca="1" ref="AP90" ca="1">IF($AK90="","",_xlfn.LET(_xlpm.auto,AND(MOD(ROW()-4,6)=0,$AM90&lt;&gt;0,SUMPRODUCT(--(OFFSET($AM90,1,0,5,1)&lt;&gt;0))=0),_xlpm.oppA,_xlfn.XLOOKUP($AK90,$H$4:$H$18,$J$4:$J$18,""),_xlpm.oppRuns,IF($AL90=_xlpm.oppA,_xlfn.XLOOKUP($AK90,$H$4:$H$18,$O$4:$O$18,""),_xlfn.XLOOKUP($AK90,$H$4:$H$18,$N$4:$N$18,"")),IF(_xlpm.auto,_xlpm.oppRuns,Scorebook!E366)))</f>
      </c>
      <c r="AQ90" s="5">
        <f ca="1">Scorebook!F366</f>
      </c>
      <c r="AR90" s="5" cm="1">
        <f t="array" aca="1" ref="AR90" ca="1">IF($AK90="","",_xlfn.LET(_xlpm.auto,AND(MOD(ROW()-4,6)=0,$AM90&lt;&gt;0,SUMPRODUCT(--(OFFSET($AM90,1,0,5,1)&lt;&gt;0))=0),_xlpm.oppA,_xlfn.XLOOKUP($AK90,$H$4:$H$18,$J$4:$J$18,""),_xlpm.oppB,_xlfn.XLOOKUP($AK90,$H$4:$H$18,$K$4:$K$18,""),_xlpm.opp,IF($AL90=_xlpm.oppA,_xlpm.oppB,_xlpm.oppA),IF(_xlpm.auto,SUMIFS($AD$4:$AD$273,$S$4:$S$273,$AK90,$T$4:$T$273,_xlpm.opp),Scorebook!G366)))</f>
      </c>
      <c r="AS90" s="5" cm="1">
        <f t="array" aca="1" ref="AS90" ca="1">IF($AK90="","",_xlfn.LET(_xlpm.auto,AND(MOD(ROW()-4,6)=0,$AM90&lt;&gt;0,SUMPRODUCT(--(OFFSET($AM90,1,0,5,1)&lt;&gt;0))=0),_xlpm.oppA,_xlfn.XLOOKUP($AK90,$H$4:$H$18,$J$4:$J$18,""),_xlpm.oppB,_xlfn.XLOOKUP($AK90,$H$4:$H$18,$K$4:$K$18,""),_xlpm.opp,IF($AL90=_xlpm.oppA,_xlpm.oppB,_xlpm.oppA),IF(_xlpm.auto,SUMIFS($AE$4:$AE$273,$S$4:$S$273,$AK90,$T$4:$T$273,_xlpm.opp),Scorebook!H366)))</f>
      </c>
      <c r="AT90" s="5" cm="1">
        <f t="array" aca="1" ref="AT90" ca="1">IF($AK90="","",_xlfn.LET(_xlpm.auto,AND(MOD(ROW()-4,6)=0,$AM90&lt;&gt;0,SUMPRODUCT(--(OFFSET($AM90,1,0,5,1)&lt;&gt;0))=0),_xlpm.oppA,_xlfn.XLOOKUP($AK90,$H$4:$H$18,$J$4:$J$18,""),_xlpm.oppB,_xlfn.XLOOKUP($AK90,$H$4:$H$18,$K$4:$K$18,""),_xlpm.opp,IF($AL90=_xlpm.oppA,_xlpm.oppB,_xlpm.oppA),IF(_xlpm.auto,SUMIFS($AB$4:$AB$273,$S$4:$S$273,$AK90,$T$4:$T$273,_xlpm.opp),Scorebook!I366)))</f>
      </c>
      <c r="AU90" s="5" cm="1">
        <f t="array" aca="1" ref="AU90" ca="1">IF($AK90="","",_xlfn.LET(_xlpm.auto,AND(MOD(ROW()-4,6)=0,$AM90&lt;&gt;0,SUMPRODUCT(--(OFFSET($AM90,1,0,5,1)&lt;&gt;0))=0),_xlpm.winner,_xlfn.XLOOKUP($AK90,$H$4:$H$18,$L$4:$L$18,""),IF(_xlpm.auto,--($AL90=_xlpm.winner),Scorebook!J366)))</f>
      </c>
      <c r="AV90" s="5" cm="1">
        <f t="array" aca="1" ref="AV90" ca="1">IF($AK90="","",_xlfn.LET(_xlpm.auto,AND(MOD(ROW()-4,6)=0,$AM90&lt;&gt;0,SUMPRODUCT(--(OFFSET($AM90,1,0,5,1)&lt;&gt;0))=0),_xlpm.loser,_xlfn.XLOOKUP($AK90,$H$4:$H$18,$M$4:$M$18,""),IF(_xlpm.auto,--($AL90=_xlpm.loser),Scorebook!K366)))</f>
      </c>
      <c r="AW90" s="5">
        <f ca="1">Scorebook!L366</f>
      </c>
      <c r="AX90" s="5" cm="1">
        <f t="array" aca="1" ref="AX90" ca="1">IF($AK90="","",_xlfn.LET(_xlpm.auto,AND(MOD(ROW()-4,6)=0,$AM90&lt;&gt;0,SUMPRODUCT(--(OFFSET($AM90,1,0,5,1)&lt;&gt;0))=0),_xlpm.oppA,_xlfn.XLOOKUP($AK90,$H$4:$H$18,$J$4:$J$18,""),_xlpm.oppRuns,IF($AL90=_xlpm.oppA,_xlfn.XLOOKUP($AK90,$H$4:$H$18,$O$4:$O$18,""),_xlfn.XLOOKUP($AK90,$H$4:$H$18,$N$4:$N$18,"")),IF(_xlpm.auto,--(_xlpm.oppRuns=0),Scorebook!M366)))</f>
      </c>
      <c r="AY90" s="5" cm="1">
        <f t="array" aca="1" ref="AY90" ca="1">IF($AK90="","",_xlfn.LET(_xlpm.auto,AND(MOD(ROW()-4,6)=0,$AM90&lt;&gt;0,SUMPRODUCT(--(OFFSET($AM90,1,0,5,1)&lt;&gt;0))=0),IF(_xlpm.auto,1,Scorebook!N366)))</f>
      </c>
      <c r="AZ90" s="10"/>
      <c r="BA90" s="10"/>
      <c r="BB90" s="5">
        <f>Settings!$B$2</f>
        <v>1</v>
      </c>
      <c r="BC90" s="5">
        <f>Betting!A92</f>
        <v>0</v>
      </c>
      <c r="BD90" s="5">
        <f>Betting!B92</f>
        <v>0</v>
      </c>
      <c r="BE90" s="5">
        <f>Betting!C92</f>
        <v>0</v>
      </c>
      <c r="BF90" s="5">
        <f>Betting!D92</f>
        <v>0</v>
      </c>
      <c r="BG90" s="5">
        <f>Betting!E92</f>
        <v>0</v>
      </c>
      <c r="BH90" s="5">
        <f>Betting!F92</f>
        <v>0</v>
      </c>
      <c r="BI90" s="4">
        <f>Betting!G92</f>
        <v>0</v>
      </c>
      <c r="BJ90" s="4">
        <f>Betting!H92</f>
        <v>0</v>
      </c>
    </row>
    <row r="91" spans="19:62">
      <c r="S91" s="4" t="str">
        <f ca="1">Scorebook!$F$198</f>
        <v>G5</v>
      </c>
      <c r="T91" s="5" t="str">
        <f ca="1">Scorebook!$R$198</f>
        <v>Justin</v>
      </c>
      <c r="U91" s="5" t="str">
        <f ca="1">Scorebook!$B$232</f>
        <v>Yellow Magikoopa</v>
      </c>
      <c r="V91" s="4">
        <v>7</v>
      </c>
      <c r="W91" s="5">
        <f ca="1">Scorebook!M232</f>
        <v>1</v>
      </c>
      <c r="X91" s="5">
        <f ca="1">Scorebook!N232</f>
        <v>0</v>
      </c>
      <c r="Y91" s="5">
        <f ca="1">Scorebook!O232</f>
        <v>1</v>
      </c>
      <c r="Z91" s="5">
        <f ca="1">Scorebook!P232</f>
        <v>0</v>
      </c>
      <c r="AA91" s="5">
        <f ca="1">Scorebook!Q232</f>
        <v>1</v>
      </c>
      <c r="AB91" s="5">
        <f ca="1">Scorebook!R232</f>
        <v>0</v>
      </c>
      <c r="AC91" s="5">
        <f ca="1">Scorebook!S232</f>
        <v>0</v>
      </c>
      <c r="AD91" s="5">
        <f ca="1">Scorebook!T232</f>
        <v>0</v>
      </c>
      <c r="AE91" s="5">
        <f ca="1">Scorebook!U232</f>
        <v>0</v>
      </c>
      <c r="AF91" s="5">
        <f ca="1">Scorebook!V232</f>
        <v>0</v>
      </c>
      <c r="AG91" s="5">
        <f ca="1">Scorebook!W232</f>
        <v>0</v>
      </c>
      <c r="AH91" s="5">
        <f ca="1">Scorebook!X232</f>
        <v>0</v>
      </c>
      <c r="AI91" s="5">
        <f>Settings!$B$2</f>
        <v>1</v>
      </c>
      <c r="AJ91" s="18">
        <f ca="1">IF($AK91="","",Scorebook!$O$367)</f>
      </c>
      <c r="AK91" s="4" t="str">
        <f ca="1">Scorebook!$F$345</f>
        <v>G8</v>
      </c>
      <c r="AL91" s="5" t="str">
        <f ca="1">Scorebook!$N$345</f>
        <v>Nick</v>
      </c>
      <c r="AM91" s="5" t="str">
        <f>Scorebook!$B$367</f>
      </c>
      <c r="AN91" s="5">
        <f ca="1">IF(Scorebook!C367="","",INT(Scorebook!C367)+MOD(ROUND(Scorebook!C367*10,0),10)/3)</f>
      </c>
      <c r="AO91" s="5" cm="1">
        <f t="array" aca="1" ref="AO91" ca="1">IF($AK91="","",_xlfn.LET(_xlpm.auto,AND(MOD(ROW()-4,6)=0,$AM91&lt;&gt;0,SUMPRODUCT(--(OFFSET($AM91,1,0,5,1)&lt;&gt;0))=0),_xlpm.oppA,_xlfn.XLOOKUP($AK91,$H$4:$H$18,$J$4:$J$18,""),_xlpm.oppB,_xlfn.XLOOKUP($AK91,$H$4:$H$18,$K$4:$K$18,""),_xlpm.opp,IF($AL91=_xlpm.oppA,_xlpm.oppB,_xlpm.oppA),IF(_xlpm.auto,SUMIFS($Y$4:$Y$273,$S$4:$S$273,$AK91,$T$4:$T$273,_xlpm.opp),Scorebook!D367)))</f>
      </c>
      <c r="AP91" s="5" cm="1">
        <f t="array" aca="1" ref="AP91" ca="1">IF($AK91="","",_xlfn.LET(_xlpm.auto,AND(MOD(ROW()-4,6)=0,$AM91&lt;&gt;0,SUMPRODUCT(--(OFFSET($AM91,1,0,5,1)&lt;&gt;0))=0),_xlpm.oppA,_xlfn.XLOOKUP($AK91,$H$4:$H$18,$J$4:$J$18,""),_xlpm.oppRuns,IF($AL91=_xlpm.oppA,_xlfn.XLOOKUP($AK91,$H$4:$H$18,$O$4:$O$18,""),_xlfn.XLOOKUP($AK91,$H$4:$H$18,$N$4:$N$18,"")),IF(_xlpm.auto,_xlpm.oppRuns,Scorebook!E367)))</f>
      </c>
      <c r="AQ91" s="5">
        <f ca="1">Scorebook!F367</f>
      </c>
      <c r="AR91" s="5" cm="1">
        <f t="array" aca="1" ref="AR91" ca="1">IF($AK91="","",_xlfn.LET(_xlpm.auto,AND(MOD(ROW()-4,6)=0,$AM91&lt;&gt;0,SUMPRODUCT(--(OFFSET($AM91,1,0,5,1)&lt;&gt;0))=0),_xlpm.oppA,_xlfn.XLOOKUP($AK91,$H$4:$H$18,$J$4:$J$18,""),_xlpm.oppB,_xlfn.XLOOKUP($AK91,$H$4:$H$18,$K$4:$K$18,""),_xlpm.opp,IF($AL91=_xlpm.oppA,_xlpm.oppB,_xlpm.oppA),IF(_xlpm.auto,SUMIFS($AD$4:$AD$273,$S$4:$S$273,$AK91,$T$4:$T$273,_xlpm.opp),Scorebook!G367)))</f>
      </c>
      <c r="AS91" s="5" cm="1">
        <f t="array" aca="1" ref="AS91" ca="1">IF($AK91="","",_xlfn.LET(_xlpm.auto,AND(MOD(ROW()-4,6)=0,$AM91&lt;&gt;0,SUMPRODUCT(--(OFFSET($AM91,1,0,5,1)&lt;&gt;0))=0),_xlpm.oppA,_xlfn.XLOOKUP($AK91,$H$4:$H$18,$J$4:$J$18,""),_xlpm.oppB,_xlfn.XLOOKUP($AK91,$H$4:$H$18,$K$4:$K$18,""),_xlpm.opp,IF($AL91=_xlpm.oppA,_xlpm.oppB,_xlpm.oppA),IF(_xlpm.auto,SUMIFS($AE$4:$AE$273,$S$4:$S$273,$AK91,$T$4:$T$273,_xlpm.opp),Scorebook!H367)))</f>
      </c>
      <c r="AT91" s="5" cm="1">
        <f t="array" aca="1" ref="AT91" ca="1">IF($AK91="","",_xlfn.LET(_xlpm.auto,AND(MOD(ROW()-4,6)=0,$AM91&lt;&gt;0,SUMPRODUCT(--(OFFSET($AM91,1,0,5,1)&lt;&gt;0))=0),_xlpm.oppA,_xlfn.XLOOKUP($AK91,$H$4:$H$18,$J$4:$J$18,""),_xlpm.oppB,_xlfn.XLOOKUP($AK91,$H$4:$H$18,$K$4:$K$18,""),_xlpm.opp,IF($AL91=_xlpm.oppA,_xlpm.oppB,_xlpm.oppA),IF(_xlpm.auto,SUMIFS($AB$4:$AB$273,$S$4:$S$273,$AK91,$T$4:$T$273,_xlpm.opp),Scorebook!I367)))</f>
      </c>
      <c r="AU91" s="5" cm="1">
        <f t="array" aca="1" ref="AU91" ca="1">IF($AK91="","",_xlfn.LET(_xlpm.auto,AND(MOD(ROW()-4,6)=0,$AM91&lt;&gt;0,SUMPRODUCT(--(OFFSET($AM91,1,0,5,1)&lt;&gt;0))=0),_xlpm.winner,_xlfn.XLOOKUP($AK91,$H$4:$H$18,$L$4:$L$18,""),IF(_xlpm.auto,--($AL91=_xlpm.winner),Scorebook!J367)))</f>
      </c>
      <c r="AV91" s="5" cm="1">
        <f t="array" aca="1" ref="AV91" ca="1">IF($AK91="","",_xlfn.LET(_xlpm.auto,AND(MOD(ROW()-4,6)=0,$AM91&lt;&gt;0,SUMPRODUCT(--(OFFSET($AM91,1,0,5,1)&lt;&gt;0))=0),_xlpm.loser,_xlfn.XLOOKUP($AK91,$H$4:$H$18,$M$4:$M$18,""),IF(_xlpm.auto,--($AL91=_xlpm.loser),Scorebook!K367)))</f>
      </c>
      <c r="AW91" s="5">
        <f ca="1">Scorebook!L367</f>
      </c>
      <c r="AX91" s="5" cm="1">
        <f t="array" aca="1" ref="AX91" ca="1">IF($AK91="","",_xlfn.LET(_xlpm.auto,AND(MOD(ROW()-4,6)=0,$AM91&lt;&gt;0,SUMPRODUCT(--(OFFSET($AM91,1,0,5,1)&lt;&gt;0))=0),_xlpm.oppA,_xlfn.XLOOKUP($AK91,$H$4:$H$18,$J$4:$J$18,""),_xlpm.oppRuns,IF($AL91=_xlpm.oppA,_xlfn.XLOOKUP($AK91,$H$4:$H$18,$O$4:$O$18,""),_xlfn.XLOOKUP($AK91,$H$4:$H$18,$N$4:$N$18,"")),IF(_xlpm.auto,--(_xlpm.oppRuns=0),Scorebook!M367)))</f>
      </c>
      <c r="AY91" s="5" cm="1">
        <f t="array" aca="1" ref="AY91" ca="1">IF($AK91="","",_xlfn.LET(_xlpm.auto,AND(MOD(ROW()-4,6)=0,$AM91&lt;&gt;0,SUMPRODUCT(--(OFFSET($AM91,1,0,5,1)&lt;&gt;0))=0),IF(_xlpm.auto,1,Scorebook!N367)))</f>
      </c>
      <c r="AZ91" s="10"/>
      <c r="BA91" s="10"/>
      <c r="BB91" s="5">
        <f>Settings!$B$2</f>
        <v>1</v>
      </c>
      <c r="BC91" s="5">
        <f>Betting!A93</f>
        <v>0</v>
      </c>
      <c r="BD91" s="5">
        <f>Betting!B93</f>
        <v>0</v>
      </c>
      <c r="BE91" s="5">
        <f>Betting!C93</f>
        <v>0</v>
      </c>
      <c r="BF91" s="5">
        <f>Betting!D93</f>
        <v>0</v>
      </c>
      <c r="BG91" s="5">
        <f>Betting!E93</f>
        <v>0</v>
      </c>
      <c r="BH91" s="5">
        <f>Betting!F93</f>
        <v>0</v>
      </c>
      <c r="BI91" s="4">
        <f>Betting!G93</f>
        <v>0</v>
      </c>
      <c r="BJ91" s="4">
        <f>Betting!H93</f>
        <v>0</v>
      </c>
    </row>
    <row r="92" spans="19:62">
      <c r="S92" s="4" t="str">
        <f ca="1">Scorebook!$F$198</f>
        <v>G5</v>
      </c>
      <c r="T92" s="5" t="str">
        <f ca="1">Scorebook!$R$198</f>
        <v>Justin</v>
      </c>
      <c r="U92" s="5" t="str">
        <f ca="1">Scorebook!$B$233</f>
        <v>Paratroopa</v>
      </c>
      <c r="V92" s="4">
        <v>8</v>
      </c>
      <c r="W92" s="5">
        <f ca="1">Scorebook!M233</f>
        <v>1</v>
      </c>
      <c r="X92" s="5">
        <f ca="1">Scorebook!N233</f>
        <v>0</v>
      </c>
      <c r="Y92" s="5">
        <f ca="1">Scorebook!O233</f>
        <v>0</v>
      </c>
      <c r="Z92" s="5">
        <f ca="1">Scorebook!P233</f>
        <v>0</v>
      </c>
      <c r="AA92" s="5">
        <f ca="1">Scorebook!Q233</f>
        <v>0</v>
      </c>
      <c r="AB92" s="5">
        <f ca="1">Scorebook!R233</f>
        <v>0</v>
      </c>
      <c r="AC92" s="5">
        <f ca="1">Scorebook!S233</f>
        <v>0</v>
      </c>
      <c r="AD92" s="5">
        <f ca="1">Scorebook!T233</f>
        <v>0</v>
      </c>
      <c r="AE92" s="5">
        <f ca="1">Scorebook!U233</f>
        <v>1</v>
      </c>
      <c r="AF92" s="5">
        <f ca="1">Scorebook!V233</f>
        <v>0</v>
      </c>
      <c r="AG92" s="5">
        <f ca="1">Scorebook!W233</f>
        <v>0</v>
      </c>
      <c r="AH92" s="5">
        <f ca="1">Scorebook!X233</f>
        <v>0</v>
      </c>
      <c r="AI92" s="5">
        <f>Settings!$B$2</f>
        <v>1</v>
      </c>
      <c r="AJ92" s="18">
        <f ca="1">IF($AK92="","",Scorebook!$O$368)</f>
      </c>
      <c r="AK92" s="4" t="str">
        <f ca="1">Scorebook!$F$345</f>
        <v>G8</v>
      </c>
      <c r="AL92" s="5" t="str">
        <f ca="1">Scorebook!$N$345</f>
        <v>Nick</v>
      </c>
      <c r="AM92" s="5" t="str">
        <f>Scorebook!$B$368</f>
      </c>
      <c r="AN92" s="5">
        <f ca="1">IF(Scorebook!C368="","",INT(Scorebook!C368)+MOD(ROUND(Scorebook!C368*10,0),10)/3)</f>
      </c>
      <c r="AO92" s="5" cm="1">
        <f t="array" aca="1" ref="AO92" ca="1">IF($AK92="","",_xlfn.LET(_xlpm.auto,AND(MOD(ROW()-4,6)=0,$AM92&lt;&gt;0,SUMPRODUCT(--(OFFSET($AM92,1,0,5,1)&lt;&gt;0))=0),_xlpm.oppA,_xlfn.XLOOKUP($AK92,$H$4:$H$18,$J$4:$J$18,""),_xlpm.oppB,_xlfn.XLOOKUP($AK92,$H$4:$H$18,$K$4:$K$18,""),_xlpm.opp,IF($AL92=_xlpm.oppA,_xlpm.oppB,_xlpm.oppA),IF(_xlpm.auto,SUMIFS($Y$4:$Y$273,$S$4:$S$273,$AK92,$T$4:$T$273,_xlpm.opp),Scorebook!D368)))</f>
      </c>
      <c r="AP92" s="5" cm="1">
        <f t="array" aca="1" ref="AP92" ca="1">IF($AK92="","",_xlfn.LET(_xlpm.auto,AND(MOD(ROW()-4,6)=0,$AM92&lt;&gt;0,SUMPRODUCT(--(OFFSET($AM92,1,0,5,1)&lt;&gt;0))=0),_xlpm.oppA,_xlfn.XLOOKUP($AK92,$H$4:$H$18,$J$4:$J$18,""),_xlpm.oppRuns,IF($AL92=_xlpm.oppA,_xlfn.XLOOKUP($AK92,$H$4:$H$18,$O$4:$O$18,""),_xlfn.XLOOKUP($AK92,$H$4:$H$18,$N$4:$N$18,"")),IF(_xlpm.auto,_xlpm.oppRuns,Scorebook!E368)))</f>
      </c>
      <c r="AQ92" s="5">
        <f ca="1">Scorebook!F368</f>
      </c>
      <c r="AR92" s="5" cm="1">
        <f t="array" aca="1" ref="AR92" ca="1">IF($AK92="","",_xlfn.LET(_xlpm.auto,AND(MOD(ROW()-4,6)=0,$AM92&lt;&gt;0,SUMPRODUCT(--(OFFSET($AM92,1,0,5,1)&lt;&gt;0))=0),_xlpm.oppA,_xlfn.XLOOKUP($AK92,$H$4:$H$18,$J$4:$J$18,""),_xlpm.oppB,_xlfn.XLOOKUP($AK92,$H$4:$H$18,$K$4:$K$18,""),_xlpm.opp,IF($AL92=_xlpm.oppA,_xlpm.oppB,_xlpm.oppA),IF(_xlpm.auto,SUMIFS($AD$4:$AD$273,$S$4:$S$273,$AK92,$T$4:$T$273,_xlpm.opp),Scorebook!G368)))</f>
      </c>
      <c r="AS92" s="5" cm="1">
        <f t="array" aca="1" ref="AS92" ca="1">IF($AK92="","",_xlfn.LET(_xlpm.auto,AND(MOD(ROW()-4,6)=0,$AM92&lt;&gt;0,SUMPRODUCT(--(OFFSET($AM92,1,0,5,1)&lt;&gt;0))=0),_xlpm.oppA,_xlfn.XLOOKUP($AK92,$H$4:$H$18,$J$4:$J$18,""),_xlpm.oppB,_xlfn.XLOOKUP($AK92,$H$4:$H$18,$K$4:$K$18,""),_xlpm.opp,IF($AL92=_xlpm.oppA,_xlpm.oppB,_xlpm.oppA),IF(_xlpm.auto,SUMIFS($AE$4:$AE$273,$S$4:$S$273,$AK92,$T$4:$T$273,_xlpm.opp),Scorebook!H368)))</f>
      </c>
      <c r="AT92" s="5" cm="1">
        <f t="array" aca="1" ref="AT92" ca="1">IF($AK92="","",_xlfn.LET(_xlpm.auto,AND(MOD(ROW()-4,6)=0,$AM92&lt;&gt;0,SUMPRODUCT(--(OFFSET($AM92,1,0,5,1)&lt;&gt;0))=0),_xlpm.oppA,_xlfn.XLOOKUP($AK92,$H$4:$H$18,$J$4:$J$18,""),_xlpm.oppB,_xlfn.XLOOKUP($AK92,$H$4:$H$18,$K$4:$K$18,""),_xlpm.opp,IF($AL92=_xlpm.oppA,_xlpm.oppB,_xlpm.oppA),IF(_xlpm.auto,SUMIFS($AB$4:$AB$273,$S$4:$S$273,$AK92,$T$4:$T$273,_xlpm.opp),Scorebook!I368)))</f>
      </c>
      <c r="AU92" s="5" cm="1">
        <f t="array" aca="1" ref="AU92" ca="1">IF($AK92="","",_xlfn.LET(_xlpm.auto,AND(MOD(ROW()-4,6)=0,$AM92&lt;&gt;0,SUMPRODUCT(--(OFFSET($AM92,1,0,5,1)&lt;&gt;0))=0),_xlpm.winner,_xlfn.XLOOKUP($AK92,$H$4:$H$18,$L$4:$L$18,""),IF(_xlpm.auto,--($AL92=_xlpm.winner),Scorebook!J368)))</f>
      </c>
      <c r="AV92" s="5" cm="1">
        <f t="array" aca="1" ref="AV92" ca="1">IF($AK92="","",_xlfn.LET(_xlpm.auto,AND(MOD(ROW()-4,6)=0,$AM92&lt;&gt;0,SUMPRODUCT(--(OFFSET($AM92,1,0,5,1)&lt;&gt;0))=0),_xlpm.loser,_xlfn.XLOOKUP($AK92,$H$4:$H$18,$M$4:$M$18,""),IF(_xlpm.auto,--($AL92=_xlpm.loser),Scorebook!K368)))</f>
      </c>
      <c r="AW92" s="5">
        <f ca="1">Scorebook!L368</f>
      </c>
      <c r="AX92" s="5" cm="1">
        <f t="array" aca="1" ref="AX92" ca="1">IF($AK92="","",_xlfn.LET(_xlpm.auto,AND(MOD(ROW()-4,6)=0,$AM92&lt;&gt;0,SUMPRODUCT(--(OFFSET($AM92,1,0,5,1)&lt;&gt;0))=0),_xlpm.oppA,_xlfn.XLOOKUP($AK92,$H$4:$H$18,$J$4:$J$18,""),_xlpm.oppRuns,IF($AL92=_xlpm.oppA,_xlfn.XLOOKUP($AK92,$H$4:$H$18,$O$4:$O$18,""),_xlfn.XLOOKUP($AK92,$H$4:$H$18,$N$4:$N$18,"")),IF(_xlpm.auto,--(_xlpm.oppRuns=0),Scorebook!M368)))</f>
      </c>
      <c r="AY92" s="5" cm="1">
        <f t="array" aca="1" ref="AY92" ca="1">IF($AK92="","",_xlfn.LET(_xlpm.auto,AND(MOD(ROW()-4,6)=0,$AM92&lt;&gt;0,SUMPRODUCT(--(OFFSET($AM92,1,0,5,1)&lt;&gt;0))=0),IF(_xlpm.auto,1,Scorebook!N368)))</f>
      </c>
      <c r="AZ92" s="10"/>
      <c r="BA92" s="10"/>
      <c r="BB92" s="5">
        <f>Settings!$B$2</f>
        <v>1</v>
      </c>
      <c r="BC92" s="5">
        <f>Betting!A94</f>
        <v>0</v>
      </c>
      <c r="BD92" s="5">
        <f>Betting!B94</f>
        <v>0</v>
      </c>
      <c r="BE92" s="5">
        <f>Betting!C94</f>
        <v>0</v>
      </c>
      <c r="BF92" s="5">
        <f>Betting!D94</f>
        <v>0</v>
      </c>
      <c r="BG92" s="5">
        <f>Betting!E94</f>
        <v>0</v>
      </c>
      <c r="BH92" s="5">
        <f>Betting!F94</f>
        <v>0</v>
      </c>
      <c r="BI92" s="4">
        <f>Betting!G94</f>
        <v>0</v>
      </c>
      <c r="BJ92" s="4">
        <f>Betting!H94</f>
        <v>0</v>
      </c>
    </row>
    <row r="93" spans="19:62">
      <c r="S93" s="4" t="str">
        <f ca="1">Scorebook!$F$198</f>
        <v>G5</v>
      </c>
      <c r="T93" s="5" t="str">
        <f ca="1">Scorebook!$R$198</f>
        <v>Justin</v>
      </c>
      <c r="U93" s="5" t="str">
        <f ca="1">Scorebook!$B$234</f>
        <v>Boo</v>
      </c>
      <c r="V93" s="4">
        <v>9</v>
      </c>
      <c r="W93" s="5">
        <f ca="1">Scorebook!M234</f>
        <v>1</v>
      </c>
      <c r="X93" s="5">
        <f ca="1">Scorebook!N234</f>
        <v>0</v>
      </c>
      <c r="Y93" s="5">
        <f ca="1">Scorebook!O234</f>
        <v>0</v>
      </c>
      <c r="Z93" s="5">
        <f ca="1">Scorebook!P234</f>
        <v>0</v>
      </c>
      <c r="AA93" s="5">
        <f ca="1">Scorebook!Q234</f>
        <v>0</v>
      </c>
      <c r="AB93" s="5">
        <f ca="1">Scorebook!R234</f>
        <v>0</v>
      </c>
      <c r="AC93" s="5">
        <f ca="1">Scorebook!S234</f>
        <v>0</v>
      </c>
      <c r="AD93" s="5">
        <f ca="1">Scorebook!T234</f>
        <v>0</v>
      </c>
      <c r="AE93" s="5">
        <f ca="1">Scorebook!U234</f>
        <v>0</v>
      </c>
      <c r="AF93" s="5">
        <f ca="1">Scorebook!V234</f>
        <v>0</v>
      </c>
      <c r="AG93" s="5">
        <f ca="1">Scorebook!W234</f>
        <v>0</v>
      </c>
      <c r="AH93" s="5">
        <f ca="1">Scorebook!X234</f>
        <v>0</v>
      </c>
      <c r="AI93" s="5">
        <f>Settings!$B$2</f>
        <v>1</v>
      </c>
      <c r="AJ93" s="18">
        <f ca="1">IF($AK93="","",Scorebook!$O$369)</f>
      </c>
      <c r="AK93" s="4" t="str">
        <f ca="1">Scorebook!$F$345</f>
        <v>G8</v>
      </c>
      <c r="AL93" s="5" t="str">
        <f ca="1">Scorebook!$N$345</f>
        <v>Nick</v>
      </c>
      <c r="AM93" s="5" t="str">
        <f>Scorebook!$B$369</f>
      </c>
      <c r="AN93" s="5">
        <f ca="1">IF(Scorebook!C369="","",INT(Scorebook!C369)+MOD(ROUND(Scorebook!C369*10,0),10)/3)</f>
      </c>
      <c r="AO93" s="5" cm="1">
        <f t="array" aca="1" ref="AO93" ca="1">IF($AK93="","",_xlfn.LET(_xlpm.auto,AND(MOD(ROW()-4,6)=0,$AM93&lt;&gt;0,SUMPRODUCT(--(OFFSET($AM93,1,0,5,1)&lt;&gt;0))=0),_xlpm.oppA,_xlfn.XLOOKUP($AK93,$H$4:$H$18,$J$4:$J$18,""),_xlpm.oppB,_xlfn.XLOOKUP($AK93,$H$4:$H$18,$K$4:$K$18,""),_xlpm.opp,IF($AL93=_xlpm.oppA,_xlpm.oppB,_xlpm.oppA),IF(_xlpm.auto,SUMIFS($Y$4:$Y$273,$S$4:$S$273,$AK93,$T$4:$T$273,_xlpm.opp),Scorebook!D369)))</f>
      </c>
      <c r="AP93" s="5" cm="1">
        <f t="array" aca="1" ref="AP93" ca="1">IF($AK93="","",_xlfn.LET(_xlpm.auto,AND(MOD(ROW()-4,6)=0,$AM93&lt;&gt;0,SUMPRODUCT(--(OFFSET($AM93,1,0,5,1)&lt;&gt;0))=0),_xlpm.oppA,_xlfn.XLOOKUP($AK93,$H$4:$H$18,$J$4:$J$18,""),_xlpm.oppRuns,IF($AL93=_xlpm.oppA,_xlfn.XLOOKUP($AK93,$H$4:$H$18,$O$4:$O$18,""),_xlfn.XLOOKUP($AK93,$H$4:$H$18,$N$4:$N$18,"")),IF(_xlpm.auto,_xlpm.oppRuns,Scorebook!E369)))</f>
      </c>
      <c r="AQ93" s="5">
        <f ca="1">Scorebook!F369</f>
      </c>
      <c r="AR93" s="5" cm="1">
        <f t="array" aca="1" ref="AR93" ca="1">IF($AK93="","",_xlfn.LET(_xlpm.auto,AND(MOD(ROW()-4,6)=0,$AM93&lt;&gt;0,SUMPRODUCT(--(OFFSET($AM93,1,0,5,1)&lt;&gt;0))=0),_xlpm.oppA,_xlfn.XLOOKUP($AK93,$H$4:$H$18,$J$4:$J$18,""),_xlpm.oppB,_xlfn.XLOOKUP($AK93,$H$4:$H$18,$K$4:$K$18,""),_xlpm.opp,IF($AL93=_xlpm.oppA,_xlpm.oppB,_xlpm.oppA),IF(_xlpm.auto,SUMIFS($AD$4:$AD$273,$S$4:$S$273,$AK93,$T$4:$T$273,_xlpm.opp),Scorebook!G369)))</f>
      </c>
      <c r="AS93" s="5" cm="1">
        <f t="array" aca="1" ref="AS93" ca="1">IF($AK93="","",_xlfn.LET(_xlpm.auto,AND(MOD(ROW()-4,6)=0,$AM93&lt;&gt;0,SUMPRODUCT(--(OFFSET($AM93,1,0,5,1)&lt;&gt;0))=0),_xlpm.oppA,_xlfn.XLOOKUP($AK93,$H$4:$H$18,$J$4:$J$18,""),_xlpm.oppB,_xlfn.XLOOKUP($AK93,$H$4:$H$18,$K$4:$K$18,""),_xlpm.opp,IF($AL93=_xlpm.oppA,_xlpm.oppB,_xlpm.oppA),IF(_xlpm.auto,SUMIFS($AE$4:$AE$273,$S$4:$S$273,$AK93,$T$4:$T$273,_xlpm.opp),Scorebook!H369)))</f>
      </c>
      <c r="AT93" s="5" cm="1">
        <f t="array" aca="1" ref="AT93" ca="1">IF($AK93="","",_xlfn.LET(_xlpm.auto,AND(MOD(ROW()-4,6)=0,$AM93&lt;&gt;0,SUMPRODUCT(--(OFFSET($AM93,1,0,5,1)&lt;&gt;0))=0),_xlpm.oppA,_xlfn.XLOOKUP($AK93,$H$4:$H$18,$J$4:$J$18,""),_xlpm.oppB,_xlfn.XLOOKUP($AK93,$H$4:$H$18,$K$4:$K$18,""),_xlpm.opp,IF($AL93=_xlpm.oppA,_xlpm.oppB,_xlpm.oppA),IF(_xlpm.auto,SUMIFS($AB$4:$AB$273,$S$4:$S$273,$AK93,$T$4:$T$273,_xlpm.opp),Scorebook!I369)))</f>
      </c>
      <c r="AU93" s="5" cm="1">
        <f t="array" aca="1" ref="AU93" ca="1">IF($AK93="","",_xlfn.LET(_xlpm.auto,AND(MOD(ROW()-4,6)=0,$AM93&lt;&gt;0,SUMPRODUCT(--(OFFSET($AM93,1,0,5,1)&lt;&gt;0))=0),_xlpm.winner,_xlfn.XLOOKUP($AK93,$H$4:$H$18,$L$4:$L$18,""),IF(_xlpm.auto,--($AL93=_xlpm.winner),Scorebook!J369)))</f>
      </c>
      <c r="AV93" s="5" cm="1">
        <f t="array" aca="1" ref="AV93" ca="1">IF($AK93="","",_xlfn.LET(_xlpm.auto,AND(MOD(ROW()-4,6)=0,$AM93&lt;&gt;0,SUMPRODUCT(--(OFFSET($AM93,1,0,5,1)&lt;&gt;0))=0),_xlpm.loser,_xlfn.XLOOKUP($AK93,$H$4:$H$18,$M$4:$M$18,""),IF(_xlpm.auto,--($AL93=_xlpm.loser),Scorebook!K369)))</f>
      </c>
      <c r="AW93" s="5">
        <f ca="1">Scorebook!L369</f>
      </c>
      <c r="AX93" s="5" cm="1">
        <f t="array" aca="1" ref="AX93" ca="1">IF($AK93="","",_xlfn.LET(_xlpm.auto,AND(MOD(ROW()-4,6)=0,$AM93&lt;&gt;0,SUMPRODUCT(--(OFFSET($AM93,1,0,5,1)&lt;&gt;0))=0),_xlpm.oppA,_xlfn.XLOOKUP($AK93,$H$4:$H$18,$J$4:$J$18,""),_xlpm.oppRuns,IF($AL93=_xlpm.oppA,_xlfn.XLOOKUP($AK93,$H$4:$H$18,$O$4:$O$18,""),_xlfn.XLOOKUP($AK93,$H$4:$H$18,$N$4:$N$18,"")),IF(_xlpm.auto,--(_xlpm.oppRuns=0),Scorebook!M369)))</f>
      </c>
      <c r="AY93" s="5" cm="1">
        <f t="array" aca="1" ref="AY93" ca="1">IF($AK93="","",_xlfn.LET(_xlpm.auto,AND(MOD(ROW()-4,6)=0,$AM93&lt;&gt;0,SUMPRODUCT(--(OFFSET($AM93,1,0,5,1)&lt;&gt;0))=0),IF(_xlpm.auto,1,Scorebook!N369)))</f>
      </c>
      <c r="AZ93" s="10"/>
      <c r="BA93" s="10"/>
      <c r="BB93" s="5">
        <f>Settings!$B$2</f>
        <v>1</v>
      </c>
      <c r="BC93" s="5">
        <f>Betting!A95</f>
        <v>0</v>
      </c>
      <c r="BD93" s="5">
        <f>Betting!B95</f>
        <v>0</v>
      </c>
      <c r="BE93" s="5">
        <f>Betting!C95</f>
        <v>0</v>
      </c>
      <c r="BF93" s="5">
        <f>Betting!D95</f>
        <v>0</v>
      </c>
      <c r="BG93" s="5">
        <f>Betting!E95</f>
        <v>0</v>
      </c>
      <c r="BH93" s="5">
        <f>Betting!F95</f>
        <v>0</v>
      </c>
      <c r="BI93" s="4">
        <f>Betting!G95</f>
        <v>0</v>
      </c>
      <c r="BJ93" s="4">
        <f>Betting!H95</f>
        <v>0</v>
      </c>
    </row>
    <row r="94" spans="19:62">
      <c r="S94" s="4" t="str">
        <f ca="1">Scorebook!$F$247</f>
        <v>G6</v>
      </c>
      <c r="T94" s="5" t="str">
        <f ca="1">Scorebook!$N$247</f>
        <v>Aidan</v>
      </c>
      <c r="U94" s="5" t="str">
        <f ca="1">Scorebook!$B$254</f>
        <v>Yellow Pianta</v>
      </c>
      <c r="V94" s="4">
        <v>1</v>
      </c>
      <c r="W94" s="5">
        <f ca="1">Scorebook!M254</f>
        <v>2</v>
      </c>
      <c r="X94" s="5">
        <f ca="1">Scorebook!N254</f>
        <v>0</v>
      </c>
      <c r="Y94" s="5">
        <f ca="1">Scorebook!O254</f>
        <v>1</v>
      </c>
      <c r="Z94" s="5">
        <f ca="1">Scorebook!P254</f>
        <v>0</v>
      </c>
      <c r="AA94" s="5">
        <f ca="1">Scorebook!Q254</f>
        <v>0</v>
      </c>
      <c r="AB94" s="5">
        <f ca="1">Scorebook!R254</f>
        <v>0</v>
      </c>
      <c r="AC94" s="5">
        <f ca="1">Scorebook!S254</f>
        <v>0</v>
      </c>
      <c r="AD94" s="5">
        <f ca="1">Scorebook!T254</f>
        <v>0</v>
      </c>
      <c r="AE94" s="5">
        <f ca="1">Scorebook!U254</f>
        <v>0</v>
      </c>
      <c r="AF94" s="5">
        <f ca="1">Scorebook!V254</f>
        <v>0</v>
      </c>
      <c r="AG94" s="5">
        <f ca="1">Scorebook!W254</f>
        <v>0</v>
      </c>
      <c r="AH94" s="5">
        <f ca="1">Scorebook!X254</f>
        <v>0</v>
      </c>
      <c r="AI94" s="5">
        <f>Settings!$B$2</f>
        <v>1</v>
      </c>
      <c r="AJ94" s="18">
        <f ca="1">IF($AK94="","",Scorebook!$O$385)</f>
        <v>9</v>
      </c>
      <c r="AK94" s="4" t="str">
        <f ca="1">Scorebook!$F$345</f>
        <v>G8</v>
      </c>
      <c r="AL94" s="5" t="str">
        <f ca="1">Scorebook!$R$345</f>
        <v>Jason</v>
      </c>
      <c r="AM94" s="5" t="str">
        <f ca="1">Scorebook!$B$385</f>
        <v>Peach</v>
      </c>
      <c r="AN94" s="5">
        <f ca="1">IF(Scorebook!C385="","",INT(Scorebook!C385)+MOD(ROUND(Scorebook!C385*10,0),10)/3)</f>
        <v>2.0</v>
      </c>
      <c r="AO94" s="5" cm="1">
        <f t="array" aca="1" ref="AO94" ca="1">IF($AK94="","",_xlfn.LET(_xlpm.auto,AND(MOD(ROW()-4,6)=0,$AM94&lt;&gt;0,SUMPRODUCT(--(OFFSET($AM94,1,0,5,1)&lt;&gt;0))=0),_xlpm.oppA,_xlfn.XLOOKUP($AK94,$H$4:$H$18,$J$4:$J$18,""),_xlpm.oppB,_xlfn.XLOOKUP($AK94,$H$4:$H$18,$K$4:$K$18,""),_xlpm.opp,IF($AL94=_xlpm.oppA,_xlpm.oppB,_xlpm.oppA),IF(_xlpm.auto,SUMIFS($Y$4:$Y$273,$S$4:$S$273,$AK94,$T$4:$T$273,_xlpm.opp),Scorebook!D385)))</f>
        <v>4</v>
      </c>
      <c r="AP94" s="5" cm="1">
        <f t="array" aca="1" ref="AP94" ca="1">IF($AK94="","",_xlfn.LET(_xlpm.auto,AND(MOD(ROW()-4,6)=0,$AM94&lt;&gt;0,SUMPRODUCT(--(OFFSET($AM94,1,0,5,1)&lt;&gt;0))=0),_xlpm.oppA,_xlfn.XLOOKUP($AK94,$H$4:$H$18,$J$4:$J$18,""),_xlpm.oppRuns,IF($AL94=_xlpm.oppA,_xlfn.XLOOKUP($AK94,$H$4:$H$18,$O$4:$O$18,""),_xlfn.XLOOKUP($AK94,$H$4:$H$18,$N$4:$N$18,"")),IF(_xlpm.auto,_xlpm.oppRuns,Scorebook!E385)))</f>
        <v>2</v>
      </c>
      <c r="AQ94" s="5">
        <f ca="1">Scorebook!F385</f>
        <v>2</v>
      </c>
      <c r="AR94" s="5" cm="1">
        <f t="array" aca="1" ref="AR94" ca="1">IF($AK94="","",_xlfn.LET(_xlpm.auto,AND(MOD(ROW()-4,6)=0,$AM94&lt;&gt;0,SUMPRODUCT(--(OFFSET($AM94,1,0,5,1)&lt;&gt;0))=0),_xlpm.oppA,_xlfn.XLOOKUP($AK94,$H$4:$H$18,$J$4:$J$18,""),_xlpm.oppB,_xlfn.XLOOKUP($AK94,$H$4:$H$18,$K$4:$K$18,""),_xlpm.opp,IF($AL94=_xlpm.oppA,_xlpm.oppB,_xlpm.oppA),IF(_xlpm.auto,SUMIFS($AD$4:$AD$273,$S$4:$S$273,$AK94,$T$4:$T$273,_xlpm.opp),Scorebook!G385)))</f>
        <v>0</v>
      </c>
      <c r="AS94" s="5" cm="1">
        <f t="array" aca="1" ref="AS94" ca="1">IF($AK94="","",_xlfn.LET(_xlpm.auto,AND(MOD(ROW()-4,6)=0,$AM94&lt;&gt;0,SUMPRODUCT(--(OFFSET($AM94,1,0,5,1)&lt;&gt;0))=0),_xlpm.oppA,_xlfn.XLOOKUP($AK94,$H$4:$H$18,$J$4:$J$18,""),_xlpm.oppB,_xlfn.XLOOKUP($AK94,$H$4:$H$18,$K$4:$K$18,""),_xlpm.opp,IF($AL94=_xlpm.oppA,_xlpm.oppB,_xlpm.oppA),IF(_xlpm.auto,SUMIFS($AE$4:$AE$273,$S$4:$S$273,$AK94,$T$4:$T$273,_xlpm.opp),Scorebook!H385)))</f>
        <v>0</v>
      </c>
      <c r="AT94" s="5" cm="1">
        <f t="array" aca="1" ref="AT94" ca="1">IF($AK94="","",_xlfn.LET(_xlpm.auto,AND(MOD(ROW()-4,6)=0,$AM94&lt;&gt;0,SUMPRODUCT(--(OFFSET($AM94,1,0,5,1)&lt;&gt;0))=0),_xlpm.oppA,_xlfn.XLOOKUP($AK94,$H$4:$H$18,$J$4:$J$18,""),_xlpm.oppB,_xlfn.XLOOKUP($AK94,$H$4:$H$18,$K$4:$K$18,""),_xlpm.opp,IF($AL94=_xlpm.oppA,_xlpm.oppB,_xlpm.oppA),IF(_xlpm.auto,SUMIFS($AB$4:$AB$273,$S$4:$S$273,$AK94,$T$4:$T$273,_xlpm.opp),Scorebook!I385)))</f>
        <v>0</v>
      </c>
      <c r="AU94" s="5" cm="1">
        <f t="array" aca="1" ref="AU94" ca="1">IF($AK94="","",_xlfn.LET(_xlpm.auto,AND(MOD(ROW()-4,6)=0,$AM94&lt;&gt;0,SUMPRODUCT(--(OFFSET($AM94,1,0,5,1)&lt;&gt;0))=0),_xlpm.winner,_xlfn.XLOOKUP($AK94,$H$4:$H$18,$L$4:$L$18,""),IF(_xlpm.auto,--($AL94=_xlpm.winner),Scorebook!J385)))</f>
        <v>0</v>
      </c>
      <c r="AV94" s="5" cm="1">
        <f t="array" aca="1" ref="AV94" ca="1">IF($AK94="","",_xlfn.LET(_xlpm.auto,AND(MOD(ROW()-4,6)=0,$AM94&lt;&gt;0,SUMPRODUCT(--(OFFSET($AM94,1,0,5,1)&lt;&gt;0))=0),_xlpm.loser,_xlfn.XLOOKUP($AK94,$H$4:$H$18,$M$4:$M$18,""),IF(_xlpm.auto,--($AL94=_xlpm.loser),Scorebook!K385)))</f>
        <v>1</v>
      </c>
      <c r="AW94" s="5">
        <f ca="1">Scorebook!L385</f>
        <v>0</v>
      </c>
      <c r="AX94" s="5" cm="1">
        <f t="array" aca="1" ref="AX94" ca="1">IF($AK94="","",_xlfn.LET(_xlpm.auto,AND(MOD(ROW()-4,6)=0,$AM94&lt;&gt;0,SUMPRODUCT(--(OFFSET($AM94,1,0,5,1)&lt;&gt;0))=0),_xlpm.oppA,_xlfn.XLOOKUP($AK94,$H$4:$H$18,$J$4:$J$18,""),_xlpm.oppRuns,IF($AL94=_xlpm.oppA,_xlfn.XLOOKUP($AK94,$H$4:$H$18,$O$4:$O$18,""),_xlfn.XLOOKUP($AK94,$H$4:$H$18,$N$4:$N$18,"")),IF(_xlpm.auto,--(_xlpm.oppRuns=0),Scorebook!M385)))</f>
        <v>0</v>
      </c>
      <c r="AY94" s="5" cm="1">
        <f t="array" aca="1" ref="AY94" ca="1">IF($AK94="","",_xlfn.LET(_xlpm.auto,AND(MOD(ROW()-4,6)=0,$AM94&lt;&gt;0,SUMPRODUCT(--(OFFSET($AM94,1,0,5,1)&lt;&gt;0))=0),IF(_xlpm.auto,1,Scorebook!N385)))</f>
        <v>0</v>
      </c>
      <c r="AZ94" s="10"/>
      <c r="BA94" s="10"/>
      <c r="BB94" s="5">
        <f>Settings!$B$2</f>
        <v>1</v>
      </c>
      <c r="BC94" s="5">
        <f>Betting!A96</f>
        <v>0</v>
      </c>
      <c r="BD94" s="5">
        <f>Betting!B96</f>
        <v>0</v>
      </c>
      <c r="BE94" s="5">
        <f>Betting!C96</f>
        <v>0</v>
      </c>
      <c r="BF94" s="5">
        <f>Betting!D96</f>
        <v>0</v>
      </c>
      <c r="BG94" s="5">
        <f>Betting!E96</f>
        <v>0</v>
      </c>
      <c r="BH94" s="5">
        <f>Betting!F96</f>
        <v>0</v>
      </c>
      <c r="BI94" s="4">
        <f>Betting!G96</f>
        <v>0</v>
      </c>
      <c r="BJ94" s="4">
        <f>Betting!H96</f>
        <v>0</v>
      </c>
    </row>
    <row r="95" spans="19:62">
      <c r="S95" s="4" t="str">
        <f ca="1">Scorebook!$F$247</f>
        <v>G6</v>
      </c>
      <c r="T95" s="5" t="str">
        <f ca="1">Scorebook!$N$247</f>
        <v>Aidan</v>
      </c>
      <c r="U95" s="5" t="str">
        <f ca="1">Scorebook!$B$255</f>
        <v>Mario</v>
      </c>
      <c r="V95" s="4">
        <v>2</v>
      </c>
      <c r="W95" s="5">
        <f ca="1">Scorebook!M255</f>
        <v>2</v>
      </c>
      <c r="X95" s="5">
        <f ca="1">Scorebook!N255</f>
        <v>0</v>
      </c>
      <c r="Y95" s="5">
        <f ca="1">Scorebook!O255</f>
        <v>2</v>
      </c>
      <c r="Z95" s="5">
        <f ca="1">Scorebook!P255</f>
        <v>1</v>
      </c>
      <c r="AA95" s="5">
        <f ca="1">Scorebook!Q255</f>
        <v>0</v>
      </c>
      <c r="AB95" s="5">
        <f ca="1">Scorebook!R255</f>
        <v>0</v>
      </c>
      <c r="AC95" s="5">
        <f ca="1">Scorebook!S255</f>
        <v>0</v>
      </c>
      <c r="AD95" s="5">
        <f ca="1">Scorebook!T255</f>
        <v>0</v>
      </c>
      <c r="AE95" s="5">
        <f ca="1">Scorebook!U255</f>
        <v>0</v>
      </c>
      <c r="AF95" s="5">
        <f ca="1">Scorebook!V255</f>
        <v>0</v>
      </c>
      <c r="AG95" s="5">
        <f ca="1">Scorebook!W255</f>
        <v>0</v>
      </c>
      <c r="AH95" s="5">
        <f ca="1">Scorebook!X255</f>
        <v>0</v>
      </c>
      <c r="AI95" s="5">
        <f>Settings!$B$2</f>
        <v>1</v>
      </c>
      <c r="AJ95" s="18">
        <f ca="1">IF($AK95="","",Scorebook!$O$386)</f>
        <v>6</v>
      </c>
      <c r="AK95" s="4" t="str">
        <f ca="1">Scorebook!$F$345</f>
        <v>G8</v>
      </c>
      <c r="AL95" s="5" t="str">
        <f ca="1">Scorebook!$R$345</f>
        <v>Jason</v>
      </c>
      <c r="AM95" s="5" t="str">
        <f ca="1">Scorebook!$B$386</f>
        <v>King K. Rool</v>
      </c>
      <c r="AN95" s="5">
        <f ca="1">IF(Scorebook!C386="","",INT(Scorebook!C386)+MOD(ROUND(Scorebook!C386*10,0),10)/3)</f>
        <v>1.3333333333333333</v>
      </c>
      <c r="AO95" s="5" cm="1">
        <f t="array" aca="1" ref="AO95" ca="1">IF($AK95="","",_xlfn.LET(_xlpm.auto,AND(MOD(ROW()-4,6)=0,$AM95&lt;&gt;0,SUMPRODUCT(--(OFFSET($AM95,1,0,5,1)&lt;&gt;0))=0),_xlpm.oppA,_xlfn.XLOOKUP($AK95,$H$4:$H$18,$J$4:$J$18,""),_xlpm.oppB,_xlfn.XLOOKUP($AK95,$H$4:$H$18,$K$4:$K$18,""),_xlpm.opp,IF($AL95=_xlpm.oppA,_xlpm.oppB,_xlpm.oppA),IF(_xlpm.auto,SUMIFS($Y$4:$Y$273,$S$4:$S$273,$AK95,$T$4:$T$273,_xlpm.opp),Scorebook!D386)))</f>
        <v>2</v>
      </c>
      <c r="AP95" s="5" cm="1">
        <f t="array" aca="1" ref="AP95" ca="1">IF($AK95="","",_xlfn.LET(_xlpm.auto,AND(MOD(ROW()-4,6)=0,$AM95&lt;&gt;0,SUMPRODUCT(--(OFFSET($AM95,1,0,5,1)&lt;&gt;0))=0),_xlpm.oppA,_xlfn.XLOOKUP($AK95,$H$4:$H$18,$J$4:$J$18,""),_xlpm.oppRuns,IF($AL95=_xlpm.oppA,_xlfn.XLOOKUP($AK95,$H$4:$H$18,$O$4:$O$18,""),_xlfn.XLOOKUP($AK95,$H$4:$H$18,$N$4:$N$18,"")),IF(_xlpm.auto,_xlpm.oppRuns,Scorebook!E386)))</f>
        <v>0</v>
      </c>
      <c r="AQ95" s="5">
        <f ca="1">Scorebook!F386</f>
        <v>0</v>
      </c>
      <c r="AR95" s="5" cm="1">
        <f t="array" aca="1" ref="AR95" ca="1">IF($AK95="","",_xlfn.LET(_xlpm.auto,AND(MOD(ROW()-4,6)=0,$AM95&lt;&gt;0,SUMPRODUCT(--(OFFSET($AM95,1,0,5,1)&lt;&gt;0))=0),_xlpm.oppA,_xlfn.XLOOKUP($AK95,$H$4:$H$18,$J$4:$J$18,""),_xlpm.oppB,_xlfn.XLOOKUP($AK95,$H$4:$H$18,$K$4:$K$18,""),_xlpm.opp,IF($AL95=_xlpm.oppA,_xlpm.oppB,_xlpm.oppA),IF(_xlpm.auto,SUMIFS($AD$4:$AD$273,$S$4:$S$273,$AK95,$T$4:$T$273,_xlpm.opp),Scorebook!G386)))</f>
        <v>0</v>
      </c>
      <c r="AS95" s="5" cm="1">
        <f t="array" aca="1" ref="AS95" ca="1">IF($AK95="","",_xlfn.LET(_xlpm.auto,AND(MOD(ROW()-4,6)=0,$AM95&lt;&gt;0,SUMPRODUCT(--(OFFSET($AM95,1,0,5,1)&lt;&gt;0))=0),_xlpm.oppA,_xlfn.XLOOKUP($AK95,$H$4:$H$18,$J$4:$J$18,""),_xlpm.oppB,_xlfn.XLOOKUP($AK95,$H$4:$H$18,$K$4:$K$18,""),_xlpm.opp,IF($AL95=_xlpm.oppA,_xlpm.oppB,_xlpm.oppA),IF(_xlpm.auto,SUMIFS($AE$4:$AE$273,$S$4:$S$273,$AK95,$T$4:$T$273,_xlpm.opp),Scorebook!H386)))</f>
        <v>2</v>
      </c>
      <c r="AT95" s="5" cm="1">
        <f t="array" aca="1" ref="AT95" ca="1">IF($AK95="","",_xlfn.LET(_xlpm.auto,AND(MOD(ROW()-4,6)=0,$AM95&lt;&gt;0,SUMPRODUCT(--(OFFSET($AM95,1,0,5,1)&lt;&gt;0))=0),_xlpm.oppA,_xlfn.XLOOKUP($AK95,$H$4:$H$18,$J$4:$J$18,""),_xlpm.oppB,_xlfn.XLOOKUP($AK95,$H$4:$H$18,$K$4:$K$18,""),_xlpm.opp,IF($AL95=_xlpm.oppA,_xlpm.oppB,_xlpm.oppA),IF(_xlpm.auto,SUMIFS($AB$4:$AB$273,$S$4:$S$273,$AK95,$T$4:$T$273,_xlpm.opp),Scorebook!I386)))</f>
        <v>0</v>
      </c>
      <c r="AU95" s="5" cm="1">
        <f t="array" aca="1" ref="AU95" ca="1">IF($AK95="","",_xlfn.LET(_xlpm.auto,AND(MOD(ROW()-4,6)=0,$AM95&lt;&gt;0,SUMPRODUCT(--(OFFSET($AM95,1,0,5,1)&lt;&gt;0))=0),_xlpm.winner,_xlfn.XLOOKUP($AK95,$H$4:$H$18,$L$4:$L$18,""),IF(_xlpm.auto,--($AL95=_xlpm.winner),Scorebook!J386)))</f>
        <v>0</v>
      </c>
      <c r="AV95" s="5" cm="1">
        <f t="array" aca="1" ref="AV95" ca="1">IF($AK95="","",_xlfn.LET(_xlpm.auto,AND(MOD(ROW()-4,6)=0,$AM95&lt;&gt;0,SUMPRODUCT(--(OFFSET($AM95,1,0,5,1)&lt;&gt;0))=0),_xlpm.loser,_xlfn.XLOOKUP($AK95,$H$4:$H$18,$M$4:$M$18,""),IF(_xlpm.auto,--($AL95=_xlpm.loser),Scorebook!K386)))</f>
        <v>0</v>
      </c>
      <c r="AW95" s="5">
        <f ca="1">Scorebook!L386</f>
        <v>0</v>
      </c>
      <c r="AX95" s="5" cm="1">
        <f t="array" aca="1" ref="AX95" ca="1">IF($AK95="","",_xlfn.LET(_xlpm.auto,AND(MOD(ROW()-4,6)=0,$AM95&lt;&gt;0,SUMPRODUCT(--(OFFSET($AM95,1,0,5,1)&lt;&gt;0))=0),_xlpm.oppA,_xlfn.XLOOKUP($AK95,$H$4:$H$18,$J$4:$J$18,""),_xlpm.oppRuns,IF($AL95=_xlpm.oppA,_xlfn.XLOOKUP($AK95,$H$4:$H$18,$O$4:$O$18,""),_xlfn.XLOOKUP($AK95,$H$4:$H$18,$N$4:$N$18,"")),IF(_xlpm.auto,--(_xlpm.oppRuns=0),Scorebook!M386)))</f>
        <v>0</v>
      </c>
      <c r="AY95" s="5" cm="1">
        <f t="array" aca="1" ref="AY95" ca="1">IF($AK95="","",_xlfn.LET(_xlpm.auto,AND(MOD(ROW()-4,6)=0,$AM95&lt;&gt;0,SUMPRODUCT(--(OFFSET($AM95,1,0,5,1)&lt;&gt;0))=0),IF(_xlpm.auto,1,Scorebook!N386)))</f>
        <v>0</v>
      </c>
      <c r="AZ95" s="10"/>
      <c r="BA95" s="10"/>
      <c r="BB95" s="5">
        <f>Settings!$B$2</f>
        <v>1</v>
      </c>
      <c r="BC95" s="5">
        <f>Betting!A97</f>
        <v>0</v>
      </c>
      <c r="BD95" s="5">
        <f>Betting!B97</f>
        <v>0</v>
      </c>
      <c r="BE95" s="5">
        <f>Betting!C97</f>
        <v>0</v>
      </c>
      <c r="BF95" s="5">
        <f>Betting!D97</f>
        <v>0</v>
      </c>
      <c r="BG95" s="5">
        <f>Betting!E97</f>
        <v>0</v>
      </c>
      <c r="BH95" s="5">
        <f>Betting!F97</f>
        <v>0</v>
      </c>
      <c r="BI95" s="4">
        <f>Betting!G97</f>
        <v>0</v>
      </c>
      <c r="BJ95" s="4">
        <f>Betting!H97</f>
        <v>0</v>
      </c>
    </row>
    <row r="96" spans="19:62">
      <c r="S96" s="4" t="str">
        <f ca="1">Scorebook!$F$247</f>
        <v>G6</v>
      </c>
      <c r="T96" s="5" t="str">
        <f ca="1">Scorebook!$N$247</f>
        <v>Aidan</v>
      </c>
      <c r="U96" s="5" t="str">
        <f ca="1">Scorebook!$B$256</f>
        <v>Blue Pianta</v>
      </c>
      <c r="V96" s="4">
        <v>3</v>
      </c>
      <c r="W96" s="5">
        <f ca="1">Scorebook!M256</f>
        <v>2</v>
      </c>
      <c r="X96" s="5">
        <f ca="1">Scorebook!N256</f>
        <v>0</v>
      </c>
      <c r="Y96" s="5">
        <f ca="1">Scorebook!O256</f>
        <v>0</v>
      </c>
      <c r="Z96" s="5">
        <f ca="1">Scorebook!P256</f>
        <v>0</v>
      </c>
      <c r="AA96" s="5">
        <f ca="1">Scorebook!Q256</f>
        <v>0</v>
      </c>
      <c r="AB96" s="5">
        <f ca="1">Scorebook!R256</f>
        <v>0</v>
      </c>
      <c r="AC96" s="5">
        <f ca="1">Scorebook!S256</f>
        <v>0</v>
      </c>
      <c r="AD96" s="5">
        <f ca="1">Scorebook!T256</f>
        <v>0</v>
      </c>
      <c r="AE96" s="5">
        <f ca="1">Scorebook!U256</f>
        <v>1</v>
      </c>
      <c r="AF96" s="5">
        <f ca="1">Scorebook!V256</f>
        <v>0</v>
      </c>
      <c r="AG96" s="5">
        <f ca="1">Scorebook!W256</f>
        <v>0</v>
      </c>
      <c r="AH96" s="5">
        <f ca="1">Scorebook!X256</f>
        <v>0</v>
      </c>
      <c r="AI96" s="5">
        <f>Settings!$B$2</f>
        <v>1</v>
      </c>
      <c r="AJ96" s="18">
        <f ca="1">IF($AK96="","",Scorebook!$O$387)</f>
        <v>3</v>
      </c>
      <c r="AK96" s="4" t="str">
        <f ca="1">Scorebook!$F$345</f>
        <v>G8</v>
      </c>
      <c r="AL96" s="5" t="str">
        <f ca="1">Scorebook!$R$345</f>
        <v>Jason</v>
      </c>
      <c r="AM96" s="5" t="str">
        <f ca="1">Scorebook!$B$387</f>
        <v>Blooper</v>
      </c>
      <c r="AN96" s="5">
        <f ca="1">IF(Scorebook!C387="","",INT(Scorebook!C387)+MOD(ROUND(Scorebook!C387*10,0),10)/3)</f>
      </c>
      <c r="AO96" s="5" cm="1">
        <f t="array" aca="1" ref="AO96" ca="1">IF($AK96="","",_xlfn.LET(_xlpm.auto,AND(MOD(ROW()-4,6)=0,$AM96&lt;&gt;0,SUMPRODUCT(--(OFFSET($AM96,1,0,5,1)&lt;&gt;0))=0),_xlpm.oppA,_xlfn.XLOOKUP($AK96,$H$4:$H$18,$J$4:$J$18,""),_xlpm.oppB,_xlfn.XLOOKUP($AK96,$H$4:$H$18,$K$4:$K$18,""),_xlpm.opp,IF($AL96=_xlpm.oppA,_xlpm.oppB,_xlpm.oppA),IF(_xlpm.auto,SUMIFS($Y$4:$Y$273,$S$4:$S$273,$AK96,$T$4:$T$273,_xlpm.opp),Scorebook!D387)))</f>
        <v>2</v>
      </c>
      <c r="AP96" s="5" cm="1">
        <f t="array" aca="1" ref="AP96" ca="1">IF($AK96="","",_xlfn.LET(_xlpm.auto,AND(MOD(ROW()-4,6)=0,$AM96&lt;&gt;0,SUMPRODUCT(--(OFFSET($AM96,1,0,5,1)&lt;&gt;0))=0),_xlpm.oppA,_xlfn.XLOOKUP($AK96,$H$4:$H$18,$J$4:$J$18,""),_xlpm.oppRuns,IF($AL96=_xlpm.oppA,_xlfn.XLOOKUP($AK96,$H$4:$H$18,$O$4:$O$18,""),_xlfn.XLOOKUP($AK96,$H$4:$H$18,$N$4:$N$18,"")),IF(_xlpm.auto,_xlpm.oppRuns,Scorebook!E387)))</f>
        <v>5</v>
      </c>
      <c r="AQ96" s="5">
        <f ca="1">Scorebook!F387</f>
        <v>5</v>
      </c>
      <c r="AR96" s="5" cm="1">
        <f t="array" aca="1" ref="AR96" ca="1">IF($AK96="","",_xlfn.LET(_xlpm.auto,AND(MOD(ROW()-4,6)=0,$AM96&lt;&gt;0,SUMPRODUCT(--(OFFSET($AM96,1,0,5,1)&lt;&gt;0))=0),_xlpm.oppA,_xlfn.XLOOKUP($AK96,$H$4:$H$18,$J$4:$J$18,""),_xlpm.oppB,_xlfn.XLOOKUP($AK96,$H$4:$H$18,$K$4:$K$18,""),_xlpm.opp,IF($AL96=_xlpm.oppA,_xlpm.oppB,_xlpm.oppA),IF(_xlpm.auto,SUMIFS($AD$4:$AD$273,$S$4:$S$273,$AK96,$T$4:$T$273,_xlpm.opp),Scorebook!G387)))</f>
        <v>0</v>
      </c>
      <c r="AS96" s="5" cm="1">
        <f t="array" aca="1" ref="AS96" ca="1">IF($AK96="","",_xlfn.LET(_xlpm.auto,AND(MOD(ROW()-4,6)=0,$AM96&lt;&gt;0,SUMPRODUCT(--(OFFSET($AM96,1,0,5,1)&lt;&gt;0))=0),_xlpm.oppA,_xlfn.XLOOKUP($AK96,$H$4:$H$18,$J$4:$J$18,""),_xlpm.oppB,_xlfn.XLOOKUP($AK96,$H$4:$H$18,$K$4:$K$18,""),_xlpm.opp,IF($AL96=_xlpm.oppA,_xlpm.oppB,_xlpm.oppA),IF(_xlpm.auto,SUMIFS($AE$4:$AE$273,$S$4:$S$273,$AK96,$T$4:$T$273,_xlpm.opp),Scorebook!H387)))</f>
        <v>0</v>
      </c>
      <c r="AT96" s="5" cm="1">
        <f t="array" aca="1" ref="AT96" ca="1">IF($AK96="","",_xlfn.LET(_xlpm.auto,AND(MOD(ROW()-4,6)=0,$AM96&lt;&gt;0,SUMPRODUCT(--(OFFSET($AM96,1,0,5,1)&lt;&gt;0))=0),_xlpm.oppA,_xlfn.XLOOKUP($AK96,$H$4:$H$18,$J$4:$J$18,""),_xlpm.oppB,_xlfn.XLOOKUP($AK96,$H$4:$H$18,$K$4:$K$18,""),_xlpm.opp,IF($AL96=_xlpm.oppA,_xlpm.oppB,_xlpm.oppA),IF(_xlpm.auto,SUMIFS($AB$4:$AB$273,$S$4:$S$273,$AK96,$T$4:$T$273,_xlpm.opp),Scorebook!I387)))</f>
        <v>1</v>
      </c>
      <c r="AU96" s="5" cm="1">
        <f t="array" aca="1" ref="AU96" ca="1">IF($AK96="","",_xlfn.LET(_xlpm.auto,AND(MOD(ROW()-4,6)=0,$AM96&lt;&gt;0,SUMPRODUCT(--(OFFSET($AM96,1,0,5,1)&lt;&gt;0))=0),_xlpm.winner,_xlfn.XLOOKUP($AK96,$H$4:$H$18,$L$4:$L$18,""),IF(_xlpm.auto,--($AL96=_xlpm.winner),Scorebook!J387)))</f>
        <v>0</v>
      </c>
      <c r="AV96" s="5" cm="1">
        <f t="array" aca="1" ref="AV96" ca="1">IF($AK96="","",_xlfn.LET(_xlpm.auto,AND(MOD(ROW()-4,6)=0,$AM96&lt;&gt;0,SUMPRODUCT(--(OFFSET($AM96,1,0,5,1)&lt;&gt;0))=0),_xlpm.loser,_xlfn.XLOOKUP($AK96,$H$4:$H$18,$M$4:$M$18,""),IF(_xlpm.auto,--($AL96=_xlpm.loser),Scorebook!K387)))</f>
        <v>0</v>
      </c>
      <c r="AW96" s="5">
        <f ca="1">Scorebook!L387</f>
        <v>0</v>
      </c>
      <c r="AX96" s="5" cm="1">
        <f t="array" aca="1" ref="AX96" ca="1">IF($AK96="","",_xlfn.LET(_xlpm.auto,AND(MOD(ROW()-4,6)=0,$AM96&lt;&gt;0,SUMPRODUCT(--(OFFSET($AM96,1,0,5,1)&lt;&gt;0))=0),_xlpm.oppA,_xlfn.XLOOKUP($AK96,$H$4:$H$18,$J$4:$J$18,""),_xlpm.oppRuns,IF($AL96=_xlpm.oppA,_xlfn.XLOOKUP($AK96,$H$4:$H$18,$O$4:$O$18,""),_xlfn.XLOOKUP($AK96,$H$4:$H$18,$N$4:$N$18,"")),IF(_xlpm.auto,--(_xlpm.oppRuns=0),Scorebook!M387)))</f>
        <v>0</v>
      </c>
      <c r="AY96" s="5" cm="1">
        <f t="array" aca="1" ref="AY96" ca="1">IF($AK96="","",_xlfn.LET(_xlpm.auto,AND(MOD(ROW()-4,6)=0,$AM96&lt;&gt;0,SUMPRODUCT(--(OFFSET($AM96,1,0,5,1)&lt;&gt;0))=0),IF(_xlpm.auto,1,Scorebook!N387)))</f>
        <v>0</v>
      </c>
      <c r="AZ96" s="10"/>
      <c r="BA96" s="10"/>
      <c r="BB96" s="5">
        <f>Settings!$B$2</f>
        <v>1</v>
      </c>
      <c r="BC96" s="5">
        <f>Betting!A98</f>
        <v>0</v>
      </c>
      <c r="BD96" s="5">
        <f>Betting!B98</f>
        <v>0</v>
      </c>
      <c r="BE96" s="5">
        <f>Betting!C98</f>
        <v>0</v>
      </c>
      <c r="BF96" s="5">
        <f>Betting!D98</f>
        <v>0</v>
      </c>
      <c r="BG96" s="5">
        <f>Betting!E98</f>
        <v>0</v>
      </c>
      <c r="BH96" s="5">
        <f>Betting!F98</f>
        <v>0</v>
      </c>
      <c r="BI96" s="4">
        <f>Betting!G98</f>
        <v>0</v>
      </c>
      <c r="BJ96" s="4">
        <f>Betting!H98</f>
        <v>0</v>
      </c>
    </row>
    <row r="97" spans="19:62">
      <c r="S97" s="4" t="str">
        <f ca="1">Scorebook!$F$247</f>
        <v>G6</v>
      </c>
      <c r="T97" s="5" t="str">
        <f ca="1">Scorebook!$N$247</f>
        <v>Aidan</v>
      </c>
      <c r="U97" s="5" t="str">
        <f ca="1">Scorebook!$B$257</f>
        <v>Luigi</v>
      </c>
      <c r="V97" s="4">
        <v>4</v>
      </c>
      <c r="W97" s="5">
        <f ca="1">Scorebook!M257</f>
        <v>2</v>
      </c>
      <c r="X97" s="5">
        <f ca="1">Scorebook!N257</f>
        <v>0</v>
      </c>
      <c r="Y97" s="5">
        <f ca="1">Scorebook!O257</f>
        <v>0</v>
      </c>
      <c r="Z97" s="5">
        <f ca="1">Scorebook!P257</f>
        <v>0</v>
      </c>
      <c r="AA97" s="5">
        <f ca="1">Scorebook!Q257</f>
        <v>0</v>
      </c>
      <c r="AB97" s="5">
        <f ca="1">Scorebook!R257</f>
        <v>0</v>
      </c>
      <c r="AC97" s="5">
        <f ca="1">Scorebook!S257</f>
        <v>0</v>
      </c>
      <c r="AD97" s="5">
        <f ca="1">Scorebook!T257</f>
        <v>0</v>
      </c>
      <c r="AE97" s="5">
        <f ca="1">Scorebook!U257</f>
        <v>1</v>
      </c>
      <c r="AF97" s="5">
        <f ca="1">Scorebook!V257</f>
        <v>0</v>
      </c>
      <c r="AG97" s="5">
        <f ca="1">Scorebook!W257</f>
        <v>0</v>
      </c>
      <c r="AH97" s="5">
        <f ca="1">Scorebook!X257</f>
        <v>0</v>
      </c>
      <c r="AI97" s="5">
        <f>Settings!$B$2</f>
        <v>1</v>
      </c>
      <c r="AJ97" s="18">
        <f ca="1">IF($AK97="","",Scorebook!$O$388)</f>
        <v>3</v>
      </c>
      <c r="AK97" s="4" t="str">
        <f ca="1">Scorebook!$F$345</f>
        <v>G8</v>
      </c>
      <c r="AL97" s="5" t="str">
        <f ca="1">Scorebook!$R$345</f>
        <v>Jason</v>
      </c>
      <c r="AM97" s="5" t="str">
        <f ca="1">Scorebook!$B$388</f>
        <v>Yellow Toad</v>
      </c>
      <c r="AN97" s="5">
        <f ca="1">IF(Scorebook!C388="","",INT(Scorebook!C388)+MOD(ROUND(Scorebook!C388*10,0),10)/3)</f>
        <v>0.6666666666666666</v>
      </c>
      <c r="AO97" s="5" cm="1">
        <f t="array" aca="1" ref="AO97" ca="1">IF($AK97="","",_xlfn.LET(_xlpm.auto,AND(MOD(ROW()-4,6)=0,$AM97&lt;&gt;0,SUMPRODUCT(--(OFFSET($AM97,1,0,5,1)&lt;&gt;0))=0),_xlpm.oppA,_xlfn.XLOOKUP($AK97,$H$4:$H$18,$J$4:$J$18,""),_xlpm.oppB,_xlfn.XLOOKUP($AK97,$H$4:$H$18,$K$4:$K$18,""),_xlpm.opp,IF($AL97=_xlpm.oppA,_xlpm.oppB,_xlpm.oppA),IF(_xlpm.auto,SUMIFS($Y$4:$Y$273,$S$4:$S$273,$AK97,$T$4:$T$273,_xlpm.opp),Scorebook!D388)))</f>
        <v>1</v>
      </c>
      <c r="AP97" s="5" cm="1">
        <f t="array" aca="1" ref="AP97" ca="1">IF($AK97="","",_xlfn.LET(_xlpm.auto,AND(MOD(ROW()-4,6)=0,$AM97&lt;&gt;0,SUMPRODUCT(--(OFFSET($AM97,1,0,5,1)&lt;&gt;0))=0),_xlpm.oppA,_xlfn.XLOOKUP($AK97,$H$4:$H$18,$J$4:$J$18,""),_xlpm.oppRuns,IF($AL97=_xlpm.oppA,_xlfn.XLOOKUP($AK97,$H$4:$H$18,$O$4:$O$18,""),_xlfn.XLOOKUP($AK97,$H$4:$H$18,$N$4:$N$18,"")),IF(_xlpm.auto,_xlpm.oppRuns,Scorebook!E388)))</f>
        <v>0</v>
      </c>
      <c r="AQ97" s="5">
        <f ca="1">Scorebook!F388</f>
        <v>0</v>
      </c>
      <c r="AR97" s="5" cm="1">
        <f t="array" aca="1" ref="AR97" ca="1">IF($AK97="","",_xlfn.LET(_xlpm.auto,AND(MOD(ROW()-4,6)=0,$AM97&lt;&gt;0,SUMPRODUCT(--(OFFSET($AM97,1,0,5,1)&lt;&gt;0))=0),_xlpm.oppA,_xlfn.XLOOKUP($AK97,$H$4:$H$18,$J$4:$J$18,""),_xlpm.oppB,_xlfn.XLOOKUP($AK97,$H$4:$H$18,$K$4:$K$18,""),_xlpm.opp,IF($AL97=_xlpm.oppA,_xlpm.oppB,_xlpm.oppA),IF(_xlpm.auto,SUMIFS($AD$4:$AD$273,$S$4:$S$273,$AK97,$T$4:$T$273,_xlpm.opp),Scorebook!G388)))</f>
        <v>0</v>
      </c>
      <c r="AS97" s="5" cm="1">
        <f t="array" aca="1" ref="AS97" ca="1">IF($AK97="","",_xlfn.LET(_xlpm.auto,AND(MOD(ROW()-4,6)=0,$AM97&lt;&gt;0,SUMPRODUCT(--(OFFSET($AM97,1,0,5,1)&lt;&gt;0))=0),_xlpm.oppA,_xlfn.XLOOKUP($AK97,$H$4:$H$18,$J$4:$J$18,""),_xlpm.oppB,_xlfn.XLOOKUP($AK97,$H$4:$H$18,$K$4:$K$18,""),_xlpm.opp,IF($AL97=_xlpm.oppA,_xlpm.oppB,_xlpm.oppA),IF(_xlpm.auto,SUMIFS($AE$4:$AE$273,$S$4:$S$273,$AK97,$T$4:$T$273,_xlpm.opp),Scorebook!H388)))</f>
        <v>1</v>
      </c>
      <c r="AT97" s="5" cm="1">
        <f t="array" aca="1" ref="AT97" ca="1">IF($AK97="","",_xlfn.LET(_xlpm.auto,AND(MOD(ROW()-4,6)=0,$AM97&lt;&gt;0,SUMPRODUCT(--(OFFSET($AM97,1,0,5,1)&lt;&gt;0))=0),_xlpm.oppA,_xlfn.XLOOKUP($AK97,$H$4:$H$18,$J$4:$J$18,""),_xlpm.oppB,_xlfn.XLOOKUP($AK97,$H$4:$H$18,$K$4:$K$18,""),_xlpm.opp,IF($AL97=_xlpm.oppA,_xlpm.oppB,_xlpm.oppA),IF(_xlpm.auto,SUMIFS($AB$4:$AB$273,$S$4:$S$273,$AK97,$T$4:$T$273,_xlpm.opp),Scorebook!I388)))</f>
        <v>0</v>
      </c>
      <c r="AU97" s="5" cm="1">
        <f t="array" aca="1" ref="AU97" ca="1">IF($AK97="","",_xlfn.LET(_xlpm.auto,AND(MOD(ROW()-4,6)=0,$AM97&lt;&gt;0,SUMPRODUCT(--(OFFSET($AM97,1,0,5,1)&lt;&gt;0))=0),_xlpm.winner,_xlfn.XLOOKUP($AK97,$H$4:$H$18,$L$4:$L$18,""),IF(_xlpm.auto,--($AL97=_xlpm.winner),Scorebook!J388)))</f>
        <v>0</v>
      </c>
      <c r="AV97" s="5" cm="1">
        <f t="array" aca="1" ref="AV97" ca="1">IF($AK97="","",_xlfn.LET(_xlpm.auto,AND(MOD(ROW()-4,6)=0,$AM97&lt;&gt;0,SUMPRODUCT(--(OFFSET($AM97,1,0,5,1)&lt;&gt;0))=0),_xlpm.loser,_xlfn.XLOOKUP($AK97,$H$4:$H$18,$M$4:$M$18,""),IF(_xlpm.auto,--($AL97=_xlpm.loser),Scorebook!K388)))</f>
        <v>0</v>
      </c>
      <c r="AW97" s="5">
        <f ca="1">Scorebook!L388</f>
        <v>0</v>
      </c>
      <c r="AX97" s="5" cm="1">
        <f t="array" aca="1" ref="AX97" ca="1">IF($AK97="","",_xlfn.LET(_xlpm.auto,AND(MOD(ROW()-4,6)=0,$AM97&lt;&gt;0,SUMPRODUCT(--(OFFSET($AM97,1,0,5,1)&lt;&gt;0))=0),_xlpm.oppA,_xlfn.XLOOKUP($AK97,$H$4:$H$18,$J$4:$J$18,""),_xlpm.oppRuns,IF($AL97=_xlpm.oppA,_xlfn.XLOOKUP($AK97,$H$4:$H$18,$O$4:$O$18,""),_xlfn.XLOOKUP($AK97,$H$4:$H$18,$N$4:$N$18,"")),IF(_xlpm.auto,--(_xlpm.oppRuns=0),Scorebook!M388)))</f>
        <v>0</v>
      </c>
      <c r="AY97" s="5" cm="1">
        <f t="array" aca="1" ref="AY97" ca="1">IF($AK97="","",_xlfn.LET(_xlpm.auto,AND(MOD(ROW()-4,6)=0,$AM97&lt;&gt;0,SUMPRODUCT(--(OFFSET($AM97,1,0,5,1)&lt;&gt;0))=0),IF(_xlpm.auto,1,Scorebook!N388)))</f>
        <v>0</v>
      </c>
      <c r="AZ97" s="10"/>
      <c r="BA97" s="10"/>
      <c r="BB97" s="5">
        <f>Settings!$B$2</f>
        <v>1</v>
      </c>
      <c r="BC97" s="5">
        <f>Betting!A99</f>
        <v>0</v>
      </c>
      <c r="BD97" s="5">
        <f>Betting!B99</f>
        <v>0</v>
      </c>
      <c r="BE97" s="5">
        <f>Betting!C99</f>
        <v>0</v>
      </c>
      <c r="BF97" s="5">
        <f>Betting!D99</f>
        <v>0</v>
      </c>
      <c r="BG97" s="5">
        <f>Betting!E99</f>
        <v>0</v>
      </c>
      <c r="BH97" s="5">
        <f>Betting!F99</f>
        <v>0</v>
      </c>
      <c r="BI97" s="4">
        <f>Betting!G99</f>
        <v>0</v>
      </c>
      <c r="BJ97" s="4">
        <f>Betting!H99</f>
        <v>0</v>
      </c>
    </row>
    <row r="98" spans="19:62">
      <c r="S98" s="4" t="str">
        <f ca="1">Scorebook!$F$247</f>
        <v>G6</v>
      </c>
      <c r="T98" s="5" t="str">
        <f ca="1">Scorebook!$N$247</f>
        <v>Aidan</v>
      </c>
      <c r="U98" s="5" t="str">
        <f ca="1">Scorebook!$B$258</f>
        <v>Dark Bones</v>
      </c>
      <c r="V98" s="4">
        <v>5</v>
      </c>
      <c r="W98" s="5">
        <f ca="1">Scorebook!M258</f>
        <v>1</v>
      </c>
      <c r="X98" s="5">
        <f ca="1">Scorebook!N258</f>
        <v>0</v>
      </c>
      <c r="Y98" s="5">
        <f ca="1">Scorebook!O258</f>
        <v>0</v>
      </c>
      <c r="Z98" s="5">
        <f ca="1">Scorebook!P258</f>
        <v>0</v>
      </c>
      <c r="AA98" s="5">
        <f ca="1">Scorebook!Q258</f>
        <v>0</v>
      </c>
      <c r="AB98" s="5">
        <f ca="1">Scorebook!R258</f>
        <v>0</v>
      </c>
      <c r="AC98" s="5">
        <f ca="1">Scorebook!S258</f>
        <v>0</v>
      </c>
      <c r="AD98" s="5">
        <f ca="1">Scorebook!T258</f>
        <v>0</v>
      </c>
      <c r="AE98" s="5">
        <f ca="1">Scorebook!U258</f>
        <v>0</v>
      </c>
      <c r="AF98" s="5">
        <f ca="1">Scorebook!V258</f>
        <v>0</v>
      </c>
      <c r="AG98" s="5">
        <f ca="1">Scorebook!W258</f>
        <v>0</v>
      </c>
      <c r="AH98" s="5">
        <f ca="1">Scorebook!X258</f>
        <v>0</v>
      </c>
      <c r="AI98" s="5">
        <f>Settings!$B$2</f>
        <v>1</v>
      </c>
      <c r="AJ98" s="18">
        <f ca="1">IF($AK98="","",Scorebook!$O$389)</f>
      </c>
      <c r="AK98" s="4" t="str">
        <f ca="1">Scorebook!$F$345</f>
        <v>G8</v>
      </c>
      <c r="AL98" s="5" t="str">
        <f ca="1">Scorebook!$R$345</f>
        <v>Jason</v>
      </c>
      <c r="AM98" s="5" t="str">
        <f>Scorebook!$B$389</f>
      </c>
      <c r="AN98" s="5">
        <f ca="1">IF(Scorebook!C389="","",INT(Scorebook!C389)+MOD(ROUND(Scorebook!C389*10,0),10)/3)</f>
      </c>
      <c r="AO98" s="5" cm="1">
        <f t="array" aca="1" ref="AO98" ca="1">IF($AK98="","",_xlfn.LET(_xlpm.auto,AND(MOD(ROW()-4,6)=0,$AM98&lt;&gt;0,SUMPRODUCT(--(OFFSET($AM98,1,0,5,1)&lt;&gt;0))=0),_xlpm.oppA,_xlfn.XLOOKUP($AK98,$H$4:$H$18,$J$4:$J$18,""),_xlpm.oppB,_xlfn.XLOOKUP($AK98,$H$4:$H$18,$K$4:$K$18,""),_xlpm.opp,IF($AL98=_xlpm.oppA,_xlpm.oppB,_xlpm.oppA),IF(_xlpm.auto,SUMIFS($Y$4:$Y$273,$S$4:$S$273,$AK98,$T$4:$T$273,_xlpm.opp),Scorebook!D389)))</f>
      </c>
      <c r="AP98" s="5" cm="1">
        <f t="array" aca="1" ref="AP98" ca="1">IF($AK98="","",_xlfn.LET(_xlpm.auto,AND(MOD(ROW()-4,6)=0,$AM98&lt;&gt;0,SUMPRODUCT(--(OFFSET($AM98,1,0,5,1)&lt;&gt;0))=0),_xlpm.oppA,_xlfn.XLOOKUP($AK98,$H$4:$H$18,$J$4:$J$18,""),_xlpm.oppRuns,IF($AL98=_xlpm.oppA,_xlfn.XLOOKUP($AK98,$H$4:$H$18,$O$4:$O$18,""),_xlfn.XLOOKUP($AK98,$H$4:$H$18,$N$4:$N$18,"")),IF(_xlpm.auto,_xlpm.oppRuns,Scorebook!E389)))</f>
      </c>
      <c r="AQ98" s="5">
        <f ca="1">Scorebook!F389</f>
      </c>
      <c r="AR98" s="5" cm="1">
        <f t="array" aca="1" ref="AR98" ca="1">IF($AK98="","",_xlfn.LET(_xlpm.auto,AND(MOD(ROW()-4,6)=0,$AM98&lt;&gt;0,SUMPRODUCT(--(OFFSET($AM98,1,0,5,1)&lt;&gt;0))=0),_xlpm.oppA,_xlfn.XLOOKUP($AK98,$H$4:$H$18,$J$4:$J$18,""),_xlpm.oppB,_xlfn.XLOOKUP($AK98,$H$4:$H$18,$K$4:$K$18,""),_xlpm.opp,IF($AL98=_xlpm.oppA,_xlpm.oppB,_xlpm.oppA),IF(_xlpm.auto,SUMIFS($AD$4:$AD$273,$S$4:$S$273,$AK98,$T$4:$T$273,_xlpm.opp),Scorebook!G389)))</f>
      </c>
      <c r="AS98" s="5" cm="1">
        <f t="array" aca="1" ref="AS98" ca="1">IF($AK98="","",_xlfn.LET(_xlpm.auto,AND(MOD(ROW()-4,6)=0,$AM98&lt;&gt;0,SUMPRODUCT(--(OFFSET($AM98,1,0,5,1)&lt;&gt;0))=0),_xlpm.oppA,_xlfn.XLOOKUP($AK98,$H$4:$H$18,$J$4:$J$18,""),_xlpm.oppB,_xlfn.XLOOKUP($AK98,$H$4:$H$18,$K$4:$K$18,""),_xlpm.opp,IF($AL98=_xlpm.oppA,_xlpm.oppB,_xlpm.oppA),IF(_xlpm.auto,SUMIFS($AE$4:$AE$273,$S$4:$S$273,$AK98,$T$4:$T$273,_xlpm.opp),Scorebook!H389)))</f>
      </c>
      <c r="AT98" s="5" cm="1">
        <f t="array" aca="1" ref="AT98" ca="1">IF($AK98="","",_xlfn.LET(_xlpm.auto,AND(MOD(ROW()-4,6)=0,$AM98&lt;&gt;0,SUMPRODUCT(--(OFFSET($AM98,1,0,5,1)&lt;&gt;0))=0),_xlpm.oppA,_xlfn.XLOOKUP($AK98,$H$4:$H$18,$J$4:$J$18,""),_xlpm.oppB,_xlfn.XLOOKUP($AK98,$H$4:$H$18,$K$4:$K$18,""),_xlpm.opp,IF($AL98=_xlpm.oppA,_xlpm.oppB,_xlpm.oppA),IF(_xlpm.auto,SUMIFS($AB$4:$AB$273,$S$4:$S$273,$AK98,$T$4:$T$273,_xlpm.opp),Scorebook!I389)))</f>
      </c>
      <c r="AU98" s="5" cm="1">
        <f t="array" aca="1" ref="AU98" ca="1">IF($AK98="","",_xlfn.LET(_xlpm.auto,AND(MOD(ROW()-4,6)=0,$AM98&lt;&gt;0,SUMPRODUCT(--(OFFSET($AM98,1,0,5,1)&lt;&gt;0))=0),_xlpm.winner,_xlfn.XLOOKUP($AK98,$H$4:$H$18,$L$4:$L$18,""),IF(_xlpm.auto,--($AL98=_xlpm.winner),Scorebook!J389)))</f>
      </c>
      <c r="AV98" s="5" cm="1">
        <f t="array" aca="1" ref="AV98" ca="1">IF($AK98="","",_xlfn.LET(_xlpm.auto,AND(MOD(ROW()-4,6)=0,$AM98&lt;&gt;0,SUMPRODUCT(--(OFFSET($AM98,1,0,5,1)&lt;&gt;0))=0),_xlpm.loser,_xlfn.XLOOKUP($AK98,$H$4:$H$18,$M$4:$M$18,""),IF(_xlpm.auto,--($AL98=_xlpm.loser),Scorebook!K389)))</f>
      </c>
      <c r="AW98" s="5">
        <f ca="1">Scorebook!L389</f>
      </c>
      <c r="AX98" s="5" cm="1">
        <f t="array" aca="1" ref="AX98" ca="1">IF($AK98="","",_xlfn.LET(_xlpm.auto,AND(MOD(ROW()-4,6)=0,$AM98&lt;&gt;0,SUMPRODUCT(--(OFFSET($AM98,1,0,5,1)&lt;&gt;0))=0),_xlpm.oppA,_xlfn.XLOOKUP($AK98,$H$4:$H$18,$J$4:$J$18,""),_xlpm.oppRuns,IF($AL98=_xlpm.oppA,_xlfn.XLOOKUP($AK98,$H$4:$H$18,$O$4:$O$18,""),_xlfn.XLOOKUP($AK98,$H$4:$H$18,$N$4:$N$18,"")),IF(_xlpm.auto,--(_xlpm.oppRuns=0),Scorebook!M389)))</f>
      </c>
      <c r="AY98" s="5" cm="1">
        <f t="array" aca="1" ref="AY98" ca="1">IF($AK98="","",_xlfn.LET(_xlpm.auto,AND(MOD(ROW()-4,6)=0,$AM98&lt;&gt;0,SUMPRODUCT(--(OFFSET($AM98,1,0,5,1)&lt;&gt;0))=0),IF(_xlpm.auto,1,Scorebook!N389)))</f>
      </c>
      <c r="AZ98" s="10"/>
      <c r="BA98" s="10"/>
      <c r="BB98" s="5">
        <f>Settings!$B$2</f>
        <v>1</v>
      </c>
      <c r="BC98" s="5">
        <f>Betting!A100</f>
        <v>0</v>
      </c>
      <c r="BD98" s="5">
        <f>Betting!B100</f>
        <v>0</v>
      </c>
      <c r="BE98" s="5">
        <f>Betting!C100</f>
        <v>0</v>
      </c>
      <c r="BF98" s="5">
        <f>Betting!D100</f>
        <v>0</v>
      </c>
      <c r="BG98" s="5">
        <f>Betting!E100</f>
        <v>0</v>
      </c>
      <c r="BH98" s="5">
        <f>Betting!F100</f>
        <v>0</v>
      </c>
      <c r="BI98" s="4">
        <f>Betting!G100</f>
        <v>0</v>
      </c>
      <c r="BJ98" s="4">
        <f>Betting!H100</f>
        <v>0</v>
      </c>
    </row>
    <row r="99" spans="19:62">
      <c r="S99" s="4" t="str">
        <f ca="1">Scorebook!$F$247</f>
        <v>G6</v>
      </c>
      <c r="T99" s="5" t="str">
        <f ca="1">Scorebook!$N$247</f>
        <v>Aidan</v>
      </c>
      <c r="U99" s="5" t="str">
        <f ca="1">Scorebook!$B$259</f>
        <v>Pink Yoshi</v>
      </c>
      <c r="V99" s="4">
        <v>6</v>
      </c>
      <c r="W99" s="5">
        <f ca="1">Scorebook!M259</f>
        <v>1</v>
      </c>
      <c r="X99" s="5">
        <f ca="1">Scorebook!N259</f>
        <v>0</v>
      </c>
      <c r="Y99" s="5">
        <f ca="1">Scorebook!O259</f>
        <v>0</v>
      </c>
      <c r="Z99" s="5">
        <f ca="1">Scorebook!P259</f>
        <v>0</v>
      </c>
      <c r="AA99" s="5">
        <f ca="1">Scorebook!Q259</f>
        <v>0</v>
      </c>
      <c r="AB99" s="5">
        <f ca="1">Scorebook!R259</f>
        <v>0</v>
      </c>
      <c r="AC99" s="5">
        <f ca="1">Scorebook!S259</f>
        <v>0</v>
      </c>
      <c r="AD99" s="5">
        <f ca="1">Scorebook!T259</f>
        <v>0</v>
      </c>
      <c r="AE99" s="5">
        <f ca="1">Scorebook!U259</f>
        <v>0</v>
      </c>
      <c r="AF99" s="5">
        <f ca="1">Scorebook!V259</f>
        <v>0</v>
      </c>
      <c r="AG99" s="5">
        <f ca="1">Scorebook!W259</f>
        <v>0</v>
      </c>
      <c r="AH99" s="5">
        <f ca="1">Scorebook!X259</f>
        <v>0</v>
      </c>
      <c r="AI99" s="5">
        <f>Settings!$B$2</f>
        <v>1</v>
      </c>
      <c r="AJ99" s="18">
        <f ca="1">IF($AK99="","",Scorebook!$O$390)</f>
      </c>
      <c r="AK99" s="4" t="str">
        <f ca="1">Scorebook!$F$345</f>
        <v>G8</v>
      </c>
      <c r="AL99" s="5" t="str">
        <f ca="1">Scorebook!$R$345</f>
        <v>Jason</v>
      </c>
      <c r="AM99" s="5" t="str">
        <f>Scorebook!$B$390</f>
      </c>
      <c r="AN99" s="5">
        <f ca="1">IF(Scorebook!C390="","",INT(Scorebook!C390)+MOD(ROUND(Scorebook!C390*10,0),10)/3)</f>
      </c>
      <c r="AO99" s="5" cm="1">
        <f t="array" aca="1" ref="AO99" ca="1">IF($AK99="","",_xlfn.LET(_xlpm.auto,AND(MOD(ROW()-4,6)=0,$AM99&lt;&gt;0,SUMPRODUCT(--(OFFSET($AM99,1,0,5,1)&lt;&gt;0))=0),_xlpm.oppA,_xlfn.XLOOKUP($AK99,$H$4:$H$18,$J$4:$J$18,""),_xlpm.oppB,_xlfn.XLOOKUP($AK99,$H$4:$H$18,$K$4:$K$18,""),_xlpm.opp,IF($AL99=_xlpm.oppA,_xlpm.oppB,_xlpm.oppA),IF(_xlpm.auto,SUMIFS($Y$4:$Y$273,$S$4:$S$273,$AK99,$T$4:$T$273,_xlpm.opp),Scorebook!D390)))</f>
      </c>
      <c r="AP99" s="5" cm="1">
        <f t="array" aca="1" ref="AP99" ca="1">IF($AK99="","",_xlfn.LET(_xlpm.auto,AND(MOD(ROW()-4,6)=0,$AM99&lt;&gt;0,SUMPRODUCT(--(OFFSET($AM99,1,0,5,1)&lt;&gt;0))=0),_xlpm.oppA,_xlfn.XLOOKUP($AK99,$H$4:$H$18,$J$4:$J$18,""),_xlpm.oppRuns,IF($AL99=_xlpm.oppA,_xlfn.XLOOKUP($AK99,$H$4:$H$18,$O$4:$O$18,""),_xlfn.XLOOKUP($AK99,$H$4:$H$18,$N$4:$N$18,"")),IF(_xlpm.auto,_xlpm.oppRuns,Scorebook!E390)))</f>
      </c>
      <c r="AQ99" s="5">
        <f ca="1">Scorebook!F390</f>
      </c>
      <c r="AR99" s="5" cm="1">
        <f t="array" aca="1" ref="AR99" ca="1">IF($AK99="","",_xlfn.LET(_xlpm.auto,AND(MOD(ROW()-4,6)=0,$AM99&lt;&gt;0,SUMPRODUCT(--(OFFSET($AM99,1,0,5,1)&lt;&gt;0))=0),_xlpm.oppA,_xlfn.XLOOKUP($AK99,$H$4:$H$18,$J$4:$J$18,""),_xlpm.oppB,_xlfn.XLOOKUP($AK99,$H$4:$H$18,$K$4:$K$18,""),_xlpm.opp,IF($AL99=_xlpm.oppA,_xlpm.oppB,_xlpm.oppA),IF(_xlpm.auto,SUMIFS($AD$4:$AD$273,$S$4:$S$273,$AK99,$T$4:$T$273,_xlpm.opp),Scorebook!G390)))</f>
      </c>
      <c r="AS99" s="5" cm="1">
        <f t="array" aca="1" ref="AS99" ca="1">IF($AK99="","",_xlfn.LET(_xlpm.auto,AND(MOD(ROW()-4,6)=0,$AM99&lt;&gt;0,SUMPRODUCT(--(OFFSET($AM99,1,0,5,1)&lt;&gt;0))=0),_xlpm.oppA,_xlfn.XLOOKUP($AK99,$H$4:$H$18,$J$4:$J$18,""),_xlpm.oppB,_xlfn.XLOOKUP($AK99,$H$4:$H$18,$K$4:$K$18,""),_xlpm.opp,IF($AL99=_xlpm.oppA,_xlpm.oppB,_xlpm.oppA),IF(_xlpm.auto,SUMIFS($AE$4:$AE$273,$S$4:$S$273,$AK99,$T$4:$T$273,_xlpm.opp),Scorebook!H390)))</f>
      </c>
      <c r="AT99" s="5" cm="1">
        <f t="array" aca="1" ref="AT99" ca="1">IF($AK99="","",_xlfn.LET(_xlpm.auto,AND(MOD(ROW()-4,6)=0,$AM99&lt;&gt;0,SUMPRODUCT(--(OFFSET($AM99,1,0,5,1)&lt;&gt;0))=0),_xlpm.oppA,_xlfn.XLOOKUP($AK99,$H$4:$H$18,$J$4:$J$18,""),_xlpm.oppB,_xlfn.XLOOKUP($AK99,$H$4:$H$18,$K$4:$K$18,""),_xlpm.opp,IF($AL99=_xlpm.oppA,_xlpm.oppB,_xlpm.oppA),IF(_xlpm.auto,SUMIFS($AB$4:$AB$273,$S$4:$S$273,$AK99,$T$4:$T$273,_xlpm.opp),Scorebook!I390)))</f>
      </c>
      <c r="AU99" s="5" cm="1">
        <f t="array" aca="1" ref="AU99" ca="1">IF($AK99="","",_xlfn.LET(_xlpm.auto,AND(MOD(ROW()-4,6)=0,$AM99&lt;&gt;0,SUMPRODUCT(--(OFFSET($AM99,1,0,5,1)&lt;&gt;0))=0),_xlpm.winner,_xlfn.XLOOKUP($AK99,$H$4:$H$18,$L$4:$L$18,""),IF(_xlpm.auto,--($AL99=_xlpm.winner),Scorebook!J390)))</f>
      </c>
      <c r="AV99" s="5" cm="1">
        <f t="array" aca="1" ref="AV99" ca="1">IF($AK99="","",_xlfn.LET(_xlpm.auto,AND(MOD(ROW()-4,6)=0,$AM99&lt;&gt;0,SUMPRODUCT(--(OFFSET($AM99,1,0,5,1)&lt;&gt;0))=0),_xlpm.loser,_xlfn.XLOOKUP($AK99,$H$4:$H$18,$M$4:$M$18,""),IF(_xlpm.auto,--($AL99=_xlpm.loser),Scorebook!K390)))</f>
      </c>
      <c r="AW99" s="5">
        <f ca="1">Scorebook!L390</f>
      </c>
      <c r="AX99" s="5" cm="1">
        <f t="array" aca="1" ref="AX99" ca="1">IF($AK99="","",_xlfn.LET(_xlpm.auto,AND(MOD(ROW()-4,6)=0,$AM99&lt;&gt;0,SUMPRODUCT(--(OFFSET($AM99,1,0,5,1)&lt;&gt;0))=0),_xlpm.oppA,_xlfn.XLOOKUP($AK99,$H$4:$H$18,$J$4:$J$18,""),_xlpm.oppRuns,IF($AL99=_xlpm.oppA,_xlfn.XLOOKUP($AK99,$H$4:$H$18,$O$4:$O$18,""),_xlfn.XLOOKUP($AK99,$H$4:$H$18,$N$4:$N$18,"")),IF(_xlpm.auto,--(_xlpm.oppRuns=0),Scorebook!M390)))</f>
      </c>
      <c r="AY99" s="5" cm="1">
        <f t="array" aca="1" ref="AY99" ca="1">IF($AK99="","",_xlfn.LET(_xlpm.auto,AND(MOD(ROW()-4,6)=0,$AM99&lt;&gt;0,SUMPRODUCT(--(OFFSET($AM99,1,0,5,1)&lt;&gt;0))=0),IF(_xlpm.auto,1,Scorebook!N390)))</f>
      </c>
      <c r="AZ99" s="10"/>
      <c r="BA99" s="10"/>
      <c r="BB99" s="5">
        <f>Settings!$B$2</f>
        <v>1</v>
      </c>
      <c r="BC99" s="5">
        <f>Betting!A101</f>
        <v>0</v>
      </c>
      <c r="BD99" s="5">
        <f>Betting!B101</f>
        <v>0</v>
      </c>
      <c r="BE99" s="5">
        <f>Betting!C101</f>
        <v>0</v>
      </c>
      <c r="BF99" s="5">
        <f>Betting!D101</f>
        <v>0</v>
      </c>
      <c r="BG99" s="5">
        <f>Betting!E101</f>
        <v>0</v>
      </c>
      <c r="BH99" s="5">
        <f>Betting!F101</f>
        <v>0</v>
      </c>
      <c r="BI99" s="4">
        <f>Betting!G101</f>
        <v>0</v>
      </c>
      <c r="BJ99" s="4">
        <f>Betting!H101</f>
        <v>0</v>
      </c>
    </row>
    <row r="100" spans="19:62">
      <c r="S100" s="4" t="str">
        <f ca="1">Scorebook!$F$247</f>
        <v>G6</v>
      </c>
      <c r="T100" s="5" t="str">
        <f ca="1">Scorebook!$N$247</f>
        <v>Aidan</v>
      </c>
      <c r="U100" s="5" t="str">
        <f ca="1">Scorebook!$B$260</f>
        <v>Blue Dry Bones</v>
      </c>
      <c r="V100" s="4">
        <v>7</v>
      </c>
      <c r="W100" s="5">
        <f ca="1">Scorebook!M260</f>
        <v>1</v>
      </c>
      <c r="X100" s="5">
        <f ca="1">Scorebook!N260</f>
        <v>0</v>
      </c>
      <c r="Y100" s="5">
        <f ca="1">Scorebook!O260</f>
        <v>0</v>
      </c>
      <c r="Z100" s="5">
        <f ca="1">Scorebook!P260</f>
        <v>0</v>
      </c>
      <c r="AA100" s="5">
        <f ca="1">Scorebook!Q260</f>
        <v>0</v>
      </c>
      <c r="AB100" s="5">
        <f ca="1">Scorebook!R260</f>
        <v>0</v>
      </c>
      <c r="AC100" s="5">
        <f ca="1">Scorebook!S260</f>
        <v>0</v>
      </c>
      <c r="AD100" s="5">
        <f ca="1">Scorebook!T260</f>
        <v>0</v>
      </c>
      <c r="AE100" s="5">
        <f ca="1">Scorebook!U260</f>
        <v>0</v>
      </c>
      <c r="AF100" s="5">
        <f ca="1">Scorebook!V260</f>
        <v>0</v>
      </c>
      <c r="AG100" s="5">
        <f ca="1">Scorebook!W260</f>
        <v>0</v>
      </c>
      <c r="AH100" s="5">
        <f ca="1">Scorebook!X260</f>
        <v>0</v>
      </c>
      <c r="AI100" s="5">
        <f>Settings!$B$2</f>
        <v>1</v>
      </c>
      <c r="AJ100" s="18">
        <f ca="1">IF($AK100="","",Scorebook!$O$413)</f>
        <v>3</v>
      </c>
      <c r="AK100" s="4" t="str">
        <f ca="1">Scorebook!$F$394</f>
        <v>G9</v>
      </c>
      <c r="AL100" s="5" t="str">
        <f ca="1">Scorebook!$N$394</f>
        <v>Jason</v>
      </c>
      <c r="AM100" s="5" t="str">
        <f ca="1">Scorebook!$B$413</f>
        <v>Peach</v>
      </c>
      <c r="AN100" s="5">
        <f ca="1">IF(Scorebook!C413="","",INT(Scorebook!C413)+MOD(ROUND(Scorebook!C413*10,0),10)/3)</f>
        <v>1.0</v>
      </c>
      <c r="AO100" s="5" cm="1">
        <f t="array" aca="1" ref="AO100" ca="1">IF($AK100="","",_xlfn.LET(_xlpm.auto,AND(MOD(ROW()-4,6)=0,$AM100&lt;&gt;0,SUMPRODUCT(--(OFFSET($AM100,1,0,5,1)&lt;&gt;0))=0),_xlpm.oppA,_xlfn.XLOOKUP($AK100,$H$4:$H$18,$J$4:$J$18,""),_xlpm.oppB,_xlfn.XLOOKUP($AK100,$H$4:$H$18,$K$4:$K$18,""),_xlpm.opp,IF($AL100=_xlpm.oppA,_xlpm.oppB,_xlpm.oppA),IF(_xlpm.auto,SUMIFS($Y$4:$Y$273,$S$4:$S$273,$AK100,$T$4:$T$273,_xlpm.opp),Scorebook!D413)))</f>
        <v>0</v>
      </c>
      <c r="AP100" s="5" cm="1">
        <f t="array" aca="1" ref="AP100" ca="1">IF($AK100="","",_xlfn.LET(_xlpm.auto,AND(MOD(ROW()-4,6)=0,$AM100&lt;&gt;0,SUMPRODUCT(--(OFFSET($AM100,1,0,5,1)&lt;&gt;0))=0),_xlpm.oppA,_xlfn.XLOOKUP($AK100,$H$4:$H$18,$J$4:$J$18,""),_xlpm.oppRuns,IF($AL100=_xlpm.oppA,_xlfn.XLOOKUP($AK100,$H$4:$H$18,$O$4:$O$18,""),_xlfn.XLOOKUP($AK100,$H$4:$H$18,$N$4:$N$18,"")),IF(_xlpm.auto,_xlpm.oppRuns,Scorebook!E413)))</f>
        <v>0</v>
      </c>
      <c r="AQ100" s="5">
        <f ca="1">Scorebook!F413</f>
        <v>0</v>
      </c>
      <c r="AR100" s="5" cm="1">
        <f t="array" aca="1" ref="AR100" ca="1">IF($AK100="","",_xlfn.LET(_xlpm.auto,AND(MOD(ROW()-4,6)=0,$AM100&lt;&gt;0,SUMPRODUCT(--(OFFSET($AM100,1,0,5,1)&lt;&gt;0))=0),_xlpm.oppA,_xlfn.XLOOKUP($AK100,$H$4:$H$18,$J$4:$J$18,""),_xlpm.oppB,_xlfn.XLOOKUP($AK100,$H$4:$H$18,$K$4:$K$18,""),_xlpm.opp,IF($AL100=_xlpm.oppA,_xlpm.oppB,_xlpm.oppA),IF(_xlpm.auto,SUMIFS($AD$4:$AD$273,$S$4:$S$273,$AK100,$T$4:$T$273,_xlpm.opp),Scorebook!G413)))</f>
        <v>0</v>
      </c>
      <c r="AS100" s="5" cm="1">
        <f t="array" aca="1" ref="AS100" ca="1">IF($AK100="","",_xlfn.LET(_xlpm.auto,AND(MOD(ROW()-4,6)=0,$AM100&lt;&gt;0,SUMPRODUCT(--(OFFSET($AM100,1,0,5,1)&lt;&gt;0))=0),_xlpm.oppA,_xlfn.XLOOKUP($AK100,$H$4:$H$18,$J$4:$J$18,""),_xlpm.oppB,_xlfn.XLOOKUP($AK100,$H$4:$H$18,$K$4:$K$18,""),_xlpm.opp,IF($AL100=_xlpm.oppA,_xlpm.oppB,_xlpm.oppA),IF(_xlpm.auto,SUMIFS($AE$4:$AE$273,$S$4:$S$273,$AK100,$T$4:$T$273,_xlpm.opp),Scorebook!H413)))</f>
        <v>0</v>
      </c>
      <c r="AT100" s="5" cm="1">
        <f t="array" aca="1" ref="AT100" ca="1">IF($AK100="","",_xlfn.LET(_xlpm.auto,AND(MOD(ROW()-4,6)=0,$AM100&lt;&gt;0,SUMPRODUCT(--(OFFSET($AM100,1,0,5,1)&lt;&gt;0))=0),_xlpm.oppA,_xlfn.XLOOKUP($AK100,$H$4:$H$18,$J$4:$J$18,""),_xlpm.oppB,_xlfn.XLOOKUP($AK100,$H$4:$H$18,$K$4:$K$18,""),_xlpm.opp,IF($AL100=_xlpm.oppA,_xlpm.oppB,_xlpm.oppA),IF(_xlpm.auto,SUMIFS($AB$4:$AB$273,$S$4:$S$273,$AK100,$T$4:$T$273,_xlpm.opp),Scorebook!I413)))</f>
        <v>0</v>
      </c>
      <c r="AU100" s="5" cm="1">
        <f t="array" aca="1" ref="AU100" ca="1">IF($AK100="","",_xlfn.LET(_xlpm.auto,AND(MOD(ROW()-4,6)=0,$AM100&lt;&gt;0,SUMPRODUCT(--(OFFSET($AM100,1,0,5,1)&lt;&gt;0))=0),_xlpm.winner,_xlfn.XLOOKUP($AK100,$H$4:$H$18,$L$4:$L$18,""),IF(_xlpm.auto,--($AL100=_xlpm.winner),Scorebook!J413)))</f>
        <v>1</v>
      </c>
      <c r="AV100" s="5" cm="1">
        <f t="array" aca="1" ref="AV100" ca="1">IF($AK100="","",_xlfn.LET(_xlpm.auto,AND(MOD(ROW()-4,6)=0,$AM100&lt;&gt;0,SUMPRODUCT(--(OFFSET($AM100,1,0,5,1)&lt;&gt;0))=0),_xlpm.loser,_xlfn.XLOOKUP($AK100,$H$4:$H$18,$M$4:$M$18,""),IF(_xlpm.auto,--($AL100=_xlpm.loser),Scorebook!K413)))</f>
        <v>0</v>
      </c>
      <c r="AW100" s="5">
        <f ca="1">Scorebook!L413</f>
        <v>0</v>
      </c>
      <c r="AX100" s="5" cm="1">
        <f t="array" aca="1" ref="AX100" ca="1">IF($AK100="","",_xlfn.LET(_xlpm.auto,AND(MOD(ROW()-4,6)=0,$AM100&lt;&gt;0,SUMPRODUCT(--(OFFSET($AM100,1,0,5,1)&lt;&gt;0))=0),_xlpm.oppA,_xlfn.XLOOKUP($AK100,$H$4:$H$18,$J$4:$J$18,""),_xlpm.oppRuns,IF($AL100=_xlpm.oppA,_xlfn.XLOOKUP($AK100,$H$4:$H$18,$O$4:$O$18,""),_xlfn.XLOOKUP($AK100,$H$4:$H$18,$N$4:$N$18,"")),IF(_xlpm.auto,--(_xlpm.oppRuns=0),Scorebook!M413)))</f>
        <v>1</v>
      </c>
      <c r="AY100" s="5" cm="1">
        <f t="array" aca="1" ref="AY100" ca="1">IF($AK100="","",_xlfn.LET(_xlpm.auto,AND(MOD(ROW()-4,6)=0,$AM100&lt;&gt;0,SUMPRODUCT(--(OFFSET($AM100,1,0,5,1)&lt;&gt;0))=0),IF(_xlpm.auto,1,Scorebook!N413)))</f>
        <v>1</v>
      </c>
      <c r="AZ100" s="10"/>
      <c r="BA100" s="10"/>
      <c r="BB100" s="5">
        <f>Settings!$B$2</f>
        <v>1</v>
      </c>
      <c r="BC100" s="5">
        <f>Betting!A102</f>
        <v>0</v>
      </c>
      <c r="BD100" s="5">
        <f>Betting!B102</f>
        <v>0</v>
      </c>
      <c r="BE100" s="5">
        <f>Betting!C102</f>
        <v>0</v>
      </c>
      <c r="BF100" s="5">
        <f>Betting!D102</f>
        <v>0</v>
      </c>
      <c r="BG100" s="5">
        <f>Betting!E102</f>
        <v>0</v>
      </c>
      <c r="BH100" s="5">
        <f>Betting!F102</f>
        <v>0</v>
      </c>
      <c r="BI100" s="4">
        <f>Betting!G102</f>
        <v>0</v>
      </c>
      <c r="BJ100" s="4">
        <f>Betting!H102</f>
        <v>0</v>
      </c>
    </row>
    <row r="101" spans="19:62">
      <c r="S101" s="4" t="str">
        <f ca="1">Scorebook!$F$247</f>
        <v>G6</v>
      </c>
      <c r="T101" s="5" t="str">
        <f ca="1">Scorebook!$N$247</f>
        <v>Aidan</v>
      </c>
      <c r="U101" s="5" t="str">
        <f ca="1">Scorebook!$B$261</f>
        <v>Blue Kritter</v>
      </c>
      <c r="V101" s="4">
        <v>8</v>
      </c>
      <c r="W101" s="5">
        <f ca="1">Scorebook!M261</f>
        <v>1</v>
      </c>
      <c r="X101" s="5">
        <f ca="1">Scorebook!N261</f>
        <v>1</v>
      </c>
      <c r="Y101" s="5">
        <f ca="1">Scorebook!O261</f>
        <v>1</v>
      </c>
      <c r="Z101" s="5">
        <f ca="1">Scorebook!P261</f>
        <v>0</v>
      </c>
      <c r="AA101" s="5">
        <f ca="1">Scorebook!Q261</f>
        <v>0</v>
      </c>
      <c r="AB101" s="5">
        <f ca="1">Scorebook!R261</f>
        <v>1</v>
      </c>
      <c r="AC101" s="5">
        <f ca="1">Scorebook!S261</f>
        <v>1</v>
      </c>
      <c r="AD101" s="5">
        <f ca="1">Scorebook!T261</f>
        <v>0</v>
      </c>
      <c r="AE101" s="5">
        <f ca="1">Scorebook!U261</f>
        <v>0</v>
      </c>
      <c r="AF101" s="5">
        <f ca="1">Scorebook!V261</f>
        <v>0</v>
      </c>
      <c r="AG101" s="5">
        <f ca="1">Scorebook!W261</f>
        <v>0</v>
      </c>
      <c r="AH101" s="5">
        <f ca="1">Scorebook!X261</f>
        <v>0</v>
      </c>
      <c r="AI101" s="5">
        <f>Settings!$B$2</f>
        <v>1</v>
      </c>
      <c r="AJ101" s="18">
        <f ca="1">IF($AK101="","",Scorebook!$O$414)</f>
      </c>
      <c r="AK101" s="4" t="str">
        <f ca="1">Scorebook!$F$394</f>
        <v>G9</v>
      </c>
      <c r="AL101" s="5" t="str">
        <f ca="1">Scorebook!$N$394</f>
        <v>Jason</v>
      </c>
      <c r="AM101" s="5" t="str">
        <f>Scorebook!$B$414</f>
      </c>
      <c r="AN101" s="5">
        <f ca="1">IF(Scorebook!C414="","",INT(Scorebook!C414)+MOD(ROUND(Scorebook!C414*10,0),10)/3)</f>
      </c>
      <c r="AO101" s="5" cm="1">
        <f t="array" aca="1" ref="AO101" ca="1">IF($AK101="","",_xlfn.LET(_xlpm.auto,AND(MOD(ROW()-4,6)=0,$AM101&lt;&gt;0,SUMPRODUCT(--(OFFSET($AM101,1,0,5,1)&lt;&gt;0))=0),_xlpm.oppA,_xlfn.XLOOKUP($AK101,$H$4:$H$18,$J$4:$J$18,""),_xlpm.oppB,_xlfn.XLOOKUP($AK101,$H$4:$H$18,$K$4:$K$18,""),_xlpm.opp,IF($AL101=_xlpm.oppA,_xlpm.oppB,_xlpm.oppA),IF(_xlpm.auto,SUMIFS($Y$4:$Y$273,$S$4:$S$273,$AK101,$T$4:$T$273,_xlpm.opp),Scorebook!D414)))</f>
      </c>
      <c r="AP101" s="5" cm="1">
        <f t="array" aca="1" ref="AP101" ca="1">IF($AK101="","",_xlfn.LET(_xlpm.auto,AND(MOD(ROW()-4,6)=0,$AM101&lt;&gt;0,SUMPRODUCT(--(OFFSET($AM101,1,0,5,1)&lt;&gt;0))=0),_xlpm.oppA,_xlfn.XLOOKUP($AK101,$H$4:$H$18,$J$4:$J$18,""),_xlpm.oppRuns,IF($AL101=_xlpm.oppA,_xlfn.XLOOKUP($AK101,$H$4:$H$18,$O$4:$O$18,""),_xlfn.XLOOKUP($AK101,$H$4:$H$18,$N$4:$N$18,"")),IF(_xlpm.auto,_xlpm.oppRuns,Scorebook!E414)))</f>
      </c>
      <c r="AQ101" s="5">
        <f ca="1">Scorebook!F414</f>
      </c>
      <c r="AR101" s="5" cm="1">
        <f t="array" aca="1" ref="AR101" ca="1">IF($AK101="","",_xlfn.LET(_xlpm.auto,AND(MOD(ROW()-4,6)=0,$AM101&lt;&gt;0,SUMPRODUCT(--(OFFSET($AM101,1,0,5,1)&lt;&gt;0))=0),_xlpm.oppA,_xlfn.XLOOKUP($AK101,$H$4:$H$18,$J$4:$J$18,""),_xlpm.oppB,_xlfn.XLOOKUP($AK101,$H$4:$H$18,$K$4:$K$18,""),_xlpm.opp,IF($AL101=_xlpm.oppA,_xlpm.oppB,_xlpm.oppA),IF(_xlpm.auto,SUMIFS($AD$4:$AD$273,$S$4:$S$273,$AK101,$T$4:$T$273,_xlpm.opp),Scorebook!G414)))</f>
      </c>
      <c r="AS101" s="5" cm="1">
        <f t="array" aca="1" ref="AS101" ca="1">IF($AK101="","",_xlfn.LET(_xlpm.auto,AND(MOD(ROW()-4,6)=0,$AM101&lt;&gt;0,SUMPRODUCT(--(OFFSET($AM101,1,0,5,1)&lt;&gt;0))=0),_xlpm.oppA,_xlfn.XLOOKUP($AK101,$H$4:$H$18,$J$4:$J$18,""),_xlpm.oppB,_xlfn.XLOOKUP($AK101,$H$4:$H$18,$K$4:$K$18,""),_xlpm.opp,IF($AL101=_xlpm.oppA,_xlpm.oppB,_xlpm.oppA),IF(_xlpm.auto,SUMIFS($AE$4:$AE$273,$S$4:$S$273,$AK101,$T$4:$T$273,_xlpm.opp),Scorebook!H414)))</f>
      </c>
      <c r="AT101" s="5" cm="1">
        <f t="array" aca="1" ref="AT101" ca="1">IF($AK101="","",_xlfn.LET(_xlpm.auto,AND(MOD(ROW()-4,6)=0,$AM101&lt;&gt;0,SUMPRODUCT(--(OFFSET($AM101,1,0,5,1)&lt;&gt;0))=0),_xlpm.oppA,_xlfn.XLOOKUP($AK101,$H$4:$H$18,$J$4:$J$18,""),_xlpm.oppB,_xlfn.XLOOKUP($AK101,$H$4:$H$18,$K$4:$K$18,""),_xlpm.opp,IF($AL101=_xlpm.oppA,_xlpm.oppB,_xlpm.oppA),IF(_xlpm.auto,SUMIFS($AB$4:$AB$273,$S$4:$S$273,$AK101,$T$4:$T$273,_xlpm.opp),Scorebook!I414)))</f>
      </c>
      <c r="AU101" s="5" cm="1">
        <f t="array" aca="1" ref="AU101" ca="1">IF($AK101="","",_xlfn.LET(_xlpm.auto,AND(MOD(ROW()-4,6)=0,$AM101&lt;&gt;0,SUMPRODUCT(--(OFFSET($AM101,1,0,5,1)&lt;&gt;0))=0),_xlpm.winner,_xlfn.XLOOKUP($AK101,$H$4:$H$18,$L$4:$L$18,""),IF(_xlpm.auto,--($AL101=_xlpm.winner),Scorebook!J414)))</f>
      </c>
      <c r="AV101" s="5" cm="1">
        <f t="array" aca="1" ref="AV101" ca="1">IF($AK101="","",_xlfn.LET(_xlpm.auto,AND(MOD(ROW()-4,6)=0,$AM101&lt;&gt;0,SUMPRODUCT(--(OFFSET($AM101,1,0,5,1)&lt;&gt;0))=0),_xlpm.loser,_xlfn.XLOOKUP($AK101,$H$4:$H$18,$M$4:$M$18,""),IF(_xlpm.auto,--($AL101=_xlpm.loser),Scorebook!K414)))</f>
      </c>
      <c r="AW101" s="5">
        <f ca="1">Scorebook!L414</f>
      </c>
      <c r="AX101" s="5" cm="1">
        <f t="array" aca="1" ref="AX101" ca="1">IF($AK101="","",_xlfn.LET(_xlpm.auto,AND(MOD(ROW()-4,6)=0,$AM101&lt;&gt;0,SUMPRODUCT(--(OFFSET($AM101,1,0,5,1)&lt;&gt;0))=0),_xlpm.oppA,_xlfn.XLOOKUP($AK101,$H$4:$H$18,$J$4:$J$18,""),_xlpm.oppRuns,IF($AL101=_xlpm.oppA,_xlfn.XLOOKUP($AK101,$H$4:$H$18,$O$4:$O$18,""),_xlfn.XLOOKUP($AK101,$H$4:$H$18,$N$4:$N$18,"")),IF(_xlpm.auto,--(_xlpm.oppRuns=0),Scorebook!M414)))</f>
      </c>
      <c r="AY101" s="5" cm="1">
        <f t="array" aca="1" ref="AY101" ca="1">IF($AK101="","",_xlfn.LET(_xlpm.auto,AND(MOD(ROW()-4,6)=0,$AM101&lt;&gt;0,SUMPRODUCT(--(OFFSET($AM101,1,0,5,1)&lt;&gt;0))=0),IF(_xlpm.auto,1,Scorebook!N414)))</f>
      </c>
      <c r="AZ101" s="10"/>
      <c r="BA101" s="10"/>
      <c r="BB101" s="5">
        <f>Settings!$B$2</f>
        <v>1</v>
      </c>
      <c r="BC101" s="5">
        <f>Betting!A103</f>
        <v>0</v>
      </c>
      <c r="BD101" s="5">
        <f>Betting!B103</f>
        <v>0</v>
      </c>
      <c r="BE101" s="5">
        <f>Betting!C103</f>
        <v>0</v>
      </c>
      <c r="BF101" s="5">
        <f>Betting!D103</f>
        <v>0</v>
      </c>
      <c r="BG101" s="5">
        <f>Betting!E103</f>
        <v>0</v>
      </c>
      <c r="BH101" s="5">
        <f>Betting!F103</f>
        <v>0</v>
      </c>
      <c r="BI101" s="4">
        <f>Betting!G103</f>
        <v>0</v>
      </c>
      <c r="BJ101" s="4">
        <f>Betting!H103</f>
        <v>0</v>
      </c>
    </row>
    <row r="102" spans="19:62">
      <c r="S102" s="4" t="str">
        <f ca="1">Scorebook!$F$247</f>
        <v>G6</v>
      </c>
      <c r="T102" s="5" t="str">
        <f ca="1">Scorebook!$N$247</f>
        <v>Aidan</v>
      </c>
      <c r="U102" s="5" t="str">
        <f ca="1">Scorebook!$B$262</f>
        <v>Red Magikoopa</v>
      </c>
      <c r="V102" s="4">
        <v>9</v>
      </c>
      <c r="W102" s="5">
        <f ca="1">Scorebook!M262</f>
        <v>1</v>
      </c>
      <c r="X102" s="5">
        <f ca="1">Scorebook!N262</f>
        <v>0</v>
      </c>
      <c r="Y102" s="5">
        <f ca="1">Scorebook!O262</f>
        <v>0</v>
      </c>
      <c r="Z102" s="5">
        <f ca="1">Scorebook!P262</f>
        <v>0</v>
      </c>
      <c r="AA102" s="5">
        <f ca="1">Scorebook!Q262</f>
        <v>0</v>
      </c>
      <c r="AB102" s="5">
        <f ca="1">Scorebook!R262</f>
        <v>0</v>
      </c>
      <c r="AC102" s="5">
        <f ca="1">Scorebook!S262</f>
        <v>0</v>
      </c>
      <c r="AD102" s="5">
        <f ca="1">Scorebook!T262</f>
        <v>0</v>
      </c>
      <c r="AE102" s="5">
        <f ca="1">Scorebook!U262</f>
        <v>1</v>
      </c>
      <c r="AF102" s="5">
        <f ca="1">Scorebook!V262</f>
        <v>0</v>
      </c>
      <c r="AG102" s="5">
        <f ca="1">Scorebook!W262</f>
        <v>0</v>
      </c>
      <c r="AH102" s="5">
        <f ca="1">Scorebook!X262</f>
        <v>0</v>
      </c>
      <c r="AI102" s="5">
        <f>Settings!$B$2</f>
        <v>1</v>
      </c>
      <c r="AJ102" s="18">
        <f ca="1">IF($AK102="","",Scorebook!$O$415)</f>
      </c>
      <c r="AK102" s="4" t="str">
        <f ca="1">Scorebook!$F$394</f>
        <v>G9</v>
      </c>
      <c r="AL102" s="5" t="str">
        <f ca="1">Scorebook!$N$394</f>
        <v>Jason</v>
      </c>
      <c r="AM102" s="5" t="str">
        <f>Scorebook!$B$415</f>
      </c>
      <c r="AN102" s="5">
        <f ca="1">IF(Scorebook!C415="","",INT(Scorebook!C415)+MOD(ROUND(Scorebook!C415*10,0),10)/3)</f>
      </c>
      <c r="AO102" s="5" cm="1">
        <f t="array" aca="1" ref="AO102" ca="1">IF($AK102="","",_xlfn.LET(_xlpm.auto,AND(MOD(ROW()-4,6)=0,$AM102&lt;&gt;0,SUMPRODUCT(--(OFFSET($AM102,1,0,5,1)&lt;&gt;0))=0),_xlpm.oppA,_xlfn.XLOOKUP($AK102,$H$4:$H$18,$J$4:$J$18,""),_xlpm.oppB,_xlfn.XLOOKUP($AK102,$H$4:$H$18,$K$4:$K$18,""),_xlpm.opp,IF($AL102=_xlpm.oppA,_xlpm.oppB,_xlpm.oppA),IF(_xlpm.auto,SUMIFS($Y$4:$Y$273,$S$4:$S$273,$AK102,$T$4:$T$273,_xlpm.opp),Scorebook!D415)))</f>
      </c>
      <c r="AP102" s="5" cm="1">
        <f t="array" aca="1" ref="AP102" ca="1">IF($AK102="","",_xlfn.LET(_xlpm.auto,AND(MOD(ROW()-4,6)=0,$AM102&lt;&gt;0,SUMPRODUCT(--(OFFSET($AM102,1,0,5,1)&lt;&gt;0))=0),_xlpm.oppA,_xlfn.XLOOKUP($AK102,$H$4:$H$18,$J$4:$J$18,""),_xlpm.oppRuns,IF($AL102=_xlpm.oppA,_xlfn.XLOOKUP($AK102,$H$4:$H$18,$O$4:$O$18,""),_xlfn.XLOOKUP($AK102,$H$4:$H$18,$N$4:$N$18,"")),IF(_xlpm.auto,_xlpm.oppRuns,Scorebook!E415)))</f>
      </c>
      <c r="AQ102" s="5">
        <f ca="1">Scorebook!F415</f>
      </c>
      <c r="AR102" s="5" cm="1">
        <f t="array" aca="1" ref="AR102" ca="1">IF($AK102="","",_xlfn.LET(_xlpm.auto,AND(MOD(ROW()-4,6)=0,$AM102&lt;&gt;0,SUMPRODUCT(--(OFFSET($AM102,1,0,5,1)&lt;&gt;0))=0),_xlpm.oppA,_xlfn.XLOOKUP($AK102,$H$4:$H$18,$J$4:$J$18,""),_xlpm.oppB,_xlfn.XLOOKUP($AK102,$H$4:$H$18,$K$4:$K$18,""),_xlpm.opp,IF($AL102=_xlpm.oppA,_xlpm.oppB,_xlpm.oppA),IF(_xlpm.auto,SUMIFS($AD$4:$AD$273,$S$4:$S$273,$AK102,$T$4:$T$273,_xlpm.opp),Scorebook!G415)))</f>
      </c>
      <c r="AS102" s="5" cm="1">
        <f t="array" aca="1" ref="AS102" ca="1">IF($AK102="","",_xlfn.LET(_xlpm.auto,AND(MOD(ROW()-4,6)=0,$AM102&lt;&gt;0,SUMPRODUCT(--(OFFSET($AM102,1,0,5,1)&lt;&gt;0))=0),_xlpm.oppA,_xlfn.XLOOKUP($AK102,$H$4:$H$18,$J$4:$J$18,""),_xlpm.oppB,_xlfn.XLOOKUP($AK102,$H$4:$H$18,$K$4:$K$18,""),_xlpm.opp,IF($AL102=_xlpm.oppA,_xlpm.oppB,_xlpm.oppA),IF(_xlpm.auto,SUMIFS($AE$4:$AE$273,$S$4:$S$273,$AK102,$T$4:$T$273,_xlpm.opp),Scorebook!H415)))</f>
      </c>
      <c r="AT102" s="5" cm="1">
        <f t="array" aca="1" ref="AT102" ca="1">IF($AK102="","",_xlfn.LET(_xlpm.auto,AND(MOD(ROW()-4,6)=0,$AM102&lt;&gt;0,SUMPRODUCT(--(OFFSET($AM102,1,0,5,1)&lt;&gt;0))=0),_xlpm.oppA,_xlfn.XLOOKUP($AK102,$H$4:$H$18,$J$4:$J$18,""),_xlpm.oppB,_xlfn.XLOOKUP($AK102,$H$4:$H$18,$K$4:$K$18,""),_xlpm.opp,IF($AL102=_xlpm.oppA,_xlpm.oppB,_xlpm.oppA),IF(_xlpm.auto,SUMIFS($AB$4:$AB$273,$S$4:$S$273,$AK102,$T$4:$T$273,_xlpm.opp),Scorebook!I415)))</f>
      </c>
      <c r="AU102" s="5" cm="1">
        <f t="array" aca="1" ref="AU102" ca="1">IF($AK102="","",_xlfn.LET(_xlpm.auto,AND(MOD(ROW()-4,6)=0,$AM102&lt;&gt;0,SUMPRODUCT(--(OFFSET($AM102,1,0,5,1)&lt;&gt;0))=0),_xlpm.winner,_xlfn.XLOOKUP($AK102,$H$4:$H$18,$L$4:$L$18,""),IF(_xlpm.auto,--($AL102=_xlpm.winner),Scorebook!J415)))</f>
      </c>
      <c r="AV102" s="5" cm="1">
        <f t="array" aca="1" ref="AV102" ca="1">IF($AK102="","",_xlfn.LET(_xlpm.auto,AND(MOD(ROW()-4,6)=0,$AM102&lt;&gt;0,SUMPRODUCT(--(OFFSET($AM102,1,0,5,1)&lt;&gt;0))=0),_xlpm.loser,_xlfn.XLOOKUP($AK102,$H$4:$H$18,$M$4:$M$18,""),IF(_xlpm.auto,--($AL102=_xlpm.loser),Scorebook!K415)))</f>
      </c>
      <c r="AW102" s="5">
        <f ca="1">Scorebook!L415</f>
      </c>
      <c r="AX102" s="5" cm="1">
        <f t="array" aca="1" ref="AX102" ca="1">IF($AK102="","",_xlfn.LET(_xlpm.auto,AND(MOD(ROW()-4,6)=0,$AM102&lt;&gt;0,SUMPRODUCT(--(OFFSET($AM102,1,0,5,1)&lt;&gt;0))=0),_xlpm.oppA,_xlfn.XLOOKUP($AK102,$H$4:$H$18,$J$4:$J$18,""),_xlpm.oppRuns,IF($AL102=_xlpm.oppA,_xlfn.XLOOKUP($AK102,$H$4:$H$18,$O$4:$O$18,""),_xlfn.XLOOKUP($AK102,$H$4:$H$18,$N$4:$N$18,"")),IF(_xlpm.auto,--(_xlpm.oppRuns=0),Scorebook!M415)))</f>
      </c>
      <c r="AY102" s="5" cm="1">
        <f t="array" aca="1" ref="AY102" ca="1">IF($AK102="","",_xlfn.LET(_xlpm.auto,AND(MOD(ROW()-4,6)=0,$AM102&lt;&gt;0,SUMPRODUCT(--(OFFSET($AM102,1,0,5,1)&lt;&gt;0))=0),IF(_xlpm.auto,1,Scorebook!N415)))</f>
      </c>
      <c r="AZ102" s="10"/>
      <c r="BA102" s="10"/>
      <c r="BB102" s="5">
        <f>Settings!$B$2</f>
        <v>1</v>
      </c>
      <c r="BC102" s="5">
        <f>Betting!A104</f>
        <v>0</v>
      </c>
      <c r="BD102" s="5">
        <f>Betting!B104</f>
        <v>0</v>
      </c>
      <c r="BE102" s="5">
        <f>Betting!C104</f>
        <v>0</v>
      </c>
      <c r="BF102" s="5">
        <f>Betting!D104</f>
        <v>0</v>
      </c>
      <c r="BG102" s="5">
        <f>Betting!E104</f>
        <v>0</v>
      </c>
      <c r="BH102" s="5">
        <f>Betting!F104</f>
        <v>0</v>
      </c>
      <c r="BI102" s="4">
        <f>Betting!G104</f>
        <v>0</v>
      </c>
      <c r="BJ102" s="4">
        <f>Betting!H104</f>
        <v>0</v>
      </c>
    </row>
    <row r="103" spans="19:62">
      <c r="S103" s="4" t="str">
        <f ca="1">Scorebook!$F$247</f>
        <v>G6</v>
      </c>
      <c r="T103" s="5" t="str">
        <f ca="1">Scorebook!$R$247</f>
        <v>Donovan</v>
      </c>
      <c r="U103" s="5" t="str">
        <f ca="1">Scorebook!$B$275</f>
        <v>Donkey Kong</v>
      </c>
      <c r="V103" s="4">
        <v>1</v>
      </c>
      <c r="W103" s="5">
        <f ca="1">Scorebook!M275</f>
        <v>2</v>
      </c>
      <c r="X103" s="5">
        <f ca="1">Scorebook!N275</f>
        <v>2</v>
      </c>
      <c r="Y103" s="5">
        <f ca="1">Scorebook!O275</f>
        <v>2</v>
      </c>
      <c r="Z103" s="5">
        <f ca="1">Scorebook!P275</f>
        <v>1</v>
      </c>
      <c r="AA103" s="5">
        <f ca="1">Scorebook!Q275</f>
        <v>0</v>
      </c>
      <c r="AB103" s="5">
        <f ca="1">Scorebook!R275</f>
        <v>0</v>
      </c>
      <c r="AC103" s="5">
        <f ca="1">Scorebook!S275</f>
        <v>0</v>
      </c>
      <c r="AD103" s="5">
        <f ca="1">Scorebook!T275</f>
        <v>0</v>
      </c>
      <c r="AE103" s="5">
        <f ca="1">Scorebook!U275</f>
        <v>0</v>
      </c>
      <c r="AF103" s="5">
        <f ca="1">Scorebook!V275</f>
        <v>0</v>
      </c>
      <c r="AG103" s="5">
        <f ca="1">Scorebook!W275</f>
        <v>0</v>
      </c>
      <c r="AH103" s="5">
        <f ca="1">Scorebook!X275</f>
        <v>0</v>
      </c>
      <c r="AI103" s="5">
        <f>Settings!$B$2</f>
        <v>1</v>
      </c>
      <c r="AJ103" s="18">
        <f ca="1">IF($AK103="","",Scorebook!$O$416)</f>
      </c>
      <c r="AK103" s="4" t="str">
        <f ca="1">Scorebook!$F$394</f>
        <v>G9</v>
      </c>
      <c r="AL103" s="5" t="str">
        <f ca="1">Scorebook!$N$394</f>
        <v>Jason</v>
      </c>
      <c r="AM103" s="5" t="str">
        <f>Scorebook!$B$416</f>
      </c>
      <c r="AN103" s="5">
        <f ca="1">IF(Scorebook!C416="","",INT(Scorebook!C416)+MOD(ROUND(Scorebook!C416*10,0),10)/3)</f>
      </c>
      <c r="AO103" s="5" cm="1">
        <f t="array" aca="1" ref="AO103" ca="1">IF($AK103="","",_xlfn.LET(_xlpm.auto,AND(MOD(ROW()-4,6)=0,$AM103&lt;&gt;0,SUMPRODUCT(--(OFFSET($AM103,1,0,5,1)&lt;&gt;0))=0),_xlpm.oppA,_xlfn.XLOOKUP($AK103,$H$4:$H$18,$J$4:$J$18,""),_xlpm.oppB,_xlfn.XLOOKUP($AK103,$H$4:$H$18,$K$4:$K$18,""),_xlpm.opp,IF($AL103=_xlpm.oppA,_xlpm.oppB,_xlpm.oppA),IF(_xlpm.auto,SUMIFS($Y$4:$Y$273,$S$4:$S$273,$AK103,$T$4:$T$273,_xlpm.opp),Scorebook!D416)))</f>
      </c>
      <c r="AP103" s="5" cm="1">
        <f t="array" aca="1" ref="AP103" ca="1">IF($AK103="","",_xlfn.LET(_xlpm.auto,AND(MOD(ROW()-4,6)=0,$AM103&lt;&gt;0,SUMPRODUCT(--(OFFSET($AM103,1,0,5,1)&lt;&gt;0))=0),_xlpm.oppA,_xlfn.XLOOKUP($AK103,$H$4:$H$18,$J$4:$J$18,""),_xlpm.oppRuns,IF($AL103=_xlpm.oppA,_xlfn.XLOOKUP($AK103,$H$4:$H$18,$O$4:$O$18,""),_xlfn.XLOOKUP($AK103,$H$4:$H$18,$N$4:$N$18,"")),IF(_xlpm.auto,_xlpm.oppRuns,Scorebook!E416)))</f>
      </c>
      <c r="AQ103" s="5">
        <f ca="1">Scorebook!F416</f>
      </c>
      <c r="AR103" s="5" cm="1">
        <f t="array" aca="1" ref="AR103" ca="1">IF($AK103="","",_xlfn.LET(_xlpm.auto,AND(MOD(ROW()-4,6)=0,$AM103&lt;&gt;0,SUMPRODUCT(--(OFFSET($AM103,1,0,5,1)&lt;&gt;0))=0),_xlpm.oppA,_xlfn.XLOOKUP($AK103,$H$4:$H$18,$J$4:$J$18,""),_xlpm.oppB,_xlfn.XLOOKUP($AK103,$H$4:$H$18,$K$4:$K$18,""),_xlpm.opp,IF($AL103=_xlpm.oppA,_xlpm.oppB,_xlpm.oppA),IF(_xlpm.auto,SUMIFS($AD$4:$AD$273,$S$4:$S$273,$AK103,$T$4:$T$273,_xlpm.opp),Scorebook!G416)))</f>
      </c>
      <c r="AS103" s="5" cm="1">
        <f t="array" aca="1" ref="AS103" ca="1">IF($AK103="","",_xlfn.LET(_xlpm.auto,AND(MOD(ROW()-4,6)=0,$AM103&lt;&gt;0,SUMPRODUCT(--(OFFSET($AM103,1,0,5,1)&lt;&gt;0))=0),_xlpm.oppA,_xlfn.XLOOKUP($AK103,$H$4:$H$18,$J$4:$J$18,""),_xlpm.oppB,_xlfn.XLOOKUP($AK103,$H$4:$H$18,$K$4:$K$18,""),_xlpm.opp,IF($AL103=_xlpm.oppA,_xlpm.oppB,_xlpm.oppA),IF(_xlpm.auto,SUMIFS($AE$4:$AE$273,$S$4:$S$273,$AK103,$T$4:$T$273,_xlpm.opp),Scorebook!H416)))</f>
      </c>
      <c r="AT103" s="5" cm="1">
        <f t="array" aca="1" ref="AT103" ca="1">IF($AK103="","",_xlfn.LET(_xlpm.auto,AND(MOD(ROW()-4,6)=0,$AM103&lt;&gt;0,SUMPRODUCT(--(OFFSET($AM103,1,0,5,1)&lt;&gt;0))=0),_xlpm.oppA,_xlfn.XLOOKUP($AK103,$H$4:$H$18,$J$4:$J$18,""),_xlpm.oppB,_xlfn.XLOOKUP($AK103,$H$4:$H$18,$K$4:$K$18,""),_xlpm.opp,IF($AL103=_xlpm.oppA,_xlpm.oppB,_xlpm.oppA),IF(_xlpm.auto,SUMIFS($AB$4:$AB$273,$S$4:$S$273,$AK103,$T$4:$T$273,_xlpm.opp),Scorebook!I416)))</f>
      </c>
      <c r="AU103" s="5" cm="1">
        <f t="array" aca="1" ref="AU103" ca="1">IF($AK103="","",_xlfn.LET(_xlpm.auto,AND(MOD(ROW()-4,6)=0,$AM103&lt;&gt;0,SUMPRODUCT(--(OFFSET($AM103,1,0,5,1)&lt;&gt;0))=0),_xlpm.winner,_xlfn.XLOOKUP($AK103,$H$4:$H$18,$L$4:$L$18,""),IF(_xlpm.auto,--($AL103=_xlpm.winner),Scorebook!J416)))</f>
      </c>
      <c r="AV103" s="5" cm="1">
        <f t="array" aca="1" ref="AV103" ca="1">IF($AK103="","",_xlfn.LET(_xlpm.auto,AND(MOD(ROW()-4,6)=0,$AM103&lt;&gt;0,SUMPRODUCT(--(OFFSET($AM103,1,0,5,1)&lt;&gt;0))=0),_xlpm.loser,_xlfn.XLOOKUP($AK103,$H$4:$H$18,$M$4:$M$18,""),IF(_xlpm.auto,--($AL103=_xlpm.loser),Scorebook!K416)))</f>
      </c>
      <c r="AW103" s="5">
        <f ca="1">Scorebook!L416</f>
      </c>
      <c r="AX103" s="5" cm="1">
        <f t="array" aca="1" ref="AX103" ca="1">IF($AK103="","",_xlfn.LET(_xlpm.auto,AND(MOD(ROW()-4,6)=0,$AM103&lt;&gt;0,SUMPRODUCT(--(OFFSET($AM103,1,0,5,1)&lt;&gt;0))=0),_xlpm.oppA,_xlfn.XLOOKUP($AK103,$H$4:$H$18,$J$4:$J$18,""),_xlpm.oppRuns,IF($AL103=_xlpm.oppA,_xlfn.XLOOKUP($AK103,$H$4:$H$18,$O$4:$O$18,""),_xlfn.XLOOKUP($AK103,$H$4:$H$18,$N$4:$N$18,"")),IF(_xlpm.auto,--(_xlpm.oppRuns=0),Scorebook!M416)))</f>
      </c>
      <c r="AY103" s="5" cm="1">
        <f t="array" aca="1" ref="AY103" ca="1">IF($AK103="","",_xlfn.LET(_xlpm.auto,AND(MOD(ROW()-4,6)=0,$AM103&lt;&gt;0,SUMPRODUCT(--(OFFSET($AM103,1,0,5,1)&lt;&gt;0))=0),IF(_xlpm.auto,1,Scorebook!N416)))</f>
      </c>
      <c r="AZ103" s="10"/>
      <c r="BA103" s="10"/>
      <c r="BB103" s="5">
        <f>Settings!$B$2</f>
        <v>1</v>
      </c>
      <c r="BC103" s="5">
        <f>Betting!A105</f>
        <v>0</v>
      </c>
      <c r="BD103" s="5">
        <f>Betting!B105</f>
        <v>0</v>
      </c>
      <c r="BE103" s="5">
        <f>Betting!C105</f>
        <v>0</v>
      </c>
      <c r="BF103" s="5">
        <f>Betting!D105</f>
        <v>0</v>
      </c>
      <c r="BG103" s="5">
        <f>Betting!E105</f>
        <v>0</v>
      </c>
      <c r="BH103" s="5">
        <f>Betting!F105</f>
        <v>0</v>
      </c>
      <c r="BI103" s="4">
        <f>Betting!G105</f>
        <v>0</v>
      </c>
      <c r="BJ103" s="4">
        <f>Betting!H105</f>
        <v>0</v>
      </c>
    </row>
    <row r="104" spans="19:62">
      <c r="S104" s="4" t="str">
        <f ca="1">Scorebook!$F$247</f>
        <v>G6</v>
      </c>
      <c r="T104" s="5" t="str">
        <f ca="1">Scorebook!$R$247</f>
        <v>Donovan</v>
      </c>
      <c r="U104" s="5" t="str">
        <f ca="1">Scorebook!$B$276</f>
        <v>Waluigi</v>
      </c>
      <c r="V104" s="4">
        <v>2</v>
      </c>
      <c r="W104" s="5">
        <f ca="1">Scorebook!M276</f>
        <v>2</v>
      </c>
      <c r="X104" s="5">
        <f ca="1">Scorebook!N276</f>
        <v>0</v>
      </c>
      <c r="Y104" s="5">
        <f ca="1">Scorebook!O276</f>
        <v>0</v>
      </c>
      <c r="Z104" s="5">
        <f ca="1">Scorebook!P276</f>
        <v>0</v>
      </c>
      <c r="AA104" s="5">
        <f ca="1">Scorebook!Q276</f>
        <v>0</v>
      </c>
      <c r="AB104" s="5">
        <f ca="1">Scorebook!R276</f>
        <v>0</v>
      </c>
      <c r="AC104" s="5">
        <f ca="1">Scorebook!S276</f>
        <v>0</v>
      </c>
      <c r="AD104" s="5">
        <f ca="1">Scorebook!T276</f>
        <v>0</v>
      </c>
      <c r="AE104" s="5">
        <f ca="1">Scorebook!U276</f>
        <v>1</v>
      </c>
      <c r="AF104" s="5">
        <f ca="1">Scorebook!V276</f>
        <v>0</v>
      </c>
      <c r="AG104" s="5">
        <f ca="1">Scorebook!W276</f>
        <v>0</v>
      </c>
      <c r="AH104" s="5">
        <f ca="1">Scorebook!X276</f>
        <v>0</v>
      </c>
      <c r="AI104" s="5">
        <f>Settings!$B$2</f>
        <v>1</v>
      </c>
      <c r="AJ104" s="18">
        <f ca="1">IF($AK104="","",Scorebook!$O$417)</f>
      </c>
      <c r="AK104" s="4" t="str">
        <f ca="1">Scorebook!$F$394</f>
        <v>G9</v>
      </c>
      <c r="AL104" s="5" t="str">
        <f ca="1">Scorebook!$N$394</f>
        <v>Jason</v>
      </c>
      <c r="AM104" s="5" t="str">
        <f>Scorebook!$B$417</f>
      </c>
      <c r="AN104" s="5">
        <f ca="1">IF(Scorebook!C417="","",INT(Scorebook!C417)+MOD(ROUND(Scorebook!C417*10,0),10)/3)</f>
      </c>
      <c r="AO104" s="5" cm="1">
        <f t="array" aca="1" ref="AO104" ca="1">IF($AK104="","",_xlfn.LET(_xlpm.auto,AND(MOD(ROW()-4,6)=0,$AM104&lt;&gt;0,SUMPRODUCT(--(OFFSET($AM104,1,0,5,1)&lt;&gt;0))=0),_xlpm.oppA,_xlfn.XLOOKUP($AK104,$H$4:$H$18,$J$4:$J$18,""),_xlpm.oppB,_xlfn.XLOOKUP($AK104,$H$4:$H$18,$K$4:$K$18,""),_xlpm.opp,IF($AL104=_xlpm.oppA,_xlpm.oppB,_xlpm.oppA),IF(_xlpm.auto,SUMIFS($Y$4:$Y$273,$S$4:$S$273,$AK104,$T$4:$T$273,_xlpm.opp),Scorebook!D417)))</f>
      </c>
      <c r="AP104" s="5" cm="1">
        <f t="array" aca="1" ref="AP104" ca="1">IF($AK104="","",_xlfn.LET(_xlpm.auto,AND(MOD(ROW()-4,6)=0,$AM104&lt;&gt;0,SUMPRODUCT(--(OFFSET($AM104,1,0,5,1)&lt;&gt;0))=0),_xlpm.oppA,_xlfn.XLOOKUP($AK104,$H$4:$H$18,$J$4:$J$18,""),_xlpm.oppRuns,IF($AL104=_xlpm.oppA,_xlfn.XLOOKUP($AK104,$H$4:$H$18,$O$4:$O$18,""),_xlfn.XLOOKUP($AK104,$H$4:$H$18,$N$4:$N$18,"")),IF(_xlpm.auto,_xlpm.oppRuns,Scorebook!E417)))</f>
      </c>
      <c r="AQ104" s="5">
        <f ca="1">Scorebook!F417</f>
      </c>
      <c r="AR104" s="5" cm="1">
        <f t="array" aca="1" ref="AR104" ca="1">IF($AK104="","",_xlfn.LET(_xlpm.auto,AND(MOD(ROW()-4,6)=0,$AM104&lt;&gt;0,SUMPRODUCT(--(OFFSET($AM104,1,0,5,1)&lt;&gt;0))=0),_xlpm.oppA,_xlfn.XLOOKUP($AK104,$H$4:$H$18,$J$4:$J$18,""),_xlpm.oppB,_xlfn.XLOOKUP($AK104,$H$4:$H$18,$K$4:$K$18,""),_xlpm.opp,IF($AL104=_xlpm.oppA,_xlpm.oppB,_xlpm.oppA),IF(_xlpm.auto,SUMIFS($AD$4:$AD$273,$S$4:$S$273,$AK104,$T$4:$T$273,_xlpm.opp),Scorebook!G417)))</f>
      </c>
      <c r="AS104" s="5" cm="1">
        <f t="array" aca="1" ref="AS104" ca="1">IF($AK104="","",_xlfn.LET(_xlpm.auto,AND(MOD(ROW()-4,6)=0,$AM104&lt;&gt;0,SUMPRODUCT(--(OFFSET($AM104,1,0,5,1)&lt;&gt;0))=0),_xlpm.oppA,_xlfn.XLOOKUP($AK104,$H$4:$H$18,$J$4:$J$18,""),_xlpm.oppB,_xlfn.XLOOKUP($AK104,$H$4:$H$18,$K$4:$K$18,""),_xlpm.opp,IF($AL104=_xlpm.oppA,_xlpm.oppB,_xlpm.oppA),IF(_xlpm.auto,SUMIFS($AE$4:$AE$273,$S$4:$S$273,$AK104,$T$4:$T$273,_xlpm.opp),Scorebook!H417)))</f>
      </c>
      <c r="AT104" s="5" cm="1">
        <f t="array" aca="1" ref="AT104" ca="1">IF($AK104="","",_xlfn.LET(_xlpm.auto,AND(MOD(ROW()-4,6)=0,$AM104&lt;&gt;0,SUMPRODUCT(--(OFFSET($AM104,1,0,5,1)&lt;&gt;0))=0),_xlpm.oppA,_xlfn.XLOOKUP($AK104,$H$4:$H$18,$J$4:$J$18,""),_xlpm.oppB,_xlfn.XLOOKUP($AK104,$H$4:$H$18,$K$4:$K$18,""),_xlpm.opp,IF($AL104=_xlpm.oppA,_xlpm.oppB,_xlpm.oppA),IF(_xlpm.auto,SUMIFS($AB$4:$AB$273,$S$4:$S$273,$AK104,$T$4:$T$273,_xlpm.opp),Scorebook!I417)))</f>
      </c>
      <c r="AU104" s="5" cm="1">
        <f t="array" aca="1" ref="AU104" ca="1">IF($AK104="","",_xlfn.LET(_xlpm.auto,AND(MOD(ROW()-4,6)=0,$AM104&lt;&gt;0,SUMPRODUCT(--(OFFSET($AM104,1,0,5,1)&lt;&gt;0))=0),_xlpm.winner,_xlfn.XLOOKUP($AK104,$H$4:$H$18,$L$4:$L$18,""),IF(_xlpm.auto,--($AL104=_xlpm.winner),Scorebook!J417)))</f>
      </c>
      <c r="AV104" s="5" cm="1">
        <f t="array" aca="1" ref="AV104" ca="1">IF($AK104="","",_xlfn.LET(_xlpm.auto,AND(MOD(ROW()-4,6)=0,$AM104&lt;&gt;0,SUMPRODUCT(--(OFFSET($AM104,1,0,5,1)&lt;&gt;0))=0),_xlpm.loser,_xlfn.XLOOKUP($AK104,$H$4:$H$18,$M$4:$M$18,""),IF(_xlpm.auto,--($AL104=_xlpm.loser),Scorebook!K417)))</f>
      </c>
      <c r="AW104" s="5">
        <f ca="1">Scorebook!L417</f>
      </c>
      <c r="AX104" s="5" cm="1">
        <f t="array" aca="1" ref="AX104" ca="1">IF($AK104="","",_xlfn.LET(_xlpm.auto,AND(MOD(ROW()-4,6)=0,$AM104&lt;&gt;0,SUMPRODUCT(--(OFFSET($AM104,1,0,5,1)&lt;&gt;0))=0),_xlpm.oppA,_xlfn.XLOOKUP($AK104,$H$4:$H$18,$J$4:$J$18,""),_xlpm.oppRuns,IF($AL104=_xlpm.oppA,_xlfn.XLOOKUP($AK104,$H$4:$H$18,$O$4:$O$18,""),_xlfn.XLOOKUP($AK104,$H$4:$H$18,$N$4:$N$18,"")),IF(_xlpm.auto,--(_xlpm.oppRuns=0),Scorebook!M417)))</f>
      </c>
      <c r="AY104" s="5" cm="1">
        <f t="array" aca="1" ref="AY104" ca="1">IF($AK104="","",_xlfn.LET(_xlpm.auto,AND(MOD(ROW()-4,6)=0,$AM104&lt;&gt;0,SUMPRODUCT(--(OFFSET($AM104,1,0,5,1)&lt;&gt;0))=0),IF(_xlpm.auto,1,Scorebook!N417)))</f>
      </c>
      <c r="AZ104" s="5">
        <f>Settings!$B$2</f>
        <v>1</v>
      </c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</row>
    <row r="105" spans="19:62">
      <c r="S105" s="4" t="str">
        <f ca="1">Scorebook!$F$247</f>
        <v>G6</v>
      </c>
      <c r="T105" s="5" t="str">
        <f ca="1">Scorebook!$R$247</f>
        <v>Donovan</v>
      </c>
      <c r="U105" s="5" t="str">
        <f ca="1">Scorebook!$B$277</f>
        <v>Dry Bones</v>
      </c>
      <c r="V105" s="4">
        <v>3</v>
      </c>
      <c r="W105" s="5">
        <f ca="1">Scorebook!M277</f>
        <v>2</v>
      </c>
      <c r="X105" s="5">
        <f ca="1">Scorebook!N277</f>
        <v>2</v>
      </c>
      <c r="Y105" s="5">
        <f ca="1">Scorebook!O277</f>
        <v>2</v>
      </c>
      <c r="Z105" s="5">
        <f ca="1">Scorebook!P277</f>
        <v>0</v>
      </c>
      <c r="AA105" s="5">
        <f ca="1">Scorebook!Q277</f>
        <v>0</v>
      </c>
      <c r="AB105" s="5">
        <f ca="1">Scorebook!R277</f>
        <v>2</v>
      </c>
      <c r="AC105" s="5">
        <f ca="1">Scorebook!S277</f>
        <v>4</v>
      </c>
      <c r="AD105" s="5">
        <f ca="1">Scorebook!T277</f>
        <v>0</v>
      </c>
      <c r="AE105" s="5">
        <f ca="1">Scorebook!U277</f>
        <v>0</v>
      </c>
      <c r="AF105" s="5">
        <f ca="1">Scorebook!V277</f>
        <v>0</v>
      </c>
      <c r="AG105" s="5">
        <f ca="1">Scorebook!W277</f>
        <v>0</v>
      </c>
      <c r="AH105" s="5">
        <f ca="1">Scorebook!X277</f>
        <v>0</v>
      </c>
      <c r="AI105" s="5">
        <f>Settings!$B$2</f>
        <v>1</v>
      </c>
      <c r="AJ105" s="18">
        <f ca="1">IF($AK105="","",Scorebook!$O$418)</f>
      </c>
      <c r="AK105" s="4" t="str">
        <f ca="1">Scorebook!$F$394</f>
        <v>G9</v>
      </c>
      <c r="AL105" s="5" t="str">
        <f ca="1">Scorebook!$N$394</f>
        <v>Jason</v>
      </c>
      <c r="AM105" s="5" t="str">
        <f>Scorebook!$B$418</f>
      </c>
      <c r="AN105" s="5">
        <f ca="1">IF(Scorebook!C418="","",INT(Scorebook!C418)+MOD(ROUND(Scorebook!C418*10,0),10)/3)</f>
      </c>
      <c r="AO105" s="5" cm="1">
        <f t="array" aca="1" ref="AO105" ca="1">IF($AK105="","",_xlfn.LET(_xlpm.auto,AND(MOD(ROW()-4,6)=0,$AM105&lt;&gt;0,SUMPRODUCT(--(OFFSET($AM105,1,0,5,1)&lt;&gt;0))=0),_xlpm.oppA,_xlfn.XLOOKUP($AK105,$H$4:$H$18,$J$4:$J$18,""),_xlpm.oppB,_xlfn.XLOOKUP($AK105,$H$4:$H$18,$K$4:$K$18,""),_xlpm.opp,IF($AL105=_xlpm.oppA,_xlpm.oppB,_xlpm.oppA),IF(_xlpm.auto,SUMIFS($Y$4:$Y$273,$S$4:$S$273,$AK105,$T$4:$T$273,_xlpm.opp),Scorebook!D418)))</f>
      </c>
      <c r="AP105" s="5" cm="1">
        <f t="array" aca="1" ref="AP105" ca="1">IF($AK105="","",_xlfn.LET(_xlpm.auto,AND(MOD(ROW()-4,6)=0,$AM105&lt;&gt;0,SUMPRODUCT(--(OFFSET($AM105,1,0,5,1)&lt;&gt;0))=0),_xlpm.oppA,_xlfn.XLOOKUP($AK105,$H$4:$H$18,$J$4:$J$18,""),_xlpm.oppRuns,IF($AL105=_xlpm.oppA,_xlfn.XLOOKUP($AK105,$H$4:$H$18,$O$4:$O$18,""),_xlfn.XLOOKUP($AK105,$H$4:$H$18,$N$4:$N$18,"")),IF(_xlpm.auto,_xlpm.oppRuns,Scorebook!E418)))</f>
      </c>
      <c r="AQ105" s="5">
        <f ca="1">Scorebook!F418</f>
      </c>
      <c r="AR105" s="5" cm="1">
        <f t="array" aca="1" ref="AR105" ca="1">IF($AK105="","",_xlfn.LET(_xlpm.auto,AND(MOD(ROW()-4,6)=0,$AM105&lt;&gt;0,SUMPRODUCT(--(OFFSET($AM105,1,0,5,1)&lt;&gt;0))=0),_xlpm.oppA,_xlfn.XLOOKUP($AK105,$H$4:$H$18,$J$4:$J$18,""),_xlpm.oppB,_xlfn.XLOOKUP($AK105,$H$4:$H$18,$K$4:$K$18,""),_xlpm.opp,IF($AL105=_xlpm.oppA,_xlpm.oppB,_xlpm.oppA),IF(_xlpm.auto,SUMIFS($AD$4:$AD$273,$S$4:$S$273,$AK105,$T$4:$T$273,_xlpm.opp),Scorebook!G418)))</f>
      </c>
      <c r="AS105" s="5" cm="1">
        <f t="array" aca="1" ref="AS105" ca="1">IF($AK105="","",_xlfn.LET(_xlpm.auto,AND(MOD(ROW()-4,6)=0,$AM105&lt;&gt;0,SUMPRODUCT(--(OFFSET($AM105,1,0,5,1)&lt;&gt;0))=0),_xlpm.oppA,_xlfn.XLOOKUP($AK105,$H$4:$H$18,$J$4:$J$18,""),_xlpm.oppB,_xlfn.XLOOKUP($AK105,$H$4:$H$18,$K$4:$K$18,""),_xlpm.opp,IF($AL105=_xlpm.oppA,_xlpm.oppB,_xlpm.oppA),IF(_xlpm.auto,SUMIFS($AE$4:$AE$273,$S$4:$S$273,$AK105,$T$4:$T$273,_xlpm.opp),Scorebook!H418)))</f>
      </c>
      <c r="AT105" s="5" cm="1">
        <f t="array" aca="1" ref="AT105" ca="1">IF($AK105="","",_xlfn.LET(_xlpm.auto,AND(MOD(ROW()-4,6)=0,$AM105&lt;&gt;0,SUMPRODUCT(--(OFFSET($AM105,1,0,5,1)&lt;&gt;0))=0),_xlpm.oppA,_xlfn.XLOOKUP($AK105,$H$4:$H$18,$J$4:$J$18,""),_xlpm.oppB,_xlfn.XLOOKUP($AK105,$H$4:$H$18,$K$4:$K$18,""),_xlpm.opp,IF($AL105=_xlpm.oppA,_xlpm.oppB,_xlpm.oppA),IF(_xlpm.auto,SUMIFS($AB$4:$AB$273,$S$4:$S$273,$AK105,$T$4:$T$273,_xlpm.opp),Scorebook!I418)))</f>
      </c>
      <c r="AU105" s="5" cm="1">
        <f t="array" aca="1" ref="AU105" ca="1">IF($AK105="","",_xlfn.LET(_xlpm.auto,AND(MOD(ROW()-4,6)=0,$AM105&lt;&gt;0,SUMPRODUCT(--(OFFSET($AM105,1,0,5,1)&lt;&gt;0))=0),_xlpm.winner,_xlfn.XLOOKUP($AK105,$H$4:$H$18,$L$4:$L$18,""),IF(_xlpm.auto,--($AL105=_xlpm.winner),Scorebook!J418)))</f>
      </c>
      <c r="AV105" s="5" cm="1">
        <f t="array" aca="1" ref="AV105" ca="1">IF($AK105="","",_xlfn.LET(_xlpm.auto,AND(MOD(ROW()-4,6)=0,$AM105&lt;&gt;0,SUMPRODUCT(--(OFFSET($AM105,1,0,5,1)&lt;&gt;0))=0),_xlpm.loser,_xlfn.XLOOKUP($AK105,$H$4:$H$18,$M$4:$M$18,""),IF(_xlpm.auto,--($AL105=_xlpm.loser),Scorebook!K418)))</f>
      </c>
      <c r="AW105" s="5">
        <f ca="1">Scorebook!L418</f>
      </c>
      <c r="AX105" s="5" cm="1">
        <f t="array" aca="1" ref="AX105" ca="1">IF($AK105="","",_xlfn.LET(_xlpm.auto,AND(MOD(ROW()-4,6)=0,$AM105&lt;&gt;0,SUMPRODUCT(--(OFFSET($AM105,1,0,5,1)&lt;&gt;0))=0),_xlpm.oppA,_xlfn.XLOOKUP($AK105,$H$4:$H$18,$J$4:$J$18,""),_xlpm.oppRuns,IF($AL105=_xlpm.oppA,_xlfn.XLOOKUP($AK105,$H$4:$H$18,$O$4:$O$18,""),_xlfn.XLOOKUP($AK105,$H$4:$H$18,$N$4:$N$18,"")),IF(_xlpm.auto,--(_xlpm.oppRuns=0),Scorebook!M418)))</f>
      </c>
      <c r="AY105" s="5" cm="1">
        <f t="array" aca="1" ref="AY105" ca="1">IF($AK105="","",_xlfn.LET(_xlpm.auto,AND(MOD(ROW()-4,6)=0,$AM105&lt;&gt;0,SUMPRODUCT(--(OFFSET($AM105,1,0,5,1)&lt;&gt;0))=0),IF(_xlpm.auto,1,Scorebook!N418)))</f>
      </c>
      <c r="AZ105" s="5">
        <f>Settings!$B$2</f>
        <v>1</v>
      </c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</row>
    <row r="106" spans="19:62">
      <c r="S106" s="4" t="str">
        <f ca="1">Scorebook!$F$247</f>
        <v>G6</v>
      </c>
      <c r="T106" s="5" t="str">
        <f ca="1">Scorebook!$R$247</f>
        <v>Donovan</v>
      </c>
      <c r="U106" s="5" t="str">
        <f ca="1">Scorebook!$B$278</f>
        <v>Diddy Kong</v>
      </c>
      <c r="V106" s="4">
        <v>4</v>
      </c>
      <c r="W106" s="5">
        <f ca="1">Scorebook!M278</f>
        <v>2</v>
      </c>
      <c r="X106" s="5">
        <f ca="1">Scorebook!N278</f>
        <v>0</v>
      </c>
      <c r="Y106" s="5">
        <f ca="1">Scorebook!O278</f>
        <v>0</v>
      </c>
      <c r="Z106" s="5">
        <f ca="1">Scorebook!P278</f>
        <v>0</v>
      </c>
      <c r="AA106" s="5">
        <f ca="1">Scorebook!Q278</f>
        <v>0</v>
      </c>
      <c r="AB106" s="5">
        <f ca="1">Scorebook!R278</f>
        <v>0</v>
      </c>
      <c r="AC106" s="5">
        <f ca="1">Scorebook!S278</f>
        <v>0</v>
      </c>
      <c r="AD106" s="5">
        <f ca="1">Scorebook!T278</f>
        <v>0</v>
      </c>
      <c r="AE106" s="5">
        <f ca="1">Scorebook!U278</f>
        <v>1</v>
      </c>
      <c r="AF106" s="5">
        <f ca="1">Scorebook!V278</f>
        <v>0</v>
      </c>
      <c r="AG106" s="5">
        <f ca="1">Scorebook!W278</f>
        <v>0</v>
      </c>
      <c r="AH106" s="5">
        <f ca="1">Scorebook!X278</f>
        <v>0</v>
      </c>
      <c r="AI106" s="5">
        <f>Settings!$B$2</f>
        <v>1</v>
      </c>
      <c r="AJ106" s="18">
        <f ca="1">IF($AK106="","",Scorebook!$O$434)</f>
        <v>10</v>
      </c>
      <c r="AK106" s="4" t="str">
        <f ca="1">Scorebook!$F$394</f>
        <v>G9</v>
      </c>
      <c r="AL106" s="5" t="str">
        <f ca="1">Scorebook!$R$394</f>
        <v>May</v>
      </c>
      <c r="AM106" s="5" t="str">
        <f ca="1">Scorebook!$B$434</f>
        <v>King Boo</v>
      </c>
      <c r="AN106" s="5">
        <f ca="1">IF(Scorebook!C434="","",INT(Scorebook!C434)+MOD(ROUND(Scorebook!C434*10,0),10)/3)</f>
        <v>2.0</v>
      </c>
      <c r="AO106" s="5" cm="1">
        <f t="array" aca="1" ref="AO106" ca="1">IF($AK106="","",_xlfn.LET(_xlpm.auto,AND(MOD(ROW()-4,6)=0,$AM106&lt;&gt;0,SUMPRODUCT(--(OFFSET($AM106,1,0,5,1)&lt;&gt;0))=0),_xlpm.oppA,_xlfn.XLOOKUP($AK106,$H$4:$H$18,$J$4:$J$18,""),_xlpm.oppB,_xlfn.XLOOKUP($AK106,$H$4:$H$18,$K$4:$K$18,""),_xlpm.opp,IF($AL106=_xlpm.oppA,_xlpm.oppB,_xlpm.oppA),IF(_xlpm.auto,SUMIFS($Y$4:$Y$273,$S$4:$S$273,$AK106,$T$4:$T$273,_xlpm.opp),Scorebook!D434)))</f>
        <v>5</v>
      </c>
      <c r="AP106" s="5" cm="1">
        <f t="array" aca="1" ref="AP106" ca="1">IF($AK106="","",_xlfn.LET(_xlpm.auto,AND(MOD(ROW()-4,6)=0,$AM106&lt;&gt;0,SUMPRODUCT(--(OFFSET($AM106,1,0,5,1)&lt;&gt;0))=0),_xlpm.oppA,_xlfn.XLOOKUP($AK106,$H$4:$H$18,$J$4:$J$18,""),_xlpm.oppRuns,IF($AL106=_xlpm.oppA,_xlfn.XLOOKUP($AK106,$H$4:$H$18,$O$4:$O$18,""),_xlfn.XLOOKUP($AK106,$H$4:$H$18,$N$4:$N$18,"")),IF(_xlpm.auto,_xlpm.oppRuns,Scorebook!E434)))</f>
        <v>0</v>
      </c>
      <c r="AQ106" s="5">
        <f ca="1">Scorebook!F434</f>
        <v>0</v>
      </c>
      <c r="AR106" s="5" cm="1">
        <f t="array" aca="1" ref="AR106" ca="1">IF($AK106="","",_xlfn.LET(_xlpm.auto,AND(MOD(ROW()-4,6)=0,$AM106&lt;&gt;0,SUMPRODUCT(--(OFFSET($AM106,1,0,5,1)&lt;&gt;0))=0),_xlpm.oppA,_xlfn.XLOOKUP($AK106,$H$4:$H$18,$J$4:$J$18,""),_xlpm.oppB,_xlfn.XLOOKUP($AK106,$H$4:$H$18,$K$4:$K$18,""),_xlpm.opp,IF($AL106=_xlpm.oppA,_xlpm.oppB,_xlpm.oppA),IF(_xlpm.auto,SUMIFS($AD$4:$AD$273,$S$4:$S$273,$AK106,$T$4:$T$273,_xlpm.opp),Scorebook!G434)))</f>
        <v>0</v>
      </c>
      <c r="AS106" s="5" cm="1">
        <f t="array" aca="1" ref="AS106" ca="1">IF($AK106="","",_xlfn.LET(_xlpm.auto,AND(MOD(ROW()-4,6)=0,$AM106&lt;&gt;0,SUMPRODUCT(--(OFFSET($AM106,1,0,5,1)&lt;&gt;0))=0),_xlpm.oppA,_xlfn.XLOOKUP($AK106,$H$4:$H$18,$J$4:$J$18,""),_xlpm.oppB,_xlfn.XLOOKUP($AK106,$H$4:$H$18,$K$4:$K$18,""),_xlpm.opp,IF($AL106=_xlpm.oppA,_xlpm.oppB,_xlpm.oppA),IF(_xlpm.auto,SUMIFS($AE$4:$AE$273,$S$4:$S$273,$AK106,$T$4:$T$273,_xlpm.opp),Scorebook!H434)))</f>
        <v>1</v>
      </c>
      <c r="AT106" s="5" cm="1">
        <f t="array" aca="1" ref="AT106" ca="1">IF($AK106="","",_xlfn.LET(_xlpm.auto,AND(MOD(ROW()-4,6)=0,$AM106&lt;&gt;0,SUMPRODUCT(--(OFFSET($AM106,1,0,5,1)&lt;&gt;0))=0),_xlpm.oppA,_xlfn.XLOOKUP($AK106,$H$4:$H$18,$J$4:$J$18,""),_xlpm.oppB,_xlfn.XLOOKUP($AK106,$H$4:$H$18,$K$4:$K$18,""),_xlpm.opp,IF($AL106=_xlpm.oppA,_xlpm.oppB,_xlpm.oppA),IF(_xlpm.auto,SUMIFS($AB$4:$AB$273,$S$4:$S$273,$AK106,$T$4:$T$273,_xlpm.opp),Scorebook!I434)))</f>
        <v>0</v>
      </c>
      <c r="AU106" s="5" cm="1">
        <f t="array" aca="1" ref="AU106" ca="1">IF($AK106="","",_xlfn.LET(_xlpm.auto,AND(MOD(ROW()-4,6)=0,$AM106&lt;&gt;0,SUMPRODUCT(--(OFFSET($AM106,1,0,5,1)&lt;&gt;0))=0),_xlpm.winner,_xlfn.XLOOKUP($AK106,$H$4:$H$18,$L$4:$L$18,""),IF(_xlpm.auto,--($AL106=_xlpm.winner),Scorebook!J434)))</f>
        <v>0</v>
      </c>
      <c r="AV106" s="5" cm="1">
        <f t="array" aca="1" ref="AV106" ca="1">IF($AK106="","",_xlfn.LET(_xlpm.auto,AND(MOD(ROW()-4,6)=0,$AM106&lt;&gt;0,SUMPRODUCT(--(OFFSET($AM106,1,0,5,1)&lt;&gt;0))=0),_xlpm.loser,_xlfn.XLOOKUP($AK106,$H$4:$H$18,$M$4:$M$18,""),IF(_xlpm.auto,--($AL106=_xlpm.loser),Scorebook!K434)))</f>
        <v>1</v>
      </c>
      <c r="AW106" s="5">
        <f ca="1">Scorebook!L434</f>
        <v>0</v>
      </c>
      <c r="AX106" s="5" cm="1">
        <f t="array" aca="1" ref="AX106" ca="1">IF($AK106="","",_xlfn.LET(_xlpm.auto,AND(MOD(ROW()-4,6)=0,$AM106&lt;&gt;0,SUMPRODUCT(--(OFFSET($AM106,1,0,5,1)&lt;&gt;0))=0),_xlpm.oppA,_xlfn.XLOOKUP($AK106,$H$4:$H$18,$J$4:$J$18,""),_xlpm.oppRuns,IF($AL106=_xlpm.oppA,_xlfn.XLOOKUP($AK106,$H$4:$H$18,$O$4:$O$18,""),_xlfn.XLOOKUP($AK106,$H$4:$H$18,$N$4:$N$18,"")),IF(_xlpm.auto,--(_xlpm.oppRuns=0),Scorebook!M434)))</f>
        <v>0</v>
      </c>
      <c r="AY106" s="5" cm="1">
        <f t="array" aca="1" ref="AY106" ca="1">IF($AK106="","",_xlfn.LET(_xlpm.auto,AND(MOD(ROW()-4,6)=0,$AM106&lt;&gt;0,SUMPRODUCT(--(OFFSET($AM106,1,0,5,1)&lt;&gt;0))=0),IF(_xlpm.auto,1,Scorebook!N434)))</f>
        <v>1</v>
      </c>
      <c r="AZ106" s="5">
        <f>Settings!$B$2</f>
        <v>1</v>
      </c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</row>
    <row r="107" spans="19:62">
      <c r="S107" s="4" t="str">
        <f ca="1">Scorebook!$F$247</f>
        <v>G6</v>
      </c>
      <c r="T107" s="5" t="str">
        <f ca="1">Scorebook!$R$247</f>
        <v>Donovan</v>
      </c>
      <c r="U107" s="5" t="str">
        <f ca="1">Scorebook!$B$279</f>
        <v>Fire Bro</v>
      </c>
      <c r="V107" s="4">
        <v>5</v>
      </c>
      <c r="W107" s="5">
        <f ca="1">Scorebook!M279</f>
        <v>1</v>
      </c>
      <c r="X107" s="5">
        <f ca="1">Scorebook!N279</f>
        <v>0</v>
      </c>
      <c r="Y107" s="5">
        <f ca="1">Scorebook!O279</f>
        <v>0</v>
      </c>
      <c r="Z107" s="5">
        <f ca="1">Scorebook!P279</f>
        <v>0</v>
      </c>
      <c r="AA107" s="5">
        <f ca="1">Scorebook!Q279</f>
        <v>0</v>
      </c>
      <c r="AB107" s="5">
        <f ca="1">Scorebook!R279</f>
        <v>0</v>
      </c>
      <c r="AC107" s="5">
        <f ca="1">Scorebook!S279</f>
        <v>0</v>
      </c>
      <c r="AD107" s="5">
        <f ca="1">Scorebook!T279</f>
        <v>0</v>
      </c>
      <c r="AE107" s="5">
        <f ca="1">Scorebook!U279</f>
        <v>1</v>
      </c>
      <c r="AF107" s="5">
        <f ca="1">Scorebook!V279</f>
        <v>0</v>
      </c>
      <c r="AG107" s="5">
        <f ca="1">Scorebook!W279</f>
        <v>0</v>
      </c>
      <c r="AH107" s="5">
        <f ca="1">Scorebook!X279</f>
        <v>0</v>
      </c>
      <c r="AI107" s="5">
        <f>Settings!$B$2</f>
        <v>1</v>
      </c>
      <c r="AJ107" s="18">
        <f ca="1">IF($AK107="","",Scorebook!$O$435)</f>
        <v>0</v>
      </c>
      <c r="AK107" s="4" t="str">
        <f ca="1">Scorebook!$F$394</f>
        <v>G9</v>
      </c>
      <c r="AL107" s="5" t="str">
        <f ca="1">Scorebook!$R$394</f>
        <v>May</v>
      </c>
      <c r="AM107" s="5" t="str">
        <f ca="1">Scorebook!$B$435</f>
        <v>Baby Peach</v>
      </c>
      <c r="AN107" s="5">
        <f ca="1">IF(Scorebook!C435="","",INT(Scorebook!C435)+MOD(ROUND(Scorebook!C435*10,0),10)/3)</f>
      </c>
      <c r="AO107" s="5" cm="1">
        <f t="array" aca="1" ref="AO107" ca="1">IF($AK107="","",_xlfn.LET(_xlpm.auto,AND(MOD(ROW()-4,6)=0,$AM107&lt;&gt;0,SUMPRODUCT(--(OFFSET($AM107,1,0,5,1)&lt;&gt;0))=0),_xlpm.oppA,_xlfn.XLOOKUP($AK107,$H$4:$H$18,$J$4:$J$18,""),_xlpm.oppB,_xlfn.XLOOKUP($AK107,$H$4:$H$18,$K$4:$K$18,""),_xlpm.opp,IF($AL107=_xlpm.oppA,_xlpm.oppB,_xlpm.oppA),IF(_xlpm.auto,SUMIFS($Y$4:$Y$273,$S$4:$S$273,$AK107,$T$4:$T$273,_xlpm.opp),Scorebook!D435)))</f>
        <v>0</v>
      </c>
      <c r="AP107" s="5" cm="1">
        <f t="array" aca="1" ref="AP107" ca="1">IF($AK107="","",_xlfn.LET(_xlpm.auto,AND(MOD(ROW()-4,6)=0,$AM107&lt;&gt;0,SUMPRODUCT(--(OFFSET($AM107,1,0,5,1)&lt;&gt;0))=0),_xlpm.oppA,_xlfn.XLOOKUP($AK107,$H$4:$H$18,$J$4:$J$18,""),_xlpm.oppRuns,IF($AL107=_xlpm.oppA,_xlfn.XLOOKUP($AK107,$H$4:$H$18,$O$4:$O$18,""),_xlfn.XLOOKUP($AK107,$H$4:$H$18,$N$4:$N$18,"")),IF(_xlpm.auto,_xlpm.oppRuns,Scorebook!E435)))</f>
        <v>0</v>
      </c>
      <c r="AQ107" s="5">
        <f ca="1">Scorebook!F435</f>
        <v>0</v>
      </c>
      <c r="AR107" s="5" cm="1">
        <f t="array" aca="1" ref="AR107" ca="1">IF($AK107="","",_xlfn.LET(_xlpm.auto,AND(MOD(ROW()-4,6)=0,$AM107&lt;&gt;0,SUMPRODUCT(--(OFFSET($AM107,1,0,5,1)&lt;&gt;0))=0),_xlpm.oppA,_xlfn.XLOOKUP($AK107,$H$4:$H$18,$J$4:$J$18,""),_xlpm.oppB,_xlfn.XLOOKUP($AK107,$H$4:$H$18,$K$4:$K$18,""),_xlpm.opp,IF($AL107=_xlpm.oppA,_xlpm.oppB,_xlpm.oppA),IF(_xlpm.auto,SUMIFS($AD$4:$AD$273,$S$4:$S$273,$AK107,$T$4:$T$273,_xlpm.opp),Scorebook!G435)))</f>
        <v>0</v>
      </c>
      <c r="AS107" s="5" cm="1">
        <f t="array" aca="1" ref="AS107" ca="1">IF($AK107="","",_xlfn.LET(_xlpm.auto,AND(MOD(ROW()-4,6)=0,$AM107&lt;&gt;0,SUMPRODUCT(--(OFFSET($AM107,1,0,5,1)&lt;&gt;0))=0),_xlpm.oppA,_xlfn.XLOOKUP($AK107,$H$4:$H$18,$J$4:$J$18,""),_xlpm.oppB,_xlfn.XLOOKUP($AK107,$H$4:$H$18,$K$4:$K$18,""),_xlpm.opp,IF($AL107=_xlpm.oppA,_xlpm.oppB,_xlpm.oppA),IF(_xlpm.auto,SUMIFS($AE$4:$AE$273,$S$4:$S$273,$AK107,$T$4:$T$273,_xlpm.opp),Scorebook!H435)))</f>
        <v>0</v>
      </c>
      <c r="AT107" s="5" cm="1">
        <f t="array" aca="1" ref="AT107" ca="1">IF($AK107="","",_xlfn.LET(_xlpm.auto,AND(MOD(ROW()-4,6)=0,$AM107&lt;&gt;0,SUMPRODUCT(--(OFFSET($AM107,1,0,5,1)&lt;&gt;0))=0),_xlpm.oppA,_xlfn.XLOOKUP($AK107,$H$4:$H$18,$J$4:$J$18,""),_xlpm.oppB,_xlfn.XLOOKUP($AK107,$H$4:$H$18,$K$4:$K$18,""),_xlpm.opp,IF($AL107=_xlpm.oppA,_xlpm.oppB,_xlpm.oppA),IF(_xlpm.auto,SUMIFS($AB$4:$AB$273,$S$4:$S$273,$AK107,$T$4:$T$273,_xlpm.opp),Scorebook!I435)))</f>
        <v>0</v>
      </c>
      <c r="AU107" s="5" cm="1">
        <f t="array" aca="1" ref="AU107" ca="1">IF($AK107="","",_xlfn.LET(_xlpm.auto,AND(MOD(ROW()-4,6)=0,$AM107&lt;&gt;0,SUMPRODUCT(--(OFFSET($AM107,1,0,5,1)&lt;&gt;0))=0),_xlpm.winner,_xlfn.XLOOKUP($AK107,$H$4:$H$18,$L$4:$L$18,""),IF(_xlpm.auto,--($AL107=_xlpm.winner),Scorebook!J435)))</f>
        <v>0</v>
      </c>
      <c r="AV107" s="5" cm="1">
        <f t="array" aca="1" ref="AV107" ca="1">IF($AK107="","",_xlfn.LET(_xlpm.auto,AND(MOD(ROW()-4,6)=0,$AM107&lt;&gt;0,SUMPRODUCT(--(OFFSET($AM107,1,0,5,1)&lt;&gt;0))=0),_xlpm.loser,_xlfn.XLOOKUP($AK107,$H$4:$H$18,$M$4:$M$18,""),IF(_xlpm.auto,--($AL107=_xlpm.loser),Scorebook!K435)))</f>
        <v>0</v>
      </c>
      <c r="AW107" s="5">
        <f ca="1">Scorebook!L435</f>
        <v>0</v>
      </c>
      <c r="AX107" s="5" cm="1">
        <f t="array" aca="1" ref="AX107" ca="1">IF($AK107="","",_xlfn.LET(_xlpm.auto,AND(MOD(ROW()-4,6)=0,$AM107&lt;&gt;0,SUMPRODUCT(--(OFFSET($AM107,1,0,5,1)&lt;&gt;0))=0),_xlpm.oppA,_xlfn.XLOOKUP($AK107,$H$4:$H$18,$J$4:$J$18,""),_xlpm.oppRuns,IF($AL107=_xlpm.oppA,_xlfn.XLOOKUP($AK107,$H$4:$H$18,$O$4:$O$18,""),_xlfn.XLOOKUP($AK107,$H$4:$H$18,$N$4:$N$18,"")),IF(_xlpm.auto,--(_xlpm.oppRuns=0),Scorebook!M435)))</f>
        <v>0</v>
      </c>
      <c r="AY107" s="5" cm="1">
        <f t="array" aca="1" ref="AY107" ca="1">IF($AK107="","",_xlfn.LET(_xlpm.auto,AND(MOD(ROW()-4,6)=0,$AM107&lt;&gt;0,SUMPRODUCT(--(OFFSET($AM107,1,0,5,1)&lt;&gt;0))=0),IF(_xlpm.auto,1,Scorebook!N435)))</f>
        <v>0</v>
      </c>
      <c r="AZ107" s="5">
        <f>Settings!$B$2</f>
        <v>1</v>
      </c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</row>
    <row r="108" spans="19:62">
      <c r="S108" s="4" t="str">
        <f ca="1">Scorebook!$F$247</f>
        <v>G6</v>
      </c>
      <c r="T108" s="5" t="str">
        <f ca="1">Scorebook!$R$247</f>
        <v>Donovan</v>
      </c>
      <c r="U108" s="5" t="str">
        <f ca="1">Scorebook!$B$280</f>
        <v>Tiny Kong</v>
      </c>
      <c r="V108" s="4">
        <v>6</v>
      </c>
      <c r="W108" s="5">
        <f ca="1">Scorebook!M280</f>
        <v>1</v>
      </c>
      <c r="X108" s="5">
        <f ca="1">Scorebook!N280</f>
        <v>0</v>
      </c>
      <c r="Y108" s="5">
        <f ca="1">Scorebook!O280</f>
        <v>0</v>
      </c>
      <c r="Z108" s="5">
        <f ca="1">Scorebook!P280</f>
        <v>0</v>
      </c>
      <c r="AA108" s="5">
        <f ca="1">Scorebook!Q280</f>
        <v>0</v>
      </c>
      <c r="AB108" s="5">
        <f ca="1">Scorebook!R280</f>
        <v>0</v>
      </c>
      <c r="AC108" s="5">
        <f ca="1">Scorebook!S280</f>
        <v>0</v>
      </c>
      <c r="AD108" s="5">
        <f ca="1">Scorebook!T280</f>
        <v>0</v>
      </c>
      <c r="AE108" s="5">
        <f ca="1">Scorebook!U280</f>
        <v>1</v>
      </c>
      <c r="AF108" s="5">
        <f ca="1">Scorebook!V280</f>
        <v>0</v>
      </c>
      <c r="AG108" s="5">
        <f ca="1">Scorebook!W280</f>
        <v>0</v>
      </c>
      <c r="AH108" s="5">
        <f ca="1">Scorebook!X280</f>
        <v>0</v>
      </c>
      <c r="AI108" s="5">
        <f>Settings!$B$2</f>
        <v>1</v>
      </c>
      <c r="AJ108" s="18">
        <f ca="1">IF($AK108="","",Scorebook!$O$436)</f>
      </c>
      <c r="AK108" s="4" t="str">
        <f ca="1">Scorebook!$F$394</f>
        <v>G9</v>
      </c>
      <c r="AL108" s="5" t="str">
        <f ca="1">Scorebook!$R$394</f>
        <v>May</v>
      </c>
      <c r="AM108" s="5" t="str">
        <f>Scorebook!$B$436</f>
      </c>
      <c r="AN108" s="5">
        <f ca="1">IF(Scorebook!C436="","",INT(Scorebook!C436)+MOD(ROUND(Scorebook!C436*10,0),10)/3)</f>
      </c>
      <c r="AO108" s="5" cm="1">
        <f t="array" aca="1" ref="AO108" ca="1">IF($AK108="","",_xlfn.LET(_xlpm.auto,AND(MOD(ROW()-4,6)=0,$AM108&lt;&gt;0,SUMPRODUCT(--(OFFSET($AM108,1,0,5,1)&lt;&gt;0))=0),_xlpm.oppA,_xlfn.XLOOKUP($AK108,$H$4:$H$18,$J$4:$J$18,""),_xlpm.oppB,_xlfn.XLOOKUP($AK108,$H$4:$H$18,$K$4:$K$18,""),_xlpm.opp,IF($AL108=_xlpm.oppA,_xlpm.oppB,_xlpm.oppA),IF(_xlpm.auto,SUMIFS($Y$4:$Y$273,$S$4:$S$273,$AK108,$T$4:$T$273,_xlpm.opp),Scorebook!D436)))</f>
      </c>
      <c r="AP108" s="5" cm="1">
        <f t="array" aca="1" ref="AP108" ca="1">IF($AK108="","",_xlfn.LET(_xlpm.auto,AND(MOD(ROW()-4,6)=0,$AM108&lt;&gt;0,SUMPRODUCT(--(OFFSET($AM108,1,0,5,1)&lt;&gt;0))=0),_xlpm.oppA,_xlfn.XLOOKUP($AK108,$H$4:$H$18,$J$4:$J$18,""),_xlpm.oppRuns,IF($AL108=_xlpm.oppA,_xlfn.XLOOKUP($AK108,$H$4:$H$18,$O$4:$O$18,""),_xlfn.XLOOKUP($AK108,$H$4:$H$18,$N$4:$N$18,"")),IF(_xlpm.auto,_xlpm.oppRuns,Scorebook!E436)))</f>
      </c>
      <c r="AQ108" s="5">
        <f ca="1">Scorebook!F436</f>
      </c>
      <c r="AR108" s="5" cm="1">
        <f t="array" aca="1" ref="AR108" ca="1">IF($AK108="","",_xlfn.LET(_xlpm.auto,AND(MOD(ROW()-4,6)=0,$AM108&lt;&gt;0,SUMPRODUCT(--(OFFSET($AM108,1,0,5,1)&lt;&gt;0))=0),_xlpm.oppA,_xlfn.XLOOKUP($AK108,$H$4:$H$18,$J$4:$J$18,""),_xlpm.oppB,_xlfn.XLOOKUP($AK108,$H$4:$H$18,$K$4:$K$18,""),_xlpm.opp,IF($AL108=_xlpm.oppA,_xlpm.oppB,_xlpm.oppA),IF(_xlpm.auto,SUMIFS($AD$4:$AD$273,$S$4:$S$273,$AK108,$T$4:$T$273,_xlpm.opp),Scorebook!G436)))</f>
      </c>
      <c r="AS108" s="5" cm="1">
        <f t="array" aca="1" ref="AS108" ca="1">IF($AK108="","",_xlfn.LET(_xlpm.auto,AND(MOD(ROW()-4,6)=0,$AM108&lt;&gt;0,SUMPRODUCT(--(OFFSET($AM108,1,0,5,1)&lt;&gt;0))=0),_xlpm.oppA,_xlfn.XLOOKUP($AK108,$H$4:$H$18,$J$4:$J$18,""),_xlpm.oppB,_xlfn.XLOOKUP($AK108,$H$4:$H$18,$K$4:$K$18,""),_xlpm.opp,IF($AL108=_xlpm.oppA,_xlpm.oppB,_xlpm.oppA),IF(_xlpm.auto,SUMIFS($AE$4:$AE$273,$S$4:$S$273,$AK108,$T$4:$T$273,_xlpm.opp),Scorebook!H436)))</f>
      </c>
      <c r="AT108" s="5" cm="1">
        <f t="array" aca="1" ref="AT108" ca="1">IF($AK108="","",_xlfn.LET(_xlpm.auto,AND(MOD(ROW()-4,6)=0,$AM108&lt;&gt;0,SUMPRODUCT(--(OFFSET($AM108,1,0,5,1)&lt;&gt;0))=0),_xlpm.oppA,_xlfn.XLOOKUP($AK108,$H$4:$H$18,$J$4:$J$18,""),_xlpm.oppB,_xlfn.XLOOKUP($AK108,$H$4:$H$18,$K$4:$K$18,""),_xlpm.opp,IF($AL108=_xlpm.oppA,_xlpm.oppB,_xlpm.oppA),IF(_xlpm.auto,SUMIFS($AB$4:$AB$273,$S$4:$S$273,$AK108,$T$4:$T$273,_xlpm.opp),Scorebook!I436)))</f>
      </c>
      <c r="AU108" s="5" cm="1">
        <f t="array" aca="1" ref="AU108" ca="1">IF($AK108="","",_xlfn.LET(_xlpm.auto,AND(MOD(ROW()-4,6)=0,$AM108&lt;&gt;0,SUMPRODUCT(--(OFFSET($AM108,1,0,5,1)&lt;&gt;0))=0),_xlpm.winner,_xlfn.XLOOKUP($AK108,$H$4:$H$18,$L$4:$L$18,""),IF(_xlpm.auto,--($AL108=_xlpm.winner),Scorebook!J436)))</f>
      </c>
      <c r="AV108" s="5" cm="1">
        <f t="array" aca="1" ref="AV108" ca="1">IF($AK108="","",_xlfn.LET(_xlpm.auto,AND(MOD(ROW()-4,6)=0,$AM108&lt;&gt;0,SUMPRODUCT(--(OFFSET($AM108,1,0,5,1)&lt;&gt;0))=0),_xlpm.loser,_xlfn.XLOOKUP($AK108,$H$4:$H$18,$M$4:$M$18,""),IF(_xlpm.auto,--($AL108=_xlpm.loser),Scorebook!K436)))</f>
      </c>
      <c r="AW108" s="5">
        <f ca="1">Scorebook!L436</f>
      </c>
      <c r="AX108" s="5" cm="1">
        <f t="array" aca="1" ref="AX108" ca="1">IF($AK108="","",_xlfn.LET(_xlpm.auto,AND(MOD(ROW()-4,6)=0,$AM108&lt;&gt;0,SUMPRODUCT(--(OFFSET($AM108,1,0,5,1)&lt;&gt;0))=0),_xlpm.oppA,_xlfn.XLOOKUP($AK108,$H$4:$H$18,$J$4:$J$18,""),_xlpm.oppRuns,IF($AL108=_xlpm.oppA,_xlfn.XLOOKUP($AK108,$H$4:$H$18,$O$4:$O$18,""),_xlfn.XLOOKUP($AK108,$H$4:$H$18,$N$4:$N$18,"")),IF(_xlpm.auto,--(_xlpm.oppRuns=0),Scorebook!M436)))</f>
      </c>
      <c r="AY108" s="5" cm="1">
        <f t="array" aca="1" ref="AY108" ca="1">IF($AK108="","",_xlfn.LET(_xlpm.auto,AND(MOD(ROW()-4,6)=0,$AM108&lt;&gt;0,SUMPRODUCT(--(OFFSET($AM108,1,0,5,1)&lt;&gt;0))=0),IF(_xlpm.auto,1,Scorebook!N436)))</f>
      </c>
      <c r="AZ108" s="5">
        <f>Settings!$B$2</f>
        <v>1</v>
      </c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</row>
    <row r="109" spans="19:62">
      <c r="S109" s="4" t="str">
        <f ca="1">Scorebook!$F$247</f>
        <v>G6</v>
      </c>
      <c r="T109" s="5" t="str">
        <f ca="1">Scorebook!$R$247</f>
        <v>Donovan</v>
      </c>
      <c r="U109" s="5" t="str">
        <f ca="1">Scorebook!$B$281</f>
        <v>Baby DK</v>
      </c>
      <c r="V109" s="4">
        <v>7</v>
      </c>
      <c r="W109" s="5">
        <f ca="1">Scorebook!M281</f>
        <v>1</v>
      </c>
      <c r="X109" s="5">
        <f ca="1">Scorebook!N281</f>
        <v>0</v>
      </c>
      <c r="Y109" s="5">
        <f ca="1">Scorebook!O281</f>
        <v>0</v>
      </c>
      <c r="Z109" s="5">
        <f ca="1">Scorebook!P281</f>
        <v>0</v>
      </c>
      <c r="AA109" s="5">
        <f ca="1">Scorebook!Q281</f>
        <v>0</v>
      </c>
      <c r="AB109" s="5">
        <f ca="1">Scorebook!R281</f>
        <v>0</v>
      </c>
      <c r="AC109" s="5">
        <f ca="1">Scorebook!S281</f>
        <v>0</v>
      </c>
      <c r="AD109" s="5">
        <f ca="1">Scorebook!T281</f>
        <v>0</v>
      </c>
      <c r="AE109" s="5">
        <f ca="1">Scorebook!U281</f>
        <v>1</v>
      </c>
      <c r="AF109" s="5">
        <f ca="1">Scorebook!V281</f>
        <v>0</v>
      </c>
      <c r="AG109" s="5">
        <f ca="1">Scorebook!W281</f>
        <v>0</v>
      </c>
      <c r="AH109" s="5">
        <f ca="1">Scorebook!X281</f>
        <v>0</v>
      </c>
      <c r="AI109" s="5">
        <f>Settings!$B$2</f>
        <v>1</v>
      </c>
      <c r="AJ109" s="18">
        <f ca="1">IF($AK109="","",Scorebook!$O$437)</f>
      </c>
      <c r="AK109" s="4" t="str">
        <f ca="1">Scorebook!$F$394</f>
        <v>G9</v>
      </c>
      <c r="AL109" s="5" t="str">
        <f ca="1">Scorebook!$R$394</f>
        <v>May</v>
      </c>
      <c r="AM109" s="5" t="str">
        <f>Scorebook!$B$437</f>
      </c>
      <c r="AN109" s="5">
        <f ca="1">IF(Scorebook!C437="","",INT(Scorebook!C437)+MOD(ROUND(Scorebook!C437*10,0),10)/3)</f>
      </c>
      <c r="AO109" s="5" cm="1">
        <f t="array" aca="1" ref="AO109" ca="1">IF($AK109="","",_xlfn.LET(_xlpm.auto,AND(MOD(ROW()-4,6)=0,$AM109&lt;&gt;0,SUMPRODUCT(--(OFFSET($AM109,1,0,5,1)&lt;&gt;0))=0),_xlpm.oppA,_xlfn.XLOOKUP($AK109,$H$4:$H$18,$J$4:$J$18,""),_xlpm.oppB,_xlfn.XLOOKUP($AK109,$H$4:$H$18,$K$4:$K$18,""),_xlpm.opp,IF($AL109=_xlpm.oppA,_xlpm.oppB,_xlpm.oppA),IF(_xlpm.auto,SUMIFS($Y$4:$Y$273,$S$4:$S$273,$AK109,$T$4:$T$273,_xlpm.opp),Scorebook!D437)))</f>
      </c>
      <c r="AP109" s="5" cm="1">
        <f t="array" aca="1" ref="AP109" ca="1">IF($AK109="","",_xlfn.LET(_xlpm.auto,AND(MOD(ROW()-4,6)=0,$AM109&lt;&gt;0,SUMPRODUCT(--(OFFSET($AM109,1,0,5,1)&lt;&gt;0))=0),_xlpm.oppA,_xlfn.XLOOKUP($AK109,$H$4:$H$18,$J$4:$J$18,""),_xlpm.oppRuns,IF($AL109=_xlpm.oppA,_xlfn.XLOOKUP($AK109,$H$4:$H$18,$O$4:$O$18,""),_xlfn.XLOOKUP($AK109,$H$4:$H$18,$N$4:$N$18,"")),IF(_xlpm.auto,_xlpm.oppRuns,Scorebook!E437)))</f>
      </c>
      <c r="AQ109" s="5">
        <f ca="1">Scorebook!F437</f>
      </c>
      <c r="AR109" s="5" cm="1">
        <f t="array" aca="1" ref="AR109" ca="1">IF($AK109="","",_xlfn.LET(_xlpm.auto,AND(MOD(ROW()-4,6)=0,$AM109&lt;&gt;0,SUMPRODUCT(--(OFFSET($AM109,1,0,5,1)&lt;&gt;0))=0),_xlpm.oppA,_xlfn.XLOOKUP($AK109,$H$4:$H$18,$J$4:$J$18,""),_xlpm.oppB,_xlfn.XLOOKUP($AK109,$H$4:$H$18,$K$4:$K$18,""),_xlpm.opp,IF($AL109=_xlpm.oppA,_xlpm.oppB,_xlpm.oppA),IF(_xlpm.auto,SUMIFS($AD$4:$AD$273,$S$4:$S$273,$AK109,$T$4:$T$273,_xlpm.opp),Scorebook!G437)))</f>
      </c>
      <c r="AS109" s="5" cm="1">
        <f t="array" aca="1" ref="AS109" ca="1">IF($AK109="","",_xlfn.LET(_xlpm.auto,AND(MOD(ROW()-4,6)=0,$AM109&lt;&gt;0,SUMPRODUCT(--(OFFSET($AM109,1,0,5,1)&lt;&gt;0))=0),_xlpm.oppA,_xlfn.XLOOKUP($AK109,$H$4:$H$18,$J$4:$J$18,""),_xlpm.oppB,_xlfn.XLOOKUP($AK109,$H$4:$H$18,$K$4:$K$18,""),_xlpm.opp,IF($AL109=_xlpm.oppA,_xlpm.oppB,_xlpm.oppA),IF(_xlpm.auto,SUMIFS($AE$4:$AE$273,$S$4:$S$273,$AK109,$T$4:$T$273,_xlpm.opp),Scorebook!H437)))</f>
      </c>
      <c r="AT109" s="5" cm="1">
        <f t="array" aca="1" ref="AT109" ca="1">IF($AK109="","",_xlfn.LET(_xlpm.auto,AND(MOD(ROW()-4,6)=0,$AM109&lt;&gt;0,SUMPRODUCT(--(OFFSET($AM109,1,0,5,1)&lt;&gt;0))=0),_xlpm.oppA,_xlfn.XLOOKUP($AK109,$H$4:$H$18,$J$4:$J$18,""),_xlpm.oppB,_xlfn.XLOOKUP($AK109,$H$4:$H$18,$K$4:$K$18,""),_xlpm.opp,IF($AL109=_xlpm.oppA,_xlpm.oppB,_xlpm.oppA),IF(_xlpm.auto,SUMIFS($AB$4:$AB$273,$S$4:$S$273,$AK109,$T$4:$T$273,_xlpm.opp),Scorebook!I437)))</f>
      </c>
      <c r="AU109" s="5" cm="1">
        <f t="array" aca="1" ref="AU109" ca="1">IF($AK109="","",_xlfn.LET(_xlpm.auto,AND(MOD(ROW()-4,6)=0,$AM109&lt;&gt;0,SUMPRODUCT(--(OFFSET($AM109,1,0,5,1)&lt;&gt;0))=0),_xlpm.winner,_xlfn.XLOOKUP($AK109,$H$4:$H$18,$L$4:$L$18,""),IF(_xlpm.auto,--($AL109=_xlpm.winner),Scorebook!J437)))</f>
      </c>
      <c r="AV109" s="5" cm="1">
        <f t="array" aca="1" ref="AV109" ca="1">IF($AK109="","",_xlfn.LET(_xlpm.auto,AND(MOD(ROW()-4,6)=0,$AM109&lt;&gt;0,SUMPRODUCT(--(OFFSET($AM109,1,0,5,1)&lt;&gt;0))=0),_xlpm.loser,_xlfn.XLOOKUP($AK109,$H$4:$H$18,$M$4:$M$18,""),IF(_xlpm.auto,--($AL109=_xlpm.loser),Scorebook!K437)))</f>
      </c>
      <c r="AW109" s="5">
        <f ca="1">Scorebook!L437</f>
      </c>
      <c r="AX109" s="5" cm="1">
        <f t="array" aca="1" ref="AX109" ca="1">IF($AK109="","",_xlfn.LET(_xlpm.auto,AND(MOD(ROW()-4,6)=0,$AM109&lt;&gt;0,SUMPRODUCT(--(OFFSET($AM109,1,0,5,1)&lt;&gt;0))=0),_xlpm.oppA,_xlfn.XLOOKUP($AK109,$H$4:$H$18,$J$4:$J$18,""),_xlpm.oppRuns,IF($AL109=_xlpm.oppA,_xlfn.XLOOKUP($AK109,$H$4:$H$18,$O$4:$O$18,""),_xlfn.XLOOKUP($AK109,$H$4:$H$18,$N$4:$N$18,"")),IF(_xlpm.auto,--(_xlpm.oppRuns=0),Scorebook!M437)))</f>
      </c>
      <c r="AY109" s="5" cm="1">
        <f t="array" aca="1" ref="AY109" ca="1">IF($AK109="","",_xlfn.LET(_xlpm.auto,AND(MOD(ROW()-4,6)=0,$AM109&lt;&gt;0,SUMPRODUCT(--(OFFSET($AM109,1,0,5,1)&lt;&gt;0))=0),IF(_xlpm.auto,1,Scorebook!N437)))</f>
      </c>
      <c r="AZ109" s="5">
        <f>Settings!$B$2</f>
        <v>1</v>
      </c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</row>
    <row r="110" spans="19:62">
      <c r="S110" s="4" t="str">
        <f ca="1">Scorebook!$F$247</f>
        <v>G6</v>
      </c>
      <c r="T110" s="5" t="str">
        <f ca="1">Scorebook!$R$247</f>
        <v>Donovan</v>
      </c>
      <c r="U110" s="5" t="str">
        <f ca="1">Scorebook!$B$282</f>
        <v>Paragoomba</v>
      </c>
      <c r="V110" s="4">
        <v>8</v>
      </c>
      <c r="W110" s="5">
        <f ca="1">Scorebook!M282</f>
        <v>1</v>
      </c>
      <c r="X110" s="5">
        <f ca="1">Scorebook!N282</f>
        <v>0</v>
      </c>
      <c r="Y110" s="5">
        <f ca="1">Scorebook!O282</f>
        <v>0</v>
      </c>
      <c r="Z110" s="5">
        <f ca="1">Scorebook!P282</f>
        <v>0</v>
      </c>
      <c r="AA110" s="5">
        <f ca="1">Scorebook!Q282</f>
        <v>0</v>
      </c>
      <c r="AB110" s="5">
        <f ca="1">Scorebook!R282</f>
        <v>0</v>
      </c>
      <c r="AC110" s="5">
        <f ca="1">Scorebook!S282</f>
        <v>0</v>
      </c>
      <c r="AD110" s="5">
        <f ca="1">Scorebook!T282</f>
        <v>0</v>
      </c>
      <c r="AE110" s="5">
        <f ca="1">Scorebook!U282</f>
        <v>0</v>
      </c>
      <c r="AF110" s="5">
        <f ca="1">Scorebook!V282</f>
        <v>0</v>
      </c>
      <c r="AG110" s="5">
        <f ca="1">Scorebook!W282</f>
        <v>0</v>
      </c>
      <c r="AH110" s="5">
        <f ca="1">Scorebook!X282</f>
        <v>0</v>
      </c>
      <c r="AI110" s="5">
        <f>Settings!$B$2</f>
        <v>1</v>
      </c>
      <c r="AJ110" s="18">
        <f ca="1">IF($AK110="","",Scorebook!$O$438)</f>
      </c>
      <c r="AK110" s="4" t="str">
        <f ca="1">Scorebook!$F$394</f>
        <v>G9</v>
      </c>
      <c r="AL110" s="5" t="str">
        <f ca="1">Scorebook!$R$394</f>
        <v>May</v>
      </c>
      <c r="AM110" s="5" t="str">
        <f>Scorebook!$B$438</f>
      </c>
      <c r="AN110" s="5">
        <f ca="1">IF(Scorebook!C438="","",INT(Scorebook!C438)+MOD(ROUND(Scorebook!C438*10,0),10)/3)</f>
      </c>
      <c r="AO110" s="5" cm="1">
        <f t="array" aca="1" ref="AO110" ca="1">IF($AK110="","",_xlfn.LET(_xlpm.auto,AND(MOD(ROW()-4,6)=0,$AM110&lt;&gt;0,SUMPRODUCT(--(OFFSET($AM110,1,0,5,1)&lt;&gt;0))=0),_xlpm.oppA,_xlfn.XLOOKUP($AK110,$H$4:$H$18,$J$4:$J$18,""),_xlpm.oppB,_xlfn.XLOOKUP($AK110,$H$4:$H$18,$K$4:$K$18,""),_xlpm.opp,IF($AL110=_xlpm.oppA,_xlpm.oppB,_xlpm.oppA),IF(_xlpm.auto,SUMIFS($Y$4:$Y$273,$S$4:$S$273,$AK110,$T$4:$T$273,_xlpm.opp),Scorebook!D438)))</f>
      </c>
      <c r="AP110" s="5" cm="1">
        <f t="array" aca="1" ref="AP110" ca="1">IF($AK110="","",_xlfn.LET(_xlpm.auto,AND(MOD(ROW()-4,6)=0,$AM110&lt;&gt;0,SUMPRODUCT(--(OFFSET($AM110,1,0,5,1)&lt;&gt;0))=0),_xlpm.oppA,_xlfn.XLOOKUP($AK110,$H$4:$H$18,$J$4:$J$18,""),_xlpm.oppRuns,IF($AL110=_xlpm.oppA,_xlfn.XLOOKUP($AK110,$H$4:$H$18,$O$4:$O$18,""),_xlfn.XLOOKUP($AK110,$H$4:$H$18,$N$4:$N$18,"")),IF(_xlpm.auto,_xlpm.oppRuns,Scorebook!E438)))</f>
      </c>
      <c r="AQ110" s="5">
        <f ca="1">Scorebook!F438</f>
      </c>
      <c r="AR110" s="5" cm="1">
        <f t="array" aca="1" ref="AR110" ca="1">IF($AK110="","",_xlfn.LET(_xlpm.auto,AND(MOD(ROW()-4,6)=0,$AM110&lt;&gt;0,SUMPRODUCT(--(OFFSET($AM110,1,0,5,1)&lt;&gt;0))=0),_xlpm.oppA,_xlfn.XLOOKUP($AK110,$H$4:$H$18,$J$4:$J$18,""),_xlpm.oppB,_xlfn.XLOOKUP($AK110,$H$4:$H$18,$K$4:$K$18,""),_xlpm.opp,IF($AL110=_xlpm.oppA,_xlpm.oppB,_xlpm.oppA),IF(_xlpm.auto,SUMIFS($AD$4:$AD$273,$S$4:$S$273,$AK110,$T$4:$T$273,_xlpm.opp),Scorebook!G438)))</f>
      </c>
      <c r="AS110" s="5" cm="1">
        <f t="array" aca="1" ref="AS110" ca="1">IF($AK110="","",_xlfn.LET(_xlpm.auto,AND(MOD(ROW()-4,6)=0,$AM110&lt;&gt;0,SUMPRODUCT(--(OFFSET($AM110,1,0,5,1)&lt;&gt;0))=0),_xlpm.oppA,_xlfn.XLOOKUP($AK110,$H$4:$H$18,$J$4:$J$18,""),_xlpm.oppB,_xlfn.XLOOKUP($AK110,$H$4:$H$18,$K$4:$K$18,""),_xlpm.opp,IF($AL110=_xlpm.oppA,_xlpm.oppB,_xlpm.oppA),IF(_xlpm.auto,SUMIFS($AE$4:$AE$273,$S$4:$S$273,$AK110,$T$4:$T$273,_xlpm.opp),Scorebook!H438)))</f>
      </c>
      <c r="AT110" s="5" cm="1">
        <f t="array" aca="1" ref="AT110" ca="1">IF($AK110="","",_xlfn.LET(_xlpm.auto,AND(MOD(ROW()-4,6)=0,$AM110&lt;&gt;0,SUMPRODUCT(--(OFFSET($AM110,1,0,5,1)&lt;&gt;0))=0),_xlpm.oppA,_xlfn.XLOOKUP($AK110,$H$4:$H$18,$J$4:$J$18,""),_xlpm.oppB,_xlfn.XLOOKUP($AK110,$H$4:$H$18,$K$4:$K$18,""),_xlpm.opp,IF($AL110=_xlpm.oppA,_xlpm.oppB,_xlpm.oppA),IF(_xlpm.auto,SUMIFS($AB$4:$AB$273,$S$4:$S$273,$AK110,$T$4:$T$273,_xlpm.opp),Scorebook!I438)))</f>
      </c>
      <c r="AU110" s="5" cm="1">
        <f t="array" aca="1" ref="AU110" ca="1">IF($AK110="","",_xlfn.LET(_xlpm.auto,AND(MOD(ROW()-4,6)=0,$AM110&lt;&gt;0,SUMPRODUCT(--(OFFSET($AM110,1,0,5,1)&lt;&gt;0))=0),_xlpm.winner,_xlfn.XLOOKUP($AK110,$H$4:$H$18,$L$4:$L$18,""),IF(_xlpm.auto,--($AL110=_xlpm.winner),Scorebook!J438)))</f>
      </c>
      <c r="AV110" s="5" cm="1">
        <f t="array" aca="1" ref="AV110" ca="1">IF($AK110="","",_xlfn.LET(_xlpm.auto,AND(MOD(ROW()-4,6)=0,$AM110&lt;&gt;0,SUMPRODUCT(--(OFFSET($AM110,1,0,5,1)&lt;&gt;0))=0),_xlpm.loser,_xlfn.XLOOKUP($AK110,$H$4:$H$18,$M$4:$M$18,""),IF(_xlpm.auto,--($AL110=_xlpm.loser),Scorebook!K438)))</f>
      </c>
      <c r="AW110" s="5">
        <f ca="1">Scorebook!L438</f>
      </c>
      <c r="AX110" s="5" cm="1">
        <f t="array" aca="1" ref="AX110" ca="1">IF($AK110="","",_xlfn.LET(_xlpm.auto,AND(MOD(ROW()-4,6)=0,$AM110&lt;&gt;0,SUMPRODUCT(--(OFFSET($AM110,1,0,5,1)&lt;&gt;0))=0),_xlpm.oppA,_xlfn.XLOOKUP($AK110,$H$4:$H$18,$J$4:$J$18,""),_xlpm.oppRuns,IF($AL110=_xlpm.oppA,_xlfn.XLOOKUP($AK110,$H$4:$H$18,$O$4:$O$18,""),_xlfn.XLOOKUP($AK110,$H$4:$H$18,$N$4:$N$18,"")),IF(_xlpm.auto,--(_xlpm.oppRuns=0),Scorebook!M438)))</f>
      </c>
      <c r="AY110" s="5" cm="1">
        <f t="array" aca="1" ref="AY110" ca="1">IF($AK110="","",_xlfn.LET(_xlpm.auto,AND(MOD(ROW()-4,6)=0,$AM110&lt;&gt;0,SUMPRODUCT(--(OFFSET($AM110,1,0,5,1)&lt;&gt;0))=0),IF(_xlpm.auto,1,Scorebook!N438)))</f>
      </c>
      <c r="AZ110" s="5">
        <f>Settings!$B$2</f>
        <v>1</v>
      </c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</row>
    <row r="111" spans="19:62">
      <c r="S111" s="4" t="str">
        <f ca="1">Scorebook!$F$247</f>
        <v>G6</v>
      </c>
      <c r="T111" s="5" t="str">
        <f ca="1">Scorebook!$R$247</f>
        <v>Donovan</v>
      </c>
      <c r="U111" s="5" t="str">
        <f ca="1">Scorebook!$B$283</f>
        <v>Dixie Kong</v>
      </c>
      <c r="V111" s="4">
        <v>9</v>
      </c>
      <c r="W111" s="5">
        <f ca="1">Scorebook!M283</f>
        <v>1</v>
      </c>
      <c r="X111" s="5">
        <f ca="1">Scorebook!N283</f>
        <v>0</v>
      </c>
      <c r="Y111" s="5">
        <f ca="1">Scorebook!O283</f>
        <v>0</v>
      </c>
      <c r="Z111" s="5">
        <f ca="1">Scorebook!P283</f>
        <v>0</v>
      </c>
      <c r="AA111" s="5">
        <f ca="1">Scorebook!Q283</f>
        <v>0</v>
      </c>
      <c r="AB111" s="5">
        <f ca="1">Scorebook!R283</f>
        <v>0</v>
      </c>
      <c r="AC111" s="5">
        <f ca="1">Scorebook!S283</f>
        <v>0</v>
      </c>
      <c r="AD111" s="5">
        <f ca="1">Scorebook!T283</f>
        <v>0</v>
      </c>
      <c r="AE111" s="5">
        <f ca="1">Scorebook!U283</f>
        <v>1</v>
      </c>
      <c r="AF111" s="5">
        <f ca="1">Scorebook!V283</f>
        <v>0</v>
      </c>
      <c r="AG111" s="5">
        <f ca="1">Scorebook!W283</f>
        <v>0</v>
      </c>
      <c r="AH111" s="5">
        <f ca="1">Scorebook!X283</f>
        <v>0</v>
      </c>
      <c r="AI111" s="5">
        <f>Settings!$B$2</f>
        <v>1</v>
      </c>
      <c r="AJ111" s="18">
        <f ca="1">IF($AK111="","",Scorebook!$O$439)</f>
      </c>
      <c r="AK111" s="4" t="str">
        <f ca="1">Scorebook!$F$394</f>
        <v>G9</v>
      </c>
      <c r="AL111" s="5" t="str">
        <f ca="1">Scorebook!$R$394</f>
        <v>May</v>
      </c>
      <c r="AM111" s="5" t="str">
        <f>Scorebook!$B$439</f>
      </c>
      <c r="AN111" s="5">
        <f ca="1">IF(Scorebook!C439="","",INT(Scorebook!C439)+MOD(ROUND(Scorebook!C439*10,0),10)/3)</f>
      </c>
      <c r="AO111" s="5" cm="1">
        <f t="array" aca="1" ref="AO111" ca="1">IF($AK111="","",_xlfn.LET(_xlpm.auto,AND(MOD(ROW()-4,6)=0,$AM111&lt;&gt;0,SUMPRODUCT(--(OFFSET($AM111,1,0,5,1)&lt;&gt;0))=0),_xlpm.oppA,_xlfn.XLOOKUP($AK111,$H$4:$H$18,$J$4:$J$18,""),_xlpm.oppB,_xlfn.XLOOKUP($AK111,$H$4:$H$18,$K$4:$K$18,""),_xlpm.opp,IF($AL111=_xlpm.oppA,_xlpm.oppB,_xlpm.oppA),IF(_xlpm.auto,SUMIFS($Y$4:$Y$273,$S$4:$S$273,$AK111,$T$4:$T$273,_xlpm.opp),Scorebook!D439)))</f>
      </c>
      <c r="AP111" s="5" cm="1">
        <f t="array" aca="1" ref="AP111" ca="1">IF($AK111="","",_xlfn.LET(_xlpm.auto,AND(MOD(ROW()-4,6)=0,$AM111&lt;&gt;0,SUMPRODUCT(--(OFFSET($AM111,1,0,5,1)&lt;&gt;0))=0),_xlpm.oppA,_xlfn.XLOOKUP($AK111,$H$4:$H$18,$J$4:$J$18,""),_xlpm.oppRuns,IF($AL111=_xlpm.oppA,_xlfn.XLOOKUP($AK111,$H$4:$H$18,$O$4:$O$18,""),_xlfn.XLOOKUP($AK111,$H$4:$H$18,$N$4:$N$18,"")),IF(_xlpm.auto,_xlpm.oppRuns,Scorebook!E439)))</f>
      </c>
      <c r="AQ111" s="5">
        <f ca="1">Scorebook!F439</f>
      </c>
      <c r="AR111" s="5" cm="1">
        <f t="array" aca="1" ref="AR111" ca="1">IF($AK111="","",_xlfn.LET(_xlpm.auto,AND(MOD(ROW()-4,6)=0,$AM111&lt;&gt;0,SUMPRODUCT(--(OFFSET($AM111,1,0,5,1)&lt;&gt;0))=0),_xlpm.oppA,_xlfn.XLOOKUP($AK111,$H$4:$H$18,$J$4:$J$18,""),_xlpm.oppB,_xlfn.XLOOKUP($AK111,$H$4:$H$18,$K$4:$K$18,""),_xlpm.opp,IF($AL111=_xlpm.oppA,_xlpm.oppB,_xlpm.oppA),IF(_xlpm.auto,SUMIFS($AD$4:$AD$273,$S$4:$S$273,$AK111,$T$4:$T$273,_xlpm.opp),Scorebook!G439)))</f>
      </c>
      <c r="AS111" s="5" cm="1">
        <f t="array" aca="1" ref="AS111" ca="1">IF($AK111="","",_xlfn.LET(_xlpm.auto,AND(MOD(ROW()-4,6)=0,$AM111&lt;&gt;0,SUMPRODUCT(--(OFFSET($AM111,1,0,5,1)&lt;&gt;0))=0),_xlpm.oppA,_xlfn.XLOOKUP($AK111,$H$4:$H$18,$J$4:$J$18,""),_xlpm.oppB,_xlfn.XLOOKUP($AK111,$H$4:$H$18,$K$4:$K$18,""),_xlpm.opp,IF($AL111=_xlpm.oppA,_xlpm.oppB,_xlpm.oppA),IF(_xlpm.auto,SUMIFS($AE$4:$AE$273,$S$4:$S$273,$AK111,$T$4:$T$273,_xlpm.opp),Scorebook!H439)))</f>
      </c>
      <c r="AT111" s="5" cm="1">
        <f t="array" aca="1" ref="AT111" ca="1">IF($AK111="","",_xlfn.LET(_xlpm.auto,AND(MOD(ROW()-4,6)=0,$AM111&lt;&gt;0,SUMPRODUCT(--(OFFSET($AM111,1,0,5,1)&lt;&gt;0))=0),_xlpm.oppA,_xlfn.XLOOKUP($AK111,$H$4:$H$18,$J$4:$J$18,""),_xlpm.oppB,_xlfn.XLOOKUP($AK111,$H$4:$H$18,$K$4:$K$18,""),_xlpm.opp,IF($AL111=_xlpm.oppA,_xlpm.oppB,_xlpm.oppA),IF(_xlpm.auto,SUMIFS($AB$4:$AB$273,$S$4:$S$273,$AK111,$T$4:$T$273,_xlpm.opp),Scorebook!I439)))</f>
      </c>
      <c r="AU111" s="5" cm="1">
        <f t="array" aca="1" ref="AU111" ca="1">IF($AK111="","",_xlfn.LET(_xlpm.auto,AND(MOD(ROW()-4,6)=0,$AM111&lt;&gt;0,SUMPRODUCT(--(OFFSET($AM111,1,0,5,1)&lt;&gt;0))=0),_xlpm.winner,_xlfn.XLOOKUP($AK111,$H$4:$H$18,$L$4:$L$18,""),IF(_xlpm.auto,--($AL111=_xlpm.winner),Scorebook!J439)))</f>
      </c>
      <c r="AV111" s="5" cm="1">
        <f t="array" aca="1" ref="AV111" ca="1">IF($AK111="","",_xlfn.LET(_xlpm.auto,AND(MOD(ROW()-4,6)=0,$AM111&lt;&gt;0,SUMPRODUCT(--(OFFSET($AM111,1,0,5,1)&lt;&gt;0))=0),_xlpm.loser,_xlfn.XLOOKUP($AK111,$H$4:$H$18,$M$4:$M$18,""),IF(_xlpm.auto,--($AL111=_xlpm.loser),Scorebook!K439)))</f>
      </c>
      <c r="AW111" s="5">
        <f ca="1">Scorebook!L439</f>
      </c>
      <c r="AX111" s="5" cm="1">
        <f t="array" aca="1" ref="AX111" ca="1">IF($AK111="","",_xlfn.LET(_xlpm.auto,AND(MOD(ROW()-4,6)=0,$AM111&lt;&gt;0,SUMPRODUCT(--(OFFSET($AM111,1,0,5,1)&lt;&gt;0))=0),_xlpm.oppA,_xlfn.XLOOKUP($AK111,$H$4:$H$18,$J$4:$J$18,""),_xlpm.oppRuns,IF($AL111=_xlpm.oppA,_xlfn.XLOOKUP($AK111,$H$4:$H$18,$O$4:$O$18,""),_xlfn.XLOOKUP($AK111,$H$4:$H$18,$N$4:$N$18,"")),IF(_xlpm.auto,--(_xlpm.oppRuns=0),Scorebook!M439)))</f>
      </c>
      <c r="AY111" s="5" cm="1">
        <f t="array" aca="1" ref="AY111" ca="1">IF($AK111="","",_xlfn.LET(_xlpm.auto,AND(MOD(ROW()-4,6)=0,$AM111&lt;&gt;0,SUMPRODUCT(--(OFFSET($AM111,1,0,5,1)&lt;&gt;0))=0),IF(_xlpm.auto,1,Scorebook!N439)))</f>
      </c>
      <c r="AZ111" s="5">
        <f>Settings!$B$2</f>
        <v>1</v>
      </c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</row>
    <row r="112" spans="19:62">
      <c r="S112" s="4" t="str">
        <f ca="1">Scorebook!$F$296</f>
        <v>G7</v>
      </c>
      <c r="T112" s="5" t="str">
        <f ca="1">Scorebook!$N$296</f>
        <v>May</v>
      </c>
      <c r="U112" s="5" t="str">
        <f ca="1">Scorebook!$B$303</f>
        <v>Birdo</v>
      </c>
      <c r="V112" s="4">
        <v>1</v>
      </c>
      <c r="W112" s="5">
        <f ca="1">Scorebook!M303</f>
        <v>1</v>
      </c>
      <c r="X112" s="5">
        <f ca="1">Scorebook!N303</f>
        <v>0</v>
      </c>
      <c r="Y112" s="5">
        <f ca="1">Scorebook!O303</f>
        <v>0</v>
      </c>
      <c r="Z112" s="5">
        <f ca="1">Scorebook!P303</f>
        <v>0</v>
      </c>
      <c r="AA112" s="5">
        <f ca="1">Scorebook!Q303</f>
        <v>0</v>
      </c>
      <c r="AB112" s="5">
        <f ca="1">Scorebook!R303</f>
        <v>0</v>
      </c>
      <c r="AC112" s="5">
        <f ca="1">Scorebook!S303</f>
        <v>0</v>
      </c>
      <c r="AD112" s="5">
        <f ca="1">Scorebook!T303</f>
        <v>0</v>
      </c>
      <c r="AE112" s="5">
        <f ca="1">Scorebook!U303</f>
        <v>0</v>
      </c>
      <c r="AF112" s="5">
        <f ca="1">Scorebook!V303</f>
        <v>0</v>
      </c>
      <c r="AG112" s="5">
        <f ca="1">Scorebook!W303</f>
        <v>0</v>
      </c>
      <c r="AH112" s="5">
        <f ca="1">Scorebook!X303</f>
        <v>0</v>
      </c>
      <c r="AI112" s="5">
        <f>Settings!$B$2</f>
        <v>1</v>
      </c>
      <c r="AJ112" s="18">
        <f ca="1">IF($AK112="","",Scorebook!$O$462)</f>
        <v>10</v>
      </c>
      <c r="AK112" s="4" t="str">
        <f ca="1">Scorebook!$F$443</f>
        <v>G10</v>
      </c>
      <c r="AL112" s="5" t="str">
        <f ca="1">Scorebook!$N$443</f>
        <v>Nick</v>
      </c>
      <c r="AM112" s="5" t="str">
        <f ca="1">Scorebook!$B$462</f>
        <v>Daisy</v>
      </c>
      <c r="AN112" s="5">
        <f ca="1">IF(Scorebook!C462="","",INT(Scorebook!C462)+MOD(ROUND(Scorebook!C462*10,0),10)/3)</f>
        <v>2.0</v>
      </c>
      <c r="AO112" s="5" cm="1">
        <f t="array" aca="1" ref="AO112" ca="1">IF($AK112="","",_xlfn.LET(_xlpm.auto,AND(MOD(ROW()-4,6)=0,$AM112&lt;&gt;0,SUMPRODUCT(--(OFFSET($AM112,1,0,5,1)&lt;&gt;0))=0),_xlpm.oppA,_xlfn.XLOOKUP($AK112,$H$4:$H$18,$J$4:$J$18,""),_xlpm.oppB,_xlfn.XLOOKUP($AK112,$H$4:$H$18,$K$4:$K$18,""),_xlpm.opp,IF($AL112=_xlpm.oppA,_xlpm.oppB,_xlpm.oppA),IF(_xlpm.auto,SUMIFS($Y$4:$Y$273,$S$4:$S$273,$AK112,$T$4:$T$273,_xlpm.opp),Scorebook!D462)))</f>
        <v>4</v>
      </c>
      <c r="AP112" s="5" cm="1">
        <f t="array" aca="1" ref="AP112" ca="1">IF($AK112="","",_xlfn.LET(_xlpm.auto,AND(MOD(ROW()-4,6)=0,$AM112&lt;&gt;0,SUMPRODUCT(--(OFFSET($AM112,1,0,5,1)&lt;&gt;0))=0),_xlpm.oppA,_xlfn.XLOOKUP($AK112,$H$4:$H$18,$J$4:$J$18,""),_xlpm.oppRuns,IF($AL112=_xlpm.oppA,_xlfn.XLOOKUP($AK112,$H$4:$H$18,$O$4:$O$18,""),_xlfn.XLOOKUP($AK112,$H$4:$H$18,$N$4:$N$18,"")),IF(_xlpm.auto,_xlpm.oppRuns,Scorebook!E462)))</f>
        <v>0</v>
      </c>
      <c r="AQ112" s="5">
        <f ca="1">Scorebook!F462</f>
        <v>0</v>
      </c>
      <c r="AR112" s="5" cm="1">
        <f t="array" aca="1" ref="AR112" ca="1">IF($AK112="","",_xlfn.LET(_xlpm.auto,AND(MOD(ROW()-4,6)=0,$AM112&lt;&gt;0,SUMPRODUCT(--(OFFSET($AM112,1,0,5,1)&lt;&gt;0))=0),_xlpm.oppA,_xlfn.XLOOKUP($AK112,$H$4:$H$18,$J$4:$J$18,""),_xlpm.oppB,_xlfn.XLOOKUP($AK112,$H$4:$H$18,$K$4:$K$18,""),_xlpm.opp,IF($AL112=_xlpm.oppA,_xlpm.oppB,_xlpm.oppA),IF(_xlpm.auto,SUMIFS($AD$4:$AD$273,$S$4:$S$273,$AK112,$T$4:$T$273,_xlpm.opp),Scorebook!G462)))</f>
        <v>0</v>
      </c>
      <c r="AS112" s="5" cm="1">
        <f t="array" aca="1" ref="AS112" ca="1">IF($AK112="","",_xlfn.LET(_xlpm.auto,AND(MOD(ROW()-4,6)=0,$AM112&lt;&gt;0,SUMPRODUCT(--(OFFSET($AM112,1,0,5,1)&lt;&gt;0))=0),_xlpm.oppA,_xlfn.XLOOKUP($AK112,$H$4:$H$18,$J$4:$J$18,""),_xlpm.oppB,_xlfn.XLOOKUP($AK112,$H$4:$H$18,$K$4:$K$18,""),_xlpm.opp,IF($AL112=_xlpm.oppA,_xlpm.oppB,_xlpm.oppA),IF(_xlpm.auto,SUMIFS($AE$4:$AE$273,$S$4:$S$273,$AK112,$T$4:$T$273,_xlpm.opp),Scorebook!H462)))</f>
        <v>1</v>
      </c>
      <c r="AT112" s="5" cm="1">
        <f t="array" aca="1" ref="AT112" ca="1">IF($AK112="","",_xlfn.LET(_xlpm.auto,AND(MOD(ROW()-4,6)=0,$AM112&lt;&gt;0,SUMPRODUCT(--(OFFSET($AM112,1,0,5,1)&lt;&gt;0))=0),_xlpm.oppA,_xlfn.XLOOKUP($AK112,$H$4:$H$18,$J$4:$J$18,""),_xlpm.oppB,_xlfn.XLOOKUP($AK112,$H$4:$H$18,$K$4:$K$18,""),_xlpm.opp,IF($AL112=_xlpm.oppA,_xlpm.oppB,_xlpm.oppA),IF(_xlpm.auto,SUMIFS($AB$4:$AB$273,$S$4:$S$273,$AK112,$T$4:$T$273,_xlpm.opp),Scorebook!I462)))</f>
        <v>0</v>
      </c>
      <c r="AU112" s="5" cm="1">
        <f t="array" aca="1" ref="AU112" ca="1">IF($AK112="","",_xlfn.LET(_xlpm.auto,AND(MOD(ROW()-4,6)=0,$AM112&lt;&gt;0,SUMPRODUCT(--(OFFSET($AM112,1,0,5,1)&lt;&gt;0))=0),_xlpm.winner,_xlfn.XLOOKUP($AK112,$H$4:$H$18,$L$4:$L$18,""),IF(_xlpm.auto,--($AL112=_xlpm.winner),Scorebook!J462)))</f>
        <v>0</v>
      </c>
      <c r="AV112" s="5" cm="1">
        <f t="array" aca="1" ref="AV112" ca="1">IF($AK112="","",_xlfn.LET(_xlpm.auto,AND(MOD(ROW()-4,6)=0,$AM112&lt;&gt;0,SUMPRODUCT(--(OFFSET($AM112,1,0,5,1)&lt;&gt;0))=0),_xlpm.loser,_xlfn.XLOOKUP($AK112,$H$4:$H$18,$M$4:$M$18,""),IF(_xlpm.auto,--($AL112=_xlpm.loser),Scorebook!K462)))</f>
        <v>0</v>
      </c>
      <c r="AW112" s="5">
        <f ca="1">Scorebook!L462</f>
        <v>0</v>
      </c>
      <c r="AX112" s="5" cm="1">
        <f t="array" aca="1" ref="AX112" ca="1">IF($AK112="","",_xlfn.LET(_xlpm.auto,AND(MOD(ROW()-4,6)=0,$AM112&lt;&gt;0,SUMPRODUCT(--(OFFSET($AM112,1,0,5,1)&lt;&gt;0))=0),_xlpm.oppA,_xlfn.XLOOKUP($AK112,$H$4:$H$18,$J$4:$J$18,""),_xlpm.oppRuns,IF($AL112=_xlpm.oppA,_xlfn.XLOOKUP($AK112,$H$4:$H$18,$O$4:$O$18,""),_xlfn.XLOOKUP($AK112,$H$4:$H$18,$N$4:$N$18,"")),IF(_xlpm.auto,--(_xlpm.oppRuns=0),Scorebook!M462)))</f>
        <v>0</v>
      </c>
      <c r="AY112" s="5" cm="1">
        <f t="array" aca="1" ref="AY112" ca="1">IF($AK112="","",_xlfn.LET(_xlpm.auto,AND(MOD(ROW()-4,6)=0,$AM112&lt;&gt;0,SUMPRODUCT(--(OFFSET($AM112,1,0,5,1)&lt;&gt;0))=0),IF(_xlpm.auto,1,Scorebook!N462)))</f>
        <v>0</v>
      </c>
      <c r="AZ112" s="5">
        <f>Settings!$B$2</f>
        <v>1</v>
      </c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</row>
    <row r="113" spans="19:52">
      <c r="S113" s="4" t="str">
        <f ca="1">Scorebook!$F$296</f>
        <v>G7</v>
      </c>
      <c r="T113" s="5" t="str">
        <f ca="1">Scorebook!$N$296</f>
        <v>May</v>
      </c>
      <c r="U113" s="5" t="str">
        <f ca="1">Scorebook!$B$304</f>
        <v>King Boo</v>
      </c>
      <c r="V113" s="4">
        <v>2</v>
      </c>
      <c r="W113" s="5">
        <f ca="1">Scorebook!M304</f>
        <v>1</v>
      </c>
      <c r="X113" s="5">
        <f ca="1">Scorebook!N304</f>
        <v>1</v>
      </c>
      <c r="Y113" s="5">
        <f ca="1">Scorebook!O304</f>
        <v>1</v>
      </c>
      <c r="Z113" s="5">
        <f ca="1">Scorebook!P304</f>
        <v>0</v>
      </c>
      <c r="AA113" s="5">
        <f ca="1">Scorebook!Q304</f>
        <v>0</v>
      </c>
      <c r="AB113" s="5">
        <f ca="1">Scorebook!R304</f>
        <v>1</v>
      </c>
      <c r="AC113" s="5">
        <f ca="1">Scorebook!S304</f>
        <v>1</v>
      </c>
      <c r="AD113" s="5">
        <f ca="1">Scorebook!T304</f>
        <v>0</v>
      </c>
      <c r="AE113" s="5">
        <f ca="1">Scorebook!U304</f>
        <v>0</v>
      </c>
      <c r="AF113" s="5">
        <f ca="1">Scorebook!V304</f>
        <v>0</v>
      </c>
      <c r="AG113" s="5">
        <f ca="1">Scorebook!W304</f>
        <v>0</v>
      </c>
      <c r="AH113" s="5">
        <f ca="1">Scorebook!X304</f>
        <v>0</v>
      </c>
      <c r="AI113" s="5">
        <f>Settings!$B$2</f>
        <v>1</v>
      </c>
      <c r="AJ113" s="18">
        <f ca="1">IF($AK113="","",Scorebook!$O$463)</f>
        <v>4</v>
      </c>
      <c r="AK113" s="4" t="str">
        <f ca="1">Scorebook!$F$443</f>
        <v>G10</v>
      </c>
      <c r="AL113" s="5" t="str">
        <f ca="1">Scorebook!$N$443</f>
        <v>Nick</v>
      </c>
      <c r="AM113" s="5" t="str">
        <f ca="1">Scorebook!$B$463</f>
        <v>Boomerang Bro</v>
      </c>
      <c r="AN113" s="5">
        <f ca="1">IF(Scorebook!C463="","",INT(Scorebook!C463)+MOD(ROUND(Scorebook!C463*10,0),10)/3)</f>
        <v>0.6666666666666666</v>
      </c>
      <c r="AO113" s="5" cm="1">
        <f t="array" aca="1" ref="AO113" ca="1">IF($AK113="","",_xlfn.LET(_xlpm.auto,AND(MOD(ROW()-4,6)=0,$AM113&lt;&gt;0,SUMPRODUCT(--(OFFSET($AM113,1,0,5,1)&lt;&gt;0))=0),_xlpm.oppA,_xlfn.XLOOKUP($AK113,$H$4:$H$18,$J$4:$J$18,""),_xlpm.oppB,_xlfn.XLOOKUP($AK113,$H$4:$H$18,$K$4:$K$18,""),_xlpm.opp,IF($AL113=_xlpm.oppA,_xlpm.oppB,_xlpm.oppA),IF(_xlpm.auto,SUMIFS($Y$4:$Y$273,$S$4:$S$273,$AK113,$T$4:$T$273,_xlpm.opp),Scorebook!D463)))</f>
        <v>2</v>
      </c>
      <c r="AP113" s="5" cm="1">
        <f t="array" aca="1" ref="AP113" ca="1">IF($AK113="","",_xlfn.LET(_xlpm.auto,AND(MOD(ROW()-4,6)=0,$AM113&lt;&gt;0,SUMPRODUCT(--(OFFSET($AM113,1,0,5,1)&lt;&gt;0))=0),_xlpm.oppA,_xlfn.XLOOKUP($AK113,$H$4:$H$18,$J$4:$J$18,""),_xlpm.oppRuns,IF($AL113=_xlpm.oppA,_xlfn.XLOOKUP($AK113,$H$4:$H$18,$O$4:$O$18,""),_xlfn.XLOOKUP($AK113,$H$4:$H$18,$N$4:$N$18,"")),IF(_xlpm.auto,_xlpm.oppRuns,Scorebook!E463)))</f>
        <v>4</v>
      </c>
      <c r="AQ113" s="5">
        <f ca="1">Scorebook!F463</f>
        <v>4</v>
      </c>
      <c r="AR113" s="5" cm="1">
        <f t="array" aca="1" ref="AR113" ca="1">IF($AK113="","",_xlfn.LET(_xlpm.auto,AND(MOD(ROW()-4,6)=0,$AM113&lt;&gt;0,SUMPRODUCT(--(OFFSET($AM113,1,0,5,1)&lt;&gt;0))=0),_xlpm.oppA,_xlfn.XLOOKUP($AK113,$H$4:$H$18,$J$4:$J$18,""),_xlpm.oppB,_xlfn.XLOOKUP($AK113,$H$4:$H$18,$K$4:$K$18,""),_xlpm.opp,IF($AL113=_xlpm.oppA,_xlpm.oppB,_xlpm.oppA),IF(_xlpm.auto,SUMIFS($AD$4:$AD$273,$S$4:$S$273,$AK113,$T$4:$T$273,_xlpm.opp),Scorebook!G463)))</f>
        <v>0</v>
      </c>
      <c r="AS113" s="5" cm="1">
        <f t="array" aca="1" ref="AS113" ca="1">IF($AK113="","",_xlfn.LET(_xlpm.auto,AND(MOD(ROW()-4,6)=0,$AM113&lt;&gt;0,SUMPRODUCT(--(OFFSET($AM113,1,0,5,1)&lt;&gt;0))=0),_xlpm.oppA,_xlfn.XLOOKUP($AK113,$H$4:$H$18,$J$4:$J$18,""),_xlpm.oppB,_xlfn.XLOOKUP($AK113,$H$4:$H$18,$K$4:$K$18,""),_xlpm.opp,IF($AL113=_xlpm.oppA,_xlpm.oppB,_xlpm.oppA),IF(_xlpm.auto,SUMIFS($AE$4:$AE$273,$S$4:$S$273,$AK113,$T$4:$T$273,_xlpm.opp),Scorebook!H463)))</f>
        <v>0</v>
      </c>
      <c r="AT113" s="5" cm="1">
        <f t="array" aca="1" ref="AT113" ca="1">IF($AK113="","",_xlfn.LET(_xlpm.auto,AND(MOD(ROW()-4,6)=0,$AM113&lt;&gt;0,SUMPRODUCT(--(OFFSET($AM113,1,0,5,1)&lt;&gt;0))=0),_xlpm.oppA,_xlfn.XLOOKUP($AK113,$H$4:$H$18,$J$4:$J$18,""),_xlpm.oppB,_xlfn.XLOOKUP($AK113,$H$4:$H$18,$K$4:$K$18,""),_xlpm.opp,IF($AL113=_xlpm.oppA,_xlpm.oppB,_xlpm.oppA),IF(_xlpm.auto,SUMIFS($AB$4:$AB$273,$S$4:$S$273,$AK113,$T$4:$T$273,_xlpm.opp),Scorebook!I463)))</f>
        <v>1</v>
      </c>
      <c r="AU113" s="5" cm="1">
        <f t="array" aca="1" ref="AU113" ca="1">IF($AK113="","",_xlfn.LET(_xlpm.auto,AND(MOD(ROW()-4,6)=0,$AM113&lt;&gt;0,SUMPRODUCT(--(OFFSET($AM113,1,0,5,1)&lt;&gt;0))=0),_xlpm.winner,_xlfn.XLOOKUP($AK113,$H$4:$H$18,$L$4:$L$18,""),IF(_xlpm.auto,--($AL113=_xlpm.winner),Scorebook!J463)))</f>
        <v>0</v>
      </c>
      <c r="AV113" s="5" cm="1">
        <f t="array" aca="1" ref="AV113" ca="1">IF($AK113="","",_xlfn.LET(_xlpm.auto,AND(MOD(ROW()-4,6)=0,$AM113&lt;&gt;0,SUMPRODUCT(--(OFFSET($AM113,1,0,5,1)&lt;&gt;0))=0),_xlpm.loser,_xlfn.XLOOKUP($AK113,$H$4:$H$18,$M$4:$M$18,""),IF(_xlpm.auto,--($AL113=_xlpm.loser),Scorebook!K463)))</f>
        <v>1</v>
      </c>
      <c r="AW113" s="5">
        <f ca="1">Scorebook!L463</f>
        <v>0</v>
      </c>
      <c r="AX113" s="5" cm="1">
        <f t="array" aca="1" ref="AX113" ca="1">IF($AK113="","",_xlfn.LET(_xlpm.auto,AND(MOD(ROW()-4,6)=0,$AM113&lt;&gt;0,SUMPRODUCT(--(OFFSET($AM113,1,0,5,1)&lt;&gt;0))=0),_xlpm.oppA,_xlfn.XLOOKUP($AK113,$H$4:$H$18,$J$4:$J$18,""),_xlpm.oppRuns,IF($AL113=_xlpm.oppA,_xlfn.XLOOKUP($AK113,$H$4:$H$18,$O$4:$O$18,""),_xlfn.XLOOKUP($AK113,$H$4:$H$18,$N$4:$N$18,"")),IF(_xlpm.auto,--(_xlpm.oppRuns=0),Scorebook!M463)))</f>
        <v>0</v>
      </c>
      <c r="AY113" s="5" cm="1">
        <f t="array" aca="1" ref="AY113" ca="1">IF($AK113="","",_xlfn.LET(_xlpm.auto,AND(MOD(ROW()-4,6)=0,$AM113&lt;&gt;0,SUMPRODUCT(--(OFFSET($AM113,1,0,5,1)&lt;&gt;0))=0),IF(_xlpm.auto,1,Scorebook!N463)))</f>
        <v>0</v>
      </c>
      <c r="AZ113" s="5">
        <f>Settings!$B$2</f>
        <v>1</v>
      </c>
    </row>
    <row r="114" spans="19:52">
      <c r="S114" s="4" t="str">
        <f ca="1">Scorebook!$F$296</f>
        <v>G7</v>
      </c>
      <c r="T114" s="5" t="str">
        <f ca="1">Scorebook!$N$296</f>
        <v>May</v>
      </c>
      <c r="U114" s="5" t="str">
        <f ca="1">Scorebook!$B$305</f>
        <v>Petey Piranha</v>
      </c>
      <c r="V114" s="4">
        <v>3</v>
      </c>
      <c r="W114" s="5">
        <f ca="1">Scorebook!M305</f>
        <v>1</v>
      </c>
      <c r="X114" s="5">
        <f ca="1">Scorebook!N305</f>
        <v>0</v>
      </c>
      <c r="Y114" s="5">
        <f ca="1">Scorebook!O305</f>
        <v>0</v>
      </c>
      <c r="Z114" s="5">
        <f ca="1">Scorebook!P305</f>
        <v>0</v>
      </c>
      <c r="AA114" s="5">
        <f ca="1">Scorebook!Q305</f>
        <v>0</v>
      </c>
      <c r="AB114" s="5">
        <f ca="1">Scorebook!R305</f>
        <v>0</v>
      </c>
      <c r="AC114" s="5">
        <f ca="1">Scorebook!S305</f>
        <v>0</v>
      </c>
      <c r="AD114" s="5">
        <f ca="1">Scorebook!T305</f>
        <v>0</v>
      </c>
      <c r="AE114" s="5">
        <f ca="1">Scorebook!U305</f>
        <v>0</v>
      </c>
      <c r="AF114" s="5">
        <f ca="1">Scorebook!V305</f>
        <v>0</v>
      </c>
      <c r="AG114" s="5">
        <f ca="1">Scorebook!W305</f>
        <v>0</v>
      </c>
      <c r="AH114" s="5">
        <f ca="1">Scorebook!X305</f>
        <v>0</v>
      </c>
      <c r="AI114" s="5">
        <f>Settings!$B$2</f>
        <v>1</v>
      </c>
      <c r="AJ114" s="18">
        <f ca="1">IF($AK114="","",Scorebook!$O$464)</f>
        <v>2</v>
      </c>
      <c r="AK114" s="4" t="str">
        <f ca="1">Scorebook!$F$443</f>
        <v>G10</v>
      </c>
      <c r="AL114" s="5" t="str">
        <f ca="1">Scorebook!$N$443</f>
        <v>Nick</v>
      </c>
      <c r="AM114" s="5" t="str">
        <f ca="1">Scorebook!$B$464</f>
        <v>Wario</v>
      </c>
      <c r="AN114" s="5">
        <f ca="1">IF(Scorebook!C464="","",INT(Scorebook!C464)+MOD(ROUND(Scorebook!C464*10,0),10)/3)</f>
        <v>0.3333333333333333</v>
      </c>
      <c r="AO114" s="5" cm="1">
        <f t="array" aca="1" ref="AO114" ca="1">IF($AK114="","",_xlfn.LET(_xlpm.auto,AND(MOD(ROW()-4,6)=0,$AM114&lt;&gt;0,SUMPRODUCT(--(OFFSET($AM114,1,0,5,1)&lt;&gt;0))=0),_xlpm.oppA,_xlfn.XLOOKUP($AK114,$H$4:$H$18,$J$4:$J$18,""),_xlpm.oppB,_xlfn.XLOOKUP($AK114,$H$4:$H$18,$K$4:$K$18,""),_xlpm.opp,IF($AL114=_xlpm.oppA,_xlpm.oppB,_xlpm.oppA),IF(_xlpm.auto,SUMIFS($Y$4:$Y$273,$S$4:$S$273,$AK114,$T$4:$T$273,_xlpm.opp),Scorebook!D464)))</f>
        <v>1</v>
      </c>
      <c r="AP114" s="5" cm="1">
        <f t="array" aca="1" ref="AP114" ca="1">IF($AK114="","",_xlfn.LET(_xlpm.auto,AND(MOD(ROW()-4,6)=0,$AM114&lt;&gt;0,SUMPRODUCT(--(OFFSET($AM114,1,0,5,1)&lt;&gt;0))=0),_xlpm.oppA,_xlfn.XLOOKUP($AK114,$H$4:$H$18,$J$4:$J$18,""),_xlpm.oppRuns,IF($AL114=_xlpm.oppA,_xlfn.XLOOKUP($AK114,$H$4:$H$18,$O$4:$O$18,""),_xlfn.XLOOKUP($AK114,$H$4:$H$18,$N$4:$N$18,"")),IF(_xlpm.auto,_xlpm.oppRuns,Scorebook!E464)))</f>
        <v>0</v>
      </c>
      <c r="AQ114" s="5">
        <f ca="1">Scorebook!F464</f>
        <v>0</v>
      </c>
      <c r="AR114" s="5" cm="1">
        <f t="array" aca="1" ref="AR114" ca="1">IF($AK114="","",_xlfn.LET(_xlpm.auto,AND(MOD(ROW()-4,6)=0,$AM114&lt;&gt;0,SUMPRODUCT(--(OFFSET($AM114,1,0,5,1)&lt;&gt;0))=0),_xlpm.oppA,_xlfn.XLOOKUP($AK114,$H$4:$H$18,$J$4:$J$18,""),_xlpm.oppB,_xlfn.XLOOKUP($AK114,$H$4:$H$18,$K$4:$K$18,""),_xlpm.opp,IF($AL114=_xlpm.oppA,_xlpm.oppB,_xlpm.oppA),IF(_xlpm.auto,SUMIFS($AD$4:$AD$273,$S$4:$S$273,$AK114,$T$4:$T$273,_xlpm.opp),Scorebook!G464)))</f>
        <v>0</v>
      </c>
      <c r="AS114" s="5" cm="1">
        <f t="array" aca="1" ref="AS114" ca="1">IF($AK114="","",_xlfn.LET(_xlpm.auto,AND(MOD(ROW()-4,6)=0,$AM114&lt;&gt;0,SUMPRODUCT(--(OFFSET($AM114,1,0,5,1)&lt;&gt;0))=0),_xlpm.oppA,_xlfn.XLOOKUP($AK114,$H$4:$H$18,$J$4:$J$18,""),_xlpm.oppB,_xlfn.XLOOKUP($AK114,$H$4:$H$18,$K$4:$K$18,""),_xlpm.opp,IF($AL114=_xlpm.oppA,_xlpm.oppB,_xlpm.oppA),IF(_xlpm.auto,SUMIFS($AE$4:$AE$273,$S$4:$S$273,$AK114,$T$4:$T$273,_xlpm.opp),Scorebook!H464)))</f>
        <v>0</v>
      </c>
      <c r="AT114" s="5" cm="1">
        <f t="array" aca="1" ref="AT114" ca="1">IF($AK114="","",_xlfn.LET(_xlpm.auto,AND(MOD(ROW()-4,6)=0,$AM114&lt;&gt;0,SUMPRODUCT(--(OFFSET($AM114,1,0,5,1)&lt;&gt;0))=0),_xlpm.oppA,_xlfn.XLOOKUP($AK114,$H$4:$H$18,$J$4:$J$18,""),_xlpm.oppB,_xlfn.XLOOKUP($AK114,$H$4:$H$18,$K$4:$K$18,""),_xlpm.opp,IF($AL114=_xlpm.oppA,_xlpm.oppB,_xlpm.oppA),IF(_xlpm.auto,SUMIFS($AB$4:$AB$273,$S$4:$S$273,$AK114,$T$4:$T$273,_xlpm.opp),Scorebook!I464)))</f>
        <v>0</v>
      </c>
      <c r="AU114" s="5" cm="1">
        <f t="array" aca="1" ref="AU114" ca="1">IF($AK114="","",_xlfn.LET(_xlpm.auto,AND(MOD(ROW()-4,6)=0,$AM114&lt;&gt;0,SUMPRODUCT(--(OFFSET($AM114,1,0,5,1)&lt;&gt;0))=0),_xlpm.winner,_xlfn.XLOOKUP($AK114,$H$4:$H$18,$L$4:$L$18,""),IF(_xlpm.auto,--($AL114=_xlpm.winner),Scorebook!J464)))</f>
        <v>0</v>
      </c>
      <c r="AV114" s="5" cm="1">
        <f t="array" aca="1" ref="AV114" ca="1">IF($AK114="","",_xlfn.LET(_xlpm.auto,AND(MOD(ROW()-4,6)=0,$AM114&lt;&gt;0,SUMPRODUCT(--(OFFSET($AM114,1,0,5,1)&lt;&gt;0))=0),_xlpm.loser,_xlfn.XLOOKUP($AK114,$H$4:$H$18,$M$4:$M$18,""),IF(_xlpm.auto,--($AL114=_xlpm.loser),Scorebook!K464)))</f>
        <v>0</v>
      </c>
      <c r="AW114" s="5">
        <f ca="1">Scorebook!L464</f>
        <v>0</v>
      </c>
      <c r="AX114" s="5" cm="1">
        <f t="array" aca="1" ref="AX114" ca="1">IF($AK114="","",_xlfn.LET(_xlpm.auto,AND(MOD(ROW()-4,6)=0,$AM114&lt;&gt;0,SUMPRODUCT(--(OFFSET($AM114,1,0,5,1)&lt;&gt;0))=0),_xlpm.oppA,_xlfn.XLOOKUP($AK114,$H$4:$H$18,$J$4:$J$18,""),_xlpm.oppRuns,IF($AL114=_xlpm.oppA,_xlfn.XLOOKUP($AK114,$H$4:$H$18,$O$4:$O$18,""),_xlfn.XLOOKUP($AK114,$H$4:$H$18,$N$4:$N$18,"")),IF(_xlpm.auto,--(_xlpm.oppRuns=0),Scorebook!M464)))</f>
        <v>0</v>
      </c>
      <c r="AY114" s="5" cm="1">
        <f t="array" aca="1" ref="AY114" ca="1">IF($AK114="","",_xlfn.LET(_xlpm.auto,AND(MOD(ROW()-4,6)=0,$AM114&lt;&gt;0,SUMPRODUCT(--(OFFSET($AM114,1,0,5,1)&lt;&gt;0))=0),IF(_xlpm.auto,1,Scorebook!N464)))</f>
        <v>0</v>
      </c>
      <c r="AZ114" s="5">
        <f>Settings!$B$2</f>
        <v>1</v>
      </c>
    </row>
    <row r="115" spans="19:52">
      <c r="S115" s="4" t="str">
        <f ca="1">Scorebook!$F$296</f>
        <v>G7</v>
      </c>
      <c r="T115" s="5" t="str">
        <f ca="1">Scorebook!$N$296</f>
        <v>May</v>
      </c>
      <c r="U115" s="5" t="str">
        <f ca="1">Scorebook!$B$306</f>
        <v>Red Kritter</v>
      </c>
      <c r="V115" s="4">
        <v>4</v>
      </c>
      <c r="W115" s="5">
        <f ca="1">Scorebook!M306</f>
        <v>1</v>
      </c>
      <c r="X115" s="5">
        <f ca="1">Scorebook!N306</f>
        <v>0</v>
      </c>
      <c r="Y115" s="5">
        <f ca="1">Scorebook!O306</f>
        <v>0</v>
      </c>
      <c r="Z115" s="5">
        <f ca="1">Scorebook!P306</f>
        <v>0</v>
      </c>
      <c r="AA115" s="5">
        <f ca="1">Scorebook!Q306</f>
        <v>0</v>
      </c>
      <c r="AB115" s="5">
        <f ca="1">Scorebook!R306</f>
        <v>0</v>
      </c>
      <c r="AC115" s="5">
        <f ca="1">Scorebook!S306</f>
        <v>0</v>
      </c>
      <c r="AD115" s="5">
        <f ca="1">Scorebook!T306</f>
        <v>0</v>
      </c>
      <c r="AE115" s="5">
        <f ca="1">Scorebook!U306</f>
        <v>1</v>
      </c>
      <c r="AF115" s="5">
        <f ca="1">Scorebook!V306</f>
        <v>0</v>
      </c>
      <c r="AG115" s="5">
        <f ca="1">Scorebook!W306</f>
        <v>0</v>
      </c>
      <c r="AH115" s="5">
        <f ca="1">Scorebook!X306</f>
        <v>0</v>
      </c>
      <c r="AI115" s="5">
        <f>Settings!$B$2</f>
        <v>1</v>
      </c>
      <c r="AJ115" s="18">
        <f ca="1">IF($AK115="","",Scorebook!$O$465)</f>
      </c>
      <c r="AK115" s="4" t="str">
        <f ca="1">Scorebook!$F$443</f>
        <v>G10</v>
      </c>
      <c r="AL115" s="5" t="str">
        <f ca="1">Scorebook!$N$443</f>
        <v>Nick</v>
      </c>
      <c r="AM115" s="5" t="str">
        <f>Scorebook!$B$465</f>
      </c>
      <c r="AN115" s="5">
        <f ca="1">IF(Scorebook!C465="","",INT(Scorebook!C465)+MOD(ROUND(Scorebook!C465*10,0),10)/3)</f>
      </c>
      <c r="AO115" s="5" cm="1">
        <f t="array" aca="1" ref="AO115" ca="1">IF($AK115="","",_xlfn.LET(_xlpm.auto,AND(MOD(ROW()-4,6)=0,$AM115&lt;&gt;0,SUMPRODUCT(--(OFFSET($AM115,1,0,5,1)&lt;&gt;0))=0),_xlpm.oppA,_xlfn.XLOOKUP($AK115,$H$4:$H$18,$J$4:$J$18,""),_xlpm.oppB,_xlfn.XLOOKUP($AK115,$H$4:$H$18,$K$4:$K$18,""),_xlpm.opp,IF($AL115=_xlpm.oppA,_xlpm.oppB,_xlpm.oppA),IF(_xlpm.auto,SUMIFS($Y$4:$Y$273,$S$4:$S$273,$AK115,$T$4:$T$273,_xlpm.opp),Scorebook!D465)))</f>
      </c>
      <c r="AP115" s="5" cm="1">
        <f t="array" aca="1" ref="AP115" ca="1">IF($AK115="","",_xlfn.LET(_xlpm.auto,AND(MOD(ROW()-4,6)=0,$AM115&lt;&gt;0,SUMPRODUCT(--(OFFSET($AM115,1,0,5,1)&lt;&gt;0))=0),_xlpm.oppA,_xlfn.XLOOKUP($AK115,$H$4:$H$18,$J$4:$J$18,""),_xlpm.oppRuns,IF($AL115=_xlpm.oppA,_xlfn.XLOOKUP($AK115,$H$4:$H$18,$O$4:$O$18,""),_xlfn.XLOOKUP($AK115,$H$4:$H$18,$N$4:$N$18,"")),IF(_xlpm.auto,_xlpm.oppRuns,Scorebook!E465)))</f>
      </c>
      <c r="AQ115" s="5">
        <f ca="1">Scorebook!F465</f>
      </c>
      <c r="AR115" s="5" cm="1">
        <f t="array" aca="1" ref="AR115" ca="1">IF($AK115="","",_xlfn.LET(_xlpm.auto,AND(MOD(ROW()-4,6)=0,$AM115&lt;&gt;0,SUMPRODUCT(--(OFFSET($AM115,1,0,5,1)&lt;&gt;0))=0),_xlpm.oppA,_xlfn.XLOOKUP($AK115,$H$4:$H$18,$J$4:$J$18,""),_xlpm.oppB,_xlfn.XLOOKUP($AK115,$H$4:$H$18,$K$4:$K$18,""),_xlpm.opp,IF($AL115=_xlpm.oppA,_xlpm.oppB,_xlpm.oppA),IF(_xlpm.auto,SUMIFS($AD$4:$AD$273,$S$4:$S$273,$AK115,$T$4:$T$273,_xlpm.opp),Scorebook!G465)))</f>
      </c>
      <c r="AS115" s="5" cm="1">
        <f t="array" aca="1" ref="AS115" ca="1">IF($AK115="","",_xlfn.LET(_xlpm.auto,AND(MOD(ROW()-4,6)=0,$AM115&lt;&gt;0,SUMPRODUCT(--(OFFSET($AM115,1,0,5,1)&lt;&gt;0))=0),_xlpm.oppA,_xlfn.XLOOKUP($AK115,$H$4:$H$18,$J$4:$J$18,""),_xlpm.oppB,_xlfn.XLOOKUP($AK115,$H$4:$H$18,$K$4:$K$18,""),_xlpm.opp,IF($AL115=_xlpm.oppA,_xlpm.oppB,_xlpm.oppA),IF(_xlpm.auto,SUMIFS($AE$4:$AE$273,$S$4:$S$273,$AK115,$T$4:$T$273,_xlpm.opp),Scorebook!H465)))</f>
      </c>
      <c r="AT115" s="5" cm="1">
        <f t="array" aca="1" ref="AT115" ca="1">IF($AK115="","",_xlfn.LET(_xlpm.auto,AND(MOD(ROW()-4,6)=0,$AM115&lt;&gt;0,SUMPRODUCT(--(OFFSET($AM115,1,0,5,1)&lt;&gt;0))=0),_xlpm.oppA,_xlfn.XLOOKUP($AK115,$H$4:$H$18,$J$4:$J$18,""),_xlpm.oppB,_xlfn.XLOOKUP($AK115,$H$4:$H$18,$K$4:$K$18,""),_xlpm.opp,IF($AL115=_xlpm.oppA,_xlpm.oppB,_xlpm.oppA),IF(_xlpm.auto,SUMIFS($AB$4:$AB$273,$S$4:$S$273,$AK115,$T$4:$T$273,_xlpm.opp),Scorebook!I465)))</f>
      </c>
      <c r="AU115" s="5" cm="1">
        <f t="array" aca="1" ref="AU115" ca="1">IF($AK115="","",_xlfn.LET(_xlpm.auto,AND(MOD(ROW()-4,6)=0,$AM115&lt;&gt;0,SUMPRODUCT(--(OFFSET($AM115,1,0,5,1)&lt;&gt;0))=0),_xlpm.winner,_xlfn.XLOOKUP($AK115,$H$4:$H$18,$L$4:$L$18,""),IF(_xlpm.auto,--($AL115=_xlpm.winner),Scorebook!J465)))</f>
      </c>
      <c r="AV115" s="5" cm="1">
        <f t="array" aca="1" ref="AV115" ca="1">IF($AK115="","",_xlfn.LET(_xlpm.auto,AND(MOD(ROW()-4,6)=0,$AM115&lt;&gt;0,SUMPRODUCT(--(OFFSET($AM115,1,0,5,1)&lt;&gt;0))=0),_xlpm.loser,_xlfn.XLOOKUP($AK115,$H$4:$H$18,$M$4:$M$18,""),IF(_xlpm.auto,--($AL115=_xlpm.loser),Scorebook!K465)))</f>
      </c>
      <c r="AW115" s="5">
        <f ca="1">Scorebook!L465</f>
      </c>
      <c r="AX115" s="5" cm="1">
        <f t="array" aca="1" ref="AX115" ca="1">IF($AK115="","",_xlfn.LET(_xlpm.auto,AND(MOD(ROW()-4,6)=0,$AM115&lt;&gt;0,SUMPRODUCT(--(OFFSET($AM115,1,0,5,1)&lt;&gt;0))=0),_xlpm.oppA,_xlfn.XLOOKUP($AK115,$H$4:$H$18,$J$4:$J$18,""),_xlpm.oppRuns,IF($AL115=_xlpm.oppA,_xlfn.XLOOKUP($AK115,$H$4:$H$18,$O$4:$O$18,""),_xlfn.XLOOKUP($AK115,$H$4:$H$18,$N$4:$N$18,"")),IF(_xlpm.auto,--(_xlpm.oppRuns=0),Scorebook!M465)))</f>
      </c>
      <c r="AY115" s="5" cm="1">
        <f t="array" aca="1" ref="AY115" ca="1">IF($AK115="","",_xlfn.LET(_xlpm.auto,AND(MOD(ROW()-4,6)=0,$AM115&lt;&gt;0,SUMPRODUCT(--(OFFSET($AM115,1,0,5,1)&lt;&gt;0))=0),IF(_xlpm.auto,1,Scorebook!N465)))</f>
      </c>
      <c r="AZ115" s="5">
        <f>Settings!$B$2</f>
        <v>1</v>
      </c>
    </row>
    <row r="116" spans="19:52">
      <c r="S116" s="4" t="str">
        <f ca="1">Scorebook!$F$296</f>
        <v>G7</v>
      </c>
      <c r="T116" s="5" t="str">
        <f ca="1">Scorebook!$N$296</f>
        <v>May</v>
      </c>
      <c r="U116" s="5" t="str">
        <f ca="1">Scorebook!$B$307</f>
        <v>Hammer Bro</v>
      </c>
      <c r="V116" s="4">
        <v>5</v>
      </c>
      <c r="W116" s="5">
        <f ca="1">Scorebook!M307</f>
        <v>0</v>
      </c>
      <c r="X116" s="5">
        <f ca="1">Scorebook!N307</f>
        <v>0</v>
      </c>
      <c r="Y116" s="5">
        <f ca="1">Scorebook!O307</f>
        <v>0</v>
      </c>
      <c r="Z116" s="5">
        <f ca="1">Scorebook!P307</f>
        <v>0</v>
      </c>
      <c r="AA116" s="5">
        <f ca="1">Scorebook!Q307</f>
        <v>0</v>
      </c>
      <c r="AB116" s="5">
        <f ca="1">Scorebook!R307</f>
        <v>0</v>
      </c>
      <c r="AC116" s="5">
        <f ca="1">Scorebook!S307</f>
        <v>0</v>
      </c>
      <c r="AD116" s="5">
        <f ca="1">Scorebook!T307</f>
        <v>0</v>
      </c>
      <c r="AE116" s="5">
        <f ca="1">Scorebook!U307</f>
        <v>0</v>
      </c>
      <c r="AF116" s="5">
        <f ca="1">Scorebook!V307</f>
        <v>1</v>
      </c>
      <c r="AG116" s="5">
        <f ca="1">Scorebook!W307</f>
        <v>0</v>
      </c>
      <c r="AH116" s="5">
        <f ca="1">Scorebook!X307</f>
        <v>0</v>
      </c>
      <c r="AI116" s="5">
        <f>Settings!$B$2</f>
        <v>1</v>
      </c>
      <c r="AJ116" s="18">
        <f ca="1">IF($AK116="","",Scorebook!$O$466)</f>
      </c>
      <c r="AK116" s="4" t="str">
        <f ca="1">Scorebook!$F$443</f>
        <v>G10</v>
      </c>
      <c r="AL116" s="5" t="str">
        <f ca="1">Scorebook!$N$443</f>
        <v>Nick</v>
      </c>
      <c r="AM116" s="5" t="str">
        <f>Scorebook!$B$466</f>
      </c>
      <c r="AN116" s="5">
        <f ca="1">IF(Scorebook!C466="","",INT(Scorebook!C466)+MOD(ROUND(Scorebook!C466*10,0),10)/3)</f>
      </c>
      <c r="AO116" s="5" cm="1">
        <f t="array" aca="1" ref="AO116" ca="1">IF($AK116="","",_xlfn.LET(_xlpm.auto,AND(MOD(ROW()-4,6)=0,$AM116&lt;&gt;0,SUMPRODUCT(--(OFFSET($AM116,1,0,5,1)&lt;&gt;0))=0),_xlpm.oppA,_xlfn.XLOOKUP($AK116,$H$4:$H$18,$J$4:$J$18,""),_xlpm.oppB,_xlfn.XLOOKUP($AK116,$H$4:$H$18,$K$4:$K$18,""),_xlpm.opp,IF($AL116=_xlpm.oppA,_xlpm.oppB,_xlpm.oppA),IF(_xlpm.auto,SUMIFS($Y$4:$Y$273,$S$4:$S$273,$AK116,$T$4:$T$273,_xlpm.opp),Scorebook!D466)))</f>
      </c>
      <c r="AP116" s="5" cm="1">
        <f t="array" aca="1" ref="AP116" ca="1">IF($AK116="","",_xlfn.LET(_xlpm.auto,AND(MOD(ROW()-4,6)=0,$AM116&lt;&gt;0,SUMPRODUCT(--(OFFSET($AM116,1,0,5,1)&lt;&gt;0))=0),_xlpm.oppA,_xlfn.XLOOKUP($AK116,$H$4:$H$18,$J$4:$J$18,""),_xlpm.oppRuns,IF($AL116=_xlpm.oppA,_xlfn.XLOOKUP($AK116,$H$4:$H$18,$O$4:$O$18,""),_xlfn.XLOOKUP($AK116,$H$4:$H$18,$N$4:$N$18,"")),IF(_xlpm.auto,_xlpm.oppRuns,Scorebook!E466)))</f>
      </c>
      <c r="AQ116" s="5">
        <f ca="1">Scorebook!F466</f>
      </c>
      <c r="AR116" s="5" cm="1">
        <f t="array" aca="1" ref="AR116" ca="1">IF($AK116="","",_xlfn.LET(_xlpm.auto,AND(MOD(ROW()-4,6)=0,$AM116&lt;&gt;0,SUMPRODUCT(--(OFFSET($AM116,1,0,5,1)&lt;&gt;0))=0),_xlpm.oppA,_xlfn.XLOOKUP($AK116,$H$4:$H$18,$J$4:$J$18,""),_xlpm.oppB,_xlfn.XLOOKUP($AK116,$H$4:$H$18,$K$4:$K$18,""),_xlpm.opp,IF($AL116=_xlpm.oppA,_xlpm.oppB,_xlpm.oppA),IF(_xlpm.auto,SUMIFS($AD$4:$AD$273,$S$4:$S$273,$AK116,$T$4:$T$273,_xlpm.opp),Scorebook!G466)))</f>
      </c>
      <c r="AS116" s="5" cm="1">
        <f t="array" aca="1" ref="AS116" ca="1">IF($AK116="","",_xlfn.LET(_xlpm.auto,AND(MOD(ROW()-4,6)=0,$AM116&lt;&gt;0,SUMPRODUCT(--(OFFSET($AM116,1,0,5,1)&lt;&gt;0))=0),_xlpm.oppA,_xlfn.XLOOKUP($AK116,$H$4:$H$18,$J$4:$J$18,""),_xlpm.oppB,_xlfn.XLOOKUP($AK116,$H$4:$H$18,$K$4:$K$18,""),_xlpm.opp,IF($AL116=_xlpm.oppA,_xlpm.oppB,_xlpm.oppA),IF(_xlpm.auto,SUMIFS($AE$4:$AE$273,$S$4:$S$273,$AK116,$T$4:$T$273,_xlpm.opp),Scorebook!H466)))</f>
      </c>
      <c r="AT116" s="5" cm="1">
        <f t="array" aca="1" ref="AT116" ca="1">IF($AK116="","",_xlfn.LET(_xlpm.auto,AND(MOD(ROW()-4,6)=0,$AM116&lt;&gt;0,SUMPRODUCT(--(OFFSET($AM116,1,0,5,1)&lt;&gt;0))=0),_xlpm.oppA,_xlfn.XLOOKUP($AK116,$H$4:$H$18,$J$4:$J$18,""),_xlpm.oppB,_xlfn.XLOOKUP($AK116,$H$4:$H$18,$K$4:$K$18,""),_xlpm.opp,IF($AL116=_xlpm.oppA,_xlpm.oppB,_xlpm.oppA),IF(_xlpm.auto,SUMIFS($AB$4:$AB$273,$S$4:$S$273,$AK116,$T$4:$T$273,_xlpm.opp),Scorebook!I466)))</f>
      </c>
      <c r="AU116" s="5" cm="1">
        <f t="array" aca="1" ref="AU116" ca="1">IF($AK116="","",_xlfn.LET(_xlpm.auto,AND(MOD(ROW()-4,6)=0,$AM116&lt;&gt;0,SUMPRODUCT(--(OFFSET($AM116,1,0,5,1)&lt;&gt;0))=0),_xlpm.winner,_xlfn.XLOOKUP($AK116,$H$4:$H$18,$L$4:$L$18,""),IF(_xlpm.auto,--($AL116=_xlpm.winner),Scorebook!J466)))</f>
      </c>
      <c r="AV116" s="5" cm="1">
        <f t="array" aca="1" ref="AV116" ca="1">IF($AK116="","",_xlfn.LET(_xlpm.auto,AND(MOD(ROW()-4,6)=0,$AM116&lt;&gt;0,SUMPRODUCT(--(OFFSET($AM116,1,0,5,1)&lt;&gt;0))=0),_xlpm.loser,_xlfn.XLOOKUP($AK116,$H$4:$H$18,$M$4:$M$18,""),IF(_xlpm.auto,--($AL116=_xlpm.loser),Scorebook!K466)))</f>
      </c>
      <c r="AW116" s="5">
        <f ca="1">Scorebook!L466</f>
      </c>
      <c r="AX116" s="5" cm="1">
        <f t="array" aca="1" ref="AX116" ca="1">IF($AK116="","",_xlfn.LET(_xlpm.auto,AND(MOD(ROW()-4,6)=0,$AM116&lt;&gt;0,SUMPRODUCT(--(OFFSET($AM116,1,0,5,1)&lt;&gt;0))=0),_xlpm.oppA,_xlfn.XLOOKUP($AK116,$H$4:$H$18,$J$4:$J$18,""),_xlpm.oppRuns,IF($AL116=_xlpm.oppA,_xlfn.XLOOKUP($AK116,$H$4:$H$18,$O$4:$O$18,""),_xlfn.XLOOKUP($AK116,$H$4:$H$18,$N$4:$N$18,"")),IF(_xlpm.auto,--(_xlpm.oppRuns=0),Scorebook!M466)))</f>
      </c>
      <c r="AY116" s="5" cm="1">
        <f t="array" aca="1" ref="AY116" ca="1">IF($AK116="","",_xlfn.LET(_xlpm.auto,AND(MOD(ROW()-4,6)=0,$AM116&lt;&gt;0,SUMPRODUCT(--(OFFSET($AM116,1,0,5,1)&lt;&gt;0))=0),IF(_xlpm.auto,1,Scorebook!N466)))</f>
      </c>
      <c r="AZ116" s="5">
        <f>Settings!$B$2</f>
        <v>1</v>
      </c>
    </row>
    <row r="117" spans="19:52">
      <c r="S117" s="4" t="str">
        <f ca="1">Scorebook!$F$296</f>
        <v>G7</v>
      </c>
      <c r="T117" s="5" t="str">
        <f ca="1">Scorebook!$N$296</f>
        <v>May</v>
      </c>
      <c r="U117" s="5" t="str">
        <f ca="1">Scorebook!$B$308</f>
        <v>Red Yoshi</v>
      </c>
      <c r="V117" s="4">
        <v>6</v>
      </c>
      <c r="W117" s="5">
        <f ca="1">Scorebook!M308</f>
        <v>1</v>
      </c>
      <c r="X117" s="5">
        <f ca="1">Scorebook!N308</f>
        <v>0</v>
      </c>
      <c r="Y117" s="5">
        <f ca="1">Scorebook!O308</f>
        <v>0</v>
      </c>
      <c r="Z117" s="5">
        <f ca="1">Scorebook!P308</f>
        <v>0</v>
      </c>
      <c r="AA117" s="5">
        <f ca="1">Scorebook!Q308</f>
        <v>0</v>
      </c>
      <c r="AB117" s="5">
        <f ca="1">Scorebook!R308</f>
        <v>0</v>
      </c>
      <c r="AC117" s="5">
        <f ca="1">Scorebook!S308</f>
        <v>0</v>
      </c>
      <c r="AD117" s="5">
        <f ca="1">Scorebook!T308</f>
        <v>0</v>
      </c>
      <c r="AE117" s="5">
        <f ca="1">Scorebook!U308</f>
        <v>0</v>
      </c>
      <c r="AF117" s="5">
        <f ca="1">Scorebook!V308</f>
        <v>0</v>
      </c>
      <c r="AG117" s="5">
        <f ca="1">Scorebook!W308</f>
        <v>0</v>
      </c>
      <c r="AH117" s="5">
        <f ca="1">Scorebook!X308</f>
        <v>0</v>
      </c>
      <c r="AI117" s="5">
        <f>Settings!$B$2</f>
        <v>1</v>
      </c>
      <c r="AJ117" s="18">
        <f ca="1">IF($AK117="","",Scorebook!$O$467)</f>
      </c>
      <c r="AK117" s="4" t="str">
        <f ca="1">Scorebook!$F$443</f>
        <v>G10</v>
      </c>
      <c r="AL117" s="5" t="str">
        <f ca="1">Scorebook!$N$443</f>
        <v>Nick</v>
      </c>
      <c r="AM117" s="5" t="str">
        <f>Scorebook!$B$467</f>
      </c>
      <c r="AN117" s="5">
        <f ca="1">IF(Scorebook!C467="","",INT(Scorebook!C467)+MOD(ROUND(Scorebook!C467*10,0),10)/3)</f>
      </c>
      <c r="AO117" s="5" cm="1">
        <f t="array" aca="1" ref="AO117" ca="1">IF($AK117="","",_xlfn.LET(_xlpm.auto,AND(MOD(ROW()-4,6)=0,$AM117&lt;&gt;0,SUMPRODUCT(--(OFFSET($AM117,1,0,5,1)&lt;&gt;0))=0),_xlpm.oppA,_xlfn.XLOOKUP($AK117,$H$4:$H$18,$J$4:$J$18,""),_xlpm.oppB,_xlfn.XLOOKUP($AK117,$H$4:$H$18,$K$4:$K$18,""),_xlpm.opp,IF($AL117=_xlpm.oppA,_xlpm.oppB,_xlpm.oppA),IF(_xlpm.auto,SUMIFS($Y$4:$Y$273,$S$4:$S$273,$AK117,$T$4:$T$273,_xlpm.opp),Scorebook!D467)))</f>
      </c>
      <c r="AP117" s="5" cm="1">
        <f t="array" aca="1" ref="AP117" ca="1">IF($AK117="","",_xlfn.LET(_xlpm.auto,AND(MOD(ROW()-4,6)=0,$AM117&lt;&gt;0,SUMPRODUCT(--(OFFSET($AM117,1,0,5,1)&lt;&gt;0))=0),_xlpm.oppA,_xlfn.XLOOKUP($AK117,$H$4:$H$18,$J$4:$J$18,""),_xlpm.oppRuns,IF($AL117=_xlpm.oppA,_xlfn.XLOOKUP($AK117,$H$4:$H$18,$O$4:$O$18,""),_xlfn.XLOOKUP($AK117,$H$4:$H$18,$N$4:$N$18,"")),IF(_xlpm.auto,_xlpm.oppRuns,Scorebook!E467)))</f>
      </c>
      <c r="AQ117" s="5">
        <f ca="1">Scorebook!F467</f>
      </c>
      <c r="AR117" s="5" cm="1">
        <f t="array" aca="1" ref="AR117" ca="1">IF($AK117="","",_xlfn.LET(_xlpm.auto,AND(MOD(ROW()-4,6)=0,$AM117&lt;&gt;0,SUMPRODUCT(--(OFFSET($AM117,1,0,5,1)&lt;&gt;0))=0),_xlpm.oppA,_xlfn.XLOOKUP($AK117,$H$4:$H$18,$J$4:$J$18,""),_xlpm.oppB,_xlfn.XLOOKUP($AK117,$H$4:$H$18,$K$4:$K$18,""),_xlpm.opp,IF($AL117=_xlpm.oppA,_xlpm.oppB,_xlpm.oppA),IF(_xlpm.auto,SUMIFS($AD$4:$AD$273,$S$4:$S$273,$AK117,$T$4:$T$273,_xlpm.opp),Scorebook!G467)))</f>
      </c>
      <c r="AS117" s="5" cm="1">
        <f t="array" aca="1" ref="AS117" ca="1">IF($AK117="","",_xlfn.LET(_xlpm.auto,AND(MOD(ROW()-4,6)=0,$AM117&lt;&gt;0,SUMPRODUCT(--(OFFSET($AM117,1,0,5,1)&lt;&gt;0))=0),_xlpm.oppA,_xlfn.XLOOKUP($AK117,$H$4:$H$18,$J$4:$J$18,""),_xlpm.oppB,_xlfn.XLOOKUP($AK117,$H$4:$H$18,$K$4:$K$18,""),_xlpm.opp,IF($AL117=_xlpm.oppA,_xlpm.oppB,_xlpm.oppA),IF(_xlpm.auto,SUMIFS($AE$4:$AE$273,$S$4:$S$273,$AK117,$T$4:$T$273,_xlpm.opp),Scorebook!H467)))</f>
      </c>
      <c r="AT117" s="5" cm="1">
        <f t="array" aca="1" ref="AT117" ca="1">IF($AK117="","",_xlfn.LET(_xlpm.auto,AND(MOD(ROW()-4,6)=0,$AM117&lt;&gt;0,SUMPRODUCT(--(OFFSET($AM117,1,0,5,1)&lt;&gt;0))=0),_xlpm.oppA,_xlfn.XLOOKUP($AK117,$H$4:$H$18,$J$4:$J$18,""),_xlpm.oppB,_xlfn.XLOOKUP($AK117,$H$4:$H$18,$K$4:$K$18,""),_xlpm.opp,IF($AL117=_xlpm.oppA,_xlpm.oppB,_xlpm.oppA),IF(_xlpm.auto,SUMIFS($AB$4:$AB$273,$S$4:$S$273,$AK117,$T$4:$T$273,_xlpm.opp),Scorebook!I467)))</f>
      </c>
      <c r="AU117" s="5" cm="1">
        <f t="array" aca="1" ref="AU117" ca="1">IF($AK117="","",_xlfn.LET(_xlpm.auto,AND(MOD(ROW()-4,6)=0,$AM117&lt;&gt;0,SUMPRODUCT(--(OFFSET($AM117,1,0,5,1)&lt;&gt;0))=0),_xlpm.winner,_xlfn.XLOOKUP($AK117,$H$4:$H$18,$L$4:$L$18,""),IF(_xlpm.auto,--($AL117=_xlpm.winner),Scorebook!J467)))</f>
      </c>
      <c r="AV117" s="5" cm="1">
        <f t="array" aca="1" ref="AV117" ca="1">IF($AK117="","",_xlfn.LET(_xlpm.auto,AND(MOD(ROW()-4,6)=0,$AM117&lt;&gt;0,SUMPRODUCT(--(OFFSET($AM117,1,0,5,1)&lt;&gt;0))=0),_xlpm.loser,_xlfn.XLOOKUP($AK117,$H$4:$H$18,$M$4:$M$18,""),IF(_xlpm.auto,--($AL117=_xlpm.loser),Scorebook!K467)))</f>
      </c>
      <c r="AW117" s="5">
        <f ca="1">Scorebook!L467</f>
      </c>
      <c r="AX117" s="5" cm="1">
        <f t="array" aca="1" ref="AX117" ca="1">IF($AK117="","",_xlfn.LET(_xlpm.auto,AND(MOD(ROW()-4,6)=0,$AM117&lt;&gt;0,SUMPRODUCT(--(OFFSET($AM117,1,0,5,1)&lt;&gt;0))=0),_xlpm.oppA,_xlfn.XLOOKUP($AK117,$H$4:$H$18,$J$4:$J$18,""),_xlpm.oppRuns,IF($AL117=_xlpm.oppA,_xlfn.XLOOKUP($AK117,$H$4:$H$18,$O$4:$O$18,""),_xlfn.XLOOKUP($AK117,$H$4:$H$18,$N$4:$N$18,"")),IF(_xlpm.auto,--(_xlpm.oppRuns=0),Scorebook!M467)))</f>
      </c>
      <c r="AY117" s="5" cm="1">
        <f t="array" aca="1" ref="AY117" ca="1">IF($AK117="","",_xlfn.LET(_xlpm.auto,AND(MOD(ROW()-4,6)=0,$AM117&lt;&gt;0,SUMPRODUCT(--(OFFSET($AM117,1,0,5,1)&lt;&gt;0))=0),IF(_xlpm.auto,1,Scorebook!N467)))</f>
      </c>
      <c r="AZ117" s="5">
        <f>Settings!$B$2</f>
        <v>1</v>
      </c>
    </row>
    <row r="118" spans="19:52">
      <c r="S118" s="4" t="str">
        <f ca="1">Scorebook!$F$296</f>
        <v>G7</v>
      </c>
      <c r="T118" s="5" t="str">
        <f ca="1">Scorebook!$N$296</f>
        <v>May</v>
      </c>
      <c r="U118" s="5" t="str">
        <f ca="1">Scorebook!$B$309</f>
        <v>Koopa</v>
      </c>
      <c r="V118" s="4">
        <v>7</v>
      </c>
      <c r="W118" s="5">
        <f ca="1">Scorebook!M309</f>
        <v>1</v>
      </c>
      <c r="X118" s="5">
        <f ca="1">Scorebook!N309</f>
        <v>0</v>
      </c>
      <c r="Y118" s="5">
        <f ca="1">Scorebook!O309</f>
        <v>0</v>
      </c>
      <c r="Z118" s="5">
        <f ca="1">Scorebook!P309</f>
        <v>0</v>
      </c>
      <c r="AA118" s="5">
        <f ca="1">Scorebook!Q309</f>
        <v>0</v>
      </c>
      <c r="AB118" s="5">
        <f ca="1">Scorebook!R309</f>
        <v>0</v>
      </c>
      <c r="AC118" s="5">
        <f ca="1">Scorebook!S309</f>
        <v>0</v>
      </c>
      <c r="AD118" s="5">
        <f ca="1">Scorebook!T309</f>
        <v>0</v>
      </c>
      <c r="AE118" s="5">
        <f ca="1">Scorebook!U309</f>
        <v>0</v>
      </c>
      <c r="AF118" s="5">
        <f ca="1">Scorebook!V309</f>
        <v>0</v>
      </c>
      <c r="AG118" s="5">
        <f ca="1">Scorebook!W309</f>
        <v>0</v>
      </c>
      <c r="AH118" s="5">
        <f ca="1">Scorebook!X309</f>
        <v>0</v>
      </c>
      <c r="AI118" s="5">
        <f>Settings!$B$2</f>
        <v>1</v>
      </c>
      <c r="AJ118" s="18">
        <f ca="1">IF($AK118="","",Scorebook!$O$483)</f>
        <v>10</v>
      </c>
      <c r="AK118" s="4" t="str">
        <f ca="1">Scorebook!$F$443</f>
        <v>G10</v>
      </c>
      <c r="AL118" s="5" t="str">
        <f ca="1">Scorebook!$R$443</f>
        <v>Jason</v>
      </c>
      <c r="AM118" s="5" t="str">
        <f ca="1">Scorebook!$B$483</f>
        <v>Peach</v>
      </c>
      <c r="AN118" s="5">
        <f ca="1">IF(Scorebook!C483="","",INT(Scorebook!C483)+MOD(ROUND(Scorebook!C483*10,0),10)/3)</f>
        <v>2.0</v>
      </c>
      <c r="AO118" s="5" cm="1">
        <f t="array" aca="1" ref="AO118" ca="1">IF($AK118="","",_xlfn.LET(_xlpm.auto,AND(MOD(ROW()-4,6)=0,$AM118&lt;&gt;0,SUMPRODUCT(--(OFFSET($AM118,1,0,5,1)&lt;&gt;0))=0),_xlpm.oppA,_xlfn.XLOOKUP($AK118,$H$4:$H$18,$J$4:$J$18,""),_xlpm.oppB,_xlfn.XLOOKUP($AK118,$H$4:$H$18,$K$4:$K$18,""),_xlpm.opp,IF($AL118=_xlpm.oppA,_xlpm.oppB,_xlpm.oppA),IF(_xlpm.auto,SUMIFS($Y$4:$Y$273,$S$4:$S$273,$AK118,$T$4:$T$273,_xlpm.opp),Scorebook!D483)))</f>
        <v>3</v>
      </c>
      <c r="AP118" s="5" cm="1">
        <f t="array" aca="1" ref="AP118" ca="1">IF($AK118="","",_xlfn.LET(_xlpm.auto,AND(MOD(ROW()-4,6)=0,$AM118&lt;&gt;0,SUMPRODUCT(--(OFFSET($AM118,1,0,5,1)&lt;&gt;0))=0),_xlpm.oppA,_xlfn.XLOOKUP($AK118,$H$4:$H$18,$J$4:$J$18,""),_xlpm.oppRuns,IF($AL118=_xlpm.oppA,_xlfn.XLOOKUP($AK118,$H$4:$H$18,$O$4:$O$18,""),_xlfn.XLOOKUP($AK118,$H$4:$H$18,$N$4:$N$18,"")),IF(_xlpm.auto,_xlpm.oppRuns,Scorebook!E483)))</f>
        <v>0</v>
      </c>
      <c r="AQ118" s="5">
        <f ca="1">Scorebook!F483</f>
        <v>0</v>
      </c>
      <c r="AR118" s="5" cm="1">
        <f t="array" aca="1" ref="AR118" ca="1">IF($AK118="","",_xlfn.LET(_xlpm.auto,AND(MOD(ROW()-4,6)=0,$AM118&lt;&gt;0,SUMPRODUCT(--(OFFSET($AM118,1,0,5,1)&lt;&gt;0))=0),_xlpm.oppA,_xlfn.XLOOKUP($AK118,$H$4:$H$18,$J$4:$J$18,""),_xlpm.oppB,_xlfn.XLOOKUP($AK118,$H$4:$H$18,$K$4:$K$18,""),_xlpm.opp,IF($AL118=_xlpm.oppA,_xlpm.oppB,_xlpm.oppA),IF(_xlpm.auto,SUMIFS($AD$4:$AD$273,$S$4:$S$273,$AK118,$T$4:$T$273,_xlpm.opp),Scorebook!G483)))</f>
        <v>0</v>
      </c>
      <c r="AS118" s="5" cm="1">
        <f t="array" aca="1" ref="AS118" ca="1">IF($AK118="","",_xlfn.LET(_xlpm.auto,AND(MOD(ROW()-4,6)=0,$AM118&lt;&gt;0,SUMPRODUCT(--(OFFSET($AM118,1,0,5,1)&lt;&gt;0))=0),_xlpm.oppA,_xlfn.XLOOKUP($AK118,$H$4:$H$18,$J$4:$J$18,""),_xlpm.oppB,_xlfn.XLOOKUP($AK118,$H$4:$H$18,$K$4:$K$18,""),_xlpm.opp,IF($AL118=_xlpm.oppA,_xlpm.oppB,_xlpm.oppA),IF(_xlpm.auto,SUMIFS($AE$4:$AE$273,$S$4:$S$273,$AK118,$T$4:$T$273,_xlpm.opp),Scorebook!H483)))</f>
        <v>5</v>
      </c>
      <c r="AT118" s="5" cm="1">
        <f t="array" aca="1" ref="AT118" ca="1">IF($AK118="","",_xlfn.LET(_xlpm.auto,AND(MOD(ROW()-4,6)=0,$AM118&lt;&gt;0,SUMPRODUCT(--(OFFSET($AM118,1,0,5,1)&lt;&gt;0))=0),_xlpm.oppA,_xlfn.XLOOKUP($AK118,$H$4:$H$18,$J$4:$J$18,""),_xlpm.oppB,_xlfn.XLOOKUP($AK118,$H$4:$H$18,$K$4:$K$18,""),_xlpm.opp,IF($AL118=_xlpm.oppA,_xlpm.oppB,_xlpm.oppA),IF(_xlpm.auto,SUMIFS($AB$4:$AB$273,$S$4:$S$273,$AK118,$T$4:$T$273,_xlpm.opp),Scorebook!I483)))</f>
        <v>0</v>
      </c>
      <c r="AU118" s="5" cm="1">
        <f t="array" aca="1" ref="AU118" ca="1">IF($AK118="","",_xlfn.LET(_xlpm.auto,AND(MOD(ROW()-4,6)=0,$AM118&lt;&gt;0,SUMPRODUCT(--(OFFSET($AM118,1,0,5,1)&lt;&gt;0))=0),_xlpm.winner,_xlfn.XLOOKUP($AK118,$H$4:$H$18,$L$4:$L$18,""),IF(_xlpm.auto,--($AL118=_xlpm.winner),Scorebook!J483)))</f>
        <v>1</v>
      </c>
      <c r="AV118" s="5" cm="1">
        <f t="array" aca="1" ref="AV118" ca="1">IF($AK118="","",_xlfn.LET(_xlpm.auto,AND(MOD(ROW()-4,6)=0,$AM118&lt;&gt;0,SUMPRODUCT(--(OFFSET($AM118,1,0,5,1)&lt;&gt;0))=0),_xlpm.loser,_xlfn.XLOOKUP($AK118,$H$4:$H$18,$M$4:$M$18,""),IF(_xlpm.auto,--($AL118=_xlpm.loser),Scorebook!K483)))</f>
        <v>0</v>
      </c>
      <c r="AW118" s="5">
        <f ca="1">Scorebook!L483</f>
        <v>0</v>
      </c>
      <c r="AX118" s="5" cm="1">
        <f t="array" aca="1" ref="AX118" ca="1">IF($AK118="","",_xlfn.LET(_xlpm.auto,AND(MOD(ROW()-4,6)=0,$AM118&lt;&gt;0,SUMPRODUCT(--(OFFSET($AM118,1,0,5,1)&lt;&gt;0))=0),_xlpm.oppA,_xlfn.XLOOKUP($AK118,$H$4:$H$18,$J$4:$J$18,""),_xlpm.oppRuns,IF($AL118=_xlpm.oppA,_xlfn.XLOOKUP($AK118,$H$4:$H$18,$O$4:$O$18,""),_xlfn.XLOOKUP($AK118,$H$4:$H$18,$N$4:$N$18,"")),IF(_xlpm.auto,--(_xlpm.oppRuns=0),Scorebook!M483)))</f>
        <v>0</v>
      </c>
      <c r="AY118" s="5" cm="1">
        <f t="array" aca="1" ref="AY118" ca="1">IF($AK118="","",_xlfn.LET(_xlpm.auto,AND(MOD(ROW()-4,6)=0,$AM118&lt;&gt;0,SUMPRODUCT(--(OFFSET($AM118,1,0,5,1)&lt;&gt;0))=0),IF(_xlpm.auto,1,Scorebook!N483)))</f>
        <v>0</v>
      </c>
      <c r="AZ118" s="5">
        <f>Settings!$B$2</f>
        <v>1</v>
      </c>
    </row>
    <row r="119" spans="19:52">
      <c r="S119" s="4" t="str">
        <f ca="1">Scorebook!$F$296</f>
        <v>G7</v>
      </c>
      <c r="T119" s="5" t="str">
        <f ca="1">Scorebook!$N$296</f>
        <v>May</v>
      </c>
      <c r="U119" s="5" t="str">
        <f ca="1">Scorebook!$B$310</f>
        <v>Green Shy Guy</v>
      </c>
      <c r="V119" s="4">
        <v>8</v>
      </c>
      <c r="W119" s="5">
        <f ca="1">Scorebook!M310</f>
        <v>1</v>
      </c>
      <c r="X119" s="5">
        <f ca="1">Scorebook!N310</f>
        <v>0</v>
      </c>
      <c r="Y119" s="5">
        <f ca="1">Scorebook!O310</f>
        <v>0</v>
      </c>
      <c r="Z119" s="5">
        <f ca="1">Scorebook!P310</f>
        <v>0</v>
      </c>
      <c r="AA119" s="5">
        <f ca="1">Scorebook!Q310</f>
        <v>0</v>
      </c>
      <c r="AB119" s="5">
        <f ca="1">Scorebook!R310</f>
        <v>0</v>
      </c>
      <c r="AC119" s="5">
        <f ca="1">Scorebook!S310</f>
        <v>0</v>
      </c>
      <c r="AD119" s="5">
        <f ca="1">Scorebook!T310</f>
        <v>0</v>
      </c>
      <c r="AE119" s="5">
        <f ca="1">Scorebook!U310</f>
        <v>1</v>
      </c>
      <c r="AF119" s="5">
        <f ca="1">Scorebook!V310</f>
        <v>0</v>
      </c>
      <c r="AG119" s="5">
        <f ca="1">Scorebook!W310</f>
        <v>0</v>
      </c>
      <c r="AH119" s="5">
        <f ca="1">Scorebook!X310</f>
        <v>0</v>
      </c>
      <c r="AI119" s="5">
        <f>Settings!$B$2</f>
        <v>1</v>
      </c>
      <c r="AJ119" s="18">
        <f ca="1">IF($AK119="","",Scorebook!$O$484)</f>
        <v>3</v>
      </c>
      <c r="AK119" s="4" t="str">
        <f ca="1">Scorebook!$F$443</f>
        <v>G10</v>
      </c>
      <c r="AL119" s="5" t="str">
        <f ca="1">Scorebook!$R$443</f>
        <v>Jason</v>
      </c>
      <c r="AM119" s="5" t="str">
        <f ca="1">Scorebook!$B$484</f>
        <v>King K. Rool</v>
      </c>
      <c r="AN119" s="5">
        <f ca="1">IF(Scorebook!C484="","",INT(Scorebook!C484)+MOD(ROUND(Scorebook!C484*10,0),10)/3)</f>
        <v>1.0</v>
      </c>
      <c r="AO119" s="5" cm="1">
        <f t="array" aca="1" ref="AO119" ca="1">IF($AK119="","",_xlfn.LET(_xlpm.auto,AND(MOD(ROW()-4,6)=0,$AM119&lt;&gt;0,SUMPRODUCT(--(OFFSET($AM119,1,0,5,1)&lt;&gt;0))=0),_xlpm.oppA,_xlfn.XLOOKUP($AK119,$H$4:$H$18,$J$4:$J$18,""),_xlpm.oppB,_xlfn.XLOOKUP($AK119,$H$4:$H$18,$K$4:$K$18,""),_xlpm.opp,IF($AL119=_xlpm.oppA,_xlpm.oppB,_xlpm.oppA),IF(_xlpm.auto,SUMIFS($Y$4:$Y$273,$S$4:$S$273,$AK119,$T$4:$T$273,_xlpm.opp),Scorebook!D484)))</f>
        <v>1</v>
      </c>
      <c r="AP119" s="5" cm="1">
        <f t="array" aca="1" ref="AP119" ca="1">IF($AK119="","",_xlfn.LET(_xlpm.auto,AND(MOD(ROW()-4,6)=0,$AM119&lt;&gt;0,SUMPRODUCT(--(OFFSET($AM119,1,0,5,1)&lt;&gt;0))=0),_xlpm.oppA,_xlfn.XLOOKUP($AK119,$H$4:$H$18,$J$4:$J$18,""),_xlpm.oppRuns,IF($AL119=_xlpm.oppA,_xlfn.XLOOKUP($AK119,$H$4:$H$18,$O$4:$O$18,""),_xlfn.XLOOKUP($AK119,$H$4:$H$18,$N$4:$N$18,"")),IF(_xlpm.auto,_xlpm.oppRuns,Scorebook!E484)))</f>
        <v>0</v>
      </c>
      <c r="AQ119" s="5">
        <f ca="1">Scorebook!F484</f>
        <v>0</v>
      </c>
      <c r="AR119" s="5" cm="1">
        <f t="array" aca="1" ref="AR119" ca="1">IF($AK119="","",_xlfn.LET(_xlpm.auto,AND(MOD(ROW()-4,6)=0,$AM119&lt;&gt;0,SUMPRODUCT(--(OFFSET($AM119,1,0,5,1)&lt;&gt;0))=0),_xlpm.oppA,_xlfn.XLOOKUP($AK119,$H$4:$H$18,$J$4:$J$18,""),_xlpm.oppB,_xlfn.XLOOKUP($AK119,$H$4:$H$18,$K$4:$K$18,""),_xlpm.opp,IF($AL119=_xlpm.oppA,_xlpm.oppB,_xlpm.oppA),IF(_xlpm.auto,SUMIFS($AD$4:$AD$273,$S$4:$S$273,$AK119,$T$4:$T$273,_xlpm.opp),Scorebook!G484)))</f>
        <v>0</v>
      </c>
      <c r="AS119" s="5" cm="1">
        <f t="array" aca="1" ref="AS119" ca="1">IF($AK119="","",_xlfn.LET(_xlpm.auto,AND(MOD(ROW()-4,6)=0,$AM119&lt;&gt;0,SUMPRODUCT(--(OFFSET($AM119,1,0,5,1)&lt;&gt;0))=0),_xlpm.oppA,_xlfn.XLOOKUP($AK119,$H$4:$H$18,$J$4:$J$18,""),_xlpm.oppB,_xlfn.XLOOKUP($AK119,$H$4:$H$18,$K$4:$K$18,""),_xlpm.opp,IF($AL119=_xlpm.oppA,_xlpm.oppB,_xlpm.oppA),IF(_xlpm.auto,SUMIFS($AE$4:$AE$273,$S$4:$S$273,$AK119,$T$4:$T$273,_xlpm.opp),Scorebook!H484)))</f>
        <v>0</v>
      </c>
      <c r="AT119" s="5" cm="1">
        <f t="array" aca="1" ref="AT119" ca="1">IF($AK119="","",_xlfn.LET(_xlpm.auto,AND(MOD(ROW()-4,6)=0,$AM119&lt;&gt;0,SUMPRODUCT(--(OFFSET($AM119,1,0,5,1)&lt;&gt;0))=0),_xlpm.oppA,_xlfn.XLOOKUP($AK119,$H$4:$H$18,$J$4:$J$18,""),_xlpm.oppB,_xlfn.XLOOKUP($AK119,$H$4:$H$18,$K$4:$K$18,""),_xlpm.opp,IF($AL119=_xlpm.oppA,_xlpm.oppB,_xlpm.oppA),IF(_xlpm.auto,SUMIFS($AB$4:$AB$273,$S$4:$S$273,$AK119,$T$4:$T$273,_xlpm.opp),Scorebook!I484)))</f>
        <v>0</v>
      </c>
      <c r="AU119" s="5" cm="1">
        <f t="array" aca="1" ref="AU119" ca="1">IF($AK119="","",_xlfn.LET(_xlpm.auto,AND(MOD(ROW()-4,6)=0,$AM119&lt;&gt;0,SUMPRODUCT(--(OFFSET($AM119,1,0,5,1)&lt;&gt;0))=0),_xlpm.winner,_xlfn.XLOOKUP($AK119,$H$4:$H$18,$L$4:$L$18,""),IF(_xlpm.auto,--($AL119=_xlpm.winner),Scorebook!J484)))</f>
        <v>0</v>
      </c>
      <c r="AV119" s="5" cm="1">
        <f t="array" aca="1" ref="AV119" ca="1">IF($AK119="","",_xlfn.LET(_xlpm.auto,AND(MOD(ROW()-4,6)=0,$AM119&lt;&gt;0,SUMPRODUCT(--(OFFSET($AM119,1,0,5,1)&lt;&gt;0))=0),_xlpm.loser,_xlfn.XLOOKUP($AK119,$H$4:$H$18,$M$4:$M$18,""),IF(_xlpm.auto,--($AL119=_xlpm.loser),Scorebook!K484)))</f>
        <v>0</v>
      </c>
      <c r="AW119" s="5">
        <f ca="1">Scorebook!L484</f>
        <v>0</v>
      </c>
      <c r="AX119" s="5" cm="1">
        <f t="array" aca="1" ref="AX119" ca="1">IF($AK119="","",_xlfn.LET(_xlpm.auto,AND(MOD(ROW()-4,6)=0,$AM119&lt;&gt;0,SUMPRODUCT(--(OFFSET($AM119,1,0,5,1)&lt;&gt;0))=0),_xlpm.oppA,_xlfn.XLOOKUP($AK119,$H$4:$H$18,$J$4:$J$18,""),_xlpm.oppRuns,IF($AL119=_xlpm.oppA,_xlfn.XLOOKUP($AK119,$H$4:$H$18,$O$4:$O$18,""),_xlfn.XLOOKUP($AK119,$H$4:$H$18,$N$4:$N$18,"")),IF(_xlpm.auto,--(_xlpm.oppRuns=0),Scorebook!M484)))</f>
        <v>0</v>
      </c>
      <c r="AY119" s="5" cm="1">
        <f t="array" aca="1" ref="AY119" ca="1">IF($AK119="","",_xlfn.LET(_xlpm.auto,AND(MOD(ROW()-4,6)=0,$AM119&lt;&gt;0,SUMPRODUCT(--(OFFSET($AM119,1,0,5,1)&lt;&gt;0))=0),IF(_xlpm.auto,1,Scorebook!N484)))</f>
        <v>0</v>
      </c>
      <c r="AZ119" s="5">
        <f>Settings!$B$2</f>
        <v>1</v>
      </c>
    </row>
    <row r="120" spans="19:52">
      <c r="S120" s="4" t="str">
        <f ca="1">Scorebook!$F$296</f>
        <v>G7</v>
      </c>
      <c r="T120" s="5" t="str">
        <f ca="1">Scorebook!$N$296</f>
        <v>May</v>
      </c>
      <c r="U120" s="5" t="str">
        <f ca="1">Scorebook!$B$311</f>
        <v>Baby Peach</v>
      </c>
      <c r="V120" s="4">
        <v>9</v>
      </c>
      <c r="W120" s="5">
        <f ca="1">Scorebook!M311</f>
        <v>0</v>
      </c>
      <c r="X120" s="5">
        <f ca="1">Scorebook!N311</f>
        <v>0</v>
      </c>
      <c r="Y120" s="5">
        <f ca="1">Scorebook!O311</f>
        <v>0</v>
      </c>
      <c r="Z120" s="5">
        <f ca="1">Scorebook!P311</f>
        <v>0</v>
      </c>
      <c r="AA120" s="5">
        <f ca="1">Scorebook!Q311</f>
        <v>0</v>
      </c>
      <c r="AB120" s="5">
        <f ca="1">Scorebook!R311</f>
        <v>0</v>
      </c>
      <c r="AC120" s="5">
        <f ca="1">Scorebook!S311</f>
        <v>0</v>
      </c>
      <c r="AD120" s="5">
        <f ca="1">Scorebook!T311</f>
        <v>0</v>
      </c>
      <c r="AE120" s="5">
        <f ca="1">Scorebook!U311</f>
        <v>0</v>
      </c>
      <c r="AF120" s="5">
        <f ca="1">Scorebook!V311</f>
        <v>0</v>
      </c>
      <c r="AG120" s="5">
        <f ca="1">Scorebook!W311</f>
        <v>0</v>
      </c>
      <c r="AH120" s="5">
        <f ca="1">Scorebook!X311</f>
        <v>0</v>
      </c>
      <c r="AI120" s="5">
        <f>Settings!$B$2</f>
        <v>1</v>
      </c>
      <c r="AJ120" s="18">
        <f ca="1">IF($AK120="","",Scorebook!$O$485)</f>
      </c>
      <c r="AK120" s="4" t="str">
        <f ca="1">Scorebook!$F$443</f>
        <v>G10</v>
      </c>
      <c r="AL120" s="5" t="str">
        <f ca="1">Scorebook!$R$443</f>
        <v>Jason</v>
      </c>
      <c r="AM120" s="5" t="str">
        <f>Scorebook!$B$485</f>
      </c>
      <c r="AN120" s="5">
        <f ca="1">IF(Scorebook!C485="","",INT(Scorebook!C485)+MOD(ROUND(Scorebook!C485*10,0),10)/3)</f>
      </c>
      <c r="AO120" s="5" cm="1">
        <f t="array" aca="1" ref="AO120" ca="1">IF($AK120="","",_xlfn.LET(_xlpm.auto,AND(MOD(ROW()-4,6)=0,$AM120&lt;&gt;0,SUMPRODUCT(--(OFFSET($AM120,1,0,5,1)&lt;&gt;0))=0),_xlpm.oppA,_xlfn.XLOOKUP($AK120,$H$4:$H$18,$J$4:$J$18,""),_xlpm.oppB,_xlfn.XLOOKUP($AK120,$H$4:$H$18,$K$4:$K$18,""),_xlpm.opp,IF($AL120=_xlpm.oppA,_xlpm.oppB,_xlpm.oppA),IF(_xlpm.auto,SUMIFS($Y$4:$Y$273,$S$4:$S$273,$AK120,$T$4:$T$273,_xlpm.opp),Scorebook!D485)))</f>
      </c>
      <c r="AP120" s="5" cm="1">
        <f t="array" aca="1" ref="AP120" ca="1">IF($AK120="","",_xlfn.LET(_xlpm.auto,AND(MOD(ROW()-4,6)=0,$AM120&lt;&gt;0,SUMPRODUCT(--(OFFSET($AM120,1,0,5,1)&lt;&gt;0))=0),_xlpm.oppA,_xlfn.XLOOKUP($AK120,$H$4:$H$18,$J$4:$J$18,""),_xlpm.oppRuns,IF($AL120=_xlpm.oppA,_xlfn.XLOOKUP($AK120,$H$4:$H$18,$O$4:$O$18,""),_xlfn.XLOOKUP($AK120,$H$4:$H$18,$N$4:$N$18,"")),IF(_xlpm.auto,_xlpm.oppRuns,Scorebook!E485)))</f>
      </c>
      <c r="AQ120" s="5">
        <f ca="1">Scorebook!F485</f>
      </c>
      <c r="AR120" s="5" cm="1">
        <f t="array" aca="1" ref="AR120" ca="1">IF($AK120="","",_xlfn.LET(_xlpm.auto,AND(MOD(ROW()-4,6)=0,$AM120&lt;&gt;0,SUMPRODUCT(--(OFFSET($AM120,1,0,5,1)&lt;&gt;0))=0),_xlpm.oppA,_xlfn.XLOOKUP($AK120,$H$4:$H$18,$J$4:$J$18,""),_xlpm.oppB,_xlfn.XLOOKUP($AK120,$H$4:$H$18,$K$4:$K$18,""),_xlpm.opp,IF($AL120=_xlpm.oppA,_xlpm.oppB,_xlpm.oppA),IF(_xlpm.auto,SUMIFS($AD$4:$AD$273,$S$4:$S$273,$AK120,$T$4:$T$273,_xlpm.opp),Scorebook!G485)))</f>
      </c>
      <c r="AS120" s="5" cm="1">
        <f t="array" aca="1" ref="AS120" ca="1">IF($AK120="","",_xlfn.LET(_xlpm.auto,AND(MOD(ROW()-4,6)=0,$AM120&lt;&gt;0,SUMPRODUCT(--(OFFSET($AM120,1,0,5,1)&lt;&gt;0))=0),_xlpm.oppA,_xlfn.XLOOKUP($AK120,$H$4:$H$18,$J$4:$J$18,""),_xlpm.oppB,_xlfn.XLOOKUP($AK120,$H$4:$H$18,$K$4:$K$18,""),_xlpm.opp,IF($AL120=_xlpm.oppA,_xlpm.oppB,_xlpm.oppA),IF(_xlpm.auto,SUMIFS($AE$4:$AE$273,$S$4:$S$273,$AK120,$T$4:$T$273,_xlpm.opp),Scorebook!H485)))</f>
      </c>
      <c r="AT120" s="5" cm="1">
        <f t="array" aca="1" ref="AT120" ca="1">IF($AK120="","",_xlfn.LET(_xlpm.auto,AND(MOD(ROW()-4,6)=0,$AM120&lt;&gt;0,SUMPRODUCT(--(OFFSET($AM120,1,0,5,1)&lt;&gt;0))=0),_xlpm.oppA,_xlfn.XLOOKUP($AK120,$H$4:$H$18,$J$4:$J$18,""),_xlpm.oppB,_xlfn.XLOOKUP($AK120,$H$4:$H$18,$K$4:$K$18,""),_xlpm.opp,IF($AL120=_xlpm.oppA,_xlpm.oppB,_xlpm.oppA),IF(_xlpm.auto,SUMIFS($AB$4:$AB$273,$S$4:$S$273,$AK120,$T$4:$T$273,_xlpm.opp),Scorebook!I485)))</f>
      </c>
      <c r="AU120" s="5" cm="1">
        <f t="array" aca="1" ref="AU120" ca="1">IF($AK120="","",_xlfn.LET(_xlpm.auto,AND(MOD(ROW()-4,6)=0,$AM120&lt;&gt;0,SUMPRODUCT(--(OFFSET($AM120,1,0,5,1)&lt;&gt;0))=0),_xlpm.winner,_xlfn.XLOOKUP($AK120,$H$4:$H$18,$L$4:$L$18,""),IF(_xlpm.auto,--($AL120=_xlpm.winner),Scorebook!J485)))</f>
      </c>
      <c r="AV120" s="5" cm="1">
        <f t="array" aca="1" ref="AV120" ca="1">IF($AK120="","",_xlfn.LET(_xlpm.auto,AND(MOD(ROW()-4,6)=0,$AM120&lt;&gt;0,SUMPRODUCT(--(OFFSET($AM120,1,0,5,1)&lt;&gt;0))=0),_xlpm.loser,_xlfn.XLOOKUP($AK120,$H$4:$H$18,$M$4:$M$18,""),IF(_xlpm.auto,--($AL120=_xlpm.loser),Scorebook!K485)))</f>
      </c>
      <c r="AW120" s="5">
        <f ca="1">Scorebook!L485</f>
      </c>
      <c r="AX120" s="5" cm="1">
        <f t="array" aca="1" ref="AX120" ca="1">IF($AK120="","",_xlfn.LET(_xlpm.auto,AND(MOD(ROW()-4,6)=0,$AM120&lt;&gt;0,SUMPRODUCT(--(OFFSET($AM120,1,0,5,1)&lt;&gt;0))=0),_xlpm.oppA,_xlfn.XLOOKUP($AK120,$H$4:$H$18,$J$4:$J$18,""),_xlpm.oppRuns,IF($AL120=_xlpm.oppA,_xlfn.XLOOKUP($AK120,$H$4:$H$18,$O$4:$O$18,""),_xlfn.XLOOKUP($AK120,$H$4:$H$18,$N$4:$N$18,"")),IF(_xlpm.auto,--(_xlpm.oppRuns=0),Scorebook!M485)))</f>
      </c>
      <c r="AY120" s="5" cm="1">
        <f t="array" aca="1" ref="AY120" ca="1">IF($AK120="","",_xlfn.LET(_xlpm.auto,AND(MOD(ROW()-4,6)=0,$AM120&lt;&gt;0,SUMPRODUCT(--(OFFSET($AM120,1,0,5,1)&lt;&gt;0))=0),IF(_xlpm.auto,1,Scorebook!N485)))</f>
      </c>
      <c r="AZ120" s="5">
        <f>Settings!$B$2</f>
        <v>1</v>
      </c>
    </row>
    <row r="121" spans="19:52">
      <c r="S121" s="4" t="str">
        <f ca="1">Scorebook!$F$296</f>
        <v>G7</v>
      </c>
      <c r="T121" s="5" t="str">
        <f ca="1">Scorebook!$R$296</f>
        <v>Donovan</v>
      </c>
      <c r="U121" s="5" t="str">
        <f ca="1">Scorebook!$B$324</f>
        <v>Donkey Kong</v>
      </c>
      <c r="V121" s="4">
        <v>1</v>
      </c>
      <c r="W121" s="5">
        <f ca="1">Scorebook!M324</f>
        <v>1</v>
      </c>
      <c r="X121" s="5">
        <f ca="1">Scorebook!N324</f>
        <v>0</v>
      </c>
      <c r="Y121" s="5">
        <f ca="1">Scorebook!O324</f>
        <v>0</v>
      </c>
      <c r="Z121" s="5">
        <f ca="1">Scorebook!P324</f>
        <v>0</v>
      </c>
      <c r="AA121" s="5">
        <f ca="1">Scorebook!Q324</f>
        <v>0</v>
      </c>
      <c r="AB121" s="5">
        <f ca="1">Scorebook!R324</f>
        <v>0</v>
      </c>
      <c r="AC121" s="5">
        <f ca="1">Scorebook!S324</f>
        <v>0</v>
      </c>
      <c r="AD121" s="5">
        <f ca="1">Scorebook!T324</f>
        <v>0</v>
      </c>
      <c r="AE121" s="5">
        <f ca="1">Scorebook!U324</f>
        <v>1</v>
      </c>
      <c r="AF121" s="5">
        <f ca="1">Scorebook!V324</f>
        <v>0</v>
      </c>
      <c r="AG121" s="5">
        <f ca="1">Scorebook!W324</f>
        <v>0</v>
      </c>
      <c r="AH121" s="5">
        <f ca="1">Scorebook!X324</f>
        <v>0</v>
      </c>
      <c r="AI121" s="5">
        <f>Settings!$B$2</f>
        <v>1</v>
      </c>
      <c r="AJ121" s="18">
        <f ca="1">IF($AK121="","",Scorebook!$O$486)</f>
      </c>
      <c r="AK121" s="4" t="str">
        <f ca="1">Scorebook!$F$443</f>
        <v>G10</v>
      </c>
      <c r="AL121" s="5" t="str">
        <f ca="1">Scorebook!$R$443</f>
        <v>Jason</v>
      </c>
      <c r="AM121" s="5" t="str">
        <f>Scorebook!$B$486</f>
      </c>
      <c r="AN121" s="5">
        <f ca="1">IF(Scorebook!C486="","",INT(Scorebook!C486)+MOD(ROUND(Scorebook!C486*10,0),10)/3)</f>
      </c>
      <c r="AO121" s="5" cm="1">
        <f t="array" aca="1" ref="AO121" ca="1">IF($AK121="","",_xlfn.LET(_xlpm.auto,AND(MOD(ROW()-4,6)=0,$AM121&lt;&gt;0,SUMPRODUCT(--(OFFSET($AM121,1,0,5,1)&lt;&gt;0))=0),_xlpm.oppA,_xlfn.XLOOKUP($AK121,$H$4:$H$18,$J$4:$J$18,""),_xlpm.oppB,_xlfn.XLOOKUP($AK121,$H$4:$H$18,$K$4:$K$18,""),_xlpm.opp,IF($AL121=_xlpm.oppA,_xlpm.oppB,_xlpm.oppA),IF(_xlpm.auto,SUMIFS($Y$4:$Y$273,$S$4:$S$273,$AK121,$T$4:$T$273,_xlpm.opp),Scorebook!D486)))</f>
      </c>
      <c r="AP121" s="5" cm="1">
        <f t="array" aca="1" ref="AP121" ca="1">IF($AK121="","",_xlfn.LET(_xlpm.auto,AND(MOD(ROW()-4,6)=0,$AM121&lt;&gt;0,SUMPRODUCT(--(OFFSET($AM121,1,0,5,1)&lt;&gt;0))=0),_xlpm.oppA,_xlfn.XLOOKUP($AK121,$H$4:$H$18,$J$4:$J$18,""),_xlpm.oppRuns,IF($AL121=_xlpm.oppA,_xlfn.XLOOKUP($AK121,$H$4:$H$18,$O$4:$O$18,""),_xlfn.XLOOKUP($AK121,$H$4:$H$18,$N$4:$N$18,"")),IF(_xlpm.auto,_xlpm.oppRuns,Scorebook!E486)))</f>
      </c>
      <c r="AQ121" s="5">
        <f ca="1">Scorebook!F486</f>
      </c>
      <c r="AR121" s="5" cm="1">
        <f t="array" aca="1" ref="AR121" ca="1">IF($AK121="","",_xlfn.LET(_xlpm.auto,AND(MOD(ROW()-4,6)=0,$AM121&lt;&gt;0,SUMPRODUCT(--(OFFSET($AM121,1,0,5,1)&lt;&gt;0))=0),_xlpm.oppA,_xlfn.XLOOKUP($AK121,$H$4:$H$18,$J$4:$J$18,""),_xlpm.oppB,_xlfn.XLOOKUP($AK121,$H$4:$H$18,$K$4:$K$18,""),_xlpm.opp,IF($AL121=_xlpm.oppA,_xlpm.oppB,_xlpm.oppA),IF(_xlpm.auto,SUMIFS($AD$4:$AD$273,$S$4:$S$273,$AK121,$T$4:$T$273,_xlpm.opp),Scorebook!G486)))</f>
      </c>
      <c r="AS121" s="5" cm="1">
        <f t="array" aca="1" ref="AS121" ca="1">IF($AK121="","",_xlfn.LET(_xlpm.auto,AND(MOD(ROW()-4,6)=0,$AM121&lt;&gt;0,SUMPRODUCT(--(OFFSET($AM121,1,0,5,1)&lt;&gt;0))=0),_xlpm.oppA,_xlfn.XLOOKUP($AK121,$H$4:$H$18,$J$4:$J$18,""),_xlpm.oppB,_xlfn.XLOOKUP($AK121,$H$4:$H$18,$K$4:$K$18,""),_xlpm.opp,IF($AL121=_xlpm.oppA,_xlpm.oppB,_xlpm.oppA),IF(_xlpm.auto,SUMIFS($AE$4:$AE$273,$S$4:$S$273,$AK121,$T$4:$T$273,_xlpm.opp),Scorebook!H486)))</f>
      </c>
      <c r="AT121" s="5" cm="1">
        <f t="array" aca="1" ref="AT121" ca="1">IF($AK121="","",_xlfn.LET(_xlpm.auto,AND(MOD(ROW()-4,6)=0,$AM121&lt;&gt;0,SUMPRODUCT(--(OFFSET($AM121,1,0,5,1)&lt;&gt;0))=0),_xlpm.oppA,_xlfn.XLOOKUP($AK121,$H$4:$H$18,$J$4:$J$18,""),_xlpm.oppB,_xlfn.XLOOKUP($AK121,$H$4:$H$18,$K$4:$K$18,""),_xlpm.opp,IF($AL121=_xlpm.oppA,_xlpm.oppB,_xlpm.oppA),IF(_xlpm.auto,SUMIFS($AB$4:$AB$273,$S$4:$S$273,$AK121,$T$4:$T$273,_xlpm.opp),Scorebook!I486)))</f>
      </c>
      <c r="AU121" s="5" cm="1">
        <f t="array" aca="1" ref="AU121" ca="1">IF($AK121="","",_xlfn.LET(_xlpm.auto,AND(MOD(ROW()-4,6)=0,$AM121&lt;&gt;0,SUMPRODUCT(--(OFFSET($AM121,1,0,5,1)&lt;&gt;0))=0),_xlpm.winner,_xlfn.XLOOKUP($AK121,$H$4:$H$18,$L$4:$L$18,""),IF(_xlpm.auto,--($AL121=_xlpm.winner),Scorebook!J486)))</f>
      </c>
      <c r="AV121" s="5" cm="1">
        <f t="array" aca="1" ref="AV121" ca="1">IF($AK121="","",_xlfn.LET(_xlpm.auto,AND(MOD(ROW()-4,6)=0,$AM121&lt;&gt;0,SUMPRODUCT(--(OFFSET($AM121,1,0,5,1)&lt;&gt;0))=0),_xlpm.loser,_xlfn.XLOOKUP($AK121,$H$4:$H$18,$M$4:$M$18,""),IF(_xlpm.auto,--($AL121=_xlpm.loser),Scorebook!K486)))</f>
      </c>
      <c r="AW121" s="5">
        <f ca="1">Scorebook!L486</f>
      </c>
      <c r="AX121" s="5" cm="1">
        <f t="array" aca="1" ref="AX121" ca="1">IF($AK121="","",_xlfn.LET(_xlpm.auto,AND(MOD(ROW()-4,6)=0,$AM121&lt;&gt;0,SUMPRODUCT(--(OFFSET($AM121,1,0,5,1)&lt;&gt;0))=0),_xlpm.oppA,_xlfn.XLOOKUP($AK121,$H$4:$H$18,$J$4:$J$18,""),_xlpm.oppRuns,IF($AL121=_xlpm.oppA,_xlfn.XLOOKUP($AK121,$H$4:$H$18,$O$4:$O$18,""),_xlfn.XLOOKUP($AK121,$H$4:$H$18,$N$4:$N$18,"")),IF(_xlpm.auto,--(_xlpm.oppRuns=0),Scorebook!M486)))</f>
      </c>
      <c r="AY121" s="5" cm="1">
        <f t="array" aca="1" ref="AY121" ca="1">IF($AK121="","",_xlfn.LET(_xlpm.auto,AND(MOD(ROW()-4,6)=0,$AM121&lt;&gt;0,SUMPRODUCT(--(OFFSET($AM121,1,0,5,1)&lt;&gt;0))=0),IF(_xlpm.auto,1,Scorebook!N486)))</f>
      </c>
      <c r="AZ121" s="5">
        <f>Settings!$B$2</f>
        <v>1</v>
      </c>
    </row>
    <row r="122" spans="19:52">
      <c r="S122" s="4" t="str">
        <f ca="1">Scorebook!$F$296</f>
        <v>G7</v>
      </c>
      <c r="T122" s="5" t="str">
        <f ca="1">Scorebook!$R$296</f>
        <v>Donovan</v>
      </c>
      <c r="U122" s="5" t="str">
        <f ca="1">Scorebook!$B$325</f>
        <v>Waluigi</v>
      </c>
      <c r="V122" s="4">
        <v>2</v>
      </c>
      <c r="W122" s="5">
        <f ca="1">Scorebook!M325</f>
        <v>1</v>
      </c>
      <c r="X122" s="5">
        <f ca="1">Scorebook!N325</f>
        <v>0</v>
      </c>
      <c r="Y122" s="5">
        <f ca="1">Scorebook!O325</f>
        <v>1</v>
      </c>
      <c r="Z122" s="5">
        <f ca="1">Scorebook!P325</f>
        <v>0</v>
      </c>
      <c r="AA122" s="5">
        <f ca="1">Scorebook!Q325</f>
        <v>0</v>
      </c>
      <c r="AB122" s="5">
        <f ca="1">Scorebook!R325</f>
        <v>0</v>
      </c>
      <c r="AC122" s="5">
        <f ca="1">Scorebook!S325</f>
        <v>0</v>
      </c>
      <c r="AD122" s="5">
        <f ca="1">Scorebook!T325</f>
        <v>0</v>
      </c>
      <c r="AE122" s="5">
        <f ca="1">Scorebook!U325</f>
        <v>0</v>
      </c>
      <c r="AF122" s="5">
        <f ca="1">Scorebook!V325</f>
        <v>0</v>
      </c>
      <c r="AG122" s="5">
        <f ca="1">Scorebook!W325</f>
        <v>0</v>
      </c>
      <c r="AH122" s="5">
        <f ca="1">Scorebook!X325</f>
        <v>0</v>
      </c>
      <c r="AI122" s="5">
        <f>Settings!$B$2</f>
        <v>1</v>
      </c>
      <c r="AJ122" s="18">
        <f ca="1">IF($AK122="","",Scorebook!$O$487)</f>
      </c>
      <c r="AK122" s="4" t="str">
        <f ca="1">Scorebook!$F$443</f>
        <v>G10</v>
      </c>
      <c r="AL122" s="5" t="str">
        <f ca="1">Scorebook!$R$443</f>
        <v>Jason</v>
      </c>
      <c r="AM122" s="5" t="str">
        <f>Scorebook!$B$487</f>
      </c>
      <c r="AN122" s="5">
        <f ca="1">IF(Scorebook!C487="","",INT(Scorebook!C487)+MOD(ROUND(Scorebook!C487*10,0),10)/3)</f>
      </c>
      <c r="AO122" s="5" cm="1">
        <f t="array" aca="1" ref="AO122" ca="1">IF($AK122="","",_xlfn.LET(_xlpm.auto,AND(MOD(ROW()-4,6)=0,$AM122&lt;&gt;0,SUMPRODUCT(--(OFFSET($AM122,1,0,5,1)&lt;&gt;0))=0),_xlpm.oppA,_xlfn.XLOOKUP($AK122,$H$4:$H$18,$J$4:$J$18,""),_xlpm.oppB,_xlfn.XLOOKUP($AK122,$H$4:$H$18,$K$4:$K$18,""),_xlpm.opp,IF($AL122=_xlpm.oppA,_xlpm.oppB,_xlpm.oppA),IF(_xlpm.auto,SUMIFS($Y$4:$Y$273,$S$4:$S$273,$AK122,$T$4:$T$273,_xlpm.opp),Scorebook!D487)))</f>
      </c>
      <c r="AP122" s="5" cm="1">
        <f t="array" aca="1" ref="AP122" ca="1">IF($AK122="","",_xlfn.LET(_xlpm.auto,AND(MOD(ROW()-4,6)=0,$AM122&lt;&gt;0,SUMPRODUCT(--(OFFSET($AM122,1,0,5,1)&lt;&gt;0))=0),_xlpm.oppA,_xlfn.XLOOKUP($AK122,$H$4:$H$18,$J$4:$J$18,""),_xlpm.oppRuns,IF($AL122=_xlpm.oppA,_xlfn.XLOOKUP($AK122,$H$4:$H$18,$O$4:$O$18,""),_xlfn.XLOOKUP($AK122,$H$4:$H$18,$N$4:$N$18,"")),IF(_xlpm.auto,_xlpm.oppRuns,Scorebook!E487)))</f>
      </c>
      <c r="AQ122" s="5">
        <f ca="1">Scorebook!F487</f>
      </c>
      <c r="AR122" s="5" cm="1">
        <f t="array" aca="1" ref="AR122" ca="1">IF($AK122="","",_xlfn.LET(_xlpm.auto,AND(MOD(ROW()-4,6)=0,$AM122&lt;&gt;0,SUMPRODUCT(--(OFFSET($AM122,1,0,5,1)&lt;&gt;0))=0),_xlpm.oppA,_xlfn.XLOOKUP($AK122,$H$4:$H$18,$J$4:$J$18,""),_xlpm.oppB,_xlfn.XLOOKUP($AK122,$H$4:$H$18,$K$4:$K$18,""),_xlpm.opp,IF($AL122=_xlpm.oppA,_xlpm.oppB,_xlpm.oppA),IF(_xlpm.auto,SUMIFS($AD$4:$AD$273,$S$4:$S$273,$AK122,$T$4:$T$273,_xlpm.opp),Scorebook!G487)))</f>
      </c>
      <c r="AS122" s="5" cm="1">
        <f t="array" aca="1" ref="AS122" ca="1">IF($AK122="","",_xlfn.LET(_xlpm.auto,AND(MOD(ROW()-4,6)=0,$AM122&lt;&gt;0,SUMPRODUCT(--(OFFSET($AM122,1,0,5,1)&lt;&gt;0))=0),_xlpm.oppA,_xlfn.XLOOKUP($AK122,$H$4:$H$18,$J$4:$J$18,""),_xlpm.oppB,_xlfn.XLOOKUP($AK122,$H$4:$H$18,$K$4:$K$18,""),_xlpm.opp,IF($AL122=_xlpm.oppA,_xlpm.oppB,_xlpm.oppA),IF(_xlpm.auto,SUMIFS($AE$4:$AE$273,$S$4:$S$273,$AK122,$T$4:$T$273,_xlpm.opp),Scorebook!H487)))</f>
      </c>
      <c r="AT122" s="5" cm="1">
        <f t="array" aca="1" ref="AT122" ca="1">IF($AK122="","",_xlfn.LET(_xlpm.auto,AND(MOD(ROW()-4,6)=0,$AM122&lt;&gt;0,SUMPRODUCT(--(OFFSET($AM122,1,0,5,1)&lt;&gt;0))=0),_xlpm.oppA,_xlfn.XLOOKUP($AK122,$H$4:$H$18,$J$4:$J$18,""),_xlpm.oppB,_xlfn.XLOOKUP($AK122,$H$4:$H$18,$K$4:$K$18,""),_xlpm.opp,IF($AL122=_xlpm.oppA,_xlpm.oppB,_xlpm.oppA),IF(_xlpm.auto,SUMIFS($AB$4:$AB$273,$S$4:$S$273,$AK122,$T$4:$T$273,_xlpm.opp),Scorebook!I487)))</f>
      </c>
      <c r="AU122" s="5" cm="1">
        <f t="array" aca="1" ref="AU122" ca="1">IF($AK122="","",_xlfn.LET(_xlpm.auto,AND(MOD(ROW()-4,6)=0,$AM122&lt;&gt;0,SUMPRODUCT(--(OFFSET($AM122,1,0,5,1)&lt;&gt;0))=0),_xlpm.winner,_xlfn.XLOOKUP($AK122,$H$4:$H$18,$L$4:$L$18,""),IF(_xlpm.auto,--($AL122=_xlpm.winner),Scorebook!J487)))</f>
      </c>
      <c r="AV122" s="5" cm="1">
        <f t="array" aca="1" ref="AV122" ca="1">IF($AK122="","",_xlfn.LET(_xlpm.auto,AND(MOD(ROW()-4,6)=0,$AM122&lt;&gt;0,SUMPRODUCT(--(OFFSET($AM122,1,0,5,1)&lt;&gt;0))=0),_xlpm.loser,_xlfn.XLOOKUP($AK122,$H$4:$H$18,$M$4:$M$18,""),IF(_xlpm.auto,--($AL122=_xlpm.loser),Scorebook!K487)))</f>
      </c>
      <c r="AW122" s="5">
        <f ca="1">Scorebook!L487</f>
      </c>
      <c r="AX122" s="5" cm="1">
        <f t="array" aca="1" ref="AX122" ca="1">IF($AK122="","",_xlfn.LET(_xlpm.auto,AND(MOD(ROW()-4,6)=0,$AM122&lt;&gt;0,SUMPRODUCT(--(OFFSET($AM122,1,0,5,1)&lt;&gt;0))=0),_xlpm.oppA,_xlfn.XLOOKUP($AK122,$H$4:$H$18,$J$4:$J$18,""),_xlpm.oppRuns,IF($AL122=_xlpm.oppA,_xlfn.XLOOKUP($AK122,$H$4:$H$18,$O$4:$O$18,""),_xlfn.XLOOKUP($AK122,$H$4:$H$18,$N$4:$N$18,"")),IF(_xlpm.auto,--(_xlpm.oppRuns=0),Scorebook!M487)))</f>
      </c>
      <c r="AY122" s="5" cm="1">
        <f t="array" aca="1" ref="AY122" ca="1">IF($AK122="","",_xlfn.LET(_xlpm.auto,AND(MOD(ROW()-4,6)=0,$AM122&lt;&gt;0,SUMPRODUCT(--(OFFSET($AM122,1,0,5,1)&lt;&gt;0))=0),IF(_xlpm.auto,1,Scorebook!N487)))</f>
      </c>
      <c r="AZ122" s="5">
        <f>Settings!$B$2</f>
        <v>1</v>
      </c>
    </row>
    <row r="123" spans="19:52">
      <c r="S123" s="4" t="str">
        <f ca="1">Scorebook!$F$296</f>
        <v>G7</v>
      </c>
      <c r="T123" s="5" t="str">
        <f ca="1">Scorebook!$R$296</f>
        <v>Donovan</v>
      </c>
      <c r="U123" s="5" t="str">
        <f ca="1">Scorebook!$B$326</f>
        <v>Dry Bones</v>
      </c>
      <c r="V123" s="4">
        <v>3</v>
      </c>
      <c r="W123" s="5">
        <f ca="1">Scorebook!M326</f>
        <v>1</v>
      </c>
      <c r="X123" s="5">
        <f ca="1">Scorebook!N326</f>
        <v>0</v>
      </c>
      <c r="Y123" s="5">
        <f ca="1">Scorebook!O326</f>
        <v>0</v>
      </c>
      <c r="Z123" s="5">
        <f ca="1">Scorebook!P326</f>
        <v>0</v>
      </c>
      <c r="AA123" s="5">
        <f ca="1">Scorebook!Q326</f>
        <v>0</v>
      </c>
      <c r="AB123" s="5">
        <f ca="1">Scorebook!R326</f>
        <v>0</v>
      </c>
      <c r="AC123" s="5">
        <f ca="1">Scorebook!S326</f>
        <v>0</v>
      </c>
      <c r="AD123" s="5">
        <f ca="1">Scorebook!T326</f>
        <v>0</v>
      </c>
      <c r="AE123" s="5">
        <f ca="1">Scorebook!U326</f>
        <v>0</v>
      </c>
      <c r="AF123" s="5">
        <f ca="1">Scorebook!V326</f>
        <v>0</v>
      </c>
      <c r="AG123" s="5">
        <f ca="1">Scorebook!W326</f>
        <v>0</v>
      </c>
      <c r="AH123" s="5">
        <f ca="1">Scorebook!X326</f>
        <v>0</v>
      </c>
      <c r="AI123" s="5">
        <f>Settings!$B$2</f>
        <v>1</v>
      </c>
      <c r="AJ123" s="18">
        <f ca="1">IF($AK123="","",Scorebook!$O$488)</f>
      </c>
      <c r="AK123" s="4" t="str">
        <f ca="1">Scorebook!$F$443</f>
        <v>G10</v>
      </c>
      <c r="AL123" s="5" t="str">
        <f ca="1">Scorebook!$R$443</f>
        <v>Jason</v>
      </c>
      <c r="AM123" s="5" t="str">
        <f>Scorebook!$B$488</f>
      </c>
      <c r="AN123" s="5">
        <f ca="1">IF(Scorebook!C488="","",INT(Scorebook!C488)+MOD(ROUND(Scorebook!C488*10,0),10)/3)</f>
      </c>
      <c r="AO123" s="5" cm="1">
        <f t="array" aca="1" ref="AO123" ca="1">IF($AK123="","",_xlfn.LET(_xlpm.auto,AND(MOD(ROW()-4,6)=0,$AM123&lt;&gt;0,SUMPRODUCT(--(OFFSET($AM123,1,0,5,1)&lt;&gt;0))=0),_xlpm.oppA,_xlfn.XLOOKUP($AK123,$H$4:$H$18,$J$4:$J$18,""),_xlpm.oppB,_xlfn.XLOOKUP($AK123,$H$4:$H$18,$K$4:$K$18,""),_xlpm.opp,IF($AL123=_xlpm.oppA,_xlpm.oppB,_xlpm.oppA),IF(_xlpm.auto,SUMIFS($Y$4:$Y$273,$S$4:$S$273,$AK123,$T$4:$T$273,_xlpm.opp),Scorebook!D488)))</f>
      </c>
      <c r="AP123" s="5" cm="1">
        <f t="array" aca="1" ref="AP123" ca="1">IF($AK123="","",_xlfn.LET(_xlpm.auto,AND(MOD(ROW()-4,6)=0,$AM123&lt;&gt;0,SUMPRODUCT(--(OFFSET($AM123,1,0,5,1)&lt;&gt;0))=0),_xlpm.oppA,_xlfn.XLOOKUP($AK123,$H$4:$H$18,$J$4:$J$18,""),_xlpm.oppRuns,IF($AL123=_xlpm.oppA,_xlfn.XLOOKUP($AK123,$H$4:$H$18,$O$4:$O$18,""),_xlfn.XLOOKUP($AK123,$H$4:$H$18,$N$4:$N$18,"")),IF(_xlpm.auto,_xlpm.oppRuns,Scorebook!E488)))</f>
      </c>
      <c r="AQ123" s="5">
        <f ca="1">Scorebook!F488</f>
      </c>
      <c r="AR123" s="5" cm="1">
        <f t="array" aca="1" ref="AR123" ca="1">IF($AK123="","",_xlfn.LET(_xlpm.auto,AND(MOD(ROW()-4,6)=0,$AM123&lt;&gt;0,SUMPRODUCT(--(OFFSET($AM123,1,0,5,1)&lt;&gt;0))=0),_xlpm.oppA,_xlfn.XLOOKUP($AK123,$H$4:$H$18,$J$4:$J$18,""),_xlpm.oppB,_xlfn.XLOOKUP($AK123,$H$4:$H$18,$K$4:$K$18,""),_xlpm.opp,IF($AL123=_xlpm.oppA,_xlpm.oppB,_xlpm.oppA),IF(_xlpm.auto,SUMIFS($AD$4:$AD$273,$S$4:$S$273,$AK123,$T$4:$T$273,_xlpm.opp),Scorebook!G488)))</f>
      </c>
      <c r="AS123" s="5" cm="1">
        <f t="array" aca="1" ref="AS123" ca="1">IF($AK123="","",_xlfn.LET(_xlpm.auto,AND(MOD(ROW()-4,6)=0,$AM123&lt;&gt;0,SUMPRODUCT(--(OFFSET($AM123,1,0,5,1)&lt;&gt;0))=0),_xlpm.oppA,_xlfn.XLOOKUP($AK123,$H$4:$H$18,$J$4:$J$18,""),_xlpm.oppB,_xlfn.XLOOKUP($AK123,$H$4:$H$18,$K$4:$K$18,""),_xlpm.opp,IF($AL123=_xlpm.oppA,_xlpm.oppB,_xlpm.oppA),IF(_xlpm.auto,SUMIFS($AE$4:$AE$273,$S$4:$S$273,$AK123,$T$4:$T$273,_xlpm.opp),Scorebook!H488)))</f>
      </c>
      <c r="AT123" s="5" cm="1">
        <f t="array" aca="1" ref="AT123" ca="1">IF($AK123="","",_xlfn.LET(_xlpm.auto,AND(MOD(ROW()-4,6)=0,$AM123&lt;&gt;0,SUMPRODUCT(--(OFFSET($AM123,1,0,5,1)&lt;&gt;0))=0),_xlpm.oppA,_xlfn.XLOOKUP($AK123,$H$4:$H$18,$J$4:$J$18,""),_xlpm.oppB,_xlfn.XLOOKUP($AK123,$H$4:$H$18,$K$4:$K$18,""),_xlpm.opp,IF($AL123=_xlpm.oppA,_xlpm.oppB,_xlpm.oppA),IF(_xlpm.auto,SUMIFS($AB$4:$AB$273,$S$4:$S$273,$AK123,$T$4:$T$273,_xlpm.opp),Scorebook!I488)))</f>
      </c>
      <c r="AU123" s="5" cm="1">
        <f t="array" aca="1" ref="AU123" ca="1">IF($AK123="","",_xlfn.LET(_xlpm.auto,AND(MOD(ROW()-4,6)=0,$AM123&lt;&gt;0,SUMPRODUCT(--(OFFSET($AM123,1,0,5,1)&lt;&gt;0))=0),_xlpm.winner,_xlfn.XLOOKUP($AK123,$H$4:$H$18,$L$4:$L$18,""),IF(_xlpm.auto,--($AL123=_xlpm.winner),Scorebook!J488)))</f>
      </c>
      <c r="AV123" s="5" cm="1">
        <f t="array" aca="1" ref="AV123" ca="1">IF($AK123="","",_xlfn.LET(_xlpm.auto,AND(MOD(ROW()-4,6)=0,$AM123&lt;&gt;0,SUMPRODUCT(--(OFFSET($AM123,1,0,5,1)&lt;&gt;0))=0),_xlpm.loser,_xlfn.XLOOKUP($AK123,$H$4:$H$18,$M$4:$M$18,""),IF(_xlpm.auto,--($AL123=_xlpm.loser),Scorebook!K488)))</f>
      </c>
      <c r="AW123" s="5">
        <f ca="1">Scorebook!L488</f>
      </c>
      <c r="AX123" s="5" cm="1">
        <f t="array" aca="1" ref="AX123" ca="1">IF($AK123="","",_xlfn.LET(_xlpm.auto,AND(MOD(ROW()-4,6)=0,$AM123&lt;&gt;0,SUMPRODUCT(--(OFFSET($AM123,1,0,5,1)&lt;&gt;0))=0),_xlpm.oppA,_xlfn.XLOOKUP($AK123,$H$4:$H$18,$J$4:$J$18,""),_xlpm.oppRuns,IF($AL123=_xlpm.oppA,_xlfn.XLOOKUP($AK123,$H$4:$H$18,$O$4:$O$18,""),_xlfn.XLOOKUP($AK123,$H$4:$H$18,$N$4:$N$18,"")),IF(_xlpm.auto,--(_xlpm.oppRuns=0),Scorebook!M488)))</f>
      </c>
      <c r="AY123" s="5" cm="1">
        <f t="array" aca="1" ref="AY123" ca="1">IF($AK123="","",_xlfn.LET(_xlpm.auto,AND(MOD(ROW()-4,6)=0,$AM123&lt;&gt;0,SUMPRODUCT(--(OFFSET($AM123,1,0,5,1)&lt;&gt;0))=0),IF(_xlpm.auto,1,Scorebook!N488)))</f>
      </c>
      <c r="AZ123" s="5">
        <f>Settings!$B$2</f>
        <v>1</v>
      </c>
    </row>
    <row r="124" spans="19:52">
      <c r="S124" s="4" t="str">
        <f ca="1">Scorebook!$F$296</f>
        <v>G7</v>
      </c>
      <c r="T124" s="5" t="str">
        <f ca="1">Scorebook!$R$296</f>
        <v>Donovan</v>
      </c>
      <c r="U124" s="5" t="str">
        <f ca="1">Scorebook!$B$327</f>
        <v>Diddy Kong</v>
      </c>
      <c r="V124" s="4">
        <v>4</v>
      </c>
      <c r="W124" s="5">
        <f ca="1">Scorebook!M327</f>
        <v>1</v>
      </c>
      <c r="X124" s="5">
        <f ca="1">Scorebook!N327</f>
        <v>0</v>
      </c>
      <c r="Y124" s="5">
        <f ca="1">Scorebook!O327</f>
        <v>0</v>
      </c>
      <c r="Z124" s="5">
        <f ca="1">Scorebook!P327</f>
        <v>0</v>
      </c>
      <c r="AA124" s="5">
        <f ca="1">Scorebook!Q327</f>
        <v>0</v>
      </c>
      <c r="AB124" s="5">
        <f ca="1">Scorebook!R327</f>
        <v>0</v>
      </c>
      <c r="AC124" s="5">
        <f ca="1">Scorebook!S327</f>
        <v>0</v>
      </c>
      <c r="AD124" s="5">
        <f ca="1">Scorebook!T327</f>
        <v>0</v>
      </c>
      <c r="AE124" s="5">
        <f ca="1">Scorebook!U327</f>
        <v>0</v>
      </c>
      <c r="AF124" s="5">
        <f ca="1">Scorebook!V327</f>
        <v>0</v>
      </c>
      <c r="AG124" s="5">
        <f ca="1">Scorebook!W327</f>
        <v>0</v>
      </c>
      <c r="AH124" s="5">
        <f ca="1">Scorebook!X327</f>
        <v>0</v>
      </c>
      <c r="AI124" s="5">
        <f>Settings!$B$2</f>
        <v>1</v>
      </c>
      <c r="AJ124" s="18">
        <f ca="1">IF($AK124="","",Scorebook!$O$511)</f>
      </c>
      <c r="AK124" s="4" t="str">
        <f ca="1">IF(AND(Bracket!$H$17&lt;&gt;"",Bracket!$I$17&lt;&gt;""),"G11","")</f>
      </c>
      <c r="AL124" s="5" t="str">
        <f ca="1">IF(AND(Bracket!$H$17&lt;&gt;"",Bracket!$I$17&lt;&gt;""),Bracket!$H$17,"")</f>
      </c>
      <c r="AM124" s="5" t="str">
        <f>Scorebook!$B$511</f>
      </c>
      <c r="AN124" s="5">
        <f ca="1">IF(Scorebook!C511="","",INT(Scorebook!C511)+MOD(ROUND(Scorebook!C511*10,0),10)/3)</f>
      </c>
      <c r="AO124" s="5" cm="1">
        <f t="array" aca="1" ref="AO124" ca="1">IF($AK124="","",_xlfn.LET(_xlpm.auto,AND(MOD(ROW()-4,6)=0,$AM124&lt;&gt;0,SUMPRODUCT(--(OFFSET($AM124,1,0,5,1)&lt;&gt;0))=0),_xlpm.oppA,_xlfn.XLOOKUP($AK124,$H$4:$H$18,$J$4:$J$18,""),_xlpm.oppB,_xlfn.XLOOKUP($AK124,$H$4:$H$18,$K$4:$K$18,""),_xlpm.opp,IF($AL124=_xlpm.oppA,_xlpm.oppB,_xlpm.oppA),IF(_xlpm.auto,SUMIFS($Y$4:$Y$273,$S$4:$S$273,$AK124,$T$4:$T$273,_xlpm.opp),Scorebook!D511)))</f>
      </c>
      <c r="AP124" s="5" cm="1">
        <f t="array" aca="1" ref="AP124" ca="1">IF($AK124="","",_xlfn.LET(_xlpm.auto,AND(MOD(ROW()-4,6)=0,$AM124&lt;&gt;0,SUMPRODUCT(--(OFFSET($AM124,1,0,5,1)&lt;&gt;0))=0),_xlpm.oppA,_xlfn.XLOOKUP($AK124,$H$4:$H$18,$J$4:$J$18,""),_xlpm.oppRuns,IF($AL124=_xlpm.oppA,_xlfn.XLOOKUP($AK124,$H$4:$H$18,$O$4:$O$18,""),_xlfn.XLOOKUP($AK124,$H$4:$H$18,$N$4:$N$18,"")),IF(_xlpm.auto,_xlpm.oppRuns,Scorebook!E511)))</f>
      </c>
      <c r="AQ124" s="5">
        <f ca="1">Scorebook!F511</f>
      </c>
      <c r="AR124" s="5" cm="1">
        <f t="array" aca="1" ref="AR124" ca="1">IF($AK124="","",_xlfn.LET(_xlpm.auto,AND(MOD(ROW()-4,6)=0,$AM124&lt;&gt;0,SUMPRODUCT(--(OFFSET($AM124,1,0,5,1)&lt;&gt;0))=0),_xlpm.oppA,_xlfn.XLOOKUP($AK124,$H$4:$H$18,$J$4:$J$18,""),_xlpm.oppB,_xlfn.XLOOKUP($AK124,$H$4:$H$18,$K$4:$K$18,""),_xlpm.opp,IF($AL124=_xlpm.oppA,_xlpm.oppB,_xlpm.oppA),IF(_xlpm.auto,SUMIFS($AD$4:$AD$273,$S$4:$S$273,$AK124,$T$4:$T$273,_xlpm.opp),Scorebook!G511)))</f>
      </c>
      <c r="AS124" s="5" cm="1">
        <f t="array" aca="1" ref="AS124" ca="1">IF($AK124="","",_xlfn.LET(_xlpm.auto,AND(MOD(ROW()-4,6)=0,$AM124&lt;&gt;0,SUMPRODUCT(--(OFFSET($AM124,1,0,5,1)&lt;&gt;0))=0),_xlpm.oppA,_xlfn.XLOOKUP($AK124,$H$4:$H$18,$J$4:$J$18,""),_xlpm.oppB,_xlfn.XLOOKUP($AK124,$H$4:$H$18,$K$4:$K$18,""),_xlpm.opp,IF($AL124=_xlpm.oppA,_xlpm.oppB,_xlpm.oppA),IF(_xlpm.auto,SUMIFS($AE$4:$AE$273,$S$4:$S$273,$AK124,$T$4:$T$273,_xlpm.opp),Scorebook!H511)))</f>
      </c>
      <c r="AT124" s="5" cm="1">
        <f t="array" aca="1" ref="AT124" ca="1">IF($AK124="","",_xlfn.LET(_xlpm.auto,AND(MOD(ROW()-4,6)=0,$AM124&lt;&gt;0,SUMPRODUCT(--(OFFSET($AM124,1,0,5,1)&lt;&gt;0))=0),_xlpm.oppA,_xlfn.XLOOKUP($AK124,$H$4:$H$18,$J$4:$J$18,""),_xlpm.oppB,_xlfn.XLOOKUP($AK124,$H$4:$H$18,$K$4:$K$18,""),_xlpm.opp,IF($AL124=_xlpm.oppA,_xlpm.oppB,_xlpm.oppA),IF(_xlpm.auto,SUMIFS($AB$4:$AB$273,$S$4:$S$273,$AK124,$T$4:$T$273,_xlpm.opp),Scorebook!I511)))</f>
      </c>
      <c r="AU124" s="5" cm="1">
        <f t="array" aca="1" ref="AU124" ca="1">IF($AK124="","",_xlfn.LET(_xlpm.auto,AND(MOD(ROW()-4,6)=0,$AM124&lt;&gt;0,SUMPRODUCT(--(OFFSET($AM124,1,0,5,1)&lt;&gt;0))=0),_xlpm.winner,_xlfn.XLOOKUP($AK124,$H$4:$H$18,$L$4:$L$18,""),IF(_xlpm.auto,--($AL124=_xlpm.winner),Scorebook!J511)))</f>
      </c>
      <c r="AV124" s="5" cm="1">
        <f t="array" aca="1" ref="AV124" ca="1">IF($AK124="","",_xlfn.LET(_xlpm.auto,AND(MOD(ROW()-4,6)=0,$AM124&lt;&gt;0,SUMPRODUCT(--(OFFSET($AM124,1,0,5,1)&lt;&gt;0))=0),_xlpm.loser,_xlfn.XLOOKUP($AK124,$H$4:$H$18,$M$4:$M$18,""),IF(_xlpm.auto,--($AL124=_xlpm.loser),Scorebook!K511)))</f>
      </c>
      <c r="AW124" s="5">
        <f ca="1">Scorebook!L511</f>
      </c>
      <c r="AX124" s="5" cm="1">
        <f t="array" aca="1" ref="AX124" ca="1">IF($AK124="","",_xlfn.LET(_xlpm.auto,AND(MOD(ROW()-4,6)=0,$AM124&lt;&gt;0,SUMPRODUCT(--(OFFSET($AM124,1,0,5,1)&lt;&gt;0))=0),_xlpm.oppA,_xlfn.XLOOKUP($AK124,$H$4:$H$18,$J$4:$J$18,""),_xlpm.oppRuns,IF($AL124=_xlpm.oppA,_xlfn.XLOOKUP($AK124,$H$4:$H$18,$O$4:$O$18,""),_xlfn.XLOOKUP($AK124,$H$4:$H$18,$N$4:$N$18,"")),IF(_xlpm.auto,--(_xlpm.oppRuns=0),Scorebook!M511)))</f>
      </c>
      <c r="AY124" s="5" cm="1">
        <f t="array" aca="1" ref="AY124" ca="1">IF($AK124="","",_xlfn.LET(_xlpm.auto,AND(MOD(ROW()-4,6)=0,$AM124&lt;&gt;0,SUMPRODUCT(--(OFFSET($AM124,1,0,5,1)&lt;&gt;0))=0),IF(_xlpm.auto,1,Scorebook!N511)))</f>
      </c>
      <c r="AZ124" s="5">
        <f>Settings!$B$2</f>
        <v>1</v>
      </c>
    </row>
    <row r="125" spans="19:52">
      <c r="S125" s="4" t="str">
        <f ca="1">Scorebook!$F$296</f>
        <v>G7</v>
      </c>
      <c r="T125" s="5" t="str">
        <f ca="1">Scorebook!$R$296</f>
        <v>Donovan</v>
      </c>
      <c r="U125" s="5" t="str">
        <f ca="1">Scorebook!$B$328</f>
        <v>Tiny Kong</v>
      </c>
      <c r="V125" s="4">
        <v>5</v>
      </c>
      <c r="W125" s="5">
        <f ca="1">Scorebook!M328</f>
        <v>1</v>
      </c>
      <c r="X125" s="5">
        <f ca="1">Scorebook!N328</f>
        <v>0</v>
      </c>
      <c r="Y125" s="5">
        <f ca="1">Scorebook!O328</f>
        <v>0</v>
      </c>
      <c r="Z125" s="5">
        <f ca="1">Scorebook!P328</f>
        <v>0</v>
      </c>
      <c r="AA125" s="5">
        <f ca="1">Scorebook!Q328</f>
        <v>0</v>
      </c>
      <c r="AB125" s="5">
        <f ca="1">Scorebook!R328</f>
        <v>0</v>
      </c>
      <c r="AC125" s="5">
        <f ca="1">Scorebook!S328</f>
        <v>0</v>
      </c>
      <c r="AD125" s="5">
        <f ca="1">Scorebook!T328</f>
        <v>0</v>
      </c>
      <c r="AE125" s="5">
        <f ca="1">Scorebook!U328</f>
        <v>0</v>
      </c>
      <c r="AF125" s="5">
        <f ca="1">Scorebook!V328</f>
        <v>0</v>
      </c>
      <c r="AG125" s="5">
        <f ca="1">Scorebook!W328</f>
        <v>0</v>
      </c>
      <c r="AH125" s="5">
        <f ca="1">Scorebook!X328</f>
        <v>0</v>
      </c>
      <c r="AI125" s="5">
        <f>Settings!$B$2</f>
        <v>1</v>
      </c>
      <c r="AJ125" s="18">
        <f ca="1">IF($AK125="","",Scorebook!$O$512)</f>
      </c>
      <c r="AK125" s="4" t="str">
        <f ca="1">IF(AND(Bracket!$H$17&lt;&gt;"",Bracket!$I$17&lt;&gt;""),"G11","")</f>
      </c>
      <c r="AL125" s="5" t="str">
        <f ca="1">IF(AND(Bracket!$H$17&lt;&gt;"",Bracket!$I$17&lt;&gt;""),Bracket!$H$17,"")</f>
      </c>
      <c r="AM125" s="5" t="str">
        <f>Scorebook!$B$512</f>
      </c>
      <c r="AN125" s="5">
        <f ca="1">IF(Scorebook!C512="","",INT(Scorebook!C512)+MOD(ROUND(Scorebook!C512*10,0),10)/3)</f>
      </c>
      <c r="AO125" s="5" cm="1">
        <f t="array" aca="1" ref="AO125" ca="1">IF($AK125="","",_xlfn.LET(_xlpm.auto,AND(MOD(ROW()-4,6)=0,$AM125&lt;&gt;0,SUMPRODUCT(--(OFFSET($AM125,1,0,5,1)&lt;&gt;0))=0),_xlpm.oppA,_xlfn.XLOOKUP($AK125,$H$4:$H$18,$J$4:$J$18,""),_xlpm.oppB,_xlfn.XLOOKUP($AK125,$H$4:$H$18,$K$4:$K$18,""),_xlpm.opp,IF($AL125=_xlpm.oppA,_xlpm.oppB,_xlpm.oppA),IF(_xlpm.auto,SUMIFS($Y$4:$Y$273,$S$4:$S$273,$AK125,$T$4:$T$273,_xlpm.opp),Scorebook!D512)))</f>
      </c>
      <c r="AP125" s="5" cm="1">
        <f t="array" aca="1" ref="AP125" ca="1">IF($AK125="","",_xlfn.LET(_xlpm.auto,AND(MOD(ROW()-4,6)=0,$AM125&lt;&gt;0,SUMPRODUCT(--(OFFSET($AM125,1,0,5,1)&lt;&gt;0))=0),_xlpm.oppA,_xlfn.XLOOKUP($AK125,$H$4:$H$18,$J$4:$J$18,""),_xlpm.oppRuns,IF($AL125=_xlpm.oppA,_xlfn.XLOOKUP($AK125,$H$4:$H$18,$O$4:$O$18,""),_xlfn.XLOOKUP($AK125,$H$4:$H$18,$N$4:$N$18,"")),IF(_xlpm.auto,_xlpm.oppRuns,Scorebook!E512)))</f>
      </c>
      <c r="AQ125" s="5">
        <f ca="1">Scorebook!F512</f>
      </c>
      <c r="AR125" s="5" cm="1">
        <f t="array" aca="1" ref="AR125" ca="1">IF($AK125="","",_xlfn.LET(_xlpm.auto,AND(MOD(ROW()-4,6)=0,$AM125&lt;&gt;0,SUMPRODUCT(--(OFFSET($AM125,1,0,5,1)&lt;&gt;0))=0),_xlpm.oppA,_xlfn.XLOOKUP($AK125,$H$4:$H$18,$J$4:$J$18,""),_xlpm.oppB,_xlfn.XLOOKUP($AK125,$H$4:$H$18,$K$4:$K$18,""),_xlpm.opp,IF($AL125=_xlpm.oppA,_xlpm.oppB,_xlpm.oppA),IF(_xlpm.auto,SUMIFS($AD$4:$AD$273,$S$4:$S$273,$AK125,$T$4:$T$273,_xlpm.opp),Scorebook!G512)))</f>
      </c>
      <c r="AS125" s="5" cm="1">
        <f t="array" aca="1" ref="AS125" ca="1">IF($AK125="","",_xlfn.LET(_xlpm.auto,AND(MOD(ROW()-4,6)=0,$AM125&lt;&gt;0,SUMPRODUCT(--(OFFSET($AM125,1,0,5,1)&lt;&gt;0))=0),_xlpm.oppA,_xlfn.XLOOKUP($AK125,$H$4:$H$18,$J$4:$J$18,""),_xlpm.oppB,_xlfn.XLOOKUP($AK125,$H$4:$H$18,$K$4:$K$18,""),_xlpm.opp,IF($AL125=_xlpm.oppA,_xlpm.oppB,_xlpm.oppA),IF(_xlpm.auto,SUMIFS($AE$4:$AE$273,$S$4:$S$273,$AK125,$T$4:$T$273,_xlpm.opp),Scorebook!H512)))</f>
      </c>
      <c r="AT125" s="5" cm="1">
        <f t="array" aca="1" ref="AT125" ca="1">IF($AK125="","",_xlfn.LET(_xlpm.auto,AND(MOD(ROW()-4,6)=0,$AM125&lt;&gt;0,SUMPRODUCT(--(OFFSET($AM125,1,0,5,1)&lt;&gt;0))=0),_xlpm.oppA,_xlfn.XLOOKUP($AK125,$H$4:$H$18,$J$4:$J$18,""),_xlpm.oppB,_xlfn.XLOOKUP($AK125,$H$4:$H$18,$K$4:$K$18,""),_xlpm.opp,IF($AL125=_xlpm.oppA,_xlpm.oppB,_xlpm.oppA),IF(_xlpm.auto,SUMIFS($AB$4:$AB$273,$S$4:$S$273,$AK125,$T$4:$T$273,_xlpm.opp),Scorebook!I512)))</f>
      </c>
      <c r="AU125" s="5" cm="1">
        <f t="array" aca="1" ref="AU125" ca="1">IF($AK125="","",_xlfn.LET(_xlpm.auto,AND(MOD(ROW()-4,6)=0,$AM125&lt;&gt;0,SUMPRODUCT(--(OFFSET($AM125,1,0,5,1)&lt;&gt;0))=0),_xlpm.winner,_xlfn.XLOOKUP($AK125,$H$4:$H$18,$L$4:$L$18,""),IF(_xlpm.auto,--($AL125=_xlpm.winner),Scorebook!J512)))</f>
      </c>
      <c r="AV125" s="5" cm="1">
        <f t="array" aca="1" ref="AV125" ca="1">IF($AK125="","",_xlfn.LET(_xlpm.auto,AND(MOD(ROW()-4,6)=0,$AM125&lt;&gt;0,SUMPRODUCT(--(OFFSET($AM125,1,0,5,1)&lt;&gt;0))=0),_xlpm.loser,_xlfn.XLOOKUP($AK125,$H$4:$H$18,$M$4:$M$18,""),IF(_xlpm.auto,--($AL125=_xlpm.loser),Scorebook!K512)))</f>
      </c>
      <c r="AW125" s="5">
        <f ca="1">Scorebook!L512</f>
      </c>
      <c r="AX125" s="5" cm="1">
        <f t="array" aca="1" ref="AX125" ca="1">IF($AK125="","",_xlfn.LET(_xlpm.auto,AND(MOD(ROW()-4,6)=0,$AM125&lt;&gt;0,SUMPRODUCT(--(OFFSET($AM125,1,0,5,1)&lt;&gt;0))=0),_xlpm.oppA,_xlfn.XLOOKUP($AK125,$H$4:$H$18,$J$4:$J$18,""),_xlpm.oppRuns,IF($AL125=_xlpm.oppA,_xlfn.XLOOKUP($AK125,$H$4:$H$18,$O$4:$O$18,""),_xlfn.XLOOKUP($AK125,$H$4:$H$18,$N$4:$N$18,"")),IF(_xlpm.auto,--(_xlpm.oppRuns=0),Scorebook!M512)))</f>
      </c>
      <c r="AY125" s="5" cm="1">
        <f t="array" aca="1" ref="AY125" ca="1">IF($AK125="","",_xlfn.LET(_xlpm.auto,AND(MOD(ROW()-4,6)=0,$AM125&lt;&gt;0,SUMPRODUCT(--(OFFSET($AM125,1,0,5,1)&lt;&gt;0))=0),IF(_xlpm.auto,1,Scorebook!N512)))</f>
      </c>
      <c r="AZ125" s="5">
        <f>Settings!$B$2</f>
        <v>1</v>
      </c>
    </row>
    <row r="126" spans="19:52">
      <c r="S126" s="4" t="str">
        <f ca="1">Scorebook!$F$296</f>
        <v>G7</v>
      </c>
      <c r="T126" s="5" t="str">
        <f ca="1">Scorebook!$R$296</f>
        <v>Donovan</v>
      </c>
      <c r="U126" s="5" t="str">
        <f ca="1">Scorebook!$B$329</f>
        <v>Baby DK</v>
      </c>
      <c r="V126" s="4">
        <v>6</v>
      </c>
      <c r="W126" s="5">
        <f ca="1">Scorebook!M329</f>
        <v>1</v>
      </c>
      <c r="X126" s="5">
        <f ca="1">Scorebook!N329</f>
        <v>0</v>
      </c>
      <c r="Y126" s="5">
        <f ca="1">Scorebook!O329</f>
        <v>0</v>
      </c>
      <c r="Z126" s="5">
        <f ca="1">Scorebook!P329</f>
        <v>0</v>
      </c>
      <c r="AA126" s="5">
        <f ca="1">Scorebook!Q329</f>
        <v>0</v>
      </c>
      <c r="AB126" s="5">
        <f ca="1">Scorebook!R329</f>
        <v>0</v>
      </c>
      <c r="AC126" s="5">
        <f ca="1">Scorebook!S329</f>
        <v>0</v>
      </c>
      <c r="AD126" s="5">
        <f ca="1">Scorebook!T329</f>
        <v>0</v>
      </c>
      <c r="AE126" s="5">
        <f ca="1">Scorebook!U329</f>
        <v>0</v>
      </c>
      <c r="AF126" s="5">
        <f ca="1">Scorebook!V329</f>
        <v>0</v>
      </c>
      <c r="AG126" s="5">
        <f ca="1">Scorebook!W329</f>
        <v>0</v>
      </c>
      <c r="AH126" s="5">
        <f ca="1">Scorebook!X329</f>
        <v>0</v>
      </c>
      <c r="AI126" s="5">
        <f>Settings!$B$2</f>
        <v>1</v>
      </c>
      <c r="AJ126" s="18">
        <f ca="1">IF($AK126="","",Scorebook!$O$513)</f>
      </c>
      <c r="AK126" s="4" t="str">
        <f ca="1">IF(AND(Bracket!$H$17&lt;&gt;"",Bracket!$I$17&lt;&gt;""),"G11","")</f>
      </c>
      <c r="AL126" s="5" t="str">
        <f ca="1">IF(AND(Bracket!$H$17&lt;&gt;"",Bracket!$I$17&lt;&gt;""),Bracket!$H$17,"")</f>
      </c>
      <c r="AM126" s="5" t="str">
        <f>Scorebook!$B$513</f>
      </c>
      <c r="AN126" s="5">
        <f ca="1">IF(Scorebook!C513="","",INT(Scorebook!C513)+MOD(ROUND(Scorebook!C513*10,0),10)/3)</f>
      </c>
      <c r="AO126" s="5" cm="1">
        <f t="array" aca="1" ref="AO126" ca="1">IF($AK126="","",_xlfn.LET(_xlpm.auto,AND(MOD(ROW()-4,6)=0,$AM126&lt;&gt;0,SUMPRODUCT(--(OFFSET($AM126,1,0,5,1)&lt;&gt;0))=0),_xlpm.oppA,_xlfn.XLOOKUP($AK126,$H$4:$H$18,$J$4:$J$18,""),_xlpm.oppB,_xlfn.XLOOKUP($AK126,$H$4:$H$18,$K$4:$K$18,""),_xlpm.opp,IF($AL126=_xlpm.oppA,_xlpm.oppB,_xlpm.oppA),IF(_xlpm.auto,SUMIFS($Y$4:$Y$273,$S$4:$S$273,$AK126,$T$4:$T$273,_xlpm.opp),Scorebook!D513)))</f>
      </c>
      <c r="AP126" s="5" cm="1">
        <f t="array" aca="1" ref="AP126" ca="1">IF($AK126="","",_xlfn.LET(_xlpm.auto,AND(MOD(ROW()-4,6)=0,$AM126&lt;&gt;0,SUMPRODUCT(--(OFFSET($AM126,1,0,5,1)&lt;&gt;0))=0),_xlpm.oppA,_xlfn.XLOOKUP($AK126,$H$4:$H$18,$J$4:$J$18,""),_xlpm.oppRuns,IF($AL126=_xlpm.oppA,_xlfn.XLOOKUP($AK126,$H$4:$H$18,$O$4:$O$18,""),_xlfn.XLOOKUP($AK126,$H$4:$H$18,$N$4:$N$18,"")),IF(_xlpm.auto,_xlpm.oppRuns,Scorebook!E513)))</f>
      </c>
      <c r="AQ126" s="5">
        <f ca="1">Scorebook!F513</f>
      </c>
      <c r="AR126" s="5" cm="1">
        <f t="array" aca="1" ref="AR126" ca="1">IF($AK126="","",_xlfn.LET(_xlpm.auto,AND(MOD(ROW()-4,6)=0,$AM126&lt;&gt;0,SUMPRODUCT(--(OFFSET($AM126,1,0,5,1)&lt;&gt;0))=0),_xlpm.oppA,_xlfn.XLOOKUP($AK126,$H$4:$H$18,$J$4:$J$18,""),_xlpm.oppB,_xlfn.XLOOKUP($AK126,$H$4:$H$18,$K$4:$K$18,""),_xlpm.opp,IF($AL126=_xlpm.oppA,_xlpm.oppB,_xlpm.oppA),IF(_xlpm.auto,SUMIFS($AD$4:$AD$273,$S$4:$S$273,$AK126,$T$4:$T$273,_xlpm.opp),Scorebook!G513)))</f>
      </c>
      <c r="AS126" s="5" cm="1">
        <f t="array" aca="1" ref="AS126" ca="1">IF($AK126="","",_xlfn.LET(_xlpm.auto,AND(MOD(ROW()-4,6)=0,$AM126&lt;&gt;0,SUMPRODUCT(--(OFFSET($AM126,1,0,5,1)&lt;&gt;0))=0),_xlpm.oppA,_xlfn.XLOOKUP($AK126,$H$4:$H$18,$J$4:$J$18,""),_xlpm.oppB,_xlfn.XLOOKUP($AK126,$H$4:$H$18,$K$4:$K$18,""),_xlpm.opp,IF($AL126=_xlpm.oppA,_xlpm.oppB,_xlpm.oppA),IF(_xlpm.auto,SUMIFS($AE$4:$AE$273,$S$4:$S$273,$AK126,$T$4:$T$273,_xlpm.opp),Scorebook!H513)))</f>
      </c>
      <c r="AT126" s="5" cm="1">
        <f t="array" aca="1" ref="AT126" ca="1">IF($AK126="","",_xlfn.LET(_xlpm.auto,AND(MOD(ROW()-4,6)=0,$AM126&lt;&gt;0,SUMPRODUCT(--(OFFSET($AM126,1,0,5,1)&lt;&gt;0))=0),_xlpm.oppA,_xlfn.XLOOKUP($AK126,$H$4:$H$18,$J$4:$J$18,""),_xlpm.oppB,_xlfn.XLOOKUP($AK126,$H$4:$H$18,$K$4:$K$18,""),_xlpm.opp,IF($AL126=_xlpm.oppA,_xlpm.oppB,_xlpm.oppA),IF(_xlpm.auto,SUMIFS($AB$4:$AB$273,$S$4:$S$273,$AK126,$T$4:$T$273,_xlpm.opp),Scorebook!I513)))</f>
      </c>
      <c r="AU126" s="5" cm="1">
        <f t="array" aca="1" ref="AU126" ca="1">IF($AK126="","",_xlfn.LET(_xlpm.auto,AND(MOD(ROW()-4,6)=0,$AM126&lt;&gt;0,SUMPRODUCT(--(OFFSET($AM126,1,0,5,1)&lt;&gt;0))=0),_xlpm.winner,_xlfn.XLOOKUP($AK126,$H$4:$H$18,$L$4:$L$18,""),IF(_xlpm.auto,--($AL126=_xlpm.winner),Scorebook!J513)))</f>
      </c>
      <c r="AV126" s="5" cm="1">
        <f t="array" aca="1" ref="AV126" ca="1">IF($AK126="","",_xlfn.LET(_xlpm.auto,AND(MOD(ROW()-4,6)=0,$AM126&lt;&gt;0,SUMPRODUCT(--(OFFSET($AM126,1,0,5,1)&lt;&gt;0))=0),_xlpm.loser,_xlfn.XLOOKUP($AK126,$H$4:$H$18,$M$4:$M$18,""),IF(_xlpm.auto,--($AL126=_xlpm.loser),Scorebook!K513)))</f>
      </c>
      <c r="AW126" s="5">
        <f ca="1">Scorebook!L513</f>
      </c>
      <c r="AX126" s="5" cm="1">
        <f t="array" aca="1" ref="AX126" ca="1">IF($AK126="","",_xlfn.LET(_xlpm.auto,AND(MOD(ROW()-4,6)=0,$AM126&lt;&gt;0,SUMPRODUCT(--(OFFSET($AM126,1,0,5,1)&lt;&gt;0))=0),_xlpm.oppA,_xlfn.XLOOKUP($AK126,$H$4:$H$18,$J$4:$J$18,""),_xlpm.oppRuns,IF($AL126=_xlpm.oppA,_xlfn.XLOOKUP($AK126,$H$4:$H$18,$O$4:$O$18,""),_xlfn.XLOOKUP($AK126,$H$4:$H$18,$N$4:$N$18,"")),IF(_xlpm.auto,--(_xlpm.oppRuns=0),Scorebook!M513)))</f>
      </c>
      <c r="AY126" s="5" cm="1">
        <f t="array" aca="1" ref="AY126" ca="1">IF($AK126="","",_xlfn.LET(_xlpm.auto,AND(MOD(ROW()-4,6)=0,$AM126&lt;&gt;0,SUMPRODUCT(--(OFFSET($AM126,1,0,5,1)&lt;&gt;0))=0),IF(_xlpm.auto,1,Scorebook!N513)))</f>
      </c>
      <c r="AZ126" s="5">
        <f>Settings!$B$2</f>
        <v>1</v>
      </c>
    </row>
    <row r="127" spans="19:52">
      <c r="S127" s="4" t="str">
        <f ca="1">Scorebook!$F$296</f>
        <v>G7</v>
      </c>
      <c r="T127" s="5" t="str">
        <f ca="1">Scorebook!$R$296</f>
        <v>Donovan</v>
      </c>
      <c r="U127" s="5" t="str">
        <f ca="1">Scorebook!$B$330</f>
        <v>Fire Bro</v>
      </c>
      <c r="V127" s="4">
        <v>7</v>
      </c>
      <c r="W127" s="5">
        <f ca="1">Scorebook!M330</f>
        <v>1</v>
      </c>
      <c r="X127" s="5">
        <f ca="1">Scorebook!N330</f>
        <v>0</v>
      </c>
      <c r="Y127" s="5">
        <f ca="1">Scorebook!O330</f>
        <v>0</v>
      </c>
      <c r="Z127" s="5">
        <f ca="1">Scorebook!P330</f>
        <v>0</v>
      </c>
      <c r="AA127" s="5">
        <f ca="1">Scorebook!Q330</f>
        <v>0</v>
      </c>
      <c r="AB127" s="5">
        <f ca="1">Scorebook!R330</f>
        <v>0</v>
      </c>
      <c r="AC127" s="5">
        <f ca="1">Scorebook!S330</f>
        <v>0</v>
      </c>
      <c r="AD127" s="5">
        <f ca="1">Scorebook!T330</f>
        <v>0</v>
      </c>
      <c r="AE127" s="5">
        <f ca="1">Scorebook!U330</f>
        <v>1</v>
      </c>
      <c r="AF127" s="5">
        <f ca="1">Scorebook!V330</f>
        <v>0</v>
      </c>
      <c r="AG127" s="5">
        <f ca="1">Scorebook!W330</f>
        <v>0</v>
      </c>
      <c r="AH127" s="5">
        <f ca="1">Scorebook!X330</f>
        <v>0</v>
      </c>
      <c r="AI127" s="5">
        <f>Settings!$B$2</f>
        <v>1</v>
      </c>
      <c r="AJ127" s="18">
        <f ca="1">IF($AK127="","",Scorebook!$O$514)</f>
      </c>
      <c r="AK127" s="4" t="str">
        <f ca="1">IF(AND(Bracket!$H$17&lt;&gt;"",Bracket!$I$17&lt;&gt;""),"G11","")</f>
      </c>
      <c r="AL127" s="5" t="str">
        <f ca="1">IF(AND(Bracket!$H$17&lt;&gt;"",Bracket!$I$17&lt;&gt;""),Bracket!$H$17,"")</f>
      </c>
      <c r="AM127" s="5" t="str">
        <f>Scorebook!$B$514</f>
      </c>
      <c r="AN127" s="5">
        <f ca="1">IF(Scorebook!C514="","",INT(Scorebook!C514)+MOD(ROUND(Scorebook!C514*10,0),10)/3)</f>
      </c>
      <c r="AO127" s="5" cm="1">
        <f t="array" aca="1" ref="AO127" ca="1">IF($AK127="","",_xlfn.LET(_xlpm.auto,AND(MOD(ROW()-4,6)=0,$AM127&lt;&gt;0,SUMPRODUCT(--(OFFSET($AM127,1,0,5,1)&lt;&gt;0))=0),_xlpm.oppA,_xlfn.XLOOKUP($AK127,$H$4:$H$18,$J$4:$J$18,""),_xlpm.oppB,_xlfn.XLOOKUP($AK127,$H$4:$H$18,$K$4:$K$18,""),_xlpm.opp,IF($AL127=_xlpm.oppA,_xlpm.oppB,_xlpm.oppA),IF(_xlpm.auto,SUMIFS($Y$4:$Y$273,$S$4:$S$273,$AK127,$T$4:$T$273,_xlpm.opp),Scorebook!D514)))</f>
      </c>
      <c r="AP127" s="5" cm="1">
        <f t="array" aca="1" ref="AP127" ca="1">IF($AK127="","",_xlfn.LET(_xlpm.auto,AND(MOD(ROW()-4,6)=0,$AM127&lt;&gt;0,SUMPRODUCT(--(OFFSET($AM127,1,0,5,1)&lt;&gt;0))=0),_xlpm.oppA,_xlfn.XLOOKUP($AK127,$H$4:$H$18,$J$4:$J$18,""),_xlpm.oppRuns,IF($AL127=_xlpm.oppA,_xlfn.XLOOKUP($AK127,$H$4:$H$18,$O$4:$O$18,""),_xlfn.XLOOKUP($AK127,$H$4:$H$18,$N$4:$N$18,"")),IF(_xlpm.auto,_xlpm.oppRuns,Scorebook!E514)))</f>
      </c>
      <c r="AQ127" s="5">
        <f ca="1">Scorebook!F514</f>
      </c>
      <c r="AR127" s="5" cm="1">
        <f t="array" aca="1" ref="AR127" ca="1">IF($AK127="","",_xlfn.LET(_xlpm.auto,AND(MOD(ROW()-4,6)=0,$AM127&lt;&gt;0,SUMPRODUCT(--(OFFSET($AM127,1,0,5,1)&lt;&gt;0))=0),_xlpm.oppA,_xlfn.XLOOKUP($AK127,$H$4:$H$18,$J$4:$J$18,""),_xlpm.oppB,_xlfn.XLOOKUP($AK127,$H$4:$H$18,$K$4:$K$18,""),_xlpm.opp,IF($AL127=_xlpm.oppA,_xlpm.oppB,_xlpm.oppA),IF(_xlpm.auto,SUMIFS($AD$4:$AD$273,$S$4:$S$273,$AK127,$T$4:$T$273,_xlpm.opp),Scorebook!G514)))</f>
      </c>
      <c r="AS127" s="5" cm="1">
        <f t="array" aca="1" ref="AS127" ca="1">IF($AK127="","",_xlfn.LET(_xlpm.auto,AND(MOD(ROW()-4,6)=0,$AM127&lt;&gt;0,SUMPRODUCT(--(OFFSET($AM127,1,0,5,1)&lt;&gt;0))=0),_xlpm.oppA,_xlfn.XLOOKUP($AK127,$H$4:$H$18,$J$4:$J$18,""),_xlpm.oppB,_xlfn.XLOOKUP($AK127,$H$4:$H$18,$K$4:$K$18,""),_xlpm.opp,IF($AL127=_xlpm.oppA,_xlpm.oppB,_xlpm.oppA),IF(_xlpm.auto,SUMIFS($AE$4:$AE$273,$S$4:$S$273,$AK127,$T$4:$T$273,_xlpm.opp),Scorebook!H514)))</f>
      </c>
      <c r="AT127" s="5" cm="1">
        <f t="array" aca="1" ref="AT127" ca="1">IF($AK127="","",_xlfn.LET(_xlpm.auto,AND(MOD(ROW()-4,6)=0,$AM127&lt;&gt;0,SUMPRODUCT(--(OFFSET($AM127,1,0,5,1)&lt;&gt;0))=0),_xlpm.oppA,_xlfn.XLOOKUP($AK127,$H$4:$H$18,$J$4:$J$18,""),_xlpm.oppB,_xlfn.XLOOKUP($AK127,$H$4:$H$18,$K$4:$K$18,""),_xlpm.opp,IF($AL127=_xlpm.oppA,_xlpm.oppB,_xlpm.oppA),IF(_xlpm.auto,SUMIFS($AB$4:$AB$273,$S$4:$S$273,$AK127,$T$4:$T$273,_xlpm.opp),Scorebook!I514)))</f>
      </c>
      <c r="AU127" s="5" cm="1">
        <f t="array" aca="1" ref="AU127" ca="1">IF($AK127="","",_xlfn.LET(_xlpm.auto,AND(MOD(ROW()-4,6)=0,$AM127&lt;&gt;0,SUMPRODUCT(--(OFFSET($AM127,1,0,5,1)&lt;&gt;0))=0),_xlpm.winner,_xlfn.XLOOKUP($AK127,$H$4:$H$18,$L$4:$L$18,""),IF(_xlpm.auto,--($AL127=_xlpm.winner),Scorebook!J514)))</f>
      </c>
      <c r="AV127" s="5" cm="1">
        <f t="array" aca="1" ref="AV127" ca="1">IF($AK127="","",_xlfn.LET(_xlpm.auto,AND(MOD(ROW()-4,6)=0,$AM127&lt;&gt;0,SUMPRODUCT(--(OFFSET($AM127,1,0,5,1)&lt;&gt;0))=0),_xlpm.loser,_xlfn.XLOOKUP($AK127,$H$4:$H$18,$M$4:$M$18,""),IF(_xlpm.auto,--($AL127=_xlpm.loser),Scorebook!K514)))</f>
      </c>
      <c r="AW127" s="5">
        <f ca="1">Scorebook!L514</f>
      </c>
      <c r="AX127" s="5" cm="1">
        <f t="array" aca="1" ref="AX127" ca="1">IF($AK127="","",_xlfn.LET(_xlpm.auto,AND(MOD(ROW()-4,6)=0,$AM127&lt;&gt;0,SUMPRODUCT(--(OFFSET($AM127,1,0,5,1)&lt;&gt;0))=0),_xlpm.oppA,_xlfn.XLOOKUP($AK127,$H$4:$H$18,$J$4:$J$18,""),_xlpm.oppRuns,IF($AL127=_xlpm.oppA,_xlfn.XLOOKUP($AK127,$H$4:$H$18,$O$4:$O$18,""),_xlfn.XLOOKUP($AK127,$H$4:$H$18,$N$4:$N$18,"")),IF(_xlpm.auto,--(_xlpm.oppRuns=0),Scorebook!M514)))</f>
      </c>
      <c r="AY127" s="5" cm="1">
        <f t="array" aca="1" ref="AY127" ca="1">IF($AK127="","",_xlfn.LET(_xlpm.auto,AND(MOD(ROW()-4,6)=0,$AM127&lt;&gt;0,SUMPRODUCT(--(OFFSET($AM127,1,0,5,1)&lt;&gt;0))=0),IF(_xlpm.auto,1,Scorebook!N514)))</f>
      </c>
      <c r="AZ127" s="5">
        <f>Settings!$B$2</f>
        <v>1</v>
      </c>
    </row>
    <row r="128" spans="19:52">
      <c r="S128" s="4" t="str">
        <f ca="1">Scorebook!$F$296</f>
        <v>G7</v>
      </c>
      <c r="T128" s="5" t="str">
        <f ca="1">Scorebook!$R$296</f>
        <v>Donovan</v>
      </c>
      <c r="U128" s="5" t="str">
        <f ca="1">Scorebook!$B$331</f>
        <v>Dixie Kong</v>
      </c>
      <c r="V128" s="4">
        <v>8</v>
      </c>
      <c r="W128" s="5">
        <f ca="1">Scorebook!M331</f>
        <v>1</v>
      </c>
      <c r="X128" s="5">
        <f ca="1">Scorebook!N331</f>
        <v>0</v>
      </c>
      <c r="Y128" s="5">
        <f ca="1">Scorebook!O331</f>
        <v>0</v>
      </c>
      <c r="Z128" s="5">
        <f ca="1">Scorebook!P331</f>
        <v>0</v>
      </c>
      <c r="AA128" s="5">
        <f ca="1">Scorebook!Q331</f>
        <v>0</v>
      </c>
      <c r="AB128" s="5">
        <f ca="1">Scorebook!R331</f>
        <v>0</v>
      </c>
      <c r="AC128" s="5">
        <f ca="1">Scorebook!S331</f>
        <v>0</v>
      </c>
      <c r="AD128" s="5">
        <f ca="1">Scorebook!T331</f>
        <v>0</v>
      </c>
      <c r="AE128" s="5">
        <f ca="1">Scorebook!U331</f>
        <v>1</v>
      </c>
      <c r="AF128" s="5">
        <f ca="1">Scorebook!V331</f>
        <v>0</v>
      </c>
      <c r="AG128" s="5">
        <f ca="1">Scorebook!W331</f>
        <v>0</v>
      </c>
      <c r="AH128" s="5">
        <f ca="1">Scorebook!X331</f>
        <v>0</v>
      </c>
      <c r="AI128" s="5">
        <f>Settings!$B$2</f>
        <v>1</v>
      </c>
      <c r="AJ128" s="18">
        <f ca="1">IF($AK128="","",Scorebook!$O$515)</f>
      </c>
      <c r="AK128" s="4" t="str">
        <f ca="1">IF(AND(Bracket!$H$17&lt;&gt;"",Bracket!$I$17&lt;&gt;""),"G11","")</f>
      </c>
      <c r="AL128" s="5" t="str">
        <f ca="1">IF(AND(Bracket!$H$17&lt;&gt;"",Bracket!$I$17&lt;&gt;""),Bracket!$H$17,"")</f>
      </c>
      <c r="AM128" s="5" t="str">
        <f>Scorebook!$B$515</f>
      </c>
      <c r="AN128" s="5">
        <f ca="1">IF(Scorebook!C515="","",INT(Scorebook!C515)+MOD(ROUND(Scorebook!C515*10,0),10)/3)</f>
      </c>
      <c r="AO128" s="5" cm="1">
        <f t="array" aca="1" ref="AO128" ca="1">IF($AK128="","",_xlfn.LET(_xlpm.auto,AND(MOD(ROW()-4,6)=0,$AM128&lt;&gt;0,SUMPRODUCT(--(OFFSET($AM128,1,0,5,1)&lt;&gt;0))=0),_xlpm.oppA,_xlfn.XLOOKUP($AK128,$H$4:$H$18,$J$4:$J$18,""),_xlpm.oppB,_xlfn.XLOOKUP($AK128,$H$4:$H$18,$K$4:$K$18,""),_xlpm.opp,IF($AL128=_xlpm.oppA,_xlpm.oppB,_xlpm.oppA),IF(_xlpm.auto,SUMIFS($Y$4:$Y$273,$S$4:$S$273,$AK128,$T$4:$T$273,_xlpm.opp),Scorebook!D515)))</f>
      </c>
      <c r="AP128" s="5" cm="1">
        <f t="array" aca="1" ref="AP128" ca="1">IF($AK128="","",_xlfn.LET(_xlpm.auto,AND(MOD(ROW()-4,6)=0,$AM128&lt;&gt;0,SUMPRODUCT(--(OFFSET($AM128,1,0,5,1)&lt;&gt;0))=0),_xlpm.oppA,_xlfn.XLOOKUP($AK128,$H$4:$H$18,$J$4:$J$18,""),_xlpm.oppRuns,IF($AL128=_xlpm.oppA,_xlfn.XLOOKUP($AK128,$H$4:$H$18,$O$4:$O$18,""),_xlfn.XLOOKUP($AK128,$H$4:$H$18,$N$4:$N$18,"")),IF(_xlpm.auto,_xlpm.oppRuns,Scorebook!E515)))</f>
      </c>
      <c r="AQ128" s="5">
        <f ca="1">Scorebook!F515</f>
      </c>
      <c r="AR128" s="5" cm="1">
        <f t="array" aca="1" ref="AR128" ca="1">IF($AK128="","",_xlfn.LET(_xlpm.auto,AND(MOD(ROW()-4,6)=0,$AM128&lt;&gt;0,SUMPRODUCT(--(OFFSET($AM128,1,0,5,1)&lt;&gt;0))=0),_xlpm.oppA,_xlfn.XLOOKUP($AK128,$H$4:$H$18,$J$4:$J$18,""),_xlpm.oppB,_xlfn.XLOOKUP($AK128,$H$4:$H$18,$K$4:$K$18,""),_xlpm.opp,IF($AL128=_xlpm.oppA,_xlpm.oppB,_xlpm.oppA),IF(_xlpm.auto,SUMIFS($AD$4:$AD$273,$S$4:$S$273,$AK128,$T$4:$T$273,_xlpm.opp),Scorebook!G515)))</f>
      </c>
      <c r="AS128" s="5" cm="1">
        <f t="array" aca="1" ref="AS128" ca="1">IF($AK128="","",_xlfn.LET(_xlpm.auto,AND(MOD(ROW()-4,6)=0,$AM128&lt;&gt;0,SUMPRODUCT(--(OFFSET($AM128,1,0,5,1)&lt;&gt;0))=0),_xlpm.oppA,_xlfn.XLOOKUP($AK128,$H$4:$H$18,$J$4:$J$18,""),_xlpm.oppB,_xlfn.XLOOKUP($AK128,$H$4:$H$18,$K$4:$K$18,""),_xlpm.opp,IF($AL128=_xlpm.oppA,_xlpm.oppB,_xlpm.oppA),IF(_xlpm.auto,SUMIFS($AE$4:$AE$273,$S$4:$S$273,$AK128,$T$4:$T$273,_xlpm.opp),Scorebook!H515)))</f>
      </c>
      <c r="AT128" s="5" cm="1">
        <f t="array" aca="1" ref="AT128" ca="1">IF($AK128="","",_xlfn.LET(_xlpm.auto,AND(MOD(ROW()-4,6)=0,$AM128&lt;&gt;0,SUMPRODUCT(--(OFFSET($AM128,1,0,5,1)&lt;&gt;0))=0),_xlpm.oppA,_xlfn.XLOOKUP($AK128,$H$4:$H$18,$J$4:$J$18,""),_xlpm.oppB,_xlfn.XLOOKUP($AK128,$H$4:$H$18,$K$4:$K$18,""),_xlpm.opp,IF($AL128=_xlpm.oppA,_xlpm.oppB,_xlpm.oppA),IF(_xlpm.auto,SUMIFS($AB$4:$AB$273,$S$4:$S$273,$AK128,$T$4:$T$273,_xlpm.opp),Scorebook!I515)))</f>
      </c>
      <c r="AU128" s="5" cm="1">
        <f t="array" aca="1" ref="AU128" ca="1">IF($AK128="","",_xlfn.LET(_xlpm.auto,AND(MOD(ROW()-4,6)=0,$AM128&lt;&gt;0,SUMPRODUCT(--(OFFSET($AM128,1,0,5,1)&lt;&gt;0))=0),_xlpm.winner,_xlfn.XLOOKUP($AK128,$H$4:$H$18,$L$4:$L$18,""),IF(_xlpm.auto,--($AL128=_xlpm.winner),Scorebook!J515)))</f>
      </c>
      <c r="AV128" s="5" cm="1">
        <f t="array" aca="1" ref="AV128" ca="1">IF($AK128="","",_xlfn.LET(_xlpm.auto,AND(MOD(ROW()-4,6)=0,$AM128&lt;&gt;0,SUMPRODUCT(--(OFFSET($AM128,1,0,5,1)&lt;&gt;0))=0),_xlpm.loser,_xlfn.XLOOKUP($AK128,$H$4:$H$18,$M$4:$M$18,""),IF(_xlpm.auto,--($AL128=_xlpm.loser),Scorebook!K515)))</f>
      </c>
      <c r="AW128" s="5">
        <f ca="1">Scorebook!L515</f>
      </c>
      <c r="AX128" s="5" cm="1">
        <f t="array" aca="1" ref="AX128" ca="1">IF($AK128="","",_xlfn.LET(_xlpm.auto,AND(MOD(ROW()-4,6)=0,$AM128&lt;&gt;0,SUMPRODUCT(--(OFFSET($AM128,1,0,5,1)&lt;&gt;0))=0),_xlpm.oppA,_xlfn.XLOOKUP($AK128,$H$4:$H$18,$J$4:$J$18,""),_xlpm.oppRuns,IF($AL128=_xlpm.oppA,_xlfn.XLOOKUP($AK128,$H$4:$H$18,$O$4:$O$18,""),_xlfn.XLOOKUP($AK128,$H$4:$H$18,$N$4:$N$18,"")),IF(_xlpm.auto,--(_xlpm.oppRuns=0),Scorebook!M515)))</f>
      </c>
      <c r="AY128" s="5" cm="1">
        <f t="array" aca="1" ref="AY128" ca="1">IF($AK128="","",_xlfn.LET(_xlpm.auto,AND(MOD(ROW()-4,6)=0,$AM128&lt;&gt;0,SUMPRODUCT(--(OFFSET($AM128,1,0,5,1)&lt;&gt;0))=0),IF(_xlpm.auto,1,Scorebook!N515)))</f>
      </c>
      <c r="AZ128" s="5">
        <f>Settings!$B$2</f>
        <v>1</v>
      </c>
    </row>
    <row r="129" spans="19:52">
      <c r="S129" s="4" t="str">
        <f ca="1">Scorebook!$F$296</f>
        <v>G7</v>
      </c>
      <c r="T129" s="5" t="str">
        <f ca="1">Scorebook!$R$296</f>
        <v>Donovan</v>
      </c>
      <c r="U129" s="5" t="str">
        <f ca="1">Scorebook!$B$332</f>
        <v>Paragoomba</v>
      </c>
      <c r="V129" s="4">
        <v>9</v>
      </c>
      <c r="W129" s="5">
        <f ca="1">Scorebook!M332</f>
        <v>1</v>
      </c>
      <c r="X129" s="5">
        <f ca="1">Scorebook!N332</f>
        <v>0</v>
      </c>
      <c r="Y129" s="5">
        <f ca="1">Scorebook!O332</f>
        <v>0</v>
      </c>
      <c r="Z129" s="5">
        <f ca="1">Scorebook!P332</f>
        <v>0</v>
      </c>
      <c r="AA129" s="5">
        <f ca="1">Scorebook!Q332</f>
        <v>0</v>
      </c>
      <c r="AB129" s="5">
        <f ca="1">Scorebook!R332</f>
        <v>0</v>
      </c>
      <c r="AC129" s="5">
        <f ca="1">Scorebook!S332</f>
        <v>0</v>
      </c>
      <c r="AD129" s="5">
        <f ca="1">Scorebook!T332</f>
        <v>0</v>
      </c>
      <c r="AE129" s="5">
        <f ca="1">Scorebook!U332</f>
        <v>0</v>
      </c>
      <c r="AF129" s="5">
        <f ca="1">Scorebook!V332</f>
        <v>0</v>
      </c>
      <c r="AG129" s="5">
        <f ca="1">Scorebook!W332</f>
        <v>0</v>
      </c>
      <c r="AH129" s="5">
        <f ca="1">Scorebook!X332</f>
        <v>0</v>
      </c>
      <c r="AI129" s="5">
        <f>Settings!$B$2</f>
        <v>1</v>
      </c>
      <c r="AJ129" s="18">
        <f ca="1">IF($AK129="","",Scorebook!$O$516)</f>
      </c>
      <c r="AK129" s="4" t="str">
        <f ca="1">IF(AND(Bracket!$H$17&lt;&gt;"",Bracket!$I$17&lt;&gt;""),"G11","")</f>
      </c>
      <c r="AL129" s="5" t="str">
        <f ca="1">IF(AND(Bracket!$H$17&lt;&gt;"",Bracket!$I$17&lt;&gt;""),Bracket!$H$17,"")</f>
      </c>
      <c r="AM129" s="5" t="str">
        <f>Scorebook!$B$516</f>
      </c>
      <c r="AN129" s="5">
        <f ca="1">IF(Scorebook!C516="","",INT(Scorebook!C516)+MOD(ROUND(Scorebook!C516*10,0),10)/3)</f>
      </c>
      <c r="AO129" s="5" cm="1">
        <f t="array" aca="1" ref="AO129" ca="1">IF($AK129="","",_xlfn.LET(_xlpm.auto,AND(MOD(ROW()-4,6)=0,$AM129&lt;&gt;0,SUMPRODUCT(--(OFFSET($AM129,1,0,5,1)&lt;&gt;0))=0),_xlpm.oppA,_xlfn.XLOOKUP($AK129,$H$4:$H$18,$J$4:$J$18,""),_xlpm.oppB,_xlfn.XLOOKUP($AK129,$H$4:$H$18,$K$4:$K$18,""),_xlpm.opp,IF($AL129=_xlpm.oppA,_xlpm.oppB,_xlpm.oppA),IF(_xlpm.auto,SUMIFS($Y$4:$Y$273,$S$4:$S$273,$AK129,$T$4:$T$273,_xlpm.opp),Scorebook!D516)))</f>
      </c>
      <c r="AP129" s="5" cm="1">
        <f t="array" aca="1" ref="AP129" ca="1">IF($AK129="","",_xlfn.LET(_xlpm.auto,AND(MOD(ROW()-4,6)=0,$AM129&lt;&gt;0,SUMPRODUCT(--(OFFSET($AM129,1,0,5,1)&lt;&gt;0))=0),_xlpm.oppA,_xlfn.XLOOKUP($AK129,$H$4:$H$18,$J$4:$J$18,""),_xlpm.oppRuns,IF($AL129=_xlpm.oppA,_xlfn.XLOOKUP($AK129,$H$4:$H$18,$O$4:$O$18,""),_xlfn.XLOOKUP($AK129,$H$4:$H$18,$N$4:$N$18,"")),IF(_xlpm.auto,_xlpm.oppRuns,Scorebook!E516)))</f>
      </c>
      <c r="AQ129" s="5">
        <f ca="1">Scorebook!F516</f>
      </c>
      <c r="AR129" s="5" cm="1">
        <f t="array" aca="1" ref="AR129" ca="1">IF($AK129="","",_xlfn.LET(_xlpm.auto,AND(MOD(ROW()-4,6)=0,$AM129&lt;&gt;0,SUMPRODUCT(--(OFFSET($AM129,1,0,5,1)&lt;&gt;0))=0),_xlpm.oppA,_xlfn.XLOOKUP($AK129,$H$4:$H$18,$J$4:$J$18,""),_xlpm.oppB,_xlfn.XLOOKUP($AK129,$H$4:$H$18,$K$4:$K$18,""),_xlpm.opp,IF($AL129=_xlpm.oppA,_xlpm.oppB,_xlpm.oppA),IF(_xlpm.auto,SUMIFS($AD$4:$AD$273,$S$4:$S$273,$AK129,$T$4:$T$273,_xlpm.opp),Scorebook!G516)))</f>
      </c>
      <c r="AS129" s="5" cm="1">
        <f t="array" aca="1" ref="AS129" ca="1">IF($AK129="","",_xlfn.LET(_xlpm.auto,AND(MOD(ROW()-4,6)=0,$AM129&lt;&gt;0,SUMPRODUCT(--(OFFSET($AM129,1,0,5,1)&lt;&gt;0))=0),_xlpm.oppA,_xlfn.XLOOKUP($AK129,$H$4:$H$18,$J$4:$J$18,""),_xlpm.oppB,_xlfn.XLOOKUP($AK129,$H$4:$H$18,$K$4:$K$18,""),_xlpm.opp,IF($AL129=_xlpm.oppA,_xlpm.oppB,_xlpm.oppA),IF(_xlpm.auto,SUMIFS($AE$4:$AE$273,$S$4:$S$273,$AK129,$T$4:$T$273,_xlpm.opp),Scorebook!H516)))</f>
      </c>
      <c r="AT129" s="5" cm="1">
        <f t="array" aca="1" ref="AT129" ca="1">IF($AK129="","",_xlfn.LET(_xlpm.auto,AND(MOD(ROW()-4,6)=0,$AM129&lt;&gt;0,SUMPRODUCT(--(OFFSET($AM129,1,0,5,1)&lt;&gt;0))=0),_xlpm.oppA,_xlfn.XLOOKUP($AK129,$H$4:$H$18,$J$4:$J$18,""),_xlpm.oppB,_xlfn.XLOOKUP($AK129,$H$4:$H$18,$K$4:$K$18,""),_xlpm.opp,IF($AL129=_xlpm.oppA,_xlpm.oppB,_xlpm.oppA),IF(_xlpm.auto,SUMIFS($AB$4:$AB$273,$S$4:$S$273,$AK129,$T$4:$T$273,_xlpm.opp),Scorebook!I516)))</f>
      </c>
      <c r="AU129" s="5" cm="1">
        <f t="array" aca="1" ref="AU129" ca="1">IF($AK129="","",_xlfn.LET(_xlpm.auto,AND(MOD(ROW()-4,6)=0,$AM129&lt;&gt;0,SUMPRODUCT(--(OFFSET($AM129,1,0,5,1)&lt;&gt;0))=0),_xlpm.winner,_xlfn.XLOOKUP($AK129,$H$4:$H$18,$L$4:$L$18,""),IF(_xlpm.auto,--($AL129=_xlpm.winner),Scorebook!J516)))</f>
      </c>
      <c r="AV129" s="5" cm="1">
        <f t="array" aca="1" ref="AV129" ca="1">IF($AK129="","",_xlfn.LET(_xlpm.auto,AND(MOD(ROW()-4,6)=0,$AM129&lt;&gt;0,SUMPRODUCT(--(OFFSET($AM129,1,0,5,1)&lt;&gt;0))=0),_xlpm.loser,_xlfn.XLOOKUP($AK129,$H$4:$H$18,$M$4:$M$18,""),IF(_xlpm.auto,--($AL129=_xlpm.loser),Scorebook!K516)))</f>
      </c>
      <c r="AW129" s="5">
        <f ca="1">Scorebook!L516</f>
      </c>
      <c r="AX129" s="5" cm="1">
        <f t="array" aca="1" ref="AX129" ca="1">IF($AK129="","",_xlfn.LET(_xlpm.auto,AND(MOD(ROW()-4,6)=0,$AM129&lt;&gt;0,SUMPRODUCT(--(OFFSET($AM129,1,0,5,1)&lt;&gt;0))=0),_xlpm.oppA,_xlfn.XLOOKUP($AK129,$H$4:$H$18,$J$4:$J$18,""),_xlpm.oppRuns,IF($AL129=_xlpm.oppA,_xlfn.XLOOKUP($AK129,$H$4:$H$18,$O$4:$O$18,""),_xlfn.XLOOKUP($AK129,$H$4:$H$18,$N$4:$N$18,"")),IF(_xlpm.auto,--(_xlpm.oppRuns=0),Scorebook!M516)))</f>
      </c>
      <c r="AY129" s="5" cm="1">
        <f t="array" aca="1" ref="AY129" ca="1">IF($AK129="","",_xlfn.LET(_xlpm.auto,AND(MOD(ROW()-4,6)=0,$AM129&lt;&gt;0,SUMPRODUCT(--(OFFSET($AM129,1,0,5,1)&lt;&gt;0))=0),IF(_xlpm.auto,1,Scorebook!N516)))</f>
      </c>
      <c r="AZ129" s="5">
        <f>Settings!$B$2</f>
        <v>1</v>
      </c>
    </row>
    <row r="130" spans="19:52">
      <c r="S130" s="4" t="str">
        <f ca="1">Scorebook!$F$345</f>
        <v>G8</v>
      </c>
      <c r="T130" s="5" t="str">
        <f ca="1">Scorebook!$N$345</f>
        <v>Nick</v>
      </c>
      <c r="U130" s="5" t="str">
        <f ca="1">Scorebook!$B$352</f>
        <v>Monty Mole</v>
      </c>
      <c r="V130" s="4">
        <v>1</v>
      </c>
      <c r="W130" s="5">
        <f ca="1">Scorebook!M352</f>
        <v>3</v>
      </c>
      <c r="X130" s="5">
        <f ca="1">Scorebook!N352</f>
        <v>0</v>
      </c>
      <c r="Y130" s="5">
        <f ca="1">Scorebook!O352</f>
        <v>0</v>
      </c>
      <c r="Z130" s="5">
        <f ca="1">Scorebook!P352</f>
        <v>0</v>
      </c>
      <c r="AA130" s="5">
        <f ca="1">Scorebook!Q352</f>
        <v>0</v>
      </c>
      <c r="AB130" s="5">
        <f ca="1">Scorebook!R352</f>
        <v>0</v>
      </c>
      <c r="AC130" s="5">
        <f ca="1">Scorebook!S352</f>
        <v>0</v>
      </c>
      <c r="AD130" s="5">
        <f ca="1">Scorebook!T352</f>
        <v>0</v>
      </c>
      <c r="AE130" s="5">
        <f ca="1">Scorebook!U352</f>
        <v>1</v>
      </c>
      <c r="AF130" s="5">
        <f ca="1">Scorebook!V352</f>
        <v>0</v>
      </c>
      <c r="AG130" s="5">
        <f ca="1">Scorebook!W352</f>
        <v>0</v>
      </c>
      <c r="AH130" s="5">
        <f ca="1">Scorebook!X352</f>
        <v>0</v>
      </c>
      <c r="AI130" s="5">
        <f>Settings!$B$2</f>
        <v>1</v>
      </c>
      <c r="AJ130" s="18">
        <f ca="1">IF($AK130="","",Scorebook!$O$532)</f>
      </c>
      <c r="AK130" s="4" t="str">
        <f ca="1">IF(AND(Bracket!$H$17&lt;&gt;"",Bracket!$I$17&lt;&gt;""),"G11","")</f>
      </c>
      <c r="AL130" s="5" t="str">
        <f ca="1">IF(AND(Bracket!$H$17&lt;&gt;"",Bracket!$I$17&lt;&gt;""),Bracket!$I$17,"")</f>
      </c>
      <c r="AM130" s="5" t="str">
        <f>Scorebook!$B$532</f>
      </c>
      <c r="AN130" s="5">
        <f ca="1">IF(Scorebook!C532="","",INT(Scorebook!C532)+MOD(ROUND(Scorebook!C532*10,0),10)/3)</f>
      </c>
      <c r="AO130" s="5" cm="1">
        <f t="array" aca="1" ref="AO130" ca="1">IF($AK130="","",_xlfn.LET(_xlpm.auto,AND(MOD(ROW()-4,6)=0,$AM130&lt;&gt;0,SUMPRODUCT(--(OFFSET($AM130,1,0,5,1)&lt;&gt;0))=0),_xlpm.oppA,_xlfn.XLOOKUP($AK130,$H$4:$H$18,$J$4:$J$18,""),_xlpm.oppB,_xlfn.XLOOKUP($AK130,$H$4:$H$18,$K$4:$K$18,""),_xlpm.opp,IF($AL130=_xlpm.oppA,_xlpm.oppB,_xlpm.oppA),IF(_xlpm.auto,SUMIFS($Y$4:$Y$273,$S$4:$S$273,$AK130,$T$4:$T$273,_xlpm.opp),Scorebook!D532)))</f>
      </c>
      <c r="AP130" s="5" cm="1">
        <f t="array" aca="1" ref="AP130" ca="1">IF($AK130="","",_xlfn.LET(_xlpm.auto,AND(MOD(ROW()-4,6)=0,$AM130&lt;&gt;0,SUMPRODUCT(--(OFFSET($AM130,1,0,5,1)&lt;&gt;0))=0),_xlpm.oppA,_xlfn.XLOOKUP($AK130,$H$4:$H$18,$J$4:$J$18,""),_xlpm.oppRuns,IF($AL130=_xlpm.oppA,_xlfn.XLOOKUP($AK130,$H$4:$H$18,$O$4:$O$18,""),_xlfn.XLOOKUP($AK130,$H$4:$H$18,$N$4:$N$18,"")),IF(_xlpm.auto,_xlpm.oppRuns,Scorebook!E532)))</f>
      </c>
      <c r="AQ130" s="5">
        <f ca="1">Scorebook!F532</f>
      </c>
      <c r="AR130" s="5" cm="1">
        <f t="array" aca="1" ref="AR130" ca="1">IF($AK130="","",_xlfn.LET(_xlpm.auto,AND(MOD(ROW()-4,6)=0,$AM130&lt;&gt;0,SUMPRODUCT(--(OFFSET($AM130,1,0,5,1)&lt;&gt;0))=0),_xlpm.oppA,_xlfn.XLOOKUP($AK130,$H$4:$H$18,$J$4:$J$18,""),_xlpm.oppB,_xlfn.XLOOKUP($AK130,$H$4:$H$18,$K$4:$K$18,""),_xlpm.opp,IF($AL130=_xlpm.oppA,_xlpm.oppB,_xlpm.oppA),IF(_xlpm.auto,SUMIFS($AD$4:$AD$273,$S$4:$S$273,$AK130,$T$4:$T$273,_xlpm.opp),Scorebook!G532)))</f>
      </c>
      <c r="AS130" s="5" cm="1">
        <f t="array" aca="1" ref="AS130" ca="1">IF($AK130="","",_xlfn.LET(_xlpm.auto,AND(MOD(ROW()-4,6)=0,$AM130&lt;&gt;0,SUMPRODUCT(--(OFFSET($AM130,1,0,5,1)&lt;&gt;0))=0),_xlpm.oppA,_xlfn.XLOOKUP($AK130,$H$4:$H$18,$J$4:$J$18,""),_xlpm.oppB,_xlfn.XLOOKUP($AK130,$H$4:$H$18,$K$4:$K$18,""),_xlpm.opp,IF($AL130=_xlpm.oppA,_xlpm.oppB,_xlpm.oppA),IF(_xlpm.auto,SUMIFS($AE$4:$AE$273,$S$4:$S$273,$AK130,$T$4:$T$273,_xlpm.opp),Scorebook!H532)))</f>
      </c>
      <c r="AT130" s="5" cm="1">
        <f t="array" aca="1" ref="AT130" ca="1">IF($AK130="","",_xlfn.LET(_xlpm.auto,AND(MOD(ROW()-4,6)=0,$AM130&lt;&gt;0,SUMPRODUCT(--(OFFSET($AM130,1,0,5,1)&lt;&gt;0))=0),_xlpm.oppA,_xlfn.XLOOKUP($AK130,$H$4:$H$18,$J$4:$J$18,""),_xlpm.oppB,_xlfn.XLOOKUP($AK130,$H$4:$H$18,$K$4:$K$18,""),_xlpm.opp,IF($AL130=_xlpm.oppA,_xlpm.oppB,_xlpm.oppA),IF(_xlpm.auto,SUMIFS($AB$4:$AB$273,$S$4:$S$273,$AK130,$T$4:$T$273,_xlpm.opp),Scorebook!I532)))</f>
      </c>
      <c r="AU130" s="5" cm="1">
        <f t="array" aca="1" ref="AU130" ca="1">IF($AK130="","",_xlfn.LET(_xlpm.auto,AND(MOD(ROW()-4,6)=0,$AM130&lt;&gt;0,SUMPRODUCT(--(OFFSET($AM130,1,0,5,1)&lt;&gt;0))=0),_xlpm.winner,_xlfn.XLOOKUP($AK130,$H$4:$H$18,$L$4:$L$18,""),IF(_xlpm.auto,--($AL130=_xlpm.winner),Scorebook!J532)))</f>
      </c>
      <c r="AV130" s="5" cm="1">
        <f t="array" aca="1" ref="AV130" ca="1">IF($AK130="","",_xlfn.LET(_xlpm.auto,AND(MOD(ROW()-4,6)=0,$AM130&lt;&gt;0,SUMPRODUCT(--(OFFSET($AM130,1,0,5,1)&lt;&gt;0))=0),_xlpm.loser,_xlfn.XLOOKUP($AK130,$H$4:$H$18,$M$4:$M$18,""),IF(_xlpm.auto,--($AL130=_xlpm.loser),Scorebook!K532)))</f>
      </c>
      <c r="AW130" s="5">
        <f ca="1">Scorebook!L532</f>
      </c>
      <c r="AX130" s="5" cm="1">
        <f t="array" aca="1" ref="AX130" ca="1">IF($AK130="","",_xlfn.LET(_xlpm.auto,AND(MOD(ROW()-4,6)=0,$AM130&lt;&gt;0,SUMPRODUCT(--(OFFSET($AM130,1,0,5,1)&lt;&gt;0))=0),_xlpm.oppA,_xlfn.XLOOKUP($AK130,$H$4:$H$18,$J$4:$J$18,""),_xlpm.oppRuns,IF($AL130=_xlpm.oppA,_xlfn.XLOOKUP($AK130,$H$4:$H$18,$O$4:$O$18,""),_xlfn.XLOOKUP($AK130,$H$4:$H$18,$N$4:$N$18,"")),IF(_xlpm.auto,--(_xlpm.oppRuns=0),Scorebook!M532)))</f>
      </c>
      <c r="AY130" s="5" cm="1">
        <f t="array" aca="1" ref="AY130" ca="1">IF($AK130="","",_xlfn.LET(_xlpm.auto,AND(MOD(ROW()-4,6)=0,$AM130&lt;&gt;0,SUMPRODUCT(--(OFFSET($AM130,1,0,5,1)&lt;&gt;0))=0),IF(_xlpm.auto,1,Scorebook!N532)))</f>
      </c>
      <c r="AZ130" s="5">
        <f>Settings!$B$2</f>
        <v>1</v>
      </c>
    </row>
    <row r="131" spans="19:52">
      <c r="S131" s="4" t="str">
        <f ca="1">Scorebook!$F$345</f>
        <v>G8</v>
      </c>
      <c r="T131" s="5" t="str">
        <f ca="1">Scorebook!$N$345</f>
        <v>Nick</v>
      </c>
      <c r="U131" s="5" t="str">
        <f ca="1">Scorebook!$B$353</f>
        <v>Green Dry Bones</v>
      </c>
      <c r="V131" s="4">
        <v>2</v>
      </c>
      <c r="W131" s="5">
        <f ca="1">Scorebook!M353</f>
        <v>3</v>
      </c>
      <c r="X131" s="5">
        <f ca="1">Scorebook!N353</f>
        <v>0</v>
      </c>
      <c r="Y131" s="5">
        <f ca="1">Scorebook!O353</f>
        <v>1</v>
      </c>
      <c r="Z131" s="5">
        <f ca="1">Scorebook!P353</f>
        <v>1</v>
      </c>
      <c r="AA131" s="5">
        <f ca="1">Scorebook!Q353</f>
        <v>0</v>
      </c>
      <c r="AB131" s="5">
        <f ca="1">Scorebook!R353</f>
        <v>0</v>
      </c>
      <c r="AC131" s="5">
        <f ca="1">Scorebook!S353</f>
        <v>0</v>
      </c>
      <c r="AD131" s="5">
        <f ca="1">Scorebook!T353</f>
        <v>0</v>
      </c>
      <c r="AE131" s="5">
        <f ca="1">Scorebook!U353</f>
        <v>0</v>
      </c>
      <c r="AF131" s="5">
        <f ca="1">Scorebook!V353</f>
        <v>0</v>
      </c>
      <c r="AG131" s="5">
        <f ca="1">Scorebook!W353</f>
        <v>0</v>
      </c>
      <c r="AH131" s="5">
        <f ca="1">Scorebook!X353</f>
        <v>0</v>
      </c>
      <c r="AI131" s="5">
        <f>Settings!$B$2</f>
        <v>1</v>
      </c>
      <c r="AJ131" s="18">
        <f ca="1">IF($AK131="","",Scorebook!$O$533)</f>
      </c>
      <c r="AK131" s="4" t="str">
        <f ca="1">IF(AND(Bracket!$H$17&lt;&gt;"",Bracket!$I$17&lt;&gt;""),"G11","")</f>
      </c>
      <c r="AL131" s="5" t="str">
        <f ca="1">IF(AND(Bracket!$H$17&lt;&gt;"",Bracket!$I$17&lt;&gt;""),Bracket!$I$17,"")</f>
      </c>
      <c r="AM131" s="5" t="str">
        <f>Scorebook!$B$533</f>
      </c>
      <c r="AN131" s="5">
        <f ca="1">IF(Scorebook!C533="","",INT(Scorebook!C533)+MOD(ROUND(Scorebook!C533*10,0),10)/3)</f>
      </c>
      <c r="AO131" s="5" cm="1">
        <f t="array" aca="1" ref="AO131" ca="1">IF($AK131="","",_xlfn.LET(_xlpm.auto,AND(MOD(ROW()-4,6)=0,$AM131&lt;&gt;0,SUMPRODUCT(--(OFFSET($AM131,1,0,5,1)&lt;&gt;0))=0),_xlpm.oppA,_xlfn.XLOOKUP($AK131,$H$4:$H$18,$J$4:$J$18,""),_xlpm.oppB,_xlfn.XLOOKUP($AK131,$H$4:$H$18,$K$4:$K$18,""),_xlpm.opp,IF($AL131=_xlpm.oppA,_xlpm.oppB,_xlpm.oppA),IF(_xlpm.auto,SUMIFS($Y$4:$Y$273,$S$4:$S$273,$AK131,$T$4:$T$273,_xlpm.opp),Scorebook!D533)))</f>
      </c>
      <c r="AP131" s="5" cm="1">
        <f t="array" aca="1" ref="AP131" ca="1">IF($AK131="","",_xlfn.LET(_xlpm.auto,AND(MOD(ROW()-4,6)=0,$AM131&lt;&gt;0,SUMPRODUCT(--(OFFSET($AM131,1,0,5,1)&lt;&gt;0))=0),_xlpm.oppA,_xlfn.XLOOKUP($AK131,$H$4:$H$18,$J$4:$J$18,""),_xlpm.oppRuns,IF($AL131=_xlpm.oppA,_xlfn.XLOOKUP($AK131,$H$4:$H$18,$O$4:$O$18,""),_xlfn.XLOOKUP($AK131,$H$4:$H$18,$N$4:$N$18,"")),IF(_xlpm.auto,_xlpm.oppRuns,Scorebook!E533)))</f>
      </c>
      <c r="AQ131" s="5">
        <f ca="1">Scorebook!F533</f>
      </c>
      <c r="AR131" s="5" cm="1">
        <f t="array" aca="1" ref="AR131" ca="1">IF($AK131="","",_xlfn.LET(_xlpm.auto,AND(MOD(ROW()-4,6)=0,$AM131&lt;&gt;0,SUMPRODUCT(--(OFFSET($AM131,1,0,5,1)&lt;&gt;0))=0),_xlpm.oppA,_xlfn.XLOOKUP($AK131,$H$4:$H$18,$J$4:$J$18,""),_xlpm.oppB,_xlfn.XLOOKUP($AK131,$H$4:$H$18,$K$4:$K$18,""),_xlpm.opp,IF($AL131=_xlpm.oppA,_xlpm.oppB,_xlpm.oppA),IF(_xlpm.auto,SUMIFS($AD$4:$AD$273,$S$4:$S$273,$AK131,$T$4:$T$273,_xlpm.opp),Scorebook!G533)))</f>
      </c>
      <c r="AS131" s="5" cm="1">
        <f t="array" aca="1" ref="AS131" ca="1">IF($AK131="","",_xlfn.LET(_xlpm.auto,AND(MOD(ROW()-4,6)=0,$AM131&lt;&gt;0,SUMPRODUCT(--(OFFSET($AM131,1,0,5,1)&lt;&gt;0))=0),_xlpm.oppA,_xlfn.XLOOKUP($AK131,$H$4:$H$18,$J$4:$J$18,""),_xlpm.oppB,_xlfn.XLOOKUP($AK131,$H$4:$H$18,$K$4:$K$18,""),_xlpm.opp,IF($AL131=_xlpm.oppA,_xlpm.oppB,_xlpm.oppA),IF(_xlpm.auto,SUMIFS($AE$4:$AE$273,$S$4:$S$273,$AK131,$T$4:$T$273,_xlpm.opp),Scorebook!H533)))</f>
      </c>
      <c r="AT131" s="5" cm="1">
        <f t="array" aca="1" ref="AT131" ca="1">IF($AK131="","",_xlfn.LET(_xlpm.auto,AND(MOD(ROW()-4,6)=0,$AM131&lt;&gt;0,SUMPRODUCT(--(OFFSET($AM131,1,0,5,1)&lt;&gt;0))=0),_xlpm.oppA,_xlfn.XLOOKUP($AK131,$H$4:$H$18,$J$4:$J$18,""),_xlpm.oppB,_xlfn.XLOOKUP($AK131,$H$4:$H$18,$K$4:$K$18,""),_xlpm.opp,IF($AL131=_xlpm.oppA,_xlpm.oppB,_xlpm.oppA),IF(_xlpm.auto,SUMIFS($AB$4:$AB$273,$S$4:$S$273,$AK131,$T$4:$T$273,_xlpm.opp),Scorebook!I533)))</f>
      </c>
      <c r="AU131" s="5" cm="1">
        <f t="array" aca="1" ref="AU131" ca="1">IF($AK131="","",_xlfn.LET(_xlpm.auto,AND(MOD(ROW()-4,6)=0,$AM131&lt;&gt;0,SUMPRODUCT(--(OFFSET($AM131,1,0,5,1)&lt;&gt;0))=0),_xlpm.winner,_xlfn.XLOOKUP($AK131,$H$4:$H$18,$L$4:$L$18,""),IF(_xlpm.auto,--($AL131=_xlpm.winner),Scorebook!J533)))</f>
      </c>
      <c r="AV131" s="5" cm="1">
        <f t="array" aca="1" ref="AV131" ca="1">IF($AK131="","",_xlfn.LET(_xlpm.auto,AND(MOD(ROW()-4,6)=0,$AM131&lt;&gt;0,SUMPRODUCT(--(OFFSET($AM131,1,0,5,1)&lt;&gt;0))=0),_xlpm.loser,_xlfn.XLOOKUP($AK131,$H$4:$H$18,$M$4:$M$18,""),IF(_xlpm.auto,--($AL131=_xlpm.loser),Scorebook!K533)))</f>
      </c>
      <c r="AW131" s="5">
        <f ca="1">Scorebook!L533</f>
      </c>
      <c r="AX131" s="5" cm="1">
        <f t="array" aca="1" ref="AX131" ca="1">IF($AK131="","",_xlfn.LET(_xlpm.auto,AND(MOD(ROW()-4,6)=0,$AM131&lt;&gt;0,SUMPRODUCT(--(OFFSET($AM131,1,0,5,1)&lt;&gt;0))=0),_xlpm.oppA,_xlfn.XLOOKUP($AK131,$H$4:$H$18,$J$4:$J$18,""),_xlpm.oppRuns,IF($AL131=_xlpm.oppA,_xlfn.XLOOKUP($AK131,$H$4:$H$18,$O$4:$O$18,""),_xlfn.XLOOKUP($AK131,$H$4:$H$18,$N$4:$N$18,"")),IF(_xlpm.auto,--(_xlpm.oppRuns=0),Scorebook!M533)))</f>
      </c>
      <c r="AY131" s="5" cm="1">
        <f t="array" aca="1" ref="AY131" ca="1">IF($AK131="","",_xlfn.LET(_xlpm.auto,AND(MOD(ROW()-4,6)=0,$AM131&lt;&gt;0,SUMPRODUCT(--(OFFSET($AM131,1,0,5,1)&lt;&gt;0))=0),IF(_xlpm.auto,1,Scorebook!N533)))</f>
      </c>
      <c r="AZ131" s="5">
        <f>Settings!$B$2</f>
        <v>1</v>
      </c>
    </row>
    <row r="132" spans="19:52">
      <c r="S132" s="4" t="str">
        <f ca="1">Scorebook!$F$345</f>
        <v>G8</v>
      </c>
      <c r="T132" s="5" t="str">
        <f ca="1">Scorebook!$N$345</f>
        <v>Nick</v>
      </c>
      <c r="U132" s="5" t="str">
        <f ca="1">Scorebook!$B$354</f>
        <v>Wiggler</v>
      </c>
      <c r="V132" s="4">
        <v>3</v>
      </c>
      <c r="W132" s="5">
        <f ca="1">Scorebook!M354</f>
        <v>3</v>
      </c>
      <c r="X132" s="5">
        <f ca="1">Scorebook!N354</f>
        <v>0</v>
      </c>
      <c r="Y132" s="5">
        <f ca="1">Scorebook!O354</f>
        <v>0</v>
      </c>
      <c r="Z132" s="5">
        <f ca="1">Scorebook!P354</f>
        <v>0</v>
      </c>
      <c r="AA132" s="5">
        <f ca="1">Scorebook!Q354</f>
        <v>0</v>
      </c>
      <c r="AB132" s="5">
        <f ca="1">Scorebook!R354</f>
        <v>0</v>
      </c>
      <c r="AC132" s="5">
        <f ca="1">Scorebook!S354</f>
        <v>0</v>
      </c>
      <c r="AD132" s="5">
        <f ca="1">Scorebook!T354</f>
        <v>0</v>
      </c>
      <c r="AE132" s="5">
        <f ca="1">Scorebook!U354</f>
        <v>1</v>
      </c>
      <c r="AF132" s="5">
        <f ca="1">Scorebook!V354</f>
        <v>0</v>
      </c>
      <c r="AG132" s="5">
        <f ca="1">Scorebook!W354</f>
        <v>0</v>
      </c>
      <c r="AH132" s="5">
        <f ca="1">Scorebook!X354</f>
        <v>0</v>
      </c>
      <c r="AI132" s="5">
        <f>Settings!$B$2</f>
        <v>1</v>
      </c>
      <c r="AJ132" s="18">
        <f ca="1">IF($AK132="","",Scorebook!$O$534)</f>
      </c>
      <c r="AK132" s="4" t="str">
        <f ca="1">IF(AND(Bracket!$H$17&lt;&gt;"",Bracket!$I$17&lt;&gt;""),"G11","")</f>
      </c>
      <c r="AL132" s="5" t="str">
        <f ca="1">IF(AND(Bracket!$H$17&lt;&gt;"",Bracket!$I$17&lt;&gt;""),Bracket!$I$17,"")</f>
      </c>
      <c r="AM132" s="5" t="str">
        <f>Scorebook!$B$534</f>
      </c>
      <c r="AN132" s="5">
        <f ca="1">IF(Scorebook!C534="","",INT(Scorebook!C534)+MOD(ROUND(Scorebook!C534*10,0),10)/3)</f>
      </c>
      <c r="AO132" s="5" cm="1">
        <f t="array" aca="1" ref="AO132" ca="1">IF($AK132="","",_xlfn.LET(_xlpm.auto,AND(MOD(ROW()-4,6)=0,$AM132&lt;&gt;0,SUMPRODUCT(--(OFFSET($AM132,1,0,5,1)&lt;&gt;0))=0),_xlpm.oppA,_xlfn.XLOOKUP($AK132,$H$4:$H$18,$J$4:$J$18,""),_xlpm.oppB,_xlfn.XLOOKUP($AK132,$H$4:$H$18,$K$4:$K$18,""),_xlpm.opp,IF($AL132=_xlpm.oppA,_xlpm.oppB,_xlpm.oppA),IF(_xlpm.auto,SUMIFS($Y$4:$Y$273,$S$4:$S$273,$AK132,$T$4:$T$273,_xlpm.opp),Scorebook!D534)))</f>
      </c>
      <c r="AP132" s="5" cm="1">
        <f t="array" aca="1" ref="AP132" ca="1">IF($AK132="","",_xlfn.LET(_xlpm.auto,AND(MOD(ROW()-4,6)=0,$AM132&lt;&gt;0,SUMPRODUCT(--(OFFSET($AM132,1,0,5,1)&lt;&gt;0))=0),_xlpm.oppA,_xlfn.XLOOKUP($AK132,$H$4:$H$18,$J$4:$J$18,""),_xlpm.oppRuns,IF($AL132=_xlpm.oppA,_xlfn.XLOOKUP($AK132,$H$4:$H$18,$O$4:$O$18,""),_xlfn.XLOOKUP($AK132,$H$4:$H$18,$N$4:$N$18,"")),IF(_xlpm.auto,_xlpm.oppRuns,Scorebook!E534)))</f>
      </c>
      <c r="AQ132" s="5">
        <f ca="1">Scorebook!F534</f>
      </c>
      <c r="AR132" s="5" cm="1">
        <f t="array" aca="1" ref="AR132" ca="1">IF($AK132="","",_xlfn.LET(_xlpm.auto,AND(MOD(ROW()-4,6)=0,$AM132&lt;&gt;0,SUMPRODUCT(--(OFFSET($AM132,1,0,5,1)&lt;&gt;0))=0),_xlpm.oppA,_xlfn.XLOOKUP($AK132,$H$4:$H$18,$J$4:$J$18,""),_xlpm.oppB,_xlfn.XLOOKUP($AK132,$H$4:$H$18,$K$4:$K$18,""),_xlpm.opp,IF($AL132=_xlpm.oppA,_xlpm.oppB,_xlpm.oppA),IF(_xlpm.auto,SUMIFS($AD$4:$AD$273,$S$4:$S$273,$AK132,$T$4:$T$273,_xlpm.opp),Scorebook!G534)))</f>
      </c>
      <c r="AS132" s="5" cm="1">
        <f t="array" aca="1" ref="AS132" ca="1">IF($AK132="","",_xlfn.LET(_xlpm.auto,AND(MOD(ROW()-4,6)=0,$AM132&lt;&gt;0,SUMPRODUCT(--(OFFSET($AM132,1,0,5,1)&lt;&gt;0))=0),_xlpm.oppA,_xlfn.XLOOKUP($AK132,$H$4:$H$18,$J$4:$J$18,""),_xlpm.oppB,_xlfn.XLOOKUP($AK132,$H$4:$H$18,$K$4:$K$18,""),_xlpm.opp,IF($AL132=_xlpm.oppA,_xlpm.oppB,_xlpm.oppA),IF(_xlpm.auto,SUMIFS($AE$4:$AE$273,$S$4:$S$273,$AK132,$T$4:$T$273,_xlpm.opp),Scorebook!H534)))</f>
      </c>
      <c r="AT132" s="5" cm="1">
        <f t="array" aca="1" ref="AT132" ca="1">IF($AK132="","",_xlfn.LET(_xlpm.auto,AND(MOD(ROW()-4,6)=0,$AM132&lt;&gt;0,SUMPRODUCT(--(OFFSET($AM132,1,0,5,1)&lt;&gt;0))=0),_xlpm.oppA,_xlfn.XLOOKUP($AK132,$H$4:$H$18,$J$4:$J$18,""),_xlpm.oppB,_xlfn.XLOOKUP($AK132,$H$4:$H$18,$K$4:$K$18,""),_xlpm.opp,IF($AL132=_xlpm.oppA,_xlpm.oppB,_xlpm.oppA),IF(_xlpm.auto,SUMIFS($AB$4:$AB$273,$S$4:$S$273,$AK132,$T$4:$T$273,_xlpm.opp),Scorebook!I534)))</f>
      </c>
      <c r="AU132" s="5" cm="1">
        <f t="array" aca="1" ref="AU132" ca="1">IF($AK132="","",_xlfn.LET(_xlpm.auto,AND(MOD(ROW()-4,6)=0,$AM132&lt;&gt;0,SUMPRODUCT(--(OFFSET($AM132,1,0,5,1)&lt;&gt;0))=0),_xlpm.winner,_xlfn.XLOOKUP($AK132,$H$4:$H$18,$L$4:$L$18,""),IF(_xlpm.auto,--($AL132=_xlpm.winner),Scorebook!J534)))</f>
      </c>
      <c r="AV132" s="5" cm="1">
        <f t="array" aca="1" ref="AV132" ca="1">IF($AK132="","",_xlfn.LET(_xlpm.auto,AND(MOD(ROW()-4,6)=0,$AM132&lt;&gt;0,SUMPRODUCT(--(OFFSET($AM132,1,0,5,1)&lt;&gt;0))=0),_xlpm.loser,_xlfn.XLOOKUP($AK132,$H$4:$H$18,$M$4:$M$18,""),IF(_xlpm.auto,--($AL132=_xlpm.loser),Scorebook!K534)))</f>
      </c>
      <c r="AW132" s="5">
        <f ca="1">Scorebook!L534</f>
      </c>
      <c r="AX132" s="5" cm="1">
        <f t="array" aca="1" ref="AX132" ca="1">IF($AK132="","",_xlfn.LET(_xlpm.auto,AND(MOD(ROW()-4,6)=0,$AM132&lt;&gt;0,SUMPRODUCT(--(OFFSET($AM132,1,0,5,1)&lt;&gt;0))=0),_xlpm.oppA,_xlfn.XLOOKUP($AK132,$H$4:$H$18,$J$4:$J$18,""),_xlpm.oppRuns,IF($AL132=_xlpm.oppA,_xlfn.XLOOKUP($AK132,$H$4:$H$18,$O$4:$O$18,""),_xlfn.XLOOKUP($AK132,$H$4:$H$18,$N$4:$N$18,"")),IF(_xlpm.auto,--(_xlpm.oppRuns=0),Scorebook!M534)))</f>
      </c>
      <c r="AY132" s="5" cm="1">
        <f t="array" aca="1" ref="AY132" ca="1">IF($AK132="","",_xlfn.LET(_xlpm.auto,AND(MOD(ROW()-4,6)=0,$AM132&lt;&gt;0,SUMPRODUCT(--(OFFSET($AM132,1,0,5,1)&lt;&gt;0))=0),IF(_xlpm.auto,1,Scorebook!N534)))</f>
      </c>
      <c r="AZ132" s="5">
        <f>Settings!$B$2</f>
        <v>1</v>
      </c>
    </row>
    <row r="133" spans="19:52">
      <c r="S133" s="4" t="str">
        <f ca="1">Scorebook!$F$345</f>
        <v>G8</v>
      </c>
      <c r="T133" s="5" t="str">
        <f ca="1">Scorebook!$N$345</f>
        <v>Nick</v>
      </c>
      <c r="U133" s="5" t="str">
        <f ca="1">Scorebook!$B$355</f>
        <v>Wario</v>
      </c>
      <c r="V133" s="4">
        <v>4</v>
      </c>
      <c r="W133" s="5">
        <f ca="1">Scorebook!M355</f>
        <v>2</v>
      </c>
      <c r="X133" s="5">
        <f ca="1">Scorebook!N355</f>
        <v>2</v>
      </c>
      <c r="Y133" s="5">
        <f ca="1">Scorebook!O355</f>
        <v>2</v>
      </c>
      <c r="Z133" s="5">
        <f ca="1">Scorebook!P355</f>
        <v>1</v>
      </c>
      <c r="AA133" s="5">
        <f ca="1">Scorebook!Q355</f>
        <v>1</v>
      </c>
      <c r="AB133" s="5">
        <f ca="1">Scorebook!R355</f>
        <v>0</v>
      </c>
      <c r="AC133" s="5">
        <f ca="1">Scorebook!S355</f>
        <v>0</v>
      </c>
      <c r="AD133" s="5">
        <f ca="1">Scorebook!T355</f>
        <v>0</v>
      </c>
      <c r="AE133" s="5">
        <f ca="1">Scorebook!U355</f>
        <v>0</v>
      </c>
      <c r="AF133" s="5">
        <f ca="1">Scorebook!V355</f>
        <v>0</v>
      </c>
      <c r="AG133" s="5">
        <f ca="1">Scorebook!W355</f>
        <v>0</v>
      </c>
      <c r="AH133" s="5">
        <f ca="1">Scorebook!X355</f>
        <v>0</v>
      </c>
      <c r="AI133" s="5">
        <f>Settings!$B$2</f>
        <v>1</v>
      </c>
      <c r="AJ133" s="18">
        <f ca="1">IF($AK133="","",Scorebook!$O$535)</f>
      </c>
      <c r="AK133" s="4" t="str">
        <f ca="1">IF(AND(Bracket!$H$17&lt;&gt;"",Bracket!$I$17&lt;&gt;""),"G11","")</f>
      </c>
      <c r="AL133" s="5" t="str">
        <f ca="1">IF(AND(Bracket!$H$17&lt;&gt;"",Bracket!$I$17&lt;&gt;""),Bracket!$I$17,"")</f>
      </c>
      <c r="AM133" s="5" t="str">
        <f>Scorebook!$B$535</f>
      </c>
      <c r="AN133" s="5">
        <f ca="1">IF(Scorebook!C535="","",INT(Scorebook!C535)+MOD(ROUND(Scorebook!C535*10,0),10)/3)</f>
      </c>
      <c r="AO133" s="5" cm="1">
        <f t="array" aca="1" ref="AO133" ca="1">IF($AK133="","",_xlfn.LET(_xlpm.auto,AND(MOD(ROW()-4,6)=0,$AM133&lt;&gt;0,SUMPRODUCT(--(OFFSET($AM133,1,0,5,1)&lt;&gt;0))=0),_xlpm.oppA,_xlfn.XLOOKUP($AK133,$H$4:$H$18,$J$4:$J$18,""),_xlpm.oppB,_xlfn.XLOOKUP($AK133,$H$4:$H$18,$K$4:$K$18,""),_xlpm.opp,IF($AL133=_xlpm.oppA,_xlpm.oppB,_xlpm.oppA),IF(_xlpm.auto,SUMIFS($Y$4:$Y$273,$S$4:$S$273,$AK133,$T$4:$T$273,_xlpm.opp),Scorebook!D535)))</f>
      </c>
      <c r="AP133" s="5" cm="1">
        <f t="array" aca="1" ref="AP133" ca="1">IF($AK133="","",_xlfn.LET(_xlpm.auto,AND(MOD(ROW()-4,6)=0,$AM133&lt;&gt;0,SUMPRODUCT(--(OFFSET($AM133,1,0,5,1)&lt;&gt;0))=0),_xlpm.oppA,_xlfn.XLOOKUP($AK133,$H$4:$H$18,$J$4:$J$18,""),_xlpm.oppRuns,IF($AL133=_xlpm.oppA,_xlfn.XLOOKUP($AK133,$H$4:$H$18,$O$4:$O$18,""),_xlfn.XLOOKUP($AK133,$H$4:$H$18,$N$4:$N$18,"")),IF(_xlpm.auto,_xlpm.oppRuns,Scorebook!E535)))</f>
      </c>
      <c r="AQ133" s="5">
        <f ca="1">Scorebook!F535</f>
      </c>
      <c r="AR133" s="5" cm="1">
        <f t="array" aca="1" ref="AR133" ca="1">IF($AK133="","",_xlfn.LET(_xlpm.auto,AND(MOD(ROW()-4,6)=0,$AM133&lt;&gt;0,SUMPRODUCT(--(OFFSET($AM133,1,0,5,1)&lt;&gt;0))=0),_xlpm.oppA,_xlfn.XLOOKUP($AK133,$H$4:$H$18,$J$4:$J$18,""),_xlpm.oppB,_xlfn.XLOOKUP($AK133,$H$4:$H$18,$K$4:$K$18,""),_xlpm.opp,IF($AL133=_xlpm.oppA,_xlpm.oppB,_xlpm.oppA),IF(_xlpm.auto,SUMIFS($AD$4:$AD$273,$S$4:$S$273,$AK133,$T$4:$T$273,_xlpm.opp),Scorebook!G535)))</f>
      </c>
      <c r="AS133" s="5" cm="1">
        <f t="array" aca="1" ref="AS133" ca="1">IF($AK133="","",_xlfn.LET(_xlpm.auto,AND(MOD(ROW()-4,6)=0,$AM133&lt;&gt;0,SUMPRODUCT(--(OFFSET($AM133,1,0,5,1)&lt;&gt;0))=0),_xlpm.oppA,_xlfn.XLOOKUP($AK133,$H$4:$H$18,$J$4:$J$18,""),_xlpm.oppB,_xlfn.XLOOKUP($AK133,$H$4:$H$18,$K$4:$K$18,""),_xlpm.opp,IF($AL133=_xlpm.oppA,_xlpm.oppB,_xlpm.oppA),IF(_xlpm.auto,SUMIFS($AE$4:$AE$273,$S$4:$S$273,$AK133,$T$4:$T$273,_xlpm.opp),Scorebook!H535)))</f>
      </c>
      <c r="AT133" s="5" cm="1">
        <f t="array" aca="1" ref="AT133" ca="1">IF($AK133="","",_xlfn.LET(_xlpm.auto,AND(MOD(ROW()-4,6)=0,$AM133&lt;&gt;0,SUMPRODUCT(--(OFFSET($AM133,1,0,5,1)&lt;&gt;0))=0),_xlpm.oppA,_xlfn.XLOOKUP($AK133,$H$4:$H$18,$J$4:$J$18,""),_xlpm.oppB,_xlfn.XLOOKUP($AK133,$H$4:$H$18,$K$4:$K$18,""),_xlpm.opp,IF($AL133=_xlpm.oppA,_xlpm.oppB,_xlpm.oppA),IF(_xlpm.auto,SUMIFS($AB$4:$AB$273,$S$4:$S$273,$AK133,$T$4:$T$273,_xlpm.opp),Scorebook!I535)))</f>
      </c>
      <c r="AU133" s="5" cm="1">
        <f t="array" aca="1" ref="AU133" ca="1">IF($AK133="","",_xlfn.LET(_xlpm.auto,AND(MOD(ROW()-4,6)=0,$AM133&lt;&gt;0,SUMPRODUCT(--(OFFSET($AM133,1,0,5,1)&lt;&gt;0))=0),_xlpm.winner,_xlfn.XLOOKUP($AK133,$H$4:$H$18,$L$4:$L$18,""),IF(_xlpm.auto,--($AL133=_xlpm.winner),Scorebook!J535)))</f>
      </c>
      <c r="AV133" s="5" cm="1">
        <f t="array" aca="1" ref="AV133" ca="1">IF($AK133="","",_xlfn.LET(_xlpm.auto,AND(MOD(ROW()-4,6)=0,$AM133&lt;&gt;0,SUMPRODUCT(--(OFFSET($AM133,1,0,5,1)&lt;&gt;0))=0),_xlpm.loser,_xlfn.XLOOKUP($AK133,$H$4:$H$18,$M$4:$M$18,""),IF(_xlpm.auto,--($AL133=_xlpm.loser),Scorebook!K535)))</f>
      </c>
      <c r="AW133" s="5">
        <f ca="1">Scorebook!L535</f>
      </c>
      <c r="AX133" s="5" cm="1">
        <f t="array" aca="1" ref="AX133" ca="1">IF($AK133="","",_xlfn.LET(_xlpm.auto,AND(MOD(ROW()-4,6)=0,$AM133&lt;&gt;0,SUMPRODUCT(--(OFFSET($AM133,1,0,5,1)&lt;&gt;0))=0),_xlpm.oppA,_xlfn.XLOOKUP($AK133,$H$4:$H$18,$J$4:$J$18,""),_xlpm.oppRuns,IF($AL133=_xlpm.oppA,_xlfn.XLOOKUP($AK133,$H$4:$H$18,$O$4:$O$18,""),_xlfn.XLOOKUP($AK133,$H$4:$H$18,$N$4:$N$18,"")),IF(_xlpm.auto,--(_xlpm.oppRuns=0),Scorebook!M535)))</f>
      </c>
      <c r="AY133" s="5" cm="1">
        <f t="array" aca="1" ref="AY133" ca="1">IF($AK133="","",_xlfn.LET(_xlpm.auto,AND(MOD(ROW()-4,6)=0,$AM133&lt;&gt;0,SUMPRODUCT(--(OFFSET($AM133,1,0,5,1)&lt;&gt;0))=0),IF(_xlpm.auto,1,Scorebook!N535)))</f>
      </c>
      <c r="AZ133" s="5">
        <f>Settings!$B$2</f>
        <v>1</v>
      </c>
    </row>
    <row r="134" spans="19:52">
      <c r="S134" s="4" t="str">
        <f ca="1">Scorebook!$F$345</f>
        <v>G8</v>
      </c>
      <c r="T134" s="5" t="str">
        <f ca="1">Scorebook!$N$345</f>
        <v>Nick</v>
      </c>
      <c r="U134" s="5" t="str">
        <f ca="1">Scorebook!$B$356</f>
        <v>Toadette</v>
      </c>
      <c r="V134" s="4">
        <v>5</v>
      </c>
      <c r="W134" s="5">
        <f ca="1">Scorebook!M356</f>
        <v>2</v>
      </c>
      <c r="X134" s="5">
        <f ca="1">Scorebook!N356</f>
        <v>1</v>
      </c>
      <c r="Y134" s="5">
        <f ca="1">Scorebook!O356</f>
        <v>1</v>
      </c>
      <c r="Z134" s="5">
        <f ca="1">Scorebook!P356</f>
        <v>0</v>
      </c>
      <c r="AA134" s="5">
        <f ca="1">Scorebook!Q356</f>
        <v>0</v>
      </c>
      <c r="AB134" s="5">
        <f ca="1">Scorebook!R356</f>
        <v>0</v>
      </c>
      <c r="AC134" s="5">
        <f ca="1">Scorebook!S356</f>
        <v>0</v>
      </c>
      <c r="AD134" s="5">
        <f ca="1">Scorebook!T356</f>
        <v>0</v>
      </c>
      <c r="AE134" s="5">
        <f ca="1">Scorebook!U356</f>
        <v>0</v>
      </c>
      <c r="AF134" s="5">
        <f ca="1">Scorebook!V356</f>
        <v>0</v>
      </c>
      <c r="AG134" s="5">
        <f ca="1">Scorebook!W356</f>
        <v>0</v>
      </c>
      <c r="AH134" s="5">
        <f ca="1">Scorebook!X356</f>
        <v>0</v>
      </c>
      <c r="AI134" s="5">
        <f>Settings!$B$2</f>
        <v>1</v>
      </c>
      <c r="AJ134" s="18">
        <f ca="1">IF($AK134="","",Scorebook!$O$536)</f>
      </c>
      <c r="AK134" s="4" t="str">
        <f ca="1">IF(AND(Bracket!$H$17&lt;&gt;"",Bracket!$I$17&lt;&gt;""),"G11","")</f>
      </c>
      <c r="AL134" s="5" t="str">
        <f ca="1">IF(AND(Bracket!$H$17&lt;&gt;"",Bracket!$I$17&lt;&gt;""),Bracket!$I$17,"")</f>
      </c>
      <c r="AM134" s="5" t="str">
        <f>Scorebook!$B$536</f>
      </c>
      <c r="AN134" s="5">
        <f ca="1">IF(Scorebook!C536="","",INT(Scorebook!C536)+MOD(ROUND(Scorebook!C536*10,0),10)/3)</f>
      </c>
      <c r="AO134" s="5" cm="1">
        <f t="array" aca="1" ref="AO134" ca="1">IF($AK134="","",_xlfn.LET(_xlpm.auto,AND(MOD(ROW()-4,6)=0,$AM134&lt;&gt;0,SUMPRODUCT(--(OFFSET($AM134,1,0,5,1)&lt;&gt;0))=0),_xlpm.oppA,_xlfn.XLOOKUP($AK134,$H$4:$H$18,$J$4:$J$18,""),_xlpm.oppB,_xlfn.XLOOKUP($AK134,$H$4:$H$18,$K$4:$K$18,""),_xlpm.opp,IF($AL134=_xlpm.oppA,_xlpm.oppB,_xlpm.oppA),IF(_xlpm.auto,SUMIFS($Y$4:$Y$273,$S$4:$S$273,$AK134,$T$4:$T$273,_xlpm.opp),Scorebook!D536)))</f>
      </c>
      <c r="AP134" s="5" cm="1">
        <f t="array" aca="1" ref="AP134" ca="1">IF($AK134="","",_xlfn.LET(_xlpm.auto,AND(MOD(ROW()-4,6)=0,$AM134&lt;&gt;0,SUMPRODUCT(--(OFFSET($AM134,1,0,5,1)&lt;&gt;0))=0),_xlpm.oppA,_xlfn.XLOOKUP($AK134,$H$4:$H$18,$J$4:$J$18,""),_xlpm.oppRuns,IF($AL134=_xlpm.oppA,_xlfn.XLOOKUP($AK134,$H$4:$H$18,$O$4:$O$18,""),_xlfn.XLOOKUP($AK134,$H$4:$H$18,$N$4:$N$18,"")),IF(_xlpm.auto,_xlpm.oppRuns,Scorebook!E536)))</f>
      </c>
      <c r="AQ134" s="5">
        <f ca="1">Scorebook!F536</f>
      </c>
      <c r="AR134" s="5" cm="1">
        <f t="array" aca="1" ref="AR134" ca="1">IF($AK134="","",_xlfn.LET(_xlpm.auto,AND(MOD(ROW()-4,6)=0,$AM134&lt;&gt;0,SUMPRODUCT(--(OFFSET($AM134,1,0,5,1)&lt;&gt;0))=0),_xlpm.oppA,_xlfn.XLOOKUP($AK134,$H$4:$H$18,$J$4:$J$18,""),_xlpm.oppB,_xlfn.XLOOKUP($AK134,$H$4:$H$18,$K$4:$K$18,""),_xlpm.opp,IF($AL134=_xlpm.oppA,_xlpm.oppB,_xlpm.oppA),IF(_xlpm.auto,SUMIFS($AD$4:$AD$273,$S$4:$S$273,$AK134,$T$4:$T$273,_xlpm.opp),Scorebook!G536)))</f>
      </c>
      <c r="AS134" s="5" cm="1">
        <f t="array" aca="1" ref="AS134" ca="1">IF($AK134="","",_xlfn.LET(_xlpm.auto,AND(MOD(ROW()-4,6)=0,$AM134&lt;&gt;0,SUMPRODUCT(--(OFFSET($AM134,1,0,5,1)&lt;&gt;0))=0),_xlpm.oppA,_xlfn.XLOOKUP($AK134,$H$4:$H$18,$J$4:$J$18,""),_xlpm.oppB,_xlfn.XLOOKUP($AK134,$H$4:$H$18,$K$4:$K$18,""),_xlpm.opp,IF($AL134=_xlpm.oppA,_xlpm.oppB,_xlpm.oppA),IF(_xlpm.auto,SUMIFS($AE$4:$AE$273,$S$4:$S$273,$AK134,$T$4:$T$273,_xlpm.opp),Scorebook!H536)))</f>
      </c>
      <c r="AT134" s="5" cm="1">
        <f t="array" aca="1" ref="AT134" ca="1">IF($AK134="","",_xlfn.LET(_xlpm.auto,AND(MOD(ROW()-4,6)=0,$AM134&lt;&gt;0,SUMPRODUCT(--(OFFSET($AM134,1,0,5,1)&lt;&gt;0))=0),_xlpm.oppA,_xlfn.XLOOKUP($AK134,$H$4:$H$18,$J$4:$J$18,""),_xlpm.oppB,_xlfn.XLOOKUP($AK134,$H$4:$H$18,$K$4:$K$18,""),_xlpm.opp,IF($AL134=_xlpm.oppA,_xlpm.oppB,_xlpm.oppA),IF(_xlpm.auto,SUMIFS($AB$4:$AB$273,$S$4:$S$273,$AK134,$T$4:$T$273,_xlpm.opp),Scorebook!I536)))</f>
      </c>
      <c r="AU134" s="5" cm="1">
        <f t="array" aca="1" ref="AU134" ca="1">IF($AK134="","",_xlfn.LET(_xlpm.auto,AND(MOD(ROW()-4,6)=0,$AM134&lt;&gt;0,SUMPRODUCT(--(OFFSET($AM134,1,0,5,1)&lt;&gt;0))=0),_xlpm.winner,_xlfn.XLOOKUP($AK134,$H$4:$H$18,$L$4:$L$18,""),IF(_xlpm.auto,--($AL134=_xlpm.winner),Scorebook!J536)))</f>
      </c>
      <c r="AV134" s="5" cm="1">
        <f t="array" aca="1" ref="AV134" ca="1">IF($AK134="","",_xlfn.LET(_xlpm.auto,AND(MOD(ROW()-4,6)=0,$AM134&lt;&gt;0,SUMPRODUCT(--(OFFSET($AM134,1,0,5,1)&lt;&gt;0))=0),_xlpm.loser,_xlfn.XLOOKUP($AK134,$H$4:$H$18,$M$4:$M$18,""),IF(_xlpm.auto,--($AL134=_xlpm.loser),Scorebook!K536)))</f>
      </c>
      <c r="AW134" s="5">
        <f ca="1">Scorebook!L536</f>
      </c>
      <c r="AX134" s="5" cm="1">
        <f t="array" aca="1" ref="AX134" ca="1">IF($AK134="","",_xlfn.LET(_xlpm.auto,AND(MOD(ROW()-4,6)=0,$AM134&lt;&gt;0,SUMPRODUCT(--(OFFSET($AM134,1,0,5,1)&lt;&gt;0))=0),_xlpm.oppA,_xlfn.XLOOKUP($AK134,$H$4:$H$18,$J$4:$J$18,""),_xlpm.oppRuns,IF($AL134=_xlpm.oppA,_xlfn.XLOOKUP($AK134,$H$4:$H$18,$O$4:$O$18,""),_xlfn.XLOOKUP($AK134,$H$4:$H$18,$N$4:$N$18,"")),IF(_xlpm.auto,--(_xlpm.oppRuns=0),Scorebook!M536)))</f>
      </c>
      <c r="AY134" s="5" cm="1">
        <f t="array" aca="1" ref="AY134" ca="1">IF($AK134="","",_xlfn.LET(_xlpm.auto,AND(MOD(ROW()-4,6)=0,$AM134&lt;&gt;0,SUMPRODUCT(--(OFFSET($AM134,1,0,5,1)&lt;&gt;0))=0),IF(_xlpm.auto,1,Scorebook!N536)))</f>
      </c>
      <c r="AZ134" s="5">
        <f>Settings!$B$2</f>
        <v>1</v>
      </c>
    </row>
    <row r="135" spans="19:52">
      <c r="S135" s="4" t="str">
        <f ca="1">Scorebook!$F$345</f>
        <v>G8</v>
      </c>
      <c r="T135" s="5" t="str">
        <f ca="1">Scorebook!$N$345</f>
        <v>Nick</v>
      </c>
      <c r="U135" s="5" t="str">
        <f ca="1">Scorebook!$B$357</f>
        <v>Mii</v>
      </c>
      <c r="V135" s="4">
        <v>6</v>
      </c>
      <c r="W135" s="5">
        <f ca="1">Scorebook!M357</f>
        <v>2</v>
      </c>
      <c r="X135" s="5">
        <f ca="1">Scorebook!N357</f>
        <v>1</v>
      </c>
      <c r="Y135" s="5">
        <f ca="1">Scorebook!O357</f>
        <v>1</v>
      </c>
      <c r="Z135" s="5">
        <f ca="1">Scorebook!P357</f>
        <v>0</v>
      </c>
      <c r="AA135" s="5">
        <f ca="1">Scorebook!Q357</f>
        <v>0</v>
      </c>
      <c r="AB135" s="5">
        <f ca="1">Scorebook!R357</f>
        <v>0</v>
      </c>
      <c r="AC135" s="5">
        <f ca="1">Scorebook!S357</f>
        <v>1</v>
      </c>
      <c r="AD135" s="5">
        <f ca="1">Scorebook!T357</f>
        <v>0</v>
      </c>
      <c r="AE135" s="5">
        <f ca="1">Scorebook!U357</f>
        <v>1</v>
      </c>
      <c r="AF135" s="5">
        <f ca="1">Scorebook!V357</f>
        <v>0</v>
      </c>
      <c r="AG135" s="5">
        <f ca="1">Scorebook!W357</f>
        <v>0</v>
      </c>
      <c r="AH135" s="5">
        <f ca="1">Scorebook!X357</f>
        <v>0</v>
      </c>
      <c r="AI135" s="5">
        <f>Settings!$B$2</f>
        <v>1</v>
      </c>
      <c r="AJ135" s="18">
        <f ca="1">IF($AK135="","",Scorebook!$O$537)</f>
      </c>
      <c r="AK135" s="4" t="str">
        <f ca="1">IF(AND(Bracket!$H$17&lt;&gt;"",Bracket!$I$17&lt;&gt;""),"G11","")</f>
      </c>
      <c r="AL135" s="5" t="str">
        <f ca="1">IF(AND(Bracket!$H$17&lt;&gt;"",Bracket!$I$17&lt;&gt;""),Bracket!$I$17,"")</f>
      </c>
      <c r="AM135" s="5" t="str">
        <f>Scorebook!$B$537</f>
      </c>
      <c r="AN135" s="5">
        <f ca="1">IF(Scorebook!C537="","",INT(Scorebook!C537)+MOD(ROUND(Scorebook!C537*10,0),10)/3)</f>
      </c>
      <c r="AO135" s="5" cm="1">
        <f t="array" aca="1" ref="AO135" ca="1">IF($AK135="","",_xlfn.LET(_xlpm.auto,AND(MOD(ROW()-4,6)=0,$AM135&lt;&gt;0,SUMPRODUCT(--(OFFSET($AM135,1,0,5,1)&lt;&gt;0))=0),_xlpm.oppA,_xlfn.XLOOKUP($AK135,$H$4:$H$18,$J$4:$J$18,""),_xlpm.oppB,_xlfn.XLOOKUP($AK135,$H$4:$H$18,$K$4:$K$18,""),_xlpm.opp,IF($AL135=_xlpm.oppA,_xlpm.oppB,_xlpm.oppA),IF(_xlpm.auto,SUMIFS($Y$4:$Y$273,$S$4:$S$273,$AK135,$T$4:$T$273,_xlpm.opp),Scorebook!D537)))</f>
      </c>
      <c r="AP135" s="5" cm="1">
        <f t="array" aca="1" ref="AP135" ca="1">IF($AK135="","",_xlfn.LET(_xlpm.auto,AND(MOD(ROW()-4,6)=0,$AM135&lt;&gt;0,SUMPRODUCT(--(OFFSET($AM135,1,0,5,1)&lt;&gt;0))=0),_xlpm.oppA,_xlfn.XLOOKUP($AK135,$H$4:$H$18,$J$4:$J$18,""),_xlpm.oppRuns,IF($AL135=_xlpm.oppA,_xlfn.XLOOKUP($AK135,$H$4:$H$18,$O$4:$O$18,""),_xlfn.XLOOKUP($AK135,$H$4:$H$18,$N$4:$N$18,"")),IF(_xlpm.auto,_xlpm.oppRuns,Scorebook!E537)))</f>
      </c>
      <c r="AQ135" s="5">
        <f ca="1">Scorebook!F537</f>
      </c>
      <c r="AR135" s="5" cm="1">
        <f t="array" aca="1" ref="AR135" ca="1">IF($AK135="","",_xlfn.LET(_xlpm.auto,AND(MOD(ROW()-4,6)=0,$AM135&lt;&gt;0,SUMPRODUCT(--(OFFSET($AM135,1,0,5,1)&lt;&gt;0))=0),_xlpm.oppA,_xlfn.XLOOKUP($AK135,$H$4:$H$18,$J$4:$J$18,""),_xlpm.oppB,_xlfn.XLOOKUP($AK135,$H$4:$H$18,$K$4:$K$18,""),_xlpm.opp,IF($AL135=_xlpm.oppA,_xlpm.oppB,_xlpm.oppA),IF(_xlpm.auto,SUMIFS($AD$4:$AD$273,$S$4:$S$273,$AK135,$T$4:$T$273,_xlpm.opp),Scorebook!G537)))</f>
      </c>
      <c r="AS135" s="5" cm="1">
        <f t="array" aca="1" ref="AS135" ca="1">IF($AK135="","",_xlfn.LET(_xlpm.auto,AND(MOD(ROW()-4,6)=0,$AM135&lt;&gt;0,SUMPRODUCT(--(OFFSET($AM135,1,0,5,1)&lt;&gt;0))=0),_xlpm.oppA,_xlfn.XLOOKUP($AK135,$H$4:$H$18,$J$4:$J$18,""),_xlpm.oppB,_xlfn.XLOOKUP($AK135,$H$4:$H$18,$K$4:$K$18,""),_xlpm.opp,IF($AL135=_xlpm.oppA,_xlpm.oppB,_xlpm.oppA),IF(_xlpm.auto,SUMIFS($AE$4:$AE$273,$S$4:$S$273,$AK135,$T$4:$T$273,_xlpm.opp),Scorebook!H537)))</f>
      </c>
      <c r="AT135" s="5" cm="1">
        <f t="array" aca="1" ref="AT135" ca="1">IF($AK135="","",_xlfn.LET(_xlpm.auto,AND(MOD(ROW()-4,6)=0,$AM135&lt;&gt;0,SUMPRODUCT(--(OFFSET($AM135,1,0,5,1)&lt;&gt;0))=0),_xlpm.oppA,_xlfn.XLOOKUP($AK135,$H$4:$H$18,$J$4:$J$18,""),_xlpm.oppB,_xlfn.XLOOKUP($AK135,$H$4:$H$18,$K$4:$K$18,""),_xlpm.opp,IF($AL135=_xlpm.oppA,_xlpm.oppB,_xlpm.oppA),IF(_xlpm.auto,SUMIFS($AB$4:$AB$273,$S$4:$S$273,$AK135,$T$4:$T$273,_xlpm.opp),Scorebook!I537)))</f>
      </c>
      <c r="AU135" s="5" cm="1">
        <f t="array" aca="1" ref="AU135" ca="1">IF($AK135="","",_xlfn.LET(_xlpm.auto,AND(MOD(ROW()-4,6)=0,$AM135&lt;&gt;0,SUMPRODUCT(--(OFFSET($AM135,1,0,5,1)&lt;&gt;0))=0),_xlpm.winner,_xlfn.XLOOKUP($AK135,$H$4:$H$18,$L$4:$L$18,""),IF(_xlpm.auto,--($AL135=_xlpm.winner),Scorebook!J537)))</f>
      </c>
      <c r="AV135" s="5" cm="1">
        <f t="array" aca="1" ref="AV135" ca="1">IF($AK135="","",_xlfn.LET(_xlpm.auto,AND(MOD(ROW()-4,6)=0,$AM135&lt;&gt;0,SUMPRODUCT(--(OFFSET($AM135,1,0,5,1)&lt;&gt;0))=0),_xlpm.loser,_xlfn.XLOOKUP($AK135,$H$4:$H$18,$M$4:$M$18,""),IF(_xlpm.auto,--($AL135=_xlpm.loser),Scorebook!K537)))</f>
      </c>
      <c r="AW135" s="5">
        <f ca="1">Scorebook!L537</f>
      </c>
      <c r="AX135" s="5" cm="1">
        <f t="array" aca="1" ref="AX135" ca="1">IF($AK135="","",_xlfn.LET(_xlpm.auto,AND(MOD(ROW()-4,6)=0,$AM135&lt;&gt;0,SUMPRODUCT(--(OFFSET($AM135,1,0,5,1)&lt;&gt;0))=0),_xlpm.oppA,_xlfn.XLOOKUP($AK135,$H$4:$H$18,$J$4:$J$18,""),_xlpm.oppRuns,IF($AL135=_xlpm.oppA,_xlfn.XLOOKUP($AK135,$H$4:$H$18,$O$4:$O$18,""),_xlfn.XLOOKUP($AK135,$H$4:$H$18,$N$4:$N$18,"")),IF(_xlpm.auto,--(_xlpm.oppRuns=0),Scorebook!M537)))</f>
      </c>
      <c r="AY135" s="5" cm="1">
        <f t="array" aca="1" ref="AY135" ca="1">IF($AK135="","",_xlfn.LET(_xlpm.auto,AND(MOD(ROW()-4,6)=0,$AM135&lt;&gt;0,SUMPRODUCT(--(OFFSET($AM135,1,0,5,1)&lt;&gt;0))=0),IF(_xlpm.auto,1,Scorebook!N537)))</f>
      </c>
      <c r="AZ135" s="5">
        <f>Settings!$B$2</f>
        <v>1</v>
      </c>
    </row>
    <row r="136" spans="19:52">
      <c r="S136" s="4" t="str">
        <f ca="1">Scorebook!$F$345</f>
        <v>G8</v>
      </c>
      <c r="T136" s="5" t="str">
        <f ca="1">Scorebook!$N$345</f>
        <v>Nick</v>
      </c>
      <c r="U136" s="5" t="str">
        <f ca="1">Scorebook!$B$358</f>
        <v>Boomerang Bro</v>
      </c>
      <c r="V136" s="4">
        <v>7</v>
      </c>
      <c r="W136" s="5">
        <f ca="1">Scorebook!M358</f>
        <v>1</v>
      </c>
      <c r="X136" s="5">
        <f ca="1">Scorebook!N358</f>
        <v>1</v>
      </c>
      <c r="Y136" s="5">
        <f ca="1">Scorebook!O358</f>
        <v>1</v>
      </c>
      <c r="Z136" s="5">
        <f ca="1">Scorebook!P358</f>
        <v>0</v>
      </c>
      <c r="AA136" s="5">
        <f ca="1">Scorebook!Q358</f>
        <v>0</v>
      </c>
      <c r="AB136" s="5">
        <f ca="1">Scorebook!R358</f>
        <v>0</v>
      </c>
      <c r="AC136" s="5">
        <f ca="1">Scorebook!S358</f>
        <v>0</v>
      </c>
      <c r="AD136" s="5">
        <f ca="1">Scorebook!T358</f>
        <v>0</v>
      </c>
      <c r="AE136" s="5">
        <f ca="1">Scorebook!U358</f>
        <v>0</v>
      </c>
      <c r="AF136" s="5">
        <f ca="1">Scorebook!V358</f>
        <v>1</v>
      </c>
      <c r="AG136" s="5">
        <f ca="1">Scorebook!W358</f>
        <v>0</v>
      </c>
      <c r="AH136" s="5">
        <f ca="1">Scorebook!X358</f>
        <v>0</v>
      </c>
      <c r="AI136" s="5">
        <f>Settings!$B$2</f>
        <v>1</v>
      </c>
      <c r="AJ136" s="18">
        <f ca="1">IF($AK136="","",Scorebook!$O$560)</f>
      </c>
      <c r="AK136" s="4" t="str">
        <f ca="1">IF(AND(Bracket!$H$18&lt;&gt;"",Bracket!$I$18&lt;&gt;""),"G12","")</f>
      </c>
      <c r="AL136" s="5" t="str">
        <f ca="1">IF(AND(Bracket!$H$18&lt;&gt;"",Bracket!$I$18&lt;&gt;""),Bracket!$H$18,"")</f>
      </c>
      <c r="AM136" s="5" t="str">
        <f>Scorebook!$B$560</f>
      </c>
      <c r="AN136" s="5">
        <f ca="1">IF(Scorebook!C560="","",INT(Scorebook!C560)+MOD(ROUND(Scorebook!C560*10,0),10)/3)</f>
      </c>
      <c r="AO136" s="5" cm="1">
        <f t="array" aca="1" ref="AO136" ca="1">IF($AK136="","",_xlfn.LET(_xlpm.auto,AND(MOD(ROW()-4,6)=0,$AM136&lt;&gt;0,SUMPRODUCT(--(OFFSET($AM136,1,0,5,1)&lt;&gt;0))=0),_xlpm.oppA,_xlfn.XLOOKUP($AK136,$H$4:$H$18,$J$4:$J$18,""),_xlpm.oppB,_xlfn.XLOOKUP($AK136,$H$4:$H$18,$K$4:$K$18,""),_xlpm.opp,IF($AL136=_xlpm.oppA,_xlpm.oppB,_xlpm.oppA),IF(_xlpm.auto,SUMIFS($Y$4:$Y$273,$S$4:$S$273,$AK136,$T$4:$T$273,_xlpm.opp),Scorebook!D560)))</f>
      </c>
      <c r="AP136" s="5" cm="1">
        <f t="array" aca="1" ref="AP136" ca="1">IF($AK136="","",_xlfn.LET(_xlpm.auto,AND(MOD(ROW()-4,6)=0,$AM136&lt;&gt;0,SUMPRODUCT(--(OFFSET($AM136,1,0,5,1)&lt;&gt;0))=0),_xlpm.oppA,_xlfn.XLOOKUP($AK136,$H$4:$H$18,$J$4:$J$18,""),_xlpm.oppRuns,IF($AL136=_xlpm.oppA,_xlfn.XLOOKUP($AK136,$H$4:$H$18,$O$4:$O$18,""),_xlfn.XLOOKUP($AK136,$H$4:$H$18,$N$4:$N$18,"")),IF(_xlpm.auto,_xlpm.oppRuns,Scorebook!E560)))</f>
      </c>
      <c r="AQ136" s="5">
        <f ca="1">Scorebook!F560</f>
      </c>
      <c r="AR136" s="5" cm="1">
        <f t="array" aca="1" ref="AR136" ca="1">IF($AK136="","",_xlfn.LET(_xlpm.auto,AND(MOD(ROW()-4,6)=0,$AM136&lt;&gt;0,SUMPRODUCT(--(OFFSET($AM136,1,0,5,1)&lt;&gt;0))=0),_xlpm.oppA,_xlfn.XLOOKUP($AK136,$H$4:$H$18,$J$4:$J$18,""),_xlpm.oppB,_xlfn.XLOOKUP($AK136,$H$4:$H$18,$K$4:$K$18,""),_xlpm.opp,IF($AL136=_xlpm.oppA,_xlpm.oppB,_xlpm.oppA),IF(_xlpm.auto,SUMIFS($AD$4:$AD$273,$S$4:$S$273,$AK136,$T$4:$T$273,_xlpm.opp),Scorebook!G560)))</f>
      </c>
      <c r="AS136" s="5" cm="1">
        <f t="array" aca="1" ref="AS136" ca="1">IF($AK136="","",_xlfn.LET(_xlpm.auto,AND(MOD(ROW()-4,6)=0,$AM136&lt;&gt;0,SUMPRODUCT(--(OFFSET($AM136,1,0,5,1)&lt;&gt;0))=0),_xlpm.oppA,_xlfn.XLOOKUP($AK136,$H$4:$H$18,$J$4:$J$18,""),_xlpm.oppB,_xlfn.XLOOKUP($AK136,$H$4:$H$18,$K$4:$K$18,""),_xlpm.opp,IF($AL136=_xlpm.oppA,_xlpm.oppB,_xlpm.oppA),IF(_xlpm.auto,SUMIFS($AE$4:$AE$273,$S$4:$S$273,$AK136,$T$4:$T$273,_xlpm.opp),Scorebook!H560)))</f>
      </c>
      <c r="AT136" s="5" cm="1">
        <f t="array" aca="1" ref="AT136" ca="1">IF($AK136="","",_xlfn.LET(_xlpm.auto,AND(MOD(ROW()-4,6)=0,$AM136&lt;&gt;0,SUMPRODUCT(--(OFFSET($AM136,1,0,5,1)&lt;&gt;0))=0),_xlpm.oppA,_xlfn.XLOOKUP($AK136,$H$4:$H$18,$J$4:$J$18,""),_xlpm.oppB,_xlfn.XLOOKUP($AK136,$H$4:$H$18,$K$4:$K$18,""),_xlpm.opp,IF($AL136=_xlpm.oppA,_xlpm.oppB,_xlpm.oppA),IF(_xlpm.auto,SUMIFS($AB$4:$AB$273,$S$4:$S$273,$AK136,$T$4:$T$273,_xlpm.opp),Scorebook!I560)))</f>
      </c>
      <c r="AU136" s="5" cm="1">
        <f t="array" aca="1" ref="AU136" ca="1">IF($AK136="","",_xlfn.LET(_xlpm.auto,AND(MOD(ROW()-4,6)=0,$AM136&lt;&gt;0,SUMPRODUCT(--(OFFSET($AM136,1,0,5,1)&lt;&gt;0))=0),_xlpm.winner,_xlfn.XLOOKUP($AK136,$H$4:$H$18,$L$4:$L$18,""),IF(_xlpm.auto,--($AL136=_xlpm.winner),Scorebook!J560)))</f>
      </c>
      <c r="AV136" s="5" cm="1">
        <f t="array" aca="1" ref="AV136" ca="1">IF($AK136="","",_xlfn.LET(_xlpm.auto,AND(MOD(ROW()-4,6)=0,$AM136&lt;&gt;0,SUMPRODUCT(--(OFFSET($AM136,1,0,5,1)&lt;&gt;0))=0),_xlpm.loser,_xlfn.XLOOKUP($AK136,$H$4:$H$18,$M$4:$M$18,""),IF(_xlpm.auto,--($AL136=_xlpm.loser),Scorebook!K560)))</f>
      </c>
      <c r="AW136" s="5">
        <f ca="1">Scorebook!L560</f>
      </c>
      <c r="AX136" s="5" cm="1">
        <f t="array" aca="1" ref="AX136" ca="1">IF($AK136="","",_xlfn.LET(_xlpm.auto,AND(MOD(ROW()-4,6)=0,$AM136&lt;&gt;0,SUMPRODUCT(--(OFFSET($AM136,1,0,5,1)&lt;&gt;0))=0),_xlpm.oppA,_xlfn.XLOOKUP($AK136,$H$4:$H$18,$J$4:$J$18,""),_xlpm.oppRuns,IF($AL136=_xlpm.oppA,_xlfn.XLOOKUP($AK136,$H$4:$H$18,$O$4:$O$18,""),_xlfn.XLOOKUP($AK136,$H$4:$H$18,$N$4:$N$18,"")),IF(_xlpm.auto,--(_xlpm.oppRuns=0),Scorebook!M560)))</f>
      </c>
      <c r="AY136" s="5" cm="1">
        <f t="array" aca="1" ref="AY136" ca="1">IF($AK136="","",_xlfn.LET(_xlpm.auto,AND(MOD(ROW()-4,6)=0,$AM136&lt;&gt;0,SUMPRODUCT(--(OFFSET($AM136,1,0,5,1)&lt;&gt;0))=0),IF(_xlpm.auto,1,Scorebook!N560)))</f>
      </c>
      <c r="AZ136" s="5">
        <f>Settings!$B$2</f>
        <v>1</v>
      </c>
    </row>
    <row r="137" spans="19:52">
      <c r="S137" s="4" t="str">
        <f ca="1">Scorebook!$F$345</f>
        <v>G8</v>
      </c>
      <c r="T137" s="5" t="str">
        <f ca="1">Scorebook!$N$345</f>
        <v>Nick</v>
      </c>
      <c r="U137" s="5" t="str">
        <f ca="1">Scorebook!$B$359</f>
        <v>Daisy</v>
      </c>
      <c r="V137" s="4">
        <v>8</v>
      </c>
      <c r="W137" s="5">
        <f ca="1">Scorebook!M359</f>
        <v>2</v>
      </c>
      <c r="X137" s="5">
        <f ca="1">Scorebook!N359</f>
        <v>1</v>
      </c>
      <c r="Y137" s="5">
        <f ca="1">Scorebook!O359</f>
        <v>2</v>
      </c>
      <c r="Z137" s="5">
        <f ca="1">Scorebook!P359</f>
        <v>1</v>
      </c>
      <c r="AA137" s="5">
        <f ca="1">Scorebook!Q359</f>
        <v>0</v>
      </c>
      <c r="AB137" s="5">
        <f ca="1">Scorebook!R359</f>
        <v>0</v>
      </c>
      <c r="AC137" s="5">
        <f ca="1">Scorebook!S359</f>
        <v>3</v>
      </c>
      <c r="AD137" s="5">
        <f ca="1">Scorebook!T359</f>
        <v>0</v>
      </c>
      <c r="AE137" s="5">
        <f ca="1">Scorebook!U359</f>
        <v>0</v>
      </c>
      <c r="AF137" s="5">
        <f ca="1">Scorebook!V359</f>
        <v>0</v>
      </c>
      <c r="AG137" s="5">
        <f ca="1">Scorebook!W359</f>
        <v>0</v>
      </c>
      <c r="AH137" s="5">
        <f ca="1">Scorebook!X359</f>
        <v>0</v>
      </c>
      <c r="AI137" s="5">
        <f>Settings!$B$2</f>
        <v>1</v>
      </c>
      <c r="AJ137" s="18">
        <f ca="1">IF($AK137="","",Scorebook!$O$561)</f>
      </c>
      <c r="AK137" s="4" t="str">
        <f ca="1">IF(AND(Bracket!$H$18&lt;&gt;"",Bracket!$I$18&lt;&gt;""),"G12","")</f>
      </c>
      <c r="AL137" s="5" t="str">
        <f ca="1">IF(AND(Bracket!$H$18&lt;&gt;"",Bracket!$I$18&lt;&gt;""),Bracket!$H$18,"")</f>
      </c>
      <c r="AM137" s="5" t="str">
        <f>Scorebook!$B$561</f>
      </c>
      <c r="AN137" s="5">
        <f ca="1">IF(Scorebook!C561="","",INT(Scorebook!C561)+MOD(ROUND(Scorebook!C561*10,0),10)/3)</f>
      </c>
      <c r="AO137" s="5" cm="1">
        <f t="array" aca="1" ref="AO137" ca="1">IF($AK137="","",_xlfn.LET(_xlpm.auto,AND(MOD(ROW()-4,6)=0,$AM137&lt;&gt;0,SUMPRODUCT(--(OFFSET($AM137,1,0,5,1)&lt;&gt;0))=0),_xlpm.oppA,_xlfn.XLOOKUP($AK137,$H$4:$H$18,$J$4:$J$18,""),_xlpm.oppB,_xlfn.XLOOKUP($AK137,$H$4:$H$18,$K$4:$K$18,""),_xlpm.opp,IF($AL137=_xlpm.oppA,_xlpm.oppB,_xlpm.oppA),IF(_xlpm.auto,SUMIFS($Y$4:$Y$273,$S$4:$S$273,$AK137,$T$4:$T$273,_xlpm.opp),Scorebook!D561)))</f>
      </c>
      <c r="AP137" s="5" cm="1">
        <f t="array" aca="1" ref="AP137" ca="1">IF($AK137="","",_xlfn.LET(_xlpm.auto,AND(MOD(ROW()-4,6)=0,$AM137&lt;&gt;0,SUMPRODUCT(--(OFFSET($AM137,1,0,5,1)&lt;&gt;0))=0),_xlpm.oppA,_xlfn.XLOOKUP($AK137,$H$4:$H$18,$J$4:$J$18,""),_xlpm.oppRuns,IF($AL137=_xlpm.oppA,_xlfn.XLOOKUP($AK137,$H$4:$H$18,$O$4:$O$18,""),_xlfn.XLOOKUP($AK137,$H$4:$H$18,$N$4:$N$18,"")),IF(_xlpm.auto,_xlpm.oppRuns,Scorebook!E561)))</f>
      </c>
      <c r="AQ137" s="5">
        <f ca="1">Scorebook!F561</f>
      </c>
      <c r="AR137" s="5" cm="1">
        <f t="array" aca="1" ref="AR137" ca="1">IF($AK137="","",_xlfn.LET(_xlpm.auto,AND(MOD(ROW()-4,6)=0,$AM137&lt;&gt;0,SUMPRODUCT(--(OFFSET($AM137,1,0,5,1)&lt;&gt;0))=0),_xlpm.oppA,_xlfn.XLOOKUP($AK137,$H$4:$H$18,$J$4:$J$18,""),_xlpm.oppB,_xlfn.XLOOKUP($AK137,$H$4:$H$18,$K$4:$K$18,""),_xlpm.opp,IF($AL137=_xlpm.oppA,_xlpm.oppB,_xlpm.oppA),IF(_xlpm.auto,SUMIFS($AD$4:$AD$273,$S$4:$S$273,$AK137,$T$4:$T$273,_xlpm.opp),Scorebook!G561)))</f>
      </c>
      <c r="AS137" s="5" cm="1">
        <f t="array" aca="1" ref="AS137" ca="1">IF($AK137="","",_xlfn.LET(_xlpm.auto,AND(MOD(ROW()-4,6)=0,$AM137&lt;&gt;0,SUMPRODUCT(--(OFFSET($AM137,1,0,5,1)&lt;&gt;0))=0),_xlpm.oppA,_xlfn.XLOOKUP($AK137,$H$4:$H$18,$J$4:$J$18,""),_xlpm.oppB,_xlfn.XLOOKUP($AK137,$H$4:$H$18,$K$4:$K$18,""),_xlpm.opp,IF($AL137=_xlpm.oppA,_xlpm.oppB,_xlpm.oppA),IF(_xlpm.auto,SUMIFS($AE$4:$AE$273,$S$4:$S$273,$AK137,$T$4:$T$273,_xlpm.opp),Scorebook!H561)))</f>
      </c>
      <c r="AT137" s="5" cm="1">
        <f t="array" aca="1" ref="AT137" ca="1">IF($AK137="","",_xlfn.LET(_xlpm.auto,AND(MOD(ROW()-4,6)=0,$AM137&lt;&gt;0,SUMPRODUCT(--(OFFSET($AM137,1,0,5,1)&lt;&gt;0))=0),_xlpm.oppA,_xlfn.XLOOKUP($AK137,$H$4:$H$18,$J$4:$J$18,""),_xlpm.oppB,_xlfn.XLOOKUP($AK137,$H$4:$H$18,$K$4:$K$18,""),_xlpm.opp,IF($AL137=_xlpm.oppA,_xlpm.oppB,_xlpm.oppA),IF(_xlpm.auto,SUMIFS($AB$4:$AB$273,$S$4:$S$273,$AK137,$T$4:$T$273,_xlpm.opp),Scorebook!I561)))</f>
      </c>
      <c r="AU137" s="5" cm="1">
        <f t="array" aca="1" ref="AU137" ca="1">IF($AK137="","",_xlfn.LET(_xlpm.auto,AND(MOD(ROW()-4,6)=0,$AM137&lt;&gt;0,SUMPRODUCT(--(OFFSET($AM137,1,0,5,1)&lt;&gt;0))=0),_xlpm.winner,_xlfn.XLOOKUP($AK137,$H$4:$H$18,$L$4:$L$18,""),IF(_xlpm.auto,--($AL137=_xlpm.winner),Scorebook!J561)))</f>
      </c>
      <c r="AV137" s="5" cm="1">
        <f t="array" aca="1" ref="AV137" ca="1">IF($AK137="","",_xlfn.LET(_xlpm.auto,AND(MOD(ROW()-4,6)=0,$AM137&lt;&gt;0,SUMPRODUCT(--(OFFSET($AM137,1,0,5,1)&lt;&gt;0))=0),_xlpm.loser,_xlfn.XLOOKUP($AK137,$H$4:$H$18,$M$4:$M$18,""),IF(_xlpm.auto,--($AL137=_xlpm.loser),Scorebook!K561)))</f>
      </c>
      <c r="AW137" s="5">
        <f ca="1">Scorebook!L561</f>
      </c>
      <c r="AX137" s="5" cm="1">
        <f t="array" aca="1" ref="AX137" ca="1">IF($AK137="","",_xlfn.LET(_xlpm.auto,AND(MOD(ROW()-4,6)=0,$AM137&lt;&gt;0,SUMPRODUCT(--(OFFSET($AM137,1,0,5,1)&lt;&gt;0))=0),_xlpm.oppA,_xlfn.XLOOKUP($AK137,$H$4:$H$18,$J$4:$J$18,""),_xlpm.oppRuns,IF($AL137=_xlpm.oppA,_xlfn.XLOOKUP($AK137,$H$4:$H$18,$O$4:$O$18,""),_xlfn.XLOOKUP($AK137,$H$4:$H$18,$N$4:$N$18,"")),IF(_xlpm.auto,--(_xlpm.oppRuns=0),Scorebook!M561)))</f>
      </c>
      <c r="AY137" s="5" cm="1">
        <f t="array" aca="1" ref="AY137" ca="1">IF($AK137="","",_xlfn.LET(_xlpm.auto,AND(MOD(ROW()-4,6)=0,$AM137&lt;&gt;0,SUMPRODUCT(--(OFFSET($AM137,1,0,5,1)&lt;&gt;0))=0),IF(_xlpm.auto,1,Scorebook!N561)))</f>
      </c>
      <c r="AZ137" s="5">
        <f>Settings!$B$2</f>
        <v>1</v>
      </c>
    </row>
    <row r="138" spans="19:52">
      <c r="S138" s="4" t="str">
        <f ca="1">Scorebook!$F$345</f>
        <v>G8</v>
      </c>
      <c r="T138" s="5" t="str">
        <f ca="1">Scorebook!$N$345</f>
        <v>Nick</v>
      </c>
      <c r="U138" s="5" t="str">
        <f ca="1">Scorebook!$B$360</f>
        <v>Blue Toad</v>
      </c>
      <c r="V138" s="4">
        <v>9</v>
      </c>
      <c r="W138" s="5">
        <f ca="1">Scorebook!M360</f>
        <v>2</v>
      </c>
      <c r="X138" s="5">
        <f ca="1">Scorebook!N360</f>
        <v>1</v>
      </c>
      <c r="Y138" s="5">
        <f ca="1">Scorebook!O360</f>
        <v>1</v>
      </c>
      <c r="Z138" s="5">
        <f ca="1">Scorebook!P360</f>
        <v>0</v>
      </c>
      <c r="AA138" s="5">
        <f ca="1">Scorebook!Q360</f>
        <v>0</v>
      </c>
      <c r="AB138" s="5">
        <f ca="1">Scorebook!R360</f>
        <v>1</v>
      </c>
      <c r="AC138" s="5">
        <f ca="1">Scorebook!S360</f>
        <v>3</v>
      </c>
      <c r="AD138" s="5">
        <f ca="1">Scorebook!T360</f>
        <v>0</v>
      </c>
      <c r="AE138" s="5">
        <f ca="1">Scorebook!U360</f>
        <v>0</v>
      </c>
      <c r="AF138" s="5">
        <f ca="1">Scorebook!V360</f>
        <v>0</v>
      </c>
      <c r="AG138" s="5">
        <f ca="1">Scorebook!W360</f>
        <v>0</v>
      </c>
      <c r="AH138" s="5">
        <f ca="1">Scorebook!X360</f>
        <v>0</v>
      </c>
      <c r="AI138" s="5">
        <f>Settings!$B$2</f>
        <v>1</v>
      </c>
      <c r="AJ138" s="18">
        <f ca="1">IF($AK138="","",Scorebook!$O$562)</f>
      </c>
      <c r="AK138" s="4" t="str">
        <f ca="1">IF(AND(Bracket!$H$18&lt;&gt;"",Bracket!$I$18&lt;&gt;""),"G12","")</f>
      </c>
      <c r="AL138" s="5" t="str">
        <f ca="1">IF(AND(Bracket!$H$18&lt;&gt;"",Bracket!$I$18&lt;&gt;""),Bracket!$H$18,"")</f>
      </c>
      <c r="AM138" s="5" t="str">
        <f>Scorebook!$B$562</f>
      </c>
      <c r="AN138" s="5">
        <f ca="1">IF(Scorebook!C562="","",INT(Scorebook!C562)+MOD(ROUND(Scorebook!C562*10,0),10)/3)</f>
      </c>
      <c r="AO138" s="5" cm="1">
        <f t="array" aca="1" ref="AO138" ca="1">IF($AK138="","",_xlfn.LET(_xlpm.auto,AND(MOD(ROW()-4,6)=0,$AM138&lt;&gt;0,SUMPRODUCT(--(OFFSET($AM138,1,0,5,1)&lt;&gt;0))=0),_xlpm.oppA,_xlfn.XLOOKUP($AK138,$H$4:$H$18,$J$4:$J$18,""),_xlpm.oppB,_xlfn.XLOOKUP($AK138,$H$4:$H$18,$K$4:$K$18,""),_xlpm.opp,IF($AL138=_xlpm.oppA,_xlpm.oppB,_xlpm.oppA),IF(_xlpm.auto,SUMIFS($Y$4:$Y$273,$S$4:$S$273,$AK138,$T$4:$T$273,_xlpm.opp),Scorebook!D562)))</f>
      </c>
      <c r="AP138" s="5" cm="1">
        <f t="array" aca="1" ref="AP138" ca="1">IF($AK138="","",_xlfn.LET(_xlpm.auto,AND(MOD(ROW()-4,6)=0,$AM138&lt;&gt;0,SUMPRODUCT(--(OFFSET($AM138,1,0,5,1)&lt;&gt;0))=0),_xlpm.oppA,_xlfn.XLOOKUP($AK138,$H$4:$H$18,$J$4:$J$18,""),_xlpm.oppRuns,IF($AL138=_xlpm.oppA,_xlfn.XLOOKUP($AK138,$H$4:$H$18,$O$4:$O$18,""),_xlfn.XLOOKUP($AK138,$H$4:$H$18,$N$4:$N$18,"")),IF(_xlpm.auto,_xlpm.oppRuns,Scorebook!E562)))</f>
      </c>
      <c r="AQ138" s="5">
        <f ca="1">Scorebook!F562</f>
      </c>
      <c r="AR138" s="5" cm="1">
        <f t="array" aca="1" ref="AR138" ca="1">IF($AK138="","",_xlfn.LET(_xlpm.auto,AND(MOD(ROW()-4,6)=0,$AM138&lt;&gt;0,SUMPRODUCT(--(OFFSET($AM138,1,0,5,1)&lt;&gt;0))=0),_xlpm.oppA,_xlfn.XLOOKUP($AK138,$H$4:$H$18,$J$4:$J$18,""),_xlpm.oppB,_xlfn.XLOOKUP($AK138,$H$4:$H$18,$K$4:$K$18,""),_xlpm.opp,IF($AL138=_xlpm.oppA,_xlpm.oppB,_xlpm.oppA),IF(_xlpm.auto,SUMIFS($AD$4:$AD$273,$S$4:$S$273,$AK138,$T$4:$T$273,_xlpm.opp),Scorebook!G562)))</f>
      </c>
      <c r="AS138" s="5" cm="1">
        <f t="array" aca="1" ref="AS138" ca="1">IF($AK138="","",_xlfn.LET(_xlpm.auto,AND(MOD(ROW()-4,6)=0,$AM138&lt;&gt;0,SUMPRODUCT(--(OFFSET($AM138,1,0,5,1)&lt;&gt;0))=0),_xlpm.oppA,_xlfn.XLOOKUP($AK138,$H$4:$H$18,$J$4:$J$18,""),_xlpm.oppB,_xlfn.XLOOKUP($AK138,$H$4:$H$18,$K$4:$K$18,""),_xlpm.opp,IF($AL138=_xlpm.oppA,_xlpm.oppB,_xlpm.oppA),IF(_xlpm.auto,SUMIFS($AE$4:$AE$273,$S$4:$S$273,$AK138,$T$4:$T$273,_xlpm.opp),Scorebook!H562)))</f>
      </c>
      <c r="AT138" s="5" cm="1">
        <f t="array" aca="1" ref="AT138" ca="1">IF($AK138="","",_xlfn.LET(_xlpm.auto,AND(MOD(ROW()-4,6)=0,$AM138&lt;&gt;0,SUMPRODUCT(--(OFFSET($AM138,1,0,5,1)&lt;&gt;0))=0),_xlpm.oppA,_xlfn.XLOOKUP($AK138,$H$4:$H$18,$J$4:$J$18,""),_xlpm.oppB,_xlfn.XLOOKUP($AK138,$H$4:$H$18,$K$4:$K$18,""),_xlpm.opp,IF($AL138=_xlpm.oppA,_xlpm.oppB,_xlpm.oppA),IF(_xlpm.auto,SUMIFS($AB$4:$AB$273,$S$4:$S$273,$AK138,$T$4:$T$273,_xlpm.opp),Scorebook!I562)))</f>
      </c>
      <c r="AU138" s="5" cm="1">
        <f t="array" aca="1" ref="AU138" ca="1">IF($AK138="","",_xlfn.LET(_xlpm.auto,AND(MOD(ROW()-4,6)=0,$AM138&lt;&gt;0,SUMPRODUCT(--(OFFSET($AM138,1,0,5,1)&lt;&gt;0))=0),_xlpm.winner,_xlfn.XLOOKUP($AK138,$H$4:$H$18,$L$4:$L$18,""),IF(_xlpm.auto,--($AL138=_xlpm.winner),Scorebook!J562)))</f>
      </c>
      <c r="AV138" s="5" cm="1">
        <f t="array" aca="1" ref="AV138" ca="1">IF($AK138="","",_xlfn.LET(_xlpm.auto,AND(MOD(ROW()-4,6)=0,$AM138&lt;&gt;0,SUMPRODUCT(--(OFFSET($AM138,1,0,5,1)&lt;&gt;0))=0),_xlpm.loser,_xlfn.XLOOKUP($AK138,$H$4:$H$18,$M$4:$M$18,""),IF(_xlpm.auto,--($AL138=_xlpm.loser),Scorebook!K562)))</f>
      </c>
      <c r="AW138" s="5">
        <f ca="1">Scorebook!L562</f>
      </c>
      <c r="AX138" s="5" cm="1">
        <f t="array" aca="1" ref="AX138" ca="1">IF($AK138="","",_xlfn.LET(_xlpm.auto,AND(MOD(ROW()-4,6)=0,$AM138&lt;&gt;0,SUMPRODUCT(--(OFFSET($AM138,1,0,5,1)&lt;&gt;0))=0),_xlpm.oppA,_xlfn.XLOOKUP($AK138,$H$4:$H$18,$J$4:$J$18,""),_xlpm.oppRuns,IF($AL138=_xlpm.oppA,_xlfn.XLOOKUP($AK138,$H$4:$H$18,$O$4:$O$18,""),_xlfn.XLOOKUP($AK138,$H$4:$H$18,$N$4:$N$18,"")),IF(_xlpm.auto,--(_xlpm.oppRuns=0),Scorebook!M562)))</f>
      </c>
      <c r="AY138" s="5" cm="1">
        <f t="array" aca="1" ref="AY138" ca="1">IF($AK138="","",_xlfn.LET(_xlpm.auto,AND(MOD(ROW()-4,6)=0,$AM138&lt;&gt;0,SUMPRODUCT(--(OFFSET($AM138,1,0,5,1)&lt;&gt;0))=0),IF(_xlpm.auto,1,Scorebook!N562)))</f>
      </c>
      <c r="AZ138" s="5">
        <f>Settings!$B$2</f>
        <v>1</v>
      </c>
    </row>
    <row r="139" spans="19:52">
      <c r="S139" s="4" t="str">
        <f ca="1">Scorebook!$F$345</f>
        <v>G8</v>
      </c>
      <c r="T139" s="5" t="str">
        <f ca="1">Scorebook!$R$345</f>
        <v>Jason</v>
      </c>
      <c r="U139" s="5" t="str">
        <f ca="1">Scorebook!$B$373</f>
        <v>Yoshi</v>
      </c>
      <c r="V139" s="4">
        <v>1</v>
      </c>
      <c r="W139" s="5">
        <f ca="1">Scorebook!M373</f>
        <v>2</v>
      </c>
      <c r="X139" s="5">
        <f ca="1">Scorebook!N373</f>
        <v>0</v>
      </c>
      <c r="Y139" s="5">
        <f ca="1">Scorebook!O373</f>
        <v>0</v>
      </c>
      <c r="Z139" s="5">
        <f ca="1">Scorebook!P373</f>
        <v>0</v>
      </c>
      <c r="AA139" s="5">
        <f ca="1">Scorebook!Q373</f>
        <v>0</v>
      </c>
      <c r="AB139" s="5">
        <f ca="1">Scorebook!R373</f>
        <v>0</v>
      </c>
      <c r="AC139" s="5">
        <f ca="1">Scorebook!S373</f>
        <v>0</v>
      </c>
      <c r="AD139" s="5">
        <f ca="1">Scorebook!T373</f>
        <v>0</v>
      </c>
      <c r="AE139" s="5">
        <f ca="1">Scorebook!U373</f>
        <v>1</v>
      </c>
      <c r="AF139" s="5">
        <f ca="1">Scorebook!V373</f>
        <v>0</v>
      </c>
      <c r="AG139" s="5">
        <f ca="1">Scorebook!W373</f>
        <v>0</v>
      </c>
      <c r="AH139" s="5">
        <f ca="1">Scorebook!X373</f>
        <v>0</v>
      </c>
      <c r="AI139" s="5">
        <f>Settings!$B$2</f>
        <v>1</v>
      </c>
      <c r="AJ139" s="18">
        <f ca="1">IF($AK139="","",Scorebook!$O$563)</f>
      </c>
      <c r="AK139" s="4" t="str">
        <f ca="1">IF(AND(Bracket!$H$18&lt;&gt;"",Bracket!$I$18&lt;&gt;""),"G12","")</f>
      </c>
      <c r="AL139" s="5" t="str">
        <f ca="1">IF(AND(Bracket!$H$18&lt;&gt;"",Bracket!$I$18&lt;&gt;""),Bracket!$H$18,"")</f>
      </c>
      <c r="AM139" s="5" t="str">
        <f>Scorebook!$B$563</f>
      </c>
      <c r="AN139" s="5">
        <f ca="1">IF(Scorebook!C563="","",INT(Scorebook!C563)+MOD(ROUND(Scorebook!C563*10,0),10)/3)</f>
      </c>
      <c r="AO139" s="5" cm="1">
        <f t="array" aca="1" ref="AO139" ca="1">IF($AK139="","",_xlfn.LET(_xlpm.auto,AND(MOD(ROW()-4,6)=0,$AM139&lt;&gt;0,SUMPRODUCT(--(OFFSET($AM139,1,0,5,1)&lt;&gt;0))=0),_xlpm.oppA,_xlfn.XLOOKUP($AK139,$H$4:$H$18,$J$4:$J$18,""),_xlpm.oppB,_xlfn.XLOOKUP($AK139,$H$4:$H$18,$K$4:$K$18,""),_xlpm.opp,IF($AL139=_xlpm.oppA,_xlpm.oppB,_xlpm.oppA),IF(_xlpm.auto,SUMIFS($Y$4:$Y$273,$S$4:$S$273,$AK139,$T$4:$T$273,_xlpm.opp),Scorebook!D563)))</f>
      </c>
      <c r="AP139" s="5" cm="1">
        <f t="array" aca="1" ref="AP139" ca="1">IF($AK139="","",_xlfn.LET(_xlpm.auto,AND(MOD(ROW()-4,6)=0,$AM139&lt;&gt;0,SUMPRODUCT(--(OFFSET($AM139,1,0,5,1)&lt;&gt;0))=0),_xlpm.oppA,_xlfn.XLOOKUP($AK139,$H$4:$H$18,$J$4:$J$18,""),_xlpm.oppRuns,IF($AL139=_xlpm.oppA,_xlfn.XLOOKUP($AK139,$H$4:$H$18,$O$4:$O$18,""),_xlfn.XLOOKUP($AK139,$H$4:$H$18,$N$4:$N$18,"")),IF(_xlpm.auto,_xlpm.oppRuns,Scorebook!E563)))</f>
      </c>
      <c r="AQ139" s="5">
        <f ca="1">Scorebook!F563</f>
      </c>
      <c r="AR139" s="5" cm="1">
        <f t="array" aca="1" ref="AR139" ca="1">IF($AK139="","",_xlfn.LET(_xlpm.auto,AND(MOD(ROW()-4,6)=0,$AM139&lt;&gt;0,SUMPRODUCT(--(OFFSET($AM139,1,0,5,1)&lt;&gt;0))=0),_xlpm.oppA,_xlfn.XLOOKUP($AK139,$H$4:$H$18,$J$4:$J$18,""),_xlpm.oppB,_xlfn.XLOOKUP($AK139,$H$4:$H$18,$K$4:$K$18,""),_xlpm.opp,IF($AL139=_xlpm.oppA,_xlpm.oppB,_xlpm.oppA),IF(_xlpm.auto,SUMIFS($AD$4:$AD$273,$S$4:$S$273,$AK139,$T$4:$T$273,_xlpm.opp),Scorebook!G563)))</f>
      </c>
      <c r="AS139" s="5" cm="1">
        <f t="array" aca="1" ref="AS139" ca="1">IF($AK139="","",_xlfn.LET(_xlpm.auto,AND(MOD(ROW()-4,6)=0,$AM139&lt;&gt;0,SUMPRODUCT(--(OFFSET($AM139,1,0,5,1)&lt;&gt;0))=0),_xlpm.oppA,_xlfn.XLOOKUP($AK139,$H$4:$H$18,$J$4:$J$18,""),_xlpm.oppB,_xlfn.XLOOKUP($AK139,$H$4:$H$18,$K$4:$K$18,""),_xlpm.opp,IF($AL139=_xlpm.oppA,_xlpm.oppB,_xlpm.oppA),IF(_xlpm.auto,SUMIFS($AE$4:$AE$273,$S$4:$S$273,$AK139,$T$4:$T$273,_xlpm.opp),Scorebook!H563)))</f>
      </c>
      <c r="AT139" s="5" cm="1">
        <f t="array" aca="1" ref="AT139" ca="1">IF($AK139="","",_xlfn.LET(_xlpm.auto,AND(MOD(ROW()-4,6)=0,$AM139&lt;&gt;0,SUMPRODUCT(--(OFFSET($AM139,1,0,5,1)&lt;&gt;0))=0),_xlpm.oppA,_xlfn.XLOOKUP($AK139,$H$4:$H$18,$J$4:$J$18,""),_xlpm.oppB,_xlfn.XLOOKUP($AK139,$H$4:$H$18,$K$4:$K$18,""),_xlpm.opp,IF($AL139=_xlpm.oppA,_xlpm.oppB,_xlpm.oppA),IF(_xlpm.auto,SUMIFS($AB$4:$AB$273,$S$4:$S$273,$AK139,$T$4:$T$273,_xlpm.opp),Scorebook!I563)))</f>
      </c>
      <c r="AU139" s="5" cm="1">
        <f t="array" aca="1" ref="AU139" ca="1">IF($AK139="","",_xlfn.LET(_xlpm.auto,AND(MOD(ROW()-4,6)=0,$AM139&lt;&gt;0,SUMPRODUCT(--(OFFSET($AM139,1,0,5,1)&lt;&gt;0))=0),_xlpm.winner,_xlfn.XLOOKUP($AK139,$H$4:$H$18,$L$4:$L$18,""),IF(_xlpm.auto,--($AL139=_xlpm.winner),Scorebook!J563)))</f>
      </c>
      <c r="AV139" s="5" cm="1">
        <f t="array" aca="1" ref="AV139" ca="1">IF($AK139="","",_xlfn.LET(_xlpm.auto,AND(MOD(ROW()-4,6)=0,$AM139&lt;&gt;0,SUMPRODUCT(--(OFFSET($AM139,1,0,5,1)&lt;&gt;0))=0),_xlpm.loser,_xlfn.XLOOKUP($AK139,$H$4:$H$18,$M$4:$M$18,""),IF(_xlpm.auto,--($AL139=_xlpm.loser),Scorebook!K563)))</f>
      </c>
      <c r="AW139" s="5">
        <f ca="1">Scorebook!L563</f>
      </c>
      <c r="AX139" s="5" cm="1">
        <f t="array" aca="1" ref="AX139" ca="1">IF($AK139="","",_xlfn.LET(_xlpm.auto,AND(MOD(ROW()-4,6)=0,$AM139&lt;&gt;0,SUMPRODUCT(--(OFFSET($AM139,1,0,5,1)&lt;&gt;0))=0),_xlpm.oppA,_xlfn.XLOOKUP($AK139,$H$4:$H$18,$J$4:$J$18,""),_xlpm.oppRuns,IF($AL139=_xlpm.oppA,_xlfn.XLOOKUP($AK139,$H$4:$H$18,$O$4:$O$18,""),_xlfn.XLOOKUP($AK139,$H$4:$H$18,$N$4:$N$18,"")),IF(_xlpm.auto,--(_xlpm.oppRuns=0),Scorebook!M563)))</f>
      </c>
      <c r="AY139" s="5" cm="1">
        <f t="array" aca="1" ref="AY139" ca="1">IF($AK139="","",_xlfn.LET(_xlpm.auto,AND(MOD(ROW()-4,6)=0,$AM139&lt;&gt;0,SUMPRODUCT(--(OFFSET($AM139,1,0,5,1)&lt;&gt;0))=0),IF(_xlpm.auto,1,Scorebook!N563)))</f>
      </c>
      <c r="AZ139" s="5">
        <f>Settings!$B$2</f>
        <v>1</v>
      </c>
    </row>
    <row r="140" spans="19:52">
      <c r="S140" s="4" t="str">
        <f ca="1">Scorebook!$F$345</f>
        <v>G8</v>
      </c>
      <c r="T140" s="5" t="str">
        <f ca="1">Scorebook!$R$345</f>
        <v>Jason</v>
      </c>
      <c r="U140" s="5" t="str">
        <f ca="1">Scorebook!$B$374</f>
        <v>Brown Kritter</v>
      </c>
      <c r="V140" s="4">
        <v>2</v>
      </c>
      <c r="W140" s="5">
        <f ca="1">Scorebook!M374</f>
        <v>2</v>
      </c>
      <c r="X140" s="5">
        <f ca="1">Scorebook!N374</f>
        <v>0</v>
      </c>
      <c r="Y140" s="5">
        <f ca="1">Scorebook!O374</f>
        <v>0</v>
      </c>
      <c r="Z140" s="5">
        <f ca="1">Scorebook!P374</f>
        <v>0</v>
      </c>
      <c r="AA140" s="5">
        <f ca="1">Scorebook!Q374</f>
        <v>0</v>
      </c>
      <c r="AB140" s="5">
        <f ca="1">Scorebook!R374</f>
        <v>0</v>
      </c>
      <c r="AC140" s="5">
        <f ca="1">Scorebook!S374</f>
        <v>0</v>
      </c>
      <c r="AD140" s="5">
        <f ca="1">Scorebook!T374</f>
        <v>0</v>
      </c>
      <c r="AE140" s="5">
        <f ca="1">Scorebook!U374</f>
        <v>0</v>
      </c>
      <c r="AF140" s="5">
        <f ca="1">Scorebook!V374</f>
        <v>0</v>
      </c>
      <c r="AG140" s="5">
        <f ca="1">Scorebook!W374</f>
        <v>0</v>
      </c>
      <c r="AH140" s="5">
        <f ca="1">Scorebook!X374</f>
        <v>0</v>
      </c>
      <c r="AI140" s="5">
        <f>Settings!$B$2</f>
        <v>1</v>
      </c>
      <c r="AJ140" s="18">
        <f ca="1">IF($AK140="","",Scorebook!$O$564)</f>
      </c>
      <c r="AK140" s="4" t="str">
        <f ca="1">IF(AND(Bracket!$H$18&lt;&gt;"",Bracket!$I$18&lt;&gt;""),"G12","")</f>
      </c>
      <c r="AL140" s="5" t="str">
        <f ca="1">IF(AND(Bracket!$H$18&lt;&gt;"",Bracket!$I$18&lt;&gt;""),Bracket!$H$18,"")</f>
      </c>
      <c r="AM140" s="5" t="str">
        <f>Scorebook!$B$564</f>
      </c>
      <c r="AN140" s="5">
        <f ca="1">IF(Scorebook!C564="","",INT(Scorebook!C564)+MOD(ROUND(Scorebook!C564*10,0),10)/3)</f>
      </c>
      <c r="AO140" s="5" cm="1">
        <f t="array" aca="1" ref="AO140" ca="1">IF($AK140="","",_xlfn.LET(_xlpm.auto,AND(MOD(ROW()-4,6)=0,$AM140&lt;&gt;0,SUMPRODUCT(--(OFFSET($AM140,1,0,5,1)&lt;&gt;0))=0),_xlpm.oppA,_xlfn.XLOOKUP($AK140,$H$4:$H$18,$J$4:$J$18,""),_xlpm.oppB,_xlfn.XLOOKUP($AK140,$H$4:$H$18,$K$4:$K$18,""),_xlpm.opp,IF($AL140=_xlpm.oppA,_xlpm.oppB,_xlpm.oppA),IF(_xlpm.auto,SUMIFS($Y$4:$Y$273,$S$4:$S$273,$AK140,$T$4:$T$273,_xlpm.opp),Scorebook!D564)))</f>
      </c>
      <c r="AP140" s="5" cm="1">
        <f t="array" aca="1" ref="AP140" ca="1">IF($AK140="","",_xlfn.LET(_xlpm.auto,AND(MOD(ROW()-4,6)=0,$AM140&lt;&gt;0,SUMPRODUCT(--(OFFSET($AM140,1,0,5,1)&lt;&gt;0))=0),_xlpm.oppA,_xlfn.XLOOKUP($AK140,$H$4:$H$18,$J$4:$J$18,""),_xlpm.oppRuns,IF($AL140=_xlpm.oppA,_xlfn.XLOOKUP($AK140,$H$4:$H$18,$O$4:$O$18,""),_xlfn.XLOOKUP($AK140,$H$4:$H$18,$N$4:$N$18,"")),IF(_xlpm.auto,_xlpm.oppRuns,Scorebook!E564)))</f>
      </c>
      <c r="AQ140" s="5">
        <f ca="1">Scorebook!F564</f>
      </c>
      <c r="AR140" s="5" cm="1">
        <f t="array" aca="1" ref="AR140" ca="1">IF($AK140="","",_xlfn.LET(_xlpm.auto,AND(MOD(ROW()-4,6)=0,$AM140&lt;&gt;0,SUMPRODUCT(--(OFFSET($AM140,1,0,5,1)&lt;&gt;0))=0),_xlpm.oppA,_xlfn.XLOOKUP($AK140,$H$4:$H$18,$J$4:$J$18,""),_xlpm.oppB,_xlfn.XLOOKUP($AK140,$H$4:$H$18,$K$4:$K$18,""),_xlpm.opp,IF($AL140=_xlpm.oppA,_xlpm.oppB,_xlpm.oppA),IF(_xlpm.auto,SUMIFS($AD$4:$AD$273,$S$4:$S$273,$AK140,$T$4:$T$273,_xlpm.opp),Scorebook!G564)))</f>
      </c>
      <c r="AS140" s="5" cm="1">
        <f t="array" aca="1" ref="AS140" ca="1">IF($AK140="","",_xlfn.LET(_xlpm.auto,AND(MOD(ROW()-4,6)=0,$AM140&lt;&gt;0,SUMPRODUCT(--(OFFSET($AM140,1,0,5,1)&lt;&gt;0))=0),_xlpm.oppA,_xlfn.XLOOKUP($AK140,$H$4:$H$18,$J$4:$J$18,""),_xlpm.oppB,_xlfn.XLOOKUP($AK140,$H$4:$H$18,$K$4:$K$18,""),_xlpm.opp,IF($AL140=_xlpm.oppA,_xlpm.oppB,_xlpm.oppA),IF(_xlpm.auto,SUMIFS($AE$4:$AE$273,$S$4:$S$273,$AK140,$T$4:$T$273,_xlpm.opp),Scorebook!H564)))</f>
      </c>
      <c r="AT140" s="5" cm="1">
        <f t="array" aca="1" ref="AT140" ca="1">IF($AK140="","",_xlfn.LET(_xlpm.auto,AND(MOD(ROW()-4,6)=0,$AM140&lt;&gt;0,SUMPRODUCT(--(OFFSET($AM140,1,0,5,1)&lt;&gt;0))=0),_xlpm.oppA,_xlfn.XLOOKUP($AK140,$H$4:$H$18,$J$4:$J$18,""),_xlpm.oppB,_xlfn.XLOOKUP($AK140,$H$4:$H$18,$K$4:$K$18,""),_xlpm.opp,IF($AL140=_xlpm.oppA,_xlpm.oppB,_xlpm.oppA),IF(_xlpm.auto,SUMIFS($AB$4:$AB$273,$S$4:$S$273,$AK140,$T$4:$T$273,_xlpm.opp),Scorebook!I564)))</f>
      </c>
      <c r="AU140" s="5" cm="1">
        <f t="array" aca="1" ref="AU140" ca="1">IF($AK140="","",_xlfn.LET(_xlpm.auto,AND(MOD(ROW()-4,6)=0,$AM140&lt;&gt;0,SUMPRODUCT(--(OFFSET($AM140,1,0,5,1)&lt;&gt;0))=0),_xlpm.winner,_xlfn.XLOOKUP($AK140,$H$4:$H$18,$L$4:$L$18,""),IF(_xlpm.auto,--($AL140=_xlpm.winner),Scorebook!J564)))</f>
      </c>
      <c r="AV140" s="5" cm="1">
        <f t="array" aca="1" ref="AV140" ca="1">IF($AK140="","",_xlfn.LET(_xlpm.auto,AND(MOD(ROW()-4,6)=0,$AM140&lt;&gt;0,SUMPRODUCT(--(OFFSET($AM140,1,0,5,1)&lt;&gt;0))=0),_xlpm.loser,_xlfn.XLOOKUP($AK140,$H$4:$H$18,$M$4:$M$18,""),IF(_xlpm.auto,--($AL140=_xlpm.loser),Scorebook!K564)))</f>
      </c>
      <c r="AW140" s="5">
        <f ca="1">Scorebook!L564</f>
      </c>
      <c r="AX140" s="5" cm="1">
        <f t="array" aca="1" ref="AX140" ca="1">IF($AK140="","",_xlfn.LET(_xlpm.auto,AND(MOD(ROW()-4,6)=0,$AM140&lt;&gt;0,SUMPRODUCT(--(OFFSET($AM140,1,0,5,1)&lt;&gt;0))=0),_xlpm.oppA,_xlfn.XLOOKUP($AK140,$H$4:$H$18,$J$4:$J$18,""),_xlpm.oppRuns,IF($AL140=_xlpm.oppA,_xlfn.XLOOKUP($AK140,$H$4:$H$18,$O$4:$O$18,""),_xlfn.XLOOKUP($AK140,$H$4:$H$18,$N$4:$N$18,"")),IF(_xlpm.auto,--(_xlpm.oppRuns=0),Scorebook!M564)))</f>
      </c>
      <c r="AY140" s="5" cm="1">
        <f t="array" aca="1" ref="AY140" ca="1">IF($AK140="","",_xlfn.LET(_xlpm.auto,AND(MOD(ROW()-4,6)=0,$AM140&lt;&gt;0,SUMPRODUCT(--(OFFSET($AM140,1,0,5,1)&lt;&gt;0))=0),IF(_xlpm.auto,1,Scorebook!N564)))</f>
      </c>
      <c r="AZ140" s="5">
        <f>Settings!$B$2</f>
        <v>1</v>
      </c>
    </row>
    <row r="141" spans="19:52">
      <c r="S141" s="4" t="str">
        <f ca="1">Scorebook!$F$345</f>
        <v>G8</v>
      </c>
      <c r="T141" s="5" t="str">
        <f ca="1">Scorebook!$R$345</f>
        <v>Jason</v>
      </c>
      <c r="U141" s="5" t="str">
        <f ca="1">Scorebook!$B$375</f>
        <v>King K. Rool</v>
      </c>
      <c r="V141" s="4">
        <v>3</v>
      </c>
      <c r="W141" s="5">
        <f ca="1">Scorebook!M375</f>
        <v>2</v>
      </c>
      <c r="X141" s="5">
        <f ca="1">Scorebook!N375</f>
        <v>0</v>
      </c>
      <c r="Y141" s="5">
        <f ca="1">Scorebook!O375</f>
        <v>0</v>
      </c>
      <c r="Z141" s="5">
        <f ca="1">Scorebook!P375</f>
        <v>0</v>
      </c>
      <c r="AA141" s="5">
        <f ca="1">Scorebook!Q375</f>
        <v>0</v>
      </c>
      <c r="AB141" s="5">
        <f ca="1">Scorebook!R375</f>
        <v>0</v>
      </c>
      <c r="AC141" s="5">
        <f ca="1">Scorebook!S375</f>
        <v>0</v>
      </c>
      <c r="AD141" s="5">
        <f ca="1">Scorebook!T375</f>
        <v>0</v>
      </c>
      <c r="AE141" s="5">
        <f ca="1">Scorebook!U375</f>
        <v>1</v>
      </c>
      <c r="AF141" s="5">
        <f ca="1">Scorebook!V375</f>
        <v>0</v>
      </c>
      <c r="AG141" s="5">
        <f ca="1">Scorebook!W375</f>
        <v>0</v>
      </c>
      <c r="AH141" s="5">
        <f ca="1">Scorebook!X375</f>
        <v>0</v>
      </c>
      <c r="AI141" s="5">
        <f>Settings!$B$2</f>
        <v>1</v>
      </c>
      <c r="AJ141" s="18">
        <f ca="1">IF($AK141="","",Scorebook!$O$565)</f>
      </c>
      <c r="AK141" s="4" t="str">
        <f ca="1">IF(AND(Bracket!$H$18&lt;&gt;"",Bracket!$I$18&lt;&gt;""),"G12","")</f>
      </c>
      <c r="AL141" s="5" t="str">
        <f ca="1">IF(AND(Bracket!$H$18&lt;&gt;"",Bracket!$I$18&lt;&gt;""),Bracket!$H$18,"")</f>
      </c>
      <c r="AM141" s="5" t="str">
        <f>Scorebook!$B$565</f>
      </c>
      <c r="AN141" s="5">
        <f ca="1">IF(Scorebook!C565="","",INT(Scorebook!C565)+MOD(ROUND(Scorebook!C565*10,0),10)/3)</f>
      </c>
      <c r="AO141" s="5" cm="1">
        <f t="array" aca="1" ref="AO141" ca="1">IF($AK141="","",_xlfn.LET(_xlpm.auto,AND(MOD(ROW()-4,6)=0,$AM141&lt;&gt;0,SUMPRODUCT(--(OFFSET($AM141,1,0,5,1)&lt;&gt;0))=0),_xlpm.oppA,_xlfn.XLOOKUP($AK141,$H$4:$H$18,$J$4:$J$18,""),_xlpm.oppB,_xlfn.XLOOKUP($AK141,$H$4:$H$18,$K$4:$K$18,""),_xlpm.opp,IF($AL141=_xlpm.oppA,_xlpm.oppB,_xlpm.oppA),IF(_xlpm.auto,SUMIFS($Y$4:$Y$273,$S$4:$S$273,$AK141,$T$4:$T$273,_xlpm.opp),Scorebook!D565)))</f>
      </c>
      <c r="AP141" s="5" cm="1">
        <f t="array" aca="1" ref="AP141" ca="1">IF($AK141="","",_xlfn.LET(_xlpm.auto,AND(MOD(ROW()-4,6)=0,$AM141&lt;&gt;0,SUMPRODUCT(--(OFFSET($AM141,1,0,5,1)&lt;&gt;0))=0),_xlpm.oppA,_xlfn.XLOOKUP($AK141,$H$4:$H$18,$J$4:$J$18,""),_xlpm.oppRuns,IF($AL141=_xlpm.oppA,_xlfn.XLOOKUP($AK141,$H$4:$H$18,$O$4:$O$18,""),_xlfn.XLOOKUP($AK141,$H$4:$H$18,$N$4:$N$18,"")),IF(_xlpm.auto,_xlpm.oppRuns,Scorebook!E565)))</f>
      </c>
      <c r="AQ141" s="5">
        <f ca="1">Scorebook!F565</f>
      </c>
      <c r="AR141" s="5" cm="1">
        <f t="array" aca="1" ref="AR141" ca="1">IF($AK141="","",_xlfn.LET(_xlpm.auto,AND(MOD(ROW()-4,6)=0,$AM141&lt;&gt;0,SUMPRODUCT(--(OFFSET($AM141,1,0,5,1)&lt;&gt;0))=0),_xlpm.oppA,_xlfn.XLOOKUP($AK141,$H$4:$H$18,$J$4:$J$18,""),_xlpm.oppB,_xlfn.XLOOKUP($AK141,$H$4:$H$18,$K$4:$K$18,""),_xlpm.opp,IF($AL141=_xlpm.oppA,_xlpm.oppB,_xlpm.oppA),IF(_xlpm.auto,SUMIFS($AD$4:$AD$273,$S$4:$S$273,$AK141,$T$4:$T$273,_xlpm.opp),Scorebook!G565)))</f>
      </c>
      <c r="AS141" s="5" cm="1">
        <f t="array" aca="1" ref="AS141" ca="1">IF($AK141="","",_xlfn.LET(_xlpm.auto,AND(MOD(ROW()-4,6)=0,$AM141&lt;&gt;0,SUMPRODUCT(--(OFFSET($AM141,1,0,5,1)&lt;&gt;0))=0),_xlpm.oppA,_xlfn.XLOOKUP($AK141,$H$4:$H$18,$J$4:$J$18,""),_xlpm.oppB,_xlfn.XLOOKUP($AK141,$H$4:$H$18,$K$4:$K$18,""),_xlpm.opp,IF($AL141=_xlpm.oppA,_xlpm.oppB,_xlpm.oppA),IF(_xlpm.auto,SUMIFS($AE$4:$AE$273,$S$4:$S$273,$AK141,$T$4:$T$273,_xlpm.opp),Scorebook!H565)))</f>
      </c>
      <c r="AT141" s="5" cm="1">
        <f t="array" aca="1" ref="AT141" ca="1">IF($AK141="","",_xlfn.LET(_xlpm.auto,AND(MOD(ROW()-4,6)=0,$AM141&lt;&gt;0,SUMPRODUCT(--(OFFSET($AM141,1,0,5,1)&lt;&gt;0))=0),_xlpm.oppA,_xlfn.XLOOKUP($AK141,$H$4:$H$18,$J$4:$J$18,""),_xlpm.oppB,_xlfn.XLOOKUP($AK141,$H$4:$H$18,$K$4:$K$18,""),_xlpm.opp,IF($AL141=_xlpm.oppA,_xlpm.oppB,_xlpm.oppA),IF(_xlpm.auto,SUMIFS($AB$4:$AB$273,$S$4:$S$273,$AK141,$T$4:$T$273,_xlpm.opp),Scorebook!I565)))</f>
      </c>
      <c r="AU141" s="5" cm="1">
        <f t="array" aca="1" ref="AU141" ca="1">IF($AK141="","",_xlfn.LET(_xlpm.auto,AND(MOD(ROW()-4,6)=0,$AM141&lt;&gt;0,SUMPRODUCT(--(OFFSET($AM141,1,0,5,1)&lt;&gt;0))=0),_xlpm.winner,_xlfn.XLOOKUP($AK141,$H$4:$H$18,$L$4:$L$18,""),IF(_xlpm.auto,--($AL141=_xlpm.winner),Scorebook!J565)))</f>
      </c>
      <c r="AV141" s="5" cm="1">
        <f t="array" aca="1" ref="AV141" ca="1">IF($AK141="","",_xlfn.LET(_xlpm.auto,AND(MOD(ROW()-4,6)=0,$AM141&lt;&gt;0,SUMPRODUCT(--(OFFSET($AM141,1,0,5,1)&lt;&gt;0))=0),_xlpm.loser,_xlfn.XLOOKUP($AK141,$H$4:$H$18,$M$4:$M$18,""),IF(_xlpm.auto,--($AL141=_xlpm.loser),Scorebook!K565)))</f>
      </c>
      <c r="AW141" s="5">
        <f ca="1">Scorebook!L565</f>
      </c>
      <c r="AX141" s="5" cm="1">
        <f t="array" aca="1" ref="AX141" ca="1">IF($AK141="","",_xlfn.LET(_xlpm.auto,AND(MOD(ROW()-4,6)=0,$AM141&lt;&gt;0,SUMPRODUCT(--(OFFSET($AM141,1,0,5,1)&lt;&gt;0))=0),_xlpm.oppA,_xlfn.XLOOKUP($AK141,$H$4:$H$18,$J$4:$J$18,""),_xlpm.oppRuns,IF($AL141=_xlpm.oppA,_xlfn.XLOOKUP($AK141,$H$4:$H$18,$O$4:$O$18,""),_xlfn.XLOOKUP($AK141,$H$4:$H$18,$N$4:$N$18,"")),IF(_xlpm.auto,--(_xlpm.oppRuns=0),Scorebook!M565)))</f>
      </c>
      <c r="AY141" s="5" cm="1">
        <f t="array" aca="1" ref="AY141" ca="1">IF($AK141="","",_xlfn.LET(_xlpm.auto,AND(MOD(ROW()-4,6)=0,$AM141&lt;&gt;0,SUMPRODUCT(--(OFFSET($AM141,1,0,5,1)&lt;&gt;0))=0),IF(_xlpm.auto,1,Scorebook!N565)))</f>
      </c>
      <c r="AZ141" s="5">
        <f>Settings!$B$2</f>
        <v>1</v>
      </c>
    </row>
    <row r="142" spans="19:52">
      <c r="S142" s="4" t="str">
        <f ca="1">Scorebook!$F$345</f>
        <v>G8</v>
      </c>
      <c r="T142" s="5" t="str">
        <f ca="1">Scorebook!$R$345</f>
        <v>Jason</v>
      </c>
      <c r="U142" s="5" t="str">
        <f ca="1">Scorebook!$B$376</f>
        <v>Bowser</v>
      </c>
      <c r="V142" s="4">
        <v>4</v>
      </c>
      <c r="W142" s="5">
        <f ca="1">Scorebook!M376</f>
        <v>2</v>
      </c>
      <c r="X142" s="5">
        <f ca="1">Scorebook!N376</f>
        <v>2</v>
      </c>
      <c r="Y142" s="5">
        <f ca="1">Scorebook!O376</f>
        <v>2</v>
      </c>
      <c r="Z142" s="5">
        <f ca="1">Scorebook!P376</f>
        <v>0</v>
      </c>
      <c r="AA142" s="5">
        <f ca="1">Scorebook!Q376</f>
        <v>0</v>
      </c>
      <c r="AB142" s="5">
        <f ca="1">Scorebook!R376</f>
        <v>0</v>
      </c>
      <c r="AC142" s="5">
        <f ca="1">Scorebook!S376</f>
        <v>0</v>
      </c>
      <c r="AD142" s="5">
        <f ca="1">Scorebook!T376</f>
        <v>0</v>
      </c>
      <c r="AE142" s="5">
        <f ca="1">Scorebook!U376</f>
        <v>0</v>
      </c>
      <c r="AF142" s="5">
        <f ca="1">Scorebook!V376</f>
        <v>0</v>
      </c>
      <c r="AG142" s="5">
        <f ca="1">Scorebook!W376</f>
        <v>0</v>
      </c>
      <c r="AH142" s="5">
        <f ca="1">Scorebook!X376</f>
        <v>0</v>
      </c>
      <c r="AI142" s="5">
        <f>Settings!$B$2</f>
        <v>1</v>
      </c>
      <c r="AJ142" s="18">
        <f ca="1">IF($AK142="","",Scorebook!$O$581)</f>
      </c>
      <c r="AK142" s="4" t="str">
        <f ca="1">IF(AND(Bracket!$H$18&lt;&gt;"",Bracket!$I$18&lt;&gt;""),"G12","")</f>
      </c>
      <c r="AL142" s="5" t="str">
        <f ca="1">IF(AND(Bracket!$H$18&lt;&gt;"",Bracket!$I$18&lt;&gt;""),Bracket!$I$18,"")</f>
      </c>
      <c r="AM142" s="5" t="str">
        <f>Scorebook!$B$581</f>
      </c>
      <c r="AN142" s="5">
        <f ca="1">IF(Scorebook!C581="","",INT(Scorebook!C581)+MOD(ROUND(Scorebook!C581*10,0),10)/3)</f>
      </c>
      <c r="AO142" s="5" cm="1">
        <f t="array" aca="1" ref="AO142" ca="1">IF($AK142="","",_xlfn.LET(_xlpm.auto,AND(MOD(ROW()-4,6)=0,$AM142&lt;&gt;0,SUMPRODUCT(--(OFFSET($AM142,1,0,5,1)&lt;&gt;0))=0),_xlpm.oppA,_xlfn.XLOOKUP($AK142,$H$4:$H$18,$J$4:$J$18,""),_xlpm.oppB,_xlfn.XLOOKUP($AK142,$H$4:$H$18,$K$4:$K$18,""),_xlpm.opp,IF($AL142=_xlpm.oppA,_xlpm.oppB,_xlpm.oppA),IF(_xlpm.auto,SUMIFS($Y$4:$Y$273,$S$4:$S$273,$AK142,$T$4:$T$273,_xlpm.opp),Scorebook!D581)))</f>
      </c>
      <c r="AP142" s="5" cm="1">
        <f t="array" aca="1" ref="AP142" ca="1">IF($AK142="","",_xlfn.LET(_xlpm.auto,AND(MOD(ROW()-4,6)=0,$AM142&lt;&gt;0,SUMPRODUCT(--(OFFSET($AM142,1,0,5,1)&lt;&gt;0))=0),_xlpm.oppA,_xlfn.XLOOKUP($AK142,$H$4:$H$18,$J$4:$J$18,""),_xlpm.oppRuns,IF($AL142=_xlpm.oppA,_xlfn.XLOOKUP($AK142,$H$4:$H$18,$O$4:$O$18,""),_xlfn.XLOOKUP($AK142,$H$4:$H$18,$N$4:$N$18,"")),IF(_xlpm.auto,_xlpm.oppRuns,Scorebook!E581)))</f>
      </c>
      <c r="AQ142" s="5">
        <f ca="1">Scorebook!F581</f>
      </c>
      <c r="AR142" s="5" cm="1">
        <f t="array" aca="1" ref="AR142" ca="1">IF($AK142="","",_xlfn.LET(_xlpm.auto,AND(MOD(ROW()-4,6)=0,$AM142&lt;&gt;0,SUMPRODUCT(--(OFFSET($AM142,1,0,5,1)&lt;&gt;0))=0),_xlpm.oppA,_xlfn.XLOOKUP($AK142,$H$4:$H$18,$J$4:$J$18,""),_xlpm.oppB,_xlfn.XLOOKUP($AK142,$H$4:$H$18,$K$4:$K$18,""),_xlpm.opp,IF($AL142=_xlpm.oppA,_xlpm.oppB,_xlpm.oppA),IF(_xlpm.auto,SUMIFS($AD$4:$AD$273,$S$4:$S$273,$AK142,$T$4:$T$273,_xlpm.opp),Scorebook!G581)))</f>
      </c>
      <c r="AS142" s="5" cm="1">
        <f t="array" aca="1" ref="AS142" ca="1">IF($AK142="","",_xlfn.LET(_xlpm.auto,AND(MOD(ROW()-4,6)=0,$AM142&lt;&gt;0,SUMPRODUCT(--(OFFSET($AM142,1,0,5,1)&lt;&gt;0))=0),_xlpm.oppA,_xlfn.XLOOKUP($AK142,$H$4:$H$18,$J$4:$J$18,""),_xlpm.oppB,_xlfn.XLOOKUP($AK142,$H$4:$H$18,$K$4:$K$18,""),_xlpm.opp,IF($AL142=_xlpm.oppA,_xlpm.oppB,_xlpm.oppA),IF(_xlpm.auto,SUMIFS($AE$4:$AE$273,$S$4:$S$273,$AK142,$T$4:$T$273,_xlpm.opp),Scorebook!H581)))</f>
      </c>
      <c r="AT142" s="5" cm="1">
        <f t="array" aca="1" ref="AT142" ca="1">IF($AK142="","",_xlfn.LET(_xlpm.auto,AND(MOD(ROW()-4,6)=0,$AM142&lt;&gt;0,SUMPRODUCT(--(OFFSET($AM142,1,0,5,1)&lt;&gt;0))=0),_xlpm.oppA,_xlfn.XLOOKUP($AK142,$H$4:$H$18,$J$4:$J$18,""),_xlpm.oppB,_xlfn.XLOOKUP($AK142,$H$4:$H$18,$K$4:$K$18,""),_xlpm.opp,IF($AL142=_xlpm.oppA,_xlpm.oppB,_xlpm.oppA),IF(_xlpm.auto,SUMIFS($AB$4:$AB$273,$S$4:$S$273,$AK142,$T$4:$T$273,_xlpm.opp),Scorebook!I581)))</f>
      </c>
      <c r="AU142" s="5" cm="1">
        <f t="array" aca="1" ref="AU142" ca="1">IF($AK142="","",_xlfn.LET(_xlpm.auto,AND(MOD(ROW()-4,6)=0,$AM142&lt;&gt;0,SUMPRODUCT(--(OFFSET($AM142,1,0,5,1)&lt;&gt;0))=0),_xlpm.winner,_xlfn.XLOOKUP($AK142,$H$4:$H$18,$L$4:$L$18,""),IF(_xlpm.auto,--($AL142=_xlpm.winner),Scorebook!J581)))</f>
      </c>
      <c r="AV142" s="5" cm="1">
        <f t="array" aca="1" ref="AV142" ca="1">IF($AK142="","",_xlfn.LET(_xlpm.auto,AND(MOD(ROW()-4,6)=0,$AM142&lt;&gt;0,SUMPRODUCT(--(OFFSET($AM142,1,0,5,1)&lt;&gt;0))=0),_xlpm.loser,_xlfn.XLOOKUP($AK142,$H$4:$H$18,$M$4:$M$18,""),IF(_xlpm.auto,--($AL142=_xlpm.loser),Scorebook!K581)))</f>
      </c>
      <c r="AW142" s="5">
        <f ca="1">Scorebook!L581</f>
      </c>
      <c r="AX142" s="5" cm="1">
        <f t="array" aca="1" ref="AX142" ca="1">IF($AK142="","",_xlfn.LET(_xlpm.auto,AND(MOD(ROW()-4,6)=0,$AM142&lt;&gt;0,SUMPRODUCT(--(OFFSET($AM142,1,0,5,1)&lt;&gt;0))=0),_xlpm.oppA,_xlfn.XLOOKUP($AK142,$H$4:$H$18,$J$4:$J$18,""),_xlpm.oppRuns,IF($AL142=_xlpm.oppA,_xlfn.XLOOKUP($AK142,$H$4:$H$18,$O$4:$O$18,""),_xlfn.XLOOKUP($AK142,$H$4:$H$18,$N$4:$N$18,"")),IF(_xlpm.auto,--(_xlpm.oppRuns=0),Scorebook!M581)))</f>
      </c>
      <c r="AY142" s="5" cm="1">
        <f t="array" aca="1" ref="AY142" ca="1">IF($AK142="","",_xlfn.LET(_xlpm.auto,AND(MOD(ROW()-4,6)=0,$AM142&lt;&gt;0,SUMPRODUCT(--(OFFSET($AM142,1,0,5,1)&lt;&gt;0))=0),IF(_xlpm.auto,1,Scorebook!N581)))</f>
      </c>
      <c r="AZ142" s="5">
        <f>Settings!$B$2</f>
        <v>1</v>
      </c>
    </row>
    <row r="143" spans="19:52">
      <c r="S143" s="4" t="str">
        <f ca="1">Scorebook!$F$345</f>
        <v>G8</v>
      </c>
      <c r="T143" s="5" t="str">
        <f ca="1">Scorebook!$R$345</f>
        <v>Jason</v>
      </c>
      <c r="U143" s="5" t="str">
        <f ca="1">Scorebook!$B$377</f>
        <v>Blooper</v>
      </c>
      <c r="V143" s="4">
        <v>5</v>
      </c>
      <c r="W143" s="5">
        <f ca="1">Scorebook!M377</f>
        <v>2</v>
      </c>
      <c r="X143" s="5">
        <f ca="1">Scorebook!N377</f>
        <v>1</v>
      </c>
      <c r="Y143" s="5">
        <f ca="1">Scorebook!O377</f>
        <v>1</v>
      </c>
      <c r="Z143" s="5">
        <f ca="1">Scorebook!P377</f>
        <v>0</v>
      </c>
      <c r="AA143" s="5">
        <f ca="1">Scorebook!Q377</f>
        <v>0</v>
      </c>
      <c r="AB143" s="5">
        <f ca="1">Scorebook!R377</f>
        <v>1</v>
      </c>
      <c r="AC143" s="5">
        <f ca="1">Scorebook!S377</f>
        <v>2</v>
      </c>
      <c r="AD143" s="5">
        <f ca="1">Scorebook!T377</f>
        <v>0</v>
      </c>
      <c r="AE143" s="5">
        <f ca="1">Scorebook!U377</f>
        <v>0</v>
      </c>
      <c r="AF143" s="5">
        <f ca="1">Scorebook!V377</f>
        <v>0</v>
      </c>
      <c r="AG143" s="5">
        <f ca="1">Scorebook!W377</f>
        <v>0</v>
      </c>
      <c r="AH143" s="5">
        <f ca="1">Scorebook!X377</f>
        <v>0</v>
      </c>
      <c r="AI143" s="5">
        <f>Settings!$B$2</f>
        <v>1</v>
      </c>
      <c r="AJ143" s="18">
        <f ca="1">IF($AK143="","",Scorebook!$O$582)</f>
      </c>
      <c r="AK143" s="4" t="str">
        <f ca="1">IF(AND(Bracket!$H$18&lt;&gt;"",Bracket!$I$18&lt;&gt;""),"G12","")</f>
      </c>
      <c r="AL143" s="5" t="str">
        <f ca="1">IF(AND(Bracket!$H$18&lt;&gt;"",Bracket!$I$18&lt;&gt;""),Bracket!$I$18,"")</f>
      </c>
      <c r="AM143" s="5" t="str">
        <f>Scorebook!$B$582</f>
      </c>
      <c r="AN143" s="5">
        <f ca="1">IF(Scorebook!C582="","",INT(Scorebook!C582)+MOD(ROUND(Scorebook!C582*10,0),10)/3)</f>
      </c>
      <c r="AO143" s="5" cm="1">
        <f t="array" aca="1" ref="AO143" ca="1">IF($AK143="","",_xlfn.LET(_xlpm.auto,AND(MOD(ROW()-4,6)=0,$AM143&lt;&gt;0,SUMPRODUCT(--(OFFSET($AM143,1,0,5,1)&lt;&gt;0))=0),_xlpm.oppA,_xlfn.XLOOKUP($AK143,$H$4:$H$18,$J$4:$J$18,""),_xlpm.oppB,_xlfn.XLOOKUP($AK143,$H$4:$H$18,$K$4:$K$18,""),_xlpm.opp,IF($AL143=_xlpm.oppA,_xlpm.oppB,_xlpm.oppA),IF(_xlpm.auto,SUMIFS($Y$4:$Y$273,$S$4:$S$273,$AK143,$T$4:$T$273,_xlpm.opp),Scorebook!D582)))</f>
      </c>
      <c r="AP143" s="5" cm="1">
        <f t="array" aca="1" ref="AP143" ca="1">IF($AK143="","",_xlfn.LET(_xlpm.auto,AND(MOD(ROW()-4,6)=0,$AM143&lt;&gt;0,SUMPRODUCT(--(OFFSET($AM143,1,0,5,1)&lt;&gt;0))=0),_xlpm.oppA,_xlfn.XLOOKUP($AK143,$H$4:$H$18,$J$4:$J$18,""),_xlpm.oppRuns,IF($AL143=_xlpm.oppA,_xlfn.XLOOKUP($AK143,$H$4:$H$18,$O$4:$O$18,""),_xlfn.XLOOKUP($AK143,$H$4:$H$18,$N$4:$N$18,"")),IF(_xlpm.auto,_xlpm.oppRuns,Scorebook!E582)))</f>
      </c>
      <c r="AQ143" s="5">
        <f ca="1">Scorebook!F582</f>
      </c>
      <c r="AR143" s="5" cm="1">
        <f t="array" aca="1" ref="AR143" ca="1">IF($AK143="","",_xlfn.LET(_xlpm.auto,AND(MOD(ROW()-4,6)=0,$AM143&lt;&gt;0,SUMPRODUCT(--(OFFSET($AM143,1,0,5,1)&lt;&gt;0))=0),_xlpm.oppA,_xlfn.XLOOKUP($AK143,$H$4:$H$18,$J$4:$J$18,""),_xlpm.oppB,_xlfn.XLOOKUP($AK143,$H$4:$H$18,$K$4:$K$18,""),_xlpm.opp,IF($AL143=_xlpm.oppA,_xlpm.oppB,_xlpm.oppA),IF(_xlpm.auto,SUMIFS($AD$4:$AD$273,$S$4:$S$273,$AK143,$T$4:$T$273,_xlpm.opp),Scorebook!G582)))</f>
      </c>
      <c r="AS143" s="5" cm="1">
        <f t="array" aca="1" ref="AS143" ca="1">IF($AK143="","",_xlfn.LET(_xlpm.auto,AND(MOD(ROW()-4,6)=0,$AM143&lt;&gt;0,SUMPRODUCT(--(OFFSET($AM143,1,0,5,1)&lt;&gt;0))=0),_xlpm.oppA,_xlfn.XLOOKUP($AK143,$H$4:$H$18,$J$4:$J$18,""),_xlpm.oppB,_xlfn.XLOOKUP($AK143,$H$4:$H$18,$K$4:$K$18,""),_xlpm.opp,IF($AL143=_xlpm.oppA,_xlpm.oppB,_xlpm.oppA),IF(_xlpm.auto,SUMIFS($AE$4:$AE$273,$S$4:$S$273,$AK143,$T$4:$T$273,_xlpm.opp),Scorebook!H582)))</f>
      </c>
      <c r="AT143" s="5" cm="1">
        <f t="array" aca="1" ref="AT143" ca="1">IF($AK143="","",_xlfn.LET(_xlpm.auto,AND(MOD(ROW()-4,6)=0,$AM143&lt;&gt;0,SUMPRODUCT(--(OFFSET($AM143,1,0,5,1)&lt;&gt;0))=0),_xlpm.oppA,_xlfn.XLOOKUP($AK143,$H$4:$H$18,$J$4:$J$18,""),_xlpm.oppB,_xlfn.XLOOKUP($AK143,$H$4:$H$18,$K$4:$K$18,""),_xlpm.opp,IF($AL143=_xlpm.oppA,_xlpm.oppB,_xlpm.oppA),IF(_xlpm.auto,SUMIFS($AB$4:$AB$273,$S$4:$S$273,$AK143,$T$4:$T$273,_xlpm.opp),Scorebook!I582)))</f>
      </c>
      <c r="AU143" s="5" cm="1">
        <f t="array" aca="1" ref="AU143" ca="1">IF($AK143="","",_xlfn.LET(_xlpm.auto,AND(MOD(ROW()-4,6)=0,$AM143&lt;&gt;0,SUMPRODUCT(--(OFFSET($AM143,1,0,5,1)&lt;&gt;0))=0),_xlpm.winner,_xlfn.XLOOKUP($AK143,$H$4:$H$18,$L$4:$L$18,""),IF(_xlpm.auto,--($AL143=_xlpm.winner),Scorebook!J582)))</f>
      </c>
      <c r="AV143" s="5" cm="1">
        <f t="array" aca="1" ref="AV143" ca="1">IF($AK143="","",_xlfn.LET(_xlpm.auto,AND(MOD(ROW()-4,6)=0,$AM143&lt;&gt;0,SUMPRODUCT(--(OFFSET($AM143,1,0,5,1)&lt;&gt;0))=0),_xlpm.loser,_xlfn.XLOOKUP($AK143,$H$4:$H$18,$M$4:$M$18,""),IF(_xlpm.auto,--($AL143=_xlpm.loser),Scorebook!K582)))</f>
      </c>
      <c r="AW143" s="5">
        <f ca="1">Scorebook!L582</f>
      </c>
      <c r="AX143" s="5" cm="1">
        <f t="array" aca="1" ref="AX143" ca="1">IF($AK143="","",_xlfn.LET(_xlpm.auto,AND(MOD(ROW()-4,6)=0,$AM143&lt;&gt;0,SUMPRODUCT(--(OFFSET($AM143,1,0,5,1)&lt;&gt;0))=0),_xlpm.oppA,_xlfn.XLOOKUP($AK143,$H$4:$H$18,$J$4:$J$18,""),_xlpm.oppRuns,IF($AL143=_xlpm.oppA,_xlfn.XLOOKUP($AK143,$H$4:$H$18,$O$4:$O$18,""),_xlfn.XLOOKUP($AK143,$H$4:$H$18,$N$4:$N$18,"")),IF(_xlpm.auto,--(_xlpm.oppRuns=0),Scorebook!M582)))</f>
      </c>
      <c r="AY143" s="5" cm="1">
        <f t="array" aca="1" ref="AY143" ca="1">IF($AK143="","",_xlfn.LET(_xlpm.auto,AND(MOD(ROW()-4,6)=0,$AM143&lt;&gt;0,SUMPRODUCT(--(OFFSET($AM143,1,0,5,1)&lt;&gt;0))=0),IF(_xlpm.auto,1,Scorebook!N582)))</f>
      </c>
      <c r="AZ143" s="5">
        <f>Settings!$B$2</f>
        <v>1</v>
      </c>
    </row>
    <row r="144" spans="19:52">
      <c r="S144" s="4" t="str">
        <f ca="1">Scorebook!$F$345</f>
        <v>G8</v>
      </c>
      <c r="T144" s="5" t="str">
        <f ca="1">Scorebook!$R$345</f>
        <v>Jason</v>
      </c>
      <c r="U144" s="5" t="str">
        <f ca="1">Scorebook!$B$378</f>
        <v>Yellow Toad</v>
      </c>
      <c r="V144" s="4">
        <v>6</v>
      </c>
      <c r="W144" s="5">
        <f ca="1">Scorebook!M378</f>
        <v>2</v>
      </c>
      <c r="X144" s="5">
        <f ca="1">Scorebook!N378</f>
        <v>0</v>
      </c>
      <c r="Y144" s="5">
        <f ca="1">Scorebook!O378</f>
        <v>0</v>
      </c>
      <c r="Z144" s="5">
        <f ca="1">Scorebook!P378</f>
        <v>0</v>
      </c>
      <c r="AA144" s="5">
        <f ca="1">Scorebook!Q378</f>
        <v>0</v>
      </c>
      <c r="AB144" s="5">
        <f ca="1">Scorebook!R378</f>
        <v>0</v>
      </c>
      <c r="AC144" s="5">
        <f ca="1">Scorebook!S378</f>
        <v>0</v>
      </c>
      <c r="AD144" s="5">
        <f ca="1">Scorebook!T378</f>
        <v>0</v>
      </c>
      <c r="AE144" s="5">
        <f ca="1">Scorebook!U378</f>
        <v>0</v>
      </c>
      <c r="AF144" s="5">
        <f ca="1">Scorebook!V378</f>
        <v>0</v>
      </c>
      <c r="AG144" s="5">
        <f ca="1">Scorebook!W378</f>
        <v>0</v>
      </c>
      <c r="AH144" s="5">
        <f ca="1">Scorebook!X378</f>
        <v>0</v>
      </c>
      <c r="AI144" s="5">
        <f>Settings!$B$2</f>
        <v>1</v>
      </c>
      <c r="AJ144" s="18">
        <f ca="1">IF($AK144="","",Scorebook!$O$583)</f>
      </c>
      <c r="AK144" s="4" t="str">
        <f ca="1">IF(AND(Bracket!$H$18&lt;&gt;"",Bracket!$I$18&lt;&gt;""),"G12","")</f>
      </c>
      <c r="AL144" s="5" t="str">
        <f ca="1">IF(AND(Bracket!$H$18&lt;&gt;"",Bracket!$I$18&lt;&gt;""),Bracket!$I$18,"")</f>
      </c>
      <c r="AM144" s="5" t="str">
        <f>Scorebook!$B$583</f>
      </c>
      <c r="AN144" s="5">
        <f ca="1">IF(Scorebook!C583="","",INT(Scorebook!C583)+MOD(ROUND(Scorebook!C583*10,0),10)/3)</f>
      </c>
      <c r="AO144" s="5" cm="1">
        <f t="array" aca="1" ref="AO144" ca="1">IF($AK144="","",_xlfn.LET(_xlpm.auto,AND(MOD(ROW()-4,6)=0,$AM144&lt;&gt;0,SUMPRODUCT(--(OFFSET($AM144,1,0,5,1)&lt;&gt;0))=0),_xlpm.oppA,_xlfn.XLOOKUP($AK144,$H$4:$H$18,$J$4:$J$18,""),_xlpm.oppB,_xlfn.XLOOKUP($AK144,$H$4:$H$18,$K$4:$K$18,""),_xlpm.opp,IF($AL144=_xlpm.oppA,_xlpm.oppB,_xlpm.oppA),IF(_xlpm.auto,SUMIFS($Y$4:$Y$273,$S$4:$S$273,$AK144,$T$4:$T$273,_xlpm.opp),Scorebook!D583)))</f>
      </c>
      <c r="AP144" s="5" cm="1">
        <f t="array" aca="1" ref="AP144" ca="1">IF($AK144="","",_xlfn.LET(_xlpm.auto,AND(MOD(ROW()-4,6)=0,$AM144&lt;&gt;0,SUMPRODUCT(--(OFFSET($AM144,1,0,5,1)&lt;&gt;0))=0),_xlpm.oppA,_xlfn.XLOOKUP($AK144,$H$4:$H$18,$J$4:$J$18,""),_xlpm.oppRuns,IF($AL144=_xlpm.oppA,_xlfn.XLOOKUP($AK144,$H$4:$H$18,$O$4:$O$18,""),_xlfn.XLOOKUP($AK144,$H$4:$H$18,$N$4:$N$18,"")),IF(_xlpm.auto,_xlpm.oppRuns,Scorebook!E583)))</f>
      </c>
      <c r="AQ144" s="5">
        <f ca="1">Scorebook!F583</f>
      </c>
      <c r="AR144" s="5" cm="1">
        <f t="array" aca="1" ref="AR144" ca="1">IF($AK144="","",_xlfn.LET(_xlpm.auto,AND(MOD(ROW()-4,6)=0,$AM144&lt;&gt;0,SUMPRODUCT(--(OFFSET($AM144,1,0,5,1)&lt;&gt;0))=0),_xlpm.oppA,_xlfn.XLOOKUP($AK144,$H$4:$H$18,$J$4:$J$18,""),_xlpm.oppB,_xlfn.XLOOKUP($AK144,$H$4:$H$18,$K$4:$K$18,""),_xlpm.opp,IF($AL144=_xlpm.oppA,_xlpm.oppB,_xlpm.oppA),IF(_xlpm.auto,SUMIFS($AD$4:$AD$273,$S$4:$S$273,$AK144,$T$4:$T$273,_xlpm.opp),Scorebook!G583)))</f>
      </c>
      <c r="AS144" s="5" cm="1">
        <f t="array" aca="1" ref="AS144" ca="1">IF($AK144="","",_xlfn.LET(_xlpm.auto,AND(MOD(ROW()-4,6)=0,$AM144&lt;&gt;0,SUMPRODUCT(--(OFFSET($AM144,1,0,5,1)&lt;&gt;0))=0),_xlpm.oppA,_xlfn.XLOOKUP($AK144,$H$4:$H$18,$J$4:$J$18,""),_xlpm.oppB,_xlfn.XLOOKUP($AK144,$H$4:$H$18,$K$4:$K$18,""),_xlpm.opp,IF($AL144=_xlpm.oppA,_xlpm.oppB,_xlpm.oppA),IF(_xlpm.auto,SUMIFS($AE$4:$AE$273,$S$4:$S$273,$AK144,$T$4:$T$273,_xlpm.opp),Scorebook!H583)))</f>
      </c>
      <c r="AT144" s="5" cm="1">
        <f t="array" aca="1" ref="AT144" ca="1">IF($AK144="","",_xlfn.LET(_xlpm.auto,AND(MOD(ROW()-4,6)=0,$AM144&lt;&gt;0,SUMPRODUCT(--(OFFSET($AM144,1,0,5,1)&lt;&gt;0))=0),_xlpm.oppA,_xlfn.XLOOKUP($AK144,$H$4:$H$18,$J$4:$J$18,""),_xlpm.oppB,_xlfn.XLOOKUP($AK144,$H$4:$H$18,$K$4:$K$18,""),_xlpm.opp,IF($AL144=_xlpm.oppA,_xlpm.oppB,_xlpm.oppA),IF(_xlpm.auto,SUMIFS($AB$4:$AB$273,$S$4:$S$273,$AK144,$T$4:$T$273,_xlpm.opp),Scorebook!I583)))</f>
      </c>
      <c r="AU144" s="5" cm="1">
        <f t="array" aca="1" ref="AU144" ca="1">IF($AK144="","",_xlfn.LET(_xlpm.auto,AND(MOD(ROW()-4,6)=0,$AM144&lt;&gt;0,SUMPRODUCT(--(OFFSET($AM144,1,0,5,1)&lt;&gt;0))=0),_xlpm.winner,_xlfn.XLOOKUP($AK144,$H$4:$H$18,$L$4:$L$18,""),IF(_xlpm.auto,--($AL144=_xlpm.winner),Scorebook!J583)))</f>
      </c>
      <c r="AV144" s="5" cm="1">
        <f t="array" aca="1" ref="AV144" ca="1">IF($AK144="","",_xlfn.LET(_xlpm.auto,AND(MOD(ROW()-4,6)=0,$AM144&lt;&gt;0,SUMPRODUCT(--(OFFSET($AM144,1,0,5,1)&lt;&gt;0))=0),_xlpm.loser,_xlfn.XLOOKUP($AK144,$H$4:$H$18,$M$4:$M$18,""),IF(_xlpm.auto,--($AL144=_xlpm.loser),Scorebook!K583)))</f>
      </c>
      <c r="AW144" s="5">
        <f ca="1">Scorebook!L583</f>
      </c>
      <c r="AX144" s="5" cm="1">
        <f t="array" aca="1" ref="AX144" ca="1">IF($AK144="","",_xlfn.LET(_xlpm.auto,AND(MOD(ROW()-4,6)=0,$AM144&lt;&gt;0,SUMPRODUCT(--(OFFSET($AM144,1,0,5,1)&lt;&gt;0))=0),_xlpm.oppA,_xlfn.XLOOKUP($AK144,$H$4:$H$18,$J$4:$J$18,""),_xlpm.oppRuns,IF($AL144=_xlpm.oppA,_xlfn.XLOOKUP($AK144,$H$4:$H$18,$O$4:$O$18,""),_xlfn.XLOOKUP($AK144,$H$4:$H$18,$N$4:$N$18,"")),IF(_xlpm.auto,--(_xlpm.oppRuns=0),Scorebook!M583)))</f>
      </c>
      <c r="AY144" s="5" cm="1">
        <f t="array" aca="1" ref="AY144" ca="1">IF($AK144="","",_xlfn.LET(_xlpm.auto,AND(MOD(ROW()-4,6)=0,$AM144&lt;&gt;0,SUMPRODUCT(--(OFFSET($AM144,1,0,5,1)&lt;&gt;0))=0),IF(_xlpm.auto,1,Scorebook!N583)))</f>
      </c>
      <c r="AZ144" s="5">
        <f>Settings!$B$2</f>
        <v>1</v>
      </c>
    </row>
    <row r="145" spans="19:52">
      <c r="S145" s="4" t="str">
        <f ca="1">Scorebook!$F$345</f>
        <v>G8</v>
      </c>
      <c r="T145" s="5" t="str">
        <f ca="1">Scorebook!$R$345</f>
        <v>Jason</v>
      </c>
      <c r="U145" s="5" t="str">
        <f ca="1">Scorebook!$B$379</f>
        <v>Peach</v>
      </c>
      <c r="V145" s="4">
        <v>7</v>
      </c>
      <c r="W145" s="5">
        <f ca="1">Scorebook!M379</f>
        <v>2</v>
      </c>
      <c r="X145" s="5">
        <f ca="1">Scorebook!N379</f>
        <v>1</v>
      </c>
      <c r="Y145" s="5">
        <f ca="1">Scorebook!O379</f>
        <v>2</v>
      </c>
      <c r="Z145" s="5">
        <f ca="1">Scorebook!P379</f>
        <v>0</v>
      </c>
      <c r="AA145" s="5">
        <f ca="1">Scorebook!Q379</f>
        <v>0</v>
      </c>
      <c r="AB145" s="5">
        <f ca="1">Scorebook!R379</f>
        <v>1</v>
      </c>
      <c r="AC145" s="5">
        <f ca="1">Scorebook!S379</f>
        <v>2</v>
      </c>
      <c r="AD145" s="5">
        <f ca="1">Scorebook!T379</f>
        <v>0</v>
      </c>
      <c r="AE145" s="5">
        <f ca="1">Scorebook!U379</f>
        <v>0</v>
      </c>
      <c r="AF145" s="5">
        <f ca="1">Scorebook!V379</f>
        <v>0</v>
      </c>
      <c r="AG145" s="5">
        <f ca="1">Scorebook!W379</f>
        <v>0</v>
      </c>
      <c r="AH145" s="5">
        <f ca="1">Scorebook!X379</f>
        <v>0</v>
      </c>
      <c r="AI145" s="5">
        <f>Settings!$B$2</f>
        <v>1</v>
      </c>
      <c r="AJ145" s="18">
        <f ca="1">IF($AK145="","",Scorebook!$O$584)</f>
      </c>
      <c r="AK145" s="4" t="str">
        <f ca="1">IF(AND(Bracket!$H$18&lt;&gt;"",Bracket!$I$18&lt;&gt;""),"G12","")</f>
      </c>
      <c r="AL145" s="5" t="str">
        <f ca="1">IF(AND(Bracket!$H$18&lt;&gt;"",Bracket!$I$18&lt;&gt;""),Bracket!$I$18,"")</f>
      </c>
      <c r="AM145" s="5" t="str">
        <f>Scorebook!$B$584</f>
      </c>
      <c r="AN145" s="5">
        <f ca="1">IF(Scorebook!C584="","",INT(Scorebook!C584)+MOD(ROUND(Scorebook!C584*10,0),10)/3)</f>
      </c>
      <c r="AO145" s="5" cm="1">
        <f t="array" aca="1" ref="AO145" ca="1">IF($AK145="","",_xlfn.LET(_xlpm.auto,AND(MOD(ROW()-4,6)=0,$AM145&lt;&gt;0,SUMPRODUCT(--(OFFSET($AM145,1,0,5,1)&lt;&gt;0))=0),_xlpm.oppA,_xlfn.XLOOKUP($AK145,$H$4:$H$18,$J$4:$J$18,""),_xlpm.oppB,_xlfn.XLOOKUP($AK145,$H$4:$H$18,$K$4:$K$18,""),_xlpm.opp,IF($AL145=_xlpm.oppA,_xlpm.oppB,_xlpm.oppA),IF(_xlpm.auto,SUMIFS($Y$4:$Y$273,$S$4:$S$273,$AK145,$T$4:$T$273,_xlpm.opp),Scorebook!D584)))</f>
      </c>
      <c r="AP145" s="5" cm="1">
        <f t="array" aca="1" ref="AP145" ca="1">IF($AK145="","",_xlfn.LET(_xlpm.auto,AND(MOD(ROW()-4,6)=0,$AM145&lt;&gt;0,SUMPRODUCT(--(OFFSET($AM145,1,0,5,1)&lt;&gt;0))=0),_xlpm.oppA,_xlfn.XLOOKUP($AK145,$H$4:$H$18,$J$4:$J$18,""),_xlpm.oppRuns,IF($AL145=_xlpm.oppA,_xlfn.XLOOKUP($AK145,$H$4:$H$18,$O$4:$O$18,""),_xlfn.XLOOKUP($AK145,$H$4:$H$18,$N$4:$N$18,"")),IF(_xlpm.auto,_xlpm.oppRuns,Scorebook!E584)))</f>
      </c>
      <c r="AQ145" s="5">
        <f ca="1">Scorebook!F584</f>
      </c>
      <c r="AR145" s="5" cm="1">
        <f t="array" aca="1" ref="AR145" ca="1">IF($AK145="","",_xlfn.LET(_xlpm.auto,AND(MOD(ROW()-4,6)=0,$AM145&lt;&gt;0,SUMPRODUCT(--(OFFSET($AM145,1,0,5,1)&lt;&gt;0))=0),_xlpm.oppA,_xlfn.XLOOKUP($AK145,$H$4:$H$18,$J$4:$J$18,""),_xlpm.oppB,_xlfn.XLOOKUP($AK145,$H$4:$H$18,$K$4:$K$18,""),_xlpm.opp,IF($AL145=_xlpm.oppA,_xlpm.oppB,_xlpm.oppA),IF(_xlpm.auto,SUMIFS($AD$4:$AD$273,$S$4:$S$273,$AK145,$T$4:$T$273,_xlpm.opp),Scorebook!G584)))</f>
      </c>
      <c r="AS145" s="5" cm="1">
        <f t="array" aca="1" ref="AS145" ca="1">IF($AK145="","",_xlfn.LET(_xlpm.auto,AND(MOD(ROW()-4,6)=0,$AM145&lt;&gt;0,SUMPRODUCT(--(OFFSET($AM145,1,0,5,1)&lt;&gt;0))=0),_xlpm.oppA,_xlfn.XLOOKUP($AK145,$H$4:$H$18,$J$4:$J$18,""),_xlpm.oppB,_xlfn.XLOOKUP($AK145,$H$4:$H$18,$K$4:$K$18,""),_xlpm.opp,IF($AL145=_xlpm.oppA,_xlpm.oppB,_xlpm.oppA),IF(_xlpm.auto,SUMIFS($AE$4:$AE$273,$S$4:$S$273,$AK145,$T$4:$T$273,_xlpm.opp),Scorebook!H584)))</f>
      </c>
      <c r="AT145" s="5" cm="1">
        <f t="array" aca="1" ref="AT145" ca="1">IF($AK145="","",_xlfn.LET(_xlpm.auto,AND(MOD(ROW()-4,6)=0,$AM145&lt;&gt;0,SUMPRODUCT(--(OFFSET($AM145,1,0,5,1)&lt;&gt;0))=0),_xlpm.oppA,_xlfn.XLOOKUP($AK145,$H$4:$H$18,$J$4:$J$18,""),_xlpm.oppB,_xlfn.XLOOKUP($AK145,$H$4:$H$18,$K$4:$K$18,""),_xlpm.opp,IF($AL145=_xlpm.oppA,_xlpm.oppB,_xlpm.oppA),IF(_xlpm.auto,SUMIFS($AB$4:$AB$273,$S$4:$S$273,$AK145,$T$4:$T$273,_xlpm.opp),Scorebook!I584)))</f>
      </c>
      <c r="AU145" s="5" cm="1">
        <f t="array" aca="1" ref="AU145" ca="1">IF($AK145="","",_xlfn.LET(_xlpm.auto,AND(MOD(ROW()-4,6)=0,$AM145&lt;&gt;0,SUMPRODUCT(--(OFFSET($AM145,1,0,5,1)&lt;&gt;0))=0),_xlpm.winner,_xlfn.XLOOKUP($AK145,$H$4:$H$18,$L$4:$L$18,""),IF(_xlpm.auto,--($AL145=_xlpm.winner),Scorebook!J584)))</f>
      </c>
      <c r="AV145" s="5" cm="1">
        <f t="array" aca="1" ref="AV145" ca="1">IF($AK145="","",_xlfn.LET(_xlpm.auto,AND(MOD(ROW()-4,6)=0,$AM145&lt;&gt;0,SUMPRODUCT(--(OFFSET($AM145,1,0,5,1)&lt;&gt;0))=0),_xlpm.loser,_xlfn.XLOOKUP($AK145,$H$4:$H$18,$M$4:$M$18,""),IF(_xlpm.auto,--($AL145=_xlpm.loser),Scorebook!K584)))</f>
      </c>
      <c r="AW145" s="5">
        <f ca="1">Scorebook!L584</f>
      </c>
      <c r="AX145" s="5" cm="1">
        <f t="array" aca="1" ref="AX145" ca="1">IF($AK145="","",_xlfn.LET(_xlpm.auto,AND(MOD(ROW()-4,6)=0,$AM145&lt;&gt;0,SUMPRODUCT(--(OFFSET($AM145,1,0,5,1)&lt;&gt;0))=0),_xlpm.oppA,_xlfn.XLOOKUP($AK145,$H$4:$H$18,$J$4:$J$18,""),_xlpm.oppRuns,IF($AL145=_xlpm.oppA,_xlfn.XLOOKUP($AK145,$H$4:$H$18,$O$4:$O$18,""),_xlfn.XLOOKUP($AK145,$H$4:$H$18,$N$4:$N$18,"")),IF(_xlpm.auto,--(_xlpm.oppRuns=0),Scorebook!M584)))</f>
      </c>
      <c r="AY145" s="5" cm="1">
        <f t="array" aca="1" ref="AY145" ca="1">IF($AK145="","",_xlfn.LET(_xlpm.auto,AND(MOD(ROW()-4,6)=0,$AM145&lt;&gt;0,SUMPRODUCT(--(OFFSET($AM145,1,0,5,1)&lt;&gt;0))=0),IF(_xlpm.auto,1,Scorebook!N584)))</f>
      </c>
      <c r="AZ145" s="5">
        <f>Settings!$B$2</f>
        <v>1</v>
      </c>
    </row>
    <row r="146" spans="19:52">
      <c r="S146" s="4" t="str">
        <f ca="1">Scorebook!$F$345</f>
        <v>G8</v>
      </c>
      <c r="T146" s="5" t="str">
        <f ca="1">Scorebook!$R$345</f>
        <v>Jason</v>
      </c>
      <c r="U146" s="5" t="str">
        <f ca="1">Scorebook!$B$380</f>
        <v>Baby Mario</v>
      </c>
      <c r="V146" s="4">
        <v>8</v>
      </c>
      <c r="W146" s="5">
        <f ca="1">Scorebook!M380</f>
        <v>2</v>
      </c>
      <c r="X146" s="5">
        <f ca="1">Scorebook!N380</f>
        <v>0</v>
      </c>
      <c r="Y146" s="5">
        <f ca="1">Scorebook!O380</f>
        <v>0</v>
      </c>
      <c r="Z146" s="5">
        <f ca="1">Scorebook!P380</f>
        <v>0</v>
      </c>
      <c r="AA146" s="5">
        <f ca="1">Scorebook!Q380</f>
        <v>0</v>
      </c>
      <c r="AB146" s="5">
        <f ca="1">Scorebook!R380</f>
        <v>0</v>
      </c>
      <c r="AC146" s="5">
        <f ca="1">Scorebook!S380</f>
        <v>0</v>
      </c>
      <c r="AD146" s="5">
        <f ca="1">Scorebook!T380</f>
        <v>0</v>
      </c>
      <c r="AE146" s="5">
        <f ca="1">Scorebook!U380</f>
        <v>0</v>
      </c>
      <c r="AF146" s="5">
        <f ca="1">Scorebook!V380</f>
        <v>0</v>
      </c>
      <c r="AG146" s="5">
        <f ca="1">Scorebook!W380</f>
        <v>0</v>
      </c>
      <c r="AH146" s="5">
        <f ca="1">Scorebook!X380</f>
        <v>0</v>
      </c>
      <c r="AI146" s="5">
        <f>Settings!$B$2</f>
        <v>1</v>
      </c>
      <c r="AJ146" s="18">
        <f ca="1">IF($AK146="","",Scorebook!$O$585)</f>
      </c>
      <c r="AK146" s="4" t="str">
        <f ca="1">IF(AND(Bracket!$H$18&lt;&gt;"",Bracket!$I$18&lt;&gt;""),"G12","")</f>
      </c>
      <c r="AL146" s="5" t="str">
        <f ca="1">IF(AND(Bracket!$H$18&lt;&gt;"",Bracket!$I$18&lt;&gt;""),Bracket!$I$18,"")</f>
      </c>
      <c r="AM146" s="5" t="str">
        <f>Scorebook!$B$585</f>
      </c>
      <c r="AN146" s="5">
        <f ca="1">IF(Scorebook!C585="","",INT(Scorebook!C585)+MOD(ROUND(Scorebook!C585*10,0),10)/3)</f>
      </c>
      <c r="AO146" s="5" cm="1">
        <f t="array" aca="1" ref="AO146" ca="1">IF($AK146="","",_xlfn.LET(_xlpm.auto,AND(MOD(ROW()-4,6)=0,$AM146&lt;&gt;0,SUMPRODUCT(--(OFFSET($AM146,1,0,5,1)&lt;&gt;0))=0),_xlpm.oppA,_xlfn.XLOOKUP($AK146,$H$4:$H$18,$J$4:$J$18,""),_xlpm.oppB,_xlfn.XLOOKUP($AK146,$H$4:$H$18,$K$4:$K$18,""),_xlpm.opp,IF($AL146=_xlpm.oppA,_xlpm.oppB,_xlpm.oppA),IF(_xlpm.auto,SUMIFS($Y$4:$Y$273,$S$4:$S$273,$AK146,$T$4:$T$273,_xlpm.opp),Scorebook!D585)))</f>
      </c>
      <c r="AP146" s="5" cm="1">
        <f t="array" aca="1" ref="AP146" ca="1">IF($AK146="","",_xlfn.LET(_xlpm.auto,AND(MOD(ROW()-4,6)=0,$AM146&lt;&gt;0,SUMPRODUCT(--(OFFSET($AM146,1,0,5,1)&lt;&gt;0))=0),_xlpm.oppA,_xlfn.XLOOKUP($AK146,$H$4:$H$18,$J$4:$J$18,""),_xlpm.oppRuns,IF($AL146=_xlpm.oppA,_xlfn.XLOOKUP($AK146,$H$4:$H$18,$O$4:$O$18,""),_xlfn.XLOOKUP($AK146,$H$4:$H$18,$N$4:$N$18,"")),IF(_xlpm.auto,_xlpm.oppRuns,Scorebook!E585)))</f>
      </c>
      <c r="AQ146" s="5">
        <f ca="1">Scorebook!F585</f>
      </c>
      <c r="AR146" s="5" cm="1">
        <f t="array" aca="1" ref="AR146" ca="1">IF($AK146="","",_xlfn.LET(_xlpm.auto,AND(MOD(ROW()-4,6)=0,$AM146&lt;&gt;0,SUMPRODUCT(--(OFFSET($AM146,1,0,5,1)&lt;&gt;0))=0),_xlpm.oppA,_xlfn.XLOOKUP($AK146,$H$4:$H$18,$J$4:$J$18,""),_xlpm.oppB,_xlfn.XLOOKUP($AK146,$H$4:$H$18,$K$4:$K$18,""),_xlpm.opp,IF($AL146=_xlpm.oppA,_xlpm.oppB,_xlpm.oppA),IF(_xlpm.auto,SUMIFS($AD$4:$AD$273,$S$4:$S$273,$AK146,$T$4:$T$273,_xlpm.opp),Scorebook!G585)))</f>
      </c>
      <c r="AS146" s="5" cm="1">
        <f t="array" aca="1" ref="AS146" ca="1">IF($AK146="","",_xlfn.LET(_xlpm.auto,AND(MOD(ROW()-4,6)=0,$AM146&lt;&gt;0,SUMPRODUCT(--(OFFSET($AM146,1,0,5,1)&lt;&gt;0))=0),_xlpm.oppA,_xlfn.XLOOKUP($AK146,$H$4:$H$18,$J$4:$J$18,""),_xlpm.oppB,_xlfn.XLOOKUP($AK146,$H$4:$H$18,$K$4:$K$18,""),_xlpm.opp,IF($AL146=_xlpm.oppA,_xlpm.oppB,_xlpm.oppA),IF(_xlpm.auto,SUMIFS($AE$4:$AE$273,$S$4:$S$273,$AK146,$T$4:$T$273,_xlpm.opp),Scorebook!H585)))</f>
      </c>
      <c r="AT146" s="5" cm="1">
        <f t="array" aca="1" ref="AT146" ca="1">IF($AK146="","",_xlfn.LET(_xlpm.auto,AND(MOD(ROW()-4,6)=0,$AM146&lt;&gt;0,SUMPRODUCT(--(OFFSET($AM146,1,0,5,1)&lt;&gt;0))=0),_xlpm.oppA,_xlfn.XLOOKUP($AK146,$H$4:$H$18,$J$4:$J$18,""),_xlpm.oppB,_xlfn.XLOOKUP($AK146,$H$4:$H$18,$K$4:$K$18,""),_xlpm.opp,IF($AL146=_xlpm.oppA,_xlpm.oppB,_xlpm.oppA),IF(_xlpm.auto,SUMIFS($AB$4:$AB$273,$S$4:$S$273,$AK146,$T$4:$T$273,_xlpm.opp),Scorebook!I585)))</f>
      </c>
      <c r="AU146" s="5" cm="1">
        <f t="array" aca="1" ref="AU146" ca="1">IF($AK146="","",_xlfn.LET(_xlpm.auto,AND(MOD(ROW()-4,6)=0,$AM146&lt;&gt;0,SUMPRODUCT(--(OFFSET($AM146,1,0,5,1)&lt;&gt;0))=0),_xlpm.winner,_xlfn.XLOOKUP($AK146,$H$4:$H$18,$L$4:$L$18,""),IF(_xlpm.auto,--($AL146=_xlpm.winner),Scorebook!J585)))</f>
      </c>
      <c r="AV146" s="5" cm="1">
        <f t="array" aca="1" ref="AV146" ca="1">IF($AK146="","",_xlfn.LET(_xlpm.auto,AND(MOD(ROW()-4,6)=0,$AM146&lt;&gt;0,SUMPRODUCT(--(OFFSET($AM146,1,0,5,1)&lt;&gt;0))=0),_xlpm.loser,_xlfn.XLOOKUP($AK146,$H$4:$H$18,$M$4:$M$18,""),IF(_xlpm.auto,--($AL146=_xlpm.loser),Scorebook!K585)))</f>
      </c>
      <c r="AW146" s="5">
        <f ca="1">Scorebook!L585</f>
      </c>
      <c r="AX146" s="5" cm="1">
        <f t="array" aca="1" ref="AX146" ca="1">IF($AK146="","",_xlfn.LET(_xlpm.auto,AND(MOD(ROW()-4,6)=0,$AM146&lt;&gt;0,SUMPRODUCT(--(OFFSET($AM146,1,0,5,1)&lt;&gt;0))=0),_xlpm.oppA,_xlfn.XLOOKUP($AK146,$H$4:$H$18,$J$4:$J$18,""),_xlpm.oppRuns,IF($AL146=_xlpm.oppA,_xlfn.XLOOKUP($AK146,$H$4:$H$18,$O$4:$O$18,""),_xlfn.XLOOKUP($AK146,$H$4:$H$18,$N$4:$N$18,"")),IF(_xlpm.auto,--(_xlpm.oppRuns=0),Scorebook!M585)))</f>
      </c>
      <c r="AY146" s="5" cm="1">
        <f t="array" aca="1" ref="AY146" ca="1">IF($AK146="","",_xlfn.LET(_xlpm.auto,AND(MOD(ROW()-4,6)=0,$AM146&lt;&gt;0,SUMPRODUCT(--(OFFSET($AM146,1,0,5,1)&lt;&gt;0))=0),IF(_xlpm.auto,1,Scorebook!N585)))</f>
      </c>
      <c r="AZ146" s="5">
        <f>Settings!$B$2</f>
        <v>1</v>
      </c>
    </row>
    <row r="147" spans="19:52">
      <c r="S147" s="4" t="str">
        <f ca="1">Scorebook!$F$345</f>
        <v>G8</v>
      </c>
      <c r="T147" s="5" t="str">
        <f ca="1">Scorebook!$R$345</f>
        <v>Jason</v>
      </c>
      <c r="U147" s="5" t="str">
        <f ca="1">Scorebook!$B$381</f>
        <v>Baby Daisy</v>
      </c>
      <c r="V147" s="4">
        <v>9</v>
      </c>
      <c r="W147" s="5">
        <f ca="1">Scorebook!M381</f>
        <v>1</v>
      </c>
      <c r="X147" s="5">
        <f ca="1">Scorebook!N381</f>
        <v>0</v>
      </c>
      <c r="Y147" s="5">
        <f ca="1">Scorebook!O381</f>
        <v>0</v>
      </c>
      <c r="Z147" s="5">
        <f ca="1">Scorebook!P381</f>
        <v>0</v>
      </c>
      <c r="AA147" s="5">
        <f ca="1">Scorebook!Q381</f>
        <v>0</v>
      </c>
      <c r="AB147" s="5">
        <f ca="1">Scorebook!R381</f>
        <v>0</v>
      </c>
      <c r="AC147" s="5">
        <f ca="1">Scorebook!S381</f>
        <v>0</v>
      </c>
      <c r="AD147" s="5">
        <f ca="1">Scorebook!T381</f>
        <v>0</v>
      </c>
      <c r="AE147" s="5">
        <f ca="1">Scorebook!U381</f>
        <v>0</v>
      </c>
      <c r="AF147" s="5">
        <f ca="1">Scorebook!V381</f>
        <v>0</v>
      </c>
      <c r="AG147" s="5">
        <f ca="1">Scorebook!W381</f>
        <v>0</v>
      </c>
      <c r="AH147" s="5">
        <f ca="1">Scorebook!X381</f>
        <v>0</v>
      </c>
      <c r="AI147" s="5">
        <f>Settings!$B$2</f>
        <v>1</v>
      </c>
      <c r="AJ147" s="18">
        <f ca="1">IF($AK147="","",Scorebook!$O$586)</f>
      </c>
      <c r="AK147" s="4" t="str">
        <f ca="1">IF(AND(Bracket!$H$18&lt;&gt;"",Bracket!$I$18&lt;&gt;""),"G12","")</f>
      </c>
      <c r="AL147" s="5" t="str">
        <f ca="1">IF(AND(Bracket!$H$18&lt;&gt;"",Bracket!$I$18&lt;&gt;""),Bracket!$I$18,"")</f>
      </c>
      <c r="AM147" s="5" t="str">
        <f>Scorebook!$B$586</f>
      </c>
      <c r="AN147" s="5">
        <f ca="1">IF(Scorebook!C586="","",INT(Scorebook!C586)+MOD(ROUND(Scorebook!C586*10,0),10)/3)</f>
      </c>
      <c r="AO147" s="5" cm="1">
        <f t="array" aca="1" ref="AO147" ca="1">IF($AK147="","",_xlfn.LET(_xlpm.auto,AND(MOD(ROW()-4,6)=0,$AM147&lt;&gt;0,SUMPRODUCT(--(OFFSET($AM147,1,0,5,1)&lt;&gt;0))=0),_xlpm.oppA,_xlfn.XLOOKUP($AK147,$H$4:$H$18,$J$4:$J$18,""),_xlpm.oppB,_xlfn.XLOOKUP($AK147,$H$4:$H$18,$K$4:$K$18,""),_xlpm.opp,IF($AL147=_xlpm.oppA,_xlpm.oppB,_xlpm.oppA),IF(_xlpm.auto,SUMIFS($Y$4:$Y$273,$S$4:$S$273,$AK147,$T$4:$T$273,_xlpm.opp),Scorebook!D586)))</f>
      </c>
      <c r="AP147" s="5" cm="1">
        <f t="array" aca="1" ref="AP147" ca="1">IF($AK147="","",_xlfn.LET(_xlpm.auto,AND(MOD(ROW()-4,6)=0,$AM147&lt;&gt;0,SUMPRODUCT(--(OFFSET($AM147,1,0,5,1)&lt;&gt;0))=0),_xlpm.oppA,_xlfn.XLOOKUP($AK147,$H$4:$H$18,$J$4:$J$18,""),_xlpm.oppRuns,IF($AL147=_xlpm.oppA,_xlfn.XLOOKUP($AK147,$H$4:$H$18,$O$4:$O$18,""),_xlfn.XLOOKUP($AK147,$H$4:$H$18,$N$4:$N$18,"")),IF(_xlpm.auto,_xlpm.oppRuns,Scorebook!E586)))</f>
      </c>
      <c r="AQ147" s="5">
        <f ca="1">Scorebook!F586</f>
      </c>
      <c r="AR147" s="5" cm="1">
        <f t="array" aca="1" ref="AR147" ca="1">IF($AK147="","",_xlfn.LET(_xlpm.auto,AND(MOD(ROW()-4,6)=0,$AM147&lt;&gt;0,SUMPRODUCT(--(OFFSET($AM147,1,0,5,1)&lt;&gt;0))=0),_xlpm.oppA,_xlfn.XLOOKUP($AK147,$H$4:$H$18,$J$4:$J$18,""),_xlpm.oppB,_xlfn.XLOOKUP($AK147,$H$4:$H$18,$K$4:$K$18,""),_xlpm.opp,IF($AL147=_xlpm.oppA,_xlpm.oppB,_xlpm.oppA),IF(_xlpm.auto,SUMIFS($AD$4:$AD$273,$S$4:$S$273,$AK147,$T$4:$T$273,_xlpm.opp),Scorebook!G586)))</f>
      </c>
      <c r="AS147" s="5" cm="1">
        <f t="array" aca="1" ref="AS147" ca="1">IF($AK147="","",_xlfn.LET(_xlpm.auto,AND(MOD(ROW()-4,6)=0,$AM147&lt;&gt;0,SUMPRODUCT(--(OFFSET($AM147,1,0,5,1)&lt;&gt;0))=0),_xlpm.oppA,_xlfn.XLOOKUP($AK147,$H$4:$H$18,$J$4:$J$18,""),_xlpm.oppB,_xlfn.XLOOKUP($AK147,$H$4:$H$18,$K$4:$K$18,""),_xlpm.opp,IF($AL147=_xlpm.oppA,_xlpm.oppB,_xlpm.oppA),IF(_xlpm.auto,SUMIFS($AE$4:$AE$273,$S$4:$S$273,$AK147,$T$4:$T$273,_xlpm.opp),Scorebook!H586)))</f>
      </c>
      <c r="AT147" s="5" cm="1">
        <f t="array" aca="1" ref="AT147" ca="1">IF($AK147="","",_xlfn.LET(_xlpm.auto,AND(MOD(ROW()-4,6)=0,$AM147&lt;&gt;0,SUMPRODUCT(--(OFFSET($AM147,1,0,5,1)&lt;&gt;0))=0),_xlpm.oppA,_xlfn.XLOOKUP($AK147,$H$4:$H$18,$J$4:$J$18,""),_xlpm.oppB,_xlfn.XLOOKUP($AK147,$H$4:$H$18,$K$4:$K$18,""),_xlpm.opp,IF($AL147=_xlpm.oppA,_xlpm.oppB,_xlpm.oppA),IF(_xlpm.auto,SUMIFS($AB$4:$AB$273,$S$4:$S$273,$AK147,$T$4:$T$273,_xlpm.opp),Scorebook!I586)))</f>
      </c>
      <c r="AU147" s="5" cm="1">
        <f t="array" aca="1" ref="AU147" ca="1">IF($AK147="","",_xlfn.LET(_xlpm.auto,AND(MOD(ROW()-4,6)=0,$AM147&lt;&gt;0,SUMPRODUCT(--(OFFSET($AM147,1,0,5,1)&lt;&gt;0))=0),_xlpm.winner,_xlfn.XLOOKUP($AK147,$H$4:$H$18,$L$4:$L$18,""),IF(_xlpm.auto,--($AL147=_xlpm.winner),Scorebook!J586)))</f>
      </c>
      <c r="AV147" s="5" cm="1">
        <f t="array" aca="1" ref="AV147" ca="1">IF($AK147="","",_xlfn.LET(_xlpm.auto,AND(MOD(ROW()-4,6)=0,$AM147&lt;&gt;0,SUMPRODUCT(--(OFFSET($AM147,1,0,5,1)&lt;&gt;0))=0),_xlpm.loser,_xlfn.XLOOKUP($AK147,$H$4:$H$18,$M$4:$M$18,""),IF(_xlpm.auto,--($AL147=_xlpm.loser),Scorebook!K586)))</f>
      </c>
      <c r="AW147" s="5">
        <f ca="1">Scorebook!L586</f>
      </c>
      <c r="AX147" s="5" cm="1">
        <f t="array" aca="1" ref="AX147" ca="1">IF($AK147="","",_xlfn.LET(_xlpm.auto,AND(MOD(ROW()-4,6)=0,$AM147&lt;&gt;0,SUMPRODUCT(--(OFFSET($AM147,1,0,5,1)&lt;&gt;0))=0),_xlpm.oppA,_xlfn.XLOOKUP($AK147,$H$4:$H$18,$J$4:$J$18,""),_xlpm.oppRuns,IF($AL147=_xlpm.oppA,_xlfn.XLOOKUP($AK147,$H$4:$H$18,$O$4:$O$18,""),_xlfn.XLOOKUP($AK147,$H$4:$H$18,$N$4:$N$18,"")),IF(_xlpm.auto,--(_xlpm.oppRuns=0),Scorebook!M586)))</f>
      </c>
      <c r="AY147" s="5" cm="1">
        <f t="array" aca="1" ref="AY147" ca="1">IF($AK147="","",_xlfn.LET(_xlpm.auto,AND(MOD(ROW()-4,6)=0,$AM147&lt;&gt;0,SUMPRODUCT(--(OFFSET($AM147,1,0,5,1)&lt;&gt;0))=0),IF(_xlpm.auto,1,Scorebook!N586)))</f>
      </c>
      <c r="AZ147" s="5">
        <f>Settings!$B$2</f>
        <v>1</v>
      </c>
    </row>
    <row r="148" spans="19:52">
      <c r="S148" s="4" t="str">
        <f ca="1">Scorebook!$F$394</f>
        <v>G9</v>
      </c>
      <c r="T148" s="5" t="str">
        <f ca="1">Scorebook!$N$394</f>
        <v>Jason</v>
      </c>
      <c r="U148" s="5" t="str">
        <f ca="1">Scorebook!$B$401</f>
        <v>Yoshi</v>
      </c>
      <c r="V148" s="4">
        <v>1</v>
      </c>
      <c r="W148" s="5">
        <f ca="1">Scorebook!M401</f>
        <v>2</v>
      </c>
      <c r="X148" s="5">
        <f ca="1">Scorebook!N401</f>
        <v>1</v>
      </c>
      <c r="Y148" s="5">
        <f ca="1">Scorebook!O401</f>
        <v>2</v>
      </c>
      <c r="Z148" s="5">
        <f ca="1">Scorebook!P401</f>
        <v>0</v>
      </c>
      <c r="AA148" s="5">
        <f ca="1">Scorebook!Q401</f>
        <v>0</v>
      </c>
      <c r="AB148" s="5">
        <f ca="1">Scorebook!R401</f>
        <v>0</v>
      </c>
      <c r="AC148" s="5">
        <f ca="1">Scorebook!S401</f>
        <v>0</v>
      </c>
      <c r="AD148" s="5">
        <f ca="1">Scorebook!T401</f>
        <v>0</v>
      </c>
      <c r="AE148" s="5">
        <f ca="1">Scorebook!U401</f>
        <v>0</v>
      </c>
      <c r="AF148" s="5">
        <f ca="1">Scorebook!V401</f>
        <v>0</v>
      </c>
      <c r="AG148" s="5">
        <f ca="1">Scorebook!W401</f>
        <v>0</v>
      </c>
      <c r="AH148" s="5">
        <f ca="1">Scorebook!X401</f>
        <v>0</v>
      </c>
      <c r="AI148" s="5">
        <f>Settings!$B$2</f>
        <v>1</v>
      </c>
      <c r="AJ148" s="18">
        <f ca="1">IF($AK148="","",Scorebook!$O$609)</f>
      </c>
      <c r="AK148" s="4" t="str">
        <f ca="1">IF(AND(Bracket!$H$19&lt;&gt;"",Bracket!$I$19&lt;&gt;""),"G13","")</f>
      </c>
      <c r="AL148" s="5" t="str">
        <f ca="1">IF(AND(Bracket!$H$19&lt;&gt;"",Bracket!$I$19&lt;&gt;""),Bracket!$H$19,"")</f>
      </c>
      <c r="AM148" s="5" t="str">
        <f>Scorebook!$B$609</f>
      </c>
      <c r="AN148" s="5">
        <f ca="1">IF(Scorebook!C609="","",INT(Scorebook!C609)+MOD(ROUND(Scorebook!C609*10,0),10)/3)</f>
      </c>
      <c r="AO148" s="5" cm="1">
        <f t="array" aca="1" ref="AO148" ca="1">IF($AK148="","",_xlfn.LET(_xlpm.auto,AND(MOD(ROW()-4,6)=0,$AM148&lt;&gt;0,SUMPRODUCT(--(OFFSET($AM148,1,0,5,1)&lt;&gt;0))=0),_xlpm.oppA,_xlfn.XLOOKUP($AK148,$H$4:$H$18,$J$4:$J$18,""),_xlpm.oppB,_xlfn.XLOOKUP($AK148,$H$4:$H$18,$K$4:$K$18,""),_xlpm.opp,IF($AL148=_xlpm.oppA,_xlpm.oppB,_xlpm.oppA),IF(_xlpm.auto,SUMIFS($Y$4:$Y$273,$S$4:$S$273,$AK148,$T$4:$T$273,_xlpm.opp),Scorebook!D609)))</f>
      </c>
      <c r="AP148" s="5" cm="1">
        <f t="array" aca="1" ref="AP148" ca="1">IF($AK148="","",_xlfn.LET(_xlpm.auto,AND(MOD(ROW()-4,6)=0,$AM148&lt;&gt;0,SUMPRODUCT(--(OFFSET($AM148,1,0,5,1)&lt;&gt;0))=0),_xlpm.oppA,_xlfn.XLOOKUP($AK148,$H$4:$H$18,$J$4:$J$18,""),_xlpm.oppRuns,IF($AL148=_xlpm.oppA,_xlfn.XLOOKUP($AK148,$H$4:$H$18,$O$4:$O$18,""),_xlfn.XLOOKUP($AK148,$H$4:$H$18,$N$4:$N$18,"")),IF(_xlpm.auto,_xlpm.oppRuns,Scorebook!E609)))</f>
      </c>
      <c r="AQ148" s="5">
        <f ca="1">Scorebook!F609</f>
      </c>
      <c r="AR148" s="5" cm="1">
        <f t="array" aca="1" ref="AR148" ca="1">IF($AK148="","",_xlfn.LET(_xlpm.auto,AND(MOD(ROW()-4,6)=0,$AM148&lt;&gt;0,SUMPRODUCT(--(OFFSET($AM148,1,0,5,1)&lt;&gt;0))=0),_xlpm.oppA,_xlfn.XLOOKUP($AK148,$H$4:$H$18,$J$4:$J$18,""),_xlpm.oppB,_xlfn.XLOOKUP($AK148,$H$4:$H$18,$K$4:$K$18,""),_xlpm.opp,IF($AL148=_xlpm.oppA,_xlpm.oppB,_xlpm.oppA),IF(_xlpm.auto,SUMIFS($AD$4:$AD$273,$S$4:$S$273,$AK148,$T$4:$T$273,_xlpm.opp),Scorebook!G609)))</f>
      </c>
      <c r="AS148" s="5" cm="1">
        <f t="array" aca="1" ref="AS148" ca="1">IF($AK148="","",_xlfn.LET(_xlpm.auto,AND(MOD(ROW()-4,6)=0,$AM148&lt;&gt;0,SUMPRODUCT(--(OFFSET($AM148,1,0,5,1)&lt;&gt;0))=0),_xlpm.oppA,_xlfn.XLOOKUP($AK148,$H$4:$H$18,$J$4:$J$18,""),_xlpm.oppB,_xlfn.XLOOKUP($AK148,$H$4:$H$18,$K$4:$K$18,""),_xlpm.opp,IF($AL148=_xlpm.oppA,_xlpm.oppB,_xlpm.oppA),IF(_xlpm.auto,SUMIFS($AE$4:$AE$273,$S$4:$S$273,$AK148,$T$4:$T$273,_xlpm.opp),Scorebook!H609)))</f>
      </c>
      <c r="AT148" s="5" cm="1">
        <f t="array" aca="1" ref="AT148" ca="1">IF($AK148="","",_xlfn.LET(_xlpm.auto,AND(MOD(ROW()-4,6)=0,$AM148&lt;&gt;0,SUMPRODUCT(--(OFFSET($AM148,1,0,5,1)&lt;&gt;0))=0),_xlpm.oppA,_xlfn.XLOOKUP($AK148,$H$4:$H$18,$J$4:$J$18,""),_xlpm.oppB,_xlfn.XLOOKUP($AK148,$H$4:$H$18,$K$4:$K$18,""),_xlpm.opp,IF($AL148=_xlpm.oppA,_xlpm.oppB,_xlpm.oppA),IF(_xlpm.auto,SUMIFS($AB$4:$AB$273,$S$4:$S$273,$AK148,$T$4:$T$273,_xlpm.opp),Scorebook!I609)))</f>
      </c>
      <c r="AU148" s="5" cm="1">
        <f t="array" aca="1" ref="AU148" ca="1">IF($AK148="","",_xlfn.LET(_xlpm.auto,AND(MOD(ROW()-4,6)=0,$AM148&lt;&gt;0,SUMPRODUCT(--(OFFSET($AM148,1,0,5,1)&lt;&gt;0))=0),_xlpm.winner,_xlfn.XLOOKUP($AK148,$H$4:$H$18,$L$4:$L$18,""),IF(_xlpm.auto,--($AL148=_xlpm.winner),Scorebook!J609)))</f>
      </c>
      <c r="AV148" s="5" cm="1">
        <f t="array" aca="1" ref="AV148" ca="1">IF($AK148="","",_xlfn.LET(_xlpm.auto,AND(MOD(ROW()-4,6)=0,$AM148&lt;&gt;0,SUMPRODUCT(--(OFFSET($AM148,1,0,5,1)&lt;&gt;0))=0),_xlpm.loser,_xlfn.XLOOKUP($AK148,$H$4:$H$18,$M$4:$M$18,""),IF(_xlpm.auto,--($AL148=_xlpm.loser),Scorebook!K609)))</f>
      </c>
      <c r="AW148" s="5">
        <f ca="1">Scorebook!L609</f>
      </c>
      <c r="AX148" s="5" cm="1">
        <f t="array" aca="1" ref="AX148" ca="1">IF($AK148="","",_xlfn.LET(_xlpm.auto,AND(MOD(ROW()-4,6)=0,$AM148&lt;&gt;0,SUMPRODUCT(--(OFFSET($AM148,1,0,5,1)&lt;&gt;0))=0),_xlpm.oppA,_xlfn.XLOOKUP($AK148,$H$4:$H$18,$J$4:$J$18,""),_xlpm.oppRuns,IF($AL148=_xlpm.oppA,_xlfn.XLOOKUP($AK148,$H$4:$H$18,$O$4:$O$18,""),_xlfn.XLOOKUP($AK148,$H$4:$H$18,$N$4:$N$18,"")),IF(_xlpm.auto,--(_xlpm.oppRuns=0),Scorebook!M609)))</f>
      </c>
      <c r="AY148" s="5" cm="1">
        <f t="array" aca="1" ref="AY148" ca="1">IF($AK148="","",_xlfn.LET(_xlpm.auto,AND(MOD(ROW()-4,6)=0,$AM148&lt;&gt;0,SUMPRODUCT(--(OFFSET($AM148,1,0,5,1)&lt;&gt;0))=0),IF(_xlpm.auto,1,Scorebook!N609)))</f>
      </c>
      <c r="AZ148" s="5">
        <f>Settings!$B$2</f>
        <v>1</v>
      </c>
    </row>
    <row r="149" spans="19:52">
      <c r="S149" s="4" t="str">
        <f ca="1">Scorebook!$F$394</f>
        <v>G9</v>
      </c>
      <c r="T149" s="5" t="str">
        <f ca="1">Scorebook!$N$394</f>
        <v>Jason</v>
      </c>
      <c r="U149" s="5" t="str">
        <f ca="1">Scorebook!$B$402</f>
        <v>Brown Kritter</v>
      </c>
      <c r="V149" s="4">
        <v>2</v>
      </c>
      <c r="W149" s="5">
        <f ca="1">Scorebook!M402</f>
        <v>2</v>
      </c>
      <c r="X149" s="5">
        <f ca="1">Scorebook!N402</f>
        <v>0</v>
      </c>
      <c r="Y149" s="5">
        <f ca="1">Scorebook!O402</f>
        <v>1</v>
      </c>
      <c r="Z149" s="5">
        <f ca="1">Scorebook!P402</f>
        <v>0</v>
      </c>
      <c r="AA149" s="5">
        <f ca="1">Scorebook!Q402</f>
        <v>0</v>
      </c>
      <c r="AB149" s="5">
        <f ca="1">Scorebook!R402</f>
        <v>0</v>
      </c>
      <c r="AC149" s="5">
        <f ca="1">Scorebook!S402</f>
        <v>1</v>
      </c>
      <c r="AD149" s="5">
        <f ca="1">Scorebook!T402</f>
        <v>0</v>
      </c>
      <c r="AE149" s="5">
        <f ca="1">Scorebook!U402</f>
        <v>0</v>
      </c>
      <c r="AF149" s="5">
        <f ca="1">Scorebook!V402</f>
        <v>0</v>
      </c>
      <c r="AG149" s="5">
        <f ca="1">Scorebook!W402</f>
        <v>0</v>
      </c>
      <c r="AH149" s="5">
        <f ca="1">Scorebook!X402</f>
        <v>0</v>
      </c>
      <c r="AI149" s="5">
        <f>Settings!$B$2</f>
        <v>1</v>
      </c>
      <c r="AJ149" s="18">
        <f ca="1">IF($AK149="","",Scorebook!$O$610)</f>
      </c>
      <c r="AK149" s="4" t="str">
        <f ca="1">IF(AND(Bracket!$H$19&lt;&gt;"",Bracket!$I$19&lt;&gt;""),"G13","")</f>
      </c>
      <c r="AL149" s="5" t="str">
        <f ca="1">IF(AND(Bracket!$H$19&lt;&gt;"",Bracket!$I$19&lt;&gt;""),Bracket!$H$19,"")</f>
      </c>
      <c r="AM149" s="5" t="str">
        <f>Scorebook!$B$610</f>
      </c>
      <c r="AN149" s="5">
        <f ca="1">IF(Scorebook!C610="","",INT(Scorebook!C610)+MOD(ROUND(Scorebook!C610*10,0),10)/3)</f>
      </c>
      <c r="AO149" s="5" cm="1">
        <f t="array" aca="1" ref="AO149" ca="1">IF($AK149="","",_xlfn.LET(_xlpm.auto,AND(MOD(ROW()-4,6)=0,$AM149&lt;&gt;0,SUMPRODUCT(--(OFFSET($AM149,1,0,5,1)&lt;&gt;0))=0),_xlpm.oppA,_xlfn.XLOOKUP($AK149,$H$4:$H$18,$J$4:$J$18,""),_xlpm.oppB,_xlfn.XLOOKUP($AK149,$H$4:$H$18,$K$4:$K$18,""),_xlpm.opp,IF($AL149=_xlpm.oppA,_xlpm.oppB,_xlpm.oppA),IF(_xlpm.auto,SUMIFS($Y$4:$Y$273,$S$4:$S$273,$AK149,$T$4:$T$273,_xlpm.opp),Scorebook!D610)))</f>
      </c>
      <c r="AP149" s="5" cm="1">
        <f t="array" aca="1" ref="AP149" ca="1">IF($AK149="","",_xlfn.LET(_xlpm.auto,AND(MOD(ROW()-4,6)=0,$AM149&lt;&gt;0,SUMPRODUCT(--(OFFSET($AM149,1,0,5,1)&lt;&gt;0))=0),_xlpm.oppA,_xlfn.XLOOKUP($AK149,$H$4:$H$18,$J$4:$J$18,""),_xlpm.oppRuns,IF($AL149=_xlpm.oppA,_xlfn.XLOOKUP($AK149,$H$4:$H$18,$O$4:$O$18,""),_xlfn.XLOOKUP($AK149,$H$4:$H$18,$N$4:$N$18,"")),IF(_xlpm.auto,_xlpm.oppRuns,Scorebook!E610)))</f>
      </c>
      <c r="AQ149" s="5">
        <f ca="1">Scorebook!F610</f>
      </c>
      <c r="AR149" s="5" cm="1">
        <f t="array" aca="1" ref="AR149" ca="1">IF($AK149="","",_xlfn.LET(_xlpm.auto,AND(MOD(ROW()-4,6)=0,$AM149&lt;&gt;0,SUMPRODUCT(--(OFFSET($AM149,1,0,5,1)&lt;&gt;0))=0),_xlpm.oppA,_xlfn.XLOOKUP($AK149,$H$4:$H$18,$J$4:$J$18,""),_xlpm.oppB,_xlfn.XLOOKUP($AK149,$H$4:$H$18,$K$4:$K$18,""),_xlpm.opp,IF($AL149=_xlpm.oppA,_xlpm.oppB,_xlpm.oppA),IF(_xlpm.auto,SUMIFS($AD$4:$AD$273,$S$4:$S$273,$AK149,$T$4:$T$273,_xlpm.opp),Scorebook!G610)))</f>
      </c>
      <c r="AS149" s="5" cm="1">
        <f t="array" aca="1" ref="AS149" ca="1">IF($AK149="","",_xlfn.LET(_xlpm.auto,AND(MOD(ROW()-4,6)=0,$AM149&lt;&gt;0,SUMPRODUCT(--(OFFSET($AM149,1,0,5,1)&lt;&gt;0))=0),_xlpm.oppA,_xlfn.XLOOKUP($AK149,$H$4:$H$18,$J$4:$J$18,""),_xlpm.oppB,_xlfn.XLOOKUP($AK149,$H$4:$H$18,$K$4:$K$18,""),_xlpm.opp,IF($AL149=_xlpm.oppA,_xlpm.oppB,_xlpm.oppA),IF(_xlpm.auto,SUMIFS($AE$4:$AE$273,$S$4:$S$273,$AK149,$T$4:$T$273,_xlpm.opp),Scorebook!H610)))</f>
      </c>
      <c r="AT149" s="5" cm="1">
        <f t="array" aca="1" ref="AT149" ca="1">IF($AK149="","",_xlfn.LET(_xlpm.auto,AND(MOD(ROW()-4,6)=0,$AM149&lt;&gt;0,SUMPRODUCT(--(OFFSET($AM149,1,0,5,1)&lt;&gt;0))=0),_xlpm.oppA,_xlfn.XLOOKUP($AK149,$H$4:$H$18,$J$4:$J$18,""),_xlpm.oppB,_xlfn.XLOOKUP($AK149,$H$4:$H$18,$K$4:$K$18,""),_xlpm.opp,IF($AL149=_xlpm.oppA,_xlpm.oppB,_xlpm.oppA),IF(_xlpm.auto,SUMIFS($AB$4:$AB$273,$S$4:$S$273,$AK149,$T$4:$T$273,_xlpm.opp),Scorebook!I610)))</f>
      </c>
      <c r="AU149" s="5" cm="1">
        <f t="array" aca="1" ref="AU149" ca="1">IF($AK149="","",_xlfn.LET(_xlpm.auto,AND(MOD(ROW()-4,6)=0,$AM149&lt;&gt;0,SUMPRODUCT(--(OFFSET($AM149,1,0,5,1)&lt;&gt;0))=0),_xlpm.winner,_xlfn.XLOOKUP($AK149,$H$4:$H$18,$L$4:$L$18,""),IF(_xlpm.auto,--($AL149=_xlpm.winner),Scorebook!J610)))</f>
      </c>
      <c r="AV149" s="5" cm="1">
        <f t="array" aca="1" ref="AV149" ca="1">IF($AK149="","",_xlfn.LET(_xlpm.auto,AND(MOD(ROW()-4,6)=0,$AM149&lt;&gt;0,SUMPRODUCT(--(OFFSET($AM149,1,0,5,1)&lt;&gt;0))=0),_xlpm.loser,_xlfn.XLOOKUP($AK149,$H$4:$H$18,$M$4:$M$18,""),IF(_xlpm.auto,--($AL149=_xlpm.loser),Scorebook!K610)))</f>
      </c>
      <c r="AW149" s="5">
        <f ca="1">Scorebook!L610</f>
      </c>
      <c r="AX149" s="5" cm="1">
        <f t="array" aca="1" ref="AX149" ca="1">IF($AK149="","",_xlfn.LET(_xlpm.auto,AND(MOD(ROW()-4,6)=0,$AM149&lt;&gt;0,SUMPRODUCT(--(OFFSET($AM149,1,0,5,1)&lt;&gt;0))=0),_xlpm.oppA,_xlfn.XLOOKUP($AK149,$H$4:$H$18,$J$4:$J$18,""),_xlpm.oppRuns,IF($AL149=_xlpm.oppA,_xlfn.XLOOKUP($AK149,$H$4:$H$18,$O$4:$O$18,""),_xlfn.XLOOKUP($AK149,$H$4:$H$18,$N$4:$N$18,"")),IF(_xlpm.auto,--(_xlpm.oppRuns=0),Scorebook!M610)))</f>
      </c>
      <c r="AY149" s="5" cm="1">
        <f t="array" aca="1" ref="AY149" ca="1">IF($AK149="","",_xlfn.LET(_xlpm.auto,AND(MOD(ROW()-4,6)=0,$AM149&lt;&gt;0,SUMPRODUCT(--(OFFSET($AM149,1,0,5,1)&lt;&gt;0))=0),IF(_xlpm.auto,1,Scorebook!N610)))</f>
      </c>
      <c r="AZ149" s="5">
        <f>Settings!$B$2</f>
        <v>1</v>
      </c>
    </row>
    <row r="150" spans="19:52">
      <c r="S150" s="4" t="str">
        <f ca="1">Scorebook!$F$394</f>
        <v>G9</v>
      </c>
      <c r="T150" s="5" t="str">
        <f ca="1">Scorebook!$N$394</f>
        <v>Jason</v>
      </c>
      <c r="U150" s="5" t="str">
        <f ca="1">Scorebook!$B$403</f>
        <v>Bowser</v>
      </c>
      <c r="V150" s="4">
        <v>3</v>
      </c>
      <c r="W150" s="5">
        <f ca="1">Scorebook!M403</f>
        <v>1</v>
      </c>
      <c r="X150" s="5">
        <f ca="1">Scorebook!N403</f>
        <v>0</v>
      </c>
      <c r="Y150" s="5">
        <f ca="1">Scorebook!O403</f>
        <v>0</v>
      </c>
      <c r="Z150" s="5">
        <f ca="1">Scorebook!P403</f>
        <v>0</v>
      </c>
      <c r="AA150" s="5">
        <f ca="1">Scorebook!Q403</f>
        <v>0</v>
      </c>
      <c r="AB150" s="5">
        <f ca="1">Scorebook!R403</f>
        <v>0</v>
      </c>
      <c r="AC150" s="5">
        <f ca="1">Scorebook!S403</f>
        <v>0</v>
      </c>
      <c r="AD150" s="5">
        <f ca="1">Scorebook!T403</f>
        <v>0</v>
      </c>
      <c r="AE150" s="5">
        <f ca="1">Scorebook!U403</f>
        <v>0</v>
      </c>
      <c r="AF150" s="5">
        <f ca="1">Scorebook!V403</f>
        <v>0</v>
      </c>
      <c r="AG150" s="5">
        <f ca="1">Scorebook!W403</f>
        <v>0</v>
      </c>
      <c r="AH150" s="5">
        <f ca="1">Scorebook!X403</f>
        <v>0</v>
      </c>
      <c r="AI150" s="5">
        <f>Settings!$B$2</f>
        <v>1</v>
      </c>
      <c r="AJ150" s="18">
        <f ca="1">IF($AK150="","",Scorebook!$O$611)</f>
      </c>
      <c r="AK150" s="4" t="str">
        <f ca="1">IF(AND(Bracket!$H$19&lt;&gt;"",Bracket!$I$19&lt;&gt;""),"G13","")</f>
      </c>
      <c r="AL150" s="5" t="str">
        <f ca="1">IF(AND(Bracket!$H$19&lt;&gt;"",Bracket!$I$19&lt;&gt;""),Bracket!$H$19,"")</f>
      </c>
      <c r="AM150" s="5" t="str">
        <f>Scorebook!$B$611</f>
      </c>
      <c r="AN150" s="5">
        <f ca="1">IF(Scorebook!C611="","",INT(Scorebook!C611)+MOD(ROUND(Scorebook!C611*10,0),10)/3)</f>
      </c>
      <c r="AO150" s="5" cm="1">
        <f t="array" aca="1" ref="AO150" ca="1">IF($AK150="","",_xlfn.LET(_xlpm.auto,AND(MOD(ROW()-4,6)=0,$AM150&lt;&gt;0,SUMPRODUCT(--(OFFSET($AM150,1,0,5,1)&lt;&gt;0))=0),_xlpm.oppA,_xlfn.XLOOKUP($AK150,$H$4:$H$18,$J$4:$J$18,""),_xlpm.oppB,_xlfn.XLOOKUP($AK150,$H$4:$H$18,$K$4:$K$18,""),_xlpm.opp,IF($AL150=_xlpm.oppA,_xlpm.oppB,_xlpm.oppA),IF(_xlpm.auto,SUMIFS($Y$4:$Y$273,$S$4:$S$273,$AK150,$T$4:$T$273,_xlpm.opp),Scorebook!D611)))</f>
      </c>
      <c r="AP150" s="5" cm="1">
        <f t="array" aca="1" ref="AP150" ca="1">IF($AK150="","",_xlfn.LET(_xlpm.auto,AND(MOD(ROW()-4,6)=0,$AM150&lt;&gt;0,SUMPRODUCT(--(OFFSET($AM150,1,0,5,1)&lt;&gt;0))=0),_xlpm.oppA,_xlfn.XLOOKUP($AK150,$H$4:$H$18,$J$4:$J$18,""),_xlpm.oppRuns,IF($AL150=_xlpm.oppA,_xlfn.XLOOKUP($AK150,$H$4:$H$18,$O$4:$O$18,""),_xlfn.XLOOKUP($AK150,$H$4:$H$18,$N$4:$N$18,"")),IF(_xlpm.auto,_xlpm.oppRuns,Scorebook!E611)))</f>
      </c>
      <c r="AQ150" s="5">
        <f ca="1">Scorebook!F611</f>
      </c>
      <c r="AR150" s="5" cm="1">
        <f t="array" aca="1" ref="AR150" ca="1">IF($AK150="","",_xlfn.LET(_xlpm.auto,AND(MOD(ROW()-4,6)=0,$AM150&lt;&gt;0,SUMPRODUCT(--(OFFSET($AM150,1,0,5,1)&lt;&gt;0))=0),_xlpm.oppA,_xlfn.XLOOKUP($AK150,$H$4:$H$18,$J$4:$J$18,""),_xlpm.oppB,_xlfn.XLOOKUP($AK150,$H$4:$H$18,$K$4:$K$18,""),_xlpm.opp,IF($AL150=_xlpm.oppA,_xlpm.oppB,_xlpm.oppA),IF(_xlpm.auto,SUMIFS($AD$4:$AD$273,$S$4:$S$273,$AK150,$T$4:$T$273,_xlpm.opp),Scorebook!G611)))</f>
      </c>
      <c r="AS150" s="5" cm="1">
        <f t="array" aca="1" ref="AS150" ca="1">IF($AK150="","",_xlfn.LET(_xlpm.auto,AND(MOD(ROW()-4,6)=0,$AM150&lt;&gt;0,SUMPRODUCT(--(OFFSET($AM150,1,0,5,1)&lt;&gt;0))=0),_xlpm.oppA,_xlfn.XLOOKUP($AK150,$H$4:$H$18,$J$4:$J$18,""),_xlpm.oppB,_xlfn.XLOOKUP($AK150,$H$4:$H$18,$K$4:$K$18,""),_xlpm.opp,IF($AL150=_xlpm.oppA,_xlpm.oppB,_xlpm.oppA),IF(_xlpm.auto,SUMIFS($AE$4:$AE$273,$S$4:$S$273,$AK150,$T$4:$T$273,_xlpm.opp),Scorebook!H611)))</f>
      </c>
      <c r="AT150" s="5" cm="1">
        <f t="array" aca="1" ref="AT150" ca="1">IF($AK150="","",_xlfn.LET(_xlpm.auto,AND(MOD(ROW()-4,6)=0,$AM150&lt;&gt;0,SUMPRODUCT(--(OFFSET($AM150,1,0,5,1)&lt;&gt;0))=0),_xlpm.oppA,_xlfn.XLOOKUP($AK150,$H$4:$H$18,$J$4:$J$18,""),_xlpm.oppB,_xlfn.XLOOKUP($AK150,$H$4:$H$18,$K$4:$K$18,""),_xlpm.opp,IF($AL150=_xlpm.oppA,_xlpm.oppB,_xlpm.oppA),IF(_xlpm.auto,SUMIFS($AB$4:$AB$273,$S$4:$S$273,$AK150,$T$4:$T$273,_xlpm.opp),Scorebook!I611)))</f>
      </c>
      <c r="AU150" s="5" cm="1">
        <f t="array" aca="1" ref="AU150" ca="1">IF($AK150="","",_xlfn.LET(_xlpm.auto,AND(MOD(ROW()-4,6)=0,$AM150&lt;&gt;0,SUMPRODUCT(--(OFFSET($AM150,1,0,5,1)&lt;&gt;0))=0),_xlpm.winner,_xlfn.XLOOKUP($AK150,$H$4:$H$18,$L$4:$L$18,""),IF(_xlpm.auto,--($AL150=_xlpm.winner),Scorebook!J611)))</f>
      </c>
      <c r="AV150" s="5" cm="1">
        <f t="array" aca="1" ref="AV150" ca="1">IF($AK150="","",_xlfn.LET(_xlpm.auto,AND(MOD(ROW()-4,6)=0,$AM150&lt;&gt;0,SUMPRODUCT(--(OFFSET($AM150,1,0,5,1)&lt;&gt;0))=0),_xlpm.loser,_xlfn.XLOOKUP($AK150,$H$4:$H$18,$M$4:$M$18,""),IF(_xlpm.auto,--($AL150=_xlpm.loser),Scorebook!K611)))</f>
      </c>
      <c r="AW150" s="5">
        <f ca="1">Scorebook!L611</f>
      </c>
      <c r="AX150" s="5" cm="1">
        <f t="array" aca="1" ref="AX150" ca="1">IF($AK150="","",_xlfn.LET(_xlpm.auto,AND(MOD(ROW()-4,6)=0,$AM150&lt;&gt;0,SUMPRODUCT(--(OFFSET($AM150,1,0,5,1)&lt;&gt;0))=0),_xlpm.oppA,_xlfn.XLOOKUP($AK150,$H$4:$H$18,$J$4:$J$18,""),_xlpm.oppRuns,IF($AL150=_xlpm.oppA,_xlfn.XLOOKUP($AK150,$H$4:$H$18,$O$4:$O$18,""),_xlfn.XLOOKUP($AK150,$H$4:$H$18,$N$4:$N$18,"")),IF(_xlpm.auto,--(_xlpm.oppRuns=0),Scorebook!M611)))</f>
      </c>
      <c r="AY150" s="5" cm="1">
        <f t="array" aca="1" ref="AY150" ca="1">IF($AK150="","",_xlfn.LET(_xlpm.auto,AND(MOD(ROW()-4,6)=0,$AM150&lt;&gt;0,SUMPRODUCT(--(OFFSET($AM150,1,0,5,1)&lt;&gt;0))=0),IF(_xlpm.auto,1,Scorebook!N611)))</f>
      </c>
      <c r="AZ150" s="5">
        <f>Settings!$B$2</f>
        <v>1</v>
      </c>
    </row>
    <row r="151" spans="19:52">
      <c r="S151" s="4" t="str">
        <f ca="1">Scorebook!$F$394</f>
        <v>G9</v>
      </c>
      <c r="T151" s="5" t="str">
        <f ca="1">Scorebook!$N$394</f>
        <v>Jason</v>
      </c>
      <c r="U151" s="5" t="str">
        <f ca="1">Scorebook!$B$404</f>
        <v>King K. Rool</v>
      </c>
      <c r="V151" s="4">
        <v>4</v>
      </c>
      <c r="W151" s="5">
        <f ca="1">Scorebook!M404</f>
        <v>1</v>
      </c>
      <c r="X151" s="5">
        <f ca="1">Scorebook!N404</f>
        <v>0</v>
      </c>
      <c r="Y151" s="5">
        <f ca="1">Scorebook!O404</f>
        <v>0</v>
      </c>
      <c r="Z151" s="5">
        <f ca="1">Scorebook!P404</f>
        <v>0</v>
      </c>
      <c r="AA151" s="5">
        <f ca="1">Scorebook!Q404</f>
        <v>0</v>
      </c>
      <c r="AB151" s="5">
        <f ca="1">Scorebook!R404</f>
        <v>0</v>
      </c>
      <c r="AC151" s="5">
        <f ca="1">Scorebook!S404</f>
        <v>0</v>
      </c>
      <c r="AD151" s="5">
        <f ca="1">Scorebook!T404</f>
        <v>0</v>
      </c>
      <c r="AE151" s="5">
        <f ca="1">Scorebook!U404</f>
        <v>0</v>
      </c>
      <c r="AF151" s="5">
        <f ca="1">Scorebook!V404</f>
        <v>0</v>
      </c>
      <c r="AG151" s="5">
        <f ca="1">Scorebook!W404</f>
        <v>0</v>
      </c>
      <c r="AH151" s="5">
        <f ca="1">Scorebook!X404</f>
        <v>0</v>
      </c>
      <c r="AI151" s="5">
        <f>Settings!$B$2</f>
        <v>1</v>
      </c>
      <c r="AJ151" s="18">
        <f ca="1">IF($AK151="","",Scorebook!$O$612)</f>
      </c>
      <c r="AK151" s="4" t="str">
        <f ca="1">IF(AND(Bracket!$H$19&lt;&gt;"",Bracket!$I$19&lt;&gt;""),"G13","")</f>
      </c>
      <c r="AL151" s="5" t="str">
        <f ca="1">IF(AND(Bracket!$H$19&lt;&gt;"",Bracket!$I$19&lt;&gt;""),Bracket!$H$19,"")</f>
      </c>
      <c r="AM151" s="5" t="str">
        <f>Scorebook!$B$612</f>
      </c>
      <c r="AN151" s="5">
        <f ca="1">IF(Scorebook!C612="","",INT(Scorebook!C612)+MOD(ROUND(Scorebook!C612*10,0),10)/3)</f>
      </c>
      <c r="AO151" s="5" cm="1">
        <f t="array" aca="1" ref="AO151" ca="1">IF($AK151="","",_xlfn.LET(_xlpm.auto,AND(MOD(ROW()-4,6)=0,$AM151&lt;&gt;0,SUMPRODUCT(--(OFFSET($AM151,1,0,5,1)&lt;&gt;0))=0),_xlpm.oppA,_xlfn.XLOOKUP($AK151,$H$4:$H$18,$J$4:$J$18,""),_xlpm.oppB,_xlfn.XLOOKUP($AK151,$H$4:$H$18,$K$4:$K$18,""),_xlpm.opp,IF($AL151=_xlpm.oppA,_xlpm.oppB,_xlpm.oppA),IF(_xlpm.auto,SUMIFS($Y$4:$Y$273,$S$4:$S$273,$AK151,$T$4:$T$273,_xlpm.opp),Scorebook!D612)))</f>
      </c>
      <c r="AP151" s="5" cm="1">
        <f t="array" aca="1" ref="AP151" ca="1">IF($AK151="","",_xlfn.LET(_xlpm.auto,AND(MOD(ROW()-4,6)=0,$AM151&lt;&gt;0,SUMPRODUCT(--(OFFSET($AM151,1,0,5,1)&lt;&gt;0))=0),_xlpm.oppA,_xlfn.XLOOKUP($AK151,$H$4:$H$18,$J$4:$J$18,""),_xlpm.oppRuns,IF($AL151=_xlpm.oppA,_xlfn.XLOOKUP($AK151,$H$4:$H$18,$O$4:$O$18,""),_xlfn.XLOOKUP($AK151,$H$4:$H$18,$N$4:$N$18,"")),IF(_xlpm.auto,_xlpm.oppRuns,Scorebook!E612)))</f>
      </c>
      <c r="AQ151" s="5">
        <f ca="1">Scorebook!F612</f>
      </c>
      <c r="AR151" s="5" cm="1">
        <f t="array" aca="1" ref="AR151" ca="1">IF($AK151="","",_xlfn.LET(_xlpm.auto,AND(MOD(ROW()-4,6)=0,$AM151&lt;&gt;0,SUMPRODUCT(--(OFFSET($AM151,1,0,5,1)&lt;&gt;0))=0),_xlpm.oppA,_xlfn.XLOOKUP($AK151,$H$4:$H$18,$J$4:$J$18,""),_xlpm.oppB,_xlfn.XLOOKUP($AK151,$H$4:$H$18,$K$4:$K$18,""),_xlpm.opp,IF($AL151=_xlpm.oppA,_xlpm.oppB,_xlpm.oppA),IF(_xlpm.auto,SUMIFS($AD$4:$AD$273,$S$4:$S$273,$AK151,$T$4:$T$273,_xlpm.opp),Scorebook!G612)))</f>
      </c>
      <c r="AS151" s="5" cm="1">
        <f t="array" aca="1" ref="AS151" ca="1">IF($AK151="","",_xlfn.LET(_xlpm.auto,AND(MOD(ROW()-4,6)=0,$AM151&lt;&gt;0,SUMPRODUCT(--(OFFSET($AM151,1,0,5,1)&lt;&gt;0))=0),_xlpm.oppA,_xlfn.XLOOKUP($AK151,$H$4:$H$18,$J$4:$J$18,""),_xlpm.oppB,_xlfn.XLOOKUP($AK151,$H$4:$H$18,$K$4:$K$18,""),_xlpm.opp,IF($AL151=_xlpm.oppA,_xlpm.oppB,_xlpm.oppA),IF(_xlpm.auto,SUMIFS($AE$4:$AE$273,$S$4:$S$273,$AK151,$T$4:$T$273,_xlpm.opp),Scorebook!H612)))</f>
      </c>
      <c r="AT151" s="5" cm="1">
        <f t="array" aca="1" ref="AT151" ca="1">IF($AK151="","",_xlfn.LET(_xlpm.auto,AND(MOD(ROW()-4,6)=0,$AM151&lt;&gt;0,SUMPRODUCT(--(OFFSET($AM151,1,0,5,1)&lt;&gt;0))=0),_xlpm.oppA,_xlfn.XLOOKUP($AK151,$H$4:$H$18,$J$4:$J$18,""),_xlpm.oppB,_xlfn.XLOOKUP($AK151,$H$4:$H$18,$K$4:$K$18,""),_xlpm.opp,IF($AL151=_xlpm.oppA,_xlpm.oppB,_xlpm.oppA),IF(_xlpm.auto,SUMIFS($AB$4:$AB$273,$S$4:$S$273,$AK151,$T$4:$T$273,_xlpm.opp),Scorebook!I612)))</f>
      </c>
      <c r="AU151" s="5" cm="1">
        <f t="array" aca="1" ref="AU151" ca="1">IF($AK151="","",_xlfn.LET(_xlpm.auto,AND(MOD(ROW()-4,6)=0,$AM151&lt;&gt;0,SUMPRODUCT(--(OFFSET($AM151,1,0,5,1)&lt;&gt;0))=0),_xlpm.winner,_xlfn.XLOOKUP($AK151,$H$4:$H$18,$L$4:$L$18,""),IF(_xlpm.auto,--($AL151=_xlpm.winner),Scorebook!J612)))</f>
      </c>
      <c r="AV151" s="5" cm="1">
        <f t="array" aca="1" ref="AV151" ca="1">IF($AK151="","",_xlfn.LET(_xlpm.auto,AND(MOD(ROW()-4,6)=0,$AM151&lt;&gt;0,SUMPRODUCT(--(OFFSET($AM151,1,0,5,1)&lt;&gt;0))=0),_xlpm.loser,_xlfn.XLOOKUP($AK151,$H$4:$H$18,$M$4:$M$18,""),IF(_xlpm.auto,--($AL151=_xlpm.loser),Scorebook!K612)))</f>
      </c>
      <c r="AW151" s="5">
        <f ca="1">Scorebook!L612</f>
      </c>
      <c r="AX151" s="5" cm="1">
        <f t="array" aca="1" ref="AX151" ca="1">IF($AK151="","",_xlfn.LET(_xlpm.auto,AND(MOD(ROW()-4,6)=0,$AM151&lt;&gt;0,SUMPRODUCT(--(OFFSET($AM151,1,0,5,1)&lt;&gt;0))=0),_xlpm.oppA,_xlfn.XLOOKUP($AK151,$H$4:$H$18,$J$4:$J$18,""),_xlpm.oppRuns,IF($AL151=_xlpm.oppA,_xlfn.XLOOKUP($AK151,$H$4:$H$18,$O$4:$O$18,""),_xlfn.XLOOKUP($AK151,$H$4:$H$18,$N$4:$N$18,"")),IF(_xlpm.auto,--(_xlpm.oppRuns=0),Scorebook!M612)))</f>
      </c>
      <c r="AY151" s="5" cm="1">
        <f t="array" aca="1" ref="AY151" ca="1">IF($AK151="","",_xlfn.LET(_xlpm.auto,AND(MOD(ROW()-4,6)=0,$AM151&lt;&gt;0,SUMPRODUCT(--(OFFSET($AM151,1,0,5,1)&lt;&gt;0))=0),IF(_xlpm.auto,1,Scorebook!N612)))</f>
      </c>
      <c r="AZ151" s="5">
        <f>Settings!$B$2</f>
        <v>1</v>
      </c>
    </row>
    <row r="152" spans="19:52">
      <c r="S152" s="4" t="str">
        <f ca="1">Scorebook!$F$394</f>
        <v>G9</v>
      </c>
      <c r="T152" s="5" t="str">
        <f ca="1">Scorebook!$N$394</f>
        <v>Jason</v>
      </c>
      <c r="U152" s="5" t="str">
        <f ca="1">Scorebook!$B$405</f>
        <v>Blooper</v>
      </c>
      <c r="V152" s="4">
        <v>5</v>
      </c>
      <c r="W152" s="5">
        <f ca="1">Scorebook!M405</f>
        <v>1</v>
      </c>
      <c r="X152" s="5">
        <f ca="1">Scorebook!N405</f>
        <v>0</v>
      </c>
      <c r="Y152" s="5">
        <f ca="1">Scorebook!O405</f>
        <v>1</v>
      </c>
      <c r="Z152" s="5">
        <f ca="1">Scorebook!P405</f>
        <v>0</v>
      </c>
      <c r="AA152" s="5">
        <f ca="1">Scorebook!Q405</f>
        <v>0</v>
      </c>
      <c r="AB152" s="5">
        <f ca="1">Scorebook!R405</f>
        <v>0</v>
      </c>
      <c r="AC152" s="5">
        <f ca="1">Scorebook!S405</f>
        <v>0</v>
      </c>
      <c r="AD152" s="5">
        <f ca="1">Scorebook!T405</f>
        <v>0</v>
      </c>
      <c r="AE152" s="5">
        <f ca="1">Scorebook!U405</f>
        <v>0</v>
      </c>
      <c r="AF152" s="5">
        <f ca="1">Scorebook!V405</f>
        <v>0</v>
      </c>
      <c r="AG152" s="5">
        <f ca="1">Scorebook!W405</f>
        <v>0</v>
      </c>
      <c r="AH152" s="5">
        <f ca="1">Scorebook!X405</f>
        <v>0</v>
      </c>
      <c r="AI152" s="5">
        <f>Settings!$B$2</f>
        <v>1</v>
      </c>
      <c r="AJ152" s="18">
        <f ca="1">IF($AK152="","",Scorebook!$O$613)</f>
      </c>
      <c r="AK152" s="4" t="str">
        <f ca="1">IF(AND(Bracket!$H$19&lt;&gt;"",Bracket!$I$19&lt;&gt;""),"G13","")</f>
      </c>
      <c r="AL152" s="5" t="str">
        <f ca="1">IF(AND(Bracket!$H$19&lt;&gt;"",Bracket!$I$19&lt;&gt;""),Bracket!$H$19,"")</f>
      </c>
      <c r="AM152" s="5" t="str">
        <f>Scorebook!$B$613</f>
      </c>
      <c r="AN152" s="5">
        <f ca="1">IF(Scorebook!C613="","",INT(Scorebook!C613)+MOD(ROUND(Scorebook!C613*10,0),10)/3)</f>
      </c>
      <c r="AO152" s="5" cm="1">
        <f t="array" aca="1" ref="AO152" ca="1">IF($AK152="","",_xlfn.LET(_xlpm.auto,AND(MOD(ROW()-4,6)=0,$AM152&lt;&gt;0,SUMPRODUCT(--(OFFSET($AM152,1,0,5,1)&lt;&gt;0))=0),_xlpm.oppA,_xlfn.XLOOKUP($AK152,$H$4:$H$18,$J$4:$J$18,""),_xlpm.oppB,_xlfn.XLOOKUP($AK152,$H$4:$H$18,$K$4:$K$18,""),_xlpm.opp,IF($AL152=_xlpm.oppA,_xlpm.oppB,_xlpm.oppA),IF(_xlpm.auto,SUMIFS($Y$4:$Y$273,$S$4:$S$273,$AK152,$T$4:$T$273,_xlpm.opp),Scorebook!D613)))</f>
      </c>
      <c r="AP152" s="5" cm="1">
        <f t="array" aca="1" ref="AP152" ca="1">IF($AK152="","",_xlfn.LET(_xlpm.auto,AND(MOD(ROW()-4,6)=0,$AM152&lt;&gt;0,SUMPRODUCT(--(OFFSET($AM152,1,0,5,1)&lt;&gt;0))=0),_xlpm.oppA,_xlfn.XLOOKUP($AK152,$H$4:$H$18,$J$4:$J$18,""),_xlpm.oppRuns,IF($AL152=_xlpm.oppA,_xlfn.XLOOKUP($AK152,$H$4:$H$18,$O$4:$O$18,""),_xlfn.XLOOKUP($AK152,$H$4:$H$18,$N$4:$N$18,"")),IF(_xlpm.auto,_xlpm.oppRuns,Scorebook!E613)))</f>
      </c>
      <c r="AQ152" s="5">
        <f ca="1">Scorebook!F613</f>
      </c>
      <c r="AR152" s="5" cm="1">
        <f t="array" aca="1" ref="AR152" ca="1">IF($AK152="","",_xlfn.LET(_xlpm.auto,AND(MOD(ROW()-4,6)=0,$AM152&lt;&gt;0,SUMPRODUCT(--(OFFSET($AM152,1,0,5,1)&lt;&gt;0))=0),_xlpm.oppA,_xlfn.XLOOKUP($AK152,$H$4:$H$18,$J$4:$J$18,""),_xlpm.oppB,_xlfn.XLOOKUP($AK152,$H$4:$H$18,$K$4:$K$18,""),_xlpm.opp,IF($AL152=_xlpm.oppA,_xlpm.oppB,_xlpm.oppA),IF(_xlpm.auto,SUMIFS($AD$4:$AD$273,$S$4:$S$273,$AK152,$T$4:$T$273,_xlpm.opp),Scorebook!G613)))</f>
      </c>
      <c r="AS152" s="5" cm="1">
        <f t="array" aca="1" ref="AS152" ca="1">IF($AK152="","",_xlfn.LET(_xlpm.auto,AND(MOD(ROW()-4,6)=0,$AM152&lt;&gt;0,SUMPRODUCT(--(OFFSET($AM152,1,0,5,1)&lt;&gt;0))=0),_xlpm.oppA,_xlfn.XLOOKUP($AK152,$H$4:$H$18,$J$4:$J$18,""),_xlpm.oppB,_xlfn.XLOOKUP($AK152,$H$4:$H$18,$K$4:$K$18,""),_xlpm.opp,IF($AL152=_xlpm.oppA,_xlpm.oppB,_xlpm.oppA),IF(_xlpm.auto,SUMIFS($AE$4:$AE$273,$S$4:$S$273,$AK152,$T$4:$T$273,_xlpm.opp),Scorebook!H613)))</f>
      </c>
      <c r="AT152" s="5" cm="1">
        <f t="array" aca="1" ref="AT152" ca="1">IF($AK152="","",_xlfn.LET(_xlpm.auto,AND(MOD(ROW()-4,6)=0,$AM152&lt;&gt;0,SUMPRODUCT(--(OFFSET($AM152,1,0,5,1)&lt;&gt;0))=0),_xlpm.oppA,_xlfn.XLOOKUP($AK152,$H$4:$H$18,$J$4:$J$18,""),_xlpm.oppB,_xlfn.XLOOKUP($AK152,$H$4:$H$18,$K$4:$K$18,""),_xlpm.opp,IF($AL152=_xlpm.oppA,_xlpm.oppB,_xlpm.oppA),IF(_xlpm.auto,SUMIFS($AB$4:$AB$273,$S$4:$S$273,$AK152,$T$4:$T$273,_xlpm.opp),Scorebook!I613)))</f>
      </c>
      <c r="AU152" s="5" cm="1">
        <f t="array" aca="1" ref="AU152" ca="1">IF($AK152="","",_xlfn.LET(_xlpm.auto,AND(MOD(ROW()-4,6)=0,$AM152&lt;&gt;0,SUMPRODUCT(--(OFFSET($AM152,1,0,5,1)&lt;&gt;0))=0),_xlpm.winner,_xlfn.XLOOKUP($AK152,$H$4:$H$18,$L$4:$L$18,""),IF(_xlpm.auto,--($AL152=_xlpm.winner),Scorebook!J613)))</f>
      </c>
      <c r="AV152" s="5" cm="1">
        <f t="array" aca="1" ref="AV152" ca="1">IF($AK152="","",_xlfn.LET(_xlpm.auto,AND(MOD(ROW()-4,6)=0,$AM152&lt;&gt;0,SUMPRODUCT(--(OFFSET($AM152,1,0,5,1)&lt;&gt;0))=0),_xlpm.loser,_xlfn.XLOOKUP($AK152,$H$4:$H$18,$M$4:$M$18,""),IF(_xlpm.auto,--($AL152=_xlpm.loser),Scorebook!K613)))</f>
      </c>
      <c r="AW152" s="5">
        <f ca="1">Scorebook!L613</f>
      </c>
      <c r="AX152" s="5" cm="1">
        <f t="array" aca="1" ref="AX152" ca="1">IF($AK152="","",_xlfn.LET(_xlpm.auto,AND(MOD(ROW()-4,6)=0,$AM152&lt;&gt;0,SUMPRODUCT(--(OFFSET($AM152,1,0,5,1)&lt;&gt;0))=0),_xlpm.oppA,_xlfn.XLOOKUP($AK152,$H$4:$H$18,$J$4:$J$18,""),_xlpm.oppRuns,IF($AL152=_xlpm.oppA,_xlfn.XLOOKUP($AK152,$H$4:$H$18,$O$4:$O$18,""),_xlfn.XLOOKUP($AK152,$H$4:$H$18,$N$4:$N$18,"")),IF(_xlpm.auto,--(_xlpm.oppRuns=0),Scorebook!M613)))</f>
      </c>
      <c r="AY152" s="5" cm="1">
        <f t="array" aca="1" ref="AY152" ca="1">IF($AK152="","",_xlfn.LET(_xlpm.auto,AND(MOD(ROW()-4,6)=0,$AM152&lt;&gt;0,SUMPRODUCT(--(OFFSET($AM152,1,0,5,1)&lt;&gt;0))=0),IF(_xlpm.auto,1,Scorebook!N613)))</f>
      </c>
      <c r="AZ152" s="5">
        <f>Settings!$B$2</f>
        <v>1</v>
      </c>
    </row>
    <row r="153" spans="19:52">
      <c r="S153" s="4" t="str">
        <f ca="1">Scorebook!$F$394</f>
        <v>G9</v>
      </c>
      <c r="T153" s="5" t="str">
        <f ca="1">Scorebook!$N$394</f>
        <v>Jason</v>
      </c>
      <c r="U153" s="5" t="str">
        <f ca="1">Scorebook!$B$406</f>
        <v>Yellow Toad</v>
      </c>
      <c r="V153" s="4">
        <v>6</v>
      </c>
      <c r="W153" s="5">
        <f ca="1">Scorebook!M406</f>
        <v>1</v>
      </c>
      <c r="X153" s="5">
        <f ca="1">Scorebook!N406</f>
        <v>0</v>
      </c>
      <c r="Y153" s="5">
        <f ca="1">Scorebook!O406</f>
        <v>1</v>
      </c>
      <c r="Z153" s="5">
        <f ca="1">Scorebook!P406</f>
        <v>0</v>
      </c>
      <c r="AA153" s="5">
        <f ca="1">Scorebook!Q406</f>
        <v>0</v>
      </c>
      <c r="AB153" s="5">
        <f ca="1">Scorebook!R406</f>
        <v>0</v>
      </c>
      <c r="AC153" s="5">
        <f ca="1">Scorebook!S406</f>
        <v>0</v>
      </c>
      <c r="AD153" s="5">
        <f ca="1">Scorebook!T406</f>
        <v>0</v>
      </c>
      <c r="AE153" s="5">
        <f ca="1">Scorebook!U406</f>
        <v>0</v>
      </c>
      <c r="AF153" s="5">
        <f ca="1">Scorebook!V406</f>
        <v>0</v>
      </c>
      <c r="AG153" s="5">
        <f ca="1">Scorebook!W406</f>
        <v>0</v>
      </c>
      <c r="AH153" s="5">
        <f ca="1">Scorebook!X406</f>
        <v>0</v>
      </c>
      <c r="AI153" s="5">
        <f>Settings!$B$2</f>
        <v>1</v>
      </c>
      <c r="AJ153" s="18">
        <f ca="1">IF($AK153="","",Scorebook!$O$614)</f>
      </c>
      <c r="AK153" s="4" t="str">
        <f ca="1">IF(AND(Bracket!$H$19&lt;&gt;"",Bracket!$I$19&lt;&gt;""),"G13","")</f>
      </c>
      <c r="AL153" s="5" t="str">
        <f ca="1">IF(AND(Bracket!$H$19&lt;&gt;"",Bracket!$I$19&lt;&gt;""),Bracket!$H$19,"")</f>
      </c>
      <c r="AM153" s="5" t="str">
        <f>Scorebook!$B$614</f>
      </c>
      <c r="AN153" s="5">
        <f ca="1">IF(Scorebook!C614="","",INT(Scorebook!C614)+MOD(ROUND(Scorebook!C614*10,0),10)/3)</f>
      </c>
      <c r="AO153" s="5" cm="1">
        <f t="array" aca="1" ref="AO153" ca="1">IF($AK153="","",_xlfn.LET(_xlpm.auto,AND(MOD(ROW()-4,6)=0,$AM153&lt;&gt;0,SUMPRODUCT(--(OFFSET($AM153,1,0,5,1)&lt;&gt;0))=0),_xlpm.oppA,_xlfn.XLOOKUP($AK153,$H$4:$H$18,$J$4:$J$18,""),_xlpm.oppB,_xlfn.XLOOKUP($AK153,$H$4:$H$18,$K$4:$K$18,""),_xlpm.opp,IF($AL153=_xlpm.oppA,_xlpm.oppB,_xlpm.oppA),IF(_xlpm.auto,SUMIFS($Y$4:$Y$273,$S$4:$S$273,$AK153,$T$4:$T$273,_xlpm.opp),Scorebook!D614)))</f>
      </c>
      <c r="AP153" s="5" cm="1">
        <f t="array" aca="1" ref="AP153" ca="1">IF($AK153="","",_xlfn.LET(_xlpm.auto,AND(MOD(ROW()-4,6)=0,$AM153&lt;&gt;0,SUMPRODUCT(--(OFFSET($AM153,1,0,5,1)&lt;&gt;0))=0),_xlpm.oppA,_xlfn.XLOOKUP($AK153,$H$4:$H$18,$J$4:$J$18,""),_xlpm.oppRuns,IF($AL153=_xlpm.oppA,_xlfn.XLOOKUP($AK153,$H$4:$H$18,$O$4:$O$18,""),_xlfn.XLOOKUP($AK153,$H$4:$H$18,$N$4:$N$18,"")),IF(_xlpm.auto,_xlpm.oppRuns,Scorebook!E614)))</f>
      </c>
      <c r="AQ153" s="5">
        <f ca="1">Scorebook!F614</f>
      </c>
      <c r="AR153" s="5" cm="1">
        <f t="array" aca="1" ref="AR153" ca="1">IF($AK153="","",_xlfn.LET(_xlpm.auto,AND(MOD(ROW()-4,6)=0,$AM153&lt;&gt;0,SUMPRODUCT(--(OFFSET($AM153,1,0,5,1)&lt;&gt;0))=0),_xlpm.oppA,_xlfn.XLOOKUP($AK153,$H$4:$H$18,$J$4:$J$18,""),_xlpm.oppB,_xlfn.XLOOKUP($AK153,$H$4:$H$18,$K$4:$K$18,""),_xlpm.opp,IF($AL153=_xlpm.oppA,_xlpm.oppB,_xlpm.oppA),IF(_xlpm.auto,SUMIFS($AD$4:$AD$273,$S$4:$S$273,$AK153,$T$4:$T$273,_xlpm.opp),Scorebook!G614)))</f>
      </c>
      <c r="AS153" s="5" cm="1">
        <f t="array" aca="1" ref="AS153" ca="1">IF($AK153="","",_xlfn.LET(_xlpm.auto,AND(MOD(ROW()-4,6)=0,$AM153&lt;&gt;0,SUMPRODUCT(--(OFFSET($AM153,1,0,5,1)&lt;&gt;0))=0),_xlpm.oppA,_xlfn.XLOOKUP($AK153,$H$4:$H$18,$J$4:$J$18,""),_xlpm.oppB,_xlfn.XLOOKUP($AK153,$H$4:$H$18,$K$4:$K$18,""),_xlpm.opp,IF($AL153=_xlpm.oppA,_xlpm.oppB,_xlpm.oppA),IF(_xlpm.auto,SUMIFS($AE$4:$AE$273,$S$4:$S$273,$AK153,$T$4:$T$273,_xlpm.opp),Scorebook!H614)))</f>
      </c>
      <c r="AT153" s="5" cm="1">
        <f t="array" aca="1" ref="AT153" ca="1">IF($AK153="","",_xlfn.LET(_xlpm.auto,AND(MOD(ROW()-4,6)=0,$AM153&lt;&gt;0,SUMPRODUCT(--(OFFSET($AM153,1,0,5,1)&lt;&gt;0))=0),_xlpm.oppA,_xlfn.XLOOKUP($AK153,$H$4:$H$18,$J$4:$J$18,""),_xlpm.oppB,_xlfn.XLOOKUP($AK153,$H$4:$H$18,$K$4:$K$18,""),_xlpm.opp,IF($AL153=_xlpm.oppA,_xlpm.oppB,_xlpm.oppA),IF(_xlpm.auto,SUMIFS($AB$4:$AB$273,$S$4:$S$273,$AK153,$T$4:$T$273,_xlpm.opp),Scorebook!I614)))</f>
      </c>
      <c r="AU153" s="5" cm="1">
        <f t="array" aca="1" ref="AU153" ca="1">IF($AK153="","",_xlfn.LET(_xlpm.auto,AND(MOD(ROW()-4,6)=0,$AM153&lt;&gt;0,SUMPRODUCT(--(OFFSET($AM153,1,0,5,1)&lt;&gt;0))=0),_xlpm.winner,_xlfn.XLOOKUP($AK153,$H$4:$H$18,$L$4:$L$18,""),IF(_xlpm.auto,--($AL153=_xlpm.winner),Scorebook!J614)))</f>
      </c>
      <c r="AV153" s="5" cm="1">
        <f t="array" aca="1" ref="AV153" ca="1">IF($AK153="","",_xlfn.LET(_xlpm.auto,AND(MOD(ROW()-4,6)=0,$AM153&lt;&gt;0,SUMPRODUCT(--(OFFSET($AM153,1,0,5,1)&lt;&gt;0))=0),_xlpm.loser,_xlfn.XLOOKUP($AK153,$H$4:$H$18,$M$4:$M$18,""),IF(_xlpm.auto,--($AL153=_xlpm.loser),Scorebook!K614)))</f>
      </c>
      <c r="AW153" s="5">
        <f ca="1">Scorebook!L614</f>
      </c>
      <c r="AX153" s="5" cm="1">
        <f t="array" aca="1" ref="AX153" ca="1">IF($AK153="","",_xlfn.LET(_xlpm.auto,AND(MOD(ROW()-4,6)=0,$AM153&lt;&gt;0,SUMPRODUCT(--(OFFSET($AM153,1,0,5,1)&lt;&gt;0))=0),_xlpm.oppA,_xlfn.XLOOKUP($AK153,$H$4:$H$18,$J$4:$J$18,""),_xlpm.oppRuns,IF($AL153=_xlpm.oppA,_xlfn.XLOOKUP($AK153,$H$4:$H$18,$O$4:$O$18,""),_xlfn.XLOOKUP($AK153,$H$4:$H$18,$N$4:$N$18,"")),IF(_xlpm.auto,--(_xlpm.oppRuns=0),Scorebook!M614)))</f>
      </c>
      <c r="AY153" s="5" cm="1">
        <f t="array" aca="1" ref="AY153" ca="1">IF($AK153="","",_xlfn.LET(_xlpm.auto,AND(MOD(ROW()-4,6)=0,$AM153&lt;&gt;0,SUMPRODUCT(--(OFFSET($AM153,1,0,5,1)&lt;&gt;0))=0),IF(_xlpm.auto,1,Scorebook!N614)))</f>
      </c>
      <c r="AZ153" s="5">
        <f>Settings!$B$2</f>
        <v>1</v>
      </c>
    </row>
    <row r="154" spans="19:52">
      <c r="S154" s="4" t="str">
        <f ca="1">Scorebook!$F$394</f>
        <v>G9</v>
      </c>
      <c r="T154" s="5" t="str">
        <f ca="1">Scorebook!$N$394</f>
        <v>Jason</v>
      </c>
      <c r="U154" s="5" t="str">
        <f ca="1">Scorebook!$B$407</f>
        <v>Peach</v>
      </c>
      <c r="V154" s="4">
        <v>7</v>
      </c>
      <c r="W154" s="5">
        <f ca="1">Scorebook!M407</f>
        <v>1</v>
      </c>
      <c r="X154" s="5">
        <f ca="1">Scorebook!N407</f>
        <v>0</v>
      </c>
      <c r="Y154" s="5">
        <f ca="1">Scorebook!O407</f>
        <v>0</v>
      </c>
      <c r="Z154" s="5">
        <f ca="1">Scorebook!P407</f>
        <v>0</v>
      </c>
      <c r="AA154" s="5">
        <f ca="1">Scorebook!Q407</f>
        <v>0</v>
      </c>
      <c r="AB154" s="5">
        <f ca="1">Scorebook!R407</f>
        <v>0</v>
      </c>
      <c r="AC154" s="5">
        <f ca="1">Scorebook!S407</f>
        <v>0</v>
      </c>
      <c r="AD154" s="5">
        <f ca="1">Scorebook!T407</f>
        <v>0</v>
      </c>
      <c r="AE154" s="5">
        <f ca="1">Scorebook!U407</f>
        <v>1</v>
      </c>
      <c r="AF154" s="5">
        <f ca="1">Scorebook!V407</f>
        <v>0</v>
      </c>
      <c r="AG154" s="5">
        <f ca="1">Scorebook!W407</f>
        <v>0</v>
      </c>
      <c r="AH154" s="5">
        <f ca="1">Scorebook!X407</f>
        <v>0</v>
      </c>
      <c r="AI154" s="5">
        <f>Settings!$B$2</f>
        <v>1</v>
      </c>
      <c r="AJ154" s="18">
        <f ca="1">IF($AK154="","",Scorebook!$O$630)</f>
      </c>
      <c r="AK154" s="4" t="str">
        <f ca="1">IF(AND(Bracket!$H$19&lt;&gt;"",Bracket!$I$19&lt;&gt;""),"G13","")</f>
      </c>
      <c r="AL154" s="5" t="str">
        <f ca="1">IF(AND(Bracket!$H$19&lt;&gt;"",Bracket!$I$19&lt;&gt;""),Bracket!$I$19,"")</f>
      </c>
      <c r="AM154" s="5" t="str">
        <f>Scorebook!$B$630</f>
      </c>
      <c r="AN154" s="5">
        <f ca="1">IF(Scorebook!C630="","",INT(Scorebook!C630)+MOD(ROUND(Scorebook!C630*10,0),10)/3)</f>
      </c>
      <c r="AO154" s="5" cm="1">
        <f t="array" aca="1" ref="AO154" ca="1">IF($AK154="","",_xlfn.LET(_xlpm.auto,AND(MOD(ROW()-4,6)=0,$AM154&lt;&gt;0,SUMPRODUCT(--(OFFSET($AM154,1,0,5,1)&lt;&gt;0))=0),_xlpm.oppA,_xlfn.XLOOKUP($AK154,$H$4:$H$18,$J$4:$J$18,""),_xlpm.oppB,_xlfn.XLOOKUP($AK154,$H$4:$H$18,$K$4:$K$18,""),_xlpm.opp,IF($AL154=_xlpm.oppA,_xlpm.oppB,_xlpm.oppA),IF(_xlpm.auto,SUMIFS($Y$4:$Y$273,$S$4:$S$273,$AK154,$T$4:$T$273,_xlpm.opp),Scorebook!D630)))</f>
      </c>
      <c r="AP154" s="5" cm="1">
        <f t="array" aca="1" ref="AP154" ca="1">IF($AK154="","",_xlfn.LET(_xlpm.auto,AND(MOD(ROW()-4,6)=0,$AM154&lt;&gt;0,SUMPRODUCT(--(OFFSET($AM154,1,0,5,1)&lt;&gt;0))=0),_xlpm.oppA,_xlfn.XLOOKUP($AK154,$H$4:$H$18,$J$4:$J$18,""),_xlpm.oppRuns,IF($AL154=_xlpm.oppA,_xlfn.XLOOKUP($AK154,$H$4:$H$18,$O$4:$O$18,""),_xlfn.XLOOKUP($AK154,$H$4:$H$18,$N$4:$N$18,"")),IF(_xlpm.auto,_xlpm.oppRuns,Scorebook!E630)))</f>
      </c>
      <c r="AQ154" s="5">
        <f ca="1">Scorebook!F630</f>
      </c>
      <c r="AR154" s="5" cm="1">
        <f t="array" aca="1" ref="AR154" ca="1">IF($AK154="","",_xlfn.LET(_xlpm.auto,AND(MOD(ROW()-4,6)=0,$AM154&lt;&gt;0,SUMPRODUCT(--(OFFSET($AM154,1,0,5,1)&lt;&gt;0))=0),_xlpm.oppA,_xlfn.XLOOKUP($AK154,$H$4:$H$18,$J$4:$J$18,""),_xlpm.oppB,_xlfn.XLOOKUP($AK154,$H$4:$H$18,$K$4:$K$18,""),_xlpm.opp,IF($AL154=_xlpm.oppA,_xlpm.oppB,_xlpm.oppA),IF(_xlpm.auto,SUMIFS($AD$4:$AD$273,$S$4:$S$273,$AK154,$T$4:$T$273,_xlpm.opp),Scorebook!G630)))</f>
      </c>
      <c r="AS154" s="5" cm="1">
        <f t="array" aca="1" ref="AS154" ca="1">IF($AK154="","",_xlfn.LET(_xlpm.auto,AND(MOD(ROW()-4,6)=0,$AM154&lt;&gt;0,SUMPRODUCT(--(OFFSET($AM154,1,0,5,1)&lt;&gt;0))=0),_xlpm.oppA,_xlfn.XLOOKUP($AK154,$H$4:$H$18,$J$4:$J$18,""),_xlpm.oppB,_xlfn.XLOOKUP($AK154,$H$4:$H$18,$K$4:$K$18,""),_xlpm.opp,IF($AL154=_xlpm.oppA,_xlpm.oppB,_xlpm.oppA),IF(_xlpm.auto,SUMIFS($AE$4:$AE$273,$S$4:$S$273,$AK154,$T$4:$T$273,_xlpm.opp),Scorebook!H630)))</f>
      </c>
      <c r="AT154" s="5" cm="1">
        <f t="array" aca="1" ref="AT154" ca="1">IF($AK154="","",_xlfn.LET(_xlpm.auto,AND(MOD(ROW()-4,6)=0,$AM154&lt;&gt;0,SUMPRODUCT(--(OFFSET($AM154,1,0,5,1)&lt;&gt;0))=0),_xlpm.oppA,_xlfn.XLOOKUP($AK154,$H$4:$H$18,$J$4:$J$18,""),_xlpm.oppB,_xlfn.XLOOKUP($AK154,$H$4:$H$18,$K$4:$K$18,""),_xlpm.opp,IF($AL154=_xlpm.oppA,_xlpm.oppB,_xlpm.oppA),IF(_xlpm.auto,SUMIFS($AB$4:$AB$273,$S$4:$S$273,$AK154,$T$4:$T$273,_xlpm.opp),Scorebook!I630)))</f>
      </c>
      <c r="AU154" s="5" cm="1">
        <f t="array" aca="1" ref="AU154" ca="1">IF($AK154="","",_xlfn.LET(_xlpm.auto,AND(MOD(ROW()-4,6)=0,$AM154&lt;&gt;0,SUMPRODUCT(--(OFFSET($AM154,1,0,5,1)&lt;&gt;0))=0),_xlpm.winner,_xlfn.XLOOKUP($AK154,$H$4:$H$18,$L$4:$L$18,""),IF(_xlpm.auto,--($AL154=_xlpm.winner),Scorebook!J630)))</f>
      </c>
      <c r="AV154" s="5" cm="1">
        <f t="array" aca="1" ref="AV154" ca="1">IF($AK154="","",_xlfn.LET(_xlpm.auto,AND(MOD(ROW()-4,6)=0,$AM154&lt;&gt;0,SUMPRODUCT(--(OFFSET($AM154,1,0,5,1)&lt;&gt;0))=0),_xlpm.loser,_xlfn.XLOOKUP($AK154,$H$4:$H$18,$M$4:$M$18,""),IF(_xlpm.auto,--($AL154=_xlpm.loser),Scorebook!K630)))</f>
      </c>
      <c r="AW154" s="5">
        <f ca="1">Scorebook!L630</f>
      </c>
      <c r="AX154" s="5" cm="1">
        <f t="array" aca="1" ref="AX154" ca="1">IF($AK154="","",_xlfn.LET(_xlpm.auto,AND(MOD(ROW()-4,6)=0,$AM154&lt;&gt;0,SUMPRODUCT(--(OFFSET($AM154,1,0,5,1)&lt;&gt;0))=0),_xlpm.oppA,_xlfn.XLOOKUP($AK154,$H$4:$H$18,$J$4:$J$18,""),_xlpm.oppRuns,IF($AL154=_xlpm.oppA,_xlfn.XLOOKUP($AK154,$H$4:$H$18,$O$4:$O$18,""),_xlfn.XLOOKUP($AK154,$H$4:$H$18,$N$4:$N$18,"")),IF(_xlpm.auto,--(_xlpm.oppRuns=0),Scorebook!M630)))</f>
      </c>
      <c r="AY154" s="5" cm="1">
        <f t="array" aca="1" ref="AY154" ca="1">IF($AK154="","",_xlfn.LET(_xlpm.auto,AND(MOD(ROW()-4,6)=0,$AM154&lt;&gt;0,SUMPRODUCT(--(OFFSET($AM154,1,0,5,1)&lt;&gt;0))=0),IF(_xlpm.auto,1,Scorebook!N630)))</f>
      </c>
      <c r="AZ154" s="5">
        <f>Settings!$B$2</f>
        <v>1</v>
      </c>
    </row>
    <row r="155" spans="19:52">
      <c r="S155" s="4" t="str">
        <f ca="1">Scorebook!$F$394</f>
        <v>G9</v>
      </c>
      <c r="T155" s="5" t="str">
        <f ca="1">Scorebook!$N$394</f>
        <v>Jason</v>
      </c>
      <c r="U155" s="5" t="str">
        <f ca="1">Scorebook!$B$408</f>
        <v>Baby Mario</v>
      </c>
      <c r="V155" s="4">
        <v>8</v>
      </c>
      <c r="W155" s="5">
        <f ca="1">Scorebook!M408</f>
        <v>1</v>
      </c>
      <c r="X155" s="5">
        <f ca="1">Scorebook!N408</f>
        <v>0</v>
      </c>
      <c r="Y155" s="5">
        <f ca="1">Scorebook!O408</f>
        <v>0</v>
      </c>
      <c r="Z155" s="5">
        <f ca="1">Scorebook!P408</f>
        <v>0</v>
      </c>
      <c r="AA155" s="5">
        <f ca="1">Scorebook!Q408</f>
        <v>0</v>
      </c>
      <c r="AB155" s="5">
        <f ca="1">Scorebook!R408</f>
        <v>0</v>
      </c>
      <c r="AC155" s="5">
        <f ca="1">Scorebook!S408</f>
        <v>0</v>
      </c>
      <c r="AD155" s="5">
        <f ca="1">Scorebook!T408</f>
        <v>0</v>
      </c>
      <c r="AE155" s="5">
        <f ca="1">Scorebook!U408</f>
        <v>0</v>
      </c>
      <c r="AF155" s="5">
        <f ca="1">Scorebook!V408</f>
        <v>0</v>
      </c>
      <c r="AG155" s="5">
        <f ca="1">Scorebook!W408</f>
        <v>0</v>
      </c>
      <c r="AH155" s="5">
        <f ca="1">Scorebook!X408</f>
        <v>0</v>
      </c>
      <c r="AI155" s="5">
        <f>Settings!$B$2</f>
        <v>1</v>
      </c>
      <c r="AJ155" s="18">
        <f ca="1">IF($AK155="","",Scorebook!$O$631)</f>
      </c>
      <c r="AK155" s="4" t="str">
        <f ca="1">IF(AND(Bracket!$H$19&lt;&gt;"",Bracket!$I$19&lt;&gt;""),"G13","")</f>
      </c>
      <c r="AL155" s="5" t="str">
        <f ca="1">IF(AND(Bracket!$H$19&lt;&gt;"",Bracket!$I$19&lt;&gt;""),Bracket!$I$19,"")</f>
      </c>
      <c r="AM155" s="5" t="str">
        <f>Scorebook!$B$631</f>
      </c>
      <c r="AN155" s="5">
        <f ca="1">IF(Scorebook!C631="","",INT(Scorebook!C631)+MOD(ROUND(Scorebook!C631*10,0),10)/3)</f>
      </c>
      <c r="AO155" s="5" cm="1">
        <f t="array" aca="1" ref="AO155" ca="1">IF($AK155="","",_xlfn.LET(_xlpm.auto,AND(MOD(ROW()-4,6)=0,$AM155&lt;&gt;0,SUMPRODUCT(--(OFFSET($AM155,1,0,5,1)&lt;&gt;0))=0),_xlpm.oppA,_xlfn.XLOOKUP($AK155,$H$4:$H$18,$J$4:$J$18,""),_xlpm.oppB,_xlfn.XLOOKUP($AK155,$H$4:$H$18,$K$4:$K$18,""),_xlpm.opp,IF($AL155=_xlpm.oppA,_xlpm.oppB,_xlpm.oppA),IF(_xlpm.auto,SUMIFS($Y$4:$Y$273,$S$4:$S$273,$AK155,$T$4:$T$273,_xlpm.opp),Scorebook!D631)))</f>
      </c>
      <c r="AP155" s="5" cm="1">
        <f t="array" aca="1" ref="AP155" ca="1">IF($AK155="","",_xlfn.LET(_xlpm.auto,AND(MOD(ROW()-4,6)=0,$AM155&lt;&gt;0,SUMPRODUCT(--(OFFSET($AM155,1,0,5,1)&lt;&gt;0))=0),_xlpm.oppA,_xlfn.XLOOKUP($AK155,$H$4:$H$18,$J$4:$J$18,""),_xlpm.oppRuns,IF($AL155=_xlpm.oppA,_xlfn.XLOOKUP($AK155,$H$4:$H$18,$O$4:$O$18,""),_xlfn.XLOOKUP($AK155,$H$4:$H$18,$N$4:$N$18,"")),IF(_xlpm.auto,_xlpm.oppRuns,Scorebook!E631)))</f>
      </c>
      <c r="AQ155" s="5">
        <f ca="1">Scorebook!F631</f>
      </c>
      <c r="AR155" s="5" cm="1">
        <f t="array" aca="1" ref="AR155" ca="1">IF($AK155="","",_xlfn.LET(_xlpm.auto,AND(MOD(ROW()-4,6)=0,$AM155&lt;&gt;0,SUMPRODUCT(--(OFFSET($AM155,1,0,5,1)&lt;&gt;0))=0),_xlpm.oppA,_xlfn.XLOOKUP($AK155,$H$4:$H$18,$J$4:$J$18,""),_xlpm.oppB,_xlfn.XLOOKUP($AK155,$H$4:$H$18,$K$4:$K$18,""),_xlpm.opp,IF($AL155=_xlpm.oppA,_xlpm.oppB,_xlpm.oppA),IF(_xlpm.auto,SUMIFS($AD$4:$AD$273,$S$4:$S$273,$AK155,$T$4:$T$273,_xlpm.opp),Scorebook!G631)))</f>
      </c>
      <c r="AS155" s="5" cm="1">
        <f t="array" aca="1" ref="AS155" ca="1">IF($AK155="","",_xlfn.LET(_xlpm.auto,AND(MOD(ROW()-4,6)=0,$AM155&lt;&gt;0,SUMPRODUCT(--(OFFSET($AM155,1,0,5,1)&lt;&gt;0))=0),_xlpm.oppA,_xlfn.XLOOKUP($AK155,$H$4:$H$18,$J$4:$J$18,""),_xlpm.oppB,_xlfn.XLOOKUP($AK155,$H$4:$H$18,$K$4:$K$18,""),_xlpm.opp,IF($AL155=_xlpm.oppA,_xlpm.oppB,_xlpm.oppA),IF(_xlpm.auto,SUMIFS($AE$4:$AE$273,$S$4:$S$273,$AK155,$T$4:$T$273,_xlpm.opp),Scorebook!H631)))</f>
      </c>
      <c r="AT155" s="5" cm="1">
        <f t="array" aca="1" ref="AT155" ca="1">IF($AK155="","",_xlfn.LET(_xlpm.auto,AND(MOD(ROW()-4,6)=0,$AM155&lt;&gt;0,SUMPRODUCT(--(OFFSET($AM155,1,0,5,1)&lt;&gt;0))=0),_xlpm.oppA,_xlfn.XLOOKUP($AK155,$H$4:$H$18,$J$4:$J$18,""),_xlpm.oppB,_xlfn.XLOOKUP($AK155,$H$4:$H$18,$K$4:$K$18,""),_xlpm.opp,IF($AL155=_xlpm.oppA,_xlpm.oppB,_xlpm.oppA),IF(_xlpm.auto,SUMIFS($AB$4:$AB$273,$S$4:$S$273,$AK155,$T$4:$T$273,_xlpm.opp),Scorebook!I631)))</f>
      </c>
      <c r="AU155" s="5" cm="1">
        <f t="array" aca="1" ref="AU155" ca="1">IF($AK155="","",_xlfn.LET(_xlpm.auto,AND(MOD(ROW()-4,6)=0,$AM155&lt;&gt;0,SUMPRODUCT(--(OFFSET($AM155,1,0,5,1)&lt;&gt;0))=0),_xlpm.winner,_xlfn.XLOOKUP($AK155,$H$4:$H$18,$L$4:$L$18,""),IF(_xlpm.auto,--($AL155=_xlpm.winner),Scorebook!J631)))</f>
      </c>
      <c r="AV155" s="5" cm="1">
        <f t="array" aca="1" ref="AV155" ca="1">IF($AK155="","",_xlfn.LET(_xlpm.auto,AND(MOD(ROW()-4,6)=0,$AM155&lt;&gt;0,SUMPRODUCT(--(OFFSET($AM155,1,0,5,1)&lt;&gt;0))=0),_xlpm.loser,_xlfn.XLOOKUP($AK155,$H$4:$H$18,$M$4:$M$18,""),IF(_xlpm.auto,--($AL155=_xlpm.loser),Scorebook!K631)))</f>
      </c>
      <c r="AW155" s="5">
        <f ca="1">Scorebook!L631</f>
      </c>
      <c r="AX155" s="5" cm="1">
        <f t="array" aca="1" ref="AX155" ca="1">IF($AK155="","",_xlfn.LET(_xlpm.auto,AND(MOD(ROW()-4,6)=0,$AM155&lt;&gt;0,SUMPRODUCT(--(OFFSET($AM155,1,0,5,1)&lt;&gt;0))=0),_xlpm.oppA,_xlfn.XLOOKUP($AK155,$H$4:$H$18,$J$4:$J$18,""),_xlpm.oppRuns,IF($AL155=_xlpm.oppA,_xlfn.XLOOKUP($AK155,$H$4:$H$18,$O$4:$O$18,""),_xlfn.XLOOKUP($AK155,$H$4:$H$18,$N$4:$N$18,"")),IF(_xlpm.auto,--(_xlpm.oppRuns=0),Scorebook!M631)))</f>
      </c>
      <c r="AY155" s="5" cm="1">
        <f t="array" aca="1" ref="AY155" ca="1">IF($AK155="","",_xlfn.LET(_xlpm.auto,AND(MOD(ROW()-4,6)=0,$AM155&lt;&gt;0,SUMPRODUCT(--(OFFSET($AM155,1,0,5,1)&lt;&gt;0))=0),IF(_xlpm.auto,1,Scorebook!N631)))</f>
      </c>
      <c r="AZ155" s="5">
        <f>Settings!$B$2</f>
        <v>1</v>
      </c>
    </row>
    <row r="156" spans="19:52">
      <c r="S156" s="4" t="str">
        <f ca="1">Scorebook!$F$394</f>
        <v>G9</v>
      </c>
      <c r="T156" s="5" t="str">
        <f ca="1">Scorebook!$N$394</f>
        <v>Jason</v>
      </c>
      <c r="U156" s="5" t="str">
        <f ca="1">Scorebook!$B$409</f>
        <v>Baby Daisy</v>
      </c>
      <c r="V156" s="4">
        <v>9</v>
      </c>
      <c r="W156" s="5">
        <f ca="1">Scorebook!M409</f>
        <v>1</v>
      </c>
      <c r="X156" s="5">
        <f ca="1">Scorebook!N409</f>
        <v>0</v>
      </c>
      <c r="Y156" s="5">
        <f ca="1">Scorebook!O409</f>
        <v>1</v>
      </c>
      <c r="Z156" s="5">
        <f ca="1">Scorebook!P409</f>
        <v>0</v>
      </c>
      <c r="AA156" s="5">
        <f ca="1">Scorebook!Q409</f>
        <v>0</v>
      </c>
      <c r="AB156" s="5">
        <f ca="1">Scorebook!R409</f>
        <v>0</v>
      </c>
      <c r="AC156" s="5">
        <f ca="1">Scorebook!S409</f>
        <v>0</v>
      </c>
      <c r="AD156" s="5">
        <f ca="1">Scorebook!T409</f>
        <v>0</v>
      </c>
      <c r="AE156" s="5">
        <f ca="1">Scorebook!U409</f>
        <v>0</v>
      </c>
      <c r="AF156" s="5">
        <f ca="1">Scorebook!V409</f>
        <v>0</v>
      </c>
      <c r="AG156" s="5">
        <f ca="1">Scorebook!W409</f>
        <v>0</v>
      </c>
      <c r="AH156" s="5">
        <f ca="1">Scorebook!X409</f>
        <v>0</v>
      </c>
      <c r="AI156" s="5">
        <f>Settings!$B$2</f>
        <v>1</v>
      </c>
      <c r="AJ156" s="18">
        <f ca="1">IF($AK156="","",Scorebook!$O$632)</f>
      </c>
      <c r="AK156" s="4" t="str">
        <f ca="1">IF(AND(Bracket!$H$19&lt;&gt;"",Bracket!$I$19&lt;&gt;""),"G13","")</f>
      </c>
      <c r="AL156" s="5" t="str">
        <f ca="1">IF(AND(Bracket!$H$19&lt;&gt;"",Bracket!$I$19&lt;&gt;""),Bracket!$I$19,"")</f>
      </c>
      <c r="AM156" s="5" t="str">
        <f>Scorebook!$B$632</f>
      </c>
      <c r="AN156" s="5">
        <f ca="1">IF(Scorebook!C632="","",INT(Scorebook!C632)+MOD(ROUND(Scorebook!C632*10,0),10)/3)</f>
      </c>
      <c r="AO156" s="5" cm="1">
        <f t="array" aca="1" ref="AO156" ca="1">IF($AK156="","",_xlfn.LET(_xlpm.auto,AND(MOD(ROW()-4,6)=0,$AM156&lt;&gt;0,SUMPRODUCT(--(OFFSET($AM156,1,0,5,1)&lt;&gt;0))=0),_xlpm.oppA,_xlfn.XLOOKUP($AK156,$H$4:$H$18,$J$4:$J$18,""),_xlpm.oppB,_xlfn.XLOOKUP($AK156,$H$4:$H$18,$K$4:$K$18,""),_xlpm.opp,IF($AL156=_xlpm.oppA,_xlpm.oppB,_xlpm.oppA),IF(_xlpm.auto,SUMIFS($Y$4:$Y$273,$S$4:$S$273,$AK156,$T$4:$T$273,_xlpm.opp),Scorebook!D632)))</f>
      </c>
      <c r="AP156" s="5" cm="1">
        <f t="array" aca="1" ref="AP156" ca="1">IF($AK156="","",_xlfn.LET(_xlpm.auto,AND(MOD(ROW()-4,6)=0,$AM156&lt;&gt;0,SUMPRODUCT(--(OFFSET($AM156,1,0,5,1)&lt;&gt;0))=0),_xlpm.oppA,_xlfn.XLOOKUP($AK156,$H$4:$H$18,$J$4:$J$18,""),_xlpm.oppRuns,IF($AL156=_xlpm.oppA,_xlfn.XLOOKUP($AK156,$H$4:$H$18,$O$4:$O$18,""),_xlfn.XLOOKUP($AK156,$H$4:$H$18,$N$4:$N$18,"")),IF(_xlpm.auto,_xlpm.oppRuns,Scorebook!E632)))</f>
      </c>
      <c r="AQ156" s="5">
        <f ca="1">Scorebook!F632</f>
      </c>
      <c r="AR156" s="5" cm="1">
        <f t="array" aca="1" ref="AR156" ca="1">IF($AK156="","",_xlfn.LET(_xlpm.auto,AND(MOD(ROW()-4,6)=0,$AM156&lt;&gt;0,SUMPRODUCT(--(OFFSET($AM156,1,0,5,1)&lt;&gt;0))=0),_xlpm.oppA,_xlfn.XLOOKUP($AK156,$H$4:$H$18,$J$4:$J$18,""),_xlpm.oppB,_xlfn.XLOOKUP($AK156,$H$4:$H$18,$K$4:$K$18,""),_xlpm.opp,IF($AL156=_xlpm.oppA,_xlpm.oppB,_xlpm.oppA),IF(_xlpm.auto,SUMIFS($AD$4:$AD$273,$S$4:$S$273,$AK156,$T$4:$T$273,_xlpm.opp),Scorebook!G632)))</f>
      </c>
      <c r="AS156" s="5" cm="1">
        <f t="array" aca="1" ref="AS156" ca="1">IF($AK156="","",_xlfn.LET(_xlpm.auto,AND(MOD(ROW()-4,6)=0,$AM156&lt;&gt;0,SUMPRODUCT(--(OFFSET($AM156,1,0,5,1)&lt;&gt;0))=0),_xlpm.oppA,_xlfn.XLOOKUP($AK156,$H$4:$H$18,$J$4:$J$18,""),_xlpm.oppB,_xlfn.XLOOKUP($AK156,$H$4:$H$18,$K$4:$K$18,""),_xlpm.opp,IF($AL156=_xlpm.oppA,_xlpm.oppB,_xlpm.oppA),IF(_xlpm.auto,SUMIFS($AE$4:$AE$273,$S$4:$S$273,$AK156,$T$4:$T$273,_xlpm.opp),Scorebook!H632)))</f>
      </c>
      <c r="AT156" s="5" cm="1">
        <f t="array" aca="1" ref="AT156" ca="1">IF($AK156="","",_xlfn.LET(_xlpm.auto,AND(MOD(ROW()-4,6)=0,$AM156&lt;&gt;0,SUMPRODUCT(--(OFFSET($AM156,1,0,5,1)&lt;&gt;0))=0),_xlpm.oppA,_xlfn.XLOOKUP($AK156,$H$4:$H$18,$J$4:$J$18,""),_xlpm.oppB,_xlfn.XLOOKUP($AK156,$H$4:$H$18,$K$4:$K$18,""),_xlpm.opp,IF($AL156=_xlpm.oppA,_xlpm.oppB,_xlpm.oppA),IF(_xlpm.auto,SUMIFS($AB$4:$AB$273,$S$4:$S$273,$AK156,$T$4:$T$273,_xlpm.opp),Scorebook!I632)))</f>
      </c>
      <c r="AU156" s="5" cm="1">
        <f t="array" aca="1" ref="AU156" ca="1">IF($AK156="","",_xlfn.LET(_xlpm.auto,AND(MOD(ROW()-4,6)=0,$AM156&lt;&gt;0,SUMPRODUCT(--(OFFSET($AM156,1,0,5,1)&lt;&gt;0))=0),_xlpm.winner,_xlfn.XLOOKUP($AK156,$H$4:$H$18,$L$4:$L$18,""),IF(_xlpm.auto,--($AL156=_xlpm.winner),Scorebook!J632)))</f>
      </c>
      <c r="AV156" s="5" cm="1">
        <f t="array" aca="1" ref="AV156" ca="1">IF($AK156="","",_xlfn.LET(_xlpm.auto,AND(MOD(ROW()-4,6)=0,$AM156&lt;&gt;0,SUMPRODUCT(--(OFFSET($AM156,1,0,5,1)&lt;&gt;0))=0),_xlpm.loser,_xlfn.XLOOKUP($AK156,$H$4:$H$18,$M$4:$M$18,""),IF(_xlpm.auto,--($AL156=_xlpm.loser),Scorebook!K632)))</f>
      </c>
      <c r="AW156" s="5">
        <f ca="1">Scorebook!L632</f>
      </c>
      <c r="AX156" s="5" cm="1">
        <f t="array" aca="1" ref="AX156" ca="1">IF($AK156="","",_xlfn.LET(_xlpm.auto,AND(MOD(ROW()-4,6)=0,$AM156&lt;&gt;0,SUMPRODUCT(--(OFFSET($AM156,1,0,5,1)&lt;&gt;0))=0),_xlpm.oppA,_xlfn.XLOOKUP($AK156,$H$4:$H$18,$J$4:$J$18,""),_xlpm.oppRuns,IF($AL156=_xlpm.oppA,_xlfn.XLOOKUP($AK156,$H$4:$H$18,$O$4:$O$18,""),_xlfn.XLOOKUP($AK156,$H$4:$H$18,$N$4:$N$18,"")),IF(_xlpm.auto,--(_xlpm.oppRuns=0),Scorebook!M632)))</f>
      </c>
      <c r="AY156" s="5" cm="1">
        <f t="array" aca="1" ref="AY156" ca="1">IF($AK156="","",_xlfn.LET(_xlpm.auto,AND(MOD(ROW()-4,6)=0,$AM156&lt;&gt;0,SUMPRODUCT(--(OFFSET($AM156,1,0,5,1)&lt;&gt;0))=0),IF(_xlpm.auto,1,Scorebook!N632)))</f>
      </c>
      <c r="AZ156" s="5">
        <f>Settings!$B$2</f>
        <v>1</v>
      </c>
    </row>
    <row r="157" spans="19:52">
      <c r="S157" s="4" t="str">
        <f ca="1">Scorebook!$F$394</f>
        <v>G9</v>
      </c>
      <c r="T157" s="5" t="str">
        <f ca="1">Scorebook!$R$394</f>
        <v>May</v>
      </c>
      <c r="U157" s="5" t="str">
        <f ca="1">Scorebook!$B$422</f>
        <v>Birdo</v>
      </c>
      <c r="V157" s="4">
        <v>1</v>
      </c>
      <c r="W157" s="5">
        <f ca="1">Scorebook!M422</f>
        <v>1</v>
      </c>
      <c r="X157" s="5">
        <f ca="1">Scorebook!N422</f>
        <v>0</v>
      </c>
      <c r="Y157" s="5">
        <f ca="1">Scorebook!O422</f>
        <v>0</v>
      </c>
      <c r="Z157" s="5">
        <f ca="1">Scorebook!P422</f>
        <v>0</v>
      </c>
      <c r="AA157" s="5">
        <f ca="1">Scorebook!Q422</f>
        <v>0</v>
      </c>
      <c r="AB157" s="5">
        <f ca="1">Scorebook!R422</f>
        <v>0</v>
      </c>
      <c r="AC157" s="5">
        <f ca="1">Scorebook!S422</f>
        <v>0</v>
      </c>
      <c r="AD157" s="5">
        <f ca="1">Scorebook!T422</f>
        <v>0</v>
      </c>
      <c r="AE157" s="5">
        <f ca="1">Scorebook!U422</f>
        <v>0</v>
      </c>
      <c r="AF157" s="5">
        <f ca="1">Scorebook!V422</f>
        <v>0</v>
      </c>
      <c r="AG157" s="5">
        <f ca="1">Scorebook!W422</f>
        <v>0</v>
      </c>
      <c r="AH157" s="5">
        <f ca="1">Scorebook!X422</f>
        <v>0</v>
      </c>
      <c r="AI157" s="5">
        <f>Settings!$B$2</f>
        <v>1</v>
      </c>
      <c r="AJ157" s="18">
        <f ca="1">IF($AK157="","",Scorebook!$O$633)</f>
      </c>
      <c r="AK157" s="4" t="str">
        <f ca="1">IF(AND(Bracket!$H$19&lt;&gt;"",Bracket!$I$19&lt;&gt;""),"G13","")</f>
      </c>
      <c r="AL157" s="5" t="str">
        <f ca="1">IF(AND(Bracket!$H$19&lt;&gt;"",Bracket!$I$19&lt;&gt;""),Bracket!$I$19,"")</f>
      </c>
      <c r="AM157" s="5" t="str">
        <f>Scorebook!$B$633</f>
      </c>
      <c r="AN157" s="5">
        <f ca="1">IF(Scorebook!C633="","",INT(Scorebook!C633)+MOD(ROUND(Scorebook!C633*10,0),10)/3)</f>
      </c>
      <c r="AO157" s="5" cm="1">
        <f t="array" aca="1" ref="AO157" ca="1">IF($AK157="","",_xlfn.LET(_xlpm.auto,AND(MOD(ROW()-4,6)=0,$AM157&lt;&gt;0,SUMPRODUCT(--(OFFSET($AM157,1,0,5,1)&lt;&gt;0))=0),_xlpm.oppA,_xlfn.XLOOKUP($AK157,$H$4:$H$18,$J$4:$J$18,""),_xlpm.oppB,_xlfn.XLOOKUP($AK157,$H$4:$H$18,$K$4:$K$18,""),_xlpm.opp,IF($AL157=_xlpm.oppA,_xlpm.oppB,_xlpm.oppA),IF(_xlpm.auto,SUMIFS($Y$4:$Y$273,$S$4:$S$273,$AK157,$T$4:$T$273,_xlpm.opp),Scorebook!D633)))</f>
      </c>
      <c r="AP157" s="5" cm="1">
        <f t="array" aca="1" ref="AP157" ca="1">IF($AK157="","",_xlfn.LET(_xlpm.auto,AND(MOD(ROW()-4,6)=0,$AM157&lt;&gt;0,SUMPRODUCT(--(OFFSET($AM157,1,0,5,1)&lt;&gt;0))=0),_xlpm.oppA,_xlfn.XLOOKUP($AK157,$H$4:$H$18,$J$4:$J$18,""),_xlpm.oppRuns,IF($AL157=_xlpm.oppA,_xlfn.XLOOKUP($AK157,$H$4:$H$18,$O$4:$O$18,""),_xlfn.XLOOKUP($AK157,$H$4:$H$18,$N$4:$N$18,"")),IF(_xlpm.auto,_xlpm.oppRuns,Scorebook!E633)))</f>
      </c>
      <c r="AQ157" s="5">
        <f ca="1">Scorebook!F633</f>
      </c>
      <c r="AR157" s="5" cm="1">
        <f t="array" aca="1" ref="AR157" ca="1">IF($AK157="","",_xlfn.LET(_xlpm.auto,AND(MOD(ROW()-4,6)=0,$AM157&lt;&gt;0,SUMPRODUCT(--(OFFSET($AM157,1,0,5,1)&lt;&gt;0))=0),_xlpm.oppA,_xlfn.XLOOKUP($AK157,$H$4:$H$18,$J$4:$J$18,""),_xlpm.oppB,_xlfn.XLOOKUP($AK157,$H$4:$H$18,$K$4:$K$18,""),_xlpm.opp,IF($AL157=_xlpm.oppA,_xlpm.oppB,_xlpm.oppA),IF(_xlpm.auto,SUMIFS($AD$4:$AD$273,$S$4:$S$273,$AK157,$T$4:$T$273,_xlpm.opp),Scorebook!G633)))</f>
      </c>
      <c r="AS157" s="5" cm="1">
        <f t="array" aca="1" ref="AS157" ca="1">IF($AK157="","",_xlfn.LET(_xlpm.auto,AND(MOD(ROW()-4,6)=0,$AM157&lt;&gt;0,SUMPRODUCT(--(OFFSET($AM157,1,0,5,1)&lt;&gt;0))=0),_xlpm.oppA,_xlfn.XLOOKUP($AK157,$H$4:$H$18,$J$4:$J$18,""),_xlpm.oppB,_xlfn.XLOOKUP($AK157,$H$4:$H$18,$K$4:$K$18,""),_xlpm.opp,IF($AL157=_xlpm.oppA,_xlpm.oppB,_xlpm.oppA),IF(_xlpm.auto,SUMIFS($AE$4:$AE$273,$S$4:$S$273,$AK157,$T$4:$T$273,_xlpm.opp),Scorebook!H633)))</f>
      </c>
      <c r="AT157" s="5" cm="1">
        <f t="array" aca="1" ref="AT157" ca="1">IF($AK157="","",_xlfn.LET(_xlpm.auto,AND(MOD(ROW()-4,6)=0,$AM157&lt;&gt;0,SUMPRODUCT(--(OFFSET($AM157,1,0,5,1)&lt;&gt;0))=0),_xlpm.oppA,_xlfn.XLOOKUP($AK157,$H$4:$H$18,$J$4:$J$18,""),_xlpm.oppB,_xlfn.XLOOKUP($AK157,$H$4:$H$18,$K$4:$K$18,""),_xlpm.opp,IF($AL157=_xlpm.oppA,_xlpm.oppB,_xlpm.oppA),IF(_xlpm.auto,SUMIFS($AB$4:$AB$273,$S$4:$S$273,$AK157,$T$4:$T$273,_xlpm.opp),Scorebook!I633)))</f>
      </c>
      <c r="AU157" s="5" cm="1">
        <f t="array" aca="1" ref="AU157" ca="1">IF($AK157="","",_xlfn.LET(_xlpm.auto,AND(MOD(ROW()-4,6)=0,$AM157&lt;&gt;0,SUMPRODUCT(--(OFFSET($AM157,1,0,5,1)&lt;&gt;0))=0),_xlpm.winner,_xlfn.XLOOKUP($AK157,$H$4:$H$18,$L$4:$L$18,""),IF(_xlpm.auto,--($AL157=_xlpm.winner),Scorebook!J633)))</f>
      </c>
      <c r="AV157" s="5" cm="1">
        <f t="array" aca="1" ref="AV157" ca="1">IF($AK157="","",_xlfn.LET(_xlpm.auto,AND(MOD(ROW()-4,6)=0,$AM157&lt;&gt;0,SUMPRODUCT(--(OFFSET($AM157,1,0,5,1)&lt;&gt;0))=0),_xlpm.loser,_xlfn.XLOOKUP($AK157,$H$4:$H$18,$M$4:$M$18,""),IF(_xlpm.auto,--($AL157=_xlpm.loser),Scorebook!K633)))</f>
      </c>
      <c r="AW157" s="5">
        <f ca="1">Scorebook!L633</f>
      </c>
      <c r="AX157" s="5" cm="1">
        <f t="array" aca="1" ref="AX157" ca="1">IF($AK157="","",_xlfn.LET(_xlpm.auto,AND(MOD(ROW()-4,6)=0,$AM157&lt;&gt;0,SUMPRODUCT(--(OFFSET($AM157,1,0,5,1)&lt;&gt;0))=0),_xlpm.oppA,_xlfn.XLOOKUP($AK157,$H$4:$H$18,$J$4:$J$18,""),_xlpm.oppRuns,IF($AL157=_xlpm.oppA,_xlfn.XLOOKUP($AK157,$H$4:$H$18,$O$4:$O$18,""),_xlfn.XLOOKUP($AK157,$H$4:$H$18,$N$4:$N$18,"")),IF(_xlpm.auto,--(_xlpm.oppRuns=0),Scorebook!M633)))</f>
      </c>
      <c r="AY157" s="5" cm="1">
        <f t="array" aca="1" ref="AY157" ca="1">IF($AK157="","",_xlfn.LET(_xlpm.auto,AND(MOD(ROW()-4,6)=0,$AM157&lt;&gt;0,SUMPRODUCT(--(OFFSET($AM157,1,0,5,1)&lt;&gt;0))=0),IF(_xlpm.auto,1,Scorebook!N633)))</f>
      </c>
      <c r="AZ157" s="5">
        <f>Settings!$B$2</f>
        <v>1</v>
      </c>
    </row>
    <row r="158" spans="19:52">
      <c r="S158" s="4" t="str">
        <f ca="1">Scorebook!$F$394</f>
        <v>G9</v>
      </c>
      <c r="T158" s="5" t="str">
        <f ca="1">Scorebook!$R$394</f>
        <v>May</v>
      </c>
      <c r="U158" s="5" t="str">
        <f ca="1">Scorebook!$B$423</f>
        <v>Red Kritter</v>
      </c>
      <c r="V158" s="4">
        <v>2</v>
      </c>
      <c r="W158" s="5">
        <f ca="1">Scorebook!M423</f>
        <v>1</v>
      </c>
      <c r="X158" s="5">
        <f ca="1">Scorebook!N423</f>
        <v>0</v>
      </c>
      <c r="Y158" s="5">
        <f ca="1">Scorebook!O423</f>
        <v>0</v>
      </c>
      <c r="Z158" s="5">
        <f ca="1">Scorebook!P423</f>
        <v>0</v>
      </c>
      <c r="AA158" s="5">
        <f ca="1">Scorebook!Q423</f>
        <v>0</v>
      </c>
      <c r="AB158" s="5">
        <f ca="1">Scorebook!R423</f>
        <v>0</v>
      </c>
      <c r="AC158" s="5">
        <f ca="1">Scorebook!S423</f>
        <v>0</v>
      </c>
      <c r="AD158" s="5">
        <f ca="1">Scorebook!T423</f>
        <v>0</v>
      </c>
      <c r="AE158" s="5">
        <f ca="1">Scorebook!U423</f>
        <v>0</v>
      </c>
      <c r="AF158" s="5">
        <f ca="1">Scorebook!V423</f>
        <v>0</v>
      </c>
      <c r="AG158" s="5">
        <f ca="1">Scorebook!W423</f>
        <v>0</v>
      </c>
      <c r="AH158" s="5">
        <f ca="1">Scorebook!X423</f>
        <v>0</v>
      </c>
      <c r="AI158" s="5">
        <f>Settings!$B$2</f>
        <v>1</v>
      </c>
      <c r="AJ158" s="18">
        <f ca="1">IF($AK158="","",Scorebook!$O$634)</f>
      </c>
      <c r="AK158" s="4" t="str">
        <f ca="1">IF(AND(Bracket!$H$19&lt;&gt;"",Bracket!$I$19&lt;&gt;""),"G13","")</f>
      </c>
      <c r="AL158" s="5" t="str">
        <f ca="1">IF(AND(Bracket!$H$19&lt;&gt;"",Bracket!$I$19&lt;&gt;""),Bracket!$I$19,"")</f>
      </c>
      <c r="AM158" s="5" t="str">
        <f>Scorebook!$B$634</f>
      </c>
      <c r="AN158" s="5">
        <f ca="1">IF(Scorebook!C634="","",INT(Scorebook!C634)+MOD(ROUND(Scorebook!C634*10,0),10)/3)</f>
      </c>
      <c r="AO158" s="5" cm="1">
        <f t="array" aca="1" ref="AO158" ca="1">IF($AK158="","",_xlfn.LET(_xlpm.auto,AND(MOD(ROW()-4,6)=0,$AM158&lt;&gt;0,SUMPRODUCT(--(OFFSET($AM158,1,0,5,1)&lt;&gt;0))=0),_xlpm.oppA,_xlfn.XLOOKUP($AK158,$H$4:$H$18,$J$4:$J$18,""),_xlpm.oppB,_xlfn.XLOOKUP($AK158,$H$4:$H$18,$K$4:$K$18,""),_xlpm.opp,IF($AL158=_xlpm.oppA,_xlpm.oppB,_xlpm.oppA),IF(_xlpm.auto,SUMIFS($Y$4:$Y$273,$S$4:$S$273,$AK158,$T$4:$T$273,_xlpm.opp),Scorebook!D634)))</f>
      </c>
      <c r="AP158" s="5" cm="1">
        <f t="array" aca="1" ref="AP158" ca="1">IF($AK158="","",_xlfn.LET(_xlpm.auto,AND(MOD(ROW()-4,6)=0,$AM158&lt;&gt;0,SUMPRODUCT(--(OFFSET($AM158,1,0,5,1)&lt;&gt;0))=0),_xlpm.oppA,_xlfn.XLOOKUP($AK158,$H$4:$H$18,$J$4:$J$18,""),_xlpm.oppRuns,IF($AL158=_xlpm.oppA,_xlfn.XLOOKUP($AK158,$H$4:$H$18,$O$4:$O$18,""),_xlfn.XLOOKUP($AK158,$H$4:$H$18,$N$4:$N$18,"")),IF(_xlpm.auto,_xlpm.oppRuns,Scorebook!E634)))</f>
      </c>
      <c r="AQ158" s="5">
        <f ca="1">Scorebook!F634</f>
      </c>
      <c r="AR158" s="5" cm="1">
        <f t="array" aca="1" ref="AR158" ca="1">IF($AK158="","",_xlfn.LET(_xlpm.auto,AND(MOD(ROW()-4,6)=0,$AM158&lt;&gt;0,SUMPRODUCT(--(OFFSET($AM158,1,0,5,1)&lt;&gt;0))=0),_xlpm.oppA,_xlfn.XLOOKUP($AK158,$H$4:$H$18,$J$4:$J$18,""),_xlpm.oppB,_xlfn.XLOOKUP($AK158,$H$4:$H$18,$K$4:$K$18,""),_xlpm.opp,IF($AL158=_xlpm.oppA,_xlpm.oppB,_xlpm.oppA),IF(_xlpm.auto,SUMIFS($AD$4:$AD$273,$S$4:$S$273,$AK158,$T$4:$T$273,_xlpm.opp),Scorebook!G634)))</f>
      </c>
      <c r="AS158" s="5" cm="1">
        <f t="array" aca="1" ref="AS158" ca="1">IF($AK158="","",_xlfn.LET(_xlpm.auto,AND(MOD(ROW()-4,6)=0,$AM158&lt;&gt;0,SUMPRODUCT(--(OFFSET($AM158,1,0,5,1)&lt;&gt;0))=0),_xlpm.oppA,_xlfn.XLOOKUP($AK158,$H$4:$H$18,$J$4:$J$18,""),_xlpm.oppB,_xlfn.XLOOKUP($AK158,$H$4:$H$18,$K$4:$K$18,""),_xlpm.opp,IF($AL158=_xlpm.oppA,_xlpm.oppB,_xlpm.oppA),IF(_xlpm.auto,SUMIFS($AE$4:$AE$273,$S$4:$S$273,$AK158,$T$4:$T$273,_xlpm.opp),Scorebook!H634)))</f>
      </c>
      <c r="AT158" s="5" cm="1">
        <f t="array" aca="1" ref="AT158" ca="1">IF($AK158="","",_xlfn.LET(_xlpm.auto,AND(MOD(ROW()-4,6)=0,$AM158&lt;&gt;0,SUMPRODUCT(--(OFFSET($AM158,1,0,5,1)&lt;&gt;0))=0),_xlpm.oppA,_xlfn.XLOOKUP($AK158,$H$4:$H$18,$J$4:$J$18,""),_xlpm.oppB,_xlfn.XLOOKUP($AK158,$H$4:$H$18,$K$4:$K$18,""),_xlpm.opp,IF($AL158=_xlpm.oppA,_xlpm.oppB,_xlpm.oppA),IF(_xlpm.auto,SUMIFS($AB$4:$AB$273,$S$4:$S$273,$AK158,$T$4:$T$273,_xlpm.opp),Scorebook!I634)))</f>
      </c>
      <c r="AU158" s="5" cm="1">
        <f t="array" aca="1" ref="AU158" ca="1">IF($AK158="","",_xlfn.LET(_xlpm.auto,AND(MOD(ROW()-4,6)=0,$AM158&lt;&gt;0,SUMPRODUCT(--(OFFSET($AM158,1,0,5,1)&lt;&gt;0))=0),_xlpm.winner,_xlfn.XLOOKUP($AK158,$H$4:$H$18,$L$4:$L$18,""),IF(_xlpm.auto,--($AL158=_xlpm.winner),Scorebook!J634)))</f>
      </c>
      <c r="AV158" s="5" cm="1">
        <f t="array" aca="1" ref="AV158" ca="1">IF($AK158="","",_xlfn.LET(_xlpm.auto,AND(MOD(ROW()-4,6)=0,$AM158&lt;&gt;0,SUMPRODUCT(--(OFFSET($AM158,1,0,5,1)&lt;&gt;0))=0),_xlpm.loser,_xlfn.XLOOKUP($AK158,$H$4:$H$18,$M$4:$M$18,""),IF(_xlpm.auto,--($AL158=_xlpm.loser),Scorebook!K634)))</f>
      </c>
      <c r="AW158" s="5">
        <f ca="1">Scorebook!L634</f>
      </c>
      <c r="AX158" s="5" cm="1">
        <f t="array" aca="1" ref="AX158" ca="1">IF($AK158="","",_xlfn.LET(_xlpm.auto,AND(MOD(ROW()-4,6)=0,$AM158&lt;&gt;0,SUMPRODUCT(--(OFFSET($AM158,1,0,5,1)&lt;&gt;0))=0),_xlpm.oppA,_xlfn.XLOOKUP($AK158,$H$4:$H$18,$J$4:$J$18,""),_xlpm.oppRuns,IF($AL158=_xlpm.oppA,_xlfn.XLOOKUP($AK158,$H$4:$H$18,$O$4:$O$18,""),_xlfn.XLOOKUP($AK158,$H$4:$H$18,$N$4:$N$18,"")),IF(_xlpm.auto,--(_xlpm.oppRuns=0),Scorebook!M634)))</f>
      </c>
      <c r="AY158" s="5" cm="1">
        <f t="array" aca="1" ref="AY158" ca="1">IF($AK158="","",_xlfn.LET(_xlpm.auto,AND(MOD(ROW()-4,6)=0,$AM158&lt;&gt;0,SUMPRODUCT(--(OFFSET($AM158,1,0,5,1)&lt;&gt;0))=0),IF(_xlpm.auto,1,Scorebook!N634)))</f>
      </c>
      <c r="AZ158" s="5">
        <f>Settings!$B$2</f>
        <v>1</v>
      </c>
    </row>
    <row r="159" spans="19:52">
      <c r="S159" s="4" t="str">
        <f ca="1">Scorebook!$F$394</f>
        <v>G9</v>
      </c>
      <c r="T159" s="5" t="str">
        <f ca="1">Scorebook!$R$394</f>
        <v>May</v>
      </c>
      <c r="U159" s="5" t="str">
        <f ca="1">Scorebook!$B$424</f>
        <v>Petey Piranha</v>
      </c>
      <c r="V159" s="4">
        <v>3</v>
      </c>
      <c r="W159" s="5">
        <f ca="1">Scorebook!M424</f>
        <v>1</v>
      </c>
      <c r="X159" s="5">
        <f ca="1">Scorebook!N424</f>
        <v>0</v>
      </c>
      <c r="Y159" s="5">
        <f ca="1">Scorebook!O424</f>
        <v>0</v>
      </c>
      <c r="Z159" s="5">
        <f ca="1">Scorebook!P424</f>
        <v>0</v>
      </c>
      <c r="AA159" s="5">
        <f ca="1">Scorebook!Q424</f>
        <v>0</v>
      </c>
      <c r="AB159" s="5">
        <f ca="1">Scorebook!R424</f>
        <v>0</v>
      </c>
      <c r="AC159" s="5">
        <f ca="1">Scorebook!S424</f>
        <v>0</v>
      </c>
      <c r="AD159" s="5">
        <f ca="1">Scorebook!T424</f>
        <v>0</v>
      </c>
      <c r="AE159" s="5">
        <f ca="1">Scorebook!U424</f>
        <v>0</v>
      </c>
      <c r="AF159" s="5">
        <f ca="1">Scorebook!V424</f>
        <v>0</v>
      </c>
      <c r="AG159" s="5">
        <f ca="1">Scorebook!W424</f>
        <v>0</v>
      </c>
      <c r="AH159" s="5">
        <f ca="1">Scorebook!X424</f>
        <v>0</v>
      </c>
      <c r="AI159" s="5">
        <f>Settings!$B$2</f>
        <v>1</v>
      </c>
      <c r="AJ159" s="18">
        <f ca="1">IF($AK159="","",Scorebook!$O$635)</f>
      </c>
      <c r="AK159" s="4" t="str">
        <f ca="1">IF(AND(Bracket!$H$19&lt;&gt;"",Bracket!$I$19&lt;&gt;""),"G13","")</f>
      </c>
      <c r="AL159" s="5" t="str">
        <f ca="1">IF(AND(Bracket!$H$19&lt;&gt;"",Bracket!$I$19&lt;&gt;""),Bracket!$I$19,"")</f>
      </c>
      <c r="AM159" s="5" t="str">
        <f>Scorebook!$B$635</f>
      </c>
      <c r="AN159" s="5">
        <f ca="1">IF(Scorebook!C635="","",INT(Scorebook!C635)+MOD(ROUND(Scorebook!C635*10,0),10)/3)</f>
      </c>
      <c r="AO159" s="5" cm="1">
        <f t="array" aca="1" ref="AO159" ca="1">IF($AK159="","",_xlfn.LET(_xlpm.auto,AND(MOD(ROW()-4,6)=0,$AM159&lt;&gt;0,SUMPRODUCT(--(OFFSET($AM159,1,0,5,1)&lt;&gt;0))=0),_xlpm.oppA,_xlfn.XLOOKUP($AK159,$H$4:$H$18,$J$4:$J$18,""),_xlpm.oppB,_xlfn.XLOOKUP($AK159,$H$4:$H$18,$K$4:$K$18,""),_xlpm.opp,IF($AL159=_xlpm.oppA,_xlpm.oppB,_xlpm.oppA),IF(_xlpm.auto,SUMIFS($Y$4:$Y$273,$S$4:$S$273,$AK159,$T$4:$T$273,_xlpm.opp),Scorebook!D635)))</f>
      </c>
      <c r="AP159" s="5" cm="1">
        <f t="array" aca="1" ref="AP159" ca="1">IF($AK159="","",_xlfn.LET(_xlpm.auto,AND(MOD(ROW()-4,6)=0,$AM159&lt;&gt;0,SUMPRODUCT(--(OFFSET($AM159,1,0,5,1)&lt;&gt;0))=0),_xlpm.oppA,_xlfn.XLOOKUP($AK159,$H$4:$H$18,$J$4:$J$18,""),_xlpm.oppRuns,IF($AL159=_xlpm.oppA,_xlfn.XLOOKUP($AK159,$H$4:$H$18,$O$4:$O$18,""),_xlfn.XLOOKUP($AK159,$H$4:$H$18,$N$4:$N$18,"")),IF(_xlpm.auto,_xlpm.oppRuns,Scorebook!E635)))</f>
      </c>
      <c r="AQ159" s="5">
        <f ca="1">Scorebook!F635</f>
      </c>
      <c r="AR159" s="5" cm="1">
        <f t="array" aca="1" ref="AR159" ca="1">IF($AK159="","",_xlfn.LET(_xlpm.auto,AND(MOD(ROW()-4,6)=0,$AM159&lt;&gt;0,SUMPRODUCT(--(OFFSET($AM159,1,0,5,1)&lt;&gt;0))=0),_xlpm.oppA,_xlfn.XLOOKUP($AK159,$H$4:$H$18,$J$4:$J$18,""),_xlpm.oppB,_xlfn.XLOOKUP($AK159,$H$4:$H$18,$K$4:$K$18,""),_xlpm.opp,IF($AL159=_xlpm.oppA,_xlpm.oppB,_xlpm.oppA),IF(_xlpm.auto,SUMIFS($AD$4:$AD$273,$S$4:$S$273,$AK159,$T$4:$T$273,_xlpm.opp),Scorebook!G635)))</f>
      </c>
      <c r="AS159" s="5" cm="1">
        <f t="array" aca="1" ref="AS159" ca="1">IF($AK159="","",_xlfn.LET(_xlpm.auto,AND(MOD(ROW()-4,6)=0,$AM159&lt;&gt;0,SUMPRODUCT(--(OFFSET($AM159,1,0,5,1)&lt;&gt;0))=0),_xlpm.oppA,_xlfn.XLOOKUP($AK159,$H$4:$H$18,$J$4:$J$18,""),_xlpm.oppB,_xlfn.XLOOKUP($AK159,$H$4:$H$18,$K$4:$K$18,""),_xlpm.opp,IF($AL159=_xlpm.oppA,_xlpm.oppB,_xlpm.oppA),IF(_xlpm.auto,SUMIFS($AE$4:$AE$273,$S$4:$S$273,$AK159,$T$4:$T$273,_xlpm.opp),Scorebook!H635)))</f>
      </c>
      <c r="AT159" s="5" cm="1">
        <f t="array" aca="1" ref="AT159" ca="1">IF($AK159="","",_xlfn.LET(_xlpm.auto,AND(MOD(ROW()-4,6)=0,$AM159&lt;&gt;0,SUMPRODUCT(--(OFFSET($AM159,1,0,5,1)&lt;&gt;0))=0),_xlpm.oppA,_xlfn.XLOOKUP($AK159,$H$4:$H$18,$J$4:$J$18,""),_xlpm.oppB,_xlfn.XLOOKUP($AK159,$H$4:$H$18,$K$4:$K$18,""),_xlpm.opp,IF($AL159=_xlpm.oppA,_xlpm.oppB,_xlpm.oppA),IF(_xlpm.auto,SUMIFS($AB$4:$AB$273,$S$4:$S$273,$AK159,$T$4:$T$273,_xlpm.opp),Scorebook!I635)))</f>
      </c>
      <c r="AU159" s="5" cm="1">
        <f t="array" aca="1" ref="AU159" ca="1">IF($AK159="","",_xlfn.LET(_xlpm.auto,AND(MOD(ROW()-4,6)=0,$AM159&lt;&gt;0,SUMPRODUCT(--(OFFSET($AM159,1,0,5,1)&lt;&gt;0))=0),_xlpm.winner,_xlfn.XLOOKUP($AK159,$H$4:$H$18,$L$4:$L$18,""),IF(_xlpm.auto,--($AL159=_xlpm.winner),Scorebook!J635)))</f>
      </c>
      <c r="AV159" s="5" cm="1">
        <f t="array" aca="1" ref="AV159" ca="1">IF($AK159="","",_xlfn.LET(_xlpm.auto,AND(MOD(ROW()-4,6)=0,$AM159&lt;&gt;0,SUMPRODUCT(--(OFFSET($AM159,1,0,5,1)&lt;&gt;0))=0),_xlpm.loser,_xlfn.XLOOKUP($AK159,$H$4:$H$18,$M$4:$M$18,""),IF(_xlpm.auto,--($AL159=_xlpm.loser),Scorebook!K635)))</f>
      </c>
      <c r="AW159" s="5">
        <f ca="1">Scorebook!L635</f>
      </c>
      <c r="AX159" s="5" cm="1">
        <f t="array" aca="1" ref="AX159" ca="1">IF($AK159="","",_xlfn.LET(_xlpm.auto,AND(MOD(ROW()-4,6)=0,$AM159&lt;&gt;0,SUMPRODUCT(--(OFFSET($AM159,1,0,5,1)&lt;&gt;0))=0),_xlpm.oppA,_xlfn.XLOOKUP($AK159,$H$4:$H$18,$J$4:$J$18,""),_xlpm.oppRuns,IF($AL159=_xlpm.oppA,_xlfn.XLOOKUP($AK159,$H$4:$H$18,$O$4:$O$18,""),_xlfn.XLOOKUP($AK159,$H$4:$H$18,$N$4:$N$18,"")),IF(_xlpm.auto,--(_xlpm.oppRuns=0),Scorebook!M635)))</f>
      </c>
      <c r="AY159" s="5" cm="1">
        <f t="array" aca="1" ref="AY159" ca="1">IF($AK159="","",_xlfn.LET(_xlpm.auto,AND(MOD(ROW()-4,6)=0,$AM159&lt;&gt;0,SUMPRODUCT(--(OFFSET($AM159,1,0,5,1)&lt;&gt;0))=0),IF(_xlpm.auto,1,Scorebook!N635)))</f>
      </c>
      <c r="AZ159" s="5">
        <f>Settings!$B$2</f>
        <v>1</v>
      </c>
    </row>
    <row r="160" spans="19:52">
      <c r="S160" s="4" t="str">
        <f ca="1">Scorebook!$F$394</f>
        <v>G9</v>
      </c>
      <c r="T160" s="5" t="str">
        <f ca="1">Scorebook!$R$394</f>
        <v>May</v>
      </c>
      <c r="U160" s="5" t="str">
        <f ca="1">Scorebook!$B$425</f>
        <v>King Boo</v>
      </c>
      <c r="V160" s="4">
        <v>4</v>
      </c>
      <c r="W160" s="5">
        <f ca="1">Scorebook!M425</f>
        <v>1</v>
      </c>
      <c r="X160" s="5">
        <f ca="1">Scorebook!N425</f>
        <v>0</v>
      </c>
      <c r="Y160" s="5">
        <f ca="1">Scorebook!O425</f>
        <v>0</v>
      </c>
      <c r="Z160" s="5">
        <f ca="1">Scorebook!P425</f>
        <v>0</v>
      </c>
      <c r="AA160" s="5">
        <f ca="1">Scorebook!Q425</f>
        <v>0</v>
      </c>
      <c r="AB160" s="5">
        <f ca="1">Scorebook!R425</f>
        <v>0</v>
      </c>
      <c r="AC160" s="5">
        <f ca="1">Scorebook!S425</f>
        <v>0</v>
      </c>
      <c r="AD160" s="5">
        <f ca="1">Scorebook!T425</f>
        <v>0</v>
      </c>
      <c r="AE160" s="5">
        <f ca="1">Scorebook!U425</f>
        <v>0</v>
      </c>
      <c r="AF160" s="5">
        <f ca="1">Scorebook!V425</f>
        <v>0</v>
      </c>
      <c r="AG160" s="5">
        <f ca="1">Scorebook!W425</f>
        <v>0</v>
      </c>
      <c r="AH160" s="5">
        <f ca="1">Scorebook!X425</f>
        <v>0</v>
      </c>
      <c r="AI160" s="5">
        <f>Settings!$B$2</f>
        <v>1</v>
      </c>
      <c r="AJ160" s="18">
        <f ca="1">IF($AK160="","",Scorebook!$O$658)</f>
      </c>
      <c r="AK160" s="4" t="str">
        <f ca="1">IF(AND(Bracket!$H$20&lt;&gt;"",Bracket!$I$20&lt;&gt;""),"G14","")</f>
      </c>
      <c r="AL160" s="5" t="str">
        <f ca="1">IF(AND(Bracket!$H$20&lt;&gt;"",Bracket!$I$20&lt;&gt;""),Bracket!$H$20,"")</f>
      </c>
      <c r="AM160" s="5" t="str">
        <f>Scorebook!$B$658</f>
      </c>
      <c r="AN160" s="5">
        <f ca="1">IF(Scorebook!C658="","",INT(Scorebook!C658)+MOD(ROUND(Scorebook!C658*10,0),10)/3)</f>
      </c>
      <c r="AO160" s="5" cm="1">
        <f t="array" aca="1" ref="AO160" ca="1">IF($AK160="","",_xlfn.LET(_xlpm.auto,AND(MOD(ROW()-4,6)=0,$AM160&lt;&gt;0,SUMPRODUCT(--(OFFSET($AM160,1,0,5,1)&lt;&gt;0))=0),_xlpm.oppA,_xlfn.XLOOKUP($AK160,$H$4:$H$18,$J$4:$J$18,""),_xlpm.oppB,_xlfn.XLOOKUP($AK160,$H$4:$H$18,$K$4:$K$18,""),_xlpm.opp,IF($AL160=_xlpm.oppA,_xlpm.oppB,_xlpm.oppA),IF(_xlpm.auto,SUMIFS($Y$4:$Y$273,$S$4:$S$273,$AK160,$T$4:$T$273,_xlpm.opp),Scorebook!D658)))</f>
      </c>
      <c r="AP160" s="5" cm="1">
        <f t="array" aca="1" ref="AP160" ca="1">IF($AK160="","",_xlfn.LET(_xlpm.auto,AND(MOD(ROW()-4,6)=0,$AM160&lt;&gt;0,SUMPRODUCT(--(OFFSET($AM160,1,0,5,1)&lt;&gt;0))=0),_xlpm.oppA,_xlfn.XLOOKUP($AK160,$H$4:$H$18,$J$4:$J$18,""),_xlpm.oppRuns,IF($AL160=_xlpm.oppA,_xlfn.XLOOKUP($AK160,$H$4:$H$18,$O$4:$O$18,""),_xlfn.XLOOKUP($AK160,$H$4:$H$18,$N$4:$N$18,"")),IF(_xlpm.auto,_xlpm.oppRuns,Scorebook!E658)))</f>
      </c>
      <c r="AQ160" s="5">
        <f ca="1">Scorebook!F658</f>
      </c>
      <c r="AR160" s="5" cm="1">
        <f t="array" aca="1" ref="AR160" ca="1">IF($AK160="","",_xlfn.LET(_xlpm.auto,AND(MOD(ROW()-4,6)=0,$AM160&lt;&gt;0,SUMPRODUCT(--(OFFSET($AM160,1,0,5,1)&lt;&gt;0))=0),_xlpm.oppA,_xlfn.XLOOKUP($AK160,$H$4:$H$18,$J$4:$J$18,""),_xlpm.oppB,_xlfn.XLOOKUP($AK160,$H$4:$H$18,$K$4:$K$18,""),_xlpm.opp,IF($AL160=_xlpm.oppA,_xlpm.oppB,_xlpm.oppA),IF(_xlpm.auto,SUMIFS($AD$4:$AD$273,$S$4:$S$273,$AK160,$T$4:$T$273,_xlpm.opp),Scorebook!G658)))</f>
      </c>
      <c r="AS160" s="5" cm="1">
        <f t="array" aca="1" ref="AS160" ca="1">IF($AK160="","",_xlfn.LET(_xlpm.auto,AND(MOD(ROW()-4,6)=0,$AM160&lt;&gt;0,SUMPRODUCT(--(OFFSET($AM160,1,0,5,1)&lt;&gt;0))=0),_xlpm.oppA,_xlfn.XLOOKUP($AK160,$H$4:$H$18,$J$4:$J$18,""),_xlpm.oppB,_xlfn.XLOOKUP($AK160,$H$4:$H$18,$K$4:$K$18,""),_xlpm.opp,IF($AL160=_xlpm.oppA,_xlpm.oppB,_xlpm.oppA),IF(_xlpm.auto,SUMIFS($AE$4:$AE$273,$S$4:$S$273,$AK160,$T$4:$T$273,_xlpm.opp),Scorebook!H658)))</f>
      </c>
      <c r="AT160" s="5" cm="1">
        <f t="array" aca="1" ref="AT160" ca="1">IF($AK160="","",_xlfn.LET(_xlpm.auto,AND(MOD(ROW()-4,6)=0,$AM160&lt;&gt;0,SUMPRODUCT(--(OFFSET($AM160,1,0,5,1)&lt;&gt;0))=0),_xlpm.oppA,_xlfn.XLOOKUP($AK160,$H$4:$H$18,$J$4:$J$18,""),_xlpm.oppB,_xlfn.XLOOKUP($AK160,$H$4:$H$18,$K$4:$K$18,""),_xlpm.opp,IF($AL160=_xlpm.oppA,_xlpm.oppB,_xlpm.oppA),IF(_xlpm.auto,SUMIFS($AB$4:$AB$273,$S$4:$S$273,$AK160,$T$4:$T$273,_xlpm.opp),Scorebook!I658)))</f>
      </c>
      <c r="AU160" s="5" cm="1">
        <f t="array" aca="1" ref="AU160" ca="1">IF($AK160="","",_xlfn.LET(_xlpm.auto,AND(MOD(ROW()-4,6)=0,$AM160&lt;&gt;0,SUMPRODUCT(--(OFFSET($AM160,1,0,5,1)&lt;&gt;0))=0),_xlpm.winner,_xlfn.XLOOKUP($AK160,$H$4:$H$18,$L$4:$L$18,""),IF(_xlpm.auto,--($AL160=_xlpm.winner),Scorebook!J658)))</f>
      </c>
      <c r="AV160" s="5" cm="1">
        <f t="array" aca="1" ref="AV160" ca="1">IF($AK160="","",_xlfn.LET(_xlpm.auto,AND(MOD(ROW()-4,6)=0,$AM160&lt;&gt;0,SUMPRODUCT(--(OFFSET($AM160,1,0,5,1)&lt;&gt;0))=0),_xlpm.loser,_xlfn.XLOOKUP($AK160,$H$4:$H$18,$M$4:$M$18,""),IF(_xlpm.auto,--($AL160=_xlpm.loser),Scorebook!K658)))</f>
      </c>
      <c r="AW160" s="5">
        <f ca="1">Scorebook!L658</f>
      </c>
      <c r="AX160" s="5" cm="1">
        <f t="array" aca="1" ref="AX160" ca="1">IF($AK160="","",_xlfn.LET(_xlpm.auto,AND(MOD(ROW()-4,6)=0,$AM160&lt;&gt;0,SUMPRODUCT(--(OFFSET($AM160,1,0,5,1)&lt;&gt;0))=0),_xlpm.oppA,_xlfn.XLOOKUP($AK160,$H$4:$H$18,$J$4:$J$18,""),_xlpm.oppRuns,IF($AL160=_xlpm.oppA,_xlfn.XLOOKUP($AK160,$H$4:$H$18,$O$4:$O$18,""),_xlfn.XLOOKUP($AK160,$H$4:$H$18,$N$4:$N$18,"")),IF(_xlpm.auto,--(_xlpm.oppRuns=0),Scorebook!M658)))</f>
      </c>
      <c r="AY160" s="5" cm="1">
        <f t="array" aca="1" ref="AY160" ca="1">IF($AK160="","",_xlfn.LET(_xlpm.auto,AND(MOD(ROW()-4,6)=0,$AM160&lt;&gt;0,SUMPRODUCT(--(OFFSET($AM160,1,0,5,1)&lt;&gt;0))=0),IF(_xlpm.auto,1,Scorebook!N658)))</f>
      </c>
      <c r="AZ160" s="5">
        <f>Settings!$B$2</f>
        <v>1</v>
      </c>
    </row>
    <row r="161" spans="19:52">
      <c r="S161" s="4" t="str">
        <f ca="1">Scorebook!$F$394</f>
        <v>G9</v>
      </c>
      <c r="T161" s="5" t="str">
        <f ca="1">Scorebook!$R$394</f>
        <v>May</v>
      </c>
      <c r="U161" s="5" t="str">
        <f ca="1">Scorebook!$B$426</f>
        <v>Hammer Bro</v>
      </c>
      <c r="V161" s="4">
        <v>5</v>
      </c>
      <c r="W161" s="5">
        <f ca="1">Scorebook!M426</f>
        <v>1</v>
      </c>
      <c r="X161" s="5">
        <f ca="1">Scorebook!N426</f>
        <v>0</v>
      </c>
      <c r="Y161" s="5">
        <f ca="1">Scorebook!O426</f>
        <v>0</v>
      </c>
      <c r="Z161" s="5">
        <f ca="1">Scorebook!P426</f>
        <v>0</v>
      </c>
      <c r="AA161" s="5">
        <f ca="1">Scorebook!Q426</f>
        <v>0</v>
      </c>
      <c r="AB161" s="5">
        <f ca="1">Scorebook!R426</f>
        <v>0</v>
      </c>
      <c r="AC161" s="5">
        <f ca="1">Scorebook!S426</f>
        <v>0</v>
      </c>
      <c r="AD161" s="5">
        <f ca="1">Scorebook!T426</f>
        <v>0</v>
      </c>
      <c r="AE161" s="5">
        <f ca="1">Scorebook!U426</f>
        <v>0</v>
      </c>
      <c r="AF161" s="5">
        <f ca="1">Scorebook!V426</f>
        <v>0</v>
      </c>
      <c r="AG161" s="5">
        <f ca="1">Scorebook!W426</f>
        <v>0</v>
      </c>
      <c r="AH161" s="5">
        <f ca="1">Scorebook!X426</f>
        <v>0</v>
      </c>
      <c r="AI161" s="5">
        <f>Settings!$B$2</f>
        <v>1</v>
      </c>
      <c r="AJ161" s="18">
        <f ca="1">IF($AK161="","",Scorebook!$O$659)</f>
      </c>
      <c r="AK161" s="4" t="str">
        <f ca="1">IF(AND(Bracket!$H$20&lt;&gt;"",Bracket!$I$20&lt;&gt;""),"G14","")</f>
      </c>
      <c r="AL161" s="5" t="str">
        <f ca="1">IF(AND(Bracket!$H$20&lt;&gt;"",Bracket!$I$20&lt;&gt;""),Bracket!$H$20,"")</f>
      </c>
      <c r="AM161" s="5" t="str">
        <f>Scorebook!$B$659</f>
      </c>
      <c r="AN161" s="5">
        <f ca="1">IF(Scorebook!C659="","",INT(Scorebook!C659)+MOD(ROUND(Scorebook!C659*10,0),10)/3)</f>
      </c>
      <c r="AO161" s="5" cm="1">
        <f t="array" aca="1" ref="AO161" ca="1">IF($AK161="","",_xlfn.LET(_xlpm.auto,AND(MOD(ROW()-4,6)=0,$AM161&lt;&gt;0,SUMPRODUCT(--(OFFSET($AM161,1,0,5,1)&lt;&gt;0))=0),_xlpm.oppA,_xlfn.XLOOKUP($AK161,$H$4:$H$18,$J$4:$J$18,""),_xlpm.oppB,_xlfn.XLOOKUP($AK161,$H$4:$H$18,$K$4:$K$18,""),_xlpm.opp,IF($AL161=_xlpm.oppA,_xlpm.oppB,_xlpm.oppA),IF(_xlpm.auto,SUMIFS($Y$4:$Y$273,$S$4:$S$273,$AK161,$T$4:$T$273,_xlpm.opp),Scorebook!D659)))</f>
      </c>
      <c r="AP161" s="5" cm="1">
        <f t="array" aca="1" ref="AP161" ca="1">IF($AK161="","",_xlfn.LET(_xlpm.auto,AND(MOD(ROW()-4,6)=0,$AM161&lt;&gt;0,SUMPRODUCT(--(OFFSET($AM161,1,0,5,1)&lt;&gt;0))=0),_xlpm.oppA,_xlfn.XLOOKUP($AK161,$H$4:$H$18,$J$4:$J$18,""),_xlpm.oppRuns,IF($AL161=_xlpm.oppA,_xlfn.XLOOKUP($AK161,$H$4:$H$18,$O$4:$O$18,""),_xlfn.XLOOKUP($AK161,$H$4:$H$18,$N$4:$N$18,"")),IF(_xlpm.auto,_xlpm.oppRuns,Scorebook!E659)))</f>
      </c>
      <c r="AQ161" s="5">
        <f ca="1">Scorebook!F659</f>
      </c>
      <c r="AR161" s="5" cm="1">
        <f t="array" aca="1" ref="AR161" ca="1">IF($AK161="","",_xlfn.LET(_xlpm.auto,AND(MOD(ROW()-4,6)=0,$AM161&lt;&gt;0,SUMPRODUCT(--(OFFSET($AM161,1,0,5,1)&lt;&gt;0))=0),_xlpm.oppA,_xlfn.XLOOKUP($AK161,$H$4:$H$18,$J$4:$J$18,""),_xlpm.oppB,_xlfn.XLOOKUP($AK161,$H$4:$H$18,$K$4:$K$18,""),_xlpm.opp,IF($AL161=_xlpm.oppA,_xlpm.oppB,_xlpm.oppA),IF(_xlpm.auto,SUMIFS($AD$4:$AD$273,$S$4:$S$273,$AK161,$T$4:$T$273,_xlpm.opp),Scorebook!G659)))</f>
      </c>
      <c r="AS161" s="5" cm="1">
        <f t="array" aca="1" ref="AS161" ca="1">IF($AK161="","",_xlfn.LET(_xlpm.auto,AND(MOD(ROW()-4,6)=0,$AM161&lt;&gt;0,SUMPRODUCT(--(OFFSET($AM161,1,0,5,1)&lt;&gt;0))=0),_xlpm.oppA,_xlfn.XLOOKUP($AK161,$H$4:$H$18,$J$4:$J$18,""),_xlpm.oppB,_xlfn.XLOOKUP($AK161,$H$4:$H$18,$K$4:$K$18,""),_xlpm.opp,IF($AL161=_xlpm.oppA,_xlpm.oppB,_xlpm.oppA),IF(_xlpm.auto,SUMIFS($AE$4:$AE$273,$S$4:$S$273,$AK161,$T$4:$T$273,_xlpm.opp),Scorebook!H659)))</f>
      </c>
      <c r="AT161" s="5" cm="1">
        <f t="array" aca="1" ref="AT161" ca="1">IF($AK161="","",_xlfn.LET(_xlpm.auto,AND(MOD(ROW()-4,6)=0,$AM161&lt;&gt;0,SUMPRODUCT(--(OFFSET($AM161,1,0,5,1)&lt;&gt;0))=0),_xlpm.oppA,_xlfn.XLOOKUP($AK161,$H$4:$H$18,$J$4:$J$18,""),_xlpm.oppB,_xlfn.XLOOKUP($AK161,$H$4:$H$18,$K$4:$K$18,""),_xlpm.opp,IF($AL161=_xlpm.oppA,_xlpm.oppB,_xlpm.oppA),IF(_xlpm.auto,SUMIFS($AB$4:$AB$273,$S$4:$S$273,$AK161,$T$4:$T$273,_xlpm.opp),Scorebook!I659)))</f>
      </c>
      <c r="AU161" s="5" cm="1">
        <f t="array" aca="1" ref="AU161" ca="1">IF($AK161="","",_xlfn.LET(_xlpm.auto,AND(MOD(ROW()-4,6)=0,$AM161&lt;&gt;0,SUMPRODUCT(--(OFFSET($AM161,1,0,5,1)&lt;&gt;0))=0),_xlpm.winner,_xlfn.XLOOKUP($AK161,$H$4:$H$18,$L$4:$L$18,""),IF(_xlpm.auto,--($AL161=_xlpm.winner),Scorebook!J659)))</f>
      </c>
      <c r="AV161" s="5" cm="1">
        <f t="array" aca="1" ref="AV161" ca="1">IF($AK161="","",_xlfn.LET(_xlpm.auto,AND(MOD(ROW()-4,6)=0,$AM161&lt;&gt;0,SUMPRODUCT(--(OFFSET($AM161,1,0,5,1)&lt;&gt;0))=0),_xlpm.loser,_xlfn.XLOOKUP($AK161,$H$4:$H$18,$M$4:$M$18,""),IF(_xlpm.auto,--($AL161=_xlpm.loser),Scorebook!K659)))</f>
      </c>
      <c r="AW161" s="5">
        <f ca="1">Scorebook!L659</f>
      </c>
      <c r="AX161" s="5" cm="1">
        <f t="array" aca="1" ref="AX161" ca="1">IF($AK161="","",_xlfn.LET(_xlpm.auto,AND(MOD(ROW()-4,6)=0,$AM161&lt;&gt;0,SUMPRODUCT(--(OFFSET($AM161,1,0,5,1)&lt;&gt;0))=0),_xlpm.oppA,_xlfn.XLOOKUP($AK161,$H$4:$H$18,$J$4:$J$18,""),_xlpm.oppRuns,IF($AL161=_xlpm.oppA,_xlfn.XLOOKUP($AK161,$H$4:$H$18,$O$4:$O$18,""),_xlfn.XLOOKUP($AK161,$H$4:$H$18,$N$4:$N$18,"")),IF(_xlpm.auto,--(_xlpm.oppRuns=0),Scorebook!M659)))</f>
      </c>
      <c r="AY161" s="5" cm="1">
        <f t="array" aca="1" ref="AY161" ca="1">IF($AK161="","",_xlfn.LET(_xlpm.auto,AND(MOD(ROW()-4,6)=0,$AM161&lt;&gt;0,SUMPRODUCT(--(OFFSET($AM161,1,0,5,1)&lt;&gt;0))=0),IF(_xlpm.auto,1,Scorebook!N659)))</f>
      </c>
      <c r="AZ161" s="5">
        <f>Settings!$B$2</f>
        <v>1</v>
      </c>
    </row>
    <row r="162" spans="19:52">
      <c r="S162" s="4" t="str">
        <f ca="1">Scorebook!$F$394</f>
        <v>G9</v>
      </c>
      <c r="T162" s="5" t="str">
        <f ca="1">Scorebook!$R$394</f>
        <v>May</v>
      </c>
      <c r="U162" s="5" t="str">
        <f ca="1">Scorebook!$B$427</f>
        <v>Red Yoshi</v>
      </c>
      <c r="V162" s="4">
        <v>6</v>
      </c>
      <c r="W162" s="5">
        <f ca="1">Scorebook!M427</f>
        <v>1</v>
      </c>
      <c r="X162" s="5">
        <f ca="1">Scorebook!N427</f>
        <v>0</v>
      </c>
      <c r="Y162" s="5">
        <f ca="1">Scorebook!O427</f>
        <v>0</v>
      </c>
      <c r="Z162" s="5">
        <f ca="1">Scorebook!P427</f>
        <v>0</v>
      </c>
      <c r="AA162" s="5">
        <f ca="1">Scorebook!Q427</f>
        <v>0</v>
      </c>
      <c r="AB162" s="5">
        <f ca="1">Scorebook!R427</f>
        <v>0</v>
      </c>
      <c r="AC162" s="5">
        <f ca="1">Scorebook!S427</f>
        <v>0</v>
      </c>
      <c r="AD162" s="5">
        <f ca="1">Scorebook!T427</f>
        <v>0</v>
      </c>
      <c r="AE162" s="5">
        <f ca="1">Scorebook!U427</f>
        <v>0</v>
      </c>
      <c r="AF162" s="5">
        <f ca="1">Scorebook!V427</f>
        <v>0</v>
      </c>
      <c r="AG162" s="5">
        <f ca="1">Scorebook!W427</f>
        <v>0</v>
      </c>
      <c r="AH162" s="5">
        <f ca="1">Scorebook!X427</f>
        <v>0</v>
      </c>
      <c r="AI162" s="5">
        <f>Settings!$B$2</f>
        <v>1</v>
      </c>
      <c r="AJ162" s="18">
        <f ca="1">IF($AK162="","",Scorebook!$O$660)</f>
      </c>
      <c r="AK162" s="4" t="str">
        <f ca="1">IF(AND(Bracket!$H$20&lt;&gt;"",Bracket!$I$20&lt;&gt;""),"G14","")</f>
      </c>
      <c r="AL162" s="5" t="str">
        <f ca="1">IF(AND(Bracket!$H$20&lt;&gt;"",Bracket!$I$20&lt;&gt;""),Bracket!$H$20,"")</f>
      </c>
      <c r="AM162" s="5" t="str">
        <f>Scorebook!$B$660</f>
      </c>
      <c r="AN162" s="5">
        <f ca="1">IF(Scorebook!C660="","",INT(Scorebook!C660)+MOD(ROUND(Scorebook!C660*10,0),10)/3)</f>
      </c>
      <c r="AO162" s="5" cm="1">
        <f t="array" aca="1" ref="AO162" ca="1">IF($AK162="","",_xlfn.LET(_xlpm.auto,AND(MOD(ROW()-4,6)=0,$AM162&lt;&gt;0,SUMPRODUCT(--(OFFSET($AM162,1,0,5,1)&lt;&gt;0))=0),_xlpm.oppA,_xlfn.XLOOKUP($AK162,$H$4:$H$18,$J$4:$J$18,""),_xlpm.oppB,_xlfn.XLOOKUP($AK162,$H$4:$H$18,$K$4:$K$18,""),_xlpm.opp,IF($AL162=_xlpm.oppA,_xlpm.oppB,_xlpm.oppA),IF(_xlpm.auto,SUMIFS($Y$4:$Y$273,$S$4:$S$273,$AK162,$T$4:$T$273,_xlpm.opp),Scorebook!D660)))</f>
      </c>
      <c r="AP162" s="5" cm="1">
        <f t="array" aca="1" ref="AP162" ca="1">IF($AK162="","",_xlfn.LET(_xlpm.auto,AND(MOD(ROW()-4,6)=0,$AM162&lt;&gt;0,SUMPRODUCT(--(OFFSET($AM162,1,0,5,1)&lt;&gt;0))=0),_xlpm.oppA,_xlfn.XLOOKUP($AK162,$H$4:$H$18,$J$4:$J$18,""),_xlpm.oppRuns,IF($AL162=_xlpm.oppA,_xlfn.XLOOKUP($AK162,$H$4:$H$18,$O$4:$O$18,""),_xlfn.XLOOKUP($AK162,$H$4:$H$18,$N$4:$N$18,"")),IF(_xlpm.auto,_xlpm.oppRuns,Scorebook!E660)))</f>
      </c>
      <c r="AQ162" s="5">
        <f ca="1">Scorebook!F660</f>
      </c>
      <c r="AR162" s="5" cm="1">
        <f t="array" aca="1" ref="AR162" ca="1">IF($AK162="","",_xlfn.LET(_xlpm.auto,AND(MOD(ROW()-4,6)=0,$AM162&lt;&gt;0,SUMPRODUCT(--(OFFSET($AM162,1,0,5,1)&lt;&gt;0))=0),_xlpm.oppA,_xlfn.XLOOKUP($AK162,$H$4:$H$18,$J$4:$J$18,""),_xlpm.oppB,_xlfn.XLOOKUP($AK162,$H$4:$H$18,$K$4:$K$18,""),_xlpm.opp,IF($AL162=_xlpm.oppA,_xlpm.oppB,_xlpm.oppA),IF(_xlpm.auto,SUMIFS($AD$4:$AD$273,$S$4:$S$273,$AK162,$T$4:$T$273,_xlpm.opp),Scorebook!G660)))</f>
      </c>
      <c r="AS162" s="5" cm="1">
        <f t="array" aca="1" ref="AS162" ca="1">IF($AK162="","",_xlfn.LET(_xlpm.auto,AND(MOD(ROW()-4,6)=0,$AM162&lt;&gt;0,SUMPRODUCT(--(OFFSET($AM162,1,0,5,1)&lt;&gt;0))=0),_xlpm.oppA,_xlfn.XLOOKUP($AK162,$H$4:$H$18,$J$4:$J$18,""),_xlpm.oppB,_xlfn.XLOOKUP($AK162,$H$4:$H$18,$K$4:$K$18,""),_xlpm.opp,IF($AL162=_xlpm.oppA,_xlpm.oppB,_xlpm.oppA),IF(_xlpm.auto,SUMIFS($AE$4:$AE$273,$S$4:$S$273,$AK162,$T$4:$T$273,_xlpm.opp),Scorebook!H660)))</f>
      </c>
      <c r="AT162" s="5" cm="1">
        <f t="array" aca="1" ref="AT162" ca="1">IF($AK162="","",_xlfn.LET(_xlpm.auto,AND(MOD(ROW()-4,6)=0,$AM162&lt;&gt;0,SUMPRODUCT(--(OFFSET($AM162,1,0,5,1)&lt;&gt;0))=0),_xlpm.oppA,_xlfn.XLOOKUP($AK162,$H$4:$H$18,$J$4:$J$18,""),_xlpm.oppB,_xlfn.XLOOKUP($AK162,$H$4:$H$18,$K$4:$K$18,""),_xlpm.opp,IF($AL162=_xlpm.oppA,_xlpm.oppB,_xlpm.oppA),IF(_xlpm.auto,SUMIFS($AB$4:$AB$273,$S$4:$S$273,$AK162,$T$4:$T$273,_xlpm.opp),Scorebook!I660)))</f>
      </c>
      <c r="AU162" s="5" cm="1">
        <f t="array" aca="1" ref="AU162" ca="1">IF($AK162="","",_xlfn.LET(_xlpm.auto,AND(MOD(ROW()-4,6)=0,$AM162&lt;&gt;0,SUMPRODUCT(--(OFFSET($AM162,1,0,5,1)&lt;&gt;0))=0),_xlpm.winner,_xlfn.XLOOKUP($AK162,$H$4:$H$18,$L$4:$L$18,""),IF(_xlpm.auto,--($AL162=_xlpm.winner),Scorebook!J660)))</f>
      </c>
      <c r="AV162" s="5" cm="1">
        <f t="array" aca="1" ref="AV162" ca="1">IF($AK162="","",_xlfn.LET(_xlpm.auto,AND(MOD(ROW()-4,6)=0,$AM162&lt;&gt;0,SUMPRODUCT(--(OFFSET($AM162,1,0,5,1)&lt;&gt;0))=0),_xlpm.loser,_xlfn.XLOOKUP($AK162,$H$4:$H$18,$M$4:$M$18,""),IF(_xlpm.auto,--($AL162=_xlpm.loser),Scorebook!K660)))</f>
      </c>
      <c r="AW162" s="5">
        <f ca="1">Scorebook!L660</f>
      </c>
      <c r="AX162" s="5" cm="1">
        <f t="array" aca="1" ref="AX162" ca="1">IF($AK162="","",_xlfn.LET(_xlpm.auto,AND(MOD(ROW()-4,6)=0,$AM162&lt;&gt;0,SUMPRODUCT(--(OFFSET($AM162,1,0,5,1)&lt;&gt;0))=0),_xlpm.oppA,_xlfn.XLOOKUP($AK162,$H$4:$H$18,$J$4:$J$18,""),_xlpm.oppRuns,IF($AL162=_xlpm.oppA,_xlfn.XLOOKUP($AK162,$H$4:$H$18,$O$4:$O$18,""),_xlfn.XLOOKUP($AK162,$H$4:$H$18,$N$4:$N$18,"")),IF(_xlpm.auto,--(_xlpm.oppRuns=0),Scorebook!M660)))</f>
      </c>
      <c r="AY162" s="5" cm="1">
        <f t="array" aca="1" ref="AY162" ca="1">IF($AK162="","",_xlfn.LET(_xlpm.auto,AND(MOD(ROW()-4,6)=0,$AM162&lt;&gt;0,SUMPRODUCT(--(OFFSET($AM162,1,0,5,1)&lt;&gt;0))=0),IF(_xlpm.auto,1,Scorebook!N660)))</f>
      </c>
      <c r="AZ162" s="5">
        <f>Settings!$B$2</f>
        <v>1</v>
      </c>
    </row>
    <row r="163" spans="19:52">
      <c r="S163" s="4" t="str">
        <f ca="1">Scorebook!$F$394</f>
        <v>G9</v>
      </c>
      <c r="T163" s="5" t="str">
        <f ca="1">Scorebook!$R$394</f>
        <v>May</v>
      </c>
      <c r="U163" s="5" t="str">
        <f ca="1">Scorebook!$B$428</f>
        <v>Koopa</v>
      </c>
      <c r="V163" s="4">
        <v>7</v>
      </c>
      <c r="W163" s="5">
        <f ca="1">Scorebook!M428</f>
        <v>1</v>
      </c>
      <c r="X163" s="5">
        <f ca="1">Scorebook!N428</f>
        <v>0</v>
      </c>
      <c r="Y163" s="5">
        <f ca="1">Scorebook!O428</f>
        <v>0</v>
      </c>
      <c r="Z163" s="5">
        <f ca="1">Scorebook!P428</f>
        <v>0</v>
      </c>
      <c r="AA163" s="5">
        <f ca="1">Scorebook!Q428</f>
        <v>0</v>
      </c>
      <c r="AB163" s="5">
        <f ca="1">Scorebook!R428</f>
        <v>0</v>
      </c>
      <c r="AC163" s="5">
        <f ca="1">Scorebook!S428</f>
        <v>0</v>
      </c>
      <c r="AD163" s="5">
        <f ca="1">Scorebook!T428</f>
        <v>0</v>
      </c>
      <c r="AE163" s="5">
        <f ca="1">Scorebook!U428</f>
        <v>0</v>
      </c>
      <c r="AF163" s="5">
        <f ca="1">Scorebook!V428</f>
        <v>0</v>
      </c>
      <c r="AG163" s="5">
        <f ca="1">Scorebook!W428</f>
        <v>0</v>
      </c>
      <c r="AH163" s="5">
        <f ca="1">Scorebook!X428</f>
        <v>0</v>
      </c>
      <c r="AI163" s="5">
        <f>Settings!$B$2</f>
        <v>1</v>
      </c>
      <c r="AJ163" s="18">
        <f ca="1">IF($AK163="","",Scorebook!$O$661)</f>
      </c>
      <c r="AK163" s="4" t="str">
        <f ca="1">IF(AND(Bracket!$H$20&lt;&gt;"",Bracket!$I$20&lt;&gt;""),"G14","")</f>
      </c>
      <c r="AL163" s="5" t="str">
        <f ca="1">IF(AND(Bracket!$H$20&lt;&gt;"",Bracket!$I$20&lt;&gt;""),Bracket!$H$20,"")</f>
      </c>
      <c r="AM163" s="5" t="str">
        <f>Scorebook!$B$661</f>
      </c>
      <c r="AN163" s="5">
        <f ca="1">IF(Scorebook!C661="","",INT(Scorebook!C661)+MOD(ROUND(Scorebook!C661*10,0),10)/3)</f>
      </c>
      <c r="AO163" s="5" cm="1">
        <f t="array" aca="1" ref="AO163" ca="1">IF($AK163="","",_xlfn.LET(_xlpm.auto,AND(MOD(ROW()-4,6)=0,$AM163&lt;&gt;0,SUMPRODUCT(--(OFFSET($AM163,1,0,5,1)&lt;&gt;0))=0),_xlpm.oppA,_xlfn.XLOOKUP($AK163,$H$4:$H$18,$J$4:$J$18,""),_xlpm.oppB,_xlfn.XLOOKUP($AK163,$H$4:$H$18,$K$4:$K$18,""),_xlpm.opp,IF($AL163=_xlpm.oppA,_xlpm.oppB,_xlpm.oppA),IF(_xlpm.auto,SUMIFS($Y$4:$Y$273,$S$4:$S$273,$AK163,$T$4:$T$273,_xlpm.opp),Scorebook!D661)))</f>
      </c>
      <c r="AP163" s="5" cm="1">
        <f t="array" aca="1" ref="AP163" ca="1">IF($AK163="","",_xlfn.LET(_xlpm.auto,AND(MOD(ROW()-4,6)=0,$AM163&lt;&gt;0,SUMPRODUCT(--(OFFSET($AM163,1,0,5,1)&lt;&gt;0))=0),_xlpm.oppA,_xlfn.XLOOKUP($AK163,$H$4:$H$18,$J$4:$J$18,""),_xlpm.oppRuns,IF($AL163=_xlpm.oppA,_xlfn.XLOOKUP($AK163,$H$4:$H$18,$O$4:$O$18,""),_xlfn.XLOOKUP($AK163,$H$4:$H$18,$N$4:$N$18,"")),IF(_xlpm.auto,_xlpm.oppRuns,Scorebook!E661)))</f>
      </c>
      <c r="AQ163" s="5">
        <f ca="1">Scorebook!F661</f>
      </c>
      <c r="AR163" s="5" cm="1">
        <f t="array" aca="1" ref="AR163" ca="1">IF($AK163="","",_xlfn.LET(_xlpm.auto,AND(MOD(ROW()-4,6)=0,$AM163&lt;&gt;0,SUMPRODUCT(--(OFFSET($AM163,1,0,5,1)&lt;&gt;0))=0),_xlpm.oppA,_xlfn.XLOOKUP($AK163,$H$4:$H$18,$J$4:$J$18,""),_xlpm.oppB,_xlfn.XLOOKUP($AK163,$H$4:$H$18,$K$4:$K$18,""),_xlpm.opp,IF($AL163=_xlpm.oppA,_xlpm.oppB,_xlpm.oppA),IF(_xlpm.auto,SUMIFS($AD$4:$AD$273,$S$4:$S$273,$AK163,$T$4:$T$273,_xlpm.opp),Scorebook!G661)))</f>
      </c>
      <c r="AS163" s="5" cm="1">
        <f t="array" aca="1" ref="AS163" ca="1">IF($AK163="","",_xlfn.LET(_xlpm.auto,AND(MOD(ROW()-4,6)=0,$AM163&lt;&gt;0,SUMPRODUCT(--(OFFSET($AM163,1,0,5,1)&lt;&gt;0))=0),_xlpm.oppA,_xlfn.XLOOKUP($AK163,$H$4:$H$18,$J$4:$J$18,""),_xlpm.oppB,_xlfn.XLOOKUP($AK163,$H$4:$H$18,$K$4:$K$18,""),_xlpm.opp,IF($AL163=_xlpm.oppA,_xlpm.oppB,_xlpm.oppA),IF(_xlpm.auto,SUMIFS($AE$4:$AE$273,$S$4:$S$273,$AK163,$T$4:$T$273,_xlpm.opp),Scorebook!H661)))</f>
      </c>
      <c r="AT163" s="5" cm="1">
        <f t="array" aca="1" ref="AT163" ca="1">IF($AK163="","",_xlfn.LET(_xlpm.auto,AND(MOD(ROW()-4,6)=0,$AM163&lt;&gt;0,SUMPRODUCT(--(OFFSET($AM163,1,0,5,1)&lt;&gt;0))=0),_xlpm.oppA,_xlfn.XLOOKUP($AK163,$H$4:$H$18,$J$4:$J$18,""),_xlpm.oppB,_xlfn.XLOOKUP($AK163,$H$4:$H$18,$K$4:$K$18,""),_xlpm.opp,IF($AL163=_xlpm.oppA,_xlpm.oppB,_xlpm.oppA),IF(_xlpm.auto,SUMIFS($AB$4:$AB$273,$S$4:$S$273,$AK163,$T$4:$T$273,_xlpm.opp),Scorebook!I661)))</f>
      </c>
      <c r="AU163" s="5" cm="1">
        <f t="array" aca="1" ref="AU163" ca="1">IF($AK163="","",_xlfn.LET(_xlpm.auto,AND(MOD(ROW()-4,6)=0,$AM163&lt;&gt;0,SUMPRODUCT(--(OFFSET($AM163,1,0,5,1)&lt;&gt;0))=0),_xlpm.winner,_xlfn.XLOOKUP($AK163,$H$4:$H$18,$L$4:$L$18,""),IF(_xlpm.auto,--($AL163=_xlpm.winner),Scorebook!J661)))</f>
      </c>
      <c r="AV163" s="5" cm="1">
        <f t="array" aca="1" ref="AV163" ca="1">IF($AK163="","",_xlfn.LET(_xlpm.auto,AND(MOD(ROW()-4,6)=0,$AM163&lt;&gt;0,SUMPRODUCT(--(OFFSET($AM163,1,0,5,1)&lt;&gt;0))=0),_xlpm.loser,_xlfn.XLOOKUP($AK163,$H$4:$H$18,$M$4:$M$18,""),IF(_xlpm.auto,--($AL163=_xlpm.loser),Scorebook!K661)))</f>
      </c>
      <c r="AW163" s="5">
        <f ca="1">Scorebook!L661</f>
      </c>
      <c r="AX163" s="5" cm="1">
        <f t="array" aca="1" ref="AX163" ca="1">IF($AK163="","",_xlfn.LET(_xlpm.auto,AND(MOD(ROW()-4,6)=0,$AM163&lt;&gt;0,SUMPRODUCT(--(OFFSET($AM163,1,0,5,1)&lt;&gt;0))=0),_xlpm.oppA,_xlfn.XLOOKUP($AK163,$H$4:$H$18,$J$4:$J$18,""),_xlpm.oppRuns,IF($AL163=_xlpm.oppA,_xlfn.XLOOKUP($AK163,$H$4:$H$18,$O$4:$O$18,""),_xlfn.XLOOKUP($AK163,$H$4:$H$18,$N$4:$N$18,"")),IF(_xlpm.auto,--(_xlpm.oppRuns=0),Scorebook!M661)))</f>
      </c>
      <c r="AY163" s="5" cm="1">
        <f t="array" aca="1" ref="AY163" ca="1">IF($AK163="","",_xlfn.LET(_xlpm.auto,AND(MOD(ROW()-4,6)=0,$AM163&lt;&gt;0,SUMPRODUCT(--(OFFSET($AM163,1,0,5,1)&lt;&gt;0))=0),IF(_xlpm.auto,1,Scorebook!N661)))</f>
      </c>
      <c r="AZ163" s="5">
        <f>Settings!$B$2</f>
        <v>1</v>
      </c>
    </row>
    <row r="164" spans="19:52">
      <c r="S164" s="4" t="str">
        <f ca="1">Scorebook!$F$394</f>
        <v>G9</v>
      </c>
      <c r="T164" s="5" t="str">
        <f ca="1">Scorebook!$R$394</f>
        <v>May</v>
      </c>
      <c r="U164" s="5" t="str">
        <f ca="1">Scorebook!$B$429</f>
        <v>Green Shy Guy</v>
      </c>
      <c r="V164" s="4">
        <v>8</v>
      </c>
      <c r="W164" s="5">
        <f ca="1">Scorebook!M429</f>
        <v>1</v>
      </c>
      <c r="X164" s="5">
        <f ca="1">Scorebook!N429</f>
        <v>0</v>
      </c>
      <c r="Y164" s="5">
        <f ca="1">Scorebook!O429</f>
        <v>0</v>
      </c>
      <c r="Z164" s="5">
        <f ca="1">Scorebook!P429</f>
        <v>0</v>
      </c>
      <c r="AA164" s="5">
        <f ca="1">Scorebook!Q429</f>
        <v>0</v>
      </c>
      <c r="AB164" s="5">
        <f ca="1">Scorebook!R429</f>
        <v>0</v>
      </c>
      <c r="AC164" s="5">
        <f ca="1">Scorebook!S429</f>
        <v>0</v>
      </c>
      <c r="AD164" s="5">
        <f ca="1">Scorebook!T429</f>
        <v>0</v>
      </c>
      <c r="AE164" s="5">
        <f ca="1">Scorebook!U429</f>
        <v>0</v>
      </c>
      <c r="AF164" s="5">
        <f ca="1">Scorebook!V429</f>
        <v>0</v>
      </c>
      <c r="AG164" s="5">
        <f ca="1">Scorebook!W429</f>
        <v>0</v>
      </c>
      <c r="AH164" s="5">
        <f ca="1">Scorebook!X429</f>
        <v>0</v>
      </c>
      <c r="AI164" s="5">
        <f>Settings!$B$2</f>
        <v>1</v>
      </c>
      <c r="AJ164" s="18">
        <f ca="1">IF($AK164="","",Scorebook!$O$662)</f>
      </c>
      <c r="AK164" s="4" t="str">
        <f ca="1">IF(AND(Bracket!$H$20&lt;&gt;"",Bracket!$I$20&lt;&gt;""),"G14","")</f>
      </c>
      <c r="AL164" s="5" t="str">
        <f ca="1">IF(AND(Bracket!$H$20&lt;&gt;"",Bracket!$I$20&lt;&gt;""),Bracket!$H$20,"")</f>
      </c>
      <c r="AM164" s="5" t="str">
        <f>Scorebook!$B$662</f>
      </c>
      <c r="AN164" s="5">
        <f ca="1">IF(Scorebook!C662="","",INT(Scorebook!C662)+MOD(ROUND(Scorebook!C662*10,0),10)/3)</f>
      </c>
      <c r="AO164" s="5" cm="1">
        <f t="array" aca="1" ref="AO164" ca="1">IF($AK164="","",_xlfn.LET(_xlpm.auto,AND(MOD(ROW()-4,6)=0,$AM164&lt;&gt;0,SUMPRODUCT(--(OFFSET($AM164,1,0,5,1)&lt;&gt;0))=0),_xlpm.oppA,_xlfn.XLOOKUP($AK164,$H$4:$H$18,$J$4:$J$18,""),_xlpm.oppB,_xlfn.XLOOKUP($AK164,$H$4:$H$18,$K$4:$K$18,""),_xlpm.opp,IF($AL164=_xlpm.oppA,_xlpm.oppB,_xlpm.oppA),IF(_xlpm.auto,SUMIFS($Y$4:$Y$273,$S$4:$S$273,$AK164,$T$4:$T$273,_xlpm.opp),Scorebook!D662)))</f>
      </c>
      <c r="AP164" s="5" cm="1">
        <f t="array" aca="1" ref="AP164" ca="1">IF($AK164="","",_xlfn.LET(_xlpm.auto,AND(MOD(ROW()-4,6)=0,$AM164&lt;&gt;0,SUMPRODUCT(--(OFFSET($AM164,1,0,5,1)&lt;&gt;0))=0),_xlpm.oppA,_xlfn.XLOOKUP($AK164,$H$4:$H$18,$J$4:$J$18,""),_xlpm.oppRuns,IF($AL164=_xlpm.oppA,_xlfn.XLOOKUP($AK164,$H$4:$H$18,$O$4:$O$18,""),_xlfn.XLOOKUP($AK164,$H$4:$H$18,$N$4:$N$18,"")),IF(_xlpm.auto,_xlpm.oppRuns,Scorebook!E662)))</f>
      </c>
      <c r="AQ164" s="5">
        <f ca="1">Scorebook!F662</f>
      </c>
      <c r="AR164" s="5" cm="1">
        <f t="array" aca="1" ref="AR164" ca="1">IF($AK164="","",_xlfn.LET(_xlpm.auto,AND(MOD(ROW()-4,6)=0,$AM164&lt;&gt;0,SUMPRODUCT(--(OFFSET($AM164,1,0,5,1)&lt;&gt;0))=0),_xlpm.oppA,_xlfn.XLOOKUP($AK164,$H$4:$H$18,$J$4:$J$18,""),_xlpm.oppB,_xlfn.XLOOKUP($AK164,$H$4:$H$18,$K$4:$K$18,""),_xlpm.opp,IF($AL164=_xlpm.oppA,_xlpm.oppB,_xlpm.oppA),IF(_xlpm.auto,SUMIFS($AD$4:$AD$273,$S$4:$S$273,$AK164,$T$4:$T$273,_xlpm.opp),Scorebook!G662)))</f>
      </c>
      <c r="AS164" s="5" cm="1">
        <f t="array" aca="1" ref="AS164" ca="1">IF($AK164="","",_xlfn.LET(_xlpm.auto,AND(MOD(ROW()-4,6)=0,$AM164&lt;&gt;0,SUMPRODUCT(--(OFFSET($AM164,1,0,5,1)&lt;&gt;0))=0),_xlpm.oppA,_xlfn.XLOOKUP($AK164,$H$4:$H$18,$J$4:$J$18,""),_xlpm.oppB,_xlfn.XLOOKUP($AK164,$H$4:$H$18,$K$4:$K$18,""),_xlpm.opp,IF($AL164=_xlpm.oppA,_xlpm.oppB,_xlpm.oppA),IF(_xlpm.auto,SUMIFS($AE$4:$AE$273,$S$4:$S$273,$AK164,$T$4:$T$273,_xlpm.opp),Scorebook!H662)))</f>
      </c>
      <c r="AT164" s="5" cm="1">
        <f t="array" aca="1" ref="AT164" ca="1">IF($AK164="","",_xlfn.LET(_xlpm.auto,AND(MOD(ROW()-4,6)=0,$AM164&lt;&gt;0,SUMPRODUCT(--(OFFSET($AM164,1,0,5,1)&lt;&gt;0))=0),_xlpm.oppA,_xlfn.XLOOKUP($AK164,$H$4:$H$18,$J$4:$J$18,""),_xlpm.oppB,_xlfn.XLOOKUP($AK164,$H$4:$H$18,$K$4:$K$18,""),_xlpm.opp,IF($AL164=_xlpm.oppA,_xlpm.oppB,_xlpm.oppA),IF(_xlpm.auto,SUMIFS($AB$4:$AB$273,$S$4:$S$273,$AK164,$T$4:$T$273,_xlpm.opp),Scorebook!I662)))</f>
      </c>
      <c r="AU164" s="5" cm="1">
        <f t="array" aca="1" ref="AU164" ca="1">IF($AK164="","",_xlfn.LET(_xlpm.auto,AND(MOD(ROW()-4,6)=0,$AM164&lt;&gt;0,SUMPRODUCT(--(OFFSET($AM164,1,0,5,1)&lt;&gt;0))=0),_xlpm.winner,_xlfn.XLOOKUP($AK164,$H$4:$H$18,$L$4:$L$18,""),IF(_xlpm.auto,--($AL164=_xlpm.winner),Scorebook!J662)))</f>
      </c>
      <c r="AV164" s="5" cm="1">
        <f t="array" aca="1" ref="AV164" ca="1">IF($AK164="","",_xlfn.LET(_xlpm.auto,AND(MOD(ROW()-4,6)=0,$AM164&lt;&gt;0,SUMPRODUCT(--(OFFSET($AM164,1,0,5,1)&lt;&gt;0))=0),_xlpm.loser,_xlfn.XLOOKUP($AK164,$H$4:$H$18,$M$4:$M$18,""),IF(_xlpm.auto,--($AL164=_xlpm.loser),Scorebook!K662)))</f>
      </c>
      <c r="AW164" s="5">
        <f ca="1">Scorebook!L662</f>
      </c>
      <c r="AX164" s="5" cm="1">
        <f t="array" aca="1" ref="AX164" ca="1">IF($AK164="","",_xlfn.LET(_xlpm.auto,AND(MOD(ROW()-4,6)=0,$AM164&lt;&gt;0,SUMPRODUCT(--(OFFSET($AM164,1,0,5,1)&lt;&gt;0))=0),_xlpm.oppA,_xlfn.XLOOKUP($AK164,$H$4:$H$18,$J$4:$J$18,""),_xlpm.oppRuns,IF($AL164=_xlpm.oppA,_xlfn.XLOOKUP($AK164,$H$4:$H$18,$O$4:$O$18,""),_xlfn.XLOOKUP($AK164,$H$4:$H$18,$N$4:$N$18,"")),IF(_xlpm.auto,--(_xlpm.oppRuns=0),Scorebook!M662)))</f>
      </c>
      <c r="AY164" s="5" cm="1">
        <f t="array" aca="1" ref="AY164" ca="1">IF($AK164="","",_xlfn.LET(_xlpm.auto,AND(MOD(ROW()-4,6)=0,$AM164&lt;&gt;0,SUMPRODUCT(--(OFFSET($AM164,1,0,5,1)&lt;&gt;0))=0),IF(_xlpm.auto,1,Scorebook!N662)))</f>
      </c>
      <c r="AZ164" s="5">
        <f>Settings!$B$2</f>
        <v>1</v>
      </c>
    </row>
    <row r="165" spans="19:52">
      <c r="S165" s="4" t="str">
        <f ca="1">Scorebook!$F$394</f>
        <v>G9</v>
      </c>
      <c r="T165" s="5" t="str">
        <f ca="1">Scorebook!$R$394</f>
        <v>May</v>
      </c>
      <c r="U165" s="5" t="str">
        <f ca="1">Scorebook!$B$430</f>
        <v>Baby Peach</v>
      </c>
      <c r="V165" s="4">
        <v>9</v>
      </c>
      <c r="W165" s="5">
        <f ca="1">Scorebook!M430</f>
        <v>1</v>
      </c>
      <c r="X165" s="5">
        <f ca="1">Scorebook!N430</f>
        <v>0</v>
      </c>
      <c r="Y165" s="5">
        <f ca="1">Scorebook!O430</f>
        <v>0</v>
      </c>
      <c r="Z165" s="5">
        <f ca="1">Scorebook!P430</f>
        <v>0</v>
      </c>
      <c r="AA165" s="5">
        <f ca="1">Scorebook!Q430</f>
        <v>0</v>
      </c>
      <c r="AB165" s="5">
        <f ca="1">Scorebook!R430</f>
        <v>0</v>
      </c>
      <c r="AC165" s="5">
        <f ca="1">Scorebook!S430</f>
        <v>0</v>
      </c>
      <c r="AD165" s="5">
        <f ca="1">Scorebook!T430</f>
        <v>0</v>
      </c>
      <c r="AE165" s="5">
        <f ca="1">Scorebook!U430</f>
        <v>0</v>
      </c>
      <c r="AF165" s="5">
        <f ca="1">Scorebook!V430</f>
        <v>0</v>
      </c>
      <c r="AG165" s="5">
        <f ca="1">Scorebook!W430</f>
        <v>0</v>
      </c>
      <c r="AH165" s="5">
        <f ca="1">Scorebook!X430</f>
        <v>0</v>
      </c>
      <c r="AI165" s="5">
        <f>Settings!$B$2</f>
        <v>1</v>
      </c>
      <c r="AJ165" s="18">
        <f ca="1">IF($AK165="","",Scorebook!$O$663)</f>
      </c>
      <c r="AK165" s="4" t="str">
        <f ca="1">IF(AND(Bracket!$H$20&lt;&gt;"",Bracket!$I$20&lt;&gt;""),"G14","")</f>
      </c>
      <c r="AL165" s="5" t="str">
        <f ca="1">IF(AND(Bracket!$H$20&lt;&gt;"",Bracket!$I$20&lt;&gt;""),Bracket!$H$20,"")</f>
      </c>
      <c r="AM165" s="5" t="str">
        <f>Scorebook!$B$663</f>
      </c>
      <c r="AN165" s="5">
        <f ca="1">IF(Scorebook!C663="","",INT(Scorebook!C663)+MOD(ROUND(Scorebook!C663*10,0),10)/3)</f>
      </c>
      <c r="AO165" s="5" cm="1">
        <f t="array" aca="1" ref="AO165" ca="1">IF($AK165="","",_xlfn.LET(_xlpm.auto,AND(MOD(ROW()-4,6)=0,$AM165&lt;&gt;0,SUMPRODUCT(--(OFFSET($AM165,1,0,5,1)&lt;&gt;0))=0),_xlpm.oppA,_xlfn.XLOOKUP($AK165,$H$4:$H$18,$J$4:$J$18,""),_xlpm.oppB,_xlfn.XLOOKUP($AK165,$H$4:$H$18,$K$4:$K$18,""),_xlpm.opp,IF($AL165=_xlpm.oppA,_xlpm.oppB,_xlpm.oppA),IF(_xlpm.auto,SUMIFS($Y$4:$Y$273,$S$4:$S$273,$AK165,$T$4:$T$273,_xlpm.opp),Scorebook!D663)))</f>
      </c>
      <c r="AP165" s="5" cm="1">
        <f t="array" aca="1" ref="AP165" ca="1">IF($AK165="","",_xlfn.LET(_xlpm.auto,AND(MOD(ROW()-4,6)=0,$AM165&lt;&gt;0,SUMPRODUCT(--(OFFSET($AM165,1,0,5,1)&lt;&gt;0))=0),_xlpm.oppA,_xlfn.XLOOKUP($AK165,$H$4:$H$18,$J$4:$J$18,""),_xlpm.oppRuns,IF($AL165=_xlpm.oppA,_xlfn.XLOOKUP($AK165,$H$4:$H$18,$O$4:$O$18,""),_xlfn.XLOOKUP($AK165,$H$4:$H$18,$N$4:$N$18,"")),IF(_xlpm.auto,_xlpm.oppRuns,Scorebook!E663)))</f>
      </c>
      <c r="AQ165" s="5">
        <f ca="1">Scorebook!F663</f>
      </c>
      <c r="AR165" s="5" cm="1">
        <f t="array" aca="1" ref="AR165" ca="1">IF($AK165="","",_xlfn.LET(_xlpm.auto,AND(MOD(ROW()-4,6)=0,$AM165&lt;&gt;0,SUMPRODUCT(--(OFFSET($AM165,1,0,5,1)&lt;&gt;0))=0),_xlpm.oppA,_xlfn.XLOOKUP($AK165,$H$4:$H$18,$J$4:$J$18,""),_xlpm.oppB,_xlfn.XLOOKUP($AK165,$H$4:$H$18,$K$4:$K$18,""),_xlpm.opp,IF($AL165=_xlpm.oppA,_xlpm.oppB,_xlpm.oppA),IF(_xlpm.auto,SUMIFS($AD$4:$AD$273,$S$4:$S$273,$AK165,$T$4:$T$273,_xlpm.opp),Scorebook!G663)))</f>
      </c>
      <c r="AS165" s="5" cm="1">
        <f t="array" aca="1" ref="AS165" ca="1">IF($AK165="","",_xlfn.LET(_xlpm.auto,AND(MOD(ROW()-4,6)=0,$AM165&lt;&gt;0,SUMPRODUCT(--(OFFSET($AM165,1,0,5,1)&lt;&gt;0))=0),_xlpm.oppA,_xlfn.XLOOKUP($AK165,$H$4:$H$18,$J$4:$J$18,""),_xlpm.oppB,_xlfn.XLOOKUP($AK165,$H$4:$H$18,$K$4:$K$18,""),_xlpm.opp,IF($AL165=_xlpm.oppA,_xlpm.oppB,_xlpm.oppA),IF(_xlpm.auto,SUMIFS($AE$4:$AE$273,$S$4:$S$273,$AK165,$T$4:$T$273,_xlpm.opp),Scorebook!H663)))</f>
      </c>
      <c r="AT165" s="5" cm="1">
        <f t="array" aca="1" ref="AT165" ca="1">IF($AK165="","",_xlfn.LET(_xlpm.auto,AND(MOD(ROW()-4,6)=0,$AM165&lt;&gt;0,SUMPRODUCT(--(OFFSET($AM165,1,0,5,1)&lt;&gt;0))=0),_xlpm.oppA,_xlfn.XLOOKUP($AK165,$H$4:$H$18,$J$4:$J$18,""),_xlpm.oppB,_xlfn.XLOOKUP($AK165,$H$4:$H$18,$K$4:$K$18,""),_xlpm.opp,IF($AL165=_xlpm.oppA,_xlpm.oppB,_xlpm.oppA),IF(_xlpm.auto,SUMIFS($AB$4:$AB$273,$S$4:$S$273,$AK165,$T$4:$T$273,_xlpm.opp),Scorebook!I663)))</f>
      </c>
      <c r="AU165" s="5" cm="1">
        <f t="array" aca="1" ref="AU165" ca="1">IF($AK165="","",_xlfn.LET(_xlpm.auto,AND(MOD(ROW()-4,6)=0,$AM165&lt;&gt;0,SUMPRODUCT(--(OFFSET($AM165,1,0,5,1)&lt;&gt;0))=0),_xlpm.winner,_xlfn.XLOOKUP($AK165,$H$4:$H$18,$L$4:$L$18,""),IF(_xlpm.auto,--($AL165=_xlpm.winner),Scorebook!J663)))</f>
      </c>
      <c r="AV165" s="5" cm="1">
        <f t="array" aca="1" ref="AV165" ca="1">IF($AK165="","",_xlfn.LET(_xlpm.auto,AND(MOD(ROW()-4,6)=0,$AM165&lt;&gt;0,SUMPRODUCT(--(OFFSET($AM165,1,0,5,1)&lt;&gt;0))=0),_xlpm.loser,_xlfn.XLOOKUP($AK165,$H$4:$H$18,$M$4:$M$18,""),IF(_xlpm.auto,--($AL165=_xlpm.loser),Scorebook!K663)))</f>
      </c>
      <c r="AW165" s="5">
        <f ca="1">Scorebook!L663</f>
      </c>
      <c r="AX165" s="5" cm="1">
        <f t="array" aca="1" ref="AX165" ca="1">IF($AK165="","",_xlfn.LET(_xlpm.auto,AND(MOD(ROW()-4,6)=0,$AM165&lt;&gt;0,SUMPRODUCT(--(OFFSET($AM165,1,0,5,1)&lt;&gt;0))=0),_xlpm.oppA,_xlfn.XLOOKUP($AK165,$H$4:$H$18,$J$4:$J$18,""),_xlpm.oppRuns,IF($AL165=_xlpm.oppA,_xlfn.XLOOKUP($AK165,$H$4:$H$18,$O$4:$O$18,""),_xlfn.XLOOKUP($AK165,$H$4:$H$18,$N$4:$N$18,"")),IF(_xlpm.auto,--(_xlpm.oppRuns=0),Scorebook!M663)))</f>
      </c>
      <c r="AY165" s="5" cm="1">
        <f t="array" aca="1" ref="AY165" ca="1">IF($AK165="","",_xlfn.LET(_xlpm.auto,AND(MOD(ROW()-4,6)=0,$AM165&lt;&gt;0,SUMPRODUCT(--(OFFSET($AM165,1,0,5,1)&lt;&gt;0))=0),IF(_xlpm.auto,1,Scorebook!N663)))</f>
      </c>
      <c r="AZ165" s="5">
        <f>Settings!$B$2</f>
        <v>1</v>
      </c>
    </row>
    <row r="166" spans="19:52">
      <c r="S166" s="4" t="str">
        <f ca="1">Scorebook!$F$443</f>
        <v>G10</v>
      </c>
      <c r="T166" s="5" t="str">
        <f ca="1">Scorebook!$N$443</f>
        <v>Nick</v>
      </c>
      <c r="U166" s="5" t="str">
        <f ca="1">Scorebook!$B$450</f>
        <v>Monty Mole</v>
      </c>
      <c r="V166" s="4">
        <v>1</v>
      </c>
      <c r="W166" s="5">
        <f ca="1">Scorebook!M450</f>
        <v>2</v>
      </c>
      <c r="X166" s="5">
        <f ca="1">Scorebook!N450</f>
        <v>0</v>
      </c>
      <c r="Y166" s="5">
        <f ca="1">Scorebook!O450</f>
        <v>0</v>
      </c>
      <c r="Z166" s="5">
        <f ca="1">Scorebook!P450</f>
        <v>0</v>
      </c>
      <c r="AA166" s="5">
        <f ca="1">Scorebook!Q450</f>
        <v>0</v>
      </c>
      <c r="AB166" s="5">
        <f ca="1">Scorebook!R450</f>
        <v>0</v>
      </c>
      <c r="AC166" s="5">
        <f ca="1">Scorebook!S450</f>
        <v>0</v>
      </c>
      <c r="AD166" s="5">
        <f ca="1">Scorebook!T450</f>
        <v>0</v>
      </c>
      <c r="AE166" s="5">
        <f ca="1">Scorebook!U450</f>
        <v>1</v>
      </c>
      <c r="AF166" s="5">
        <f ca="1">Scorebook!V450</f>
        <v>0</v>
      </c>
      <c r="AG166" s="5">
        <f ca="1">Scorebook!W450</f>
        <v>0</v>
      </c>
      <c r="AH166" s="5">
        <f ca="1">Scorebook!X450</f>
        <v>0</v>
      </c>
      <c r="AI166" s="5">
        <f>Settings!$B$2</f>
        <v>1</v>
      </c>
      <c r="AJ166" s="18">
        <f ca="1">IF($AK166="","",Scorebook!$O$679)</f>
      </c>
      <c r="AK166" s="4" t="str">
        <f ca="1">IF(AND(Bracket!$H$20&lt;&gt;"",Bracket!$I$20&lt;&gt;""),"G14","")</f>
      </c>
      <c r="AL166" s="5" t="str">
        <f ca="1">IF(AND(Bracket!$H$20&lt;&gt;"",Bracket!$I$20&lt;&gt;""),Bracket!$I$20,"")</f>
      </c>
      <c r="AM166" s="5" t="str">
        <f>Scorebook!$B$679</f>
      </c>
      <c r="AN166" s="5">
        <f ca="1">IF(Scorebook!C679="","",INT(Scorebook!C679)+MOD(ROUND(Scorebook!C679*10,0),10)/3)</f>
      </c>
      <c r="AO166" s="5" cm="1">
        <f t="array" aca="1" ref="AO166" ca="1">IF($AK166="","",_xlfn.LET(_xlpm.auto,AND(MOD(ROW()-4,6)=0,$AM166&lt;&gt;0,SUMPRODUCT(--(OFFSET($AM166,1,0,5,1)&lt;&gt;0))=0),_xlpm.oppA,_xlfn.XLOOKUP($AK166,$H$4:$H$18,$J$4:$J$18,""),_xlpm.oppB,_xlfn.XLOOKUP($AK166,$H$4:$H$18,$K$4:$K$18,""),_xlpm.opp,IF($AL166=_xlpm.oppA,_xlpm.oppB,_xlpm.oppA),IF(_xlpm.auto,SUMIFS($Y$4:$Y$273,$S$4:$S$273,$AK166,$T$4:$T$273,_xlpm.opp),Scorebook!D679)))</f>
      </c>
      <c r="AP166" s="5" cm="1">
        <f t="array" aca="1" ref="AP166" ca="1">IF($AK166="","",_xlfn.LET(_xlpm.auto,AND(MOD(ROW()-4,6)=0,$AM166&lt;&gt;0,SUMPRODUCT(--(OFFSET($AM166,1,0,5,1)&lt;&gt;0))=0),_xlpm.oppA,_xlfn.XLOOKUP($AK166,$H$4:$H$18,$J$4:$J$18,""),_xlpm.oppRuns,IF($AL166=_xlpm.oppA,_xlfn.XLOOKUP($AK166,$H$4:$H$18,$O$4:$O$18,""),_xlfn.XLOOKUP($AK166,$H$4:$H$18,$N$4:$N$18,"")),IF(_xlpm.auto,_xlpm.oppRuns,Scorebook!E679)))</f>
      </c>
      <c r="AQ166" s="5">
        <f ca="1">Scorebook!F679</f>
      </c>
      <c r="AR166" s="5" cm="1">
        <f t="array" aca="1" ref="AR166" ca="1">IF($AK166="","",_xlfn.LET(_xlpm.auto,AND(MOD(ROW()-4,6)=0,$AM166&lt;&gt;0,SUMPRODUCT(--(OFFSET($AM166,1,0,5,1)&lt;&gt;0))=0),_xlpm.oppA,_xlfn.XLOOKUP($AK166,$H$4:$H$18,$J$4:$J$18,""),_xlpm.oppB,_xlfn.XLOOKUP($AK166,$H$4:$H$18,$K$4:$K$18,""),_xlpm.opp,IF($AL166=_xlpm.oppA,_xlpm.oppB,_xlpm.oppA),IF(_xlpm.auto,SUMIFS($AD$4:$AD$273,$S$4:$S$273,$AK166,$T$4:$T$273,_xlpm.opp),Scorebook!G679)))</f>
      </c>
      <c r="AS166" s="5" cm="1">
        <f t="array" aca="1" ref="AS166" ca="1">IF($AK166="","",_xlfn.LET(_xlpm.auto,AND(MOD(ROW()-4,6)=0,$AM166&lt;&gt;0,SUMPRODUCT(--(OFFSET($AM166,1,0,5,1)&lt;&gt;0))=0),_xlpm.oppA,_xlfn.XLOOKUP($AK166,$H$4:$H$18,$J$4:$J$18,""),_xlpm.oppB,_xlfn.XLOOKUP($AK166,$H$4:$H$18,$K$4:$K$18,""),_xlpm.opp,IF($AL166=_xlpm.oppA,_xlpm.oppB,_xlpm.oppA),IF(_xlpm.auto,SUMIFS($AE$4:$AE$273,$S$4:$S$273,$AK166,$T$4:$T$273,_xlpm.opp),Scorebook!H679)))</f>
      </c>
      <c r="AT166" s="5" cm="1">
        <f t="array" aca="1" ref="AT166" ca="1">IF($AK166="","",_xlfn.LET(_xlpm.auto,AND(MOD(ROW()-4,6)=0,$AM166&lt;&gt;0,SUMPRODUCT(--(OFFSET($AM166,1,0,5,1)&lt;&gt;0))=0),_xlpm.oppA,_xlfn.XLOOKUP($AK166,$H$4:$H$18,$J$4:$J$18,""),_xlpm.oppB,_xlfn.XLOOKUP($AK166,$H$4:$H$18,$K$4:$K$18,""),_xlpm.opp,IF($AL166=_xlpm.oppA,_xlpm.oppB,_xlpm.oppA),IF(_xlpm.auto,SUMIFS($AB$4:$AB$273,$S$4:$S$273,$AK166,$T$4:$T$273,_xlpm.opp),Scorebook!I679)))</f>
      </c>
      <c r="AU166" s="5" cm="1">
        <f t="array" aca="1" ref="AU166" ca="1">IF($AK166="","",_xlfn.LET(_xlpm.auto,AND(MOD(ROW()-4,6)=0,$AM166&lt;&gt;0,SUMPRODUCT(--(OFFSET($AM166,1,0,5,1)&lt;&gt;0))=0),_xlpm.winner,_xlfn.XLOOKUP($AK166,$H$4:$H$18,$L$4:$L$18,""),IF(_xlpm.auto,--($AL166=_xlpm.winner),Scorebook!J679)))</f>
      </c>
      <c r="AV166" s="5" cm="1">
        <f t="array" aca="1" ref="AV166" ca="1">IF($AK166="","",_xlfn.LET(_xlpm.auto,AND(MOD(ROW()-4,6)=0,$AM166&lt;&gt;0,SUMPRODUCT(--(OFFSET($AM166,1,0,5,1)&lt;&gt;0))=0),_xlpm.loser,_xlfn.XLOOKUP($AK166,$H$4:$H$18,$M$4:$M$18,""),IF(_xlpm.auto,--($AL166=_xlpm.loser),Scorebook!K679)))</f>
      </c>
      <c r="AW166" s="5">
        <f ca="1">Scorebook!L679</f>
      </c>
      <c r="AX166" s="5" cm="1">
        <f t="array" aca="1" ref="AX166" ca="1">IF($AK166="","",_xlfn.LET(_xlpm.auto,AND(MOD(ROW()-4,6)=0,$AM166&lt;&gt;0,SUMPRODUCT(--(OFFSET($AM166,1,0,5,1)&lt;&gt;0))=0),_xlpm.oppA,_xlfn.XLOOKUP($AK166,$H$4:$H$18,$J$4:$J$18,""),_xlpm.oppRuns,IF($AL166=_xlpm.oppA,_xlfn.XLOOKUP($AK166,$H$4:$H$18,$O$4:$O$18,""),_xlfn.XLOOKUP($AK166,$H$4:$H$18,$N$4:$N$18,"")),IF(_xlpm.auto,--(_xlpm.oppRuns=0),Scorebook!M679)))</f>
      </c>
      <c r="AY166" s="5" cm="1">
        <f t="array" aca="1" ref="AY166" ca="1">IF($AK166="","",_xlfn.LET(_xlpm.auto,AND(MOD(ROW()-4,6)=0,$AM166&lt;&gt;0,SUMPRODUCT(--(OFFSET($AM166,1,0,5,1)&lt;&gt;0))=0),IF(_xlpm.auto,1,Scorebook!N679)))</f>
      </c>
      <c r="AZ166" s="5">
        <f>Settings!$B$2</f>
        <v>1</v>
      </c>
    </row>
    <row r="167" spans="19:52">
      <c r="S167" s="4" t="str">
        <f ca="1">Scorebook!$F$443</f>
        <v>G10</v>
      </c>
      <c r="T167" s="5" t="str">
        <f ca="1">Scorebook!$N$443</f>
        <v>Nick</v>
      </c>
      <c r="U167" s="5" t="str">
        <f ca="1">Scorebook!$B$451</f>
        <v>Green Dry Bones</v>
      </c>
      <c r="V167" s="4">
        <v>2</v>
      </c>
      <c r="W167" s="5">
        <f ca="1">Scorebook!M451</f>
        <v>1</v>
      </c>
      <c r="X167" s="5">
        <f ca="1">Scorebook!N451</f>
        <v>0</v>
      </c>
      <c r="Y167" s="5">
        <f ca="1">Scorebook!O451</f>
        <v>0</v>
      </c>
      <c r="Z167" s="5">
        <f ca="1">Scorebook!P451</f>
        <v>0</v>
      </c>
      <c r="AA167" s="5">
        <f ca="1">Scorebook!Q451</f>
        <v>0</v>
      </c>
      <c r="AB167" s="5">
        <f ca="1">Scorebook!R451</f>
        <v>0</v>
      </c>
      <c r="AC167" s="5">
        <f ca="1">Scorebook!S451</f>
        <v>0</v>
      </c>
      <c r="AD167" s="5">
        <f ca="1">Scorebook!T451</f>
        <v>0</v>
      </c>
      <c r="AE167" s="5">
        <f ca="1">Scorebook!U451</f>
        <v>0</v>
      </c>
      <c r="AF167" s="5">
        <f ca="1">Scorebook!V451</f>
        <v>1</v>
      </c>
      <c r="AG167" s="5">
        <f ca="1">Scorebook!W451</f>
        <v>0</v>
      </c>
      <c r="AH167" s="5">
        <f ca="1">Scorebook!X451</f>
        <v>0</v>
      </c>
      <c r="AI167" s="5">
        <f>Settings!$B$2</f>
        <v>1</v>
      </c>
      <c r="AJ167" s="18">
        <f ca="1">IF($AK167="","",Scorebook!$O$680)</f>
      </c>
      <c r="AK167" s="4" t="str">
        <f ca="1">IF(AND(Bracket!$H$20&lt;&gt;"",Bracket!$I$20&lt;&gt;""),"G14","")</f>
      </c>
      <c r="AL167" s="5" t="str">
        <f ca="1">IF(AND(Bracket!$H$20&lt;&gt;"",Bracket!$I$20&lt;&gt;""),Bracket!$I$20,"")</f>
      </c>
      <c r="AM167" s="5" t="str">
        <f>Scorebook!$B$680</f>
      </c>
      <c r="AN167" s="5">
        <f ca="1">IF(Scorebook!C680="","",INT(Scorebook!C680)+MOD(ROUND(Scorebook!C680*10,0),10)/3)</f>
      </c>
      <c r="AO167" s="5" cm="1">
        <f t="array" aca="1" ref="AO167" ca="1">IF($AK167="","",_xlfn.LET(_xlpm.auto,AND(MOD(ROW()-4,6)=0,$AM167&lt;&gt;0,SUMPRODUCT(--(OFFSET($AM167,1,0,5,1)&lt;&gt;0))=0),_xlpm.oppA,_xlfn.XLOOKUP($AK167,$H$4:$H$18,$J$4:$J$18,""),_xlpm.oppB,_xlfn.XLOOKUP($AK167,$H$4:$H$18,$K$4:$K$18,""),_xlpm.opp,IF($AL167=_xlpm.oppA,_xlpm.oppB,_xlpm.oppA),IF(_xlpm.auto,SUMIFS($Y$4:$Y$273,$S$4:$S$273,$AK167,$T$4:$T$273,_xlpm.opp),Scorebook!D680)))</f>
      </c>
      <c r="AP167" s="5" cm="1">
        <f t="array" aca="1" ref="AP167" ca="1">IF($AK167="","",_xlfn.LET(_xlpm.auto,AND(MOD(ROW()-4,6)=0,$AM167&lt;&gt;0,SUMPRODUCT(--(OFFSET($AM167,1,0,5,1)&lt;&gt;0))=0),_xlpm.oppA,_xlfn.XLOOKUP($AK167,$H$4:$H$18,$J$4:$J$18,""),_xlpm.oppRuns,IF($AL167=_xlpm.oppA,_xlfn.XLOOKUP($AK167,$H$4:$H$18,$O$4:$O$18,""),_xlfn.XLOOKUP($AK167,$H$4:$H$18,$N$4:$N$18,"")),IF(_xlpm.auto,_xlpm.oppRuns,Scorebook!E680)))</f>
      </c>
      <c r="AQ167" s="5">
        <f ca="1">Scorebook!F680</f>
      </c>
      <c r="AR167" s="5" cm="1">
        <f t="array" aca="1" ref="AR167" ca="1">IF($AK167="","",_xlfn.LET(_xlpm.auto,AND(MOD(ROW()-4,6)=0,$AM167&lt;&gt;0,SUMPRODUCT(--(OFFSET($AM167,1,0,5,1)&lt;&gt;0))=0),_xlpm.oppA,_xlfn.XLOOKUP($AK167,$H$4:$H$18,$J$4:$J$18,""),_xlpm.oppB,_xlfn.XLOOKUP($AK167,$H$4:$H$18,$K$4:$K$18,""),_xlpm.opp,IF($AL167=_xlpm.oppA,_xlpm.oppB,_xlpm.oppA),IF(_xlpm.auto,SUMIFS($AD$4:$AD$273,$S$4:$S$273,$AK167,$T$4:$T$273,_xlpm.opp),Scorebook!G680)))</f>
      </c>
      <c r="AS167" s="5" cm="1">
        <f t="array" aca="1" ref="AS167" ca="1">IF($AK167="","",_xlfn.LET(_xlpm.auto,AND(MOD(ROW()-4,6)=0,$AM167&lt;&gt;0,SUMPRODUCT(--(OFFSET($AM167,1,0,5,1)&lt;&gt;0))=0),_xlpm.oppA,_xlfn.XLOOKUP($AK167,$H$4:$H$18,$J$4:$J$18,""),_xlpm.oppB,_xlfn.XLOOKUP($AK167,$H$4:$H$18,$K$4:$K$18,""),_xlpm.opp,IF($AL167=_xlpm.oppA,_xlpm.oppB,_xlpm.oppA),IF(_xlpm.auto,SUMIFS($AE$4:$AE$273,$S$4:$S$273,$AK167,$T$4:$T$273,_xlpm.opp),Scorebook!H680)))</f>
      </c>
      <c r="AT167" s="5" cm="1">
        <f t="array" aca="1" ref="AT167" ca="1">IF($AK167="","",_xlfn.LET(_xlpm.auto,AND(MOD(ROW()-4,6)=0,$AM167&lt;&gt;0,SUMPRODUCT(--(OFFSET($AM167,1,0,5,1)&lt;&gt;0))=0),_xlpm.oppA,_xlfn.XLOOKUP($AK167,$H$4:$H$18,$J$4:$J$18,""),_xlpm.oppB,_xlfn.XLOOKUP($AK167,$H$4:$H$18,$K$4:$K$18,""),_xlpm.opp,IF($AL167=_xlpm.oppA,_xlpm.oppB,_xlpm.oppA),IF(_xlpm.auto,SUMIFS($AB$4:$AB$273,$S$4:$S$273,$AK167,$T$4:$T$273,_xlpm.opp),Scorebook!I680)))</f>
      </c>
      <c r="AU167" s="5" cm="1">
        <f t="array" aca="1" ref="AU167" ca="1">IF($AK167="","",_xlfn.LET(_xlpm.auto,AND(MOD(ROW()-4,6)=0,$AM167&lt;&gt;0,SUMPRODUCT(--(OFFSET($AM167,1,0,5,1)&lt;&gt;0))=0),_xlpm.winner,_xlfn.XLOOKUP($AK167,$H$4:$H$18,$L$4:$L$18,""),IF(_xlpm.auto,--($AL167=_xlpm.winner),Scorebook!J680)))</f>
      </c>
      <c r="AV167" s="5" cm="1">
        <f t="array" aca="1" ref="AV167" ca="1">IF($AK167="","",_xlfn.LET(_xlpm.auto,AND(MOD(ROW()-4,6)=0,$AM167&lt;&gt;0,SUMPRODUCT(--(OFFSET($AM167,1,0,5,1)&lt;&gt;0))=0),_xlpm.loser,_xlfn.XLOOKUP($AK167,$H$4:$H$18,$M$4:$M$18,""),IF(_xlpm.auto,--($AL167=_xlpm.loser),Scorebook!K680)))</f>
      </c>
      <c r="AW167" s="5">
        <f ca="1">Scorebook!L680</f>
      </c>
      <c r="AX167" s="5" cm="1">
        <f t="array" aca="1" ref="AX167" ca="1">IF($AK167="","",_xlfn.LET(_xlpm.auto,AND(MOD(ROW()-4,6)=0,$AM167&lt;&gt;0,SUMPRODUCT(--(OFFSET($AM167,1,0,5,1)&lt;&gt;0))=0),_xlpm.oppA,_xlfn.XLOOKUP($AK167,$H$4:$H$18,$J$4:$J$18,""),_xlpm.oppRuns,IF($AL167=_xlpm.oppA,_xlfn.XLOOKUP($AK167,$H$4:$H$18,$O$4:$O$18,""),_xlfn.XLOOKUP($AK167,$H$4:$H$18,$N$4:$N$18,"")),IF(_xlpm.auto,--(_xlpm.oppRuns=0),Scorebook!M680)))</f>
      </c>
      <c r="AY167" s="5" cm="1">
        <f t="array" aca="1" ref="AY167" ca="1">IF($AK167="","",_xlfn.LET(_xlpm.auto,AND(MOD(ROW()-4,6)=0,$AM167&lt;&gt;0,SUMPRODUCT(--(OFFSET($AM167,1,0,5,1)&lt;&gt;0))=0),IF(_xlpm.auto,1,Scorebook!N680)))</f>
      </c>
      <c r="AZ167" s="5">
        <f>Settings!$B$2</f>
        <v>1</v>
      </c>
    </row>
    <row r="168" spans="19:52">
      <c r="S168" s="4" t="str">
        <f ca="1">Scorebook!$F$443</f>
        <v>G10</v>
      </c>
      <c r="T168" s="5" t="str">
        <f ca="1">Scorebook!$N$443</f>
        <v>Nick</v>
      </c>
      <c r="U168" s="5" t="str">
        <f ca="1">Scorebook!$B$452</f>
        <v>Daisy</v>
      </c>
      <c r="V168" s="4">
        <v>3</v>
      </c>
      <c r="W168" s="5">
        <f ca="1">Scorebook!M452</f>
        <v>2</v>
      </c>
      <c r="X168" s="5">
        <f ca="1">Scorebook!N452</f>
        <v>0</v>
      </c>
      <c r="Y168" s="5">
        <f ca="1">Scorebook!O452</f>
        <v>1</v>
      </c>
      <c r="Z168" s="5">
        <f ca="1">Scorebook!P452</f>
        <v>0</v>
      </c>
      <c r="AA168" s="5">
        <f ca="1">Scorebook!Q452</f>
        <v>0</v>
      </c>
      <c r="AB168" s="5">
        <f ca="1">Scorebook!R452</f>
        <v>0</v>
      </c>
      <c r="AC168" s="5">
        <f ca="1">Scorebook!S452</f>
        <v>0</v>
      </c>
      <c r="AD168" s="5">
        <f ca="1">Scorebook!T452</f>
        <v>0</v>
      </c>
      <c r="AE168" s="5">
        <f ca="1">Scorebook!U452</f>
        <v>1</v>
      </c>
      <c r="AF168" s="5">
        <f ca="1">Scorebook!V452</f>
        <v>0</v>
      </c>
      <c r="AG168" s="5">
        <f ca="1">Scorebook!W452</f>
        <v>0</v>
      </c>
      <c r="AH168" s="5">
        <f ca="1">Scorebook!X452</f>
        <v>0</v>
      </c>
      <c r="AI168" s="5">
        <f>Settings!$B$2</f>
        <v>1</v>
      </c>
      <c r="AJ168" s="18">
        <f ca="1">IF($AK168="","",Scorebook!$O$681)</f>
      </c>
      <c r="AK168" s="4" t="str">
        <f ca="1">IF(AND(Bracket!$H$20&lt;&gt;"",Bracket!$I$20&lt;&gt;""),"G14","")</f>
      </c>
      <c r="AL168" s="5" t="str">
        <f ca="1">IF(AND(Bracket!$H$20&lt;&gt;"",Bracket!$I$20&lt;&gt;""),Bracket!$I$20,"")</f>
      </c>
      <c r="AM168" s="5" t="str">
        <f>Scorebook!$B$681</f>
      </c>
      <c r="AN168" s="5">
        <f ca="1">IF(Scorebook!C681="","",INT(Scorebook!C681)+MOD(ROUND(Scorebook!C681*10,0),10)/3)</f>
      </c>
      <c r="AO168" s="5" cm="1">
        <f t="array" aca="1" ref="AO168" ca="1">IF($AK168="","",_xlfn.LET(_xlpm.auto,AND(MOD(ROW()-4,6)=0,$AM168&lt;&gt;0,SUMPRODUCT(--(OFFSET($AM168,1,0,5,1)&lt;&gt;0))=0),_xlpm.oppA,_xlfn.XLOOKUP($AK168,$H$4:$H$18,$J$4:$J$18,""),_xlpm.oppB,_xlfn.XLOOKUP($AK168,$H$4:$H$18,$K$4:$K$18,""),_xlpm.opp,IF($AL168=_xlpm.oppA,_xlpm.oppB,_xlpm.oppA),IF(_xlpm.auto,SUMIFS($Y$4:$Y$273,$S$4:$S$273,$AK168,$T$4:$T$273,_xlpm.opp),Scorebook!D681)))</f>
      </c>
      <c r="AP168" s="5" cm="1">
        <f t="array" aca="1" ref="AP168" ca="1">IF($AK168="","",_xlfn.LET(_xlpm.auto,AND(MOD(ROW()-4,6)=0,$AM168&lt;&gt;0,SUMPRODUCT(--(OFFSET($AM168,1,0,5,1)&lt;&gt;0))=0),_xlpm.oppA,_xlfn.XLOOKUP($AK168,$H$4:$H$18,$J$4:$J$18,""),_xlpm.oppRuns,IF($AL168=_xlpm.oppA,_xlfn.XLOOKUP($AK168,$H$4:$H$18,$O$4:$O$18,""),_xlfn.XLOOKUP($AK168,$H$4:$H$18,$N$4:$N$18,"")),IF(_xlpm.auto,_xlpm.oppRuns,Scorebook!E681)))</f>
      </c>
      <c r="AQ168" s="5">
        <f ca="1">Scorebook!F681</f>
      </c>
      <c r="AR168" s="5" cm="1">
        <f t="array" aca="1" ref="AR168" ca="1">IF($AK168="","",_xlfn.LET(_xlpm.auto,AND(MOD(ROW()-4,6)=0,$AM168&lt;&gt;0,SUMPRODUCT(--(OFFSET($AM168,1,0,5,1)&lt;&gt;0))=0),_xlpm.oppA,_xlfn.XLOOKUP($AK168,$H$4:$H$18,$J$4:$J$18,""),_xlpm.oppB,_xlfn.XLOOKUP($AK168,$H$4:$H$18,$K$4:$K$18,""),_xlpm.opp,IF($AL168=_xlpm.oppA,_xlpm.oppB,_xlpm.oppA),IF(_xlpm.auto,SUMIFS($AD$4:$AD$273,$S$4:$S$273,$AK168,$T$4:$T$273,_xlpm.opp),Scorebook!G681)))</f>
      </c>
      <c r="AS168" s="5" cm="1">
        <f t="array" aca="1" ref="AS168" ca="1">IF($AK168="","",_xlfn.LET(_xlpm.auto,AND(MOD(ROW()-4,6)=0,$AM168&lt;&gt;0,SUMPRODUCT(--(OFFSET($AM168,1,0,5,1)&lt;&gt;0))=0),_xlpm.oppA,_xlfn.XLOOKUP($AK168,$H$4:$H$18,$J$4:$J$18,""),_xlpm.oppB,_xlfn.XLOOKUP($AK168,$H$4:$H$18,$K$4:$K$18,""),_xlpm.opp,IF($AL168=_xlpm.oppA,_xlpm.oppB,_xlpm.oppA),IF(_xlpm.auto,SUMIFS($AE$4:$AE$273,$S$4:$S$273,$AK168,$T$4:$T$273,_xlpm.opp),Scorebook!H681)))</f>
      </c>
      <c r="AT168" s="5" cm="1">
        <f t="array" aca="1" ref="AT168" ca="1">IF($AK168="","",_xlfn.LET(_xlpm.auto,AND(MOD(ROW()-4,6)=0,$AM168&lt;&gt;0,SUMPRODUCT(--(OFFSET($AM168,1,0,5,1)&lt;&gt;0))=0),_xlpm.oppA,_xlfn.XLOOKUP($AK168,$H$4:$H$18,$J$4:$J$18,""),_xlpm.oppB,_xlfn.XLOOKUP($AK168,$H$4:$H$18,$K$4:$K$18,""),_xlpm.opp,IF($AL168=_xlpm.oppA,_xlpm.oppB,_xlpm.oppA),IF(_xlpm.auto,SUMIFS($AB$4:$AB$273,$S$4:$S$273,$AK168,$T$4:$T$273,_xlpm.opp),Scorebook!I681)))</f>
      </c>
      <c r="AU168" s="5" cm="1">
        <f t="array" aca="1" ref="AU168" ca="1">IF($AK168="","",_xlfn.LET(_xlpm.auto,AND(MOD(ROW()-4,6)=0,$AM168&lt;&gt;0,SUMPRODUCT(--(OFFSET($AM168,1,0,5,1)&lt;&gt;0))=0),_xlpm.winner,_xlfn.XLOOKUP($AK168,$H$4:$H$18,$L$4:$L$18,""),IF(_xlpm.auto,--($AL168=_xlpm.winner),Scorebook!J681)))</f>
      </c>
      <c r="AV168" s="5" cm="1">
        <f t="array" aca="1" ref="AV168" ca="1">IF($AK168="","",_xlfn.LET(_xlpm.auto,AND(MOD(ROW()-4,6)=0,$AM168&lt;&gt;0,SUMPRODUCT(--(OFFSET($AM168,1,0,5,1)&lt;&gt;0))=0),_xlpm.loser,_xlfn.XLOOKUP($AK168,$H$4:$H$18,$M$4:$M$18,""),IF(_xlpm.auto,--($AL168=_xlpm.loser),Scorebook!K681)))</f>
      </c>
      <c r="AW168" s="5">
        <f ca="1">Scorebook!L681</f>
      </c>
      <c r="AX168" s="5" cm="1">
        <f t="array" aca="1" ref="AX168" ca="1">IF($AK168="","",_xlfn.LET(_xlpm.auto,AND(MOD(ROW()-4,6)=0,$AM168&lt;&gt;0,SUMPRODUCT(--(OFFSET($AM168,1,0,5,1)&lt;&gt;0))=0),_xlpm.oppA,_xlfn.XLOOKUP($AK168,$H$4:$H$18,$J$4:$J$18,""),_xlpm.oppRuns,IF($AL168=_xlpm.oppA,_xlfn.XLOOKUP($AK168,$H$4:$H$18,$O$4:$O$18,""),_xlfn.XLOOKUP($AK168,$H$4:$H$18,$N$4:$N$18,"")),IF(_xlpm.auto,--(_xlpm.oppRuns=0),Scorebook!M681)))</f>
      </c>
      <c r="AY168" s="5" cm="1">
        <f t="array" aca="1" ref="AY168" ca="1">IF($AK168="","",_xlfn.LET(_xlpm.auto,AND(MOD(ROW()-4,6)=0,$AM168&lt;&gt;0,SUMPRODUCT(--(OFFSET($AM168,1,0,5,1)&lt;&gt;0))=0),IF(_xlpm.auto,1,Scorebook!N681)))</f>
      </c>
      <c r="AZ168" s="5">
        <f>Settings!$B$2</f>
        <v>1</v>
      </c>
    </row>
    <row r="169" spans="19:52">
      <c r="S169" s="4" t="str">
        <f ca="1">Scorebook!$F$443</f>
        <v>G10</v>
      </c>
      <c r="T169" s="5" t="str">
        <f ca="1">Scorebook!$N$443</f>
        <v>Nick</v>
      </c>
      <c r="U169" s="5" t="str">
        <f ca="1">Scorebook!$B$453</f>
        <v>Wario</v>
      </c>
      <c r="V169" s="4">
        <v>4</v>
      </c>
      <c r="W169" s="5">
        <f ca="1">Scorebook!M453</f>
        <v>2</v>
      </c>
      <c r="X169" s="5">
        <f ca="1">Scorebook!N453</f>
        <v>0</v>
      </c>
      <c r="Y169" s="5">
        <f ca="1">Scorebook!O453</f>
        <v>0</v>
      </c>
      <c r="Z169" s="5">
        <f ca="1">Scorebook!P453</f>
        <v>0</v>
      </c>
      <c r="AA169" s="5">
        <f ca="1">Scorebook!Q453</f>
        <v>0</v>
      </c>
      <c r="AB169" s="5">
        <f ca="1">Scorebook!R453</f>
        <v>0</v>
      </c>
      <c r="AC169" s="5">
        <f ca="1">Scorebook!S453</f>
        <v>0</v>
      </c>
      <c r="AD169" s="5">
        <f ca="1">Scorebook!T453</f>
        <v>0</v>
      </c>
      <c r="AE169" s="5">
        <f ca="1">Scorebook!U453</f>
        <v>1</v>
      </c>
      <c r="AF169" s="5">
        <f ca="1">Scorebook!V453</f>
        <v>0</v>
      </c>
      <c r="AG169" s="5">
        <f ca="1">Scorebook!W453</f>
        <v>0</v>
      </c>
      <c r="AH169" s="5">
        <f ca="1">Scorebook!X453</f>
        <v>0</v>
      </c>
      <c r="AI169" s="5">
        <f>Settings!$B$2</f>
        <v>1</v>
      </c>
      <c r="AJ169" s="18">
        <f ca="1">IF($AK169="","",Scorebook!$O$682)</f>
      </c>
      <c r="AK169" s="4" t="str">
        <f ca="1">IF(AND(Bracket!$H$20&lt;&gt;"",Bracket!$I$20&lt;&gt;""),"G14","")</f>
      </c>
      <c r="AL169" s="5" t="str">
        <f ca="1">IF(AND(Bracket!$H$20&lt;&gt;"",Bracket!$I$20&lt;&gt;""),Bracket!$I$20,"")</f>
      </c>
      <c r="AM169" s="5" t="str">
        <f>Scorebook!$B$682</f>
      </c>
      <c r="AN169" s="5">
        <f ca="1">IF(Scorebook!C682="","",INT(Scorebook!C682)+MOD(ROUND(Scorebook!C682*10,0),10)/3)</f>
      </c>
      <c r="AO169" s="5" cm="1">
        <f t="array" aca="1" ref="AO169" ca="1">IF($AK169="","",_xlfn.LET(_xlpm.auto,AND(MOD(ROW()-4,6)=0,$AM169&lt;&gt;0,SUMPRODUCT(--(OFFSET($AM169,1,0,5,1)&lt;&gt;0))=0),_xlpm.oppA,_xlfn.XLOOKUP($AK169,$H$4:$H$18,$J$4:$J$18,""),_xlpm.oppB,_xlfn.XLOOKUP($AK169,$H$4:$H$18,$K$4:$K$18,""),_xlpm.opp,IF($AL169=_xlpm.oppA,_xlpm.oppB,_xlpm.oppA),IF(_xlpm.auto,SUMIFS($Y$4:$Y$273,$S$4:$S$273,$AK169,$T$4:$T$273,_xlpm.opp),Scorebook!D682)))</f>
      </c>
      <c r="AP169" s="5" cm="1">
        <f t="array" aca="1" ref="AP169" ca="1">IF($AK169="","",_xlfn.LET(_xlpm.auto,AND(MOD(ROW()-4,6)=0,$AM169&lt;&gt;0,SUMPRODUCT(--(OFFSET($AM169,1,0,5,1)&lt;&gt;0))=0),_xlpm.oppA,_xlfn.XLOOKUP($AK169,$H$4:$H$18,$J$4:$J$18,""),_xlpm.oppRuns,IF($AL169=_xlpm.oppA,_xlfn.XLOOKUP($AK169,$H$4:$H$18,$O$4:$O$18,""),_xlfn.XLOOKUP($AK169,$H$4:$H$18,$N$4:$N$18,"")),IF(_xlpm.auto,_xlpm.oppRuns,Scorebook!E682)))</f>
      </c>
      <c r="AQ169" s="5">
        <f ca="1">Scorebook!F682</f>
      </c>
      <c r="AR169" s="5" cm="1">
        <f t="array" aca="1" ref="AR169" ca="1">IF($AK169="","",_xlfn.LET(_xlpm.auto,AND(MOD(ROW()-4,6)=0,$AM169&lt;&gt;0,SUMPRODUCT(--(OFFSET($AM169,1,0,5,1)&lt;&gt;0))=0),_xlpm.oppA,_xlfn.XLOOKUP($AK169,$H$4:$H$18,$J$4:$J$18,""),_xlpm.oppB,_xlfn.XLOOKUP($AK169,$H$4:$H$18,$K$4:$K$18,""),_xlpm.opp,IF($AL169=_xlpm.oppA,_xlpm.oppB,_xlpm.oppA),IF(_xlpm.auto,SUMIFS($AD$4:$AD$273,$S$4:$S$273,$AK169,$T$4:$T$273,_xlpm.opp),Scorebook!G682)))</f>
      </c>
      <c r="AS169" s="5" cm="1">
        <f t="array" aca="1" ref="AS169" ca="1">IF($AK169="","",_xlfn.LET(_xlpm.auto,AND(MOD(ROW()-4,6)=0,$AM169&lt;&gt;0,SUMPRODUCT(--(OFFSET($AM169,1,0,5,1)&lt;&gt;0))=0),_xlpm.oppA,_xlfn.XLOOKUP($AK169,$H$4:$H$18,$J$4:$J$18,""),_xlpm.oppB,_xlfn.XLOOKUP($AK169,$H$4:$H$18,$K$4:$K$18,""),_xlpm.opp,IF($AL169=_xlpm.oppA,_xlpm.oppB,_xlpm.oppA),IF(_xlpm.auto,SUMIFS($AE$4:$AE$273,$S$4:$S$273,$AK169,$T$4:$T$273,_xlpm.opp),Scorebook!H682)))</f>
      </c>
      <c r="AT169" s="5" cm="1">
        <f t="array" aca="1" ref="AT169" ca="1">IF($AK169="","",_xlfn.LET(_xlpm.auto,AND(MOD(ROW()-4,6)=0,$AM169&lt;&gt;0,SUMPRODUCT(--(OFFSET($AM169,1,0,5,1)&lt;&gt;0))=0),_xlpm.oppA,_xlfn.XLOOKUP($AK169,$H$4:$H$18,$J$4:$J$18,""),_xlpm.oppB,_xlfn.XLOOKUP($AK169,$H$4:$H$18,$K$4:$K$18,""),_xlpm.opp,IF($AL169=_xlpm.oppA,_xlpm.oppB,_xlpm.oppA),IF(_xlpm.auto,SUMIFS($AB$4:$AB$273,$S$4:$S$273,$AK169,$T$4:$T$273,_xlpm.opp),Scorebook!I682)))</f>
      </c>
      <c r="AU169" s="5" cm="1">
        <f t="array" aca="1" ref="AU169" ca="1">IF($AK169="","",_xlfn.LET(_xlpm.auto,AND(MOD(ROW()-4,6)=0,$AM169&lt;&gt;0,SUMPRODUCT(--(OFFSET($AM169,1,0,5,1)&lt;&gt;0))=0),_xlpm.winner,_xlfn.XLOOKUP($AK169,$H$4:$H$18,$L$4:$L$18,""),IF(_xlpm.auto,--($AL169=_xlpm.winner),Scorebook!J682)))</f>
      </c>
      <c r="AV169" s="5" cm="1">
        <f t="array" aca="1" ref="AV169" ca="1">IF($AK169="","",_xlfn.LET(_xlpm.auto,AND(MOD(ROW()-4,6)=0,$AM169&lt;&gt;0,SUMPRODUCT(--(OFFSET($AM169,1,0,5,1)&lt;&gt;0))=0),_xlpm.loser,_xlfn.XLOOKUP($AK169,$H$4:$H$18,$M$4:$M$18,""),IF(_xlpm.auto,--($AL169=_xlpm.loser),Scorebook!K682)))</f>
      </c>
      <c r="AW169" s="5">
        <f ca="1">Scorebook!L682</f>
      </c>
      <c r="AX169" s="5" cm="1">
        <f t="array" aca="1" ref="AX169" ca="1">IF($AK169="","",_xlfn.LET(_xlpm.auto,AND(MOD(ROW()-4,6)=0,$AM169&lt;&gt;0,SUMPRODUCT(--(OFFSET($AM169,1,0,5,1)&lt;&gt;0))=0),_xlpm.oppA,_xlfn.XLOOKUP($AK169,$H$4:$H$18,$J$4:$J$18,""),_xlpm.oppRuns,IF($AL169=_xlpm.oppA,_xlfn.XLOOKUP($AK169,$H$4:$H$18,$O$4:$O$18,""),_xlfn.XLOOKUP($AK169,$H$4:$H$18,$N$4:$N$18,"")),IF(_xlpm.auto,--(_xlpm.oppRuns=0),Scorebook!M682)))</f>
      </c>
      <c r="AY169" s="5" cm="1">
        <f t="array" aca="1" ref="AY169" ca="1">IF($AK169="","",_xlfn.LET(_xlpm.auto,AND(MOD(ROW()-4,6)=0,$AM169&lt;&gt;0,SUMPRODUCT(--(OFFSET($AM169,1,0,5,1)&lt;&gt;0))=0),IF(_xlpm.auto,1,Scorebook!N682)))</f>
      </c>
      <c r="AZ169" s="5">
        <f>Settings!$B$2</f>
        <v>1</v>
      </c>
    </row>
    <row r="170" spans="19:52">
      <c r="S170" s="4" t="str">
        <f ca="1">Scorebook!$F$443</f>
        <v>G10</v>
      </c>
      <c r="T170" s="5" t="str">
        <f ca="1">Scorebook!$N$443</f>
        <v>Nick</v>
      </c>
      <c r="U170" s="5" t="str">
        <f ca="1">Scorebook!$B$454</f>
        <v>Blue Toad</v>
      </c>
      <c r="V170" s="4">
        <v>5</v>
      </c>
      <c r="W170" s="5">
        <f ca="1">Scorebook!M454</f>
        <v>1</v>
      </c>
      <c r="X170" s="5">
        <f ca="1">Scorebook!N454</f>
        <v>1</v>
      </c>
      <c r="Y170" s="5">
        <f ca="1">Scorebook!O454</f>
        <v>1</v>
      </c>
      <c r="Z170" s="5">
        <f ca="1">Scorebook!P454</f>
        <v>0</v>
      </c>
      <c r="AA170" s="5">
        <f ca="1">Scorebook!Q454</f>
        <v>0</v>
      </c>
      <c r="AB170" s="5">
        <f ca="1">Scorebook!R454</f>
        <v>0</v>
      </c>
      <c r="AC170" s="5">
        <f ca="1">Scorebook!S454</f>
        <v>0</v>
      </c>
      <c r="AD170" s="5">
        <f ca="1">Scorebook!T454</f>
        <v>0</v>
      </c>
      <c r="AE170" s="5">
        <f ca="1">Scorebook!U454</f>
        <v>0</v>
      </c>
      <c r="AF170" s="5">
        <f ca="1">Scorebook!V454</f>
        <v>0</v>
      </c>
      <c r="AG170" s="5">
        <f ca="1">Scorebook!W454</f>
        <v>0</v>
      </c>
      <c r="AH170" s="5">
        <f ca="1">Scorebook!X454</f>
        <v>0</v>
      </c>
      <c r="AI170" s="5">
        <f>Settings!$B$2</f>
        <v>1</v>
      </c>
      <c r="AJ170" s="18">
        <f ca="1">IF($AK170="","",Scorebook!$O$683)</f>
      </c>
      <c r="AK170" s="4" t="str">
        <f ca="1">IF(AND(Bracket!$H$20&lt;&gt;"",Bracket!$I$20&lt;&gt;""),"G14","")</f>
      </c>
      <c r="AL170" s="5" t="str">
        <f ca="1">IF(AND(Bracket!$H$20&lt;&gt;"",Bracket!$I$20&lt;&gt;""),Bracket!$I$20,"")</f>
      </c>
      <c r="AM170" s="5" t="str">
        <f>Scorebook!$B$683</f>
      </c>
      <c r="AN170" s="5">
        <f ca="1">IF(Scorebook!C683="","",INT(Scorebook!C683)+MOD(ROUND(Scorebook!C683*10,0),10)/3)</f>
      </c>
      <c r="AO170" s="5" cm="1">
        <f t="array" aca="1" ref="AO170" ca="1">IF($AK170="","",_xlfn.LET(_xlpm.auto,AND(MOD(ROW()-4,6)=0,$AM170&lt;&gt;0,SUMPRODUCT(--(OFFSET($AM170,1,0,5,1)&lt;&gt;0))=0),_xlpm.oppA,_xlfn.XLOOKUP($AK170,$H$4:$H$18,$J$4:$J$18,""),_xlpm.oppB,_xlfn.XLOOKUP($AK170,$H$4:$H$18,$K$4:$K$18,""),_xlpm.opp,IF($AL170=_xlpm.oppA,_xlpm.oppB,_xlpm.oppA),IF(_xlpm.auto,SUMIFS($Y$4:$Y$273,$S$4:$S$273,$AK170,$T$4:$T$273,_xlpm.opp),Scorebook!D683)))</f>
      </c>
      <c r="AP170" s="5" cm="1">
        <f t="array" aca="1" ref="AP170" ca="1">IF($AK170="","",_xlfn.LET(_xlpm.auto,AND(MOD(ROW()-4,6)=0,$AM170&lt;&gt;0,SUMPRODUCT(--(OFFSET($AM170,1,0,5,1)&lt;&gt;0))=0),_xlpm.oppA,_xlfn.XLOOKUP($AK170,$H$4:$H$18,$J$4:$J$18,""),_xlpm.oppRuns,IF($AL170=_xlpm.oppA,_xlfn.XLOOKUP($AK170,$H$4:$H$18,$O$4:$O$18,""),_xlfn.XLOOKUP($AK170,$H$4:$H$18,$N$4:$N$18,"")),IF(_xlpm.auto,_xlpm.oppRuns,Scorebook!E683)))</f>
      </c>
      <c r="AQ170" s="5">
        <f ca="1">Scorebook!F683</f>
      </c>
      <c r="AR170" s="5" cm="1">
        <f t="array" aca="1" ref="AR170" ca="1">IF($AK170="","",_xlfn.LET(_xlpm.auto,AND(MOD(ROW()-4,6)=0,$AM170&lt;&gt;0,SUMPRODUCT(--(OFFSET($AM170,1,0,5,1)&lt;&gt;0))=0),_xlpm.oppA,_xlfn.XLOOKUP($AK170,$H$4:$H$18,$J$4:$J$18,""),_xlpm.oppB,_xlfn.XLOOKUP($AK170,$H$4:$H$18,$K$4:$K$18,""),_xlpm.opp,IF($AL170=_xlpm.oppA,_xlpm.oppB,_xlpm.oppA),IF(_xlpm.auto,SUMIFS($AD$4:$AD$273,$S$4:$S$273,$AK170,$T$4:$T$273,_xlpm.opp),Scorebook!G683)))</f>
      </c>
      <c r="AS170" s="5" cm="1">
        <f t="array" aca="1" ref="AS170" ca="1">IF($AK170="","",_xlfn.LET(_xlpm.auto,AND(MOD(ROW()-4,6)=0,$AM170&lt;&gt;0,SUMPRODUCT(--(OFFSET($AM170,1,0,5,1)&lt;&gt;0))=0),_xlpm.oppA,_xlfn.XLOOKUP($AK170,$H$4:$H$18,$J$4:$J$18,""),_xlpm.oppB,_xlfn.XLOOKUP($AK170,$H$4:$H$18,$K$4:$K$18,""),_xlpm.opp,IF($AL170=_xlpm.oppA,_xlpm.oppB,_xlpm.oppA),IF(_xlpm.auto,SUMIFS($AE$4:$AE$273,$S$4:$S$273,$AK170,$T$4:$T$273,_xlpm.opp),Scorebook!H683)))</f>
      </c>
      <c r="AT170" s="5" cm="1">
        <f t="array" aca="1" ref="AT170" ca="1">IF($AK170="","",_xlfn.LET(_xlpm.auto,AND(MOD(ROW()-4,6)=0,$AM170&lt;&gt;0,SUMPRODUCT(--(OFFSET($AM170,1,0,5,1)&lt;&gt;0))=0),_xlpm.oppA,_xlfn.XLOOKUP($AK170,$H$4:$H$18,$J$4:$J$18,""),_xlpm.oppB,_xlfn.XLOOKUP($AK170,$H$4:$H$18,$K$4:$K$18,""),_xlpm.opp,IF($AL170=_xlpm.oppA,_xlpm.oppB,_xlpm.oppA),IF(_xlpm.auto,SUMIFS($AB$4:$AB$273,$S$4:$S$273,$AK170,$T$4:$T$273,_xlpm.opp),Scorebook!I683)))</f>
      </c>
      <c r="AU170" s="5" cm="1">
        <f t="array" aca="1" ref="AU170" ca="1">IF($AK170="","",_xlfn.LET(_xlpm.auto,AND(MOD(ROW()-4,6)=0,$AM170&lt;&gt;0,SUMPRODUCT(--(OFFSET($AM170,1,0,5,1)&lt;&gt;0))=0),_xlpm.winner,_xlfn.XLOOKUP($AK170,$H$4:$H$18,$L$4:$L$18,""),IF(_xlpm.auto,--($AL170=_xlpm.winner),Scorebook!J683)))</f>
      </c>
      <c r="AV170" s="5" cm="1">
        <f t="array" aca="1" ref="AV170" ca="1">IF($AK170="","",_xlfn.LET(_xlpm.auto,AND(MOD(ROW()-4,6)=0,$AM170&lt;&gt;0,SUMPRODUCT(--(OFFSET($AM170,1,0,5,1)&lt;&gt;0))=0),_xlpm.loser,_xlfn.XLOOKUP($AK170,$H$4:$H$18,$M$4:$M$18,""),IF(_xlpm.auto,--($AL170=_xlpm.loser),Scorebook!K683)))</f>
      </c>
      <c r="AW170" s="5">
        <f ca="1">Scorebook!L683</f>
      </c>
      <c r="AX170" s="5" cm="1">
        <f t="array" aca="1" ref="AX170" ca="1">IF($AK170="","",_xlfn.LET(_xlpm.auto,AND(MOD(ROW()-4,6)=0,$AM170&lt;&gt;0,SUMPRODUCT(--(OFFSET($AM170,1,0,5,1)&lt;&gt;0))=0),_xlpm.oppA,_xlfn.XLOOKUP($AK170,$H$4:$H$18,$J$4:$J$18,""),_xlpm.oppRuns,IF($AL170=_xlpm.oppA,_xlfn.XLOOKUP($AK170,$H$4:$H$18,$O$4:$O$18,""),_xlfn.XLOOKUP($AK170,$H$4:$H$18,$N$4:$N$18,"")),IF(_xlpm.auto,--(_xlpm.oppRuns=0),Scorebook!M683)))</f>
      </c>
      <c r="AY170" s="5" cm="1">
        <f t="array" aca="1" ref="AY170" ca="1">IF($AK170="","",_xlfn.LET(_xlpm.auto,AND(MOD(ROW()-4,6)=0,$AM170&lt;&gt;0,SUMPRODUCT(--(OFFSET($AM170,1,0,5,1)&lt;&gt;0))=0),IF(_xlpm.auto,1,Scorebook!N683)))</f>
      </c>
      <c r="AZ170" s="5">
        <f>Settings!$B$2</f>
        <v>1</v>
      </c>
    </row>
    <row r="171" spans="19:52">
      <c r="S171" s="4" t="str">
        <f ca="1">Scorebook!$F$443</f>
        <v>G10</v>
      </c>
      <c r="T171" s="5" t="str">
        <f ca="1">Scorebook!$N$443</f>
        <v>Nick</v>
      </c>
      <c r="U171" s="5" t="str">
        <f ca="1">Scorebook!$B$455</f>
        <v>Mii</v>
      </c>
      <c r="V171" s="4">
        <v>6</v>
      </c>
      <c r="W171" s="5">
        <f ca="1">Scorebook!M455</f>
        <v>1</v>
      </c>
      <c r="X171" s="5">
        <f ca="1">Scorebook!N455</f>
        <v>0</v>
      </c>
      <c r="Y171" s="5">
        <f ca="1">Scorebook!O455</f>
        <v>0</v>
      </c>
      <c r="Z171" s="5">
        <f ca="1">Scorebook!P455</f>
        <v>0</v>
      </c>
      <c r="AA171" s="5">
        <f ca="1">Scorebook!Q455</f>
        <v>0</v>
      </c>
      <c r="AB171" s="5">
        <f ca="1">Scorebook!R455</f>
        <v>0</v>
      </c>
      <c r="AC171" s="5">
        <f ca="1">Scorebook!S455</f>
        <v>0</v>
      </c>
      <c r="AD171" s="5">
        <f ca="1">Scorebook!T455</f>
        <v>0</v>
      </c>
      <c r="AE171" s="5">
        <f ca="1">Scorebook!U455</f>
        <v>1</v>
      </c>
      <c r="AF171" s="5">
        <f ca="1">Scorebook!V455</f>
        <v>0</v>
      </c>
      <c r="AG171" s="5">
        <f ca="1">Scorebook!W455</f>
        <v>0</v>
      </c>
      <c r="AH171" s="5">
        <f ca="1">Scorebook!X455</f>
        <v>0</v>
      </c>
      <c r="AI171" s="5">
        <f>Settings!$B$2</f>
        <v>1</v>
      </c>
      <c r="AJ171" s="18">
        <f ca="1">IF($AK171="","",Scorebook!$O$684)</f>
      </c>
      <c r="AK171" s="4" t="str">
        <f ca="1">IF(AND(Bracket!$H$20&lt;&gt;"",Bracket!$I$20&lt;&gt;""),"G14","")</f>
      </c>
      <c r="AL171" s="5" t="str">
        <f ca="1">IF(AND(Bracket!$H$20&lt;&gt;"",Bracket!$I$20&lt;&gt;""),Bracket!$I$20,"")</f>
      </c>
      <c r="AM171" s="5" t="str">
        <f>Scorebook!$B$684</f>
      </c>
      <c r="AN171" s="5">
        <f ca="1">IF(Scorebook!C684="","",INT(Scorebook!C684)+MOD(ROUND(Scorebook!C684*10,0),10)/3)</f>
      </c>
      <c r="AO171" s="5" cm="1">
        <f t="array" aca="1" ref="AO171" ca="1">IF($AK171="","",_xlfn.LET(_xlpm.auto,AND(MOD(ROW()-4,6)=0,$AM171&lt;&gt;0,SUMPRODUCT(--(OFFSET($AM171,1,0,5,1)&lt;&gt;0))=0),_xlpm.oppA,_xlfn.XLOOKUP($AK171,$H$4:$H$18,$J$4:$J$18,""),_xlpm.oppB,_xlfn.XLOOKUP($AK171,$H$4:$H$18,$K$4:$K$18,""),_xlpm.opp,IF($AL171=_xlpm.oppA,_xlpm.oppB,_xlpm.oppA),IF(_xlpm.auto,SUMIFS($Y$4:$Y$273,$S$4:$S$273,$AK171,$T$4:$T$273,_xlpm.opp),Scorebook!D684)))</f>
      </c>
      <c r="AP171" s="5" cm="1">
        <f t="array" aca="1" ref="AP171" ca="1">IF($AK171="","",_xlfn.LET(_xlpm.auto,AND(MOD(ROW()-4,6)=0,$AM171&lt;&gt;0,SUMPRODUCT(--(OFFSET($AM171,1,0,5,1)&lt;&gt;0))=0),_xlpm.oppA,_xlfn.XLOOKUP($AK171,$H$4:$H$18,$J$4:$J$18,""),_xlpm.oppRuns,IF($AL171=_xlpm.oppA,_xlfn.XLOOKUP($AK171,$H$4:$H$18,$O$4:$O$18,""),_xlfn.XLOOKUP($AK171,$H$4:$H$18,$N$4:$N$18,"")),IF(_xlpm.auto,_xlpm.oppRuns,Scorebook!E684)))</f>
      </c>
      <c r="AQ171" s="5">
        <f ca="1">Scorebook!F684</f>
      </c>
      <c r="AR171" s="5" cm="1">
        <f t="array" aca="1" ref="AR171" ca="1">IF($AK171="","",_xlfn.LET(_xlpm.auto,AND(MOD(ROW()-4,6)=0,$AM171&lt;&gt;0,SUMPRODUCT(--(OFFSET($AM171,1,0,5,1)&lt;&gt;0))=0),_xlpm.oppA,_xlfn.XLOOKUP($AK171,$H$4:$H$18,$J$4:$J$18,""),_xlpm.oppB,_xlfn.XLOOKUP($AK171,$H$4:$H$18,$K$4:$K$18,""),_xlpm.opp,IF($AL171=_xlpm.oppA,_xlpm.oppB,_xlpm.oppA),IF(_xlpm.auto,SUMIFS($AD$4:$AD$273,$S$4:$S$273,$AK171,$T$4:$T$273,_xlpm.opp),Scorebook!G684)))</f>
      </c>
      <c r="AS171" s="5" cm="1">
        <f t="array" aca="1" ref="AS171" ca="1">IF($AK171="","",_xlfn.LET(_xlpm.auto,AND(MOD(ROW()-4,6)=0,$AM171&lt;&gt;0,SUMPRODUCT(--(OFFSET($AM171,1,0,5,1)&lt;&gt;0))=0),_xlpm.oppA,_xlfn.XLOOKUP($AK171,$H$4:$H$18,$J$4:$J$18,""),_xlpm.oppB,_xlfn.XLOOKUP($AK171,$H$4:$H$18,$K$4:$K$18,""),_xlpm.opp,IF($AL171=_xlpm.oppA,_xlpm.oppB,_xlpm.oppA),IF(_xlpm.auto,SUMIFS($AE$4:$AE$273,$S$4:$S$273,$AK171,$T$4:$T$273,_xlpm.opp),Scorebook!H684)))</f>
      </c>
      <c r="AT171" s="5" cm="1">
        <f t="array" aca="1" ref="AT171" ca="1">IF($AK171="","",_xlfn.LET(_xlpm.auto,AND(MOD(ROW()-4,6)=0,$AM171&lt;&gt;0,SUMPRODUCT(--(OFFSET($AM171,1,0,5,1)&lt;&gt;0))=0),_xlpm.oppA,_xlfn.XLOOKUP($AK171,$H$4:$H$18,$J$4:$J$18,""),_xlpm.oppB,_xlfn.XLOOKUP($AK171,$H$4:$H$18,$K$4:$K$18,""),_xlpm.opp,IF($AL171=_xlpm.oppA,_xlpm.oppB,_xlpm.oppA),IF(_xlpm.auto,SUMIFS($AB$4:$AB$273,$S$4:$S$273,$AK171,$T$4:$T$273,_xlpm.opp),Scorebook!I684)))</f>
      </c>
      <c r="AU171" s="5" cm="1">
        <f t="array" aca="1" ref="AU171" ca="1">IF($AK171="","",_xlfn.LET(_xlpm.auto,AND(MOD(ROW()-4,6)=0,$AM171&lt;&gt;0,SUMPRODUCT(--(OFFSET($AM171,1,0,5,1)&lt;&gt;0))=0),_xlpm.winner,_xlfn.XLOOKUP($AK171,$H$4:$H$18,$L$4:$L$18,""),IF(_xlpm.auto,--($AL171=_xlpm.winner),Scorebook!J684)))</f>
      </c>
      <c r="AV171" s="5" cm="1">
        <f t="array" aca="1" ref="AV171" ca="1">IF($AK171="","",_xlfn.LET(_xlpm.auto,AND(MOD(ROW()-4,6)=0,$AM171&lt;&gt;0,SUMPRODUCT(--(OFFSET($AM171,1,0,5,1)&lt;&gt;0))=0),_xlpm.loser,_xlfn.XLOOKUP($AK171,$H$4:$H$18,$M$4:$M$18,""),IF(_xlpm.auto,--($AL171=_xlpm.loser),Scorebook!K684)))</f>
      </c>
      <c r="AW171" s="5">
        <f ca="1">Scorebook!L684</f>
      </c>
      <c r="AX171" s="5" cm="1">
        <f t="array" aca="1" ref="AX171" ca="1">IF($AK171="","",_xlfn.LET(_xlpm.auto,AND(MOD(ROW()-4,6)=0,$AM171&lt;&gt;0,SUMPRODUCT(--(OFFSET($AM171,1,0,5,1)&lt;&gt;0))=0),_xlpm.oppA,_xlfn.XLOOKUP($AK171,$H$4:$H$18,$J$4:$J$18,""),_xlpm.oppRuns,IF($AL171=_xlpm.oppA,_xlfn.XLOOKUP($AK171,$H$4:$H$18,$O$4:$O$18,""),_xlfn.XLOOKUP($AK171,$H$4:$H$18,$N$4:$N$18,"")),IF(_xlpm.auto,--(_xlpm.oppRuns=0),Scorebook!M684)))</f>
      </c>
      <c r="AY171" s="5" cm="1">
        <f t="array" aca="1" ref="AY171" ca="1">IF($AK171="","",_xlfn.LET(_xlpm.auto,AND(MOD(ROW()-4,6)=0,$AM171&lt;&gt;0,SUMPRODUCT(--(OFFSET($AM171,1,0,5,1)&lt;&gt;0))=0),IF(_xlpm.auto,1,Scorebook!N684)))</f>
      </c>
      <c r="AZ171" s="5">
        <f>Settings!$B$2</f>
        <v>1</v>
      </c>
    </row>
    <row r="172" spans="19:52">
      <c r="S172" s="4" t="str">
        <f ca="1">Scorebook!$F$443</f>
        <v>G10</v>
      </c>
      <c r="T172" s="5" t="str">
        <f ca="1">Scorebook!$N$443</f>
        <v>Nick</v>
      </c>
      <c r="U172" s="5" t="str">
        <f ca="1">Scorebook!$B$456</f>
        <v>Wiggler</v>
      </c>
      <c r="V172" s="4">
        <v>7</v>
      </c>
      <c r="W172" s="5">
        <f ca="1">Scorebook!M456</f>
        <v>1</v>
      </c>
      <c r="X172" s="5">
        <f ca="1">Scorebook!N456</f>
        <v>0</v>
      </c>
      <c r="Y172" s="5">
        <f ca="1">Scorebook!O456</f>
        <v>0</v>
      </c>
      <c r="Z172" s="5">
        <f ca="1">Scorebook!P456</f>
        <v>0</v>
      </c>
      <c r="AA172" s="5">
        <f ca="1">Scorebook!Q456</f>
        <v>0</v>
      </c>
      <c r="AB172" s="5">
        <f ca="1">Scorebook!R456</f>
        <v>0</v>
      </c>
      <c r="AC172" s="5">
        <f ca="1">Scorebook!S456</f>
        <v>0</v>
      </c>
      <c r="AD172" s="5">
        <f ca="1">Scorebook!T456</f>
        <v>0</v>
      </c>
      <c r="AE172" s="5">
        <f ca="1">Scorebook!U456</f>
        <v>1</v>
      </c>
      <c r="AF172" s="5">
        <f ca="1">Scorebook!V456</f>
        <v>0</v>
      </c>
      <c r="AG172" s="5">
        <f ca="1">Scorebook!W456</f>
        <v>0</v>
      </c>
      <c r="AH172" s="5">
        <f ca="1">Scorebook!X456</f>
        <v>0</v>
      </c>
      <c r="AI172" s="5">
        <f>Settings!$B$2</f>
        <v>1</v>
      </c>
      <c r="AJ172" s="18">
        <f ca="1">IF($AK172="","",Scorebook!$O$707)</f>
      </c>
      <c r="AK172" s="4" t="str">
        <f ca="1">IF(AND(Bracket!$H$21&lt;&gt;"",Bracket!$I$21&lt;&gt;""),"G15","")</f>
      </c>
      <c r="AL172" s="5" t="str">
        <f ca="1">IF(AND(Bracket!$H$21&lt;&gt;"",Bracket!$I$21&lt;&gt;""),Bracket!$H$21,"")</f>
      </c>
      <c r="AM172" s="5" t="str">
        <f>Scorebook!$B$707</f>
      </c>
      <c r="AN172" s="5">
        <f ca="1">IF(Scorebook!C707="","",INT(Scorebook!C707)+MOD(ROUND(Scorebook!C707*10,0),10)/3)</f>
      </c>
      <c r="AO172" s="5" cm="1">
        <f t="array" aca="1" ref="AO172" ca="1">IF($AK172="","",_xlfn.LET(_xlpm.auto,AND(MOD(ROW()-4,6)=0,$AM172&lt;&gt;0,SUMPRODUCT(--(OFFSET($AM172,1,0,5,1)&lt;&gt;0))=0),_xlpm.oppA,_xlfn.XLOOKUP($AK172,$H$4:$H$18,$J$4:$J$18,""),_xlpm.oppB,_xlfn.XLOOKUP($AK172,$H$4:$H$18,$K$4:$K$18,""),_xlpm.opp,IF($AL172=_xlpm.oppA,_xlpm.oppB,_xlpm.oppA),IF(_xlpm.auto,SUMIFS($Y$4:$Y$273,$S$4:$S$273,$AK172,$T$4:$T$273,_xlpm.opp),Scorebook!D707)))</f>
      </c>
      <c r="AP172" s="5" cm="1">
        <f t="array" aca="1" ref="AP172" ca="1">IF($AK172="","",_xlfn.LET(_xlpm.auto,AND(MOD(ROW()-4,6)=0,$AM172&lt;&gt;0,SUMPRODUCT(--(OFFSET($AM172,1,0,5,1)&lt;&gt;0))=0),_xlpm.oppA,_xlfn.XLOOKUP($AK172,$H$4:$H$18,$J$4:$J$18,""),_xlpm.oppRuns,IF($AL172=_xlpm.oppA,_xlfn.XLOOKUP($AK172,$H$4:$H$18,$O$4:$O$18,""),_xlfn.XLOOKUP($AK172,$H$4:$H$18,$N$4:$N$18,"")),IF(_xlpm.auto,_xlpm.oppRuns,Scorebook!E707)))</f>
      </c>
      <c r="AQ172" s="5">
        <f ca="1">Scorebook!F707</f>
      </c>
      <c r="AR172" s="5" cm="1">
        <f t="array" aca="1" ref="AR172" ca="1">IF($AK172="","",_xlfn.LET(_xlpm.auto,AND(MOD(ROW()-4,6)=0,$AM172&lt;&gt;0,SUMPRODUCT(--(OFFSET($AM172,1,0,5,1)&lt;&gt;0))=0),_xlpm.oppA,_xlfn.XLOOKUP($AK172,$H$4:$H$18,$J$4:$J$18,""),_xlpm.oppB,_xlfn.XLOOKUP($AK172,$H$4:$H$18,$K$4:$K$18,""),_xlpm.opp,IF($AL172=_xlpm.oppA,_xlpm.oppB,_xlpm.oppA),IF(_xlpm.auto,SUMIFS($AD$4:$AD$273,$S$4:$S$273,$AK172,$T$4:$T$273,_xlpm.opp),Scorebook!G707)))</f>
      </c>
      <c r="AS172" s="5" cm="1">
        <f t="array" aca="1" ref="AS172" ca="1">IF($AK172="","",_xlfn.LET(_xlpm.auto,AND(MOD(ROW()-4,6)=0,$AM172&lt;&gt;0,SUMPRODUCT(--(OFFSET($AM172,1,0,5,1)&lt;&gt;0))=0),_xlpm.oppA,_xlfn.XLOOKUP($AK172,$H$4:$H$18,$J$4:$J$18,""),_xlpm.oppB,_xlfn.XLOOKUP($AK172,$H$4:$H$18,$K$4:$K$18,""),_xlpm.opp,IF($AL172=_xlpm.oppA,_xlpm.oppB,_xlpm.oppA),IF(_xlpm.auto,SUMIFS($AE$4:$AE$273,$S$4:$S$273,$AK172,$T$4:$T$273,_xlpm.opp),Scorebook!H707)))</f>
      </c>
      <c r="AT172" s="5" cm="1">
        <f t="array" aca="1" ref="AT172" ca="1">IF($AK172="","",_xlfn.LET(_xlpm.auto,AND(MOD(ROW()-4,6)=0,$AM172&lt;&gt;0,SUMPRODUCT(--(OFFSET($AM172,1,0,5,1)&lt;&gt;0))=0),_xlpm.oppA,_xlfn.XLOOKUP($AK172,$H$4:$H$18,$J$4:$J$18,""),_xlpm.oppB,_xlfn.XLOOKUP($AK172,$H$4:$H$18,$K$4:$K$18,""),_xlpm.opp,IF($AL172=_xlpm.oppA,_xlpm.oppB,_xlpm.oppA),IF(_xlpm.auto,SUMIFS($AB$4:$AB$273,$S$4:$S$273,$AK172,$T$4:$T$273,_xlpm.opp),Scorebook!I707)))</f>
      </c>
      <c r="AU172" s="5" cm="1">
        <f t="array" aca="1" ref="AU172" ca="1">IF($AK172="","",_xlfn.LET(_xlpm.auto,AND(MOD(ROW()-4,6)=0,$AM172&lt;&gt;0,SUMPRODUCT(--(OFFSET($AM172,1,0,5,1)&lt;&gt;0))=0),_xlpm.winner,_xlfn.XLOOKUP($AK172,$H$4:$H$18,$L$4:$L$18,""),IF(_xlpm.auto,--($AL172=_xlpm.winner),Scorebook!J707)))</f>
      </c>
      <c r="AV172" s="5" cm="1">
        <f t="array" aca="1" ref="AV172" ca="1">IF($AK172="","",_xlfn.LET(_xlpm.auto,AND(MOD(ROW()-4,6)=0,$AM172&lt;&gt;0,SUMPRODUCT(--(OFFSET($AM172,1,0,5,1)&lt;&gt;0))=0),_xlpm.loser,_xlfn.XLOOKUP($AK172,$H$4:$H$18,$M$4:$M$18,""),IF(_xlpm.auto,--($AL172=_xlpm.loser),Scorebook!K707)))</f>
      </c>
      <c r="AW172" s="5">
        <f ca="1">Scorebook!L707</f>
      </c>
      <c r="AX172" s="5" cm="1">
        <f t="array" aca="1" ref="AX172" ca="1">IF($AK172="","",_xlfn.LET(_xlpm.auto,AND(MOD(ROW()-4,6)=0,$AM172&lt;&gt;0,SUMPRODUCT(--(OFFSET($AM172,1,0,5,1)&lt;&gt;0))=0),_xlpm.oppA,_xlfn.XLOOKUP($AK172,$H$4:$H$18,$J$4:$J$18,""),_xlpm.oppRuns,IF($AL172=_xlpm.oppA,_xlfn.XLOOKUP($AK172,$H$4:$H$18,$O$4:$O$18,""),_xlfn.XLOOKUP($AK172,$H$4:$H$18,$N$4:$N$18,"")),IF(_xlpm.auto,--(_xlpm.oppRuns=0),Scorebook!M707)))</f>
      </c>
      <c r="AY172" s="5" cm="1">
        <f t="array" aca="1" ref="AY172" ca="1">IF($AK172="","",_xlfn.LET(_xlpm.auto,AND(MOD(ROW()-4,6)=0,$AM172&lt;&gt;0,SUMPRODUCT(--(OFFSET($AM172,1,0,5,1)&lt;&gt;0))=0),IF(_xlpm.auto,1,Scorebook!N707)))</f>
      </c>
      <c r="AZ172" s="5">
        <f>Settings!$B$2</f>
        <v>1</v>
      </c>
    </row>
    <row r="173" spans="19:52">
      <c r="S173" s="4" t="str">
        <f ca="1">Scorebook!$F$443</f>
        <v>G10</v>
      </c>
      <c r="T173" s="5" t="str">
        <f ca="1">Scorebook!$N$443</f>
        <v>Nick</v>
      </c>
      <c r="U173" s="5" t="str">
        <f ca="1">Scorebook!$B$457</f>
        <v>Toadette</v>
      </c>
      <c r="V173" s="4">
        <v>8</v>
      </c>
      <c r="W173" s="5">
        <f ca="1">Scorebook!M457</f>
        <v>1</v>
      </c>
      <c r="X173" s="5">
        <f ca="1">Scorebook!N457</f>
        <v>0</v>
      </c>
      <c r="Y173" s="5">
        <f ca="1">Scorebook!O457</f>
        <v>1</v>
      </c>
      <c r="Z173" s="5">
        <f ca="1">Scorebook!P457</f>
        <v>0</v>
      </c>
      <c r="AA173" s="5">
        <f ca="1">Scorebook!Q457</f>
        <v>0</v>
      </c>
      <c r="AB173" s="5">
        <f ca="1">Scorebook!R457</f>
        <v>0</v>
      </c>
      <c r="AC173" s="5">
        <f ca="1">Scorebook!S457</f>
        <v>0</v>
      </c>
      <c r="AD173" s="5">
        <f ca="1">Scorebook!T457</f>
        <v>0</v>
      </c>
      <c r="AE173" s="5">
        <f ca="1">Scorebook!U457</f>
        <v>0</v>
      </c>
      <c r="AF173" s="5">
        <f ca="1">Scorebook!V457</f>
        <v>0</v>
      </c>
      <c r="AG173" s="5">
        <f ca="1">Scorebook!W457</f>
        <v>0</v>
      </c>
      <c r="AH173" s="5">
        <f ca="1">Scorebook!X457</f>
        <v>0</v>
      </c>
      <c r="AI173" s="5">
        <f>Settings!$B$2</f>
        <v>1</v>
      </c>
      <c r="AJ173" s="18">
        <f ca="1">IF($AK173="","",Scorebook!$O$708)</f>
      </c>
      <c r="AK173" s="4" t="str">
        <f ca="1">IF(AND(Bracket!$H$21&lt;&gt;"",Bracket!$I$21&lt;&gt;""),"G15","")</f>
      </c>
      <c r="AL173" s="5" t="str">
        <f ca="1">IF(AND(Bracket!$H$21&lt;&gt;"",Bracket!$I$21&lt;&gt;""),Bracket!$H$21,"")</f>
      </c>
      <c r="AM173" s="5" t="str">
        <f>Scorebook!$B$708</f>
      </c>
      <c r="AN173" s="5">
        <f ca="1">IF(Scorebook!C708="","",INT(Scorebook!C708)+MOD(ROUND(Scorebook!C708*10,0),10)/3)</f>
      </c>
      <c r="AO173" s="5" cm="1">
        <f t="array" aca="1" ref="AO173" ca="1">IF($AK173="","",_xlfn.LET(_xlpm.auto,AND(MOD(ROW()-4,6)=0,$AM173&lt;&gt;0,SUMPRODUCT(--(OFFSET($AM173,1,0,5,1)&lt;&gt;0))=0),_xlpm.oppA,_xlfn.XLOOKUP($AK173,$H$4:$H$18,$J$4:$J$18,""),_xlpm.oppB,_xlfn.XLOOKUP($AK173,$H$4:$H$18,$K$4:$K$18,""),_xlpm.opp,IF($AL173=_xlpm.oppA,_xlpm.oppB,_xlpm.oppA),IF(_xlpm.auto,SUMIFS($Y$4:$Y$273,$S$4:$S$273,$AK173,$T$4:$T$273,_xlpm.opp),Scorebook!D708)))</f>
      </c>
      <c r="AP173" s="5" cm="1">
        <f t="array" aca="1" ref="AP173" ca="1">IF($AK173="","",_xlfn.LET(_xlpm.auto,AND(MOD(ROW()-4,6)=0,$AM173&lt;&gt;0,SUMPRODUCT(--(OFFSET($AM173,1,0,5,1)&lt;&gt;0))=0),_xlpm.oppA,_xlfn.XLOOKUP($AK173,$H$4:$H$18,$J$4:$J$18,""),_xlpm.oppRuns,IF($AL173=_xlpm.oppA,_xlfn.XLOOKUP($AK173,$H$4:$H$18,$O$4:$O$18,""),_xlfn.XLOOKUP($AK173,$H$4:$H$18,$N$4:$N$18,"")),IF(_xlpm.auto,_xlpm.oppRuns,Scorebook!E708)))</f>
      </c>
      <c r="AQ173" s="5">
        <f ca="1">Scorebook!F708</f>
      </c>
      <c r="AR173" s="5" cm="1">
        <f t="array" aca="1" ref="AR173" ca="1">IF($AK173="","",_xlfn.LET(_xlpm.auto,AND(MOD(ROW()-4,6)=0,$AM173&lt;&gt;0,SUMPRODUCT(--(OFFSET($AM173,1,0,5,1)&lt;&gt;0))=0),_xlpm.oppA,_xlfn.XLOOKUP($AK173,$H$4:$H$18,$J$4:$J$18,""),_xlpm.oppB,_xlfn.XLOOKUP($AK173,$H$4:$H$18,$K$4:$K$18,""),_xlpm.opp,IF($AL173=_xlpm.oppA,_xlpm.oppB,_xlpm.oppA),IF(_xlpm.auto,SUMIFS($AD$4:$AD$273,$S$4:$S$273,$AK173,$T$4:$T$273,_xlpm.opp),Scorebook!G708)))</f>
      </c>
      <c r="AS173" s="5" cm="1">
        <f t="array" aca="1" ref="AS173" ca="1">IF($AK173="","",_xlfn.LET(_xlpm.auto,AND(MOD(ROW()-4,6)=0,$AM173&lt;&gt;0,SUMPRODUCT(--(OFFSET($AM173,1,0,5,1)&lt;&gt;0))=0),_xlpm.oppA,_xlfn.XLOOKUP($AK173,$H$4:$H$18,$J$4:$J$18,""),_xlpm.oppB,_xlfn.XLOOKUP($AK173,$H$4:$H$18,$K$4:$K$18,""),_xlpm.opp,IF($AL173=_xlpm.oppA,_xlpm.oppB,_xlpm.oppA),IF(_xlpm.auto,SUMIFS($AE$4:$AE$273,$S$4:$S$273,$AK173,$T$4:$T$273,_xlpm.opp),Scorebook!H708)))</f>
      </c>
      <c r="AT173" s="5" cm="1">
        <f t="array" aca="1" ref="AT173" ca="1">IF($AK173="","",_xlfn.LET(_xlpm.auto,AND(MOD(ROW()-4,6)=0,$AM173&lt;&gt;0,SUMPRODUCT(--(OFFSET($AM173,1,0,5,1)&lt;&gt;0))=0),_xlpm.oppA,_xlfn.XLOOKUP($AK173,$H$4:$H$18,$J$4:$J$18,""),_xlpm.oppB,_xlfn.XLOOKUP($AK173,$H$4:$H$18,$K$4:$K$18,""),_xlpm.opp,IF($AL173=_xlpm.oppA,_xlpm.oppB,_xlpm.oppA),IF(_xlpm.auto,SUMIFS($AB$4:$AB$273,$S$4:$S$273,$AK173,$T$4:$T$273,_xlpm.opp),Scorebook!I708)))</f>
      </c>
      <c r="AU173" s="5" cm="1">
        <f t="array" aca="1" ref="AU173" ca="1">IF($AK173="","",_xlfn.LET(_xlpm.auto,AND(MOD(ROW()-4,6)=0,$AM173&lt;&gt;0,SUMPRODUCT(--(OFFSET($AM173,1,0,5,1)&lt;&gt;0))=0),_xlpm.winner,_xlfn.XLOOKUP($AK173,$H$4:$H$18,$L$4:$L$18,""),IF(_xlpm.auto,--($AL173=_xlpm.winner),Scorebook!J708)))</f>
      </c>
      <c r="AV173" s="5" cm="1">
        <f t="array" aca="1" ref="AV173" ca="1">IF($AK173="","",_xlfn.LET(_xlpm.auto,AND(MOD(ROW()-4,6)=0,$AM173&lt;&gt;0,SUMPRODUCT(--(OFFSET($AM173,1,0,5,1)&lt;&gt;0))=0),_xlpm.loser,_xlfn.XLOOKUP($AK173,$H$4:$H$18,$M$4:$M$18,""),IF(_xlpm.auto,--($AL173=_xlpm.loser),Scorebook!K708)))</f>
      </c>
      <c r="AW173" s="5">
        <f ca="1">Scorebook!L708</f>
      </c>
      <c r="AX173" s="5" cm="1">
        <f t="array" aca="1" ref="AX173" ca="1">IF($AK173="","",_xlfn.LET(_xlpm.auto,AND(MOD(ROW()-4,6)=0,$AM173&lt;&gt;0,SUMPRODUCT(--(OFFSET($AM173,1,0,5,1)&lt;&gt;0))=0),_xlpm.oppA,_xlfn.XLOOKUP($AK173,$H$4:$H$18,$J$4:$J$18,""),_xlpm.oppRuns,IF($AL173=_xlpm.oppA,_xlfn.XLOOKUP($AK173,$H$4:$H$18,$O$4:$O$18,""),_xlfn.XLOOKUP($AK173,$H$4:$H$18,$N$4:$N$18,"")),IF(_xlpm.auto,--(_xlpm.oppRuns=0),Scorebook!M708)))</f>
      </c>
      <c r="AY173" s="5" cm="1">
        <f t="array" aca="1" ref="AY173" ca="1">IF($AK173="","",_xlfn.LET(_xlpm.auto,AND(MOD(ROW()-4,6)=0,$AM173&lt;&gt;0,SUMPRODUCT(--(OFFSET($AM173,1,0,5,1)&lt;&gt;0))=0),IF(_xlpm.auto,1,Scorebook!N708)))</f>
      </c>
      <c r="AZ173" s="5">
        <f>Settings!$B$2</f>
        <v>1</v>
      </c>
    </row>
    <row r="174" spans="19:52">
      <c r="S174" s="4" t="str">
        <f ca="1">Scorebook!$F$443</f>
        <v>G10</v>
      </c>
      <c r="T174" s="5" t="str">
        <f ca="1">Scorebook!$N$443</f>
        <v>Nick</v>
      </c>
      <c r="U174" s="5" t="str">
        <f ca="1">Scorebook!$B$458</f>
        <v>Boomerang Bro</v>
      </c>
      <c r="V174" s="4">
        <v>9</v>
      </c>
      <c r="W174" s="5">
        <f ca="1">Scorebook!M458</f>
        <v>1</v>
      </c>
      <c r="X174" s="5">
        <f ca="1">Scorebook!N458</f>
        <v>0</v>
      </c>
      <c r="Y174" s="5">
        <f ca="1">Scorebook!O458</f>
        <v>1</v>
      </c>
      <c r="Z174" s="5">
        <f ca="1">Scorebook!P458</f>
        <v>0</v>
      </c>
      <c r="AA174" s="5">
        <f ca="1">Scorebook!Q458</f>
        <v>0</v>
      </c>
      <c r="AB174" s="5">
        <f ca="1">Scorebook!R458</f>
        <v>0</v>
      </c>
      <c r="AC174" s="5">
        <f ca="1">Scorebook!S458</f>
        <v>0</v>
      </c>
      <c r="AD174" s="5">
        <f ca="1">Scorebook!T458</f>
        <v>0</v>
      </c>
      <c r="AE174" s="5">
        <f ca="1">Scorebook!U458</f>
        <v>0</v>
      </c>
      <c r="AF174" s="5">
        <f ca="1">Scorebook!V458</f>
        <v>0</v>
      </c>
      <c r="AG174" s="5">
        <f ca="1">Scorebook!W458</f>
        <v>0</v>
      </c>
      <c r="AH174" s="5">
        <f ca="1">Scorebook!X458</f>
        <v>0</v>
      </c>
      <c r="AI174" s="5">
        <f>Settings!$B$2</f>
        <v>1</v>
      </c>
      <c r="AJ174" s="18">
        <f ca="1">IF($AK174="","",Scorebook!$O$709)</f>
      </c>
      <c r="AK174" s="4" t="str">
        <f ca="1">IF(AND(Bracket!$H$21&lt;&gt;"",Bracket!$I$21&lt;&gt;""),"G15","")</f>
      </c>
      <c r="AL174" s="5" t="str">
        <f ca="1">IF(AND(Bracket!$H$21&lt;&gt;"",Bracket!$I$21&lt;&gt;""),Bracket!$H$21,"")</f>
      </c>
      <c r="AM174" s="5" t="str">
        <f>Scorebook!$B$709</f>
      </c>
      <c r="AN174" s="5">
        <f ca="1">IF(Scorebook!C709="","",INT(Scorebook!C709)+MOD(ROUND(Scorebook!C709*10,0),10)/3)</f>
      </c>
      <c r="AO174" s="5" cm="1">
        <f t="array" aca="1" ref="AO174" ca="1">IF($AK174="","",_xlfn.LET(_xlpm.auto,AND(MOD(ROW()-4,6)=0,$AM174&lt;&gt;0,SUMPRODUCT(--(OFFSET($AM174,1,0,5,1)&lt;&gt;0))=0),_xlpm.oppA,_xlfn.XLOOKUP($AK174,$H$4:$H$18,$J$4:$J$18,""),_xlpm.oppB,_xlfn.XLOOKUP($AK174,$H$4:$H$18,$K$4:$K$18,""),_xlpm.opp,IF($AL174=_xlpm.oppA,_xlpm.oppB,_xlpm.oppA),IF(_xlpm.auto,SUMIFS($Y$4:$Y$273,$S$4:$S$273,$AK174,$T$4:$T$273,_xlpm.opp),Scorebook!D709)))</f>
      </c>
      <c r="AP174" s="5" cm="1">
        <f t="array" aca="1" ref="AP174" ca="1">IF($AK174="","",_xlfn.LET(_xlpm.auto,AND(MOD(ROW()-4,6)=0,$AM174&lt;&gt;0,SUMPRODUCT(--(OFFSET($AM174,1,0,5,1)&lt;&gt;0))=0),_xlpm.oppA,_xlfn.XLOOKUP($AK174,$H$4:$H$18,$J$4:$J$18,""),_xlpm.oppRuns,IF($AL174=_xlpm.oppA,_xlfn.XLOOKUP($AK174,$H$4:$H$18,$O$4:$O$18,""),_xlfn.XLOOKUP($AK174,$H$4:$H$18,$N$4:$N$18,"")),IF(_xlpm.auto,_xlpm.oppRuns,Scorebook!E709)))</f>
      </c>
      <c r="AQ174" s="5">
        <f ca="1">Scorebook!F709</f>
      </c>
      <c r="AR174" s="5" cm="1">
        <f t="array" aca="1" ref="AR174" ca="1">IF($AK174="","",_xlfn.LET(_xlpm.auto,AND(MOD(ROW()-4,6)=0,$AM174&lt;&gt;0,SUMPRODUCT(--(OFFSET($AM174,1,0,5,1)&lt;&gt;0))=0),_xlpm.oppA,_xlfn.XLOOKUP($AK174,$H$4:$H$18,$J$4:$J$18,""),_xlpm.oppB,_xlfn.XLOOKUP($AK174,$H$4:$H$18,$K$4:$K$18,""),_xlpm.opp,IF($AL174=_xlpm.oppA,_xlpm.oppB,_xlpm.oppA),IF(_xlpm.auto,SUMIFS($AD$4:$AD$273,$S$4:$S$273,$AK174,$T$4:$T$273,_xlpm.opp),Scorebook!G709)))</f>
      </c>
      <c r="AS174" s="5" cm="1">
        <f t="array" aca="1" ref="AS174" ca="1">IF($AK174="","",_xlfn.LET(_xlpm.auto,AND(MOD(ROW()-4,6)=0,$AM174&lt;&gt;0,SUMPRODUCT(--(OFFSET($AM174,1,0,5,1)&lt;&gt;0))=0),_xlpm.oppA,_xlfn.XLOOKUP($AK174,$H$4:$H$18,$J$4:$J$18,""),_xlpm.oppB,_xlfn.XLOOKUP($AK174,$H$4:$H$18,$K$4:$K$18,""),_xlpm.opp,IF($AL174=_xlpm.oppA,_xlpm.oppB,_xlpm.oppA),IF(_xlpm.auto,SUMIFS($AE$4:$AE$273,$S$4:$S$273,$AK174,$T$4:$T$273,_xlpm.opp),Scorebook!H709)))</f>
      </c>
      <c r="AT174" s="5" cm="1">
        <f t="array" aca="1" ref="AT174" ca="1">IF($AK174="","",_xlfn.LET(_xlpm.auto,AND(MOD(ROW()-4,6)=0,$AM174&lt;&gt;0,SUMPRODUCT(--(OFFSET($AM174,1,0,5,1)&lt;&gt;0))=0),_xlpm.oppA,_xlfn.XLOOKUP($AK174,$H$4:$H$18,$J$4:$J$18,""),_xlpm.oppB,_xlfn.XLOOKUP($AK174,$H$4:$H$18,$K$4:$K$18,""),_xlpm.opp,IF($AL174=_xlpm.oppA,_xlpm.oppB,_xlpm.oppA),IF(_xlpm.auto,SUMIFS($AB$4:$AB$273,$S$4:$S$273,$AK174,$T$4:$T$273,_xlpm.opp),Scorebook!I709)))</f>
      </c>
      <c r="AU174" s="5" cm="1">
        <f t="array" aca="1" ref="AU174" ca="1">IF($AK174="","",_xlfn.LET(_xlpm.auto,AND(MOD(ROW()-4,6)=0,$AM174&lt;&gt;0,SUMPRODUCT(--(OFFSET($AM174,1,0,5,1)&lt;&gt;0))=0),_xlpm.winner,_xlfn.XLOOKUP($AK174,$H$4:$H$18,$L$4:$L$18,""),IF(_xlpm.auto,--($AL174=_xlpm.winner),Scorebook!J709)))</f>
      </c>
      <c r="AV174" s="5" cm="1">
        <f t="array" aca="1" ref="AV174" ca="1">IF($AK174="","",_xlfn.LET(_xlpm.auto,AND(MOD(ROW()-4,6)=0,$AM174&lt;&gt;0,SUMPRODUCT(--(OFFSET($AM174,1,0,5,1)&lt;&gt;0))=0),_xlpm.loser,_xlfn.XLOOKUP($AK174,$H$4:$H$18,$M$4:$M$18,""),IF(_xlpm.auto,--($AL174=_xlpm.loser),Scorebook!K709)))</f>
      </c>
      <c r="AW174" s="5">
        <f ca="1">Scorebook!L709</f>
      </c>
      <c r="AX174" s="5" cm="1">
        <f t="array" aca="1" ref="AX174" ca="1">IF($AK174="","",_xlfn.LET(_xlpm.auto,AND(MOD(ROW()-4,6)=0,$AM174&lt;&gt;0,SUMPRODUCT(--(OFFSET($AM174,1,0,5,1)&lt;&gt;0))=0),_xlpm.oppA,_xlfn.XLOOKUP($AK174,$H$4:$H$18,$J$4:$J$18,""),_xlpm.oppRuns,IF($AL174=_xlpm.oppA,_xlfn.XLOOKUP($AK174,$H$4:$H$18,$O$4:$O$18,""),_xlfn.XLOOKUP($AK174,$H$4:$H$18,$N$4:$N$18,"")),IF(_xlpm.auto,--(_xlpm.oppRuns=0),Scorebook!M709)))</f>
      </c>
      <c r="AY174" s="5" cm="1">
        <f t="array" aca="1" ref="AY174" ca="1">IF($AK174="","",_xlfn.LET(_xlpm.auto,AND(MOD(ROW()-4,6)=0,$AM174&lt;&gt;0,SUMPRODUCT(--(OFFSET($AM174,1,0,5,1)&lt;&gt;0))=0),IF(_xlpm.auto,1,Scorebook!N709)))</f>
      </c>
      <c r="AZ174" s="5">
        <f>Settings!$B$2</f>
        <v>1</v>
      </c>
    </row>
    <row r="175" spans="19:52">
      <c r="S175" s="4" t="str">
        <f ca="1">Scorebook!$F$443</f>
        <v>G10</v>
      </c>
      <c r="T175" s="5" t="str">
        <f ca="1">Scorebook!$R$443</f>
        <v>Jason</v>
      </c>
      <c r="U175" s="5" t="str">
        <f ca="1">Scorebook!$B$471</f>
        <v>Yoshi</v>
      </c>
      <c r="V175" s="4">
        <v>1</v>
      </c>
      <c r="W175" s="5">
        <f ca="1">Scorebook!M471</f>
        <v>2</v>
      </c>
      <c r="X175" s="5">
        <f ca="1">Scorebook!N471</f>
        <v>1</v>
      </c>
      <c r="Y175" s="5">
        <f ca="1">Scorebook!O471</f>
        <v>1</v>
      </c>
      <c r="Z175" s="5">
        <f ca="1">Scorebook!P471</f>
        <v>0</v>
      </c>
      <c r="AA175" s="5">
        <f ca="1">Scorebook!Q471</f>
        <v>0</v>
      </c>
      <c r="AB175" s="5">
        <f ca="1">Scorebook!R471</f>
        <v>0</v>
      </c>
      <c r="AC175" s="5">
        <f ca="1">Scorebook!S471</f>
        <v>0</v>
      </c>
      <c r="AD175" s="5">
        <f ca="1">Scorebook!T471</f>
        <v>0</v>
      </c>
      <c r="AE175" s="5">
        <f ca="1">Scorebook!U471</f>
        <v>0</v>
      </c>
      <c r="AF175" s="5">
        <f ca="1">Scorebook!V471</f>
        <v>0</v>
      </c>
      <c r="AG175" s="5">
        <f ca="1">Scorebook!W471</f>
        <v>0</v>
      </c>
      <c r="AH175" s="5">
        <f ca="1">Scorebook!X471</f>
        <v>0</v>
      </c>
      <c r="AI175" s="5">
        <f>Settings!$B$2</f>
        <v>1</v>
      </c>
      <c r="AJ175" s="18">
        <f ca="1">IF($AK175="","",Scorebook!$O$710)</f>
      </c>
      <c r="AK175" s="4" t="str">
        <f ca="1">IF(AND(Bracket!$H$21&lt;&gt;"",Bracket!$I$21&lt;&gt;""),"G15","")</f>
      </c>
      <c r="AL175" s="5" t="str">
        <f ca="1">IF(AND(Bracket!$H$21&lt;&gt;"",Bracket!$I$21&lt;&gt;""),Bracket!$H$21,"")</f>
      </c>
      <c r="AM175" s="5" t="str">
        <f>Scorebook!$B$710</f>
      </c>
      <c r="AN175" s="5">
        <f ca="1">IF(Scorebook!C710="","",INT(Scorebook!C710)+MOD(ROUND(Scorebook!C710*10,0),10)/3)</f>
      </c>
      <c r="AO175" s="5" cm="1">
        <f t="array" aca="1" ref="AO175" ca="1">IF($AK175="","",_xlfn.LET(_xlpm.auto,AND(MOD(ROW()-4,6)=0,$AM175&lt;&gt;0,SUMPRODUCT(--(OFFSET($AM175,1,0,5,1)&lt;&gt;0))=0),_xlpm.oppA,_xlfn.XLOOKUP($AK175,$H$4:$H$18,$J$4:$J$18,""),_xlpm.oppB,_xlfn.XLOOKUP($AK175,$H$4:$H$18,$K$4:$K$18,""),_xlpm.opp,IF($AL175=_xlpm.oppA,_xlpm.oppB,_xlpm.oppA),IF(_xlpm.auto,SUMIFS($Y$4:$Y$273,$S$4:$S$273,$AK175,$T$4:$T$273,_xlpm.opp),Scorebook!D710)))</f>
      </c>
      <c r="AP175" s="5" cm="1">
        <f t="array" aca="1" ref="AP175" ca="1">IF($AK175="","",_xlfn.LET(_xlpm.auto,AND(MOD(ROW()-4,6)=0,$AM175&lt;&gt;0,SUMPRODUCT(--(OFFSET($AM175,1,0,5,1)&lt;&gt;0))=0),_xlpm.oppA,_xlfn.XLOOKUP($AK175,$H$4:$H$18,$J$4:$J$18,""),_xlpm.oppRuns,IF($AL175=_xlpm.oppA,_xlfn.XLOOKUP($AK175,$H$4:$H$18,$O$4:$O$18,""),_xlfn.XLOOKUP($AK175,$H$4:$H$18,$N$4:$N$18,"")),IF(_xlpm.auto,_xlpm.oppRuns,Scorebook!E710)))</f>
      </c>
      <c r="AQ175" s="5">
        <f ca="1">Scorebook!F710</f>
      </c>
      <c r="AR175" s="5" cm="1">
        <f t="array" aca="1" ref="AR175" ca="1">IF($AK175="","",_xlfn.LET(_xlpm.auto,AND(MOD(ROW()-4,6)=0,$AM175&lt;&gt;0,SUMPRODUCT(--(OFFSET($AM175,1,0,5,1)&lt;&gt;0))=0),_xlpm.oppA,_xlfn.XLOOKUP($AK175,$H$4:$H$18,$J$4:$J$18,""),_xlpm.oppB,_xlfn.XLOOKUP($AK175,$H$4:$H$18,$K$4:$K$18,""),_xlpm.opp,IF($AL175=_xlpm.oppA,_xlpm.oppB,_xlpm.oppA),IF(_xlpm.auto,SUMIFS($AD$4:$AD$273,$S$4:$S$273,$AK175,$T$4:$T$273,_xlpm.opp),Scorebook!G710)))</f>
      </c>
      <c r="AS175" s="5" cm="1">
        <f t="array" aca="1" ref="AS175" ca="1">IF($AK175="","",_xlfn.LET(_xlpm.auto,AND(MOD(ROW()-4,6)=0,$AM175&lt;&gt;0,SUMPRODUCT(--(OFFSET($AM175,1,0,5,1)&lt;&gt;0))=0),_xlpm.oppA,_xlfn.XLOOKUP($AK175,$H$4:$H$18,$J$4:$J$18,""),_xlpm.oppB,_xlfn.XLOOKUP($AK175,$H$4:$H$18,$K$4:$K$18,""),_xlpm.opp,IF($AL175=_xlpm.oppA,_xlpm.oppB,_xlpm.oppA),IF(_xlpm.auto,SUMIFS($AE$4:$AE$273,$S$4:$S$273,$AK175,$T$4:$T$273,_xlpm.opp),Scorebook!H710)))</f>
      </c>
      <c r="AT175" s="5" cm="1">
        <f t="array" aca="1" ref="AT175" ca="1">IF($AK175="","",_xlfn.LET(_xlpm.auto,AND(MOD(ROW()-4,6)=0,$AM175&lt;&gt;0,SUMPRODUCT(--(OFFSET($AM175,1,0,5,1)&lt;&gt;0))=0),_xlpm.oppA,_xlfn.XLOOKUP($AK175,$H$4:$H$18,$J$4:$J$18,""),_xlpm.oppB,_xlfn.XLOOKUP($AK175,$H$4:$H$18,$K$4:$K$18,""),_xlpm.opp,IF($AL175=_xlpm.oppA,_xlpm.oppB,_xlpm.oppA),IF(_xlpm.auto,SUMIFS($AB$4:$AB$273,$S$4:$S$273,$AK175,$T$4:$T$273,_xlpm.opp),Scorebook!I710)))</f>
      </c>
      <c r="AU175" s="5" cm="1">
        <f t="array" aca="1" ref="AU175" ca="1">IF($AK175="","",_xlfn.LET(_xlpm.auto,AND(MOD(ROW()-4,6)=0,$AM175&lt;&gt;0,SUMPRODUCT(--(OFFSET($AM175,1,0,5,1)&lt;&gt;0))=0),_xlpm.winner,_xlfn.XLOOKUP($AK175,$H$4:$H$18,$L$4:$L$18,""),IF(_xlpm.auto,--($AL175=_xlpm.winner),Scorebook!J710)))</f>
      </c>
      <c r="AV175" s="5" cm="1">
        <f t="array" aca="1" ref="AV175" ca="1">IF($AK175="","",_xlfn.LET(_xlpm.auto,AND(MOD(ROW()-4,6)=0,$AM175&lt;&gt;0,SUMPRODUCT(--(OFFSET($AM175,1,0,5,1)&lt;&gt;0))=0),_xlpm.loser,_xlfn.XLOOKUP($AK175,$H$4:$H$18,$M$4:$M$18,""),IF(_xlpm.auto,--($AL175=_xlpm.loser),Scorebook!K710)))</f>
      </c>
      <c r="AW175" s="5">
        <f ca="1">Scorebook!L710</f>
      </c>
      <c r="AX175" s="5" cm="1">
        <f t="array" aca="1" ref="AX175" ca="1">IF($AK175="","",_xlfn.LET(_xlpm.auto,AND(MOD(ROW()-4,6)=0,$AM175&lt;&gt;0,SUMPRODUCT(--(OFFSET($AM175,1,0,5,1)&lt;&gt;0))=0),_xlpm.oppA,_xlfn.XLOOKUP($AK175,$H$4:$H$18,$J$4:$J$18,""),_xlpm.oppRuns,IF($AL175=_xlpm.oppA,_xlfn.XLOOKUP($AK175,$H$4:$H$18,$O$4:$O$18,""),_xlfn.XLOOKUP($AK175,$H$4:$H$18,$N$4:$N$18,"")),IF(_xlpm.auto,--(_xlpm.oppRuns=0),Scorebook!M710)))</f>
      </c>
      <c r="AY175" s="5" cm="1">
        <f t="array" aca="1" ref="AY175" ca="1">IF($AK175="","",_xlfn.LET(_xlpm.auto,AND(MOD(ROW()-4,6)=0,$AM175&lt;&gt;0,SUMPRODUCT(--(OFFSET($AM175,1,0,5,1)&lt;&gt;0))=0),IF(_xlpm.auto,1,Scorebook!N710)))</f>
      </c>
      <c r="AZ175" s="5">
        <f>Settings!$B$2</f>
        <v>1</v>
      </c>
    </row>
    <row r="176" spans="19:52">
      <c r="S176" s="4" t="str">
        <f ca="1">Scorebook!$F$443</f>
        <v>G10</v>
      </c>
      <c r="T176" s="5" t="str">
        <f ca="1">Scorebook!$R$443</f>
        <v>Jason</v>
      </c>
      <c r="U176" s="5" t="str">
        <f ca="1">Scorebook!$B$472</f>
        <v>Brown Kritter</v>
      </c>
      <c r="V176" s="4">
        <v>2</v>
      </c>
      <c r="W176" s="5">
        <f ca="1">Scorebook!M472</f>
        <v>2</v>
      </c>
      <c r="X176" s="5">
        <f ca="1">Scorebook!N472</f>
        <v>0</v>
      </c>
      <c r="Y176" s="5">
        <f ca="1">Scorebook!O472</f>
        <v>0</v>
      </c>
      <c r="Z176" s="5">
        <f ca="1">Scorebook!P472</f>
        <v>0</v>
      </c>
      <c r="AA176" s="5">
        <f ca="1">Scorebook!Q472</f>
        <v>0</v>
      </c>
      <c r="AB176" s="5">
        <f ca="1">Scorebook!R472</f>
        <v>0</v>
      </c>
      <c r="AC176" s="5">
        <f ca="1">Scorebook!S472</f>
        <v>0</v>
      </c>
      <c r="AD176" s="5">
        <f ca="1">Scorebook!T472</f>
        <v>0</v>
      </c>
      <c r="AE176" s="5">
        <f ca="1">Scorebook!U472</f>
        <v>0</v>
      </c>
      <c r="AF176" s="5">
        <f ca="1">Scorebook!V472</f>
        <v>0</v>
      </c>
      <c r="AG176" s="5">
        <f ca="1">Scorebook!W472</f>
        <v>0</v>
      </c>
      <c r="AH176" s="5">
        <f ca="1">Scorebook!X472</f>
        <v>0</v>
      </c>
      <c r="AI176" s="5">
        <f>Settings!$B$2</f>
        <v>1</v>
      </c>
      <c r="AJ176" s="18">
        <f ca="1">IF($AK176="","",Scorebook!$O$711)</f>
      </c>
      <c r="AK176" s="4" t="str">
        <f ca="1">IF(AND(Bracket!$H$21&lt;&gt;"",Bracket!$I$21&lt;&gt;""),"G15","")</f>
      </c>
      <c r="AL176" s="5" t="str">
        <f ca="1">IF(AND(Bracket!$H$21&lt;&gt;"",Bracket!$I$21&lt;&gt;""),Bracket!$H$21,"")</f>
      </c>
      <c r="AM176" s="5" t="str">
        <f>Scorebook!$B$711</f>
      </c>
      <c r="AN176" s="5">
        <f ca="1">IF(Scorebook!C711="","",INT(Scorebook!C711)+MOD(ROUND(Scorebook!C711*10,0),10)/3)</f>
      </c>
      <c r="AO176" s="5" cm="1">
        <f t="array" aca="1" ref="AO176" ca="1">IF($AK176="","",_xlfn.LET(_xlpm.auto,AND(MOD(ROW()-4,6)=0,$AM176&lt;&gt;0,SUMPRODUCT(--(OFFSET($AM176,1,0,5,1)&lt;&gt;0))=0),_xlpm.oppA,_xlfn.XLOOKUP($AK176,$H$4:$H$18,$J$4:$J$18,""),_xlpm.oppB,_xlfn.XLOOKUP($AK176,$H$4:$H$18,$K$4:$K$18,""),_xlpm.opp,IF($AL176=_xlpm.oppA,_xlpm.oppB,_xlpm.oppA),IF(_xlpm.auto,SUMIFS($Y$4:$Y$273,$S$4:$S$273,$AK176,$T$4:$T$273,_xlpm.opp),Scorebook!D711)))</f>
      </c>
      <c r="AP176" s="5" cm="1">
        <f t="array" aca="1" ref="AP176" ca="1">IF($AK176="","",_xlfn.LET(_xlpm.auto,AND(MOD(ROW()-4,6)=0,$AM176&lt;&gt;0,SUMPRODUCT(--(OFFSET($AM176,1,0,5,1)&lt;&gt;0))=0),_xlpm.oppA,_xlfn.XLOOKUP($AK176,$H$4:$H$18,$J$4:$J$18,""),_xlpm.oppRuns,IF($AL176=_xlpm.oppA,_xlfn.XLOOKUP($AK176,$H$4:$H$18,$O$4:$O$18,""),_xlfn.XLOOKUP($AK176,$H$4:$H$18,$N$4:$N$18,"")),IF(_xlpm.auto,_xlpm.oppRuns,Scorebook!E711)))</f>
      </c>
      <c r="AQ176" s="5">
        <f ca="1">Scorebook!F711</f>
      </c>
      <c r="AR176" s="5" cm="1">
        <f t="array" aca="1" ref="AR176" ca="1">IF($AK176="","",_xlfn.LET(_xlpm.auto,AND(MOD(ROW()-4,6)=0,$AM176&lt;&gt;0,SUMPRODUCT(--(OFFSET($AM176,1,0,5,1)&lt;&gt;0))=0),_xlpm.oppA,_xlfn.XLOOKUP($AK176,$H$4:$H$18,$J$4:$J$18,""),_xlpm.oppB,_xlfn.XLOOKUP($AK176,$H$4:$H$18,$K$4:$K$18,""),_xlpm.opp,IF($AL176=_xlpm.oppA,_xlpm.oppB,_xlpm.oppA),IF(_xlpm.auto,SUMIFS($AD$4:$AD$273,$S$4:$S$273,$AK176,$T$4:$T$273,_xlpm.opp),Scorebook!G711)))</f>
      </c>
      <c r="AS176" s="5" cm="1">
        <f t="array" aca="1" ref="AS176" ca="1">IF($AK176="","",_xlfn.LET(_xlpm.auto,AND(MOD(ROW()-4,6)=0,$AM176&lt;&gt;0,SUMPRODUCT(--(OFFSET($AM176,1,0,5,1)&lt;&gt;0))=0),_xlpm.oppA,_xlfn.XLOOKUP($AK176,$H$4:$H$18,$J$4:$J$18,""),_xlpm.oppB,_xlfn.XLOOKUP($AK176,$H$4:$H$18,$K$4:$K$18,""),_xlpm.opp,IF($AL176=_xlpm.oppA,_xlpm.oppB,_xlpm.oppA),IF(_xlpm.auto,SUMIFS($AE$4:$AE$273,$S$4:$S$273,$AK176,$T$4:$T$273,_xlpm.opp),Scorebook!H711)))</f>
      </c>
      <c r="AT176" s="5" cm="1">
        <f t="array" aca="1" ref="AT176" ca="1">IF($AK176="","",_xlfn.LET(_xlpm.auto,AND(MOD(ROW()-4,6)=0,$AM176&lt;&gt;0,SUMPRODUCT(--(OFFSET($AM176,1,0,5,1)&lt;&gt;0))=0),_xlpm.oppA,_xlfn.XLOOKUP($AK176,$H$4:$H$18,$J$4:$J$18,""),_xlpm.oppB,_xlfn.XLOOKUP($AK176,$H$4:$H$18,$K$4:$K$18,""),_xlpm.opp,IF($AL176=_xlpm.oppA,_xlpm.oppB,_xlpm.oppA),IF(_xlpm.auto,SUMIFS($AB$4:$AB$273,$S$4:$S$273,$AK176,$T$4:$T$273,_xlpm.opp),Scorebook!I711)))</f>
      </c>
      <c r="AU176" s="5" cm="1">
        <f t="array" aca="1" ref="AU176" ca="1">IF($AK176="","",_xlfn.LET(_xlpm.auto,AND(MOD(ROW()-4,6)=0,$AM176&lt;&gt;0,SUMPRODUCT(--(OFFSET($AM176,1,0,5,1)&lt;&gt;0))=0),_xlpm.winner,_xlfn.XLOOKUP($AK176,$H$4:$H$18,$L$4:$L$18,""),IF(_xlpm.auto,--($AL176=_xlpm.winner),Scorebook!J711)))</f>
      </c>
      <c r="AV176" s="5" cm="1">
        <f t="array" aca="1" ref="AV176" ca="1">IF($AK176="","",_xlfn.LET(_xlpm.auto,AND(MOD(ROW()-4,6)=0,$AM176&lt;&gt;0,SUMPRODUCT(--(OFFSET($AM176,1,0,5,1)&lt;&gt;0))=0),_xlpm.loser,_xlfn.XLOOKUP($AK176,$H$4:$H$18,$M$4:$M$18,""),IF(_xlpm.auto,--($AL176=_xlpm.loser),Scorebook!K711)))</f>
      </c>
      <c r="AW176" s="5">
        <f ca="1">Scorebook!L711</f>
      </c>
      <c r="AX176" s="5" cm="1">
        <f t="array" aca="1" ref="AX176" ca="1">IF($AK176="","",_xlfn.LET(_xlpm.auto,AND(MOD(ROW()-4,6)=0,$AM176&lt;&gt;0,SUMPRODUCT(--(OFFSET($AM176,1,0,5,1)&lt;&gt;0))=0),_xlpm.oppA,_xlfn.XLOOKUP($AK176,$H$4:$H$18,$J$4:$J$18,""),_xlpm.oppRuns,IF($AL176=_xlpm.oppA,_xlfn.XLOOKUP($AK176,$H$4:$H$18,$O$4:$O$18,""),_xlfn.XLOOKUP($AK176,$H$4:$H$18,$N$4:$N$18,"")),IF(_xlpm.auto,--(_xlpm.oppRuns=0),Scorebook!M711)))</f>
      </c>
      <c r="AY176" s="5" cm="1">
        <f t="array" aca="1" ref="AY176" ca="1">IF($AK176="","",_xlfn.LET(_xlpm.auto,AND(MOD(ROW()-4,6)=0,$AM176&lt;&gt;0,SUMPRODUCT(--(OFFSET($AM176,1,0,5,1)&lt;&gt;0))=0),IF(_xlpm.auto,1,Scorebook!N711)))</f>
      </c>
      <c r="AZ176" s="5">
        <f>Settings!$B$2</f>
        <v>1</v>
      </c>
    </row>
    <row r="177" spans="19:52">
      <c r="S177" s="4" t="str">
        <f ca="1">Scorebook!$F$443</f>
        <v>G10</v>
      </c>
      <c r="T177" s="5" t="str">
        <f ca="1">Scorebook!$R$443</f>
        <v>Jason</v>
      </c>
      <c r="U177" s="5" t="str">
        <f ca="1">Scorebook!$B$473</f>
        <v>Bowser</v>
      </c>
      <c r="V177" s="4">
        <v>3</v>
      </c>
      <c r="W177" s="5">
        <f ca="1">Scorebook!M473</f>
        <v>2</v>
      </c>
      <c r="X177" s="5">
        <f ca="1">Scorebook!N473</f>
        <v>1</v>
      </c>
      <c r="Y177" s="5">
        <f ca="1">Scorebook!O473</f>
        <v>1</v>
      </c>
      <c r="Z177" s="5">
        <f ca="1">Scorebook!P473</f>
        <v>0</v>
      </c>
      <c r="AA177" s="5">
        <f ca="1">Scorebook!Q473</f>
        <v>0</v>
      </c>
      <c r="AB177" s="5">
        <f ca="1">Scorebook!R473</f>
        <v>1</v>
      </c>
      <c r="AC177" s="5">
        <f ca="1">Scorebook!S473</f>
        <v>4</v>
      </c>
      <c r="AD177" s="5">
        <f ca="1">Scorebook!T473</f>
        <v>0</v>
      </c>
      <c r="AE177" s="5">
        <f ca="1">Scorebook!U473</f>
        <v>0</v>
      </c>
      <c r="AF177" s="5">
        <f ca="1">Scorebook!V473</f>
        <v>0</v>
      </c>
      <c r="AG177" s="5">
        <f ca="1">Scorebook!W473</f>
        <v>0</v>
      </c>
      <c r="AH177" s="5">
        <f ca="1">Scorebook!X473</f>
        <v>0</v>
      </c>
      <c r="AI177" s="5">
        <f>Settings!$B$2</f>
        <v>1</v>
      </c>
      <c r="AJ177" s="18">
        <f ca="1">IF($AK177="","",Scorebook!$O$712)</f>
      </c>
      <c r="AK177" s="4" t="str">
        <f ca="1">IF(AND(Bracket!$H$21&lt;&gt;"",Bracket!$I$21&lt;&gt;""),"G15","")</f>
      </c>
      <c r="AL177" s="5" t="str">
        <f ca="1">IF(AND(Bracket!$H$21&lt;&gt;"",Bracket!$I$21&lt;&gt;""),Bracket!$H$21,"")</f>
      </c>
      <c r="AM177" s="5" t="str">
        <f>Scorebook!$B$712</f>
      </c>
      <c r="AN177" s="5">
        <f ca="1">IF(Scorebook!C712="","",INT(Scorebook!C712)+MOD(ROUND(Scorebook!C712*10,0),10)/3)</f>
      </c>
      <c r="AO177" s="5" cm="1">
        <f t="array" aca="1" ref="AO177" ca="1">IF($AK177="","",_xlfn.LET(_xlpm.auto,AND(MOD(ROW()-4,6)=0,$AM177&lt;&gt;0,SUMPRODUCT(--(OFFSET($AM177,1,0,5,1)&lt;&gt;0))=0),_xlpm.oppA,_xlfn.XLOOKUP($AK177,$H$4:$H$18,$J$4:$J$18,""),_xlpm.oppB,_xlfn.XLOOKUP($AK177,$H$4:$H$18,$K$4:$K$18,""),_xlpm.opp,IF($AL177=_xlpm.oppA,_xlpm.oppB,_xlpm.oppA),IF(_xlpm.auto,SUMIFS($Y$4:$Y$273,$S$4:$S$273,$AK177,$T$4:$T$273,_xlpm.opp),Scorebook!D712)))</f>
      </c>
      <c r="AP177" s="5" cm="1">
        <f t="array" aca="1" ref="AP177" ca="1">IF($AK177="","",_xlfn.LET(_xlpm.auto,AND(MOD(ROW()-4,6)=0,$AM177&lt;&gt;0,SUMPRODUCT(--(OFFSET($AM177,1,0,5,1)&lt;&gt;0))=0),_xlpm.oppA,_xlfn.XLOOKUP($AK177,$H$4:$H$18,$J$4:$J$18,""),_xlpm.oppRuns,IF($AL177=_xlpm.oppA,_xlfn.XLOOKUP($AK177,$H$4:$H$18,$O$4:$O$18,""),_xlfn.XLOOKUP($AK177,$H$4:$H$18,$N$4:$N$18,"")),IF(_xlpm.auto,_xlpm.oppRuns,Scorebook!E712)))</f>
      </c>
      <c r="AQ177" s="5">
        <f ca="1">Scorebook!F712</f>
      </c>
      <c r="AR177" s="5" cm="1">
        <f t="array" aca="1" ref="AR177" ca="1">IF($AK177="","",_xlfn.LET(_xlpm.auto,AND(MOD(ROW()-4,6)=0,$AM177&lt;&gt;0,SUMPRODUCT(--(OFFSET($AM177,1,0,5,1)&lt;&gt;0))=0),_xlpm.oppA,_xlfn.XLOOKUP($AK177,$H$4:$H$18,$J$4:$J$18,""),_xlpm.oppB,_xlfn.XLOOKUP($AK177,$H$4:$H$18,$K$4:$K$18,""),_xlpm.opp,IF($AL177=_xlpm.oppA,_xlpm.oppB,_xlpm.oppA),IF(_xlpm.auto,SUMIFS($AD$4:$AD$273,$S$4:$S$273,$AK177,$T$4:$T$273,_xlpm.opp),Scorebook!G712)))</f>
      </c>
      <c r="AS177" s="5" cm="1">
        <f t="array" aca="1" ref="AS177" ca="1">IF($AK177="","",_xlfn.LET(_xlpm.auto,AND(MOD(ROW()-4,6)=0,$AM177&lt;&gt;0,SUMPRODUCT(--(OFFSET($AM177,1,0,5,1)&lt;&gt;0))=0),_xlpm.oppA,_xlfn.XLOOKUP($AK177,$H$4:$H$18,$J$4:$J$18,""),_xlpm.oppB,_xlfn.XLOOKUP($AK177,$H$4:$H$18,$K$4:$K$18,""),_xlpm.opp,IF($AL177=_xlpm.oppA,_xlpm.oppB,_xlpm.oppA),IF(_xlpm.auto,SUMIFS($AE$4:$AE$273,$S$4:$S$273,$AK177,$T$4:$T$273,_xlpm.opp),Scorebook!H712)))</f>
      </c>
      <c r="AT177" s="5" cm="1">
        <f t="array" aca="1" ref="AT177" ca="1">IF($AK177="","",_xlfn.LET(_xlpm.auto,AND(MOD(ROW()-4,6)=0,$AM177&lt;&gt;0,SUMPRODUCT(--(OFFSET($AM177,1,0,5,1)&lt;&gt;0))=0),_xlpm.oppA,_xlfn.XLOOKUP($AK177,$H$4:$H$18,$J$4:$J$18,""),_xlpm.oppB,_xlfn.XLOOKUP($AK177,$H$4:$H$18,$K$4:$K$18,""),_xlpm.opp,IF($AL177=_xlpm.oppA,_xlpm.oppB,_xlpm.oppA),IF(_xlpm.auto,SUMIFS($AB$4:$AB$273,$S$4:$S$273,$AK177,$T$4:$T$273,_xlpm.opp),Scorebook!I712)))</f>
      </c>
      <c r="AU177" s="5" cm="1">
        <f t="array" aca="1" ref="AU177" ca="1">IF($AK177="","",_xlfn.LET(_xlpm.auto,AND(MOD(ROW()-4,6)=0,$AM177&lt;&gt;0,SUMPRODUCT(--(OFFSET($AM177,1,0,5,1)&lt;&gt;0))=0),_xlpm.winner,_xlfn.XLOOKUP($AK177,$H$4:$H$18,$L$4:$L$18,""),IF(_xlpm.auto,--($AL177=_xlpm.winner),Scorebook!J712)))</f>
      </c>
      <c r="AV177" s="5" cm="1">
        <f t="array" aca="1" ref="AV177" ca="1">IF($AK177="","",_xlfn.LET(_xlpm.auto,AND(MOD(ROW()-4,6)=0,$AM177&lt;&gt;0,SUMPRODUCT(--(OFFSET($AM177,1,0,5,1)&lt;&gt;0))=0),_xlpm.loser,_xlfn.XLOOKUP($AK177,$H$4:$H$18,$M$4:$M$18,""),IF(_xlpm.auto,--($AL177=_xlpm.loser),Scorebook!K712)))</f>
      </c>
      <c r="AW177" s="5">
        <f ca="1">Scorebook!L712</f>
      </c>
      <c r="AX177" s="5" cm="1">
        <f t="array" aca="1" ref="AX177" ca="1">IF($AK177="","",_xlfn.LET(_xlpm.auto,AND(MOD(ROW()-4,6)=0,$AM177&lt;&gt;0,SUMPRODUCT(--(OFFSET($AM177,1,0,5,1)&lt;&gt;0))=0),_xlpm.oppA,_xlfn.XLOOKUP($AK177,$H$4:$H$18,$J$4:$J$18,""),_xlpm.oppRuns,IF($AL177=_xlpm.oppA,_xlfn.XLOOKUP($AK177,$H$4:$H$18,$O$4:$O$18,""),_xlfn.XLOOKUP($AK177,$H$4:$H$18,$N$4:$N$18,"")),IF(_xlpm.auto,--(_xlpm.oppRuns=0),Scorebook!M712)))</f>
      </c>
      <c r="AY177" s="5" cm="1">
        <f t="array" aca="1" ref="AY177" ca="1">IF($AK177="","",_xlfn.LET(_xlpm.auto,AND(MOD(ROW()-4,6)=0,$AM177&lt;&gt;0,SUMPRODUCT(--(OFFSET($AM177,1,0,5,1)&lt;&gt;0))=0),IF(_xlpm.auto,1,Scorebook!N712)))</f>
      </c>
      <c r="AZ177" s="5">
        <f>Settings!$B$2</f>
        <v>1</v>
      </c>
    </row>
    <row r="178" spans="19:52">
      <c r="S178" s="4" t="str">
        <f ca="1">Scorebook!$F$443</f>
        <v>G10</v>
      </c>
      <c r="T178" s="5" t="str">
        <f ca="1">Scorebook!$R$443</f>
        <v>Jason</v>
      </c>
      <c r="U178" s="5" t="str">
        <f ca="1">Scorebook!$B$474</f>
        <v>King K. Rool</v>
      </c>
      <c r="V178" s="4">
        <v>4</v>
      </c>
      <c r="W178" s="5">
        <f ca="1">Scorebook!M474</f>
        <v>2</v>
      </c>
      <c r="X178" s="5">
        <f ca="1">Scorebook!N474</f>
        <v>0</v>
      </c>
      <c r="Y178" s="5">
        <f ca="1">Scorebook!O474</f>
        <v>1</v>
      </c>
      <c r="Z178" s="5">
        <f ca="1">Scorebook!P474</f>
        <v>0</v>
      </c>
      <c r="AA178" s="5">
        <f ca="1">Scorebook!Q474</f>
        <v>0</v>
      </c>
      <c r="AB178" s="5">
        <f ca="1">Scorebook!R474</f>
        <v>0</v>
      </c>
      <c r="AC178" s="5">
        <f ca="1">Scorebook!S474</f>
        <v>0</v>
      </c>
      <c r="AD178" s="5">
        <f ca="1">Scorebook!T474</f>
        <v>0</v>
      </c>
      <c r="AE178" s="5">
        <f ca="1">Scorebook!U474</f>
        <v>1</v>
      </c>
      <c r="AF178" s="5">
        <f ca="1">Scorebook!V474</f>
        <v>0</v>
      </c>
      <c r="AG178" s="5">
        <f ca="1">Scorebook!W474</f>
        <v>0</v>
      </c>
      <c r="AH178" s="5">
        <f ca="1">Scorebook!X474</f>
        <v>0</v>
      </c>
      <c r="AI178" s="5">
        <f>Settings!$B$2</f>
        <v>1</v>
      </c>
      <c r="AJ178" s="18">
        <f ca="1">IF($AK178="","",Scorebook!$O$728)</f>
      </c>
      <c r="AK178" s="4" t="str">
        <f ca="1">IF(AND(Bracket!$H$21&lt;&gt;"",Bracket!$I$21&lt;&gt;""),"G15","")</f>
      </c>
      <c r="AL178" s="5" t="str">
        <f ca="1">IF(AND(Bracket!$H$21&lt;&gt;"",Bracket!$I$21&lt;&gt;""),Bracket!$I$21,"")</f>
      </c>
      <c r="AM178" s="5" t="str">
        <f>Scorebook!$B$728</f>
      </c>
      <c r="AN178" s="5">
        <f ca="1">IF(Scorebook!C728="","",INT(Scorebook!C728)+MOD(ROUND(Scorebook!C728*10,0),10)/3)</f>
      </c>
      <c r="AO178" s="5" cm="1">
        <f t="array" aca="1" ref="AO178" ca="1">IF($AK178="","",_xlfn.LET(_xlpm.auto,AND(MOD(ROW()-4,6)=0,$AM178&lt;&gt;0,SUMPRODUCT(--(OFFSET($AM178,1,0,5,1)&lt;&gt;0))=0),_xlpm.oppA,_xlfn.XLOOKUP($AK178,$H$4:$H$18,$J$4:$J$18,""),_xlpm.oppB,_xlfn.XLOOKUP($AK178,$H$4:$H$18,$K$4:$K$18,""),_xlpm.opp,IF($AL178=_xlpm.oppA,_xlpm.oppB,_xlpm.oppA),IF(_xlpm.auto,SUMIFS($Y$4:$Y$273,$S$4:$S$273,$AK178,$T$4:$T$273,_xlpm.opp),Scorebook!D728)))</f>
      </c>
      <c r="AP178" s="5" cm="1">
        <f t="array" aca="1" ref="AP178" ca="1">IF($AK178="","",_xlfn.LET(_xlpm.auto,AND(MOD(ROW()-4,6)=0,$AM178&lt;&gt;0,SUMPRODUCT(--(OFFSET($AM178,1,0,5,1)&lt;&gt;0))=0),_xlpm.oppA,_xlfn.XLOOKUP($AK178,$H$4:$H$18,$J$4:$J$18,""),_xlpm.oppRuns,IF($AL178=_xlpm.oppA,_xlfn.XLOOKUP($AK178,$H$4:$H$18,$O$4:$O$18,""),_xlfn.XLOOKUP($AK178,$H$4:$H$18,$N$4:$N$18,"")),IF(_xlpm.auto,_xlpm.oppRuns,Scorebook!E728)))</f>
      </c>
      <c r="AQ178" s="5">
        <f ca="1">Scorebook!F728</f>
      </c>
      <c r="AR178" s="5" cm="1">
        <f t="array" aca="1" ref="AR178" ca="1">IF($AK178="","",_xlfn.LET(_xlpm.auto,AND(MOD(ROW()-4,6)=0,$AM178&lt;&gt;0,SUMPRODUCT(--(OFFSET($AM178,1,0,5,1)&lt;&gt;0))=0),_xlpm.oppA,_xlfn.XLOOKUP($AK178,$H$4:$H$18,$J$4:$J$18,""),_xlpm.oppB,_xlfn.XLOOKUP($AK178,$H$4:$H$18,$K$4:$K$18,""),_xlpm.opp,IF($AL178=_xlpm.oppA,_xlpm.oppB,_xlpm.oppA),IF(_xlpm.auto,SUMIFS($AD$4:$AD$273,$S$4:$S$273,$AK178,$T$4:$T$273,_xlpm.opp),Scorebook!G728)))</f>
      </c>
      <c r="AS178" s="5" cm="1">
        <f t="array" aca="1" ref="AS178" ca="1">IF($AK178="","",_xlfn.LET(_xlpm.auto,AND(MOD(ROW()-4,6)=0,$AM178&lt;&gt;0,SUMPRODUCT(--(OFFSET($AM178,1,0,5,1)&lt;&gt;0))=0),_xlpm.oppA,_xlfn.XLOOKUP($AK178,$H$4:$H$18,$J$4:$J$18,""),_xlpm.oppB,_xlfn.XLOOKUP($AK178,$H$4:$H$18,$K$4:$K$18,""),_xlpm.opp,IF($AL178=_xlpm.oppA,_xlpm.oppB,_xlpm.oppA),IF(_xlpm.auto,SUMIFS($AE$4:$AE$273,$S$4:$S$273,$AK178,$T$4:$T$273,_xlpm.opp),Scorebook!H728)))</f>
      </c>
      <c r="AT178" s="5" cm="1">
        <f t="array" aca="1" ref="AT178" ca="1">IF($AK178="","",_xlfn.LET(_xlpm.auto,AND(MOD(ROW()-4,6)=0,$AM178&lt;&gt;0,SUMPRODUCT(--(OFFSET($AM178,1,0,5,1)&lt;&gt;0))=0),_xlpm.oppA,_xlfn.XLOOKUP($AK178,$H$4:$H$18,$J$4:$J$18,""),_xlpm.oppB,_xlfn.XLOOKUP($AK178,$H$4:$H$18,$K$4:$K$18,""),_xlpm.opp,IF($AL178=_xlpm.oppA,_xlpm.oppB,_xlpm.oppA),IF(_xlpm.auto,SUMIFS($AB$4:$AB$273,$S$4:$S$273,$AK178,$T$4:$T$273,_xlpm.opp),Scorebook!I728)))</f>
      </c>
      <c r="AU178" s="5" cm="1">
        <f t="array" aca="1" ref="AU178" ca="1">IF($AK178="","",_xlfn.LET(_xlpm.auto,AND(MOD(ROW()-4,6)=0,$AM178&lt;&gt;0,SUMPRODUCT(--(OFFSET($AM178,1,0,5,1)&lt;&gt;0))=0),_xlpm.winner,_xlfn.XLOOKUP($AK178,$H$4:$H$18,$L$4:$L$18,""),IF(_xlpm.auto,--($AL178=_xlpm.winner),Scorebook!J728)))</f>
      </c>
      <c r="AV178" s="5" cm="1">
        <f t="array" aca="1" ref="AV178" ca="1">IF($AK178="","",_xlfn.LET(_xlpm.auto,AND(MOD(ROW()-4,6)=0,$AM178&lt;&gt;0,SUMPRODUCT(--(OFFSET($AM178,1,0,5,1)&lt;&gt;0))=0),_xlpm.loser,_xlfn.XLOOKUP($AK178,$H$4:$H$18,$M$4:$M$18,""),IF(_xlpm.auto,--($AL178=_xlpm.loser),Scorebook!K728)))</f>
      </c>
      <c r="AW178" s="5">
        <f ca="1">Scorebook!L728</f>
      </c>
      <c r="AX178" s="5" cm="1">
        <f t="array" aca="1" ref="AX178" ca="1">IF($AK178="","",_xlfn.LET(_xlpm.auto,AND(MOD(ROW()-4,6)=0,$AM178&lt;&gt;0,SUMPRODUCT(--(OFFSET($AM178,1,0,5,1)&lt;&gt;0))=0),_xlpm.oppA,_xlfn.XLOOKUP($AK178,$H$4:$H$18,$J$4:$J$18,""),_xlpm.oppRuns,IF($AL178=_xlpm.oppA,_xlfn.XLOOKUP($AK178,$H$4:$H$18,$O$4:$O$18,""),_xlfn.XLOOKUP($AK178,$H$4:$H$18,$N$4:$N$18,"")),IF(_xlpm.auto,--(_xlpm.oppRuns=0),Scorebook!M728)))</f>
      </c>
      <c r="AY178" s="5" cm="1">
        <f t="array" aca="1" ref="AY178" ca="1">IF($AK178="","",_xlfn.LET(_xlpm.auto,AND(MOD(ROW()-4,6)=0,$AM178&lt;&gt;0,SUMPRODUCT(--(OFFSET($AM178,1,0,5,1)&lt;&gt;0))=0),IF(_xlpm.auto,1,Scorebook!N728)))</f>
      </c>
      <c r="AZ178" s="5">
        <f>Settings!$B$2</f>
        <v>1</v>
      </c>
    </row>
    <row r="179" spans="19:52">
      <c r="S179" s="4" t="str">
        <f ca="1">Scorebook!$F$443</f>
        <v>G10</v>
      </c>
      <c r="T179" s="5" t="str">
        <f ca="1">Scorebook!$R$443</f>
        <v>Jason</v>
      </c>
      <c r="U179" s="5" t="str">
        <f ca="1">Scorebook!$B$475</f>
        <v>Blooper</v>
      </c>
      <c r="V179" s="4">
        <v>5</v>
      </c>
      <c r="W179" s="5">
        <f ca="1">Scorebook!M475</f>
        <v>2</v>
      </c>
      <c r="X179" s="5">
        <f ca="1">Scorebook!N475</f>
        <v>0</v>
      </c>
      <c r="Y179" s="5">
        <f ca="1">Scorebook!O475</f>
        <v>1</v>
      </c>
      <c r="Z179" s="5">
        <f ca="1">Scorebook!P475</f>
        <v>0</v>
      </c>
      <c r="AA179" s="5">
        <f ca="1">Scorebook!Q475</f>
        <v>0</v>
      </c>
      <c r="AB179" s="5">
        <f ca="1">Scorebook!R475</f>
        <v>0</v>
      </c>
      <c r="AC179" s="5">
        <f ca="1">Scorebook!S475</f>
        <v>0</v>
      </c>
      <c r="AD179" s="5">
        <f ca="1">Scorebook!T475</f>
        <v>0</v>
      </c>
      <c r="AE179" s="5">
        <f ca="1">Scorebook!U475</f>
        <v>0</v>
      </c>
      <c r="AF179" s="5">
        <f ca="1">Scorebook!V475</f>
        <v>0</v>
      </c>
      <c r="AG179" s="5">
        <f ca="1">Scorebook!W475</f>
        <v>0</v>
      </c>
      <c r="AH179" s="5">
        <f ca="1">Scorebook!X475</f>
        <v>0</v>
      </c>
      <c r="AI179" s="5">
        <f>Settings!$B$2</f>
        <v>1</v>
      </c>
      <c r="AJ179" s="18">
        <f ca="1">IF($AK179="","",Scorebook!$O$729)</f>
      </c>
      <c r="AK179" s="4" t="str">
        <f ca="1">IF(AND(Bracket!$H$21&lt;&gt;"",Bracket!$I$21&lt;&gt;""),"G15","")</f>
      </c>
      <c r="AL179" s="5" t="str">
        <f ca="1">IF(AND(Bracket!$H$21&lt;&gt;"",Bracket!$I$21&lt;&gt;""),Bracket!$I$21,"")</f>
      </c>
      <c r="AM179" s="5" t="str">
        <f>Scorebook!$B$729</f>
      </c>
      <c r="AN179" s="5">
        <f ca="1">IF(Scorebook!C729="","",INT(Scorebook!C729)+MOD(ROUND(Scorebook!C729*10,0),10)/3)</f>
      </c>
      <c r="AO179" s="5" cm="1">
        <f t="array" aca="1" ref="AO179" ca="1">IF($AK179="","",_xlfn.LET(_xlpm.auto,AND(MOD(ROW()-4,6)=0,$AM179&lt;&gt;0,SUMPRODUCT(--(OFFSET($AM179,1,0,5,1)&lt;&gt;0))=0),_xlpm.oppA,_xlfn.XLOOKUP($AK179,$H$4:$H$18,$J$4:$J$18,""),_xlpm.oppB,_xlfn.XLOOKUP($AK179,$H$4:$H$18,$K$4:$K$18,""),_xlpm.opp,IF($AL179=_xlpm.oppA,_xlpm.oppB,_xlpm.oppA),IF(_xlpm.auto,SUMIFS($Y$4:$Y$273,$S$4:$S$273,$AK179,$T$4:$T$273,_xlpm.opp),Scorebook!D729)))</f>
      </c>
      <c r="AP179" s="5" cm="1">
        <f t="array" aca="1" ref="AP179" ca="1">IF($AK179="","",_xlfn.LET(_xlpm.auto,AND(MOD(ROW()-4,6)=0,$AM179&lt;&gt;0,SUMPRODUCT(--(OFFSET($AM179,1,0,5,1)&lt;&gt;0))=0),_xlpm.oppA,_xlfn.XLOOKUP($AK179,$H$4:$H$18,$J$4:$J$18,""),_xlpm.oppRuns,IF($AL179=_xlpm.oppA,_xlfn.XLOOKUP($AK179,$H$4:$H$18,$O$4:$O$18,""),_xlfn.XLOOKUP($AK179,$H$4:$H$18,$N$4:$N$18,"")),IF(_xlpm.auto,_xlpm.oppRuns,Scorebook!E729)))</f>
      </c>
      <c r="AQ179" s="5">
        <f ca="1">Scorebook!F729</f>
      </c>
      <c r="AR179" s="5" cm="1">
        <f t="array" aca="1" ref="AR179" ca="1">IF($AK179="","",_xlfn.LET(_xlpm.auto,AND(MOD(ROW()-4,6)=0,$AM179&lt;&gt;0,SUMPRODUCT(--(OFFSET($AM179,1,0,5,1)&lt;&gt;0))=0),_xlpm.oppA,_xlfn.XLOOKUP($AK179,$H$4:$H$18,$J$4:$J$18,""),_xlpm.oppB,_xlfn.XLOOKUP($AK179,$H$4:$H$18,$K$4:$K$18,""),_xlpm.opp,IF($AL179=_xlpm.oppA,_xlpm.oppB,_xlpm.oppA),IF(_xlpm.auto,SUMIFS($AD$4:$AD$273,$S$4:$S$273,$AK179,$T$4:$T$273,_xlpm.opp),Scorebook!G729)))</f>
      </c>
      <c r="AS179" s="5" cm="1">
        <f t="array" aca="1" ref="AS179" ca="1">IF($AK179="","",_xlfn.LET(_xlpm.auto,AND(MOD(ROW()-4,6)=0,$AM179&lt;&gt;0,SUMPRODUCT(--(OFFSET($AM179,1,0,5,1)&lt;&gt;0))=0),_xlpm.oppA,_xlfn.XLOOKUP($AK179,$H$4:$H$18,$J$4:$J$18,""),_xlpm.oppB,_xlfn.XLOOKUP($AK179,$H$4:$H$18,$K$4:$K$18,""),_xlpm.opp,IF($AL179=_xlpm.oppA,_xlpm.oppB,_xlpm.oppA),IF(_xlpm.auto,SUMIFS($AE$4:$AE$273,$S$4:$S$273,$AK179,$T$4:$T$273,_xlpm.opp),Scorebook!H729)))</f>
      </c>
      <c r="AT179" s="5" cm="1">
        <f t="array" aca="1" ref="AT179" ca="1">IF($AK179="","",_xlfn.LET(_xlpm.auto,AND(MOD(ROW()-4,6)=0,$AM179&lt;&gt;0,SUMPRODUCT(--(OFFSET($AM179,1,0,5,1)&lt;&gt;0))=0),_xlpm.oppA,_xlfn.XLOOKUP($AK179,$H$4:$H$18,$J$4:$J$18,""),_xlpm.oppB,_xlfn.XLOOKUP($AK179,$H$4:$H$18,$K$4:$K$18,""),_xlpm.opp,IF($AL179=_xlpm.oppA,_xlpm.oppB,_xlpm.oppA),IF(_xlpm.auto,SUMIFS($AB$4:$AB$273,$S$4:$S$273,$AK179,$T$4:$T$273,_xlpm.opp),Scorebook!I729)))</f>
      </c>
      <c r="AU179" s="5" cm="1">
        <f t="array" aca="1" ref="AU179" ca="1">IF($AK179="","",_xlfn.LET(_xlpm.auto,AND(MOD(ROW()-4,6)=0,$AM179&lt;&gt;0,SUMPRODUCT(--(OFFSET($AM179,1,0,5,1)&lt;&gt;0))=0),_xlpm.winner,_xlfn.XLOOKUP($AK179,$H$4:$H$18,$L$4:$L$18,""),IF(_xlpm.auto,--($AL179=_xlpm.winner),Scorebook!J729)))</f>
      </c>
      <c r="AV179" s="5" cm="1">
        <f t="array" aca="1" ref="AV179" ca="1">IF($AK179="","",_xlfn.LET(_xlpm.auto,AND(MOD(ROW()-4,6)=0,$AM179&lt;&gt;0,SUMPRODUCT(--(OFFSET($AM179,1,0,5,1)&lt;&gt;0))=0),_xlpm.loser,_xlfn.XLOOKUP($AK179,$H$4:$H$18,$M$4:$M$18,""),IF(_xlpm.auto,--($AL179=_xlpm.loser),Scorebook!K729)))</f>
      </c>
      <c r="AW179" s="5">
        <f ca="1">Scorebook!L729</f>
      </c>
      <c r="AX179" s="5" cm="1">
        <f t="array" aca="1" ref="AX179" ca="1">IF($AK179="","",_xlfn.LET(_xlpm.auto,AND(MOD(ROW()-4,6)=0,$AM179&lt;&gt;0,SUMPRODUCT(--(OFFSET($AM179,1,0,5,1)&lt;&gt;0))=0),_xlpm.oppA,_xlfn.XLOOKUP($AK179,$H$4:$H$18,$J$4:$J$18,""),_xlpm.oppRuns,IF($AL179=_xlpm.oppA,_xlfn.XLOOKUP($AK179,$H$4:$H$18,$O$4:$O$18,""),_xlfn.XLOOKUP($AK179,$H$4:$H$18,$N$4:$N$18,"")),IF(_xlpm.auto,--(_xlpm.oppRuns=0),Scorebook!M729)))</f>
      </c>
      <c r="AY179" s="5" cm="1">
        <f t="array" aca="1" ref="AY179" ca="1">IF($AK179="","",_xlfn.LET(_xlpm.auto,AND(MOD(ROW()-4,6)=0,$AM179&lt;&gt;0,SUMPRODUCT(--(OFFSET($AM179,1,0,5,1)&lt;&gt;0))=0),IF(_xlpm.auto,1,Scorebook!N729)))</f>
      </c>
      <c r="AZ179" s="5">
        <f>Settings!$B$2</f>
        <v>1</v>
      </c>
    </row>
    <row r="180" spans="19:52">
      <c r="S180" s="4" t="str">
        <f ca="1">Scorebook!$F$443</f>
        <v>G10</v>
      </c>
      <c r="T180" s="5" t="str">
        <f ca="1">Scorebook!$R$443</f>
        <v>Jason</v>
      </c>
      <c r="U180" s="5" t="str">
        <f ca="1">Scorebook!$B$476</f>
        <v>Yellow Toad</v>
      </c>
      <c r="V180" s="4">
        <v>6</v>
      </c>
      <c r="W180" s="5">
        <f ca="1">Scorebook!M476</f>
        <v>2</v>
      </c>
      <c r="X180" s="5">
        <f ca="1">Scorebook!N476</f>
        <v>0</v>
      </c>
      <c r="Y180" s="5">
        <f ca="1">Scorebook!O476</f>
        <v>1</v>
      </c>
      <c r="Z180" s="5">
        <f ca="1">Scorebook!P476</f>
        <v>0</v>
      </c>
      <c r="AA180" s="5">
        <f ca="1">Scorebook!Q476</f>
        <v>0</v>
      </c>
      <c r="AB180" s="5">
        <f ca="1">Scorebook!R476</f>
        <v>0</v>
      </c>
      <c r="AC180" s="5">
        <f ca="1">Scorebook!S476</f>
        <v>0</v>
      </c>
      <c r="AD180" s="5">
        <f ca="1">Scorebook!T476</f>
        <v>0</v>
      </c>
      <c r="AE180" s="5">
        <f ca="1">Scorebook!U476</f>
        <v>0</v>
      </c>
      <c r="AF180" s="5">
        <f ca="1">Scorebook!V476</f>
        <v>0</v>
      </c>
      <c r="AG180" s="5">
        <f ca="1">Scorebook!W476</f>
        <v>0</v>
      </c>
      <c r="AH180" s="5">
        <f ca="1">Scorebook!X476</f>
        <v>0</v>
      </c>
      <c r="AI180" s="5">
        <f>Settings!$B$2</f>
        <v>1</v>
      </c>
      <c r="AJ180" s="18">
        <f ca="1">IF($AK180="","",Scorebook!$O$730)</f>
      </c>
      <c r="AK180" s="4" t="str">
        <f ca="1">IF(AND(Bracket!$H$21&lt;&gt;"",Bracket!$I$21&lt;&gt;""),"G15","")</f>
      </c>
      <c r="AL180" s="5" t="str">
        <f ca="1">IF(AND(Bracket!$H$21&lt;&gt;"",Bracket!$I$21&lt;&gt;""),Bracket!$I$21,"")</f>
      </c>
      <c r="AM180" s="5" t="str">
        <f>Scorebook!$B$730</f>
      </c>
      <c r="AN180" s="5">
        <f ca="1">IF(Scorebook!C730="","",INT(Scorebook!C730)+MOD(ROUND(Scorebook!C730*10,0),10)/3)</f>
      </c>
      <c r="AO180" s="5" cm="1">
        <f t="array" aca="1" ref="AO180" ca="1">IF($AK180="","",_xlfn.LET(_xlpm.auto,AND(MOD(ROW()-4,6)=0,$AM180&lt;&gt;0,SUMPRODUCT(--(OFFSET($AM180,1,0,5,1)&lt;&gt;0))=0),_xlpm.oppA,_xlfn.XLOOKUP($AK180,$H$4:$H$18,$J$4:$J$18,""),_xlpm.oppB,_xlfn.XLOOKUP($AK180,$H$4:$H$18,$K$4:$K$18,""),_xlpm.opp,IF($AL180=_xlpm.oppA,_xlpm.oppB,_xlpm.oppA),IF(_xlpm.auto,SUMIFS($Y$4:$Y$273,$S$4:$S$273,$AK180,$T$4:$T$273,_xlpm.opp),Scorebook!D730)))</f>
      </c>
      <c r="AP180" s="5" cm="1">
        <f t="array" aca="1" ref="AP180" ca="1">IF($AK180="","",_xlfn.LET(_xlpm.auto,AND(MOD(ROW()-4,6)=0,$AM180&lt;&gt;0,SUMPRODUCT(--(OFFSET($AM180,1,0,5,1)&lt;&gt;0))=0),_xlpm.oppA,_xlfn.XLOOKUP($AK180,$H$4:$H$18,$J$4:$J$18,""),_xlpm.oppRuns,IF($AL180=_xlpm.oppA,_xlfn.XLOOKUP($AK180,$H$4:$H$18,$O$4:$O$18,""),_xlfn.XLOOKUP($AK180,$H$4:$H$18,$N$4:$N$18,"")),IF(_xlpm.auto,_xlpm.oppRuns,Scorebook!E730)))</f>
      </c>
      <c r="AQ180" s="5">
        <f ca="1">Scorebook!F730</f>
      </c>
      <c r="AR180" s="5" cm="1">
        <f t="array" aca="1" ref="AR180" ca="1">IF($AK180="","",_xlfn.LET(_xlpm.auto,AND(MOD(ROW()-4,6)=0,$AM180&lt;&gt;0,SUMPRODUCT(--(OFFSET($AM180,1,0,5,1)&lt;&gt;0))=0),_xlpm.oppA,_xlfn.XLOOKUP($AK180,$H$4:$H$18,$J$4:$J$18,""),_xlpm.oppB,_xlfn.XLOOKUP($AK180,$H$4:$H$18,$K$4:$K$18,""),_xlpm.opp,IF($AL180=_xlpm.oppA,_xlpm.oppB,_xlpm.oppA),IF(_xlpm.auto,SUMIFS($AD$4:$AD$273,$S$4:$S$273,$AK180,$T$4:$T$273,_xlpm.opp),Scorebook!G730)))</f>
      </c>
      <c r="AS180" s="5" cm="1">
        <f t="array" aca="1" ref="AS180" ca="1">IF($AK180="","",_xlfn.LET(_xlpm.auto,AND(MOD(ROW()-4,6)=0,$AM180&lt;&gt;0,SUMPRODUCT(--(OFFSET($AM180,1,0,5,1)&lt;&gt;0))=0),_xlpm.oppA,_xlfn.XLOOKUP($AK180,$H$4:$H$18,$J$4:$J$18,""),_xlpm.oppB,_xlfn.XLOOKUP($AK180,$H$4:$H$18,$K$4:$K$18,""),_xlpm.opp,IF($AL180=_xlpm.oppA,_xlpm.oppB,_xlpm.oppA),IF(_xlpm.auto,SUMIFS($AE$4:$AE$273,$S$4:$S$273,$AK180,$T$4:$T$273,_xlpm.opp),Scorebook!H730)))</f>
      </c>
      <c r="AT180" s="5" cm="1">
        <f t="array" aca="1" ref="AT180" ca="1">IF($AK180="","",_xlfn.LET(_xlpm.auto,AND(MOD(ROW()-4,6)=0,$AM180&lt;&gt;0,SUMPRODUCT(--(OFFSET($AM180,1,0,5,1)&lt;&gt;0))=0),_xlpm.oppA,_xlfn.XLOOKUP($AK180,$H$4:$H$18,$J$4:$J$18,""),_xlpm.oppB,_xlfn.XLOOKUP($AK180,$H$4:$H$18,$K$4:$K$18,""),_xlpm.opp,IF($AL180=_xlpm.oppA,_xlpm.oppB,_xlpm.oppA),IF(_xlpm.auto,SUMIFS($AB$4:$AB$273,$S$4:$S$273,$AK180,$T$4:$T$273,_xlpm.opp),Scorebook!I730)))</f>
      </c>
      <c r="AU180" s="5" cm="1">
        <f t="array" aca="1" ref="AU180" ca="1">IF($AK180="","",_xlfn.LET(_xlpm.auto,AND(MOD(ROW()-4,6)=0,$AM180&lt;&gt;0,SUMPRODUCT(--(OFFSET($AM180,1,0,5,1)&lt;&gt;0))=0),_xlpm.winner,_xlfn.XLOOKUP($AK180,$H$4:$H$18,$L$4:$L$18,""),IF(_xlpm.auto,--($AL180=_xlpm.winner),Scorebook!J730)))</f>
      </c>
      <c r="AV180" s="5" cm="1">
        <f t="array" aca="1" ref="AV180" ca="1">IF($AK180="","",_xlfn.LET(_xlpm.auto,AND(MOD(ROW()-4,6)=0,$AM180&lt;&gt;0,SUMPRODUCT(--(OFFSET($AM180,1,0,5,1)&lt;&gt;0))=0),_xlpm.loser,_xlfn.XLOOKUP($AK180,$H$4:$H$18,$M$4:$M$18,""),IF(_xlpm.auto,--($AL180=_xlpm.loser),Scorebook!K730)))</f>
      </c>
      <c r="AW180" s="5">
        <f ca="1">Scorebook!L730</f>
      </c>
      <c r="AX180" s="5" cm="1">
        <f t="array" aca="1" ref="AX180" ca="1">IF($AK180="","",_xlfn.LET(_xlpm.auto,AND(MOD(ROW()-4,6)=0,$AM180&lt;&gt;0,SUMPRODUCT(--(OFFSET($AM180,1,0,5,1)&lt;&gt;0))=0),_xlpm.oppA,_xlfn.XLOOKUP($AK180,$H$4:$H$18,$J$4:$J$18,""),_xlpm.oppRuns,IF($AL180=_xlpm.oppA,_xlfn.XLOOKUP($AK180,$H$4:$H$18,$O$4:$O$18,""),_xlfn.XLOOKUP($AK180,$H$4:$H$18,$N$4:$N$18,"")),IF(_xlpm.auto,--(_xlpm.oppRuns=0),Scorebook!M730)))</f>
      </c>
      <c r="AY180" s="5" cm="1">
        <f t="array" aca="1" ref="AY180" ca="1">IF($AK180="","",_xlfn.LET(_xlpm.auto,AND(MOD(ROW()-4,6)=0,$AM180&lt;&gt;0,SUMPRODUCT(--(OFFSET($AM180,1,0,5,1)&lt;&gt;0))=0),IF(_xlpm.auto,1,Scorebook!N730)))</f>
      </c>
      <c r="AZ180" s="5">
        <f>Settings!$B$2</f>
        <v>1</v>
      </c>
    </row>
    <row r="181" spans="19:52">
      <c r="S181" s="4" t="str">
        <f ca="1">Scorebook!$F$443</f>
        <v>G10</v>
      </c>
      <c r="T181" s="5" t="str">
        <f ca="1">Scorebook!$R$443</f>
        <v>Jason</v>
      </c>
      <c r="U181" s="5" t="str">
        <f ca="1">Scorebook!$B$477</f>
        <v>Peach</v>
      </c>
      <c r="V181" s="4">
        <v>7</v>
      </c>
      <c r="W181" s="5">
        <f ca="1">Scorebook!M477</f>
        <v>2</v>
      </c>
      <c r="X181" s="5">
        <f ca="1">Scorebook!N477</f>
        <v>0</v>
      </c>
      <c r="Y181" s="5">
        <f ca="1">Scorebook!O477</f>
        <v>0</v>
      </c>
      <c r="Z181" s="5">
        <f ca="1">Scorebook!P477</f>
        <v>0</v>
      </c>
      <c r="AA181" s="5">
        <f ca="1">Scorebook!Q477</f>
        <v>0</v>
      </c>
      <c r="AB181" s="5">
        <f ca="1">Scorebook!R477</f>
        <v>0</v>
      </c>
      <c r="AC181" s="5">
        <f ca="1">Scorebook!S477</f>
        <v>0</v>
      </c>
      <c r="AD181" s="5">
        <f ca="1">Scorebook!T477</f>
        <v>0</v>
      </c>
      <c r="AE181" s="5">
        <f ca="1">Scorebook!U477</f>
        <v>0</v>
      </c>
      <c r="AF181" s="5">
        <f ca="1">Scorebook!V477</f>
        <v>0</v>
      </c>
      <c r="AG181" s="5">
        <f ca="1">Scorebook!W477</f>
        <v>0</v>
      </c>
      <c r="AH181" s="5">
        <f ca="1">Scorebook!X477</f>
        <v>0</v>
      </c>
      <c r="AI181" s="5">
        <f>Settings!$B$2</f>
        <v>1</v>
      </c>
      <c r="AJ181" s="18">
        <f ca="1">IF($AK181="","",Scorebook!$O$731)</f>
      </c>
      <c r="AK181" s="4" t="str">
        <f ca="1">IF(AND(Bracket!$H$21&lt;&gt;"",Bracket!$I$21&lt;&gt;""),"G15","")</f>
      </c>
      <c r="AL181" s="5" t="str">
        <f ca="1">IF(AND(Bracket!$H$21&lt;&gt;"",Bracket!$I$21&lt;&gt;""),Bracket!$I$21,"")</f>
      </c>
      <c r="AM181" s="5" t="str">
        <f>Scorebook!$B$731</f>
      </c>
      <c r="AN181" s="5">
        <f ca="1">IF(Scorebook!C731="","",INT(Scorebook!C731)+MOD(ROUND(Scorebook!C731*10,0),10)/3)</f>
      </c>
      <c r="AO181" s="5" cm="1">
        <f t="array" aca="1" ref="AO181" ca="1">IF($AK181="","",_xlfn.LET(_xlpm.auto,AND(MOD(ROW()-4,6)=0,$AM181&lt;&gt;0,SUMPRODUCT(--(OFFSET($AM181,1,0,5,1)&lt;&gt;0))=0),_xlpm.oppA,_xlfn.XLOOKUP($AK181,$H$4:$H$18,$J$4:$J$18,""),_xlpm.oppB,_xlfn.XLOOKUP($AK181,$H$4:$H$18,$K$4:$K$18,""),_xlpm.opp,IF($AL181=_xlpm.oppA,_xlpm.oppB,_xlpm.oppA),IF(_xlpm.auto,SUMIFS($Y$4:$Y$273,$S$4:$S$273,$AK181,$T$4:$T$273,_xlpm.opp),Scorebook!D731)))</f>
      </c>
      <c r="AP181" s="5" cm="1">
        <f t="array" aca="1" ref="AP181" ca="1">IF($AK181="","",_xlfn.LET(_xlpm.auto,AND(MOD(ROW()-4,6)=0,$AM181&lt;&gt;0,SUMPRODUCT(--(OFFSET($AM181,1,0,5,1)&lt;&gt;0))=0),_xlpm.oppA,_xlfn.XLOOKUP($AK181,$H$4:$H$18,$J$4:$J$18,""),_xlpm.oppRuns,IF($AL181=_xlpm.oppA,_xlfn.XLOOKUP($AK181,$H$4:$H$18,$O$4:$O$18,""),_xlfn.XLOOKUP($AK181,$H$4:$H$18,$N$4:$N$18,"")),IF(_xlpm.auto,_xlpm.oppRuns,Scorebook!E731)))</f>
      </c>
      <c r="AQ181" s="5">
        <f ca="1">Scorebook!F731</f>
      </c>
      <c r="AR181" s="5" cm="1">
        <f t="array" aca="1" ref="AR181" ca="1">IF($AK181="","",_xlfn.LET(_xlpm.auto,AND(MOD(ROW()-4,6)=0,$AM181&lt;&gt;0,SUMPRODUCT(--(OFFSET($AM181,1,0,5,1)&lt;&gt;0))=0),_xlpm.oppA,_xlfn.XLOOKUP($AK181,$H$4:$H$18,$J$4:$J$18,""),_xlpm.oppB,_xlfn.XLOOKUP($AK181,$H$4:$H$18,$K$4:$K$18,""),_xlpm.opp,IF($AL181=_xlpm.oppA,_xlpm.oppB,_xlpm.oppA),IF(_xlpm.auto,SUMIFS($AD$4:$AD$273,$S$4:$S$273,$AK181,$T$4:$T$273,_xlpm.opp),Scorebook!G731)))</f>
      </c>
      <c r="AS181" s="5" cm="1">
        <f t="array" aca="1" ref="AS181" ca="1">IF($AK181="","",_xlfn.LET(_xlpm.auto,AND(MOD(ROW()-4,6)=0,$AM181&lt;&gt;0,SUMPRODUCT(--(OFFSET($AM181,1,0,5,1)&lt;&gt;0))=0),_xlpm.oppA,_xlfn.XLOOKUP($AK181,$H$4:$H$18,$J$4:$J$18,""),_xlpm.oppB,_xlfn.XLOOKUP($AK181,$H$4:$H$18,$K$4:$K$18,""),_xlpm.opp,IF($AL181=_xlpm.oppA,_xlpm.oppB,_xlpm.oppA),IF(_xlpm.auto,SUMIFS($AE$4:$AE$273,$S$4:$S$273,$AK181,$T$4:$T$273,_xlpm.opp),Scorebook!H731)))</f>
      </c>
      <c r="AT181" s="5" cm="1">
        <f t="array" aca="1" ref="AT181" ca="1">IF($AK181="","",_xlfn.LET(_xlpm.auto,AND(MOD(ROW()-4,6)=0,$AM181&lt;&gt;0,SUMPRODUCT(--(OFFSET($AM181,1,0,5,1)&lt;&gt;0))=0),_xlpm.oppA,_xlfn.XLOOKUP($AK181,$H$4:$H$18,$J$4:$J$18,""),_xlpm.oppB,_xlfn.XLOOKUP($AK181,$H$4:$H$18,$K$4:$K$18,""),_xlpm.opp,IF($AL181=_xlpm.oppA,_xlpm.oppB,_xlpm.oppA),IF(_xlpm.auto,SUMIFS($AB$4:$AB$273,$S$4:$S$273,$AK181,$T$4:$T$273,_xlpm.opp),Scorebook!I731)))</f>
      </c>
      <c r="AU181" s="5" cm="1">
        <f t="array" aca="1" ref="AU181" ca="1">IF($AK181="","",_xlfn.LET(_xlpm.auto,AND(MOD(ROW()-4,6)=0,$AM181&lt;&gt;0,SUMPRODUCT(--(OFFSET($AM181,1,0,5,1)&lt;&gt;0))=0),_xlpm.winner,_xlfn.XLOOKUP($AK181,$H$4:$H$18,$L$4:$L$18,""),IF(_xlpm.auto,--($AL181=_xlpm.winner),Scorebook!J731)))</f>
      </c>
      <c r="AV181" s="5" cm="1">
        <f t="array" aca="1" ref="AV181" ca="1">IF($AK181="","",_xlfn.LET(_xlpm.auto,AND(MOD(ROW()-4,6)=0,$AM181&lt;&gt;0,SUMPRODUCT(--(OFFSET($AM181,1,0,5,1)&lt;&gt;0))=0),_xlpm.loser,_xlfn.XLOOKUP($AK181,$H$4:$H$18,$M$4:$M$18,""),IF(_xlpm.auto,--($AL181=_xlpm.loser),Scorebook!K731)))</f>
      </c>
      <c r="AW181" s="5">
        <f ca="1">Scorebook!L731</f>
      </c>
      <c r="AX181" s="5" cm="1">
        <f t="array" aca="1" ref="AX181" ca="1">IF($AK181="","",_xlfn.LET(_xlpm.auto,AND(MOD(ROW()-4,6)=0,$AM181&lt;&gt;0,SUMPRODUCT(--(OFFSET($AM181,1,0,5,1)&lt;&gt;0))=0),_xlpm.oppA,_xlfn.XLOOKUP($AK181,$H$4:$H$18,$J$4:$J$18,""),_xlpm.oppRuns,IF($AL181=_xlpm.oppA,_xlfn.XLOOKUP($AK181,$H$4:$H$18,$O$4:$O$18,""),_xlfn.XLOOKUP($AK181,$H$4:$H$18,$N$4:$N$18,"")),IF(_xlpm.auto,--(_xlpm.oppRuns=0),Scorebook!M731)))</f>
      </c>
      <c r="AY181" s="5" cm="1">
        <f t="array" aca="1" ref="AY181" ca="1">IF($AK181="","",_xlfn.LET(_xlpm.auto,AND(MOD(ROW()-4,6)=0,$AM181&lt;&gt;0,SUMPRODUCT(--(OFFSET($AM181,1,0,5,1)&lt;&gt;0))=0),IF(_xlpm.auto,1,Scorebook!N731)))</f>
      </c>
      <c r="AZ181" s="5">
        <f>Settings!$B$2</f>
        <v>1</v>
      </c>
    </row>
    <row r="182" spans="19:52">
      <c r="S182" s="4" t="str">
        <f ca="1">Scorebook!$F$443</f>
        <v>G10</v>
      </c>
      <c r="T182" s="5" t="str">
        <f ca="1">Scorebook!$R$443</f>
        <v>Jason</v>
      </c>
      <c r="U182" s="5" t="str">
        <f ca="1">Scorebook!$B$478</f>
        <v>Baby Mario</v>
      </c>
      <c r="V182" s="4">
        <v>8</v>
      </c>
      <c r="W182" s="5">
        <f ca="1">Scorebook!M478</f>
        <v>1</v>
      </c>
      <c r="X182" s="5">
        <f ca="1">Scorebook!N478</f>
        <v>1</v>
      </c>
      <c r="Y182" s="5">
        <f ca="1">Scorebook!O478</f>
        <v>1</v>
      </c>
      <c r="Z182" s="5">
        <f ca="1">Scorebook!P478</f>
        <v>0</v>
      </c>
      <c r="AA182" s="5">
        <f ca="1">Scorebook!Q478</f>
        <v>0</v>
      </c>
      <c r="AB182" s="5">
        <f ca="1">Scorebook!R478</f>
        <v>0</v>
      </c>
      <c r="AC182" s="5">
        <f ca="1">Scorebook!S478</f>
        <v>0</v>
      </c>
      <c r="AD182" s="5">
        <f ca="1">Scorebook!T478</f>
        <v>0</v>
      </c>
      <c r="AE182" s="5">
        <f ca="1">Scorebook!U478</f>
        <v>0</v>
      </c>
      <c r="AF182" s="5">
        <f ca="1">Scorebook!V478</f>
        <v>0</v>
      </c>
      <c r="AG182" s="5">
        <f ca="1">Scorebook!W478</f>
        <v>0</v>
      </c>
      <c r="AH182" s="5">
        <f ca="1">Scorebook!X478</f>
        <v>0</v>
      </c>
      <c r="AI182" s="5">
        <f>Settings!$B$2</f>
        <v>1</v>
      </c>
      <c r="AJ182" s="18">
        <f ca="1">IF($AK182="","",Scorebook!$O$732)</f>
      </c>
      <c r="AK182" s="4" t="str">
        <f ca="1">IF(AND(Bracket!$H$21&lt;&gt;"",Bracket!$I$21&lt;&gt;""),"G15","")</f>
      </c>
      <c r="AL182" s="5" t="str">
        <f ca="1">IF(AND(Bracket!$H$21&lt;&gt;"",Bracket!$I$21&lt;&gt;""),Bracket!$I$21,"")</f>
      </c>
      <c r="AM182" s="5" t="str">
        <f>Scorebook!$B$732</f>
      </c>
      <c r="AN182" s="5">
        <f ca="1">IF(Scorebook!C732="","",INT(Scorebook!C732)+MOD(ROUND(Scorebook!C732*10,0),10)/3)</f>
      </c>
      <c r="AO182" s="5" cm="1">
        <f t="array" aca="1" ref="AO182" ca="1">IF($AK182="","",_xlfn.LET(_xlpm.auto,AND(MOD(ROW()-4,6)=0,$AM182&lt;&gt;0,SUMPRODUCT(--(OFFSET($AM182,1,0,5,1)&lt;&gt;0))=0),_xlpm.oppA,_xlfn.XLOOKUP($AK182,$H$4:$H$18,$J$4:$J$18,""),_xlpm.oppB,_xlfn.XLOOKUP($AK182,$H$4:$H$18,$K$4:$K$18,""),_xlpm.opp,IF($AL182=_xlpm.oppA,_xlpm.oppB,_xlpm.oppA),IF(_xlpm.auto,SUMIFS($Y$4:$Y$273,$S$4:$S$273,$AK182,$T$4:$T$273,_xlpm.opp),Scorebook!D732)))</f>
      </c>
      <c r="AP182" s="5" cm="1">
        <f t="array" aca="1" ref="AP182" ca="1">IF($AK182="","",_xlfn.LET(_xlpm.auto,AND(MOD(ROW()-4,6)=0,$AM182&lt;&gt;0,SUMPRODUCT(--(OFFSET($AM182,1,0,5,1)&lt;&gt;0))=0),_xlpm.oppA,_xlfn.XLOOKUP($AK182,$H$4:$H$18,$J$4:$J$18,""),_xlpm.oppRuns,IF($AL182=_xlpm.oppA,_xlfn.XLOOKUP($AK182,$H$4:$H$18,$O$4:$O$18,""),_xlfn.XLOOKUP($AK182,$H$4:$H$18,$N$4:$N$18,"")),IF(_xlpm.auto,_xlpm.oppRuns,Scorebook!E732)))</f>
      </c>
      <c r="AQ182" s="5">
        <f ca="1">Scorebook!F732</f>
      </c>
      <c r="AR182" s="5" cm="1">
        <f t="array" aca="1" ref="AR182" ca="1">IF($AK182="","",_xlfn.LET(_xlpm.auto,AND(MOD(ROW()-4,6)=0,$AM182&lt;&gt;0,SUMPRODUCT(--(OFFSET($AM182,1,0,5,1)&lt;&gt;0))=0),_xlpm.oppA,_xlfn.XLOOKUP($AK182,$H$4:$H$18,$J$4:$J$18,""),_xlpm.oppB,_xlfn.XLOOKUP($AK182,$H$4:$H$18,$K$4:$K$18,""),_xlpm.opp,IF($AL182=_xlpm.oppA,_xlpm.oppB,_xlpm.oppA),IF(_xlpm.auto,SUMIFS($AD$4:$AD$273,$S$4:$S$273,$AK182,$T$4:$T$273,_xlpm.opp),Scorebook!G732)))</f>
      </c>
      <c r="AS182" s="5" cm="1">
        <f t="array" aca="1" ref="AS182" ca="1">IF($AK182="","",_xlfn.LET(_xlpm.auto,AND(MOD(ROW()-4,6)=0,$AM182&lt;&gt;0,SUMPRODUCT(--(OFFSET($AM182,1,0,5,1)&lt;&gt;0))=0),_xlpm.oppA,_xlfn.XLOOKUP($AK182,$H$4:$H$18,$J$4:$J$18,""),_xlpm.oppB,_xlfn.XLOOKUP($AK182,$H$4:$H$18,$K$4:$K$18,""),_xlpm.opp,IF($AL182=_xlpm.oppA,_xlpm.oppB,_xlpm.oppA),IF(_xlpm.auto,SUMIFS($AE$4:$AE$273,$S$4:$S$273,$AK182,$T$4:$T$273,_xlpm.opp),Scorebook!H732)))</f>
      </c>
      <c r="AT182" s="5" cm="1">
        <f t="array" aca="1" ref="AT182" ca="1">IF($AK182="","",_xlfn.LET(_xlpm.auto,AND(MOD(ROW()-4,6)=0,$AM182&lt;&gt;0,SUMPRODUCT(--(OFFSET($AM182,1,0,5,1)&lt;&gt;0))=0),_xlpm.oppA,_xlfn.XLOOKUP($AK182,$H$4:$H$18,$J$4:$J$18,""),_xlpm.oppB,_xlfn.XLOOKUP($AK182,$H$4:$H$18,$K$4:$K$18,""),_xlpm.opp,IF($AL182=_xlpm.oppA,_xlpm.oppB,_xlpm.oppA),IF(_xlpm.auto,SUMIFS($AB$4:$AB$273,$S$4:$S$273,$AK182,$T$4:$T$273,_xlpm.opp),Scorebook!I732)))</f>
      </c>
      <c r="AU182" s="5" cm="1">
        <f t="array" aca="1" ref="AU182" ca="1">IF($AK182="","",_xlfn.LET(_xlpm.auto,AND(MOD(ROW()-4,6)=0,$AM182&lt;&gt;0,SUMPRODUCT(--(OFFSET($AM182,1,0,5,1)&lt;&gt;0))=0),_xlpm.winner,_xlfn.XLOOKUP($AK182,$H$4:$H$18,$L$4:$L$18,""),IF(_xlpm.auto,--($AL182=_xlpm.winner),Scorebook!J732)))</f>
      </c>
      <c r="AV182" s="5" cm="1">
        <f t="array" aca="1" ref="AV182" ca="1">IF($AK182="","",_xlfn.LET(_xlpm.auto,AND(MOD(ROW()-4,6)=0,$AM182&lt;&gt;0,SUMPRODUCT(--(OFFSET($AM182,1,0,5,1)&lt;&gt;0))=0),_xlpm.loser,_xlfn.XLOOKUP($AK182,$H$4:$H$18,$M$4:$M$18,""),IF(_xlpm.auto,--($AL182=_xlpm.loser),Scorebook!K732)))</f>
      </c>
      <c r="AW182" s="5">
        <f ca="1">Scorebook!L732</f>
      </c>
      <c r="AX182" s="5" cm="1">
        <f t="array" aca="1" ref="AX182" ca="1">IF($AK182="","",_xlfn.LET(_xlpm.auto,AND(MOD(ROW()-4,6)=0,$AM182&lt;&gt;0,SUMPRODUCT(--(OFFSET($AM182,1,0,5,1)&lt;&gt;0))=0),_xlpm.oppA,_xlfn.XLOOKUP($AK182,$H$4:$H$18,$J$4:$J$18,""),_xlpm.oppRuns,IF($AL182=_xlpm.oppA,_xlfn.XLOOKUP($AK182,$H$4:$H$18,$O$4:$O$18,""),_xlfn.XLOOKUP($AK182,$H$4:$H$18,$N$4:$N$18,"")),IF(_xlpm.auto,--(_xlpm.oppRuns=0),Scorebook!M732)))</f>
      </c>
      <c r="AY182" s="5" cm="1">
        <f t="array" aca="1" ref="AY182" ca="1">IF($AK182="","",_xlfn.LET(_xlpm.auto,AND(MOD(ROW()-4,6)=0,$AM182&lt;&gt;0,SUMPRODUCT(--(OFFSET($AM182,1,0,5,1)&lt;&gt;0))=0),IF(_xlpm.auto,1,Scorebook!N732)))</f>
      </c>
      <c r="AZ182" s="5">
        <f>Settings!$B$2</f>
        <v>1</v>
      </c>
    </row>
    <row r="183" spans="19:52">
      <c r="S183" s="4" t="str">
        <f ca="1">Scorebook!$F$443</f>
        <v>G10</v>
      </c>
      <c r="T183" s="5" t="str">
        <f ca="1">Scorebook!$R$443</f>
        <v>Jason</v>
      </c>
      <c r="U183" s="5" t="str">
        <f ca="1">Scorebook!$B$479</f>
        <v>Baby Daisy</v>
      </c>
      <c r="V183" s="4">
        <v>9</v>
      </c>
      <c r="W183" s="5">
        <f ca="1">Scorebook!M479</f>
        <v>1</v>
      </c>
      <c r="X183" s="5">
        <f ca="1">Scorebook!N479</f>
        <v>1</v>
      </c>
      <c r="Y183" s="5">
        <f ca="1">Scorebook!O479</f>
        <v>1</v>
      </c>
      <c r="Z183" s="5">
        <f ca="1">Scorebook!P479</f>
        <v>0</v>
      </c>
      <c r="AA183" s="5">
        <f ca="1">Scorebook!Q479</f>
        <v>0</v>
      </c>
      <c r="AB183" s="5">
        <f ca="1">Scorebook!R479</f>
        <v>0</v>
      </c>
      <c r="AC183" s="5">
        <f ca="1">Scorebook!S479</f>
        <v>0</v>
      </c>
      <c r="AD183" s="5">
        <f ca="1">Scorebook!T479</f>
        <v>0</v>
      </c>
      <c r="AE183" s="5">
        <f ca="1">Scorebook!U479</f>
        <v>0</v>
      </c>
      <c r="AF183" s="5">
        <f ca="1">Scorebook!V479</f>
        <v>0</v>
      </c>
      <c r="AG183" s="5">
        <f ca="1">Scorebook!W479</f>
        <v>0</v>
      </c>
      <c r="AH183" s="5">
        <f ca="1">Scorebook!X479</f>
        <v>0</v>
      </c>
      <c r="AI183" s="5">
        <f>Settings!$B$2</f>
        <v>1</v>
      </c>
      <c r="AJ183" s="18">
        <f ca="1">IF($AK183="","",Scorebook!$O$733)</f>
      </c>
      <c r="AK183" s="4" t="str">
        <f ca="1">IF(AND(Bracket!$H$21&lt;&gt;"",Bracket!$I$21&lt;&gt;""),"G15","")</f>
      </c>
      <c r="AL183" s="5" t="str">
        <f ca="1">IF(AND(Bracket!$H$21&lt;&gt;"",Bracket!$I$21&lt;&gt;""),Bracket!$I$21,"")</f>
      </c>
      <c r="AM183" s="5" t="str">
        <f>Scorebook!$B$733</f>
      </c>
      <c r="AN183" s="5">
        <f ca="1">IF(Scorebook!C733="","",INT(Scorebook!C733)+MOD(ROUND(Scorebook!C733*10,0),10)/3)</f>
      </c>
      <c r="AO183" s="5" cm="1">
        <f t="array" aca="1" ref="AO183" ca="1">IF($AK183="","",_xlfn.LET(_xlpm.auto,AND(MOD(ROW()-4,6)=0,$AM183&lt;&gt;0,SUMPRODUCT(--(OFFSET($AM183,1,0,5,1)&lt;&gt;0))=0),_xlpm.oppA,_xlfn.XLOOKUP($AK183,$H$4:$H$18,$J$4:$J$18,""),_xlpm.oppB,_xlfn.XLOOKUP($AK183,$H$4:$H$18,$K$4:$K$18,""),_xlpm.opp,IF($AL183=_xlpm.oppA,_xlpm.oppB,_xlpm.oppA),IF(_xlpm.auto,SUMIFS($Y$4:$Y$273,$S$4:$S$273,$AK183,$T$4:$T$273,_xlpm.opp),Scorebook!D733)))</f>
      </c>
      <c r="AP183" s="5" cm="1">
        <f t="array" aca="1" ref="AP183" ca="1">IF($AK183="","",_xlfn.LET(_xlpm.auto,AND(MOD(ROW()-4,6)=0,$AM183&lt;&gt;0,SUMPRODUCT(--(OFFSET($AM183,1,0,5,1)&lt;&gt;0))=0),_xlpm.oppA,_xlfn.XLOOKUP($AK183,$H$4:$H$18,$J$4:$J$18,""),_xlpm.oppRuns,IF($AL183=_xlpm.oppA,_xlfn.XLOOKUP($AK183,$H$4:$H$18,$O$4:$O$18,""),_xlfn.XLOOKUP($AK183,$H$4:$H$18,$N$4:$N$18,"")),IF(_xlpm.auto,_xlpm.oppRuns,Scorebook!E733)))</f>
      </c>
      <c r="AQ183" s="5">
        <f ca="1">Scorebook!F733</f>
      </c>
      <c r="AR183" s="5" cm="1">
        <f t="array" aca="1" ref="AR183" ca="1">IF($AK183="","",_xlfn.LET(_xlpm.auto,AND(MOD(ROW()-4,6)=0,$AM183&lt;&gt;0,SUMPRODUCT(--(OFFSET($AM183,1,0,5,1)&lt;&gt;0))=0),_xlpm.oppA,_xlfn.XLOOKUP($AK183,$H$4:$H$18,$J$4:$J$18,""),_xlpm.oppB,_xlfn.XLOOKUP($AK183,$H$4:$H$18,$K$4:$K$18,""),_xlpm.opp,IF($AL183=_xlpm.oppA,_xlpm.oppB,_xlpm.oppA),IF(_xlpm.auto,SUMIFS($AD$4:$AD$273,$S$4:$S$273,$AK183,$T$4:$T$273,_xlpm.opp),Scorebook!G733)))</f>
      </c>
      <c r="AS183" s="5" cm="1">
        <f t="array" aca="1" ref="AS183" ca="1">IF($AK183="","",_xlfn.LET(_xlpm.auto,AND(MOD(ROW()-4,6)=0,$AM183&lt;&gt;0,SUMPRODUCT(--(OFFSET($AM183,1,0,5,1)&lt;&gt;0))=0),_xlpm.oppA,_xlfn.XLOOKUP($AK183,$H$4:$H$18,$J$4:$J$18,""),_xlpm.oppB,_xlfn.XLOOKUP($AK183,$H$4:$H$18,$K$4:$K$18,""),_xlpm.opp,IF($AL183=_xlpm.oppA,_xlpm.oppB,_xlpm.oppA),IF(_xlpm.auto,SUMIFS($AE$4:$AE$273,$S$4:$S$273,$AK183,$T$4:$T$273,_xlpm.opp),Scorebook!H733)))</f>
      </c>
      <c r="AT183" s="5" cm="1">
        <f t="array" aca="1" ref="AT183" ca="1">IF($AK183="","",_xlfn.LET(_xlpm.auto,AND(MOD(ROW()-4,6)=0,$AM183&lt;&gt;0,SUMPRODUCT(--(OFFSET($AM183,1,0,5,1)&lt;&gt;0))=0),_xlpm.oppA,_xlfn.XLOOKUP($AK183,$H$4:$H$18,$J$4:$J$18,""),_xlpm.oppB,_xlfn.XLOOKUP($AK183,$H$4:$H$18,$K$4:$K$18,""),_xlpm.opp,IF($AL183=_xlpm.oppA,_xlpm.oppB,_xlpm.oppA),IF(_xlpm.auto,SUMIFS($AB$4:$AB$273,$S$4:$S$273,$AK183,$T$4:$T$273,_xlpm.opp),Scorebook!I733)))</f>
      </c>
      <c r="AU183" s="5" cm="1">
        <f t="array" aca="1" ref="AU183" ca="1">IF($AK183="","",_xlfn.LET(_xlpm.auto,AND(MOD(ROW()-4,6)=0,$AM183&lt;&gt;0,SUMPRODUCT(--(OFFSET($AM183,1,0,5,1)&lt;&gt;0))=0),_xlpm.winner,_xlfn.XLOOKUP($AK183,$H$4:$H$18,$L$4:$L$18,""),IF(_xlpm.auto,--($AL183=_xlpm.winner),Scorebook!J733)))</f>
      </c>
      <c r="AV183" s="5" cm="1">
        <f t="array" aca="1" ref="AV183" ca="1">IF($AK183="","",_xlfn.LET(_xlpm.auto,AND(MOD(ROW()-4,6)=0,$AM183&lt;&gt;0,SUMPRODUCT(--(OFFSET($AM183,1,0,5,1)&lt;&gt;0))=0),_xlpm.loser,_xlfn.XLOOKUP($AK183,$H$4:$H$18,$M$4:$M$18,""),IF(_xlpm.auto,--($AL183=_xlpm.loser),Scorebook!K733)))</f>
      </c>
      <c r="AW183" s="5">
        <f ca="1">Scorebook!L733</f>
      </c>
      <c r="AX183" s="5" cm="1">
        <f t="array" aca="1" ref="AX183" ca="1">IF($AK183="","",_xlfn.LET(_xlpm.auto,AND(MOD(ROW()-4,6)=0,$AM183&lt;&gt;0,SUMPRODUCT(--(OFFSET($AM183,1,0,5,1)&lt;&gt;0))=0),_xlpm.oppA,_xlfn.XLOOKUP($AK183,$H$4:$H$18,$J$4:$J$18,""),_xlpm.oppRuns,IF($AL183=_xlpm.oppA,_xlfn.XLOOKUP($AK183,$H$4:$H$18,$O$4:$O$18,""),_xlfn.XLOOKUP($AK183,$H$4:$H$18,$N$4:$N$18,"")),IF(_xlpm.auto,--(_xlpm.oppRuns=0),Scorebook!M733)))</f>
      </c>
      <c r="AY183" s="5" cm="1">
        <f t="array" aca="1" ref="AY183" ca="1">IF($AK183="","",_xlfn.LET(_xlpm.auto,AND(MOD(ROW()-4,6)=0,$AM183&lt;&gt;0,SUMPRODUCT(--(OFFSET($AM183,1,0,5,1)&lt;&gt;0))=0),IF(_xlpm.auto,1,Scorebook!N733)))</f>
      </c>
      <c r="AZ183" s="5">
        <f>Settings!$B$2</f>
        <v>1</v>
      </c>
    </row>
    <row r="184" spans="19:52">
      <c r="S184" s="4" t="str">
        <f ca="1">IF(AND(Bracket!$H$17&lt;&gt;"",Bracket!$I$17&lt;&gt;""),"G11","")</f>
      </c>
      <c r="T184" s="5" t="str">
        <f ca="1">IF(AND(Bracket!$H$17&lt;&gt;"",Bracket!$I$17&lt;&gt;""),Bracket!$H$17,"")</f>
      </c>
      <c r="U184" s="5" t="str">
        <f ca="1">Scorebook!$B$499</f>
      </c>
      <c r="V184" s="4"/>
      <c r="W184" s="5">
        <f ca="1">Scorebook!M499</f>
      </c>
      <c r="X184" s="5">
        <f ca="1">Scorebook!N499</f>
      </c>
      <c r="Y184" s="5">
        <f ca="1">Scorebook!O499</f>
      </c>
      <c r="Z184" s="5">
        <f ca="1">Scorebook!P499</f>
      </c>
      <c r="AA184" s="5">
        <f ca="1">Scorebook!Q499</f>
      </c>
      <c r="AB184" s="5">
        <f ca="1">Scorebook!R499</f>
      </c>
      <c r="AC184" s="5">
        <f ca="1">Scorebook!S499</f>
      </c>
      <c r="AD184" s="5">
        <f ca="1">Scorebook!T499</f>
      </c>
      <c r="AE184" s="5">
        <f ca="1">Scorebook!U499</f>
      </c>
      <c r="AF184" s="5">
        <f ca="1">Scorebook!V499</f>
      </c>
      <c r="AG184" s="5">
        <f ca="1">Scorebook!W499</f>
      </c>
      <c r="AH184" s="5">
        <f ca="1">Scorebook!X499</f>
      </c>
      <c r="AI184" s="5">
        <f>Settings!$B$2</f>
        <v>1</v>
      </c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</row>
    <row r="185" spans="19:52">
      <c r="S185" s="4" t="str">
        <f ca="1">IF(AND(Bracket!$H$17&lt;&gt;"",Bracket!$I$17&lt;&gt;""),"G11","")</f>
      </c>
      <c r="T185" s="5" t="str">
        <f ca="1">IF(AND(Bracket!$H$17&lt;&gt;"",Bracket!$I$17&lt;&gt;""),Bracket!$H$17,"")</f>
      </c>
      <c r="U185" s="5" t="str">
        <f ca="1">Scorebook!$B$500</f>
      </c>
      <c r="V185" s="4"/>
      <c r="W185" s="5">
        <f ca="1">Scorebook!M500</f>
      </c>
      <c r="X185" s="5">
        <f ca="1">Scorebook!N500</f>
      </c>
      <c r="Y185" s="5">
        <f ca="1">Scorebook!O500</f>
      </c>
      <c r="Z185" s="5">
        <f ca="1">Scorebook!P500</f>
      </c>
      <c r="AA185" s="5">
        <f ca="1">Scorebook!Q500</f>
      </c>
      <c r="AB185" s="5">
        <f ca="1">Scorebook!R500</f>
      </c>
      <c r="AC185" s="5">
        <f ca="1">Scorebook!S500</f>
      </c>
      <c r="AD185" s="5">
        <f ca="1">Scorebook!T500</f>
      </c>
      <c r="AE185" s="5">
        <f ca="1">Scorebook!U500</f>
      </c>
      <c r="AF185" s="5">
        <f ca="1">Scorebook!V500</f>
      </c>
      <c r="AG185" s="5">
        <f ca="1">Scorebook!W500</f>
      </c>
      <c r="AH185" s="5">
        <f ca="1">Scorebook!X500</f>
      </c>
      <c r="AI185" s="5">
        <f>Settings!$B$2</f>
        <v>1</v>
      </c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</row>
    <row r="186" spans="19:52">
      <c r="S186" s="4" t="str">
        <f ca="1">IF(AND(Bracket!$H$17&lt;&gt;"",Bracket!$I$17&lt;&gt;""),"G11","")</f>
      </c>
      <c r="T186" s="5" t="str">
        <f ca="1">IF(AND(Bracket!$H$17&lt;&gt;"",Bracket!$I$17&lt;&gt;""),Bracket!$H$17,"")</f>
      </c>
      <c r="U186" s="5" t="str">
        <f ca="1">Scorebook!$B$501</f>
      </c>
      <c r="V186" s="4"/>
      <c r="W186" s="5">
        <f ca="1">Scorebook!M501</f>
      </c>
      <c r="X186" s="5">
        <f ca="1">Scorebook!N501</f>
      </c>
      <c r="Y186" s="5">
        <f ca="1">Scorebook!O501</f>
      </c>
      <c r="Z186" s="5">
        <f ca="1">Scorebook!P501</f>
      </c>
      <c r="AA186" s="5">
        <f ca="1">Scorebook!Q501</f>
      </c>
      <c r="AB186" s="5">
        <f ca="1">Scorebook!R501</f>
      </c>
      <c r="AC186" s="5">
        <f ca="1">Scorebook!S501</f>
      </c>
      <c r="AD186" s="5">
        <f ca="1">Scorebook!T501</f>
      </c>
      <c r="AE186" s="5">
        <f ca="1">Scorebook!U501</f>
      </c>
      <c r="AF186" s="5">
        <f ca="1">Scorebook!V501</f>
      </c>
      <c r="AG186" s="5">
        <f ca="1">Scorebook!W501</f>
      </c>
      <c r="AH186" s="5">
        <f ca="1">Scorebook!X501</f>
      </c>
      <c r="AI186" s="5">
        <f>Settings!$B$2</f>
        <v>1</v>
      </c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</row>
    <row r="187" spans="19:52">
      <c r="S187" s="4" t="str">
        <f ca="1">IF(AND(Bracket!$H$17&lt;&gt;"",Bracket!$I$17&lt;&gt;""),"G11","")</f>
      </c>
      <c r="T187" s="5" t="str">
        <f ca="1">IF(AND(Bracket!$H$17&lt;&gt;"",Bracket!$I$17&lt;&gt;""),Bracket!$H$17,"")</f>
      </c>
      <c r="U187" s="5" t="str">
        <f ca="1">Scorebook!$B$502</f>
      </c>
      <c r="V187" s="4"/>
      <c r="W187" s="5">
        <f ca="1">Scorebook!M502</f>
      </c>
      <c r="X187" s="5">
        <f ca="1">Scorebook!N502</f>
      </c>
      <c r="Y187" s="5">
        <f ca="1">Scorebook!O502</f>
      </c>
      <c r="Z187" s="5">
        <f ca="1">Scorebook!P502</f>
      </c>
      <c r="AA187" s="5">
        <f ca="1">Scorebook!Q502</f>
      </c>
      <c r="AB187" s="5">
        <f ca="1">Scorebook!R502</f>
      </c>
      <c r="AC187" s="5">
        <f ca="1">Scorebook!S502</f>
      </c>
      <c r="AD187" s="5">
        <f ca="1">Scorebook!T502</f>
      </c>
      <c r="AE187" s="5">
        <f ca="1">Scorebook!U502</f>
      </c>
      <c r="AF187" s="5">
        <f ca="1">Scorebook!V502</f>
      </c>
      <c r="AG187" s="5">
        <f ca="1">Scorebook!W502</f>
      </c>
      <c r="AH187" s="5">
        <f ca="1">Scorebook!X502</f>
      </c>
      <c r="AI187" s="5">
        <f>Settings!$B$2</f>
        <v>1</v>
      </c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</row>
    <row r="188" spans="19:52">
      <c r="S188" s="4" t="str">
        <f ca="1">IF(AND(Bracket!$H$17&lt;&gt;"",Bracket!$I$17&lt;&gt;""),"G11","")</f>
      </c>
      <c r="T188" s="5" t="str">
        <f ca="1">IF(AND(Bracket!$H$17&lt;&gt;"",Bracket!$I$17&lt;&gt;""),Bracket!$H$17,"")</f>
      </c>
      <c r="U188" s="5" t="str">
        <f ca="1">Scorebook!$B$503</f>
      </c>
      <c r="V188" s="4"/>
      <c r="W188" s="5">
        <f ca="1">Scorebook!M503</f>
      </c>
      <c r="X188" s="5">
        <f ca="1">Scorebook!N503</f>
      </c>
      <c r="Y188" s="5">
        <f ca="1">Scorebook!O503</f>
      </c>
      <c r="Z188" s="5">
        <f ca="1">Scorebook!P503</f>
      </c>
      <c r="AA188" s="5">
        <f ca="1">Scorebook!Q503</f>
      </c>
      <c r="AB188" s="5">
        <f ca="1">Scorebook!R503</f>
      </c>
      <c r="AC188" s="5">
        <f ca="1">Scorebook!S503</f>
      </c>
      <c r="AD188" s="5">
        <f ca="1">Scorebook!T503</f>
      </c>
      <c r="AE188" s="5">
        <f ca="1">Scorebook!U503</f>
      </c>
      <c r="AF188" s="5">
        <f ca="1">Scorebook!V503</f>
      </c>
      <c r="AG188" s="5">
        <f ca="1">Scorebook!W503</f>
      </c>
      <c r="AH188" s="5">
        <f ca="1">Scorebook!X503</f>
      </c>
      <c r="AI188" s="5">
        <f>Settings!$B$2</f>
        <v>1</v>
      </c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</row>
    <row r="189" spans="19:52">
      <c r="S189" s="4" t="str">
        <f ca="1">IF(AND(Bracket!$H$17&lt;&gt;"",Bracket!$I$17&lt;&gt;""),"G11","")</f>
      </c>
      <c r="T189" s="5" t="str">
        <f ca="1">IF(AND(Bracket!$H$17&lt;&gt;"",Bracket!$I$17&lt;&gt;""),Bracket!$H$17,"")</f>
      </c>
      <c r="U189" s="5" t="str">
        <f ca="1">Scorebook!$B$504</f>
      </c>
      <c r="V189" s="4"/>
      <c r="W189" s="5">
        <f ca="1">Scorebook!M504</f>
      </c>
      <c r="X189" s="5">
        <f ca="1">Scorebook!N504</f>
      </c>
      <c r="Y189" s="5">
        <f ca="1">Scorebook!O504</f>
      </c>
      <c r="Z189" s="5">
        <f ca="1">Scorebook!P504</f>
      </c>
      <c r="AA189" s="5">
        <f ca="1">Scorebook!Q504</f>
      </c>
      <c r="AB189" s="5">
        <f ca="1">Scorebook!R504</f>
      </c>
      <c r="AC189" s="5">
        <f ca="1">Scorebook!S504</f>
      </c>
      <c r="AD189" s="5">
        <f ca="1">Scorebook!T504</f>
      </c>
      <c r="AE189" s="5">
        <f ca="1">Scorebook!U504</f>
      </c>
      <c r="AF189" s="5">
        <f ca="1">Scorebook!V504</f>
      </c>
      <c r="AG189" s="5">
        <f ca="1">Scorebook!W504</f>
      </c>
      <c r="AH189" s="5">
        <f ca="1">Scorebook!X504</f>
      </c>
      <c r="AI189" s="5">
        <f>Settings!$B$2</f>
        <v>1</v>
      </c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</row>
    <row r="190" spans="19:52">
      <c r="S190" s="4" t="str">
        <f ca="1">IF(AND(Bracket!$H$17&lt;&gt;"",Bracket!$I$17&lt;&gt;""),"G11","")</f>
      </c>
      <c r="T190" s="5" t="str">
        <f ca="1">IF(AND(Bracket!$H$17&lt;&gt;"",Bracket!$I$17&lt;&gt;""),Bracket!$H$17,"")</f>
      </c>
      <c r="U190" s="5" t="str">
        <f ca="1">Scorebook!$B$505</f>
      </c>
      <c r="V190" s="4"/>
      <c r="W190" s="5">
        <f ca="1">Scorebook!M505</f>
      </c>
      <c r="X190" s="5">
        <f ca="1">Scorebook!N505</f>
      </c>
      <c r="Y190" s="5">
        <f ca="1">Scorebook!O505</f>
      </c>
      <c r="Z190" s="5">
        <f ca="1">Scorebook!P505</f>
      </c>
      <c r="AA190" s="5">
        <f ca="1">Scorebook!Q505</f>
      </c>
      <c r="AB190" s="5">
        <f ca="1">Scorebook!R505</f>
      </c>
      <c r="AC190" s="5">
        <f ca="1">Scorebook!S505</f>
      </c>
      <c r="AD190" s="5">
        <f ca="1">Scorebook!T505</f>
      </c>
      <c r="AE190" s="5">
        <f ca="1">Scorebook!U505</f>
      </c>
      <c r="AF190" s="5">
        <f ca="1">Scorebook!V505</f>
      </c>
      <c r="AG190" s="5">
        <f ca="1">Scorebook!W505</f>
      </c>
      <c r="AH190" s="5">
        <f ca="1">Scorebook!X505</f>
      </c>
      <c r="AI190" s="5">
        <f>Settings!$B$2</f>
        <v>1</v>
      </c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</row>
    <row r="191" spans="19:52">
      <c r="S191" s="4" t="str">
        <f ca="1">IF(AND(Bracket!$H$17&lt;&gt;"",Bracket!$I$17&lt;&gt;""),"G11","")</f>
      </c>
      <c r="T191" s="5" t="str">
        <f ca="1">IF(AND(Bracket!$H$17&lt;&gt;"",Bracket!$I$17&lt;&gt;""),Bracket!$H$17,"")</f>
      </c>
      <c r="U191" s="5" t="str">
        <f ca="1">Scorebook!$B$506</f>
      </c>
      <c r="V191" s="4"/>
      <c r="W191" s="5">
        <f ca="1">Scorebook!M506</f>
      </c>
      <c r="X191" s="5">
        <f ca="1">Scorebook!N506</f>
      </c>
      <c r="Y191" s="5">
        <f ca="1">Scorebook!O506</f>
      </c>
      <c r="Z191" s="5">
        <f ca="1">Scorebook!P506</f>
      </c>
      <c r="AA191" s="5">
        <f ca="1">Scorebook!Q506</f>
      </c>
      <c r="AB191" s="5">
        <f ca="1">Scorebook!R506</f>
      </c>
      <c r="AC191" s="5">
        <f ca="1">Scorebook!S506</f>
      </c>
      <c r="AD191" s="5">
        <f ca="1">Scorebook!T506</f>
      </c>
      <c r="AE191" s="5">
        <f ca="1">Scorebook!U506</f>
      </c>
      <c r="AF191" s="5">
        <f ca="1">Scorebook!V506</f>
      </c>
      <c r="AG191" s="5">
        <f ca="1">Scorebook!W506</f>
      </c>
      <c r="AH191" s="5">
        <f ca="1">Scorebook!X506</f>
      </c>
      <c r="AI191" s="5">
        <f>Settings!$B$2</f>
        <v>1</v>
      </c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</row>
    <row r="192" spans="19:52">
      <c r="S192" s="4" t="str">
        <f ca="1">IF(AND(Bracket!$H$17&lt;&gt;"",Bracket!$I$17&lt;&gt;""),"G11","")</f>
      </c>
      <c r="T192" s="5" t="str">
        <f ca="1">IF(AND(Bracket!$H$17&lt;&gt;"",Bracket!$I$17&lt;&gt;""),Bracket!$H$17,"")</f>
      </c>
      <c r="U192" s="5" t="str">
        <f ca="1">Scorebook!$B$507</f>
      </c>
      <c r="V192" s="4"/>
      <c r="W192" s="5">
        <f ca="1">Scorebook!M507</f>
      </c>
      <c r="X192" s="5">
        <f ca="1">Scorebook!N507</f>
      </c>
      <c r="Y192" s="5">
        <f ca="1">Scorebook!O507</f>
      </c>
      <c r="Z192" s="5">
        <f ca="1">Scorebook!P507</f>
      </c>
      <c r="AA192" s="5">
        <f ca="1">Scorebook!Q507</f>
      </c>
      <c r="AB192" s="5">
        <f ca="1">Scorebook!R507</f>
      </c>
      <c r="AC192" s="5">
        <f ca="1">Scorebook!S507</f>
      </c>
      <c r="AD192" s="5">
        <f ca="1">Scorebook!T507</f>
      </c>
      <c r="AE192" s="5">
        <f ca="1">Scorebook!U507</f>
      </c>
      <c r="AF192" s="5">
        <f ca="1">Scorebook!V507</f>
      </c>
      <c r="AG192" s="5">
        <f ca="1">Scorebook!W507</f>
      </c>
      <c r="AH192" s="5">
        <f ca="1">Scorebook!X507</f>
      </c>
      <c r="AI192" s="5">
        <f>Settings!$B$2</f>
        <v>1</v>
      </c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</row>
    <row r="193" spans="19:35">
      <c r="S193" s="4" t="str">
        <f ca="1">IF(AND(Bracket!$H$17&lt;&gt;"",Bracket!$I$17&lt;&gt;""),"G11","")</f>
      </c>
      <c r="T193" s="5" t="str">
        <f ca="1">IF(AND(Bracket!$H$17&lt;&gt;"",Bracket!$I$17&lt;&gt;""),Bracket!$I$17,"")</f>
      </c>
      <c r="U193" s="5" t="str">
        <f ca="1">Scorebook!$B$520</f>
      </c>
      <c r="V193" s="4"/>
      <c r="W193" s="5">
        <f ca="1">Scorebook!M520</f>
      </c>
      <c r="X193" s="5">
        <f ca="1">Scorebook!N520</f>
      </c>
      <c r="Y193" s="5">
        <f ca="1">Scorebook!O520</f>
      </c>
      <c r="Z193" s="5">
        <f ca="1">Scorebook!P520</f>
      </c>
      <c r="AA193" s="5">
        <f ca="1">Scorebook!Q520</f>
      </c>
      <c r="AB193" s="5">
        <f ca="1">Scorebook!R520</f>
      </c>
      <c r="AC193" s="5">
        <f ca="1">Scorebook!S520</f>
      </c>
      <c r="AD193" s="5">
        <f ca="1">Scorebook!T520</f>
      </c>
      <c r="AE193" s="5">
        <f ca="1">Scorebook!U520</f>
      </c>
      <c r="AF193" s="5">
        <f ca="1">Scorebook!V520</f>
      </c>
      <c r="AG193" s="5">
        <f ca="1">Scorebook!W520</f>
      </c>
      <c r="AH193" s="5">
        <f ca="1">Scorebook!X520</f>
      </c>
      <c r="AI193" s="5">
        <f>Settings!$B$2</f>
        <v>1</v>
      </c>
    </row>
    <row r="194" spans="19:35">
      <c r="S194" s="4" t="str">
        <f ca="1">IF(AND(Bracket!$H$17&lt;&gt;"",Bracket!$I$17&lt;&gt;""),"G11","")</f>
      </c>
      <c r="T194" s="5" t="str">
        <f ca="1">IF(AND(Bracket!$H$17&lt;&gt;"",Bracket!$I$17&lt;&gt;""),Bracket!$I$17,"")</f>
      </c>
      <c r="U194" s="5" t="str">
        <f ca="1">Scorebook!$B$521</f>
      </c>
      <c r="V194" s="4"/>
      <c r="W194" s="5">
        <f ca="1">Scorebook!M521</f>
      </c>
      <c r="X194" s="5">
        <f ca="1">Scorebook!N521</f>
      </c>
      <c r="Y194" s="5">
        <f ca="1">Scorebook!O521</f>
      </c>
      <c r="Z194" s="5">
        <f ca="1">Scorebook!P521</f>
      </c>
      <c r="AA194" s="5">
        <f ca="1">Scorebook!Q521</f>
      </c>
      <c r="AB194" s="5">
        <f ca="1">Scorebook!R521</f>
      </c>
      <c r="AC194" s="5">
        <f ca="1">Scorebook!S521</f>
      </c>
      <c r="AD194" s="5">
        <f ca="1">Scorebook!T521</f>
      </c>
      <c r="AE194" s="5">
        <f ca="1">Scorebook!U521</f>
      </c>
      <c r="AF194" s="5">
        <f ca="1">Scorebook!V521</f>
      </c>
      <c r="AG194" s="5">
        <f ca="1">Scorebook!W521</f>
      </c>
      <c r="AH194" s="5">
        <f ca="1">Scorebook!X521</f>
      </c>
      <c r="AI194" s="5">
        <f>Settings!$B$2</f>
        <v>1</v>
      </c>
    </row>
    <row r="195" spans="19:35">
      <c r="S195" s="4" t="str">
        <f ca="1">IF(AND(Bracket!$H$17&lt;&gt;"",Bracket!$I$17&lt;&gt;""),"G11","")</f>
      </c>
      <c r="T195" s="5" t="str">
        <f ca="1">IF(AND(Bracket!$H$17&lt;&gt;"",Bracket!$I$17&lt;&gt;""),Bracket!$I$17,"")</f>
      </c>
      <c r="U195" s="5" t="str">
        <f ca="1">Scorebook!$B$522</f>
      </c>
      <c r="V195" s="4"/>
      <c r="W195" s="5">
        <f ca="1">Scorebook!M522</f>
      </c>
      <c r="X195" s="5">
        <f ca="1">Scorebook!N522</f>
      </c>
      <c r="Y195" s="5">
        <f ca="1">Scorebook!O522</f>
      </c>
      <c r="Z195" s="5">
        <f ca="1">Scorebook!P522</f>
      </c>
      <c r="AA195" s="5">
        <f ca="1">Scorebook!Q522</f>
      </c>
      <c r="AB195" s="5">
        <f ca="1">Scorebook!R522</f>
      </c>
      <c r="AC195" s="5">
        <f ca="1">Scorebook!S522</f>
      </c>
      <c r="AD195" s="5">
        <f ca="1">Scorebook!T522</f>
      </c>
      <c r="AE195" s="5">
        <f ca="1">Scorebook!U522</f>
      </c>
      <c r="AF195" s="5">
        <f ca="1">Scorebook!V522</f>
      </c>
      <c r="AG195" s="5">
        <f ca="1">Scorebook!W522</f>
      </c>
      <c r="AH195" s="5">
        <f ca="1">Scorebook!X522</f>
      </c>
      <c r="AI195" s="5">
        <f>Settings!$B$2</f>
        <v>1</v>
      </c>
    </row>
    <row r="196" spans="19:35">
      <c r="S196" s="4" t="str">
        <f ca="1">IF(AND(Bracket!$H$17&lt;&gt;"",Bracket!$I$17&lt;&gt;""),"G11","")</f>
      </c>
      <c r="T196" s="5" t="str">
        <f ca="1">IF(AND(Bracket!$H$17&lt;&gt;"",Bracket!$I$17&lt;&gt;""),Bracket!$I$17,"")</f>
      </c>
      <c r="U196" s="5" t="str">
        <f ca="1">Scorebook!$B$523</f>
      </c>
      <c r="V196" s="4"/>
      <c r="W196" s="5">
        <f ca="1">Scorebook!M523</f>
      </c>
      <c r="X196" s="5">
        <f ca="1">Scorebook!N523</f>
      </c>
      <c r="Y196" s="5">
        <f ca="1">Scorebook!O523</f>
      </c>
      <c r="Z196" s="5">
        <f ca="1">Scorebook!P523</f>
      </c>
      <c r="AA196" s="5">
        <f ca="1">Scorebook!Q523</f>
      </c>
      <c r="AB196" s="5">
        <f ca="1">Scorebook!R523</f>
      </c>
      <c r="AC196" s="5">
        <f ca="1">Scorebook!S523</f>
      </c>
      <c r="AD196" s="5">
        <f ca="1">Scorebook!T523</f>
      </c>
      <c r="AE196" s="5">
        <f ca="1">Scorebook!U523</f>
      </c>
      <c r="AF196" s="5">
        <f ca="1">Scorebook!V523</f>
      </c>
      <c r="AG196" s="5">
        <f ca="1">Scorebook!W523</f>
      </c>
      <c r="AH196" s="5">
        <f ca="1">Scorebook!X523</f>
      </c>
      <c r="AI196" s="5">
        <f>Settings!$B$2</f>
        <v>1</v>
      </c>
    </row>
    <row r="197" spans="19:35">
      <c r="S197" s="4" t="str">
        <f ca="1">IF(AND(Bracket!$H$17&lt;&gt;"",Bracket!$I$17&lt;&gt;""),"G11","")</f>
      </c>
      <c r="T197" s="5" t="str">
        <f ca="1">IF(AND(Bracket!$H$17&lt;&gt;"",Bracket!$I$17&lt;&gt;""),Bracket!$I$17,"")</f>
      </c>
      <c r="U197" s="5" t="str">
        <f ca="1">Scorebook!$B$524</f>
      </c>
      <c r="V197" s="4"/>
      <c r="W197" s="5">
        <f ca="1">Scorebook!M524</f>
      </c>
      <c r="X197" s="5">
        <f ca="1">Scorebook!N524</f>
      </c>
      <c r="Y197" s="5">
        <f ca="1">Scorebook!O524</f>
      </c>
      <c r="Z197" s="5">
        <f ca="1">Scorebook!P524</f>
      </c>
      <c r="AA197" s="5">
        <f ca="1">Scorebook!Q524</f>
      </c>
      <c r="AB197" s="5">
        <f ca="1">Scorebook!R524</f>
      </c>
      <c r="AC197" s="5">
        <f ca="1">Scorebook!S524</f>
      </c>
      <c r="AD197" s="5">
        <f ca="1">Scorebook!T524</f>
      </c>
      <c r="AE197" s="5">
        <f ca="1">Scorebook!U524</f>
      </c>
      <c r="AF197" s="5">
        <f ca="1">Scorebook!V524</f>
      </c>
      <c r="AG197" s="5">
        <f ca="1">Scorebook!W524</f>
      </c>
      <c r="AH197" s="5">
        <f ca="1">Scorebook!X524</f>
      </c>
      <c r="AI197" s="5">
        <f>Settings!$B$2</f>
        <v>1</v>
      </c>
    </row>
    <row r="198" spans="19:35">
      <c r="S198" s="4" t="str">
        <f ca="1">IF(AND(Bracket!$H$17&lt;&gt;"",Bracket!$I$17&lt;&gt;""),"G11","")</f>
      </c>
      <c r="T198" s="5" t="str">
        <f ca="1">IF(AND(Bracket!$H$17&lt;&gt;"",Bracket!$I$17&lt;&gt;""),Bracket!$I$17,"")</f>
      </c>
      <c r="U198" s="5" t="str">
        <f ca="1">Scorebook!$B$525</f>
      </c>
      <c r="V198" s="4"/>
      <c r="W198" s="5">
        <f ca="1">Scorebook!M525</f>
      </c>
      <c r="X198" s="5">
        <f ca="1">Scorebook!N525</f>
      </c>
      <c r="Y198" s="5">
        <f ca="1">Scorebook!O525</f>
      </c>
      <c r="Z198" s="5">
        <f ca="1">Scorebook!P525</f>
      </c>
      <c r="AA198" s="5">
        <f ca="1">Scorebook!Q525</f>
      </c>
      <c r="AB198" s="5">
        <f ca="1">Scorebook!R525</f>
      </c>
      <c r="AC198" s="5">
        <f ca="1">Scorebook!S525</f>
      </c>
      <c r="AD198" s="5">
        <f ca="1">Scorebook!T525</f>
      </c>
      <c r="AE198" s="5">
        <f ca="1">Scorebook!U525</f>
      </c>
      <c r="AF198" s="5">
        <f ca="1">Scorebook!V525</f>
      </c>
      <c r="AG198" s="5">
        <f ca="1">Scorebook!W525</f>
      </c>
      <c r="AH198" s="5">
        <f ca="1">Scorebook!X525</f>
      </c>
      <c r="AI198" s="5">
        <f>Settings!$B$2</f>
        <v>1</v>
      </c>
    </row>
    <row r="199" spans="19:35">
      <c r="S199" s="4" t="str">
        <f ca="1">IF(AND(Bracket!$H$17&lt;&gt;"",Bracket!$I$17&lt;&gt;""),"G11","")</f>
      </c>
      <c r="T199" s="5" t="str">
        <f ca="1">IF(AND(Bracket!$H$17&lt;&gt;"",Bracket!$I$17&lt;&gt;""),Bracket!$I$17,"")</f>
      </c>
      <c r="U199" s="5" t="str">
        <f ca="1">Scorebook!$B$526</f>
      </c>
      <c r="V199" s="4"/>
      <c r="W199" s="5">
        <f ca="1">Scorebook!M526</f>
      </c>
      <c r="X199" s="5">
        <f ca="1">Scorebook!N526</f>
      </c>
      <c r="Y199" s="5">
        <f ca="1">Scorebook!O526</f>
      </c>
      <c r="Z199" s="5">
        <f ca="1">Scorebook!P526</f>
      </c>
      <c r="AA199" s="5">
        <f ca="1">Scorebook!Q526</f>
      </c>
      <c r="AB199" s="5">
        <f ca="1">Scorebook!R526</f>
      </c>
      <c r="AC199" s="5">
        <f ca="1">Scorebook!S526</f>
      </c>
      <c r="AD199" s="5">
        <f ca="1">Scorebook!T526</f>
      </c>
      <c r="AE199" s="5">
        <f ca="1">Scorebook!U526</f>
      </c>
      <c r="AF199" s="5">
        <f ca="1">Scorebook!V526</f>
      </c>
      <c r="AG199" s="5">
        <f ca="1">Scorebook!W526</f>
      </c>
      <c r="AH199" s="5">
        <f ca="1">Scorebook!X526</f>
      </c>
      <c r="AI199" s="5">
        <f>Settings!$B$2</f>
        <v>1</v>
      </c>
    </row>
    <row r="200" spans="19:35">
      <c r="S200" s="4" t="str">
        <f ca="1">IF(AND(Bracket!$H$17&lt;&gt;"",Bracket!$I$17&lt;&gt;""),"G11","")</f>
      </c>
      <c r="T200" s="5" t="str">
        <f ca="1">IF(AND(Bracket!$H$17&lt;&gt;"",Bracket!$I$17&lt;&gt;""),Bracket!$I$17,"")</f>
      </c>
      <c r="U200" s="5" t="str">
        <f ca="1">Scorebook!$B$527</f>
      </c>
      <c r="V200" s="4"/>
      <c r="W200" s="5">
        <f ca="1">Scorebook!M527</f>
      </c>
      <c r="X200" s="5">
        <f ca="1">Scorebook!N527</f>
      </c>
      <c r="Y200" s="5">
        <f ca="1">Scorebook!O527</f>
      </c>
      <c r="Z200" s="5">
        <f ca="1">Scorebook!P527</f>
      </c>
      <c r="AA200" s="5">
        <f ca="1">Scorebook!Q527</f>
      </c>
      <c r="AB200" s="5">
        <f ca="1">Scorebook!R527</f>
      </c>
      <c r="AC200" s="5">
        <f ca="1">Scorebook!S527</f>
      </c>
      <c r="AD200" s="5">
        <f ca="1">Scorebook!T527</f>
      </c>
      <c r="AE200" s="5">
        <f ca="1">Scorebook!U527</f>
      </c>
      <c r="AF200" s="5">
        <f ca="1">Scorebook!V527</f>
      </c>
      <c r="AG200" s="5">
        <f ca="1">Scorebook!W527</f>
      </c>
      <c r="AH200" s="5">
        <f ca="1">Scorebook!X527</f>
      </c>
      <c r="AI200" s="5">
        <f>Settings!$B$2</f>
        <v>1</v>
      </c>
    </row>
    <row r="201" spans="19:35">
      <c r="S201" s="4" t="str">
        <f ca="1">IF(AND(Bracket!$H$17&lt;&gt;"",Bracket!$I$17&lt;&gt;""),"G11","")</f>
      </c>
      <c r="T201" s="5" t="str">
        <f ca="1">IF(AND(Bracket!$H$17&lt;&gt;"",Bracket!$I$17&lt;&gt;""),Bracket!$I$17,"")</f>
      </c>
      <c r="U201" s="5" t="str">
        <f ca="1">Scorebook!$B$528</f>
      </c>
      <c r="V201" s="4"/>
      <c r="W201" s="5">
        <f ca="1">Scorebook!M528</f>
      </c>
      <c r="X201" s="5">
        <f ca="1">Scorebook!N528</f>
      </c>
      <c r="Y201" s="5">
        <f ca="1">Scorebook!O528</f>
      </c>
      <c r="Z201" s="5">
        <f ca="1">Scorebook!P528</f>
      </c>
      <c r="AA201" s="5">
        <f ca="1">Scorebook!Q528</f>
      </c>
      <c r="AB201" s="5">
        <f ca="1">Scorebook!R528</f>
      </c>
      <c r="AC201" s="5">
        <f ca="1">Scorebook!S528</f>
      </c>
      <c r="AD201" s="5">
        <f ca="1">Scorebook!T528</f>
      </c>
      <c r="AE201" s="5">
        <f ca="1">Scorebook!U528</f>
      </c>
      <c r="AF201" s="5">
        <f ca="1">Scorebook!V528</f>
      </c>
      <c r="AG201" s="5">
        <f ca="1">Scorebook!W528</f>
      </c>
      <c r="AH201" s="5">
        <f ca="1">Scorebook!X528</f>
      </c>
      <c r="AI201" s="5">
        <f>Settings!$B$2</f>
        <v>1</v>
      </c>
    </row>
    <row r="202" spans="19:35">
      <c r="S202" s="4" t="str">
        <f ca="1">IF(AND(Bracket!$H$18&lt;&gt;"",Bracket!$I$18&lt;&gt;""),"G12","")</f>
      </c>
      <c r="T202" s="5" t="str">
        <f ca="1">IF(AND(Bracket!$H$18&lt;&gt;"",Bracket!$I$18&lt;&gt;""),Bracket!$H$18,"")</f>
      </c>
      <c r="U202" s="5" t="str">
        <f ca="1">Scorebook!$B$548</f>
      </c>
      <c r="V202" s="4"/>
      <c r="W202" s="5">
        <f ca="1">Scorebook!M548</f>
      </c>
      <c r="X202" s="5">
        <f ca="1">Scorebook!N548</f>
      </c>
      <c r="Y202" s="5">
        <f ca="1">Scorebook!O548</f>
      </c>
      <c r="Z202" s="5">
        <f ca="1">Scorebook!P548</f>
      </c>
      <c r="AA202" s="5">
        <f ca="1">Scorebook!Q548</f>
      </c>
      <c r="AB202" s="5">
        <f ca="1">Scorebook!R548</f>
      </c>
      <c r="AC202" s="5">
        <f ca="1">Scorebook!S548</f>
      </c>
      <c r="AD202" s="5">
        <f ca="1">Scorebook!T548</f>
      </c>
      <c r="AE202" s="5">
        <f ca="1">Scorebook!U548</f>
      </c>
      <c r="AF202" s="5">
        <f ca="1">Scorebook!V548</f>
      </c>
      <c r="AG202" s="5">
        <f ca="1">Scorebook!W548</f>
      </c>
      <c r="AH202" s="5">
        <f ca="1">Scorebook!X548</f>
      </c>
      <c r="AI202" s="5">
        <f>Settings!$B$2</f>
        <v>1</v>
      </c>
    </row>
    <row r="203" spans="19:35">
      <c r="S203" s="4" t="str">
        <f ca="1">IF(AND(Bracket!$H$18&lt;&gt;"",Bracket!$I$18&lt;&gt;""),"G12","")</f>
      </c>
      <c r="T203" s="5" t="str">
        <f ca="1">IF(AND(Bracket!$H$18&lt;&gt;"",Bracket!$I$18&lt;&gt;""),Bracket!$H$18,"")</f>
      </c>
      <c r="U203" s="5" t="str">
        <f ca="1">Scorebook!$B$549</f>
      </c>
      <c r="V203" s="4"/>
      <c r="W203" s="5">
        <f ca="1">Scorebook!M549</f>
      </c>
      <c r="X203" s="5">
        <f ca="1">Scorebook!N549</f>
      </c>
      <c r="Y203" s="5">
        <f ca="1">Scorebook!O549</f>
      </c>
      <c r="Z203" s="5">
        <f ca="1">Scorebook!P549</f>
      </c>
      <c r="AA203" s="5">
        <f ca="1">Scorebook!Q549</f>
      </c>
      <c r="AB203" s="5">
        <f ca="1">Scorebook!R549</f>
      </c>
      <c r="AC203" s="5">
        <f ca="1">Scorebook!S549</f>
      </c>
      <c r="AD203" s="5">
        <f ca="1">Scorebook!T549</f>
      </c>
      <c r="AE203" s="5">
        <f ca="1">Scorebook!U549</f>
      </c>
      <c r="AF203" s="5">
        <f ca="1">Scorebook!V549</f>
      </c>
      <c r="AG203" s="5">
        <f ca="1">Scorebook!W549</f>
      </c>
      <c r="AH203" s="5">
        <f ca="1">Scorebook!X549</f>
      </c>
      <c r="AI203" s="5">
        <f>Settings!$B$2</f>
        <v>1</v>
      </c>
    </row>
    <row r="204" spans="19:35">
      <c r="S204" s="4" t="str">
        <f ca="1">IF(AND(Bracket!$H$18&lt;&gt;"",Bracket!$I$18&lt;&gt;""),"G12","")</f>
      </c>
      <c r="T204" s="5" t="str">
        <f ca="1">IF(AND(Bracket!$H$18&lt;&gt;"",Bracket!$I$18&lt;&gt;""),Bracket!$H$18,"")</f>
      </c>
      <c r="U204" s="5" t="str">
        <f ca="1">Scorebook!$B$550</f>
      </c>
      <c r="V204" s="4"/>
      <c r="W204" s="5">
        <f ca="1">Scorebook!M550</f>
      </c>
      <c r="X204" s="5">
        <f ca="1">Scorebook!N550</f>
      </c>
      <c r="Y204" s="5">
        <f ca="1">Scorebook!O550</f>
      </c>
      <c r="Z204" s="5">
        <f ca="1">Scorebook!P550</f>
      </c>
      <c r="AA204" s="5">
        <f ca="1">Scorebook!Q550</f>
      </c>
      <c r="AB204" s="5">
        <f ca="1">Scorebook!R550</f>
      </c>
      <c r="AC204" s="5">
        <f ca="1">Scorebook!S550</f>
      </c>
      <c r="AD204" s="5">
        <f ca="1">Scorebook!T550</f>
      </c>
      <c r="AE204" s="5">
        <f ca="1">Scorebook!U550</f>
      </c>
      <c r="AF204" s="5">
        <f ca="1">Scorebook!V550</f>
      </c>
      <c r="AG204" s="5">
        <f ca="1">Scorebook!W550</f>
      </c>
      <c r="AH204" s="5">
        <f ca="1">Scorebook!X550</f>
      </c>
      <c r="AI204" s="5">
        <f>Settings!$B$2</f>
        <v>1</v>
      </c>
    </row>
    <row r="205" spans="19:35">
      <c r="S205" s="4" t="str">
        <f ca="1">IF(AND(Bracket!$H$18&lt;&gt;"",Bracket!$I$18&lt;&gt;""),"G12","")</f>
      </c>
      <c r="T205" s="5" t="str">
        <f ca="1">IF(AND(Bracket!$H$18&lt;&gt;"",Bracket!$I$18&lt;&gt;""),Bracket!$H$18,"")</f>
      </c>
      <c r="U205" s="5" t="str">
        <f ca="1">Scorebook!$B$551</f>
      </c>
      <c r="V205" s="4"/>
      <c r="W205" s="5">
        <f ca="1">Scorebook!M551</f>
      </c>
      <c r="X205" s="5">
        <f ca="1">Scorebook!N551</f>
      </c>
      <c r="Y205" s="5">
        <f ca="1">Scorebook!O551</f>
      </c>
      <c r="Z205" s="5">
        <f ca="1">Scorebook!P551</f>
      </c>
      <c r="AA205" s="5">
        <f ca="1">Scorebook!Q551</f>
      </c>
      <c r="AB205" s="5">
        <f ca="1">Scorebook!R551</f>
      </c>
      <c r="AC205" s="5">
        <f ca="1">Scorebook!S551</f>
      </c>
      <c r="AD205" s="5">
        <f ca="1">Scorebook!T551</f>
      </c>
      <c r="AE205" s="5">
        <f ca="1">Scorebook!U551</f>
      </c>
      <c r="AF205" s="5">
        <f ca="1">Scorebook!V551</f>
      </c>
      <c r="AG205" s="5">
        <f ca="1">Scorebook!W551</f>
      </c>
      <c r="AH205" s="5">
        <f ca="1">Scorebook!X551</f>
      </c>
      <c r="AI205" s="5">
        <f>Settings!$B$2</f>
        <v>1</v>
      </c>
    </row>
    <row r="206" spans="19:35">
      <c r="S206" s="4" t="str">
        <f ca="1">IF(AND(Bracket!$H$18&lt;&gt;"",Bracket!$I$18&lt;&gt;""),"G12","")</f>
      </c>
      <c r="T206" s="5" t="str">
        <f ca="1">IF(AND(Bracket!$H$18&lt;&gt;"",Bracket!$I$18&lt;&gt;""),Bracket!$H$18,"")</f>
      </c>
      <c r="U206" s="5" t="str">
        <f ca="1">Scorebook!$B$552</f>
      </c>
      <c r="V206" s="4"/>
      <c r="W206" s="5">
        <f ca="1">Scorebook!M552</f>
      </c>
      <c r="X206" s="5">
        <f ca="1">Scorebook!N552</f>
      </c>
      <c r="Y206" s="5">
        <f ca="1">Scorebook!O552</f>
      </c>
      <c r="Z206" s="5">
        <f ca="1">Scorebook!P552</f>
      </c>
      <c r="AA206" s="5">
        <f ca="1">Scorebook!Q552</f>
      </c>
      <c r="AB206" s="5">
        <f ca="1">Scorebook!R552</f>
      </c>
      <c r="AC206" s="5">
        <f ca="1">Scorebook!S552</f>
      </c>
      <c r="AD206" s="5">
        <f ca="1">Scorebook!T552</f>
      </c>
      <c r="AE206" s="5">
        <f ca="1">Scorebook!U552</f>
      </c>
      <c r="AF206" s="5">
        <f ca="1">Scorebook!V552</f>
      </c>
      <c r="AG206" s="5">
        <f ca="1">Scorebook!W552</f>
      </c>
      <c r="AH206" s="5">
        <f ca="1">Scorebook!X552</f>
      </c>
      <c r="AI206" s="5">
        <f>Settings!$B$2</f>
        <v>1</v>
      </c>
    </row>
    <row r="207" spans="19:35">
      <c r="S207" s="4" t="str">
        <f ca="1">IF(AND(Bracket!$H$18&lt;&gt;"",Bracket!$I$18&lt;&gt;""),"G12","")</f>
      </c>
      <c r="T207" s="5" t="str">
        <f ca="1">IF(AND(Bracket!$H$18&lt;&gt;"",Bracket!$I$18&lt;&gt;""),Bracket!$H$18,"")</f>
      </c>
      <c r="U207" s="5" t="str">
        <f ca="1">Scorebook!$B$553</f>
      </c>
      <c r="V207" s="4"/>
      <c r="W207" s="5">
        <f ca="1">Scorebook!M553</f>
      </c>
      <c r="X207" s="5">
        <f ca="1">Scorebook!N553</f>
      </c>
      <c r="Y207" s="5">
        <f ca="1">Scorebook!O553</f>
      </c>
      <c r="Z207" s="5">
        <f ca="1">Scorebook!P553</f>
      </c>
      <c r="AA207" s="5">
        <f ca="1">Scorebook!Q553</f>
      </c>
      <c r="AB207" s="5">
        <f ca="1">Scorebook!R553</f>
      </c>
      <c r="AC207" s="5">
        <f ca="1">Scorebook!S553</f>
      </c>
      <c r="AD207" s="5">
        <f ca="1">Scorebook!T553</f>
      </c>
      <c r="AE207" s="5">
        <f ca="1">Scorebook!U553</f>
      </c>
      <c r="AF207" s="5">
        <f ca="1">Scorebook!V553</f>
      </c>
      <c r="AG207" s="5">
        <f ca="1">Scorebook!W553</f>
      </c>
      <c r="AH207" s="5">
        <f ca="1">Scorebook!X553</f>
      </c>
      <c r="AI207" s="5">
        <f>Settings!$B$2</f>
        <v>1</v>
      </c>
    </row>
    <row r="208" spans="19:35">
      <c r="S208" s="4" t="str">
        <f ca="1">IF(AND(Bracket!$H$18&lt;&gt;"",Bracket!$I$18&lt;&gt;""),"G12","")</f>
      </c>
      <c r="T208" s="5" t="str">
        <f ca="1">IF(AND(Bracket!$H$18&lt;&gt;"",Bracket!$I$18&lt;&gt;""),Bracket!$H$18,"")</f>
      </c>
      <c r="U208" s="5" t="str">
        <f ca="1">Scorebook!$B$554</f>
      </c>
      <c r="V208" s="4"/>
      <c r="W208" s="5">
        <f ca="1">Scorebook!M554</f>
      </c>
      <c r="X208" s="5">
        <f ca="1">Scorebook!N554</f>
      </c>
      <c r="Y208" s="5">
        <f ca="1">Scorebook!O554</f>
      </c>
      <c r="Z208" s="5">
        <f ca="1">Scorebook!P554</f>
      </c>
      <c r="AA208" s="5">
        <f ca="1">Scorebook!Q554</f>
      </c>
      <c r="AB208" s="5">
        <f ca="1">Scorebook!R554</f>
      </c>
      <c r="AC208" s="5">
        <f ca="1">Scorebook!S554</f>
      </c>
      <c r="AD208" s="5">
        <f ca="1">Scorebook!T554</f>
      </c>
      <c r="AE208" s="5">
        <f ca="1">Scorebook!U554</f>
      </c>
      <c r="AF208" s="5">
        <f ca="1">Scorebook!V554</f>
      </c>
      <c r="AG208" s="5">
        <f ca="1">Scorebook!W554</f>
      </c>
      <c r="AH208" s="5">
        <f ca="1">Scorebook!X554</f>
      </c>
      <c r="AI208" s="5">
        <f>Settings!$B$2</f>
        <v>1</v>
      </c>
    </row>
    <row r="209" spans="19:35">
      <c r="S209" s="4" t="str">
        <f ca="1">IF(AND(Bracket!$H$18&lt;&gt;"",Bracket!$I$18&lt;&gt;""),"G12","")</f>
      </c>
      <c r="T209" s="5" t="str">
        <f ca="1">IF(AND(Bracket!$H$18&lt;&gt;"",Bracket!$I$18&lt;&gt;""),Bracket!$H$18,"")</f>
      </c>
      <c r="U209" s="5" t="str">
        <f ca="1">Scorebook!$B$555</f>
      </c>
      <c r="V209" s="4"/>
      <c r="W209" s="5">
        <f ca="1">Scorebook!M555</f>
      </c>
      <c r="X209" s="5">
        <f ca="1">Scorebook!N555</f>
      </c>
      <c r="Y209" s="5">
        <f ca="1">Scorebook!O555</f>
      </c>
      <c r="Z209" s="5">
        <f ca="1">Scorebook!P555</f>
      </c>
      <c r="AA209" s="5">
        <f ca="1">Scorebook!Q555</f>
      </c>
      <c r="AB209" s="5">
        <f ca="1">Scorebook!R555</f>
      </c>
      <c r="AC209" s="5">
        <f ca="1">Scorebook!S555</f>
      </c>
      <c r="AD209" s="5">
        <f ca="1">Scorebook!T555</f>
      </c>
      <c r="AE209" s="5">
        <f ca="1">Scorebook!U555</f>
      </c>
      <c r="AF209" s="5">
        <f ca="1">Scorebook!V555</f>
      </c>
      <c r="AG209" s="5">
        <f ca="1">Scorebook!W555</f>
      </c>
      <c r="AH209" s="5">
        <f ca="1">Scorebook!X555</f>
      </c>
      <c r="AI209" s="5">
        <f>Settings!$B$2</f>
        <v>1</v>
      </c>
    </row>
    <row r="210" spans="19:35">
      <c r="S210" s="4" t="str">
        <f ca="1">IF(AND(Bracket!$H$18&lt;&gt;"",Bracket!$I$18&lt;&gt;""),"G12","")</f>
      </c>
      <c r="T210" s="5" t="str">
        <f ca="1">IF(AND(Bracket!$H$18&lt;&gt;"",Bracket!$I$18&lt;&gt;""),Bracket!$H$18,"")</f>
      </c>
      <c r="U210" s="5" t="str">
        <f ca="1">Scorebook!$B$556</f>
      </c>
      <c r="V210" s="4"/>
      <c r="W210" s="5">
        <f ca="1">Scorebook!M556</f>
      </c>
      <c r="X210" s="5">
        <f ca="1">Scorebook!N556</f>
      </c>
      <c r="Y210" s="5">
        <f ca="1">Scorebook!O556</f>
      </c>
      <c r="Z210" s="5">
        <f ca="1">Scorebook!P556</f>
      </c>
      <c r="AA210" s="5">
        <f ca="1">Scorebook!Q556</f>
      </c>
      <c r="AB210" s="5">
        <f ca="1">Scorebook!R556</f>
      </c>
      <c r="AC210" s="5">
        <f ca="1">Scorebook!S556</f>
      </c>
      <c r="AD210" s="5">
        <f ca="1">Scorebook!T556</f>
      </c>
      <c r="AE210" s="5">
        <f ca="1">Scorebook!U556</f>
      </c>
      <c r="AF210" s="5">
        <f ca="1">Scorebook!V556</f>
      </c>
      <c r="AG210" s="5">
        <f ca="1">Scorebook!W556</f>
      </c>
      <c r="AH210" s="5">
        <f ca="1">Scorebook!X556</f>
      </c>
      <c r="AI210" s="5">
        <f>Settings!$B$2</f>
        <v>1</v>
      </c>
    </row>
    <row r="211" spans="19:35">
      <c r="S211" s="4" t="str">
        <f ca="1">IF(AND(Bracket!$H$18&lt;&gt;"",Bracket!$I$18&lt;&gt;""),"G12","")</f>
      </c>
      <c r="T211" s="5" t="str">
        <f ca="1">IF(AND(Bracket!$H$18&lt;&gt;"",Bracket!$I$18&lt;&gt;""),Bracket!$I$18,"")</f>
      </c>
      <c r="U211" s="5" t="str">
        <f ca="1">Scorebook!$B$569</f>
      </c>
      <c r="V211" s="4"/>
      <c r="W211" s="5">
        <f ca="1">Scorebook!M569</f>
      </c>
      <c r="X211" s="5">
        <f ca="1">Scorebook!N569</f>
      </c>
      <c r="Y211" s="5">
        <f ca="1">Scorebook!O569</f>
      </c>
      <c r="Z211" s="5">
        <f ca="1">Scorebook!P569</f>
      </c>
      <c r="AA211" s="5">
        <f ca="1">Scorebook!Q569</f>
      </c>
      <c r="AB211" s="5">
        <f ca="1">Scorebook!R569</f>
      </c>
      <c r="AC211" s="5">
        <f ca="1">Scorebook!S569</f>
      </c>
      <c r="AD211" s="5">
        <f ca="1">Scorebook!T569</f>
      </c>
      <c r="AE211" s="5">
        <f ca="1">Scorebook!U569</f>
      </c>
      <c r="AF211" s="5">
        <f ca="1">Scorebook!V569</f>
      </c>
      <c r="AG211" s="5">
        <f ca="1">Scorebook!W569</f>
      </c>
      <c r="AH211" s="5">
        <f ca="1">Scorebook!X569</f>
      </c>
      <c r="AI211" s="5">
        <f>Settings!$B$2</f>
        <v>1</v>
      </c>
    </row>
    <row r="212" spans="19:35">
      <c r="S212" s="4" t="str">
        <f ca="1">IF(AND(Bracket!$H$18&lt;&gt;"",Bracket!$I$18&lt;&gt;""),"G12","")</f>
      </c>
      <c r="T212" s="5" t="str">
        <f ca="1">IF(AND(Bracket!$H$18&lt;&gt;"",Bracket!$I$18&lt;&gt;""),Bracket!$I$18,"")</f>
      </c>
      <c r="U212" s="5" t="str">
        <f ca="1">Scorebook!$B$570</f>
      </c>
      <c r="V212" s="4"/>
      <c r="W212" s="5">
        <f ca="1">Scorebook!M570</f>
      </c>
      <c r="X212" s="5">
        <f ca="1">Scorebook!N570</f>
      </c>
      <c r="Y212" s="5">
        <f ca="1">Scorebook!O570</f>
      </c>
      <c r="Z212" s="5">
        <f ca="1">Scorebook!P570</f>
      </c>
      <c r="AA212" s="5">
        <f ca="1">Scorebook!Q570</f>
      </c>
      <c r="AB212" s="5">
        <f ca="1">Scorebook!R570</f>
      </c>
      <c r="AC212" s="5">
        <f ca="1">Scorebook!S570</f>
      </c>
      <c r="AD212" s="5">
        <f ca="1">Scorebook!T570</f>
      </c>
      <c r="AE212" s="5">
        <f ca="1">Scorebook!U570</f>
      </c>
      <c r="AF212" s="5">
        <f ca="1">Scorebook!V570</f>
      </c>
      <c r="AG212" s="5">
        <f ca="1">Scorebook!W570</f>
      </c>
      <c r="AH212" s="5">
        <f ca="1">Scorebook!X570</f>
      </c>
      <c r="AI212" s="5">
        <f>Settings!$B$2</f>
        <v>1</v>
      </c>
    </row>
    <row r="213" spans="19:35">
      <c r="S213" s="4" t="str">
        <f ca="1">IF(AND(Bracket!$H$18&lt;&gt;"",Bracket!$I$18&lt;&gt;""),"G12","")</f>
      </c>
      <c r="T213" s="5" t="str">
        <f ca="1">IF(AND(Bracket!$H$18&lt;&gt;"",Bracket!$I$18&lt;&gt;""),Bracket!$I$18,"")</f>
      </c>
      <c r="U213" s="5" t="str">
        <f ca="1">Scorebook!$B$571</f>
      </c>
      <c r="V213" s="4"/>
      <c r="W213" s="5">
        <f ca="1">Scorebook!M571</f>
      </c>
      <c r="X213" s="5">
        <f ca="1">Scorebook!N571</f>
      </c>
      <c r="Y213" s="5">
        <f ca="1">Scorebook!O571</f>
      </c>
      <c r="Z213" s="5">
        <f ca="1">Scorebook!P571</f>
      </c>
      <c r="AA213" s="5">
        <f ca="1">Scorebook!Q571</f>
      </c>
      <c r="AB213" s="5">
        <f ca="1">Scorebook!R571</f>
      </c>
      <c r="AC213" s="5">
        <f ca="1">Scorebook!S571</f>
      </c>
      <c r="AD213" s="5">
        <f ca="1">Scorebook!T571</f>
      </c>
      <c r="AE213" s="5">
        <f ca="1">Scorebook!U571</f>
      </c>
      <c r="AF213" s="5">
        <f ca="1">Scorebook!V571</f>
      </c>
      <c r="AG213" s="5">
        <f ca="1">Scorebook!W571</f>
      </c>
      <c r="AH213" s="5">
        <f ca="1">Scorebook!X571</f>
      </c>
      <c r="AI213" s="5">
        <f>Settings!$B$2</f>
        <v>1</v>
      </c>
    </row>
    <row r="214" spans="19:35">
      <c r="S214" s="4" t="str">
        <f ca="1">IF(AND(Bracket!$H$18&lt;&gt;"",Bracket!$I$18&lt;&gt;""),"G12","")</f>
      </c>
      <c r="T214" s="5" t="str">
        <f ca="1">IF(AND(Bracket!$H$18&lt;&gt;"",Bracket!$I$18&lt;&gt;""),Bracket!$I$18,"")</f>
      </c>
      <c r="U214" s="5" t="str">
        <f ca="1">Scorebook!$B$572</f>
      </c>
      <c r="V214" s="4"/>
      <c r="W214" s="5">
        <f ca="1">Scorebook!M572</f>
      </c>
      <c r="X214" s="5">
        <f ca="1">Scorebook!N572</f>
      </c>
      <c r="Y214" s="5">
        <f ca="1">Scorebook!O572</f>
      </c>
      <c r="Z214" s="5">
        <f ca="1">Scorebook!P572</f>
      </c>
      <c r="AA214" s="5">
        <f ca="1">Scorebook!Q572</f>
      </c>
      <c r="AB214" s="5">
        <f ca="1">Scorebook!R572</f>
      </c>
      <c r="AC214" s="5">
        <f ca="1">Scorebook!S572</f>
      </c>
      <c r="AD214" s="5">
        <f ca="1">Scorebook!T572</f>
      </c>
      <c r="AE214" s="5">
        <f ca="1">Scorebook!U572</f>
      </c>
      <c r="AF214" s="5">
        <f ca="1">Scorebook!V572</f>
      </c>
      <c r="AG214" s="5">
        <f ca="1">Scorebook!W572</f>
      </c>
      <c r="AH214" s="5">
        <f ca="1">Scorebook!X572</f>
      </c>
      <c r="AI214" s="5">
        <f>Settings!$B$2</f>
        <v>1</v>
      </c>
    </row>
    <row r="215" spans="19:35">
      <c r="S215" s="4" t="str">
        <f ca="1">IF(AND(Bracket!$H$18&lt;&gt;"",Bracket!$I$18&lt;&gt;""),"G12","")</f>
      </c>
      <c r="T215" s="5" t="str">
        <f ca="1">IF(AND(Bracket!$H$18&lt;&gt;"",Bracket!$I$18&lt;&gt;""),Bracket!$I$18,"")</f>
      </c>
      <c r="U215" s="5" t="str">
        <f ca="1">Scorebook!$B$573</f>
      </c>
      <c r="V215" s="4"/>
      <c r="W215" s="5">
        <f ca="1">Scorebook!M573</f>
      </c>
      <c r="X215" s="5">
        <f ca="1">Scorebook!N573</f>
      </c>
      <c r="Y215" s="5">
        <f ca="1">Scorebook!O573</f>
      </c>
      <c r="Z215" s="5">
        <f ca="1">Scorebook!P573</f>
      </c>
      <c r="AA215" s="5">
        <f ca="1">Scorebook!Q573</f>
      </c>
      <c r="AB215" s="5">
        <f ca="1">Scorebook!R573</f>
      </c>
      <c r="AC215" s="5">
        <f ca="1">Scorebook!S573</f>
      </c>
      <c r="AD215" s="5">
        <f ca="1">Scorebook!T573</f>
      </c>
      <c r="AE215" s="5">
        <f ca="1">Scorebook!U573</f>
      </c>
      <c r="AF215" s="5">
        <f ca="1">Scorebook!V573</f>
      </c>
      <c r="AG215" s="5">
        <f ca="1">Scorebook!W573</f>
      </c>
      <c r="AH215" s="5">
        <f ca="1">Scorebook!X573</f>
      </c>
      <c r="AI215" s="5">
        <f>Settings!$B$2</f>
        <v>1</v>
      </c>
    </row>
    <row r="216" spans="19:35">
      <c r="S216" s="4" t="str">
        <f ca="1">IF(AND(Bracket!$H$18&lt;&gt;"",Bracket!$I$18&lt;&gt;""),"G12","")</f>
      </c>
      <c r="T216" s="5" t="str">
        <f ca="1">IF(AND(Bracket!$H$18&lt;&gt;"",Bracket!$I$18&lt;&gt;""),Bracket!$I$18,"")</f>
      </c>
      <c r="U216" s="5" t="str">
        <f ca="1">Scorebook!$B$574</f>
      </c>
      <c r="V216" s="4"/>
      <c r="W216" s="5">
        <f ca="1">Scorebook!M574</f>
      </c>
      <c r="X216" s="5">
        <f ca="1">Scorebook!N574</f>
      </c>
      <c r="Y216" s="5">
        <f ca="1">Scorebook!O574</f>
      </c>
      <c r="Z216" s="5">
        <f ca="1">Scorebook!P574</f>
      </c>
      <c r="AA216" s="5">
        <f ca="1">Scorebook!Q574</f>
      </c>
      <c r="AB216" s="5">
        <f ca="1">Scorebook!R574</f>
      </c>
      <c r="AC216" s="5">
        <f ca="1">Scorebook!S574</f>
      </c>
      <c r="AD216" s="5">
        <f ca="1">Scorebook!T574</f>
      </c>
      <c r="AE216" s="5">
        <f ca="1">Scorebook!U574</f>
      </c>
      <c r="AF216" s="5">
        <f ca="1">Scorebook!V574</f>
      </c>
      <c r="AG216" s="5">
        <f ca="1">Scorebook!W574</f>
      </c>
      <c r="AH216" s="5">
        <f ca="1">Scorebook!X574</f>
      </c>
      <c r="AI216" s="5">
        <f>Settings!$B$2</f>
        <v>1</v>
      </c>
    </row>
    <row r="217" spans="19:35">
      <c r="S217" s="4" t="str">
        <f ca="1">IF(AND(Bracket!$H$18&lt;&gt;"",Bracket!$I$18&lt;&gt;""),"G12","")</f>
      </c>
      <c r="T217" s="5" t="str">
        <f ca="1">IF(AND(Bracket!$H$18&lt;&gt;"",Bracket!$I$18&lt;&gt;""),Bracket!$I$18,"")</f>
      </c>
      <c r="U217" s="5" t="str">
        <f ca="1">Scorebook!$B$575</f>
      </c>
      <c r="V217" s="4"/>
      <c r="W217" s="5">
        <f ca="1">Scorebook!M575</f>
      </c>
      <c r="X217" s="5">
        <f ca="1">Scorebook!N575</f>
      </c>
      <c r="Y217" s="5">
        <f ca="1">Scorebook!O575</f>
      </c>
      <c r="Z217" s="5">
        <f ca="1">Scorebook!P575</f>
      </c>
      <c r="AA217" s="5">
        <f ca="1">Scorebook!Q575</f>
      </c>
      <c r="AB217" s="5">
        <f ca="1">Scorebook!R575</f>
      </c>
      <c r="AC217" s="5">
        <f ca="1">Scorebook!S575</f>
      </c>
      <c r="AD217" s="5">
        <f ca="1">Scorebook!T575</f>
      </c>
      <c r="AE217" s="5">
        <f ca="1">Scorebook!U575</f>
      </c>
      <c r="AF217" s="5">
        <f ca="1">Scorebook!V575</f>
      </c>
      <c r="AG217" s="5">
        <f ca="1">Scorebook!W575</f>
      </c>
      <c r="AH217" s="5">
        <f ca="1">Scorebook!X575</f>
      </c>
      <c r="AI217" s="5">
        <f>Settings!$B$2</f>
        <v>1</v>
      </c>
    </row>
    <row r="218" spans="19:35">
      <c r="S218" s="4" t="str">
        <f ca="1">IF(AND(Bracket!$H$18&lt;&gt;"",Bracket!$I$18&lt;&gt;""),"G12","")</f>
      </c>
      <c r="T218" s="5" t="str">
        <f ca="1">IF(AND(Bracket!$H$18&lt;&gt;"",Bracket!$I$18&lt;&gt;""),Bracket!$I$18,"")</f>
      </c>
      <c r="U218" s="5" t="str">
        <f ca="1">Scorebook!$B$576</f>
      </c>
      <c r="V218" s="4"/>
      <c r="W218" s="5">
        <f ca="1">Scorebook!M576</f>
      </c>
      <c r="X218" s="5">
        <f ca="1">Scorebook!N576</f>
      </c>
      <c r="Y218" s="5">
        <f ca="1">Scorebook!O576</f>
      </c>
      <c r="Z218" s="5">
        <f ca="1">Scorebook!P576</f>
      </c>
      <c r="AA218" s="5">
        <f ca="1">Scorebook!Q576</f>
      </c>
      <c r="AB218" s="5">
        <f ca="1">Scorebook!R576</f>
      </c>
      <c r="AC218" s="5">
        <f ca="1">Scorebook!S576</f>
      </c>
      <c r="AD218" s="5">
        <f ca="1">Scorebook!T576</f>
      </c>
      <c r="AE218" s="5">
        <f ca="1">Scorebook!U576</f>
      </c>
      <c r="AF218" s="5">
        <f ca="1">Scorebook!V576</f>
      </c>
      <c r="AG218" s="5">
        <f ca="1">Scorebook!W576</f>
      </c>
      <c r="AH218" s="5">
        <f ca="1">Scorebook!X576</f>
      </c>
      <c r="AI218" s="5">
        <f>Settings!$B$2</f>
        <v>1</v>
      </c>
    </row>
    <row r="219" spans="19:35">
      <c r="S219" s="4" t="str">
        <f ca="1">IF(AND(Bracket!$H$18&lt;&gt;"",Bracket!$I$18&lt;&gt;""),"G12","")</f>
      </c>
      <c r="T219" s="5" t="str">
        <f ca="1">IF(AND(Bracket!$H$18&lt;&gt;"",Bracket!$I$18&lt;&gt;""),Bracket!$I$18,"")</f>
      </c>
      <c r="U219" s="5" t="str">
        <f ca="1">Scorebook!$B$577</f>
      </c>
      <c r="V219" s="4"/>
      <c r="W219" s="5">
        <f ca="1">Scorebook!M577</f>
      </c>
      <c r="X219" s="5">
        <f ca="1">Scorebook!N577</f>
      </c>
      <c r="Y219" s="5">
        <f ca="1">Scorebook!O577</f>
      </c>
      <c r="Z219" s="5">
        <f ca="1">Scorebook!P577</f>
      </c>
      <c r="AA219" s="5">
        <f ca="1">Scorebook!Q577</f>
      </c>
      <c r="AB219" s="5">
        <f ca="1">Scorebook!R577</f>
      </c>
      <c r="AC219" s="5">
        <f ca="1">Scorebook!S577</f>
      </c>
      <c r="AD219" s="5">
        <f ca="1">Scorebook!T577</f>
      </c>
      <c r="AE219" s="5">
        <f ca="1">Scorebook!U577</f>
      </c>
      <c r="AF219" s="5">
        <f ca="1">Scorebook!V577</f>
      </c>
      <c r="AG219" s="5">
        <f ca="1">Scorebook!W577</f>
      </c>
      <c r="AH219" s="5">
        <f ca="1">Scorebook!X577</f>
      </c>
      <c r="AI219" s="5">
        <f>Settings!$B$2</f>
        <v>1</v>
      </c>
    </row>
    <row r="220" spans="19:35">
      <c r="S220" s="4" t="str">
        <f ca="1">IF(AND(Bracket!$H$19&lt;&gt;"",Bracket!$I$19&lt;&gt;""),"G13","")</f>
      </c>
      <c r="T220" s="5" t="str">
        <f ca="1">IF(AND(Bracket!$H$19&lt;&gt;"",Bracket!$I$19&lt;&gt;""),Bracket!$H$19,"")</f>
      </c>
      <c r="U220" s="5" t="str">
        <f ca="1">Scorebook!$B$597</f>
      </c>
      <c r="V220" s="4"/>
      <c r="W220" s="5">
        <f ca="1">Scorebook!M597</f>
      </c>
      <c r="X220" s="5">
        <f ca="1">Scorebook!N597</f>
      </c>
      <c r="Y220" s="5">
        <f ca="1">Scorebook!O597</f>
      </c>
      <c r="Z220" s="5">
        <f ca="1">Scorebook!P597</f>
      </c>
      <c r="AA220" s="5">
        <f ca="1">Scorebook!Q597</f>
      </c>
      <c r="AB220" s="5">
        <f ca="1">Scorebook!R597</f>
      </c>
      <c r="AC220" s="5">
        <f ca="1">Scorebook!S597</f>
      </c>
      <c r="AD220" s="5">
        <f ca="1">Scorebook!T597</f>
      </c>
      <c r="AE220" s="5">
        <f ca="1">Scorebook!U597</f>
      </c>
      <c r="AF220" s="5">
        <f ca="1">Scorebook!V597</f>
      </c>
      <c r="AG220" s="5">
        <f ca="1">Scorebook!W597</f>
      </c>
      <c r="AH220" s="5">
        <f ca="1">Scorebook!X597</f>
      </c>
      <c r="AI220" s="5">
        <f>Settings!$B$2</f>
        <v>1</v>
      </c>
    </row>
    <row r="221" spans="19:35">
      <c r="S221" s="4" t="str">
        <f ca="1">IF(AND(Bracket!$H$19&lt;&gt;"",Bracket!$I$19&lt;&gt;""),"G13","")</f>
      </c>
      <c r="T221" s="5" t="str">
        <f ca="1">IF(AND(Bracket!$H$19&lt;&gt;"",Bracket!$I$19&lt;&gt;""),Bracket!$H$19,"")</f>
      </c>
      <c r="U221" s="5" t="str">
        <f ca="1">Scorebook!$B$598</f>
      </c>
      <c r="V221" s="4"/>
      <c r="W221" s="5">
        <f ca="1">Scorebook!M598</f>
      </c>
      <c r="X221" s="5">
        <f ca="1">Scorebook!N598</f>
      </c>
      <c r="Y221" s="5">
        <f ca="1">Scorebook!O598</f>
      </c>
      <c r="Z221" s="5">
        <f ca="1">Scorebook!P598</f>
      </c>
      <c r="AA221" s="5">
        <f ca="1">Scorebook!Q598</f>
      </c>
      <c r="AB221" s="5">
        <f ca="1">Scorebook!R598</f>
      </c>
      <c r="AC221" s="5">
        <f ca="1">Scorebook!S598</f>
      </c>
      <c r="AD221" s="5">
        <f ca="1">Scorebook!T598</f>
      </c>
      <c r="AE221" s="5">
        <f ca="1">Scorebook!U598</f>
      </c>
      <c r="AF221" s="5">
        <f ca="1">Scorebook!V598</f>
      </c>
      <c r="AG221" s="5">
        <f ca="1">Scorebook!W598</f>
      </c>
      <c r="AH221" s="5">
        <f ca="1">Scorebook!X598</f>
      </c>
      <c r="AI221" s="5">
        <f>Settings!$B$2</f>
        <v>1</v>
      </c>
    </row>
    <row r="222" spans="19:35">
      <c r="S222" s="4" t="str">
        <f ca="1">IF(AND(Bracket!$H$19&lt;&gt;"",Bracket!$I$19&lt;&gt;""),"G13","")</f>
      </c>
      <c r="T222" s="5" t="str">
        <f ca="1">IF(AND(Bracket!$H$19&lt;&gt;"",Bracket!$I$19&lt;&gt;""),Bracket!$H$19,"")</f>
      </c>
      <c r="U222" s="5" t="str">
        <f ca="1">Scorebook!$B$599</f>
      </c>
      <c r="V222" s="4"/>
      <c r="W222" s="5">
        <f ca="1">Scorebook!M599</f>
      </c>
      <c r="X222" s="5">
        <f ca="1">Scorebook!N599</f>
      </c>
      <c r="Y222" s="5">
        <f ca="1">Scorebook!O599</f>
      </c>
      <c r="Z222" s="5">
        <f ca="1">Scorebook!P599</f>
      </c>
      <c r="AA222" s="5">
        <f ca="1">Scorebook!Q599</f>
      </c>
      <c r="AB222" s="5">
        <f ca="1">Scorebook!R599</f>
      </c>
      <c r="AC222" s="5">
        <f ca="1">Scorebook!S599</f>
      </c>
      <c r="AD222" s="5">
        <f ca="1">Scorebook!T599</f>
      </c>
      <c r="AE222" s="5">
        <f ca="1">Scorebook!U599</f>
      </c>
      <c r="AF222" s="5">
        <f ca="1">Scorebook!V599</f>
      </c>
      <c r="AG222" s="5">
        <f ca="1">Scorebook!W599</f>
      </c>
      <c r="AH222" s="5">
        <f ca="1">Scorebook!X599</f>
      </c>
      <c r="AI222" s="5">
        <f>Settings!$B$2</f>
        <v>1</v>
      </c>
    </row>
    <row r="223" spans="19:35">
      <c r="S223" s="4" t="str">
        <f ca="1">IF(AND(Bracket!$H$19&lt;&gt;"",Bracket!$I$19&lt;&gt;""),"G13","")</f>
      </c>
      <c r="T223" s="5" t="str">
        <f ca="1">IF(AND(Bracket!$H$19&lt;&gt;"",Bracket!$I$19&lt;&gt;""),Bracket!$H$19,"")</f>
      </c>
      <c r="U223" s="5" t="str">
        <f ca="1">Scorebook!$B$600</f>
      </c>
      <c r="V223" s="4"/>
      <c r="W223" s="5">
        <f ca="1">Scorebook!M600</f>
      </c>
      <c r="X223" s="5">
        <f ca="1">Scorebook!N600</f>
      </c>
      <c r="Y223" s="5">
        <f ca="1">Scorebook!O600</f>
      </c>
      <c r="Z223" s="5">
        <f ca="1">Scorebook!P600</f>
      </c>
      <c r="AA223" s="5">
        <f ca="1">Scorebook!Q600</f>
      </c>
      <c r="AB223" s="5">
        <f ca="1">Scorebook!R600</f>
      </c>
      <c r="AC223" s="5">
        <f ca="1">Scorebook!S600</f>
      </c>
      <c r="AD223" s="5">
        <f ca="1">Scorebook!T600</f>
      </c>
      <c r="AE223" s="5">
        <f ca="1">Scorebook!U600</f>
      </c>
      <c r="AF223" s="5">
        <f ca="1">Scorebook!V600</f>
      </c>
      <c r="AG223" s="5">
        <f ca="1">Scorebook!W600</f>
      </c>
      <c r="AH223" s="5">
        <f ca="1">Scorebook!X600</f>
      </c>
      <c r="AI223" s="5">
        <f>Settings!$B$2</f>
        <v>1</v>
      </c>
    </row>
    <row r="224" spans="19:35">
      <c r="S224" s="4" t="str">
        <f ca="1">IF(AND(Bracket!$H$19&lt;&gt;"",Bracket!$I$19&lt;&gt;""),"G13","")</f>
      </c>
      <c r="T224" s="5" t="str">
        <f ca="1">IF(AND(Bracket!$H$19&lt;&gt;"",Bracket!$I$19&lt;&gt;""),Bracket!$H$19,"")</f>
      </c>
      <c r="U224" s="5" t="str">
        <f ca="1">Scorebook!$B$601</f>
      </c>
      <c r="V224" s="4"/>
      <c r="W224" s="5">
        <f ca="1">Scorebook!M601</f>
      </c>
      <c r="X224" s="5">
        <f ca="1">Scorebook!N601</f>
      </c>
      <c r="Y224" s="5">
        <f ca="1">Scorebook!O601</f>
      </c>
      <c r="Z224" s="5">
        <f ca="1">Scorebook!P601</f>
      </c>
      <c r="AA224" s="5">
        <f ca="1">Scorebook!Q601</f>
      </c>
      <c r="AB224" s="5">
        <f ca="1">Scorebook!R601</f>
      </c>
      <c r="AC224" s="5">
        <f ca="1">Scorebook!S601</f>
      </c>
      <c r="AD224" s="5">
        <f ca="1">Scorebook!T601</f>
      </c>
      <c r="AE224" s="5">
        <f ca="1">Scorebook!U601</f>
      </c>
      <c r="AF224" s="5">
        <f ca="1">Scorebook!V601</f>
      </c>
      <c r="AG224" s="5">
        <f ca="1">Scorebook!W601</f>
      </c>
      <c r="AH224" s="5">
        <f ca="1">Scorebook!X601</f>
      </c>
      <c r="AI224" s="5">
        <f>Settings!$B$2</f>
        <v>1</v>
      </c>
    </row>
    <row r="225" spans="19:35">
      <c r="S225" s="4" t="str">
        <f ca="1">IF(AND(Bracket!$H$19&lt;&gt;"",Bracket!$I$19&lt;&gt;""),"G13","")</f>
      </c>
      <c r="T225" s="5" t="str">
        <f ca="1">IF(AND(Bracket!$H$19&lt;&gt;"",Bracket!$I$19&lt;&gt;""),Bracket!$H$19,"")</f>
      </c>
      <c r="U225" s="5" t="str">
        <f ca="1">Scorebook!$B$602</f>
      </c>
      <c r="V225" s="4"/>
      <c r="W225" s="5">
        <f ca="1">Scorebook!M602</f>
      </c>
      <c r="X225" s="5">
        <f ca="1">Scorebook!N602</f>
      </c>
      <c r="Y225" s="5">
        <f ca="1">Scorebook!O602</f>
      </c>
      <c r="Z225" s="5">
        <f ca="1">Scorebook!P602</f>
      </c>
      <c r="AA225" s="5">
        <f ca="1">Scorebook!Q602</f>
      </c>
      <c r="AB225" s="5">
        <f ca="1">Scorebook!R602</f>
      </c>
      <c r="AC225" s="5">
        <f ca="1">Scorebook!S602</f>
      </c>
      <c r="AD225" s="5">
        <f ca="1">Scorebook!T602</f>
      </c>
      <c r="AE225" s="5">
        <f ca="1">Scorebook!U602</f>
      </c>
      <c r="AF225" s="5">
        <f ca="1">Scorebook!V602</f>
      </c>
      <c r="AG225" s="5">
        <f ca="1">Scorebook!W602</f>
      </c>
      <c r="AH225" s="5">
        <f ca="1">Scorebook!X602</f>
      </c>
      <c r="AI225" s="5">
        <f>Settings!$B$2</f>
        <v>1</v>
      </c>
    </row>
    <row r="226" spans="19:35">
      <c r="S226" s="4" t="str">
        <f ca="1">IF(AND(Bracket!$H$19&lt;&gt;"",Bracket!$I$19&lt;&gt;""),"G13","")</f>
      </c>
      <c r="T226" s="5" t="str">
        <f ca="1">IF(AND(Bracket!$H$19&lt;&gt;"",Bracket!$I$19&lt;&gt;""),Bracket!$H$19,"")</f>
      </c>
      <c r="U226" s="5" t="str">
        <f ca="1">Scorebook!$B$603</f>
      </c>
      <c r="V226" s="4"/>
      <c r="W226" s="5">
        <f ca="1">Scorebook!M603</f>
      </c>
      <c r="X226" s="5">
        <f ca="1">Scorebook!N603</f>
      </c>
      <c r="Y226" s="5">
        <f ca="1">Scorebook!O603</f>
      </c>
      <c r="Z226" s="5">
        <f ca="1">Scorebook!P603</f>
      </c>
      <c r="AA226" s="5">
        <f ca="1">Scorebook!Q603</f>
      </c>
      <c r="AB226" s="5">
        <f ca="1">Scorebook!R603</f>
      </c>
      <c r="AC226" s="5">
        <f ca="1">Scorebook!S603</f>
      </c>
      <c r="AD226" s="5">
        <f ca="1">Scorebook!T603</f>
      </c>
      <c r="AE226" s="5">
        <f ca="1">Scorebook!U603</f>
      </c>
      <c r="AF226" s="5">
        <f ca="1">Scorebook!V603</f>
      </c>
      <c r="AG226" s="5">
        <f ca="1">Scorebook!W603</f>
      </c>
      <c r="AH226" s="5">
        <f ca="1">Scorebook!X603</f>
      </c>
      <c r="AI226" s="5">
        <f>Settings!$B$2</f>
        <v>1</v>
      </c>
    </row>
    <row r="227" spans="19:35">
      <c r="S227" s="4" t="str">
        <f ca="1">IF(AND(Bracket!$H$19&lt;&gt;"",Bracket!$I$19&lt;&gt;""),"G13","")</f>
      </c>
      <c r="T227" s="5" t="str">
        <f ca="1">IF(AND(Bracket!$H$19&lt;&gt;"",Bracket!$I$19&lt;&gt;""),Bracket!$H$19,"")</f>
      </c>
      <c r="U227" s="5" t="str">
        <f ca="1">Scorebook!$B$604</f>
      </c>
      <c r="V227" s="4"/>
      <c r="W227" s="5">
        <f ca="1">Scorebook!M604</f>
      </c>
      <c r="X227" s="5">
        <f ca="1">Scorebook!N604</f>
      </c>
      <c r="Y227" s="5">
        <f ca="1">Scorebook!O604</f>
      </c>
      <c r="Z227" s="5">
        <f ca="1">Scorebook!P604</f>
      </c>
      <c r="AA227" s="5">
        <f ca="1">Scorebook!Q604</f>
      </c>
      <c r="AB227" s="5">
        <f ca="1">Scorebook!R604</f>
      </c>
      <c r="AC227" s="5">
        <f ca="1">Scorebook!S604</f>
      </c>
      <c r="AD227" s="5">
        <f ca="1">Scorebook!T604</f>
      </c>
      <c r="AE227" s="5">
        <f ca="1">Scorebook!U604</f>
      </c>
      <c r="AF227" s="5">
        <f ca="1">Scorebook!V604</f>
      </c>
      <c r="AG227" s="5">
        <f ca="1">Scorebook!W604</f>
      </c>
      <c r="AH227" s="5">
        <f ca="1">Scorebook!X604</f>
      </c>
      <c r="AI227" s="5">
        <f>Settings!$B$2</f>
        <v>1</v>
      </c>
    </row>
    <row r="228" spans="19:35">
      <c r="S228" s="4" t="str">
        <f ca="1">IF(AND(Bracket!$H$19&lt;&gt;"",Bracket!$I$19&lt;&gt;""),"G13","")</f>
      </c>
      <c r="T228" s="5" t="str">
        <f ca="1">IF(AND(Bracket!$H$19&lt;&gt;"",Bracket!$I$19&lt;&gt;""),Bracket!$H$19,"")</f>
      </c>
      <c r="U228" s="5" t="str">
        <f ca="1">Scorebook!$B$605</f>
      </c>
      <c r="V228" s="4"/>
      <c r="W228" s="5">
        <f ca="1">Scorebook!M605</f>
      </c>
      <c r="X228" s="5">
        <f ca="1">Scorebook!N605</f>
      </c>
      <c r="Y228" s="5">
        <f ca="1">Scorebook!O605</f>
      </c>
      <c r="Z228" s="5">
        <f ca="1">Scorebook!P605</f>
      </c>
      <c r="AA228" s="5">
        <f ca="1">Scorebook!Q605</f>
      </c>
      <c r="AB228" s="5">
        <f ca="1">Scorebook!R605</f>
      </c>
      <c r="AC228" s="5">
        <f ca="1">Scorebook!S605</f>
      </c>
      <c r="AD228" s="5">
        <f ca="1">Scorebook!T605</f>
      </c>
      <c r="AE228" s="5">
        <f ca="1">Scorebook!U605</f>
      </c>
      <c r="AF228" s="5">
        <f ca="1">Scorebook!V605</f>
      </c>
      <c r="AG228" s="5">
        <f ca="1">Scorebook!W605</f>
      </c>
      <c r="AH228" s="5">
        <f ca="1">Scorebook!X605</f>
      </c>
      <c r="AI228" s="5">
        <f>Settings!$B$2</f>
        <v>1</v>
      </c>
    </row>
    <row r="229" spans="19:35">
      <c r="S229" s="4" t="str">
        <f ca="1">IF(AND(Bracket!$H$19&lt;&gt;"",Bracket!$I$19&lt;&gt;""),"G13","")</f>
      </c>
      <c r="T229" s="5" t="str">
        <f ca="1">IF(AND(Bracket!$H$19&lt;&gt;"",Bracket!$I$19&lt;&gt;""),Bracket!$I$19,"")</f>
      </c>
      <c r="U229" s="5" t="str">
        <f ca="1">Scorebook!$B$618</f>
      </c>
      <c r="V229" s="4"/>
      <c r="W229" s="5">
        <f ca="1">Scorebook!M618</f>
      </c>
      <c r="X229" s="5">
        <f ca="1">Scorebook!N618</f>
      </c>
      <c r="Y229" s="5">
        <f ca="1">Scorebook!O618</f>
      </c>
      <c r="Z229" s="5">
        <f ca="1">Scorebook!P618</f>
      </c>
      <c r="AA229" s="5">
        <f ca="1">Scorebook!Q618</f>
      </c>
      <c r="AB229" s="5">
        <f ca="1">Scorebook!R618</f>
      </c>
      <c r="AC229" s="5">
        <f ca="1">Scorebook!S618</f>
      </c>
      <c r="AD229" s="5">
        <f ca="1">Scorebook!T618</f>
      </c>
      <c r="AE229" s="5">
        <f ca="1">Scorebook!U618</f>
      </c>
      <c r="AF229" s="5">
        <f ca="1">Scorebook!V618</f>
      </c>
      <c r="AG229" s="5">
        <f ca="1">Scorebook!W618</f>
      </c>
      <c r="AH229" s="5">
        <f ca="1">Scorebook!X618</f>
      </c>
      <c r="AI229" s="5">
        <f>Settings!$B$2</f>
        <v>1</v>
      </c>
    </row>
    <row r="230" spans="19:35">
      <c r="S230" s="4" t="str">
        <f ca="1">IF(AND(Bracket!$H$19&lt;&gt;"",Bracket!$I$19&lt;&gt;""),"G13","")</f>
      </c>
      <c r="T230" s="5" t="str">
        <f ca="1">IF(AND(Bracket!$H$19&lt;&gt;"",Bracket!$I$19&lt;&gt;""),Bracket!$I$19,"")</f>
      </c>
      <c r="U230" s="5" t="str">
        <f ca="1">Scorebook!$B$619</f>
      </c>
      <c r="V230" s="4"/>
      <c r="W230" s="5">
        <f ca="1">Scorebook!M619</f>
      </c>
      <c r="X230" s="5">
        <f ca="1">Scorebook!N619</f>
      </c>
      <c r="Y230" s="5">
        <f ca="1">Scorebook!O619</f>
      </c>
      <c r="Z230" s="5">
        <f ca="1">Scorebook!P619</f>
      </c>
      <c r="AA230" s="5">
        <f ca="1">Scorebook!Q619</f>
      </c>
      <c r="AB230" s="5">
        <f ca="1">Scorebook!R619</f>
      </c>
      <c r="AC230" s="5">
        <f ca="1">Scorebook!S619</f>
      </c>
      <c r="AD230" s="5">
        <f ca="1">Scorebook!T619</f>
      </c>
      <c r="AE230" s="5">
        <f ca="1">Scorebook!U619</f>
      </c>
      <c r="AF230" s="5">
        <f ca="1">Scorebook!V619</f>
      </c>
      <c r="AG230" s="5">
        <f ca="1">Scorebook!W619</f>
      </c>
      <c r="AH230" s="5">
        <f ca="1">Scorebook!X619</f>
      </c>
      <c r="AI230" s="5">
        <f>Settings!$B$2</f>
        <v>1</v>
      </c>
    </row>
    <row r="231" spans="19:35">
      <c r="S231" s="4" t="str">
        <f ca="1">IF(AND(Bracket!$H$19&lt;&gt;"",Bracket!$I$19&lt;&gt;""),"G13","")</f>
      </c>
      <c r="T231" s="5" t="str">
        <f ca="1">IF(AND(Bracket!$H$19&lt;&gt;"",Bracket!$I$19&lt;&gt;""),Bracket!$I$19,"")</f>
      </c>
      <c r="U231" s="5" t="str">
        <f ca="1">Scorebook!$B$620</f>
      </c>
      <c r="V231" s="4"/>
      <c r="W231" s="5">
        <f ca="1">Scorebook!M620</f>
      </c>
      <c r="X231" s="5">
        <f ca="1">Scorebook!N620</f>
      </c>
      <c r="Y231" s="5">
        <f ca="1">Scorebook!O620</f>
      </c>
      <c r="Z231" s="5">
        <f ca="1">Scorebook!P620</f>
      </c>
      <c r="AA231" s="5">
        <f ca="1">Scorebook!Q620</f>
      </c>
      <c r="AB231" s="5">
        <f ca="1">Scorebook!R620</f>
      </c>
      <c r="AC231" s="5">
        <f ca="1">Scorebook!S620</f>
      </c>
      <c r="AD231" s="5">
        <f ca="1">Scorebook!T620</f>
      </c>
      <c r="AE231" s="5">
        <f ca="1">Scorebook!U620</f>
      </c>
      <c r="AF231" s="5">
        <f ca="1">Scorebook!V620</f>
      </c>
      <c r="AG231" s="5">
        <f ca="1">Scorebook!W620</f>
      </c>
      <c r="AH231" s="5">
        <f ca="1">Scorebook!X620</f>
      </c>
      <c r="AI231" s="5">
        <f>Settings!$B$2</f>
        <v>1</v>
      </c>
    </row>
    <row r="232" spans="19:35">
      <c r="S232" s="4" t="str">
        <f ca="1">IF(AND(Bracket!$H$19&lt;&gt;"",Bracket!$I$19&lt;&gt;""),"G13","")</f>
      </c>
      <c r="T232" s="5" t="str">
        <f ca="1">IF(AND(Bracket!$H$19&lt;&gt;"",Bracket!$I$19&lt;&gt;""),Bracket!$I$19,"")</f>
      </c>
      <c r="U232" s="5" t="str">
        <f ca="1">Scorebook!$B$621</f>
      </c>
      <c r="V232" s="4"/>
      <c r="W232" s="5">
        <f ca="1">Scorebook!M621</f>
      </c>
      <c r="X232" s="5">
        <f ca="1">Scorebook!N621</f>
      </c>
      <c r="Y232" s="5">
        <f ca="1">Scorebook!O621</f>
      </c>
      <c r="Z232" s="5">
        <f ca="1">Scorebook!P621</f>
      </c>
      <c r="AA232" s="5">
        <f ca="1">Scorebook!Q621</f>
      </c>
      <c r="AB232" s="5">
        <f ca="1">Scorebook!R621</f>
      </c>
      <c r="AC232" s="5">
        <f ca="1">Scorebook!S621</f>
      </c>
      <c r="AD232" s="5">
        <f ca="1">Scorebook!T621</f>
      </c>
      <c r="AE232" s="5">
        <f ca="1">Scorebook!U621</f>
      </c>
      <c r="AF232" s="5">
        <f ca="1">Scorebook!V621</f>
      </c>
      <c r="AG232" s="5">
        <f ca="1">Scorebook!W621</f>
      </c>
      <c r="AH232" s="5">
        <f ca="1">Scorebook!X621</f>
      </c>
      <c r="AI232" s="5">
        <f>Settings!$B$2</f>
        <v>1</v>
      </c>
    </row>
    <row r="233" spans="19:35">
      <c r="S233" s="4" t="str">
        <f ca="1">IF(AND(Bracket!$H$19&lt;&gt;"",Bracket!$I$19&lt;&gt;""),"G13","")</f>
      </c>
      <c r="T233" s="5" t="str">
        <f ca="1">IF(AND(Bracket!$H$19&lt;&gt;"",Bracket!$I$19&lt;&gt;""),Bracket!$I$19,"")</f>
      </c>
      <c r="U233" s="5" t="str">
        <f ca="1">Scorebook!$B$622</f>
      </c>
      <c r="V233" s="4"/>
      <c r="W233" s="5">
        <f ca="1">Scorebook!M622</f>
      </c>
      <c r="X233" s="5">
        <f ca="1">Scorebook!N622</f>
      </c>
      <c r="Y233" s="5">
        <f ca="1">Scorebook!O622</f>
      </c>
      <c r="Z233" s="5">
        <f ca="1">Scorebook!P622</f>
      </c>
      <c r="AA233" s="5">
        <f ca="1">Scorebook!Q622</f>
      </c>
      <c r="AB233" s="5">
        <f ca="1">Scorebook!R622</f>
      </c>
      <c r="AC233" s="5">
        <f ca="1">Scorebook!S622</f>
      </c>
      <c r="AD233" s="5">
        <f ca="1">Scorebook!T622</f>
      </c>
      <c r="AE233" s="5">
        <f ca="1">Scorebook!U622</f>
      </c>
      <c r="AF233" s="5">
        <f ca="1">Scorebook!V622</f>
      </c>
      <c r="AG233" s="5">
        <f ca="1">Scorebook!W622</f>
      </c>
      <c r="AH233" s="5">
        <f ca="1">Scorebook!X622</f>
      </c>
      <c r="AI233" s="5">
        <f>Settings!$B$2</f>
        <v>1</v>
      </c>
    </row>
    <row r="234" spans="19:35">
      <c r="S234" s="4" t="str">
        <f ca="1">IF(AND(Bracket!$H$19&lt;&gt;"",Bracket!$I$19&lt;&gt;""),"G13","")</f>
      </c>
      <c r="T234" s="5" t="str">
        <f ca="1">IF(AND(Bracket!$H$19&lt;&gt;"",Bracket!$I$19&lt;&gt;""),Bracket!$I$19,"")</f>
      </c>
      <c r="U234" s="5" t="str">
        <f ca="1">Scorebook!$B$623</f>
      </c>
      <c r="V234" s="4"/>
      <c r="W234" s="5">
        <f ca="1">Scorebook!M623</f>
      </c>
      <c r="X234" s="5">
        <f ca="1">Scorebook!N623</f>
      </c>
      <c r="Y234" s="5">
        <f ca="1">Scorebook!O623</f>
      </c>
      <c r="Z234" s="5">
        <f ca="1">Scorebook!P623</f>
      </c>
      <c r="AA234" s="5">
        <f ca="1">Scorebook!Q623</f>
      </c>
      <c r="AB234" s="5">
        <f ca="1">Scorebook!R623</f>
      </c>
      <c r="AC234" s="5">
        <f ca="1">Scorebook!S623</f>
      </c>
      <c r="AD234" s="5">
        <f ca="1">Scorebook!T623</f>
      </c>
      <c r="AE234" s="5">
        <f ca="1">Scorebook!U623</f>
      </c>
      <c r="AF234" s="5">
        <f ca="1">Scorebook!V623</f>
      </c>
      <c r="AG234" s="5">
        <f ca="1">Scorebook!W623</f>
      </c>
      <c r="AH234" s="5">
        <f ca="1">Scorebook!X623</f>
      </c>
      <c r="AI234" s="5">
        <f>Settings!$B$2</f>
        <v>1</v>
      </c>
    </row>
    <row r="235" spans="19:35">
      <c r="S235" s="4" t="str">
        <f ca="1">IF(AND(Bracket!$H$19&lt;&gt;"",Bracket!$I$19&lt;&gt;""),"G13","")</f>
      </c>
      <c r="T235" s="5" t="str">
        <f ca="1">IF(AND(Bracket!$H$19&lt;&gt;"",Bracket!$I$19&lt;&gt;""),Bracket!$I$19,"")</f>
      </c>
      <c r="U235" s="5" t="str">
        <f ca="1">Scorebook!$B$624</f>
      </c>
      <c r="V235" s="4"/>
      <c r="W235" s="5">
        <f ca="1">Scorebook!M624</f>
      </c>
      <c r="X235" s="5">
        <f ca="1">Scorebook!N624</f>
      </c>
      <c r="Y235" s="5">
        <f ca="1">Scorebook!O624</f>
      </c>
      <c r="Z235" s="5">
        <f ca="1">Scorebook!P624</f>
      </c>
      <c r="AA235" s="5">
        <f ca="1">Scorebook!Q624</f>
      </c>
      <c r="AB235" s="5">
        <f ca="1">Scorebook!R624</f>
      </c>
      <c r="AC235" s="5">
        <f ca="1">Scorebook!S624</f>
      </c>
      <c r="AD235" s="5">
        <f ca="1">Scorebook!T624</f>
      </c>
      <c r="AE235" s="5">
        <f ca="1">Scorebook!U624</f>
      </c>
      <c r="AF235" s="5">
        <f ca="1">Scorebook!V624</f>
      </c>
      <c r="AG235" s="5">
        <f ca="1">Scorebook!W624</f>
      </c>
      <c r="AH235" s="5">
        <f ca="1">Scorebook!X624</f>
      </c>
      <c r="AI235" s="5">
        <f>Settings!$B$2</f>
        <v>1</v>
      </c>
    </row>
    <row r="236" spans="19:35">
      <c r="S236" s="4" t="str">
        <f ca="1">IF(AND(Bracket!$H$19&lt;&gt;"",Bracket!$I$19&lt;&gt;""),"G13","")</f>
      </c>
      <c r="T236" s="5" t="str">
        <f ca="1">IF(AND(Bracket!$H$19&lt;&gt;"",Bracket!$I$19&lt;&gt;""),Bracket!$I$19,"")</f>
      </c>
      <c r="U236" s="5" t="str">
        <f ca="1">Scorebook!$B$625</f>
      </c>
      <c r="V236" s="4"/>
      <c r="W236" s="5">
        <f ca="1">Scorebook!M625</f>
      </c>
      <c r="X236" s="5">
        <f ca="1">Scorebook!N625</f>
      </c>
      <c r="Y236" s="5">
        <f ca="1">Scorebook!O625</f>
      </c>
      <c r="Z236" s="5">
        <f ca="1">Scorebook!P625</f>
      </c>
      <c r="AA236" s="5">
        <f ca="1">Scorebook!Q625</f>
      </c>
      <c r="AB236" s="5">
        <f ca="1">Scorebook!R625</f>
      </c>
      <c r="AC236" s="5">
        <f ca="1">Scorebook!S625</f>
      </c>
      <c r="AD236" s="5">
        <f ca="1">Scorebook!T625</f>
      </c>
      <c r="AE236" s="5">
        <f ca="1">Scorebook!U625</f>
      </c>
      <c r="AF236" s="5">
        <f ca="1">Scorebook!V625</f>
      </c>
      <c r="AG236" s="5">
        <f ca="1">Scorebook!W625</f>
      </c>
      <c r="AH236" s="5">
        <f ca="1">Scorebook!X625</f>
      </c>
      <c r="AI236" s="5">
        <f>Settings!$B$2</f>
        <v>1</v>
      </c>
    </row>
    <row r="237" spans="19:35">
      <c r="S237" s="4" t="str">
        <f ca="1">IF(AND(Bracket!$H$19&lt;&gt;"",Bracket!$I$19&lt;&gt;""),"G13","")</f>
      </c>
      <c r="T237" s="5" t="str">
        <f ca="1">IF(AND(Bracket!$H$19&lt;&gt;"",Bracket!$I$19&lt;&gt;""),Bracket!$I$19,"")</f>
      </c>
      <c r="U237" s="5" t="str">
        <f ca="1">Scorebook!$B$626</f>
      </c>
      <c r="V237" s="4"/>
      <c r="W237" s="5">
        <f ca="1">Scorebook!M626</f>
      </c>
      <c r="X237" s="5">
        <f ca="1">Scorebook!N626</f>
      </c>
      <c r="Y237" s="5">
        <f ca="1">Scorebook!O626</f>
      </c>
      <c r="Z237" s="5">
        <f ca="1">Scorebook!P626</f>
      </c>
      <c r="AA237" s="5">
        <f ca="1">Scorebook!Q626</f>
      </c>
      <c r="AB237" s="5">
        <f ca="1">Scorebook!R626</f>
      </c>
      <c r="AC237" s="5">
        <f ca="1">Scorebook!S626</f>
      </c>
      <c r="AD237" s="5">
        <f ca="1">Scorebook!T626</f>
      </c>
      <c r="AE237" s="5">
        <f ca="1">Scorebook!U626</f>
      </c>
      <c r="AF237" s="5">
        <f ca="1">Scorebook!V626</f>
      </c>
      <c r="AG237" s="5">
        <f ca="1">Scorebook!W626</f>
      </c>
      <c r="AH237" s="5">
        <f ca="1">Scorebook!X626</f>
      </c>
      <c r="AI237" s="5">
        <f>Settings!$B$2</f>
        <v>1</v>
      </c>
    </row>
    <row r="238" spans="19:35">
      <c r="S238" s="4" t="str">
        <f ca="1">IF(AND(Bracket!$H$20&lt;&gt;"",Bracket!$I$20&lt;&gt;""),"G14","")</f>
      </c>
      <c r="T238" s="5" t="str">
        <f ca="1">IF(AND(Bracket!$H$20&lt;&gt;"",Bracket!$I$20&lt;&gt;""),Bracket!$H$20,"")</f>
      </c>
      <c r="U238" s="5" t="str">
        <f ca="1">Scorebook!$B$646</f>
      </c>
      <c r="V238" s="4"/>
      <c r="W238" s="5">
        <f ca="1">Scorebook!M646</f>
      </c>
      <c r="X238" s="5">
        <f ca="1">Scorebook!N646</f>
      </c>
      <c r="Y238" s="5">
        <f ca="1">Scorebook!O646</f>
      </c>
      <c r="Z238" s="5">
        <f ca="1">Scorebook!P646</f>
      </c>
      <c r="AA238" s="5">
        <f ca="1">Scorebook!Q646</f>
      </c>
      <c r="AB238" s="5">
        <f ca="1">Scorebook!R646</f>
      </c>
      <c r="AC238" s="5">
        <f ca="1">Scorebook!S646</f>
      </c>
      <c r="AD238" s="5">
        <f ca="1">Scorebook!T646</f>
      </c>
      <c r="AE238" s="5">
        <f ca="1">Scorebook!U646</f>
      </c>
      <c r="AF238" s="5">
        <f ca="1">Scorebook!V646</f>
      </c>
      <c r="AG238" s="5">
        <f ca="1">Scorebook!W646</f>
      </c>
      <c r="AH238" s="5">
        <f ca="1">Scorebook!X646</f>
      </c>
      <c r="AI238" s="5">
        <f>Settings!$B$2</f>
        <v>1</v>
      </c>
    </row>
    <row r="239" spans="19:35">
      <c r="S239" s="4" t="str">
        <f ca="1">IF(AND(Bracket!$H$20&lt;&gt;"",Bracket!$I$20&lt;&gt;""),"G14","")</f>
      </c>
      <c r="T239" s="5" t="str">
        <f ca="1">IF(AND(Bracket!$H$20&lt;&gt;"",Bracket!$I$20&lt;&gt;""),Bracket!$H$20,"")</f>
      </c>
      <c r="U239" s="5" t="str">
        <f ca="1">Scorebook!$B$647</f>
      </c>
      <c r="V239" s="4"/>
      <c r="W239" s="5">
        <f ca="1">Scorebook!M647</f>
      </c>
      <c r="X239" s="5">
        <f ca="1">Scorebook!N647</f>
      </c>
      <c r="Y239" s="5">
        <f ca="1">Scorebook!O647</f>
      </c>
      <c r="Z239" s="5">
        <f ca="1">Scorebook!P647</f>
      </c>
      <c r="AA239" s="5">
        <f ca="1">Scorebook!Q647</f>
      </c>
      <c r="AB239" s="5">
        <f ca="1">Scorebook!R647</f>
      </c>
      <c r="AC239" s="5">
        <f ca="1">Scorebook!S647</f>
      </c>
      <c r="AD239" s="5">
        <f ca="1">Scorebook!T647</f>
      </c>
      <c r="AE239" s="5">
        <f ca="1">Scorebook!U647</f>
      </c>
      <c r="AF239" s="5">
        <f ca="1">Scorebook!V647</f>
      </c>
      <c r="AG239" s="5">
        <f ca="1">Scorebook!W647</f>
      </c>
      <c r="AH239" s="5">
        <f ca="1">Scorebook!X647</f>
      </c>
      <c r="AI239" s="5">
        <f>Settings!$B$2</f>
        <v>1</v>
      </c>
    </row>
    <row r="240" spans="19:35">
      <c r="S240" s="4" t="str">
        <f ca="1">IF(AND(Bracket!$H$20&lt;&gt;"",Bracket!$I$20&lt;&gt;""),"G14","")</f>
      </c>
      <c r="T240" s="5" t="str">
        <f ca="1">IF(AND(Bracket!$H$20&lt;&gt;"",Bracket!$I$20&lt;&gt;""),Bracket!$H$20,"")</f>
      </c>
      <c r="U240" s="5" t="str">
        <f ca="1">Scorebook!$B$648</f>
      </c>
      <c r="V240" s="4"/>
      <c r="W240" s="5">
        <f ca="1">Scorebook!M648</f>
      </c>
      <c r="X240" s="5">
        <f ca="1">Scorebook!N648</f>
      </c>
      <c r="Y240" s="5">
        <f ca="1">Scorebook!O648</f>
      </c>
      <c r="Z240" s="5">
        <f ca="1">Scorebook!P648</f>
      </c>
      <c r="AA240" s="5">
        <f ca="1">Scorebook!Q648</f>
      </c>
      <c r="AB240" s="5">
        <f ca="1">Scorebook!R648</f>
      </c>
      <c r="AC240" s="5">
        <f ca="1">Scorebook!S648</f>
      </c>
      <c r="AD240" s="5">
        <f ca="1">Scorebook!T648</f>
      </c>
      <c r="AE240" s="5">
        <f ca="1">Scorebook!U648</f>
      </c>
      <c r="AF240" s="5">
        <f ca="1">Scorebook!V648</f>
      </c>
      <c r="AG240" s="5">
        <f ca="1">Scorebook!W648</f>
      </c>
      <c r="AH240" s="5">
        <f ca="1">Scorebook!X648</f>
      </c>
      <c r="AI240" s="5">
        <f>Settings!$B$2</f>
        <v>1</v>
      </c>
    </row>
    <row r="241" spans="19:35">
      <c r="S241" s="4" t="str">
        <f ca="1">IF(AND(Bracket!$H$20&lt;&gt;"",Bracket!$I$20&lt;&gt;""),"G14","")</f>
      </c>
      <c r="T241" s="5" t="str">
        <f ca="1">IF(AND(Bracket!$H$20&lt;&gt;"",Bracket!$I$20&lt;&gt;""),Bracket!$H$20,"")</f>
      </c>
      <c r="U241" s="5" t="str">
        <f ca="1">Scorebook!$B$649</f>
      </c>
      <c r="V241" s="4"/>
      <c r="W241" s="5">
        <f ca="1">Scorebook!M649</f>
      </c>
      <c r="X241" s="5">
        <f ca="1">Scorebook!N649</f>
      </c>
      <c r="Y241" s="5">
        <f ca="1">Scorebook!O649</f>
      </c>
      <c r="Z241" s="5">
        <f ca="1">Scorebook!P649</f>
      </c>
      <c r="AA241" s="5">
        <f ca="1">Scorebook!Q649</f>
      </c>
      <c r="AB241" s="5">
        <f ca="1">Scorebook!R649</f>
      </c>
      <c r="AC241" s="5">
        <f ca="1">Scorebook!S649</f>
      </c>
      <c r="AD241" s="5">
        <f ca="1">Scorebook!T649</f>
      </c>
      <c r="AE241" s="5">
        <f ca="1">Scorebook!U649</f>
      </c>
      <c r="AF241" s="5">
        <f ca="1">Scorebook!V649</f>
      </c>
      <c r="AG241" s="5">
        <f ca="1">Scorebook!W649</f>
      </c>
      <c r="AH241" s="5">
        <f ca="1">Scorebook!X649</f>
      </c>
      <c r="AI241" s="5">
        <f>Settings!$B$2</f>
        <v>1</v>
      </c>
    </row>
    <row r="242" spans="19:35">
      <c r="S242" s="4" t="str">
        <f ca="1">IF(AND(Bracket!$H$20&lt;&gt;"",Bracket!$I$20&lt;&gt;""),"G14","")</f>
      </c>
      <c r="T242" s="5" t="str">
        <f ca="1">IF(AND(Bracket!$H$20&lt;&gt;"",Bracket!$I$20&lt;&gt;""),Bracket!$H$20,"")</f>
      </c>
      <c r="U242" s="5" t="str">
        <f ca="1">Scorebook!$B$650</f>
      </c>
      <c r="V242" s="4"/>
      <c r="W242" s="5">
        <f ca="1">Scorebook!M650</f>
      </c>
      <c r="X242" s="5">
        <f ca="1">Scorebook!N650</f>
      </c>
      <c r="Y242" s="5">
        <f ca="1">Scorebook!O650</f>
      </c>
      <c r="Z242" s="5">
        <f ca="1">Scorebook!P650</f>
      </c>
      <c r="AA242" s="5">
        <f ca="1">Scorebook!Q650</f>
      </c>
      <c r="AB242" s="5">
        <f ca="1">Scorebook!R650</f>
      </c>
      <c r="AC242" s="5">
        <f ca="1">Scorebook!S650</f>
      </c>
      <c r="AD242" s="5">
        <f ca="1">Scorebook!T650</f>
      </c>
      <c r="AE242" s="5">
        <f ca="1">Scorebook!U650</f>
      </c>
      <c r="AF242" s="5">
        <f ca="1">Scorebook!V650</f>
      </c>
      <c r="AG242" s="5">
        <f ca="1">Scorebook!W650</f>
      </c>
      <c r="AH242" s="5">
        <f ca="1">Scorebook!X650</f>
      </c>
      <c r="AI242" s="5">
        <f>Settings!$B$2</f>
        <v>1</v>
      </c>
    </row>
    <row r="243" spans="19:35">
      <c r="S243" s="4" t="str">
        <f ca="1">IF(AND(Bracket!$H$20&lt;&gt;"",Bracket!$I$20&lt;&gt;""),"G14","")</f>
      </c>
      <c r="T243" s="5" t="str">
        <f ca="1">IF(AND(Bracket!$H$20&lt;&gt;"",Bracket!$I$20&lt;&gt;""),Bracket!$H$20,"")</f>
      </c>
      <c r="U243" s="5" t="str">
        <f ca="1">Scorebook!$B$651</f>
      </c>
      <c r="V243" s="4"/>
      <c r="W243" s="5">
        <f ca="1">Scorebook!M651</f>
      </c>
      <c r="X243" s="5">
        <f ca="1">Scorebook!N651</f>
      </c>
      <c r="Y243" s="5">
        <f ca="1">Scorebook!O651</f>
      </c>
      <c r="Z243" s="5">
        <f ca="1">Scorebook!P651</f>
      </c>
      <c r="AA243" s="5">
        <f ca="1">Scorebook!Q651</f>
      </c>
      <c r="AB243" s="5">
        <f ca="1">Scorebook!R651</f>
      </c>
      <c r="AC243" s="5">
        <f ca="1">Scorebook!S651</f>
      </c>
      <c r="AD243" s="5">
        <f ca="1">Scorebook!T651</f>
      </c>
      <c r="AE243" s="5">
        <f ca="1">Scorebook!U651</f>
      </c>
      <c r="AF243" s="5">
        <f ca="1">Scorebook!V651</f>
      </c>
      <c r="AG243" s="5">
        <f ca="1">Scorebook!W651</f>
      </c>
      <c r="AH243" s="5">
        <f ca="1">Scorebook!X651</f>
      </c>
      <c r="AI243" s="5">
        <f>Settings!$B$2</f>
        <v>1</v>
      </c>
    </row>
    <row r="244" spans="19:35">
      <c r="S244" s="4" t="str">
        <f ca="1">IF(AND(Bracket!$H$20&lt;&gt;"",Bracket!$I$20&lt;&gt;""),"G14","")</f>
      </c>
      <c r="T244" s="5" t="str">
        <f ca="1">IF(AND(Bracket!$H$20&lt;&gt;"",Bracket!$I$20&lt;&gt;""),Bracket!$H$20,"")</f>
      </c>
      <c r="U244" s="5" t="str">
        <f ca="1">Scorebook!$B$652</f>
      </c>
      <c r="V244" s="4"/>
      <c r="W244" s="5">
        <f ca="1">Scorebook!M652</f>
      </c>
      <c r="X244" s="5">
        <f ca="1">Scorebook!N652</f>
      </c>
      <c r="Y244" s="5">
        <f ca="1">Scorebook!O652</f>
      </c>
      <c r="Z244" s="5">
        <f ca="1">Scorebook!P652</f>
      </c>
      <c r="AA244" s="5">
        <f ca="1">Scorebook!Q652</f>
      </c>
      <c r="AB244" s="5">
        <f ca="1">Scorebook!R652</f>
      </c>
      <c r="AC244" s="5">
        <f ca="1">Scorebook!S652</f>
      </c>
      <c r="AD244" s="5">
        <f ca="1">Scorebook!T652</f>
      </c>
      <c r="AE244" s="5">
        <f ca="1">Scorebook!U652</f>
      </c>
      <c r="AF244" s="5">
        <f ca="1">Scorebook!V652</f>
      </c>
      <c r="AG244" s="5">
        <f ca="1">Scorebook!W652</f>
      </c>
      <c r="AH244" s="5">
        <f ca="1">Scorebook!X652</f>
      </c>
      <c r="AI244" s="5">
        <f>Settings!$B$2</f>
        <v>1</v>
      </c>
    </row>
    <row r="245" spans="19:35">
      <c r="S245" s="4" t="str">
        <f ca="1">IF(AND(Bracket!$H$20&lt;&gt;"",Bracket!$I$20&lt;&gt;""),"G14","")</f>
      </c>
      <c r="T245" s="5" t="str">
        <f ca="1">IF(AND(Bracket!$H$20&lt;&gt;"",Bracket!$I$20&lt;&gt;""),Bracket!$H$20,"")</f>
      </c>
      <c r="U245" s="5" t="str">
        <f ca="1">Scorebook!$B$653</f>
      </c>
      <c r="V245" s="4"/>
      <c r="W245" s="5">
        <f ca="1">Scorebook!M653</f>
      </c>
      <c r="X245" s="5">
        <f ca="1">Scorebook!N653</f>
      </c>
      <c r="Y245" s="5">
        <f ca="1">Scorebook!O653</f>
      </c>
      <c r="Z245" s="5">
        <f ca="1">Scorebook!P653</f>
      </c>
      <c r="AA245" s="5">
        <f ca="1">Scorebook!Q653</f>
      </c>
      <c r="AB245" s="5">
        <f ca="1">Scorebook!R653</f>
      </c>
      <c r="AC245" s="5">
        <f ca="1">Scorebook!S653</f>
      </c>
      <c r="AD245" s="5">
        <f ca="1">Scorebook!T653</f>
      </c>
      <c r="AE245" s="5">
        <f ca="1">Scorebook!U653</f>
      </c>
      <c r="AF245" s="5">
        <f ca="1">Scorebook!V653</f>
      </c>
      <c r="AG245" s="5">
        <f ca="1">Scorebook!W653</f>
      </c>
      <c r="AH245" s="5">
        <f ca="1">Scorebook!X653</f>
      </c>
      <c r="AI245" s="5">
        <f>Settings!$B$2</f>
        <v>1</v>
      </c>
    </row>
    <row r="246" spans="19:35">
      <c r="S246" s="4" t="str">
        <f ca="1">IF(AND(Bracket!$H$20&lt;&gt;"",Bracket!$I$20&lt;&gt;""),"G14","")</f>
      </c>
      <c r="T246" s="5" t="str">
        <f ca="1">IF(AND(Bracket!$H$20&lt;&gt;"",Bracket!$I$20&lt;&gt;""),Bracket!$H$20,"")</f>
      </c>
      <c r="U246" s="5" t="str">
        <f ca="1">Scorebook!$B$654</f>
      </c>
      <c r="V246" s="4"/>
      <c r="W246" s="5">
        <f ca="1">Scorebook!M654</f>
      </c>
      <c r="X246" s="5">
        <f ca="1">Scorebook!N654</f>
      </c>
      <c r="Y246" s="5">
        <f ca="1">Scorebook!O654</f>
      </c>
      <c r="Z246" s="5">
        <f ca="1">Scorebook!P654</f>
      </c>
      <c r="AA246" s="5">
        <f ca="1">Scorebook!Q654</f>
      </c>
      <c r="AB246" s="5">
        <f ca="1">Scorebook!R654</f>
      </c>
      <c r="AC246" s="5">
        <f ca="1">Scorebook!S654</f>
      </c>
      <c r="AD246" s="5">
        <f ca="1">Scorebook!T654</f>
      </c>
      <c r="AE246" s="5">
        <f ca="1">Scorebook!U654</f>
      </c>
      <c r="AF246" s="5">
        <f ca="1">Scorebook!V654</f>
      </c>
      <c r="AG246" s="5">
        <f ca="1">Scorebook!W654</f>
      </c>
      <c r="AH246" s="5">
        <f ca="1">Scorebook!X654</f>
      </c>
      <c r="AI246" s="5">
        <f>Settings!$B$2</f>
        <v>1</v>
      </c>
    </row>
    <row r="247" spans="19:35">
      <c r="S247" s="4" t="str">
        <f ca="1">IF(AND(Bracket!$H$20&lt;&gt;"",Bracket!$I$20&lt;&gt;""),"G14","")</f>
      </c>
      <c r="T247" s="5" t="str">
        <f ca="1">IF(AND(Bracket!$H$20&lt;&gt;"",Bracket!$I$20&lt;&gt;""),Bracket!$I$20,"")</f>
      </c>
      <c r="U247" s="5" t="str">
        <f ca="1">Scorebook!$B$667</f>
      </c>
      <c r="V247" s="4"/>
      <c r="W247" s="5">
        <f ca="1">Scorebook!M667</f>
      </c>
      <c r="X247" s="5">
        <f ca="1">Scorebook!N667</f>
      </c>
      <c r="Y247" s="5">
        <f ca="1">Scorebook!O667</f>
      </c>
      <c r="Z247" s="5">
        <f ca="1">Scorebook!P667</f>
      </c>
      <c r="AA247" s="5">
        <f ca="1">Scorebook!Q667</f>
      </c>
      <c r="AB247" s="5">
        <f ca="1">Scorebook!R667</f>
      </c>
      <c r="AC247" s="5">
        <f ca="1">Scorebook!S667</f>
      </c>
      <c r="AD247" s="5">
        <f ca="1">Scorebook!T667</f>
      </c>
      <c r="AE247" s="5">
        <f ca="1">Scorebook!U667</f>
      </c>
      <c r="AF247" s="5">
        <f ca="1">Scorebook!V667</f>
      </c>
      <c r="AG247" s="5">
        <f ca="1">Scorebook!W667</f>
      </c>
      <c r="AH247" s="5">
        <f ca="1">Scorebook!X667</f>
      </c>
      <c r="AI247" s="5">
        <f>Settings!$B$2</f>
        <v>1</v>
      </c>
    </row>
    <row r="248" spans="19:35">
      <c r="S248" s="4" t="str">
        <f ca="1">IF(AND(Bracket!$H$20&lt;&gt;"",Bracket!$I$20&lt;&gt;""),"G14","")</f>
      </c>
      <c r="T248" s="5" t="str">
        <f ca="1">IF(AND(Bracket!$H$20&lt;&gt;"",Bracket!$I$20&lt;&gt;""),Bracket!$I$20,"")</f>
      </c>
      <c r="U248" s="5" t="str">
        <f ca="1">Scorebook!$B$668</f>
      </c>
      <c r="V248" s="4"/>
      <c r="W248" s="5">
        <f ca="1">Scorebook!M668</f>
      </c>
      <c r="X248" s="5">
        <f ca="1">Scorebook!N668</f>
      </c>
      <c r="Y248" s="5">
        <f ca="1">Scorebook!O668</f>
      </c>
      <c r="Z248" s="5">
        <f ca="1">Scorebook!P668</f>
      </c>
      <c r="AA248" s="5">
        <f ca="1">Scorebook!Q668</f>
      </c>
      <c r="AB248" s="5">
        <f ca="1">Scorebook!R668</f>
      </c>
      <c r="AC248" s="5">
        <f ca="1">Scorebook!S668</f>
      </c>
      <c r="AD248" s="5">
        <f ca="1">Scorebook!T668</f>
      </c>
      <c r="AE248" s="5">
        <f ca="1">Scorebook!U668</f>
      </c>
      <c r="AF248" s="5">
        <f ca="1">Scorebook!V668</f>
      </c>
      <c r="AG248" s="5">
        <f ca="1">Scorebook!W668</f>
      </c>
      <c r="AH248" s="5">
        <f ca="1">Scorebook!X668</f>
      </c>
      <c r="AI248" s="5">
        <f>Settings!$B$2</f>
        <v>1</v>
      </c>
    </row>
    <row r="249" spans="19:35">
      <c r="S249" s="4" t="str">
        <f ca="1">IF(AND(Bracket!$H$20&lt;&gt;"",Bracket!$I$20&lt;&gt;""),"G14","")</f>
      </c>
      <c r="T249" s="5" t="str">
        <f ca="1">IF(AND(Bracket!$H$20&lt;&gt;"",Bracket!$I$20&lt;&gt;""),Bracket!$I$20,"")</f>
      </c>
      <c r="U249" s="5" t="str">
        <f ca="1">Scorebook!$B$669</f>
      </c>
      <c r="V249" s="4"/>
      <c r="W249" s="5">
        <f ca="1">Scorebook!M669</f>
      </c>
      <c r="X249" s="5">
        <f ca="1">Scorebook!N669</f>
      </c>
      <c r="Y249" s="5">
        <f ca="1">Scorebook!O669</f>
      </c>
      <c r="Z249" s="5">
        <f ca="1">Scorebook!P669</f>
      </c>
      <c r="AA249" s="5">
        <f ca="1">Scorebook!Q669</f>
      </c>
      <c r="AB249" s="5">
        <f ca="1">Scorebook!R669</f>
      </c>
      <c r="AC249" s="5">
        <f ca="1">Scorebook!S669</f>
      </c>
      <c r="AD249" s="5">
        <f ca="1">Scorebook!T669</f>
      </c>
      <c r="AE249" s="5">
        <f ca="1">Scorebook!U669</f>
      </c>
      <c r="AF249" s="5">
        <f ca="1">Scorebook!V669</f>
      </c>
      <c r="AG249" s="5">
        <f ca="1">Scorebook!W669</f>
      </c>
      <c r="AH249" s="5">
        <f ca="1">Scorebook!X669</f>
      </c>
      <c r="AI249" s="5">
        <f>Settings!$B$2</f>
        <v>1</v>
      </c>
    </row>
    <row r="250" spans="19:35">
      <c r="S250" s="4" t="str">
        <f ca="1">IF(AND(Bracket!$H$20&lt;&gt;"",Bracket!$I$20&lt;&gt;""),"G14","")</f>
      </c>
      <c r="T250" s="5" t="str">
        <f ca="1">IF(AND(Bracket!$H$20&lt;&gt;"",Bracket!$I$20&lt;&gt;""),Bracket!$I$20,"")</f>
      </c>
      <c r="U250" s="5" t="str">
        <f ca="1">Scorebook!$B$670</f>
      </c>
      <c r="V250" s="4"/>
      <c r="W250" s="5">
        <f ca="1">Scorebook!M670</f>
      </c>
      <c r="X250" s="5">
        <f ca="1">Scorebook!N670</f>
      </c>
      <c r="Y250" s="5">
        <f ca="1">Scorebook!O670</f>
      </c>
      <c r="Z250" s="5">
        <f ca="1">Scorebook!P670</f>
      </c>
      <c r="AA250" s="5">
        <f ca="1">Scorebook!Q670</f>
      </c>
      <c r="AB250" s="5">
        <f ca="1">Scorebook!R670</f>
      </c>
      <c r="AC250" s="5">
        <f ca="1">Scorebook!S670</f>
      </c>
      <c r="AD250" s="5">
        <f ca="1">Scorebook!T670</f>
      </c>
      <c r="AE250" s="5">
        <f ca="1">Scorebook!U670</f>
      </c>
      <c r="AF250" s="5">
        <f ca="1">Scorebook!V670</f>
      </c>
      <c r="AG250" s="5">
        <f ca="1">Scorebook!W670</f>
      </c>
      <c r="AH250" s="5">
        <f ca="1">Scorebook!X670</f>
      </c>
      <c r="AI250" s="5">
        <f>Settings!$B$2</f>
        <v>1</v>
      </c>
    </row>
    <row r="251" spans="19:35">
      <c r="S251" s="4" t="str">
        <f ca="1">IF(AND(Bracket!$H$20&lt;&gt;"",Bracket!$I$20&lt;&gt;""),"G14","")</f>
      </c>
      <c r="T251" s="5" t="str">
        <f ca="1">IF(AND(Bracket!$H$20&lt;&gt;"",Bracket!$I$20&lt;&gt;""),Bracket!$I$20,"")</f>
      </c>
      <c r="U251" s="5" t="str">
        <f ca="1">Scorebook!$B$671</f>
      </c>
      <c r="V251" s="4"/>
      <c r="W251" s="5">
        <f ca="1">Scorebook!M671</f>
      </c>
      <c r="X251" s="5">
        <f ca="1">Scorebook!N671</f>
      </c>
      <c r="Y251" s="5">
        <f ca="1">Scorebook!O671</f>
      </c>
      <c r="Z251" s="5">
        <f ca="1">Scorebook!P671</f>
      </c>
      <c r="AA251" s="5">
        <f ca="1">Scorebook!Q671</f>
      </c>
      <c r="AB251" s="5">
        <f ca="1">Scorebook!R671</f>
      </c>
      <c r="AC251" s="5">
        <f ca="1">Scorebook!S671</f>
      </c>
      <c r="AD251" s="5">
        <f ca="1">Scorebook!T671</f>
      </c>
      <c r="AE251" s="5">
        <f ca="1">Scorebook!U671</f>
      </c>
      <c r="AF251" s="5">
        <f ca="1">Scorebook!V671</f>
      </c>
      <c r="AG251" s="5">
        <f ca="1">Scorebook!W671</f>
      </c>
      <c r="AH251" s="5">
        <f ca="1">Scorebook!X671</f>
      </c>
      <c r="AI251" s="5">
        <f>Settings!$B$2</f>
        <v>1</v>
      </c>
    </row>
    <row r="252" spans="19:35">
      <c r="S252" s="4" t="str">
        <f ca="1">IF(AND(Bracket!$H$20&lt;&gt;"",Bracket!$I$20&lt;&gt;""),"G14","")</f>
      </c>
      <c r="T252" s="5" t="str">
        <f ca="1">IF(AND(Bracket!$H$20&lt;&gt;"",Bracket!$I$20&lt;&gt;""),Bracket!$I$20,"")</f>
      </c>
      <c r="U252" s="5" t="str">
        <f ca="1">Scorebook!$B$672</f>
      </c>
      <c r="V252" s="4"/>
      <c r="W252" s="5">
        <f ca="1">Scorebook!M672</f>
      </c>
      <c r="X252" s="5">
        <f ca="1">Scorebook!N672</f>
      </c>
      <c r="Y252" s="5">
        <f ca="1">Scorebook!O672</f>
      </c>
      <c r="Z252" s="5">
        <f ca="1">Scorebook!P672</f>
      </c>
      <c r="AA252" s="5">
        <f ca="1">Scorebook!Q672</f>
      </c>
      <c r="AB252" s="5">
        <f ca="1">Scorebook!R672</f>
      </c>
      <c r="AC252" s="5">
        <f ca="1">Scorebook!S672</f>
      </c>
      <c r="AD252" s="5">
        <f ca="1">Scorebook!T672</f>
      </c>
      <c r="AE252" s="5">
        <f ca="1">Scorebook!U672</f>
      </c>
      <c r="AF252" s="5">
        <f ca="1">Scorebook!V672</f>
      </c>
      <c r="AG252" s="5">
        <f ca="1">Scorebook!W672</f>
      </c>
      <c r="AH252" s="5">
        <f ca="1">Scorebook!X672</f>
      </c>
      <c r="AI252" s="5">
        <f>Settings!$B$2</f>
        <v>1</v>
      </c>
    </row>
    <row r="253" spans="19:35">
      <c r="S253" s="4" t="str">
        <f ca="1">IF(AND(Bracket!$H$20&lt;&gt;"",Bracket!$I$20&lt;&gt;""),"G14","")</f>
      </c>
      <c r="T253" s="5" t="str">
        <f ca="1">IF(AND(Bracket!$H$20&lt;&gt;"",Bracket!$I$20&lt;&gt;""),Bracket!$I$20,"")</f>
      </c>
      <c r="U253" s="5" t="str">
        <f ca="1">Scorebook!$B$673</f>
      </c>
      <c r="V253" s="4"/>
      <c r="W253" s="5">
        <f ca="1">Scorebook!M673</f>
      </c>
      <c r="X253" s="5">
        <f ca="1">Scorebook!N673</f>
      </c>
      <c r="Y253" s="5">
        <f ca="1">Scorebook!O673</f>
      </c>
      <c r="Z253" s="5">
        <f ca="1">Scorebook!P673</f>
      </c>
      <c r="AA253" s="5">
        <f ca="1">Scorebook!Q673</f>
      </c>
      <c r="AB253" s="5">
        <f ca="1">Scorebook!R673</f>
      </c>
      <c r="AC253" s="5">
        <f ca="1">Scorebook!S673</f>
      </c>
      <c r="AD253" s="5">
        <f ca="1">Scorebook!T673</f>
      </c>
      <c r="AE253" s="5">
        <f ca="1">Scorebook!U673</f>
      </c>
      <c r="AF253" s="5">
        <f ca="1">Scorebook!V673</f>
      </c>
      <c r="AG253" s="5">
        <f ca="1">Scorebook!W673</f>
      </c>
      <c r="AH253" s="5">
        <f ca="1">Scorebook!X673</f>
      </c>
      <c r="AI253" s="5">
        <f>Settings!$B$2</f>
        <v>1</v>
      </c>
    </row>
    <row r="254" spans="19:35">
      <c r="S254" s="4" t="str">
        <f ca="1">IF(AND(Bracket!$H$20&lt;&gt;"",Bracket!$I$20&lt;&gt;""),"G14","")</f>
      </c>
      <c r="T254" s="5" t="str">
        <f ca="1">IF(AND(Bracket!$H$20&lt;&gt;"",Bracket!$I$20&lt;&gt;""),Bracket!$I$20,"")</f>
      </c>
      <c r="U254" s="5" t="str">
        <f ca="1">Scorebook!$B$674</f>
      </c>
      <c r="V254" s="4"/>
      <c r="W254" s="5">
        <f ca="1">Scorebook!M674</f>
      </c>
      <c r="X254" s="5">
        <f ca="1">Scorebook!N674</f>
      </c>
      <c r="Y254" s="5">
        <f ca="1">Scorebook!O674</f>
      </c>
      <c r="Z254" s="5">
        <f ca="1">Scorebook!P674</f>
      </c>
      <c r="AA254" s="5">
        <f ca="1">Scorebook!Q674</f>
      </c>
      <c r="AB254" s="5">
        <f ca="1">Scorebook!R674</f>
      </c>
      <c r="AC254" s="5">
        <f ca="1">Scorebook!S674</f>
      </c>
      <c r="AD254" s="5">
        <f ca="1">Scorebook!T674</f>
      </c>
      <c r="AE254" s="5">
        <f ca="1">Scorebook!U674</f>
      </c>
      <c r="AF254" s="5">
        <f ca="1">Scorebook!V674</f>
      </c>
      <c r="AG254" s="5">
        <f ca="1">Scorebook!W674</f>
      </c>
      <c r="AH254" s="5">
        <f ca="1">Scorebook!X674</f>
      </c>
      <c r="AI254" s="5">
        <f>Settings!$B$2</f>
        <v>1</v>
      </c>
    </row>
    <row r="255" spans="19:35">
      <c r="S255" s="4" t="str">
        <f ca="1">IF(AND(Bracket!$H$20&lt;&gt;"",Bracket!$I$20&lt;&gt;""),"G14","")</f>
      </c>
      <c r="T255" s="5" t="str">
        <f ca="1">IF(AND(Bracket!$H$20&lt;&gt;"",Bracket!$I$20&lt;&gt;""),Bracket!$I$20,"")</f>
      </c>
      <c r="U255" s="5" t="str">
        <f ca="1">Scorebook!$B$675</f>
      </c>
      <c r="V255" s="4"/>
      <c r="W255" s="5">
        <f ca="1">Scorebook!M675</f>
      </c>
      <c r="X255" s="5">
        <f ca="1">Scorebook!N675</f>
      </c>
      <c r="Y255" s="5">
        <f ca="1">Scorebook!O675</f>
      </c>
      <c r="Z255" s="5">
        <f ca="1">Scorebook!P675</f>
      </c>
      <c r="AA255" s="5">
        <f ca="1">Scorebook!Q675</f>
      </c>
      <c r="AB255" s="5">
        <f ca="1">Scorebook!R675</f>
      </c>
      <c r="AC255" s="5">
        <f ca="1">Scorebook!S675</f>
      </c>
      <c r="AD255" s="5">
        <f ca="1">Scorebook!T675</f>
      </c>
      <c r="AE255" s="5">
        <f ca="1">Scorebook!U675</f>
      </c>
      <c r="AF255" s="5">
        <f ca="1">Scorebook!V675</f>
      </c>
      <c r="AG255" s="5">
        <f ca="1">Scorebook!W675</f>
      </c>
      <c r="AH255" s="5">
        <f ca="1">Scorebook!X675</f>
      </c>
      <c r="AI255" s="5">
        <f>Settings!$B$2</f>
        <v>1</v>
      </c>
    </row>
    <row r="256" spans="19:35">
      <c r="S256" s="4" t="str">
        <f ca="1">IF(AND(Bracket!$H$21&lt;&gt;"",Bracket!$I$21&lt;&gt;""),"G15","")</f>
      </c>
      <c r="T256" s="5" t="str">
        <f ca="1">IF(AND(Bracket!$H$21&lt;&gt;"",Bracket!$I$21&lt;&gt;""),Bracket!$H$21,"")</f>
      </c>
      <c r="U256" s="5" t="str">
        <f ca="1">Scorebook!$B$695</f>
      </c>
      <c r="V256" s="4"/>
      <c r="W256" s="5">
        <f ca="1">Scorebook!M695</f>
      </c>
      <c r="X256" s="5">
        <f ca="1">Scorebook!N695</f>
      </c>
      <c r="Y256" s="5">
        <f ca="1">Scorebook!O695</f>
      </c>
      <c r="Z256" s="5">
        <f ca="1">Scorebook!P695</f>
      </c>
      <c r="AA256" s="5">
        <f ca="1">Scorebook!Q695</f>
      </c>
      <c r="AB256" s="5">
        <f ca="1">Scorebook!R695</f>
      </c>
      <c r="AC256" s="5">
        <f ca="1">Scorebook!S695</f>
      </c>
      <c r="AD256" s="5">
        <f ca="1">Scorebook!T695</f>
      </c>
      <c r="AE256" s="5">
        <f ca="1">Scorebook!U695</f>
      </c>
      <c r="AF256" s="5">
        <f ca="1">Scorebook!V695</f>
      </c>
      <c r="AG256" s="5">
        <f ca="1">Scorebook!W695</f>
      </c>
      <c r="AH256" s="5">
        <f ca="1">Scorebook!X695</f>
      </c>
      <c r="AI256" s="5">
        <f>Settings!$B$2</f>
        <v>1</v>
      </c>
    </row>
    <row r="257" spans="19:35">
      <c r="S257" s="4" t="str">
        <f ca="1">IF(AND(Bracket!$H$21&lt;&gt;"",Bracket!$I$21&lt;&gt;""),"G15","")</f>
      </c>
      <c r="T257" s="5" t="str">
        <f ca="1">IF(AND(Bracket!$H$21&lt;&gt;"",Bracket!$I$21&lt;&gt;""),Bracket!$H$21,"")</f>
      </c>
      <c r="U257" s="5" t="str">
        <f ca="1">Scorebook!$B$696</f>
      </c>
      <c r="V257" s="4"/>
      <c r="W257" s="5">
        <f ca="1">Scorebook!M696</f>
      </c>
      <c r="X257" s="5">
        <f ca="1">Scorebook!N696</f>
      </c>
      <c r="Y257" s="5">
        <f ca="1">Scorebook!O696</f>
      </c>
      <c r="Z257" s="5">
        <f ca="1">Scorebook!P696</f>
      </c>
      <c r="AA257" s="5">
        <f ca="1">Scorebook!Q696</f>
      </c>
      <c r="AB257" s="5">
        <f ca="1">Scorebook!R696</f>
      </c>
      <c r="AC257" s="5">
        <f ca="1">Scorebook!S696</f>
      </c>
      <c r="AD257" s="5">
        <f ca="1">Scorebook!T696</f>
      </c>
      <c r="AE257" s="5">
        <f ca="1">Scorebook!U696</f>
      </c>
      <c r="AF257" s="5">
        <f ca="1">Scorebook!V696</f>
      </c>
      <c r="AG257" s="5">
        <f ca="1">Scorebook!W696</f>
      </c>
      <c r="AH257" s="5">
        <f ca="1">Scorebook!X696</f>
      </c>
      <c r="AI257" s="5">
        <f>Settings!$B$2</f>
        <v>1</v>
      </c>
    </row>
    <row r="258" spans="19:35">
      <c r="S258" s="4" t="str">
        <f ca="1">IF(AND(Bracket!$H$21&lt;&gt;"",Bracket!$I$21&lt;&gt;""),"G15","")</f>
      </c>
      <c r="T258" s="5" t="str">
        <f ca="1">IF(AND(Bracket!$H$21&lt;&gt;"",Bracket!$I$21&lt;&gt;""),Bracket!$H$21,"")</f>
      </c>
      <c r="U258" s="5" t="str">
        <f ca="1">Scorebook!$B$697</f>
      </c>
      <c r="V258" s="4"/>
      <c r="W258" s="5">
        <f ca="1">Scorebook!M697</f>
      </c>
      <c r="X258" s="5">
        <f ca="1">Scorebook!N697</f>
      </c>
      <c r="Y258" s="5">
        <f ca="1">Scorebook!O697</f>
      </c>
      <c r="Z258" s="5">
        <f ca="1">Scorebook!P697</f>
      </c>
      <c r="AA258" s="5">
        <f ca="1">Scorebook!Q697</f>
      </c>
      <c r="AB258" s="5">
        <f ca="1">Scorebook!R697</f>
      </c>
      <c r="AC258" s="5">
        <f ca="1">Scorebook!S697</f>
      </c>
      <c r="AD258" s="5">
        <f ca="1">Scorebook!T697</f>
      </c>
      <c r="AE258" s="5">
        <f ca="1">Scorebook!U697</f>
      </c>
      <c r="AF258" s="5">
        <f ca="1">Scorebook!V697</f>
      </c>
      <c r="AG258" s="5">
        <f ca="1">Scorebook!W697</f>
      </c>
      <c r="AH258" s="5">
        <f ca="1">Scorebook!X697</f>
      </c>
      <c r="AI258" s="5">
        <f>Settings!$B$2</f>
        <v>1</v>
      </c>
    </row>
    <row r="259" spans="19:35">
      <c r="S259" s="4" t="str">
        <f ca="1">IF(AND(Bracket!$H$21&lt;&gt;"",Bracket!$I$21&lt;&gt;""),"G15","")</f>
      </c>
      <c r="T259" s="5" t="str">
        <f ca="1">IF(AND(Bracket!$H$21&lt;&gt;"",Bracket!$I$21&lt;&gt;""),Bracket!$H$21,"")</f>
      </c>
      <c r="U259" s="5" t="str">
        <f ca="1">Scorebook!$B$698</f>
      </c>
      <c r="V259" s="4"/>
      <c r="W259" s="5">
        <f ca="1">Scorebook!M698</f>
      </c>
      <c r="X259" s="5">
        <f ca="1">Scorebook!N698</f>
      </c>
      <c r="Y259" s="5">
        <f ca="1">Scorebook!O698</f>
      </c>
      <c r="Z259" s="5">
        <f ca="1">Scorebook!P698</f>
      </c>
      <c r="AA259" s="5">
        <f ca="1">Scorebook!Q698</f>
      </c>
      <c r="AB259" s="5">
        <f ca="1">Scorebook!R698</f>
      </c>
      <c r="AC259" s="5">
        <f ca="1">Scorebook!S698</f>
      </c>
      <c r="AD259" s="5">
        <f ca="1">Scorebook!T698</f>
      </c>
      <c r="AE259" s="5">
        <f ca="1">Scorebook!U698</f>
      </c>
      <c r="AF259" s="5">
        <f ca="1">Scorebook!V698</f>
      </c>
      <c r="AG259" s="5">
        <f ca="1">Scorebook!W698</f>
      </c>
      <c r="AH259" s="5">
        <f ca="1">Scorebook!X698</f>
      </c>
      <c r="AI259" s="5">
        <f>Settings!$B$2</f>
        <v>1</v>
      </c>
    </row>
    <row r="260" spans="19:35">
      <c r="S260" s="4" t="str">
        <f ca="1">IF(AND(Bracket!$H$21&lt;&gt;"",Bracket!$I$21&lt;&gt;""),"G15","")</f>
      </c>
      <c r="T260" s="5" t="str">
        <f ca="1">IF(AND(Bracket!$H$21&lt;&gt;"",Bracket!$I$21&lt;&gt;""),Bracket!$H$21,"")</f>
      </c>
      <c r="U260" s="5" t="str">
        <f ca="1">Scorebook!$B$699</f>
      </c>
      <c r="V260" s="4"/>
      <c r="W260" s="5">
        <f ca="1">Scorebook!M699</f>
      </c>
      <c r="X260" s="5">
        <f ca="1">Scorebook!N699</f>
      </c>
      <c r="Y260" s="5">
        <f ca="1">Scorebook!O699</f>
      </c>
      <c r="Z260" s="5">
        <f ca="1">Scorebook!P699</f>
      </c>
      <c r="AA260" s="5">
        <f ca="1">Scorebook!Q699</f>
      </c>
      <c r="AB260" s="5">
        <f ca="1">Scorebook!R699</f>
      </c>
      <c r="AC260" s="5">
        <f ca="1">Scorebook!S699</f>
      </c>
      <c r="AD260" s="5">
        <f ca="1">Scorebook!T699</f>
      </c>
      <c r="AE260" s="5">
        <f ca="1">Scorebook!U699</f>
      </c>
      <c r="AF260" s="5">
        <f ca="1">Scorebook!V699</f>
      </c>
      <c r="AG260" s="5">
        <f ca="1">Scorebook!W699</f>
      </c>
      <c r="AH260" s="5">
        <f ca="1">Scorebook!X699</f>
      </c>
      <c r="AI260" s="5">
        <f>Settings!$B$2</f>
        <v>1</v>
      </c>
    </row>
    <row r="261" spans="19:35">
      <c r="S261" s="4" t="str">
        <f ca="1">IF(AND(Bracket!$H$21&lt;&gt;"",Bracket!$I$21&lt;&gt;""),"G15","")</f>
      </c>
      <c r="T261" s="5" t="str">
        <f ca="1">IF(AND(Bracket!$H$21&lt;&gt;"",Bracket!$I$21&lt;&gt;""),Bracket!$H$21,"")</f>
      </c>
      <c r="U261" s="5" t="str">
        <f ca="1">Scorebook!$B$700</f>
      </c>
      <c r="V261" s="4"/>
      <c r="W261" s="5">
        <f ca="1">Scorebook!M700</f>
      </c>
      <c r="X261" s="5">
        <f ca="1">Scorebook!N700</f>
      </c>
      <c r="Y261" s="5">
        <f ca="1">Scorebook!O700</f>
      </c>
      <c r="Z261" s="5">
        <f ca="1">Scorebook!P700</f>
      </c>
      <c r="AA261" s="5">
        <f ca="1">Scorebook!Q700</f>
      </c>
      <c r="AB261" s="5">
        <f ca="1">Scorebook!R700</f>
      </c>
      <c r="AC261" s="5">
        <f ca="1">Scorebook!S700</f>
      </c>
      <c r="AD261" s="5">
        <f ca="1">Scorebook!T700</f>
      </c>
      <c r="AE261" s="5">
        <f ca="1">Scorebook!U700</f>
      </c>
      <c r="AF261" s="5">
        <f ca="1">Scorebook!V700</f>
      </c>
      <c r="AG261" s="5">
        <f ca="1">Scorebook!W700</f>
      </c>
      <c r="AH261" s="5">
        <f ca="1">Scorebook!X700</f>
      </c>
      <c r="AI261" s="5">
        <f>Settings!$B$2</f>
        <v>1</v>
      </c>
    </row>
    <row r="262" spans="19:35">
      <c r="S262" s="4" t="str">
        <f ca="1">IF(AND(Bracket!$H$21&lt;&gt;"",Bracket!$I$21&lt;&gt;""),"G15","")</f>
      </c>
      <c r="T262" s="5" t="str">
        <f ca="1">IF(AND(Bracket!$H$21&lt;&gt;"",Bracket!$I$21&lt;&gt;""),Bracket!$H$21,"")</f>
      </c>
      <c r="U262" s="5" t="str">
        <f ca="1">Scorebook!$B$701</f>
      </c>
      <c r="V262" s="4"/>
      <c r="W262" s="5">
        <f ca="1">Scorebook!M701</f>
      </c>
      <c r="X262" s="5">
        <f ca="1">Scorebook!N701</f>
      </c>
      <c r="Y262" s="5">
        <f ca="1">Scorebook!O701</f>
      </c>
      <c r="Z262" s="5">
        <f ca="1">Scorebook!P701</f>
      </c>
      <c r="AA262" s="5">
        <f ca="1">Scorebook!Q701</f>
      </c>
      <c r="AB262" s="5">
        <f ca="1">Scorebook!R701</f>
      </c>
      <c r="AC262" s="5">
        <f ca="1">Scorebook!S701</f>
      </c>
      <c r="AD262" s="5">
        <f ca="1">Scorebook!T701</f>
      </c>
      <c r="AE262" s="5">
        <f ca="1">Scorebook!U701</f>
      </c>
      <c r="AF262" s="5">
        <f ca="1">Scorebook!V701</f>
      </c>
      <c r="AG262" s="5">
        <f ca="1">Scorebook!W701</f>
      </c>
      <c r="AH262" s="5">
        <f ca="1">Scorebook!X701</f>
      </c>
      <c r="AI262" s="5">
        <f>Settings!$B$2</f>
        <v>1</v>
      </c>
    </row>
    <row r="263" spans="19:35">
      <c r="S263" s="4" t="str">
        <f ca="1">IF(AND(Bracket!$H$21&lt;&gt;"",Bracket!$I$21&lt;&gt;""),"G15","")</f>
      </c>
      <c r="T263" s="5" t="str">
        <f ca="1">IF(AND(Bracket!$H$21&lt;&gt;"",Bracket!$I$21&lt;&gt;""),Bracket!$H$21,"")</f>
      </c>
      <c r="U263" s="5" t="str">
        <f ca="1">Scorebook!$B$702</f>
      </c>
      <c r="V263" s="4"/>
      <c r="W263" s="5">
        <f ca="1">Scorebook!M702</f>
      </c>
      <c r="X263" s="5">
        <f ca="1">Scorebook!N702</f>
      </c>
      <c r="Y263" s="5">
        <f ca="1">Scorebook!O702</f>
      </c>
      <c r="Z263" s="5">
        <f ca="1">Scorebook!P702</f>
      </c>
      <c r="AA263" s="5">
        <f ca="1">Scorebook!Q702</f>
      </c>
      <c r="AB263" s="5">
        <f ca="1">Scorebook!R702</f>
      </c>
      <c r="AC263" s="5">
        <f ca="1">Scorebook!S702</f>
      </c>
      <c r="AD263" s="5">
        <f ca="1">Scorebook!T702</f>
      </c>
      <c r="AE263" s="5">
        <f ca="1">Scorebook!U702</f>
      </c>
      <c r="AF263" s="5">
        <f ca="1">Scorebook!V702</f>
      </c>
      <c r="AG263" s="5">
        <f ca="1">Scorebook!W702</f>
      </c>
      <c r="AH263" s="5">
        <f ca="1">Scorebook!X702</f>
      </c>
      <c r="AI263" s="5">
        <f>Settings!$B$2</f>
        <v>1</v>
      </c>
    </row>
    <row r="264" spans="19:35">
      <c r="S264" s="4" t="str">
        <f ca="1">IF(AND(Bracket!$H$21&lt;&gt;"",Bracket!$I$21&lt;&gt;""),"G15","")</f>
      </c>
      <c r="T264" s="5" t="str">
        <f ca="1">IF(AND(Bracket!$H$21&lt;&gt;"",Bracket!$I$21&lt;&gt;""),Bracket!$H$21,"")</f>
      </c>
      <c r="U264" s="5" t="str">
        <f ca="1">Scorebook!$B$703</f>
      </c>
      <c r="V264" s="4"/>
      <c r="W264" s="5">
        <f ca="1">Scorebook!M703</f>
      </c>
      <c r="X264" s="5">
        <f ca="1">Scorebook!N703</f>
      </c>
      <c r="Y264" s="5">
        <f ca="1">Scorebook!O703</f>
      </c>
      <c r="Z264" s="5">
        <f ca="1">Scorebook!P703</f>
      </c>
      <c r="AA264" s="5">
        <f ca="1">Scorebook!Q703</f>
      </c>
      <c r="AB264" s="5">
        <f ca="1">Scorebook!R703</f>
      </c>
      <c r="AC264" s="5">
        <f ca="1">Scorebook!S703</f>
      </c>
      <c r="AD264" s="5">
        <f ca="1">Scorebook!T703</f>
      </c>
      <c r="AE264" s="5">
        <f ca="1">Scorebook!U703</f>
      </c>
      <c r="AF264" s="5">
        <f ca="1">Scorebook!V703</f>
      </c>
      <c r="AG264" s="5">
        <f ca="1">Scorebook!W703</f>
      </c>
      <c r="AH264" s="5">
        <f ca="1">Scorebook!X703</f>
      </c>
      <c r="AI264" s="5">
        <f>Settings!$B$2</f>
        <v>1</v>
      </c>
    </row>
    <row r="265" spans="19:35">
      <c r="S265" s="4" t="str">
        <f ca="1">IF(AND(Bracket!$H$21&lt;&gt;"",Bracket!$I$21&lt;&gt;""),"G15","")</f>
      </c>
      <c r="T265" s="5" t="str">
        <f ca="1">IF(AND(Bracket!$H$21&lt;&gt;"",Bracket!$I$21&lt;&gt;""),Bracket!$I$21,"")</f>
      </c>
      <c r="U265" s="5" t="str">
        <f ca="1">Scorebook!$B$716</f>
      </c>
      <c r="V265" s="4"/>
      <c r="W265" s="5">
        <f ca="1">Scorebook!M716</f>
      </c>
      <c r="X265" s="5">
        <f ca="1">Scorebook!N716</f>
      </c>
      <c r="Y265" s="5">
        <f ca="1">Scorebook!O716</f>
      </c>
      <c r="Z265" s="5">
        <f ca="1">Scorebook!P716</f>
      </c>
      <c r="AA265" s="5">
        <f ca="1">Scorebook!Q716</f>
      </c>
      <c r="AB265" s="5">
        <f ca="1">Scorebook!R716</f>
      </c>
      <c r="AC265" s="5">
        <f ca="1">Scorebook!S716</f>
      </c>
      <c r="AD265" s="5">
        <f ca="1">Scorebook!T716</f>
      </c>
      <c r="AE265" s="5">
        <f ca="1">Scorebook!U716</f>
      </c>
      <c r="AF265" s="5">
        <f ca="1">Scorebook!V716</f>
      </c>
      <c r="AG265" s="5">
        <f ca="1">Scorebook!W716</f>
      </c>
      <c r="AH265" s="5">
        <f ca="1">Scorebook!X716</f>
      </c>
      <c r="AI265" s="5">
        <f>Settings!$B$2</f>
        <v>1</v>
      </c>
    </row>
    <row r="266" spans="19:35">
      <c r="S266" s="4" t="str">
        <f ca="1">IF(AND(Bracket!$H$21&lt;&gt;"",Bracket!$I$21&lt;&gt;""),"G15","")</f>
      </c>
      <c r="T266" s="5" t="str">
        <f ca="1">IF(AND(Bracket!$H$21&lt;&gt;"",Bracket!$I$21&lt;&gt;""),Bracket!$I$21,"")</f>
      </c>
      <c r="U266" s="5" t="str">
        <f ca="1">Scorebook!$B$717</f>
      </c>
      <c r="V266" s="4"/>
      <c r="W266" s="5">
        <f ca="1">Scorebook!M717</f>
      </c>
      <c r="X266" s="5">
        <f ca="1">Scorebook!N717</f>
      </c>
      <c r="Y266" s="5">
        <f ca="1">Scorebook!O717</f>
      </c>
      <c r="Z266" s="5">
        <f ca="1">Scorebook!P717</f>
      </c>
      <c r="AA266" s="5">
        <f ca="1">Scorebook!Q717</f>
      </c>
      <c r="AB266" s="5">
        <f ca="1">Scorebook!R717</f>
      </c>
      <c r="AC266" s="5">
        <f ca="1">Scorebook!S717</f>
      </c>
      <c r="AD266" s="5">
        <f ca="1">Scorebook!T717</f>
      </c>
      <c r="AE266" s="5">
        <f ca="1">Scorebook!U717</f>
      </c>
      <c r="AF266" s="5">
        <f ca="1">Scorebook!V717</f>
      </c>
      <c r="AG266" s="5">
        <f ca="1">Scorebook!W717</f>
      </c>
      <c r="AH266" s="5">
        <f ca="1">Scorebook!X717</f>
      </c>
      <c r="AI266" s="5">
        <f>Settings!$B$2</f>
        <v>1</v>
      </c>
    </row>
    <row r="267" spans="19:35">
      <c r="S267" s="4" t="str">
        <f ca="1">IF(AND(Bracket!$H$21&lt;&gt;"",Bracket!$I$21&lt;&gt;""),"G15","")</f>
      </c>
      <c r="T267" s="5" t="str">
        <f ca="1">IF(AND(Bracket!$H$21&lt;&gt;"",Bracket!$I$21&lt;&gt;""),Bracket!$I$21,"")</f>
      </c>
      <c r="U267" s="5" t="str">
        <f ca="1">Scorebook!$B$718</f>
      </c>
      <c r="V267" s="4"/>
      <c r="W267" s="5">
        <f ca="1">Scorebook!M718</f>
      </c>
      <c r="X267" s="5">
        <f ca="1">Scorebook!N718</f>
      </c>
      <c r="Y267" s="5">
        <f ca="1">Scorebook!O718</f>
      </c>
      <c r="Z267" s="5">
        <f ca="1">Scorebook!P718</f>
      </c>
      <c r="AA267" s="5">
        <f ca="1">Scorebook!Q718</f>
      </c>
      <c r="AB267" s="5">
        <f ca="1">Scorebook!R718</f>
      </c>
      <c r="AC267" s="5">
        <f ca="1">Scorebook!S718</f>
      </c>
      <c r="AD267" s="5">
        <f ca="1">Scorebook!T718</f>
      </c>
      <c r="AE267" s="5">
        <f ca="1">Scorebook!U718</f>
      </c>
      <c r="AF267" s="5">
        <f ca="1">Scorebook!V718</f>
      </c>
      <c r="AG267" s="5">
        <f ca="1">Scorebook!W718</f>
      </c>
      <c r="AH267" s="5">
        <f ca="1">Scorebook!X718</f>
      </c>
      <c r="AI267" s="5">
        <f>Settings!$B$2</f>
        <v>1</v>
      </c>
    </row>
    <row r="268" spans="19:35">
      <c r="S268" s="4" t="str">
        <f ca="1">IF(AND(Bracket!$H$21&lt;&gt;"",Bracket!$I$21&lt;&gt;""),"G15","")</f>
      </c>
      <c r="T268" s="5" t="str">
        <f ca="1">IF(AND(Bracket!$H$21&lt;&gt;"",Bracket!$I$21&lt;&gt;""),Bracket!$I$21,"")</f>
      </c>
      <c r="U268" s="5" t="str">
        <f ca="1">Scorebook!$B$719</f>
      </c>
      <c r="V268" s="4"/>
      <c r="W268" s="5">
        <f ca="1">Scorebook!M719</f>
      </c>
      <c r="X268" s="5">
        <f ca="1">Scorebook!N719</f>
      </c>
      <c r="Y268" s="5">
        <f ca="1">Scorebook!O719</f>
      </c>
      <c r="Z268" s="5">
        <f ca="1">Scorebook!P719</f>
      </c>
      <c r="AA268" s="5">
        <f ca="1">Scorebook!Q719</f>
      </c>
      <c r="AB268" s="5">
        <f ca="1">Scorebook!R719</f>
      </c>
      <c r="AC268" s="5">
        <f ca="1">Scorebook!S719</f>
      </c>
      <c r="AD268" s="5">
        <f ca="1">Scorebook!T719</f>
      </c>
      <c r="AE268" s="5">
        <f ca="1">Scorebook!U719</f>
      </c>
      <c r="AF268" s="5">
        <f ca="1">Scorebook!V719</f>
      </c>
      <c r="AG268" s="5">
        <f ca="1">Scorebook!W719</f>
      </c>
      <c r="AH268" s="5">
        <f ca="1">Scorebook!X719</f>
      </c>
      <c r="AI268" s="5">
        <f>Settings!$B$2</f>
        <v>1</v>
      </c>
    </row>
    <row r="269" spans="19:35">
      <c r="S269" s="4" t="str">
        <f ca="1">IF(AND(Bracket!$H$21&lt;&gt;"",Bracket!$I$21&lt;&gt;""),"G15","")</f>
      </c>
      <c r="T269" s="5" t="str">
        <f ca="1">IF(AND(Bracket!$H$21&lt;&gt;"",Bracket!$I$21&lt;&gt;""),Bracket!$I$21,"")</f>
      </c>
      <c r="U269" s="5" t="str">
        <f ca="1">Scorebook!$B$720</f>
      </c>
      <c r="V269" s="4"/>
      <c r="W269" s="5">
        <f ca="1">Scorebook!M720</f>
      </c>
      <c r="X269" s="5">
        <f ca="1">Scorebook!N720</f>
      </c>
      <c r="Y269" s="5">
        <f ca="1">Scorebook!O720</f>
      </c>
      <c r="Z269" s="5">
        <f ca="1">Scorebook!P720</f>
      </c>
      <c r="AA269" s="5">
        <f ca="1">Scorebook!Q720</f>
      </c>
      <c r="AB269" s="5">
        <f ca="1">Scorebook!R720</f>
      </c>
      <c r="AC269" s="5">
        <f ca="1">Scorebook!S720</f>
      </c>
      <c r="AD269" s="5">
        <f ca="1">Scorebook!T720</f>
      </c>
      <c r="AE269" s="5">
        <f ca="1">Scorebook!U720</f>
      </c>
      <c r="AF269" s="5">
        <f ca="1">Scorebook!V720</f>
      </c>
      <c r="AG269" s="5">
        <f ca="1">Scorebook!W720</f>
      </c>
      <c r="AH269" s="5">
        <f ca="1">Scorebook!X720</f>
      </c>
      <c r="AI269" s="5">
        <f>Settings!$B$2</f>
        <v>1</v>
      </c>
    </row>
    <row r="270" spans="19:35">
      <c r="S270" s="4" t="str">
        <f ca="1">IF(AND(Bracket!$H$21&lt;&gt;"",Bracket!$I$21&lt;&gt;""),"G15","")</f>
      </c>
      <c r="T270" s="5" t="str">
        <f ca="1">IF(AND(Bracket!$H$21&lt;&gt;"",Bracket!$I$21&lt;&gt;""),Bracket!$I$21,"")</f>
      </c>
      <c r="U270" s="5" t="str">
        <f ca="1">Scorebook!$B$721</f>
      </c>
      <c r="V270" s="4"/>
      <c r="W270" s="5">
        <f ca="1">Scorebook!M721</f>
      </c>
      <c r="X270" s="5">
        <f ca="1">Scorebook!N721</f>
      </c>
      <c r="Y270" s="5">
        <f ca="1">Scorebook!O721</f>
      </c>
      <c r="Z270" s="5">
        <f ca="1">Scorebook!P721</f>
      </c>
      <c r="AA270" s="5">
        <f ca="1">Scorebook!Q721</f>
      </c>
      <c r="AB270" s="5">
        <f ca="1">Scorebook!R721</f>
      </c>
      <c r="AC270" s="5">
        <f ca="1">Scorebook!S721</f>
      </c>
      <c r="AD270" s="5">
        <f ca="1">Scorebook!T721</f>
      </c>
      <c r="AE270" s="5">
        <f ca="1">Scorebook!U721</f>
      </c>
      <c r="AF270" s="5">
        <f ca="1">Scorebook!V721</f>
      </c>
      <c r="AG270" s="5">
        <f ca="1">Scorebook!W721</f>
      </c>
      <c r="AH270" s="5">
        <f ca="1">Scorebook!X721</f>
      </c>
      <c r="AI270" s="5">
        <f>Settings!$B$2</f>
        <v>1</v>
      </c>
    </row>
    <row r="271" spans="19:35">
      <c r="S271" s="4" t="str">
        <f ca="1">IF(AND(Bracket!$H$21&lt;&gt;"",Bracket!$I$21&lt;&gt;""),"G15","")</f>
      </c>
      <c r="T271" s="5" t="str">
        <f ca="1">IF(AND(Bracket!$H$21&lt;&gt;"",Bracket!$I$21&lt;&gt;""),Bracket!$I$21,"")</f>
      </c>
      <c r="U271" s="5" t="str">
        <f ca="1">Scorebook!$B$722</f>
      </c>
      <c r="V271" s="4"/>
      <c r="W271" s="5">
        <f ca="1">Scorebook!M722</f>
      </c>
      <c r="X271" s="5">
        <f ca="1">Scorebook!N722</f>
      </c>
      <c r="Y271" s="5">
        <f ca="1">Scorebook!O722</f>
      </c>
      <c r="Z271" s="5">
        <f ca="1">Scorebook!P722</f>
      </c>
      <c r="AA271" s="5">
        <f ca="1">Scorebook!Q722</f>
      </c>
      <c r="AB271" s="5">
        <f ca="1">Scorebook!R722</f>
      </c>
      <c r="AC271" s="5">
        <f ca="1">Scorebook!S722</f>
      </c>
      <c r="AD271" s="5">
        <f ca="1">Scorebook!T722</f>
      </c>
      <c r="AE271" s="5">
        <f ca="1">Scorebook!U722</f>
      </c>
      <c r="AF271" s="5">
        <f ca="1">Scorebook!V722</f>
      </c>
      <c r="AG271" s="5">
        <f ca="1">Scorebook!W722</f>
      </c>
      <c r="AH271" s="5">
        <f ca="1">Scorebook!X722</f>
      </c>
      <c r="AI271" s="5">
        <f>Settings!$B$2</f>
        <v>1</v>
      </c>
    </row>
    <row r="272" spans="19:35">
      <c r="S272" s="4" t="str">
        <f ca="1">IF(AND(Bracket!$H$21&lt;&gt;"",Bracket!$I$21&lt;&gt;""),"G15","")</f>
      </c>
      <c r="T272" s="5" t="str">
        <f ca="1">IF(AND(Bracket!$H$21&lt;&gt;"",Bracket!$I$21&lt;&gt;""),Bracket!$I$21,"")</f>
      </c>
      <c r="U272" s="5" t="str">
        <f ca="1">Scorebook!$B$723</f>
      </c>
      <c r="V272" s="4"/>
      <c r="W272" s="5">
        <f ca="1">Scorebook!M723</f>
      </c>
      <c r="X272" s="5">
        <f ca="1">Scorebook!N723</f>
      </c>
      <c r="Y272" s="5">
        <f ca="1">Scorebook!O723</f>
      </c>
      <c r="Z272" s="5">
        <f ca="1">Scorebook!P723</f>
      </c>
      <c r="AA272" s="5">
        <f ca="1">Scorebook!Q723</f>
      </c>
      <c r="AB272" s="5">
        <f ca="1">Scorebook!R723</f>
      </c>
      <c r="AC272" s="5">
        <f ca="1">Scorebook!S723</f>
      </c>
      <c r="AD272" s="5">
        <f ca="1">Scorebook!T723</f>
      </c>
      <c r="AE272" s="5">
        <f ca="1">Scorebook!U723</f>
      </c>
      <c r="AF272" s="5">
        <f ca="1">Scorebook!V723</f>
      </c>
      <c r="AG272" s="5">
        <f ca="1">Scorebook!W723</f>
      </c>
      <c r="AH272" s="5">
        <f ca="1">Scorebook!X723</f>
      </c>
      <c r="AI272" s="5">
        <f>Settings!$B$2</f>
        <v>1</v>
      </c>
    </row>
    <row r="273" spans="19:35">
      <c r="S273" s="4" t="str">
        <f ca="1">IF(AND(Bracket!$H$21&lt;&gt;"",Bracket!$I$21&lt;&gt;""),"G15","")</f>
      </c>
      <c r="T273" s="5" t="str">
        <f ca="1">IF(AND(Bracket!$H$21&lt;&gt;"",Bracket!$I$21&lt;&gt;""),Bracket!$I$21,"")</f>
      </c>
      <c r="U273" s="5" t="str">
        <f ca="1">Scorebook!$B$724</f>
      </c>
      <c r="V273" s="4"/>
      <c r="W273" s="5">
        <f ca="1">Scorebook!M724</f>
      </c>
      <c r="X273" s="5">
        <f ca="1">Scorebook!N724</f>
      </c>
      <c r="Y273" s="5">
        <f ca="1">Scorebook!O724</f>
      </c>
      <c r="Z273" s="5">
        <f ca="1">Scorebook!P724</f>
      </c>
      <c r="AA273" s="5">
        <f ca="1">Scorebook!Q724</f>
      </c>
      <c r="AB273" s="5">
        <f ca="1">Scorebook!R724</f>
      </c>
      <c r="AC273" s="5">
        <f ca="1">Scorebook!S724</f>
      </c>
      <c r="AD273" s="5">
        <f ca="1">Scorebook!T724</f>
      </c>
      <c r="AE273" s="5">
        <f ca="1">Scorebook!U724</f>
      </c>
      <c r="AF273" s="5">
        <f ca="1">Scorebook!V724</f>
      </c>
      <c r="AG273" s="5">
        <f ca="1">Scorebook!W724</f>
      </c>
      <c r="AH273" s="5">
        <f ca="1">Scorebook!X724</f>
      </c>
      <c r="AI273" s="5">
        <f>Settings!$B$2</f>
        <v>1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5C2532F8-9492-4CB7-AC2B-2E8F045EC0AF}">
  <dimension ref="A1:AI33"/>
  <sheetViews>
    <sheetView workbookViewId="0">
      <selection activeCell="U12" sqref="U12"/>
    </sheetView>
  </sheetViews>
  <sheetFormatPr defaultRowHeight="15"/>
  <cols>
    <col min="1" max="1" width="51.5703125" bestFit="1" customWidth="1"/>
    <col min="2" max="2" width="8.5703125" bestFit="1" customWidth="1"/>
    <col min="3" max="3" width="2.85546875" bestFit="1" customWidth="1"/>
    <col min="4" max="4" width="2" bestFit="1" customWidth="1"/>
    <col min="5" max="5" width="3.140625" bestFit="1" customWidth="1"/>
    <col min="6" max="6" width="3.42578125" bestFit="1" customWidth="1"/>
    <col min="7" max="7" width="3.28515625" bestFit="1" customWidth="1"/>
    <col min="8" max="8" width="2.140625" bestFit="1" customWidth="1"/>
    <col min="9" max="12" width="5.7109375" bestFit="1" customWidth="1"/>
    <col min="13" max="13" width="2.5703125" bestFit="1" customWidth="1"/>
    <col min="14" max="14" width="10" bestFit="1" customWidth="1"/>
    <col min="15" max="15" width="3.140625" bestFit="1" customWidth="1"/>
    <col min="16" max="17" width="3.28515625" bestFit="1" customWidth="1"/>
    <col min="18" max="18" width="4.7109375" bestFit="1" customWidth="1"/>
    <col min="19" max="19" width="5.85546875" bestFit="1" customWidth="1"/>
    <col min="20" max="20" width="3.140625" bestFit="1" customWidth="1"/>
    <col min="21" max="21" width="4.7109375" bestFit="1" customWidth="1"/>
    <col min="22" max="22" width="3.28515625" bestFit="1" customWidth="1"/>
  </cols>
  <sheetData>
    <row r="1" spans="1:35" ht="18.75">
      <c r="A1" s="59" t="s">
        <v>265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3" spans="1:35">
      <c r="A3" s="60" t="s">
        <v>129</v>
      </c>
      <c r="B3" s="60" t="s">
        <v>95</v>
      </c>
      <c r="C3" s="60" t="s">
        <v>198</v>
      </c>
      <c r="D3" s="60" t="s">
        <v>199</v>
      </c>
      <c r="E3" s="60" t="s">
        <v>266</v>
      </c>
      <c r="F3" s="60" t="s">
        <v>267</v>
      </c>
      <c r="G3" s="60" t="s">
        <v>175</v>
      </c>
      <c r="H3" s="60" t="s">
        <v>162</v>
      </c>
      <c r="I3" s="60" t="s">
        <v>268</v>
      </c>
      <c r="J3" s="60" t="s">
        <v>269</v>
      </c>
      <c r="K3" s="60" t="s">
        <v>270</v>
      </c>
      <c r="L3" s="60" t="s">
        <v>271</v>
      </c>
      <c r="M3" s="60" t="s">
        <v>195</v>
      </c>
      <c r="N3" s="60" t="s">
        <v>272</v>
      </c>
      <c r="O3" s="60" t="s">
        <v>196</v>
      </c>
      <c r="P3" s="60" t="s">
        <v>180</v>
      </c>
      <c r="Q3" s="60" t="s">
        <v>181</v>
      </c>
      <c r="R3" s="60" t="s">
        <v>273</v>
      </c>
      <c r="S3" s="60" t="s">
        <v>274</v>
      </c>
      <c r="T3" s="60" t="s">
        <v>200</v>
      </c>
      <c r="U3" s="60" t="s">
        <v>201</v>
      </c>
      <c r="V3" s="60" t="s">
        <v>202</v>
      </c>
      <c r="W3" s="60" t="s">
        <v>161</v>
      </c>
      <c r="X3" s="60" t="s">
        <v>176</v>
      </c>
      <c r="Y3" s="60" t="s">
        <v>177</v>
      </c>
      <c r="Z3" s="60" t="s">
        <v>178</v>
      </c>
      <c r="AA3" s="60" t="s">
        <v>179</v>
      </c>
      <c r="AB3" s="60" t="s">
        <v>275</v>
      </c>
      <c r="AC3" s="60" t="s">
        <v>276</v>
      </c>
      <c r="AD3" s="60" t="s">
        <v>182</v>
      </c>
      <c r="AE3" s="60" t="s">
        <v>183</v>
      </c>
      <c r="AF3" s="60" t="s">
        <v>184</v>
      </c>
      <c r="AG3" s="60" t="s">
        <v>277</v>
      </c>
      <c r="AH3" s="60" t="s">
        <v>197</v>
      </c>
      <c r="AI3" s="60" t="s">
        <v>203</v>
      </c>
    </row>
    <row r="4" spans="1:35">
      <c r="A4" s="117" t="str">
        <f ca="1">IF(Data!J4="","",Data!J4)</f>
        <v>Nick</v>
      </c>
      <c r="B4" s="18" t="str">
        <f ca="1">IF(Data!H4="","",Data!H4)</f>
        <v>G1</v>
      </c>
      <c r="C4" s="18">
        <f ca="1">IF($A4="","",IF(Data!L4=$A4,1,0))</f>
        <v>1</v>
      </c>
      <c r="D4" s="18">
        <f ca="1">IF($A4="","",IF(Data!M4=$A4,1,0))</f>
        <v>0</v>
      </c>
      <c r="E4" s="18">
        <f ca="1">IF($A4="","",IF(Data!J4=$A4,Data!N4,Data!O4))</f>
        <v>4</v>
      </c>
      <c r="F4" s="18">
        <f ca="1">IF($A4="","",IF(Data!J4=$A4,Data!O4,Data!N4))</f>
        <v>0</v>
      </c>
      <c r="G4" s="18">
        <f ca="1">IF($A4="","",SUMIFS(Data!$W$4:$W$273,Data!$T$4:$T$273,$A4,Data!$S$4:$S$273,$B4))</f>
        <v>14</v>
      </c>
      <c r="H4" s="18">
        <f ca="1">IF($A4="","",SUMIFS(Data!$Y$4:$Y$273,Data!$T$4:$T$273,$A4,Data!$S$4:$S$273,$B4))</f>
        <v>5</v>
      </c>
      <c r="I4" s="61">
        <f ca="1">IF($A4="","",IF(G4=0,0,H4/G4))</f>
        <v>0.35714285714285715</v>
      </c>
      <c r="J4" s="61">
        <f ca="1">IF($A4="","",IF((G4+SUMIFS(Data!$AD$4:$AD$273,Data!$T$4:$T$273,$A4,Data!$S$4:$S$273,$B4)+SUMIFS(Data!$AF$4:$AF$273,Data!$T$4:$T$273,$A4,Data!$S$4:$S$273,$B4)+SUMIFS(Data!$AG$4:$AG$273,Data!$T$4:$T$273,$A4,Data!$S$4:$S$273,$B4))=0,0,(H4+SUMIFS(Data!$AD$4:$AD$273,Data!$T$4:$T$273,$A4,Data!$S$4:$S$273,$B4)+SUMIFS(Data!$AF$4:$AF$273,Data!$T$4:$T$273,$A4,Data!$S$4:$S$273,$B4))/(G4+SUMIFS(Data!$AD$4:$AD$273,Data!$T$4:$T$273,$A4,Data!$S$4:$S$273,$B4)+SUMIFS(Data!$AF$4:$AF$273,Data!$T$4:$T$273,$A4,Data!$S$4:$S$273,$B4)+SUMIFS(Data!$AG$4:$AG$273,Data!$T$4:$T$273,$A4,Data!$S$4:$S$273,$B4))))</f>
        <v>0.35714285714285715</v>
      </c>
      <c r="K4" s="61">
        <f ca="1">IF($A4="","",IF(G4=0,0,((H4-SUMIFS(Data!$Z$4:$Z$273,Data!$T$4:$T$273,$A4,Data!$S$4:$S$273,$B4)-SUMIFS(Data!$AA$4:$AA$273,Data!$T$4:$T$273,$A4,Data!$S$4:$S$273,$B4)-SUMIFS(Data!$AB$4:$AB$273,Data!$T$4:$T$273,$A4,Data!$S$4:$S$273,$B4))+2*SUMIFS(Data!$Z$4:$Z$273,Data!$T$4:$T$273,$A4,Data!$S$4:$S$273,$B4)+3*SUMIFS(Data!$AA$4:$AA$273,Data!$T$4:$T$273,$A4,Data!$S$4:$S$273,$B4)+4*SUMIFS(Data!$AB$4:$AB$273,Data!$T$4:$T$273,$A4,Data!$S$4:$S$273,$B4))/G4))</f>
        <v>0.8571428571428571</v>
      </c>
      <c r="L4" s="61">
        <f ca="1">IF($A4="","",J4+K4)</f>
        <v>1.2142857142857142</v>
      </c>
      <c r="M4" s="18">
        <f ca="1">IF($A4="","",INT(SUMIFS(Data!$AN$4:$AN$183,Data!$AL$4:$AL$183,$A4,Data!$AK$4:$AK$183,$B4))+MOD(ROUND(SUMIFS(Data!$AN$4:$AN$183,Data!$AL$4:$AL$183,$A4,Data!$AK$4:$AK$183,$B4)*3,0),3)/10)</f>
        <v>3</v>
      </c>
      <c r="N4" s="18">
        <f ca="1">IF($A4="","",SUMIFS(Data!$AO$4:$AO$183,Data!$AL$4:$AL$183,$A4,Data!$AK$4:$AK$183,$B4))</f>
        <v>0</v>
      </c>
      <c r="O4" s="18">
        <f ca="1">IF($A4="","",SUMIFS(Data!$AQ$4:$AQ$183,Data!$AL$4:$AL$183,$A4,Data!$AK$4:$AK$183,$B4))</f>
        <v>0</v>
      </c>
      <c r="P4" s="18">
        <f ca="1">IF($A4="","",SUMIFS(Data!$AR$4:$AR$183,Data!$AL$4:$AL$183,$A4,Data!$AK$4:$AK$183,$B4))</f>
        <v>0</v>
      </c>
      <c r="Q4" s="18">
        <f ca="1">IF($A4="","",SUMIFS(Data!$AS$4:$AS$183,Data!$AL$4:$AL$183,$A4,Data!$AK$4:$AK$183,$B4))</f>
        <v>4</v>
      </c>
      <c r="R4" s="62">
        <f ca="1">IF($A4="","",IF(SUMIFS(Data!$AN$4:$AN$183,Data!$AL$4:$AL$183,$A4,Data!$AK$4:$AK$183,$B4)=0,0,O4*3/SUMIFS(Data!$AN$4:$AN$183,Data!$AL$4:$AL$183,$A4,Data!$AK$4:$AK$183,$B4)))</f>
        <v>0.0</v>
      </c>
      <c r="S4" s="61">
        <f ca="1">IF($A4="","",IF(SUMIFS(Data!$AN$4:$AN$183,Data!$AL$4:$AL$183,$A4,Data!$AK$4:$AK$183,$B4)=0,0,(N4+P4)/SUMIFS(Data!$AN$4:$AN$183,Data!$AL$4:$AL$183,$A4,Data!$AK$4:$AK$183,$B4)))</f>
        <v>0.0</v>
      </c>
      <c r="T4" s="18">
        <f ca="1">IF($A4="","",SUMIFS(Data!$AW$4:$AW$183,Data!$AL$4:$AL$183,$A4,Data!$AK$4:$AK$183,$B4))</f>
        <v>0</v>
      </c>
      <c r="U4" s="18">
        <f ca="1">IF($A4="","",SUMIFS(Data!$AX$4:$AX$183,Data!$AL$4:$AL$183,$A4,Data!$AK$4:$AK$183,$B4))</f>
        <v>0</v>
      </c>
      <c r="V4" s="18">
        <f ca="1">IF($A4="","",SUMIFS(Data!$AY$4:$AY$183,Data!$AL$4:$AL$183,$A4,Data!$AK$4:$AK$183,$B4))</f>
        <v>0</v>
      </c>
      <c r="W4" s="18">
        <f ca="1">IF($A4="","",SUMIFS(Data!$X$4:$X$273,Data!$T$4:$T$273,$A4,Data!$S$4:$S$273,$B4))</f>
        <v>3</v>
      </c>
      <c r="X4" s="18">
        <f ca="1">IF($A4="","",SUMIFS(Data!$Z$4:$Z$273,Data!$T$4:$T$273,$A4,Data!$S$4:$S$273,$B4))</f>
        <v>2</v>
      </c>
      <c r="Y4" s="18">
        <f ca="1">IF($A4="","",SUMIFS(Data!$AA$4:$AA$273,Data!$T$4:$T$273,$A4,Data!$S$4:$S$273,$B4))</f>
        <v>1</v>
      </c>
      <c r="Z4" s="18">
        <f ca="1">IF($A4="","",SUMIFS(Data!$AB$4:$AB$273,Data!$T$4:$T$273,$A4,Data!$S$4:$S$273,$B4))</f>
        <v>1</v>
      </c>
      <c r="AA4" s="18">
        <f ca="1">IF($A4="","",SUMIFS(Data!$AC$4:$AC$273,Data!$T$4:$T$273,$A4,Data!$S$4:$S$273,$B4))</f>
        <v>4</v>
      </c>
      <c r="AB4" s="18">
        <f ca="1">IF($A4="","",SUMIFS(Data!$AD$4:$AD$273,Data!$T$4:$T$273,$A4,Data!$S$4:$S$273,$B4))</f>
        <v>0</v>
      </c>
      <c r="AC4" s="18">
        <f ca="1">IF($A4="","",SUMIFS(Data!$AE$4:$AE$273,Data!$T$4:$T$273,$A4,Data!$S$4:$S$273,$B4))</f>
        <v>2</v>
      </c>
      <c r="AD4" s="18">
        <f ca="1">IF($A4="","",SUMIFS(Data!$AF$4:$AF$273,Data!$T$4:$T$273,$A4,Data!$S$4:$S$273,$B4))</f>
        <v>0</v>
      </c>
      <c r="AE4" s="18">
        <f ca="1">IF($A4="","",SUMIFS(Data!$AG$4:$AG$273,Data!$T$4:$T$273,$A4,Data!$S$4:$S$273,$B4))</f>
        <v>0</v>
      </c>
      <c r="AF4" s="18">
        <f ca="1">IF($A4="","",SUMIFS(Data!$AH$4:$AH$273,Data!$T$4:$T$273,$A4,Data!$S$4:$S$273,$B4))</f>
        <v>0</v>
      </c>
      <c r="AG4" s="18">
        <f ca="1">IF($A4="","",SUMIFS(Data!$AP$4:$AP$183,Data!$AL$4:$AL$183,$A4,Data!$AK$4:$AK$183,$B4))</f>
        <v>0</v>
      </c>
      <c r="AH4" s="18">
        <f ca="1">IF($A4="","",SUMIFS(Data!$AT$4:$AT$183,Data!$AL$4:$AL$183,$A4,Data!$AK$4:$AK$183,$B4))</f>
        <v>0</v>
      </c>
      <c r="AI4" s="18">
        <f ca="1">IF($A4="","",SUMIFS(Data!$AJ$4:$AJ$183,Data!$AL$4:$AL$183,$A4,Data!$AK$4:$AK$183,$B4))</f>
        <v>9</v>
      </c>
    </row>
    <row r="5" spans="1:35">
      <c r="A5" s="118" t="str">
        <f ca="1">IF(Data!K4="","",Data!K4)</f>
        <v>Donovan</v>
      </c>
      <c r="B5" s="18" t="str">
        <f ca="1">IF(Data!H4="","",Data!H4)</f>
        <v>G1</v>
      </c>
      <c r="C5" s="18">
        <f ca="1">IF($A5="","",IF(Data!L4=$A5,1,0))</f>
        <v>0</v>
      </c>
      <c r="D5" s="18">
        <f ca="1">IF($A5="","",IF(Data!M4=$A5,1,0))</f>
        <v>1</v>
      </c>
      <c r="E5" s="18">
        <f ca="1">IF($A5="","",IF(Data!J4=$A5,Data!N4,Data!O4))</f>
        <v>0</v>
      </c>
      <c r="F5" s="18">
        <f ca="1">IF($A5="","",IF(Data!J4=$A5,Data!O4,Data!N4))</f>
        <v>4</v>
      </c>
      <c r="G5" s="18">
        <f ca="1">IF($A5="","",SUMIFS(Data!$W$4:$W$273,Data!$T$4:$T$273,$A5,Data!$S$4:$S$273,$B5))</f>
        <v>9</v>
      </c>
      <c r="H5" s="18">
        <f ca="1">IF($A5="","",SUMIFS(Data!$Y$4:$Y$273,Data!$T$4:$T$273,$A5,Data!$S$4:$S$273,$B5))</f>
        <v>0</v>
      </c>
      <c r="I5" s="61">
        <f t="shared" ref="I5:I33" ca="1" si="0">IF($A5="","",IF(G5=0,0,H5/G5))</f>
        <v>0.0</v>
      </c>
      <c r="J5" s="61">
        <f ca="1">IF($A5="","",IF((G5+SUMIFS(Data!$AD$4:$AD$273,Data!$T$4:$T$273,$A5,Data!$S$4:$S$273,$B5)+SUMIFS(Data!$AF$4:$AF$273,Data!$T$4:$T$273,$A5,Data!$S$4:$S$273,$B5)+SUMIFS(Data!$AG$4:$AG$273,Data!$T$4:$T$273,$A5,Data!$S$4:$S$273,$B5))=0,0,(H5+SUMIFS(Data!$AD$4:$AD$273,Data!$T$4:$T$273,$A5,Data!$S$4:$S$273,$B5)+SUMIFS(Data!$AF$4:$AF$273,Data!$T$4:$T$273,$A5,Data!$S$4:$S$273,$B5))/(G5+SUMIFS(Data!$AD$4:$AD$273,Data!$T$4:$T$273,$A5,Data!$S$4:$S$273,$B5)+SUMIFS(Data!$AF$4:$AF$273,Data!$T$4:$T$273,$A5,Data!$S$4:$S$273,$B5)+SUMIFS(Data!$AG$4:$AG$273,Data!$T$4:$T$273,$A5,Data!$S$4:$S$273,$B5))))</f>
        <v>0.0</v>
      </c>
      <c r="K5" s="61">
        <f ca="1">IF($A5="","",IF(G5=0,0,((H5-SUMIFS(Data!$Z$4:$Z$273,Data!$T$4:$T$273,$A5,Data!$S$4:$S$273,$B5)-SUMIFS(Data!$AA$4:$AA$273,Data!$T$4:$T$273,$A5,Data!$S$4:$S$273,$B5)-SUMIFS(Data!$AB$4:$AB$273,Data!$T$4:$T$273,$A5,Data!$S$4:$S$273,$B5))+2*SUMIFS(Data!$Z$4:$Z$273,Data!$T$4:$T$273,$A5,Data!$S$4:$S$273,$B5)+3*SUMIFS(Data!$AA$4:$AA$273,Data!$T$4:$T$273,$A5,Data!$S$4:$S$273,$B5)+4*SUMIFS(Data!$AB$4:$AB$273,Data!$T$4:$T$273,$A5,Data!$S$4:$S$273,$B5))/G5))</f>
        <v>0.0</v>
      </c>
      <c r="L5" s="61">
        <f t="shared" ref="L5:L33" ca="1" si="1">IF($A5="","",J5+K5)</f>
        <v>0.0</v>
      </c>
      <c r="M5" s="18">
        <f ca="1">IF($A5="","",INT(SUMIFS(Data!$AN$4:$AN$183,Data!$AL$4:$AL$183,$A5,Data!$AK$4:$AK$183,$B5))+MOD(ROUND(SUMIFS(Data!$AN$4:$AN$183,Data!$AL$4:$AL$183,$A5,Data!$AK$4:$AK$183,$B5)*3,0),3)/10)</f>
        <v>3</v>
      </c>
      <c r="N5" s="18">
        <f ca="1">IF($A5="","",SUMIFS(Data!$AO$4:$AO$183,Data!$AL$4:$AL$183,$A5,Data!$AK$4:$AK$183,$B5))</f>
        <v>5</v>
      </c>
      <c r="O5" s="18">
        <f ca="1">IF($A5="","",SUMIFS(Data!$AQ$4:$AQ$183,Data!$AL$4:$AL$183,$A5,Data!$AK$4:$AK$183,$B5))</f>
        <v>4</v>
      </c>
      <c r="P5" s="18">
        <f ca="1">IF($A5="","",SUMIFS(Data!$AR$4:$AR$183,Data!$AL$4:$AL$183,$A5,Data!$AK$4:$AK$183,$B5))</f>
        <v>0</v>
      </c>
      <c r="Q5" s="18">
        <f ca="1">IF($A5="","",SUMIFS(Data!$AS$4:$AS$183,Data!$AL$4:$AL$183,$A5,Data!$AK$4:$AK$183,$B5))</f>
        <v>2</v>
      </c>
      <c r="R5" s="62">
        <f ca="1">IF($A5="","",IF(SUMIFS(Data!$AN$4:$AN$183,Data!$AL$4:$AL$183,$A5,Data!$AK$4:$AK$183,$B5)=0,0,O5*3/SUMIFS(Data!$AN$4:$AN$183,Data!$AL$4:$AL$183,$A5,Data!$AK$4:$AK$183,$B5)))</f>
        <v>4.0</v>
      </c>
      <c r="S5" s="61">
        <f ca="1">IF($A5="","",IF(SUMIFS(Data!$AN$4:$AN$183,Data!$AL$4:$AL$183,$A5,Data!$AK$4:$AK$183,$B5)=0,0,(N5+P5)/SUMIFS(Data!$AN$4:$AN$183,Data!$AL$4:$AL$183,$A5,Data!$AK$4:$AK$183,$B5)))</f>
        <v>1.6666666666666667</v>
      </c>
      <c r="T5" s="18">
        <f ca="1">IF($A5="","",SUMIFS(Data!$AW$4:$AW$183,Data!$AL$4:$AL$183,$A5,Data!$AK$4:$AK$183,$B5))</f>
        <v>0</v>
      </c>
      <c r="U5" s="18">
        <f ca="1">IF($A5="","",SUMIFS(Data!$AX$4:$AX$183,Data!$AL$4:$AL$183,$A5,Data!$AK$4:$AK$183,$B5))</f>
        <v>0</v>
      </c>
      <c r="V5" s="18">
        <f ca="1">IF($A5="","",SUMIFS(Data!$AY$4:$AY$183,Data!$AL$4:$AL$183,$A5,Data!$AK$4:$AK$183,$B5))</f>
        <v>1</v>
      </c>
      <c r="W5" s="18">
        <f ca="1">IF($A5="","",SUMIFS(Data!$X$4:$X$273,Data!$T$4:$T$273,$A5,Data!$S$4:$S$273,$B5))</f>
        <v>0</v>
      </c>
      <c r="X5" s="18">
        <f ca="1">IF($A5="","",SUMIFS(Data!$Z$4:$Z$273,Data!$T$4:$T$273,$A5,Data!$S$4:$S$273,$B5))</f>
        <v>0</v>
      </c>
      <c r="Y5" s="18">
        <f ca="1">IF($A5="","",SUMIFS(Data!$AA$4:$AA$273,Data!$T$4:$T$273,$A5,Data!$S$4:$S$273,$B5))</f>
        <v>0</v>
      </c>
      <c r="Z5" s="18">
        <f ca="1">IF($A5="","",SUMIFS(Data!$AB$4:$AB$273,Data!$T$4:$T$273,$A5,Data!$S$4:$S$273,$B5))</f>
        <v>0</v>
      </c>
      <c r="AA5" s="18">
        <f ca="1">IF($A5="","",SUMIFS(Data!$AC$4:$AC$273,Data!$T$4:$T$273,$A5,Data!$S$4:$S$273,$B5))</f>
        <v>0</v>
      </c>
      <c r="AB5" s="18">
        <f ca="1">IF($A5="","",SUMIFS(Data!$AD$4:$AD$273,Data!$T$4:$T$273,$A5,Data!$S$4:$S$273,$B5))</f>
        <v>0</v>
      </c>
      <c r="AC5" s="18">
        <f ca="1">IF($A5="","",SUMIFS(Data!$AE$4:$AE$273,Data!$T$4:$T$273,$A5,Data!$S$4:$S$273,$B5))</f>
        <v>4</v>
      </c>
      <c r="AD5" s="18">
        <f ca="1">IF($A5="","",SUMIFS(Data!$AF$4:$AF$273,Data!$T$4:$T$273,$A5,Data!$S$4:$S$273,$B5))</f>
        <v>0</v>
      </c>
      <c r="AE5" s="18">
        <f ca="1">IF($A5="","",SUMIFS(Data!$AG$4:$AG$273,Data!$T$4:$T$273,$A5,Data!$S$4:$S$273,$B5))</f>
        <v>0</v>
      </c>
      <c r="AF5" s="18">
        <f ca="1">IF($A5="","",SUMIFS(Data!$AH$4:$AH$273,Data!$T$4:$T$273,$A5,Data!$S$4:$S$273,$B5))</f>
        <v>0</v>
      </c>
      <c r="AG5" s="18">
        <f ca="1">IF($A5="","",SUMIFS(Data!$AP$4:$AP$183,Data!$AL$4:$AL$183,$A5,Data!$AK$4:$AK$183,$B5))</f>
        <v>4</v>
      </c>
      <c r="AH5" s="18">
        <f ca="1">IF($A5="","",SUMIFS(Data!$AT$4:$AT$183,Data!$AL$4:$AL$183,$A5,Data!$AK$4:$AK$183,$B5))</f>
        <v>1</v>
      </c>
      <c r="AI5" s="18">
        <f ca="1">IF($A5="","",SUMIFS(Data!$AJ$4:$AJ$183,Data!$AL$4:$AL$183,$A5,Data!$AK$4:$AK$183,$B5))</f>
        <v>14</v>
      </c>
    </row>
    <row r="6" spans="1:35">
      <c r="A6" s="116" t="str">
        <f ca="1">IF(Data!J5="","",Data!J5)</f>
        <v>Aidan</v>
      </c>
      <c r="B6" s="18" t="str">
        <f ca="1">IF(Data!H5="","",Data!H5)</f>
        <v>G2</v>
      </c>
      <c r="C6" s="18">
        <f ca="1">IF($A6="","",IF(Data!L5=$A6,1,0))</f>
        <v>1</v>
      </c>
      <c r="D6" s="18">
        <f ca="1">IF($A6="","",IF(Data!M5=$A6,1,0))</f>
        <v>0</v>
      </c>
      <c r="E6" s="18">
        <f ca="1">IF($A6="","",IF(Data!J5=$A6,Data!N5,Data!O5))</f>
        <v>4</v>
      </c>
      <c r="F6" s="18">
        <f ca="1">IF($A6="","",IF(Data!J5=$A6,Data!O5,Data!N5))</f>
        <v>3</v>
      </c>
      <c r="G6" s="18">
        <f ca="1">IF($A6="","",SUMIFS(Data!$W$4:$W$273,Data!$T$4:$T$273,$A6,Data!$S$4:$S$273,$B6))</f>
        <v>13</v>
      </c>
      <c r="H6" s="18">
        <f ca="1">IF($A6="","",SUMIFS(Data!$Y$4:$Y$273,Data!$T$4:$T$273,$A6,Data!$S$4:$S$273,$B6))</f>
        <v>7</v>
      </c>
      <c r="I6" s="61">
        <f t="shared" ca="1" si="0"/>
        <v>0.5384615384615384</v>
      </c>
      <c r="J6" s="61">
        <f ca="1">IF($A6="","",IF((G6+SUMIFS(Data!$AD$4:$AD$273,Data!$T$4:$T$273,$A6,Data!$S$4:$S$273,$B6)+SUMIFS(Data!$AF$4:$AF$273,Data!$T$4:$T$273,$A6,Data!$S$4:$S$273,$B6)+SUMIFS(Data!$AG$4:$AG$273,Data!$T$4:$T$273,$A6,Data!$S$4:$S$273,$B6))=0,0,(H6+SUMIFS(Data!$AD$4:$AD$273,Data!$T$4:$T$273,$A6,Data!$S$4:$S$273,$B6)+SUMIFS(Data!$AF$4:$AF$273,Data!$T$4:$T$273,$A6,Data!$S$4:$S$273,$B6))/(G6+SUMIFS(Data!$AD$4:$AD$273,Data!$T$4:$T$273,$A6,Data!$S$4:$S$273,$B6)+SUMIFS(Data!$AF$4:$AF$273,Data!$T$4:$T$273,$A6,Data!$S$4:$S$273,$B6)+SUMIFS(Data!$AG$4:$AG$273,Data!$T$4:$T$273,$A6,Data!$S$4:$S$273,$B6))))</f>
        <v>0.5384615384615384</v>
      </c>
      <c r="K6" s="61">
        <f ca="1">IF($A6="","",IF(G6=0,0,((H6-SUMIFS(Data!$Z$4:$Z$273,Data!$T$4:$T$273,$A6,Data!$S$4:$S$273,$B6)-SUMIFS(Data!$AA$4:$AA$273,Data!$T$4:$T$273,$A6,Data!$S$4:$S$273,$B6)-SUMIFS(Data!$AB$4:$AB$273,Data!$T$4:$T$273,$A6,Data!$S$4:$S$273,$B6))+2*SUMIFS(Data!$Z$4:$Z$273,Data!$T$4:$T$273,$A6,Data!$S$4:$S$273,$B6)+3*SUMIFS(Data!$AA$4:$AA$273,Data!$T$4:$T$273,$A6,Data!$S$4:$S$273,$B6)+4*SUMIFS(Data!$AB$4:$AB$273,Data!$T$4:$T$273,$A6,Data!$S$4:$S$273,$B6))/G6))</f>
        <v>1.1538461538461537</v>
      </c>
      <c r="L6" s="61">
        <f t="shared" ca="1" si="1"/>
        <v>1.692307692307692</v>
      </c>
      <c r="M6" s="18">
        <f ca="1">IF($A6="","",INT(SUMIFS(Data!$AN$4:$AN$183,Data!$AL$4:$AL$183,$A6,Data!$AK$4:$AK$183,$B6))+MOD(ROUND(SUMIFS(Data!$AN$4:$AN$183,Data!$AL$4:$AL$183,$A6,Data!$AK$4:$AK$183,$B6)*3,0),3)/10)</f>
        <v>3</v>
      </c>
      <c r="N6" s="18">
        <f ca="1">IF($A6="","",SUMIFS(Data!$AO$4:$AO$183,Data!$AL$4:$AL$183,$A6,Data!$AK$4:$AK$183,$B6))</f>
        <v>5</v>
      </c>
      <c r="O6" s="18">
        <f ca="1">IF($A6="","",SUMIFS(Data!$AQ$4:$AQ$183,Data!$AL$4:$AL$183,$A6,Data!$AK$4:$AK$183,$B6))</f>
        <v>3</v>
      </c>
      <c r="P6" s="18">
        <f ca="1">IF($A6="","",SUMIFS(Data!$AR$4:$AR$183,Data!$AL$4:$AL$183,$A6,Data!$AK$4:$AK$183,$B6))</f>
        <v>0</v>
      </c>
      <c r="Q6" s="18">
        <f ca="1">IF($A6="","",SUMIFS(Data!$AS$4:$AS$183,Data!$AL$4:$AL$183,$A6,Data!$AK$4:$AK$183,$B6))</f>
        <v>5</v>
      </c>
      <c r="R6" s="62">
        <f ca="1">IF($A6="","",IF(SUMIFS(Data!$AN$4:$AN$183,Data!$AL$4:$AL$183,$A6,Data!$AK$4:$AK$183,$B6)=0,0,O6*3/SUMIFS(Data!$AN$4:$AN$183,Data!$AL$4:$AL$183,$A6,Data!$AK$4:$AK$183,$B6)))</f>
        <v>3.0</v>
      </c>
      <c r="S6" s="61">
        <f ca="1">IF($A6="","",IF(SUMIFS(Data!$AN$4:$AN$183,Data!$AL$4:$AL$183,$A6,Data!$AK$4:$AK$183,$B6)=0,0,(N6+P6)/SUMIFS(Data!$AN$4:$AN$183,Data!$AL$4:$AL$183,$A6,Data!$AK$4:$AK$183,$B6)))</f>
        <v>1.6666666666666667</v>
      </c>
      <c r="T6" s="18">
        <f ca="1">IF($A6="","",SUMIFS(Data!$AW$4:$AW$183,Data!$AL$4:$AL$183,$A6,Data!$AK$4:$AK$183,$B6))</f>
        <v>1</v>
      </c>
      <c r="U6" s="18">
        <f ca="1">IF($A6="","",SUMIFS(Data!$AX$4:$AX$183,Data!$AL$4:$AL$183,$A6,Data!$AK$4:$AK$183,$B6))</f>
        <v>0</v>
      </c>
      <c r="V6" s="18">
        <f ca="1">IF($A6="","",SUMIFS(Data!$AY$4:$AY$183,Data!$AL$4:$AL$183,$A6,Data!$AK$4:$AK$183,$B6))</f>
        <v>0</v>
      </c>
      <c r="W6" s="18">
        <f ca="1">IF($A6="","",SUMIFS(Data!$X$4:$X$273,Data!$T$4:$T$273,$A6,Data!$S$4:$S$273,$B6))</f>
        <v>5</v>
      </c>
      <c r="X6" s="18">
        <f ca="1">IF($A6="","",SUMIFS(Data!$Z$4:$Z$273,Data!$T$4:$T$273,$A6,Data!$S$4:$S$273,$B6))</f>
        <v>0</v>
      </c>
      <c r="Y6" s="18">
        <f ca="1">IF($A6="","",SUMIFS(Data!$AA$4:$AA$273,Data!$T$4:$T$273,$A6,Data!$S$4:$S$273,$B6))</f>
        <v>1</v>
      </c>
      <c r="Z6" s="18">
        <f ca="1">IF($A6="","",SUMIFS(Data!$AB$4:$AB$273,Data!$T$4:$T$273,$A6,Data!$S$4:$S$273,$B6))</f>
        <v>2</v>
      </c>
      <c r="AA6" s="18">
        <f ca="1">IF($A6="","",SUMIFS(Data!$AC$4:$AC$273,Data!$T$4:$T$273,$A6,Data!$S$4:$S$273,$B6))</f>
        <v>4</v>
      </c>
      <c r="AB6" s="18">
        <f ca="1">IF($A6="","",SUMIFS(Data!$AD$4:$AD$273,Data!$T$4:$T$273,$A6,Data!$S$4:$S$273,$B6))</f>
        <v>0</v>
      </c>
      <c r="AC6" s="18">
        <f ca="1">IF($A6="","",SUMIFS(Data!$AE$4:$AE$273,Data!$T$4:$T$273,$A6,Data!$S$4:$S$273,$B6))</f>
        <v>1</v>
      </c>
      <c r="AD6" s="18">
        <f ca="1">IF($A6="","",SUMIFS(Data!$AF$4:$AF$273,Data!$T$4:$T$273,$A6,Data!$S$4:$S$273,$B6))</f>
        <v>0</v>
      </c>
      <c r="AE6" s="18">
        <f ca="1">IF($A6="","",SUMIFS(Data!$AG$4:$AG$273,Data!$T$4:$T$273,$A6,Data!$S$4:$S$273,$B6))</f>
        <v>0</v>
      </c>
      <c r="AF6" s="18">
        <f ca="1">IF($A6="","",SUMIFS(Data!$AH$4:$AH$273,Data!$T$4:$T$273,$A6,Data!$S$4:$S$273,$B6))</f>
        <v>0</v>
      </c>
      <c r="AG6" s="18">
        <f ca="1">IF($A6="","",SUMIFS(Data!$AP$4:$AP$183,Data!$AL$4:$AL$183,$A6,Data!$AK$4:$AK$183,$B6))</f>
        <v>3</v>
      </c>
      <c r="AH6" s="18">
        <f ca="1">IF($A6="","",SUMIFS(Data!$AT$4:$AT$183,Data!$AL$4:$AL$183,$A6,Data!$AK$4:$AK$183,$B6))</f>
        <v>3</v>
      </c>
      <c r="AI6" s="18">
        <f ca="1">IF($A6="","",SUMIFS(Data!$AJ$4:$AJ$183,Data!$AL$4:$AL$183,$A6,Data!$AK$4:$AK$183,$B6))</f>
        <v>14</v>
      </c>
    </row>
    <row r="7" spans="1:35">
      <c r="A7" s="119" t="str">
        <f ca="1">IF(Data!K5="","",Data!K5)</f>
        <v>Justin</v>
      </c>
      <c r="B7" s="18" t="str">
        <f ca="1">IF(Data!H5="","",Data!H5)</f>
        <v>G2</v>
      </c>
      <c r="C7" s="18">
        <f ca="1">IF($A7="","",IF(Data!L5=$A7,1,0))</f>
        <v>0</v>
      </c>
      <c r="D7" s="18">
        <f ca="1">IF($A7="","",IF(Data!M5=$A7,1,0))</f>
        <v>1</v>
      </c>
      <c r="E7" s="18">
        <f ca="1">IF($A7="","",IF(Data!J5=$A7,Data!N5,Data!O5))</f>
        <v>3</v>
      </c>
      <c r="F7" s="18">
        <f ca="1">IF($A7="","",IF(Data!J5=$A7,Data!O5,Data!N5))</f>
        <v>4</v>
      </c>
      <c r="G7" s="18">
        <f ca="1">IF($A7="","",SUMIFS(Data!$W$4:$W$273,Data!$T$4:$T$273,$A7,Data!$S$4:$S$273,$B7))</f>
        <v>14</v>
      </c>
      <c r="H7" s="18">
        <f ca="1">IF($A7="","",SUMIFS(Data!$Y$4:$Y$273,Data!$T$4:$T$273,$A7,Data!$S$4:$S$273,$B7))</f>
        <v>5</v>
      </c>
      <c r="I7" s="61">
        <f t="shared" ca="1" si="0"/>
        <v>0.35714285714285715</v>
      </c>
      <c r="J7" s="61">
        <f ca="1">IF($A7="","",IF((G7+SUMIFS(Data!$AD$4:$AD$273,Data!$T$4:$T$273,$A7,Data!$S$4:$S$273,$B7)+SUMIFS(Data!$AF$4:$AF$273,Data!$T$4:$T$273,$A7,Data!$S$4:$S$273,$B7)+SUMIFS(Data!$AG$4:$AG$273,Data!$T$4:$T$273,$A7,Data!$S$4:$S$273,$B7))=0,0,(H7+SUMIFS(Data!$AD$4:$AD$273,Data!$T$4:$T$273,$A7,Data!$S$4:$S$273,$B7)+SUMIFS(Data!$AF$4:$AF$273,Data!$T$4:$T$273,$A7,Data!$S$4:$S$273,$B7))/(G7+SUMIFS(Data!$AD$4:$AD$273,Data!$T$4:$T$273,$A7,Data!$S$4:$S$273,$B7)+SUMIFS(Data!$AF$4:$AF$273,Data!$T$4:$T$273,$A7,Data!$S$4:$S$273,$B7)+SUMIFS(Data!$AG$4:$AG$273,Data!$T$4:$T$273,$A7,Data!$S$4:$S$273,$B7))))</f>
        <v>0.35714285714285715</v>
      </c>
      <c r="K7" s="61">
        <f ca="1">IF($A7="","",IF(G7=0,0,((H7-SUMIFS(Data!$Z$4:$Z$273,Data!$T$4:$T$273,$A7,Data!$S$4:$S$273,$B7)-SUMIFS(Data!$AA$4:$AA$273,Data!$T$4:$T$273,$A7,Data!$S$4:$S$273,$B7)-SUMIFS(Data!$AB$4:$AB$273,Data!$T$4:$T$273,$A7,Data!$S$4:$S$273,$B7))+2*SUMIFS(Data!$Z$4:$Z$273,Data!$T$4:$T$273,$A7,Data!$S$4:$S$273,$B7)+3*SUMIFS(Data!$AA$4:$AA$273,Data!$T$4:$T$273,$A7,Data!$S$4:$S$273,$B7)+4*SUMIFS(Data!$AB$4:$AB$273,Data!$T$4:$T$273,$A7,Data!$S$4:$S$273,$B7))/G7))</f>
        <v>1.0714285714285714</v>
      </c>
      <c r="L7" s="61">
        <f t="shared" ca="1" si="1"/>
        <v>1.4285714285714286</v>
      </c>
      <c r="M7" s="18">
        <f ca="1">IF($A7="","",INT(SUMIFS(Data!$AN$4:$AN$183,Data!$AL$4:$AL$183,$A7,Data!$AK$4:$AK$183,$B7))+MOD(ROUND(SUMIFS(Data!$AN$4:$AN$183,Data!$AL$4:$AL$183,$A7,Data!$AK$4:$AK$183,$B7)*3,0),3)/10)</f>
        <v>2.1</v>
      </c>
      <c r="N7" s="18">
        <f ca="1">IF($A7="","",SUMIFS(Data!$AO$4:$AO$183,Data!$AL$4:$AL$183,$A7,Data!$AK$4:$AK$183,$B7))</f>
        <v>7</v>
      </c>
      <c r="O7" s="18">
        <f ca="1">IF($A7="","",SUMIFS(Data!$AQ$4:$AQ$183,Data!$AL$4:$AL$183,$A7,Data!$AK$4:$AK$183,$B7))</f>
        <v>4</v>
      </c>
      <c r="P7" s="18">
        <f ca="1">IF($A7="","",SUMIFS(Data!$AR$4:$AR$183,Data!$AL$4:$AL$183,$A7,Data!$AK$4:$AK$183,$B7))</f>
        <v>0</v>
      </c>
      <c r="Q7" s="18">
        <f ca="1">IF($A7="","",SUMIFS(Data!$AS$4:$AS$183,Data!$AL$4:$AL$183,$A7,Data!$AK$4:$AK$183,$B7))</f>
        <v>1</v>
      </c>
      <c r="R7" s="62">
        <f ca="1">IF($A7="","",IF(SUMIFS(Data!$AN$4:$AN$183,Data!$AL$4:$AL$183,$A7,Data!$AK$4:$AK$183,$B7)=0,0,O7*3/SUMIFS(Data!$AN$4:$AN$183,Data!$AL$4:$AL$183,$A7,Data!$AK$4:$AK$183,$B7)))</f>
        <v>5.142857142857142</v>
      </c>
      <c r="S7" s="61">
        <f ca="1">IF($A7="","",IF(SUMIFS(Data!$AN$4:$AN$183,Data!$AL$4:$AL$183,$A7,Data!$AK$4:$AK$183,$B7)=0,0,(N7+P7)/SUMIFS(Data!$AN$4:$AN$183,Data!$AL$4:$AL$183,$A7,Data!$AK$4:$AK$183,$B7)))</f>
        <v>3.0</v>
      </c>
      <c r="T7" s="18">
        <f ca="1">IF($A7="","",SUMIFS(Data!$AW$4:$AW$183,Data!$AL$4:$AL$183,$A7,Data!$AK$4:$AK$183,$B7))</f>
        <v>0</v>
      </c>
      <c r="U7" s="18">
        <f ca="1">IF($A7="","",SUMIFS(Data!$AX$4:$AX$183,Data!$AL$4:$AL$183,$A7,Data!$AK$4:$AK$183,$B7))</f>
        <v>0</v>
      </c>
      <c r="V7" s="18">
        <f ca="1">IF($A7="","",SUMIFS(Data!$AY$4:$AY$183,Data!$AL$4:$AL$183,$A7,Data!$AK$4:$AK$183,$B7))</f>
        <v>1</v>
      </c>
      <c r="W7" s="18">
        <f ca="1">IF($A7="","",SUMIFS(Data!$X$4:$X$273,Data!$T$4:$T$273,$A7,Data!$S$4:$S$273,$B7))</f>
        <v>4</v>
      </c>
      <c r="X7" s="18">
        <f ca="1">IF($A7="","",SUMIFS(Data!$Z$4:$Z$273,Data!$T$4:$T$273,$A7,Data!$S$4:$S$273,$B7))</f>
        <v>1</v>
      </c>
      <c r="Y7" s="18">
        <f ca="1">IF($A7="","",SUMIFS(Data!$AA$4:$AA$273,Data!$T$4:$T$273,$A7,Data!$S$4:$S$273,$B7))</f>
        <v>0</v>
      </c>
      <c r="Z7" s="18">
        <f ca="1">IF($A7="","",SUMIFS(Data!$AB$4:$AB$273,Data!$T$4:$T$273,$A7,Data!$S$4:$S$273,$B7))</f>
        <v>3</v>
      </c>
      <c r="AA7" s="18">
        <f ca="1">IF($A7="","",SUMIFS(Data!$AC$4:$AC$273,Data!$T$4:$T$273,$A7,Data!$S$4:$S$273,$B7))</f>
        <v>3</v>
      </c>
      <c r="AB7" s="18">
        <f ca="1">IF($A7="","",SUMIFS(Data!$AD$4:$AD$273,Data!$T$4:$T$273,$A7,Data!$S$4:$S$273,$B7))</f>
        <v>0</v>
      </c>
      <c r="AC7" s="18">
        <f ca="1">IF($A7="","",SUMIFS(Data!$AE$4:$AE$273,Data!$T$4:$T$273,$A7,Data!$S$4:$S$273,$B7))</f>
        <v>5</v>
      </c>
      <c r="AD7" s="18">
        <f ca="1">IF($A7="","",SUMIFS(Data!$AF$4:$AF$273,Data!$T$4:$T$273,$A7,Data!$S$4:$S$273,$B7))</f>
        <v>0</v>
      </c>
      <c r="AE7" s="18">
        <f ca="1">IF($A7="","",SUMIFS(Data!$AG$4:$AG$273,Data!$T$4:$T$273,$A7,Data!$S$4:$S$273,$B7))</f>
        <v>0</v>
      </c>
      <c r="AF7" s="18">
        <f ca="1">IF($A7="","",SUMIFS(Data!$AH$4:$AH$273,Data!$T$4:$T$273,$A7,Data!$S$4:$S$273,$B7))</f>
        <v>0</v>
      </c>
      <c r="AG7" s="18">
        <f ca="1">IF($A7="","",SUMIFS(Data!$AP$4:$AP$183,Data!$AL$4:$AL$183,$A7,Data!$AK$4:$AK$183,$B7))</f>
        <v>4</v>
      </c>
      <c r="AH7" s="18">
        <f ca="1">IF($A7="","",SUMIFS(Data!$AT$4:$AT$183,Data!$AL$4:$AL$183,$A7,Data!$AK$4:$AK$183,$B7))</f>
        <v>2</v>
      </c>
      <c r="AI7" s="18">
        <f ca="1">IF($A7="","",SUMIFS(Data!$AJ$4:$AJ$183,Data!$AL$4:$AL$183,$A7,Data!$AK$4:$AK$183,$B7))</f>
        <v>13</v>
      </c>
    </row>
    <row r="8" spans="1:35">
      <c r="A8" s="114" t="str">
        <f ca="1">IF(Data!J6="","",Data!J6)</f>
        <v>May</v>
      </c>
      <c r="B8" s="18" t="str">
        <f ca="1">IF(Data!H6="","",Data!H6)</f>
        <v>G3</v>
      </c>
      <c r="C8" s="18">
        <f ca="1">IF($A8="","",IF(Data!L6=$A8,1,0))</f>
        <v>0</v>
      </c>
      <c r="D8" s="18">
        <f ca="1">IF($A8="","",IF(Data!M6=$A8,1,0))</f>
        <v>1</v>
      </c>
      <c r="E8" s="18">
        <f ca="1">IF($A8="","",IF(Data!J6=$A8,Data!N6,Data!O6))</f>
        <v>1</v>
      </c>
      <c r="F8" s="18">
        <f ca="1">IF($A8="","",IF(Data!J6=$A8,Data!O6,Data!N6))</f>
        <v>2</v>
      </c>
      <c r="G8" s="18">
        <f ca="1">IF($A8="","",SUMIFS(Data!$W$4:$W$273,Data!$T$4:$T$273,$A8,Data!$S$4:$S$273,$B8))</f>
        <v>18</v>
      </c>
      <c r="H8" s="18">
        <f ca="1">IF($A8="","",SUMIFS(Data!$Y$4:$Y$273,Data!$T$4:$T$273,$A8,Data!$S$4:$S$273,$B8))</f>
        <v>7</v>
      </c>
      <c r="I8" s="61">
        <f t="shared" ca="1" si="0"/>
        <v>0.3888888888888889</v>
      </c>
      <c r="J8" s="61">
        <f ca="1">IF($A8="","",IF((G8+SUMIFS(Data!$AD$4:$AD$273,Data!$T$4:$T$273,$A8,Data!$S$4:$S$273,$B8)+SUMIFS(Data!$AF$4:$AF$273,Data!$T$4:$T$273,$A8,Data!$S$4:$S$273,$B8)+SUMIFS(Data!$AG$4:$AG$273,Data!$T$4:$T$273,$A8,Data!$S$4:$S$273,$B8))=0,0,(H8+SUMIFS(Data!$AD$4:$AD$273,Data!$T$4:$T$273,$A8,Data!$S$4:$S$273,$B8)+SUMIFS(Data!$AF$4:$AF$273,Data!$T$4:$T$273,$A8,Data!$S$4:$S$273,$B8))/(G8+SUMIFS(Data!$AD$4:$AD$273,Data!$T$4:$T$273,$A8,Data!$S$4:$S$273,$B8)+SUMIFS(Data!$AF$4:$AF$273,Data!$T$4:$T$273,$A8,Data!$S$4:$S$273,$B8)+SUMIFS(Data!$AG$4:$AG$273,Data!$T$4:$T$273,$A8,Data!$S$4:$S$273,$B8))))</f>
        <v>0.42105263157894735</v>
      </c>
      <c r="K8" s="61">
        <f ca="1">IF($A8="","",IF(G8=0,0,((H8-SUMIFS(Data!$Z$4:$Z$273,Data!$T$4:$T$273,$A8,Data!$S$4:$S$273,$B8)-SUMIFS(Data!$AA$4:$AA$273,Data!$T$4:$T$273,$A8,Data!$S$4:$S$273,$B8)-SUMIFS(Data!$AB$4:$AB$273,Data!$T$4:$T$273,$A8,Data!$S$4:$S$273,$B8))+2*SUMIFS(Data!$Z$4:$Z$273,Data!$T$4:$T$273,$A8,Data!$S$4:$S$273,$B8)+3*SUMIFS(Data!$AA$4:$AA$273,Data!$T$4:$T$273,$A8,Data!$S$4:$S$273,$B8)+4*SUMIFS(Data!$AB$4:$AB$273,Data!$T$4:$T$273,$A8,Data!$S$4:$S$273,$B8))/G8))</f>
        <v>0.4444444444444444</v>
      </c>
      <c r="L8" s="61">
        <f t="shared" ca="1" si="1"/>
        <v>0.8654970760233918</v>
      </c>
      <c r="M8" s="18">
        <f ca="1">IF($A8="","",INT(SUMIFS(Data!$AN$4:$AN$183,Data!$AL$4:$AL$183,$A8,Data!$AK$4:$AK$183,$B8))+MOD(ROUND(SUMIFS(Data!$AN$4:$AN$183,Data!$AL$4:$AL$183,$A8,Data!$AK$4:$AK$183,$B8)*3,0),3)/10)</f>
        <v>4</v>
      </c>
      <c r="N8" s="18">
        <f ca="1">IF($A8="","",SUMIFS(Data!$AO$4:$AO$183,Data!$AL$4:$AL$183,$A8,Data!$AK$4:$AK$183,$B8))</f>
        <v>5</v>
      </c>
      <c r="O8" s="18">
        <f ca="1">IF($A8="","",SUMIFS(Data!$AQ$4:$AQ$183,Data!$AL$4:$AL$183,$A8,Data!$AK$4:$AK$183,$B8))</f>
        <v>2</v>
      </c>
      <c r="P8" s="18">
        <f ca="1">IF($A8="","",SUMIFS(Data!$AR$4:$AR$183,Data!$AL$4:$AL$183,$A8,Data!$AK$4:$AK$183,$B8))</f>
        <v>0</v>
      </c>
      <c r="Q8" s="18">
        <f ca="1">IF($A8="","",SUMIFS(Data!$AS$4:$AS$183,Data!$AL$4:$AL$183,$A8,Data!$AK$4:$AK$183,$B8))</f>
        <v>2</v>
      </c>
      <c r="R8" s="62">
        <f ca="1">IF($A8="","",IF(SUMIFS(Data!$AN$4:$AN$183,Data!$AL$4:$AL$183,$A8,Data!$AK$4:$AK$183,$B8)=0,0,O8*3/SUMIFS(Data!$AN$4:$AN$183,Data!$AL$4:$AL$183,$A8,Data!$AK$4:$AK$183,$B8)))</f>
        <v>1.5</v>
      </c>
      <c r="S8" s="61">
        <f ca="1">IF($A8="","",IF(SUMIFS(Data!$AN$4:$AN$183,Data!$AL$4:$AL$183,$A8,Data!$AK$4:$AK$183,$B8)=0,0,(N8+P8)/SUMIFS(Data!$AN$4:$AN$183,Data!$AL$4:$AL$183,$A8,Data!$AK$4:$AK$183,$B8)))</f>
        <v>1.25</v>
      </c>
      <c r="T8" s="18">
        <f ca="1">IF($A8="","",SUMIFS(Data!$AW$4:$AW$183,Data!$AL$4:$AL$183,$A8,Data!$AK$4:$AK$183,$B8))</f>
        <v>0</v>
      </c>
      <c r="U8" s="18">
        <f ca="1">IF($A8="","",SUMIFS(Data!$AX$4:$AX$183,Data!$AL$4:$AL$183,$A8,Data!$AK$4:$AK$183,$B8))</f>
        <v>0</v>
      </c>
      <c r="V8" s="18">
        <f ca="1">IF($A8="","",SUMIFS(Data!$AY$4:$AY$183,Data!$AL$4:$AL$183,$A8,Data!$AK$4:$AK$183,$B8))</f>
        <v>0</v>
      </c>
      <c r="W8" s="18">
        <f ca="1">IF($A8="","",SUMIFS(Data!$X$4:$X$273,Data!$T$4:$T$273,$A8,Data!$S$4:$S$273,$B8))</f>
        <v>1</v>
      </c>
      <c r="X8" s="18">
        <f ca="1">IF($A8="","",SUMIFS(Data!$Z$4:$Z$273,Data!$T$4:$T$273,$A8,Data!$S$4:$S$273,$B8))</f>
        <v>1</v>
      </c>
      <c r="Y8" s="18">
        <f ca="1">IF($A8="","",SUMIFS(Data!$AA$4:$AA$273,Data!$T$4:$T$273,$A8,Data!$S$4:$S$273,$B8))</f>
        <v>0</v>
      </c>
      <c r="Z8" s="18">
        <f ca="1">IF($A8="","",SUMIFS(Data!$AB$4:$AB$273,Data!$T$4:$T$273,$A8,Data!$S$4:$S$273,$B8))</f>
        <v>0</v>
      </c>
      <c r="AA8" s="18">
        <f ca="1">IF($A8="","",SUMIFS(Data!$AC$4:$AC$273,Data!$T$4:$T$273,$A8,Data!$S$4:$S$273,$B8))</f>
        <v>1</v>
      </c>
      <c r="AB8" s="18">
        <f ca="1">IF($A8="","",SUMIFS(Data!$AD$4:$AD$273,Data!$T$4:$T$273,$A8,Data!$S$4:$S$273,$B8))</f>
        <v>1</v>
      </c>
      <c r="AC8" s="18">
        <f ca="1">IF($A8="","",SUMIFS(Data!$AE$4:$AE$273,Data!$T$4:$T$273,$A8,Data!$S$4:$S$273,$B8))</f>
        <v>1</v>
      </c>
      <c r="AD8" s="18">
        <f ca="1">IF($A8="","",SUMIFS(Data!$AF$4:$AF$273,Data!$T$4:$T$273,$A8,Data!$S$4:$S$273,$B8))</f>
        <v>0</v>
      </c>
      <c r="AE8" s="18">
        <f ca="1">IF($A8="","",SUMIFS(Data!$AG$4:$AG$273,Data!$T$4:$T$273,$A8,Data!$S$4:$S$273,$B8))</f>
        <v>0</v>
      </c>
      <c r="AF8" s="18">
        <f ca="1">IF($A8="","",SUMIFS(Data!$AH$4:$AH$273,Data!$T$4:$T$273,$A8,Data!$S$4:$S$273,$B8))</f>
        <v>0</v>
      </c>
      <c r="AG8" s="18">
        <f ca="1">IF($A8="","",SUMIFS(Data!$AP$4:$AP$183,Data!$AL$4:$AL$183,$A8,Data!$AK$4:$AK$183,$B8))</f>
        <v>2</v>
      </c>
      <c r="AH8" s="18">
        <f ca="1">IF($A8="","",SUMIFS(Data!$AT$4:$AT$183,Data!$AL$4:$AL$183,$A8,Data!$AK$4:$AK$183,$B8))</f>
        <v>1</v>
      </c>
      <c r="AI8" s="18">
        <f ca="1">IF($A8="","",SUMIFS(Data!$AJ$4:$AJ$183,Data!$AL$4:$AL$183,$A8,Data!$AK$4:$AK$183,$B8))</f>
        <v>18</v>
      </c>
    </row>
    <row r="9" spans="1:35">
      <c r="A9" s="117" t="str">
        <f ca="1">IF(Data!K6="","",Data!K6)</f>
        <v>Nick</v>
      </c>
      <c r="B9" s="18" t="str">
        <f ca="1">IF(Data!H6="","",Data!H6)</f>
        <v>G3</v>
      </c>
      <c r="C9" s="18">
        <f ca="1">IF($A9="","",IF(Data!L6=$A9,1,0))</f>
        <v>1</v>
      </c>
      <c r="D9" s="18">
        <f ca="1">IF($A9="","",IF(Data!M6=$A9,1,0))</f>
        <v>0</v>
      </c>
      <c r="E9" s="18">
        <f ca="1">IF($A9="","",IF(Data!J6=$A9,Data!N6,Data!O6))</f>
        <v>2</v>
      </c>
      <c r="F9" s="18">
        <f ca="1">IF($A9="","",IF(Data!J6=$A9,Data!O6,Data!N6))</f>
        <v>1</v>
      </c>
      <c r="G9" s="18">
        <f ca="1">IF($A9="","",SUMIFS(Data!$W$4:$W$273,Data!$T$4:$T$273,$A9,Data!$S$4:$S$273,$B9))</f>
        <v>16</v>
      </c>
      <c r="H9" s="18">
        <f ca="1">IF($A9="","",SUMIFS(Data!$Y$4:$Y$273,Data!$T$4:$T$273,$A9,Data!$S$4:$S$273,$B9))</f>
        <v>5</v>
      </c>
      <c r="I9" s="61">
        <f t="shared" ca="1" si="0"/>
        <v>0.3125</v>
      </c>
      <c r="J9" s="61">
        <f ca="1">IF($A9="","",IF((G9+SUMIFS(Data!$AD$4:$AD$273,Data!$T$4:$T$273,$A9,Data!$S$4:$S$273,$B9)+SUMIFS(Data!$AF$4:$AF$273,Data!$T$4:$T$273,$A9,Data!$S$4:$S$273,$B9)+SUMIFS(Data!$AG$4:$AG$273,Data!$T$4:$T$273,$A9,Data!$S$4:$S$273,$B9))=0,0,(H9+SUMIFS(Data!$AD$4:$AD$273,Data!$T$4:$T$273,$A9,Data!$S$4:$S$273,$B9)+SUMIFS(Data!$AF$4:$AF$273,Data!$T$4:$T$273,$A9,Data!$S$4:$S$273,$B9))/(G9+SUMIFS(Data!$AD$4:$AD$273,Data!$T$4:$T$273,$A9,Data!$S$4:$S$273,$B9)+SUMIFS(Data!$AF$4:$AF$273,Data!$T$4:$T$273,$A9,Data!$S$4:$S$273,$B9)+SUMIFS(Data!$AG$4:$AG$273,Data!$T$4:$T$273,$A9,Data!$S$4:$S$273,$B9))))</f>
        <v>0.3888888888888889</v>
      </c>
      <c r="K9" s="61">
        <f ca="1">IF($A9="","",IF(G9=0,0,((H9-SUMIFS(Data!$Z$4:$Z$273,Data!$T$4:$T$273,$A9,Data!$S$4:$S$273,$B9)-SUMIFS(Data!$AA$4:$AA$273,Data!$T$4:$T$273,$A9,Data!$S$4:$S$273,$B9)-SUMIFS(Data!$AB$4:$AB$273,Data!$T$4:$T$273,$A9,Data!$S$4:$S$273,$B9))+2*SUMIFS(Data!$Z$4:$Z$273,Data!$T$4:$T$273,$A9,Data!$S$4:$S$273,$B9)+3*SUMIFS(Data!$AA$4:$AA$273,Data!$T$4:$T$273,$A9,Data!$S$4:$S$273,$B9)+4*SUMIFS(Data!$AB$4:$AB$273,Data!$T$4:$T$273,$A9,Data!$S$4:$S$273,$B9))/G9))</f>
        <v>0.5625</v>
      </c>
      <c r="L9" s="61">
        <f t="shared" ca="1" si="1"/>
        <v>0.9513888888888888</v>
      </c>
      <c r="M9" s="18">
        <f ca="1">IF($A9="","",INT(SUMIFS(Data!$AN$4:$AN$183,Data!$AL$4:$AL$183,$A9,Data!$AK$4:$AK$183,$B9))+MOD(ROUND(SUMIFS(Data!$AN$4:$AN$183,Data!$AL$4:$AL$183,$A9,Data!$AK$4:$AK$183,$B9)*3,0),3)/10)</f>
        <v>3.1</v>
      </c>
      <c r="N9" s="18">
        <f ca="1">IF($A9="","",SUMIFS(Data!$AO$4:$AO$183,Data!$AL$4:$AL$183,$A9,Data!$AK$4:$AK$183,$B9))</f>
        <v>6</v>
      </c>
      <c r="O9" s="18">
        <f ca="1">IF($A9="","",SUMIFS(Data!$AQ$4:$AQ$183,Data!$AL$4:$AL$183,$A9,Data!$AK$4:$AK$183,$B9))</f>
        <v>1</v>
      </c>
      <c r="P9" s="18">
        <f ca="1">IF($A9="","",SUMIFS(Data!$AR$4:$AR$183,Data!$AL$4:$AL$183,$A9,Data!$AK$4:$AK$183,$B9))</f>
        <v>1</v>
      </c>
      <c r="Q9" s="18">
        <f ca="1">IF($A9="","",SUMIFS(Data!$AS$4:$AS$183,Data!$AL$4:$AL$183,$A9,Data!$AK$4:$AK$183,$B9))</f>
        <v>0</v>
      </c>
      <c r="R9" s="62">
        <f ca="1">IF($A9="","",IF(SUMIFS(Data!$AN$4:$AN$183,Data!$AL$4:$AL$183,$A9,Data!$AK$4:$AK$183,$B9)=0,0,O9*3/SUMIFS(Data!$AN$4:$AN$183,Data!$AL$4:$AL$183,$A9,Data!$AK$4:$AK$183,$B9)))</f>
        <v>0.8999999999999999</v>
      </c>
      <c r="S9" s="61">
        <f ca="1">IF($A9="","",IF(SUMIFS(Data!$AN$4:$AN$183,Data!$AL$4:$AL$183,$A9,Data!$AK$4:$AK$183,$B9)=0,0,(N9+P9)/SUMIFS(Data!$AN$4:$AN$183,Data!$AL$4:$AL$183,$A9,Data!$AK$4:$AK$183,$B9)))</f>
        <v>2.1</v>
      </c>
      <c r="T9" s="18">
        <f ca="1">IF($A9="","",SUMIFS(Data!$AW$4:$AW$183,Data!$AL$4:$AL$183,$A9,Data!$AK$4:$AK$183,$B9))</f>
        <v>0</v>
      </c>
      <c r="U9" s="18">
        <f ca="1">IF($A9="","",SUMIFS(Data!$AX$4:$AX$183,Data!$AL$4:$AL$183,$A9,Data!$AK$4:$AK$183,$B9))</f>
        <v>0</v>
      </c>
      <c r="V9" s="18">
        <f ca="1">IF($A9="","",SUMIFS(Data!$AY$4:$AY$183,Data!$AL$4:$AL$183,$A9,Data!$AK$4:$AK$183,$B9))</f>
        <v>0</v>
      </c>
      <c r="W9" s="18">
        <f ca="1">IF($A9="","",SUMIFS(Data!$X$4:$X$273,Data!$T$4:$T$273,$A9,Data!$S$4:$S$273,$B9))</f>
        <v>2</v>
      </c>
      <c r="X9" s="18">
        <f ca="1">IF($A9="","",SUMIFS(Data!$Z$4:$Z$273,Data!$T$4:$T$273,$A9,Data!$S$4:$S$273,$B9))</f>
        <v>1</v>
      </c>
      <c r="Y9" s="18">
        <f ca="1">IF($A9="","",SUMIFS(Data!$AA$4:$AA$273,Data!$T$4:$T$273,$A9,Data!$S$4:$S$273,$B9))</f>
        <v>0</v>
      </c>
      <c r="Z9" s="18">
        <f ca="1">IF($A9="","",SUMIFS(Data!$AB$4:$AB$273,Data!$T$4:$T$273,$A9,Data!$S$4:$S$273,$B9))</f>
        <v>1</v>
      </c>
      <c r="AA9" s="18">
        <f ca="1">IF($A9="","",SUMIFS(Data!$AC$4:$AC$273,Data!$T$4:$T$273,$A9,Data!$S$4:$S$273,$B9))</f>
        <v>2</v>
      </c>
      <c r="AB9" s="18">
        <f ca="1">IF($A9="","",SUMIFS(Data!$AD$4:$AD$273,Data!$T$4:$T$273,$A9,Data!$S$4:$S$273,$B9))</f>
        <v>0</v>
      </c>
      <c r="AC9" s="18">
        <f ca="1">IF($A9="","",SUMIFS(Data!$AE$4:$AE$273,Data!$T$4:$T$273,$A9,Data!$S$4:$S$273,$B9))</f>
        <v>2</v>
      </c>
      <c r="AD9" s="18">
        <f ca="1">IF($A9="","",SUMIFS(Data!$AF$4:$AF$273,Data!$T$4:$T$273,$A9,Data!$S$4:$S$273,$B9))</f>
        <v>2</v>
      </c>
      <c r="AE9" s="18">
        <f ca="1">IF($A9="","",SUMIFS(Data!$AG$4:$AG$273,Data!$T$4:$T$273,$A9,Data!$S$4:$S$273,$B9))</f>
        <v>0</v>
      </c>
      <c r="AF9" s="18">
        <f ca="1">IF($A9="","",SUMIFS(Data!$AH$4:$AH$273,Data!$T$4:$T$273,$A9,Data!$S$4:$S$273,$B9))</f>
        <v>0</v>
      </c>
      <c r="AG9" s="18">
        <f ca="1">IF($A9="","",SUMIFS(Data!$AP$4:$AP$183,Data!$AL$4:$AL$183,$A9,Data!$AK$4:$AK$183,$B9))</f>
        <v>1</v>
      </c>
      <c r="AH9" s="18">
        <f ca="1">IF($A9="","",SUMIFS(Data!$AT$4:$AT$183,Data!$AL$4:$AL$183,$A9,Data!$AK$4:$AK$183,$B9))</f>
        <v>0</v>
      </c>
      <c r="AI9" s="18">
        <f ca="1">IF($A9="","",SUMIFS(Data!$AJ$4:$AJ$183,Data!$AL$4:$AL$183,$A9,Data!$AK$4:$AK$183,$B9))</f>
        <v>16</v>
      </c>
    </row>
    <row r="10" spans="1:35">
      <c r="A10" s="115" t="str">
        <f ca="1">IF(Data!J7="","",Data!J7)</f>
        <v>Jason</v>
      </c>
      <c r="B10" s="18" t="str">
        <f ca="1">IF(Data!H7="","",Data!H7)</f>
        <v>G4</v>
      </c>
      <c r="C10" s="18">
        <f ca="1">IF($A10="","",IF(Data!L7=$A10,1,0))</f>
        <v>1</v>
      </c>
      <c r="D10" s="18">
        <f ca="1">IF($A10="","",IF(Data!M7=$A10,1,0))</f>
        <v>0</v>
      </c>
      <c r="E10" s="18">
        <f ca="1">IF($A10="","",IF(Data!J7=$A10,Data!N7,Data!O7))</f>
        <v>5</v>
      </c>
      <c r="F10" s="18">
        <f ca="1">IF($A10="","",IF(Data!J7=$A10,Data!O7,Data!N7))</f>
        <v>2</v>
      </c>
      <c r="G10" s="18">
        <f ca="1">IF($A10="","",SUMIFS(Data!$W$4:$W$273,Data!$T$4:$T$273,$A10,Data!$S$4:$S$273,$B10))</f>
        <v>16</v>
      </c>
      <c r="H10" s="18">
        <f ca="1">IF($A10="","",SUMIFS(Data!$Y$4:$Y$273,Data!$T$4:$T$273,$A10,Data!$S$4:$S$273,$B10))</f>
        <v>8</v>
      </c>
      <c r="I10" s="61">
        <f t="shared" ca="1" si="0"/>
        <v>0.5</v>
      </c>
      <c r="J10" s="61">
        <f ca="1">IF($A10="","",IF((G10+SUMIFS(Data!$AD$4:$AD$273,Data!$T$4:$T$273,$A10,Data!$S$4:$S$273,$B10)+SUMIFS(Data!$AF$4:$AF$273,Data!$T$4:$T$273,$A10,Data!$S$4:$S$273,$B10)+SUMIFS(Data!$AG$4:$AG$273,Data!$T$4:$T$273,$A10,Data!$S$4:$S$273,$B10))=0,0,(H10+SUMIFS(Data!$AD$4:$AD$273,Data!$T$4:$T$273,$A10,Data!$S$4:$S$273,$B10)+SUMIFS(Data!$AF$4:$AF$273,Data!$T$4:$T$273,$A10,Data!$S$4:$S$273,$B10))/(G10+SUMIFS(Data!$AD$4:$AD$273,Data!$T$4:$T$273,$A10,Data!$S$4:$S$273,$B10)+SUMIFS(Data!$AF$4:$AF$273,Data!$T$4:$T$273,$A10,Data!$S$4:$S$273,$B10)+SUMIFS(Data!$AG$4:$AG$273,Data!$T$4:$T$273,$A10,Data!$S$4:$S$273,$B10))))</f>
        <v>0.5294117647058824</v>
      </c>
      <c r="K10" s="61">
        <f ca="1">IF($A10="","",IF(G10=0,0,((H10-SUMIFS(Data!$Z$4:$Z$273,Data!$T$4:$T$273,$A10,Data!$S$4:$S$273,$B10)-SUMIFS(Data!$AA$4:$AA$273,Data!$T$4:$T$273,$A10,Data!$S$4:$S$273,$B10)-SUMIFS(Data!$AB$4:$AB$273,Data!$T$4:$T$273,$A10,Data!$S$4:$S$273,$B10))+2*SUMIFS(Data!$Z$4:$Z$273,Data!$T$4:$T$273,$A10,Data!$S$4:$S$273,$B10)+3*SUMIFS(Data!$AA$4:$AA$273,Data!$T$4:$T$273,$A10,Data!$S$4:$S$273,$B10)+4*SUMIFS(Data!$AB$4:$AB$273,Data!$T$4:$T$273,$A10,Data!$S$4:$S$273,$B10))/G10))</f>
        <v>1.5</v>
      </c>
      <c r="L10" s="61">
        <f t="shared" ca="1" si="1"/>
        <v>2.0294117647058822</v>
      </c>
      <c r="M10" s="18">
        <f ca="1">IF($A10="","",INT(SUMIFS(Data!$AN$4:$AN$183,Data!$AL$4:$AL$183,$A10,Data!$AK$4:$AK$183,$B10))+MOD(ROUND(SUMIFS(Data!$AN$4:$AN$183,Data!$AL$4:$AL$183,$A10,Data!$AK$4:$AK$183,$B10)*3,0),3)/10)</f>
        <v>3</v>
      </c>
      <c r="N10" s="18">
        <f ca="1">IF($A10="","",SUMIFS(Data!$AO$4:$AO$183,Data!$AL$4:$AL$183,$A10,Data!$AK$4:$AK$183,$B10))</f>
        <v>3</v>
      </c>
      <c r="O10" s="18">
        <f ca="1">IF($A10="","",SUMIFS(Data!$AQ$4:$AQ$183,Data!$AL$4:$AL$183,$A10,Data!$AK$4:$AK$183,$B10))</f>
        <v>2</v>
      </c>
      <c r="P10" s="18">
        <f ca="1">IF($A10="","",SUMIFS(Data!$AR$4:$AR$183,Data!$AL$4:$AL$183,$A10,Data!$AK$4:$AK$183,$B10))</f>
        <v>0</v>
      </c>
      <c r="Q10" s="18">
        <f ca="1">IF($A10="","",SUMIFS(Data!$AS$4:$AS$183,Data!$AL$4:$AL$183,$A10,Data!$AK$4:$AK$183,$B10))</f>
        <v>3</v>
      </c>
      <c r="R10" s="62">
        <f ca="1">IF($A10="","",IF(SUMIFS(Data!$AN$4:$AN$183,Data!$AL$4:$AL$183,$A10,Data!$AK$4:$AK$183,$B10)=0,0,O10*3/SUMIFS(Data!$AN$4:$AN$183,Data!$AL$4:$AL$183,$A10,Data!$AK$4:$AK$183,$B10)))</f>
        <v>2.0</v>
      </c>
      <c r="S10" s="61">
        <f ca="1">IF($A10="","",IF(SUMIFS(Data!$AN$4:$AN$183,Data!$AL$4:$AL$183,$A10,Data!$AK$4:$AK$183,$B10)=0,0,(N10+P10)/SUMIFS(Data!$AN$4:$AN$183,Data!$AL$4:$AL$183,$A10,Data!$AK$4:$AK$183,$B10)))</f>
        <v>1.0</v>
      </c>
      <c r="T10" s="18">
        <f ca="1">IF($A10="","",SUMIFS(Data!$AW$4:$AW$183,Data!$AL$4:$AL$183,$A10,Data!$AK$4:$AK$183,$B10))</f>
        <v>1</v>
      </c>
      <c r="U10" s="18">
        <f ca="1">IF($A10="","",SUMIFS(Data!$AX$4:$AX$183,Data!$AL$4:$AL$183,$A10,Data!$AK$4:$AK$183,$B10))</f>
        <v>0</v>
      </c>
      <c r="V10" s="18">
        <f ca="1">IF($A10="","",SUMIFS(Data!$AY$4:$AY$183,Data!$AL$4:$AL$183,$A10,Data!$AK$4:$AK$183,$B10))</f>
        <v>0</v>
      </c>
      <c r="W10" s="18">
        <f ca="1">IF($A10="","",SUMIFS(Data!$X$4:$X$273,Data!$T$4:$T$273,$A10,Data!$S$4:$S$273,$B10))</f>
        <v>6</v>
      </c>
      <c r="X10" s="18">
        <f ca="1">IF($A10="","",SUMIFS(Data!$Z$4:$Z$273,Data!$T$4:$T$273,$A10,Data!$S$4:$S$273,$B10))</f>
        <v>1</v>
      </c>
      <c r="Y10" s="18">
        <f ca="1">IF($A10="","",SUMIFS(Data!$AA$4:$AA$273,Data!$T$4:$T$273,$A10,Data!$S$4:$S$273,$B10))</f>
        <v>0</v>
      </c>
      <c r="Z10" s="18">
        <f ca="1">IF($A10="","",SUMIFS(Data!$AB$4:$AB$273,Data!$T$4:$T$273,$A10,Data!$S$4:$S$273,$B10))</f>
        <v>5</v>
      </c>
      <c r="AA10" s="18">
        <f ca="1">IF($A10="","",SUMIFS(Data!$AC$4:$AC$273,Data!$T$4:$T$273,$A10,Data!$S$4:$S$273,$B10))</f>
        <v>5</v>
      </c>
      <c r="AB10" s="18">
        <f ca="1">IF($A10="","",SUMIFS(Data!$AD$4:$AD$273,Data!$T$4:$T$273,$A10,Data!$S$4:$S$273,$B10))</f>
        <v>0</v>
      </c>
      <c r="AC10" s="18">
        <f ca="1">IF($A10="","",SUMIFS(Data!$AE$4:$AE$273,Data!$T$4:$T$273,$A10,Data!$S$4:$S$273,$B10))</f>
        <v>3</v>
      </c>
      <c r="AD10" s="18">
        <f ca="1">IF($A10="","",SUMIFS(Data!$AF$4:$AF$273,Data!$T$4:$T$273,$A10,Data!$S$4:$S$273,$B10))</f>
        <v>1</v>
      </c>
      <c r="AE10" s="18">
        <f ca="1">IF($A10="","",SUMIFS(Data!$AG$4:$AG$273,Data!$T$4:$T$273,$A10,Data!$S$4:$S$273,$B10))</f>
        <v>0</v>
      </c>
      <c r="AF10" s="18">
        <f ca="1">IF($A10="","",SUMIFS(Data!$AH$4:$AH$273,Data!$T$4:$T$273,$A10,Data!$S$4:$S$273,$B10))</f>
        <v>0</v>
      </c>
      <c r="AG10" s="18">
        <f ca="1">IF($A10="","",SUMIFS(Data!$AP$4:$AP$183,Data!$AL$4:$AL$183,$A10,Data!$AK$4:$AK$183,$B10))</f>
        <v>2</v>
      </c>
      <c r="AH10" s="18">
        <f ca="1">IF($A10="","",SUMIFS(Data!$AT$4:$AT$183,Data!$AL$4:$AL$183,$A10,Data!$AK$4:$AK$183,$B10))</f>
        <v>1</v>
      </c>
      <c r="AI10" s="18">
        <f ca="1">IF($A10="","",SUMIFS(Data!$AJ$4:$AJ$183,Data!$AL$4:$AL$183,$A10,Data!$AK$4:$AK$183,$B10))</f>
        <v>12</v>
      </c>
    </row>
    <row r="11" spans="1:35">
      <c r="A11" s="119" t="str">
        <f ca="1">IF(Data!K7="","",Data!K7)</f>
        <v>Aidan</v>
      </c>
      <c r="B11" s="18" t="str">
        <f ca="1">IF(Data!H7="","",Data!H7)</f>
        <v>G4</v>
      </c>
      <c r="C11" s="18">
        <f ca="1">IF($A11="","",IF(Data!L7=$A11,1,0))</f>
        <v>0</v>
      </c>
      <c r="D11" s="18">
        <f ca="1">IF($A11="","",IF(Data!M7=$A11,1,0))</f>
        <v>1</v>
      </c>
      <c r="E11" s="18">
        <f ca="1">IF($A11="","",IF(Data!J7=$A11,Data!N7,Data!O7))</f>
        <v>2</v>
      </c>
      <c r="F11" s="18">
        <f ca="1">IF($A11="","",IF(Data!J7=$A11,Data!O7,Data!N7))</f>
        <v>5</v>
      </c>
      <c r="G11" s="18">
        <f ca="1">IF($A11="","",SUMIFS(Data!$W$4:$W$273,Data!$T$4:$T$273,$A11,Data!$S$4:$S$273,$B11))</f>
        <v>12</v>
      </c>
      <c r="H11" s="18">
        <f ca="1">IF($A11="","",SUMIFS(Data!$Y$4:$Y$273,Data!$T$4:$T$273,$A11,Data!$S$4:$S$273,$B11))</f>
        <v>3</v>
      </c>
      <c r="I11" s="61">
        <f t="shared" ca="1" si="0"/>
        <v>0.25</v>
      </c>
      <c r="J11" s="61">
        <f ca="1">IF($A11="","",IF((G11+SUMIFS(Data!$AD$4:$AD$273,Data!$T$4:$T$273,$A11,Data!$S$4:$S$273,$B11)+SUMIFS(Data!$AF$4:$AF$273,Data!$T$4:$T$273,$A11,Data!$S$4:$S$273,$B11)+SUMIFS(Data!$AG$4:$AG$273,Data!$T$4:$T$273,$A11,Data!$S$4:$S$273,$B11))=0,0,(H11+SUMIFS(Data!$AD$4:$AD$273,Data!$T$4:$T$273,$A11,Data!$S$4:$S$273,$B11)+SUMIFS(Data!$AF$4:$AF$273,Data!$T$4:$T$273,$A11,Data!$S$4:$S$273,$B11))/(G11+SUMIFS(Data!$AD$4:$AD$273,Data!$T$4:$T$273,$A11,Data!$S$4:$S$273,$B11)+SUMIFS(Data!$AF$4:$AF$273,Data!$T$4:$T$273,$A11,Data!$S$4:$S$273,$B11)+SUMIFS(Data!$AG$4:$AG$273,Data!$T$4:$T$273,$A11,Data!$S$4:$S$273,$B11))))</f>
        <v>0.25</v>
      </c>
      <c r="K11" s="61">
        <f ca="1">IF($A11="","",IF(G11=0,0,((H11-SUMIFS(Data!$Z$4:$Z$273,Data!$T$4:$T$273,$A11,Data!$S$4:$S$273,$B11)-SUMIFS(Data!$AA$4:$AA$273,Data!$T$4:$T$273,$A11,Data!$S$4:$S$273,$B11)-SUMIFS(Data!$AB$4:$AB$273,Data!$T$4:$T$273,$A11,Data!$S$4:$S$273,$B11))+2*SUMIFS(Data!$Z$4:$Z$273,Data!$T$4:$T$273,$A11,Data!$S$4:$S$273,$B11)+3*SUMIFS(Data!$AA$4:$AA$273,Data!$T$4:$T$273,$A11,Data!$S$4:$S$273,$B11)+4*SUMIFS(Data!$AB$4:$AB$273,Data!$T$4:$T$273,$A11,Data!$S$4:$S$273,$B11))/G11))</f>
        <v>0.5833333333333334</v>
      </c>
      <c r="L11" s="61">
        <f t="shared" ca="1" si="1"/>
        <v>0.8333333333333334</v>
      </c>
      <c r="M11" s="18">
        <f ca="1">IF($A11="","",INT(SUMIFS(Data!$AN$4:$AN$183,Data!$AL$4:$AL$183,$A11,Data!$AK$4:$AK$183,$B11))+MOD(ROUND(SUMIFS(Data!$AN$4:$AN$183,Data!$AL$4:$AL$183,$A11,Data!$AK$4:$AK$183,$B11)*3,0),3)/10)</f>
        <v>3</v>
      </c>
      <c r="N11" s="18">
        <f ca="1">IF($A11="","",SUMIFS(Data!$AO$4:$AO$183,Data!$AL$4:$AL$183,$A11,Data!$AK$4:$AK$183,$B11))</f>
        <v>8</v>
      </c>
      <c r="O11" s="18">
        <f ca="1">IF($A11="","",SUMIFS(Data!$AQ$4:$AQ$183,Data!$AL$4:$AL$183,$A11,Data!$AK$4:$AK$183,$B11))</f>
        <v>5</v>
      </c>
      <c r="P11" s="18">
        <f ca="1">IF($A11="","",SUMIFS(Data!$AR$4:$AR$183,Data!$AL$4:$AL$183,$A11,Data!$AK$4:$AK$183,$B11))</f>
        <v>0</v>
      </c>
      <c r="Q11" s="18">
        <f ca="1">IF($A11="","",SUMIFS(Data!$AS$4:$AS$183,Data!$AL$4:$AL$183,$A11,Data!$AK$4:$AK$183,$B11))</f>
        <v>3</v>
      </c>
      <c r="R11" s="62">
        <f ca="1">IF($A11="","",IF(SUMIFS(Data!$AN$4:$AN$183,Data!$AL$4:$AL$183,$A11,Data!$AK$4:$AK$183,$B11)=0,0,O11*3/SUMIFS(Data!$AN$4:$AN$183,Data!$AL$4:$AL$183,$A11,Data!$AK$4:$AK$183,$B11)))</f>
        <v>5.0</v>
      </c>
      <c r="S11" s="61">
        <f ca="1">IF($A11="","",IF(SUMIFS(Data!$AN$4:$AN$183,Data!$AL$4:$AL$183,$A11,Data!$AK$4:$AK$183,$B11)=0,0,(N11+P11)/SUMIFS(Data!$AN$4:$AN$183,Data!$AL$4:$AL$183,$A11,Data!$AK$4:$AK$183,$B11)))</f>
        <v>2.6666666666666665</v>
      </c>
      <c r="T11" s="18">
        <f ca="1">IF($A11="","",SUMIFS(Data!$AW$4:$AW$183,Data!$AL$4:$AL$183,$A11,Data!$AK$4:$AK$183,$B11))</f>
        <v>0</v>
      </c>
      <c r="U11" s="18">
        <f ca="1">IF($A11="","",SUMIFS(Data!$AX$4:$AX$183,Data!$AL$4:$AL$183,$A11,Data!$AK$4:$AK$183,$B11))</f>
        <v>0</v>
      </c>
      <c r="V11" s="18">
        <f ca="1">IF($A11="","",SUMIFS(Data!$AY$4:$AY$183,Data!$AL$4:$AL$183,$A11,Data!$AK$4:$AK$183,$B11))</f>
        <v>0</v>
      </c>
      <c r="W11" s="18">
        <f ca="1">IF($A11="","",SUMIFS(Data!$X$4:$X$273,Data!$T$4:$T$273,$A11,Data!$S$4:$S$273,$B11))</f>
        <v>2</v>
      </c>
      <c r="X11" s="18">
        <f ca="1">IF($A11="","",SUMIFS(Data!$Z$4:$Z$273,Data!$T$4:$T$273,$A11,Data!$S$4:$S$273,$B11))</f>
        <v>1</v>
      </c>
      <c r="Y11" s="18">
        <f ca="1">IF($A11="","",SUMIFS(Data!$AA$4:$AA$273,Data!$T$4:$T$273,$A11,Data!$S$4:$S$273,$B11))</f>
        <v>0</v>
      </c>
      <c r="Z11" s="18">
        <f ca="1">IF($A11="","",SUMIFS(Data!$AB$4:$AB$273,Data!$T$4:$T$273,$A11,Data!$S$4:$S$273,$B11))</f>
        <v>1</v>
      </c>
      <c r="AA11" s="18">
        <f ca="1">IF($A11="","",SUMIFS(Data!$AC$4:$AC$273,Data!$T$4:$T$273,$A11,Data!$S$4:$S$273,$B11))</f>
        <v>2</v>
      </c>
      <c r="AB11" s="18">
        <f ca="1">IF($A11="","",SUMIFS(Data!$AD$4:$AD$273,Data!$T$4:$T$273,$A11,Data!$S$4:$S$273,$B11))</f>
        <v>0</v>
      </c>
      <c r="AC11" s="18">
        <f ca="1">IF($A11="","",SUMIFS(Data!$AE$4:$AE$273,Data!$T$4:$T$273,$A11,Data!$S$4:$S$273,$B11))</f>
        <v>3</v>
      </c>
      <c r="AD11" s="18">
        <f ca="1">IF($A11="","",SUMIFS(Data!$AF$4:$AF$273,Data!$T$4:$T$273,$A11,Data!$S$4:$S$273,$B11))</f>
        <v>0</v>
      </c>
      <c r="AE11" s="18">
        <f ca="1">IF($A11="","",SUMIFS(Data!$AG$4:$AG$273,Data!$T$4:$T$273,$A11,Data!$S$4:$S$273,$B11))</f>
        <v>0</v>
      </c>
      <c r="AF11" s="18">
        <f ca="1">IF($A11="","",SUMIFS(Data!$AH$4:$AH$273,Data!$T$4:$T$273,$A11,Data!$S$4:$S$273,$B11))</f>
        <v>0</v>
      </c>
      <c r="AG11" s="18">
        <f ca="1">IF($A11="","",SUMIFS(Data!$AP$4:$AP$183,Data!$AL$4:$AL$183,$A11,Data!$AK$4:$AK$183,$B11))</f>
        <v>5</v>
      </c>
      <c r="AH11" s="18">
        <f ca="1">IF($A11="","",SUMIFS(Data!$AT$4:$AT$183,Data!$AL$4:$AL$183,$A11,Data!$AK$4:$AK$183,$B11))</f>
        <v>5</v>
      </c>
      <c r="AI11" s="18">
        <f ca="1">IF($A11="","",SUMIFS(Data!$AJ$4:$AJ$183,Data!$AL$4:$AL$183,$A11,Data!$AK$4:$AK$183,$B11))</f>
        <v>17</v>
      </c>
    </row>
    <row r="12" spans="1:35">
      <c r="A12" s="117" t="str">
        <f ca="1">IF(Data!J8="","",Data!J8)</f>
        <v>May</v>
      </c>
      <c r="B12" s="18" t="str">
        <f ca="1">IF(Data!H8="","",Data!H8)</f>
        <v>G5</v>
      </c>
      <c r="C12" s="18">
        <f ca="1">IF($A12="","",IF(Data!L8=$A12,1,0))</f>
        <v>1</v>
      </c>
      <c r="D12" s="18">
        <f ca="1">IF($A12="","",IF(Data!M8=$A12,1,0))</f>
        <v>0</v>
      </c>
      <c r="E12" s="18">
        <f ca="1">IF($A12="","",IF(Data!J8=$A12,Data!N8,Data!O8))</f>
        <v>2</v>
      </c>
      <c r="F12" s="18">
        <f ca="1">IF($A12="","",IF(Data!J8=$A12,Data!O8,Data!N8))</f>
        <v>1</v>
      </c>
      <c r="G12" s="18">
        <f ca="1">IF($A12="","",SUMIFS(Data!$W$4:$W$273,Data!$T$4:$T$273,$A12,Data!$S$4:$S$273,$B12))</f>
        <v>9</v>
      </c>
      <c r="H12" s="18">
        <f ca="1">IF($A12="","",SUMIFS(Data!$Y$4:$Y$273,Data!$T$4:$T$273,$A12,Data!$S$4:$S$273,$B12))</f>
        <v>3</v>
      </c>
      <c r="I12" s="61">
        <f t="shared" ca="1" si="0"/>
        <v>0.3333333333333333</v>
      </c>
      <c r="J12" s="61">
        <f ca="1">IF($A12="","",IF((G12+SUMIFS(Data!$AD$4:$AD$273,Data!$T$4:$T$273,$A12,Data!$S$4:$S$273,$B12)+SUMIFS(Data!$AF$4:$AF$273,Data!$T$4:$T$273,$A12,Data!$S$4:$S$273,$B12)+SUMIFS(Data!$AG$4:$AG$273,Data!$T$4:$T$273,$A12,Data!$S$4:$S$273,$B12))=0,0,(H12+SUMIFS(Data!$AD$4:$AD$273,Data!$T$4:$T$273,$A12,Data!$S$4:$S$273,$B12)+SUMIFS(Data!$AF$4:$AF$273,Data!$T$4:$T$273,$A12,Data!$S$4:$S$273,$B12))/(G12+SUMIFS(Data!$AD$4:$AD$273,Data!$T$4:$T$273,$A12,Data!$S$4:$S$273,$B12)+SUMIFS(Data!$AF$4:$AF$273,Data!$T$4:$T$273,$A12,Data!$S$4:$S$273,$B12)+SUMIFS(Data!$AG$4:$AG$273,Data!$T$4:$T$273,$A12,Data!$S$4:$S$273,$B12))))</f>
        <v>0.3333333333333333</v>
      </c>
      <c r="K12" s="61">
        <f ca="1">IF($A12="","",IF(G12=0,0,((H12-SUMIFS(Data!$Z$4:$Z$273,Data!$T$4:$T$273,$A12,Data!$S$4:$S$273,$B12)-SUMIFS(Data!$AA$4:$AA$273,Data!$T$4:$T$273,$A12,Data!$S$4:$S$273,$B12)-SUMIFS(Data!$AB$4:$AB$273,Data!$T$4:$T$273,$A12,Data!$S$4:$S$273,$B12))+2*SUMIFS(Data!$Z$4:$Z$273,Data!$T$4:$T$273,$A12,Data!$S$4:$S$273,$B12)+3*SUMIFS(Data!$AA$4:$AA$273,Data!$T$4:$T$273,$A12,Data!$S$4:$S$273,$B12)+4*SUMIFS(Data!$AB$4:$AB$273,Data!$T$4:$T$273,$A12,Data!$S$4:$S$273,$B12))/G12))</f>
        <v>1.0</v>
      </c>
      <c r="L12" s="61">
        <f t="shared" ca="1" si="1"/>
        <v>1.3333333333333333</v>
      </c>
      <c r="M12" s="18">
        <f ca="1">IF($A12="","",INT(SUMIFS(Data!$AN$4:$AN$183,Data!$AL$4:$AL$183,$A12,Data!$AK$4:$AK$183,$B12))+MOD(ROUND(SUMIFS(Data!$AN$4:$AN$183,Data!$AL$4:$AL$183,$A12,Data!$AK$4:$AK$183,$B12)*3,0),3)/10)</f>
        <v>3</v>
      </c>
      <c r="N12" s="18">
        <f ca="1">IF($A12="","",SUMIFS(Data!$AO$4:$AO$183,Data!$AL$4:$AL$183,$A12,Data!$AK$4:$AK$183,$B12))</f>
        <v>2</v>
      </c>
      <c r="O12" s="18">
        <f ca="1">IF($A12="","",SUMIFS(Data!$AQ$4:$AQ$183,Data!$AL$4:$AL$183,$A12,Data!$AK$4:$AK$183,$B12))</f>
        <v>1</v>
      </c>
      <c r="P12" s="18">
        <f ca="1">IF($A12="","",SUMIFS(Data!$AR$4:$AR$183,Data!$AL$4:$AL$183,$A12,Data!$AK$4:$AK$183,$B12))</f>
        <v>0</v>
      </c>
      <c r="Q12" s="18">
        <f ca="1">IF($A12="","",SUMIFS(Data!$AS$4:$AS$183,Data!$AL$4:$AL$183,$A12,Data!$AK$4:$AK$183,$B12))</f>
        <v>2</v>
      </c>
      <c r="R12" s="62">
        <f ca="1">IF($A12="","",IF(SUMIFS(Data!$AN$4:$AN$183,Data!$AL$4:$AL$183,$A12,Data!$AK$4:$AK$183,$B12)=0,0,O12*3/SUMIFS(Data!$AN$4:$AN$183,Data!$AL$4:$AL$183,$A12,Data!$AK$4:$AK$183,$B12)))</f>
        <v>1.0</v>
      </c>
      <c r="S12" s="61">
        <f ca="1">IF($A12="","",IF(SUMIFS(Data!$AN$4:$AN$183,Data!$AL$4:$AL$183,$A12,Data!$AK$4:$AK$183,$B12)=0,0,(N12+P12)/SUMIFS(Data!$AN$4:$AN$183,Data!$AL$4:$AL$183,$A12,Data!$AK$4:$AK$183,$B12)))</f>
        <v>0.6666666666666666</v>
      </c>
      <c r="T12" s="18">
        <f ca="1">IF($A12="","",SUMIFS(Data!$AW$4:$AW$183,Data!$AL$4:$AL$183,$A12,Data!$AK$4:$AK$183,$B12))</f>
        <v>0</v>
      </c>
      <c r="U12" s="18">
        <f ca="1">IF($A12="","",SUMIFS(Data!$AX$4:$AX$183,Data!$AL$4:$AL$183,$A12,Data!$AK$4:$AK$183,$B12))</f>
        <v>0</v>
      </c>
      <c r="V12" s="18">
        <f ca="1">IF($A12="","",SUMIFS(Data!$AY$4:$AY$183,Data!$AL$4:$AL$183,$A12,Data!$AK$4:$AK$183,$B12))</f>
        <v>1</v>
      </c>
      <c r="W12" s="18">
        <f ca="1">IF($A12="","",SUMIFS(Data!$X$4:$X$273,Data!$T$4:$T$273,$A12,Data!$S$4:$S$273,$B12))</f>
        <v>2</v>
      </c>
      <c r="X12" s="18">
        <f ca="1">IF($A12="","",SUMIFS(Data!$Z$4:$Z$273,Data!$T$4:$T$273,$A12,Data!$S$4:$S$273,$B12))</f>
        <v>0</v>
      </c>
      <c r="Y12" s="18">
        <f ca="1">IF($A12="","",SUMIFS(Data!$AA$4:$AA$273,Data!$T$4:$T$273,$A12,Data!$S$4:$S$273,$B12))</f>
        <v>0</v>
      </c>
      <c r="Z12" s="18">
        <f ca="1">IF($A12="","",SUMIFS(Data!$AB$4:$AB$273,Data!$T$4:$T$273,$A12,Data!$S$4:$S$273,$B12))</f>
        <v>2</v>
      </c>
      <c r="AA12" s="18">
        <f ca="1">IF($A12="","",SUMIFS(Data!$AC$4:$AC$273,Data!$T$4:$T$273,$A12,Data!$S$4:$S$273,$B12))</f>
        <v>2</v>
      </c>
      <c r="AB12" s="18">
        <f ca="1">IF($A12="","",SUMIFS(Data!$AD$4:$AD$273,Data!$T$4:$T$273,$A12,Data!$S$4:$S$273,$B12))</f>
        <v>0</v>
      </c>
      <c r="AC12" s="18">
        <f ca="1">IF($A12="","",SUMIFS(Data!$AE$4:$AE$273,Data!$T$4:$T$273,$A12,Data!$S$4:$S$273,$B12))</f>
        <v>1</v>
      </c>
      <c r="AD12" s="18">
        <f ca="1">IF($A12="","",SUMIFS(Data!$AF$4:$AF$273,Data!$T$4:$T$273,$A12,Data!$S$4:$S$273,$B12))</f>
        <v>0</v>
      </c>
      <c r="AE12" s="18">
        <f ca="1">IF($A12="","",SUMIFS(Data!$AG$4:$AG$273,Data!$T$4:$T$273,$A12,Data!$S$4:$S$273,$B12))</f>
        <v>0</v>
      </c>
      <c r="AF12" s="18">
        <f ca="1">IF($A12="","",SUMIFS(Data!$AH$4:$AH$273,Data!$T$4:$T$273,$A12,Data!$S$4:$S$273,$B12))</f>
        <v>0</v>
      </c>
      <c r="AG12" s="18">
        <f ca="1">IF($A12="","",SUMIFS(Data!$AP$4:$AP$183,Data!$AL$4:$AL$183,$A12,Data!$AK$4:$AK$183,$B12))</f>
        <v>1</v>
      </c>
      <c r="AH12" s="18">
        <f ca="1">IF($A12="","",SUMIFS(Data!$AT$4:$AT$183,Data!$AL$4:$AL$183,$A12,Data!$AK$4:$AK$183,$B12))</f>
        <v>0</v>
      </c>
      <c r="AI12" s="18">
        <f ca="1">IF($A12="","",SUMIFS(Data!$AJ$4:$AJ$183,Data!$AL$4:$AL$183,$A12,Data!$AK$4:$AK$183,$B12))</f>
        <v>11</v>
      </c>
    </row>
    <row r="13" spans="1:35">
      <c r="A13" s="116" t="str">
        <f ca="1">IF(Data!K8="","",Data!K8)</f>
        <v>Justin</v>
      </c>
      <c r="B13" s="18" t="str">
        <f ca="1">IF(Data!H8="","",Data!H8)</f>
        <v>G5</v>
      </c>
      <c r="C13" s="18">
        <f ca="1">IF($A13="","",IF(Data!L8=$A13,1,0))</f>
        <v>0</v>
      </c>
      <c r="D13" s="18">
        <f ca="1">IF($A13="","",IF(Data!M8=$A13,1,0))</f>
        <v>1</v>
      </c>
      <c r="E13" s="18">
        <f ca="1">IF($A13="","",IF(Data!J8=$A13,Data!N8,Data!O8))</f>
        <v>1</v>
      </c>
      <c r="F13" s="18">
        <f ca="1">IF($A13="","",IF(Data!J8=$A13,Data!O8,Data!N8))</f>
        <v>2</v>
      </c>
      <c r="G13" s="18">
        <f ca="1">IF($A13="","",SUMIFS(Data!$W$4:$W$273,Data!$T$4:$T$273,$A13,Data!$S$4:$S$273,$B13))</f>
        <v>10</v>
      </c>
      <c r="H13" s="18">
        <f ca="1">IF($A13="","",SUMIFS(Data!$Y$4:$Y$273,Data!$T$4:$T$273,$A13,Data!$S$4:$S$273,$B13))</f>
        <v>2</v>
      </c>
      <c r="I13" s="61">
        <f t="shared" ca="1" si="0"/>
        <v>0.2</v>
      </c>
      <c r="J13" s="61">
        <f ca="1">IF($A13="","",IF((G13+SUMIFS(Data!$AD$4:$AD$273,Data!$T$4:$T$273,$A13,Data!$S$4:$S$273,$B13)+SUMIFS(Data!$AF$4:$AF$273,Data!$T$4:$T$273,$A13,Data!$S$4:$S$273,$B13)+SUMIFS(Data!$AG$4:$AG$273,Data!$T$4:$T$273,$A13,Data!$S$4:$S$273,$B13))=0,0,(H13+SUMIFS(Data!$AD$4:$AD$273,Data!$T$4:$T$273,$A13,Data!$S$4:$S$273,$B13)+SUMIFS(Data!$AF$4:$AF$273,Data!$T$4:$T$273,$A13,Data!$S$4:$S$273,$B13))/(G13+SUMIFS(Data!$AD$4:$AD$273,Data!$T$4:$T$273,$A13,Data!$S$4:$S$273,$B13)+SUMIFS(Data!$AF$4:$AF$273,Data!$T$4:$T$273,$A13,Data!$S$4:$S$273,$B13)+SUMIFS(Data!$AG$4:$AG$273,Data!$T$4:$T$273,$A13,Data!$S$4:$S$273,$B13))))</f>
        <v>0.18181818181818182</v>
      </c>
      <c r="K13" s="61">
        <f ca="1">IF($A13="","",IF(G13=0,0,((H13-SUMIFS(Data!$Z$4:$Z$273,Data!$T$4:$T$273,$A13,Data!$S$4:$S$273,$B13)-SUMIFS(Data!$AA$4:$AA$273,Data!$T$4:$T$273,$A13,Data!$S$4:$S$273,$B13)-SUMIFS(Data!$AB$4:$AB$273,Data!$T$4:$T$273,$A13,Data!$S$4:$S$273,$B13))+2*SUMIFS(Data!$Z$4:$Z$273,Data!$T$4:$T$273,$A13,Data!$S$4:$S$273,$B13)+3*SUMIFS(Data!$AA$4:$AA$273,Data!$T$4:$T$273,$A13,Data!$S$4:$S$273,$B13)+4*SUMIFS(Data!$AB$4:$AB$273,Data!$T$4:$T$273,$A13,Data!$S$4:$S$273,$B13))/G13))</f>
        <v>0.6</v>
      </c>
      <c r="L13" s="61">
        <f t="shared" ca="1" si="1"/>
        <v>0.7818181818181817</v>
      </c>
      <c r="M13" s="18">
        <f ca="1">IF($A13="","",INT(SUMIFS(Data!$AN$4:$AN$183,Data!$AL$4:$AL$183,$A13,Data!$AK$4:$AK$183,$B13))+MOD(ROUND(SUMIFS(Data!$AN$4:$AN$183,Data!$AL$4:$AL$183,$A13,Data!$AK$4:$AK$183,$B13)*3,0),3)/10)</f>
        <v>2</v>
      </c>
      <c r="N13" s="18">
        <f ca="1">IF($A13="","",SUMIFS(Data!$AO$4:$AO$183,Data!$AL$4:$AL$183,$A13,Data!$AK$4:$AK$183,$B13))</f>
        <v>3</v>
      </c>
      <c r="O13" s="18">
        <f ca="1">IF($A13="","",SUMIFS(Data!$AQ$4:$AQ$183,Data!$AL$4:$AL$183,$A13,Data!$AK$4:$AK$183,$B13))</f>
        <v>2</v>
      </c>
      <c r="P13" s="18">
        <f ca="1">IF($A13="","",SUMIFS(Data!$AR$4:$AR$183,Data!$AL$4:$AL$183,$A13,Data!$AK$4:$AK$183,$B13))</f>
        <v>0</v>
      </c>
      <c r="Q13" s="18">
        <f ca="1">IF($A13="","",SUMIFS(Data!$AS$4:$AS$183,Data!$AL$4:$AL$183,$A13,Data!$AK$4:$AK$183,$B13))</f>
        <v>1</v>
      </c>
      <c r="R13" s="62">
        <f ca="1">IF($A13="","",IF(SUMIFS(Data!$AN$4:$AN$183,Data!$AL$4:$AL$183,$A13,Data!$AK$4:$AK$183,$B13)=0,0,O13*3/SUMIFS(Data!$AN$4:$AN$183,Data!$AL$4:$AL$183,$A13,Data!$AK$4:$AK$183,$B13)))</f>
        <v>3.0</v>
      </c>
      <c r="S13" s="61">
        <f ca="1">IF($A13="","",IF(SUMIFS(Data!$AN$4:$AN$183,Data!$AL$4:$AL$183,$A13,Data!$AK$4:$AK$183,$B13)=0,0,(N13+P13)/SUMIFS(Data!$AN$4:$AN$183,Data!$AL$4:$AL$183,$A13,Data!$AK$4:$AK$183,$B13)))</f>
        <v>1.5</v>
      </c>
      <c r="T13" s="18">
        <f ca="1">IF($A13="","",SUMIFS(Data!$AW$4:$AW$183,Data!$AL$4:$AL$183,$A13,Data!$AK$4:$AK$183,$B13))</f>
        <v>0</v>
      </c>
      <c r="U13" s="18">
        <f ca="1">IF($A13="","",SUMIFS(Data!$AX$4:$AX$183,Data!$AL$4:$AL$183,$A13,Data!$AK$4:$AK$183,$B13))</f>
        <v>0</v>
      </c>
      <c r="V13" s="18">
        <f ca="1">IF($A13="","",SUMIFS(Data!$AY$4:$AY$183,Data!$AL$4:$AL$183,$A13,Data!$AK$4:$AK$183,$B13))</f>
        <v>1</v>
      </c>
      <c r="W13" s="18">
        <f ca="1">IF($A13="","",SUMIFS(Data!$X$4:$X$273,Data!$T$4:$T$273,$A13,Data!$S$4:$S$273,$B13))</f>
        <v>1</v>
      </c>
      <c r="X13" s="18">
        <f ca="1">IF($A13="","",SUMIFS(Data!$Z$4:$Z$273,Data!$T$4:$T$273,$A13,Data!$S$4:$S$273,$B13))</f>
        <v>0</v>
      </c>
      <c r="Y13" s="18">
        <f ca="1">IF($A13="","",SUMIFS(Data!$AA$4:$AA$273,Data!$T$4:$T$273,$A13,Data!$S$4:$S$273,$B13))</f>
        <v>2</v>
      </c>
      <c r="Z13" s="18">
        <f ca="1">IF($A13="","",SUMIFS(Data!$AB$4:$AB$273,Data!$T$4:$T$273,$A13,Data!$S$4:$S$273,$B13))</f>
        <v>0</v>
      </c>
      <c r="AA13" s="18">
        <f ca="1">IF($A13="","",SUMIFS(Data!$AC$4:$AC$273,Data!$T$4:$T$273,$A13,Data!$S$4:$S$273,$B13))</f>
        <v>1</v>
      </c>
      <c r="AB13" s="18">
        <f ca="1">IF($A13="","",SUMIFS(Data!$AD$4:$AD$273,Data!$T$4:$T$273,$A13,Data!$S$4:$S$273,$B13))</f>
        <v>0</v>
      </c>
      <c r="AC13" s="18">
        <f ca="1">IF($A13="","",SUMIFS(Data!$AE$4:$AE$273,Data!$T$4:$T$273,$A13,Data!$S$4:$S$273,$B13))</f>
        <v>2</v>
      </c>
      <c r="AD13" s="18">
        <f ca="1">IF($A13="","",SUMIFS(Data!$AF$4:$AF$273,Data!$T$4:$T$273,$A13,Data!$S$4:$S$273,$B13))</f>
        <v>0</v>
      </c>
      <c r="AE13" s="18">
        <f ca="1">IF($A13="","",SUMIFS(Data!$AG$4:$AG$273,Data!$T$4:$T$273,$A13,Data!$S$4:$S$273,$B13))</f>
        <v>1</v>
      </c>
      <c r="AF13" s="18">
        <f ca="1">IF($A13="","",SUMIFS(Data!$AH$4:$AH$273,Data!$T$4:$T$273,$A13,Data!$S$4:$S$273,$B13))</f>
        <v>0</v>
      </c>
      <c r="AG13" s="18">
        <f ca="1">IF($A13="","",SUMIFS(Data!$AP$4:$AP$183,Data!$AL$4:$AL$183,$A13,Data!$AK$4:$AK$183,$B13))</f>
        <v>2</v>
      </c>
      <c r="AH13" s="18">
        <f ca="1">IF($A13="","",SUMIFS(Data!$AT$4:$AT$183,Data!$AL$4:$AL$183,$A13,Data!$AK$4:$AK$183,$B13))</f>
        <v>2</v>
      </c>
      <c r="AI13" s="18">
        <f ca="1">IF($A13="","",SUMIFS(Data!$AJ$4:$AJ$183,Data!$AL$4:$AL$183,$A13,Data!$AK$4:$AK$183,$B13))</f>
        <v>9</v>
      </c>
    </row>
    <row r="14" spans="1:35">
      <c r="A14" s="18" t="str">
        <f ca="1">IF(Data!J9="","",Data!J9)</f>
        <v>Aidan</v>
      </c>
      <c r="B14" s="18" t="str">
        <f ca="1">IF(Data!H9="","",Data!H9)</f>
        <v>G6</v>
      </c>
      <c r="C14" s="18">
        <f ca="1">IF($A14="","",IF(Data!L9=$A14,1,0))</f>
        <v>0</v>
      </c>
      <c r="D14" s="18">
        <f ca="1">IF($A14="","",IF(Data!M9=$A14,1,0))</f>
        <v>1</v>
      </c>
      <c r="E14" s="18">
        <f ca="1">IF($A14="","",IF(Data!J9=$A14,Data!N9,Data!O9))</f>
        <v>1</v>
      </c>
      <c r="F14" s="18">
        <f ca="1">IF($A14="","",IF(Data!J9=$A14,Data!O9,Data!N9))</f>
        <v>4</v>
      </c>
      <c r="G14" s="18">
        <f ca="1">IF($A14="","",SUMIFS(Data!$W$4:$W$273,Data!$T$4:$T$273,$A14,Data!$S$4:$S$273,$B14))</f>
        <v>13</v>
      </c>
      <c r="H14" s="18">
        <f ca="1">IF($A14="","",SUMIFS(Data!$Y$4:$Y$273,Data!$T$4:$T$273,$A14,Data!$S$4:$S$273,$B14))</f>
        <v>4</v>
      </c>
      <c r="I14" s="61">
        <f t="shared" ca="1" si="0"/>
        <v>0.3076923076923077</v>
      </c>
      <c r="J14" s="61">
        <f ca="1">IF($A14="","",IF((G14+SUMIFS(Data!$AD$4:$AD$273,Data!$T$4:$T$273,$A14,Data!$S$4:$S$273,$B14)+SUMIFS(Data!$AF$4:$AF$273,Data!$T$4:$T$273,$A14,Data!$S$4:$S$273,$B14)+SUMIFS(Data!$AG$4:$AG$273,Data!$T$4:$T$273,$A14,Data!$S$4:$S$273,$B14))=0,0,(H14+SUMIFS(Data!$AD$4:$AD$273,Data!$T$4:$T$273,$A14,Data!$S$4:$S$273,$B14)+SUMIFS(Data!$AF$4:$AF$273,Data!$T$4:$T$273,$A14,Data!$S$4:$S$273,$B14))/(G14+SUMIFS(Data!$AD$4:$AD$273,Data!$T$4:$T$273,$A14,Data!$S$4:$S$273,$B14)+SUMIFS(Data!$AF$4:$AF$273,Data!$T$4:$T$273,$A14,Data!$S$4:$S$273,$B14)+SUMIFS(Data!$AG$4:$AG$273,Data!$T$4:$T$273,$A14,Data!$S$4:$S$273,$B14))))</f>
        <v>0.3076923076923077</v>
      </c>
      <c r="K14" s="61">
        <f ca="1">IF($A14="","",IF(G14=0,0,((H14-SUMIFS(Data!$Z$4:$Z$273,Data!$T$4:$T$273,$A14,Data!$S$4:$S$273,$B14)-SUMIFS(Data!$AA$4:$AA$273,Data!$T$4:$T$273,$A14,Data!$S$4:$S$273,$B14)-SUMIFS(Data!$AB$4:$AB$273,Data!$T$4:$T$273,$A14,Data!$S$4:$S$273,$B14))+2*SUMIFS(Data!$Z$4:$Z$273,Data!$T$4:$T$273,$A14,Data!$S$4:$S$273,$B14)+3*SUMIFS(Data!$AA$4:$AA$273,Data!$T$4:$T$273,$A14,Data!$S$4:$S$273,$B14)+4*SUMIFS(Data!$AB$4:$AB$273,Data!$T$4:$T$273,$A14,Data!$S$4:$S$273,$B14))/G14))</f>
        <v>0.6153846153846154</v>
      </c>
      <c r="L14" s="61">
        <f t="shared" ca="1" si="1"/>
        <v>0.9230769230769231</v>
      </c>
      <c r="M14" s="18">
        <f ca="1">IF($A14="","",INT(SUMIFS(Data!$AN$4:$AN$183,Data!$AL$4:$AL$183,$A14,Data!$AK$4:$AK$183,$B14))+MOD(ROUND(SUMIFS(Data!$AN$4:$AN$183,Data!$AL$4:$AL$183,$A14,Data!$AK$4:$AK$183,$B14)*3,0),3)/10)</f>
        <v>3</v>
      </c>
      <c r="N14" s="18">
        <f ca="1">IF($A14="","",SUMIFS(Data!$AO$4:$AO$183,Data!$AL$4:$AL$183,$A14,Data!$AK$4:$AK$183,$B14))</f>
        <v>4</v>
      </c>
      <c r="O14" s="18">
        <f ca="1">IF($A14="","",SUMIFS(Data!$AQ$4:$AQ$183,Data!$AL$4:$AL$183,$A14,Data!$AK$4:$AK$183,$B14))</f>
        <v>4</v>
      </c>
      <c r="P14" s="18">
        <f ca="1">IF($A14="","",SUMIFS(Data!$AR$4:$AR$183,Data!$AL$4:$AL$183,$A14,Data!$AK$4:$AK$183,$B14))</f>
        <v>0</v>
      </c>
      <c r="Q14" s="18">
        <f ca="1">IF($A14="","",SUMIFS(Data!$AS$4:$AS$183,Data!$AL$4:$AL$183,$A14,Data!$AK$4:$AK$183,$B14))</f>
        <v>6</v>
      </c>
      <c r="R14" s="62">
        <f ca="1">IF($A14="","",IF(SUMIFS(Data!$AN$4:$AN$183,Data!$AL$4:$AL$183,$A14,Data!$AK$4:$AK$183,$B14)=0,0,O14*3/SUMIFS(Data!$AN$4:$AN$183,Data!$AL$4:$AL$183,$A14,Data!$AK$4:$AK$183,$B14)))</f>
        <v>4.0</v>
      </c>
      <c r="S14" s="61">
        <f ca="1">IF($A14="","",IF(SUMIFS(Data!$AN$4:$AN$183,Data!$AL$4:$AL$183,$A14,Data!$AK$4:$AK$183,$B14)=0,0,(N14+P14)/SUMIFS(Data!$AN$4:$AN$183,Data!$AL$4:$AL$183,$A14,Data!$AK$4:$AK$183,$B14)))</f>
        <v>1.3333333333333333</v>
      </c>
      <c r="T14" s="18">
        <f ca="1">IF($A14="","",SUMIFS(Data!$AW$4:$AW$183,Data!$AL$4:$AL$183,$A14,Data!$AK$4:$AK$183,$B14))</f>
        <v>0</v>
      </c>
      <c r="U14" s="18">
        <f ca="1">IF($A14="","",SUMIFS(Data!$AX$4:$AX$183,Data!$AL$4:$AL$183,$A14,Data!$AK$4:$AK$183,$B14))</f>
        <v>0</v>
      </c>
      <c r="V14" s="18">
        <f ca="1">IF($A14="","",SUMIFS(Data!$AY$4:$AY$183,Data!$AL$4:$AL$183,$A14,Data!$AK$4:$AK$183,$B14))</f>
        <v>0</v>
      </c>
      <c r="W14" s="18">
        <f ca="1">IF($A14="","",SUMIFS(Data!$X$4:$X$273,Data!$T$4:$T$273,$A14,Data!$S$4:$S$273,$B14))</f>
        <v>1</v>
      </c>
      <c r="X14" s="18">
        <f ca="1">IF($A14="","",SUMIFS(Data!$Z$4:$Z$273,Data!$T$4:$T$273,$A14,Data!$S$4:$S$273,$B14))</f>
        <v>1</v>
      </c>
      <c r="Y14" s="18">
        <f ca="1">IF($A14="","",SUMIFS(Data!$AA$4:$AA$273,Data!$T$4:$T$273,$A14,Data!$S$4:$S$273,$B14))</f>
        <v>0</v>
      </c>
      <c r="Z14" s="18">
        <f ca="1">IF($A14="","",SUMIFS(Data!$AB$4:$AB$273,Data!$T$4:$T$273,$A14,Data!$S$4:$S$273,$B14))</f>
        <v>1</v>
      </c>
      <c r="AA14" s="18">
        <f ca="1">IF($A14="","",SUMIFS(Data!$AC$4:$AC$273,Data!$T$4:$T$273,$A14,Data!$S$4:$S$273,$B14))</f>
        <v>1</v>
      </c>
      <c r="AB14" s="18">
        <f ca="1">IF($A14="","",SUMIFS(Data!$AD$4:$AD$273,Data!$T$4:$T$273,$A14,Data!$S$4:$S$273,$B14))</f>
        <v>0</v>
      </c>
      <c r="AC14" s="18">
        <f ca="1">IF($A14="","",SUMIFS(Data!$AE$4:$AE$273,Data!$T$4:$T$273,$A14,Data!$S$4:$S$273,$B14))</f>
        <v>3</v>
      </c>
      <c r="AD14" s="18">
        <f ca="1">IF($A14="","",SUMIFS(Data!$AF$4:$AF$273,Data!$T$4:$T$273,$A14,Data!$S$4:$S$273,$B14))</f>
        <v>0</v>
      </c>
      <c r="AE14" s="18">
        <f ca="1">IF($A14="","",SUMIFS(Data!$AG$4:$AG$273,Data!$T$4:$T$273,$A14,Data!$S$4:$S$273,$B14))</f>
        <v>0</v>
      </c>
      <c r="AF14" s="18">
        <f ca="1">IF($A14="","",SUMIFS(Data!$AH$4:$AH$273,Data!$T$4:$T$273,$A14,Data!$S$4:$S$273,$B14))</f>
        <v>0</v>
      </c>
      <c r="AG14" s="18">
        <f ca="1">IF($A14="","",SUMIFS(Data!$AP$4:$AP$183,Data!$AL$4:$AL$183,$A14,Data!$AK$4:$AK$183,$B14))</f>
        <v>4</v>
      </c>
      <c r="AH14" s="18">
        <f ca="1">IF($A14="","",SUMIFS(Data!$AT$4:$AT$183,Data!$AL$4:$AL$183,$A14,Data!$AK$4:$AK$183,$B14))</f>
        <v>2</v>
      </c>
      <c r="AI14" s="18">
        <f ca="1">IF($A14="","",SUMIFS(Data!$AJ$4:$AJ$183,Data!$AL$4:$AL$183,$A14,Data!$AK$4:$AK$183,$B14))</f>
        <v>13</v>
      </c>
    </row>
    <row r="15" spans="1:35">
      <c r="A15" s="18" t="str">
        <f ca="1">IF(Data!K9="","",Data!K9)</f>
        <v>Donovan</v>
      </c>
      <c r="B15" s="18" t="str">
        <f ca="1">IF(Data!H9="","",Data!H9)</f>
        <v>G6</v>
      </c>
      <c r="C15" s="18">
        <f ca="1">IF($A15="","",IF(Data!L9=$A15,1,0))</f>
        <v>1</v>
      </c>
      <c r="D15" s="18">
        <f ca="1">IF($A15="","",IF(Data!M9=$A15,1,0))</f>
        <v>0</v>
      </c>
      <c r="E15" s="18">
        <f ca="1">IF($A15="","",IF(Data!J9=$A15,Data!N9,Data!O9))</f>
        <v>4</v>
      </c>
      <c r="F15" s="18">
        <f ca="1">IF($A15="","",IF(Data!J9=$A15,Data!O9,Data!N9))</f>
        <v>1</v>
      </c>
      <c r="G15" s="18">
        <f ca="1">IF($A15="","",SUMIFS(Data!$W$4:$W$273,Data!$T$4:$T$273,$A15,Data!$S$4:$S$273,$B15))</f>
        <v>13</v>
      </c>
      <c r="H15" s="18">
        <f ca="1">IF($A15="","",SUMIFS(Data!$Y$4:$Y$273,Data!$T$4:$T$273,$A15,Data!$S$4:$S$273,$B15))</f>
        <v>4</v>
      </c>
      <c r="I15" s="61">
        <f t="shared" ca="1" si="0"/>
        <v>0.3076923076923077</v>
      </c>
      <c r="J15" s="61">
        <f ca="1">IF($A15="","",IF((G15+SUMIFS(Data!$AD$4:$AD$273,Data!$T$4:$T$273,$A15,Data!$S$4:$S$273,$B15)+SUMIFS(Data!$AF$4:$AF$273,Data!$T$4:$T$273,$A15,Data!$S$4:$S$273,$B15)+SUMIFS(Data!$AG$4:$AG$273,Data!$T$4:$T$273,$A15,Data!$S$4:$S$273,$B15))=0,0,(H15+SUMIFS(Data!$AD$4:$AD$273,Data!$T$4:$T$273,$A15,Data!$S$4:$S$273,$B15)+SUMIFS(Data!$AF$4:$AF$273,Data!$T$4:$T$273,$A15,Data!$S$4:$S$273,$B15))/(G15+SUMIFS(Data!$AD$4:$AD$273,Data!$T$4:$T$273,$A15,Data!$S$4:$S$273,$B15)+SUMIFS(Data!$AF$4:$AF$273,Data!$T$4:$T$273,$A15,Data!$S$4:$S$273,$B15)+SUMIFS(Data!$AG$4:$AG$273,Data!$T$4:$T$273,$A15,Data!$S$4:$S$273,$B15))))</f>
        <v>0.3076923076923077</v>
      </c>
      <c r="K15" s="61">
        <f ca="1">IF($A15="","",IF(G15=0,0,((H15-SUMIFS(Data!$Z$4:$Z$273,Data!$T$4:$T$273,$A15,Data!$S$4:$S$273,$B15)-SUMIFS(Data!$AA$4:$AA$273,Data!$T$4:$T$273,$A15,Data!$S$4:$S$273,$B15)-SUMIFS(Data!$AB$4:$AB$273,Data!$T$4:$T$273,$A15,Data!$S$4:$S$273,$B15))+2*SUMIFS(Data!$Z$4:$Z$273,Data!$T$4:$T$273,$A15,Data!$S$4:$S$273,$B15)+3*SUMIFS(Data!$AA$4:$AA$273,Data!$T$4:$T$273,$A15,Data!$S$4:$S$273,$B15)+4*SUMIFS(Data!$AB$4:$AB$273,Data!$T$4:$T$273,$A15,Data!$S$4:$S$273,$B15))/G15))</f>
        <v>0.8461538461538461</v>
      </c>
      <c r="L15" s="61">
        <f t="shared" ca="1" si="1"/>
        <v>1.1538461538461537</v>
      </c>
      <c r="M15" s="18">
        <f ca="1">IF($A15="","",INT(SUMIFS(Data!$AN$4:$AN$183,Data!$AL$4:$AL$183,$A15,Data!$AK$4:$AK$183,$B15))+MOD(ROUND(SUMIFS(Data!$AN$4:$AN$183,Data!$AL$4:$AL$183,$A15,Data!$AK$4:$AK$183,$B15)*3,0),3)/10)</f>
        <v>3</v>
      </c>
      <c r="N15" s="18">
        <f ca="1">IF($A15="","",SUMIFS(Data!$AO$4:$AO$183,Data!$AL$4:$AL$183,$A15,Data!$AK$4:$AK$183,$B15))</f>
        <v>4</v>
      </c>
      <c r="O15" s="18">
        <f ca="1">IF($A15="","",SUMIFS(Data!$AQ$4:$AQ$183,Data!$AL$4:$AL$183,$A15,Data!$AK$4:$AK$183,$B15))</f>
        <v>1</v>
      </c>
      <c r="P15" s="18">
        <f ca="1">IF($A15="","",SUMIFS(Data!$AR$4:$AR$183,Data!$AL$4:$AL$183,$A15,Data!$AK$4:$AK$183,$B15))</f>
        <v>0</v>
      </c>
      <c r="Q15" s="18">
        <f ca="1">IF($A15="","",SUMIFS(Data!$AS$4:$AS$183,Data!$AL$4:$AL$183,$A15,Data!$AK$4:$AK$183,$B15))</f>
        <v>3</v>
      </c>
      <c r="R15" s="62">
        <f ca="1">IF($A15="","",IF(SUMIFS(Data!$AN$4:$AN$183,Data!$AL$4:$AL$183,$A15,Data!$AK$4:$AK$183,$B15)=0,0,O15*3/SUMIFS(Data!$AN$4:$AN$183,Data!$AL$4:$AL$183,$A15,Data!$AK$4:$AK$183,$B15)))</f>
        <v>1.0</v>
      </c>
      <c r="S15" s="61">
        <f ca="1">IF($A15="","",IF(SUMIFS(Data!$AN$4:$AN$183,Data!$AL$4:$AL$183,$A15,Data!$AK$4:$AK$183,$B15)=0,0,(N15+P15)/SUMIFS(Data!$AN$4:$AN$183,Data!$AL$4:$AL$183,$A15,Data!$AK$4:$AK$183,$B15)))</f>
        <v>1.3333333333333333</v>
      </c>
      <c r="T15" s="18">
        <f ca="1">IF($A15="","",SUMIFS(Data!$AW$4:$AW$183,Data!$AL$4:$AL$183,$A15,Data!$AK$4:$AK$183,$B15))</f>
        <v>0</v>
      </c>
      <c r="U15" s="18">
        <f ca="1">IF($A15="","",SUMIFS(Data!$AX$4:$AX$183,Data!$AL$4:$AL$183,$A15,Data!$AK$4:$AK$183,$B15))</f>
        <v>0</v>
      </c>
      <c r="V15" s="18">
        <f ca="1">IF($A15="","",SUMIFS(Data!$AY$4:$AY$183,Data!$AL$4:$AL$183,$A15,Data!$AK$4:$AK$183,$B15))</f>
        <v>0</v>
      </c>
      <c r="W15" s="18">
        <f ca="1">IF($A15="","",SUMIFS(Data!$X$4:$X$273,Data!$T$4:$T$273,$A15,Data!$S$4:$S$273,$B15))</f>
        <v>4</v>
      </c>
      <c r="X15" s="18">
        <f ca="1">IF($A15="","",SUMIFS(Data!$Z$4:$Z$273,Data!$T$4:$T$273,$A15,Data!$S$4:$S$273,$B15))</f>
        <v>1</v>
      </c>
      <c r="Y15" s="18">
        <f ca="1">IF($A15="","",SUMIFS(Data!$AA$4:$AA$273,Data!$T$4:$T$273,$A15,Data!$S$4:$S$273,$B15))</f>
        <v>0</v>
      </c>
      <c r="Z15" s="18">
        <f ca="1">IF($A15="","",SUMIFS(Data!$AB$4:$AB$273,Data!$T$4:$T$273,$A15,Data!$S$4:$S$273,$B15))</f>
        <v>2</v>
      </c>
      <c r="AA15" s="18">
        <f ca="1">IF($A15="","",SUMIFS(Data!$AC$4:$AC$273,Data!$T$4:$T$273,$A15,Data!$S$4:$S$273,$B15))</f>
        <v>4</v>
      </c>
      <c r="AB15" s="18">
        <f ca="1">IF($A15="","",SUMIFS(Data!$AD$4:$AD$273,Data!$T$4:$T$273,$A15,Data!$S$4:$S$273,$B15))</f>
        <v>0</v>
      </c>
      <c r="AC15" s="18">
        <f ca="1">IF($A15="","",SUMIFS(Data!$AE$4:$AE$273,Data!$T$4:$T$273,$A15,Data!$S$4:$S$273,$B15))</f>
        <v>6</v>
      </c>
      <c r="AD15" s="18">
        <f ca="1">IF($A15="","",SUMIFS(Data!$AF$4:$AF$273,Data!$T$4:$T$273,$A15,Data!$S$4:$S$273,$B15))</f>
        <v>0</v>
      </c>
      <c r="AE15" s="18">
        <f ca="1">IF($A15="","",SUMIFS(Data!$AG$4:$AG$273,Data!$T$4:$T$273,$A15,Data!$S$4:$S$273,$B15))</f>
        <v>0</v>
      </c>
      <c r="AF15" s="18">
        <f ca="1">IF($A15="","",SUMIFS(Data!$AH$4:$AH$273,Data!$T$4:$T$273,$A15,Data!$S$4:$S$273,$B15))</f>
        <v>0</v>
      </c>
      <c r="AG15" s="18">
        <f ca="1">IF($A15="","",SUMIFS(Data!$AP$4:$AP$183,Data!$AL$4:$AL$183,$A15,Data!$AK$4:$AK$183,$B15))</f>
        <v>1</v>
      </c>
      <c r="AH15" s="18">
        <f ca="1">IF($A15="","",SUMIFS(Data!$AT$4:$AT$183,Data!$AL$4:$AL$183,$A15,Data!$AK$4:$AK$183,$B15))</f>
        <v>1</v>
      </c>
      <c r="AI15" s="18">
        <f ca="1">IF($A15="","",SUMIFS(Data!$AJ$4:$AJ$183,Data!$AL$4:$AL$183,$A15,Data!$AK$4:$AK$183,$B15))</f>
        <v>13</v>
      </c>
    </row>
    <row r="16" spans="1:35">
      <c r="A16" s="18" t="str">
        <f ca="1">IF(Data!J10="","",Data!J10)</f>
        <v>May</v>
      </c>
      <c r="B16" s="18" t="str">
        <f ca="1">IF(Data!H10="","",Data!H10)</f>
        <v>G7</v>
      </c>
      <c r="C16" s="18">
        <f ca="1">IF($A16="","",IF(Data!L10=$A16,1,0))</f>
        <v>1</v>
      </c>
      <c r="D16" s="18">
        <f ca="1">IF($A16="","",IF(Data!M10=$A16,1,0))</f>
        <v>0</v>
      </c>
      <c r="E16" s="18">
        <f ca="1">IF($A16="","",IF(Data!J10=$A16,Data!N10,Data!O10))</f>
        <v>1</v>
      </c>
      <c r="F16" s="18">
        <f ca="1">IF($A16="","",IF(Data!J10=$A16,Data!O10,Data!N10))</f>
        <v>0</v>
      </c>
      <c r="G16" s="18">
        <f ca="1">IF($A16="","",SUMIFS(Data!$W$4:$W$273,Data!$T$4:$T$273,$A16,Data!$S$4:$S$273,$B16))</f>
        <v>7</v>
      </c>
      <c r="H16" s="18">
        <f ca="1">IF($A16="","",SUMIFS(Data!$Y$4:$Y$273,Data!$T$4:$T$273,$A16,Data!$S$4:$S$273,$B16))</f>
        <v>1</v>
      </c>
      <c r="I16" s="61">
        <f t="shared" ca="1" si="0"/>
        <v>0.14285714285714285</v>
      </c>
      <c r="J16" s="61">
        <f ca="1">IF($A16="","",IF((G16+SUMIFS(Data!$AD$4:$AD$273,Data!$T$4:$T$273,$A16,Data!$S$4:$S$273,$B16)+SUMIFS(Data!$AF$4:$AF$273,Data!$T$4:$T$273,$A16,Data!$S$4:$S$273,$B16)+SUMIFS(Data!$AG$4:$AG$273,Data!$T$4:$T$273,$A16,Data!$S$4:$S$273,$B16))=0,0,(H16+SUMIFS(Data!$AD$4:$AD$273,Data!$T$4:$T$273,$A16,Data!$S$4:$S$273,$B16)+SUMIFS(Data!$AF$4:$AF$273,Data!$T$4:$T$273,$A16,Data!$S$4:$S$273,$B16))/(G16+SUMIFS(Data!$AD$4:$AD$273,Data!$T$4:$T$273,$A16,Data!$S$4:$S$273,$B16)+SUMIFS(Data!$AF$4:$AF$273,Data!$T$4:$T$273,$A16,Data!$S$4:$S$273,$B16)+SUMIFS(Data!$AG$4:$AG$273,Data!$T$4:$T$273,$A16,Data!$S$4:$S$273,$B16))))</f>
        <v>0.25</v>
      </c>
      <c r="K16" s="61">
        <f ca="1">IF($A16="","",IF(G16=0,0,((H16-SUMIFS(Data!$Z$4:$Z$273,Data!$T$4:$T$273,$A16,Data!$S$4:$S$273,$B16)-SUMIFS(Data!$AA$4:$AA$273,Data!$T$4:$T$273,$A16,Data!$S$4:$S$273,$B16)-SUMIFS(Data!$AB$4:$AB$273,Data!$T$4:$T$273,$A16,Data!$S$4:$S$273,$B16))+2*SUMIFS(Data!$Z$4:$Z$273,Data!$T$4:$T$273,$A16,Data!$S$4:$S$273,$B16)+3*SUMIFS(Data!$AA$4:$AA$273,Data!$T$4:$T$273,$A16,Data!$S$4:$S$273,$B16)+4*SUMIFS(Data!$AB$4:$AB$273,Data!$T$4:$T$273,$A16,Data!$S$4:$S$273,$B16))/G16))</f>
        <v>0.5714285714285714</v>
      </c>
      <c r="L16" s="61">
        <f t="shared" ca="1" si="1"/>
        <v>0.8214285714285714</v>
      </c>
      <c r="M16" s="18">
        <f ca="1">IF($A16="","",INT(SUMIFS(Data!$AN$4:$AN$183,Data!$AL$4:$AL$183,$A16,Data!$AK$4:$AK$183,$B16))+MOD(ROUND(SUMIFS(Data!$AN$4:$AN$183,Data!$AL$4:$AL$183,$A16,Data!$AK$4:$AK$183,$B16)*3,0),3)/10)</f>
        <v>3</v>
      </c>
      <c r="N16" s="18">
        <f ca="1">IF($A16="","",SUMIFS(Data!$AO$4:$AO$183,Data!$AL$4:$AL$183,$A16,Data!$AK$4:$AK$183,$B16))</f>
        <v>1</v>
      </c>
      <c r="O16" s="18">
        <f ca="1">IF($A16="","",SUMIFS(Data!$AQ$4:$AQ$183,Data!$AL$4:$AL$183,$A16,Data!$AK$4:$AK$183,$B16))</f>
        <v>0</v>
      </c>
      <c r="P16" s="18">
        <f ca="1">IF($A16="","",SUMIFS(Data!$AR$4:$AR$183,Data!$AL$4:$AL$183,$A16,Data!$AK$4:$AK$183,$B16))</f>
        <v>0</v>
      </c>
      <c r="Q16" s="18">
        <f ca="1">IF($A16="","",SUMIFS(Data!$AS$4:$AS$183,Data!$AL$4:$AL$183,$A16,Data!$AK$4:$AK$183,$B16))</f>
        <v>3</v>
      </c>
      <c r="R16" s="62">
        <f ca="1">IF($A16="","",IF(SUMIFS(Data!$AN$4:$AN$183,Data!$AL$4:$AL$183,$A16,Data!$AK$4:$AK$183,$B16)=0,0,O16*3/SUMIFS(Data!$AN$4:$AN$183,Data!$AL$4:$AL$183,$A16,Data!$AK$4:$AK$183,$B16)))</f>
        <v>0.0</v>
      </c>
      <c r="S16" s="61">
        <f ca="1">IF($A16="","",IF(SUMIFS(Data!$AN$4:$AN$183,Data!$AL$4:$AL$183,$A16,Data!$AK$4:$AK$183,$B16)=0,0,(N16+P16)/SUMIFS(Data!$AN$4:$AN$183,Data!$AL$4:$AL$183,$A16,Data!$AK$4:$AK$183,$B16)))</f>
        <v>0.3333333333333333</v>
      </c>
      <c r="T16" s="18">
        <f ca="1">IF($A16="","",SUMIFS(Data!$AW$4:$AW$183,Data!$AL$4:$AL$183,$A16,Data!$AK$4:$AK$183,$B16))</f>
        <v>0</v>
      </c>
      <c r="U16" s="18">
        <f ca="1">IF($A16="","",SUMIFS(Data!$AX$4:$AX$183,Data!$AL$4:$AL$183,$A16,Data!$AK$4:$AK$183,$B16))</f>
        <v>1</v>
      </c>
      <c r="V16" s="18">
        <f ca="1">IF($A16="","",SUMIFS(Data!$AY$4:$AY$183,Data!$AL$4:$AL$183,$A16,Data!$AK$4:$AK$183,$B16))</f>
        <v>1</v>
      </c>
      <c r="W16" s="18">
        <f ca="1">IF($A16="","",SUMIFS(Data!$X$4:$X$273,Data!$T$4:$T$273,$A16,Data!$S$4:$S$273,$B16))</f>
        <v>1</v>
      </c>
      <c r="X16" s="18">
        <f ca="1">IF($A16="","",SUMIFS(Data!$Z$4:$Z$273,Data!$T$4:$T$273,$A16,Data!$S$4:$S$273,$B16))</f>
        <v>0</v>
      </c>
      <c r="Y16" s="18">
        <f ca="1">IF($A16="","",SUMIFS(Data!$AA$4:$AA$273,Data!$T$4:$T$273,$A16,Data!$S$4:$S$273,$B16))</f>
        <v>0</v>
      </c>
      <c r="Z16" s="18">
        <f ca="1">IF($A16="","",SUMIFS(Data!$AB$4:$AB$273,Data!$T$4:$T$273,$A16,Data!$S$4:$S$273,$B16))</f>
        <v>1</v>
      </c>
      <c r="AA16" s="18">
        <f ca="1">IF($A16="","",SUMIFS(Data!$AC$4:$AC$273,Data!$T$4:$T$273,$A16,Data!$S$4:$S$273,$B16))</f>
        <v>1</v>
      </c>
      <c r="AB16" s="18">
        <f ca="1">IF($A16="","",SUMIFS(Data!$AD$4:$AD$273,Data!$T$4:$T$273,$A16,Data!$S$4:$S$273,$B16))</f>
        <v>0</v>
      </c>
      <c r="AC16" s="18">
        <f ca="1">IF($A16="","",SUMIFS(Data!$AE$4:$AE$273,Data!$T$4:$T$273,$A16,Data!$S$4:$S$273,$B16))</f>
        <v>2</v>
      </c>
      <c r="AD16" s="18">
        <f ca="1">IF($A16="","",SUMIFS(Data!$AF$4:$AF$273,Data!$T$4:$T$273,$A16,Data!$S$4:$S$273,$B16))</f>
        <v>1</v>
      </c>
      <c r="AE16" s="18">
        <f ca="1">IF($A16="","",SUMIFS(Data!$AG$4:$AG$273,Data!$T$4:$T$273,$A16,Data!$S$4:$S$273,$B16))</f>
        <v>0</v>
      </c>
      <c r="AF16" s="18">
        <f ca="1">IF($A16="","",SUMIFS(Data!$AH$4:$AH$273,Data!$T$4:$T$273,$A16,Data!$S$4:$S$273,$B16))</f>
        <v>0</v>
      </c>
      <c r="AG16" s="18">
        <f ca="1">IF($A16="","",SUMIFS(Data!$AP$4:$AP$183,Data!$AL$4:$AL$183,$A16,Data!$AK$4:$AK$183,$B16))</f>
        <v>0</v>
      </c>
      <c r="AH16" s="18">
        <f ca="1">IF($A16="","",SUMIFS(Data!$AT$4:$AT$183,Data!$AL$4:$AL$183,$A16,Data!$AK$4:$AK$183,$B16))</f>
        <v>0</v>
      </c>
      <c r="AI16" s="18">
        <f ca="1">IF($A16="","",SUMIFS(Data!$AJ$4:$AJ$183,Data!$AL$4:$AL$183,$A16,Data!$AK$4:$AK$183,$B16))</f>
        <v>9</v>
      </c>
    </row>
    <row r="17" spans="1:35">
      <c r="A17" s="18" t="str">
        <f ca="1">IF(Data!K10="","",Data!K10)</f>
        <v>Donovan</v>
      </c>
      <c r="B17" s="18" t="str">
        <f ca="1">IF(Data!H10="","",Data!H10)</f>
        <v>G7</v>
      </c>
      <c r="C17" s="18">
        <f ca="1">IF($A17="","",IF(Data!L10=$A17,1,0))</f>
        <v>0</v>
      </c>
      <c r="D17" s="18">
        <f ca="1">IF($A17="","",IF(Data!M10=$A17,1,0))</f>
        <v>1</v>
      </c>
      <c r="E17" s="18">
        <f ca="1">IF($A17="","",IF(Data!J10=$A17,Data!N10,Data!O10))</f>
        <v>0</v>
      </c>
      <c r="F17" s="18">
        <f ca="1">IF($A17="","",IF(Data!J10=$A17,Data!O10,Data!N10))</f>
        <v>1</v>
      </c>
      <c r="G17" s="18">
        <f ca="1">IF($A17="","",SUMIFS(Data!$W$4:$W$273,Data!$T$4:$T$273,$A17,Data!$S$4:$S$273,$B17))</f>
        <v>9</v>
      </c>
      <c r="H17" s="18">
        <f ca="1">IF($A17="","",SUMIFS(Data!$Y$4:$Y$273,Data!$T$4:$T$273,$A17,Data!$S$4:$S$273,$B17))</f>
        <v>1</v>
      </c>
      <c r="I17" s="61">
        <f t="shared" ca="1" si="0"/>
        <v>0.1111111111111111</v>
      </c>
      <c r="J17" s="61">
        <f ca="1">IF($A17="","",IF((G17+SUMIFS(Data!$AD$4:$AD$273,Data!$T$4:$T$273,$A17,Data!$S$4:$S$273,$B17)+SUMIFS(Data!$AF$4:$AF$273,Data!$T$4:$T$273,$A17,Data!$S$4:$S$273,$B17)+SUMIFS(Data!$AG$4:$AG$273,Data!$T$4:$T$273,$A17,Data!$S$4:$S$273,$B17))=0,0,(H17+SUMIFS(Data!$AD$4:$AD$273,Data!$T$4:$T$273,$A17,Data!$S$4:$S$273,$B17)+SUMIFS(Data!$AF$4:$AF$273,Data!$T$4:$T$273,$A17,Data!$S$4:$S$273,$B17))/(G17+SUMIFS(Data!$AD$4:$AD$273,Data!$T$4:$T$273,$A17,Data!$S$4:$S$273,$B17)+SUMIFS(Data!$AF$4:$AF$273,Data!$T$4:$T$273,$A17,Data!$S$4:$S$273,$B17)+SUMIFS(Data!$AG$4:$AG$273,Data!$T$4:$T$273,$A17,Data!$S$4:$S$273,$B17))))</f>
        <v>0.1111111111111111</v>
      </c>
      <c r="K17" s="61">
        <f ca="1">IF($A17="","",IF(G17=0,0,((H17-SUMIFS(Data!$Z$4:$Z$273,Data!$T$4:$T$273,$A17,Data!$S$4:$S$273,$B17)-SUMIFS(Data!$AA$4:$AA$273,Data!$T$4:$T$273,$A17,Data!$S$4:$S$273,$B17)-SUMIFS(Data!$AB$4:$AB$273,Data!$T$4:$T$273,$A17,Data!$S$4:$S$273,$B17))+2*SUMIFS(Data!$Z$4:$Z$273,Data!$T$4:$T$273,$A17,Data!$S$4:$S$273,$B17)+3*SUMIFS(Data!$AA$4:$AA$273,Data!$T$4:$T$273,$A17,Data!$S$4:$S$273,$B17)+4*SUMIFS(Data!$AB$4:$AB$273,Data!$T$4:$T$273,$A17,Data!$S$4:$S$273,$B17))/G17))</f>
        <v>0.1111111111111111</v>
      </c>
      <c r="L17" s="61">
        <f t="shared" ca="1" si="1"/>
        <v>0.2222222222222222</v>
      </c>
      <c r="M17" s="18">
        <f ca="1">IF($A17="","",INT(SUMIFS(Data!$AN$4:$AN$183,Data!$AL$4:$AL$183,$A17,Data!$AK$4:$AK$183,$B17))+MOD(ROUND(SUMIFS(Data!$AN$4:$AN$183,Data!$AL$4:$AL$183,$A17,Data!$AK$4:$AK$183,$B17)*3,0),3)/10)</f>
        <v>2</v>
      </c>
      <c r="N17" s="18">
        <f ca="1">IF($A17="","",SUMIFS(Data!$AO$4:$AO$183,Data!$AL$4:$AL$183,$A17,Data!$AK$4:$AK$183,$B17))</f>
        <v>1</v>
      </c>
      <c r="O17" s="18">
        <f ca="1">IF($A17="","",SUMIFS(Data!$AQ$4:$AQ$183,Data!$AL$4:$AL$183,$A17,Data!$AK$4:$AK$183,$B17))</f>
        <v>1</v>
      </c>
      <c r="P17" s="18">
        <f ca="1">IF($A17="","",SUMIFS(Data!$AR$4:$AR$183,Data!$AL$4:$AL$183,$A17,Data!$AK$4:$AK$183,$B17))</f>
        <v>0</v>
      </c>
      <c r="Q17" s="18">
        <f ca="1">IF($A17="","",SUMIFS(Data!$AS$4:$AS$183,Data!$AL$4:$AL$183,$A17,Data!$AK$4:$AK$183,$B17))</f>
        <v>2</v>
      </c>
      <c r="R17" s="62">
        <f ca="1">IF($A17="","",IF(SUMIFS(Data!$AN$4:$AN$183,Data!$AL$4:$AL$183,$A17,Data!$AK$4:$AK$183,$B17)=0,0,O17*3/SUMIFS(Data!$AN$4:$AN$183,Data!$AL$4:$AL$183,$A17,Data!$AK$4:$AK$183,$B17)))</f>
        <v>1.5</v>
      </c>
      <c r="S17" s="61">
        <f ca="1">IF($A17="","",IF(SUMIFS(Data!$AN$4:$AN$183,Data!$AL$4:$AL$183,$A17,Data!$AK$4:$AK$183,$B17)=0,0,(N17+P17)/SUMIFS(Data!$AN$4:$AN$183,Data!$AL$4:$AL$183,$A17,Data!$AK$4:$AK$183,$B17)))</f>
        <v>0.5</v>
      </c>
      <c r="T17" s="18">
        <f ca="1">IF($A17="","",SUMIFS(Data!$AW$4:$AW$183,Data!$AL$4:$AL$183,$A17,Data!$AK$4:$AK$183,$B17))</f>
        <v>0</v>
      </c>
      <c r="U17" s="18">
        <f ca="1">IF($A17="","",SUMIFS(Data!$AX$4:$AX$183,Data!$AL$4:$AL$183,$A17,Data!$AK$4:$AK$183,$B17))</f>
        <v>0</v>
      </c>
      <c r="V17" s="18">
        <f ca="1">IF($A17="","",SUMIFS(Data!$AY$4:$AY$183,Data!$AL$4:$AL$183,$A17,Data!$AK$4:$AK$183,$B17))</f>
        <v>1</v>
      </c>
      <c r="W17" s="18">
        <f ca="1">IF($A17="","",SUMIFS(Data!$X$4:$X$273,Data!$T$4:$T$273,$A17,Data!$S$4:$S$273,$B17))</f>
        <v>0</v>
      </c>
      <c r="X17" s="18">
        <f ca="1">IF($A17="","",SUMIFS(Data!$Z$4:$Z$273,Data!$T$4:$T$273,$A17,Data!$S$4:$S$273,$B17))</f>
        <v>0</v>
      </c>
      <c r="Y17" s="18">
        <f ca="1">IF($A17="","",SUMIFS(Data!$AA$4:$AA$273,Data!$T$4:$T$273,$A17,Data!$S$4:$S$273,$B17))</f>
        <v>0</v>
      </c>
      <c r="Z17" s="18">
        <f ca="1">IF($A17="","",SUMIFS(Data!$AB$4:$AB$273,Data!$T$4:$T$273,$A17,Data!$S$4:$S$273,$B17))</f>
        <v>0</v>
      </c>
      <c r="AA17" s="18">
        <f ca="1">IF($A17="","",SUMIFS(Data!$AC$4:$AC$273,Data!$T$4:$T$273,$A17,Data!$S$4:$S$273,$B17))</f>
        <v>0</v>
      </c>
      <c r="AB17" s="18">
        <f ca="1">IF($A17="","",SUMIFS(Data!$AD$4:$AD$273,Data!$T$4:$T$273,$A17,Data!$S$4:$S$273,$B17))</f>
        <v>0</v>
      </c>
      <c r="AC17" s="18">
        <f ca="1">IF($A17="","",SUMIFS(Data!$AE$4:$AE$273,Data!$T$4:$T$273,$A17,Data!$S$4:$S$273,$B17))</f>
        <v>3</v>
      </c>
      <c r="AD17" s="18">
        <f ca="1">IF($A17="","",SUMIFS(Data!$AF$4:$AF$273,Data!$T$4:$T$273,$A17,Data!$S$4:$S$273,$B17))</f>
        <v>0</v>
      </c>
      <c r="AE17" s="18">
        <f ca="1">IF($A17="","",SUMIFS(Data!$AG$4:$AG$273,Data!$T$4:$T$273,$A17,Data!$S$4:$S$273,$B17))</f>
        <v>0</v>
      </c>
      <c r="AF17" s="18">
        <f ca="1">IF($A17="","",SUMIFS(Data!$AH$4:$AH$273,Data!$T$4:$T$273,$A17,Data!$S$4:$S$273,$B17))</f>
        <v>0</v>
      </c>
      <c r="AG17" s="18">
        <f ca="1">IF($A17="","",SUMIFS(Data!$AP$4:$AP$183,Data!$AL$4:$AL$183,$A17,Data!$AK$4:$AK$183,$B17))</f>
        <v>1</v>
      </c>
      <c r="AH17" s="18">
        <f ca="1">IF($A17="","",SUMIFS(Data!$AT$4:$AT$183,Data!$AL$4:$AL$183,$A17,Data!$AK$4:$AK$183,$B17))</f>
        <v>1</v>
      </c>
      <c r="AI17" s="18">
        <f ca="1">IF($A17="","",SUMIFS(Data!$AJ$4:$AJ$183,Data!$AL$4:$AL$183,$A17,Data!$AK$4:$AK$183,$B17))</f>
        <v>8</v>
      </c>
    </row>
    <row r="18" spans="1:35">
      <c r="A18" s="18" t="str">
        <f ca="1">IF(Data!J11="","",Data!J11)</f>
        <v>Nick</v>
      </c>
      <c r="B18" s="18" t="str">
        <f ca="1">IF(Data!H11="","",Data!H11)</f>
        <v>G8</v>
      </c>
      <c r="C18" s="18">
        <f ca="1">IF($A18="","",IF(Data!L11=$A18,1,0))</f>
        <v>1</v>
      </c>
      <c r="D18" s="18">
        <f ca="1">IF($A18="","",IF(Data!M11=$A18,1,0))</f>
        <v>0</v>
      </c>
      <c r="E18" s="18">
        <f ca="1">IF($A18="","",IF(Data!J11=$A18,Data!N11,Data!O11))</f>
        <v>7</v>
      </c>
      <c r="F18" s="18">
        <f ca="1">IF($A18="","",IF(Data!J11=$A18,Data!O11,Data!N11))</f>
        <v>4</v>
      </c>
      <c r="G18" s="18">
        <f ca="1">IF($A18="","",SUMIFS(Data!$W$4:$W$273,Data!$T$4:$T$273,$A18,Data!$S$4:$S$273,$B18))</f>
        <v>20</v>
      </c>
      <c r="H18" s="18">
        <f ca="1">IF($A18="","",SUMIFS(Data!$Y$4:$Y$273,Data!$T$4:$T$273,$A18,Data!$S$4:$S$273,$B18))</f>
        <v>9</v>
      </c>
      <c r="I18" s="61">
        <f t="shared" ca="1" si="0"/>
        <v>0.45</v>
      </c>
      <c r="J18" s="61">
        <f ca="1">IF($A18="","",IF((G18+SUMIFS(Data!$AD$4:$AD$273,Data!$T$4:$T$273,$A18,Data!$S$4:$S$273,$B18)+SUMIFS(Data!$AF$4:$AF$273,Data!$T$4:$T$273,$A18,Data!$S$4:$S$273,$B18)+SUMIFS(Data!$AG$4:$AG$273,Data!$T$4:$T$273,$A18,Data!$S$4:$S$273,$B18))=0,0,(H18+SUMIFS(Data!$AD$4:$AD$273,Data!$T$4:$T$273,$A18,Data!$S$4:$S$273,$B18)+SUMIFS(Data!$AF$4:$AF$273,Data!$T$4:$T$273,$A18,Data!$S$4:$S$273,$B18))/(G18+SUMIFS(Data!$AD$4:$AD$273,Data!$T$4:$T$273,$A18,Data!$S$4:$S$273,$B18)+SUMIFS(Data!$AF$4:$AF$273,Data!$T$4:$T$273,$A18,Data!$S$4:$S$273,$B18)+SUMIFS(Data!$AG$4:$AG$273,Data!$T$4:$T$273,$A18,Data!$S$4:$S$273,$B18))))</f>
        <v>0.47619047619047616</v>
      </c>
      <c r="K18" s="61">
        <f ca="1">IF($A18="","",IF(G18=0,0,((H18-SUMIFS(Data!$Z$4:$Z$273,Data!$T$4:$T$273,$A18,Data!$S$4:$S$273,$B18)-SUMIFS(Data!$AA$4:$AA$273,Data!$T$4:$T$273,$A18,Data!$S$4:$S$273,$B18)-SUMIFS(Data!$AB$4:$AB$273,Data!$T$4:$T$273,$A18,Data!$S$4:$S$273,$B18))+2*SUMIFS(Data!$Z$4:$Z$273,Data!$T$4:$T$273,$A18,Data!$S$4:$S$273,$B18)+3*SUMIFS(Data!$AA$4:$AA$273,Data!$T$4:$T$273,$A18,Data!$S$4:$S$273,$B18)+4*SUMIFS(Data!$AB$4:$AB$273,Data!$T$4:$T$273,$A18,Data!$S$4:$S$273,$B18))/G18))</f>
        <v>0.85</v>
      </c>
      <c r="L18" s="61">
        <f t="shared" ca="1" si="1"/>
        <v>1.3261904761904761</v>
      </c>
      <c r="M18" s="18">
        <f ca="1">IF($A18="","",INT(SUMIFS(Data!$AN$4:$AN$183,Data!$AL$4:$AL$183,$A18,Data!$AK$4:$AK$183,$B18))+MOD(ROUND(SUMIFS(Data!$AN$4:$AN$183,Data!$AL$4:$AL$183,$A18,Data!$AK$4:$AK$183,$B18)*3,0),3)/10)</f>
        <v>4</v>
      </c>
      <c r="N18" s="18">
        <f ca="1">IF($A18="","",SUMIFS(Data!$AO$4:$AO$183,Data!$AL$4:$AL$183,$A18,Data!$AK$4:$AK$183,$B18))</f>
        <v>5</v>
      </c>
      <c r="O18" s="18">
        <f ca="1">IF($A18="","",SUMIFS(Data!$AQ$4:$AQ$183,Data!$AL$4:$AL$183,$A18,Data!$AK$4:$AK$183,$B18))</f>
        <v>4</v>
      </c>
      <c r="P18" s="18">
        <f ca="1">IF($A18="","",SUMIFS(Data!$AR$4:$AR$183,Data!$AL$4:$AL$183,$A18,Data!$AK$4:$AK$183,$B18))</f>
        <v>0</v>
      </c>
      <c r="Q18" s="18">
        <f ca="1">IF($A18="","",SUMIFS(Data!$AS$4:$AS$183,Data!$AL$4:$AL$183,$A18,Data!$AK$4:$AK$183,$B18))</f>
        <v>2</v>
      </c>
      <c r="R18" s="62">
        <f ca="1">IF($A18="","",IF(SUMIFS(Data!$AN$4:$AN$183,Data!$AL$4:$AL$183,$A18,Data!$AK$4:$AK$183,$B18)=0,0,O18*3/SUMIFS(Data!$AN$4:$AN$183,Data!$AL$4:$AL$183,$A18,Data!$AK$4:$AK$183,$B18)))</f>
        <v>3.0</v>
      </c>
      <c r="S18" s="61">
        <f ca="1">IF($A18="","",IF(SUMIFS(Data!$AN$4:$AN$183,Data!$AL$4:$AL$183,$A18,Data!$AK$4:$AK$183,$B18)=0,0,(N18+P18)/SUMIFS(Data!$AN$4:$AN$183,Data!$AL$4:$AL$183,$A18,Data!$AK$4:$AK$183,$B18)))</f>
        <v>1.25</v>
      </c>
      <c r="T18" s="18">
        <f ca="1">IF($A18="","",SUMIFS(Data!$AW$4:$AW$183,Data!$AL$4:$AL$183,$A18,Data!$AK$4:$AK$183,$B18))</f>
        <v>1</v>
      </c>
      <c r="U18" s="18">
        <f ca="1">IF($A18="","",SUMIFS(Data!$AX$4:$AX$183,Data!$AL$4:$AL$183,$A18,Data!$AK$4:$AK$183,$B18))</f>
        <v>0</v>
      </c>
      <c r="V18" s="18">
        <f ca="1">IF($A18="","",SUMIFS(Data!$AY$4:$AY$183,Data!$AL$4:$AL$183,$A18,Data!$AK$4:$AK$183,$B18))</f>
        <v>0</v>
      </c>
      <c r="W18" s="18">
        <f ca="1">IF($A18="","",SUMIFS(Data!$X$4:$X$273,Data!$T$4:$T$273,$A18,Data!$S$4:$S$273,$B18))</f>
        <v>7</v>
      </c>
      <c r="X18" s="18">
        <f ca="1">IF($A18="","",SUMIFS(Data!$Z$4:$Z$273,Data!$T$4:$T$273,$A18,Data!$S$4:$S$273,$B18))</f>
        <v>3</v>
      </c>
      <c r="Y18" s="18">
        <f ca="1">IF($A18="","",SUMIFS(Data!$AA$4:$AA$273,Data!$T$4:$T$273,$A18,Data!$S$4:$S$273,$B18))</f>
        <v>1</v>
      </c>
      <c r="Z18" s="18">
        <f ca="1">IF($A18="","",SUMIFS(Data!$AB$4:$AB$273,Data!$T$4:$T$273,$A18,Data!$S$4:$S$273,$B18))</f>
        <v>1</v>
      </c>
      <c r="AA18" s="18">
        <f ca="1">IF($A18="","",SUMIFS(Data!$AC$4:$AC$273,Data!$T$4:$T$273,$A18,Data!$S$4:$S$273,$B18))</f>
        <v>7</v>
      </c>
      <c r="AB18" s="18">
        <f ca="1">IF($A18="","",SUMIFS(Data!$AD$4:$AD$273,Data!$T$4:$T$273,$A18,Data!$S$4:$S$273,$B18))</f>
        <v>0</v>
      </c>
      <c r="AC18" s="18">
        <f ca="1">IF($A18="","",SUMIFS(Data!$AE$4:$AE$273,Data!$T$4:$T$273,$A18,Data!$S$4:$S$273,$B18))</f>
        <v>3</v>
      </c>
      <c r="AD18" s="18">
        <f ca="1">IF($A18="","",SUMIFS(Data!$AF$4:$AF$273,Data!$T$4:$T$273,$A18,Data!$S$4:$S$273,$B18))</f>
        <v>1</v>
      </c>
      <c r="AE18" s="18">
        <f ca="1">IF($A18="","",SUMIFS(Data!$AG$4:$AG$273,Data!$T$4:$T$273,$A18,Data!$S$4:$S$273,$B18))</f>
        <v>0</v>
      </c>
      <c r="AF18" s="18">
        <f ca="1">IF($A18="","",SUMIFS(Data!$AH$4:$AH$273,Data!$T$4:$T$273,$A18,Data!$S$4:$S$273,$B18))</f>
        <v>0</v>
      </c>
      <c r="AG18" s="18">
        <f ca="1">IF($A18="","",SUMIFS(Data!$AP$4:$AP$183,Data!$AL$4:$AL$183,$A18,Data!$AK$4:$AK$183,$B18))</f>
        <v>4</v>
      </c>
      <c r="AH18" s="18">
        <f ca="1">IF($A18="","",SUMIFS(Data!$AT$4:$AT$183,Data!$AL$4:$AL$183,$A18,Data!$AK$4:$AK$183,$B18))</f>
        <v>2</v>
      </c>
      <c r="AI18" s="18">
        <f ca="1">IF($A18="","",SUMIFS(Data!$AJ$4:$AJ$183,Data!$AL$4:$AL$183,$A18,Data!$AK$4:$AK$183,$B18))</f>
        <v>17</v>
      </c>
    </row>
    <row r="19" spans="1:35">
      <c r="A19" s="18" t="str">
        <f ca="1">IF(Data!K11="","",Data!K11)</f>
        <v>Jason</v>
      </c>
      <c r="B19" s="18" t="str">
        <f ca="1">IF(Data!H11="","",Data!H11)</f>
        <v>G8</v>
      </c>
      <c r="C19" s="18">
        <f ca="1">IF($A19="","",IF(Data!L11=$A19,1,0))</f>
        <v>0</v>
      </c>
      <c r="D19" s="18">
        <f ca="1">IF($A19="","",IF(Data!M11=$A19,1,0))</f>
        <v>1</v>
      </c>
      <c r="E19" s="18">
        <f ca="1">IF($A19="","",IF(Data!J11=$A19,Data!N11,Data!O11))</f>
        <v>4</v>
      </c>
      <c r="F19" s="18">
        <f ca="1">IF($A19="","",IF(Data!J11=$A19,Data!O11,Data!N11))</f>
        <v>7</v>
      </c>
      <c r="G19" s="18">
        <f ca="1">IF($A19="","",SUMIFS(Data!$W$4:$W$273,Data!$T$4:$T$273,$A19,Data!$S$4:$S$273,$B19))</f>
        <v>17</v>
      </c>
      <c r="H19" s="18">
        <f ca="1">IF($A19="","",SUMIFS(Data!$Y$4:$Y$273,Data!$T$4:$T$273,$A19,Data!$S$4:$S$273,$B19))</f>
        <v>5</v>
      </c>
      <c r="I19" s="61">
        <f t="shared" ca="1" si="0"/>
        <v>0.29411764705882354</v>
      </c>
      <c r="J19" s="61">
        <f ca="1">IF($A19="","",IF((G19+SUMIFS(Data!$AD$4:$AD$273,Data!$T$4:$T$273,$A19,Data!$S$4:$S$273,$B19)+SUMIFS(Data!$AF$4:$AF$273,Data!$T$4:$T$273,$A19,Data!$S$4:$S$273,$B19)+SUMIFS(Data!$AG$4:$AG$273,Data!$T$4:$T$273,$A19,Data!$S$4:$S$273,$B19))=0,0,(H19+SUMIFS(Data!$AD$4:$AD$273,Data!$T$4:$T$273,$A19,Data!$S$4:$S$273,$B19)+SUMIFS(Data!$AF$4:$AF$273,Data!$T$4:$T$273,$A19,Data!$S$4:$S$273,$B19))/(G19+SUMIFS(Data!$AD$4:$AD$273,Data!$T$4:$T$273,$A19,Data!$S$4:$S$273,$B19)+SUMIFS(Data!$AF$4:$AF$273,Data!$T$4:$T$273,$A19,Data!$S$4:$S$273,$B19)+SUMIFS(Data!$AG$4:$AG$273,Data!$T$4:$T$273,$A19,Data!$S$4:$S$273,$B19))))</f>
        <v>0.29411764705882354</v>
      </c>
      <c r="K19" s="61">
        <f ca="1">IF($A19="","",IF(G19=0,0,((H19-SUMIFS(Data!$Z$4:$Z$273,Data!$T$4:$T$273,$A19,Data!$S$4:$S$273,$B19)-SUMIFS(Data!$AA$4:$AA$273,Data!$T$4:$T$273,$A19,Data!$S$4:$S$273,$B19)-SUMIFS(Data!$AB$4:$AB$273,Data!$T$4:$T$273,$A19,Data!$S$4:$S$273,$B19))+2*SUMIFS(Data!$Z$4:$Z$273,Data!$T$4:$T$273,$A19,Data!$S$4:$S$273,$B19)+3*SUMIFS(Data!$AA$4:$AA$273,Data!$T$4:$T$273,$A19,Data!$S$4:$S$273,$B19)+4*SUMIFS(Data!$AB$4:$AB$273,Data!$T$4:$T$273,$A19,Data!$S$4:$S$273,$B19))/G19))</f>
        <v>0.6470588235294118</v>
      </c>
      <c r="L19" s="61">
        <f t="shared" ca="1" si="1"/>
        <v>0.9411764705882353</v>
      </c>
      <c r="M19" s="18">
        <f ca="1">IF($A19="","",INT(SUMIFS(Data!$AN$4:$AN$183,Data!$AL$4:$AL$183,$A19,Data!$AK$4:$AK$183,$B19))+MOD(ROUND(SUMIFS(Data!$AN$4:$AN$183,Data!$AL$4:$AL$183,$A19,Data!$AK$4:$AK$183,$B19)*3,0),3)/10)</f>
        <v>4</v>
      </c>
      <c r="N19" s="18">
        <f ca="1">IF($A19="","",SUMIFS(Data!$AO$4:$AO$183,Data!$AL$4:$AL$183,$A19,Data!$AK$4:$AK$183,$B19))</f>
        <v>9</v>
      </c>
      <c r="O19" s="18">
        <f ca="1">IF($A19="","",SUMIFS(Data!$AQ$4:$AQ$183,Data!$AL$4:$AL$183,$A19,Data!$AK$4:$AK$183,$B19))</f>
        <v>7</v>
      </c>
      <c r="P19" s="18">
        <f ca="1">IF($A19="","",SUMIFS(Data!$AR$4:$AR$183,Data!$AL$4:$AL$183,$A19,Data!$AK$4:$AK$183,$B19))</f>
        <v>0</v>
      </c>
      <c r="Q19" s="18">
        <f ca="1">IF($A19="","",SUMIFS(Data!$AS$4:$AS$183,Data!$AL$4:$AL$183,$A19,Data!$AK$4:$AK$183,$B19))</f>
        <v>3</v>
      </c>
      <c r="R19" s="62">
        <f ca="1">IF($A19="","",IF(SUMIFS(Data!$AN$4:$AN$183,Data!$AL$4:$AL$183,$A19,Data!$AK$4:$AK$183,$B19)=0,0,O19*3/SUMIFS(Data!$AN$4:$AN$183,Data!$AL$4:$AL$183,$A19,Data!$AK$4:$AK$183,$B19)))</f>
        <v>5.25</v>
      </c>
      <c r="S19" s="61">
        <f ca="1">IF($A19="","",IF(SUMIFS(Data!$AN$4:$AN$183,Data!$AL$4:$AL$183,$A19,Data!$AK$4:$AK$183,$B19)=0,0,(N19+P19)/SUMIFS(Data!$AN$4:$AN$183,Data!$AL$4:$AL$183,$A19,Data!$AK$4:$AK$183,$B19)))</f>
        <v>2.25</v>
      </c>
      <c r="T19" s="18">
        <f ca="1">IF($A19="","",SUMIFS(Data!$AW$4:$AW$183,Data!$AL$4:$AL$183,$A19,Data!$AK$4:$AK$183,$B19))</f>
        <v>0</v>
      </c>
      <c r="U19" s="18">
        <f ca="1">IF($A19="","",SUMIFS(Data!$AX$4:$AX$183,Data!$AL$4:$AL$183,$A19,Data!$AK$4:$AK$183,$B19))</f>
        <v>0</v>
      </c>
      <c r="V19" s="18">
        <f ca="1">IF($A19="","",SUMIFS(Data!$AY$4:$AY$183,Data!$AL$4:$AL$183,$A19,Data!$AK$4:$AK$183,$B19))</f>
        <v>0</v>
      </c>
      <c r="W19" s="18">
        <f ca="1">IF($A19="","",SUMIFS(Data!$X$4:$X$273,Data!$T$4:$T$273,$A19,Data!$S$4:$S$273,$B19))</f>
        <v>4</v>
      </c>
      <c r="X19" s="18">
        <f ca="1">IF($A19="","",SUMIFS(Data!$Z$4:$Z$273,Data!$T$4:$T$273,$A19,Data!$S$4:$S$273,$B19))</f>
        <v>0</v>
      </c>
      <c r="Y19" s="18">
        <f ca="1">IF($A19="","",SUMIFS(Data!$AA$4:$AA$273,Data!$T$4:$T$273,$A19,Data!$S$4:$S$273,$B19))</f>
        <v>0</v>
      </c>
      <c r="Z19" s="18">
        <f ca="1">IF($A19="","",SUMIFS(Data!$AB$4:$AB$273,Data!$T$4:$T$273,$A19,Data!$S$4:$S$273,$B19))</f>
        <v>2</v>
      </c>
      <c r="AA19" s="18">
        <f ca="1">IF($A19="","",SUMIFS(Data!$AC$4:$AC$273,Data!$T$4:$T$273,$A19,Data!$S$4:$S$273,$B19))</f>
        <v>4</v>
      </c>
      <c r="AB19" s="18">
        <f ca="1">IF($A19="","",SUMIFS(Data!$AD$4:$AD$273,Data!$T$4:$T$273,$A19,Data!$S$4:$S$273,$B19))</f>
        <v>0</v>
      </c>
      <c r="AC19" s="18">
        <f ca="1">IF($A19="","",SUMIFS(Data!$AE$4:$AE$273,Data!$T$4:$T$273,$A19,Data!$S$4:$S$273,$B19))</f>
        <v>2</v>
      </c>
      <c r="AD19" s="18">
        <f ca="1">IF($A19="","",SUMIFS(Data!$AF$4:$AF$273,Data!$T$4:$T$273,$A19,Data!$S$4:$S$273,$B19))</f>
        <v>0</v>
      </c>
      <c r="AE19" s="18">
        <f ca="1">IF($A19="","",SUMIFS(Data!$AG$4:$AG$273,Data!$T$4:$T$273,$A19,Data!$S$4:$S$273,$B19))</f>
        <v>0</v>
      </c>
      <c r="AF19" s="18">
        <f ca="1">IF($A19="","",SUMIFS(Data!$AH$4:$AH$273,Data!$T$4:$T$273,$A19,Data!$S$4:$S$273,$B19))</f>
        <v>0</v>
      </c>
      <c r="AG19" s="18">
        <f ca="1">IF($A19="","",SUMIFS(Data!$AP$4:$AP$183,Data!$AL$4:$AL$183,$A19,Data!$AK$4:$AK$183,$B19))</f>
        <v>7</v>
      </c>
      <c r="AH19" s="18">
        <f ca="1">IF($A19="","",SUMIFS(Data!$AT$4:$AT$183,Data!$AL$4:$AL$183,$A19,Data!$AK$4:$AK$183,$B19))</f>
        <v>1</v>
      </c>
      <c r="AI19" s="18">
        <f ca="1">IF($A19="","",SUMIFS(Data!$AJ$4:$AJ$183,Data!$AL$4:$AL$183,$A19,Data!$AK$4:$AK$183,$B19))</f>
        <v>21</v>
      </c>
    </row>
    <row r="20" spans="1:35">
      <c r="A20" s="18" t="str">
        <f ca="1">IF(Data!J12="","",Data!J12)</f>
        <v>Jason</v>
      </c>
      <c r="B20" s="18" t="str">
        <f ca="1">IF(Data!H12="","",Data!H12)</f>
        <v>G9</v>
      </c>
      <c r="C20" s="18">
        <f ca="1">IF($A20="","",IF(Data!L12=$A20,1,0))</f>
        <v>1</v>
      </c>
      <c r="D20" s="18">
        <f ca="1">IF($A20="","",IF(Data!M12=$A20,1,0))</f>
        <v>0</v>
      </c>
      <c r="E20" s="18">
        <f ca="1">IF($A20="","",IF(Data!J12=$A20,Data!N12,Data!O12))</f>
        <v>1</v>
      </c>
      <c r="F20" s="18">
        <f ca="1">IF($A20="","",IF(Data!J12=$A20,Data!O12,Data!N12))</f>
        <v>0</v>
      </c>
      <c r="G20" s="18">
        <f ca="1">IF($A20="","",SUMIFS(Data!$W$4:$W$273,Data!$T$4:$T$273,$A20,Data!$S$4:$S$273,$B20))</f>
        <v>11</v>
      </c>
      <c r="H20" s="18">
        <f ca="1">IF($A20="","",SUMIFS(Data!$Y$4:$Y$273,Data!$T$4:$T$273,$A20,Data!$S$4:$S$273,$B20))</f>
        <v>6</v>
      </c>
      <c r="I20" s="61">
        <f t="shared" ca="1" si="0"/>
        <v>0.5454545454545454</v>
      </c>
      <c r="J20" s="61">
        <f ca="1">IF($A20="","",IF((G20+SUMIFS(Data!$AD$4:$AD$273,Data!$T$4:$T$273,$A20,Data!$S$4:$S$273,$B20)+SUMIFS(Data!$AF$4:$AF$273,Data!$T$4:$T$273,$A20,Data!$S$4:$S$273,$B20)+SUMIFS(Data!$AG$4:$AG$273,Data!$T$4:$T$273,$A20,Data!$S$4:$S$273,$B20))=0,0,(H20+SUMIFS(Data!$AD$4:$AD$273,Data!$T$4:$T$273,$A20,Data!$S$4:$S$273,$B20)+SUMIFS(Data!$AF$4:$AF$273,Data!$T$4:$T$273,$A20,Data!$S$4:$S$273,$B20))/(G20+SUMIFS(Data!$AD$4:$AD$273,Data!$T$4:$T$273,$A20,Data!$S$4:$S$273,$B20)+SUMIFS(Data!$AF$4:$AF$273,Data!$T$4:$T$273,$A20,Data!$S$4:$S$273,$B20)+SUMIFS(Data!$AG$4:$AG$273,Data!$T$4:$T$273,$A20,Data!$S$4:$S$273,$B20))))</f>
        <v>0.5454545454545454</v>
      </c>
      <c r="K20" s="61">
        <f ca="1">IF($A20="","",IF(G20=0,0,((H20-SUMIFS(Data!$Z$4:$Z$273,Data!$T$4:$T$273,$A20,Data!$S$4:$S$273,$B20)-SUMIFS(Data!$AA$4:$AA$273,Data!$T$4:$T$273,$A20,Data!$S$4:$S$273,$B20)-SUMIFS(Data!$AB$4:$AB$273,Data!$T$4:$T$273,$A20,Data!$S$4:$S$273,$B20))+2*SUMIFS(Data!$Z$4:$Z$273,Data!$T$4:$T$273,$A20,Data!$S$4:$S$273,$B20)+3*SUMIFS(Data!$AA$4:$AA$273,Data!$T$4:$T$273,$A20,Data!$S$4:$S$273,$B20)+4*SUMIFS(Data!$AB$4:$AB$273,Data!$T$4:$T$273,$A20,Data!$S$4:$S$273,$B20))/G20))</f>
        <v>0.5454545454545454</v>
      </c>
      <c r="L20" s="61">
        <f t="shared" ca="1" si="1"/>
        <v>1.0909090909090908</v>
      </c>
      <c r="M20" s="18">
        <f ca="1">IF($A20="","",INT(SUMIFS(Data!$AN$4:$AN$183,Data!$AL$4:$AL$183,$A20,Data!$AK$4:$AK$183,$B20))+MOD(ROUND(SUMIFS(Data!$AN$4:$AN$183,Data!$AL$4:$AL$183,$A20,Data!$AK$4:$AK$183,$B20)*3,0),3)/10)</f>
        <v>1</v>
      </c>
      <c r="N20" s="18">
        <f ca="1">IF($A20="","",SUMIFS(Data!$AO$4:$AO$183,Data!$AL$4:$AL$183,$A20,Data!$AK$4:$AK$183,$B20))</f>
        <v>0</v>
      </c>
      <c r="O20" s="18">
        <f ca="1">IF($A20="","",SUMIFS(Data!$AQ$4:$AQ$183,Data!$AL$4:$AL$183,$A20,Data!$AK$4:$AK$183,$B20))</f>
        <v>0</v>
      </c>
      <c r="P20" s="18">
        <f ca="1">IF($A20="","",SUMIFS(Data!$AR$4:$AR$183,Data!$AL$4:$AL$183,$A20,Data!$AK$4:$AK$183,$B20))</f>
        <v>0</v>
      </c>
      <c r="Q20" s="18">
        <f ca="1">IF($A20="","",SUMIFS(Data!$AS$4:$AS$183,Data!$AL$4:$AL$183,$A20,Data!$AK$4:$AK$183,$B20))</f>
        <v>0</v>
      </c>
      <c r="R20" s="62">
        <f ca="1">IF($A20="","",IF(SUMIFS(Data!$AN$4:$AN$183,Data!$AL$4:$AL$183,$A20,Data!$AK$4:$AK$183,$B20)=0,0,O20*3/SUMIFS(Data!$AN$4:$AN$183,Data!$AL$4:$AL$183,$A20,Data!$AK$4:$AK$183,$B20)))</f>
        <v>0.0</v>
      </c>
      <c r="S20" s="61">
        <f ca="1">IF($A20="","",IF(SUMIFS(Data!$AN$4:$AN$183,Data!$AL$4:$AL$183,$A20,Data!$AK$4:$AK$183,$B20)=0,0,(N20+P20)/SUMIFS(Data!$AN$4:$AN$183,Data!$AL$4:$AL$183,$A20,Data!$AK$4:$AK$183,$B20)))</f>
        <v>0.0</v>
      </c>
      <c r="T20" s="18">
        <f ca="1">IF($A20="","",SUMIFS(Data!$AW$4:$AW$183,Data!$AL$4:$AL$183,$A20,Data!$AK$4:$AK$183,$B20))</f>
        <v>0</v>
      </c>
      <c r="U20" s="18">
        <f ca="1">IF($A20="","",SUMIFS(Data!$AX$4:$AX$183,Data!$AL$4:$AL$183,$A20,Data!$AK$4:$AK$183,$B20))</f>
        <v>1</v>
      </c>
      <c r="V20" s="18">
        <f ca="1">IF($A20="","",SUMIFS(Data!$AY$4:$AY$183,Data!$AL$4:$AL$183,$A20,Data!$AK$4:$AK$183,$B20))</f>
        <v>1</v>
      </c>
      <c r="W20" s="18">
        <f ca="1">IF($A20="","",SUMIFS(Data!$X$4:$X$273,Data!$T$4:$T$273,$A20,Data!$S$4:$S$273,$B20))</f>
        <v>1</v>
      </c>
      <c r="X20" s="18">
        <f ca="1">IF($A20="","",SUMIFS(Data!$Z$4:$Z$273,Data!$T$4:$T$273,$A20,Data!$S$4:$S$273,$B20))</f>
        <v>0</v>
      </c>
      <c r="Y20" s="18">
        <f ca="1">IF($A20="","",SUMIFS(Data!$AA$4:$AA$273,Data!$T$4:$T$273,$A20,Data!$S$4:$S$273,$B20))</f>
        <v>0</v>
      </c>
      <c r="Z20" s="18">
        <f ca="1">IF($A20="","",SUMIFS(Data!$AB$4:$AB$273,Data!$T$4:$T$273,$A20,Data!$S$4:$S$273,$B20))</f>
        <v>0</v>
      </c>
      <c r="AA20" s="18">
        <f ca="1">IF($A20="","",SUMIFS(Data!$AC$4:$AC$273,Data!$T$4:$T$273,$A20,Data!$S$4:$S$273,$B20))</f>
        <v>1</v>
      </c>
      <c r="AB20" s="18">
        <f ca="1">IF($A20="","",SUMIFS(Data!$AD$4:$AD$273,Data!$T$4:$T$273,$A20,Data!$S$4:$S$273,$B20))</f>
        <v>0</v>
      </c>
      <c r="AC20" s="18">
        <f ca="1">IF($A20="","",SUMIFS(Data!$AE$4:$AE$273,Data!$T$4:$T$273,$A20,Data!$S$4:$S$273,$B20))</f>
        <v>1</v>
      </c>
      <c r="AD20" s="18">
        <f ca="1">IF($A20="","",SUMIFS(Data!$AF$4:$AF$273,Data!$T$4:$T$273,$A20,Data!$S$4:$S$273,$B20))</f>
        <v>0</v>
      </c>
      <c r="AE20" s="18">
        <f ca="1">IF($A20="","",SUMIFS(Data!$AG$4:$AG$273,Data!$T$4:$T$273,$A20,Data!$S$4:$S$273,$B20))</f>
        <v>0</v>
      </c>
      <c r="AF20" s="18">
        <f ca="1">IF($A20="","",SUMIFS(Data!$AH$4:$AH$273,Data!$T$4:$T$273,$A20,Data!$S$4:$S$273,$B20))</f>
        <v>0</v>
      </c>
      <c r="AG20" s="18">
        <f ca="1">IF($A20="","",SUMIFS(Data!$AP$4:$AP$183,Data!$AL$4:$AL$183,$A20,Data!$AK$4:$AK$183,$B20))</f>
        <v>0</v>
      </c>
      <c r="AH20" s="18">
        <f ca="1">IF($A20="","",SUMIFS(Data!$AT$4:$AT$183,Data!$AL$4:$AL$183,$A20,Data!$AK$4:$AK$183,$B20))</f>
        <v>0</v>
      </c>
      <c r="AI20" s="18">
        <f ca="1">IF($A20="","",SUMIFS(Data!$AJ$4:$AJ$183,Data!$AL$4:$AL$183,$A20,Data!$AK$4:$AK$183,$B20))</f>
        <v>3</v>
      </c>
    </row>
    <row r="21" spans="1:35">
      <c r="A21" s="18" t="str">
        <f ca="1">IF(Data!K12="","",Data!K12)</f>
        <v>May</v>
      </c>
      <c r="B21" s="18" t="str">
        <f ca="1">IF(Data!H12="","",Data!H12)</f>
        <v>G9</v>
      </c>
      <c r="C21" s="18">
        <f ca="1">IF($A21="","",IF(Data!L12=$A21,1,0))</f>
        <v>0</v>
      </c>
      <c r="D21" s="18">
        <f ca="1">IF($A21="","",IF(Data!M12=$A21,1,0))</f>
        <v>1</v>
      </c>
      <c r="E21" s="18">
        <f ca="1">IF($A21="","",IF(Data!J12=$A21,Data!N12,Data!O12))</f>
        <v>0</v>
      </c>
      <c r="F21" s="18">
        <f ca="1">IF($A21="","",IF(Data!J12=$A21,Data!O12,Data!N12))</f>
        <v>1</v>
      </c>
      <c r="G21" s="18">
        <f ca="1">IF($A21="","",SUMIFS(Data!$W$4:$W$273,Data!$T$4:$T$273,$A21,Data!$S$4:$S$273,$B21))</f>
        <v>9</v>
      </c>
      <c r="H21" s="18">
        <f ca="1">IF($A21="","",SUMIFS(Data!$Y$4:$Y$273,Data!$T$4:$T$273,$A21,Data!$S$4:$S$273,$B21))</f>
        <v>0</v>
      </c>
      <c r="I21" s="61">
        <f t="shared" ca="1" si="0"/>
        <v>0.0</v>
      </c>
      <c r="J21" s="61">
        <f ca="1">IF($A21="","",IF((G21+SUMIFS(Data!$AD$4:$AD$273,Data!$T$4:$T$273,$A21,Data!$S$4:$S$273,$B21)+SUMIFS(Data!$AF$4:$AF$273,Data!$T$4:$T$273,$A21,Data!$S$4:$S$273,$B21)+SUMIFS(Data!$AG$4:$AG$273,Data!$T$4:$T$273,$A21,Data!$S$4:$S$273,$B21))=0,0,(H21+SUMIFS(Data!$AD$4:$AD$273,Data!$T$4:$T$273,$A21,Data!$S$4:$S$273,$B21)+SUMIFS(Data!$AF$4:$AF$273,Data!$T$4:$T$273,$A21,Data!$S$4:$S$273,$B21))/(G21+SUMIFS(Data!$AD$4:$AD$273,Data!$T$4:$T$273,$A21,Data!$S$4:$S$273,$B21)+SUMIFS(Data!$AF$4:$AF$273,Data!$T$4:$T$273,$A21,Data!$S$4:$S$273,$B21)+SUMIFS(Data!$AG$4:$AG$273,Data!$T$4:$T$273,$A21,Data!$S$4:$S$273,$B21))))</f>
        <v>0.0</v>
      </c>
      <c r="K21" s="61">
        <f ca="1">IF($A21="","",IF(G21=0,0,((H21-SUMIFS(Data!$Z$4:$Z$273,Data!$T$4:$T$273,$A21,Data!$S$4:$S$273,$B21)-SUMIFS(Data!$AA$4:$AA$273,Data!$T$4:$T$273,$A21,Data!$S$4:$S$273,$B21)-SUMIFS(Data!$AB$4:$AB$273,Data!$T$4:$T$273,$A21,Data!$S$4:$S$273,$B21))+2*SUMIFS(Data!$Z$4:$Z$273,Data!$T$4:$T$273,$A21,Data!$S$4:$S$273,$B21)+3*SUMIFS(Data!$AA$4:$AA$273,Data!$T$4:$T$273,$A21,Data!$S$4:$S$273,$B21)+4*SUMIFS(Data!$AB$4:$AB$273,Data!$T$4:$T$273,$A21,Data!$S$4:$S$273,$B21))/G21))</f>
        <v>0.0</v>
      </c>
      <c r="L21" s="61">
        <f t="shared" ca="1" si="1"/>
        <v>0.0</v>
      </c>
      <c r="M21" s="18">
        <f ca="1">IF($A21="","",INT(SUMIFS(Data!$AN$4:$AN$183,Data!$AL$4:$AL$183,$A21,Data!$AK$4:$AK$183,$B21))+MOD(ROUND(SUMIFS(Data!$AN$4:$AN$183,Data!$AL$4:$AL$183,$A21,Data!$AK$4:$AK$183,$B21)*3,0),3)/10)</f>
        <v>2</v>
      </c>
      <c r="N21" s="18">
        <f ca="1">IF($A21="","",SUMIFS(Data!$AO$4:$AO$183,Data!$AL$4:$AL$183,$A21,Data!$AK$4:$AK$183,$B21))</f>
        <v>5</v>
      </c>
      <c r="O21" s="18">
        <f ca="1">IF($A21="","",SUMIFS(Data!$AQ$4:$AQ$183,Data!$AL$4:$AL$183,$A21,Data!$AK$4:$AK$183,$B21))</f>
        <v>0</v>
      </c>
      <c r="P21" s="18">
        <f ca="1">IF($A21="","",SUMIFS(Data!$AR$4:$AR$183,Data!$AL$4:$AL$183,$A21,Data!$AK$4:$AK$183,$B21))</f>
        <v>0</v>
      </c>
      <c r="Q21" s="18">
        <f ca="1">IF($A21="","",SUMIFS(Data!$AS$4:$AS$183,Data!$AL$4:$AL$183,$A21,Data!$AK$4:$AK$183,$B21))</f>
        <v>1</v>
      </c>
      <c r="R21" s="62">
        <f ca="1">IF($A21="","",IF(SUMIFS(Data!$AN$4:$AN$183,Data!$AL$4:$AL$183,$A21,Data!$AK$4:$AK$183,$B21)=0,0,O21*3/SUMIFS(Data!$AN$4:$AN$183,Data!$AL$4:$AL$183,$A21,Data!$AK$4:$AK$183,$B21)))</f>
        <v>0.0</v>
      </c>
      <c r="S21" s="61">
        <f ca="1">IF($A21="","",IF(SUMIFS(Data!$AN$4:$AN$183,Data!$AL$4:$AL$183,$A21,Data!$AK$4:$AK$183,$B21)=0,0,(N21+P21)/SUMIFS(Data!$AN$4:$AN$183,Data!$AL$4:$AL$183,$A21,Data!$AK$4:$AK$183,$B21)))</f>
        <v>2.5</v>
      </c>
      <c r="T21" s="18">
        <f ca="1">IF($A21="","",SUMIFS(Data!$AW$4:$AW$183,Data!$AL$4:$AL$183,$A21,Data!$AK$4:$AK$183,$B21))</f>
        <v>0</v>
      </c>
      <c r="U21" s="18">
        <f ca="1">IF($A21="","",SUMIFS(Data!$AX$4:$AX$183,Data!$AL$4:$AL$183,$A21,Data!$AK$4:$AK$183,$B21))</f>
        <v>0</v>
      </c>
      <c r="V21" s="18">
        <f ca="1">IF($A21="","",SUMIFS(Data!$AY$4:$AY$183,Data!$AL$4:$AL$183,$A21,Data!$AK$4:$AK$183,$B21))</f>
        <v>1</v>
      </c>
      <c r="W21" s="18">
        <f ca="1">IF($A21="","",SUMIFS(Data!$X$4:$X$273,Data!$T$4:$T$273,$A21,Data!$S$4:$S$273,$B21))</f>
        <v>0</v>
      </c>
      <c r="X21" s="18">
        <f ca="1">IF($A21="","",SUMIFS(Data!$Z$4:$Z$273,Data!$T$4:$T$273,$A21,Data!$S$4:$S$273,$B21))</f>
        <v>0</v>
      </c>
      <c r="Y21" s="18">
        <f ca="1">IF($A21="","",SUMIFS(Data!$AA$4:$AA$273,Data!$T$4:$T$273,$A21,Data!$S$4:$S$273,$B21))</f>
        <v>0</v>
      </c>
      <c r="Z21" s="18">
        <f ca="1">IF($A21="","",SUMIFS(Data!$AB$4:$AB$273,Data!$T$4:$T$273,$A21,Data!$S$4:$S$273,$B21))</f>
        <v>0</v>
      </c>
      <c r="AA21" s="18">
        <f ca="1">IF($A21="","",SUMIFS(Data!$AC$4:$AC$273,Data!$T$4:$T$273,$A21,Data!$S$4:$S$273,$B21))</f>
        <v>0</v>
      </c>
      <c r="AB21" s="18">
        <f ca="1">IF($A21="","",SUMIFS(Data!$AD$4:$AD$273,Data!$T$4:$T$273,$A21,Data!$S$4:$S$273,$B21))</f>
        <v>0</v>
      </c>
      <c r="AC21" s="18">
        <f ca="1">IF($A21="","",SUMIFS(Data!$AE$4:$AE$273,Data!$T$4:$T$273,$A21,Data!$S$4:$S$273,$B21))</f>
        <v>0</v>
      </c>
      <c r="AD21" s="18">
        <f ca="1">IF($A21="","",SUMIFS(Data!$AF$4:$AF$273,Data!$T$4:$T$273,$A21,Data!$S$4:$S$273,$B21))</f>
        <v>0</v>
      </c>
      <c r="AE21" s="18">
        <f ca="1">IF($A21="","",SUMIFS(Data!$AG$4:$AG$273,Data!$T$4:$T$273,$A21,Data!$S$4:$S$273,$B21))</f>
        <v>0</v>
      </c>
      <c r="AF21" s="18">
        <f ca="1">IF($A21="","",SUMIFS(Data!$AH$4:$AH$273,Data!$T$4:$T$273,$A21,Data!$S$4:$S$273,$B21))</f>
        <v>0</v>
      </c>
      <c r="AG21" s="18">
        <f ca="1">IF($A21="","",SUMIFS(Data!$AP$4:$AP$183,Data!$AL$4:$AL$183,$A21,Data!$AK$4:$AK$183,$B21))</f>
        <v>0</v>
      </c>
      <c r="AH21" s="18">
        <f ca="1">IF($A21="","",SUMIFS(Data!$AT$4:$AT$183,Data!$AL$4:$AL$183,$A21,Data!$AK$4:$AK$183,$B21))</f>
        <v>0</v>
      </c>
      <c r="AI21" s="18">
        <f ca="1">IF($A21="","",SUMIFS(Data!$AJ$4:$AJ$183,Data!$AL$4:$AL$183,$A21,Data!$AK$4:$AK$183,$B21))</f>
        <v>10</v>
      </c>
    </row>
    <row r="22" spans="1:35">
      <c r="A22" s="18" t="str">
        <f ca="1">IF(Data!J13="","",Data!J13)</f>
        <v>Nick</v>
      </c>
      <c r="B22" s="18" t="str">
        <f ca="1">IF(Data!H13="","",Data!H13)</f>
        <v>G10</v>
      </c>
      <c r="C22" s="18">
        <f ca="1">IF($A22="","",IF(Data!L13=$A22,1,0))</f>
        <v>0</v>
      </c>
      <c r="D22" s="18">
        <f ca="1">IF($A22="","",IF(Data!M13=$A22,1,0))</f>
        <v>1</v>
      </c>
      <c r="E22" s="18">
        <f ca="1">IF($A22="","",IF(Data!J13=$A22,Data!N13,Data!O13))</f>
        <v>0</v>
      </c>
      <c r="F22" s="18">
        <f ca="1">IF($A22="","",IF(Data!J13=$A22,Data!O13,Data!N13))</f>
        <v>4</v>
      </c>
      <c r="G22" s="18">
        <f ca="1">IF($A22="","",SUMIFS(Data!$W$4:$W$273,Data!$T$4:$T$273,$A22,Data!$S$4:$S$273,$B22))</f>
        <v>12</v>
      </c>
      <c r="H22" s="18">
        <f ca="1">IF($A22="","",SUMIFS(Data!$Y$4:$Y$273,Data!$T$4:$T$273,$A22,Data!$S$4:$S$273,$B22))</f>
        <v>4</v>
      </c>
      <c r="I22" s="61">
        <f t="shared" ca="1" si="0"/>
        <v>0.3333333333333333</v>
      </c>
      <c r="J22" s="61">
        <f ca="1">IF($A22="","",IF((G22+SUMIFS(Data!$AD$4:$AD$273,Data!$T$4:$T$273,$A22,Data!$S$4:$S$273,$B22)+SUMIFS(Data!$AF$4:$AF$273,Data!$T$4:$T$273,$A22,Data!$S$4:$S$273,$B22)+SUMIFS(Data!$AG$4:$AG$273,Data!$T$4:$T$273,$A22,Data!$S$4:$S$273,$B22))=0,0,(H22+SUMIFS(Data!$AD$4:$AD$273,Data!$T$4:$T$273,$A22,Data!$S$4:$S$273,$B22)+SUMIFS(Data!$AF$4:$AF$273,Data!$T$4:$T$273,$A22,Data!$S$4:$S$273,$B22))/(G22+SUMIFS(Data!$AD$4:$AD$273,Data!$T$4:$T$273,$A22,Data!$S$4:$S$273,$B22)+SUMIFS(Data!$AF$4:$AF$273,Data!$T$4:$T$273,$A22,Data!$S$4:$S$273,$B22)+SUMIFS(Data!$AG$4:$AG$273,Data!$T$4:$T$273,$A22,Data!$S$4:$S$273,$B22))))</f>
        <v>0.38461538461538464</v>
      </c>
      <c r="K22" s="61">
        <f ca="1">IF($A22="","",IF(G22=0,0,((H22-SUMIFS(Data!$Z$4:$Z$273,Data!$T$4:$T$273,$A22,Data!$S$4:$S$273,$B22)-SUMIFS(Data!$AA$4:$AA$273,Data!$T$4:$T$273,$A22,Data!$S$4:$S$273,$B22)-SUMIFS(Data!$AB$4:$AB$273,Data!$T$4:$T$273,$A22,Data!$S$4:$S$273,$B22))+2*SUMIFS(Data!$Z$4:$Z$273,Data!$T$4:$T$273,$A22,Data!$S$4:$S$273,$B22)+3*SUMIFS(Data!$AA$4:$AA$273,Data!$T$4:$T$273,$A22,Data!$S$4:$S$273,$B22)+4*SUMIFS(Data!$AB$4:$AB$273,Data!$T$4:$T$273,$A22,Data!$S$4:$S$273,$B22))/G22))</f>
        <v>0.3333333333333333</v>
      </c>
      <c r="L22" s="61">
        <f t="shared" ca="1" si="1"/>
        <v>0.717948717948718</v>
      </c>
      <c r="M22" s="18">
        <f ca="1">IF($A22="","",INT(SUMIFS(Data!$AN$4:$AN$183,Data!$AL$4:$AL$183,$A22,Data!$AK$4:$AK$183,$B22))+MOD(ROUND(SUMIFS(Data!$AN$4:$AN$183,Data!$AL$4:$AL$183,$A22,Data!$AK$4:$AK$183,$B22)*3,0),3)/10)</f>
        <v>3</v>
      </c>
      <c r="N22" s="18">
        <f ca="1">IF($A22="","",SUMIFS(Data!$AO$4:$AO$183,Data!$AL$4:$AL$183,$A22,Data!$AK$4:$AK$183,$B22))</f>
        <v>7</v>
      </c>
      <c r="O22" s="18">
        <f ca="1">IF($A22="","",SUMIFS(Data!$AQ$4:$AQ$183,Data!$AL$4:$AL$183,$A22,Data!$AK$4:$AK$183,$B22))</f>
        <v>4</v>
      </c>
      <c r="P22" s="18">
        <f ca="1">IF($A22="","",SUMIFS(Data!$AR$4:$AR$183,Data!$AL$4:$AL$183,$A22,Data!$AK$4:$AK$183,$B22))</f>
        <v>0</v>
      </c>
      <c r="Q22" s="18">
        <f ca="1">IF($A22="","",SUMIFS(Data!$AS$4:$AS$183,Data!$AL$4:$AL$183,$A22,Data!$AK$4:$AK$183,$B22))</f>
        <v>1</v>
      </c>
      <c r="R22" s="62">
        <f ca="1">IF($A22="","",IF(SUMIFS(Data!$AN$4:$AN$183,Data!$AL$4:$AL$183,$A22,Data!$AK$4:$AK$183,$B22)=0,0,O22*3/SUMIFS(Data!$AN$4:$AN$183,Data!$AL$4:$AL$183,$A22,Data!$AK$4:$AK$183,$B22)))</f>
        <v>4.0</v>
      </c>
      <c r="S22" s="61">
        <f ca="1">IF($A22="","",IF(SUMIFS(Data!$AN$4:$AN$183,Data!$AL$4:$AL$183,$A22,Data!$AK$4:$AK$183,$B22)=0,0,(N22+P22)/SUMIFS(Data!$AN$4:$AN$183,Data!$AL$4:$AL$183,$A22,Data!$AK$4:$AK$183,$B22)))</f>
        <v>2.3333333333333335</v>
      </c>
      <c r="T22" s="18">
        <f ca="1">IF($A22="","",SUMIFS(Data!$AW$4:$AW$183,Data!$AL$4:$AL$183,$A22,Data!$AK$4:$AK$183,$B22))</f>
        <v>0</v>
      </c>
      <c r="U22" s="18">
        <f ca="1">IF($A22="","",SUMIFS(Data!$AX$4:$AX$183,Data!$AL$4:$AL$183,$A22,Data!$AK$4:$AK$183,$B22))</f>
        <v>0</v>
      </c>
      <c r="V22" s="18">
        <f ca="1">IF($A22="","",SUMIFS(Data!$AY$4:$AY$183,Data!$AL$4:$AL$183,$A22,Data!$AK$4:$AK$183,$B22))</f>
        <v>0</v>
      </c>
      <c r="W22" s="18">
        <f ca="1">IF($A22="","",SUMIFS(Data!$X$4:$X$273,Data!$T$4:$T$273,$A22,Data!$S$4:$S$273,$B22))</f>
        <v>1</v>
      </c>
      <c r="X22" s="18">
        <f ca="1">IF($A22="","",SUMIFS(Data!$Z$4:$Z$273,Data!$T$4:$T$273,$A22,Data!$S$4:$S$273,$B22))</f>
        <v>0</v>
      </c>
      <c r="Y22" s="18">
        <f ca="1">IF($A22="","",SUMIFS(Data!$AA$4:$AA$273,Data!$T$4:$T$273,$A22,Data!$S$4:$S$273,$B22))</f>
        <v>0</v>
      </c>
      <c r="Z22" s="18">
        <f ca="1">IF($A22="","",SUMIFS(Data!$AB$4:$AB$273,Data!$T$4:$T$273,$A22,Data!$S$4:$S$273,$B22))</f>
        <v>0</v>
      </c>
      <c r="AA22" s="18">
        <f ca="1">IF($A22="","",SUMIFS(Data!$AC$4:$AC$273,Data!$T$4:$T$273,$A22,Data!$S$4:$S$273,$B22))</f>
        <v>0</v>
      </c>
      <c r="AB22" s="18">
        <f ca="1">IF($A22="","",SUMIFS(Data!$AD$4:$AD$273,Data!$T$4:$T$273,$A22,Data!$S$4:$S$273,$B22))</f>
        <v>0</v>
      </c>
      <c r="AC22" s="18">
        <f ca="1">IF($A22="","",SUMIFS(Data!$AE$4:$AE$273,Data!$T$4:$T$273,$A22,Data!$S$4:$S$273,$B22))</f>
        <v>5</v>
      </c>
      <c r="AD22" s="18">
        <f ca="1">IF($A22="","",SUMIFS(Data!$AF$4:$AF$273,Data!$T$4:$T$273,$A22,Data!$S$4:$S$273,$B22))</f>
        <v>1</v>
      </c>
      <c r="AE22" s="18">
        <f ca="1">IF($A22="","",SUMIFS(Data!$AG$4:$AG$273,Data!$T$4:$T$273,$A22,Data!$S$4:$S$273,$B22))</f>
        <v>0</v>
      </c>
      <c r="AF22" s="18">
        <f ca="1">IF($A22="","",SUMIFS(Data!$AH$4:$AH$273,Data!$T$4:$T$273,$A22,Data!$S$4:$S$273,$B22))</f>
        <v>0</v>
      </c>
      <c r="AG22" s="18">
        <f ca="1">IF($A22="","",SUMIFS(Data!$AP$4:$AP$183,Data!$AL$4:$AL$183,$A22,Data!$AK$4:$AK$183,$B22))</f>
        <v>4</v>
      </c>
      <c r="AH22" s="18">
        <f ca="1">IF($A22="","",SUMIFS(Data!$AT$4:$AT$183,Data!$AL$4:$AL$183,$A22,Data!$AK$4:$AK$183,$B22))</f>
        <v>1</v>
      </c>
      <c r="AI22" s="18">
        <f ca="1">IF($A22="","",SUMIFS(Data!$AJ$4:$AJ$183,Data!$AL$4:$AL$183,$A22,Data!$AK$4:$AK$183,$B22))</f>
        <v>16</v>
      </c>
    </row>
    <row r="23" spans="1:35">
      <c r="A23" s="18" t="str">
        <f ca="1">IF(Data!K13="","",Data!K13)</f>
        <v>Jason</v>
      </c>
      <c r="B23" s="18" t="str">
        <f ca="1">IF(Data!H13="","",Data!H13)</f>
        <v>G10</v>
      </c>
      <c r="C23" s="18">
        <f ca="1">IF($A23="","",IF(Data!L13=$A23,1,0))</f>
        <v>1</v>
      </c>
      <c r="D23" s="18">
        <f ca="1">IF($A23="","",IF(Data!M13=$A23,1,0))</f>
        <v>0</v>
      </c>
      <c r="E23" s="18">
        <f ca="1">IF($A23="","",IF(Data!J13=$A23,Data!N13,Data!O13))</f>
        <v>4</v>
      </c>
      <c r="F23" s="18">
        <f ca="1">IF($A23="","",IF(Data!J13=$A23,Data!O13,Data!N13))</f>
        <v>0</v>
      </c>
      <c r="G23" s="18">
        <f ca="1">IF($A23="","",SUMIFS(Data!$W$4:$W$273,Data!$T$4:$T$273,$A23,Data!$S$4:$S$273,$B23))</f>
        <v>16</v>
      </c>
      <c r="H23" s="18">
        <f ca="1">IF($A23="","",SUMIFS(Data!$Y$4:$Y$273,Data!$T$4:$T$273,$A23,Data!$S$4:$S$273,$B23))</f>
        <v>7</v>
      </c>
      <c r="I23" s="61">
        <f t="shared" ca="1" si="0"/>
        <v>0.4375</v>
      </c>
      <c r="J23" s="61">
        <f ca="1">IF($A23="","",IF((G23+SUMIFS(Data!$AD$4:$AD$273,Data!$T$4:$T$273,$A23,Data!$S$4:$S$273,$B23)+SUMIFS(Data!$AF$4:$AF$273,Data!$T$4:$T$273,$A23,Data!$S$4:$S$273,$B23)+SUMIFS(Data!$AG$4:$AG$273,Data!$T$4:$T$273,$A23,Data!$S$4:$S$273,$B23))=0,0,(H23+SUMIFS(Data!$AD$4:$AD$273,Data!$T$4:$T$273,$A23,Data!$S$4:$S$273,$B23)+SUMIFS(Data!$AF$4:$AF$273,Data!$T$4:$T$273,$A23,Data!$S$4:$S$273,$B23))/(G23+SUMIFS(Data!$AD$4:$AD$273,Data!$T$4:$T$273,$A23,Data!$S$4:$S$273,$B23)+SUMIFS(Data!$AF$4:$AF$273,Data!$T$4:$T$273,$A23,Data!$S$4:$S$273,$B23)+SUMIFS(Data!$AG$4:$AG$273,Data!$T$4:$T$273,$A23,Data!$S$4:$S$273,$B23))))</f>
        <v>0.4375</v>
      </c>
      <c r="K23" s="61">
        <f ca="1">IF($A23="","",IF(G23=0,0,((H23-SUMIFS(Data!$Z$4:$Z$273,Data!$T$4:$T$273,$A23,Data!$S$4:$S$273,$B23)-SUMIFS(Data!$AA$4:$AA$273,Data!$T$4:$T$273,$A23,Data!$S$4:$S$273,$B23)-SUMIFS(Data!$AB$4:$AB$273,Data!$T$4:$T$273,$A23,Data!$S$4:$S$273,$B23))+2*SUMIFS(Data!$Z$4:$Z$273,Data!$T$4:$T$273,$A23,Data!$S$4:$S$273,$B23)+3*SUMIFS(Data!$AA$4:$AA$273,Data!$T$4:$T$273,$A23,Data!$S$4:$S$273,$B23)+4*SUMIFS(Data!$AB$4:$AB$273,Data!$T$4:$T$273,$A23,Data!$S$4:$S$273,$B23))/G23))</f>
        <v>0.625</v>
      </c>
      <c r="L23" s="61">
        <f t="shared" ca="1" si="1"/>
        <v>1.0625</v>
      </c>
      <c r="M23" s="18">
        <f ca="1">IF($A23="","",INT(SUMIFS(Data!$AN$4:$AN$183,Data!$AL$4:$AL$183,$A23,Data!$AK$4:$AK$183,$B23))+MOD(ROUND(SUMIFS(Data!$AN$4:$AN$183,Data!$AL$4:$AL$183,$A23,Data!$AK$4:$AK$183,$B23)*3,0),3)/10)</f>
        <v>3</v>
      </c>
      <c r="N23" s="18">
        <f ca="1">IF($A23="","",SUMIFS(Data!$AO$4:$AO$183,Data!$AL$4:$AL$183,$A23,Data!$AK$4:$AK$183,$B23))</f>
        <v>4</v>
      </c>
      <c r="O23" s="18">
        <f ca="1">IF($A23="","",SUMIFS(Data!$AQ$4:$AQ$183,Data!$AL$4:$AL$183,$A23,Data!$AK$4:$AK$183,$B23))</f>
        <v>0</v>
      </c>
      <c r="P23" s="18">
        <f ca="1">IF($A23="","",SUMIFS(Data!$AR$4:$AR$183,Data!$AL$4:$AL$183,$A23,Data!$AK$4:$AK$183,$B23))</f>
        <v>0</v>
      </c>
      <c r="Q23" s="18">
        <f ca="1">IF($A23="","",SUMIFS(Data!$AS$4:$AS$183,Data!$AL$4:$AL$183,$A23,Data!$AK$4:$AK$183,$B23))</f>
        <v>5</v>
      </c>
      <c r="R23" s="62">
        <f ca="1">IF($A23="","",IF(SUMIFS(Data!$AN$4:$AN$183,Data!$AL$4:$AL$183,$A23,Data!$AK$4:$AK$183,$B23)=0,0,O23*3/SUMIFS(Data!$AN$4:$AN$183,Data!$AL$4:$AL$183,$A23,Data!$AK$4:$AK$183,$B23)))</f>
        <v>0.0</v>
      </c>
      <c r="S23" s="61">
        <f ca="1">IF($A23="","",IF(SUMIFS(Data!$AN$4:$AN$183,Data!$AL$4:$AL$183,$A23,Data!$AK$4:$AK$183,$B23)=0,0,(N23+P23)/SUMIFS(Data!$AN$4:$AN$183,Data!$AL$4:$AL$183,$A23,Data!$AK$4:$AK$183,$B23)))</f>
        <v>1.3333333333333333</v>
      </c>
      <c r="T23" s="18">
        <f ca="1">IF($A23="","",SUMIFS(Data!$AW$4:$AW$183,Data!$AL$4:$AL$183,$A23,Data!$AK$4:$AK$183,$B23))</f>
        <v>0</v>
      </c>
      <c r="U23" s="18">
        <f ca="1">IF($A23="","",SUMIFS(Data!$AX$4:$AX$183,Data!$AL$4:$AL$183,$A23,Data!$AK$4:$AK$183,$B23))</f>
        <v>0</v>
      </c>
      <c r="V23" s="18">
        <f ca="1">IF($A23="","",SUMIFS(Data!$AY$4:$AY$183,Data!$AL$4:$AL$183,$A23,Data!$AK$4:$AK$183,$B23))</f>
        <v>0</v>
      </c>
      <c r="W23" s="18">
        <f ca="1">IF($A23="","",SUMIFS(Data!$X$4:$X$273,Data!$T$4:$T$273,$A23,Data!$S$4:$S$273,$B23))</f>
        <v>4</v>
      </c>
      <c r="X23" s="18">
        <f ca="1">IF($A23="","",SUMIFS(Data!$Z$4:$Z$273,Data!$T$4:$T$273,$A23,Data!$S$4:$S$273,$B23))</f>
        <v>0</v>
      </c>
      <c r="Y23" s="18">
        <f ca="1">IF($A23="","",SUMIFS(Data!$AA$4:$AA$273,Data!$T$4:$T$273,$A23,Data!$S$4:$S$273,$B23))</f>
        <v>0</v>
      </c>
      <c r="Z23" s="18">
        <f ca="1">IF($A23="","",SUMIFS(Data!$AB$4:$AB$273,Data!$T$4:$T$273,$A23,Data!$S$4:$S$273,$B23))</f>
        <v>1</v>
      </c>
      <c r="AA23" s="18">
        <f ca="1">IF($A23="","",SUMIFS(Data!$AC$4:$AC$273,Data!$T$4:$T$273,$A23,Data!$S$4:$S$273,$B23))</f>
        <v>4</v>
      </c>
      <c r="AB23" s="18">
        <f ca="1">IF($A23="","",SUMIFS(Data!$AD$4:$AD$273,Data!$T$4:$T$273,$A23,Data!$S$4:$S$273,$B23))</f>
        <v>0</v>
      </c>
      <c r="AC23" s="18">
        <f ca="1">IF($A23="","",SUMIFS(Data!$AE$4:$AE$273,Data!$T$4:$T$273,$A23,Data!$S$4:$S$273,$B23))</f>
        <v>1</v>
      </c>
      <c r="AD23" s="18">
        <f ca="1">IF($A23="","",SUMIFS(Data!$AF$4:$AF$273,Data!$T$4:$T$273,$A23,Data!$S$4:$S$273,$B23))</f>
        <v>0</v>
      </c>
      <c r="AE23" s="18">
        <f ca="1">IF($A23="","",SUMIFS(Data!$AG$4:$AG$273,Data!$T$4:$T$273,$A23,Data!$S$4:$S$273,$B23))</f>
        <v>0</v>
      </c>
      <c r="AF23" s="18">
        <f ca="1">IF($A23="","",SUMIFS(Data!$AH$4:$AH$273,Data!$T$4:$T$273,$A23,Data!$S$4:$S$273,$B23))</f>
        <v>0</v>
      </c>
      <c r="AG23" s="18">
        <f ca="1">IF($A23="","",SUMIFS(Data!$AP$4:$AP$183,Data!$AL$4:$AL$183,$A23,Data!$AK$4:$AK$183,$B23))</f>
        <v>0</v>
      </c>
      <c r="AH23" s="18">
        <f ca="1">IF($A23="","",SUMIFS(Data!$AT$4:$AT$183,Data!$AL$4:$AL$183,$A23,Data!$AK$4:$AK$183,$B23))</f>
        <v>0</v>
      </c>
      <c r="AI23" s="18">
        <f ca="1">IF($A23="","",SUMIFS(Data!$AJ$4:$AJ$183,Data!$AL$4:$AL$183,$A23,Data!$AK$4:$AK$183,$B23))</f>
        <v>13</v>
      </c>
    </row>
    <row r="24" spans="1:35">
      <c r="A24" s="18" t="str">
        <f ca="1">IF(Data!J14="","",Data!J14)</f>
      </c>
      <c r="B24" s="18" t="str">
        <f ca="1">IF(Data!H14="","",Data!H14)</f>
      </c>
      <c r="C24" s="18" t="str">
        <f ca="1">IF($A24="","",IF(Data!L14=$A24,1,0))</f>
        <v/>
      </c>
      <c r="D24" s="18" t="str">
        <f ca="1">IF($A24="","",IF(Data!M14=$A24,1,0))</f>
        <v/>
      </c>
      <c r="E24" s="18" t="str">
        <f ca="1">IF($A24="","",IF(Data!J14=$A24,Data!N14,Data!O14))</f>
        <v/>
      </c>
      <c r="F24" s="18" t="str">
        <f ca="1">IF($A24="","",IF(Data!J14=$A24,Data!O14,Data!N14))</f>
        <v/>
      </c>
      <c r="G24" s="18" t="str">
        <f ca="1">IF($A24="","",SUMIFS(Data!$W$4:$W$273,Data!$T$4:$T$273,$A24,Data!$S$4:$S$273,$B24))</f>
        <v/>
      </c>
      <c r="H24" s="18" t="str">
        <f ca="1">IF($A24="","",SUMIFS(Data!$Y$4:$Y$273,Data!$T$4:$T$273,$A24,Data!$S$4:$S$273,$B24))</f>
        <v/>
      </c>
      <c r="I24" s="61" t="str">
        <f t="shared" ca="1" si="0"/>
        <v/>
      </c>
      <c r="J24" s="61" t="str">
        <f ca="1">IF($A24="","",IF((G24+SUMIFS(Data!$AD$4:$AD$273,Data!$T$4:$T$273,$A24,Data!$S$4:$S$273,$B24)+SUMIFS(Data!$AF$4:$AF$273,Data!$T$4:$T$273,$A24,Data!$S$4:$S$273,$B24)+SUMIFS(Data!$AG$4:$AG$273,Data!$T$4:$T$273,$A24,Data!$S$4:$S$273,$B24))=0,0,(H24+SUMIFS(Data!$AD$4:$AD$273,Data!$T$4:$T$273,$A24,Data!$S$4:$S$273,$B24)+SUMIFS(Data!$AF$4:$AF$273,Data!$T$4:$T$273,$A24,Data!$S$4:$S$273,$B24))/(G24+SUMIFS(Data!$AD$4:$AD$273,Data!$T$4:$T$273,$A24,Data!$S$4:$S$273,$B24)+SUMIFS(Data!$AF$4:$AF$273,Data!$T$4:$T$273,$A24,Data!$S$4:$S$273,$B24)+SUMIFS(Data!$AG$4:$AG$273,Data!$T$4:$T$273,$A24,Data!$S$4:$S$273,$B24))))</f>
        <v/>
      </c>
      <c r="K24" s="61" t="str">
        <f ca="1">IF($A24="","",IF(G24=0,0,((H24-SUMIFS(Data!$Z$4:$Z$273,Data!$T$4:$T$273,$A24,Data!$S$4:$S$273,$B24)-SUMIFS(Data!$AA$4:$AA$273,Data!$T$4:$T$273,$A24,Data!$S$4:$S$273,$B24)-SUMIFS(Data!$AB$4:$AB$273,Data!$T$4:$T$273,$A24,Data!$S$4:$S$273,$B24))+2*SUMIFS(Data!$Z$4:$Z$273,Data!$T$4:$T$273,$A24,Data!$S$4:$S$273,$B24)+3*SUMIFS(Data!$AA$4:$AA$273,Data!$T$4:$T$273,$A24,Data!$S$4:$S$273,$B24)+4*SUMIFS(Data!$AB$4:$AB$273,Data!$T$4:$T$273,$A24,Data!$S$4:$S$273,$B24))/G24))</f>
        <v/>
      </c>
      <c r="L24" s="61" t="str">
        <f t="shared" ca="1" si="1"/>
        <v/>
      </c>
      <c r="M24" s="18" t="str">
        <f ca="1">IF($A24="","",INT(SUMIFS(Data!$AN$4:$AN$183,Data!$AL$4:$AL$183,$A24,Data!$AK$4:$AK$183,$B24))+MOD(ROUND(SUMIFS(Data!$AN$4:$AN$183,Data!$AL$4:$AL$183,$A24,Data!$AK$4:$AK$183,$B24)*3,0),3)/10)</f>
        <v/>
      </c>
      <c r="N24" s="18" t="str">
        <f ca="1">IF($A24="","",SUMIFS(Data!$AO$4:$AO$183,Data!$AL$4:$AL$183,$A24,Data!$AK$4:$AK$183,$B24))</f>
        <v/>
      </c>
      <c r="O24" s="18" t="str">
        <f ca="1">IF($A24="","",SUMIFS(Data!$AQ$4:$AQ$183,Data!$AL$4:$AL$183,$A24,Data!$AK$4:$AK$183,$B24))</f>
        <v/>
      </c>
      <c r="P24" s="18" t="str">
        <f ca="1">IF($A24="","",SUMIFS(Data!$AR$4:$AR$183,Data!$AL$4:$AL$183,$A24,Data!$AK$4:$AK$183,$B24))</f>
        <v/>
      </c>
      <c r="Q24" s="18" t="str">
        <f ca="1">IF($A24="","",SUMIFS(Data!$AS$4:$AS$183,Data!$AL$4:$AL$183,$A24,Data!$AK$4:$AK$183,$B24))</f>
        <v/>
      </c>
      <c r="R24" s="62" t="str">
        <f ca="1">IF($A24="","",IF(SUMIFS(Data!$AN$4:$AN$183,Data!$AL$4:$AL$183,$A24,Data!$AK$4:$AK$183,$B24)=0,0,O24*3/SUMIFS(Data!$AN$4:$AN$183,Data!$AL$4:$AL$183,$A24,Data!$AK$4:$AK$183,$B24)))</f>
        <v/>
      </c>
      <c r="S24" s="61" t="str">
        <f ca="1">IF($A24="","",IF(SUMIFS(Data!$AN$4:$AN$183,Data!$AL$4:$AL$183,$A24,Data!$AK$4:$AK$183,$B24)=0,0,(N24+P24)/SUMIFS(Data!$AN$4:$AN$183,Data!$AL$4:$AL$183,$A24,Data!$AK$4:$AK$183,$B24)))</f>
        <v/>
      </c>
      <c r="T24" s="18" t="str">
        <f ca="1">IF($A24="","",SUMIFS(Data!$AW$4:$AW$183,Data!$AL$4:$AL$183,$A24,Data!$AK$4:$AK$183,$B24))</f>
        <v/>
      </c>
      <c r="U24" s="18" t="str">
        <f ca="1">IF($A24="","",SUMIFS(Data!$AX$4:$AX$183,Data!$AL$4:$AL$183,$A24,Data!$AK$4:$AK$183,$B24))</f>
        <v/>
      </c>
      <c r="V24" s="18" t="str">
        <f ca="1">IF($A24="","",SUMIFS(Data!$AY$4:$AY$183,Data!$AL$4:$AL$183,$A24,Data!$AK$4:$AK$183,$B24))</f>
        <v/>
      </c>
      <c r="W24" s="18" t="str">
        <f ca="1">IF($A24="","",SUMIFS(Data!$X$4:$X$273,Data!$T$4:$T$273,$A24,Data!$S$4:$S$273,$B24))</f>
        <v/>
      </c>
      <c r="X24" s="18" t="str">
        <f ca="1">IF($A24="","",SUMIFS(Data!$Z$4:$Z$273,Data!$T$4:$T$273,$A24,Data!$S$4:$S$273,$B24))</f>
        <v/>
      </c>
      <c r="Y24" s="18" t="str">
        <f ca="1">IF($A24="","",SUMIFS(Data!$AA$4:$AA$273,Data!$T$4:$T$273,$A24,Data!$S$4:$S$273,$B24))</f>
        <v/>
      </c>
      <c r="Z24" s="18" t="str">
        <f ca="1">IF($A24="","",SUMIFS(Data!$AB$4:$AB$273,Data!$T$4:$T$273,$A24,Data!$S$4:$S$273,$B24))</f>
        <v/>
      </c>
      <c r="AA24" s="18" t="str">
        <f ca="1">IF($A24="","",SUMIFS(Data!$AC$4:$AC$273,Data!$T$4:$T$273,$A24,Data!$S$4:$S$273,$B24))</f>
        <v/>
      </c>
      <c r="AB24" s="18" t="str">
        <f ca="1">IF($A24="","",SUMIFS(Data!$AD$4:$AD$273,Data!$T$4:$T$273,$A24,Data!$S$4:$S$273,$B24))</f>
        <v/>
      </c>
      <c r="AC24" s="18" t="str">
        <f ca="1">IF($A24="","",SUMIFS(Data!$AE$4:$AE$273,Data!$T$4:$T$273,$A24,Data!$S$4:$S$273,$B24))</f>
        <v/>
      </c>
      <c r="AD24" s="18" t="str">
        <f ca="1">IF($A24="","",SUMIFS(Data!$AF$4:$AF$273,Data!$T$4:$T$273,$A24,Data!$S$4:$S$273,$B24))</f>
        <v/>
      </c>
      <c r="AE24" s="18" t="str">
        <f ca="1">IF($A24="","",SUMIFS(Data!$AG$4:$AG$273,Data!$T$4:$T$273,$A24,Data!$S$4:$S$273,$B24))</f>
        <v/>
      </c>
      <c r="AF24" s="18" t="str">
        <f ca="1">IF($A24="","",SUMIFS(Data!$AH$4:$AH$273,Data!$T$4:$T$273,$A24,Data!$S$4:$S$273,$B24))</f>
        <v/>
      </c>
      <c r="AG24" s="18" t="str">
        <f ca="1">IF($A24="","",SUMIFS(Data!$AP$4:$AP$183,Data!$AL$4:$AL$183,$A24,Data!$AK$4:$AK$183,$B24))</f>
        <v/>
      </c>
      <c r="AH24" s="18" t="str">
        <f ca="1">IF($A24="","",SUMIFS(Data!$AT$4:$AT$183,Data!$AL$4:$AL$183,$A24,Data!$AK$4:$AK$183,$B24))</f>
        <v/>
      </c>
      <c r="AI24" s="18" t="str">
        <f ca="1">IF($A24="","",SUMIFS(Data!$AJ$4:$AJ$183,Data!$AL$4:$AL$183,$A24,Data!$AK$4:$AK$183,$B24))</f>
        <v/>
      </c>
    </row>
    <row r="25" spans="1:35">
      <c r="A25" s="18" t="str">
        <f ca="1">IF(Data!K14="","",Data!K14)</f>
      </c>
      <c r="B25" s="18" t="str">
        <f ca="1">IF(Data!H14="","",Data!H14)</f>
      </c>
      <c r="C25" s="18" t="str">
        <f ca="1">IF($A25="","",IF(Data!L14=$A25,1,0))</f>
        <v/>
      </c>
      <c r="D25" s="18" t="str">
        <f ca="1">IF($A25="","",IF(Data!M14=$A25,1,0))</f>
        <v/>
      </c>
      <c r="E25" s="18" t="str">
        <f ca="1">IF($A25="","",IF(Data!J14=$A25,Data!N14,Data!O14))</f>
        <v/>
      </c>
      <c r="F25" s="18" t="str">
        <f ca="1">IF($A25="","",IF(Data!J14=$A25,Data!O14,Data!N14))</f>
        <v/>
      </c>
      <c r="G25" s="18" t="str">
        <f ca="1">IF($A25="","",SUMIFS(Data!$W$4:$W$273,Data!$T$4:$T$273,$A25,Data!$S$4:$S$273,$B25))</f>
        <v/>
      </c>
      <c r="H25" s="18" t="str">
        <f ca="1">IF($A25="","",SUMIFS(Data!$Y$4:$Y$273,Data!$T$4:$T$273,$A25,Data!$S$4:$S$273,$B25))</f>
        <v/>
      </c>
      <c r="I25" s="61" t="str">
        <f t="shared" ca="1" si="0"/>
        <v/>
      </c>
      <c r="J25" s="61" t="str">
        <f ca="1">IF($A25="","",IF((G25+SUMIFS(Data!$AD$4:$AD$273,Data!$T$4:$T$273,$A25,Data!$S$4:$S$273,$B25)+SUMIFS(Data!$AF$4:$AF$273,Data!$T$4:$T$273,$A25,Data!$S$4:$S$273,$B25)+SUMIFS(Data!$AG$4:$AG$273,Data!$T$4:$T$273,$A25,Data!$S$4:$S$273,$B25))=0,0,(H25+SUMIFS(Data!$AD$4:$AD$273,Data!$T$4:$T$273,$A25,Data!$S$4:$S$273,$B25)+SUMIFS(Data!$AF$4:$AF$273,Data!$T$4:$T$273,$A25,Data!$S$4:$S$273,$B25))/(G25+SUMIFS(Data!$AD$4:$AD$273,Data!$T$4:$T$273,$A25,Data!$S$4:$S$273,$B25)+SUMIFS(Data!$AF$4:$AF$273,Data!$T$4:$T$273,$A25,Data!$S$4:$S$273,$B25)+SUMIFS(Data!$AG$4:$AG$273,Data!$T$4:$T$273,$A25,Data!$S$4:$S$273,$B25))))</f>
        <v/>
      </c>
      <c r="K25" s="61" t="str">
        <f ca="1">IF($A25="","",IF(G25=0,0,((H25-SUMIFS(Data!$Z$4:$Z$273,Data!$T$4:$T$273,$A25,Data!$S$4:$S$273,$B25)-SUMIFS(Data!$AA$4:$AA$273,Data!$T$4:$T$273,$A25,Data!$S$4:$S$273,$B25)-SUMIFS(Data!$AB$4:$AB$273,Data!$T$4:$T$273,$A25,Data!$S$4:$S$273,$B25))+2*SUMIFS(Data!$Z$4:$Z$273,Data!$T$4:$T$273,$A25,Data!$S$4:$S$273,$B25)+3*SUMIFS(Data!$AA$4:$AA$273,Data!$T$4:$T$273,$A25,Data!$S$4:$S$273,$B25)+4*SUMIFS(Data!$AB$4:$AB$273,Data!$T$4:$T$273,$A25,Data!$S$4:$S$273,$B25))/G25))</f>
        <v/>
      </c>
      <c r="L25" s="61" t="str">
        <f t="shared" ca="1" si="1"/>
        <v/>
      </c>
      <c r="M25" s="18" t="str">
        <f ca="1">IF($A25="","",INT(SUMIFS(Data!$AN$4:$AN$183,Data!$AL$4:$AL$183,$A25,Data!$AK$4:$AK$183,$B25))+MOD(ROUND(SUMIFS(Data!$AN$4:$AN$183,Data!$AL$4:$AL$183,$A25,Data!$AK$4:$AK$183,$B25)*3,0),3)/10)</f>
        <v/>
      </c>
      <c r="N25" s="18" t="str">
        <f ca="1">IF($A25="","",SUMIFS(Data!$AO$4:$AO$183,Data!$AL$4:$AL$183,$A25,Data!$AK$4:$AK$183,$B25))</f>
        <v/>
      </c>
      <c r="O25" s="18" t="str">
        <f ca="1">IF($A25="","",SUMIFS(Data!$AQ$4:$AQ$183,Data!$AL$4:$AL$183,$A25,Data!$AK$4:$AK$183,$B25))</f>
        <v/>
      </c>
      <c r="P25" s="18" t="str">
        <f ca="1">IF($A25="","",SUMIFS(Data!$AR$4:$AR$183,Data!$AL$4:$AL$183,$A25,Data!$AK$4:$AK$183,$B25))</f>
        <v/>
      </c>
      <c r="Q25" s="18" t="str">
        <f ca="1">IF($A25="","",SUMIFS(Data!$AS$4:$AS$183,Data!$AL$4:$AL$183,$A25,Data!$AK$4:$AK$183,$B25))</f>
        <v/>
      </c>
      <c r="R25" s="62" t="str">
        <f ca="1">IF($A25="","",IF(SUMIFS(Data!$AN$4:$AN$183,Data!$AL$4:$AL$183,$A25,Data!$AK$4:$AK$183,$B25)=0,0,O25*3/SUMIFS(Data!$AN$4:$AN$183,Data!$AL$4:$AL$183,$A25,Data!$AK$4:$AK$183,$B25)))</f>
        <v/>
      </c>
      <c r="S25" s="61" t="str">
        <f ca="1">IF($A25="","",IF(SUMIFS(Data!$AN$4:$AN$183,Data!$AL$4:$AL$183,$A25,Data!$AK$4:$AK$183,$B25)=0,0,(N25+P25)/SUMIFS(Data!$AN$4:$AN$183,Data!$AL$4:$AL$183,$A25,Data!$AK$4:$AK$183,$B25)))</f>
        <v/>
      </c>
      <c r="T25" s="18" t="str">
        <f ca="1">IF($A25="","",SUMIFS(Data!$AW$4:$AW$183,Data!$AL$4:$AL$183,$A25,Data!$AK$4:$AK$183,$B25))</f>
        <v/>
      </c>
      <c r="U25" s="18" t="str">
        <f ca="1">IF($A25="","",SUMIFS(Data!$AX$4:$AX$183,Data!$AL$4:$AL$183,$A25,Data!$AK$4:$AK$183,$B25))</f>
        <v/>
      </c>
      <c r="V25" s="18" t="str">
        <f ca="1">IF($A25="","",SUMIFS(Data!$AY$4:$AY$183,Data!$AL$4:$AL$183,$A25,Data!$AK$4:$AK$183,$B25))</f>
        <v/>
      </c>
      <c r="W25" s="18" t="str">
        <f ca="1">IF($A25="","",SUMIFS(Data!$X$4:$X$273,Data!$T$4:$T$273,$A25,Data!$S$4:$S$273,$B25))</f>
        <v/>
      </c>
      <c r="X25" s="18" t="str">
        <f ca="1">IF($A25="","",SUMIFS(Data!$Z$4:$Z$273,Data!$T$4:$T$273,$A25,Data!$S$4:$S$273,$B25))</f>
        <v/>
      </c>
      <c r="Y25" s="18" t="str">
        <f ca="1">IF($A25="","",SUMIFS(Data!$AA$4:$AA$273,Data!$T$4:$T$273,$A25,Data!$S$4:$S$273,$B25))</f>
        <v/>
      </c>
      <c r="Z25" s="18" t="str">
        <f ca="1">IF($A25="","",SUMIFS(Data!$AB$4:$AB$273,Data!$T$4:$T$273,$A25,Data!$S$4:$S$273,$B25))</f>
        <v/>
      </c>
      <c r="AA25" s="18" t="str">
        <f ca="1">IF($A25="","",SUMIFS(Data!$AC$4:$AC$273,Data!$T$4:$T$273,$A25,Data!$S$4:$S$273,$B25))</f>
        <v/>
      </c>
      <c r="AB25" s="18" t="str">
        <f ca="1">IF($A25="","",SUMIFS(Data!$AD$4:$AD$273,Data!$T$4:$T$273,$A25,Data!$S$4:$S$273,$B25))</f>
        <v/>
      </c>
      <c r="AC25" s="18" t="str">
        <f ca="1">IF($A25="","",SUMIFS(Data!$AE$4:$AE$273,Data!$T$4:$T$273,$A25,Data!$S$4:$S$273,$B25))</f>
        <v/>
      </c>
      <c r="AD25" s="18" t="str">
        <f ca="1">IF($A25="","",SUMIFS(Data!$AF$4:$AF$273,Data!$T$4:$T$273,$A25,Data!$S$4:$S$273,$B25))</f>
        <v/>
      </c>
      <c r="AE25" s="18" t="str">
        <f ca="1">IF($A25="","",SUMIFS(Data!$AG$4:$AG$273,Data!$T$4:$T$273,$A25,Data!$S$4:$S$273,$B25))</f>
        <v/>
      </c>
      <c r="AF25" s="18" t="str">
        <f ca="1">IF($A25="","",SUMIFS(Data!$AH$4:$AH$273,Data!$T$4:$T$273,$A25,Data!$S$4:$S$273,$B25))</f>
        <v/>
      </c>
      <c r="AG25" s="18" t="str">
        <f ca="1">IF($A25="","",SUMIFS(Data!$AP$4:$AP$183,Data!$AL$4:$AL$183,$A25,Data!$AK$4:$AK$183,$B25))</f>
        <v/>
      </c>
      <c r="AH25" s="18" t="str">
        <f ca="1">IF($A25="","",SUMIFS(Data!$AT$4:$AT$183,Data!$AL$4:$AL$183,$A25,Data!$AK$4:$AK$183,$B25))</f>
        <v/>
      </c>
      <c r="AI25" s="18" t="str">
        <f ca="1">IF($A25="","",SUMIFS(Data!$AJ$4:$AJ$183,Data!$AL$4:$AL$183,$A25,Data!$AK$4:$AK$183,$B25))</f>
        <v/>
      </c>
    </row>
    <row r="26" spans="1:35">
      <c r="A26" s="18" t="str">
        <f ca="1">IF(Data!J15="","",Data!J15)</f>
        <v/>
      </c>
      <c r="B26" s="18" t="str">
        <f ca="1">IF(Data!H15="","",Data!H15)</f>
        <v/>
      </c>
      <c r="C26" s="18" t="str">
        <f ca="1">IF($A26="","",IF(Data!L15=$A26,1,0))</f>
        <v/>
      </c>
      <c r="D26" s="18" t="str">
        <f ca="1">IF($A26="","",IF(Data!M15=$A26,1,0))</f>
        <v/>
      </c>
      <c r="E26" s="18" t="str">
        <f ca="1">IF($A26="","",IF(Data!J15=$A26,Data!N15,Data!O15))</f>
        <v/>
      </c>
      <c r="F26" s="18" t="str">
        <f ca="1">IF($A26="","",IF(Data!J15=$A26,Data!O15,Data!N15))</f>
        <v/>
      </c>
      <c r="G26" s="18" t="str">
        <f ca="1">IF($A26="","",SUMIFS(Data!$W$4:$W$273,Data!$T$4:$T$273,$A26,Data!$S$4:$S$273,$B26))</f>
        <v/>
      </c>
      <c r="H26" s="18" t="str">
        <f ca="1">IF($A26="","",SUMIFS(Data!$Y$4:$Y$273,Data!$T$4:$T$273,$A26,Data!$S$4:$S$273,$B26))</f>
        <v/>
      </c>
      <c r="I26" s="61" t="str">
        <f t="shared" ca="1" si="0"/>
        <v/>
      </c>
      <c r="J26" s="61" t="str">
        <f ca="1">IF($A26="","",IF((G26+SUMIFS(Data!$AD$4:$AD$273,Data!$T$4:$T$273,$A26,Data!$S$4:$S$273,$B26)+SUMIFS(Data!$AF$4:$AF$273,Data!$T$4:$T$273,$A26,Data!$S$4:$S$273,$B26)+SUMIFS(Data!$AG$4:$AG$273,Data!$T$4:$T$273,$A26,Data!$S$4:$S$273,$B26))=0,0,(H26+SUMIFS(Data!$AD$4:$AD$273,Data!$T$4:$T$273,$A26,Data!$S$4:$S$273,$B26)+SUMIFS(Data!$AF$4:$AF$273,Data!$T$4:$T$273,$A26,Data!$S$4:$S$273,$B26))/(G26+SUMIFS(Data!$AD$4:$AD$273,Data!$T$4:$T$273,$A26,Data!$S$4:$S$273,$B26)+SUMIFS(Data!$AF$4:$AF$273,Data!$T$4:$T$273,$A26,Data!$S$4:$S$273,$B26)+SUMIFS(Data!$AG$4:$AG$273,Data!$T$4:$T$273,$A26,Data!$S$4:$S$273,$B26))))</f>
        <v/>
      </c>
      <c r="K26" s="61" t="str">
        <f ca="1">IF($A26="","",IF(G26=0,0,((H26-SUMIFS(Data!$Z$4:$Z$273,Data!$T$4:$T$273,$A26,Data!$S$4:$S$273,$B26)-SUMIFS(Data!$AA$4:$AA$273,Data!$T$4:$T$273,$A26,Data!$S$4:$S$273,$B26)-SUMIFS(Data!$AB$4:$AB$273,Data!$T$4:$T$273,$A26,Data!$S$4:$S$273,$B26))+2*SUMIFS(Data!$Z$4:$Z$273,Data!$T$4:$T$273,$A26,Data!$S$4:$S$273,$B26)+3*SUMIFS(Data!$AA$4:$AA$273,Data!$T$4:$T$273,$A26,Data!$S$4:$S$273,$B26)+4*SUMIFS(Data!$AB$4:$AB$273,Data!$T$4:$T$273,$A26,Data!$S$4:$S$273,$B26))/G26))</f>
        <v/>
      </c>
      <c r="L26" s="61" t="str">
        <f t="shared" ca="1" si="1"/>
        <v/>
      </c>
      <c r="M26" s="18" t="str">
        <f ca="1">IF($A26="","",INT(SUMIFS(Data!$AN$4:$AN$183,Data!$AL$4:$AL$183,$A26,Data!$AK$4:$AK$183,$B26))+MOD(ROUND(SUMIFS(Data!$AN$4:$AN$183,Data!$AL$4:$AL$183,$A26,Data!$AK$4:$AK$183,$B26)*3,0),3)/10)</f>
        <v/>
      </c>
      <c r="N26" s="18" t="str">
        <f ca="1">IF($A26="","",SUMIFS(Data!$AO$4:$AO$183,Data!$AL$4:$AL$183,$A26,Data!$AK$4:$AK$183,$B26))</f>
        <v/>
      </c>
      <c r="O26" s="18" t="str">
        <f ca="1">IF($A26="","",SUMIFS(Data!$AQ$4:$AQ$183,Data!$AL$4:$AL$183,$A26,Data!$AK$4:$AK$183,$B26))</f>
        <v/>
      </c>
      <c r="P26" s="18" t="str">
        <f ca="1">IF($A26="","",SUMIFS(Data!$AR$4:$AR$183,Data!$AL$4:$AL$183,$A26,Data!$AK$4:$AK$183,$B26))</f>
        <v/>
      </c>
      <c r="Q26" s="18" t="str">
        <f ca="1">IF($A26="","",SUMIFS(Data!$AS$4:$AS$183,Data!$AL$4:$AL$183,$A26,Data!$AK$4:$AK$183,$B26))</f>
        <v/>
      </c>
      <c r="R26" s="62" t="str">
        <f ca="1">IF($A26="","",IF(SUMIFS(Data!$AN$4:$AN$183,Data!$AL$4:$AL$183,$A26,Data!$AK$4:$AK$183,$B26)=0,0,O26*3/SUMIFS(Data!$AN$4:$AN$183,Data!$AL$4:$AL$183,$A26,Data!$AK$4:$AK$183,$B26)))</f>
        <v/>
      </c>
      <c r="S26" s="61" t="str">
        <f ca="1">IF($A26="","",IF(SUMIFS(Data!$AN$4:$AN$183,Data!$AL$4:$AL$183,$A26,Data!$AK$4:$AK$183,$B26)=0,0,(N26+P26)/SUMIFS(Data!$AN$4:$AN$183,Data!$AL$4:$AL$183,$A26,Data!$AK$4:$AK$183,$B26)))</f>
        <v/>
      </c>
      <c r="T26" s="18" t="str">
        <f ca="1">IF($A26="","",SUMIFS(Data!$AW$4:$AW$183,Data!$AL$4:$AL$183,$A26,Data!$AK$4:$AK$183,$B26))</f>
        <v/>
      </c>
      <c r="U26" s="18" t="str">
        <f ca="1">IF($A26="","",SUMIFS(Data!$AX$4:$AX$183,Data!$AL$4:$AL$183,$A26,Data!$AK$4:$AK$183,$B26))</f>
        <v/>
      </c>
      <c r="V26" s="18" t="str">
        <f ca="1">IF($A26="","",SUMIFS(Data!$AY$4:$AY$183,Data!$AL$4:$AL$183,$A26,Data!$AK$4:$AK$183,$B26))</f>
        <v/>
      </c>
      <c r="W26" s="18" t="str">
        <f ca="1">IF($A26="","",SUMIFS(Data!$X$4:$X$273,Data!$T$4:$T$273,$A26,Data!$S$4:$S$273,$B26))</f>
        <v/>
      </c>
      <c r="X26" s="18" t="str">
        <f ca="1">IF($A26="","",SUMIFS(Data!$Z$4:$Z$273,Data!$T$4:$T$273,$A26,Data!$S$4:$S$273,$B26))</f>
        <v/>
      </c>
      <c r="Y26" s="18" t="str">
        <f ca="1">IF($A26="","",SUMIFS(Data!$AA$4:$AA$273,Data!$T$4:$T$273,$A26,Data!$S$4:$S$273,$B26))</f>
        <v/>
      </c>
      <c r="Z26" s="18" t="str">
        <f ca="1">IF($A26="","",SUMIFS(Data!$AB$4:$AB$273,Data!$T$4:$T$273,$A26,Data!$S$4:$S$273,$B26))</f>
        <v/>
      </c>
      <c r="AA26" s="18" t="str">
        <f ca="1">IF($A26="","",SUMIFS(Data!$AC$4:$AC$273,Data!$T$4:$T$273,$A26,Data!$S$4:$S$273,$B26))</f>
        <v/>
      </c>
      <c r="AB26" s="18" t="str">
        <f ca="1">IF($A26="","",SUMIFS(Data!$AD$4:$AD$273,Data!$T$4:$T$273,$A26,Data!$S$4:$S$273,$B26))</f>
        <v/>
      </c>
      <c r="AC26" s="18" t="str">
        <f ca="1">IF($A26="","",SUMIFS(Data!$AE$4:$AE$273,Data!$T$4:$T$273,$A26,Data!$S$4:$S$273,$B26))</f>
        <v/>
      </c>
      <c r="AD26" s="18" t="str">
        <f ca="1">IF($A26="","",SUMIFS(Data!$AF$4:$AF$273,Data!$T$4:$T$273,$A26,Data!$S$4:$S$273,$B26))</f>
        <v/>
      </c>
      <c r="AE26" s="18" t="str">
        <f ca="1">IF($A26="","",SUMIFS(Data!$AG$4:$AG$273,Data!$T$4:$T$273,$A26,Data!$S$4:$S$273,$B26))</f>
        <v/>
      </c>
      <c r="AF26" s="18" t="str">
        <f ca="1">IF($A26="","",SUMIFS(Data!$AH$4:$AH$273,Data!$T$4:$T$273,$A26,Data!$S$4:$S$273,$B26))</f>
        <v/>
      </c>
      <c r="AG26" s="18" t="str">
        <f ca="1">IF($A26="","",SUMIFS(Data!$AP$4:$AP$183,Data!$AL$4:$AL$183,$A26,Data!$AK$4:$AK$183,$B26))</f>
        <v/>
      </c>
      <c r="AH26" s="18" t="str">
        <f ca="1">IF($A26="","",SUMIFS(Data!$AT$4:$AT$183,Data!$AL$4:$AL$183,$A26,Data!$AK$4:$AK$183,$B26))</f>
        <v/>
      </c>
      <c r="AI26" s="18" t="str">
        <f ca="1">IF($A26="","",SUMIFS(Data!$AJ$4:$AJ$183,Data!$AL$4:$AL$183,$A26,Data!$AK$4:$AK$183,$B26))</f>
        <v/>
      </c>
    </row>
    <row r="27" spans="1:35">
      <c r="A27" s="18" t="str">
        <f ca="1">IF(Data!K15="","",Data!K15)</f>
        <v/>
      </c>
      <c r="B27" s="18" t="str">
        <f ca="1">IF(Data!H15="","",Data!H15)</f>
        <v/>
      </c>
      <c r="C27" s="18" t="str">
        <f ca="1">IF($A27="","",IF(Data!L15=$A27,1,0))</f>
        <v/>
      </c>
      <c r="D27" s="18" t="str">
        <f ca="1">IF($A27="","",IF(Data!M15=$A27,1,0))</f>
        <v/>
      </c>
      <c r="E27" s="18" t="str">
        <f ca="1">IF($A27="","",IF(Data!J15=$A27,Data!N15,Data!O15))</f>
        <v/>
      </c>
      <c r="F27" s="18" t="str">
        <f ca="1">IF($A27="","",IF(Data!J15=$A27,Data!O15,Data!N15))</f>
        <v/>
      </c>
      <c r="G27" s="18" t="str">
        <f ca="1">IF($A27="","",SUMIFS(Data!$W$4:$W$273,Data!$T$4:$T$273,$A27,Data!$S$4:$S$273,$B27))</f>
        <v/>
      </c>
      <c r="H27" s="18" t="str">
        <f ca="1">IF($A27="","",SUMIFS(Data!$Y$4:$Y$273,Data!$T$4:$T$273,$A27,Data!$S$4:$S$273,$B27))</f>
        <v/>
      </c>
      <c r="I27" s="61" t="str">
        <f t="shared" ca="1" si="0"/>
        <v/>
      </c>
      <c r="J27" s="61" t="str">
        <f ca="1">IF($A27="","",IF((G27+SUMIFS(Data!$AD$4:$AD$273,Data!$T$4:$T$273,$A27,Data!$S$4:$S$273,$B27)+SUMIFS(Data!$AF$4:$AF$273,Data!$T$4:$T$273,$A27,Data!$S$4:$S$273,$B27)+SUMIFS(Data!$AG$4:$AG$273,Data!$T$4:$T$273,$A27,Data!$S$4:$S$273,$B27))=0,0,(H27+SUMIFS(Data!$AD$4:$AD$273,Data!$T$4:$T$273,$A27,Data!$S$4:$S$273,$B27)+SUMIFS(Data!$AF$4:$AF$273,Data!$T$4:$T$273,$A27,Data!$S$4:$S$273,$B27))/(G27+SUMIFS(Data!$AD$4:$AD$273,Data!$T$4:$T$273,$A27,Data!$S$4:$S$273,$B27)+SUMIFS(Data!$AF$4:$AF$273,Data!$T$4:$T$273,$A27,Data!$S$4:$S$273,$B27)+SUMIFS(Data!$AG$4:$AG$273,Data!$T$4:$T$273,$A27,Data!$S$4:$S$273,$B27))))</f>
        <v/>
      </c>
      <c r="K27" s="61" t="str">
        <f ca="1">IF($A27="","",IF(G27=0,0,((H27-SUMIFS(Data!$Z$4:$Z$273,Data!$T$4:$T$273,$A27,Data!$S$4:$S$273,$B27)-SUMIFS(Data!$AA$4:$AA$273,Data!$T$4:$T$273,$A27,Data!$S$4:$S$273,$B27)-SUMIFS(Data!$AB$4:$AB$273,Data!$T$4:$T$273,$A27,Data!$S$4:$S$273,$B27))+2*SUMIFS(Data!$Z$4:$Z$273,Data!$T$4:$T$273,$A27,Data!$S$4:$S$273,$B27)+3*SUMIFS(Data!$AA$4:$AA$273,Data!$T$4:$T$273,$A27,Data!$S$4:$S$273,$B27)+4*SUMIFS(Data!$AB$4:$AB$273,Data!$T$4:$T$273,$A27,Data!$S$4:$S$273,$B27))/G27))</f>
        <v/>
      </c>
      <c r="L27" s="61" t="str">
        <f t="shared" ca="1" si="1"/>
        <v/>
      </c>
      <c r="M27" s="18" t="str">
        <f ca="1">IF($A27="","",INT(SUMIFS(Data!$AN$4:$AN$183,Data!$AL$4:$AL$183,$A27,Data!$AK$4:$AK$183,$B27))+MOD(ROUND(SUMIFS(Data!$AN$4:$AN$183,Data!$AL$4:$AL$183,$A27,Data!$AK$4:$AK$183,$B27)*3,0),3)/10)</f>
        <v/>
      </c>
      <c r="N27" s="18" t="str">
        <f ca="1">IF($A27="","",SUMIFS(Data!$AO$4:$AO$183,Data!$AL$4:$AL$183,$A27,Data!$AK$4:$AK$183,$B27))</f>
        <v/>
      </c>
      <c r="O27" s="18" t="str">
        <f ca="1">IF($A27="","",SUMIFS(Data!$AQ$4:$AQ$183,Data!$AL$4:$AL$183,$A27,Data!$AK$4:$AK$183,$B27))</f>
        <v/>
      </c>
      <c r="P27" s="18" t="str">
        <f ca="1">IF($A27="","",SUMIFS(Data!$AR$4:$AR$183,Data!$AL$4:$AL$183,$A27,Data!$AK$4:$AK$183,$B27))</f>
        <v/>
      </c>
      <c r="Q27" s="18" t="str">
        <f ca="1">IF($A27="","",SUMIFS(Data!$AS$4:$AS$183,Data!$AL$4:$AL$183,$A27,Data!$AK$4:$AK$183,$B27))</f>
        <v/>
      </c>
      <c r="R27" s="62" t="str">
        <f ca="1">IF($A27="","",IF(SUMIFS(Data!$AN$4:$AN$183,Data!$AL$4:$AL$183,$A27,Data!$AK$4:$AK$183,$B27)=0,0,O27*3/SUMIFS(Data!$AN$4:$AN$183,Data!$AL$4:$AL$183,$A27,Data!$AK$4:$AK$183,$B27)))</f>
        <v/>
      </c>
      <c r="S27" s="61" t="str">
        <f ca="1">IF($A27="","",IF(SUMIFS(Data!$AN$4:$AN$183,Data!$AL$4:$AL$183,$A27,Data!$AK$4:$AK$183,$B27)=0,0,(N27+P27)/SUMIFS(Data!$AN$4:$AN$183,Data!$AL$4:$AL$183,$A27,Data!$AK$4:$AK$183,$B27)))</f>
        <v/>
      </c>
      <c r="T27" s="18" t="str">
        <f ca="1">IF($A27="","",SUMIFS(Data!$AW$4:$AW$183,Data!$AL$4:$AL$183,$A27,Data!$AK$4:$AK$183,$B27))</f>
        <v/>
      </c>
      <c r="U27" s="18" t="str">
        <f ca="1">IF($A27="","",SUMIFS(Data!$AX$4:$AX$183,Data!$AL$4:$AL$183,$A27,Data!$AK$4:$AK$183,$B27))</f>
        <v/>
      </c>
      <c r="V27" s="18" t="str">
        <f ca="1">IF($A27="","",SUMIFS(Data!$AY$4:$AY$183,Data!$AL$4:$AL$183,$A27,Data!$AK$4:$AK$183,$B27))</f>
        <v/>
      </c>
      <c r="W27" s="18" t="str">
        <f ca="1">IF($A27="","",SUMIFS(Data!$X$4:$X$273,Data!$T$4:$T$273,$A27,Data!$S$4:$S$273,$B27))</f>
        <v/>
      </c>
      <c r="X27" s="18" t="str">
        <f ca="1">IF($A27="","",SUMIFS(Data!$Z$4:$Z$273,Data!$T$4:$T$273,$A27,Data!$S$4:$S$273,$B27))</f>
        <v/>
      </c>
      <c r="Y27" s="18" t="str">
        <f ca="1">IF($A27="","",SUMIFS(Data!$AA$4:$AA$273,Data!$T$4:$T$273,$A27,Data!$S$4:$S$273,$B27))</f>
        <v/>
      </c>
      <c r="Z27" s="18" t="str">
        <f ca="1">IF($A27="","",SUMIFS(Data!$AB$4:$AB$273,Data!$T$4:$T$273,$A27,Data!$S$4:$S$273,$B27))</f>
        <v/>
      </c>
      <c r="AA27" s="18" t="str">
        <f ca="1">IF($A27="","",SUMIFS(Data!$AC$4:$AC$273,Data!$T$4:$T$273,$A27,Data!$S$4:$S$273,$B27))</f>
        <v/>
      </c>
      <c r="AB27" s="18" t="str">
        <f ca="1">IF($A27="","",SUMIFS(Data!$AD$4:$AD$273,Data!$T$4:$T$273,$A27,Data!$S$4:$S$273,$B27))</f>
        <v/>
      </c>
      <c r="AC27" s="18" t="str">
        <f ca="1">IF($A27="","",SUMIFS(Data!$AE$4:$AE$273,Data!$T$4:$T$273,$A27,Data!$S$4:$S$273,$B27))</f>
        <v/>
      </c>
      <c r="AD27" s="18" t="str">
        <f ca="1">IF($A27="","",SUMIFS(Data!$AF$4:$AF$273,Data!$T$4:$T$273,$A27,Data!$S$4:$S$273,$B27))</f>
        <v/>
      </c>
      <c r="AE27" s="18" t="str">
        <f ca="1">IF($A27="","",SUMIFS(Data!$AG$4:$AG$273,Data!$T$4:$T$273,$A27,Data!$S$4:$S$273,$B27))</f>
        <v/>
      </c>
      <c r="AF27" s="18" t="str">
        <f ca="1">IF($A27="","",SUMIFS(Data!$AH$4:$AH$273,Data!$T$4:$T$273,$A27,Data!$S$4:$S$273,$B27))</f>
        <v/>
      </c>
      <c r="AG27" s="18" t="str">
        <f ca="1">IF($A27="","",SUMIFS(Data!$AP$4:$AP$183,Data!$AL$4:$AL$183,$A27,Data!$AK$4:$AK$183,$B27))</f>
        <v/>
      </c>
      <c r="AH27" s="18" t="str">
        <f ca="1">IF($A27="","",SUMIFS(Data!$AT$4:$AT$183,Data!$AL$4:$AL$183,$A27,Data!$AK$4:$AK$183,$B27))</f>
        <v/>
      </c>
      <c r="AI27" s="18" t="str">
        <f ca="1">IF($A27="","",SUMIFS(Data!$AJ$4:$AJ$183,Data!$AL$4:$AL$183,$A27,Data!$AK$4:$AK$183,$B27))</f>
        <v/>
      </c>
    </row>
    <row r="28" spans="1:35">
      <c r="A28" s="18" t="str">
        <f ca="1">IF(Data!J16="","",Data!J16)</f>
        <v/>
      </c>
      <c r="B28" s="18" t="str">
        <f ca="1">IF(Data!H16="","",Data!H16)</f>
        <v/>
      </c>
      <c r="C28" s="18" t="str">
        <f ca="1">IF($A28="","",IF(Data!L16=$A28,1,0))</f>
        <v/>
      </c>
      <c r="D28" s="18" t="str">
        <f ca="1">IF($A28="","",IF(Data!M16=$A28,1,0))</f>
        <v/>
      </c>
      <c r="E28" s="18" t="str">
        <f ca="1">IF($A28="","",IF(Data!J16=$A28,Data!N16,Data!O16))</f>
        <v/>
      </c>
      <c r="F28" s="18" t="str">
        <f ca="1">IF($A28="","",IF(Data!J16=$A28,Data!O16,Data!N16))</f>
        <v/>
      </c>
      <c r="G28" s="18" t="str">
        <f ca="1">IF($A28="","",SUMIFS(Data!$W$4:$W$273,Data!$T$4:$T$273,$A28,Data!$S$4:$S$273,$B28))</f>
        <v/>
      </c>
      <c r="H28" s="18" t="str">
        <f ca="1">IF($A28="","",SUMIFS(Data!$Y$4:$Y$273,Data!$T$4:$T$273,$A28,Data!$S$4:$S$273,$B28))</f>
        <v/>
      </c>
      <c r="I28" s="61" t="str">
        <f t="shared" ca="1" si="0"/>
        <v/>
      </c>
      <c r="J28" s="61" t="str">
        <f ca="1">IF($A28="","",IF((G28+SUMIFS(Data!$AD$4:$AD$273,Data!$T$4:$T$273,$A28,Data!$S$4:$S$273,$B28)+SUMIFS(Data!$AF$4:$AF$273,Data!$T$4:$T$273,$A28,Data!$S$4:$S$273,$B28)+SUMIFS(Data!$AG$4:$AG$273,Data!$T$4:$T$273,$A28,Data!$S$4:$S$273,$B28))=0,0,(H28+SUMIFS(Data!$AD$4:$AD$273,Data!$T$4:$T$273,$A28,Data!$S$4:$S$273,$B28)+SUMIFS(Data!$AF$4:$AF$273,Data!$T$4:$T$273,$A28,Data!$S$4:$S$273,$B28))/(G28+SUMIFS(Data!$AD$4:$AD$273,Data!$T$4:$T$273,$A28,Data!$S$4:$S$273,$B28)+SUMIFS(Data!$AF$4:$AF$273,Data!$T$4:$T$273,$A28,Data!$S$4:$S$273,$B28)+SUMIFS(Data!$AG$4:$AG$273,Data!$T$4:$T$273,$A28,Data!$S$4:$S$273,$B28))))</f>
        <v/>
      </c>
      <c r="K28" s="61" t="str">
        <f ca="1">IF($A28="","",IF(G28=0,0,((H28-SUMIFS(Data!$Z$4:$Z$273,Data!$T$4:$T$273,$A28,Data!$S$4:$S$273,$B28)-SUMIFS(Data!$AA$4:$AA$273,Data!$T$4:$T$273,$A28,Data!$S$4:$S$273,$B28)-SUMIFS(Data!$AB$4:$AB$273,Data!$T$4:$T$273,$A28,Data!$S$4:$S$273,$B28))+2*SUMIFS(Data!$Z$4:$Z$273,Data!$T$4:$T$273,$A28,Data!$S$4:$S$273,$B28)+3*SUMIFS(Data!$AA$4:$AA$273,Data!$T$4:$T$273,$A28,Data!$S$4:$S$273,$B28)+4*SUMIFS(Data!$AB$4:$AB$273,Data!$T$4:$T$273,$A28,Data!$S$4:$S$273,$B28))/G28))</f>
        <v/>
      </c>
      <c r="L28" s="61" t="str">
        <f t="shared" ca="1" si="1"/>
        <v/>
      </c>
      <c r="M28" s="18" t="str">
        <f ca="1">IF($A28="","",INT(SUMIFS(Data!$AN$4:$AN$183,Data!$AL$4:$AL$183,$A28,Data!$AK$4:$AK$183,$B28))+MOD(ROUND(SUMIFS(Data!$AN$4:$AN$183,Data!$AL$4:$AL$183,$A28,Data!$AK$4:$AK$183,$B28)*3,0),3)/10)</f>
        <v/>
      </c>
      <c r="N28" s="18" t="str">
        <f ca="1">IF($A28="","",SUMIFS(Data!$AO$4:$AO$183,Data!$AL$4:$AL$183,$A28,Data!$AK$4:$AK$183,$B28))</f>
        <v/>
      </c>
      <c r="O28" s="18" t="str">
        <f ca="1">IF($A28="","",SUMIFS(Data!$AQ$4:$AQ$183,Data!$AL$4:$AL$183,$A28,Data!$AK$4:$AK$183,$B28))</f>
        <v/>
      </c>
      <c r="P28" s="18" t="str">
        <f ca="1">IF($A28="","",SUMIFS(Data!$AR$4:$AR$183,Data!$AL$4:$AL$183,$A28,Data!$AK$4:$AK$183,$B28))</f>
        <v/>
      </c>
      <c r="Q28" s="18" t="str">
        <f ca="1">IF($A28="","",SUMIFS(Data!$AS$4:$AS$183,Data!$AL$4:$AL$183,$A28,Data!$AK$4:$AK$183,$B28))</f>
        <v/>
      </c>
      <c r="R28" s="62" t="str">
        <f ca="1">IF($A28="","",IF(SUMIFS(Data!$AN$4:$AN$183,Data!$AL$4:$AL$183,$A28,Data!$AK$4:$AK$183,$B28)=0,0,O28*3/SUMIFS(Data!$AN$4:$AN$183,Data!$AL$4:$AL$183,$A28,Data!$AK$4:$AK$183,$B28)))</f>
        <v/>
      </c>
      <c r="S28" s="61" t="str">
        <f ca="1">IF($A28="","",IF(SUMIFS(Data!$AN$4:$AN$183,Data!$AL$4:$AL$183,$A28,Data!$AK$4:$AK$183,$B28)=0,0,(N28+P28)/SUMIFS(Data!$AN$4:$AN$183,Data!$AL$4:$AL$183,$A28,Data!$AK$4:$AK$183,$B28)))</f>
        <v/>
      </c>
      <c r="T28" s="18" t="str">
        <f ca="1">IF($A28="","",SUMIFS(Data!$AW$4:$AW$183,Data!$AL$4:$AL$183,$A28,Data!$AK$4:$AK$183,$B28))</f>
        <v/>
      </c>
      <c r="U28" s="18" t="str">
        <f ca="1">IF($A28="","",SUMIFS(Data!$AX$4:$AX$183,Data!$AL$4:$AL$183,$A28,Data!$AK$4:$AK$183,$B28))</f>
        <v/>
      </c>
      <c r="V28" s="18" t="str">
        <f ca="1">IF($A28="","",SUMIFS(Data!$AY$4:$AY$183,Data!$AL$4:$AL$183,$A28,Data!$AK$4:$AK$183,$B28))</f>
        <v/>
      </c>
      <c r="W28" s="18" t="str">
        <f ca="1">IF($A28="","",SUMIFS(Data!$X$4:$X$273,Data!$T$4:$T$273,$A28,Data!$S$4:$S$273,$B28))</f>
        <v/>
      </c>
      <c r="X28" s="18" t="str">
        <f ca="1">IF($A28="","",SUMIFS(Data!$Z$4:$Z$273,Data!$T$4:$T$273,$A28,Data!$S$4:$S$273,$B28))</f>
        <v/>
      </c>
      <c r="Y28" s="18" t="str">
        <f ca="1">IF($A28="","",SUMIFS(Data!$AA$4:$AA$273,Data!$T$4:$T$273,$A28,Data!$S$4:$S$273,$B28))</f>
        <v/>
      </c>
      <c r="Z28" s="18" t="str">
        <f ca="1">IF($A28="","",SUMIFS(Data!$AB$4:$AB$273,Data!$T$4:$T$273,$A28,Data!$S$4:$S$273,$B28))</f>
        <v/>
      </c>
      <c r="AA28" s="18" t="str">
        <f ca="1">IF($A28="","",SUMIFS(Data!$AC$4:$AC$273,Data!$T$4:$T$273,$A28,Data!$S$4:$S$273,$B28))</f>
        <v/>
      </c>
      <c r="AB28" s="18" t="str">
        <f ca="1">IF($A28="","",SUMIFS(Data!$AD$4:$AD$273,Data!$T$4:$T$273,$A28,Data!$S$4:$S$273,$B28))</f>
        <v/>
      </c>
      <c r="AC28" s="18" t="str">
        <f ca="1">IF($A28="","",SUMIFS(Data!$AE$4:$AE$273,Data!$T$4:$T$273,$A28,Data!$S$4:$S$273,$B28))</f>
        <v/>
      </c>
      <c r="AD28" s="18" t="str">
        <f ca="1">IF($A28="","",SUMIFS(Data!$AF$4:$AF$273,Data!$T$4:$T$273,$A28,Data!$S$4:$S$273,$B28))</f>
        <v/>
      </c>
      <c r="AE28" s="18" t="str">
        <f ca="1">IF($A28="","",SUMIFS(Data!$AG$4:$AG$273,Data!$T$4:$T$273,$A28,Data!$S$4:$S$273,$B28))</f>
        <v/>
      </c>
      <c r="AF28" s="18" t="str">
        <f ca="1">IF($A28="","",SUMIFS(Data!$AH$4:$AH$273,Data!$T$4:$T$273,$A28,Data!$S$4:$S$273,$B28))</f>
        <v/>
      </c>
      <c r="AG28" s="18" t="str">
        <f ca="1">IF($A28="","",SUMIFS(Data!$AP$4:$AP$183,Data!$AL$4:$AL$183,$A28,Data!$AK$4:$AK$183,$B28))</f>
        <v/>
      </c>
      <c r="AH28" s="18" t="str">
        <f ca="1">IF($A28="","",SUMIFS(Data!$AT$4:$AT$183,Data!$AL$4:$AL$183,$A28,Data!$AK$4:$AK$183,$B28))</f>
        <v/>
      </c>
      <c r="AI28" s="18" t="str">
        <f ca="1">IF($A28="","",SUMIFS(Data!$AJ$4:$AJ$183,Data!$AL$4:$AL$183,$A28,Data!$AK$4:$AK$183,$B28))</f>
        <v/>
      </c>
    </row>
    <row r="29" spans="1:35">
      <c r="A29" s="18" t="str">
        <f ca="1">IF(Data!K16="","",Data!K16)</f>
        <v/>
      </c>
      <c r="B29" s="18" t="str">
        <f ca="1">IF(Data!H16="","",Data!H16)</f>
        <v/>
      </c>
      <c r="C29" s="18" t="str">
        <f ca="1">IF($A29="","",IF(Data!L16=$A29,1,0))</f>
        <v/>
      </c>
      <c r="D29" s="18" t="str">
        <f ca="1">IF($A29="","",IF(Data!M16=$A29,1,0))</f>
        <v/>
      </c>
      <c r="E29" s="18" t="str">
        <f ca="1">IF($A29="","",IF(Data!J16=$A29,Data!N16,Data!O16))</f>
        <v/>
      </c>
      <c r="F29" s="18" t="str">
        <f ca="1">IF($A29="","",IF(Data!J16=$A29,Data!O16,Data!N16))</f>
        <v/>
      </c>
      <c r="G29" s="18" t="str">
        <f ca="1">IF($A29="","",SUMIFS(Data!$W$4:$W$273,Data!$T$4:$T$273,$A29,Data!$S$4:$S$273,$B29))</f>
        <v/>
      </c>
      <c r="H29" s="18" t="str">
        <f ca="1">IF($A29="","",SUMIFS(Data!$Y$4:$Y$273,Data!$T$4:$T$273,$A29,Data!$S$4:$S$273,$B29))</f>
        <v/>
      </c>
      <c r="I29" s="61" t="str">
        <f t="shared" ca="1" si="0"/>
        <v/>
      </c>
      <c r="J29" s="61" t="str">
        <f ca="1">IF($A29="","",IF((G29+SUMIFS(Data!$AD$4:$AD$273,Data!$T$4:$T$273,$A29,Data!$S$4:$S$273,$B29)+SUMIFS(Data!$AF$4:$AF$273,Data!$T$4:$T$273,$A29,Data!$S$4:$S$273,$B29)+SUMIFS(Data!$AG$4:$AG$273,Data!$T$4:$T$273,$A29,Data!$S$4:$S$273,$B29))=0,0,(H29+SUMIFS(Data!$AD$4:$AD$273,Data!$T$4:$T$273,$A29,Data!$S$4:$S$273,$B29)+SUMIFS(Data!$AF$4:$AF$273,Data!$T$4:$T$273,$A29,Data!$S$4:$S$273,$B29))/(G29+SUMIFS(Data!$AD$4:$AD$273,Data!$T$4:$T$273,$A29,Data!$S$4:$S$273,$B29)+SUMIFS(Data!$AF$4:$AF$273,Data!$T$4:$T$273,$A29,Data!$S$4:$S$273,$B29)+SUMIFS(Data!$AG$4:$AG$273,Data!$T$4:$T$273,$A29,Data!$S$4:$S$273,$B29))))</f>
        <v/>
      </c>
      <c r="K29" s="61" t="str">
        <f ca="1">IF($A29="","",IF(G29=0,0,((H29-SUMIFS(Data!$Z$4:$Z$273,Data!$T$4:$T$273,$A29,Data!$S$4:$S$273,$B29)-SUMIFS(Data!$AA$4:$AA$273,Data!$T$4:$T$273,$A29,Data!$S$4:$S$273,$B29)-SUMIFS(Data!$AB$4:$AB$273,Data!$T$4:$T$273,$A29,Data!$S$4:$S$273,$B29))+2*SUMIFS(Data!$Z$4:$Z$273,Data!$T$4:$T$273,$A29,Data!$S$4:$S$273,$B29)+3*SUMIFS(Data!$AA$4:$AA$273,Data!$T$4:$T$273,$A29,Data!$S$4:$S$273,$B29)+4*SUMIFS(Data!$AB$4:$AB$273,Data!$T$4:$T$273,$A29,Data!$S$4:$S$273,$B29))/G29))</f>
        <v/>
      </c>
      <c r="L29" s="61" t="str">
        <f t="shared" ca="1" si="1"/>
        <v/>
      </c>
      <c r="M29" s="18" t="str">
        <f ca="1">IF($A29="","",INT(SUMIFS(Data!$AN$4:$AN$183,Data!$AL$4:$AL$183,$A29,Data!$AK$4:$AK$183,$B29))+MOD(ROUND(SUMIFS(Data!$AN$4:$AN$183,Data!$AL$4:$AL$183,$A29,Data!$AK$4:$AK$183,$B29)*3,0),3)/10)</f>
        <v/>
      </c>
      <c r="N29" s="18" t="str">
        <f ca="1">IF($A29="","",SUMIFS(Data!$AO$4:$AO$183,Data!$AL$4:$AL$183,$A29,Data!$AK$4:$AK$183,$B29))</f>
        <v/>
      </c>
      <c r="O29" s="18" t="str">
        <f ca="1">IF($A29="","",SUMIFS(Data!$AQ$4:$AQ$183,Data!$AL$4:$AL$183,$A29,Data!$AK$4:$AK$183,$B29))</f>
        <v/>
      </c>
      <c r="P29" s="18" t="str">
        <f ca="1">IF($A29="","",SUMIFS(Data!$AR$4:$AR$183,Data!$AL$4:$AL$183,$A29,Data!$AK$4:$AK$183,$B29))</f>
        <v/>
      </c>
      <c r="Q29" s="18" t="str">
        <f ca="1">IF($A29="","",SUMIFS(Data!$AS$4:$AS$183,Data!$AL$4:$AL$183,$A29,Data!$AK$4:$AK$183,$B29))</f>
        <v/>
      </c>
      <c r="R29" s="62" t="str">
        <f ca="1">IF($A29="","",IF(SUMIFS(Data!$AN$4:$AN$183,Data!$AL$4:$AL$183,$A29,Data!$AK$4:$AK$183,$B29)=0,0,O29*3/SUMIFS(Data!$AN$4:$AN$183,Data!$AL$4:$AL$183,$A29,Data!$AK$4:$AK$183,$B29)))</f>
        <v/>
      </c>
      <c r="S29" s="61" t="str">
        <f ca="1">IF($A29="","",IF(SUMIFS(Data!$AN$4:$AN$183,Data!$AL$4:$AL$183,$A29,Data!$AK$4:$AK$183,$B29)=0,0,(N29+P29)/SUMIFS(Data!$AN$4:$AN$183,Data!$AL$4:$AL$183,$A29,Data!$AK$4:$AK$183,$B29)))</f>
        <v/>
      </c>
      <c r="T29" s="18" t="str">
        <f ca="1">IF($A29="","",SUMIFS(Data!$AW$4:$AW$183,Data!$AL$4:$AL$183,$A29,Data!$AK$4:$AK$183,$B29))</f>
        <v/>
      </c>
      <c r="U29" s="18" t="str">
        <f ca="1">IF($A29="","",SUMIFS(Data!$AX$4:$AX$183,Data!$AL$4:$AL$183,$A29,Data!$AK$4:$AK$183,$B29))</f>
        <v/>
      </c>
      <c r="V29" s="18" t="str">
        <f ca="1">IF($A29="","",SUMIFS(Data!$AY$4:$AY$183,Data!$AL$4:$AL$183,$A29,Data!$AK$4:$AK$183,$B29))</f>
        <v/>
      </c>
      <c r="W29" s="18" t="str">
        <f ca="1">IF($A29="","",SUMIFS(Data!$X$4:$X$273,Data!$T$4:$T$273,$A29,Data!$S$4:$S$273,$B29))</f>
        <v/>
      </c>
      <c r="X29" s="18" t="str">
        <f ca="1">IF($A29="","",SUMIFS(Data!$Z$4:$Z$273,Data!$T$4:$T$273,$A29,Data!$S$4:$S$273,$B29))</f>
        <v/>
      </c>
      <c r="Y29" s="18" t="str">
        <f ca="1">IF($A29="","",SUMIFS(Data!$AA$4:$AA$273,Data!$T$4:$T$273,$A29,Data!$S$4:$S$273,$B29))</f>
        <v/>
      </c>
      <c r="Z29" s="18" t="str">
        <f ca="1">IF($A29="","",SUMIFS(Data!$AB$4:$AB$273,Data!$T$4:$T$273,$A29,Data!$S$4:$S$273,$B29))</f>
        <v/>
      </c>
      <c r="AA29" s="18" t="str">
        <f ca="1">IF($A29="","",SUMIFS(Data!$AC$4:$AC$273,Data!$T$4:$T$273,$A29,Data!$S$4:$S$273,$B29))</f>
        <v/>
      </c>
      <c r="AB29" s="18" t="str">
        <f ca="1">IF($A29="","",SUMIFS(Data!$AD$4:$AD$273,Data!$T$4:$T$273,$A29,Data!$S$4:$S$273,$B29))</f>
        <v/>
      </c>
      <c r="AC29" s="18" t="str">
        <f ca="1">IF($A29="","",SUMIFS(Data!$AE$4:$AE$273,Data!$T$4:$T$273,$A29,Data!$S$4:$S$273,$B29))</f>
        <v/>
      </c>
      <c r="AD29" s="18" t="str">
        <f ca="1">IF($A29="","",SUMIFS(Data!$AF$4:$AF$273,Data!$T$4:$T$273,$A29,Data!$S$4:$S$273,$B29))</f>
        <v/>
      </c>
      <c r="AE29" s="18" t="str">
        <f ca="1">IF($A29="","",SUMIFS(Data!$AG$4:$AG$273,Data!$T$4:$T$273,$A29,Data!$S$4:$S$273,$B29))</f>
        <v/>
      </c>
      <c r="AF29" s="18" t="str">
        <f ca="1">IF($A29="","",SUMIFS(Data!$AH$4:$AH$273,Data!$T$4:$T$273,$A29,Data!$S$4:$S$273,$B29))</f>
        <v/>
      </c>
      <c r="AG29" s="18" t="str">
        <f ca="1">IF($A29="","",SUMIFS(Data!$AP$4:$AP$183,Data!$AL$4:$AL$183,$A29,Data!$AK$4:$AK$183,$B29))</f>
        <v/>
      </c>
      <c r="AH29" s="18" t="str">
        <f ca="1">IF($A29="","",SUMIFS(Data!$AT$4:$AT$183,Data!$AL$4:$AL$183,$A29,Data!$AK$4:$AK$183,$B29))</f>
        <v/>
      </c>
      <c r="AI29" s="18" t="str">
        <f ca="1">IF($A29="","",SUMIFS(Data!$AJ$4:$AJ$183,Data!$AL$4:$AL$183,$A29,Data!$AK$4:$AK$183,$B29))</f>
        <v/>
      </c>
    </row>
    <row r="30" spans="1:35">
      <c r="A30" s="18" t="str">
        <f ca="1">IF(Data!J17="","",Data!J17)</f>
        <v/>
      </c>
      <c r="B30" s="18" t="str">
        <f ca="1">IF(Data!H17="","",Data!H17)</f>
        <v/>
      </c>
      <c r="C30" s="18" t="str">
        <f ca="1">IF($A30="","",IF(Data!L17=$A30,1,0))</f>
        <v/>
      </c>
      <c r="D30" s="18" t="str">
        <f ca="1">IF($A30="","",IF(Data!M17=$A30,1,0))</f>
        <v/>
      </c>
      <c r="E30" s="18" t="str">
        <f ca="1">IF($A30="","",IF(Data!J17=$A30,Data!N17,Data!O17))</f>
        <v/>
      </c>
      <c r="F30" s="18" t="str">
        <f ca="1">IF($A30="","",IF(Data!J17=$A30,Data!O17,Data!N17))</f>
        <v/>
      </c>
      <c r="G30" s="18" t="str">
        <f ca="1">IF($A30="","",SUMIFS(Data!$W$4:$W$273,Data!$T$4:$T$273,$A30,Data!$S$4:$S$273,$B30))</f>
        <v/>
      </c>
      <c r="H30" s="18" t="str">
        <f ca="1">IF($A30="","",SUMIFS(Data!$Y$4:$Y$273,Data!$T$4:$T$273,$A30,Data!$S$4:$S$273,$B30))</f>
        <v/>
      </c>
      <c r="I30" s="61" t="str">
        <f t="shared" ca="1" si="0"/>
        <v/>
      </c>
      <c r="J30" s="61" t="str">
        <f ca="1">IF($A30="","",IF((G30+SUMIFS(Data!$AD$4:$AD$273,Data!$T$4:$T$273,$A30,Data!$S$4:$S$273,$B30)+SUMIFS(Data!$AF$4:$AF$273,Data!$T$4:$T$273,$A30,Data!$S$4:$S$273,$B30)+SUMIFS(Data!$AG$4:$AG$273,Data!$T$4:$T$273,$A30,Data!$S$4:$S$273,$B30))=0,0,(H30+SUMIFS(Data!$AD$4:$AD$273,Data!$T$4:$T$273,$A30,Data!$S$4:$S$273,$B30)+SUMIFS(Data!$AF$4:$AF$273,Data!$T$4:$T$273,$A30,Data!$S$4:$S$273,$B30))/(G30+SUMIFS(Data!$AD$4:$AD$273,Data!$T$4:$T$273,$A30,Data!$S$4:$S$273,$B30)+SUMIFS(Data!$AF$4:$AF$273,Data!$T$4:$T$273,$A30,Data!$S$4:$S$273,$B30)+SUMIFS(Data!$AG$4:$AG$273,Data!$T$4:$T$273,$A30,Data!$S$4:$S$273,$B30))))</f>
        <v/>
      </c>
      <c r="K30" s="61" t="str">
        <f ca="1">IF($A30="","",IF(G30=0,0,((H30-SUMIFS(Data!$Z$4:$Z$273,Data!$T$4:$T$273,$A30,Data!$S$4:$S$273,$B30)-SUMIFS(Data!$AA$4:$AA$273,Data!$T$4:$T$273,$A30,Data!$S$4:$S$273,$B30)-SUMIFS(Data!$AB$4:$AB$273,Data!$T$4:$T$273,$A30,Data!$S$4:$S$273,$B30))+2*SUMIFS(Data!$Z$4:$Z$273,Data!$T$4:$T$273,$A30,Data!$S$4:$S$273,$B30)+3*SUMIFS(Data!$AA$4:$AA$273,Data!$T$4:$T$273,$A30,Data!$S$4:$S$273,$B30)+4*SUMIFS(Data!$AB$4:$AB$273,Data!$T$4:$T$273,$A30,Data!$S$4:$S$273,$B30))/G30))</f>
        <v/>
      </c>
      <c r="L30" s="61" t="str">
        <f t="shared" ca="1" si="1"/>
        <v/>
      </c>
      <c r="M30" s="18" t="str">
        <f ca="1">IF($A30="","",INT(SUMIFS(Data!$AN$4:$AN$183,Data!$AL$4:$AL$183,$A30,Data!$AK$4:$AK$183,$B30))+MOD(ROUND(SUMIFS(Data!$AN$4:$AN$183,Data!$AL$4:$AL$183,$A30,Data!$AK$4:$AK$183,$B30)*3,0),3)/10)</f>
        <v/>
      </c>
      <c r="N30" s="18" t="str">
        <f ca="1">IF($A30="","",SUMIFS(Data!$AO$4:$AO$183,Data!$AL$4:$AL$183,$A30,Data!$AK$4:$AK$183,$B30))</f>
        <v/>
      </c>
      <c r="O30" s="18" t="str">
        <f ca="1">IF($A30="","",SUMIFS(Data!$AQ$4:$AQ$183,Data!$AL$4:$AL$183,$A30,Data!$AK$4:$AK$183,$B30))</f>
        <v/>
      </c>
      <c r="P30" s="18" t="str">
        <f ca="1">IF($A30="","",SUMIFS(Data!$AR$4:$AR$183,Data!$AL$4:$AL$183,$A30,Data!$AK$4:$AK$183,$B30))</f>
        <v/>
      </c>
      <c r="Q30" s="18" t="str">
        <f ca="1">IF($A30="","",SUMIFS(Data!$AS$4:$AS$183,Data!$AL$4:$AL$183,$A30,Data!$AK$4:$AK$183,$B30))</f>
        <v/>
      </c>
      <c r="R30" s="62" t="str">
        <f ca="1">IF($A30="","",IF(SUMIFS(Data!$AN$4:$AN$183,Data!$AL$4:$AL$183,$A30,Data!$AK$4:$AK$183,$B30)=0,0,O30*3/SUMIFS(Data!$AN$4:$AN$183,Data!$AL$4:$AL$183,$A30,Data!$AK$4:$AK$183,$B30)))</f>
        <v/>
      </c>
      <c r="S30" s="61" t="str">
        <f ca="1">IF($A30="","",IF(SUMIFS(Data!$AN$4:$AN$183,Data!$AL$4:$AL$183,$A30,Data!$AK$4:$AK$183,$B30)=0,0,(N30+P30)/SUMIFS(Data!$AN$4:$AN$183,Data!$AL$4:$AL$183,$A30,Data!$AK$4:$AK$183,$B30)))</f>
        <v/>
      </c>
      <c r="T30" s="18" t="str">
        <f ca="1">IF($A30="","",SUMIFS(Data!$AW$4:$AW$183,Data!$AL$4:$AL$183,$A30,Data!$AK$4:$AK$183,$B30))</f>
        <v/>
      </c>
      <c r="U30" s="18" t="str">
        <f ca="1">IF($A30="","",SUMIFS(Data!$AX$4:$AX$183,Data!$AL$4:$AL$183,$A30,Data!$AK$4:$AK$183,$B30))</f>
        <v/>
      </c>
      <c r="V30" s="18" t="str">
        <f ca="1">IF($A30="","",SUMIFS(Data!$AY$4:$AY$183,Data!$AL$4:$AL$183,$A30,Data!$AK$4:$AK$183,$B30))</f>
        <v/>
      </c>
      <c r="W30" s="18" t="str">
        <f ca="1">IF($A30="","",SUMIFS(Data!$X$4:$X$273,Data!$T$4:$T$273,$A30,Data!$S$4:$S$273,$B30))</f>
        <v/>
      </c>
      <c r="X30" s="18" t="str">
        <f ca="1">IF($A30="","",SUMIFS(Data!$Z$4:$Z$273,Data!$T$4:$T$273,$A30,Data!$S$4:$S$273,$B30))</f>
        <v/>
      </c>
      <c r="Y30" s="18" t="str">
        <f ca="1">IF($A30="","",SUMIFS(Data!$AA$4:$AA$273,Data!$T$4:$T$273,$A30,Data!$S$4:$S$273,$B30))</f>
        <v/>
      </c>
      <c r="Z30" s="18" t="str">
        <f ca="1">IF($A30="","",SUMIFS(Data!$AB$4:$AB$273,Data!$T$4:$T$273,$A30,Data!$S$4:$S$273,$B30))</f>
        <v/>
      </c>
      <c r="AA30" s="18" t="str">
        <f ca="1">IF($A30="","",SUMIFS(Data!$AC$4:$AC$273,Data!$T$4:$T$273,$A30,Data!$S$4:$S$273,$B30))</f>
        <v/>
      </c>
      <c r="AB30" s="18" t="str">
        <f ca="1">IF($A30="","",SUMIFS(Data!$AD$4:$AD$273,Data!$T$4:$T$273,$A30,Data!$S$4:$S$273,$B30))</f>
        <v/>
      </c>
      <c r="AC30" s="18" t="str">
        <f ca="1">IF($A30="","",SUMIFS(Data!$AE$4:$AE$273,Data!$T$4:$T$273,$A30,Data!$S$4:$S$273,$B30))</f>
        <v/>
      </c>
      <c r="AD30" s="18" t="str">
        <f ca="1">IF($A30="","",SUMIFS(Data!$AF$4:$AF$273,Data!$T$4:$T$273,$A30,Data!$S$4:$S$273,$B30))</f>
        <v/>
      </c>
      <c r="AE30" s="18" t="str">
        <f ca="1">IF($A30="","",SUMIFS(Data!$AG$4:$AG$273,Data!$T$4:$T$273,$A30,Data!$S$4:$S$273,$B30))</f>
        <v/>
      </c>
      <c r="AF30" s="18" t="str">
        <f ca="1">IF($A30="","",SUMIFS(Data!$AH$4:$AH$273,Data!$T$4:$T$273,$A30,Data!$S$4:$S$273,$B30))</f>
        <v/>
      </c>
      <c r="AG30" s="18" t="str">
        <f ca="1">IF($A30="","",SUMIFS(Data!$AP$4:$AP$183,Data!$AL$4:$AL$183,$A30,Data!$AK$4:$AK$183,$B30))</f>
        <v/>
      </c>
      <c r="AH30" s="18" t="str">
        <f ca="1">IF($A30="","",SUMIFS(Data!$AT$4:$AT$183,Data!$AL$4:$AL$183,$A30,Data!$AK$4:$AK$183,$B30))</f>
        <v/>
      </c>
      <c r="AI30" s="18" t="str">
        <f ca="1">IF($A30="","",SUMIFS(Data!$AJ$4:$AJ$183,Data!$AL$4:$AL$183,$A30,Data!$AK$4:$AK$183,$B30))</f>
        <v/>
      </c>
    </row>
    <row r="31" spans="1:35">
      <c r="A31" s="18" t="str">
        <f ca="1">IF(Data!K17="","",Data!K17)</f>
        <v/>
      </c>
      <c r="B31" s="18" t="str">
        <f ca="1">IF(Data!H17="","",Data!H17)</f>
        <v/>
      </c>
      <c r="C31" s="18" t="str">
        <f ca="1">IF($A31="","",IF(Data!L17=$A31,1,0))</f>
        <v/>
      </c>
      <c r="D31" s="18" t="str">
        <f ca="1">IF($A31="","",IF(Data!M17=$A31,1,0))</f>
        <v/>
      </c>
      <c r="E31" s="18" t="str">
        <f ca="1">IF($A31="","",IF(Data!J17=$A31,Data!N17,Data!O17))</f>
        <v/>
      </c>
      <c r="F31" s="18" t="str">
        <f ca="1">IF($A31="","",IF(Data!J17=$A31,Data!O17,Data!N17))</f>
        <v/>
      </c>
      <c r="G31" s="18" t="str">
        <f ca="1">IF($A31="","",SUMIFS(Data!$W$4:$W$273,Data!$T$4:$T$273,$A31,Data!$S$4:$S$273,$B31))</f>
        <v/>
      </c>
      <c r="H31" s="18" t="str">
        <f ca="1">IF($A31="","",SUMIFS(Data!$Y$4:$Y$273,Data!$T$4:$T$273,$A31,Data!$S$4:$S$273,$B31))</f>
        <v/>
      </c>
      <c r="I31" s="61" t="str">
        <f t="shared" ca="1" si="0"/>
        <v/>
      </c>
      <c r="J31" s="61" t="str">
        <f ca="1">IF($A31="","",IF((G31+SUMIFS(Data!$AD$4:$AD$273,Data!$T$4:$T$273,$A31,Data!$S$4:$S$273,$B31)+SUMIFS(Data!$AF$4:$AF$273,Data!$T$4:$T$273,$A31,Data!$S$4:$S$273,$B31)+SUMIFS(Data!$AG$4:$AG$273,Data!$T$4:$T$273,$A31,Data!$S$4:$S$273,$B31))=0,0,(H31+SUMIFS(Data!$AD$4:$AD$273,Data!$T$4:$T$273,$A31,Data!$S$4:$S$273,$B31)+SUMIFS(Data!$AF$4:$AF$273,Data!$T$4:$T$273,$A31,Data!$S$4:$S$273,$B31))/(G31+SUMIFS(Data!$AD$4:$AD$273,Data!$T$4:$T$273,$A31,Data!$S$4:$S$273,$B31)+SUMIFS(Data!$AF$4:$AF$273,Data!$T$4:$T$273,$A31,Data!$S$4:$S$273,$B31)+SUMIFS(Data!$AG$4:$AG$273,Data!$T$4:$T$273,$A31,Data!$S$4:$S$273,$B31))))</f>
        <v/>
      </c>
      <c r="K31" s="61" t="str">
        <f ca="1">IF($A31="","",IF(G31=0,0,((H31-SUMIFS(Data!$Z$4:$Z$273,Data!$T$4:$T$273,$A31,Data!$S$4:$S$273,$B31)-SUMIFS(Data!$AA$4:$AA$273,Data!$T$4:$T$273,$A31,Data!$S$4:$S$273,$B31)-SUMIFS(Data!$AB$4:$AB$273,Data!$T$4:$T$273,$A31,Data!$S$4:$S$273,$B31))+2*SUMIFS(Data!$Z$4:$Z$273,Data!$T$4:$T$273,$A31,Data!$S$4:$S$273,$B31)+3*SUMIFS(Data!$AA$4:$AA$273,Data!$T$4:$T$273,$A31,Data!$S$4:$S$273,$B31)+4*SUMIFS(Data!$AB$4:$AB$273,Data!$T$4:$T$273,$A31,Data!$S$4:$S$273,$B31))/G31))</f>
        <v/>
      </c>
      <c r="L31" s="61" t="str">
        <f t="shared" ca="1" si="1"/>
        <v/>
      </c>
      <c r="M31" s="18" t="str">
        <f ca="1">IF($A31="","",INT(SUMIFS(Data!$AN$4:$AN$183,Data!$AL$4:$AL$183,$A31,Data!$AK$4:$AK$183,$B31))+MOD(ROUND(SUMIFS(Data!$AN$4:$AN$183,Data!$AL$4:$AL$183,$A31,Data!$AK$4:$AK$183,$B31)*3,0),3)/10)</f>
        <v/>
      </c>
      <c r="N31" s="18" t="str">
        <f ca="1">IF($A31="","",SUMIFS(Data!$AO$4:$AO$183,Data!$AL$4:$AL$183,$A31,Data!$AK$4:$AK$183,$B31))</f>
        <v/>
      </c>
      <c r="O31" s="18" t="str">
        <f ca="1">IF($A31="","",SUMIFS(Data!$AQ$4:$AQ$183,Data!$AL$4:$AL$183,$A31,Data!$AK$4:$AK$183,$B31))</f>
        <v/>
      </c>
      <c r="P31" s="18" t="str">
        <f ca="1">IF($A31="","",SUMIFS(Data!$AR$4:$AR$183,Data!$AL$4:$AL$183,$A31,Data!$AK$4:$AK$183,$B31))</f>
        <v/>
      </c>
      <c r="Q31" s="18" t="str">
        <f ca="1">IF($A31="","",SUMIFS(Data!$AS$4:$AS$183,Data!$AL$4:$AL$183,$A31,Data!$AK$4:$AK$183,$B31))</f>
        <v/>
      </c>
      <c r="R31" s="62" t="str">
        <f ca="1">IF($A31="","",IF(SUMIFS(Data!$AN$4:$AN$183,Data!$AL$4:$AL$183,$A31,Data!$AK$4:$AK$183,$B31)=0,0,O31*3/SUMIFS(Data!$AN$4:$AN$183,Data!$AL$4:$AL$183,$A31,Data!$AK$4:$AK$183,$B31)))</f>
        <v/>
      </c>
      <c r="S31" s="61" t="str">
        <f ca="1">IF($A31="","",IF(SUMIFS(Data!$AN$4:$AN$183,Data!$AL$4:$AL$183,$A31,Data!$AK$4:$AK$183,$B31)=0,0,(N31+P31)/SUMIFS(Data!$AN$4:$AN$183,Data!$AL$4:$AL$183,$A31,Data!$AK$4:$AK$183,$B31)))</f>
        <v/>
      </c>
      <c r="T31" s="18" t="str">
        <f ca="1">IF($A31="","",SUMIFS(Data!$AW$4:$AW$183,Data!$AL$4:$AL$183,$A31,Data!$AK$4:$AK$183,$B31))</f>
        <v/>
      </c>
      <c r="U31" s="18" t="str">
        <f ca="1">IF($A31="","",SUMIFS(Data!$AX$4:$AX$183,Data!$AL$4:$AL$183,$A31,Data!$AK$4:$AK$183,$B31))</f>
        <v/>
      </c>
      <c r="V31" s="18" t="str">
        <f ca="1">IF($A31="","",SUMIFS(Data!$AY$4:$AY$183,Data!$AL$4:$AL$183,$A31,Data!$AK$4:$AK$183,$B31))</f>
        <v/>
      </c>
      <c r="W31" s="18" t="str">
        <f ca="1">IF($A31="","",SUMIFS(Data!$X$4:$X$273,Data!$T$4:$T$273,$A31,Data!$S$4:$S$273,$B31))</f>
        <v/>
      </c>
      <c r="X31" s="18" t="str">
        <f ca="1">IF($A31="","",SUMIFS(Data!$Z$4:$Z$273,Data!$T$4:$T$273,$A31,Data!$S$4:$S$273,$B31))</f>
        <v/>
      </c>
      <c r="Y31" s="18" t="str">
        <f ca="1">IF($A31="","",SUMIFS(Data!$AA$4:$AA$273,Data!$T$4:$T$273,$A31,Data!$S$4:$S$273,$B31))</f>
        <v/>
      </c>
      <c r="Z31" s="18" t="str">
        <f ca="1">IF($A31="","",SUMIFS(Data!$AB$4:$AB$273,Data!$T$4:$T$273,$A31,Data!$S$4:$S$273,$B31))</f>
        <v/>
      </c>
      <c r="AA31" s="18" t="str">
        <f ca="1">IF($A31="","",SUMIFS(Data!$AC$4:$AC$273,Data!$T$4:$T$273,$A31,Data!$S$4:$S$273,$B31))</f>
        <v/>
      </c>
      <c r="AB31" s="18" t="str">
        <f ca="1">IF($A31="","",SUMIFS(Data!$AD$4:$AD$273,Data!$T$4:$T$273,$A31,Data!$S$4:$S$273,$B31))</f>
        <v/>
      </c>
      <c r="AC31" s="18" t="str">
        <f ca="1">IF($A31="","",SUMIFS(Data!$AE$4:$AE$273,Data!$T$4:$T$273,$A31,Data!$S$4:$S$273,$B31))</f>
        <v/>
      </c>
      <c r="AD31" s="18" t="str">
        <f ca="1">IF($A31="","",SUMIFS(Data!$AF$4:$AF$273,Data!$T$4:$T$273,$A31,Data!$S$4:$S$273,$B31))</f>
        <v/>
      </c>
      <c r="AE31" s="18" t="str">
        <f ca="1">IF($A31="","",SUMIFS(Data!$AG$4:$AG$273,Data!$T$4:$T$273,$A31,Data!$S$4:$S$273,$B31))</f>
        <v/>
      </c>
      <c r="AF31" s="18" t="str">
        <f ca="1">IF($A31="","",SUMIFS(Data!$AH$4:$AH$273,Data!$T$4:$T$273,$A31,Data!$S$4:$S$273,$B31))</f>
        <v/>
      </c>
      <c r="AG31" s="18" t="str">
        <f ca="1">IF($A31="","",SUMIFS(Data!$AP$4:$AP$183,Data!$AL$4:$AL$183,$A31,Data!$AK$4:$AK$183,$B31))</f>
        <v/>
      </c>
      <c r="AH31" s="18" t="str">
        <f ca="1">IF($A31="","",SUMIFS(Data!$AT$4:$AT$183,Data!$AL$4:$AL$183,$A31,Data!$AK$4:$AK$183,$B31))</f>
        <v/>
      </c>
      <c r="AI31" s="18" t="str">
        <f ca="1">IF($A31="","",SUMIFS(Data!$AJ$4:$AJ$183,Data!$AL$4:$AL$183,$A31,Data!$AK$4:$AK$183,$B31))</f>
        <v/>
      </c>
    </row>
    <row r="32" spans="1:35">
      <c r="A32" s="18" t="str">
        <f ca="1">IF(Data!J18="","",Data!J18)</f>
        <v/>
      </c>
      <c r="B32" s="18" t="str">
        <f ca="1">IF(Data!H18="","",Data!H18)</f>
        <v/>
      </c>
      <c r="C32" s="18" t="str">
        <f ca="1">IF($A32="","",IF(Data!L18=$A32,1,0))</f>
        <v/>
      </c>
      <c r="D32" s="18" t="str">
        <f ca="1">IF($A32="","",IF(Data!M18=$A32,1,0))</f>
        <v/>
      </c>
      <c r="E32" s="18" t="str">
        <f ca="1">IF($A32="","",IF(Data!J18=$A32,Data!N18,Data!O18))</f>
        <v/>
      </c>
      <c r="F32" s="18" t="str">
        <f ca="1">IF($A32="","",IF(Data!J18=$A32,Data!O18,Data!N18))</f>
        <v/>
      </c>
      <c r="G32" s="18" t="str">
        <f ca="1">IF($A32="","",SUMIFS(Data!$W$4:$W$273,Data!$T$4:$T$273,$A32,Data!$S$4:$S$273,$B32))</f>
        <v/>
      </c>
      <c r="H32" s="18" t="str">
        <f ca="1">IF($A32="","",SUMIFS(Data!$Y$4:$Y$273,Data!$T$4:$T$273,$A32,Data!$S$4:$S$273,$B32))</f>
        <v/>
      </c>
      <c r="I32" s="61" t="str">
        <f t="shared" ca="1" si="0"/>
        <v/>
      </c>
      <c r="J32" s="61" t="str">
        <f ca="1">IF($A32="","",IF((G32+SUMIFS(Data!$AD$4:$AD$273,Data!$T$4:$T$273,$A32,Data!$S$4:$S$273,$B32)+SUMIFS(Data!$AF$4:$AF$273,Data!$T$4:$T$273,$A32,Data!$S$4:$S$273,$B32)+SUMIFS(Data!$AG$4:$AG$273,Data!$T$4:$T$273,$A32,Data!$S$4:$S$273,$B32))=0,0,(H32+SUMIFS(Data!$AD$4:$AD$273,Data!$T$4:$T$273,$A32,Data!$S$4:$S$273,$B32)+SUMIFS(Data!$AF$4:$AF$273,Data!$T$4:$T$273,$A32,Data!$S$4:$S$273,$B32))/(G32+SUMIFS(Data!$AD$4:$AD$273,Data!$T$4:$T$273,$A32,Data!$S$4:$S$273,$B32)+SUMIFS(Data!$AF$4:$AF$273,Data!$T$4:$T$273,$A32,Data!$S$4:$S$273,$B32)+SUMIFS(Data!$AG$4:$AG$273,Data!$T$4:$T$273,$A32,Data!$S$4:$S$273,$B32))))</f>
        <v/>
      </c>
      <c r="K32" s="61" t="str">
        <f ca="1">IF($A32="","",IF(G32=0,0,((H32-SUMIFS(Data!$Z$4:$Z$273,Data!$T$4:$T$273,$A32,Data!$S$4:$S$273,$B32)-SUMIFS(Data!$AA$4:$AA$273,Data!$T$4:$T$273,$A32,Data!$S$4:$S$273,$B32)-SUMIFS(Data!$AB$4:$AB$273,Data!$T$4:$T$273,$A32,Data!$S$4:$S$273,$B32))+2*SUMIFS(Data!$Z$4:$Z$273,Data!$T$4:$T$273,$A32,Data!$S$4:$S$273,$B32)+3*SUMIFS(Data!$AA$4:$AA$273,Data!$T$4:$T$273,$A32,Data!$S$4:$S$273,$B32)+4*SUMIFS(Data!$AB$4:$AB$273,Data!$T$4:$T$273,$A32,Data!$S$4:$S$273,$B32))/G32))</f>
        <v/>
      </c>
      <c r="L32" s="61" t="str">
        <f t="shared" ca="1" si="1"/>
        <v/>
      </c>
      <c r="M32" s="18" t="str">
        <f ca="1">IF($A32="","",INT(SUMIFS(Data!$AN$4:$AN$183,Data!$AL$4:$AL$183,$A32,Data!$AK$4:$AK$183,$B32))+MOD(ROUND(SUMIFS(Data!$AN$4:$AN$183,Data!$AL$4:$AL$183,$A32,Data!$AK$4:$AK$183,$B32)*3,0),3)/10)</f>
        <v/>
      </c>
      <c r="N32" s="18" t="str">
        <f ca="1">IF($A32="","",SUMIFS(Data!$AO$4:$AO$183,Data!$AL$4:$AL$183,$A32,Data!$AK$4:$AK$183,$B32))</f>
        <v/>
      </c>
      <c r="O32" s="18" t="str">
        <f ca="1">IF($A32="","",SUMIFS(Data!$AQ$4:$AQ$183,Data!$AL$4:$AL$183,$A32,Data!$AK$4:$AK$183,$B32))</f>
        <v/>
      </c>
      <c r="P32" s="18" t="str">
        <f ca="1">IF($A32="","",SUMIFS(Data!$AR$4:$AR$183,Data!$AL$4:$AL$183,$A32,Data!$AK$4:$AK$183,$B32))</f>
        <v/>
      </c>
      <c r="Q32" s="18" t="str">
        <f ca="1">IF($A32="","",SUMIFS(Data!$AS$4:$AS$183,Data!$AL$4:$AL$183,$A32,Data!$AK$4:$AK$183,$B32))</f>
        <v/>
      </c>
      <c r="R32" s="62" t="str">
        <f ca="1">IF($A32="","",IF(SUMIFS(Data!$AN$4:$AN$183,Data!$AL$4:$AL$183,$A32,Data!$AK$4:$AK$183,$B32)=0,0,O32*3/SUMIFS(Data!$AN$4:$AN$183,Data!$AL$4:$AL$183,$A32,Data!$AK$4:$AK$183,$B32)))</f>
        <v/>
      </c>
      <c r="S32" s="61" t="str">
        <f ca="1">IF($A32="","",IF(SUMIFS(Data!$AN$4:$AN$183,Data!$AL$4:$AL$183,$A32,Data!$AK$4:$AK$183,$B32)=0,0,(N32+P32)/SUMIFS(Data!$AN$4:$AN$183,Data!$AL$4:$AL$183,$A32,Data!$AK$4:$AK$183,$B32)))</f>
        <v/>
      </c>
      <c r="T32" s="18" t="str">
        <f ca="1">IF($A32="","",SUMIFS(Data!$AW$4:$AW$183,Data!$AL$4:$AL$183,$A32,Data!$AK$4:$AK$183,$B32))</f>
        <v/>
      </c>
      <c r="U32" s="18" t="str">
        <f ca="1">IF($A32="","",SUMIFS(Data!$AX$4:$AX$183,Data!$AL$4:$AL$183,$A32,Data!$AK$4:$AK$183,$B32))</f>
        <v/>
      </c>
      <c r="V32" s="18" t="str">
        <f ca="1">IF($A32="","",SUMIFS(Data!$AY$4:$AY$183,Data!$AL$4:$AL$183,$A32,Data!$AK$4:$AK$183,$B32))</f>
        <v/>
      </c>
      <c r="W32" s="18" t="str">
        <f ca="1">IF($A32="","",SUMIFS(Data!$X$4:$X$273,Data!$T$4:$T$273,$A32,Data!$S$4:$S$273,$B32))</f>
        <v/>
      </c>
      <c r="X32" s="18" t="str">
        <f ca="1">IF($A32="","",SUMIFS(Data!$Z$4:$Z$273,Data!$T$4:$T$273,$A32,Data!$S$4:$S$273,$B32))</f>
        <v/>
      </c>
      <c r="Y32" s="18" t="str">
        <f ca="1">IF($A32="","",SUMIFS(Data!$AA$4:$AA$273,Data!$T$4:$T$273,$A32,Data!$S$4:$S$273,$B32))</f>
        <v/>
      </c>
      <c r="Z32" s="18" t="str">
        <f ca="1">IF($A32="","",SUMIFS(Data!$AB$4:$AB$273,Data!$T$4:$T$273,$A32,Data!$S$4:$S$273,$B32))</f>
        <v/>
      </c>
      <c r="AA32" s="18" t="str">
        <f ca="1">IF($A32="","",SUMIFS(Data!$AC$4:$AC$273,Data!$T$4:$T$273,$A32,Data!$S$4:$S$273,$B32))</f>
        <v/>
      </c>
      <c r="AB32" s="18" t="str">
        <f ca="1">IF($A32="","",SUMIFS(Data!$AD$4:$AD$273,Data!$T$4:$T$273,$A32,Data!$S$4:$S$273,$B32))</f>
        <v/>
      </c>
      <c r="AC32" s="18" t="str">
        <f ca="1">IF($A32="","",SUMIFS(Data!$AE$4:$AE$273,Data!$T$4:$T$273,$A32,Data!$S$4:$S$273,$B32))</f>
        <v/>
      </c>
      <c r="AD32" s="18" t="str">
        <f ca="1">IF($A32="","",SUMIFS(Data!$AF$4:$AF$273,Data!$T$4:$T$273,$A32,Data!$S$4:$S$273,$B32))</f>
        <v/>
      </c>
      <c r="AE32" s="18" t="str">
        <f ca="1">IF($A32="","",SUMIFS(Data!$AG$4:$AG$273,Data!$T$4:$T$273,$A32,Data!$S$4:$S$273,$B32))</f>
        <v/>
      </c>
      <c r="AF32" s="18" t="str">
        <f ca="1">IF($A32="","",SUMIFS(Data!$AH$4:$AH$273,Data!$T$4:$T$273,$A32,Data!$S$4:$S$273,$B32))</f>
        <v/>
      </c>
      <c r="AG32" s="18" t="str">
        <f ca="1">IF($A32="","",SUMIFS(Data!$AP$4:$AP$183,Data!$AL$4:$AL$183,$A32,Data!$AK$4:$AK$183,$B32))</f>
        <v/>
      </c>
      <c r="AH32" s="18" t="str">
        <f ca="1">IF($A32="","",SUMIFS(Data!$AT$4:$AT$183,Data!$AL$4:$AL$183,$A32,Data!$AK$4:$AK$183,$B32))</f>
        <v/>
      </c>
      <c r="AI32" s="18" t="str">
        <f ca="1">IF($A32="","",SUMIFS(Data!$AJ$4:$AJ$183,Data!$AL$4:$AL$183,$A32,Data!$AK$4:$AK$183,$B32))</f>
        <v/>
      </c>
    </row>
    <row r="33" spans="1:35">
      <c r="A33" s="18" t="str">
        <f ca="1">IF(Data!K18="","",Data!K18)</f>
        <v/>
      </c>
      <c r="B33" s="18" t="str">
        <f ca="1">IF(Data!H18="","",Data!H18)</f>
        <v/>
      </c>
      <c r="C33" s="18" t="str">
        <f ca="1">IF($A33="","",IF(Data!L18=$A33,1,0))</f>
        <v/>
      </c>
      <c r="D33" s="18" t="str">
        <f ca="1">IF($A33="","",IF(Data!M18=$A33,1,0))</f>
        <v/>
      </c>
      <c r="E33" s="18" t="str">
        <f ca="1">IF($A33="","",IF(Data!J18=$A33,Data!N18,Data!O18))</f>
        <v/>
      </c>
      <c r="F33" s="18" t="str">
        <f ca="1">IF($A33="","",IF(Data!J18=$A33,Data!O18,Data!N18))</f>
        <v/>
      </c>
      <c r="G33" s="18" t="str">
        <f ca="1">IF($A33="","",SUMIFS(Data!$W$4:$W$273,Data!$T$4:$T$273,$A33,Data!$S$4:$S$273,$B33))</f>
        <v/>
      </c>
      <c r="H33" s="18" t="str">
        <f ca="1">IF($A33="","",SUMIFS(Data!$Y$4:$Y$273,Data!$T$4:$T$273,$A33,Data!$S$4:$S$273,$B33))</f>
        <v/>
      </c>
      <c r="I33" s="61" t="str">
        <f t="shared" ca="1" si="0"/>
        <v/>
      </c>
      <c r="J33" s="61" t="str">
        <f ca="1">IF($A33="","",IF((G33+SUMIFS(Data!$AD$4:$AD$273,Data!$T$4:$T$273,$A33,Data!$S$4:$S$273,$B33)+SUMIFS(Data!$AF$4:$AF$273,Data!$T$4:$T$273,$A33,Data!$S$4:$S$273,$B33)+SUMIFS(Data!$AG$4:$AG$273,Data!$T$4:$T$273,$A33,Data!$S$4:$S$273,$B33))=0,0,(H33+SUMIFS(Data!$AD$4:$AD$273,Data!$T$4:$T$273,$A33,Data!$S$4:$S$273,$B33)+SUMIFS(Data!$AF$4:$AF$273,Data!$T$4:$T$273,$A33,Data!$S$4:$S$273,$B33))/(G33+SUMIFS(Data!$AD$4:$AD$273,Data!$T$4:$T$273,$A33,Data!$S$4:$S$273,$B33)+SUMIFS(Data!$AF$4:$AF$273,Data!$T$4:$T$273,$A33,Data!$S$4:$S$273,$B33)+SUMIFS(Data!$AG$4:$AG$273,Data!$T$4:$T$273,$A33,Data!$S$4:$S$273,$B33))))</f>
        <v/>
      </c>
      <c r="K33" s="61" t="str">
        <f ca="1">IF($A33="","",IF(G33=0,0,((H33-SUMIFS(Data!$Z$4:$Z$273,Data!$T$4:$T$273,$A33,Data!$S$4:$S$273,$B33)-SUMIFS(Data!$AA$4:$AA$273,Data!$T$4:$T$273,$A33,Data!$S$4:$S$273,$B33)-SUMIFS(Data!$AB$4:$AB$273,Data!$T$4:$T$273,$A33,Data!$S$4:$S$273,$B33))+2*SUMIFS(Data!$Z$4:$Z$273,Data!$T$4:$T$273,$A33,Data!$S$4:$S$273,$B33)+3*SUMIFS(Data!$AA$4:$AA$273,Data!$T$4:$T$273,$A33,Data!$S$4:$S$273,$B33)+4*SUMIFS(Data!$AB$4:$AB$273,Data!$T$4:$T$273,$A33,Data!$S$4:$S$273,$B33))/G33))</f>
        <v/>
      </c>
      <c r="L33" s="61" t="str">
        <f t="shared" ca="1" si="1"/>
        <v/>
      </c>
      <c r="M33" s="18" t="str">
        <f ca="1">IF($A33="","",INT(SUMIFS(Data!$AN$4:$AN$183,Data!$AL$4:$AL$183,$A33,Data!$AK$4:$AK$183,$B33))+MOD(ROUND(SUMIFS(Data!$AN$4:$AN$183,Data!$AL$4:$AL$183,$A33,Data!$AK$4:$AK$183,$B33)*3,0),3)/10)</f>
        <v/>
      </c>
      <c r="N33" s="18" t="str">
        <f ca="1">IF($A33="","",SUMIFS(Data!$AO$4:$AO$183,Data!$AL$4:$AL$183,$A33,Data!$AK$4:$AK$183,$B33))</f>
        <v/>
      </c>
      <c r="O33" s="18" t="str">
        <f ca="1">IF($A33="","",SUMIFS(Data!$AQ$4:$AQ$183,Data!$AL$4:$AL$183,$A33,Data!$AK$4:$AK$183,$B33))</f>
        <v/>
      </c>
      <c r="P33" s="18" t="str">
        <f ca="1">IF($A33="","",SUMIFS(Data!$AR$4:$AR$183,Data!$AL$4:$AL$183,$A33,Data!$AK$4:$AK$183,$B33))</f>
        <v/>
      </c>
      <c r="Q33" s="18" t="str">
        <f ca="1">IF($A33="","",SUMIFS(Data!$AS$4:$AS$183,Data!$AL$4:$AL$183,$A33,Data!$AK$4:$AK$183,$B33))</f>
        <v/>
      </c>
      <c r="R33" s="62" t="str">
        <f ca="1">IF($A33="","",IF(SUMIFS(Data!$AN$4:$AN$183,Data!$AL$4:$AL$183,$A33,Data!$AK$4:$AK$183,$B33)=0,0,O33*3/SUMIFS(Data!$AN$4:$AN$183,Data!$AL$4:$AL$183,$A33,Data!$AK$4:$AK$183,$B33)))</f>
        <v/>
      </c>
      <c r="S33" s="61" t="str">
        <f ca="1">IF($A33="","",IF(SUMIFS(Data!$AN$4:$AN$183,Data!$AL$4:$AL$183,$A33,Data!$AK$4:$AK$183,$B33)=0,0,(N33+P33)/SUMIFS(Data!$AN$4:$AN$183,Data!$AL$4:$AL$183,$A33,Data!$AK$4:$AK$183,$B33)))</f>
        <v/>
      </c>
      <c r="T33" s="18" t="str">
        <f ca="1">IF($A33="","",SUMIFS(Data!$AW$4:$AW$183,Data!$AL$4:$AL$183,$A33,Data!$AK$4:$AK$183,$B33))</f>
        <v/>
      </c>
      <c r="U33" s="18" t="str">
        <f ca="1">IF($A33="","",SUMIFS(Data!$AX$4:$AX$183,Data!$AL$4:$AL$183,$A33,Data!$AK$4:$AK$183,$B33))</f>
        <v/>
      </c>
      <c r="V33" s="18" t="str">
        <f ca="1">IF($A33="","",SUMIFS(Data!$AY$4:$AY$183,Data!$AL$4:$AL$183,$A33,Data!$AK$4:$AK$183,$B33))</f>
        <v/>
      </c>
      <c r="W33" s="18" t="str">
        <f ca="1">IF($A33="","",SUMIFS(Data!$X$4:$X$273,Data!$T$4:$T$273,$A33,Data!$S$4:$S$273,$B33))</f>
        <v/>
      </c>
      <c r="X33" s="18" t="str">
        <f ca="1">IF($A33="","",SUMIFS(Data!$Z$4:$Z$273,Data!$T$4:$T$273,$A33,Data!$S$4:$S$273,$B33))</f>
        <v/>
      </c>
      <c r="Y33" s="18" t="str">
        <f ca="1">IF($A33="","",SUMIFS(Data!$AA$4:$AA$273,Data!$T$4:$T$273,$A33,Data!$S$4:$S$273,$B33))</f>
        <v/>
      </c>
      <c r="Z33" s="18" t="str">
        <f ca="1">IF($A33="","",SUMIFS(Data!$AB$4:$AB$273,Data!$T$4:$T$273,$A33,Data!$S$4:$S$273,$B33))</f>
        <v/>
      </c>
      <c r="AA33" s="18" t="str">
        <f ca="1">IF($A33="","",SUMIFS(Data!$AC$4:$AC$273,Data!$T$4:$T$273,$A33,Data!$S$4:$S$273,$B33))</f>
        <v/>
      </c>
      <c r="AB33" s="18" t="str">
        <f ca="1">IF($A33="","",SUMIFS(Data!$AD$4:$AD$273,Data!$T$4:$T$273,$A33,Data!$S$4:$S$273,$B33))</f>
        <v/>
      </c>
      <c r="AC33" s="18" t="str">
        <f ca="1">IF($A33="","",SUMIFS(Data!$AE$4:$AE$273,Data!$T$4:$T$273,$A33,Data!$S$4:$S$273,$B33))</f>
        <v/>
      </c>
      <c r="AD33" s="18" t="str">
        <f ca="1">IF($A33="","",SUMIFS(Data!$AF$4:$AF$273,Data!$T$4:$T$273,$A33,Data!$S$4:$S$273,$B33))</f>
        <v/>
      </c>
      <c r="AE33" s="18" t="str">
        <f ca="1">IF($A33="","",SUMIFS(Data!$AG$4:$AG$273,Data!$T$4:$T$273,$A33,Data!$S$4:$S$273,$B33))</f>
        <v/>
      </c>
      <c r="AF33" s="18" t="str">
        <f ca="1">IF($A33="","",SUMIFS(Data!$AH$4:$AH$273,Data!$T$4:$T$273,$A33,Data!$S$4:$S$273,$B33))</f>
        <v/>
      </c>
      <c r="AG33" s="18" t="str">
        <f ca="1">IF($A33="","",SUMIFS(Data!$AP$4:$AP$183,Data!$AL$4:$AL$183,$A33,Data!$AK$4:$AK$183,$B33))</f>
        <v/>
      </c>
      <c r="AH33" s="18" t="str">
        <f ca="1">IF($A33="","",SUMIFS(Data!$AT$4:$AT$183,Data!$AL$4:$AL$183,$A33,Data!$AK$4:$AK$183,$B33))</f>
        <v/>
      </c>
      <c r="AI33" s="18" t="str">
        <f ca="1">IF($A33="","",SUMIFS(Data!$AJ$4:$AJ$183,Data!$AL$4:$AL$183,$A33,Data!$AK$4:$AK$183,$B33))</f>
        <v/>
      </c>
    </row>
  </sheetData>
  <conditionalFormatting sqref="A1:V33">
    <cfRule type="expression" dxfId="55" priority="9">
      <formula>COUNTIFS(ActivePlayers,A1,ActiveColors,"Blue")&gt;0</formula>
    </cfRule>
  </conditionalFormatting>
  <conditionalFormatting sqref="A1:V33">
    <cfRule type="expression" dxfId="54" priority="10">
      <formula>COUNTIFS(ActivePlayers,A1,ActiveColors,"Orange")&gt;0</formula>
    </cfRule>
  </conditionalFormatting>
  <conditionalFormatting sqref="A1:V33">
    <cfRule type="expression" dxfId="53" priority="11">
      <formula>COUNTIFS(ActivePlayers,A1,ActiveColors,"Green")&gt;0</formula>
    </cfRule>
  </conditionalFormatting>
  <conditionalFormatting sqref="A1:V33">
    <cfRule type="expression" dxfId="52" priority="12">
      <formula>COUNTIFS(ActivePlayers,A1,ActiveColors,"Red")&gt;0</formula>
    </cfRule>
  </conditionalFormatting>
  <conditionalFormatting sqref="A1:V33">
    <cfRule type="expression" dxfId="51" priority="13">
      <formula>COUNTIFS(ActivePlayers,A1,ActiveColors,"Purple")&gt;0</formula>
    </cfRule>
  </conditionalFormatting>
  <conditionalFormatting sqref="A1:V33">
    <cfRule type="expression" dxfId="50" priority="14">
      <formula>COUNTIFS(ActivePlayers,A1,ActiveColors,"Pink")&gt;0</formula>
    </cfRule>
  </conditionalFormatting>
  <conditionalFormatting sqref="A1:V33">
    <cfRule type="expression" dxfId="49" priority="15">
      <formula>COUNTIFS(ActivePlayers,A1,ActiveColors,"Gray")&gt;0</formula>
    </cfRule>
  </conditionalFormatting>
  <conditionalFormatting sqref="A1:V33">
    <cfRule type="expression" dxfId="48" priority="16">
      <formula>COUNTIFS(ActivePlayers,A1,ActiveColors,"Brown")&gt;0</formula>
    </cfRule>
  </conditionalFormatting>
  <conditionalFormatting sqref="W3:AI3">
    <cfRule type="expression" dxfId="47" priority="1">
      <formula>COUNTIFS(ActivePlayers,W3,ActiveColors,"Blue")&gt;0</formula>
    </cfRule>
  </conditionalFormatting>
  <conditionalFormatting sqref="W3:AI3">
    <cfRule type="expression" dxfId="46" priority="2">
      <formula>COUNTIFS(ActivePlayers,W3,ActiveColors,"Orange")&gt;0</formula>
    </cfRule>
  </conditionalFormatting>
  <conditionalFormatting sqref="W3:AI3">
    <cfRule type="expression" dxfId="45" priority="3">
      <formula>COUNTIFS(ActivePlayers,W3,ActiveColors,"Green")&gt;0</formula>
    </cfRule>
  </conditionalFormatting>
  <conditionalFormatting sqref="W3:AI3">
    <cfRule type="expression" dxfId="44" priority="4">
      <formula>COUNTIFS(ActivePlayers,W3,ActiveColors,"Red")&gt;0</formula>
    </cfRule>
  </conditionalFormatting>
  <conditionalFormatting sqref="W3:AI3">
    <cfRule type="expression" dxfId="43" priority="5">
      <formula>COUNTIFS(ActivePlayers,W3,ActiveColors,"Purple")&gt;0</formula>
    </cfRule>
  </conditionalFormatting>
  <conditionalFormatting sqref="W3:AI3">
    <cfRule type="expression" dxfId="42" priority="6">
      <formula>COUNTIFS(ActivePlayers,W3,ActiveColors,"Pink")&gt;0</formula>
    </cfRule>
  </conditionalFormatting>
  <conditionalFormatting sqref="W3:AI3">
    <cfRule type="expression" dxfId="41" priority="7">
      <formula>COUNTIFS(ActivePlayers,W3,ActiveColors,"Gray")&gt;0</formula>
    </cfRule>
  </conditionalFormatting>
  <conditionalFormatting sqref="W3:AI3">
    <cfRule type="expression" dxfId="40" priority="8">
      <formula>COUNTIFS(ActivePlayers,W3,ActiveColors,"Brown")&gt;0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55CD7CF1-C839-485B-A0DD-4B9E3BEE9C6C}">
  <dimension ref="A1:AE273"/>
  <sheetViews>
    <sheetView topLeftCell="A32" workbookViewId="0">
      <selection activeCell="C47" sqref="C47"/>
    </sheetView>
  </sheetViews>
  <sheetFormatPr defaultRowHeight="15"/>
  <cols>
    <col min="1" max="1" width="55.42578125" bestFit="1" customWidth="1"/>
    <col min="2" max="2" width="16.42578125" bestFit="1" customWidth="1"/>
    <col min="3" max="3" width="8.5703125" bestFit="1" customWidth="1"/>
    <col min="4" max="4" width="3.28515625" bestFit="1" customWidth="1"/>
    <col min="5" max="5" width="2.140625" bestFit="1" customWidth="1"/>
    <col min="6" max="6" width="5.7109375" bestFit="1" customWidth="1"/>
    <col min="7" max="7" width="3.42578125" bestFit="1" customWidth="1"/>
    <col min="8" max="8" width="3.85546875" bestFit="1" customWidth="1"/>
    <col min="9" max="9" width="2.5703125" bestFit="1" customWidth="1"/>
    <col min="10" max="10" width="3.140625" bestFit="1" customWidth="1"/>
    <col min="11" max="11" width="4.7109375" bestFit="1" customWidth="1"/>
    <col min="12" max="12" width="5.140625" bestFit="1" customWidth="1"/>
    <col min="13" max="13" width="8.140625" bestFit="1" customWidth="1"/>
    <col min="22" max="22" width="9.28515625" customWidth="1"/>
    <col min="23" max="23" width="9.85546875" bestFit="1" customWidth="1"/>
    <col min="24" max="24" width="11.140625" bestFit="1" customWidth="1"/>
  </cols>
  <sheetData>
    <row r="1" spans="1:31" ht="18.75">
      <c r="A1" s="59" t="s">
        <v>278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</row>
    <row r="3" spans="1:31">
      <c r="A3" s="60" t="s">
        <v>230</v>
      </c>
      <c r="B3" s="60" t="s">
        <v>39</v>
      </c>
      <c r="C3" s="60" t="s">
        <v>95</v>
      </c>
      <c r="D3" s="60" t="s">
        <v>175</v>
      </c>
      <c r="E3" s="60" t="s">
        <v>162</v>
      </c>
      <c r="F3" s="60" t="s">
        <v>268</v>
      </c>
      <c r="G3" s="60" t="s">
        <v>178</v>
      </c>
      <c r="H3" s="60" t="s">
        <v>179</v>
      </c>
      <c r="I3" s="60" t="s">
        <v>195</v>
      </c>
      <c r="J3" s="60" t="s">
        <v>196</v>
      </c>
      <c r="K3" s="60" t="s">
        <v>273</v>
      </c>
      <c r="L3" s="60" t="s">
        <v>279</v>
      </c>
      <c r="M3" s="60" t="s">
        <v>280</v>
      </c>
      <c r="N3" s="60" t="s">
        <v>161</v>
      </c>
      <c r="O3" s="60" t="s">
        <v>176</v>
      </c>
      <c r="P3" s="60" t="s">
        <v>177</v>
      </c>
      <c r="Q3" s="60" t="s">
        <v>275</v>
      </c>
      <c r="R3" s="60" t="s">
        <v>276</v>
      </c>
      <c r="S3" s="60" t="s">
        <v>182</v>
      </c>
      <c r="T3" s="60" t="s">
        <v>183</v>
      </c>
      <c r="U3" s="60" t="s">
        <v>184</v>
      </c>
      <c r="V3" s="60" t="s">
        <v>272</v>
      </c>
      <c r="W3" s="60" t="s">
        <v>277</v>
      </c>
      <c r="X3" s="60" t="s">
        <v>281</v>
      </c>
      <c r="Y3" s="60" t="s">
        <v>282</v>
      </c>
      <c r="Z3" s="60" t="s">
        <v>197</v>
      </c>
      <c r="AA3" s="60" t="s">
        <v>200</v>
      </c>
      <c r="AB3" s="60" t="s">
        <v>201</v>
      </c>
      <c r="AC3" s="60" t="s">
        <v>202</v>
      </c>
      <c r="AD3" s="60" t="s">
        <v>274</v>
      </c>
      <c r="AE3" s="60" t="s">
        <v>203</v>
      </c>
    </row>
    <row r="4" spans="1:31">
      <c r="A4" s="117" t="str">
        <f ca="1">IF(Data!T4="","",Data!T4)</f>
        <v>Nick</v>
      </c>
      <c r="B4" s="18" t="str">
        <f ca="1">IF(Data!U4="","",Data!U4)</f>
        <v>Monty Mole</v>
      </c>
      <c r="C4" s="18" t="str">
        <f ca="1">IF(Data!S4="","",Data!S4)</f>
        <v>G1</v>
      </c>
      <c r="D4" s="18">
        <f ca="1">IF($A4="","",Data!W4)</f>
        <v>2</v>
      </c>
      <c r="E4" s="18">
        <f ca="1">IF($A4="","",Data!Y4)</f>
        <v>0</v>
      </c>
      <c r="F4" s="61">
        <f ca="1">IF($A4="","",IF(D4=0,0,E4/D4))</f>
        <v>0.0</v>
      </c>
      <c r="G4" s="18">
        <f ca="1">IF($A4="","",Data!AB4)</f>
        <v>0</v>
      </c>
      <c r="H4" s="18">
        <f ca="1">IF($A4="","",Data!AC4)</f>
        <v>0</v>
      </c>
      <c r="I4" s="18">
        <f ca="1">IF($A4="","",INT(SUMIFS(Data!$AN$4:$AN$183,Data!$AM$4:$AM$183,$B4,Data!$AL$4:$AL$183,$A4,Data!$AK$4:$AK$183,$C4))+MOD(ROUND(SUMIFS(Data!$AN$4:$AN$183,Data!$AM$4:$AM$183,$B4,Data!$AL$4:$AL$183,$A4,Data!$AK$4:$AK$183,$C4)*3,0),3)/10)</f>
        <v>0</v>
      </c>
      <c r="J4" s="18">
        <f ca="1">IF($A4="","",SUMIFS(Data!$AQ$4:$AQ$183,Data!$AM$4:$AM$183,$B4,Data!$AL$4:$AL$183,$A4,Data!$AK$4:$AK$183,$C4))</f>
        <v>0</v>
      </c>
      <c r="K4" s="62">
        <f ca="1">IF($A4="","",IF(SUMIFS(Data!$AN$4:$AN$183,Data!$AM$4:$AM$183,$B4,Data!$AL$4:$AL$183,$A4,Data!$AK$4:$AK$183,$C4)=0,"",J4*3/SUMIFS(Data!$AN$4:$AN$183,Data!$AM$4:$AM$183,$B4,Data!$AL$4:$AL$183,$A4,Data!$AK$4:$AK$183,$C4)))</f>
      </c>
      <c r="L4" s="18">
        <f ca="1">IF($A4="","",IF(IFERROR(_xlfn.XLOOKUP($C4,Bracket!$F$6:$F$16,Bracket!$K$6:$K$16,""),"")=$B4,1,0))</f>
        <v>0</v>
      </c>
      <c r="M4" s="18">
        <f ca="1">IF($A4="","",IF(AND(IFERROR(_xlfn.XLOOKUP($C4,Bracket!$F$6:$F$16,Bracket!$K$6:$K$16,""),"")=$B4,LEFT(IFERROR(_xlfn.XLOOKUP($C4,Bracket!$F$6:$F$16,Bracket!$G$6:$G$16,""),""),2)="CG"),1,0))</f>
        <v>0</v>
      </c>
      <c r="N4" s="18">
        <f ca="1">IF($A4="","",SUMIFS(Data!$X$4:$X$273,Data!$T$4:$T$273,$A4,Data!$U$4:$U$273,$B4,Data!$S$4:$S$273,$C4))</f>
        <v>0</v>
      </c>
      <c r="O4" s="18">
        <f ca="1">IF($A4="","",SUMIFS(Data!$Z$4:$Z$273,Data!$T$4:$T$273,$A4,Data!$U$4:$U$273,$B4,Data!$S$4:$S$273,$C4))</f>
        <v>0</v>
      </c>
      <c r="P4" s="18">
        <f ca="1">IF($A4="","",SUMIFS(Data!$AA$4:$AA$273,Data!$T$4:$T$273,$A4,Data!$U$4:$U$273,$B4,Data!$S$4:$S$273,$C4))</f>
        <v>0</v>
      </c>
      <c r="Q4" s="18">
        <f ca="1">IF($A4="","",SUMIFS(Data!$AD$4:$AD$273,Data!$T$4:$T$273,$A4,Data!$U$4:$U$273,$B4,Data!$S$4:$S$273,$C4))</f>
        <v>0</v>
      </c>
      <c r="R4" s="18">
        <f ca="1">IF($A4="","",SUMIFS(Data!$AE$4:$AE$273,Data!$T$4:$T$273,$A4,Data!$U$4:$U$273,$B4,Data!$S$4:$S$273,$C4))</f>
        <v>1</v>
      </c>
      <c r="S4" s="18">
        <f ca="1">IF($A4="","",SUMIFS(Data!$AF$4:$AF$273,Data!$T$4:$T$273,$A4,Data!$U$4:$U$273,$B4,Data!$S$4:$S$273,$C4))</f>
        <v>0</v>
      </c>
      <c r="T4" s="18">
        <f ca="1">IF($A4="","",SUMIFS(Data!$AG$4:$AG$273,Data!$T$4:$T$273,$A4,Data!$U$4:$U$273,$B4,Data!$S$4:$S$273,$C4))</f>
        <v>0</v>
      </c>
      <c r="U4" s="18">
        <f ca="1">IF($A4="","",SUMIFS(Data!$AH$4:$AH$273,Data!$T$4:$T$273,$A4,Data!$U$4:$U$273,$B4,Data!$S$4:$S$273,$C4))</f>
        <v>0</v>
      </c>
      <c r="V4" s="18">
        <f ca="1">IF($A4="","",SUMIFS(Data!$AO$4:$AO$183,Data!$AM$4:$AM$183,$B4,Data!$AL$4:$AL$183,$A4,Data!$AK$4:$AK$183,$C4))</f>
        <v>0</v>
      </c>
      <c r="W4" s="18">
        <f ca="1">IF($A4="","",SUMIFS(Data!$AP$4:$AP$183,Data!$AM$4:$AM$183,$B4,Data!$AL$4:$AL$183,$A4,Data!$AK$4:$AK$183,$C4))</f>
        <v>0</v>
      </c>
      <c r="X4" s="18">
        <f ca="1">IF($A4="","",SUMIFS(Data!$AR$4:$AR$183,Data!$AM$4:$AM$183,$B4,Data!$AL$4:$AL$183,$A4,Data!$AK$4:$AK$183,$C4))</f>
        <v>0</v>
      </c>
      <c r="Y4" s="18">
        <f ca="1">IF($A4="","",SUMIFS(Data!$AS$4:$AS$183,Data!$AM$4:$AM$183,$B4,Data!$AL$4:$AL$183,$A4,Data!$AK$4:$AK$183,$C4))</f>
        <v>0</v>
      </c>
      <c r="Z4" s="18">
        <f ca="1">IF($A4="","",SUMIFS(Data!$AT$4:$AT$183,Data!$AM$4:$AM$183,$B4,Data!$AL$4:$AL$183,$A4,Data!$AK$4:$AK$183,$C4))</f>
        <v>0</v>
      </c>
      <c r="AA4" s="18">
        <f ca="1">IF($A4="","",SUMIFS(Data!$AW$4:$AW$183,Data!$AM$4:$AM$183,$B4,Data!$AL$4:$AL$183,$A4,Data!$AK$4:$AK$183,$C4))</f>
        <v>0</v>
      </c>
      <c r="AB4" s="18">
        <f ca="1">IF($A4="","",SUMIFS(Data!$AX$4:$AX$183,Data!$AM$4:$AM$183,$B4,Data!$AL$4:$AL$183,$A4,Data!$AK$4:$AK$183,$C4))</f>
        <v>0</v>
      </c>
      <c r="AC4" s="18">
        <f ca="1">IF($A4="","",SUMIFS(Data!$AY$4:$AY$183,Data!$AM$4:$AM$183,$B4,Data!$AL$4:$AL$183,$A4,Data!$AK$4:$AK$183,$C4))</f>
        <v>0</v>
      </c>
      <c r="AD4" s="18">
        <f ca="1">IF($A4="","",IF($I4=0,0,(V4+X4)/$I4))</f>
        <v>0</v>
      </c>
      <c r="AE4" s="18">
        <f ca="1">IF($A4="","",SUMIFS(Data!$AJ$4:$AJ$183,Data!$AM$4:$AM$183,$B4,Data!$AL$4:$AL$183,$A4,Data!$AK$4:$AK$183,$C4))</f>
        <v>0</v>
      </c>
    </row>
    <row r="5" spans="1:31">
      <c r="A5" s="117" t="str">
        <f ca="1">IF(Data!T5="","",Data!T5)</f>
        <v>Nick</v>
      </c>
      <c r="B5" s="18" t="str">
        <f ca="1">IF(Data!U5="","",Data!U5)</f>
        <v>Green Dry Bones</v>
      </c>
      <c r="C5" s="18" t="str">
        <f ca="1">IF(Data!S5="","",Data!S5)</f>
        <v>G1</v>
      </c>
      <c r="D5" s="18">
        <f ca="1">IF($A5="","",Data!W5)</f>
        <v>2</v>
      </c>
      <c r="E5" s="18">
        <f ca="1">IF($A5="","",Data!Y5)</f>
        <v>2</v>
      </c>
      <c r="F5" s="61">
        <f t="shared" ref="F5:F68" ca="1" si="0">IF($A5="","",IF(D5=0,0,E5/D5))</f>
        <v>1.0</v>
      </c>
      <c r="G5" s="18">
        <f ca="1">IF($A5="","",Data!AB5)</f>
        <v>0</v>
      </c>
      <c r="H5" s="18">
        <f ca="1">IF($A5="","",Data!AC5)</f>
        <v>0</v>
      </c>
      <c r="I5" s="18">
        <f ca="1">IF($A5="","",INT(SUMIFS(Data!$AN$4:$AN$183,Data!$AM$4:$AM$183,$B5,Data!$AL$4:$AL$183,$A5,Data!$AK$4:$AK$183,$C5))+MOD(ROUND(SUMIFS(Data!$AN$4:$AN$183,Data!$AM$4:$AM$183,$B5,Data!$AL$4:$AL$183,$A5,Data!$AK$4:$AK$183,$C5)*3,0),3)/10)</f>
        <v>0</v>
      </c>
      <c r="J5" s="18">
        <f ca="1">IF($A5="","",SUMIFS(Data!$AQ$4:$AQ$183,Data!$AM$4:$AM$183,$B5,Data!$AL$4:$AL$183,$A5,Data!$AK$4:$AK$183,$C5))</f>
        <v>0</v>
      </c>
      <c r="K5" s="62">
        <f ca="1">IF($A5="","",IF(SUMIFS(Data!$AN$4:$AN$183,Data!$AM$4:$AM$183,$B5,Data!$AL$4:$AL$183,$A5,Data!$AK$4:$AK$183,$C5)=0,"",J5*3/SUMIFS(Data!$AN$4:$AN$183,Data!$AM$4:$AM$183,$B5,Data!$AL$4:$AL$183,$A5,Data!$AK$4:$AK$183,$C5)))</f>
      </c>
      <c r="L5" s="18">
        <f ca="1">IF($A5="","",IF(IFERROR(_xlfn.XLOOKUP($C5,Bracket!$F$6:$F$16,Bracket!$K$6:$K$16,""),"")=$B5,1,0))</f>
        <v>0</v>
      </c>
      <c r="M5" s="18">
        <f ca="1">IF($A5="","",IF(AND(IFERROR(_xlfn.XLOOKUP($C5,Bracket!$F$6:$F$16,Bracket!$K$6:$K$16,""),"")=$B5,LEFT(IFERROR(_xlfn.XLOOKUP($C5,Bracket!$F$6:$F$16,Bracket!$G$6:$G$16,""),""),2)="CG"),1,0))</f>
        <v>0</v>
      </c>
      <c r="N5" s="18">
        <f ca="1">IF($A5="","",SUMIFS(Data!$X$4:$X$273,Data!$T$4:$T$273,$A5,Data!$U$4:$U$273,$B5,Data!$S$4:$S$273,$C5))</f>
        <v>2</v>
      </c>
      <c r="O5" s="18">
        <f ca="1">IF($A5="","",SUMIFS(Data!$Z$4:$Z$273,Data!$T$4:$T$273,$A5,Data!$U$4:$U$273,$B5,Data!$S$4:$S$273,$C5))</f>
        <v>0</v>
      </c>
      <c r="P5" s="18">
        <f ca="1">IF($A5="","",SUMIFS(Data!$AA$4:$AA$273,Data!$T$4:$T$273,$A5,Data!$U$4:$U$273,$B5,Data!$S$4:$S$273,$C5))</f>
        <v>1</v>
      </c>
      <c r="Q5" s="18">
        <f ca="1">IF($A5="","",SUMIFS(Data!$AD$4:$AD$273,Data!$T$4:$T$273,$A5,Data!$U$4:$U$273,$B5,Data!$S$4:$S$273,$C5))</f>
        <v>0</v>
      </c>
      <c r="R5" s="18">
        <f ca="1">IF($A5="","",SUMIFS(Data!$AE$4:$AE$273,Data!$T$4:$T$273,$A5,Data!$U$4:$U$273,$B5,Data!$S$4:$S$273,$C5))</f>
        <v>0</v>
      </c>
      <c r="S5" s="18">
        <f ca="1">IF($A5="","",SUMIFS(Data!$AF$4:$AF$273,Data!$T$4:$T$273,$A5,Data!$U$4:$U$273,$B5,Data!$S$4:$S$273,$C5))</f>
        <v>0</v>
      </c>
      <c r="T5" s="18">
        <f ca="1">IF($A5="","",SUMIFS(Data!$AG$4:$AG$273,Data!$T$4:$T$273,$A5,Data!$U$4:$U$273,$B5,Data!$S$4:$S$273,$C5))</f>
        <v>0</v>
      </c>
      <c r="U5" s="18">
        <f ca="1">IF($A5="","",SUMIFS(Data!$AH$4:$AH$273,Data!$T$4:$T$273,$A5,Data!$U$4:$U$273,$B5,Data!$S$4:$S$273,$C5))</f>
        <v>0</v>
      </c>
      <c r="V5" s="18">
        <f ca="1">IF($A5="","",SUMIFS(Data!$AO$4:$AO$183,Data!$AM$4:$AM$183,$B5,Data!$AL$4:$AL$183,$A5,Data!$AK$4:$AK$183,$C5))</f>
        <v>0</v>
      </c>
      <c r="W5" s="18">
        <f ca="1">IF($A5="","",SUMIFS(Data!$AP$4:$AP$183,Data!$AM$4:$AM$183,$B5,Data!$AL$4:$AL$183,$A5,Data!$AK$4:$AK$183,$C5))</f>
        <v>0</v>
      </c>
      <c r="X5" s="18">
        <f ca="1">IF($A5="","",SUMIFS(Data!$AR$4:$AR$183,Data!$AM$4:$AM$183,$B5,Data!$AL$4:$AL$183,$A5,Data!$AK$4:$AK$183,$C5))</f>
        <v>0</v>
      </c>
      <c r="Y5" s="18">
        <f ca="1">IF($A5="","",SUMIFS(Data!$AS$4:$AS$183,Data!$AM$4:$AM$183,$B5,Data!$AL$4:$AL$183,$A5,Data!$AK$4:$AK$183,$C5))</f>
        <v>0</v>
      </c>
      <c r="Z5" s="18">
        <f ca="1">IF($A5="","",SUMIFS(Data!$AT$4:$AT$183,Data!$AM$4:$AM$183,$B5,Data!$AL$4:$AL$183,$A5,Data!$AK$4:$AK$183,$C5))</f>
        <v>0</v>
      </c>
      <c r="AA5" s="18">
        <f ca="1">IF($A5="","",SUMIFS(Data!$AW$4:$AW$183,Data!$AM$4:$AM$183,$B5,Data!$AL$4:$AL$183,$A5,Data!$AK$4:$AK$183,$C5))</f>
        <v>0</v>
      </c>
      <c r="AB5" s="18">
        <f ca="1">IF($A5="","",SUMIFS(Data!$AX$4:$AX$183,Data!$AM$4:$AM$183,$B5,Data!$AL$4:$AL$183,$A5,Data!$AK$4:$AK$183,$C5))</f>
        <v>0</v>
      </c>
      <c r="AC5" s="18">
        <f ca="1">IF($A5="","",SUMIFS(Data!$AY$4:$AY$183,Data!$AM$4:$AM$183,$B5,Data!$AL$4:$AL$183,$A5,Data!$AK$4:$AK$183,$C5))</f>
        <v>0</v>
      </c>
      <c r="AD5" s="18">
        <f t="shared" ref="AD5:AD68" ca="1" si="1">IF($A5="","",IF($I5=0,0,(V5+X5)/$I5))</f>
        <v>0</v>
      </c>
      <c r="AE5" s="18">
        <f ca="1">IF($A5="","",SUMIFS(Data!$AJ$4:$AJ$183,Data!$AM$4:$AM$183,$B5,Data!$AL$4:$AL$183,$A5,Data!$AK$4:$AK$183,$C5))</f>
        <v>0</v>
      </c>
    </row>
    <row r="6" spans="1:31">
      <c r="A6" s="117" t="str">
        <f ca="1">IF(Data!T6="","",Data!T6)</f>
        <v>Nick</v>
      </c>
      <c r="B6" s="18" t="str">
        <f ca="1">IF(Data!U6="","",Data!U6)</f>
        <v>Daisy</v>
      </c>
      <c r="C6" s="18" t="str">
        <f ca="1">IF(Data!S6="","",Data!S6)</f>
        <v>G1</v>
      </c>
      <c r="D6" s="18">
        <f ca="1">IF($A6="","",Data!W6)</f>
        <v>2</v>
      </c>
      <c r="E6" s="18">
        <f ca="1">IF($A6="","",Data!Y6)</f>
        <v>1</v>
      </c>
      <c r="F6" s="61">
        <f t="shared" ca="1" si="0"/>
        <v>0.5</v>
      </c>
      <c r="G6" s="18">
        <f ca="1">IF($A6="","",Data!AB6)</f>
        <v>0</v>
      </c>
      <c r="H6" s="18">
        <f ca="1">IF($A6="","",Data!AC6)</f>
        <v>1</v>
      </c>
      <c r="I6" s="18">
        <f ca="1">IF($A6="","",INT(SUMIFS(Data!$AN$4:$AN$183,Data!$AM$4:$AM$183,$B6,Data!$AL$4:$AL$183,$A6,Data!$AK$4:$AK$183,$C6))+MOD(ROUND(SUMIFS(Data!$AN$4:$AN$183,Data!$AM$4:$AM$183,$B6,Data!$AL$4:$AL$183,$A6,Data!$AK$4:$AK$183,$C6)*3,0),3)/10)</f>
        <v>2</v>
      </c>
      <c r="J6" s="18">
        <f ca="1">IF($A6="","",SUMIFS(Data!$AQ$4:$AQ$183,Data!$AM$4:$AM$183,$B6,Data!$AL$4:$AL$183,$A6,Data!$AK$4:$AK$183,$C6))</f>
        <v>0</v>
      </c>
      <c r="K6" s="62">
        <f ca="1">IF($A6="","",IF(SUMIFS(Data!$AN$4:$AN$183,Data!$AM$4:$AM$183,$B6,Data!$AL$4:$AL$183,$A6,Data!$AK$4:$AK$183,$C6)=0,"",J6*3/SUMIFS(Data!$AN$4:$AN$183,Data!$AM$4:$AM$183,$B6,Data!$AL$4:$AL$183,$A6,Data!$AK$4:$AK$183,$C6)))</f>
        <v>0.0</v>
      </c>
      <c r="L6" s="18">
        <f ca="1">IF($A6="","",IF(IFERROR(_xlfn.XLOOKUP($C6,Bracket!$F$6:$F$16,Bracket!$K$6:$K$16,""),"")=$B6,1,0))</f>
        <v>1</v>
      </c>
      <c r="M6" s="18">
        <f ca="1">IF($A6="","",IF(AND(IFERROR(_xlfn.XLOOKUP($C6,Bracket!$F$6:$F$16,Bracket!$K$6:$K$16,""),"")=$B6,LEFT(IFERROR(_xlfn.XLOOKUP($C6,Bracket!$F$6:$F$16,Bracket!$G$6:$G$16,""),""),2)="CG"),1,0))</f>
        <v>0</v>
      </c>
      <c r="N6" s="18">
        <f ca="1">IF($A6="","",SUMIFS(Data!$X$4:$X$273,Data!$T$4:$T$273,$A6,Data!$U$4:$U$273,$B6,Data!$S$4:$S$273,$C6))</f>
        <v>1</v>
      </c>
      <c r="O6" s="18">
        <f ca="1">IF($A6="","",SUMIFS(Data!$Z$4:$Z$273,Data!$T$4:$T$273,$A6,Data!$U$4:$U$273,$B6,Data!$S$4:$S$273,$C6))</f>
        <v>1</v>
      </c>
      <c r="P6" s="18">
        <f ca="1">IF($A6="","",SUMIFS(Data!$AA$4:$AA$273,Data!$T$4:$T$273,$A6,Data!$U$4:$U$273,$B6,Data!$S$4:$S$273,$C6))</f>
        <v>0</v>
      </c>
      <c r="Q6" s="18">
        <f ca="1">IF($A6="","",SUMIFS(Data!$AD$4:$AD$273,Data!$T$4:$T$273,$A6,Data!$U$4:$U$273,$B6,Data!$S$4:$S$273,$C6))</f>
        <v>0</v>
      </c>
      <c r="R6" s="18">
        <f ca="1">IF($A6="","",SUMIFS(Data!$AE$4:$AE$273,Data!$T$4:$T$273,$A6,Data!$U$4:$U$273,$B6,Data!$S$4:$S$273,$C6))</f>
        <v>0</v>
      </c>
      <c r="S6" s="18">
        <f ca="1">IF($A6="","",SUMIFS(Data!$AF$4:$AF$273,Data!$T$4:$T$273,$A6,Data!$U$4:$U$273,$B6,Data!$S$4:$S$273,$C6))</f>
        <v>0</v>
      </c>
      <c r="T6" s="18">
        <f ca="1">IF($A6="","",SUMIFS(Data!$AG$4:$AG$273,Data!$T$4:$T$273,$A6,Data!$U$4:$U$273,$B6,Data!$S$4:$S$273,$C6))</f>
        <v>0</v>
      </c>
      <c r="U6" s="18">
        <f ca="1">IF($A6="","",SUMIFS(Data!$AH$4:$AH$273,Data!$T$4:$T$273,$A6,Data!$U$4:$U$273,$B6,Data!$S$4:$S$273,$C6))</f>
        <v>0</v>
      </c>
      <c r="V6" s="18">
        <f ca="1">IF($A6="","",SUMIFS(Data!$AO$4:$AO$183,Data!$AM$4:$AM$183,$B6,Data!$AL$4:$AL$183,$A6,Data!$AK$4:$AK$183,$C6))</f>
        <v>0</v>
      </c>
      <c r="W6" s="18">
        <f ca="1">IF($A6="","",SUMIFS(Data!$AP$4:$AP$183,Data!$AM$4:$AM$183,$B6,Data!$AL$4:$AL$183,$A6,Data!$AK$4:$AK$183,$C6))</f>
        <v>0</v>
      </c>
      <c r="X6" s="18">
        <f ca="1">IF($A6="","",SUMIFS(Data!$AR$4:$AR$183,Data!$AM$4:$AM$183,$B6,Data!$AL$4:$AL$183,$A6,Data!$AK$4:$AK$183,$C6))</f>
        <v>0</v>
      </c>
      <c r="Y6" s="18">
        <f ca="1">IF($A6="","",SUMIFS(Data!$AS$4:$AS$183,Data!$AM$4:$AM$183,$B6,Data!$AL$4:$AL$183,$A6,Data!$AK$4:$AK$183,$C6))</f>
        <v>3</v>
      </c>
      <c r="Z6" s="18">
        <f ca="1">IF($A6="","",SUMIFS(Data!$AT$4:$AT$183,Data!$AM$4:$AM$183,$B6,Data!$AL$4:$AL$183,$A6,Data!$AK$4:$AK$183,$C6))</f>
        <v>0</v>
      </c>
      <c r="AA6" s="18">
        <f ca="1">IF($A6="","",SUMIFS(Data!$AW$4:$AW$183,Data!$AM$4:$AM$183,$B6,Data!$AL$4:$AL$183,$A6,Data!$AK$4:$AK$183,$C6))</f>
        <v>0</v>
      </c>
      <c r="AB6" s="18">
        <f ca="1">IF($A6="","",SUMIFS(Data!$AX$4:$AX$183,Data!$AM$4:$AM$183,$B6,Data!$AL$4:$AL$183,$A6,Data!$AK$4:$AK$183,$C6))</f>
        <v>0</v>
      </c>
      <c r="AC6" s="18">
        <f ca="1">IF($A6="","",SUMIFS(Data!$AY$4:$AY$183,Data!$AM$4:$AM$183,$B6,Data!$AL$4:$AL$183,$A6,Data!$AK$4:$AK$183,$C6))</f>
        <v>0</v>
      </c>
      <c r="AD6" s="18">
        <f t="shared" ca="1" si="1"/>
        <v>0.0</v>
      </c>
      <c r="AE6" s="18">
        <f ca="1">IF($A6="","",SUMIFS(Data!$AJ$4:$AJ$183,Data!$AM$4:$AM$183,$B6,Data!$AL$4:$AL$183,$A6,Data!$AK$4:$AK$183,$C6))</f>
        <v>6</v>
      </c>
    </row>
    <row r="7" spans="1:31">
      <c r="A7" s="117" t="str">
        <f ca="1">IF(Data!T7="","",Data!T7)</f>
        <v>Nick</v>
      </c>
      <c r="B7" s="18" t="str">
        <f ca="1">IF(Data!U7="","",Data!U7)</f>
        <v>Wario</v>
      </c>
      <c r="C7" s="18" t="str">
        <f ca="1">IF(Data!S7="","",Data!S7)</f>
        <v>G1</v>
      </c>
      <c r="D7" s="18">
        <f ca="1">IF($A7="","",Data!W7)</f>
        <v>2</v>
      </c>
      <c r="E7" s="18">
        <f ca="1">IF($A7="","",Data!Y7)</f>
        <v>2</v>
      </c>
      <c r="F7" s="61">
        <f t="shared" ca="1" si="0"/>
        <v>1.0</v>
      </c>
      <c r="G7" s="18">
        <f ca="1">IF($A7="","",Data!AB7)</f>
        <v>1</v>
      </c>
      <c r="H7" s="18">
        <f ca="1">IF($A7="","",Data!AC7)</f>
        <v>3</v>
      </c>
      <c r="I7" s="18">
        <f ca="1">IF($A7="","",INT(SUMIFS(Data!$AN$4:$AN$183,Data!$AM$4:$AM$183,$B7,Data!$AL$4:$AL$183,$A7,Data!$AK$4:$AK$183,$C7))+MOD(ROUND(SUMIFS(Data!$AN$4:$AN$183,Data!$AM$4:$AM$183,$B7,Data!$AL$4:$AL$183,$A7,Data!$AK$4:$AK$183,$C7)*3,0),3)/10)</f>
        <v>0</v>
      </c>
      <c r="J7" s="18">
        <f ca="1">IF($A7="","",SUMIFS(Data!$AQ$4:$AQ$183,Data!$AM$4:$AM$183,$B7,Data!$AL$4:$AL$183,$A7,Data!$AK$4:$AK$183,$C7))</f>
        <v>0</v>
      </c>
      <c r="K7" s="62">
        <f ca="1">IF($A7="","",IF(SUMIFS(Data!$AN$4:$AN$183,Data!$AM$4:$AM$183,$B7,Data!$AL$4:$AL$183,$A7,Data!$AK$4:$AK$183,$C7)=0,"",J7*3/SUMIFS(Data!$AN$4:$AN$183,Data!$AM$4:$AM$183,$B7,Data!$AL$4:$AL$183,$A7,Data!$AK$4:$AK$183,$C7)))</f>
      </c>
      <c r="L7" s="18">
        <f ca="1">IF($A7="","",IF(IFERROR(_xlfn.XLOOKUP($C7,Bracket!$F$6:$F$16,Bracket!$K$6:$K$16,""),"")=$B7,1,0))</f>
        <v>0</v>
      </c>
      <c r="M7" s="18">
        <f ca="1">IF($A7="","",IF(AND(IFERROR(_xlfn.XLOOKUP($C7,Bracket!$F$6:$F$16,Bracket!$K$6:$K$16,""),"")=$B7,LEFT(IFERROR(_xlfn.XLOOKUP($C7,Bracket!$F$6:$F$16,Bracket!$G$6:$G$16,""),""),2)="CG"),1,0))</f>
        <v>0</v>
      </c>
      <c r="N7" s="18">
        <f ca="1">IF($A7="","",SUMIFS(Data!$X$4:$X$273,Data!$T$4:$T$273,$A7,Data!$U$4:$U$273,$B7,Data!$S$4:$S$273,$C7))</f>
        <v>0</v>
      </c>
      <c r="O7" s="18">
        <f ca="1">IF($A7="","",SUMIFS(Data!$Z$4:$Z$273,Data!$T$4:$T$273,$A7,Data!$U$4:$U$273,$B7,Data!$S$4:$S$273,$C7))</f>
        <v>1</v>
      </c>
      <c r="P7" s="18">
        <f ca="1">IF($A7="","",SUMIFS(Data!$AA$4:$AA$273,Data!$T$4:$T$273,$A7,Data!$U$4:$U$273,$B7,Data!$S$4:$S$273,$C7))</f>
        <v>0</v>
      </c>
      <c r="Q7" s="18">
        <f ca="1">IF($A7="","",SUMIFS(Data!$AD$4:$AD$273,Data!$T$4:$T$273,$A7,Data!$U$4:$U$273,$B7,Data!$S$4:$S$273,$C7))</f>
        <v>0</v>
      </c>
      <c r="R7" s="18">
        <f ca="1">IF($A7="","",SUMIFS(Data!$AE$4:$AE$273,Data!$T$4:$T$273,$A7,Data!$U$4:$U$273,$B7,Data!$S$4:$S$273,$C7))</f>
        <v>0</v>
      </c>
      <c r="S7" s="18">
        <f ca="1">IF($A7="","",SUMIFS(Data!$AF$4:$AF$273,Data!$T$4:$T$273,$A7,Data!$U$4:$U$273,$B7,Data!$S$4:$S$273,$C7))</f>
        <v>0</v>
      </c>
      <c r="T7" s="18">
        <f ca="1">IF($A7="","",SUMIFS(Data!$AG$4:$AG$273,Data!$T$4:$T$273,$A7,Data!$U$4:$U$273,$B7,Data!$S$4:$S$273,$C7))</f>
        <v>0</v>
      </c>
      <c r="U7" s="18">
        <f ca="1">IF($A7="","",SUMIFS(Data!$AH$4:$AH$273,Data!$T$4:$T$273,$A7,Data!$U$4:$U$273,$B7,Data!$S$4:$S$273,$C7))</f>
        <v>0</v>
      </c>
      <c r="V7" s="18">
        <f ca="1">IF($A7="","",SUMIFS(Data!$AO$4:$AO$183,Data!$AM$4:$AM$183,$B7,Data!$AL$4:$AL$183,$A7,Data!$AK$4:$AK$183,$C7))</f>
        <v>0</v>
      </c>
      <c r="W7" s="18">
        <f ca="1">IF($A7="","",SUMIFS(Data!$AP$4:$AP$183,Data!$AM$4:$AM$183,$B7,Data!$AL$4:$AL$183,$A7,Data!$AK$4:$AK$183,$C7))</f>
        <v>0</v>
      </c>
      <c r="X7" s="18">
        <f ca="1">IF($A7="","",SUMIFS(Data!$AR$4:$AR$183,Data!$AM$4:$AM$183,$B7,Data!$AL$4:$AL$183,$A7,Data!$AK$4:$AK$183,$C7))</f>
        <v>0</v>
      </c>
      <c r="Y7" s="18">
        <f ca="1">IF($A7="","",SUMIFS(Data!$AS$4:$AS$183,Data!$AM$4:$AM$183,$B7,Data!$AL$4:$AL$183,$A7,Data!$AK$4:$AK$183,$C7))</f>
        <v>0</v>
      </c>
      <c r="Z7" s="18">
        <f ca="1">IF($A7="","",SUMIFS(Data!$AT$4:$AT$183,Data!$AM$4:$AM$183,$B7,Data!$AL$4:$AL$183,$A7,Data!$AK$4:$AK$183,$C7))</f>
        <v>0</v>
      </c>
      <c r="AA7" s="18">
        <f ca="1">IF($A7="","",SUMIFS(Data!$AW$4:$AW$183,Data!$AM$4:$AM$183,$B7,Data!$AL$4:$AL$183,$A7,Data!$AK$4:$AK$183,$C7))</f>
        <v>0</v>
      </c>
      <c r="AB7" s="18">
        <f ca="1">IF($A7="","",SUMIFS(Data!$AX$4:$AX$183,Data!$AM$4:$AM$183,$B7,Data!$AL$4:$AL$183,$A7,Data!$AK$4:$AK$183,$C7))</f>
        <v>0</v>
      </c>
      <c r="AC7" s="18">
        <f ca="1">IF($A7="","",SUMIFS(Data!$AY$4:$AY$183,Data!$AM$4:$AM$183,$B7,Data!$AL$4:$AL$183,$A7,Data!$AK$4:$AK$183,$C7))</f>
        <v>0</v>
      </c>
      <c r="AD7" s="18">
        <f t="shared" ca="1" si="1"/>
        <v>0</v>
      </c>
      <c r="AE7" s="18">
        <f ca="1">IF($A7="","",SUMIFS(Data!$AJ$4:$AJ$183,Data!$AM$4:$AM$183,$B7,Data!$AL$4:$AL$183,$A7,Data!$AK$4:$AK$183,$C7))</f>
        <v>0</v>
      </c>
    </row>
    <row r="8" spans="1:31">
      <c r="A8" s="117" t="str">
        <f ca="1">IF(Data!T8="","",Data!T8)</f>
        <v>Nick</v>
      </c>
      <c r="B8" s="18" t="str">
        <f ca="1">IF(Data!U8="","",Data!U8)</f>
        <v>Boomerang Bro</v>
      </c>
      <c r="C8" s="18" t="str">
        <f ca="1">IF(Data!S8="","",Data!S8)</f>
        <v>G1</v>
      </c>
      <c r="D8" s="18">
        <f ca="1">IF($A8="","",Data!W8)</f>
        <v>2</v>
      </c>
      <c r="E8" s="18">
        <f ca="1">IF($A8="","",Data!Y8)</f>
        <v>0</v>
      </c>
      <c r="F8" s="61">
        <f t="shared" ca="1" si="0"/>
        <v>0.0</v>
      </c>
      <c r="G8" s="18">
        <f ca="1">IF($A8="","",Data!AB8)</f>
        <v>0</v>
      </c>
      <c r="H8" s="18">
        <f ca="1">IF($A8="","",Data!AC8)</f>
        <v>0</v>
      </c>
      <c r="I8" s="18">
        <f ca="1">IF($A8="","",INT(SUMIFS(Data!$AN$4:$AN$183,Data!$AM$4:$AM$183,$B8,Data!$AL$4:$AL$183,$A8,Data!$AK$4:$AK$183,$C8))+MOD(ROUND(SUMIFS(Data!$AN$4:$AN$183,Data!$AM$4:$AM$183,$B8,Data!$AL$4:$AL$183,$A8,Data!$AK$4:$AK$183,$C8)*3,0),3)/10)</f>
        <v>1</v>
      </c>
      <c r="J8" s="18">
        <f ca="1">IF($A8="","",SUMIFS(Data!$AQ$4:$AQ$183,Data!$AM$4:$AM$183,$B8,Data!$AL$4:$AL$183,$A8,Data!$AK$4:$AK$183,$C8))</f>
        <v>0</v>
      </c>
      <c r="K8" s="62">
        <f ca="1">IF($A8="","",IF(SUMIFS(Data!$AN$4:$AN$183,Data!$AM$4:$AM$183,$B8,Data!$AL$4:$AL$183,$A8,Data!$AK$4:$AK$183,$C8)=0,"",J8*3/SUMIFS(Data!$AN$4:$AN$183,Data!$AM$4:$AM$183,$B8,Data!$AL$4:$AL$183,$A8,Data!$AK$4:$AK$183,$C8)))</f>
        <v>0.0</v>
      </c>
      <c r="L8" s="18">
        <f ca="1">IF($A8="","",IF(IFERROR(_xlfn.XLOOKUP($C8,Bracket!$F$6:$F$16,Bracket!$K$6:$K$16,""),"")=$B8,1,0))</f>
        <v>0</v>
      </c>
      <c r="M8" s="18">
        <f ca="1">IF($A8="","",IF(AND(IFERROR(_xlfn.XLOOKUP($C8,Bracket!$F$6:$F$16,Bracket!$K$6:$K$16,""),"")=$B8,LEFT(IFERROR(_xlfn.XLOOKUP($C8,Bracket!$F$6:$F$16,Bracket!$G$6:$G$16,""),""),2)="CG"),1,0))</f>
        <v>0</v>
      </c>
      <c r="N8" s="18">
        <f ca="1">IF($A8="","",SUMIFS(Data!$X$4:$X$273,Data!$T$4:$T$273,$A8,Data!$U$4:$U$273,$B8,Data!$S$4:$S$273,$C8))</f>
        <v>0</v>
      </c>
      <c r="O8" s="18">
        <f ca="1">IF($A8="","",SUMIFS(Data!$Z$4:$Z$273,Data!$T$4:$T$273,$A8,Data!$U$4:$U$273,$B8,Data!$S$4:$S$273,$C8))</f>
        <v>0</v>
      </c>
      <c r="P8" s="18">
        <f ca="1">IF($A8="","",SUMIFS(Data!$AA$4:$AA$273,Data!$T$4:$T$273,$A8,Data!$U$4:$U$273,$B8,Data!$S$4:$S$273,$C8))</f>
        <v>0</v>
      </c>
      <c r="Q8" s="18">
        <f ca="1">IF($A8="","",SUMIFS(Data!$AD$4:$AD$273,Data!$T$4:$T$273,$A8,Data!$U$4:$U$273,$B8,Data!$S$4:$S$273,$C8))</f>
        <v>0</v>
      </c>
      <c r="R8" s="18">
        <f ca="1">IF($A8="","",SUMIFS(Data!$AE$4:$AE$273,Data!$T$4:$T$273,$A8,Data!$U$4:$U$273,$B8,Data!$S$4:$S$273,$C8))</f>
        <v>1</v>
      </c>
      <c r="S8" s="18">
        <f ca="1">IF($A8="","",SUMIFS(Data!$AF$4:$AF$273,Data!$T$4:$T$273,$A8,Data!$U$4:$U$273,$B8,Data!$S$4:$S$273,$C8))</f>
        <v>0</v>
      </c>
      <c r="T8" s="18">
        <f ca="1">IF($A8="","",SUMIFS(Data!$AG$4:$AG$273,Data!$T$4:$T$273,$A8,Data!$U$4:$U$273,$B8,Data!$S$4:$S$273,$C8))</f>
        <v>0</v>
      </c>
      <c r="U8" s="18">
        <f ca="1">IF($A8="","",SUMIFS(Data!$AH$4:$AH$273,Data!$T$4:$T$273,$A8,Data!$U$4:$U$273,$B8,Data!$S$4:$S$273,$C8))</f>
        <v>0</v>
      </c>
      <c r="V8" s="18">
        <f ca="1">IF($A8="","",SUMIFS(Data!$AO$4:$AO$183,Data!$AM$4:$AM$183,$B8,Data!$AL$4:$AL$183,$A8,Data!$AK$4:$AK$183,$C8))</f>
        <v>0</v>
      </c>
      <c r="W8" s="18">
        <f ca="1">IF($A8="","",SUMIFS(Data!$AP$4:$AP$183,Data!$AM$4:$AM$183,$B8,Data!$AL$4:$AL$183,$A8,Data!$AK$4:$AK$183,$C8))</f>
        <v>0</v>
      </c>
      <c r="X8" s="18">
        <f ca="1">IF($A8="","",SUMIFS(Data!$AR$4:$AR$183,Data!$AM$4:$AM$183,$B8,Data!$AL$4:$AL$183,$A8,Data!$AK$4:$AK$183,$C8))</f>
        <v>0</v>
      </c>
      <c r="Y8" s="18">
        <f ca="1">IF($A8="","",SUMIFS(Data!$AS$4:$AS$183,Data!$AM$4:$AM$183,$B8,Data!$AL$4:$AL$183,$A8,Data!$AK$4:$AK$183,$C8))</f>
        <v>1</v>
      </c>
      <c r="Z8" s="18">
        <f ca="1">IF($A8="","",SUMIFS(Data!$AT$4:$AT$183,Data!$AM$4:$AM$183,$B8,Data!$AL$4:$AL$183,$A8,Data!$AK$4:$AK$183,$C8))</f>
        <v>0</v>
      </c>
      <c r="AA8" s="18">
        <f ca="1">IF($A8="","",SUMIFS(Data!$AW$4:$AW$183,Data!$AM$4:$AM$183,$B8,Data!$AL$4:$AL$183,$A8,Data!$AK$4:$AK$183,$C8))</f>
        <v>0</v>
      </c>
      <c r="AB8" s="18">
        <f ca="1">IF($A8="","",SUMIFS(Data!$AX$4:$AX$183,Data!$AM$4:$AM$183,$B8,Data!$AL$4:$AL$183,$A8,Data!$AK$4:$AK$183,$C8))</f>
        <v>0</v>
      </c>
      <c r="AC8" s="18">
        <f ca="1">IF($A8="","",SUMIFS(Data!$AY$4:$AY$183,Data!$AM$4:$AM$183,$B8,Data!$AL$4:$AL$183,$A8,Data!$AK$4:$AK$183,$C8))</f>
        <v>0</v>
      </c>
      <c r="AD8" s="18">
        <f t="shared" ca="1" si="1"/>
        <v>0.0</v>
      </c>
      <c r="AE8" s="18">
        <f ca="1">IF($A8="","",SUMIFS(Data!$AJ$4:$AJ$183,Data!$AM$4:$AM$183,$B8,Data!$AL$4:$AL$183,$A8,Data!$AK$4:$AK$183,$C8))</f>
        <v>3</v>
      </c>
    </row>
    <row r="9" spans="1:31">
      <c r="A9" s="117" t="str">
        <f ca="1">IF(Data!T9="","",Data!T9)</f>
        <v>Nick</v>
      </c>
      <c r="B9" s="18" t="str">
        <f ca="1">IF(Data!U9="","",Data!U9)</f>
        <v>Mii</v>
      </c>
      <c r="C9" s="18" t="str">
        <f ca="1">IF(Data!S9="","",Data!S9)</f>
        <v>G1</v>
      </c>
      <c r="D9" s="18">
        <f ca="1">IF($A9="","",Data!W9)</f>
        <v>1</v>
      </c>
      <c r="E9" s="18">
        <f ca="1">IF($A9="","",Data!Y9)</f>
        <v>0</v>
      </c>
      <c r="F9" s="61">
        <f t="shared" ca="1" si="0"/>
        <v>0.0</v>
      </c>
      <c r="G9" s="18">
        <f ca="1">IF($A9="","",Data!AB9)</f>
        <v>0</v>
      </c>
      <c r="H9" s="18">
        <f ca="1">IF($A9="","",Data!AC9)</f>
        <v>0</v>
      </c>
      <c r="I9" s="18">
        <f ca="1">IF($A9="","",INT(SUMIFS(Data!$AN$4:$AN$183,Data!$AM$4:$AM$183,$B9,Data!$AL$4:$AL$183,$A9,Data!$AK$4:$AK$183,$C9))+MOD(ROUND(SUMIFS(Data!$AN$4:$AN$183,Data!$AM$4:$AM$183,$B9,Data!$AL$4:$AL$183,$A9,Data!$AK$4:$AK$183,$C9)*3,0),3)/10)</f>
        <v>0</v>
      </c>
      <c r="J9" s="18">
        <f ca="1">IF($A9="","",SUMIFS(Data!$AQ$4:$AQ$183,Data!$AM$4:$AM$183,$B9,Data!$AL$4:$AL$183,$A9,Data!$AK$4:$AK$183,$C9))</f>
        <v>0</v>
      </c>
      <c r="K9" s="62">
        <f ca="1">IF($A9="","",IF(SUMIFS(Data!$AN$4:$AN$183,Data!$AM$4:$AM$183,$B9,Data!$AL$4:$AL$183,$A9,Data!$AK$4:$AK$183,$C9)=0,"",J9*3/SUMIFS(Data!$AN$4:$AN$183,Data!$AM$4:$AM$183,$B9,Data!$AL$4:$AL$183,$A9,Data!$AK$4:$AK$183,$C9)))</f>
      </c>
      <c r="L9" s="18">
        <f ca="1">IF($A9="","",IF(IFERROR(_xlfn.XLOOKUP($C9,Bracket!$F$6:$F$16,Bracket!$K$6:$K$16,""),"")=$B9,1,0))</f>
        <v>0</v>
      </c>
      <c r="M9" s="18">
        <f ca="1">IF($A9="","",IF(AND(IFERROR(_xlfn.XLOOKUP($C9,Bracket!$F$6:$F$16,Bracket!$K$6:$K$16,""),"")=$B9,LEFT(IFERROR(_xlfn.XLOOKUP($C9,Bracket!$F$6:$F$16,Bracket!$G$6:$G$16,""),""),2)="CG"),1,0))</f>
        <v>0</v>
      </c>
      <c r="N9" s="18">
        <f ca="1">IF($A9="","",SUMIFS(Data!$X$4:$X$273,Data!$T$4:$T$273,$A9,Data!$U$4:$U$273,$B9,Data!$S$4:$S$273,$C9))</f>
        <v>0</v>
      </c>
      <c r="O9" s="18">
        <f ca="1">IF($A9="","",SUMIFS(Data!$Z$4:$Z$273,Data!$T$4:$T$273,$A9,Data!$U$4:$U$273,$B9,Data!$S$4:$S$273,$C9))</f>
        <v>0</v>
      </c>
      <c r="P9" s="18">
        <f ca="1">IF($A9="","",SUMIFS(Data!$AA$4:$AA$273,Data!$T$4:$T$273,$A9,Data!$U$4:$U$273,$B9,Data!$S$4:$S$273,$C9))</f>
        <v>0</v>
      </c>
      <c r="Q9" s="18">
        <f ca="1">IF($A9="","",SUMIFS(Data!$AD$4:$AD$273,Data!$T$4:$T$273,$A9,Data!$U$4:$U$273,$B9,Data!$S$4:$S$273,$C9))</f>
        <v>0</v>
      </c>
      <c r="R9" s="18">
        <f ca="1">IF($A9="","",SUMIFS(Data!$AE$4:$AE$273,Data!$T$4:$T$273,$A9,Data!$U$4:$U$273,$B9,Data!$S$4:$S$273,$C9))</f>
        <v>0</v>
      </c>
      <c r="S9" s="18">
        <f ca="1">IF($A9="","",SUMIFS(Data!$AF$4:$AF$273,Data!$T$4:$T$273,$A9,Data!$U$4:$U$273,$B9,Data!$S$4:$S$273,$C9))</f>
        <v>0</v>
      </c>
      <c r="T9" s="18">
        <f ca="1">IF($A9="","",SUMIFS(Data!$AG$4:$AG$273,Data!$T$4:$T$273,$A9,Data!$U$4:$U$273,$B9,Data!$S$4:$S$273,$C9))</f>
        <v>0</v>
      </c>
      <c r="U9" s="18">
        <f ca="1">IF($A9="","",SUMIFS(Data!$AH$4:$AH$273,Data!$T$4:$T$273,$A9,Data!$U$4:$U$273,$B9,Data!$S$4:$S$273,$C9))</f>
        <v>0</v>
      </c>
      <c r="V9" s="18">
        <f ca="1">IF($A9="","",SUMIFS(Data!$AO$4:$AO$183,Data!$AM$4:$AM$183,$B9,Data!$AL$4:$AL$183,$A9,Data!$AK$4:$AK$183,$C9))</f>
        <v>0</v>
      </c>
      <c r="W9" s="18">
        <f ca="1">IF($A9="","",SUMIFS(Data!$AP$4:$AP$183,Data!$AM$4:$AM$183,$B9,Data!$AL$4:$AL$183,$A9,Data!$AK$4:$AK$183,$C9))</f>
        <v>0</v>
      </c>
      <c r="X9" s="18">
        <f ca="1">IF($A9="","",SUMIFS(Data!$AR$4:$AR$183,Data!$AM$4:$AM$183,$B9,Data!$AL$4:$AL$183,$A9,Data!$AK$4:$AK$183,$C9))</f>
        <v>0</v>
      </c>
      <c r="Y9" s="18">
        <f ca="1">IF($A9="","",SUMIFS(Data!$AS$4:$AS$183,Data!$AM$4:$AM$183,$B9,Data!$AL$4:$AL$183,$A9,Data!$AK$4:$AK$183,$C9))</f>
        <v>0</v>
      </c>
      <c r="Z9" s="18">
        <f ca="1">IF($A9="","",SUMIFS(Data!$AT$4:$AT$183,Data!$AM$4:$AM$183,$B9,Data!$AL$4:$AL$183,$A9,Data!$AK$4:$AK$183,$C9))</f>
        <v>0</v>
      </c>
      <c r="AA9" s="18">
        <f ca="1">IF($A9="","",SUMIFS(Data!$AW$4:$AW$183,Data!$AM$4:$AM$183,$B9,Data!$AL$4:$AL$183,$A9,Data!$AK$4:$AK$183,$C9))</f>
        <v>0</v>
      </c>
      <c r="AB9" s="18">
        <f ca="1">IF($A9="","",SUMIFS(Data!$AX$4:$AX$183,Data!$AM$4:$AM$183,$B9,Data!$AL$4:$AL$183,$A9,Data!$AK$4:$AK$183,$C9))</f>
        <v>0</v>
      </c>
      <c r="AC9" s="18">
        <f ca="1">IF($A9="","",SUMIFS(Data!$AY$4:$AY$183,Data!$AM$4:$AM$183,$B9,Data!$AL$4:$AL$183,$A9,Data!$AK$4:$AK$183,$C9))</f>
        <v>0</v>
      </c>
      <c r="AD9" s="18">
        <f t="shared" ca="1" si="1"/>
        <v>0</v>
      </c>
      <c r="AE9" s="18">
        <f ca="1">IF($A9="","",SUMIFS(Data!$AJ$4:$AJ$183,Data!$AM$4:$AM$183,$B9,Data!$AL$4:$AL$183,$A9,Data!$AK$4:$AK$183,$C9))</f>
        <v>0</v>
      </c>
    </row>
    <row r="10" spans="1:31">
      <c r="A10" s="117" t="str">
        <f ca="1">IF(Data!T10="","",Data!T10)</f>
        <v>Nick</v>
      </c>
      <c r="B10" s="18" t="str">
        <f ca="1">IF(Data!U10="","",Data!U10)</f>
        <v>Blue Toad</v>
      </c>
      <c r="C10" s="18" t="str">
        <f ca="1">IF(Data!S10="","",Data!S10)</f>
        <v>G1</v>
      </c>
      <c r="D10" s="18">
        <f ca="1">IF($A10="","",Data!W10)</f>
        <v>1</v>
      </c>
      <c r="E10" s="18">
        <f ca="1">IF($A10="","",Data!Y10)</f>
        <v>0</v>
      </c>
      <c r="F10" s="61">
        <f t="shared" ca="1" si="0"/>
        <v>0.0</v>
      </c>
      <c r="G10" s="18">
        <f ca="1">IF($A10="","",Data!AB10)</f>
        <v>0</v>
      </c>
      <c r="H10" s="18">
        <f ca="1">IF($A10="","",Data!AC10)</f>
        <v>0</v>
      </c>
      <c r="I10" s="18">
        <f ca="1">IF($A10="","",INT(SUMIFS(Data!$AN$4:$AN$183,Data!$AM$4:$AM$183,$B10,Data!$AL$4:$AL$183,$A10,Data!$AK$4:$AK$183,$C10))+MOD(ROUND(SUMIFS(Data!$AN$4:$AN$183,Data!$AM$4:$AM$183,$B10,Data!$AL$4:$AL$183,$A10,Data!$AK$4:$AK$183,$C10)*3,0),3)/10)</f>
        <v>0</v>
      </c>
      <c r="J10" s="18">
        <f ca="1">IF($A10="","",SUMIFS(Data!$AQ$4:$AQ$183,Data!$AM$4:$AM$183,$B10,Data!$AL$4:$AL$183,$A10,Data!$AK$4:$AK$183,$C10))</f>
        <v>0</v>
      </c>
      <c r="K10" s="62">
        <f ca="1">IF($A10="","",IF(SUMIFS(Data!$AN$4:$AN$183,Data!$AM$4:$AM$183,$B10,Data!$AL$4:$AL$183,$A10,Data!$AK$4:$AK$183,$C10)=0,"",J10*3/SUMIFS(Data!$AN$4:$AN$183,Data!$AM$4:$AM$183,$B10,Data!$AL$4:$AL$183,$A10,Data!$AK$4:$AK$183,$C10)))</f>
      </c>
      <c r="L10" s="18">
        <f ca="1">IF($A10="","",IF(IFERROR(_xlfn.XLOOKUP($C10,Bracket!$F$6:$F$16,Bracket!$K$6:$K$16,""),"")=$B10,1,0))</f>
        <v>0</v>
      </c>
      <c r="M10" s="18">
        <f ca="1">IF($A10="","",IF(AND(IFERROR(_xlfn.XLOOKUP($C10,Bracket!$F$6:$F$16,Bracket!$K$6:$K$16,""),"")=$B10,LEFT(IFERROR(_xlfn.XLOOKUP($C10,Bracket!$F$6:$F$16,Bracket!$G$6:$G$16,""),""),2)="CG"),1,0))</f>
        <v>0</v>
      </c>
      <c r="N10" s="18">
        <f ca="1">IF($A10="","",SUMIFS(Data!$X$4:$X$273,Data!$T$4:$T$273,$A10,Data!$U$4:$U$273,$B10,Data!$S$4:$S$273,$C10))</f>
        <v>0</v>
      </c>
      <c r="O10" s="18">
        <f ca="1">IF($A10="","",SUMIFS(Data!$Z$4:$Z$273,Data!$T$4:$T$273,$A10,Data!$U$4:$U$273,$B10,Data!$S$4:$S$273,$C10))</f>
        <v>0</v>
      </c>
      <c r="P10" s="18">
        <f ca="1">IF($A10="","",SUMIFS(Data!$AA$4:$AA$273,Data!$T$4:$T$273,$A10,Data!$U$4:$U$273,$B10,Data!$S$4:$S$273,$C10))</f>
        <v>0</v>
      </c>
      <c r="Q10" s="18">
        <f ca="1">IF($A10="","",SUMIFS(Data!$AD$4:$AD$273,Data!$T$4:$T$273,$A10,Data!$U$4:$U$273,$B10,Data!$S$4:$S$273,$C10))</f>
        <v>0</v>
      </c>
      <c r="R10" s="18">
        <f ca="1">IF($A10="","",SUMIFS(Data!$AE$4:$AE$273,Data!$T$4:$T$273,$A10,Data!$U$4:$U$273,$B10,Data!$S$4:$S$273,$C10))</f>
        <v>0</v>
      </c>
      <c r="S10" s="18">
        <f ca="1">IF($A10="","",SUMIFS(Data!$AF$4:$AF$273,Data!$T$4:$T$273,$A10,Data!$U$4:$U$273,$B10,Data!$S$4:$S$273,$C10))</f>
        <v>0</v>
      </c>
      <c r="T10" s="18">
        <f ca="1">IF($A10="","",SUMIFS(Data!$AG$4:$AG$273,Data!$T$4:$T$273,$A10,Data!$U$4:$U$273,$B10,Data!$S$4:$S$273,$C10))</f>
        <v>0</v>
      </c>
      <c r="U10" s="18">
        <f ca="1">IF($A10="","",SUMIFS(Data!$AH$4:$AH$273,Data!$T$4:$T$273,$A10,Data!$U$4:$U$273,$B10,Data!$S$4:$S$273,$C10))</f>
        <v>0</v>
      </c>
      <c r="V10" s="18">
        <f ca="1">IF($A10="","",SUMIFS(Data!$AO$4:$AO$183,Data!$AM$4:$AM$183,$B10,Data!$AL$4:$AL$183,$A10,Data!$AK$4:$AK$183,$C10))</f>
        <v>0</v>
      </c>
      <c r="W10" s="18">
        <f ca="1">IF($A10="","",SUMIFS(Data!$AP$4:$AP$183,Data!$AM$4:$AM$183,$B10,Data!$AL$4:$AL$183,$A10,Data!$AK$4:$AK$183,$C10))</f>
        <v>0</v>
      </c>
      <c r="X10" s="18">
        <f ca="1">IF($A10="","",SUMIFS(Data!$AR$4:$AR$183,Data!$AM$4:$AM$183,$B10,Data!$AL$4:$AL$183,$A10,Data!$AK$4:$AK$183,$C10))</f>
        <v>0</v>
      </c>
      <c r="Y10" s="18">
        <f ca="1">IF($A10="","",SUMIFS(Data!$AS$4:$AS$183,Data!$AM$4:$AM$183,$B10,Data!$AL$4:$AL$183,$A10,Data!$AK$4:$AK$183,$C10))</f>
        <v>0</v>
      </c>
      <c r="Z10" s="18">
        <f ca="1">IF($A10="","",SUMIFS(Data!$AT$4:$AT$183,Data!$AM$4:$AM$183,$B10,Data!$AL$4:$AL$183,$A10,Data!$AK$4:$AK$183,$C10))</f>
        <v>0</v>
      </c>
      <c r="AA10" s="18">
        <f ca="1">IF($A10="","",SUMIFS(Data!$AW$4:$AW$183,Data!$AM$4:$AM$183,$B10,Data!$AL$4:$AL$183,$A10,Data!$AK$4:$AK$183,$C10))</f>
        <v>0</v>
      </c>
      <c r="AB10" s="18">
        <f ca="1">IF($A10="","",SUMIFS(Data!$AX$4:$AX$183,Data!$AM$4:$AM$183,$B10,Data!$AL$4:$AL$183,$A10,Data!$AK$4:$AK$183,$C10))</f>
        <v>0</v>
      </c>
      <c r="AC10" s="18">
        <f ca="1">IF($A10="","",SUMIFS(Data!$AY$4:$AY$183,Data!$AM$4:$AM$183,$B10,Data!$AL$4:$AL$183,$A10,Data!$AK$4:$AK$183,$C10))</f>
        <v>0</v>
      </c>
      <c r="AD10" s="18">
        <f t="shared" ca="1" si="1"/>
        <v>0</v>
      </c>
      <c r="AE10" s="18">
        <f ca="1">IF($A10="","",SUMIFS(Data!$AJ$4:$AJ$183,Data!$AM$4:$AM$183,$B10,Data!$AL$4:$AL$183,$A10,Data!$AK$4:$AK$183,$C10))</f>
        <v>0</v>
      </c>
    </row>
    <row r="11" spans="1:31">
      <c r="A11" s="117" t="str">
        <f ca="1">IF(Data!T11="","",Data!T11)</f>
        <v>Nick</v>
      </c>
      <c r="B11" s="18" t="str">
        <f ca="1">IF(Data!U11="","",Data!U11)</f>
        <v>Toadette</v>
      </c>
      <c r="C11" s="18" t="str">
        <f ca="1">IF(Data!S11="","",Data!S11)</f>
        <v>G1</v>
      </c>
      <c r="D11" s="18">
        <f ca="1">IF($A11="","",Data!W11)</f>
        <v>1</v>
      </c>
      <c r="E11" s="18">
        <f ca="1">IF($A11="","",Data!Y11)</f>
        <v>0</v>
      </c>
      <c r="F11" s="61">
        <f t="shared" ca="1" si="0"/>
        <v>0.0</v>
      </c>
      <c r="G11" s="18">
        <f ca="1">IF($A11="","",Data!AB11)</f>
        <v>0</v>
      </c>
      <c r="H11" s="18">
        <f ca="1">IF($A11="","",Data!AC11)</f>
        <v>0</v>
      </c>
      <c r="I11" s="18">
        <f ca="1">IF($A11="","",INT(SUMIFS(Data!$AN$4:$AN$183,Data!$AM$4:$AM$183,$B11,Data!$AL$4:$AL$183,$A11,Data!$AK$4:$AK$183,$C11))+MOD(ROUND(SUMIFS(Data!$AN$4:$AN$183,Data!$AM$4:$AM$183,$B11,Data!$AL$4:$AL$183,$A11,Data!$AK$4:$AK$183,$C11)*3,0),3)/10)</f>
        <v>0</v>
      </c>
      <c r="J11" s="18">
        <f ca="1">IF($A11="","",SUMIFS(Data!$AQ$4:$AQ$183,Data!$AM$4:$AM$183,$B11,Data!$AL$4:$AL$183,$A11,Data!$AK$4:$AK$183,$C11))</f>
        <v>0</v>
      </c>
      <c r="K11" s="62">
        <f ca="1">IF($A11="","",IF(SUMIFS(Data!$AN$4:$AN$183,Data!$AM$4:$AM$183,$B11,Data!$AL$4:$AL$183,$A11,Data!$AK$4:$AK$183,$C11)=0,"",J11*3/SUMIFS(Data!$AN$4:$AN$183,Data!$AM$4:$AM$183,$B11,Data!$AL$4:$AL$183,$A11,Data!$AK$4:$AK$183,$C11)))</f>
      </c>
      <c r="L11" s="18">
        <f ca="1">IF($A11="","",IF(IFERROR(_xlfn.XLOOKUP($C11,Bracket!$F$6:$F$16,Bracket!$K$6:$K$16,""),"")=$B11,1,0))</f>
        <v>0</v>
      </c>
      <c r="M11" s="18">
        <f ca="1">IF($A11="","",IF(AND(IFERROR(_xlfn.XLOOKUP($C11,Bracket!$F$6:$F$16,Bracket!$K$6:$K$16,""),"")=$B11,LEFT(IFERROR(_xlfn.XLOOKUP($C11,Bracket!$F$6:$F$16,Bracket!$G$6:$G$16,""),""),2)="CG"),1,0))</f>
        <v>0</v>
      </c>
      <c r="N11" s="18">
        <f ca="1">IF($A11="","",SUMIFS(Data!$X$4:$X$273,Data!$T$4:$T$273,$A11,Data!$U$4:$U$273,$B11,Data!$S$4:$S$273,$C11))</f>
        <v>0</v>
      </c>
      <c r="O11" s="18">
        <f ca="1">IF($A11="","",SUMIFS(Data!$Z$4:$Z$273,Data!$T$4:$T$273,$A11,Data!$U$4:$U$273,$B11,Data!$S$4:$S$273,$C11))</f>
        <v>0</v>
      </c>
      <c r="P11" s="18">
        <f ca="1">IF($A11="","",SUMIFS(Data!$AA$4:$AA$273,Data!$T$4:$T$273,$A11,Data!$U$4:$U$273,$B11,Data!$S$4:$S$273,$C11))</f>
        <v>0</v>
      </c>
      <c r="Q11" s="18">
        <f ca="1">IF($A11="","",SUMIFS(Data!$AD$4:$AD$273,Data!$T$4:$T$273,$A11,Data!$U$4:$U$273,$B11,Data!$S$4:$S$273,$C11))</f>
        <v>0</v>
      </c>
      <c r="R11" s="18">
        <f ca="1">IF($A11="","",SUMIFS(Data!$AE$4:$AE$273,Data!$T$4:$T$273,$A11,Data!$U$4:$U$273,$B11,Data!$S$4:$S$273,$C11))</f>
        <v>0</v>
      </c>
      <c r="S11" s="18">
        <f ca="1">IF($A11="","",SUMIFS(Data!$AF$4:$AF$273,Data!$T$4:$T$273,$A11,Data!$U$4:$U$273,$B11,Data!$S$4:$S$273,$C11))</f>
        <v>0</v>
      </c>
      <c r="T11" s="18">
        <f ca="1">IF($A11="","",SUMIFS(Data!$AG$4:$AG$273,Data!$T$4:$T$273,$A11,Data!$U$4:$U$273,$B11,Data!$S$4:$S$273,$C11))</f>
        <v>0</v>
      </c>
      <c r="U11" s="18">
        <f ca="1">IF($A11="","",SUMIFS(Data!$AH$4:$AH$273,Data!$T$4:$T$273,$A11,Data!$U$4:$U$273,$B11,Data!$S$4:$S$273,$C11))</f>
        <v>0</v>
      </c>
      <c r="V11" s="18">
        <f ca="1">IF($A11="","",SUMIFS(Data!$AO$4:$AO$183,Data!$AM$4:$AM$183,$B11,Data!$AL$4:$AL$183,$A11,Data!$AK$4:$AK$183,$C11))</f>
        <v>0</v>
      </c>
      <c r="W11" s="18">
        <f ca="1">IF($A11="","",SUMIFS(Data!$AP$4:$AP$183,Data!$AM$4:$AM$183,$B11,Data!$AL$4:$AL$183,$A11,Data!$AK$4:$AK$183,$C11))</f>
        <v>0</v>
      </c>
      <c r="X11" s="18">
        <f ca="1">IF($A11="","",SUMIFS(Data!$AR$4:$AR$183,Data!$AM$4:$AM$183,$B11,Data!$AL$4:$AL$183,$A11,Data!$AK$4:$AK$183,$C11))</f>
        <v>0</v>
      </c>
      <c r="Y11" s="18">
        <f ca="1">IF($A11="","",SUMIFS(Data!$AS$4:$AS$183,Data!$AM$4:$AM$183,$B11,Data!$AL$4:$AL$183,$A11,Data!$AK$4:$AK$183,$C11))</f>
        <v>0</v>
      </c>
      <c r="Z11" s="18">
        <f ca="1">IF($A11="","",SUMIFS(Data!$AT$4:$AT$183,Data!$AM$4:$AM$183,$B11,Data!$AL$4:$AL$183,$A11,Data!$AK$4:$AK$183,$C11))</f>
        <v>0</v>
      </c>
      <c r="AA11" s="18">
        <f ca="1">IF($A11="","",SUMIFS(Data!$AW$4:$AW$183,Data!$AM$4:$AM$183,$B11,Data!$AL$4:$AL$183,$A11,Data!$AK$4:$AK$183,$C11))</f>
        <v>0</v>
      </c>
      <c r="AB11" s="18">
        <f ca="1">IF($A11="","",SUMIFS(Data!$AX$4:$AX$183,Data!$AM$4:$AM$183,$B11,Data!$AL$4:$AL$183,$A11,Data!$AK$4:$AK$183,$C11))</f>
        <v>0</v>
      </c>
      <c r="AC11" s="18">
        <f ca="1">IF($A11="","",SUMIFS(Data!$AY$4:$AY$183,Data!$AM$4:$AM$183,$B11,Data!$AL$4:$AL$183,$A11,Data!$AK$4:$AK$183,$C11))</f>
        <v>0</v>
      </c>
      <c r="AD11" s="18">
        <f t="shared" ca="1" si="1"/>
        <v>0</v>
      </c>
      <c r="AE11" s="18">
        <f ca="1">IF($A11="","",SUMIFS(Data!$AJ$4:$AJ$183,Data!$AM$4:$AM$183,$B11,Data!$AL$4:$AL$183,$A11,Data!$AK$4:$AK$183,$C11))</f>
        <v>0</v>
      </c>
    </row>
    <row r="12" spans="1:31">
      <c r="A12" s="117" t="str">
        <f ca="1">IF(Data!T12="","",Data!T12)</f>
        <v>Nick</v>
      </c>
      <c r="B12" s="18" t="str">
        <f ca="1">IF(Data!U12="","",Data!U12)</f>
        <v>Wiggler</v>
      </c>
      <c r="C12" s="18" t="str">
        <f ca="1">IF(Data!S12="","",Data!S12)</f>
        <v>G1</v>
      </c>
      <c r="D12" s="18">
        <f ca="1">IF($A12="","",Data!W12)</f>
        <v>1</v>
      </c>
      <c r="E12" s="18">
        <f ca="1">IF($A12="","",Data!Y12)</f>
        <v>0</v>
      </c>
      <c r="F12" s="61">
        <f t="shared" ca="1" si="0"/>
        <v>0.0</v>
      </c>
      <c r="G12" s="18">
        <f ca="1">IF($A12="","",Data!AB12)</f>
        <v>0</v>
      </c>
      <c r="H12" s="18">
        <f ca="1">IF($A12="","",Data!AC12)</f>
        <v>0</v>
      </c>
      <c r="I12" s="18">
        <f ca="1">IF($A12="","",INT(SUMIFS(Data!$AN$4:$AN$183,Data!$AM$4:$AM$183,$B12,Data!$AL$4:$AL$183,$A12,Data!$AK$4:$AK$183,$C12))+MOD(ROUND(SUMIFS(Data!$AN$4:$AN$183,Data!$AM$4:$AM$183,$B12,Data!$AL$4:$AL$183,$A12,Data!$AK$4:$AK$183,$C12)*3,0),3)/10)</f>
        <v>0</v>
      </c>
      <c r="J12" s="18">
        <f ca="1">IF($A12="","",SUMIFS(Data!$AQ$4:$AQ$183,Data!$AM$4:$AM$183,$B12,Data!$AL$4:$AL$183,$A12,Data!$AK$4:$AK$183,$C12))</f>
        <v>0</v>
      </c>
      <c r="K12" s="62">
        <f ca="1">IF($A12="","",IF(SUMIFS(Data!$AN$4:$AN$183,Data!$AM$4:$AM$183,$B12,Data!$AL$4:$AL$183,$A12,Data!$AK$4:$AK$183,$C12)=0,"",J12*3/SUMIFS(Data!$AN$4:$AN$183,Data!$AM$4:$AM$183,$B12,Data!$AL$4:$AL$183,$A12,Data!$AK$4:$AK$183,$C12)))</f>
      </c>
      <c r="L12" s="18">
        <f ca="1">IF($A12="","",IF(IFERROR(_xlfn.XLOOKUP($C12,Bracket!$F$6:$F$16,Bracket!$K$6:$K$16,""),"")=$B12,1,0))</f>
        <v>0</v>
      </c>
      <c r="M12" s="18">
        <f ca="1">IF($A12="","",IF(AND(IFERROR(_xlfn.XLOOKUP($C12,Bracket!$F$6:$F$16,Bracket!$K$6:$K$16,""),"")=$B12,LEFT(IFERROR(_xlfn.XLOOKUP($C12,Bracket!$F$6:$F$16,Bracket!$G$6:$G$16,""),""),2)="CG"),1,0))</f>
        <v>0</v>
      </c>
      <c r="N12" s="18">
        <f ca="1">IF($A12="","",SUMIFS(Data!$X$4:$X$273,Data!$T$4:$T$273,$A12,Data!$U$4:$U$273,$B12,Data!$S$4:$S$273,$C12))</f>
        <v>0</v>
      </c>
      <c r="O12" s="18">
        <f ca="1">IF($A12="","",SUMIFS(Data!$Z$4:$Z$273,Data!$T$4:$T$273,$A12,Data!$U$4:$U$273,$B12,Data!$S$4:$S$273,$C12))</f>
        <v>0</v>
      </c>
      <c r="P12" s="18">
        <f ca="1">IF($A12="","",SUMIFS(Data!$AA$4:$AA$273,Data!$T$4:$T$273,$A12,Data!$U$4:$U$273,$B12,Data!$S$4:$S$273,$C12))</f>
        <v>0</v>
      </c>
      <c r="Q12" s="18">
        <f ca="1">IF($A12="","",SUMIFS(Data!$AD$4:$AD$273,Data!$T$4:$T$273,$A12,Data!$U$4:$U$273,$B12,Data!$S$4:$S$273,$C12))</f>
        <v>0</v>
      </c>
      <c r="R12" s="18">
        <f ca="1">IF($A12="","",SUMIFS(Data!$AE$4:$AE$273,Data!$T$4:$T$273,$A12,Data!$U$4:$U$273,$B12,Data!$S$4:$S$273,$C12))</f>
        <v>0</v>
      </c>
      <c r="S12" s="18">
        <f ca="1">IF($A12="","",SUMIFS(Data!$AF$4:$AF$273,Data!$T$4:$T$273,$A12,Data!$U$4:$U$273,$B12,Data!$S$4:$S$273,$C12))</f>
        <v>0</v>
      </c>
      <c r="T12" s="18">
        <f ca="1">IF($A12="","",SUMIFS(Data!$AG$4:$AG$273,Data!$T$4:$T$273,$A12,Data!$U$4:$U$273,$B12,Data!$S$4:$S$273,$C12))</f>
        <v>0</v>
      </c>
      <c r="U12" s="18">
        <f ca="1">IF($A12="","",SUMIFS(Data!$AH$4:$AH$273,Data!$T$4:$T$273,$A12,Data!$U$4:$U$273,$B12,Data!$S$4:$S$273,$C12))</f>
        <v>0</v>
      </c>
      <c r="V12" s="18">
        <f ca="1">IF($A12="","",SUMIFS(Data!$AO$4:$AO$183,Data!$AM$4:$AM$183,$B12,Data!$AL$4:$AL$183,$A12,Data!$AK$4:$AK$183,$C12))</f>
        <v>0</v>
      </c>
      <c r="W12" s="18">
        <f ca="1">IF($A12="","",SUMIFS(Data!$AP$4:$AP$183,Data!$AM$4:$AM$183,$B12,Data!$AL$4:$AL$183,$A12,Data!$AK$4:$AK$183,$C12))</f>
        <v>0</v>
      </c>
      <c r="X12" s="18">
        <f ca="1">IF($A12="","",SUMIFS(Data!$AR$4:$AR$183,Data!$AM$4:$AM$183,$B12,Data!$AL$4:$AL$183,$A12,Data!$AK$4:$AK$183,$C12))</f>
        <v>0</v>
      </c>
      <c r="Y12" s="18">
        <f ca="1">IF($A12="","",SUMIFS(Data!$AS$4:$AS$183,Data!$AM$4:$AM$183,$B12,Data!$AL$4:$AL$183,$A12,Data!$AK$4:$AK$183,$C12))</f>
        <v>0</v>
      </c>
      <c r="Z12" s="18">
        <f ca="1">IF($A12="","",SUMIFS(Data!$AT$4:$AT$183,Data!$AM$4:$AM$183,$B12,Data!$AL$4:$AL$183,$A12,Data!$AK$4:$AK$183,$C12))</f>
        <v>0</v>
      </c>
      <c r="AA12" s="18">
        <f ca="1">IF($A12="","",SUMIFS(Data!$AW$4:$AW$183,Data!$AM$4:$AM$183,$B12,Data!$AL$4:$AL$183,$A12,Data!$AK$4:$AK$183,$C12))</f>
        <v>0</v>
      </c>
      <c r="AB12" s="18">
        <f ca="1">IF($A12="","",SUMIFS(Data!$AX$4:$AX$183,Data!$AM$4:$AM$183,$B12,Data!$AL$4:$AL$183,$A12,Data!$AK$4:$AK$183,$C12))</f>
        <v>0</v>
      </c>
      <c r="AC12" s="18">
        <f ca="1">IF($A12="","",SUMIFS(Data!$AY$4:$AY$183,Data!$AM$4:$AM$183,$B12,Data!$AL$4:$AL$183,$A12,Data!$AK$4:$AK$183,$C12))</f>
        <v>0</v>
      </c>
      <c r="AD12" s="18">
        <f t="shared" ca="1" si="1"/>
        <v>0</v>
      </c>
      <c r="AE12" s="18">
        <f ca="1">IF($A12="","",SUMIFS(Data!$AJ$4:$AJ$183,Data!$AM$4:$AM$183,$B12,Data!$AL$4:$AL$183,$A12,Data!$AK$4:$AK$183,$C12))</f>
        <v>0</v>
      </c>
    </row>
    <row r="13" spans="1:31">
      <c r="A13" s="118" t="str">
        <f ca="1">IF(Data!T13="","",Data!T13)</f>
        <v>Donovan</v>
      </c>
      <c r="B13" s="18" t="str">
        <f ca="1">IF(Data!U13="","",Data!U13)</f>
        <v>Donkey Kong</v>
      </c>
      <c r="C13" s="18" t="str">
        <f ca="1">IF(Data!S13="","",Data!S13)</f>
        <v>G1</v>
      </c>
      <c r="D13" s="18">
        <f ca="1">IF($A13="","",Data!W13)</f>
        <v>1</v>
      </c>
      <c r="E13" s="18">
        <f ca="1">IF($A13="","",Data!Y13)</f>
        <v>0</v>
      </c>
      <c r="F13" s="61">
        <f t="shared" ca="1" si="0"/>
        <v>0.0</v>
      </c>
      <c r="G13" s="18">
        <f ca="1">IF($A13="","",Data!AB13)</f>
        <v>0</v>
      </c>
      <c r="H13" s="18">
        <f ca="1">IF($A13="","",Data!AC13)</f>
        <v>0</v>
      </c>
      <c r="I13" s="18">
        <f ca="1">IF($A13="","",INT(SUMIFS(Data!$AN$4:$AN$183,Data!$AM$4:$AM$183,$B13,Data!$AL$4:$AL$183,$A13,Data!$AK$4:$AK$183,$C13))+MOD(ROUND(SUMIFS(Data!$AN$4:$AN$183,Data!$AM$4:$AM$183,$B13,Data!$AL$4:$AL$183,$A13,Data!$AK$4:$AK$183,$C13)*3,0),3)/10)</f>
        <v>0</v>
      </c>
      <c r="J13" s="18">
        <f ca="1">IF($A13="","",SUMIFS(Data!$AQ$4:$AQ$183,Data!$AM$4:$AM$183,$B13,Data!$AL$4:$AL$183,$A13,Data!$AK$4:$AK$183,$C13))</f>
        <v>0</v>
      </c>
      <c r="K13" s="62">
        <f ca="1">IF($A13="","",IF(SUMIFS(Data!$AN$4:$AN$183,Data!$AM$4:$AM$183,$B13,Data!$AL$4:$AL$183,$A13,Data!$AK$4:$AK$183,$C13)=0,"",J13*3/SUMIFS(Data!$AN$4:$AN$183,Data!$AM$4:$AM$183,$B13,Data!$AL$4:$AL$183,$A13,Data!$AK$4:$AK$183,$C13)))</f>
      </c>
      <c r="L13" s="18">
        <f ca="1">IF($A13="","",IF(IFERROR(_xlfn.XLOOKUP($C13,Bracket!$F$6:$F$16,Bracket!$K$6:$K$16,""),"")=$B13,1,0))</f>
        <v>0</v>
      </c>
      <c r="M13" s="18">
        <f ca="1">IF($A13="","",IF(AND(IFERROR(_xlfn.XLOOKUP($C13,Bracket!$F$6:$F$16,Bracket!$K$6:$K$16,""),"")=$B13,LEFT(IFERROR(_xlfn.XLOOKUP($C13,Bracket!$F$6:$F$16,Bracket!$G$6:$G$16,""),""),2)="CG"),1,0))</f>
        <v>0</v>
      </c>
      <c r="N13" s="18">
        <f ca="1">IF($A13="","",SUMIFS(Data!$X$4:$X$273,Data!$T$4:$T$273,$A13,Data!$U$4:$U$273,$B13,Data!$S$4:$S$273,$C13))</f>
        <v>0</v>
      </c>
      <c r="O13" s="18">
        <f ca="1">IF($A13="","",SUMIFS(Data!$Z$4:$Z$273,Data!$T$4:$T$273,$A13,Data!$U$4:$U$273,$B13,Data!$S$4:$S$273,$C13))</f>
        <v>0</v>
      </c>
      <c r="P13" s="18">
        <f ca="1">IF($A13="","",SUMIFS(Data!$AA$4:$AA$273,Data!$T$4:$T$273,$A13,Data!$U$4:$U$273,$B13,Data!$S$4:$S$273,$C13))</f>
        <v>0</v>
      </c>
      <c r="Q13" s="18">
        <f ca="1">IF($A13="","",SUMIFS(Data!$AD$4:$AD$273,Data!$T$4:$T$273,$A13,Data!$U$4:$U$273,$B13,Data!$S$4:$S$273,$C13))</f>
        <v>0</v>
      </c>
      <c r="R13" s="18">
        <f ca="1">IF($A13="","",SUMIFS(Data!$AE$4:$AE$273,Data!$T$4:$T$273,$A13,Data!$U$4:$U$273,$B13,Data!$S$4:$S$273,$C13))</f>
        <v>0</v>
      </c>
      <c r="S13" s="18">
        <f ca="1">IF($A13="","",SUMIFS(Data!$AF$4:$AF$273,Data!$T$4:$T$273,$A13,Data!$U$4:$U$273,$B13,Data!$S$4:$S$273,$C13))</f>
        <v>0</v>
      </c>
      <c r="T13" s="18">
        <f ca="1">IF($A13="","",SUMIFS(Data!$AG$4:$AG$273,Data!$T$4:$T$273,$A13,Data!$U$4:$U$273,$B13,Data!$S$4:$S$273,$C13))</f>
        <v>0</v>
      </c>
      <c r="U13" s="18">
        <f ca="1">IF($A13="","",SUMIFS(Data!$AH$4:$AH$273,Data!$T$4:$T$273,$A13,Data!$U$4:$U$273,$B13,Data!$S$4:$S$273,$C13))</f>
        <v>0</v>
      </c>
      <c r="V13" s="18">
        <f ca="1">IF($A13="","",SUMIFS(Data!$AO$4:$AO$183,Data!$AM$4:$AM$183,$B13,Data!$AL$4:$AL$183,$A13,Data!$AK$4:$AK$183,$C13))</f>
        <v>0</v>
      </c>
      <c r="W13" s="18">
        <f ca="1">IF($A13="","",SUMIFS(Data!$AP$4:$AP$183,Data!$AM$4:$AM$183,$B13,Data!$AL$4:$AL$183,$A13,Data!$AK$4:$AK$183,$C13))</f>
        <v>0</v>
      </c>
      <c r="X13" s="18">
        <f ca="1">IF($A13="","",SUMIFS(Data!$AR$4:$AR$183,Data!$AM$4:$AM$183,$B13,Data!$AL$4:$AL$183,$A13,Data!$AK$4:$AK$183,$C13))</f>
        <v>0</v>
      </c>
      <c r="Y13" s="18">
        <f ca="1">IF($A13="","",SUMIFS(Data!$AS$4:$AS$183,Data!$AM$4:$AM$183,$B13,Data!$AL$4:$AL$183,$A13,Data!$AK$4:$AK$183,$C13))</f>
        <v>0</v>
      </c>
      <c r="Z13" s="18">
        <f ca="1">IF($A13="","",SUMIFS(Data!$AT$4:$AT$183,Data!$AM$4:$AM$183,$B13,Data!$AL$4:$AL$183,$A13,Data!$AK$4:$AK$183,$C13))</f>
        <v>0</v>
      </c>
      <c r="AA13" s="18">
        <f ca="1">IF($A13="","",SUMIFS(Data!$AW$4:$AW$183,Data!$AM$4:$AM$183,$B13,Data!$AL$4:$AL$183,$A13,Data!$AK$4:$AK$183,$C13))</f>
        <v>0</v>
      </c>
      <c r="AB13" s="18">
        <f ca="1">IF($A13="","",SUMIFS(Data!$AX$4:$AX$183,Data!$AM$4:$AM$183,$B13,Data!$AL$4:$AL$183,$A13,Data!$AK$4:$AK$183,$C13))</f>
        <v>0</v>
      </c>
      <c r="AC13" s="18">
        <f ca="1">IF($A13="","",SUMIFS(Data!$AY$4:$AY$183,Data!$AM$4:$AM$183,$B13,Data!$AL$4:$AL$183,$A13,Data!$AK$4:$AK$183,$C13))</f>
        <v>0</v>
      </c>
      <c r="AD13" s="18">
        <f t="shared" ca="1" si="1"/>
        <v>0</v>
      </c>
      <c r="AE13" s="18">
        <f ca="1">IF($A13="","",SUMIFS(Data!$AJ$4:$AJ$183,Data!$AM$4:$AM$183,$B13,Data!$AL$4:$AL$183,$A13,Data!$AK$4:$AK$183,$C13))</f>
        <v>0</v>
      </c>
    </row>
    <row r="14" spans="1:31">
      <c r="A14" s="118" t="str">
        <f ca="1">IF(Data!T14="","",Data!T14)</f>
        <v>Donovan</v>
      </c>
      <c r="B14" s="18" t="str">
        <f ca="1">IF(Data!U14="","",Data!U14)</f>
        <v>Waluigi</v>
      </c>
      <c r="C14" s="18" t="str">
        <f ca="1">IF(Data!S14="","",Data!S14)</f>
        <v>G1</v>
      </c>
      <c r="D14" s="18">
        <f ca="1">IF($A14="","",Data!W14)</f>
        <v>1</v>
      </c>
      <c r="E14" s="18">
        <f ca="1">IF($A14="","",Data!Y14)</f>
        <v>0</v>
      </c>
      <c r="F14" s="61">
        <f t="shared" ca="1" si="0"/>
        <v>0.0</v>
      </c>
      <c r="G14" s="18">
        <f ca="1">IF($A14="","",Data!AB14)</f>
        <v>0</v>
      </c>
      <c r="H14" s="18">
        <f ca="1">IF($A14="","",Data!AC14)</f>
        <v>0</v>
      </c>
      <c r="I14" s="18">
        <f ca="1">IF($A14="","",INT(SUMIFS(Data!$AN$4:$AN$183,Data!$AM$4:$AM$183,$B14,Data!$AL$4:$AL$183,$A14,Data!$AK$4:$AK$183,$C14))+MOD(ROUND(SUMIFS(Data!$AN$4:$AN$183,Data!$AM$4:$AM$183,$B14,Data!$AL$4:$AL$183,$A14,Data!$AK$4:$AK$183,$C14)*3,0),3)/10)</f>
        <v>3</v>
      </c>
      <c r="J14" s="18">
        <f ca="1">IF($A14="","",SUMIFS(Data!$AQ$4:$AQ$183,Data!$AM$4:$AM$183,$B14,Data!$AL$4:$AL$183,$A14,Data!$AK$4:$AK$183,$C14))</f>
        <v>4</v>
      </c>
      <c r="K14" s="62">
        <f ca="1">IF($A14="","",IF(SUMIFS(Data!$AN$4:$AN$183,Data!$AM$4:$AM$183,$B14,Data!$AL$4:$AL$183,$A14,Data!$AK$4:$AK$183,$C14)=0,"",J14*3/SUMIFS(Data!$AN$4:$AN$183,Data!$AM$4:$AM$183,$B14,Data!$AL$4:$AL$183,$A14,Data!$AK$4:$AK$183,$C14)))</f>
        <v>4.0</v>
      </c>
      <c r="L14" s="18">
        <f ca="1">IF($A14="","",IF(IFERROR(_xlfn.XLOOKUP($C14,Bracket!$F$6:$F$16,Bracket!$K$6:$K$16,""),"")=$B14,1,0))</f>
        <v>0</v>
      </c>
      <c r="M14" s="18">
        <f ca="1">IF($A14="","",IF(AND(IFERROR(_xlfn.XLOOKUP($C14,Bracket!$F$6:$F$16,Bracket!$K$6:$K$16,""),"")=$B14,LEFT(IFERROR(_xlfn.XLOOKUP($C14,Bracket!$F$6:$F$16,Bracket!$G$6:$G$16,""),""),2)="CG"),1,0))</f>
        <v>0</v>
      </c>
      <c r="N14" s="18">
        <f ca="1">IF($A14="","",SUMIFS(Data!$X$4:$X$273,Data!$T$4:$T$273,$A14,Data!$U$4:$U$273,$B14,Data!$S$4:$S$273,$C14))</f>
        <v>0</v>
      </c>
      <c r="O14" s="18">
        <f ca="1">IF($A14="","",SUMIFS(Data!$Z$4:$Z$273,Data!$T$4:$T$273,$A14,Data!$U$4:$U$273,$B14,Data!$S$4:$S$273,$C14))</f>
        <v>0</v>
      </c>
      <c r="P14" s="18">
        <f ca="1">IF($A14="","",SUMIFS(Data!$AA$4:$AA$273,Data!$T$4:$T$273,$A14,Data!$U$4:$U$273,$B14,Data!$S$4:$S$273,$C14))</f>
        <v>0</v>
      </c>
      <c r="Q14" s="18">
        <f ca="1">IF($A14="","",SUMIFS(Data!$AD$4:$AD$273,Data!$T$4:$T$273,$A14,Data!$U$4:$U$273,$B14,Data!$S$4:$S$273,$C14))</f>
        <v>0</v>
      </c>
      <c r="R14" s="18">
        <f ca="1">IF($A14="","",SUMIFS(Data!$AE$4:$AE$273,Data!$T$4:$T$273,$A14,Data!$U$4:$U$273,$B14,Data!$S$4:$S$273,$C14))</f>
        <v>0</v>
      </c>
      <c r="S14" s="18">
        <f ca="1">IF($A14="","",SUMIFS(Data!$AF$4:$AF$273,Data!$T$4:$T$273,$A14,Data!$U$4:$U$273,$B14,Data!$S$4:$S$273,$C14))</f>
        <v>0</v>
      </c>
      <c r="T14" s="18">
        <f ca="1">IF($A14="","",SUMIFS(Data!$AG$4:$AG$273,Data!$T$4:$T$273,$A14,Data!$U$4:$U$273,$B14,Data!$S$4:$S$273,$C14))</f>
        <v>0</v>
      </c>
      <c r="U14" s="18">
        <f ca="1">IF($A14="","",SUMIFS(Data!$AH$4:$AH$273,Data!$T$4:$T$273,$A14,Data!$U$4:$U$273,$B14,Data!$S$4:$S$273,$C14))</f>
        <v>0</v>
      </c>
      <c r="V14" s="18">
        <f ca="1">IF($A14="","",SUMIFS(Data!$AO$4:$AO$183,Data!$AM$4:$AM$183,$B14,Data!$AL$4:$AL$183,$A14,Data!$AK$4:$AK$183,$C14))</f>
        <v>5</v>
      </c>
      <c r="W14" s="18">
        <f ca="1">IF($A14="","",SUMIFS(Data!$AP$4:$AP$183,Data!$AM$4:$AM$183,$B14,Data!$AL$4:$AL$183,$A14,Data!$AK$4:$AK$183,$C14))</f>
        <v>4</v>
      </c>
      <c r="X14" s="18">
        <f ca="1">IF($A14="","",SUMIFS(Data!$AR$4:$AR$183,Data!$AM$4:$AM$183,$B14,Data!$AL$4:$AL$183,$A14,Data!$AK$4:$AK$183,$C14))</f>
        <v>0</v>
      </c>
      <c r="Y14" s="18">
        <f ca="1">IF($A14="","",SUMIFS(Data!$AS$4:$AS$183,Data!$AM$4:$AM$183,$B14,Data!$AL$4:$AL$183,$A14,Data!$AK$4:$AK$183,$C14))</f>
        <v>2</v>
      </c>
      <c r="Z14" s="18">
        <f ca="1">IF($A14="","",SUMIFS(Data!$AT$4:$AT$183,Data!$AM$4:$AM$183,$B14,Data!$AL$4:$AL$183,$A14,Data!$AK$4:$AK$183,$C14))</f>
        <v>1</v>
      </c>
      <c r="AA14" s="18">
        <f ca="1">IF($A14="","",SUMIFS(Data!$AW$4:$AW$183,Data!$AM$4:$AM$183,$B14,Data!$AL$4:$AL$183,$A14,Data!$AK$4:$AK$183,$C14))</f>
        <v>0</v>
      </c>
      <c r="AB14" s="18">
        <f ca="1">IF($A14="","",SUMIFS(Data!$AX$4:$AX$183,Data!$AM$4:$AM$183,$B14,Data!$AL$4:$AL$183,$A14,Data!$AK$4:$AK$183,$C14))</f>
        <v>0</v>
      </c>
      <c r="AC14" s="18">
        <f ca="1">IF($A14="","",SUMIFS(Data!$AY$4:$AY$183,Data!$AM$4:$AM$183,$B14,Data!$AL$4:$AL$183,$A14,Data!$AK$4:$AK$183,$C14))</f>
        <v>1</v>
      </c>
      <c r="AD14" s="18">
        <f t="shared" ca="1" si="1"/>
        <v>1.6666666666666667</v>
      </c>
      <c r="AE14" s="18">
        <f ca="1">IF($A14="","",SUMIFS(Data!$AJ$4:$AJ$183,Data!$AM$4:$AM$183,$B14,Data!$AL$4:$AL$183,$A14,Data!$AK$4:$AK$183,$C14))</f>
        <v>14</v>
      </c>
    </row>
    <row r="15" spans="1:31">
      <c r="A15" s="118" t="str">
        <f ca="1">IF(Data!T15="","",Data!T15)</f>
        <v>Donovan</v>
      </c>
      <c r="B15" s="18" t="str">
        <f ca="1">IF(Data!U15="","",Data!U15)</f>
        <v>Dry Bones</v>
      </c>
      <c r="C15" s="18" t="str">
        <f ca="1">IF(Data!S15="","",Data!S15)</f>
        <v>G1</v>
      </c>
      <c r="D15" s="18">
        <f ca="1">IF($A15="","",Data!W15)</f>
        <v>1</v>
      </c>
      <c r="E15" s="18">
        <f ca="1">IF($A15="","",Data!Y15)</f>
        <v>0</v>
      </c>
      <c r="F15" s="61">
        <f t="shared" ca="1" si="0"/>
        <v>0.0</v>
      </c>
      <c r="G15" s="18">
        <f ca="1">IF($A15="","",Data!AB15)</f>
        <v>0</v>
      </c>
      <c r="H15" s="18">
        <f ca="1">IF($A15="","",Data!AC15)</f>
        <v>0</v>
      </c>
      <c r="I15" s="18">
        <f ca="1">IF($A15="","",INT(SUMIFS(Data!$AN$4:$AN$183,Data!$AM$4:$AM$183,$B15,Data!$AL$4:$AL$183,$A15,Data!$AK$4:$AK$183,$C15))+MOD(ROUND(SUMIFS(Data!$AN$4:$AN$183,Data!$AM$4:$AM$183,$B15,Data!$AL$4:$AL$183,$A15,Data!$AK$4:$AK$183,$C15)*3,0),3)/10)</f>
        <v>0</v>
      </c>
      <c r="J15" s="18">
        <f ca="1">IF($A15="","",SUMIFS(Data!$AQ$4:$AQ$183,Data!$AM$4:$AM$183,$B15,Data!$AL$4:$AL$183,$A15,Data!$AK$4:$AK$183,$C15))</f>
        <v>0</v>
      </c>
      <c r="K15" s="62">
        <f ca="1">IF($A15="","",IF(SUMIFS(Data!$AN$4:$AN$183,Data!$AM$4:$AM$183,$B15,Data!$AL$4:$AL$183,$A15,Data!$AK$4:$AK$183,$C15)=0,"",J15*3/SUMIFS(Data!$AN$4:$AN$183,Data!$AM$4:$AM$183,$B15,Data!$AL$4:$AL$183,$A15,Data!$AK$4:$AK$183,$C15)))</f>
      </c>
      <c r="L15" s="18">
        <f ca="1">IF($A15="","",IF(IFERROR(_xlfn.XLOOKUP($C15,Bracket!$F$6:$F$16,Bracket!$K$6:$K$16,""),"")=$B15,1,0))</f>
        <v>0</v>
      </c>
      <c r="M15" s="18">
        <f ca="1">IF($A15="","",IF(AND(IFERROR(_xlfn.XLOOKUP($C15,Bracket!$F$6:$F$16,Bracket!$K$6:$K$16,""),"")=$B15,LEFT(IFERROR(_xlfn.XLOOKUP($C15,Bracket!$F$6:$F$16,Bracket!$G$6:$G$16,""),""),2)="CG"),1,0))</f>
        <v>0</v>
      </c>
      <c r="N15" s="18">
        <f ca="1">IF($A15="","",SUMIFS(Data!$X$4:$X$273,Data!$T$4:$T$273,$A15,Data!$U$4:$U$273,$B15,Data!$S$4:$S$273,$C15))</f>
        <v>0</v>
      </c>
      <c r="O15" s="18">
        <f ca="1">IF($A15="","",SUMIFS(Data!$Z$4:$Z$273,Data!$T$4:$T$273,$A15,Data!$U$4:$U$273,$B15,Data!$S$4:$S$273,$C15))</f>
        <v>0</v>
      </c>
      <c r="P15" s="18">
        <f ca="1">IF($A15="","",SUMIFS(Data!$AA$4:$AA$273,Data!$T$4:$T$273,$A15,Data!$U$4:$U$273,$B15,Data!$S$4:$S$273,$C15))</f>
        <v>0</v>
      </c>
      <c r="Q15" s="18">
        <f ca="1">IF($A15="","",SUMIFS(Data!$AD$4:$AD$273,Data!$T$4:$T$273,$A15,Data!$U$4:$U$273,$B15,Data!$S$4:$S$273,$C15))</f>
        <v>0</v>
      </c>
      <c r="R15" s="18">
        <f ca="1">IF($A15="","",SUMIFS(Data!$AE$4:$AE$273,Data!$T$4:$T$273,$A15,Data!$U$4:$U$273,$B15,Data!$S$4:$S$273,$C15))</f>
        <v>1</v>
      </c>
      <c r="S15" s="18">
        <f ca="1">IF($A15="","",SUMIFS(Data!$AF$4:$AF$273,Data!$T$4:$T$273,$A15,Data!$U$4:$U$273,$B15,Data!$S$4:$S$273,$C15))</f>
        <v>0</v>
      </c>
      <c r="T15" s="18">
        <f ca="1">IF($A15="","",SUMIFS(Data!$AG$4:$AG$273,Data!$T$4:$T$273,$A15,Data!$U$4:$U$273,$B15,Data!$S$4:$S$273,$C15))</f>
        <v>0</v>
      </c>
      <c r="U15" s="18">
        <f ca="1">IF($A15="","",SUMIFS(Data!$AH$4:$AH$273,Data!$T$4:$T$273,$A15,Data!$U$4:$U$273,$B15,Data!$S$4:$S$273,$C15))</f>
        <v>0</v>
      </c>
      <c r="V15" s="18">
        <f ca="1">IF($A15="","",SUMIFS(Data!$AO$4:$AO$183,Data!$AM$4:$AM$183,$B15,Data!$AL$4:$AL$183,$A15,Data!$AK$4:$AK$183,$C15))</f>
        <v>0</v>
      </c>
      <c r="W15" s="18">
        <f ca="1">IF($A15="","",SUMIFS(Data!$AP$4:$AP$183,Data!$AM$4:$AM$183,$B15,Data!$AL$4:$AL$183,$A15,Data!$AK$4:$AK$183,$C15))</f>
        <v>0</v>
      </c>
      <c r="X15" s="18">
        <f ca="1">IF($A15="","",SUMIFS(Data!$AR$4:$AR$183,Data!$AM$4:$AM$183,$B15,Data!$AL$4:$AL$183,$A15,Data!$AK$4:$AK$183,$C15))</f>
        <v>0</v>
      </c>
      <c r="Y15" s="18">
        <f ca="1">IF($A15="","",SUMIFS(Data!$AS$4:$AS$183,Data!$AM$4:$AM$183,$B15,Data!$AL$4:$AL$183,$A15,Data!$AK$4:$AK$183,$C15))</f>
        <v>0</v>
      </c>
      <c r="Z15" s="18">
        <f ca="1">IF($A15="","",SUMIFS(Data!$AT$4:$AT$183,Data!$AM$4:$AM$183,$B15,Data!$AL$4:$AL$183,$A15,Data!$AK$4:$AK$183,$C15))</f>
        <v>0</v>
      </c>
      <c r="AA15" s="18">
        <f ca="1">IF($A15="","",SUMIFS(Data!$AW$4:$AW$183,Data!$AM$4:$AM$183,$B15,Data!$AL$4:$AL$183,$A15,Data!$AK$4:$AK$183,$C15))</f>
        <v>0</v>
      </c>
      <c r="AB15" s="18">
        <f ca="1">IF($A15="","",SUMIFS(Data!$AX$4:$AX$183,Data!$AM$4:$AM$183,$B15,Data!$AL$4:$AL$183,$A15,Data!$AK$4:$AK$183,$C15))</f>
        <v>0</v>
      </c>
      <c r="AC15" s="18">
        <f ca="1">IF($A15="","",SUMIFS(Data!$AY$4:$AY$183,Data!$AM$4:$AM$183,$B15,Data!$AL$4:$AL$183,$A15,Data!$AK$4:$AK$183,$C15))</f>
        <v>0</v>
      </c>
      <c r="AD15" s="18">
        <f t="shared" ca="1" si="1"/>
        <v>0</v>
      </c>
      <c r="AE15" s="18">
        <f ca="1">IF($A15="","",SUMIFS(Data!$AJ$4:$AJ$183,Data!$AM$4:$AM$183,$B15,Data!$AL$4:$AL$183,$A15,Data!$AK$4:$AK$183,$C15))</f>
        <v>0</v>
      </c>
    </row>
    <row r="16" spans="1:31">
      <c r="A16" s="118" t="str">
        <f ca="1">IF(Data!T16="","",Data!T16)</f>
        <v>Donovan</v>
      </c>
      <c r="B16" s="18" t="str">
        <f ca="1">IF(Data!U16="","",Data!U16)</f>
        <v>Diddy Kong</v>
      </c>
      <c r="C16" s="18" t="str">
        <f ca="1">IF(Data!S16="","",Data!S16)</f>
        <v>G1</v>
      </c>
      <c r="D16" s="18">
        <f ca="1">IF($A16="","",Data!W16)</f>
        <v>1</v>
      </c>
      <c r="E16" s="18">
        <f ca="1">IF($A16="","",Data!Y16)</f>
        <v>0</v>
      </c>
      <c r="F16" s="61">
        <f t="shared" ca="1" si="0"/>
        <v>0.0</v>
      </c>
      <c r="G16" s="18">
        <f ca="1">IF($A16="","",Data!AB16)</f>
        <v>0</v>
      </c>
      <c r="H16" s="18">
        <f ca="1">IF($A16="","",Data!AC16)</f>
        <v>0</v>
      </c>
      <c r="I16" s="18">
        <f ca="1">IF($A16="","",INT(SUMIFS(Data!$AN$4:$AN$183,Data!$AM$4:$AM$183,$B16,Data!$AL$4:$AL$183,$A16,Data!$AK$4:$AK$183,$C16))+MOD(ROUND(SUMIFS(Data!$AN$4:$AN$183,Data!$AM$4:$AM$183,$B16,Data!$AL$4:$AL$183,$A16,Data!$AK$4:$AK$183,$C16)*3,0),3)/10)</f>
        <v>0</v>
      </c>
      <c r="J16" s="18">
        <f ca="1">IF($A16="","",SUMIFS(Data!$AQ$4:$AQ$183,Data!$AM$4:$AM$183,$B16,Data!$AL$4:$AL$183,$A16,Data!$AK$4:$AK$183,$C16))</f>
        <v>0</v>
      </c>
      <c r="K16" s="62">
        <f ca="1">IF($A16="","",IF(SUMIFS(Data!$AN$4:$AN$183,Data!$AM$4:$AM$183,$B16,Data!$AL$4:$AL$183,$A16,Data!$AK$4:$AK$183,$C16)=0,"",J16*3/SUMIFS(Data!$AN$4:$AN$183,Data!$AM$4:$AM$183,$B16,Data!$AL$4:$AL$183,$A16,Data!$AK$4:$AK$183,$C16)))</f>
      </c>
      <c r="L16" s="18">
        <f ca="1">IF($A16="","",IF(IFERROR(_xlfn.XLOOKUP($C16,Bracket!$F$6:$F$16,Bracket!$K$6:$K$16,""),"")=$B16,1,0))</f>
        <v>0</v>
      </c>
      <c r="M16" s="18">
        <f ca="1">IF($A16="","",IF(AND(IFERROR(_xlfn.XLOOKUP($C16,Bracket!$F$6:$F$16,Bracket!$K$6:$K$16,""),"")=$B16,LEFT(IFERROR(_xlfn.XLOOKUP($C16,Bracket!$F$6:$F$16,Bracket!$G$6:$G$16,""),""),2)="CG"),1,0))</f>
        <v>0</v>
      </c>
      <c r="N16" s="18">
        <f ca="1">IF($A16="","",SUMIFS(Data!$X$4:$X$273,Data!$T$4:$T$273,$A16,Data!$U$4:$U$273,$B16,Data!$S$4:$S$273,$C16))</f>
        <v>0</v>
      </c>
      <c r="O16" s="18">
        <f ca="1">IF($A16="","",SUMIFS(Data!$Z$4:$Z$273,Data!$T$4:$T$273,$A16,Data!$U$4:$U$273,$B16,Data!$S$4:$S$273,$C16))</f>
        <v>0</v>
      </c>
      <c r="P16" s="18">
        <f ca="1">IF($A16="","",SUMIFS(Data!$AA$4:$AA$273,Data!$T$4:$T$273,$A16,Data!$U$4:$U$273,$B16,Data!$S$4:$S$273,$C16))</f>
        <v>0</v>
      </c>
      <c r="Q16" s="18">
        <f ca="1">IF($A16="","",SUMIFS(Data!$AD$4:$AD$273,Data!$T$4:$T$273,$A16,Data!$U$4:$U$273,$B16,Data!$S$4:$S$273,$C16))</f>
        <v>0</v>
      </c>
      <c r="R16" s="18">
        <f ca="1">IF($A16="","",SUMIFS(Data!$AE$4:$AE$273,Data!$T$4:$T$273,$A16,Data!$U$4:$U$273,$B16,Data!$S$4:$S$273,$C16))</f>
        <v>1</v>
      </c>
      <c r="S16" s="18">
        <f ca="1">IF($A16="","",SUMIFS(Data!$AF$4:$AF$273,Data!$T$4:$T$273,$A16,Data!$U$4:$U$273,$B16,Data!$S$4:$S$273,$C16))</f>
        <v>0</v>
      </c>
      <c r="T16" s="18">
        <f ca="1">IF($A16="","",SUMIFS(Data!$AG$4:$AG$273,Data!$T$4:$T$273,$A16,Data!$U$4:$U$273,$B16,Data!$S$4:$S$273,$C16))</f>
        <v>0</v>
      </c>
      <c r="U16" s="18">
        <f ca="1">IF($A16="","",SUMIFS(Data!$AH$4:$AH$273,Data!$T$4:$T$273,$A16,Data!$U$4:$U$273,$B16,Data!$S$4:$S$273,$C16))</f>
        <v>0</v>
      </c>
      <c r="V16" s="18">
        <f ca="1">IF($A16="","",SUMIFS(Data!$AO$4:$AO$183,Data!$AM$4:$AM$183,$B16,Data!$AL$4:$AL$183,$A16,Data!$AK$4:$AK$183,$C16))</f>
        <v>0</v>
      </c>
      <c r="W16" s="18">
        <f ca="1">IF($A16="","",SUMIFS(Data!$AP$4:$AP$183,Data!$AM$4:$AM$183,$B16,Data!$AL$4:$AL$183,$A16,Data!$AK$4:$AK$183,$C16))</f>
        <v>0</v>
      </c>
      <c r="X16" s="18">
        <f ca="1">IF($A16="","",SUMIFS(Data!$AR$4:$AR$183,Data!$AM$4:$AM$183,$B16,Data!$AL$4:$AL$183,$A16,Data!$AK$4:$AK$183,$C16))</f>
        <v>0</v>
      </c>
      <c r="Y16" s="18">
        <f ca="1">IF($A16="","",SUMIFS(Data!$AS$4:$AS$183,Data!$AM$4:$AM$183,$B16,Data!$AL$4:$AL$183,$A16,Data!$AK$4:$AK$183,$C16))</f>
        <v>0</v>
      </c>
      <c r="Z16" s="18">
        <f ca="1">IF($A16="","",SUMIFS(Data!$AT$4:$AT$183,Data!$AM$4:$AM$183,$B16,Data!$AL$4:$AL$183,$A16,Data!$AK$4:$AK$183,$C16))</f>
        <v>0</v>
      </c>
      <c r="AA16" s="18">
        <f ca="1">IF($A16="","",SUMIFS(Data!$AW$4:$AW$183,Data!$AM$4:$AM$183,$B16,Data!$AL$4:$AL$183,$A16,Data!$AK$4:$AK$183,$C16))</f>
        <v>0</v>
      </c>
      <c r="AB16" s="18">
        <f ca="1">IF($A16="","",SUMIFS(Data!$AX$4:$AX$183,Data!$AM$4:$AM$183,$B16,Data!$AL$4:$AL$183,$A16,Data!$AK$4:$AK$183,$C16))</f>
        <v>0</v>
      </c>
      <c r="AC16" s="18">
        <f ca="1">IF($A16="","",SUMIFS(Data!$AY$4:$AY$183,Data!$AM$4:$AM$183,$B16,Data!$AL$4:$AL$183,$A16,Data!$AK$4:$AK$183,$C16))</f>
        <v>0</v>
      </c>
      <c r="AD16" s="18">
        <f t="shared" ca="1" si="1"/>
        <v>0</v>
      </c>
      <c r="AE16" s="18">
        <f ca="1">IF($A16="","",SUMIFS(Data!$AJ$4:$AJ$183,Data!$AM$4:$AM$183,$B16,Data!$AL$4:$AL$183,$A16,Data!$AK$4:$AK$183,$C16))</f>
        <v>0</v>
      </c>
    </row>
    <row r="17" spans="1:31">
      <c r="A17" s="118" t="str">
        <f ca="1">IF(Data!T17="","",Data!T17)</f>
        <v>Donovan</v>
      </c>
      <c r="B17" s="18" t="str">
        <f ca="1">IF(Data!U17="","",Data!U17)</f>
        <v>Fire Bro</v>
      </c>
      <c r="C17" s="18" t="str">
        <f ca="1">IF(Data!S17="","",Data!S17)</f>
        <v>G1</v>
      </c>
      <c r="D17" s="18">
        <f ca="1">IF($A17="","",Data!W17)</f>
        <v>1</v>
      </c>
      <c r="E17" s="18">
        <f ca="1">IF($A17="","",Data!Y17)</f>
        <v>0</v>
      </c>
      <c r="F17" s="61">
        <f t="shared" ca="1" si="0"/>
        <v>0.0</v>
      </c>
      <c r="G17" s="18">
        <f ca="1">IF($A17="","",Data!AB17)</f>
        <v>0</v>
      </c>
      <c r="H17" s="18">
        <f ca="1">IF($A17="","",Data!AC17)</f>
        <v>0</v>
      </c>
      <c r="I17" s="18">
        <f ca="1">IF($A17="","",INT(SUMIFS(Data!$AN$4:$AN$183,Data!$AM$4:$AM$183,$B17,Data!$AL$4:$AL$183,$A17,Data!$AK$4:$AK$183,$C17))+MOD(ROUND(SUMIFS(Data!$AN$4:$AN$183,Data!$AM$4:$AM$183,$B17,Data!$AL$4:$AL$183,$A17,Data!$AK$4:$AK$183,$C17)*3,0),3)/10)</f>
        <v>0</v>
      </c>
      <c r="J17" s="18">
        <f ca="1">IF($A17="","",SUMIFS(Data!$AQ$4:$AQ$183,Data!$AM$4:$AM$183,$B17,Data!$AL$4:$AL$183,$A17,Data!$AK$4:$AK$183,$C17))</f>
        <v>0</v>
      </c>
      <c r="K17" s="62">
        <f ca="1">IF($A17="","",IF(SUMIFS(Data!$AN$4:$AN$183,Data!$AM$4:$AM$183,$B17,Data!$AL$4:$AL$183,$A17,Data!$AK$4:$AK$183,$C17)=0,"",J17*3/SUMIFS(Data!$AN$4:$AN$183,Data!$AM$4:$AM$183,$B17,Data!$AL$4:$AL$183,$A17,Data!$AK$4:$AK$183,$C17)))</f>
      </c>
      <c r="L17" s="18">
        <f ca="1">IF($A17="","",IF(IFERROR(_xlfn.XLOOKUP($C17,Bracket!$F$6:$F$16,Bracket!$K$6:$K$16,""),"")=$B17,1,0))</f>
        <v>0</v>
      </c>
      <c r="M17" s="18">
        <f ca="1">IF($A17="","",IF(AND(IFERROR(_xlfn.XLOOKUP($C17,Bracket!$F$6:$F$16,Bracket!$K$6:$K$16,""),"")=$B17,LEFT(IFERROR(_xlfn.XLOOKUP($C17,Bracket!$F$6:$F$16,Bracket!$G$6:$G$16,""),""),2)="CG"),1,0))</f>
        <v>0</v>
      </c>
      <c r="N17" s="18">
        <f ca="1">IF($A17="","",SUMIFS(Data!$X$4:$X$273,Data!$T$4:$T$273,$A17,Data!$U$4:$U$273,$B17,Data!$S$4:$S$273,$C17))</f>
        <v>0</v>
      </c>
      <c r="O17" s="18">
        <f ca="1">IF($A17="","",SUMIFS(Data!$Z$4:$Z$273,Data!$T$4:$T$273,$A17,Data!$U$4:$U$273,$B17,Data!$S$4:$S$273,$C17))</f>
        <v>0</v>
      </c>
      <c r="P17" s="18">
        <f ca="1">IF($A17="","",SUMIFS(Data!$AA$4:$AA$273,Data!$T$4:$T$273,$A17,Data!$U$4:$U$273,$B17,Data!$S$4:$S$273,$C17))</f>
        <v>0</v>
      </c>
      <c r="Q17" s="18">
        <f ca="1">IF($A17="","",SUMIFS(Data!$AD$4:$AD$273,Data!$T$4:$T$273,$A17,Data!$U$4:$U$273,$B17,Data!$S$4:$S$273,$C17))</f>
        <v>0</v>
      </c>
      <c r="R17" s="18">
        <f ca="1">IF($A17="","",SUMIFS(Data!$AE$4:$AE$273,Data!$T$4:$T$273,$A17,Data!$U$4:$U$273,$B17,Data!$S$4:$S$273,$C17))</f>
        <v>1</v>
      </c>
      <c r="S17" s="18">
        <f ca="1">IF($A17="","",SUMIFS(Data!$AF$4:$AF$273,Data!$T$4:$T$273,$A17,Data!$U$4:$U$273,$B17,Data!$S$4:$S$273,$C17))</f>
        <v>0</v>
      </c>
      <c r="T17" s="18">
        <f ca="1">IF($A17="","",SUMIFS(Data!$AG$4:$AG$273,Data!$T$4:$T$273,$A17,Data!$U$4:$U$273,$B17,Data!$S$4:$S$273,$C17))</f>
        <v>0</v>
      </c>
      <c r="U17" s="18">
        <f ca="1">IF($A17="","",SUMIFS(Data!$AH$4:$AH$273,Data!$T$4:$T$273,$A17,Data!$U$4:$U$273,$B17,Data!$S$4:$S$273,$C17))</f>
        <v>0</v>
      </c>
      <c r="V17" s="18">
        <f ca="1">IF($A17="","",SUMIFS(Data!$AO$4:$AO$183,Data!$AM$4:$AM$183,$B17,Data!$AL$4:$AL$183,$A17,Data!$AK$4:$AK$183,$C17))</f>
        <v>0</v>
      </c>
      <c r="W17" s="18">
        <f ca="1">IF($A17="","",SUMIFS(Data!$AP$4:$AP$183,Data!$AM$4:$AM$183,$B17,Data!$AL$4:$AL$183,$A17,Data!$AK$4:$AK$183,$C17))</f>
        <v>0</v>
      </c>
      <c r="X17" s="18">
        <f ca="1">IF($A17="","",SUMIFS(Data!$AR$4:$AR$183,Data!$AM$4:$AM$183,$B17,Data!$AL$4:$AL$183,$A17,Data!$AK$4:$AK$183,$C17))</f>
        <v>0</v>
      </c>
      <c r="Y17" s="18">
        <f ca="1">IF($A17="","",SUMIFS(Data!$AS$4:$AS$183,Data!$AM$4:$AM$183,$B17,Data!$AL$4:$AL$183,$A17,Data!$AK$4:$AK$183,$C17))</f>
        <v>0</v>
      </c>
      <c r="Z17" s="18">
        <f ca="1">IF($A17="","",SUMIFS(Data!$AT$4:$AT$183,Data!$AM$4:$AM$183,$B17,Data!$AL$4:$AL$183,$A17,Data!$AK$4:$AK$183,$C17))</f>
        <v>0</v>
      </c>
      <c r="AA17" s="18">
        <f ca="1">IF($A17="","",SUMIFS(Data!$AW$4:$AW$183,Data!$AM$4:$AM$183,$B17,Data!$AL$4:$AL$183,$A17,Data!$AK$4:$AK$183,$C17))</f>
        <v>0</v>
      </c>
      <c r="AB17" s="18">
        <f ca="1">IF($A17="","",SUMIFS(Data!$AX$4:$AX$183,Data!$AM$4:$AM$183,$B17,Data!$AL$4:$AL$183,$A17,Data!$AK$4:$AK$183,$C17))</f>
        <v>0</v>
      </c>
      <c r="AC17" s="18">
        <f ca="1">IF($A17="","",SUMIFS(Data!$AY$4:$AY$183,Data!$AM$4:$AM$183,$B17,Data!$AL$4:$AL$183,$A17,Data!$AK$4:$AK$183,$C17))</f>
        <v>0</v>
      </c>
      <c r="AD17" s="18">
        <f t="shared" ca="1" si="1"/>
        <v>0</v>
      </c>
      <c r="AE17" s="18">
        <f ca="1">IF($A17="","",SUMIFS(Data!$AJ$4:$AJ$183,Data!$AM$4:$AM$183,$B17,Data!$AL$4:$AL$183,$A17,Data!$AK$4:$AK$183,$C17))</f>
        <v>0</v>
      </c>
    </row>
    <row r="18" spans="1:31">
      <c r="A18" s="118" t="str">
        <f ca="1">IF(Data!T18="","",Data!T18)</f>
        <v>Donovan</v>
      </c>
      <c r="B18" s="18" t="str">
        <f ca="1">IF(Data!U18="","",Data!U18)</f>
        <v>Dixie Kong</v>
      </c>
      <c r="C18" s="18" t="str">
        <f ca="1">IF(Data!S18="","",Data!S18)</f>
        <v>G1</v>
      </c>
      <c r="D18" s="18">
        <f ca="1">IF($A18="","",Data!W18)</f>
        <v>1</v>
      </c>
      <c r="E18" s="18">
        <f ca="1">IF($A18="","",Data!Y18)</f>
        <v>0</v>
      </c>
      <c r="F18" s="61">
        <f t="shared" ca="1" si="0"/>
        <v>0.0</v>
      </c>
      <c r="G18" s="18">
        <f ca="1">IF($A18="","",Data!AB18)</f>
        <v>0</v>
      </c>
      <c r="H18" s="18">
        <f ca="1">IF($A18="","",Data!AC18)</f>
        <v>0</v>
      </c>
      <c r="I18" s="18">
        <f ca="1">IF($A18="","",INT(SUMIFS(Data!$AN$4:$AN$183,Data!$AM$4:$AM$183,$B18,Data!$AL$4:$AL$183,$A18,Data!$AK$4:$AK$183,$C18))+MOD(ROUND(SUMIFS(Data!$AN$4:$AN$183,Data!$AM$4:$AM$183,$B18,Data!$AL$4:$AL$183,$A18,Data!$AK$4:$AK$183,$C18)*3,0),3)/10)</f>
        <v>0</v>
      </c>
      <c r="J18" s="18">
        <f ca="1">IF($A18="","",SUMIFS(Data!$AQ$4:$AQ$183,Data!$AM$4:$AM$183,$B18,Data!$AL$4:$AL$183,$A18,Data!$AK$4:$AK$183,$C18))</f>
        <v>0</v>
      </c>
      <c r="K18" s="62">
        <f ca="1">IF($A18="","",IF(SUMIFS(Data!$AN$4:$AN$183,Data!$AM$4:$AM$183,$B18,Data!$AL$4:$AL$183,$A18,Data!$AK$4:$AK$183,$C18)=0,"",J18*3/SUMIFS(Data!$AN$4:$AN$183,Data!$AM$4:$AM$183,$B18,Data!$AL$4:$AL$183,$A18,Data!$AK$4:$AK$183,$C18)))</f>
      </c>
      <c r="L18" s="18">
        <f ca="1">IF($A18="","",IF(IFERROR(_xlfn.XLOOKUP($C18,Bracket!$F$6:$F$16,Bracket!$K$6:$K$16,""),"")=$B18,1,0))</f>
        <v>0</v>
      </c>
      <c r="M18" s="18">
        <f ca="1">IF($A18="","",IF(AND(IFERROR(_xlfn.XLOOKUP($C18,Bracket!$F$6:$F$16,Bracket!$K$6:$K$16,""),"")=$B18,LEFT(IFERROR(_xlfn.XLOOKUP($C18,Bracket!$F$6:$F$16,Bracket!$G$6:$G$16,""),""),2)="CG"),1,0))</f>
        <v>0</v>
      </c>
      <c r="N18" s="18">
        <f ca="1">IF($A18="","",SUMIFS(Data!$X$4:$X$273,Data!$T$4:$T$273,$A18,Data!$U$4:$U$273,$B18,Data!$S$4:$S$273,$C18))</f>
        <v>0</v>
      </c>
      <c r="O18" s="18">
        <f ca="1">IF($A18="","",SUMIFS(Data!$Z$4:$Z$273,Data!$T$4:$T$273,$A18,Data!$U$4:$U$273,$B18,Data!$S$4:$S$273,$C18))</f>
        <v>0</v>
      </c>
      <c r="P18" s="18">
        <f ca="1">IF($A18="","",SUMIFS(Data!$AA$4:$AA$273,Data!$T$4:$T$273,$A18,Data!$U$4:$U$273,$B18,Data!$S$4:$S$273,$C18))</f>
        <v>0</v>
      </c>
      <c r="Q18" s="18">
        <f ca="1">IF($A18="","",SUMIFS(Data!$AD$4:$AD$273,Data!$T$4:$T$273,$A18,Data!$U$4:$U$273,$B18,Data!$S$4:$S$273,$C18))</f>
        <v>0</v>
      </c>
      <c r="R18" s="18">
        <f ca="1">IF($A18="","",SUMIFS(Data!$AE$4:$AE$273,Data!$T$4:$T$273,$A18,Data!$U$4:$U$273,$B18,Data!$S$4:$S$273,$C18))</f>
        <v>0</v>
      </c>
      <c r="S18" s="18">
        <f ca="1">IF($A18="","",SUMIFS(Data!$AF$4:$AF$273,Data!$T$4:$T$273,$A18,Data!$U$4:$U$273,$B18,Data!$S$4:$S$273,$C18))</f>
        <v>0</v>
      </c>
      <c r="T18" s="18">
        <f ca="1">IF($A18="","",SUMIFS(Data!$AG$4:$AG$273,Data!$T$4:$T$273,$A18,Data!$U$4:$U$273,$B18,Data!$S$4:$S$273,$C18))</f>
        <v>0</v>
      </c>
      <c r="U18" s="18">
        <f ca="1">IF($A18="","",SUMIFS(Data!$AH$4:$AH$273,Data!$T$4:$T$273,$A18,Data!$U$4:$U$273,$B18,Data!$S$4:$S$273,$C18))</f>
        <v>0</v>
      </c>
      <c r="V18" s="18">
        <f ca="1">IF($A18="","",SUMIFS(Data!$AO$4:$AO$183,Data!$AM$4:$AM$183,$B18,Data!$AL$4:$AL$183,$A18,Data!$AK$4:$AK$183,$C18))</f>
        <v>0</v>
      </c>
      <c r="W18" s="18">
        <f ca="1">IF($A18="","",SUMIFS(Data!$AP$4:$AP$183,Data!$AM$4:$AM$183,$B18,Data!$AL$4:$AL$183,$A18,Data!$AK$4:$AK$183,$C18))</f>
        <v>0</v>
      </c>
      <c r="X18" s="18">
        <f ca="1">IF($A18="","",SUMIFS(Data!$AR$4:$AR$183,Data!$AM$4:$AM$183,$B18,Data!$AL$4:$AL$183,$A18,Data!$AK$4:$AK$183,$C18))</f>
        <v>0</v>
      </c>
      <c r="Y18" s="18">
        <f ca="1">IF($A18="","",SUMIFS(Data!$AS$4:$AS$183,Data!$AM$4:$AM$183,$B18,Data!$AL$4:$AL$183,$A18,Data!$AK$4:$AK$183,$C18))</f>
        <v>0</v>
      </c>
      <c r="Z18" s="18">
        <f ca="1">IF($A18="","",SUMIFS(Data!$AT$4:$AT$183,Data!$AM$4:$AM$183,$B18,Data!$AL$4:$AL$183,$A18,Data!$AK$4:$AK$183,$C18))</f>
        <v>0</v>
      </c>
      <c r="AA18" s="18">
        <f ca="1">IF($A18="","",SUMIFS(Data!$AW$4:$AW$183,Data!$AM$4:$AM$183,$B18,Data!$AL$4:$AL$183,$A18,Data!$AK$4:$AK$183,$C18))</f>
        <v>0</v>
      </c>
      <c r="AB18" s="18">
        <f ca="1">IF($A18="","",SUMIFS(Data!$AX$4:$AX$183,Data!$AM$4:$AM$183,$B18,Data!$AL$4:$AL$183,$A18,Data!$AK$4:$AK$183,$C18))</f>
        <v>0</v>
      </c>
      <c r="AC18" s="18">
        <f ca="1">IF($A18="","",SUMIFS(Data!$AY$4:$AY$183,Data!$AM$4:$AM$183,$B18,Data!$AL$4:$AL$183,$A18,Data!$AK$4:$AK$183,$C18))</f>
        <v>0</v>
      </c>
      <c r="AD18" s="18">
        <f t="shared" ca="1" si="1"/>
        <v>0</v>
      </c>
      <c r="AE18" s="18">
        <f ca="1">IF($A18="","",SUMIFS(Data!$AJ$4:$AJ$183,Data!$AM$4:$AM$183,$B18,Data!$AL$4:$AL$183,$A18,Data!$AK$4:$AK$183,$C18))</f>
        <v>0</v>
      </c>
    </row>
    <row r="19" spans="1:31">
      <c r="A19" s="118" t="str">
        <f ca="1">IF(Data!T19="","",Data!T19)</f>
        <v>Donovan</v>
      </c>
      <c r="B19" s="18" t="str">
        <f ca="1">IF(Data!U19="","",Data!U19)</f>
        <v>Baby DK</v>
      </c>
      <c r="C19" s="18" t="str">
        <f ca="1">IF(Data!S19="","",Data!S19)</f>
        <v>G1</v>
      </c>
      <c r="D19" s="18">
        <f ca="1">IF($A19="","",Data!W19)</f>
        <v>1</v>
      </c>
      <c r="E19" s="18">
        <f ca="1">IF($A19="","",Data!Y19)</f>
        <v>0</v>
      </c>
      <c r="F19" s="61">
        <f t="shared" ca="1" si="0"/>
        <v>0.0</v>
      </c>
      <c r="G19" s="18">
        <f ca="1">IF($A19="","",Data!AB19)</f>
        <v>0</v>
      </c>
      <c r="H19" s="18">
        <f ca="1">IF($A19="","",Data!AC19)</f>
        <v>0</v>
      </c>
      <c r="I19" s="18">
        <f ca="1">IF($A19="","",INT(SUMIFS(Data!$AN$4:$AN$183,Data!$AM$4:$AM$183,$B19,Data!$AL$4:$AL$183,$A19,Data!$AK$4:$AK$183,$C19))+MOD(ROUND(SUMIFS(Data!$AN$4:$AN$183,Data!$AM$4:$AM$183,$B19,Data!$AL$4:$AL$183,$A19,Data!$AK$4:$AK$183,$C19)*3,0),3)/10)</f>
        <v>0</v>
      </c>
      <c r="J19" s="18">
        <f ca="1">IF($A19="","",SUMIFS(Data!$AQ$4:$AQ$183,Data!$AM$4:$AM$183,$B19,Data!$AL$4:$AL$183,$A19,Data!$AK$4:$AK$183,$C19))</f>
        <v>0</v>
      </c>
      <c r="K19" s="62">
        <f ca="1">IF($A19="","",IF(SUMIFS(Data!$AN$4:$AN$183,Data!$AM$4:$AM$183,$B19,Data!$AL$4:$AL$183,$A19,Data!$AK$4:$AK$183,$C19)=0,"",J19*3/SUMIFS(Data!$AN$4:$AN$183,Data!$AM$4:$AM$183,$B19,Data!$AL$4:$AL$183,$A19,Data!$AK$4:$AK$183,$C19)))</f>
      </c>
      <c r="L19" s="18">
        <f ca="1">IF($A19="","",IF(IFERROR(_xlfn.XLOOKUP($C19,Bracket!$F$6:$F$16,Bracket!$K$6:$K$16,""),"")=$B19,1,0))</f>
        <v>0</v>
      </c>
      <c r="M19" s="18">
        <f ca="1">IF($A19="","",IF(AND(IFERROR(_xlfn.XLOOKUP($C19,Bracket!$F$6:$F$16,Bracket!$K$6:$K$16,""),"")=$B19,LEFT(IFERROR(_xlfn.XLOOKUP($C19,Bracket!$F$6:$F$16,Bracket!$G$6:$G$16,""),""),2)="CG"),1,0))</f>
        <v>0</v>
      </c>
      <c r="N19" s="18">
        <f ca="1">IF($A19="","",SUMIFS(Data!$X$4:$X$273,Data!$T$4:$T$273,$A19,Data!$U$4:$U$273,$B19,Data!$S$4:$S$273,$C19))</f>
        <v>0</v>
      </c>
      <c r="O19" s="18">
        <f ca="1">IF($A19="","",SUMIFS(Data!$Z$4:$Z$273,Data!$T$4:$T$273,$A19,Data!$U$4:$U$273,$B19,Data!$S$4:$S$273,$C19))</f>
        <v>0</v>
      </c>
      <c r="P19" s="18">
        <f ca="1">IF($A19="","",SUMIFS(Data!$AA$4:$AA$273,Data!$T$4:$T$273,$A19,Data!$U$4:$U$273,$B19,Data!$S$4:$S$273,$C19))</f>
        <v>0</v>
      </c>
      <c r="Q19" s="18">
        <f ca="1">IF($A19="","",SUMIFS(Data!$AD$4:$AD$273,Data!$T$4:$T$273,$A19,Data!$U$4:$U$273,$B19,Data!$S$4:$S$273,$C19))</f>
        <v>0</v>
      </c>
      <c r="R19" s="18">
        <f ca="1">IF($A19="","",SUMIFS(Data!$AE$4:$AE$273,Data!$T$4:$T$273,$A19,Data!$U$4:$U$273,$B19,Data!$S$4:$S$273,$C19))</f>
        <v>0</v>
      </c>
      <c r="S19" s="18">
        <f ca="1">IF($A19="","",SUMIFS(Data!$AF$4:$AF$273,Data!$T$4:$T$273,$A19,Data!$U$4:$U$273,$B19,Data!$S$4:$S$273,$C19))</f>
        <v>0</v>
      </c>
      <c r="T19" s="18">
        <f ca="1">IF($A19="","",SUMIFS(Data!$AG$4:$AG$273,Data!$T$4:$T$273,$A19,Data!$U$4:$U$273,$B19,Data!$S$4:$S$273,$C19))</f>
        <v>0</v>
      </c>
      <c r="U19" s="18">
        <f ca="1">IF($A19="","",SUMIFS(Data!$AH$4:$AH$273,Data!$T$4:$T$273,$A19,Data!$U$4:$U$273,$B19,Data!$S$4:$S$273,$C19))</f>
        <v>0</v>
      </c>
      <c r="V19" s="18">
        <f ca="1">IF($A19="","",SUMIFS(Data!$AO$4:$AO$183,Data!$AM$4:$AM$183,$B19,Data!$AL$4:$AL$183,$A19,Data!$AK$4:$AK$183,$C19))</f>
        <v>0</v>
      </c>
      <c r="W19" s="18">
        <f ca="1">IF($A19="","",SUMIFS(Data!$AP$4:$AP$183,Data!$AM$4:$AM$183,$B19,Data!$AL$4:$AL$183,$A19,Data!$AK$4:$AK$183,$C19))</f>
        <v>0</v>
      </c>
      <c r="X19" s="18">
        <f ca="1">IF($A19="","",SUMIFS(Data!$AR$4:$AR$183,Data!$AM$4:$AM$183,$B19,Data!$AL$4:$AL$183,$A19,Data!$AK$4:$AK$183,$C19))</f>
        <v>0</v>
      </c>
      <c r="Y19" s="18">
        <f ca="1">IF($A19="","",SUMIFS(Data!$AS$4:$AS$183,Data!$AM$4:$AM$183,$B19,Data!$AL$4:$AL$183,$A19,Data!$AK$4:$AK$183,$C19))</f>
        <v>0</v>
      </c>
      <c r="Z19" s="18">
        <f ca="1">IF($A19="","",SUMIFS(Data!$AT$4:$AT$183,Data!$AM$4:$AM$183,$B19,Data!$AL$4:$AL$183,$A19,Data!$AK$4:$AK$183,$C19))</f>
        <v>0</v>
      </c>
      <c r="AA19" s="18">
        <f ca="1">IF($A19="","",SUMIFS(Data!$AW$4:$AW$183,Data!$AM$4:$AM$183,$B19,Data!$AL$4:$AL$183,$A19,Data!$AK$4:$AK$183,$C19))</f>
        <v>0</v>
      </c>
      <c r="AB19" s="18">
        <f ca="1">IF($A19="","",SUMIFS(Data!$AX$4:$AX$183,Data!$AM$4:$AM$183,$B19,Data!$AL$4:$AL$183,$A19,Data!$AK$4:$AK$183,$C19))</f>
        <v>0</v>
      </c>
      <c r="AC19" s="18">
        <f ca="1">IF($A19="","",SUMIFS(Data!$AY$4:$AY$183,Data!$AM$4:$AM$183,$B19,Data!$AL$4:$AL$183,$A19,Data!$AK$4:$AK$183,$C19))</f>
        <v>0</v>
      </c>
      <c r="AD19" s="18">
        <f t="shared" ca="1" si="1"/>
        <v>0</v>
      </c>
      <c r="AE19" s="18">
        <f ca="1">IF($A19="","",SUMIFS(Data!$AJ$4:$AJ$183,Data!$AM$4:$AM$183,$B19,Data!$AL$4:$AL$183,$A19,Data!$AK$4:$AK$183,$C19))</f>
        <v>0</v>
      </c>
    </row>
    <row r="20" spans="1:31">
      <c r="A20" s="118" t="str">
        <f ca="1">IF(Data!T20="","",Data!T20)</f>
        <v>Donovan</v>
      </c>
      <c r="B20" s="18" t="str">
        <f ca="1">IF(Data!U20="","",Data!U20)</f>
        <v>Tiny Kong</v>
      </c>
      <c r="C20" s="18" t="str">
        <f ca="1">IF(Data!S20="","",Data!S20)</f>
        <v>G1</v>
      </c>
      <c r="D20" s="18">
        <f ca="1">IF($A20="","",Data!W20)</f>
        <v>1</v>
      </c>
      <c r="E20" s="18">
        <f ca="1">IF($A20="","",Data!Y20)</f>
        <v>0</v>
      </c>
      <c r="F20" s="61">
        <f t="shared" ca="1" si="0"/>
        <v>0.0</v>
      </c>
      <c r="G20" s="18">
        <f ca="1">IF($A20="","",Data!AB20)</f>
        <v>0</v>
      </c>
      <c r="H20" s="18">
        <f ca="1">IF($A20="","",Data!AC20)</f>
        <v>0</v>
      </c>
      <c r="I20" s="18">
        <f ca="1">IF($A20="","",INT(SUMIFS(Data!$AN$4:$AN$183,Data!$AM$4:$AM$183,$B20,Data!$AL$4:$AL$183,$A20,Data!$AK$4:$AK$183,$C20))+MOD(ROUND(SUMIFS(Data!$AN$4:$AN$183,Data!$AM$4:$AM$183,$B20,Data!$AL$4:$AL$183,$A20,Data!$AK$4:$AK$183,$C20)*3,0),3)/10)</f>
        <v>0</v>
      </c>
      <c r="J20" s="18">
        <f ca="1">IF($A20="","",SUMIFS(Data!$AQ$4:$AQ$183,Data!$AM$4:$AM$183,$B20,Data!$AL$4:$AL$183,$A20,Data!$AK$4:$AK$183,$C20))</f>
        <v>0</v>
      </c>
      <c r="K20" s="62">
        <f ca="1">IF($A20="","",IF(SUMIFS(Data!$AN$4:$AN$183,Data!$AM$4:$AM$183,$B20,Data!$AL$4:$AL$183,$A20,Data!$AK$4:$AK$183,$C20)=0,"",J20*3/SUMIFS(Data!$AN$4:$AN$183,Data!$AM$4:$AM$183,$B20,Data!$AL$4:$AL$183,$A20,Data!$AK$4:$AK$183,$C20)))</f>
      </c>
      <c r="L20" s="18">
        <f ca="1">IF($A20="","",IF(IFERROR(_xlfn.XLOOKUP($C20,Bracket!$F$6:$F$16,Bracket!$K$6:$K$16,""),"")=$B20,1,0))</f>
        <v>0</v>
      </c>
      <c r="M20" s="18">
        <f ca="1">IF($A20="","",IF(AND(IFERROR(_xlfn.XLOOKUP($C20,Bracket!$F$6:$F$16,Bracket!$K$6:$K$16,""),"")=$B20,LEFT(IFERROR(_xlfn.XLOOKUP($C20,Bracket!$F$6:$F$16,Bracket!$G$6:$G$16,""),""),2)="CG"),1,0))</f>
        <v>0</v>
      </c>
      <c r="N20" s="18">
        <f ca="1">IF($A20="","",SUMIFS(Data!$X$4:$X$273,Data!$T$4:$T$273,$A20,Data!$U$4:$U$273,$B20,Data!$S$4:$S$273,$C20))</f>
        <v>0</v>
      </c>
      <c r="O20" s="18">
        <f ca="1">IF($A20="","",SUMIFS(Data!$Z$4:$Z$273,Data!$T$4:$T$273,$A20,Data!$U$4:$U$273,$B20,Data!$S$4:$S$273,$C20))</f>
        <v>0</v>
      </c>
      <c r="P20" s="18">
        <f ca="1">IF($A20="","",SUMIFS(Data!$AA$4:$AA$273,Data!$T$4:$T$273,$A20,Data!$U$4:$U$273,$B20,Data!$S$4:$S$273,$C20))</f>
        <v>0</v>
      </c>
      <c r="Q20" s="18">
        <f ca="1">IF($A20="","",SUMIFS(Data!$AD$4:$AD$273,Data!$T$4:$T$273,$A20,Data!$U$4:$U$273,$B20,Data!$S$4:$S$273,$C20))</f>
        <v>0</v>
      </c>
      <c r="R20" s="18">
        <f ca="1">IF($A20="","",SUMIFS(Data!$AE$4:$AE$273,Data!$T$4:$T$273,$A20,Data!$U$4:$U$273,$B20,Data!$S$4:$S$273,$C20))</f>
        <v>1</v>
      </c>
      <c r="S20" s="18">
        <f ca="1">IF($A20="","",SUMIFS(Data!$AF$4:$AF$273,Data!$T$4:$T$273,$A20,Data!$U$4:$U$273,$B20,Data!$S$4:$S$273,$C20))</f>
        <v>0</v>
      </c>
      <c r="T20" s="18">
        <f ca="1">IF($A20="","",SUMIFS(Data!$AG$4:$AG$273,Data!$T$4:$T$273,$A20,Data!$U$4:$U$273,$B20,Data!$S$4:$S$273,$C20))</f>
        <v>0</v>
      </c>
      <c r="U20" s="18">
        <f ca="1">IF($A20="","",SUMIFS(Data!$AH$4:$AH$273,Data!$T$4:$T$273,$A20,Data!$U$4:$U$273,$B20,Data!$S$4:$S$273,$C20))</f>
        <v>0</v>
      </c>
      <c r="V20" s="18">
        <f ca="1">IF($A20="","",SUMIFS(Data!$AO$4:$AO$183,Data!$AM$4:$AM$183,$B20,Data!$AL$4:$AL$183,$A20,Data!$AK$4:$AK$183,$C20))</f>
        <v>0</v>
      </c>
      <c r="W20" s="18">
        <f ca="1">IF($A20="","",SUMIFS(Data!$AP$4:$AP$183,Data!$AM$4:$AM$183,$B20,Data!$AL$4:$AL$183,$A20,Data!$AK$4:$AK$183,$C20))</f>
        <v>0</v>
      </c>
      <c r="X20" s="18">
        <f ca="1">IF($A20="","",SUMIFS(Data!$AR$4:$AR$183,Data!$AM$4:$AM$183,$B20,Data!$AL$4:$AL$183,$A20,Data!$AK$4:$AK$183,$C20))</f>
        <v>0</v>
      </c>
      <c r="Y20" s="18">
        <f ca="1">IF($A20="","",SUMIFS(Data!$AS$4:$AS$183,Data!$AM$4:$AM$183,$B20,Data!$AL$4:$AL$183,$A20,Data!$AK$4:$AK$183,$C20))</f>
        <v>0</v>
      </c>
      <c r="Z20" s="18">
        <f ca="1">IF($A20="","",SUMIFS(Data!$AT$4:$AT$183,Data!$AM$4:$AM$183,$B20,Data!$AL$4:$AL$183,$A20,Data!$AK$4:$AK$183,$C20))</f>
        <v>0</v>
      </c>
      <c r="AA20" s="18">
        <f ca="1">IF($A20="","",SUMIFS(Data!$AW$4:$AW$183,Data!$AM$4:$AM$183,$B20,Data!$AL$4:$AL$183,$A20,Data!$AK$4:$AK$183,$C20))</f>
        <v>0</v>
      </c>
      <c r="AB20" s="18">
        <f ca="1">IF($A20="","",SUMIFS(Data!$AX$4:$AX$183,Data!$AM$4:$AM$183,$B20,Data!$AL$4:$AL$183,$A20,Data!$AK$4:$AK$183,$C20))</f>
        <v>0</v>
      </c>
      <c r="AC20" s="18">
        <f ca="1">IF($A20="","",SUMIFS(Data!$AY$4:$AY$183,Data!$AM$4:$AM$183,$B20,Data!$AL$4:$AL$183,$A20,Data!$AK$4:$AK$183,$C20))</f>
        <v>0</v>
      </c>
      <c r="AD20" s="18">
        <f t="shared" ca="1" si="1"/>
        <v>0</v>
      </c>
      <c r="AE20" s="18">
        <f ca="1">IF($A20="","",SUMIFS(Data!$AJ$4:$AJ$183,Data!$AM$4:$AM$183,$B20,Data!$AL$4:$AL$183,$A20,Data!$AK$4:$AK$183,$C20))</f>
        <v>0</v>
      </c>
    </row>
    <row r="21" spans="1:31">
      <c r="A21" s="118" t="str">
        <f ca="1">IF(Data!T21="","",Data!T21)</f>
        <v>Donovan</v>
      </c>
      <c r="B21" s="18" t="str">
        <f ca="1">IF(Data!U21="","",Data!U21)</f>
        <v>Paragoomba</v>
      </c>
      <c r="C21" s="18" t="str">
        <f ca="1">IF(Data!S21="","",Data!S21)</f>
        <v>G1</v>
      </c>
      <c r="D21" s="18">
        <f ca="1">IF($A21="","",Data!W21)</f>
        <v>1</v>
      </c>
      <c r="E21" s="18">
        <f ca="1">IF($A21="","",Data!Y21)</f>
        <v>0</v>
      </c>
      <c r="F21" s="61">
        <f t="shared" ca="1" si="0"/>
        <v>0.0</v>
      </c>
      <c r="G21" s="18">
        <f ca="1">IF($A21="","",Data!AB21)</f>
        <v>0</v>
      </c>
      <c r="H21" s="18">
        <f ca="1">IF($A21="","",Data!AC21)</f>
        <v>0</v>
      </c>
      <c r="I21" s="18">
        <f ca="1">IF($A21="","",INT(SUMIFS(Data!$AN$4:$AN$183,Data!$AM$4:$AM$183,$B21,Data!$AL$4:$AL$183,$A21,Data!$AK$4:$AK$183,$C21))+MOD(ROUND(SUMIFS(Data!$AN$4:$AN$183,Data!$AM$4:$AM$183,$B21,Data!$AL$4:$AL$183,$A21,Data!$AK$4:$AK$183,$C21)*3,0),3)/10)</f>
        <v>0</v>
      </c>
      <c r="J21" s="18">
        <f ca="1">IF($A21="","",SUMIFS(Data!$AQ$4:$AQ$183,Data!$AM$4:$AM$183,$B21,Data!$AL$4:$AL$183,$A21,Data!$AK$4:$AK$183,$C21))</f>
        <v>0</v>
      </c>
      <c r="K21" s="62">
        <f ca="1">IF($A21="","",IF(SUMIFS(Data!$AN$4:$AN$183,Data!$AM$4:$AM$183,$B21,Data!$AL$4:$AL$183,$A21,Data!$AK$4:$AK$183,$C21)=0,"",J21*3/SUMIFS(Data!$AN$4:$AN$183,Data!$AM$4:$AM$183,$B21,Data!$AL$4:$AL$183,$A21,Data!$AK$4:$AK$183,$C21)))</f>
      </c>
      <c r="L21" s="18">
        <f ca="1">IF($A21="","",IF(IFERROR(_xlfn.XLOOKUP($C21,Bracket!$F$6:$F$16,Bracket!$K$6:$K$16,""),"")=$B21,1,0))</f>
        <v>0</v>
      </c>
      <c r="M21" s="18">
        <f ca="1">IF($A21="","",IF(AND(IFERROR(_xlfn.XLOOKUP($C21,Bracket!$F$6:$F$16,Bracket!$K$6:$K$16,""),"")=$B21,LEFT(IFERROR(_xlfn.XLOOKUP($C21,Bracket!$F$6:$F$16,Bracket!$G$6:$G$16,""),""),2)="CG"),1,0))</f>
        <v>0</v>
      </c>
      <c r="N21" s="18">
        <f ca="1">IF($A21="","",SUMIFS(Data!$X$4:$X$273,Data!$T$4:$T$273,$A21,Data!$U$4:$U$273,$B21,Data!$S$4:$S$273,$C21))</f>
        <v>0</v>
      </c>
      <c r="O21" s="18">
        <f ca="1">IF($A21="","",SUMIFS(Data!$Z$4:$Z$273,Data!$T$4:$T$273,$A21,Data!$U$4:$U$273,$B21,Data!$S$4:$S$273,$C21))</f>
        <v>0</v>
      </c>
      <c r="P21" s="18">
        <f ca="1">IF($A21="","",SUMIFS(Data!$AA$4:$AA$273,Data!$T$4:$T$273,$A21,Data!$U$4:$U$273,$B21,Data!$S$4:$S$273,$C21))</f>
        <v>0</v>
      </c>
      <c r="Q21" s="18">
        <f ca="1">IF($A21="","",SUMIFS(Data!$AD$4:$AD$273,Data!$T$4:$T$273,$A21,Data!$U$4:$U$273,$B21,Data!$S$4:$S$273,$C21))</f>
        <v>0</v>
      </c>
      <c r="R21" s="18">
        <f ca="1">IF($A21="","",SUMIFS(Data!$AE$4:$AE$273,Data!$T$4:$T$273,$A21,Data!$U$4:$U$273,$B21,Data!$S$4:$S$273,$C21))</f>
        <v>0</v>
      </c>
      <c r="S21" s="18">
        <f ca="1">IF($A21="","",SUMIFS(Data!$AF$4:$AF$273,Data!$T$4:$T$273,$A21,Data!$U$4:$U$273,$B21,Data!$S$4:$S$273,$C21))</f>
        <v>0</v>
      </c>
      <c r="T21" s="18">
        <f ca="1">IF($A21="","",SUMIFS(Data!$AG$4:$AG$273,Data!$T$4:$T$273,$A21,Data!$U$4:$U$273,$B21,Data!$S$4:$S$273,$C21))</f>
        <v>0</v>
      </c>
      <c r="U21" s="18">
        <f ca="1">IF($A21="","",SUMIFS(Data!$AH$4:$AH$273,Data!$T$4:$T$273,$A21,Data!$U$4:$U$273,$B21,Data!$S$4:$S$273,$C21))</f>
        <v>0</v>
      </c>
      <c r="V21" s="18">
        <f ca="1">IF($A21="","",SUMIFS(Data!$AO$4:$AO$183,Data!$AM$4:$AM$183,$B21,Data!$AL$4:$AL$183,$A21,Data!$AK$4:$AK$183,$C21))</f>
        <v>0</v>
      </c>
      <c r="W21" s="18">
        <f ca="1">IF($A21="","",SUMIFS(Data!$AP$4:$AP$183,Data!$AM$4:$AM$183,$B21,Data!$AL$4:$AL$183,$A21,Data!$AK$4:$AK$183,$C21))</f>
        <v>0</v>
      </c>
      <c r="X21" s="18">
        <f ca="1">IF($A21="","",SUMIFS(Data!$AR$4:$AR$183,Data!$AM$4:$AM$183,$B21,Data!$AL$4:$AL$183,$A21,Data!$AK$4:$AK$183,$C21))</f>
        <v>0</v>
      </c>
      <c r="Y21" s="18">
        <f ca="1">IF($A21="","",SUMIFS(Data!$AS$4:$AS$183,Data!$AM$4:$AM$183,$B21,Data!$AL$4:$AL$183,$A21,Data!$AK$4:$AK$183,$C21))</f>
        <v>0</v>
      </c>
      <c r="Z21" s="18">
        <f ca="1">IF($A21="","",SUMIFS(Data!$AT$4:$AT$183,Data!$AM$4:$AM$183,$B21,Data!$AL$4:$AL$183,$A21,Data!$AK$4:$AK$183,$C21))</f>
        <v>0</v>
      </c>
      <c r="AA21" s="18">
        <f ca="1">IF($A21="","",SUMIFS(Data!$AW$4:$AW$183,Data!$AM$4:$AM$183,$B21,Data!$AL$4:$AL$183,$A21,Data!$AK$4:$AK$183,$C21))</f>
        <v>0</v>
      </c>
      <c r="AB21" s="18">
        <f ca="1">IF($A21="","",SUMIFS(Data!$AX$4:$AX$183,Data!$AM$4:$AM$183,$B21,Data!$AL$4:$AL$183,$A21,Data!$AK$4:$AK$183,$C21))</f>
        <v>0</v>
      </c>
      <c r="AC21" s="18">
        <f ca="1">IF($A21="","",SUMIFS(Data!$AY$4:$AY$183,Data!$AM$4:$AM$183,$B21,Data!$AL$4:$AL$183,$A21,Data!$AK$4:$AK$183,$C21))</f>
        <v>0</v>
      </c>
      <c r="AD21" s="18">
        <f t="shared" ca="1" si="1"/>
        <v>0</v>
      </c>
      <c r="AE21" s="18">
        <f ca="1">IF($A21="","",SUMIFS(Data!$AJ$4:$AJ$183,Data!$AM$4:$AM$183,$B21,Data!$AL$4:$AL$183,$A21,Data!$AK$4:$AK$183,$C21))</f>
        <v>0</v>
      </c>
    </row>
    <row r="22" spans="1:31">
      <c r="A22" s="116" t="str">
        <f ca="1">IF(Data!T22="","",Data!T22)</f>
        <v>Aidan</v>
      </c>
      <c r="B22" s="18" t="str">
        <f ca="1">IF(Data!U22="","",Data!U22)</f>
        <v>Dark Bones</v>
      </c>
      <c r="C22" s="18" t="str">
        <f ca="1">IF(Data!S22="","",Data!S22)</f>
        <v>G2</v>
      </c>
      <c r="D22" s="18">
        <f ca="1">IF($A22="","",Data!W22)</f>
        <v>2</v>
      </c>
      <c r="E22" s="18">
        <f ca="1">IF($A22="","",Data!Y22)</f>
        <v>0</v>
      </c>
      <c r="F22" s="61">
        <f t="shared" ca="1" si="0"/>
        <v>0.0</v>
      </c>
      <c r="G22" s="18">
        <f ca="1">IF($A22="","",Data!AB22)</f>
        <v>0</v>
      </c>
      <c r="H22" s="18">
        <f ca="1">IF($A22="","",Data!AC22)</f>
        <v>0</v>
      </c>
      <c r="I22" s="18">
        <f ca="1">IF($A22="","",INT(SUMIFS(Data!$AN$4:$AN$183,Data!$AM$4:$AM$183,$B22,Data!$AL$4:$AL$183,$A22,Data!$AK$4:$AK$183,$C22))+MOD(ROUND(SUMIFS(Data!$AN$4:$AN$183,Data!$AM$4:$AM$183,$B22,Data!$AL$4:$AL$183,$A22,Data!$AK$4:$AK$183,$C22)*3,0),3)/10)</f>
        <v>0</v>
      </c>
      <c r="J22" s="18">
        <f ca="1">IF($A22="","",SUMIFS(Data!$AQ$4:$AQ$183,Data!$AM$4:$AM$183,$B22,Data!$AL$4:$AL$183,$A22,Data!$AK$4:$AK$183,$C22))</f>
        <v>0</v>
      </c>
      <c r="K22" s="62">
        <f ca="1">IF($A22="","",IF(SUMIFS(Data!$AN$4:$AN$183,Data!$AM$4:$AM$183,$B22,Data!$AL$4:$AL$183,$A22,Data!$AK$4:$AK$183,$C22)=0,"",J22*3/SUMIFS(Data!$AN$4:$AN$183,Data!$AM$4:$AM$183,$B22,Data!$AL$4:$AL$183,$A22,Data!$AK$4:$AK$183,$C22)))</f>
      </c>
      <c r="L22" s="18">
        <f ca="1">IF($A22="","",IF(IFERROR(_xlfn.XLOOKUP($C22,Bracket!$F$6:$F$16,Bracket!$K$6:$K$16,""),"")=$B22,1,0))</f>
        <v>0</v>
      </c>
      <c r="M22" s="18">
        <f ca="1">IF($A22="","",IF(AND(IFERROR(_xlfn.XLOOKUP($C22,Bracket!$F$6:$F$16,Bracket!$K$6:$K$16,""),"")=$B22,LEFT(IFERROR(_xlfn.XLOOKUP($C22,Bracket!$F$6:$F$16,Bracket!$G$6:$G$16,""),""),2)="CG"),1,0))</f>
        <v>0</v>
      </c>
      <c r="N22" s="18">
        <f ca="1">IF($A22="","",SUMIFS(Data!$X$4:$X$273,Data!$T$4:$T$273,$A22,Data!$U$4:$U$273,$B22,Data!$S$4:$S$273,$C22))</f>
        <v>0</v>
      </c>
      <c r="O22" s="18">
        <f ca="1">IF($A22="","",SUMIFS(Data!$Z$4:$Z$273,Data!$T$4:$T$273,$A22,Data!$U$4:$U$273,$B22,Data!$S$4:$S$273,$C22))</f>
        <v>0</v>
      </c>
      <c r="P22" s="18">
        <f ca="1">IF($A22="","",SUMIFS(Data!$AA$4:$AA$273,Data!$T$4:$T$273,$A22,Data!$U$4:$U$273,$B22,Data!$S$4:$S$273,$C22))</f>
        <v>0</v>
      </c>
      <c r="Q22" s="18">
        <f ca="1">IF($A22="","",SUMIFS(Data!$AD$4:$AD$273,Data!$T$4:$T$273,$A22,Data!$U$4:$U$273,$B22,Data!$S$4:$S$273,$C22))</f>
        <v>0</v>
      </c>
      <c r="R22" s="18">
        <f ca="1">IF($A22="","",SUMIFS(Data!$AE$4:$AE$273,Data!$T$4:$T$273,$A22,Data!$U$4:$U$273,$B22,Data!$S$4:$S$273,$C22))</f>
        <v>0</v>
      </c>
      <c r="S22" s="18">
        <f ca="1">IF($A22="","",SUMIFS(Data!$AF$4:$AF$273,Data!$T$4:$T$273,$A22,Data!$U$4:$U$273,$B22,Data!$S$4:$S$273,$C22))</f>
        <v>0</v>
      </c>
      <c r="T22" s="18">
        <f ca="1">IF($A22="","",SUMIFS(Data!$AG$4:$AG$273,Data!$T$4:$T$273,$A22,Data!$U$4:$U$273,$B22,Data!$S$4:$S$273,$C22))</f>
        <v>0</v>
      </c>
      <c r="U22" s="18">
        <f ca="1">IF($A22="","",SUMIFS(Data!$AH$4:$AH$273,Data!$T$4:$T$273,$A22,Data!$U$4:$U$273,$B22,Data!$S$4:$S$273,$C22))</f>
        <v>0</v>
      </c>
      <c r="V22" s="18">
        <f ca="1">IF($A22="","",SUMIFS(Data!$AO$4:$AO$183,Data!$AM$4:$AM$183,$B22,Data!$AL$4:$AL$183,$A22,Data!$AK$4:$AK$183,$C22))</f>
        <v>0</v>
      </c>
      <c r="W22" s="18">
        <f ca="1">IF($A22="","",SUMIFS(Data!$AP$4:$AP$183,Data!$AM$4:$AM$183,$B22,Data!$AL$4:$AL$183,$A22,Data!$AK$4:$AK$183,$C22))</f>
        <v>0</v>
      </c>
      <c r="X22" s="18">
        <f ca="1">IF($A22="","",SUMIFS(Data!$AR$4:$AR$183,Data!$AM$4:$AM$183,$B22,Data!$AL$4:$AL$183,$A22,Data!$AK$4:$AK$183,$C22))</f>
        <v>0</v>
      </c>
      <c r="Y22" s="18">
        <f ca="1">IF($A22="","",SUMIFS(Data!$AS$4:$AS$183,Data!$AM$4:$AM$183,$B22,Data!$AL$4:$AL$183,$A22,Data!$AK$4:$AK$183,$C22))</f>
        <v>0</v>
      </c>
      <c r="Z22" s="18">
        <f ca="1">IF($A22="","",SUMIFS(Data!$AT$4:$AT$183,Data!$AM$4:$AM$183,$B22,Data!$AL$4:$AL$183,$A22,Data!$AK$4:$AK$183,$C22))</f>
        <v>0</v>
      </c>
      <c r="AA22" s="18">
        <f ca="1">IF($A22="","",SUMIFS(Data!$AW$4:$AW$183,Data!$AM$4:$AM$183,$B22,Data!$AL$4:$AL$183,$A22,Data!$AK$4:$AK$183,$C22))</f>
        <v>0</v>
      </c>
      <c r="AB22" s="18">
        <f ca="1">IF($A22="","",SUMIFS(Data!$AX$4:$AX$183,Data!$AM$4:$AM$183,$B22,Data!$AL$4:$AL$183,$A22,Data!$AK$4:$AK$183,$C22))</f>
        <v>0</v>
      </c>
      <c r="AC22" s="18">
        <f ca="1">IF($A22="","",SUMIFS(Data!$AY$4:$AY$183,Data!$AM$4:$AM$183,$B22,Data!$AL$4:$AL$183,$A22,Data!$AK$4:$AK$183,$C22))</f>
        <v>0</v>
      </c>
      <c r="AD22" s="18">
        <f t="shared" ca="1" si="1"/>
        <v>0</v>
      </c>
      <c r="AE22" s="18">
        <f ca="1">IF($A22="","",SUMIFS(Data!$AJ$4:$AJ$183,Data!$AM$4:$AM$183,$B22,Data!$AL$4:$AL$183,$A22,Data!$AK$4:$AK$183,$C22))</f>
        <v>0</v>
      </c>
    </row>
    <row r="23" spans="1:31">
      <c r="A23" s="116" t="str">
        <f ca="1">IF(Data!T23="","",Data!T23)</f>
        <v>Aidan</v>
      </c>
      <c r="B23" s="18" t="str">
        <f ca="1">IF(Data!U23="","",Data!U23)</f>
        <v>Blue Pianta</v>
      </c>
      <c r="C23" s="18" t="str">
        <f ca="1">IF(Data!S23="","",Data!S23)</f>
        <v>G2</v>
      </c>
      <c r="D23" s="18">
        <f ca="1">IF($A23="","",Data!W23)</f>
        <v>2</v>
      </c>
      <c r="E23" s="18">
        <f ca="1">IF($A23="","",Data!Y23)</f>
        <v>0</v>
      </c>
      <c r="F23" s="61">
        <f t="shared" ca="1" si="0"/>
        <v>0.0</v>
      </c>
      <c r="G23" s="18">
        <f ca="1">IF($A23="","",Data!AB23)</f>
        <v>0</v>
      </c>
      <c r="H23" s="18">
        <f ca="1">IF($A23="","",Data!AC23)</f>
        <v>0</v>
      </c>
      <c r="I23" s="18">
        <f ca="1">IF($A23="","",INT(SUMIFS(Data!$AN$4:$AN$183,Data!$AM$4:$AM$183,$B23,Data!$AL$4:$AL$183,$A23,Data!$AK$4:$AK$183,$C23))+MOD(ROUND(SUMIFS(Data!$AN$4:$AN$183,Data!$AM$4:$AM$183,$B23,Data!$AL$4:$AL$183,$A23,Data!$AK$4:$AK$183,$C23)*3,0),3)/10)</f>
        <v>0</v>
      </c>
      <c r="J23" s="18">
        <f ca="1">IF($A23="","",SUMIFS(Data!$AQ$4:$AQ$183,Data!$AM$4:$AM$183,$B23,Data!$AL$4:$AL$183,$A23,Data!$AK$4:$AK$183,$C23))</f>
        <v>0</v>
      </c>
      <c r="K23" s="62">
        <f ca="1">IF($A23="","",IF(SUMIFS(Data!$AN$4:$AN$183,Data!$AM$4:$AM$183,$B23,Data!$AL$4:$AL$183,$A23,Data!$AK$4:$AK$183,$C23)=0,"",J23*3/SUMIFS(Data!$AN$4:$AN$183,Data!$AM$4:$AM$183,$B23,Data!$AL$4:$AL$183,$A23,Data!$AK$4:$AK$183,$C23)))</f>
      </c>
      <c r="L23" s="18">
        <f ca="1">IF($A23="","",IF(IFERROR(_xlfn.XLOOKUP($C23,Bracket!$F$6:$F$16,Bracket!$K$6:$K$16,""),"")=$B23,1,0))</f>
        <v>0</v>
      </c>
      <c r="M23" s="18">
        <f ca="1">IF($A23="","",IF(AND(IFERROR(_xlfn.XLOOKUP($C23,Bracket!$F$6:$F$16,Bracket!$K$6:$K$16,""),"")=$B23,LEFT(IFERROR(_xlfn.XLOOKUP($C23,Bracket!$F$6:$F$16,Bracket!$G$6:$G$16,""),""),2)="CG"),1,0))</f>
        <v>0</v>
      </c>
      <c r="N23" s="18">
        <f ca="1">IF($A23="","",SUMIFS(Data!$X$4:$X$273,Data!$T$4:$T$273,$A23,Data!$U$4:$U$273,$B23,Data!$S$4:$S$273,$C23))</f>
        <v>0</v>
      </c>
      <c r="O23" s="18">
        <f ca="1">IF($A23="","",SUMIFS(Data!$Z$4:$Z$273,Data!$T$4:$T$273,$A23,Data!$U$4:$U$273,$B23,Data!$S$4:$S$273,$C23))</f>
        <v>0</v>
      </c>
      <c r="P23" s="18">
        <f ca="1">IF($A23="","",SUMIFS(Data!$AA$4:$AA$273,Data!$T$4:$T$273,$A23,Data!$U$4:$U$273,$B23,Data!$S$4:$S$273,$C23))</f>
        <v>0</v>
      </c>
      <c r="Q23" s="18">
        <f ca="1">IF($A23="","",SUMIFS(Data!$AD$4:$AD$273,Data!$T$4:$T$273,$A23,Data!$U$4:$U$273,$B23,Data!$S$4:$S$273,$C23))</f>
        <v>0</v>
      </c>
      <c r="R23" s="18">
        <f ca="1">IF($A23="","",SUMIFS(Data!$AE$4:$AE$273,Data!$T$4:$T$273,$A23,Data!$U$4:$U$273,$B23,Data!$S$4:$S$273,$C23))</f>
        <v>1</v>
      </c>
      <c r="S23" s="18">
        <f ca="1">IF($A23="","",SUMIFS(Data!$AF$4:$AF$273,Data!$T$4:$T$273,$A23,Data!$U$4:$U$273,$B23,Data!$S$4:$S$273,$C23))</f>
        <v>0</v>
      </c>
      <c r="T23" s="18">
        <f ca="1">IF($A23="","",SUMIFS(Data!$AG$4:$AG$273,Data!$T$4:$T$273,$A23,Data!$U$4:$U$273,$B23,Data!$S$4:$S$273,$C23))</f>
        <v>0</v>
      </c>
      <c r="U23" s="18">
        <f ca="1">IF($A23="","",SUMIFS(Data!$AH$4:$AH$273,Data!$T$4:$T$273,$A23,Data!$U$4:$U$273,$B23,Data!$S$4:$S$273,$C23))</f>
        <v>0</v>
      </c>
      <c r="V23" s="18">
        <f ca="1">IF($A23="","",SUMIFS(Data!$AO$4:$AO$183,Data!$AM$4:$AM$183,$B23,Data!$AL$4:$AL$183,$A23,Data!$AK$4:$AK$183,$C23))</f>
        <v>0</v>
      </c>
      <c r="W23" s="18">
        <f ca="1">IF($A23="","",SUMIFS(Data!$AP$4:$AP$183,Data!$AM$4:$AM$183,$B23,Data!$AL$4:$AL$183,$A23,Data!$AK$4:$AK$183,$C23))</f>
        <v>0</v>
      </c>
      <c r="X23" s="18">
        <f ca="1">IF($A23="","",SUMIFS(Data!$AR$4:$AR$183,Data!$AM$4:$AM$183,$B23,Data!$AL$4:$AL$183,$A23,Data!$AK$4:$AK$183,$C23))</f>
        <v>0</v>
      </c>
      <c r="Y23" s="18">
        <f ca="1">IF($A23="","",SUMIFS(Data!$AS$4:$AS$183,Data!$AM$4:$AM$183,$B23,Data!$AL$4:$AL$183,$A23,Data!$AK$4:$AK$183,$C23))</f>
        <v>0</v>
      </c>
      <c r="Z23" s="18">
        <f ca="1">IF($A23="","",SUMIFS(Data!$AT$4:$AT$183,Data!$AM$4:$AM$183,$B23,Data!$AL$4:$AL$183,$A23,Data!$AK$4:$AK$183,$C23))</f>
        <v>0</v>
      </c>
      <c r="AA23" s="18">
        <f ca="1">IF($A23="","",SUMIFS(Data!$AW$4:$AW$183,Data!$AM$4:$AM$183,$B23,Data!$AL$4:$AL$183,$A23,Data!$AK$4:$AK$183,$C23))</f>
        <v>0</v>
      </c>
      <c r="AB23" s="18">
        <f ca="1">IF($A23="","",SUMIFS(Data!$AX$4:$AX$183,Data!$AM$4:$AM$183,$B23,Data!$AL$4:$AL$183,$A23,Data!$AK$4:$AK$183,$C23))</f>
        <v>0</v>
      </c>
      <c r="AC23" s="18">
        <f ca="1">IF($A23="","",SUMIFS(Data!$AY$4:$AY$183,Data!$AM$4:$AM$183,$B23,Data!$AL$4:$AL$183,$A23,Data!$AK$4:$AK$183,$C23))</f>
        <v>0</v>
      </c>
      <c r="AD23" s="18">
        <f t="shared" ca="1" si="1"/>
        <v>0</v>
      </c>
      <c r="AE23" s="18">
        <f ca="1">IF($A23="","",SUMIFS(Data!$AJ$4:$AJ$183,Data!$AM$4:$AM$183,$B23,Data!$AL$4:$AL$183,$A23,Data!$AK$4:$AK$183,$C23))</f>
        <v>0</v>
      </c>
    </row>
    <row r="24" spans="1:31">
      <c r="A24" s="116" t="str">
        <f ca="1">IF(Data!T24="","",Data!T24)</f>
        <v>Aidan</v>
      </c>
      <c r="B24" s="18" t="str">
        <f ca="1">IF(Data!U24="","",Data!U24)</f>
        <v>Mario</v>
      </c>
      <c r="C24" s="18" t="str">
        <f ca="1">IF(Data!S24="","",Data!S24)</f>
        <v>G2</v>
      </c>
      <c r="D24" s="18">
        <f ca="1">IF($A24="","",Data!W24)</f>
        <v>2</v>
      </c>
      <c r="E24" s="18">
        <f ca="1">IF($A24="","",Data!Y24)</f>
        <v>2</v>
      </c>
      <c r="F24" s="61">
        <f t="shared" ca="1" si="0"/>
        <v>1.0</v>
      </c>
      <c r="G24" s="18">
        <f ca="1">IF($A24="","",Data!AB24)</f>
        <v>0</v>
      </c>
      <c r="H24" s="18">
        <f ca="1">IF($A24="","",Data!AC24)</f>
        <v>0</v>
      </c>
      <c r="I24" s="18">
        <f ca="1">IF($A24="","",INT(SUMIFS(Data!$AN$4:$AN$183,Data!$AM$4:$AM$183,$B24,Data!$AL$4:$AL$183,$A24,Data!$AK$4:$AK$183,$C24))+MOD(ROUND(SUMIFS(Data!$AN$4:$AN$183,Data!$AM$4:$AM$183,$B24,Data!$AL$4:$AL$183,$A24,Data!$AK$4:$AK$183,$C24)*3,0),3)/10)</f>
        <v>0</v>
      </c>
      <c r="J24" s="18">
        <f ca="1">IF($A24="","",SUMIFS(Data!$AQ$4:$AQ$183,Data!$AM$4:$AM$183,$B24,Data!$AL$4:$AL$183,$A24,Data!$AK$4:$AK$183,$C24))</f>
        <v>0</v>
      </c>
      <c r="K24" s="62">
        <f ca="1">IF($A24="","",IF(SUMIFS(Data!$AN$4:$AN$183,Data!$AM$4:$AM$183,$B24,Data!$AL$4:$AL$183,$A24,Data!$AK$4:$AK$183,$C24)=0,"",J24*3/SUMIFS(Data!$AN$4:$AN$183,Data!$AM$4:$AM$183,$B24,Data!$AL$4:$AL$183,$A24,Data!$AK$4:$AK$183,$C24)))</f>
      </c>
      <c r="L24" s="18">
        <f ca="1">IF($A24="","",IF(IFERROR(_xlfn.XLOOKUP($C24,Bracket!$F$6:$F$16,Bracket!$K$6:$K$16,""),"")=$B24,1,0))</f>
        <v>0</v>
      </c>
      <c r="M24" s="18">
        <f ca="1">IF($A24="","",IF(AND(IFERROR(_xlfn.XLOOKUP($C24,Bracket!$F$6:$F$16,Bracket!$K$6:$K$16,""),"")=$B24,LEFT(IFERROR(_xlfn.XLOOKUP($C24,Bracket!$F$6:$F$16,Bracket!$G$6:$G$16,""),""),2)="CG"),1,0))</f>
        <v>0</v>
      </c>
      <c r="N24" s="18">
        <f ca="1">IF($A24="","",SUMIFS(Data!$X$4:$X$273,Data!$T$4:$T$273,$A24,Data!$U$4:$U$273,$B24,Data!$S$4:$S$273,$C24))</f>
        <v>1</v>
      </c>
      <c r="O24" s="18">
        <f ca="1">IF($A24="","",SUMIFS(Data!$Z$4:$Z$273,Data!$T$4:$T$273,$A24,Data!$U$4:$U$273,$B24,Data!$S$4:$S$273,$C24))</f>
        <v>0</v>
      </c>
      <c r="P24" s="18">
        <f ca="1">IF($A24="","",SUMIFS(Data!$AA$4:$AA$273,Data!$T$4:$T$273,$A24,Data!$U$4:$U$273,$B24,Data!$S$4:$S$273,$C24))</f>
        <v>0</v>
      </c>
      <c r="Q24" s="18">
        <f ca="1">IF($A24="","",SUMIFS(Data!$AD$4:$AD$273,Data!$T$4:$T$273,$A24,Data!$U$4:$U$273,$B24,Data!$S$4:$S$273,$C24))</f>
        <v>0</v>
      </c>
      <c r="R24" s="18">
        <f ca="1">IF($A24="","",SUMIFS(Data!$AE$4:$AE$273,Data!$T$4:$T$273,$A24,Data!$U$4:$U$273,$B24,Data!$S$4:$S$273,$C24))</f>
        <v>0</v>
      </c>
      <c r="S24" s="18">
        <f ca="1">IF($A24="","",SUMIFS(Data!$AF$4:$AF$273,Data!$T$4:$T$273,$A24,Data!$U$4:$U$273,$B24,Data!$S$4:$S$273,$C24))</f>
        <v>0</v>
      </c>
      <c r="T24" s="18">
        <f ca="1">IF($A24="","",SUMIFS(Data!$AG$4:$AG$273,Data!$T$4:$T$273,$A24,Data!$U$4:$U$273,$B24,Data!$S$4:$S$273,$C24))</f>
        <v>0</v>
      </c>
      <c r="U24" s="18">
        <f ca="1">IF($A24="","",SUMIFS(Data!$AH$4:$AH$273,Data!$T$4:$T$273,$A24,Data!$U$4:$U$273,$B24,Data!$S$4:$S$273,$C24))</f>
        <v>0</v>
      </c>
      <c r="V24" s="18">
        <f ca="1">IF($A24="","",SUMIFS(Data!$AO$4:$AO$183,Data!$AM$4:$AM$183,$B24,Data!$AL$4:$AL$183,$A24,Data!$AK$4:$AK$183,$C24))</f>
        <v>0</v>
      </c>
      <c r="W24" s="18">
        <f ca="1">IF($A24="","",SUMIFS(Data!$AP$4:$AP$183,Data!$AM$4:$AM$183,$B24,Data!$AL$4:$AL$183,$A24,Data!$AK$4:$AK$183,$C24))</f>
        <v>0</v>
      </c>
      <c r="X24" s="18">
        <f ca="1">IF($A24="","",SUMIFS(Data!$AR$4:$AR$183,Data!$AM$4:$AM$183,$B24,Data!$AL$4:$AL$183,$A24,Data!$AK$4:$AK$183,$C24))</f>
        <v>0</v>
      </c>
      <c r="Y24" s="18">
        <f ca="1">IF($A24="","",SUMIFS(Data!$AS$4:$AS$183,Data!$AM$4:$AM$183,$B24,Data!$AL$4:$AL$183,$A24,Data!$AK$4:$AK$183,$C24))</f>
        <v>0</v>
      </c>
      <c r="Z24" s="18">
        <f ca="1">IF($A24="","",SUMIFS(Data!$AT$4:$AT$183,Data!$AM$4:$AM$183,$B24,Data!$AL$4:$AL$183,$A24,Data!$AK$4:$AK$183,$C24))</f>
        <v>0</v>
      </c>
      <c r="AA24" s="18">
        <f ca="1">IF($A24="","",SUMIFS(Data!$AW$4:$AW$183,Data!$AM$4:$AM$183,$B24,Data!$AL$4:$AL$183,$A24,Data!$AK$4:$AK$183,$C24))</f>
        <v>0</v>
      </c>
      <c r="AB24" s="18">
        <f ca="1">IF($A24="","",SUMIFS(Data!$AX$4:$AX$183,Data!$AM$4:$AM$183,$B24,Data!$AL$4:$AL$183,$A24,Data!$AK$4:$AK$183,$C24))</f>
        <v>0</v>
      </c>
      <c r="AC24" s="18">
        <f ca="1">IF($A24="","",SUMIFS(Data!$AY$4:$AY$183,Data!$AM$4:$AM$183,$B24,Data!$AL$4:$AL$183,$A24,Data!$AK$4:$AK$183,$C24))</f>
        <v>0</v>
      </c>
      <c r="AD24" s="18">
        <f t="shared" ca="1" si="1"/>
        <v>0</v>
      </c>
      <c r="AE24" s="18">
        <f ca="1">IF($A24="","",SUMIFS(Data!$AJ$4:$AJ$183,Data!$AM$4:$AM$183,$B24,Data!$AL$4:$AL$183,$A24,Data!$AK$4:$AK$183,$C24))</f>
        <v>0</v>
      </c>
    </row>
    <row r="25" spans="1:31">
      <c r="A25" s="116" t="str">
        <f ca="1">IF(Data!T25="","",Data!T25)</f>
        <v>Aidan</v>
      </c>
      <c r="B25" s="18" t="str">
        <f ca="1">IF(Data!U25="","",Data!U25)</f>
        <v>Yellow Pianta</v>
      </c>
      <c r="C25" s="18" t="str">
        <f ca="1">IF(Data!S25="","",Data!S25)</f>
        <v>G2</v>
      </c>
      <c r="D25" s="18">
        <f ca="1">IF($A25="","",Data!W25)</f>
        <v>2</v>
      </c>
      <c r="E25" s="18">
        <f ca="1">IF($A25="","",Data!Y25)</f>
        <v>1</v>
      </c>
      <c r="F25" s="61">
        <f t="shared" ca="1" si="0"/>
        <v>0.5</v>
      </c>
      <c r="G25" s="18">
        <f ca="1">IF($A25="","",Data!AB25)</f>
        <v>1</v>
      </c>
      <c r="H25" s="18">
        <f ca="1">IF($A25="","",Data!AC25)</f>
        <v>1</v>
      </c>
      <c r="I25" s="18">
        <f ca="1">IF($A25="","",INT(SUMIFS(Data!$AN$4:$AN$183,Data!$AM$4:$AM$183,$B25,Data!$AL$4:$AL$183,$A25,Data!$AK$4:$AK$183,$C25))+MOD(ROUND(SUMIFS(Data!$AN$4:$AN$183,Data!$AM$4:$AM$183,$B25,Data!$AL$4:$AL$183,$A25,Data!$AK$4:$AK$183,$C25)*3,0),3)/10)</f>
        <v>0</v>
      </c>
      <c r="J25" s="18">
        <f ca="1">IF($A25="","",SUMIFS(Data!$AQ$4:$AQ$183,Data!$AM$4:$AM$183,$B25,Data!$AL$4:$AL$183,$A25,Data!$AK$4:$AK$183,$C25))</f>
        <v>0</v>
      </c>
      <c r="K25" s="62">
        <f ca="1">IF($A25="","",IF(SUMIFS(Data!$AN$4:$AN$183,Data!$AM$4:$AM$183,$B25,Data!$AL$4:$AL$183,$A25,Data!$AK$4:$AK$183,$C25)=0,"",J25*3/SUMIFS(Data!$AN$4:$AN$183,Data!$AM$4:$AM$183,$B25,Data!$AL$4:$AL$183,$A25,Data!$AK$4:$AK$183,$C25)))</f>
      </c>
      <c r="L25" s="18">
        <f ca="1">IF($A25="","",IF(IFERROR(_xlfn.XLOOKUP($C25,Bracket!$F$6:$F$16,Bracket!$K$6:$K$16,""),"")=$B25,1,0))</f>
        <v>1</v>
      </c>
      <c r="M25" s="18">
        <f ca="1">IF($A25="","",IF(AND(IFERROR(_xlfn.XLOOKUP($C25,Bracket!$F$6:$F$16,Bracket!$K$6:$K$16,""),"")=$B25,LEFT(IFERROR(_xlfn.XLOOKUP($C25,Bracket!$F$6:$F$16,Bracket!$G$6:$G$16,""),""),2)="CG"),1,0))</f>
        <v>0</v>
      </c>
      <c r="N25" s="18">
        <f ca="1">IF($A25="","",SUMIFS(Data!$X$4:$X$273,Data!$T$4:$T$273,$A25,Data!$U$4:$U$273,$B25,Data!$S$4:$S$273,$C25))</f>
        <v>1</v>
      </c>
      <c r="O25" s="18">
        <f ca="1">IF($A25="","",SUMIFS(Data!$Z$4:$Z$273,Data!$T$4:$T$273,$A25,Data!$U$4:$U$273,$B25,Data!$S$4:$S$273,$C25))</f>
        <v>0</v>
      </c>
      <c r="P25" s="18">
        <f ca="1">IF($A25="","",SUMIFS(Data!$AA$4:$AA$273,Data!$T$4:$T$273,$A25,Data!$U$4:$U$273,$B25,Data!$S$4:$S$273,$C25))</f>
        <v>0</v>
      </c>
      <c r="Q25" s="18">
        <f ca="1">IF($A25="","",SUMIFS(Data!$AD$4:$AD$273,Data!$T$4:$T$273,$A25,Data!$U$4:$U$273,$B25,Data!$S$4:$S$273,$C25))</f>
        <v>0</v>
      </c>
      <c r="R25" s="18">
        <f ca="1">IF($A25="","",SUMIFS(Data!$AE$4:$AE$273,Data!$T$4:$T$273,$A25,Data!$U$4:$U$273,$B25,Data!$S$4:$S$273,$C25))</f>
        <v>0</v>
      </c>
      <c r="S25" s="18">
        <f ca="1">IF($A25="","",SUMIFS(Data!$AF$4:$AF$273,Data!$T$4:$T$273,$A25,Data!$U$4:$U$273,$B25,Data!$S$4:$S$273,$C25))</f>
        <v>0</v>
      </c>
      <c r="T25" s="18">
        <f ca="1">IF($A25="","",SUMIFS(Data!$AG$4:$AG$273,Data!$T$4:$T$273,$A25,Data!$U$4:$U$273,$B25,Data!$S$4:$S$273,$C25))</f>
        <v>0</v>
      </c>
      <c r="U25" s="18">
        <f ca="1">IF($A25="","",SUMIFS(Data!$AH$4:$AH$273,Data!$T$4:$T$273,$A25,Data!$U$4:$U$273,$B25,Data!$S$4:$S$273,$C25))</f>
        <v>0</v>
      </c>
      <c r="V25" s="18">
        <f ca="1">IF($A25="","",SUMIFS(Data!$AO$4:$AO$183,Data!$AM$4:$AM$183,$B25,Data!$AL$4:$AL$183,$A25,Data!$AK$4:$AK$183,$C25))</f>
        <v>0</v>
      </c>
      <c r="W25" s="18">
        <f ca="1">IF($A25="","",SUMIFS(Data!$AP$4:$AP$183,Data!$AM$4:$AM$183,$B25,Data!$AL$4:$AL$183,$A25,Data!$AK$4:$AK$183,$C25))</f>
        <v>0</v>
      </c>
      <c r="X25" s="18">
        <f ca="1">IF($A25="","",SUMIFS(Data!$AR$4:$AR$183,Data!$AM$4:$AM$183,$B25,Data!$AL$4:$AL$183,$A25,Data!$AK$4:$AK$183,$C25))</f>
        <v>0</v>
      </c>
      <c r="Y25" s="18">
        <f ca="1">IF($A25="","",SUMIFS(Data!$AS$4:$AS$183,Data!$AM$4:$AM$183,$B25,Data!$AL$4:$AL$183,$A25,Data!$AK$4:$AK$183,$C25))</f>
        <v>0</v>
      </c>
      <c r="Z25" s="18">
        <f ca="1">IF($A25="","",SUMIFS(Data!$AT$4:$AT$183,Data!$AM$4:$AM$183,$B25,Data!$AL$4:$AL$183,$A25,Data!$AK$4:$AK$183,$C25))</f>
        <v>0</v>
      </c>
      <c r="AA25" s="18">
        <f ca="1">IF($A25="","",SUMIFS(Data!$AW$4:$AW$183,Data!$AM$4:$AM$183,$B25,Data!$AL$4:$AL$183,$A25,Data!$AK$4:$AK$183,$C25))</f>
        <v>0</v>
      </c>
      <c r="AB25" s="18">
        <f ca="1">IF($A25="","",SUMIFS(Data!$AX$4:$AX$183,Data!$AM$4:$AM$183,$B25,Data!$AL$4:$AL$183,$A25,Data!$AK$4:$AK$183,$C25))</f>
        <v>0</v>
      </c>
      <c r="AC25" s="18">
        <f ca="1">IF($A25="","",SUMIFS(Data!$AY$4:$AY$183,Data!$AM$4:$AM$183,$B25,Data!$AL$4:$AL$183,$A25,Data!$AK$4:$AK$183,$C25))</f>
        <v>0</v>
      </c>
      <c r="AD25" s="18">
        <f t="shared" ca="1" si="1"/>
        <v>0</v>
      </c>
      <c r="AE25" s="18">
        <f ca="1">IF($A25="","",SUMIFS(Data!$AJ$4:$AJ$183,Data!$AM$4:$AM$183,$B25,Data!$AL$4:$AL$183,$A25,Data!$AK$4:$AK$183,$C25))</f>
        <v>0</v>
      </c>
    </row>
    <row r="26" spans="1:31">
      <c r="A26" s="116" t="str">
        <f ca="1">IF(Data!T26="","",Data!T26)</f>
        <v>Aidan</v>
      </c>
      <c r="B26" s="18" t="str">
        <f ca="1">IF(Data!U26="","",Data!U26)</f>
        <v>Blue Kritter</v>
      </c>
      <c r="C26" s="18" t="str">
        <f ca="1">IF(Data!S26="","",Data!S26)</f>
        <v>G2</v>
      </c>
      <c r="D26" s="18">
        <f ca="1">IF($A26="","",Data!W26)</f>
        <v>1</v>
      </c>
      <c r="E26" s="18">
        <f ca="1">IF($A26="","",Data!Y26)</f>
        <v>1</v>
      </c>
      <c r="F26" s="61">
        <f t="shared" ca="1" si="0"/>
        <v>1.0</v>
      </c>
      <c r="G26" s="18">
        <f ca="1">IF($A26="","",Data!AB26)</f>
        <v>0</v>
      </c>
      <c r="H26" s="18">
        <f ca="1">IF($A26="","",Data!AC26)</f>
        <v>0</v>
      </c>
      <c r="I26" s="18">
        <f ca="1">IF($A26="","",INT(SUMIFS(Data!$AN$4:$AN$183,Data!$AM$4:$AM$183,$B26,Data!$AL$4:$AL$183,$A26,Data!$AK$4:$AK$183,$C26))+MOD(ROUND(SUMIFS(Data!$AN$4:$AN$183,Data!$AM$4:$AM$183,$B26,Data!$AL$4:$AL$183,$A26,Data!$AK$4:$AK$183,$C26)*3,0),3)/10)</f>
        <v>1</v>
      </c>
      <c r="J26" s="18">
        <f ca="1">IF($A26="","",SUMIFS(Data!$AQ$4:$AQ$183,Data!$AM$4:$AM$183,$B26,Data!$AL$4:$AL$183,$A26,Data!$AK$4:$AK$183,$C26))</f>
        <v>1</v>
      </c>
      <c r="K26" s="62">
        <f ca="1">IF($A26="","",IF(SUMIFS(Data!$AN$4:$AN$183,Data!$AM$4:$AM$183,$B26,Data!$AL$4:$AL$183,$A26,Data!$AK$4:$AK$183,$C26)=0,"",J26*3/SUMIFS(Data!$AN$4:$AN$183,Data!$AM$4:$AM$183,$B26,Data!$AL$4:$AL$183,$A26,Data!$AK$4:$AK$183,$C26)))</f>
        <v>3.0</v>
      </c>
      <c r="L26" s="18">
        <f ca="1">IF($A26="","",IF(IFERROR(_xlfn.XLOOKUP($C26,Bracket!$F$6:$F$16,Bracket!$K$6:$K$16,""),"")=$B26,1,0))</f>
        <v>0</v>
      </c>
      <c r="M26" s="18">
        <f ca="1">IF($A26="","",IF(AND(IFERROR(_xlfn.XLOOKUP($C26,Bracket!$F$6:$F$16,Bracket!$K$6:$K$16,""),"")=$B26,LEFT(IFERROR(_xlfn.XLOOKUP($C26,Bracket!$F$6:$F$16,Bracket!$G$6:$G$16,""),""),2)="CG"),1,0))</f>
        <v>0</v>
      </c>
      <c r="N26" s="18">
        <f ca="1">IF($A26="","",SUMIFS(Data!$X$4:$X$273,Data!$T$4:$T$273,$A26,Data!$U$4:$U$273,$B26,Data!$S$4:$S$273,$C26))</f>
        <v>1</v>
      </c>
      <c r="O26" s="18">
        <f ca="1">IF($A26="","",SUMIFS(Data!$Z$4:$Z$273,Data!$T$4:$T$273,$A26,Data!$U$4:$U$273,$B26,Data!$S$4:$S$273,$C26))</f>
        <v>0</v>
      </c>
      <c r="P26" s="18">
        <f ca="1">IF($A26="","",SUMIFS(Data!$AA$4:$AA$273,Data!$T$4:$T$273,$A26,Data!$U$4:$U$273,$B26,Data!$S$4:$S$273,$C26))</f>
        <v>1</v>
      </c>
      <c r="Q26" s="18">
        <f ca="1">IF($A26="","",SUMIFS(Data!$AD$4:$AD$273,Data!$T$4:$T$273,$A26,Data!$U$4:$U$273,$B26,Data!$S$4:$S$273,$C26))</f>
        <v>0</v>
      </c>
      <c r="R26" s="18">
        <f ca="1">IF($A26="","",SUMIFS(Data!$AE$4:$AE$273,Data!$T$4:$T$273,$A26,Data!$U$4:$U$273,$B26,Data!$S$4:$S$273,$C26))</f>
        <v>0</v>
      </c>
      <c r="S26" s="18">
        <f ca="1">IF($A26="","",SUMIFS(Data!$AF$4:$AF$273,Data!$T$4:$T$273,$A26,Data!$U$4:$U$273,$B26,Data!$S$4:$S$273,$C26))</f>
        <v>0</v>
      </c>
      <c r="T26" s="18">
        <f ca="1">IF($A26="","",SUMIFS(Data!$AG$4:$AG$273,Data!$T$4:$T$273,$A26,Data!$U$4:$U$273,$B26,Data!$S$4:$S$273,$C26))</f>
        <v>0</v>
      </c>
      <c r="U26" s="18">
        <f ca="1">IF($A26="","",SUMIFS(Data!$AH$4:$AH$273,Data!$T$4:$T$273,$A26,Data!$U$4:$U$273,$B26,Data!$S$4:$S$273,$C26))</f>
        <v>0</v>
      </c>
      <c r="V26" s="18">
        <f ca="1">IF($A26="","",SUMIFS(Data!$AO$4:$AO$183,Data!$AM$4:$AM$183,$B26,Data!$AL$4:$AL$183,$A26,Data!$AK$4:$AK$183,$C26))</f>
        <v>2</v>
      </c>
      <c r="W26" s="18">
        <f ca="1">IF($A26="","",SUMIFS(Data!$AP$4:$AP$183,Data!$AM$4:$AM$183,$B26,Data!$AL$4:$AL$183,$A26,Data!$AK$4:$AK$183,$C26))</f>
        <v>1</v>
      </c>
      <c r="X26" s="18">
        <f ca="1">IF($A26="","",SUMIFS(Data!$AR$4:$AR$183,Data!$AM$4:$AM$183,$B26,Data!$AL$4:$AL$183,$A26,Data!$AK$4:$AK$183,$C26))</f>
        <v>0</v>
      </c>
      <c r="Y26" s="18">
        <f ca="1">IF($A26="","",SUMIFS(Data!$AS$4:$AS$183,Data!$AM$4:$AM$183,$B26,Data!$AL$4:$AL$183,$A26,Data!$AK$4:$AK$183,$C26))</f>
        <v>2</v>
      </c>
      <c r="Z26" s="18">
        <f ca="1">IF($A26="","",SUMIFS(Data!$AT$4:$AT$183,Data!$AM$4:$AM$183,$B26,Data!$AL$4:$AL$183,$A26,Data!$AK$4:$AK$183,$C26))</f>
        <v>1</v>
      </c>
      <c r="AA26" s="18">
        <f ca="1">IF($A26="","",SUMIFS(Data!$AW$4:$AW$183,Data!$AM$4:$AM$183,$B26,Data!$AL$4:$AL$183,$A26,Data!$AK$4:$AK$183,$C26))</f>
        <v>1</v>
      </c>
      <c r="AB26" s="18">
        <f ca="1">IF($A26="","",SUMIFS(Data!$AX$4:$AX$183,Data!$AM$4:$AM$183,$B26,Data!$AL$4:$AL$183,$A26,Data!$AK$4:$AK$183,$C26))</f>
        <v>0</v>
      </c>
      <c r="AC26" s="18">
        <f ca="1">IF($A26="","",SUMIFS(Data!$AY$4:$AY$183,Data!$AM$4:$AM$183,$B26,Data!$AL$4:$AL$183,$A26,Data!$AK$4:$AK$183,$C26))</f>
        <v>0</v>
      </c>
      <c r="AD26" s="18">
        <f t="shared" ca="1" si="1"/>
        <v>2.0</v>
      </c>
      <c r="AE26" s="18">
        <f ca="1">IF($A26="","",SUMIFS(Data!$AJ$4:$AJ$183,Data!$AM$4:$AM$183,$B26,Data!$AL$4:$AL$183,$A26,Data!$AK$4:$AK$183,$C26))</f>
        <v>5</v>
      </c>
    </row>
    <row r="27" spans="1:31">
      <c r="A27" s="116" t="str">
        <f ca="1">IF(Data!T27="","",Data!T27)</f>
        <v>Aidan</v>
      </c>
      <c r="B27" s="18" t="str">
        <f ca="1">IF(Data!U27="","",Data!U27)</f>
        <v>Luigi</v>
      </c>
      <c r="C27" s="18" t="str">
        <f ca="1">IF(Data!S27="","",Data!S27)</f>
        <v>G2</v>
      </c>
      <c r="D27" s="18">
        <f ca="1">IF($A27="","",Data!W27)</f>
        <v>1</v>
      </c>
      <c r="E27" s="18">
        <f ca="1">IF($A27="","",Data!Y27)</f>
        <v>1</v>
      </c>
      <c r="F27" s="61">
        <f t="shared" ca="1" si="0"/>
        <v>1.0</v>
      </c>
      <c r="G27" s="18">
        <f ca="1">IF($A27="","",Data!AB27)</f>
        <v>0</v>
      </c>
      <c r="H27" s="18">
        <f ca="1">IF($A27="","",Data!AC27)</f>
        <v>1</v>
      </c>
      <c r="I27" s="18">
        <f ca="1">IF($A27="","",INT(SUMIFS(Data!$AN$4:$AN$183,Data!$AM$4:$AM$183,$B27,Data!$AL$4:$AL$183,$A27,Data!$AK$4:$AK$183,$C27))+MOD(ROUND(SUMIFS(Data!$AN$4:$AN$183,Data!$AM$4:$AM$183,$B27,Data!$AL$4:$AL$183,$A27,Data!$AK$4:$AK$183,$C27)*3,0),3)/10)</f>
        <v>0</v>
      </c>
      <c r="J27" s="18">
        <f ca="1">IF($A27="","",SUMIFS(Data!$AQ$4:$AQ$183,Data!$AM$4:$AM$183,$B27,Data!$AL$4:$AL$183,$A27,Data!$AK$4:$AK$183,$C27))</f>
        <v>0</v>
      </c>
      <c r="K27" s="62">
        <f ca="1">IF($A27="","",IF(SUMIFS(Data!$AN$4:$AN$183,Data!$AM$4:$AM$183,$B27,Data!$AL$4:$AL$183,$A27,Data!$AK$4:$AK$183,$C27)=0,"",J27*3/SUMIFS(Data!$AN$4:$AN$183,Data!$AM$4:$AM$183,$B27,Data!$AL$4:$AL$183,$A27,Data!$AK$4:$AK$183,$C27)))</f>
      </c>
      <c r="L27" s="18">
        <f ca="1">IF($A27="","",IF(IFERROR(_xlfn.XLOOKUP($C27,Bracket!$F$6:$F$16,Bracket!$K$6:$K$16,""),"")=$B27,1,0))</f>
        <v>0</v>
      </c>
      <c r="M27" s="18">
        <f ca="1">IF($A27="","",IF(AND(IFERROR(_xlfn.XLOOKUP($C27,Bracket!$F$6:$F$16,Bracket!$K$6:$K$16,""),"")=$B27,LEFT(IFERROR(_xlfn.XLOOKUP($C27,Bracket!$F$6:$F$16,Bracket!$G$6:$G$16,""),""),2)="CG"),1,0))</f>
        <v>0</v>
      </c>
      <c r="N27" s="18">
        <f ca="1">IF($A27="","",SUMIFS(Data!$X$4:$X$273,Data!$T$4:$T$273,$A27,Data!$U$4:$U$273,$B27,Data!$S$4:$S$273,$C27))</f>
        <v>1</v>
      </c>
      <c r="O27" s="18">
        <f ca="1">IF($A27="","",SUMIFS(Data!$Z$4:$Z$273,Data!$T$4:$T$273,$A27,Data!$U$4:$U$273,$B27,Data!$S$4:$S$273,$C27))</f>
        <v>0</v>
      </c>
      <c r="P27" s="18">
        <f ca="1">IF($A27="","",SUMIFS(Data!$AA$4:$AA$273,Data!$T$4:$T$273,$A27,Data!$U$4:$U$273,$B27,Data!$S$4:$S$273,$C27))</f>
        <v>0</v>
      </c>
      <c r="Q27" s="18">
        <f ca="1">IF($A27="","",SUMIFS(Data!$AD$4:$AD$273,Data!$T$4:$T$273,$A27,Data!$U$4:$U$273,$B27,Data!$S$4:$S$273,$C27))</f>
        <v>0</v>
      </c>
      <c r="R27" s="18">
        <f ca="1">IF($A27="","",SUMIFS(Data!$AE$4:$AE$273,Data!$T$4:$T$273,$A27,Data!$U$4:$U$273,$B27,Data!$S$4:$S$273,$C27))</f>
        <v>0</v>
      </c>
      <c r="S27" s="18">
        <f ca="1">IF($A27="","",SUMIFS(Data!$AF$4:$AF$273,Data!$T$4:$T$273,$A27,Data!$U$4:$U$273,$B27,Data!$S$4:$S$273,$C27))</f>
        <v>0</v>
      </c>
      <c r="T27" s="18">
        <f ca="1">IF($A27="","",SUMIFS(Data!$AG$4:$AG$273,Data!$T$4:$T$273,$A27,Data!$U$4:$U$273,$B27,Data!$S$4:$S$273,$C27))</f>
        <v>0</v>
      </c>
      <c r="U27" s="18">
        <f ca="1">IF($A27="","",SUMIFS(Data!$AH$4:$AH$273,Data!$T$4:$T$273,$A27,Data!$U$4:$U$273,$B27,Data!$S$4:$S$273,$C27))</f>
        <v>0</v>
      </c>
      <c r="V27" s="18">
        <f ca="1">IF($A27="","",SUMIFS(Data!$AO$4:$AO$183,Data!$AM$4:$AM$183,$B27,Data!$AL$4:$AL$183,$A27,Data!$AK$4:$AK$183,$C27))</f>
        <v>0</v>
      </c>
      <c r="W27" s="18">
        <f ca="1">IF($A27="","",SUMIFS(Data!$AP$4:$AP$183,Data!$AM$4:$AM$183,$B27,Data!$AL$4:$AL$183,$A27,Data!$AK$4:$AK$183,$C27))</f>
        <v>0</v>
      </c>
      <c r="X27" s="18">
        <f ca="1">IF($A27="","",SUMIFS(Data!$AR$4:$AR$183,Data!$AM$4:$AM$183,$B27,Data!$AL$4:$AL$183,$A27,Data!$AK$4:$AK$183,$C27))</f>
        <v>0</v>
      </c>
      <c r="Y27" s="18">
        <f ca="1">IF($A27="","",SUMIFS(Data!$AS$4:$AS$183,Data!$AM$4:$AM$183,$B27,Data!$AL$4:$AL$183,$A27,Data!$AK$4:$AK$183,$C27))</f>
        <v>0</v>
      </c>
      <c r="Z27" s="18">
        <f ca="1">IF($A27="","",SUMIFS(Data!$AT$4:$AT$183,Data!$AM$4:$AM$183,$B27,Data!$AL$4:$AL$183,$A27,Data!$AK$4:$AK$183,$C27))</f>
        <v>0</v>
      </c>
      <c r="AA27" s="18">
        <f ca="1">IF($A27="","",SUMIFS(Data!$AW$4:$AW$183,Data!$AM$4:$AM$183,$B27,Data!$AL$4:$AL$183,$A27,Data!$AK$4:$AK$183,$C27))</f>
        <v>0</v>
      </c>
      <c r="AB27" s="18">
        <f ca="1">IF($A27="","",SUMIFS(Data!$AX$4:$AX$183,Data!$AM$4:$AM$183,$B27,Data!$AL$4:$AL$183,$A27,Data!$AK$4:$AK$183,$C27))</f>
        <v>0</v>
      </c>
      <c r="AC27" s="18">
        <f ca="1">IF($A27="","",SUMIFS(Data!$AY$4:$AY$183,Data!$AM$4:$AM$183,$B27,Data!$AL$4:$AL$183,$A27,Data!$AK$4:$AK$183,$C27))</f>
        <v>0</v>
      </c>
      <c r="AD27" s="18">
        <f t="shared" ca="1" si="1"/>
        <v>0</v>
      </c>
      <c r="AE27" s="18">
        <f ca="1">IF($A27="","",SUMIFS(Data!$AJ$4:$AJ$183,Data!$AM$4:$AM$183,$B27,Data!$AL$4:$AL$183,$A27,Data!$AK$4:$AK$183,$C27))</f>
        <v>0</v>
      </c>
    </row>
    <row r="28" spans="1:31">
      <c r="A28" s="116" t="str">
        <f ca="1">IF(Data!T28="","",Data!T28)</f>
        <v>Aidan</v>
      </c>
      <c r="B28" s="18" t="str">
        <f ca="1">IF(Data!U28="","",Data!U28)</f>
        <v>Blue Dry Bones</v>
      </c>
      <c r="C28" s="18" t="str">
        <f ca="1">IF(Data!S28="","",Data!S28)</f>
        <v>G2</v>
      </c>
      <c r="D28" s="18">
        <f ca="1">IF($A28="","",Data!W28)</f>
        <v>1</v>
      </c>
      <c r="E28" s="18">
        <f ca="1">IF($A28="","",Data!Y28)</f>
        <v>1</v>
      </c>
      <c r="F28" s="61">
        <f t="shared" ca="1" si="0"/>
        <v>1.0</v>
      </c>
      <c r="G28" s="18">
        <f ca="1">IF($A28="","",Data!AB28)</f>
        <v>1</v>
      </c>
      <c r="H28" s="18">
        <f ca="1">IF($A28="","",Data!AC28)</f>
        <v>2</v>
      </c>
      <c r="I28" s="18">
        <f ca="1">IF($A28="","",INT(SUMIFS(Data!$AN$4:$AN$183,Data!$AM$4:$AM$183,$B28,Data!$AL$4:$AL$183,$A28,Data!$AK$4:$AK$183,$C28))+MOD(ROUND(SUMIFS(Data!$AN$4:$AN$183,Data!$AM$4:$AM$183,$B28,Data!$AL$4:$AL$183,$A28,Data!$AK$4:$AK$183,$C28)*3,0),3)/10)</f>
        <v>0</v>
      </c>
      <c r="J28" s="18">
        <f ca="1">IF($A28="","",SUMIFS(Data!$AQ$4:$AQ$183,Data!$AM$4:$AM$183,$B28,Data!$AL$4:$AL$183,$A28,Data!$AK$4:$AK$183,$C28))</f>
        <v>0</v>
      </c>
      <c r="K28" s="62">
        <f ca="1">IF($A28="","",IF(SUMIFS(Data!$AN$4:$AN$183,Data!$AM$4:$AM$183,$B28,Data!$AL$4:$AL$183,$A28,Data!$AK$4:$AK$183,$C28)=0,"",J28*3/SUMIFS(Data!$AN$4:$AN$183,Data!$AM$4:$AM$183,$B28,Data!$AL$4:$AL$183,$A28,Data!$AK$4:$AK$183,$C28)))</f>
      </c>
      <c r="L28" s="18">
        <f ca="1">IF($A28="","",IF(IFERROR(_xlfn.XLOOKUP($C28,Bracket!$F$6:$F$16,Bracket!$K$6:$K$16,""),"")=$B28,1,0))</f>
        <v>0</v>
      </c>
      <c r="M28" s="18">
        <f ca="1">IF($A28="","",IF(AND(IFERROR(_xlfn.XLOOKUP($C28,Bracket!$F$6:$F$16,Bracket!$K$6:$K$16,""),"")=$B28,LEFT(IFERROR(_xlfn.XLOOKUP($C28,Bracket!$F$6:$F$16,Bracket!$G$6:$G$16,""),""),2)="CG"),1,0))</f>
        <v>0</v>
      </c>
      <c r="N28" s="18">
        <f ca="1">IF($A28="","",SUMIFS(Data!$X$4:$X$273,Data!$T$4:$T$273,$A28,Data!$U$4:$U$273,$B28,Data!$S$4:$S$273,$C28))</f>
        <v>1</v>
      </c>
      <c r="O28" s="18">
        <f ca="1">IF($A28="","",SUMIFS(Data!$Z$4:$Z$273,Data!$T$4:$T$273,$A28,Data!$U$4:$U$273,$B28,Data!$S$4:$S$273,$C28))</f>
        <v>0</v>
      </c>
      <c r="P28" s="18">
        <f ca="1">IF($A28="","",SUMIFS(Data!$AA$4:$AA$273,Data!$T$4:$T$273,$A28,Data!$U$4:$U$273,$B28,Data!$S$4:$S$273,$C28))</f>
        <v>0</v>
      </c>
      <c r="Q28" s="18">
        <f ca="1">IF($A28="","",SUMIFS(Data!$AD$4:$AD$273,Data!$T$4:$T$273,$A28,Data!$U$4:$U$273,$B28,Data!$S$4:$S$273,$C28))</f>
        <v>0</v>
      </c>
      <c r="R28" s="18">
        <f ca="1">IF($A28="","",SUMIFS(Data!$AE$4:$AE$273,Data!$T$4:$T$273,$A28,Data!$U$4:$U$273,$B28,Data!$S$4:$S$273,$C28))</f>
        <v>0</v>
      </c>
      <c r="S28" s="18">
        <f ca="1">IF($A28="","",SUMIFS(Data!$AF$4:$AF$273,Data!$T$4:$T$273,$A28,Data!$U$4:$U$273,$B28,Data!$S$4:$S$273,$C28))</f>
        <v>0</v>
      </c>
      <c r="T28" s="18">
        <f ca="1">IF($A28="","",SUMIFS(Data!$AG$4:$AG$273,Data!$T$4:$T$273,$A28,Data!$U$4:$U$273,$B28,Data!$S$4:$S$273,$C28))</f>
        <v>0</v>
      </c>
      <c r="U28" s="18">
        <f ca="1">IF($A28="","",SUMIFS(Data!$AH$4:$AH$273,Data!$T$4:$T$273,$A28,Data!$U$4:$U$273,$B28,Data!$S$4:$S$273,$C28))</f>
        <v>0</v>
      </c>
      <c r="V28" s="18">
        <f ca="1">IF($A28="","",SUMIFS(Data!$AO$4:$AO$183,Data!$AM$4:$AM$183,$B28,Data!$AL$4:$AL$183,$A28,Data!$AK$4:$AK$183,$C28))</f>
        <v>0</v>
      </c>
      <c r="W28" s="18">
        <f ca="1">IF($A28="","",SUMIFS(Data!$AP$4:$AP$183,Data!$AM$4:$AM$183,$B28,Data!$AL$4:$AL$183,$A28,Data!$AK$4:$AK$183,$C28))</f>
        <v>0</v>
      </c>
      <c r="X28" s="18">
        <f ca="1">IF($A28="","",SUMIFS(Data!$AR$4:$AR$183,Data!$AM$4:$AM$183,$B28,Data!$AL$4:$AL$183,$A28,Data!$AK$4:$AK$183,$C28))</f>
        <v>0</v>
      </c>
      <c r="Y28" s="18">
        <f ca="1">IF($A28="","",SUMIFS(Data!$AS$4:$AS$183,Data!$AM$4:$AM$183,$B28,Data!$AL$4:$AL$183,$A28,Data!$AK$4:$AK$183,$C28))</f>
        <v>0</v>
      </c>
      <c r="Z28" s="18">
        <f ca="1">IF($A28="","",SUMIFS(Data!$AT$4:$AT$183,Data!$AM$4:$AM$183,$B28,Data!$AL$4:$AL$183,$A28,Data!$AK$4:$AK$183,$C28))</f>
        <v>0</v>
      </c>
      <c r="AA28" s="18">
        <f ca="1">IF($A28="","",SUMIFS(Data!$AW$4:$AW$183,Data!$AM$4:$AM$183,$B28,Data!$AL$4:$AL$183,$A28,Data!$AK$4:$AK$183,$C28))</f>
        <v>0</v>
      </c>
      <c r="AB28" s="18">
        <f ca="1">IF($A28="","",SUMIFS(Data!$AX$4:$AX$183,Data!$AM$4:$AM$183,$B28,Data!$AL$4:$AL$183,$A28,Data!$AK$4:$AK$183,$C28))</f>
        <v>0</v>
      </c>
      <c r="AC28" s="18">
        <f ca="1">IF($A28="","",SUMIFS(Data!$AY$4:$AY$183,Data!$AM$4:$AM$183,$B28,Data!$AL$4:$AL$183,$A28,Data!$AK$4:$AK$183,$C28))</f>
        <v>0</v>
      </c>
      <c r="AD28" s="18">
        <f t="shared" ca="1" si="1"/>
        <v>0</v>
      </c>
      <c r="AE28" s="18">
        <f ca="1">IF($A28="","",SUMIFS(Data!$AJ$4:$AJ$183,Data!$AM$4:$AM$183,$B28,Data!$AL$4:$AL$183,$A28,Data!$AK$4:$AK$183,$C28))</f>
        <v>0</v>
      </c>
    </row>
    <row r="29" spans="1:31">
      <c r="A29" s="116" t="str">
        <f ca="1">IF(Data!T29="","",Data!T29)</f>
        <v>Aidan</v>
      </c>
      <c r="B29" s="18" t="str">
        <f ca="1">IF(Data!U29="","",Data!U29)</f>
        <v>Red Magikoopa</v>
      </c>
      <c r="C29" s="18" t="str">
        <f ca="1">IF(Data!S29="","",Data!S29)</f>
        <v>G2</v>
      </c>
      <c r="D29" s="18">
        <f ca="1">IF($A29="","",Data!W29)</f>
        <v>1</v>
      </c>
      <c r="E29" s="18">
        <f ca="1">IF($A29="","",Data!Y29)</f>
        <v>1</v>
      </c>
      <c r="F29" s="61">
        <f t="shared" ca="1" si="0"/>
        <v>1.0</v>
      </c>
      <c r="G29" s="18">
        <f ca="1">IF($A29="","",Data!AB29)</f>
        <v>0</v>
      </c>
      <c r="H29" s="18">
        <f ca="1">IF($A29="","",Data!AC29)</f>
        <v>0</v>
      </c>
      <c r="I29" s="18">
        <f ca="1">IF($A29="","",INT(SUMIFS(Data!$AN$4:$AN$183,Data!$AM$4:$AM$183,$B29,Data!$AL$4:$AL$183,$A29,Data!$AK$4:$AK$183,$C29))+MOD(ROUND(SUMIFS(Data!$AN$4:$AN$183,Data!$AM$4:$AM$183,$B29,Data!$AL$4:$AL$183,$A29,Data!$AK$4:$AK$183,$C29)*3,0),3)/10)</f>
        <v>2</v>
      </c>
      <c r="J29" s="18">
        <f ca="1">IF($A29="","",SUMIFS(Data!$AQ$4:$AQ$183,Data!$AM$4:$AM$183,$B29,Data!$AL$4:$AL$183,$A29,Data!$AK$4:$AK$183,$C29))</f>
        <v>2</v>
      </c>
      <c r="K29" s="62">
        <f ca="1">IF($A29="","",IF(SUMIFS(Data!$AN$4:$AN$183,Data!$AM$4:$AM$183,$B29,Data!$AL$4:$AL$183,$A29,Data!$AK$4:$AK$183,$C29)=0,"",J29*3/SUMIFS(Data!$AN$4:$AN$183,Data!$AM$4:$AM$183,$B29,Data!$AL$4:$AL$183,$A29,Data!$AK$4:$AK$183,$C29)))</f>
        <v>3.0</v>
      </c>
      <c r="L29" s="18">
        <f ca="1">IF($A29="","",IF(IFERROR(_xlfn.XLOOKUP($C29,Bracket!$F$6:$F$16,Bracket!$K$6:$K$16,""),"")=$B29,1,0))</f>
        <v>0</v>
      </c>
      <c r="M29" s="18">
        <f ca="1">IF($A29="","",IF(AND(IFERROR(_xlfn.XLOOKUP($C29,Bracket!$F$6:$F$16,Bracket!$K$6:$K$16,""),"")=$B29,LEFT(IFERROR(_xlfn.XLOOKUP($C29,Bracket!$F$6:$F$16,Bracket!$G$6:$G$16,""),""),2)="CG"),1,0))</f>
        <v>0</v>
      </c>
      <c r="N29" s="18">
        <f ca="1">IF($A29="","",SUMIFS(Data!$X$4:$X$273,Data!$T$4:$T$273,$A29,Data!$U$4:$U$273,$B29,Data!$S$4:$S$273,$C29))</f>
        <v>0</v>
      </c>
      <c r="O29" s="18">
        <f ca="1">IF($A29="","",SUMIFS(Data!$Z$4:$Z$273,Data!$T$4:$T$273,$A29,Data!$U$4:$U$273,$B29,Data!$S$4:$S$273,$C29))</f>
        <v>0</v>
      </c>
      <c r="P29" s="18">
        <f ca="1">IF($A29="","",SUMIFS(Data!$AA$4:$AA$273,Data!$T$4:$T$273,$A29,Data!$U$4:$U$273,$B29,Data!$S$4:$S$273,$C29))</f>
        <v>0</v>
      </c>
      <c r="Q29" s="18">
        <f ca="1">IF($A29="","",SUMIFS(Data!$AD$4:$AD$273,Data!$T$4:$T$273,$A29,Data!$U$4:$U$273,$B29,Data!$S$4:$S$273,$C29))</f>
        <v>0</v>
      </c>
      <c r="R29" s="18">
        <f ca="1">IF($A29="","",SUMIFS(Data!$AE$4:$AE$273,Data!$T$4:$T$273,$A29,Data!$U$4:$U$273,$B29,Data!$S$4:$S$273,$C29))</f>
        <v>0</v>
      </c>
      <c r="S29" s="18">
        <f ca="1">IF($A29="","",SUMIFS(Data!$AF$4:$AF$273,Data!$T$4:$T$273,$A29,Data!$U$4:$U$273,$B29,Data!$S$4:$S$273,$C29))</f>
        <v>0</v>
      </c>
      <c r="T29" s="18">
        <f ca="1">IF($A29="","",SUMIFS(Data!$AG$4:$AG$273,Data!$T$4:$T$273,$A29,Data!$U$4:$U$273,$B29,Data!$S$4:$S$273,$C29))</f>
        <v>0</v>
      </c>
      <c r="U29" s="18">
        <f ca="1">IF($A29="","",SUMIFS(Data!$AH$4:$AH$273,Data!$T$4:$T$273,$A29,Data!$U$4:$U$273,$B29,Data!$S$4:$S$273,$C29))</f>
        <v>0</v>
      </c>
      <c r="V29" s="18">
        <f ca="1">IF($A29="","",SUMIFS(Data!$AO$4:$AO$183,Data!$AM$4:$AM$183,$B29,Data!$AL$4:$AL$183,$A29,Data!$AK$4:$AK$183,$C29))</f>
        <v>3</v>
      </c>
      <c r="W29" s="18">
        <f ca="1">IF($A29="","",SUMIFS(Data!$AP$4:$AP$183,Data!$AM$4:$AM$183,$B29,Data!$AL$4:$AL$183,$A29,Data!$AK$4:$AK$183,$C29))</f>
        <v>2</v>
      </c>
      <c r="X29" s="18">
        <f ca="1">IF($A29="","",SUMIFS(Data!$AR$4:$AR$183,Data!$AM$4:$AM$183,$B29,Data!$AL$4:$AL$183,$A29,Data!$AK$4:$AK$183,$C29))</f>
        <v>0</v>
      </c>
      <c r="Y29" s="18">
        <f ca="1">IF($A29="","",SUMIFS(Data!$AS$4:$AS$183,Data!$AM$4:$AM$183,$B29,Data!$AL$4:$AL$183,$A29,Data!$AK$4:$AK$183,$C29))</f>
        <v>3</v>
      </c>
      <c r="Z29" s="18">
        <f ca="1">IF($A29="","",SUMIFS(Data!$AT$4:$AT$183,Data!$AM$4:$AM$183,$B29,Data!$AL$4:$AL$183,$A29,Data!$AK$4:$AK$183,$C29))</f>
        <v>2</v>
      </c>
      <c r="AA29" s="18">
        <f ca="1">IF($A29="","",SUMIFS(Data!$AW$4:$AW$183,Data!$AM$4:$AM$183,$B29,Data!$AL$4:$AL$183,$A29,Data!$AK$4:$AK$183,$C29))</f>
        <v>0</v>
      </c>
      <c r="AB29" s="18">
        <f ca="1">IF($A29="","",SUMIFS(Data!$AX$4:$AX$183,Data!$AM$4:$AM$183,$B29,Data!$AL$4:$AL$183,$A29,Data!$AK$4:$AK$183,$C29))</f>
        <v>0</v>
      </c>
      <c r="AC29" s="18">
        <f ca="1">IF($A29="","",SUMIFS(Data!$AY$4:$AY$183,Data!$AM$4:$AM$183,$B29,Data!$AL$4:$AL$183,$A29,Data!$AK$4:$AK$183,$C29))</f>
        <v>0</v>
      </c>
      <c r="AD29" s="18">
        <f t="shared" ca="1" si="1"/>
        <v>1.5</v>
      </c>
      <c r="AE29" s="18">
        <f ca="1">IF($A29="","",SUMIFS(Data!$AJ$4:$AJ$183,Data!$AM$4:$AM$183,$B29,Data!$AL$4:$AL$183,$A29,Data!$AK$4:$AK$183,$C29))</f>
        <v>9</v>
      </c>
    </row>
    <row r="30" spans="1:31">
      <c r="A30" s="116" t="str">
        <f ca="1">IF(Data!T30="","",Data!T30)</f>
        <v>Aidan</v>
      </c>
      <c r="B30" s="18" t="str">
        <f ca="1">IF(Data!U30="","",Data!U30)</f>
        <v>Pink Yoshi</v>
      </c>
      <c r="C30" s="18" t="str">
        <f ca="1">IF(Data!S30="","",Data!S30)</f>
        <v>G2</v>
      </c>
      <c r="D30" s="18">
        <f ca="1">IF($A30="","",Data!W30)</f>
        <v>1</v>
      </c>
      <c r="E30" s="18">
        <f ca="1">IF($A30="","",Data!Y30)</f>
        <v>0</v>
      </c>
      <c r="F30" s="61">
        <f t="shared" ca="1" si="0"/>
        <v>0.0</v>
      </c>
      <c r="G30" s="18">
        <f ca="1">IF($A30="","",Data!AB30)</f>
        <v>0</v>
      </c>
      <c r="H30" s="18">
        <f ca="1">IF($A30="","",Data!AC30)</f>
        <v>0</v>
      </c>
      <c r="I30" s="18">
        <f ca="1">IF($A30="","",INT(SUMIFS(Data!$AN$4:$AN$183,Data!$AM$4:$AM$183,$B30,Data!$AL$4:$AL$183,$A30,Data!$AK$4:$AK$183,$C30))+MOD(ROUND(SUMIFS(Data!$AN$4:$AN$183,Data!$AM$4:$AM$183,$B30,Data!$AL$4:$AL$183,$A30,Data!$AK$4:$AK$183,$C30)*3,0),3)/10)</f>
        <v>0</v>
      </c>
      <c r="J30" s="18">
        <f ca="1">IF($A30="","",SUMIFS(Data!$AQ$4:$AQ$183,Data!$AM$4:$AM$183,$B30,Data!$AL$4:$AL$183,$A30,Data!$AK$4:$AK$183,$C30))</f>
        <v>0</v>
      </c>
      <c r="K30" s="62">
        <f ca="1">IF($A30="","",IF(SUMIFS(Data!$AN$4:$AN$183,Data!$AM$4:$AM$183,$B30,Data!$AL$4:$AL$183,$A30,Data!$AK$4:$AK$183,$C30)=0,"",J30*3/SUMIFS(Data!$AN$4:$AN$183,Data!$AM$4:$AM$183,$B30,Data!$AL$4:$AL$183,$A30,Data!$AK$4:$AK$183,$C30)))</f>
      </c>
      <c r="L30" s="18">
        <f ca="1">IF($A30="","",IF(IFERROR(_xlfn.XLOOKUP($C30,Bracket!$F$6:$F$16,Bracket!$K$6:$K$16,""),"")=$B30,1,0))</f>
        <v>0</v>
      </c>
      <c r="M30" s="18">
        <f ca="1">IF($A30="","",IF(AND(IFERROR(_xlfn.XLOOKUP($C30,Bracket!$F$6:$F$16,Bracket!$K$6:$K$16,""),"")=$B30,LEFT(IFERROR(_xlfn.XLOOKUP($C30,Bracket!$F$6:$F$16,Bracket!$G$6:$G$16,""),""),2)="CG"),1,0))</f>
        <v>0</v>
      </c>
      <c r="N30" s="18">
        <f ca="1">IF($A30="","",SUMIFS(Data!$X$4:$X$273,Data!$T$4:$T$273,$A30,Data!$U$4:$U$273,$B30,Data!$S$4:$S$273,$C30))</f>
        <v>0</v>
      </c>
      <c r="O30" s="18">
        <f ca="1">IF($A30="","",SUMIFS(Data!$Z$4:$Z$273,Data!$T$4:$T$273,$A30,Data!$U$4:$U$273,$B30,Data!$S$4:$S$273,$C30))</f>
        <v>0</v>
      </c>
      <c r="P30" s="18">
        <f ca="1">IF($A30="","",SUMIFS(Data!$AA$4:$AA$273,Data!$T$4:$T$273,$A30,Data!$U$4:$U$273,$B30,Data!$S$4:$S$273,$C30))</f>
        <v>0</v>
      </c>
      <c r="Q30" s="18">
        <f ca="1">IF($A30="","",SUMIFS(Data!$AD$4:$AD$273,Data!$T$4:$T$273,$A30,Data!$U$4:$U$273,$B30,Data!$S$4:$S$273,$C30))</f>
        <v>0</v>
      </c>
      <c r="R30" s="18">
        <f ca="1">IF($A30="","",SUMIFS(Data!$AE$4:$AE$273,Data!$T$4:$T$273,$A30,Data!$U$4:$U$273,$B30,Data!$S$4:$S$273,$C30))</f>
        <v>0</v>
      </c>
      <c r="S30" s="18">
        <f ca="1">IF($A30="","",SUMIFS(Data!$AF$4:$AF$273,Data!$T$4:$T$273,$A30,Data!$U$4:$U$273,$B30,Data!$S$4:$S$273,$C30))</f>
        <v>0</v>
      </c>
      <c r="T30" s="18">
        <f ca="1">IF($A30="","",SUMIFS(Data!$AG$4:$AG$273,Data!$T$4:$T$273,$A30,Data!$U$4:$U$273,$B30,Data!$S$4:$S$273,$C30))</f>
        <v>0</v>
      </c>
      <c r="U30" s="18">
        <f ca="1">IF($A30="","",SUMIFS(Data!$AH$4:$AH$273,Data!$T$4:$T$273,$A30,Data!$U$4:$U$273,$B30,Data!$S$4:$S$273,$C30))</f>
        <v>0</v>
      </c>
      <c r="V30" s="18">
        <f ca="1">IF($A30="","",SUMIFS(Data!$AO$4:$AO$183,Data!$AM$4:$AM$183,$B30,Data!$AL$4:$AL$183,$A30,Data!$AK$4:$AK$183,$C30))</f>
        <v>0</v>
      </c>
      <c r="W30" s="18">
        <f ca="1">IF($A30="","",SUMIFS(Data!$AP$4:$AP$183,Data!$AM$4:$AM$183,$B30,Data!$AL$4:$AL$183,$A30,Data!$AK$4:$AK$183,$C30))</f>
        <v>0</v>
      </c>
      <c r="X30" s="18">
        <f ca="1">IF($A30="","",SUMIFS(Data!$AR$4:$AR$183,Data!$AM$4:$AM$183,$B30,Data!$AL$4:$AL$183,$A30,Data!$AK$4:$AK$183,$C30))</f>
        <v>0</v>
      </c>
      <c r="Y30" s="18">
        <f ca="1">IF($A30="","",SUMIFS(Data!$AS$4:$AS$183,Data!$AM$4:$AM$183,$B30,Data!$AL$4:$AL$183,$A30,Data!$AK$4:$AK$183,$C30))</f>
        <v>0</v>
      </c>
      <c r="Z30" s="18">
        <f ca="1">IF($A30="","",SUMIFS(Data!$AT$4:$AT$183,Data!$AM$4:$AM$183,$B30,Data!$AL$4:$AL$183,$A30,Data!$AK$4:$AK$183,$C30))</f>
        <v>0</v>
      </c>
      <c r="AA30" s="18">
        <f ca="1">IF($A30="","",SUMIFS(Data!$AW$4:$AW$183,Data!$AM$4:$AM$183,$B30,Data!$AL$4:$AL$183,$A30,Data!$AK$4:$AK$183,$C30))</f>
        <v>0</v>
      </c>
      <c r="AB30" s="18">
        <f ca="1">IF($A30="","",SUMIFS(Data!$AX$4:$AX$183,Data!$AM$4:$AM$183,$B30,Data!$AL$4:$AL$183,$A30,Data!$AK$4:$AK$183,$C30))</f>
        <v>0</v>
      </c>
      <c r="AC30" s="18">
        <f ca="1">IF($A30="","",SUMIFS(Data!$AY$4:$AY$183,Data!$AM$4:$AM$183,$B30,Data!$AL$4:$AL$183,$A30,Data!$AK$4:$AK$183,$C30))</f>
        <v>0</v>
      </c>
      <c r="AD30" s="18">
        <f t="shared" ca="1" si="1"/>
        <v>0</v>
      </c>
      <c r="AE30" s="18">
        <f ca="1">IF($A30="","",SUMIFS(Data!$AJ$4:$AJ$183,Data!$AM$4:$AM$183,$B30,Data!$AL$4:$AL$183,$A30,Data!$AK$4:$AK$183,$C30))</f>
        <v>0</v>
      </c>
    </row>
    <row r="31" spans="1:31">
      <c r="A31" s="119" t="str">
        <f ca="1">IF(Data!T31="","",Data!T31)</f>
        <v>Justin</v>
      </c>
      <c r="B31" s="18" t="str">
        <f ca="1">IF(Data!U31="","",Data!U31)</f>
        <v>Bowser Jr.</v>
      </c>
      <c r="C31" s="18" t="str">
        <f ca="1">IF(Data!S31="","",Data!S31)</f>
        <v>G2</v>
      </c>
      <c r="D31" s="18">
        <f ca="1">IF($A31="","",Data!W31)</f>
        <v>2</v>
      </c>
      <c r="E31" s="18">
        <f ca="1">IF($A31="","",Data!Y31)</f>
        <v>1</v>
      </c>
      <c r="F31" s="61">
        <f t="shared" ca="1" si="0"/>
        <v>0.5</v>
      </c>
      <c r="G31" s="18">
        <f ca="1">IF($A31="","",Data!AB31)</f>
        <v>0</v>
      </c>
      <c r="H31" s="18">
        <f ca="1">IF($A31="","",Data!AC31)</f>
        <v>0</v>
      </c>
      <c r="I31" s="18">
        <f ca="1">IF($A31="","",INT(SUMIFS(Data!$AN$4:$AN$183,Data!$AM$4:$AM$183,$B31,Data!$AL$4:$AL$183,$A31,Data!$AK$4:$AK$183,$C31))+MOD(ROUND(SUMIFS(Data!$AN$4:$AN$183,Data!$AM$4:$AM$183,$B31,Data!$AL$4:$AL$183,$A31,Data!$AK$4:$AK$183,$C31)*3,0),3)/10)</f>
        <v>0</v>
      </c>
      <c r="J31" s="18">
        <f ca="1">IF($A31="","",SUMIFS(Data!$AQ$4:$AQ$183,Data!$AM$4:$AM$183,$B31,Data!$AL$4:$AL$183,$A31,Data!$AK$4:$AK$183,$C31))</f>
        <v>0</v>
      </c>
      <c r="K31" s="62">
        <f ca="1">IF($A31="","",IF(SUMIFS(Data!$AN$4:$AN$183,Data!$AM$4:$AM$183,$B31,Data!$AL$4:$AL$183,$A31,Data!$AK$4:$AK$183,$C31)=0,"",J31*3/SUMIFS(Data!$AN$4:$AN$183,Data!$AM$4:$AM$183,$B31,Data!$AL$4:$AL$183,$A31,Data!$AK$4:$AK$183,$C31)))</f>
      </c>
      <c r="L31" s="18">
        <f ca="1">IF($A31="","",IF(IFERROR(_xlfn.XLOOKUP($C31,Bracket!$F$6:$F$16,Bracket!$K$6:$K$16,""),"")=$B31,1,0))</f>
        <v>0</v>
      </c>
      <c r="M31" s="18">
        <f ca="1">IF($A31="","",IF(AND(IFERROR(_xlfn.XLOOKUP($C31,Bracket!$F$6:$F$16,Bracket!$K$6:$K$16,""),"")=$B31,LEFT(IFERROR(_xlfn.XLOOKUP($C31,Bracket!$F$6:$F$16,Bracket!$G$6:$G$16,""),""),2)="CG"),1,0))</f>
        <v>0</v>
      </c>
      <c r="N31" s="18">
        <f ca="1">IF($A31="","",SUMIFS(Data!$X$4:$X$273,Data!$T$4:$T$273,$A31,Data!$U$4:$U$273,$B31,Data!$S$4:$S$273,$C31))</f>
        <v>1</v>
      </c>
      <c r="O31" s="18">
        <f ca="1">IF($A31="","",SUMIFS(Data!$Z$4:$Z$273,Data!$T$4:$T$273,$A31,Data!$U$4:$U$273,$B31,Data!$S$4:$S$273,$C31))</f>
        <v>1</v>
      </c>
      <c r="P31" s="18">
        <f ca="1">IF($A31="","",SUMIFS(Data!$AA$4:$AA$273,Data!$T$4:$T$273,$A31,Data!$U$4:$U$273,$B31,Data!$S$4:$S$273,$C31))</f>
        <v>0</v>
      </c>
      <c r="Q31" s="18">
        <f ca="1">IF($A31="","",SUMIFS(Data!$AD$4:$AD$273,Data!$T$4:$T$273,$A31,Data!$U$4:$U$273,$B31,Data!$S$4:$S$273,$C31))</f>
        <v>0</v>
      </c>
      <c r="R31" s="18">
        <f ca="1">IF($A31="","",SUMIFS(Data!$AE$4:$AE$273,Data!$T$4:$T$273,$A31,Data!$U$4:$U$273,$B31,Data!$S$4:$S$273,$C31))</f>
        <v>0</v>
      </c>
      <c r="S31" s="18">
        <f ca="1">IF($A31="","",SUMIFS(Data!$AF$4:$AF$273,Data!$T$4:$T$273,$A31,Data!$U$4:$U$273,$B31,Data!$S$4:$S$273,$C31))</f>
        <v>0</v>
      </c>
      <c r="T31" s="18">
        <f ca="1">IF($A31="","",SUMIFS(Data!$AG$4:$AG$273,Data!$T$4:$T$273,$A31,Data!$U$4:$U$273,$B31,Data!$S$4:$S$273,$C31))</f>
        <v>0</v>
      </c>
      <c r="U31" s="18">
        <f ca="1">IF($A31="","",SUMIFS(Data!$AH$4:$AH$273,Data!$T$4:$T$273,$A31,Data!$U$4:$U$273,$B31,Data!$S$4:$S$273,$C31))</f>
        <v>0</v>
      </c>
      <c r="V31" s="18">
        <f ca="1">IF($A31="","",SUMIFS(Data!$AO$4:$AO$183,Data!$AM$4:$AM$183,$B31,Data!$AL$4:$AL$183,$A31,Data!$AK$4:$AK$183,$C31))</f>
        <v>0</v>
      </c>
      <c r="W31" s="18">
        <f ca="1">IF($A31="","",SUMIFS(Data!$AP$4:$AP$183,Data!$AM$4:$AM$183,$B31,Data!$AL$4:$AL$183,$A31,Data!$AK$4:$AK$183,$C31))</f>
        <v>0</v>
      </c>
      <c r="X31" s="18">
        <f ca="1">IF($A31="","",SUMIFS(Data!$AR$4:$AR$183,Data!$AM$4:$AM$183,$B31,Data!$AL$4:$AL$183,$A31,Data!$AK$4:$AK$183,$C31))</f>
        <v>0</v>
      </c>
      <c r="Y31" s="18">
        <f ca="1">IF($A31="","",SUMIFS(Data!$AS$4:$AS$183,Data!$AM$4:$AM$183,$B31,Data!$AL$4:$AL$183,$A31,Data!$AK$4:$AK$183,$C31))</f>
        <v>0</v>
      </c>
      <c r="Z31" s="18">
        <f ca="1">IF($A31="","",SUMIFS(Data!$AT$4:$AT$183,Data!$AM$4:$AM$183,$B31,Data!$AL$4:$AL$183,$A31,Data!$AK$4:$AK$183,$C31))</f>
        <v>0</v>
      </c>
      <c r="AA31" s="18">
        <f ca="1">IF($A31="","",SUMIFS(Data!$AW$4:$AW$183,Data!$AM$4:$AM$183,$B31,Data!$AL$4:$AL$183,$A31,Data!$AK$4:$AK$183,$C31))</f>
        <v>0</v>
      </c>
      <c r="AB31" s="18">
        <f ca="1">IF($A31="","",SUMIFS(Data!$AX$4:$AX$183,Data!$AM$4:$AM$183,$B31,Data!$AL$4:$AL$183,$A31,Data!$AK$4:$AK$183,$C31))</f>
        <v>0</v>
      </c>
      <c r="AC31" s="18">
        <f ca="1">IF($A31="","",SUMIFS(Data!$AY$4:$AY$183,Data!$AM$4:$AM$183,$B31,Data!$AL$4:$AL$183,$A31,Data!$AK$4:$AK$183,$C31))</f>
        <v>0</v>
      </c>
      <c r="AD31" s="18">
        <f t="shared" ca="1" si="1"/>
        <v>0</v>
      </c>
      <c r="AE31" s="18">
        <f ca="1">IF($A31="","",SUMIFS(Data!$AJ$4:$AJ$183,Data!$AM$4:$AM$183,$B31,Data!$AL$4:$AL$183,$A31,Data!$AK$4:$AK$183,$C31))</f>
        <v>0</v>
      </c>
    </row>
    <row r="32" spans="1:31">
      <c r="A32" s="119" t="str">
        <f ca="1">IF(Data!T32="","",Data!T32)</f>
        <v>Justin</v>
      </c>
      <c r="B32" s="18" t="str">
        <f ca="1">IF(Data!U32="","",Data!U32)</f>
        <v>Kritter</v>
      </c>
      <c r="C32" s="18" t="str">
        <f ca="1">IF(Data!S32="","",Data!S32)</f>
        <v>G2</v>
      </c>
      <c r="D32" s="18">
        <f ca="1">IF($A32="","",Data!W32)</f>
        <v>2</v>
      </c>
      <c r="E32" s="18">
        <f ca="1">IF($A32="","",Data!Y32)</f>
        <v>0</v>
      </c>
      <c r="F32" s="61">
        <f t="shared" ca="1" si="0"/>
        <v>0.0</v>
      </c>
      <c r="G32" s="18">
        <f ca="1">IF($A32="","",Data!AB32)</f>
        <v>0</v>
      </c>
      <c r="H32" s="18">
        <f ca="1">IF($A32="","",Data!AC32)</f>
        <v>0</v>
      </c>
      <c r="I32" s="18">
        <f ca="1">IF($A32="","",INT(SUMIFS(Data!$AN$4:$AN$183,Data!$AM$4:$AM$183,$B32,Data!$AL$4:$AL$183,$A32,Data!$AK$4:$AK$183,$C32))+MOD(ROUND(SUMIFS(Data!$AN$4:$AN$183,Data!$AM$4:$AM$183,$B32,Data!$AL$4:$AL$183,$A32,Data!$AK$4:$AK$183,$C32)*3,0),3)/10)</f>
        <v>0</v>
      </c>
      <c r="J32" s="18">
        <f ca="1">IF($A32="","",SUMIFS(Data!$AQ$4:$AQ$183,Data!$AM$4:$AM$183,$B32,Data!$AL$4:$AL$183,$A32,Data!$AK$4:$AK$183,$C32))</f>
        <v>0</v>
      </c>
      <c r="K32" s="62">
        <f ca="1">IF($A32="","",IF(SUMIFS(Data!$AN$4:$AN$183,Data!$AM$4:$AM$183,$B32,Data!$AL$4:$AL$183,$A32,Data!$AK$4:$AK$183,$C32)=0,"",J32*3/SUMIFS(Data!$AN$4:$AN$183,Data!$AM$4:$AM$183,$B32,Data!$AL$4:$AL$183,$A32,Data!$AK$4:$AK$183,$C32)))</f>
      </c>
      <c r="L32" s="18">
        <f ca="1">IF($A32="","",IF(IFERROR(_xlfn.XLOOKUP($C32,Bracket!$F$6:$F$16,Bracket!$K$6:$K$16,""),"")=$B32,1,0))</f>
        <v>0</v>
      </c>
      <c r="M32" s="18">
        <f ca="1">IF($A32="","",IF(AND(IFERROR(_xlfn.XLOOKUP($C32,Bracket!$F$6:$F$16,Bracket!$K$6:$K$16,""),"")=$B32,LEFT(IFERROR(_xlfn.XLOOKUP($C32,Bracket!$F$6:$F$16,Bracket!$G$6:$G$16,""),""),2)="CG"),1,0))</f>
        <v>0</v>
      </c>
      <c r="N32" s="18">
        <f ca="1">IF($A32="","",SUMIFS(Data!$X$4:$X$273,Data!$T$4:$T$273,$A32,Data!$U$4:$U$273,$B32,Data!$S$4:$S$273,$C32))</f>
        <v>0</v>
      </c>
      <c r="O32" s="18">
        <f ca="1">IF($A32="","",SUMIFS(Data!$Z$4:$Z$273,Data!$T$4:$T$273,$A32,Data!$U$4:$U$273,$B32,Data!$S$4:$S$273,$C32))</f>
        <v>0</v>
      </c>
      <c r="P32" s="18">
        <f ca="1">IF($A32="","",SUMIFS(Data!$AA$4:$AA$273,Data!$T$4:$T$273,$A32,Data!$U$4:$U$273,$B32,Data!$S$4:$S$273,$C32))</f>
        <v>0</v>
      </c>
      <c r="Q32" s="18">
        <f ca="1">IF($A32="","",SUMIFS(Data!$AD$4:$AD$273,Data!$T$4:$T$273,$A32,Data!$U$4:$U$273,$B32,Data!$S$4:$S$273,$C32))</f>
        <v>0</v>
      </c>
      <c r="R32" s="18">
        <f ca="1">IF($A32="","",SUMIFS(Data!$AE$4:$AE$273,Data!$T$4:$T$273,$A32,Data!$U$4:$U$273,$B32,Data!$S$4:$S$273,$C32))</f>
        <v>2</v>
      </c>
      <c r="S32" s="18">
        <f ca="1">IF($A32="","",SUMIFS(Data!$AF$4:$AF$273,Data!$T$4:$T$273,$A32,Data!$U$4:$U$273,$B32,Data!$S$4:$S$273,$C32))</f>
        <v>0</v>
      </c>
      <c r="T32" s="18">
        <f ca="1">IF($A32="","",SUMIFS(Data!$AG$4:$AG$273,Data!$T$4:$T$273,$A32,Data!$U$4:$U$273,$B32,Data!$S$4:$S$273,$C32))</f>
        <v>0</v>
      </c>
      <c r="U32" s="18">
        <f ca="1">IF($A32="","",SUMIFS(Data!$AH$4:$AH$273,Data!$T$4:$T$273,$A32,Data!$U$4:$U$273,$B32,Data!$S$4:$S$273,$C32))</f>
        <v>0</v>
      </c>
      <c r="V32" s="18">
        <f ca="1">IF($A32="","",SUMIFS(Data!$AO$4:$AO$183,Data!$AM$4:$AM$183,$B32,Data!$AL$4:$AL$183,$A32,Data!$AK$4:$AK$183,$C32))</f>
        <v>0</v>
      </c>
      <c r="W32" s="18">
        <f ca="1">IF($A32="","",SUMIFS(Data!$AP$4:$AP$183,Data!$AM$4:$AM$183,$B32,Data!$AL$4:$AL$183,$A32,Data!$AK$4:$AK$183,$C32))</f>
        <v>0</v>
      </c>
      <c r="X32" s="18">
        <f ca="1">IF($A32="","",SUMIFS(Data!$AR$4:$AR$183,Data!$AM$4:$AM$183,$B32,Data!$AL$4:$AL$183,$A32,Data!$AK$4:$AK$183,$C32))</f>
        <v>0</v>
      </c>
      <c r="Y32" s="18">
        <f ca="1">IF($A32="","",SUMIFS(Data!$AS$4:$AS$183,Data!$AM$4:$AM$183,$B32,Data!$AL$4:$AL$183,$A32,Data!$AK$4:$AK$183,$C32))</f>
        <v>0</v>
      </c>
      <c r="Z32" s="18">
        <f ca="1">IF($A32="","",SUMIFS(Data!$AT$4:$AT$183,Data!$AM$4:$AM$183,$B32,Data!$AL$4:$AL$183,$A32,Data!$AK$4:$AK$183,$C32))</f>
        <v>0</v>
      </c>
      <c r="AA32" s="18">
        <f ca="1">IF($A32="","",SUMIFS(Data!$AW$4:$AW$183,Data!$AM$4:$AM$183,$B32,Data!$AL$4:$AL$183,$A32,Data!$AK$4:$AK$183,$C32))</f>
        <v>0</v>
      </c>
      <c r="AB32" s="18">
        <f ca="1">IF($A32="","",SUMIFS(Data!$AX$4:$AX$183,Data!$AM$4:$AM$183,$B32,Data!$AL$4:$AL$183,$A32,Data!$AK$4:$AK$183,$C32))</f>
        <v>0</v>
      </c>
      <c r="AC32" s="18">
        <f ca="1">IF($A32="","",SUMIFS(Data!$AY$4:$AY$183,Data!$AM$4:$AM$183,$B32,Data!$AL$4:$AL$183,$A32,Data!$AK$4:$AK$183,$C32))</f>
        <v>0</v>
      </c>
      <c r="AD32" s="18">
        <f t="shared" ca="1" si="1"/>
        <v>0</v>
      </c>
      <c r="AE32" s="18">
        <f ca="1">IF($A32="","",SUMIFS(Data!$AJ$4:$AJ$183,Data!$AM$4:$AM$183,$B32,Data!$AL$4:$AL$183,$A32,Data!$AK$4:$AK$183,$C32))</f>
        <v>0</v>
      </c>
    </row>
    <row r="33" spans="1:31">
      <c r="A33" s="119" t="str">
        <f ca="1">IF(Data!T33="","",Data!T33)</f>
        <v>Justin</v>
      </c>
      <c r="B33" s="18" t="str">
        <f ca="1">IF(Data!U33="","",Data!U33)</f>
        <v>Funky Kong</v>
      </c>
      <c r="C33" s="18" t="str">
        <f ca="1">IF(Data!S33="","",Data!S33)</f>
        <v>G2</v>
      </c>
      <c r="D33" s="18">
        <f ca="1">IF($A33="","",Data!W33)</f>
        <v>2</v>
      </c>
      <c r="E33" s="18">
        <f ca="1">IF($A33="","",Data!Y33)</f>
        <v>1</v>
      </c>
      <c r="F33" s="61">
        <f t="shared" ca="1" si="0"/>
        <v>0.5</v>
      </c>
      <c r="G33" s="18">
        <f ca="1">IF($A33="","",Data!AB33)</f>
        <v>1</v>
      </c>
      <c r="H33" s="18">
        <f ca="1">IF($A33="","",Data!AC33)</f>
        <v>1</v>
      </c>
      <c r="I33" s="18">
        <f ca="1">IF($A33="","",INT(SUMIFS(Data!$AN$4:$AN$183,Data!$AM$4:$AM$183,$B33,Data!$AL$4:$AL$183,$A33,Data!$AK$4:$AK$183,$C33))+MOD(ROUND(SUMIFS(Data!$AN$4:$AN$183,Data!$AM$4:$AM$183,$B33,Data!$AL$4:$AL$183,$A33,Data!$AK$4:$AK$183,$C33)*3,0),3)/10)</f>
        <v>0</v>
      </c>
      <c r="J33" s="18">
        <f ca="1">IF($A33="","",SUMIFS(Data!$AQ$4:$AQ$183,Data!$AM$4:$AM$183,$B33,Data!$AL$4:$AL$183,$A33,Data!$AK$4:$AK$183,$C33))</f>
        <v>0</v>
      </c>
      <c r="K33" s="62">
        <f ca="1">IF($A33="","",IF(SUMIFS(Data!$AN$4:$AN$183,Data!$AM$4:$AM$183,$B33,Data!$AL$4:$AL$183,$A33,Data!$AK$4:$AK$183,$C33)=0,"",J33*3/SUMIFS(Data!$AN$4:$AN$183,Data!$AM$4:$AM$183,$B33,Data!$AL$4:$AL$183,$A33,Data!$AK$4:$AK$183,$C33)))</f>
      </c>
      <c r="L33" s="18">
        <f ca="1">IF($A33="","",IF(IFERROR(_xlfn.XLOOKUP($C33,Bracket!$F$6:$F$16,Bracket!$K$6:$K$16,""),"")=$B33,1,0))</f>
        <v>0</v>
      </c>
      <c r="M33" s="18">
        <f ca="1">IF($A33="","",IF(AND(IFERROR(_xlfn.XLOOKUP($C33,Bracket!$F$6:$F$16,Bracket!$K$6:$K$16,""),"")=$B33,LEFT(IFERROR(_xlfn.XLOOKUP($C33,Bracket!$F$6:$F$16,Bracket!$G$6:$G$16,""),""),2)="CG"),1,0))</f>
        <v>0</v>
      </c>
      <c r="N33" s="18">
        <f ca="1">IF($A33="","",SUMIFS(Data!$X$4:$X$273,Data!$T$4:$T$273,$A33,Data!$U$4:$U$273,$B33,Data!$S$4:$S$273,$C33))</f>
        <v>1</v>
      </c>
      <c r="O33" s="18">
        <f ca="1">IF($A33="","",SUMIFS(Data!$Z$4:$Z$273,Data!$T$4:$T$273,$A33,Data!$U$4:$U$273,$B33,Data!$S$4:$S$273,$C33))</f>
        <v>0</v>
      </c>
      <c r="P33" s="18">
        <f ca="1">IF($A33="","",SUMIFS(Data!$AA$4:$AA$273,Data!$T$4:$T$273,$A33,Data!$U$4:$U$273,$B33,Data!$S$4:$S$273,$C33))</f>
        <v>0</v>
      </c>
      <c r="Q33" s="18">
        <f ca="1">IF($A33="","",SUMIFS(Data!$AD$4:$AD$273,Data!$T$4:$T$273,$A33,Data!$U$4:$U$273,$B33,Data!$S$4:$S$273,$C33))</f>
        <v>0</v>
      </c>
      <c r="R33" s="18">
        <f ca="1">IF($A33="","",SUMIFS(Data!$AE$4:$AE$273,Data!$T$4:$T$273,$A33,Data!$U$4:$U$273,$B33,Data!$S$4:$S$273,$C33))</f>
        <v>1</v>
      </c>
      <c r="S33" s="18">
        <f ca="1">IF($A33="","",SUMIFS(Data!$AF$4:$AF$273,Data!$T$4:$T$273,$A33,Data!$U$4:$U$273,$B33,Data!$S$4:$S$273,$C33))</f>
        <v>0</v>
      </c>
      <c r="T33" s="18">
        <f ca="1">IF($A33="","",SUMIFS(Data!$AG$4:$AG$273,Data!$T$4:$T$273,$A33,Data!$U$4:$U$273,$B33,Data!$S$4:$S$273,$C33))</f>
        <v>0</v>
      </c>
      <c r="U33" s="18">
        <f ca="1">IF($A33="","",SUMIFS(Data!$AH$4:$AH$273,Data!$T$4:$T$273,$A33,Data!$U$4:$U$273,$B33,Data!$S$4:$S$273,$C33))</f>
        <v>0</v>
      </c>
      <c r="V33" s="18">
        <f ca="1">IF($A33="","",SUMIFS(Data!$AO$4:$AO$183,Data!$AM$4:$AM$183,$B33,Data!$AL$4:$AL$183,$A33,Data!$AK$4:$AK$183,$C33))</f>
        <v>0</v>
      </c>
      <c r="W33" s="18">
        <f ca="1">IF($A33="","",SUMIFS(Data!$AP$4:$AP$183,Data!$AM$4:$AM$183,$B33,Data!$AL$4:$AL$183,$A33,Data!$AK$4:$AK$183,$C33))</f>
        <v>0</v>
      </c>
      <c r="X33" s="18">
        <f ca="1">IF($A33="","",SUMIFS(Data!$AR$4:$AR$183,Data!$AM$4:$AM$183,$B33,Data!$AL$4:$AL$183,$A33,Data!$AK$4:$AK$183,$C33))</f>
        <v>0</v>
      </c>
      <c r="Y33" s="18">
        <f ca="1">IF($A33="","",SUMIFS(Data!$AS$4:$AS$183,Data!$AM$4:$AM$183,$B33,Data!$AL$4:$AL$183,$A33,Data!$AK$4:$AK$183,$C33))</f>
        <v>0</v>
      </c>
      <c r="Z33" s="18">
        <f ca="1">IF($A33="","",SUMIFS(Data!$AT$4:$AT$183,Data!$AM$4:$AM$183,$B33,Data!$AL$4:$AL$183,$A33,Data!$AK$4:$AK$183,$C33))</f>
        <v>0</v>
      </c>
      <c r="AA33" s="18">
        <f ca="1">IF($A33="","",SUMIFS(Data!$AW$4:$AW$183,Data!$AM$4:$AM$183,$B33,Data!$AL$4:$AL$183,$A33,Data!$AK$4:$AK$183,$C33))</f>
        <v>0</v>
      </c>
      <c r="AB33" s="18">
        <f ca="1">IF($A33="","",SUMIFS(Data!$AX$4:$AX$183,Data!$AM$4:$AM$183,$B33,Data!$AL$4:$AL$183,$A33,Data!$AK$4:$AK$183,$C33))</f>
        <v>0</v>
      </c>
      <c r="AC33" s="18">
        <f ca="1">IF($A33="","",SUMIFS(Data!$AY$4:$AY$183,Data!$AM$4:$AM$183,$B33,Data!$AL$4:$AL$183,$A33,Data!$AK$4:$AK$183,$C33))</f>
        <v>0</v>
      </c>
      <c r="AD33" s="18">
        <f t="shared" ca="1" si="1"/>
        <v>0</v>
      </c>
      <c r="AE33" s="18">
        <f ca="1">IF($A33="","",SUMIFS(Data!$AJ$4:$AJ$183,Data!$AM$4:$AM$183,$B33,Data!$AL$4:$AL$183,$A33,Data!$AK$4:$AK$183,$C33))</f>
        <v>0</v>
      </c>
    </row>
    <row r="34" spans="1:31">
      <c r="A34" s="119" t="str">
        <f ca="1">IF(Data!T34="","",Data!T34)</f>
        <v>Justin</v>
      </c>
      <c r="B34" s="18" t="str">
        <f ca="1">IF(Data!U34="","",Data!U34)</f>
        <v>Red Pianta</v>
      </c>
      <c r="C34" s="18" t="str">
        <f ca="1">IF(Data!S34="","",Data!S34)</f>
        <v>G2</v>
      </c>
      <c r="D34" s="18">
        <f ca="1">IF($A34="","",Data!W34)</f>
        <v>2</v>
      </c>
      <c r="E34" s="18">
        <f ca="1">IF($A34="","",Data!Y34)</f>
        <v>0</v>
      </c>
      <c r="F34" s="61">
        <f t="shared" ca="1" si="0"/>
        <v>0.0</v>
      </c>
      <c r="G34" s="18">
        <f ca="1">IF($A34="","",Data!AB34)</f>
        <v>0</v>
      </c>
      <c r="H34" s="18">
        <f ca="1">IF($A34="","",Data!AC34)</f>
        <v>0</v>
      </c>
      <c r="I34" s="18">
        <f ca="1">IF($A34="","",INT(SUMIFS(Data!$AN$4:$AN$183,Data!$AM$4:$AM$183,$B34,Data!$AL$4:$AL$183,$A34,Data!$AK$4:$AK$183,$C34))+MOD(ROUND(SUMIFS(Data!$AN$4:$AN$183,Data!$AM$4:$AM$183,$B34,Data!$AL$4:$AL$183,$A34,Data!$AK$4:$AK$183,$C34)*3,0),3)/10)</f>
        <v>0</v>
      </c>
      <c r="J34" s="18">
        <f ca="1">IF($A34="","",SUMIFS(Data!$AQ$4:$AQ$183,Data!$AM$4:$AM$183,$B34,Data!$AL$4:$AL$183,$A34,Data!$AK$4:$AK$183,$C34))</f>
        <v>0</v>
      </c>
      <c r="K34" s="62">
        <f ca="1">IF($A34="","",IF(SUMIFS(Data!$AN$4:$AN$183,Data!$AM$4:$AM$183,$B34,Data!$AL$4:$AL$183,$A34,Data!$AK$4:$AK$183,$C34)=0,"",J34*3/SUMIFS(Data!$AN$4:$AN$183,Data!$AM$4:$AM$183,$B34,Data!$AL$4:$AL$183,$A34,Data!$AK$4:$AK$183,$C34)))</f>
      </c>
      <c r="L34" s="18">
        <f ca="1">IF($A34="","",IF(IFERROR(_xlfn.XLOOKUP($C34,Bracket!$F$6:$F$16,Bracket!$K$6:$K$16,""),"")=$B34,1,0))</f>
        <v>0</v>
      </c>
      <c r="M34" s="18">
        <f ca="1">IF($A34="","",IF(AND(IFERROR(_xlfn.XLOOKUP($C34,Bracket!$F$6:$F$16,Bracket!$K$6:$K$16,""),"")=$B34,LEFT(IFERROR(_xlfn.XLOOKUP($C34,Bracket!$F$6:$F$16,Bracket!$G$6:$G$16,""),""),2)="CG"),1,0))</f>
        <v>0</v>
      </c>
      <c r="N34" s="18">
        <f ca="1">IF($A34="","",SUMIFS(Data!$X$4:$X$273,Data!$T$4:$T$273,$A34,Data!$U$4:$U$273,$B34,Data!$S$4:$S$273,$C34))</f>
        <v>0</v>
      </c>
      <c r="O34" s="18">
        <f ca="1">IF($A34="","",SUMIFS(Data!$Z$4:$Z$273,Data!$T$4:$T$273,$A34,Data!$U$4:$U$273,$B34,Data!$S$4:$S$273,$C34))</f>
        <v>0</v>
      </c>
      <c r="P34" s="18">
        <f ca="1">IF($A34="","",SUMIFS(Data!$AA$4:$AA$273,Data!$T$4:$T$273,$A34,Data!$U$4:$U$273,$B34,Data!$S$4:$S$273,$C34))</f>
        <v>0</v>
      </c>
      <c r="Q34" s="18">
        <f ca="1">IF($A34="","",SUMIFS(Data!$AD$4:$AD$273,Data!$T$4:$T$273,$A34,Data!$U$4:$U$273,$B34,Data!$S$4:$S$273,$C34))</f>
        <v>0</v>
      </c>
      <c r="R34" s="18">
        <f ca="1">IF($A34="","",SUMIFS(Data!$AE$4:$AE$273,Data!$T$4:$T$273,$A34,Data!$U$4:$U$273,$B34,Data!$S$4:$S$273,$C34))</f>
        <v>1</v>
      </c>
      <c r="S34" s="18">
        <f ca="1">IF($A34="","",SUMIFS(Data!$AF$4:$AF$273,Data!$T$4:$T$273,$A34,Data!$U$4:$U$273,$B34,Data!$S$4:$S$273,$C34))</f>
        <v>0</v>
      </c>
      <c r="T34" s="18">
        <f ca="1">IF($A34="","",SUMIFS(Data!$AG$4:$AG$273,Data!$T$4:$T$273,$A34,Data!$U$4:$U$273,$B34,Data!$S$4:$S$273,$C34))</f>
        <v>0</v>
      </c>
      <c r="U34" s="18">
        <f ca="1">IF($A34="","",SUMIFS(Data!$AH$4:$AH$273,Data!$T$4:$T$273,$A34,Data!$U$4:$U$273,$B34,Data!$S$4:$S$273,$C34))</f>
        <v>0</v>
      </c>
      <c r="V34" s="18">
        <f ca="1">IF($A34="","",SUMIFS(Data!$AO$4:$AO$183,Data!$AM$4:$AM$183,$B34,Data!$AL$4:$AL$183,$A34,Data!$AK$4:$AK$183,$C34))</f>
        <v>0</v>
      </c>
      <c r="W34" s="18">
        <f ca="1">IF($A34="","",SUMIFS(Data!$AP$4:$AP$183,Data!$AM$4:$AM$183,$B34,Data!$AL$4:$AL$183,$A34,Data!$AK$4:$AK$183,$C34))</f>
        <v>0</v>
      </c>
      <c r="X34" s="18">
        <f ca="1">IF($A34="","",SUMIFS(Data!$AR$4:$AR$183,Data!$AM$4:$AM$183,$B34,Data!$AL$4:$AL$183,$A34,Data!$AK$4:$AK$183,$C34))</f>
        <v>0</v>
      </c>
      <c r="Y34" s="18">
        <f ca="1">IF($A34="","",SUMIFS(Data!$AS$4:$AS$183,Data!$AM$4:$AM$183,$B34,Data!$AL$4:$AL$183,$A34,Data!$AK$4:$AK$183,$C34))</f>
        <v>0</v>
      </c>
      <c r="Z34" s="18">
        <f ca="1">IF($A34="","",SUMIFS(Data!$AT$4:$AT$183,Data!$AM$4:$AM$183,$B34,Data!$AL$4:$AL$183,$A34,Data!$AK$4:$AK$183,$C34))</f>
        <v>0</v>
      </c>
      <c r="AA34" s="18">
        <f ca="1">IF($A34="","",SUMIFS(Data!$AW$4:$AW$183,Data!$AM$4:$AM$183,$B34,Data!$AL$4:$AL$183,$A34,Data!$AK$4:$AK$183,$C34))</f>
        <v>0</v>
      </c>
      <c r="AB34" s="18">
        <f ca="1">IF($A34="","",SUMIFS(Data!$AX$4:$AX$183,Data!$AM$4:$AM$183,$B34,Data!$AL$4:$AL$183,$A34,Data!$AK$4:$AK$183,$C34))</f>
        <v>0</v>
      </c>
      <c r="AC34" s="18">
        <f ca="1">IF($A34="","",SUMIFS(Data!$AY$4:$AY$183,Data!$AM$4:$AM$183,$B34,Data!$AL$4:$AL$183,$A34,Data!$AK$4:$AK$183,$C34))</f>
        <v>0</v>
      </c>
      <c r="AD34" s="18">
        <f t="shared" ca="1" si="1"/>
        <v>0</v>
      </c>
      <c r="AE34" s="18">
        <f ca="1">IF($A34="","",SUMIFS(Data!$AJ$4:$AJ$183,Data!$AM$4:$AM$183,$B34,Data!$AL$4:$AL$183,$A34,Data!$AK$4:$AK$183,$C34))</f>
        <v>0</v>
      </c>
    </row>
    <row r="35" spans="1:31">
      <c r="A35" s="119" t="str">
        <f ca="1">IF(Data!T35="","",Data!T35)</f>
        <v>Justin</v>
      </c>
      <c r="B35" s="18" t="str">
        <f ca="1">IF(Data!U35="","",Data!U35)</f>
        <v>Blue Yoshi</v>
      </c>
      <c r="C35" s="18" t="str">
        <f ca="1">IF(Data!S35="","",Data!S35)</f>
        <v>G2</v>
      </c>
      <c r="D35" s="18">
        <f ca="1">IF($A35="","",Data!W35)</f>
        <v>2</v>
      </c>
      <c r="E35" s="18">
        <f ca="1">IF($A35="","",Data!Y35)</f>
        <v>0</v>
      </c>
      <c r="F35" s="61">
        <f t="shared" ca="1" si="0"/>
        <v>0.0</v>
      </c>
      <c r="G35" s="18">
        <f ca="1">IF($A35="","",Data!AB35)</f>
        <v>0</v>
      </c>
      <c r="H35" s="18">
        <f ca="1">IF($A35="","",Data!AC35)</f>
        <v>0</v>
      </c>
      <c r="I35" s="18">
        <f ca="1">IF($A35="","",INT(SUMIFS(Data!$AN$4:$AN$183,Data!$AM$4:$AM$183,$B35,Data!$AL$4:$AL$183,$A35,Data!$AK$4:$AK$183,$C35))+MOD(ROUND(SUMIFS(Data!$AN$4:$AN$183,Data!$AM$4:$AM$183,$B35,Data!$AL$4:$AL$183,$A35,Data!$AK$4:$AK$183,$C35)*3,0),3)/10)</f>
        <v>0</v>
      </c>
      <c r="J35" s="18">
        <f ca="1">IF($A35="","",SUMIFS(Data!$AQ$4:$AQ$183,Data!$AM$4:$AM$183,$B35,Data!$AL$4:$AL$183,$A35,Data!$AK$4:$AK$183,$C35))</f>
        <v>0</v>
      </c>
      <c r="K35" s="62">
        <f ca="1">IF($A35="","",IF(SUMIFS(Data!$AN$4:$AN$183,Data!$AM$4:$AM$183,$B35,Data!$AL$4:$AL$183,$A35,Data!$AK$4:$AK$183,$C35)=0,"",J35*3/SUMIFS(Data!$AN$4:$AN$183,Data!$AM$4:$AM$183,$B35,Data!$AL$4:$AL$183,$A35,Data!$AK$4:$AK$183,$C35)))</f>
      </c>
      <c r="L35" s="18">
        <f ca="1">IF($A35="","",IF(IFERROR(_xlfn.XLOOKUP($C35,Bracket!$F$6:$F$16,Bracket!$K$6:$K$16,""),"")=$B35,1,0))</f>
        <v>0</v>
      </c>
      <c r="M35" s="18">
        <f ca="1">IF($A35="","",IF(AND(IFERROR(_xlfn.XLOOKUP($C35,Bracket!$F$6:$F$16,Bracket!$K$6:$K$16,""),"")=$B35,LEFT(IFERROR(_xlfn.XLOOKUP($C35,Bracket!$F$6:$F$16,Bracket!$G$6:$G$16,""),""),2)="CG"),1,0))</f>
        <v>0</v>
      </c>
      <c r="N35" s="18">
        <f ca="1">IF($A35="","",SUMIFS(Data!$X$4:$X$273,Data!$T$4:$T$273,$A35,Data!$U$4:$U$273,$B35,Data!$S$4:$S$273,$C35))</f>
        <v>0</v>
      </c>
      <c r="O35" s="18">
        <f ca="1">IF($A35="","",SUMIFS(Data!$Z$4:$Z$273,Data!$T$4:$T$273,$A35,Data!$U$4:$U$273,$B35,Data!$S$4:$S$273,$C35))</f>
        <v>0</v>
      </c>
      <c r="P35" s="18">
        <f ca="1">IF($A35="","",SUMIFS(Data!$AA$4:$AA$273,Data!$T$4:$T$273,$A35,Data!$U$4:$U$273,$B35,Data!$S$4:$S$273,$C35))</f>
        <v>0</v>
      </c>
      <c r="Q35" s="18">
        <f ca="1">IF($A35="","",SUMIFS(Data!$AD$4:$AD$273,Data!$T$4:$T$273,$A35,Data!$U$4:$U$273,$B35,Data!$S$4:$S$273,$C35))</f>
        <v>0</v>
      </c>
      <c r="R35" s="18">
        <f ca="1">IF($A35="","",SUMIFS(Data!$AE$4:$AE$273,Data!$T$4:$T$273,$A35,Data!$U$4:$U$273,$B35,Data!$S$4:$S$273,$C35))</f>
        <v>0</v>
      </c>
      <c r="S35" s="18">
        <f ca="1">IF($A35="","",SUMIFS(Data!$AF$4:$AF$273,Data!$T$4:$T$273,$A35,Data!$U$4:$U$273,$B35,Data!$S$4:$S$273,$C35))</f>
        <v>0</v>
      </c>
      <c r="T35" s="18">
        <f ca="1">IF($A35="","",SUMIFS(Data!$AG$4:$AG$273,Data!$T$4:$T$273,$A35,Data!$U$4:$U$273,$B35,Data!$S$4:$S$273,$C35))</f>
        <v>0</v>
      </c>
      <c r="U35" s="18">
        <f ca="1">IF($A35="","",SUMIFS(Data!$AH$4:$AH$273,Data!$T$4:$T$273,$A35,Data!$U$4:$U$273,$B35,Data!$S$4:$S$273,$C35))</f>
        <v>0</v>
      </c>
      <c r="V35" s="18">
        <f ca="1">IF($A35="","",SUMIFS(Data!$AO$4:$AO$183,Data!$AM$4:$AM$183,$B35,Data!$AL$4:$AL$183,$A35,Data!$AK$4:$AK$183,$C35))</f>
        <v>0</v>
      </c>
      <c r="W35" s="18">
        <f ca="1">IF($A35="","",SUMIFS(Data!$AP$4:$AP$183,Data!$AM$4:$AM$183,$B35,Data!$AL$4:$AL$183,$A35,Data!$AK$4:$AK$183,$C35))</f>
        <v>0</v>
      </c>
      <c r="X35" s="18">
        <f ca="1">IF($A35="","",SUMIFS(Data!$AR$4:$AR$183,Data!$AM$4:$AM$183,$B35,Data!$AL$4:$AL$183,$A35,Data!$AK$4:$AK$183,$C35))</f>
        <v>0</v>
      </c>
      <c r="Y35" s="18">
        <f ca="1">IF($A35="","",SUMIFS(Data!$AS$4:$AS$183,Data!$AM$4:$AM$183,$B35,Data!$AL$4:$AL$183,$A35,Data!$AK$4:$AK$183,$C35))</f>
        <v>0</v>
      </c>
      <c r="Z35" s="18">
        <f ca="1">IF($A35="","",SUMIFS(Data!$AT$4:$AT$183,Data!$AM$4:$AM$183,$B35,Data!$AL$4:$AL$183,$A35,Data!$AK$4:$AK$183,$C35))</f>
        <v>0</v>
      </c>
      <c r="AA35" s="18">
        <f ca="1">IF($A35="","",SUMIFS(Data!$AW$4:$AW$183,Data!$AM$4:$AM$183,$B35,Data!$AL$4:$AL$183,$A35,Data!$AK$4:$AK$183,$C35))</f>
        <v>0</v>
      </c>
      <c r="AB35" s="18">
        <f ca="1">IF($A35="","",SUMIFS(Data!$AX$4:$AX$183,Data!$AM$4:$AM$183,$B35,Data!$AL$4:$AL$183,$A35,Data!$AK$4:$AK$183,$C35))</f>
        <v>0</v>
      </c>
      <c r="AC35" s="18">
        <f ca="1">IF($A35="","",SUMIFS(Data!$AY$4:$AY$183,Data!$AM$4:$AM$183,$B35,Data!$AL$4:$AL$183,$A35,Data!$AK$4:$AK$183,$C35))</f>
        <v>0</v>
      </c>
      <c r="AD35" s="18">
        <f t="shared" ca="1" si="1"/>
        <v>0</v>
      </c>
      <c r="AE35" s="18">
        <f ca="1">IF($A35="","",SUMIFS(Data!$AJ$4:$AJ$183,Data!$AM$4:$AM$183,$B35,Data!$AL$4:$AL$183,$A35,Data!$AK$4:$AK$183,$C35))</f>
        <v>0</v>
      </c>
    </row>
    <row r="36" spans="1:31">
      <c r="A36" s="119" t="str">
        <f ca="1">IF(Data!T36="","",Data!T36)</f>
        <v>Justin</v>
      </c>
      <c r="B36" s="18" t="str">
        <f ca="1">IF(Data!U36="","",Data!U36)</f>
        <v>Baby Luigi</v>
      </c>
      <c r="C36" s="18" t="str">
        <f ca="1">IF(Data!S36="","",Data!S36)</f>
        <v>G2</v>
      </c>
      <c r="D36" s="18">
        <f ca="1">IF($A36="","",Data!W36)</f>
        <v>1</v>
      </c>
      <c r="E36" s="18">
        <f ca="1">IF($A36="","",Data!Y36)</f>
        <v>1</v>
      </c>
      <c r="F36" s="61">
        <f t="shared" ca="1" si="0"/>
        <v>1.0</v>
      </c>
      <c r="G36" s="18">
        <f ca="1">IF($A36="","",Data!AB36)</f>
        <v>0</v>
      </c>
      <c r="H36" s="18">
        <f ca="1">IF($A36="","",Data!AC36)</f>
        <v>0</v>
      </c>
      <c r="I36" s="18">
        <f ca="1">IF($A36="","",INT(SUMIFS(Data!$AN$4:$AN$183,Data!$AM$4:$AM$183,$B36,Data!$AL$4:$AL$183,$A36,Data!$AK$4:$AK$183,$C36))+MOD(ROUND(SUMIFS(Data!$AN$4:$AN$183,Data!$AM$4:$AM$183,$B36,Data!$AL$4:$AL$183,$A36,Data!$AK$4:$AK$183,$C36)*3,0),3)/10)</f>
        <v>0</v>
      </c>
      <c r="J36" s="18">
        <f ca="1">IF($A36="","",SUMIFS(Data!$AQ$4:$AQ$183,Data!$AM$4:$AM$183,$B36,Data!$AL$4:$AL$183,$A36,Data!$AK$4:$AK$183,$C36))</f>
        <v>0</v>
      </c>
      <c r="K36" s="62">
        <f ca="1">IF($A36="","",IF(SUMIFS(Data!$AN$4:$AN$183,Data!$AM$4:$AM$183,$B36,Data!$AL$4:$AL$183,$A36,Data!$AK$4:$AK$183,$C36)=0,"",J36*3/SUMIFS(Data!$AN$4:$AN$183,Data!$AM$4:$AM$183,$B36,Data!$AL$4:$AL$183,$A36,Data!$AK$4:$AK$183,$C36)))</f>
      </c>
      <c r="L36" s="18">
        <f ca="1">IF($A36="","",IF(IFERROR(_xlfn.XLOOKUP($C36,Bracket!$F$6:$F$16,Bracket!$K$6:$K$16,""),"")=$B36,1,0))</f>
        <v>0</v>
      </c>
      <c r="M36" s="18">
        <f ca="1">IF($A36="","",IF(AND(IFERROR(_xlfn.XLOOKUP($C36,Bracket!$F$6:$F$16,Bracket!$K$6:$K$16,""),"")=$B36,LEFT(IFERROR(_xlfn.XLOOKUP($C36,Bracket!$F$6:$F$16,Bracket!$G$6:$G$16,""),""),2)="CG"),1,0))</f>
        <v>0</v>
      </c>
      <c r="N36" s="18">
        <f ca="1">IF($A36="","",SUMIFS(Data!$X$4:$X$273,Data!$T$4:$T$273,$A36,Data!$U$4:$U$273,$B36,Data!$S$4:$S$273,$C36))</f>
        <v>0</v>
      </c>
      <c r="O36" s="18">
        <f ca="1">IF($A36="","",SUMIFS(Data!$Z$4:$Z$273,Data!$T$4:$T$273,$A36,Data!$U$4:$U$273,$B36,Data!$S$4:$S$273,$C36))</f>
        <v>0</v>
      </c>
      <c r="P36" s="18">
        <f ca="1">IF($A36="","",SUMIFS(Data!$AA$4:$AA$273,Data!$T$4:$T$273,$A36,Data!$U$4:$U$273,$B36,Data!$S$4:$S$273,$C36))</f>
        <v>0</v>
      </c>
      <c r="Q36" s="18">
        <f ca="1">IF($A36="","",SUMIFS(Data!$AD$4:$AD$273,Data!$T$4:$T$273,$A36,Data!$U$4:$U$273,$B36,Data!$S$4:$S$273,$C36))</f>
        <v>0</v>
      </c>
      <c r="R36" s="18">
        <f ca="1">IF($A36="","",SUMIFS(Data!$AE$4:$AE$273,Data!$T$4:$T$273,$A36,Data!$U$4:$U$273,$B36,Data!$S$4:$S$273,$C36))</f>
        <v>0</v>
      </c>
      <c r="S36" s="18">
        <f ca="1">IF($A36="","",SUMIFS(Data!$AF$4:$AF$273,Data!$T$4:$T$273,$A36,Data!$U$4:$U$273,$B36,Data!$S$4:$S$273,$C36))</f>
        <v>0</v>
      </c>
      <c r="T36" s="18">
        <f ca="1">IF($A36="","",SUMIFS(Data!$AG$4:$AG$273,Data!$T$4:$T$273,$A36,Data!$U$4:$U$273,$B36,Data!$S$4:$S$273,$C36))</f>
        <v>0</v>
      </c>
      <c r="U36" s="18">
        <f ca="1">IF($A36="","",SUMIFS(Data!$AH$4:$AH$273,Data!$T$4:$T$273,$A36,Data!$U$4:$U$273,$B36,Data!$S$4:$S$273,$C36))</f>
        <v>0</v>
      </c>
      <c r="V36" s="18">
        <f ca="1">IF($A36="","",SUMIFS(Data!$AO$4:$AO$183,Data!$AM$4:$AM$183,$B36,Data!$AL$4:$AL$183,$A36,Data!$AK$4:$AK$183,$C36))</f>
        <v>0</v>
      </c>
      <c r="W36" s="18">
        <f ca="1">IF($A36="","",SUMIFS(Data!$AP$4:$AP$183,Data!$AM$4:$AM$183,$B36,Data!$AL$4:$AL$183,$A36,Data!$AK$4:$AK$183,$C36))</f>
        <v>0</v>
      </c>
      <c r="X36" s="18">
        <f ca="1">IF($A36="","",SUMIFS(Data!$AR$4:$AR$183,Data!$AM$4:$AM$183,$B36,Data!$AL$4:$AL$183,$A36,Data!$AK$4:$AK$183,$C36))</f>
        <v>0</v>
      </c>
      <c r="Y36" s="18">
        <f ca="1">IF($A36="","",SUMIFS(Data!$AS$4:$AS$183,Data!$AM$4:$AM$183,$B36,Data!$AL$4:$AL$183,$A36,Data!$AK$4:$AK$183,$C36))</f>
        <v>0</v>
      </c>
      <c r="Z36" s="18">
        <f ca="1">IF($A36="","",SUMIFS(Data!$AT$4:$AT$183,Data!$AM$4:$AM$183,$B36,Data!$AL$4:$AL$183,$A36,Data!$AK$4:$AK$183,$C36))</f>
        <v>0</v>
      </c>
      <c r="AA36" s="18">
        <f ca="1">IF($A36="","",SUMIFS(Data!$AW$4:$AW$183,Data!$AM$4:$AM$183,$B36,Data!$AL$4:$AL$183,$A36,Data!$AK$4:$AK$183,$C36))</f>
        <v>0</v>
      </c>
      <c r="AB36" s="18">
        <f ca="1">IF($A36="","",SUMIFS(Data!$AX$4:$AX$183,Data!$AM$4:$AM$183,$B36,Data!$AL$4:$AL$183,$A36,Data!$AK$4:$AK$183,$C36))</f>
        <v>0</v>
      </c>
      <c r="AC36" s="18">
        <f ca="1">IF($A36="","",SUMIFS(Data!$AY$4:$AY$183,Data!$AM$4:$AM$183,$B36,Data!$AL$4:$AL$183,$A36,Data!$AK$4:$AK$183,$C36))</f>
        <v>0</v>
      </c>
      <c r="AD36" s="18">
        <f t="shared" ca="1" si="1"/>
        <v>0</v>
      </c>
      <c r="AE36" s="18">
        <f ca="1">IF($A36="","",SUMIFS(Data!$AJ$4:$AJ$183,Data!$AM$4:$AM$183,$B36,Data!$AL$4:$AL$183,$A36,Data!$AK$4:$AK$183,$C36))</f>
        <v>0</v>
      </c>
    </row>
    <row r="37" spans="1:31">
      <c r="A37" s="119" t="str">
        <f ca="1">IF(Data!T37="","",Data!T37)</f>
        <v>Justin</v>
      </c>
      <c r="B37" s="18" t="str">
        <f ca="1">IF(Data!U37="","",Data!U37)</f>
        <v>Paratroopa</v>
      </c>
      <c r="C37" s="18" t="str">
        <f ca="1">IF(Data!S37="","",Data!S37)</f>
        <v>G2</v>
      </c>
      <c r="D37" s="18">
        <f ca="1">IF($A37="","",Data!W37)</f>
        <v>1</v>
      </c>
      <c r="E37" s="18">
        <f ca="1">IF($A37="","",Data!Y37)</f>
        <v>0</v>
      </c>
      <c r="F37" s="61">
        <f t="shared" ca="1" si="0"/>
        <v>0.0</v>
      </c>
      <c r="G37" s="18">
        <f ca="1">IF($A37="","",Data!AB37)</f>
        <v>0</v>
      </c>
      <c r="H37" s="18">
        <f ca="1">IF($A37="","",Data!AC37)</f>
        <v>0</v>
      </c>
      <c r="I37" s="18">
        <f ca="1">IF($A37="","",INT(SUMIFS(Data!$AN$4:$AN$183,Data!$AM$4:$AM$183,$B37,Data!$AL$4:$AL$183,$A37,Data!$AK$4:$AK$183,$C37))+MOD(ROUND(SUMIFS(Data!$AN$4:$AN$183,Data!$AM$4:$AM$183,$B37,Data!$AL$4:$AL$183,$A37,Data!$AK$4:$AK$183,$C37)*3,0),3)/10)</f>
        <v>0</v>
      </c>
      <c r="J37" s="18">
        <f ca="1">IF($A37="","",SUMIFS(Data!$AQ$4:$AQ$183,Data!$AM$4:$AM$183,$B37,Data!$AL$4:$AL$183,$A37,Data!$AK$4:$AK$183,$C37))</f>
        <v>0</v>
      </c>
      <c r="K37" s="62">
        <f ca="1">IF($A37="","",IF(SUMIFS(Data!$AN$4:$AN$183,Data!$AM$4:$AM$183,$B37,Data!$AL$4:$AL$183,$A37,Data!$AK$4:$AK$183,$C37)=0,"",J37*3/SUMIFS(Data!$AN$4:$AN$183,Data!$AM$4:$AM$183,$B37,Data!$AL$4:$AL$183,$A37,Data!$AK$4:$AK$183,$C37)))</f>
      </c>
      <c r="L37" s="18">
        <f ca="1">IF($A37="","",IF(IFERROR(_xlfn.XLOOKUP($C37,Bracket!$F$6:$F$16,Bracket!$K$6:$K$16,""),"")=$B37,1,0))</f>
        <v>0</v>
      </c>
      <c r="M37" s="18">
        <f ca="1">IF($A37="","",IF(AND(IFERROR(_xlfn.XLOOKUP($C37,Bracket!$F$6:$F$16,Bracket!$K$6:$K$16,""),"")=$B37,LEFT(IFERROR(_xlfn.XLOOKUP($C37,Bracket!$F$6:$F$16,Bracket!$G$6:$G$16,""),""),2)="CG"),1,0))</f>
        <v>0</v>
      </c>
      <c r="N37" s="18">
        <f ca="1">IF($A37="","",SUMIFS(Data!$X$4:$X$273,Data!$T$4:$T$273,$A37,Data!$U$4:$U$273,$B37,Data!$S$4:$S$273,$C37))</f>
        <v>0</v>
      </c>
      <c r="O37" s="18">
        <f ca="1">IF($A37="","",SUMIFS(Data!$Z$4:$Z$273,Data!$T$4:$T$273,$A37,Data!$U$4:$U$273,$B37,Data!$S$4:$S$273,$C37))</f>
        <v>0</v>
      </c>
      <c r="P37" s="18">
        <f ca="1">IF($A37="","",SUMIFS(Data!$AA$4:$AA$273,Data!$T$4:$T$273,$A37,Data!$U$4:$U$273,$B37,Data!$S$4:$S$273,$C37))</f>
        <v>0</v>
      </c>
      <c r="Q37" s="18">
        <f ca="1">IF($A37="","",SUMIFS(Data!$AD$4:$AD$273,Data!$T$4:$T$273,$A37,Data!$U$4:$U$273,$B37,Data!$S$4:$S$273,$C37))</f>
        <v>0</v>
      </c>
      <c r="R37" s="18">
        <f ca="1">IF($A37="","",SUMIFS(Data!$AE$4:$AE$273,Data!$T$4:$T$273,$A37,Data!$U$4:$U$273,$B37,Data!$S$4:$S$273,$C37))</f>
        <v>1</v>
      </c>
      <c r="S37" s="18">
        <f ca="1">IF($A37="","",SUMIFS(Data!$AF$4:$AF$273,Data!$T$4:$T$273,$A37,Data!$U$4:$U$273,$B37,Data!$S$4:$S$273,$C37))</f>
        <v>0</v>
      </c>
      <c r="T37" s="18">
        <f ca="1">IF($A37="","",SUMIFS(Data!$AG$4:$AG$273,Data!$T$4:$T$273,$A37,Data!$U$4:$U$273,$B37,Data!$S$4:$S$273,$C37))</f>
        <v>0</v>
      </c>
      <c r="U37" s="18">
        <f ca="1">IF($A37="","",SUMIFS(Data!$AH$4:$AH$273,Data!$T$4:$T$273,$A37,Data!$U$4:$U$273,$B37,Data!$S$4:$S$273,$C37))</f>
        <v>0</v>
      </c>
      <c r="V37" s="18">
        <f ca="1">IF($A37="","",SUMIFS(Data!$AO$4:$AO$183,Data!$AM$4:$AM$183,$B37,Data!$AL$4:$AL$183,$A37,Data!$AK$4:$AK$183,$C37))</f>
        <v>0</v>
      </c>
      <c r="W37" s="18">
        <f ca="1">IF($A37="","",SUMIFS(Data!$AP$4:$AP$183,Data!$AM$4:$AM$183,$B37,Data!$AL$4:$AL$183,$A37,Data!$AK$4:$AK$183,$C37))</f>
        <v>0</v>
      </c>
      <c r="X37" s="18">
        <f ca="1">IF($A37="","",SUMIFS(Data!$AR$4:$AR$183,Data!$AM$4:$AM$183,$B37,Data!$AL$4:$AL$183,$A37,Data!$AK$4:$AK$183,$C37))</f>
        <v>0</v>
      </c>
      <c r="Y37" s="18">
        <f ca="1">IF($A37="","",SUMIFS(Data!$AS$4:$AS$183,Data!$AM$4:$AM$183,$B37,Data!$AL$4:$AL$183,$A37,Data!$AK$4:$AK$183,$C37))</f>
        <v>0</v>
      </c>
      <c r="Z37" s="18">
        <f ca="1">IF($A37="","",SUMIFS(Data!$AT$4:$AT$183,Data!$AM$4:$AM$183,$B37,Data!$AL$4:$AL$183,$A37,Data!$AK$4:$AK$183,$C37))</f>
        <v>0</v>
      </c>
      <c r="AA37" s="18">
        <f ca="1">IF($A37="","",SUMIFS(Data!$AW$4:$AW$183,Data!$AM$4:$AM$183,$B37,Data!$AL$4:$AL$183,$A37,Data!$AK$4:$AK$183,$C37))</f>
        <v>0</v>
      </c>
      <c r="AB37" s="18">
        <f ca="1">IF($A37="","",SUMIFS(Data!$AX$4:$AX$183,Data!$AM$4:$AM$183,$B37,Data!$AL$4:$AL$183,$A37,Data!$AK$4:$AK$183,$C37))</f>
        <v>0</v>
      </c>
      <c r="AC37" s="18">
        <f ca="1">IF($A37="","",SUMIFS(Data!$AY$4:$AY$183,Data!$AM$4:$AM$183,$B37,Data!$AL$4:$AL$183,$A37,Data!$AK$4:$AK$183,$C37))</f>
        <v>0</v>
      </c>
      <c r="AD37" s="18">
        <f t="shared" ca="1" si="1"/>
        <v>0</v>
      </c>
      <c r="AE37" s="18">
        <f ca="1">IF($A37="","",SUMIFS(Data!$AJ$4:$AJ$183,Data!$AM$4:$AM$183,$B37,Data!$AL$4:$AL$183,$A37,Data!$AK$4:$AK$183,$C37))</f>
        <v>0</v>
      </c>
    </row>
    <row r="38" spans="1:31">
      <c r="A38" s="119" t="str">
        <f ca="1">IF(Data!T38="","",Data!T38)</f>
        <v>Justin</v>
      </c>
      <c r="B38" s="18" t="str">
        <f ca="1">IF(Data!U38="","",Data!U38)</f>
        <v>Yellow Magikoopa</v>
      </c>
      <c r="C38" s="18" t="str">
        <f ca="1">IF(Data!S38="","",Data!S38)</f>
        <v>G2</v>
      </c>
      <c r="D38" s="18">
        <f ca="1">IF($A38="","",Data!W38)</f>
        <v>1</v>
      </c>
      <c r="E38" s="18">
        <f ca="1">IF($A38="","",Data!Y38)</f>
        <v>1</v>
      </c>
      <c r="F38" s="61">
        <f t="shared" ca="1" si="0"/>
        <v>1.0</v>
      </c>
      <c r="G38" s="18">
        <f ca="1">IF($A38="","",Data!AB38)</f>
        <v>1</v>
      </c>
      <c r="H38" s="18">
        <f ca="1">IF($A38="","",Data!AC38)</f>
        <v>1</v>
      </c>
      <c r="I38" s="18">
        <f ca="1">IF($A38="","",INT(SUMIFS(Data!$AN$4:$AN$183,Data!$AM$4:$AM$183,$B38,Data!$AL$4:$AL$183,$A38,Data!$AK$4:$AK$183,$C38))+MOD(ROUND(SUMIFS(Data!$AN$4:$AN$183,Data!$AM$4:$AM$183,$B38,Data!$AL$4:$AL$183,$A38,Data!$AK$4:$AK$183,$C38)*3,0),3)/10)</f>
        <v>0</v>
      </c>
      <c r="J38" s="18">
        <f ca="1">IF($A38="","",SUMIFS(Data!$AQ$4:$AQ$183,Data!$AM$4:$AM$183,$B38,Data!$AL$4:$AL$183,$A38,Data!$AK$4:$AK$183,$C38))</f>
        <v>0</v>
      </c>
      <c r="K38" s="62">
        <f ca="1">IF($A38="","",IF(SUMIFS(Data!$AN$4:$AN$183,Data!$AM$4:$AM$183,$B38,Data!$AL$4:$AL$183,$A38,Data!$AK$4:$AK$183,$C38)=0,"",J38*3/SUMIFS(Data!$AN$4:$AN$183,Data!$AM$4:$AM$183,$B38,Data!$AL$4:$AL$183,$A38,Data!$AK$4:$AK$183,$C38)))</f>
      </c>
      <c r="L38" s="18">
        <f ca="1">IF($A38="","",IF(IFERROR(_xlfn.XLOOKUP($C38,Bracket!$F$6:$F$16,Bracket!$K$6:$K$16,""),"")=$B38,1,0))</f>
        <v>0</v>
      </c>
      <c r="M38" s="18">
        <f ca="1">IF($A38="","",IF(AND(IFERROR(_xlfn.XLOOKUP($C38,Bracket!$F$6:$F$16,Bracket!$K$6:$K$16,""),"")=$B38,LEFT(IFERROR(_xlfn.XLOOKUP($C38,Bracket!$F$6:$F$16,Bracket!$G$6:$G$16,""),""),2)="CG"),1,0))</f>
        <v>0</v>
      </c>
      <c r="N38" s="18">
        <f ca="1">IF($A38="","",SUMIFS(Data!$X$4:$X$273,Data!$T$4:$T$273,$A38,Data!$U$4:$U$273,$B38,Data!$S$4:$S$273,$C38))</f>
        <v>1</v>
      </c>
      <c r="O38" s="18">
        <f ca="1">IF($A38="","",SUMIFS(Data!$Z$4:$Z$273,Data!$T$4:$T$273,$A38,Data!$U$4:$U$273,$B38,Data!$S$4:$S$273,$C38))</f>
        <v>0</v>
      </c>
      <c r="P38" s="18">
        <f ca="1">IF($A38="","",SUMIFS(Data!$AA$4:$AA$273,Data!$T$4:$T$273,$A38,Data!$U$4:$U$273,$B38,Data!$S$4:$S$273,$C38))</f>
        <v>0</v>
      </c>
      <c r="Q38" s="18">
        <f ca="1">IF($A38="","",SUMIFS(Data!$AD$4:$AD$273,Data!$T$4:$T$273,$A38,Data!$U$4:$U$273,$B38,Data!$S$4:$S$273,$C38))</f>
        <v>0</v>
      </c>
      <c r="R38" s="18">
        <f ca="1">IF($A38="","",SUMIFS(Data!$AE$4:$AE$273,Data!$T$4:$T$273,$A38,Data!$U$4:$U$273,$B38,Data!$S$4:$S$273,$C38))</f>
        <v>0</v>
      </c>
      <c r="S38" s="18">
        <f ca="1">IF($A38="","",SUMIFS(Data!$AF$4:$AF$273,Data!$T$4:$T$273,$A38,Data!$U$4:$U$273,$B38,Data!$S$4:$S$273,$C38))</f>
        <v>0</v>
      </c>
      <c r="T38" s="18">
        <f ca="1">IF($A38="","",SUMIFS(Data!$AG$4:$AG$273,Data!$T$4:$T$273,$A38,Data!$U$4:$U$273,$B38,Data!$S$4:$S$273,$C38))</f>
        <v>0</v>
      </c>
      <c r="U38" s="18">
        <f ca="1">IF($A38="","",SUMIFS(Data!$AH$4:$AH$273,Data!$T$4:$T$273,$A38,Data!$U$4:$U$273,$B38,Data!$S$4:$S$273,$C38))</f>
        <v>0</v>
      </c>
      <c r="V38" s="18">
        <f ca="1">IF($A38="","",SUMIFS(Data!$AO$4:$AO$183,Data!$AM$4:$AM$183,$B38,Data!$AL$4:$AL$183,$A38,Data!$AK$4:$AK$183,$C38))</f>
        <v>0</v>
      </c>
      <c r="W38" s="18">
        <f ca="1">IF($A38="","",SUMIFS(Data!$AP$4:$AP$183,Data!$AM$4:$AM$183,$B38,Data!$AL$4:$AL$183,$A38,Data!$AK$4:$AK$183,$C38))</f>
        <v>0</v>
      </c>
      <c r="X38" s="18">
        <f ca="1">IF($A38="","",SUMIFS(Data!$AR$4:$AR$183,Data!$AM$4:$AM$183,$B38,Data!$AL$4:$AL$183,$A38,Data!$AK$4:$AK$183,$C38))</f>
        <v>0</v>
      </c>
      <c r="Y38" s="18">
        <f ca="1">IF($A38="","",SUMIFS(Data!$AS$4:$AS$183,Data!$AM$4:$AM$183,$B38,Data!$AL$4:$AL$183,$A38,Data!$AK$4:$AK$183,$C38))</f>
        <v>0</v>
      </c>
      <c r="Z38" s="18">
        <f ca="1">IF($A38="","",SUMIFS(Data!$AT$4:$AT$183,Data!$AM$4:$AM$183,$B38,Data!$AL$4:$AL$183,$A38,Data!$AK$4:$AK$183,$C38))</f>
        <v>0</v>
      </c>
      <c r="AA38" s="18">
        <f ca="1">IF($A38="","",SUMIFS(Data!$AW$4:$AW$183,Data!$AM$4:$AM$183,$B38,Data!$AL$4:$AL$183,$A38,Data!$AK$4:$AK$183,$C38))</f>
        <v>0</v>
      </c>
      <c r="AB38" s="18">
        <f ca="1">IF($A38="","",SUMIFS(Data!$AX$4:$AX$183,Data!$AM$4:$AM$183,$B38,Data!$AL$4:$AL$183,$A38,Data!$AK$4:$AK$183,$C38))</f>
        <v>0</v>
      </c>
      <c r="AC38" s="18">
        <f ca="1">IF($A38="","",SUMIFS(Data!$AY$4:$AY$183,Data!$AM$4:$AM$183,$B38,Data!$AL$4:$AL$183,$A38,Data!$AK$4:$AK$183,$C38))</f>
        <v>0</v>
      </c>
      <c r="AD38" s="18">
        <f t="shared" ca="1" si="1"/>
        <v>0</v>
      </c>
      <c r="AE38" s="18">
        <f ca="1">IF($A38="","",SUMIFS(Data!$AJ$4:$AJ$183,Data!$AM$4:$AM$183,$B38,Data!$AL$4:$AL$183,$A38,Data!$AK$4:$AK$183,$C38))</f>
        <v>0</v>
      </c>
    </row>
    <row r="39" spans="1:31">
      <c r="A39" s="119" t="str">
        <f ca="1">IF(Data!T39="","",Data!T39)</f>
        <v>Justin</v>
      </c>
      <c r="B39" s="18" t="str">
        <f ca="1">IF(Data!U39="","",Data!U39)</f>
        <v>Boo</v>
      </c>
      <c r="C39" s="18" t="str">
        <f ca="1">IF(Data!S39="","",Data!S39)</f>
        <v>G2</v>
      </c>
      <c r="D39" s="18">
        <f ca="1">IF($A39="","",Data!W39)</f>
        <v>1</v>
      </c>
      <c r="E39" s="18">
        <f ca="1">IF($A39="","",Data!Y39)</f>
        <v>1</v>
      </c>
      <c r="F39" s="61">
        <f t="shared" ca="1" si="0"/>
        <v>1.0</v>
      </c>
      <c r="G39" s="18">
        <f ca="1">IF($A39="","",Data!AB39)</f>
        <v>1</v>
      </c>
      <c r="H39" s="18">
        <f ca="1">IF($A39="","",Data!AC39)</f>
        <v>1</v>
      </c>
      <c r="I39" s="18">
        <f ca="1">IF($A39="","",INT(SUMIFS(Data!$AN$4:$AN$183,Data!$AM$4:$AM$183,$B39,Data!$AL$4:$AL$183,$A39,Data!$AK$4:$AK$183,$C39))+MOD(ROUND(SUMIFS(Data!$AN$4:$AN$183,Data!$AM$4:$AM$183,$B39,Data!$AL$4:$AL$183,$A39,Data!$AK$4:$AK$183,$C39)*3,0),3)/10)</f>
        <v>2.1</v>
      </c>
      <c r="J39" s="18">
        <f ca="1">IF($A39="","",SUMIFS(Data!$AQ$4:$AQ$183,Data!$AM$4:$AM$183,$B39,Data!$AL$4:$AL$183,$A39,Data!$AK$4:$AK$183,$C39))</f>
        <v>4</v>
      </c>
      <c r="K39" s="62">
        <f ca="1">IF($A39="","",IF(SUMIFS(Data!$AN$4:$AN$183,Data!$AM$4:$AM$183,$B39,Data!$AL$4:$AL$183,$A39,Data!$AK$4:$AK$183,$C39)=0,"",J39*3/SUMIFS(Data!$AN$4:$AN$183,Data!$AM$4:$AM$183,$B39,Data!$AL$4:$AL$183,$A39,Data!$AK$4:$AK$183,$C39)))</f>
        <v>5.142857142857142</v>
      </c>
      <c r="L39" s="18">
        <f ca="1">IF($A39="","",IF(IFERROR(_xlfn.XLOOKUP($C39,Bracket!$F$6:$F$16,Bracket!$K$6:$K$16,""),"")=$B39,1,0))</f>
        <v>0</v>
      </c>
      <c r="M39" s="18">
        <f ca="1">IF($A39="","",IF(AND(IFERROR(_xlfn.XLOOKUP($C39,Bracket!$F$6:$F$16,Bracket!$K$6:$K$16,""),"")=$B39,LEFT(IFERROR(_xlfn.XLOOKUP($C39,Bracket!$F$6:$F$16,Bracket!$G$6:$G$16,""),""),2)="CG"),1,0))</f>
        <v>0</v>
      </c>
      <c r="N39" s="18">
        <f ca="1">IF($A39="","",SUMIFS(Data!$X$4:$X$273,Data!$T$4:$T$273,$A39,Data!$U$4:$U$273,$B39,Data!$S$4:$S$273,$C39))</f>
        <v>1</v>
      </c>
      <c r="O39" s="18">
        <f ca="1">IF($A39="","",SUMIFS(Data!$Z$4:$Z$273,Data!$T$4:$T$273,$A39,Data!$U$4:$U$273,$B39,Data!$S$4:$S$273,$C39))</f>
        <v>0</v>
      </c>
      <c r="P39" s="18">
        <f ca="1">IF($A39="","",SUMIFS(Data!$AA$4:$AA$273,Data!$T$4:$T$273,$A39,Data!$U$4:$U$273,$B39,Data!$S$4:$S$273,$C39))</f>
        <v>0</v>
      </c>
      <c r="Q39" s="18">
        <f ca="1">IF($A39="","",SUMIFS(Data!$AD$4:$AD$273,Data!$T$4:$T$273,$A39,Data!$U$4:$U$273,$B39,Data!$S$4:$S$273,$C39))</f>
        <v>0</v>
      </c>
      <c r="R39" s="18">
        <f ca="1">IF($A39="","",SUMIFS(Data!$AE$4:$AE$273,Data!$T$4:$T$273,$A39,Data!$U$4:$U$273,$B39,Data!$S$4:$S$273,$C39))</f>
        <v>0</v>
      </c>
      <c r="S39" s="18">
        <f ca="1">IF($A39="","",SUMIFS(Data!$AF$4:$AF$273,Data!$T$4:$T$273,$A39,Data!$U$4:$U$273,$B39,Data!$S$4:$S$273,$C39))</f>
        <v>0</v>
      </c>
      <c r="T39" s="18">
        <f ca="1">IF($A39="","",SUMIFS(Data!$AG$4:$AG$273,Data!$T$4:$T$273,$A39,Data!$U$4:$U$273,$B39,Data!$S$4:$S$273,$C39))</f>
        <v>0</v>
      </c>
      <c r="U39" s="18">
        <f ca="1">IF($A39="","",SUMIFS(Data!$AH$4:$AH$273,Data!$T$4:$T$273,$A39,Data!$U$4:$U$273,$B39,Data!$S$4:$S$273,$C39))</f>
        <v>0</v>
      </c>
      <c r="V39" s="18">
        <f ca="1">IF($A39="","",SUMIFS(Data!$AO$4:$AO$183,Data!$AM$4:$AM$183,$B39,Data!$AL$4:$AL$183,$A39,Data!$AK$4:$AK$183,$C39))</f>
        <v>7</v>
      </c>
      <c r="W39" s="18">
        <f ca="1">IF($A39="","",SUMIFS(Data!$AP$4:$AP$183,Data!$AM$4:$AM$183,$B39,Data!$AL$4:$AL$183,$A39,Data!$AK$4:$AK$183,$C39))</f>
        <v>4</v>
      </c>
      <c r="X39" s="18">
        <f ca="1">IF($A39="","",SUMIFS(Data!$AR$4:$AR$183,Data!$AM$4:$AM$183,$B39,Data!$AL$4:$AL$183,$A39,Data!$AK$4:$AK$183,$C39))</f>
        <v>0</v>
      </c>
      <c r="Y39" s="18">
        <f ca="1">IF($A39="","",SUMIFS(Data!$AS$4:$AS$183,Data!$AM$4:$AM$183,$B39,Data!$AL$4:$AL$183,$A39,Data!$AK$4:$AK$183,$C39))</f>
        <v>1</v>
      </c>
      <c r="Z39" s="18">
        <f ca="1">IF($A39="","",SUMIFS(Data!$AT$4:$AT$183,Data!$AM$4:$AM$183,$B39,Data!$AL$4:$AL$183,$A39,Data!$AK$4:$AK$183,$C39))</f>
        <v>2</v>
      </c>
      <c r="AA39" s="18">
        <f ca="1">IF($A39="","",SUMIFS(Data!$AW$4:$AW$183,Data!$AM$4:$AM$183,$B39,Data!$AL$4:$AL$183,$A39,Data!$AK$4:$AK$183,$C39))</f>
        <v>0</v>
      </c>
      <c r="AB39" s="18">
        <f ca="1">IF($A39="","",SUMIFS(Data!$AX$4:$AX$183,Data!$AM$4:$AM$183,$B39,Data!$AL$4:$AL$183,$A39,Data!$AK$4:$AK$183,$C39))</f>
        <v>0</v>
      </c>
      <c r="AC39" s="18">
        <f ca="1">IF($A39="","",SUMIFS(Data!$AY$4:$AY$183,Data!$AM$4:$AM$183,$B39,Data!$AL$4:$AL$183,$A39,Data!$AK$4:$AK$183,$C39))</f>
        <v>1</v>
      </c>
      <c r="AD39" s="18">
        <f t="shared" ca="1" si="1"/>
        <v>3.0</v>
      </c>
      <c r="AE39" s="18">
        <f ca="1">IF($A39="","",SUMIFS(Data!$AJ$4:$AJ$183,Data!$AM$4:$AM$183,$B39,Data!$AL$4:$AL$183,$A39,Data!$AK$4:$AK$183,$C39))</f>
        <v>13</v>
      </c>
    </row>
    <row r="40" spans="1:31">
      <c r="A40" s="114" t="str">
        <f ca="1">IF(Data!T40="","",Data!T40)</f>
        <v>May</v>
      </c>
      <c r="B40" s="18" t="str">
        <f ca="1">IF(Data!U40="","",Data!U40)</f>
        <v>Birdo</v>
      </c>
      <c r="C40" s="18" t="str">
        <f ca="1">IF(Data!S40="","",Data!S40)</f>
        <v>G3</v>
      </c>
      <c r="D40" s="18">
        <f ca="1">IF($A40="","",Data!W40)</f>
        <v>3</v>
      </c>
      <c r="E40" s="18">
        <f ca="1">IF($A40="","",Data!Y40)</f>
        <v>1</v>
      </c>
      <c r="F40" s="61">
        <f t="shared" ca="1" si="0"/>
        <v>0.3333333333333333</v>
      </c>
      <c r="G40" s="18">
        <f ca="1">IF($A40="","",Data!AB40)</f>
        <v>0</v>
      </c>
      <c r="H40" s="18">
        <f ca="1">IF($A40="","",Data!AC40)</f>
        <v>0</v>
      </c>
      <c r="I40" s="18">
        <f ca="1">IF($A40="","",INT(SUMIFS(Data!$AN$4:$AN$183,Data!$AM$4:$AM$183,$B40,Data!$AL$4:$AL$183,$A40,Data!$AK$4:$AK$183,$C40))+MOD(ROUND(SUMIFS(Data!$AN$4:$AN$183,Data!$AM$4:$AM$183,$B40,Data!$AL$4:$AL$183,$A40,Data!$AK$4:$AK$183,$C40)*3,0),3)/10)</f>
        <v>0</v>
      </c>
      <c r="J40" s="18">
        <f ca="1">IF($A40="","",SUMIFS(Data!$AQ$4:$AQ$183,Data!$AM$4:$AM$183,$B40,Data!$AL$4:$AL$183,$A40,Data!$AK$4:$AK$183,$C40))</f>
        <v>0</v>
      </c>
      <c r="K40" s="62">
        <f ca="1">IF($A40="","",IF(SUMIFS(Data!$AN$4:$AN$183,Data!$AM$4:$AM$183,$B40,Data!$AL$4:$AL$183,$A40,Data!$AK$4:$AK$183,$C40)=0,"",J40*3/SUMIFS(Data!$AN$4:$AN$183,Data!$AM$4:$AM$183,$B40,Data!$AL$4:$AL$183,$A40,Data!$AK$4:$AK$183,$C40)))</f>
      </c>
      <c r="L40" s="18">
        <f ca="1">IF($A40="","",IF(IFERROR(_xlfn.XLOOKUP($C40,Bracket!$F$6:$F$16,Bracket!$K$6:$K$16,""),"")=$B40,1,0))</f>
        <v>0</v>
      </c>
      <c r="M40" s="18">
        <f ca="1">IF($A40="","",IF(AND(IFERROR(_xlfn.XLOOKUP($C40,Bracket!$F$6:$F$16,Bracket!$K$6:$K$16,""),"")=$B40,LEFT(IFERROR(_xlfn.XLOOKUP($C40,Bracket!$F$6:$F$16,Bracket!$G$6:$G$16,""),""),2)="CG"),1,0))</f>
        <v>0</v>
      </c>
      <c r="N40" s="18">
        <f ca="1">IF($A40="","",SUMIFS(Data!$X$4:$X$273,Data!$T$4:$T$273,$A40,Data!$U$4:$U$273,$B40,Data!$S$4:$S$273,$C40))</f>
        <v>0</v>
      </c>
      <c r="O40" s="18">
        <f ca="1">IF($A40="","",SUMIFS(Data!$Z$4:$Z$273,Data!$T$4:$T$273,$A40,Data!$U$4:$U$273,$B40,Data!$S$4:$S$273,$C40))</f>
        <v>0</v>
      </c>
      <c r="P40" s="18">
        <f ca="1">IF($A40="","",SUMIFS(Data!$AA$4:$AA$273,Data!$T$4:$T$273,$A40,Data!$U$4:$U$273,$B40,Data!$S$4:$S$273,$C40))</f>
        <v>0</v>
      </c>
      <c r="Q40" s="18">
        <f ca="1">IF($A40="","",SUMIFS(Data!$AD$4:$AD$273,Data!$T$4:$T$273,$A40,Data!$U$4:$U$273,$B40,Data!$S$4:$S$273,$C40))</f>
        <v>0</v>
      </c>
      <c r="R40" s="18">
        <f ca="1">IF($A40="","",SUMIFS(Data!$AE$4:$AE$273,Data!$T$4:$T$273,$A40,Data!$U$4:$U$273,$B40,Data!$S$4:$S$273,$C40))</f>
        <v>0</v>
      </c>
      <c r="S40" s="18">
        <f ca="1">IF($A40="","",SUMIFS(Data!$AF$4:$AF$273,Data!$T$4:$T$273,$A40,Data!$U$4:$U$273,$B40,Data!$S$4:$S$273,$C40))</f>
        <v>0</v>
      </c>
      <c r="T40" s="18">
        <f ca="1">IF($A40="","",SUMIFS(Data!$AG$4:$AG$273,Data!$T$4:$T$273,$A40,Data!$U$4:$U$273,$B40,Data!$S$4:$S$273,$C40))</f>
        <v>0</v>
      </c>
      <c r="U40" s="18">
        <f ca="1">IF($A40="","",SUMIFS(Data!$AH$4:$AH$273,Data!$T$4:$T$273,$A40,Data!$U$4:$U$273,$B40,Data!$S$4:$S$273,$C40))</f>
        <v>0</v>
      </c>
      <c r="V40" s="18">
        <f ca="1">IF($A40="","",SUMIFS(Data!$AO$4:$AO$183,Data!$AM$4:$AM$183,$B40,Data!$AL$4:$AL$183,$A40,Data!$AK$4:$AK$183,$C40))</f>
        <v>0</v>
      </c>
      <c r="W40" s="18">
        <f ca="1">IF($A40="","",SUMIFS(Data!$AP$4:$AP$183,Data!$AM$4:$AM$183,$B40,Data!$AL$4:$AL$183,$A40,Data!$AK$4:$AK$183,$C40))</f>
        <v>0</v>
      </c>
      <c r="X40" s="18">
        <f ca="1">IF($A40="","",SUMIFS(Data!$AR$4:$AR$183,Data!$AM$4:$AM$183,$B40,Data!$AL$4:$AL$183,$A40,Data!$AK$4:$AK$183,$C40))</f>
        <v>0</v>
      </c>
      <c r="Y40" s="18">
        <f ca="1">IF($A40="","",SUMIFS(Data!$AS$4:$AS$183,Data!$AM$4:$AM$183,$B40,Data!$AL$4:$AL$183,$A40,Data!$AK$4:$AK$183,$C40))</f>
        <v>0</v>
      </c>
      <c r="Z40" s="18">
        <f ca="1">IF($A40="","",SUMIFS(Data!$AT$4:$AT$183,Data!$AM$4:$AM$183,$B40,Data!$AL$4:$AL$183,$A40,Data!$AK$4:$AK$183,$C40))</f>
        <v>0</v>
      </c>
      <c r="AA40" s="18">
        <f ca="1">IF($A40="","",SUMIFS(Data!$AW$4:$AW$183,Data!$AM$4:$AM$183,$B40,Data!$AL$4:$AL$183,$A40,Data!$AK$4:$AK$183,$C40))</f>
        <v>0</v>
      </c>
      <c r="AB40" s="18">
        <f ca="1">IF($A40="","",SUMIFS(Data!$AX$4:$AX$183,Data!$AM$4:$AM$183,$B40,Data!$AL$4:$AL$183,$A40,Data!$AK$4:$AK$183,$C40))</f>
        <v>0</v>
      </c>
      <c r="AC40" s="18">
        <f ca="1">IF($A40="","",SUMIFS(Data!$AY$4:$AY$183,Data!$AM$4:$AM$183,$B40,Data!$AL$4:$AL$183,$A40,Data!$AK$4:$AK$183,$C40))</f>
        <v>0</v>
      </c>
      <c r="AD40" s="18">
        <f t="shared" ca="1" si="1"/>
        <v>0</v>
      </c>
      <c r="AE40" s="18">
        <f ca="1">IF($A40="","",SUMIFS(Data!$AJ$4:$AJ$183,Data!$AM$4:$AM$183,$B40,Data!$AL$4:$AL$183,$A40,Data!$AK$4:$AK$183,$C40))</f>
        <v>0</v>
      </c>
    </row>
    <row r="41" spans="1:31">
      <c r="A41" s="114" t="str">
        <f ca="1">IF(Data!T41="","",Data!T41)</f>
        <v>May</v>
      </c>
      <c r="B41" s="18" t="str">
        <f ca="1">IF(Data!U41="","",Data!U41)</f>
        <v>Petey Piranha</v>
      </c>
      <c r="C41" s="18" t="str">
        <f ca="1">IF(Data!S41="","",Data!S41)</f>
        <v>G3</v>
      </c>
      <c r="D41" s="18">
        <f ca="1">IF($A41="","",Data!W41)</f>
        <v>2</v>
      </c>
      <c r="E41" s="18">
        <f ca="1">IF($A41="","",Data!Y41)</f>
        <v>0</v>
      </c>
      <c r="F41" s="61">
        <f t="shared" ca="1" si="0"/>
        <v>0.0</v>
      </c>
      <c r="G41" s="18">
        <f ca="1">IF($A41="","",Data!AB41)</f>
        <v>0</v>
      </c>
      <c r="H41" s="18">
        <f ca="1">IF($A41="","",Data!AC41)</f>
        <v>0</v>
      </c>
      <c r="I41" s="18">
        <f ca="1">IF($A41="","",INT(SUMIFS(Data!$AN$4:$AN$183,Data!$AM$4:$AM$183,$B41,Data!$AL$4:$AL$183,$A41,Data!$AK$4:$AK$183,$C41))+MOD(ROUND(SUMIFS(Data!$AN$4:$AN$183,Data!$AM$4:$AM$183,$B41,Data!$AL$4:$AL$183,$A41,Data!$AK$4:$AK$183,$C41)*3,0),3)/10)</f>
        <v>0</v>
      </c>
      <c r="J41" s="18">
        <f ca="1">IF($A41="","",SUMIFS(Data!$AQ$4:$AQ$183,Data!$AM$4:$AM$183,$B41,Data!$AL$4:$AL$183,$A41,Data!$AK$4:$AK$183,$C41))</f>
        <v>0</v>
      </c>
      <c r="K41" s="62">
        <f ca="1">IF($A41="","",IF(SUMIFS(Data!$AN$4:$AN$183,Data!$AM$4:$AM$183,$B41,Data!$AL$4:$AL$183,$A41,Data!$AK$4:$AK$183,$C41)=0,"",J41*3/SUMIFS(Data!$AN$4:$AN$183,Data!$AM$4:$AM$183,$B41,Data!$AL$4:$AL$183,$A41,Data!$AK$4:$AK$183,$C41)))</f>
      </c>
      <c r="L41" s="18">
        <f ca="1">IF($A41="","",IF(IFERROR(_xlfn.XLOOKUP($C41,Bracket!$F$6:$F$16,Bracket!$K$6:$K$16,""),"")=$B41,1,0))</f>
        <v>0</v>
      </c>
      <c r="M41" s="18">
        <f ca="1">IF($A41="","",IF(AND(IFERROR(_xlfn.XLOOKUP($C41,Bracket!$F$6:$F$16,Bracket!$K$6:$K$16,""),"")=$B41,LEFT(IFERROR(_xlfn.XLOOKUP($C41,Bracket!$F$6:$F$16,Bracket!$G$6:$G$16,""),""),2)="CG"),1,0))</f>
        <v>0</v>
      </c>
      <c r="N41" s="18">
        <f ca="1">IF($A41="","",SUMIFS(Data!$X$4:$X$273,Data!$T$4:$T$273,$A41,Data!$U$4:$U$273,$B41,Data!$S$4:$S$273,$C41))</f>
        <v>0</v>
      </c>
      <c r="O41" s="18">
        <f ca="1">IF($A41="","",SUMIFS(Data!$Z$4:$Z$273,Data!$T$4:$T$273,$A41,Data!$U$4:$U$273,$B41,Data!$S$4:$S$273,$C41))</f>
        <v>0</v>
      </c>
      <c r="P41" s="18">
        <f ca="1">IF($A41="","",SUMIFS(Data!$AA$4:$AA$273,Data!$T$4:$T$273,$A41,Data!$U$4:$U$273,$B41,Data!$S$4:$S$273,$C41))</f>
        <v>0</v>
      </c>
      <c r="Q41" s="18">
        <f ca="1">IF($A41="","",SUMIFS(Data!$AD$4:$AD$273,Data!$T$4:$T$273,$A41,Data!$U$4:$U$273,$B41,Data!$S$4:$S$273,$C41))</f>
        <v>0</v>
      </c>
      <c r="R41" s="18">
        <f ca="1">IF($A41="","",SUMIFS(Data!$AE$4:$AE$273,Data!$T$4:$T$273,$A41,Data!$U$4:$U$273,$B41,Data!$S$4:$S$273,$C41))</f>
        <v>0</v>
      </c>
      <c r="S41" s="18">
        <f ca="1">IF($A41="","",SUMIFS(Data!$AF$4:$AF$273,Data!$T$4:$T$273,$A41,Data!$U$4:$U$273,$B41,Data!$S$4:$S$273,$C41))</f>
        <v>0</v>
      </c>
      <c r="T41" s="18">
        <f ca="1">IF($A41="","",SUMIFS(Data!$AG$4:$AG$273,Data!$T$4:$T$273,$A41,Data!$U$4:$U$273,$B41,Data!$S$4:$S$273,$C41))</f>
        <v>0</v>
      </c>
      <c r="U41" s="18">
        <f ca="1">IF($A41="","",SUMIFS(Data!$AH$4:$AH$273,Data!$T$4:$T$273,$A41,Data!$U$4:$U$273,$B41,Data!$S$4:$S$273,$C41))</f>
        <v>0</v>
      </c>
      <c r="V41" s="18">
        <f ca="1">IF($A41="","",SUMIFS(Data!$AO$4:$AO$183,Data!$AM$4:$AM$183,$B41,Data!$AL$4:$AL$183,$A41,Data!$AK$4:$AK$183,$C41))</f>
        <v>0</v>
      </c>
      <c r="W41" s="18">
        <f ca="1">IF($A41="","",SUMIFS(Data!$AP$4:$AP$183,Data!$AM$4:$AM$183,$B41,Data!$AL$4:$AL$183,$A41,Data!$AK$4:$AK$183,$C41))</f>
        <v>0</v>
      </c>
      <c r="X41" s="18">
        <f ca="1">IF($A41="","",SUMIFS(Data!$AR$4:$AR$183,Data!$AM$4:$AM$183,$B41,Data!$AL$4:$AL$183,$A41,Data!$AK$4:$AK$183,$C41))</f>
        <v>0</v>
      </c>
      <c r="Y41" s="18">
        <f ca="1">IF($A41="","",SUMIFS(Data!$AS$4:$AS$183,Data!$AM$4:$AM$183,$B41,Data!$AL$4:$AL$183,$A41,Data!$AK$4:$AK$183,$C41))</f>
        <v>0</v>
      </c>
      <c r="Z41" s="18">
        <f ca="1">IF($A41="","",SUMIFS(Data!$AT$4:$AT$183,Data!$AM$4:$AM$183,$B41,Data!$AL$4:$AL$183,$A41,Data!$AK$4:$AK$183,$C41))</f>
        <v>0</v>
      </c>
      <c r="AA41" s="18">
        <f ca="1">IF($A41="","",SUMIFS(Data!$AW$4:$AW$183,Data!$AM$4:$AM$183,$B41,Data!$AL$4:$AL$183,$A41,Data!$AK$4:$AK$183,$C41))</f>
        <v>0</v>
      </c>
      <c r="AB41" s="18">
        <f ca="1">IF($A41="","",SUMIFS(Data!$AX$4:$AX$183,Data!$AM$4:$AM$183,$B41,Data!$AL$4:$AL$183,$A41,Data!$AK$4:$AK$183,$C41))</f>
        <v>0</v>
      </c>
      <c r="AC41" s="18">
        <f ca="1">IF($A41="","",SUMIFS(Data!$AY$4:$AY$183,Data!$AM$4:$AM$183,$B41,Data!$AL$4:$AL$183,$A41,Data!$AK$4:$AK$183,$C41))</f>
        <v>0</v>
      </c>
      <c r="AD41" s="18">
        <f t="shared" ca="1" si="1"/>
        <v>0</v>
      </c>
      <c r="AE41" s="18">
        <f ca="1">IF($A41="","",SUMIFS(Data!$AJ$4:$AJ$183,Data!$AM$4:$AM$183,$B41,Data!$AL$4:$AL$183,$A41,Data!$AK$4:$AK$183,$C41))</f>
        <v>0</v>
      </c>
    </row>
    <row r="42" spans="1:31">
      <c r="A42" s="114" t="str">
        <f ca="1">IF(Data!T42="","",Data!T42)</f>
        <v>May</v>
      </c>
      <c r="B42" s="18" t="str">
        <f ca="1">IF(Data!U42="","",Data!U42)</f>
        <v>King Boo</v>
      </c>
      <c r="C42" s="18" t="str">
        <f ca="1">IF(Data!S42="","",Data!S42)</f>
        <v>G3</v>
      </c>
      <c r="D42" s="18">
        <f ca="1">IF($A42="","",Data!W42)</f>
        <v>2</v>
      </c>
      <c r="E42" s="18">
        <f ca="1">IF($A42="","",Data!Y42)</f>
        <v>1</v>
      </c>
      <c r="F42" s="61">
        <f t="shared" ca="1" si="0"/>
        <v>0.5</v>
      </c>
      <c r="G42" s="18">
        <f ca="1">IF($A42="","",Data!AB42)</f>
        <v>0</v>
      </c>
      <c r="H42" s="18">
        <f ca="1">IF($A42="","",Data!AC42)</f>
        <v>0</v>
      </c>
      <c r="I42" s="18">
        <f ca="1">IF($A42="","",INT(SUMIFS(Data!$AN$4:$AN$183,Data!$AM$4:$AM$183,$B42,Data!$AL$4:$AL$183,$A42,Data!$AK$4:$AK$183,$C42))+MOD(ROUND(SUMIFS(Data!$AN$4:$AN$183,Data!$AM$4:$AM$183,$B42,Data!$AL$4:$AL$183,$A42,Data!$AK$4:$AK$183,$C42)*3,0),3)/10)</f>
        <v>1</v>
      </c>
      <c r="J42" s="18">
        <f ca="1">IF($A42="","",SUMIFS(Data!$AQ$4:$AQ$183,Data!$AM$4:$AM$183,$B42,Data!$AL$4:$AL$183,$A42,Data!$AK$4:$AK$183,$C42))</f>
        <v>1</v>
      </c>
      <c r="K42" s="62">
        <f ca="1">IF($A42="","",IF(SUMIFS(Data!$AN$4:$AN$183,Data!$AM$4:$AM$183,$B42,Data!$AL$4:$AL$183,$A42,Data!$AK$4:$AK$183,$C42)=0,"",J42*3/SUMIFS(Data!$AN$4:$AN$183,Data!$AM$4:$AM$183,$B42,Data!$AL$4:$AL$183,$A42,Data!$AK$4:$AK$183,$C42)))</f>
        <v>3.0</v>
      </c>
      <c r="L42" s="18">
        <f ca="1">IF($A42="","",IF(IFERROR(_xlfn.XLOOKUP($C42,Bracket!$F$6:$F$16,Bracket!$K$6:$K$16,""),"")=$B42,1,0))</f>
        <v>0</v>
      </c>
      <c r="M42" s="18">
        <f ca="1">IF($A42="","",IF(AND(IFERROR(_xlfn.XLOOKUP($C42,Bracket!$F$6:$F$16,Bracket!$K$6:$K$16,""),"")=$B42,LEFT(IFERROR(_xlfn.XLOOKUP($C42,Bracket!$F$6:$F$16,Bracket!$G$6:$G$16,""),""),2)="CG"),1,0))</f>
        <v>0</v>
      </c>
      <c r="N42" s="18">
        <f ca="1">IF($A42="","",SUMIFS(Data!$X$4:$X$273,Data!$T$4:$T$273,$A42,Data!$U$4:$U$273,$B42,Data!$S$4:$S$273,$C42))</f>
        <v>0</v>
      </c>
      <c r="O42" s="18">
        <f ca="1">IF($A42="","",SUMIFS(Data!$Z$4:$Z$273,Data!$T$4:$T$273,$A42,Data!$U$4:$U$273,$B42,Data!$S$4:$S$273,$C42))</f>
        <v>0</v>
      </c>
      <c r="P42" s="18">
        <f ca="1">IF($A42="","",SUMIFS(Data!$AA$4:$AA$273,Data!$T$4:$T$273,$A42,Data!$U$4:$U$273,$B42,Data!$S$4:$S$273,$C42))</f>
        <v>0</v>
      </c>
      <c r="Q42" s="18">
        <f ca="1">IF($A42="","",SUMIFS(Data!$AD$4:$AD$273,Data!$T$4:$T$273,$A42,Data!$U$4:$U$273,$B42,Data!$S$4:$S$273,$C42))</f>
        <v>0</v>
      </c>
      <c r="R42" s="18">
        <f ca="1">IF($A42="","",SUMIFS(Data!$AE$4:$AE$273,Data!$T$4:$T$273,$A42,Data!$U$4:$U$273,$B42,Data!$S$4:$S$273,$C42))</f>
        <v>0</v>
      </c>
      <c r="S42" s="18">
        <f ca="1">IF($A42="","",SUMIFS(Data!$AF$4:$AF$273,Data!$T$4:$T$273,$A42,Data!$U$4:$U$273,$B42,Data!$S$4:$S$273,$C42))</f>
        <v>0</v>
      </c>
      <c r="T42" s="18">
        <f ca="1">IF($A42="","",SUMIFS(Data!$AG$4:$AG$273,Data!$T$4:$T$273,$A42,Data!$U$4:$U$273,$B42,Data!$S$4:$S$273,$C42))</f>
        <v>0</v>
      </c>
      <c r="U42" s="18">
        <f ca="1">IF($A42="","",SUMIFS(Data!$AH$4:$AH$273,Data!$T$4:$T$273,$A42,Data!$U$4:$U$273,$B42,Data!$S$4:$S$273,$C42))</f>
        <v>0</v>
      </c>
      <c r="V42" s="18">
        <f ca="1">IF($A42="","",SUMIFS(Data!$AO$4:$AO$183,Data!$AM$4:$AM$183,$B42,Data!$AL$4:$AL$183,$A42,Data!$AK$4:$AK$183,$C42))</f>
        <v>2</v>
      </c>
      <c r="W42" s="18">
        <f ca="1">IF($A42="","",SUMIFS(Data!$AP$4:$AP$183,Data!$AM$4:$AM$183,$B42,Data!$AL$4:$AL$183,$A42,Data!$AK$4:$AK$183,$C42))</f>
        <v>1</v>
      </c>
      <c r="X42" s="18">
        <f ca="1">IF($A42="","",SUMIFS(Data!$AR$4:$AR$183,Data!$AM$4:$AM$183,$B42,Data!$AL$4:$AL$183,$A42,Data!$AK$4:$AK$183,$C42))</f>
        <v>0</v>
      </c>
      <c r="Y42" s="18">
        <f ca="1">IF($A42="","",SUMIFS(Data!$AS$4:$AS$183,Data!$AM$4:$AM$183,$B42,Data!$AL$4:$AL$183,$A42,Data!$AK$4:$AK$183,$C42))</f>
        <v>1</v>
      </c>
      <c r="Z42" s="18">
        <f ca="1">IF($A42="","",SUMIFS(Data!$AT$4:$AT$183,Data!$AM$4:$AM$183,$B42,Data!$AL$4:$AL$183,$A42,Data!$AK$4:$AK$183,$C42))</f>
        <v>1</v>
      </c>
      <c r="AA42" s="18">
        <f ca="1">IF($A42="","",SUMIFS(Data!$AW$4:$AW$183,Data!$AM$4:$AM$183,$B42,Data!$AL$4:$AL$183,$A42,Data!$AK$4:$AK$183,$C42))</f>
        <v>0</v>
      </c>
      <c r="AB42" s="18">
        <f ca="1">IF($A42="","",SUMIFS(Data!$AX$4:$AX$183,Data!$AM$4:$AM$183,$B42,Data!$AL$4:$AL$183,$A42,Data!$AK$4:$AK$183,$C42))</f>
        <v>0</v>
      </c>
      <c r="AC42" s="18">
        <f ca="1">IF($A42="","",SUMIFS(Data!$AY$4:$AY$183,Data!$AM$4:$AM$183,$B42,Data!$AL$4:$AL$183,$A42,Data!$AK$4:$AK$183,$C42))</f>
        <v>0</v>
      </c>
      <c r="AD42" s="18">
        <f t="shared" ca="1" si="1"/>
        <v>2.0</v>
      </c>
      <c r="AE42" s="18">
        <f ca="1">IF($A42="","",SUMIFS(Data!$AJ$4:$AJ$183,Data!$AM$4:$AM$183,$B42,Data!$AL$4:$AL$183,$A42,Data!$AK$4:$AK$183,$C42))</f>
        <v>5</v>
      </c>
    </row>
    <row r="43" spans="1:31">
      <c r="A43" s="114" t="str">
        <f ca="1">IF(Data!T43="","",Data!T43)</f>
        <v>May</v>
      </c>
      <c r="B43" s="18" t="str">
        <f ca="1">IF(Data!U43="","",Data!U43)</f>
        <v>Red Kritter</v>
      </c>
      <c r="C43" s="18" t="str">
        <f ca="1">IF(Data!S43="","",Data!S43)</f>
        <v>G3</v>
      </c>
      <c r="D43" s="18">
        <f ca="1">IF($A43="","",Data!W43)</f>
        <v>1</v>
      </c>
      <c r="E43" s="18">
        <f ca="1">IF($A43="","",Data!Y43)</f>
        <v>0</v>
      </c>
      <c r="F43" s="61">
        <f t="shared" ca="1" si="0"/>
        <v>0.0</v>
      </c>
      <c r="G43" s="18">
        <f ca="1">IF($A43="","",Data!AB43)</f>
        <v>0</v>
      </c>
      <c r="H43" s="18">
        <f ca="1">IF($A43="","",Data!AC43)</f>
        <v>0</v>
      </c>
      <c r="I43" s="18">
        <f ca="1">IF($A43="","",INT(SUMIFS(Data!$AN$4:$AN$183,Data!$AM$4:$AM$183,$B43,Data!$AL$4:$AL$183,$A43,Data!$AK$4:$AK$183,$C43))+MOD(ROUND(SUMIFS(Data!$AN$4:$AN$183,Data!$AM$4:$AM$183,$B43,Data!$AL$4:$AL$183,$A43,Data!$AK$4:$AK$183,$C43)*3,0),3)/10)</f>
        <v>0</v>
      </c>
      <c r="J43" s="18">
        <f ca="1">IF($A43="","",SUMIFS(Data!$AQ$4:$AQ$183,Data!$AM$4:$AM$183,$B43,Data!$AL$4:$AL$183,$A43,Data!$AK$4:$AK$183,$C43))</f>
        <v>0</v>
      </c>
      <c r="K43" s="62">
        <f ca="1">IF($A43="","",IF(SUMIFS(Data!$AN$4:$AN$183,Data!$AM$4:$AM$183,$B43,Data!$AL$4:$AL$183,$A43,Data!$AK$4:$AK$183,$C43)=0,"",J43*3/SUMIFS(Data!$AN$4:$AN$183,Data!$AM$4:$AM$183,$B43,Data!$AL$4:$AL$183,$A43,Data!$AK$4:$AK$183,$C43)))</f>
      </c>
      <c r="L43" s="18">
        <f ca="1">IF($A43="","",IF(IFERROR(_xlfn.XLOOKUP($C43,Bracket!$F$6:$F$16,Bracket!$K$6:$K$16,""),"")=$B43,1,0))</f>
        <v>0</v>
      </c>
      <c r="M43" s="18">
        <f ca="1">IF($A43="","",IF(AND(IFERROR(_xlfn.XLOOKUP($C43,Bracket!$F$6:$F$16,Bracket!$K$6:$K$16,""),"")=$B43,LEFT(IFERROR(_xlfn.XLOOKUP($C43,Bracket!$F$6:$F$16,Bracket!$G$6:$G$16,""),""),2)="CG"),1,0))</f>
        <v>0</v>
      </c>
      <c r="N43" s="18">
        <f ca="1">IF($A43="","",SUMIFS(Data!$X$4:$X$273,Data!$T$4:$T$273,$A43,Data!$U$4:$U$273,$B43,Data!$S$4:$S$273,$C43))</f>
        <v>0</v>
      </c>
      <c r="O43" s="18">
        <f ca="1">IF($A43="","",SUMIFS(Data!$Z$4:$Z$273,Data!$T$4:$T$273,$A43,Data!$U$4:$U$273,$B43,Data!$S$4:$S$273,$C43))</f>
        <v>0</v>
      </c>
      <c r="P43" s="18">
        <f ca="1">IF($A43="","",SUMIFS(Data!$AA$4:$AA$273,Data!$T$4:$T$273,$A43,Data!$U$4:$U$273,$B43,Data!$S$4:$S$273,$C43))</f>
        <v>0</v>
      </c>
      <c r="Q43" s="18">
        <f ca="1">IF($A43="","",SUMIFS(Data!$AD$4:$AD$273,Data!$T$4:$T$273,$A43,Data!$U$4:$U$273,$B43,Data!$S$4:$S$273,$C43))</f>
        <v>1</v>
      </c>
      <c r="R43" s="18">
        <f ca="1">IF($A43="","",SUMIFS(Data!$AE$4:$AE$273,Data!$T$4:$T$273,$A43,Data!$U$4:$U$273,$B43,Data!$S$4:$S$273,$C43))</f>
        <v>0</v>
      </c>
      <c r="S43" s="18">
        <f ca="1">IF($A43="","",SUMIFS(Data!$AF$4:$AF$273,Data!$T$4:$T$273,$A43,Data!$U$4:$U$273,$B43,Data!$S$4:$S$273,$C43))</f>
        <v>0</v>
      </c>
      <c r="T43" s="18">
        <f ca="1">IF($A43="","",SUMIFS(Data!$AG$4:$AG$273,Data!$T$4:$T$273,$A43,Data!$U$4:$U$273,$B43,Data!$S$4:$S$273,$C43))</f>
        <v>0</v>
      </c>
      <c r="U43" s="18">
        <f ca="1">IF($A43="","",SUMIFS(Data!$AH$4:$AH$273,Data!$T$4:$T$273,$A43,Data!$U$4:$U$273,$B43,Data!$S$4:$S$273,$C43))</f>
        <v>0</v>
      </c>
      <c r="V43" s="18">
        <f ca="1">IF($A43="","",SUMIFS(Data!$AO$4:$AO$183,Data!$AM$4:$AM$183,$B43,Data!$AL$4:$AL$183,$A43,Data!$AK$4:$AK$183,$C43))</f>
        <v>0</v>
      </c>
      <c r="W43" s="18">
        <f ca="1">IF($A43="","",SUMIFS(Data!$AP$4:$AP$183,Data!$AM$4:$AM$183,$B43,Data!$AL$4:$AL$183,$A43,Data!$AK$4:$AK$183,$C43))</f>
        <v>0</v>
      </c>
      <c r="X43" s="18">
        <f ca="1">IF($A43="","",SUMIFS(Data!$AR$4:$AR$183,Data!$AM$4:$AM$183,$B43,Data!$AL$4:$AL$183,$A43,Data!$AK$4:$AK$183,$C43))</f>
        <v>0</v>
      </c>
      <c r="Y43" s="18">
        <f ca="1">IF($A43="","",SUMIFS(Data!$AS$4:$AS$183,Data!$AM$4:$AM$183,$B43,Data!$AL$4:$AL$183,$A43,Data!$AK$4:$AK$183,$C43))</f>
        <v>0</v>
      </c>
      <c r="Z43" s="18">
        <f ca="1">IF($A43="","",SUMIFS(Data!$AT$4:$AT$183,Data!$AM$4:$AM$183,$B43,Data!$AL$4:$AL$183,$A43,Data!$AK$4:$AK$183,$C43))</f>
        <v>0</v>
      </c>
      <c r="AA43" s="18">
        <f ca="1">IF($A43="","",SUMIFS(Data!$AW$4:$AW$183,Data!$AM$4:$AM$183,$B43,Data!$AL$4:$AL$183,$A43,Data!$AK$4:$AK$183,$C43))</f>
        <v>0</v>
      </c>
      <c r="AB43" s="18">
        <f ca="1">IF($A43="","",SUMIFS(Data!$AX$4:$AX$183,Data!$AM$4:$AM$183,$B43,Data!$AL$4:$AL$183,$A43,Data!$AK$4:$AK$183,$C43))</f>
        <v>0</v>
      </c>
      <c r="AC43" s="18">
        <f ca="1">IF($A43="","",SUMIFS(Data!$AY$4:$AY$183,Data!$AM$4:$AM$183,$B43,Data!$AL$4:$AL$183,$A43,Data!$AK$4:$AK$183,$C43))</f>
        <v>0</v>
      </c>
      <c r="AD43" s="18">
        <f t="shared" ca="1" si="1"/>
        <v>0</v>
      </c>
      <c r="AE43" s="18">
        <f ca="1">IF($A43="","",SUMIFS(Data!$AJ$4:$AJ$183,Data!$AM$4:$AM$183,$B43,Data!$AL$4:$AL$183,$A43,Data!$AK$4:$AK$183,$C43))</f>
        <v>0</v>
      </c>
    </row>
    <row r="44" spans="1:31">
      <c r="A44" s="114" t="str">
        <f ca="1">IF(Data!T44="","",Data!T44)</f>
        <v>May</v>
      </c>
      <c r="B44" s="18" t="str">
        <f ca="1">IF(Data!U44="","",Data!U44)</f>
        <v>Hammer Bro</v>
      </c>
      <c r="C44" s="18" t="str">
        <f ca="1">IF(Data!S44="","",Data!S44)</f>
        <v>G3</v>
      </c>
      <c r="D44" s="18">
        <f ca="1">IF($A44="","",Data!W44)</f>
        <v>2</v>
      </c>
      <c r="E44" s="18">
        <f ca="1">IF($A44="","",Data!Y44)</f>
        <v>0</v>
      </c>
      <c r="F44" s="61">
        <f t="shared" ca="1" si="0"/>
        <v>0.0</v>
      </c>
      <c r="G44" s="18">
        <f ca="1">IF($A44="","",Data!AB44)</f>
        <v>0</v>
      </c>
      <c r="H44" s="18">
        <f ca="1">IF($A44="","",Data!AC44)</f>
        <v>0</v>
      </c>
      <c r="I44" s="18">
        <f ca="1">IF($A44="","",INT(SUMIFS(Data!$AN$4:$AN$183,Data!$AM$4:$AM$183,$B44,Data!$AL$4:$AL$183,$A44,Data!$AK$4:$AK$183,$C44))+MOD(ROUND(SUMIFS(Data!$AN$4:$AN$183,Data!$AM$4:$AM$183,$B44,Data!$AL$4:$AL$183,$A44,Data!$AK$4:$AK$183,$C44)*3,0),3)/10)</f>
        <v>0</v>
      </c>
      <c r="J44" s="18">
        <f ca="1">IF($A44="","",SUMIFS(Data!$AQ$4:$AQ$183,Data!$AM$4:$AM$183,$B44,Data!$AL$4:$AL$183,$A44,Data!$AK$4:$AK$183,$C44))</f>
        <v>0</v>
      </c>
      <c r="K44" s="62">
        <f ca="1">IF($A44="","",IF(SUMIFS(Data!$AN$4:$AN$183,Data!$AM$4:$AM$183,$B44,Data!$AL$4:$AL$183,$A44,Data!$AK$4:$AK$183,$C44)=0,"",J44*3/SUMIFS(Data!$AN$4:$AN$183,Data!$AM$4:$AM$183,$B44,Data!$AL$4:$AL$183,$A44,Data!$AK$4:$AK$183,$C44)))</f>
      </c>
      <c r="L44" s="18">
        <f ca="1">IF($A44="","",IF(IFERROR(_xlfn.XLOOKUP($C44,Bracket!$F$6:$F$16,Bracket!$K$6:$K$16,""),"")=$B44,1,0))</f>
        <v>0</v>
      </c>
      <c r="M44" s="18">
        <f ca="1">IF($A44="","",IF(AND(IFERROR(_xlfn.XLOOKUP($C44,Bracket!$F$6:$F$16,Bracket!$K$6:$K$16,""),"")=$B44,LEFT(IFERROR(_xlfn.XLOOKUP($C44,Bracket!$F$6:$F$16,Bracket!$G$6:$G$16,""),""),2)="CG"),1,0))</f>
        <v>0</v>
      </c>
      <c r="N44" s="18">
        <f ca="1">IF($A44="","",SUMIFS(Data!$X$4:$X$273,Data!$T$4:$T$273,$A44,Data!$U$4:$U$273,$B44,Data!$S$4:$S$273,$C44))</f>
        <v>0</v>
      </c>
      <c r="O44" s="18">
        <f ca="1">IF($A44="","",SUMIFS(Data!$Z$4:$Z$273,Data!$T$4:$T$273,$A44,Data!$U$4:$U$273,$B44,Data!$S$4:$S$273,$C44))</f>
        <v>0</v>
      </c>
      <c r="P44" s="18">
        <f ca="1">IF($A44="","",SUMIFS(Data!$AA$4:$AA$273,Data!$T$4:$T$273,$A44,Data!$U$4:$U$273,$B44,Data!$S$4:$S$273,$C44))</f>
        <v>0</v>
      </c>
      <c r="Q44" s="18">
        <f ca="1">IF($A44="","",SUMIFS(Data!$AD$4:$AD$273,Data!$T$4:$T$273,$A44,Data!$U$4:$U$273,$B44,Data!$S$4:$S$273,$C44))</f>
        <v>0</v>
      </c>
      <c r="R44" s="18">
        <f ca="1">IF($A44="","",SUMIFS(Data!$AE$4:$AE$273,Data!$T$4:$T$273,$A44,Data!$U$4:$U$273,$B44,Data!$S$4:$S$273,$C44))</f>
        <v>0</v>
      </c>
      <c r="S44" s="18">
        <f ca="1">IF($A44="","",SUMIFS(Data!$AF$4:$AF$273,Data!$T$4:$T$273,$A44,Data!$U$4:$U$273,$B44,Data!$S$4:$S$273,$C44))</f>
        <v>0</v>
      </c>
      <c r="T44" s="18">
        <f ca="1">IF($A44="","",SUMIFS(Data!$AG$4:$AG$273,Data!$T$4:$T$273,$A44,Data!$U$4:$U$273,$B44,Data!$S$4:$S$273,$C44))</f>
        <v>0</v>
      </c>
      <c r="U44" s="18">
        <f ca="1">IF($A44="","",SUMIFS(Data!$AH$4:$AH$273,Data!$T$4:$T$273,$A44,Data!$U$4:$U$273,$B44,Data!$S$4:$S$273,$C44))</f>
        <v>0</v>
      </c>
      <c r="V44" s="18">
        <f ca="1">IF($A44="","",SUMIFS(Data!$AO$4:$AO$183,Data!$AM$4:$AM$183,$B44,Data!$AL$4:$AL$183,$A44,Data!$AK$4:$AK$183,$C44))</f>
        <v>0</v>
      </c>
      <c r="W44" s="18">
        <f ca="1">IF($A44="","",SUMIFS(Data!$AP$4:$AP$183,Data!$AM$4:$AM$183,$B44,Data!$AL$4:$AL$183,$A44,Data!$AK$4:$AK$183,$C44))</f>
        <v>0</v>
      </c>
      <c r="X44" s="18">
        <f ca="1">IF($A44="","",SUMIFS(Data!$AR$4:$AR$183,Data!$AM$4:$AM$183,$B44,Data!$AL$4:$AL$183,$A44,Data!$AK$4:$AK$183,$C44))</f>
        <v>0</v>
      </c>
      <c r="Y44" s="18">
        <f ca="1">IF($A44="","",SUMIFS(Data!$AS$4:$AS$183,Data!$AM$4:$AM$183,$B44,Data!$AL$4:$AL$183,$A44,Data!$AK$4:$AK$183,$C44))</f>
        <v>0</v>
      </c>
      <c r="Z44" s="18">
        <f ca="1">IF($A44="","",SUMIFS(Data!$AT$4:$AT$183,Data!$AM$4:$AM$183,$B44,Data!$AL$4:$AL$183,$A44,Data!$AK$4:$AK$183,$C44))</f>
        <v>0</v>
      </c>
      <c r="AA44" s="18">
        <f ca="1">IF($A44="","",SUMIFS(Data!$AW$4:$AW$183,Data!$AM$4:$AM$183,$B44,Data!$AL$4:$AL$183,$A44,Data!$AK$4:$AK$183,$C44))</f>
        <v>0</v>
      </c>
      <c r="AB44" s="18">
        <f ca="1">IF($A44="","",SUMIFS(Data!$AX$4:$AX$183,Data!$AM$4:$AM$183,$B44,Data!$AL$4:$AL$183,$A44,Data!$AK$4:$AK$183,$C44))</f>
        <v>0</v>
      </c>
      <c r="AC44" s="18">
        <f ca="1">IF($A44="","",SUMIFS(Data!$AY$4:$AY$183,Data!$AM$4:$AM$183,$B44,Data!$AL$4:$AL$183,$A44,Data!$AK$4:$AK$183,$C44))</f>
        <v>0</v>
      </c>
      <c r="AD44" s="18">
        <f t="shared" ca="1" si="1"/>
        <v>0</v>
      </c>
      <c r="AE44" s="18">
        <f ca="1">IF($A44="","",SUMIFS(Data!$AJ$4:$AJ$183,Data!$AM$4:$AM$183,$B44,Data!$AL$4:$AL$183,$A44,Data!$AK$4:$AK$183,$C44))</f>
        <v>0</v>
      </c>
    </row>
    <row r="45" spans="1:31">
      <c r="A45" s="114" t="str">
        <f ca="1">IF(Data!T45="","",Data!T45)</f>
        <v>May</v>
      </c>
      <c r="B45" s="18" t="str">
        <f ca="1">IF(Data!U45="","",Data!U45)</f>
        <v>Koopa</v>
      </c>
      <c r="C45" s="18" t="str">
        <f ca="1">IF(Data!S45="","",Data!S45)</f>
        <v>G3</v>
      </c>
      <c r="D45" s="18">
        <f ca="1">IF($A45="","",Data!W45)</f>
        <v>2</v>
      </c>
      <c r="E45" s="18">
        <f ca="1">IF($A45="","",Data!Y45)</f>
        <v>1</v>
      </c>
      <c r="F45" s="61">
        <f t="shared" ca="1" si="0"/>
        <v>0.5</v>
      </c>
      <c r="G45" s="18">
        <f ca="1">IF($A45="","",Data!AB45)</f>
        <v>0</v>
      </c>
      <c r="H45" s="18">
        <f ca="1">IF($A45="","",Data!AC45)</f>
        <v>0</v>
      </c>
      <c r="I45" s="18">
        <f ca="1">IF($A45="","",INT(SUMIFS(Data!$AN$4:$AN$183,Data!$AM$4:$AM$183,$B45,Data!$AL$4:$AL$183,$A45,Data!$AK$4:$AK$183,$C45))+MOD(ROUND(SUMIFS(Data!$AN$4:$AN$183,Data!$AM$4:$AM$183,$B45,Data!$AL$4:$AL$183,$A45,Data!$AK$4:$AK$183,$C45)*3,0),3)/10)</f>
        <v>0</v>
      </c>
      <c r="J45" s="18">
        <f ca="1">IF($A45="","",SUMIFS(Data!$AQ$4:$AQ$183,Data!$AM$4:$AM$183,$B45,Data!$AL$4:$AL$183,$A45,Data!$AK$4:$AK$183,$C45))</f>
        <v>0</v>
      </c>
      <c r="K45" s="62">
        <f ca="1">IF($A45="","",IF(SUMIFS(Data!$AN$4:$AN$183,Data!$AM$4:$AM$183,$B45,Data!$AL$4:$AL$183,$A45,Data!$AK$4:$AK$183,$C45)=0,"",J45*3/SUMIFS(Data!$AN$4:$AN$183,Data!$AM$4:$AM$183,$B45,Data!$AL$4:$AL$183,$A45,Data!$AK$4:$AK$183,$C45)))</f>
      </c>
      <c r="L45" s="18">
        <f ca="1">IF($A45="","",IF(IFERROR(_xlfn.XLOOKUP($C45,Bracket!$F$6:$F$16,Bracket!$K$6:$K$16,""),"")=$B45,1,0))</f>
        <v>0</v>
      </c>
      <c r="M45" s="18">
        <f ca="1">IF($A45="","",IF(AND(IFERROR(_xlfn.XLOOKUP($C45,Bracket!$F$6:$F$16,Bracket!$K$6:$K$16,""),"")=$B45,LEFT(IFERROR(_xlfn.XLOOKUP($C45,Bracket!$F$6:$F$16,Bracket!$G$6:$G$16,""),""),2)="CG"),1,0))</f>
        <v>0</v>
      </c>
      <c r="N45" s="18">
        <f ca="1">IF($A45="","",SUMIFS(Data!$X$4:$X$273,Data!$T$4:$T$273,$A45,Data!$U$4:$U$273,$B45,Data!$S$4:$S$273,$C45))</f>
        <v>0</v>
      </c>
      <c r="O45" s="18">
        <f ca="1">IF($A45="","",SUMIFS(Data!$Z$4:$Z$273,Data!$T$4:$T$273,$A45,Data!$U$4:$U$273,$B45,Data!$S$4:$S$273,$C45))</f>
        <v>0</v>
      </c>
      <c r="P45" s="18">
        <f ca="1">IF($A45="","",SUMIFS(Data!$AA$4:$AA$273,Data!$T$4:$T$273,$A45,Data!$U$4:$U$273,$B45,Data!$S$4:$S$273,$C45))</f>
        <v>0</v>
      </c>
      <c r="Q45" s="18">
        <f ca="1">IF($A45="","",SUMIFS(Data!$AD$4:$AD$273,Data!$T$4:$T$273,$A45,Data!$U$4:$U$273,$B45,Data!$S$4:$S$273,$C45))</f>
        <v>0</v>
      </c>
      <c r="R45" s="18">
        <f ca="1">IF($A45="","",SUMIFS(Data!$AE$4:$AE$273,Data!$T$4:$T$273,$A45,Data!$U$4:$U$273,$B45,Data!$S$4:$S$273,$C45))</f>
        <v>0</v>
      </c>
      <c r="S45" s="18">
        <f ca="1">IF($A45="","",SUMIFS(Data!$AF$4:$AF$273,Data!$T$4:$T$273,$A45,Data!$U$4:$U$273,$B45,Data!$S$4:$S$273,$C45))</f>
        <v>0</v>
      </c>
      <c r="T45" s="18">
        <f ca="1">IF($A45="","",SUMIFS(Data!$AG$4:$AG$273,Data!$T$4:$T$273,$A45,Data!$U$4:$U$273,$B45,Data!$S$4:$S$273,$C45))</f>
        <v>0</v>
      </c>
      <c r="U45" s="18">
        <f ca="1">IF($A45="","",SUMIFS(Data!$AH$4:$AH$273,Data!$T$4:$T$273,$A45,Data!$U$4:$U$273,$B45,Data!$S$4:$S$273,$C45))</f>
        <v>0</v>
      </c>
      <c r="V45" s="18">
        <f ca="1">IF($A45="","",SUMIFS(Data!$AO$4:$AO$183,Data!$AM$4:$AM$183,$B45,Data!$AL$4:$AL$183,$A45,Data!$AK$4:$AK$183,$C45))</f>
        <v>0</v>
      </c>
      <c r="W45" s="18">
        <f ca="1">IF($A45="","",SUMIFS(Data!$AP$4:$AP$183,Data!$AM$4:$AM$183,$B45,Data!$AL$4:$AL$183,$A45,Data!$AK$4:$AK$183,$C45))</f>
        <v>0</v>
      </c>
      <c r="X45" s="18">
        <f ca="1">IF($A45="","",SUMIFS(Data!$AR$4:$AR$183,Data!$AM$4:$AM$183,$B45,Data!$AL$4:$AL$183,$A45,Data!$AK$4:$AK$183,$C45))</f>
        <v>0</v>
      </c>
      <c r="Y45" s="18">
        <f ca="1">IF($A45="","",SUMIFS(Data!$AS$4:$AS$183,Data!$AM$4:$AM$183,$B45,Data!$AL$4:$AL$183,$A45,Data!$AK$4:$AK$183,$C45))</f>
        <v>0</v>
      </c>
      <c r="Z45" s="18">
        <f ca="1">IF($A45="","",SUMIFS(Data!$AT$4:$AT$183,Data!$AM$4:$AM$183,$B45,Data!$AL$4:$AL$183,$A45,Data!$AK$4:$AK$183,$C45))</f>
        <v>0</v>
      </c>
      <c r="AA45" s="18">
        <f ca="1">IF($A45="","",SUMIFS(Data!$AW$4:$AW$183,Data!$AM$4:$AM$183,$B45,Data!$AL$4:$AL$183,$A45,Data!$AK$4:$AK$183,$C45))</f>
        <v>0</v>
      </c>
      <c r="AB45" s="18">
        <f ca="1">IF($A45="","",SUMIFS(Data!$AX$4:$AX$183,Data!$AM$4:$AM$183,$B45,Data!$AL$4:$AL$183,$A45,Data!$AK$4:$AK$183,$C45))</f>
        <v>0</v>
      </c>
      <c r="AC45" s="18">
        <f ca="1">IF($A45="","",SUMIFS(Data!$AY$4:$AY$183,Data!$AM$4:$AM$183,$B45,Data!$AL$4:$AL$183,$A45,Data!$AK$4:$AK$183,$C45))</f>
        <v>0</v>
      </c>
      <c r="AD45" s="18">
        <f t="shared" ca="1" si="1"/>
        <v>0</v>
      </c>
      <c r="AE45" s="18">
        <f ca="1">IF($A45="","",SUMIFS(Data!$AJ$4:$AJ$183,Data!$AM$4:$AM$183,$B45,Data!$AL$4:$AL$183,$A45,Data!$AK$4:$AK$183,$C45))</f>
        <v>0</v>
      </c>
    </row>
    <row r="46" spans="1:31">
      <c r="A46" s="114" t="str">
        <f ca="1">IF(Data!T46="","",Data!T46)</f>
        <v>May</v>
      </c>
      <c r="B46" s="18" t="str">
        <f ca="1">IF(Data!U46="","",Data!U46)</f>
        <v>Green Shy Guy</v>
      </c>
      <c r="C46" s="18" t="str">
        <f ca="1">IF(Data!S46="","",Data!S46)</f>
        <v>G3</v>
      </c>
      <c r="D46" s="18">
        <f ca="1">IF($A46="","",Data!W46)</f>
        <v>2</v>
      </c>
      <c r="E46" s="18">
        <f ca="1">IF($A46="","",Data!Y46)</f>
        <v>1</v>
      </c>
      <c r="F46" s="61">
        <f t="shared" ca="1" si="0"/>
        <v>0.5</v>
      </c>
      <c r="G46" s="18">
        <f ca="1">IF($A46="","",Data!AB46)</f>
        <v>0</v>
      </c>
      <c r="H46" s="18">
        <f ca="1">IF($A46="","",Data!AC46)</f>
        <v>0</v>
      </c>
      <c r="I46" s="18">
        <f ca="1">IF($A46="","",INT(SUMIFS(Data!$AN$4:$AN$183,Data!$AM$4:$AM$183,$B46,Data!$AL$4:$AL$183,$A46,Data!$AK$4:$AK$183,$C46))+MOD(ROUND(SUMIFS(Data!$AN$4:$AN$183,Data!$AM$4:$AM$183,$B46,Data!$AL$4:$AL$183,$A46,Data!$AK$4:$AK$183,$C46)*3,0),3)/10)</f>
        <v>0</v>
      </c>
      <c r="J46" s="18">
        <f ca="1">IF($A46="","",SUMIFS(Data!$AQ$4:$AQ$183,Data!$AM$4:$AM$183,$B46,Data!$AL$4:$AL$183,$A46,Data!$AK$4:$AK$183,$C46))</f>
        <v>0</v>
      </c>
      <c r="K46" s="62">
        <f ca="1">IF($A46="","",IF(SUMIFS(Data!$AN$4:$AN$183,Data!$AM$4:$AM$183,$B46,Data!$AL$4:$AL$183,$A46,Data!$AK$4:$AK$183,$C46)=0,"",J46*3/SUMIFS(Data!$AN$4:$AN$183,Data!$AM$4:$AM$183,$B46,Data!$AL$4:$AL$183,$A46,Data!$AK$4:$AK$183,$C46)))</f>
      </c>
      <c r="L46" s="18">
        <f ca="1">IF($A46="","",IF(IFERROR(_xlfn.XLOOKUP($C46,Bracket!$F$6:$F$16,Bracket!$K$6:$K$16,""),"")=$B46,1,0))</f>
        <v>0</v>
      </c>
      <c r="M46" s="18">
        <f ca="1">IF($A46="","",IF(AND(IFERROR(_xlfn.XLOOKUP($C46,Bracket!$F$6:$F$16,Bracket!$K$6:$K$16,""),"")=$B46,LEFT(IFERROR(_xlfn.XLOOKUP($C46,Bracket!$F$6:$F$16,Bracket!$G$6:$G$16,""),""),2)="CG"),1,0))</f>
        <v>0</v>
      </c>
      <c r="N46" s="18">
        <f ca="1">IF($A46="","",SUMIFS(Data!$X$4:$X$273,Data!$T$4:$T$273,$A46,Data!$U$4:$U$273,$B46,Data!$S$4:$S$273,$C46))</f>
        <v>0</v>
      </c>
      <c r="O46" s="18">
        <f ca="1">IF($A46="","",SUMIFS(Data!$Z$4:$Z$273,Data!$T$4:$T$273,$A46,Data!$U$4:$U$273,$B46,Data!$S$4:$S$273,$C46))</f>
        <v>0</v>
      </c>
      <c r="P46" s="18">
        <f ca="1">IF($A46="","",SUMIFS(Data!$AA$4:$AA$273,Data!$T$4:$T$273,$A46,Data!$U$4:$U$273,$B46,Data!$S$4:$S$273,$C46))</f>
        <v>0</v>
      </c>
      <c r="Q46" s="18">
        <f ca="1">IF($A46="","",SUMIFS(Data!$AD$4:$AD$273,Data!$T$4:$T$273,$A46,Data!$U$4:$U$273,$B46,Data!$S$4:$S$273,$C46))</f>
        <v>0</v>
      </c>
      <c r="R46" s="18">
        <f ca="1">IF($A46="","",SUMIFS(Data!$AE$4:$AE$273,Data!$T$4:$T$273,$A46,Data!$U$4:$U$273,$B46,Data!$S$4:$S$273,$C46))</f>
        <v>0</v>
      </c>
      <c r="S46" s="18">
        <f ca="1">IF($A46="","",SUMIFS(Data!$AF$4:$AF$273,Data!$T$4:$T$273,$A46,Data!$U$4:$U$273,$B46,Data!$S$4:$S$273,$C46))</f>
        <v>0</v>
      </c>
      <c r="T46" s="18">
        <f ca="1">IF($A46="","",SUMIFS(Data!$AG$4:$AG$273,Data!$T$4:$T$273,$A46,Data!$U$4:$U$273,$B46,Data!$S$4:$S$273,$C46))</f>
        <v>0</v>
      </c>
      <c r="U46" s="18">
        <f ca="1">IF($A46="","",SUMIFS(Data!$AH$4:$AH$273,Data!$T$4:$T$273,$A46,Data!$U$4:$U$273,$B46,Data!$S$4:$S$273,$C46))</f>
        <v>0</v>
      </c>
      <c r="V46" s="18">
        <f ca="1">IF($A46="","",SUMIFS(Data!$AO$4:$AO$183,Data!$AM$4:$AM$183,$B46,Data!$AL$4:$AL$183,$A46,Data!$AK$4:$AK$183,$C46))</f>
        <v>0</v>
      </c>
      <c r="W46" s="18">
        <f ca="1">IF($A46="","",SUMIFS(Data!$AP$4:$AP$183,Data!$AM$4:$AM$183,$B46,Data!$AL$4:$AL$183,$A46,Data!$AK$4:$AK$183,$C46))</f>
        <v>0</v>
      </c>
      <c r="X46" s="18">
        <f ca="1">IF($A46="","",SUMIFS(Data!$AR$4:$AR$183,Data!$AM$4:$AM$183,$B46,Data!$AL$4:$AL$183,$A46,Data!$AK$4:$AK$183,$C46))</f>
        <v>0</v>
      </c>
      <c r="Y46" s="18">
        <f ca="1">IF($A46="","",SUMIFS(Data!$AS$4:$AS$183,Data!$AM$4:$AM$183,$B46,Data!$AL$4:$AL$183,$A46,Data!$AK$4:$AK$183,$C46))</f>
        <v>0</v>
      </c>
      <c r="Z46" s="18">
        <f ca="1">IF($A46="","",SUMIFS(Data!$AT$4:$AT$183,Data!$AM$4:$AM$183,$B46,Data!$AL$4:$AL$183,$A46,Data!$AK$4:$AK$183,$C46))</f>
        <v>0</v>
      </c>
      <c r="AA46" s="18">
        <f ca="1">IF($A46="","",SUMIFS(Data!$AW$4:$AW$183,Data!$AM$4:$AM$183,$B46,Data!$AL$4:$AL$183,$A46,Data!$AK$4:$AK$183,$C46))</f>
        <v>0</v>
      </c>
      <c r="AB46" s="18">
        <f ca="1">IF($A46="","",SUMIFS(Data!$AX$4:$AX$183,Data!$AM$4:$AM$183,$B46,Data!$AL$4:$AL$183,$A46,Data!$AK$4:$AK$183,$C46))</f>
        <v>0</v>
      </c>
      <c r="AC46" s="18">
        <f ca="1">IF($A46="","",SUMIFS(Data!$AY$4:$AY$183,Data!$AM$4:$AM$183,$B46,Data!$AL$4:$AL$183,$A46,Data!$AK$4:$AK$183,$C46))</f>
        <v>0</v>
      </c>
      <c r="AD46" s="18">
        <f t="shared" ca="1" si="1"/>
        <v>0</v>
      </c>
      <c r="AE46" s="18">
        <f ca="1">IF($A46="","",SUMIFS(Data!$AJ$4:$AJ$183,Data!$AM$4:$AM$183,$B46,Data!$AL$4:$AL$183,$A46,Data!$AK$4:$AK$183,$C46))</f>
        <v>0</v>
      </c>
    </row>
    <row r="47" spans="1:31">
      <c r="A47" s="114" t="str">
        <f ca="1">IF(Data!T47="","",Data!T47)</f>
        <v>May</v>
      </c>
      <c r="B47" s="18" t="str">
        <f ca="1">IF(Data!U47="","",Data!U47)</f>
        <v>Red Yoshi</v>
      </c>
      <c r="C47" s="18" t="str">
        <f ca="1">IF(Data!S47="","",Data!S47)</f>
        <v>G3</v>
      </c>
      <c r="D47" s="18">
        <f ca="1">IF($A47="","",Data!W47)</f>
        <v>2</v>
      </c>
      <c r="E47" s="18">
        <f ca="1">IF($A47="","",Data!Y47)</f>
        <v>2</v>
      </c>
      <c r="F47" s="61">
        <f t="shared" ca="1" si="0"/>
        <v>1.0</v>
      </c>
      <c r="G47" s="18">
        <f ca="1">IF($A47="","",Data!AB47)</f>
        <v>0</v>
      </c>
      <c r="H47" s="18">
        <f ca="1">IF($A47="","",Data!AC47)</f>
        <v>0</v>
      </c>
      <c r="I47" s="18">
        <f ca="1">IF($A47="","",INT(SUMIFS(Data!$AN$4:$AN$183,Data!$AM$4:$AM$183,$B47,Data!$AL$4:$AL$183,$A47,Data!$AK$4:$AK$183,$C47))+MOD(ROUND(SUMIFS(Data!$AN$4:$AN$183,Data!$AM$4:$AM$183,$B47,Data!$AL$4:$AL$183,$A47,Data!$AK$4:$AK$183,$C47)*3,0),3)/10)</f>
        <v>0</v>
      </c>
      <c r="J47" s="18">
        <f ca="1">IF($A47="","",SUMIFS(Data!$AQ$4:$AQ$183,Data!$AM$4:$AM$183,$B47,Data!$AL$4:$AL$183,$A47,Data!$AK$4:$AK$183,$C47))</f>
        <v>0</v>
      </c>
      <c r="K47" s="62">
        <f ca="1">IF($A47="","",IF(SUMIFS(Data!$AN$4:$AN$183,Data!$AM$4:$AM$183,$B47,Data!$AL$4:$AL$183,$A47,Data!$AK$4:$AK$183,$C47)=0,"",J47*3/SUMIFS(Data!$AN$4:$AN$183,Data!$AM$4:$AM$183,$B47,Data!$AL$4:$AL$183,$A47,Data!$AK$4:$AK$183,$C47)))</f>
      </c>
      <c r="L47" s="18">
        <f ca="1">IF($A47="","",IF(IFERROR(_xlfn.XLOOKUP($C47,Bracket!$F$6:$F$16,Bracket!$K$6:$K$16,""),"")=$B47,1,0))</f>
        <v>0</v>
      </c>
      <c r="M47" s="18">
        <f ca="1">IF($A47="","",IF(AND(IFERROR(_xlfn.XLOOKUP($C47,Bracket!$F$6:$F$16,Bracket!$K$6:$K$16,""),"")=$B47,LEFT(IFERROR(_xlfn.XLOOKUP($C47,Bracket!$F$6:$F$16,Bracket!$G$6:$G$16,""),""),2)="CG"),1,0))</f>
        <v>0</v>
      </c>
      <c r="N47" s="18">
        <f ca="1">IF($A47="","",SUMIFS(Data!$X$4:$X$273,Data!$T$4:$T$273,$A47,Data!$U$4:$U$273,$B47,Data!$S$4:$S$273,$C47))</f>
        <v>1</v>
      </c>
      <c r="O47" s="18">
        <f ca="1">IF($A47="","",SUMIFS(Data!$Z$4:$Z$273,Data!$T$4:$T$273,$A47,Data!$U$4:$U$273,$B47,Data!$S$4:$S$273,$C47))</f>
        <v>1</v>
      </c>
      <c r="P47" s="18">
        <f ca="1">IF($A47="","",SUMIFS(Data!$AA$4:$AA$273,Data!$T$4:$T$273,$A47,Data!$U$4:$U$273,$B47,Data!$S$4:$S$273,$C47))</f>
        <v>0</v>
      </c>
      <c r="Q47" s="18">
        <f ca="1">IF($A47="","",SUMIFS(Data!$AD$4:$AD$273,Data!$T$4:$T$273,$A47,Data!$U$4:$U$273,$B47,Data!$S$4:$S$273,$C47))</f>
        <v>0</v>
      </c>
      <c r="R47" s="18">
        <f ca="1">IF($A47="","",SUMIFS(Data!$AE$4:$AE$273,Data!$T$4:$T$273,$A47,Data!$U$4:$U$273,$B47,Data!$S$4:$S$273,$C47))</f>
        <v>0</v>
      </c>
      <c r="S47" s="18">
        <f ca="1">IF($A47="","",SUMIFS(Data!$AF$4:$AF$273,Data!$T$4:$T$273,$A47,Data!$U$4:$U$273,$B47,Data!$S$4:$S$273,$C47))</f>
        <v>0</v>
      </c>
      <c r="T47" s="18">
        <f ca="1">IF($A47="","",SUMIFS(Data!$AG$4:$AG$273,Data!$T$4:$T$273,$A47,Data!$U$4:$U$273,$B47,Data!$S$4:$S$273,$C47))</f>
        <v>0</v>
      </c>
      <c r="U47" s="18">
        <f ca="1">IF($A47="","",SUMIFS(Data!$AH$4:$AH$273,Data!$T$4:$T$273,$A47,Data!$U$4:$U$273,$B47,Data!$S$4:$S$273,$C47))</f>
        <v>0</v>
      </c>
      <c r="V47" s="18">
        <f ca="1">IF($A47="","",SUMIFS(Data!$AO$4:$AO$183,Data!$AM$4:$AM$183,$B47,Data!$AL$4:$AL$183,$A47,Data!$AK$4:$AK$183,$C47))</f>
        <v>0</v>
      </c>
      <c r="W47" s="18">
        <f ca="1">IF($A47="","",SUMIFS(Data!$AP$4:$AP$183,Data!$AM$4:$AM$183,$B47,Data!$AL$4:$AL$183,$A47,Data!$AK$4:$AK$183,$C47))</f>
        <v>0</v>
      </c>
      <c r="X47" s="18">
        <f ca="1">IF($A47="","",SUMIFS(Data!$AR$4:$AR$183,Data!$AM$4:$AM$183,$B47,Data!$AL$4:$AL$183,$A47,Data!$AK$4:$AK$183,$C47))</f>
        <v>0</v>
      </c>
      <c r="Y47" s="18">
        <f ca="1">IF($A47="","",SUMIFS(Data!$AS$4:$AS$183,Data!$AM$4:$AM$183,$B47,Data!$AL$4:$AL$183,$A47,Data!$AK$4:$AK$183,$C47))</f>
        <v>0</v>
      </c>
      <c r="Z47" s="18">
        <f ca="1">IF($A47="","",SUMIFS(Data!$AT$4:$AT$183,Data!$AM$4:$AM$183,$B47,Data!$AL$4:$AL$183,$A47,Data!$AK$4:$AK$183,$C47))</f>
        <v>0</v>
      </c>
      <c r="AA47" s="18">
        <f ca="1">IF($A47="","",SUMIFS(Data!$AW$4:$AW$183,Data!$AM$4:$AM$183,$B47,Data!$AL$4:$AL$183,$A47,Data!$AK$4:$AK$183,$C47))</f>
        <v>0</v>
      </c>
      <c r="AB47" s="18">
        <f ca="1">IF($A47="","",SUMIFS(Data!$AX$4:$AX$183,Data!$AM$4:$AM$183,$B47,Data!$AL$4:$AL$183,$A47,Data!$AK$4:$AK$183,$C47))</f>
        <v>0</v>
      </c>
      <c r="AC47" s="18">
        <f ca="1">IF($A47="","",SUMIFS(Data!$AY$4:$AY$183,Data!$AM$4:$AM$183,$B47,Data!$AL$4:$AL$183,$A47,Data!$AK$4:$AK$183,$C47))</f>
        <v>0</v>
      </c>
      <c r="AD47" s="18">
        <f t="shared" ca="1" si="1"/>
        <v>0</v>
      </c>
      <c r="AE47" s="18">
        <f ca="1">IF($A47="","",SUMIFS(Data!$AJ$4:$AJ$183,Data!$AM$4:$AM$183,$B47,Data!$AL$4:$AL$183,$A47,Data!$AK$4:$AK$183,$C47))</f>
        <v>0</v>
      </c>
    </row>
    <row r="48" spans="1:31">
      <c r="A48" s="114" t="str">
        <f ca="1">IF(Data!T48="","",Data!T48)</f>
        <v>May</v>
      </c>
      <c r="B48" s="18" t="str">
        <f ca="1">IF(Data!U48="","",Data!U48)</f>
        <v>Baby Peach</v>
      </c>
      <c r="C48" s="18" t="str">
        <f ca="1">IF(Data!S48="","",Data!S48)</f>
        <v>G3</v>
      </c>
      <c r="D48" s="18">
        <f ca="1">IF($A48="","",Data!W48)</f>
        <v>2</v>
      </c>
      <c r="E48" s="18">
        <f ca="1">IF($A48="","",Data!Y48)</f>
        <v>1</v>
      </c>
      <c r="F48" s="61">
        <f t="shared" ca="1" si="0"/>
        <v>0.5</v>
      </c>
      <c r="G48" s="18">
        <f ca="1">IF($A48="","",Data!AB48)</f>
        <v>0</v>
      </c>
      <c r="H48" s="18">
        <f ca="1">IF($A48="","",Data!AC48)</f>
        <v>1</v>
      </c>
      <c r="I48" s="18">
        <f ca="1">IF($A48="","",INT(SUMIFS(Data!$AN$4:$AN$183,Data!$AM$4:$AM$183,$B48,Data!$AL$4:$AL$183,$A48,Data!$AK$4:$AK$183,$C48))+MOD(ROUND(SUMIFS(Data!$AN$4:$AN$183,Data!$AM$4:$AM$183,$B48,Data!$AL$4:$AL$183,$A48,Data!$AK$4:$AK$183,$C48)*3,0),3)/10)</f>
        <v>3</v>
      </c>
      <c r="J48" s="18">
        <f ca="1">IF($A48="","",SUMIFS(Data!$AQ$4:$AQ$183,Data!$AM$4:$AM$183,$B48,Data!$AL$4:$AL$183,$A48,Data!$AK$4:$AK$183,$C48))</f>
        <v>1</v>
      </c>
      <c r="K48" s="62">
        <f ca="1">IF($A48="","",IF(SUMIFS(Data!$AN$4:$AN$183,Data!$AM$4:$AM$183,$B48,Data!$AL$4:$AL$183,$A48,Data!$AK$4:$AK$183,$C48)=0,"",J48*3/SUMIFS(Data!$AN$4:$AN$183,Data!$AM$4:$AM$183,$B48,Data!$AL$4:$AL$183,$A48,Data!$AK$4:$AK$183,$C48)))</f>
        <v>1.0</v>
      </c>
      <c r="L48" s="18">
        <f ca="1">IF($A48="","",IF(IFERROR(_xlfn.XLOOKUP($C48,Bracket!$F$6:$F$16,Bracket!$K$6:$K$16,""),"")=$B48,1,0))</f>
        <v>0</v>
      </c>
      <c r="M48" s="18">
        <f ca="1">IF($A48="","",IF(AND(IFERROR(_xlfn.XLOOKUP($C48,Bracket!$F$6:$F$16,Bracket!$K$6:$K$16,""),"")=$B48,LEFT(IFERROR(_xlfn.XLOOKUP($C48,Bracket!$F$6:$F$16,Bracket!$G$6:$G$16,""),""),2)="CG"),1,0))</f>
        <v>0</v>
      </c>
      <c r="N48" s="18">
        <f ca="1">IF($A48="","",SUMIFS(Data!$X$4:$X$273,Data!$T$4:$T$273,$A48,Data!$U$4:$U$273,$B48,Data!$S$4:$S$273,$C48))</f>
        <v>0</v>
      </c>
      <c r="O48" s="18">
        <f ca="1">IF($A48="","",SUMIFS(Data!$Z$4:$Z$273,Data!$T$4:$T$273,$A48,Data!$U$4:$U$273,$B48,Data!$S$4:$S$273,$C48))</f>
        <v>0</v>
      </c>
      <c r="P48" s="18">
        <f ca="1">IF($A48="","",SUMIFS(Data!$AA$4:$AA$273,Data!$T$4:$T$273,$A48,Data!$U$4:$U$273,$B48,Data!$S$4:$S$273,$C48))</f>
        <v>0</v>
      </c>
      <c r="Q48" s="18">
        <f ca="1">IF($A48="","",SUMIFS(Data!$AD$4:$AD$273,Data!$T$4:$T$273,$A48,Data!$U$4:$U$273,$B48,Data!$S$4:$S$273,$C48))</f>
        <v>0</v>
      </c>
      <c r="R48" s="18">
        <f ca="1">IF($A48="","",SUMIFS(Data!$AE$4:$AE$273,Data!$T$4:$T$273,$A48,Data!$U$4:$U$273,$B48,Data!$S$4:$S$273,$C48))</f>
        <v>1</v>
      </c>
      <c r="S48" s="18">
        <f ca="1">IF($A48="","",SUMIFS(Data!$AF$4:$AF$273,Data!$T$4:$T$273,$A48,Data!$U$4:$U$273,$B48,Data!$S$4:$S$273,$C48))</f>
        <v>0</v>
      </c>
      <c r="T48" s="18">
        <f ca="1">IF($A48="","",SUMIFS(Data!$AG$4:$AG$273,Data!$T$4:$T$273,$A48,Data!$U$4:$U$273,$B48,Data!$S$4:$S$273,$C48))</f>
        <v>0</v>
      </c>
      <c r="U48" s="18">
        <f ca="1">IF($A48="","",SUMIFS(Data!$AH$4:$AH$273,Data!$T$4:$T$273,$A48,Data!$U$4:$U$273,$B48,Data!$S$4:$S$273,$C48))</f>
        <v>0</v>
      </c>
      <c r="V48" s="18">
        <f ca="1">IF($A48="","",SUMIFS(Data!$AO$4:$AO$183,Data!$AM$4:$AM$183,$B48,Data!$AL$4:$AL$183,$A48,Data!$AK$4:$AK$183,$C48))</f>
        <v>3</v>
      </c>
      <c r="W48" s="18">
        <f ca="1">IF($A48="","",SUMIFS(Data!$AP$4:$AP$183,Data!$AM$4:$AM$183,$B48,Data!$AL$4:$AL$183,$A48,Data!$AK$4:$AK$183,$C48))</f>
        <v>1</v>
      </c>
      <c r="X48" s="18">
        <f ca="1">IF($A48="","",SUMIFS(Data!$AR$4:$AR$183,Data!$AM$4:$AM$183,$B48,Data!$AL$4:$AL$183,$A48,Data!$AK$4:$AK$183,$C48))</f>
        <v>0</v>
      </c>
      <c r="Y48" s="18">
        <f ca="1">IF($A48="","",SUMIFS(Data!$AS$4:$AS$183,Data!$AM$4:$AM$183,$B48,Data!$AL$4:$AL$183,$A48,Data!$AK$4:$AK$183,$C48))</f>
        <v>1</v>
      </c>
      <c r="Z48" s="18">
        <f ca="1">IF($A48="","",SUMIFS(Data!$AT$4:$AT$183,Data!$AM$4:$AM$183,$B48,Data!$AL$4:$AL$183,$A48,Data!$AK$4:$AK$183,$C48))</f>
        <v>0</v>
      </c>
      <c r="AA48" s="18">
        <f ca="1">IF($A48="","",SUMIFS(Data!$AW$4:$AW$183,Data!$AM$4:$AM$183,$B48,Data!$AL$4:$AL$183,$A48,Data!$AK$4:$AK$183,$C48))</f>
        <v>0</v>
      </c>
      <c r="AB48" s="18">
        <f ca="1">IF($A48="","",SUMIFS(Data!$AX$4:$AX$183,Data!$AM$4:$AM$183,$B48,Data!$AL$4:$AL$183,$A48,Data!$AK$4:$AK$183,$C48))</f>
        <v>0</v>
      </c>
      <c r="AC48" s="18">
        <f ca="1">IF($A48="","",SUMIFS(Data!$AY$4:$AY$183,Data!$AM$4:$AM$183,$B48,Data!$AL$4:$AL$183,$A48,Data!$AK$4:$AK$183,$C48))</f>
        <v>0</v>
      </c>
      <c r="AD48" s="18">
        <f t="shared" ca="1" si="1"/>
        <v>1.0</v>
      </c>
      <c r="AE48" s="18">
        <f ca="1">IF($A48="","",SUMIFS(Data!$AJ$4:$AJ$183,Data!$AM$4:$AM$183,$B48,Data!$AL$4:$AL$183,$A48,Data!$AK$4:$AK$183,$C48))</f>
        <v>13</v>
      </c>
    </row>
    <row r="49" spans="1:31">
      <c r="A49" s="117" t="str">
        <f ca="1">IF(Data!T49="","",Data!T49)</f>
        <v>Nick</v>
      </c>
      <c r="B49" s="18" t="str">
        <f ca="1">IF(Data!U49="","",Data!U49)</f>
        <v>Monty Mole</v>
      </c>
      <c r="C49" s="18" t="str">
        <f ca="1">IF(Data!S49="","",Data!S49)</f>
        <v>G3</v>
      </c>
      <c r="D49" s="18">
        <f ca="1">IF($A49="","",Data!W49)</f>
        <v>2</v>
      </c>
      <c r="E49" s="18">
        <f ca="1">IF($A49="","",Data!Y49)</f>
        <v>0</v>
      </c>
      <c r="F49" s="61">
        <f t="shared" ca="1" si="0"/>
        <v>0.0</v>
      </c>
      <c r="G49" s="18">
        <f ca="1">IF($A49="","",Data!AB49)</f>
        <v>0</v>
      </c>
      <c r="H49" s="18">
        <f ca="1">IF($A49="","",Data!AC49)</f>
        <v>0</v>
      </c>
      <c r="I49" s="18">
        <f ca="1">IF($A49="","",INT(SUMIFS(Data!$AN$4:$AN$183,Data!$AM$4:$AM$183,$B49,Data!$AL$4:$AL$183,$A49,Data!$AK$4:$AK$183,$C49))+MOD(ROUND(SUMIFS(Data!$AN$4:$AN$183,Data!$AM$4:$AM$183,$B49,Data!$AL$4:$AL$183,$A49,Data!$AK$4:$AK$183,$C49)*3,0),3)/10)</f>
        <v>0</v>
      </c>
      <c r="J49" s="18">
        <f ca="1">IF($A49="","",SUMIFS(Data!$AQ$4:$AQ$183,Data!$AM$4:$AM$183,$B49,Data!$AL$4:$AL$183,$A49,Data!$AK$4:$AK$183,$C49))</f>
        <v>0</v>
      </c>
      <c r="K49" s="62">
        <f ca="1">IF($A49="","",IF(SUMIFS(Data!$AN$4:$AN$183,Data!$AM$4:$AM$183,$B49,Data!$AL$4:$AL$183,$A49,Data!$AK$4:$AK$183,$C49)=0,"",J49*3/SUMIFS(Data!$AN$4:$AN$183,Data!$AM$4:$AM$183,$B49,Data!$AL$4:$AL$183,$A49,Data!$AK$4:$AK$183,$C49)))</f>
      </c>
      <c r="L49" s="18">
        <f ca="1">IF($A49="","",IF(IFERROR(_xlfn.XLOOKUP($C49,Bracket!$F$6:$F$16,Bracket!$K$6:$K$16,""),"")=$B49,1,0))</f>
        <v>0</v>
      </c>
      <c r="M49" s="18">
        <f ca="1">IF($A49="","",IF(AND(IFERROR(_xlfn.XLOOKUP($C49,Bracket!$F$6:$F$16,Bracket!$K$6:$K$16,""),"")=$B49,LEFT(IFERROR(_xlfn.XLOOKUP($C49,Bracket!$F$6:$F$16,Bracket!$G$6:$G$16,""),""),2)="CG"),1,0))</f>
        <v>0</v>
      </c>
      <c r="N49" s="18">
        <f ca="1">IF($A49="","",SUMIFS(Data!$X$4:$X$273,Data!$T$4:$T$273,$A49,Data!$U$4:$U$273,$B49,Data!$S$4:$S$273,$C49))</f>
        <v>0</v>
      </c>
      <c r="O49" s="18">
        <f ca="1">IF($A49="","",SUMIFS(Data!$Z$4:$Z$273,Data!$T$4:$T$273,$A49,Data!$U$4:$U$273,$B49,Data!$S$4:$S$273,$C49))</f>
        <v>0</v>
      </c>
      <c r="P49" s="18">
        <f ca="1">IF($A49="","",SUMIFS(Data!$AA$4:$AA$273,Data!$T$4:$T$273,$A49,Data!$U$4:$U$273,$B49,Data!$S$4:$S$273,$C49))</f>
        <v>0</v>
      </c>
      <c r="Q49" s="18">
        <f ca="1">IF($A49="","",SUMIFS(Data!$AD$4:$AD$273,Data!$T$4:$T$273,$A49,Data!$U$4:$U$273,$B49,Data!$S$4:$S$273,$C49))</f>
        <v>0</v>
      </c>
      <c r="R49" s="18">
        <f ca="1">IF($A49="","",SUMIFS(Data!$AE$4:$AE$273,Data!$T$4:$T$273,$A49,Data!$U$4:$U$273,$B49,Data!$S$4:$S$273,$C49))</f>
        <v>0</v>
      </c>
      <c r="S49" s="18">
        <f ca="1">IF($A49="","",SUMIFS(Data!$AF$4:$AF$273,Data!$T$4:$T$273,$A49,Data!$U$4:$U$273,$B49,Data!$S$4:$S$273,$C49))</f>
        <v>0</v>
      </c>
      <c r="T49" s="18">
        <f ca="1">IF($A49="","",SUMIFS(Data!$AG$4:$AG$273,Data!$T$4:$T$273,$A49,Data!$U$4:$U$273,$B49,Data!$S$4:$S$273,$C49))</f>
        <v>0</v>
      </c>
      <c r="U49" s="18">
        <f ca="1">IF($A49="","",SUMIFS(Data!$AH$4:$AH$273,Data!$T$4:$T$273,$A49,Data!$U$4:$U$273,$B49,Data!$S$4:$S$273,$C49))</f>
        <v>0</v>
      </c>
      <c r="V49" s="18">
        <f ca="1">IF($A49="","",SUMIFS(Data!$AO$4:$AO$183,Data!$AM$4:$AM$183,$B49,Data!$AL$4:$AL$183,$A49,Data!$AK$4:$AK$183,$C49))</f>
        <v>0</v>
      </c>
      <c r="W49" s="18">
        <f ca="1">IF($A49="","",SUMIFS(Data!$AP$4:$AP$183,Data!$AM$4:$AM$183,$B49,Data!$AL$4:$AL$183,$A49,Data!$AK$4:$AK$183,$C49))</f>
        <v>0</v>
      </c>
      <c r="X49" s="18">
        <f ca="1">IF($A49="","",SUMIFS(Data!$AR$4:$AR$183,Data!$AM$4:$AM$183,$B49,Data!$AL$4:$AL$183,$A49,Data!$AK$4:$AK$183,$C49))</f>
        <v>0</v>
      </c>
      <c r="Y49" s="18">
        <f ca="1">IF($A49="","",SUMIFS(Data!$AS$4:$AS$183,Data!$AM$4:$AM$183,$B49,Data!$AL$4:$AL$183,$A49,Data!$AK$4:$AK$183,$C49))</f>
        <v>0</v>
      </c>
      <c r="Z49" s="18">
        <f ca="1">IF($A49="","",SUMIFS(Data!$AT$4:$AT$183,Data!$AM$4:$AM$183,$B49,Data!$AL$4:$AL$183,$A49,Data!$AK$4:$AK$183,$C49))</f>
        <v>0</v>
      </c>
      <c r="AA49" s="18">
        <f ca="1">IF($A49="","",SUMIFS(Data!$AW$4:$AW$183,Data!$AM$4:$AM$183,$B49,Data!$AL$4:$AL$183,$A49,Data!$AK$4:$AK$183,$C49))</f>
        <v>0</v>
      </c>
      <c r="AB49" s="18">
        <f ca="1">IF($A49="","",SUMIFS(Data!$AX$4:$AX$183,Data!$AM$4:$AM$183,$B49,Data!$AL$4:$AL$183,$A49,Data!$AK$4:$AK$183,$C49))</f>
        <v>0</v>
      </c>
      <c r="AC49" s="18">
        <f ca="1">IF($A49="","",SUMIFS(Data!$AY$4:$AY$183,Data!$AM$4:$AM$183,$B49,Data!$AL$4:$AL$183,$A49,Data!$AK$4:$AK$183,$C49))</f>
        <v>0</v>
      </c>
      <c r="AD49" s="18">
        <f t="shared" ca="1" si="1"/>
        <v>0</v>
      </c>
      <c r="AE49" s="18">
        <f ca="1">IF($A49="","",SUMIFS(Data!$AJ$4:$AJ$183,Data!$AM$4:$AM$183,$B49,Data!$AL$4:$AL$183,$A49,Data!$AK$4:$AK$183,$C49))</f>
        <v>0</v>
      </c>
    </row>
    <row r="50" spans="1:31">
      <c r="A50" s="117" t="str">
        <f ca="1">IF(Data!T50="","",Data!T50)</f>
        <v>Nick</v>
      </c>
      <c r="B50" s="18" t="str">
        <f ca="1">IF(Data!U50="","",Data!U50)</f>
        <v>Boomerang Bro</v>
      </c>
      <c r="C50" s="18" t="str">
        <f ca="1">IF(Data!S50="","",Data!S50)</f>
        <v>G3</v>
      </c>
      <c r="D50" s="18">
        <f ca="1">IF($A50="","",Data!W50)</f>
        <v>2</v>
      </c>
      <c r="E50" s="18">
        <f ca="1">IF($A50="","",Data!Y50)</f>
        <v>0</v>
      </c>
      <c r="F50" s="61">
        <f t="shared" ca="1" si="0"/>
        <v>0.0</v>
      </c>
      <c r="G50" s="18">
        <f ca="1">IF($A50="","",Data!AB50)</f>
        <v>0</v>
      </c>
      <c r="H50" s="18">
        <f ca="1">IF($A50="","",Data!AC50)</f>
        <v>0</v>
      </c>
      <c r="I50" s="18">
        <f ca="1">IF($A50="","",INT(SUMIFS(Data!$AN$4:$AN$183,Data!$AM$4:$AM$183,$B50,Data!$AL$4:$AL$183,$A50,Data!$AK$4:$AK$183,$C50))+MOD(ROUND(SUMIFS(Data!$AN$4:$AN$183,Data!$AM$4:$AM$183,$B50,Data!$AL$4:$AL$183,$A50,Data!$AK$4:$AK$183,$C50)*3,0),3)/10)</f>
        <v>0.1</v>
      </c>
      <c r="J50" s="18">
        <f ca="1">IF($A50="","",SUMIFS(Data!$AQ$4:$AQ$183,Data!$AM$4:$AM$183,$B50,Data!$AL$4:$AL$183,$A50,Data!$AK$4:$AK$183,$C50))</f>
        <v>0</v>
      </c>
      <c r="K50" s="62">
        <f ca="1">IF($A50="","",IF(SUMIFS(Data!$AN$4:$AN$183,Data!$AM$4:$AM$183,$B50,Data!$AL$4:$AL$183,$A50,Data!$AK$4:$AK$183,$C50)=0,"",J50*3/SUMIFS(Data!$AN$4:$AN$183,Data!$AM$4:$AM$183,$B50,Data!$AL$4:$AL$183,$A50,Data!$AK$4:$AK$183,$C50)))</f>
        <v>0.0</v>
      </c>
      <c r="L50" s="18">
        <f ca="1">IF($A50="","",IF(IFERROR(_xlfn.XLOOKUP($C50,Bracket!$F$6:$F$16,Bracket!$K$6:$K$16,""),"")=$B50,1,0))</f>
        <v>0</v>
      </c>
      <c r="M50" s="18">
        <f ca="1">IF($A50="","",IF(AND(IFERROR(_xlfn.XLOOKUP($C50,Bracket!$F$6:$F$16,Bracket!$K$6:$K$16,""),"")=$B50,LEFT(IFERROR(_xlfn.XLOOKUP($C50,Bracket!$F$6:$F$16,Bracket!$G$6:$G$16,""),""),2)="CG"),1,0))</f>
        <v>0</v>
      </c>
      <c r="N50" s="18">
        <f ca="1">IF($A50="","",SUMIFS(Data!$X$4:$X$273,Data!$T$4:$T$273,$A50,Data!$U$4:$U$273,$B50,Data!$S$4:$S$273,$C50))</f>
        <v>0</v>
      </c>
      <c r="O50" s="18">
        <f ca="1">IF($A50="","",SUMIFS(Data!$Z$4:$Z$273,Data!$T$4:$T$273,$A50,Data!$U$4:$U$273,$B50,Data!$S$4:$S$273,$C50))</f>
        <v>0</v>
      </c>
      <c r="P50" s="18">
        <f ca="1">IF($A50="","",SUMIFS(Data!$AA$4:$AA$273,Data!$T$4:$T$273,$A50,Data!$U$4:$U$273,$B50,Data!$S$4:$S$273,$C50))</f>
        <v>0</v>
      </c>
      <c r="Q50" s="18">
        <f ca="1">IF($A50="","",SUMIFS(Data!$AD$4:$AD$273,Data!$T$4:$T$273,$A50,Data!$U$4:$U$273,$B50,Data!$S$4:$S$273,$C50))</f>
        <v>0</v>
      </c>
      <c r="R50" s="18">
        <f ca="1">IF($A50="","",SUMIFS(Data!$AE$4:$AE$273,Data!$T$4:$T$273,$A50,Data!$U$4:$U$273,$B50,Data!$S$4:$S$273,$C50))</f>
        <v>0</v>
      </c>
      <c r="S50" s="18">
        <f ca="1">IF($A50="","",SUMIFS(Data!$AF$4:$AF$273,Data!$T$4:$T$273,$A50,Data!$U$4:$U$273,$B50,Data!$S$4:$S$273,$C50))</f>
        <v>0</v>
      </c>
      <c r="T50" s="18">
        <f ca="1">IF($A50="","",SUMIFS(Data!$AG$4:$AG$273,Data!$T$4:$T$273,$A50,Data!$U$4:$U$273,$B50,Data!$S$4:$S$273,$C50))</f>
        <v>0</v>
      </c>
      <c r="U50" s="18">
        <f ca="1">IF($A50="","",SUMIFS(Data!$AH$4:$AH$273,Data!$T$4:$T$273,$A50,Data!$U$4:$U$273,$B50,Data!$S$4:$S$273,$C50))</f>
        <v>0</v>
      </c>
      <c r="V50" s="18">
        <f ca="1">IF($A50="","",SUMIFS(Data!$AO$4:$AO$183,Data!$AM$4:$AM$183,$B50,Data!$AL$4:$AL$183,$A50,Data!$AK$4:$AK$183,$C50))</f>
        <v>1</v>
      </c>
      <c r="W50" s="18">
        <f ca="1">IF($A50="","",SUMIFS(Data!$AP$4:$AP$183,Data!$AM$4:$AM$183,$B50,Data!$AL$4:$AL$183,$A50,Data!$AK$4:$AK$183,$C50))</f>
        <v>0</v>
      </c>
      <c r="X50" s="18">
        <f ca="1">IF($A50="","",SUMIFS(Data!$AR$4:$AR$183,Data!$AM$4:$AM$183,$B50,Data!$AL$4:$AL$183,$A50,Data!$AK$4:$AK$183,$C50))</f>
        <v>0</v>
      </c>
      <c r="Y50" s="18">
        <f ca="1">IF($A50="","",SUMIFS(Data!$AS$4:$AS$183,Data!$AM$4:$AM$183,$B50,Data!$AL$4:$AL$183,$A50,Data!$AK$4:$AK$183,$C50))</f>
        <v>0</v>
      </c>
      <c r="Z50" s="18">
        <f ca="1">IF($A50="","",SUMIFS(Data!$AT$4:$AT$183,Data!$AM$4:$AM$183,$B50,Data!$AL$4:$AL$183,$A50,Data!$AK$4:$AK$183,$C50))</f>
        <v>0</v>
      </c>
      <c r="AA50" s="18">
        <f ca="1">IF($A50="","",SUMIFS(Data!$AW$4:$AW$183,Data!$AM$4:$AM$183,$B50,Data!$AL$4:$AL$183,$A50,Data!$AK$4:$AK$183,$C50))</f>
        <v>0</v>
      </c>
      <c r="AB50" s="18">
        <f ca="1">IF($A50="","",SUMIFS(Data!$AX$4:$AX$183,Data!$AM$4:$AM$183,$B50,Data!$AL$4:$AL$183,$A50,Data!$AK$4:$AK$183,$C50))</f>
        <v>0</v>
      </c>
      <c r="AC50" s="18">
        <f ca="1">IF($A50="","",SUMIFS(Data!$AY$4:$AY$183,Data!$AM$4:$AM$183,$B50,Data!$AL$4:$AL$183,$A50,Data!$AK$4:$AK$183,$C50))</f>
        <v>0</v>
      </c>
      <c r="AD50" s="18">
        <f t="shared" ca="1" si="1"/>
        <v>3.0</v>
      </c>
      <c r="AE50" s="18">
        <f ca="1">IF($A50="","",SUMIFS(Data!$AJ$4:$AJ$183,Data!$AM$4:$AM$183,$B50,Data!$AL$4:$AL$183,$A50,Data!$AK$4:$AK$183,$C50))</f>
        <v>2</v>
      </c>
    </row>
    <row r="51" spans="1:31">
      <c r="A51" s="117" t="str">
        <f ca="1">IF(Data!T51="","",Data!T51)</f>
        <v>Nick</v>
      </c>
      <c r="B51" s="18" t="str">
        <f ca="1">IF(Data!U51="","",Data!U51)</f>
        <v>Wiggler</v>
      </c>
      <c r="C51" s="18" t="str">
        <f ca="1">IF(Data!S51="","",Data!S51)</f>
        <v>G3</v>
      </c>
      <c r="D51" s="18">
        <f ca="1">IF($A51="","",Data!W51)</f>
        <v>2</v>
      </c>
      <c r="E51" s="18">
        <f ca="1">IF($A51="","",Data!Y51)</f>
        <v>1</v>
      </c>
      <c r="F51" s="61">
        <f t="shared" ca="1" si="0"/>
        <v>0.5</v>
      </c>
      <c r="G51" s="18">
        <f ca="1">IF($A51="","",Data!AB51)</f>
        <v>1</v>
      </c>
      <c r="H51" s="18">
        <f ca="1">IF($A51="","",Data!AC51)</f>
        <v>1</v>
      </c>
      <c r="I51" s="18">
        <f ca="1">IF($A51="","",INT(SUMIFS(Data!$AN$4:$AN$183,Data!$AM$4:$AM$183,$B51,Data!$AL$4:$AL$183,$A51,Data!$AK$4:$AK$183,$C51))+MOD(ROUND(SUMIFS(Data!$AN$4:$AN$183,Data!$AM$4:$AM$183,$B51,Data!$AL$4:$AL$183,$A51,Data!$AK$4:$AK$183,$C51)*3,0),3)/10)</f>
        <v>1.1</v>
      </c>
      <c r="J51" s="18">
        <f ca="1">IF($A51="","",SUMIFS(Data!$AQ$4:$AQ$183,Data!$AM$4:$AM$183,$B51,Data!$AL$4:$AL$183,$A51,Data!$AK$4:$AK$183,$C51))</f>
        <v>1</v>
      </c>
      <c r="K51" s="62">
        <f ca="1">IF($A51="","",IF(SUMIFS(Data!$AN$4:$AN$183,Data!$AM$4:$AM$183,$B51,Data!$AL$4:$AL$183,$A51,Data!$AK$4:$AK$183,$C51)=0,"",J51*3/SUMIFS(Data!$AN$4:$AN$183,Data!$AM$4:$AM$183,$B51,Data!$AL$4:$AL$183,$A51,Data!$AK$4:$AK$183,$C51)))</f>
        <v>2.25</v>
      </c>
      <c r="L51" s="18">
        <f ca="1">IF($A51="","",IF(IFERROR(_xlfn.XLOOKUP($C51,Bracket!$F$6:$F$16,Bracket!$K$6:$K$16,""),"")=$B51,1,0))</f>
        <v>0</v>
      </c>
      <c r="M51" s="18">
        <f ca="1">IF($A51="","",IF(AND(IFERROR(_xlfn.XLOOKUP($C51,Bracket!$F$6:$F$16,Bracket!$K$6:$K$16,""),"")=$B51,LEFT(IFERROR(_xlfn.XLOOKUP($C51,Bracket!$F$6:$F$16,Bracket!$G$6:$G$16,""),""),2)="CG"),1,0))</f>
        <v>0</v>
      </c>
      <c r="N51" s="18">
        <f ca="1">IF($A51="","",SUMIFS(Data!$X$4:$X$273,Data!$T$4:$T$273,$A51,Data!$U$4:$U$273,$B51,Data!$S$4:$S$273,$C51))</f>
        <v>1</v>
      </c>
      <c r="O51" s="18">
        <f ca="1">IF($A51="","",SUMIFS(Data!$Z$4:$Z$273,Data!$T$4:$T$273,$A51,Data!$U$4:$U$273,$B51,Data!$S$4:$S$273,$C51))</f>
        <v>0</v>
      </c>
      <c r="P51" s="18">
        <f ca="1">IF($A51="","",SUMIFS(Data!$AA$4:$AA$273,Data!$T$4:$T$273,$A51,Data!$U$4:$U$273,$B51,Data!$S$4:$S$273,$C51))</f>
        <v>0</v>
      </c>
      <c r="Q51" s="18">
        <f ca="1">IF($A51="","",SUMIFS(Data!$AD$4:$AD$273,Data!$T$4:$T$273,$A51,Data!$U$4:$U$273,$B51,Data!$S$4:$S$273,$C51))</f>
        <v>0</v>
      </c>
      <c r="R51" s="18">
        <f ca="1">IF($A51="","",SUMIFS(Data!$AE$4:$AE$273,Data!$T$4:$T$273,$A51,Data!$U$4:$U$273,$B51,Data!$S$4:$S$273,$C51))</f>
        <v>0</v>
      </c>
      <c r="S51" s="18">
        <f ca="1">IF($A51="","",SUMIFS(Data!$AF$4:$AF$273,Data!$T$4:$T$273,$A51,Data!$U$4:$U$273,$B51,Data!$S$4:$S$273,$C51))</f>
        <v>0</v>
      </c>
      <c r="T51" s="18">
        <f ca="1">IF($A51="","",SUMIFS(Data!$AG$4:$AG$273,Data!$T$4:$T$273,$A51,Data!$U$4:$U$273,$B51,Data!$S$4:$S$273,$C51))</f>
        <v>0</v>
      </c>
      <c r="U51" s="18">
        <f ca="1">IF($A51="","",SUMIFS(Data!$AH$4:$AH$273,Data!$T$4:$T$273,$A51,Data!$U$4:$U$273,$B51,Data!$S$4:$S$273,$C51))</f>
        <v>0</v>
      </c>
      <c r="V51" s="18">
        <f ca="1">IF($A51="","",SUMIFS(Data!$AO$4:$AO$183,Data!$AM$4:$AM$183,$B51,Data!$AL$4:$AL$183,$A51,Data!$AK$4:$AK$183,$C51))</f>
        <v>2</v>
      </c>
      <c r="W51" s="18">
        <f ca="1">IF($A51="","",SUMIFS(Data!$AP$4:$AP$183,Data!$AM$4:$AM$183,$B51,Data!$AL$4:$AL$183,$A51,Data!$AK$4:$AK$183,$C51))</f>
        <v>1</v>
      </c>
      <c r="X51" s="18">
        <f ca="1">IF($A51="","",SUMIFS(Data!$AR$4:$AR$183,Data!$AM$4:$AM$183,$B51,Data!$AL$4:$AL$183,$A51,Data!$AK$4:$AK$183,$C51))</f>
        <v>0</v>
      </c>
      <c r="Y51" s="18">
        <f ca="1">IF($A51="","",SUMIFS(Data!$AS$4:$AS$183,Data!$AM$4:$AM$183,$B51,Data!$AL$4:$AL$183,$A51,Data!$AK$4:$AK$183,$C51))</f>
        <v>0</v>
      </c>
      <c r="Z51" s="18">
        <f ca="1">IF($A51="","",SUMIFS(Data!$AT$4:$AT$183,Data!$AM$4:$AM$183,$B51,Data!$AL$4:$AL$183,$A51,Data!$AK$4:$AK$183,$C51))</f>
        <v>0</v>
      </c>
      <c r="AA51" s="18">
        <f ca="1">IF($A51="","",SUMIFS(Data!$AW$4:$AW$183,Data!$AM$4:$AM$183,$B51,Data!$AL$4:$AL$183,$A51,Data!$AK$4:$AK$183,$C51))</f>
        <v>0</v>
      </c>
      <c r="AB51" s="18">
        <f ca="1">IF($A51="","",SUMIFS(Data!$AX$4:$AX$183,Data!$AM$4:$AM$183,$B51,Data!$AL$4:$AL$183,$A51,Data!$AK$4:$AK$183,$C51))</f>
        <v>0</v>
      </c>
      <c r="AC51" s="18">
        <f ca="1">IF($A51="","",SUMIFS(Data!$AY$4:$AY$183,Data!$AM$4:$AM$183,$B51,Data!$AL$4:$AL$183,$A51,Data!$AK$4:$AK$183,$C51))</f>
        <v>0</v>
      </c>
      <c r="AD51" s="18">
        <f t="shared" ca="1" si="1"/>
        <v>1.5</v>
      </c>
      <c r="AE51" s="18">
        <f ca="1">IF($A51="","",SUMIFS(Data!$AJ$4:$AJ$183,Data!$AM$4:$AM$183,$B51,Data!$AL$4:$AL$183,$A51,Data!$AK$4:$AK$183,$C51))</f>
        <v>6</v>
      </c>
    </row>
    <row r="52" spans="1:31">
      <c r="A52" s="117" t="str">
        <f ca="1">IF(Data!T52="","",Data!T52)</f>
        <v>Nick</v>
      </c>
      <c r="B52" s="18" t="str">
        <f ca="1">IF(Data!U52="","",Data!U52)</f>
        <v>Mii</v>
      </c>
      <c r="C52" s="18" t="str">
        <f ca="1">IF(Data!S52="","",Data!S52)</f>
        <v>G3</v>
      </c>
      <c r="D52" s="18">
        <f ca="1">IF($A52="","",Data!W52)</f>
        <v>2</v>
      </c>
      <c r="E52" s="18">
        <f ca="1">IF($A52="","",Data!Y52)</f>
        <v>2</v>
      </c>
      <c r="F52" s="61">
        <f t="shared" ca="1" si="0"/>
        <v>1.0</v>
      </c>
      <c r="G52" s="18">
        <f ca="1">IF($A52="","",Data!AB52)</f>
        <v>0</v>
      </c>
      <c r="H52" s="18">
        <f ca="1">IF($A52="","",Data!AC52)</f>
        <v>0</v>
      </c>
      <c r="I52" s="18">
        <f ca="1">IF($A52="","",INT(SUMIFS(Data!$AN$4:$AN$183,Data!$AM$4:$AM$183,$B52,Data!$AL$4:$AL$183,$A52,Data!$AK$4:$AK$183,$C52))+MOD(ROUND(SUMIFS(Data!$AN$4:$AN$183,Data!$AM$4:$AM$183,$B52,Data!$AL$4:$AL$183,$A52,Data!$AK$4:$AK$183,$C52)*3,0),3)/10)</f>
        <v>0</v>
      </c>
      <c r="J52" s="18">
        <f ca="1">IF($A52="","",SUMIFS(Data!$AQ$4:$AQ$183,Data!$AM$4:$AM$183,$B52,Data!$AL$4:$AL$183,$A52,Data!$AK$4:$AK$183,$C52))</f>
        <v>0</v>
      </c>
      <c r="K52" s="62">
        <f ca="1">IF($A52="","",IF(SUMIFS(Data!$AN$4:$AN$183,Data!$AM$4:$AM$183,$B52,Data!$AL$4:$AL$183,$A52,Data!$AK$4:$AK$183,$C52)=0,"",J52*3/SUMIFS(Data!$AN$4:$AN$183,Data!$AM$4:$AM$183,$B52,Data!$AL$4:$AL$183,$A52,Data!$AK$4:$AK$183,$C52)))</f>
      </c>
      <c r="L52" s="18">
        <f ca="1">IF($A52="","",IF(IFERROR(_xlfn.XLOOKUP($C52,Bracket!$F$6:$F$16,Bracket!$K$6:$K$16,""),"")=$B52,1,0))</f>
        <v>0</v>
      </c>
      <c r="M52" s="18">
        <f ca="1">IF($A52="","",IF(AND(IFERROR(_xlfn.XLOOKUP($C52,Bracket!$F$6:$F$16,Bracket!$K$6:$K$16,""),"")=$B52,LEFT(IFERROR(_xlfn.XLOOKUP($C52,Bracket!$F$6:$F$16,Bracket!$G$6:$G$16,""),""),2)="CG"),1,0))</f>
        <v>0</v>
      </c>
      <c r="N52" s="18">
        <f ca="1">IF($A52="","",SUMIFS(Data!$X$4:$X$273,Data!$T$4:$T$273,$A52,Data!$U$4:$U$273,$B52,Data!$S$4:$S$273,$C52))</f>
        <v>0</v>
      </c>
      <c r="O52" s="18">
        <f ca="1">IF($A52="","",SUMIFS(Data!$Z$4:$Z$273,Data!$T$4:$T$273,$A52,Data!$U$4:$U$273,$B52,Data!$S$4:$S$273,$C52))</f>
        <v>0</v>
      </c>
      <c r="P52" s="18">
        <f ca="1">IF($A52="","",SUMIFS(Data!$AA$4:$AA$273,Data!$T$4:$T$273,$A52,Data!$U$4:$U$273,$B52,Data!$S$4:$S$273,$C52))</f>
        <v>0</v>
      </c>
      <c r="Q52" s="18">
        <f ca="1">IF($A52="","",SUMIFS(Data!$AD$4:$AD$273,Data!$T$4:$T$273,$A52,Data!$U$4:$U$273,$B52,Data!$S$4:$S$273,$C52))</f>
        <v>0</v>
      </c>
      <c r="R52" s="18">
        <f ca="1">IF($A52="","",SUMIFS(Data!$AE$4:$AE$273,Data!$T$4:$T$273,$A52,Data!$U$4:$U$273,$B52,Data!$S$4:$S$273,$C52))</f>
        <v>0</v>
      </c>
      <c r="S52" s="18">
        <f ca="1">IF($A52="","",SUMIFS(Data!$AF$4:$AF$273,Data!$T$4:$T$273,$A52,Data!$U$4:$U$273,$B52,Data!$S$4:$S$273,$C52))</f>
        <v>0</v>
      </c>
      <c r="T52" s="18">
        <f ca="1">IF($A52="","",SUMIFS(Data!$AG$4:$AG$273,Data!$T$4:$T$273,$A52,Data!$U$4:$U$273,$B52,Data!$S$4:$S$273,$C52))</f>
        <v>0</v>
      </c>
      <c r="U52" s="18">
        <f ca="1">IF($A52="","",SUMIFS(Data!$AH$4:$AH$273,Data!$T$4:$T$273,$A52,Data!$U$4:$U$273,$B52,Data!$S$4:$S$273,$C52))</f>
        <v>0</v>
      </c>
      <c r="V52" s="18">
        <f ca="1">IF($A52="","",SUMIFS(Data!$AO$4:$AO$183,Data!$AM$4:$AM$183,$B52,Data!$AL$4:$AL$183,$A52,Data!$AK$4:$AK$183,$C52))</f>
        <v>0</v>
      </c>
      <c r="W52" s="18">
        <f ca="1">IF($A52="","",SUMIFS(Data!$AP$4:$AP$183,Data!$AM$4:$AM$183,$B52,Data!$AL$4:$AL$183,$A52,Data!$AK$4:$AK$183,$C52))</f>
        <v>0</v>
      </c>
      <c r="X52" s="18">
        <f ca="1">IF($A52="","",SUMIFS(Data!$AR$4:$AR$183,Data!$AM$4:$AM$183,$B52,Data!$AL$4:$AL$183,$A52,Data!$AK$4:$AK$183,$C52))</f>
        <v>0</v>
      </c>
      <c r="Y52" s="18">
        <f ca="1">IF($A52="","",SUMIFS(Data!$AS$4:$AS$183,Data!$AM$4:$AM$183,$B52,Data!$AL$4:$AL$183,$A52,Data!$AK$4:$AK$183,$C52))</f>
        <v>0</v>
      </c>
      <c r="Z52" s="18">
        <f ca="1">IF($A52="","",SUMIFS(Data!$AT$4:$AT$183,Data!$AM$4:$AM$183,$B52,Data!$AL$4:$AL$183,$A52,Data!$AK$4:$AK$183,$C52))</f>
        <v>0</v>
      </c>
      <c r="AA52" s="18">
        <f ca="1">IF($A52="","",SUMIFS(Data!$AW$4:$AW$183,Data!$AM$4:$AM$183,$B52,Data!$AL$4:$AL$183,$A52,Data!$AK$4:$AK$183,$C52))</f>
        <v>0</v>
      </c>
      <c r="AB52" s="18">
        <f ca="1">IF($A52="","",SUMIFS(Data!$AX$4:$AX$183,Data!$AM$4:$AM$183,$B52,Data!$AL$4:$AL$183,$A52,Data!$AK$4:$AK$183,$C52))</f>
        <v>0</v>
      </c>
      <c r="AC52" s="18">
        <f ca="1">IF($A52="","",SUMIFS(Data!$AY$4:$AY$183,Data!$AM$4:$AM$183,$B52,Data!$AL$4:$AL$183,$A52,Data!$AK$4:$AK$183,$C52))</f>
        <v>0</v>
      </c>
      <c r="AD52" s="18">
        <f t="shared" ca="1" si="1"/>
        <v>0</v>
      </c>
      <c r="AE52" s="18">
        <f ca="1">IF($A52="","",SUMIFS(Data!$AJ$4:$AJ$183,Data!$AM$4:$AM$183,$B52,Data!$AL$4:$AL$183,$A52,Data!$AK$4:$AK$183,$C52))</f>
        <v>0</v>
      </c>
    </row>
    <row r="53" spans="1:31">
      <c r="A53" s="117" t="str">
        <f ca="1">IF(Data!T53="","",Data!T53)</f>
        <v>Nick</v>
      </c>
      <c r="B53" s="18" t="str">
        <f ca="1">IF(Data!U53="","",Data!U53)</f>
        <v>Green Dry Bones</v>
      </c>
      <c r="C53" s="18" t="str">
        <f ca="1">IF(Data!S53="","",Data!S53)</f>
        <v>G3</v>
      </c>
      <c r="D53" s="18">
        <f ca="1">IF($A53="","",Data!W53)</f>
        <v>2</v>
      </c>
      <c r="E53" s="18">
        <f ca="1">IF($A53="","",Data!Y53)</f>
        <v>0</v>
      </c>
      <c r="F53" s="61">
        <f t="shared" ca="1" si="0"/>
        <v>0.0</v>
      </c>
      <c r="G53" s="18">
        <f ca="1">IF($A53="","",Data!AB53)</f>
        <v>0</v>
      </c>
      <c r="H53" s="18">
        <f ca="1">IF($A53="","",Data!AC53)</f>
        <v>0</v>
      </c>
      <c r="I53" s="18">
        <f ca="1">IF($A53="","",INT(SUMIFS(Data!$AN$4:$AN$183,Data!$AM$4:$AM$183,$B53,Data!$AL$4:$AL$183,$A53,Data!$AK$4:$AK$183,$C53))+MOD(ROUND(SUMIFS(Data!$AN$4:$AN$183,Data!$AM$4:$AM$183,$B53,Data!$AL$4:$AL$183,$A53,Data!$AK$4:$AK$183,$C53)*3,0),3)/10)</f>
        <v>0</v>
      </c>
      <c r="J53" s="18">
        <f ca="1">IF($A53="","",SUMIFS(Data!$AQ$4:$AQ$183,Data!$AM$4:$AM$183,$B53,Data!$AL$4:$AL$183,$A53,Data!$AK$4:$AK$183,$C53))</f>
        <v>0</v>
      </c>
      <c r="K53" s="62">
        <f ca="1">IF($A53="","",IF(SUMIFS(Data!$AN$4:$AN$183,Data!$AM$4:$AM$183,$B53,Data!$AL$4:$AL$183,$A53,Data!$AK$4:$AK$183,$C53)=0,"",J53*3/SUMIFS(Data!$AN$4:$AN$183,Data!$AM$4:$AM$183,$B53,Data!$AL$4:$AL$183,$A53,Data!$AK$4:$AK$183,$C53)))</f>
      </c>
      <c r="L53" s="18">
        <f ca="1">IF($A53="","",IF(IFERROR(_xlfn.XLOOKUP($C53,Bracket!$F$6:$F$16,Bracket!$K$6:$K$16,""),"")=$B53,1,0))</f>
        <v>0</v>
      </c>
      <c r="M53" s="18">
        <f ca="1">IF($A53="","",IF(AND(IFERROR(_xlfn.XLOOKUP($C53,Bracket!$F$6:$F$16,Bracket!$K$6:$K$16,""),"")=$B53,LEFT(IFERROR(_xlfn.XLOOKUP($C53,Bracket!$F$6:$F$16,Bracket!$G$6:$G$16,""),""),2)="CG"),1,0))</f>
        <v>0</v>
      </c>
      <c r="N53" s="18">
        <f ca="1">IF($A53="","",SUMIFS(Data!$X$4:$X$273,Data!$T$4:$T$273,$A53,Data!$U$4:$U$273,$B53,Data!$S$4:$S$273,$C53))</f>
        <v>0</v>
      </c>
      <c r="O53" s="18">
        <f ca="1">IF($A53="","",SUMIFS(Data!$Z$4:$Z$273,Data!$T$4:$T$273,$A53,Data!$U$4:$U$273,$B53,Data!$S$4:$S$273,$C53))</f>
        <v>0</v>
      </c>
      <c r="P53" s="18">
        <f ca="1">IF($A53="","",SUMIFS(Data!$AA$4:$AA$273,Data!$T$4:$T$273,$A53,Data!$U$4:$U$273,$B53,Data!$S$4:$S$273,$C53))</f>
        <v>0</v>
      </c>
      <c r="Q53" s="18">
        <f ca="1">IF($A53="","",SUMIFS(Data!$AD$4:$AD$273,Data!$T$4:$T$273,$A53,Data!$U$4:$U$273,$B53,Data!$S$4:$S$273,$C53))</f>
        <v>0</v>
      </c>
      <c r="R53" s="18">
        <f ca="1">IF($A53="","",SUMIFS(Data!$AE$4:$AE$273,Data!$T$4:$T$273,$A53,Data!$U$4:$U$273,$B53,Data!$S$4:$S$273,$C53))</f>
        <v>1</v>
      </c>
      <c r="S53" s="18">
        <f ca="1">IF($A53="","",SUMIFS(Data!$AF$4:$AF$273,Data!$T$4:$T$273,$A53,Data!$U$4:$U$273,$B53,Data!$S$4:$S$273,$C53))</f>
        <v>0</v>
      </c>
      <c r="T53" s="18">
        <f ca="1">IF($A53="","",SUMIFS(Data!$AG$4:$AG$273,Data!$T$4:$T$273,$A53,Data!$U$4:$U$273,$B53,Data!$S$4:$S$273,$C53))</f>
        <v>0</v>
      </c>
      <c r="U53" s="18">
        <f ca="1">IF($A53="","",SUMIFS(Data!$AH$4:$AH$273,Data!$T$4:$T$273,$A53,Data!$U$4:$U$273,$B53,Data!$S$4:$S$273,$C53))</f>
        <v>0</v>
      </c>
      <c r="V53" s="18">
        <f ca="1">IF($A53="","",SUMIFS(Data!$AO$4:$AO$183,Data!$AM$4:$AM$183,$B53,Data!$AL$4:$AL$183,$A53,Data!$AK$4:$AK$183,$C53))</f>
        <v>0</v>
      </c>
      <c r="W53" s="18">
        <f ca="1">IF($A53="","",SUMIFS(Data!$AP$4:$AP$183,Data!$AM$4:$AM$183,$B53,Data!$AL$4:$AL$183,$A53,Data!$AK$4:$AK$183,$C53))</f>
        <v>0</v>
      </c>
      <c r="X53" s="18">
        <f ca="1">IF($A53="","",SUMIFS(Data!$AR$4:$AR$183,Data!$AM$4:$AM$183,$B53,Data!$AL$4:$AL$183,$A53,Data!$AK$4:$AK$183,$C53))</f>
        <v>0</v>
      </c>
      <c r="Y53" s="18">
        <f ca="1">IF($A53="","",SUMIFS(Data!$AS$4:$AS$183,Data!$AM$4:$AM$183,$B53,Data!$AL$4:$AL$183,$A53,Data!$AK$4:$AK$183,$C53))</f>
        <v>0</v>
      </c>
      <c r="Z53" s="18">
        <f ca="1">IF($A53="","",SUMIFS(Data!$AT$4:$AT$183,Data!$AM$4:$AM$183,$B53,Data!$AL$4:$AL$183,$A53,Data!$AK$4:$AK$183,$C53))</f>
        <v>0</v>
      </c>
      <c r="AA53" s="18">
        <f ca="1">IF($A53="","",SUMIFS(Data!$AW$4:$AW$183,Data!$AM$4:$AM$183,$B53,Data!$AL$4:$AL$183,$A53,Data!$AK$4:$AK$183,$C53))</f>
        <v>0</v>
      </c>
      <c r="AB53" s="18">
        <f ca="1">IF($A53="","",SUMIFS(Data!$AX$4:$AX$183,Data!$AM$4:$AM$183,$B53,Data!$AL$4:$AL$183,$A53,Data!$AK$4:$AK$183,$C53))</f>
        <v>0</v>
      </c>
      <c r="AC53" s="18">
        <f ca="1">IF($A53="","",SUMIFS(Data!$AY$4:$AY$183,Data!$AM$4:$AM$183,$B53,Data!$AL$4:$AL$183,$A53,Data!$AK$4:$AK$183,$C53))</f>
        <v>0</v>
      </c>
      <c r="AD53" s="18">
        <f t="shared" ca="1" si="1"/>
        <v>0</v>
      </c>
      <c r="AE53" s="18">
        <f ca="1">IF($A53="","",SUMIFS(Data!$AJ$4:$AJ$183,Data!$AM$4:$AM$183,$B53,Data!$AL$4:$AL$183,$A53,Data!$AK$4:$AK$183,$C53))</f>
        <v>0</v>
      </c>
    </row>
    <row r="54" spans="1:31">
      <c r="A54" s="117" t="str">
        <f ca="1">IF(Data!T54="","",Data!T54)</f>
        <v>Nick</v>
      </c>
      <c r="B54" s="18" t="str">
        <f ca="1">IF(Data!U54="","",Data!U54)</f>
        <v>Toadette</v>
      </c>
      <c r="C54" s="18" t="str">
        <f ca="1">IF(Data!S54="","",Data!S54)</f>
        <v>G3</v>
      </c>
      <c r="D54" s="18">
        <f ca="1">IF($A54="","",Data!W54)</f>
        <v>1</v>
      </c>
      <c r="E54" s="18">
        <f ca="1">IF($A54="","",Data!Y54)</f>
        <v>1</v>
      </c>
      <c r="F54" s="61">
        <f t="shared" ca="1" si="0"/>
        <v>1.0</v>
      </c>
      <c r="G54" s="18">
        <f ca="1">IF($A54="","",Data!AB54)</f>
        <v>0</v>
      </c>
      <c r="H54" s="18">
        <f ca="1">IF($A54="","",Data!AC54)</f>
        <v>0</v>
      </c>
      <c r="I54" s="18">
        <f ca="1">IF($A54="","",INT(SUMIFS(Data!$AN$4:$AN$183,Data!$AM$4:$AM$183,$B54,Data!$AL$4:$AL$183,$A54,Data!$AK$4:$AK$183,$C54))+MOD(ROUND(SUMIFS(Data!$AN$4:$AN$183,Data!$AM$4:$AM$183,$B54,Data!$AL$4:$AL$183,$A54,Data!$AK$4:$AK$183,$C54)*3,0),3)/10)</f>
        <v>0</v>
      </c>
      <c r="J54" s="18">
        <f ca="1">IF($A54="","",SUMIFS(Data!$AQ$4:$AQ$183,Data!$AM$4:$AM$183,$B54,Data!$AL$4:$AL$183,$A54,Data!$AK$4:$AK$183,$C54))</f>
        <v>0</v>
      </c>
      <c r="K54" s="62">
        <f ca="1">IF($A54="","",IF(SUMIFS(Data!$AN$4:$AN$183,Data!$AM$4:$AM$183,$B54,Data!$AL$4:$AL$183,$A54,Data!$AK$4:$AK$183,$C54)=0,"",J54*3/SUMIFS(Data!$AN$4:$AN$183,Data!$AM$4:$AM$183,$B54,Data!$AL$4:$AL$183,$A54,Data!$AK$4:$AK$183,$C54)))</f>
      </c>
      <c r="L54" s="18">
        <f ca="1">IF($A54="","",IF(IFERROR(_xlfn.XLOOKUP($C54,Bracket!$F$6:$F$16,Bracket!$K$6:$K$16,""),"")=$B54,1,0))</f>
        <v>0</v>
      </c>
      <c r="M54" s="18">
        <f ca="1">IF($A54="","",IF(AND(IFERROR(_xlfn.XLOOKUP($C54,Bracket!$F$6:$F$16,Bracket!$K$6:$K$16,""),"")=$B54,LEFT(IFERROR(_xlfn.XLOOKUP($C54,Bracket!$F$6:$F$16,Bracket!$G$6:$G$16,""),""),2)="CG"),1,0))</f>
        <v>0</v>
      </c>
      <c r="N54" s="18">
        <f ca="1">IF($A54="","",SUMIFS(Data!$X$4:$X$273,Data!$T$4:$T$273,$A54,Data!$U$4:$U$273,$B54,Data!$S$4:$S$273,$C54))</f>
        <v>1</v>
      </c>
      <c r="O54" s="18">
        <f ca="1">IF($A54="","",SUMIFS(Data!$Z$4:$Z$273,Data!$T$4:$T$273,$A54,Data!$U$4:$U$273,$B54,Data!$S$4:$S$273,$C54))</f>
        <v>0</v>
      </c>
      <c r="P54" s="18">
        <f ca="1">IF($A54="","",SUMIFS(Data!$AA$4:$AA$273,Data!$T$4:$T$273,$A54,Data!$U$4:$U$273,$B54,Data!$S$4:$S$273,$C54))</f>
        <v>0</v>
      </c>
      <c r="Q54" s="18">
        <f ca="1">IF($A54="","",SUMIFS(Data!$AD$4:$AD$273,Data!$T$4:$T$273,$A54,Data!$U$4:$U$273,$B54,Data!$S$4:$S$273,$C54))</f>
        <v>0</v>
      </c>
      <c r="R54" s="18">
        <f ca="1">IF($A54="","",SUMIFS(Data!$AE$4:$AE$273,Data!$T$4:$T$273,$A54,Data!$U$4:$U$273,$B54,Data!$S$4:$S$273,$C54))</f>
        <v>0</v>
      </c>
      <c r="S54" s="18">
        <f ca="1">IF($A54="","",SUMIFS(Data!$AF$4:$AF$273,Data!$T$4:$T$273,$A54,Data!$U$4:$U$273,$B54,Data!$S$4:$S$273,$C54))</f>
        <v>1</v>
      </c>
      <c r="T54" s="18">
        <f ca="1">IF($A54="","",SUMIFS(Data!$AG$4:$AG$273,Data!$T$4:$T$273,$A54,Data!$U$4:$U$273,$B54,Data!$S$4:$S$273,$C54))</f>
        <v>0</v>
      </c>
      <c r="U54" s="18">
        <f ca="1">IF($A54="","",SUMIFS(Data!$AH$4:$AH$273,Data!$T$4:$T$273,$A54,Data!$U$4:$U$273,$B54,Data!$S$4:$S$273,$C54))</f>
        <v>0</v>
      </c>
      <c r="V54" s="18">
        <f ca="1">IF($A54="","",SUMIFS(Data!$AO$4:$AO$183,Data!$AM$4:$AM$183,$B54,Data!$AL$4:$AL$183,$A54,Data!$AK$4:$AK$183,$C54))</f>
        <v>0</v>
      </c>
      <c r="W54" s="18">
        <f ca="1">IF($A54="","",SUMIFS(Data!$AP$4:$AP$183,Data!$AM$4:$AM$183,$B54,Data!$AL$4:$AL$183,$A54,Data!$AK$4:$AK$183,$C54))</f>
        <v>0</v>
      </c>
      <c r="X54" s="18">
        <f ca="1">IF($A54="","",SUMIFS(Data!$AR$4:$AR$183,Data!$AM$4:$AM$183,$B54,Data!$AL$4:$AL$183,$A54,Data!$AK$4:$AK$183,$C54))</f>
        <v>0</v>
      </c>
      <c r="Y54" s="18">
        <f ca="1">IF($A54="","",SUMIFS(Data!$AS$4:$AS$183,Data!$AM$4:$AM$183,$B54,Data!$AL$4:$AL$183,$A54,Data!$AK$4:$AK$183,$C54))</f>
        <v>0</v>
      </c>
      <c r="Z54" s="18">
        <f ca="1">IF($A54="","",SUMIFS(Data!$AT$4:$AT$183,Data!$AM$4:$AM$183,$B54,Data!$AL$4:$AL$183,$A54,Data!$AK$4:$AK$183,$C54))</f>
        <v>0</v>
      </c>
      <c r="AA54" s="18">
        <f ca="1">IF($A54="","",SUMIFS(Data!$AW$4:$AW$183,Data!$AM$4:$AM$183,$B54,Data!$AL$4:$AL$183,$A54,Data!$AK$4:$AK$183,$C54))</f>
        <v>0</v>
      </c>
      <c r="AB54" s="18">
        <f ca="1">IF($A54="","",SUMIFS(Data!$AX$4:$AX$183,Data!$AM$4:$AM$183,$B54,Data!$AL$4:$AL$183,$A54,Data!$AK$4:$AK$183,$C54))</f>
        <v>0</v>
      </c>
      <c r="AC54" s="18">
        <f ca="1">IF($A54="","",SUMIFS(Data!$AY$4:$AY$183,Data!$AM$4:$AM$183,$B54,Data!$AL$4:$AL$183,$A54,Data!$AK$4:$AK$183,$C54))</f>
        <v>0</v>
      </c>
      <c r="AD54" s="18">
        <f t="shared" ca="1" si="1"/>
        <v>0</v>
      </c>
      <c r="AE54" s="18">
        <f ca="1">IF($A54="","",SUMIFS(Data!$AJ$4:$AJ$183,Data!$AM$4:$AM$183,$B54,Data!$AL$4:$AL$183,$A54,Data!$AK$4:$AK$183,$C54))</f>
        <v>0</v>
      </c>
    </row>
    <row r="55" spans="1:31">
      <c r="A55" s="117" t="str">
        <f ca="1">IF(Data!T55="","",Data!T55)</f>
        <v>Nick</v>
      </c>
      <c r="B55" s="18" t="str">
        <f ca="1">IF(Data!U55="","",Data!U55)</f>
        <v>Daisy</v>
      </c>
      <c r="C55" s="18" t="str">
        <f ca="1">IF(Data!S55="","",Data!S55)</f>
        <v>G3</v>
      </c>
      <c r="D55" s="18">
        <f ca="1">IF($A55="","",Data!W55)</f>
        <v>2</v>
      </c>
      <c r="E55" s="18">
        <f ca="1">IF($A55="","",Data!Y55)</f>
        <v>1</v>
      </c>
      <c r="F55" s="61">
        <f t="shared" ca="1" si="0"/>
        <v>0.5</v>
      </c>
      <c r="G55" s="18">
        <f ca="1">IF($A55="","",Data!AB55)</f>
        <v>0</v>
      </c>
      <c r="H55" s="18">
        <f ca="1">IF($A55="","",Data!AC55)</f>
        <v>1</v>
      </c>
      <c r="I55" s="18">
        <f ca="1">IF($A55="","",INT(SUMIFS(Data!$AN$4:$AN$183,Data!$AM$4:$AM$183,$B55,Data!$AL$4:$AL$183,$A55,Data!$AK$4:$AK$183,$C55))+MOD(ROUND(SUMIFS(Data!$AN$4:$AN$183,Data!$AM$4:$AM$183,$B55,Data!$AL$4:$AL$183,$A55,Data!$AK$4:$AK$183,$C55)*3,0),3)/10)</f>
        <v>1.2</v>
      </c>
      <c r="J55" s="18">
        <f ca="1">IF($A55="","",SUMIFS(Data!$AQ$4:$AQ$183,Data!$AM$4:$AM$183,$B55,Data!$AL$4:$AL$183,$A55,Data!$AK$4:$AK$183,$C55))</f>
        <v>0</v>
      </c>
      <c r="K55" s="62">
        <f ca="1">IF($A55="","",IF(SUMIFS(Data!$AN$4:$AN$183,Data!$AM$4:$AM$183,$B55,Data!$AL$4:$AL$183,$A55,Data!$AK$4:$AK$183,$C55)=0,"",J55*3/SUMIFS(Data!$AN$4:$AN$183,Data!$AM$4:$AM$183,$B55,Data!$AL$4:$AL$183,$A55,Data!$AK$4:$AK$183,$C55)))</f>
        <v>0.0</v>
      </c>
      <c r="L55" s="18">
        <f ca="1">IF($A55="","",IF(IFERROR(_xlfn.XLOOKUP($C55,Bracket!$F$6:$F$16,Bracket!$K$6:$K$16,""),"")=$B55,1,0))</f>
        <v>1</v>
      </c>
      <c r="M55" s="18">
        <f ca="1">IF($A55="","",IF(AND(IFERROR(_xlfn.XLOOKUP($C55,Bracket!$F$6:$F$16,Bracket!$K$6:$K$16,""),"")=$B55,LEFT(IFERROR(_xlfn.XLOOKUP($C55,Bracket!$F$6:$F$16,Bracket!$G$6:$G$16,""),""),2)="CG"),1,0))</f>
        <v>0</v>
      </c>
      <c r="N55" s="18">
        <f ca="1">IF($A55="","",SUMIFS(Data!$X$4:$X$273,Data!$T$4:$T$273,$A55,Data!$U$4:$U$273,$B55,Data!$S$4:$S$273,$C55))</f>
        <v>0</v>
      </c>
      <c r="O55" s="18">
        <f ca="1">IF($A55="","",SUMIFS(Data!$Z$4:$Z$273,Data!$T$4:$T$273,$A55,Data!$U$4:$U$273,$B55,Data!$S$4:$S$273,$C55))</f>
        <v>1</v>
      </c>
      <c r="P55" s="18">
        <f ca="1">IF($A55="","",SUMIFS(Data!$AA$4:$AA$273,Data!$T$4:$T$273,$A55,Data!$U$4:$U$273,$B55,Data!$S$4:$S$273,$C55))</f>
        <v>0</v>
      </c>
      <c r="Q55" s="18">
        <f ca="1">IF($A55="","",SUMIFS(Data!$AD$4:$AD$273,Data!$T$4:$T$273,$A55,Data!$U$4:$U$273,$B55,Data!$S$4:$S$273,$C55))</f>
        <v>0</v>
      </c>
      <c r="R55" s="18">
        <f ca="1">IF($A55="","",SUMIFS(Data!$AE$4:$AE$273,Data!$T$4:$T$273,$A55,Data!$U$4:$U$273,$B55,Data!$S$4:$S$273,$C55))</f>
        <v>1</v>
      </c>
      <c r="S55" s="18">
        <f ca="1">IF($A55="","",SUMIFS(Data!$AF$4:$AF$273,Data!$T$4:$T$273,$A55,Data!$U$4:$U$273,$B55,Data!$S$4:$S$273,$C55))</f>
        <v>0</v>
      </c>
      <c r="T55" s="18">
        <f ca="1">IF($A55="","",SUMIFS(Data!$AG$4:$AG$273,Data!$T$4:$T$273,$A55,Data!$U$4:$U$273,$B55,Data!$S$4:$S$273,$C55))</f>
        <v>0</v>
      </c>
      <c r="U55" s="18">
        <f ca="1">IF($A55="","",SUMIFS(Data!$AH$4:$AH$273,Data!$T$4:$T$273,$A55,Data!$U$4:$U$273,$B55,Data!$S$4:$S$273,$C55))</f>
        <v>0</v>
      </c>
      <c r="V55" s="18">
        <f ca="1">IF($A55="","",SUMIFS(Data!$AO$4:$AO$183,Data!$AM$4:$AM$183,$B55,Data!$AL$4:$AL$183,$A55,Data!$AK$4:$AK$183,$C55))</f>
        <v>3</v>
      </c>
      <c r="W55" s="18">
        <f ca="1">IF($A55="","",SUMIFS(Data!$AP$4:$AP$183,Data!$AM$4:$AM$183,$B55,Data!$AL$4:$AL$183,$A55,Data!$AK$4:$AK$183,$C55))</f>
        <v>0</v>
      </c>
      <c r="X55" s="18">
        <f ca="1">IF($A55="","",SUMIFS(Data!$AR$4:$AR$183,Data!$AM$4:$AM$183,$B55,Data!$AL$4:$AL$183,$A55,Data!$AK$4:$AK$183,$C55))</f>
        <v>1</v>
      </c>
      <c r="Y55" s="18">
        <f ca="1">IF($A55="","",SUMIFS(Data!$AS$4:$AS$183,Data!$AM$4:$AM$183,$B55,Data!$AL$4:$AL$183,$A55,Data!$AK$4:$AK$183,$C55))</f>
        <v>0</v>
      </c>
      <c r="Z55" s="18">
        <f ca="1">IF($A55="","",SUMIFS(Data!$AT$4:$AT$183,Data!$AM$4:$AM$183,$B55,Data!$AL$4:$AL$183,$A55,Data!$AK$4:$AK$183,$C55))</f>
        <v>0</v>
      </c>
      <c r="AA55" s="18">
        <f ca="1">IF($A55="","",SUMIFS(Data!$AW$4:$AW$183,Data!$AM$4:$AM$183,$B55,Data!$AL$4:$AL$183,$A55,Data!$AK$4:$AK$183,$C55))</f>
        <v>0</v>
      </c>
      <c r="AB55" s="18">
        <f ca="1">IF($A55="","",SUMIFS(Data!$AX$4:$AX$183,Data!$AM$4:$AM$183,$B55,Data!$AL$4:$AL$183,$A55,Data!$AK$4:$AK$183,$C55))</f>
        <v>0</v>
      </c>
      <c r="AC55" s="18">
        <f ca="1">IF($A55="","",SUMIFS(Data!$AY$4:$AY$183,Data!$AM$4:$AM$183,$B55,Data!$AL$4:$AL$183,$A55,Data!$AK$4:$AK$183,$C55))</f>
        <v>0</v>
      </c>
      <c r="AD55" s="18">
        <f t="shared" ca="1" si="1"/>
        <v>2.4</v>
      </c>
      <c r="AE55" s="18">
        <f ca="1">IF($A55="","",SUMIFS(Data!$AJ$4:$AJ$183,Data!$AM$4:$AM$183,$B55,Data!$AL$4:$AL$183,$A55,Data!$AK$4:$AK$183,$C55))</f>
        <v>8</v>
      </c>
    </row>
    <row r="56" spans="1:31">
      <c r="A56" s="117" t="str">
        <f ca="1">IF(Data!T56="","",Data!T56)</f>
        <v>Nick</v>
      </c>
      <c r="B56" s="18" t="str">
        <f ca="1">IF(Data!U56="","",Data!U56)</f>
        <v>Blue Toad</v>
      </c>
      <c r="C56" s="18" t="str">
        <f ca="1">IF(Data!S56="","",Data!S56)</f>
        <v>G3</v>
      </c>
      <c r="D56" s="18">
        <f ca="1">IF($A56="","",Data!W56)</f>
        <v>1</v>
      </c>
      <c r="E56" s="18">
        <f ca="1">IF($A56="","",Data!Y56)</f>
        <v>0</v>
      </c>
      <c r="F56" s="61">
        <f t="shared" ca="1" si="0"/>
        <v>0.0</v>
      </c>
      <c r="G56" s="18">
        <f ca="1">IF($A56="","",Data!AB56)</f>
        <v>0</v>
      </c>
      <c r="H56" s="18">
        <f ca="1">IF($A56="","",Data!AC56)</f>
        <v>0</v>
      </c>
      <c r="I56" s="18">
        <f ca="1">IF($A56="","",INT(SUMIFS(Data!$AN$4:$AN$183,Data!$AM$4:$AM$183,$B56,Data!$AL$4:$AL$183,$A56,Data!$AK$4:$AK$183,$C56))+MOD(ROUND(SUMIFS(Data!$AN$4:$AN$183,Data!$AM$4:$AM$183,$B56,Data!$AL$4:$AL$183,$A56,Data!$AK$4:$AK$183,$C56)*3,0),3)/10)</f>
        <v>0</v>
      </c>
      <c r="J56" s="18">
        <f ca="1">IF($A56="","",SUMIFS(Data!$AQ$4:$AQ$183,Data!$AM$4:$AM$183,$B56,Data!$AL$4:$AL$183,$A56,Data!$AK$4:$AK$183,$C56))</f>
        <v>0</v>
      </c>
      <c r="K56" s="62">
        <f ca="1">IF($A56="","",IF(SUMIFS(Data!$AN$4:$AN$183,Data!$AM$4:$AM$183,$B56,Data!$AL$4:$AL$183,$A56,Data!$AK$4:$AK$183,$C56)=0,"",J56*3/SUMIFS(Data!$AN$4:$AN$183,Data!$AM$4:$AM$183,$B56,Data!$AL$4:$AL$183,$A56,Data!$AK$4:$AK$183,$C56)))</f>
      </c>
      <c r="L56" s="18">
        <f ca="1">IF($A56="","",IF(IFERROR(_xlfn.XLOOKUP($C56,Bracket!$F$6:$F$16,Bracket!$K$6:$K$16,""),"")=$B56,1,0))</f>
        <v>0</v>
      </c>
      <c r="M56" s="18">
        <f ca="1">IF($A56="","",IF(AND(IFERROR(_xlfn.XLOOKUP($C56,Bracket!$F$6:$F$16,Bracket!$K$6:$K$16,""),"")=$B56,LEFT(IFERROR(_xlfn.XLOOKUP($C56,Bracket!$F$6:$F$16,Bracket!$G$6:$G$16,""),""),2)="CG"),1,0))</f>
        <v>0</v>
      </c>
      <c r="N56" s="18">
        <f ca="1">IF($A56="","",SUMIFS(Data!$X$4:$X$273,Data!$T$4:$T$273,$A56,Data!$U$4:$U$273,$B56,Data!$S$4:$S$273,$C56))</f>
        <v>0</v>
      </c>
      <c r="O56" s="18">
        <f ca="1">IF($A56="","",SUMIFS(Data!$Z$4:$Z$273,Data!$T$4:$T$273,$A56,Data!$U$4:$U$273,$B56,Data!$S$4:$S$273,$C56))</f>
        <v>0</v>
      </c>
      <c r="P56" s="18">
        <f ca="1">IF($A56="","",SUMIFS(Data!$AA$4:$AA$273,Data!$T$4:$T$273,$A56,Data!$U$4:$U$273,$B56,Data!$S$4:$S$273,$C56))</f>
        <v>0</v>
      </c>
      <c r="Q56" s="18">
        <f ca="1">IF($A56="","",SUMIFS(Data!$AD$4:$AD$273,Data!$T$4:$T$273,$A56,Data!$U$4:$U$273,$B56,Data!$S$4:$S$273,$C56))</f>
        <v>0</v>
      </c>
      <c r="R56" s="18">
        <f ca="1">IF($A56="","",SUMIFS(Data!$AE$4:$AE$273,Data!$T$4:$T$273,$A56,Data!$U$4:$U$273,$B56,Data!$S$4:$S$273,$C56))</f>
        <v>0</v>
      </c>
      <c r="S56" s="18">
        <f ca="1">IF($A56="","",SUMIFS(Data!$AF$4:$AF$273,Data!$T$4:$T$273,$A56,Data!$U$4:$U$273,$B56,Data!$S$4:$S$273,$C56))</f>
        <v>1</v>
      </c>
      <c r="T56" s="18">
        <f ca="1">IF($A56="","",SUMIFS(Data!$AG$4:$AG$273,Data!$T$4:$T$273,$A56,Data!$U$4:$U$273,$B56,Data!$S$4:$S$273,$C56))</f>
        <v>0</v>
      </c>
      <c r="U56" s="18">
        <f ca="1">IF($A56="","",SUMIFS(Data!$AH$4:$AH$273,Data!$T$4:$T$273,$A56,Data!$U$4:$U$273,$B56,Data!$S$4:$S$273,$C56))</f>
        <v>0</v>
      </c>
      <c r="V56" s="18">
        <f ca="1">IF($A56="","",SUMIFS(Data!$AO$4:$AO$183,Data!$AM$4:$AM$183,$B56,Data!$AL$4:$AL$183,$A56,Data!$AK$4:$AK$183,$C56))</f>
        <v>0</v>
      </c>
      <c r="W56" s="18">
        <f ca="1">IF($A56="","",SUMIFS(Data!$AP$4:$AP$183,Data!$AM$4:$AM$183,$B56,Data!$AL$4:$AL$183,$A56,Data!$AK$4:$AK$183,$C56))</f>
        <v>0</v>
      </c>
      <c r="X56" s="18">
        <f ca="1">IF($A56="","",SUMIFS(Data!$AR$4:$AR$183,Data!$AM$4:$AM$183,$B56,Data!$AL$4:$AL$183,$A56,Data!$AK$4:$AK$183,$C56))</f>
        <v>0</v>
      </c>
      <c r="Y56" s="18">
        <f ca="1">IF($A56="","",SUMIFS(Data!$AS$4:$AS$183,Data!$AM$4:$AM$183,$B56,Data!$AL$4:$AL$183,$A56,Data!$AK$4:$AK$183,$C56))</f>
        <v>0</v>
      </c>
      <c r="Z56" s="18">
        <f ca="1">IF($A56="","",SUMIFS(Data!$AT$4:$AT$183,Data!$AM$4:$AM$183,$B56,Data!$AL$4:$AL$183,$A56,Data!$AK$4:$AK$183,$C56))</f>
        <v>0</v>
      </c>
      <c r="AA56" s="18">
        <f ca="1">IF($A56="","",SUMIFS(Data!$AW$4:$AW$183,Data!$AM$4:$AM$183,$B56,Data!$AL$4:$AL$183,$A56,Data!$AK$4:$AK$183,$C56))</f>
        <v>0</v>
      </c>
      <c r="AB56" s="18">
        <f ca="1">IF($A56="","",SUMIFS(Data!$AX$4:$AX$183,Data!$AM$4:$AM$183,$B56,Data!$AL$4:$AL$183,$A56,Data!$AK$4:$AK$183,$C56))</f>
        <v>0</v>
      </c>
      <c r="AC56" s="18">
        <f ca="1">IF($A56="","",SUMIFS(Data!$AY$4:$AY$183,Data!$AM$4:$AM$183,$B56,Data!$AL$4:$AL$183,$A56,Data!$AK$4:$AK$183,$C56))</f>
        <v>0</v>
      </c>
      <c r="AD56" s="18">
        <f t="shared" ca="1" si="1"/>
        <v>0</v>
      </c>
      <c r="AE56" s="18">
        <f ca="1">IF($A56="","",SUMIFS(Data!$AJ$4:$AJ$183,Data!$AM$4:$AM$183,$B56,Data!$AL$4:$AL$183,$A56,Data!$AK$4:$AK$183,$C56))</f>
        <v>0</v>
      </c>
    </row>
    <row r="57" spans="1:31">
      <c r="A57" s="117" t="str">
        <f ca="1">IF(Data!T57="","",Data!T57)</f>
        <v>Nick</v>
      </c>
      <c r="B57" s="18" t="str">
        <f ca="1">IF(Data!U57="","",Data!U57)</f>
        <v>Wario</v>
      </c>
      <c r="C57" s="18" t="str">
        <f ca="1">IF(Data!S57="","",Data!S57)</f>
        <v>G3</v>
      </c>
      <c r="D57" s="18">
        <f ca="1">IF($A57="","",Data!W57)</f>
        <v>2</v>
      </c>
      <c r="E57" s="18">
        <f ca="1">IF($A57="","",Data!Y57)</f>
        <v>0</v>
      </c>
      <c r="F57" s="61">
        <f t="shared" ca="1" si="0"/>
        <v>0.0</v>
      </c>
      <c r="G57" s="18">
        <f ca="1">IF($A57="","",Data!AB57)</f>
        <v>0</v>
      </c>
      <c r="H57" s="18">
        <f ca="1">IF($A57="","",Data!AC57)</f>
        <v>0</v>
      </c>
      <c r="I57" s="18">
        <f ca="1">IF($A57="","",INT(SUMIFS(Data!$AN$4:$AN$183,Data!$AM$4:$AM$183,$B57,Data!$AL$4:$AL$183,$A57,Data!$AK$4:$AK$183,$C57))+MOD(ROUND(SUMIFS(Data!$AN$4:$AN$183,Data!$AM$4:$AM$183,$B57,Data!$AL$4:$AL$183,$A57,Data!$AK$4:$AK$183,$C57)*3,0),3)/10)</f>
        <v>0</v>
      </c>
      <c r="J57" s="18">
        <f ca="1">IF($A57="","",SUMIFS(Data!$AQ$4:$AQ$183,Data!$AM$4:$AM$183,$B57,Data!$AL$4:$AL$183,$A57,Data!$AK$4:$AK$183,$C57))</f>
        <v>0</v>
      </c>
      <c r="K57" s="62">
        <f ca="1">IF($A57="","",IF(SUMIFS(Data!$AN$4:$AN$183,Data!$AM$4:$AM$183,$B57,Data!$AL$4:$AL$183,$A57,Data!$AK$4:$AK$183,$C57)=0,"",J57*3/SUMIFS(Data!$AN$4:$AN$183,Data!$AM$4:$AM$183,$B57,Data!$AL$4:$AL$183,$A57,Data!$AK$4:$AK$183,$C57)))</f>
      </c>
      <c r="L57" s="18">
        <f ca="1">IF($A57="","",IF(IFERROR(_xlfn.XLOOKUP($C57,Bracket!$F$6:$F$16,Bracket!$K$6:$K$16,""),"")=$B57,1,0))</f>
        <v>0</v>
      </c>
      <c r="M57" s="18">
        <f ca="1">IF($A57="","",IF(AND(IFERROR(_xlfn.XLOOKUP($C57,Bracket!$F$6:$F$16,Bracket!$K$6:$K$16,""),"")=$B57,LEFT(IFERROR(_xlfn.XLOOKUP($C57,Bracket!$F$6:$F$16,Bracket!$G$6:$G$16,""),""),2)="CG"),1,0))</f>
        <v>0</v>
      </c>
      <c r="N57" s="18">
        <f ca="1">IF($A57="","",SUMIFS(Data!$X$4:$X$273,Data!$T$4:$T$273,$A57,Data!$U$4:$U$273,$B57,Data!$S$4:$S$273,$C57))</f>
        <v>0</v>
      </c>
      <c r="O57" s="18">
        <f ca="1">IF($A57="","",SUMIFS(Data!$Z$4:$Z$273,Data!$T$4:$T$273,$A57,Data!$U$4:$U$273,$B57,Data!$S$4:$S$273,$C57))</f>
        <v>0</v>
      </c>
      <c r="P57" s="18">
        <f ca="1">IF($A57="","",SUMIFS(Data!$AA$4:$AA$273,Data!$T$4:$T$273,$A57,Data!$U$4:$U$273,$B57,Data!$S$4:$S$273,$C57))</f>
        <v>0</v>
      </c>
      <c r="Q57" s="18">
        <f ca="1">IF($A57="","",SUMIFS(Data!$AD$4:$AD$273,Data!$T$4:$T$273,$A57,Data!$U$4:$U$273,$B57,Data!$S$4:$S$273,$C57))</f>
        <v>0</v>
      </c>
      <c r="R57" s="18">
        <f ca="1">IF($A57="","",SUMIFS(Data!$AE$4:$AE$273,Data!$T$4:$T$273,$A57,Data!$U$4:$U$273,$B57,Data!$S$4:$S$273,$C57))</f>
        <v>0</v>
      </c>
      <c r="S57" s="18">
        <f ca="1">IF($A57="","",SUMIFS(Data!$AF$4:$AF$273,Data!$T$4:$T$273,$A57,Data!$U$4:$U$273,$B57,Data!$S$4:$S$273,$C57))</f>
        <v>0</v>
      </c>
      <c r="T57" s="18">
        <f ca="1">IF($A57="","",SUMIFS(Data!$AG$4:$AG$273,Data!$T$4:$T$273,$A57,Data!$U$4:$U$273,$B57,Data!$S$4:$S$273,$C57))</f>
        <v>0</v>
      </c>
      <c r="U57" s="18">
        <f ca="1">IF($A57="","",SUMIFS(Data!$AH$4:$AH$273,Data!$T$4:$T$273,$A57,Data!$U$4:$U$273,$B57,Data!$S$4:$S$273,$C57))</f>
        <v>0</v>
      </c>
      <c r="V57" s="18">
        <f ca="1">IF($A57="","",SUMIFS(Data!$AO$4:$AO$183,Data!$AM$4:$AM$183,$B57,Data!$AL$4:$AL$183,$A57,Data!$AK$4:$AK$183,$C57))</f>
        <v>0</v>
      </c>
      <c r="W57" s="18">
        <f ca="1">IF($A57="","",SUMIFS(Data!$AP$4:$AP$183,Data!$AM$4:$AM$183,$B57,Data!$AL$4:$AL$183,$A57,Data!$AK$4:$AK$183,$C57))</f>
        <v>0</v>
      </c>
      <c r="X57" s="18">
        <f ca="1">IF($A57="","",SUMIFS(Data!$AR$4:$AR$183,Data!$AM$4:$AM$183,$B57,Data!$AL$4:$AL$183,$A57,Data!$AK$4:$AK$183,$C57))</f>
        <v>0</v>
      </c>
      <c r="Y57" s="18">
        <f ca="1">IF($A57="","",SUMIFS(Data!$AS$4:$AS$183,Data!$AM$4:$AM$183,$B57,Data!$AL$4:$AL$183,$A57,Data!$AK$4:$AK$183,$C57))</f>
        <v>0</v>
      </c>
      <c r="Z57" s="18">
        <f ca="1">IF($A57="","",SUMIFS(Data!$AT$4:$AT$183,Data!$AM$4:$AM$183,$B57,Data!$AL$4:$AL$183,$A57,Data!$AK$4:$AK$183,$C57))</f>
        <v>0</v>
      </c>
      <c r="AA57" s="18">
        <f ca="1">IF($A57="","",SUMIFS(Data!$AW$4:$AW$183,Data!$AM$4:$AM$183,$B57,Data!$AL$4:$AL$183,$A57,Data!$AK$4:$AK$183,$C57))</f>
        <v>0</v>
      </c>
      <c r="AB57" s="18">
        <f ca="1">IF($A57="","",SUMIFS(Data!$AX$4:$AX$183,Data!$AM$4:$AM$183,$B57,Data!$AL$4:$AL$183,$A57,Data!$AK$4:$AK$183,$C57))</f>
        <v>0</v>
      </c>
      <c r="AC57" s="18">
        <f ca="1">IF($A57="","",SUMIFS(Data!$AY$4:$AY$183,Data!$AM$4:$AM$183,$B57,Data!$AL$4:$AL$183,$A57,Data!$AK$4:$AK$183,$C57))</f>
        <v>0</v>
      </c>
      <c r="AD57" s="18">
        <f t="shared" ca="1" si="1"/>
        <v>0</v>
      </c>
      <c r="AE57" s="18">
        <f ca="1">IF($A57="","",SUMIFS(Data!$AJ$4:$AJ$183,Data!$AM$4:$AM$183,$B57,Data!$AL$4:$AL$183,$A57,Data!$AK$4:$AK$183,$C57))</f>
        <v>0</v>
      </c>
    </row>
    <row r="58" spans="1:31">
      <c r="A58" s="115" t="str">
        <f ca="1">IF(Data!T58="","",Data!T58)</f>
        <v>Jason</v>
      </c>
      <c r="B58" s="18" t="str">
        <f ca="1">IF(Data!U58="","",Data!U58)</f>
        <v>Yoshi</v>
      </c>
      <c r="C58" s="18" t="str">
        <f ca="1">IF(Data!S58="","",Data!S58)</f>
        <v>G4</v>
      </c>
      <c r="D58" s="18">
        <f ca="1">IF($A58="","",Data!W58)</f>
        <v>2</v>
      </c>
      <c r="E58" s="18">
        <f ca="1">IF($A58="","",Data!Y58)</f>
        <v>1</v>
      </c>
      <c r="F58" s="61">
        <f t="shared" ca="1" si="0"/>
        <v>0.5</v>
      </c>
      <c r="G58" s="18">
        <f ca="1">IF($A58="","",Data!AB58)</f>
        <v>0</v>
      </c>
      <c r="H58" s="18">
        <f ca="1">IF($A58="","",Data!AC58)</f>
        <v>0</v>
      </c>
      <c r="I58" s="18">
        <f ca="1">IF($A58="","",INT(SUMIFS(Data!$AN$4:$AN$183,Data!$AM$4:$AM$183,$B58,Data!$AL$4:$AL$183,$A58,Data!$AK$4:$AK$183,$C58))+MOD(ROUND(SUMIFS(Data!$AN$4:$AN$183,Data!$AM$4:$AM$183,$B58,Data!$AL$4:$AL$183,$A58,Data!$AK$4:$AK$183,$C58)*3,0),3)/10)</f>
        <v>0</v>
      </c>
      <c r="J58" s="18">
        <f ca="1">IF($A58="","",SUMIFS(Data!$AQ$4:$AQ$183,Data!$AM$4:$AM$183,$B58,Data!$AL$4:$AL$183,$A58,Data!$AK$4:$AK$183,$C58))</f>
        <v>0</v>
      </c>
      <c r="K58" s="62">
        <f ca="1">IF($A58="","",IF(SUMIFS(Data!$AN$4:$AN$183,Data!$AM$4:$AM$183,$B58,Data!$AL$4:$AL$183,$A58,Data!$AK$4:$AK$183,$C58)=0,"",J58*3/SUMIFS(Data!$AN$4:$AN$183,Data!$AM$4:$AM$183,$B58,Data!$AL$4:$AL$183,$A58,Data!$AK$4:$AK$183,$C58)))</f>
      </c>
      <c r="L58" s="18">
        <f ca="1">IF($A58="","",IF(IFERROR(_xlfn.XLOOKUP($C58,Bracket!$F$6:$F$16,Bracket!$K$6:$K$16,""),"")=$B58,1,0))</f>
        <v>0</v>
      </c>
      <c r="M58" s="18">
        <f ca="1">IF($A58="","",IF(AND(IFERROR(_xlfn.XLOOKUP($C58,Bracket!$F$6:$F$16,Bracket!$K$6:$K$16,""),"")=$B58,LEFT(IFERROR(_xlfn.XLOOKUP($C58,Bracket!$F$6:$F$16,Bracket!$G$6:$G$16,""),""),2)="CG"),1,0))</f>
        <v>0</v>
      </c>
      <c r="N58" s="18">
        <f ca="1">IF($A58="","",SUMIFS(Data!$X$4:$X$273,Data!$T$4:$T$273,$A58,Data!$U$4:$U$273,$B58,Data!$S$4:$S$273,$C58))</f>
        <v>0</v>
      </c>
      <c r="O58" s="18">
        <f ca="1">IF($A58="","",SUMIFS(Data!$Z$4:$Z$273,Data!$T$4:$T$273,$A58,Data!$U$4:$U$273,$B58,Data!$S$4:$S$273,$C58))</f>
        <v>0</v>
      </c>
      <c r="P58" s="18">
        <f ca="1">IF($A58="","",SUMIFS(Data!$AA$4:$AA$273,Data!$T$4:$T$273,$A58,Data!$U$4:$U$273,$B58,Data!$S$4:$S$273,$C58))</f>
        <v>0</v>
      </c>
      <c r="Q58" s="18">
        <f ca="1">IF($A58="","",SUMIFS(Data!$AD$4:$AD$273,Data!$T$4:$T$273,$A58,Data!$U$4:$U$273,$B58,Data!$S$4:$S$273,$C58))</f>
        <v>0</v>
      </c>
      <c r="R58" s="18">
        <f ca="1">IF($A58="","",SUMIFS(Data!$AE$4:$AE$273,Data!$T$4:$T$273,$A58,Data!$U$4:$U$273,$B58,Data!$S$4:$S$273,$C58))</f>
        <v>0</v>
      </c>
      <c r="S58" s="18">
        <f ca="1">IF($A58="","",SUMIFS(Data!$AF$4:$AF$273,Data!$T$4:$T$273,$A58,Data!$U$4:$U$273,$B58,Data!$S$4:$S$273,$C58))</f>
        <v>0</v>
      </c>
      <c r="T58" s="18">
        <f ca="1">IF($A58="","",SUMIFS(Data!$AG$4:$AG$273,Data!$T$4:$T$273,$A58,Data!$U$4:$U$273,$B58,Data!$S$4:$S$273,$C58))</f>
        <v>0</v>
      </c>
      <c r="U58" s="18">
        <f ca="1">IF($A58="","",SUMIFS(Data!$AH$4:$AH$273,Data!$T$4:$T$273,$A58,Data!$U$4:$U$273,$B58,Data!$S$4:$S$273,$C58))</f>
        <v>0</v>
      </c>
      <c r="V58" s="18">
        <f ca="1">IF($A58="","",SUMIFS(Data!$AO$4:$AO$183,Data!$AM$4:$AM$183,$B58,Data!$AL$4:$AL$183,$A58,Data!$AK$4:$AK$183,$C58))</f>
        <v>0</v>
      </c>
      <c r="W58" s="18">
        <f ca="1">IF($A58="","",SUMIFS(Data!$AP$4:$AP$183,Data!$AM$4:$AM$183,$B58,Data!$AL$4:$AL$183,$A58,Data!$AK$4:$AK$183,$C58))</f>
        <v>0</v>
      </c>
      <c r="X58" s="18">
        <f ca="1">IF($A58="","",SUMIFS(Data!$AR$4:$AR$183,Data!$AM$4:$AM$183,$B58,Data!$AL$4:$AL$183,$A58,Data!$AK$4:$AK$183,$C58))</f>
        <v>0</v>
      </c>
      <c r="Y58" s="18">
        <f ca="1">IF($A58="","",SUMIFS(Data!$AS$4:$AS$183,Data!$AM$4:$AM$183,$B58,Data!$AL$4:$AL$183,$A58,Data!$AK$4:$AK$183,$C58))</f>
        <v>0</v>
      </c>
      <c r="Z58" s="18">
        <f ca="1">IF($A58="","",SUMIFS(Data!$AT$4:$AT$183,Data!$AM$4:$AM$183,$B58,Data!$AL$4:$AL$183,$A58,Data!$AK$4:$AK$183,$C58))</f>
        <v>0</v>
      </c>
      <c r="AA58" s="18">
        <f ca="1">IF($A58="","",SUMIFS(Data!$AW$4:$AW$183,Data!$AM$4:$AM$183,$B58,Data!$AL$4:$AL$183,$A58,Data!$AK$4:$AK$183,$C58))</f>
        <v>0</v>
      </c>
      <c r="AB58" s="18">
        <f ca="1">IF($A58="","",SUMIFS(Data!$AX$4:$AX$183,Data!$AM$4:$AM$183,$B58,Data!$AL$4:$AL$183,$A58,Data!$AK$4:$AK$183,$C58))</f>
        <v>0</v>
      </c>
      <c r="AC58" s="18">
        <f ca="1">IF($A58="","",SUMIFS(Data!$AY$4:$AY$183,Data!$AM$4:$AM$183,$B58,Data!$AL$4:$AL$183,$A58,Data!$AK$4:$AK$183,$C58))</f>
        <v>0</v>
      </c>
      <c r="AD58" s="18">
        <f t="shared" ca="1" si="1"/>
        <v>0</v>
      </c>
      <c r="AE58" s="18">
        <f ca="1">IF($A58="","",SUMIFS(Data!$AJ$4:$AJ$183,Data!$AM$4:$AM$183,$B58,Data!$AL$4:$AL$183,$A58,Data!$AK$4:$AK$183,$C58))</f>
        <v>0</v>
      </c>
    </row>
    <row r="59" spans="1:31">
      <c r="A59" s="115" t="str">
        <f ca="1">IF(Data!T59="","",Data!T59)</f>
        <v>Jason</v>
      </c>
      <c r="B59" s="18" t="str">
        <f ca="1">IF(Data!U59="","",Data!U59)</f>
        <v>Brown Kritter</v>
      </c>
      <c r="C59" s="18" t="str">
        <f ca="1">IF(Data!S59="","",Data!S59)</f>
        <v>G4</v>
      </c>
      <c r="D59" s="18">
        <f ca="1">IF($A59="","",Data!W59)</f>
        <v>1</v>
      </c>
      <c r="E59" s="18">
        <f ca="1">IF($A59="","",Data!Y59)</f>
        <v>0</v>
      </c>
      <c r="F59" s="61">
        <f t="shared" ca="1" si="0"/>
        <v>0.0</v>
      </c>
      <c r="G59" s="18">
        <f ca="1">IF($A59="","",Data!AB59)</f>
        <v>0</v>
      </c>
      <c r="H59" s="18">
        <f ca="1">IF($A59="","",Data!AC59)</f>
        <v>0</v>
      </c>
      <c r="I59" s="18">
        <f ca="1">IF($A59="","",INT(SUMIFS(Data!$AN$4:$AN$183,Data!$AM$4:$AM$183,$B59,Data!$AL$4:$AL$183,$A59,Data!$AK$4:$AK$183,$C59))+MOD(ROUND(SUMIFS(Data!$AN$4:$AN$183,Data!$AM$4:$AM$183,$B59,Data!$AL$4:$AL$183,$A59,Data!$AK$4:$AK$183,$C59)*3,0),3)/10)</f>
        <v>0</v>
      </c>
      <c r="J59" s="18">
        <f ca="1">IF($A59="","",SUMIFS(Data!$AQ$4:$AQ$183,Data!$AM$4:$AM$183,$B59,Data!$AL$4:$AL$183,$A59,Data!$AK$4:$AK$183,$C59))</f>
        <v>0</v>
      </c>
      <c r="K59" s="62">
        <f ca="1">IF($A59="","",IF(SUMIFS(Data!$AN$4:$AN$183,Data!$AM$4:$AM$183,$B59,Data!$AL$4:$AL$183,$A59,Data!$AK$4:$AK$183,$C59)=0,"",J59*3/SUMIFS(Data!$AN$4:$AN$183,Data!$AM$4:$AM$183,$B59,Data!$AL$4:$AL$183,$A59,Data!$AK$4:$AK$183,$C59)))</f>
      </c>
      <c r="L59" s="18">
        <f ca="1">IF($A59="","",IF(IFERROR(_xlfn.XLOOKUP($C59,Bracket!$F$6:$F$16,Bracket!$K$6:$K$16,""),"")=$B59,1,0))</f>
        <v>0</v>
      </c>
      <c r="M59" s="18">
        <f ca="1">IF($A59="","",IF(AND(IFERROR(_xlfn.XLOOKUP($C59,Bracket!$F$6:$F$16,Bracket!$K$6:$K$16,""),"")=$B59,LEFT(IFERROR(_xlfn.XLOOKUP($C59,Bracket!$F$6:$F$16,Bracket!$G$6:$G$16,""),""),2)="CG"),1,0))</f>
        <v>0</v>
      </c>
      <c r="N59" s="18">
        <f ca="1">IF($A59="","",SUMIFS(Data!$X$4:$X$273,Data!$T$4:$T$273,$A59,Data!$U$4:$U$273,$B59,Data!$S$4:$S$273,$C59))</f>
        <v>0</v>
      </c>
      <c r="O59" s="18">
        <f ca="1">IF($A59="","",SUMIFS(Data!$Z$4:$Z$273,Data!$T$4:$T$273,$A59,Data!$U$4:$U$273,$B59,Data!$S$4:$S$273,$C59))</f>
        <v>0</v>
      </c>
      <c r="P59" s="18">
        <f ca="1">IF($A59="","",SUMIFS(Data!$AA$4:$AA$273,Data!$T$4:$T$273,$A59,Data!$U$4:$U$273,$B59,Data!$S$4:$S$273,$C59))</f>
        <v>0</v>
      </c>
      <c r="Q59" s="18">
        <f ca="1">IF($A59="","",SUMIFS(Data!$AD$4:$AD$273,Data!$T$4:$T$273,$A59,Data!$U$4:$U$273,$B59,Data!$S$4:$S$273,$C59))</f>
        <v>0</v>
      </c>
      <c r="R59" s="18">
        <f ca="1">IF($A59="","",SUMIFS(Data!$AE$4:$AE$273,Data!$T$4:$T$273,$A59,Data!$U$4:$U$273,$B59,Data!$S$4:$S$273,$C59))</f>
        <v>1</v>
      </c>
      <c r="S59" s="18">
        <f ca="1">IF($A59="","",SUMIFS(Data!$AF$4:$AF$273,Data!$T$4:$T$273,$A59,Data!$U$4:$U$273,$B59,Data!$S$4:$S$273,$C59))</f>
        <v>1</v>
      </c>
      <c r="T59" s="18">
        <f ca="1">IF($A59="","",SUMIFS(Data!$AG$4:$AG$273,Data!$T$4:$T$273,$A59,Data!$U$4:$U$273,$B59,Data!$S$4:$S$273,$C59))</f>
        <v>0</v>
      </c>
      <c r="U59" s="18">
        <f ca="1">IF($A59="","",SUMIFS(Data!$AH$4:$AH$273,Data!$T$4:$T$273,$A59,Data!$U$4:$U$273,$B59,Data!$S$4:$S$273,$C59))</f>
        <v>0</v>
      </c>
      <c r="V59" s="18">
        <f ca="1">IF($A59="","",SUMIFS(Data!$AO$4:$AO$183,Data!$AM$4:$AM$183,$B59,Data!$AL$4:$AL$183,$A59,Data!$AK$4:$AK$183,$C59))</f>
        <v>0</v>
      </c>
      <c r="W59" s="18">
        <f ca="1">IF($A59="","",SUMIFS(Data!$AP$4:$AP$183,Data!$AM$4:$AM$183,$B59,Data!$AL$4:$AL$183,$A59,Data!$AK$4:$AK$183,$C59))</f>
        <v>0</v>
      </c>
      <c r="X59" s="18">
        <f ca="1">IF($A59="","",SUMIFS(Data!$AR$4:$AR$183,Data!$AM$4:$AM$183,$B59,Data!$AL$4:$AL$183,$A59,Data!$AK$4:$AK$183,$C59))</f>
        <v>0</v>
      </c>
      <c r="Y59" s="18">
        <f ca="1">IF($A59="","",SUMIFS(Data!$AS$4:$AS$183,Data!$AM$4:$AM$183,$B59,Data!$AL$4:$AL$183,$A59,Data!$AK$4:$AK$183,$C59))</f>
        <v>0</v>
      </c>
      <c r="Z59" s="18">
        <f ca="1">IF($A59="","",SUMIFS(Data!$AT$4:$AT$183,Data!$AM$4:$AM$183,$B59,Data!$AL$4:$AL$183,$A59,Data!$AK$4:$AK$183,$C59))</f>
        <v>0</v>
      </c>
      <c r="AA59" s="18">
        <f ca="1">IF($A59="","",SUMIFS(Data!$AW$4:$AW$183,Data!$AM$4:$AM$183,$B59,Data!$AL$4:$AL$183,$A59,Data!$AK$4:$AK$183,$C59))</f>
        <v>0</v>
      </c>
      <c r="AB59" s="18">
        <f ca="1">IF($A59="","",SUMIFS(Data!$AX$4:$AX$183,Data!$AM$4:$AM$183,$B59,Data!$AL$4:$AL$183,$A59,Data!$AK$4:$AK$183,$C59))</f>
        <v>0</v>
      </c>
      <c r="AC59" s="18">
        <f ca="1">IF($A59="","",SUMIFS(Data!$AY$4:$AY$183,Data!$AM$4:$AM$183,$B59,Data!$AL$4:$AL$183,$A59,Data!$AK$4:$AK$183,$C59))</f>
        <v>0</v>
      </c>
      <c r="AD59" s="18">
        <f t="shared" ca="1" si="1"/>
        <v>0</v>
      </c>
      <c r="AE59" s="18">
        <f ca="1">IF($A59="","",SUMIFS(Data!$AJ$4:$AJ$183,Data!$AM$4:$AM$183,$B59,Data!$AL$4:$AL$183,$A59,Data!$AK$4:$AK$183,$C59))</f>
        <v>0</v>
      </c>
    </row>
    <row r="60" spans="1:31">
      <c r="A60" s="115" t="str">
        <f ca="1">IF(Data!T60="","",Data!T60)</f>
        <v>Jason</v>
      </c>
      <c r="B60" s="18" t="str">
        <f ca="1">IF(Data!U60="","",Data!U60)</f>
        <v>Bowser</v>
      </c>
      <c r="C60" s="18" t="str">
        <f ca="1">IF(Data!S60="","",Data!S60)</f>
        <v>G4</v>
      </c>
      <c r="D60" s="18">
        <f ca="1">IF($A60="","",Data!W60)</f>
        <v>2</v>
      </c>
      <c r="E60" s="18">
        <f ca="1">IF($A60="","",Data!Y60)</f>
        <v>1</v>
      </c>
      <c r="F60" s="61">
        <f t="shared" ca="1" si="0"/>
        <v>0.5</v>
      </c>
      <c r="G60" s="18">
        <f ca="1">IF($A60="","",Data!AB60)</f>
        <v>1</v>
      </c>
      <c r="H60" s="18">
        <f ca="1">IF($A60="","",Data!AC60)</f>
        <v>1</v>
      </c>
      <c r="I60" s="18">
        <f ca="1">IF($A60="","",INT(SUMIFS(Data!$AN$4:$AN$183,Data!$AM$4:$AM$183,$B60,Data!$AL$4:$AL$183,$A60,Data!$AK$4:$AK$183,$C60))+MOD(ROUND(SUMIFS(Data!$AN$4:$AN$183,Data!$AM$4:$AM$183,$B60,Data!$AL$4:$AL$183,$A60,Data!$AK$4:$AK$183,$C60)*3,0),3)/10)</f>
        <v>0</v>
      </c>
      <c r="J60" s="18">
        <f ca="1">IF($A60="","",SUMIFS(Data!$AQ$4:$AQ$183,Data!$AM$4:$AM$183,$B60,Data!$AL$4:$AL$183,$A60,Data!$AK$4:$AK$183,$C60))</f>
        <v>0</v>
      </c>
      <c r="K60" s="62">
        <f ca="1">IF($A60="","",IF(SUMIFS(Data!$AN$4:$AN$183,Data!$AM$4:$AM$183,$B60,Data!$AL$4:$AL$183,$A60,Data!$AK$4:$AK$183,$C60)=0,"",J60*3/SUMIFS(Data!$AN$4:$AN$183,Data!$AM$4:$AM$183,$B60,Data!$AL$4:$AL$183,$A60,Data!$AK$4:$AK$183,$C60)))</f>
      </c>
      <c r="L60" s="18">
        <f ca="1">IF($A60="","",IF(IFERROR(_xlfn.XLOOKUP($C60,Bracket!$F$6:$F$16,Bracket!$K$6:$K$16,""),"")=$B60,1,0))</f>
        <v>0</v>
      </c>
      <c r="M60" s="18">
        <f ca="1">IF($A60="","",IF(AND(IFERROR(_xlfn.XLOOKUP($C60,Bracket!$F$6:$F$16,Bracket!$K$6:$K$16,""),"")=$B60,LEFT(IFERROR(_xlfn.XLOOKUP($C60,Bracket!$F$6:$F$16,Bracket!$G$6:$G$16,""),""),2)="CG"),1,0))</f>
        <v>0</v>
      </c>
      <c r="N60" s="18">
        <f ca="1">IF($A60="","",SUMIFS(Data!$X$4:$X$273,Data!$T$4:$T$273,$A60,Data!$U$4:$U$273,$B60,Data!$S$4:$S$273,$C60))</f>
        <v>2</v>
      </c>
      <c r="O60" s="18">
        <f ca="1">IF($A60="","",SUMIFS(Data!$Z$4:$Z$273,Data!$T$4:$T$273,$A60,Data!$U$4:$U$273,$B60,Data!$S$4:$S$273,$C60))</f>
        <v>0</v>
      </c>
      <c r="P60" s="18">
        <f ca="1">IF($A60="","",SUMIFS(Data!$AA$4:$AA$273,Data!$T$4:$T$273,$A60,Data!$U$4:$U$273,$B60,Data!$S$4:$S$273,$C60))</f>
        <v>0</v>
      </c>
      <c r="Q60" s="18">
        <f ca="1">IF($A60="","",SUMIFS(Data!$AD$4:$AD$273,Data!$T$4:$T$273,$A60,Data!$U$4:$U$273,$B60,Data!$S$4:$S$273,$C60))</f>
        <v>0</v>
      </c>
      <c r="R60" s="18">
        <f ca="1">IF($A60="","",SUMIFS(Data!$AE$4:$AE$273,Data!$T$4:$T$273,$A60,Data!$U$4:$U$273,$B60,Data!$S$4:$S$273,$C60))</f>
        <v>0</v>
      </c>
      <c r="S60" s="18">
        <f ca="1">IF($A60="","",SUMIFS(Data!$AF$4:$AF$273,Data!$T$4:$T$273,$A60,Data!$U$4:$U$273,$B60,Data!$S$4:$S$273,$C60))</f>
        <v>0</v>
      </c>
      <c r="T60" s="18">
        <f ca="1">IF($A60="","",SUMIFS(Data!$AG$4:$AG$273,Data!$T$4:$T$273,$A60,Data!$U$4:$U$273,$B60,Data!$S$4:$S$273,$C60))</f>
        <v>0</v>
      </c>
      <c r="U60" s="18">
        <f ca="1">IF($A60="","",SUMIFS(Data!$AH$4:$AH$273,Data!$T$4:$T$273,$A60,Data!$U$4:$U$273,$B60,Data!$S$4:$S$273,$C60))</f>
        <v>0</v>
      </c>
      <c r="V60" s="18">
        <f ca="1">IF($A60="","",SUMIFS(Data!$AO$4:$AO$183,Data!$AM$4:$AM$183,$B60,Data!$AL$4:$AL$183,$A60,Data!$AK$4:$AK$183,$C60))</f>
        <v>0</v>
      </c>
      <c r="W60" s="18">
        <f ca="1">IF($A60="","",SUMIFS(Data!$AP$4:$AP$183,Data!$AM$4:$AM$183,$B60,Data!$AL$4:$AL$183,$A60,Data!$AK$4:$AK$183,$C60))</f>
        <v>0</v>
      </c>
      <c r="X60" s="18">
        <f ca="1">IF($A60="","",SUMIFS(Data!$AR$4:$AR$183,Data!$AM$4:$AM$183,$B60,Data!$AL$4:$AL$183,$A60,Data!$AK$4:$AK$183,$C60))</f>
        <v>0</v>
      </c>
      <c r="Y60" s="18">
        <f ca="1">IF($A60="","",SUMIFS(Data!$AS$4:$AS$183,Data!$AM$4:$AM$183,$B60,Data!$AL$4:$AL$183,$A60,Data!$AK$4:$AK$183,$C60))</f>
        <v>0</v>
      </c>
      <c r="Z60" s="18">
        <f ca="1">IF($A60="","",SUMIFS(Data!$AT$4:$AT$183,Data!$AM$4:$AM$183,$B60,Data!$AL$4:$AL$183,$A60,Data!$AK$4:$AK$183,$C60))</f>
        <v>0</v>
      </c>
      <c r="AA60" s="18">
        <f ca="1">IF($A60="","",SUMIFS(Data!$AW$4:$AW$183,Data!$AM$4:$AM$183,$B60,Data!$AL$4:$AL$183,$A60,Data!$AK$4:$AK$183,$C60))</f>
        <v>0</v>
      </c>
      <c r="AB60" s="18">
        <f ca="1">IF($A60="","",SUMIFS(Data!$AX$4:$AX$183,Data!$AM$4:$AM$183,$B60,Data!$AL$4:$AL$183,$A60,Data!$AK$4:$AK$183,$C60))</f>
        <v>0</v>
      </c>
      <c r="AC60" s="18">
        <f ca="1">IF($A60="","",SUMIFS(Data!$AY$4:$AY$183,Data!$AM$4:$AM$183,$B60,Data!$AL$4:$AL$183,$A60,Data!$AK$4:$AK$183,$C60))</f>
        <v>0</v>
      </c>
      <c r="AD60" s="18">
        <f t="shared" ca="1" si="1"/>
        <v>0</v>
      </c>
      <c r="AE60" s="18">
        <f ca="1">IF($A60="","",SUMIFS(Data!$AJ$4:$AJ$183,Data!$AM$4:$AM$183,$B60,Data!$AL$4:$AL$183,$A60,Data!$AK$4:$AK$183,$C60))</f>
        <v>0</v>
      </c>
    </row>
    <row r="61" spans="1:31">
      <c r="A61" s="115" t="str">
        <f ca="1">IF(Data!T61="","",Data!T61)</f>
        <v>Jason</v>
      </c>
      <c r="B61" s="18" t="str">
        <f ca="1">IF(Data!U61="","",Data!U61)</f>
        <v>King K. Rool</v>
      </c>
      <c r="C61" s="18" t="str">
        <f ca="1">IF(Data!S61="","",Data!S61)</f>
        <v>G4</v>
      </c>
      <c r="D61" s="18">
        <f ca="1">IF($A61="","",Data!W61)</f>
        <v>2</v>
      </c>
      <c r="E61" s="18">
        <f ca="1">IF($A61="","",Data!Y61)</f>
        <v>1</v>
      </c>
      <c r="F61" s="61">
        <f t="shared" ca="1" si="0"/>
        <v>0.5</v>
      </c>
      <c r="G61" s="18">
        <f ca="1">IF($A61="","",Data!AB61)</f>
        <v>1</v>
      </c>
      <c r="H61" s="18">
        <f ca="1">IF($A61="","",Data!AC61)</f>
        <v>1</v>
      </c>
      <c r="I61" s="18">
        <f ca="1">IF($A61="","",INT(SUMIFS(Data!$AN$4:$AN$183,Data!$AM$4:$AM$183,$B61,Data!$AL$4:$AL$183,$A61,Data!$AK$4:$AK$183,$C61))+MOD(ROUND(SUMIFS(Data!$AN$4:$AN$183,Data!$AM$4:$AM$183,$B61,Data!$AL$4:$AL$183,$A61,Data!$AK$4:$AK$183,$C61)*3,0),3)/10)</f>
        <v>1</v>
      </c>
      <c r="J61" s="18">
        <f ca="1">IF($A61="","",SUMIFS(Data!$AQ$4:$AQ$183,Data!$AM$4:$AM$183,$B61,Data!$AL$4:$AL$183,$A61,Data!$AK$4:$AK$183,$C61))</f>
        <v>0</v>
      </c>
      <c r="K61" s="62">
        <f ca="1">IF($A61="","",IF(SUMIFS(Data!$AN$4:$AN$183,Data!$AM$4:$AM$183,$B61,Data!$AL$4:$AL$183,$A61,Data!$AK$4:$AK$183,$C61)=0,"",J61*3/SUMIFS(Data!$AN$4:$AN$183,Data!$AM$4:$AM$183,$B61,Data!$AL$4:$AL$183,$A61,Data!$AK$4:$AK$183,$C61)))</f>
        <v>0.0</v>
      </c>
      <c r="L61" s="18">
        <f ca="1">IF($A61="","",IF(IFERROR(_xlfn.XLOOKUP($C61,Bracket!$F$6:$F$16,Bracket!$K$6:$K$16,""),"")=$B61,1,0))</f>
        <v>0</v>
      </c>
      <c r="M61" s="18">
        <f ca="1">IF($A61="","",IF(AND(IFERROR(_xlfn.XLOOKUP($C61,Bracket!$F$6:$F$16,Bracket!$K$6:$K$16,""),"")=$B61,LEFT(IFERROR(_xlfn.XLOOKUP($C61,Bracket!$F$6:$F$16,Bracket!$G$6:$G$16,""),""),2)="CG"),1,0))</f>
        <v>0</v>
      </c>
      <c r="N61" s="18">
        <f ca="1">IF($A61="","",SUMIFS(Data!$X$4:$X$273,Data!$T$4:$T$273,$A61,Data!$U$4:$U$273,$B61,Data!$S$4:$S$273,$C61))</f>
        <v>1</v>
      </c>
      <c r="O61" s="18">
        <f ca="1">IF($A61="","",SUMIFS(Data!$Z$4:$Z$273,Data!$T$4:$T$273,$A61,Data!$U$4:$U$273,$B61,Data!$S$4:$S$273,$C61))</f>
        <v>0</v>
      </c>
      <c r="P61" s="18">
        <f ca="1">IF($A61="","",SUMIFS(Data!$AA$4:$AA$273,Data!$T$4:$T$273,$A61,Data!$U$4:$U$273,$B61,Data!$S$4:$S$273,$C61))</f>
        <v>0</v>
      </c>
      <c r="Q61" s="18">
        <f ca="1">IF($A61="","",SUMIFS(Data!$AD$4:$AD$273,Data!$T$4:$T$273,$A61,Data!$U$4:$U$273,$B61,Data!$S$4:$S$273,$C61))</f>
        <v>0</v>
      </c>
      <c r="R61" s="18">
        <f ca="1">IF($A61="","",SUMIFS(Data!$AE$4:$AE$273,Data!$T$4:$T$273,$A61,Data!$U$4:$U$273,$B61,Data!$S$4:$S$273,$C61))</f>
        <v>1</v>
      </c>
      <c r="S61" s="18">
        <f ca="1">IF($A61="","",SUMIFS(Data!$AF$4:$AF$273,Data!$T$4:$T$273,$A61,Data!$U$4:$U$273,$B61,Data!$S$4:$S$273,$C61))</f>
        <v>0</v>
      </c>
      <c r="T61" s="18">
        <f ca="1">IF($A61="","",SUMIFS(Data!$AG$4:$AG$273,Data!$T$4:$T$273,$A61,Data!$U$4:$U$273,$B61,Data!$S$4:$S$273,$C61))</f>
        <v>0</v>
      </c>
      <c r="U61" s="18">
        <f ca="1">IF($A61="","",SUMIFS(Data!$AH$4:$AH$273,Data!$T$4:$T$273,$A61,Data!$U$4:$U$273,$B61,Data!$S$4:$S$273,$C61))</f>
        <v>0</v>
      </c>
      <c r="V61" s="18">
        <f ca="1">IF($A61="","",SUMIFS(Data!$AO$4:$AO$183,Data!$AM$4:$AM$183,$B61,Data!$AL$4:$AL$183,$A61,Data!$AK$4:$AK$183,$C61))</f>
        <v>0</v>
      </c>
      <c r="W61" s="18">
        <f ca="1">IF($A61="","",SUMIFS(Data!$AP$4:$AP$183,Data!$AM$4:$AM$183,$B61,Data!$AL$4:$AL$183,$A61,Data!$AK$4:$AK$183,$C61))</f>
        <v>0</v>
      </c>
      <c r="X61" s="18">
        <f ca="1">IF($A61="","",SUMIFS(Data!$AR$4:$AR$183,Data!$AM$4:$AM$183,$B61,Data!$AL$4:$AL$183,$A61,Data!$AK$4:$AK$183,$C61))</f>
        <v>0</v>
      </c>
      <c r="Y61" s="18">
        <f ca="1">IF($A61="","",SUMIFS(Data!$AS$4:$AS$183,Data!$AM$4:$AM$183,$B61,Data!$AL$4:$AL$183,$A61,Data!$AK$4:$AK$183,$C61))</f>
        <v>0</v>
      </c>
      <c r="Z61" s="18">
        <f ca="1">IF($A61="","",SUMIFS(Data!$AT$4:$AT$183,Data!$AM$4:$AM$183,$B61,Data!$AL$4:$AL$183,$A61,Data!$AK$4:$AK$183,$C61))</f>
        <v>0</v>
      </c>
      <c r="AA61" s="18">
        <f ca="1">IF($A61="","",SUMIFS(Data!$AW$4:$AW$183,Data!$AM$4:$AM$183,$B61,Data!$AL$4:$AL$183,$A61,Data!$AK$4:$AK$183,$C61))</f>
        <v>1</v>
      </c>
      <c r="AB61" s="18">
        <f ca="1">IF($A61="","",SUMIFS(Data!$AX$4:$AX$183,Data!$AM$4:$AM$183,$B61,Data!$AL$4:$AL$183,$A61,Data!$AK$4:$AK$183,$C61))</f>
        <v>0</v>
      </c>
      <c r="AC61" s="18">
        <f ca="1">IF($A61="","",SUMIFS(Data!$AY$4:$AY$183,Data!$AM$4:$AM$183,$B61,Data!$AL$4:$AL$183,$A61,Data!$AK$4:$AK$183,$C61))</f>
        <v>0</v>
      </c>
      <c r="AD61" s="18">
        <f t="shared" ca="1" si="1"/>
        <v>0.0</v>
      </c>
      <c r="AE61" s="18">
        <f ca="1">IF($A61="","",SUMIFS(Data!$AJ$4:$AJ$183,Data!$AM$4:$AM$183,$B61,Data!$AL$4:$AL$183,$A61,Data!$AK$4:$AK$183,$C61))</f>
        <v>3</v>
      </c>
    </row>
    <row r="62" spans="1:31">
      <c r="A62" s="115" t="str">
        <f ca="1">IF(Data!T62="","",Data!T62)</f>
        <v>Jason</v>
      </c>
      <c r="B62" s="18" t="str">
        <f ca="1">IF(Data!U62="","",Data!U62)</f>
        <v>Yellow Toad</v>
      </c>
      <c r="C62" s="18" t="str">
        <f ca="1">IF(Data!S62="","",Data!S62)</f>
        <v>G4</v>
      </c>
      <c r="D62" s="18">
        <f ca="1">IF($A62="","",Data!W62)</f>
        <v>2</v>
      </c>
      <c r="E62" s="18">
        <f ca="1">IF($A62="","",Data!Y62)</f>
        <v>0</v>
      </c>
      <c r="F62" s="61">
        <f t="shared" ca="1" si="0"/>
        <v>0.0</v>
      </c>
      <c r="G62" s="18">
        <f ca="1">IF($A62="","",Data!AB62)</f>
        <v>0</v>
      </c>
      <c r="H62" s="18">
        <f ca="1">IF($A62="","",Data!AC62)</f>
        <v>0</v>
      </c>
      <c r="I62" s="18">
        <f ca="1">IF($A62="","",INT(SUMIFS(Data!$AN$4:$AN$183,Data!$AM$4:$AM$183,$B62,Data!$AL$4:$AL$183,$A62,Data!$AK$4:$AK$183,$C62))+MOD(ROUND(SUMIFS(Data!$AN$4:$AN$183,Data!$AM$4:$AM$183,$B62,Data!$AL$4:$AL$183,$A62,Data!$AK$4:$AK$183,$C62)*3,0),3)/10)</f>
        <v>0</v>
      </c>
      <c r="J62" s="18">
        <f ca="1">IF($A62="","",SUMIFS(Data!$AQ$4:$AQ$183,Data!$AM$4:$AM$183,$B62,Data!$AL$4:$AL$183,$A62,Data!$AK$4:$AK$183,$C62))</f>
        <v>0</v>
      </c>
      <c r="K62" s="62">
        <f ca="1">IF($A62="","",IF(SUMIFS(Data!$AN$4:$AN$183,Data!$AM$4:$AM$183,$B62,Data!$AL$4:$AL$183,$A62,Data!$AK$4:$AK$183,$C62)=0,"",J62*3/SUMIFS(Data!$AN$4:$AN$183,Data!$AM$4:$AM$183,$B62,Data!$AL$4:$AL$183,$A62,Data!$AK$4:$AK$183,$C62)))</f>
      </c>
      <c r="L62" s="18">
        <f ca="1">IF($A62="","",IF(IFERROR(_xlfn.XLOOKUP($C62,Bracket!$F$6:$F$16,Bracket!$K$6:$K$16,""),"")=$B62,1,0))</f>
        <v>0</v>
      </c>
      <c r="M62" s="18">
        <f ca="1">IF($A62="","",IF(AND(IFERROR(_xlfn.XLOOKUP($C62,Bracket!$F$6:$F$16,Bracket!$K$6:$K$16,""),"")=$B62,LEFT(IFERROR(_xlfn.XLOOKUP($C62,Bracket!$F$6:$F$16,Bracket!$G$6:$G$16,""),""),2)="CG"),1,0))</f>
        <v>0</v>
      </c>
      <c r="N62" s="18">
        <f ca="1">IF($A62="","",SUMIFS(Data!$X$4:$X$273,Data!$T$4:$T$273,$A62,Data!$U$4:$U$273,$B62,Data!$S$4:$S$273,$C62))</f>
        <v>0</v>
      </c>
      <c r="O62" s="18">
        <f ca="1">IF($A62="","",SUMIFS(Data!$Z$4:$Z$273,Data!$T$4:$T$273,$A62,Data!$U$4:$U$273,$B62,Data!$S$4:$S$273,$C62))</f>
        <v>0</v>
      </c>
      <c r="P62" s="18">
        <f ca="1">IF($A62="","",SUMIFS(Data!$AA$4:$AA$273,Data!$T$4:$T$273,$A62,Data!$U$4:$U$273,$B62,Data!$S$4:$S$273,$C62))</f>
        <v>0</v>
      </c>
      <c r="Q62" s="18">
        <f ca="1">IF($A62="","",SUMIFS(Data!$AD$4:$AD$273,Data!$T$4:$T$273,$A62,Data!$U$4:$U$273,$B62,Data!$S$4:$S$273,$C62))</f>
        <v>0</v>
      </c>
      <c r="R62" s="18">
        <f ca="1">IF($A62="","",SUMIFS(Data!$AE$4:$AE$273,Data!$T$4:$T$273,$A62,Data!$U$4:$U$273,$B62,Data!$S$4:$S$273,$C62))</f>
        <v>1</v>
      </c>
      <c r="S62" s="18">
        <f ca="1">IF($A62="","",SUMIFS(Data!$AF$4:$AF$273,Data!$T$4:$T$273,$A62,Data!$U$4:$U$273,$B62,Data!$S$4:$S$273,$C62))</f>
        <v>0</v>
      </c>
      <c r="T62" s="18">
        <f ca="1">IF($A62="","",SUMIFS(Data!$AG$4:$AG$273,Data!$T$4:$T$273,$A62,Data!$U$4:$U$273,$B62,Data!$S$4:$S$273,$C62))</f>
        <v>0</v>
      </c>
      <c r="U62" s="18">
        <f ca="1">IF($A62="","",SUMIFS(Data!$AH$4:$AH$273,Data!$T$4:$T$273,$A62,Data!$U$4:$U$273,$B62,Data!$S$4:$S$273,$C62))</f>
        <v>0</v>
      </c>
      <c r="V62" s="18">
        <f ca="1">IF($A62="","",SUMIFS(Data!$AO$4:$AO$183,Data!$AM$4:$AM$183,$B62,Data!$AL$4:$AL$183,$A62,Data!$AK$4:$AK$183,$C62))</f>
        <v>0</v>
      </c>
      <c r="W62" s="18">
        <f ca="1">IF($A62="","",SUMIFS(Data!$AP$4:$AP$183,Data!$AM$4:$AM$183,$B62,Data!$AL$4:$AL$183,$A62,Data!$AK$4:$AK$183,$C62))</f>
        <v>0</v>
      </c>
      <c r="X62" s="18">
        <f ca="1">IF($A62="","",SUMIFS(Data!$AR$4:$AR$183,Data!$AM$4:$AM$183,$B62,Data!$AL$4:$AL$183,$A62,Data!$AK$4:$AK$183,$C62))</f>
        <v>0</v>
      </c>
      <c r="Y62" s="18">
        <f ca="1">IF($A62="","",SUMIFS(Data!$AS$4:$AS$183,Data!$AM$4:$AM$183,$B62,Data!$AL$4:$AL$183,$A62,Data!$AK$4:$AK$183,$C62))</f>
        <v>0</v>
      </c>
      <c r="Z62" s="18">
        <f ca="1">IF($A62="","",SUMIFS(Data!$AT$4:$AT$183,Data!$AM$4:$AM$183,$B62,Data!$AL$4:$AL$183,$A62,Data!$AK$4:$AK$183,$C62))</f>
        <v>0</v>
      </c>
      <c r="AA62" s="18">
        <f ca="1">IF($A62="","",SUMIFS(Data!$AW$4:$AW$183,Data!$AM$4:$AM$183,$B62,Data!$AL$4:$AL$183,$A62,Data!$AK$4:$AK$183,$C62))</f>
        <v>0</v>
      </c>
      <c r="AB62" s="18">
        <f ca="1">IF($A62="","",SUMIFS(Data!$AX$4:$AX$183,Data!$AM$4:$AM$183,$B62,Data!$AL$4:$AL$183,$A62,Data!$AK$4:$AK$183,$C62))</f>
        <v>0</v>
      </c>
      <c r="AC62" s="18">
        <f ca="1">IF($A62="","",SUMIFS(Data!$AY$4:$AY$183,Data!$AM$4:$AM$183,$B62,Data!$AL$4:$AL$183,$A62,Data!$AK$4:$AK$183,$C62))</f>
        <v>0</v>
      </c>
      <c r="AD62" s="18">
        <f t="shared" ca="1" si="1"/>
        <v>0</v>
      </c>
      <c r="AE62" s="18">
        <f ca="1">IF($A62="","",SUMIFS(Data!$AJ$4:$AJ$183,Data!$AM$4:$AM$183,$B62,Data!$AL$4:$AL$183,$A62,Data!$AK$4:$AK$183,$C62))</f>
        <v>0</v>
      </c>
    </row>
    <row r="63" spans="1:31">
      <c r="A63" s="115" t="str">
        <f ca="1">IF(Data!T63="","",Data!T63)</f>
        <v>Jason</v>
      </c>
      <c r="B63" s="18" t="str">
        <f ca="1">IF(Data!U63="","",Data!U63)</f>
        <v>Blooper</v>
      </c>
      <c r="C63" s="18" t="str">
        <f ca="1">IF(Data!S63="","",Data!S63)</f>
        <v>G4</v>
      </c>
      <c r="D63" s="18">
        <f ca="1">IF($A63="","",Data!W63)</f>
        <v>2</v>
      </c>
      <c r="E63" s="18">
        <f ca="1">IF($A63="","",Data!Y63)</f>
        <v>2</v>
      </c>
      <c r="F63" s="61">
        <f t="shared" ca="1" si="0"/>
        <v>1.0</v>
      </c>
      <c r="G63" s="18">
        <f ca="1">IF($A63="","",Data!AB63)</f>
        <v>2</v>
      </c>
      <c r="H63" s="18">
        <f ca="1">IF($A63="","",Data!AC63)</f>
        <v>2</v>
      </c>
      <c r="I63" s="18">
        <f ca="1">IF($A63="","",INT(SUMIFS(Data!$AN$4:$AN$183,Data!$AM$4:$AM$183,$B63,Data!$AL$4:$AL$183,$A63,Data!$AK$4:$AK$183,$C63))+MOD(ROUND(SUMIFS(Data!$AN$4:$AN$183,Data!$AM$4:$AM$183,$B63,Data!$AL$4:$AL$183,$A63,Data!$AK$4:$AK$183,$C63)*3,0),3)/10)</f>
        <v>0</v>
      </c>
      <c r="J63" s="18">
        <f ca="1">IF($A63="","",SUMIFS(Data!$AQ$4:$AQ$183,Data!$AM$4:$AM$183,$B63,Data!$AL$4:$AL$183,$A63,Data!$AK$4:$AK$183,$C63))</f>
        <v>0</v>
      </c>
      <c r="K63" s="62">
        <f ca="1">IF($A63="","",IF(SUMIFS(Data!$AN$4:$AN$183,Data!$AM$4:$AM$183,$B63,Data!$AL$4:$AL$183,$A63,Data!$AK$4:$AK$183,$C63)=0,"",J63*3/SUMIFS(Data!$AN$4:$AN$183,Data!$AM$4:$AM$183,$B63,Data!$AL$4:$AL$183,$A63,Data!$AK$4:$AK$183,$C63)))</f>
      </c>
      <c r="L63" s="18">
        <f ca="1">IF($A63="","",IF(IFERROR(_xlfn.XLOOKUP($C63,Bracket!$F$6:$F$16,Bracket!$K$6:$K$16,""),"")=$B63,1,0))</f>
        <v>0</v>
      </c>
      <c r="M63" s="18">
        <f ca="1">IF($A63="","",IF(AND(IFERROR(_xlfn.XLOOKUP($C63,Bracket!$F$6:$F$16,Bracket!$K$6:$K$16,""),"")=$B63,LEFT(IFERROR(_xlfn.XLOOKUP($C63,Bracket!$F$6:$F$16,Bracket!$G$6:$G$16,""),""),2)="CG"),1,0))</f>
        <v>0</v>
      </c>
      <c r="N63" s="18">
        <f ca="1">IF($A63="","",SUMIFS(Data!$X$4:$X$273,Data!$T$4:$T$273,$A63,Data!$U$4:$U$273,$B63,Data!$S$4:$S$273,$C63))</f>
        <v>2</v>
      </c>
      <c r="O63" s="18">
        <f ca="1">IF($A63="","",SUMIFS(Data!$Z$4:$Z$273,Data!$T$4:$T$273,$A63,Data!$U$4:$U$273,$B63,Data!$S$4:$S$273,$C63))</f>
        <v>0</v>
      </c>
      <c r="P63" s="18">
        <f ca="1">IF($A63="","",SUMIFS(Data!$AA$4:$AA$273,Data!$T$4:$T$273,$A63,Data!$U$4:$U$273,$B63,Data!$S$4:$S$273,$C63))</f>
        <v>0</v>
      </c>
      <c r="Q63" s="18">
        <f ca="1">IF($A63="","",SUMIFS(Data!$AD$4:$AD$273,Data!$T$4:$T$273,$A63,Data!$U$4:$U$273,$B63,Data!$S$4:$S$273,$C63))</f>
        <v>0</v>
      </c>
      <c r="R63" s="18">
        <f ca="1">IF($A63="","",SUMIFS(Data!$AE$4:$AE$273,Data!$T$4:$T$273,$A63,Data!$U$4:$U$273,$B63,Data!$S$4:$S$273,$C63))</f>
        <v>0</v>
      </c>
      <c r="S63" s="18">
        <f ca="1">IF($A63="","",SUMIFS(Data!$AF$4:$AF$273,Data!$T$4:$T$273,$A63,Data!$U$4:$U$273,$B63,Data!$S$4:$S$273,$C63))</f>
        <v>0</v>
      </c>
      <c r="T63" s="18">
        <f ca="1">IF($A63="","",SUMIFS(Data!$AG$4:$AG$273,Data!$T$4:$T$273,$A63,Data!$U$4:$U$273,$B63,Data!$S$4:$S$273,$C63))</f>
        <v>0</v>
      </c>
      <c r="U63" s="18">
        <f ca="1">IF($A63="","",SUMIFS(Data!$AH$4:$AH$273,Data!$T$4:$T$273,$A63,Data!$U$4:$U$273,$B63,Data!$S$4:$S$273,$C63))</f>
        <v>0</v>
      </c>
      <c r="V63" s="18">
        <f ca="1">IF($A63="","",SUMIFS(Data!$AO$4:$AO$183,Data!$AM$4:$AM$183,$B63,Data!$AL$4:$AL$183,$A63,Data!$AK$4:$AK$183,$C63))</f>
        <v>0</v>
      </c>
      <c r="W63" s="18">
        <f ca="1">IF($A63="","",SUMIFS(Data!$AP$4:$AP$183,Data!$AM$4:$AM$183,$B63,Data!$AL$4:$AL$183,$A63,Data!$AK$4:$AK$183,$C63))</f>
        <v>0</v>
      </c>
      <c r="X63" s="18">
        <f ca="1">IF($A63="","",SUMIFS(Data!$AR$4:$AR$183,Data!$AM$4:$AM$183,$B63,Data!$AL$4:$AL$183,$A63,Data!$AK$4:$AK$183,$C63))</f>
        <v>0</v>
      </c>
      <c r="Y63" s="18">
        <f ca="1">IF($A63="","",SUMIFS(Data!$AS$4:$AS$183,Data!$AM$4:$AM$183,$B63,Data!$AL$4:$AL$183,$A63,Data!$AK$4:$AK$183,$C63))</f>
        <v>0</v>
      </c>
      <c r="Z63" s="18">
        <f ca="1">IF($A63="","",SUMIFS(Data!$AT$4:$AT$183,Data!$AM$4:$AM$183,$B63,Data!$AL$4:$AL$183,$A63,Data!$AK$4:$AK$183,$C63))</f>
        <v>0</v>
      </c>
      <c r="AA63" s="18">
        <f ca="1">IF($A63="","",SUMIFS(Data!$AW$4:$AW$183,Data!$AM$4:$AM$183,$B63,Data!$AL$4:$AL$183,$A63,Data!$AK$4:$AK$183,$C63))</f>
        <v>0</v>
      </c>
      <c r="AB63" s="18">
        <f ca="1">IF($A63="","",SUMIFS(Data!$AX$4:$AX$183,Data!$AM$4:$AM$183,$B63,Data!$AL$4:$AL$183,$A63,Data!$AK$4:$AK$183,$C63))</f>
        <v>0</v>
      </c>
      <c r="AC63" s="18">
        <f ca="1">IF($A63="","",SUMIFS(Data!$AY$4:$AY$183,Data!$AM$4:$AM$183,$B63,Data!$AL$4:$AL$183,$A63,Data!$AK$4:$AK$183,$C63))</f>
        <v>0</v>
      </c>
      <c r="AD63" s="18">
        <f t="shared" ca="1" si="1"/>
        <v>0</v>
      </c>
      <c r="AE63" s="18">
        <f ca="1">IF($A63="","",SUMIFS(Data!$AJ$4:$AJ$183,Data!$AM$4:$AM$183,$B63,Data!$AL$4:$AL$183,$A63,Data!$AK$4:$AK$183,$C63))</f>
        <v>0</v>
      </c>
    </row>
    <row r="64" spans="1:31">
      <c r="A64" s="115" t="str">
        <f ca="1">IF(Data!T64="","",Data!T64)</f>
        <v>Jason</v>
      </c>
      <c r="B64" s="18" t="str">
        <f ca="1">IF(Data!U64="","",Data!U64)</f>
        <v>Peach</v>
      </c>
      <c r="C64" s="18" t="str">
        <f ca="1">IF(Data!S64="","",Data!S64)</f>
        <v>G4</v>
      </c>
      <c r="D64" s="18">
        <f ca="1">IF($A64="","",Data!W64)</f>
        <v>2</v>
      </c>
      <c r="E64" s="18">
        <f ca="1">IF($A64="","",Data!Y64)</f>
        <v>2</v>
      </c>
      <c r="F64" s="61">
        <f t="shared" ca="1" si="0"/>
        <v>1.0</v>
      </c>
      <c r="G64" s="18">
        <f ca="1">IF($A64="","",Data!AB64)</f>
        <v>1</v>
      </c>
      <c r="H64" s="18">
        <f ca="1">IF($A64="","",Data!AC64)</f>
        <v>1</v>
      </c>
      <c r="I64" s="18">
        <f ca="1">IF($A64="","",INT(SUMIFS(Data!$AN$4:$AN$183,Data!$AM$4:$AM$183,$B64,Data!$AL$4:$AL$183,$A64,Data!$AK$4:$AK$183,$C64))+MOD(ROUND(SUMIFS(Data!$AN$4:$AN$183,Data!$AM$4:$AM$183,$B64,Data!$AL$4:$AL$183,$A64,Data!$AK$4:$AK$183,$C64)*3,0),3)/10)</f>
        <v>2</v>
      </c>
      <c r="J64" s="18">
        <f ca="1">IF($A64="","",SUMIFS(Data!$AQ$4:$AQ$183,Data!$AM$4:$AM$183,$B64,Data!$AL$4:$AL$183,$A64,Data!$AK$4:$AK$183,$C64))</f>
        <v>2</v>
      </c>
      <c r="K64" s="62">
        <f ca="1">IF($A64="","",IF(SUMIFS(Data!$AN$4:$AN$183,Data!$AM$4:$AM$183,$B64,Data!$AL$4:$AL$183,$A64,Data!$AK$4:$AK$183,$C64)=0,"",J64*3/SUMIFS(Data!$AN$4:$AN$183,Data!$AM$4:$AM$183,$B64,Data!$AL$4:$AL$183,$A64,Data!$AK$4:$AK$183,$C64)))</f>
        <v>3.0</v>
      </c>
      <c r="L64" s="18">
        <f ca="1">IF($A64="","",IF(IFERROR(_xlfn.XLOOKUP($C64,Bracket!$F$6:$F$16,Bracket!$K$6:$K$16,""),"")=$B64,1,0))</f>
        <v>1</v>
      </c>
      <c r="M64" s="18">
        <f ca="1">IF($A64="","",IF(AND(IFERROR(_xlfn.XLOOKUP($C64,Bracket!$F$6:$F$16,Bracket!$K$6:$K$16,""),"")=$B64,LEFT(IFERROR(_xlfn.XLOOKUP($C64,Bracket!$F$6:$F$16,Bracket!$G$6:$G$16,""),""),2)="CG"),1,0))</f>
        <v>0</v>
      </c>
      <c r="N64" s="18">
        <f ca="1">IF($A64="","",SUMIFS(Data!$X$4:$X$273,Data!$T$4:$T$273,$A64,Data!$U$4:$U$273,$B64,Data!$S$4:$S$273,$C64))</f>
        <v>1</v>
      </c>
      <c r="O64" s="18">
        <f ca="1">IF($A64="","",SUMIFS(Data!$Z$4:$Z$273,Data!$T$4:$T$273,$A64,Data!$U$4:$U$273,$B64,Data!$S$4:$S$273,$C64))</f>
        <v>0</v>
      </c>
      <c r="P64" s="18">
        <f ca="1">IF($A64="","",SUMIFS(Data!$AA$4:$AA$273,Data!$T$4:$T$273,$A64,Data!$U$4:$U$273,$B64,Data!$S$4:$S$273,$C64))</f>
        <v>0</v>
      </c>
      <c r="Q64" s="18">
        <f ca="1">IF($A64="","",SUMIFS(Data!$AD$4:$AD$273,Data!$T$4:$T$273,$A64,Data!$U$4:$U$273,$B64,Data!$S$4:$S$273,$C64))</f>
        <v>0</v>
      </c>
      <c r="R64" s="18">
        <f ca="1">IF($A64="","",SUMIFS(Data!$AE$4:$AE$273,Data!$T$4:$T$273,$A64,Data!$U$4:$U$273,$B64,Data!$S$4:$S$273,$C64))</f>
        <v>0</v>
      </c>
      <c r="S64" s="18">
        <f ca="1">IF($A64="","",SUMIFS(Data!$AF$4:$AF$273,Data!$T$4:$T$273,$A64,Data!$U$4:$U$273,$B64,Data!$S$4:$S$273,$C64))</f>
        <v>0</v>
      </c>
      <c r="T64" s="18">
        <f ca="1">IF($A64="","",SUMIFS(Data!$AG$4:$AG$273,Data!$T$4:$T$273,$A64,Data!$U$4:$U$273,$B64,Data!$S$4:$S$273,$C64))</f>
        <v>0</v>
      </c>
      <c r="U64" s="18">
        <f ca="1">IF($A64="","",SUMIFS(Data!$AH$4:$AH$273,Data!$T$4:$T$273,$A64,Data!$U$4:$U$273,$B64,Data!$S$4:$S$273,$C64))</f>
        <v>0</v>
      </c>
      <c r="V64" s="18">
        <f ca="1">IF($A64="","",SUMIFS(Data!$AO$4:$AO$183,Data!$AM$4:$AM$183,$B64,Data!$AL$4:$AL$183,$A64,Data!$AK$4:$AK$183,$C64))</f>
        <v>3</v>
      </c>
      <c r="W64" s="18">
        <f ca="1">IF($A64="","",SUMIFS(Data!$AP$4:$AP$183,Data!$AM$4:$AM$183,$B64,Data!$AL$4:$AL$183,$A64,Data!$AK$4:$AK$183,$C64))</f>
        <v>2</v>
      </c>
      <c r="X64" s="18">
        <f ca="1">IF($A64="","",SUMIFS(Data!$AR$4:$AR$183,Data!$AM$4:$AM$183,$B64,Data!$AL$4:$AL$183,$A64,Data!$AK$4:$AK$183,$C64))</f>
        <v>0</v>
      </c>
      <c r="Y64" s="18">
        <f ca="1">IF($A64="","",SUMIFS(Data!$AS$4:$AS$183,Data!$AM$4:$AM$183,$B64,Data!$AL$4:$AL$183,$A64,Data!$AK$4:$AK$183,$C64))</f>
        <v>3</v>
      </c>
      <c r="Z64" s="18">
        <f ca="1">IF($A64="","",SUMIFS(Data!$AT$4:$AT$183,Data!$AM$4:$AM$183,$B64,Data!$AL$4:$AL$183,$A64,Data!$AK$4:$AK$183,$C64))</f>
        <v>1</v>
      </c>
      <c r="AA64" s="18">
        <f ca="1">IF($A64="","",SUMIFS(Data!$AW$4:$AW$183,Data!$AM$4:$AM$183,$B64,Data!$AL$4:$AL$183,$A64,Data!$AK$4:$AK$183,$C64))</f>
        <v>0</v>
      </c>
      <c r="AB64" s="18">
        <f ca="1">IF($A64="","",SUMIFS(Data!$AX$4:$AX$183,Data!$AM$4:$AM$183,$B64,Data!$AL$4:$AL$183,$A64,Data!$AK$4:$AK$183,$C64))</f>
        <v>0</v>
      </c>
      <c r="AC64" s="18">
        <f ca="1">IF($A64="","",SUMIFS(Data!$AY$4:$AY$183,Data!$AM$4:$AM$183,$B64,Data!$AL$4:$AL$183,$A64,Data!$AK$4:$AK$183,$C64))</f>
        <v>0</v>
      </c>
      <c r="AD64" s="18">
        <f t="shared" ca="1" si="1"/>
        <v>1.5</v>
      </c>
      <c r="AE64" s="18">
        <f ca="1">IF($A64="","",SUMIFS(Data!$AJ$4:$AJ$183,Data!$AM$4:$AM$183,$B64,Data!$AL$4:$AL$183,$A64,Data!$AK$4:$AK$183,$C64))</f>
        <v>9</v>
      </c>
    </row>
    <row r="65" spans="1:31">
      <c r="A65" s="115" t="str">
        <f ca="1">IF(Data!T65="","",Data!T65)</f>
        <v>Jason</v>
      </c>
      <c r="B65" s="18" t="str">
        <f ca="1">IF(Data!U65="","",Data!U65)</f>
        <v>Baby Mario</v>
      </c>
      <c r="C65" s="18" t="str">
        <f ca="1">IF(Data!S65="","",Data!S65)</f>
        <v>G4</v>
      </c>
      <c r="D65" s="18">
        <f ca="1">IF($A65="","",Data!W65)</f>
        <v>2</v>
      </c>
      <c r="E65" s="18">
        <f ca="1">IF($A65="","",Data!Y65)</f>
        <v>0</v>
      </c>
      <c r="F65" s="61">
        <f t="shared" ca="1" si="0"/>
        <v>0.0</v>
      </c>
      <c r="G65" s="18">
        <f ca="1">IF($A65="","",Data!AB65)</f>
        <v>0</v>
      </c>
      <c r="H65" s="18">
        <f ca="1">IF($A65="","",Data!AC65)</f>
        <v>0</v>
      </c>
      <c r="I65" s="18">
        <f ca="1">IF($A65="","",INT(SUMIFS(Data!$AN$4:$AN$183,Data!$AM$4:$AM$183,$B65,Data!$AL$4:$AL$183,$A65,Data!$AK$4:$AK$183,$C65))+MOD(ROUND(SUMIFS(Data!$AN$4:$AN$183,Data!$AM$4:$AM$183,$B65,Data!$AL$4:$AL$183,$A65,Data!$AK$4:$AK$183,$C65)*3,0),3)/10)</f>
        <v>0</v>
      </c>
      <c r="J65" s="18">
        <f ca="1">IF($A65="","",SUMIFS(Data!$AQ$4:$AQ$183,Data!$AM$4:$AM$183,$B65,Data!$AL$4:$AL$183,$A65,Data!$AK$4:$AK$183,$C65))</f>
        <v>0</v>
      </c>
      <c r="K65" s="62">
        <f ca="1">IF($A65="","",IF(SUMIFS(Data!$AN$4:$AN$183,Data!$AM$4:$AM$183,$B65,Data!$AL$4:$AL$183,$A65,Data!$AK$4:$AK$183,$C65)=0,"",J65*3/SUMIFS(Data!$AN$4:$AN$183,Data!$AM$4:$AM$183,$B65,Data!$AL$4:$AL$183,$A65,Data!$AK$4:$AK$183,$C65)))</f>
      </c>
      <c r="L65" s="18">
        <f ca="1">IF($A65="","",IF(IFERROR(_xlfn.XLOOKUP($C65,Bracket!$F$6:$F$16,Bracket!$K$6:$K$16,""),"")=$B65,1,0))</f>
        <v>0</v>
      </c>
      <c r="M65" s="18">
        <f ca="1">IF($A65="","",IF(AND(IFERROR(_xlfn.XLOOKUP($C65,Bracket!$F$6:$F$16,Bracket!$K$6:$K$16,""),"")=$B65,LEFT(IFERROR(_xlfn.XLOOKUP($C65,Bracket!$F$6:$F$16,Bracket!$G$6:$G$16,""),""),2)="CG"),1,0))</f>
        <v>0</v>
      </c>
      <c r="N65" s="18">
        <f ca="1">IF($A65="","",SUMIFS(Data!$X$4:$X$273,Data!$T$4:$T$273,$A65,Data!$U$4:$U$273,$B65,Data!$S$4:$S$273,$C65))</f>
        <v>0</v>
      </c>
      <c r="O65" s="18">
        <f ca="1">IF($A65="","",SUMIFS(Data!$Z$4:$Z$273,Data!$T$4:$T$273,$A65,Data!$U$4:$U$273,$B65,Data!$S$4:$S$273,$C65))</f>
        <v>0</v>
      </c>
      <c r="P65" s="18">
        <f ca="1">IF($A65="","",SUMIFS(Data!$AA$4:$AA$273,Data!$T$4:$T$273,$A65,Data!$U$4:$U$273,$B65,Data!$S$4:$S$273,$C65))</f>
        <v>0</v>
      </c>
      <c r="Q65" s="18">
        <f ca="1">IF($A65="","",SUMIFS(Data!$AD$4:$AD$273,Data!$T$4:$T$273,$A65,Data!$U$4:$U$273,$B65,Data!$S$4:$S$273,$C65))</f>
        <v>0</v>
      </c>
      <c r="R65" s="18">
        <f ca="1">IF($A65="","",SUMIFS(Data!$AE$4:$AE$273,Data!$T$4:$T$273,$A65,Data!$U$4:$U$273,$B65,Data!$S$4:$S$273,$C65))</f>
        <v>0</v>
      </c>
      <c r="S65" s="18">
        <f ca="1">IF($A65="","",SUMIFS(Data!$AF$4:$AF$273,Data!$T$4:$T$273,$A65,Data!$U$4:$U$273,$B65,Data!$S$4:$S$273,$C65))</f>
        <v>0</v>
      </c>
      <c r="T65" s="18">
        <f ca="1">IF($A65="","",SUMIFS(Data!$AG$4:$AG$273,Data!$T$4:$T$273,$A65,Data!$U$4:$U$273,$B65,Data!$S$4:$S$273,$C65))</f>
        <v>0</v>
      </c>
      <c r="U65" s="18">
        <f ca="1">IF($A65="","",SUMIFS(Data!$AH$4:$AH$273,Data!$T$4:$T$273,$A65,Data!$U$4:$U$273,$B65,Data!$S$4:$S$273,$C65))</f>
        <v>0</v>
      </c>
      <c r="V65" s="18">
        <f ca="1">IF($A65="","",SUMIFS(Data!$AO$4:$AO$183,Data!$AM$4:$AM$183,$B65,Data!$AL$4:$AL$183,$A65,Data!$AK$4:$AK$183,$C65))</f>
        <v>0</v>
      </c>
      <c r="W65" s="18">
        <f ca="1">IF($A65="","",SUMIFS(Data!$AP$4:$AP$183,Data!$AM$4:$AM$183,$B65,Data!$AL$4:$AL$183,$A65,Data!$AK$4:$AK$183,$C65))</f>
        <v>0</v>
      </c>
      <c r="X65" s="18">
        <f ca="1">IF($A65="","",SUMIFS(Data!$AR$4:$AR$183,Data!$AM$4:$AM$183,$B65,Data!$AL$4:$AL$183,$A65,Data!$AK$4:$AK$183,$C65))</f>
        <v>0</v>
      </c>
      <c r="Y65" s="18">
        <f ca="1">IF($A65="","",SUMIFS(Data!$AS$4:$AS$183,Data!$AM$4:$AM$183,$B65,Data!$AL$4:$AL$183,$A65,Data!$AK$4:$AK$183,$C65))</f>
        <v>0</v>
      </c>
      <c r="Z65" s="18">
        <f ca="1">IF($A65="","",SUMIFS(Data!$AT$4:$AT$183,Data!$AM$4:$AM$183,$B65,Data!$AL$4:$AL$183,$A65,Data!$AK$4:$AK$183,$C65))</f>
        <v>0</v>
      </c>
      <c r="AA65" s="18">
        <f ca="1">IF($A65="","",SUMIFS(Data!$AW$4:$AW$183,Data!$AM$4:$AM$183,$B65,Data!$AL$4:$AL$183,$A65,Data!$AK$4:$AK$183,$C65))</f>
        <v>0</v>
      </c>
      <c r="AB65" s="18">
        <f ca="1">IF($A65="","",SUMIFS(Data!$AX$4:$AX$183,Data!$AM$4:$AM$183,$B65,Data!$AL$4:$AL$183,$A65,Data!$AK$4:$AK$183,$C65))</f>
        <v>0</v>
      </c>
      <c r="AC65" s="18">
        <f ca="1">IF($A65="","",SUMIFS(Data!$AY$4:$AY$183,Data!$AM$4:$AM$183,$B65,Data!$AL$4:$AL$183,$A65,Data!$AK$4:$AK$183,$C65))</f>
        <v>0</v>
      </c>
      <c r="AD65" s="18">
        <f t="shared" ca="1" si="1"/>
        <v>0</v>
      </c>
      <c r="AE65" s="18">
        <f ca="1">IF($A65="","",SUMIFS(Data!$AJ$4:$AJ$183,Data!$AM$4:$AM$183,$B65,Data!$AL$4:$AL$183,$A65,Data!$AK$4:$AK$183,$C65))</f>
        <v>0</v>
      </c>
    </row>
    <row r="66" spans="1:31">
      <c r="A66" s="115" t="str">
        <f ca="1">IF(Data!T66="","",Data!T66)</f>
        <v>Jason</v>
      </c>
      <c r="B66" s="18" t="str">
        <f ca="1">IF(Data!U66="","",Data!U66)</f>
        <v>Baby Daisy</v>
      </c>
      <c r="C66" s="18" t="str">
        <f ca="1">IF(Data!S66="","",Data!S66)</f>
        <v>G4</v>
      </c>
      <c r="D66" s="18">
        <f ca="1">IF($A66="","",Data!W66)</f>
        <v>1</v>
      </c>
      <c r="E66" s="18">
        <f ca="1">IF($A66="","",Data!Y66)</f>
        <v>1</v>
      </c>
      <c r="F66" s="61">
        <f t="shared" ca="1" si="0"/>
        <v>1.0</v>
      </c>
      <c r="G66" s="18">
        <f ca="1">IF($A66="","",Data!AB66)</f>
        <v>0</v>
      </c>
      <c r="H66" s="18">
        <f ca="1">IF($A66="","",Data!AC66)</f>
        <v>0</v>
      </c>
      <c r="I66" s="18">
        <f ca="1">IF($A66="","",INT(SUMIFS(Data!$AN$4:$AN$183,Data!$AM$4:$AM$183,$B66,Data!$AL$4:$AL$183,$A66,Data!$AK$4:$AK$183,$C66))+MOD(ROUND(SUMIFS(Data!$AN$4:$AN$183,Data!$AM$4:$AM$183,$B66,Data!$AL$4:$AL$183,$A66,Data!$AK$4:$AK$183,$C66)*3,0),3)/10)</f>
        <v>0</v>
      </c>
      <c r="J66" s="18">
        <f ca="1">IF($A66="","",SUMIFS(Data!$AQ$4:$AQ$183,Data!$AM$4:$AM$183,$B66,Data!$AL$4:$AL$183,$A66,Data!$AK$4:$AK$183,$C66))</f>
        <v>0</v>
      </c>
      <c r="K66" s="62">
        <f ca="1">IF($A66="","",IF(SUMIFS(Data!$AN$4:$AN$183,Data!$AM$4:$AM$183,$B66,Data!$AL$4:$AL$183,$A66,Data!$AK$4:$AK$183,$C66)=0,"",J66*3/SUMIFS(Data!$AN$4:$AN$183,Data!$AM$4:$AM$183,$B66,Data!$AL$4:$AL$183,$A66,Data!$AK$4:$AK$183,$C66)))</f>
      </c>
      <c r="L66" s="18">
        <f ca="1">IF($A66="","",IF(IFERROR(_xlfn.XLOOKUP($C66,Bracket!$F$6:$F$16,Bracket!$K$6:$K$16,""),"")=$B66,1,0))</f>
        <v>0</v>
      </c>
      <c r="M66" s="18">
        <f ca="1">IF($A66="","",IF(AND(IFERROR(_xlfn.XLOOKUP($C66,Bracket!$F$6:$F$16,Bracket!$K$6:$K$16,""),"")=$B66,LEFT(IFERROR(_xlfn.XLOOKUP($C66,Bracket!$F$6:$F$16,Bracket!$G$6:$G$16,""),""),2)="CG"),1,0))</f>
        <v>0</v>
      </c>
      <c r="N66" s="18">
        <f ca="1">IF($A66="","",SUMIFS(Data!$X$4:$X$273,Data!$T$4:$T$273,$A66,Data!$U$4:$U$273,$B66,Data!$S$4:$S$273,$C66))</f>
        <v>0</v>
      </c>
      <c r="O66" s="18">
        <f ca="1">IF($A66="","",SUMIFS(Data!$Z$4:$Z$273,Data!$T$4:$T$273,$A66,Data!$U$4:$U$273,$B66,Data!$S$4:$S$273,$C66))</f>
        <v>1</v>
      </c>
      <c r="P66" s="18">
        <f ca="1">IF($A66="","",SUMIFS(Data!$AA$4:$AA$273,Data!$T$4:$T$273,$A66,Data!$U$4:$U$273,$B66,Data!$S$4:$S$273,$C66))</f>
        <v>0</v>
      </c>
      <c r="Q66" s="18">
        <f ca="1">IF($A66="","",SUMIFS(Data!$AD$4:$AD$273,Data!$T$4:$T$273,$A66,Data!$U$4:$U$273,$B66,Data!$S$4:$S$273,$C66))</f>
        <v>0</v>
      </c>
      <c r="R66" s="18">
        <f ca="1">IF($A66="","",SUMIFS(Data!$AE$4:$AE$273,Data!$T$4:$T$273,$A66,Data!$U$4:$U$273,$B66,Data!$S$4:$S$273,$C66))</f>
        <v>0</v>
      </c>
      <c r="S66" s="18">
        <f ca="1">IF($A66="","",SUMIFS(Data!$AF$4:$AF$273,Data!$T$4:$T$273,$A66,Data!$U$4:$U$273,$B66,Data!$S$4:$S$273,$C66))</f>
        <v>0</v>
      </c>
      <c r="T66" s="18">
        <f ca="1">IF($A66="","",SUMIFS(Data!$AG$4:$AG$273,Data!$T$4:$T$273,$A66,Data!$U$4:$U$273,$B66,Data!$S$4:$S$273,$C66))</f>
        <v>0</v>
      </c>
      <c r="U66" s="18">
        <f ca="1">IF($A66="","",SUMIFS(Data!$AH$4:$AH$273,Data!$T$4:$T$273,$A66,Data!$U$4:$U$273,$B66,Data!$S$4:$S$273,$C66))</f>
        <v>0</v>
      </c>
      <c r="V66" s="18">
        <f ca="1">IF($A66="","",SUMIFS(Data!$AO$4:$AO$183,Data!$AM$4:$AM$183,$B66,Data!$AL$4:$AL$183,$A66,Data!$AK$4:$AK$183,$C66))</f>
        <v>0</v>
      </c>
      <c r="W66" s="18">
        <f ca="1">IF($A66="","",SUMIFS(Data!$AP$4:$AP$183,Data!$AM$4:$AM$183,$B66,Data!$AL$4:$AL$183,$A66,Data!$AK$4:$AK$183,$C66))</f>
        <v>0</v>
      </c>
      <c r="X66" s="18">
        <f ca="1">IF($A66="","",SUMIFS(Data!$AR$4:$AR$183,Data!$AM$4:$AM$183,$B66,Data!$AL$4:$AL$183,$A66,Data!$AK$4:$AK$183,$C66))</f>
        <v>0</v>
      </c>
      <c r="Y66" s="18">
        <f ca="1">IF($A66="","",SUMIFS(Data!$AS$4:$AS$183,Data!$AM$4:$AM$183,$B66,Data!$AL$4:$AL$183,$A66,Data!$AK$4:$AK$183,$C66))</f>
        <v>0</v>
      </c>
      <c r="Z66" s="18">
        <f ca="1">IF($A66="","",SUMIFS(Data!$AT$4:$AT$183,Data!$AM$4:$AM$183,$B66,Data!$AL$4:$AL$183,$A66,Data!$AK$4:$AK$183,$C66))</f>
        <v>0</v>
      </c>
      <c r="AA66" s="18">
        <f ca="1">IF($A66="","",SUMIFS(Data!$AW$4:$AW$183,Data!$AM$4:$AM$183,$B66,Data!$AL$4:$AL$183,$A66,Data!$AK$4:$AK$183,$C66))</f>
        <v>0</v>
      </c>
      <c r="AB66" s="18">
        <f ca="1">IF($A66="","",SUMIFS(Data!$AX$4:$AX$183,Data!$AM$4:$AM$183,$B66,Data!$AL$4:$AL$183,$A66,Data!$AK$4:$AK$183,$C66))</f>
        <v>0</v>
      </c>
      <c r="AC66" s="18">
        <f ca="1">IF($A66="","",SUMIFS(Data!$AY$4:$AY$183,Data!$AM$4:$AM$183,$B66,Data!$AL$4:$AL$183,$A66,Data!$AK$4:$AK$183,$C66))</f>
        <v>0</v>
      </c>
      <c r="AD66" s="18">
        <f t="shared" ca="1" si="1"/>
        <v>0</v>
      </c>
      <c r="AE66" s="18">
        <f ca="1">IF($A66="","",SUMIFS(Data!$AJ$4:$AJ$183,Data!$AM$4:$AM$183,$B66,Data!$AL$4:$AL$183,$A66,Data!$AK$4:$AK$183,$C66))</f>
        <v>0</v>
      </c>
    </row>
    <row r="67" spans="1:31">
      <c r="A67" s="119" t="str">
        <f ca="1">IF(Data!T67="","",Data!T67)</f>
        <v>Aidan</v>
      </c>
      <c r="B67" s="18" t="str">
        <f ca="1">IF(Data!U67="","",Data!U67)</f>
        <v>Blue Kritter</v>
      </c>
      <c r="C67" s="18" t="str">
        <f ca="1">IF(Data!S67="","",Data!S67)</f>
        <v>G4</v>
      </c>
      <c r="D67" s="18">
        <f ca="1">IF($A67="","",Data!W67)</f>
        <v>2</v>
      </c>
      <c r="E67" s="18">
        <f ca="1">IF($A67="","",Data!Y67)</f>
        <v>0</v>
      </c>
      <c r="F67" s="61">
        <f t="shared" ca="1" si="0"/>
        <v>0.0</v>
      </c>
      <c r="G67" s="18">
        <f ca="1">IF($A67="","",Data!AB67)</f>
        <v>0</v>
      </c>
      <c r="H67" s="18">
        <f ca="1">IF($A67="","",Data!AC67)</f>
        <v>0</v>
      </c>
      <c r="I67" s="18">
        <f ca="1">IF($A67="","",INT(SUMIFS(Data!$AN$4:$AN$183,Data!$AM$4:$AM$183,$B67,Data!$AL$4:$AL$183,$A67,Data!$AK$4:$AK$183,$C67))+MOD(ROUND(SUMIFS(Data!$AN$4:$AN$183,Data!$AM$4:$AM$183,$B67,Data!$AL$4:$AL$183,$A67,Data!$AK$4:$AK$183,$C67)*3,0),3)/10)</f>
        <v>1.1</v>
      </c>
      <c r="J67" s="18">
        <f ca="1">IF($A67="","",SUMIFS(Data!$AQ$4:$AQ$183,Data!$AM$4:$AM$183,$B67,Data!$AL$4:$AL$183,$A67,Data!$AK$4:$AK$183,$C67))</f>
        <v>3</v>
      </c>
      <c r="K67" s="62">
        <f ca="1">IF($A67="","",IF(SUMIFS(Data!$AN$4:$AN$183,Data!$AM$4:$AM$183,$B67,Data!$AL$4:$AL$183,$A67,Data!$AK$4:$AK$183,$C67)=0,"",J67*3/SUMIFS(Data!$AN$4:$AN$183,Data!$AM$4:$AM$183,$B67,Data!$AL$4:$AL$183,$A67,Data!$AK$4:$AK$183,$C67)))</f>
        <v>6.75</v>
      </c>
      <c r="L67" s="18">
        <f ca="1">IF($A67="","",IF(IFERROR(_xlfn.XLOOKUP($C67,Bracket!$F$6:$F$16,Bracket!$K$6:$K$16,""),"")=$B67,1,0))</f>
        <v>0</v>
      </c>
      <c r="M67" s="18">
        <f ca="1">IF($A67="","",IF(AND(IFERROR(_xlfn.XLOOKUP($C67,Bracket!$F$6:$F$16,Bracket!$K$6:$K$16,""),"")=$B67,LEFT(IFERROR(_xlfn.XLOOKUP($C67,Bracket!$F$6:$F$16,Bracket!$G$6:$G$16,""),""),2)="CG"),1,0))</f>
        <v>0</v>
      </c>
      <c r="N67" s="18">
        <f ca="1">IF($A67="","",SUMIFS(Data!$X$4:$X$273,Data!$T$4:$T$273,$A67,Data!$U$4:$U$273,$B67,Data!$S$4:$S$273,$C67))</f>
        <v>0</v>
      </c>
      <c r="O67" s="18">
        <f ca="1">IF($A67="","",SUMIFS(Data!$Z$4:$Z$273,Data!$T$4:$T$273,$A67,Data!$U$4:$U$273,$B67,Data!$S$4:$S$273,$C67))</f>
        <v>0</v>
      </c>
      <c r="P67" s="18">
        <f ca="1">IF($A67="","",SUMIFS(Data!$AA$4:$AA$273,Data!$T$4:$T$273,$A67,Data!$U$4:$U$273,$B67,Data!$S$4:$S$273,$C67))</f>
        <v>0</v>
      </c>
      <c r="Q67" s="18">
        <f ca="1">IF($A67="","",SUMIFS(Data!$AD$4:$AD$273,Data!$T$4:$T$273,$A67,Data!$U$4:$U$273,$B67,Data!$S$4:$S$273,$C67))</f>
        <v>0</v>
      </c>
      <c r="R67" s="18">
        <f ca="1">IF($A67="","",SUMIFS(Data!$AE$4:$AE$273,Data!$T$4:$T$273,$A67,Data!$U$4:$U$273,$B67,Data!$S$4:$S$273,$C67))</f>
        <v>1</v>
      </c>
      <c r="S67" s="18">
        <f ca="1">IF($A67="","",SUMIFS(Data!$AF$4:$AF$273,Data!$T$4:$T$273,$A67,Data!$U$4:$U$273,$B67,Data!$S$4:$S$273,$C67))</f>
        <v>0</v>
      </c>
      <c r="T67" s="18">
        <f ca="1">IF($A67="","",SUMIFS(Data!$AG$4:$AG$273,Data!$T$4:$T$273,$A67,Data!$U$4:$U$273,$B67,Data!$S$4:$S$273,$C67))</f>
        <v>0</v>
      </c>
      <c r="U67" s="18">
        <f ca="1">IF($A67="","",SUMIFS(Data!$AH$4:$AH$273,Data!$T$4:$T$273,$A67,Data!$U$4:$U$273,$B67,Data!$S$4:$S$273,$C67))</f>
        <v>0</v>
      </c>
      <c r="V67" s="18">
        <f ca="1">IF($A67="","",SUMIFS(Data!$AO$4:$AO$183,Data!$AM$4:$AM$183,$B67,Data!$AL$4:$AL$183,$A67,Data!$AK$4:$AK$183,$C67))</f>
        <v>3</v>
      </c>
      <c r="W67" s="18">
        <f ca="1">IF($A67="","",SUMIFS(Data!$AP$4:$AP$183,Data!$AM$4:$AM$183,$B67,Data!$AL$4:$AL$183,$A67,Data!$AK$4:$AK$183,$C67))</f>
        <v>3</v>
      </c>
      <c r="X67" s="18">
        <f ca="1">IF($A67="","",SUMIFS(Data!$AR$4:$AR$183,Data!$AM$4:$AM$183,$B67,Data!$AL$4:$AL$183,$A67,Data!$AK$4:$AK$183,$C67))</f>
        <v>0</v>
      </c>
      <c r="Y67" s="18">
        <f ca="1">IF($A67="","",SUMIFS(Data!$AS$4:$AS$183,Data!$AM$4:$AM$183,$B67,Data!$AL$4:$AL$183,$A67,Data!$AK$4:$AK$183,$C67))</f>
        <v>2</v>
      </c>
      <c r="Z67" s="18">
        <f ca="1">IF($A67="","",SUMIFS(Data!$AT$4:$AT$183,Data!$AM$4:$AM$183,$B67,Data!$AL$4:$AL$183,$A67,Data!$AK$4:$AK$183,$C67))</f>
        <v>3</v>
      </c>
      <c r="AA67" s="18">
        <f ca="1">IF($A67="","",SUMIFS(Data!$AW$4:$AW$183,Data!$AM$4:$AM$183,$B67,Data!$AL$4:$AL$183,$A67,Data!$AK$4:$AK$183,$C67))</f>
        <v>0</v>
      </c>
      <c r="AB67" s="18">
        <f ca="1">IF($A67="","",SUMIFS(Data!$AX$4:$AX$183,Data!$AM$4:$AM$183,$B67,Data!$AL$4:$AL$183,$A67,Data!$AK$4:$AK$183,$C67))</f>
        <v>0</v>
      </c>
      <c r="AC67" s="18">
        <f ca="1">IF($A67="","",SUMIFS(Data!$AY$4:$AY$183,Data!$AM$4:$AM$183,$B67,Data!$AL$4:$AL$183,$A67,Data!$AK$4:$AK$183,$C67))</f>
        <v>0</v>
      </c>
      <c r="AD67" s="18">
        <f t="shared" ca="1" si="1"/>
        <v>2.25</v>
      </c>
      <c r="AE67" s="18">
        <f ca="1">IF($A67="","",SUMIFS(Data!$AJ$4:$AJ$183,Data!$AM$4:$AM$183,$B67,Data!$AL$4:$AL$183,$A67,Data!$AK$4:$AK$183,$C67))</f>
        <v>7</v>
      </c>
    </row>
    <row r="68" spans="1:31">
      <c r="A68" s="119" t="str">
        <f ca="1">IF(Data!T68="","",Data!T68)</f>
        <v>Aidan</v>
      </c>
      <c r="B68" s="18" t="str">
        <f ca="1">IF(Data!U68="","",Data!U68)</f>
        <v>Mario</v>
      </c>
      <c r="C68" s="18" t="str">
        <f ca="1">IF(Data!S68="","",Data!S68)</f>
        <v>G4</v>
      </c>
      <c r="D68" s="18">
        <f ca="1">IF($A68="","",Data!W68)</f>
        <v>2</v>
      </c>
      <c r="E68" s="18">
        <f ca="1">IF($A68="","",Data!Y68)</f>
        <v>0</v>
      </c>
      <c r="F68" s="61">
        <f t="shared" ca="1" si="0"/>
        <v>0.0</v>
      </c>
      <c r="G68" s="18">
        <f ca="1">IF($A68="","",Data!AB68)</f>
        <v>0</v>
      </c>
      <c r="H68" s="18">
        <f ca="1">IF($A68="","",Data!AC68)</f>
        <v>0</v>
      </c>
      <c r="I68" s="18">
        <f ca="1">IF($A68="","",INT(SUMIFS(Data!$AN$4:$AN$183,Data!$AM$4:$AM$183,$B68,Data!$AL$4:$AL$183,$A68,Data!$AK$4:$AK$183,$C68))+MOD(ROUND(SUMIFS(Data!$AN$4:$AN$183,Data!$AM$4:$AM$183,$B68,Data!$AL$4:$AL$183,$A68,Data!$AK$4:$AK$183,$C68)*3,0),3)/10)</f>
        <v>0</v>
      </c>
      <c r="J68" s="18">
        <f ca="1">IF($A68="","",SUMIFS(Data!$AQ$4:$AQ$183,Data!$AM$4:$AM$183,$B68,Data!$AL$4:$AL$183,$A68,Data!$AK$4:$AK$183,$C68))</f>
        <v>0</v>
      </c>
      <c r="K68" s="62">
        <f ca="1">IF($A68="","",IF(SUMIFS(Data!$AN$4:$AN$183,Data!$AM$4:$AM$183,$B68,Data!$AL$4:$AL$183,$A68,Data!$AK$4:$AK$183,$C68)=0,"",J68*3/SUMIFS(Data!$AN$4:$AN$183,Data!$AM$4:$AM$183,$B68,Data!$AL$4:$AL$183,$A68,Data!$AK$4:$AK$183,$C68)))</f>
      </c>
      <c r="L68" s="18">
        <f ca="1">IF($A68="","",IF(IFERROR(_xlfn.XLOOKUP($C68,Bracket!$F$6:$F$16,Bracket!$K$6:$K$16,""),"")=$B68,1,0))</f>
        <v>0</v>
      </c>
      <c r="M68" s="18">
        <f ca="1">IF($A68="","",IF(AND(IFERROR(_xlfn.XLOOKUP($C68,Bracket!$F$6:$F$16,Bracket!$K$6:$K$16,""),"")=$B68,LEFT(IFERROR(_xlfn.XLOOKUP($C68,Bracket!$F$6:$F$16,Bracket!$G$6:$G$16,""),""),2)="CG"),1,0))</f>
        <v>0</v>
      </c>
      <c r="N68" s="18">
        <f ca="1">IF($A68="","",SUMIFS(Data!$X$4:$X$273,Data!$T$4:$T$273,$A68,Data!$U$4:$U$273,$B68,Data!$S$4:$S$273,$C68))</f>
        <v>0</v>
      </c>
      <c r="O68" s="18">
        <f ca="1">IF($A68="","",SUMIFS(Data!$Z$4:$Z$273,Data!$T$4:$T$273,$A68,Data!$U$4:$U$273,$B68,Data!$S$4:$S$273,$C68))</f>
        <v>0</v>
      </c>
      <c r="P68" s="18">
        <f ca="1">IF($A68="","",SUMIFS(Data!$AA$4:$AA$273,Data!$T$4:$T$273,$A68,Data!$U$4:$U$273,$B68,Data!$S$4:$S$273,$C68))</f>
        <v>0</v>
      </c>
      <c r="Q68" s="18">
        <f ca="1">IF($A68="","",SUMIFS(Data!$AD$4:$AD$273,Data!$T$4:$T$273,$A68,Data!$U$4:$U$273,$B68,Data!$S$4:$S$273,$C68))</f>
        <v>0</v>
      </c>
      <c r="R68" s="18">
        <f ca="1">IF($A68="","",SUMIFS(Data!$AE$4:$AE$273,Data!$T$4:$T$273,$A68,Data!$U$4:$U$273,$B68,Data!$S$4:$S$273,$C68))</f>
        <v>1</v>
      </c>
      <c r="S68" s="18">
        <f ca="1">IF($A68="","",SUMIFS(Data!$AF$4:$AF$273,Data!$T$4:$T$273,$A68,Data!$U$4:$U$273,$B68,Data!$S$4:$S$273,$C68))</f>
        <v>0</v>
      </c>
      <c r="T68" s="18">
        <f ca="1">IF($A68="","",SUMIFS(Data!$AG$4:$AG$273,Data!$T$4:$T$273,$A68,Data!$U$4:$U$273,$B68,Data!$S$4:$S$273,$C68))</f>
        <v>0</v>
      </c>
      <c r="U68" s="18">
        <f ca="1">IF($A68="","",SUMIFS(Data!$AH$4:$AH$273,Data!$T$4:$T$273,$A68,Data!$U$4:$U$273,$B68,Data!$S$4:$S$273,$C68))</f>
        <v>0</v>
      </c>
      <c r="V68" s="18">
        <f ca="1">IF($A68="","",SUMIFS(Data!$AO$4:$AO$183,Data!$AM$4:$AM$183,$B68,Data!$AL$4:$AL$183,$A68,Data!$AK$4:$AK$183,$C68))</f>
        <v>0</v>
      </c>
      <c r="W68" s="18">
        <f ca="1">IF($A68="","",SUMIFS(Data!$AP$4:$AP$183,Data!$AM$4:$AM$183,$B68,Data!$AL$4:$AL$183,$A68,Data!$AK$4:$AK$183,$C68))</f>
        <v>0</v>
      </c>
      <c r="X68" s="18">
        <f ca="1">IF($A68="","",SUMIFS(Data!$AR$4:$AR$183,Data!$AM$4:$AM$183,$B68,Data!$AL$4:$AL$183,$A68,Data!$AK$4:$AK$183,$C68))</f>
        <v>0</v>
      </c>
      <c r="Y68" s="18">
        <f ca="1">IF($A68="","",SUMIFS(Data!$AS$4:$AS$183,Data!$AM$4:$AM$183,$B68,Data!$AL$4:$AL$183,$A68,Data!$AK$4:$AK$183,$C68))</f>
        <v>0</v>
      </c>
      <c r="Z68" s="18">
        <f ca="1">IF($A68="","",SUMIFS(Data!$AT$4:$AT$183,Data!$AM$4:$AM$183,$B68,Data!$AL$4:$AL$183,$A68,Data!$AK$4:$AK$183,$C68))</f>
        <v>0</v>
      </c>
      <c r="AA68" s="18">
        <f ca="1">IF($A68="","",SUMIFS(Data!$AW$4:$AW$183,Data!$AM$4:$AM$183,$B68,Data!$AL$4:$AL$183,$A68,Data!$AK$4:$AK$183,$C68))</f>
        <v>0</v>
      </c>
      <c r="AB68" s="18">
        <f ca="1">IF($A68="","",SUMIFS(Data!$AX$4:$AX$183,Data!$AM$4:$AM$183,$B68,Data!$AL$4:$AL$183,$A68,Data!$AK$4:$AK$183,$C68))</f>
        <v>0</v>
      </c>
      <c r="AC68" s="18">
        <f ca="1">IF($A68="","",SUMIFS(Data!$AY$4:$AY$183,Data!$AM$4:$AM$183,$B68,Data!$AL$4:$AL$183,$A68,Data!$AK$4:$AK$183,$C68))</f>
        <v>0</v>
      </c>
      <c r="AD68" s="18">
        <f t="shared" ca="1" si="1"/>
        <v>0</v>
      </c>
      <c r="AE68" s="18">
        <f ca="1">IF($A68="","",SUMIFS(Data!$AJ$4:$AJ$183,Data!$AM$4:$AM$183,$B68,Data!$AL$4:$AL$183,$A68,Data!$AK$4:$AK$183,$C68))</f>
        <v>0</v>
      </c>
    </row>
    <row r="69" spans="1:31">
      <c r="A69" s="119" t="str">
        <f ca="1">IF(Data!T69="","",Data!T69)</f>
        <v>Aidan</v>
      </c>
      <c r="B69" s="18" t="str">
        <f ca="1">IF(Data!U69="","",Data!U69)</f>
        <v>Luigi</v>
      </c>
      <c r="C69" s="18" t="str">
        <f ca="1">IF(Data!S69="","",Data!S69)</f>
        <v>G4</v>
      </c>
      <c r="D69" s="18">
        <f ca="1">IF($A69="","",Data!W69)</f>
        <v>2</v>
      </c>
      <c r="E69" s="18">
        <f ca="1">IF($A69="","",Data!Y69)</f>
        <v>0</v>
      </c>
      <c r="F69" s="61">
        <f t="shared" ref="F69:F132" ca="1" si="2">IF($A69="","",IF(D69=0,0,E69/D69))</f>
        <v>0.0</v>
      </c>
      <c r="G69" s="18">
        <f ca="1">IF($A69="","",Data!AB69)</f>
        <v>0</v>
      </c>
      <c r="H69" s="18">
        <f ca="1">IF($A69="","",Data!AC69)</f>
        <v>0</v>
      </c>
      <c r="I69" s="18">
        <f ca="1">IF($A69="","",INT(SUMIFS(Data!$AN$4:$AN$183,Data!$AM$4:$AM$183,$B69,Data!$AL$4:$AL$183,$A69,Data!$AK$4:$AK$183,$C69))+MOD(ROUND(SUMIFS(Data!$AN$4:$AN$183,Data!$AM$4:$AM$183,$B69,Data!$AL$4:$AL$183,$A69,Data!$AK$4:$AK$183,$C69)*3,0),3)/10)</f>
        <v>0</v>
      </c>
      <c r="J69" s="18">
        <f ca="1">IF($A69="","",SUMIFS(Data!$AQ$4:$AQ$183,Data!$AM$4:$AM$183,$B69,Data!$AL$4:$AL$183,$A69,Data!$AK$4:$AK$183,$C69))</f>
        <v>0</v>
      </c>
      <c r="K69" s="62">
        <f ca="1">IF($A69="","",IF(SUMIFS(Data!$AN$4:$AN$183,Data!$AM$4:$AM$183,$B69,Data!$AL$4:$AL$183,$A69,Data!$AK$4:$AK$183,$C69)=0,"",J69*3/SUMIFS(Data!$AN$4:$AN$183,Data!$AM$4:$AM$183,$B69,Data!$AL$4:$AL$183,$A69,Data!$AK$4:$AK$183,$C69)))</f>
      </c>
      <c r="L69" s="18">
        <f ca="1">IF($A69="","",IF(IFERROR(_xlfn.XLOOKUP($C69,Bracket!$F$6:$F$16,Bracket!$K$6:$K$16,""),"")=$B69,1,0))</f>
        <v>0</v>
      </c>
      <c r="M69" s="18">
        <f ca="1">IF($A69="","",IF(AND(IFERROR(_xlfn.XLOOKUP($C69,Bracket!$F$6:$F$16,Bracket!$K$6:$K$16,""),"")=$B69,LEFT(IFERROR(_xlfn.XLOOKUP($C69,Bracket!$F$6:$F$16,Bracket!$G$6:$G$16,""),""),2)="CG"),1,0))</f>
        <v>0</v>
      </c>
      <c r="N69" s="18">
        <f ca="1">IF($A69="","",SUMIFS(Data!$X$4:$X$273,Data!$T$4:$T$273,$A69,Data!$U$4:$U$273,$B69,Data!$S$4:$S$273,$C69))</f>
        <v>0</v>
      </c>
      <c r="O69" s="18">
        <f ca="1">IF($A69="","",SUMIFS(Data!$Z$4:$Z$273,Data!$T$4:$T$273,$A69,Data!$U$4:$U$273,$B69,Data!$S$4:$S$273,$C69))</f>
        <v>0</v>
      </c>
      <c r="P69" s="18">
        <f ca="1">IF($A69="","",SUMIFS(Data!$AA$4:$AA$273,Data!$T$4:$T$273,$A69,Data!$U$4:$U$273,$B69,Data!$S$4:$S$273,$C69))</f>
        <v>0</v>
      </c>
      <c r="Q69" s="18">
        <f ca="1">IF($A69="","",SUMIFS(Data!$AD$4:$AD$273,Data!$T$4:$T$273,$A69,Data!$U$4:$U$273,$B69,Data!$S$4:$S$273,$C69))</f>
        <v>0</v>
      </c>
      <c r="R69" s="18">
        <f ca="1">IF($A69="","",SUMIFS(Data!$AE$4:$AE$273,Data!$T$4:$T$273,$A69,Data!$U$4:$U$273,$B69,Data!$S$4:$S$273,$C69))</f>
        <v>1</v>
      </c>
      <c r="S69" s="18">
        <f ca="1">IF($A69="","",SUMIFS(Data!$AF$4:$AF$273,Data!$T$4:$T$273,$A69,Data!$U$4:$U$273,$B69,Data!$S$4:$S$273,$C69))</f>
        <v>0</v>
      </c>
      <c r="T69" s="18">
        <f ca="1">IF($A69="","",SUMIFS(Data!$AG$4:$AG$273,Data!$T$4:$T$273,$A69,Data!$U$4:$U$273,$B69,Data!$S$4:$S$273,$C69))</f>
        <v>0</v>
      </c>
      <c r="U69" s="18">
        <f ca="1">IF($A69="","",SUMIFS(Data!$AH$4:$AH$273,Data!$T$4:$T$273,$A69,Data!$U$4:$U$273,$B69,Data!$S$4:$S$273,$C69))</f>
        <v>0</v>
      </c>
      <c r="V69" s="18">
        <f ca="1">IF($A69="","",SUMIFS(Data!$AO$4:$AO$183,Data!$AM$4:$AM$183,$B69,Data!$AL$4:$AL$183,$A69,Data!$AK$4:$AK$183,$C69))</f>
        <v>0</v>
      </c>
      <c r="W69" s="18">
        <f ca="1">IF($A69="","",SUMIFS(Data!$AP$4:$AP$183,Data!$AM$4:$AM$183,$B69,Data!$AL$4:$AL$183,$A69,Data!$AK$4:$AK$183,$C69))</f>
        <v>0</v>
      </c>
      <c r="X69" s="18">
        <f ca="1">IF($A69="","",SUMIFS(Data!$AR$4:$AR$183,Data!$AM$4:$AM$183,$B69,Data!$AL$4:$AL$183,$A69,Data!$AK$4:$AK$183,$C69))</f>
        <v>0</v>
      </c>
      <c r="Y69" s="18">
        <f ca="1">IF($A69="","",SUMIFS(Data!$AS$4:$AS$183,Data!$AM$4:$AM$183,$B69,Data!$AL$4:$AL$183,$A69,Data!$AK$4:$AK$183,$C69))</f>
        <v>0</v>
      </c>
      <c r="Z69" s="18">
        <f ca="1">IF($A69="","",SUMIFS(Data!$AT$4:$AT$183,Data!$AM$4:$AM$183,$B69,Data!$AL$4:$AL$183,$A69,Data!$AK$4:$AK$183,$C69))</f>
        <v>0</v>
      </c>
      <c r="AA69" s="18">
        <f ca="1">IF($A69="","",SUMIFS(Data!$AW$4:$AW$183,Data!$AM$4:$AM$183,$B69,Data!$AL$4:$AL$183,$A69,Data!$AK$4:$AK$183,$C69))</f>
        <v>0</v>
      </c>
      <c r="AB69" s="18">
        <f ca="1">IF($A69="","",SUMIFS(Data!$AX$4:$AX$183,Data!$AM$4:$AM$183,$B69,Data!$AL$4:$AL$183,$A69,Data!$AK$4:$AK$183,$C69))</f>
        <v>0</v>
      </c>
      <c r="AC69" s="18">
        <f ca="1">IF($A69="","",SUMIFS(Data!$AY$4:$AY$183,Data!$AM$4:$AM$183,$B69,Data!$AL$4:$AL$183,$A69,Data!$AK$4:$AK$183,$C69))</f>
        <v>0</v>
      </c>
      <c r="AD69" s="18">
        <f t="shared" ref="AD69:AD132" ca="1" si="3">IF($A69="","",IF($I69=0,0,(V69+X69)/$I69))</f>
        <v>0</v>
      </c>
      <c r="AE69" s="18">
        <f ca="1">IF($A69="","",SUMIFS(Data!$AJ$4:$AJ$183,Data!$AM$4:$AM$183,$B69,Data!$AL$4:$AL$183,$A69,Data!$AK$4:$AK$183,$C69))</f>
        <v>0</v>
      </c>
    </row>
    <row r="70" spans="1:31">
      <c r="A70" s="119" t="str">
        <f ca="1">IF(Data!T70="","",Data!T70)</f>
        <v>Aidan</v>
      </c>
      <c r="B70" s="18" t="str">
        <f ca="1">IF(Data!U70="","",Data!U70)</f>
        <v>Blue Pianta</v>
      </c>
      <c r="C70" s="18" t="str">
        <f ca="1">IF(Data!S70="","",Data!S70)</f>
        <v>G4</v>
      </c>
      <c r="D70" s="18">
        <f ca="1">IF($A70="","",Data!W70)</f>
        <v>1</v>
      </c>
      <c r="E70" s="18">
        <f ca="1">IF($A70="","",Data!Y70)</f>
        <v>1</v>
      </c>
      <c r="F70" s="61">
        <f t="shared" ca="1" si="2"/>
        <v>1.0</v>
      </c>
      <c r="G70" s="18">
        <f ca="1">IF($A70="","",Data!AB70)</f>
        <v>0</v>
      </c>
      <c r="H70" s="18">
        <f ca="1">IF($A70="","",Data!AC70)</f>
        <v>0</v>
      </c>
      <c r="I70" s="18">
        <f ca="1">IF($A70="","",INT(SUMIFS(Data!$AN$4:$AN$183,Data!$AM$4:$AM$183,$B70,Data!$AL$4:$AL$183,$A70,Data!$AK$4:$AK$183,$C70))+MOD(ROUND(SUMIFS(Data!$AN$4:$AN$183,Data!$AM$4:$AM$183,$B70,Data!$AL$4:$AL$183,$A70,Data!$AK$4:$AK$183,$C70)*3,0),3)/10)</f>
        <v>0</v>
      </c>
      <c r="J70" s="18">
        <f ca="1">IF($A70="","",SUMIFS(Data!$AQ$4:$AQ$183,Data!$AM$4:$AM$183,$B70,Data!$AL$4:$AL$183,$A70,Data!$AK$4:$AK$183,$C70))</f>
        <v>0</v>
      </c>
      <c r="K70" s="62">
        <f ca="1">IF($A70="","",IF(SUMIFS(Data!$AN$4:$AN$183,Data!$AM$4:$AM$183,$B70,Data!$AL$4:$AL$183,$A70,Data!$AK$4:$AK$183,$C70)=0,"",J70*3/SUMIFS(Data!$AN$4:$AN$183,Data!$AM$4:$AM$183,$B70,Data!$AL$4:$AL$183,$A70,Data!$AK$4:$AK$183,$C70)))</f>
      </c>
      <c r="L70" s="18">
        <f ca="1">IF($A70="","",IF(IFERROR(_xlfn.XLOOKUP($C70,Bracket!$F$6:$F$16,Bracket!$K$6:$K$16,""),"")=$B70,1,0))</f>
        <v>0</v>
      </c>
      <c r="M70" s="18">
        <f ca="1">IF($A70="","",IF(AND(IFERROR(_xlfn.XLOOKUP($C70,Bracket!$F$6:$F$16,Bracket!$K$6:$K$16,""),"")=$B70,LEFT(IFERROR(_xlfn.XLOOKUP($C70,Bracket!$F$6:$F$16,Bracket!$G$6:$G$16,""),""),2)="CG"),1,0))</f>
        <v>0</v>
      </c>
      <c r="N70" s="18">
        <f ca="1">IF($A70="","",SUMIFS(Data!$X$4:$X$273,Data!$T$4:$T$273,$A70,Data!$U$4:$U$273,$B70,Data!$S$4:$S$273,$C70))</f>
        <v>1</v>
      </c>
      <c r="O70" s="18">
        <f ca="1">IF($A70="","",SUMIFS(Data!$Z$4:$Z$273,Data!$T$4:$T$273,$A70,Data!$U$4:$U$273,$B70,Data!$S$4:$S$273,$C70))</f>
        <v>0</v>
      </c>
      <c r="P70" s="18">
        <f ca="1">IF($A70="","",SUMIFS(Data!$AA$4:$AA$273,Data!$T$4:$T$273,$A70,Data!$U$4:$U$273,$B70,Data!$S$4:$S$273,$C70))</f>
        <v>0</v>
      </c>
      <c r="Q70" s="18">
        <f ca="1">IF($A70="","",SUMIFS(Data!$AD$4:$AD$273,Data!$T$4:$T$273,$A70,Data!$U$4:$U$273,$B70,Data!$S$4:$S$273,$C70))</f>
        <v>0</v>
      </c>
      <c r="R70" s="18">
        <f ca="1">IF($A70="","",SUMIFS(Data!$AE$4:$AE$273,Data!$T$4:$T$273,$A70,Data!$U$4:$U$273,$B70,Data!$S$4:$S$273,$C70))</f>
        <v>0</v>
      </c>
      <c r="S70" s="18">
        <f ca="1">IF($A70="","",SUMIFS(Data!$AF$4:$AF$273,Data!$T$4:$T$273,$A70,Data!$U$4:$U$273,$B70,Data!$S$4:$S$273,$C70))</f>
        <v>0</v>
      </c>
      <c r="T70" s="18">
        <f ca="1">IF($A70="","",SUMIFS(Data!$AG$4:$AG$273,Data!$T$4:$T$273,$A70,Data!$U$4:$U$273,$B70,Data!$S$4:$S$273,$C70))</f>
        <v>0</v>
      </c>
      <c r="U70" s="18">
        <f ca="1">IF($A70="","",SUMIFS(Data!$AH$4:$AH$273,Data!$T$4:$T$273,$A70,Data!$U$4:$U$273,$B70,Data!$S$4:$S$273,$C70))</f>
        <v>0</v>
      </c>
      <c r="V70" s="18">
        <f ca="1">IF($A70="","",SUMIFS(Data!$AO$4:$AO$183,Data!$AM$4:$AM$183,$B70,Data!$AL$4:$AL$183,$A70,Data!$AK$4:$AK$183,$C70))</f>
        <v>0</v>
      </c>
      <c r="W70" s="18">
        <f ca="1">IF($A70="","",SUMIFS(Data!$AP$4:$AP$183,Data!$AM$4:$AM$183,$B70,Data!$AL$4:$AL$183,$A70,Data!$AK$4:$AK$183,$C70))</f>
        <v>0</v>
      </c>
      <c r="X70" s="18">
        <f ca="1">IF($A70="","",SUMIFS(Data!$AR$4:$AR$183,Data!$AM$4:$AM$183,$B70,Data!$AL$4:$AL$183,$A70,Data!$AK$4:$AK$183,$C70))</f>
        <v>0</v>
      </c>
      <c r="Y70" s="18">
        <f ca="1">IF($A70="","",SUMIFS(Data!$AS$4:$AS$183,Data!$AM$4:$AM$183,$B70,Data!$AL$4:$AL$183,$A70,Data!$AK$4:$AK$183,$C70))</f>
        <v>0</v>
      </c>
      <c r="Z70" s="18">
        <f ca="1">IF($A70="","",SUMIFS(Data!$AT$4:$AT$183,Data!$AM$4:$AM$183,$B70,Data!$AL$4:$AL$183,$A70,Data!$AK$4:$AK$183,$C70))</f>
        <v>0</v>
      </c>
      <c r="AA70" s="18">
        <f ca="1">IF($A70="","",SUMIFS(Data!$AW$4:$AW$183,Data!$AM$4:$AM$183,$B70,Data!$AL$4:$AL$183,$A70,Data!$AK$4:$AK$183,$C70))</f>
        <v>0</v>
      </c>
      <c r="AB70" s="18">
        <f ca="1">IF($A70="","",SUMIFS(Data!$AX$4:$AX$183,Data!$AM$4:$AM$183,$B70,Data!$AL$4:$AL$183,$A70,Data!$AK$4:$AK$183,$C70))</f>
        <v>0</v>
      </c>
      <c r="AC70" s="18">
        <f ca="1">IF($A70="","",SUMIFS(Data!$AY$4:$AY$183,Data!$AM$4:$AM$183,$B70,Data!$AL$4:$AL$183,$A70,Data!$AK$4:$AK$183,$C70))</f>
        <v>0</v>
      </c>
      <c r="AD70" s="18">
        <f t="shared" ca="1" si="3"/>
        <v>0</v>
      </c>
      <c r="AE70" s="18">
        <f ca="1">IF($A70="","",SUMIFS(Data!$AJ$4:$AJ$183,Data!$AM$4:$AM$183,$B70,Data!$AL$4:$AL$183,$A70,Data!$AK$4:$AK$183,$C70))</f>
        <v>0</v>
      </c>
    </row>
    <row r="71" spans="1:31">
      <c r="A71" s="119" t="str">
        <f ca="1">IF(Data!T71="","",Data!T71)</f>
        <v>Aidan</v>
      </c>
      <c r="B71" s="18" t="str">
        <f ca="1">IF(Data!U71="","",Data!U71)</f>
        <v>Dark Bones</v>
      </c>
      <c r="C71" s="18" t="str">
        <f ca="1">IF(Data!S71="","",Data!S71)</f>
        <v>G4</v>
      </c>
      <c r="D71" s="18">
        <f ca="1">IF($A71="","",Data!W71)</f>
        <v>1</v>
      </c>
      <c r="E71" s="18">
        <f ca="1">IF($A71="","",Data!Y71)</f>
        <v>1</v>
      </c>
      <c r="F71" s="61">
        <f t="shared" ca="1" si="2"/>
        <v>1.0</v>
      </c>
      <c r="G71" s="18">
        <f ca="1">IF($A71="","",Data!AB71)</f>
        <v>1</v>
      </c>
      <c r="H71" s="18">
        <f ca="1">IF($A71="","",Data!AC71)</f>
        <v>2</v>
      </c>
      <c r="I71" s="18">
        <f ca="1">IF($A71="","",INT(SUMIFS(Data!$AN$4:$AN$183,Data!$AM$4:$AM$183,$B71,Data!$AL$4:$AL$183,$A71,Data!$AK$4:$AK$183,$C71))+MOD(ROUND(SUMIFS(Data!$AN$4:$AN$183,Data!$AM$4:$AM$183,$B71,Data!$AL$4:$AL$183,$A71,Data!$AK$4:$AK$183,$C71)*3,0),3)/10)</f>
        <v>0</v>
      </c>
      <c r="J71" s="18">
        <f ca="1">IF($A71="","",SUMIFS(Data!$AQ$4:$AQ$183,Data!$AM$4:$AM$183,$B71,Data!$AL$4:$AL$183,$A71,Data!$AK$4:$AK$183,$C71))</f>
        <v>0</v>
      </c>
      <c r="K71" s="62">
        <f ca="1">IF($A71="","",IF(SUMIFS(Data!$AN$4:$AN$183,Data!$AM$4:$AM$183,$B71,Data!$AL$4:$AL$183,$A71,Data!$AK$4:$AK$183,$C71)=0,"",J71*3/SUMIFS(Data!$AN$4:$AN$183,Data!$AM$4:$AM$183,$B71,Data!$AL$4:$AL$183,$A71,Data!$AK$4:$AK$183,$C71)))</f>
      </c>
      <c r="L71" s="18">
        <f ca="1">IF($A71="","",IF(IFERROR(_xlfn.XLOOKUP($C71,Bracket!$F$6:$F$16,Bracket!$K$6:$K$16,""),"")=$B71,1,0))</f>
        <v>0</v>
      </c>
      <c r="M71" s="18">
        <f ca="1">IF($A71="","",IF(AND(IFERROR(_xlfn.XLOOKUP($C71,Bracket!$F$6:$F$16,Bracket!$K$6:$K$16,""),"")=$B71,LEFT(IFERROR(_xlfn.XLOOKUP($C71,Bracket!$F$6:$F$16,Bracket!$G$6:$G$16,""),""),2)="CG"),1,0))</f>
        <v>0</v>
      </c>
      <c r="N71" s="18">
        <f ca="1">IF($A71="","",SUMIFS(Data!$X$4:$X$273,Data!$T$4:$T$273,$A71,Data!$U$4:$U$273,$B71,Data!$S$4:$S$273,$C71))</f>
        <v>1</v>
      </c>
      <c r="O71" s="18">
        <f ca="1">IF($A71="","",SUMIFS(Data!$Z$4:$Z$273,Data!$T$4:$T$273,$A71,Data!$U$4:$U$273,$B71,Data!$S$4:$S$273,$C71))</f>
        <v>0</v>
      </c>
      <c r="P71" s="18">
        <f ca="1">IF($A71="","",SUMIFS(Data!$AA$4:$AA$273,Data!$T$4:$T$273,$A71,Data!$U$4:$U$273,$B71,Data!$S$4:$S$273,$C71))</f>
        <v>0</v>
      </c>
      <c r="Q71" s="18">
        <f ca="1">IF($A71="","",SUMIFS(Data!$AD$4:$AD$273,Data!$T$4:$T$273,$A71,Data!$U$4:$U$273,$B71,Data!$S$4:$S$273,$C71))</f>
        <v>0</v>
      </c>
      <c r="R71" s="18">
        <f ca="1">IF($A71="","",SUMIFS(Data!$AE$4:$AE$273,Data!$T$4:$T$273,$A71,Data!$U$4:$U$273,$B71,Data!$S$4:$S$273,$C71))</f>
        <v>0</v>
      </c>
      <c r="S71" s="18">
        <f ca="1">IF($A71="","",SUMIFS(Data!$AF$4:$AF$273,Data!$T$4:$T$273,$A71,Data!$U$4:$U$273,$B71,Data!$S$4:$S$273,$C71))</f>
        <v>0</v>
      </c>
      <c r="T71" s="18">
        <f ca="1">IF($A71="","",SUMIFS(Data!$AG$4:$AG$273,Data!$T$4:$T$273,$A71,Data!$U$4:$U$273,$B71,Data!$S$4:$S$273,$C71))</f>
        <v>0</v>
      </c>
      <c r="U71" s="18">
        <f ca="1">IF($A71="","",SUMIFS(Data!$AH$4:$AH$273,Data!$T$4:$T$273,$A71,Data!$U$4:$U$273,$B71,Data!$S$4:$S$273,$C71))</f>
        <v>0</v>
      </c>
      <c r="V71" s="18">
        <f ca="1">IF($A71="","",SUMIFS(Data!$AO$4:$AO$183,Data!$AM$4:$AM$183,$B71,Data!$AL$4:$AL$183,$A71,Data!$AK$4:$AK$183,$C71))</f>
        <v>0</v>
      </c>
      <c r="W71" s="18">
        <f ca="1">IF($A71="","",SUMIFS(Data!$AP$4:$AP$183,Data!$AM$4:$AM$183,$B71,Data!$AL$4:$AL$183,$A71,Data!$AK$4:$AK$183,$C71))</f>
        <v>0</v>
      </c>
      <c r="X71" s="18">
        <f ca="1">IF($A71="","",SUMIFS(Data!$AR$4:$AR$183,Data!$AM$4:$AM$183,$B71,Data!$AL$4:$AL$183,$A71,Data!$AK$4:$AK$183,$C71))</f>
        <v>0</v>
      </c>
      <c r="Y71" s="18">
        <f ca="1">IF($A71="","",SUMIFS(Data!$AS$4:$AS$183,Data!$AM$4:$AM$183,$B71,Data!$AL$4:$AL$183,$A71,Data!$AK$4:$AK$183,$C71))</f>
        <v>0</v>
      </c>
      <c r="Z71" s="18">
        <f ca="1">IF($A71="","",SUMIFS(Data!$AT$4:$AT$183,Data!$AM$4:$AM$183,$B71,Data!$AL$4:$AL$183,$A71,Data!$AK$4:$AK$183,$C71))</f>
        <v>0</v>
      </c>
      <c r="AA71" s="18">
        <f ca="1">IF($A71="","",SUMIFS(Data!$AW$4:$AW$183,Data!$AM$4:$AM$183,$B71,Data!$AL$4:$AL$183,$A71,Data!$AK$4:$AK$183,$C71))</f>
        <v>0</v>
      </c>
      <c r="AB71" s="18">
        <f ca="1">IF($A71="","",SUMIFS(Data!$AX$4:$AX$183,Data!$AM$4:$AM$183,$B71,Data!$AL$4:$AL$183,$A71,Data!$AK$4:$AK$183,$C71))</f>
        <v>0</v>
      </c>
      <c r="AC71" s="18">
        <f ca="1">IF($A71="","",SUMIFS(Data!$AY$4:$AY$183,Data!$AM$4:$AM$183,$B71,Data!$AL$4:$AL$183,$A71,Data!$AK$4:$AK$183,$C71))</f>
        <v>0</v>
      </c>
      <c r="AD71" s="18">
        <f t="shared" ca="1" si="3"/>
        <v>0</v>
      </c>
      <c r="AE71" s="18">
        <f ca="1">IF($A71="","",SUMIFS(Data!$AJ$4:$AJ$183,Data!$AM$4:$AM$183,$B71,Data!$AL$4:$AL$183,$A71,Data!$AK$4:$AK$183,$C71))</f>
        <v>0</v>
      </c>
    </row>
    <row r="72" spans="1:31">
      <c r="A72" s="119" t="str">
        <f ca="1">IF(Data!T72="","",Data!T72)</f>
        <v>Aidan</v>
      </c>
      <c r="B72" s="18" t="str">
        <f ca="1">IF(Data!U72="","",Data!U72)</f>
        <v>Blue Dry Bones</v>
      </c>
      <c r="C72" s="18" t="str">
        <f ca="1">IF(Data!S72="","",Data!S72)</f>
        <v>G4</v>
      </c>
      <c r="D72" s="18">
        <f ca="1">IF($A72="","",Data!W72)</f>
        <v>1</v>
      </c>
      <c r="E72" s="18">
        <f ca="1">IF($A72="","",Data!Y72)</f>
        <v>1</v>
      </c>
      <c r="F72" s="61">
        <f t="shared" ca="1" si="2"/>
        <v>1.0</v>
      </c>
      <c r="G72" s="18">
        <f ca="1">IF($A72="","",Data!AB72)</f>
        <v>0</v>
      </c>
      <c r="H72" s="18">
        <f ca="1">IF($A72="","",Data!AC72)</f>
        <v>0</v>
      </c>
      <c r="I72" s="18">
        <f ca="1">IF($A72="","",INT(SUMIFS(Data!$AN$4:$AN$183,Data!$AM$4:$AM$183,$B72,Data!$AL$4:$AL$183,$A72,Data!$AK$4:$AK$183,$C72))+MOD(ROUND(SUMIFS(Data!$AN$4:$AN$183,Data!$AM$4:$AM$183,$B72,Data!$AL$4:$AL$183,$A72,Data!$AK$4:$AK$183,$C72)*3,0),3)/10)</f>
        <v>0</v>
      </c>
      <c r="J72" s="18">
        <f ca="1">IF($A72="","",SUMIFS(Data!$AQ$4:$AQ$183,Data!$AM$4:$AM$183,$B72,Data!$AL$4:$AL$183,$A72,Data!$AK$4:$AK$183,$C72))</f>
        <v>0</v>
      </c>
      <c r="K72" s="62">
        <f ca="1">IF($A72="","",IF(SUMIFS(Data!$AN$4:$AN$183,Data!$AM$4:$AM$183,$B72,Data!$AL$4:$AL$183,$A72,Data!$AK$4:$AK$183,$C72)=0,"",J72*3/SUMIFS(Data!$AN$4:$AN$183,Data!$AM$4:$AM$183,$B72,Data!$AL$4:$AL$183,$A72,Data!$AK$4:$AK$183,$C72)))</f>
      </c>
      <c r="L72" s="18">
        <f ca="1">IF($A72="","",IF(IFERROR(_xlfn.XLOOKUP($C72,Bracket!$F$6:$F$16,Bracket!$K$6:$K$16,""),"")=$B72,1,0))</f>
        <v>0</v>
      </c>
      <c r="M72" s="18">
        <f ca="1">IF($A72="","",IF(AND(IFERROR(_xlfn.XLOOKUP($C72,Bracket!$F$6:$F$16,Bracket!$K$6:$K$16,""),"")=$B72,LEFT(IFERROR(_xlfn.XLOOKUP($C72,Bracket!$F$6:$F$16,Bracket!$G$6:$G$16,""),""),2)="CG"),1,0))</f>
        <v>0</v>
      </c>
      <c r="N72" s="18">
        <f ca="1">IF($A72="","",SUMIFS(Data!$X$4:$X$273,Data!$T$4:$T$273,$A72,Data!$U$4:$U$273,$B72,Data!$S$4:$S$273,$C72))</f>
        <v>0</v>
      </c>
      <c r="O72" s="18">
        <f ca="1">IF($A72="","",SUMIFS(Data!$Z$4:$Z$273,Data!$T$4:$T$273,$A72,Data!$U$4:$U$273,$B72,Data!$S$4:$S$273,$C72))</f>
        <v>1</v>
      </c>
      <c r="P72" s="18">
        <f ca="1">IF($A72="","",SUMIFS(Data!$AA$4:$AA$273,Data!$T$4:$T$273,$A72,Data!$U$4:$U$273,$B72,Data!$S$4:$S$273,$C72))</f>
        <v>0</v>
      </c>
      <c r="Q72" s="18">
        <f ca="1">IF($A72="","",SUMIFS(Data!$AD$4:$AD$273,Data!$T$4:$T$273,$A72,Data!$U$4:$U$273,$B72,Data!$S$4:$S$273,$C72))</f>
        <v>0</v>
      </c>
      <c r="R72" s="18">
        <f ca="1">IF($A72="","",SUMIFS(Data!$AE$4:$AE$273,Data!$T$4:$T$273,$A72,Data!$U$4:$U$273,$B72,Data!$S$4:$S$273,$C72))</f>
        <v>0</v>
      </c>
      <c r="S72" s="18">
        <f ca="1">IF($A72="","",SUMIFS(Data!$AF$4:$AF$273,Data!$T$4:$T$273,$A72,Data!$U$4:$U$273,$B72,Data!$S$4:$S$273,$C72))</f>
        <v>0</v>
      </c>
      <c r="T72" s="18">
        <f ca="1">IF($A72="","",SUMIFS(Data!$AG$4:$AG$273,Data!$T$4:$T$273,$A72,Data!$U$4:$U$273,$B72,Data!$S$4:$S$273,$C72))</f>
        <v>0</v>
      </c>
      <c r="U72" s="18">
        <f ca="1">IF($A72="","",SUMIFS(Data!$AH$4:$AH$273,Data!$T$4:$T$273,$A72,Data!$U$4:$U$273,$B72,Data!$S$4:$S$273,$C72))</f>
        <v>0</v>
      </c>
      <c r="V72" s="18">
        <f ca="1">IF($A72="","",SUMIFS(Data!$AO$4:$AO$183,Data!$AM$4:$AM$183,$B72,Data!$AL$4:$AL$183,$A72,Data!$AK$4:$AK$183,$C72))</f>
        <v>0</v>
      </c>
      <c r="W72" s="18">
        <f ca="1">IF($A72="","",SUMIFS(Data!$AP$4:$AP$183,Data!$AM$4:$AM$183,$B72,Data!$AL$4:$AL$183,$A72,Data!$AK$4:$AK$183,$C72))</f>
        <v>0</v>
      </c>
      <c r="X72" s="18">
        <f ca="1">IF($A72="","",SUMIFS(Data!$AR$4:$AR$183,Data!$AM$4:$AM$183,$B72,Data!$AL$4:$AL$183,$A72,Data!$AK$4:$AK$183,$C72))</f>
        <v>0</v>
      </c>
      <c r="Y72" s="18">
        <f ca="1">IF($A72="","",SUMIFS(Data!$AS$4:$AS$183,Data!$AM$4:$AM$183,$B72,Data!$AL$4:$AL$183,$A72,Data!$AK$4:$AK$183,$C72))</f>
        <v>0</v>
      </c>
      <c r="Z72" s="18">
        <f ca="1">IF($A72="","",SUMIFS(Data!$AT$4:$AT$183,Data!$AM$4:$AM$183,$B72,Data!$AL$4:$AL$183,$A72,Data!$AK$4:$AK$183,$C72))</f>
        <v>0</v>
      </c>
      <c r="AA72" s="18">
        <f ca="1">IF($A72="","",SUMIFS(Data!$AW$4:$AW$183,Data!$AM$4:$AM$183,$B72,Data!$AL$4:$AL$183,$A72,Data!$AK$4:$AK$183,$C72))</f>
        <v>0</v>
      </c>
      <c r="AB72" s="18">
        <f ca="1">IF($A72="","",SUMIFS(Data!$AX$4:$AX$183,Data!$AM$4:$AM$183,$B72,Data!$AL$4:$AL$183,$A72,Data!$AK$4:$AK$183,$C72))</f>
        <v>0</v>
      </c>
      <c r="AC72" s="18">
        <f ca="1">IF($A72="","",SUMIFS(Data!$AY$4:$AY$183,Data!$AM$4:$AM$183,$B72,Data!$AL$4:$AL$183,$A72,Data!$AK$4:$AK$183,$C72))</f>
        <v>0</v>
      </c>
      <c r="AD72" s="18">
        <f t="shared" ca="1" si="3"/>
        <v>0</v>
      </c>
      <c r="AE72" s="18">
        <f ca="1">IF($A72="","",SUMIFS(Data!$AJ$4:$AJ$183,Data!$AM$4:$AM$183,$B72,Data!$AL$4:$AL$183,$A72,Data!$AK$4:$AK$183,$C72))</f>
        <v>0</v>
      </c>
    </row>
    <row r="73" spans="1:31">
      <c r="A73" s="119" t="str">
        <f ca="1">IF(Data!T73="","",Data!T73)</f>
        <v>Aidan</v>
      </c>
      <c r="B73" s="18" t="str">
        <f ca="1">IF(Data!U73="","",Data!U73)</f>
        <v>Red Magikoopa</v>
      </c>
      <c r="C73" s="18" t="str">
        <f ca="1">IF(Data!S73="","",Data!S73)</f>
        <v>G4</v>
      </c>
      <c r="D73" s="18">
        <f ca="1">IF($A73="","",Data!W73)</f>
        <v>1</v>
      </c>
      <c r="E73" s="18">
        <f ca="1">IF($A73="","",Data!Y73)</f>
        <v>0</v>
      </c>
      <c r="F73" s="61">
        <f t="shared" ca="1" si="2"/>
        <v>0.0</v>
      </c>
      <c r="G73" s="18">
        <f ca="1">IF($A73="","",Data!AB73)</f>
        <v>0</v>
      </c>
      <c r="H73" s="18">
        <f ca="1">IF($A73="","",Data!AC73)</f>
        <v>0</v>
      </c>
      <c r="I73" s="18">
        <f ca="1">IF($A73="","",INT(SUMIFS(Data!$AN$4:$AN$183,Data!$AM$4:$AM$183,$B73,Data!$AL$4:$AL$183,$A73,Data!$AK$4:$AK$183,$C73))+MOD(ROUND(SUMIFS(Data!$AN$4:$AN$183,Data!$AM$4:$AM$183,$B73,Data!$AL$4:$AL$183,$A73,Data!$AK$4:$AK$183,$C73)*3,0),3)/10)</f>
        <v>1.2</v>
      </c>
      <c r="J73" s="18">
        <f ca="1">IF($A73="","",SUMIFS(Data!$AQ$4:$AQ$183,Data!$AM$4:$AM$183,$B73,Data!$AL$4:$AL$183,$A73,Data!$AK$4:$AK$183,$C73))</f>
        <v>2</v>
      </c>
      <c r="K73" s="62">
        <f ca="1">IF($A73="","",IF(SUMIFS(Data!$AN$4:$AN$183,Data!$AM$4:$AM$183,$B73,Data!$AL$4:$AL$183,$A73,Data!$AK$4:$AK$183,$C73)=0,"",J73*3/SUMIFS(Data!$AN$4:$AN$183,Data!$AM$4:$AM$183,$B73,Data!$AL$4:$AL$183,$A73,Data!$AK$4:$AK$183,$C73)))</f>
        <v>3.5999999999999996</v>
      </c>
      <c r="L73" s="18">
        <f ca="1">IF($A73="","",IF(IFERROR(_xlfn.XLOOKUP($C73,Bracket!$F$6:$F$16,Bracket!$K$6:$K$16,""),"")=$B73,1,0))</f>
        <v>0</v>
      </c>
      <c r="M73" s="18">
        <f ca="1">IF($A73="","",IF(AND(IFERROR(_xlfn.XLOOKUP($C73,Bracket!$F$6:$F$16,Bracket!$K$6:$K$16,""),"")=$B73,LEFT(IFERROR(_xlfn.XLOOKUP($C73,Bracket!$F$6:$F$16,Bracket!$G$6:$G$16,""),""),2)="CG"),1,0))</f>
        <v>0</v>
      </c>
      <c r="N73" s="18">
        <f ca="1">IF($A73="","",SUMIFS(Data!$X$4:$X$273,Data!$T$4:$T$273,$A73,Data!$U$4:$U$273,$B73,Data!$S$4:$S$273,$C73))</f>
        <v>0</v>
      </c>
      <c r="O73" s="18">
        <f ca="1">IF($A73="","",SUMIFS(Data!$Z$4:$Z$273,Data!$T$4:$T$273,$A73,Data!$U$4:$U$273,$B73,Data!$S$4:$S$273,$C73))</f>
        <v>0</v>
      </c>
      <c r="P73" s="18">
        <f ca="1">IF($A73="","",SUMIFS(Data!$AA$4:$AA$273,Data!$T$4:$T$273,$A73,Data!$U$4:$U$273,$B73,Data!$S$4:$S$273,$C73))</f>
        <v>0</v>
      </c>
      <c r="Q73" s="18">
        <f ca="1">IF($A73="","",SUMIFS(Data!$AD$4:$AD$273,Data!$T$4:$T$273,$A73,Data!$U$4:$U$273,$B73,Data!$S$4:$S$273,$C73))</f>
        <v>0</v>
      </c>
      <c r="R73" s="18">
        <f ca="1">IF($A73="","",SUMIFS(Data!$AE$4:$AE$273,Data!$T$4:$T$273,$A73,Data!$U$4:$U$273,$B73,Data!$S$4:$S$273,$C73))</f>
        <v>0</v>
      </c>
      <c r="S73" s="18">
        <f ca="1">IF($A73="","",SUMIFS(Data!$AF$4:$AF$273,Data!$T$4:$T$273,$A73,Data!$U$4:$U$273,$B73,Data!$S$4:$S$273,$C73))</f>
        <v>0</v>
      </c>
      <c r="T73" s="18">
        <f ca="1">IF($A73="","",SUMIFS(Data!$AG$4:$AG$273,Data!$T$4:$T$273,$A73,Data!$U$4:$U$273,$B73,Data!$S$4:$S$273,$C73))</f>
        <v>0</v>
      </c>
      <c r="U73" s="18">
        <f ca="1">IF($A73="","",SUMIFS(Data!$AH$4:$AH$273,Data!$T$4:$T$273,$A73,Data!$U$4:$U$273,$B73,Data!$S$4:$S$273,$C73))</f>
        <v>0</v>
      </c>
      <c r="V73" s="18">
        <f ca="1">IF($A73="","",SUMIFS(Data!$AO$4:$AO$183,Data!$AM$4:$AM$183,$B73,Data!$AL$4:$AL$183,$A73,Data!$AK$4:$AK$183,$C73))</f>
        <v>5</v>
      </c>
      <c r="W73" s="18">
        <f ca="1">IF($A73="","",SUMIFS(Data!$AP$4:$AP$183,Data!$AM$4:$AM$183,$B73,Data!$AL$4:$AL$183,$A73,Data!$AK$4:$AK$183,$C73))</f>
        <v>2</v>
      </c>
      <c r="X73" s="18">
        <f ca="1">IF($A73="","",SUMIFS(Data!$AR$4:$AR$183,Data!$AM$4:$AM$183,$B73,Data!$AL$4:$AL$183,$A73,Data!$AK$4:$AK$183,$C73))</f>
        <v>0</v>
      </c>
      <c r="Y73" s="18">
        <f ca="1">IF($A73="","",SUMIFS(Data!$AS$4:$AS$183,Data!$AM$4:$AM$183,$B73,Data!$AL$4:$AL$183,$A73,Data!$AK$4:$AK$183,$C73))</f>
        <v>1</v>
      </c>
      <c r="Z73" s="18">
        <f ca="1">IF($A73="","",SUMIFS(Data!$AT$4:$AT$183,Data!$AM$4:$AM$183,$B73,Data!$AL$4:$AL$183,$A73,Data!$AK$4:$AK$183,$C73))</f>
        <v>2</v>
      </c>
      <c r="AA73" s="18">
        <f ca="1">IF($A73="","",SUMIFS(Data!$AW$4:$AW$183,Data!$AM$4:$AM$183,$B73,Data!$AL$4:$AL$183,$A73,Data!$AK$4:$AK$183,$C73))</f>
        <v>0</v>
      </c>
      <c r="AB73" s="18">
        <f ca="1">IF($A73="","",SUMIFS(Data!$AX$4:$AX$183,Data!$AM$4:$AM$183,$B73,Data!$AL$4:$AL$183,$A73,Data!$AK$4:$AK$183,$C73))</f>
        <v>0</v>
      </c>
      <c r="AC73" s="18">
        <f ca="1">IF($A73="","",SUMIFS(Data!$AY$4:$AY$183,Data!$AM$4:$AM$183,$B73,Data!$AL$4:$AL$183,$A73,Data!$AK$4:$AK$183,$C73))</f>
        <v>0</v>
      </c>
      <c r="AD73" s="18">
        <f t="shared" ca="1" si="3"/>
        <v>3.0</v>
      </c>
      <c r="AE73" s="18">
        <f ca="1">IF($A73="","",SUMIFS(Data!$AJ$4:$AJ$183,Data!$AM$4:$AM$183,$B73,Data!$AL$4:$AL$183,$A73,Data!$AK$4:$AK$183,$C73))</f>
        <v>10</v>
      </c>
    </row>
    <row r="74" spans="1:31">
      <c r="A74" s="119" t="str">
        <f ca="1">IF(Data!T74="","",Data!T74)</f>
        <v>Aidan</v>
      </c>
      <c r="B74" s="18" t="str">
        <f ca="1">IF(Data!U74="","",Data!U74)</f>
        <v>Yellow Pianta</v>
      </c>
      <c r="C74" s="18" t="str">
        <f ca="1">IF(Data!S74="","",Data!S74)</f>
        <v>G4</v>
      </c>
      <c r="D74" s="18">
        <f ca="1">IF($A74="","",Data!W74)</f>
        <v>1</v>
      </c>
      <c r="E74" s="18">
        <f ca="1">IF($A74="","",Data!Y74)</f>
        <v>0</v>
      </c>
      <c r="F74" s="61">
        <f t="shared" ca="1" si="2"/>
        <v>0.0</v>
      </c>
      <c r="G74" s="18">
        <f ca="1">IF($A74="","",Data!AB74)</f>
        <v>0</v>
      </c>
      <c r="H74" s="18">
        <f ca="1">IF($A74="","",Data!AC74)</f>
        <v>0</v>
      </c>
      <c r="I74" s="18">
        <f ca="1">IF($A74="","",INT(SUMIFS(Data!$AN$4:$AN$183,Data!$AM$4:$AM$183,$B74,Data!$AL$4:$AL$183,$A74,Data!$AK$4:$AK$183,$C74))+MOD(ROUND(SUMIFS(Data!$AN$4:$AN$183,Data!$AM$4:$AM$183,$B74,Data!$AL$4:$AL$183,$A74,Data!$AK$4:$AK$183,$C74)*3,0),3)/10)</f>
        <v>0</v>
      </c>
      <c r="J74" s="18">
        <f ca="1">IF($A74="","",SUMIFS(Data!$AQ$4:$AQ$183,Data!$AM$4:$AM$183,$B74,Data!$AL$4:$AL$183,$A74,Data!$AK$4:$AK$183,$C74))</f>
        <v>0</v>
      </c>
      <c r="K74" s="62">
        <f ca="1">IF($A74="","",IF(SUMIFS(Data!$AN$4:$AN$183,Data!$AM$4:$AM$183,$B74,Data!$AL$4:$AL$183,$A74,Data!$AK$4:$AK$183,$C74)=0,"",J74*3/SUMIFS(Data!$AN$4:$AN$183,Data!$AM$4:$AM$183,$B74,Data!$AL$4:$AL$183,$A74,Data!$AK$4:$AK$183,$C74)))</f>
      </c>
      <c r="L74" s="18">
        <f ca="1">IF($A74="","",IF(IFERROR(_xlfn.XLOOKUP($C74,Bracket!$F$6:$F$16,Bracket!$K$6:$K$16,""),"")=$B74,1,0))</f>
        <v>0</v>
      </c>
      <c r="M74" s="18">
        <f ca="1">IF($A74="","",IF(AND(IFERROR(_xlfn.XLOOKUP($C74,Bracket!$F$6:$F$16,Bracket!$K$6:$K$16,""),"")=$B74,LEFT(IFERROR(_xlfn.XLOOKUP($C74,Bracket!$F$6:$F$16,Bracket!$G$6:$G$16,""),""),2)="CG"),1,0))</f>
        <v>0</v>
      </c>
      <c r="N74" s="18">
        <f ca="1">IF($A74="","",SUMIFS(Data!$X$4:$X$273,Data!$T$4:$T$273,$A74,Data!$U$4:$U$273,$B74,Data!$S$4:$S$273,$C74))</f>
        <v>0</v>
      </c>
      <c r="O74" s="18">
        <f ca="1">IF($A74="","",SUMIFS(Data!$Z$4:$Z$273,Data!$T$4:$T$273,$A74,Data!$U$4:$U$273,$B74,Data!$S$4:$S$273,$C74))</f>
        <v>0</v>
      </c>
      <c r="P74" s="18">
        <f ca="1">IF($A74="","",SUMIFS(Data!$AA$4:$AA$273,Data!$T$4:$T$273,$A74,Data!$U$4:$U$273,$B74,Data!$S$4:$S$273,$C74))</f>
        <v>0</v>
      </c>
      <c r="Q74" s="18">
        <f ca="1">IF($A74="","",SUMIFS(Data!$AD$4:$AD$273,Data!$T$4:$T$273,$A74,Data!$U$4:$U$273,$B74,Data!$S$4:$S$273,$C74))</f>
        <v>0</v>
      </c>
      <c r="R74" s="18">
        <f ca="1">IF($A74="","",SUMIFS(Data!$AE$4:$AE$273,Data!$T$4:$T$273,$A74,Data!$U$4:$U$273,$B74,Data!$S$4:$S$273,$C74))</f>
        <v>0</v>
      </c>
      <c r="S74" s="18">
        <f ca="1">IF($A74="","",SUMIFS(Data!$AF$4:$AF$273,Data!$T$4:$T$273,$A74,Data!$U$4:$U$273,$B74,Data!$S$4:$S$273,$C74))</f>
        <v>0</v>
      </c>
      <c r="T74" s="18">
        <f ca="1">IF($A74="","",SUMIFS(Data!$AG$4:$AG$273,Data!$T$4:$T$273,$A74,Data!$U$4:$U$273,$B74,Data!$S$4:$S$273,$C74))</f>
        <v>0</v>
      </c>
      <c r="U74" s="18">
        <f ca="1">IF($A74="","",SUMIFS(Data!$AH$4:$AH$273,Data!$T$4:$T$273,$A74,Data!$U$4:$U$273,$B74,Data!$S$4:$S$273,$C74))</f>
        <v>0</v>
      </c>
      <c r="V74" s="18">
        <f ca="1">IF($A74="","",SUMIFS(Data!$AO$4:$AO$183,Data!$AM$4:$AM$183,$B74,Data!$AL$4:$AL$183,$A74,Data!$AK$4:$AK$183,$C74))</f>
        <v>0</v>
      </c>
      <c r="W74" s="18">
        <f ca="1">IF($A74="","",SUMIFS(Data!$AP$4:$AP$183,Data!$AM$4:$AM$183,$B74,Data!$AL$4:$AL$183,$A74,Data!$AK$4:$AK$183,$C74))</f>
        <v>0</v>
      </c>
      <c r="X74" s="18">
        <f ca="1">IF($A74="","",SUMIFS(Data!$AR$4:$AR$183,Data!$AM$4:$AM$183,$B74,Data!$AL$4:$AL$183,$A74,Data!$AK$4:$AK$183,$C74))</f>
        <v>0</v>
      </c>
      <c r="Y74" s="18">
        <f ca="1">IF($A74="","",SUMIFS(Data!$AS$4:$AS$183,Data!$AM$4:$AM$183,$B74,Data!$AL$4:$AL$183,$A74,Data!$AK$4:$AK$183,$C74))</f>
        <v>0</v>
      </c>
      <c r="Z74" s="18">
        <f ca="1">IF($A74="","",SUMIFS(Data!$AT$4:$AT$183,Data!$AM$4:$AM$183,$B74,Data!$AL$4:$AL$183,$A74,Data!$AK$4:$AK$183,$C74))</f>
        <v>0</v>
      </c>
      <c r="AA74" s="18">
        <f ca="1">IF($A74="","",SUMIFS(Data!$AW$4:$AW$183,Data!$AM$4:$AM$183,$B74,Data!$AL$4:$AL$183,$A74,Data!$AK$4:$AK$183,$C74))</f>
        <v>0</v>
      </c>
      <c r="AB74" s="18">
        <f ca="1">IF($A74="","",SUMIFS(Data!$AX$4:$AX$183,Data!$AM$4:$AM$183,$B74,Data!$AL$4:$AL$183,$A74,Data!$AK$4:$AK$183,$C74))</f>
        <v>0</v>
      </c>
      <c r="AC74" s="18">
        <f ca="1">IF($A74="","",SUMIFS(Data!$AY$4:$AY$183,Data!$AM$4:$AM$183,$B74,Data!$AL$4:$AL$183,$A74,Data!$AK$4:$AK$183,$C74))</f>
        <v>0</v>
      </c>
      <c r="AD74" s="18">
        <f t="shared" ca="1" si="3"/>
        <v>0</v>
      </c>
      <c r="AE74" s="18">
        <f ca="1">IF($A74="","",SUMIFS(Data!$AJ$4:$AJ$183,Data!$AM$4:$AM$183,$B74,Data!$AL$4:$AL$183,$A74,Data!$AK$4:$AK$183,$C74))</f>
        <v>0</v>
      </c>
    </row>
    <row r="75" spans="1:31">
      <c r="A75" s="119" t="str">
        <f ca="1">IF(Data!T75="","",Data!T75)</f>
        <v>Aidan</v>
      </c>
      <c r="B75" s="18" t="str">
        <f ca="1">IF(Data!U75="","",Data!U75)</f>
        <v>Pink Yoshi</v>
      </c>
      <c r="C75" s="18" t="str">
        <f ca="1">IF(Data!S75="","",Data!S75)</f>
        <v>G4</v>
      </c>
      <c r="D75" s="18">
        <f ca="1">IF($A75="","",Data!W75)</f>
        <v>1</v>
      </c>
      <c r="E75" s="18">
        <f ca="1">IF($A75="","",Data!Y75)</f>
        <v>0</v>
      </c>
      <c r="F75" s="61">
        <f t="shared" ca="1" si="2"/>
        <v>0.0</v>
      </c>
      <c r="G75" s="18">
        <f ca="1">IF($A75="","",Data!AB75)</f>
        <v>0</v>
      </c>
      <c r="H75" s="18">
        <f ca="1">IF($A75="","",Data!AC75)</f>
        <v>0</v>
      </c>
      <c r="I75" s="18">
        <f ca="1">IF($A75="","",INT(SUMIFS(Data!$AN$4:$AN$183,Data!$AM$4:$AM$183,$B75,Data!$AL$4:$AL$183,$A75,Data!$AK$4:$AK$183,$C75))+MOD(ROUND(SUMIFS(Data!$AN$4:$AN$183,Data!$AM$4:$AM$183,$B75,Data!$AL$4:$AL$183,$A75,Data!$AK$4:$AK$183,$C75)*3,0),3)/10)</f>
        <v>0</v>
      </c>
      <c r="J75" s="18">
        <f ca="1">IF($A75="","",SUMIFS(Data!$AQ$4:$AQ$183,Data!$AM$4:$AM$183,$B75,Data!$AL$4:$AL$183,$A75,Data!$AK$4:$AK$183,$C75))</f>
        <v>0</v>
      </c>
      <c r="K75" s="62">
        <f ca="1">IF($A75="","",IF(SUMIFS(Data!$AN$4:$AN$183,Data!$AM$4:$AM$183,$B75,Data!$AL$4:$AL$183,$A75,Data!$AK$4:$AK$183,$C75)=0,"",J75*3/SUMIFS(Data!$AN$4:$AN$183,Data!$AM$4:$AM$183,$B75,Data!$AL$4:$AL$183,$A75,Data!$AK$4:$AK$183,$C75)))</f>
      </c>
      <c r="L75" s="18">
        <f ca="1">IF($A75="","",IF(IFERROR(_xlfn.XLOOKUP($C75,Bracket!$F$6:$F$16,Bracket!$K$6:$K$16,""),"")=$B75,1,0))</f>
        <v>0</v>
      </c>
      <c r="M75" s="18">
        <f ca="1">IF($A75="","",IF(AND(IFERROR(_xlfn.XLOOKUP($C75,Bracket!$F$6:$F$16,Bracket!$K$6:$K$16,""),"")=$B75,LEFT(IFERROR(_xlfn.XLOOKUP($C75,Bracket!$F$6:$F$16,Bracket!$G$6:$G$16,""),""),2)="CG"),1,0))</f>
        <v>0</v>
      </c>
      <c r="N75" s="18">
        <f ca="1">IF($A75="","",SUMIFS(Data!$X$4:$X$273,Data!$T$4:$T$273,$A75,Data!$U$4:$U$273,$B75,Data!$S$4:$S$273,$C75))</f>
        <v>0</v>
      </c>
      <c r="O75" s="18">
        <f ca="1">IF($A75="","",SUMIFS(Data!$Z$4:$Z$273,Data!$T$4:$T$273,$A75,Data!$U$4:$U$273,$B75,Data!$S$4:$S$273,$C75))</f>
        <v>0</v>
      </c>
      <c r="P75" s="18">
        <f ca="1">IF($A75="","",SUMIFS(Data!$AA$4:$AA$273,Data!$T$4:$T$273,$A75,Data!$U$4:$U$273,$B75,Data!$S$4:$S$273,$C75))</f>
        <v>0</v>
      </c>
      <c r="Q75" s="18">
        <f ca="1">IF($A75="","",SUMIFS(Data!$AD$4:$AD$273,Data!$T$4:$T$273,$A75,Data!$U$4:$U$273,$B75,Data!$S$4:$S$273,$C75))</f>
        <v>0</v>
      </c>
      <c r="R75" s="18">
        <f ca="1">IF($A75="","",SUMIFS(Data!$AE$4:$AE$273,Data!$T$4:$T$273,$A75,Data!$U$4:$U$273,$B75,Data!$S$4:$S$273,$C75))</f>
        <v>0</v>
      </c>
      <c r="S75" s="18">
        <f ca="1">IF($A75="","",SUMIFS(Data!$AF$4:$AF$273,Data!$T$4:$T$273,$A75,Data!$U$4:$U$273,$B75,Data!$S$4:$S$273,$C75))</f>
        <v>0</v>
      </c>
      <c r="T75" s="18">
        <f ca="1">IF($A75="","",SUMIFS(Data!$AG$4:$AG$273,Data!$T$4:$T$273,$A75,Data!$U$4:$U$273,$B75,Data!$S$4:$S$273,$C75))</f>
        <v>0</v>
      </c>
      <c r="U75" s="18">
        <f ca="1">IF($A75="","",SUMIFS(Data!$AH$4:$AH$273,Data!$T$4:$T$273,$A75,Data!$U$4:$U$273,$B75,Data!$S$4:$S$273,$C75))</f>
        <v>0</v>
      </c>
      <c r="V75" s="18">
        <f ca="1">IF($A75="","",SUMIFS(Data!$AO$4:$AO$183,Data!$AM$4:$AM$183,$B75,Data!$AL$4:$AL$183,$A75,Data!$AK$4:$AK$183,$C75))</f>
        <v>0</v>
      </c>
      <c r="W75" s="18">
        <f ca="1">IF($A75="","",SUMIFS(Data!$AP$4:$AP$183,Data!$AM$4:$AM$183,$B75,Data!$AL$4:$AL$183,$A75,Data!$AK$4:$AK$183,$C75))</f>
        <v>0</v>
      </c>
      <c r="X75" s="18">
        <f ca="1">IF($A75="","",SUMIFS(Data!$AR$4:$AR$183,Data!$AM$4:$AM$183,$B75,Data!$AL$4:$AL$183,$A75,Data!$AK$4:$AK$183,$C75))</f>
        <v>0</v>
      </c>
      <c r="Y75" s="18">
        <f ca="1">IF($A75="","",SUMIFS(Data!$AS$4:$AS$183,Data!$AM$4:$AM$183,$B75,Data!$AL$4:$AL$183,$A75,Data!$AK$4:$AK$183,$C75))</f>
        <v>0</v>
      </c>
      <c r="Z75" s="18">
        <f ca="1">IF($A75="","",SUMIFS(Data!$AT$4:$AT$183,Data!$AM$4:$AM$183,$B75,Data!$AL$4:$AL$183,$A75,Data!$AK$4:$AK$183,$C75))</f>
        <v>0</v>
      </c>
      <c r="AA75" s="18">
        <f ca="1">IF($A75="","",SUMIFS(Data!$AW$4:$AW$183,Data!$AM$4:$AM$183,$B75,Data!$AL$4:$AL$183,$A75,Data!$AK$4:$AK$183,$C75))</f>
        <v>0</v>
      </c>
      <c r="AB75" s="18">
        <f ca="1">IF($A75="","",SUMIFS(Data!$AX$4:$AX$183,Data!$AM$4:$AM$183,$B75,Data!$AL$4:$AL$183,$A75,Data!$AK$4:$AK$183,$C75))</f>
        <v>0</v>
      </c>
      <c r="AC75" s="18">
        <f ca="1">IF($A75="","",SUMIFS(Data!$AY$4:$AY$183,Data!$AM$4:$AM$183,$B75,Data!$AL$4:$AL$183,$A75,Data!$AK$4:$AK$183,$C75))</f>
        <v>0</v>
      </c>
      <c r="AD75" s="18">
        <f t="shared" ca="1" si="3"/>
        <v>0</v>
      </c>
      <c r="AE75" s="18">
        <f ca="1">IF($A75="","",SUMIFS(Data!$AJ$4:$AJ$183,Data!$AM$4:$AM$183,$B75,Data!$AL$4:$AL$183,$A75,Data!$AK$4:$AK$183,$C75))</f>
        <v>0</v>
      </c>
    </row>
    <row r="76" spans="1:31">
      <c r="A76" s="117" t="str">
        <f ca="1">IF(Data!T76="","",Data!T76)</f>
        <v>May</v>
      </c>
      <c r="B76" s="18" t="str">
        <f ca="1">IF(Data!U76="","",Data!U76)</f>
        <v>Red Kritter</v>
      </c>
      <c r="C76" s="18" t="str">
        <f ca="1">IF(Data!S76="","",Data!S76)</f>
        <v>G5</v>
      </c>
      <c r="D76" s="18">
        <f ca="1">IF($A76="","",Data!W76)</f>
        <v>1</v>
      </c>
      <c r="E76" s="18">
        <f ca="1">IF($A76="","",Data!Y76)</f>
        <v>1</v>
      </c>
      <c r="F76" s="61">
        <f t="shared" ca="1" si="2"/>
        <v>1.0</v>
      </c>
      <c r="G76" s="18">
        <f ca="1">IF($A76="","",Data!AB76)</f>
        <v>1</v>
      </c>
      <c r="H76" s="18">
        <f ca="1">IF($A76="","",Data!AC76)</f>
        <v>1</v>
      </c>
      <c r="I76" s="18">
        <f ca="1">IF($A76="","",INT(SUMIFS(Data!$AN$4:$AN$183,Data!$AM$4:$AM$183,$B76,Data!$AL$4:$AL$183,$A76,Data!$AK$4:$AK$183,$C76))+MOD(ROUND(SUMIFS(Data!$AN$4:$AN$183,Data!$AM$4:$AM$183,$B76,Data!$AL$4:$AL$183,$A76,Data!$AK$4:$AK$183,$C76)*3,0),3)/10)</f>
        <v>0</v>
      </c>
      <c r="J76" s="18">
        <f ca="1">IF($A76="","",SUMIFS(Data!$AQ$4:$AQ$183,Data!$AM$4:$AM$183,$B76,Data!$AL$4:$AL$183,$A76,Data!$AK$4:$AK$183,$C76))</f>
        <v>0</v>
      </c>
      <c r="K76" s="62">
        <f ca="1">IF($A76="","",IF(SUMIFS(Data!$AN$4:$AN$183,Data!$AM$4:$AM$183,$B76,Data!$AL$4:$AL$183,$A76,Data!$AK$4:$AK$183,$C76)=0,"",J76*3/SUMIFS(Data!$AN$4:$AN$183,Data!$AM$4:$AM$183,$B76,Data!$AL$4:$AL$183,$A76,Data!$AK$4:$AK$183,$C76)))</f>
      </c>
      <c r="L76" s="18">
        <f ca="1">IF($A76="","",IF(IFERROR(_xlfn.XLOOKUP($C76,Bracket!$F$6:$F$16,Bracket!$K$6:$K$16,""),"")=$B76,1,0))</f>
        <v>0</v>
      </c>
      <c r="M76" s="18">
        <f ca="1">IF($A76="","",IF(AND(IFERROR(_xlfn.XLOOKUP($C76,Bracket!$F$6:$F$16,Bracket!$K$6:$K$16,""),"")=$B76,LEFT(IFERROR(_xlfn.XLOOKUP($C76,Bracket!$F$6:$F$16,Bracket!$G$6:$G$16,""),""),2)="CG"),1,0))</f>
        <v>0</v>
      </c>
      <c r="N76" s="18">
        <f ca="1">IF($A76="","",SUMIFS(Data!$X$4:$X$273,Data!$T$4:$T$273,$A76,Data!$U$4:$U$273,$B76,Data!$S$4:$S$273,$C76))</f>
        <v>1</v>
      </c>
      <c r="O76" s="18">
        <f ca="1">IF($A76="","",SUMIFS(Data!$Z$4:$Z$273,Data!$T$4:$T$273,$A76,Data!$U$4:$U$273,$B76,Data!$S$4:$S$273,$C76))</f>
        <v>0</v>
      </c>
      <c r="P76" s="18">
        <f ca="1">IF($A76="","",SUMIFS(Data!$AA$4:$AA$273,Data!$T$4:$T$273,$A76,Data!$U$4:$U$273,$B76,Data!$S$4:$S$273,$C76))</f>
        <v>0</v>
      </c>
      <c r="Q76" s="18">
        <f ca="1">IF($A76="","",SUMIFS(Data!$AD$4:$AD$273,Data!$T$4:$T$273,$A76,Data!$U$4:$U$273,$B76,Data!$S$4:$S$273,$C76))</f>
        <v>0</v>
      </c>
      <c r="R76" s="18">
        <f ca="1">IF($A76="","",SUMIFS(Data!$AE$4:$AE$273,Data!$T$4:$T$273,$A76,Data!$U$4:$U$273,$B76,Data!$S$4:$S$273,$C76))</f>
        <v>0</v>
      </c>
      <c r="S76" s="18">
        <f ca="1">IF($A76="","",SUMIFS(Data!$AF$4:$AF$273,Data!$T$4:$T$273,$A76,Data!$U$4:$U$273,$B76,Data!$S$4:$S$273,$C76))</f>
        <v>0</v>
      </c>
      <c r="T76" s="18">
        <f ca="1">IF($A76="","",SUMIFS(Data!$AG$4:$AG$273,Data!$T$4:$T$273,$A76,Data!$U$4:$U$273,$B76,Data!$S$4:$S$273,$C76))</f>
        <v>0</v>
      </c>
      <c r="U76" s="18">
        <f ca="1">IF($A76="","",SUMIFS(Data!$AH$4:$AH$273,Data!$T$4:$T$273,$A76,Data!$U$4:$U$273,$B76,Data!$S$4:$S$273,$C76))</f>
        <v>0</v>
      </c>
      <c r="V76" s="18">
        <f ca="1">IF($A76="","",SUMIFS(Data!$AO$4:$AO$183,Data!$AM$4:$AM$183,$B76,Data!$AL$4:$AL$183,$A76,Data!$AK$4:$AK$183,$C76))</f>
        <v>0</v>
      </c>
      <c r="W76" s="18">
        <f ca="1">IF($A76="","",SUMIFS(Data!$AP$4:$AP$183,Data!$AM$4:$AM$183,$B76,Data!$AL$4:$AL$183,$A76,Data!$AK$4:$AK$183,$C76))</f>
        <v>0</v>
      </c>
      <c r="X76" s="18">
        <f ca="1">IF($A76="","",SUMIFS(Data!$AR$4:$AR$183,Data!$AM$4:$AM$183,$B76,Data!$AL$4:$AL$183,$A76,Data!$AK$4:$AK$183,$C76))</f>
        <v>0</v>
      </c>
      <c r="Y76" s="18">
        <f ca="1">IF($A76="","",SUMIFS(Data!$AS$4:$AS$183,Data!$AM$4:$AM$183,$B76,Data!$AL$4:$AL$183,$A76,Data!$AK$4:$AK$183,$C76))</f>
        <v>0</v>
      </c>
      <c r="Z76" s="18">
        <f ca="1">IF($A76="","",SUMIFS(Data!$AT$4:$AT$183,Data!$AM$4:$AM$183,$B76,Data!$AL$4:$AL$183,$A76,Data!$AK$4:$AK$183,$C76))</f>
        <v>0</v>
      </c>
      <c r="AA76" s="18">
        <f ca="1">IF($A76="","",SUMIFS(Data!$AW$4:$AW$183,Data!$AM$4:$AM$183,$B76,Data!$AL$4:$AL$183,$A76,Data!$AK$4:$AK$183,$C76))</f>
        <v>0</v>
      </c>
      <c r="AB76" s="18">
        <f ca="1">IF($A76="","",SUMIFS(Data!$AX$4:$AX$183,Data!$AM$4:$AM$183,$B76,Data!$AL$4:$AL$183,$A76,Data!$AK$4:$AK$183,$C76))</f>
        <v>0</v>
      </c>
      <c r="AC76" s="18">
        <f ca="1">IF($A76="","",SUMIFS(Data!$AY$4:$AY$183,Data!$AM$4:$AM$183,$B76,Data!$AL$4:$AL$183,$A76,Data!$AK$4:$AK$183,$C76))</f>
        <v>0</v>
      </c>
      <c r="AD76" s="18">
        <f t="shared" ca="1" si="3"/>
        <v>0</v>
      </c>
      <c r="AE76" s="18">
        <f ca="1">IF($A76="","",SUMIFS(Data!$AJ$4:$AJ$183,Data!$AM$4:$AM$183,$B76,Data!$AL$4:$AL$183,$A76,Data!$AK$4:$AK$183,$C76))</f>
        <v>0</v>
      </c>
    </row>
    <row r="77" spans="1:31">
      <c r="A77" s="117" t="str">
        <f ca="1">IF(Data!T77="","",Data!T77)</f>
        <v>May</v>
      </c>
      <c r="B77" s="18" t="str">
        <f ca="1">IF(Data!U77="","",Data!U77)</f>
        <v>Birdo</v>
      </c>
      <c r="C77" s="18" t="str">
        <f ca="1">IF(Data!S77="","",Data!S77)</f>
        <v>G5</v>
      </c>
      <c r="D77" s="18">
        <f ca="1">IF($A77="","",Data!W77)</f>
        <v>1</v>
      </c>
      <c r="E77" s="18">
        <f ca="1">IF($A77="","",Data!Y77)</f>
        <v>0</v>
      </c>
      <c r="F77" s="61">
        <f t="shared" ca="1" si="2"/>
        <v>0.0</v>
      </c>
      <c r="G77" s="18">
        <f ca="1">IF($A77="","",Data!AB77)</f>
        <v>0</v>
      </c>
      <c r="H77" s="18">
        <f ca="1">IF($A77="","",Data!AC77)</f>
        <v>0</v>
      </c>
      <c r="I77" s="18">
        <f ca="1">IF($A77="","",INT(SUMIFS(Data!$AN$4:$AN$183,Data!$AM$4:$AM$183,$B77,Data!$AL$4:$AL$183,$A77,Data!$AK$4:$AK$183,$C77))+MOD(ROUND(SUMIFS(Data!$AN$4:$AN$183,Data!$AM$4:$AM$183,$B77,Data!$AL$4:$AL$183,$A77,Data!$AK$4:$AK$183,$C77)*3,0),3)/10)</f>
        <v>0</v>
      </c>
      <c r="J77" s="18">
        <f ca="1">IF($A77="","",SUMIFS(Data!$AQ$4:$AQ$183,Data!$AM$4:$AM$183,$B77,Data!$AL$4:$AL$183,$A77,Data!$AK$4:$AK$183,$C77))</f>
        <v>0</v>
      </c>
      <c r="K77" s="62">
        <f ca="1">IF($A77="","",IF(SUMIFS(Data!$AN$4:$AN$183,Data!$AM$4:$AM$183,$B77,Data!$AL$4:$AL$183,$A77,Data!$AK$4:$AK$183,$C77)=0,"",J77*3/SUMIFS(Data!$AN$4:$AN$183,Data!$AM$4:$AM$183,$B77,Data!$AL$4:$AL$183,$A77,Data!$AK$4:$AK$183,$C77)))</f>
      </c>
      <c r="L77" s="18">
        <f ca="1">IF($A77="","",IF(IFERROR(_xlfn.XLOOKUP($C77,Bracket!$F$6:$F$16,Bracket!$K$6:$K$16,""),"")=$B77,1,0))</f>
        <v>0</v>
      </c>
      <c r="M77" s="18">
        <f ca="1">IF($A77="","",IF(AND(IFERROR(_xlfn.XLOOKUP($C77,Bracket!$F$6:$F$16,Bracket!$K$6:$K$16,""),"")=$B77,LEFT(IFERROR(_xlfn.XLOOKUP($C77,Bracket!$F$6:$F$16,Bracket!$G$6:$G$16,""),""),2)="CG"),1,0))</f>
        <v>0</v>
      </c>
      <c r="N77" s="18">
        <f ca="1">IF($A77="","",SUMIFS(Data!$X$4:$X$273,Data!$T$4:$T$273,$A77,Data!$U$4:$U$273,$B77,Data!$S$4:$S$273,$C77))</f>
        <v>0</v>
      </c>
      <c r="O77" s="18">
        <f ca="1">IF($A77="","",SUMIFS(Data!$Z$4:$Z$273,Data!$T$4:$T$273,$A77,Data!$U$4:$U$273,$B77,Data!$S$4:$S$273,$C77))</f>
        <v>0</v>
      </c>
      <c r="P77" s="18">
        <f ca="1">IF($A77="","",SUMIFS(Data!$AA$4:$AA$273,Data!$T$4:$T$273,$A77,Data!$U$4:$U$273,$B77,Data!$S$4:$S$273,$C77))</f>
        <v>0</v>
      </c>
      <c r="Q77" s="18">
        <f ca="1">IF($A77="","",SUMIFS(Data!$AD$4:$AD$273,Data!$T$4:$T$273,$A77,Data!$U$4:$U$273,$B77,Data!$S$4:$S$273,$C77))</f>
        <v>0</v>
      </c>
      <c r="R77" s="18">
        <f ca="1">IF($A77="","",SUMIFS(Data!$AE$4:$AE$273,Data!$T$4:$T$273,$A77,Data!$U$4:$U$273,$B77,Data!$S$4:$S$273,$C77))</f>
        <v>0</v>
      </c>
      <c r="S77" s="18">
        <f ca="1">IF($A77="","",SUMIFS(Data!$AF$4:$AF$273,Data!$T$4:$T$273,$A77,Data!$U$4:$U$273,$B77,Data!$S$4:$S$273,$C77))</f>
        <v>0</v>
      </c>
      <c r="T77" s="18">
        <f ca="1">IF($A77="","",SUMIFS(Data!$AG$4:$AG$273,Data!$T$4:$T$273,$A77,Data!$U$4:$U$273,$B77,Data!$S$4:$S$273,$C77))</f>
        <v>0</v>
      </c>
      <c r="U77" s="18">
        <f ca="1">IF($A77="","",SUMIFS(Data!$AH$4:$AH$273,Data!$T$4:$T$273,$A77,Data!$U$4:$U$273,$B77,Data!$S$4:$S$273,$C77))</f>
        <v>0</v>
      </c>
      <c r="V77" s="18">
        <f ca="1">IF($A77="","",SUMIFS(Data!$AO$4:$AO$183,Data!$AM$4:$AM$183,$B77,Data!$AL$4:$AL$183,$A77,Data!$AK$4:$AK$183,$C77))</f>
        <v>0</v>
      </c>
      <c r="W77" s="18">
        <f ca="1">IF($A77="","",SUMIFS(Data!$AP$4:$AP$183,Data!$AM$4:$AM$183,$B77,Data!$AL$4:$AL$183,$A77,Data!$AK$4:$AK$183,$C77))</f>
        <v>0</v>
      </c>
      <c r="X77" s="18">
        <f ca="1">IF($A77="","",SUMIFS(Data!$AR$4:$AR$183,Data!$AM$4:$AM$183,$B77,Data!$AL$4:$AL$183,$A77,Data!$AK$4:$AK$183,$C77))</f>
        <v>0</v>
      </c>
      <c r="Y77" s="18">
        <f ca="1">IF($A77="","",SUMIFS(Data!$AS$4:$AS$183,Data!$AM$4:$AM$183,$B77,Data!$AL$4:$AL$183,$A77,Data!$AK$4:$AK$183,$C77))</f>
        <v>0</v>
      </c>
      <c r="Z77" s="18">
        <f ca="1">IF($A77="","",SUMIFS(Data!$AT$4:$AT$183,Data!$AM$4:$AM$183,$B77,Data!$AL$4:$AL$183,$A77,Data!$AK$4:$AK$183,$C77))</f>
        <v>0</v>
      </c>
      <c r="AA77" s="18">
        <f ca="1">IF($A77="","",SUMIFS(Data!$AW$4:$AW$183,Data!$AM$4:$AM$183,$B77,Data!$AL$4:$AL$183,$A77,Data!$AK$4:$AK$183,$C77))</f>
        <v>0</v>
      </c>
      <c r="AB77" s="18">
        <f ca="1">IF($A77="","",SUMIFS(Data!$AX$4:$AX$183,Data!$AM$4:$AM$183,$B77,Data!$AL$4:$AL$183,$A77,Data!$AK$4:$AK$183,$C77))</f>
        <v>0</v>
      </c>
      <c r="AC77" s="18">
        <f ca="1">IF($A77="","",SUMIFS(Data!$AY$4:$AY$183,Data!$AM$4:$AM$183,$B77,Data!$AL$4:$AL$183,$A77,Data!$AK$4:$AK$183,$C77))</f>
        <v>0</v>
      </c>
      <c r="AD77" s="18">
        <f t="shared" ca="1" si="3"/>
        <v>0</v>
      </c>
      <c r="AE77" s="18">
        <f ca="1">IF($A77="","",SUMIFS(Data!$AJ$4:$AJ$183,Data!$AM$4:$AM$183,$B77,Data!$AL$4:$AL$183,$A77,Data!$AK$4:$AK$183,$C77))</f>
        <v>0</v>
      </c>
    </row>
    <row r="78" spans="1:31">
      <c r="A78" s="117" t="str">
        <f ca="1">IF(Data!T78="","",Data!T78)</f>
        <v>May</v>
      </c>
      <c r="B78" s="18" t="str">
        <f ca="1">IF(Data!U78="","",Data!U78)</f>
        <v>Petey Piranha</v>
      </c>
      <c r="C78" s="18" t="str">
        <f ca="1">IF(Data!S78="","",Data!S78)</f>
        <v>G5</v>
      </c>
      <c r="D78" s="18">
        <f ca="1">IF($A78="","",Data!W78)</f>
        <v>1</v>
      </c>
      <c r="E78" s="18">
        <f ca="1">IF($A78="","",Data!Y78)</f>
        <v>0</v>
      </c>
      <c r="F78" s="61">
        <f t="shared" ca="1" si="2"/>
        <v>0.0</v>
      </c>
      <c r="G78" s="18">
        <f ca="1">IF($A78="","",Data!AB78)</f>
        <v>0</v>
      </c>
      <c r="H78" s="18">
        <f ca="1">IF($A78="","",Data!AC78)</f>
        <v>0</v>
      </c>
      <c r="I78" s="18">
        <f ca="1">IF($A78="","",INT(SUMIFS(Data!$AN$4:$AN$183,Data!$AM$4:$AM$183,$B78,Data!$AL$4:$AL$183,$A78,Data!$AK$4:$AK$183,$C78))+MOD(ROUND(SUMIFS(Data!$AN$4:$AN$183,Data!$AM$4:$AM$183,$B78,Data!$AL$4:$AL$183,$A78,Data!$AK$4:$AK$183,$C78)*3,0),3)/10)</f>
        <v>0</v>
      </c>
      <c r="J78" s="18">
        <f ca="1">IF($A78="","",SUMIFS(Data!$AQ$4:$AQ$183,Data!$AM$4:$AM$183,$B78,Data!$AL$4:$AL$183,$A78,Data!$AK$4:$AK$183,$C78))</f>
        <v>0</v>
      </c>
      <c r="K78" s="62">
        <f ca="1">IF($A78="","",IF(SUMIFS(Data!$AN$4:$AN$183,Data!$AM$4:$AM$183,$B78,Data!$AL$4:$AL$183,$A78,Data!$AK$4:$AK$183,$C78)=0,"",J78*3/SUMIFS(Data!$AN$4:$AN$183,Data!$AM$4:$AM$183,$B78,Data!$AL$4:$AL$183,$A78,Data!$AK$4:$AK$183,$C78)))</f>
      </c>
      <c r="L78" s="18">
        <f ca="1">IF($A78="","",IF(IFERROR(_xlfn.XLOOKUP($C78,Bracket!$F$6:$F$16,Bracket!$K$6:$K$16,""),"")=$B78,1,0))</f>
        <v>0</v>
      </c>
      <c r="M78" s="18">
        <f ca="1">IF($A78="","",IF(AND(IFERROR(_xlfn.XLOOKUP($C78,Bracket!$F$6:$F$16,Bracket!$K$6:$K$16,""),"")=$B78,LEFT(IFERROR(_xlfn.XLOOKUP($C78,Bracket!$F$6:$F$16,Bracket!$G$6:$G$16,""),""),2)="CG"),1,0))</f>
        <v>0</v>
      </c>
      <c r="N78" s="18">
        <f ca="1">IF($A78="","",SUMIFS(Data!$X$4:$X$273,Data!$T$4:$T$273,$A78,Data!$U$4:$U$273,$B78,Data!$S$4:$S$273,$C78))</f>
        <v>0</v>
      </c>
      <c r="O78" s="18">
        <f ca="1">IF($A78="","",SUMIFS(Data!$Z$4:$Z$273,Data!$T$4:$T$273,$A78,Data!$U$4:$U$273,$B78,Data!$S$4:$S$273,$C78))</f>
        <v>0</v>
      </c>
      <c r="P78" s="18">
        <f ca="1">IF($A78="","",SUMIFS(Data!$AA$4:$AA$273,Data!$T$4:$T$273,$A78,Data!$U$4:$U$273,$B78,Data!$S$4:$S$273,$C78))</f>
        <v>0</v>
      </c>
      <c r="Q78" s="18">
        <f ca="1">IF($A78="","",SUMIFS(Data!$AD$4:$AD$273,Data!$T$4:$T$273,$A78,Data!$U$4:$U$273,$B78,Data!$S$4:$S$273,$C78))</f>
        <v>0</v>
      </c>
      <c r="R78" s="18">
        <f ca="1">IF($A78="","",SUMIFS(Data!$AE$4:$AE$273,Data!$T$4:$T$273,$A78,Data!$U$4:$U$273,$B78,Data!$S$4:$S$273,$C78))</f>
        <v>0</v>
      </c>
      <c r="S78" s="18">
        <f ca="1">IF($A78="","",SUMIFS(Data!$AF$4:$AF$273,Data!$T$4:$T$273,$A78,Data!$U$4:$U$273,$B78,Data!$S$4:$S$273,$C78))</f>
        <v>0</v>
      </c>
      <c r="T78" s="18">
        <f ca="1">IF($A78="","",SUMIFS(Data!$AG$4:$AG$273,Data!$T$4:$T$273,$A78,Data!$U$4:$U$273,$B78,Data!$S$4:$S$273,$C78))</f>
        <v>0</v>
      </c>
      <c r="U78" s="18">
        <f ca="1">IF($A78="","",SUMIFS(Data!$AH$4:$AH$273,Data!$T$4:$T$273,$A78,Data!$U$4:$U$273,$B78,Data!$S$4:$S$273,$C78))</f>
        <v>0</v>
      </c>
      <c r="V78" s="18">
        <f ca="1">IF($A78="","",SUMIFS(Data!$AO$4:$AO$183,Data!$AM$4:$AM$183,$B78,Data!$AL$4:$AL$183,$A78,Data!$AK$4:$AK$183,$C78))</f>
        <v>0</v>
      </c>
      <c r="W78" s="18">
        <f ca="1">IF($A78="","",SUMIFS(Data!$AP$4:$AP$183,Data!$AM$4:$AM$183,$B78,Data!$AL$4:$AL$183,$A78,Data!$AK$4:$AK$183,$C78))</f>
        <v>0</v>
      </c>
      <c r="X78" s="18">
        <f ca="1">IF($A78="","",SUMIFS(Data!$AR$4:$AR$183,Data!$AM$4:$AM$183,$B78,Data!$AL$4:$AL$183,$A78,Data!$AK$4:$AK$183,$C78))</f>
        <v>0</v>
      </c>
      <c r="Y78" s="18">
        <f ca="1">IF($A78="","",SUMIFS(Data!$AS$4:$AS$183,Data!$AM$4:$AM$183,$B78,Data!$AL$4:$AL$183,$A78,Data!$AK$4:$AK$183,$C78))</f>
        <v>0</v>
      </c>
      <c r="Z78" s="18">
        <f ca="1">IF($A78="","",SUMIFS(Data!$AT$4:$AT$183,Data!$AM$4:$AM$183,$B78,Data!$AL$4:$AL$183,$A78,Data!$AK$4:$AK$183,$C78))</f>
        <v>0</v>
      </c>
      <c r="AA78" s="18">
        <f ca="1">IF($A78="","",SUMIFS(Data!$AW$4:$AW$183,Data!$AM$4:$AM$183,$B78,Data!$AL$4:$AL$183,$A78,Data!$AK$4:$AK$183,$C78))</f>
        <v>0</v>
      </c>
      <c r="AB78" s="18">
        <f ca="1">IF($A78="","",SUMIFS(Data!$AX$4:$AX$183,Data!$AM$4:$AM$183,$B78,Data!$AL$4:$AL$183,$A78,Data!$AK$4:$AK$183,$C78))</f>
        <v>0</v>
      </c>
      <c r="AC78" s="18">
        <f ca="1">IF($A78="","",SUMIFS(Data!$AY$4:$AY$183,Data!$AM$4:$AM$183,$B78,Data!$AL$4:$AL$183,$A78,Data!$AK$4:$AK$183,$C78))</f>
        <v>0</v>
      </c>
      <c r="AD78" s="18">
        <f t="shared" ca="1" si="3"/>
        <v>0</v>
      </c>
      <c r="AE78" s="18">
        <f ca="1">IF($A78="","",SUMIFS(Data!$AJ$4:$AJ$183,Data!$AM$4:$AM$183,$B78,Data!$AL$4:$AL$183,$A78,Data!$AK$4:$AK$183,$C78))</f>
        <v>0</v>
      </c>
    </row>
    <row r="79" spans="1:31">
      <c r="A79" s="117" t="str">
        <f ca="1">IF(Data!T79="","",Data!T79)</f>
        <v>May</v>
      </c>
      <c r="B79" s="18" t="str">
        <f ca="1">IF(Data!U79="","",Data!U79)</f>
        <v>King Boo</v>
      </c>
      <c r="C79" s="18" t="str">
        <f ca="1">IF(Data!S79="","",Data!S79)</f>
        <v>G5</v>
      </c>
      <c r="D79" s="18">
        <f ca="1">IF($A79="","",Data!W79)</f>
        <v>1</v>
      </c>
      <c r="E79" s="18">
        <f ca="1">IF($A79="","",Data!Y79)</f>
        <v>0</v>
      </c>
      <c r="F79" s="61">
        <f t="shared" ca="1" si="2"/>
        <v>0.0</v>
      </c>
      <c r="G79" s="18">
        <f ca="1">IF($A79="","",Data!AB79)</f>
        <v>0</v>
      </c>
      <c r="H79" s="18">
        <f ca="1">IF($A79="","",Data!AC79)</f>
        <v>0</v>
      </c>
      <c r="I79" s="18">
        <f ca="1">IF($A79="","",INT(SUMIFS(Data!$AN$4:$AN$183,Data!$AM$4:$AM$183,$B79,Data!$AL$4:$AL$183,$A79,Data!$AK$4:$AK$183,$C79))+MOD(ROUND(SUMIFS(Data!$AN$4:$AN$183,Data!$AM$4:$AM$183,$B79,Data!$AL$4:$AL$183,$A79,Data!$AK$4:$AK$183,$C79)*3,0),3)/10)</f>
        <v>3</v>
      </c>
      <c r="J79" s="18">
        <f ca="1">IF($A79="","",SUMIFS(Data!$AQ$4:$AQ$183,Data!$AM$4:$AM$183,$B79,Data!$AL$4:$AL$183,$A79,Data!$AK$4:$AK$183,$C79))</f>
        <v>1</v>
      </c>
      <c r="K79" s="62">
        <f ca="1">IF($A79="","",IF(SUMIFS(Data!$AN$4:$AN$183,Data!$AM$4:$AM$183,$B79,Data!$AL$4:$AL$183,$A79,Data!$AK$4:$AK$183,$C79)=0,"",J79*3/SUMIFS(Data!$AN$4:$AN$183,Data!$AM$4:$AM$183,$B79,Data!$AL$4:$AL$183,$A79,Data!$AK$4:$AK$183,$C79)))</f>
        <v>1.0</v>
      </c>
      <c r="L79" s="18">
        <f ca="1">IF($A79="","",IF(IFERROR(_xlfn.XLOOKUP($C79,Bracket!$F$6:$F$16,Bracket!$K$6:$K$16,""),"")=$B79,1,0))</f>
        <v>0</v>
      </c>
      <c r="M79" s="18">
        <f ca="1">IF($A79="","",IF(AND(IFERROR(_xlfn.XLOOKUP($C79,Bracket!$F$6:$F$16,Bracket!$K$6:$K$16,""),"")=$B79,LEFT(IFERROR(_xlfn.XLOOKUP($C79,Bracket!$F$6:$F$16,Bracket!$G$6:$G$16,""),""),2)="CG"),1,0))</f>
        <v>0</v>
      </c>
      <c r="N79" s="18">
        <f ca="1">IF($A79="","",SUMIFS(Data!$X$4:$X$273,Data!$T$4:$T$273,$A79,Data!$U$4:$U$273,$B79,Data!$S$4:$S$273,$C79))</f>
        <v>0</v>
      </c>
      <c r="O79" s="18">
        <f ca="1">IF($A79="","",SUMIFS(Data!$Z$4:$Z$273,Data!$T$4:$T$273,$A79,Data!$U$4:$U$273,$B79,Data!$S$4:$S$273,$C79))</f>
        <v>0</v>
      </c>
      <c r="P79" s="18">
        <f ca="1">IF($A79="","",SUMIFS(Data!$AA$4:$AA$273,Data!$T$4:$T$273,$A79,Data!$U$4:$U$273,$B79,Data!$S$4:$S$273,$C79))</f>
        <v>0</v>
      </c>
      <c r="Q79" s="18">
        <f ca="1">IF($A79="","",SUMIFS(Data!$AD$4:$AD$273,Data!$T$4:$T$273,$A79,Data!$U$4:$U$273,$B79,Data!$S$4:$S$273,$C79))</f>
        <v>0</v>
      </c>
      <c r="R79" s="18">
        <f ca="1">IF($A79="","",SUMIFS(Data!$AE$4:$AE$273,Data!$T$4:$T$273,$A79,Data!$U$4:$U$273,$B79,Data!$S$4:$S$273,$C79))</f>
        <v>0</v>
      </c>
      <c r="S79" s="18">
        <f ca="1">IF($A79="","",SUMIFS(Data!$AF$4:$AF$273,Data!$T$4:$T$273,$A79,Data!$U$4:$U$273,$B79,Data!$S$4:$S$273,$C79))</f>
        <v>0</v>
      </c>
      <c r="T79" s="18">
        <f ca="1">IF($A79="","",SUMIFS(Data!$AG$4:$AG$273,Data!$T$4:$T$273,$A79,Data!$U$4:$U$273,$B79,Data!$S$4:$S$273,$C79))</f>
        <v>0</v>
      </c>
      <c r="U79" s="18">
        <f ca="1">IF($A79="","",SUMIFS(Data!$AH$4:$AH$273,Data!$T$4:$T$273,$A79,Data!$U$4:$U$273,$B79,Data!$S$4:$S$273,$C79))</f>
        <v>0</v>
      </c>
      <c r="V79" s="18">
        <f ca="1">IF($A79="","",SUMIFS(Data!$AO$4:$AO$183,Data!$AM$4:$AM$183,$B79,Data!$AL$4:$AL$183,$A79,Data!$AK$4:$AK$183,$C79))</f>
        <v>2</v>
      </c>
      <c r="W79" s="18">
        <f ca="1">IF($A79="","",SUMIFS(Data!$AP$4:$AP$183,Data!$AM$4:$AM$183,$B79,Data!$AL$4:$AL$183,$A79,Data!$AK$4:$AK$183,$C79))</f>
        <v>1</v>
      </c>
      <c r="X79" s="18">
        <f ca="1">IF($A79="","",SUMIFS(Data!$AR$4:$AR$183,Data!$AM$4:$AM$183,$B79,Data!$AL$4:$AL$183,$A79,Data!$AK$4:$AK$183,$C79))</f>
        <v>0</v>
      </c>
      <c r="Y79" s="18">
        <f ca="1">IF($A79="","",SUMIFS(Data!$AS$4:$AS$183,Data!$AM$4:$AM$183,$B79,Data!$AL$4:$AL$183,$A79,Data!$AK$4:$AK$183,$C79))</f>
        <v>2</v>
      </c>
      <c r="Z79" s="18">
        <f ca="1">IF($A79="","",SUMIFS(Data!$AT$4:$AT$183,Data!$AM$4:$AM$183,$B79,Data!$AL$4:$AL$183,$A79,Data!$AK$4:$AK$183,$C79))</f>
        <v>0</v>
      </c>
      <c r="AA79" s="18">
        <f ca="1">IF($A79="","",SUMIFS(Data!$AW$4:$AW$183,Data!$AM$4:$AM$183,$B79,Data!$AL$4:$AL$183,$A79,Data!$AK$4:$AK$183,$C79))</f>
        <v>0</v>
      </c>
      <c r="AB79" s="18">
        <f ca="1">IF($A79="","",SUMIFS(Data!$AX$4:$AX$183,Data!$AM$4:$AM$183,$B79,Data!$AL$4:$AL$183,$A79,Data!$AK$4:$AK$183,$C79))</f>
        <v>0</v>
      </c>
      <c r="AC79" s="18">
        <f ca="1">IF($A79="","",SUMIFS(Data!$AY$4:$AY$183,Data!$AM$4:$AM$183,$B79,Data!$AL$4:$AL$183,$A79,Data!$AK$4:$AK$183,$C79))</f>
        <v>1</v>
      </c>
      <c r="AD79" s="18">
        <f t="shared" ca="1" si="3"/>
        <v>0.6666666666666666</v>
      </c>
      <c r="AE79" s="18">
        <f ca="1">IF($A79="","",SUMIFS(Data!$AJ$4:$AJ$183,Data!$AM$4:$AM$183,$B79,Data!$AL$4:$AL$183,$A79,Data!$AK$4:$AK$183,$C79))</f>
        <v>11</v>
      </c>
    </row>
    <row r="80" spans="1:31">
      <c r="A80" s="117" t="str">
        <f ca="1">IF(Data!T80="","",Data!T80)</f>
        <v>May</v>
      </c>
      <c r="B80" s="18" t="str">
        <f ca="1">IF(Data!U80="","",Data!U80)</f>
        <v>Hammer Bro</v>
      </c>
      <c r="C80" s="18" t="str">
        <f ca="1">IF(Data!S80="","",Data!S80)</f>
        <v>G5</v>
      </c>
      <c r="D80" s="18">
        <f ca="1">IF($A80="","",Data!W80)</f>
        <v>1</v>
      </c>
      <c r="E80" s="18">
        <f ca="1">IF($A80="","",Data!Y80)</f>
        <v>1</v>
      </c>
      <c r="F80" s="61">
        <f t="shared" ca="1" si="2"/>
        <v>1.0</v>
      </c>
      <c r="G80" s="18">
        <f ca="1">IF($A80="","",Data!AB80)</f>
        <v>1</v>
      </c>
      <c r="H80" s="18">
        <f ca="1">IF($A80="","",Data!AC80)</f>
        <v>1</v>
      </c>
      <c r="I80" s="18">
        <f ca="1">IF($A80="","",INT(SUMIFS(Data!$AN$4:$AN$183,Data!$AM$4:$AM$183,$B80,Data!$AL$4:$AL$183,$A80,Data!$AK$4:$AK$183,$C80))+MOD(ROUND(SUMIFS(Data!$AN$4:$AN$183,Data!$AM$4:$AM$183,$B80,Data!$AL$4:$AL$183,$A80,Data!$AK$4:$AK$183,$C80)*3,0),3)/10)</f>
        <v>0</v>
      </c>
      <c r="J80" s="18">
        <f ca="1">IF($A80="","",SUMIFS(Data!$AQ$4:$AQ$183,Data!$AM$4:$AM$183,$B80,Data!$AL$4:$AL$183,$A80,Data!$AK$4:$AK$183,$C80))</f>
        <v>0</v>
      </c>
      <c r="K80" s="62">
        <f ca="1">IF($A80="","",IF(SUMIFS(Data!$AN$4:$AN$183,Data!$AM$4:$AM$183,$B80,Data!$AL$4:$AL$183,$A80,Data!$AK$4:$AK$183,$C80)=0,"",J80*3/SUMIFS(Data!$AN$4:$AN$183,Data!$AM$4:$AM$183,$B80,Data!$AL$4:$AL$183,$A80,Data!$AK$4:$AK$183,$C80)))</f>
      </c>
      <c r="L80" s="18">
        <f ca="1">IF($A80="","",IF(IFERROR(_xlfn.XLOOKUP($C80,Bracket!$F$6:$F$16,Bracket!$K$6:$K$16,""),"")=$B80,1,0))</f>
        <v>1</v>
      </c>
      <c r="M80" s="18">
        <f ca="1">IF($A80="","",IF(AND(IFERROR(_xlfn.XLOOKUP($C80,Bracket!$F$6:$F$16,Bracket!$K$6:$K$16,""),"")=$B80,LEFT(IFERROR(_xlfn.XLOOKUP($C80,Bracket!$F$6:$F$16,Bracket!$G$6:$G$16,""),""),2)="CG"),1,0))</f>
        <v>0</v>
      </c>
      <c r="N80" s="18">
        <f ca="1">IF($A80="","",SUMIFS(Data!$X$4:$X$273,Data!$T$4:$T$273,$A80,Data!$U$4:$U$273,$B80,Data!$S$4:$S$273,$C80))</f>
        <v>1</v>
      </c>
      <c r="O80" s="18">
        <f ca="1">IF($A80="","",SUMIFS(Data!$Z$4:$Z$273,Data!$T$4:$T$273,$A80,Data!$U$4:$U$273,$B80,Data!$S$4:$S$273,$C80))</f>
        <v>0</v>
      </c>
      <c r="P80" s="18">
        <f ca="1">IF($A80="","",SUMIFS(Data!$AA$4:$AA$273,Data!$T$4:$T$273,$A80,Data!$U$4:$U$273,$B80,Data!$S$4:$S$273,$C80))</f>
        <v>0</v>
      </c>
      <c r="Q80" s="18">
        <f ca="1">IF($A80="","",SUMIFS(Data!$AD$4:$AD$273,Data!$T$4:$T$273,$A80,Data!$U$4:$U$273,$B80,Data!$S$4:$S$273,$C80))</f>
        <v>0</v>
      </c>
      <c r="R80" s="18">
        <f ca="1">IF($A80="","",SUMIFS(Data!$AE$4:$AE$273,Data!$T$4:$T$273,$A80,Data!$U$4:$U$273,$B80,Data!$S$4:$S$273,$C80))</f>
        <v>0</v>
      </c>
      <c r="S80" s="18">
        <f ca="1">IF($A80="","",SUMIFS(Data!$AF$4:$AF$273,Data!$T$4:$T$273,$A80,Data!$U$4:$U$273,$B80,Data!$S$4:$S$273,$C80))</f>
        <v>0</v>
      </c>
      <c r="T80" s="18">
        <f ca="1">IF($A80="","",SUMIFS(Data!$AG$4:$AG$273,Data!$T$4:$T$273,$A80,Data!$U$4:$U$273,$B80,Data!$S$4:$S$273,$C80))</f>
        <v>0</v>
      </c>
      <c r="U80" s="18">
        <f ca="1">IF($A80="","",SUMIFS(Data!$AH$4:$AH$273,Data!$T$4:$T$273,$A80,Data!$U$4:$U$273,$B80,Data!$S$4:$S$273,$C80))</f>
        <v>0</v>
      </c>
      <c r="V80" s="18">
        <f ca="1">IF($A80="","",SUMIFS(Data!$AO$4:$AO$183,Data!$AM$4:$AM$183,$B80,Data!$AL$4:$AL$183,$A80,Data!$AK$4:$AK$183,$C80))</f>
        <v>0</v>
      </c>
      <c r="W80" s="18">
        <f ca="1">IF($A80="","",SUMIFS(Data!$AP$4:$AP$183,Data!$AM$4:$AM$183,$B80,Data!$AL$4:$AL$183,$A80,Data!$AK$4:$AK$183,$C80))</f>
        <v>0</v>
      </c>
      <c r="X80" s="18">
        <f ca="1">IF($A80="","",SUMIFS(Data!$AR$4:$AR$183,Data!$AM$4:$AM$183,$B80,Data!$AL$4:$AL$183,$A80,Data!$AK$4:$AK$183,$C80))</f>
        <v>0</v>
      </c>
      <c r="Y80" s="18">
        <f ca="1">IF($A80="","",SUMIFS(Data!$AS$4:$AS$183,Data!$AM$4:$AM$183,$B80,Data!$AL$4:$AL$183,$A80,Data!$AK$4:$AK$183,$C80))</f>
        <v>0</v>
      </c>
      <c r="Z80" s="18">
        <f ca="1">IF($A80="","",SUMIFS(Data!$AT$4:$AT$183,Data!$AM$4:$AM$183,$B80,Data!$AL$4:$AL$183,$A80,Data!$AK$4:$AK$183,$C80))</f>
        <v>0</v>
      </c>
      <c r="AA80" s="18">
        <f ca="1">IF($A80="","",SUMIFS(Data!$AW$4:$AW$183,Data!$AM$4:$AM$183,$B80,Data!$AL$4:$AL$183,$A80,Data!$AK$4:$AK$183,$C80))</f>
        <v>0</v>
      </c>
      <c r="AB80" s="18">
        <f ca="1">IF($A80="","",SUMIFS(Data!$AX$4:$AX$183,Data!$AM$4:$AM$183,$B80,Data!$AL$4:$AL$183,$A80,Data!$AK$4:$AK$183,$C80))</f>
        <v>0</v>
      </c>
      <c r="AC80" s="18">
        <f ca="1">IF($A80="","",SUMIFS(Data!$AY$4:$AY$183,Data!$AM$4:$AM$183,$B80,Data!$AL$4:$AL$183,$A80,Data!$AK$4:$AK$183,$C80))</f>
        <v>0</v>
      </c>
      <c r="AD80" s="18">
        <f t="shared" ca="1" si="3"/>
        <v>0</v>
      </c>
      <c r="AE80" s="18">
        <f ca="1">IF($A80="","",SUMIFS(Data!$AJ$4:$AJ$183,Data!$AM$4:$AM$183,$B80,Data!$AL$4:$AL$183,$A80,Data!$AK$4:$AK$183,$C80))</f>
        <v>0</v>
      </c>
    </row>
    <row r="81" spans="1:31">
      <c r="A81" s="117" t="str">
        <f ca="1">IF(Data!T81="","",Data!T81)</f>
        <v>May</v>
      </c>
      <c r="B81" s="18" t="str">
        <f ca="1">IF(Data!U81="","",Data!U81)</f>
        <v>Green Shy Guy</v>
      </c>
      <c r="C81" s="18" t="str">
        <f ca="1">IF(Data!S81="","",Data!S81)</f>
        <v>G5</v>
      </c>
      <c r="D81" s="18">
        <f ca="1">IF($A81="","",Data!W81)</f>
        <v>1</v>
      </c>
      <c r="E81" s="18">
        <f ca="1">IF($A81="","",Data!Y81)</f>
        <v>0</v>
      </c>
      <c r="F81" s="61">
        <f t="shared" ca="1" si="2"/>
        <v>0.0</v>
      </c>
      <c r="G81" s="18">
        <f ca="1">IF($A81="","",Data!AB81)</f>
        <v>0</v>
      </c>
      <c r="H81" s="18">
        <f ca="1">IF($A81="","",Data!AC81)</f>
        <v>0</v>
      </c>
      <c r="I81" s="18">
        <f ca="1">IF($A81="","",INT(SUMIFS(Data!$AN$4:$AN$183,Data!$AM$4:$AM$183,$B81,Data!$AL$4:$AL$183,$A81,Data!$AK$4:$AK$183,$C81))+MOD(ROUND(SUMIFS(Data!$AN$4:$AN$183,Data!$AM$4:$AM$183,$B81,Data!$AL$4:$AL$183,$A81,Data!$AK$4:$AK$183,$C81)*3,0),3)/10)</f>
        <v>0</v>
      </c>
      <c r="J81" s="18">
        <f ca="1">IF($A81="","",SUMIFS(Data!$AQ$4:$AQ$183,Data!$AM$4:$AM$183,$B81,Data!$AL$4:$AL$183,$A81,Data!$AK$4:$AK$183,$C81))</f>
        <v>0</v>
      </c>
      <c r="K81" s="62">
        <f ca="1">IF($A81="","",IF(SUMIFS(Data!$AN$4:$AN$183,Data!$AM$4:$AM$183,$B81,Data!$AL$4:$AL$183,$A81,Data!$AK$4:$AK$183,$C81)=0,"",J81*3/SUMIFS(Data!$AN$4:$AN$183,Data!$AM$4:$AM$183,$B81,Data!$AL$4:$AL$183,$A81,Data!$AK$4:$AK$183,$C81)))</f>
      </c>
      <c r="L81" s="18">
        <f ca="1">IF($A81="","",IF(IFERROR(_xlfn.XLOOKUP($C81,Bracket!$F$6:$F$16,Bracket!$K$6:$K$16,""),"")=$B81,1,0))</f>
        <v>0</v>
      </c>
      <c r="M81" s="18">
        <f ca="1">IF($A81="","",IF(AND(IFERROR(_xlfn.XLOOKUP($C81,Bracket!$F$6:$F$16,Bracket!$K$6:$K$16,""),"")=$B81,LEFT(IFERROR(_xlfn.XLOOKUP($C81,Bracket!$F$6:$F$16,Bracket!$G$6:$G$16,""),""),2)="CG"),1,0))</f>
        <v>0</v>
      </c>
      <c r="N81" s="18">
        <f ca="1">IF($A81="","",SUMIFS(Data!$X$4:$X$273,Data!$T$4:$T$273,$A81,Data!$U$4:$U$273,$B81,Data!$S$4:$S$273,$C81))</f>
        <v>0</v>
      </c>
      <c r="O81" s="18">
        <f ca="1">IF($A81="","",SUMIFS(Data!$Z$4:$Z$273,Data!$T$4:$T$273,$A81,Data!$U$4:$U$273,$B81,Data!$S$4:$S$273,$C81))</f>
        <v>0</v>
      </c>
      <c r="P81" s="18">
        <f ca="1">IF($A81="","",SUMIFS(Data!$AA$4:$AA$273,Data!$T$4:$T$273,$A81,Data!$U$4:$U$273,$B81,Data!$S$4:$S$273,$C81))</f>
        <v>0</v>
      </c>
      <c r="Q81" s="18">
        <f ca="1">IF($A81="","",SUMIFS(Data!$AD$4:$AD$273,Data!$T$4:$T$273,$A81,Data!$U$4:$U$273,$B81,Data!$S$4:$S$273,$C81))</f>
        <v>0</v>
      </c>
      <c r="R81" s="18">
        <f ca="1">IF($A81="","",SUMIFS(Data!$AE$4:$AE$273,Data!$T$4:$T$273,$A81,Data!$U$4:$U$273,$B81,Data!$S$4:$S$273,$C81))</f>
        <v>0</v>
      </c>
      <c r="S81" s="18">
        <f ca="1">IF($A81="","",SUMIFS(Data!$AF$4:$AF$273,Data!$T$4:$T$273,$A81,Data!$U$4:$U$273,$B81,Data!$S$4:$S$273,$C81))</f>
        <v>0</v>
      </c>
      <c r="T81" s="18">
        <f ca="1">IF($A81="","",SUMIFS(Data!$AG$4:$AG$273,Data!$T$4:$T$273,$A81,Data!$U$4:$U$273,$B81,Data!$S$4:$S$273,$C81))</f>
        <v>0</v>
      </c>
      <c r="U81" s="18">
        <f ca="1">IF($A81="","",SUMIFS(Data!$AH$4:$AH$273,Data!$T$4:$T$273,$A81,Data!$U$4:$U$273,$B81,Data!$S$4:$S$273,$C81))</f>
        <v>0</v>
      </c>
      <c r="V81" s="18">
        <f ca="1">IF($A81="","",SUMIFS(Data!$AO$4:$AO$183,Data!$AM$4:$AM$183,$B81,Data!$AL$4:$AL$183,$A81,Data!$AK$4:$AK$183,$C81))</f>
        <v>0</v>
      </c>
      <c r="W81" s="18">
        <f ca="1">IF($A81="","",SUMIFS(Data!$AP$4:$AP$183,Data!$AM$4:$AM$183,$B81,Data!$AL$4:$AL$183,$A81,Data!$AK$4:$AK$183,$C81))</f>
        <v>0</v>
      </c>
      <c r="X81" s="18">
        <f ca="1">IF($A81="","",SUMIFS(Data!$AR$4:$AR$183,Data!$AM$4:$AM$183,$B81,Data!$AL$4:$AL$183,$A81,Data!$AK$4:$AK$183,$C81))</f>
        <v>0</v>
      </c>
      <c r="Y81" s="18">
        <f ca="1">IF($A81="","",SUMIFS(Data!$AS$4:$AS$183,Data!$AM$4:$AM$183,$B81,Data!$AL$4:$AL$183,$A81,Data!$AK$4:$AK$183,$C81))</f>
        <v>0</v>
      </c>
      <c r="Z81" s="18">
        <f ca="1">IF($A81="","",SUMIFS(Data!$AT$4:$AT$183,Data!$AM$4:$AM$183,$B81,Data!$AL$4:$AL$183,$A81,Data!$AK$4:$AK$183,$C81))</f>
        <v>0</v>
      </c>
      <c r="AA81" s="18">
        <f ca="1">IF($A81="","",SUMIFS(Data!$AW$4:$AW$183,Data!$AM$4:$AM$183,$B81,Data!$AL$4:$AL$183,$A81,Data!$AK$4:$AK$183,$C81))</f>
        <v>0</v>
      </c>
      <c r="AB81" s="18">
        <f ca="1">IF($A81="","",SUMIFS(Data!$AX$4:$AX$183,Data!$AM$4:$AM$183,$B81,Data!$AL$4:$AL$183,$A81,Data!$AK$4:$AK$183,$C81))</f>
        <v>0</v>
      </c>
      <c r="AC81" s="18">
        <f ca="1">IF($A81="","",SUMIFS(Data!$AY$4:$AY$183,Data!$AM$4:$AM$183,$B81,Data!$AL$4:$AL$183,$A81,Data!$AK$4:$AK$183,$C81))</f>
        <v>0</v>
      </c>
      <c r="AD81" s="18">
        <f t="shared" ca="1" si="3"/>
        <v>0</v>
      </c>
      <c r="AE81" s="18">
        <f ca="1">IF($A81="","",SUMIFS(Data!$AJ$4:$AJ$183,Data!$AM$4:$AM$183,$B81,Data!$AL$4:$AL$183,$A81,Data!$AK$4:$AK$183,$C81))</f>
        <v>0</v>
      </c>
    </row>
    <row r="82" spans="1:31">
      <c r="A82" s="117" t="str">
        <f ca="1">IF(Data!T82="","",Data!T82)</f>
        <v>May</v>
      </c>
      <c r="B82" s="18" t="str">
        <f ca="1">IF(Data!U82="","",Data!U82)</f>
        <v>Koopa</v>
      </c>
      <c r="C82" s="18" t="str">
        <f ca="1">IF(Data!S82="","",Data!S82)</f>
        <v>G5</v>
      </c>
      <c r="D82" s="18">
        <f ca="1">IF($A82="","",Data!W82)</f>
        <v>1</v>
      </c>
      <c r="E82" s="18">
        <f ca="1">IF($A82="","",Data!Y82)</f>
        <v>0</v>
      </c>
      <c r="F82" s="61">
        <f t="shared" ca="1" si="2"/>
        <v>0.0</v>
      </c>
      <c r="G82" s="18">
        <f ca="1">IF($A82="","",Data!AB82)</f>
        <v>0</v>
      </c>
      <c r="H82" s="18">
        <f ca="1">IF($A82="","",Data!AC82)</f>
        <v>0</v>
      </c>
      <c r="I82" s="18">
        <f ca="1">IF($A82="","",INT(SUMIFS(Data!$AN$4:$AN$183,Data!$AM$4:$AM$183,$B82,Data!$AL$4:$AL$183,$A82,Data!$AK$4:$AK$183,$C82))+MOD(ROUND(SUMIFS(Data!$AN$4:$AN$183,Data!$AM$4:$AM$183,$B82,Data!$AL$4:$AL$183,$A82,Data!$AK$4:$AK$183,$C82)*3,0),3)/10)</f>
        <v>0</v>
      </c>
      <c r="J82" s="18">
        <f ca="1">IF($A82="","",SUMIFS(Data!$AQ$4:$AQ$183,Data!$AM$4:$AM$183,$B82,Data!$AL$4:$AL$183,$A82,Data!$AK$4:$AK$183,$C82))</f>
        <v>0</v>
      </c>
      <c r="K82" s="62">
        <f ca="1">IF($A82="","",IF(SUMIFS(Data!$AN$4:$AN$183,Data!$AM$4:$AM$183,$B82,Data!$AL$4:$AL$183,$A82,Data!$AK$4:$AK$183,$C82)=0,"",J82*3/SUMIFS(Data!$AN$4:$AN$183,Data!$AM$4:$AM$183,$B82,Data!$AL$4:$AL$183,$A82,Data!$AK$4:$AK$183,$C82)))</f>
      </c>
      <c r="L82" s="18">
        <f ca="1">IF($A82="","",IF(IFERROR(_xlfn.XLOOKUP($C82,Bracket!$F$6:$F$16,Bracket!$K$6:$K$16,""),"")=$B82,1,0))</f>
        <v>0</v>
      </c>
      <c r="M82" s="18">
        <f ca="1">IF($A82="","",IF(AND(IFERROR(_xlfn.XLOOKUP($C82,Bracket!$F$6:$F$16,Bracket!$K$6:$K$16,""),"")=$B82,LEFT(IFERROR(_xlfn.XLOOKUP($C82,Bracket!$F$6:$F$16,Bracket!$G$6:$G$16,""),""),2)="CG"),1,0))</f>
        <v>0</v>
      </c>
      <c r="N82" s="18">
        <f ca="1">IF($A82="","",SUMIFS(Data!$X$4:$X$273,Data!$T$4:$T$273,$A82,Data!$U$4:$U$273,$B82,Data!$S$4:$S$273,$C82))</f>
        <v>0</v>
      </c>
      <c r="O82" s="18">
        <f ca="1">IF($A82="","",SUMIFS(Data!$Z$4:$Z$273,Data!$T$4:$T$273,$A82,Data!$U$4:$U$273,$B82,Data!$S$4:$S$273,$C82))</f>
        <v>0</v>
      </c>
      <c r="P82" s="18">
        <f ca="1">IF($A82="","",SUMIFS(Data!$AA$4:$AA$273,Data!$T$4:$T$273,$A82,Data!$U$4:$U$273,$B82,Data!$S$4:$S$273,$C82))</f>
        <v>0</v>
      </c>
      <c r="Q82" s="18">
        <f ca="1">IF($A82="","",SUMIFS(Data!$AD$4:$AD$273,Data!$T$4:$T$273,$A82,Data!$U$4:$U$273,$B82,Data!$S$4:$S$273,$C82))</f>
        <v>0</v>
      </c>
      <c r="R82" s="18">
        <f ca="1">IF($A82="","",SUMIFS(Data!$AE$4:$AE$273,Data!$T$4:$T$273,$A82,Data!$U$4:$U$273,$B82,Data!$S$4:$S$273,$C82))</f>
        <v>1</v>
      </c>
      <c r="S82" s="18">
        <f ca="1">IF($A82="","",SUMIFS(Data!$AF$4:$AF$273,Data!$T$4:$T$273,$A82,Data!$U$4:$U$273,$B82,Data!$S$4:$S$273,$C82))</f>
        <v>0</v>
      </c>
      <c r="T82" s="18">
        <f ca="1">IF($A82="","",SUMIFS(Data!$AG$4:$AG$273,Data!$T$4:$T$273,$A82,Data!$U$4:$U$273,$B82,Data!$S$4:$S$273,$C82))</f>
        <v>0</v>
      </c>
      <c r="U82" s="18">
        <f ca="1">IF($A82="","",SUMIFS(Data!$AH$4:$AH$273,Data!$T$4:$T$273,$A82,Data!$U$4:$U$273,$B82,Data!$S$4:$S$273,$C82))</f>
        <v>0</v>
      </c>
      <c r="V82" s="18">
        <f ca="1">IF($A82="","",SUMIFS(Data!$AO$4:$AO$183,Data!$AM$4:$AM$183,$B82,Data!$AL$4:$AL$183,$A82,Data!$AK$4:$AK$183,$C82))</f>
        <v>0</v>
      </c>
      <c r="W82" s="18">
        <f ca="1">IF($A82="","",SUMIFS(Data!$AP$4:$AP$183,Data!$AM$4:$AM$183,$B82,Data!$AL$4:$AL$183,$A82,Data!$AK$4:$AK$183,$C82))</f>
        <v>0</v>
      </c>
      <c r="X82" s="18">
        <f ca="1">IF($A82="","",SUMIFS(Data!$AR$4:$AR$183,Data!$AM$4:$AM$183,$B82,Data!$AL$4:$AL$183,$A82,Data!$AK$4:$AK$183,$C82))</f>
        <v>0</v>
      </c>
      <c r="Y82" s="18">
        <f ca="1">IF($A82="","",SUMIFS(Data!$AS$4:$AS$183,Data!$AM$4:$AM$183,$B82,Data!$AL$4:$AL$183,$A82,Data!$AK$4:$AK$183,$C82))</f>
        <v>0</v>
      </c>
      <c r="Z82" s="18">
        <f ca="1">IF($A82="","",SUMIFS(Data!$AT$4:$AT$183,Data!$AM$4:$AM$183,$B82,Data!$AL$4:$AL$183,$A82,Data!$AK$4:$AK$183,$C82))</f>
        <v>0</v>
      </c>
      <c r="AA82" s="18">
        <f ca="1">IF($A82="","",SUMIFS(Data!$AW$4:$AW$183,Data!$AM$4:$AM$183,$B82,Data!$AL$4:$AL$183,$A82,Data!$AK$4:$AK$183,$C82))</f>
        <v>0</v>
      </c>
      <c r="AB82" s="18">
        <f ca="1">IF($A82="","",SUMIFS(Data!$AX$4:$AX$183,Data!$AM$4:$AM$183,$B82,Data!$AL$4:$AL$183,$A82,Data!$AK$4:$AK$183,$C82))</f>
        <v>0</v>
      </c>
      <c r="AC82" s="18">
        <f ca="1">IF($A82="","",SUMIFS(Data!$AY$4:$AY$183,Data!$AM$4:$AM$183,$B82,Data!$AL$4:$AL$183,$A82,Data!$AK$4:$AK$183,$C82))</f>
        <v>0</v>
      </c>
      <c r="AD82" s="18">
        <f t="shared" ca="1" si="3"/>
        <v>0</v>
      </c>
      <c r="AE82" s="18">
        <f ca="1">IF($A82="","",SUMIFS(Data!$AJ$4:$AJ$183,Data!$AM$4:$AM$183,$B82,Data!$AL$4:$AL$183,$A82,Data!$AK$4:$AK$183,$C82))</f>
        <v>0</v>
      </c>
    </row>
    <row r="83" spans="1:31">
      <c r="A83" s="117" t="str">
        <f ca="1">IF(Data!T83="","",Data!T83)</f>
        <v>May</v>
      </c>
      <c r="B83" s="18" t="str">
        <f ca="1">IF(Data!U83="","",Data!U83)</f>
        <v>Red Yoshi</v>
      </c>
      <c r="C83" s="18" t="str">
        <f ca="1">IF(Data!S83="","",Data!S83)</f>
        <v>G5</v>
      </c>
      <c r="D83" s="18">
        <f ca="1">IF($A83="","",Data!W83)</f>
        <v>1</v>
      </c>
      <c r="E83" s="18">
        <f ca="1">IF($A83="","",Data!Y83)</f>
        <v>1</v>
      </c>
      <c r="F83" s="61">
        <f t="shared" ca="1" si="2"/>
        <v>1.0</v>
      </c>
      <c r="G83" s="18">
        <f ca="1">IF($A83="","",Data!AB83)</f>
        <v>0</v>
      </c>
      <c r="H83" s="18">
        <f ca="1">IF($A83="","",Data!AC83)</f>
        <v>0</v>
      </c>
      <c r="I83" s="18">
        <f ca="1">IF($A83="","",INT(SUMIFS(Data!$AN$4:$AN$183,Data!$AM$4:$AM$183,$B83,Data!$AL$4:$AL$183,$A83,Data!$AK$4:$AK$183,$C83))+MOD(ROUND(SUMIFS(Data!$AN$4:$AN$183,Data!$AM$4:$AM$183,$B83,Data!$AL$4:$AL$183,$A83,Data!$AK$4:$AK$183,$C83)*3,0),3)/10)</f>
        <v>0</v>
      </c>
      <c r="J83" s="18">
        <f ca="1">IF($A83="","",SUMIFS(Data!$AQ$4:$AQ$183,Data!$AM$4:$AM$183,$B83,Data!$AL$4:$AL$183,$A83,Data!$AK$4:$AK$183,$C83))</f>
        <v>0</v>
      </c>
      <c r="K83" s="62">
        <f ca="1">IF($A83="","",IF(SUMIFS(Data!$AN$4:$AN$183,Data!$AM$4:$AM$183,$B83,Data!$AL$4:$AL$183,$A83,Data!$AK$4:$AK$183,$C83)=0,"",J83*3/SUMIFS(Data!$AN$4:$AN$183,Data!$AM$4:$AM$183,$B83,Data!$AL$4:$AL$183,$A83,Data!$AK$4:$AK$183,$C83)))</f>
      </c>
      <c r="L83" s="18">
        <f ca="1">IF($A83="","",IF(IFERROR(_xlfn.XLOOKUP($C83,Bracket!$F$6:$F$16,Bracket!$K$6:$K$16,""),"")=$B83,1,0))</f>
        <v>0</v>
      </c>
      <c r="M83" s="18">
        <f ca="1">IF($A83="","",IF(AND(IFERROR(_xlfn.XLOOKUP($C83,Bracket!$F$6:$F$16,Bracket!$K$6:$K$16,""),"")=$B83,LEFT(IFERROR(_xlfn.XLOOKUP($C83,Bracket!$F$6:$F$16,Bracket!$G$6:$G$16,""),""),2)="CG"),1,0))</f>
        <v>0</v>
      </c>
      <c r="N83" s="18">
        <f ca="1">IF($A83="","",SUMIFS(Data!$X$4:$X$273,Data!$T$4:$T$273,$A83,Data!$U$4:$U$273,$B83,Data!$S$4:$S$273,$C83))</f>
        <v>0</v>
      </c>
      <c r="O83" s="18">
        <f ca="1">IF($A83="","",SUMIFS(Data!$Z$4:$Z$273,Data!$T$4:$T$273,$A83,Data!$U$4:$U$273,$B83,Data!$S$4:$S$273,$C83))</f>
        <v>0</v>
      </c>
      <c r="P83" s="18">
        <f ca="1">IF($A83="","",SUMIFS(Data!$AA$4:$AA$273,Data!$T$4:$T$273,$A83,Data!$U$4:$U$273,$B83,Data!$S$4:$S$273,$C83))</f>
        <v>0</v>
      </c>
      <c r="Q83" s="18">
        <f ca="1">IF($A83="","",SUMIFS(Data!$AD$4:$AD$273,Data!$T$4:$T$273,$A83,Data!$U$4:$U$273,$B83,Data!$S$4:$S$273,$C83))</f>
        <v>0</v>
      </c>
      <c r="R83" s="18">
        <f ca="1">IF($A83="","",SUMIFS(Data!$AE$4:$AE$273,Data!$T$4:$T$273,$A83,Data!$U$4:$U$273,$B83,Data!$S$4:$S$273,$C83))</f>
        <v>0</v>
      </c>
      <c r="S83" s="18">
        <f ca="1">IF($A83="","",SUMIFS(Data!$AF$4:$AF$273,Data!$T$4:$T$273,$A83,Data!$U$4:$U$273,$B83,Data!$S$4:$S$273,$C83))</f>
        <v>0</v>
      </c>
      <c r="T83" s="18">
        <f ca="1">IF($A83="","",SUMIFS(Data!$AG$4:$AG$273,Data!$T$4:$T$273,$A83,Data!$U$4:$U$273,$B83,Data!$S$4:$S$273,$C83))</f>
        <v>0</v>
      </c>
      <c r="U83" s="18">
        <f ca="1">IF($A83="","",SUMIFS(Data!$AH$4:$AH$273,Data!$T$4:$T$273,$A83,Data!$U$4:$U$273,$B83,Data!$S$4:$S$273,$C83))</f>
        <v>0</v>
      </c>
      <c r="V83" s="18">
        <f ca="1">IF($A83="","",SUMIFS(Data!$AO$4:$AO$183,Data!$AM$4:$AM$183,$B83,Data!$AL$4:$AL$183,$A83,Data!$AK$4:$AK$183,$C83))</f>
        <v>0</v>
      </c>
      <c r="W83" s="18">
        <f ca="1">IF($A83="","",SUMIFS(Data!$AP$4:$AP$183,Data!$AM$4:$AM$183,$B83,Data!$AL$4:$AL$183,$A83,Data!$AK$4:$AK$183,$C83))</f>
        <v>0</v>
      </c>
      <c r="X83" s="18">
        <f ca="1">IF($A83="","",SUMIFS(Data!$AR$4:$AR$183,Data!$AM$4:$AM$183,$B83,Data!$AL$4:$AL$183,$A83,Data!$AK$4:$AK$183,$C83))</f>
        <v>0</v>
      </c>
      <c r="Y83" s="18">
        <f ca="1">IF($A83="","",SUMIFS(Data!$AS$4:$AS$183,Data!$AM$4:$AM$183,$B83,Data!$AL$4:$AL$183,$A83,Data!$AK$4:$AK$183,$C83))</f>
        <v>0</v>
      </c>
      <c r="Z83" s="18">
        <f ca="1">IF($A83="","",SUMIFS(Data!$AT$4:$AT$183,Data!$AM$4:$AM$183,$B83,Data!$AL$4:$AL$183,$A83,Data!$AK$4:$AK$183,$C83))</f>
        <v>0</v>
      </c>
      <c r="AA83" s="18">
        <f ca="1">IF($A83="","",SUMIFS(Data!$AW$4:$AW$183,Data!$AM$4:$AM$183,$B83,Data!$AL$4:$AL$183,$A83,Data!$AK$4:$AK$183,$C83))</f>
        <v>0</v>
      </c>
      <c r="AB83" s="18">
        <f ca="1">IF($A83="","",SUMIFS(Data!$AX$4:$AX$183,Data!$AM$4:$AM$183,$B83,Data!$AL$4:$AL$183,$A83,Data!$AK$4:$AK$183,$C83))</f>
        <v>0</v>
      </c>
      <c r="AC83" s="18">
        <f ca="1">IF($A83="","",SUMIFS(Data!$AY$4:$AY$183,Data!$AM$4:$AM$183,$B83,Data!$AL$4:$AL$183,$A83,Data!$AK$4:$AK$183,$C83))</f>
        <v>0</v>
      </c>
      <c r="AD83" s="18">
        <f t="shared" ca="1" si="3"/>
        <v>0</v>
      </c>
      <c r="AE83" s="18">
        <f ca="1">IF($A83="","",SUMIFS(Data!$AJ$4:$AJ$183,Data!$AM$4:$AM$183,$B83,Data!$AL$4:$AL$183,$A83,Data!$AK$4:$AK$183,$C83))</f>
        <v>0</v>
      </c>
    </row>
    <row r="84" spans="1:31">
      <c r="A84" s="117" t="str">
        <f ca="1">IF(Data!T84="","",Data!T84)</f>
        <v>May</v>
      </c>
      <c r="B84" s="18" t="str">
        <f ca="1">IF(Data!U84="","",Data!U84)</f>
        <v>Baby Peach</v>
      </c>
      <c r="C84" s="18" t="str">
        <f ca="1">IF(Data!S84="","",Data!S84)</f>
        <v>G5</v>
      </c>
      <c r="D84" s="18">
        <f ca="1">IF($A84="","",Data!W84)</f>
        <v>1</v>
      </c>
      <c r="E84" s="18">
        <f ca="1">IF($A84="","",Data!Y84)</f>
        <v>0</v>
      </c>
      <c r="F84" s="61">
        <f t="shared" ca="1" si="2"/>
        <v>0.0</v>
      </c>
      <c r="G84" s="18">
        <f ca="1">IF($A84="","",Data!AB84)</f>
        <v>0</v>
      </c>
      <c r="H84" s="18">
        <f ca="1">IF($A84="","",Data!AC84)</f>
        <v>0</v>
      </c>
      <c r="I84" s="18">
        <f ca="1">IF($A84="","",INT(SUMIFS(Data!$AN$4:$AN$183,Data!$AM$4:$AM$183,$B84,Data!$AL$4:$AL$183,$A84,Data!$AK$4:$AK$183,$C84))+MOD(ROUND(SUMIFS(Data!$AN$4:$AN$183,Data!$AM$4:$AM$183,$B84,Data!$AL$4:$AL$183,$A84,Data!$AK$4:$AK$183,$C84)*3,0),3)/10)</f>
        <v>0</v>
      </c>
      <c r="J84" s="18">
        <f ca="1">IF($A84="","",SUMIFS(Data!$AQ$4:$AQ$183,Data!$AM$4:$AM$183,$B84,Data!$AL$4:$AL$183,$A84,Data!$AK$4:$AK$183,$C84))</f>
        <v>0</v>
      </c>
      <c r="K84" s="62">
        <f ca="1">IF($A84="","",IF(SUMIFS(Data!$AN$4:$AN$183,Data!$AM$4:$AM$183,$B84,Data!$AL$4:$AL$183,$A84,Data!$AK$4:$AK$183,$C84)=0,"",J84*3/SUMIFS(Data!$AN$4:$AN$183,Data!$AM$4:$AM$183,$B84,Data!$AL$4:$AL$183,$A84,Data!$AK$4:$AK$183,$C84)))</f>
      </c>
      <c r="L84" s="18">
        <f ca="1">IF($A84="","",IF(IFERROR(_xlfn.XLOOKUP($C84,Bracket!$F$6:$F$16,Bracket!$K$6:$K$16,""),"")=$B84,1,0))</f>
        <v>0</v>
      </c>
      <c r="M84" s="18">
        <f ca="1">IF($A84="","",IF(AND(IFERROR(_xlfn.XLOOKUP($C84,Bracket!$F$6:$F$16,Bracket!$K$6:$K$16,""),"")=$B84,LEFT(IFERROR(_xlfn.XLOOKUP($C84,Bracket!$F$6:$F$16,Bracket!$G$6:$G$16,""),""),2)="CG"),1,0))</f>
        <v>0</v>
      </c>
      <c r="N84" s="18">
        <f ca="1">IF($A84="","",SUMIFS(Data!$X$4:$X$273,Data!$T$4:$T$273,$A84,Data!$U$4:$U$273,$B84,Data!$S$4:$S$273,$C84))</f>
        <v>0</v>
      </c>
      <c r="O84" s="18">
        <f ca="1">IF($A84="","",SUMIFS(Data!$Z$4:$Z$273,Data!$T$4:$T$273,$A84,Data!$U$4:$U$273,$B84,Data!$S$4:$S$273,$C84))</f>
        <v>0</v>
      </c>
      <c r="P84" s="18">
        <f ca="1">IF($A84="","",SUMIFS(Data!$AA$4:$AA$273,Data!$T$4:$T$273,$A84,Data!$U$4:$U$273,$B84,Data!$S$4:$S$273,$C84))</f>
        <v>0</v>
      </c>
      <c r="Q84" s="18">
        <f ca="1">IF($A84="","",SUMIFS(Data!$AD$4:$AD$273,Data!$T$4:$T$273,$A84,Data!$U$4:$U$273,$B84,Data!$S$4:$S$273,$C84))</f>
        <v>0</v>
      </c>
      <c r="R84" s="18">
        <f ca="1">IF($A84="","",SUMIFS(Data!$AE$4:$AE$273,Data!$T$4:$T$273,$A84,Data!$U$4:$U$273,$B84,Data!$S$4:$S$273,$C84))</f>
        <v>0</v>
      </c>
      <c r="S84" s="18">
        <f ca="1">IF($A84="","",SUMIFS(Data!$AF$4:$AF$273,Data!$T$4:$T$273,$A84,Data!$U$4:$U$273,$B84,Data!$S$4:$S$273,$C84))</f>
        <v>0</v>
      </c>
      <c r="T84" s="18">
        <f ca="1">IF($A84="","",SUMIFS(Data!$AG$4:$AG$273,Data!$T$4:$T$273,$A84,Data!$U$4:$U$273,$B84,Data!$S$4:$S$273,$C84))</f>
        <v>0</v>
      </c>
      <c r="U84" s="18">
        <f ca="1">IF($A84="","",SUMIFS(Data!$AH$4:$AH$273,Data!$T$4:$T$273,$A84,Data!$U$4:$U$273,$B84,Data!$S$4:$S$273,$C84))</f>
        <v>0</v>
      </c>
      <c r="V84" s="18">
        <f ca="1">IF($A84="","",SUMIFS(Data!$AO$4:$AO$183,Data!$AM$4:$AM$183,$B84,Data!$AL$4:$AL$183,$A84,Data!$AK$4:$AK$183,$C84))</f>
        <v>0</v>
      </c>
      <c r="W84" s="18">
        <f ca="1">IF($A84="","",SUMIFS(Data!$AP$4:$AP$183,Data!$AM$4:$AM$183,$B84,Data!$AL$4:$AL$183,$A84,Data!$AK$4:$AK$183,$C84))</f>
        <v>0</v>
      </c>
      <c r="X84" s="18">
        <f ca="1">IF($A84="","",SUMIFS(Data!$AR$4:$AR$183,Data!$AM$4:$AM$183,$B84,Data!$AL$4:$AL$183,$A84,Data!$AK$4:$AK$183,$C84))</f>
        <v>0</v>
      </c>
      <c r="Y84" s="18">
        <f ca="1">IF($A84="","",SUMIFS(Data!$AS$4:$AS$183,Data!$AM$4:$AM$183,$B84,Data!$AL$4:$AL$183,$A84,Data!$AK$4:$AK$183,$C84))</f>
        <v>0</v>
      </c>
      <c r="Z84" s="18">
        <f ca="1">IF($A84="","",SUMIFS(Data!$AT$4:$AT$183,Data!$AM$4:$AM$183,$B84,Data!$AL$4:$AL$183,$A84,Data!$AK$4:$AK$183,$C84))</f>
        <v>0</v>
      </c>
      <c r="AA84" s="18">
        <f ca="1">IF($A84="","",SUMIFS(Data!$AW$4:$AW$183,Data!$AM$4:$AM$183,$B84,Data!$AL$4:$AL$183,$A84,Data!$AK$4:$AK$183,$C84))</f>
        <v>0</v>
      </c>
      <c r="AB84" s="18">
        <f ca="1">IF($A84="","",SUMIFS(Data!$AX$4:$AX$183,Data!$AM$4:$AM$183,$B84,Data!$AL$4:$AL$183,$A84,Data!$AK$4:$AK$183,$C84))</f>
        <v>0</v>
      </c>
      <c r="AC84" s="18">
        <f ca="1">IF($A84="","",SUMIFS(Data!$AY$4:$AY$183,Data!$AM$4:$AM$183,$B84,Data!$AL$4:$AL$183,$A84,Data!$AK$4:$AK$183,$C84))</f>
        <v>0</v>
      </c>
      <c r="AD84" s="18">
        <f t="shared" ca="1" si="3"/>
        <v>0</v>
      </c>
      <c r="AE84" s="18">
        <f ca="1">IF($A84="","",SUMIFS(Data!$AJ$4:$AJ$183,Data!$AM$4:$AM$183,$B84,Data!$AL$4:$AL$183,$A84,Data!$AK$4:$AK$183,$C84))</f>
        <v>0</v>
      </c>
    </row>
    <row r="85" spans="1:31">
      <c r="A85" s="116" t="str">
        <f ca="1">IF(Data!T85="","",Data!T85)</f>
        <v>Justin</v>
      </c>
      <c r="B85" s="18" t="str">
        <f ca="1">IF(Data!U85="","",Data!U85)</f>
        <v>Bowser Jr.</v>
      </c>
      <c r="C85" s="18" t="str">
        <f ca="1">IF(Data!S85="","",Data!S85)</f>
        <v>G5</v>
      </c>
      <c r="D85" s="18">
        <f ca="1">IF($A85="","",Data!W85)</f>
        <v>2</v>
      </c>
      <c r="E85" s="18">
        <f ca="1">IF($A85="","",Data!Y85)</f>
        <v>0</v>
      </c>
      <c r="F85" s="61">
        <f t="shared" ca="1" si="2"/>
        <v>0.0</v>
      </c>
      <c r="G85" s="18">
        <f ca="1">IF($A85="","",Data!AB85)</f>
        <v>0</v>
      </c>
      <c r="H85" s="18">
        <f ca="1">IF($A85="","",Data!AC85)</f>
        <v>0</v>
      </c>
      <c r="I85" s="18">
        <f ca="1">IF($A85="","",INT(SUMIFS(Data!$AN$4:$AN$183,Data!$AM$4:$AM$183,$B85,Data!$AL$4:$AL$183,$A85,Data!$AK$4:$AK$183,$C85))+MOD(ROUND(SUMIFS(Data!$AN$4:$AN$183,Data!$AM$4:$AM$183,$B85,Data!$AL$4:$AL$183,$A85,Data!$AK$4:$AK$183,$C85)*3,0),3)/10)</f>
        <v>0</v>
      </c>
      <c r="J85" s="18">
        <f ca="1">IF($A85="","",SUMIFS(Data!$AQ$4:$AQ$183,Data!$AM$4:$AM$183,$B85,Data!$AL$4:$AL$183,$A85,Data!$AK$4:$AK$183,$C85))</f>
        <v>0</v>
      </c>
      <c r="K85" s="62">
        <f ca="1">IF($A85="","",IF(SUMIFS(Data!$AN$4:$AN$183,Data!$AM$4:$AM$183,$B85,Data!$AL$4:$AL$183,$A85,Data!$AK$4:$AK$183,$C85)=0,"",J85*3/SUMIFS(Data!$AN$4:$AN$183,Data!$AM$4:$AM$183,$B85,Data!$AL$4:$AL$183,$A85,Data!$AK$4:$AK$183,$C85)))</f>
      </c>
      <c r="L85" s="18">
        <f ca="1">IF($A85="","",IF(IFERROR(_xlfn.XLOOKUP($C85,Bracket!$F$6:$F$16,Bracket!$K$6:$K$16,""),"")=$B85,1,0))</f>
        <v>0</v>
      </c>
      <c r="M85" s="18">
        <f ca="1">IF($A85="","",IF(AND(IFERROR(_xlfn.XLOOKUP($C85,Bracket!$F$6:$F$16,Bracket!$K$6:$K$16,""),"")=$B85,LEFT(IFERROR(_xlfn.XLOOKUP($C85,Bracket!$F$6:$F$16,Bracket!$G$6:$G$16,""),""),2)="CG"),1,0))</f>
        <v>0</v>
      </c>
      <c r="N85" s="18">
        <f ca="1">IF($A85="","",SUMIFS(Data!$X$4:$X$273,Data!$T$4:$T$273,$A85,Data!$U$4:$U$273,$B85,Data!$S$4:$S$273,$C85))</f>
        <v>0</v>
      </c>
      <c r="O85" s="18">
        <f ca="1">IF($A85="","",SUMIFS(Data!$Z$4:$Z$273,Data!$T$4:$T$273,$A85,Data!$U$4:$U$273,$B85,Data!$S$4:$S$273,$C85))</f>
        <v>0</v>
      </c>
      <c r="P85" s="18">
        <f ca="1">IF($A85="","",SUMIFS(Data!$AA$4:$AA$273,Data!$T$4:$T$273,$A85,Data!$U$4:$U$273,$B85,Data!$S$4:$S$273,$C85))</f>
        <v>0</v>
      </c>
      <c r="Q85" s="18">
        <f ca="1">IF($A85="","",SUMIFS(Data!$AD$4:$AD$273,Data!$T$4:$T$273,$A85,Data!$U$4:$U$273,$B85,Data!$S$4:$S$273,$C85))</f>
        <v>0</v>
      </c>
      <c r="R85" s="18">
        <f ca="1">IF($A85="","",SUMIFS(Data!$AE$4:$AE$273,Data!$T$4:$T$273,$A85,Data!$U$4:$U$273,$B85,Data!$S$4:$S$273,$C85))</f>
        <v>1</v>
      </c>
      <c r="S85" s="18">
        <f ca="1">IF($A85="","",SUMIFS(Data!$AF$4:$AF$273,Data!$T$4:$T$273,$A85,Data!$U$4:$U$273,$B85,Data!$S$4:$S$273,$C85))</f>
        <v>0</v>
      </c>
      <c r="T85" s="18">
        <f ca="1">IF($A85="","",SUMIFS(Data!$AG$4:$AG$273,Data!$T$4:$T$273,$A85,Data!$U$4:$U$273,$B85,Data!$S$4:$S$273,$C85))</f>
        <v>0</v>
      </c>
      <c r="U85" s="18">
        <f ca="1">IF($A85="","",SUMIFS(Data!$AH$4:$AH$273,Data!$T$4:$T$273,$A85,Data!$U$4:$U$273,$B85,Data!$S$4:$S$273,$C85))</f>
        <v>0</v>
      </c>
      <c r="V85" s="18">
        <f ca="1">IF($A85="","",SUMIFS(Data!$AO$4:$AO$183,Data!$AM$4:$AM$183,$B85,Data!$AL$4:$AL$183,$A85,Data!$AK$4:$AK$183,$C85))</f>
        <v>0</v>
      </c>
      <c r="W85" s="18">
        <f ca="1">IF($A85="","",SUMIFS(Data!$AP$4:$AP$183,Data!$AM$4:$AM$183,$B85,Data!$AL$4:$AL$183,$A85,Data!$AK$4:$AK$183,$C85))</f>
        <v>0</v>
      </c>
      <c r="X85" s="18">
        <f ca="1">IF($A85="","",SUMIFS(Data!$AR$4:$AR$183,Data!$AM$4:$AM$183,$B85,Data!$AL$4:$AL$183,$A85,Data!$AK$4:$AK$183,$C85))</f>
        <v>0</v>
      </c>
      <c r="Y85" s="18">
        <f ca="1">IF($A85="","",SUMIFS(Data!$AS$4:$AS$183,Data!$AM$4:$AM$183,$B85,Data!$AL$4:$AL$183,$A85,Data!$AK$4:$AK$183,$C85))</f>
        <v>0</v>
      </c>
      <c r="Z85" s="18">
        <f ca="1">IF($A85="","",SUMIFS(Data!$AT$4:$AT$183,Data!$AM$4:$AM$183,$B85,Data!$AL$4:$AL$183,$A85,Data!$AK$4:$AK$183,$C85))</f>
        <v>0</v>
      </c>
      <c r="AA85" s="18">
        <f ca="1">IF($A85="","",SUMIFS(Data!$AW$4:$AW$183,Data!$AM$4:$AM$183,$B85,Data!$AL$4:$AL$183,$A85,Data!$AK$4:$AK$183,$C85))</f>
        <v>0</v>
      </c>
      <c r="AB85" s="18">
        <f ca="1">IF($A85="","",SUMIFS(Data!$AX$4:$AX$183,Data!$AM$4:$AM$183,$B85,Data!$AL$4:$AL$183,$A85,Data!$AK$4:$AK$183,$C85))</f>
        <v>0</v>
      </c>
      <c r="AC85" s="18">
        <f ca="1">IF($A85="","",SUMIFS(Data!$AY$4:$AY$183,Data!$AM$4:$AM$183,$B85,Data!$AL$4:$AL$183,$A85,Data!$AK$4:$AK$183,$C85))</f>
        <v>0</v>
      </c>
      <c r="AD85" s="18">
        <f t="shared" ca="1" si="3"/>
        <v>0</v>
      </c>
      <c r="AE85" s="18">
        <f ca="1">IF($A85="","",SUMIFS(Data!$AJ$4:$AJ$183,Data!$AM$4:$AM$183,$B85,Data!$AL$4:$AL$183,$A85,Data!$AK$4:$AK$183,$C85))</f>
        <v>0</v>
      </c>
    </row>
    <row r="86" spans="1:31">
      <c r="A86" s="116" t="str">
        <f ca="1">IF(Data!T86="","",Data!T86)</f>
        <v>Justin</v>
      </c>
      <c r="B86" s="18" t="str">
        <f ca="1">IF(Data!U86="","",Data!U86)</f>
        <v>Kritter</v>
      </c>
      <c r="C86" s="18" t="str">
        <f ca="1">IF(Data!S86="","",Data!S86)</f>
        <v>G5</v>
      </c>
      <c r="D86" s="18">
        <f ca="1">IF($A86="","",Data!W86)</f>
        <v>2</v>
      </c>
      <c r="E86" s="18">
        <f ca="1">IF($A86="","",Data!Y86)</f>
        <v>1</v>
      </c>
      <c r="F86" s="61">
        <f t="shared" ca="1" si="2"/>
        <v>0.5</v>
      </c>
      <c r="G86" s="18">
        <f ca="1">IF($A86="","",Data!AB86)</f>
        <v>0</v>
      </c>
      <c r="H86" s="18">
        <f ca="1">IF($A86="","",Data!AC86)</f>
        <v>0</v>
      </c>
      <c r="I86" s="18">
        <f ca="1">IF($A86="","",INT(SUMIFS(Data!$AN$4:$AN$183,Data!$AM$4:$AM$183,$B86,Data!$AL$4:$AL$183,$A86,Data!$AK$4:$AK$183,$C86))+MOD(ROUND(SUMIFS(Data!$AN$4:$AN$183,Data!$AM$4:$AM$183,$B86,Data!$AL$4:$AL$183,$A86,Data!$AK$4:$AK$183,$C86)*3,0),3)/10)</f>
        <v>0</v>
      </c>
      <c r="J86" s="18">
        <f ca="1">IF($A86="","",SUMIFS(Data!$AQ$4:$AQ$183,Data!$AM$4:$AM$183,$B86,Data!$AL$4:$AL$183,$A86,Data!$AK$4:$AK$183,$C86))</f>
        <v>0</v>
      </c>
      <c r="K86" s="62">
        <f ca="1">IF($A86="","",IF(SUMIFS(Data!$AN$4:$AN$183,Data!$AM$4:$AM$183,$B86,Data!$AL$4:$AL$183,$A86,Data!$AK$4:$AK$183,$C86)=0,"",J86*3/SUMIFS(Data!$AN$4:$AN$183,Data!$AM$4:$AM$183,$B86,Data!$AL$4:$AL$183,$A86,Data!$AK$4:$AK$183,$C86)))</f>
      </c>
      <c r="L86" s="18">
        <f ca="1">IF($A86="","",IF(IFERROR(_xlfn.XLOOKUP($C86,Bracket!$F$6:$F$16,Bracket!$K$6:$K$16,""),"")=$B86,1,0))</f>
        <v>0</v>
      </c>
      <c r="M86" s="18">
        <f ca="1">IF($A86="","",IF(AND(IFERROR(_xlfn.XLOOKUP($C86,Bracket!$F$6:$F$16,Bracket!$K$6:$K$16,""),"")=$B86,LEFT(IFERROR(_xlfn.XLOOKUP($C86,Bracket!$F$6:$F$16,Bracket!$G$6:$G$16,""),""),2)="CG"),1,0))</f>
        <v>0</v>
      </c>
      <c r="N86" s="18">
        <f ca="1">IF($A86="","",SUMIFS(Data!$X$4:$X$273,Data!$T$4:$T$273,$A86,Data!$U$4:$U$273,$B86,Data!$S$4:$S$273,$C86))</f>
        <v>1</v>
      </c>
      <c r="O86" s="18">
        <f ca="1">IF($A86="","",SUMIFS(Data!$Z$4:$Z$273,Data!$T$4:$T$273,$A86,Data!$U$4:$U$273,$B86,Data!$S$4:$S$273,$C86))</f>
        <v>0</v>
      </c>
      <c r="P86" s="18">
        <f ca="1">IF($A86="","",SUMIFS(Data!$AA$4:$AA$273,Data!$T$4:$T$273,$A86,Data!$U$4:$U$273,$B86,Data!$S$4:$S$273,$C86))</f>
        <v>1</v>
      </c>
      <c r="Q86" s="18">
        <f ca="1">IF($A86="","",SUMIFS(Data!$AD$4:$AD$273,Data!$T$4:$T$273,$A86,Data!$U$4:$U$273,$B86,Data!$S$4:$S$273,$C86))</f>
        <v>0</v>
      </c>
      <c r="R86" s="18">
        <f ca="1">IF($A86="","",SUMIFS(Data!$AE$4:$AE$273,Data!$T$4:$T$273,$A86,Data!$U$4:$U$273,$B86,Data!$S$4:$S$273,$C86))</f>
        <v>0</v>
      </c>
      <c r="S86" s="18">
        <f ca="1">IF($A86="","",SUMIFS(Data!$AF$4:$AF$273,Data!$T$4:$T$273,$A86,Data!$U$4:$U$273,$B86,Data!$S$4:$S$273,$C86))</f>
        <v>0</v>
      </c>
      <c r="T86" s="18">
        <f ca="1">IF($A86="","",SUMIFS(Data!$AG$4:$AG$273,Data!$T$4:$T$273,$A86,Data!$U$4:$U$273,$B86,Data!$S$4:$S$273,$C86))</f>
        <v>0</v>
      </c>
      <c r="U86" s="18">
        <f ca="1">IF($A86="","",SUMIFS(Data!$AH$4:$AH$273,Data!$T$4:$T$273,$A86,Data!$U$4:$U$273,$B86,Data!$S$4:$S$273,$C86))</f>
        <v>0</v>
      </c>
      <c r="V86" s="18">
        <f ca="1">IF($A86="","",SUMIFS(Data!$AO$4:$AO$183,Data!$AM$4:$AM$183,$B86,Data!$AL$4:$AL$183,$A86,Data!$AK$4:$AK$183,$C86))</f>
        <v>0</v>
      </c>
      <c r="W86" s="18">
        <f ca="1">IF($A86="","",SUMIFS(Data!$AP$4:$AP$183,Data!$AM$4:$AM$183,$B86,Data!$AL$4:$AL$183,$A86,Data!$AK$4:$AK$183,$C86))</f>
        <v>0</v>
      </c>
      <c r="X86" s="18">
        <f ca="1">IF($A86="","",SUMIFS(Data!$AR$4:$AR$183,Data!$AM$4:$AM$183,$B86,Data!$AL$4:$AL$183,$A86,Data!$AK$4:$AK$183,$C86))</f>
        <v>0</v>
      </c>
      <c r="Y86" s="18">
        <f ca="1">IF($A86="","",SUMIFS(Data!$AS$4:$AS$183,Data!$AM$4:$AM$183,$B86,Data!$AL$4:$AL$183,$A86,Data!$AK$4:$AK$183,$C86))</f>
        <v>0</v>
      </c>
      <c r="Z86" s="18">
        <f ca="1">IF($A86="","",SUMIFS(Data!$AT$4:$AT$183,Data!$AM$4:$AM$183,$B86,Data!$AL$4:$AL$183,$A86,Data!$AK$4:$AK$183,$C86))</f>
        <v>0</v>
      </c>
      <c r="AA86" s="18">
        <f ca="1">IF($A86="","",SUMIFS(Data!$AW$4:$AW$183,Data!$AM$4:$AM$183,$B86,Data!$AL$4:$AL$183,$A86,Data!$AK$4:$AK$183,$C86))</f>
        <v>0</v>
      </c>
      <c r="AB86" s="18">
        <f ca="1">IF($A86="","",SUMIFS(Data!$AX$4:$AX$183,Data!$AM$4:$AM$183,$B86,Data!$AL$4:$AL$183,$A86,Data!$AK$4:$AK$183,$C86))</f>
        <v>0</v>
      </c>
      <c r="AC86" s="18">
        <f ca="1">IF($A86="","",SUMIFS(Data!$AY$4:$AY$183,Data!$AM$4:$AM$183,$B86,Data!$AL$4:$AL$183,$A86,Data!$AK$4:$AK$183,$C86))</f>
        <v>0</v>
      </c>
      <c r="AD86" s="18">
        <f t="shared" ca="1" si="3"/>
        <v>0</v>
      </c>
      <c r="AE86" s="18">
        <f ca="1">IF($A86="","",SUMIFS(Data!$AJ$4:$AJ$183,Data!$AM$4:$AM$183,$B86,Data!$AL$4:$AL$183,$A86,Data!$AK$4:$AK$183,$C86))</f>
        <v>0</v>
      </c>
    </row>
    <row r="87" spans="1:31">
      <c r="A87" s="116" t="str">
        <f ca="1">IF(Data!T87="","",Data!T87)</f>
        <v>Justin</v>
      </c>
      <c r="B87" s="18" t="str">
        <f ca="1">IF(Data!U87="","",Data!U87)</f>
        <v>Funky Kong</v>
      </c>
      <c r="C87" s="18" t="str">
        <f ca="1">IF(Data!S87="","",Data!S87)</f>
        <v>G5</v>
      </c>
      <c r="D87" s="18">
        <f ca="1">IF($A87="","",Data!W87)</f>
        <v>0</v>
      </c>
      <c r="E87" s="18">
        <f ca="1">IF($A87="","",Data!Y87)</f>
        <v>0</v>
      </c>
      <c r="F87" s="61">
        <f t="shared" ca="1" si="2"/>
        <v>0</v>
      </c>
      <c r="G87" s="18">
        <f ca="1">IF($A87="","",Data!AB87)</f>
        <v>0</v>
      </c>
      <c r="H87" s="18">
        <f ca="1">IF($A87="","",Data!AC87)</f>
        <v>1</v>
      </c>
      <c r="I87" s="18">
        <f ca="1">IF($A87="","",INT(SUMIFS(Data!$AN$4:$AN$183,Data!$AM$4:$AM$183,$B87,Data!$AL$4:$AL$183,$A87,Data!$AK$4:$AK$183,$C87))+MOD(ROUND(SUMIFS(Data!$AN$4:$AN$183,Data!$AM$4:$AM$183,$B87,Data!$AL$4:$AL$183,$A87,Data!$AK$4:$AK$183,$C87)*3,0),3)/10)</f>
        <v>0</v>
      </c>
      <c r="J87" s="18">
        <f ca="1">IF($A87="","",SUMIFS(Data!$AQ$4:$AQ$183,Data!$AM$4:$AM$183,$B87,Data!$AL$4:$AL$183,$A87,Data!$AK$4:$AK$183,$C87))</f>
        <v>0</v>
      </c>
      <c r="K87" s="62">
        <f ca="1">IF($A87="","",IF(SUMIFS(Data!$AN$4:$AN$183,Data!$AM$4:$AM$183,$B87,Data!$AL$4:$AL$183,$A87,Data!$AK$4:$AK$183,$C87)=0,"",J87*3/SUMIFS(Data!$AN$4:$AN$183,Data!$AM$4:$AM$183,$B87,Data!$AL$4:$AL$183,$A87,Data!$AK$4:$AK$183,$C87)))</f>
      </c>
      <c r="L87" s="18">
        <f ca="1">IF($A87="","",IF(IFERROR(_xlfn.XLOOKUP($C87,Bracket!$F$6:$F$16,Bracket!$K$6:$K$16,""),"")=$B87,1,0))</f>
        <v>0</v>
      </c>
      <c r="M87" s="18">
        <f ca="1">IF($A87="","",IF(AND(IFERROR(_xlfn.XLOOKUP($C87,Bracket!$F$6:$F$16,Bracket!$K$6:$K$16,""),"")=$B87,LEFT(IFERROR(_xlfn.XLOOKUP($C87,Bracket!$F$6:$F$16,Bracket!$G$6:$G$16,""),""),2)="CG"),1,0))</f>
        <v>0</v>
      </c>
      <c r="N87" s="18">
        <f ca="1">IF($A87="","",SUMIFS(Data!$X$4:$X$273,Data!$T$4:$T$273,$A87,Data!$U$4:$U$273,$B87,Data!$S$4:$S$273,$C87))</f>
        <v>0</v>
      </c>
      <c r="O87" s="18">
        <f ca="1">IF($A87="","",SUMIFS(Data!$Z$4:$Z$273,Data!$T$4:$T$273,$A87,Data!$U$4:$U$273,$B87,Data!$S$4:$S$273,$C87))</f>
        <v>0</v>
      </c>
      <c r="P87" s="18">
        <f ca="1">IF($A87="","",SUMIFS(Data!$AA$4:$AA$273,Data!$T$4:$T$273,$A87,Data!$U$4:$U$273,$B87,Data!$S$4:$S$273,$C87))</f>
        <v>0</v>
      </c>
      <c r="Q87" s="18">
        <f ca="1">IF($A87="","",SUMIFS(Data!$AD$4:$AD$273,Data!$T$4:$T$273,$A87,Data!$U$4:$U$273,$B87,Data!$S$4:$S$273,$C87))</f>
        <v>0</v>
      </c>
      <c r="R87" s="18">
        <f ca="1">IF($A87="","",SUMIFS(Data!$AE$4:$AE$273,Data!$T$4:$T$273,$A87,Data!$U$4:$U$273,$B87,Data!$S$4:$S$273,$C87))</f>
        <v>0</v>
      </c>
      <c r="S87" s="18">
        <f ca="1">IF($A87="","",SUMIFS(Data!$AF$4:$AF$273,Data!$T$4:$T$273,$A87,Data!$U$4:$U$273,$B87,Data!$S$4:$S$273,$C87))</f>
        <v>0</v>
      </c>
      <c r="T87" s="18">
        <f ca="1">IF($A87="","",SUMIFS(Data!$AG$4:$AG$273,Data!$T$4:$T$273,$A87,Data!$U$4:$U$273,$B87,Data!$S$4:$S$273,$C87))</f>
        <v>1</v>
      </c>
      <c r="U87" s="18">
        <f ca="1">IF($A87="","",SUMIFS(Data!$AH$4:$AH$273,Data!$T$4:$T$273,$A87,Data!$U$4:$U$273,$B87,Data!$S$4:$S$273,$C87))</f>
        <v>0</v>
      </c>
      <c r="V87" s="18">
        <f ca="1">IF($A87="","",SUMIFS(Data!$AO$4:$AO$183,Data!$AM$4:$AM$183,$B87,Data!$AL$4:$AL$183,$A87,Data!$AK$4:$AK$183,$C87))</f>
        <v>0</v>
      </c>
      <c r="W87" s="18">
        <f ca="1">IF($A87="","",SUMIFS(Data!$AP$4:$AP$183,Data!$AM$4:$AM$183,$B87,Data!$AL$4:$AL$183,$A87,Data!$AK$4:$AK$183,$C87))</f>
        <v>0</v>
      </c>
      <c r="X87" s="18">
        <f ca="1">IF($A87="","",SUMIFS(Data!$AR$4:$AR$183,Data!$AM$4:$AM$183,$B87,Data!$AL$4:$AL$183,$A87,Data!$AK$4:$AK$183,$C87))</f>
        <v>0</v>
      </c>
      <c r="Y87" s="18">
        <f ca="1">IF($A87="","",SUMIFS(Data!$AS$4:$AS$183,Data!$AM$4:$AM$183,$B87,Data!$AL$4:$AL$183,$A87,Data!$AK$4:$AK$183,$C87))</f>
        <v>0</v>
      </c>
      <c r="Z87" s="18">
        <f ca="1">IF($A87="","",SUMIFS(Data!$AT$4:$AT$183,Data!$AM$4:$AM$183,$B87,Data!$AL$4:$AL$183,$A87,Data!$AK$4:$AK$183,$C87))</f>
        <v>0</v>
      </c>
      <c r="AA87" s="18">
        <f ca="1">IF($A87="","",SUMIFS(Data!$AW$4:$AW$183,Data!$AM$4:$AM$183,$B87,Data!$AL$4:$AL$183,$A87,Data!$AK$4:$AK$183,$C87))</f>
        <v>0</v>
      </c>
      <c r="AB87" s="18">
        <f ca="1">IF($A87="","",SUMIFS(Data!$AX$4:$AX$183,Data!$AM$4:$AM$183,$B87,Data!$AL$4:$AL$183,$A87,Data!$AK$4:$AK$183,$C87))</f>
        <v>0</v>
      </c>
      <c r="AC87" s="18">
        <f ca="1">IF($A87="","",SUMIFS(Data!$AY$4:$AY$183,Data!$AM$4:$AM$183,$B87,Data!$AL$4:$AL$183,$A87,Data!$AK$4:$AK$183,$C87))</f>
        <v>0</v>
      </c>
      <c r="AD87" s="18">
        <f t="shared" ca="1" si="3"/>
        <v>0</v>
      </c>
      <c r="AE87" s="18">
        <f ca="1">IF($A87="","",SUMIFS(Data!$AJ$4:$AJ$183,Data!$AM$4:$AM$183,$B87,Data!$AL$4:$AL$183,$A87,Data!$AK$4:$AK$183,$C87))</f>
        <v>0</v>
      </c>
    </row>
    <row r="88" spans="1:31">
      <c r="A88" s="116" t="str">
        <f ca="1">IF(Data!T88="","",Data!T88)</f>
        <v>Justin</v>
      </c>
      <c r="B88" s="18" t="str">
        <f ca="1">IF(Data!U88="","",Data!U88)</f>
        <v>Red Pianta</v>
      </c>
      <c r="C88" s="18" t="str">
        <f ca="1">IF(Data!S88="","",Data!S88)</f>
        <v>G5</v>
      </c>
      <c r="D88" s="18">
        <f ca="1">IF($A88="","",Data!W88)</f>
        <v>1</v>
      </c>
      <c r="E88" s="18">
        <f ca="1">IF($A88="","",Data!Y88)</f>
        <v>0</v>
      </c>
      <c r="F88" s="61">
        <f t="shared" ca="1" si="2"/>
        <v>0.0</v>
      </c>
      <c r="G88" s="18">
        <f ca="1">IF($A88="","",Data!AB88)</f>
        <v>0</v>
      </c>
      <c r="H88" s="18">
        <f ca="1">IF($A88="","",Data!AC88)</f>
        <v>0</v>
      </c>
      <c r="I88" s="18">
        <f ca="1">IF($A88="","",INT(SUMIFS(Data!$AN$4:$AN$183,Data!$AM$4:$AM$183,$B88,Data!$AL$4:$AL$183,$A88,Data!$AK$4:$AK$183,$C88))+MOD(ROUND(SUMIFS(Data!$AN$4:$AN$183,Data!$AM$4:$AM$183,$B88,Data!$AL$4:$AL$183,$A88,Data!$AK$4:$AK$183,$C88)*3,0),3)/10)</f>
        <v>0</v>
      </c>
      <c r="J88" s="18">
        <f ca="1">IF($A88="","",SUMIFS(Data!$AQ$4:$AQ$183,Data!$AM$4:$AM$183,$B88,Data!$AL$4:$AL$183,$A88,Data!$AK$4:$AK$183,$C88))</f>
        <v>0</v>
      </c>
      <c r="K88" s="62">
        <f ca="1">IF($A88="","",IF(SUMIFS(Data!$AN$4:$AN$183,Data!$AM$4:$AM$183,$B88,Data!$AL$4:$AL$183,$A88,Data!$AK$4:$AK$183,$C88)=0,"",J88*3/SUMIFS(Data!$AN$4:$AN$183,Data!$AM$4:$AM$183,$B88,Data!$AL$4:$AL$183,$A88,Data!$AK$4:$AK$183,$C88)))</f>
      </c>
      <c r="L88" s="18">
        <f ca="1">IF($A88="","",IF(IFERROR(_xlfn.XLOOKUP($C88,Bracket!$F$6:$F$16,Bracket!$K$6:$K$16,""),"")=$B88,1,0))</f>
        <v>0</v>
      </c>
      <c r="M88" s="18">
        <f ca="1">IF($A88="","",IF(AND(IFERROR(_xlfn.XLOOKUP($C88,Bracket!$F$6:$F$16,Bracket!$K$6:$K$16,""),"")=$B88,LEFT(IFERROR(_xlfn.XLOOKUP($C88,Bracket!$F$6:$F$16,Bracket!$G$6:$G$16,""),""),2)="CG"),1,0))</f>
        <v>0</v>
      </c>
      <c r="N88" s="18">
        <f ca="1">IF($A88="","",SUMIFS(Data!$X$4:$X$273,Data!$T$4:$T$273,$A88,Data!$U$4:$U$273,$B88,Data!$S$4:$S$273,$C88))</f>
        <v>0</v>
      </c>
      <c r="O88" s="18">
        <f ca="1">IF($A88="","",SUMIFS(Data!$Z$4:$Z$273,Data!$T$4:$T$273,$A88,Data!$U$4:$U$273,$B88,Data!$S$4:$S$273,$C88))</f>
        <v>0</v>
      </c>
      <c r="P88" s="18">
        <f ca="1">IF($A88="","",SUMIFS(Data!$AA$4:$AA$273,Data!$T$4:$T$273,$A88,Data!$U$4:$U$273,$B88,Data!$S$4:$S$273,$C88))</f>
        <v>0</v>
      </c>
      <c r="Q88" s="18">
        <f ca="1">IF($A88="","",SUMIFS(Data!$AD$4:$AD$273,Data!$T$4:$T$273,$A88,Data!$U$4:$U$273,$B88,Data!$S$4:$S$273,$C88))</f>
        <v>0</v>
      </c>
      <c r="R88" s="18">
        <f ca="1">IF($A88="","",SUMIFS(Data!$AE$4:$AE$273,Data!$T$4:$T$273,$A88,Data!$U$4:$U$273,$B88,Data!$S$4:$S$273,$C88))</f>
        <v>0</v>
      </c>
      <c r="S88" s="18">
        <f ca="1">IF($A88="","",SUMIFS(Data!$AF$4:$AF$273,Data!$T$4:$T$273,$A88,Data!$U$4:$U$273,$B88,Data!$S$4:$S$273,$C88))</f>
        <v>0</v>
      </c>
      <c r="T88" s="18">
        <f ca="1">IF($A88="","",SUMIFS(Data!$AG$4:$AG$273,Data!$T$4:$T$273,$A88,Data!$U$4:$U$273,$B88,Data!$S$4:$S$273,$C88))</f>
        <v>0</v>
      </c>
      <c r="U88" s="18">
        <f ca="1">IF($A88="","",SUMIFS(Data!$AH$4:$AH$273,Data!$T$4:$T$273,$A88,Data!$U$4:$U$273,$B88,Data!$S$4:$S$273,$C88))</f>
        <v>0</v>
      </c>
      <c r="V88" s="18">
        <f ca="1">IF($A88="","",SUMIFS(Data!$AO$4:$AO$183,Data!$AM$4:$AM$183,$B88,Data!$AL$4:$AL$183,$A88,Data!$AK$4:$AK$183,$C88))</f>
        <v>0</v>
      </c>
      <c r="W88" s="18">
        <f ca="1">IF($A88="","",SUMIFS(Data!$AP$4:$AP$183,Data!$AM$4:$AM$183,$B88,Data!$AL$4:$AL$183,$A88,Data!$AK$4:$AK$183,$C88))</f>
        <v>0</v>
      </c>
      <c r="X88" s="18">
        <f ca="1">IF($A88="","",SUMIFS(Data!$AR$4:$AR$183,Data!$AM$4:$AM$183,$B88,Data!$AL$4:$AL$183,$A88,Data!$AK$4:$AK$183,$C88))</f>
        <v>0</v>
      </c>
      <c r="Y88" s="18">
        <f ca="1">IF($A88="","",SUMIFS(Data!$AS$4:$AS$183,Data!$AM$4:$AM$183,$B88,Data!$AL$4:$AL$183,$A88,Data!$AK$4:$AK$183,$C88))</f>
        <v>0</v>
      </c>
      <c r="Z88" s="18">
        <f ca="1">IF($A88="","",SUMIFS(Data!$AT$4:$AT$183,Data!$AM$4:$AM$183,$B88,Data!$AL$4:$AL$183,$A88,Data!$AK$4:$AK$183,$C88))</f>
        <v>0</v>
      </c>
      <c r="AA88" s="18">
        <f ca="1">IF($A88="","",SUMIFS(Data!$AW$4:$AW$183,Data!$AM$4:$AM$183,$B88,Data!$AL$4:$AL$183,$A88,Data!$AK$4:$AK$183,$C88))</f>
        <v>0</v>
      </c>
      <c r="AB88" s="18">
        <f ca="1">IF($A88="","",SUMIFS(Data!$AX$4:$AX$183,Data!$AM$4:$AM$183,$B88,Data!$AL$4:$AL$183,$A88,Data!$AK$4:$AK$183,$C88))</f>
        <v>0</v>
      </c>
      <c r="AC88" s="18">
        <f ca="1">IF($A88="","",SUMIFS(Data!$AY$4:$AY$183,Data!$AM$4:$AM$183,$B88,Data!$AL$4:$AL$183,$A88,Data!$AK$4:$AK$183,$C88))</f>
        <v>0</v>
      </c>
      <c r="AD88" s="18">
        <f t="shared" ca="1" si="3"/>
        <v>0</v>
      </c>
      <c r="AE88" s="18">
        <f ca="1">IF($A88="","",SUMIFS(Data!$AJ$4:$AJ$183,Data!$AM$4:$AM$183,$B88,Data!$AL$4:$AL$183,$A88,Data!$AK$4:$AK$183,$C88))</f>
        <v>0</v>
      </c>
    </row>
    <row r="89" spans="1:31">
      <c r="A89" s="116" t="str">
        <f ca="1">IF(Data!T89="","",Data!T89)</f>
        <v>Justin</v>
      </c>
      <c r="B89" s="18" t="str">
        <f ca="1">IF(Data!U89="","",Data!U89)</f>
        <v>Blue Yoshi</v>
      </c>
      <c r="C89" s="18" t="str">
        <f ca="1">IF(Data!S89="","",Data!S89)</f>
        <v>G5</v>
      </c>
      <c r="D89" s="18">
        <f ca="1">IF($A89="","",Data!W89)</f>
        <v>1</v>
      </c>
      <c r="E89" s="18">
        <f ca="1">IF($A89="","",Data!Y89)</f>
        <v>0</v>
      </c>
      <c r="F89" s="61">
        <f t="shared" ca="1" si="2"/>
        <v>0.0</v>
      </c>
      <c r="G89" s="18">
        <f ca="1">IF($A89="","",Data!AB89)</f>
        <v>0</v>
      </c>
      <c r="H89" s="18">
        <f ca="1">IF($A89="","",Data!AC89)</f>
        <v>0</v>
      </c>
      <c r="I89" s="18">
        <f ca="1">IF($A89="","",INT(SUMIFS(Data!$AN$4:$AN$183,Data!$AM$4:$AM$183,$B89,Data!$AL$4:$AL$183,$A89,Data!$AK$4:$AK$183,$C89))+MOD(ROUND(SUMIFS(Data!$AN$4:$AN$183,Data!$AM$4:$AM$183,$B89,Data!$AL$4:$AL$183,$A89,Data!$AK$4:$AK$183,$C89)*3,0),3)/10)</f>
        <v>0</v>
      </c>
      <c r="J89" s="18">
        <f ca="1">IF($A89="","",SUMIFS(Data!$AQ$4:$AQ$183,Data!$AM$4:$AM$183,$B89,Data!$AL$4:$AL$183,$A89,Data!$AK$4:$AK$183,$C89))</f>
        <v>0</v>
      </c>
      <c r="K89" s="62">
        <f ca="1">IF($A89="","",IF(SUMIFS(Data!$AN$4:$AN$183,Data!$AM$4:$AM$183,$B89,Data!$AL$4:$AL$183,$A89,Data!$AK$4:$AK$183,$C89)=0,"",J89*3/SUMIFS(Data!$AN$4:$AN$183,Data!$AM$4:$AM$183,$B89,Data!$AL$4:$AL$183,$A89,Data!$AK$4:$AK$183,$C89)))</f>
      </c>
      <c r="L89" s="18">
        <f ca="1">IF($A89="","",IF(IFERROR(_xlfn.XLOOKUP($C89,Bracket!$F$6:$F$16,Bracket!$K$6:$K$16,""),"")=$B89,1,0))</f>
        <v>0</v>
      </c>
      <c r="M89" s="18">
        <f ca="1">IF($A89="","",IF(AND(IFERROR(_xlfn.XLOOKUP($C89,Bracket!$F$6:$F$16,Bracket!$K$6:$K$16,""),"")=$B89,LEFT(IFERROR(_xlfn.XLOOKUP($C89,Bracket!$F$6:$F$16,Bracket!$G$6:$G$16,""),""),2)="CG"),1,0))</f>
        <v>0</v>
      </c>
      <c r="N89" s="18">
        <f ca="1">IF($A89="","",SUMIFS(Data!$X$4:$X$273,Data!$T$4:$T$273,$A89,Data!$U$4:$U$273,$B89,Data!$S$4:$S$273,$C89))</f>
        <v>0</v>
      </c>
      <c r="O89" s="18">
        <f ca="1">IF($A89="","",SUMIFS(Data!$Z$4:$Z$273,Data!$T$4:$T$273,$A89,Data!$U$4:$U$273,$B89,Data!$S$4:$S$273,$C89))</f>
        <v>0</v>
      </c>
      <c r="P89" s="18">
        <f ca="1">IF($A89="","",SUMIFS(Data!$AA$4:$AA$273,Data!$T$4:$T$273,$A89,Data!$U$4:$U$273,$B89,Data!$S$4:$S$273,$C89))</f>
        <v>0</v>
      </c>
      <c r="Q89" s="18">
        <f ca="1">IF($A89="","",SUMIFS(Data!$AD$4:$AD$273,Data!$T$4:$T$273,$A89,Data!$U$4:$U$273,$B89,Data!$S$4:$S$273,$C89))</f>
        <v>0</v>
      </c>
      <c r="R89" s="18">
        <f ca="1">IF($A89="","",SUMIFS(Data!$AE$4:$AE$273,Data!$T$4:$T$273,$A89,Data!$U$4:$U$273,$B89,Data!$S$4:$S$273,$C89))</f>
        <v>0</v>
      </c>
      <c r="S89" s="18">
        <f ca="1">IF($A89="","",SUMIFS(Data!$AF$4:$AF$273,Data!$T$4:$T$273,$A89,Data!$U$4:$U$273,$B89,Data!$S$4:$S$273,$C89))</f>
        <v>0</v>
      </c>
      <c r="T89" s="18">
        <f ca="1">IF($A89="","",SUMIFS(Data!$AG$4:$AG$273,Data!$T$4:$T$273,$A89,Data!$U$4:$U$273,$B89,Data!$S$4:$S$273,$C89))</f>
        <v>0</v>
      </c>
      <c r="U89" s="18">
        <f ca="1">IF($A89="","",SUMIFS(Data!$AH$4:$AH$273,Data!$T$4:$T$273,$A89,Data!$U$4:$U$273,$B89,Data!$S$4:$S$273,$C89))</f>
        <v>0</v>
      </c>
      <c r="V89" s="18">
        <f ca="1">IF($A89="","",SUMIFS(Data!$AO$4:$AO$183,Data!$AM$4:$AM$183,$B89,Data!$AL$4:$AL$183,$A89,Data!$AK$4:$AK$183,$C89))</f>
        <v>0</v>
      </c>
      <c r="W89" s="18">
        <f ca="1">IF($A89="","",SUMIFS(Data!$AP$4:$AP$183,Data!$AM$4:$AM$183,$B89,Data!$AL$4:$AL$183,$A89,Data!$AK$4:$AK$183,$C89))</f>
        <v>0</v>
      </c>
      <c r="X89" s="18">
        <f ca="1">IF($A89="","",SUMIFS(Data!$AR$4:$AR$183,Data!$AM$4:$AM$183,$B89,Data!$AL$4:$AL$183,$A89,Data!$AK$4:$AK$183,$C89))</f>
        <v>0</v>
      </c>
      <c r="Y89" s="18">
        <f ca="1">IF($A89="","",SUMIFS(Data!$AS$4:$AS$183,Data!$AM$4:$AM$183,$B89,Data!$AL$4:$AL$183,$A89,Data!$AK$4:$AK$183,$C89))</f>
        <v>0</v>
      </c>
      <c r="Z89" s="18">
        <f ca="1">IF($A89="","",SUMIFS(Data!$AT$4:$AT$183,Data!$AM$4:$AM$183,$B89,Data!$AL$4:$AL$183,$A89,Data!$AK$4:$AK$183,$C89))</f>
        <v>0</v>
      </c>
      <c r="AA89" s="18">
        <f ca="1">IF($A89="","",SUMIFS(Data!$AW$4:$AW$183,Data!$AM$4:$AM$183,$B89,Data!$AL$4:$AL$183,$A89,Data!$AK$4:$AK$183,$C89))</f>
        <v>0</v>
      </c>
      <c r="AB89" s="18">
        <f ca="1">IF($A89="","",SUMIFS(Data!$AX$4:$AX$183,Data!$AM$4:$AM$183,$B89,Data!$AL$4:$AL$183,$A89,Data!$AK$4:$AK$183,$C89))</f>
        <v>0</v>
      </c>
      <c r="AC89" s="18">
        <f ca="1">IF($A89="","",SUMIFS(Data!$AY$4:$AY$183,Data!$AM$4:$AM$183,$B89,Data!$AL$4:$AL$183,$A89,Data!$AK$4:$AK$183,$C89))</f>
        <v>0</v>
      </c>
      <c r="AD89" s="18">
        <f t="shared" ca="1" si="3"/>
        <v>0</v>
      </c>
      <c r="AE89" s="18">
        <f ca="1">IF($A89="","",SUMIFS(Data!$AJ$4:$AJ$183,Data!$AM$4:$AM$183,$B89,Data!$AL$4:$AL$183,$A89,Data!$AK$4:$AK$183,$C89))</f>
        <v>0</v>
      </c>
    </row>
    <row r="90" spans="1:31">
      <c r="A90" s="116" t="str">
        <f ca="1">IF(Data!T90="","",Data!T90)</f>
        <v>Justin</v>
      </c>
      <c r="B90" s="18" t="str">
        <f ca="1">IF(Data!U90="","",Data!U90)</f>
        <v>Baby Luigi</v>
      </c>
      <c r="C90" s="18" t="str">
        <f ca="1">IF(Data!S90="","",Data!S90)</f>
        <v>G5</v>
      </c>
      <c r="D90" s="18">
        <f ca="1">IF($A90="","",Data!W90)</f>
        <v>1</v>
      </c>
      <c r="E90" s="18">
        <f ca="1">IF($A90="","",Data!Y90)</f>
        <v>0</v>
      </c>
      <c r="F90" s="61">
        <f t="shared" ca="1" si="2"/>
        <v>0.0</v>
      </c>
      <c r="G90" s="18">
        <f ca="1">IF($A90="","",Data!AB90)</f>
        <v>0</v>
      </c>
      <c r="H90" s="18">
        <f ca="1">IF($A90="","",Data!AC90)</f>
        <v>0</v>
      </c>
      <c r="I90" s="18">
        <f ca="1">IF($A90="","",INT(SUMIFS(Data!$AN$4:$AN$183,Data!$AM$4:$AM$183,$B90,Data!$AL$4:$AL$183,$A90,Data!$AK$4:$AK$183,$C90))+MOD(ROUND(SUMIFS(Data!$AN$4:$AN$183,Data!$AM$4:$AM$183,$B90,Data!$AL$4:$AL$183,$A90,Data!$AK$4:$AK$183,$C90)*3,0),3)/10)</f>
        <v>0</v>
      </c>
      <c r="J90" s="18">
        <f ca="1">IF($A90="","",SUMIFS(Data!$AQ$4:$AQ$183,Data!$AM$4:$AM$183,$B90,Data!$AL$4:$AL$183,$A90,Data!$AK$4:$AK$183,$C90))</f>
        <v>0</v>
      </c>
      <c r="K90" s="62">
        <f ca="1">IF($A90="","",IF(SUMIFS(Data!$AN$4:$AN$183,Data!$AM$4:$AM$183,$B90,Data!$AL$4:$AL$183,$A90,Data!$AK$4:$AK$183,$C90)=0,"",J90*3/SUMIFS(Data!$AN$4:$AN$183,Data!$AM$4:$AM$183,$B90,Data!$AL$4:$AL$183,$A90,Data!$AK$4:$AK$183,$C90)))</f>
      </c>
      <c r="L90" s="18">
        <f ca="1">IF($A90="","",IF(IFERROR(_xlfn.XLOOKUP($C90,Bracket!$F$6:$F$16,Bracket!$K$6:$K$16,""),"")=$B90,1,0))</f>
        <v>0</v>
      </c>
      <c r="M90" s="18">
        <f ca="1">IF($A90="","",IF(AND(IFERROR(_xlfn.XLOOKUP($C90,Bracket!$F$6:$F$16,Bracket!$K$6:$K$16,""),"")=$B90,LEFT(IFERROR(_xlfn.XLOOKUP($C90,Bracket!$F$6:$F$16,Bracket!$G$6:$G$16,""),""),2)="CG"),1,0))</f>
        <v>0</v>
      </c>
      <c r="N90" s="18">
        <f ca="1">IF($A90="","",SUMIFS(Data!$X$4:$X$273,Data!$T$4:$T$273,$A90,Data!$U$4:$U$273,$B90,Data!$S$4:$S$273,$C90))</f>
        <v>0</v>
      </c>
      <c r="O90" s="18">
        <f ca="1">IF($A90="","",SUMIFS(Data!$Z$4:$Z$273,Data!$T$4:$T$273,$A90,Data!$U$4:$U$273,$B90,Data!$S$4:$S$273,$C90))</f>
        <v>0</v>
      </c>
      <c r="P90" s="18">
        <f ca="1">IF($A90="","",SUMIFS(Data!$AA$4:$AA$273,Data!$T$4:$T$273,$A90,Data!$U$4:$U$273,$B90,Data!$S$4:$S$273,$C90))</f>
        <v>0</v>
      </c>
      <c r="Q90" s="18">
        <f ca="1">IF($A90="","",SUMIFS(Data!$AD$4:$AD$273,Data!$T$4:$T$273,$A90,Data!$U$4:$U$273,$B90,Data!$S$4:$S$273,$C90))</f>
        <v>0</v>
      </c>
      <c r="R90" s="18">
        <f ca="1">IF($A90="","",SUMIFS(Data!$AE$4:$AE$273,Data!$T$4:$T$273,$A90,Data!$U$4:$U$273,$B90,Data!$S$4:$S$273,$C90))</f>
        <v>0</v>
      </c>
      <c r="S90" s="18">
        <f ca="1">IF($A90="","",SUMIFS(Data!$AF$4:$AF$273,Data!$T$4:$T$273,$A90,Data!$U$4:$U$273,$B90,Data!$S$4:$S$273,$C90))</f>
        <v>0</v>
      </c>
      <c r="T90" s="18">
        <f ca="1">IF($A90="","",SUMIFS(Data!$AG$4:$AG$273,Data!$T$4:$T$273,$A90,Data!$U$4:$U$273,$B90,Data!$S$4:$S$273,$C90))</f>
        <v>0</v>
      </c>
      <c r="U90" s="18">
        <f ca="1">IF($A90="","",SUMIFS(Data!$AH$4:$AH$273,Data!$T$4:$T$273,$A90,Data!$U$4:$U$273,$B90,Data!$S$4:$S$273,$C90))</f>
        <v>0</v>
      </c>
      <c r="V90" s="18">
        <f ca="1">IF($A90="","",SUMIFS(Data!$AO$4:$AO$183,Data!$AM$4:$AM$183,$B90,Data!$AL$4:$AL$183,$A90,Data!$AK$4:$AK$183,$C90))</f>
        <v>0</v>
      </c>
      <c r="W90" s="18">
        <f ca="1">IF($A90="","",SUMIFS(Data!$AP$4:$AP$183,Data!$AM$4:$AM$183,$B90,Data!$AL$4:$AL$183,$A90,Data!$AK$4:$AK$183,$C90))</f>
        <v>0</v>
      </c>
      <c r="X90" s="18">
        <f ca="1">IF($A90="","",SUMIFS(Data!$AR$4:$AR$183,Data!$AM$4:$AM$183,$B90,Data!$AL$4:$AL$183,$A90,Data!$AK$4:$AK$183,$C90))</f>
        <v>0</v>
      </c>
      <c r="Y90" s="18">
        <f ca="1">IF($A90="","",SUMIFS(Data!$AS$4:$AS$183,Data!$AM$4:$AM$183,$B90,Data!$AL$4:$AL$183,$A90,Data!$AK$4:$AK$183,$C90))</f>
        <v>0</v>
      </c>
      <c r="Z90" s="18">
        <f ca="1">IF($A90="","",SUMIFS(Data!$AT$4:$AT$183,Data!$AM$4:$AM$183,$B90,Data!$AL$4:$AL$183,$A90,Data!$AK$4:$AK$183,$C90))</f>
        <v>0</v>
      </c>
      <c r="AA90" s="18">
        <f ca="1">IF($A90="","",SUMIFS(Data!$AW$4:$AW$183,Data!$AM$4:$AM$183,$B90,Data!$AL$4:$AL$183,$A90,Data!$AK$4:$AK$183,$C90))</f>
        <v>0</v>
      </c>
      <c r="AB90" s="18">
        <f ca="1">IF($A90="","",SUMIFS(Data!$AX$4:$AX$183,Data!$AM$4:$AM$183,$B90,Data!$AL$4:$AL$183,$A90,Data!$AK$4:$AK$183,$C90))</f>
        <v>0</v>
      </c>
      <c r="AC90" s="18">
        <f ca="1">IF($A90="","",SUMIFS(Data!$AY$4:$AY$183,Data!$AM$4:$AM$183,$B90,Data!$AL$4:$AL$183,$A90,Data!$AK$4:$AK$183,$C90))</f>
        <v>0</v>
      </c>
      <c r="AD90" s="18">
        <f t="shared" ca="1" si="3"/>
        <v>0</v>
      </c>
      <c r="AE90" s="18">
        <f ca="1">IF($A90="","",SUMIFS(Data!$AJ$4:$AJ$183,Data!$AM$4:$AM$183,$B90,Data!$AL$4:$AL$183,$A90,Data!$AK$4:$AK$183,$C90))</f>
        <v>0</v>
      </c>
    </row>
    <row r="91" spans="1:31">
      <c r="A91" s="116" t="str">
        <f ca="1">IF(Data!T91="","",Data!T91)</f>
        <v>Justin</v>
      </c>
      <c r="B91" s="18" t="str">
        <f ca="1">IF(Data!U91="","",Data!U91)</f>
        <v>Yellow Magikoopa</v>
      </c>
      <c r="C91" s="18" t="str">
        <f ca="1">IF(Data!S91="","",Data!S91)</f>
        <v>G5</v>
      </c>
      <c r="D91" s="18">
        <f ca="1">IF($A91="","",Data!W91)</f>
        <v>1</v>
      </c>
      <c r="E91" s="18">
        <f ca="1">IF($A91="","",Data!Y91)</f>
        <v>1</v>
      </c>
      <c r="F91" s="61">
        <f t="shared" ca="1" si="2"/>
        <v>1.0</v>
      </c>
      <c r="G91" s="18">
        <f ca="1">IF($A91="","",Data!AB91)</f>
        <v>0</v>
      </c>
      <c r="H91" s="18">
        <f ca="1">IF($A91="","",Data!AC91)</f>
        <v>0</v>
      </c>
      <c r="I91" s="18">
        <f ca="1">IF($A91="","",INT(SUMIFS(Data!$AN$4:$AN$183,Data!$AM$4:$AM$183,$B91,Data!$AL$4:$AL$183,$A91,Data!$AK$4:$AK$183,$C91))+MOD(ROUND(SUMIFS(Data!$AN$4:$AN$183,Data!$AM$4:$AM$183,$B91,Data!$AL$4:$AL$183,$A91,Data!$AK$4:$AK$183,$C91)*3,0),3)/10)</f>
        <v>0</v>
      </c>
      <c r="J91" s="18">
        <f ca="1">IF($A91="","",SUMIFS(Data!$AQ$4:$AQ$183,Data!$AM$4:$AM$183,$B91,Data!$AL$4:$AL$183,$A91,Data!$AK$4:$AK$183,$C91))</f>
        <v>0</v>
      </c>
      <c r="K91" s="62">
        <f ca="1">IF($A91="","",IF(SUMIFS(Data!$AN$4:$AN$183,Data!$AM$4:$AM$183,$B91,Data!$AL$4:$AL$183,$A91,Data!$AK$4:$AK$183,$C91)=0,"",J91*3/SUMIFS(Data!$AN$4:$AN$183,Data!$AM$4:$AM$183,$B91,Data!$AL$4:$AL$183,$A91,Data!$AK$4:$AK$183,$C91)))</f>
      </c>
      <c r="L91" s="18">
        <f ca="1">IF($A91="","",IF(IFERROR(_xlfn.XLOOKUP($C91,Bracket!$F$6:$F$16,Bracket!$K$6:$K$16,""),"")=$B91,1,0))</f>
        <v>0</v>
      </c>
      <c r="M91" s="18">
        <f ca="1">IF($A91="","",IF(AND(IFERROR(_xlfn.XLOOKUP($C91,Bracket!$F$6:$F$16,Bracket!$K$6:$K$16,""),"")=$B91,LEFT(IFERROR(_xlfn.XLOOKUP($C91,Bracket!$F$6:$F$16,Bracket!$G$6:$G$16,""),""),2)="CG"),1,0))</f>
        <v>0</v>
      </c>
      <c r="N91" s="18">
        <f ca="1">IF($A91="","",SUMIFS(Data!$X$4:$X$273,Data!$T$4:$T$273,$A91,Data!$U$4:$U$273,$B91,Data!$S$4:$S$273,$C91))</f>
        <v>0</v>
      </c>
      <c r="O91" s="18">
        <f ca="1">IF($A91="","",SUMIFS(Data!$Z$4:$Z$273,Data!$T$4:$T$273,$A91,Data!$U$4:$U$273,$B91,Data!$S$4:$S$273,$C91))</f>
        <v>0</v>
      </c>
      <c r="P91" s="18">
        <f ca="1">IF($A91="","",SUMIFS(Data!$AA$4:$AA$273,Data!$T$4:$T$273,$A91,Data!$U$4:$U$273,$B91,Data!$S$4:$S$273,$C91))</f>
        <v>1</v>
      </c>
      <c r="Q91" s="18">
        <f ca="1">IF($A91="","",SUMIFS(Data!$AD$4:$AD$273,Data!$T$4:$T$273,$A91,Data!$U$4:$U$273,$B91,Data!$S$4:$S$273,$C91))</f>
        <v>0</v>
      </c>
      <c r="R91" s="18">
        <f ca="1">IF($A91="","",SUMIFS(Data!$AE$4:$AE$273,Data!$T$4:$T$273,$A91,Data!$U$4:$U$273,$B91,Data!$S$4:$S$273,$C91))</f>
        <v>0</v>
      </c>
      <c r="S91" s="18">
        <f ca="1">IF($A91="","",SUMIFS(Data!$AF$4:$AF$273,Data!$T$4:$T$273,$A91,Data!$U$4:$U$273,$B91,Data!$S$4:$S$273,$C91))</f>
        <v>0</v>
      </c>
      <c r="T91" s="18">
        <f ca="1">IF($A91="","",SUMIFS(Data!$AG$4:$AG$273,Data!$T$4:$T$273,$A91,Data!$U$4:$U$273,$B91,Data!$S$4:$S$273,$C91))</f>
        <v>0</v>
      </c>
      <c r="U91" s="18">
        <f ca="1">IF($A91="","",SUMIFS(Data!$AH$4:$AH$273,Data!$T$4:$T$273,$A91,Data!$U$4:$U$273,$B91,Data!$S$4:$S$273,$C91))</f>
        <v>0</v>
      </c>
      <c r="V91" s="18">
        <f ca="1">IF($A91="","",SUMIFS(Data!$AO$4:$AO$183,Data!$AM$4:$AM$183,$B91,Data!$AL$4:$AL$183,$A91,Data!$AK$4:$AK$183,$C91))</f>
        <v>0</v>
      </c>
      <c r="W91" s="18">
        <f ca="1">IF($A91="","",SUMIFS(Data!$AP$4:$AP$183,Data!$AM$4:$AM$183,$B91,Data!$AL$4:$AL$183,$A91,Data!$AK$4:$AK$183,$C91))</f>
        <v>0</v>
      </c>
      <c r="X91" s="18">
        <f ca="1">IF($A91="","",SUMIFS(Data!$AR$4:$AR$183,Data!$AM$4:$AM$183,$B91,Data!$AL$4:$AL$183,$A91,Data!$AK$4:$AK$183,$C91))</f>
        <v>0</v>
      </c>
      <c r="Y91" s="18">
        <f ca="1">IF($A91="","",SUMIFS(Data!$AS$4:$AS$183,Data!$AM$4:$AM$183,$B91,Data!$AL$4:$AL$183,$A91,Data!$AK$4:$AK$183,$C91))</f>
        <v>0</v>
      </c>
      <c r="Z91" s="18">
        <f ca="1">IF($A91="","",SUMIFS(Data!$AT$4:$AT$183,Data!$AM$4:$AM$183,$B91,Data!$AL$4:$AL$183,$A91,Data!$AK$4:$AK$183,$C91))</f>
        <v>0</v>
      </c>
      <c r="AA91" s="18">
        <f ca="1">IF($A91="","",SUMIFS(Data!$AW$4:$AW$183,Data!$AM$4:$AM$183,$B91,Data!$AL$4:$AL$183,$A91,Data!$AK$4:$AK$183,$C91))</f>
        <v>0</v>
      </c>
      <c r="AB91" s="18">
        <f ca="1">IF($A91="","",SUMIFS(Data!$AX$4:$AX$183,Data!$AM$4:$AM$183,$B91,Data!$AL$4:$AL$183,$A91,Data!$AK$4:$AK$183,$C91))</f>
        <v>0</v>
      </c>
      <c r="AC91" s="18">
        <f ca="1">IF($A91="","",SUMIFS(Data!$AY$4:$AY$183,Data!$AM$4:$AM$183,$B91,Data!$AL$4:$AL$183,$A91,Data!$AK$4:$AK$183,$C91))</f>
        <v>0</v>
      </c>
      <c r="AD91" s="18">
        <f t="shared" ca="1" si="3"/>
        <v>0</v>
      </c>
      <c r="AE91" s="18">
        <f ca="1">IF($A91="","",SUMIFS(Data!$AJ$4:$AJ$183,Data!$AM$4:$AM$183,$B91,Data!$AL$4:$AL$183,$A91,Data!$AK$4:$AK$183,$C91))</f>
        <v>0</v>
      </c>
    </row>
    <row r="92" spans="1:31">
      <c r="A92" s="116" t="str">
        <f ca="1">IF(Data!T92="","",Data!T92)</f>
        <v>Justin</v>
      </c>
      <c r="B92" s="18" t="str">
        <f ca="1">IF(Data!U92="","",Data!U92)</f>
        <v>Paratroopa</v>
      </c>
      <c r="C92" s="18" t="str">
        <f ca="1">IF(Data!S92="","",Data!S92)</f>
        <v>G5</v>
      </c>
      <c r="D92" s="18">
        <f ca="1">IF($A92="","",Data!W92)</f>
        <v>1</v>
      </c>
      <c r="E92" s="18">
        <f ca="1">IF($A92="","",Data!Y92)</f>
        <v>0</v>
      </c>
      <c r="F92" s="61">
        <f t="shared" ca="1" si="2"/>
        <v>0.0</v>
      </c>
      <c r="G92" s="18">
        <f ca="1">IF($A92="","",Data!AB92)</f>
        <v>0</v>
      </c>
      <c r="H92" s="18">
        <f ca="1">IF($A92="","",Data!AC92)</f>
        <v>0</v>
      </c>
      <c r="I92" s="18">
        <f ca="1">IF($A92="","",INT(SUMIFS(Data!$AN$4:$AN$183,Data!$AM$4:$AM$183,$B92,Data!$AL$4:$AL$183,$A92,Data!$AK$4:$AK$183,$C92))+MOD(ROUND(SUMIFS(Data!$AN$4:$AN$183,Data!$AM$4:$AM$183,$B92,Data!$AL$4:$AL$183,$A92,Data!$AK$4:$AK$183,$C92)*3,0),3)/10)</f>
        <v>0</v>
      </c>
      <c r="J92" s="18">
        <f ca="1">IF($A92="","",SUMIFS(Data!$AQ$4:$AQ$183,Data!$AM$4:$AM$183,$B92,Data!$AL$4:$AL$183,$A92,Data!$AK$4:$AK$183,$C92))</f>
        <v>0</v>
      </c>
      <c r="K92" s="62">
        <f ca="1">IF($A92="","",IF(SUMIFS(Data!$AN$4:$AN$183,Data!$AM$4:$AM$183,$B92,Data!$AL$4:$AL$183,$A92,Data!$AK$4:$AK$183,$C92)=0,"",J92*3/SUMIFS(Data!$AN$4:$AN$183,Data!$AM$4:$AM$183,$B92,Data!$AL$4:$AL$183,$A92,Data!$AK$4:$AK$183,$C92)))</f>
      </c>
      <c r="L92" s="18">
        <f ca="1">IF($A92="","",IF(IFERROR(_xlfn.XLOOKUP($C92,Bracket!$F$6:$F$16,Bracket!$K$6:$K$16,""),"")=$B92,1,0))</f>
        <v>0</v>
      </c>
      <c r="M92" s="18">
        <f ca="1">IF($A92="","",IF(AND(IFERROR(_xlfn.XLOOKUP($C92,Bracket!$F$6:$F$16,Bracket!$K$6:$K$16,""),"")=$B92,LEFT(IFERROR(_xlfn.XLOOKUP($C92,Bracket!$F$6:$F$16,Bracket!$G$6:$G$16,""),""),2)="CG"),1,0))</f>
        <v>0</v>
      </c>
      <c r="N92" s="18">
        <f ca="1">IF($A92="","",SUMIFS(Data!$X$4:$X$273,Data!$T$4:$T$273,$A92,Data!$U$4:$U$273,$B92,Data!$S$4:$S$273,$C92))</f>
        <v>0</v>
      </c>
      <c r="O92" s="18">
        <f ca="1">IF($A92="","",SUMIFS(Data!$Z$4:$Z$273,Data!$T$4:$T$273,$A92,Data!$U$4:$U$273,$B92,Data!$S$4:$S$273,$C92))</f>
        <v>0</v>
      </c>
      <c r="P92" s="18">
        <f ca="1">IF($A92="","",SUMIFS(Data!$AA$4:$AA$273,Data!$T$4:$T$273,$A92,Data!$U$4:$U$273,$B92,Data!$S$4:$S$273,$C92))</f>
        <v>0</v>
      </c>
      <c r="Q92" s="18">
        <f ca="1">IF($A92="","",SUMIFS(Data!$AD$4:$AD$273,Data!$T$4:$T$273,$A92,Data!$U$4:$U$273,$B92,Data!$S$4:$S$273,$C92))</f>
        <v>0</v>
      </c>
      <c r="R92" s="18">
        <f ca="1">IF($A92="","",SUMIFS(Data!$AE$4:$AE$273,Data!$T$4:$T$273,$A92,Data!$U$4:$U$273,$B92,Data!$S$4:$S$273,$C92))</f>
        <v>1</v>
      </c>
      <c r="S92" s="18">
        <f ca="1">IF($A92="","",SUMIFS(Data!$AF$4:$AF$273,Data!$T$4:$T$273,$A92,Data!$U$4:$U$273,$B92,Data!$S$4:$S$273,$C92))</f>
        <v>0</v>
      </c>
      <c r="T92" s="18">
        <f ca="1">IF($A92="","",SUMIFS(Data!$AG$4:$AG$273,Data!$T$4:$T$273,$A92,Data!$U$4:$U$273,$B92,Data!$S$4:$S$273,$C92))</f>
        <v>0</v>
      </c>
      <c r="U92" s="18">
        <f ca="1">IF($A92="","",SUMIFS(Data!$AH$4:$AH$273,Data!$T$4:$T$273,$A92,Data!$U$4:$U$273,$B92,Data!$S$4:$S$273,$C92))</f>
        <v>0</v>
      </c>
      <c r="V92" s="18">
        <f ca="1">IF($A92="","",SUMIFS(Data!$AO$4:$AO$183,Data!$AM$4:$AM$183,$B92,Data!$AL$4:$AL$183,$A92,Data!$AK$4:$AK$183,$C92))</f>
        <v>0</v>
      </c>
      <c r="W92" s="18">
        <f ca="1">IF($A92="","",SUMIFS(Data!$AP$4:$AP$183,Data!$AM$4:$AM$183,$B92,Data!$AL$4:$AL$183,$A92,Data!$AK$4:$AK$183,$C92))</f>
        <v>0</v>
      </c>
      <c r="X92" s="18">
        <f ca="1">IF($A92="","",SUMIFS(Data!$AR$4:$AR$183,Data!$AM$4:$AM$183,$B92,Data!$AL$4:$AL$183,$A92,Data!$AK$4:$AK$183,$C92))</f>
        <v>0</v>
      </c>
      <c r="Y92" s="18">
        <f ca="1">IF($A92="","",SUMIFS(Data!$AS$4:$AS$183,Data!$AM$4:$AM$183,$B92,Data!$AL$4:$AL$183,$A92,Data!$AK$4:$AK$183,$C92))</f>
        <v>0</v>
      </c>
      <c r="Z92" s="18">
        <f ca="1">IF($A92="","",SUMIFS(Data!$AT$4:$AT$183,Data!$AM$4:$AM$183,$B92,Data!$AL$4:$AL$183,$A92,Data!$AK$4:$AK$183,$C92))</f>
        <v>0</v>
      </c>
      <c r="AA92" s="18">
        <f ca="1">IF($A92="","",SUMIFS(Data!$AW$4:$AW$183,Data!$AM$4:$AM$183,$B92,Data!$AL$4:$AL$183,$A92,Data!$AK$4:$AK$183,$C92))</f>
        <v>0</v>
      </c>
      <c r="AB92" s="18">
        <f ca="1">IF($A92="","",SUMIFS(Data!$AX$4:$AX$183,Data!$AM$4:$AM$183,$B92,Data!$AL$4:$AL$183,$A92,Data!$AK$4:$AK$183,$C92))</f>
        <v>0</v>
      </c>
      <c r="AC92" s="18">
        <f ca="1">IF($A92="","",SUMIFS(Data!$AY$4:$AY$183,Data!$AM$4:$AM$183,$B92,Data!$AL$4:$AL$183,$A92,Data!$AK$4:$AK$183,$C92))</f>
        <v>0</v>
      </c>
      <c r="AD92" s="18">
        <f t="shared" ca="1" si="3"/>
        <v>0</v>
      </c>
      <c r="AE92" s="18">
        <f ca="1">IF($A92="","",SUMIFS(Data!$AJ$4:$AJ$183,Data!$AM$4:$AM$183,$B92,Data!$AL$4:$AL$183,$A92,Data!$AK$4:$AK$183,$C92))</f>
        <v>0</v>
      </c>
    </row>
    <row r="93" spans="1:31">
      <c r="A93" s="116" t="str">
        <f ca="1">IF(Data!T93="","",Data!T93)</f>
        <v>Justin</v>
      </c>
      <c r="B93" s="18" t="str">
        <f ca="1">IF(Data!U93="","",Data!U93)</f>
        <v>Boo</v>
      </c>
      <c r="C93" s="18" t="str">
        <f ca="1">IF(Data!S93="","",Data!S93)</f>
        <v>G5</v>
      </c>
      <c r="D93" s="18">
        <f ca="1">IF($A93="","",Data!W93)</f>
        <v>1</v>
      </c>
      <c r="E93" s="18">
        <f ca="1">IF($A93="","",Data!Y93)</f>
        <v>0</v>
      </c>
      <c r="F93" s="61">
        <f t="shared" ca="1" si="2"/>
        <v>0.0</v>
      </c>
      <c r="G93" s="18">
        <f ca="1">IF($A93="","",Data!AB93)</f>
        <v>0</v>
      </c>
      <c r="H93" s="18">
        <f ca="1">IF($A93="","",Data!AC93)</f>
        <v>0</v>
      </c>
      <c r="I93" s="18">
        <f ca="1">IF($A93="","",INT(SUMIFS(Data!$AN$4:$AN$183,Data!$AM$4:$AM$183,$B93,Data!$AL$4:$AL$183,$A93,Data!$AK$4:$AK$183,$C93))+MOD(ROUND(SUMIFS(Data!$AN$4:$AN$183,Data!$AM$4:$AM$183,$B93,Data!$AL$4:$AL$183,$A93,Data!$AK$4:$AK$183,$C93)*3,0),3)/10)</f>
        <v>2</v>
      </c>
      <c r="J93" s="18">
        <f ca="1">IF($A93="","",SUMIFS(Data!$AQ$4:$AQ$183,Data!$AM$4:$AM$183,$B93,Data!$AL$4:$AL$183,$A93,Data!$AK$4:$AK$183,$C93))</f>
        <v>2</v>
      </c>
      <c r="K93" s="62">
        <f ca="1">IF($A93="","",IF(SUMIFS(Data!$AN$4:$AN$183,Data!$AM$4:$AM$183,$B93,Data!$AL$4:$AL$183,$A93,Data!$AK$4:$AK$183,$C93)=0,"",J93*3/SUMIFS(Data!$AN$4:$AN$183,Data!$AM$4:$AM$183,$B93,Data!$AL$4:$AL$183,$A93,Data!$AK$4:$AK$183,$C93)))</f>
        <v>3.0</v>
      </c>
      <c r="L93" s="18">
        <f ca="1">IF($A93="","",IF(IFERROR(_xlfn.XLOOKUP($C93,Bracket!$F$6:$F$16,Bracket!$K$6:$K$16,""),"")=$B93,1,0))</f>
        <v>0</v>
      </c>
      <c r="M93" s="18">
        <f ca="1">IF($A93="","",IF(AND(IFERROR(_xlfn.XLOOKUP($C93,Bracket!$F$6:$F$16,Bracket!$K$6:$K$16,""),"")=$B93,LEFT(IFERROR(_xlfn.XLOOKUP($C93,Bracket!$F$6:$F$16,Bracket!$G$6:$G$16,""),""),2)="CG"),1,0))</f>
        <v>0</v>
      </c>
      <c r="N93" s="18">
        <f ca="1">IF($A93="","",SUMIFS(Data!$X$4:$X$273,Data!$T$4:$T$273,$A93,Data!$U$4:$U$273,$B93,Data!$S$4:$S$273,$C93))</f>
        <v>0</v>
      </c>
      <c r="O93" s="18">
        <f ca="1">IF($A93="","",SUMIFS(Data!$Z$4:$Z$273,Data!$T$4:$T$273,$A93,Data!$U$4:$U$273,$B93,Data!$S$4:$S$273,$C93))</f>
        <v>0</v>
      </c>
      <c r="P93" s="18">
        <f ca="1">IF($A93="","",SUMIFS(Data!$AA$4:$AA$273,Data!$T$4:$T$273,$A93,Data!$U$4:$U$273,$B93,Data!$S$4:$S$273,$C93))</f>
        <v>0</v>
      </c>
      <c r="Q93" s="18">
        <f ca="1">IF($A93="","",SUMIFS(Data!$AD$4:$AD$273,Data!$T$4:$T$273,$A93,Data!$U$4:$U$273,$B93,Data!$S$4:$S$273,$C93))</f>
        <v>0</v>
      </c>
      <c r="R93" s="18">
        <f ca="1">IF($A93="","",SUMIFS(Data!$AE$4:$AE$273,Data!$T$4:$T$273,$A93,Data!$U$4:$U$273,$B93,Data!$S$4:$S$273,$C93))</f>
        <v>0</v>
      </c>
      <c r="S93" s="18">
        <f ca="1">IF($A93="","",SUMIFS(Data!$AF$4:$AF$273,Data!$T$4:$T$273,$A93,Data!$U$4:$U$273,$B93,Data!$S$4:$S$273,$C93))</f>
        <v>0</v>
      </c>
      <c r="T93" s="18">
        <f ca="1">IF($A93="","",SUMIFS(Data!$AG$4:$AG$273,Data!$T$4:$T$273,$A93,Data!$U$4:$U$273,$B93,Data!$S$4:$S$273,$C93))</f>
        <v>0</v>
      </c>
      <c r="U93" s="18">
        <f ca="1">IF($A93="","",SUMIFS(Data!$AH$4:$AH$273,Data!$T$4:$T$273,$A93,Data!$U$4:$U$273,$B93,Data!$S$4:$S$273,$C93))</f>
        <v>0</v>
      </c>
      <c r="V93" s="18">
        <f ca="1">IF($A93="","",SUMIFS(Data!$AO$4:$AO$183,Data!$AM$4:$AM$183,$B93,Data!$AL$4:$AL$183,$A93,Data!$AK$4:$AK$183,$C93))</f>
        <v>3</v>
      </c>
      <c r="W93" s="18">
        <f ca="1">IF($A93="","",SUMIFS(Data!$AP$4:$AP$183,Data!$AM$4:$AM$183,$B93,Data!$AL$4:$AL$183,$A93,Data!$AK$4:$AK$183,$C93))</f>
        <v>2</v>
      </c>
      <c r="X93" s="18">
        <f ca="1">IF($A93="","",SUMIFS(Data!$AR$4:$AR$183,Data!$AM$4:$AM$183,$B93,Data!$AL$4:$AL$183,$A93,Data!$AK$4:$AK$183,$C93))</f>
        <v>0</v>
      </c>
      <c r="Y93" s="18">
        <f ca="1">IF($A93="","",SUMIFS(Data!$AS$4:$AS$183,Data!$AM$4:$AM$183,$B93,Data!$AL$4:$AL$183,$A93,Data!$AK$4:$AK$183,$C93))</f>
        <v>1</v>
      </c>
      <c r="Z93" s="18">
        <f ca="1">IF($A93="","",SUMIFS(Data!$AT$4:$AT$183,Data!$AM$4:$AM$183,$B93,Data!$AL$4:$AL$183,$A93,Data!$AK$4:$AK$183,$C93))</f>
        <v>2</v>
      </c>
      <c r="AA93" s="18">
        <f ca="1">IF($A93="","",SUMIFS(Data!$AW$4:$AW$183,Data!$AM$4:$AM$183,$B93,Data!$AL$4:$AL$183,$A93,Data!$AK$4:$AK$183,$C93))</f>
        <v>0</v>
      </c>
      <c r="AB93" s="18">
        <f ca="1">IF($A93="","",SUMIFS(Data!$AX$4:$AX$183,Data!$AM$4:$AM$183,$B93,Data!$AL$4:$AL$183,$A93,Data!$AK$4:$AK$183,$C93))</f>
        <v>0</v>
      </c>
      <c r="AC93" s="18">
        <f ca="1">IF($A93="","",SUMIFS(Data!$AY$4:$AY$183,Data!$AM$4:$AM$183,$B93,Data!$AL$4:$AL$183,$A93,Data!$AK$4:$AK$183,$C93))</f>
        <v>1</v>
      </c>
      <c r="AD93" s="18">
        <f t="shared" ca="1" si="3"/>
        <v>1.5</v>
      </c>
      <c r="AE93" s="18">
        <f ca="1">IF($A93="","",SUMIFS(Data!$AJ$4:$AJ$183,Data!$AM$4:$AM$183,$B93,Data!$AL$4:$AL$183,$A93,Data!$AK$4:$AK$183,$C93))</f>
        <v>9</v>
      </c>
    </row>
    <row r="94" spans="1:31">
      <c r="A94" s="18" t="str">
        <f ca="1">IF(Data!T94="","",Data!T94)</f>
        <v>Aidan</v>
      </c>
      <c r="B94" s="18" t="str">
        <f ca="1">IF(Data!U94="","",Data!U94)</f>
        <v>Yellow Pianta</v>
      </c>
      <c r="C94" s="18" t="str">
        <f ca="1">IF(Data!S94="","",Data!S94)</f>
        <v>G6</v>
      </c>
      <c r="D94" s="18">
        <f ca="1">IF($A94="","",Data!W94)</f>
        <v>2</v>
      </c>
      <c r="E94" s="18">
        <f ca="1">IF($A94="","",Data!Y94)</f>
        <v>1</v>
      </c>
      <c r="F94" s="61">
        <f t="shared" ca="1" si="2"/>
        <v>0.5</v>
      </c>
      <c r="G94" s="18">
        <f ca="1">IF($A94="","",Data!AB94)</f>
        <v>0</v>
      </c>
      <c r="H94" s="18">
        <f ca="1">IF($A94="","",Data!AC94)</f>
        <v>0</v>
      </c>
      <c r="I94" s="18">
        <f ca="1">IF($A94="","",INT(SUMIFS(Data!$AN$4:$AN$183,Data!$AM$4:$AM$183,$B94,Data!$AL$4:$AL$183,$A94,Data!$AK$4:$AK$183,$C94))+MOD(ROUND(SUMIFS(Data!$AN$4:$AN$183,Data!$AM$4:$AM$183,$B94,Data!$AL$4:$AL$183,$A94,Data!$AK$4:$AK$183,$C94)*3,0),3)/10)</f>
        <v>0</v>
      </c>
      <c r="J94" s="18">
        <f ca="1">IF($A94="","",SUMIFS(Data!$AQ$4:$AQ$183,Data!$AM$4:$AM$183,$B94,Data!$AL$4:$AL$183,$A94,Data!$AK$4:$AK$183,$C94))</f>
        <v>0</v>
      </c>
      <c r="K94" s="62">
        <f ca="1">IF($A94="","",IF(SUMIFS(Data!$AN$4:$AN$183,Data!$AM$4:$AM$183,$B94,Data!$AL$4:$AL$183,$A94,Data!$AK$4:$AK$183,$C94)=0,"",J94*3/SUMIFS(Data!$AN$4:$AN$183,Data!$AM$4:$AM$183,$B94,Data!$AL$4:$AL$183,$A94,Data!$AK$4:$AK$183,$C94)))</f>
      </c>
      <c r="L94" s="18">
        <f ca="1">IF($A94="","",IF(IFERROR(_xlfn.XLOOKUP($C94,Bracket!$F$6:$F$16,Bracket!$K$6:$K$16,""),"")=$B94,1,0))</f>
        <v>0</v>
      </c>
      <c r="M94" s="18">
        <f ca="1">IF($A94="","",IF(AND(IFERROR(_xlfn.XLOOKUP($C94,Bracket!$F$6:$F$16,Bracket!$K$6:$K$16,""),"")=$B94,LEFT(IFERROR(_xlfn.XLOOKUP($C94,Bracket!$F$6:$F$16,Bracket!$G$6:$G$16,""),""),2)="CG"),1,0))</f>
        <v>0</v>
      </c>
      <c r="N94" s="18">
        <f ca="1">IF($A94="","",SUMIFS(Data!$X$4:$X$273,Data!$T$4:$T$273,$A94,Data!$U$4:$U$273,$B94,Data!$S$4:$S$273,$C94))</f>
        <v>0</v>
      </c>
      <c r="O94" s="18">
        <f ca="1">IF($A94="","",SUMIFS(Data!$Z$4:$Z$273,Data!$T$4:$T$273,$A94,Data!$U$4:$U$273,$B94,Data!$S$4:$S$273,$C94))</f>
        <v>0</v>
      </c>
      <c r="P94" s="18">
        <f ca="1">IF($A94="","",SUMIFS(Data!$AA$4:$AA$273,Data!$T$4:$T$273,$A94,Data!$U$4:$U$273,$B94,Data!$S$4:$S$273,$C94))</f>
        <v>0</v>
      </c>
      <c r="Q94" s="18">
        <f ca="1">IF($A94="","",SUMIFS(Data!$AD$4:$AD$273,Data!$T$4:$T$273,$A94,Data!$U$4:$U$273,$B94,Data!$S$4:$S$273,$C94))</f>
        <v>0</v>
      </c>
      <c r="R94" s="18">
        <f ca="1">IF($A94="","",SUMIFS(Data!$AE$4:$AE$273,Data!$T$4:$T$273,$A94,Data!$U$4:$U$273,$B94,Data!$S$4:$S$273,$C94))</f>
        <v>0</v>
      </c>
      <c r="S94" s="18">
        <f ca="1">IF($A94="","",SUMIFS(Data!$AF$4:$AF$273,Data!$T$4:$T$273,$A94,Data!$U$4:$U$273,$B94,Data!$S$4:$S$273,$C94))</f>
        <v>0</v>
      </c>
      <c r="T94" s="18">
        <f ca="1">IF($A94="","",SUMIFS(Data!$AG$4:$AG$273,Data!$T$4:$T$273,$A94,Data!$U$4:$U$273,$B94,Data!$S$4:$S$273,$C94))</f>
        <v>0</v>
      </c>
      <c r="U94" s="18">
        <f ca="1">IF($A94="","",SUMIFS(Data!$AH$4:$AH$273,Data!$T$4:$T$273,$A94,Data!$U$4:$U$273,$B94,Data!$S$4:$S$273,$C94))</f>
        <v>0</v>
      </c>
      <c r="V94" s="18">
        <f ca="1">IF($A94="","",SUMIFS(Data!$AO$4:$AO$183,Data!$AM$4:$AM$183,$B94,Data!$AL$4:$AL$183,$A94,Data!$AK$4:$AK$183,$C94))</f>
        <v>0</v>
      </c>
      <c r="W94" s="18">
        <f ca="1">IF($A94="","",SUMIFS(Data!$AP$4:$AP$183,Data!$AM$4:$AM$183,$B94,Data!$AL$4:$AL$183,$A94,Data!$AK$4:$AK$183,$C94))</f>
        <v>0</v>
      </c>
      <c r="X94" s="18">
        <f ca="1">IF($A94="","",SUMIFS(Data!$AR$4:$AR$183,Data!$AM$4:$AM$183,$B94,Data!$AL$4:$AL$183,$A94,Data!$AK$4:$AK$183,$C94))</f>
        <v>0</v>
      </c>
      <c r="Y94" s="18">
        <f ca="1">IF($A94="","",SUMIFS(Data!$AS$4:$AS$183,Data!$AM$4:$AM$183,$B94,Data!$AL$4:$AL$183,$A94,Data!$AK$4:$AK$183,$C94))</f>
        <v>0</v>
      </c>
      <c r="Z94" s="18">
        <f ca="1">IF($A94="","",SUMIFS(Data!$AT$4:$AT$183,Data!$AM$4:$AM$183,$B94,Data!$AL$4:$AL$183,$A94,Data!$AK$4:$AK$183,$C94))</f>
        <v>0</v>
      </c>
      <c r="AA94" s="18">
        <f ca="1">IF($A94="","",SUMIFS(Data!$AW$4:$AW$183,Data!$AM$4:$AM$183,$B94,Data!$AL$4:$AL$183,$A94,Data!$AK$4:$AK$183,$C94))</f>
        <v>0</v>
      </c>
      <c r="AB94" s="18">
        <f ca="1">IF($A94="","",SUMIFS(Data!$AX$4:$AX$183,Data!$AM$4:$AM$183,$B94,Data!$AL$4:$AL$183,$A94,Data!$AK$4:$AK$183,$C94))</f>
        <v>0</v>
      </c>
      <c r="AC94" s="18">
        <f ca="1">IF($A94="","",SUMIFS(Data!$AY$4:$AY$183,Data!$AM$4:$AM$183,$B94,Data!$AL$4:$AL$183,$A94,Data!$AK$4:$AK$183,$C94))</f>
        <v>0</v>
      </c>
      <c r="AD94" s="18">
        <f t="shared" ca="1" si="3"/>
        <v>0</v>
      </c>
      <c r="AE94" s="18">
        <f ca="1">IF($A94="","",SUMIFS(Data!$AJ$4:$AJ$183,Data!$AM$4:$AM$183,$B94,Data!$AL$4:$AL$183,$A94,Data!$AK$4:$AK$183,$C94))</f>
        <v>0</v>
      </c>
    </row>
    <row r="95" spans="1:31">
      <c r="A95" s="18" t="str">
        <f ca="1">IF(Data!T95="","",Data!T95)</f>
        <v>Aidan</v>
      </c>
      <c r="B95" s="18" t="str">
        <f ca="1">IF(Data!U95="","",Data!U95)</f>
        <v>Mario</v>
      </c>
      <c r="C95" s="18" t="str">
        <f ca="1">IF(Data!S95="","",Data!S95)</f>
        <v>G6</v>
      </c>
      <c r="D95" s="18">
        <f ca="1">IF($A95="","",Data!W95)</f>
        <v>2</v>
      </c>
      <c r="E95" s="18">
        <f ca="1">IF($A95="","",Data!Y95)</f>
        <v>2</v>
      </c>
      <c r="F95" s="61">
        <f t="shared" ca="1" si="2"/>
        <v>1.0</v>
      </c>
      <c r="G95" s="18">
        <f ca="1">IF($A95="","",Data!AB95)</f>
        <v>0</v>
      </c>
      <c r="H95" s="18">
        <f ca="1">IF($A95="","",Data!AC95)</f>
        <v>0</v>
      </c>
      <c r="I95" s="18">
        <f ca="1">IF($A95="","",INT(SUMIFS(Data!$AN$4:$AN$183,Data!$AM$4:$AM$183,$B95,Data!$AL$4:$AL$183,$A95,Data!$AK$4:$AK$183,$C95))+MOD(ROUND(SUMIFS(Data!$AN$4:$AN$183,Data!$AM$4:$AM$183,$B95,Data!$AL$4:$AL$183,$A95,Data!$AK$4:$AK$183,$C95)*3,0),3)/10)</f>
        <v>0</v>
      </c>
      <c r="J95" s="18">
        <f ca="1">IF($A95="","",SUMIFS(Data!$AQ$4:$AQ$183,Data!$AM$4:$AM$183,$B95,Data!$AL$4:$AL$183,$A95,Data!$AK$4:$AK$183,$C95))</f>
        <v>0</v>
      </c>
      <c r="K95" s="62">
        <f ca="1">IF($A95="","",IF(SUMIFS(Data!$AN$4:$AN$183,Data!$AM$4:$AM$183,$B95,Data!$AL$4:$AL$183,$A95,Data!$AK$4:$AK$183,$C95)=0,"",J95*3/SUMIFS(Data!$AN$4:$AN$183,Data!$AM$4:$AM$183,$B95,Data!$AL$4:$AL$183,$A95,Data!$AK$4:$AK$183,$C95)))</f>
      </c>
      <c r="L95" s="18">
        <f ca="1">IF($A95="","",IF(IFERROR(_xlfn.XLOOKUP($C95,Bracket!$F$6:$F$16,Bracket!$K$6:$K$16,""),"")=$B95,1,0))</f>
        <v>0</v>
      </c>
      <c r="M95" s="18">
        <f ca="1">IF($A95="","",IF(AND(IFERROR(_xlfn.XLOOKUP($C95,Bracket!$F$6:$F$16,Bracket!$K$6:$K$16,""),"")=$B95,LEFT(IFERROR(_xlfn.XLOOKUP($C95,Bracket!$F$6:$F$16,Bracket!$G$6:$G$16,""),""),2)="CG"),1,0))</f>
        <v>0</v>
      </c>
      <c r="N95" s="18">
        <f ca="1">IF($A95="","",SUMIFS(Data!$X$4:$X$273,Data!$T$4:$T$273,$A95,Data!$U$4:$U$273,$B95,Data!$S$4:$S$273,$C95))</f>
        <v>0</v>
      </c>
      <c r="O95" s="18">
        <f ca="1">IF($A95="","",SUMIFS(Data!$Z$4:$Z$273,Data!$T$4:$T$273,$A95,Data!$U$4:$U$273,$B95,Data!$S$4:$S$273,$C95))</f>
        <v>1</v>
      </c>
      <c r="P95" s="18">
        <f ca="1">IF($A95="","",SUMIFS(Data!$AA$4:$AA$273,Data!$T$4:$T$273,$A95,Data!$U$4:$U$273,$B95,Data!$S$4:$S$273,$C95))</f>
        <v>0</v>
      </c>
      <c r="Q95" s="18">
        <f ca="1">IF($A95="","",SUMIFS(Data!$AD$4:$AD$273,Data!$T$4:$T$273,$A95,Data!$U$4:$U$273,$B95,Data!$S$4:$S$273,$C95))</f>
        <v>0</v>
      </c>
      <c r="R95" s="18">
        <f ca="1">IF($A95="","",SUMIFS(Data!$AE$4:$AE$273,Data!$T$4:$T$273,$A95,Data!$U$4:$U$273,$B95,Data!$S$4:$S$273,$C95))</f>
        <v>0</v>
      </c>
      <c r="S95" s="18">
        <f ca="1">IF($A95="","",SUMIFS(Data!$AF$4:$AF$273,Data!$T$4:$T$273,$A95,Data!$U$4:$U$273,$B95,Data!$S$4:$S$273,$C95))</f>
        <v>0</v>
      </c>
      <c r="T95" s="18">
        <f ca="1">IF($A95="","",SUMIFS(Data!$AG$4:$AG$273,Data!$T$4:$T$273,$A95,Data!$U$4:$U$273,$B95,Data!$S$4:$S$273,$C95))</f>
        <v>0</v>
      </c>
      <c r="U95" s="18">
        <f ca="1">IF($A95="","",SUMIFS(Data!$AH$4:$AH$273,Data!$T$4:$T$273,$A95,Data!$U$4:$U$273,$B95,Data!$S$4:$S$273,$C95))</f>
        <v>0</v>
      </c>
      <c r="V95" s="18">
        <f ca="1">IF($A95="","",SUMIFS(Data!$AO$4:$AO$183,Data!$AM$4:$AM$183,$B95,Data!$AL$4:$AL$183,$A95,Data!$AK$4:$AK$183,$C95))</f>
        <v>0</v>
      </c>
      <c r="W95" s="18">
        <f ca="1">IF($A95="","",SUMIFS(Data!$AP$4:$AP$183,Data!$AM$4:$AM$183,$B95,Data!$AL$4:$AL$183,$A95,Data!$AK$4:$AK$183,$C95))</f>
        <v>0</v>
      </c>
      <c r="X95" s="18">
        <f ca="1">IF($A95="","",SUMIFS(Data!$AR$4:$AR$183,Data!$AM$4:$AM$183,$B95,Data!$AL$4:$AL$183,$A95,Data!$AK$4:$AK$183,$C95))</f>
        <v>0</v>
      </c>
      <c r="Y95" s="18">
        <f ca="1">IF($A95="","",SUMIFS(Data!$AS$4:$AS$183,Data!$AM$4:$AM$183,$B95,Data!$AL$4:$AL$183,$A95,Data!$AK$4:$AK$183,$C95))</f>
        <v>0</v>
      </c>
      <c r="Z95" s="18">
        <f ca="1">IF($A95="","",SUMIFS(Data!$AT$4:$AT$183,Data!$AM$4:$AM$183,$B95,Data!$AL$4:$AL$183,$A95,Data!$AK$4:$AK$183,$C95))</f>
        <v>0</v>
      </c>
      <c r="AA95" s="18">
        <f ca="1">IF($A95="","",SUMIFS(Data!$AW$4:$AW$183,Data!$AM$4:$AM$183,$B95,Data!$AL$4:$AL$183,$A95,Data!$AK$4:$AK$183,$C95))</f>
        <v>0</v>
      </c>
      <c r="AB95" s="18">
        <f ca="1">IF($A95="","",SUMIFS(Data!$AX$4:$AX$183,Data!$AM$4:$AM$183,$B95,Data!$AL$4:$AL$183,$A95,Data!$AK$4:$AK$183,$C95))</f>
        <v>0</v>
      </c>
      <c r="AC95" s="18">
        <f ca="1">IF($A95="","",SUMIFS(Data!$AY$4:$AY$183,Data!$AM$4:$AM$183,$B95,Data!$AL$4:$AL$183,$A95,Data!$AK$4:$AK$183,$C95))</f>
        <v>0</v>
      </c>
      <c r="AD95" s="18">
        <f t="shared" ca="1" si="3"/>
        <v>0</v>
      </c>
      <c r="AE95" s="18">
        <f ca="1">IF($A95="","",SUMIFS(Data!$AJ$4:$AJ$183,Data!$AM$4:$AM$183,$B95,Data!$AL$4:$AL$183,$A95,Data!$AK$4:$AK$183,$C95))</f>
        <v>0</v>
      </c>
    </row>
    <row r="96" spans="1:31">
      <c r="A96" s="18" t="str">
        <f ca="1">IF(Data!T96="","",Data!T96)</f>
        <v>Aidan</v>
      </c>
      <c r="B96" s="18" t="str">
        <f ca="1">IF(Data!U96="","",Data!U96)</f>
        <v>Blue Pianta</v>
      </c>
      <c r="C96" s="18" t="str">
        <f ca="1">IF(Data!S96="","",Data!S96)</f>
        <v>G6</v>
      </c>
      <c r="D96" s="18">
        <f ca="1">IF($A96="","",Data!W96)</f>
        <v>2</v>
      </c>
      <c r="E96" s="18">
        <f ca="1">IF($A96="","",Data!Y96)</f>
        <v>0</v>
      </c>
      <c r="F96" s="61">
        <f t="shared" ca="1" si="2"/>
        <v>0.0</v>
      </c>
      <c r="G96" s="18">
        <f ca="1">IF($A96="","",Data!AB96)</f>
        <v>0</v>
      </c>
      <c r="H96" s="18">
        <f ca="1">IF($A96="","",Data!AC96)</f>
        <v>0</v>
      </c>
      <c r="I96" s="18">
        <f ca="1">IF($A96="","",INT(SUMIFS(Data!$AN$4:$AN$183,Data!$AM$4:$AM$183,$B96,Data!$AL$4:$AL$183,$A96,Data!$AK$4:$AK$183,$C96))+MOD(ROUND(SUMIFS(Data!$AN$4:$AN$183,Data!$AM$4:$AM$183,$B96,Data!$AL$4:$AL$183,$A96,Data!$AK$4:$AK$183,$C96)*3,0),3)/10)</f>
        <v>0</v>
      </c>
      <c r="J96" s="18">
        <f ca="1">IF($A96="","",SUMIFS(Data!$AQ$4:$AQ$183,Data!$AM$4:$AM$183,$B96,Data!$AL$4:$AL$183,$A96,Data!$AK$4:$AK$183,$C96))</f>
        <v>0</v>
      </c>
      <c r="K96" s="62">
        <f ca="1">IF($A96="","",IF(SUMIFS(Data!$AN$4:$AN$183,Data!$AM$4:$AM$183,$B96,Data!$AL$4:$AL$183,$A96,Data!$AK$4:$AK$183,$C96)=0,"",J96*3/SUMIFS(Data!$AN$4:$AN$183,Data!$AM$4:$AM$183,$B96,Data!$AL$4:$AL$183,$A96,Data!$AK$4:$AK$183,$C96)))</f>
      </c>
      <c r="L96" s="18">
        <f ca="1">IF($A96="","",IF(IFERROR(_xlfn.XLOOKUP($C96,Bracket!$F$6:$F$16,Bracket!$K$6:$K$16,""),"")=$B96,1,0))</f>
        <v>0</v>
      </c>
      <c r="M96" s="18">
        <f ca="1">IF($A96="","",IF(AND(IFERROR(_xlfn.XLOOKUP($C96,Bracket!$F$6:$F$16,Bracket!$K$6:$K$16,""),"")=$B96,LEFT(IFERROR(_xlfn.XLOOKUP($C96,Bracket!$F$6:$F$16,Bracket!$G$6:$G$16,""),""),2)="CG"),1,0))</f>
        <v>0</v>
      </c>
      <c r="N96" s="18">
        <f ca="1">IF($A96="","",SUMIFS(Data!$X$4:$X$273,Data!$T$4:$T$273,$A96,Data!$U$4:$U$273,$B96,Data!$S$4:$S$273,$C96))</f>
        <v>0</v>
      </c>
      <c r="O96" s="18">
        <f ca="1">IF($A96="","",SUMIFS(Data!$Z$4:$Z$273,Data!$T$4:$T$273,$A96,Data!$U$4:$U$273,$B96,Data!$S$4:$S$273,$C96))</f>
        <v>0</v>
      </c>
      <c r="P96" s="18">
        <f ca="1">IF($A96="","",SUMIFS(Data!$AA$4:$AA$273,Data!$T$4:$T$273,$A96,Data!$U$4:$U$273,$B96,Data!$S$4:$S$273,$C96))</f>
        <v>0</v>
      </c>
      <c r="Q96" s="18">
        <f ca="1">IF($A96="","",SUMIFS(Data!$AD$4:$AD$273,Data!$T$4:$T$273,$A96,Data!$U$4:$U$273,$B96,Data!$S$4:$S$273,$C96))</f>
        <v>0</v>
      </c>
      <c r="R96" s="18">
        <f ca="1">IF($A96="","",SUMIFS(Data!$AE$4:$AE$273,Data!$T$4:$T$273,$A96,Data!$U$4:$U$273,$B96,Data!$S$4:$S$273,$C96))</f>
        <v>1</v>
      </c>
      <c r="S96" s="18">
        <f ca="1">IF($A96="","",SUMIFS(Data!$AF$4:$AF$273,Data!$T$4:$T$273,$A96,Data!$U$4:$U$273,$B96,Data!$S$4:$S$273,$C96))</f>
        <v>0</v>
      </c>
      <c r="T96" s="18">
        <f ca="1">IF($A96="","",SUMIFS(Data!$AG$4:$AG$273,Data!$T$4:$T$273,$A96,Data!$U$4:$U$273,$B96,Data!$S$4:$S$273,$C96))</f>
        <v>0</v>
      </c>
      <c r="U96" s="18">
        <f ca="1">IF($A96="","",SUMIFS(Data!$AH$4:$AH$273,Data!$T$4:$T$273,$A96,Data!$U$4:$U$273,$B96,Data!$S$4:$S$273,$C96))</f>
        <v>0</v>
      </c>
      <c r="V96" s="18">
        <f ca="1">IF($A96="","",SUMIFS(Data!$AO$4:$AO$183,Data!$AM$4:$AM$183,$B96,Data!$AL$4:$AL$183,$A96,Data!$AK$4:$AK$183,$C96))</f>
        <v>0</v>
      </c>
      <c r="W96" s="18">
        <f ca="1">IF($A96="","",SUMIFS(Data!$AP$4:$AP$183,Data!$AM$4:$AM$183,$B96,Data!$AL$4:$AL$183,$A96,Data!$AK$4:$AK$183,$C96))</f>
        <v>0</v>
      </c>
      <c r="X96" s="18">
        <f ca="1">IF($A96="","",SUMIFS(Data!$AR$4:$AR$183,Data!$AM$4:$AM$183,$B96,Data!$AL$4:$AL$183,$A96,Data!$AK$4:$AK$183,$C96))</f>
        <v>0</v>
      </c>
      <c r="Y96" s="18">
        <f ca="1">IF($A96="","",SUMIFS(Data!$AS$4:$AS$183,Data!$AM$4:$AM$183,$B96,Data!$AL$4:$AL$183,$A96,Data!$AK$4:$AK$183,$C96))</f>
        <v>0</v>
      </c>
      <c r="Z96" s="18">
        <f ca="1">IF($A96="","",SUMIFS(Data!$AT$4:$AT$183,Data!$AM$4:$AM$183,$B96,Data!$AL$4:$AL$183,$A96,Data!$AK$4:$AK$183,$C96))</f>
        <v>0</v>
      </c>
      <c r="AA96" s="18">
        <f ca="1">IF($A96="","",SUMIFS(Data!$AW$4:$AW$183,Data!$AM$4:$AM$183,$B96,Data!$AL$4:$AL$183,$A96,Data!$AK$4:$AK$183,$C96))</f>
        <v>0</v>
      </c>
      <c r="AB96" s="18">
        <f ca="1">IF($A96="","",SUMIFS(Data!$AX$4:$AX$183,Data!$AM$4:$AM$183,$B96,Data!$AL$4:$AL$183,$A96,Data!$AK$4:$AK$183,$C96))</f>
        <v>0</v>
      </c>
      <c r="AC96" s="18">
        <f ca="1">IF($A96="","",SUMIFS(Data!$AY$4:$AY$183,Data!$AM$4:$AM$183,$B96,Data!$AL$4:$AL$183,$A96,Data!$AK$4:$AK$183,$C96))</f>
        <v>0</v>
      </c>
      <c r="AD96" s="18">
        <f t="shared" ca="1" si="3"/>
        <v>0</v>
      </c>
      <c r="AE96" s="18">
        <f ca="1">IF($A96="","",SUMIFS(Data!$AJ$4:$AJ$183,Data!$AM$4:$AM$183,$B96,Data!$AL$4:$AL$183,$A96,Data!$AK$4:$AK$183,$C96))</f>
        <v>0</v>
      </c>
    </row>
    <row r="97" spans="1:31">
      <c r="A97" s="18" t="str">
        <f ca="1">IF(Data!T97="","",Data!T97)</f>
        <v>Aidan</v>
      </c>
      <c r="B97" s="18" t="str">
        <f ca="1">IF(Data!U97="","",Data!U97)</f>
        <v>Luigi</v>
      </c>
      <c r="C97" s="18" t="str">
        <f ca="1">IF(Data!S97="","",Data!S97)</f>
        <v>G6</v>
      </c>
      <c r="D97" s="18">
        <f ca="1">IF($A97="","",Data!W97)</f>
        <v>2</v>
      </c>
      <c r="E97" s="18">
        <f ca="1">IF($A97="","",Data!Y97)</f>
        <v>0</v>
      </c>
      <c r="F97" s="61">
        <f t="shared" ca="1" si="2"/>
        <v>0.0</v>
      </c>
      <c r="G97" s="18">
        <f ca="1">IF($A97="","",Data!AB97)</f>
        <v>0</v>
      </c>
      <c r="H97" s="18">
        <f ca="1">IF($A97="","",Data!AC97)</f>
        <v>0</v>
      </c>
      <c r="I97" s="18">
        <f ca="1">IF($A97="","",INT(SUMIFS(Data!$AN$4:$AN$183,Data!$AM$4:$AM$183,$B97,Data!$AL$4:$AL$183,$A97,Data!$AK$4:$AK$183,$C97))+MOD(ROUND(SUMIFS(Data!$AN$4:$AN$183,Data!$AM$4:$AM$183,$B97,Data!$AL$4:$AL$183,$A97,Data!$AK$4:$AK$183,$C97)*3,0),3)/10)</f>
        <v>0</v>
      </c>
      <c r="J97" s="18">
        <f ca="1">IF($A97="","",SUMIFS(Data!$AQ$4:$AQ$183,Data!$AM$4:$AM$183,$B97,Data!$AL$4:$AL$183,$A97,Data!$AK$4:$AK$183,$C97))</f>
        <v>0</v>
      </c>
      <c r="K97" s="62">
        <f ca="1">IF($A97="","",IF(SUMIFS(Data!$AN$4:$AN$183,Data!$AM$4:$AM$183,$B97,Data!$AL$4:$AL$183,$A97,Data!$AK$4:$AK$183,$C97)=0,"",J97*3/SUMIFS(Data!$AN$4:$AN$183,Data!$AM$4:$AM$183,$B97,Data!$AL$4:$AL$183,$A97,Data!$AK$4:$AK$183,$C97)))</f>
      </c>
      <c r="L97" s="18">
        <f ca="1">IF($A97="","",IF(IFERROR(_xlfn.XLOOKUP($C97,Bracket!$F$6:$F$16,Bracket!$K$6:$K$16,""),"")=$B97,1,0))</f>
        <v>0</v>
      </c>
      <c r="M97" s="18">
        <f ca="1">IF($A97="","",IF(AND(IFERROR(_xlfn.XLOOKUP($C97,Bracket!$F$6:$F$16,Bracket!$K$6:$K$16,""),"")=$B97,LEFT(IFERROR(_xlfn.XLOOKUP($C97,Bracket!$F$6:$F$16,Bracket!$G$6:$G$16,""),""),2)="CG"),1,0))</f>
        <v>0</v>
      </c>
      <c r="N97" s="18">
        <f ca="1">IF($A97="","",SUMIFS(Data!$X$4:$X$273,Data!$T$4:$T$273,$A97,Data!$U$4:$U$273,$B97,Data!$S$4:$S$273,$C97))</f>
        <v>0</v>
      </c>
      <c r="O97" s="18">
        <f ca="1">IF($A97="","",SUMIFS(Data!$Z$4:$Z$273,Data!$T$4:$T$273,$A97,Data!$U$4:$U$273,$B97,Data!$S$4:$S$273,$C97))</f>
        <v>0</v>
      </c>
      <c r="P97" s="18">
        <f ca="1">IF($A97="","",SUMIFS(Data!$AA$4:$AA$273,Data!$T$4:$T$273,$A97,Data!$U$4:$U$273,$B97,Data!$S$4:$S$273,$C97))</f>
        <v>0</v>
      </c>
      <c r="Q97" s="18">
        <f ca="1">IF($A97="","",SUMIFS(Data!$AD$4:$AD$273,Data!$T$4:$T$273,$A97,Data!$U$4:$U$273,$B97,Data!$S$4:$S$273,$C97))</f>
        <v>0</v>
      </c>
      <c r="R97" s="18">
        <f ca="1">IF($A97="","",SUMIFS(Data!$AE$4:$AE$273,Data!$T$4:$T$273,$A97,Data!$U$4:$U$273,$B97,Data!$S$4:$S$273,$C97))</f>
        <v>1</v>
      </c>
      <c r="S97" s="18">
        <f ca="1">IF($A97="","",SUMIFS(Data!$AF$4:$AF$273,Data!$T$4:$T$273,$A97,Data!$U$4:$U$273,$B97,Data!$S$4:$S$273,$C97))</f>
        <v>0</v>
      </c>
      <c r="T97" s="18">
        <f ca="1">IF($A97="","",SUMIFS(Data!$AG$4:$AG$273,Data!$T$4:$T$273,$A97,Data!$U$4:$U$273,$B97,Data!$S$4:$S$273,$C97))</f>
        <v>0</v>
      </c>
      <c r="U97" s="18">
        <f ca="1">IF($A97="","",SUMIFS(Data!$AH$4:$AH$273,Data!$T$4:$T$273,$A97,Data!$U$4:$U$273,$B97,Data!$S$4:$S$273,$C97))</f>
        <v>0</v>
      </c>
      <c r="V97" s="18">
        <f ca="1">IF($A97="","",SUMIFS(Data!$AO$4:$AO$183,Data!$AM$4:$AM$183,$B97,Data!$AL$4:$AL$183,$A97,Data!$AK$4:$AK$183,$C97))</f>
        <v>0</v>
      </c>
      <c r="W97" s="18">
        <f ca="1">IF($A97="","",SUMIFS(Data!$AP$4:$AP$183,Data!$AM$4:$AM$183,$B97,Data!$AL$4:$AL$183,$A97,Data!$AK$4:$AK$183,$C97))</f>
        <v>0</v>
      </c>
      <c r="X97" s="18">
        <f ca="1">IF($A97="","",SUMIFS(Data!$AR$4:$AR$183,Data!$AM$4:$AM$183,$B97,Data!$AL$4:$AL$183,$A97,Data!$AK$4:$AK$183,$C97))</f>
        <v>0</v>
      </c>
      <c r="Y97" s="18">
        <f ca="1">IF($A97="","",SUMIFS(Data!$AS$4:$AS$183,Data!$AM$4:$AM$183,$B97,Data!$AL$4:$AL$183,$A97,Data!$AK$4:$AK$183,$C97))</f>
        <v>0</v>
      </c>
      <c r="Z97" s="18">
        <f ca="1">IF($A97="","",SUMIFS(Data!$AT$4:$AT$183,Data!$AM$4:$AM$183,$B97,Data!$AL$4:$AL$183,$A97,Data!$AK$4:$AK$183,$C97))</f>
        <v>0</v>
      </c>
      <c r="AA97" s="18">
        <f ca="1">IF($A97="","",SUMIFS(Data!$AW$4:$AW$183,Data!$AM$4:$AM$183,$B97,Data!$AL$4:$AL$183,$A97,Data!$AK$4:$AK$183,$C97))</f>
        <v>0</v>
      </c>
      <c r="AB97" s="18">
        <f ca="1">IF($A97="","",SUMIFS(Data!$AX$4:$AX$183,Data!$AM$4:$AM$183,$B97,Data!$AL$4:$AL$183,$A97,Data!$AK$4:$AK$183,$C97))</f>
        <v>0</v>
      </c>
      <c r="AC97" s="18">
        <f ca="1">IF($A97="","",SUMIFS(Data!$AY$4:$AY$183,Data!$AM$4:$AM$183,$B97,Data!$AL$4:$AL$183,$A97,Data!$AK$4:$AK$183,$C97))</f>
        <v>0</v>
      </c>
      <c r="AD97" s="18">
        <f t="shared" ca="1" si="3"/>
        <v>0</v>
      </c>
      <c r="AE97" s="18">
        <f ca="1">IF($A97="","",SUMIFS(Data!$AJ$4:$AJ$183,Data!$AM$4:$AM$183,$B97,Data!$AL$4:$AL$183,$A97,Data!$AK$4:$AK$183,$C97))</f>
        <v>0</v>
      </c>
    </row>
    <row r="98" spans="1:31">
      <c r="A98" s="18" t="str">
        <f ca="1">IF(Data!T98="","",Data!T98)</f>
        <v>Aidan</v>
      </c>
      <c r="B98" s="18" t="str">
        <f ca="1">IF(Data!U98="","",Data!U98)</f>
        <v>Dark Bones</v>
      </c>
      <c r="C98" s="18" t="str">
        <f ca="1">IF(Data!S98="","",Data!S98)</f>
        <v>G6</v>
      </c>
      <c r="D98" s="18">
        <f ca="1">IF($A98="","",Data!W98)</f>
        <v>1</v>
      </c>
      <c r="E98" s="18">
        <f ca="1">IF($A98="","",Data!Y98)</f>
        <v>0</v>
      </c>
      <c r="F98" s="61">
        <f t="shared" ca="1" si="2"/>
        <v>0.0</v>
      </c>
      <c r="G98" s="18">
        <f ca="1">IF($A98="","",Data!AB98)</f>
        <v>0</v>
      </c>
      <c r="H98" s="18">
        <f ca="1">IF($A98="","",Data!AC98)</f>
        <v>0</v>
      </c>
      <c r="I98" s="18">
        <f ca="1">IF($A98="","",INT(SUMIFS(Data!$AN$4:$AN$183,Data!$AM$4:$AM$183,$B98,Data!$AL$4:$AL$183,$A98,Data!$AK$4:$AK$183,$C98))+MOD(ROUND(SUMIFS(Data!$AN$4:$AN$183,Data!$AM$4:$AM$183,$B98,Data!$AL$4:$AL$183,$A98,Data!$AK$4:$AK$183,$C98)*3,0),3)/10)</f>
        <v>0</v>
      </c>
      <c r="J98" s="18">
        <f ca="1">IF($A98="","",SUMIFS(Data!$AQ$4:$AQ$183,Data!$AM$4:$AM$183,$B98,Data!$AL$4:$AL$183,$A98,Data!$AK$4:$AK$183,$C98))</f>
        <v>0</v>
      </c>
      <c r="K98" s="62">
        <f ca="1">IF($A98="","",IF(SUMIFS(Data!$AN$4:$AN$183,Data!$AM$4:$AM$183,$B98,Data!$AL$4:$AL$183,$A98,Data!$AK$4:$AK$183,$C98)=0,"",J98*3/SUMIFS(Data!$AN$4:$AN$183,Data!$AM$4:$AM$183,$B98,Data!$AL$4:$AL$183,$A98,Data!$AK$4:$AK$183,$C98)))</f>
      </c>
      <c r="L98" s="18">
        <f ca="1">IF($A98="","",IF(IFERROR(_xlfn.XLOOKUP($C98,Bracket!$F$6:$F$16,Bracket!$K$6:$K$16,""),"")=$B98,1,0))</f>
        <v>0</v>
      </c>
      <c r="M98" s="18">
        <f ca="1">IF($A98="","",IF(AND(IFERROR(_xlfn.XLOOKUP($C98,Bracket!$F$6:$F$16,Bracket!$K$6:$K$16,""),"")=$B98,LEFT(IFERROR(_xlfn.XLOOKUP($C98,Bracket!$F$6:$F$16,Bracket!$G$6:$G$16,""),""),2)="CG"),1,0))</f>
        <v>0</v>
      </c>
      <c r="N98" s="18">
        <f ca="1">IF($A98="","",SUMIFS(Data!$X$4:$X$273,Data!$T$4:$T$273,$A98,Data!$U$4:$U$273,$B98,Data!$S$4:$S$273,$C98))</f>
        <v>0</v>
      </c>
      <c r="O98" s="18">
        <f ca="1">IF($A98="","",SUMIFS(Data!$Z$4:$Z$273,Data!$T$4:$T$273,$A98,Data!$U$4:$U$273,$B98,Data!$S$4:$S$273,$C98))</f>
        <v>0</v>
      </c>
      <c r="P98" s="18">
        <f ca="1">IF($A98="","",SUMIFS(Data!$AA$4:$AA$273,Data!$T$4:$T$273,$A98,Data!$U$4:$U$273,$B98,Data!$S$4:$S$273,$C98))</f>
        <v>0</v>
      </c>
      <c r="Q98" s="18">
        <f ca="1">IF($A98="","",SUMIFS(Data!$AD$4:$AD$273,Data!$T$4:$T$273,$A98,Data!$U$4:$U$273,$B98,Data!$S$4:$S$273,$C98))</f>
        <v>0</v>
      </c>
      <c r="R98" s="18">
        <f ca="1">IF($A98="","",SUMIFS(Data!$AE$4:$AE$273,Data!$T$4:$T$273,$A98,Data!$U$4:$U$273,$B98,Data!$S$4:$S$273,$C98))</f>
        <v>0</v>
      </c>
      <c r="S98" s="18">
        <f ca="1">IF($A98="","",SUMIFS(Data!$AF$4:$AF$273,Data!$T$4:$T$273,$A98,Data!$U$4:$U$273,$B98,Data!$S$4:$S$273,$C98))</f>
        <v>0</v>
      </c>
      <c r="T98" s="18">
        <f ca="1">IF($A98="","",SUMIFS(Data!$AG$4:$AG$273,Data!$T$4:$T$273,$A98,Data!$U$4:$U$273,$B98,Data!$S$4:$S$273,$C98))</f>
        <v>0</v>
      </c>
      <c r="U98" s="18">
        <f ca="1">IF($A98="","",SUMIFS(Data!$AH$4:$AH$273,Data!$T$4:$T$273,$A98,Data!$U$4:$U$273,$B98,Data!$S$4:$S$273,$C98))</f>
        <v>0</v>
      </c>
      <c r="V98" s="18">
        <f ca="1">IF($A98="","",SUMIFS(Data!$AO$4:$AO$183,Data!$AM$4:$AM$183,$B98,Data!$AL$4:$AL$183,$A98,Data!$AK$4:$AK$183,$C98))</f>
        <v>0</v>
      </c>
      <c r="W98" s="18">
        <f ca="1">IF($A98="","",SUMIFS(Data!$AP$4:$AP$183,Data!$AM$4:$AM$183,$B98,Data!$AL$4:$AL$183,$A98,Data!$AK$4:$AK$183,$C98))</f>
        <v>0</v>
      </c>
      <c r="X98" s="18">
        <f ca="1">IF($A98="","",SUMIFS(Data!$AR$4:$AR$183,Data!$AM$4:$AM$183,$B98,Data!$AL$4:$AL$183,$A98,Data!$AK$4:$AK$183,$C98))</f>
        <v>0</v>
      </c>
      <c r="Y98" s="18">
        <f ca="1">IF($A98="","",SUMIFS(Data!$AS$4:$AS$183,Data!$AM$4:$AM$183,$B98,Data!$AL$4:$AL$183,$A98,Data!$AK$4:$AK$183,$C98))</f>
        <v>0</v>
      </c>
      <c r="Z98" s="18">
        <f ca="1">IF($A98="","",SUMIFS(Data!$AT$4:$AT$183,Data!$AM$4:$AM$183,$B98,Data!$AL$4:$AL$183,$A98,Data!$AK$4:$AK$183,$C98))</f>
        <v>0</v>
      </c>
      <c r="AA98" s="18">
        <f ca="1">IF($A98="","",SUMIFS(Data!$AW$4:$AW$183,Data!$AM$4:$AM$183,$B98,Data!$AL$4:$AL$183,$A98,Data!$AK$4:$AK$183,$C98))</f>
        <v>0</v>
      </c>
      <c r="AB98" s="18">
        <f ca="1">IF($A98="","",SUMIFS(Data!$AX$4:$AX$183,Data!$AM$4:$AM$183,$B98,Data!$AL$4:$AL$183,$A98,Data!$AK$4:$AK$183,$C98))</f>
        <v>0</v>
      </c>
      <c r="AC98" s="18">
        <f ca="1">IF($A98="","",SUMIFS(Data!$AY$4:$AY$183,Data!$AM$4:$AM$183,$B98,Data!$AL$4:$AL$183,$A98,Data!$AK$4:$AK$183,$C98))</f>
        <v>0</v>
      </c>
      <c r="AD98" s="18">
        <f t="shared" ca="1" si="3"/>
        <v>0</v>
      </c>
      <c r="AE98" s="18">
        <f ca="1">IF($A98="","",SUMIFS(Data!$AJ$4:$AJ$183,Data!$AM$4:$AM$183,$B98,Data!$AL$4:$AL$183,$A98,Data!$AK$4:$AK$183,$C98))</f>
        <v>0</v>
      </c>
    </row>
    <row r="99" spans="1:31">
      <c r="A99" s="18" t="str">
        <f ca="1">IF(Data!T99="","",Data!T99)</f>
        <v>Aidan</v>
      </c>
      <c r="B99" s="18" t="str">
        <f ca="1">IF(Data!U99="","",Data!U99)</f>
        <v>Pink Yoshi</v>
      </c>
      <c r="C99" s="18" t="str">
        <f ca="1">IF(Data!S99="","",Data!S99)</f>
        <v>G6</v>
      </c>
      <c r="D99" s="18">
        <f ca="1">IF($A99="","",Data!W99)</f>
        <v>1</v>
      </c>
      <c r="E99" s="18">
        <f ca="1">IF($A99="","",Data!Y99)</f>
        <v>0</v>
      </c>
      <c r="F99" s="61">
        <f t="shared" ca="1" si="2"/>
        <v>0.0</v>
      </c>
      <c r="G99" s="18">
        <f ca="1">IF($A99="","",Data!AB99)</f>
        <v>0</v>
      </c>
      <c r="H99" s="18">
        <f ca="1">IF($A99="","",Data!AC99)</f>
        <v>0</v>
      </c>
      <c r="I99" s="18">
        <f ca="1">IF($A99="","",INT(SUMIFS(Data!$AN$4:$AN$183,Data!$AM$4:$AM$183,$B99,Data!$AL$4:$AL$183,$A99,Data!$AK$4:$AK$183,$C99))+MOD(ROUND(SUMIFS(Data!$AN$4:$AN$183,Data!$AM$4:$AM$183,$B99,Data!$AL$4:$AL$183,$A99,Data!$AK$4:$AK$183,$C99)*3,0),3)/10)</f>
        <v>0</v>
      </c>
      <c r="J99" s="18">
        <f ca="1">IF($A99="","",SUMIFS(Data!$AQ$4:$AQ$183,Data!$AM$4:$AM$183,$B99,Data!$AL$4:$AL$183,$A99,Data!$AK$4:$AK$183,$C99))</f>
        <v>0</v>
      </c>
      <c r="K99" s="62">
        <f ca="1">IF($A99="","",IF(SUMIFS(Data!$AN$4:$AN$183,Data!$AM$4:$AM$183,$B99,Data!$AL$4:$AL$183,$A99,Data!$AK$4:$AK$183,$C99)=0,"",J99*3/SUMIFS(Data!$AN$4:$AN$183,Data!$AM$4:$AM$183,$B99,Data!$AL$4:$AL$183,$A99,Data!$AK$4:$AK$183,$C99)))</f>
      </c>
      <c r="L99" s="18">
        <f ca="1">IF($A99="","",IF(IFERROR(_xlfn.XLOOKUP($C99,Bracket!$F$6:$F$16,Bracket!$K$6:$K$16,""),"")=$B99,1,0))</f>
        <v>0</v>
      </c>
      <c r="M99" s="18">
        <f ca="1">IF($A99="","",IF(AND(IFERROR(_xlfn.XLOOKUP($C99,Bracket!$F$6:$F$16,Bracket!$K$6:$K$16,""),"")=$B99,LEFT(IFERROR(_xlfn.XLOOKUP($C99,Bracket!$F$6:$F$16,Bracket!$G$6:$G$16,""),""),2)="CG"),1,0))</f>
        <v>0</v>
      </c>
      <c r="N99" s="18">
        <f ca="1">IF($A99="","",SUMIFS(Data!$X$4:$X$273,Data!$T$4:$T$273,$A99,Data!$U$4:$U$273,$B99,Data!$S$4:$S$273,$C99))</f>
        <v>0</v>
      </c>
      <c r="O99" s="18">
        <f ca="1">IF($A99="","",SUMIFS(Data!$Z$4:$Z$273,Data!$T$4:$T$273,$A99,Data!$U$4:$U$273,$B99,Data!$S$4:$S$273,$C99))</f>
        <v>0</v>
      </c>
      <c r="P99" s="18">
        <f ca="1">IF($A99="","",SUMIFS(Data!$AA$4:$AA$273,Data!$T$4:$T$273,$A99,Data!$U$4:$U$273,$B99,Data!$S$4:$S$273,$C99))</f>
        <v>0</v>
      </c>
      <c r="Q99" s="18">
        <f ca="1">IF($A99="","",SUMIFS(Data!$AD$4:$AD$273,Data!$T$4:$T$273,$A99,Data!$U$4:$U$273,$B99,Data!$S$4:$S$273,$C99))</f>
        <v>0</v>
      </c>
      <c r="R99" s="18">
        <f ca="1">IF($A99="","",SUMIFS(Data!$AE$4:$AE$273,Data!$T$4:$T$273,$A99,Data!$U$4:$U$273,$B99,Data!$S$4:$S$273,$C99))</f>
        <v>0</v>
      </c>
      <c r="S99" s="18">
        <f ca="1">IF($A99="","",SUMIFS(Data!$AF$4:$AF$273,Data!$T$4:$T$273,$A99,Data!$U$4:$U$273,$B99,Data!$S$4:$S$273,$C99))</f>
        <v>0</v>
      </c>
      <c r="T99" s="18">
        <f ca="1">IF($A99="","",SUMIFS(Data!$AG$4:$AG$273,Data!$T$4:$T$273,$A99,Data!$U$4:$U$273,$B99,Data!$S$4:$S$273,$C99))</f>
        <v>0</v>
      </c>
      <c r="U99" s="18">
        <f ca="1">IF($A99="","",SUMIFS(Data!$AH$4:$AH$273,Data!$T$4:$T$273,$A99,Data!$U$4:$U$273,$B99,Data!$S$4:$S$273,$C99))</f>
        <v>0</v>
      </c>
      <c r="V99" s="18">
        <f ca="1">IF($A99="","",SUMIFS(Data!$AO$4:$AO$183,Data!$AM$4:$AM$183,$B99,Data!$AL$4:$AL$183,$A99,Data!$AK$4:$AK$183,$C99))</f>
        <v>0</v>
      </c>
      <c r="W99" s="18">
        <f ca="1">IF($A99="","",SUMIFS(Data!$AP$4:$AP$183,Data!$AM$4:$AM$183,$B99,Data!$AL$4:$AL$183,$A99,Data!$AK$4:$AK$183,$C99))</f>
        <v>0</v>
      </c>
      <c r="X99" s="18">
        <f ca="1">IF($A99="","",SUMIFS(Data!$AR$4:$AR$183,Data!$AM$4:$AM$183,$B99,Data!$AL$4:$AL$183,$A99,Data!$AK$4:$AK$183,$C99))</f>
        <v>0</v>
      </c>
      <c r="Y99" s="18">
        <f ca="1">IF($A99="","",SUMIFS(Data!$AS$4:$AS$183,Data!$AM$4:$AM$183,$B99,Data!$AL$4:$AL$183,$A99,Data!$AK$4:$AK$183,$C99))</f>
        <v>0</v>
      </c>
      <c r="Z99" s="18">
        <f ca="1">IF($A99="","",SUMIFS(Data!$AT$4:$AT$183,Data!$AM$4:$AM$183,$B99,Data!$AL$4:$AL$183,$A99,Data!$AK$4:$AK$183,$C99))</f>
        <v>0</v>
      </c>
      <c r="AA99" s="18">
        <f ca="1">IF($A99="","",SUMIFS(Data!$AW$4:$AW$183,Data!$AM$4:$AM$183,$B99,Data!$AL$4:$AL$183,$A99,Data!$AK$4:$AK$183,$C99))</f>
        <v>0</v>
      </c>
      <c r="AB99" s="18">
        <f ca="1">IF($A99="","",SUMIFS(Data!$AX$4:$AX$183,Data!$AM$4:$AM$183,$B99,Data!$AL$4:$AL$183,$A99,Data!$AK$4:$AK$183,$C99))</f>
        <v>0</v>
      </c>
      <c r="AC99" s="18">
        <f ca="1">IF($A99="","",SUMIFS(Data!$AY$4:$AY$183,Data!$AM$4:$AM$183,$B99,Data!$AL$4:$AL$183,$A99,Data!$AK$4:$AK$183,$C99))</f>
        <v>0</v>
      </c>
      <c r="AD99" s="18">
        <f t="shared" ca="1" si="3"/>
        <v>0</v>
      </c>
      <c r="AE99" s="18">
        <f ca="1">IF($A99="","",SUMIFS(Data!$AJ$4:$AJ$183,Data!$AM$4:$AM$183,$B99,Data!$AL$4:$AL$183,$A99,Data!$AK$4:$AK$183,$C99))</f>
        <v>0</v>
      </c>
    </row>
    <row r="100" spans="1:31">
      <c r="A100" s="18" t="str">
        <f ca="1">IF(Data!T100="","",Data!T100)</f>
        <v>Aidan</v>
      </c>
      <c r="B100" s="18" t="str">
        <f ca="1">IF(Data!U100="","",Data!U100)</f>
        <v>Blue Dry Bones</v>
      </c>
      <c r="C100" s="18" t="str">
        <f ca="1">IF(Data!S100="","",Data!S100)</f>
        <v>G6</v>
      </c>
      <c r="D100" s="18">
        <f ca="1">IF($A100="","",Data!W100)</f>
        <v>1</v>
      </c>
      <c r="E100" s="18">
        <f ca="1">IF($A100="","",Data!Y100)</f>
        <v>0</v>
      </c>
      <c r="F100" s="61">
        <f t="shared" ca="1" si="2"/>
        <v>0.0</v>
      </c>
      <c r="G100" s="18">
        <f ca="1">IF($A100="","",Data!AB100)</f>
        <v>0</v>
      </c>
      <c r="H100" s="18">
        <f ca="1">IF($A100="","",Data!AC100)</f>
        <v>0</v>
      </c>
      <c r="I100" s="18">
        <f ca="1">IF($A100="","",INT(SUMIFS(Data!$AN$4:$AN$183,Data!$AM$4:$AM$183,$B100,Data!$AL$4:$AL$183,$A100,Data!$AK$4:$AK$183,$C100))+MOD(ROUND(SUMIFS(Data!$AN$4:$AN$183,Data!$AM$4:$AM$183,$B100,Data!$AL$4:$AL$183,$A100,Data!$AK$4:$AK$183,$C100)*3,0),3)/10)</f>
        <v>0</v>
      </c>
      <c r="J100" s="18">
        <f ca="1">IF($A100="","",SUMIFS(Data!$AQ$4:$AQ$183,Data!$AM$4:$AM$183,$B100,Data!$AL$4:$AL$183,$A100,Data!$AK$4:$AK$183,$C100))</f>
        <v>0</v>
      </c>
      <c r="K100" s="62">
        <f ca="1">IF($A100="","",IF(SUMIFS(Data!$AN$4:$AN$183,Data!$AM$4:$AM$183,$B100,Data!$AL$4:$AL$183,$A100,Data!$AK$4:$AK$183,$C100)=0,"",J100*3/SUMIFS(Data!$AN$4:$AN$183,Data!$AM$4:$AM$183,$B100,Data!$AL$4:$AL$183,$A100,Data!$AK$4:$AK$183,$C100)))</f>
      </c>
      <c r="L100" s="18">
        <f ca="1">IF($A100="","",IF(IFERROR(_xlfn.XLOOKUP($C100,Bracket!$F$6:$F$16,Bracket!$K$6:$K$16,""),"")=$B100,1,0))</f>
        <v>0</v>
      </c>
      <c r="M100" s="18">
        <f ca="1">IF($A100="","",IF(AND(IFERROR(_xlfn.XLOOKUP($C100,Bracket!$F$6:$F$16,Bracket!$K$6:$K$16,""),"")=$B100,LEFT(IFERROR(_xlfn.XLOOKUP($C100,Bracket!$F$6:$F$16,Bracket!$G$6:$G$16,""),""),2)="CG"),1,0))</f>
        <v>0</v>
      </c>
      <c r="N100" s="18">
        <f ca="1">IF($A100="","",SUMIFS(Data!$X$4:$X$273,Data!$T$4:$T$273,$A100,Data!$U$4:$U$273,$B100,Data!$S$4:$S$273,$C100))</f>
        <v>0</v>
      </c>
      <c r="O100" s="18">
        <f ca="1">IF($A100="","",SUMIFS(Data!$Z$4:$Z$273,Data!$T$4:$T$273,$A100,Data!$U$4:$U$273,$B100,Data!$S$4:$S$273,$C100))</f>
        <v>0</v>
      </c>
      <c r="P100" s="18">
        <f ca="1">IF($A100="","",SUMIFS(Data!$AA$4:$AA$273,Data!$T$4:$T$273,$A100,Data!$U$4:$U$273,$B100,Data!$S$4:$S$273,$C100))</f>
        <v>0</v>
      </c>
      <c r="Q100" s="18">
        <f ca="1">IF($A100="","",SUMIFS(Data!$AD$4:$AD$273,Data!$T$4:$T$273,$A100,Data!$U$4:$U$273,$B100,Data!$S$4:$S$273,$C100))</f>
        <v>0</v>
      </c>
      <c r="R100" s="18">
        <f ca="1">IF($A100="","",SUMIFS(Data!$AE$4:$AE$273,Data!$T$4:$T$273,$A100,Data!$U$4:$U$273,$B100,Data!$S$4:$S$273,$C100))</f>
        <v>0</v>
      </c>
      <c r="S100" s="18">
        <f ca="1">IF($A100="","",SUMIFS(Data!$AF$4:$AF$273,Data!$T$4:$T$273,$A100,Data!$U$4:$U$273,$B100,Data!$S$4:$S$273,$C100))</f>
        <v>0</v>
      </c>
      <c r="T100" s="18">
        <f ca="1">IF($A100="","",SUMIFS(Data!$AG$4:$AG$273,Data!$T$4:$T$273,$A100,Data!$U$4:$U$273,$B100,Data!$S$4:$S$273,$C100))</f>
        <v>0</v>
      </c>
      <c r="U100" s="18">
        <f ca="1">IF($A100="","",SUMIFS(Data!$AH$4:$AH$273,Data!$T$4:$T$273,$A100,Data!$U$4:$U$273,$B100,Data!$S$4:$S$273,$C100))</f>
        <v>0</v>
      </c>
      <c r="V100" s="18">
        <f ca="1">IF($A100="","",SUMIFS(Data!$AO$4:$AO$183,Data!$AM$4:$AM$183,$B100,Data!$AL$4:$AL$183,$A100,Data!$AK$4:$AK$183,$C100))</f>
        <v>0</v>
      </c>
      <c r="W100" s="18">
        <f ca="1">IF($A100="","",SUMIFS(Data!$AP$4:$AP$183,Data!$AM$4:$AM$183,$B100,Data!$AL$4:$AL$183,$A100,Data!$AK$4:$AK$183,$C100))</f>
        <v>0</v>
      </c>
      <c r="X100" s="18">
        <f ca="1">IF($A100="","",SUMIFS(Data!$AR$4:$AR$183,Data!$AM$4:$AM$183,$B100,Data!$AL$4:$AL$183,$A100,Data!$AK$4:$AK$183,$C100))</f>
        <v>0</v>
      </c>
      <c r="Y100" s="18">
        <f ca="1">IF($A100="","",SUMIFS(Data!$AS$4:$AS$183,Data!$AM$4:$AM$183,$B100,Data!$AL$4:$AL$183,$A100,Data!$AK$4:$AK$183,$C100))</f>
        <v>0</v>
      </c>
      <c r="Z100" s="18">
        <f ca="1">IF($A100="","",SUMIFS(Data!$AT$4:$AT$183,Data!$AM$4:$AM$183,$B100,Data!$AL$4:$AL$183,$A100,Data!$AK$4:$AK$183,$C100))</f>
        <v>0</v>
      </c>
      <c r="AA100" s="18">
        <f ca="1">IF($A100="","",SUMIFS(Data!$AW$4:$AW$183,Data!$AM$4:$AM$183,$B100,Data!$AL$4:$AL$183,$A100,Data!$AK$4:$AK$183,$C100))</f>
        <v>0</v>
      </c>
      <c r="AB100" s="18">
        <f ca="1">IF($A100="","",SUMIFS(Data!$AX$4:$AX$183,Data!$AM$4:$AM$183,$B100,Data!$AL$4:$AL$183,$A100,Data!$AK$4:$AK$183,$C100))</f>
        <v>0</v>
      </c>
      <c r="AC100" s="18">
        <f ca="1">IF($A100="","",SUMIFS(Data!$AY$4:$AY$183,Data!$AM$4:$AM$183,$B100,Data!$AL$4:$AL$183,$A100,Data!$AK$4:$AK$183,$C100))</f>
        <v>0</v>
      </c>
      <c r="AD100" s="18">
        <f t="shared" ca="1" si="3"/>
        <v>0</v>
      </c>
      <c r="AE100" s="18">
        <f ca="1">IF($A100="","",SUMIFS(Data!$AJ$4:$AJ$183,Data!$AM$4:$AM$183,$B100,Data!$AL$4:$AL$183,$A100,Data!$AK$4:$AK$183,$C100))</f>
        <v>0</v>
      </c>
    </row>
    <row r="101" spans="1:31">
      <c r="A101" s="18" t="str">
        <f ca="1">IF(Data!T101="","",Data!T101)</f>
        <v>Aidan</v>
      </c>
      <c r="B101" s="18" t="str">
        <f ca="1">IF(Data!U101="","",Data!U101)</f>
        <v>Blue Kritter</v>
      </c>
      <c r="C101" s="18" t="str">
        <f ca="1">IF(Data!S101="","",Data!S101)</f>
        <v>G6</v>
      </c>
      <c r="D101" s="18">
        <f ca="1">IF($A101="","",Data!W101)</f>
        <v>1</v>
      </c>
      <c r="E101" s="18">
        <f ca="1">IF($A101="","",Data!Y101)</f>
        <v>1</v>
      </c>
      <c r="F101" s="61">
        <f t="shared" ca="1" si="2"/>
        <v>1.0</v>
      </c>
      <c r="G101" s="18">
        <f ca="1">IF($A101="","",Data!AB101)</f>
        <v>1</v>
      </c>
      <c r="H101" s="18">
        <f ca="1">IF($A101="","",Data!AC101)</f>
        <v>1</v>
      </c>
      <c r="I101" s="18">
        <f ca="1">IF($A101="","",INT(SUMIFS(Data!$AN$4:$AN$183,Data!$AM$4:$AM$183,$B101,Data!$AL$4:$AL$183,$A101,Data!$AK$4:$AK$183,$C101))+MOD(ROUND(SUMIFS(Data!$AN$4:$AN$183,Data!$AM$4:$AM$183,$B101,Data!$AL$4:$AL$183,$A101,Data!$AK$4:$AK$183,$C101)*3,0),3)/10)</f>
        <v>2</v>
      </c>
      <c r="J101" s="18">
        <f ca="1">IF($A101="","",SUMIFS(Data!$AQ$4:$AQ$183,Data!$AM$4:$AM$183,$B101,Data!$AL$4:$AL$183,$A101,Data!$AK$4:$AK$183,$C101))</f>
        <v>2</v>
      </c>
      <c r="K101" s="62">
        <f ca="1">IF($A101="","",IF(SUMIFS(Data!$AN$4:$AN$183,Data!$AM$4:$AM$183,$B101,Data!$AL$4:$AL$183,$A101,Data!$AK$4:$AK$183,$C101)=0,"",J101*3/SUMIFS(Data!$AN$4:$AN$183,Data!$AM$4:$AM$183,$B101,Data!$AL$4:$AL$183,$A101,Data!$AK$4:$AK$183,$C101)))</f>
        <v>3.0</v>
      </c>
      <c r="L101" s="18">
        <f ca="1">IF($A101="","",IF(IFERROR(_xlfn.XLOOKUP($C101,Bracket!$F$6:$F$16,Bracket!$K$6:$K$16,""),"")=$B101,1,0))</f>
        <v>0</v>
      </c>
      <c r="M101" s="18">
        <f ca="1">IF($A101="","",IF(AND(IFERROR(_xlfn.XLOOKUP($C101,Bracket!$F$6:$F$16,Bracket!$K$6:$K$16,""),"")=$B101,LEFT(IFERROR(_xlfn.XLOOKUP($C101,Bracket!$F$6:$F$16,Bracket!$G$6:$G$16,""),""),2)="CG"),1,0))</f>
        <v>0</v>
      </c>
      <c r="N101" s="18">
        <f ca="1">IF($A101="","",SUMIFS(Data!$X$4:$X$273,Data!$T$4:$T$273,$A101,Data!$U$4:$U$273,$B101,Data!$S$4:$S$273,$C101))</f>
        <v>1</v>
      </c>
      <c r="O101" s="18">
        <f ca="1">IF($A101="","",SUMIFS(Data!$Z$4:$Z$273,Data!$T$4:$T$273,$A101,Data!$U$4:$U$273,$B101,Data!$S$4:$S$273,$C101))</f>
        <v>0</v>
      </c>
      <c r="P101" s="18">
        <f ca="1">IF($A101="","",SUMIFS(Data!$AA$4:$AA$273,Data!$T$4:$T$273,$A101,Data!$U$4:$U$273,$B101,Data!$S$4:$S$273,$C101))</f>
        <v>0</v>
      </c>
      <c r="Q101" s="18">
        <f ca="1">IF($A101="","",SUMIFS(Data!$AD$4:$AD$273,Data!$T$4:$T$273,$A101,Data!$U$4:$U$273,$B101,Data!$S$4:$S$273,$C101))</f>
        <v>0</v>
      </c>
      <c r="R101" s="18">
        <f ca="1">IF($A101="","",SUMIFS(Data!$AE$4:$AE$273,Data!$T$4:$T$273,$A101,Data!$U$4:$U$273,$B101,Data!$S$4:$S$273,$C101))</f>
        <v>0</v>
      </c>
      <c r="S101" s="18">
        <f ca="1">IF($A101="","",SUMIFS(Data!$AF$4:$AF$273,Data!$T$4:$T$273,$A101,Data!$U$4:$U$273,$B101,Data!$S$4:$S$273,$C101))</f>
        <v>0</v>
      </c>
      <c r="T101" s="18">
        <f ca="1">IF($A101="","",SUMIFS(Data!$AG$4:$AG$273,Data!$T$4:$T$273,$A101,Data!$U$4:$U$273,$B101,Data!$S$4:$S$273,$C101))</f>
        <v>0</v>
      </c>
      <c r="U101" s="18">
        <f ca="1">IF($A101="","",SUMIFS(Data!$AH$4:$AH$273,Data!$T$4:$T$273,$A101,Data!$U$4:$U$273,$B101,Data!$S$4:$S$273,$C101))</f>
        <v>0</v>
      </c>
      <c r="V101" s="18">
        <f ca="1">IF($A101="","",SUMIFS(Data!$AO$4:$AO$183,Data!$AM$4:$AM$183,$B101,Data!$AL$4:$AL$183,$A101,Data!$AK$4:$AK$183,$C101))</f>
        <v>2</v>
      </c>
      <c r="W101" s="18">
        <f ca="1">IF($A101="","",SUMIFS(Data!$AP$4:$AP$183,Data!$AM$4:$AM$183,$B101,Data!$AL$4:$AL$183,$A101,Data!$AK$4:$AK$183,$C101))</f>
        <v>2</v>
      </c>
      <c r="X101" s="18">
        <f ca="1">IF($A101="","",SUMIFS(Data!$AR$4:$AR$183,Data!$AM$4:$AM$183,$B101,Data!$AL$4:$AL$183,$A101,Data!$AK$4:$AK$183,$C101))</f>
        <v>0</v>
      </c>
      <c r="Y101" s="18">
        <f ca="1">IF($A101="","",SUMIFS(Data!$AS$4:$AS$183,Data!$AM$4:$AM$183,$B101,Data!$AL$4:$AL$183,$A101,Data!$AK$4:$AK$183,$C101))</f>
        <v>5</v>
      </c>
      <c r="Z101" s="18">
        <f ca="1">IF($A101="","",SUMIFS(Data!$AT$4:$AT$183,Data!$AM$4:$AM$183,$B101,Data!$AL$4:$AL$183,$A101,Data!$AK$4:$AK$183,$C101))</f>
        <v>1</v>
      </c>
      <c r="AA101" s="18">
        <f ca="1">IF($A101="","",SUMIFS(Data!$AW$4:$AW$183,Data!$AM$4:$AM$183,$B101,Data!$AL$4:$AL$183,$A101,Data!$AK$4:$AK$183,$C101))</f>
        <v>0</v>
      </c>
      <c r="AB101" s="18">
        <f ca="1">IF($A101="","",SUMIFS(Data!$AX$4:$AX$183,Data!$AM$4:$AM$183,$B101,Data!$AL$4:$AL$183,$A101,Data!$AK$4:$AK$183,$C101))</f>
        <v>0</v>
      </c>
      <c r="AC101" s="18">
        <f ca="1">IF($A101="","",SUMIFS(Data!$AY$4:$AY$183,Data!$AM$4:$AM$183,$B101,Data!$AL$4:$AL$183,$A101,Data!$AK$4:$AK$183,$C101))</f>
        <v>0</v>
      </c>
      <c r="AD101" s="18">
        <f t="shared" ca="1" si="3"/>
        <v>1.0</v>
      </c>
      <c r="AE101" s="18">
        <f ca="1">IF($A101="","",SUMIFS(Data!$AJ$4:$AJ$183,Data!$AM$4:$AM$183,$B101,Data!$AL$4:$AL$183,$A101,Data!$AK$4:$AK$183,$C101))</f>
        <v>8</v>
      </c>
    </row>
    <row r="102" spans="1:31">
      <c r="A102" s="18" t="str">
        <f ca="1">IF(Data!T102="","",Data!T102)</f>
        <v>Aidan</v>
      </c>
      <c r="B102" s="18" t="str">
        <f ca="1">IF(Data!U102="","",Data!U102)</f>
        <v>Red Magikoopa</v>
      </c>
      <c r="C102" s="18" t="str">
        <f ca="1">IF(Data!S102="","",Data!S102)</f>
        <v>G6</v>
      </c>
      <c r="D102" s="18">
        <f ca="1">IF($A102="","",Data!W102)</f>
        <v>1</v>
      </c>
      <c r="E102" s="18">
        <f ca="1">IF($A102="","",Data!Y102)</f>
        <v>0</v>
      </c>
      <c r="F102" s="61">
        <f t="shared" ca="1" si="2"/>
        <v>0.0</v>
      </c>
      <c r="G102" s="18">
        <f ca="1">IF($A102="","",Data!AB102)</f>
        <v>0</v>
      </c>
      <c r="H102" s="18">
        <f ca="1">IF($A102="","",Data!AC102)</f>
        <v>0</v>
      </c>
      <c r="I102" s="18">
        <f ca="1">IF($A102="","",INT(SUMIFS(Data!$AN$4:$AN$183,Data!$AM$4:$AM$183,$B102,Data!$AL$4:$AL$183,$A102,Data!$AK$4:$AK$183,$C102))+MOD(ROUND(SUMIFS(Data!$AN$4:$AN$183,Data!$AM$4:$AM$183,$B102,Data!$AL$4:$AL$183,$A102,Data!$AK$4:$AK$183,$C102)*3,0),3)/10)</f>
        <v>1</v>
      </c>
      <c r="J102" s="18">
        <f ca="1">IF($A102="","",SUMIFS(Data!$AQ$4:$AQ$183,Data!$AM$4:$AM$183,$B102,Data!$AL$4:$AL$183,$A102,Data!$AK$4:$AK$183,$C102))</f>
        <v>2</v>
      </c>
      <c r="K102" s="62">
        <f ca="1">IF($A102="","",IF(SUMIFS(Data!$AN$4:$AN$183,Data!$AM$4:$AM$183,$B102,Data!$AL$4:$AL$183,$A102,Data!$AK$4:$AK$183,$C102)=0,"",J102*3/SUMIFS(Data!$AN$4:$AN$183,Data!$AM$4:$AM$183,$B102,Data!$AL$4:$AL$183,$A102,Data!$AK$4:$AK$183,$C102)))</f>
        <v>6.0</v>
      </c>
      <c r="L102" s="18">
        <f ca="1">IF($A102="","",IF(IFERROR(_xlfn.XLOOKUP($C102,Bracket!$F$6:$F$16,Bracket!$K$6:$K$16,""),"")=$B102,1,0))</f>
        <v>0</v>
      </c>
      <c r="M102" s="18">
        <f ca="1">IF($A102="","",IF(AND(IFERROR(_xlfn.XLOOKUP($C102,Bracket!$F$6:$F$16,Bracket!$K$6:$K$16,""),"")=$B102,LEFT(IFERROR(_xlfn.XLOOKUP($C102,Bracket!$F$6:$F$16,Bracket!$G$6:$G$16,""),""),2)="CG"),1,0))</f>
        <v>0</v>
      </c>
      <c r="N102" s="18">
        <f ca="1">IF($A102="","",SUMIFS(Data!$X$4:$X$273,Data!$T$4:$T$273,$A102,Data!$U$4:$U$273,$B102,Data!$S$4:$S$273,$C102))</f>
        <v>0</v>
      </c>
      <c r="O102" s="18">
        <f ca="1">IF($A102="","",SUMIFS(Data!$Z$4:$Z$273,Data!$T$4:$T$273,$A102,Data!$U$4:$U$273,$B102,Data!$S$4:$S$273,$C102))</f>
        <v>0</v>
      </c>
      <c r="P102" s="18">
        <f ca="1">IF($A102="","",SUMIFS(Data!$AA$4:$AA$273,Data!$T$4:$T$273,$A102,Data!$U$4:$U$273,$B102,Data!$S$4:$S$273,$C102))</f>
        <v>0</v>
      </c>
      <c r="Q102" s="18">
        <f ca="1">IF($A102="","",SUMIFS(Data!$AD$4:$AD$273,Data!$T$4:$T$273,$A102,Data!$U$4:$U$273,$B102,Data!$S$4:$S$273,$C102))</f>
        <v>0</v>
      </c>
      <c r="R102" s="18">
        <f ca="1">IF($A102="","",SUMIFS(Data!$AE$4:$AE$273,Data!$T$4:$T$273,$A102,Data!$U$4:$U$273,$B102,Data!$S$4:$S$273,$C102))</f>
        <v>1</v>
      </c>
      <c r="S102" s="18">
        <f ca="1">IF($A102="","",SUMIFS(Data!$AF$4:$AF$273,Data!$T$4:$T$273,$A102,Data!$U$4:$U$273,$B102,Data!$S$4:$S$273,$C102))</f>
        <v>0</v>
      </c>
      <c r="T102" s="18">
        <f ca="1">IF($A102="","",SUMIFS(Data!$AG$4:$AG$273,Data!$T$4:$T$273,$A102,Data!$U$4:$U$273,$B102,Data!$S$4:$S$273,$C102))</f>
        <v>0</v>
      </c>
      <c r="U102" s="18">
        <f ca="1">IF($A102="","",SUMIFS(Data!$AH$4:$AH$273,Data!$T$4:$T$273,$A102,Data!$U$4:$U$273,$B102,Data!$S$4:$S$273,$C102))</f>
        <v>0</v>
      </c>
      <c r="V102" s="18">
        <f ca="1">IF($A102="","",SUMIFS(Data!$AO$4:$AO$183,Data!$AM$4:$AM$183,$B102,Data!$AL$4:$AL$183,$A102,Data!$AK$4:$AK$183,$C102))</f>
        <v>2</v>
      </c>
      <c r="W102" s="18">
        <f ca="1">IF($A102="","",SUMIFS(Data!$AP$4:$AP$183,Data!$AM$4:$AM$183,$B102,Data!$AL$4:$AL$183,$A102,Data!$AK$4:$AK$183,$C102))</f>
        <v>2</v>
      </c>
      <c r="X102" s="18">
        <f ca="1">IF($A102="","",SUMIFS(Data!$AR$4:$AR$183,Data!$AM$4:$AM$183,$B102,Data!$AL$4:$AL$183,$A102,Data!$AK$4:$AK$183,$C102))</f>
        <v>0</v>
      </c>
      <c r="Y102" s="18">
        <f ca="1">IF($A102="","",SUMIFS(Data!$AS$4:$AS$183,Data!$AM$4:$AM$183,$B102,Data!$AL$4:$AL$183,$A102,Data!$AK$4:$AK$183,$C102))</f>
        <v>1</v>
      </c>
      <c r="Z102" s="18">
        <f ca="1">IF($A102="","",SUMIFS(Data!$AT$4:$AT$183,Data!$AM$4:$AM$183,$B102,Data!$AL$4:$AL$183,$A102,Data!$AK$4:$AK$183,$C102))</f>
        <v>1</v>
      </c>
      <c r="AA102" s="18">
        <f ca="1">IF($A102="","",SUMIFS(Data!$AW$4:$AW$183,Data!$AM$4:$AM$183,$B102,Data!$AL$4:$AL$183,$A102,Data!$AK$4:$AK$183,$C102))</f>
        <v>0</v>
      </c>
      <c r="AB102" s="18">
        <f ca="1">IF($A102="","",SUMIFS(Data!$AX$4:$AX$183,Data!$AM$4:$AM$183,$B102,Data!$AL$4:$AL$183,$A102,Data!$AK$4:$AK$183,$C102))</f>
        <v>0</v>
      </c>
      <c r="AC102" s="18">
        <f ca="1">IF($A102="","",SUMIFS(Data!$AY$4:$AY$183,Data!$AM$4:$AM$183,$B102,Data!$AL$4:$AL$183,$A102,Data!$AK$4:$AK$183,$C102))</f>
        <v>0</v>
      </c>
      <c r="AD102" s="18">
        <f t="shared" ca="1" si="3"/>
        <v>2.0</v>
      </c>
      <c r="AE102" s="18">
        <f ca="1">IF($A102="","",SUMIFS(Data!$AJ$4:$AJ$183,Data!$AM$4:$AM$183,$B102,Data!$AL$4:$AL$183,$A102,Data!$AK$4:$AK$183,$C102))</f>
        <v>5</v>
      </c>
    </row>
    <row r="103" spans="1:31">
      <c r="A103" s="18" t="str">
        <f ca="1">IF(Data!T103="","",Data!T103)</f>
        <v>Donovan</v>
      </c>
      <c r="B103" s="18" t="str">
        <f ca="1">IF(Data!U103="","",Data!U103)</f>
        <v>Donkey Kong</v>
      </c>
      <c r="C103" s="18" t="str">
        <f ca="1">IF(Data!S103="","",Data!S103)</f>
        <v>G6</v>
      </c>
      <c r="D103" s="18">
        <f ca="1">IF($A103="","",Data!W103)</f>
        <v>2</v>
      </c>
      <c r="E103" s="18">
        <f ca="1">IF($A103="","",Data!Y103)</f>
        <v>2</v>
      </c>
      <c r="F103" s="61">
        <f t="shared" ca="1" si="2"/>
        <v>1.0</v>
      </c>
      <c r="G103" s="18">
        <f ca="1">IF($A103="","",Data!AB103)</f>
        <v>0</v>
      </c>
      <c r="H103" s="18">
        <f ca="1">IF($A103="","",Data!AC103)</f>
        <v>0</v>
      </c>
      <c r="I103" s="18">
        <f ca="1">IF($A103="","",INT(SUMIFS(Data!$AN$4:$AN$183,Data!$AM$4:$AM$183,$B103,Data!$AL$4:$AL$183,$A103,Data!$AK$4:$AK$183,$C103))+MOD(ROUND(SUMIFS(Data!$AN$4:$AN$183,Data!$AM$4:$AM$183,$B103,Data!$AL$4:$AL$183,$A103,Data!$AK$4:$AK$183,$C103)*3,0),3)/10)</f>
        <v>0.1</v>
      </c>
      <c r="J103" s="18">
        <f ca="1">IF($A103="","",SUMIFS(Data!$AQ$4:$AQ$183,Data!$AM$4:$AM$183,$B103,Data!$AL$4:$AL$183,$A103,Data!$AK$4:$AK$183,$C103))</f>
        <v>0</v>
      </c>
      <c r="K103" s="62">
        <f ca="1">IF($A103="","",IF(SUMIFS(Data!$AN$4:$AN$183,Data!$AM$4:$AM$183,$B103,Data!$AL$4:$AL$183,$A103,Data!$AK$4:$AK$183,$C103)=0,"",J103*3/SUMIFS(Data!$AN$4:$AN$183,Data!$AM$4:$AM$183,$B103,Data!$AL$4:$AL$183,$A103,Data!$AK$4:$AK$183,$C103)))</f>
        <v>0.0</v>
      </c>
      <c r="L103" s="18">
        <f ca="1">IF($A103="","",IF(IFERROR(_xlfn.XLOOKUP($C103,Bracket!$F$6:$F$16,Bracket!$K$6:$K$16,""),"")=$B103,1,0))</f>
        <v>0</v>
      </c>
      <c r="M103" s="18">
        <f ca="1">IF($A103="","",IF(AND(IFERROR(_xlfn.XLOOKUP($C103,Bracket!$F$6:$F$16,Bracket!$K$6:$K$16,""),"")=$B103,LEFT(IFERROR(_xlfn.XLOOKUP($C103,Bracket!$F$6:$F$16,Bracket!$G$6:$G$16,""),""),2)="CG"),1,0))</f>
        <v>0</v>
      </c>
      <c r="N103" s="18">
        <f ca="1">IF($A103="","",SUMIFS(Data!$X$4:$X$273,Data!$T$4:$T$273,$A103,Data!$U$4:$U$273,$B103,Data!$S$4:$S$273,$C103))</f>
        <v>2</v>
      </c>
      <c r="O103" s="18">
        <f ca="1">IF($A103="","",SUMIFS(Data!$Z$4:$Z$273,Data!$T$4:$T$273,$A103,Data!$U$4:$U$273,$B103,Data!$S$4:$S$273,$C103))</f>
        <v>1</v>
      </c>
      <c r="P103" s="18">
        <f ca="1">IF($A103="","",SUMIFS(Data!$AA$4:$AA$273,Data!$T$4:$T$273,$A103,Data!$U$4:$U$273,$B103,Data!$S$4:$S$273,$C103))</f>
        <v>0</v>
      </c>
      <c r="Q103" s="18">
        <f ca="1">IF($A103="","",SUMIFS(Data!$AD$4:$AD$273,Data!$T$4:$T$273,$A103,Data!$U$4:$U$273,$B103,Data!$S$4:$S$273,$C103))</f>
        <v>0</v>
      </c>
      <c r="R103" s="18">
        <f ca="1">IF($A103="","",SUMIFS(Data!$AE$4:$AE$273,Data!$T$4:$T$273,$A103,Data!$U$4:$U$273,$B103,Data!$S$4:$S$273,$C103))</f>
        <v>0</v>
      </c>
      <c r="S103" s="18">
        <f ca="1">IF($A103="","",SUMIFS(Data!$AF$4:$AF$273,Data!$T$4:$T$273,$A103,Data!$U$4:$U$273,$B103,Data!$S$4:$S$273,$C103))</f>
        <v>0</v>
      </c>
      <c r="T103" s="18">
        <f ca="1">IF($A103="","",SUMIFS(Data!$AG$4:$AG$273,Data!$T$4:$T$273,$A103,Data!$U$4:$U$273,$B103,Data!$S$4:$S$273,$C103))</f>
        <v>0</v>
      </c>
      <c r="U103" s="18">
        <f ca="1">IF($A103="","",SUMIFS(Data!$AH$4:$AH$273,Data!$T$4:$T$273,$A103,Data!$U$4:$U$273,$B103,Data!$S$4:$S$273,$C103))</f>
        <v>0</v>
      </c>
      <c r="V103" s="18">
        <f ca="1">IF($A103="","",SUMIFS(Data!$AO$4:$AO$183,Data!$AM$4:$AM$183,$B103,Data!$AL$4:$AL$183,$A103,Data!$AK$4:$AK$183,$C103))</f>
        <v>2</v>
      </c>
      <c r="W103" s="18">
        <f ca="1">IF($A103="","",SUMIFS(Data!$AP$4:$AP$183,Data!$AM$4:$AM$183,$B103,Data!$AL$4:$AL$183,$A103,Data!$AK$4:$AK$183,$C103))</f>
        <v>0</v>
      </c>
      <c r="X103" s="18">
        <f ca="1">IF($A103="","",SUMIFS(Data!$AR$4:$AR$183,Data!$AM$4:$AM$183,$B103,Data!$AL$4:$AL$183,$A103,Data!$AK$4:$AK$183,$C103))</f>
        <v>0</v>
      </c>
      <c r="Y103" s="18">
        <f ca="1">IF($A103="","",SUMIFS(Data!$AS$4:$AS$183,Data!$AM$4:$AM$183,$B103,Data!$AL$4:$AL$183,$A103,Data!$AK$4:$AK$183,$C103))</f>
        <v>0</v>
      </c>
      <c r="Z103" s="18">
        <f ca="1">IF($A103="","",SUMIFS(Data!$AT$4:$AT$183,Data!$AM$4:$AM$183,$B103,Data!$AL$4:$AL$183,$A103,Data!$AK$4:$AK$183,$C103))</f>
        <v>0</v>
      </c>
      <c r="AA103" s="18">
        <f ca="1">IF($A103="","",SUMIFS(Data!$AW$4:$AW$183,Data!$AM$4:$AM$183,$B103,Data!$AL$4:$AL$183,$A103,Data!$AK$4:$AK$183,$C103))</f>
        <v>0</v>
      </c>
      <c r="AB103" s="18">
        <f ca="1">IF($A103="","",SUMIFS(Data!$AX$4:$AX$183,Data!$AM$4:$AM$183,$B103,Data!$AL$4:$AL$183,$A103,Data!$AK$4:$AK$183,$C103))</f>
        <v>0</v>
      </c>
      <c r="AC103" s="18">
        <f ca="1">IF($A103="","",SUMIFS(Data!$AY$4:$AY$183,Data!$AM$4:$AM$183,$B103,Data!$AL$4:$AL$183,$A103,Data!$AK$4:$AK$183,$C103))</f>
        <v>0</v>
      </c>
      <c r="AD103" s="18">
        <f t="shared" ca="1" si="3"/>
        <v>6.0</v>
      </c>
      <c r="AE103" s="18">
        <f ca="1">IF($A103="","",SUMIFS(Data!$AJ$4:$AJ$183,Data!$AM$4:$AM$183,$B103,Data!$AL$4:$AL$183,$A103,Data!$AK$4:$AK$183,$C103))</f>
        <v>3</v>
      </c>
    </row>
    <row r="104" spans="1:31">
      <c r="A104" s="18" t="str">
        <f ca="1">IF(Data!T104="","",Data!T104)</f>
        <v>Donovan</v>
      </c>
      <c r="B104" s="18" t="str">
        <f ca="1">IF(Data!U104="","",Data!U104)</f>
        <v>Waluigi</v>
      </c>
      <c r="C104" s="18" t="str">
        <f ca="1">IF(Data!S104="","",Data!S104)</f>
        <v>G6</v>
      </c>
      <c r="D104" s="18">
        <f ca="1">IF($A104="","",Data!W104)</f>
        <v>2</v>
      </c>
      <c r="E104" s="18">
        <f ca="1">IF($A104="","",Data!Y104)</f>
        <v>0</v>
      </c>
      <c r="F104" s="61">
        <f t="shared" ca="1" si="2"/>
        <v>0.0</v>
      </c>
      <c r="G104" s="18">
        <f ca="1">IF($A104="","",Data!AB104)</f>
        <v>0</v>
      </c>
      <c r="H104" s="18">
        <f ca="1">IF($A104="","",Data!AC104)</f>
        <v>0</v>
      </c>
      <c r="I104" s="18">
        <f ca="1">IF($A104="","",INT(SUMIFS(Data!$AN$4:$AN$183,Data!$AM$4:$AM$183,$B104,Data!$AL$4:$AL$183,$A104,Data!$AK$4:$AK$183,$C104))+MOD(ROUND(SUMIFS(Data!$AN$4:$AN$183,Data!$AM$4:$AM$183,$B104,Data!$AL$4:$AL$183,$A104,Data!$AK$4:$AK$183,$C104)*3,0),3)/10)</f>
        <v>2.2</v>
      </c>
      <c r="J104" s="18">
        <f ca="1">IF($A104="","",SUMIFS(Data!$AQ$4:$AQ$183,Data!$AM$4:$AM$183,$B104,Data!$AL$4:$AL$183,$A104,Data!$AK$4:$AK$183,$C104))</f>
        <v>1</v>
      </c>
      <c r="K104" s="62">
        <f ca="1">IF($A104="","",IF(SUMIFS(Data!$AN$4:$AN$183,Data!$AM$4:$AM$183,$B104,Data!$AL$4:$AL$183,$A104,Data!$AK$4:$AK$183,$C104)=0,"",J104*3/SUMIFS(Data!$AN$4:$AN$183,Data!$AM$4:$AM$183,$B104,Data!$AL$4:$AL$183,$A104,Data!$AK$4:$AK$183,$C104)))</f>
        <v>1.125</v>
      </c>
      <c r="L104" s="18">
        <f ca="1">IF($A104="","",IF(IFERROR(_xlfn.XLOOKUP($C104,Bracket!$F$6:$F$16,Bracket!$K$6:$K$16,""),"")=$B104,1,0))</f>
        <v>0</v>
      </c>
      <c r="M104" s="18">
        <f ca="1">IF($A104="","",IF(AND(IFERROR(_xlfn.XLOOKUP($C104,Bracket!$F$6:$F$16,Bracket!$K$6:$K$16,""),"")=$B104,LEFT(IFERROR(_xlfn.XLOOKUP($C104,Bracket!$F$6:$F$16,Bracket!$G$6:$G$16,""),""),2)="CG"),1,0))</f>
        <v>0</v>
      </c>
      <c r="N104" s="18">
        <f ca="1">IF($A104="","",SUMIFS(Data!$X$4:$X$273,Data!$T$4:$T$273,$A104,Data!$U$4:$U$273,$B104,Data!$S$4:$S$273,$C104))</f>
        <v>0</v>
      </c>
      <c r="O104" s="18">
        <f ca="1">IF($A104="","",SUMIFS(Data!$Z$4:$Z$273,Data!$T$4:$T$273,$A104,Data!$U$4:$U$273,$B104,Data!$S$4:$S$273,$C104))</f>
        <v>0</v>
      </c>
      <c r="P104" s="18">
        <f ca="1">IF($A104="","",SUMIFS(Data!$AA$4:$AA$273,Data!$T$4:$T$273,$A104,Data!$U$4:$U$273,$B104,Data!$S$4:$S$273,$C104))</f>
        <v>0</v>
      </c>
      <c r="Q104" s="18">
        <f ca="1">IF($A104="","",SUMIFS(Data!$AD$4:$AD$273,Data!$T$4:$T$273,$A104,Data!$U$4:$U$273,$B104,Data!$S$4:$S$273,$C104))</f>
        <v>0</v>
      </c>
      <c r="R104" s="18">
        <f ca="1">IF($A104="","",SUMIFS(Data!$AE$4:$AE$273,Data!$T$4:$T$273,$A104,Data!$U$4:$U$273,$B104,Data!$S$4:$S$273,$C104))</f>
        <v>1</v>
      </c>
      <c r="S104" s="18">
        <f ca="1">IF($A104="","",SUMIFS(Data!$AF$4:$AF$273,Data!$T$4:$T$273,$A104,Data!$U$4:$U$273,$B104,Data!$S$4:$S$273,$C104))</f>
        <v>0</v>
      </c>
      <c r="T104" s="18">
        <f ca="1">IF($A104="","",SUMIFS(Data!$AG$4:$AG$273,Data!$T$4:$T$273,$A104,Data!$U$4:$U$273,$B104,Data!$S$4:$S$273,$C104))</f>
        <v>0</v>
      </c>
      <c r="U104" s="18">
        <f ca="1">IF($A104="","",SUMIFS(Data!$AH$4:$AH$273,Data!$T$4:$T$273,$A104,Data!$U$4:$U$273,$B104,Data!$S$4:$S$273,$C104))</f>
        <v>0</v>
      </c>
      <c r="V104" s="18">
        <f ca="1">IF($A104="","",SUMIFS(Data!$AO$4:$AO$183,Data!$AM$4:$AM$183,$B104,Data!$AL$4:$AL$183,$A104,Data!$AK$4:$AK$183,$C104))</f>
        <v>2</v>
      </c>
      <c r="W104" s="18">
        <f ca="1">IF($A104="","",SUMIFS(Data!$AP$4:$AP$183,Data!$AM$4:$AM$183,$B104,Data!$AL$4:$AL$183,$A104,Data!$AK$4:$AK$183,$C104))</f>
        <v>1</v>
      </c>
      <c r="X104" s="18">
        <f ca="1">IF($A104="","",SUMIFS(Data!$AR$4:$AR$183,Data!$AM$4:$AM$183,$B104,Data!$AL$4:$AL$183,$A104,Data!$AK$4:$AK$183,$C104))</f>
        <v>0</v>
      </c>
      <c r="Y104" s="18">
        <f ca="1">IF($A104="","",SUMIFS(Data!$AS$4:$AS$183,Data!$AM$4:$AM$183,$B104,Data!$AL$4:$AL$183,$A104,Data!$AK$4:$AK$183,$C104))</f>
        <v>3</v>
      </c>
      <c r="Z104" s="18">
        <f ca="1">IF($A104="","",SUMIFS(Data!$AT$4:$AT$183,Data!$AM$4:$AM$183,$B104,Data!$AL$4:$AL$183,$A104,Data!$AK$4:$AK$183,$C104))</f>
        <v>1</v>
      </c>
      <c r="AA104" s="18">
        <f ca="1">IF($A104="","",SUMIFS(Data!$AW$4:$AW$183,Data!$AM$4:$AM$183,$B104,Data!$AL$4:$AL$183,$A104,Data!$AK$4:$AK$183,$C104))</f>
        <v>0</v>
      </c>
      <c r="AB104" s="18">
        <f ca="1">IF($A104="","",SUMIFS(Data!$AX$4:$AX$183,Data!$AM$4:$AM$183,$B104,Data!$AL$4:$AL$183,$A104,Data!$AK$4:$AK$183,$C104))</f>
        <v>0</v>
      </c>
      <c r="AC104" s="18">
        <f ca="1">IF($A104="","",SUMIFS(Data!$AY$4:$AY$183,Data!$AM$4:$AM$183,$B104,Data!$AL$4:$AL$183,$A104,Data!$AK$4:$AK$183,$C104))</f>
        <v>0</v>
      </c>
      <c r="AD104" s="18">
        <f t="shared" ca="1" si="3"/>
        <v>0.75</v>
      </c>
      <c r="AE104" s="18">
        <f ca="1">IF($A104="","",SUMIFS(Data!$AJ$4:$AJ$183,Data!$AM$4:$AM$183,$B104,Data!$AL$4:$AL$183,$A104,Data!$AK$4:$AK$183,$C104))</f>
        <v>10</v>
      </c>
    </row>
    <row r="105" spans="1:31">
      <c r="A105" s="18" t="str">
        <f ca="1">IF(Data!T105="","",Data!T105)</f>
        <v>Donovan</v>
      </c>
      <c r="B105" s="18" t="str">
        <f ca="1">IF(Data!U105="","",Data!U105)</f>
        <v>Dry Bones</v>
      </c>
      <c r="C105" s="18" t="str">
        <f ca="1">IF(Data!S105="","",Data!S105)</f>
        <v>G6</v>
      </c>
      <c r="D105" s="18">
        <f ca="1">IF($A105="","",Data!W105)</f>
        <v>2</v>
      </c>
      <c r="E105" s="18">
        <f ca="1">IF($A105="","",Data!Y105)</f>
        <v>2</v>
      </c>
      <c r="F105" s="61">
        <f t="shared" ca="1" si="2"/>
        <v>1.0</v>
      </c>
      <c r="G105" s="18">
        <f ca="1">IF($A105="","",Data!AB105)</f>
        <v>2</v>
      </c>
      <c r="H105" s="18">
        <f ca="1">IF($A105="","",Data!AC105)</f>
        <v>4</v>
      </c>
      <c r="I105" s="18">
        <f ca="1">IF($A105="","",INT(SUMIFS(Data!$AN$4:$AN$183,Data!$AM$4:$AM$183,$B105,Data!$AL$4:$AL$183,$A105,Data!$AK$4:$AK$183,$C105))+MOD(ROUND(SUMIFS(Data!$AN$4:$AN$183,Data!$AM$4:$AM$183,$B105,Data!$AL$4:$AL$183,$A105,Data!$AK$4:$AK$183,$C105)*3,0),3)/10)</f>
        <v>0</v>
      </c>
      <c r="J105" s="18">
        <f ca="1">IF($A105="","",SUMIFS(Data!$AQ$4:$AQ$183,Data!$AM$4:$AM$183,$B105,Data!$AL$4:$AL$183,$A105,Data!$AK$4:$AK$183,$C105))</f>
        <v>0</v>
      </c>
      <c r="K105" s="62">
        <f ca="1">IF($A105="","",IF(SUMIFS(Data!$AN$4:$AN$183,Data!$AM$4:$AM$183,$B105,Data!$AL$4:$AL$183,$A105,Data!$AK$4:$AK$183,$C105)=0,"",J105*3/SUMIFS(Data!$AN$4:$AN$183,Data!$AM$4:$AM$183,$B105,Data!$AL$4:$AL$183,$A105,Data!$AK$4:$AK$183,$C105)))</f>
      </c>
      <c r="L105" s="18">
        <f ca="1">IF($A105="","",IF(IFERROR(_xlfn.XLOOKUP($C105,Bracket!$F$6:$F$16,Bracket!$K$6:$K$16,""),"")=$B105,1,0))</f>
        <v>1</v>
      </c>
      <c r="M105" s="18">
        <f ca="1">IF($A105="","",IF(AND(IFERROR(_xlfn.XLOOKUP($C105,Bracket!$F$6:$F$16,Bracket!$K$6:$K$16,""),"")=$B105,LEFT(IFERROR(_xlfn.XLOOKUP($C105,Bracket!$F$6:$F$16,Bracket!$G$6:$G$16,""),""),2)="CG"),1,0))</f>
        <v>0</v>
      </c>
      <c r="N105" s="18">
        <f ca="1">IF($A105="","",SUMIFS(Data!$X$4:$X$273,Data!$T$4:$T$273,$A105,Data!$U$4:$U$273,$B105,Data!$S$4:$S$273,$C105))</f>
        <v>2</v>
      </c>
      <c r="O105" s="18">
        <f ca="1">IF($A105="","",SUMIFS(Data!$Z$4:$Z$273,Data!$T$4:$T$273,$A105,Data!$U$4:$U$273,$B105,Data!$S$4:$S$273,$C105))</f>
        <v>0</v>
      </c>
      <c r="P105" s="18">
        <f ca="1">IF($A105="","",SUMIFS(Data!$AA$4:$AA$273,Data!$T$4:$T$273,$A105,Data!$U$4:$U$273,$B105,Data!$S$4:$S$273,$C105))</f>
        <v>0</v>
      </c>
      <c r="Q105" s="18">
        <f ca="1">IF($A105="","",SUMIFS(Data!$AD$4:$AD$273,Data!$T$4:$T$273,$A105,Data!$U$4:$U$273,$B105,Data!$S$4:$S$273,$C105))</f>
        <v>0</v>
      </c>
      <c r="R105" s="18">
        <f ca="1">IF($A105="","",SUMIFS(Data!$AE$4:$AE$273,Data!$T$4:$T$273,$A105,Data!$U$4:$U$273,$B105,Data!$S$4:$S$273,$C105))</f>
        <v>0</v>
      </c>
      <c r="S105" s="18">
        <f ca="1">IF($A105="","",SUMIFS(Data!$AF$4:$AF$273,Data!$T$4:$T$273,$A105,Data!$U$4:$U$273,$B105,Data!$S$4:$S$273,$C105))</f>
        <v>0</v>
      </c>
      <c r="T105" s="18">
        <f ca="1">IF($A105="","",SUMIFS(Data!$AG$4:$AG$273,Data!$T$4:$T$273,$A105,Data!$U$4:$U$273,$B105,Data!$S$4:$S$273,$C105))</f>
        <v>0</v>
      </c>
      <c r="U105" s="18">
        <f ca="1">IF($A105="","",SUMIFS(Data!$AH$4:$AH$273,Data!$T$4:$T$273,$A105,Data!$U$4:$U$273,$B105,Data!$S$4:$S$273,$C105))</f>
        <v>0</v>
      </c>
      <c r="V105" s="18">
        <f ca="1">IF($A105="","",SUMIFS(Data!$AO$4:$AO$183,Data!$AM$4:$AM$183,$B105,Data!$AL$4:$AL$183,$A105,Data!$AK$4:$AK$183,$C105))</f>
        <v>0</v>
      </c>
      <c r="W105" s="18">
        <f ca="1">IF($A105="","",SUMIFS(Data!$AP$4:$AP$183,Data!$AM$4:$AM$183,$B105,Data!$AL$4:$AL$183,$A105,Data!$AK$4:$AK$183,$C105))</f>
        <v>0</v>
      </c>
      <c r="X105" s="18">
        <f ca="1">IF($A105="","",SUMIFS(Data!$AR$4:$AR$183,Data!$AM$4:$AM$183,$B105,Data!$AL$4:$AL$183,$A105,Data!$AK$4:$AK$183,$C105))</f>
        <v>0</v>
      </c>
      <c r="Y105" s="18">
        <f ca="1">IF($A105="","",SUMIFS(Data!$AS$4:$AS$183,Data!$AM$4:$AM$183,$B105,Data!$AL$4:$AL$183,$A105,Data!$AK$4:$AK$183,$C105))</f>
        <v>0</v>
      </c>
      <c r="Z105" s="18">
        <f ca="1">IF($A105="","",SUMIFS(Data!$AT$4:$AT$183,Data!$AM$4:$AM$183,$B105,Data!$AL$4:$AL$183,$A105,Data!$AK$4:$AK$183,$C105))</f>
        <v>0</v>
      </c>
      <c r="AA105" s="18">
        <f ca="1">IF($A105="","",SUMIFS(Data!$AW$4:$AW$183,Data!$AM$4:$AM$183,$B105,Data!$AL$4:$AL$183,$A105,Data!$AK$4:$AK$183,$C105))</f>
        <v>0</v>
      </c>
      <c r="AB105" s="18">
        <f ca="1">IF($A105="","",SUMIFS(Data!$AX$4:$AX$183,Data!$AM$4:$AM$183,$B105,Data!$AL$4:$AL$183,$A105,Data!$AK$4:$AK$183,$C105))</f>
        <v>0</v>
      </c>
      <c r="AC105" s="18">
        <f ca="1">IF($A105="","",SUMIFS(Data!$AY$4:$AY$183,Data!$AM$4:$AM$183,$B105,Data!$AL$4:$AL$183,$A105,Data!$AK$4:$AK$183,$C105))</f>
        <v>0</v>
      </c>
      <c r="AD105" s="18">
        <f t="shared" ca="1" si="3"/>
        <v>0</v>
      </c>
      <c r="AE105" s="18">
        <f ca="1">IF($A105="","",SUMIFS(Data!$AJ$4:$AJ$183,Data!$AM$4:$AM$183,$B105,Data!$AL$4:$AL$183,$A105,Data!$AK$4:$AK$183,$C105))</f>
        <v>0</v>
      </c>
    </row>
    <row r="106" spans="1:31">
      <c r="A106" s="18" t="str">
        <f ca="1">IF(Data!T106="","",Data!T106)</f>
        <v>Donovan</v>
      </c>
      <c r="B106" s="18" t="str">
        <f ca="1">IF(Data!U106="","",Data!U106)</f>
        <v>Diddy Kong</v>
      </c>
      <c r="C106" s="18" t="str">
        <f ca="1">IF(Data!S106="","",Data!S106)</f>
        <v>G6</v>
      </c>
      <c r="D106" s="18">
        <f ca="1">IF($A106="","",Data!W106)</f>
        <v>2</v>
      </c>
      <c r="E106" s="18">
        <f ca="1">IF($A106="","",Data!Y106)</f>
        <v>0</v>
      </c>
      <c r="F106" s="61">
        <f t="shared" ca="1" si="2"/>
        <v>0.0</v>
      </c>
      <c r="G106" s="18">
        <f ca="1">IF($A106="","",Data!AB106)</f>
        <v>0</v>
      </c>
      <c r="H106" s="18">
        <f ca="1">IF($A106="","",Data!AC106)</f>
        <v>0</v>
      </c>
      <c r="I106" s="18">
        <f ca="1">IF($A106="","",INT(SUMIFS(Data!$AN$4:$AN$183,Data!$AM$4:$AM$183,$B106,Data!$AL$4:$AL$183,$A106,Data!$AK$4:$AK$183,$C106))+MOD(ROUND(SUMIFS(Data!$AN$4:$AN$183,Data!$AM$4:$AM$183,$B106,Data!$AL$4:$AL$183,$A106,Data!$AK$4:$AK$183,$C106)*3,0),3)/10)</f>
        <v>0</v>
      </c>
      <c r="J106" s="18">
        <f ca="1">IF($A106="","",SUMIFS(Data!$AQ$4:$AQ$183,Data!$AM$4:$AM$183,$B106,Data!$AL$4:$AL$183,$A106,Data!$AK$4:$AK$183,$C106))</f>
        <v>0</v>
      </c>
      <c r="K106" s="62">
        <f ca="1">IF($A106="","",IF(SUMIFS(Data!$AN$4:$AN$183,Data!$AM$4:$AM$183,$B106,Data!$AL$4:$AL$183,$A106,Data!$AK$4:$AK$183,$C106)=0,"",J106*3/SUMIFS(Data!$AN$4:$AN$183,Data!$AM$4:$AM$183,$B106,Data!$AL$4:$AL$183,$A106,Data!$AK$4:$AK$183,$C106)))</f>
      </c>
      <c r="L106" s="18">
        <f ca="1">IF($A106="","",IF(IFERROR(_xlfn.XLOOKUP($C106,Bracket!$F$6:$F$16,Bracket!$K$6:$K$16,""),"")=$B106,1,0))</f>
        <v>0</v>
      </c>
      <c r="M106" s="18">
        <f ca="1">IF($A106="","",IF(AND(IFERROR(_xlfn.XLOOKUP($C106,Bracket!$F$6:$F$16,Bracket!$K$6:$K$16,""),"")=$B106,LEFT(IFERROR(_xlfn.XLOOKUP($C106,Bracket!$F$6:$F$16,Bracket!$G$6:$G$16,""),""),2)="CG"),1,0))</f>
        <v>0</v>
      </c>
      <c r="N106" s="18">
        <f ca="1">IF($A106="","",SUMIFS(Data!$X$4:$X$273,Data!$T$4:$T$273,$A106,Data!$U$4:$U$273,$B106,Data!$S$4:$S$273,$C106))</f>
        <v>0</v>
      </c>
      <c r="O106" s="18">
        <f ca="1">IF($A106="","",SUMIFS(Data!$Z$4:$Z$273,Data!$T$4:$T$273,$A106,Data!$U$4:$U$273,$B106,Data!$S$4:$S$273,$C106))</f>
        <v>0</v>
      </c>
      <c r="P106" s="18">
        <f ca="1">IF($A106="","",SUMIFS(Data!$AA$4:$AA$273,Data!$T$4:$T$273,$A106,Data!$U$4:$U$273,$B106,Data!$S$4:$S$273,$C106))</f>
        <v>0</v>
      </c>
      <c r="Q106" s="18">
        <f ca="1">IF($A106="","",SUMIFS(Data!$AD$4:$AD$273,Data!$T$4:$T$273,$A106,Data!$U$4:$U$273,$B106,Data!$S$4:$S$273,$C106))</f>
        <v>0</v>
      </c>
      <c r="R106" s="18">
        <f ca="1">IF($A106="","",SUMIFS(Data!$AE$4:$AE$273,Data!$T$4:$T$273,$A106,Data!$U$4:$U$273,$B106,Data!$S$4:$S$273,$C106))</f>
        <v>1</v>
      </c>
      <c r="S106" s="18">
        <f ca="1">IF($A106="","",SUMIFS(Data!$AF$4:$AF$273,Data!$T$4:$T$273,$A106,Data!$U$4:$U$273,$B106,Data!$S$4:$S$273,$C106))</f>
        <v>0</v>
      </c>
      <c r="T106" s="18">
        <f ca="1">IF($A106="","",SUMIFS(Data!$AG$4:$AG$273,Data!$T$4:$T$273,$A106,Data!$U$4:$U$273,$B106,Data!$S$4:$S$273,$C106))</f>
        <v>0</v>
      </c>
      <c r="U106" s="18">
        <f ca="1">IF($A106="","",SUMIFS(Data!$AH$4:$AH$273,Data!$T$4:$T$273,$A106,Data!$U$4:$U$273,$B106,Data!$S$4:$S$273,$C106))</f>
        <v>0</v>
      </c>
      <c r="V106" s="18">
        <f ca="1">IF($A106="","",SUMIFS(Data!$AO$4:$AO$183,Data!$AM$4:$AM$183,$B106,Data!$AL$4:$AL$183,$A106,Data!$AK$4:$AK$183,$C106))</f>
        <v>0</v>
      </c>
      <c r="W106" s="18">
        <f ca="1">IF($A106="","",SUMIFS(Data!$AP$4:$AP$183,Data!$AM$4:$AM$183,$B106,Data!$AL$4:$AL$183,$A106,Data!$AK$4:$AK$183,$C106))</f>
        <v>0</v>
      </c>
      <c r="X106" s="18">
        <f ca="1">IF($A106="","",SUMIFS(Data!$AR$4:$AR$183,Data!$AM$4:$AM$183,$B106,Data!$AL$4:$AL$183,$A106,Data!$AK$4:$AK$183,$C106))</f>
        <v>0</v>
      </c>
      <c r="Y106" s="18">
        <f ca="1">IF($A106="","",SUMIFS(Data!$AS$4:$AS$183,Data!$AM$4:$AM$183,$B106,Data!$AL$4:$AL$183,$A106,Data!$AK$4:$AK$183,$C106))</f>
        <v>0</v>
      </c>
      <c r="Z106" s="18">
        <f ca="1">IF($A106="","",SUMIFS(Data!$AT$4:$AT$183,Data!$AM$4:$AM$183,$B106,Data!$AL$4:$AL$183,$A106,Data!$AK$4:$AK$183,$C106))</f>
        <v>0</v>
      </c>
      <c r="AA106" s="18">
        <f ca="1">IF($A106="","",SUMIFS(Data!$AW$4:$AW$183,Data!$AM$4:$AM$183,$B106,Data!$AL$4:$AL$183,$A106,Data!$AK$4:$AK$183,$C106))</f>
        <v>0</v>
      </c>
      <c r="AB106" s="18">
        <f ca="1">IF($A106="","",SUMIFS(Data!$AX$4:$AX$183,Data!$AM$4:$AM$183,$B106,Data!$AL$4:$AL$183,$A106,Data!$AK$4:$AK$183,$C106))</f>
        <v>0</v>
      </c>
      <c r="AC106" s="18">
        <f ca="1">IF($A106="","",SUMIFS(Data!$AY$4:$AY$183,Data!$AM$4:$AM$183,$B106,Data!$AL$4:$AL$183,$A106,Data!$AK$4:$AK$183,$C106))</f>
        <v>0</v>
      </c>
      <c r="AD106" s="18">
        <f t="shared" ca="1" si="3"/>
        <v>0</v>
      </c>
      <c r="AE106" s="18">
        <f ca="1">IF($A106="","",SUMIFS(Data!$AJ$4:$AJ$183,Data!$AM$4:$AM$183,$B106,Data!$AL$4:$AL$183,$A106,Data!$AK$4:$AK$183,$C106))</f>
        <v>0</v>
      </c>
    </row>
    <row r="107" spans="1:31">
      <c r="A107" s="18" t="str">
        <f ca="1">IF(Data!T107="","",Data!T107)</f>
        <v>Donovan</v>
      </c>
      <c r="B107" s="18" t="str">
        <f ca="1">IF(Data!U107="","",Data!U107)</f>
        <v>Fire Bro</v>
      </c>
      <c r="C107" s="18" t="str">
        <f ca="1">IF(Data!S107="","",Data!S107)</f>
        <v>G6</v>
      </c>
      <c r="D107" s="18">
        <f ca="1">IF($A107="","",Data!W107)</f>
        <v>1</v>
      </c>
      <c r="E107" s="18">
        <f ca="1">IF($A107="","",Data!Y107)</f>
        <v>0</v>
      </c>
      <c r="F107" s="61">
        <f t="shared" ca="1" si="2"/>
        <v>0.0</v>
      </c>
      <c r="G107" s="18">
        <f ca="1">IF($A107="","",Data!AB107)</f>
        <v>0</v>
      </c>
      <c r="H107" s="18">
        <f ca="1">IF($A107="","",Data!AC107)</f>
        <v>0</v>
      </c>
      <c r="I107" s="18">
        <f ca="1">IF($A107="","",INT(SUMIFS(Data!$AN$4:$AN$183,Data!$AM$4:$AM$183,$B107,Data!$AL$4:$AL$183,$A107,Data!$AK$4:$AK$183,$C107))+MOD(ROUND(SUMIFS(Data!$AN$4:$AN$183,Data!$AM$4:$AM$183,$B107,Data!$AL$4:$AL$183,$A107,Data!$AK$4:$AK$183,$C107)*3,0),3)/10)</f>
        <v>0</v>
      </c>
      <c r="J107" s="18">
        <f ca="1">IF($A107="","",SUMIFS(Data!$AQ$4:$AQ$183,Data!$AM$4:$AM$183,$B107,Data!$AL$4:$AL$183,$A107,Data!$AK$4:$AK$183,$C107))</f>
        <v>0</v>
      </c>
      <c r="K107" s="62">
        <f ca="1">IF($A107="","",IF(SUMIFS(Data!$AN$4:$AN$183,Data!$AM$4:$AM$183,$B107,Data!$AL$4:$AL$183,$A107,Data!$AK$4:$AK$183,$C107)=0,"",J107*3/SUMIFS(Data!$AN$4:$AN$183,Data!$AM$4:$AM$183,$B107,Data!$AL$4:$AL$183,$A107,Data!$AK$4:$AK$183,$C107)))</f>
      </c>
      <c r="L107" s="18">
        <f ca="1">IF($A107="","",IF(IFERROR(_xlfn.XLOOKUP($C107,Bracket!$F$6:$F$16,Bracket!$K$6:$K$16,""),"")=$B107,1,0))</f>
        <v>0</v>
      </c>
      <c r="M107" s="18">
        <f ca="1">IF($A107="","",IF(AND(IFERROR(_xlfn.XLOOKUP($C107,Bracket!$F$6:$F$16,Bracket!$K$6:$K$16,""),"")=$B107,LEFT(IFERROR(_xlfn.XLOOKUP($C107,Bracket!$F$6:$F$16,Bracket!$G$6:$G$16,""),""),2)="CG"),1,0))</f>
        <v>0</v>
      </c>
      <c r="N107" s="18">
        <f ca="1">IF($A107="","",SUMIFS(Data!$X$4:$X$273,Data!$T$4:$T$273,$A107,Data!$U$4:$U$273,$B107,Data!$S$4:$S$273,$C107))</f>
        <v>0</v>
      </c>
      <c r="O107" s="18">
        <f ca="1">IF($A107="","",SUMIFS(Data!$Z$4:$Z$273,Data!$T$4:$T$273,$A107,Data!$U$4:$U$273,$B107,Data!$S$4:$S$273,$C107))</f>
        <v>0</v>
      </c>
      <c r="P107" s="18">
        <f ca="1">IF($A107="","",SUMIFS(Data!$AA$4:$AA$273,Data!$T$4:$T$273,$A107,Data!$U$4:$U$273,$B107,Data!$S$4:$S$273,$C107))</f>
        <v>0</v>
      </c>
      <c r="Q107" s="18">
        <f ca="1">IF($A107="","",SUMIFS(Data!$AD$4:$AD$273,Data!$T$4:$T$273,$A107,Data!$U$4:$U$273,$B107,Data!$S$4:$S$273,$C107))</f>
        <v>0</v>
      </c>
      <c r="R107" s="18">
        <f ca="1">IF($A107="","",SUMIFS(Data!$AE$4:$AE$273,Data!$T$4:$T$273,$A107,Data!$U$4:$U$273,$B107,Data!$S$4:$S$273,$C107))</f>
        <v>1</v>
      </c>
      <c r="S107" s="18">
        <f ca="1">IF($A107="","",SUMIFS(Data!$AF$4:$AF$273,Data!$T$4:$T$273,$A107,Data!$U$4:$U$273,$B107,Data!$S$4:$S$273,$C107))</f>
        <v>0</v>
      </c>
      <c r="T107" s="18">
        <f ca="1">IF($A107="","",SUMIFS(Data!$AG$4:$AG$273,Data!$T$4:$T$273,$A107,Data!$U$4:$U$273,$B107,Data!$S$4:$S$273,$C107))</f>
        <v>0</v>
      </c>
      <c r="U107" s="18">
        <f ca="1">IF($A107="","",SUMIFS(Data!$AH$4:$AH$273,Data!$T$4:$T$273,$A107,Data!$U$4:$U$273,$B107,Data!$S$4:$S$273,$C107))</f>
        <v>0</v>
      </c>
      <c r="V107" s="18">
        <f ca="1">IF($A107="","",SUMIFS(Data!$AO$4:$AO$183,Data!$AM$4:$AM$183,$B107,Data!$AL$4:$AL$183,$A107,Data!$AK$4:$AK$183,$C107))</f>
        <v>0</v>
      </c>
      <c r="W107" s="18">
        <f ca="1">IF($A107="","",SUMIFS(Data!$AP$4:$AP$183,Data!$AM$4:$AM$183,$B107,Data!$AL$4:$AL$183,$A107,Data!$AK$4:$AK$183,$C107))</f>
        <v>0</v>
      </c>
      <c r="X107" s="18">
        <f ca="1">IF($A107="","",SUMIFS(Data!$AR$4:$AR$183,Data!$AM$4:$AM$183,$B107,Data!$AL$4:$AL$183,$A107,Data!$AK$4:$AK$183,$C107))</f>
        <v>0</v>
      </c>
      <c r="Y107" s="18">
        <f ca="1">IF($A107="","",SUMIFS(Data!$AS$4:$AS$183,Data!$AM$4:$AM$183,$B107,Data!$AL$4:$AL$183,$A107,Data!$AK$4:$AK$183,$C107))</f>
        <v>0</v>
      </c>
      <c r="Z107" s="18">
        <f ca="1">IF($A107="","",SUMIFS(Data!$AT$4:$AT$183,Data!$AM$4:$AM$183,$B107,Data!$AL$4:$AL$183,$A107,Data!$AK$4:$AK$183,$C107))</f>
        <v>0</v>
      </c>
      <c r="AA107" s="18">
        <f ca="1">IF($A107="","",SUMIFS(Data!$AW$4:$AW$183,Data!$AM$4:$AM$183,$B107,Data!$AL$4:$AL$183,$A107,Data!$AK$4:$AK$183,$C107))</f>
        <v>0</v>
      </c>
      <c r="AB107" s="18">
        <f ca="1">IF($A107="","",SUMIFS(Data!$AX$4:$AX$183,Data!$AM$4:$AM$183,$B107,Data!$AL$4:$AL$183,$A107,Data!$AK$4:$AK$183,$C107))</f>
        <v>0</v>
      </c>
      <c r="AC107" s="18">
        <f ca="1">IF($A107="","",SUMIFS(Data!$AY$4:$AY$183,Data!$AM$4:$AM$183,$B107,Data!$AL$4:$AL$183,$A107,Data!$AK$4:$AK$183,$C107))</f>
        <v>0</v>
      </c>
      <c r="AD107" s="18">
        <f t="shared" ca="1" si="3"/>
        <v>0</v>
      </c>
      <c r="AE107" s="18">
        <f ca="1">IF($A107="","",SUMIFS(Data!$AJ$4:$AJ$183,Data!$AM$4:$AM$183,$B107,Data!$AL$4:$AL$183,$A107,Data!$AK$4:$AK$183,$C107))</f>
        <v>0</v>
      </c>
    </row>
    <row r="108" spans="1:31">
      <c r="A108" s="18" t="str">
        <f ca="1">IF(Data!T108="","",Data!T108)</f>
        <v>Donovan</v>
      </c>
      <c r="B108" s="18" t="str">
        <f ca="1">IF(Data!U108="","",Data!U108)</f>
        <v>Tiny Kong</v>
      </c>
      <c r="C108" s="18" t="str">
        <f ca="1">IF(Data!S108="","",Data!S108)</f>
        <v>G6</v>
      </c>
      <c r="D108" s="18">
        <f ca="1">IF($A108="","",Data!W108)</f>
        <v>1</v>
      </c>
      <c r="E108" s="18">
        <f ca="1">IF($A108="","",Data!Y108)</f>
        <v>0</v>
      </c>
      <c r="F108" s="61">
        <f t="shared" ca="1" si="2"/>
        <v>0.0</v>
      </c>
      <c r="G108" s="18">
        <f ca="1">IF($A108="","",Data!AB108)</f>
        <v>0</v>
      </c>
      <c r="H108" s="18">
        <f ca="1">IF($A108="","",Data!AC108)</f>
        <v>0</v>
      </c>
      <c r="I108" s="18">
        <f ca="1">IF($A108="","",INT(SUMIFS(Data!$AN$4:$AN$183,Data!$AM$4:$AM$183,$B108,Data!$AL$4:$AL$183,$A108,Data!$AK$4:$AK$183,$C108))+MOD(ROUND(SUMIFS(Data!$AN$4:$AN$183,Data!$AM$4:$AM$183,$B108,Data!$AL$4:$AL$183,$A108,Data!$AK$4:$AK$183,$C108)*3,0),3)/10)</f>
        <v>0</v>
      </c>
      <c r="J108" s="18">
        <f ca="1">IF($A108="","",SUMIFS(Data!$AQ$4:$AQ$183,Data!$AM$4:$AM$183,$B108,Data!$AL$4:$AL$183,$A108,Data!$AK$4:$AK$183,$C108))</f>
        <v>0</v>
      </c>
      <c r="K108" s="62">
        <f ca="1">IF($A108="","",IF(SUMIFS(Data!$AN$4:$AN$183,Data!$AM$4:$AM$183,$B108,Data!$AL$4:$AL$183,$A108,Data!$AK$4:$AK$183,$C108)=0,"",J108*3/SUMIFS(Data!$AN$4:$AN$183,Data!$AM$4:$AM$183,$B108,Data!$AL$4:$AL$183,$A108,Data!$AK$4:$AK$183,$C108)))</f>
      </c>
      <c r="L108" s="18">
        <f ca="1">IF($A108="","",IF(IFERROR(_xlfn.XLOOKUP($C108,Bracket!$F$6:$F$16,Bracket!$K$6:$K$16,""),"")=$B108,1,0))</f>
        <v>0</v>
      </c>
      <c r="M108" s="18">
        <f ca="1">IF($A108="","",IF(AND(IFERROR(_xlfn.XLOOKUP($C108,Bracket!$F$6:$F$16,Bracket!$K$6:$K$16,""),"")=$B108,LEFT(IFERROR(_xlfn.XLOOKUP($C108,Bracket!$F$6:$F$16,Bracket!$G$6:$G$16,""),""),2)="CG"),1,0))</f>
        <v>0</v>
      </c>
      <c r="N108" s="18">
        <f ca="1">IF($A108="","",SUMIFS(Data!$X$4:$X$273,Data!$T$4:$T$273,$A108,Data!$U$4:$U$273,$B108,Data!$S$4:$S$273,$C108))</f>
        <v>0</v>
      </c>
      <c r="O108" s="18">
        <f ca="1">IF($A108="","",SUMIFS(Data!$Z$4:$Z$273,Data!$T$4:$T$273,$A108,Data!$U$4:$U$273,$B108,Data!$S$4:$S$273,$C108))</f>
        <v>0</v>
      </c>
      <c r="P108" s="18">
        <f ca="1">IF($A108="","",SUMIFS(Data!$AA$4:$AA$273,Data!$T$4:$T$273,$A108,Data!$U$4:$U$273,$B108,Data!$S$4:$S$273,$C108))</f>
        <v>0</v>
      </c>
      <c r="Q108" s="18">
        <f ca="1">IF($A108="","",SUMIFS(Data!$AD$4:$AD$273,Data!$T$4:$T$273,$A108,Data!$U$4:$U$273,$B108,Data!$S$4:$S$273,$C108))</f>
        <v>0</v>
      </c>
      <c r="R108" s="18">
        <f ca="1">IF($A108="","",SUMIFS(Data!$AE$4:$AE$273,Data!$T$4:$T$273,$A108,Data!$U$4:$U$273,$B108,Data!$S$4:$S$273,$C108))</f>
        <v>1</v>
      </c>
      <c r="S108" s="18">
        <f ca="1">IF($A108="","",SUMIFS(Data!$AF$4:$AF$273,Data!$T$4:$T$273,$A108,Data!$U$4:$U$273,$B108,Data!$S$4:$S$273,$C108))</f>
        <v>0</v>
      </c>
      <c r="T108" s="18">
        <f ca="1">IF($A108="","",SUMIFS(Data!$AG$4:$AG$273,Data!$T$4:$T$273,$A108,Data!$U$4:$U$273,$B108,Data!$S$4:$S$273,$C108))</f>
        <v>0</v>
      </c>
      <c r="U108" s="18">
        <f ca="1">IF($A108="","",SUMIFS(Data!$AH$4:$AH$273,Data!$T$4:$T$273,$A108,Data!$U$4:$U$273,$B108,Data!$S$4:$S$273,$C108))</f>
        <v>0</v>
      </c>
      <c r="V108" s="18">
        <f ca="1">IF($A108="","",SUMIFS(Data!$AO$4:$AO$183,Data!$AM$4:$AM$183,$B108,Data!$AL$4:$AL$183,$A108,Data!$AK$4:$AK$183,$C108))</f>
        <v>0</v>
      </c>
      <c r="W108" s="18">
        <f ca="1">IF($A108="","",SUMIFS(Data!$AP$4:$AP$183,Data!$AM$4:$AM$183,$B108,Data!$AL$4:$AL$183,$A108,Data!$AK$4:$AK$183,$C108))</f>
        <v>0</v>
      </c>
      <c r="X108" s="18">
        <f ca="1">IF($A108="","",SUMIFS(Data!$AR$4:$AR$183,Data!$AM$4:$AM$183,$B108,Data!$AL$4:$AL$183,$A108,Data!$AK$4:$AK$183,$C108))</f>
        <v>0</v>
      </c>
      <c r="Y108" s="18">
        <f ca="1">IF($A108="","",SUMIFS(Data!$AS$4:$AS$183,Data!$AM$4:$AM$183,$B108,Data!$AL$4:$AL$183,$A108,Data!$AK$4:$AK$183,$C108))</f>
        <v>0</v>
      </c>
      <c r="Z108" s="18">
        <f ca="1">IF($A108="","",SUMIFS(Data!$AT$4:$AT$183,Data!$AM$4:$AM$183,$B108,Data!$AL$4:$AL$183,$A108,Data!$AK$4:$AK$183,$C108))</f>
        <v>0</v>
      </c>
      <c r="AA108" s="18">
        <f ca="1">IF($A108="","",SUMIFS(Data!$AW$4:$AW$183,Data!$AM$4:$AM$183,$B108,Data!$AL$4:$AL$183,$A108,Data!$AK$4:$AK$183,$C108))</f>
        <v>0</v>
      </c>
      <c r="AB108" s="18">
        <f ca="1">IF($A108="","",SUMIFS(Data!$AX$4:$AX$183,Data!$AM$4:$AM$183,$B108,Data!$AL$4:$AL$183,$A108,Data!$AK$4:$AK$183,$C108))</f>
        <v>0</v>
      </c>
      <c r="AC108" s="18">
        <f ca="1">IF($A108="","",SUMIFS(Data!$AY$4:$AY$183,Data!$AM$4:$AM$183,$B108,Data!$AL$4:$AL$183,$A108,Data!$AK$4:$AK$183,$C108))</f>
        <v>0</v>
      </c>
      <c r="AD108" s="18">
        <f t="shared" ca="1" si="3"/>
        <v>0</v>
      </c>
      <c r="AE108" s="18">
        <f ca="1">IF($A108="","",SUMIFS(Data!$AJ$4:$AJ$183,Data!$AM$4:$AM$183,$B108,Data!$AL$4:$AL$183,$A108,Data!$AK$4:$AK$183,$C108))</f>
        <v>0</v>
      </c>
    </row>
    <row r="109" spans="1:31">
      <c r="A109" s="18" t="str">
        <f ca="1">IF(Data!T109="","",Data!T109)</f>
        <v>Donovan</v>
      </c>
      <c r="B109" s="18" t="str">
        <f ca="1">IF(Data!U109="","",Data!U109)</f>
        <v>Baby DK</v>
      </c>
      <c r="C109" s="18" t="str">
        <f ca="1">IF(Data!S109="","",Data!S109)</f>
        <v>G6</v>
      </c>
      <c r="D109" s="18">
        <f ca="1">IF($A109="","",Data!W109)</f>
        <v>1</v>
      </c>
      <c r="E109" s="18">
        <f ca="1">IF($A109="","",Data!Y109)</f>
        <v>0</v>
      </c>
      <c r="F109" s="61">
        <f t="shared" ca="1" si="2"/>
        <v>0.0</v>
      </c>
      <c r="G109" s="18">
        <f ca="1">IF($A109="","",Data!AB109)</f>
        <v>0</v>
      </c>
      <c r="H109" s="18">
        <f ca="1">IF($A109="","",Data!AC109)</f>
        <v>0</v>
      </c>
      <c r="I109" s="18">
        <f ca="1">IF($A109="","",INT(SUMIFS(Data!$AN$4:$AN$183,Data!$AM$4:$AM$183,$B109,Data!$AL$4:$AL$183,$A109,Data!$AK$4:$AK$183,$C109))+MOD(ROUND(SUMIFS(Data!$AN$4:$AN$183,Data!$AM$4:$AM$183,$B109,Data!$AL$4:$AL$183,$A109,Data!$AK$4:$AK$183,$C109)*3,0),3)/10)</f>
        <v>0</v>
      </c>
      <c r="J109" s="18">
        <f ca="1">IF($A109="","",SUMIFS(Data!$AQ$4:$AQ$183,Data!$AM$4:$AM$183,$B109,Data!$AL$4:$AL$183,$A109,Data!$AK$4:$AK$183,$C109))</f>
        <v>0</v>
      </c>
      <c r="K109" s="62">
        <f ca="1">IF($A109="","",IF(SUMIFS(Data!$AN$4:$AN$183,Data!$AM$4:$AM$183,$B109,Data!$AL$4:$AL$183,$A109,Data!$AK$4:$AK$183,$C109)=0,"",J109*3/SUMIFS(Data!$AN$4:$AN$183,Data!$AM$4:$AM$183,$B109,Data!$AL$4:$AL$183,$A109,Data!$AK$4:$AK$183,$C109)))</f>
      </c>
      <c r="L109" s="18">
        <f ca="1">IF($A109="","",IF(IFERROR(_xlfn.XLOOKUP($C109,Bracket!$F$6:$F$16,Bracket!$K$6:$K$16,""),"")=$B109,1,0))</f>
        <v>0</v>
      </c>
      <c r="M109" s="18">
        <f ca="1">IF($A109="","",IF(AND(IFERROR(_xlfn.XLOOKUP($C109,Bracket!$F$6:$F$16,Bracket!$K$6:$K$16,""),"")=$B109,LEFT(IFERROR(_xlfn.XLOOKUP($C109,Bracket!$F$6:$F$16,Bracket!$G$6:$G$16,""),""),2)="CG"),1,0))</f>
        <v>0</v>
      </c>
      <c r="N109" s="18">
        <f ca="1">IF($A109="","",SUMIFS(Data!$X$4:$X$273,Data!$T$4:$T$273,$A109,Data!$U$4:$U$273,$B109,Data!$S$4:$S$273,$C109))</f>
        <v>0</v>
      </c>
      <c r="O109" s="18">
        <f ca="1">IF($A109="","",SUMIFS(Data!$Z$4:$Z$273,Data!$T$4:$T$273,$A109,Data!$U$4:$U$273,$B109,Data!$S$4:$S$273,$C109))</f>
        <v>0</v>
      </c>
      <c r="P109" s="18">
        <f ca="1">IF($A109="","",SUMIFS(Data!$AA$4:$AA$273,Data!$T$4:$T$273,$A109,Data!$U$4:$U$273,$B109,Data!$S$4:$S$273,$C109))</f>
        <v>0</v>
      </c>
      <c r="Q109" s="18">
        <f ca="1">IF($A109="","",SUMIFS(Data!$AD$4:$AD$273,Data!$T$4:$T$273,$A109,Data!$U$4:$U$273,$B109,Data!$S$4:$S$273,$C109))</f>
        <v>0</v>
      </c>
      <c r="R109" s="18">
        <f ca="1">IF($A109="","",SUMIFS(Data!$AE$4:$AE$273,Data!$T$4:$T$273,$A109,Data!$U$4:$U$273,$B109,Data!$S$4:$S$273,$C109))</f>
        <v>1</v>
      </c>
      <c r="S109" s="18">
        <f ca="1">IF($A109="","",SUMIFS(Data!$AF$4:$AF$273,Data!$T$4:$T$273,$A109,Data!$U$4:$U$273,$B109,Data!$S$4:$S$273,$C109))</f>
        <v>0</v>
      </c>
      <c r="T109" s="18">
        <f ca="1">IF($A109="","",SUMIFS(Data!$AG$4:$AG$273,Data!$T$4:$T$273,$A109,Data!$U$4:$U$273,$B109,Data!$S$4:$S$273,$C109))</f>
        <v>0</v>
      </c>
      <c r="U109" s="18">
        <f ca="1">IF($A109="","",SUMIFS(Data!$AH$4:$AH$273,Data!$T$4:$T$273,$A109,Data!$U$4:$U$273,$B109,Data!$S$4:$S$273,$C109))</f>
        <v>0</v>
      </c>
      <c r="V109" s="18">
        <f ca="1">IF($A109="","",SUMIFS(Data!$AO$4:$AO$183,Data!$AM$4:$AM$183,$B109,Data!$AL$4:$AL$183,$A109,Data!$AK$4:$AK$183,$C109))</f>
        <v>0</v>
      </c>
      <c r="W109" s="18">
        <f ca="1">IF($A109="","",SUMIFS(Data!$AP$4:$AP$183,Data!$AM$4:$AM$183,$B109,Data!$AL$4:$AL$183,$A109,Data!$AK$4:$AK$183,$C109))</f>
        <v>0</v>
      </c>
      <c r="X109" s="18">
        <f ca="1">IF($A109="","",SUMIFS(Data!$AR$4:$AR$183,Data!$AM$4:$AM$183,$B109,Data!$AL$4:$AL$183,$A109,Data!$AK$4:$AK$183,$C109))</f>
        <v>0</v>
      </c>
      <c r="Y109" s="18">
        <f ca="1">IF($A109="","",SUMIFS(Data!$AS$4:$AS$183,Data!$AM$4:$AM$183,$B109,Data!$AL$4:$AL$183,$A109,Data!$AK$4:$AK$183,$C109))</f>
        <v>0</v>
      </c>
      <c r="Z109" s="18">
        <f ca="1">IF($A109="","",SUMIFS(Data!$AT$4:$AT$183,Data!$AM$4:$AM$183,$B109,Data!$AL$4:$AL$183,$A109,Data!$AK$4:$AK$183,$C109))</f>
        <v>0</v>
      </c>
      <c r="AA109" s="18">
        <f ca="1">IF($A109="","",SUMIFS(Data!$AW$4:$AW$183,Data!$AM$4:$AM$183,$B109,Data!$AL$4:$AL$183,$A109,Data!$AK$4:$AK$183,$C109))</f>
        <v>0</v>
      </c>
      <c r="AB109" s="18">
        <f ca="1">IF($A109="","",SUMIFS(Data!$AX$4:$AX$183,Data!$AM$4:$AM$183,$B109,Data!$AL$4:$AL$183,$A109,Data!$AK$4:$AK$183,$C109))</f>
        <v>0</v>
      </c>
      <c r="AC109" s="18">
        <f ca="1">IF($A109="","",SUMIFS(Data!$AY$4:$AY$183,Data!$AM$4:$AM$183,$B109,Data!$AL$4:$AL$183,$A109,Data!$AK$4:$AK$183,$C109))</f>
        <v>0</v>
      </c>
      <c r="AD109" s="18">
        <f t="shared" ca="1" si="3"/>
        <v>0</v>
      </c>
      <c r="AE109" s="18">
        <f ca="1">IF($A109="","",SUMIFS(Data!$AJ$4:$AJ$183,Data!$AM$4:$AM$183,$B109,Data!$AL$4:$AL$183,$A109,Data!$AK$4:$AK$183,$C109))</f>
        <v>0</v>
      </c>
    </row>
    <row r="110" spans="1:31">
      <c r="A110" s="18" t="str">
        <f ca="1">IF(Data!T110="","",Data!T110)</f>
        <v>Donovan</v>
      </c>
      <c r="B110" s="18" t="str">
        <f ca="1">IF(Data!U110="","",Data!U110)</f>
        <v>Paragoomba</v>
      </c>
      <c r="C110" s="18" t="str">
        <f ca="1">IF(Data!S110="","",Data!S110)</f>
        <v>G6</v>
      </c>
      <c r="D110" s="18">
        <f ca="1">IF($A110="","",Data!W110)</f>
        <v>1</v>
      </c>
      <c r="E110" s="18">
        <f ca="1">IF($A110="","",Data!Y110)</f>
        <v>0</v>
      </c>
      <c r="F110" s="61">
        <f t="shared" ca="1" si="2"/>
        <v>0.0</v>
      </c>
      <c r="G110" s="18">
        <f ca="1">IF($A110="","",Data!AB110)</f>
        <v>0</v>
      </c>
      <c r="H110" s="18">
        <f ca="1">IF($A110="","",Data!AC110)</f>
        <v>0</v>
      </c>
      <c r="I110" s="18">
        <f ca="1">IF($A110="","",INT(SUMIFS(Data!$AN$4:$AN$183,Data!$AM$4:$AM$183,$B110,Data!$AL$4:$AL$183,$A110,Data!$AK$4:$AK$183,$C110))+MOD(ROUND(SUMIFS(Data!$AN$4:$AN$183,Data!$AM$4:$AM$183,$B110,Data!$AL$4:$AL$183,$A110,Data!$AK$4:$AK$183,$C110)*3,0),3)/10)</f>
        <v>0</v>
      </c>
      <c r="J110" s="18">
        <f ca="1">IF($A110="","",SUMIFS(Data!$AQ$4:$AQ$183,Data!$AM$4:$AM$183,$B110,Data!$AL$4:$AL$183,$A110,Data!$AK$4:$AK$183,$C110))</f>
        <v>0</v>
      </c>
      <c r="K110" s="62">
        <f ca="1">IF($A110="","",IF(SUMIFS(Data!$AN$4:$AN$183,Data!$AM$4:$AM$183,$B110,Data!$AL$4:$AL$183,$A110,Data!$AK$4:$AK$183,$C110)=0,"",J110*3/SUMIFS(Data!$AN$4:$AN$183,Data!$AM$4:$AM$183,$B110,Data!$AL$4:$AL$183,$A110,Data!$AK$4:$AK$183,$C110)))</f>
      </c>
      <c r="L110" s="18">
        <f ca="1">IF($A110="","",IF(IFERROR(_xlfn.XLOOKUP($C110,Bracket!$F$6:$F$16,Bracket!$K$6:$K$16,""),"")=$B110,1,0))</f>
        <v>0</v>
      </c>
      <c r="M110" s="18">
        <f ca="1">IF($A110="","",IF(AND(IFERROR(_xlfn.XLOOKUP($C110,Bracket!$F$6:$F$16,Bracket!$K$6:$K$16,""),"")=$B110,LEFT(IFERROR(_xlfn.XLOOKUP($C110,Bracket!$F$6:$F$16,Bracket!$G$6:$G$16,""),""),2)="CG"),1,0))</f>
        <v>0</v>
      </c>
      <c r="N110" s="18">
        <f ca="1">IF($A110="","",SUMIFS(Data!$X$4:$X$273,Data!$T$4:$T$273,$A110,Data!$U$4:$U$273,$B110,Data!$S$4:$S$273,$C110))</f>
        <v>0</v>
      </c>
      <c r="O110" s="18">
        <f ca="1">IF($A110="","",SUMIFS(Data!$Z$4:$Z$273,Data!$T$4:$T$273,$A110,Data!$U$4:$U$273,$B110,Data!$S$4:$S$273,$C110))</f>
        <v>0</v>
      </c>
      <c r="P110" s="18">
        <f ca="1">IF($A110="","",SUMIFS(Data!$AA$4:$AA$273,Data!$T$4:$T$273,$A110,Data!$U$4:$U$273,$B110,Data!$S$4:$S$273,$C110))</f>
        <v>0</v>
      </c>
      <c r="Q110" s="18">
        <f ca="1">IF($A110="","",SUMIFS(Data!$AD$4:$AD$273,Data!$T$4:$T$273,$A110,Data!$U$4:$U$273,$B110,Data!$S$4:$S$273,$C110))</f>
        <v>0</v>
      </c>
      <c r="R110" s="18">
        <f ca="1">IF($A110="","",SUMIFS(Data!$AE$4:$AE$273,Data!$T$4:$T$273,$A110,Data!$U$4:$U$273,$B110,Data!$S$4:$S$273,$C110))</f>
        <v>0</v>
      </c>
      <c r="S110" s="18">
        <f ca="1">IF($A110="","",SUMIFS(Data!$AF$4:$AF$273,Data!$T$4:$T$273,$A110,Data!$U$4:$U$273,$B110,Data!$S$4:$S$273,$C110))</f>
        <v>0</v>
      </c>
      <c r="T110" s="18">
        <f ca="1">IF($A110="","",SUMIFS(Data!$AG$4:$AG$273,Data!$T$4:$T$273,$A110,Data!$U$4:$U$273,$B110,Data!$S$4:$S$273,$C110))</f>
        <v>0</v>
      </c>
      <c r="U110" s="18">
        <f ca="1">IF($A110="","",SUMIFS(Data!$AH$4:$AH$273,Data!$T$4:$T$273,$A110,Data!$U$4:$U$273,$B110,Data!$S$4:$S$273,$C110))</f>
        <v>0</v>
      </c>
      <c r="V110" s="18">
        <f ca="1">IF($A110="","",SUMIFS(Data!$AO$4:$AO$183,Data!$AM$4:$AM$183,$B110,Data!$AL$4:$AL$183,$A110,Data!$AK$4:$AK$183,$C110))</f>
        <v>0</v>
      </c>
      <c r="W110" s="18">
        <f ca="1">IF($A110="","",SUMIFS(Data!$AP$4:$AP$183,Data!$AM$4:$AM$183,$B110,Data!$AL$4:$AL$183,$A110,Data!$AK$4:$AK$183,$C110))</f>
        <v>0</v>
      </c>
      <c r="X110" s="18">
        <f ca="1">IF($A110="","",SUMIFS(Data!$AR$4:$AR$183,Data!$AM$4:$AM$183,$B110,Data!$AL$4:$AL$183,$A110,Data!$AK$4:$AK$183,$C110))</f>
        <v>0</v>
      </c>
      <c r="Y110" s="18">
        <f ca="1">IF($A110="","",SUMIFS(Data!$AS$4:$AS$183,Data!$AM$4:$AM$183,$B110,Data!$AL$4:$AL$183,$A110,Data!$AK$4:$AK$183,$C110))</f>
        <v>0</v>
      </c>
      <c r="Z110" s="18">
        <f ca="1">IF($A110="","",SUMIFS(Data!$AT$4:$AT$183,Data!$AM$4:$AM$183,$B110,Data!$AL$4:$AL$183,$A110,Data!$AK$4:$AK$183,$C110))</f>
        <v>0</v>
      </c>
      <c r="AA110" s="18">
        <f ca="1">IF($A110="","",SUMIFS(Data!$AW$4:$AW$183,Data!$AM$4:$AM$183,$B110,Data!$AL$4:$AL$183,$A110,Data!$AK$4:$AK$183,$C110))</f>
        <v>0</v>
      </c>
      <c r="AB110" s="18">
        <f ca="1">IF($A110="","",SUMIFS(Data!$AX$4:$AX$183,Data!$AM$4:$AM$183,$B110,Data!$AL$4:$AL$183,$A110,Data!$AK$4:$AK$183,$C110))</f>
        <v>0</v>
      </c>
      <c r="AC110" s="18">
        <f ca="1">IF($A110="","",SUMIFS(Data!$AY$4:$AY$183,Data!$AM$4:$AM$183,$B110,Data!$AL$4:$AL$183,$A110,Data!$AK$4:$AK$183,$C110))</f>
        <v>0</v>
      </c>
      <c r="AD110" s="18">
        <f t="shared" ca="1" si="3"/>
        <v>0</v>
      </c>
      <c r="AE110" s="18">
        <f ca="1">IF($A110="","",SUMIFS(Data!$AJ$4:$AJ$183,Data!$AM$4:$AM$183,$B110,Data!$AL$4:$AL$183,$A110,Data!$AK$4:$AK$183,$C110))</f>
        <v>0</v>
      </c>
    </row>
    <row r="111" spans="1:31">
      <c r="A111" s="18" t="str">
        <f ca="1">IF(Data!T111="","",Data!T111)</f>
        <v>Donovan</v>
      </c>
      <c r="B111" s="18" t="str">
        <f ca="1">IF(Data!U111="","",Data!U111)</f>
        <v>Dixie Kong</v>
      </c>
      <c r="C111" s="18" t="str">
        <f ca="1">IF(Data!S111="","",Data!S111)</f>
        <v>G6</v>
      </c>
      <c r="D111" s="18">
        <f ca="1">IF($A111="","",Data!W111)</f>
        <v>1</v>
      </c>
      <c r="E111" s="18">
        <f ca="1">IF($A111="","",Data!Y111)</f>
        <v>0</v>
      </c>
      <c r="F111" s="61">
        <f t="shared" ca="1" si="2"/>
        <v>0.0</v>
      </c>
      <c r="G111" s="18">
        <f ca="1">IF($A111="","",Data!AB111)</f>
        <v>0</v>
      </c>
      <c r="H111" s="18">
        <f ca="1">IF($A111="","",Data!AC111)</f>
        <v>0</v>
      </c>
      <c r="I111" s="18">
        <f ca="1">IF($A111="","",INT(SUMIFS(Data!$AN$4:$AN$183,Data!$AM$4:$AM$183,$B111,Data!$AL$4:$AL$183,$A111,Data!$AK$4:$AK$183,$C111))+MOD(ROUND(SUMIFS(Data!$AN$4:$AN$183,Data!$AM$4:$AM$183,$B111,Data!$AL$4:$AL$183,$A111,Data!$AK$4:$AK$183,$C111)*3,0),3)/10)</f>
        <v>0</v>
      </c>
      <c r="J111" s="18">
        <f ca="1">IF($A111="","",SUMIFS(Data!$AQ$4:$AQ$183,Data!$AM$4:$AM$183,$B111,Data!$AL$4:$AL$183,$A111,Data!$AK$4:$AK$183,$C111))</f>
        <v>0</v>
      </c>
      <c r="K111" s="62">
        <f ca="1">IF($A111="","",IF(SUMIFS(Data!$AN$4:$AN$183,Data!$AM$4:$AM$183,$B111,Data!$AL$4:$AL$183,$A111,Data!$AK$4:$AK$183,$C111)=0,"",J111*3/SUMIFS(Data!$AN$4:$AN$183,Data!$AM$4:$AM$183,$B111,Data!$AL$4:$AL$183,$A111,Data!$AK$4:$AK$183,$C111)))</f>
      </c>
      <c r="L111" s="18">
        <f ca="1">IF($A111="","",IF(IFERROR(_xlfn.XLOOKUP($C111,Bracket!$F$6:$F$16,Bracket!$K$6:$K$16,""),"")=$B111,1,0))</f>
        <v>0</v>
      </c>
      <c r="M111" s="18">
        <f ca="1">IF($A111="","",IF(AND(IFERROR(_xlfn.XLOOKUP($C111,Bracket!$F$6:$F$16,Bracket!$K$6:$K$16,""),"")=$B111,LEFT(IFERROR(_xlfn.XLOOKUP($C111,Bracket!$F$6:$F$16,Bracket!$G$6:$G$16,""),""),2)="CG"),1,0))</f>
        <v>0</v>
      </c>
      <c r="N111" s="18">
        <f ca="1">IF($A111="","",SUMIFS(Data!$X$4:$X$273,Data!$T$4:$T$273,$A111,Data!$U$4:$U$273,$B111,Data!$S$4:$S$273,$C111))</f>
        <v>0</v>
      </c>
      <c r="O111" s="18">
        <f ca="1">IF($A111="","",SUMIFS(Data!$Z$4:$Z$273,Data!$T$4:$T$273,$A111,Data!$U$4:$U$273,$B111,Data!$S$4:$S$273,$C111))</f>
        <v>0</v>
      </c>
      <c r="P111" s="18">
        <f ca="1">IF($A111="","",SUMIFS(Data!$AA$4:$AA$273,Data!$T$4:$T$273,$A111,Data!$U$4:$U$273,$B111,Data!$S$4:$S$273,$C111))</f>
        <v>0</v>
      </c>
      <c r="Q111" s="18">
        <f ca="1">IF($A111="","",SUMIFS(Data!$AD$4:$AD$273,Data!$T$4:$T$273,$A111,Data!$U$4:$U$273,$B111,Data!$S$4:$S$273,$C111))</f>
        <v>0</v>
      </c>
      <c r="R111" s="18">
        <f ca="1">IF($A111="","",SUMIFS(Data!$AE$4:$AE$273,Data!$T$4:$T$273,$A111,Data!$U$4:$U$273,$B111,Data!$S$4:$S$273,$C111))</f>
        <v>1</v>
      </c>
      <c r="S111" s="18">
        <f ca="1">IF($A111="","",SUMIFS(Data!$AF$4:$AF$273,Data!$T$4:$T$273,$A111,Data!$U$4:$U$273,$B111,Data!$S$4:$S$273,$C111))</f>
        <v>0</v>
      </c>
      <c r="T111" s="18">
        <f ca="1">IF($A111="","",SUMIFS(Data!$AG$4:$AG$273,Data!$T$4:$T$273,$A111,Data!$U$4:$U$273,$B111,Data!$S$4:$S$273,$C111))</f>
        <v>0</v>
      </c>
      <c r="U111" s="18">
        <f ca="1">IF($A111="","",SUMIFS(Data!$AH$4:$AH$273,Data!$T$4:$T$273,$A111,Data!$U$4:$U$273,$B111,Data!$S$4:$S$273,$C111))</f>
        <v>0</v>
      </c>
      <c r="V111" s="18">
        <f ca="1">IF($A111="","",SUMIFS(Data!$AO$4:$AO$183,Data!$AM$4:$AM$183,$B111,Data!$AL$4:$AL$183,$A111,Data!$AK$4:$AK$183,$C111))</f>
        <v>0</v>
      </c>
      <c r="W111" s="18">
        <f ca="1">IF($A111="","",SUMIFS(Data!$AP$4:$AP$183,Data!$AM$4:$AM$183,$B111,Data!$AL$4:$AL$183,$A111,Data!$AK$4:$AK$183,$C111))</f>
        <v>0</v>
      </c>
      <c r="X111" s="18">
        <f ca="1">IF($A111="","",SUMIFS(Data!$AR$4:$AR$183,Data!$AM$4:$AM$183,$B111,Data!$AL$4:$AL$183,$A111,Data!$AK$4:$AK$183,$C111))</f>
        <v>0</v>
      </c>
      <c r="Y111" s="18">
        <f ca="1">IF($A111="","",SUMIFS(Data!$AS$4:$AS$183,Data!$AM$4:$AM$183,$B111,Data!$AL$4:$AL$183,$A111,Data!$AK$4:$AK$183,$C111))</f>
        <v>0</v>
      </c>
      <c r="Z111" s="18">
        <f ca="1">IF($A111="","",SUMIFS(Data!$AT$4:$AT$183,Data!$AM$4:$AM$183,$B111,Data!$AL$4:$AL$183,$A111,Data!$AK$4:$AK$183,$C111))</f>
        <v>0</v>
      </c>
      <c r="AA111" s="18">
        <f ca="1">IF($A111="","",SUMIFS(Data!$AW$4:$AW$183,Data!$AM$4:$AM$183,$B111,Data!$AL$4:$AL$183,$A111,Data!$AK$4:$AK$183,$C111))</f>
        <v>0</v>
      </c>
      <c r="AB111" s="18">
        <f ca="1">IF($A111="","",SUMIFS(Data!$AX$4:$AX$183,Data!$AM$4:$AM$183,$B111,Data!$AL$4:$AL$183,$A111,Data!$AK$4:$AK$183,$C111))</f>
        <v>0</v>
      </c>
      <c r="AC111" s="18">
        <f ca="1">IF($A111="","",SUMIFS(Data!$AY$4:$AY$183,Data!$AM$4:$AM$183,$B111,Data!$AL$4:$AL$183,$A111,Data!$AK$4:$AK$183,$C111))</f>
        <v>0</v>
      </c>
      <c r="AD111" s="18">
        <f t="shared" ca="1" si="3"/>
        <v>0</v>
      </c>
      <c r="AE111" s="18">
        <f ca="1">IF($A111="","",SUMIFS(Data!$AJ$4:$AJ$183,Data!$AM$4:$AM$183,$B111,Data!$AL$4:$AL$183,$A111,Data!$AK$4:$AK$183,$C111))</f>
        <v>0</v>
      </c>
    </row>
    <row r="112" spans="1:31">
      <c r="A112" s="18" t="str">
        <f ca="1">IF(Data!T112="","",Data!T112)</f>
        <v>May</v>
      </c>
      <c r="B112" s="18" t="str">
        <f ca="1">IF(Data!U112="","",Data!U112)</f>
        <v>Birdo</v>
      </c>
      <c r="C112" s="18" t="str">
        <f ca="1">IF(Data!S112="","",Data!S112)</f>
        <v>G7</v>
      </c>
      <c r="D112" s="18">
        <f ca="1">IF($A112="","",Data!W112)</f>
        <v>1</v>
      </c>
      <c r="E112" s="18">
        <f ca="1">IF($A112="","",Data!Y112)</f>
        <v>0</v>
      </c>
      <c r="F112" s="61">
        <f t="shared" ca="1" si="2"/>
        <v>0.0</v>
      </c>
      <c r="G112" s="18">
        <f ca="1">IF($A112="","",Data!AB112)</f>
        <v>0</v>
      </c>
      <c r="H112" s="18">
        <f ca="1">IF($A112="","",Data!AC112)</f>
        <v>0</v>
      </c>
      <c r="I112" s="18">
        <f ca="1">IF($A112="","",INT(SUMIFS(Data!$AN$4:$AN$183,Data!$AM$4:$AM$183,$B112,Data!$AL$4:$AL$183,$A112,Data!$AK$4:$AK$183,$C112))+MOD(ROUND(SUMIFS(Data!$AN$4:$AN$183,Data!$AM$4:$AM$183,$B112,Data!$AL$4:$AL$183,$A112,Data!$AK$4:$AK$183,$C112)*3,0),3)/10)</f>
        <v>0</v>
      </c>
      <c r="J112" s="18">
        <f ca="1">IF($A112="","",SUMIFS(Data!$AQ$4:$AQ$183,Data!$AM$4:$AM$183,$B112,Data!$AL$4:$AL$183,$A112,Data!$AK$4:$AK$183,$C112))</f>
        <v>0</v>
      </c>
      <c r="K112" s="62">
        <f ca="1">IF($A112="","",IF(SUMIFS(Data!$AN$4:$AN$183,Data!$AM$4:$AM$183,$B112,Data!$AL$4:$AL$183,$A112,Data!$AK$4:$AK$183,$C112)=0,"",J112*3/SUMIFS(Data!$AN$4:$AN$183,Data!$AM$4:$AM$183,$B112,Data!$AL$4:$AL$183,$A112,Data!$AK$4:$AK$183,$C112)))</f>
      </c>
      <c r="L112" s="18">
        <f ca="1">IF($A112="","",IF(IFERROR(_xlfn.XLOOKUP($C112,Bracket!$F$6:$F$16,Bracket!$K$6:$K$16,""),"")=$B112,1,0))</f>
        <v>0</v>
      </c>
      <c r="M112" s="18">
        <f ca="1">IF($A112="","",IF(AND(IFERROR(_xlfn.XLOOKUP($C112,Bracket!$F$6:$F$16,Bracket!$K$6:$K$16,""),"")=$B112,LEFT(IFERROR(_xlfn.XLOOKUP($C112,Bracket!$F$6:$F$16,Bracket!$G$6:$G$16,""),""),2)="CG"),1,0))</f>
        <v>0</v>
      </c>
      <c r="N112" s="18">
        <f ca="1">IF($A112="","",SUMIFS(Data!$X$4:$X$273,Data!$T$4:$T$273,$A112,Data!$U$4:$U$273,$B112,Data!$S$4:$S$273,$C112))</f>
        <v>0</v>
      </c>
      <c r="O112" s="18">
        <f ca="1">IF($A112="","",SUMIFS(Data!$Z$4:$Z$273,Data!$T$4:$T$273,$A112,Data!$U$4:$U$273,$B112,Data!$S$4:$S$273,$C112))</f>
        <v>0</v>
      </c>
      <c r="P112" s="18">
        <f ca="1">IF($A112="","",SUMIFS(Data!$AA$4:$AA$273,Data!$T$4:$T$273,$A112,Data!$U$4:$U$273,$B112,Data!$S$4:$S$273,$C112))</f>
        <v>0</v>
      </c>
      <c r="Q112" s="18">
        <f ca="1">IF($A112="","",SUMIFS(Data!$AD$4:$AD$273,Data!$T$4:$T$273,$A112,Data!$U$4:$U$273,$B112,Data!$S$4:$S$273,$C112))</f>
        <v>0</v>
      </c>
      <c r="R112" s="18">
        <f ca="1">IF($A112="","",SUMIFS(Data!$AE$4:$AE$273,Data!$T$4:$T$273,$A112,Data!$U$4:$U$273,$B112,Data!$S$4:$S$273,$C112))</f>
        <v>0</v>
      </c>
      <c r="S112" s="18">
        <f ca="1">IF($A112="","",SUMIFS(Data!$AF$4:$AF$273,Data!$T$4:$T$273,$A112,Data!$U$4:$U$273,$B112,Data!$S$4:$S$273,$C112))</f>
        <v>0</v>
      </c>
      <c r="T112" s="18">
        <f ca="1">IF($A112="","",SUMIFS(Data!$AG$4:$AG$273,Data!$T$4:$T$273,$A112,Data!$U$4:$U$273,$B112,Data!$S$4:$S$273,$C112))</f>
        <v>0</v>
      </c>
      <c r="U112" s="18">
        <f ca="1">IF($A112="","",SUMIFS(Data!$AH$4:$AH$273,Data!$T$4:$T$273,$A112,Data!$U$4:$U$273,$B112,Data!$S$4:$S$273,$C112))</f>
        <v>0</v>
      </c>
      <c r="V112" s="18">
        <f ca="1">IF($A112="","",SUMIFS(Data!$AO$4:$AO$183,Data!$AM$4:$AM$183,$B112,Data!$AL$4:$AL$183,$A112,Data!$AK$4:$AK$183,$C112))</f>
        <v>0</v>
      </c>
      <c r="W112" s="18">
        <f ca="1">IF($A112="","",SUMIFS(Data!$AP$4:$AP$183,Data!$AM$4:$AM$183,$B112,Data!$AL$4:$AL$183,$A112,Data!$AK$4:$AK$183,$C112))</f>
        <v>0</v>
      </c>
      <c r="X112" s="18">
        <f ca="1">IF($A112="","",SUMIFS(Data!$AR$4:$AR$183,Data!$AM$4:$AM$183,$B112,Data!$AL$4:$AL$183,$A112,Data!$AK$4:$AK$183,$C112))</f>
        <v>0</v>
      </c>
      <c r="Y112" s="18">
        <f ca="1">IF($A112="","",SUMIFS(Data!$AS$4:$AS$183,Data!$AM$4:$AM$183,$B112,Data!$AL$4:$AL$183,$A112,Data!$AK$4:$AK$183,$C112))</f>
        <v>0</v>
      </c>
      <c r="Z112" s="18">
        <f ca="1">IF($A112="","",SUMIFS(Data!$AT$4:$AT$183,Data!$AM$4:$AM$183,$B112,Data!$AL$4:$AL$183,$A112,Data!$AK$4:$AK$183,$C112))</f>
        <v>0</v>
      </c>
      <c r="AA112" s="18">
        <f ca="1">IF($A112="","",SUMIFS(Data!$AW$4:$AW$183,Data!$AM$4:$AM$183,$B112,Data!$AL$4:$AL$183,$A112,Data!$AK$4:$AK$183,$C112))</f>
        <v>0</v>
      </c>
      <c r="AB112" s="18">
        <f ca="1">IF($A112="","",SUMIFS(Data!$AX$4:$AX$183,Data!$AM$4:$AM$183,$B112,Data!$AL$4:$AL$183,$A112,Data!$AK$4:$AK$183,$C112))</f>
        <v>0</v>
      </c>
      <c r="AC112" s="18">
        <f ca="1">IF($A112="","",SUMIFS(Data!$AY$4:$AY$183,Data!$AM$4:$AM$183,$B112,Data!$AL$4:$AL$183,$A112,Data!$AK$4:$AK$183,$C112))</f>
        <v>0</v>
      </c>
      <c r="AD112" s="18">
        <f t="shared" ca="1" si="3"/>
        <v>0</v>
      </c>
      <c r="AE112" s="18">
        <f ca="1">IF($A112="","",SUMIFS(Data!$AJ$4:$AJ$183,Data!$AM$4:$AM$183,$B112,Data!$AL$4:$AL$183,$A112,Data!$AK$4:$AK$183,$C112))</f>
        <v>0</v>
      </c>
    </row>
    <row r="113" spans="1:31">
      <c r="A113" s="18" t="str">
        <f ca="1">IF(Data!T113="","",Data!T113)</f>
        <v>May</v>
      </c>
      <c r="B113" s="18" t="str">
        <f ca="1">IF(Data!U113="","",Data!U113)</f>
        <v>King Boo</v>
      </c>
      <c r="C113" s="18" t="str">
        <f ca="1">IF(Data!S113="","",Data!S113)</f>
        <v>G7</v>
      </c>
      <c r="D113" s="18">
        <f ca="1">IF($A113="","",Data!W113)</f>
        <v>1</v>
      </c>
      <c r="E113" s="18">
        <f ca="1">IF($A113="","",Data!Y113)</f>
        <v>1</v>
      </c>
      <c r="F113" s="61">
        <f t="shared" ca="1" si="2"/>
        <v>1.0</v>
      </c>
      <c r="G113" s="18">
        <f ca="1">IF($A113="","",Data!AB113)</f>
        <v>1</v>
      </c>
      <c r="H113" s="18">
        <f ca="1">IF($A113="","",Data!AC113)</f>
        <v>1</v>
      </c>
      <c r="I113" s="18">
        <f ca="1">IF($A113="","",INT(SUMIFS(Data!$AN$4:$AN$183,Data!$AM$4:$AM$183,$B113,Data!$AL$4:$AL$183,$A113,Data!$AK$4:$AK$183,$C113))+MOD(ROUND(SUMIFS(Data!$AN$4:$AN$183,Data!$AM$4:$AM$183,$B113,Data!$AL$4:$AL$183,$A113,Data!$AK$4:$AK$183,$C113)*3,0),3)/10)</f>
        <v>3</v>
      </c>
      <c r="J113" s="18">
        <f ca="1">IF($A113="","",SUMIFS(Data!$AQ$4:$AQ$183,Data!$AM$4:$AM$183,$B113,Data!$AL$4:$AL$183,$A113,Data!$AK$4:$AK$183,$C113))</f>
        <v>0</v>
      </c>
      <c r="K113" s="62">
        <f ca="1">IF($A113="","",IF(SUMIFS(Data!$AN$4:$AN$183,Data!$AM$4:$AM$183,$B113,Data!$AL$4:$AL$183,$A113,Data!$AK$4:$AK$183,$C113)=0,"",J113*3/SUMIFS(Data!$AN$4:$AN$183,Data!$AM$4:$AM$183,$B113,Data!$AL$4:$AL$183,$A113,Data!$AK$4:$AK$183,$C113)))</f>
        <v>0.0</v>
      </c>
      <c r="L113" s="18">
        <f ca="1">IF($A113="","",IF(IFERROR(_xlfn.XLOOKUP($C113,Bracket!$F$6:$F$16,Bracket!$K$6:$K$16,""),"")=$B113,1,0))</f>
        <v>1</v>
      </c>
      <c r="M113" s="18">
        <f ca="1">IF($A113="","",IF(AND(IFERROR(_xlfn.XLOOKUP($C113,Bracket!$F$6:$F$16,Bracket!$K$6:$K$16,""),"")=$B113,LEFT(IFERROR(_xlfn.XLOOKUP($C113,Bracket!$F$6:$F$16,Bracket!$G$6:$G$16,""),""),2)="CG"),1,0))</f>
        <v>0</v>
      </c>
      <c r="N113" s="18">
        <f ca="1">IF($A113="","",SUMIFS(Data!$X$4:$X$273,Data!$T$4:$T$273,$A113,Data!$U$4:$U$273,$B113,Data!$S$4:$S$273,$C113))</f>
        <v>1</v>
      </c>
      <c r="O113" s="18">
        <f ca="1">IF($A113="","",SUMIFS(Data!$Z$4:$Z$273,Data!$T$4:$T$273,$A113,Data!$U$4:$U$273,$B113,Data!$S$4:$S$273,$C113))</f>
        <v>0</v>
      </c>
      <c r="P113" s="18">
        <f ca="1">IF($A113="","",SUMIFS(Data!$AA$4:$AA$273,Data!$T$4:$T$273,$A113,Data!$U$4:$U$273,$B113,Data!$S$4:$S$273,$C113))</f>
        <v>0</v>
      </c>
      <c r="Q113" s="18">
        <f ca="1">IF($A113="","",SUMIFS(Data!$AD$4:$AD$273,Data!$T$4:$T$273,$A113,Data!$U$4:$U$273,$B113,Data!$S$4:$S$273,$C113))</f>
        <v>0</v>
      </c>
      <c r="R113" s="18">
        <f ca="1">IF($A113="","",SUMIFS(Data!$AE$4:$AE$273,Data!$T$4:$T$273,$A113,Data!$U$4:$U$273,$B113,Data!$S$4:$S$273,$C113))</f>
        <v>0</v>
      </c>
      <c r="S113" s="18">
        <f ca="1">IF($A113="","",SUMIFS(Data!$AF$4:$AF$273,Data!$T$4:$T$273,$A113,Data!$U$4:$U$273,$B113,Data!$S$4:$S$273,$C113))</f>
        <v>0</v>
      </c>
      <c r="T113" s="18">
        <f ca="1">IF($A113="","",SUMIFS(Data!$AG$4:$AG$273,Data!$T$4:$T$273,$A113,Data!$U$4:$U$273,$B113,Data!$S$4:$S$273,$C113))</f>
        <v>0</v>
      </c>
      <c r="U113" s="18">
        <f ca="1">IF($A113="","",SUMIFS(Data!$AH$4:$AH$273,Data!$T$4:$T$273,$A113,Data!$U$4:$U$273,$B113,Data!$S$4:$S$273,$C113))</f>
        <v>0</v>
      </c>
      <c r="V113" s="18">
        <f ca="1">IF($A113="","",SUMIFS(Data!$AO$4:$AO$183,Data!$AM$4:$AM$183,$B113,Data!$AL$4:$AL$183,$A113,Data!$AK$4:$AK$183,$C113))</f>
        <v>1</v>
      </c>
      <c r="W113" s="18">
        <f ca="1">IF($A113="","",SUMIFS(Data!$AP$4:$AP$183,Data!$AM$4:$AM$183,$B113,Data!$AL$4:$AL$183,$A113,Data!$AK$4:$AK$183,$C113))</f>
        <v>0</v>
      </c>
      <c r="X113" s="18">
        <f ca="1">IF($A113="","",SUMIFS(Data!$AR$4:$AR$183,Data!$AM$4:$AM$183,$B113,Data!$AL$4:$AL$183,$A113,Data!$AK$4:$AK$183,$C113))</f>
        <v>0</v>
      </c>
      <c r="Y113" s="18">
        <f ca="1">IF($A113="","",SUMIFS(Data!$AS$4:$AS$183,Data!$AM$4:$AM$183,$B113,Data!$AL$4:$AL$183,$A113,Data!$AK$4:$AK$183,$C113))</f>
        <v>3</v>
      </c>
      <c r="Z113" s="18">
        <f ca="1">IF($A113="","",SUMIFS(Data!$AT$4:$AT$183,Data!$AM$4:$AM$183,$B113,Data!$AL$4:$AL$183,$A113,Data!$AK$4:$AK$183,$C113))</f>
        <v>0</v>
      </c>
      <c r="AA113" s="18">
        <f ca="1">IF($A113="","",SUMIFS(Data!$AW$4:$AW$183,Data!$AM$4:$AM$183,$B113,Data!$AL$4:$AL$183,$A113,Data!$AK$4:$AK$183,$C113))</f>
        <v>0</v>
      </c>
      <c r="AB113" s="18">
        <f ca="1">IF($A113="","",SUMIFS(Data!$AX$4:$AX$183,Data!$AM$4:$AM$183,$B113,Data!$AL$4:$AL$183,$A113,Data!$AK$4:$AK$183,$C113))</f>
        <v>1</v>
      </c>
      <c r="AC113" s="18">
        <f ca="1">IF($A113="","",SUMIFS(Data!$AY$4:$AY$183,Data!$AM$4:$AM$183,$B113,Data!$AL$4:$AL$183,$A113,Data!$AK$4:$AK$183,$C113))</f>
        <v>1</v>
      </c>
      <c r="AD113" s="18">
        <f t="shared" ca="1" si="3"/>
        <v>0.3333333333333333</v>
      </c>
      <c r="AE113" s="18">
        <f ca="1">IF($A113="","",SUMIFS(Data!$AJ$4:$AJ$183,Data!$AM$4:$AM$183,$B113,Data!$AL$4:$AL$183,$A113,Data!$AK$4:$AK$183,$C113))</f>
        <v>9</v>
      </c>
    </row>
    <row r="114" spans="1:31">
      <c r="A114" s="18" t="str">
        <f ca="1">IF(Data!T114="","",Data!T114)</f>
        <v>May</v>
      </c>
      <c r="B114" s="18" t="str">
        <f ca="1">IF(Data!U114="","",Data!U114)</f>
        <v>Petey Piranha</v>
      </c>
      <c r="C114" s="18" t="str">
        <f ca="1">IF(Data!S114="","",Data!S114)</f>
        <v>G7</v>
      </c>
      <c r="D114" s="18">
        <f ca="1">IF($A114="","",Data!W114)</f>
        <v>1</v>
      </c>
      <c r="E114" s="18">
        <f ca="1">IF($A114="","",Data!Y114)</f>
        <v>0</v>
      </c>
      <c r="F114" s="61">
        <f t="shared" ca="1" si="2"/>
        <v>0.0</v>
      </c>
      <c r="G114" s="18">
        <f ca="1">IF($A114="","",Data!AB114)</f>
        <v>0</v>
      </c>
      <c r="H114" s="18">
        <f ca="1">IF($A114="","",Data!AC114)</f>
        <v>0</v>
      </c>
      <c r="I114" s="18">
        <f ca="1">IF($A114="","",INT(SUMIFS(Data!$AN$4:$AN$183,Data!$AM$4:$AM$183,$B114,Data!$AL$4:$AL$183,$A114,Data!$AK$4:$AK$183,$C114))+MOD(ROUND(SUMIFS(Data!$AN$4:$AN$183,Data!$AM$4:$AM$183,$B114,Data!$AL$4:$AL$183,$A114,Data!$AK$4:$AK$183,$C114)*3,0),3)/10)</f>
        <v>0</v>
      </c>
      <c r="J114" s="18">
        <f ca="1">IF($A114="","",SUMIFS(Data!$AQ$4:$AQ$183,Data!$AM$4:$AM$183,$B114,Data!$AL$4:$AL$183,$A114,Data!$AK$4:$AK$183,$C114))</f>
        <v>0</v>
      </c>
      <c r="K114" s="62">
        <f ca="1">IF($A114="","",IF(SUMIFS(Data!$AN$4:$AN$183,Data!$AM$4:$AM$183,$B114,Data!$AL$4:$AL$183,$A114,Data!$AK$4:$AK$183,$C114)=0,"",J114*3/SUMIFS(Data!$AN$4:$AN$183,Data!$AM$4:$AM$183,$B114,Data!$AL$4:$AL$183,$A114,Data!$AK$4:$AK$183,$C114)))</f>
      </c>
      <c r="L114" s="18">
        <f ca="1">IF($A114="","",IF(IFERROR(_xlfn.XLOOKUP($C114,Bracket!$F$6:$F$16,Bracket!$K$6:$K$16,""),"")=$B114,1,0))</f>
        <v>0</v>
      </c>
      <c r="M114" s="18">
        <f ca="1">IF($A114="","",IF(AND(IFERROR(_xlfn.XLOOKUP($C114,Bracket!$F$6:$F$16,Bracket!$K$6:$K$16,""),"")=$B114,LEFT(IFERROR(_xlfn.XLOOKUP($C114,Bracket!$F$6:$F$16,Bracket!$G$6:$G$16,""),""),2)="CG"),1,0))</f>
        <v>0</v>
      </c>
      <c r="N114" s="18">
        <f ca="1">IF($A114="","",SUMIFS(Data!$X$4:$X$273,Data!$T$4:$T$273,$A114,Data!$U$4:$U$273,$B114,Data!$S$4:$S$273,$C114))</f>
        <v>0</v>
      </c>
      <c r="O114" s="18">
        <f ca="1">IF($A114="","",SUMIFS(Data!$Z$4:$Z$273,Data!$T$4:$T$273,$A114,Data!$U$4:$U$273,$B114,Data!$S$4:$S$273,$C114))</f>
        <v>0</v>
      </c>
      <c r="P114" s="18">
        <f ca="1">IF($A114="","",SUMIFS(Data!$AA$4:$AA$273,Data!$T$4:$T$273,$A114,Data!$U$4:$U$273,$B114,Data!$S$4:$S$273,$C114))</f>
        <v>0</v>
      </c>
      <c r="Q114" s="18">
        <f ca="1">IF($A114="","",SUMIFS(Data!$AD$4:$AD$273,Data!$T$4:$T$273,$A114,Data!$U$4:$U$273,$B114,Data!$S$4:$S$273,$C114))</f>
        <v>0</v>
      </c>
      <c r="R114" s="18">
        <f ca="1">IF($A114="","",SUMIFS(Data!$AE$4:$AE$273,Data!$T$4:$T$273,$A114,Data!$U$4:$U$273,$B114,Data!$S$4:$S$273,$C114))</f>
        <v>0</v>
      </c>
      <c r="S114" s="18">
        <f ca="1">IF($A114="","",SUMIFS(Data!$AF$4:$AF$273,Data!$T$4:$T$273,$A114,Data!$U$4:$U$273,$B114,Data!$S$4:$S$273,$C114))</f>
        <v>0</v>
      </c>
      <c r="T114" s="18">
        <f ca="1">IF($A114="","",SUMIFS(Data!$AG$4:$AG$273,Data!$T$4:$T$273,$A114,Data!$U$4:$U$273,$B114,Data!$S$4:$S$273,$C114))</f>
        <v>0</v>
      </c>
      <c r="U114" s="18">
        <f ca="1">IF($A114="","",SUMIFS(Data!$AH$4:$AH$273,Data!$T$4:$T$273,$A114,Data!$U$4:$U$273,$B114,Data!$S$4:$S$273,$C114))</f>
        <v>0</v>
      </c>
      <c r="V114" s="18">
        <f ca="1">IF($A114="","",SUMIFS(Data!$AO$4:$AO$183,Data!$AM$4:$AM$183,$B114,Data!$AL$4:$AL$183,$A114,Data!$AK$4:$AK$183,$C114))</f>
        <v>0</v>
      </c>
      <c r="W114" s="18">
        <f ca="1">IF($A114="","",SUMIFS(Data!$AP$4:$AP$183,Data!$AM$4:$AM$183,$B114,Data!$AL$4:$AL$183,$A114,Data!$AK$4:$AK$183,$C114))</f>
        <v>0</v>
      </c>
      <c r="X114" s="18">
        <f ca="1">IF($A114="","",SUMIFS(Data!$AR$4:$AR$183,Data!$AM$4:$AM$183,$B114,Data!$AL$4:$AL$183,$A114,Data!$AK$4:$AK$183,$C114))</f>
        <v>0</v>
      </c>
      <c r="Y114" s="18">
        <f ca="1">IF($A114="","",SUMIFS(Data!$AS$4:$AS$183,Data!$AM$4:$AM$183,$B114,Data!$AL$4:$AL$183,$A114,Data!$AK$4:$AK$183,$C114))</f>
        <v>0</v>
      </c>
      <c r="Z114" s="18">
        <f ca="1">IF($A114="","",SUMIFS(Data!$AT$4:$AT$183,Data!$AM$4:$AM$183,$B114,Data!$AL$4:$AL$183,$A114,Data!$AK$4:$AK$183,$C114))</f>
        <v>0</v>
      </c>
      <c r="AA114" s="18">
        <f ca="1">IF($A114="","",SUMIFS(Data!$AW$4:$AW$183,Data!$AM$4:$AM$183,$B114,Data!$AL$4:$AL$183,$A114,Data!$AK$4:$AK$183,$C114))</f>
        <v>0</v>
      </c>
      <c r="AB114" s="18">
        <f ca="1">IF($A114="","",SUMIFS(Data!$AX$4:$AX$183,Data!$AM$4:$AM$183,$B114,Data!$AL$4:$AL$183,$A114,Data!$AK$4:$AK$183,$C114))</f>
        <v>0</v>
      </c>
      <c r="AC114" s="18">
        <f ca="1">IF($A114="","",SUMIFS(Data!$AY$4:$AY$183,Data!$AM$4:$AM$183,$B114,Data!$AL$4:$AL$183,$A114,Data!$AK$4:$AK$183,$C114))</f>
        <v>0</v>
      </c>
      <c r="AD114" s="18">
        <f t="shared" ca="1" si="3"/>
        <v>0</v>
      </c>
      <c r="AE114" s="18">
        <f ca="1">IF($A114="","",SUMIFS(Data!$AJ$4:$AJ$183,Data!$AM$4:$AM$183,$B114,Data!$AL$4:$AL$183,$A114,Data!$AK$4:$AK$183,$C114))</f>
        <v>0</v>
      </c>
    </row>
    <row r="115" spans="1:31">
      <c r="A115" s="18" t="str">
        <f ca="1">IF(Data!T115="","",Data!T115)</f>
        <v>May</v>
      </c>
      <c r="B115" s="18" t="str">
        <f ca="1">IF(Data!U115="","",Data!U115)</f>
        <v>Red Kritter</v>
      </c>
      <c r="C115" s="18" t="str">
        <f ca="1">IF(Data!S115="","",Data!S115)</f>
        <v>G7</v>
      </c>
      <c r="D115" s="18">
        <f ca="1">IF($A115="","",Data!W115)</f>
        <v>1</v>
      </c>
      <c r="E115" s="18">
        <f ca="1">IF($A115="","",Data!Y115)</f>
        <v>0</v>
      </c>
      <c r="F115" s="61">
        <f t="shared" ca="1" si="2"/>
        <v>0.0</v>
      </c>
      <c r="G115" s="18">
        <f ca="1">IF($A115="","",Data!AB115)</f>
        <v>0</v>
      </c>
      <c r="H115" s="18">
        <f ca="1">IF($A115="","",Data!AC115)</f>
        <v>0</v>
      </c>
      <c r="I115" s="18">
        <f ca="1">IF($A115="","",INT(SUMIFS(Data!$AN$4:$AN$183,Data!$AM$4:$AM$183,$B115,Data!$AL$4:$AL$183,$A115,Data!$AK$4:$AK$183,$C115))+MOD(ROUND(SUMIFS(Data!$AN$4:$AN$183,Data!$AM$4:$AM$183,$B115,Data!$AL$4:$AL$183,$A115,Data!$AK$4:$AK$183,$C115)*3,0),3)/10)</f>
        <v>0</v>
      </c>
      <c r="J115" s="18">
        <f ca="1">IF($A115="","",SUMIFS(Data!$AQ$4:$AQ$183,Data!$AM$4:$AM$183,$B115,Data!$AL$4:$AL$183,$A115,Data!$AK$4:$AK$183,$C115))</f>
        <v>0</v>
      </c>
      <c r="K115" s="62">
        <f ca="1">IF($A115="","",IF(SUMIFS(Data!$AN$4:$AN$183,Data!$AM$4:$AM$183,$B115,Data!$AL$4:$AL$183,$A115,Data!$AK$4:$AK$183,$C115)=0,"",J115*3/SUMIFS(Data!$AN$4:$AN$183,Data!$AM$4:$AM$183,$B115,Data!$AL$4:$AL$183,$A115,Data!$AK$4:$AK$183,$C115)))</f>
      </c>
      <c r="L115" s="18">
        <f ca="1">IF($A115="","",IF(IFERROR(_xlfn.XLOOKUP($C115,Bracket!$F$6:$F$16,Bracket!$K$6:$K$16,""),"")=$B115,1,0))</f>
        <v>0</v>
      </c>
      <c r="M115" s="18">
        <f ca="1">IF($A115="","",IF(AND(IFERROR(_xlfn.XLOOKUP($C115,Bracket!$F$6:$F$16,Bracket!$K$6:$K$16,""),"")=$B115,LEFT(IFERROR(_xlfn.XLOOKUP($C115,Bracket!$F$6:$F$16,Bracket!$G$6:$G$16,""),""),2)="CG"),1,0))</f>
        <v>0</v>
      </c>
      <c r="N115" s="18">
        <f ca="1">IF($A115="","",SUMIFS(Data!$X$4:$X$273,Data!$T$4:$T$273,$A115,Data!$U$4:$U$273,$B115,Data!$S$4:$S$273,$C115))</f>
        <v>0</v>
      </c>
      <c r="O115" s="18">
        <f ca="1">IF($A115="","",SUMIFS(Data!$Z$4:$Z$273,Data!$T$4:$T$273,$A115,Data!$U$4:$U$273,$B115,Data!$S$4:$S$273,$C115))</f>
        <v>0</v>
      </c>
      <c r="P115" s="18">
        <f ca="1">IF($A115="","",SUMIFS(Data!$AA$4:$AA$273,Data!$T$4:$T$273,$A115,Data!$U$4:$U$273,$B115,Data!$S$4:$S$273,$C115))</f>
        <v>0</v>
      </c>
      <c r="Q115" s="18">
        <f ca="1">IF($A115="","",SUMIFS(Data!$AD$4:$AD$273,Data!$T$4:$T$273,$A115,Data!$U$4:$U$273,$B115,Data!$S$4:$S$273,$C115))</f>
        <v>0</v>
      </c>
      <c r="R115" s="18">
        <f ca="1">IF($A115="","",SUMIFS(Data!$AE$4:$AE$273,Data!$T$4:$T$273,$A115,Data!$U$4:$U$273,$B115,Data!$S$4:$S$273,$C115))</f>
        <v>1</v>
      </c>
      <c r="S115" s="18">
        <f ca="1">IF($A115="","",SUMIFS(Data!$AF$4:$AF$273,Data!$T$4:$T$273,$A115,Data!$U$4:$U$273,$B115,Data!$S$4:$S$273,$C115))</f>
        <v>0</v>
      </c>
      <c r="T115" s="18">
        <f ca="1">IF($A115="","",SUMIFS(Data!$AG$4:$AG$273,Data!$T$4:$T$273,$A115,Data!$U$4:$U$273,$B115,Data!$S$4:$S$273,$C115))</f>
        <v>0</v>
      </c>
      <c r="U115" s="18">
        <f ca="1">IF($A115="","",SUMIFS(Data!$AH$4:$AH$273,Data!$T$4:$T$273,$A115,Data!$U$4:$U$273,$B115,Data!$S$4:$S$273,$C115))</f>
        <v>0</v>
      </c>
      <c r="V115" s="18">
        <f ca="1">IF($A115="","",SUMIFS(Data!$AO$4:$AO$183,Data!$AM$4:$AM$183,$B115,Data!$AL$4:$AL$183,$A115,Data!$AK$4:$AK$183,$C115))</f>
        <v>0</v>
      </c>
      <c r="W115" s="18">
        <f ca="1">IF($A115="","",SUMIFS(Data!$AP$4:$AP$183,Data!$AM$4:$AM$183,$B115,Data!$AL$4:$AL$183,$A115,Data!$AK$4:$AK$183,$C115))</f>
        <v>0</v>
      </c>
      <c r="X115" s="18">
        <f ca="1">IF($A115="","",SUMIFS(Data!$AR$4:$AR$183,Data!$AM$4:$AM$183,$B115,Data!$AL$4:$AL$183,$A115,Data!$AK$4:$AK$183,$C115))</f>
        <v>0</v>
      </c>
      <c r="Y115" s="18">
        <f ca="1">IF($A115="","",SUMIFS(Data!$AS$4:$AS$183,Data!$AM$4:$AM$183,$B115,Data!$AL$4:$AL$183,$A115,Data!$AK$4:$AK$183,$C115))</f>
        <v>0</v>
      </c>
      <c r="Z115" s="18">
        <f ca="1">IF($A115="","",SUMIFS(Data!$AT$4:$AT$183,Data!$AM$4:$AM$183,$B115,Data!$AL$4:$AL$183,$A115,Data!$AK$4:$AK$183,$C115))</f>
        <v>0</v>
      </c>
      <c r="AA115" s="18">
        <f ca="1">IF($A115="","",SUMIFS(Data!$AW$4:$AW$183,Data!$AM$4:$AM$183,$B115,Data!$AL$4:$AL$183,$A115,Data!$AK$4:$AK$183,$C115))</f>
        <v>0</v>
      </c>
      <c r="AB115" s="18">
        <f ca="1">IF($A115="","",SUMIFS(Data!$AX$4:$AX$183,Data!$AM$4:$AM$183,$B115,Data!$AL$4:$AL$183,$A115,Data!$AK$4:$AK$183,$C115))</f>
        <v>0</v>
      </c>
      <c r="AC115" s="18">
        <f ca="1">IF($A115="","",SUMIFS(Data!$AY$4:$AY$183,Data!$AM$4:$AM$183,$B115,Data!$AL$4:$AL$183,$A115,Data!$AK$4:$AK$183,$C115))</f>
        <v>0</v>
      </c>
      <c r="AD115" s="18">
        <f t="shared" ca="1" si="3"/>
        <v>0</v>
      </c>
      <c r="AE115" s="18">
        <f ca="1">IF($A115="","",SUMIFS(Data!$AJ$4:$AJ$183,Data!$AM$4:$AM$183,$B115,Data!$AL$4:$AL$183,$A115,Data!$AK$4:$AK$183,$C115))</f>
        <v>0</v>
      </c>
    </row>
    <row r="116" spans="1:31">
      <c r="A116" s="18" t="str">
        <f ca="1">IF(Data!T116="","",Data!T116)</f>
        <v>May</v>
      </c>
      <c r="B116" s="18" t="str">
        <f ca="1">IF(Data!U116="","",Data!U116)</f>
        <v>Hammer Bro</v>
      </c>
      <c r="C116" s="18" t="str">
        <f ca="1">IF(Data!S116="","",Data!S116)</f>
        <v>G7</v>
      </c>
      <c r="D116" s="18">
        <f ca="1">IF($A116="","",Data!W116)</f>
        <v>0</v>
      </c>
      <c r="E116" s="18">
        <f ca="1">IF($A116="","",Data!Y116)</f>
        <v>0</v>
      </c>
      <c r="F116" s="61">
        <f t="shared" ca="1" si="2"/>
        <v>0</v>
      </c>
      <c r="G116" s="18">
        <f ca="1">IF($A116="","",Data!AB116)</f>
        <v>0</v>
      </c>
      <c r="H116" s="18">
        <f ca="1">IF($A116="","",Data!AC116)</f>
        <v>0</v>
      </c>
      <c r="I116" s="18">
        <f ca="1">IF($A116="","",INT(SUMIFS(Data!$AN$4:$AN$183,Data!$AM$4:$AM$183,$B116,Data!$AL$4:$AL$183,$A116,Data!$AK$4:$AK$183,$C116))+MOD(ROUND(SUMIFS(Data!$AN$4:$AN$183,Data!$AM$4:$AM$183,$B116,Data!$AL$4:$AL$183,$A116,Data!$AK$4:$AK$183,$C116)*3,0),3)/10)</f>
        <v>0</v>
      </c>
      <c r="J116" s="18">
        <f ca="1">IF($A116="","",SUMIFS(Data!$AQ$4:$AQ$183,Data!$AM$4:$AM$183,$B116,Data!$AL$4:$AL$183,$A116,Data!$AK$4:$AK$183,$C116))</f>
        <v>0</v>
      </c>
      <c r="K116" s="62">
        <f ca="1">IF($A116="","",IF(SUMIFS(Data!$AN$4:$AN$183,Data!$AM$4:$AM$183,$B116,Data!$AL$4:$AL$183,$A116,Data!$AK$4:$AK$183,$C116)=0,"",J116*3/SUMIFS(Data!$AN$4:$AN$183,Data!$AM$4:$AM$183,$B116,Data!$AL$4:$AL$183,$A116,Data!$AK$4:$AK$183,$C116)))</f>
      </c>
      <c r="L116" s="18">
        <f ca="1">IF($A116="","",IF(IFERROR(_xlfn.XLOOKUP($C116,Bracket!$F$6:$F$16,Bracket!$K$6:$K$16,""),"")=$B116,1,0))</f>
        <v>0</v>
      </c>
      <c r="M116" s="18">
        <f ca="1">IF($A116="","",IF(AND(IFERROR(_xlfn.XLOOKUP($C116,Bracket!$F$6:$F$16,Bracket!$K$6:$K$16,""),"")=$B116,LEFT(IFERROR(_xlfn.XLOOKUP($C116,Bracket!$F$6:$F$16,Bracket!$G$6:$G$16,""),""),2)="CG"),1,0))</f>
        <v>0</v>
      </c>
      <c r="N116" s="18">
        <f ca="1">IF($A116="","",SUMIFS(Data!$X$4:$X$273,Data!$T$4:$T$273,$A116,Data!$U$4:$U$273,$B116,Data!$S$4:$S$273,$C116))</f>
        <v>0</v>
      </c>
      <c r="O116" s="18">
        <f ca="1">IF($A116="","",SUMIFS(Data!$Z$4:$Z$273,Data!$T$4:$T$273,$A116,Data!$U$4:$U$273,$B116,Data!$S$4:$S$273,$C116))</f>
        <v>0</v>
      </c>
      <c r="P116" s="18">
        <f ca="1">IF($A116="","",SUMIFS(Data!$AA$4:$AA$273,Data!$T$4:$T$273,$A116,Data!$U$4:$U$273,$B116,Data!$S$4:$S$273,$C116))</f>
        <v>0</v>
      </c>
      <c r="Q116" s="18">
        <f ca="1">IF($A116="","",SUMIFS(Data!$AD$4:$AD$273,Data!$T$4:$T$273,$A116,Data!$U$4:$U$273,$B116,Data!$S$4:$S$273,$C116))</f>
        <v>0</v>
      </c>
      <c r="R116" s="18">
        <f ca="1">IF($A116="","",SUMIFS(Data!$AE$4:$AE$273,Data!$T$4:$T$273,$A116,Data!$U$4:$U$273,$B116,Data!$S$4:$S$273,$C116))</f>
        <v>0</v>
      </c>
      <c r="S116" s="18">
        <f ca="1">IF($A116="","",SUMIFS(Data!$AF$4:$AF$273,Data!$T$4:$T$273,$A116,Data!$U$4:$U$273,$B116,Data!$S$4:$S$273,$C116))</f>
        <v>1</v>
      </c>
      <c r="T116" s="18">
        <f ca="1">IF($A116="","",SUMIFS(Data!$AG$4:$AG$273,Data!$T$4:$T$273,$A116,Data!$U$4:$U$273,$B116,Data!$S$4:$S$273,$C116))</f>
        <v>0</v>
      </c>
      <c r="U116" s="18">
        <f ca="1">IF($A116="","",SUMIFS(Data!$AH$4:$AH$273,Data!$T$4:$T$273,$A116,Data!$U$4:$U$273,$B116,Data!$S$4:$S$273,$C116))</f>
        <v>0</v>
      </c>
      <c r="V116" s="18">
        <f ca="1">IF($A116="","",SUMIFS(Data!$AO$4:$AO$183,Data!$AM$4:$AM$183,$B116,Data!$AL$4:$AL$183,$A116,Data!$AK$4:$AK$183,$C116))</f>
        <v>0</v>
      </c>
      <c r="W116" s="18">
        <f ca="1">IF($A116="","",SUMIFS(Data!$AP$4:$AP$183,Data!$AM$4:$AM$183,$B116,Data!$AL$4:$AL$183,$A116,Data!$AK$4:$AK$183,$C116))</f>
        <v>0</v>
      </c>
      <c r="X116" s="18">
        <f ca="1">IF($A116="","",SUMIFS(Data!$AR$4:$AR$183,Data!$AM$4:$AM$183,$B116,Data!$AL$4:$AL$183,$A116,Data!$AK$4:$AK$183,$C116))</f>
        <v>0</v>
      </c>
      <c r="Y116" s="18">
        <f ca="1">IF($A116="","",SUMIFS(Data!$AS$4:$AS$183,Data!$AM$4:$AM$183,$B116,Data!$AL$4:$AL$183,$A116,Data!$AK$4:$AK$183,$C116))</f>
        <v>0</v>
      </c>
      <c r="Z116" s="18">
        <f ca="1">IF($A116="","",SUMIFS(Data!$AT$4:$AT$183,Data!$AM$4:$AM$183,$B116,Data!$AL$4:$AL$183,$A116,Data!$AK$4:$AK$183,$C116))</f>
        <v>0</v>
      </c>
      <c r="AA116" s="18">
        <f ca="1">IF($A116="","",SUMIFS(Data!$AW$4:$AW$183,Data!$AM$4:$AM$183,$B116,Data!$AL$4:$AL$183,$A116,Data!$AK$4:$AK$183,$C116))</f>
        <v>0</v>
      </c>
      <c r="AB116" s="18">
        <f ca="1">IF($A116="","",SUMIFS(Data!$AX$4:$AX$183,Data!$AM$4:$AM$183,$B116,Data!$AL$4:$AL$183,$A116,Data!$AK$4:$AK$183,$C116))</f>
        <v>0</v>
      </c>
      <c r="AC116" s="18">
        <f ca="1">IF($A116="","",SUMIFS(Data!$AY$4:$AY$183,Data!$AM$4:$AM$183,$B116,Data!$AL$4:$AL$183,$A116,Data!$AK$4:$AK$183,$C116))</f>
        <v>0</v>
      </c>
      <c r="AD116" s="18">
        <f t="shared" ca="1" si="3"/>
        <v>0</v>
      </c>
      <c r="AE116" s="18">
        <f ca="1">IF($A116="","",SUMIFS(Data!$AJ$4:$AJ$183,Data!$AM$4:$AM$183,$B116,Data!$AL$4:$AL$183,$A116,Data!$AK$4:$AK$183,$C116))</f>
        <v>0</v>
      </c>
    </row>
    <row r="117" spans="1:31">
      <c r="A117" s="18" t="str">
        <f ca="1">IF(Data!T117="","",Data!T117)</f>
        <v>May</v>
      </c>
      <c r="B117" s="18" t="str">
        <f ca="1">IF(Data!U117="","",Data!U117)</f>
        <v>Red Yoshi</v>
      </c>
      <c r="C117" s="18" t="str">
        <f ca="1">IF(Data!S117="","",Data!S117)</f>
        <v>G7</v>
      </c>
      <c r="D117" s="18">
        <f ca="1">IF($A117="","",Data!W117)</f>
        <v>1</v>
      </c>
      <c r="E117" s="18">
        <f ca="1">IF($A117="","",Data!Y117)</f>
        <v>0</v>
      </c>
      <c r="F117" s="61">
        <f t="shared" ca="1" si="2"/>
        <v>0.0</v>
      </c>
      <c r="G117" s="18">
        <f ca="1">IF($A117="","",Data!AB117)</f>
        <v>0</v>
      </c>
      <c r="H117" s="18">
        <f ca="1">IF($A117="","",Data!AC117)</f>
        <v>0</v>
      </c>
      <c r="I117" s="18">
        <f ca="1">IF($A117="","",INT(SUMIFS(Data!$AN$4:$AN$183,Data!$AM$4:$AM$183,$B117,Data!$AL$4:$AL$183,$A117,Data!$AK$4:$AK$183,$C117))+MOD(ROUND(SUMIFS(Data!$AN$4:$AN$183,Data!$AM$4:$AM$183,$B117,Data!$AL$4:$AL$183,$A117,Data!$AK$4:$AK$183,$C117)*3,0),3)/10)</f>
        <v>0</v>
      </c>
      <c r="J117" s="18">
        <f ca="1">IF($A117="","",SUMIFS(Data!$AQ$4:$AQ$183,Data!$AM$4:$AM$183,$B117,Data!$AL$4:$AL$183,$A117,Data!$AK$4:$AK$183,$C117))</f>
        <v>0</v>
      </c>
      <c r="K117" s="62">
        <f ca="1">IF($A117="","",IF(SUMIFS(Data!$AN$4:$AN$183,Data!$AM$4:$AM$183,$B117,Data!$AL$4:$AL$183,$A117,Data!$AK$4:$AK$183,$C117)=0,"",J117*3/SUMIFS(Data!$AN$4:$AN$183,Data!$AM$4:$AM$183,$B117,Data!$AL$4:$AL$183,$A117,Data!$AK$4:$AK$183,$C117)))</f>
      </c>
      <c r="L117" s="18">
        <f ca="1">IF($A117="","",IF(IFERROR(_xlfn.XLOOKUP($C117,Bracket!$F$6:$F$16,Bracket!$K$6:$K$16,""),"")=$B117,1,0))</f>
        <v>0</v>
      </c>
      <c r="M117" s="18">
        <f ca="1">IF($A117="","",IF(AND(IFERROR(_xlfn.XLOOKUP($C117,Bracket!$F$6:$F$16,Bracket!$K$6:$K$16,""),"")=$B117,LEFT(IFERROR(_xlfn.XLOOKUP($C117,Bracket!$F$6:$F$16,Bracket!$G$6:$G$16,""),""),2)="CG"),1,0))</f>
        <v>0</v>
      </c>
      <c r="N117" s="18">
        <f ca="1">IF($A117="","",SUMIFS(Data!$X$4:$X$273,Data!$T$4:$T$273,$A117,Data!$U$4:$U$273,$B117,Data!$S$4:$S$273,$C117))</f>
        <v>0</v>
      </c>
      <c r="O117" s="18">
        <f ca="1">IF($A117="","",SUMIFS(Data!$Z$4:$Z$273,Data!$T$4:$T$273,$A117,Data!$U$4:$U$273,$B117,Data!$S$4:$S$273,$C117))</f>
        <v>0</v>
      </c>
      <c r="P117" s="18">
        <f ca="1">IF($A117="","",SUMIFS(Data!$AA$4:$AA$273,Data!$T$4:$T$273,$A117,Data!$U$4:$U$273,$B117,Data!$S$4:$S$273,$C117))</f>
        <v>0</v>
      </c>
      <c r="Q117" s="18">
        <f ca="1">IF($A117="","",SUMIFS(Data!$AD$4:$AD$273,Data!$T$4:$T$273,$A117,Data!$U$4:$U$273,$B117,Data!$S$4:$S$273,$C117))</f>
        <v>0</v>
      </c>
      <c r="R117" s="18">
        <f ca="1">IF($A117="","",SUMIFS(Data!$AE$4:$AE$273,Data!$T$4:$T$273,$A117,Data!$U$4:$U$273,$B117,Data!$S$4:$S$273,$C117))</f>
        <v>0</v>
      </c>
      <c r="S117" s="18">
        <f ca="1">IF($A117="","",SUMIFS(Data!$AF$4:$AF$273,Data!$T$4:$T$273,$A117,Data!$U$4:$U$273,$B117,Data!$S$4:$S$273,$C117))</f>
        <v>0</v>
      </c>
      <c r="T117" s="18">
        <f ca="1">IF($A117="","",SUMIFS(Data!$AG$4:$AG$273,Data!$T$4:$T$273,$A117,Data!$U$4:$U$273,$B117,Data!$S$4:$S$273,$C117))</f>
        <v>0</v>
      </c>
      <c r="U117" s="18">
        <f ca="1">IF($A117="","",SUMIFS(Data!$AH$4:$AH$273,Data!$T$4:$T$273,$A117,Data!$U$4:$U$273,$B117,Data!$S$4:$S$273,$C117))</f>
        <v>0</v>
      </c>
      <c r="V117" s="18">
        <f ca="1">IF($A117="","",SUMIFS(Data!$AO$4:$AO$183,Data!$AM$4:$AM$183,$B117,Data!$AL$4:$AL$183,$A117,Data!$AK$4:$AK$183,$C117))</f>
        <v>0</v>
      </c>
      <c r="W117" s="18">
        <f ca="1">IF($A117="","",SUMIFS(Data!$AP$4:$AP$183,Data!$AM$4:$AM$183,$B117,Data!$AL$4:$AL$183,$A117,Data!$AK$4:$AK$183,$C117))</f>
        <v>0</v>
      </c>
      <c r="X117" s="18">
        <f ca="1">IF($A117="","",SUMIFS(Data!$AR$4:$AR$183,Data!$AM$4:$AM$183,$B117,Data!$AL$4:$AL$183,$A117,Data!$AK$4:$AK$183,$C117))</f>
        <v>0</v>
      </c>
      <c r="Y117" s="18">
        <f ca="1">IF($A117="","",SUMIFS(Data!$AS$4:$AS$183,Data!$AM$4:$AM$183,$B117,Data!$AL$4:$AL$183,$A117,Data!$AK$4:$AK$183,$C117))</f>
        <v>0</v>
      </c>
      <c r="Z117" s="18">
        <f ca="1">IF($A117="","",SUMIFS(Data!$AT$4:$AT$183,Data!$AM$4:$AM$183,$B117,Data!$AL$4:$AL$183,$A117,Data!$AK$4:$AK$183,$C117))</f>
        <v>0</v>
      </c>
      <c r="AA117" s="18">
        <f ca="1">IF($A117="","",SUMIFS(Data!$AW$4:$AW$183,Data!$AM$4:$AM$183,$B117,Data!$AL$4:$AL$183,$A117,Data!$AK$4:$AK$183,$C117))</f>
        <v>0</v>
      </c>
      <c r="AB117" s="18">
        <f ca="1">IF($A117="","",SUMIFS(Data!$AX$4:$AX$183,Data!$AM$4:$AM$183,$B117,Data!$AL$4:$AL$183,$A117,Data!$AK$4:$AK$183,$C117))</f>
        <v>0</v>
      </c>
      <c r="AC117" s="18">
        <f ca="1">IF($A117="","",SUMIFS(Data!$AY$4:$AY$183,Data!$AM$4:$AM$183,$B117,Data!$AL$4:$AL$183,$A117,Data!$AK$4:$AK$183,$C117))</f>
        <v>0</v>
      </c>
      <c r="AD117" s="18">
        <f t="shared" ca="1" si="3"/>
        <v>0</v>
      </c>
      <c r="AE117" s="18">
        <f ca="1">IF($A117="","",SUMIFS(Data!$AJ$4:$AJ$183,Data!$AM$4:$AM$183,$B117,Data!$AL$4:$AL$183,$A117,Data!$AK$4:$AK$183,$C117))</f>
        <v>0</v>
      </c>
    </row>
    <row r="118" spans="1:31">
      <c r="A118" s="18" t="str">
        <f ca="1">IF(Data!T118="","",Data!T118)</f>
        <v>May</v>
      </c>
      <c r="B118" s="18" t="str">
        <f ca="1">IF(Data!U118="","",Data!U118)</f>
        <v>Koopa</v>
      </c>
      <c r="C118" s="18" t="str">
        <f ca="1">IF(Data!S118="","",Data!S118)</f>
        <v>G7</v>
      </c>
      <c r="D118" s="18">
        <f ca="1">IF($A118="","",Data!W118)</f>
        <v>1</v>
      </c>
      <c r="E118" s="18">
        <f ca="1">IF($A118="","",Data!Y118)</f>
        <v>0</v>
      </c>
      <c r="F118" s="61">
        <f t="shared" ca="1" si="2"/>
        <v>0.0</v>
      </c>
      <c r="G118" s="18">
        <f ca="1">IF($A118="","",Data!AB118)</f>
        <v>0</v>
      </c>
      <c r="H118" s="18">
        <f ca="1">IF($A118="","",Data!AC118)</f>
        <v>0</v>
      </c>
      <c r="I118" s="18">
        <f ca="1">IF($A118="","",INT(SUMIFS(Data!$AN$4:$AN$183,Data!$AM$4:$AM$183,$B118,Data!$AL$4:$AL$183,$A118,Data!$AK$4:$AK$183,$C118))+MOD(ROUND(SUMIFS(Data!$AN$4:$AN$183,Data!$AM$4:$AM$183,$B118,Data!$AL$4:$AL$183,$A118,Data!$AK$4:$AK$183,$C118)*3,0),3)/10)</f>
        <v>0</v>
      </c>
      <c r="J118" s="18">
        <f ca="1">IF($A118="","",SUMIFS(Data!$AQ$4:$AQ$183,Data!$AM$4:$AM$183,$B118,Data!$AL$4:$AL$183,$A118,Data!$AK$4:$AK$183,$C118))</f>
        <v>0</v>
      </c>
      <c r="K118" s="62">
        <f ca="1">IF($A118="","",IF(SUMIFS(Data!$AN$4:$AN$183,Data!$AM$4:$AM$183,$B118,Data!$AL$4:$AL$183,$A118,Data!$AK$4:$AK$183,$C118)=0,"",J118*3/SUMIFS(Data!$AN$4:$AN$183,Data!$AM$4:$AM$183,$B118,Data!$AL$4:$AL$183,$A118,Data!$AK$4:$AK$183,$C118)))</f>
      </c>
      <c r="L118" s="18">
        <f ca="1">IF($A118="","",IF(IFERROR(_xlfn.XLOOKUP($C118,Bracket!$F$6:$F$16,Bracket!$K$6:$K$16,""),"")=$B118,1,0))</f>
        <v>0</v>
      </c>
      <c r="M118" s="18">
        <f ca="1">IF($A118="","",IF(AND(IFERROR(_xlfn.XLOOKUP($C118,Bracket!$F$6:$F$16,Bracket!$K$6:$K$16,""),"")=$B118,LEFT(IFERROR(_xlfn.XLOOKUP($C118,Bracket!$F$6:$F$16,Bracket!$G$6:$G$16,""),""),2)="CG"),1,0))</f>
        <v>0</v>
      </c>
      <c r="N118" s="18">
        <f ca="1">IF($A118="","",SUMIFS(Data!$X$4:$X$273,Data!$T$4:$T$273,$A118,Data!$U$4:$U$273,$B118,Data!$S$4:$S$273,$C118))</f>
        <v>0</v>
      </c>
      <c r="O118" s="18">
        <f ca="1">IF($A118="","",SUMIFS(Data!$Z$4:$Z$273,Data!$T$4:$T$273,$A118,Data!$U$4:$U$273,$B118,Data!$S$4:$S$273,$C118))</f>
        <v>0</v>
      </c>
      <c r="P118" s="18">
        <f ca="1">IF($A118="","",SUMIFS(Data!$AA$4:$AA$273,Data!$T$4:$T$273,$A118,Data!$U$4:$U$273,$B118,Data!$S$4:$S$273,$C118))</f>
        <v>0</v>
      </c>
      <c r="Q118" s="18">
        <f ca="1">IF($A118="","",SUMIFS(Data!$AD$4:$AD$273,Data!$T$4:$T$273,$A118,Data!$U$4:$U$273,$B118,Data!$S$4:$S$273,$C118))</f>
        <v>0</v>
      </c>
      <c r="R118" s="18">
        <f ca="1">IF($A118="","",SUMIFS(Data!$AE$4:$AE$273,Data!$T$4:$T$273,$A118,Data!$U$4:$U$273,$B118,Data!$S$4:$S$273,$C118))</f>
        <v>0</v>
      </c>
      <c r="S118" s="18">
        <f ca="1">IF($A118="","",SUMIFS(Data!$AF$4:$AF$273,Data!$T$4:$T$273,$A118,Data!$U$4:$U$273,$B118,Data!$S$4:$S$273,$C118))</f>
        <v>0</v>
      </c>
      <c r="T118" s="18">
        <f ca="1">IF($A118="","",SUMIFS(Data!$AG$4:$AG$273,Data!$T$4:$T$273,$A118,Data!$U$4:$U$273,$B118,Data!$S$4:$S$273,$C118))</f>
        <v>0</v>
      </c>
      <c r="U118" s="18">
        <f ca="1">IF($A118="","",SUMIFS(Data!$AH$4:$AH$273,Data!$T$4:$T$273,$A118,Data!$U$4:$U$273,$B118,Data!$S$4:$S$273,$C118))</f>
        <v>0</v>
      </c>
      <c r="V118" s="18">
        <f ca="1">IF($A118="","",SUMIFS(Data!$AO$4:$AO$183,Data!$AM$4:$AM$183,$B118,Data!$AL$4:$AL$183,$A118,Data!$AK$4:$AK$183,$C118))</f>
        <v>0</v>
      </c>
      <c r="W118" s="18">
        <f ca="1">IF($A118="","",SUMIFS(Data!$AP$4:$AP$183,Data!$AM$4:$AM$183,$B118,Data!$AL$4:$AL$183,$A118,Data!$AK$4:$AK$183,$C118))</f>
        <v>0</v>
      </c>
      <c r="X118" s="18">
        <f ca="1">IF($A118="","",SUMIFS(Data!$AR$4:$AR$183,Data!$AM$4:$AM$183,$B118,Data!$AL$4:$AL$183,$A118,Data!$AK$4:$AK$183,$C118))</f>
        <v>0</v>
      </c>
      <c r="Y118" s="18">
        <f ca="1">IF($A118="","",SUMIFS(Data!$AS$4:$AS$183,Data!$AM$4:$AM$183,$B118,Data!$AL$4:$AL$183,$A118,Data!$AK$4:$AK$183,$C118))</f>
        <v>0</v>
      </c>
      <c r="Z118" s="18">
        <f ca="1">IF($A118="","",SUMIFS(Data!$AT$4:$AT$183,Data!$AM$4:$AM$183,$B118,Data!$AL$4:$AL$183,$A118,Data!$AK$4:$AK$183,$C118))</f>
        <v>0</v>
      </c>
      <c r="AA118" s="18">
        <f ca="1">IF($A118="","",SUMIFS(Data!$AW$4:$AW$183,Data!$AM$4:$AM$183,$B118,Data!$AL$4:$AL$183,$A118,Data!$AK$4:$AK$183,$C118))</f>
        <v>0</v>
      </c>
      <c r="AB118" s="18">
        <f ca="1">IF($A118="","",SUMIFS(Data!$AX$4:$AX$183,Data!$AM$4:$AM$183,$B118,Data!$AL$4:$AL$183,$A118,Data!$AK$4:$AK$183,$C118))</f>
        <v>0</v>
      </c>
      <c r="AC118" s="18">
        <f ca="1">IF($A118="","",SUMIFS(Data!$AY$4:$AY$183,Data!$AM$4:$AM$183,$B118,Data!$AL$4:$AL$183,$A118,Data!$AK$4:$AK$183,$C118))</f>
        <v>0</v>
      </c>
      <c r="AD118" s="18">
        <f t="shared" ca="1" si="3"/>
        <v>0</v>
      </c>
      <c r="AE118" s="18">
        <f ca="1">IF($A118="","",SUMIFS(Data!$AJ$4:$AJ$183,Data!$AM$4:$AM$183,$B118,Data!$AL$4:$AL$183,$A118,Data!$AK$4:$AK$183,$C118))</f>
        <v>0</v>
      </c>
    </row>
    <row r="119" spans="1:31">
      <c r="A119" s="18" t="str">
        <f ca="1">IF(Data!T119="","",Data!T119)</f>
        <v>May</v>
      </c>
      <c r="B119" s="18" t="str">
        <f ca="1">IF(Data!U119="","",Data!U119)</f>
        <v>Green Shy Guy</v>
      </c>
      <c r="C119" s="18" t="str">
        <f ca="1">IF(Data!S119="","",Data!S119)</f>
        <v>G7</v>
      </c>
      <c r="D119" s="18">
        <f ca="1">IF($A119="","",Data!W119)</f>
        <v>1</v>
      </c>
      <c r="E119" s="18">
        <f ca="1">IF($A119="","",Data!Y119)</f>
        <v>0</v>
      </c>
      <c r="F119" s="61">
        <f t="shared" ca="1" si="2"/>
        <v>0.0</v>
      </c>
      <c r="G119" s="18">
        <f ca="1">IF($A119="","",Data!AB119)</f>
        <v>0</v>
      </c>
      <c r="H119" s="18">
        <f ca="1">IF($A119="","",Data!AC119)</f>
        <v>0</v>
      </c>
      <c r="I119" s="18">
        <f ca="1">IF($A119="","",INT(SUMIFS(Data!$AN$4:$AN$183,Data!$AM$4:$AM$183,$B119,Data!$AL$4:$AL$183,$A119,Data!$AK$4:$AK$183,$C119))+MOD(ROUND(SUMIFS(Data!$AN$4:$AN$183,Data!$AM$4:$AM$183,$B119,Data!$AL$4:$AL$183,$A119,Data!$AK$4:$AK$183,$C119)*3,0),3)/10)</f>
        <v>0</v>
      </c>
      <c r="J119" s="18">
        <f ca="1">IF($A119="","",SUMIFS(Data!$AQ$4:$AQ$183,Data!$AM$4:$AM$183,$B119,Data!$AL$4:$AL$183,$A119,Data!$AK$4:$AK$183,$C119))</f>
        <v>0</v>
      </c>
      <c r="K119" s="62">
        <f ca="1">IF($A119="","",IF(SUMIFS(Data!$AN$4:$AN$183,Data!$AM$4:$AM$183,$B119,Data!$AL$4:$AL$183,$A119,Data!$AK$4:$AK$183,$C119)=0,"",J119*3/SUMIFS(Data!$AN$4:$AN$183,Data!$AM$4:$AM$183,$B119,Data!$AL$4:$AL$183,$A119,Data!$AK$4:$AK$183,$C119)))</f>
      </c>
      <c r="L119" s="18">
        <f ca="1">IF($A119="","",IF(IFERROR(_xlfn.XLOOKUP($C119,Bracket!$F$6:$F$16,Bracket!$K$6:$K$16,""),"")=$B119,1,0))</f>
        <v>0</v>
      </c>
      <c r="M119" s="18">
        <f ca="1">IF($A119="","",IF(AND(IFERROR(_xlfn.XLOOKUP($C119,Bracket!$F$6:$F$16,Bracket!$K$6:$K$16,""),"")=$B119,LEFT(IFERROR(_xlfn.XLOOKUP($C119,Bracket!$F$6:$F$16,Bracket!$G$6:$G$16,""),""),2)="CG"),1,0))</f>
        <v>0</v>
      </c>
      <c r="N119" s="18">
        <f ca="1">IF($A119="","",SUMIFS(Data!$X$4:$X$273,Data!$T$4:$T$273,$A119,Data!$U$4:$U$273,$B119,Data!$S$4:$S$273,$C119))</f>
        <v>0</v>
      </c>
      <c r="O119" s="18">
        <f ca="1">IF($A119="","",SUMIFS(Data!$Z$4:$Z$273,Data!$T$4:$T$273,$A119,Data!$U$4:$U$273,$B119,Data!$S$4:$S$273,$C119))</f>
        <v>0</v>
      </c>
      <c r="P119" s="18">
        <f ca="1">IF($A119="","",SUMIFS(Data!$AA$4:$AA$273,Data!$T$4:$T$273,$A119,Data!$U$4:$U$273,$B119,Data!$S$4:$S$273,$C119))</f>
        <v>0</v>
      </c>
      <c r="Q119" s="18">
        <f ca="1">IF($A119="","",SUMIFS(Data!$AD$4:$AD$273,Data!$T$4:$T$273,$A119,Data!$U$4:$U$273,$B119,Data!$S$4:$S$273,$C119))</f>
        <v>0</v>
      </c>
      <c r="R119" s="18">
        <f ca="1">IF($A119="","",SUMIFS(Data!$AE$4:$AE$273,Data!$T$4:$T$273,$A119,Data!$U$4:$U$273,$B119,Data!$S$4:$S$273,$C119))</f>
        <v>1</v>
      </c>
      <c r="S119" s="18">
        <f ca="1">IF($A119="","",SUMIFS(Data!$AF$4:$AF$273,Data!$T$4:$T$273,$A119,Data!$U$4:$U$273,$B119,Data!$S$4:$S$273,$C119))</f>
        <v>0</v>
      </c>
      <c r="T119" s="18">
        <f ca="1">IF($A119="","",SUMIFS(Data!$AG$4:$AG$273,Data!$T$4:$T$273,$A119,Data!$U$4:$U$273,$B119,Data!$S$4:$S$273,$C119))</f>
        <v>0</v>
      </c>
      <c r="U119" s="18">
        <f ca="1">IF($A119="","",SUMIFS(Data!$AH$4:$AH$273,Data!$T$4:$T$273,$A119,Data!$U$4:$U$273,$B119,Data!$S$4:$S$273,$C119))</f>
        <v>0</v>
      </c>
      <c r="V119" s="18">
        <f ca="1">IF($A119="","",SUMIFS(Data!$AO$4:$AO$183,Data!$AM$4:$AM$183,$B119,Data!$AL$4:$AL$183,$A119,Data!$AK$4:$AK$183,$C119))</f>
        <v>0</v>
      </c>
      <c r="W119" s="18">
        <f ca="1">IF($A119="","",SUMIFS(Data!$AP$4:$AP$183,Data!$AM$4:$AM$183,$B119,Data!$AL$4:$AL$183,$A119,Data!$AK$4:$AK$183,$C119))</f>
        <v>0</v>
      </c>
      <c r="X119" s="18">
        <f ca="1">IF($A119="","",SUMIFS(Data!$AR$4:$AR$183,Data!$AM$4:$AM$183,$B119,Data!$AL$4:$AL$183,$A119,Data!$AK$4:$AK$183,$C119))</f>
        <v>0</v>
      </c>
      <c r="Y119" s="18">
        <f ca="1">IF($A119="","",SUMIFS(Data!$AS$4:$AS$183,Data!$AM$4:$AM$183,$B119,Data!$AL$4:$AL$183,$A119,Data!$AK$4:$AK$183,$C119))</f>
        <v>0</v>
      </c>
      <c r="Z119" s="18">
        <f ca="1">IF($A119="","",SUMIFS(Data!$AT$4:$AT$183,Data!$AM$4:$AM$183,$B119,Data!$AL$4:$AL$183,$A119,Data!$AK$4:$AK$183,$C119))</f>
        <v>0</v>
      </c>
      <c r="AA119" s="18">
        <f ca="1">IF($A119="","",SUMIFS(Data!$AW$4:$AW$183,Data!$AM$4:$AM$183,$B119,Data!$AL$4:$AL$183,$A119,Data!$AK$4:$AK$183,$C119))</f>
        <v>0</v>
      </c>
      <c r="AB119" s="18">
        <f ca="1">IF($A119="","",SUMIFS(Data!$AX$4:$AX$183,Data!$AM$4:$AM$183,$B119,Data!$AL$4:$AL$183,$A119,Data!$AK$4:$AK$183,$C119))</f>
        <v>0</v>
      </c>
      <c r="AC119" s="18">
        <f ca="1">IF($A119="","",SUMIFS(Data!$AY$4:$AY$183,Data!$AM$4:$AM$183,$B119,Data!$AL$4:$AL$183,$A119,Data!$AK$4:$AK$183,$C119))</f>
        <v>0</v>
      </c>
      <c r="AD119" s="18">
        <f t="shared" ca="1" si="3"/>
        <v>0</v>
      </c>
      <c r="AE119" s="18">
        <f ca="1">IF($A119="","",SUMIFS(Data!$AJ$4:$AJ$183,Data!$AM$4:$AM$183,$B119,Data!$AL$4:$AL$183,$A119,Data!$AK$4:$AK$183,$C119))</f>
        <v>0</v>
      </c>
    </row>
    <row r="120" spans="1:31">
      <c r="A120" s="18" t="str">
        <f ca="1">IF(Data!T120="","",Data!T120)</f>
        <v>May</v>
      </c>
      <c r="B120" s="18" t="str">
        <f ca="1">IF(Data!U120="","",Data!U120)</f>
        <v>Baby Peach</v>
      </c>
      <c r="C120" s="18" t="str">
        <f ca="1">IF(Data!S120="","",Data!S120)</f>
        <v>G7</v>
      </c>
      <c r="D120" s="18">
        <f ca="1">IF($A120="","",Data!W120)</f>
        <v>0</v>
      </c>
      <c r="E120" s="18">
        <f ca="1">IF($A120="","",Data!Y120)</f>
        <v>0</v>
      </c>
      <c r="F120" s="61">
        <f t="shared" ca="1" si="2"/>
        <v>0</v>
      </c>
      <c r="G120" s="18">
        <f ca="1">IF($A120="","",Data!AB120)</f>
        <v>0</v>
      </c>
      <c r="H120" s="18">
        <f ca="1">IF($A120="","",Data!AC120)</f>
        <v>0</v>
      </c>
      <c r="I120" s="18">
        <f ca="1">IF($A120="","",INT(SUMIFS(Data!$AN$4:$AN$183,Data!$AM$4:$AM$183,$B120,Data!$AL$4:$AL$183,$A120,Data!$AK$4:$AK$183,$C120))+MOD(ROUND(SUMIFS(Data!$AN$4:$AN$183,Data!$AM$4:$AM$183,$B120,Data!$AL$4:$AL$183,$A120,Data!$AK$4:$AK$183,$C120)*3,0),3)/10)</f>
        <v>0</v>
      </c>
      <c r="J120" s="18">
        <f ca="1">IF($A120="","",SUMIFS(Data!$AQ$4:$AQ$183,Data!$AM$4:$AM$183,$B120,Data!$AL$4:$AL$183,$A120,Data!$AK$4:$AK$183,$C120))</f>
        <v>0</v>
      </c>
      <c r="K120" s="62">
        <f ca="1">IF($A120="","",IF(SUMIFS(Data!$AN$4:$AN$183,Data!$AM$4:$AM$183,$B120,Data!$AL$4:$AL$183,$A120,Data!$AK$4:$AK$183,$C120)=0,"",J120*3/SUMIFS(Data!$AN$4:$AN$183,Data!$AM$4:$AM$183,$B120,Data!$AL$4:$AL$183,$A120,Data!$AK$4:$AK$183,$C120)))</f>
      </c>
      <c r="L120" s="18">
        <f ca="1">IF($A120="","",IF(IFERROR(_xlfn.XLOOKUP($C120,Bracket!$F$6:$F$16,Bracket!$K$6:$K$16,""),"")=$B120,1,0))</f>
        <v>0</v>
      </c>
      <c r="M120" s="18">
        <f ca="1">IF($A120="","",IF(AND(IFERROR(_xlfn.XLOOKUP($C120,Bracket!$F$6:$F$16,Bracket!$K$6:$K$16,""),"")=$B120,LEFT(IFERROR(_xlfn.XLOOKUP($C120,Bracket!$F$6:$F$16,Bracket!$G$6:$G$16,""),""),2)="CG"),1,0))</f>
        <v>0</v>
      </c>
      <c r="N120" s="18">
        <f ca="1">IF($A120="","",SUMIFS(Data!$X$4:$X$273,Data!$T$4:$T$273,$A120,Data!$U$4:$U$273,$B120,Data!$S$4:$S$273,$C120))</f>
        <v>0</v>
      </c>
      <c r="O120" s="18">
        <f ca="1">IF($A120="","",SUMIFS(Data!$Z$4:$Z$273,Data!$T$4:$T$273,$A120,Data!$U$4:$U$273,$B120,Data!$S$4:$S$273,$C120))</f>
        <v>0</v>
      </c>
      <c r="P120" s="18">
        <f ca="1">IF($A120="","",SUMIFS(Data!$AA$4:$AA$273,Data!$T$4:$T$273,$A120,Data!$U$4:$U$273,$B120,Data!$S$4:$S$273,$C120))</f>
        <v>0</v>
      </c>
      <c r="Q120" s="18">
        <f ca="1">IF($A120="","",SUMIFS(Data!$AD$4:$AD$273,Data!$T$4:$T$273,$A120,Data!$U$4:$U$273,$B120,Data!$S$4:$S$273,$C120))</f>
        <v>0</v>
      </c>
      <c r="R120" s="18">
        <f ca="1">IF($A120="","",SUMIFS(Data!$AE$4:$AE$273,Data!$T$4:$T$273,$A120,Data!$U$4:$U$273,$B120,Data!$S$4:$S$273,$C120))</f>
        <v>0</v>
      </c>
      <c r="S120" s="18">
        <f ca="1">IF($A120="","",SUMIFS(Data!$AF$4:$AF$273,Data!$T$4:$T$273,$A120,Data!$U$4:$U$273,$B120,Data!$S$4:$S$273,$C120))</f>
        <v>0</v>
      </c>
      <c r="T120" s="18">
        <f ca="1">IF($A120="","",SUMIFS(Data!$AG$4:$AG$273,Data!$T$4:$T$273,$A120,Data!$U$4:$U$273,$B120,Data!$S$4:$S$273,$C120))</f>
        <v>0</v>
      </c>
      <c r="U120" s="18">
        <f ca="1">IF($A120="","",SUMIFS(Data!$AH$4:$AH$273,Data!$T$4:$T$273,$A120,Data!$U$4:$U$273,$B120,Data!$S$4:$S$273,$C120))</f>
        <v>0</v>
      </c>
      <c r="V120" s="18">
        <f ca="1">IF($A120="","",SUMIFS(Data!$AO$4:$AO$183,Data!$AM$4:$AM$183,$B120,Data!$AL$4:$AL$183,$A120,Data!$AK$4:$AK$183,$C120))</f>
        <v>0</v>
      </c>
      <c r="W120" s="18">
        <f ca="1">IF($A120="","",SUMIFS(Data!$AP$4:$AP$183,Data!$AM$4:$AM$183,$B120,Data!$AL$4:$AL$183,$A120,Data!$AK$4:$AK$183,$C120))</f>
        <v>0</v>
      </c>
      <c r="X120" s="18">
        <f ca="1">IF($A120="","",SUMIFS(Data!$AR$4:$AR$183,Data!$AM$4:$AM$183,$B120,Data!$AL$4:$AL$183,$A120,Data!$AK$4:$AK$183,$C120))</f>
        <v>0</v>
      </c>
      <c r="Y120" s="18">
        <f ca="1">IF($A120="","",SUMIFS(Data!$AS$4:$AS$183,Data!$AM$4:$AM$183,$B120,Data!$AL$4:$AL$183,$A120,Data!$AK$4:$AK$183,$C120))</f>
        <v>0</v>
      </c>
      <c r="Z120" s="18">
        <f ca="1">IF($A120="","",SUMIFS(Data!$AT$4:$AT$183,Data!$AM$4:$AM$183,$B120,Data!$AL$4:$AL$183,$A120,Data!$AK$4:$AK$183,$C120))</f>
        <v>0</v>
      </c>
      <c r="AA120" s="18">
        <f ca="1">IF($A120="","",SUMIFS(Data!$AW$4:$AW$183,Data!$AM$4:$AM$183,$B120,Data!$AL$4:$AL$183,$A120,Data!$AK$4:$AK$183,$C120))</f>
        <v>0</v>
      </c>
      <c r="AB120" s="18">
        <f ca="1">IF($A120="","",SUMIFS(Data!$AX$4:$AX$183,Data!$AM$4:$AM$183,$B120,Data!$AL$4:$AL$183,$A120,Data!$AK$4:$AK$183,$C120))</f>
        <v>0</v>
      </c>
      <c r="AC120" s="18">
        <f ca="1">IF($A120="","",SUMIFS(Data!$AY$4:$AY$183,Data!$AM$4:$AM$183,$B120,Data!$AL$4:$AL$183,$A120,Data!$AK$4:$AK$183,$C120))</f>
        <v>0</v>
      </c>
      <c r="AD120" s="18">
        <f t="shared" ca="1" si="3"/>
        <v>0</v>
      </c>
      <c r="AE120" s="18">
        <f ca="1">IF($A120="","",SUMIFS(Data!$AJ$4:$AJ$183,Data!$AM$4:$AM$183,$B120,Data!$AL$4:$AL$183,$A120,Data!$AK$4:$AK$183,$C120))</f>
        <v>0</v>
      </c>
    </row>
    <row r="121" spans="1:31">
      <c r="A121" s="18" t="str">
        <f ca="1">IF(Data!T121="","",Data!T121)</f>
        <v>Donovan</v>
      </c>
      <c r="B121" s="18" t="str">
        <f ca="1">IF(Data!U121="","",Data!U121)</f>
        <v>Donkey Kong</v>
      </c>
      <c r="C121" s="18" t="str">
        <f ca="1">IF(Data!S121="","",Data!S121)</f>
        <v>G7</v>
      </c>
      <c r="D121" s="18">
        <f ca="1">IF($A121="","",Data!W121)</f>
        <v>1</v>
      </c>
      <c r="E121" s="18">
        <f ca="1">IF($A121="","",Data!Y121)</f>
        <v>0</v>
      </c>
      <c r="F121" s="61">
        <f t="shared" ca="1" si="2"/>
        <v>0.0</v>
      </c>
      <c r="G121" s="18">
        <f ca="1">IF($A121="","",Data!AB121)</f>
        <v>0</v>
      </c>
      <c r="H121" s="18">
        <f ca="1">IF($A121="","",Data!AC121)</f>
        <v>0</v>
      </c>
      <c r="I121" s="18">
        <f ca="1">IF($A121="","",INT(SUMIFS(Data!$AN$4:$AN$183,Data!$AM$4:$AM$183,$B121,Data!$AL$4:$AL$183,$A121,Data!$AK$4:$AK$183,$C121))+MOD(ROUND(SUMIFS(Data!$AN$4:$AN$183,Data!$AM$4:$AM$183,$B121,Data!$AL$4:$AL$183,$A121,Data!$AK$4:$AK$183,$C121)*3,0),3)/10)</f>
        <v>0</v>
      </c>
      <c r="J121" s="18">
        <f ca="1">IF($A121="","",SUMIFS(Data!$AQ$4:$AQ$183,Data!$AM$4:$AM$183,$B121,Data!$AL$4:$AL$183,$A121,Data!$AK$4:$AK$183,$C121))</f>
        <v>0</v>
      </c>
      <c r="K121" s="62">
        <f ca="1">IF($A121="","",IF(SUMIFS(Data!$AN$4:$AN$183,Data!$AM$4:$AM$183,$B121,Data!$AL$4:$AL$183,$A121,Data!$AK$4:$AK$183,$C121)=0,"",J121*3/SUMIFS(Data!$AN$4:$AN$183,Data!$AM$4:$AM$183,$B121,Data!$AL$4:$AL$183,$A121,Data!$AK$4:$AK$183,$C121)))</f>
      </c>
      <c r="L121" s="18">
        <f ca="1">IF($A121="","",IF(IFERROR(_xlfn.XLOOKUP($C121,Bracket!$F$6:$F$16,Bracket!$K$6:$K$16,""),"")=$B121,1,0))</f>
        <v>0</v>
      </c>
      <c r="M121" s="18">
        <f ca="1">IF($A121="","",IF(AND(IFERROR(_xlfn.XLOOKUP($C121,Bracket!$F$6:$F$16,Bracket!$K$6:$K$16,""),"")=$B121,LEFT(IFERROR(_xlfn.XLOOKUP($C121,Bracket!$F$6:$F$16,Bracket!$G$6:$G$16,""),""),2)="CG"),1,0))</f>
        <v>0</v>
      </c>
      <c r="N121" s="18">
        <f ca="1">IF($A121="","",SUMIFS(Data!$X$4:$X$273,Data!$T$4:$T$273,$A121,Data!$U$4:$U$273,$B121,Data!$S$4:$S$273,$C121))</f>
        <v>0</v>
      </c>
      <c r="O121" s="18">
        <f ca="1">IF($A121="","",SUMIFS(Data!$Z$4:$Z$273,Data!$T$4:$T$273,$A121,Data!$U$4:$U$273,$B121,Data!$S$4:$S$273,$C121))</f>
        <v>0</v>
      </c>
      <c r="P121" s="18">
        <f ca="1">IF($A121="","",SUMIFS(Data!$AA$4:$AA$273,Data!$T$4:$T$273,$A121,Data!$U$4:$U$273,$B121,Data!$S$4:$S$273,$C121))</f>
        <v>0</v>
      </c>
      <c r="Q121" s="18">
        <f ca="1">IF($A121="","",SUMIFS(Data!$AD$4:$AD$273,Data!$T$4:$T$273,$A121,Data!$U$4:$U$273,$B121,Data!$S$4:$S$273,$C121))</f>
        <v>0</v>
      </c>
      <c r="R121" s="18">
        <f ca="1">IF($A121="","",SUMIFS(Data!$AE$4:$AE$273,Data!$T$4:$T$273,$A121,Data!$U$4:$U$273,$B121,Data!$S$4:$S$273,$C121))</f>
        <v>1</v>
      </c>
      <c r="S121" s="18">
        <f ca="1">IF($A121="","",SUMIFS(Data!$AF$4:$AF$273,Data!$T$4:$T$273,$A121,Data!$U$4:$U$273,$B121,Data!$S$4:$S$273,$C121))</f>
        <v>0</v>
      </c>
      <c r="T121" s="18">
        <f ca="1">IF($A121="","",SUMIFS(Data!$AG$4:$AG$273,Data!$T$4:$T$273,$A121,Data!$U$4:$U$273,$B121,Data!$S$4:$S$273,$C121))</f>
        <v>0</v>
      </c>
      <c r="U121" s="18">
        <f ca="1">IF($A121="","",SUMIFS(Data!$AH$4:$AH$273,Data!$T$4:$T$273,$A121,Data!$U$4:$U$273,$B121,Data!$S$4:$S$273,$C121))</f>
        <v>0</v>
      </c>
      <c r="V121" s="18">
        <f ca="1">IF($A121="","",SUMIFS(Data!$AO$4:$AO$183,Data!$AM$4:$AM$183,$B121,Data!$AL$4:$AL$183,$A121,Data!$AK$4:$AK$183,$C121))</f>
        <v>0</v>
      </c>
      <c r="W121" s="18">
        <f ca="1">IF($A121="","",SUMIFS(Data!$AP$4:$AP$183,Data!$AM$4:$AM$183,$B121,Data!$AL$4:$AL$183,$A121,Data!$AK$4:$AK$183,$C121))</f>
        <v>0</v>
      </c>
      <c r="X121" s="18">
        <f ca="1">IF($A121="","",SUMIFS(Data!$AR$4:$AR$183,Data!$AM$4:$AM$183,$B121,Data!$AL$4:$AL$183,$A121,Data!$AK$4:$AK$183,$C121))</f>
        <v>0</v>
      </c>
      <c r="Y121" s="18">
        <f ca="1">IF($A121="","",SUMIFS(Data!$AS$4:$AS$183,Data!$AM$4:$AM$183,$B121,Data!$AL$4:$AL$183,$A121,Data!$AK$4:$AK$183,$C121))</f>
        <v>0</v>
      </c>
      <c r="Z121" s="18">
        <f ca="1">IF($A121="","",SUMIFS(Data!$AT$4:$AT$183,Data!$AM$4:$AM$183,$B121,Data!$AL$4:$AL$183,$A121,Data!$AK$4:$AK$183,$C121))</f>
        <v>0</v>
      </c>
      <c r="AA121" s="18">
        <f ca="1">IF($A121="","",SUMIFS(Data!$AW$4:$AW$183,Data!$AM$4:$AM$183,$B121,Data!$AL$4:$AL$183,$A121,Data!$AK$4:$AK$183,$C121))</f>
        <v>0</v>
      </c>
      <c r="AB121" s="18">
        <f ca="1">IF($A121="","",SUMIFS(Data!$AX$4:$AX$183,Data!$AM$4:$AM$183,$B121,Data!$AL$4:$AL$183,$A121,Data!$AK$4:$AK$183,$C121))</f>
        <v>0</v>
      </c>
      <c r="AC121" s="18">
        <f ca="1">IF($A121="","",SUMIFS(Data!$AY$4:$AY$183,Data!$AM$4:$AM$183,$B121,Data!$AL$4:$AL$183,$A121,Data!$AK$4:$AK$183,$C121))</f>
        <v>0</v>
      </c>
      <c r="AD121" s="18">
        <f t="shared" ca="1" si="3"/>
        <v>0</v>
      </c>
      <c r="AE121" s="18">
        <f ca="1">IF($A121="","",SUMIFS(Data!$AJ$4:$AJ$183,Data!$AM$4:$AM$183,$B121,Data!$AL$4:$AL$183,$A121,Data!$AK$4:$AK$183,$C121))</f>
        <v>0</v>
      </c>
    </row>
    <row r="122" spans="1:31">
      <c r="A122" s="18" t="str">
        <f ca="1">IF(Data!T122="","",Data!T122)</f>
        <v>Donovan</v>
      </c>
      <c r="B122" s="18" t="str">
        <f ca="1">IF(Data!U122="","",Data!U122)</f>
        <v>Waluigi</v>
      </c>
      <c r="C122" s="18" t="str">
        <f ca="1">IF(Data!S122="","",Data!S122)</f>
        <v>G7</v>
      </c>
      <c r="D122" s="18">
        <f ca="1">IF($A122="","",Data!W122)</f>
        <v>1</v>
      </c>
      <c r="E122" s="18">
        <f ca="1">IF($A122="","",Data!Y122)</f>
        <v>1</v>
      </c>
      <c r="F122" s="61">
        <f t="shared" ca="1" si="2"/>
        <v>1.0</v>
      </c>
      <c r="G122" s="18">
        <f ca="1">IF($A122="","",Data!AB122)</f>
        <v>0</v>
      </c>
      <c r="H122" s="18">
        <f ca="1">IF($A122="","",Data!AC122)</f>
        <v>0</v>
      </c>
      <c r="I122" s="18">
        <f ca="1">IF($A122="","",INT(SUMIFS(Data!$AN$4:$AN$183,Data!$AM$4:$AM$183,$B122,Data!$AL$4:$AL$183,$A122,Data!$AK$4:$AK$183,$C122))+MOD(ROUND(SUMIFS(Data!$AN$4:$AN$183,Data!$AM$4:$AM$183,$B122,Data!$AL$4:$AL$183,$A122,Data!$AK$4:$AK$183,$C122)*3,0),3)/10)</f>
        <v>2</v>
      </c>
      <c r="J122" s="18">
        <f ca="1">IF($A122="","",SUMIFS(Data!$AQ$4:$AQ$183,Data!$AM$4:$AM$183,$B122,Data!$AL$4:$AL$183,$A122,Data!$AK$4:$AK$183,$C122))</f>
        <v>1</v>
      </c>
      <c r="K122" s="62">
        <f ca="1">IF($A122="","",IF(SUMIFS(Data!$AN$4:$AN$183,Data!$AM$4:$AM$183,$B122,Data!$AL$4:$AL$183,$A122,Data!$AK$4:$AK$183,$C122)=0,"",J122*3/SUMIFS(Data!$AN$4:$AN$183,Data!$AM$4:$AM$183,$B122,Data!$AL$4:$AL$183,$A122,Data!$AK$4:$AK$183,$C122)))</f>
        <v>1.5</v>
      </c>
      <c r="L122" s="18">
        <f ca="1">IF($A122="","",IF(IFERROR(_xlfn.XLOOKUP($C122,Bracket!$F$6:$F$16,Bracket!$K$6:$K$16,""),"")=$B122,1,0))</f>
        <v>0</v>
      </c>
      <c r="M122" s="18">
        <f ca="1">IF($A122="","",IF(AND(IFERROR(_xlfn.XLOOKUP($C122,Bracket!$F$6:$F$16,Bracket!$K$6:$K$16,""),"")=$B122,LEFT(IFERROR(_xlfn.XLOOKUP($C122,Bracket!$F$6:$F$16,Bracket!$G$6:$G$16,""),""),2)="CG"),1,0))</f>
        <v>0</v>
      </c>
      <c r="N122" s="18">
        <f ca="1">IF($A122="","",SUMIFS(Data!$X$4:$X$273,Data!$T$4:$T$273,$A122,Data!$U$4:$U$273,$B122,Data!$S$4:$S$273,$C122))</f>
        <v>0</v>
      </c>
      <c r="O122" s="18">
        <f ca="1">IF($A122="","",SUMIFS(Data!$Z$4:$Z$273,Data!$T$4:$T$273,$A122,Data!$U$4:$U$273,$B122,Data!$S$4:$S$273,$C122))</f>
        <v>0</v>
      </c>
      <c r="P122" s="18">
        <f ca="1">IF($A122="","",SUMIFS(Data!$AA$4:$AA$273,Data!$T$4:$T$273,$A122,Data!$U$4:$U$273,$B122,Data!$S$4:$S$273,$C122))</f>
        <v>0</v>
      </c>
      <c r="Q122" s="18">
        <f ca="1">IF($A122="","",SUMIFS(Data!$AD$4:$AD$273,Data!$T$4:$T$273,$A122,Data!$U$4:$U$273,$B122,Data!$S$4:$S$273,$C122))</f>
        <v>0</v>
      </c>
      <c r="R122" s="18">
        <f ca="1">IF($A122="","",SUMIFS(Data!$AE$4:$AE$273,Data!$T$4:$T$273,$A122,Data!$U$4:$U$273,$B122,Data!$S$4:$S$273,$C122))</f>
        <v>0</v>
      </c>
      <c r="S122" s="18">
        <f ca="1">IF($A122="","",SUMIFS(Data!$AF$4:$AF$273,Data!$T$4:$T$273,$A122,Data!$U$4:$U$273,$B122,Data!$S$4:$S$273,$C122))</f>
        <v>0</v>
      </c>
      <c r="T122" s="18">
        <f ca="1">IF($A122="","",SUMIFS(Data!$AG$4:$AG$273,Data!$T$4:$T$273,$A122,Data!$U$4:$U$273,$B122,Data!$S$4:$S$273,$C122))</f>
        <v>0</v>
      </c>
      <c r="U122" s="18">
        <f ca="1">IF($A122="","",SUMIFS(Data!$AH$4:$AH$273,Data!$T$4:$T$273,$A122,Data!$U$4:$U$273,$B122,Data!$S$4:$S$273,$C122))</f>
        <v>0</v>
      </c>
      <c r="V122" s="18">
        <f ca="1">IF($A122="","",SUMIFS(Data!$AO$4:$AO$183,Data!$AM$4:$AM$183,$B122,Data!$AL$4:$AL$183,$A122,Data!$AK$4:$AK$183,$C122))</f>
        <v>1</v>
      </c>
      <c r="W122" s="18">
        <f ca="1">IF($A122="","",SUMIFS(Data!$AP$4:$AP$183,Data!$AM$4:$AM$183,$B122,Data!$AL$4:$AL$183,$A122,Data!$AK$4:$AK$183,$C122))</f>
        <v>1</v>
      </c>
      <c r="X122" s="18">
        <f ca="1">IF($A122="","",SUMIFS(Data!$AR$4:$AR$183,Data!$AM$4:$AM$183,$B122,Data!$AL$4:$AL$183,$A122,Data!$AK$4:$AK$183,$C122))</f>
        <v>0</v>
      </c>
      <c r="Y122" s="18">
        <f ca="1">IF($A122="","",SUMIFS(Data!$AS$4:$AS$183,Data!$AM$4:$AM$183,$B122,Data!$AL$4:$AL$183,$A122,Data!$AK$4:$AK$183,$C122))</f>
        <v>2</v>
      </c>
      <c r="Z122" s="18">
        <f ca="1">IF($A122="","",SUMIFS(Data!$AT$4:$AT$183,Data!$AM$4:$AM$183,$B122,Data!$AL$4:$AL$183,$A122,Data!$AK$4:$AK$183,$C122))</f>
        <v>1</v>
      </c>
      <c r="AA122" s="18">
        <f ca="1">IF($A122="","",SUMIFS(Data!$AW$4:$AW$183,Data!$AM$4:$AM$183,$B122,Data!$AL$4:$AL$183,$A122,Data!$AK$4:$AK$183,$C122))</f>
        <v>0</v>
      </c>
      <c r="AB122" s="18">
        <f ca="1">IF($A122="","",SUMIFS(Data!$AX$4:$AX$183,Data!$AM$4:$AM$183,$B122,Data!$AL$4:$AL$183,$A122,Data!$AK$4:$AK$183,$C122))</f>
        <v>0</v>
      </c>
      <c r="AC122" s="18">
        <f ca="1">IF($A122="","",SUMIFS(Data!$AY$4:$AY$183,Data!$AM$4:$AM$183,$B122,Data!$AL$4:$AL$183,$A122,Data!$AK$4:$AK$183,$C122))</f>
        <v>1</v>
      </c>
      <c r="AD122" s="18">
        <f t="shared" ca="1" si="3"/>
        <v>0.5</v>
      </c>
      <c r="AE122" s="18">
        <f ca="1">IF($A122="","",SUMIFS(Data!$AJ$4:$AJ$183,Data!$AM$4:$AM$183,$B122,Data!$AL$4:$AL$183,$A122,Data!$AK$4:$AK$183,$C122))</f>
        <v>8</v>
      </c>
    </row>
    <row r="123" spans="1:31">
      <c r="A123" s="18" t="str">
        <f ca="1">IF(Data!T123="","",Data!T123)</f>
        <v>Donovan</v>
      </c>
      <c r="B123" s="18" t="str">
        <f ca="1">IF(Data!U123="","",Data!U123)</f>
        <v>Dry Bones</v>
      </c>
      <c r="C123" s="18" t="str">
        <f ca="1">IF(Data!S123="","",Data!S123)</f>
        <v>G7</v>
      </c>
      <c r="D123" s="18">
        <f ca="1">IF($A123="","",Data!W123)</f>
        <v>1</v>
      </c>
      <c r="E123" s="18">
        <f ca="1">IF($A123="","",Data!Y123)</f>
        <v>0</v>
      </c>
      <c r="F123" s="61">
        <f t="shared" ca="1" si="2"/>
        <v>0.0</v>
      </c>
      <c r="G123" s="18">
        <f ca="1">IF($A123="","",Data!AB123)</f>
        <v>0</v>
      </c>
      <c r="H123" s="18">
        <f ca="1">IF($A123="","",Data!AC123)</f>
        <v>0</v>
      </c>
      <c r="I123" s="18">
        <f ca="1">IF($A123="","",INT(SUMIFS(Data!$AN$4:$AN$183,Data!$AM$4:$AM$183,$B123,Data!$AL$4:$AL$183,$A123,Data!$AK$4:$AK$183,$C123))+MOD(ROUND(SUMIFS(Data!$AN$4:$AN$183,Data!$AM$4:$AM$183,$B123,Data!$AL$4:$AL$183,$A123,Data!$AK$4:$AK$183,$C123)*3,0),3)/10)</f>
        <v>0</v>
      </c>
      <c r="J123" s="18">
        <f ca="1">IF($A123="","",SUMIFS(Data!$AQ$4:$AQ$183,Data!$AM$4:$AM$183,$B123,Data!$AL$4:$AL$183,$A123,Data!$AK$4:$AK$183,$C123))</f>
        <v>0</v>
      </c>
      <c r="K123" s="62">
        <f ca="1">IF($A123="","",IF(SUMIFS(Data!$AN$4:$AN$183,Data!$AM$4:$AM$183,$B123,Data!$AL$4:$AL$183,$A123,Data!$AK$4:$AK$183,$C123)=0,"",J123*3/SUMIFS(Data!$AN$4:$AN$183,Data!$AM$4:$AM$183,$B123,Data!$AL$4:$AL$183,$A123,Data!$AK$4:$AK$183,$C123)))</f>
      </c>
      <c r="L123" s="18">
        <f ca="1">IF($A123="","",IF(IFERROR(_xlfn.XLOOKUP($C123,Bracket!$F$6:$F$16,Bracket!$K$6:$K$16,""),"")=$B123,1,0))</f>
        <v>0</v>
      </c>
      <c r="M123" s="18">
        <f ca="1">IF($A123="","",IF(AND(IFERROR(_xlfn.XLOOKUP($C123,Bracket!$F$6:$F$16,Bracket!$K$6:$K$16,""),"")=$B123,LEFT(IFERROR(_xlfn.XLOOKUP($C123,Bracket!$F$6:$F$16,Bracket!$G$6:$G$16,""),""),2)="CG"),1,0))</f>
        <v>0</v>
      </c>
      <c r="N123" s="18">
        <f ca="1">IF($A123="","",SUMIFS(Data!$X$4:$X$273,Data!$T$4:$T$273,$A123,Data!$U$4:$U$273,$B123,Data!$S$4:$S$273,$C123))</f>
        <v>0</v>
      </c>
      <c r="O123" s="18">
        <f ca="1">IF($A123="","",SUMIFS(Data!$Z$4:$Z$273,Data!$T$4:$T$273,$A123,Data!$U$4:$U$273,$B123,Data!$S$4:$S$273,$C123))</f>
        <v>0</v>
      </c>
      <c r="P123" s="18">
        <f ca="1">IF($A123="","",SUMIFS(Data!$AA$4:$AA$273,Data!$T$4:$T$273,$A123,Data!$U$4:$U$273,$B123,Data!$S$4:$S$273,$C123))</f>
        <v>0</v>
      </c>
      <c r="Q123" s="18">
        <f ca="1">IF($A123="","",SUMIFS(Data!$AD$4:$AD$273,Data!$T$4:$T$273,$A123,Data!$U$4:$U$273,$B123,Data!$S$4:$S$273,$C123))</f>
        <v>0</v>
      </c>
      <c r="R123" s="18">
        <f ca="1">IF($A123="","",SUMIFS(Data!$AE$4:$AE$273,Data!$T$4:$T$273,$A123,Data!$U$4:$U$273,$B123,Data!$S$4:$S$273,$C123))</f>
        <v>0</v>
      </c>
      <c r="S123" s="18">
        <f ca="1">IF($A123="","",SUMIFS(Data!$AF$4:$AF$273,Data!$T$4:$T$273,$A123,Data!$U$4:$U$273,$B123,Data!$S$4:$S$273,$C123))</f>
        <v>0</v>
      </c>
      <c r="T123" s="18">
        <f ca="1">IF($A123="","",SUMIFS(Data!$AG$4:$AG$273,Data!$T$4:$T$273,$A123,Data!$U$4:$U$273,$B123,Data!$S$4:$S$273,$C123))</f>
        <v>0</v>
      </c>
      <c r="U123" s="18">
        <f ca="1">IF($A123="","",SUMIFS(Data!$AH$4:$AH$273,Data!$T$4:$T$273,$A123,Data!$U$4:$U$273,$B123,Data!$S$4:$S$273,$C123))</f>
        <v>0</v>
      </c>
      <c r="V123" s="18">
        <f ca="1">IF($A123="","",SUMIFS(Data!$AO$4:$AO$183,Data!$AM$4:$AM$183,$B123,Data!$AL$4:$AL$183,$A123,Data!$AK$4:$AK$183,$C123))</f>
        <v>0</v>
      </c>
      <c r="W123" s="18">
        <f ca="1">IF($A123="","",SUMIFS(Data!$AP$4:$AP$183,Data!$AM$4:$AM$183,$B123,Data!$AL$4:$AL$183,$A123,Data!$AK$4:$AK$183,$C123))</f>
        <v>0</v>
      </c>
      <c r="X123" s="18">
        <f ca="1">IF($A123="","",SUMIFS(Data!$AR$4:$AR$183,Data!$AM$4:$AM$183,$B123,Data!$AL$4:$AL$183,$A123,Data!$AK$4:$AK$183,$C123))</f>
        <v>0</v>
      </c>
      <c r="Y123" s="18">
        <f ca="1">IF($A123="","",SUMIFS(Data!$AS$4:$AS$183,Data!$AM$4:$AM$183,$B123,Data!$AL$4:$AL$183,$A123,Data!$AK$4:$AK$183,$C123))</f>
        <v>0</v>
      </c>
      <c r="Z123" s="18">
        <f ca="1">IF($A123="","",SUMIFS(Data!$AT$4:$AT$183,Data!$AM$4:$AM$183,$B123,Data!$AL$4:$AL$183,$A123,Data!$AK$4:$AK$183,$C123))</f>
        <v>0</v>
      </c>
      <c r="AA123" s="18">
        <f ca="1">IF($A123="","",SUMIFS(Data!$AW$4:$AW$183,Data!$AM$4:$AM$183,$B123,Data!$AL$4:$AL$183,$A123,Data!$AK$4:$AK$183,$C123))</f>
        <v>0</v>
      </c>
      <c r="AB123" s="18">
        <f ca="1">IF($A123="","",SUMIFS(Data!$AX$4:$AX$183,Data!$AM$4:$AM$183,$B123,Data!$AL$4:$AL$183,$A123,Data!$AK$4:$AK$183,$C123))</f>
        <v>0</v>
      </c>
      <c r="AC123" s="18">
        <f ca="1">IF($A123="","",SUMIFS(Data!$AY$4:$AY$183,Data!$AM$4:$AM$183,$B123,Data!$AL$4:$AL$183,$A123,Data!$AK$4:$AK$183,$C123))</f>
        <v>0</v>
      </c>
      <c r="AD123" s="18">
        <f t="shared" ca="1" si="3"/>
        <v>0</v>
      </c>
      <c r="AE123" s="18">
        <f ca="1">IF($A123="","",SUMIFS(Data!$AJ$4:$AJ$183,Data!$AM$4:$AM$183,$B123,Data!$AL$4:$AL$183,$A123,Data!$AK$4:$AK$183,$C123))</f>
        <v>0</v>
      </c>
    </row>
    <row r="124" spans="1:31">
      <c r="A124" s="18" t="str">
        <f ca="1">IF(Data!T124="","",Data!T124)</f>
        <v>Donovan</v>
      </c>
      <c r="B124" s="18" t="str">
        <f ca="1">IF(Data!U124="","",Data!U124)</f>
        <v>Diddy Kong</v>
      </c>
      <c r="C124" s="18" t="str">
        <f ca="1">IF(Data!S124="","",Data!S124)</f>
        <v>G7</v>
      </c>
      <c r="D124" s="18">
        <f ca="1">IF($A124="","",Data!W124)</f>
        <v>1</v>
      </c>
      <c r="E124" s="18">
        <f ca="1">IF($A124="","",Data!Y124)</f>
        <v>0</v>
      </c>
      <c r="F124" s="61">
        <f t="shared" ca="1" si="2"/>
        <v>0.0</v>
      </c>
      <c r="G124" s="18">
        <f ca="1">IF($A124="","",Data!AB124)</f>
        <v>0</v>
      </c>
      <c r="H124" s="18">
        <f ca="1">IF($A124="","",Data!AC124)</f>
        <v>0</v>
      </c>
      <c r="I124" s="18">
        <f ca="1">IF($A124="","",INT(SUMIFS(Data!$AN$4:$AN$183,Data!$AM$4:$AM$183,$B124,Data!$AL$4:$AL$183,$A124,Data!$AK$4:$AK$183,$C124))+MOD(ROUND(SUMIFS(Data!$AN$4:$AN$183,Data!$AM$4:$AM$183,$B124,Data!$AL$4:$AL$183,$A124,Data!$AK$4:$AK$183,$C124)*3,0),3)/10)</f>
        <v>0</v>
      </c>
      <c r="J124" s="18">
        <f ca="1">IF($A124="","",SUMIFS(Data!$AQ$4:$AQ$183,Data!$AM$4:$AM$183,$B124,Data!$AL$4:$AL$183,$A124,Data!$AK$4:$AK$183,$C124))</f>
        <v>0</v>
      </c>
      <c r="K124" s="62">
        <f ca="1">IF($A124="","",IF(SUMIFS(Data!$AN$4:$AN$183,Data!$AM$4:$AM$183,$B124,Data!$AL$4:$AL$183,$A124,Data!$AK$4:$AK$183,$C124)=0,"",J124*3/SUMIFS(Data!$AN$4:$AN$183,Data!$AM$4:$AM$183,$B124,Data!$AL$4:$AL$183,$A124,Data!$AK$4:$AK$183,$C124)))</f>
      </c>
      <c r="L124" s="18">
        <f ca="1">IF($A124="","",IF(IFERROR(_xlfn.XLOOKUP($C124,Bracket!$F$6:$F$16,Bracket!$K$6:$K$16,""),"")=$B124,1,0))</f>
        <v>0</v>
      </c>
      <c r="M124" s="18">
        <f ca="1">IF($A124="","",IF(AND(IFERROR(_xlfn.XLOOKUP($C124,Bracket!$F$6:$F$16,Bracket!$K$6:$K$16,""),"")=$B124,LEFT(IFERROR(_xlfn.XLOOKUP($C124,Bracket!$F$6:$F$16,Bracket!$G$6:$G$16,""),""),2)="CG"),1,0))</f>
        <v>0</v>
      </c>
      <c r="N124" s="18">
        <f ca="1">IF($A124="","",SUMIFS(Data!$X$4:$X$273,Data!$T$4:$T$273,$A124,Data!$U$4:$U$273,$B124,Data!$S$4:$S$273,$C124))</f>
        <v>0</v>
      </c>
      <c r="O124" s="18">
        <f ca="1">IF($A124="","",SUMIFS(Data!$Z$4:$Z$273,Data!$T$4:$T$273,$A124,Data!$U$4:$U$273,$B124,Data!$S$4:$S$273,$C124))</f>
        <v>0</v>
      </c>
      <c r="P124" s="18">
        <f ca="1">IF($A124="","",SUMIFS(Data!$AA$4:$AA$273,Data!$T$4:$T$273,$A124,Data!$U$4:$U$273,$B124,Data!$S$4:$S$273,$C124))</f>
        <v>0</v>
      </c>
      <c r="Q124" s="18">
        <f ca="1">IF($A124="","",SUMIFS(Data!$AD$4:$AD$273,Data!$T$4:$T$273,$A124,Data!$U$4:$U$273,$B124,Data!$S$4:$S$273,$C124))</f>
        <v>0</v>
      </c>
      <c r="R124" s="18">
        <f ca="1">IF($A124="","",SUMIFS(Data!$AE$4:$AE$273,Data!$T$4:$T$273,$A124,Data!$U$4:$U$273,$B124,Data!$S$4:$S$273,$C124))</f>
        <v>0</v>
      </c>
      <c r="S124" s="18">
        <f ca="1">IF($A124="","",SUMIFS(Data!$AF$4:$AF$273,Data!$T$4:$T$273,$A124,Data!$U$4:$U$273,$B124,Data!$S$4:$S$273,$C124))</f>
        <v>0</v>
      </c>
      <c r="T124" s="18">
        <f ca="1">IF($A124="","",SUMIFS(Data!$AG$4:$AG$273,Data!$T$4:$T$273,$A124,Data!$U$4:$U$273,$B124,Data!$S$4:$S$273,$C124))</f>
        <v>0</v>
      </c>
      <c r="U124" s="18">
        <f ca="1">IF($A124="","",SUMIFS(Data!$AH$4:$AH$273,Data!$T$4:$T$273,$A124,Data!$U$4:$U$273,$B124,Data!$S$4:$S$273,$C124))</f>
        <v>0</v>
      </c>
      <c r="V124" s="18">
        <f ca="1">IF($A124="","",SUMIFS(Data!$AO$4:$AO$183,Data!$AM$4:$AM$183,$B124,Data!$AL$4:$AL$183,$A124,Data!$AK$4:$AK$183,$C124))</f>
        <v>0</v>
      </c>
      <c r="W124" s="18">
        <f ca="1">IF($A124="","",SUMIFS(Data!$AP$4:$AP$183,Data!$AM$4:$AM$183,$B124,Data!$AL$4:$AL$183,$A124,Data!$AK$4:$AK$183,$C124))</f>
        <v>0</v>
      </c>
      <c r="X124" s="18">
        <f ca="1">IF($A124="","",SUMIFS(Data!$AR$4:$AR$183,Data!$AM$4:$AM$183,$B124,Data!$AL$4:$AL$183,$A124,Data!$AK$4:$AK$183,$C124))</f>
        <v>0</v>
      </c>
      <c r="Y124" s="18">
        <f ca="1">IF($A124="","",SUMIFS(Data!$AS$4:$AS$183,Data!$AM$4:$AM$183,$B124,Data!$AL$4:$AL$183,$A124,Data!$AK$4:$AK$183,$C124))</f>
        <v>0</v>
      </c>
      <c r="Z124" s="18">
        <f ca="1">IF($A124="","",SUMIFS(Data!$AT$4:$AT$183,Data!$AM$4:$AM$183,$B124,Data!$AL$4:$AL$183,$A124,Data!$AK$4:$AK$183,$C124))</f>
        <v>0</v>
      </c>
      <c r="AA124" s="18">
        <f ca="1">IF($A124="","",SUMIFS(Data!$AW$4:$AW$183,Data!$AM$4:$AM$183,$B124,Data!$AL$4:$AL$183,$A124,Data!$AK$4:$AK$183,$C124))</f>
        <v>0</v>
      </c>
      <c r="AB124" s="18">
        <f ca="1">IF($A124="","",SUMIFS(Data!$AX$4:$AX$183,Data!$AM$4:$AM$183,$B124,Data!$AL$4:$AL$183,$A124,Data!$AK$4:$AK$183,$C124))</f>
        <v>0</v>
      </c>
      <c r="AC124" s="18">
        <f ca="1">IF($A124="","",SUMIFS(Data!$AY$4:$AY$183,Data!$AM$4:$AM$183,$B124,Data!$AL$4:$AL$183,$A124,Data!$AK$4:$AK$183,$C124))</f>
        <v>0</v>
      </c>
      <c r="AD124" s="18">
        <f t="shared" ca="1" si="3"/>
        <v>0</v>
      </c>
      <c r="AE124" s="18">
        <f ca="1">IF($A124="","",SUMIFS(Data!$AJ$4:$AJ$183,Data!$AM$4:$AM$183,$B124,Data!$AL$4:$AL$183,$A124,Data!$AK$4:$AK$183,$C124))</f>
        <v>0</v>
      </c>
    </row>
    <row r="125" spans="1:31">
      <c r="A125" s="18" t="str">
        <f ca="1">IF(Data!T125="","",Data!T125)</f>
        <v>Donovan</v>
      </c>
      <c r="B125" s="18" t="str">
        <f ca="1">IF(Data!U125="","",Data!U125)</f>
        <v>Tiny Kong</v>
      </c>
      <c r="C125" s="18" t="str">
        <f ca="1">IF(Data!S125="","",Data!S125)</f>
        <v>G7</v>
      </c>
      <c r="D125" s="18">
        <f ca="1">IF($A125="","",Data!W125)</f>
        <v>1</v>
      </c>
      <c r="E125" s="18">
        <f ca="1">IF($A125="","",Data!Y125)</f>
        <v>0</v>
      </c>
      <c r="F125" s="61">
        <f t="shared" ca="1" si="2"/>
        <v>0.0</v>
      </c>
      <c r="G125" s="18">
        <f ca="1">IF($A125="","",Data!AB125)</f>
        <v>0</v>
      </c>
      <c r="H125" s="18">
        <f ca="1">IF($A125="","",Data!AC125)</f>
        <v>0</v>
      </c>
      <c r="I125" s="18">
        <f ca="1">IF($A125="","",INT(SUMIFS(Data!$AN$4:$AN$183,Data!$AM$4:$AM$183,$B125,Data!$AL$4:$AL$183,$A125,Data!$AK$4:$AK$183,$C125))+MOD(ROUND(SUMIFS(Data!$AN$4:$AN$183,Data!$AM$4:$AM$183,$B125,Data!$AL$4:$AL$183,$A125,Data!$AK$4:$AK$183,$C125)*3,0),3)/10)</f>
        <v>0</v>
      </c>
      <c r="J125" s="18">
        <f ca="1">IF($A125="","",SUMIFS(Data!$AQ$4:$AQ$183,Data!$AM$4:$AM$183,$B125,Data!$AL$4:$AL$183,$A125,Data!$AK$4:$AK$183,$C125))</f>
        <v>0</v>
      </c>
      <c r="K125" s="62">
        <f ca="1">IF($A125="","",IF(SUMIFS(Data!$AN$4:$AN$183,Data!$AM$4:$AM$183,$B125,Data!$AL$4:$AL$183,$A125,Data!$AK$4:$AK$183,$C125)=0,"",J125*3/SUMIFS(Data!$AN$4:$AN$183,Data!$AM$4:$AM$183,$B125,Data!$AL$4:$AL$183,$A125,Data!$AK$4:$AK$183,$C125)))</f>
      </c>
      <c r="L125" s="18">
        <f ca="1">IF($A125="","",IF(IFERROR(_xlfn.XLOOKUP($C125,Bracket!$F$6:$F$16,Bracket!$K$6:$K$16,""),"")=$B125,1,0))</f>
        <v>0</v>
      </c>
      <c r="M125" s="18">
        <f ca="1">IF($A125="","",IF(AND(IFERROR(_xlfn.XLOOKUP($C125,Bracket!$F$6:$F$16,Bracket!$K$6:$K$16,""),"")=$B125,LEFT(IFERROR(_xlfn.XLOOKUP($C125,Bracket!$F$6:$F$16,Bracket!$G$6:$G$16,""),""),2)="CG"),1,0))</f>
        <v>0</v>
      </c>
      <c r="N125" s="18">
        <f ca="1">IF($A125="","",SUMIFS(Data!$X$4:$X$273,Data!$T$4:$T$273,$A125,Data!$U$4:$U$273,$B125,Data!$S$4:$S$273,$C125))</f>
        <v>0</v>
      </c>
      <c r="O125" s="18">
        <f ca="1">IF($A125="","",SUMIFS(Data!$Z$4:$Z$273,Data!$T$4:$T$273,$A125,Data!$U$4:$U$273,$B125,Data!$S$4:$S$273,$C125))</f>
        <v>0</v>
      </c>
      <c r="P125" s="18">
        <f ca="1">IF($A125="","",SUMIFS(Data!$AA$4:$AA$273,Data!$T$4:$T$273,$A125,Data!$U$4:$U$273,$B125,Data!$S$4:$S$273,$C125))</f>
        <v>0</v>
      </c>
      <c r="Q125" s="18">
        <f ca="1">IF($A125="","",SUMIFS(Data!$AD$4:$AD$273,Data!$T$4:$T$273,$A125,Data!$U$4:$U$273,$B125,Data!$S$4:$S$273,$C125))</f>
        <v>0</v>
      </c>
      <c r="R125" s="18">
        <f ca="1">IF($A125="","",SUMIFS(Data!$AE$4:$AE$273,Data!$T$4:$T$273,$A125,Data!$U$4:$U$273,$B125,Data!$S$4:$S$273,$C125))</f>
        <v>0</v>
      </c>
      <c r="S125" s="18">
        <f ca="1">IF($A125="","",SUMIFS(Data!$AF$4:$AF$273,Data!$T$4:$T$273,$A125,Data!$U$4:$U$273,$B125,Data!$S$4:$S$273,$C125))</f>
        <v>0</v>
      </c>
      <c r="T125" s="18">
        <f ca="1">IF($A125="","",SUMIFS(Data!$AG$4:$AG$273,Data!$T$4:$T$273,$A125,Data!$U$4:$U$273,$B125,Data!$S$4:$S$273,$C125))</f>
        <v>0</v>
      </c>
      <c r="U125" s="18">
        <f ca="1">IF($A125="","",SUMIFS(Data!$AH$4:$AH$273,Data!$T$4:$T$273,$A125,Data!$U$4:$U$273,$B125,Data!$S$4:$S$273,$C125))</f>
        <v>0</v>
      </c>
      <c r="V125" s="18">
        <f ca="1">IF($A125="","",SUMIFS(Data!$AO$4:$AO$183,Data!$AM$4:$AM$183,$B125,Data!$AL$4:$AL$183,$A125,Data!$AK$4:$AK$183,$C125))</f>
        <v>0</v>
      </c>
      <c r="W125" s="18">
        <f ca="1">IF($A125="","",SUMIFS(Data!$AP$4:$AP$183,Data!$AM$4:$AM$183,$B125,Data!$AL$4:$AL$183,$A125,Data!$AK$4:$AK$183,$C125))</f>
        <v>0</v>
      </c>
      <c r="X125" s="18">
        <f ca="1">IF($A125="","",SUMIFS(Data!$AR$4:$AR$183,Data!$AM$4:$AM$183,$B125,Data!$AL$4:$AL$183,$A125,Data!$AK$4:$AK$183,$C125))</f>
        <v>0</v>
      </c>
      <c r="Y125" s="18">
        <f ca="1">IF($A125="","",SUMIFS(Data!$AS$4:$AS$183,Data!$AM$4:$AM$183,$B125,Data!$AL$4:$AL$183,$A125,Data!$AK$4:$AK$183,$C125))</f>
        <v>0</v>
      </c>
      <c r="Z125" s="18">
        <f ca="1">IF($A125="","",SUMIFS(Data!$AT$4:$AT$183,Data!$AM$4:$AM$183,$B125,Data!$AL$4:$AL$183,$A125,Data!$AK$4:$AK$183,$C125))</f>
        <v>0</v>
      </c>
      <c r="AA125" s="18">
        <f ca="1">IF($A125="","",SUMIFS(Data!$AW$4:$AW$183,Data!$AM$4:$AM$183,$B125,Data!$AL$4:$AL$183,$A125,Data!$AK$4:$AK$183,$C125))</f>
        <v>0</v>
      </c>
      <c r="AB125" s="18">
        <f ca="1">IF($A125="","",SUMIFS(Data!$AX$4:$AX$183,Data!$AM$4:$AM$183,$B125,Data!$AL$4:$AL$183,$A125,Data!$AK$4:$AK$183,$C125))</f>
        <v>0</v>
      </c>
      <c r="AC125" s="18">
        <f ca="1">IF($A125="","",SUMIFS(Data!$AY$4:$AY$183,Data!$AM$4:$AM$183,$B125,Data!$AL$4:$AL$183,$A125,Data!$AK$4:$AK$183,$C125))</f>
        <v>0</v>
      </c>
      <c r="AD125" s="18">
        <f t="shared" ca="1" si="3"/>
        <v>0</v>
      </c>
      <c r="AE125" s="18">
        <f ca="1">IF($A125="","",SUMIFS(Data!$AJ$4:$AJ$183,Data!$AM$4:$AM$183,$B125,Data!$AL$4:$AL$183,$A125,Data!$AK$4:$AK$183,$C125))</f>
        <v>0</v>
      </c>
    </row>
    <row r="126" spans="1:31">
      <c r="A126" s="18" t="str">
        <f ca="1">IF(Data!T126="","",Data!T126)</f>
        <v>Donovan</v>
      </c>
      <c r="B126" s="18" t="str">
        <f ca="1">IF(Data!U126="","",Data!U126)</f>
        <v>Baby DK</v>
      </c>
      <c r="C126" s="18" t="str">
        <f ca="1">IF(Data!S126="","",Data!S126)</f>
        <v>G7</v>
      </c>
      <c r="D126" s="18">
        <f ca="1">IF($A126="","",Data!W126)</f>
        <v>1</v>
      </c>
      <c r="E126" s="18">
        <f ca="1">IF($A126="","",Data!Y126)</f>
        <v>0</v>
      </c>
      <c r="F126" s="61">
        <f t="shared" ca="1" si="2"/>
        <v>0.0</v>
      </c>
      <c r="G126" s="18">
        <f ca="1">IF($A126="","",Data!AB126)</f>
        <v>0</v>
      </c>
      <c r="H126" s="18">
        <f ca="1">IF($A126="","",Data!AC126)</f>
        <v>0</v>
      </c>
      <c r="I126" s="18">
        <f ca="1">IF($A126="","",INT(SUMIFS(Data!$AN$4:$AN$183,Data!$AM$4:$AM$183,$B126,Data!$AL$4:$AL$183,$A126,Data!$AK$4:$AK$183,$C126))+MOD(ROUND(SUMIFS(Data!$AN$4:$AN$183,Data!$AM$4:$AM$183,$B126,Data!$AL$4:$AL$183,$A126,Data!$AK$4:$AK$183,$C126)*3,0),3)/10)</f>
        <v>0</v>
      </c>
      <c r="J126" s="18">
        <f ca="1">IF($A126="","",SUMIFS(Data!$AQ$4:$AQ$183,Data!$AM$4:$AM$183,$B126,Data!$AL$4:$AL$183,$A126,Data!$AK$4:$AK$183,$C126))</f>
        <v>0</v>
      </c>
      <c r="K126" s="62">
        <f ca="1">IF($A126="","",IF(SUMIFS(Data!$AN$4:$AN$183,Data!$AM$4:$AM$183,$B126,Data!$AL$4:$AL$183,$A126,Data!$AK$4:$AK$183,$C126)=0,"",J126*3/SUMIFS(Data!$AN$4:$AN$183,Data!$AM$4:$AM$183,$B126,Data!$AL$4:$AL$183,$A126,Data!$AK$4:$AK$183,$C126)))</f>
      </c>
      <c r="L126" s="18">
        <f ca="1">IF($A126="","",IF(IFERROR(_xlfn.XLOOKUP($C126,Bracket!$F$6:$F$16,Bracket!$K$6:$K$16,""),"")=$B126,1,0))</f>
        <v>0</v>
      </c>
      <c r="M126" s="18">
        <f ca="1">IF($A126="","",IF(AND(IFERROR(_xlfn.XLOOKUP($C126,Bracket!$F$6:$F$16,Bracket!$K$6:$K$16,""),"")=$B126,LEFT(IFERROR(_xlfn.XLOOKUP($C126,Bracket!$F$6:$F$16,Bracket!$G$6:$G$16,""),""),2)="CG"),1,0))</f>
        <v>0</v>
      </c>
      <c r="N126" s="18">
        <f ca="1">IF($A126="","",SUMIFS(Data!$X$4:$X$273,Data!$T$4:$T$273,$A126,Data!$U$4:$U$273,$B126,Data!$S$4:$S$273,$C126))</f>
        <v>0</v>
      </c>
      <c r="O126" s="18">
        <f ca="1">IF($A126="","",SUMIFS(Data!$Z$4:$Z$273,Data!$T$4:$T$273,$A126,Data!$U$4:$U$273,$B126,Data!$S$4:$S$273,$C126))</f>
        <v>0</v>
      </c>
      <c r="P126" s="18">
        <f ca="1">IF($A126="","",SUMIFS(Data!$AA$4:$AA$273,Data!$T$4:$T$273,$A126,Data!$U$4:$U$273,$B126,Data!$S$4:$S$273,$C126))</f>
        <v>0</v>
      </c>
      <c r="Q126" s="18">
        <f ca="1">IF($A126="","",SUMIFS(Data!$AD$4:$AD$273,Data!$T$4:$T$273,$A126,Data!$U$4:$U$273,$B126,Data!$S$4:$S$273,$C126))</f>
        <v>0</v>
      </c>
      <c r="R126" s="18">
        <f ca="1">IF($A126="","",SUMIFS(Data!$AE$4:$AE$273,Data!$T$4:$T$273,$A126,Data!$U$4:$U$273,$B126,Data!$S$4:$S$273,$C126))</f>
        <v>0</v>
      </c>
      <c r="S126" s="18">
        <f ca="1">IF($A126="","",SUMIFS(Data!$AF$4:$AF$273,Data!$T$4:$T$273,$A126,Data!$U$4:$U$273,$B126,Data!$S$4:$S$273,$C126))</f>
        <v>0</v>
      </c>
      <c r="T126" s="18">
        <f ca="1">IF($A126="","",SUMIFS(Data!$AG$4:$AG$273,Data!$T$4:$T$273,$A126,Data!$U$4:$U$273,$B126,Data!$S$4:$S$273,$C126))</f>
        <v>0</v>
      </c>
      <c r="U126" s="18">
        <f ca="1">IF($A126="","",SUMIFS(Data!$AH$4:$AH$273,Data!$T$4:$T$273,$A126,Data!$U$4:$U$273,$B126,Data!$S$4:$S$273,$C126))</f>
        <v>0</v>
      </c>
      <c r="V126" s="18">
        <f ca="1">IF($A126="","",SUMIFS(Data!$AO$4:$AO$183,Data!$AM$4:$AM$183,$B126,Data!$AL$4:$AL$183,$A126,Data!$AK$4:$AK$183,$C126))</f>
        <v>0</v>
      </c>
      <c r="W126" s="18">
        <f ca="1">IF($A126="","",SUMIFS(Data!$AP$4:$AP$183,Data!$AM$4:$AM$183,$B126,Data!$AL$4:$AL$183,$A126,Data!$AK$4:$AK$183,$C126))</f>
        <v>0</v>
      </c>
      <c r="X126" s="18">
        <f ca="1">IF($A126="","",SUMIFS(Data!$AR$4:$AR$183,Data!$AM$4:$AM$183,$B126,Data!$AL$4:$AL$183,$A126,Data!$AK$4:$AK$183,$C126))</f>
        <v>0</v>
      </c>
      <c r="Y126" s="18">
        <f ca="1">IF($A126="","",SUMIFS(Data!$AS$4:$AS$183,Data!$AM$4:$AM$183,$B126,Data!$AL$4:$AL$183,$A126,Data!$AK$4:$AK$183,$C126))</f>
        <v>0</v>
      </c>
      <c r="Z126" s="18">
        <f ca="1">IF($A126="","",SUMIFS(Data!$AT$4:$AT$183,Data!$AM$4:$AM$183,$B126,Data!$AL$4:$AL$183,$A126,Data!$AK$4:$AK$183,$C126))</f>
        <v>0</v>
      </c>
      <c r="AA126" s="18">
        <f ca="1">IF($A126="","",SUMIFS(Data!$AW$4:$AW$183,Data!$AM$4:$AM$183,$B126,Data!$AL$4:$AL$183,$A126,Data!$AK$4:$AK$183,$C126))</f>
        <v>0</v>
      </c>
      <c r="AB126" s="18">
        <f ca="1">IF($A126="","",SUMIFS(Data!$AX$4:$AX$183,Data!$AM$4:$AM$183,$B126,Data!$AL$4:$AL$183,$A126,Data!$AK$4:$AK$183,$C126))</f>
        <v>0</v>
      </c>
      <c r="AC126" s="18">
        <f ca="1">IF($A126="","",SUMIFS(Data!$AY$4:$AY$183,Data!$AM$4:$AM$183,$B126,Data!$AL$4:$AL$183,$A126,Data!$AK$4:$AK$183,$C126))</f>
        <v>0</v>
      </c>
      <c r="AD126" s="18">
        <f t="shared" ca="1" si="3"/>
        <v>0</v>
      </c>
      <c r="AE126" s="18">
        <f ca="1">IF($A126="","",SUMIFS(Data!$AJ$4:$AJ$183,Data!$AM$4:$AM$183,$B126,Data!$AL$4:$AL$183,$A126,Data!$AK$4:$AK$183,$C126))</f>
        <v>0</v>
      </c>
    </row>
    <row r="127" spans="1:31">
      <c r="A127" s="18" t="str">
        <f ca="1">IF(Data!T127="","",Data!T127)</f>
        <v>Donovan</v>
      </c>
      <c r="B127" s="18" t="str">
        <f ca="1">IF(Data!U127="","",Data!U127)</f>
        <v>Fire Bro</v>
      </c>
      <c r="C127" s="18" t="str">
        <f ca="1">IF(Data!S127="","",Data!S127)</f>
        <v>G7</v>
      </c>
      <c r="D127" s="18">
        <f ca="1">IF($A127="","",Data!W127)</f>
        <v>1</v>
      </c>
      <c r="E127" s="18">
        <f ca="1">IF($A127="","",Data!Y127)</f>
        <v>0</v>
      </c>
      <c r="F127" s="61">
        <f t="shared" ca="1" si="2"/>
        <v>0.0</v>
      </c>
      <c r="G127" s="18">
        <f ca="1">IF($A127="","",Data!AB127)</f>
        <v>0</v>
      </c>
      <c r="H127" s="18">
        <f ca="1">IF($A127="","",Data!AC127)</f>
        <v>0</v>
      </c>
      <c r="I127" s="18">
        <f ca="1">IF($A127="","",INT(SUMIFS(Data!$AN$4:$AN$183,Data!$AM$4:$AM$183,$B127,Data!$AL$4:$AL$183,$A127,Data!$AK$4:$AK$183,$C127))+MOD(ROUND(SUMIFS(Data!$AN$4:$AN$183,Data!$AM$4:$AM$183,$B127,Data!$AL$4:$AL$183,$A127,Data!$AK$4:$AK$183,$C127)*3,0),3)/10)</f>
        <v>0</v>
      </c>
      <c r="J127" s="18">
        <f ca="1">IF($A127="","",SUMIFS(Data!$AQ$4:$AQ$183,Data!$AM$4:$AM$183,$B127,Data!$AL$4:$AL$183,$A127,Data!$AK$4:$AK$183,$C127))</f>
        <v>0</v>
      </c>
      <c r="K127" s="62">
        <f ca="1">IF($A127="","",IF(SUMIFS(Data!$AN$4:$AN$183,Data!$AM$4:$AM$183,$B127,Data!$AL$4:$AL$183,$A127,Data!$AK$4:$AK$183,$C127)=0,"",J127*3/SUMIFS(Data!$AN$4:$AN$183,Data!$AM$4:$AM$183,$B127,Data!$AL$4:$AL$183,$A127,Data!$AK$4:$AK$183,$C127)))</f>
      </c>
      <c r="L127" s="18">
        <f ca="1">IF($A127="","",IF(IFERROR(_xlfn.XLOOKUP($C127,Bracket!$F$6:$F$16,Bracket!$K$6:$K$16,""),"")=$B127,1,0))</f>
        <v>0</v>
      </c>
      <c r="M127" s="18">
        <f ca="1">IF($A127="","",IF(AND(IFERROR(_xlfn.XLOOKUP($C127,Bracket!$F$6:$F$16,Bracket!$K$6:$K$16,""),"")=$B127,LEFT(IFERROR(_xlfn.XLOOKUP($C127,Bracket!$F$6:$F$16,Bracket!$G$6:$G$16,""),""),2)="CG"),1,0))</f>
        <v>0</v>
      </c>
      <c r="N127" s="18">
        <f ca="1">IF($A127="","",SUMIFS(Data!$X$4:$X$273,Data!$T$4:$T$273,$A127,Data!$U$4:$U$273,$B127,Data!$S$4:$S$273,$C127))</f>
        <v>0</v>
      </c>
      <c r="O127" s="18">
        <f ca="1">IF($A127="","",SUMIFS(Data!$Z$4:$Z$273,Data!$T$4:$T$273,$A127,Data!$U$4:$U$273,$B127,Data!$S$4:$S$273,$C127))</f>
        <v>0</v>
      </c>
      <c r="P127" s="18">
        <f ca="1">IF($A127="","",SUMIFS(Data!$AA$4:$AA$273,Data!$T$4:$T$273,$A127,Data!$U$4:$U$273,$B127,Data!$S$4:$S$273,$C127))</f>
        <v>0</v>
      </c>
      <c r="Q127" s="18">
        <f ca="1">IF($A127="","",SUMIFS(Data!$AD$4:$AD$273,Data!$T$4:$T$273,$A127,Data!$U$4:$U$273,$B127,Data!$S$4:$S$273,$C127))</f>
        <v>0</v>
      </c>
      <c r="R127" s="18">
        <f ca="1">IF($A127="","",SUMIFS(Data!$AE$4:$AE$273,Data!$T$4:$T$273,$A127,Data!$U$4:$U$273,$B127,Data!$S$4:$S$273,$C127))</f>
        <v>1</v>
      </c>
      <c r="S127" s="18">
        <f ca="1">IF($A127="","",SUMIFS(Data!$AF$4:$AF$273,Data!$T$4:$T$273,$A127,Data!$U$4:$U$273,$B127,Data!$S$4:$S$273,$C127))</f>
        <v>0</v>
      </c>
      <c r="T127" s="18">
        <f ca="1">IF($A127="","",SUMIFS(Data!$AG$4:$AG$273,Data!$T$4:$T$273,$A127,Data!$U$4:$U$273,$B127,Data!$S$4:$S$273,$C127))</f>
        <v>0</v>
      </c>
      <c r="U127" s="18">
        <f ca="1">IF($A127="","",SUMIFS(Data!$AH$4:$AH$273,Data!$T$4:$T$273,$A127,Data!$U$4:$U$273,$B127,Data!$S$4:$S$273,$C127))</f>
        <v>0</v>
      </c>
      <c r="V127" s="18">
        <f ca="1">IF($A127="","",SUMIFS(Data!$AO$4:$AO$183,Data!$AM$4:$AM$183,$B127,Data!$AL$4:$AL$183,$A127,Data!$AK$4:$AK$183,$C127))</f>
        <v>0</v>
      </c>
      <c r="W127" s="18">
        <f ca="1">IF($A127="","",SUMIFS(Data!$AP$4:$AP$183,Data!$AM$4:$AM$183,$B127,Data!$AL$4:$AL$183,$A127,Data!$AK$4:$AK$183,$C127))</f>
        <v>0</v>
      </c>
      <c r="X127" s="18">
        <f ca="1">IF($A127="","",SUMIFS(Data!$AR$4:$AR$183,Data!$AM$4:$AM$183,$B127,Data!$AL$4:$AL$183,$A127,Data!$AK$4:$AK$183,$C127))</f>
        <v>0</v>
      </c>
      <c r="Y127" s="18">
        <f ca="1">IF($A127="","",SUMIFS(Data!$AS$4:$AS$183,Data!$AM$4:$AM$183,$B127,Data!$AL$4:$AL$183,$A127,Data!$AK$4:$AK$183,$C127))</f>
        <v>0</v>
      </c>
      <c r="Z127" s="18">
        <f ca="1">IF($A127="","",SUMIFS(Data!$AT$4:$AT$183,Data!$AM$4:$AM$183,$B127,Data!$AL$4:$AL$183,$A127,Data!$AK$4:$AK$183,$C127))</f>
        <v>0</v>
      </c>
      <c r="AA127" s="18">
        <f ca="1">IF($A127="","",SUMIFS(Data!$AW$4:$AW$183,Data!$AM$4:$AM$183,$B127,Data!$AL$4:$AL$183,$A127,Data!$AK$4:$AK$183,$C127))</f>
        <v>0</v>
      </c>
      <c r="AB127" s="18">
        <f ca="1">IF($A127="","",SUMIFS(Data!$AX$4:$AX$183,Data!$AM$4:$AM$183,$B127,Data!$AL$4:$AL$183,$A127,Data!$AK$4:$AK$183,$C127))</f>
        <v>0</v>
      </c>
      <c r="AC127" s="18">
        <f ca="1">IF($A127="","",SUMIFS(Data!$AY$4:$AY$183,Data!$AM$4:$AM$183,$B127,Data!$AL$4:$AL$183,$A127,Data!$AK$4:$AK$183,$C127))</f>
        <v>0</v>
      </c>
      <c r="AD127" s="18">
        <f t="shared" ca="1" si="3"/>
        <v>0</v>
      </c>
      <c r="AE127" s="18">
        <f ca="1">IF($A127="","",SUMIFS(Data!$AJ$4:$AJ$183,Data!$AM$4:$AM$183,$B127,Data!$AL$4:$AL$183,$A127,Data!$AK$4:$AK$183,$C127))</f>
        <v>0</v>
      </c>
    </row>
    <row r="128" spans="1:31">
      <c r="A128" s="18" t="str">
        <f ca="1">IF(Data!T128="","",Data!T128)</f>
        <v>Donovan</v>
      </c>
      <c r="B128" s="18" t="str">
        <f ca="1">IF(Data!U128="","",Data!U128)</f>
        <v>Dixie Kong</v>
      </c>
      <c r="C128" s="18" t="str">
        <f ca="1">IF(Data!S128="","",Data!S128)</f>
        <v>G7</v>
      </c>
      <c r="D128" s="18">
        <f ca="1">IF($A128="","",Data!W128)</f>
        <v>1</v>
      </c>
      <c r="E128" s="18">
        <f ca="1">IF($A128="","",Data!Y128)</f>
        <v>0</v>
      </c>
      <c r="F128" s="61">
        <f t="shared" ca="1" si="2"/>
        <v>0.0</v>
      </c>
      <c r="G128" s="18">
        <f ca="1">IF($A128="","",Data!AB128)</f>
        <v>0</v>
      </c>
      <c r="H128" s="18">
        <f ca="1">IF($A128="","",Data!AC128)</f>
        <v>0</v>
      </c>
      <c r="I128" s="18">
        <f ca="1">IF($A128="","",INT(SUMIFS(Data!$AN$4:$AN$183,Data!$AM$4:$AM$183,$B128,Data!$AL$4:$AL$183,$A128,Data!$AK$4:$AK$183,$C128))+MOD(ROUND(SUMIFS(Data!$AN$4:$AN$183,Data!$AM$4:$AM$183,$B128,Data!$AL$4:$AL$183,$A128,Data!$AK$4:$AK$183,$C128)*3,0),3)/10)</f>
        <v>0</v>
      </c>
      <c r="J128" s="18">
        <f ca="1">IF($A128="","",SUMIFS(Data!$AQ$4:$AQ$183,Data!$AM$4:$AM$183,$B128,Data!$AL$4:$AL$183,$A128,Data!$AK$4:$AK$183,$C128))</f>
        <v>0</v>
      </c>
      <c r="K128" s="62">
        <f ca="1">IF($A128="","",IF(SUMIFS(Data!$AN$4:$AN$183,Data!$AM$4:$AM$183,$B128,Data!$AL$4:$AL$183,$A128,Data!$AK$4:$AK$183,$C128)=0,"",J128*3/SUMIFS(Data!$AN$4:$AN$183,Data!$AM$4:$AM$183,$B128,Data!$AL$4:$AL$183,$A128,Data!$AK$4:$AK$183,$C128)))</f>
      </c>
      <c r="L128" s="18">
        <f ca="1">IF($A128="","",IF(IFERROR(_xlfn.XLOOKUP($C128,Bracket!$F$6:$F$16,Bracket!$K$6:$K$16,""),"")=$B128,1,0))</f>
        <v>0</v>
      </c>
      <c r="M128" s="18">
        <f ca="1">IF($A128="","",IF(AND(IFERROR(_xlfn.XLOOKUP($C128,Bracket!$F$6:$F$16,Bracket!$K$6:$K$16,""),"")=$B128,LEFT(IFERROR(_xlfn.XLOOKUP($C128,Bracket!$F$6:$F$16,Bracket!$G$6:$G$16,""),""),2)="CG"),1,0))</f>
        <v>0</v>
      </c>
      <c r="N128" s="18">
        <f ca="1">IF($A128="","",SUMIFS(Data!$X$4:$X$273,Data!$T$4:$T$273,$A128,Data!$U$4:$U$273,$B128,Data!$S$4:$S$273,$C128))</f>
        <v>0</v>
      </c>
      <c r="O128" s="18">
        <f ca="1">IF($A128="","",SUMIFS(Data!$Z$4:$Z$273,Data!$T$4:$T$273,$A128,Data!$U$4:$U$273,$B128,Data!$S$4:$S$273,$C128))</f>
        <v>0</v>
      </c>
      <c r="P128" s="18">
        <f ca="1">IF($A128="","",SUMIFS(Data!$AA$4:$AA$273,Data!$T$4:$T$273,$A128,Data!$U$4:$U$273,$B128,Data!$S$4:$S$273,$C128))</f>
        <v>0</v>
      </c>
      <c r="Q128" s="18">
        <f ca="1">IF($A128="","",SUMIFS(Data!$AD$4:$AD$273,Data!$T$4:$T$273,$A128,Data!$U$4:$U$273,$B128,Data!$S$4:$S$273,$C128))</f>
        <v>0</v>
      </c>
      <c r="R128" s="18">
        <f ca="1">IF($A128="","",SUMIFS(Data!$AE$4:$AE$273,Data!$T$4:$T$273,$A128,Data!$U$4:$U$273,$B128,Data!$S$4:$S$273,$C128))</f>
        <v>1</v>
      </c>
      <c r="S128" s="18">
        <f ca="1">IF($A128="","",SUMIFS(Data!$AF$4:$AF$273,Data!$T$4:$T$273,$A128,Data!$U$4:$U$273,$B128,Data!$S$4:$S$273,$C128))</f>
        <v>0</v>
      </c>
      <c r="T128" s="18">
        <f ca="1">IF($A128="","",SUMIFS(Data!$AG$4:$AG$273,Data!$T$4:$T$273,$A128,Data!$U$4:$U$273,$B128,Data!$S$4:$S$273,$C128))</f>
        <v>0</v>
      </c>
      <c r="U128" s="18">
        <f ca="1">IF($A128="","",SUMIFS(Data!$AH$4:$AH$273,Data!$T$4:$T$273,$A128,Data!$U$4:$U$273,$B128,Data!$S$4:$S$273,$C128))</f>
        <v>0</v>
      </c>
      <c r="V128" s="18">
        <f ca="1">IF($A128="","",SUMIFS(Data!$AO$4:$AO$183,Data!$AM$4:$AM$183,$B128,Data!$AL$4:$AL$183,$A128,Data!$AK$4:$AK$183,$C128))</f>
        <v>0</v>
      </c>
      <c r="W128" s="18">
        <f ca="1">IF($A128="","",SUMIFS(Data!$AP$4:$AP$183,Data!$AM$4:$AM$183,$B128,Data!$AL$4:$AL$183,$A128,Data!$AK$4:$AK$183,$C128))</f>
        <v>0</v>
      </c>
      <c r="X128" s="18">
        <f ca="1">IF($A128="","",SUMIFS(Data!$AR$4:$AR$183,Data!$AM$4:$AM$183,$B128,Data!$AL$4:$AL$183,$A128,Data!$AK$4:$AK$183,$C128))</f>
        <v>0</v>
      </c>
      <c r="Y128" s="18">
        <f ca="1">IF($A128="","",SUMIFS(Data!$AS$4:$AS$183,Data!$AM$4:$AM$183,$B128,Data!$AL$4:$AL$183,$A128,Data!$AK$4:$AK$183,$C128))</f>
        <v>0</v>
      </c>
      <c r="Z128" s="18">
        <f ca="1">IF($A128="","",SUMIFS(Data!$AT$4:$AT$183,Data!$AM$4:$AM$183,$B128,Data!$AL$4:$AL$183,$A128,Data!$AK$4:$AK$183,$C128))</f>
        <v>0</v>
      </c>
      <c r="AA128" s="18">
        <f ca="1">IF($A128="","",SUMIFS(Data!$AW$4:$AW$183,Data!$AM$4:$AM$183,$B128,Data!$AL$4:$AL$183,$A128,Data!$AK$4:$AK$183,$C128))</f>
        <v>0</v>
      </c>
      <c r="AB128" s="18">
        <f ca="1">IF($A128="","",SUMIFS(Data!$AX$4:$AX$183,Data!$AM$4:$AM$183,$B128,Data!$AL$4:$AL$183,$A128,Data!$AK$4:$AK$183,$C128))</f>
        <v>0</v>
      </c>
      <c r="AC128" s="18">
        <f ca="1">IF($A128="","",SUMIFS(Data!$AY$4:$AY$183,Data!$AM$4:$AM$183,$B128,Data!$AL$4:$AL$183,$A128,Data!$AK$4:$AK$183,$C128))</f>
        <v>0</v>
      </c>
      <c r="AD128" s="18">
        <f t="shared" ca="1" si="3"/>
        <v>0</v>
      </c>
      <c r="AE128" s="18">
        <f ca="1">IF($A128="","",SUMIFS(Data!$AJ$4:$AJ$183,Data!$AM$4:$AM$183,$B128,Data!$AL$4:$AL$183,$A128,Data!$AK$4:$AK$183,$C128))</f>
        <v>0</v>
      </c>
    </row>
    <row r="129" spans="1:31">
      <c r="A129" s="18" t="str">
        <f ca="1">IF(Data!T129="","",Data!T129)</f>
        <v>Donovan</v>
      </c>
      <c r="B129" s="18" t="str">
        <f ca="1">IF(Data!U129="","",Data!U129)</f>
        <v>Paragoomba</v>
      </c>
      <c r="C129" s="18" t="str">
        <f ca="1">IF(Data!S129="","",Data!S129)</f>
        <v>G7</v>
      </c>
      <c r="D129" s="18">
        <f ca="1">IF($A129="","",Data!W129)</f>
        <v>1</v>
      </c>
      <c r="E129" s="18">
        <f ca="1">IF($A129="","",Data!Y129)</f>
        <v>0</v>
      </c>
      <c r="F129" s="61">
        <f t="shared" ca="1" si="2"/>
        <v>0.0</v>
      </c>
      <c r="G129" s="18">
        <f ca="1">IF($A129="","",Data!AB129)</f>
        <v>0</v>
      </c>
      <c r="H129" s="18">
        <f ca="1">IF($A129="","",Data!AC129)</f>
        <v>0</v>
      </c>
      <c r="I129" s="18">
        <f ca="1">IF($A129="","",INT(SUMIFS(Data!$AN$4:$AN$183,Data!$AM$4:$AM$183,$B129,Data!$AL$4:$AL$183,$A129,Data!$AK$4:$AK$183,$C129))+MOD(ROUND(SUMIFS(Data!$AN$4:$AN$183,Data!$AM$4:$AM$183,$B129,Data!$AL$4:$AL$183,$A129,Data!$AK$4:$AK$183,$C129)*3,0),3)/10)</f>
        <v>0</v>
      </c>
      <c r="J129" s="18">
        <f ca="1">IF($A129="","",SUMIFS(Data!$AQ$4:$AQ$183,Data!$AM$4:$AM$183,$B129,Data!$AL$4:$AL$183,$A129,Data!$AK$4:$AK$183,$C129))</f>
        <v>0</v>
      </c>
      <c r="K129" s="62">
        <f ca="1">IF($A129="","",IF(SUMIFS(Data!$AN$4:$AN$183,Data!$AM$4:$AM$183,$B129,Data!$AL$4:$AL$183,$A129,Data!$AK$4:$AK$183,$C129)=0,"",J129*3/SUMIFS(Data!$AN$4:$AN$183,Data!$AM$4:$AM$183,$B129,Data!$AL$4:$AL$183,$A129,Data!$AK$4:$AK$183,$C129)))</f>
      </c>
      <c r="L129" s="18">
        <f ca="1">IF($A129="","",IF(IFERROR(_xlfn.XLOOKUP($C129,Bracket!$F$6:$F$16,Bracket!$K$6:$K$16,""),"")=$B129,1,0))</f>
        <v>0</v>
      </c>
      <c r="M129" s="18">
        <f ca="1">IF($A129="","",IF(AND(IFERROR(_xlfn.XLOOKUP($C129,Bracket!$F$6:$F$16,Bracket!$K$6:$K$16,""),"")=$B129,LEFT(IFERROR(_xlfn.XLOOKUP($C129,Bracket!$F$6:$F$16,Bracket!$G$6:$G$16,""),""),2)="CG"),1,0))</f>
        <v>0</v>
      </c>
      <c r="N129" s="18">
        <f ca="1">IF($A129="","",SUMIFS(Data!$X$4:$X$273,Data!$T$4:$T$273,$A129,Data!$U$4:$U$273,$B129,Data!$S$4:$S$273,$C129))</f>
        <v>0</v>
      </c>
      <c r="O129" s="18">
        <f ca="1">IF($A129="","",SUMIFS(Data!$Z$4:$Z$273,Data!$T$4:$T$273,$A129,Data!$U$4:$U$273,$B129,Data!$S$4:$S$273,$C129))</f>
        <v>0</v>
      </c>
      <c r="P129" s="18">
        <f ca="1">IF($A129="","",SUMIFS(Data!$AA$4:$AA$273,Data!$T$4:$T$273,$A129,Data!$U$4:$U$273,$B129,Data!$S$4:$S$273,$C129))</f>
        <v>0</v>
      </c>
      <c r="Q129" s="18">
        <f ca="1">IF($A129="","",SUMIFS(Data!$AD$4:$AD$273,Data!$T$4:$T$273,$A129,Data!$U$4:$U$273,$B129,Data!$S$4:$S$273,$C129))</f>
        <v>0</v>
      </c>
      <c r="R129" s="18">
        <f ca="1">IF($A129="","",SUMIFS(Data!$AE$4:$AE$273,Data!$T$4:$T$273,$A129,Data!$U$4:$U$273,$B129,Data!$S$4:$S$273,$C129))</f>
        <v>0</v>
      </c>
      <c r="S129" s="18">
        <f ca="1">IF($A129="","",SUMIFS(Data!$AF$4:$AF$273,Data!$T$4:$T$273,$A129,Data!$U$4:$U$273,$B129,Data!$S$4:$S$273,$C129))</f>
        <v>0</v>
      </c>
      <c r="T129" s="18">
        <f ca="1">IF($A129="","",SUMIFS(Data!$AG$4:$AG$273,Data!$T$4:$T$273,$A129,Data!$U$4:$U$273,$B129,Data!$S$4:$S$273,$C129))</f>
        <v>0</v>
      </c>
      <c r="U129" s="18">
        <f ca="1">IF($A129="","",SUMIFS(Data!$AH$4:$AH$273,Data!$T$4:$T$273,$A129,Data!$U$4:$U$273,$B129,Data!$S$4:$S$273,$C129))</f>
        <v>0</v>
      </c>
      <c r="V129" s="18">
        <f ca="1">IF($A129="","",SUMIFS(Data!$AO$4:$AO$183,Data!$AM$4:$AM$183,$B129,Data!$AL$4:$AL$183,$A129,Data!$AK$4:$AK$183,$C129))</f>
        <v>0</v>
      </c>
      <c r="W129" s="18">
        <f ca="1">IF($A129="","",SUMIFS(Data!$AP$4:$AP$183,Data!$AM$4:$AM$183,$B129,Data!$AL$4:$AL$183,$A129,Data!$AK$4:$AK$183,$C129))</f>
        <v>0</v>
      </c>
      <c r="X129" s="18">
        <f ca="1">IF($A129="","",SUMIFS(Data!$AR$4:$AR$183,Data!$AM$4:$AM$183,$B129,Data!$AL$4:$AL$183,$A129,Data!$AK$4:$AK$183,$C129))</f>
        <v>0</v>
      </c>
      <c r="Y129" s="18">
        <f ca="1">IF($A129="","",SUMIFS(Data!$AS$4:$AS$183,Data!$AM$4:$AM$183,$B129,Data!$AL$4:$AL$183,$A129,Data!$AK$4:$AK$183,$C129))</f>
        <v>0</v>
      </c>
      <c r="Z129" s="18">
        <f ca="1">IF($A129="","",SUMIFS(Data!$AT$4:$AT$183,Data!$AM$4:$AM$183,$B129,Data!$AL$4:$AL$183,$A129,Data!$AK$4:$AK$183,$C129))</f>
        <v>0</v>
      </c>
      <c r="AA129" s="18">
        <f ca="1">IF($A129="","",SUMIFS(Data!$AW$4:$AW$183,Data!$AM$4:$AM$183,$B129,Data!$AL$4:$AL$183,$A129,Data!$AK$4:$AK$183,$C129))</f>
        <v>0</v>
      </c>
      <c r="AB129" s="18">
        <f ca="1">IF($A129="","",SUMIFS(Data!$AX$4:$AX$183,Data!$AM$4:$AM$183,$B129,Data!$AL$4:$AL$183,$A129,Data!$AK$4:$AK$183,$C129))</f>
        <v>0</v>
      </c>
      <c r="AC129" s="18">
        <f ca="1">IF($A129="","",SUMIFS(Data!$AY$4:$AY$183,Data!$AM$4:$AM$183,$B129,Data!$AL$4:$AL$183,$A129,Data!$AK$4:$AK$183,$C129))</f>
        <v>0</v>
      </c>
      <c r="AD129" s="18">
        <f t="shared" ca="1" si="3"/>
        <v>0</v>
      </c>
      <c r="AE129" s="18">
        <f ca="1">IF($A129="","",SUMIFS(Data!$AJ$4:$AJ$183,Data!$AM$4:$AM$183,$B129,Data!$AL$4:$AL$183,$A129,Data!$AK$4:$AK$183,$C129))</f>
        <v>0</v>
      </c>
    </row>
    <row r="130" spans="1:31">
      <c r="A130" s="18" t="str">
        <f ca="1">IF(Data!T130="","",Data!T130)</f>
        <v>Nick</v>
      </c>
      <c r="B130" s="18" t="str">
        <f ca="1">IF(Data!U130="","",Data!U130)</f>
        <v>Monty Mole</v>
      </c>
      <c r="C130" s="18" t="str">
        <f ca="1">IF(Data!S130="","",Data!S130)</f>
        <v>G8</v>
      </c>
      <c r="D130" s="18">
        <f ca="1">IF($A130="","",Data!W130)</f>
        <v>3</v>
      </c>
      <c r="E130" s="18">
        <f ca="1">IF($A130="","",Data!Y130)</f>
        <v>0</v>
      </c>
      <c r="F130" s="61">
        <f t="shared" ca="1" si="2"/>
        <v>0.0</v>
      </c>
      <c r="G130" s="18">
        <f ca="1">IF($A130="","",Data!AB130)</f>
        <v>0</v>
      </c>
      <c r="H130" s="18">
        <f ca="1">IF($A130="","",Data!AC130)</f>
        <v>0</v>
      </c>
      <c r="I130" s="18">
        <f ca="1">IF($A130="","",INT(SUMIFS(Data!$AN$4:$AN$183,Data!$AM$4:$AM$183,$B130,Data!$AL$4:$AL$183,$A130,Data!$AK$4:$AK$183,$C130))+MOD(ROUND(SUMIFS(Data!$AN$4:$AN$183,Data!$AM$4:$AM$183,$B130,Data!$AL$4:$AL$183,$A130,Data!$AK$4:$AK$183,$C130)*3,0),3)/10)</f>
        <v>0</v>
      </c>
      <c r="J130" s="18">
        <f ca="1">IF($A130="","",SUMIFS(Data!$AQ$4:$AQ$183,Data!$AM$4:$AM$183,$B130,Data!$AL$4:$AL$183,$A130,Data!$AK$4:$AK$183,$C130))</f>
        <v>0</v>
      </c>
      <c r="K130" s="62">
        <f ca="1">IF($A130="","",IF(SUMIFS(Data!$AN$4:$AN$183,Data!$AM$4:$AM$183,$B130,Data!$AL$4:$AL$183,$A130,Data!$AK$4:$AK$183,$C130)=0,"",J130*3/SUMIFS(Data!$AN$4:$AN$183,Data!$AM$4:$AM$183,$B130,Data!$AL$4:$AL$183,$A130,Data!$AK$4:$AK$183,$C130)))</f>
      </c>
      <c r="L130" s="18">
        <f ca="1">IF($A130="","",IF(IFERROR(_xlfn.XLOOKUP($C130,Bracket!$F$6:$F$16,Bracket!$K$6:$K$16,""),"")=$B130,1,0))</f>
        <v>0</v>
      </c>
      <c r="M130" s="18">
        <f ca="1">IF($A130="","",IF(AND(IFERROR(_xlfn.XLOOKUP($C130,Bracket!$F$6:$F$16,Bracket!$K$6:$K$16,""),"")=$B130,LEFT(IFERROR(_xlfn.XLOOKUP($C130,Bracket!$F$6:$F$16,Bracket!$G$6:$G$16,""),""),2)="CG"),1,0))</f>
        <v>0</v>
      </c>
      <c r="N130" s="18">
        <f ca="1">IF($A130="","",SUMIFS(Data!$X$4:$X$273,Data!$T$4:$T$273,$A130,Data!$U$4:$U$273,$B130,Data!$S$4:$S$273,$C130))</f>
        <v>0</v>
      </c>
      <c r="O130" s="18">
        <f ca="1">IF($A130="","",SUMIFS(Data!$Z$4:$Z$273,Data!$T$4:$T$273,$A130,Data!$U$4:$U$273,$B130,Data!$S$4:$S$273,$C130))</f>
        <v>0</v>
      </c>
      <c r="P130" s="18">
        <f ca="1">IF($A130="","",SUMIFS(Data!$AA$4:$AA$273,Data!$T$4:$T$273,$A130,Data!$U$4:$U$273,$B130,Data!$S$4:$S$273,$C130))</f>
        <v>0</v>
      </c>
      <c r="Q130" s="18">
        <f ca="1">IF($A130="","",SUMIFS(Data!$AD$4:$AD$273,Data!$T$4:$T$273,$A130,Data!$U$4:$U$273,$B130,Data!$S$4:$S$273,$C130))</f>
        <v>0</v>
      </c>
      <c r="R130" s="18">
        <f ca="1">IF($A130="","",SUMIFS(Data!$AE$4:$AE$273,Data!$T$4:$T$273,$A130,Data!$U$4:$U$273,$B130,Data!$S$4:$S$273,$C130))</f>
        <v>1</v>
      </c>
      <c r="S130" s="18">
        <f ca="1">IF($A130="","",SUMIFS(Data!$AF$4:$AF$273,Data!$T$4:$T$273,$A130,Data!$U$4:$U$273,$B130,Data!$S$4:$S$273,$C130))</f>
        <v>0</v>
      </c>
      <c r="T130" s="18">
        <f ca="1">IF($A130="","",SUMIFS(Data!$AG$4:$AG$273,Data!$T$4:$T$273,$A130,Data!$U$4:$U$273,$B130,Data!$S$4:$S$273,$C130))</f>
        <v>0</v>
      </c>
      <c r="U130" s="18">
        <f ca="1">IF($A130="","",SUMIFS(Data!$AH$4:$AH$273,Data!$T$4:$T$273,$A130,Data!$U$4:$U$273,$B130,Data!$S$4:$S$273,$C130))</f>
        <v>0</v>
      </c>
      <c r="V130" s="18">
        <f ca="1">IF($A130="","",SUMIFS(Data!$AO$4:$AO$183,Data!$AM$4:$AM$183,$B130,Data!$AL$4:$AL$183,$A130,Data!$AK$4:$AK$183,$C130))</f>
        <v>0</v>
      </c>
      <c r="W130" s="18">
        <f ca="1">IF($A130="","",SUMIFS(Data!$AP$4:$AP$183,Data!$AM$4:$AM$183,$B130,Data!$AL$4:$AL$183,$A130,Data!$AK$4:$AK$183,$C130))</f>
        <v>0</v>
      </c>
      <c r="X130" s="18">
        <f ca="1">IF($A130="","",SUMIFS(Data!$AR$4:$AR$183,Data!$AM$4:$AM$183,$B130,Data!$AL$4:$AL$183,$A130,Data!$AK$4:$AK$183,$C130))</f>
        <v>0</v>
      </c>
      <c r="Y130" s="18">
        <f ca="1">IF($A130="","",SUMIFS(Data!$AS$4:$AS$183,Data!$AM$4:$AM$183,$B130,Data!$AL$4:$AL$183,$A130,Data!$AK$4:$AK$183,$C130))</f>
        <v>0</v>
      </c>
      <c r="Z130" s="18">
        <f ca="1">IF($A130="","",SUMIFS(Data!$AT$4:$AT$183,Data!$AM$4:$AM$183,$B130,Data!$AL$4:$AL$183,$A130,Data!$AK$4:$AK$183,$C130))</f>
        <v>0</v>
      </c>
      <c r="AA130" s="18">
        <f ca="1">IF($A130="","",SUMIFS(Data!$AW$4:$AW$183,Data!$AM$4:$AM$183,$B130,Data!$AL$4:$AL$183,$A130,Data!$AK$4:$AK$183,$C130))</f>
        <v>0</v>
      </c>
      <c r="AB130" s="18">
        <f ca="1">IF($A130="","",SUMIFS(Data!$AX$4:$AX$183,Data!$AM$4:$AM$183,$B130,Data!$AL$4:$AL$183,$A130,Data!$AK$4:$AK$183,$C130))</f>
        <v>0</v>
      </c>
      <c r="AC130" s="18">
        <f ca="1">IF($A130="","",SUMIFS(Data!$AY$4:$AY$183,Data!$AM$4:$AM$183,$B130,Data!$AL$4:$AL$183,$A130,Data!$AK$4:$AK$183,$C130))</f>
        <v>0</v>
      </c>
      <c r="AD130" s="18">
        <f t="shared" ca="1" si="3"/>
        <v>0</v>
      </c>
      <c r="AE130" s="18">
        <f ca="1">IF($A130="","",SUMIFS(Data!$AJ$4:$AJ$183,Data!$AM$4:$AM$183,$B130,Data!$AL$4:$AL$183,$A130,Data!$AK$4:$AK$183,$C130))</f>
        <v>0</v>
      </c>
    </row>
    <row r="131" spans="1:31">
      <c r="A131" s="18" t="str">
        <f ca="1">IF(Data!T131="","",Data!T131)</f>
        <v>Nick</v>
      </c>
      <c r="B131" s="18" t="str">
        <f ca="1">IF(Data!U131="","",Data!U131)</f>
        <v>Green Dry Bones</v>
      </c>
      <c r="C131" s="18" t="str">
        <f ca="1">IF(Data!S131="","",Data!S131)</f>
        <v>G8</v>
      </c>
      <c r="D131" s="18">
        <f ca="1">IF($A131="","",Data!W131)</f>
        <v>3</v>
      </c>
      <c r="E131" s="18">
        <f ca="1">IF($A131="","",Data!Y131)</f>
        <v>1</v>
      </c>
      <c r="F131" s="61">
        <f t="shared" ca="1" si="2"/>
        <v>0.3333333333333333</v>
      </c>
      <c r="G131" s="18">
        <f ca="1">IF($A131="","",Data!AB131)</f>
        <v>0</v>
      </c>
      <c r="H131" s="18">
        <f ca="1">IF($A131="","",Data!AC131)</f>
        <v>0</v>
      </c>
      <c r="I131" s="18">
        <f ca="1">IF($A131="","",INT(SUMIFS(Data!$AN$4:$AN$183,Data!$AM$4:$AM$183,$B131,Data!$AL$4:$AL$183,$A131,Data!$AK$4:$AK$183,$C131))+MOD(ROUND(SUMIFS(Data!$AN$4:$AN$183,Data!$AM$4:$AM$183,$B131,Data!$AL$4:$AL$183,$A131,Data!$AK$4:$AK$183,$C131)*3,0),3)/10)</f>
        <v>0</v>
      </c>
      <c r="J131" s="18">
        <f ca="1">IF($A131="","",SUMIFS(Data!$AQ$4:$AQ$183,Data!$AM$4:$AM$183,$B131,Data!$AL$4:$AL$183,$A131,Data!$AK$4:$AK$183,$C131))</f>
        <v>0</v>
      </c>
      <c r="K131" s="62">
        <f ca="1">IF($A131="","",IF(SUMIFS(Data!$AN$4:$AN$183,Data!$AM$4:$AM$183,$B131,Data!$AL$4:$AL$183,$A131,Data!$AK$4:$AK$183,$C131)=0,"",J131*3/SUMIFS(Data!$AN$4:$AN$183,Data!$AM$4:$AM$183,$B131,Data!$AL$4:$AL$183,$A131,Data!$AK$4:$AK$183,$C131)))</f>
      </c>
      <c r="L131" s="18">
        <f ca="1">IF($A131="","",IF(IFERROR(_xlfn.XLOOKUP($C131,Bracket!$F$6:$F$16,Bracket!$K$6:$K$16,""),"")=$B131,1,0))</f>
        <v>0</v>
      </c>
      <c r="M131" s="18">
        <f ca="1">IF($A131="","",IF(AND(IFERROR(_xlfn.XLOOKUP($C131,Bracket!$F$6:$F$16,Bracket!$K$6:$K$16,""),"")=$B131,LEFT(IFERROR(_xlfn.XLOOKUP($C131,Bracket!$F$6:$F$16,Bracket!$G$6:$G$16,""),""),2)="CG"),1,0))</f>
        <v>0</v>
      </c>
      <c r="N131" s="18">
        <f ca="1">IF($A131="","",SUMIFS(Data!$X$4:$X$273,Data!$T$4:$T$273,$A131,Data!$U$4:$U$273,$B131,Data!$S$4:$S$273,$C131))</f>
        <v>0</v>
      </c>
      <c r="O131" s="18">
        <f ca="1">IF($A131="","",SUMIFS(Data!$Z$4:$Z$273,Data!$T$4:$T$273,$A131,Data!$U$4:$U$273,$B131,Data!$S$4:$S$273,$C131))</f>
        <v>1</v>
      </c>
      <c r="P131" s="18">
        <f ca="1">IF($A131="","",SUMIFS(Data!$AA$4:$AA$273,Data!$T$4:$T$273,$A131,Data!$U$4:$U$273,$B131,Data!$S$4:$S$273,$C131))</f>
        <v>0</v>
      </c>
      <c r="Q131" s="18">
        <f ca="1">IF($A131="","",SUMIFS(Data!$AD$4:$AD$273,Data!$T$4:$T$273,$A131,Data!$U$4:$U$273,$B131,Data!$S$4:$S$273,$C131))</f>
        <v>0</v>
      </c>
      <c r="R131" s="18">
        <f ca="1">IF($A131="","",SUMIFS(Data!$AE$4:$AE$273,Data!$T$4:$T$273,$A131,Data!$U$4:$U$273,$B131,Data!$S$4:$S$273,$C131))</f>
        <v>0</v>
      </c>
      <c r="S131" s="18">
        <f ca="1">IF($A131="","",SUMIFS(Data!$AF$4:$AF$273,Data!$T$4:$T$273,$A131,Data!$U$4:$U$273,$B131,Data!$S$4:$S$273,$C131))</f>
        <v>0</v>
      </c>
      <c r="T131" s="18">
        <f ca="1">IF($A131="","",SUMIFS(Data!$AG$4:$AG$273,Data!$T$4:$T$273,$A131,Data!$U$4:$U$273,$B131,Data!$S$4:$S$273,$C131))</f>
        <v>0</v>
      </c>
      <c r="U131" s="18">
        <f ca="1">IF($A131="","",SUMIFS(Data!$AH$4:$AH$273,Data!$T$4:$T$273,$A131,Data!$U$4:$U$273,$B131,Data!$S$4:$S$273,$C131))</f>
        <v>0</v>
      </c>
      <c r="V131" s="18">
        <f ca="1">IF($A131="","",SUMIFS(Data!$AO$4:$AO$183,Data!$AM$4:$AM$183,$B131,Data!$AL$4:$AL$183,$A131,Data!$AK$4:$AK$183,$C131))</f>
        <v>0</v>
      </c>
      <c r="W131" s="18">
        <f ca="1">IF($A131="","",SUMIFS(Data!$AP$4:$AP$183,Data!$AM$4:$AM$183,$B131,Data!$AL$4:$AL$183,$A131,Data!$AK$4:$AK$183,$C131))</f>
        <v>0</v>
      </c>
      <c r="X131" s="18">
        <f ca="1">IF($A131="","",SUMIFS(Data!$AR$4:$AR$183,Data!$AM$4:$AM$183,$B131,Data!$AL$4:$AL$183,$A131,Data!$AK$4:$AK$183,$C131))</f>
        <v>0</v>
      </c>
      <c r="Y131" s="18">
        <f ca="1">IF($A131="","",SUMIFS(Data!$AS$4:$AS$183,Data!$AM$4:$AM$183,$B131,Data!$AL$4:$AL$183,$A131,Data!$AK$4:$AK$183,$C131))</f>
        <v>0</v>
      </c>
      <c r="Z131" s="18">
        <f ca="1">IF($A131="","",SUMIFS(Data!$AT$4:$AT$183,Data!$AM$4:$AM$183,$B131,Data!$AL$4:$AL$183,$A131,Data!$AK$4:$AK$183,$C131))</f>
        <v>0</v>
      </c>
      <c r="AA131" s="18">
        <f ca="1">IF($A131="","",SUMIFS(Data!$AW$4:$AW$183,Data!$AM$4:$AM$183,$B131,Data!$AL$4:$AL$183,$A131,Data!$AK$4:$AK$183,$C131))</f>
        <v>0</v>
      </c>
      <c r="AB131" s="18">
        <f ca="1">IF($A131="","",SUMIFS(Data!$AX$4:$AX$183,Data!$AM$4:$AM$183,$B131,Data!$AL$4:$AL$183,$A131,Data!$AK$4:$AK$183,$C131))</f>
        <v>0</v>
      </c>
      <c r="AC131" s="18">
        <f ca="1">IF($A131="","",SUMIFS(Data!$AY$4:$AY$183,Data!$AM$4:$AM$183,$B131,Data!$AL$4:$AL$183,$A131,Data!$AK$4:$AK$183,$C131))</f>
        <v>0</v>
      </c>
      <c r="AD131" s="18">
        <f t="shared" ca="1" si="3"/>
        <v>0</v>
      </c>
      <c r="AE131" s="18">
        <f ca="1">IF($A131="","",SUMIFS(Data!$AJ$4:$AJ$183,Data!$AM$4:$AM$183,$B131,Data!$AL$4:$AL$183,$A131,Data!$AK$4:$AK$183,$C131))</f>
        <v>0</v>
      </c>
    </row>
    <row r="132" spans="1:31">
      <c r="A132" s="18" t="str">
        <f ca="1">IF(Data!T132="","",Data!T132)</f>
        <v>Nick</v>
      </c>
      <c r="B132" s="18" t="str">
        <f ca="1">IF(Data!U132="","",Data!U132)</f>
        <v>Wiggler</v>
      </c>
      <c r="C132" s="18" t="str">
        <f ca="1">IF(Data!S132="","",Data!S132)</f>
        <v>G8</v>
      </c>
      <c r="D132" s="18">
        <f ca="1">IF($A132="","",Data!W132)</f>
        <v>3</v>
      </c>
      <c r="E132" s="18">
        <f ca="1">IF($A132="","",Data!Y132)</f>
        <v>0</v>
      </c>
      <c r="F132" s="61">
        <f t="shared" ca="1" si="2"/>
        <v>0.0</v>
      </c>
      <c r="G132" s="18">
        <f ca="1">IF($A132="","",Data!AB132)</f>
        <v>0</v>
      </c>
      <c r="H132" s="18">
        <f ca="1">IF($A132="","",Data!AC132)</f>
        <v>0</v>
      </c>
      <c r="I132" s="18">
        <f ca="1">IF($A132="","",INT(SUMIFS(Data!$AN$4:$AN$183,Data!$AM$4:$AM$183,$B132,Data!$AL$4:$AL$183,$A132,Data!$AK$4:$AK$183,$C132))+MOD(ROUND(SUMIFS(Data!$AN$4:$AN$183,Data!$AM$4:$AM$183,$B132,Data!$AL$4:$AL$183,$A132,Data!$AK$4:$AK$183,$C132)*3,0),3)/10)</f>
        <v>0</v>
      </c>
      <c r="J132" s="18">
        <f ca="1">IF($A132="","",SUMIFS(Data!$AQ$4:$AQ$183,Data!$AM$4:$AM$183,$B132,Data!$AL$4:$AL$183,$A132,Data!$AK$4:$AK$183,$C132))</f>
        <v>0</v>
      </c>
      <c r="K132" s="62">
        <f ca="1">IF($A132="","",IF(SUMIFS(Data!$AN$4:$AN$183,Data!$AM$4:$AM$183,$B132,Data!$AL$4:$AL$183,$A132,Data!$AK$4:$AK$183,$C132)=0,"",J132*3/SUMIFS(Data!$AN$4:$AN$183,Data!$AM$4:$AM$183,$B132,Data!$AL$4:$AL$183,$A132,Data!$AK$4:$AK$183,$C132)))</f>
      </c>
      <c r="L132" s="18">
        <f ca="1">IF($A132="","",IF(IFERROR(_xlfn.XLOOKUP($C132,Bracket!$F$6:$F$16,Bracket!$K$6:$K$16,""),"")=$B132,1,0))</f>
        <v>0</v>
      </c>
      <c r="M132" s="18">
        <f ca="1">IF($A132="","",IF(AND(IFERROR(_xlfn.XLOOKUP($C132,Bracket!$F$6:$F$16,Bracket!$K$6:$K$16,""),"")=$B132,LEFT(IFERROR(_xlfn.XLOOKUP($C132,Bracket!$F$6:$F$16,Bracket!$G$6:$G$16,""),""),2)="CG"),1,0))</f>
        <v>0</v>
      </c>
      <c r="N132" s="18">
        <f ca="1">IF($A132="","",SUMIFS(Data!$X$4:$X$273,Data!$T$4:$T$273,$A132,Data!$U$4:$U$273,$B132,Data!$S$4:$S$273,$C132))</f>
        <v>0</v>
      </c>
      <c r="O132" s="18">
        <f ca="1">IF($A132="","",SUMIFS(Data!$Z$4:$Z$273,Data!$T$4:$T$273,$A132,Data!$U$4:$U$273,$B132,Data!$S$4:$S$273,$C132))</f>
        <v>0</v>
      </c>
      <c r="P132" s="18">
        <f ca="1">IF($A132="","",SUMIFS(Data!$AA$4:$AA$273,Data!$T$4:$T$273,$A132,Data!$U$4:$U$273,$B132,Data!$S$4:$S$273,$C132))</f>
        <v>0</v>
      </c>
      <c r="Q132" s="18">
        <f ca="1">IF($A132="","",SUMIFS(Data!$AD$4:$AD$273,Data!$T$4:$T$273,$A132,Data!$U$4:$U$273,$B132,Data!$S$4:$S$273,$C132))</f>
        <v>0</v>
      </c>
      <c r="R132" s="18">
        <f ca="1">IF($A132="","",SUMIFS(Data!$AE$4:$AE$273,Data!$T$4:$T$273,$A132,Data!$U$4:$U$273,$B132,Data!$S$4:$S$273,$C132))</f>
        <v>1</v>
      </c>
      <c r="S132" s="18">
        <f ca="1">IF($A132="","",SUMIFS(Data!$AF$4:$AF$273,Data!$T$4:$T$273,$A132,Data!$U$4:$U$273,$B132,Data!$S$4:$S$273,$C132))</f>
        <v>0</v>
      </c>
      <c r="T132" s="18">
        <f ca="1">IF($A132="","",SUMIFS(Data!$AG$4:$AG$273,Data!$T$4:$T$273,$A132,Data!$U$4:$U$273,$B132,Data!$S$4:$S$273,$C132))</f>
        <v>0</v>
      </c>
      <c r="U132" s="18">
        <f ca="1">IF($A132="","",SUMIFS(Data!$AH$4:$AH$273,Data!$T$4:$T$273,$A132,Data!$U$4:$U$273,$B132,Data!$S$4:$S$273,$C132))</f>
        <v>0</v>
      </c>
      <c r="V132" s="18">
        <f ca="1">IF($A132="","",SUMIFS(Data!$AO$4:$AO$183,Data!$AM$4:$AM$183,$B132,Data!$AL$4:$AL$183,$A132,Data!$AK$4:$AK$183,$C132))</f>
        <v>0</v>
      </c>
      <c r="W132" s="18">
        <f ca="1">IF($A132="","",SUMIFS(Data!$AP$4:$AP$183,Data!$AM$4:$AM$183,$B132,Data!$AL$4:$AL$183,$A132,Data!$AK$4:$AK$183,$C132))</f>
        <v>0</v>
      </c>
      <c r="X132" s="18">
        <f ca="1">IF($A132="","",SUMIFS(Data!$AR$4:$AR$183,Data!$AM$4:$AM$183,$B132,Data!$AL$4:$AL$183,$A132,Data!$AK$4:$AK$183,$C132))</f>
        <v>0</v>
      </c>
      <c r="Y132" s="18">
        <f ca="1">IF($A132="","",SUMIFS(Data!$AS$4:$AS$183,Data!$AM$4:$AM$183,$B132,Data!$AL$4:$AL$183,$A132,Data!$AK$4:$AK$183,$C132))</f>
        <v>0</v>
      </c>
      <c r="Z132" s="18">
        <f ca="1">IF($A132="","",SUMIFS(Data!$AT$4:$AT$183,Data!$AM$4:$AM$183,$B132,Data!$AL$4:$AL$183,$A132,Data!$AK$4:$AK$183,$C132))</f>
        <v>0</v>
      </c>
      <c r="AA132" s="18">
        <f ca="1">IF($A132="","",SUMIFS(Data!$AW$4:$AW$183,Data!$AM$4:$AM$183,$B132,Data!$AL$4:$AL$183,$A132,Data!$AK$4:$AK$183,$C132))</f>
        <v>0</v>
      </c>
      <c r="AB132" s="18">
        <f ca="1">IF($A132="","",SUMIFS(Data!$AX$4:$AX$183,Data!$AM$4:$AM$183,$B132,Data!$AL$4:$AL$183,$A132,Data!$AK$4:$AK$183,$C132))</f>
        <v>0</v>
      </c>
      <c r="AC132" s="18">
        <f ca="1">IF($A132="","",SUMIFS(Data!$AY$4:$AY$183,Data!$AM$4:$AM$183,$B132,Data!$AL$4:$AL$183,$A132,Data!$AK$4:$AK$183,$C132))</f>
        <v>0</v>
      </c>
      <c r="AD132" s="18">
        <f t="shared" ca="1" si="3"/>
        <v>0</v>
      </c>
      <c r="AE132" s="18">
        <f ca="1">IF($A132="","",SUMIFS(Data!$AJ$4:$AJ$183,Data!$AM$4:$AM$183,$B132,Data!$AL$4:$AL$183,$A132,Data!$AK$4:$AK$183,$C132))</f>
        <v>0</v>
      </c>
    </row>
    <row r="133" spans="1:31">
      <c r="A133" s="18" t="str">
        <f ca="1">IF(Data!T133="","",Data!T133)</f>
        <v>Nick</v>
      </c>
      <c r="B133" s="18" t="str">
        <f ca="1">IF(Data!U133="","",Data!U133)</f>
        <v>Wario</v>
      </c>
      <c r="C133" s="18" t="str">
        <f ca="1">IF(Data!S133="","",Data!S133)</f>
        <v>G8</v>
      </c>
      <c r="D133" s="18">
        <f ca="1">IF($A133="","",Data!W133)</f>
        <v>2</v>
      </c>
      <c r="E133" s="18">
        <f ca="1">IF($A133="","",Data!Y133)</f>
        <v>2</v>
      </c>
      <c r="F133" s="61">
        <f t="shared" ref="F133:F196" ca="1" si="4">IF($A133="","",IF(D133=0,0,E133/D133))</f>
        <v>1.0</v>
      </c>
      <c r="G133" s="18">
        <f ca="1">IF($A133="","",Data!AB133)</f>
        <v>0</v>
      </c>
      <c r="H133" s="18">
        <f ca="1">IF($A133="","",Data!AC133)</f>
        <v>0</v>
      </c>
      <c r="I133" s="18">
        <f ca="1">IF($A133="","",INT(SUMIFS(Data!$AN$4:$AN$183,Data!$AM$4:$AM$183,$B133,Data!$AL$4:$AL$183,$A133,Data!$AK$4:$AK$183,$C133))+MOD(ROUND(SUMIFS(Data!$AN$4:$AN$183,Data!$AM$4:$AM$183,$B133,Data!$AL$4:$AL$183,$A133,Data!$AK$4:$AK$183,$C133)*3,0),3)/10)</f>
        <v>0</v>
      </c>
      <c r="J133" s="18">
        <f ca="1">IF($A133="","",SUMIFS(Data!$AQ$4:$AQ$183,Data!$AM$4:$AM$183,$B133,Data!$AL$4:$AL$183,$A133,Data!$AK$4:$AK$183,$C133))</f>
        <v>0</v>
      </c>
      <c r="K133" s="62">
        <f ca="1">IF($A133="","",IF(SUMIFS(Data!$AN$4:$AN$183,Data!$AM$4:$AM$183,$B133,Data!$AL$4:$AL$183,$A133,Data!$AK$4:$AK$183,$C133)=0,"",J133*3/SUMIFS(Data!$AN$4:$AN$183,Data!$AM$4:$AM$183,$B133,Data!$AL$4:$AL$183,$A133,Data!$AK$4:$AK$183,$C133)))</f>
      </c>
      <c r="L133" s="18">
        <f ca="1">IF($A133="","",IF(IFERROR(_xlfn.XLOOKUP($C133,Bracket!$F$6:$F$16,Bracket!$K$6:$K$16,""),"")=$B133,1,0))</f>
        <v>0</v>
      </c>
      <c r="M133" s="18">
        <f ca="1">IF($A133="","",IF(AND(IFERROR(_xlfn.XLOOKUP($C133,Bracket!$F$6:$F$16,Bracket!$K$6:$K$16,""),"")=$B133,LEFT(IFERROR(_xlfn.XLOOKUP($C133,Bracket!$F$6:$F$16,Bracket!$G$6:$G$16,""),""),2)="CG"),1,0))</f>
        <v>0</v>
      </c>
      <c r="N133" s="18">
        <f ca="1">IF($A133="","",SUMIFS(Data!$X$4:$X$273,Data!$T$4:$T$273,$A133,Data!$U$4:$U$273,$B133,Data!$S$4:$S$273,$C133))</f>
        <v>2</v>
      </c>
      <c r="O133" s="18">
        <f ca="1">IF($A133="","",SUMIFS(Data!$Z$4:$Z$273,Data!$T$4:$T$273,$A133,Data!$U$4:$U$273,$B133,Data!$S$4:$S$273,$C133))</f>
        <v>1</v>
      </c>
      <c r="P133" s="18">
        <f ca="1">IF($A133="","",SUMIFS(Data!$AA$4:$AA$273,Data!$T$4:$T$273,$A133,Data!$U$4:$U$273,$B133,Data!$S$4:$S$273,$C133))</f>
        <v>1</v>
      </c>
      <c r="Q133" s="18">
        <f ca="1">IF($A133="","",SUMIFS(Data!$AD$4:$AD$273,Data!$T$4:$T$273,$A133,Data!$U$4:$U$273,$B133,Data!$S$4:$S$273,$C133))</f>
        <v>0</v>
      </c>
      <c r="R133" s="18">
        <f ca="1">IF($A133="","",SUMIFS(Data!$AE$4:$AE$273,Data!$T$4:$T$273,$A133,Data!$U$4:$U$273,$B133,Data!$S$4:$S$273,$C133))</f>
        <v>0</v>
      </c>
      <c r="S133" s="18">
        <f ca="1">IF($A133="","",SUMIFS(Data!$AF$4:$AF$273,Data!$T$4:$T$273,$A133,Data!$U$4:$U$273,$B133,Data!$S$4:$S$273,$C133))</f>
        <v>0</v>
      </c>
      <c r="T133" s="18">
        <f ca="1">IF($A133="","",SUMIFS(Data!$AG$4:$AG$273,Data!$T$4:$T$273,$A133,Data!$U$4:$U$273,$B133,Data!$S$4:$S$273,$C133))</f>
        <v>0</v>
      </c>
      <c r="U133" s="18">
        <f ca="1">IF($A133="","",SUMIFS(Data!$AH$4:$AH$273,Data!$T$4:$T$273,$A133,Data!$U$4:$U$273,$B133,Data!$S$4:$S$273,$C133))</f>
        <v>0</v>
      </c>
      <c r="V133" s="18">
        <f ca="1">IF($A133="","",SUMIFS(Data!$AO$4:$AO$183,Data!$AM$4:$AM$183,$B133,Data!$AL$4:$AL$183,$A133,Data!$AK$4:$AK$183,$C133))</f>
        <v>0</v>
      </c>
      <c r="W133" s="18">
        <f ca="1">IF($A133="","",SUMIFS(Data!$AP$4:$AP$183,Data!$AM$4:$AM$183,$B133,Data!$AL$4:$AL$183,$A133,Data!$AK$4:$AK$183,$C133))</f>
        <v>0</v>
      </c>
      <c r="X133" s="18">
        <f ca="1">IF($A133="","",SUMIFS(Data!$AR$4:$AR$183,Data!$AM$4:$AM$183,$B133,Data!$AL$4:$AL$183,$A133,Data!$AK$4:$AK$183,$C133))</f>
        <v>0</v>
      </c>
      <c r="Y133" s="18">
        <f ca="1">IF($A133="","",SUMIFS(Data!$AS$4:$AS$183,Data!$AM$4:$AM$183,$B133,Data!$AL$4:$AL$183,$A133,Data!$AK$4:$AK$183,$C133))</f>
        <v>0</v>
      </c>
      <c r="Z133" s="18">
        <f ca="1">IF($A133="","",SUMIFS(Data!$AT$4:$AT$183,Data!$AM$4:$AM$183,$B133,Data!$AL$4:$AL$183,$A133,Data!$AK$4:$AK$183,$C133))</f>
        <v>0</v>
      </c>
      <c r="AA133" s="18">
        <f ca="1">IF($A133="","",SUMIFS(Data!$AW$4:$AW$183,Data!$AM$4:$AM$183,$B133,Data!$AL$4:$AL$183,$A133,Data!$AK$4:$AK$183,$C133))</f>
        <v>0</v>
      </c>
      <c r="AB133" s="18">
        <f ca="1">IF($A133="","",SUMIFS(Data!$AX$4:$AX$183,Data!$AM$4:$AM$183,$B133,Data!$AL$4:$AL$183,$A133,Data!$AK$4:$AK$183,$C133))</f>
        <v>0</v>
      </c>
      <c r="AC133" s="18">
        <f ca="1">IF($A133="","",SUMIFS(Data!$AY$4:$AY$183,Data!$AM$4:$AM$183,$B133,Data!$AL$4:$AL$183,$A133,Data!$AK$4:$AK$183,$C133))</f>
        <v>0</v>
      </c>
      <c r="AD133" s="18">
        <f t="shared" ref="AD133:AD196" ca="1" si="5">IF($A133="","",IF($I133=0,0,(V133+X133)/$I133))</f>
        <v>0</v>
      </c>
      <c r="AE133" s="18">
        <f ca="1">IF($A133="","",SUMIFS(Data!$AJ$4:$AJ$183,Data!$AM$4:$AM$183,$B133,Data!$AL$4:$AL$183,$A133,Data!$AK$4:$AK$183,$C133))</f>
        <v>0</v>
      </c>
    </row>
    <row r="134" spans="1:31">
      <c r="A134" s="18" t="str">
        <f ca="1">IF(Data!T134="","",Data!T134)</f>
        <v>Nick</v>
      </c>
      <c r="B134" s="18" t="str">
        <f ca="1">IF(Data!U134="","",Data!U134)</f>
        <v>Toadette</v>
      </c>
      <c r="C134" s="18" t="str">
        <f ca="1">IF(Data!S134="","",Data!S134)</f>
        <v>G8</v>
      </c>
      <c r="D134" s="18">
        <f ca="1">IF($A134="","",Data!W134)</f>
        <v>2</v>
      </c>
      <c r="E134" s="18">
        <f ca="1">IF($A134="","",Data!Y134)</f>
        <v>1</v>
      </c>
      <c r="F134" s="61">
        <f t="shared" ca="1" si="4"/>
        <v>0.5</v>
      </c>
      <c r="G134" s="18">
        <f ca="1">IF($A134="","",Data!AB134)</f>
        <v>0</v>
      </c>
      <c r="H134" s="18">
        <f ca="1">IF($A134="","",Data!AC134)</f>
        <v>0</v>
      </c>
      <c r="I134" s="18">
        <f ca="1">IF($A134="","",INT(SUMIFS(Data!$AN$4:$AN$183,Data!$AM$4:$AM$183,$B134,Data!$AL$4:$AL$183,$A134,Data!$AK$4:$AK$183,$C134))+MOD(ROUND(SUMIFS(Data!$AN$4:$AN$183,Data!$AM$4:$AM$183,$B134,Data!$AL$4:$AL$183,$A134,Data!$AK$4:$AK$183,$C134)*3,0),3)/10)</f>
        <v>0</v>
      </c>
      <c r="J134" s="18">
        <f ca="1">IF($A134="","",SUMIFS(Data!$AQ$4:$AQ$183,Data!$AM$4:$AM$183,$B134,Data!$AL$4:$AL$183,$A134,Data!$AK$4:$AK$183,$C134))</f>
        <v>0</v>
      </c>
      <c r="K134" s="62">
        <f ca="1">IF($A134="","",IF(SUMIFS(Data!$AN$4:$AN$183,Data!$AM$4:$AM$183,$B134,Data!$AL$4:$AL$183,$A134,Data!$AK$4:$AK$183,$C134)=0,"",J134*3/SUMIFS(Data!$AN$4:$AN$183,Data!$AM$4:$AM$183,$B134,Data!$AL$4:$AL$183,$A134,Data!$AK$4:$AK$183,$C134)))</f>
      </c>
      <c r="L134" s="18">
        <f ca="1">IF($A134="","",IF(IFERROR(_xlfn.XLOOKUP($C134,Bracket!$F$6:$F$16,Bracket!$K$6:$K$16,""),"")=$B134,1,0))</f>
        <v>0</v>
      </c>
      <c r="M134" s="18">
        <f ca="1">IF($A134="","",IF(AND(IFERROR(_xlfn.XLOOKUP($C134,Bracket!$F$6:$F$16,Bracket!$K$6:$K$16,""),"")=$B134,LEFT(IFERROR(_xlfn.XLOOKUP($C134,Bracket!$F$6:$F$16,Bracket!$G$6:$G$16,""),""),2)="CG"),1,0))</f>
        <v>0</v>
      </c>
      <c r="N134" s="18">
        <f ca="1">IF($A134="","",SUMIFS(Data!$X$4:$X$273,Data!$T$4:$T$273,$A134,Data!$U$4:$U$273,$B134,Data!$S$4:$S$273,$C134))</f>
        <v>1</v>
      </c>
      <c r="O134" s="18">
        <f ca="1">IF($A134="","",SUMIFS(Data!$Z$4:$Z$273,Data!$T$4:$T$273,$A134,Data!$U$4:$U$273,$B134,Data!$S$4:$S$273,$C134))</f>
        <v>0</v>
      </c>
      <c r="P134" s="18">
        <f ca="1">IF($A134="","",SUMIFS(Data!$AA$4:$AA$273,Data!$T$4:$T$273,$A134,Data!$U$4:$U$273,$B134,Data!$S$4:$S$273,$C134))</f>
        <v>0</v>
      </c>
      <c r="Q134" s="18">
        <f ca="1">IF($A134="","",SUMIFS(Data!$AD$4:$AD$273,Data!$T$4:$T$273,$A134,Data!$U$4:$U$273,$B134,Data!$S$4:$S$273,$C134))</f>
        <v>0</v>
      </c>
      <c r="R134" s="18">
        <f ca="1">IF($A134="","",SUMIFS(Data!$AE$4:$AE$273,Data!$T$4:$T$273,$A134,Data!$U$4:$U$273,$B134,Data!$S$4:$S$273,$C134))</f>
        <v>0</v>
      </c>
      <c r="S134" s="18">
        <f ca="1">IF($A134="","",SUMIFS(Data!$AF$4:$AF$273,Data!$T$4:$T$273,$A134,Data!$U$4:$U$273,$B134,Data!$S$4:$S$273,$C134))</f>
        <v>0</v>
      </c>
      <c r="T134" s="18">
        <f ca="1">IF($A134="","",SUMIFS(Data!$AG$4:$AG$273,Data!$T$4:$T$273,$A134,Data!$U$4:$U$273,$B134,Data!$S$4:$S$273,$C134))</f>
        <v>0</v>
      </c>
      <c r="U134" s="18">
        <f ca="1">IF($A134="","",SUMIFS(Data!$AH$4:$AH$273,Data!$T$4:$T$273,$A134,Data!$U$4:$U$273,$B134,Data!$S$4:$S$273,$C134))</f>
        <v>0</v>
      </c>
      <c r="V134" s="18">
        <f ca="1">IF($A134="","",SUMIFS(Data!$AO$4:$AO$183,Data!$AM$4:$AM$183,$B134,Data!$AL$4:$AL$183,$A134,Data!$AK$4:$AK$183,$C134))</f>
        <v>0</v>
      </c>
      <c r="W134" s="18">
        <f ca="1">IF($A134="","",SUMIFS(Data!$AP$4:$AP$183,Data!$AM$4:$AM$183,$B134,Data!$AL$4:$AL$183,$A134,Data!$AK$4:$AK$183,$C134))</f>
        <v>0</v>
      </c>
      <c r="X134" s="18">
        <f ca="1">IF($A134="","",SUMIFS(Data!$AR$4:$AR$183,Data!$AM$4:$AM$183,$B134,Data!$AL$4:$AL$183,$A134,Data!$AK$4:$AK$183,$C134))</f>
        <v>0</v>
      </c>
      <c r="Y134" s="18">
        <f ca="1">IF($A134="","",SUMIFS(Data!$AS$4:$AS$183,Data!$AM$4:$AM$183,$B134,Data!$AL$4:$AL$183,$A134,Data!$AK$4:$AK$183,$C134))</f>
        <v>0</v>
      </c>
      <c r="Z134" s="18">
        <f ca="1">IF($A134="","",SUMIFS(Data!$AT$4:$AT$183,Data!$AM$4:$AM$183,$B134,Data!$AL$4:$AL$183,$A134,Data!$AK$4:$AK$183,$C134))</f>
        <v>0</v>
      </c>
      <c r="AA134" s="18">
        <f ca="1">IF($A134="","",SUMIFS(Data!$AW$4:$AW$183,Data!$AM$4:$AM$183,$B134,Data!$AL$4:$AL$183,$A134,Data!$AK$4:$AK$183,$C134))</f>
        <v>0</v>
      </c>
      <c r="AB134" s="18">
        <f ca="1">IF($A134="","",SUMIFS(Data!$AX$4:$AX$183,Data!$AM$4:$AM$183,$B134,Data!$AL$4:$AL$183,$A134,Data!$AK$4:$AK$183,$C134))</f>
        <v>0</v>
      </c>
      <c r="AC134" s="18">
        <f ca="1">IF($A134="","",SUMIFS(Data!$AY$4:$AY$183,Data!$AM$4:$AM$183,$B134,Data!$AL$4:$AL$183,$A134,Data!$AK$4:$AK$183,$C134))</f>
        <v>0</v>
      </c>
      <c r="AD134" s="18">
        <f t="shared" ca="1" si="5"/>
        <v>0</v>
      </c>
      <c r="AE134" s="18">
        <f ca="1">IF($A134="","",SUMIFS(Data!$AJ$4:$AJ$183,Data!$AM$4:$AM$183,$B134,Data!$AL$4:$AL$183,$A134,Data!$AK$4:$AK$183,$C134))</f>
        <v>0</v>
      </c>
    </row>
    <row r="135" spans="1:31">
      <c r="A135" s="18" t="str">
        <f ca="1">IF(Data!T135="","",Data!T135)</f>
        <v>Nick</v>
      </c>
      <c r="B135" s="18" t="str">
        <f ca="1">IF(Data!U135="","",Data!U135)</f>
        <v>Mii</v>
      </c>
      <c r="C135" s="18" t="str">
        <f ca="1">IF(Data!S135="","",Data!S135)</f>
        <v>G8</v>
      </c>
      <c r="D135" s="18">
        <f ca="1">IF($A135="","",Data!W135)</f>
        <v>2</v>
      </c>
      <c r="E135" s="18">
        <f ca="1">IF($A135="","",Data!Y135)</f>
        <v>1</v>
      </c>
      <c r="F135" s="61">
        <f t="shared" ca="1" si="4"/>
        <v>0.5</v>
      </c>
      <c r="G135" s="18">
        <f ca="1">IF($A135="","",Data!AB135)</f>
        <v>0</v>
      </c>
      <c r="H135" s="18">
        <f ca="1">IF($A135="","",Data!AC135)</f>
        <v>1</v>
      </c>
      <c r="I135" s="18">
        <f ca="1">IF($A135="","",INT(SUMIFS(Data!$AN$4:$AN$183,Data!$AM$4:$AM$183,$B135,Data!$AL$4:$AL$183,$A135,Data!$AK$4:$AK$183,$C135))+MOD(ROUND(SUMIFS(Data!$AN$4:$AN$183,Data!$AM$4:$AM$183,$B135,Data!$AL$4:$AL$183,$A135,Data!$AK$4:$AK$183,$C135)*3,0),3)/10)</f>
        <v>0</v>
      </c>
      <c r="J135" s="18">
        <f ca="1">IF($A135="","",SUMIFS(Data!$AQ$4:$AQ$183,Data!$AM$4:$AM$183,$B135,Data!$AL$4:$AL$183,$A135,Data!$AK$4:$AK$183,$C135))</f>
        <v>0</v>
      </c>
      <c r="K135" s="62">
        <f ca="1">IF($A135="","",IF(SUMIFS(Data!$AN$4:$AN$183,Data!$AM$4:$AM$183,$B135,Data!$AL$4:$AL$183,$A135,Data!$AK$4:$AK$183,$C135)=0,"",J135*3/SUMIFS(Data!$AN$4:$AN$183,Data!$AM$4:$AM$183,$B135,Data!$AL$4:$AL$183,$A135,Data!$AK$4:$AK$183,$C135)))</f>
      </c>
      <c r="L135" s="18">
        <f ca="1">IF($A135="","",IF(IFERROR(_xlfn.XLOOKUP($C135,Bracket!$F$6:$F$16,Bracket!$K$6:$K$16,""),"")=$B135,1,0))</f>
        <v>0</v>
      </c>
      <c r="M135" s="18">
        <f ca="1">IF($A135="","",IF(AND(IFERROR(_xlfn.XLOOKUP($C135,Bracket!$F$6:$F$16,Bracket!$K$6:$K$16,""),"")=$B135,LEFT(IFERROR(_xlfn.XLOOKUP($C135,Bracket!$F$6:$F$16,Bracket!$G$6:$G$16,""),""),2)="CG"),1,0))</f>
        <v>0</v>
      </c>
      <c r="N135" s="18">
        <f ca="1">IF($A135="","",SUMIFS(Data!$X$4:$X$273,Data!$T$4:$T$273,$A135,Data!$U$4:$U$273,$B135,Data!$S$4:$S$273,$C135))</f>
        <v>1</v>
      </c>
      <c r="O135" s="18">
        <f ca="1">IF($A135="","",SUMIFS(Data!$Z$4:$Z$273,Data!$T$4:$T$273,$A135,Data!$U$4:$U$273,$B135,Data!$S$4:$S$273,$C135))</f>
        <v>0</v>
      </c>
      <c r="P135" s="18">
        <f ca="1">IF($A135="","",SUMIFS(Data!$AA$4:$AA$273,Data!$T$4:$T$273,$A135,Data!$U$4:$U$273,$B135,Data!$S$4:$S$273,$C135))</f>
        <v>0</v>
      </c>
      <c r="Q135" s="18">
        <f ca="1">IF($A135="","",SUMIFS(Data!$AD$4:$AD$273,Data!$T$4:$T$273,$A135,Data!$U$4:$U$273,$B135,Data!$S$4:$S$273,$C135))</f>
        <v>0</v>
      </c>
      <c r="R135" s="18">
        <f ca="1">IF($A135="","",SUMIFS(Data!$AE$4:$AE$273,Data!$T$4:$T$273,$A135,Data!$U$4:$U$273,$B135,Data!$S$4:$S$273,$C135))</f>
        <v>1</v>
      </c>
      <c r="S135" s="18">
        <f ca="1">IF($A135="","",SUMIFS(Data!$AF$4:$AF$273,Data!$T$4:$T$273,$A135,Data!$U$4:$U$273,$B135,Data!$S$4:$S$273,$C135))</f>
        <v>0</v>
      </c>
      <c r="T135" s="18">
        <f ca="1">IF($A135="","",SUMIFS(Data!$AG$4:$AG$273,Data!$T$4:$T$273,$A135,Data!$U$4:$U$273,$B135,Data!$S$4:$S$273,$C135))</f>
        <v>0</v>
      </c>
      <c r="U135" s="18">
        <f ca="1">IF($A135="","",SUMIFS(Data!$AH$4:$AH$273,Data!$T$4:$T$273,$A135,Data!$U$4:$U$273,$B135,Data!$S$4:$S$273,$C135))</f>
        <v>0</v>
      </c>
      <c r="V135" s="18">
        <f ca="1">IF($A135="","",SUMIFS(Data!$AO$4:$AO$183,Data!$AM$4:$AM$183,$B135,Data!$AL$4:$AL$183,$A135,Data!$AK$4:$AK$183,$C135))</f>
        <v>0</v>
      </c>
      <c r="W135" s="18">
        <f ca="1">IF($A135="","",SUMIFS(Data!$AP$4:$AP$183,Data!$AM$4:$AM$183,$B135,Data!$AL$4:$AL$183,$A135,Data!$AK$4:$AK$183,$C135))</f>
        <v>0</v>
      </c>
      <c r="X135" s="18">
        <f ca="1">IF($A135="","",SUMIFS(Data!$AR$4:$AR$183,Data!$AM$4:$AM$183,$B135,Data!$AL$4:$AL$183,$A135,Data!$AK$4:$AK$183,$C135))</f>
        <v>0</v>
      </c>
      <c r="Y135" s="18">
        <f ca="1">IF($A135="","",SUMIFS(Data!$AS$4:$AS$183,Data!$AM$4:$AM$183,$B135,Data!$AL$4:$AL$183,$A135,Data!$AK$4:$AK$183,$C135))</f>
        <v>0</v>
      </c>
      <c r="Z135" s="18">
        <f ca="1">IF($A135="","",SUMIFS(Data!$AT$4:$AT$183,Data!$AM$4:$AM$183,$B135,Data!$AL$4:$AL$183,$A135,Data!$AK$4:$AK$183,$C135))</f>
        <v>0</v>
      </c>
      <c r="AA135" s="18">
        <f ca="1">IF($A135="","",SUMIFS(Data!$AW$4:$AW$183,Data!$AM$4:$AM$183,$B135,Data!$AL$4:$AL$183,$A135,Data!$AK$4:$AK$183,$C135))</f>
        <v>0</v>
      </c>
      <c r="AB135" s="18">
        <f ca="1">IF($A135="","",SUMIFS(Data!$AX$4:$AX$183,Data!$AM$4:$AM$183,$B135,Data!$AL$4:$AL$183,$A135,Data!$AK$4:$AK$183,$C135))</f>
        <v>0</v>
      </c>
      <c r="AC135" s="18">
        <f ca="1">IF($A135="","",SUMIFS(Data!$AY$4:$AY$183,Data!$AM$4:$AM$183,$B135,Data!$AL$4:$AL$183,$A135,Data!$AK$4:$AK$183,$C135))</f>
        <v>0</v>
      </c>
      <c r="AD135" s="18">
        <f t="shared" ca="1" si="5"/>
        <v>0</v>
      </c>
      <c r="AE135" s="18">
        <f ca="1">IF($A135="","",SUMIFS(Data!$AJ$4:$AJ$183,Data!$AM$4:$AM$183,$B135,Data!$AL$4:$AL$183,$A135,Data!$AK$4:$AK$183,$C135))</f>
        <v>0</v>
      </c>
    </row>
    <row r="136" spans="1:31">
      <c r="A136" s="18" t="str">
        <f ca="1">IF(Data!T136="","",Data!T136)</f>
        <v>Nick</v>
      </c>
      <c r="B136" s="18" t="str">
        <f ca="1">IF(Data!U136="","",Data!U136)</f>
        <v>Boomerang Bro</v>
      </c>
      <c r="C136" s="18" t="str">
        <f ca="1">IF(Data!S136="","",Data!S136)</f>
        <v>G8</v>
      </c>
      <c r="D136" s="18">
        <f ca="1">IF($A136="","",Data!W136)</f>
        <v>1</v>
      </c>
      <c r="E136" s="18">
        <f ca="1">IF($A136="","",Data!Y136)</f>
        <v>1</v>
      </c>
      <c r="F136" s="61">
        <f t="shared" ca="1" si="4"/>
        <v>1.0</v>
      </c>
      <c r="G136" s="18">
        <f ca="1">IF($A136="","",Data!AB136)</f>
        <v>0</v>
      </c>
      <c r="H136" s="18">
        <f ca="1">IF($A136="","",Data!AC136)</f>
        <v>0</v>
      </c>
      <c r="I136" s="18">
        <f ca="1">IF($A136="","",INT(SUMIFS(Data!$AN$4:$AN$183,Data!$AM$4:$AM$183,$B136,Data!$AL$4:$AL$183,$A136,Data!$AK$4:$AK$183,$C136))+MOD(ROUND(SUMIFS(Data!$AN$4:$AN$183,Data!$AM$4:$AM$183,$B136,Data!$AL$4:$AL$183,$A136,Data!$AK$4:$AK$183,$C136)*3,0),3)/10)</f>
        <v>1.2</v>
      </c>
      <c r="J136" s="18">
        <f ca="1">IF($A136="","",SUMIFS(Data!$AQ$4:$AQ$183,Data!$AM$4:$AM$183,$B136,Data!$AL$4:$AL$183,$A136,Data!$AK$4:$AK$183,$C136))</f>
        <v>2</v>
      </c>
      <c r="K136" s="62">
        <f ca="1">IF($A136="","",IF(SUMIFS(Data!$AN$4:$AN$183,Data!$AM$4:$AM$183,$B136,Data!$AL$4:$AL$183,$A136,Data!$AK$4:$AK$183,$C136)=0,"",J136*3/SUMIFS(Data!$AN$4:$AN$183,Data!$AM$4:$AM$183,$B136,Data!$AL$4:$AL$183,$A136,Data!$AK$4:$AK$183,$C136)))</f>
        <v>3.5999999999999996</v>
      </c>
      <c r="L136" s="18">
        <f ca="1">IF($A136="","",IF(IFERROR(_xlfn.XLOOKUP($C136,Bracket!$F$6:$F$16,Bracket!$K$6:$K$16,""),"")=$B136,1,0))</f>
        <v>0</v>
      </c>
      <c r="M136" s="18">
        <f ca="1">IF($A136="","",IF(AND(IFERROR(_xlfn.XLOOKUP($C136,Bracket!$F$6:$F$16,Bracket!$K$6:$K$16,""),"")=$B136,LEFT(IFERROR(_xlfn.XLOOKUP($C136,Bracket!$F$6:$F$16,Bracket!$G$6:$G$16,""),""),2)="CG"),1,0))</f>
        <v>0</v>
      </c>
      <c r="N136" s="18">
        <f ca="1">IF($A136="","",SUMIFS(Data!$X$4:$X$273,Data!$T$4:$T$273,$A136,Data!$U$4:$U$273,$B136,Data!$S$4:$S$273,$C136))</f>
        <v>1</v>
      </c>
      <c r="O136" s="18">
        <f ca="1">IF($A136="","",SUMIFS(Data!$Z$4:$Z$273,Data!$T$4:$T$273,$A136,Data!$U$4:$U$273,$B136,Data!$S$4:$S$273,$C136))</f>
        <v>0</v>
      </c>
      <c r="P136" s="18">
        <f ca="1">IF($A136="","",SUMIFS(Data!$AA$4:$AA$273,Data!$T$4:$T$273,$A136,Data!$U$4:$U$273,$B136,Data!$S$4:$S$273,$C136))</f>
        <v>0</v>
      </c>
      <c r="Q136" s="18">
        <f ca="1">IF($A136="","",SUMIFS(Data!$AD$4:$AD$273,Data!$T$4:$T$273,$A136,Data!$U$4:$U$273,$B136,Data!$S$4:$S$273,$C136))</f>
        <v>0</v>
      </c>
      <c r="R136" s="18">
        <f ca="1">IF($A136="","",SUMIFS(Data!$AE$4:$AE$273,Data!$T$4:$T$273,$A136,Data!$U$4:$U$273,$B136,Data!$S$4:$S$273,$C136))</f>
        <v>0</v>
      </c>
      <c r="S136" s="18">
        <f ca="1">IF($A136="","",SUMIFS(Data!$AF$4:$AF$273,Data!$T$4:$T$273,$A136,Data!$U$4:$U$273,$B136,Data!$S$4:$S$273,$C136))</f>
        <v>1</v>
      </c>
      <c r="T136" s="18">
        <f ca="1">IF($A136="","",SUMIFS(Data!$AG$4:$AG$273,Data!$T$4:$T$273,$A136,Data!$U$4:$U$273,$B136,Data!$S$4:$S$273,$C136))</f>
        <v>0</v>
      </c>
      <c r="U136" s="18">
        <f ca="1">IF($A136="","",SUMIFS(Data!$AH$4:$AH$273,Data!$T$4:$T$273,$A136,Data!$U$4:$U$273,$B136,Data!$S$4:$S$273,$C136))</f>
        <v>0</v>
      </c>
      <c r="V136" s="18">
        <f ca="1">IF($A136="","",SUMIFS(Data!$AO$4:$AO$183,Data!$AM$4:$AM$183,$B136,Data!$AL$4:$AL$183,$A136,Data!$AK$4:$AK$183,$C136))</f>
        <v>3</v>
      </c>
      <c r="W136" s="18">
        <f ca="1">IF($A136="","",SUMIFS(Data!$AP$4:$AP$183,Data!$AM$4:$AM$183,$B136,Data!$AL$4:$AL$183,$A136,Data!$AK$4:$AK$183,$C136))</f>
        <v>2</v>
      </c>
      <c r="X136" s="18">
        <f ca="1">IF($A136="","",SUMIFS(Data!$AR$4:$AR$183,Data!$AM$4:$AM$183,$B136,Data!$AL$4:$AL$183,$A136,Data!$AK$4:$AK$183,$C136))</f>
        <v>0</v>
      </c>
      <c r="Y136" s="18">
        <f ca="1">IF($A136="","",SUMIFS(Data!$AS$4:$AS$183,Data!$AM$4:$AM$183,$B136,Data!$AL$4:$AL$183,$A136,Data!$AK$4:$AK$183,$C136))</f>
        <v>1</v>
      </c>
      <c r="Z136" s="18">
        <f ca="1">IF($A136="","",SUMIFS(Data!$AT$4:$AT$183,Data!$AM$4:$AM$183,$B136,Data!$AL$4:$AL$183,$A136,Data!$AK$4:$AK$183,$C136))</f>
        <v>1</v>
      </c>
      <c r="AA136" s="18">
        <f ca="1">IF($A136="","",SUMIFS(Data!$AW$4:$AW$183,Data!$AM$4:$AM$183,$B136,Data!$AL$4:$AL$183,$A136,Data!$AK$4:$AK$183,$C136))</f>
        <v>1</v>
      </c>
      <c r="AB136" s="18">
        <f ca="1">IF($A136="","",SUMIFS(Data!$AX$4:$AX$183,Data!$AM$4:$AM$183,$B136,Data!$AL$4:$AL$183,$A136,Data!$AK$4:$AK$183,$C136))</f>
        <v>0</v>
      </c>
      <c r="AC136" s="18">
        <f ca="1">IF($A136="","",SUMIFS(Data!$AY$4:$AY$183,Data!$AM$4:$AM$183,$B136,Data!$AL$4:$AL$183,$A136,Data!$AK$4:$AK$183,$C136))</f>
        <v>0</v>
      </c>
      <c r="AD136" s="18">
        <f t="shared" ca="1" si="5"/>
        <v>1.7999999999999998</v>
      </c>
      <c r="AE136" s="18">
        <f ca="1">IF($A136="","",SUMIFS(Data!$AJ$4:$AJ$183,Data!$AM$4:$AM$183,$B136,Data!$AL$4:$AL$183,$A136,Data!$AK$4:$AK$183,$C136))</f>
        <v>8</v>
      </c>
    </row>
    <row r="137" spans="1:31">
      <c r="A137" s="18" t="str">
        <f ca="1">IF(Data!T137="","",Data!T137)</f>
        <v>Nick</v>
      </c>
      <c r="B137" s="18" t="str">
        <f ca="1">IF(Data!U137="","",Data!U137)</f>
        <v>Daisy</v>
      </c>
      <c r="C137" s="18" t="str">
        <f ca="1">IF(Data!S137="","",Data!S137)</f>
        <v>G8</v>
      </c>
      <c r="D137" s="18">
        <f ca="1">IF($A137="","",Data!W137)</f>
        <v>2</v>
      </c>
      <c r="E137" s="18">
        <f ca="1">IF($A137="","",Data!Y137)</f>
        <v>2</v>
      </c>
      <c r="F137" s="61">
        <f t="shared" ca="1" si="4"/>
        <v>1.0</v>
      </c>
      <c r="G137" s="18">
        <f ca="1">IF($A137="","",Data!AB137)</f>
        <v>0</v>
      </c>
      <c r="H137" s="18">
        <f ca="1">IF($A137="","",Data!AC137)</f>
        <v>3</v>
      </c>
      <c r="I137" s="18">
        <f ca="1">IF($A137="","",INT(SUMIFS(Data!$AN$4:$AN$183,Data!$AM$4:$AM$183,$B137,Data!$AL$4:$AL$183,$A137,Data!$AK$4:$AK$183,$C137))+MOD(ROUND(SUMIFS(Data!$AN$4:$AN$183,Data!$AM$4:$AM$183,$B137,Data!$AL$4:$AL$183,$A137,Data!$AK$4:$AK$183,$C137)*3,0),3)/10)</f>
        <v>2.1</v>
      </c>
      <c r="J137" s="18">
        <f ca="1">IF($A137="","",SUMIFS(Data!$AQ$4:$AQ$183,Data!$AM$4:$AM$183,$B137,Data!$AL$4:$AL$183,$A137,Data!$AK$4:$AK$183,$C137))</f>
        <v>2</v>
      </c>
      <c r="K137" s="62">
        <f ca="1">IF($A137="","",IF(SUMIFS(Data!$AN$4:$AN$183,Data!$AM$4:$AM$183,$B137,Data!$AL$4:$AL$183,$A137,Data!$AK$4:$AK$183,$C137)=0,"",J137*3/SUMIFS(Data!$AN$4:$AN$183,Data!$AM$4:$AM$183,$B137,Data!$AL$4:$AL$183,$A137,Data!$AK$4:$AK$183,$C137)))</f>
        <v>2.571428571428571</v>
      </c>
      <c r="L137" s="18">
        <f ca="1">IF($A137="","",IF(IFERROR(_xlfn.XLOOKUP($C137,Bracket!$F$6:$F$16,Bracket!$K$6:$K$16,""),"")=$B137,1,0))</f>
        <v>1</v>
      </c>
      <c r="M137" s="18">
        <f ca="1">IF($A137="","",IF(AND(IFERROR(_xlfn.XLOOKUP($C137,Bracket!$F$6:$F$16,Bracket!$K$6:$K$16,""),"")=$B137,LEFT(IFERROR(_xlfn.XLOOKUP($C137,Bracket!$F$6:$F$16,Bracket!$G$6:$G$16,""),""),2)="CG"),1,0))</f>
        <v>0</v>
      </c>
      <c r="N137" s="18">
        <f ca="1">IF($A137="","",SUMIFS(Data!$X$4:$X$273,Data!$T$4:$T$273,$A137,Data!$U$4:$U$273,$B137,Data!$S$4:$S$273,$C137))</f>
        <v>1</v>
      </c>
      <c r="O137" s="18">
        <f ca="1">IF($A137="","",SUMIFS(Data!$Z$4:$Z$273,Data!$T$4:$T$273,$A137,Data!$U$4:$U$273,$B137,Data!$S$4:$S$273,$C137))</f>
        <v>1</v>
      </c>
      <c r="P137" s="18">
        <f ca="1">IF($A137="","",SUMIFS(Data!$AA$4:$AA$273,Data!$T$4:$T$273,$A137,Data!$U$4:$U$273,$B137,Data!$S$4:$S$273,$C137))</f>
        <v>0</v>
      </c>
      <c r="Q137" s="18">
        <f ca="1">IF($A137="","",SUMIFS(Data!$AD$4:$AD$273,Data!$T$4:$T$273,$A137,Data!$U$4:$U$273,$B137,Data!$S$4:$S$273,$C137))</f>
        <v>0</v>
      </c>
      <c r="R137" s="18">
        <f ca="1">IF($A137="","",SUMIFS(Data!$AE$4:$AE$273,Data!$T$4:$T$273,$A137,Data!$U$4:$U$273,$B137,Data!$S$4:$S$273,$C137))</f>
        <v>0</v>
      </c>
      <c r="S137" s="18">
        <f ca="1">IF($A137="","",SUMIFS(Data!$AF$4:$AF$273,Data!$T$4:$T$273,$A137,Data!$U$4:$U$273,$B137,Data!$S$4:$S$273,$C137))</f>
        <v>0</v>
      </c>
      <c r="T137" s="18">
        <f ca="1">IF($A137="","",SUMIFS(Data!$AG$4:$AG$273,Data!$T$4:$T$273,$A137,Data!$U$4:$U$273,$B137,Data!$S$4:$S$273,$C137))</f>
        <v>0</v>
      </c>
      <c r="U137" s="18">
        <f ca="1">IF($A137="","",SUMIFS(Data!$AH$4:$AH$273,Data!$T$4:$T$273,$A137,Data!$U$4:$U$273,$B137,Data!$S$4:$S$273,$C137))</f>
        <v>0</v>
      </c>
      <c r="V137" s="18">
        <f ca="1">IF($A137="","",SUMIFS(Data!$AO$4:$AO$183,Data!$AM$4:$AM$183,$B137,Data!$AL$4:$AL$183,$A137,Data!$AK$4:$AK$183,$C137))</f>
        <v>2</v>
      </c>
      <c r="W137" s="18">
        <f ca="1">IF($A137="","",SUMIFS(Data!$AP$4:$AP$183,Data!$AM$4:$AM$183,$B137,Data!$AL$4:$AL$183,$A137,Data!$AK$4:$AK$183,$C137))</f>
        <v>2</v>
      </c>
      <c r="X137" s="18">
        <f ca="1">IF($A137="","",SUMIFS(Data!$AR$4:$AR$183,Data!$AM$4:$AM$183,$B137,Data!$AL$4:$AL$183,$A137,Data!$AK$4:$AK$183,$C137))</f>
        <v>0</v>
      </c>
      <c r="Y137" s="18">
        <f ca="1">IF($A137="","",SUMIFS(Data!$AS$4:$AS$183,Data!$AM$4:$AM$183,$B137,Data!$AL$4:$AL$183,$A137,Data!$AK$4:$AK$183,$C137))</f>
        <v>1</v>
      </c>
      <c r="Z137" s="18">
        <f ca="1">IF($A137="","",SUMIFS(Data!$AT$4:$AT$183,Data!$AM$4:$AM$183,$B137,Data!$AL$4:$AL$183,$A137,Data!$AK$4:$AK$183,$C137))</f>
        <v>1</v>
      </c>
      <c r="AA137" s="18">
        <f ca="1">IF($A137="","",SUMIFS(Data!$AW$4:$AW$183,Data!$AM$4:$AM$183,$B137,Data!$AL$4:$AL$183,$A137,Data!$AK$4:$AK$183,$C137))</f>
        <v>0</v>
      </c>
      <c r="AB137" s="18">
        <f ca="1">IF($A137="","",SUMIFS(Data!$AX$4:$AX$183,Data!$AM$4:$AM$183,$B137,Data!$AL$4:$AL$183,$A137,Data!$AK$4:$AK$183,$C137))</f>
        <v>0</v>
      </c>
      <c r="AC137" s="18">
        <f ca="1">IF($A137="","",SUMIFS(Data!$AY$4:$AY$183,Data!$AM$4:$AM$183,$B137,Data!$AL$4:$AL$183,$A137,Data!$AK$4:$AK$183,$C137))</f>
        <v>0</v>
      </c>
      <c r="AD137" s="18">
        <f t="shared" ca="1" si="5"/>
        <v>0.8571428571428571</v>
      </c>
      <c r="AE137" s="18">
        <f ca="1">IF($A137="","",SUMIFS(Data!$AJ$4:$AJ$183,Data!$AM$4:$AM$183,$B137,Data!$AL$4:$AL$183,$A137,Data!$AK$4:$AK$183,$C137))</f>
        <v>9</v>
      </c>
    </row>
    <row r="138" spans="1:31">
      <c r="A138" s="18" t="str">
        <f ca="1">IF(Data!T138="","",Data!T138)</f>
        <v>Nick</v>
      </c>
      <c r="B138" s="18" t="str">
        <f ca="1">IF(Data!U138="","",Data!U138)</f>
        <v>Blue Toad</v>
      </c>
      <c r="C138" s="18" t="str">
        <f ca="1">IF(Data!S138="","",Data!S138)</f>
        <v>G8</v>
      </c>
      <c r="D138" s="18">
        <f ca="1">IF($A138="","",Data!W138)</f>
        <v>2</v>
      </c>
      <c r="E138" s="18">
        <f ca="1">IF($A138="","",Data!Y138)</f>
        <v>1</v>
      </c>
      <c r="F138" s="61">
        <f t="shared" ca="1" si="4"/>
        <v>0.5</v>
      </c>
      <c r="G138" s="18">
        <f ca="1">IF($A138="","",Data!AB138)</f>
        <v>1</v>
      </c>
      <c r="H138" s="18">
        <f ca="1">IF($A138="","",Data!AC138)</f>
        <v>3</v>
      </c>
      <c r="I138" s="18">
        <f ca="1">IF($A138="","",INT(SUMIFS(Data!$AN$4:$AN$183,Data!$AM$4:$AM$183,$B138,Data!$AL$4:$AL$183,$A138,Data!$AK$4:$AK$183,$C138))+MOD(ROUND(SUMIFS(Data!$AN$4:$AN$183,Data!$AM$4:$AM$183,$B138,Data!$AL$4:$AL$183,$A138,Data!$AK$4:$AK$183,$C138)*3,0),3)/10)</f>
        <v>0</v>
      </c>
      <c r="J138" s="18">
        <f ca="1">IF($A138="","",SUMIFS(Data!$AQ$4:$AQ$183,Data!$AM$4:$AM$183,$B138,Data!$AL$4:$AL$183,$A138,Data!$AK$4:$AK$183,$C138))</f>
        <v>0</v>
      </c>
      <c r="K138" s="62">
        <f ca="1">IF($A138="","",IF(SUMIFS(Data!$AN$4:$AN$183,Data!$AM$4:$AM$183,$B138,Data!$AL$4:$AL$183,$A138,Data!$AK$4:$AK$183,$C138)=0,"",J138*3/SUMIFS(Data!$AN$4:$AN$183,Data!$AM$4:$AM$183,$B138,Data!$AL$4:$AL$183,$A138,Data!$AK$4:$AK$183,$C138)))</f>
      </c>
      <c r="L138" s="18">
        <f ca="1">IF($A138="","",IF(IFERROR(_xlfn.XLOOKUP($C138,Bracket!$F$6:$F$16,Bracket!$K$6:$K$16,""),"")=$B138,1,0))</f>
        <v>0</v>
      </c>
      <c r="M138" s="18">
        <f ca="1">IF($A138="","",IF(AND(IFERROR(_xlfn.XLOOKUP($C138,Bracket!$F$6:$F$16,Bracket!$K$6:$K$16,""),"")=$B138,LEFT(IFERROR(_xlfn.XLOOKUP($C138,Bracket!$F$6:$F$16,Bracket!$G$6:$G$16,""),""),2)="CG"),1,0))</f>
        <v>0</v>
      </c>
      <c r="N138" s="18">
        <f ca="1">IF($A138="","",SUMIFS(Data!$X$4:$X$273,Data!$T$4:$T$273,$A138,Data!$U$4:$U$273,$B138,Data!$S$4:$S$273,$C138))</f>
        <v>1</v>
      </c>
      <c r="O138" s="18">
        <f ca="1">IF($A138="","",SUMIFS(Data!$Z$4:$Z$273,Data!$T$4:$T$273,$A138,Data!$U$4:$U$273,$B138,Data!$S$4:$S$273,$C138))</f>
        <v>0</v>
      </c>
      <c r="P138" s="18">
        <f ca="1">IF($A138="","",SUMIFS(Data!$AA$4:$AA$273,Data!$T$4:$T$273,$A138,Data!$U$4:$U$273,$B138,Data!$S$4:$S$273,$C138))</f>
        <v>0</v>
      </c>
      <c r="Q138" s="18">
        <f ca="1">IF($A138="","",SUMIFS(Data!$AD$4:$AD$273,Data!$T$4:$T$273,$A138,Data!$U$4:$U$273,$B138,Data!$S$4:$S$273,$C138))</f>
        <v>0</v>
      </c>
      <c r="R138" s="18">
        <f ca="1">IF($A138="","",SUMIFS(Data!$AE$4:$AE$273,Data!$T$4:$T$273,$A138,Data!$U$4:$U$273,$B138,Data!$S$4:$S$273,$C138))</f>
        <v>0</v>
      </c>
      <c r="S138" s="18">
        <f ca="1">IF($A138="","",SUMIFS(Data!$AF$4:$AF$273,Data!$T$4:$T$273,$A138,Data!$U$4:$U$273,$B138,Data!$S$4:$S$273,$C138))</f>
        <v>0</v>
      </c>
      <c r="T138" s="18">
        <f ca="1">IF($A138="","",SUMIFS(Data!$AG$4:$AG$273,Data!$T$4:$T$273,$A138,Data!$U$4:$U$273,$B138,Data!$S$4:$S$273,$C138))</f>
        <v>0</v>
      </c>
      <c r="U138" s="18">
        <f ca="1">IF($A138="","",SUMIFS(Data!$AH$4:$AH$273,Data!$T$4:$T$273,$A138,Data!$U$4:$U$273,$B138,Data!$S$4:$S$273,$C138))</f>
        <v>0</v>
      </c>
      <c r="V138" s="18">
        <f ca="1">IF($A138="","",SUMIFS(Data!$AO$4:$AO$183,Data!$AM$4:$AM$183,$B138,Data!$AL$4:$AL$183,$A138,Data!$AK$4:$AK$183,$C138))</f>
        <v>0</v>
      </c>
      <c r="W138" s="18">
        <f ca="1">IF($A138="","",SUMIFS(Data!$AP$4:$AP$183,Data!$AM$4:$AM$183,$B138,Data!$AL$4:$AL$183,$A138,Data!$AK$4:$AK$183,$C138))</f>
        <v>0</v>
      </c>
      <c r="X138" s="18">
        <f ca="1">IF($A138="","",SUMIFS(Data!$AR$4:$AR$183,Data!$AM$4:$AM$183,$B138,Data!$AL$4:$AL$183,$A138,Data!$AK$4:$AK$183,$C138))</f>
        <v>0</v>
      </c>
      <c r="Y138" s="18">
        <f ca="1">IF($A138="","",SUMIFS(Data!$AS$4:$AS$183,Data!$AM$4:$AM$183,$B138,Data!$AL$4:$AL$183,$A138,Data!$AK$4:$AK$183,$C138))</f>
        <v>0</v>
      </c>
      <c r="Z138" s="18">
        <f ca="1">IF($A138="","",SUMIFS(Data!$AT$4:$AT$183,Data!$AM$4:$AM$183,$B138,Data!$AL$4:$AL$183,$A138,Data!$AK$4:$AK$183,$C138))</f>
        <v>0</v>
      </c>
      <c r="AA138" s="18">
        <f ca="1">IF($A138="","",SUMIFS(Data!$AW$4:$AW$183,Data!$AM$4:$AM$183,$B138,Data!$AL$4:$AL$183,$A138,Data!$AK$4:$AK$183,$C138))</f>
        <v>0</v>
      </c>
      <c r="AB138" s="18">
        <f ca="1">IF($A138="","",SUMIFS(Data!$AX$4:$AX$183,Data!$AM$4:$AM$183,$B138,Data!$AL$4:$AL$183,$A138,Data!$AK$4:$AK$183,$C138))</f>
        <v>0</v>
      </c>
      <c r="AC138" s="18">
        <f ca="1">IF($A138="","",SUMIFS(Data!$AY$4:$AY$183,Data!$AM$4:$AM$183,$B138,Data!$AL$4:$AL$183,$A138,Data!$AK$4:$AK$183,$C138))</f>
        <v>0</v>
      </c>
      <c r="AD138" s="18">
        <f t="shared" ca="1" si="5"/>
        <v>0</v>
      </c>
      <c r="AE138" s="18">
        <f ca="1">IF($A138="","",SUMIFS(Data!$AJ$4:$AJ$183,Data!$AM$4:$AM$183,$B138,Data!$AL$4:$AL$183,$A138,Data!$AK$4:$AK$183,$C138))</f>
        <v>0</v>
      </c>
    </row>
    <row r="139" spans="1:31">
      <c r="A139" s="18" t="str">
        <f ca="1">IF(Data!T139="","",Data!T139)</f>
        <v>Jason</v>
      </c>
      <c r="B139" s="18" t="str">
        <f ca="1">IF(Data!U139="","",Data!U139)</f>
        <v>Yoshi</v>
      </c>
      <c r="C139" s="18" t="str">
        <f ca="1">IF(Data!S139="","",Data!S139)</f>
        <v>G8</v>
      </c>
      <c r="D139" s="18">
        <f ca="1">IF($A139="","",Data!W139)</f>
        <v>2</v>
      </c>
      <c r="E139" s="18">
        <f ca="1">IF($A139="","",Data!Y139)</f>
        <v>0</v>
      </c>
      <c r="F139" s="61">
        <f t="shared" ca="1" si="4"/>
        <v>0.0</v>
      </c>
      <c r="G139" s="18">
        <f ca="1">IF($A139="","",Data!AB139)</f>
        <v>0</v>
      </c>
      <c r="H139" s="18">
        <f ca="1">IF($A139="","",Data!AC139)</f>
        <v>0</v>
      </c>
      <c r="I139" s="18">
        <f ca="1">IF($A139="","",INT(SUMIFS(Data!$AN$4:$AN$183,Data!$AM$4:$AM$183,$B139,Data!$AL$4:$AL$183,$A139,Data!$AK$4:$AK$183,$C139))+MOD(ROUND(SUMIFS(Data!$AN$4:$AN$183,Data!$AM$4:$AM$183,$B139,Data!$AL$4:$AL$183,$A139,Data!$AK$4:$AK$183,$C139)*3,0),3)/10)</f>
        <v>0</v>
      </c>
      <c r="J139" s="18">
        <f ca="1">IF($A139="","",SUMIFS(Data!$AQ$4:$AQ$183,Data!$AM$4:$AM$183,$B139,Data!$AL$4:$AL$183,$A139,Data!$AK$4:$AK$183,$C139))</f>
        <v>0</v>
      </c>
      <c r="K139" s="62">
        <f ca="1">IF($A139="","",IF(SUMIFS(Data!$AN$4:$AN$183,Data!$AM$4:$AM$183,$B139,Data!$AL$4:$AL$183,$A139,Data!$AK$4:$AK$183,$C139)=0,"",J139*3/SUMIFS(Data!$AN$4:$AN$183,Data!$AM$4:$AM$183,$B139,Data!$AL$4:$AL$183,$A139,Data!$AK$4:$AK$183,$C139)))</f>
      </c>
      <c r="L139" s="18">
        <f ca="1">IF($A139="","",IF(IFERROR(_xlfn.XLOOKUP($C139,Bracket!$F$6:$F$16,Bracket!$K$6:$K$16,""),"")=$B139,1,0))</f>
        <v>0</v>
      </c>
      <c r="M139" s="18">
        <f ca="1">IF($A139="","",IF(AND(IFERROR(_xlfn.XLOOKUP($C139,Bracket!$F$6:$F$16,Bracket!$K$6:$K$16,""),"")=$B139,LEFT(IFERROR(_xlfn.XLOOKUP($C139,Bracket!$F$6:$F$16,Bracket!$G$6:$G$16,""),""),2)="CG"),1,0))</f>
        <v>0</v>
      </c>
      <c r="N139" s="18">
        <f ca="1">IF($A139="","",SUMIFS(Data!$X$4:$X$273,Data!$T$4:$T$273,$A139,Data!$U$4:$U$273,$B139,Data!$S$4:$S$273,$C139))</f>
        <v>0</v>
      </c>
      <c r="O139" s="18">
        <f ca="1">IF($A139="","",SUMIFS(Data!$Z$4:$Z$273,Data!$T$4:$T$273,$A139,Data!$U$4:$U$273,$B139,Data!$S$4:$S$273,$C139))</f>
        <v>0</v>
      </c>
      <c r="P139" s="18">
        <f ca="1">IF($A139="","",SUMIFS(Data!$AA$4:$AA$273,Data!$T$4:$T$273,$A139,Data!$U$4:$U$273,$B139,Data!$S$4:$S$273,$C139))</f>
        <v>0</v>
      </c>
      <c r="Q139" s="18">
        <f ca="1">IF($A139="","",SUMIFS(Data!$AD$4:$AD$273,Data!$T$4:$T$273,$A139,Data!$U$4:$U$273,$B139,Data!$S$4:$S$273,$C139))</f>
        <v>0</v>
      </c>
      <c r="R139" s="18">
        <f ca="1">IF($A139="","",SUMIFS(Data!$AE$4:$AE$273,Data!$T$4:$T$273,$A139,Data!$U$4:$U$273,$B139,Data!$S$4:$S$273,$C139))</f>
        <v>1</v>
      </c>
      <c r="S139" s="18">
        <f ca="1">IF($A139="","",SUMIFS(Data!$AF$4:$AF$273,Data!$T$4:$T$273,$A139,Data!$U$4:$U$273,$B139,Data!$S$4:$S$273,$C139))</f>
        <v>0</v>
      </c>
      <c r="T139" s="18">
        <f ca="1">IF($A139="","",SUMIFS(Data!$AG$4:$AG$273,Data!$T$4:$T$273,$A139,Data!$U$4:$U$273,$B139,Data!$S$4:$S$273,$C139))</f>
        <v>0</v>
      </c>
      <c r="U139" s="18">
        <f ca="1">IF($A139="","",SUMIFS(Data!$AH$4:$AH$273,Data!$T$4:$T$273,$A139,Data!$U$4:$U$273,$B139,Data!$S$4:$S$273,$C139))</f>
        <v>0</v>
      </c>
      <c r="V139" s="18">
        <f ca="1">IF($A139="","",SUMIFS(Data!$AO$4:$AO$183,Data!$AM$4:$AM$183,$B139,Data!$AL$4:$AL$183,$A139,Data!$AK$4:$AK$183,$C139))</f>
        <v>0</v>
      </c>
      <c r="W139" s="18">
        <f ca="1">IF($A139="","",SUMIFS(Data!$AP$4:$AP$183,Data!$AM$4:$AM$183,$B139,Data!$AL$4:$AL$183,$A139,Data!$AK$4:$AK$183,$C139))</f>
        <v>0</v>
      </c>
      <c r="X139" s="18">
        <f ca="1">IF($A139="","",SUMIFS(Data!$AR$4:$AR$183,Data!$AM$4:$AM$183,$B139,Data!$AL$4:$AL$183,$A139,Data!$AK$4:$AK$183,$C139))</f>
        <v>0</v>
      </c>
      <c r="Y139" s="18">
        <f ca="1">IF($A139="","",SUMIFS(Data!$AS$4:$AS$183,Data!$AM$4:$AM$183,$B139,Data!$AL$4:$AL$183,$A139,Data!$AK$4:$AK$183,$C139))</f>
        <v>0</v>
      </c>
      <c r="Z139" s="18">
        <f ca="1">IF($A139="","",SUMIFS(Data!$AT$4:$AT$183,Data!$AM$4:$AM$183,$B139,Data!$AL$4:$AL$183,$A139,Data!$AK$4:$AK$183,$C139))</f>
        <v>0</v>
      </c>
      <c r="AA139" s="18">
        <f ca="1">IF($A139="","",SUMIFS(Data!$AW$4:$AW$183,Data!$AM$4:$AM$183,$B139,Data!$AL$4:$AL$183,$A139,Data!$AK$4:$AK$183,$C139))</f>
        <v>0</v>
      </c>
      <c r="AB139" s="18">
        <f ca="1">IF($A139="","",SUMIFS(Data!$AX$4:$AX$183,Data!$AM$4:$AM$183,$B139,Data!$AL$4:$AL$183,$A139,Data!$AK$4:$AK$183,$C139))</f>
        <v>0</v>
      </c>
      <c r="AC139" s="18">
        <f ca="1">IF($A139="","",SUMIFS(Data!$AY$4:$AY$183,Data!$AM$4:$AM$183,$B139,Data!$AL$4:$AL$183,$A139,Data!$AK$4:$AK$183,$C139))</f>
        <v>0</v>
      </c>
      <c r="AD139" s="18">
        <f t="shared" ca="1" si="5"/>
        <v>0</v>
      </c>
      <c r="AE139" s="18">
        <f ca="1">IF($A139="","",SUMIFS(Data!$AJ$4:$AJ$183,Data!$AM$4:$AM$183,$B139,Data!$AL$4:$AL$183,$A139,Data!$AK$4:$AK$183,$C139))</f>
        <v>0</v>
      </c>
    </row>
    <row r="140" spans="1:31">
      <c r="A140" s="18" t="str">
        <f ca="1">IF(Data!T140="","",Data!T140)</f>
        <v>Jason</v>
      </c>
      <c r="B140" s="18" t="str">
        <f ca="1">IF(Data!U140="","",Data!U140)</f>
        <v>Brown Kritter</v>
      </c>
      <c r="C140" s="18" t="str">
        <f ca="1">IF(Data!S140="","",Data!S140)</f>
        <v>G8</v>
      </c>
      <c r="D140" s="18">
        <f ca="1">IF($A140="","",Data!W140)</f>
        <v>2</v>
      </c>
      <c r="E140" s="18">
        <f ca="1">IF($A140="","",Data!Y140)</f>
        <v>0</v>
      </c>
      <c r="F140" s="61">
        <f t="shared" ca="1" si="4"/>
        <v>0.0</v>
      </c>
      <c r="G140" s="18">
        <f ca="1">IF($A140="","",Data!AB140)</f>
        <v>0</v>
      </c>
      <c r="H140" s="18">
        <f ca="1">IF($A140="","",Data!AC140)</f>
        <v>0</v>
      </c>
      <c r="I140" s="18">
        <f ca="1">IF($A140="","",INT(SUMIFS(Data!$AN$4:$AN$183,Data!$AM$4:$AM$183,$B140,Data!$AL$4:$AL$183,$A140,Data!$AK$4:$AK$183,$C140))+MOD(ROUND(SUMIFS(Data!$AN$4:$AN$183,Data!$AM$4:$AM$183,$B140,Data!$AL$4:$AL$183,$A140,Data!$AK$4:$AK$183,$C140)*3,0),3)/10)</f>
        <v>0</v>
      </c>
      <c r="J140" s="18">
        <f ca="1">IF($A140="","",SUMIFS(Data!$AQ$4:$AQ$183,Data!$AM$4:$AM$183,$B140,Data!$AL$4:$AL$183,$A140,Data!$AK$4:$AK$183,$C140))</f>
        <v>0</v>
      </c>
      <c r="K140" s="62">
        <f ca="1">IF($A140="","",IF(SUMIFS(Data!$AN$4:$AN$183,Data!$AM$4:$AM$183,$B140,Data!$AL$4:$AL$183,$A140,Data!$AK$4:$AK$183,$C140)=0,"",J140*3/SUMIFS(Data!$AN$4:$AN$183,Data!$AM$4:$AM$183,$B140,Data!$AL$4:$AL$183,$A140,Data!$AK$4:$AK$183,$C140)))</f>
      </c>
      <c r="L140" s="18">
        <f ca="1">IF($A140="","",IF(IFERROR(_xlfn.XLOOKUP($C140,Bracket!$F$6:$F$16,Bracket!$K$6:$K$16,""),"")=$B140,1,0))</f>
        <v>0</v>
      </c>
      <c r="M140" s="18">
        <f ca="1">IF($A140="","",IF(AND(IFERROR(_xlfn.XLOOKUP($C140,Bracket!$F$6:$F$16,Bracket!$K$6:$K$16,""),"")=$B140,LEFT(IFERROR(_xlfn.XLOOKUP($C140,Bracket!$F$6:$F$16,Bracket!$G$6:$G$16,""),""),2)="CG"),1,0))</f>
        <v>0</v>
      </c>
      <c r="N140" s="18">
        <f ca="1">IF($A140="","",SUMIFS(Data!$X$4:$X$273,Data!$T$4:$T$273,$A140,Data!$U$4:$U$273,$B140,Data!$S$4:$S$273,$C140))</f>
        <v>0</v>
      </c>
      <c r="O140" s="18">
        <f ca="1">IF($A140="","",SUMIFS(Data!$Z$4:$Z$273,Data!$T$4:$T$273,$A140,Data!$U$4:$U$273,$B140,Data!$S$4:$S$273,$C140))</f>
        <v>0</v>
      </c>
      <c r="P140" s="18">
        <f ca="1">IF($A140="","",SUMIFS(Data!$AA$4:$AA$273,Data!$T$4:$T$273,$A140,Data!$U$4:$U$273,$B140,Data!$S$4:$S$273,$C140))</f>
        <v>0</v>
      </c>
      <c r="Q140" s="18">
        <f ca="1">IF($A140="","",SUMIFS(Data!$AD$4:$AD$273,Data!$T$4:$T$273,$A140,Data!$U$4:$U$273,$B140,Data!$S$4:$S$273,$C140))</f>
        <v>0</v>
      </c>
      <c r="R140" s="18">
        <f ca="1">IF($A140="","",SUMIFS(Data!$AE$4:$AE$273,Data!$T$4:$T$273,$A140,Data!$U$4:$U$273,$B140,Data!$S$4:$S$273,$C140))</f>
        <v>0</v>
      </c>
      <c r="S140" s="18">
        <f ca="1">IF($A140="","",SUMIFS(Data!$AF$4:$AF$273,Data!$T$4:$T$273,$A140,Data!$U$4:$U$273,$B140,Data!$S$4:$S$273,$C140))</f>
        <v>0</v>
      </c>
      <c r="T140" s="18">
        <f ca="1">IF($A140="","",SUMIFS(Data!$AG$4:$AG$273,Data!$T$4:$T$273,$A140,Data!$U$4:$U$273,$B140,Data!$S$4:$S$273,$C140))</f>
        <v>0</v>
      </c>
      <c r="U140" s="18">
        <f ca="1">IF($A140="","",SUMIFS(Data!$AH$4:$AH$273,Data!$T$4:$T$273,$A140,Data!$U$4:$U$273,$B140,Data!$S$4:$S$273,$C140))</f>
        <v>0</v>
      </c>
      <c r="V140" s="18">
        <f ca="1">IF($A140="","",SUMIFS(Data!$AO$4:$AO$183,Data!$AM$4:$AM$183,$B140,Data!$AL$4:$AL$183,$A140,Data!$AK$4:$AK$183,$C140))</f>
        <v>0</v>
      </c>
      <c r="W140" s="18">
        <f ca="1">IF($A140="","",SUMIFS(Data!$AP$4:$AP$183,Data!$AM$4:$AM$183,$B140,Data!$AL$4:$AL$183,$A140,Data!$AK$4:$AK$183,$C140))</f>
        <v>0</v>
      </c>
      <c r="X140" s="18">
        <f ca="1">IF($A140="","",SUMIFS(Data!$AR$4:$AR$183,Data!$AM$4:$AM$183,$B140,Data!$AL$4:$AL$183,$A140,Data!$AK$4:$AK$183,$C140))</f>
        <v>0</v>
      </c>
      <c r="Y140" s="18">
        <f ca="1">IF($A140="","",SUMIFS(Data!$AS$4:$AS$183,Data!$AM$4:$AM$183,$B140,Data!$AL$4:$AL$183,$A140,Data!$AK$4:$AK$183,$C140))</f>
        <v>0</v>
      </c>
      <c r="Z140" s="18">
        <f ca="1">IF($A140="","",SUMIFS(Data!$AT$4:$AT$183,Data!$AM$4:$AM$183,$B140,Data!$AL$4:$AL$183,$A140,Data!$AK$4:$AK$183,$C140))</f>
        <v>0</v>
      </c>
      <c r="AA140" s="18">
        <f ca="1">IF($A140="","",SUMIFS(Data!$AW$4:$AW$183,Data!$AM$4:$AM$183,$B140,Data!$AL$4:$AL$183,$A140,Data!$AK$4:$AK$183,$C140))</f>
        <v>0</v>
      </c>
      <c r="AB140" s="18">
        <f ca="1">IF($A140="","",SUMIFS(Data!$AX$4:$AX$183,Data!$AM$4:$AM$183,$B140,Data!$AL$4:$AL$183,$A140,Data!$AK$4:$AK$183,$C140))</f>
        <v>0</v>
      </c>
      <c r="AC140" s="18">
        <f ca="1">IF($A140="","",SUMIFS(Data!$AY$4:$AY$183,Data!$AM$4:$AM$183,$B140,Data!$AL$4:$AL$183,$A140,Data!$AK$4:$AK$183,$C140))</f>
        <v>0</v>
      </c>
      <c r="AD140" s="18">
        <f t="shared" ca="1" si="5"/>
        <v>0</v>
      </c>
      <c r="AE140" s="18">
        <f ca="1">IF($A140="","",SUMIFS(Data!$AJ$4:$AJ$183,Data!$AM$4:$AM$183,$B140,Data!$AL$4:$AL$183,$A140,Data!$AK$4:$AK$183,$C140))</f>
        <v>0</v>
      </c>
    </row>
    <row r="141" spans="1:31">
      <c r="A141" s="18" t="str">
        <f ca="1">IF(Data!T141="","",Data!T141)</f>
        <v>Jason</v>
      </c>
      <c r="B141" s="18" t="str">
        <f ca="1">IF(Data!U141="","",Data!U141)</f>
        <v>King K. Rool</v>
      </c>
      <c r="C141" s="18" t="str">
        <f ca="1">IF(Data!S141="","",Data!S141)</f>
        <v>G8</v>
      </c>
      <c r="D141" s="18">
        <f ca="1">IF($A141="","",Data!W141)</f>
        <v>2</v>
      </c>
      <c r="E141" s="18">
        <f ca="1">IF($A141="","",Data!Y141)</f>
        <v>0</v>
      </c>
      <c r="F141" s="61">
        <f t="shared" ca="1" si="4"/>
        <v>0.0</v>
      </c>
      <c r="G141" s="18">
        <f ca="1">IF($A141="","",Data!AB141)</f>
        <v>0</v>
      </c>
      <c r="H141" s="18">
        <f ca="1">IF($A141="","",Data!AC141)</f>
        <v>0</v>
      </c>
      <c r="I141" s="18">
        <f ca="1">IF($A141="","",INT(SUMIFS(Data!$AN$4:$AN$183,Data!$AM$4:$AM$183,$B141,Data!$AL$4:$AL$183,$A141,Data!$AK$4:$AK$183,$C141))+MOD(ROUND(SUMIFS(Data!$AN$4:$AN$183,Data!$AM$4:$AM$183,$B141,Data!$AL$4:$AL$183,$A141,Data!$AK$4:$AK$183,$C141)*3,0),3)/10)</f>
        <v>1.1</v>
      </c>
      <c r="J141" s="18">
        <f ca="1">IF($A141="","",SUMIFS(Data!$AQ$4:$AQ$183,Data!$AM$4:$AM$183,$B141,Data!$AL$4:$AL$183,$A141,Data!$AK$4:$AK$183,$C141))</f>
        <v>0</v>
      </c>
      <c r="K141" s="62">
        <f ca="1">IF($A141="","",IF(SUMIFS(Data!$AN$4:$AN$183,Data!$AM$4:$AM$183,$B141,Data!$AL$4:$AL$183,$A141,Data!$AK$4:$AK$183,$C141)=0,"",J141*3/SUMIFS(Data!$AN$4:$AN$183,Data!$AM$4:$AM$183,$B141,Data!$AL$4:$AL$183,$A141,Data!$AK$4:$AK$183,$C141)))</f>
        <v>0.0</v>
      </c>
      <c r="L141" s="18">
        <f ca="1">IF($A141="","",IF(IFERROR(_xlfn.XLOOKUP($C141,Bracket!$F$6:$F$16,Bracket!$K$6:$K$16,""),"")=$B141,1,0))</f>
        <v>0</v>
      </c>
      <c r="M141" s="18">
        <f ca="1">IF($A141="","",IF(AND(IFERROR(_xlfn.XLOOKUP($C141,Bracket!$F$6:$F$16,Bracket!$K$6:$K$16,""),"")=$B141,LEFT(IFERROR(_xlfn.XLOOKUP($C141,Bracket!$F$6:$F$16,Bracket!$G$6:$G$16,""),""),2)="CG"),1,0))</f>
        <v>0</v>
      </c>
      <c r="N141" s="18">
        <f ca="1">IF($A141="","",SUMIFS(Data!$X$4:$X$273,Data!$T$4:$T$273,$A141,Data!$U$4:$U$273,$B141,Data!$S$4:$S$273,$C141))</f>
        <v>0</v>
      </c>
      <c r="O141" s="18">
        <f ca="1">IF($A141="","",SUMIFS(Data!$Z$4:$Z$273,Data!$T$4:$T$273,$A141,Data!$U$4:$U$273,$B141,Data!$S$4:$S$273,$C141))</f>
        <v>0</v>
      </c>
      <c r="P141" s="18">
        <f ca="1">IF($A141="","",SUMIFS(Data!$AA$4:$AA$273,Data!$T$4:$T$273,$A141,Data!$U$4:$U$273,$B141,Data!$S$4:$S$273,$C141))</f>
        <v>0</v>
      </c>
      <c r="Q141" s="18">
        <f ca="1">IF($A141="","",SUMIFS(Data!$AD$4:$AD$273,Data!$T$4:$T$273,$A141,Data!$U$4:$U$273,$B141,Data!$S$4:$S$273,$C141))</f>
        <v>0</v>
      </c>
      <c r="R141" s="18">
        <f ca="1">IF($A141="","",SUMIFS(Data!$AE$4:$AE$273,Data!$T$4:$T$273,$A141,Data!$U$4:$U$273,$B141,Data!$S$4:$S$273,$C141))</f>
        <v>1</v>
      </c>
      <c r="S141" s="18">
        <f ca="1">IF($A141="","",SUMIFS(Data!$AF$4:$AF$273,Data!$T$4:$T$273,$A141,Data!$U$4:$U$273,$B141,Data!$S$4:$S$273,$C141))</f>
        <v>0</v>
      </c>
      <c r="T141" s="18">
        <f ca="1">IF($A141="","",SUMIFS(Data!$AG$4:$AG$273,Data!$T$4:$T$273,$A141,Data!$U$4:$U$273,$B141,Data!$S$4:$S$273,$C141))</f>
        <v>0</v>
      </c>
      <c r="U141" s="18">
        <f ca="1">IF($A141="","",SUMIFS(Data!$AH$4:$AH$273,Data!$T$4:$T$273,$A141,Data!$U$4:$U$273,$B141,Data!$S$4:$S$273,$C141))</f>
        <v>0</v>
      </c>
      <c r="V141" s="18">
        <f ca="1">IF($A141="","",SUMIFS(Data!$AO$4:$AO$183,Data!$AM$4:$AM$183,$B141,Data!$AL$4:$AL$183,$A141,Data!$AK$4:$AK$183,$C141))</f>
        <v>2</v>
      </c>
      <c r="W141" s="18">
        <f ca="1">IF($A141="","",SUMIFS(Data!$AP$4:$AP$183,Data!$AM$4:$AM$183,$B141,Data!$AL$4:$AL$183,$A141,Data!$AK$4:$AK$183,$C141))</f>
        <v>0</v>
      </c>
      <c r="X141" s="18">
        <f ca="1">IF($A141="","",SUMIFS(Data!$AR$4:$AR$183,Data!$AM$4:$AM$183,$B141,Data!$AL$4:$AL$183,$A141,Data!$AK$4:$AK$183,$C141))</f>
        <v>0</v>
      </c>
      <c r="Y141" s="18">
        <f ca="1">IF($A141="","",SUMIFS(Data!$AS$4:$AS$183,Data!$AM$4:$AM$183,$B141,Data!$AL$4:$AL$183,$A141,Data!$AK$4:$AK$183,$C141))</f>
        <v>2</v>
      </c>
      <c r="Z141" s="18">
        <f ca="1">IF($A141="","",SUMIFS(Data!$AT$4:$AT$183,Data!$AM$4:$AM$183,$B141,Data!$AL$4:$AL$183,$A141,Data!$AK$4:$AK$183,$C141))</f>
        <v>0</v>
      </c>
      <c r="AA141" s="18">
        <f ca="1">IF($A141="","",SUMIFS(Data!$AW$4:$AW$183,Data!$AM$4:$AM$183,$B141,Data!$AL$4:$AL$183,$A141,Data!$AK$4:$AK$183,$C141))</f>
        <v>0</v>
      </c>
      <c r="AB141" s="18">
        <f ca="1">IF($A141="","",SUMIFS(Data!$AX$4:$AX$183,Data!$AM$4:$AM$183,$B141,Data!$AL$4:$AL$183,$A141,Data!$AK$4:$AK$183,$C141))</f>
        <v>0</v>
      </c>
      <c r="AC141" s="18">
        <f ca="1">IF($A141="","",SUMIFS(Data!$AY$4:$AY$183,Data!$AM$4:$AM$183,$B141,Data!$AL$4:$AL$183,$A141,Data!$AK$4:$AK$183,$C141))</f>
        <v>0</v>
      </c>
      <c r="AD141" s="18">
        <f t="shared" ca="1" si="5"/>
        <v>1.5</v>
      </c>
      <c r="AE141" s="18">
        <f ca="1">IF($A141="","",SUMIFS(Data!$AJ$4:$AJ$183,Data!$AM$4:$AM$183,$B141,Data!$AL$4:$AL$183,$A141,Data!$AK$4:$AK$183,$C141))</f>
        <v>6</v>
      </c>
    </row>
    <row r="142" spans="1:31">
      <c r="A142" s="18" t="str">
        <f ca="1">IF(Data!T142="","",Data!T142)</f>
        <v>Jason</v>
      </c>
      <c r="B142" s="18" t="str">
        <f ca="1">IF(Data!U142="","",Data!U142)</f>
        <v>Bowser</v>
      </c>
      <c r="C142" s="18" t="str">
        <f ca="1">IF(Data!S142="","",Data!S142)</f>
        <v>G8</v>
      </c>
      <c r="D142" s="18">
        <f ca="1">IF($A142="","",Data!W142)</f>
        <v>2</v>
      </c>
      <c r="E142" s="18">
        <f ca="1">IF($A142="","",Data!Y142)</f>
        <v>2</v>
      </c>
      <c r="F142" s="61">
        <f t="shared" ca="1" si="4"/>
        <v>1.0</v>
      </c>
      <c r="G142" s="18">
        <f ca="1">IF($A142="","",Data!AB142)</f>
        <v>0</v>
      </c>
      <c r="H142" s="18">
        <f ca="1">IF($A142="","",Data!AC142)</f>
        <v>0</v>
      </c>
      <c r="I142" s="18">
        <f ca="1">IF($A142="","",INT(SUMIFS(Data!$AN$4:$AN$183,Data!$AM$4:$AM$183,$B142,Data!$AL$4:$AL$183,$A142,Data!$AK$4:$AK$183,$C142))+MOD(ROUND(SUMIFS(Data!$AN$4:$AN$183,Data!$AM$4:$AM$183,$B142,Data!$AL$4:$AL$183,$A142,Data!$AK$4:$AK$183,$C142)*3,0),3)/10)</f>
        <v>0</v>
      </c>
      <c r="J142" s="18">
        <f ca="1">IF($A142="","",SUMIFS(Data!$AQ$4:$AQ$183,Data!$AM$4:$AM$183,$B142,Data!$AL$4:$AL$183,$A142,Data!$AK$4:$AK$183,$C142))</f>
        <v>0</v>
      </c>
      <c r="K142" s="62">
        <f ca="1">IF($A142="","",IF(SUMIFS(Data!$AN$4:$AN$183,Data!$AM$4:$AM$183,$B142,Data!$AL$4:$AL$183,$A142,Data!$AK$4:$AK$183,$C142)=0,"",J142*3/SUMIFS(Data!$AN$4:$AN$183,Data!$AM$4:$AM$183,$B142,Data!$AL$4:$AL$183,$A142,Data!$AK$4:$AK$183,$C142)))</f>
      </c>
      <c r="L142" s="18">
        <f ca="1">IF($A142="","",IF(IFERROR(_xlfn.XLOOKUP($C142,Bracket!$F$6:$F$16,Bracket!$K$6:$K$16,""),"")=$B142,1,0))</f>
        <v>0</v>
      </c>
      <c r="M142" s="18">
        <f ca="1">IF($A142="","",IF(AND(IFERROR(_xlfn.XLOOKUP($C142,Bracket!$F$6:$F$16,Bracket!$K$6:$K$16,""),"")=$B142,LEFT(IFERROR(_xlfn.XLOOKUP($C142,Bracket!$F$6:$F$16,Bracket!$G$6:$G$16,""),""),2)="CG"),1,0))</f>
        <v>0</v>
      </c>
      <c r="N142" s="18">
        <f ca="1">IF($A142="","",SUMIFS(Data!$X$4:$X$273,Data!$T$4:$T$273,$A142,Data!$U$4:$U$273,$B142,Data!$S$4:$S$273,$C142))</f>
        <v>2</v>
      </c>
      <c r="O142" s="18">
        <f ca="1">IF($A142="","",SUMIFS(Data!$Z$4:$Z$273,Data!$T$4:$T$273,$A142,Data!$U$4:$U$273,$B142,Data!$S$4:$S$273,$C142))</f>
        <v>0</v>
      </c>
      <c r="P142" s="18">
        <f ca="1">IF($A142="","",SUMIFS(Data!$AA$4:$AA$273,Data!$T$4:$T$273,$A142,Data!$U$4:$U$273,$B142,Data!$S$4:$S$273,$C142))</f>
        <v>0</v>
      </c>
      <c r="Q142" s="18">
        <f ca="1">IF($A142="","",SUMIFS(Data!$AD$4:$AD$273,Data!$T$4:$T$273,$A142,Data!$U$4:$U$273,$B142,Data!$S$4:$S$273,$C142))</f>
        <v>0</v>
      </c>
      <c r="R142" s="18">
        <f ca="1">IF($A142="","",SUMIFS(Data!$AE$4:$AE$273,Data!$T$4:$T$273,$A142,Data!$U$4:$U$273,$B142,Data!$S$4:$S$273,$C142))</f>
        <v>0</v>
      </c>
      <c r="S142" s="18">
        <f ca="1">IF($A142="","",SUMIFS(Data!$AF$4:$AF$273,Data!$T$4:$T$273,$A142,Data!$U$4:$U$273,$B142,Data!$S$4:$S$273,$C142))</f>
        <v>0</v>
      </c>
      <c r="T142" s="18">
        <f ca="1">IF($A142="","",SUMIFS(Data!$AG$4:$AG$273,Data!$T$4:$T$273,$A142,Data!$U$4:$U$273,$B142,Data!$S$4:$S$273,$C142))</f>
        <v>0</v>
      </c>
      <c r="U142" s="18">
        <f ca="1">IF($A142="","",SUMIFS(Data!$AH$4:$AH$273,Data!$T$4:$T$273,$A142,Data!$U$4:$U$273,$B142,Data!$S$4:$S$273,$C142))</f>
        <v>0</v>
      </c>
      <c r="V142" s="18">
        <f ca="1">IF($A142="","",SUMIFS(Data!$AO$4:$AO$183,Data!$AM$4:$AM$183,$B142,Data!$AL$4:$AL$183,$A142,Data!$AK$4:$AK$183,$C142))</f>
        <v>0</v>
      </c>
      <c r="W142" s="18">
        <f ca="1">IF($A142="","",SUMIFS(Data!$AP$4:$AP$183,Data!$AM$4:$AM$183,$B142,Data!$AL$4:$AL$183,$A142,Data!$AK$4:$AK$183,$C142))</f>
        <v>0</v>
      </c>
      <c r="X142" s="18">
        <f ca="1">IF($A142="","",SUMIFS(Data!$AR$4:$AR$183,Data!$AM$4:$AM$183,$B142,Data!$AL$4:$AL$183,$A142,Data!$AK$4:$AK$183,$C142))</f>
        <v>0</v>
      </c>
      <c r="Y142" s="18">
        <f ca="1">IF($A142="","",SUMIFS(Data!$AS$4:$AS$183,Data!$AM$4:$AM$183,$B142,Data!$AL$4:$AL$183,$A142,Data!$AK$4:$AK$183,$C142))</f>
        <v>0</v>
      </c>
      <c r="Z142" s="18">
        <f ca="1">IF($A142="","",SUMIFS(Data!$AT$4:$AT$183,Data!$AM$4:$AM$183,$B142,Data!$AL$4:$AL$183,$A142,Data!$AK$4:$AK$183,$C142))</f>
        <v>0</v>
      </c>
      <c r="AA142" s="18">
        <f ca="1">IF($A142="","",SUMIFS(Data!$AW$4:$AW$183,Data!$AM$4:$AM$183,$B142,Data!$AL$4:$AL$183,$A142,Data!$AK$4:$AK$183,$C142))</f>
        <v>0</v>
      </c>
      <c r="AB142" s="18">
        <f ca="1">IF($A142="","",SUMIFS(Data!$AX$4:$AX$183,Data!$AM$4:$AM$183,$B142,Data!$AL$4:$AL$183,$A142,Data!$AK$4:$AK$183,$C142))</f>
        <v>0</v>
      </c>
      <c r="AC142" s="18">
        <f ca="1">IF($A142="","",SUMIFS(Data!$AY$4:$AY$183,Data!$AM$4:$AM$183,$B142,Data!$AL$4:$AL$183,$A142,Data!$AK$4:$AK$183,$C142))</f>
        <v>0</v>
      </c>
      <c r="AD142" s="18">
        <f t="shared" ca="1" si="5"/>
        <v>0</v>
      </c>
      <c r="AE142" s="18">
        <f ca="1">IF($A142="","",SUMIFS(Data!$AJ$4:$AJ$183,Data!$AM$4:$AM$183,$B142,Data!$AL$4:$AL$183,$A142,Data!$AK$4:$AK$183,$C142))</f>
        <v>0</v>
      </c>
    </row>
    <row r="143" spans="1:31">
      <c r="A143" s="18" t="str">
        <f ca="1">IF(Data!T143="","",Data!T143)</f>
        <v>Jason</v>
      </c>
      <c r="B143" s="18" t="str">
        <f ca="1">IF(Data!U143="","",Data!U143)</f>
        <v>Blooper</v>
      </c>
      <c r="C143" s="18" t="str">
        <f ca="1">IF(Data!S143="","",Data!S143)</f>
        <v>G8</v>
      </c>
      <c r="D143" s="18">
        <f ca="1">IF($A143="","",Data!W143)</f>
        <v>2</v>
      </c>
      <c r="E143" s="18">
        <f ca="1">IF($A143="","",Data!Y143)</f>
        <v>1</v>
      </c>
      <c r="F143" s="61">
        <f t="shared" ca="1" si="4"/>
        <v>0.5</v>
      </c>
      <c r="G143" s="18">
        <f ca="1">IF($A143="","",Data!AB143)</f>
        <v>1</v>
      </c>
      <c r="H143" s="18">
        <f ca="1">IF($A143="","",Data!AC143)</f>
        <v>2</v>
      </c>
      <c r="I143" s="18">
        <f ca="1">IF($A143="","",INT(SUMIFS(Data!$AN$4:$AN$183,Data!$AM$4:$AM$183,$B143,Data!$AL$4:$AL$183,$A143,Data!$AK$4:$AK$183,$C143))+MOD(ROUND(SUMIFS(Data!$AN$4:$AN$183,Data!$AM$4:$AM$183,$B143,Data!$AL$4:$AL$183,$A143,Data!$AK$4:$AK$183,$C143)*3,0),3)/10)</f>
        <v>0</v>
      </c>
      <c r="J143" s="18">
        <f ca="1">IF($A143="","",SUMIFS(Data!$AQ$4:$AQ$183,Data!$AM$4:$AM$183,$B143,Data!$AL$4:$AL$183,$A143,Data!$AK$4:$AK$183,$C143))</f>
        <v>5</v>
      </c>
      <c r="K143" s="62">
        <f ca="1">IF($A143="","",IF(SUMIFS(Data!$AN$4:$AN$183,Data!$AM$4:$AM$183,$B143,Data!$AL$4:$AL$183,$A143,Data!$AK$4:$AK$183,$C143)=0,"",J143*3/SUMIFS(Data!$AN$4:$AN$183,Data!$AM$4:$AM$183,$B143,Data!$AL$4:$AL$183,$A143,Data!$AK$4:$AK$183,$C143)))</f>
      </c>
      <c r="L143" s="18">
        <f ca="1">IF($A143="","",IF(IFERROR(_xlfn.XLOOKUP($C143,Bracket!$F$6:$F$16,Bracket!$K$6:$K$16,""),"")=$B143,1,0))</f>
        <v>0</v>
      </c>
      <c r="M143" s="18">
        <f ca="1">IF($A143="","",IF(AND(IFERROR(_xlfn.XLOOKUP($C143,Bracket!$F$6:$F$16,Bracket!$K$6:$K$16,""),"")=$B143,LEFT(IFERROR(_xlfn.XLOOKUP($C143,Bracket!$F$6:$F$16,Bracket!$G$6:$G$16,""),""),2)="CG"),1,0))</f>
        <v>0</v>
      </c>
      <c r="N143" s="18">
        <f ca="1">IF($A143="","",SUMIFS(Data!$X$4:$X$273,Data!$T$4:$T$273,$A143,Data!$U$4:$U$273,$B143,Data!$S$4:$S$273,$C143))</f>
        <v>1</v>
      </c>
      <c r="O143" s="18">
        <f ca="1">IF($A143="","",SUMIFS(Data!$Z$4:$Z$273,Data!$T$4:$T$273,$A143,Data!$U$4:$U$273,$B143,Data!$S$4:$S$273,$C143))</f>
        <v>0</v>
      </c>
      <c r="P143" s="18">
        <f ca="1">IF($A143="","",SUMIFS(Data!$AA$4:$AA$273,Data!$T$4:$T$273,$A143,Data!$U$4:$U$273,$B143,Data!$S$4:$S$273,$C143))</f>
        <v>0</v>
      </c>
      <c r="Q143" s="18">
        <f ca="1">IF($A143="","",SUMIFS(Data!$AD$4:$AD$273,Data!$T$4:$T$273,$A143,Data!$U$4:$U$273,$B143,Data!$S$4:$S$273,$C143))</f>
        <v>0</v>
      </c>
      <c r="R143" s="18">
        <f ca="1">IF($A143="","",SUMIFS(Data!$AE$4:$AE$273,Data!$T$4:$T$273,$A143,Data!$U$4:$U$273,$B143,Data!$S$4:$S$273,$C143))</f>
        <v>0</v>
      </c>
      <c r="S143" s="18">
        <f ca="1">IF($A143="","",SUMIFS(Data!$AF$4:$AF$273,Data!$T$4:$T$273,$A143,Data!$U$4:$U$273,$B143,Data!$S$4:$S$273,$C143))</f>
        <v>0</v>
      </c>
      <c r="T143" s="18">
        <f ca="1">IF($A143="","",SUMIFS(Data!$AG$4:$AG$273,Data!$T$4:$T$273,$A143,Data!$U$4:$U$273,$B143,Data!$S$4:$S$273,$C143))</f>
        <v>0</v>
      </c>
      <c r="U143" s="18">
        <f ca="1">IF($A143="","",SUMIFS(Data!$AH$4:$AH$273,Data!$T$4:$T$273,$A143,Data!$U$4:$U$273,$B143,Data!$S$4:$S$273,$C143))</f>
        <v>0</v>
      </c>
      <c r="V143" s="18">
        <f ca="1">IF($A143="","",SUMIFS(Data!$AO$4:$AO$183,Data!$AM$4:$AM$183,$B143,Data!$AL$4:$AL$183,$A143,Data!$AK$4:$AK$183,$C143))</f>
        <v>2</v>
      </c>
      <c r="W143" s="18">
        <f ca="1">IF($A143="","",SUMIFS(Data!$AP$4:$AP$183,Data!$AM$4:$AM$183,$B143,Data!$AL$4:$AL$183,$A143,Data!$AK$4:$AK$183,$C143))</f>
        <v>5</v>
      </c>
      <c r="X143" s="18">
        <f ca="1">IF($A143="","",SUMIFS(Data!$AR$4:$AR$183,Data!$AM$4:$AM$183,$B143,Data!$AL$4:$AL$183,$A143,Data!$AK$4:$AK$183,$C143))</f>
        <v>0</v>
      </c>
      <c r="Y143" s="18">
        <f ca="1">IF($A143="","",SUMIFS(Data!$AS$4:$AS$183,Data!$AM$4:$AM$183,$B143,Data!$AL$4:$AL$183,$A143,Data!$AK$4:$AK$183,$C143))</f>
        <v>0</v>
      </c>
      <c r="Z143" s="18">
        <f ca="1">IF($A143="","",SUMIFS(Data!$AT$4:$AT$183,Data!$AM$4:$AM$183,$B143,Data!$AL$4:$AL$183,$A143,Data!$AK$4:$AK$183,$C143))</f>
        <v>1</v>
      </c>
      <c r="AA143" s="18">
        <f ca="1">IF($A143="","",SUMIFS(Data!$AW$4:$AW$183,Data!$AM$4:$AM$183,$B143,Data!$AL$4:$AL$183,$A143,Data!$AK$4:$AK$183,$C143))</f>
        <v>0</v>
      </c>
      <c r="AB143" s="18">
        <f ca="1">IF($A143="","",SUMIFS(Data!$AX$4:$AX$183,Data!$AM$4:$AM$183,$B143,Data!$AL$4:$AL$183,$A143,Data!$AK$4:$AK$183,$C143))</f>
        <v>0</v>
      </c>
      <c r="AC143" s="18">
        <f ca="1">IF($A143="","",SUMIFS(Data!$AY$4:$AY$183,Data!$AM$4:$AM$183,$B143,Data!$AL$4:$AL$183,$A143,Data!$AK$4:$AK$183,$C143))</f>
        <v>0</v>
      </c>
      <c r="AD143" s="18">
        <f t="shared" ca="1" si="5"/>
        <v>0</v>
      </c>
      <c r="AE143" s="18">
        <f ca="1">IF($A143="","",SUMIFS(Data!$AJ$4:$AJ$183,Data!$AM$4:$AM$183,$B143,Data!$AL$4:$AL$183,$A143,Data!$AK$4:$AK$183,$C143))</f>
        <v>3</v>
      </c>
    </row>
    <row r="144" spans="1:31">
      <c r="A144" s="18" t="str">
        <f ca="1">IF(Data!T144="","",Data!T144)</f>
        <v>Jason</v>
      </c>
      <c r="B144" s="18" t="str">
        <f ca="1">IF(Data!U144="","",Data!U144)</f>
        <v>Yellow Toad</v>
      </c>
      <c r="C144" s="18" t="str">
        <f ca="1">IF(Data!S144="","",Data!S144)</f>
        <v>G8</v>
      </c>
      <c r="D144" s="18">
        <f ca="1">IF($A144="","",Data!W144)</f>
        <v>2</v>
      </c>
      <c r="E144" s="18">
        <f ca="1">IF($A144="","",Data!Y144)</f>
        <v>0</v>
      </c>
      <c r="F144" s="61">
        <f t="shared" ca="1" si="4"/>
        <v>0.0</v>
      </c>
      <c r="G144" s="18">
        <f ca="1">IF($A144="","",Data!AB144)</f>
        <v>0</v>
      </c>
      <c r="H144" s="18">
        <f ca="1">IF($A144="","",Data!AC144)</f>
        <v>0</v>
      </c>
      <c r="I144" s="18">
        <f ca="1">IF($A144="","",INT(SUMIFS(Data!$AN$4:$AN$183,Data!$AM$4:$AM$183,$B144,Data!$AL$4:$AL$183,$A144,Data!$AK$4:$AK$183,$C144))+MOD(ROUND(SUMIFS(Data!$AN$4:$AN$183,Data!$AM$4:$AM$183,$B144,Data!$AL$4:$AL$183,$A144,Data!$AK$4:$AK$183,$C144)*3,0),3)/10)</f>
        <v>0.2</v>
      </c>
      <c r="J144" s="18">
        <f ca="1">IF($A144="","",SUMIFS(Data!$AQ$4:$AQ$183,Data!$AM$4:$AM$183,$B144,Data!$AL$4:$AL$183,$A144,Data!$AK$4:$AK$183,$C144))</f>
        <v>0</v>
      </c>
      <c r="K144" s="62">
        <f ca="1">IF($A144="","",IF(SUMIFS(Data!$AN$4:$AN$183,Data!$AM$4:$AM$183,$B144,Data!$AL$4:$AL$183,$A144,Data!$AK$4:$AK$183,$C144)=0,"",J144*3/SUMIFS(Data!$AN$4:$AN$183,Data!$AM$4:$AM$183,$B144,Data!$AL$4:$AL$183,$A144,Data!$AK$4:$AK$183,$C144)))</f>
        <v>0.0</v>
      </c>
      <c r="L144" s="18">
        <f ca="1">IF($A144="","",IF(IFERROR(_xlfn.XLOOKUP($C144,Bracket!$F$6:$F$16,Bracket!$K$6:$K$16,""),"")=$B144,1,0))</f>
        <v>0</v>
      </c>
      <c r="M144" s="18">
        <f ca="1">IF($A144="","",IF(AND(IFERROR(_xlfn.XLOOKUP($C144,Bracket!$F$6:$F$16,Bracket!$K$6:$K$16,""),"")=$B144,LEFT(IFERROR(_xlfn.XLOOKUP($C144,Bracket!$F$6:$F$16,Bracket!$G$6:$G$16,""),""),2)="CG"),1,0))</f>
        <v>0</v>
      </c>
      <c r="N144" s="18">
        <f ca="1">IF($A144="","",SUMIFS(Data!$X$4:$X$273,Data!$T$4:$T$273,$A144,Data!$U$4:$U$273,$B144,Data!$S$4:$S$273,$C144))</f>
        <v>0</v>
      </c>
      <c r="O144" s="18">
        <f ca="1">IF($A144="","",SUMIFS(Data!$Z$4:$Z$273,Data!$T$4:$T$273,$A144,Data!$U$4:$U$273,$B144,Data!$S$4:$S$273,$C144))</f>
        <v>0</v>
      </c>
      <c r="P144" s="18">
        <f ca="1">IF($A144="","",SUMIFS(Data!$AA$4:$AA$273,Data!$T$4:$T$273,$A144,Data!$U$4:$U$273,$B144,Data!$S$4:$S$273,$C144))</f>
        <v>0</v>
      </c>
      <c r="Q144" s="18">
        <f ca="1">IF($A144="","",SUMIFS(Data!$AD$4:$AD$273,Data!$T$4:$T$273,$A144,Data!$U$4:$U$273,$B144,Data!$S$4:$S$273,$C144))</f>
        <v>0</v>
      </c>
      <c r="R144" s="18">
        <f ca="1">IF($A144="","",SUMIFS(Data!$AE$4:$AE$273,Data!$T$4:$T$273,$A144,Data!$U$4:$U$273,$B144,Data!$S$4:$S$273,$C144))</f>
        <v>0</v>
      </c>
      <c r="S144" s="18">
        <f ca="1">IF($A144="","",SUMIFS(Data!$AF$4:$AF$273,Data!$T$4:$T$273,$A144,Data!$U$4:$U$273,$B144,Data!$S$4:$S$273,$C144))</f>
        <v>0</v>
      </c>
      <c r="T144" s="18">
        <f ca="1">IF($A144="","",SUMIFS(Data!$AG$4:$AG$273,Data!$T$4:$T$273,$A144,Data!$U$4:$U$273,$B144,Data!$S$4:$S$273,$C144))</f>
        <v>0</v>
      </c>
      <c r="U144" s="18">
        <f ca="1">IF($A144="","",SUMIFS(Data!$AH$4:$AH$273,Data!$T$4:$T$273,$A144,Data!$U$4:$U$273,$B144,Data!$S$4:$S$273,$C144))</f>
        <v>0</v>
      </c>
      <c r="V144" s="18">
        <f ca="1">IF($A144="","",SUMIFS(Data!$AO$4:$AO$183,Data!$AM$4:$AM$183,$B144,Data!$AL$4:$AL$183,$A144,Data!$AK$4:$AK$183,$C144))</f>
        <v>1</v>
      </c>
      <c r="W144" s="18">
        <f ca="1">IF($A144="","",SUMIFS(Data!$AP$4:$AP$183,Data!$AM$4:$AM$183,$B144,Data!$AL$4:$AL$183,$A144,Data!$AK$4:$AK$183,$C144))</f>
        <v>0</v>
      </c>
      <c r="X144" s="18">
        <f ca="1">IF($A144="","",SUMIFS(Data!$AR$4:$AR$183,Data!$AM$4:$AM$183,$B144,Data!$AL$4:$AL$183,$A144,Data!$AK$4:$AK$183,$C144))</f>
        <v>0</v>
      </c>
      <c r="Y144" s="18">
        <f ca="1">IF($A144="","",SUMIFS(Data!$AS$4:$AS$183,Data!$AM$4:$AM$183,$B144,Data!$AL$4:$AL$183,$A144,Data!$AK$4:$AK$183,$C144))</f>
        <v>1</v>
      </c>
      <c r="Z144" s="18">
        <f ca="1">IF($A144="","",SUMIFS(Data!$AT$4:$AT$183,Data!$AM$4:$AM$183,$B144,Data!$AL$4:$AL$183,$A144,Data!$AK$4:$AK$183,$C144))</f>
        <v>0</v>
      </c>
      <c r="AA144" s="18">
        <f ca="1">IF($A144="","",SUMIFS(Data!$AW$4:$AW$183,Data!$AM$4:$AM$183,$B144,Data!$AL$4:$AL$183,$A144,Data!$AK$4:$AK$183,$C144))</f>
        <v>0</v>
      </c>
      <c r="AB144" s="18">
        <f ca="1">IF($A144="","",SUMIFS(Data!$AX$4:$AX$183,Data!$AM$4:$AM$183,$B144,Data!$AL$4:$AL$183,$A144,Data!$AK$4:$AK$183,$C144))</f>
        <v>0</v>
      </c>
      <c r="AC144" s="18">
        <f ca="1">IF($A144="","",SUMIFS(Data!$AY$4:$AY$183,Data!$AM$4:$AM$183,$B144,Data!$AL$4:$AL$183,$A144,Data!$AK$4:$AK$183,$C144))</f>
        <v>0</v>
      </c>
      <c r="AD144" s="18">
        <f t="shared" ca="1" si="5"/>
        <v>1.5</v>
      </c>
      <c r="AE144" s="18">
        <f ca="1">IF($A144="","",SUMIFS(Data!$AJ$4:$AJ$183,Data!$AM$4:$AM$183,$B144,Data!$AL$4:$AL$183,$A144,Data!$AK$4:$AK$183,$C144))</f>
        <v>3</v>
      </c>
    </row>
    <row r="145" spans="1:31">
      <c r="A145" s="18" t="str">
        <f ca="1">IF(Data!T145="","",Data!T145)</f>
        <v>Jason</v>
      </c>
      <c r="B145" s="18" t="str">
        <f ca="1">IF(Data!U145="","",Data!U145)</f>
        <v>Peach</v>
      </c>
      <c r="C145" s="18" t="str">
        <f ca="1">IF(Data!S145="","",Data!S145)</f>
        <v>G8</v>
      </c>
      <c r="D145" s="18">
        <f ca="1">IF($A145="","",Data!W145)</f>
        <v>2</v>
      </c>
      <c r="E145" s="18">
        <f ca="1">IF($A145="","",Data!Y145)</f>
        <v>2</v>
      </c>
      <c r="F145" s="61">
        <f t="shared" ca="1" si="4"/>
        <v>1.0</v>
      </c>
      <c r="G145" s="18">
        <f ca="1">IF($A145="","",Data!AB145)</f>
        <v>1</v>
      </c>
      <c r="H145" s="18">
        <f ca="1">IF($A145="","",Data!AC145)</f>
        <v>2</v>
      </c>
      <c r="I145" s="18">
        <f ca="1">IF($A145="","",INT(SUMIFS(Data!$AN$4:$AN$183,Data!$AM$4:$AM$183,$B145,Data!$AL$4:$AL$183,$A145,Data!$AK$4:$AK$183,$C145))+MOD(ROUND(SUMIFS(Data!$AN$4:$AN$183,Data!$AM$4:$AM$183,$B145,Data!$AL$4:$AL$183,$A145,Data!$AK$4:$AK$183,$C145)*3,0),3)/10)</f>
        <v>2</v>
      </c>
      <c r="J145" s="18">
        <f ca="1">IF($A145="","",SUMIFS(Data!$AQ$4:$AQ$183,Data!$AM$4:$AM$183,$B145,Data!$AL$4:$AL$183,$A145,Data!$AK$4:$AK$183,$C145))</f>
        <v>2</v>
      </c>
      <c r="K145" s="62">
        <f ca="1">IF($A145="","",IF(SUMIFS(Data!$AN$4:$AN$183,Data!$AM$4:$AM$183,$B145,Data!$AL$4:$AL$183,$A145,Data!$AK$4:$AK$183,$C145)=0,"",J145*3/SUMIFS(Data!$AN$4:$AN$183,Data!$AM$4:$AM$183,$B145,Data!$AL$4:$AL$183,$A145,Data!$AK$4:$AK$183,$C145)))</f>
        <v>3.0</v>
      </c>
      <c r="L145" s="18">
        <f ca="1">IF($A145="","",IF(IFERROR(_xlfn.XLOOKUP($C145,Bracket!$F$6:$F$16,Bracket!$K$6:$K$16,""),"")=$B145,1,0))</f>
        <v>0</v>
      </c>
      <c r="M145" s="18">
        <f ca="1">IF($A145="","",IF(AND(IFERROR(_xlfn.XLOOKUP($C145,Bracket!$F$6:$F$16,Bracket!$K$6:$K$16,""),"")=$B145,LEFT(IFERROR(_xlfn.XLOOKUP($C145,Bracket!$F$6:$F$16,Bracket!$G$6:$G$16,""),""),2)="CG"),1,0))</f>
        <v>0</v>
      </c>
      <c r="N145" s="18">
        <f ca="1">IF($A145="","",SUMIFS(Data!$X$4:$X$273,Data!$T$4:$T$273,$A145,Data!$U$4:$U$273,$B145,Data!$S$4:$S$273,$C145))</f>
        <v>1</v>
      </c>
      <c r="O145" s="18">
        <f ca="1">IF($A145="","",SUMIFS(Data!$Z$4:$Z$273,Data!$T$4:$T$273,$A145,Data!$U$4:$U$273,$B145,Data!$S$4:$S$273,$C145))</f>
        <v>0</v>
      </c>
      <c r="P145" s="18">
        <f ca="1">IF($A145="","",SUMIFS(Data!$AA$4:$AA$273,Data!$T$4:$T$273,$A145,Data!$U$4:$U$273,$B145,Data!$S$4:$S$273,$C145))</f>
        <v>0</v>
      </c>
      <c r="Q145" s="18">
        <f ca="1">IF($A145="","",SUMIFS(Data!$AD$4:$AD$273,Data!$T$4:$T$273,$A145,Data!$U$4:$U$273,$B145,Data!$S$4:$S$273,$C145))</f>
        <v>0</v>
      </c>
      <c r="R145" s="18">
        <f ca="1">IF($A145="","",SUMIFS(Data!$AE$4:$AE$273,Data!$T$4:$T$273,$A145,Data!$U$4:$U$273,$B145,Data!$S$4:$S$273,$C145))</f>
        <v>0</v>
      </c>
      <c r="S145" s="18">
        <f ca="1">IF($A145="","",SUMIFS(Data!$AF$4:$AF$273,Data!$T$4:$T$273,$A145,Data!$U$4:$U$273,$B145,Data!$S$4:$S$273,$C145))</f>
        <v>0</v>
      </c>
      <c r="T145" s="18">
        <f ca="1">IF($A145="","",SUMIFS(Data!$AG$4:$AG$273,Data!$T$4:$T$273,$A145,Data!$U$4:$U$273,$B145,Data!$S$4:$S$273,$C145))</f>
        <v>0</v>
      </c>
      <c r="U145" s="18">
        <f ca="1">IF($A145="","",SUMIFS(Data!$AH$4:$AH$273,Data!$T$4:$T$273,$A145,Data!$U$4:$U$273,$B145,Data!$S$4:$S$273,$C145))</f>
        <v>0</v>
      </c>
      <c r="V145" s="18">
        <f ca="1">IF($A145="","",SUMIFS(Data!$AO$4:$AO$183,Data!$AM$4:$AM$183,$B145,Data!$AL$4:$AL$183,$A145,Data!$AK$4:$AK$183,$C145))</f>
        <v>4</v>
      </c>
      <c r="W145" s="18">
        <f ca="1">IF($A145="","",SUMIFS(Data!$AP$4:$AP$183,Data!$AM$4:$AM$183,$B145,Data!$AL$4:$AL$183,$A145,Data!$AK$4:$AK$183,$C145))</f>
        <v>2</v>
      </c>
      <c r="X145" s="18">
        <f ca="1">IF($A145="","",SUMIFS(Data!$AR$4:$AR$183,Data!$AM$4:$AM$183,$B145,Data!$AL$4:$AL$183,$A145,Data!$AK$4:$AK$183,$C145))</f>
        <v>0</v>
      </c>
      <c r="Y145" s="18">
        <f ca="1">IF($A145="","",SUMIFS(Data!$AS$4:$AS$183,Data!$AM$4:$AM$183,$B145,Data!$AL$4:$AL$183,$A145,Data!$AK$4:$AK$183,$C145))</f>
        <v>0</v>
      </c>
      <c r="Z145" s="18">
        <f ca="1">IF($A145="","",SUMIFS(Data!$AT$4:$AT$183,Data!$AM$4:$AM$183,$B145,Data!$AL$4:$AL$183,$A145,Data!$AK$4:$AK$183,$C145))</f>
        <v>0</v>
      </c>
      <c r="AA145" s="18">
        <f ca="1">IF($A145="","",SUMIFS(Data!$AW$4:$AW$183,Data!$AM$4:$AM$183,$B145,Data!$AL$4:$AL$183,$A145,Data!$AK$4:$AK$183,$C145))</f>
        <v>0</v>
      </c>
      <c r="AB145" s="18">
        <f ca="1">IF($A145="","",SUMIFS(Data!$AX$4:$AX$183,Data!$AM$4:$AM$183,$B145,Data!$AL$4:$AL$183,$A145,Data!$AK$4:$AK$183,$C145))</f>
        <v>0</v>
      </c>
      <c r="AC145" s="18">
        <f ca="1">IF($A145="","",SUMIFS(Data!$AY$4:$AY$183,Data!$AM$4:$AM$183,$B145,Data!$AL$4:$AL$183,$A145,Data!$AK$4:$AK$183,$C145))</f>
        <v>0</v>
      </c>
      <c r="AD145" s="18">
        <f t="shared" ca="1" si="5"/>
        <v>2.0</v>
      </c>
      <c r="AE145" s="18">
        <f ca="1">IF($A145="","",SUMIFS(Data!$AJ$4:$AJ$183,Data!$AM$4:$AM$183,$B145,Data!$AL$4:$AL$183,$A145,Data!$AK$4:$AK$183,$C145))</f>
        <v>9</v>
      </c>
    </row>
    <row r="146" spans="1:31">
      <c r="A146" s="18" t="str">
        <f ca="1">IF(Data!T146="","",Data!T146)</f>
        <v>Jason</v>
      </c>
      <c r="B146" s="18" t="str">
        <f ca="1">IF(Data!U146="","",Data!U146)</f>
        <v>Baby Mario</v>
      </c>
      <c r="C146" s="18" t="str">
        <f ca="1">IF(Data!S146="","",Data!S146)</f>
        <v>G8</v>
      </c>
      <c r="D146" s="18">
        <f ca="1">IF($A146="","",Data!W146)</f>
        <v>2</v>
      </c>
      <c r="E146" s="18">
        <f ca="1">IF($A146="","",Data!Y146)</f>
        <v>0</v>
      </c>
      <c r="F146" s="61">
        <f t="shared" ca="1" si="4"/>
        <v>0.0</v>
      </c>
      <c r="G146" s="18">
        <f ca="1">IF($A146="","",Data!AB146)</f>
        <v>0</v>
      </c>
      <c r="H146" s="18">
        <f ca="1">IF($A146="","",Data!AC146)</f>
        <v>0</v>
      </c>
      <c r="I146" s="18">
        <f ca="1">IF($A146="","",INT(SUMIFS(Data!$AN$4:$AN$183,Data!$AM$4:$AM$183,$B146,Data!$AL$4:$AL$183,$A146,Data!$AK$4:$AK$183,$C146))+MOD(ROUND(SUMIFS(Data!$AN$4:$AN$183,Data!$AM$4:$AM$183,$B146,Data!$AL$4:$AL$183,$A146,Data!$AK$4:$AK$183,$C146)*3,0),3)/10)</f>
        <v>0</v>
      </c>
      <c r="J146" s="18">
        <f ca="1">IF($A146="","",SUMIFS(Data!$AQ$4:$AQ$183,Data!$AM$4:$AM$183,$B146,Data!$AL$4:$AL$183,$A146,Data!$AK$4:$AK$183,$C146))</f>
        <v>0</v>
      </c>
      <c r="K146" s="62">
        <f ca="1">IF($A146="","",IF(SUMIFS(Data!$AN$4:$AN$183,Data!$AM$4:$AM$183,$B146,Data!$AL$4:$AL$183,$A146,Data!$AK$4:$AK$183,$C146)=0,"",J146*3/SUMIFS(Data!$AN$4:$AN$183,Data!$AM$4:$AM$183,$B146,Data!$AL$4:$AL$183,$A146,Data!$AK$4:$AK$183,$C146)))</f>
      </c>
      <c r="L146" s="18">
        <f ca="1">IF($A146="","",IF(IFERROR(_xlfn.XLOOKUP($C146,Bracket!$F$6:$F$16,Bracket!$K$6:$K$16,""),"")=$B146,1,0))</f>
        <v>0</v>
      </c>
      <c r="M146" s="18">
        <f ca="1">IF($A146="","",IF(AND(IFERROR(_xlfn.XLOOKUP($C146,Bracket!$F$6:$F$16,Bracket!$K$6:$K$16,""),"")=$B146,LEFT(IFERROR(_xlfn.XLOOKUP($C146,Bracket!$F$6:$F$16,Bracket!$G$6:$G$16,""),""),2)="CG"),1,0))</f>
        <v>0</v>
      </c>
      <c r="N146" s="18">
        <f ca="1">IF($A146="","",SUMIFS(Data!$X$4:$X$273,Data!$T$4:$T$273,$A146,Data!$U$4:$U$273,$B146,Data!$S$4:$S$273,$C146))</f>
        <v>0</v>
      </c>
      <c r="O146" s="18">
        <f ca="1">IF($A146="","",SUMIFS(Data!$Z$4:$Z$273,Data!$T$4:$T$273,$A146,Data!$U$4:$U$273,$B146,Data!$S$4:$S$273,$C146))</f>
        <v>0</v>
      </c>
      <c r="P146" s="18">
        <f ca="1">IF($A146="","",SUMIFS(Data!$AA$4:$AA$273,Data!$T$4:$T$273,$A146,Data!$U$4:$U$273,$B146,Data!$S$4:$S$273,$C146))</f>
        <v>0</v>
      </c>
      <c r="Q146" s="18">
        <f ca="1">IF($A146="","",SUMIFS(Data!$AD$4:$AD$273,Data!$T$4:$T$273,$A146,Data!$U$4:$U$273,$B146,Data!$S$4:$S$273,$C146))</f>
        <v>0</v>
      </c>
      <c r="R146" s="18">
        <f ca="1">IF($A146="","",SUMIFS(Data!$AE$4:$AE$273,Data!$T$4:$T$273,$A146,Data!$U$4:$U$273,$B146,Data!$S$4:$S$273,$C146))</f>
        <v>0</v>
      </c>
      <c r="S146" s="18">
        <f ca="1">IF($A146="","",SUMIFS(Data!$AF$4:$AF$273,Data!$T$4:$T$273,$A146,Data!$U$4:$U$273,$B146,Data!$S$4:$S$273,$C146))</f>
        <v>0</v>
      </c>
      <c r="T146" s="18">
        <f ca="1">IF($A146="","",SUMIFS(Data!$AG$4:$AG$273,Data!$T$4:$T$273,$A146,Data!$U$4:$U$273,$B146,Data!$S$4:$S$273,$C146))</f>
        <v>0</v>
      </c>
      <c r="U146" s="18">
        <f ca="1">IF($A146="","",SUMIFS(Data!$AH$4:$AH$273,Data!$T$4:$T$273,$A146,Data!$U$4:$U$273,$B146,Data!$S$4:$S$273,$C146))</f>
        <v>0</v>
      </c>
      <c r="V146" s="18">
        <f ca="1">IF($A146="","",SUMIFS(Data!$AO$4:$AO$183,Data!$AM$4:$AM$183,$B146,Data!$AL$4:$AL$183,$A146,Data!$AK$4:$AK$183,$C146))</f>
        <v>0</v>
      </c>
      <c r="W146" s="18">
        <f ca="1">IF($A146="","",SUMIFS(Data!$AP$4:$AP$183,Data!$AM$4:$AM$183,$B146,Data!$AL$4:$AL$183,$A146,Data!$AK$4:$AK$183,$C146))</f>
        <v>0</v>
      </c>
      <c r="X146" s="18">
        <f ca="1">IF($A146="","",SUMIFS(Data!$AR$4:$AR$183,Data!$AM$4:$AM$183,$B146,Data!$AL$4:$AL$183,$A146,Data!$AK$4:$AK$183,$C146))</f>
        <v>0</v>
      </c>
      <c r="Y146" s="18">
        <f ca="1">IF($A146="","",SUMIFS(Data!$AS$4:$AS$183,Data!$AM$4:$AM$183,$B146,Data!$AL$4:$AL$183,$A146,Data!$AK$4:$AK$183,$C146))</f>
        <v>0</v>
      </c>
      <c r="Z146" s="18">
        <f ca="1">IF($A146="","",SUMIFS(Data!$AT$4:$AT$183,Data!$AM$4:$AM$183,$B146,Data!$AL$4:$AL$183,$A146,Data!$AK$4:$AK$183,$C146))</f>
        <v>0</v>
      </c>
      <c r="AA146" s="18">
        <f ca="1">IF($A146="","",SUMIFS(Data!$AW$4:$AW$183,Data!$AM$4:$AM$183,$B146,Data!$AL$4:$AL$183,$A146,Data!$AK$4:$AK$183,$C146))</f>
        <v>0</v>
      </c>
      <c r="AB146" s="18">
        <f ca="1">IF($A146="","",SUMIFS(Data!$AX$4:$AX$183,Data!$AM$4:$AM$183,$B146,Data!$AL$4:$AL$183,$A146,Data!$AK$4:$AK$183,$C146))</f>
        <v>0</v>
      </c>
      <c r="AC146" s="18">
        <f ca="1">IF($A146="","",SUMIFS(Data!$AY$4:$AY$183,Data!$AM$4:$AM$183,$B146,Data!$AL$4:$AL$183,$A146,Data!$AK$4:$AK$183,$C146))</f>
        <v>0</v>
      </c>
      <c r="AD146" s="18">
        <f t="shared" ca="1" si="5"/>
        <v>0</v>
      </c>
      <c r="AE146" s="18">
        <f ca="1">IF($A146="","",SUMIFS(Data!$AJ$4:$AJ$183,Data!$AM$4:$AM$183,$B146,Data!$AL$4:$AL$183,$A146,Data!$AK$4:$AK$183,$C146))</f>
        <v>0</v>
      </c>
    </row>
    <row r="147" spans="1:31">
      <c r="A147" s="18" t="str">
        <f ca="1">IF(Data!T147="","",Data!T147)</f>
        <v>Jason</v>
      </c>
      <c r="B147" s="18" t="str">
        <f ca="1">IF(Data!U147="","",Data!U147)</f>
        <v>Baby Daisy</v>
      </c>
      <c r="C147" s="18" t="str">
        <f ca="1">IF(Data!S147="","",Data!S147)</f>
        <v>G8</v>
      </c>
      <c r="D147" s="18">
        <f ca="1">IF($A147="","",Data!W147)</f>
        <v>1</v>
      </c>
      <c r="E147" s="18">
        <f ca="1">IF($A147="","",Data!Y147)</f>
        <v>0</v>
      </c>
      <c r="F147" s="61">
        <f t="shared" ca="1" si="4"/>
        <v>0.0</v>
      </c>
      <c r="G147" s="18">
        <f ca="1">IF($A147="","",Data!AB147)</f>
        <v>0</v>
      </c>
      <c r="H147" s="18">
        <f ca="1">IF($A147="","",Data!AC147)</f>
        <v>0</v>
      </c>
      <c r="I147" s="18">
        <f ca="1">IF($A147="","",INT(SUMIFS(Data!$AN$4:$AN$183,Data!$AM$4:$AM$183,$B147,Data!$AL$4:$AL$183,$A147,Data!$AK$4:$AK$183,$C147))+MOD(ROUND(SUMIFS(Data!$AN$4:$AN$183,Data!$AM$4:$AM$183,$B147,Data!$AL$4:$AL$183,$A147,Data!$AK$4:$AK$183,$C147)*3,0),3)/10)</f>
        <v>0</v>
      </c>
      <c r="J147" s="18">
        <f ca="1">IF($A147="","",SUMIFS(Data!$AQ$4:$AQ$183,Data!$AM$4:$AM$183,$B147,Data!$AL$4:$AL$183,$A147,Data!$AK$4:$AK$183,$C147))</f>
        <v>0</v>
      </c>
      <c r="K147" s="62">
        <f ca="1">IF($A147="","",IF(SUMIFS(Data!$AN$4:$AN$183,Data!$AM$4:$AM$183,$B147,Data!$AL$4:$AL$183,$A147,Data!$AK$4:$AK$183,$C147)=0,"",J147*3/SUMIFS(Data!$AN$4:$AN$183,Data!$AM$4:$AM$183,$B147,Data!$AL$4:$AL$183,$A147,Data!$AK$4:$AK$183,$C147)))</f>
      </c>
      <c r="L147" s="18">
        <f ca="1">IF($A147="","",IF(IFERROR(_xlfn.XLOOKUP($C147,Bracket!$F$6:$F$16,Bracket!$K$6:$K$16,""),"")=$B147,1,0))</f>
        <v>0</v>
      </c>
      <c r="M147" s="18">
        <f ca="1">IF($A147="","",IF(AND(IFERROR(_xlfn.XLOOKUP($C147,Bracket!$F$6:$F$16,Bracket!$K$6:$K$16,""),"")=$B147,LEFT(IFERROR(_xlfn.XLOOKUP($C147,Bracket!$F$6:$F$16,Bracket!$G$6:$G$16,""),""),2)="CG"),1,0))</f>
        <v>0</v>
      </c>
      <c r="N147" s="18">
        <f ca="1">IF($A147="","",SUMIFS(Data!$X$4:$X$273,Data!$T$4:$T$273,$A147,Data!$U$4:$U$273,$B147,Data!$S$4:$S$273,$C147))</f>
        <v>0</v>
      </c>
      <c r="O147" s="18">
        <f ca="1">IF($A147="","",SUMIFS(Data!$Z$4:$Z$273,Data!$T$4:$T$273,$A147,Data!$U$4:$U$273,$B147,Data!$S$4:$S$273,$C147))</f>
        <v>0</v>
      </c>
      <c r="P147" s="18">
        <f ca="1">IF($A147="","",SUMIFS(Data!$AA$4:$AA$273,Data!$T$4:$T$273,$A147,Data!$U$4:$U$273,$B147,Data!$S$4:$S$273,$C147))</f>
        <v>0</v>
      </c>
      <c r="Q147" s="18">
        <f ca="1">IF($A147="","",SUMIFS(Data!$AD$4:$AD$273,Data!$T$4:$T$273,$A147,Data!$U$4:$U$273,$B147,Data!$S$4:$S$273,$C147))</f>
        <v>0</v>
      </c>
      <c r="R147" s="18">
        <f ca="1">IF($A147="","",SUMIFS(Data!$AE$4:$AE$273,Data!$T$4:$T$273,$A147,Data!$U$4:$U$273,$B147,Data!$S$4:$S$273,$C147))</f>
        <v>0</v>
      </c>
      <c r="S147" s="18">
        <f ca="1">IF($A147="","",SUMIFS(Data!$AF$4:$AF$273,Data!$T$4:$T$273,$A147,Data!$U$4:$U$273,$B147,Data!$S$4:$S$273,$C147))</f>
        <v>0</v>
      </c>
      <c r="T147" s="18">
        <f ca="1">IF($A147="","",SUMIFS(Data!$AG$4:$AG$273,Data!$T$4:$T$273,$A147,Data!$U$4:$U$273,$B147,Data!$S$4:$S$273,$C147))</f>
        <v>0</v>
      </c>
      <c r="U147" s="18">
        <f ca="1">IF($A147="","",SUMIFS(Data!$AH$4:$AH$273,Data!$T$4:$T$273,$A147,Data!$U$4:$U$273,$B147,Data!$S$4:$S$273,$C147))</f>
        <v>0</v>
      </c>
      <c r="V147" s="18">
        <f ca="1">IF($A147="","",SUMIFS(Data!$AO$4:$AO$183,Data!$AM$4:$AM$183,$B147,Data!$AL$4:$AL$183,$A147,Data!$AK$4:$AK$183,$C147))</f>
        <v>0</v>
      </c>
      <c r="W147" s="18">
        <f ca="1">IF($A147="","",SUMIFS(Data!$AP$4:$AP$183,Data!$AM$4:$AM$183,$B147,Data!$AL$4:$AL$183,$A147,Data!$AK$4:$AK$183,$C147))</f>
        <v>0</v>
      </c>
      <c r="X147" s="18">
        <f ca="1">IF($A147="","",SUMIFS(Data!$AR$4:$AR$183,Data!$AM$4:$AM$183,$B147,Data!$AL$4:$AL$183,$A147,Data!$AK$4:$AK$183,$C147))</f>
        <v>0</v>
      </c>
      <c r="Y147" s="18">
        <f ca="1">IF($A147="","",SUMIFS(Data!$AS$4:$AS$183,Data!$AM$4:$AM$183,$B147,Data!$AL$4:$AL$183,$A147,Data!$AK$4:$AK$183,$C147))</f>
        <v>0</v>
      </c>
      <c r="Z147" s="18">
        <f ca="1">IF($A147="","",SUMIFS(Data!$AT$4:$AT$183,Data!$AM$4:$AM$183,$B147,Data!$AL$4:$AL$183,$A147,Data!$AK$4:$AK$183,$C147))</f>
        <v>0</v>
      </c>
      <c r="AA147" s="18">
        <f ca="1">IF($A147="","",SUMIFS(Data!$AW$4:$AW$183,Data!$AM$4:$AM$183,$B147,Data!$AL$4:$AL$183,$A147,Data!$AK$4:$AK$183,$C147))</f>
        <v>0</v>
      </c>
      <c r="AB147" s="18">
        <f ca="1">IF($A147="","",SUMIFS(Data!$AX$4:$AX$183,Data!$AM$4:$AM$183,$B147,Data!$AL$4:$AL$183,$A147,Data!$AK$4:$AK$183,$C147))</f>
        <v>0</v>
      </c>
      <c r="AC147" s="18">
        <f ca="1">IF($A147="","",SUMIFS(Data!$AY$4:$AY$183,Data!$AM$4:$AM$183,$B147,Data!$AL$4:$AL$183,$A147,Data!$AK$4:$AK$183,$C147))</f>
        <v>0</v>
      </c>
      <c r="AD147" s="18">
        <f t="shared" ca="1" si="5"/>
        <v>0</v>
      </c>
      <c r="AE147" s="18">
        <f ca="1">IF($A147="","",SUMIFS(Data!$AJ$4:$AJ$183,Data!$AM$4:$AM$183,$B147,Data!$AL$4:$AL$183,$A147,Data!$AK$4:$AK$183,$C147))</f>
        <v>0</v>
      </c>
    </row>
    <row r="148" spans="1:31">
      <c r="A148" s="18" t="str">
        <f ca="1">IF(Data!T148="","",Data!T148)</f>
        <v>Jason</v>
      </c>
      <c r="B148" s="18" t="str">
        <f ca="1">IF(Data!U148="","",Data!U148)</f>
        <v>Yoshi</v>
      </c>
      <c r="C148" s="18" t="str">
        <f ca="1">IF(Data!S148="","",Data!S148)</f>
        <v>G9</v>
      </c>
      <c r="D148" s="18">
        <f ca="1">IF($A148="","",Data!W148)</f>
        <v>2</v>
      </c>
      <c r="E148" s="18">
        <f ca="1">IF($A148="","",Data!Y148)</f>
        <v>2</v>
      </c>
      <c r="F148" s="61">
        <f t="shared" ca="1" si="4"/>
        <v>1.0</v>
      </c>
      <c r="G148" s="18">
        <f ca="1">IF($A148="","",Data!AB148)</f>
        <v>0</v>
      </c>
      <c r="H148" s="18">
        <f ca="1">IF($A148="","",Data!AC148)</f>
        <v>0</v>
      </c>
      <c r="I148" s="18">
        <f ca="1">IF($A148="","",INT(SUMIFS(Data!$AN$4:$AN$183,Data!$AM$4:$AM$183,$B148,Data!$AL$4:$AL$183,$A148,Data!$AK$4:$AK$183,$C148))+MOD(ROUND(SUMIFS(Data!$AN$4:$AN$183,Data!$AM$4:$AM$183,$B148,Data!$AL$4:$AL$183,$A148,Data!$AK$4:$AK$183,$C148)*3,0),3)/10)</f>
        <v>0</v>
      </c>
      <c r="J148" s="18">
        <f ca="1">IF($A148="","",SUMIFS(Data!$AQ$4:$AQ$183,Data!$AM$4:$AM$183,$B148,Data!$AL$4:$AL$183,$A148,Data!$AK$4:$AK$183,$C148))</f>
        <v>0</v>
      </c>
      <c r="K148" s="62">
        <f ca="1">IF($A148="","",IF(SUMIFS(Data!$AN$4:$AN$183,Data!$AM$4:$AM$183,$B148,Data!$AL$4:$AL$183,$A148,Data!$AK$4:$AK$183,$C148)=0,"",J148*3/SUMIFS(Data!$AN$4:$AN$183,Data!$AM$4:$AM$183,$B148,Data!$AL$4:$AL$183,$A148,Data!$AK$4:$AK$183,$C148)))</f>
      </c>
      <c r="L148" s="18">
        <f ca="1">IF($A148="","",IF(IFERROR(_xlfn.XLOOKUP($C148,Bracket!$F$6:$F$16,Bracket!$K$6:$K$16,""),"")=$B148,1,0))</f>
        <v>0</v>
      </c>
      <c r="M148" s="18">
        <f ca="1">IF($A148="","",IF(AND(IFERROR(_xlfn.XLOOKUP($C148,Bracket!$F$6:$F$16,Bracket!$K$6:$K$16,""),"")=$B148,LEFT(IFERROR(_xlfn.XLOOKUP($C148,Bracket!$F$6:$F$16,Bracket!$G$6:$G$16,""),""),2)="CG"),1,0))</f>
        <v>0</v>
      </c>
      <c r="N148" s="18">
        <f ca="1">IF($A148="","",SUMIFS(Data!$X$4:$X$273,Data!$T$4:$T$273,$A148,Data!$U$4:$U$273,$B148,Data!$S$4:$S$273,$C148))</f>
        <v>1</v>
      </c>
      <c r="O148" s="18">
        <f ca="1">IF($A148="","",SUMIFS(Data!$Z$4:$Z$273,Data!$T$4:$T$273,$A148,Data!$U$4:$U$273,$B148,Data!$S$4:$S$273,$C148))</f>
        <v>0</v>
      </c>
      <c r="P148" s="18">
        <f ca="1">IF($A148="","",SUMIFS(Data!$AA$4:$AA$273,Data!$T$4:$T$273,$A148,Data!$U$4:$U$273,$B148,Data!$S$4:$S$273,$C148))</f>
        <v>0</v>
      </c>
      <c r="Q148" s="18">
        <f ca="1">IF($A148="","",SUMIFS(Data!$AD$4:$AD$273,Data!$T$4:$T$273,$A148,Data!$U$4:$U$273,$B148,Data!$S$4:$S$273,$C148))</f>
        <v>0</v>
      </c>
      <c r="R148" s="18">
        <f ca="1">IF($A148="","",SUMIFS(Data!$AE$4:$AE$273,Data!$T$4:$T$273,$A148,Data!$U$4:$U$273,$B148,Data!$S$4:$S$273,$C148))</f>
        <v>0</v>
      </c>
      <c r="S148" s="18">
        <f ca="1">IF($A148="","",SUMIFS(Data!$AF$4:$AF$273,Data!$T$4:$T$273,$A148,Data!$U$4:$U$273,$B148,Data!$S$4:$S$273,$C148))</f>
        <v>0</v>
      </c>
      <c r="T148" s="18">
        <f ca="1">IF($A148="","",SUMIFS(Data!$AG$4:$AG$273,Data!$T$4:$T$273,$A148,Data!$U$4:$U$273,$B148,Data!$S$4:$S$273,$C148))</f>
        <v>0</v>
      </c>
      <c r="U148" s="18">
        <f ca="1">IF($A148="","",SUMIFS(Data!$AH$4:$AH$273,Data!$T$4:$T$273,$A148,Data!$U$4:$U$273,$B148,Data!$S$4:$S$273,$C148))</f>
        <v>0</v>
      </c>
      <c r="V148" s="18">
        <f ca="1">IF($A148="","",SUMIFS(Data!$AO$4:$AO$183,Data!$AM$4:$AM$183,$B148,Data!$AL$4:$AL$183,$A148,Data!$AK$4:$AK$183,$C148))</f>
        <v>0</v>
      </c>
      <c r="W148" s="18">
        <f ca="1">IF($A148="","",SUMIFS(Data!$AP$4:$AP$183,Data!$AM$4:$AM$183,$B148,Data!$AL$4:$AL$183,$A148,Data!$AK$4:$AK$183,$C148))</f>
        <v>0</v>
      </c>
      <c r="X148" s="18">
        <f ca="1">IF($A148="","",SUMIFS(Data!$AR$4:$AR$183,Data!$AM$4:$AM$183,$B148,Data!$AL$4:$AL$183,$A148,Data!$AK$4:$AK$183,$C148))</f>
        <v>0</v>
      </c>
      <c r="Y148" s="18">
        <f ca="1">IF($A148="","",SUMIFS(Data!$AS$4:$AS$183,Data!$AM$4:$AM$183,$B148,Data!$AL$4:$AL$183,$A148,Data!$AK$4:$AK$183,$C148))</f>
        <v>0</v>
      </c>
      <c r="Z148" s="18">
        <f ca="1">IF($A148="","",SUMIFS(Data!$AT$4:$AT$183,Data!$AM$4:$AM$183,$B148,Data!$AL$4:$AL$183,$A148,Data!$AK$4:$AK$183,$C148))</f>
        <v>0</v>
      </c>
      <c r="AA148" s="18">
        <f ca="1">IF($A148="","",SUMIFS(Data!$AW$4:$AW$183,Data!$AM$4:$AM$183,$B148,Data!$AL$4:$AL$183,$A148,Data!$AK$4:$AK$183,$C148))</f>
        <v>0</v>
      </c>
      <c r="AB148" s="18">
        <f ca="1">IF($A148="","",SUMIFS(Data!$AX$4:$AX$183,Data!$AM$4:$AM$183,$B148,Data!$AL$4:$AL$183,$A148,Data!$AK$4:$AK$183,$C148))</f>
        <v>0</v>
      </c>
      <c r="AC148" s="18">
        <f ca="1">IF($A148="","",SUMIFS(Data!$AY$4:$AY$183,Data!$AM$4:$AM$183,$B148,Data!$AL$4:$AL$183,$A148,Data!$AK$4:$AK$183,$C148))</f>
        <v>0</v>
      </c>
      <c r="AD148" s="18">
        <f t="shared" ca="1" si="5"/>
        <v>0</v>
      </c>
      <c r="AE148" s="18">
        <f ca="1">IF($A148="","",SUMIFS(Data!$AJ$4:$AJ$183,Data!$AM$4:$AM$183,$B148,Data!$AL$4:$AL$183,$A148,Data!$AK$4:$AK$183,$C148))</f>
        <v>0</v>
      </c>
    </row>
    <row r="149" spans="1:31">
      <c r="A149" s="18" t="str">
        <f ca="1">IF(Data!T149="","",Data!T149)</f>
        <v>Jason</v>
      </c>
      <c r="B149" s="18" t="str">
        <f ca="1">IF(Data!U149="","",Data!U149)</f>
        <v>Brown Kritter</v>
      </c>
      <c r="C149" s="18" t="str">
        <f ca="1">IF(Data!S149="","",Data!S149)</f>
        <v>G9</v>
      </c>
      <c r="D149" s="18">
        <f ca="1">IF($A149="","",Data!W149)</f>
        <v>2</v>
      </c>
      <c r="E149" s="18">
        <f ca="1">IF($A149="","",Data!Y149)</f>
        <v>1</v>
      </c>
      <c r="F149" s="61">
        <f t="shared" ca="1" si="4"/>
        <v>0.5</v>
      </c>
      <c r="G149" s="18">
        <f ca="1">IF($A149="","",Data!AB149)</f>
        <v>0</v>
      </c>
      <c r="H149" s="18">
        <f ca="1">IF($A149="","",Data!AC149)</f>
        <v>1</v>
      </c>
      <c r="I149" s="18">
        <f ca="1">IF($A149="","",INT(SUMIFS(Data!$AN$4:$AN$183,Data!$AM$4:$AM$183,$B149,Data!$AL$4:$AL$183,$A149,Data!$AK$4:$AK$183,$C149))+MOD(ROUND(SUMIFS(Data!$AN$4:$AN$183,Data!$AM$4:$AM$183,$B149,Data!$AL$4:$AL$183,$A149,Data!$AK$4:$AK$183,$C149)*3,0),3)/10)</f>
        <v>0</v>
      </c>
      <c r="J149" s="18">
        <f ca="1">IF($A149="","",SUMIFS(Data!$AQ$4:$AQ$183,Data!$AM$4:$AM$183,$B149,Data!$AL$4:$AL$183,$A149,Data!$AK$4:$AK$183,$C149))</f>
        <v>0</v>
      </c>
      <c r="K149" s="62">
        <f ca="1">IF($A149="","",IF(SUMIFS(Data!$AN$4:$AN$183,Data!$AM$4:$AM$183,$B149,Data!$AL$4:$AL$183,$A149,Data!$AK$4:$AK$183,$C149)=0,"",J149*3/SUMIFS(Data!$AN$4:$AN$183,Data!$AM$4:$AM$183,$B149,Data!$AL$4:$AL$183,$A149,Data!$AK$4:$AK$183,$C149)))</f>
      </c>
      <c r="L149" s="18">
        <f ca="1">IF($A149="","",IF(IFERROR(_xlfn.XLOOKUP($C149,Bracket!$F$6:$F$16,Bracket!$K$6:$K$16,""),"")=$B149,1,0))</f>
        <v>0</v>
      </c>
      <c r="M149" s="18">
        <f ca="1">IF($A149="","",IF(AND(IFERROR(_xlfn.XLOOKUP($C149,Bracket!$F$6:$F$16,Bracket!$K$6:$K$16,""),"")=$B149,LEFT(IFERROR(_xlfn.XLOOKUP($C149,Bracket!$F$6:$F$16,Bracket!$G$6:$G$16,""),""),2)="CG"),1,0))</f>
        <v>0</v>
      </c>
      <c r="N149" s="18">
        <f ca="1">IF($A149="","",SUMIFS(Data!$X$4:$X$273,Data!$T$4:$T$273,$A149,Data!$U$4:$U$273,$B149,Data!$S$4:$S$273,$C149))</f>
        <v>0</v>
      </c>
      <c r="O149" s="18">
        <f ca="1">IF($A149="","",SUMIFS(Data!$Z$4:$Z$273,Data!$T$4:$T$273,$A149,Data!$U$4:$U$273,$B149,Data!$S$4:$S$273,$C149))</f>
        <v>0</v>
      </c>
      <c r="P149" s="18">
        <f ca="1">IF($A149="","",SUMIFS(Data!$AA$4:$AA$273,Data!$T$4:$T$273,$A149,Data!$U$4:$U$273,$B149,Data!$S$4:$S$273,$C149))</f>
        <v>0</v>
      </c>
      <c r="Q149" s="18">
        <f ca="1">IF($A149="","",SUMIFS(Data!$AD$4:$AD$273,Data!$T$4:$T$273,$A149,Data!$U$4:$U$273,$B149,Data!$S$4:$S$273,$C149))</f>
        <v>0</v>
      </c>
      <c r="R149" s="18">
        <f ca="1">IF($A149="","",SUMIFS(Data!$AE$4:$AE$273,Data!$T$4:$T$273,$A149,Data!$U$4:$U$273,$B149,Data!$S$4:$S$273,$C149))</f>
        <v>0</v>
      </c>
      <c r="S149" s="18">
        <f ca="1">IF($A149="","",SUMIFS(Data!$AF$4:$AF$273,Data!$T$4:$T$273,$A149,Data!$U$4:$U$273,$B149,Data!$S$4:$S$273,$C149))</f>
        <v>0</v>
      </c>
      <c r="T149" s="18">
        <f ca="1">IF($A149="","",SUMIFS(Data!$AG$4:$AG$273,Data!$T$4:$T$273,$A149,Data!$U$4:$U$273,$B149,Data!$S$4:$S$273,$C149))</f>
        <v>0</v>
      </c>
      <c r="U149" s="18">
        <f ca="1">IF($A149="","",SUMIFS(Data!$AH$4:$AH$273,Data!$T$4:$T$273,$A149,Data!$U$4:$U$273,$B149,Data!$S$4:$S$273,$C149))</f>
        <v>0</v>
      </c>
      <c r="V149" s="18">
        <f ca="1">IF($A149="","",SUMIFS(Data!$AO$4:$AO$183,Data!$AM$4:$AM$183,$B149,Data!$AL$4:$AL$183,$A149,Data!$AK$4:$AK$183,$C149))</f>
        <v>0</v>
      </c>
      <c r="W149" s="18">
        <f ca="1">IF($A149="","",SUMIFS(Data!$AP$4:$AP$183,Data!$AM$4:$AM$183,$B149,Data!$AL$4:$AL$183,$A149,Data!$AK$4:$AK$183,$C149))</f>
        <v>0</v>
      </c>
      <c r="X149" s="18">
        <f ca="1">IF($A149="","",SUMIFS(Data!$AR$4:$AR$183,Data!$AM$4:$AM$183,$B149,Data!$AL$4:$AL$183,$A149,Data!$AK$4:$AK$183,$C149))</f>
        <v>0</v>
      </c>
      <c r="Y149" s="18">
        <f ca="1">IF($A149="","",SUMIFS(Data!$AS$4:$AS$183,Data!$AM$4:$AM$183,$B149,Data!$AL$4:$AL$183,$A149,Data!$AK$4:$AK$183,$C149))</f>
        <v>0</v>
      </c>
      <c r="Z149" s="18">
        <f ca="1">IF($A149="","",SUMIFS(Data!$AT$4:$AT$183,Data!$AM$4:$AM$183,$B149,Data!$AL$4:$AL$183,$A149,Data!$AK$4:$AK$183,$C149))</f>
        <v>0</v>
      </c>
      <c r="AA149" s="18">
        <f ca="1">IF($A149="","",SUMIFS(Data!$AW$4:$AW$183,Data!$AM$4:$AM$183,$B149,Data!$AL$4:$AL$183,$A149,Data!$AK$4:$AK$183,$C149))</f>
        <v>0</v>
      </c>
      <c r="AB149" s="18">
        <f ca="1">IF($A149="","",SUMIFS(Data!$AX$4:$AX$183,Data!$AM$4:$AM$183,$B149,Data!$AL$4:$AL$183,$A149,Data!$AK$4:$AK$183,$C149))</f>
        <v>0</v>
      </c>
      <c r="AC149" s="18">
        <f ca="1">IF($A149="","",SUMIFS(Data!$AY$4:$AY$183,Data!$AM$4:$AM$183,$B149,Data!$AL$4:$AL$183,$A149,Data!$AK$4:$AK$183,$C149))</f>
        <v>0</v>
      </c>
      <c r="AD149" s="18">
        <f t="shared" ca="1" si="5"/>
        <v>0</v>
      </c>
      <c r="AE149" s="18">
        <f ca="1">IF($A149="","",SUMIFS(Data!$AJ$4:$AJ$183,Data!$AM$4:$AM$183,$B149,Data!$AL$4:$AL$183,$A149,Data!$AK$4:$AK$183,$C149))</f>
        <v>0</v>
      </c>
    </row>
    <row r="150" spans="1:31">
      <c r="A150" s="18" t="str">
        <f ca="1">IF(Data!T150="","",Data!T150)</f>
        <v>Jason</v>
      </c>
      <c r="B150" s="18" t="str">
        <f ca="1">IF(Data!U150="","",Data!U150)</f>
        <v>Bowser</v>
      </c>
      <c r="C150" s="18" t="str">
        <f ca="1">IF(Data!S150="","",Data!S150)</f>
        <v>G9</v>
      </c>
      <c r="D150" s="18">
        <f ca="1">IF($A150="","",Data!W150)</f>
        <v>1</v>
      </c>
      <c r="E150" s="18">
        <f ca="1">IF($A150="","",Data!Y150)</f>
        <v>0</v>
      </c>
      <c r="F150" s="61">
        <f t="shared" ca="1" si="4"/>
        <v>0.0</v>
      </c>
      <c r="G150" s="18">
        <f ca="1">IF($A150="","",Data!AB150)</f>
        <v>0</v>
      </c>
      <c r="H150" s="18">
        <f ca="1">IF($A150="","",Data!AC150)</f>
        <v>0</v>
      </c>
      <c r="I150" s="18">
        <f ca="1">IF($A150="","",INT(SUMIFS(Data!$AN$4:$AN$183,Data!$AM$4:$AM$183,$B150,Data!$AL$4:$AL$183,$A150,Data!$AK$4:$AK$183,$C150))+MOD(ROUND(SUMIFS(Data!$AN$4:$AN$183,Data!$AM$4:$AM$183,$B150,Data!$AL$4:$AL$183,$A150,Data!$AK$4:$AK$183,$C150)*3,0),3)/10)</f>
        <v>0</v>
      </c>
      <c r="J150" s="18">
        <f ca="1">IF($A150="","",SUMIFS(Data!$AQ$4:$AQ$183,Data!$AM$4:$AM$183,$B150,Data!$AL$4:$AL$183,$A150,Data!$AK$4:$AK$183,$C150))</f>
        <v>0</v>
      </c>
      <c r="K150" s="62">
        <f ca="1">IF($A150="","",IF(SUMIFS(Data!$AN$4:$AN$183,Data!$AM$4:$AM$183,$B150,Data!$AL$4:$AL$183,$A150,Data!$AK$4:$AK$183,$C150)=0,"",J150*3/SUMIFS(Data!$AN$4:$AN$183,Data!$AM$4:$AM$183,$B150,Data!$AL$4:$AL$183,$A150,Data!$AK$4:$AK$183,$C150)))</f>
      </c>
      <c r="L150" s="18">
        <f ca="1">IF($A150="","",IF(IFERROR(_xlfn.XLOOKUP($C150,Bracket!$F$6:$F$16,Bracket!$K$6:$K$16,""),"")=$B150,1,0))</f>
        <v>0</v>
      </c>
      <c r="M150" s="18">
        <f ca="1">IF($A150="","",IF(AND(IFERROR(_xlfn.XLOOKUP($C150,Bracket!$F$6:$F$16,Bracket!$K$6:$K$16,""),"")=$B150,LEFT(IFERROR(_xlfn.XLOOKUP($C150,Bracket!$F$6:$F$16,Bracket!$G$6:$G$16,""),""),2)="CG"),1,0))</f>
        <v>0</v>
      </c>
      <c r="N150" s="18">
        <f ca="1">IF($A150="","",SUMIFS(Data!$X$4:$X$273,Data!$T$4:$T$273,$A150,Data!$U$4:$U$273,$B150,Data!$S$4:$S$273,$C150))</f>
        <v>0</v>
      </c>
      <c r="O150" s="18">
        <f ca="1">IF($A150="","",SUMIFS(Data!$Z$4:$Z$273,Data!$T$4:$T$273,$A150,Data!$U$4:$U$273,$B150,Data!$S$4:$S$273,$C150))</f>
        <v>0</v>
      </c>
      <c r="P150" s="18">
        <f ca="1">IF($A150="","",SUMIFS(Data!$AA$4:$AA$273,Data!$T$4:$T$273,$A150,Data!$U$4:$U$273,$B150,Data!$S$4:$S$273,$C150))</f>
        <v>0</v>
      </c>
      <c r="Q150" s="18">
        <f ca="1">IF($A150="","",SUMIFS(Data!$AD$4:$AD$273,Data!$T$4:$T$273,$A150,Data!$U$4:$U$273,$B150,Data!$S$4:$S$273,$C150))</f>
        <v>0</v>
      </c>
      <c r="R150" s="18">
        <f ca="1">IF($A150="","",SUMIFS(Data!$AE$4:$AE$273,Data!$T$4:$T$273,$A150,Data!$U$4:$U$273,$B150,Data!$S$4:$S$273,$C150))</f>
        <v>0</v>
      </c>
      <c r="S150" s="18">
        <f ca="1">IF($A150="","",SUMIFS(Data!$AF$4:$AF$273,Data!$T$4:$T$273,$A150,Data!$U$4:$U$273,$B150,Data!$S$4:$S$273,$C150))</f>
        <v>0</v>
      </c>
      <c r="T150" s="18">
        <f ca="1">IF($A150="","",SUMIFS(Data!$AG$4:$AG$273,Data!$T$4:$T$273,$A150,Data!$U$4:$U$273,$B150,Data!$S$4:$S$273,$C150))</f>
        <v>0</v>
      </c>
      <c r="U150" s="18">
        <f ca="1">IF($A150="","",SUMIFS(Data!$AH$4:$AH$273,Data!$T$4:$T$273,$A150,Data!$U$4:$U$273,$B150,Data!$S$4:$S$273,$C150))</f>
        <v>0</v>
      </c>
      <c r="V150" s="18">
        <f ca="1">IF($A150="","",SUMIFS(Data!$AO$4:$AO$183,Data!$AM$4:$AM$183,$B150,Data!$AL$4:$AL$183,$A150,Data!$AK$4:$AK$183,$C150))</f>
        <v>0</v>
      </c>
      <c r="W150" s="18">
        <f ca="1">IF($A150="","",SUMIFS(Data!$AP$4:$AP$183,Data!$AM$4:$AM$183,$B150,Data!$AL$4:$AL$183,$A150,Data!$AK$4:$AK$183,$C150))</f>
        <v>0</v>
      </c>
      <c r="X150" s="18">
        <f ca="1">IF($A150="","",SUMIFS(Data!$AR$4:$AR$183,Data!$AM$4:$AM$183,$B150,Data!$AL$4:$AL$183,$A150,Data!$AK$4:$AK$183,$C150))</f>
        <v>0</v>
      </c>
      <c r="Y150" s="18">
        <f ca="1">IF($A150="","",SUMIFS(Data!$AS$4:$AS$183,Data!$AM$4:$AM$183,$B150,Data!$AL$4:$AL$183,$A150,Data!$AK$4:$AK$183,$C150))</f>
        <v>0</v>
      </c>
      <c r="Z150" s="18">
        <f ca="1">IF($A150="","",SUMIFS(Data!$AT$4:$AT$183,Data!$AM$4:$AM$183,$B150,Data!$AL$4:$AL$183,$A150,Data!$AK$4:$AK$183,$C150))</f>
        <v>0</v>
      </c>
      <c r="AA150" s="18">
        <f ca="1">IF($A150="","",SUMIFS(Data!$AW$4:$AW$183,Data!$AM$4:$AM$183,$B150,Data!$AL$4:$AL$183,$A150,Data!$AK$4:$AK$183,$C150))</f>
        <v>0</v>
      </c>
      <c r="AB150" s="18">
        <f ca="1">IF($A150="","",SUMIFS(Data!$AX$4:$AX$183,Data!$AM$4:$AM$183,$B150,Data!$AL$4:$AL$183,$A150,Data!$AK$4:$AK$183,$C150))</f>
        <v>0</v>
      </c>
      <c r="AC150" s="18">
        <f ca="1">IF($A150="","",SUMIFS(Data!$AY$4:$AY$183,Data!$AM$4:$AM$183,$B150,Data!$AL$4:$AL$183,$A150,Data!$AK$4:$AK$183,$C150))</f>
        <v>0</v>
      </c>
      <c r="AD150" s="18">
        <f t="shared" ca="1" si="5"/>
        <v>0</v>
      </c>
      <c r="AE150" s="18">
        <f ca="1">IF($A150="","",SUMIFS(Data!$AJ$4:$AJ$183,Data!$AM$4:$AM$183,$B150,Data!$AL$4:$AL$183,$A150,Data!$AK$4:$AK$183,$C150))</f>
        <v>0</v>
      </c>
    </row>
    <row r="151" spans="1:31">
      <c r="A151" s="18" t="str">
        <f ca="1">IF(Data!T151="","",Data!T151)</f>
        <v>Jason</v>
      </c>
      <c r="B151" s="18" t="str">
        <f ca="1">IF(Data!U151="","",Data!U151)</f>
        <v>King K. Rool</v>
      </c>
      <c r="C151" s="18" t="str">
        <f ca="1">IF(Data!S151="","",Data!S151)</f>
        <v>G9</v>
      </c>
      <c r="D151" s="18">
        <f ca="1">IF($A151="","",Data!W151)</f>
        <v>1</v>
      </c>
      <c r="E151" s="18">
        <f ca="1">IF($A151="","",Data!Y151)</f>
        <v>0</v>
      </c>
      <c r="F151" s="61">
        <f t="shared" ca="1" si="4"/>
        <v>0.0</v>
      </c>
      <c r="G151" s="18">
        <f ca="1">IF($A151="","",Data!AB151)</f>
        <v>0</v>
      </c>
      <c r="H151" s="18">
        <f ca="1">IF($A151="","",Data!AC151)</f>
        <v>0</v>
      </c>
      <c r="I151" s="18">
        <f ca="1">IF($A151="","",INT(SUMIFS(Data!$AN$4:$AN$183,Data!$AM$4:$AM$183,$B151,Data!$AL$4:$AL$183,$A151,Data!$AK$4:$AK$183,$C151))+MOD(ROUND(SUMIFS(Data!$AN$4:$AN$183,Data!$AM$4:$AM$183,$B151,Data!$AL$4:$AL$183,$A151,Data!$AK$4:$AK$183,$C151)*3,0),3)/10)</f>
        <v>0</v>
      </c>
      <c r="J151" s="18">
        <f ca="1">IF($A151="","",SUMIFS(Data!$AQ$4:$AQ$183,Data!$AM$4:$AM$183,$B151,Data!$AL$4:$AL$183,$A151,Data!$AK$4:$AK$183,$C151))</f>
        <v>0</v>
      </c>
      <c r="K151" s="62">
        <f ca="1">IF($A151="","",IF(SUMIFS(Data!$AN$4:$AN$183,Data!$AM$4:$AM$183,$B151,Data!$AL$4:$AL$183,$A151,Data!$AK$4:$AK$183,$C151)=0,"",J151*3/SUMIFS(Data!$AN$4:$AN$183,Data!$AM$4:$AM$183,$B151,Data!$AL$4:$AL$183,$A151,Data!$AK$4:$AK$183,$C151)))</f>
      </c>
      <c r="L151" s="18">
        <f ca="1">IF($A151="","",IF(IFERROR(_xlfn.XLOOKUP($C151,Bracket!$F$6:$F$16,Bracket!$K$6:$K$16,""),"")=$B151,1,0))</f>
        <v>0</v>
      </c>
      <c r="M151" s="18">
        <f ca="1">IF($A151="","",IF(AND(IFERROR(_xlfn.XLOOKUP($C151,Bracket!$F$6:$F$16,Bracket!$K$6:$K$16,""),"")=$B151,LEFT(IFERROR(_xlfn.XLOOKUP($C151,Bracket!$F$6:$F$16,Bracket!$G$6:$G$16,""),""),2)="CG"),1,0))</f>
        <v>0</v>
      </c>
      <c r="N151" s="18">
        <f ca="1">IF($A151="","",SUMIFS(Data!$X$4:$X$273,Data!$T$4:$T$273,$A151,Data!$U$4:$U$273,$B151,Data!$S$4:$S$273,$C151))</f>
        <v>0</v>
      </c>
      <c r="O151" s="18">
        <f ca="1">IF($A151="","",SUMIFS(Data!$Z$4:$Z$273,Data!$T$4:$T$273,$A151,Data!$U$4:$U$273,$B151,Data!$S$4:$S$273,$C151))</f>
        <v>0</v>
      </c>
      <c r="P151" s="18">
        <f ca="1">IF($A151="","",SUMIFS(Data!$AA$4:$AA$273,Data!$T$4:$T$273,$A151,Data!$U$4:$U$273,$B151,Data!$S$4:$S$273,$C151))</f>
        <v>0</v>
      </c>
      <c r="Q151" s="18">
        <f ca="1">IF($A151="","",SUMIFS(Data!$AD$4:$AD$273,Data!$T$4:$T$273,$A151,Data!$U$4:$U$273,$B151,Data!$S$4:$S$273,$C151))</f>
        <v>0</v>
      </c>
      <c r="R151" s="18">
        <f ca="1">IF($A151="","",SUMIFS(Data!$AE$4:$AE$273,Data!$T$4:$T$273,$A151,Data!$U$4:$U$273,$B151,Data!$S$4:$S$273,$C151))</f>
        <v>0</v>
      </c>
      <c r="S151" s="18">
        <f ca="1">IF($A151="","",SUMIFS(Data!$AF$4:$AF$273,Data!$T$4:$T$273,$A151,Data!$U$4:$U$273,$B151,Data!$S$4:$S$273,$C151))</f>
        <v>0</v>
      </c>
      <c r="T151" s="18">
        <f ca="1">IF($A151="","",SUMIFS(Data!$AG$4:$AG$273,Data!$T$4:$T$273,$A151,Data!$U$4:$U$273,$B151,Data!$S$4:$S$273,$C151))</f>
        <v>0</v>
      </c>
      <c r="U151" s="18">
        <f ca="1">IF($A151="","",SUMIFS(Data!$AH$4:$AH$273,Data!$T$4:$T$273,$A151,Data!$U$4:$U$273,$B151,Data!$S$4:$S$273,$C151))</f>
        <v>0</v>
      </c>
      <c r="V151" s="18">
        <f ca="1">IF($A151="","",SUMIFS(Data!$AO$4:$AO$183,Data!$AM$4:$AM$183,$B151,Data!$AL$4:$AL$183,$A151,Data!$AK$4:$AK$183,$C151))</f>
        <v>0</v>
      </c>
      <c r="W151" s="18">
        <f ca="1">IF($A151="","",SUMIFS(Data!$AP$4:$AP$183,Data!$AM$4:$AM$183,$B151,Data!$AL$4:$AL$183,$A151,Data!$AK$4:$AK$183,$C151))</f>
        <v>0</v>
      </c>
      <c r="X151" s="18">
        <f ca="1">IF($A151="","",SUMIFS(Data!$AR$4:$AR$183,Data!$AM$4:$AM$183,$B151,Data!$AL$4:$AL$183,$A151,Data!$AK$4:$AK$183,$C151))</f>
        <v>0</v>
      </c>
      <c r="Y151" s="18">
        <f ca="1">IF($A151="","",SUMIFS(Data!$AS$4:$AS$183,Data!$AM$4:$AM$183,$B151,Data!$AL$4:$AL$183,$A151,Data!$AK$4:$AK$183,$C151))</f>
        <v>0</v>
      </c>
      <c r="Z151" s="18">
        <f ca="1">IF($A151="","",SUMIFS(Data!$AT$4:$AT$183,Data!$AM$4:$AM$183,$B151,Data!$AL$4:$AL$183,$A151,Data!$AK$4:$AK$183,$C151))</f>
        <v>0</v>
      </c>
      <c r="AA151" s="18">
        <f ca="1">IF($A151="","",SUMIFS(Data!$AW$4:$AW$183,Data!$AM$4:$AM$183,$B151,Data!$AL$4:$AL$183,$A151,Data!$AK$4:$AK$183,$C151))</f>
        <v>0</v>
      </c>
      <c r="AB151" s="18">
        <f ca="1">IF($A151="","",SUMIFS(Data!$AX$4:$AX$183,Data!$AM$4:$AM$183,$B151,Data!$AL$4:$AL$183,$A151,Data!$AK$4:$AK$183,$C151))</f>
        <v>0</v>
      </c>
      <c r="AC151" s="18">
        <f ca="1">IF($A151="","",SUMIFS(Data!$AY$4:$AY$183,Data!$AM$4:$AM$183,$B151,Data!$AL$4:$AL$183,$A151,Data!$AK$4:$AK$183,$C151))</f>
        <v>0</v>
      </c>
      <c r="AD151" s="18">
        <f t="shared" ca="1" si="5"/>
        <v>0</v>
      </c>
      <c r="AE151" s="18">
        <f ca="1">IF($A151="","",SUMIFS(Data!$AJ$4:$AJ$183,Data!$AM$4:$AM$183,$B151,Data!$AL$4:$AL$183,$A151,Data!$AK$4:$AK$183,$C151))</f>
        <v>0</v>
      </c>
    </row>
    <row r="152" spans="1:31">
      <c r="A152" s="18" t="str">
        <f ca="1">IF(Data!T152="","",Data!T152)</f>
        <v>Jason</v>
      </c>
      <c r="B152" s="18" t="str">
        <f ca="1">IF(Data!U152="","",Data!U152)</f>
        <v>Blooper</v>
      </c>
      <c r="C152" s="18" t="str">
        <f ca="1">IF(Data!S152="","",Data!S152)</f>
        <v>G9</v>
      </c>
      <c r="D152" s="18">
        <f ca="1">IF($A152="","",Data!W152)</f>
        <v>1</v>
      </c>
      <c r="E152" s="18">
        <f ca="1">IF($A152="","",Data!Y152)</f>
        <v>1</v>
      </c>
      <c r="F152" s="61">
        <f t="shared" ca="1" si="4"/>
        <v>1.0</v>
      </c>
      <c r="G152" s="18">
        <f ca="1">IF($A152="","",Data!AB152)</f>
        <v>0</v>
      </c>
      <c r="H152" s="18">
        <f ca="1">IF($A152="","",Data!AC152)</f>
        <v>0</v>
      </c>
      <c r="I152" s="18">
        <f ca="1">IF($A152="","",INT(SUMIFS(Data!$AN$4:$AN$183,Data!$AM$4:$AM$183,$B152,Data!$AL$4:$AL$183,$A152,Data!$AK$4:$AK$183,$C152))+MOD(ROUND(SUMIFS(Data!$AN$4:$AN$183,Data!$AM$4:$AM$183,$B152,Data!$AL$4:$AL$183,$A152,Data!$AK$4:$AK$183,$C152)*3,0),3)/10)</f>
        <v>0</v>
      </c>
      <c r="J152" s="18">
        <f ca="1">IF($A152="","",SUMIFS(Data!$AQ$4:$AQ$183,Data!$AM$4:$AM$183,$B152,Data!$AL$4:$AL$183,$A152,Data!$AK$4:$AK$183,$C152))</f>
        <v>0</v>
      </c>
      <c r="K152" s="62">
        <f ca="1">IF($A152="","",IF(SUMIFS(Data!$AN$4:$AN$183,Data!$AM$4:$AM$183,$B152,Data!$AL$4:$AL$183,$A152,Data!$AK$4:$AK$183,$C152)=0,"",J152*3/SUMIFS(Data!$AN$4:$AN$183,Data!$AM$4:$AM$183,$B152,Data!$AL$4:$AL$183,$A152,Data!$AK$4:$AK$183,$C152)))</f>
      </c>
      <c r="L152" s="18">
        <f ca="1">IF($A152="","",IF(IFERROR(_xlfn.XLOOKUP($C152,Bracket!$F$6:$F$16,Bracket!$K$6:$K$16,""),"")=$B152,1,0))</f>
        <v>0</v>
      </c>
      <c r="M152" s="18">
        <f ca="1">IF($A152="","",IF(AND(IFERROR(_xlfn.XLOOKUP($C152,Bracket!$F$6:$F$16,Bracket!$K$6:$K$16,""),"")=$B152,LEFT(IFERROR(_xlfn.XLOOKUP($C152,Bracket!$F$6:$F$16,Bracket!$G$6:$G$16,""),""),2)="CG"),1,0))</f>
        <v>0</v>
      </c>
      <c r="N152" s="18">
        <f ca="1">IF($A152="","",SUMIFS(Data!$X$4:$X$273,Data!$T$4:$T$273,$A152,Data!$U$4:$U$273,$B152,Data!$S$4:$S$273,$C152))</f>
        <v>0</v>
      </c>
      <c r="O152" s="18">
        <f ca="1">IF($A152="","",SUMIFS(Data!$Z$4:$Z$273,Data!$T$4:$T$273,$A152,Data!$U$4:$U$273,$B152,Data!$S$4:$S$273,$C152))</f>
        <v>0</v>
      </c>
      <c r="P152" s="18">
        <f ca="1">IF($A152="","",SUMIFS(Data!$AA$4:$AA$273,Data!$T$4:$T$273,$A152,Data!$U$4:$U$273,$B152,Data!$S$4:$S$273,$C152))</f>
        <v>0</v>
      </c>
      <c r="Q152" s="18">
        <f ca="1">IF($A152="","",SUMIFS(Data!$AD$4:$AD$273,Data!$T$4:$T$273,$A152,Data!$U$4:$U$273,$B152,Data!$S$4:$S$273,$C152))</f>
        <v>0</v>
      </c>
      <c r="R152" s="18">
        <f ca="1">IF($A152="","",SUMIFS(Data!$AE$4:$AE$273,Data!$T$4:$T$273,$A152,Data!$U$4:$U$273,$B152,Data!$S$4:$S$273,$C152))</f>
        <v>0</v>
      </c>
      <c r="S152" s="18">
        <f ca="1">IF($A152="","",SUMIFS(Data!$AF$4:$AF$273,Data!$T$4:$T$273,$A152,Data!$U$4:$U$273,$B152,Data!$S$4:$S$273,$C152))</f>
        <v>0</v>
      </c>
      <c r="T152" s="18">
        <f ca="1">IF($A152="","",SUMIFS(Data!$AG$4:$AG$273,Data!$T$4:$T$273,$A152,Data!$U$4:$U$273,$B152,Data!$S$4:$S$273,$C152))</f>
        <v>0</v>
      </c>
      <c r="U152" s="18">
        <f ca="1">IF($A152="","",SUMIFS(Data!$AH$4:$AH$273,Data!$T$4:$T$273,$A152,Data!$U$4:$U$273,$B152,Data!$S$4:$S$273,$C152))</f>
        <v>0</v>
      </c>
      <c r="V152" s="18">
        <f ca="1">IF($A152="","",SUMIFS(Data!$AO$4:$AO$183,Data!$AM$4:$AM$183,$B152,Data!$AL$4:$AL$183,$A152,Data!$AK$4:$AK$183,$C152))</f>
        <v>0</v>
      </c>
      <c r="W152" s="18">
        <f ca="1">IF($A152="","",SUMIFS(Data!$AP$4:$AP$183,Data!$AM$4:$AM$183,$B152,Data!$AL$4:$AL$183,$A152,Data!$AK$4:$AK$183,$C152))</f>
        <v>0</v>
      </c>
      <c r="X152" s="18">
        <f ca="1">IF($A152="","",SUMIFS(Data!$AR$4:$AR$183,Data!$AM$4:$AM$183,$B152,Data!$AL$4:$AL$183,$A152,Data!$AK$4:$AK$183,$C152))</f>
        <v>0</v>
      </c>
      <c r="Y152" s="18">
        <f ca="1">IF($A152="","",SUMIFS(Data!$AS$4:$AS$183,Data!$AM$4:$AM$183,$B152,Data!$AL$4:$AL$183,$A152,Data!$AK$4:$AK$183,$C152))</f>
        <v>0</v>
      </c>
      <c r="Z152" s="18">
        <f ca="1">IF($A152="","",SUMIFS(Data!$AT$4:$AT$183,Data!$AM$4:$AM$183,$B152,Data!$AL$4:$AL$183,$A152,Data!$AK$4:$AK$183,$C152))</f>
        <v>0</v>
      </c>
      <c r="AA152" s="18">
        <f ca="1">IF($A152="","",SUMIFS(Data!$AW$4:$AW$183,Data!$AM$4:$AM$183,$B152,Data!$AL$4:$AL$183,$A152,Data!$AK$4:$AK$183,$C152))</f>
        <v>0</v>
      </c>
      <c r="AB152" s="18">
        <f ca="1">IF($A152="","",SUMIFS(Data!$AX$4:$AX$183,Data!$AM$4:$AM$183,$B152,Data!$AL$4:$AL$183,$A152,Data!$AK$4:$AK$183,$C152))</f>
        <v>0</v>
      </c>
      <c r="AC152" s="18">
        <f ca="1">IF($A152="","",SUMIFS(Data!$AY$4:$AY$183,Data!$AM$4:$AM$183,$B152,Data!$AL$4:$AL$183,$A152,Data!$AK$4:$AK$183,$C152))</f>
        <v>0</v>
      </c>
      <c r="AD152" s="18">
        <f t="shared" ca="1" si="5"/>
        <v>0</v>
      </c>
      <c r="AE152" s="18">
        <f ca="1">IF($A152="","",SUMIFS(Data!$AJ$4:$AJ$183,Data!$AM$4:$AM$183,$B152,Data!$AL$4:$AL$183,$A152,Data!$AK$4:$AK$183,$C152))</f>
        <v>0</v>
      </c>
    </row>
    <row r="153" spans="1:31">
      <c r="A153" s="18" t="str">
        <f ca="1">IF(Data!T153="","",Data!T153)</f>
        <v>Jason</v>
      </c>
      <c r="B153" s="18" t="str">
        <f ca="1">IF(Data!U153="","",Data!U153)</f>
        <v>Yellow Toad</v>
      </c>
      <c r="C153" s="18" t="str">
        <f ca="1">IF(Data!S153="","",Data!S153)</f>
        <v>G9</v>
      </c>
      <c r="D153" s="18">
        <f ca="1">IF($A153="","",Data!W153)</f>
        <v>1</v>
      </c>
      <c r="E153" s="18">
        <f ca="1">IF($A153="","",Data!Y153)</f>
        <v>1</v>
      </c>
      <c r="F153" s="61">
        <f t="shared" ca="1" si="4"/>
        <v>1.0</v>
      </c>
      <c r="G153" s="18">
        <f ca="1">IF($A153="","",Data!AB153)</f>
        <v>0</v>
      </c>
      <c r="H153" s="18">
        <f ca="1">IF($A153="","",Data!AC153)</f>
        <v>0</v>
      </c>
      <c r="I153" s="18">
        <f ca="1">IF($A153="","",INT(SUMIFS(Data!$AN$4:$AN$183,Data!$AM$4:$AM$183,$B153,Data!$AL$4:$AL$183,$A153,Data!$AK$4:$AK$183,$C153))+MOD(ROUND(SUMIFS(Data!$AN$4:$AN$183,Data!$AM$4:$AM$183,$B153,Data!$AL$4:$AL$183,$A153,Data!$AK$4:$AK$183,$C153)*3,0),3)/10)</f>
        <v>0</v>
      </c>
      <c r="J153" s="18">
        <f ca="1">IF($A153="","",SUMIFS(Data!$AQ$4:$AQ$183,Data!$AM$4:$AM$183,$B153,Data!$AL$4:$AL$183,$A153,Data!$AK$4:$AK$183,$C153))</f>
        <v>0</v>
      </c>
      <c r="K153" s="62">
        <f ca="1">IF($A153="","",IF(SUMIFS(Data!$AN$4:$AN$183,Data!$AM$4:$AM$183,$B153,Data!$AL$4:$AL$183,$A153,Data!$AK$4:$AK$183,$C153)=0,"",J153*3/SUMIFS(Data!$AN$4:$AN$183,Data!$AM$4:$AM$183,$B153,Data!$AL$4:$AL$183,$A153,Data!$AK$4:$AK$183,$C153)))</f>
      </c>
      <c r="L153" s="18">
        <f ca="1">IF($A153="","",IF(IFERROR(_xlfn.XLOOKUP($C153,Bracket!$F$6:$F$16,Bracket!$K$6:$K$16,""),"")=$B153,1,0))</f>
        <v>0</v>
      </c>
      <c r="M153" s="18">
        <f ca="1">IF($A153="","",IF(AND(IFERROR(_xlfn.XLOOKUP($C153,Bracket!$F$6:$F$16,Bracket!$K$6:$K$16,""),"")=$B153,LEFT(IFERROR(_xlfn.XLOOKUP($C153,Bracket!$F$6:$F$16,Bracket!$G$6:$G$16,""),""),2)="CG"),1,0))</f>
        <v>0</v>
      </c>
      <c r="N153" s="18">
        <f ca="1">IF($A153="","",SUMIFS(Data!$X$4:$X$273,Data!$T$4:$T$273,$A153,Data!$U$4:$U$273,$B153,Data!$S$4:$S$273,$C153))</f>
        <v>0</v>
      </c>
      <c r="O153" s="18">
        <f ca="1">IF($A153="","",SUMIFS(Data!$Z$4:$Z$273,Data!$T$4:$T$273,$A153,Data!$U$4:$U$273,$B153,Data!$S$4:$S$273,$C153))</f>
        <v>0</v>
      </c>
      <c r="P153" s="18">
        <f ca="1">IF($A153="","",SUMIFS(Data!$AA$4:$AA$273,Data!$T$4:$T$273,$A153,Data!$U$4:$U$273,$B153,Data!$S$4:$S$273,$C153))</f>
        <v>0</v>
      </c>
      <c r="Q153" s="18">
        <f ca="1">IF($A153="","",SUMIFS(Data!$AD$4:$AD$273,Data!$T$4:$T$273,$A153,Data!$U$4:$U$273,$B153,Data!$S$4:$S$273,$C153))</f>
        <v>0</v>
      </c>
      <c r="R153" s="18">
        <f ca="1">IF($A153="","",SUMIFS(Data!$AE$4:$AE$273,Data!$T$4:$T$273,$A153,Data!$U$4:$U$273,$B153,Data!$S$4:$S$273,$C153))</f>
        <v>0</v>
      </c>
      <c r="S153" s="18">
        <f ca="1">IF($A153="","",SUMIFS(Data!$AF$4:$AF$273,Data!$T$4:$T$273,$A153,Data!$U$4:$U$273,$B153,Data!$S$4:$S$273,$C153))</f>
        <v>0</v>
      </c>
      <c r="T153" s="18">
        <f ca="1">IF($A153="","",SUMIFS(Data!$AG$4:$AG$273,Data!$T$4:$T$273,$A153,Data!$U$4:$U$273,$B153,Data!$S$4:$S$273,$C153))</f>
        <v>0</v>
      </c>
      <c r="U153" s="18">
        <f ca="1">IF($A153="","",SUMIFS(Data!$AH$4:$AH$273,Data!$T$4:$T$273,$A153,Data!$U$4:$U$273,$B153,Data!$S$4:$S$273,$C153))</f>
        <v>0</v>
      </c>
      <c r="V153" s="18">
        <f ca="1">IF($A153="","",SUMIFS(Data!$AO$4:$AO$183,Data!$AM$4:$AM$183,$B153,Data!$AL$4:$AL$183,$A153,Data!$AK$4:$AK$183,$C153))</f>
        <v>0</v>
      </c>
      <c r="W153" s="18">
        <f ca="1">IF($A153="","",SUMIFS(Data!$AP$4:$AP$183,Data!$AM$4:$AM$183,$B153,Data!$AL$4:$AL$183,$A153,Data!$AK$4:$AK$183,$C153))</f>
        <v>0</v>
      </c>
      <c r="X153" s="18">
        <f ca="1">IF($A153="","",SUMIFS(Data!$AR$4:$AR$183,Data!$AM$4:$AM$183,$B153,Data!$AL$4:$AL$183,$A153,Data!$AK$4:$AK$183,$C153))</f>
        <v>0</v>
      </c>
      <c r="Y153" s="18">
        <f ca="1">IF($A153="","",SUMIFS(Data!$AS$4:$AS$183,Data!$AM$4:$AM$183,$B153,Data!$AL$4:$AL$183,$A153,Data!$AK$4:$AK$183,$C153))</f>
        <v>0</v>
      </c>
      <c r="Z153" s="18">
        <f ca="1">IF($A153="","",SUMIFS(Data!$AT$4:$AT$183,Data!$AM$4:$AM$183,$B153,Data!$AL$4:$AL$183,$A153,Data!$AK$4:$AK$183,$C153))</f>
        <v>0</v>
      </c>
      <c r="AA153" s="18">
        <f ca="1">IF($A153="","",SUMIFS(Data!$AW$4:$AW$183,Data!$AM$4:$AM$183,$B153,Data!$AL$4:$AL$183,$A153,Data!$AK$4:$AK$183,$C153))</f>
        <v>0</v>
      </c>
      <c r="AB153" s="18">
        <f ca="1">IF($A153="","",SUMIFS(Data!$AX$4:$AX$183,Data!$AM$4:$AM$183,$B153,Data!$AL$4:$AL$183,$A153,Data!$AK$4:$AK$183,$C153))</f>
        <v>0</v>
      </c>
      <c r="AC153" s="18">
        <f ca="1">IF($A153="","",SUMIFS(Data!$AY$4:$AY$183,Data!$AM$4:$AM$183,$B153,Data!$AL$4:$AL$183,$A153,Data!$AK$4:$AK$183,$C153))</f>
        <v>0</v>
      </c>
      <c r="AD153" s="18">
        <f t="shared" ca="1" si="5"/>
        <v>0</v>
      </c>
      <c r="AE153" s="18">
        <f ca="1">IF($A153="","",SUMIFS(Data!$AJ$4:$AJ$183,Data!$AM$4:$AM$183,$B153,Data!$AL$4:$AL$183,$A153,Data!$AK$4:$AK$183,$C153))</f>
        <v>0</v>
      </c>
    </row>
    <row r="154" spans="1:31">
      <c r="A154" s="18" t="str">
        <f ca="1">IF(Data!T154="","",Data!T154)</f>
        <v>Jason</v>
      </c>
      <c r="B154" s="18" t="str">
        <f ca="1">IF(Data!U154="","",Data!U154)</f>
        <v>Peach</v>
      </c>
      <c r="C154" s="18" t="str">
        <f ca="1">IF(Data!S154="","",Data!S154)</f>
        <v>G9</v>
      </c>
      <c r="D154" s="18">
        <f ca="1">IF($A154="","",Data!W154)</f>
        <v>1</v>
      </c>
      <c r="E154" s="18">
        <f ca="1">IF($A154="","",Data!Y154)</f>
        <v>0</v>
      </c>
      <c r="F154" s="61">
        <f t="shared" ca="1" si="4"/>
        <v>0.0</v>
      </c>
      <c r="G154" s="18">
        <f ca="1">IF($A154="","",Data!AB154)</f>
        <v>0</v>
      </c>
      <c r="H154" s="18">
        <f ca="1">IF($A154="","",Data!AC154)</f>
        <v>0</v>
      </c>
      <c r="I154" s="18">
        <f ca="1">IF($A154="","",INT(SUMIFS(Data!$AN$4:$AN$183,Data!$AM$4:$AM$183,$B154,Data!$AL$4:$AL$183,$A154,Data!$AK$4:$AK$183,$C154))+MOD(ROUND(SUMIFS(Data!$AN$4:$AN$183,Data!$AM$4:$AM$183,$B154,Data!$AL$4:$AL$183,$A154,Data!$AK$4:$AK$183,$C154)*3,0),3)/10)</f>
        <v>1</v>
      </c>
      <c r="J154" s="18">
        <f ca="1">IF($A154="","",SUMIFS(Data!$AQ$4:$AQ$183,Data!$AM$4:$AM$183,$B154,Data!$AL$4:$AL$183,$A154,Data!$AK$4:$AK$183,$C154))</f>
        <v>0</v>
      </c>
      <c r="K154" s="62">
        <f ca="1">IF($A154="","",IF(SUMIFS(Data!$AN$4:$AN$183,Data!$AM$4:$AM$183,$B154,Data!$AL$4:$AL$183,$A154,Data!$AK$4:$AK$183,$C154)=0,"",J154*3/SUMIFS(Data!$AN$4:$AN$183,Data!$AM$4:$AM$183,$B154,Data!$AL$4:$AL$183,$A154,Data!$AK$4:$AK$183,$C154)))</f>
        <v>0.0</v>
      </c>
      <c r="L154" s="18">
        <f ca="1">IF($A154="","",IF(IFERROR(_xlfn.XLOOKUP($C154,Bracket!$F$6:$F$16,Bracket!$K$6:$K$16,""),"")=$B154,1,0))</f>
        <v>1</v>
      </c>
      <c r="M154" s="18">
        <f ca="1">IF($A154="","",IF(AND(IFERROR(_xlfn.XLOOKUP($C154,Bracket!$F$6:$F$16,Bracket!$K$6:$K$16,""),"")=$B154,LEFT(IFERROR(_xlfn.XLOOKUP($C154,Bracket!$F$6:$F$16,Bracket!$G$6:$G$16,""),""),2)="CG"),1,0))</f>
        <v>0</v>
      </c>
      <c r="N154" s="18">
        <f ca="1">IF($A154="","",SUMIFS(Data!$X$4:$X$273,Data!$T$4:$T$273,$A154,Data!$U$4:$U$273,$B154,Data!$S$4:$S$273,$C154))</f>
        <v>0</v>
      </c>
      <c r="O154" s="18">
        <f ca="1">IF($A154="","",SUMIFS(Data!$Z$4:$Z$273,Data!$T$4:$T$273,$A154,Data!$U$4:$U$273,$B154,Data!$S$4:$S$273,$C154))</f>
        <v>0</v>
      </c>
      <c r="P154" s="18">
        <f ca="1">IF($A154="","",SUMIFS(Data!$AA$4:$AA$273,Data!$T$4:$T$273,$A154,Data!$U$4:$U$273,$B154,Data!$S$4:$S$273,$C154))</f>
        <v>0</v>
      </c>
      <c r="Q154" s="18">
        <f ca="1">IF($A154="","",SUMIFS(Data!$AD$4:$AD$273,Data!$T$4:$T$273,$A154,Data!$U$4:$U$273,$B154,Data!$S$4:$S$273,$C154))</f>
        <v>0</v>
      </c>
      <c r="R154" s="18">
        <f ca="1">IF($A154="","",SUMIFS(Data!$AE$4:$AE$273,Data!$T$4:$T$273,$A154,Data!$U$4:$U$273,$B154,Data!$S$4:$S$273,$C154))</f>
        <v>1</v>
      </c>
      <c r="S154" s="18">
        <f ca="1">IF($A154="","",SUMIFS(Data!$AF$4:$AF$273,Data!$T$4:$T$273,$A154,Data!$U$4:$U$273,$B154,Data!$S$4:$S$273,$C154))</f>
        <v>0</v>
      </c>
      <c r="T154" s="18">
        <f ca="1">IF($A154="","",SUMIFS(Data!$AG$4:$AG$273,Data!$T$4:$T$273,$A154,Data!$U$4:$U$273,$B154,Data!$S$4:$S$273,$C154))</f>
        <v>0</v>
      </c>
      <c r="U154" s="18">
        <f ca="1">IF($A154="","",SUMIFS(Data!$AH$4:$AH$273,Data!$T$4:$T$273,$A154,Data!$U$4:$U$273,$B154,Data!$S$4:$S$273,$C154))</f>
        <v>0</v>
      </c>
      <c r="V154" s="18">
        <f ca="1">IF($A154="","",SUMIFS(Data!$AO$4:$AO$183,Data!$AM$4:$AM$183,$B154,Data!$AL$4:$AL$183,$A154,Data!$AK$4:$AK$183,$C154))</f>
        <v>0</v>
      </c>
      <c r="W154" s="18">
        <f ca="1">IF($A154="","",SUMIFS(Data!$AP$4:$AP$183,Data!$AM$4:$AM$183,$B154,Data!$AL$4:$AL$183,$A154,Data!$AK$4:$AK$183,$C154))</f>
        <v>0</v>
      </c>
      <c r="X154" s="18">
        <f ca="1">IF($A154="","",SUMIFS(Data!$AR$4:$AR$183,Data!$AM$4:$AM$183,$B154,Data!$AL$4:$AL$183,$A154,Data!$AK$4:$AK$183,$C154))</f>
        <v>0</v>
      </c>
      <c r="Y154" s="18">
        <f ca="1">IF($A154="","",SUMIFS(Data!$AS$4:$AS$183,Data!$AM$4:$AM$183,$B154,Data!$AL$4:$AL$183,$A154,Data!$AK$4:$AK$183,$C154))</f>
        <v>0</v>
      </c>
      <c r="Z154" s="18">
        <f ca="1">IF($A154="","",SUMIFS(Data!$AT$4:$AT$183,Data!$AM$4:$AM$183,$B154,Data!$AL$4:$AL$183,$A154,Data!$AK$4:$AK$183,$C154))</f>
        <v>0</v>
      </c>
      <c r="AA154" s="18">
        <f ca="1">IF($A154="","",SUMIFS(Data!$AW$4:$AW$183,Data!$AM$4:$AM$183,$B154,Data!$AL$4:$AL$183,$A154,Data!$AK$4:$AK$183,$C154))</f>
        <v>0</v>
      </c>
      <c r="AB154" s="18">
        <f ca="1">IF($A154="","",SUMIFS(Data!$AX$4:$AX$183,Data!$AM$4:$AM$183,$B154,Data!$AL$4:$AL$183,$A154,Data!$AK$4:$AK$183,$C154))</f>
        <v>1</v>
      </c>
      <c r="AC154" s="18">
        <f ca="1">IF($A154="","",SUMIFS(Data!$AY$4:$AY$183,Data!$AM$4:$AM$183,$B154,Data!$AL$4:$AL$183,$A154,Data!$AK$4:$AK$183,$C154))</f>
        <v>1</v>
      </c>
      <c r="AD154" s="18">
        <f t="shared" ca="1" si="5"/>
        <v>0.0</v>
      </c>
      <c r="AE154" s="18">
        <f ca="1">IF($A154="","",SUMIFS(Data!$AJ$4:$AJ$183,Data!$AM$4:$AM$183,$B154,Data!$AL$4:$AL$183,$A154,Data!$AK$4:$AK$183,$C154))</f>
        <v>3</v>
      </c>
    </row>
    <row r="155" spans="1:31">
      <c r="A155" s="18" t="str">
        <f ca="1">IF(Data!T155="","",Data!T155)</f>
        <v>Jason</v>
      </c>
      <c r="B155" s="18" t="str">
        <f ca="1">IF(Data!U155="","",Data!U155)</f>
        <v>Baby Mario</v>
      </c>
      <c r="C155" s="18" t="str">
        <f ca="1">IF(Data!S155="","",Data!S155)</f>
        <v>G9</v>
      </c>
      <c r="D155" s="18">
        <f ca="1">IF($A155="","",Data!W155)</f>
        <v>1</v>
      </c>
      <c r="E155" s="18">
        <f ca="1">IF($A155="","",Data!Y155)</f>
        <v>0</v>
      </c>
      <c r="F155" s="61">
        <f t="shared" ca="1" si="4"/>
        <v>0.0</v>
      </c>
      <c r="G155" s="18">
        <f ca="1">IF($A155="","",Data!AB155)</f>
        <v>0</v>
      </c>
      <c r="H155" s="18">
        <f ca="1">IF($A155="","",Data!AC155)</f>
        <v>0</v>
      </c>
      <c r="I155" s="18">
        <f ca="1">IF($A155="","",INT(SUMIFS(Data!$AN$4:$AN$183,Data!$AM$4:$AM$183,$B155,Data!$AL$4:$AL$183,$A155,Data!$AK$4:$AK$183,$C155))+MOD(ROUND(SUMIFS(Data!$AN$4:$AN$183,Data!$AM$4:$AM$183,$B155,Data!$AL$4:$AL$183,$A155,Data!$AK$4:$AK$183,$C155)*3,0),3)/10)</f>
        <v>0</v>
      </c>
      <c r="J155" s="18">
        <f ca="1">IF($A155="","",SUMIFS(Data!$AQ$4:$AQ$183,Data!$AM$4:$AM$183,$B155,Data!$AL$4:$AL$183,$A155,Data!$AK$4:$AK$183,$C155))</f>
        <v>0</v>
      </c>
      <c r="K155" s="62">
        <f ca="1">IF($A155="","",IF(SUMIFS(Data!$AN$4:$AN$183,Data!$AM$4:$AM$183,$B155,Data!$AL$4:$AL$183,$A155,Data!$AK$4:$AK$183,$C155)=0,"",J155*3/SUMIFS(Data!$AN$4:$AN$183,Data!$AM$4:$AM$183,$B155,Data!$AL$4:$AL$183,$A155,Data!$AK$4:$AK$183,$C155)))</f>
      </c>
      <c r="L155" s="18">
        <f ca="1">IF($A155="","",IF(IFERROR(_xlfn.XLOOKUP($C155,Bracket!$F$6:$F$16,Bracket!$K$6:$K$16,""),"")=$B155,1,0))</f>
        <v>0</v>
      </c>
      <c r="M155" s="18">
        <f ca="1">IF($A155="","",IF(AND(IFERROR(_xlfn.XLOOKUP($C155,Bracket!$F$6:$F$16,Bracket!$K$6:$K$16,""),"")=$B155,LEFT(IFERROR(_xlfn.XLOOKUP($C155,Bracket!$F$6:$F$16,Bracket!$G$6:$G$16,""),""),2)="CG"),1,0))</f>
        <v>0</v>
      </c>
      <c r="N155" s="18">
        <f ca="1">IF($A155="","",SUMIFS(Data!$X$4:$X$273,Data!$T$4:$T$273,$A155,Data!$U$4:$U$273,$B155,Data!$S$4:$S$273,$C155))</f>
        <v>0</v>
      </c>
      <c r="O155" s="18">
        <f ca="1">IF($A155="","",SUMIFS(Data!$Z$4:$Z$273,Data!$T$4:$T$273,$A155,Data!$U$4:$U$273,$B155,Data!$S$4:$S$273,$C155))</f>
        <v>0</v>
      </c>
      <c r="P155" s="18">
        <f ca="1">IF($A155="","",SUMIFS(Data!$AA$4:$AA$273,Data!$T$4:$T$273,$A155,Data!$U$4:$U$273,$B155,Data!$S$4:$S$273,$C155))</f>
        <v>0</v>
      </c>
      <c r="Q155" s="18">
        <f ca="1">IF($A155="","",SUMIFS(Data!$AD$4:$AD$273,Data!$T$4:$T$273,$A155,Data!$U$4:$U$273,$B155,Data!$S$4:$S$273,$C155))</f>
        <v>0</v>
      </c>
      <c r="R155" s="18">
        <f ca="1">IF($A155="","",SUMIFS(Data!$AE$4:$AE$273,Data!$T$4:$T$273,$A155,Data!$U$4:$U$273,$B155,Data!$S$4:$S$273,$C155))</f>
        <v>0</v>
      </c>
      <c r="S155" s="18">
        <f ca="1">IF($A155="","",SUMIFS(Data!$AF$4:$AF$273,Data!$T$4:$T$273,$A155,Data!$U$4:$U$273,$B155,Data!$S$4:$S$273,$C155))</f>
        <v>0</v>
      </c>
      <c r="T155" s="18">
        <f ca="1">IF($A155="","",SUMIFS(Data!$AG$4:$AG$273,Data!$T$4:$T$273,$A155,Data!$U$4:$U$273,$B155,Data!$S$4:$S$273,$C155))</f>
        <v>0</v>
      </c>
      <c r="U155" s="18">
        <f ca="1">IF($A155="","",SUMIFS(Data!$AH$4:$AH$273,Data!$T$4:$T$273,$A155,Data!$U$4:$U$273,$B155,Data!$S$4:$S$273,$C155))</f>
        <v>0</v>
      </c>
      <c r="V155" s="18">
        <f ca="1">IF($A155="","",SUMIFS(Data!$AO$4:$AO$183,Data!$AM$4:$AM$183,$B155,Data!$AL$4:$AL$183,$A155,Data!$AK$4:$AK$183,$C155))</f>
        <v>0</v>
      </c>
      <c r="W155" s="18">
        <f ca="1">IF($A155="","",SUMIFS(Data!$AP$4:$AP$183,Data!$AM$4:$AM$183,$B155,Data!$AL$4:$AL$183,$A155,Data!$AK$4:$AK$183,$C155))</f>
        <v>0</v>
      </c>
      <c r="X155" s="18">
        <f ca="1">IF($A155="","",SUMIFS(Data!$AR$4:$AR$183,Data!$AM$4:$AM$183,$B155,Data!$AL$4:$AL$183,$A155,Data!$AK$4:$AK$183,$C155))</f>
        <v>0</v>
      </c>
      <c r="Y155" s="18">
        <f ca="1">IF($A155="","",SUMIFS(Data!$AS$4:$AS$183,Data!$AM$4:$AM$183,$B155,Data!$AL$4:$AL$183,$A155,Data!$AK$4:$AK$183,$C155))</f>
        <v>0</v>
      </c>
      <c r="Z155" s="18">
        <f ca="1">IF($A155="","",SUMIFS(Data!$AT$4:$AT$183,Data!$AM$4:$AM$183,$B155,Data!$AL$4:$AL$183,$A155,Data!$AK$4:$AK$183,$C155))</f>
        <v>0</v>
      </c>
      <c r="AA155" s="18">
        <f ca="1">IF($A155="","",SUMIFS(Data!$AW$4:$AW$183,Data!$AM$4:$AM$183,$B155,Data!$AL$4:$AL$183,$A155,Data!$AK$4:$AK$183,$C155))</f>
        <v>0</v>
      </c>
      <c r="AB155" s="18">
        <f ca="1">IF($A155="","",SUMIFS(Data!$AX$4:$AX$183,Data!$AM$4:$AM$183,$B155,Data!$AL$4:$AL$183,$A155,Data!$AK$4:$AK$183,$C155))</f>
        <v>0</v>
      </c>
      <c r="AC155" s="18">
        <f ca="1">IF($A155="","",SUMIFS(Data!$AY$4:$AY$183,Data!$AM$4:$AM$183,$B155,Data!$AL$4:$AL$183,$A155,Data!$AK$4:$AK$183,$C155))</f>
        <v>0</v>
      </c>
      <c r="AD155" s="18">
        <f t="shared" ca="1" si="5"/>
        <v>0</v>
      </c>
      <c r="AE155" s="18">
        <f ca="1">IF($A155="","",SUMIFS(Data!$AJ$4:$AJ$183,Data!$AM$4:$AM$183,$B155,Data!$AL$4:$AL$183,$A155,Data!$AK$4:$AK$183,$C155))</f>
        <v>0</v>
      </c>
    </row>
    <row r="156" spans="1:31">
      <c r="A156" s="18" t="str">
        <f ca="1">IF(Data!T156="","",Data!T156)</f>
        <v>Jason</v>
      </c>
      <c r="B156" s="18" t="str">
        <f ca="1">IF(Data!U156="","",Data!U156)</f>
        <v>Baby Daisy</v>
      </c>
      <c r="C156" s="18" t="str">
        <f ca="1">IF(Data!S156="","",Data!S156)</f>
        <v>G9</v>
      </c>
      <c r="D156" s="18">
        <f ca="1">IF($A156="","",Data!W156)</f>
        <v>1</v>
      </c>
      <c r="E156" s="18">
        <f ca="1">IF($A156="","",Data!Y156)</f>
        <v>1</v>
      </c>
      <c r="F156" s="61">
        <f t="shared" ca="1" si="4"/>
        <v>1.0</v>
      </c>
      <c r="G156" s="18">
        <f ca="1">IF($A156="","",Data!AB156)</f>
        <v>0</v>
      </c>
      <c r="H156" s="18">
        <f ca="1">IF($A156="","",Data!AC156)</f>
        <v>0</v>
      </c>
      <c r="I156" s="18">
        <f ca="1">IF($A156="","",INT(SUMIFS(Data!$AN$4:$AN$183,Data!$AM$4:$AM$183,$B156,Data!$AL$4:$AL$183,$A156,Data!$AK$4:$AK$183,$C156))+MOD(ROUND(SUMIFS(Data!$AN$4:$AN$183,Data!$AM$4:$AM$183,$B156,Data!$AL$4:$AL$183,$A156,Data!$AK$4:$AK$183,$C156)*3,0),3)/10)</f>
        <v>0</v>
      </c>
      <c r="J156" s="18">
        <f ca="1">IF($A156="","",SUMIFS(Data!$AQ$4:$AQ$183,Data!$AM$4:$AM$183,$B156,Data!$AL$4:$AL$183,$A156,Data!$AK$4:$AK$183,$C156))</f>
        <v>0</v>
      </c>
      <c r="K156" s="62">
        <f ca="1">IF($A156="","",IF(SUMIFS(Data!$AN$4:$AN$183,Data!$AM$4:$AM$183,$B156,Data!$AL$4:$AL$183,$A156,Data!$AK$4:$AK$183,$C156)=0,"",J156*3/SUMIFS(Data!$AN$4:$AN$183,Data!$AM$4:$AM$183,$B156,Data!$AL$4:$AL$183,$A156,Data!$AK$4:$AK$183,$C156)))</f>
      </c>
      <c r="L156" s="18">
        <f ca="1">IF($A156="","",IF(IFERROR(_xlfn.XLOOKUP($C156,Bracket!$F$6:$F$16,Bracket!$K$6:$K$16,""),"")=$B156,1,0))</f>
        <v>0</v>
      </c>
      <c r="M156" s="18">
        <f ca="1">IF($A156="","",IF(AND(IFERROR(_xlfn.XLOOKUP($C156,Bracket!$F$6:$F$16,Bracket!$K$6:$K$16,""),"")=$B156,LEFT(IFERROR(_xlfn.XLOOKUP($C156,Bracket!$F$6:$F$16,Bracket!$G$6:$G$16,""),""),2)="CG"),1,0))</f>
        <v>0</v>
      </c>
      <c r="N156" s="18">
        <f ca="1">IF($A156="","",SUMIFS(Data!$X$4:$X$273,Data!$T$4:$T$273,$A156,Data!$U$4:$U$273,$B156,Data!$S$4:$S$273,$C156))</f>
        <v>0</v>
      </c>
      <c r="O156" s="18">
        <f ca="1">IF($A156="","",SUMIFS(Data!$Z$4:$Z$273,Data!$T$4:$T$273,$A156,Data!$U$4:$U$273,$B156,Data!$S$4:$S$273,$C156))</f>
        <v>0</v>
      </c>
      <c r="P156" s="18">
        <f ca="1">IF($A156="","",SUMIFS(Data!$AA$4:$AA$273,Data!$T$4:$T$273,$A156,Data!$U$4:$U$273,$B156,Data!$S$4:$S$273,$C156))</f>
        <v>0</v>
      </c>
      <c r="Q156" s="18">
        <f ca="1">IF($A156="","",SUMIFS(Data!$AD$4:$AD$273,Data!$T$4:$T$273,$A156,Data!$U$4:$U$273,$B156,Data!$S$4:$S$273,$C156))</f>
        <v>0</v>
      </c>
      <c r="R156" s="18">
        <f ca="1">IF($A156="","",SUMIFS(Data!$AE$4:$AE$273,Data!$T$4:$T$273,$A156,Data!$U$4:$U$273,$B156,Data!$S$4:$S$273,$C156))</f>
        <v>0</v>
      </c>
      <c r="S156" s="18">
        <f ca="1">IF($A156="","",SUMIFS(Data!$AF$4:$AF$273,Data!$T$4:$T$273,$A156,Data!$U$4:$U$273,$B156,Data!$S$4:$S$273,$C156))</f>
        <v>0</v>
      </c>
      <c r="T156" s="18">
        <f ca="1">IF($A156="","",SUMIFS(Data!$AG$4:$AG$273,Data!$T$4:$T$273,$A156,Data!$U$4:$U$273,$B156,Data!$S$4:$S$273,$C156))</f>
        <v>0</v>
      </c>
      <c r="U156" s="18">
        <f ca="1">IF($A156="","",SUMIFS(Data!$AH$4:$AH$273,Data!$T$4:$T$273,$A156,Data!$U$4:$U$273,$B156,Data!$S$4:$S$273,$C156))</f>
        <v>0</v>
      </c>
      <c r="V156" s="18">
        <f ca="1">IF($A156="","",SUMIFS(Data!$AO$4:$AO$183,Data!$AM$4:$AM$183,$B156,Data!$AL$4:$AL$183,$A156,Data!$AK$4:$AK$183,$C156))</f>
        <v>0</v>
      </c>
      <c r="W156" s="18">
        <f ca="1">IF($A156="","",SUMIFS(Data!$AP$4:$AP$183,Data!$AM$4:$AM$183,$B156,Data!$AL$4:$AL$183,$A156,Data!$AK$4:$AK$183,$C156))</f>
        <v>0</v>
      </c>
      <c r="X156" s="18">
        <f ca="1">IF($A156="","",SUMIFS(Data!$AR$4:$AR$183,Data!$AM$4:$AM$183,$B156,Data!$AL$4:$AL$183,$A156,Data!$AK$4:$AK$183,$C156))</f>
        <v>0</v>
      </c>
      <c r="Y156" s="18">
        <f ca="1">IF($A156="","",SUMIFS(Data!$AS$4:$AS$183,Data!$AM$4:$AM$183,$B156,Data!$AL$4:$AL$183,$A156,Data!$AK$4:$AK$183,$C156))</f>
        <v>0</v>
      </c>
      <c r="Z156" s="18">
        <f ca="1">IF($A156="","",SUMIFS(Data!$AT$4:$AT$183,Data!$AM$4:$AM$183,$B156,Data!$AL$4:$AL$183,$A156,Data!$AK$4:$AK$183,$C156))</f>
        <v>0</v>
      </c>
      <c r="AA156" s="18">
        <f ca="1">IF($A156="","",SUMIFS(Data!$AW$4:$AW$183,Data!$AM$4:$AM$183,$B156,Data!$AL$4:$AL$183,$A156,Data!$AK$4:$AK$183,$C156))</f>
        <v>0</v>
      </c>
      <c r="AB156" s="18">
        <f ca="1">IF($A156="","",SUMIFS(Data!$AX$4:$AX$183,Data!$AM$4:$AM$183,$B156,Data!$AL$4:$AL$183,$A156,Data!$AK$4:$AK$183,$C156))</f>
        <v>0</v>
      </c>
      <c r="AC156" s="18">
        <f ca="1">IF($A156="","",SUMIFS(Data!$AY$4:$AY$183,Data!$AM$4:$AM$183,$B156,Data!$AL$4:$AL$183,$A156,Data!$AK$4:$AK$183,$C156))</f>
        <v>0</v>
      </c>
      <c r="AD156" s="18">
        <f t="shared" ca="1" si="5"/>
        <v>0</v>
      </c>
      <c r="AE156" s="18">
        <f ca="1">IF($A156="","",SUMIFS(Data!$AJ$4:$AJ$183,Data!$AM$4:$AM$183,$B156,Data!$AL$4:$AL$183,$A156,Data!$AK$4:$AK$183,$C156))</f>
        <v>0</v>
      </c>
    </row>
    <row r="157" spans="1:31">
      <c r="A157" s="18" t="str">
        <f ca="1">IF(Data!T157="","",Data!T157)</f>
        <v>May</v>
      </c>
      <c r="B157" s="18" t="str">
        <f ca="1">IF(Data!U157="","",Data!U157)</f>
        <v>Birdo</v>
      </c>
      <c r="C157" s="18" t="str">
        <f ca="1">IF(Data!S157="","",Data!S157)</f>
        <v>G9</v>
      </c>
      <c r="D157" s="18">
        <f ca="1">IF($A157="","",Data!W157)</f>
        <v>1</v>
      </c>
      <c r="E157" s="18">
        <f ca="1">IF($A157="","",Data!Y157)</f>
        <v>0</v>
      </c>
      <c r="F157" s="61">
        <f t="shared" ca="1" si="4"/>
        <v>0.0</v>
      </c>
      <c r="G157" s="18">
        <f ca="1">IF($A157="","",Data!AB157)</f>
        <v>0</v>
      </c>
      <c r="H157" s="18">
        <f ca="1">IF($A157="","",Data!AC157)</f>
        <v>0</v>
      </c>
      <c r="I157" s="18">
        <f ca="1">IF($A157="","",INT(SUMIFS(Data!$AN$4:$AN$183,Data!$AM$4:$AM$183,$B157,Data!$AL$4:$AL$183,$A157,Data!$AK$4:$AK$183,$C157))+MOD(ROUND(SUMIFS(Data!$AN$4:$AN$183,Data!$AM$4:$AM$183,$B157,Data!$AL$4:$AL$183,$A157,Data!$AK$4:$AK$183,$C157)*3,0),3)/10)</f>
        <v>0</v>
      </c>
      <c r="J157" s="18">
        <f ca="1">IF($A157="","",SUMIFS(Data!$AQ$4:$AQ$183,Data!$AM$4:$AM$183,$B157,Data!$AL$4:$AL$183,$A157,Data!$AK$4:$AK$183,$C157))</f>
        <v>0</v>
      </c>
      <c r="K157" s="62">
        <f ca="1">IF($A157="","",IF(SUMIFS(Data!$AN$4:$AN$183,Data!$AM$4:$AM$183,$B157,Data!$AL$4:$AL$183,$A157,Data!$AK$4:$AK$183,$C157)=0,"",J157*3/SUMIFS(Data!$AN$4:$AN$183,Data!$AM$4:$AM$183,$B157,Data!$AL$4:$AL$183,$A157,Data!$AK$4:$AK$183,$C157)))</f>
      </c>
      <c r="L157" s="18">
        <f ca="1">IF($A157="","",IF(IFERROR(_xlfn.XLOOKUP($C157,Bracket!$F$6:$F$16,Bracket!$K$6:$K$16,""),"")=$B157,1,0))</f>
        <v>0</v>
      </c>
      <c r="M157" s="18">
        <f ca="1">IF($A157="","",IF(AND(IFERROR(_xlfn.XLOOKUP($C157,Bracket!$F$6:$F$16,Bracket!$K$6:$K$16,""),"")=$B157,LEFT(IFERROR(_xlfn.XLOOKUP($C157,Bracket!$F$6:$F$16,Bracket!$G$6:$G$16,""),""),2)="CG"),1,0))</f>
        <v>0</v>
      </c>
      <c r="N157" s="18">
        <f ca="1">IF($A157="","",SUMIFS(Data!$X$4:$X$273,Data!$T$4:$T$273,$A157,Data!$U$4:$U$273,$B157,Data!$S$4:$S$273,$C157))</f>
        <v>0</v>
      </c>
      <c r="O157" s="18">
        <f ca="1">IF($A157="","",SUMIFS(Data!$Z$4:$Z$273,Data!$T$4:$T$273,$A157,Data!$U$4:$U$273,$B157,Data!$S$4:$S$273,$C157))</f>
        <v>0</v>
      </c>
      <c r="P157" s="18">
        <f ca="1">IF($A157="","",SUMIFS(Data!$AA$4:$AA$273,Data!$T$4:$T$273,$A157,Data!$U$4:$U$273,$B157,Data!$S$4:$S$273,$C157))</f>
        <v>0</v>
      </c>
      <c r="Q157" s="18">
        <f ca="1">IF($A157="","",SUMIFS(Data!$AD$4:$AD$273,Data!$T$4:$T$273,$A157,Data!$U$4:$U$273,$B157,Data!$S$4:$S$273,$C157))</f>
        <v>0</v>
      </c>
      <c r="R157" s="18">
        <f ca="1">IF($A157="","",SUMIFS(Data!$AE$4:$AE$273,Data!$T$4:$T$273,$A157,Data!$U$4:$U$273,$B157,Data!$S$4:$S$273,$C157))</f>
        <v>0</v>
      </c>
      <c r="S157" s="18">
        <f ca="1">IF($A157="","",SUMIFS(Data!$AF$4:$AF$273,Data!$T$4:$T$273,$A157,Data!$U$4:$U$273,$B157,Data!$S$4:$S$273,$C157))</f>
        <v>0</v>
      </c>
      <c r="T157" s="18">
        <f ca="1">IF($A157="","",SUMIFS(Data!$AG$4:$AG$273,Data!$T$4:$T$273,$A157,Data!$U$4:$U$273,$B157,Data!$S$4:$S$273,$C157))</f>
        <v>0</v>
      </c>
      <c r="U157" s="18">
        <f ca="1">IF($A157="","",SUMIFS(Data!$AH$4:$AH$273,Data!$T$4:$T$273,$A157,Data!$U$4:$U$273,$B157,Data!$S$4:$S$273,$C157))</f>
        <v>0</v>
      </c>
      <c r="V157" s="18">
        <f ca="1">IF($A157="","",SUMIFS(Data!$AO$4:$AO$183,Data!$AM$4:$AM$183,$B157,Data!$AL$4:$AL$183,$A157,Data!$AK$4:$AK$183,$C157))</f>
        <v>0</v>
      </c>
      <c r="W157" s="18">
        <f ca="1">IF($A157="","",SUMIFS(Data!$AP$4:$AP$183,Data!$AM$4:$AM$183,$B157,Data!$AL$4:$AL$183,$A157,Data!$AK$4:$AK$183,$C157))</f>
        <v>0</v>
      </c>
      <c r="X157" s="18">
        <f ca="1">IF($A157="","",SUMIFS(Data!$AR$4:$AR$183,Data!$AM$4:$AM$183,$B157,Data!$AL$4:$AL$183,$A157,Data!$AK$4:$AK$183,$C157))</f>
        <v>0</v>
      </c>
      <c r="Y157" s="18">
        <f ca="1">IF($A157="","",SUMIFS(Data!$AS$4:$AS$183,Data!$AM$4:$AM$183,$B157,Data!$AL$4:$AL$183,$A157,Data!$AK$4:$AK$183,$C157))</f>
        <v>0</v>
      </c>
      <c r="Z157" s="18">
        <f ca="1">IF($A157="","",SUMIFS(Data!$AT$4:$AT$183,Data!$AM$4:$AM$183,$B157,Data!$AL$4:$AL$183,$A157,Data!$AK$4:$AK$183,$C157))</f>
        <v>0</v>
      </c>
      <c r="AA157" s="18">
        <f ca="1">IF($A157="","",SUMIFS(Data!$AW$4:$AW$183,Data!$AM$4:$AM$183,$B157,Data!$AL$4:$AL$183,$A157,Data!$AK$4:$AK$183,$C157))</f>
        <v>0</v>
      </c>
      <c r="AB157" s="18">
        <f ca="1">IF($A157="","",SUMIFS(Data!$AX$4:$AX$183,Data!$AM$4:$AM$183,$B157,Data!$AL$4:$AL$183,$A157,Data!$AK$4:$AK$183,$C157))</f>
        <v>0</v>
      </c>
      <c r="AC157" s="18">
        <f ca="1">IF($A157="","",SUMIFS(Data!$AY$4:$AY$183,Data!$AM$4:$AM$183,$B157,Data!$AL$4:$AL$183,$A157,Data!$AK$4:$AK$183,$C157))</f>
        <v>0</v>
      </c>
      <c r="AD157" s="18">
        <f t="shared" ca="1" si="5"/>
        <v>0</v>
      </c>
      <c r="AE157" s="18">
        <f ca="1">IF($A157="","",SUMIFS(Data!$AJ$4:$AJ$183,Data!$AM$4:$AM$183,$B157,Data!$AL$4:$AL$183,$A157,Data!$AK$4:$AK$183,$C157))</f>
        <v>0</v>
      </c>
    </row>
    <row r="158" spans="1:31">
      <c r="A158" s="18" t="str">
        <f ca="1">IF(Data!T158="","",Data!T158)</f>
        <v>May</v>
      </c>
      <c r="B158" s="18" t="str">
        <f ca="1">IF(Data!U158="","",Data!U158)</f>
        <v>Red Kritter</v>
      </c>
      <c r="C158" s="18" t="str">
        <f ca="1">IF(Data!S158="","",Data!S158)</f>
        <v>G9</v>
      </c>
      <c r="D158" s="18">
        <f ca="1">IF($A158="","",Data!W158)</f>
        <v>1</v>
      </c>
      <c r="E158" s="18">
        <f ca="1">IF($A158="","",Data!Y158)</f>
        <v>0</v>
      </c>
      <c r="F158" s="61">
        <f t="shared" ca="1" si="4"/>
        <v>0.0</v>
      </c>
      <c r="G158" s="18">
        <f ca="1">IF($A158="","",Data!AB158)</f>
        <v>0</v>
      </c>
      <c r="H158" s="18">
        <f ca="1">IF($A158="","",Data!AC158)</f>
        <v>0</v>
      </c>
      <c r="I158" s="18">
        <f ca="1">IF($A158="","",INT(SUMIFS(Data!$AN$4:$AN$183,Data!$AM$4:$AM$183,$B158,Data!$AL$4:$AL$183,$A158,Data!$AK$4:$AK$183,$C158))+MOD(ROUND(SUMIFS(Data!$AN$4:$AN$183,Data!$AM$4:$AM$183,$B158,Data!$AL$4:$AL$183,$A158,Data!$AK$4:$AK$183,$C158)*3,0),3)/10)</f>
        <v>0</v>
      </c>
      <c r="J158" s="18">
        <f ca="1">IF($A158="","",SUMIFS(Data!$AQ$4:$AQ$183,Data!$AM$4:$AM$183,$B158,Data!$AL$4:$AL$183,$A158,Data!$AK$4:$AK$183,$C158))</f>
        <v>0</v>
      </c>
      <c r="K158" s="62">
        <f ca="1">IF($A158="","",IF(SUMIFS(Data!$AN$4:$AN$183,Data!$AM$4:$AM$183,$B158,Data!$AL$4:$AL$183,$A158,Data!$AK$4:$AK$183,$C158)=0,"",J158*3/SUMIFS(Data!$AN$4:$AN$183,Data!$AM$4:$AM$183,$B158,Data!$AL$4:$AL$183,$A158,Data!$AK$4:$AK$183,$C158)))</f>
      </c>
      <c r="L158" s="18">
        <f ca="1">IF($A158="","",IF(IFERROR(_xlfn.XLOOKUP($C158,Bracket!$F$6:$F$16,Bracket!$K$6:$K$16,""),"")=$B158,1,0))</f>
        <v>0</v>
      </c>
      <c r="M158" s="18">
        <f ca="1">IF($A158="","",IF(AND(IFERROR(_xlfn.XLOOKUP($C158,Bracket!$F$6:$F$16,Bracket!$K$6:$K$16,""),"")=$B158,LEFT(IFERROR(_xlfn.XLOOKUP($C158,Bracket!$F$6:$F$16,Bracket!$G$6:$G$16,""),""),2)="CG"),1,0))</f>
        <v>0</v>
      </c>
      <c r="N158" s="18">
        <f ca="1">IF($A158="","",SUMIFS(Data!$X$4:$X$273,Data!$T$4:$T$273,$A158,Data!$U$4:$U$273,$B158,Data!$S$4:$S$273,$C158))</f>
        <v>0</v>
      </c>
      <c r="O158" s="18">
        <f ca="1">IF($A158="","",SUMIFS(Data!$Z$4:$Z$273,Data!$T$4:$T$273,$A158,Data!$U$4:$U$273,$B158,Data!$S$4:$S$273,$C158))</f>
        <v>0</v>
      </c>
      <c r="P158" s="18">
        <f ca="1">IF($A158="","",SUMIFS(Data!$AA$4:$AA$273,Data!$T$4:$T$273,$A158,Data!$U$4:$U$273,$B158,Data!$S$4:$S$273,$C158))</f>
        <v>0</v>
      </c>
      <c r="Q158" s="18">
        <f ca="1">IF($A158="","",SUMIFS(Data!$AD$4:$AD$273,Data!$T$4:$T$273,$A158,Data!$U$4:$U$273,$B158,Data!$S$4:$S$273,$C158))</f>
        <v>0</v>
      </c>
      <c r="R158" s="18">
        <f ca="1">IF($A158="","",SUMIFS(Data!$AE$4:$AE$273,Data!$T$4:$T$273,$A158,Data!$U$4:$U$273,$B158,Data!$S$4:$S$273,$C158))</f>
        <v>0</v>
      </c>
      <c r="S158" s="18">
        <f ca="1">IF($A158="","",SUMIFS(Data!$AF$4:$AF$273,Data!$T$4:$T$273,$A158,Data!$U$4:$U$273,$B158,Data!$S$4:$S$273,$C158))</f>
        <v>0</v>
      </c>
      <c r="T158" s="18">
        <f ca="1">IF($A158="","",SUMIFS(Data!$AG$4:$AG$273,Data!$T$4:$T$273,$A158,Data!$U$4:$U$273,$B158,Data!$S$4:$S$273,$C158))</f>
        <v>0</v>
      </c>
      <c r="U158" s="18">
        <f ca="1">IF($A158="","",SUMIFS(Data!$AH$4:$AH$273,Data!$T$4:$T$273,$A158,Data!$U$4:$U$273,$B158,Data!$S$4:$S$273,$C158))</f>
        <v>0</v>
      </c>
      <c r="V158" s="18">
        <f ca="1">IF($A158="","",SUMIFS(Data!$AO$4:$AO$183,Data!$AM$4:$AM$183,$B158,Data!$AL$4:$AL$183,$A158,Data!$AK$4:$AK$183,$C158))</f>
        <v>0</v>
      </c>
      <c r="W158" s="18">
        <f ca="1">IF($A158="","",SUMIFS(Data!$AP$4:$AP$183,Data!$AM$4:$AM$183,$B158,Data!$AL$4:$AL$183,$A158,Data!$AK$4:$AK$183,$C158))</f>
        <v>0</v>
      </c>
      <c r="X158" s="18">
        <f ca="1">IF($A158="","",SUMIFS(Data!$AR$4:$AR$183,Data!$AM$4:$AM$183,$B158,Data!$AL$4:$AL$183,$A158,Data!$AK$4:$AK$183,$C158))</f>
        <v>0</v>
      </c>
      <c r="Y158" s="18">
        <f ca="1">IF($A158="","",SUMIFS(Data!$AS$4:$AS$183,Data!$AM$4:$AM$183,$B158,Data!$AL$4:$AL$183,$A158,Data!$AK$4:$AK$183,$C158))</f>
        <v>0</v>
      </c>
      <c r="Z158" s="18">
        <f ca="1">IF($A158="","",SUMIFS(Data!$AT$4:$AT$183,Data!$AM$4:$AM$183,$B158,Data!$AL$4:$AL$183,$A158,Data!$AK$4:$AK$183,$C158))</f>
        <v>0</v>
      </c>
      <c r="AA158" s="18">
        <f ca="1">IF($A158="","",SUMIFS(Data!$AW$4:$AW$183,Data!$AM$4:$AM$183,$B158,Data!$AL$4:$AL$183,$A158,Data!$AK$4:$AK$183,$C158))</f>
        <v>0</v>
      </c>
      <c r="AB158" s="18">
        <f ca="1">IF($A158="","",SUMIFS(Data!$AX$4:$AX$183,Data!$AM$4:$AM$183,$B158,Data!$AL$4:$AL$183,$A158,Data!$AK$4:$AK$183,$C158))</f>
        <v>0</v>
      </c>
      <c r="AC158" s="18">
        <f ca="1">IF($A158="","",SUMIFS(Data!$AY$4:$AY$183,Data!$AM$4:$AM$183,$B158,Data!$AL$4:$AL$183,$A158,Data!$AK$4:$AK$183,$C158))</f>
        <v>0</v>
      </c>
      <c r="AD158" s="18">
        <f t="shared" ca="1" si="5"/>
        <v>0</v>
      </c>
      <c r="AE158" s="18">
        <f ca="1">IF($A158="","",SUMIFS(Data!$AJ$4:$AJ$183,Data!$AM$4:$AM$183,$B158,Data!$AL$4:$AL$183,$A158,Data!$AK$4:$AK$183,$C158))</f>
        <v>0</v>
      </c>
    </row>
    <row r="159" spans="1:31">
      <c r="A159" s="18" t="str">
        <f ca="1">IF(Data!T159="","",Data!T159)</f>
        <v>May</v>
      </c>
      <c r="B159" s="18" t="str">
        <f ca="1">IF(Data!U159="","",Data!U159)</f>
        <v>Petey Piranha</v>
      </c>
      <c r="C159" s="18" t="str">
        <f ca="1">IF(Data!S159="","",Data!S159)</f>
        <v>G9</v>
      </c>
      <c r="D159" s="18">
        <f ca="1">IF($A159="","",Data!W159)</f>
        <v>1</v>
      </c>
      <c r="E159" s="18">
        <f ca="1">IF($A159="","",Data!Y159)</f>
        <v>0</v>
      </c>
      <c r="F159" s="61">
        <f t="shared" ca="1" si="4"/>
        <v>0.0</v>
      </c>
      <c r="G159" s="18">
        <f ca="1">IF($A159="","",Data!AB159)</f>
        <v>0</v>
      </c>
      <c r="H159" s="18">
        <f ca="1">IF($A159="","",Data!AC159)</f>
        <v>0</v>
      </c>
      <c r="I159" s="18">
        <f ca="1">IF($A159="","",INT(SUMIFS(Data!$AN$4:$AN$183,Data!$AM$4:$AM$183,$B159,Data!$AL$4:$AL$183,$A159,Data!$AK$4:$AK$183,$C159))+MOD(ROUND(SUMIFS(Data!$AN$4:$AN$183,Data!$AM$4:$AM$183,$B159,Data!$AL$4:$AL$183,$A159,Data!$AK$4:$AK$183,$C159)*3,0),3)/10)</f>
        <v>0</v>
      </c>
      <c r="J159" s="18">
        <f ca="1">IF($A159="","",SUMIFS(Data!$AQ$4:$AQ$183,Data!$AM$4:$AM$183,$B159,Data!$AL$4:$AL$183,$A159,Data!$AK$4:$AK$183,$C159))</f>
        <v>0</v>
      </c>
      <c r="K159" s="62">
        <f ca="1">IF($A159="","",IF(SUMIFS(Data!$AN$4:$AN$183,Data!$AM$4:$AM$183,$B159,Data!$AL$4:$AL$183,$A159,Data!$AK$4:$AK$183,$C159)=0,"",J159*3/SUMIFS(Data!$AN$4:$AN$183,Data!$AM$4:$AM$183,$B159,Data!$AL$4:$AL$183,$A159,Data!$AK$4:$AK$183,$C159)))</f>
      </c>
      <c r="L159" s="18">
        <f ca="1">IF($A159="","",IF(IFERROR(_xlfn.XLOOKUP($C159,Bracket!$F$6:$F$16,Bracket!$K$6:$K$16,""),"")=$B159,1,0))</f>
        <v>0</v>
      </c>
      <c r="M159" s="18">
        <f ca="1">IF($A159="","",IF(AND(IFERROR(_xlfn.XLOOKUP($C159,Bracket!$F$6:$F$16,Bracket!$K$6:$K$16,""),"")=$B159,LEFT(IFERROR(_xlfn.XLOOKUP($C159,Bracket!$F$6:$F$16,Bracket!$G$6:$G$16,""),""),2)="CG"),1,0))</f>
        <v>0</v>
      </c>
      <c r="N159" s="18">
        <f ca="1">IF($A159="","",SUMIFS(Data!$X$4:$X$273,Data!$T$4:$T$273,$A159,Data!$U$4:$U$273,$B159,Data!$S$4:$S$273,$C159))</f>
        <v>0</v>
      </c>
      <c r="O159" s="18">
        <f ca="1">IF($A159="","",SUMIFS(Data!$Z$4:$Z$273,Data!$T$4:$T$273,$A159,Data!$U$4:$U$273,$B159,Data!$S$4:$S$273,$C159))</f>
        <v>0</v>
      </c>
      <c r="P159" s="18">
        <f ca="1">IF($A159="","",SUMIFS(Data!$AA$4:$AA$273,Data!$T$4:$T$273,$A159,Data!$U$4:$U$273,$B159,Data!$S$4:$S$273,$C159))</f>
        <v>0</v>
      </c>
      <c r="Q159" s="18">
        <f ca="1">IF($A159="","",SUMIFS(Data!$AD$4:$AD$273,Data!$T$4:$T$273,$A159,Data!$U$4:$U$273,$B159,Data!$S$4:$S$273,$C159))</f>
        <v>0</v>
      </c>
      <c r="R159" s="18">
        <f ca="1">IF($A159="","",SUMIFS(Data!$AE$4:$AE$273,Data!$T$4:$T$273,$A159,Data!$U$4:$U$273,$B159,Data!$S$4:$S$273,$C159))</f>
        <v>0</v>
      </c>
      <c r="S159" s="18">
        <f ca="1">IF($A159="","",SUMIFS(Data!$AF$4:$AF$273,Data!$T$4:$T$273,$A159,Data!$U$4:$U$273,$B159,Data!$S$4:$S$273,$C159))</f>
        <v>0</v>
      </c>
      <c r="T159" s="18">
        <f ca="1">IF($A159="","",SUMIFS(Data!$AG$4:$AG$273,Data!$T$4:$T$273,$A159,Data!$U$4:$U$273,$B159,Data!$S$4:$S$273,$C159))</f>
        <v>0</v>
      </c>
      <c r="U159" s="18">
        <f ca="1">IF($A159="","",SUMIFS(Data!$AH$4:$AH$273,Data!$T$4:$T$273,$A159,Data!$U$4:$U$273,$B159,Data!$S$4:$S$273,$C159))</f>
        <v>0</v>
      </c>
      <c r="V159" s="18">
        <f ca="1">IF($A159="","",SUMIFS(Data!$AO$4:$AO$183,Data!$AM$4:$AM$183,$B159,Data!$AL$4:$AL$183,$A159,Data!$AK$4:$AK$183,$C159))</f>
        <v>0</v>
      </c>
      <c r="W159" s="18">
        <f ca="1">IF($A159="","",SUMIFS(Data!$AP$4:$AP$183,Data!$AM$4:$AM$183,$B159,Data!$AL$4:$AL$183,$A159,Data!$AK$4:$AK$183,$C159))</f>
        <v>0</v>
      </c>
      <c r="X159" s="18">
        <f ca="1">IF($A159="","",SUMIFS(Data!$AR$4:$AR$183,Data!$AM$4:$AM$183,$B159,Data!$AL$4:$AL$183,$A159,Data!$AK$4:$AK$183,$C159))</f>
        <v>0</v>
      </c>
      <c r="Y159" s="18">
        <f ca="1">IF($A159="","",SUMIFS(Data!$AS$4:$AS$183,Data!$AM$4:$AM$183,$B159,Data!$AL$4:$AL$183,$A159,Data!$AK$4:$AK$183,$C159))</f>
        <v>0</v>
      </c>
      <c r="Z159" s="18">
        <f ca="1">IF($A159="","",SUMIFS(Data!$AT$4:$AT$183,Data!$AM$4:$AM$183,$B159,Data!$AL$4:$AL$183,$A159,Data!$AK$4:$AK$183,$C159))</f>
        <v>0</v>
      </c>
      <c r="AA159" s="18">
        <f ca="1">IF($A159="","",SUMIFS(Data!$AW$4:$AW$183,Data!$AM$4:$AM$183,$B159,Data!$AL$4:$AL$183,$A159,Data!$AK$4:$AK$183,$C159))</f>
        <v>0</v>
      </c>
      <c r="AB159" s="18">
        <f ca="1">IF($A159="","",SUMIFS(Data!$AX$4:$AX$183,Data!$AM$4:$AM$183,$B159,Data!$AL$4:$AL$183,$A159,Data!$AK$4:$AK$183,$C159))</f>
        <v>0</v>
      </c>
      <c r="AC159" s="18">
        <f ca="1">IF($A159="","",SUMIFS(Data!$AY$4:$AY$183,Data!$AM$4:$AM$183,$B159,Data!$AL$4:$AL$183,$A159,Data!$AK$4:$AK$183,$C159))</f>
        <v>0</v>
      </c>
      <c r="AD159" s="18">
        <f t="shared" ca="1" si="5"/>
        <v>0</v>
      </c>
      <c r="AE159" s="18">
        <f ca="1">IF($A159="","",SUMIFS(Data!$AJ$4:$AJ$183,Data!$AM$4:$AM$183,$B159,Data!$AL$4:$AL$183,$A159,Data!$AK$4:$AK$183,$C159))</f>
        <v>0</v>
      </c>
    </row>
    <row r="160" spans="1:31">
      <c r="A160" s="18" t="str">
        <f ca="1">IF(Data!T160="","",Data!T160)</f>
        <v>May</v>
      </c>
      <c r="B160" s="18" t="str">
        <f ca="1">IF(Data!U160="","",Data!U160)</f>
        <v>King Boo</v>
      </c>
      <c r="C160" s="18" t="str">
        <f ca="1">IF(Data!S160="","",Data!S160)</f>
        <v>G9</v>
      </c>
      <c r="D160" s="18">
        <f ca="1">IF($A160="","",Data!W160)</f>
        <v>1</v>
      </c>
      <c r="E160" s="18">
        <f ca="1">IF($A160="","",Data!Y160)</f>
        <v>0</v>
      </c>
      <c r="F160" s="61">
        <f t="shared" ca="1" si="4"/>
        <v>0.0</v>
      </c>
      <c r="G160" s="18">
        <f ca="1">IF($A160="","",Data!AB160)</f>
        <v>0</v>
      </c>
      <c r="H160" s="18">
        <f ca="1">IF($A160="","",Data!AC160)</f>
        <v>0</v>
      </c>
      <c r="I160" s="18">
        <f ca="1">IF($A160="","",INT(SUMIFS(Data!$AN$4:$AN$183,Data!$AM$4:$AM$183,$B160,Data!$AL$4:$AL$183,$A160,Data!$AK$4:$AK$183,$C160))+MOD(ROUND(SUMIFS(Data!$AN$4:$AN$183,Data!$AM$4:$AM$183,$B160,Data!$AL$4:$AL$183,$A160,Data!$AK$4:$AK$183,$C160)*3,0),3)/10)</f>
        <v>2</v>
      </c>
      <c r="J160" s="18">
        <f ca="1">IF($A160="","",SUMIFS(Data!$AQ$4:$AQ$183,Data!$AM$4:$AM$183,$B160,Data!$AL$4:$AL$183,$A160,Data!$AK$4:$AK$183,$C160))</f>
        <v>0</v>
      </c>
      <c r="K160" s="62">
        <f ca="1">IF($A160="","",IF(SUMIFS(Data!$AN$4:$AN$183,Data!$AM$4:$AM$183,$B160,Data!$AL$4:$AL$183,$A160,Data!$AK$4:$AK$183,$C160)=0,"",J160*3/SUMIFS(Data!$AN$4:$AN$183,Data!$AM$4:$AM$183,$B160,Data!$AL$4:$AL$183,$A160,Data!$AK$4:$AK$183,$C160)))</f>
        <v>0.0</v>
      </c>
      <c r="L160" s="18">
        <f ca="1">IF($A160="","",IF(IFERROR(_xlfn.XLOOKUP($C160,Bracket!$F$6:$F$16,Bracket!$K$6:$K$16,""),"")=$B160,1,0))</f>
        <v>0</v>
      </c>
      <c r="M160" s="18">
        <f ca="1">IF($A160="","",IF(AND(IFERROR(_xlfn.XLOOKUP($C160,Bracket!$F$6:$F$16,Bracket!$K$6:$K$16,""),"")=$B160,LEFT(IFERROR(_xlfn.XLOOKUP($C160,Bracket!$F$6:$F$16,Bracket!$G$6:$G$16,""),""),2)="CG"),1,0))</f>
        <v>0</v>
      </c>
      <c r="N160" s="18">
        <f ca="1">IF($A160="","",SUMIFS(Data!$X$4:$X$273,Data!$T$4:$T$273,$A160,Data!$U$4:$U$273,$B160,Data!$S$4:$S$273,$C160))</f>
        <v>0</v>
      </c>
      <c r="O160" s="18">
        <f ca="1">IF($A160="","",SUMIFS(Data!$Z$4:$Z$273,Data!$T$4:$T$273,$A160,Data!$U$4:$U$273,$B160,Data!$S$4:$S$273,$C160))</f>
        <v>0</v>
      </c>
      <c r="P160" s="18">
        <f ca="1">IF($A160="","",SUMIFS(Data!$AA$4:$AA$273,Data!$T$4:$T$273,$A160,Data!$U$4:$U$273,$B160,Data!$S$4:$S$273,$C160))</f>
        <v>0</v>
      </c>
      <c r="Q160" s="18">
        <f ca="1">IF($A160="","",SUMIFS(Data!$AD$4:$AD$273,Data!$T$4:$T$273,$A160,Data!$U$4:$U$273,$B160,Data!$S$4:$S$273,$C160))</f>
        <v>0</v>
      </c>
      <c r="R160" s="18">
        <f ca="1">IF($A160="","",SUMIFS(Data!$AE$4:$AE$273,Data!$T$4:$T$273,$A160,Data!$U$4:$U$273,$B160,Data!$S$4:$S$273,$C160))</f>
        <v>0</v>
      </c>
      <c r="S160" s="18">
        <f ca="1">IF($A160="","",SUMIFS(Data!$AF$4:$AF$273,Data!$T$4:$T$273,$A160,Data!$U$4:$U$273,$B160,Data!$S$4:$S$273,$C160))</f>
        <v>0</v>
      </c>
      <c r="T160" s="18">
        <f ca="1">IF($A160="","",SUMIFS(Data!$AG$4:$AG$273,Data!$T$4:$T$273,$A160,Data!$U$4:$U$273,$B160,Data!$S$4:$S$273,$C160))</f>
        <v>0</v>
      </c>
      <c r="U160" s="18">
        <f ca="1">IF($A160="","",SUMIFS(Data!$AH$4:$AH$273,Data!$T$4:$T$273,$A160,Data!$U$4:$U$273,$B160,Data!$S$4:$S$273,$C160))</f>
        <v>0</v>
      </c>
      <c r="V160" s="18">
        <f ca="1">IF($A160="","",SUMIFS(Data!$AO$4:$AO$183,Data!$AM$4:$AM$183,$B160,Data!$AL$4:$AL$183,$A160,Data!$AK$4:$AK$183,$C160))</f>
        <v>5</v>
      </c>
      <c r="W160" s="18">
        <f ca="1">IF($A160="","",SUMIFS(Data!$AP$4:$AP$183,Data!$AM$4:$AM$183,$B160,Data!$AL$4:$AL$183,$A160,Data!$AK$4:$AK$183,$C160))</f>
        <v>0</v>
      </c>
      <c r="X160" s="18">
        <f ca="1">IF($A160="","",SUMIFS(Data!$AR$4:$AR$183,Data!$AM$4:$AM$183,$B160,Data!$AL$4:$AL$183,$A160,Data!$AK$4:$AK$183,$C160))</f>
        <v>0</v>
      </c>
      <c r="Y160" s="18">
        <f ca="1">IF($A160="","",SUMIFS(Data!$AS$4:$AS$183,Data!$AM$4:$AM$183,$B160,Data!$AL$4:$AL$183,$A160,Data!$AK$4:$AK$183,$C160))</f>
        <v>1</v>
      </c>
      <c r="Z160" s="18">
        <f ca="1">IF($A160="","",SUMIFS(Data!$AT$4:$AT$183,Data!$AM$4:$AM$183,$B160,Data!$AL$4:$AL$183,$A160,Data!$AK$4:$AK$183,$C160))</f>
        <v>0</v>
      </c>
      <c r="AA160" s="18">
        <f ca="1">IF($A160="","",SUMIFS(Data!$AW$4:$AW$183,Data!$AM$4:$AM$183,$B160,Data!$AL$4:$AL$183,$A160,Data!$AK$4:$AK$183,$C160))</f>
        <v>0</v>
      </c>
      <c r="AB160" s="18">
        <f ca="1">IF($A160="","",SUMIFS(Data!$AX$4:$AX$183,Data!$AM$4:$AM$183,$B160,Data!$AL$4:$AL$183,$A160,Data!$AK$4:$AK$183,$C160))</f>
        <v>0</v>
      </c>
      <c r="AC160" s="18">
        <f ca="1">IF($A160="","",SUMIFS(Data!$AY$4:$AY$183,Data!$AM$4:$AM$183,$B160,Data!$AL$4:$AL$183,$A160,Data!$AK$4:$AK$183,$C160))</f>
        <v>1</v>
      </c>
      <c r="AD160" s="18">
        <f t="shared" ca="1" si="5"/>
        <v>2.5</v>
      </c>
      <c r="AE160" s="18">
        <f ca="1">IF($A160="","",SUMIFS(Data!$AJ$4:$AJ$183,Data!$AM$4:$AM$183,$B160,Data!$AL$4:$AL$183,$A160,Data!$AK$4:$AK$183,$C160))</f>
        <v>10</v>
      </c>
    </row>
    <row r="161" spans="1:31">
      <c r="A161" s="18" t="str">
        <f ca="1">IF(Data!T161="","",Data!T161)</f>
        <v>May</v>
      </c>
      <c r="B161" s="18" t="str">
        <f ca="1">IF(Data!U161="","",Data!U161)</f>
        <v>Hammer Bro</v>
      </c>
      <c r="C161" s="18" t="str">
        <f ca="1">IF(Data!S161="","",Data!S161)</f>
        <v>G9</v>
      </c>
      <c r="D161" s="18">
        <f ca="1">IF($A161="","",Data!W161)</f>
        <v>1</v>
      </c>
      <c r="E161" s="18">
        <f ca="1">IF($A161="","",Data!Y161)</f>
        <v>0</v>
      </c>
      <c r="F161" s="61">
        <f t="shared" ca="1" si="4"/>
        <v>0.0</v>
      </c>
      <c r="G161" s="18">
        <f ca="1">IF($A161="","",Data!AB161)</f>
        <v>0</v>
      </c>
      <c r="H161" s="18">
        <f ca="1">IF($A161="","",Data!AC161)</f>
        <v>0</v>
      </c>
      <c r="I161" s="18">
        <f ca="1">IF($A161="","",INT(SUMIFS(Data!$AN$4:$AN$183,Data!$AM$4:$AM$183,$B161,Data!$AL$4:$AL$183,$A161,Data!$AK$4:$AK$183,$C161))+MOD(ROUND(SUMIFS(Data!$AN$4:$AN$183,Data!$AM$4:$AM$183,$B161,Data!$AL$4:$AL$183,$A161,Data!$AK$4:$AK$183,$C161)*3,0),3)/10)</f>
        <v>0</v>
      </c>
      <c r="J161" s="18">
        <f ca="1">IF($A161="","",SUMIFS(Data!$AQ$4:$AQ$183,Data!$AM$4:$AM$183,$B161,Data!$AL$4:$AL$183,$A161,Data!$AK$4:$AK$183,$C161))</f>
        <v>0</v>
      </c>
      <c r="K161" s="62">
        <f ca="1">IF($A161="","",IF(SUMIFS(Data!$AN$4:$AN$183,Data!$AM$4:$AM$183,$B161,Data!$AL$4:$AL$183,$A161,Data!$AK$4:$AK$183,$C161)=0,"",J161*3/SUMIFS(Data!$AN$4:$AN$183,Data!$AM$4:$AM$183,$B161,Data!$AL$4:$AL$183,$A161,Data!$AK$4:$AK$183,$C161)))</f>
      </c>
      <c r="L161" s="18">
        <f ca="1">IF($A161="","",IF(IFERROR(_xlfn.XLOOKUP($C161,Bracket!$F$6:$F$16,Bracket!$K$6:$K$16,""),"")=$B161,1,0))</f>
        <v>0</v>
      </c>
      <c r="M161" s="18">
        <f ca="1">IF($A161="","",IF(AND(IFERROR(_xlfn.XLOOKUP($C161,Bracket!$F$6:$F$16,Bracket!$K$6:$K$16,""),"")=$B161,LEFT(IFERROR(_xlfn.XLOOKUP($C161,Bracket!$F$6:$F$16,Bracket!$G$6:$G$16,""),""),2)="CG"),1,0))</f>
        <v>0</v>
      </c>
      <c r="N161" s="18">
        <f ca="1">IF($A161="","",SUMIFS(Data!$X$4:$X$273,Data!$T$4:$T$273,$A161,Data!$U$4:$U$273,$B161,Data!$S$4:$S$273,$C161))</f>
        <v>0</v>
      </c>
      <c r="O161" s="18">
        <f ca="1">IF($A161="","",SUMIFS(Data!$Z$4:$Z$273,Data!$T$4:$T$273,$A161,Data!$U$4:$U$273,$B161,Data!$S$4:$S$273,$C161))</f>
        <v>0</v>
      </c>
      <c r="P161" s="18">
        <f ca="1">IF($A161="","",SUMIFS(Data!$AA$4:$AA$273,Data!$T$4:$T$273,$A161,Data!$U$4:$U$273,$B161,Data!$S$4:$S$273,$C161))</f>
        <v>0</v>
      </c>
      <c r="Q161" s="18">
        <f ca="1">IF($A161="","",SUMIFS(Data!$AD$4:$AD$273,Data!$T$4:$T$273,$A161,Data!$U$4:$U$273,$B161,Data!$S$4:$S$273,$C161))</f>
        <v>0</v>
      </c>
      <c r="R161" s="18">
        <f ca="1">IF($A161="","",SUMIFS(Data!$AE$4:$AE$273,Data!$T$4:$T$273,$A161,Data!$U$4:$U$273,$B161,Data!$S$4:$S$273,$C161))</f>
        <v>0</v>
      </c>
      <c r="S161" s="18">
        <f ca="1">IF($A161="","",SUMIFS(Data!$AF$4:$AF$273,Data!$T$4:$T$273,$A161,Data!$U$4:$U$273,$B161,Data!$S$4:$S$273,$C161))</f>
        <v>0</v>
      </c>
      <c r="T161" s="18">
        <f ca="1">IF($A161="","",SUMIFS(Data!$AG$4:$AG$273,Data!$T$4:$T$273,$A161,Data!$U$4:$U$273,$B161,Data!$S$4:$S$273,$C161))</f>
        <v>0</v>
      </c>
      <c r="U161" s="18">
        <f ca="1">IF($A161="","",SUMIFS(Data!$AH$4:$AH$273,Data!$T$4:$T$273,$A161,Data!$U$4:$U$273,$B161,Data!$S$4:$S$273,$C161))</f>
        <v>0</v>
      </c>
      <c r="V161" s="18">
        <f ca="1">IF($A161="","",SUMIFS(Data!$AO$4:$AO$183,Data!$AM$4:$AM$183,$B161,Data!$AL$4:$AL$183,$A161,Data!$AK$4:$AK$183,$C161))</f>
        <v>0</v>
      </c>
      <c r="W161" s="18">
        <f ca="1">IF($A161="","",SUMIFS(Data!$AP$4:$AP$183,Data!$AM$4:$AM$183,$B161,Data!$AL$4:$AL$183,$A161,Data!$AK$4:$AK$183,$C161))</f>
        <v>0</v>
      </c>
      <c r="X161" s="18">
        <f ca="1">IF($A161="","",SUMIFS(Data!$AR$4:$AR$183,Data!$AM$4:$AM$183,$B161,Data!$AL$4:$AL$183,$A161,Data!$AK$4:$AK$183,$C161))</f>
        <v>0</v>
      </c>
      <c r="Y161" s="18">
        <f ca="1">IF($A161="","",SUMIFS(Data!$AS$4:$AS$183,Data!$AM$4:$AM$183,$B161,Data!$AL$4:$AL$183,$A161,Data!$AK$4:$AK$183,$C161))</f>
        <v>0</v>
      </c>
      <c r="Z161" s="18">
        <f ca="1">IF($A161="","",SUMIFS(Data!$AT$4:$AT$183,Data!$AM$4:$AM$183,$B161,Data!$AL$4:$AL$183,$A161,Data!$AK$4:$AK$183,$C161))</f>
        <v>0</v>
      </c>
      <c r="AA161" s="18">
        <f ca="1">IF($A161="","",SUMIFS(Data!$AW$4:$AW$183,Data!$AM$4:$AM$183,$B161,Data!$AL$4:$AL$183,$A161,Data!$AK$4:$AK$183,$C161))</f>
        <v>0</v>
      </c>
      <c r="AB161" s="18">
        <f ca="1">IF($A161="","",SUMIFS(Data!$AX$4:$AX$183,Data!$AM$4:$AM$183,$B161,Data!$AL$4:$AL$183,$A161,Data!$AK$4:$AK$183,$C161))</f>
        <v>0</v>
      </c>
      <c r="AC161" s="18">
        <f ca="1">IF($A161="","",SUMIFS(Data!$AY$4:$AY$183,Data!$AM$4:$AM$183,$B161,Data!$AL$4:$AL$183,$A161,Data!$AK$4:$AK$183,$C161))</f>
        <v>0</v>
      </c>
      <c r="AD161" s="18">
        <f t="shared" ca="1" si="5"/>
        <v>0</v>
      </c>
      <c r="AE161" s="18">
        <f ca="1">IF($A161="","",SUMIFS(Data!$AJ$4:$AJ$183,Data!$AM$4:$AM$183,$B161,Data!$AL$4:$AL$183,$A161,Data!$AK$4:$AK$183,$C161))</f>
        <v>0</v>
      </c>
    </row>
    <row r="162" spans="1:31">
      <c r="A162" s="18" t="str">
        <f ca="1">IF(Data!T162="","",Data!T162)</f>
        <v>May</v>
      </c>
      <c r="B162" s="18" t="str">
        <f ca="1">IF(Data!U162="","",Data!U162)</f>
        <v>Red Yoshi</v>
      </c>
      <c r="C162" s="18" t="str">
        <f ca="1">IF(Data!S162="","",Data!S162)</f>
        <v>G9</v>
      </c>
      <c r="D162" s="18">
        <f ca="1">IF($A162="","",Data!W162)</f>
        <v>1</v>
      </c>
      <c r="E162" s="18">
        <f ca="1">IF($A162="","",Data!Y162)</f>
        <v>0</v>
      </c>
      <c r="F162" s="61">
        <f t="shared" ca="1" si="4"/>
        <v>0.0</v>
      </c>
      <c r="G162" s="18">
        <f ca="1">IF($A162="","",Data!AB162)</f>
        <v>0</v>
      </c>
      <c r="H162" s="18">
        <f ca="1">IF($A162="","",Data!AC162)</f>
        <v>0</v>
      </c>
      <c r="I162" s="18">
        <f ca="1">IF($A162="","",INT(SUMIFS(Data!$AN$4:$AN$183,Data!$AM$4:$AM$183,$B162,Data!$AL$4:$AL$183,$A162,Data!$AK$4:$AK$183,$C162))+MOD(ROUND(SUMIFS(Data!$AN$4:$AN$183,Data!$AM$4:$AM$183,$B162,Data!$AL$4:$AL$183,$A162,Data!$AK$4:$AK$183,$C162)*3,0),3)/10)</f>
        <v>0</v>
      </c>
      <c r="J162" s="18">
        <f ca="1">IF($A162="","",SUMIFS(Data!$AQ$4:$AQ$183,Data!$AM$4:$AM$183,$B162,Data!$AL$4:$AL$183,$A162,Data!$AK$4:$AK$183,$C162))</f>
        <v>0</v>
      </c>
      <c r="K162" s="62">
        <f ca="1">IF($A162="","",IF(SUMIFS(Data!$AN$4:$AN$183,Data!$AM$4:$AM$183,$B162,Data!$AL$4:$AL$183,$A162,Data!$AK$4:$AK$183,$C162)=0,"",J162*3/SUMIFS(Data!$AN$4:$AN$183,Data!$AM$4:$AM$183,$B162,Data!$AL$4:$AL$183,$A162,Data!$AK$4:$AK$183,$C162)))</f>
      </c>
      <c r="L162" s="18">
        <f ca="1">IF($A162="","",IF(IFERROR(_xlfn.XLOOKUP($C162,Bracket!$F$6:$F$16,Bracket!$K$6:$K$16,""),"")=$B162,1,0))</f>
        <v>0</v>
      </c>
      <c r="M162" s="18">
        <f ca="1">IF($A162="","",IF(AND(IFERROR(_xlfn.XLOOKUP($C162,Bracket!$F$6:$F$16,Bracket!$K$6:$K$16,""),"")=$B162,LEFT(IFERROR(_xlfn.XLOOKUP($C162,Bracket!$F$6:$F$16,Bracket!$G$6:$G$16,""),""),2)="CG"),1,0))</f>
        <v>0</v>
      </c>
      <c r="N162" s="18">
        <f ca="1">IF($A162="","",SUMIFS(Data!$X$4:$X$273,Data!$T$4:$T$273,$A162,Data!$U$4:$U$273,$B162,Data!$S$4:$S$273,$C162))</f>
        <v>0</v>
      </c>
      <c r="O162" s="18">
        <f ca="1">IF($A162="","",SUMIFS(Data!$Z$4:$Z$273,Data!$T$4:$T$273,$A162,Data!$U$4:$U$273,$B162,Data!$S$4:$S$273,$C162))</f>
        <v>0</v>
      </c>
      <c r="P162" s="18">
        <f ca="1">IF($A162="","",SUMIFS(Data!$AA$4:$AA$273,Data!$T$4:$T$273,$A162,Data!$U$4:$U$273,$B162,Data!$S$4:$S$273,$C162))</f>
        <v>0</v>
      </c>
      <c r="Q162" s="18">
        <f ca="1">IF($A162="","",SUMIFS(Data!$AD$4:$AD$273,Data!$T$4:$T$273,$A162,Data!$U$4:$U$273,$B162,Data!$S$4:$S$273,$C162))</f>
        <v>0</v>
      </c>
      <c r="R162" s="18">
        <f ca="1">IF($A162="","",SUMIFS(Data!$AE$4:$AE$273,Data!$T$4:$T$273,$A162,Data!$U$4:$U$273,$B162,Data!$S$4:$S$273,$C162))</f>
        <v>0</v>
      </c>
      <c r="S162" s="18">
        <f ca="1">IF($A162="","",SUMIFS(Data!$AF$4:$AF$273,Data!$T$4:$T$273,$A162,Data!$U$4:$U$273,$B162,Data!$S$4:$S$273,$C162))</f>
        <v>0</v>
      </c>
      <c r="T162" s="18">
        <f ca="1">IF($A162="","",SUMIFS(Data!$AG$4:$AG$273,Data!$T$4:$T$273,$A162,Data!$U$4:$U$273,$B162,Data!$S$4:$S$273,$C162))</f>
        <v>0</v>
      </c>
      <c r="U162" s="18">
        <f ca="1">IF($A162="","",SUMIFS(Data!$AH$4:$AH$273,Data!$T$4:$T$273,$A162,Data!$U$4:$U$273,$B162,Data!$S$4:$S$273,$C162))</f>
        <v>0</v>
      </c>
      <c r="V162" s="18">
        <f ca="1">IF($A162="","",SUMIFS(Data!$AO$4:$AO$183,Data!$AM$4:$AM$183,$B162,Data!$AL$4:$AL$183,$A162,Data!$AK$4:$AK$183,$C162))</f>
        <v>0</v>
      </c>
      <c r="W162" s="18">
        <f ca="1">IF($A162="","",SUMIFS(Data!$AP$4:$AP$183,Data!$AM$4:$AM$183,$B162,Data!$AL$4:$AL$183,$A162,Data!$AK$4:$AK$183,$C162))</f>
        <v>0</v>
      </c>
      <c r="X162" s="18">
        <f ca="1">IF($A162="","",SUMIFS(Data!$AR$4:$AR$183,Data!$AM$4:$AM$183,$B162,Data!$AL$4:$AL$183,$A162,Data!$AK$4:$AK$183,$C162))</f>
        <v>0</v>
      </c>
      <c r="Y162" s="18">
        <f ca="1">IF($A162="","",SUMIFS(Data!$AS$4:$AS$183,Data!$AM$4:$AM$183,$B162,Data!$AL$4:$AL$183,$A162,Data!$AK$4:$AK$183,$C162))</f>
        <v>0</v>
      </c>
      <c r="Z162" s="18">
        <f ca="1">IF($A162="","",SUMIFS(Data!$AT$4:$AT$183,Data!$AM$4:$AM$183,$B162,Data!$AL$4:$AL$183,$A162,Data!$AK$4:$AK$183,$C162))</f>
        <v>0</v>
      </c>
      <c r="AA162" s="18">
        <f ca="1">IF($A162="","",SUMIFS(Data!$AW$4:$AW$183,Data!$AM$4:$AM$183,$B162,Data!$AL$4:$AL$183,$A162,Data!$AK$4:$AK$183,$C162))</f>
        <v>0</v>
      </c>
      <c r="AB162" s="18">
        <f ca="1">IF($A162="","",SUMIFS(Data!$AX$4:$AX$183,Data!$AM$4:$AM$183,$B162,Data!$AL$4:$AL$183,$A162,Data!$AK$4:$AK$183,$C162))</f>
        <v>0</v>
      </c>
      <c r="AC162" s="18">
        <f ca="1">IF($A162="","",SUMIFS(Data!$AY$4:$AY$183,Data!$AM$4:$AM$183,$B162,Data!$AL$4:$AL$183,$A162,Data!$AK$4:$AK$183,$C162))</f>
        <v>0</v>
      </c>
      <c r="AD162" s="18">
        <f t="shared" ca="1" si="5"/>
        <v>0</v>
      </c>
      <c r="AE162" s="18">
        <f ca="1">IF($A162="","",SUMIFS(Data!$AJ$4:$AJ$183,Data!$AM$4:$AM$183,$B162,Data!$AL$4:$AL$183,$A162,Data!$AK$4:$AK$183,$C162))</f>
        <v>0</v>
      </c>
    </row>
    <row r="163" spans="1:31">
      <c r="A163" s="18" t="str">
        <f ca="1">IF(Data!T163="","",Data!T163)</f>
        <v>May</v>
      </c>
      <c r="B163" s="18" t="str">
        <f ca="1">IF(Data!U163="","",Data!U163)</f>
        <v>Koopa</v>
      </c>
      <c r="C163" s="18" t="str">
        <f ca="1">IF(Data!S163="","",Data!S163)</f>
        <v>G9</v>
      </c>
      <c r="D163" s="18">
        <f ca="1">IF($A163="","",Data!W163)</f>
        <v>1</v>
      </c>
      <c r="E163" s="18">
        <f ca="1">IF($A163="","",Data!Y163)</f>
        <v>0</v>
      </c>
      <c r="F163" s="61">
        <f t="shared" ca="1" si="4"/>
        <v>0.0</v>
      </c>
      <c r="G163" s="18">
        <f ca="1">IF($A163="","",Data!AB163)</f>
        <v>0</v>
      </c>
      <c r="H163" s="18">
        <f ca="1">IF($A163="","",Data!AC163)</f>
        <v>0</v>
      </c>
      <c r="I163" s="18">
        <f ca="1">IF($A163="","",INT(SUMIFS(Data!$AN$4:$AN$183,Data!$AM$4:$AM$183,$B163,Data!$AL$4:$AL$183,$A163,Data!$AK$4:$AK$183,$C163))+MOD(ROUND(SUMIFS(Data!$AN$4:$AN$183,Data!$AM$4:$AM$183,$B163,Data!$AL$4:$AL$183,$A163,Data!$AK$4:$AK$183,$C163)*3,0),3)/10)</f>
        <v>0</v>
      </c>
      <c r="J163" s="18">
        <f ca="1">IF($A163="","",SUMIFS(Data!$AQ$4:$AQ$183,Data!$AM$4:$AM$183,$B163,Data!$AL$4:$AL$183,$A163,Data!$AK$4:$AK$183,$C163))</f>
        <v>0</v>
      </c>
      <c r="K163" s="62">
        <f ca="1">IF($A163="","",IF(SUMIFS(Data!$AN$4:$AN$183,Data!$AM$4:$AM$183,$B163,Data!$AL$4:$AL$183,$A163,Data!$AK$4:$AK$183,$C163)=0,"",J163*3/SUMIFS(Data!$AN$4:$AN$183,Data!$AM$4:$AM$183,$B163,Data!$AL$4:$AL$183,$A163,Data!$AK$4:$AK$183,$C163)))</f>
      </c>
      <c r="L163" s="18">
        <f ca="1">IF($A163="","",IF(IFERROR(_xlfn.XLOOKUP($C163,Bracket!$F$6:$F$16,Bracket!$K$6:$K$16,""),"")=$B163,1,0))</f>
        <v>0</v>
      </c>
      <c r="M163" s="18">
        <f ca="1">IF($A163="","",IF(AND(IFERROR(_xlfn.XLOOKUP($C163,Bracket!$F$6:$F$16,Bracket!$K$6:$K$16,""),"")=$B163,LEFT(IFERROR(_xlfn.XLOOKUP($C163,Bracket!$F$6:$F$16,Bracket!$G$6:$G$16,""),""),2)="CG"),1,0))</f>
        <v>0</v>
      </c>
      <c r="N163" s="18">
        <f ca="1">IF($A163="","",SUMIFS(Data!$X$4:$X$273,Data!$T$4:$T$273,$A163,Data!$U$4:$U$273,$B163,Data!$S$4:$S$273,$C163))</f>
        <v>0</v>
      </c>
      <c r="O163" s="18">
        <f ca="1">IF($A163="","",SUMIFS(Data!$Z$4:$Z$273,Data!$T$4:$T$273,$A163,Data!$U$4:$U$273,$B163,Data!$S$4:$S$273,$C163))</f>
        <v>0</v>
      </c>
      <c r="P163" s="18">
        <f ca="1">IF($A163="","",SUMIFS(Data!$AA$4:$AA$273,Data!$T$4:$T$273,$A163,Data!$U$4:$U$273,$B163,Data!$S$4:$S$273,$C163))</f>
        <v>0</v>
      </c>
      <c r="Q163" s="18">
        <f ca="1">IF($A163="","",SUMIFS(Data!$AD$4:$AD$273,Data!$T$4:$T$273,$A163,Data!$U$4:$U$273,$B163,Data!$S$4:$S$273,$C163))</f>
        <v>0</v>
      </c>
      <c r="R163" s="18">
        <f ca="1">IF($A163="","",SUMIFS(Data!$AE$4:$AE$273,Data!$T$4:$T$273,$A163,Data!$U$4:$U$273,$B163,Data!$S$4:$S$273,$C163))</f>
        <v>0</v>
      </c>
      <c r="S163" s="18">
        <f ca="1">IF($A163="","",SUMIFS(Data!$AF$4:$AF$273,Data!$T$4:$T$273,$A163,Data!$U$4:$U$273,$B163,Data!$S$4:$S$273,$C163))</f>
        <v>0</v>
      </c>
      <c r="T163" s="18">
        <f ca="1">IF($A163="","",SUMIFS(Data!$AG$4:$AG$273,Data!$T$4:$T$273,$A163,Data!$U$4:$U$273,$B163,Data!$S$4:$S$273,$C163))</f>
        <v>0</v>
      </c>
      <c r="U163" s="18">
        <f ca="1">IF($A163="","",SUMIFS(Data!$AH$4:$AH$273,Data!$T$4:$T$273,$A163,Data!$U$4:$U$273,$B163,Data!$S$4:$S$273,$C163))</f>
        <v>0</v>
      </c>
      <c r="V163" s="18">
        <f ca="1">IF($A163="","",SUMIFS(Data!$AO$4:$AO$183,Data!$AM$4:$AM$183,$B163,Data!$AL$4:$AL$183,$A163,Data!$AK$4:$AK$183,$C163))</f>
        <v>0</v>
      </c>
      <c r="W163" s="18">
        <f ca="1">IF($A163="","",SUMIFS(Data!$AP$4:$AP$183,Data!$AM$4:$AM$183,$B163,Data!$AL$4:$AL$183,$A163,Data!$AK$4:$AK$183,$C163))</f>
        <v>0</v>
      </c>
      <c r="X163" s="18">
        <f ca="1">IF($A163="","",SUMIFS(Data!$AR$4:$AR$183,Data!$AM$4:$AM$183,$B163,Data!$AL$4:$AL$183,$A163,Data!$AK$4:$AK$183,$C163))</f>
        <v>0</v>
      </c>
      <c r="Y163" s="18">
        <f ca="1">IF($A163="","",SUMIFS(Data!$AS$4:$AS$183,Data!$AM$4:$AM$183,$B163,Data!$AL$4:$AL$183,$A163,Data!$AK$4:$AK$183,$C163))</f>
        <v>0</v>
      </c>
      <c r="Z163" s="18">
        <f ca="1">IF($A163="","",SUMIFS(Data!$AT$4:$AT$183,Data!$AM$4:$AM$183,$B163,Data!$AL$4:$AL$183,$A163,Data!$AK$4:$AK$183,$C163))</f>
        <v>0</v>
      </c>
      <c r="AA163" s="18">
        <f ca="1">IF($A163="","",SUMIFS(Data!$AW$4:$AW$183,Data!$AM$4:$AM$183,$B163,Data!$AL$4:$AL$183,$A163,Data!$AK$4:$AK$183,$C163))</f>
        <v>0</v>
      </c>
      <c r="AB163" s="18">
        <f ca="1">IF($A163="","",SUMIFS(Data!$AX$4:$AX$183,Data!$AM$4:$AM$183,$B163,Data!$AL$4:$AL$183,$A163,Data!$AK$4:$AK$183,$C163))</f>
        <v>0</v>
      </c>
      <c r="AC163" s="18">
        <f ca="1">IF($A163="","",SUMIFS(Data!$AY$4:$AY$183,Data!$AM$4:$AM$183,$B163,Data!$AL$4:$AL$183,$A163,Data!$AK$4:$AK$183,$C163))</f>
        <v>0</v>
      </c>
      <c r="AD163" s="18">
        <f t="shared" ca="1" si="5"/>
        <v>0</v>
      </c>
      <c r="AE163" s="18">
        <f ca="1">IF($A163="","",SUMIFS(Data!$AJ$4:$AJ$183,Data!$AM$4:$AM$183,$B163,Data!$AL$4:$AL$183,$A163,Data!$AK$4:$AK$183,$C163))</f>
        <v>0</v>
      </c>
    </row>
    <row r="164" spans="1:31">
      <c r="A164" s="18" t="str">
        <f ca="1">IF(Data!T164="","",Data!T164)</f>
        <v>May</v>
      </c>
      <c r="B164" s="18" t="str">
        <f ca="1">IF(Data!U164="","",Data!U164)</f>
        <v>Green Shy Guy</v>
      </c>
      <c r="C164" s="18" t="str">
        <f ca="1">IF(Data!S164="","",Data!S164)</f>
        <v>G9</v>
      </c>
      <c r="D164" s="18">
        <f ca="1">IF($A164="","",Data!W164)</f>
        <v>1</v>
      </c>
      <c r="E164" s="18">
        <f ca="1">IF($A164="","",Data!Y164)</f>
        <v>0</v>
      </c>
      <c r="F164" s="61">
        <f t="shared" ca="1" si="4"/>
        <v>0.0</v>
      </c>
      <c r="G164" s="18">
        <f ca="1">IF($A164="","",Data!AB164)</f>
        <v>0</v>
      </c>
      <c r="H164" s="18">
        <f ca="1">IF($A164="","",Data!AC164)</f>
        <v>0</v>
      </c>
      <c r="I164" s="18">
        <f ca="1">IF($A164="","",INT(SUMIFS(Data!$AN$4:$AN$183,Data!$AM$4:$AM$183,$B164,Data!$AL$4:$AL$183,$A164,Data!$AK$4:$AK$183,$C164))+MOD(ROUND(SUMIFS(Data!$AN$4:$AN$183,Data!$AM$4:$AM$183,$B164,Data!$AL$4:$AL$183,$A164,Data!$AK$4:$AK$183,$C164)*3,0),3)/10)</f>
        <v>0</v>
      </c>
      <c r="J164" s="18">
        <f ca="1">IF($A164="","",SUMIFS(Data!$AQ$4:$AQ$183,Data!$AM$4:$AM$183,$B164,Data!$AL$4:$AL$183,$A164,Data!$AK$4:$AK$183,$C164))</f>
        <v>0</v>
      </c>
      <c r="K164" s="62">
        <f ca="1">IF($A164="","",IF(SUMIFS(Data!$AN$4:$AN$183,Data!$AM$4:$AM$183,$B164,Data!$AL$4:$AL$183,$A164,Data!$AK$4:$AK$183,$C164)=0,"",J164*3/SUMIFS(Data!$AN$4:$AN$183,Data!$AM$4:$AM$183,$B164,Data!$AL$4:$AL$183,$A164,Data!$AK$4:$AK$183,$C164)))</f>
      </c>
      <c r="L164" s="18">
        <f ca="1">IF($A164="","",IF(IFERROR(_xlfn.XLOOKUP($C164,Bracket!$F$6:$F$16,Bracket!$K$6:$K$16,""),"")=$B164,1,0))</f>
        <v>0</v>
      </c>
      <c r="M164" s="18">
        <f ca="1">IF($A164="","",IF(AND(IFERROR(_xlfn.XLOOKUP($C164,Bracket!$F$6:$F$16,Bracket!$K$6:$K$16,""),"")=$B164,LEFT(IFERROR(_xlfn.XLOOKUP($C164,Bracket!$F$6:$F$16,Bracket!$G$6:$G$16,""),""),2)="CG"),1,0))</f>
        <v>0</v>
      </c>
      <c r="N164" s="18">
        <f ca="1">IF($A164="","",SUMIFS(Data!$X$4:$X$273,Data!$T$4:$T$273,$A164,Data!$U$4:$U$273,$B164,Data!$S$4:$S$273,$C164))</f>
        <v>0</v>
      </c>
      <c r="O164" s="18">
        <f ca="1">IF($A164="","",SUMIFS(Data!$Z$4:$Z$273,Data!$T$4:$T$273,$A164,Data!$U$4:$U$273,$B164,Data!$S$4:$S$273,$C164))</f>
        <v>0</v>
      </c>
      <c r="P164" s="18">
        <f ca="1">IF($A164="","",SUMIFS(Data!$AA$4:$AA$273,Data!$T$4:$T$273,$A164,Data!$U$4:$U$273,$B164,Data!$S$4:$S$273,$C164))</f>
        <v>0</v>
      </c>
      <c r="Q164" s="18">
        <f ca="1">IF($A164="","",SUMIFS(Data!$AD$4:$AD$273,Data!$T$4:$T$273,$A164,Data!$U$4:$U$273,$B164,Data!$S$4:$S$273,$C164))</f>
        <v>0</v>
      </c>
      <c r="R164" s="18">
        <f ca="1">IF($A164="","",SUMIFS(Data!$AE$4:$AE$273,Data!$T$4:$T$273,$A164,Data!$U$4:$U$273,$B164,Data!$S$4:$S$273,$C164))</f>
        <v>0</v>
      </c>
      <c r="S164" s="18">
        <f ca="1">IF($A164="","",SUMIFS(Data!$AF$4:$AF$273,Data!$T$4:$T$273,$A164,Data!$U$4:$U$273,$B164,Data!$S$4:$S$273,$C164))</f>
        <v>0</v>
      </c>
      <c r="T164" s="18">
        <f ca="1">IF($A164="","",SUMIFS(Data!$AG$4:$AG$273,Data!$T$4:$T$273,$A164,Data!$U$4:$U$273,$B164,Data!$S$4:$S$273,$C164))</f>
        <v>0</v>
      </c>
      <c r="U164" s="18">
        <f ca="1">IF($A164="","",SUMIFS(Data!$AH$4:$AH$273,Data!$T$4:$T$273,$A164,Data!$U$4:$U$273,$B164,Data!$S$4:$S$273,$C164))</f>
        <v>0</v>
      </c>
      <c r="V164" s="18">
        <f ca="1">IF($A164="","",SUMIFS(Data!$AO$4:$AO$183,Data!$AM$4:$AM$183,$B164,Data!$AL$4:$AL$183,$A164,Data!$AK$4:$AK$183,$C164))</f>
        <v>0</v>
      </c>
      <c r="W164" s="18">
        <f ca="1">IF($A164="","",SUMIFS(Data!$AP$4:$AP$183,Data!$AM$4:$AM$183,$B164,Data!$AL$4:$AL$183,$A164,Data!$AK$4:$AK$183,$C164))</f>
        <v>0</v>
      </c>
      <c r="X164" s="18">
        <f ca="1">IF($A164="","",SUMIFS(Data!$AR$4:$AR$183,Data!$AM$4:$AM$183,$B164,Data!$AL$4:$AL$183,$A164,Data!$AK$4:$AK$183,$C164))</f>
        <v>0</v>
      </c>
      <c r="Y164" s="18">
        <f ca="1">IF($A164="","",SUMIFS(Data!$AS$4:$AS$183,Data!$AM$4:$AM$183,$B164,Data!$AL$4:$AL$183,$A164,Data!$AK$4:$AK$183,$C164))</f>
        <v>0</v>
      </c>
      <c r="Z164" s="18">
        <f ca="1">IF($A164="","",SUMIFS(Data!$AT$4:$AT$183,Data!$AM$4:$AM$183,$B164,Data!$AL$4:$AL$183,$A164,Data!$AK$4:$AK$183,$C164))</f>
        <v>0</v>
      </c>
      <c r="AA164" s="18">
        <f ca="1">IF($A164="","",SUMIFS(Data!$AW$4:$AW$183,Data!$AM$4:$AM$183,$B164,Data!$AL$4:$AL$183,$A164,Data!$AK$4:$AK$183,$C164))</f>
        <v>0</v>
      </c>
      <c r="AB164" s="18">
        <f ca="1">IF($A164="","",SUMIFS(Data!$AX$4:$AX$183,Data!$AM$4:$AM$183,$B164,Data!$AL$4:$AL$183,$A164,Data!$AK$4:$AK$183,$C164))</f>
        <v>0</v>
      </c>
      <c r="AC164" s="18">
        <f ca="1">IF($A164="","",SUMIFS(Data!$AY$4:$AY$183,Data!$AM$4:$AM$183,$B164,Data!$AL$4:$AL$183,$A164,Data!$AK$4:$AK$183,$C164))</f>
        <v>0</v>
      </c>
      <c r="AD164" s="18">
        <f t="shared" ca="1" si="5"/>
        <v>0</v>
      </c>
      <c r="AE164" s="18">
        <f ca="1">IF($A164="","",SUMIFS(Data!$AJ$4:$AJ$183,Data!$AM$4:$AM$183,$B164,Data!$AL$4:$AL$183,$A164,Data!$AK$4:$AK$183,$C164))</f>
        <v>0</v>
      </c>
    </row>
    <row r="165" spans="1:31">
      <c r="A165" s="18" t="str">
        <f ca="1">IF(Data!T165="","",Data!T165)</f>
        <v>May</v>
      </c>
      <c r="B165" s="18" t="str">
        <f ca="1">IF(Data!U165="","",Data!U165)</f>
        <v>Baby Peach</v>
      </c>
      <c r="C165" s="18" t="str">
        <f ca="1">IF(Data!S165="","",Data!S165)</f>
        <v>G9</v>
      </c>
      <c r="D165" s="18">
        <f ca="1">IF($A165="","",Data!W165)</f>
        <v>1</v>
      </c>
      <c r="E165" s="18">
        <f ca="1">IF($A165="","",Data!Y165)</f>
        <v>0</v>
      </c>
      <c r="F165" s="61">
        <f t="shared" ca="1" si="4"/>
        <v>0.0</v>
      </c>
      <c r="G165" s="18">
        <f ca="1">IF($A165="","",Data!AB165)</f>
        <v>0</v>
      </c>
      <c r="H165" s="18">
        <f ca="1">IF($A165="","",Data!AC165)</f>
        <v>0</v>
      </c>
      <c r="I165" s="18">
        <f ca="1">IF($A165="","",INT(SUMIFS(Data!$AN$4:$AN$183,Data!$AM$4:$AM$183,$B165,Data!$AL$4:$AL$183,$A165,Data!$AK$4:$AK$183,$C165))+MOD(ROUND(SUMIFS(Data!$AN$4:$AN$183,Data!$AM$4:$AM$183,$B165,Data!$AL$4:$AL$183,$A165,Data!$AK$4:$AK$183,$C165)*3,0),3)/10)</f>
        <v>0</v>
      </c>
      <c r="J165" s="18">
        <f ca="1">IF($A165="","",SUMIFS(Data!$AQ$4:$AQ$183,Data!$AM$4:$AM$183,$B165,Data!$AL$4:$AL$183,$A165,Data!$AK$4:$AK$183,$C165))</f>
        <v>0</v>
      </c>
      <c r="K165" s="62">
        <f ca="1">IF($A165="","",IF(SUMIFS(Data!$AN$4:$AN$183,Data!$AM$4:$AM$183,$B165,Data!$AL$4:$AL$183,$A165,Data!$AK$4:$AK$183,$C165)=0,"",J165*3/SUMIFS(Data!$AN$4:$AN$183,Data!$AM$4:$AM$183,$B165,Data!$AL$4:$AL$183,$A165,Data!$AK$4:$AK$183,$C165)))</f>
      </c>
      <c r="L165" s="18">
        <f ca="1">IF($A165="","",IF(IFERROR(_xlfn.XLOOKUP($C165,Bracket!$F$6:$F$16,Bracket!$K$6:$K$16,""),"")=$B165,1,0))</f>
        <v>0</v>
      </c>
      <c r="M165" s="18">
        <f ca="1">IF($A165="","",IF(AND(IFERROR(_xlfn.XLOOKUP($C165,Bracket!$F$6:$F$16,Bracket!$K$6:$K$16,""),"")=$B165,LEFT(IFERROR(_xlfn.XLOOKUP($C165,Bracket!$F$6:$F$16,Bracket!$G$6:$G$16,""),""),2)="CG"),1,0))</f>
        <v>0</v>
      </c>
      <c r="N165" s="18">
        <f ca="1">IF($A165="","",SUMIFS(Data!$X$4:$X$273,Data!$T$4:$T$273,$A165,Data!$U$4:$U$273,$B165,Data!$S$4:$S$273,$C165))</f>
        <v>0</v>
      </c>
      <c r="O165" s="18">
        <f ca="1">IF($A165="","",SUMIFS(Data!$Z$4:$Z$273,Data!$T$4:$T$273,$A165,Data!$U$4:$U$273,$B165,Data!$S$4:$S$273,$C165))</f>
        <v>0</v>
      </c>
      <c r="P165" s="18">
        <f ca="1">IF($A165="","",SUMIFS(Data!$AA$4:$AA$273,Data!$T$4:$T$273,$A165,Data!$U$4:$U$273,$B165,Data!$S$4:$S$273,$C165))</f>
        <v>0</v>
      </c>
      <c r="Q165" s="18">
        <f ca="1">IF($A165="","",SUMIFS(Data!$AD$4:$AD$273,Data!$T$4:$T$273,$A165,Data!$U$4:$U$273,$B165,Data!$S$4:$S$273,$C165))</f>
        <v>0</v>
      </c>
      <c r="R165" s="18">
        <f ca="1">IF($A165="","",SUMIFS(Data!$AE$4:$AE$273,Data!$T$4:$T$273,$A165,Data!$U$4:$U$273,$B165,Data!$S$4:$S$273,$C165))</f>
        <v>0</v>
      </c>
      <c r="S165" s="18">
        <f ca="1">IF($A165="","",SUMIFS(Data!$AF$4:$AF$273,Data!$T$4:$T$273,$A165,Data!$U$4:$U$273,$B165,Data!$S$4:$S$273,$C165))</f>
        <v>0</v>
      </c>
      <c r="T165" s="18">
        <f ca="1">IF($A165="","",SUMIFS(Data!$AG$4:$AG$273,Data!$T$4:$T$273,$A165,Data!$U$4:$U$273,$B165,Data!$S$4:$S$273,$C165))</f>
        <v>0</v>
      </c>
      <c r="U165" s="18">
        <f ca="1">IF($A165="","",SUMIFS(Data!$AH$4:$AH$273,Data!$T$4:$T$273,$A165,Data!$U$4:$U$273,$B165,Data!$S$4:$S$273,$C165))</f>
        <v>0</v>
      </c>
      <c r="V165" s="18">
        <f ca="1">IF($A165="","",SUMIFS(Data!$AO$4:$AO$183,Data!$AM$4:$AM$183,$B165,Data!$AL$4:$AL$183,$A165,Data!$AK$4:$AK$183,$C165))</f>
        <v>0</v>
      </c>
      <c r="W165" s="18">
        <f ca="1">IF($A165="","",SUMIFS(Data!$AP$4:$AP$183,Data!$AM$4:$AM$183,$B165,Data!$AL$4:$AL$183,$A165,Data!$AK$4:$AK$183,$C165))</f>
        <v>0</v>
      </c>
      <c r="X165" s="18">
        <f ca="1">IF($A165="","",SUMIFS(Data!$AR$4:$AR$183,Data!$AM$4:$AM$183,$B165,Data!$AL$4:$AL$183,$A165,Data!$AK$4:$AK$183,$C165))</f>
        <v>0</v>
      </c>
      <c r="Y165" s="18">
        <f ca="1">IF($A165="","",SUMIFS(Data!$AS$4:$AS$183,Data!$AM$4:$AM$183,$B165,Data!$AL$4:$AL$183,$A165,Data!$AK$4:$AK$183,$C165))</f>
        <v>0</v>
      </c>
      <c r="Z165" s="18">
        <f ca="1">IF($A165="","",SUMIFS(Data!$AT$4:$AT$183,Data!$AM$4:$AM$183,$B165,Data!$AL$4:$AL$183,$A165,Data!$AK$4:$AK$183,$C165))</f>
        <v>0</v>
      </c>
      <c r="AA165" s="18">
        <f ca="1">IF($A165="","",SUMIFS(Data!$AW$4:$AW$183,Data!$AM$4:$AM$183,$B165,Data!$AL$4:$AL$183,$A165,Data!$AK$4:$AK$183,$C165))</f>
        <v>0</v>
      </c>
      <c r="AB165" s="18">
        <f ca="1">IF($A165="","",SUMIFS(Data!$AX$4:$AX$183,Data!$AM$4:$AM$183,$B165,Data!$AL$4:$AL$183,$A165,Data!$AK$4:$AK$183,$C165))</f>
        <v>0</v>
      </c>
      <c r="AC165" s="18">
        <f ca="1">IF($A165="","",SUMIFS(Data!$AY$4:$AY$183,Data!$AM$4:$AM$183,$B165,Data!$AL$4:$AL$183,$A165,Data!$AK$4:$AK$183,$C165))</f>
        <v>0</v>
      </c>
      <c r="AD165" s="18">
        <f t="shared" ca="1" si="5"/>
        <v>0</v>
      </c>
      <c r="AE165" s="18">
        <f ca="1">IF($A165="","",SUMIFS(Data!$AJ$4:$AJ$183,Data!$AM$4:$AM$183,$B165,Data!$AL$4:$AL$183,$A165,Data!$AK$4:$AK$183,$C165))</f>
        <v>0</v>
      </c>
    </row>
    <row r="166" spans="1:31">
      <c r="A166" s="18" t="str">
        <f ca="1">IF(Data!T166="","",Data!T166)</f>
        <v>Nick</v>
      </c>
      <c r="B166" s="18" t="str">
        <f ca="1">IF(Data!U166="","",Data!U166)</f>
        <v>Monty Mole</v>
      </c>
      <c r="C166" s="18" t="str">
        <f ca="1">IF(Data!S166="","",Data!S166)</f>
        <v>G10</v>
      </c>
      <c r="D166" s="18">
        <f ca="1">IF($A166="","",Data!W166)</f>
        <v>2</v>
      </c>
      <c r="E166" s="18">
        <f ca="1">IF($A166="","",Data!Y166)</f>
        <v>0</v>
      </c>
      <c r="F166" s="61">
        <f t="shared" ca="1" si="4"/>
        <v>0.0</v>
      </c>
      <c r="G166" s="18">
        <f ca="1">IF($A166="","",Data!AB166)</f>
        <v>0</v>
      </c>
      <c r="H166" s="18">
        <f ca="1">IF($A166="","",Data!AC166)</f>
        <v>0</v>
      </c>
      <c r="I166" s="18">
        <f ca="1">IF($A166="","",INT(SUMIFS(Data!$AN$4:$AN$183,Data!$AM$4:$AM$183,$B166,Data!$AL$4:$AL$183,$A166,Data!$AK$4:$AK$183,$C166))+MOD(ROUND(SUMIFS(Data!$AN$4:$AN$183,Data!$AM$4:$AM$183,$B166,Data!$AL$4:$AL$183,$A166,Data!$AK$4:$AK$183,$C166)*3,0),3)/10)</f>
        <v>0</v>
      </c>
      <c r="J166" s="18">
        <f ca="1">IF($A166="","",SUMIFS(Data!$AQ$4:$AQ$183,Data!$AM$4:$AM$183,$B166,Data!$AL$4:$AL$183,$A166,Data!$AK$4:$AK$183,$C166))</f>
        <v>0</v>
      </c>
      <c r="K166" s="62">
        <f ca="1">IF($A166="","",IF(SUMIFS(Data!$AN$4:$AN$183,Data!$AM$4:$AM$183,$B166,Data!$AL$4:$AL$183,$A166,Data!$AK$4:$AK$183,$C166)=0,"",J166*3/SUMIFS(Data!$AN$4:$AN$183,Data!$AM$4:$AM$183,$B166,Data!$AL$4:$AL$183,$A166,Data!$AK$4:$AK$183,$C166)))</f>
      </c>
      <c r="L166" s="18">
        <f ca="1">IF($A166="","",IF(IFERROR(_xlfn.XLOOKUP($C166,Bracket!$F$6:$F$16,Bracket!$K$6:$K$16,""),"")=$B166,1,0))</f>
        <v>0</v>
      </c>
      <c r="M166" s="18">
        <f ca="1">IF($A166="","",IF(AND(IFERROR(_xlfn.XLOOKUP($C166,Bracket!$F$6:$F$16,Bracket!$K$6:$K$16,""),"")=$B166,LEFT(IFERROR(_xlfn.XLOOKUP($C166,Bracket!$F$6:$F$16,Bracket!$G$6:$G$16,""),""),2)="CG"),1,0))</f>
        <v>0</v>
      </c>
      <c r="N166" s="18">
        <f ca="1">IF($A166="","",SUMIFS(Data!$X$4:$X$273,Data!$T$4:$T$273,$A166,Data!$U$4:$U$273,$B166,Data!$S$4:$S$273,$C166))</f>
        <v>0</v>
      </c>
      <c r="O166" s="18">
        <f ca="1">IF($A166="","",SUMIFS(Data!$Z$4:$Z$273,Data!$T$4:$T$273,$A166,Data!$U$4:$U$273,$B166,Data!$S$4:$S$273,$C166))</f>
        <v>0</v>
      </c>
      <c r="P166" s="18">
        <f ca="1">IF($A166="","",SUMIFS(Data!$AA$4:$AA$273,Data!$T$4:$T$273,$A166,Data!$U$4:$U$273,$B166,Data!$S$4:$S$273,$C166))</f>
        <v>0</v>
      </c>
      <c r="Q166" s="18">
        <f ca="1">IF($A166="","",SUMIFS(Data!$AD$4:$AD$273,Data!$T$4:$T$273,$A166,Data!$U$4:$U$273,$B166,Data!$S$4:$S$273,$C166))</f>
        <v>0</v>
      </c>
      <c r="R166" s="18">
        <f ca="1">IF($A166="","",SUMIFS(Data!$AE$4:$AE$273,Data!$T$4:$T$273,$A166,Data!$U$4:$U$273,$B166,Data!$S$4:$S$273,$C166))</f>
        <v>1</v>
      </c>
      <c r="S166" s="18">
        <f ca="1">IF($A166="","",SUMIFS(Data!$AF$4:$AF$273,Data!$T$4:$T$273,$A166,Data!$U$4:$U$273,$B166,Data!$S$4:$S$273,$C166))</f>
        <v>0</v>
      </c>
      <c r="T166" s="18">
        <f ca="1">IF($A166="","",SUMIFS(Data!$AG$4:$AG$273,Data!$T$4:$T$273,$A166,Data!$U$4:$U$273,$B166,Data!$S$4:$S$273,$C166))</f>
        <v>0</v>
      </c>
      <c r="U166" s="18">
        <f ca="1">IF($A166="","",SUMIFS(Data!$AH$4:$AH$273,Data!$T$4:$T$273,$A166,Data!$U$4:$U$273,$B166,Data!$S$4:$S$273,$C166))</f>
        <v>0</v>
      </c>
      <c r="V166" s="18">
        <f ca="1">IF($A166="","",SUMIFS(Data!$AO$4:$AO$183,Data!$AM$4:$AM$183,$B166,Data!$AL$4:$AL$183,$A166,Data!$AK$4:$AK$183,$C166))</f>
        <v>0</v>
      </c>
      <c r="W166" s="18">
        <f ca="1">IF($A166="","",SUMIFS(Data!$AP$4:$AP$183,Data!$AM$4:$AM$183,$B166,Data!$AL$4:$AL$183,$A166,Data!$AK$4:$AK$183,$C166))</f>
        <v>0</v>
      </c>
      <c r="X166" s="18">
        <f ca="1">IF($A166="","",SUMIFS(Data!$AR$4:$AR$183,Data!$AM$4:$AM$183,$B166,Data!$AL$4:$AL$183,$A166,Data!$AK$4:$AK$183,$C166))</f>
        <v>0</v>
      </c>
      <c r="Y166" s="18">
        <f ca="1">IF($A166="","",SUMIFS(Data!$AS$4:$AS$183,Data!$AM$4:$AM$183,$B166,Data!$AL$4:$AL$183,$A166,Data!$AK$4:$AK$183,$C166))</f>
        <v>0</v>
      </c>
      <c r="Z166" s="18">
        <f ca="1">IF($A166="","",SUMIFS(Data!$AT$4:$AT$183,Data!$AM$4:$AM$183,$B166,Data!$AL$4:$AL$183,$A166,Data!$AK$4:$AK$183,$C166))</f>
        <v>0</v>
      </c>
      <c r="AA166" s="18">
        <f ca="1">IF($A166="","",SUMIFS(Data!$AW$4:$AW$183,Data!$AM$4:$AM$183,$B166,Data!$AL$4:$AL$183,$A166,Data!$AK$4:$AK$183,$C166))</f>
        <v>0</v>
      </c>
      <c r="AB166" s="18">
        <f ca="1">IF($A166="","",SUMIFS(Data!$AX$4:$AX$183,Data!$AM$4:$AM$183,$B166,Data!$AL$4:$AL$183,$A166,Data!$AK$4:$AK$183,$C166))</f>
        <v>0</v>
      </c>
      <c r="AC166" s="18">
        <f ca="1">IF($A166="","",SUMIFS(Data!$AY$4:$AY$183,Data!$AM$4:$AM$183,$B166,Data!$AL$4:$AL$183,$A166,Data!$AK$4:$AK$183,$C166))</f>
        <v>0</v>
      </c>
      <c r="AD166" s="18">
        <f t="shared" ca="1" si="5"/>
        <v>0</v>
      </c>
      <c r="AE166" s="18">
        <f ca="1">IF($A166="","",SUMIFS(Data!$AJ$4:$AJ$183,Data!$AM$4:$AM$183,$B166,Data!$AL$4:$AL$183,$A166,Data!$AK$4:$AK$183,$C166))</f>
        <v>0</v>
      </c>
    </row>
    <row r="167" spans="1:31">
      <c r="A167" s="18" t="str">
        <f ca="1">IF(Data!T167="","",Data!T167)</f>
        <v>Nick</v>
      </c>
      <c r="B167" s="18" t="str">
        <f ca="1">IF(Data!U167="","",Data!U167)</f>
        <v>Green Dry Bones</v>
      </c>
      <c r="C167" s="18" t="str">
        <f ca="1">IF(Data!S167="","",Data!S167)</f>
        <v>G10</v>
      </c>
      <c r="D167" s="18">
        <f ca="1">IF($A167="","",Data!W167)</f>
        <v>1</v>
      </c>
      <c r="E167" s="18">
        <f ca="1">IF($A167="","",Data!Y167)</f>
        <v>0</v>
      </c>
      <c r="F167" s="61">
        <f t="shared" ca="1" si="4"/>
        <v>0.0</v>
      </c>
      <c r="G167" s="18">
        <f ca="1">IF($A167="","",Data!AB167)</f>
        <v>0</v>
      </c>
      <c r="H167" s="18">
        <f ca="1">IF($A167="","",Data!AC167)</f>
        <v>0</v>
      </c>
      <c r="I167" s="18">
        <f ca="1">IF($A167="","",INT(SUMIFS(Data!$AN$4:$AN$183,Data!$AM$4:$AM$183,$B167,Data!$AL$4:$AL$183,$A167,Data!$AK$4:$AK$183,$C167))+MOD(ROUND(SUMIFS(Data!$AN$4:$AN$183,Data!$AM$4:$AM$183,$B167,Data!$AL$4:$AL$183,$A167,Data!$AK$4:$AK$183,$C167)*3,0),3)/10)</f>
        <v>0</v>
      </c>
      <c r="J167" s="18">
        <f ca="1">IF($A167="","",SUMIFS(Data!$AQ$4:$AQ$183,Data!$AM$4:$AM$183,$B167,Data!$AL$4:$AL$183,$A167,Data!$AK$4:$AK$183,$C167))</f>
        <v>0</v>
      </c>
      <c r="K167" s="62">
        <f ca="1">IF($A167="","",IF(SUMIFS(Data!$AN$4:$AN$183,Data!$AM$4:$AM$183,$B167,Data!$AL$4:$AL$183,$A167,Data!$AK$4:$AK$183,$C167)=0,"",J167*3/SUMIFS(Data!$AN$4:$AN$183,Data!$AM$4:$AM$183,$B167,Data!$AL$4:$AL$183,$A167,Data!$AK$4:$AK$183,$C167)))</f>
      </c>
      <c r="L167" s="18">
        <f ca="1">IF($A167="","",IF(IFERROR(_xlfn.XLOOKUP($C167,Bracket!$F$6:$F$16,Bracket!$K$6:$K$16,""),"")=$B167,1,0))</f>
        <v>0</v>
      </c>
      <c r="M167" s="18">
        <f ca="1">IF($A167="","",IF(AND(IFERROR(_xlfn.XLOOKUP($C167,Bracket!$F$6:$F$16,Bracket!$K$6:$K$16,""),"")=$B167,LEFT(IFERROR(_xlfn.XLOOKUP($C167,Bracket!$F$6:$F$16,Bracket!$G$6:$G$16,""),""),2)="CG"),1,0))</f>
        <v>0</v>
      </c>
      <c r="N167" s="18">
        <f ca="1">IF($A167="","",SUMIFS(Data!$X$4:$X$273,Data!$T$4:$T$273,$A167,Data!$U$4:$U$273,$B167,Data!$S$4:$S$273,$C167))</f>
        <v>0</v>
      </c>
      <c r="O167" s="18">
        <f ca="1">IF($A167="","",SUMIFS(Data!$Z$4:$Z$273,Data!$T$4:$T$273,$A167,Data!$U$4:$U$273,$B167,Data!$S$4:$S$273,$C167))</f>
        <v>0</v>
      </c>
      <c r="P167" s="18">
        <f ca="1">IF($A167="","",SUMIFS(Data!$AA$4:$AA$273,Data!$T$4:$T$273,$A167,Data!$U$4:$U$273,$B167,Data!$S$4:$S$273,$C167))</f>
        <v>0</v>
      </c>
      <c r="Q167" s="18">
        <f ca="1">IF($A167="","",SUMIFS(Data!$AD$4:$AD$273,Data!$T$4:$T$273,$A167,Data!$U$4:$U$273,$B167,Data!$S$4:$S$273,$C167))</f>
        <v>0</v>
      </c>
      <c r="R167" s="18">
        <f ca="1">IF($A167="","",SUMIFS(Data!$AE$4:$AE$273,Data!$T$4:$T$273,$A167,Data!$U$4:$U$273,$B167,Data!$S$4:$S$273,$C167))</f>
        <v>0</v>
      </c>
      <c r="S167" s="18">
        <f ca="1">IF($A167="","",SUMIFS(Data!$AF$4:$AF$273,Data!$T$4:$T$273,$A167,Data!$U$4:$U$273,$B167,Data!$S$4:$S$273,$C167))</f>
        <v>1</v>
      </c>
      <c r="T167" s="18">
        <f ca="1">IF($A167="","",SUMIFS(Data!$AG$4:$AG$273,Data!$T$4:$T$273,$A167,Data!$U$4:$U$273,$B167,Data!$S$4:$S$273,$C167))</f>
        <v>0</v>
      </c>
      <c r="U167" s="18">
        <f ca="1">IF($A167="","",SUMIFS(Data!$AH$4:$AH$273,Data!$T$4:$T$273,$A167,Data!$U$4:$U$273,$B167,Data!$S$4:$S$273,$C167))</f>
        <v>0</v>
      </c>
      <c r="V167" s="18">
        <f ca="1">IF($A167="","",SUMIFS(Data!$AO$4:$AO$183,Data!$AM$4:$AM$183,$B167,Data!$AL$4:$AL$183,$A167,Data!$AK$4:$AK$183,$C167))</f>
        <v>0</v>
      </c>
      <c r="W167" s="18">
        <f ca="1">IF($A167="","",SUMIFS(Data!$AP$4:$AP$183,Data!$AM$4:$AM$183,$B167,Data!$AL$4:$AL$183,$A167,Data!$AK$4:$AK$183,$C167))</f>
        <v>0</v>
      </c>
      <c r="X167" s="18">
        <f ca="1">IF($A167="","",SUMIFS(Data!$AR$4:$AR$183,Data!$AM$4:$AM$183,$B167,Data!$AL$4:$AL$183,$A167,Data!$AK$4:$AK$183,$C167))</f>
        <v>0</v>
      </c>
      <c r="Y167" s="18">
        <f ca="1">IF($A167="","",SUMIFS(Data!$AS$4:$AS$183,Data!$AM$4:$AM$183,$B167,Data!$AL$4:$AL$183,$A167,Data!$AK$4:$AK$183,$C167))</f>
        <v>0</v>
      </c>
      <c r="Z167" s="18">
        <f ca="1">IF($A167="","",SUMIFS(Data!$AT$4:$AT$183,Data!$AM$4:$AM$183,$B167,Data!$AL$4:$AL$183,$A167,Data!$AK$4:$AK$183,$C167))</f>
        <v>0</v>
      </c>
      <c r="AA167" s="18">
        <f ca="1">IF($A167="","",SUMIFS(Data!$AW$4:$AW$183,Data!$AM$4:$AM$183,$B167,Data!$AL$4:$AL$183,$A167,Data!$AK$4:$AK$183,$C167))</f>
        <v>0</v>
      </c>
      <c r="AB167" s="18">
        <f ca="1">IF($A167="","",SUMIFS(Data!$AX$4:$AX$183,Data!$AM$4:$AM$183,$B167,Data!$AL$4:$AL$183,$A167,Data!$AK$4:$AK$183,$C167))</f>
        <v>0</v>
      </c>
      <c r="AC167" s="18">
        <f ca="1">IF($A167="","",SUMIFS(Data!$AY$4:$AY$183,Data!$AM$4:$AM$183,$B167,Data!$AL$4:$AL$183,$A167,Data!$AK$4:$AK$183,$C167))</f>
        <v>0</v>
      </c>
      <c r="AD167" s="18">
        <f t="shared" ca="1" si="5"/>
        <v>0</v>
      </c>
      <c r="AE167" s="18">
        <f ca="1">IF($A167="","",SUMIFS(Data!$AJ$4:$AJ$183,Data!$AM$4:$AM$183,$B167,Data!$AL$4:$AL$183,$A167,Data!$AK$4:$AK$183,$C167))</f>
        <v>0</v>
      </c>
    </row>
    <row r="168" spans="1:31">
      <c r="A168" s="18" t="str">
        <f ca="1">IF(Data!T168="","",Data!T168)</f>
        <v>Nick</v>
      </c>
      <c r="B168" s="18" t="str">
        <f ca="1">IF(Data!U168="","",Data!U168)</f>
        <v>Daisy</v>
      </c>
      <c r="C168" s="18" t="str">
        <f ca="1">IF(Data!S168="","",Data!S168)</f>
        <v>G10</v>
      </c>
      <c r="D168" s="18">
        <f ca="1">IF($A168="","",Data!W168)</f>
        <v>2</v>
      </c>
      <c r="E168" s="18">
        <f ca="1">IF($A168="","",Data!Y168)</f>
        <v>1</v>
      </c>
      <c r="F168" s="61">
        <f t="shared" ca="1" si="4"/>
        <v>0.5</v>
      </c>
      <c r="G168" s="18">
        <f ca="1">IF($A168="","",Data!AB168)</f>
        <v>0</v>
      </c>
      <c r="H168" s="18">
        <f ca="1">IF($A168="","",Data!AC168)</f>
        <v>0</v>
      </c>
      <c r="I168" s="18">
        <f ca="1">IF($A168="","",INT(SUMIFS(Data!$AN$4:$AN$183,Data!$AM$4:$AM$183,$B168,Data!$AL$4:$AL$183,$A168,Data!$AK$4:$AK$183,$C168))+MOD(ROUND(SUMIFS(Data!$AN$4:$AN$183,Data!$AM$4:$AM$183,$B168,Data!$AL$4:$AL$183,$A168,Data!$AK$4:$AK$183,$C168)*3,0),3)/10)</f>
        <v>2</v>
      </c>
      <c r="J168" s="18">
        <f ca="1">IF($A168="","",SUMIFS(Data!$AQ$4:$AQ$183,Data!$AM$4:$AM$183,$B168,Data!$AL$4:$AL$183,$A168,Data!$AK$4:$AK$183,$C168))</f>
        <v>0</v>
      </c>
      <c r="K168" s="62">
        <f ca="1">IF($A168="","",IF(SUMIFS(Data!$AN$4:$AN$183,Data!$AM$4:$AM$183,$B168,Data!$AL$4:$AL$183,$A168,Data!$AK$4:$AK$183,$C168)=0,"",J168*3/SUMIFS(Data!$AN$4:$AN$183,Data!$AM$4:$AM$183,$B168,Data!$AL$4:$AL$183,$A168,Data!$AK$4:$AK$183,$C168)))</f>
        <v>0.0</v>
      </c>
      <c r="L168" s="18">
        <f ca="1">IF($A168="","",IF(IFERROR(_xlfn.XLOOKUP($C168,Bracket!$F$6:$F$16,Bracket!$K$6:$K$16,""),"")=$B168,1,0))</f>
        <v>0</v>
      </c>
      <c r="M168" s="18">
        <f ca="1">IF($A168="","",IF(AND(IFERROR(_xlfn.XLOOKUP($C168,Bracket!$F$6:$F$16,Bracket!$K$6:$K$16,""),"")=$B168,LEFT(IFERROR(_xlfn.XLOOKUP($C168,Bracket!$F$6:$F$16,Bracket!$G$6:$G$16,""),""),2)="CG"),1,0))</f>
        <v>0</v>
      </c>
      <c r="N168" s="18">
        <f ca="1">IF($A168="","",SUMIFS(Data!$X$4:$X$273,Data!$T$4:$T$273,$A168,Data!$U$4:$U$273,$B168,Data!$S$4:$S$273,$C168))</f>
        <v>0</v>
      </c>
      <c r="O168" s="18">
        <f ca="1">IF($A168="","",SUMIFS(Data!$Z$4:$Z$273,Data!$T$4:$T$273,$A168,Data!$U$4:$U$273,$B168,Data!$S$4:$S$273,$C168))</f>
        <v>0</v>
      </c>
      <c r="P168" s="18">
        <f ca="1">IF($A168="","",SUMIFS(Data!$AA$4:$AA$273,Data!$T$4:$T$273,$A168,Data!$U$4:$U$273,$B168,Data!$S$4:$S$273,$C168))</f>
        <v>0</v>
      </c>
      <c r="Q168" s="18">
        <f ca="1">IF($A168="","",SUMIFS(Data!$AD$4:$AD$273,Data!$T$4:$T$273,$A168,Data!$U$4:$U$273,$B168,Data!$S$4:$S$273,$C168))</f>
        <v>0</v>
      </c>
      <c r="R168" s="18">
        <f ca="1">IF($A168="","",SUMIFS(Data!$AE$4:$AE$273,Data!$T$4:$T$273,$A168,Data!$U$4:$U$273,$B168,Data!$S$4:$S$273,$C168))</f>
        <v>1</v>
      </c>
      <c r="S168" s="18">
        <f ca="1">IF($A168="","",SUMIFS(Data!$AF$4:$AF$273,Data!$T$4:$T$273,$A168,Data!$U$4:$U$273,$B168,Data!$S$4:$S$273,$C168))</f>
        <v>0</v>
      </c>
      <c r="T168" s="18">
        <f ca="1">IF($A168="","",SUMIFS(Data!$AG$4:$AG$273,Data!$T$4:$T$273,$A168,Data!$U$4:$U$273,$B168,Data!$S$4:$S$273,$C168))</f>
        <v>0</v>
      </c>
      <c r="U168" s="18">
        <f ca="1">IF($A168="","",SUMIFS(Data!$AH$4:$AH$273,Data!$T$4:$T$273,$A168,Data!$U$4:$U$273,$B168,Data!$S$4:$S$273,$C168))</f>
        <v>0</v>
      </c>
      <c r="V168" s="18">
        <f ca="1">IF($A168="","",SUMIFS(Data!$AO$4:$AO$183,Data!$AM$4:$AM$183,$B168,Data!$AL$4:$AL$183,$A168,Data!$AK$4:$AK$183,$C168))</f>
        <v>4</v>
      </c>
      <c r="W168" s="18">
        <f ca="1">IF($A168="","",SUMIFS(Data!$AP$4:$AP$183,Data!$AM$4:$AM$183,$B168,Data!$AL$4:$AL$183,$A168,Data!$AK$4:$AK$183,$C168))</f>
        <v>0</v>
      </c>
      <c r="X168" s="18">
        <f ca="1">IF($A168="","",SUMIFS(Data!$AR$4:$AR$183,Data!$AM$4:$AM$183,$B168,Data!$AL$4:$AL$183,$A168,Data!$AK$4:$AK$183,$C168))</f>
        <v>0</v>
      </c>
      <c r="Y168" s="18">
        <f ca="1">IF($A168="","",SUMIFS(Data!$AS$4:$AS$183,Data!$AM$4:$AM$183,$B168,Data!$AL$4:$AL$183,$A168,Data!$AK$4:$AK$183,$C168))</f>
        <v>1</v>
      </c>
      <c r="Z168" s="18">
        <f ca="1">IF($A168="","",SUMIFS(Data!$AT$4:$AT$183,Data!$AM$4:$AM$183,$B168,Data!$AL$4:$AL$183,$A168,Data!$AK$4:$AK$183,$C168))</f>
        <v>0</v>
      </c>
      <c r="AA168" s="18">
        <f ca="1">IF($A168="","",SUMIFS(Data!$AW$4:$AW$183,Data!$AM$4:$AM$183,$B168,Data!$AL$4:$AL$183,$A168,Data!$AK$4:$AK$183,$C168))</f>
        <v>0</v>
      </c>
      <c r="AB168" s="18">
        <f ca="1">IF($A168="","",SUMIFS(Data!$AX$4:$AX$183,Data!$AM$4:$AM$183,$B168,Data!$AL$4:$AL$183,$A168,Data!$AK$4:$AK$183,$C168))</f>
        <v>0</v>
      </c>
      <c r="AC168" s="18">
        <f ca="1">IF($A168="","",SUMIFS(Data!$AY$4:$AY$183,Data!$AM$4:$AM$183,$B168,Data!$AL$4:$AL$183,$A168,Data!$AK$4:$AK$183,$C168))</f>
        <v>0</v>
      </c>
      <c r="AD168" s="18">
        <f t="shared" ca="1" si="5"/>
        <v>2.0</v>
      </c>
      <c r="AE168" s="18">
        <f ca="1">IF($A168="","",SUMIFS(Data!$AJ$4:$AJ$183,Data!$AM$4:$AM$183,$B168,Data!$AL$4:$AL$183,$A168,Data!$AK$4:$AK$183,$C168))</f>
        <v>10</v>
      </c>
    </row>
    <row r="169" spans="1:31">
      <c r="A169" s="18" t="str">
        <f ca="1">IF(Data!T169="","",Data!T169)</f>
        <v>Nick</v>
      </c>
      <c r="B169" s="18" t="str">
        <f ca="1">IF(Data!U169="","",Data!U169)</f>
        <v>Wario</v>
      </c>
      <c r="C169" s="18" t="str">
        <f ca="1">IF(Data!S169="","",Data!S169)</f>
        <v>G10</v>
      </c>
      <c r="D169" s="18">
        <f ca="1">IF($A169="","",Data!W169)</f>
        <v>2</v>
      </c>
      <c r="E169" s="18">
        <f ca="1">IF($A169="","",Data!Y169)</f>
        <v>0</v>
      </c>
      <c r="F169" s="61">
        <f t="shared" ca="1" si="4"/>
        <v>0.0</v>
      </c>
      <c r="G169" s="18">
        <f ca="1">IF($A169="","",Data!AB169)</f>
        <v>0</v>
      </c>
      <c r="H169" s="18">
        <f ca="1">IF($A169="","",Data!AC169)</f>
        <v>0</v>
      </c>
      <c r="I169" s="18">
        <f ca="1">IF($A169="","",INT(SUMIFS(Data!$AN$4:$AN$183,Data!$AM$4:$AM$183,$B169,Data!$AL$4:$AL$183,$A169,Data!$AK$4:$AK$183,$C169))+MOD(ROUND(SUMIFS(Data!$AN$4:$AN$183,Data!$AM$4:$AM$183,$B169,Data!$AL$4:$AL$183,$A169,Data!$AK$4:$AK$183,$C169)*3,0),3)/10)</f>
        <v>0.1</v>
      </c>
      <c r="J169" s="18">
        <f ca="1">IF($A169="","",SUMIFS(Data!$AQ$4:$AQ$183,Data!$AM$4:$AM$183,$B169,Data!$AL$4:$AL$183,$A169,Data!$AK$4:$AK$183,$C169))</f>
        <v>0</v>
      </c>
      <c r="K169" s="62">
        <f ca="1">IF($A169="","",IF(SUMIFS(Data!$AN$4:$AN$183,Data!$AM$4:$AM$183,$B169,Data!$AL$4:$AL$183,$A169,Data!$AK$4:$AK$183,$C169)=0,"",J169*3/SUMIFS(Data!$AN$4:$AN$183,Data!$AM$4:$AM$183,$B169,Data!$AL$4:$AL$183,$A169,Data!$AK$4:$AK$183,$C169)))</f>
        <v>0.0</v>
      </c>
      <c r="L169" s="18">
        <f ca="1">IF($A169="","",IF(IFERROR(_xlfn.XLOOKUP($C169,Bracket!$F$6:$F$16,Bracket!$K$6:$K$16,""),"")=$B169,1,0))</f>
        <v>0</v>
      </c>
      <c r="M169" s="18">
        <f ca="1">IF($A169="","",IF(AND(IFERROR(_xlfn.XLOOKUP($C169,Bracket!$F$6:$F$16,Bracket!$K$6:$K$16,""),"")=$B169,LEFT(IFERROR(_xlfn.XLOOKUP($C169,Bracket!$F$6:$F$16,Bracket!$G$6:$G$16,""),""),2)="CG"),1,0))</f>
        <v>0</v>
      </c>
      <c r="N169" s="18">
        <f ca="1">IF($A169="","",SUMIFS(Data!$X$4:$X$273,Data!$T$4:$T$273,$A169,Data!$U$4:$U$273,$B169,Data!$S$4:$S$273,$C169))</f>
        <v>0</v>
      </c>
      <c r="O169" s="18">
        <f ca="1">IF($A169="","",SUMIFS(Data!$Z$4:$Z$273,Data!$T$4:$T$273,$A169,Data!$U$4:$U$273,$B169,Data!$S$4:$S$273,$C169))</f>
        <v>0</v>
      </c>
      <c r="P169" s="18">
        <f ca="1">IF($A169="","",SUMIFS(Data!$AA$4:$AA$273,Data!$T$4:$T$273,$A169,Data!$U$4:$U$273,$B169,Data!$S$4:$S$273,$C169))</f>
        <v>0</v>
      </c>
      <c r="Q169" s="18">
        <f ca="1">IF($A169="","",SUMIFS(Data!$AD$4:$AD$273,Data!$T$4:$T$273,$A169,Data!$U$4:$U$273,$B169,Data!$S$4:$S$273,$C169))</f>
        <v>0</v>
      </c>
      <c r="R169" s="18">
        <f ca="1">IF($A169="","",SUMIFS(Data!$AE$4:$AE$273,Data!$T$4:$T$273,$A169,Data!$U$4:$U$273,$B169,Data!$S$4:$S$273,$C169))</f>
        <v>1</v>
      </c>
      <c r="S169" s="18">
        <f ca="1">IF($A169="","",SUMIFS(Data!$AF$4:$AF$273,Data!$T$4:$T$273,$A169,Data!$U$4:$U$273,$B169,Data!$S$4:$S$273,$C169))</f>
        <v>0</v>
      </c>
      <c r="T169" s="18">
        <f ca="1">IF($A169="","",SUMIFS(Data!$AG$4:$AG$273,Data!$T$4:$T$273,$A169,Data!$U$4:$U$273,$B169,Data!$S$4:$S$273,$C169))</f>
        <v>0</v>
      </c>
      <c r="U169" s="18">
        <f ca="1">IF($A169="","",SUMIFS(Data!$AH$4:$AH$273,Data!$T$4:$T$273,$A169,Data!$U$4:$U$273,$B169,Data!$S$4:$S$273,$C169))</f>
        <v>0</v>
      </c>
      <c r="V169" s="18">
        <f ca="1">IF($A169="","",SUMIFS(Data!$AO$4:$AO$183,Data!$AM$4:$AM$183,$B169,Data!$AL$4:$AL$183,$A169,Data!$AK$4:$AK$183,$C169))</f>
        <v>1</v>
      </c>
      <c r="W169" s="18">
        <f ca="1">IF($A169="","",SUMIFS(Data!$AP$4:$AP$183,Data!$AM$4:$AM$183,$B169,Data!$AL$4:$AL$183,$A169,Data!$AK$4:$AK$183,$C169))</f>
        <v>0</v>
      </c>
      <c r="X169" s="18">
        <f ca="1">IF($A169="","",SUMIFS(Data!$AR$4:$AR$183,Data!$AM$4:$AM$183,$B169,Data!$AL$4:$AL$183,$A169,Data!$AK$4:$AK$183,$C169))</f>
        <v>0</v>
      </c>
      <c r="Y169" s="18">
        <f ca="1">IF($A169="","",SUMIFS(Data!$AS$4:$AS$183,Data!$AM$4:$AM$183,$B169,Data!$AL$4:$AL$183,$A169,Data!$AK$4:$AK$183,$C169))</f>
        <v>0</v>
      </c>
      <c r="Z169" s="18">
        <f ca="1">IF($A169="","",SUMIFS(Data!$AT$4:$AT$183,Data!$AM$4:$AM$183,$B169,Data!$AL$4:$AL$183,$A169,Data!$AK$4:$AK$183,$C169))</f>
        <v>0</v>
      </c>
      <c r="AA169" s="18">
        <f ca="1">IF($A169="","",SUMIFS(Data!$AW$4:$AW$183,Data!$AM$4:$AM$183,$B169,Data!$AL$4:$AL$183,$A169,Data!$AK$4:$AK$183,$C169))</f>
        <v>0</v>
      </c>
      <c r="AB169" s="18">
        <f ca="1">IF($A169="","",SUMIFS(Data!$AX$4:$AX$183,Data!$AM$4:$AM$183,$B169,Data!$AL$4:$AL$183,$A169,Data!$AK$4:$AK$183,$C169))</f>
        <v>0</v>
      </c>
      <c r="AC169" s="18">
        <f ca="1">IF($A169="","",SUMIFS(Data!$AY$4:$AY$183,Data!$AM$4:$AM$183,$B169,Data!$AL$4:$AL$183,$A169,Data!$AK$4:$AK$183,$C169))</f>
        <v>0</v>
      </c>
      <c r="AD169" s="18">
        <f t="shared" ca="1" si="5"/>
        <v>3.0</v>
      </c>
      <c r="AE169" s="18">
        <f ca="1">IF($A169="","",SUMIFS(Data!$AJ$4:$AJ$183,Data!$AM$4:$AM$183,$B169,Data!$AL$4:$AL$183,$A169,Data!$AK$4:$AK$183,$C169))</f>
        <v>2</v>
      </c>
    </row>
    <row r="170" spans="1:31">
      <c r="A170" s="18" t="str">
        <f ca="1">IF(Data!T170="","",Data!T170)</f>
        <v>Nick</v>
      </c>
      <c r="B170" s="18" t="str">
        <f ca="1">IF(Data!U170="","",Data!U170)</f>
        <v>Blue Toad</v>
      </c>
      <c r="C170" s="18" t="str">
        <f ca="1">IF(Data!S170="","",Data!S170)</f>
        <v>G10</v>
      </c>
      <c r="D170" s="18">
        <f ca="1">IF($A170="","",Data!W170)</f>
        <v>1</v>
      </c>
      <c r="E170" s="18">
        <f ca="1">IF($A170="","",Data!Y170)</f>
        <v>1</v>
      </c>
      <c r="F170" s="61">
        <f t="shared" ca="1" si="4"/>
        <v>1.0</v>
      </c>
      <c r="G170" s="18">
        <f ca="1">IF($A170="","",Data!AB170)</f>
        <v>0</v>
      </c>
      <c r="H170" s="18">
        <f ca="1">IF($A170="","",Data!AC170)</f>
        <v>0</v>
      </c>
      <c r="I170" s="18">
        <f ca="1">IF($A170="","",INT(SUMIFS(Data!$AN$4:$AN$183,Data!$AM$4:$AM$183,$B170,Data!$AL$4:$AL$183,$A170,Data!$AK$4:$AK$183,$C170))+MOD(ROUND(SUMIFS(Data!$AN$4:$AN$183,Data!$AM$4:$AM$183,$B170,Data!$AL$4:$AL$183,$A170,Data!$AK$4:$AK$183,$C170)*3,0),3)/10)</f>
        <v>0</v>
      </c>
      <c r="J170" s="18">
        <f ca="1">IF($A170="","",SUMIFS(Data!$AQ$4:$AQ$183,Data!$AM$4:$AM$183,$B170,Data!$AL$4:$AL$183,$A170,Data!$AK$4:$AK$183,$C170))</f>
        <v>0</v>
      </c>
      <c r="K170" s="62">
        <f ca="1">IF($A170="","",IF(SUMIFS(Data!$AN$4:$AN$183,Data!$AM$4:$AM$183,$B170,Data!$AL$4:$AL$183,$A170,Data!$AK$4:$AK$183,$C170)=0,"",J170*3/SUMIFS(Data!$AN$4:$AN$183,Data!$AM$4:$AM$183,$B170,Data!$AL$4:$AL$183,$A170,Data!$AK$4:$AK$183,$C170)))</f>
      </c>
      <c r="L170" s="18">
        <f ca="1">IF($A170="","",IF(IFERROR(_xlfn.XLOOKUP($C170,Bracket!$F$6:$F$16,Bracket!$K$6:$K$16,""),"")=$B170,1,0))</f>
        <v>0</v>
      </c>
      <c r="M170" s="18">
        <f ca="1">IF($A170="","",IF(AND(IFERROR(_xlfn.XLOOKUP($C170,Bracket!$F$6:$F$16,Bracket!$K$6:$K$16,""),"")=$B170,LEFT(IFERROR(_xlfn.XLOOKUP($C170,Bracket!$F$6:$F$16,Bracket!$G$6:$G$16,""),""),2)="CG"),1,0))</f>
        <v>0</v>
      </c>
      <c r="N170" s="18">
        <f ca="1">IF($A170="","",SUMIFS(Data!$X$4:$X$273,Data!$T$4:$T$273,$A170,Data!$U$4:$U$273,$B170,Data!$S$4:$S$273,$C170))</f>
        <v>1</v>
      </c>
      <c r="O170" s="18">
        <f ca="1">IF($A170="","",SUMIFS(Data!$Z$4:$Z$273,Data!$T$4:$T$273,$A170,Data!$U$4:$U$273,$B170,Data!$S$4:$S$273,$C170))</f>
        <v>0</v>
      </c>
      <c r="P170" s="18">
        <f ca="1">IF($A170="","",SUMIFS(Data!$AA$4:$AA$273,Data!$T$4:$T$273,$A170,Data!$U$4:$U$273,$B170,Data!$S$4:$S$273,$C170))</f>
        <v>0</v>
      </c>
      <c r="Q170" s="18">
        <f ca="1">IF($A170="","",SUMIFS(Data!$AD$4:$AD$273,Data!$T$4:$T$273,$A170,Data!$U$4:$U$273,$B170,Data!$S$4:$S$273,$C170))</f>
        <v>0</v>
      </c>
      <c r="R170" s="18">
        <f ca="1">IF($A170="","",SUMIFS(Data!$AE$4:$AE$273,Data!$T$4:$T$273,$A170,Data!$U$4:$U$273,$B170,Data!$S$4:$S$273,$C170))</f>
        <v>0</v>
      </c>
      <c r="S170" s="18">
        <f ca="1">IF($A170="","",SUMIFS(Data!$AF$4:$AF$273,Data!$T$4:$T$273,$A170,Data!$U$4:$U$273,$B170,Data!$S$4:$S$273,$C170))</f>
        <v>0</v>
      </c>
      <c r="T170" s="18">
        <f ca="1">IF($A170="","",SUMIFS(Data!$AG$4:$AG$273,Data!$T$4:$T$273,$A170,Data!$U$4:$U$273,$B170,Data!$S$4:$S$273,$C170))</f>
        <v>0</v>
      </c>
      <c r="U170" s="18">
        <f ca="1">IF($A170="","",SUMIFS(Data!$AH$4:$AH$273,Data!$T$4:$T$273,$A170,Data!$U$4:$U$273,$B170,Data!$S$4:$S$273,$C170))</f>
        <v>0</v>
      </c>
      <c r="V170" s="18">
        <f ca="1">IF($A170="","",SUMIFS(Data!$AO$4:$AO$183,Data!$AM$4:$AM$183,$B170,Data!$AL$4:$AL$183,$A170,Data!$AK$4:$AK$183,$C170))</f>
        <v>0</v>
      </c>
      <c r="W170" s="18">
        <f ca="1">IF($A170="","",SUMIFS(Data!$AP$4:$AP$183,Data!$AM$4:$AM$183,$B170,Data!$AL$4:$AL$183,$A170,Data!$AK$4:$AK$183,$C170))</f>
        <v>0</v>
      </c>
      <c r="X170" s="18">
        <f ca="1">IF($A170="","",SUMIFS(Data!$AR$4:$AR$183,Data!$AM$4:$AM$183,$B170,Data!$AL$4:$AL$183,$A170,Data!$AK$4:$AK$183,$C170))</f>
        <v>0</v>
      </c>
      <c r="Y170" s="18">
        <f ca="1">IF($A170="","",SUMIFS(Data!$AS$4:$AS$183,Data!$AM$4:$AM$183,$B170,Data!$AL$4:$AL$183,$A170,Data!$AK$4:$AK$183,$C170))</f>
        <v>0</v>
      </c>
      <c r="Z170" s="18">
        <f ca="1">IF($A170="","",SUMIFS(Data!$AT$4:$AT$183,Data!$AM$4:$AM$183,$B170,Data!$AL$4:$AL$183,$A170,Data!$AK$4:$AK$183,$C170))</f>
        <v>0</v>
      </c>
      <c r="AA170" s="18">
        <f ca="1">IF($A170="","",SUMIFS(Data!$AW$4:$AW$183,Data!$AM$4:$AM$183,$B170,Data!$AL$4:$AL$183,$A170,Data!$AK$4:$AK$183,$C170))</f>
        <v>0</v>
      </c>
      <c r="AB170" s="18">
        <f ca="1">IF($A170="","",SUMIFS(Data!$AX$4:$AX$183,Data!$AM$4:$AM$183,$B170,Data!$AL$4:$AL$183,$A170,Data!$AK$4:$AK$183,$C170))</f>
        <v>0</v>
      </c>
      <c r="AC170" s="18">
        <f ca="1">IF($A170="","",SUMIFS(Data!$AY$4:$AY$183,Data!$AM$4:$AM$183,$B170,Data!$AL$4:$AL$183,$A170,Data!$AK$4:$AK$183,$C170))</f>
        <v>0</v>
      </c>
      <c r="AD170" s="18">
        <f t="shared" ca="1" si="5"/>
        <v>0</v>
      </c>
      <c r="AE170" s="18">
        <f ca="1">IF($A170="","",SUMIFS(Data!$AJ$4:$AJ$183,Data!$AM$4:$AM$183,$B170,Data!$AL$4:$AL$183,$A170,Data!$AK$4:$AK$183,$C170))</f>
        <v>0</v>
      </c>
    </row>
    <row r="171" spans="1:31">
      <c r="A171" s="18" t="str">
        <f ca="1">IF(Data!T171="","",Data!T171)</f>
        <v>Nick</v>
      </c>
      <c r="B171" s="18" t="str">
        <f ca="1">IF(Data!U171="","",Data!U171)</f>
        <v>Mii</v>
      </c>
      <c r="C171" s="18" t="str">
        <f ca="1">IF(Data!S171="","",Data!S171)</f>
        <v>G10</v>
      </c>
      <c r="D171" s="18">
        <f ca="1">IF($A171="","",Data!W171)</f>
        <v>1</v>
      </c>
      <c r="E171" s="18">
        <f ca="1">IF($A171="","",Data!Y171)</f>
        <v>0</v>
      </c>
      <c r="F171" s="61">
        <f t="shared" ca="1" si="4"/>
        <v>0.0</v>
      </c>
      <c r="G171" s="18">
        <f ca="1">IF($A171="","",Data!AB171)</f>
        <v>0</v>
      </c>
      <c r="H171" s="18">
        <f ca="1">IF($A171="","",Data!AC171)</f>
        <v>0</v>
      </c>
      <c r="I171" s="18">
        <f ca="1">IF($A171="","",INT(SUMIFS(Data!$AN$4:$AN$183,Data!$AM$4:$AM$183,$B171,Data!$AL$4:$AL$183,$A171,Data!$AK$4:$AK$183,$C171))+MOD(ROUND(SUMIFS(Data!$AN$4:$AN$183,Data!$AM$4:$AM$183,$B171,Data!$AL$4:$AL$183,$A171,Data!$AK$4:$AK$183,$C171)*3,0),3)/10)</f>
        <v>0</v>
      </c>
      <c r="J171" s="18">
        <f ca="1">IF($A171="","",SUMIFS(Data!$AQ$4:$AQ$183,Data!$AM$4:$AM$183,$B171,Data!$AL$4:$AL$183,$A171,Data!$AK$4:$AK$183,$C171))</f>
        <v>0</v>
      </c>
      <c r="K171" s="62">
        <f ca="1">IF($A171="","",IF(SUMIFS(Data!$AN$4:$AN$183,Data!$AM$4:$AM$183,$B171,Data!$AL$4:$AL$183,$A171,Data!$AK$4:$AK$183,$C171)=0,"",J171*3/SUMIFS(Data!$AN$4:$AN$183,Data!$AM$4:$AM$183,$B171,Data!$AL$4:$AL$183,$A171,Data!$AK$4:$AK$183,$C171)))</f>
      </c>
      <c r="L171" s="18">
        <f ca="1">IF($A171="","",IF(IFERROR(_xlfn.XLOOKUP($C171,Bracket!$F$6:$F$16,Bracket!$K$6:$K$16,""),"")=$B171,1,0))</f>
        <v>0</v>
      </c>
      <c r="M171" s="18">
        <f ca="1">IF($A171="","",IF(AND(IFERROR(_xlfn.XLOOKUP($C171,Bracket!$F$6:$F$16,Bracket!$K$6:$K$16,""),"")=$B171,LEFT(IFERROR(_xlfn.XLOOKUP($C171,Bracket!$F$6:$F$16,Bracket!$G$6:$G$16,""),""),2)="CG"),1,0))</f>
        <v>0</v>
      </c>
      <c r="N171" s="18">
        <f ca="1">IF($A171="","",SUMIFS(Data!$X$4:$X$273,Data!$T$4:$T$273,$A171,Data!$U$4:$U$273,$B171,Data!$S$4:$S$273,$C171))</f>
        <v>0</v>
      </c>
      <c r="O171" s="18">
        <f ca="1">IF($A171="","",SUMIFS(Data!$Z$4:$Z$273,Data!$T$4:$T$273,$A171,Data!$U$4:$U$273,$B171,Data!$S$4:$S$273,$C171))</f>
        <v>0</v>
      </c>
      <c r="P171" s="18">
        <f ca="1">IF($A171="","",SUMIFS(Data!$AA$4:$AA$273,Data!$T$4:$T$273,$A171,Data!$U$4:$U$273,$B171,Data!$S$4:$S$273,$C171))</f>
        <v>0</v>
      </c>
      <c r="Q171" s="18">
        <f ca="1">IF($A171="","",SUMIFS(Data!$AD$4:$AD$273,Data!$T$4:$T$273,$A171,Data!$U$4:$U$273,$B171,Data!$S$4:$S$273,$C171))</f>
        <v>0</v>
      </c>
      <c r="R171" s="18">
        <f ca="1">IF($A171="","",SUMIFS(Data!$AE$4:$AE$273,Data!$T$4:$T$273,$A171,Data!$U$4:$U$273,$B171,Data!$S$4:$S$273,$C171))</f>
        <v>1</v>
      </c>
      <c r="S171" s="18">
        <f ca="1">IF($A171="","",SUMIFS(Data!$AF$4:$AF$273,Data!$T$4:$T$273,$A171,Data!$U$4:$U$273,$B171,Data!$S$4:$S$273,$C171))</f>
        <v>0</v>
      </c>
      <c r="T171" s="18">
        <f ca="1">IF($A171="","",SUMIFS(Data!$AG$4:$AG$273,Data!$T$4:$T$273,$A171,Data!$U$4:$U$273,$B171,Data!$S$4:$S$273,$C171))</f>
        <v>0</v>
      </c>
      <c r="U171" s="18">
        <f ca="1">IF($A171="","",SUMIFS(Data!$AH$4:$AH$273,Data!$T$4:$T$273,$A171,Data!$U$4:$U$273,$B171,Data!$S$4:$S$273,$C171))</f>
        <v>0</v>
      </c>
      <c r="V171" s="18">
        <f ca="1">IF($A171="","",SUMIFS(Data!$AO$4:$AO$183,Data!$AM$4:$AM$183,$B171,Data!$AL$4:$AL$183,$A171,Data!$AK$4:$AK$183,$C171))</f>
        <v>0</v>
      </c>
      <c r="W171" s="18">
        <f ca="1">IF($A171="","",SUMIFS(Data!$AP$4:$AP$183,Data!$AM$4:$AM$183,$B171,Data!$AL$4:$AL$183,$A171,Data!$AK$4:$AK$183,$C171))</f>
        <v>0</v>
      </c>
      <c r="X171" s="18">
        <f ca="1">IF($A171="","",SUMIFS(Data!$AR$4:$AR$183,Data!$AM$4:$AM$183,$B171,Data!$AL$4:$AL$183,$A171,Data!$AK$4:$AK$183,$C171))</f>
        <v>0</v>
      </c>
      <c r="Y171" s="18">
        <f ca="1">IF($A171="","",SUMIFS(Data!$AS$4:$AS$183,Data!$AM$4:$AM$183,$B171,Data!$AL$4:$AL$183,$A171,Data!$AK$4:$AK$183,$C171))</f>
        <v>0</v>
      </c>
      <c r="Z171" s="18">
        <f ca="1">IF($A171="","",SUMIFS(Data!$AT$4:$AT$183,Data!$AM$4:$AM$183,$B171,Data!$AL$4:$AL$183,$A171,Data!$AK$4:$AK$183,$C171))</f>
        <v>0</v>
      </c>
      <c r="AA171" s="18">
        <f ca="1">IF($A171="","",SUMIFS(Data!$AW$4:$AW$183,Data!$AM$4:$AM$183,$B171,Data!$AL$4:$AL$183,$A171,Data!$AK$4:$AK$183,$C171))</f>
        <v>0</v>
      </c>
      <c r="AB171" s="18">
        <f ca="1">IF($A171="","",SUMIFS(Data!$AX$4:$AX$183,Data!$AM$4:$AM$183,$B171,Data!$AL$4:$AL$183,$A171,Data!$AK$4:$AK$183,$C171))</f>
        <v>0</v>
      </c>
      <c r="AC171" s="18">
        <f ca="1">IF($A171="","",SUMIFS(Data!$AY$4:$AY$183,Data!$AM$4:$AM$183,$B171,Data!$AL$4:$AL$183,$A171,Data!$AK$4:$AK$183,$C171))</f>
        <v>0</v>
      </c>
      <c r="AD171" s="18">
        <f t="shared" ca="1" si="5"/>
        <v>0</v>
      </c>
      <c r="AE171" s="18">
        <f ca="1">IF($A171="","",SUMIFS(Data!$AJ$4:$AJ$183,Data!$AM$4:$AM$183,$B171,Data!$AL$4:$AL$183,$A171,Data!$AK$4:$AK$183,$C171))</f>
        <v>0</v>
      </c>
    </row>
    <row r="172" spans="1:31">
      <c r="A172" s="18" t="str">
        <f ca="1">IF(Data!T172="","",Data!T172)</f>
        <v>Nick</v>
      </c>
      <c r="B172" s="18" t="str">
        <f ca="1">IF(Data!U172="","",Data!U172)</f>
        <v>Wiggler</v>
      </c>
      <c r="C172" s="18" t="str">
        <f ca="1">IF(Data!S172="","",Data!S172)</f>
        <v>G10</v>
      </c>
      <c r="D172" s="18">
        <f ca="1">IF($A172="","",Data!W172)</f>
        <v>1</v>
      </c>
      <c r="E172" s="18">
        <f ca="1">IF($A172="","",Data!Y172)</f>
        <v>0</v>
      </c>
      <c r="F172" s="61">
        <f t="shared" ca="1" si="4"/>
        <v>0.0</v>
      </c>
      <c r="G172" s="18">
        <f ca="1">IF($A172="","",Data!AB172)</f>
        <v>0</v>
      </c>
      <c r="H172" s="18">
        <f ca="1">IF($A172="","",Data!AC172)</f>
        <v>0</v>
      </c>
      <c r="I172" s="18">
        <f ca="1">IF($A172="","",INT(SUMIFS(Data!$AN$4:$AN$183,Data!$AM$4:$AM$183,$B172,Data!$AL$4:$AL$183,$A172,Data!$AK$4:$AK$183,$C172))+MOD(ROUND(SUMIFS(Data!$AN$4:$AN$183,Data!$AM$4:$AM$183,$B172,Data!$AL$4:$AL$183,$A172,Data!$AK$4:$AK$183,$C172)*3,0),3)/10)</f>
        <v>0</v>
      </c>
      <c r="J172" s="18">
        <f ca="1">IF($A172="","",SUMIFS(Data!$AQ$4:$AQ$183,Data!$AM$4:$AM$183,$B172,Data!$AL$4:$AL$183,$A172,Data!$AK$4:$AK$183,$C172))</f>
        <v>0</v>
      </c>
      <c r="K172" s="62">
        <f ca="1">IF($A172="","",IF(SUMIFS(Data!$AN$4:$AN$183,Data!$AM$4:$AM$183,$B172,Data!$AL$4:$AL$183,$A172,Data!$AK$4:$AK$183,$C172)=0,"",J172*3/SUMIFS(Data!$AN$4:$AN$183,Data!$AM$4:$AM$183,$B172,Data!$AL$4:$AL$183,$A172,Data!$AK$4:$AK$183,$C172)))</f>
      </c>
      <c r="L172" s="18">
        <f ca="1">IF($A172="","",IF(IFERROR(_xlfn.XLOOKUP($C172,Bracket!$F$6:$F$16,Bracket!$K$6:$K$16,""),"")=$B172,1,0))</f>
        <v>0</v>
      </c>
      <c r="M172" s="18">
        <f ca="1">IF($A172="","",IF(AND(IFERROR(_xlfn.XLOOKUP($C172,Bracket!$F$6:$F$16,Bracket!$K$6:$K$16,""),"")=$B172,LEFT(IFERROR(_xlfn.XLOOKUP($C172,Bracket!$F$6:$F$16,Bracket!$G$6:$G$16,""),""),2)="CG"),1,0))</f>
        <v>0</v>
      </c>
      <c r="N172" s="18">
        <f ca="1">IF($A172="","",SUMIFS(Data!$X$4:$X$273,Data!$T$4:$T$273,$A172,Data!$U$4:$U$273,$B172,Data!$S$4:$S$273,$C172))</f>
        <v>0</v>
      </c>
      <c r="O172" s="18">
        <f ca="1">IF($A172="","",SUMIFS(Data!$Z$4:$Z$273,Data!$T$4:$T$273,$A172,Data!$U$4:$U$273,$B172,Data!$S$4:$S$273,$C172))</f>
        <v>0</v>
      </c>
      <c r="P172" s="18">
        <f ca="1">IF($A172="","",SUMIFS(Data!$AA$4:$AA$273,Data!$T$4:$T$273,$A172,Data!$U$4:$U$273,$B172,Data!$S$4:$S$273,$C172))</f>
        <v>0</v>
      </c>
      <c r="Q172" s="18">
        <f ca="1">IF($A172="","",SUMIFS(Data!$AD$4:$AD$273,Data!$T$4:$T$273,$A172,Data!$U$4:$U$273,$B172,Data!$S$4:$S$273,$C172))</f>
        <v>0</v>
      </c>
      <c r="R172" s="18">
        <f ca="1">IF($A172="","",SUMIFS(Data!$AE$4:$AE$273,Data!$T$4:$T$273,$A172,Data!$U$4:$U$273,$B172,Data!$S$4:$S$273,$C172))</f>
        <v>1</v>
      </c>
      <c r="S172" s="18">
        <f ca="1">IF($A172="","",SUMIFS(Data!$AF$4:$AF$273,Data!$T$4:$T$273,$A172,Data!$U$4:$U$273,$B172,Data!$S$4:$S$273,$C172))</f>
        <v>0</v>
      </c>
      <c r="T172" s="18">
        <f ca="1">IF($A172="","",SUMIFS(Data!$AG$4:$AG$273,Data!$T$4:$T$273,$A172,Data!$U$4:$U$273,$B172,Data!$S$4:$S$273,$C172))</f>
        <v>0</v>
      </c>
      <c r="U172" s="18">
        <f ca="1">IF($A172="","",SUMIFS(Data!$AH$4:$AH$273,Data!$T$4:$T$273,$A172,Data!$U$4:$U$273,$B172,Data!$S$4:$S$273,$C172))</f>
        <v>0</v>
      </c>
      <c r="V172" s="18">
        <f ca="1">IF($A172="","",SUMIFS(Data!$AO$4:$AO$183,Data!$AM$4:$AM$183,$B172,Data!$AL$4:$AL$183,$A172,Data!$AK$4:$AK$183,$C172))</f>
        <v>0</v>
      </c>
      <c r="W172" s="18">
        <f ca="1">IF($A172="","",SUMIFS(Data!$AP$4:$AP$183,Data!$AM$4:$AM$183,$B172,Data!$AL$4:$AL$183,$A172,Data!$AK$4:$AK$183,$C172))</f>
        <v>0</v>
      </c>
      <c r="X172" s="18">
        <f ca="1">IF($A172="","",SUMIFS(Data!$AR$4:$AR$183,Data!$AM$4:$AM$183,$B172,Data!$AL$4:$AL$183,$A172,Data!$AK$4:$AK$183,$C172))</f>
        <v>0</v>
      </c>
      <c r="Y172" s="18">
        <f ca="1">IF($A172="","",SUMIFS(Data!$AS$4:$AS$183,Data!$AM$4:$AM$183,$B172,Data!$AL$4:$AL$183,$A172,Data!$AK$4:$AK$183,$C172))</f>
        <v>0</v>
      </c>
      <c r="Z172" s="18">
        <f ca="1">IF($A172="","",SUMIFS(Data!$AT$4:$AT$183,Data!$AM$4:$AM$183,$B172,Data!$AL$4:$AL$183,$A172,Data!$AK$4:$AK$183,$C172))</f>
        <v>0</v>
      </c>
      <c r="AA172" s="18">
        <f ca="1">IF($A172="","",SUMIFS(Data!$AW$4:$AW$183,Data!$AM$4:$AM$183,$B172,Data!$AL$4:$AL$183,$A172,Data!$AK$4:$AK$183,$C172))</f>
        <v>0</v>
      </c>
      <c r="AB172" s="18">
        <f ca="1">IF($A172="","",SUMIFS(Data!$AX$4:$AX$183,Data!$AM$4:$AM$183,$B172,Data!$AL$4:$AL$183,$A172,Data!$AK$4:$AK$183,$C172))</f>
        <v>0</v>
      </c>
      <c r="AC172" s="18">
        <f ca="1">IF($A172="","",SUMIFS(Data!$AY$4:$AY$183,Data!$AM$4:$AM$183,$B172,Data!$AL$4:$AL$183,$A172,Data!$AK$4:$AK$183,$C172))</f>
        <v>0</v>
      </c>
      <c r="AD172" s="18">
        <f t="shared" ca="1" si="5"/>
        <v>0</v>
      </c>
      <c r="AE172" s="18">
        <f ca="1">IF($A172="","",SUMIFS(Data!$AJ$4:$AJ$183,Data!$AM$4:$AM$183,$B172,Data!$AL$4:$AL$183,$A172,Data!$AK$4:$AK$183,$C172))</f>
        <v>0</v>
      </c>
    </row>
    <row r="173" spans="1:31">
      <c r="A173" s="18" t="str">
        <f ca="1">IF(Data!T173="","",Data!T173)</f>
        <v>Nick</v>
      </c>
      <c r="B173" s="18" t="str">
        <f ca="1">IF(Data!U173="","",Data!U173)</f>
        <v>Toadette</v>
      </c>
      <c r="C173" s="18" t="str">
        <f ca="1">IF(Data!S173="","",Data!S173)</f>
        <v>G10</v>
      </c>
      <c r="D173" s="18">
        <f ca="1">IF($A173="","",Data!W173)</f>
        <v>1</v>
      </c>
      <c r="E173" s="18">
        <f ca="1">IF($A173="","",Data!Y173)</f>
        <v>1</v>
      </c>
      <c r="F173" s="61">
        <f t="shared" ca="1" si="4"/>
        <v>1.0</v>
      </c>
      <c r="G173" s="18">
        <f ca="1">IF($A173="","",Data!AB173)</f>
        <v>0</v>
      </c>
      <c r="H173" s="18">
        <f ca="1">IF($A173="","",Data!AC173)</f>
        <v>0</v>
      </c>
      <c r="I173" s="18">
        <f ca="1">IF($A173="","",INT(SUMIFS(Data!$AN$4:$AN$183,Data!$AM$4:$AM$183,$B173,Data!$AL$4:$AL$183,$A173,Data!$AK$4:$AK$183,$C173))+MOD(ROUND(SUMIFS(Data!$AN$4:$AN$183,Data!$AM$4:$AM$183,$B173,Data!$AL$4:$AL$183,$A173,Data!$AK$4:$AK$183,$C173)*3,0),3)/10)</f>
        <v>0</v>
      </c>
      <c r="J173" s="18">
        <f ca="1">IF($A173="","",SUMIFS(Data!$AQ$4:$AQ$183,Data!$AM$4:$AM$183,$B173,Data!$AL$4:$AL$183,$A173,Data!$AK$4:$AK$183,$C173))</f>
        <v>0</v>
      </c>
      <c r="K173" s="62">
        <f ca="1">IF($A173="","",IF(SUMIFS(Data!$AN$4:$AN$183,Data!$AM$4:$AM$183,$B173,Data!$AL$4:$AL$183,$A173,Data!$AK$4:$AK$183,$C173)=0,"",J173*3/SUMIFS(Data!$AN$4:$AN$183,Data!$AM$4:$AM$183,$B173,Data!$AL$4:$AL$183,$A173,Data!$AK$4:$AK$183,$C173)))</f>
      </c>
      <c r="L173" s="18">
        <f ca="1">IF($A173="","",IF(IFERROR(_xlfn.XLOOKUP($C173,Bracket!$F$6:$F$16,Bracket!$K$6:$K$16,""),"")=$B173,1,0))</f>
        <v>0</v>
      </c>
      <c r="M173" s="18">
        <f ca="1">IF($A173="","",IF(AND(IFERROR(_xlfn.XLOOKUP($C173,Bracket!$F$6:$F$16,Bracket!$K$6:$K$16,""),"")=$B173,LEFT(IFERROR(_xlfn.XLOOKUP($C173,Bracket!$F$6:$F$16,Bracket!$G$6:$G$16,""),""),2)="CG"),1,0))</f>
        <v>0</v>
      </c>
      <c r="N173" s="18">
        <f ca="1">IF($A173="","",SUMIFS(Data!$X$4:$X$273,Data!$T$4:$T$273,$A173,Data!$U$4:$U$273,$B173,Data!$S$4:$S$273,$C173))</f>
        <v>0</v>
      </c>
      <c r="O173" s="18">
        <f ca="1">IF($A173="","",SUMIFS(Data!$Z$4:$Z$273,Data!$T$4:$T$273,$A173,Data!$U$4:$U$273,$B173,Data!$S$4:$S$273,$C173))</f>
        <v>0</v>
      </c>
      <c r="P173" s="18">
        <f ca="1">IF($A173="","",SUMIFS(Data!$AA$4:$AA$273,Data!$T$4:$T$273,$A173,Data!$U$4:$U$273,$B173,Data!$S$4:$S$273,$C173))</f>
        <v>0</v>
      </c>
      <c r="Q173" s="18">
        <f ca="1">IF($A173="","",SUMIFS(Data!$AD$4:$AD$273,Data!$T$4:$T$273,$A173,Data!$U$4:$U$273,$B173,Data!$S$4:$S$273,$C173))</f>
        <v>0</v>
      </c>
      <c r="R173" s="18">
        <f ca="1">IF($A173="","",SUMIFS(Data!$AE$4:$AE$273,Data!$T$4:$T$273,$A173,Data!$U$4:$U$273,$B173,Data!$S$4:$S$273,$C173))</f>
        <v>0</v>
      </c>
      <c r="S173" s="18">
        <f ca="1">IF($A173="","",SUMIFS(Data!$AF$4:$AF$273,Data!$T$4:$T$273,$A173,Data!$U$4:$U$273,$B173,Data!$S$4:$S$273,$C173))</f>
        <v>0</v>
      </c>
      <c r="T173" s="18">
        <f ca="1">IF($A173="","",SUMIFS(Data!$AG$4:$AG$273,Data!$T$4:$T$273,$A173,Data!$U$4:$U$273,$B173,Data!$S$4:$S$273,$C173))</f>
        <v>0</v>
      </c>
      <c r="U173" s="18">
        <f ca="1">IF($A173="","",SUMIFS(Data!$AH$4:$AH$273,Data!$T$4:$T$273,$A173,Data!$U$4:$U$273,$B173,Data!$S$4:$S$273,$C173))</f>
        <v>0</v>
      </c>
      <c r="V173" s="18">
        <f ca="1">IF($A173="","",SUMIFS(Data!$AO$4:$AO$183,Data!$AM$4:$AM$183,$B173,Data!$AL$4:$AL$183,$A173,Data!$AK$4:$AK$183,$C173))</f>
        <v>0</v>
      </c>
      <c r="W173" s="18">
        <f ca="1">IF($A173="","",SUMIFS(Data!$AP$4:$AP$183,Data!$AM$4:$AM$183,$B173,Data!$AL$4:$AL$183,$A173,Data!$AK$4:$AK$183,$C173))</f>
        <v>0</v>
      </c>
      <c r="X173" s="18">
        <f ca="1">IF($A173="","",SUMIFS(Data!$AR$4:$AR$183,Data!$AM$4:$AM$183,$B173,Data!$AL$4:$AL$183,$A173,Data!$AK$4:$AK$183,$C173))</f>
        <v>0</v>
      </c>
      <c r="Y173" s="18">
        <f ca="1">IF($A173="","",SUMIFS(Data!$AS$4:$AS$183,Data!$AM$4:$AM$183,$B173,Data!$AL$4:$AL$183,$A173,Data!$AK$4:$AK$183,$C173))</f>
        <v>0</v>
      </c>
      <c r="Z173" s="18">
        <f ca="1">IF($A173="","",SUMIFS(Data!$AT$4:$AT$183,Data!$AM$4:$AM$183,$B173,Data!$AL$4:$AL$183,$A173,Data!$AK$4:$AK$183,$C173))</f>
        <v>0</v>
      </c>
      <c r="AA173" s="18">
        <f ca="1">IF($A173="","",SUMIFS(Data!$AW$4:$AW$183,Data!$AM$4:$AM$183,$B173,Data!$AL$4:$AL$183,$A173,Data!$AK$4:$AK$183,$C173))</f>
        <v>0</v>
      </c>
      <c r="AB173" s="18">
        <f ca="1">IF($A173="","",SUMIFS(Data!$AX$4:$AX$183,Data!$AM$4:$AM$183,$B173,Data!$AL$4:$AL$183,$A173,Data!$AK$4:$AK$183,$C173))</f>
        <v>0</v>
      </c>
      <c r="AC173" s="18">
        <f ca="1">IF($A173="","",SUMIFS(Data!$AY$4:$AY$183,Data!$AM$4:$AM$183,$B173,Data!$AL$4:$AL$183,$A173,Data!$AK$4:$AK$183,$C173))</f>
        <v>0</v>
      </c>
      <c r="AD173" s="18">
        <f t="shared" ca="1" si="5"/>
        <v>0</v>
      </c>
      <c r="AE173" s="18">
        <f ca="1">IF($A173="","",SUMIFS(Data!$AJ$4:$AJ$183,Data!$AM$4:$AM$183,$B173,Data!$AL$4:$AL$183,$A173,Data!$AK$4:$AK$183,$C173))</f>
        <v>0</v>
      </c>
    </row>
    <row r="174" spans="1:31">
      <c r="A174" s="18" t="str">
        <f ca="1">IF(Data!T174="","",Data!T174)</f>
        <v>Nick</v>
      </c>
      <c r="B174" s="18" t="str">
        <f ca="1">IF(Data!U174="","",Data!U174)</f>
        <v>Boomerang Bro</v>
      </c>
      <c r="C174" s="18" t="str">
        <f ca="1">IF(Data!S174="","",Data!S174)</f>
        <v>G10</v>
      </c>
      <c r="D174" s="18">
        <f ca="1">IF($A174="","",Data!W174)</f>
        <v>1</v>
      </c>
      <c r="E174" s="18">
        <f ca="1">IF($A174="","",Data!Y174)</f>
        <v>1</v>
      </c>
      <c r="F174" s="61">
        <f t="shared" ca="1" si="4"/>
        <v>1.0</v>
      </c>
      <c r="G174" s="18">
        <f ca="1">IF($A174="","",Data!AB174)</f>
        <v>0</v>
      </c>
      <c r="H174" s="18">
        <f ca="1">IF($A174="","",Data!AC174)</f>
        <v>0</v>
      </c>
      <c r="I174" s="18">
        <f ca="1">IF($A174="","",INT(SUMIFS(Data!$AN$4:$AN$183,Data!$AM$4:$AM$183,$B174,Data!$AL$4:$AL$183,$A174,Data!$AK$4:$AK$183,$C174))+MOD(ROUND(SUMIFS(Data!$AN$4:$AN$183,Data!$AM$4:$AM$183,$B174,Data!$AL$4:$AL$183,$A174,Data!$AK$4:$AK$183,$C174)*3,0),3)/10)</f>
        <v>0.2</v>
      </c>
      <c r="J174" s="18">
        <f ca="1">IF($A174="","",SUMIFS(Data!$AQ$4:$AQ$183,Data!$AM$4:$AM$183,$B174,Data!$AL$4:$AL$183,$A174,Data!$AK$4:$AK$183,$C174))</f>
        <v>4</v>
      </c>
      <c r="K174" s="62">
        <f ca="1">IF($A174="","",IF(SUMIFS(Data!$AN$4:$AN$183,Data!$AM$4:$AM$183,$B174,Data!$AL$4:$AL$183,$A174,Data!$AK$4:$AK$183,$C174)=0,"",J174*3/SUMIFS(Data!$AN$4:$AN$183,Data!$AM$4:$AM$183,$B174,Data!$AL$4:$AL$183,$A174,Data!$AK$4:$AK$183,$C174)))</f>
        <v>18.0</v>
      </c>
      <c r="L174" s="18">
        <f ca="1">IF($A174="","",IF(IFERROR(_xlfn.XLOOKUP($C174,Bracket!$F$6:$F$16,Bracket!$K$6:$K$16,""),"")=$B174,1,0))</f>
        <v>0</v>
      </c>
      <c r="M174" s="18">
        <f ca="1">IF($A174="","",IF(AND(IFERROR(_xlfn.XLOOKUP($C174,Bracket!$F$6:$F$16,Bracket!$K$6:$K$16,""),"")=$B174,LEFT(IFERROR(_xlfn.XLOOKUP($C174,Bracket!$F$6:$F$16,Bracket!$G$6:$G$16,""),""),2)="CG"),1,0))</f>
        <v>0</v>
      </c>
      <c r="N174" s="18">
        <f ca="1">IF($A174="","",SUMIFS(Data!$X$4:$X$273,Data!$T$4:$T$273,$A174,Data!$U$4:$U$273,$B174,Data!$S$4:$S$273,$C174))</f>
        <v>0</v>
      </c>
      <c r="O174" s="18">
        <f ca="1">IF($A174="","",SUMIFS(Data!$Z$4:$Z$273,Data!$T$4:$T$273,$A174,Data!$U$4:$U$273,$B174,Data!$S$4:$S$273,$C174))</f>
        <v>0</v>
      </c>
      <c r="P174" s="18">
        <f ca="1">IF($A174="","",SUMIFS(Data!$AA$4:$AA$273,Data!$T$4:$T$273,$A174,Data!$U$4:$U$273,$B174,Data!$S$4:$S$273,$C174))</f>
        <v>0</v>
      </c>
      <c r="Q174" s="18">
        <f ca="1">IF($A174="","",SUMIFS(Data!$AD$4:$AD$273,Data!$T$4:$T$273,$A174,Data!$U$4:$U$273,$B174,Data!$S$4:$S$273,$C174))</f>
        <v>0</v>
      </c>
      <c r="R174" s="18">
        <f ca="1">IF($A174="","",SUMIFS(Data!$AE$4:$AE$273,Data!$T$4:$T$273,$A174,Data!$U$4:$U$273,$B174,Data!$S$4:$S$273,$C174))</f>
        <v>0</v>
      </c>
      <c r="S174" s="18">
        <f ca="1">IF($A174="","",SUMIFS(Data!$AF$4:$AF$273,Data!$T$4:$T$273,$A174,Data!$U$4:$U$273,$B174,Data!$S$4:$S$273,$C174))</f>
        <v>0</v>
      </c>
      <c r="T174" s="18">
        <f ca="1">IF($A174="","",SUMIFS(Data!$AG$4:$AG$273,Data!$T$4:$T$273,$A174,Data!$U$4:$U$273,$B174,Data!$S$4:$S$273,$C174))</f>
        <v>0</v>
      </c>
      <c r="U174" s="18">
        <f ca="1">IF($A174="","",SUMIFS(Data!$AH$4:$AH$273,Data!$T$4:$T$273,$A174,Data!$U$4:$U$273,$B174,Data!$S$4:$S$273,$C174))</f>
        <v>0</v>
      </c>
      <c r="V174" s="18">
        <f ca="1">IF($A174="","",SUMIFS(Data!$AO$4:$AO$183,Data!$AM$4:$AM$183,$B174,Data!$AL$4:$AL$183,$A174,Data!$AK$4:$AK$183,$C174))</f>
        <v>2</v>
      </c>
      <c r="W174" s="18">
        <f ca="1">IF($A174="","",SUMIFS(Data!$AP$4:$AP$183,Data!$AM$4:$AM$183,$B174,Data!$AL$4:$AL$183,$A174,Data!$AK$4:$AK$183,$C174))</f>
        <v>4</v>
      </c>
      <c r="X174" s="18">
        <f ca="1">IF($A174="","",SUMIFS(Data!$AR$4:$AR$183,Data!$AM$4:$AM$183,$B174,Data!$AL$4:$AL$183,$A174,Data!$AK$4:$AK$183,$C174))</f>
        <v>0</v>
      </c>
      <c r="Y174" s="18">
        <f ca="1">IF($A174="","",SUMIFS(Data!$AS$4:$AS$183,Data!$AM$4:$AM$183,$B174,Data!$AL$4:$AL$183,$A174,Data!$AK$4:$AK$183,$C174))</f>
        <v>0</v>
      </c>
      <c r="Z174" s="18">
        <f ca="1">IF($A174="","",SUMIFS(Data!$AT$4:$AT$183,Data!$AM$4:$AM$183,$B174,Data!$AL$4:$AL$183,$A174,Data!$AK$4:$AK$183,$C174))</f>
        <v>1</v>
      </c>
      <c r="AA174" s="18">
        <f ca="1">IF($A174="","",SUMIFS(Data!$AW$4:$AW$183,Data!$AM$4:$AM$183,$B174,Data!$AL$4:$AL$183,$A174,Data!$AK$4:$AK$183,$C174))</f>
        <v>0</v>
      </c>
      <c r="AB174" s="18">
        <f ca="1">IF($A174="","",SUMIFS(Data!$AX$4:$AX$183,Data!$AM$4:$AM$183,$B174,Data!$AL$4:$AL$183,$A174,Data!$AK$4:$AK$183,$C174))</f>
        <v>0</v>
      </c>
      <c r="AC174" s="18">
        <f ca="1">IF($A174="","",SUMIFS(Data!$AY$4:$AY$183,Data!$AM$4:$AM$183,$B174,Data!$AL$4:$AL$183,$A174,Data!$AK$4:$AK$183,$C174))</f>
        <v>0</v>
      </c>
      <c r="AD174" s="18">
        <f t="shared" ca="1" si="5"/>
        <v>3.0</v>
      </c>
      <c r="AE174" s="18">
        <f ca="1">IF($A174="","",SUMIFS(Data!$AJ$4:$AJ$183,Data!$AM$4:$AM$183,$B174,Data!$AL$4:$AL$183,$A174,Data!$AK$4:$AK$183,$C174))</f>
        <v>4</v>
      </c>
    </row>
    <row r="175" spans="1:31">
      <c r="A175" s="18" t="str">
        <f ca="1">IF(Data!T175="","",Data!T175)</f>
        <v>Jason</v>
      </c>
      <c r="B175" s="18" t="str">
        <f ca="1">IF(Data!U175="","",Data!U175)</f>
        <v>Yoshi</v>
      </c>
      <c r="C175" s="18" t="str">
        <f ca="1">IF(Data!S175="","",Data!S175)</f>
        <v>G10</v>
      </c>
      <c r="D175" s="18">
        <f ca="1">IF($A175="","",Data!W175)</f>
        <v>2</v>
      </c>
      <c r="E175" s="18">
        <f ca="1">IF($A175="","",Data!Y175)</f>
        <v>1</v>
      </c>
      <c r="F175" s="61">
        <f t="shared" ca="1" si="4"/>
        <v>0.5</v>
      </c>
      <c r="G175" s="18">
        <f ca="1">IF($A175="","",Data!AB175)</f>
        <v>0</v>
      </c>
      <c r="H175" s="18">
        <f ca="1">IF($A175="","",Data!AC175)</f>
        <v>0</v>
      </c>
      <c r="I175" s="18">
        <f ca="1">IF($A175="","",INT(SUMIFS(Data!$AN$4:$AN$183,Data!$AM$4:$AM$183,$B175,Data!$AL$4:$AL$183,$A175,Data!$AK$4:$AK$183,$C175))+MOD(ROUND(SUMIFS(Data!$AN$4:$AN$183,Data!$AM$4:$AM$183,$B175,Data!$AL$4:$AL$183,$A175,Data!$AK$4:$AK$183,$C175)*3,0),3)/10)</f>
        <v>0</v>
      </c>
      <c r="J175" s="18">
        <f ca="1">IF($A175="","",SUMIFS(Data!$AQ$4:$AQ$183,Data!$AM$4:$AM$183,$B175,Data!$AL$4:$AL$183,$A175,Data!$AK$4:$AK$183,$C175))</f>
        <v>0</v>
      </c>
      <c r="K175" s="62">
        <f ca="1">IF($A175="","",IF(SUMIFS(Data!$AN$4:$AN$183,Data!$AM$4:$AM$183,$B175,Data!$AL$4:$AL$183,$A175,Data!$AK$4:$AK$183,$C175)=0,"",J175*3/SUMIFS(Data!$AN$4:$AN$183,Data!$AM$4:$AM$183,$B175,Data!$AL$4:$AL$183,$A175,Data!$AK$4:$AK$183,$C175)))</f>
      </c>
      <c r="L175" s="18">
        <f ca="1">IF($A175="","",IF(IFERROR(_xlfn.XLOOKUP($C175,Bracket!$F$6:$F$16,Bracket!$K$6:$K$16,""),"")=$B175,1,0))</f>
        <v>0</v>
      </c>
      <c r="M175" s="18">
        <f ca="1">IF($A175="","",IF(AND(IFERROR(_xlfn.XLOOKUP($C175,Bracket!$F$6:$F$16,Bracket!$K$6:$K$16,""),"")=$B175,LEFT(IFERROR(_xlfn.XLOOKUP($C175,Bracket!$F$6:$F$16,Bracket!$G$6:$G$16,""),""),2)="CG"),1,0))</f>
        <v>0</v>
      </c>
      <c r="N175" s="18">
        <f ca="1">IF($A175="","",SUMIFS(Data!$X$4:$X$273,Data!$T$4:$T$273,$A175,Data!$U$4:$U$273,$B175,Data!$S$4:$S$273,$C175))</f>
        <v>1</v>
      </c>
      <c r="O175" s="18">
        <f ca="1">IF($A175="","",SUMIFS(Data!$Z$4:$Z$273,Data!$T$4:$T$273,$A175,Data!$U$4:$U$273,$B175,Data!$S$4:$S$273,$C175))</f>
        <v>0</v>
      </c>
      <c r="P175" s="18">
        <f ca="1">IF($A175="","",SUMIFS(Data!$AA$4:$AA$273,Data!$T$4:$T$273,$A175,Data!$U$4:$U$273,$B175,Data!$S$4:$S$273,$C175))</f>
        <v>0</v>
      </c>
      <c r="Q175" s="18">
        <f ca="1">IF($A175="","",SUMIFS(Data!$AD$4:$AD$273,Data!$T$4:$T$273,$A175,Data!$U$4:$U$273,$B175,Data!$S$4:$S$273,$C175))</f>
        <v>0</v>
      </c>
      <c r="R175" s="18">
        <f ca="1">IF($A175="","",SUMIFS(Data!$AE$4:$AE$273,Data!$T$4:$T$273,$A175,Data!$U$4:$U$273,$B175,Data!$S$4:$S$273,$C175))</f>
        <v>0</v>
      </c>
      <c r="S175" s="18">
        <f ca="1">IF($A175="","",SUMIFS(Data!$AF$4:$AF$273,Data!$T$4:$T$273,$A175,Data!$U$4:$U$273,$B175,Data!$S$4:$S$273,$C175))</f>
        <v>0</v>
      </c>
      <c r="T175" s="18">
        <f ca="1">IF($A175="","",SUMIFS(Data!$AG$4:$AG$273,Data!$T$4:$T$273,$A175,Data!$U$4:$U$273,$B175,Data!$S$4:$S$273,$C175))</f>
        <v>0</v>
      </c>
      <c r="U175" s="18">
        <f ca="1">IF($A175="","",SUMIFS(Data!$AH$4:$AH$273,Data!$T$4:$T$273,$A175,Data!$U$4:$U$273,$B175,Data!$S$4:$S$273,$C175))</f>
        <v>0</v>
      </c>
      <c r="V175" s="18">
        <f ca="1">IF($A175="","",SUMIFS(Data!$AO$4:$AO$183,Data!$AM$4:$AM$183,$B175,Data!$AL$4:$AL$183,$A175,Data!$AK$4:$AK$183,$C175))</f>
        <v>0</v>
      </c>
      <c r="W175" s="18">
        <f ca="1">IF($A175="","",SUMIFS(Data!$AP$4:$AP$183,Data!$AM$4:$AM$183,$B175,Data!$AL$4:$AL$183,$A175,Data!$AK$4:$AK$183,$C175))</f>
        <v>0</v>
      </c>
      <c r="X175" s="18">
        <f ca="1">IF($A175="","",SUMIFS(Data!$AR$4:$AR$183,Data!$AM$4:$AM$183,$B175,Data!$AL$4:$AL$183,$A175,Data!$AK$4:$AK$183,$C175))</f>
        <v>0</v>
      </c>
      <c r="Y175" s="18">
        <f ca="1">IF($A175="","",SUMIFS(Data!$AS$4:$AS$183,Data!$AM$4:$AM$183,$B175,Data!$AL$4:$AL$183,$A175,Data!$AK$4:$AK$183,$C175))</f>
        <v>0</v>
      </c>
      <c r="Z175" s="18">
        <f ca="1">IF($A175="","",SUMIFS(Data!$AT$4:$AT$183,Data!$AM$4:$AM$183,$B175,Data!$AL$4:$AL$183,$A175,Data!$AK$4:$AK$183,$C175))</f>
        <v>0</v>
      </c>
      <c r="AA175" s="18">
        <f ca="1">IF($A175="","",SUMIFS(Data!$AW$4:$AW$183,Data!$AM$4:$AM$183,$B175,Data!$AL$4:$AL$183,$A175,Data!$AK$4:$AK$183,$C175))</f>
        <v>0</v>
      </c>
      <c r="AB175" s="18">
        <f ca="1">IF($A175="","",SUMIFS(Data!$AX$4:$AX$183,Data!$AM$4:$AM$183,$B175,Data!$AL$4:$AL$183,$A175,Data!$AK$4:$AK$183,$C175))</f>
        <v>0</v>
      </c>
      <c r="AC175" s="18">
        <f ca="1">IF($A175="","",SUMIFS(Data!$AY$4:$AY$183,Data!$AM$4:$AM$183,$B175,Data!$AL$4:$AL$183,$A175,Data!$AK$4:$AK$183,$C175))</f>
        <v>0</v>
      </c>
      <c r="AD175" s="18">
        <f t="shared" ca="1" si="5"/>
        <v>0</v>
      </c>
      <c r="AE175" s="18">
        <f ca="1">IF($A175="","",SUMIFS(Data!$AJ$4:$AJ$183,Data!$AM$4:$AM$183,$B175,Data!$AL$4:$AL$183,$A175,Data!$AK$4:$AK$183,$C175))</f>
        <v>0</v>
      </c>
    </row>
    <row r="176" spans="1:31">
      <c r="A176" s="18" t="str">
        <f ca="1">IF(Data!T176="","",Data!T176)</f>
        <v>Jason</v>
      </c>
      <c r="B176" s="18" t="str">
        <f ca="1">IF(Data!U176="","",Data!U176)</f>
        <v>Brown Kritter</v>
      </c>
      <c r="C176" s="18" t="str">
        <f ca="1">IF(Data!S176="","",Data!S176)</f>
        <v>G10</v>
      </c>
      <c r="D176" s="18">
        <f ca="1">IF($A176="","",Data!W176)</f>
        <v>2</v>
      </c>
      <c r="E176" s="18">
        <f ca="1">IF($A176="","",Data!Y176)</f>
        <v>0</v>
      </c>
      <c r="F176" s="61">
        <f t="shared" ca="1" si="4"/>
        <v>0.0</v>
      </c>
      <c r="G176" s="18">
        <f ca="1">IF($A176="","",Data!AB176)</f>
        <v>0</v>
      </c>
      <c r="H176" s="18">
        <f ca="1">IF($A176="","",Data!AC176)</f>
        <v>0</v>
      </c>
      <c r="I176" s="18">
        <f ca="1">IF($A176="","",INT(SUMIFS(Data!$AN$4:$AN$183,Data!$AM$4:$AM$183,$B176,Data!$AL$4:$AL$183,$A176,Data!$AK$4:$AK$183,$C176))+MOD(ROUND(SUMIFS(Data!$AN$4:$AN$183,Data!$AM$4:$AM$183,$B176,Data!$AL$4:$AL$183,$A176,Data!$AK$4:$AK$183,$C176)*3,0),3)/10)</f>
        <v>0</v>
      </c>
      <c r="J176" s="18">
        <f ca="1">IF($A176="","",SUMIFS(Data!$AQ$4:$AQ$183,Data!$AM$4:$AM$183,$B176,Data!$AL$4:$AL$183,$A176,Data!$AK$4:$AK$183,$C176))</f>
        <v>0</v>
      </c>
      <c r="K176" s="62">
        <f ca="1">IF($A176="","",IF(SUMIFS(Data!$AN$4:$AN$183,Data!$AM$4:$AM$183,$B176,Data!$AL$4:$AL$183,$A176,Data!$AK$4:$AK$183,$C176)=0,"",J176*3/SUMIFS(Data!$AN$4:$AN$183,Data!$AM$4:$AM$183,$B176,Data!$AL$4:$AL$183,$A176,Data!$AK$4:$AK$183,$C176)))</f>
      </c>
      <c r="L176" s="18">
        <f ca="1">IF($A176="","",IF(IFERROR(_xlfn.XLOOKUP($C176,Bracket!$F$6:$F$16,Bracket!$K$6:$K$16,""),"")=$B176,1,0))</f>
        <v>0</v>
      </c>
      <c r="M176" s="18">
        <f ca="1">IF($A176="","",IF(AND(IFERROR(_xlfn.XLOOKUP($C176,Bracket!$F$6:$F$16,Bracket!$K$6:$K$16,""),"")=$B176,LEFT(IFERROR(_xlfn.XLOOKUP($C176,Bracket!$F$6:$F$16,Bracket!$G$6:$G$16,""),""),2)="CG"),1,0))</f>
        <v>0</v>
      </c>
      <c r="N176" s="18">
        <f ca="1">IF($A176="","",SUMIFS(Data!$X$4:$X$273,Data!$T$4:$T$273,$A176,Data!$U$4:$U$273,$B176,Data!$S$4:$S$273,$C176))</f>
        <v>0</v>
      </c>
      <c r="O176" s="18">
        <f ca="1">IF($A176="","",SUMIFS(Data!$Z$4:$Z$273,Data!$T$4:$T$273,$A176,Data!$U$4:$U$273,$B176,Data!$S$4:$S$273,$C176))</f>
        <v>0</v>
      </c>
      <c r="P176" s="18">
        <f ca="1">IF($A176="","",SUMIFS(Data!$AA$4:$AA$273,Data!$T$4:$T$273,$A176,Data!$U$4:$U$273,$B176,Data!$S$4:$S$273,$C176))</f>
        <v>0</v>
      </c>
      <c r="Q176" s="18">
        <f ca="1">IF($A176="","",SUMIFS(Data!$AD$4:$AD$273,Data!$T$4:$T$273,$A176,Data!$U$4:$U$273,$B176,Data!$S$4:$S$273,$C176))</f>
        <v>0</v>
      </c>
      <c r="R176" s="18">
        <f ca="1">IF($A176="","",SUMIFS(Data!$AE$4:$AE$273,Data!$T$4:$T$273,$A176,Data!$U$4:$U$273,$B176,Data!$S$4:$S$273,$C176))</f>
        <v>0</v>
      </c>
      <c r="S176" s="18">
        <f ca="1">IF($A176="","",SUMIFS(Data!$AF$4:$AF$273,Data!$T$4:$T$273,$A176,Data!$U$4:$U$273,$B176,Data!$S$4:$S$273,$C176))</f>
        <v>0</v>
      </c>
      <c r="T176" s="18">
        <f ca="1">IF($A176="","",SUMIFS(Data!$AG$4:$AG$273,Data!$T$4:$T$273,$A176,Data!$U$4:$U$273,$B176,Data!$S$4:$S$273,$C176))</f>
        <v>0</v>
      </c>
      <c r="U176" s="18">
        <f ca="1">IF($A176="","",SUMIFS(Data!$AH$4:$AH$273,Data!$T$4:$T$273,$A176,Data!$U$4:$U$273,$B176,Data!$S$4:$S$273,$C176))</f>
        <v>0</v>
      </c>
      <c r="V176" s="18">
        <f ca="1">IF($A176="","",SUMIFS(Data!$AO$4:$AO$183,Data!$AM$4:$AM$183,$B176,Data!$AL$4:$AL$183,$A176,Data!$AK$4:$AK$183,$C176))</f>
        <v>0</v>
      </c>
      <c r="W176" s="18">
        <f ca="1">IF($A176="","",SUMIFS(Data!$AP$4:$AP$183,Data!$AM$4:$AM$183,$B176,Data!$AL$4:$AL$183,$A176,Data!$AK$4:$AK$183,$C176))</f>
        <v>0</v>
      </c>
      <c r="X176" s="18">
        <f ca="1">IF($A176="","",SUMIFS(Data!$AR$4:$AR$183,Data!$AM$4:$AM$183,$B176,Data!$AL$4:$AL$183,$A176,Data!$AK$4:$AK$183,$C176))</f>
        <v>0</v>
      </c>
      <c r="Y176" s="18">
        <f ca="1">IF($A176="","",SUMIFS(Data!$AS$4:$AS$183,Data!$AM$4:$AM$183,$B176,Data!$AL$4:$AL$183,$A176,Data!$AK$4:$AK$183,$C176))</f>
        <v>0</v>
      </c>
      <c r="Z176" s="18">
        <f ca="1">IF($A176="","",SUMIFS(Data!$AT$4:$AT$183,Data!$AM$4:$AM$183,$B176,Data!$AL$4:$AL$183,$A176,Data!$AK$4:$AK$183,$C176))</f>
        <v>0</v>
      </c>
      <c r="AA176" s="18">
        <f ca="1">IF($A176="","",SUMIFS(Data!$AW$4:$AW$183,Data!$AM$4:$AM$183,$B176,Data!$AL$4:$AL$183,$A176,Data!$AK$4:$AK$183,$C176))</f>
        <v>0</v>
      </c>
      <c r="AB176" s="18">
        <f ca="1">IF($A176="","",SUMIFS(Data!$AX$4:$AX$183,Data!$AM$4:$AM$183,$B176,Data!$AL$4:$AL$183,$A176,Data!$AK$4:$AK$183,$C176))</f>
        <v>0</v>
      </c>
      <c r="AC176" s="18">
        <f ca="1">IF($A176="","",SUMIFS(Data!$AY$4:$AY$183,Data!$AM$4:$AM$183,$B176,Data!$AL$4:$AL$183,$A176,Data!$AK$4:$AK$183,$C176))</f>
        <v>0</v>
      </c>
      <c r="AD176" s="18">
        <f t="shared" ca="1" si="5"/>
        <v>0</v>
      </c>
      <c r="AE176" s="18">
        <f ca="1">IF($A176="","",SUMIFS(Data!$AJ$4:$AJ$183,Data!$AM$4:$AM$183,$B176,Data!$AL$4:$AL$183,$A176,Data!$AK$4:$AK$183,$C176))</f>
        <v>0</v>
      </c>
    </row>
    <row r="177" spans="1:31">
      <c r="A177" s="18" t="str">
        <f ca="1">IF(Data!T177="","",Data!T177)</f>
        <v>Jason</v>
      </c>
      <c r="B177" s="18" t="str">
        <f ca="1">IF(Data!U177="","",Data!U177)</f>
        <v>Bowser</v>
      </c>
      <c r="C177" s="18" t="str">
        <f ca="1">IF(Data!S177="","",Data!S177)</f>
        <v>G10</v>
      </c>
      <c r="D177" s="18">
        <f ca="1">IF($A177="","",Data!W177)</f>
        <v>2</v>
      </c>
      <c r="E177" s="18">
        <f ca="1">IF($A177="","",Data!Y177)</f>
        <v>1</v>
      </c>
      <c r="F177" s="61">
        <f t="shared" ca="1" si="4"/>
        <v>0.5</v>
      </c>
      <c r="G177" s="18">
        <f ca="1">IF($A177="","",Data!AB177)</f>
        <v>1</v>
      </c>
      <c r="H177" s="18">
        <f ca="1">IF($A177="","",Data!AC177)</f>
        <v>4</v>
      </c>
      <c r="I177" s="18">
        <f ca="1">IF($A177="","",INT(SUMIFS(Data!$AN$4:$AN$183,Data!$AM$4:$AM$183,$B177,Data!$AL$4:$AL$183,$A177,Data!$AK$4:$AK$183,$C177))+MOD(ROUND(SUMIFS(Data!$AN$4:$AN$183,Data!$AM$4:$AM$183,$B177,Data!$AL$4:$AL$183,$A177,Data!$AK$4:$AK$183,$C177)*3,0),3)/10)</f>
        <v>0</v>
      </c>
      <c r="J177" s="18">
        <f ca="1">IF($A177="","",SUMIFS(Data!$AQ$4:$AQ$183,Data!$AM$4:$AM$183,$B177,Data!$AL$4:$AL$183,$A177,Data!$AK$4:$AK$183,$C177))</f>
        <v>0</v>
      </c>
      <c r="K177" s="62">
        <f ca="1">IF($A177="","",IF(SUMIFS(Data!$AN$4:$AN$183,Data!$AM$4:$AM$183,$B177,Data!$AL$4:$AL$183,$A177,Data!$AK$4:$AK$183,$C177)=0,"",J177*3/SUMIFS(Data!$AN$4:$AN$183,Data!$AM$4:$AM$183,$B177,Data!$AL$4:$AL$183,$A177,Data!$AK$4:$AK$183,$C177)))</f>
      </c>
      <c r="L177" s="18">
        <f ca="1">IF($A177="","",IF(IFERROR(_xlfn.XLOOKUP($C177,Bracket!$F$6:$F$16,Bracket!$K$6:$K$16,""),"")=$B177,1,0))</f>
        <v>0</v>
      </c>
      <c r="M177" s="18">
        <f ca="1">IF($A177="","",IF(AND(IFERROR(_xlfn.XLOOKUP($C177,Bracket!$F$6:$F$16,Bracket!$K$6:$K$16,""),"")=$B177,LEFT(IFERROR(_xlfn.XLOOKUP($C177,Bracket!$F$6:$F$16,Bracket!$G$6:$G$16,""),""),2)="CG"),1,0))</f>
        <v>0</v>
      </c>
      <c r="N177" s="18">
        <f ca="1">IF($A177="","",SUMIFS(Data!$X$4:$X$273,Data!$T$4:$T$273,$A177,Data!$U$4:$U$273,$B177,Data!$S$4:$S$273,$C177))</f>
        <v>1</v>
      </c>
      <c r="O177" s="18">
        <f ca="1">IF($A177="","",SUMIFS(Data!$Z$4:$Z$273,Data!$T$4:$T$273,$A177,Data!$U$4:$U$273,$B177,Data!$S$4:$S$273,$C177))</f>
        <v>0</v>
      </c>
      <c r="P177" s="18">
        <f ca="1">IF($A177="","",SUMIFS(Data!$AA$4:$AA$273,Data!$T$4:$T$273,$A177,Data!$U$4:$U$273,$B177,Data!$S$4:$S$273,$C177))</f>
        <v>0</v>
      </c>
      <c r="Q177" s="18">
        <f ca="1">IF($A177="","",SUMIFS(Data!$AD$4:$AD$273,Data!$T$4:$T$273,$A177,Data!$U$4:$U$273,$B177,Data!$S$4:$S$273,$C177))</f>
        <v>0</v>
      </c>
      <c r="R177" s="18">
        <f ca="1">IF($A177="","",SUMIFS(Data!$AE$4:$AE$273,Data!$T$4:$T$273,$A177,Data!$U$4:$U$273,$B177,Data!$S$4:$S$273,$C177))</f>
        <v>0</v>
      </c>
      <c r="S177" s="18">
        <f ca="1">IF($A177="","",SUMIFS(Data!$AF$4:$AF$273,Data!$T$4:$T$273,$A177,Data!$U$4:$U$273,$B177,Data!$S$4:$S$273,$C177))</f>
        <v>0</v>
      </c>
      <c r="T177" s="18">
        <f ca="1">IF($A177="","",SUMIFS(Data!$AG$4:$AG$273,Data!$T$4:$T$273,$A177,Data!$U$4:$U$273,$B177,Data!$S$4:$S$273,$C177))</f>
        <v>0</v>
      </c>
      <c r="U177" s="18">
        <f ca="1">IF($A177="","",SUMIFS(Data!$AH$4:$AH$273,Data!$T$4:$T$273,$A177,Data!$U$4:$U$273,$B177,Data!$S$4:$S$273,$C177))</f>
        <v>0</v>
      </c>
      <c r="V177" s="18">
        <f ca="1">IF($A177="","",SUMIFS(Data!$AO$4:$AO$183,Data!$AM$4:$AM$183,$B177,Data!$AL$4:$AL$183,$A177,Data!$AK$4:$AK$183,$C177))</f>
        <v>0</v>
      </c>
      <c r="W177" s="18">
        <f ca="1">IF($A177="","",SUMIFS(Data!$AP$4:$AP$183,Data!$AM$4:$AM$183,$B177,Data!$AL$4:$AL$183,$A177,Data!$AK$4:$AK$183,$C177))</f>
        <v>0</v>
      </c>
      <c r="X177" s="18">
        <f ca="1">IF($A177="","",SUMIFS(Data!$AR$4:$AR$183,Data!$AM$4:$AM$183,$B177,Data!$AL$4:$AL$183,$A177,Data!$AK$4:$AK$183,$C177))</f>
        <v>0</v>
      </c>
      <c r="Y177" s="18">
        <f ca="1">IF($A177="","",SUMIFS(Data!$AS$4:$AS$183,Data!$AM$4:$AM$183,$B177,Data!$AL$4:$AL$183,$A177,Data!$AK$4:$AK$183,$C177))</f>
        <v>0</v>
      </c>
      <c r="Z177" s="18">
        <f ca="1">IF($A177="","",SUMIFS(Data!$AT$4:$AT$183,Data!$AM$4:$AM$183,$B177,Data!$AL$4:$AL$183,$A177,Data!$AK$4:$AK$183,$C177))</f>
        <v>0</v>
      </c>
      <c r="AA177" s="18">
        <f ca="1">IF($A177="","",SUMIFS(Data!$AW$4:$AW$183,Data!$AM$4:$AM$183,$B177,Data!$AL$4:$AL$183,$A177,Data!$AK$4:$AK$183,$C177))</f>
        <v>0</v>
      </c>
      <c r="AB177" s="18">
        <f ca="1">IF($A177="","",SUMIFS(Data!$AX$4:$AX$183,Data!$AM$4:$AM$183,$B177,Data!$AL$4:$AL$183,$A177,Data!$AK$4:$AK$183,$C177))</f>
        <v>0</v>
      </c>
      <c r="AC177" s="18">
        <f ca="1">IF($A177="","",SUMIFS(Data!$AY$4:$AY$183,Data!$AM$4:$AM$183,$B177,Data!$AL$4:$AL$183,$A177,Data!$AK$4:$AK$183,$C177))</f>
        <v>0</v>
      </c>
      <c r="AD177" s="18">
        <f t="shared" ca="1" si="5"/>
        <v>0</v>
      </c>
      <c r="AE177" s="18">
        <f ca="1">IF($A177="","",SUMIFS(Data!$AJ$4:$AJ$183,Data!$AM$4:$AM$183,$B177,Data!$AL$4:$AL$183,$A177,Data!$AK$4:$AK$183,$C177))</f>
        <v>0</v>
      </c>
    </row>
    <row r="178" spans="1:31">
      <c r="A178" s="18" t="str">
        <f ca="1">IF(Data!T178="","",Data!T178)</f>
        <v>Jason</v>
      </c>
      <c r="B178" s="18" t="str">
        <f ca="1">IF(Data!U178="","",Data!U178)</f>
        <v>King K. Rool</v>
      </c>
      <c r="C178" s="18" t="str">
        <f ca="1">IF(Data!S178="","",Data!S178)</f>
        <v>G10</v>
      </c>
      <c r="D178" s="18">
        <f ca="1">IF($A178="","",Data!W178)</f>
        <v>2</v>
      </c>
      <c r="E178" s="18">
        <f ca="1">IF($A178="","",Data!Y178)</f>
        <v>1</v>
      </c>
      <c r="F178" s="61">
        <f t="shared" ca="1" si="4"/>
        <v>0.5</v>
      </c>
      <c r="G178" s="18">
        <f ca="1">IF($A178="","",Data!AB178)</f>
        <v>0</v>
      </c>
      <c r="H178" s="18">
        <f ca="1">IF($A178="","",Data!AC178)</f>
        <v>0</v>
      </c>
      <c r="I178" s="18">
        <f ca="1">IF($A178="","",INT(SUMIFS(Data!$AN$4:$AN$183,Data!$AM$4:$AM$183,$B178,Data!$AL$4:$AL$183,$A178,Data!$AK$4:$AK$183,$C178))+MOD(ROUND(SUMIFS(Data!$AN$4:$AN$183,Data!$AM$4:$AM$183,$B178,Data!$AL$4:$AL$183,$A178,Data!$AK$4:$AK$183,$C178)*3,0),3)/10)</f>
        <v>1</v>
      </c>
      <c r="J178" s="18">
        <f ca="1">IF($A178="","",SUMIFS(Data!$AQ$4:$AQ$183,Data!$AM$4:$AM$183,$B178,Data!$AL$4:$AL$183,$A178,Data!$AK$4:$AK$183,$C178))</f>
        <v>0</v>
      </c>
      <c r="K178" s="62">
        <f ca="1">IF($A178="","",IF(SUMIFS(Data!$AN$4:$AN$183,Data!$AM$4:$AM$183,$B178,Data!$AL$4:$AL$183,$A178,Data!$AK$4:$AK$183,$C178)=0,"",J178*3/SUMIFS(Data!$AN$4:$AN$183,Data!$AM$4:$AM$183,$B178,Data!$AL$4:$AL$183,$A178,Data!$AK$4:$AK$183,$C178)))</f>
        <v>0.0</v>
      </c>
      <c r="L178" s="18">
        <f ca="1">IF($A178="","",IF(IFERROR(_xlfn.XLOOKUP($C178,Bracket!$F$6:$F$16,Bracket!$K$6:$K$16,""),"")=$B178,1,0))</f>
        <v>0</v>
      </c>
      <c r="M178" s="18">
        <f ca="1">IF($A178="","",IF(AND(IFERROR(_xlfn.XLOOKUP($C178,Bracket!$F$6:$F$16,Bracket!$K$6:$K$16,""),"")=$B178,LEFT(IFERROR(_xlfn.XLOOKUP($C178,Bracket!$F$6:$F$16,Bracket!$G$6:$G$16,""),""),2)="CG"),1,0))</f>
        <v>0</v>
      </c>
      <c r="N178" s="18">
        <f ca="1">IF($A178="","",SUMIFS(Data!$X$4:$X$273,Data!$T$4:$T$273,$A178,Data!$U$4:$U$273,$B178,Data!$S$4:$S$273,$C178))</f>
        <v>0</v>
      </c>
      <c r="O178" s="18">
        <f ca="1">IF($A178="","",SUMIFS(Data!$Z$4:$Z$273,Data!$T$4:$T$273,$A178,Data!$U$4:$U$273,$B178,Data!$S$4:$S$273,$C178))</f>
        <v>0</v>
      </c>
      <c r="P178" s="18">
        <f ca="1">IF($A178="","",SUMIFS(Data!$AA$4:$AA$273,Data!$T$4:$T$273,$A178,Data!$U$4:$U$273,$B178,Data!$S$4:$S$273,$C178))</f>
        <v>0</v>
      </c>
      <c r="Q178" s="18">
        <f ca="1">IF($A178="","",SUMIFS(Data!$AD$4:$AD$273,Data!$T$4:$T$273,$A178,Data!$U$4:$U$273,$B178,Data!$S$4:$S$273,$C178))</f>
        <v>0</v>
      </c>
      <c r="R178" s="18">
        <f ca="1">IF($A178="","",SUMIFS(Data!$AE$4:$AE$273,Data!$T$4:$T$273,$A178,Data!$U$4:$U$273,$B178,Data!$S$4:$S$273,$C178))</f>
        <v>1</v>
      </c>
      <c r="S178" s="18">
        <f ca="1">IF($A178="","",SUMIFS(Data!$AF$4:$AF$273,Data!$T$4:$T$273,$A178,Data!$U$4:$U$273,$B178,Data!$S$4:$S$273,$C178))</f>
        <v>0</v>
      </c>
      <c r="T178" s="18">
        <f ca="1">IF($A178="","",SUMIFS(Data!$AG$4:$AG$273,Data!$T$4:$T$273,$A178,Data!$U$4:$U$273,$B178,Data!$S$4:$S$273,$C178))</f>
        <v>0</v>
      </c>
      <c r="U178" s="18">
        <f ca="1">IF($A178="","",SUMIFS(Data!$AH$4:$AH$273,Data!$T$4:$T$273,$A178,Data!$U$4:$U$273,$B178,Data!$S$4:$S$273,$C178))</f>
        <v>0</v>
      </c>
      <c r="V178" s="18">
        <f ca="1">IF($A178="","",SUMIFS(Data!$AO$4:$AO$183,Data!$AM$4:$AM$183,$B178,Data!$AL$4:$AL$183,$A178,Data!$AK$4:$AK$183,$C178))</f>
        <v>1</v>
      </c>
      <c r="W178" s="18">
        <f ca="1">IF($A178="","",SUMIFS(Data!$AP$4:$AP$183,Data!$AM$4:$AM$183,$B178,Data!$AL$4:$AL$183,$A178,Data!$AK$4:$AK$183,$C178))</f>
        <v>0</v>
      </c>
      <c r="X178" s="18">
        <f ca="1">IF($A178="","",SUMIFS(Data!$AR$4:$AR$183,Data!$AM$4:$AM$183,$B178,Data!$AL$4:$AL$183,$A178,Data!$AK$4:$AK$183,$C178))</f>
        <v>0</v>
      </c>
      <c r="Y178" s="18">
        <f ca="1">IF($A178="","",SUMIFS(Data!$AS$4:$AS$183,Data!$AM$4:$AM$183,$B178,Data!$AL$4:$AL$183,$A178,Data!$AK$4:$AK$183,$C178))</f>
        <v>0</v>
      </c>
      <c r="Z178" s="18">
        <f ca="1">IF($A178="","",SUMIFS(Data!$AT$4:$AT$183,Data!$AM$4:$AM$183,$B178,Data!$AL$4:$AL$183,$A178,Data!$AK$4:$AK$183,$C178))</f>
        <v>0</v>
      </c>
      <c r="AA178" s="18">
        <f ca="1">IF($A178="","",SUMIFS(Data!$AW$4:$AW$183,Data!$AM$4:$AM$183,$B178,Data!$AL$4:$AL$183,$A178,Data!$AK$4:$AK$183,$C178))</f>
        <v>0</v>
      </c>
      <c r="AB178" s="18">
        <f ca="1">IF($A178="","",SUMIFS(Data!$AX$4:$AX$183,Data!$AM$4:$AM$183,$B178,Data!$AL$4:$AL$183,$A178,Data!$AK$4:$AK$183,$C178))</f>
        <v>0</v>
      </c>
      <c r="AC178" s="18">
        <f ca="1">IF($A178="","",SUMIFS(Data!$AY$4:$AY$183,Data!$AM$4:$AM$183,$B178,Data!$AL$4:$AL$183,$A178,Data!$AK$4:$AK$183,$C178))</f>
        <v>0</v>
      </c>
      <c r="AD178" s="18">
        <f t="shared" ca="1" si="5"/>
        <v>1.0</v>
      </c>
      <c r="AE178" s="18">
        <f ca="1">IF($A178="","",SUMIFS(Data!$AJ$4:$AJ$183,Data!$AM$4:$AM$183,$B178,Data!$AL$4:$AL$183,$A178,Data!$AK$4:$AK$183,$C178))</f>
        <v>3</v>
      </c>
    </row>
    <row r="179" spans="1:31">
      <c r="A179" s="18" t="str">
        <f ca="1">IF(Data!T179="","",Data!T179)</f>
        <v>Jason</v>
      </c>
      <c r="B179" s="18" t="str">
        <f ca="1">IF(Data!U179="","",Data!U179)</f>
        <v>Blooper</v>
      </c>
      <c r="C179" s="18" t="str">
        <f ca="1">IF(Data!S179="","",Data!S179)</f>
        <v>G10</v>
      </c>
      <c r="D179" s="18">
        <f ca="1">IF($A179="","",Data!W179)</f>
        <v>2</v>
      </c>
      <c r="E179" s="18">
        <f ca="1">IF($A179="","",Data!Y179)</f>
        <v>1</v>
      </c>
      <c r="F179" s="61">
        <f t="shared" ca="1" si="4"/>
        <v>0.5</v>
      </c>
      <c r="G179" s="18">
        <f ca="1">IF($A179="","",Data!AB179)</f>
        <v>0</v>
      </c>
      <c r="H179" s="18">
        <f ca="1">IF($A179="","",Data!AC179)</f>
        <v>0</v>
      </c>
      <c r="I179" s="18">
        <f ca="1">IF($A179="","",INT(SUMIFS(Data!$AN$4:$AN$183,Data!$AM$4:$AM$183,$B179,Data!$AL$4:$AL$183,$A179,Data!$AK$4:$AK$183,$C179))+MOD(ROUND(SUMIFS(Data!$AN$4:$AN$183,Data!$AM$4:$AM$183,$B179,Data!$AL$4:$AL$183,$A179,Data!$AK$4:$AK$183,$C179)*3,0),3)/10)</f>
        <v>0</v>
      </c>
      <c r="J179" s="18">
        <f ca="1">IF($A179="","",SUMIFS(Data!$AQ$4:$AQ$183,Data!$AM$4:$AM$183,$B179,Data!$AL$4:$AL$183,$A179,Data!$AK$4:$AK$183,$C179))</f>
        <v>0</v>
      </c>
      <c r="K179" s="62">
        <f ca="1">IF($A179="","",IF(SUMIFS(Data!$AN$4:$AN$183,Data!$AM$4:$AM$183,$B179,Data!$AL$4:$AL$183,$A179,Data!$AK$4:$AK$183,$C179)=0,"",J179*3/SUMIFS(Data!$AN$4:$AN$183,Data!$AM$4:$AM$183,$B179,Data!$AL$4:$AL$183,$A179,Data!$AK$4:$AK$183,$C179)))</f>
      </c>
      <c r="L179" s="18">
        <f ca="1">IF($A179="","",IF(IFERROR(_xlfn.XLOOKUP($C179,Bracket!$F$6:$F$16,Bracket!$K$6:$K$16,""),"")=$B179,1,0))</f>
        <v>0</v>
      </c>
      <c r="M179" s="18">
        <f ca="1">IF($A179="","",IF(AND(IFERROR(_xlfn.XLOOKUP($C179,Bracket!$F$6:$F$16,Bracket!$K$6:$K$16,""),"")=$B179,LEFT(IFERROR(_xlfn.XLOOKUP($C179,Bracket!$F$6:$F$16,Bracket!$G$6:$G$16,""),""),2)="CG"),1,0))</f>
        <v>0</v>
      </c>
      <c r="N179" s="18">
        <f ca="1">IF($A179="","",SUMIFS(Data!$X$4:$X$273,Data!$T$4:$T$273,$A179,Data!$U$4:$U$273,$B179,Data!$S$4:$S$273,$C179))</f>
        <v>0</v>
      </c>
      <c r="O179" s="18">
        <f ca="1">IF($A179="","",SUMIFS(Data!$Z$4:$Z$273,Data!$T$4:$T$273,$A179,Data!$U$4:$U$273,$B179,Data!$S$4:$S$273,$C179))</f>
        <v>0</v>
      </c>
      <c r="P179" s="18">
        <f ca="1">IF($A179="","",SUMIFS(Data!$AA$4:$AA$273,Data!$T$4:$T$273,$A179,Data!$U$4:$U$273,$B179,Data!$S$4:$S$273,$C179))</f>
        <v>0</v>
      </c>
      <c r="Q179" s="18">
        <f ca="1">IF($A179="","",SUMIFS(Data!$AD$4:$AD$273,Data!$T$4:$T$273,$A179,Data!$U$4:$U$273,$B179,Data!$S$4:$S$273,$C179))</f>
        <v>0</v>
      </c>
      <c r="R179" s="18">
        <f ca="1">IF($A179="","",SUMIFS(Data!$AE$4:$AE$273,Data!$T$4:$T$273,$A179,Data!$U$4:$U$273,$B179,Data!$S$4:$S$273,$C179))</f>
        <v>0</v>
      </c>
      <c r="S179" s="18">
        <f ca="1">IF($A179="","",SUMIFS(Data!$AF$4:$AF$273,Data!$T$4:$T$273,$A179,Data!$U$4:$U$273,$B179,Data!$S$4:$S$273,$C179))</f>
        <v>0</v>
      </c>
      <c r="T179" s="18">
        <f ca="1">IF($A179="","",SUMIFS(Data!$AG$4:$AG$273,Data!$T$4:$T$273,$A179,Data!$U$4:$U$273,$B179,Data!$S$4:$S$273,$C179))</f>
        <v>0</v>
      </c>
      <c r="U179" s="18">
        <f ca="1">IF($A179="","",SUMIFS(Data!$AH$4:$AH$273,Data!$T$4:$T$273,$A179,Data!$U$4:$U$273,$B179,Data!$S$4:$S$273,$C179))</f>
        <v>0</v>
      </c>
      <c r="V179" s="18">
        <f ca="1">IF($A179="","",SUMIFS(Data!$AO$4:$AO$183,Data!$AM$4:$AM$183,$B179,Data!$AL$4:$AL$183,$A179,Data!$AK$4:$AK$183,$C179))</f>
        <v>0</v>
      </c>
      <c r="W179" s="18">
        <f ca="1">IF($A179="","",SUMIFS(Data!$AP$4:$AP$183,Data!$AM$4:$AM$183,$B179,Data!$AL$4:$AL$183,$A179,Data!$AK$4:$AK$183,$C179))</f>
        <v>0</v>
      </c>
      <c r="X179" s="18">
        <f ca="1">IF($A179="","",SUMIFS(Data!$AR$4:$AR$183,Data!$AM$4:$AM$183,$B179,Data!$AL$4:$AL$183,$A179,Data!$AK$4:$AK$183,$C179))</f>
        <v>0</v>
      </c>
      <c r="Y179" s="18">
        <f ca="1">IF($A179="","",SUMIFS(Data!$AS$4:$AS$183,Data!$AM$4:$AM$183,$B179,Data!$AL$4:$AL$183,$A179,Data!$AK$4:$AK$183,$C179))</f>
        <v>0</v>
      </c>
      <c r="Z179" s="18">
        <f ca="1">IF($A179="","",SUMIFS(Data!$AT$4:$AT$183,Data!$AM$4:$AM$183,$B179,Data!$AL$4:$AL$183,$A179,Data!$AK$4:$AK$183,$C179))</f>
        <v>0</v>
      </c>
      <c r="AA179" s="18">
        <f ca="1">IF($A179="","",SUMIFS(Data!$AW$4:$AW$183,Data!$AM$4:$AM$183,$B179,Data!$AL$4:$AL$183,$A179,Data!$AK$4:$AK$183,$C179))</f>
        <v>0</v>
      </c>
      <c r="AB179" s="18">
        <f ca="1">IF($A179="","",SUMIFS(Data!$AX$4:$AX$183,Data!$AM$4:$AM$183,$B179,Data!$AL$4:$AL$183,$A179,Data!$AK$4:$AK$183,$C179))</f>
        <v>0</v>
      </c>
      <c r="AC179" s="18">
        <f ca="1">IF($A179="","",SUMIFS(Data!$AY$4:$AY$183,Data!$AM$4:$AM$183,$B179,Data!$AL$4:$AL$183,$A179,Data!$AK$4:$AK$183,$C179))</f>
        <v>0</v>
      </c>
      <c r="AD179" s="18">
        <f t="shared" ca="1" si="5"/>
        <v>0</v>
      </c>
      <c r="AE179" s="18">
        <f ca="1">IF($A179="","",SUMIFS(Data!$AJ$4:$AJ$183,Data!$AM$4:$AM$183,$B179,Data!$AL$4:$AL$183,$A179,Data!$AK$4:$AK$183,$C179))</f>
        <v>0</v>
      </c>
    </row>
    <row r="180" spans="1:31">
      <c r="A180" s="18" t="str">
        <f ca="1">IF(Data!T180="","",Data!T180)</f>
        <v>Jason</v>
      </c>
      <c r="B180" s="18" t="str">
        <f ca="1">IF(Data!U180="","",Data!U180)</f>
        <v>Yellow Toad</v>
      </c>
      <c r="C180" s="18" t="str">
        <f ca="1">IF(Data!S180="","",Data!S180)</f>
        <v>G10</v>
      </c>
      <c r="D180" s="18">
        <f ca="1">IF($A180="","",Data!W180)</f>
        <v>2</v>
      </c>
      <c r="E180" s="18">
        <f ca="1">IF($A180="","",Data!Y180)</f>
        <v>1</v>
      </c>
      <c r="F180" s="61">
        <f t="shared" ca="1" si="4"/>
        <v>0.5</v>
      </c>
      <c r="G180" s="18">
        <f ca="1">IF($A180="","",Data!AB180)</f>
        <v>0</v>
      </c>
      <c r="H180" s="18">
        <f ca="1">IF($A180="","",Data!AC180)</f>
        <v>0</v>
      </c>
      <c r="I180" s="18">
        <f ca="1">IF($A180="","",INT(SUMIFS(Data!$AN$4:$AN$183,Data!$AM$4:$AM$183,$B180,Data!$AL$4:$AL$183,$A180,Data!$AK$4:$AK$183,$C180))+MOD(ROUND(SUMIFS(Data!$AN$4:$AN$183,Data!$AM$4:$AM$183,$B180,Data!$AL$4:$AL$183,$A180,Data!$AK$4:$AK$183,$C180)*3,0),3)/10)</f>
        <v>0</v>
      </c>
      <c r="J180" s="18">
        <f ca="1">IF($A180="","",SUMIFS(Data!$AQ$4:$AQ$183,Data!$AM$4:$AM$183,$B180,Data!$AL$4:$AL$183,$A180,Data!$AK$4:$AK$183,$C180))</f>
        <v>0</v>
      </c>
      <c r="K180" s="62">
        <f ca="1">IF($A180="","",IF(SUMIFS(Data!$AN$4:$AN$183,Data!$AM$4:$AM$183,$B180,Data!$AL$4:$AL$183,$A180,Data!$AK$4:$AK$183,$C180)=0,"",J180*3/SUMIFS(Data!$AN$4:$AN$183,Data!$AM$4:$AM$183,$B180,Data!$AL$4:$AL$183,$A180,Data!$AK$4:$AK$183,$C180)))</f>
      </c>
      <c r="L180" s="18">
        <f ca="1">IF($A180="","",IF(IFERROR(_xlfn.XLOOKUP($C180,Bracket!$F$6:$F$16,Bracket!$K$6:$K$16,""),"")=$B180,1,0))</f>
        <v>0</v>
      </c>
      <c r="M180" s="18">
        <f ca="1">IF($A180="","",IF(AND(IFERROR(_xlfn.XLOOKUP($C180,Bracket!$F$6:$F$16,Bracket!$K$6:$K$16,""),"")=$B180,LEFT(IFERROR(_xlfn.XLOOKUP($C180,Bracket!$F$6:$F$16,Bracket!$G$6:$G$16,""),""),2)="CG"),1,0))</f>
        <v>0</v>
      </c>
      <c r="N180" s="18">
        <f ca="1">IF($A180="","",SUMIFS(Data!$X$4:$X$273,Data!$T$4:$T$273,$A180,Data!$U$4:$U$273,$B180,Data!$S$4:$S$273,$C180))</f>
        <v>0</v>
      </c>
      <c r="O180" s="18">
        <f ca="1">IF($A180="","",SUMIFS(Data!$Z$4:$Z$273,Data!$T$4:$T$273,$A180,Data!$U$4:$U$273,$B180,Data!$S$4:$S$273,$C180))</f>
        <v>0</v>
      </c>
      <c r="P180" s="18">
        <f ca="1">IF($A180="","",SUMIFS(Data!$AA$4:$AA$273,Data!$T$4:$T$273,$A180,Data!$U$4:$U$273,$B180,Data!$S$4:$S$273,$C180))</f>
        <v>0</v>
      </c>
      <c r="Q180" s="18">
        <f ca="1">IF($A180="","",SUMIFS(Data!$AD$4:$AD$273,Data!$T$4:$T$273,$A180,Data!$U$4:$U$273,$B180,Data!$S$4:$S$273,$C180))</f>
        <v>0</v>
      </c>
      <c r="R180" s="18">
        <f ca="1">IF($A180="","",SUMIFS(Data!$AE$4:$AE$273,Data!$T$4:$T$273,$A180,Data!$U$4:$U$273,$B180,Data!$S$4:$S$273,$C180))</f>
        <v>0</v>
      </c>
      <c r="S180" s="18">
        <f ca="1">IF($A180="","",SUMIFS(Data!$AF$4:$AF$273,Data!$T$4:$T$273,$A180,Data!$U$4:$U$273,$B180,Data!$S$4:$S$273,$C180))</f>
        <v>0</v>
      </c>
      <c r="T180" s="18">
        <f ca="1">IF($A180="","",SUMIFS(Data!$AG$4:$AG$273,Data!$T$4:$T$273,$A180,Data!$U$4:$U$273,$B180,Data!$S$4:$S$273,$C180))</f>
        <v>0</v>
      </c>
      <c r="U180" s="18">
        <f ca="1">IF($A180="","",SUMIFS(Data!$AH$4:$AH$273,Data!$T$4:$T$273,$A180,Data!$U$4:$U$273,$B180,Data!$S$4:$S$273,$C180))</f>
        <v>0</v>
      </c>
      <c r="V180" s="18">
        <f ca="1">IF($A180="","",SUMIFS(Data!$AO$4:$AO$183,Data!$AM$4:$AM$183,$B180,Data!$AL$4:$AL$183,$A180,Data!$AK$4:$AK$183,$C180))</f>
        <v>0</v>
      </c>
      <c r="W180" s="18">
        <f ca="1">IF($A180="","",SUMIFS(Data!$AP$4:$AP$183,Data!$AM$4:$AM$183,$B180,Data!$AL$4:$AL$183,$A180,Data!$AK$4:$AK$183,$C180))</f>
        <v>0</v>
      </c>
      <c r="X180" s="18">
        <f ca="1">IF($A180="","",SUMIFS(Data!$AR$4:$AR$183,Data!$AM$4:$AM$183,$B180,Data!$AL$4:$AL$183,$A180,Data!$AK$4:$AK$183,$C180))</f>
        <v>0</v>
      </c>
      <c r="Y180" s="18">
        <f ca="1">IF($A180="","",SUMIFS(Data!$AS$4:$AS$183,Data!$AM$4:$AM$183,$B180,Data!$AL$4:$AL$183,$A180,Data!$AK$4:$AK$183,$C180))</f>
        <v>0</v>
      </c>
      <c r="Z180" s="18">
        <f ca="1">IF($A180="","",SUMIFS(Data!$AT$4:$AT$183,Data!$AM$4:$AM$183,$B180,Data!$AL$4:$AL$183,$A180,Data!$AK$4:$AK$183,$C180))</f>
        <v>0</v>
      </c>
      <c r="AA180" s="18">
        <f ca="1">IF($A180="","",SUMIFS(Data!$AW$4:$AW$183,Data!$AM$4:$AM$183,$B180,Data!$AL$4:$AL$183,$A180,Data!$AK$4:$AK$183,$C180))</f>
        <v>0</v>
      </c>
      <c r="AB180" s="18">
        <f ca="1">IF($A180="","",SUMIFS(Data!$AX$4:$AX$183,Data!$AM$4:$AM$183,$B180,Data!$AL$4:$AL$183,$A180,Data!$AK$4:$AK$183,$C180))</f>
        <v>0</v>
      </c>
      <c r="AC180" s="18">
        <f ca="1">IF($A180="","",SUMIFS(Data!$AY$4:$AY$183,Data!$AM$4:$AM$183,$B180,Data!$AL$4:$AL$183,$A180,Data!$AK$4:$AK$183,$C180))</f>
        <v>0</v>
      </c>
      <c r="AD180" s="18">
        <f t="shared" ca="1" si="5"/>
        <v>0</v>
      </c>
      <c r="AE180" s="18">
        <f ca="1">IF($A180="","",SUMIFS(Data!$AJ$4:$AJ$183,Data!$AM$4:$AM$183,$B180,Data!$AL$4:$AL$183,$A180,Data!$AK$4:$AK$183,$C180))</f>
        <v>0</v>
      </c>
    </row>
    <row r="181" spans="1:31">
      <c r="A181" s="18" t="str">
        <f ca="1">IF(Data!T181="","",Data!T181)</f>
        <v>Jason</v>
      </c>
      <c r="B181" s="18" t="str">
        <f ca="1">IF(Data!U181="","",Data!U181)</f>
        <v>Peach</v>
      </c>
      <c r="C181" s="18" t="str">
        <f ca="1">IF(Data!S181="","",Data!S181)</f>
        <v>G10</v>
      </c>
      <c r="D181" s="18">
        <f ca="1">IF($A181="","",Data!W181)</f>
        <v>2</v>
      </c>
      <c r="E181" s="18">
        <f ca="1">IF($A181="","",Data!Y181)</f>
        <v>0</v>
      </c>
      <c r="F181" s="61">
        <f t="shared" ca="1" si="4"/>
        <v>0.0</v>
      </c>
      <c r="G181" s="18">
        <f ca="1">IF($A181="","",Data!AB181)</f>
        <v>0</v>
      </c>
      <c r="H181" s="18">
        <f ca="1">IF($A181="","",Data!AC181)</f>
        <v>0</v>
      </c>
      <c r="I181" s="18">
        <f ca="1">IF($A181="","",INT(SUMIFS(Data!$AN$4:$AN$183,Data!$AM$4:$AM$183,$B181,Data!$AL$4:$AL$183,$A181,Data!$AK$4:$AK$183,$C181))+MOD(ROUND(SUMIFS(Data!$AN$4:$AN$183,Data!$AM$4:$AM$183,$B181,Data!$AL$4:$AL$183,$A181,Data!$AK$4:$AK$183,$C181)*3,0),3)/10)</f>
        <v>2</v>
      </c>
      <c r="J181" s="18">
        <f ca="1">IF($A181="","",SUMIFS(Data!$AQ$4:$AQ$183,Data!$AM$4:$AM$183,$B181,Data!$AL$4:$AL$183,$A181,Data!$AK$4:$AK$183,$C181))</f>
        <v>0</v>
      </c>
      <c r="K181" s="62">
        <f ca="1">IF($A181="","",IF(SUMIFS(Data!$AN$4:$AN$183,Data!$AM$4:$AM$183,$B181,Data!$AL$4:$AL$183,$A181,Data!$AK$4:$AK$183,$C181)=0,"",J181*3/SUMIFS(Data!$AN$4:$AN$183,Data!$AM$4:$AM$183,$B181,Data!$AL$4:$AL$183,$A181,Data!$AK$4:$AK$183,$C181)))</f>
        <v>0.0</v>
      </c>
      <c r="L181" s="18">
        <f ca="1">IF($A181="","",IF(IFERROR(_xlfn.XLOOKUP($C181,Bracket!$F$6:$F$16,Bracket!$K$6:$K$16,""),"")=$B181,1,0))</f>
        <v>0</v>
      </c>
      <c r="M181" s="18">
        <f ca="1">IF($A181="","",IF(AND(IFERROR(_xlfn.XLOOKUP($C181,Bracket!$F$6:$F$16,Bracket!$K$6:$K$16,""),"")=$B181,LEFT(IFERROR(_xlfn.XLOOKUP($C181,Bracket!$F$6:$F$16,Bracket!$G$6:$G$16,""),""),2)="CG"),1,0))</f>
        <v>0</v>
      </c>
      <c r="N181" s="18">
        <f ca="1">IF($A181="","",SUMIFS(Data!$X$4:$X$273,Data!$T$4:$T$273,$A181,Data!$U$4:$U$273,$B181,Data!$S$4:$S$273,$C181))</f>
        <v>0</v>
      </c>
      <c r="O181" s="18">
        <f ca="1">IF($A181="","",SUMIFS(Data!$Z$4:$Z$273,Data!$T$4:$T$273,$A181,Data!$U$4:$U$273,$B181,Data!$S$4:$S$273,$C181))</f>
        <v>0</v>
      </c>
      <c r="P181" s="18">
        <f ca="1">IF($A181="","",SUMIFS(Data!$AA$4:$AA$273,Data!$T$4:$T$273,$A181,Data!$U$4:$U$273,$B181,Data!$S$4:$S$273,$C181))</f>
        <v>0</v>
      </c>
      <c r="Q181" s="18">
        <f ca="1">IF($A181="","",SUMIFS(Data!$AD$4:$AD$273,Data!$T$4:$T$273,$A181,Data!$U$4:$U$273,$B181,Data!$S$4:$S$273,$C181))</f>
        <v>0</v>
      </c>
      <c r="R181" s="18">
        <f ca="1">IF($A181="","",SUMIFS(Data!$AE$4:$AE$273,Data!$T$4:$T$273,$A181,Data!$U$4:$U$273,$B181,Data!$S$4:$S$273,$C181))</f>
        <v>0</v>
      </c>
      <c r="S181" s="18">
        <f ca="1">IF($A181="","",SUMIFS(Data!$AF$4:$AF$273,Data!$T$4:$T$273,$A181,Data!$U$4:$U$273,$B181,Data!$S$4:$S$273,$C181))</f>
        <v>0</v>
      </c>
      <c r="T181" s="18">
        <f ca="1">IF($A181="","",SUMIFS(Data!$AG$4:$AG$273,Data!$T$4:$T$273,$A181,Data!$U$4:$U$273,$B181,Data!$S$4:$S$273,$C181))</f>
        <v>0</v>
      </c>
      <c r="U181" s="18">
        <f ca="1">IF($A181="","",SUMIFS(Data!$AH$4:$AH$273,Data!$T$4:$T$273,$A181,Data!$U$4:$U$273,$B181,Data!$S$4:$S$273,$C181))</f>
        <v>0</v>
      </c>
      <c r="V181" s="18">
        <f ca="1">IF($A181="","",SUMIFS(Data!$AO$4:$AO$183,Data!$AM$4:$AM$183,$B181,Data!$AL$4:$AL$183,$A181,Data!$AK$4:$AK$183,$C181))</f>
        <v>3</v>
      </c>
      <c r="W181" s="18">
        <f ca="1">IF($A181="","",SUMIFS(Data!$AP$4:$AP$183,Data!$AM$4:$AM$183,$B181,Data!$AL$4:$AL$183,$A181,Data!$AK$4:$AK$183,$C181))</f>
        <v>0</v>
      </c>
      <c r="X181" s="18">
        <f ca="1">IF($A181="","",SUMIFS(Data!$AR$4:$AR$183,Data!$AM$4:$AM$183,$B181,Data!$AL$4:$AL$183,$A181,Data!$AK$4:$AK$183,$C181))</f>
        <v>0</v>
      </c>
      <c r="Y181" s="18">
        <f ca="1">IF($A181="","",SUMIFS(Data!$AS$4:$AS$183,Data!$AM$4:$AM$183,$B181,Data!$AL$4:$AL$183,$A181,Data!$AK$4:$AK$183,$C181))</f>
        <v>5</v>
      </c>
      <c r="Z181" s="18">
        <f ca="1">IF($A181="","",SUMIFS(Data!$AT$4:$AT$183,Data!$AM$4:$AM$183,$B181,Data!$AL$4:$AL$183,$A181,Data!$AK$4:$AK$183,$C181))</f>
        <v>0</v>
      </c>
      <c r="AA181" s="18">
        <f ca="1">IF($A181="","",SUMIFS(Data!$AW$4:$AW$183,Data!$AM$4:$AM$183,$B181,Data!$AL$4:$AL$183,$A181,Data!$AK$4:$AK$183,$C181))</f>
        <v>0</v>
      </c>
      <c r="AB181" s="18">
        <f ca="1">IF($A181="","",SUMIFS(Data!$AX$4:$AX$183,Data!$AM$4:$AM$183,$B181,Data!$AL$4:$AL$183,$A181,Data!$AK$4:$AK$183,$C181))</f>
        <v>0</v>
      </c>
      <c r="AC181" s="18">
        <f ca="1">IF($A181="","",SUMIFS(Data!$AY$4:$AY$183,Data!$AM$4:$AM$183,$B181,Data!$AL$4:$AL$183,$A181,Data!$AK$4:$AK$183,$C181))</f>
        <v>0</v>
      </c>
      <c r="AD181" s="18">
        <f t="shared" ca="1" si="5"/>
        <v>1.5</v>
      </c>
      <c r="AE181" s="18">
        <f ca="1">IF($A181="","",SUMIFS(Data!$AJ$4:$AJ$183,Data!$AM$4:$AM$183,$B181,Data!$AL$4:$AL$183,$A181,Data!$AK$4:$AK$183,$C181))</f>
        <v>10</v>
      </c>
    </row>
    <row r="182" spans="1:31">
      <c r="A182" s="18" t="str">
        <f ca="1">IF(Data!T182="","",Data!T182)</f>
        <v>Jason</v>
      </c>
      <c r="B182" s="18" t="str">
        <f ca="1">IF(Data!U182="","",Data!U182)</f>
        <v>Baby Mario</v>
      </c>
      <c r="C182" s="18" t="str">
        <f ca="1">IF(Data!S182="","",Data!S182)</f>
        <v>G10</v>
      </c>
      <c r="D182" s="18">
        <f ca="1">IF($A182="","",Data!W182)</f>
        <v>1</v>
      </c>
      <c r="E182" s="18">
        <f ca="1">IF($A182="","",Data!Y182)</f>
        <v>1</v>
      </c>
      <c r="F182" s="61">
        <f t="shared" ca="1" si="4"/>
        <v>1.0</v>
      </c>
      <c r="G182" s="18">
        <f ca="1">IF($A182="","",Data!AB182)</f>
        <v>0</v>
      </c>
      <c r="H182" s="18">
        <f ca="1">IF($A182="","",Data!AC182)</f>
        <v>0</v>
      </c>
      <c r="I182" s="18">
        <f ca="1">IF($A182="","",INT(SUMIFS(Data!$AN$4:$AN$183,Data!$AM$4:$AM$183,$B182,Data!$AL$4:$AL$183,$A182,Data!$AK$4:$AK$183,$C182))+MOD(ROUND(SUMIFS(Data!$AN$4:$AN$183,Data!$AM$4:$AM$183,$B182,Data!$AL$4:$AL$183,$A182,Data!$AK$4:$AK$183,$C182)*3,0),3)/10)</f>
        <v>0</v>
      </c>
      <c r="J182" s="18">
        <f ca="1">IF($A182="","",SUMIFS(Data!$AQ$4:$AQ$183,Data!$AM$4:$AM$183,$B182,Data!$AL$4:$AL$183,$A182,Data!$AK$4:$AK$183,$C182))</f>
        <v>0</v>
      </c>
      <c r="K182" s="62">
        <f ca="1">IF($A182="","",IF(SUMIFS(Data!$AN$4:$AN$183,Data!$AM$4:$AM$183,$B182,Data!$AL$4:$AL$183,$A182,Data!$AK$4:$AK$183,$C182)=0,"",J182*3/SUMIFS(Data!$AN$4:$AN$183,Data!$AM$4:$AM$183,$B182,Data!$AL$4:$AL$183,$A182,Data!$AK$4:$AK$183,$C182)))</f>
      </c>
      <c r="L182" s="18">
        <f ca="1">IF($A182="","",IF(IFERROR(_xlfn.XLOOKUP($C182,Bracket!$F$6:$F$16,Bracket!$K$6:$K$16,""),"")=$B182,1,0))</f>
        <v>0</v>
      </c>
      <c r="M182" s="18">
        <f ca="1">IF($A182="","",IF(AND(IFERROR(_xlfn.XLOOKUP($C182,Bracket!$F$6:$F$16,Bracket!$K$6:$K$16,""),"")=$B182,LEFT(IFERROR(_xlfn.XLOOKUP($C182,Bracket!$F$6:$F$16,Bracket!$G$6:$G$16,""),""),2)="CG"),1,0))</f>
        <v>0</v>
      </c>
      <c r="N182" s="18">
        <f ca="1">IF($A182="","",SUMIFS(Data!$X$4:$X$273,Data!$T$4:$T$273,$A182,Data!$U$4:$U$273,$B182,Data!$S$4:$S$273,$C182))</f>
        <v>1</v>
      </c>
      <c r="O182" s="18">
        <f ca="1">IF($A182="","",SUMIFS(Data!$Z$4:$Z$273,Data!$T$4:$T$273,$A182,Data!$U$4:$U$273,$B182,Data!$S$4:$S$273,$C182))</f>
        <v>0</v>
      </c>
      <c r="P182" s="18">
        <f ca="1">IF($A182="","",SUMIFS(Data!$AA$4:$AA$273,Data!$T$4:$T$273,$A182,Data!$U$4:$U$273,$B182,Data!$S$4:$S$273,$C182))</f>
        <v>0</v>
      </c>
      <c r="Q182" s="18">
        <f ca="1">IF($A182="","",SUMIFS(Data!$AD$4:$AD$273,Data!$T$4:$T$273,$A182,Data!$U$4:$U$273,$B182,Data!$S$4:$S$273,$C182))</f>
        <v>0</v>
      </c>
      <c r="R182" s="18">
        <f ca="1">IF($A182="","",SUMIFS(Data!$AE$4:$AE$273,Data!$T$4:$T$273,$A182,Data!$U$4:$U$273,$B182,Data!$S$4:$S$273,$C182))</f>
        <v>0</v>
      </c>
      <c r="S182" s="18">
        <f ca="1">IF($A182="","",SUMIFS(Data!$AF$4:$AF$273,Data!$T$4:$T$273,$A182,Data!$U$4:$U$273,$B182,Data!$S$4:$S$273,$C182))</f>
        <v>0</v>
      </c>
      <c r="T182" s="18">
        <f ca="1">IF($A182="","",SUMIFS(Data!$AG$4:$AG$273,Data!$T$4:$T$273,$A182,Data!$U$4:$U$273,$B182,Data!$S$4:$S$273,$C182))</f>
        <v>0</v>
      </c>
      <c r="U182" s="18">
        <f ca="1">IF($A182="","",SUMIFS(Data!$AH$4:$AH$273,Data!$T$4:$T$273,$A182,Data!$U$4:$U$273,$B182,Data!$S$4:$S$273,$C182))</f>
        <v>0</v>
      </c>
      <c r="V182" s="18">
        <f ca="1">IF($A182="","",SUMIFS(Data!$AO$4:$AO$183,Data!$AM$4:$AM$183,$B182,Data!$AL$4:$AL$183,$A182,Data!$AK$4:$AK$183,$C182))</f>
        <v>0</v>
      </c>
      <c r="W182" s="18">
        <f ca="1">IF($A182="","",SUMIFS(Data!$AP$4:$AP$183,Data!$AM$4:$AM$183,$B182,Data!$AL$4:$AL$183,$A182,Data!$AK$4:$AK$183,$C182))</f>
        <v>0</v>
      </c>
      <c r="X182" s="18">
        <f ca="1">IF($A182="","",SUMIFS(Data!$AR$4:$AR$183,Data!$AM$4:$AM$183,$B182,Data!$AL$4:$AL$183,$A182,Data!$AK$4:$AK$183,$C182))</f>
        <v>0</v>
      </c>
      <c r="Y182" s="18">
        <f ca="1">IF($A182="","",SUMIFS(Data!$AS$4:$AS$183,Data!$AM$4:$AM$183,$B182,Data!$AL$4:$AL$183,$A182,Data!$AK$4:$AK$183,$C182))</f>
        <v>0</v>
      </c>
      <c r="Z182" s="18">
        <f ca="1">IF($A182="","",SUMIFS(Data!$AT$4:$AT$183,Data!$AM$4:$AM$183,$B182,Data!$AL$4:$AL$183,$A182,Data!$AK$4:$AK$183,$C182))</f>
        <v>0</v>
      </c>
      <c r="AA182" s="18">
        <f ca="1">IF($A182="","",SUMIFS(Data!$AW$4:$AW$183,Data!$AM$4:$AM$183,$B182,Data!$AL$4:$AL$183,$A182,Data!$AK$4:$AK$183,$C182))</f>
        <v>0</v>
      </c>
      <c r="AB182" s="18">
        <f ca="1">IF($A182="","",SUMIFS(Data!$AX$4:$AX$183,Data!$AM$4:$AM$183,$B182,Data!$AL$4:$AL$183,$A182,Data!$AK$4:$AK$183,$C182))</f>
        <v>0</v>
      </c>
      <c r="AC182" s="18">
        <f ca="1">IF($A182="","",SUMIFS(Data!$AY$4:$AY$183,Data!$AM$4:$AM$183,$B182,Data!$AL$4:$AL$183,$A182,Data!$AK$4:$AK$183,$C182))</f>
        <v>0</v>
      </c>
      <c r="AD182" s="18">
        <f t="shared" ca="1" si="5"/>
        <v>0</v>
      </c>
      <c r="AE182" s="18">
        <f ca="1">IF($A182="","",SUMIFS(Data!$AJ$4:$AJ$183,Data!$AM$4:$AM$183,$B182,Data!$AL$4:$AL$183,$A182,Data!$AK$4:$AK$183,$C182))</f>
        <v>0</v>
      </c>
    </row>
    <row r="183" spans="1:31">
      <c r="A183" s="18" t="str">
        <f ca="1">IF(Data!T183="","",Data!T183)</f>
        <v>Jason</v>
      </c>
      <c r="B183" s="18" t="str">
        <f ca="1">IF(Data!U183="","",Data!U183)</f>
        <v>Baby Daisy</v>
      </c>
      <c r="C183" s="18" t="str">
        <f ca="1">IF(Data!S183="","",Data!S183)</f>
        <v>G10</v>
      </c>
      <c r="D183" s="18">
        <f ca="1">IF($A183="","",Data!W183)</f>
        <v>1</v>
      </c>
      <c r="E183" s="18">
        <f ca="1">IF($A183="","",Data!Y183)</f>
        <v>1</v>
      </c>
      <c r="F183" s="61">
        <f t="shared" ca="1" si="4"/>
        <v>1.0</v>
      </c>
      <c r="G183" s="18">
        <f ca="1">IF($A183="","",Data!AB183)</f>
        <v>0</v>
      </c>
      <c r="H183" s="18">
        <f ca="1">IF($A183="","",Data!AC183)</f>
        <v>0</v>
      </c>
      <c r="I183" s="18">
        <f ca="1">IF($A183="","",INT(SUMIFS(Data!$AN$4:$AN$183,Data!$AM$4:$AM$183,$B183,Data!$AL$4:$AL$183,$A183,Data!$AK$4:$AK$183,$C183))+MOD(ROUND(SUMIFS(Data!$AN$4:$AN$183,Data!$AM$4:$AM$183,$B183,Data!$AL$4:$AL$183,$A183,Data!$AK$4:$AK$183,$C183)*3,0),3)/10)</f>
        <v>0</v>
      </c>
      <c r="J183" s="18">
        <f ca="1">IF($A183="","",SUMIFS(Data!$AQ$4:$AQ$183,Data!$AM$4:$AM$183,$B183,Data!$AL$4:$AL$183,$A183,Data!$AK$4:$AK$183,$C183))</f>
        <v>0</v>
      </c>
      <c r="K183" s="62">
        <f ca="1">IF($A183="","",IF(SUMIFS(Data!$AN$4:$AN$183,Data!$AM$4:$AM$183,$B183,Data!$AL$4:$AL$183,$A183,Data!$AK$4:$AK$183,$C183)=0,"",J183*3/SUMIFS(Data!$AN$4:$AN$183,Data!$AM$4:$AM$183,$B183,Data!$AL$4:$AL$183,$A183,Data!$AK$4:$AK$183,$C183)))</f>
      </c>
      <c r="L183" s="18">
        <f ca="1">IF($A183="","",IF(IFERROR(_xlfn.XLOOKUP($C183,Bracket!$F$6:$F$16,Bracket!$K$6:$K$16,""),"")=$B183,1,0))</f>
        <v>0</v>
      </c>
      <c r="M183" s="18">
        <f ca="1">IF($A183="","",IF(AND(IFERROR(_xlfn.XLOOKUP($C183,Bracket!$F$6:$F$16,Bracket!$K$6:$K$16,""),"")=$B183,LEFT(IFERROR(_xlfn.XLOOKUP($C183,Bracket!$F$6:$F$16,Bracket!$G$6:$G$16,""),""),2)="CG"),1,0))</f>
        <v>0</v>
      </c>
      <c r="N183" s="18">
        <f ca="1">IF($A183="","",SUMIFS(Data!$X$4:$X$273,Data!$T$4:$T$273,$A183,Data!$U$4:$U$273,$B183,Data!$S$4:$S$273,$C183))</f>
        <v>1</v>
      </c>
      <c r="O183" s="18">
        <f ca="1">IF($A183="","",SUMIFS(Data!$Z$4:$Z$273,Data!$T$4:$T$273,$A183,Data!$U$4:$U$273,$B183,Data!$S$4:$S$273,$C183))</f>
        <v>0</v>
      </c>
      <c r="P183" s="18">
        <f ca="1">IF($A183="","",SUMIFS(Data!$AA$4:$AA$273,Data!$T$4:$T$273,$A183,Data!$U$4:$U$273,$B183,Data!$S$4:$S$273,$C183))</f>
        <v>0</v>
      </c>
      <c r="Q183" s="18">
        <f ca="1">IF($A183="","",SUMIFS(Data!$AD$4:$AD$273,Data!$T$4:$T$273,$A183,Data!$U$4:$U$273,$B183,Data!$S$4:$S$273,$C183))</f>
        <v>0</v>
      </c>
      <c r="R183" s="18">
        <f ca="1">IF($A183="","",SUMIFS(Data!$AE$4:$AE$273,Data!$T$4:$T$273,$A183,Data!$U$4:$U$273,$B183,Data!$S$4:$S$273,$C183))</f>
        <v>0</v>
      </c>
      <c r="S183" s="18">
        <f ca="1">IF($A183="","",SUMIFS(Data!$AF$4:$AF$273,Data!$T$4:$T$273,$A183,Data!$U$4:$U$273,$B183,Data!$S$4:$S$273,$C183))</f>
        <v>0</v>
      </c>
      <c r="T183" s="18">
        <f ca="1">IF($A183="","",SUMIFS(Data!$AG$4:$AG$273,Data!$T$4:$T$273,$A183,Data!$U$4:$U$273,$B183,Data!$S$4:$S$273,$C183))</f>
        <v>0</v>
      </c>
      <c r="U183" s="18">
        <f ca="1">IF($A183="","",SUMIFS(Data!$AH$4:$AH$273,Data!$T$4:$T$273,$A183,Data!$U$4:$U$273,$B183,Data!$S$4:$S$273,$C183))</f>
        <v>0</v>
      </c>
      <c r="V183" s="18">
        <f ca="1">IF($A183="","",SUMIFS(Data!$AO$4:$AO$183,Data!$AM$4:$AM$183,$B183,Data!$AL$4:$AL$183,$A183,Data!$AK$4:$AK$183,$C183))</f>
        <v>0</v>
      </c>
      <c r="W183" s="18">
        <f ca="1">IF($A183="","",SUMIFS(Data!$AP$4:$AP$183,Data!$AM$4:$AM$183,$B183,Data!$AL$4:$AL$183,$A183,Data!$AK$4:$AK$183,$C183))</f>
        <v>0</v>
      </c>
      <c r="X183" s="18">
        <f ca="1">IF($A183="","",SUMIFS(Data!$AR$4:$AR$183,Data!$AM$4:$AM$183,$B183,Data!$AL$4:$AL$183,$A183,Data!$AK$4:$AK$183,$C183))</f>
        <v>0</v>
      </c>
      <c r="Y183" s="18">
        <f ca="1">IF($A183="","",SUMIFS(Data!$AS$4:$AS$183,Data!$AM$4:$AM$183,$B183,Data!$AL$4:$AL$183,$A183,Data!$AK$4:$AK$183,$C183))</f>
        <v>0</v>
      </c>
      <c r="Z183" s="18">
        <f ca="1">IF($A183="","",SUMIFS(Data!$AT$4:$AT$183,Data!$AM$4:$AM$183,$B183,Data!$AL$4:$AL$183,$A183,Data!$AK$4:$AK$183,$C183))</f>
        <v>0</v>
      </c>
      <c r="AA183" s="18">
        <f ca="1">IF($A183="","",SUMIFS(Data!$AW$4:$AW$183,Data!$AM$4:$AM$183,$B183,Data!$AL$4:$AL$183,$A183,Data!$AK$4:$AK$183,$C183))</f>
        <v>0</v>
      </c>
      <c r="AB183" s="18">
        <f ca="1">IF($A183="","",SUMIFS(Data!$AX$4:$AX$183,Data!$AM$4:$AM$183,$B183,Data!$AL$4:$AL$183,$A183,Data!$AK$4:$AK$183,$C183))</f>
        <v>0</v>
      </c>
      <c r="AC183" s="18">
        <f ca="1">IF($A183="","",SUMIFS(Data!$AY$4:$AY$183,Data!$AM$4:$AM$183,$B183,Data!$AL$4:$AL$183,$A183,Data!$AK$4:$AK$183,$C183))</f>
        <v>0</v>
      </c>
      <c r="AD183" s="18">
        <f t="shared" ca="1" si="5"/>
        <v>0</v>
      </c>
      <c r="AE183" s="18">
        <f ca="1">IF($A183="","",SUMIFS(Data!$AJ$4:$AJ$183,Data!$AM$4:$AM$183,$B183,Data!$AL$4:$AL$183,$A183,Data!$AK$4:$AK$183,$C183))</f>
        <v>0</v>
      </c>
    </row>
    <row r="184" spans="1:31">
      <c r="A184" s="18" t="str">
        <f ca="1">IF(Data!T184="","",Data!T184)</f>
        <v/>
      </c>
      <c r="B184" s="18" t="str">
        <f ca="1">IF(Data!U184="","",Data!U184)</f>
        <v>Daisy</v>
      </c>
      <c r="C184" s="18" t="str">
        <f ca="1">IF(Data!S184="","",Data!S184)</f>
        <v/>
      </c>
      <c r="D184" s="18" t="str">
        <f ca="1">IF($A184="","",Data!W184)</f>
        <v/>
      </c>
      <c r="E184" s="18" t="str">
        <f ca="1">IF($A184="","",Data!Y184)</f>
        <v/>
      </c>
      <c r="F184" s="61" t="str">
        <f t="shared" ca="1" si="4"/>
        <v/>
      </c>
      <c r="G184" s="18" t="str">
        <f ca="1">IF($A184="","",Data!AB184)</f>
        <v/>
      </c>
      <c r="H184" s="18" t="str">
        <f ca="1">IF($A184="","",Data!AC184)</f>
        <v/>
      </c>
      <c r="I184" s="18" t="str">
        <f ca="1">IF($A184="","",INT(SUMIFS(Data!$AN$4:$AN$183,Data!$AM$4:$AM$183,$B184,Data!$AL$4:$AL$183,$A184,Data!$AK$4:$AK$183,$C184))+MOD(ROUND(SUMIFS(Data!$AN$4:$AN$183,Data!$AM$4:$AM$183,$B184,Data!$AL$4:$AL$183,$A184,Data!$AK$4:$AK$183,$C184)*3,0),3)/10)</f>
        <v/>
      </c>
      <c r="J184" s="18" t="str">
        <f ca="1">IF($A184="","",SUMIFS(Data!$AQ$4:$AQ$183,Data!$AM$4:$AM$183,$B184,Data!$AL$4:$AL$183,$A184,Data!$AK$4:$AK$183,$C184))</f>
        <v/>
      </c>
      <c r="K184" s="62" t="str">
        <f ca="1">IF($A184="","",IF(SUMIFS(Data!$AN$4:$AN$183,Data!$AM$4:$AM$183,$B184,Data!$AL$4:$AL$183,$A184,Data!$AK$4:$AK$183,$C184)=0,"",J184*3/SUMIFS(Data!$AN$4:$AN$183,Data!$AM$4:$AM$183,$B184,Data!$AL$4:$AL$183,$A184,Data!$AK$4:$AK$183,$C184)))</f>
        <v/>
      </c>
      <c r="L184" s="18" t="str">
        <f ca="1">IF($A184="","",IF(IFERROR(_xlfn.XLOOKUP($C184,Bracket!$F$6:$F$16,Bracket!$K$6:$K$16,""),"")=$B184,1,0))</f>
        <v/>
      </c>
      <c r="M184" s="18" t="str">
        <f ca="1">IF($A184="","",IF(AND(IFERROR(_xlfn.XLOOKUP($C184,Bracket!$F$6:$F$16,Bracket!$K$6:$K$16,""),"")=$B184,LEFT(IFERROR(_xlfn.XLOOKUP($C184,Bracket!$F$6:$F$16,Bracket!$G$6:$G$16,""),""),2)="CG"),1,0))</f>
        <v/>
      </c>
      <c r="N184" s="18" t="str">
        <f ca="1">IF($A184="","",SUMIFS(Data!$X$4:$X$273,Data!$T$4:$T$273,$A184,Data!$U$4:$U$273,$B184,Data!$S$4:$S$273,$C184))</f>
        <v/>
      </c>
      <c r="O184" s="18" t="str">
        <f ca="1">IF($A184="","",SUMIFS(Data!$Z$4:$Z$273,Data!$T$4:$T$273,$A184,Data!$U$4:$U$273,$B184,Data!$S$4:$S$273,$C184))</f>
        <v/>
      </c>
      <c r="P184" s="18" t="str">
        <f ca="1">IF($A184="","",SUMIFS(Data!$AA$4:$AA$273,Data!$T$4:$T$273,$A184,Data!$U$4:$U$273,$B184,Data!$S$4:$S$273,$C184))</f>
        <v/>
      </c>
      <c r="Q184" s="18" t="str">
        <f ca="1">IF($A184="","",SUMIFS(Data!$AD$4:$AD$273,Data!$T$4:$T$273,$A184,Data!$U$4:$U$273,$B184,Data!$S$4:$S$273,$C184))</f>
        <v/>
      </c>
      <c r="R184" s="18" t="str">
        <f ca="1">IF($A184="","",SUMIFS(Data!$AE$4:$AE$273,Data!$T$4:$T$273,$A184,Data!$U$4:$U$273,$B184,Data!$S$4:$S$273,$C184))</f>
        <v/>
      </c>
      <c r="S184" s="18" t="str">
        <f ca="1">IF($A184="","",SUMIFS(Data!$AF$4:$AF$273,Data!$T$4:$T$273,$A184,Data!$U$4:$U$273,$B184,Data!$S$4:$S$273,$C184))</f>
        <v/>
      </c>
      <c r="T184" s="18" t="str">
        <f ca="1">IF($A184="","",SUMIFS(Data!$AG$4:$AG$273,Data!$T$4:$T$273,$A184,Data!$U$4:$U$273,$B184,Data!$S$4:$S$273,$C184))</f>
        <v/>
      </c>
      <c r="U184" s="18" t="str">
        <f ca="1">IF($A184="","",SUMIFS(Data!$AH$4:$AH$273,Data!$T$4:$T$273,$A184,Data!$U$4:$U$273,$B184,Data!$S$4:$S$273,$C184))</f>
        <v/>
      </c>
      <c r="V184" s="18" t="str">
        <f ca="1">IF($A184="","",SUMIFS(Data!$AO$4:$AO$183,Data!$AM$4:$AM$183,$B184,Data!$AL$4:$AL$183,$A184,Data!$AK$4:$AK$183,$C184))</f>
        <v/>
      </c>
      <c r="W184" s="18" t="str">
        <f ca="1">IF($A184="","",SUMIFS(Data!$AP$4:$AP$183,Data!$AM$4:$AM$183,$B184,Data!$AL$4:$AL$183,$A184,Data!$AK$4:$AK$183,$C184))</f>
        <v/>
      </c>
      <c r="X184" s="18" t="str">
        <f ca="1">IF($A184="","",SUMIFS(Data!$AR$4:$AR$183,Data!$AM$4:$AM$183,$B184,Data!$AL$4:$AL$183,$A184,Data!$AK$4:$AK$183,$C184))</f>
        <v/>
      </c>
      <c r="Y184" s="18" t="str">
        <f ca="1">IF($A184="","",SUMIFS(Data!$AS$4:$AS$183,Data!$AM$4:$AM$183,$B184,Data!$AL$4:$AL$183,$A184,Data!$AK$4:$AK$183,$C184))</f>
        <v/>
      </c>
      <c r="Z184" s="18" t="str">
        <f ca="1">IF($A184="","",SUMIFS(Data!$AT$4:$AT$183,Data!$AM$4:$AM$183,$B184,Data!$AL$4:$AL$183,$A184,Data!$AK$4:$AK$183,$C184))</f>
        <v/>
      </c>
      <c r="AA184" s="18" t="str">
        <f ca="1">IF($A184="","",SUMIFS(Data!$AW$4:$AW$183,Data!$AM$4:$AM$183,$B184,Data!$AL$4:$AL$183,$A184,Data!$AK$4:$AK$183,$C184))</f>
        <v/>
      </c>
      <c r="AB184" s="18" t="str">
        <f ca="1">IF($A184="","",SUMIFS(Data!$AX$4:$AX$183,Data!$AM$4:$AM$183,$B184,Data!$AL$4:$AL$183,$A184,Data!$AK$4:$AK$183,$C184))</f>
        <v/>
      </c>
      <c r="AC184" s="18" t="str">
        <f ca="1">IF($A184="","",SUMIFS(Data!$AY$4:$AY$183,Data!$AM$4:$AM$183,$B184,Data!$AL$4:$AL$183,$A184,Data!$AK$4:$AK$183,$C184))</f>
        <v/>
      </c>
      <c r="AD184" s="18" t="str">
        <f t="shared" ca="1" si="5"/>
        <v/>
      </c>
      <c r="AE184" s="18" t="str">
        <f ca="1">IF($A184="","",SUMIFS(Data!$AJ$4:$AJ$183,Data!$AM$4:$AM$183,$B184,Data!$AL$4:$AL$183,$A184,Data!$AK$4:$AK$183,$C184))</f>
        <v/>
      </c>
    </row>
    <row r="185" spans="1:31">
      <c r="A185" s="18" t="str">
        <f ca="1">IF(Data!T185="","",Data!T185)</f>
        <v/>
      </c>
      <c r="B185" s="18" t="str">
        <f ca="1">IF(Data!U185="","",Data!U185)</f>
        <v>Mii</v>
      </c>
      <c r="C185" s="18" t="str">
        <f ca="1">IF(Data!S185="","",Data!S185)</f>
        <v/>
      </c>
      <c r="D185" s="18" t="str">
        <f ca="1">IF($A185="","",Data!W185)</f>
        <v/>
      </c>
      <c r="E185" s="18" t="str">
        <f ca="1">IF($A185="","",Data!Y185)</f>
        <v/>
      </c>
      <c r="F185" s="61" t="str">
        <f t="shared" ca="1" si="4"/>
        <v/>
      </c>
      <c r="G185" s="18" t="str">
        <f ca="1">IF($A185="","",Data!AB185)</f>
        <v/>
      </c>
      <c r="H185" s="18" t="str">
        <f ca="1">IF($A185="","",Data!AC185)</f>
        <v/>
      </c>
      <c r="I185" s="18" t="str">
        <f ca="1">IF($A185="","",INT(SUMIFS(Data!$AN$4:$AN$183,Data!$AM$4:$AM$183,$B185,Data!$AL$4:$AL$183,$A185,Data!$AK$4:$AK$183,$C185))+MOD(ROUND(SUMIFS(Data!$AN$4:$AN$183,Data!$AM$4:$AM$183,$B185,Data!$AL$4:$AL$183,$A185,Data!$AK$4:$AK$183,$C185)*3,0),3)/10)</f>
        <v/>
      </c>
      <c r="J185" s="18" t="str">
        <f ca="1">IF($A185="","",SUMIFS(Data!$AQ$4:$AQ$183,Data!$AM$4:$AM$183,$B185,Data!$AL$4:$AL$183,$A185,Data!$AK$4:$AK$183,$C185))</f>
        <v/>
      </c>
      <c r="K185" s="62" t="str">
        <f ca="1">IF($A185="","",IF(SUMIFS(Data!$AN$4:$AN$183,Data!$AM$4:$AM$183,$B185,Data!$AL$4:$AL$183,$A185,Data!$AK$4:$AK$183,$C185)=0,"",J185*3/SUMIFS(Data!$AN$4:$AN$183,Data!$AM$4:$AM$183,$B185,Data!$AL$4:$AL$183,$A185,Data!$AK$4:$AK$183,$C185)))</f>
        <v/>
      </c>
      <c r="L185" s="18" t="str">
        <f ca="1">IF($A185="","",IF(IFERROR(_xlfn.XLOOKUP($C185,Bracket!$F$6:$F$16,Bracket!$K$6:$K$16,""),"")=$B185,1,0))</f>
        <v/>
      </c>
      <c r="M185" s="18" t="str">
        <f ca="1">IF($A185="","",IF(AND(IFERROR(_xlfn.XLOOKUP($C185,Bracket!$F$6:$F$16,Bracket!$K$6:$K$16,""),"")=$B185,LEFT(IFERROR(_xlfn.XLOOKUP($C185,Bracket!$F$6:$F$16,Bracket!$G$6:$G$16,""),""),2)="CG"),1,0))</f>
        <v/>
      </c>
      <c r="N185" s="18" t="str">
        <f ca="1">IF($A185="","",SUMIFS(Data!$X$4:$X$273,Data!$T$4:$T$273,$A185,Data!$U$4:$U$273,$B185,Data!$S$4:$S$273,$C185))</f>
        <v/>
      </c>
      <c r="O185" s="18" t="str">
        <f ca="1">IF($A185="","",SUMIFS(Data!$Z$4:$Z$273,Data!$T$4:$T$273,$A185,Data!$U$4:$U$273,$B185,Data!$S$4:$S$273,$C185))</f>
        <v/>
      </c>
      <c r="P185" s="18" t="str">
        <f ca="1">IF($A185="","",SUMIFS(Data!$AA$4:$AA$273,Data!$T$4:$T$273,$A185,Data!$U$4:$U$273,$B185,Data!$S$4:$S$273,$C185))</f>
        <v/>
      </c>
      <c r="Q185" s="18" t="str">
        <f ca="1">IF($A185="","",SUMIFS(Data!$AD$4:$AD$273,Data!$T$4:$T$273,$A185,Data!$U$4:$U$273,$B185,Data!$S$4:$S$273,$C185))</f>
        <v/>
      </c>
      <c r="R185" s="18" t="str">
        <f ca="1">IF($A185="","",SUMIFS(Data!$AE$4:$AE$273,Data!$T$4:$T$273,$A185,Data!$U$4:$U$273,$B185,Data!$S$4:$S$273,$C185))</f>
        <v/>
      </c>
      <c r="S185" s="18" t="str">
        <f ca="1">IF($A185="","",SUMIFS(Data!$AF$4:$AF$273,Data!$T$4:$T$273,$A185,Data!$U$4:$U$273,$B185,Data!$S$4:$S$273,$C185))</f>
        <v/>
      </c>
      <c r="T185" s="18" t="str">
        <f ca="1">IF($A185="","",SUMIFS(Data!$AG$4:$AG$273,Data!$T$4:$T$273,$A185,Data!$U$4:$U$273,$B185,Data!$S$4:$S$273,$C185))</f>
        <v/>
      </c>
      <c r="U185" s="18" t="str">
        <f ca="1">IF($A185="","",SUMIFS(Data!$AH$4:$AH$273,Data!$T$4:$T$273,$A185,Data!$U$4:$U$273,$B185,Data!$S$4:$S$273,$C185))</f>
        <v/>
      </c>
      <c r="V185" s="18" t="str">
        <f ca="1">IF($A185="","",SUMIFS(Data!$AO$4:$AO$183,Data!$AM$4:$AM$183,$B185,Data!$AL$4:$AL$183,$A185,Data!$AK$4:$AK$183,$C185))</f>
        <v/>
      </c>
      <c r="W185" s="18" t="str">
        <f ca="1">IF($A185="","",SUMIFS(Data!$AP$4:$AP$183,Data!$AM$4:$AM$183,$B185,Data!$AL$4:$AL$183,$A185,Data!$AK$4:$AK$183,$C185))</f>
        <v/>
      </c>
      <c r="X185" s="18" t="str">
        <f ca="1">IF($A185="","",SUMIFS(Data!$AR$4:$AR$183,Data!$AM$4:$AM$183,$B185,Data!$AL$4:$AL$183,$A185,Data!$AK$4:$AK$183,$C185))</f>
        <v/>
      </c>
      <c r="Y185" s="18" t="str">
        <f ca="1">IF($A185="","",SUMIFS(Data!$AS$4:$AS$183,Data!$AM$4:$AM$183,$B185,Data!$AL$4:$AL$183,$A185,Data!$AK$4:$AK$183,$C185))</f>
        <v/>
      </c>
      <c r="Z185" s="18" t="str">
        <f ca="1">IF($A185="","",SUMIFS(Data!$AT$4:$AT$183,Data!$AM$4:$AM$183,$B185,Data!$AL$4:$AL$183,$A185,Data!$AK$4:$AK$183,$C185))</f>
        <v/>
      </c>
      <c r="AA185" s="18" t="str">
        <f ca="1">IF($A185="","",SUMIFS(Data!$AW$4:$AW$183,Data!$AM$4:$AM$183,$B185,Data!$AL$4:$AL$183,$A185,Data!$AK$4:$AK$183,$C185))</f>
        <v/>
      </c>
      <c r="AB185" s="18" t="str">
        <f ca="1">IF($A185="","",SUMIFS(Data!$AX$4:$AX$183,Data!$AM$4:$AM$183,$B185,Data!$AL$4:$AL$183,$A185,Data!$AK$4:$AK$183,$C185))</f>
        <v/>
      </c>
      <c r="AC185" s="18" t="str">
        <f ca="1">IF($A185="","",SUMIFS(Data!$AY$4:$AY$183,Data!$AM$4:$AM$183,$B185,Data!$AL$4:$AL$183,$A185,Data!$AK$4:$AK$183,$C185))</f>
        <v/>
      </c>
      <c r="AD185" s="18" t="str">
        <f t="shared" ca="1" si="5"/>
        <v/>
      </c>
      <c r="AE185" s="18" t="str">
        <f ca="1">IF($A185="","",SUMIFS(Data!$AJ$4:$AJ$183,Data!$AM$4:$AM$183,$B185,Data!$AL$4:$AL$183,$A185,Data!$AK$4:$AK$183,$C185))</f>
        <v/>
      </c>
    </row>
    <row r="186" spans="1:31">
      <c r="A186" s="18" t="str">
        <f ca="1">IF(Data!T186="","",Data!T186)</f>
        <v/>
      </c>
      <c r="B186" s="18" t="str">
        <f ca="1">IF(Data!U186="","",Data!U186)</f>
        <v>Toadette</v>
      </c>
      <c r="C186" s="18" t="str">
        <f ca="1">IF(Data!S186="","",Data!S186)</f>
        <v/>
      </c>
      <c r="D186" s="18" t="str">
        <f ca="1">IF($A186="","",Data!W186)</f>
        <v/>
      </c>
      <c r="E186" s="18" t="str">
        <f ca="1">IF($A186="","",Data!Y186)</f>
        <v/>
      </c>
      <c r="F186" s="61" t="str">
        <f t="shared" ca="1" si="4"/>
        <v/>
      </c>
      <c r="G186" s="18" t="str">
        <f ca="1">IF($A186="","",Data!AB186)</f>
        <v/>
      </c>
      <c r="H186" s="18" t="str">
        <f ca="1">IF($A186="","",Data!AC186)</f>
        <v/>
      </c>
      <c r="I186" s="18" t="str">
        <f ca="1">IF($A186="","",INT(SUMIFS(Data!$AN$4:$AN$183,Data!$AM$4:$AM$183,$B186,Data!$AL$4:$AL$183,$A186,Data!$AK$4:$AK$183,$C186))+MOD(ROUND(SUMIFS(Data!$AN$4:$AN$183,Data!$AM$4:$AM$183,$B186,Data!$AL$4:$AL$183,$A186,Data!$AK$4:$AK$183,$C186)*3,0),3)/10)</f>
        <v/>
      </c>
      <c r="J186" s="18" t="str">
        <f ca="1">IF($A186="","",SUMIFS(Data!$AQ$4:$AQ$183,Data!$AM$4:$AM$183,$B186,Data!$AL$4:$AL$183,$A186,Data!$AK$4:$AK$183,$C186))</f>
        <v/>
      </c>
      <c r="K186" s="62" t="str">
        <f ca="1">IF($A186="","",IF(SUMIFS(Data!$AN$4:$AN$183,Data!$AM$4:$AM$183,$B186,Data!$AL$4:$AL$183,$A186,Data!$AK$4:$AK$183,$C186)=0,"",J186*3/SUMIFS(Data!$AN$4:$AN$183,Data!$AM$4:$AM$183,$B186,Data!$AL$4:$AL$183,$A186,Data!$AK$4:$AK$183,$C186)))</f>
        <v/>
      </c>
      <c r="L186" s="18" t="str">
        <f ca="1">IF($A186="","",IF(IFERROR(_xlfn.XLOOKUP($C186,Bracket!$F$6:$F$16,Bracket!$K$6:$K$16,""),"")=$B186,1,0))</f>
        <v/>
      </c>
      <c r="M186" s="18" t="str">
        <f ca="1">IF($A186="","",IF(AND(IFERROR(_xlfn.XLOOKUP($C186,Bracket!$F$6:$F$16,Bracket!$K$6:$K$16,""),"")=$B186,LEFT(IFERROR(_xlfn.XLOOKUP($C186,Bracket!$F$6:$F$16,Bracket!$G$6:$G$16,""),""),2)="CG"),1,0))</f>
        <v/>
      </c>
      <c r="N186" s="18" t="str">
        <f ca="1">IF($A186="","",SUMIFS(Data!$X$4:$X$273,Data!$T$4:$T$273,$A186,Data!$U$4:$U$273,$B186,Data!$S$4:$S$273,$C186))</f>
        <v/>
      </c>
      <c r="O186" s="18" t="str">
        <f ca="1">IF($A186="","",SUMIFS(Data!$Z$4:$Z$273,Data!$T$4:$T$273,$A186,Data!$U$4:$U$273,$B186,Data!$S$4:$S$273,$C186))</f>
        <v/>
      </c>
      <c r="P186" s="18" t="str">
        <f ca="1">IF($A186="","",SUMIFS(Data!$AA$4:$AA$273,Data!$T$4:$T$273,$A186,Data!$U$4:$U$273,$B186,Data!$S$4:$S$273,$C186))</f>
        <v/>
      </c>
      <c r="Q186" s="18" t="str">
        <f ca="1">IF($A186="","",SUMIFS(Data!$AD$4:$AD$273,Data!$T$4:$T$273,$A186,Data!$U$4:$U$273,$B186,Data!$S$4:$S$273,$C186))</f>
        <v/>
      </c>
      <c r="R186" s="18" t="str">
        <f ca="1">IF($A186="","",SUMIFS(Data!$AE$4:$AE$273,Data!$T$4:$T$273,$A186,Data!$U$4:$U$273,$B186,Data!$S$4:$S$273,$C186))</f>
        <v/>
      </c>
      <c r="S186" s="18" t="str">
        <f ca="1">IF($A186="","",SUMIFS(Data!$AF$4:$AF$273,Data!$T$4:$T$273,$A186,Data!$U$4:$U$273,$B186,Data!$S$4:$S$273,$C186))</f>
        <v/>
      </c>
      <c r="T186" s="18" t="str">
        <f ca="1">IF($A186="","",SUMIFS(Data!$AG$4:$AG$273,Data!$T$4:$T$273,$A186,Data!$U$4:$U$273,$B186,Data!$S$4:$S$273,$C186))</f>
        <v/>
      </c>
      <c r="U186" s="18" t="str">
        <f ca="1">IF($A186="","",SUMIFS(Data!$AH$4:$AH$273,Data!$T$4:$T$273,$A186,Data!$U$4:$U$273,$B186,Data!$S$4:$S$273,$C186))</f>
        <v/>
      </c>
      <c r="V186" s="18" t="str">
        <f ca="1">IF($A186="","",SUMIFS(Data!$AO$4:$AO$183,Data!$AM$4:$AM$183,$B186,Data!$AL$4:$AL$183,$A186,Data!$AK$4:$AK$183,$C186))</f>
        <v/>
      </c>
      <c r="W186" s="18" t="str">
        <f ca="1">IF($A186="","",SUMIFS(Data!$AP$4:$AP$183,Data!$AM$4:$AM$183,$B186,Data!$AL$4:$AL$183,$A186,Data!$AK$4:$AK$183,$C186))</f>
        <v/>
      </c>
      <c r="X186" s="18" t="str">
        <f ca="1">IF($A186="","",SUMIFS(Data!$AR$4:$AR$183,Data!$AM$4:$AM$183,$B186,Data!$AL$4:$AL$183,$A186,Data!$AK$4:$AK$183,$C186))</f>
        <v/>
      </c>
      <c r="Y186" s="18" t="str">
        <f ca="1">IF($A186="","",SUMIFS(Data!$AS$4:$AS$183,Data!$AM$4:$AM$183,$B186,Data!$AL$4:$AL$183,$A186,Data!$AK$4:$AK$183,$C186))</f>
        <v/>
      </c>
      <c r="Z186" s="18" t="str">
        <f ca="1">IF($A186="","",SUMIFS(Data!$AT$4:$AT$183,Data!$AM$4:$AM$183,$B186,Data!$AL$4:$AL$183,$A186,Data!$AK$4:$AK$183,$C186))</f>
        <v/>
      </c>
      <c r="AA186" s="18" t="str">
        <f ca="1">IF($A186="","",SUMIFS(Data!$AW$4:$AW$183,Data!$AM$4:$AM$183,$B186,Data!$AL$4:$AL$183,$A186,Data!$AK$4:$AK$183,$C186))</f>
        <v/>
      </c>
      <c r="AB186" s="18" t="str">
        <f ca="1">IF($A186="","",SUMIFS(Data!$AX$4:$AX$183,Data!$AM$4:$AM$183,$B186,Data!$AL$4:$AL$183,$A186,Data!$AK$4:$AK$183,$C186))</f>
        <v/>
      </c>
      <c r="AC186" s="18" t="str">
        <f ca="1">IF($A186="","",SUMIFS(Data!$AY$4:$AY$183,Data!$AM$4:$AM$183,$B186,Data!$AL$4:$AL$183,$A186,Data!$AK$4:$AK$183,$C186))</f>
        <v/>
      </c>
      <c r="AD186" s="18" t="str">
        <f t="shared" ca="1" si="5"/>
        <v/>
      </c>
      <c r="AE186" s="18" t="str">
        <f ca="1">IF($A186="","",SUMIFS(Data!$AJ$4:$AJ$183,Data!$AM$4:$AM$183,$B186,Data!$AL$4:$AL$183,$A186,Data!$AK$4:$AK$183,$C186))</f>
        <v/>
      </c>
    </row>
    <row r="187" spans="1:31">
      <c r="A187" s="18" t="str">
        <f ca="1">IF(Data!T187="","",Data!T187)</f>
        <v/>
      </c>
      <c r="B187" s="18" t="str">
        <f ca="1">IF(Data!U187="","",Data!U187)</f>
        <v>Blue Toad</v>
      </c>
      <c r="C187" s="18" t="str">
        <f ca="1">IF(Data!S187="","",Data!S187)</f>
        <v/>
      </c>
      <c r="D187" s="18" t="str">
        <f ca="1">IF($A187="","",Data!W187)</f>
        <v/>
      </c>
      <c r="E187" s="18" t="str">
        <f ca="1">IF($A187="","",Data!Y187)</f>
        <v/>
      </c>
      <c r="F187" s="61" t="str">
        <f t="shared" ca="1" si="4"/>
        <v/>
      </c>
      <c r="G187" s="18" t="str">
        <f ca="1">IF($A187="","",Data!AB187)</f>
        <v/>
      </c>
      <c r="H187" s="18" t="str">
        <f ca="1">IF($A187="","",Data!AC187)</f>
        <v/>
      </c>
      <c r="I187" s="18" t="str">
        <f ca="1">IF($A187="","",INT(SUMIFS(Data!$AN$4:$AN$183,Data!$AM$4:$AM$183,$B187,Data!$AL$4:$AL$183,$A187,Data!$AK$4:$AK$183,$C187))+MOD(ROUND(SUMIFS(Data!$AN$4:$AN$183,Data!$AM$4:$AM$183,$B187,Data!$AL$4:$AL$183,$A187,Data!$AK$4:$AK$183,$C187)*3,0),3)/10)</f>
        <v/>
      </c>
      <c r="J187" s="18" t="str">
        <f ca="1">IF($A187="","",SUMIFS(Data!$AQ$4:$AQ$183,Data!$AM$4:$AM$183,$B187,Data!$AL$4:$AL$183,$A187,Data!$AK$4:$AK$183,$C187))</f>
        <v/>
      </c>
      <c r="K187" s="62" t="str">
        <f ca="1">IF($A187="","",IF(SUMIFS(Data!$AN$4:$AN$183,Data!$AM$4:$AM$183,$B187,Data!$AL$4:$AL$183,$A187,Data!$AK$4:$AK$183,$C187)=0,"",J187*3/SUMIFS(Data!$AN$4:$AN$183,Data!$AM$4:$AM$183,$B187,Data!$AL$4:$AL$183,$A187,Data!$AK$4:$AK$183,$C187)))</f>
        <v/>
      </c>
      <c r="L187" s="18" t="str">
        <f ca="1">IF($A187="","",IF(IFERROR(_xlfn.XLOOKUP($C187,Bracket!$F$6:$F$16,Bracket!$K$6:$K$16,""),"")=$B187,1,0))</f>
        <v/>
      </c>
      <c r="M187" s="18" t="str">
        <f ca="1">IF($A187="","",IF(AND(IFERROR(_xlfn.XLOOKUP($C187,Bracket!$F$6:$F$16,Bracket!$K$6:$K$16,""),"")=$B187,LEFT(IFERROR(_xlfn.XLOOKUP($C187,Bracket!$F$6:$F$16,Bracket!$G$6:$G$16,""),""),2)="CG"),1,0))</f>
        <v/>
      </c>
      <c r="N187" s="18" t="str">
        <f ca="1">IF($A187="","",SUMIFS(Data!$X$4:$X$273,Data!$T$4:$T$273,$A187,Data!$U$4:$U$273,$B187,Data!$S$4:$S$273,$C187))</f>
        <v/>
      </c>
      <c r="O187" s="18" t="str">
        <f ca="1">IF($A187="","",SUMIFS(Data!$Z$4:$Z$273,Data!$T$4:$T$273,$A187,Data!$U$4:$U$273,$B187,Data!$S$4:$S$273,$C187))</f>
        <v/>
      </c>
      <c r="P187" s="18" t="str">
        <f ca="1">IF($A187="","",SUMIFS(Data!$AA$4:$AA$273,Data!$T$4:$T$273,$A187,Data!$U$4:$U$273,$B187,Data!$S$4:$S$273,$C187))</f>
        <v/>
      </c>
      <c r="Q187" s="18" t="str">
        <f ca="1">IF($A187="","",SUMIFS(Data!$AD$4:$AD$273,Data!$T$4:$T$273,$A187,Data!$U$4:$U$273,$B187,Data!$S$4:$S$273,$C187))</f>
        <v/>
      </c>
      <c r="R187" s="18" t="str">
        <f ca="1">IF($A187="","",SUMIFS(Data!$AE$4:$AE$273,Data!$T$4:$T$273,$A187,Data!$U$4:$U$273,$B187,Data!$S$4:$S$273,$C187))</f>
        <v/>
      </c>
      <c r="S187" s="18" t="str">
        <f ca="1">IF($A187="","",SUMIFS(Data!$AF$4:$AF$273,Data!$T$4:$T$273,$A187,Data!$U$4:$U$273,$B187,Data!$S$4:$S$273,$C187))</f>
        <v/>
      </c>
      <c r="T187" s="18" t="str">
        <f ca="1">IF($A187="","",SUMIFS(Data!$AG$4:$AG$273,Data!$T$4:$T$273,$A187,Data!$U$4:$U$273,$B187,Data!$S$4:$S$273,$C187))</f>
        <v/>
      </c>
      <c r="U187" s="18" t="str">
        <f ca="1">IF($A187="","",SUMIFS(Data!$AH$4:$AH$273,Data!$T$4:$T$273,$A187,Data!$U$4:$U$273,$B187,Data!$S$4:$S$273,$C187))</f>
        <v/>
      </c>
      <c r="V187" s="18" t="str">
        <f ca="1">IF($A187="","",SUMIFS(Data!$AO$4:$AO$183,Data!$AM$4:$AM$183,$B187,Data!$AL$4:$AL$183,$A187,Data!$AK$4:$AK$183,$C187))</f>
        <v/>
      </c>
      <c r="W187" s="18" t="str">
        <f ca="1">IF($A187="","",SUMIFS(Data!$AP$4:$AP$183,Data!$AM$4:$AM$183,$B187,Data!$AL$4:$AL$183,$A187,Data!$AK$4:$AK$183,$C187))</f>
        <v/>
      </c>
      <c r="X187" s="18" t="str">
        <f ca="1">IF($A187="","",SUMIFS(Data!$AR$4:$AR$183,Data!$AM$4:$AM$183,$B187,Data!$AL$4:$AL$183,$A187,Data!$AK$4:$AK$183,$C187))</f>
        <v/>
      </c>
      <c r="Y187" s="18" t="str">
        <f ca="1">IF($A187="","",SUMIFS(Data!$AS$4:$AS$183,Data!$AM$4:$AM$183,$B187,Data!$AL$4:$AL$183,$A187,Data!$AK$4:$AK$183,$C187))</f>
        <v/>
      </c>
      <c r="Z187" s="18" t="str">
        <f ca="1">IF($A187="","",SUMIFS(Data!$AT$4:$AT$183,Data!$AM$4:$AM$183,$B187,Data!$AL$4:$AL$183,$A187,Data!$AK$4:$AK$183,$C187))</f>
        <v/>
      </c>
      <c r="AA187" s="18" t="str">
        <f ca="1">IF($A187="","",SUMIFS(Data!$AW$4:$AW$183,Data!$AM$4:$AM$183,$B187,Data!$AL$4:$AL$183,$A187,Data!$AK$4:$AK$183,$C187))</f>
        <v/>
      </c>
      <c r="AB187" s="18" t="str">
        <f ca="1">IF($A187="","",SUMIFS(Data!$AX$4:$AX$183,Data!$AM$4:$AM$183,$B187,Data!$AL$4:$AL$183,$A187,Data!$AK$4:$AK$183,$C187))</f>
        <v/>
      </c>
      <c r="AC187" s="18" t="str">
        <f ca="1">IF($A187="","",SUMIFS(Data!$AY$4:$AY$183,Data!$AM$4:$AM$183,$B187,Data!$AL$4:$AL$183,$A187,Data!$AK$4:$AK$183,$C187))</f>
        <v/>
      </c>
      <c r="AD187" s="18" t="str">
        <f t="shared" ca="1" si="5"/>
        <v/>
      </c>
      <c r="AE187" s="18" t="str">
        <f ca="1">IF($A187="","",SUMIFS(Data!$AJ$4:$AJ$183,Data!$AM$4:$AM$183,$B187,Data!$AL$4:$AL$183,$A187,Data!$AK$4:$AK$183,$C187))</f>
        <v/>
      </c>
    </row>
    <row r="188" spans="1:31">
      <c r="A188" s="18" t="str">
        <f ca="1">IF(Data!T188="","",Data!T188)</f>
        <v/>
      </c>
      <c r="B188" s="18" t="str">
        <f ca="1">IF(Data!U188="","",Data!U188)</f>
        <v>Monty Mole</v>
      </c>
      <c r="C188" s="18" t="str">
        <f ca="1">IF(Data!S188="","",Data!S188)</f>
        <v/>
      </c>
      <c r="D188" s="18" t="str">
        <f ca="1">IF($A188="","",Data!W188)</f>
        <v/>
      </c>
      <c r="E188" s="18" t="str">
        <f ca="1">IF($A188="","",Data!Y188)</f>
        <v/>
      </c>
      <c r="F188" s="61" t="str">
        <f t="shared" ca="1" si="4"/>
        <v/>
      </c>
      <c r="G188" s="18" t="str">
        <f ca="1">IF($A188="","",Data!AB188)</f>
        <v/>
      </c>
      <c r="H188" s="18" t="str">
        <f ca="1">IF($A188="","",Data!AC188)</f>
        <v/>
      </c>
      <c r="I188" s="18" t="str">
        <f ca="1">IF($A188="","",INT(SUMIFS(Data!$AN$4:$AN$183,Data!$AM$4:$AM$183,$B188,Data!$AL$4:$AL$183,$A188,Data!$AK$4:$AK$183,$C188))+MOD(ROUND(SUMIFS(Data!$AN$4:$AN$183,Data!$AM$4:$AM$183,$B188,Data!$AL$4:$AL$183,$A188,Data!$AK$4:$AK$183,$C188)*3,0),3)/10)</f>
        <v/>
      </c>
      <c r="J188" s="18" t="str">
        <f ca="1">IF($A188="","",SUMIFS(Data!$AQ$4:$AQ$183,Data!$AM$4:$AM$183,$B188,Data!$AL$4:$AL$183,$A188,Data!$AK$4:$AK$183,$C188))</f>
        <v/>
      </c>
      <c r="K188" s="62" t="str">
        <f ca="1">IF($A188="","",IF(SUMIFS(Data!$AN$4:$AN$183,Data!$AM$4:$AM$183,$B188,Data!$AL$4:$AL$183,$A188,Data!$AK$4:$AK$183,$C188)=0,"",J188*3/SUMIFS(Data!$AN$4:$AN$183,Data!$AM$4:$AM$183,$B188,Data!$AL$4:$AL$183,$A188,Data!$AK$4:$AK$183,$C188)))</f>
        <v/>
      </c>
      <c r="L188" s="18" t="str">
        <f ca="1">IF($A188="","",IF(IFERROR(_xlfn.XLOOKUP($C188,Bracket!$F$6:$F$16,Bracket!$K$6:$K$16,""),"")=$B188,1,0))</f>
        <v/>
      </c>
      <c r="M188" s="18" t="str">
        <f ca="1">IF($A188="","",IF(AND(IFERROR(_xlfn.XLOOKUP($C188,Bracket!$F$6:$F$16,Bracket!$K$6:$K$16,""),"")=$B188,LEFT(IFERROR(_xlfn.XLOOKUP($C188,Bracket!$F$6:$F$16,Bracket!$G$6:$G$16,""),""),2)="CG"),1,0))</f>
        <v/>
      </c>
      <c r="N188" s="18" t="str">
        <f ca="1">IF($A188="","",SUMIFS(Data!$X$4:$X$273,Data!$T$4:$T$273,$A188,Data!$U$4:$U$273,$B188,Data!$S$4:$S$273,$C188))</f>
        <v/>
      </c>
      <c r="O188" s="18" t="str">
        <f ca="1">IF($A188="","",SUMIFS(Data!$Z$4:$Z$273,Data!$T$4:$T$273,$A188,Data!$U$4:$U$273,$B188,Data!$S$4:$S$273,$C188))</f>
        <v/>
      </c>
      <c r="P188" s="18" t="str">
        <f ca="1">IF($A188="","",SUMIFS(Data!$AA$4:$AA$273,Data!$T$4:$T$273,$A188,Data!$U$4:$U$273,$B188,Data!$S$4:$S$273,$C188))</f>
        <v/>
      </c>
      <c r="Q188" s="18" t="str">
        <f ca="1">IF($A188="","",SUMIFS(Data!$AD$4:$AD$273,Data!$T$4:$T$273,$A188,Data!$U$4:$U$273,$B188,Data!$S$4:$S$273,$C188))</f>
        <v/>
      </c>
      <c r="R188" s="18" t="str">
        <f ca="1">IF($A188="","",SUMIFS(Data!$AE$4:$AE$273,Data!$T$4:$T$273,$A188,Data!$U$4:$U$273,$B188,Data!$S$4:$S$273,$C188))</f>
        <v/>
      </c>
      <c r="S188" s="18" t="str">
        <f ca="1">IF($A188="","",SUMIFS(Data!$AF$4:$AF$273,Data!$T$4:$T$273,$A188,Data!$U$4:$U$273,$B188,Data!$S$4:$S$273,$C188))</f>
        <v/>
      </c>
      <c r="T188" s="18" t="str">
        <f ca="1">IF($A188="","",SUMIFS(Data!$AG$4:$AG$273,Data!$T$4:$T$273,$A188,Data!$U$4:$U$273,$B188,Data!$S$4:$S$273,$C188))</f>
        <v/>
      </c>
      <c r="U188" s="18" t="str">
        <f ca="1">IF($A188="","",SUMIFS(Data!$AH$4:$AH$273,Data!$T$4:$T$273,$A188,Data!$U$4:$U$273,$B188,Data!$S$4:$S$273,$C188))</f>
        <v/>
      </c>
      <c r="V188" s="18" t="str">
        <f ca="1">IF($A188="","",SUMIFS(Data!$AO$4:$AO$183,Data!$AM$4:$AM$183,$B188,Data!$AL$4:$AL$183,$A188,Data!$AK$4:$AK$183,$C188))</f>
        <v/>
      </c>
      <c r="W188" s="18" t="str">
        <f ca="1">IF($A188="","",SUMIFS(Data!$AP$4:$AP$183,Data!$AM$4:$AM$183,$B188,Data!$AL$4:$AL$183,$A188,Data!$AK$4:$AK$183,$C188))</f>
        <v/>
      </c>
      <c r="X188" s="18" t="str">
        <f ca="1">IF($A188="","",SUMIFS(Data!$AR$4:$AR$183,Data!$AM$4:$AM$183,$B188,Data!$AL$4:$AL$183,$A188,Data!$AK$4:$AK$183,$C188))</f>
        <v/>
      </c>
      <c r="Y188" s="18" t="str">
        <f ca="1">IF($A188="","",SUMIFS(Data!$AS$4:$AS$183,Data!$AM$4:$AM$183,$B188,Data!$AL$4:$AL$183,$A188,Data!$AK$4:$AK$183,$C188))</f>
        <v/>
      </c>
      <c r="Z188" s="18" t="str">
        <f ca="1">IF($A188="","",SUMIFS(Data!$AT$4:$AT$183,Data!$AM$4:$AM$183,$B188,Data!$AL$4:$AL$183,$A188,Data!$AK$4:$AK$183,$C188))</f>
        <v/>
      </c>
      <c r="AA188" s="18" t="str">
        <f ca="1">IF($A188="","",SUMIFS(Data!$AW$4:$AW$183,Data!$AM$4:$AM$183,$B188,Data!$AL$4:$AL$183,$A188,Data!$AK$4:$AK$183,$C188))</f>
        <v/>
      </c>
      <c r="AB188" s="18" t="str">
        <f ca="1">IF($A188="","",SUMIFS(Data!$AX$4:$AX$183,Data!$AM$4:$AM$183,$B188,Data!$AL$4:$AL$183,$A188,Data!$AK$4:$AK$183,$C188))</f>
        <v/>
      </c>
      <c r="AC188" s="18" t="str">
        <f ca="1">IF($A188="","",SUMIFS(Data!$AY$4:$AY$183,Data!$AM$4:$AM$183,$B188,Data!$AL$4:$AL$183,$A188,Data!$AK$4:$AK$183,$C188))</f>
        <v/>
      </c>
      <c r="AD188" s="18" t="str">
        <f t="shared" ca="1" si="5"/>
        <v/>
      </c>
      <c r="AE188" s="18" t="str">
        <f ca="1">IF($A188="","",SUMIFS(Data!$AJ$4:$AJ$183,Data!$AM$4:$AM$183,$B188,Data!$AL$4:$AL$183,$A188,Data!$AK$4:$AK$183,$C188))</f>
        <v/>
      </c>
    </row>
    <row r="189" spans="1:31">
      <c r="A189" s="18" t="str">
        <f ca="1">IF(Data!T189="","",Data!T189)</f>
        <v/>
      </c>
      <c r="B189" s="18" t="str">
        <f ca="1">IF(Data!U189="","",Data!U189)</f>
        <v>Wario</v>
      </c>
      <c r="C189" s="18" t="str">
        <f ca="1">IF(Data!S189="","",Data!S189)</f>
        <v/>
      </c>
      <c r="D189" s="18" t="str">
        <f ca="1">IF($A189="","",Data!W189)</f>
        <v/>
      </c>
      <c r="E189" s="18" t="str">
        <f ca="1">IF($A189="","",Data!Y189)</f>
        <v/>
      </c>
      <c r="F189" s="61" t="str">
        <f t="shared" ca="1" si="4"/>
        <v/>
      </c>
      <c r="G189" s="18" t="str">
        <f ca="1">IF($A189="","",Data!AB189)</f>
        <v/>
      </c>
      <c r="H189" s="18" t="str">
        <f ca="1">IF($A189="","",Data!AC189)</f>
        <v/>
      </c>
      <c r="I189" s="18" t="str">
        <f ca="1">IF($A189="","",INT(SUMIFS(Data!$AN$4:$AN$183,Data!$AM$4:$AM$183,$B189,Data!$AL$4:$AL$183,$A189,Data!$AK$4:$AK$183,$C189))+MOD(ROUND(SUMIFS(Data!$AN$4:$AN$183,Data!$AM$4:$AM$183,$B189,Data!$AL$4:$AL$183,$A189,Data!$AK$4:$AK$183,$C189)*3,0),3)/10)</f>
        <v/>
      </c>
      <c r="J189" s="18" t="str">
        <f ca="1">IF($A189="","",SUMIFS(Data!$AQ$4:$AQ$183,Data!$AM$4:$AM$183,$B189,Data!$AL$4:$AL$183,$A189,Data!$AK$4:$AK$183,$C189))</f>
        <v/>
      </c>
      <c r="K189" s="62" t="str">
        <f ca="1">IF($A189="","",IF(SUMIFS(Data!$AN$4:$AN$183,Data!$AM$4:$AM$183,$B189,Data!$AL$4:$AL$183,$A189,Data!$AK$4:$AK$183,$C189)=0,"",J189*3/SUMIFS(Data!$AN$4:$AN$183,Data!$AM$4:$AM$183,$B189,Data!$AL$4:$AL$183,$A189,Data!$AK$4:$AK$183,$C189)))</f>
        <v/>
      </c>
      <c r="L189" s="18" t="str">
        <f ca="1">IF($A189="","",IF(IFERROR(_xlfn.XLOOKUP($C189,Bracket!$F$6:$F$16,Bracket!$K$6:$K$16,""),"")=$B189,1,0))</f>
        <v/>
      </c>
      <c r="M189" s="18" t="str">
        <f ca="1">IF($A189="","",IF(AND(IFERROR(_xlfn.XLOOKUP($C189,Bracket!$F$6:$F$16,Bracket!$K$6:$K$16,""),"")=$B189,LEFT(IFERROR(_xlfn.XLOOKUP($C189,Bracket!$F$6:$F$16,Bracket!$G$6:$G$16,""),""),2)="CG"),1,0))</f>
        <v/>
      </c>
      <c r="N189" s="18" t="str">
        <f ca="1">IF($A189="","",SUMIFS(Data!$X$4:$X$273,Data!$T$4:$T$273,$A189,Data!$U$4:$U$273,$B189,Data!$S$4:$S$273,$C189))</f>
        <v/>
      </c>
      <c r="O189" s="18" t="str">
        <f ca="1">IF($A189="","",SUMIFS(Data!$Z$4:$Z$273,Data!$T$4:$T$273,$A189,Data!$U$4:$U$273,$B189,Data!$S$4:$S$273,$C189))</f>
        <v/>
      </c>
      <c r="P189" s="18" t="str">
        <f ca="1">IF($A189="","",SUMIFS(Data!$AA$4:$AA$273,Data!$T$4:$T$273,$A189,Data!$U$4:$U$273,$B189,Data!$S$4:$S$273,$C189))</f>
        <v/>
      </c>
      <c r="Q189" s="18" t="str">
        <f ca="1">IF($A189="","",SUMIFS(Data!$AD$4:$AD$273,Data!$T$4:$T$273,$A189,Data!$U$4:$U$273,$B189,Data!$S$4:$S$273,$C189))</f>
        <v/>
      </c>
      <c r="R189" s="18" t="str">
        <f ca="1">IF($A189="","",SUMIFS(Data!$AE$4:$AE$273,Data!$T$4:$T$273,$A189,Data!$U$4:$U$273,$B189,Data!$S$4:$S$273,$C189))</f>
        <v/>
      </c>
      <c r="S189" s="18" t="str">
        <f ca="1">IF($A189="","",SUMIFS(Data!$AF$4:$AF$273,Data!$T$4:$T$273,$A189,Data!$U$4:$U$273,$B189,Data!$S$4:$S$273,$C189))</f>
        <v/>
      </c>
      <c r="T189" s="18" t="str">
        <f ca="1">IF($A189="","",SUMIFS(Data!$AG$4:$AG$273,Data!$T$4:$T$273,$A189,Data!$U$4:$U$273,$B189,Data!$S$4:$S$273,$C189))</f>
        <v/>
      </c>
      <c r="U189" s="18" t="str">
        <f ca="1">IF($A189="","",SUMIFS(Data!$AH$4:$AH$273,Data!$T$4:$T$273,$A189,Data!$U$4:$U$273,$B189,Data!$S$4:$S$273,$C189))</f>
        <v/>
      </c>
      <c r="V189" s="18" t="str">
        <f ca="1">IF($A189="","",SUMIFS(Data!$AO$4:$AO$183,Data!$AM$4:$AM$183,$B189,Data!$AL$4:$AL$183,$A189,Data!$AK$4:$AK$183,$C189))</f>
        <v/>
      </c>
      <c r="W189" s="18" t="str">
        <f ca="1">IF($A189="","",SUMIFS(Data!$AP$4:$AP$183,Data!$AM$4:$AM$183,$B189,Data!$AL$4:$AL$183,$A189,Data!$AK$4:$AK$183,$C189))</f>
        <v/>
      </c>
      <c r="X189" s="18" t="str">
        <f ca="1">IF($A189="","",SUMIFS(Data!$AR$4:$AR$183,Data!$AM$4:$AM$183,$B189,Data!$AL$4:$AL$183,$A189,Data!$AK$4:$AK$183,$C189))</f>
        <v/>
      </c>
      <c r="Y189" s="18" t="str">
        <f ca="1">IF($A189="","",SUMIFS(Data!$AS$4:$AS$183,Data!$AM$4:$AM$183,$B189,Data!$AL$4:$AL$183,$A189,Data!$AK$4:$AK$183,$C189))</f>
        <v/>
      </c>
      <c r="Z189" s="18" t="str">
        <f ca="1">IF($A189="","",SUMIFS(Data!$AT$4:$AT$183,Data!$AM$4:$AM$183,$B189,Data!$AL$4:$AL$183,$A189,Data!$AK$4:$AK$183,$C189))</f>
        <v/>
      </c>
      <c r="AA189" s="18" t="str">
        <f ca="1">IF($A189="","",SUMIFS(Data!$AW$4:$AW$183,Data!$AM$4:$AM$183,$B189,Data!$AL$4:$AL$183,$A189,Data!$AK$4:$AK$183,$C189))</f>
        <v/>
      </c>
      <c r="AB189" s="18" t="str">
        <f ca="1">IF($A189="","",SUMIFS(Data!$AX$4:$AX$183,Data!$AM$4:$AM$183,$B189,Data!$AL$4:$AL$183,$A189,Data!$AK$4:$AK$183,$C189))</f>
        <v/>
      </c>
      <c r="AC189" s="18" t="str">
        <f ca="1">IF($A189="","",SUMIFS(Data!$AY$4:$AY$183,Data!$AM$4:$AM$183,$B189,Data!$AL$4:$AL$183,$A189,Data!$AK$4:$AK$183,$C189))</f>
        <v/>
      </c>
      <c r="AD189" s="18" t="str">
        <f t="shared" ca="1" si="5"/>
        <v/>
      </c>
      <c r="AE189" s="18" t="str">
        <f ca="1">IF($A189="","",SUMIFS(Data!$AJ$4:$AJ$183,Data!$AM$4:$AM$183,$B189,Data!$AL$4:$AL$183,$A189,Data!$AK$4:$AK$183,$C189))</f>
        <v/>
      </c>
    </row>
    <row r="190" spans="1:31">
      <c r="A190" s="18" t="str">
        <f ca="1">IF(Data!T190="","",Data!T190)</f>
        <v/>
      </c>
      <c r="B190" s="18" t="str">
        <f ca="1">IF(Data!U190="","",Data!U190)</f>
        <v>Wiggler</v>
      </c>
      <c r="C190" s="18" t="str">
        <f ca="1">IF(Data!S190="","",Data!S190)</f>
        <v/>
      </c>
      <c r="D190" s="18" t="str">
        <f ca="1">IF($A190="","",Data!W190)</f>
        <v/>
      </c>
      <c r="E190" s="18" t="str">
        <f ca="1">IF($A190="","",Data!Y190)</f>
        <v/>
      </c>
      <c r="F190" s="61" t="str">
        <f t="shared" ca="1" si="4"/>
        <v/>
      </c>
      <c r="G190" s="18" t="str">
        <f ca="1">IF($A190="","",Data!AB190)</f>
        <v/>
      </c>
      <c r="H190" s="18" t="str">
        <f ca="1">IF($A190="","",Data!AC190)</f>
        <v/>
      </c>
      <c r="I190" s="18" t="str">
        <f ca="1">IF($A190="","",INT(SUMIFS(Data!$AN$4:$AN$183,Data!$AM$4:$AM$183,$B190,Data!$AL$4:$AL$183,$A190,Data!$AK$4:$AK$183,$C190))+MOD(ROUND(SUMIFS(Data!$AN$4:$AN$183,Data!$AM$4:$AM$183,$B190,Data!$AL$4:$AL$183,$A190,Data!$AK$4:$AK$183,$C190)*3,0),3)/10)</f>
        <v/>
      </c>
      <c r="J190" s="18" t="str">
        <f ca="1">IF($A190="","",SUMIFS(Data!$AQ$4:$AQ$183,Data!$AM$4:$AM$183,$B190,Data!$AL$4:$AL$183,$A190,Data!$AK$4:$AK$183,$C190))</f>
        <v/>
      </c>
      <c r="K190" s="62" t="str">
        <f ca="1">IF($A190="","",IF(SUMIFS(Data!$AN$4:$AN$183,Data!$AM$4:$AM$183,$B190,Data!$AL$4:$AL$183,$A190,Data!$AK$4:$AK$183,$C190)=0,"",J190*3/SUMIFS(Data!$AN$4:$AN$183,Data!$AM$4:$AM$183,$B190,Data!$AL$4:$AL$183,$A190,Data!$AK$4:$AK$183,$C190)))</f>
        <v/>
      </c>
      <c r="L190" s="18" t="str">
        <f ca="1">IF($A190="","",IF(IFERROR(_xlfn.XLOOKUP($C190,Bracket!$F$6:$F$16,Bracket!$K$6:$K$16,""),"")=$B190,1,0))</f>
        <v/>
      </c>
      <c r="M190" s="18" t="str">
        <f ca="1">IF($A190="","",IF(AND(IFERROR(_xlfn.XLOOKUP($C190,Bracket!$F$6:$F$16,Bracket!$K$6:$K$16,""),"")=$B190,LEFT(IFERROR(_xlfn.XLOOKUP($C190,Bracket!$F$6:$F$16,Bracket!$G$6:$G$16,""),""),2)="CG"),1,0))</f>
        <v/>
      </c>
      <c r="N190" s="18" t="str">
        <f ca="1">IF($A190="","",SUMIFS(Data!$X$4:$X$273,Data!$T$4:$T$273,$A190,Data!$U$4:$U$273,$B190,Data!$S$4:$S$273,$C190))</f>
        <v/>
      </c>
      <c r="O190" s="18" t="str">
        <f ca="1">IF($A190="","",SUMIFS(Data!$Z$4:$Z$273,Data!$T$4:$T$273,$A190,Data!$U$4:$U$273,$B190,Data!$S$4:$S$273,$C190))</f>
        <v/>
      </c>
      <c r="P190" s="18" t="str">
        <f ca="1">IF($A190="","",SUMIFS(Data!$AA$4:$AA$273,Data!$T$4:$T$273,$A190,Data!$U$4:$U$273,$B190,Data!$S$4:$S$273,$C190))</f>
        <v/>
      </c>
      <c r="Q190" s="18" t="str">
        <f ca="1">IF($A190="","",SUMIFS(Data!$AD$4:$AD$273,Data!$T$4:$T$273,$A190,Data!$U$4:$U$273,$B190,Data!$S$4:$S$273,$C190))</f>
        <v/>
      </c>
      <c r="R190" s="18" t="str">
        <f ca="1">IF($A190="","",SUMIFS(Data!$AE$4:$AE$273,Data!$T$4:$T$273,$A190,Data!$U$4:$U$273,$B190,Data!$S$4:$S$273,$C190))</f>
        <v/>
      </c>
      <c r="S190" s="18" t="str">
        <f ca="1">IF($A190="","",SUMIFS(Data!$AF$4:$AF$273,Data!$T$4:$T$273,$A190,Data!$U$4:$U$273,$B190,Data!$S$4:$S$273,$C190))</f>
        <v/>
      </c>
      <c r="T190" s="18" t="str">
        <f ca="1">IF($A190="","",SUMIFS(Data!$AG$4:$AG$273,Data!$T$4:$T$273,$A190,Data!$U$4:$U$273,$B190,Data!$S$4:$S$273,$C190))</f>
        <v/>
      </c>
      <c r="U190" s="18" t="str">
        <f ca="1">IF($A190="","",SUMIFS(Data!$AH$4:$AH$273,Data!$T$4:$T$273,$A190,Data!$U$4:$U$273,$B190,Data!$S$4:$S$273,$C190))</f>
        <v/>
      </c>
      <c r="V190" s="18" t="str">
        <f ca="1">IF($A190="","",SUMIFS(Data!$AO$4:$AO$183,Data!$AM$4:$AM$183,$B190,Data!$AL$4:$AL$183,$A190,Data!$AK$4:$AK$183,$C190))</f>
        <v/>
      </c>
      <c r="W190" s="18" t="str">
        <f ca="1">IF($A190="","",SUMIFS(Data!$AP$4:$AP$183,Data!$AM$4:$AM$183,$B190,Data!$AL$4:$AL$183,$A190,Data!$AK$4:$AK$183,$C190))</f>
        <v/>
      </c>
      <c r="X190" s="18" t="str">
        <f ca="1">IF($A190="","",SUMIFS(Data!$AR$4:$AR$183,Data!$AM$4:$AM$183,$B190,Data!$AL$4:$AL$183,$A190,Data!$AK$4:$AK$183,$C190))</f>
        <v/>
      </c>
      <c r="Y190" s="18" t="str">
        <f ca="1">IF($A190="","",SUMIFS(Data!$AS$4:$AS$183,Data!$AM$4:$AM$183,$B190,Data!$AL$4:$AL$183,$A190,Data!$AK$4:$AK$183,$C190))</f>
        <v/>
      </c>
      <c r="Z190" s="18" t="str">
        <f ca="1">IF($A190="","",SUMIFS(Data!$AT$4:$AT$183,Data!$AM$4:$AM$183,$B190,Data!$AL$4:$AL$183,$A190,Data!$AK$4:$AK$183,$C190))</f>
        <v/>
      </c>
      <c r="AA190" s="18" t="str">
        <f ca="1">IF($A190="","",SUMIFS(Data!$AW$4:$AW$183,Data!$AM$4:$AM$183,$B190,Data!$AL$4:$AL$183,$A190,Data!$AK$4:$AK$183,$C190))</f>
        <v/>
      </c>
      <c r="AB190" s="18" t="str">
        <f ca="1">IF($A190="","",SUMIFS(Data!$AX$4:$AX$183,Data!$AM$4:$AM$183,$B190,Data!$AL$4:$AL$183,$A190,Data!$AK$4:$AK$183,$C190))</f>
        <v/>
      </c>
      <c r="AC190" s="18" t="str">
        <f ca="1">IF($A190="","",SUMIFS(Data!$AY$4:$AY$183,Data!$AM$4:$AM$183,$B190,Data!$AL$4:$AL$183,$A190,Data!$AK$4:$AK$183,$C190))</f>
        <v/>
      </c>
      <c r="AD190" s="18" t="str">
        <f t="shared" ca="1" si="5"/>
        <v/>
      </c>
      <c r="AE190" s="18" t="str">
        <f ca="1">IF($A190="","",SUMIFS(Data!$AJ$4:$AJ$183,Data!$AM$4:$AM$183,$B190,Data!$AL$4:$AL$183,$A190,Data!$AK$4:$AK$183,$C190))</f>
        <v/>
      </c>
    </row>
    <row r="191" spans="1:31">
      <c r="A191" s="18" t="str">
        <f ca="1">IF(Data!T191="","",Data!T191)</f>
        <v/>
      </c>
      <c r="B191" s="18" t="str">
        <f ca="1">IF(Data!U191="","",Data!U191)</f>
        <v>Boomerang Bro</v>
      </c>
      <c r="C191" s="18" t="str">
        <f ca="1">IF(Data!S191="","",Data!S191)</f>
        <v/>
      </c>
      <c r="D191" s="18" t="str">
        <f ca="1">IF($A191="","",Data!W191)</f>
        <v/>
      </c>
      <c r="E191" s="18" t="str">
        <f ca="1">IF($A191="","",Data!Y191)</f>
        <v/>
      </c>
      <c r="F191" s="61" t="str">
        <f t="shared" ca="1" si="4"/>
        <v/>
      </c>
      <c r="G191" s="18" t="str">
        <f ca="1">IF($A191="","",Data!AB191)</f>
        <v/>
      </c>
      <c r="H191" s="18" t="str">
        <f ca="1">IF($A191="","",Data!AC191)</f>
        <v/>
      </c>
      <c r="I191" s="18" t="str">
        <f ca="1">IF($A191="","",INT(SUMIFS(Data!$AN$4:$AN$183,Data!$AM$4:$AM$183,$B191,Data!$AL$4:$AL$183,$A191,Data!$AK$4:$AK$183,$C191))+MOD(ROUND(SUMIFS(Data!$AN$4:$AN$183,Data!$AM$4:$AM$183,$B191,Data!$AL$4:$AL$183,$A191,Data!$AK$4:$AK$183,$C191)*3,0),3)/10)</f>
        <v/>
      </c>
      <c r="J191" s="18" t="str">
        <f ca="1">IF($A191="","",SUMIFS(Data!$AQ$4:$AQ$183,Data!$AM$4:$AM$183,$B191,Data!$AL$4:$AL$183,$A191,Data!$AK$4:$AK$183,$C191))</f>
        <v/>
      </c>
      <c r="K191" s="62" t="str">
        <f ca="1">IF($A191="","",IF(SUMIFS(Data!$AN$4:$AN$183,Data!$AM$4:$AM$183,$B191,Data!$AL$4:$AL$183,$A191,Data!$AK$4:$AK$183,$C191)=0,"",J191*3/SUMIFS(Data!$AN$4:$AN$183,Data!$AM$4:$AM$183,$B191,Data!$AL$4:$AL$183,$A191,Data!$AK$4:$AK$183,$C191)))</f>
        <v/>
      </c>
      <c r="L191" s="18" t="str">
        <f ca="1">IF($A191="","",IF(IFERROR(_xlfn.XLOOKUP($C191,Bracket!$F$6:$F$16,Bracket!$K$6:$K$16,""),"")=$B191,1,0))</f>
        <v/>
      </c>
      <c r="M191" s="18" t="str">
        <f ca="1">IF($A191="","",IF(AND(IFERROR(_xlfn.XLOOKUP($C191,Bracket!$F$6:$F$16,Bracket!$K$6:$K$16,""),"")=$B191,LEFT(IFERROR(_xlfn.XLOOKUP($C191,Bracket!$F$6:$F$16,Bracket!$G$6:$G$16,""),""),2)="CG"),1,0))</f>
        <v/>
      </c>
      <c r="N191" s="18" t="str">
        <f ca="1">IF($A191="","",SUMIFS(Data!$X$4:$X$273,Data!$T$4:$T$273,$A191,Data!$U$4:$U$273,$B191,Data!$S$4:$S$273,$C191))</f>
        <v/>
      </c>
      <c r="O191" s="18" t="str">
        <f ca="1">IF($A191="","",SUMIFS(Data!$Z$4:$Z$273,Data!$T$4:$T$273,$A191,Data!$U$4:$U$273,$B191,Data!$S$4:$S$273,$C191))</f>
        <v/>
      </c>
      <c r="P191" s="18" t="str">
        <f ca="1">IF($A191="","",SUMIFS(Data!$AA$4:$AA$273,Data!$T$4:$T$273,$A191,Data!$U$4:$U$273,$B191,Data!$S$4:$S$273,$C191))</f>
        <v/>
      </c>
      <c r="Q191" s="18" t="str">
        <f ca="1">IF($A191="","",SUMIFS(Data!$AD$4:$AD$273,Data!$T$4:$T$273,$A191,Data!$U$4:$U$273,$B191,Data!$S$4:$S$273,$C191))</f>
        <v/>
      </c>
      <c r="R191" s="18" t="str">
        <f ca="1">IF($A191="","",SUMIFS(Data!$AE$4:$AE$273,Data!$T$4:$T$273,$A191,Data!$U$4:$U$273,$B191,Data!$S$4:$S$273,$C191))</f>
        <v/>
      </c>
      <c r="S191" s="18" t="str">
        <f ca="1">IF($A191="","",SUMIFS(Data!$AF$4:$AF$273,Data!$T$4:$T$273,$A191,Data!$U$4:$U$273,$B191,Data!$S$4:$S$273,$C191))</f>
        <v/>
      </c>
      <c r="T191" s="18" t="str">
        <f ca="1">IF($A191="","",SUMIFS(Data!$AG$4:$AG$273,Data!$T$4:$T$273,$A191,Data!$U$4:$U$273,$B191,Data!$S$4:$S$273,$C191))</f>
        <v/>
      </c>
      <c r="U191" s="18" t="str">
        <f ca="1">IF($A191="","",SUMIFS(Data!$AH$4:$AH$273,Data!$T$4:$T$273,$A191,Data!$U$4:$U$273,$B191,Data!$S$4:$S$273,$C191))</f>
        <v/>
      </c>
      <c r="V191" s="18" t="str">
        <f ca="1">IF($A191="","",SUMIFS(Data!$AO$4:$AO$183,Data!$AM$4:$AM$183,$B191,Data!$AL$4:$AL$183,$A191,Data!$AK$4:$AK$183,$C191))</f>
        <v/>
      </c>
      <c r="W191" s="18" t="str">
        <f ca="1">IF($A191="","",SUMIFS(Data!$AP$4:$AP$183,Data!$AM$4:$AM$183,$B191,Data!$AL$4:$AL$183,$A191,Data!$AK$4:$AK$183,$C191))</f>
        <v/>
      </c>
      <c r="X191" s="18" t="str">
        <f ca="1">IF($A191="","",SUMIFS(Data!$AR$4:$AR$183,Data!$AM$4:$AM$183,$B191,Data!$AL$4:$AL$183,$A191,Data!$AK$4:$AK$183,$C191))</f>
        <v/>
      </c>
      <c r="Y191" s="18" t="str">
        <f ca="1">IF($A191="","",SUMIFS(Data!$AS$4:$AS$183,Data!$AM$4:$AM$183,$B191,Data!$AL$4:$AL$183,$A191,Data!$AK$4:$AK$183,$C191))</f>
        <v/>
      </c>
      <c r="Z191" s="18" t="str">
        <f ca="1">IF($A191="","",SUMIFS(Data!$AT$4:$AT$183,Data!$AM$4:$AM$183,$B191,Data!$AL$4:$AL$183,$A191,Data!$AK$4:$AK$183,$C191))</f>
        <v/>
      </c>
      <c r="AA191" s="18" t="str">
        <f ca="1">IF($A191="","",SUMIFS(Data!$AW$4:$AW$183,Data!$AM$4:$AM$183,$B191,Data!$AL$4:$AL$183,$A191,Data!$AK$4:$AK$183,$C191))</f>
        <v/>
      </c>
      <c r="AB191" s="18" t="str">
        <f ca="1">IF($A191="","",SUMIFS(Data!$AX$4:$AX$183,Data!$AM$4:$AM$183,$B191,Data!$AL$4:$AL$183,$A191,Data!$AK$4:$AK$183,$C191))</f>
        <v/>
      </c>
      <c r="AC191" s="18" t="str">
        <f ca="1">IF($A191="","",SUMIFS(Data!$AY$4:$AY$183,Data!$AM$4:$AM$183,$B191,Data!$AL$4:$AL$183,$A191,Data!$AK$4:$AK$183,$C191))</f>
        <v/>
      </c>
      <c r="AD191" s="18" t="str">
        <f t="shared" ca="1" si="5"/>
        <v/>
      </c>
      <c r="AE191" s="18" t="str">
        <f ca="1">IF($A191="","",SUMIFS(Data!$AJ$4:$AJ$183,Data!$AM$4:$AM$183,$B191,Data!$AL$4:$AL$183,$A191,Data!$AK$4:$AK$183,$C191))</f>
        <v/>
      </c>
    </row>
    <row r="192" spans="1:31">
      <c r="A192" s="18" t="str">
        <f ca="1">IF(Data!T192="","",Data!T192)</f>
        <v/>
      </c>
      <c r="B192" s="18" t="str">
        <f ca="1">IF(Data!U192="","",Data!U192)</f>
        <v>Green Dry Bones</v>
      </c>
      <c r="C192" s="18" t="str">
        <f ca="1">IF(Data!S192="","",Data!S192)</f>
        <v/>
      </c>
      <c r="D192" s="18" t="str">
        <f ca="1">IF($A192="","",Data!W192)</f>
        <v/>
      </c>
      <c r="E192" s="18" t="str">
        <f ca="1">IF($A192="","",Data!Y192)</f>
        <v/>
      </c>
      <c r="F192" s="61" t="str">
        <f t="shared" ca="1" si="4"/>
        <v/>
      </c>
      <c r="G192" s="18" t="str">
        <f ca="1">IF($A192="","",Data!AB192)</f>
        <v/>
      </c>
      <c r="H192" s="18" t="str">
        <f ca="1">IF($A192="","",Data!AC192)</f>
        <v/>
      </c>
      <c r="I192" s="18" t="str">
        <f ca="1">IF($A192="","",INT(SUMIFS(Data!$AN$4:$AN$183,Data!$AM$4:$AM$183,$B192,Data!$AL$4:$AL$183,$A192,Data!$AK$4:$AK$183,$C192))+MOD(ROUND(SUMIFS(Data!$AN$4:$AN$183,Data!$AM$4:$AM$183,$B192,Data!$AL$4:$AL$183,$A192,Data!$AK$4:$AK$183,$C192)*3,0),3)/10)</f>
        <v/>
      </c>
      <c r="J192" s="18" t="str">
        <f ca="1">IF($A192="","",SUMIFS(Data!$AQ$4:$AQ$183,Data!$AM$4:$AM$183,$B192,Data!$AL$4:$AL$183,$A192,Data!$AK$4:$AK$183,$C192))</f>
        <v/>
      </c>
      <c r="K192" s="62" t="str">
        <f ca="1">IF($A192="","",IF(SUMIFS(Data!$AN$4:$AN$183,Data!$AM$4:$AM$183,$B192,Data!$AL$4:$AL$183,$A192,Data!$AK$4:$AK$183,$C192)=0,"",J192*3/SUMIFS(Data!$AN$4:$AN$183,Data!$AM$4:$AM$183,$B192,Data!$AL$4:$AL$183,$A192,Data!$AK$4:$AK$183,$C192)))</f>
        <v/>
      </c>
      <c r="L192" s="18" t="str">
        <f ca="1">IF($A192="","",IF(IFERROR(_xlfn.XLOOKUP($C192,Bracket!$F$6:$F$16,Bracket!$K$6:$K$16,""),"")=$B192,1,0))</f>
        <v/>
      </c>
      <c r="M192" s="18" t="str">
        <f ca="1">IF($A192="","",IF(AND(IFERROR(_xlfn.XLOOKUP($C192,Bracket!$F$6:$F$16,Bracket!$K$6:$K$16,""),"")=$B192,LEFT(IFERROR(_xlfn.XLOOKUP($C192,Bracket!$F$6:$F$16,Bracket!$G$6:$G$16,""),""),2)="CG"),1,0))</f>
        <v/>
      </c>
      <c r="N192" s="18" t="str">
        <f ca="1">IF($A192="","",SUMIFS(Data!$X$4:$X$273,Data!$T$4:$T$273,$A192,Data!$U$4:$U$273,$B192,Data!$S$4:$S$273,$C192))</f>
        <v/>
      </c>
      <c r="O192" s="18" t="str">
        <f ca="1">IF($A192="","",SUMIFS(Data!$Z$4:$Z$273,Data!$T$4:$T$273,$A192,Data!$U$4:$U$273,$B192,Data!$S$4:$S$273,$C192))</f>
        <v/>
      </c>
      <c r="P192" s="18" t="str">
        <f ca="1">IF($A192="","",SUMIFS(Data!$AA$4:$AA$273,Data!$T$4:$T$273,$A192,Data!$U$4:$U$273,$B192,Data!$S$4:$S$273,$C192))</f>
        <v/>
      </c>
      <c r="Q192" s="18" t="str">
        <f ca="1">IF($A192="","",SUMIFS(Data!$AD$4:$AD$273,Data!$T$4:$T$273,$A192,Data!$U$4:$U$273,$B192,Data!$S$4:$S$273,$C192))</f>
        <v/>
      </c>
      <c r="R192" s="18" t="str">
        <f ca="1">IF($A192="","",SUMIFS(Data!$AE$4:$AE$273,Data!$T$4:$T$273,$A192,Data!$U$4:$U$273,$B192,Data!$S$4:$S$273,$C192))</f>
        <v/>
      </c>
      <c r="S192" s="18" t="str">
        <f ca="1">IF($A192="","",SUMIFS(Data!$AF$4:$AF$273,Data!$T$4:$T$273,$A192,Data!$U$4:$U$273,$B192,Data!$S$4:$S$273,$C192))</f>
        <v/>
      </c>
      <c r="T192" s="18" t="str">
        <f ca="1">IF($A192="","",SUMIFS(Data!$AG$4:$AG$273,Data!$T$4:$T$273,$A192,Data!$U$4:$U$273,$B192,Data!$S$4:$S$273,$C192))</f>
        <v/>
      </c>
      <c r="U192" s="18" t="str">
        <f ca="1">IF($A192="","",SUMIFS(Data!$AH$4:$AH$273,Data!$T$4:$T$273,$A192,Data!$U$4:$U$273,$B192,Data!$S$4:$S$273,$C192))</f>
        <v/>
      </c>
      <c r="V192" s="18" t="str">
        <f ca="1">IF($A192="","",SUMIFS(Data!$AO$4:$AO$183,Data!$AM$4:$AM$183,$B192,Data!$AL$4:$AL$183,$A192,Data!$AK$4:$AK$183,$C192))</f>
        <v/>
      </c>
      <c r="W192" s="18" t="str">
        <f ca="1">IF($A192="","",SUMIFS(Data!$AP$4:$AP$183,Data!$AM$4:$AM$183,$B192,Data!$AL$4:$AL$183,$A192,Data!$AK$4:$AK$183,$C192))</f>
        <v/>
      </c>
      <c r="X192" s="18" t="str">
        <f ca="1">IF($A192="","",SUMIFS(Data!$AR$4:$AR$183,Data!$AM$4:$AM$183,$B192,Data!$AL$4:$AL$183,$A192,Data!$AK$4:$AK$183,$C192))</f>
        <v/>
      </c>
      <c r="Y192" s="18" t="str">
        <f ca="1">IF($A192="","",SUMIFS(Data!$AS$4:$AS$183,Data!$AM$4:$AM$183,$B192,Data!$AL$4:$AL$183,$A192,Data!$AK$4:$AK$183,$C192))</f>
        <v/>
      </c>
      <c r="Z192" s="18" t="str">
        <f ca="1">IF($A192="","",SUMIFS(Data!$AT$4:$AT$183,Data!$AM$4:$AM$183,$B192,Data!$AL$4:$AL$183,$A192,Data!$AK$4:$AK$183,$C192))</f>
        <v/>
      </c>
      <c r="AA192" s="18" t="str">
        <f ca="1">IF($A192="","",SUMIFS(Data!$AW$4:$AW$183,Data!$AM$4:$AM$183,$B192,Data!$AL$4:$AL$183,$A192,Data!$AK$4:$AK$183,$C192))</f>
        <v/>
      </c>
      <c r="AB192" s="18" t="str">
        <f ca="1">IF($A192="","",SUMIFS(Data!$AX$4:$AX$183,Data!$AM$4:$AM$183,$B192,Data!$AL$4:$AL$183,$A192,Data!$AK$4:$AK$183,$C192))</f>
        <v/>
      </c>
      <c r="AC192" s="18" t="str">
        <f ca="1">IF($A192="","",SUMIFS(Data!$AY$4:$AY$183,Data!$AM$4:$AM$183,$B192,Data!$AL$4:$AL$183,$A192,Data!$AK$4:$AK$183,$C192))</f>
        <v/>
      </c>
      <c r="AD192" s="18" t="str">
        <f t="shared" ca="1" si="5"/>
        <v/>
      </c>
      <c r="AE192" s="18" t="str">
        <f ca="1">IF($A192="","",SUMIFS(Data!$AJ$4:$AJ$183,Data!$AM$4:$AM$183,$B192,Data!$AL$4:$AL$183,$A192,Data!$AK$4:$AK$183,$C192))</f>
        <v/>
      </c>
    </row>
    <row r="193" spans="1:31">
      <c r="A193" s="18" t="str">
        <f ca="1">IF(Data!T193="","",Data!T193)</f>
        <v/>
      </c>
      <c r="B193" s="18" t="str">
        <f ca="1">IF(Data!U193="","",Data!U193)</f>
        <v>Bowser</v>
      </c>
      <c r="C193" s="18" t="str">
        <f ca="1">IF(Data!S193="","",Data!S193)</f>
        <v/>
      </c>
      <c r="D193" s="18" t="str">
        <f ca="1">IF($A193="","",Data!W193)</f>
        <v/>
      </c>
      <c r="E193" s="18" t="str">
        <f ca="1">IF($A193="","",Data!Y193)</f>
        <v/>
      </c>
      <c r="F193" s="61" t="str">
        <f t="shared" ca="1" si="4"/>
        <v/>
      </c>
      <c r="G193" s="18" t="str">
        <f ca="1">IF($A193="","",Data!AB193)</f>
        <v/>
      </c>
      <c r="H193" s="18" t="str">
        <f ca="1">IF($A193="","",Data!AC193)</f>
        <v/>
      </c>
      <c r="I193" s="18" t="str">
        <f ca="1">IF($A193="","",INT(SUMIFS(Data!$AN$4:$AN$183,Data!$AM$4:$AM$183,$B193,Data!$AL$4:$AL$183,$A193,Data!$AK$4:$AK$183,$C193))+MOD(ROUND(SUMIFS(Data!$AN$4:$AN$183,Data!$AM$4:$AM$183,$B193,Data!$AL$4:$AL$183,$A193,Data!$AK$4:$AK$183,$C193)*3,0),3)/10)</f>
        <v/>
      </c>
      <c r="J193" s="18" t="str">
        <f ca="1">IF($A193="","",SUMIFS(Data!$AQ$4:$AQ$183,Data!$AM$4:$AM$183,$B193,Data!$AL$4:$AL$183,$A193,Data!$AK$4:$AK$183,$C193))</f>
        <v/>
      </c>
      <c r="K193" s="62" t="str">
        <f ca="1">IF($A193="","",IF(SUMIFS(Data!$AN$4:$AN$183,Data!$AM$4:$AM$183,$B193,Data!$AL$4:$AL$183,$A193,Data!$AK$4:$AK$183,$C193)=0,"",J193*3/SUMIFS(Data!$AN$4:$AN$183,Data!$AM$4:$AM$183,$B193,Data!$AL$4:$AL$183,$A193,Data!$AK$4:$AK$183,$C193)))</f>
        <v/>
      </c>
      <c r="L193" s="18" t="str">
        <f ca="1">IF($A193="","",IF(IFERROR(_xlfn.XLOOKUP($C193,Bracket!$F$6:$F$16,Bracket!$K$6:$K$16,""),"")=$B193,1,0))</f>
        <v/>
      </c>
      <c r="M193" s="18" t="str">
        <f ca="1">IF($A193="","",IF(AND(IFERROR(_xlfn.XLOOKUP($C193,Bracket!$F$6:$F$16,Bracket!$K$6:$K$16,""),"")=$B193,LEFT(IFERROR(_xlfn.XLOOKUP($C193,Bracket!$F$6:$F$16,Bracket!$G$6:$G$16,""),""),2)="CG"),1,0))</f>
        <v/>
      </c>
      <c r="N193" s="18" t="str">
        <f ca="1">IF($A193="","",SUMIFS(Data!$X$4:$X$273,Data!$T$4:$T$273,$A193,Data!$U$4:$U$273,$B193,Data!$S$4:$S$273,$C193))</f>
        <v/>
      </c>
      <c r="O193" s="18" t="str">
        <f ca="1">IF($A193="","",SUMIFS(Data!$Z$4:$Z$273,Data!$T$4:$T$273,$A193,Data!$U$4:$U$273,$B193,Data!$S$4:$S$273,$C193))</f>
        <v/>
      </c>
      <c r="P193" s="18" t="str">
        <f ca="1">IF($A193="","",SUMIFS(Data!$AA$4:$AA$273,Data!$T$4:$T$273,$A193,Data!$U$4:$U$273,$B193,Data!$S$4:$S$273,$C193))</f>
        <v/>
      </c>
      <c r="Q193" s="18" t="str">
        <f ca="1">IF($A193="","",SUMIFS(Data!$AD$4:$AD$273,Data!$T$4:$T$273,$A193,Data!$U$4:$U$273,$B193,Data!$S$4:$S$273,$C193))</f>
        <v/>
      </c>
      <c r="R193" s="18" t="str">
        <f ca="1">IF($A193="","",SUMIFS(Data!$AE$4:$AE$273,Data!$T$4:$T$273,$A193,Data!$U$4:$U$273,$B193,Data!$S$4:$S$273,$C193))</f>
        <v/>
      </c>
      <c r="S193" s="18" t="str">
        <f ca="1">IF($A193="","",SUMIFS(Data!$AF$4:$AF$273,Data!$T$4:$T$273,$A193,Data!$U$4:$U$273,$B193,Data!$S$4:$S$273,$C193))</f>
        <v/>
      </c>
      <c r="T193" s="18" t="str">
        <f ca="1">IF($A193="","",SUMIFS(Data!$AG$4:$AG$273,Data!$T$4:$T$273,$A193,Data!$U$4:$U$273,$B193,Data!$S$4:$S$273,$C193))</f>
        <v/>
      </c>
      <c r="U193" s="18" t="str">
        <f ca="1">IF($A193="","",SUMIFS(Data!$AH$4:$AH$273,Data!$T$4:$T$273,$A193,Data!$U$4:$U$273,$B193,Data!$S$4:$S$273,$C193))</f>
        <v/>
      </c>
      <c r="V193" s="18" t="str">
        <f ca="1">IF($A193="","",SUMIFS(Data!$AO$4:$AO$183,Data!$AM$4:$AM$183,$B193,Data!$AL$4:$AL$183,$A193,Data!$AK$4:$AK$183,$C193))</f>
        <v/>
      </c>
      <c r="W193" s="18" t="str">
        <f ca="1">IF($A193="","",SUMIFS(Data!$AP$4:$AP$183,Data!$AM$4:$AM$183,$B193,Data!$AL$4:$AL$183,$A193,Data!$AK$4:$AK$183,$C193))</f>
        <v/>
      </c>
      <c r="X193" s="18" t="str">
        <f ca="1">IF($A193="","",SUMIFS(Data!$AR$4:$AR$183,Data!$AM$4:$AM$183,$B193,Data!$AL$4:$AL$183,$A193,Data!$AK$4:$AK$183,$C193))</f>
        <v/>
      </c>
      <c r="Y193" s="18" t="str">
        <f ca="1">IF($A193="","",SUMIFS(Data!$AS$4:$AS$183,Data!$AM$4:$AM$183,$B193,Data!$AL$4:$AL$183,$A193,Data!$AK$4:$AK$183,$C193))</f>
        <v/>
      </c>
      <c r="Z193" s="18" t="str">
        <f ca="1">IF($A193="","",SUMIFS(Data!$AT$4:$AT$183,Data!$AM$4:$AM$183,$B193,Data!$AL$4:$AL$183,$A193,Data!$AK$4:$AK$183,$C193))</f>
        <v/>
      </c>
      <c r="AA193" s="18" t="str">
        <f ca="1">IF($A193="","",SUMIFS(Data!$AW$4:$AW$183,Data!$AM$4:$AM$183,$B193,Data!$AL$4:$AL$183,$A193,Data!$AK$4:$AK$183,$C193))</f>
        <v/>
      </c>
      <c r="AB193" s="18" t="str">
        <f ca="1">IF($A193="","",SUMIFS(Data!$AX$4:$AX$183,Data!$AM$4:$AM$183,$B193,Data!$AL$4:$AL$183,$A193,Data!$AK$4:$AK$183,$C193))</f>
        <v/>
      </c>
      <c r="AC193" s="18" t="str">
        <f ca="1">IF($A193="","",SUMIFS(Data!$AY$4:$AY$183,Data!$AM$4:$AM$183,$B193,Data!$AL$4:$AL$183,$A193,Data!$AK$4:$AK$183,$C193))</f>
        <v/>
      </c>
      <c r="AD193" s="18" t="str">
        <f t="shared" ca="1" si="5"/>
        <v/>
      </c>
      <c r="AE193" s="18" t="str">
        <f ca="1">IF($A193="","",SUMIFS(Data!$AJ$4:$AJ$183,Data!$AM$4:$AM$183,$B193,Data!$AL$4:$AL$183,$A193,Data!$AK$4:$AK$183,$C193))</f>
        <v/>
      </c>
    </row>
    <row r="194" spans="1:31">
      <c r="A194" s="18" t="str">
        <f ca="1">IF(Data!T194="","",Data!T194)</f>
        <v/>
      </c>
      <c r="B194" s="18" t="str">
        <f ca="1">IF(Data!U194="","",Data!U194)</f>
        <v>Peach</v>
      </c>
      <c r="C194" s="18" t="str">
        <f ca="1">IF(Data!S194="","",Data!S194)</f>
        <v/>
      </c>
      <c r="D194" s="18" t="str">
        <f ca="1">IF($A194="","",Data!W194)</f>
        <v/>
      </c>
      <c r="E194" s="18" t="str">
        <f ca="1">IF($A194="","",Data!Y194)</f>
        <v/>
      </c>
      <c r="F194" s="61" t="str">
        <f t="shared" ca="1" si="4"/>
        <v/>
      </c>
      <c r="G194" s="18" t="str">
        <f ca="1">IF($A194="","",Data!AB194)</f>
        <v/>
      </c>
      <c r="H194" s="18" t="str">
        <f ca="1">IF($A194="","",Data!AC194)</f>
        <v/>
      </c>
      <c r="I194" s="18" t="str">
        <f ca="1">IF($A194="","",INT(SUMIFS(Data!$AN$4:$AN$183,Data!$AM$4:$AM$183,$B194,Data!$AL$4:$AL$183,$A194,Data!$AK$4:$AK$183,$C194))+MOD(ROUND(SUMIFS(Data!$AN$4:$AN$183,Data!$AM$4:$AM$183,$B194,Data!$AL$4:$AL$183,$A194,Data!$AK$4:$AK$183,$C194)*3,0),3)/10)</f>
        <v/>
      </c>
      <c r="J194" s="18" t="str">
        <f ca="1">IF($A194="","",SUMIFS(Data!$AQ$4:$AQ$183,Data!$AM$4:$AM$183,$B194,Data!$AL$4:$AL$183,$A194,Data!$AK$4:$AK$183,$C194))</f>
        <v/>
      </c>
      <c r="K194" s="62" t="str">
        <f ca="1">IF($A194="","",IF(SUMIFS(Data!$AN$4:$AN$183,Data!$AM$4:$AM$183,$B194,Data!$AL$4:$AL$183,$A194,Data!$AK$4:$AK$183,$C194)=0,"",J194*3/SUMIFS(Data!$AN$4:$AN$183,Data!$AM$4:$AM$183,$B194,Data!$AL$4:$AL$183,$A194,Data!$AK$4:$AK$183,$C194)))</f>
        <v/>
      </c>
      <c r="L194" s="18" t="str">
        <f ca="1">IF($A194="","",IF(IFERROR(_xlfn.XLOOKUP($C194,Bracket!$F$6:$F$16,Bracket!$K$6:$K$16,""),"")=$B194,1,0))</f>
        <v/>
      </c>
      <c r="M194" s="18" t="str">
        <f ca="1">IF($A194="","",IF(AND(IFERROR(_xlfn.XLOOKUP($C194,Bracket!$F$6:$F$16,Bracket!$K$6:$K$16,""),"")=$B194,LEFT(IFERROR(_xlfn.XLOOKUP($C194,Bracket!$F$6:$F$16,Bracket!$G$6:$G$16,""),""),2)="CG"),1,0))</f>
        <v/>
      </c>
      <c r="N194" s="18" t="str">
        <f ca="1">IF($A194="","",SUMIFS(Data!$X$4:$X$273,Data!$T$4:$T$273,$A194,Data!$U$4:$U$273,$B194,Data!$S$4:$S$273,$C194))</f>
        <v/>
      </c>
      <c r="O194" s="18" t="str">
        <f ca="1">IF($A194="","",SUMIFS(Data!$Z$4:$Z$273,Data!$T$4:$T$273,$A194,Data!$U$4:$U$273,$B194,Data!$S$4:$S$273,$C194))</f>
        <v/>
      </c>
      <c r="P194" s="18" t="str">
        <f ca="1">IF($A194="","",SUMIFS(Data!$AA$4:$AA$273,Data!$T$4:$T$273,$A194,Data!$U$4:$U$273,$B194,Data!$S$4:$S$273,$C194))</f>
        <v/>
      </c>
      <c r="Q194" s="18" t="str">
        <f ca="1">IF($A194="","",SUMIFS(Data!$AD$4:$AD$273,Data!$T$4:$T$273,$A194,Data!$U$4:$U$273,$B194,Data!$S$4:$S$273,$C194))</f>
        <v/>
      </c>
      <c r="R194" s="18" t="str">
        <f ca="1">IF($A194="","",SUMIFS(Data!$AE$4:$AE$273,Data!$T$4:$T$273,$A194,Data!$U$4:$U$273,$B194,Data!$S$4:$S$273,$C194))</f>
        <v/>
      </c>
      <c r="S194" s="18" t="str">
        <f ca="1">IF($A194="","",SUMIFS(Data!$AF$4:$AF$273,Data!$T$4:$T$273,$A194,Data!$U$4:$U$273,$B194,Data!$S$4:$S$273,$C194))</f>
        <v/>
      </c>
      <c r="T194" s="18" t="str">
        <f ca="1">IF($A194="","",SUMIFS(Data!$AG$4:$AG$273,Data!$T$4:$T$273,$A194,Data!$U$4:$U$273,$B194,Data!$S$4:$S$273,$C194))</f>
        <v/>
      </c>
      <c r="U194" s="18" t="str">
        <f ca="1">IF($A194="","",SUMIFS(Data!$AH$4:$AH$273,Data!$T$4:$T$273,$A194,Data!$U$4:$U$273,$B194,Data!$S$4:$S$273,$C194))</f>
        <v/>
      </c>
      <c r="V194" s="18" t="str">
        <f ca="1">IF($A194="","",SUMIFS(Data!$AO$4:$AO$183,Data!$AM$4:$AM$183,$B194,Data!$AL$4:$AL$183,$A194,Data!$AK$4:$AK$183,$C194))</f>
        <v/>
      </c>
      <c r="W194" s="18" t="str">
        <f ca="1">IF($A194="","",SUMIFS(Data!$AP$4:$AP$183,Data!$AM$4:$AM$183,$B194,Data!$AL$4:$AL$183,$A194,Data!$AK$4:$AK$183,$C194))</f>
        <v/>
      </c>
      <c r="X194" s="18" t="str">
        <f ca="1">IF($A194="","",SUMIFS(Data!$AR$4:$AR$183,Data!$AM$4:$AM$183,$B194,Data!$AL$4:$AL$183,$A194,Data!$AK$4:$AK$183,$C194))</f>
        <v/>
      </c>
      <c r="Y194" s="18" t="str">
        <f ca="1">IF($A194="","",SUMIFS(Data!$AS$4:$AS$183,Data!$AM$4:$AM$183,$B194,Data!$AL$4:$AL$183,$A194,Data!$AK$4:$AK$183,$C194))</f>
        <v/>
      </c>
      <c r="Z194" s="18" t="str">
        <f ca="1">IF($A194="","",SUMIFS(Data!$AT$4:$AT$183,Data!$AM$4:$AM$183,$B194,Data!$AL$4:$AL$183,$A194,Data!$AK$4:$AK$183,$C194))</f>
        <v/>
      </c>
      <c r="AA194" s="18" t="str">
        <f ca="1">IF($A194="","",SUMIFS(Data!$AW$4:$AW$183,Data!$AM$4:$AM$183,$B194,Data!$AL$4:$AL$183,$A194,Data!$AK$4:$AK$183,$C194))</f>
        <v/>
      </c>
      <c r="AB194" s="18" t="str">
        <f ca="1">IF($A194="","",SUMIFS(Data!$AX$4:$AX$183,Data!$AM$4:$AM$183,$B194,Data!$AL$4:$AL$183,$A194,Data!$AK$4:$AK$183,$C194))</f>
        <v/>
      </c>
      <c r="AC194" s="18" t="str">
        <f ca="1">IF($A194="","",SUMIFS(Data!$AY$4:$AY$183,Data!$AM$4:$AM$183,$B194,Data!$AL$4:$AL$183,$A194,Data!$AK$4:$AK$183,$C194))</f>
        <v/>
      </c>
      <c r="AD194" s="18" t="str">
        <f t="shared" ca="1" si="5"/>
        <v/>
      </c>
      <c r="AE194" s="18" t="str">
        <f ca="1">IF($A194="","",SUMIFS(Data!$AJ$4:$AJ$183,Data!$AM$4:$AM$183,$B194,Data!$AL$4:$AL$183,$A194,Data!$AK$4:$AK$183,$C194))</f>
        <v/>
      </c>
    </row>
    <row r="195" spans="1:31">
      <c r="A195" s="18" t="str">
        <f ca="1">IF(Data!T195="","",Data!T195)</f>
        <v/>
      </c>
      <c r="B195" s="18" t="str">
        <f ca="1">IF(Data!U195="","",Data!U195)</f>
        <v>Yoshi</v>
      </c>
      <c r="C195" s="18" t="str">
        <f ca="1">IF(Data!S195="","",Data!S195)</f>
        <v/>
      </c>
      <c r="D195" s="18" t="str">
        <f ca="1">IF($A195="","",Data!W195)</f>
        <v/>
      </c>
      <c r="E195" s="18" t="str">
        <f ca="1">IF($A195="","",Data!Y195)</f>
        <v/>
      </c>
      <c r="F195" s="61" t="str">
        <f t="shared" ca="1" si="4"/>
        <v/>
      </c>
      <c r="G195" s="18" t="str">
        <f ca="1">IF($A195="","",Data!AB195)</f>
        <v/>
      </c>
      <c r="H195" s="18" t="str">
        <f ca="1">IF($A195="","",Data!AC195)</f>
        <v/>
      </c>
      <c r="I195" s="18" t="str">
        <f ca="1">IF($A195="","",INT(SUMIFS(Data!$AN$4:$AN$183,Data!$AM$4:$AM$183,$B195,Data!$AL$4:$AL$183,$A195,Data!$AK$4:$AK$183,$C195))+MOD(ROUND(SUMIFS(Data!$AN$4:$AN$183,Data!$AM$4:$AM$183,$B195,Data!$AL$4:$AL$183,$A195,Data!$AK$4:$AK$183,$C195)*3,0),3)/10)</f>
        <v/>
      </c>
      <c r="J195" s="18" t="str">
        <f ca="1">IF($A195="","",SUMIFS(Data!$AQ$4:$AQ$183,Data!$AM$4:$AM$183,$B195,Data!$AL$4:$AL$183,$A195,Data!$AK$4:$AK$183,$C195))</f>
        <v/>
      </c>
      <c r="K195" s="62" t="str">
        <f ca="1">IF($A195="","",IF(SUMIFS(Data!$AN$4:$AN$183,Data!$AM$4:$AM$183,$B195,Data!$AL$4:$AL$183,$A195,Data!$AK$4:$AK$183,$C195)=0,"",J195*3/SUMIFS(Data!$AN$4:$AN$183,Data!$AM$4:$AM$183,$B195,Data!$AL$4:$AL$183,$A195,Data!$AK$4:$AK$183,$C195)))</f>
        <v/>
      </c>
      <c r="L195" s="18" t="str">
        <f ca="1">IF($A195="","",IF(IFERROR(_xlfn.XLOOKUP($C195,Bracket!$F$6:$F$16,Bracket!$K$6:$K$16,""),"")=$B195,1,0))</f>
        <v/>
      </c>
      <c r="M195" s="18" t="str">
        <f ca="1">IF($A195="","",IF(AND(IFERROR(_xlfn.XLOOKUP($C195,Bracket!$F$6:$F$16,Bracket!$K$6:$K$16,""),"")=$B195,LEFT(IFERROR(_xlfn.XLOOKUP($C195,Bracket!$F$6:$F$16,Bracket!$G$6:$G$16,""),""),2)="CG"),1,0))</f>
        <v/>
      </c>
      <c r="N195" s="18" t="str">
        <f ca="1">IF($A195="","",SUMIFS(Data!$X$4:$X$273,Data!$T$4:$T$273,$A195,Data!$U$4:$U$273,$B195,Data!$S$4:$S$273,$C195))</f>
        <v/>
      </c>
      <c r="O195" s="18" t="str">
        <f ca="1">IF($A195="","",SUMIFS(Data!$Z$4:$Z$273,Data!$T$4:$T$273,$A195,Data!$U$4:$U$273,$B195,Data!$S$4:$S$273,$C195))</f>
        <v/>
      </c>
      <c r="P195" s="18" t="str">
        <f ca="1">IF($A195="","",SUMIFS(Data!$AA$4:$AA$273,Data!$T$4:$T$273,$A195,Data!$U$4:$U$273,$B195,Data!$S$4:$S$273,$C195))</f>
        <v/>
      </c>
      <c r="Q195" s="18" t="str">
        <f ca="1">IF($A195="","",SUMIFS(Data!$AD$4:$AD$273,Data!$T$4:$T$273,$A195,Data!$U$4:$U$273,$B195,Data!$S$4:$S$273,$C195))</f>
        <v/>
      </c>
      <c r="R195" s="18" t="str">
        <f ca="1">IF($A195="","",SUMIFS(Data!$AE$4:$AE$273,Data!$T$4:$T$273,$A195,Data!$U$4:$U$273,$B195,Data!$S$4:$S$273,$C195))</f>
        <v/>
      </c>
      <c r="S195" s="18" t="str">
        <f ca="1">IF($A195="","",SUMIFS(Data!$AF$4:$AF$273,Data!$T$4:$T$273,$A195,Data!$U$4:$U$273,$B195,Data!$S$4:$S$273,$C195))</f>
        <v/>
      </c>
      <c r="T195" s="18" t="str">
        <f ca="1">IF($A195="","",SUMIFS(Data!$AG$4:$AG$273,Data!$T$4:$T$273,$A195,Data!$U$4:$U$273,$B195,Data!$S$4:$S$273,$C195))</f>
        <v/>
      </c>
      <c r="U195" s="18" t="str">
        <f ca="1">IF($A195="","",SUMIFS(Data!$AH$4:$AH$273,Data!$T$4:$T$273,$A195,Data!$U$4:$U$273,$B195,Data!$S$4:$S$273,$C195))</f>
        <v/>
      </c>
      <c r="V195" s="18" t="str">
        <f ca="1">IF($A195="","",SUMIFS(Data!$AO$4:$AO$183,Data!$AM$4:$AM$183,$B195,Data!$AL$4:$AL$183,$A195,Data!$AK$4:$AK$183,$C195))</f>
        <v/>
      </c>
      <c r="W195" s="18" t="str">
        <f ca="1">IF($A195="","",SUMIFS(Data!$AP$4:$AP$183,Data!$AM$4:$AM$183,$B195,Data!$AL$4:$AL$183,$A195,Data!$AK$4:$AK$183,$C195))</f>
        <v/>
      </c>
      <c r="X195" s="18" t="str">
        <f ca="1">IF($A195="","",SUMIFS(Data!$AR$4:$AR$183,Data!$AM$4:$AM$183,$B195,Data!$AL$4:$AL$183,$A195,Data!$AK$4:$AK$183,$C195))</f>
        <v/>
      </c>
      <c r="Y195" s="18" t="str">
        <f ca="1">IF($A195="","",SUMIFS(Data!$AS$4:$AS$183,Data!$AM$4:$AM$183,$B195,Data!$AL$4:$AL$183,$A195,Data!$AK$4:$AK$183,$C195))</f>
        <v/>
      </c>
      <c r="Z195" s="18" t="str">
        <f ca="1">IF($A195="","",SUMIFS(Data!$AT$4:$AT$183,Data!$AM$4:$AM$183,$B195,Data!$AL$4:$AL$183,$A195,Data!$AK$4:$AK$183,$C195))</f>
        <v/>
      </c>
      <c r="AA195" s="18" t="str">
        <f ca="1">IF($A195="","",SUMIFS(Data!$AW$4:$AW$183,Data!$AM$4:$AM$183,$B195,Data!$AL$4:$AL$183,$A195,Data!$AK$4:$AK$183,$C195))</f>
        <v/>
      </c>
      <c r="AB195" s="18" t="str">
        <f ca="1">IF($A195="","",SUMIFS(Data!$AX$4:$AX$183,Data!$AM$4:$AM$183,$B195,Data!$AL$4:$AL$183,$A195,Data!$AK$4:$AK$183,$C195))</f>
        <v/>
      </c>
      <c r="AC195" s="18" t="str">
        <f ca="1">IF($A195="","",SUMIFS(Data!$AY$4:$AY$183,Data!$AM$4:$AM$183,$B195,Data!$AL$4:$AL$183,$A195,Data!$AK$4:$AK$183,$C195))</f>
        <v/>
      </c>
      <c r="AD195" s="18" t="str">
        <f t="shared" ca="1" si="5"/>
        <v/>
      </c>
      <c r="AE195" s="18" t="str">
        <f ca="1">IF($A195="","",SUMIFS(Data!$AJ$4:$AJ$183,Data!$AM$4:$AM$183,$B195,Data!$AL$4:$AL$183,$A195,Data!$AK$4:$AK$183,$C195))</f>
        <v/>
      </c>
    </row>
    <row r="196" spans="1:31">
      <c r="A196" s="18" t="str">
        <f ca="1">IF(Data!T196="","",Data!T196)</f>
        <v/>
      </c>
      <c r="B196" s="18" t="str">
        <f ca="1">IF(Data!U196="","",Data!U196)</f>
        <v>King K. Rool</v>
      </c>
      <c r="C196" s="18" t="str">
        <f ca="1">IF(Data!S196="","",Data!S196)</f>
        <v/>
      </c>
      <c r="D196" s="18" t="str">
        <f ca="1">IF($A196="","",Data!W196)</f>
        <v/>
      </c>
      <c r="E196" s="18" t="str">
        <f ca="1">IF($A196="","",Data!Y196)</f>
        <v/>
      </c>
      <c r="F196" s="61" t="str">
        <f t="shared" ca="1" si="4"/>
        <v/>
      </c>
      <c r="G196" s="18" t="str">
        <f ca="1">IF($A196="","",Data!AB196)</f>
        <v/>
      </c>
      <c r="H196" s="18" t="str">
        <f ca="1">IF($A196="","",Data!AC196)</f>
        <v/>
      </c>
      <c r="I196" s="18" t="str">
        <f ca="1">IF($A196="","",INT(SUMIFS(Data!$AN$4:$AN$183,Data!$AM$4:$AM$183,$B196,Data!$AL$4:$AL$183,$A196,Data!$AK$4:$AK$183,$C196))+MOD(ROUND(SUMIFS(Data!$AN$4:$AN$183,Data!$AM$4:$AM$183,$B196,Data!$AL$4:$AL$183,$A196,Data!$AK$4:$AK$183,$C196)*3,0),3)/10)</f>
        <v/>
      </c>
      <c r="J196" s="18" t="str">
        <f ca="1">IF($A196="","",SUMIFS(Data!$AQ$4:$AQ$183,Data!$AM$4:$AM$183,$B196,Data!$AL$4:$AL$183,$A196,Data!$AK$4:$AK$183,$C196))</f>
        <v/>
      </c>
      <c r="K196" s="62" t="str">
        <f ca="1">IF($A196="","",IF(SUMIFS(Data!$AN$4:$AN$183,Data!$AM$4:$AM$183,$B196,Data!$AL$4:$AL$183,$A196,Data!$AK$4:$AK$183,$C196)=0,"",J196*3/SUMIFS(Data!$AN$4:$AN$183,Data!$AM$4:$AM$183,$B196,Data!$AL$4:$AL$183,$A196,Data!$AK$4:$AK$183,$C196)))</f>
        <v/>
      </c>
      <c r="L196" s="18" t="str">
        <f ca="1">IF($A196="","",IF(IFERROR(_xlfn.XLOOKUP($C196,Bracket!$F$6:$F$16,Bracket!$K$6:$K$16,""),"")=$B196,1,0))</f>
        <v/>
      </c>
      <c r="M196" s="18" t="str">
        <f ca="1">IF($A196="","",IF(AND(IFERROR(_xlfn.XLOOKUP($C196,Bracket!$F$6:$F$16,Bracket!$K$6:$K$16,""),"")=$B196,LEFT(IFERROR(_xlfn.XLOOKUP($C196,Bracket!$F$6:$F$16,Bracket!$G$6:$G$16,""),""),2)="CG"),1,0))</f>
        <v/>
      </c>
      <c r="N196" s="18" t="str">
        <f ca="1">IF($A196="","",SUMIFS(Data!$X$4:$X$273,Data!$T$4:$T$273,$A196,Data!$U$4:$U$273,$B196,Data!$S$4:$S$273,$C196))</f>
        <v/>
      </c>
      <c r="O196" s="18" t="str">
        <f ca="1">IF($A196="","",SUMIFS(Data!$Z$4:$Z$273,Data!$T$4:$T$273,$A196,Data!$U$4:$U$273,$B196,Data!$S$4:$S$273,$C196))</f>
        <v/>
      </c>
      <c r="P196" s="18" t="str">
        <f ca="1">IF($A196="","",SUMIFS(Data!$AA$4:$AA$273,Data!$T$4:$T$273,$A196,Data!$U$4:$U$273,$B196,Data!$S$4:$S$273,$C196))</f>
        <v/>
      </c>
      <c r="Q196" s="18" t="str">
        <f ca="1">IF($A196="","",SUMIFS(Data!$AD$4:$AD$273,Data!$T$4:$T$273,$A196,Data!$U$4:$U$273,$B196,Data!$S$4:$S$273,$C196))</f>
        <v/>
      </c>
      <c r="R196" s="18" t="str">
        <f ca="1">IF($A196="","",SUMIFS(Data!$AE$4:$AE$273,Data!$T$4:$T$273,$A196,Data!$U$4:$U$273,$B196,Data!$S$4:$S$273,$C196))</f>
        <v/>
      </c>
      <c r="S196" s="18" t="str">
        <f ca="1">IF($A196="","",SUMIFS(Data!$AF$4:$AF$273,Data!$T$4:$T$273,$A196,Data!$U$4:$U$273,$B196,Data!$S$4:$S$273,$C196))</f>
        <v/>
      </c>
      <c r="T196" s="18" t="str">
        <f ca="1">IF($A196="","",SUMIFS(Data!$AG$4:$AG$273,Data!$T$4:$T$273,$A196,Data!$U$4:$U$273,$B196,Data!$S$4:$S$273,$C196))</f>
        <v/>
      </c>
      <c r="U196" s="18" t="str">
        <f ca="1">IF($A196="","",SUMIFS(Data!$AH$4:$AH$273,Data!$T$4:$T$273,$A196,Data!$U$4:$U$273,$B196,Data!$S$4:$S$273,$C196))</f>
        <v/>
      </c>
      <c r="V196" s="18" t="str">
        <f ca="1">IF($A196="","",SUMIFS(Data!$AO$4:$AO$183,Data!$AM$4:$AM$183,$B196,Data!$AL$4:$AL$183,$A196,Data!$AK$4:$AK$183,$C196))</f>
        <v/>
      </c>
      <c r="W196" s="18" t="str">
        <f ca="1">IF($A196="","",SUMIFS(Data!$AP$4:$AP$183,Data!$AM$4:$AM$183,$B196,Data!$AL$4:$AL$183,$A196,Data!$AK$4:$AK$183,$C196))</f>
        <v/>
      </c>
      <c r="X196" s="18" t="str">
        <f ca="1">IF($A196="","",SUMIFS(Data!$AR$4:$AR$183,Data!$AM$4:$AM$183,$B196,Data!$AL$4:$AL$183,$A196,Data!$AK$4:$AK$183,$C196))</f>
        <v/>
      </c>
      <c r="Y196" s="18" t="str">
        <f ca="1">IF($A196="","",SUMIFS(Data!$AS$4:$AS$183,Data!$AM$4:$AM$183,$B196,Data!$AL$4:$AL$183,$A196,Data!$AK$4:$AK$183,$C196))</f>
        <v/>
      </c>
      <c r="Z196" s="18" t="str">
        <f ca="1">IF($A196="","",SUMIFS(Data!$AT$4:$AT$183,Data!$AM$4:$AM$183,$B196,Data!$AL$4:$AL$183,$A196,Data!$AK$4:$AK$183,$C196))</f>
        <v/>
      </c>
      <c r="AA196" s="18" t="str">
        <f ca="1">IF($A196="","",SUMIFS(Data!$AW$4:$AW$183,Data!$AM$4:$AM$183,$B196,Data!$AL$4:$AL$183,$A196,Data!$AK$4:$AK$183,$C196))</f>
        <v/>
      </c>
      <c r="AB196" s="18" t="str">
        <f ca="1">IF($A196="","",SUMIFS(Data!$AX$4:$AX$183,Data!$AM$4:$AM$183,$B196,Data!$AL$4:$AL$183,$A196,Data!$AK$4:$AK$183,$C196))</f>
        <v/>
      </c>
      <c r="AC196" s="18" t="str">
        <f ca="1">IF($A196="","",SUMIFS(Data!$AY$4:$AY$183,Data!$AM$4:$AM$183,$B196,Data!$AL$4:$AL$183,$A196,Data!$AK$4:$AK$183,$C196))</f>
        <v/>
      </c>
      <c r="AD196" s="18" t="str">
        <f t="shared" ca="1" si="5"/>
        <v/>
      </c>
      <c r="AE196" s="18" t="str">
        <f ca="1">IF($A196="","",SUMIFS(Data!$AJ$4:$AJ$183,Data!$AM$4:$AM$183,$B196,Data!$AL$4:$AL$183,$A196,Data!$AK$4:$AK$183,$C196))</f>
        <v/>
      </c>
    </row>
    <row r="197" spans="1:31">
      <c r="A197" s="18" t="str">
        <f ca="1">IF(Data!T197="","",Data!T197)</f>
        <v/>
      </c>
      <c r="B197" s="18" t="str">
        <f ca="1">IF(Data!U197="","",Data!U197)</f>
        <v>Baby Daisy</v>
      </c>
      <c r="C197" s="18" t="str">
        <f ca="1">IF(Data!S197="","",Data!S197)</f>
        <v/>
      </c>
      <c r="D197" s="18" t="str">
        <f ca="1">IF($A197="","",Data!W197)</f>
        <v/>
      </c>
      <c r="E197" s="18" t="str">
        <f ca="1">IF($A197="","",Data!Y197)</f>
        <v/>
      </c>
      <c r="F197" s="61" t="str">
        <f t="shared" ref="F197:F260" ca="1" si="6">IF($A197="","",IF(D197=0,0,E197/D197))</f>
        <v/>
      </c>
      <c r="G197" s="18" t="str">
        <f ca="1">IF($A197="","",Data!AB197)</f>
        <v/>
      </c>
      <c r="H197" s="18" t="str">
        <f ca="1">IF($A197="","",Data!AC197)</f>
        <v/>
      </c>
      <c r="I197" s="18" t="str">
        <f ca="1">IF($A197="","",INT(SUMIFS(Data!$AN$4:$AN$183,Data!$AM$4:$AM$183,$B197,Data!$AL$4:$AL$183,$A197,Data!$AK$4:$AK$183,$C197))+MOD(ROUND(SUMIFS(Data!$AN$4:$AN$183,Data!$AM$4:$AM$183,$B197,Data!$AL$4:$AL$183,$A197,Data!$AK$4:$AK$183,$C197)*3,0),3)/10)</f>
        <v/>
      </c>
      <c r="J197" s="18" t="str">
        <f ca="1">IF($A197="","",SUMIFS(Data!$AQ$4:$AQ$183,Data!$AM$4:$AM$183,$B197,Data!$AL$4:$AL$183,$A197,Data!$AK$4:$AK$183,$C197))</f>
        <v/>
      </c>
      <c r="K197" s="62" t="str">
        <f ca="1">IF($A197="","",IF(SUMIFS(Data!$AN$4:$AN$183,Data!$AM$4:$AM$183,$B197,Data!$AL$4:$AL$183,$A197,Data!$AK$4:$AK$183,$C197)=0,"",J197*3/SUMIFS(Data!$AN$4:$AN$183,Data!$AM$4:$AM$183,$B197,Data!$AL$4:$AL$183,$A197,Data!$AK$4:$AK$183,$C197)))</f>
        <v/>
      </c>
      <c r="L197" s="18" t="str">
        <f ca="1">IF($A197="","",IF(IFERROR(_xlfn.XLOOKUP($C197,Bracket!$F$6:$F$16,Bracket!$K$6:$K$16,""),"")=$B197,1,0))</f>
        <v/>
      </c>
      <c r="M197" s="18" t="str">
        <f ca="1">IF($A197="","",IF(AND(IFERROR(_xlfn.XLOOKUP($C197,Bracket!$F$6:$F$16,Bracket!$K$6:$K$16,""),"")=$B197,LEFT(IFERROR(_xlfn.XLOOKUP($C197,Bracket!$F$6:$F$16,Bracket!$G$6:$G$16,""),""),2)="CG"),1,0))</f>
        <v/>
      </c>
      <c r="N197" s="18" t="str">
        <f ca="1">IF($A197="","",SUMIFS(Data!$X$4:$X$273,Data!$T$4:$T$273,$A197,Data!$U$4:$U$273,$B197,Data!$S$4:$S$273,$C197))</f>
        <v/>
      </c>
      <c r="O197" s="18" t="str">
        <f ca="1">IF($A197="","",SUMIFS(Data!$Z$4:$Z$273,Data!$T$4:$T$273,$A197,Data!$U$4:$U$273,$B197,Data!$S$4:$S$273,$C197))</f>
        <v/>
      </c>
      <c r="P197" s="18" t="str">
        <f ca="1">IF($A197="","",SUMIFS(Data!$AA$4:$AA$273,Data!$T$4:$T$273,$A197,Data!$U$4:$U$273,$B197,Data!$S$4:$S$273,$C197))</f>
        <v/>
      </c>
      <c r="Q197" s="18" t="str">
        <f ca="1">IF($A197="","",SUMIFS(Data!$AD$4:$AD$273,Data!$T$4:$T$273,$A197,Data!$U$4:$U$273,$B197,Data!$S$4:$S$273,$C197))</f>
        <v/>
      </c>
      <c r="R197" s="18" t="str">
        <f ca="1">IF($A197="","",SUMIFS(Data!$AE$4:$AE$273,Data!$T$4:$T$273,$A197,Data!$U$4:$U$273,$B197,Data!$S$4:$S$273,$C197))</f>
        <v/>
      </c>
      <c r="S197" s="18" t="str">
        <f ca="1">IF($A197="","",SUMIFS(Data!$AF$4:$AF$273,Data!$T$4:$T$273,$A197,Data!$U$4:$U$273,$B197,Data!$S$4:$S$273,$C197))</f>
        <v/>
      </c>
      <c r="T197" s="18" t="str">
        <f ca="1">IF($A197="","",SUMIFS(Data!$AG$4:$AG$273,Data!$T$4:$T$273,$A197,Data!$U$4:$U$273,$B197,Data!$S$4:$S$273,$C197))</f>
        <v/>
      </c>
      <c r="U197" s="18" t="str">
        <f ca="1">IF($A197="","",SUMIFS(Data!$AH$4:$AH$273,Data!$T$4:$T$273,$A197,Data!$U$4:$U$273,$B197,Data!$S$4:$S$273,$C197))</f>
        <v/>
      </c>
      <c r="V197" s="18" t="str">
        <f ca="1">IF($A197="","",SUMIFS(Data!$AO$4:$AO$183,Data!$AM$4:$AM$183,$B197,Data!$AL$4:$AL$183,$A197,Data!$AK$4:$AK$183,$C197))</f>
        <v/>
      </c>
      <c r="W197" s="18" t="str">
        <f ca="1">IF($A197="","",SUMIFS(Data!$AP$4:$AP$183,Data!$AM$4:$AM$183,$B197,Data!$AL$4:$AL$183,$A197,Data!$AK$4:$AK$183,$C197))</f>
        <v/>
      </c>
      <c r="X197" s="18" t="str">
        <f ca="1">IF($A197="","",SUMIFS(Data!$AR$4:$AR$183,Data!$AM$4:$AM$183,$B197,Data!$AL$4:$AL$183,$A197,Data!$AK$4:$AK$183,$C197))</f>
        <v/>
      </c>
      <c r="Y197" s="18" t="str">
        <f ca="1">IF($A197="","",SUMIFS(Data!$AS$4:$AS$183,Data!$AM$4:$AM$183,$B197,Data!$AL$4:$AL$183,$A197,Data!$AK$4:$AK$183,$C197))</f>
        <v/>
      </c>
      <c r="Z197" s="18" t="str">
        <f ca="1">IF($A197="","",SUMIFS(Data!$AT$4:$AT$183,Data!$AM$4:$AM$183,$B197,Data!$AL$4:$AL$183,$A197,Data!$AK$4:$AK$183,$C197))</f>
        <v/>
      </c>
      <c r="AA197" s="18" t="str">
        <f ca="1">IF($A197="","",SUMIFS(Data!$AW$4:$AW$183,Data!$AM$4:$AM$183,$B197,Data!$AL$4:$AL$183,$A197,Data!$AK$4:$AK$183,$C197))</f>
        <v/>
      </c>
      <c r="AB197" s="18" t="str">
        <f ca="1">IF($A197="","",SUMIFS(Data!$AX$4:$AX$183,Data!$AM$4:$AM$183,$B197,Data!$AL$4:$AL$183,$A197,Data!$AK$4:$AK$183,$C197))</f>
        <v/>
      </c>
      <c r="AC197" s="18" t="str">
        <f ca="1">IF($A197="","",SUMIFS(Data!$AY$4:$AY$183,Data!$AM$4:$AM$183,$B197,Data!$AL$4:$AL$183,$A197,Data!$AK$4:$AK$183,$C197))</f>
        <v/>
      </c>
      <c r="AD197" s="18" t="str">
        <f t="shared" ref="AD197:AD260" ca="1" si="7">IF($A197="","",IF($I197=0,0,(V197+X197)/$I197))</f>
        <v/>
      </c>
      <c r="AE197" s="18" t="str">
        <f ca="1">IF($A197="","",SUMIFS(Data!$AJ$4:$AJ$183,Data!$AM$4:$AM$183,$B197,Data!$AL$4:$AL$183,$A197,Data!$AK$4:$AK$183,$C197))</f>
        <v/>
      </c>
    </row>
    <row r="198" spans="1:31">
      <c r="A198" s="18" t="str">
        <f ca="1">IF(Data!T198="","",Data!T198)</f>
        <v/>
      </c>
      <c r="B198" s="18" t="str">
        <f ca="1">IF(Data!U198="","",Data!U198)</f>
        <v>Baby Mario</v>
      </c>
      <c r="C198" s="18" t="str">
        <f ca="1">IF(Data!S198="","",Data!S198)</f>
        <v/>
      </c>
      <c r="D198" s="18" t="str">
        <f ca="1">IF($A198="","",Data!W198)</f>
        <v/>
      </c>
      <c r="E198" s="18" t="str">
        <f ca="1">IF($A198="","",Data!Y198)</f>
        <v/>
      </c>
      <c r="F198" s="61" t="str">
        <f t="shared" ca="1" si="6"/>
        <v/>
      </c>
      <c r="G198" s="18" t="str">
        <f ca="1">IF($A198="","",Data!AB198)</f>
        <v/>
      </c>
      <c r="H198" s="18" t="str">
        <f ca="1">IF($A198="","",Data!AC198)</f>
        <v/>
      </c>
      <c r="I198" s="18" t="str">
        <f ca="1">IF($A198="","",INT(SUMIFS(Data!$AN$4:$AN$183,Data!$AM$4:$AM$183,$B198,Data!$AL$4:$AL$183,$A198,Data!$AK$4:$AK$183,$C198))+MOD(ROUND(SUMIFS(Data!$AN$4:$AN$183,Data!$AM$4:$AM$183,$B198,Data!$AL$4:$AL$183,$A198,Data!$AK$4:$AK$183,$C198)*3,0),3)/10)</f>
        <v/>
      </c>
      <c r="J198" s="18" t="str">
        <f ca="1">IF($A198="","",SUMIFS(Data!$AQ$4:$AQ$183,Data!$AM$4:$AM$183,$B198,Data!$AL$4:$AL$183,$A198,Data!$AK$4:$AK$183,$C198))</f>
        <v/>
      </c>
      <c r="K198" s="62" t="str">
        <f ca="1">IF($A198="","",IF(SUMIFS(Data!$AN$4:$AN$183,Data!$AM$4:$AM$183,$B198,Data!$AL$4:$AL$183,$A198,Data!$AK$4:$AK$183,$C198)=0,"",J198*3/SUMIFS(Data!$AN$4:$AN$183,Data!$AM$4:$AM$183,$B198,Data!$AL$4:$AL$183,$A198,Data!$AK$4:$AK$183,$C198)))</f>
        <v/>
      </c>
      <c r="L198" s="18" t="str">
        <f ca="1">IF($A198="","",IF(IFERROR(_xlfn.XLOOKUP($C198,Bracket!$F$6:$F$16,Bracket!$K$6:$K$16,""),"")=$B198,1,0))</f>
        <v/>
      </c>
      <c r="M198" s="18" t="str">
        <f ca="1">IF($A198="","",IF(AND(IFERROR(_xlfn.XLOOKUP($C198,Bracket!$F$6:$F$16,Bracket!$K$6:$K$16,""),"")=$B198,LEFT(IFERROR(_xlfn.XLOOKUP($C198,Bracket!$F$6:$F$16,Bracket!$G$6:$G$16,""),""),2)="CG"),1,0))</f>
        <v/>
      </c>
      <c r="N198" s="18" t="str">
        <f ca="1">IF($A198="","",SUMIFS(Data!$X$4:$X$273,Data!$T$4:$T$273,$A198,Data!$U$4:$U$273,$B198,Data!$S$4:$S$273,$C198))</f>
        <v/>
      </c>
      <c r="O198" s="18" t="str">
        <f ca="1">IF($A198="","",SUMIFS(Data!$Z$4:$Z$273,Data!$T$4:$T$273,$A198,Data!$U$4:$U$273,$B198,Data!$S$4:$S$273,$C198))</f>
        <v/>
      </c>
      <c r="P198" s="18" t="str">
        <f ca="1">IF($A198="","",SUMIFS(Data!$AA$4:$AA$273,Data!$T$4:$T$273,$A198,Data!$U$4:$U$273,$B198,Data!$S$4:$S$273,$C198))</f>
        <v/>
      </c>
      <c r="Q198" s="18" t="str">
        <f ca="1">IF($A198="","",SUMIFS(Data!$AD$4:$AD$273,Data!$T$4:$T$273,$A198,Data!$U$4:$U$273,$B198,Data!$S$4:$S$273,$C198))</f>
        <v/>
      </c>
      <c r="R198" s="18" t="str">
        <f ca="1">IF($A198="","",SUMIFS(Data!$AE$4:$AE$273,Data!$T$4:$T$273,$A198,Data!$U$4:$U$273,$B198,Data!$S$4:$S$273,$C198))</f>
        <v/>
      </c>
      <c r="S198" s="18" t="str">
        <f ca="1">IF($A198="","",SUMIFS(Data!$AF$4:$AF$273,Data!$T$4:$T$273,$A198,Data!$U$4:$U$273,$B198,Data!$S$4:$S$273,$C198))</f>
        <v/>
      </c>
      <c r="T198" s="18" t="str">
        <f ca="1">IF($A198="","",SUMIFS(Data!$AG$4:$AG$273,Data!$T$4:$T$273,$A198,Data!$U$4:$U$273,$B198,Data!$S$4:$S$273,$C198))</f>
        <v/>
      </c>
      <c r="U198" s="18" t="str">
        <f ca="1">IF($A198="","",SUMIFS(Data!$AH$4:$AH$273,Data!$T$4:$T$273,$A198,Data!$U$4:$U$273,$B198,Data!$S$4:$S$273,$C198))</f>
        <v/>
      </c>
      <c r="V198" s="18" t="str">
        <f ca="1">IF($A198="","",SUMIFS(Data!$AO$4:$AO$183,Data!$AM$4:$AM$183,$B198,Data!$AL$4:$AL$183,$A198,Data!$AK$4:$AK$183,$C198))</f>
        <v/>
      </c>
      <c r="W198" s="18" t="str">
        <f ca="1">IF($A198="","",SUMIFS(Data!$AP$4:$AP$183,Data!$AM$4:$AM$183,$B198,Data!$AL$4:$AL$183,$A198,Data!$AK$4:$AK$183,$C198))</f>
        <v/>
      </c>
      <c r="X198" s="18" t="str">
        <f ca="1">IF($A198="","",SUMIFS(Data!$AR$4:$AR$183,Data!$AM$4:$AM$183,$B198,Data!$AL$4:$AL$183,$A198,Data!$AK$4:$AK$183,$C198))</f>
        <v/>
      </c>
      <c r="Y198" s="18" t="str">
        <f ca="1">IF($A198="","",SUMIFS(Data!$AS$4:$AS$183,Data!$AM$4:$AM$183,$B198,Data!$AL$4:$AL$183,$A198,Data!$AK$4:$AK$183,$C198))</f>
        <v/>
      </c>
      <c r="Z198" s="18" t="str">
        <f ca="1">IF($A198="","",SUMIFS(Data!$AT$4:$AT$183,Data!$AM$4:$AM$183,$B198,Data!$AL$4:$AL$183,$A198,Data!$AK$4:$AK$183,$C198))</f>
        <v/>
      </c>
      <c r="AA198" s="18" t="str">
        <f ca="1">IF($A198="","",SUMIFS(Data!$AW$4:$AW$183,Data!$AM$4:$AM$183,$B198,Data!$AL$4:$AL$183,$A198,Data!$AK$4:$AK$183,$C198))</f>
        <v/>
      </c>
      <c r="AB198" s="18" t="str">
        <f ca="1">IF($A198="","",SUMIFS(Data!$AX$4:$AX$183,Data!$AM$4:$AM$183,$B198,Data!$AL$4:$AL$183,$A198,Data!$AK$4:$AK$183,$C198))</f>
        <v/>
      </c>
      <c r="AC198" s="18" t="str">
        <f ca="1">IF($A198="","",SUMIFS(Data!$AY$4:$AY$183,Data!$AM$4:$AM$183,$B198,Data!$AL$4:$AL$183,$A198,Data!$AK$4:$AK$183,$C198))</f>
        <v/>
      </c>
      <c r="AD198" s="18" t="str">
        <f t="shared" ca="1" si="7"/>
        <v/>
      </c>
      <c r="AE198" s="18" t="str">
        <f ca="1">IF($A198="","",SUMIFS(Data!$AJ$4:$AJ$183,Data!$AM$4:$AM$183,$B198,Data!$AL$4:$AL$183,$A198,Data!$AK$4:$AK$183,$C198))</f>
        <v/>
      </c>
    </row>
    <row r="199" spans="1:31">
      <c r="A199" s="18" t="str">
        <f ca="1">IF(Data!T199="","",Data!T199)</f>
        <v/>
      </c>
      <c r="B199" s="18" t="str">
        <f ca="1">IF(Data!U199="","",Data!U199)</f>
        <v>Brown Kritter</v>
      </c>
      <c r="C199" s="18" t="str">
        <f ca="1">IF(Data!S199="","",Data!S199)</f>
        <v/>
      </c>
      <c r="D199" s="18" t="str">
        <f ca="1">IF($A199="","",Data!W199)</f>
        <v/>
      </c>
      <c r="E199" s="18" t="str">
        <f ca="1">IF($A199="","",Data!Y199)</f>
        <v/>
      </c>
      <c r="F199" s="61" t="str">
        <f t="shared" ca="1" si="6"/>
        <v/>
      </c>
      <c r="G199" s="18" t="str">
        <f ca="1">IF($A199="","",Data!AB199)</f>
        <v/>
      </c>
      <c r="H199" s="18" t="str">
        <f ca="1">IF($A199="","",Data!AC199)</f>
        <v/>
      </c>
      <c r="I199" s="18" t="str">
        <f ca="1">IF($A199="","",INT(SUMIFS(Data!$AN$4:$AN$183,Data!$AM$4:$AM$183,$B199,Data!$AL$4:$AL$183,$A199,Data!$AK$4:$AK$183,$C199))+MOD(ROUND(SUMIFS(Data!$AN$4:$AN$183,Data!$AM$4:$AM$183,$B199,Data!$AL$4:$AL$183,$A199,Data!$AK$4:$AK$183,$C199)*3,0),3)/10)</f>
        <v/>
      </c>
      <c r="J199" s="18" t="str">
        <f ca="1">IF($A199="","",SUMIFS(Data!$AQ$4:$AQ$183,Data!$AM$4:$AM$183,$B199,Data!$AL$4:$AL$183,$A199,Data!$AK$4:$AK$183,$C199))</f>
        <v/>
      </c>
      <c r="K199" s="62" t="str">
        <f ca="1">IF($A199="","",IF(SUMIFS(Data!$AN$4:$AN$183,Data!$AM$4:$AM$183,$B199,Data!$AL$4:$AL$183,$A199,Data!$AK$4:$AK$183,$C199)=0,"",J199*3/SUMIFS(Data!$AN$4:$AN$183,Data!$AM$4:$AM$183,$B199,Data!$AL$4:$AL$183,$A199,Data!$AK$4:$AK$183,$C199)))</f>
        <v/>
      </c>
      <c r="L199" s="18" t="str">
        <f ca="1">IF($A199="","",IF(IFERROR(_xlfn.XLOOKUP($C199,Bracket!$F$6:$F$16,Bracket!$K$6:$K$16,""),"")=$B199,1,0))</f>
        <v/>
      </c>
      <c r="M199" s="18" t="str">
        <f ca="1">IF($A199="","",IF(AND(IFERROR(_xlfn.XLOOKUP($C199,Bracket!$F$6:$F$16,Bracket!$K$6:$K$16,""),"")=$B199,LEFT(IFERROR(_xlfn.XLOOKUP($C199,Bracket!$F$6:$F$16,Bracket!$G$6:$G$16,""),""),2)="CG"),1,0))</f>
        <v/>
      </c>
      <c r="N199" s="18" t="str">
        <f ca="1">IF($A199="","",SUMIFS(Data!$X$4:$X$273,Data!$T$4:$T$273,$A199,Data!$U$4:$U$273,$B199,Data!$S$4:$S$273,$C199))</f>
        <v/>
      </c>
      <c r="O199" s="18" t="str">
        <f ca="1">IF($A199="","",SUMIFS(Data!$Z$4:$Z$273,Data!$T$4:$T$273,$A199,Data!$U$4:$U$273,$B199,Data!$S$4:$S$273,$C199))</f>
        <v/>
      </c>
      <c r="P199" s="18" t="str">
        <f ca="1">IF($A199="","",SUMIFS(Data!$AA$4:$AA$273,Data!$T$4:$T$273,$A199,Data!$U$4:$U$273,$B199,Data!$S$4:$S$273,$C199))</f>
        <v/>
      </c>
      <c r="Q199" s="18" t="str">
        <f ca="1">IF($A199="","",SUMIFS(Data!$AD$4:$AD$273,Data!$T$4:$T$273,$A199,Data!$U$4:$U$273,$B199,Data!$S$4:$S$273,$C199))</f>
        <v/>
      </c>
      <c r="R199" s="18" t="str">
        <f ca="1">IF($A199="","",SUMIFS(Data!$AE$4:$AE$273,Data!$T$4:$T$273,$A199,Data!$U$4:$U$273,$B199,Data!$S$4:$S$273,$C199))</f>
        <v/>
      </c>
      <c r="S199" s="18" t="str">
        <f ca="1">IF($A199="","",SUMIFS(Data!$AF$4:$AF$273,Data!$T$4:$T$273,$A199,Data!$U$4:$U$273,$B199,Data!$S$4:$S$273,$C199))</f>
        <v/>
      </c>
      <c r="T199" s="18" t="str">
        <f ca="1">IF($A199="","",SUMIFS(Data!$AG$4:$AG$273,Data!$T$4:$T$273,$A199,Data!$U$4:$U$273,$B199,Data!$S$4:$S$273,$C199))</f>
        <v/>
      </c>
      <c r="U199" s="18" t="str">
        <f ca="1">IF($A199="","",SUMIFS(Data!$AH$4:$AH$273,Data!$T$4:$T$273,$A199,Data!$U$4:$U$273,$B199,Data!$S$4:$S$273,$C199))</f>
        <v/>
      </c>
      <c r="V199" s="18" t="str">
        <f ca="1">IF($A199="","",SUMIFS(Data!$AO$4:$AO$183,Data!$AM$4:$AM$183,$B199,Data!$AL$4:$AL$183,$A199,Data!$AK$4:$AK$183,$C199))</f>
        <v/>
      </c>
      <c r="W199" s="18" t="str">
        <f ca="1">IF($A199="","",SUMIFS(Data!$AP$4:$AP$183,Data!$AM$4:$AM$183,$B199,Data!$AL$4:$AL$183,$A199,Data!$AK$4:$AK$183,$C199))</f>
        <v/>
      </c>
      <c r="X199" s="18" t="str">
        <f ca="1">IF($A199="","",SUMIFS(Data!$AR$4:$AR$183,Data!$AM$4:$AM$183,$B199,Data!$AL$4:$AL$183,$A199,Data!$AK$4:$AK$183,$C199))</f>
        <v/>
      </c>
      <c r="Y199" s="18" t="str">
        <f ca="1">IF($A199="","",SUMIFS(Data!$AS$4:$AS$183,Data!$AM$4:$AM$183,$B199,Data!$AL$4:$AL$183,$A199,Data!$AK$4:$AK$183,$C199))</f>
        <v/>
      </c>
      <c r="Z199" s="18" t="str">
        <f ca="1">IF($A199="","",SUMIFS(Data!$AT$4:$AT$183,Data!$AM$4:$AM$183,$B199,Data!$AL$4:$AL$183,$A199,Data!$AK$4:$AK$183,$C199))</f>
        <v/>
      </c>
      <c r="AA199" s="18" t="str">
        <f ca="1">IF($A199="","",SUMIFS(Data!$AW$4:$AW$183,Data!$AM$4:$AM$183,$B199,Data!$AL$4:$AL$183,$A199,Data!$AK$4:$AK$183,$C199))</f>
        <v/>
      </c>
      <c r="AB199" s="18" t="str">
        <f ca="1">IF($A199="","",SUMIFS(Data!$AX$4:$AX$183,Data!$AM$4:$AM$183,$B199,Data!$AL$4:$AL$183,$A199,Data!$AK$4:$AK$183,$C199))</f>
        <v/>
      </c>
      <c r="AC199" s="18" t="str">
        <f ca="1">IF($A199="","",SUMIFS(Data!$AY$4:$AY$183,Data!$AM$4:$AM$183,$B199,Data!$AL$4:$AL$183,$A199,Data!$AK$4:$AK$183,$C199))</f>
        <v/>
      </c>
      <c r="AD199" s="18" t="str">
        <f t="shared" ca="1" si="7"/>
        <v/>
      </c>
      <c r="AE199" s="18" t="str">
        <f ca="1">IF($A199="","",SUMIFS(Data!$AJ$4:$AJ$183,Data!$AM$4:$AM$183,$B199,Data!$AL$4:$AL$183,$A199,Data!$AK$4:$AK$183,$C199))</f>
        <v/>
      </c>
    </row>
    <row r="200" spans="1:31">
      <c r="A200" s="18" t="str">
        <f ca="1">IF(Data!T200="","",Data!T200)</f>
        <v/>
      </c>
      <c r="B200" s="18" t="str">
        <f ca="1">IF(Data!U200="","",Data!U200)</f>
        <v>Blooper</v>
      </c>
      <c r="C200" s="18" t="str">
        <f ca="1">IF(Data!S200="","",Data!S200)</f>
        <v/>
      </c>
      <c r="D200" s="18" t="str">
        <f ca="1">IF($A200="","",Data!W200)</f>
        <v/>
      </c>
      <c r="E200" s="18" t="str">
        <f ca="1">IF($A200="","",Data!Y200)</f>
        <v/>
      </c>
      <c r="F200" s="61" t="str">
        <f t="shared" ca="1" si="6"/>
        <v/>
      </c>
      <c r="G200" s="18" t="str">
        <f ca="1">IF($A200="","",Data!AB200)</f>
        <v/>
      </c>
      <c r="H200" s="18" t="str">
        <f ca="1">IF($A200="","",Data!AC200)</f>
        <v/>
      </c>
      <c r="I200" s="18" t="str">
        <f ca="1">IF($A200="","",INT(SUMIFS(Data!$AN$4:$AN$183,Data!$AM$4:$AM$183,$B200,Data!$AL$4:$AL$183,$A200,Data!$AK$4:$AK$183,$C200))+MOD(ROUND(SUMIFS(Data!$AN$4:$AN$183,Data!$AM$4:$AM$183,$B200,Data!$AL$4:$AL$183,$A200,Data!$AK$4:$AK$183,$C200)*3,0),3)/10)</f>
        <v/>
      </c>
      <c r="J200" s="18" t="str">
        <f ca="1">IF($A200="","",SUMIFS(Data!$AQ$4:$AQ$183,Data!$AM$4:$AM$183,$B200,Data!$AL$4:$AL$183,$A200,Data!$AK$4:$AK$183,$C200))</f>
        <v/>
      </c>
      <c r="K200" s="62" t="str">
        <f ca="1">IF($A200="","",IF(SUMIFS(Data!$AN$4:$AN$183,Data!$AM$4:$AM$183,$B200,Data!$AL$4:$AL$183,$A200,Data!$AK$4:$AK$183,$C200)=0,"",J200*3/SUMIFS(Data!$AN$4:$AN$183,Data!$AM$4:$AM$183,$B200,Data!$AL$4:$AL$183,$A200,Data!$AK$4:$AK$183,$C200)))</f>
        <v/>
      </c>
      <c r="L200" s="18" t="str">
        <f ca="1">IF($A200="","",IF(IFERROR(_xlfn.XLOOKUP($C200,Bracket!$F$6:$F$16,Bracket!$K$6:$K$16,""),"")=$B200,1,0))</f>
        <v/>
      </c>
      <c r="M200" s="18" t="str">
        <f ca="1">IF($A200="","",IF(AND(IFERROR(_xlfn.XLOOKUP($C200,Bracket!$F$6:$F$16,Bracket!$K$6:$K$16,""),"")=$B200,LEFT(IFERROR(_xlfn.XLOOKUP($C200,Bracket!$F$6:$F$16,Bracket!$G$6:$G$16,""),""),2)="CG"),1,0))</f>
        <v/>
      </c>
      <c r="N200" s="18" t="str">
        <f ca="1">IF($A200="","",SUMIFS(Data!$X$4:$X$273,Data!$T$4:$T$273,$A200,Data!$U$4:$U$273,$B200,Data!$S$4:$S$273,$C200))</f>
        <v/>
      </c>
      <c r="O200" s="18" t="str">
        <f ca="1">IF($A200="","",SUMIFS(Data!$Z$4:$Z$273,Data!$T$4:$T$273,$A200,Data!$U$4:$U$273,$B200,Data!$S$4:$S$273,$C200))</f>
        <v/>
      </c>
      <c r="P200" s="18" t="str">
        <f ca="1">IF($A200="","",SUMIFS(Data!$AA$4:$AA$273,Data!$T$4:$T$273,$A200,Data!$U$4:$U$273,$B200,Data!$S$4:$S$273,$C200))</f>
        <v/>
      </c>
      <c r="Q200" s="18" t="str">
        <f ca="1">IF($A200="","",SUMIFS(Data!$AD$4:$AD$273,Data!$T$4:$T$273,$A200,Data!$U$4:$U$273,$B200,Data!$S$4:$S$273,$C200))</f>
        <v/>
      </c>
      <c r="R200" s="18" t="str">
        <f ca="1">IF($A200="","",SUMIFS(Data!$AE$4:$AE$273,Data!$T$4:$T$273,$A200,Data!$U$4:$U$273,$B200,Data!$S$4:$S$273,$C200))</f>
        <v/>
      </c>
      <c r="S200" s="18" t="str">
        <f ca="1">IF($A200="","",SUMIFS(Data!$AF$4:$AF$273,Data!$T$4:$T$273,$A200,Data!$U$4:$U$273,$B200,Data!$S$4:$S$273,$C200))</f>
        <v/>
      </c>
      <c r="T200" s="18" t="str">
        <f ca="1">IF($A200="","",SUMIFS(Data!$AG$4:$AG$273,Data!$T$4:$T$273,$A200,Data!$U$4:$U$273,$B200,Data!$S$4:$S$273,$C200))</f>
        <v/>
      </c>
      <c r="U200" s="18" t="str">
        <f ca="1">IF($A200="","",SUMIFS(Data!$AH$4:$AH$273,Data!$T$4:$T$273,$A200,Data!$U$4:$U$273,$B200,Data!$S$4:$S$273,$C200))</f>
        <v/>
      </c>
      <c r="V200" s="18" t="str">
        <f ca="1">IF($A200="","",SUMIFS(Data!$AO$4:$AO$183,Data!$AM$4:$AM$183,$B200,Data!$AL$4:$AL$183,$A200,Data!$AK$4:$AK$183,$C200))</f>
        <v/>
      </c>
      <c r="W200" s="18" t="str">
        <f ca="1">IF($A200="","",SUMIFS(Data!$AP$4:$AP$183,Data!$AM$4:$AM$183,$B200,Data!$AL$4:$AL$183,$A200,Data!$AK$4:$AK$183,$C200))</f>
        <v/>
      </c>
      <c r="X200" s="18" t="str">
        <f ca="1">IF($A200="","",SUMIFS(Data!$AR$4:$AR$183,Data!$AM$4:$AM$183,$B200,Data!$AL$4:$AL$183,$A200,Data!$AK$4:$AK$183,$C200))</f>
        <v/>
      </c>
      <c r="Y200" s="18" t="str">
        <f ca="1">IF($A200="","",SUMIFS(Data!$AS$4:$AS$183,Data!$AM$4:$AM$183,$B200,Data!$AL$4:$AL$183,$A200,Data!$AK$4:$AK$183,$C200))</f>
        <v/>
      </c>
      <c r="Z200" s="18" t="str">
        <f ca="1">IF($A200="","",SUMIFS(Data!$AT$4:$AT$183,Data!$AM$4:$AM$183,$B200,Data!$AL$4:$AL$183,$A200,Data!$AK$4:$AK$183,$C200))</f>
        <v/>
      </c>
      <c r="AA200" s="18" t="str">
        <f ca="1">IF($A200="","",SUMIFS(Data!$AW$4:$AW$183,Data!$AM$4:$AM$183,$B200,Data!$AL$4:$AL$183,$A200,Data!$AK$4:$AK$183,$C200))</f>
        <v/>
      </c>
      <c r="AB200" s="18" t="str">
        <f ca="1">IF($A200="","",SUMIFS(Data!$AX$4:$AX$183,Data!$AM$4:$AM$183,$B200,Data!$AL$4:$AL$183,$A200,Data!$AK$4:$AK$183,$C200))</f>
        <v/>
      </c>
      <c r="AC200" s="18" t="str">
        <f ca="1">IF($A200="","",SUMIFS(Data!$AY$4:$AY$183,Data!$AM$4:$AM$183,$B200,Data!$AL$4:$AL$183,$A200,Data!$AK$4:$AK$183,$C200))</f>
        <v/>
      </c>
      <c r="AD200" s="18" t="str">
        <f t="shared" ca="1" si="7"/>
        <v/>
      </c>
      <c r="AE200" s="18" t="str">
        <f ca="1">IF($A200="","",SUMIFS(Data!$AJ$4:$AJ$183,Data!$AM$4:$AM$183,$B200,Data!$AL$4:$AL$183,$A200,Data!$AK$4:$AK$183,$C200))</f>
        <v/>
      </c>
    </row>
    <row r="201" spans="1:31">
      <c r="A201" s="18" t="str">
        <f ca="1">IF(Data!T201="","",Data!T201)</f>
        <v/>
      </c>
      <c r="B201" s="18" t="str">
        <f ca="1">IF(Data!U201="","",Data!U201)</f>
        <v>Yellow Toad</v>
      </c>
      <c r="C201" s="18" t="str">
        <f ca="1">IF(Data!S201="","",Data!S201)</f>
        <v/>
      </c>
      <c r="D201" s="18" t="str">
        <f ca="1">IF($A201="","",Data!W201)</f>
        <v/>
      </c>
      <c r="E201" s="18" t="str">
        <f ca="1">IF($A201="","",Data!Y201)</f>
        <v/>
      </c>
      <c r="F201" s="61" t="str">
        <f t="shared" ca="1" si="6"/>
        <v/>
      </c>
      <c r="G201" s="18" t="str">
        <f ca="1">IF($A201="","",Data!AB201)</f>
        <v/>
      </c>
      <c r="H201" s="18" t="str">
        <f ca="1">IF($A201="","",Data!AC201)</f>
        <v/>
      </c>
      <c r="I201" s="18" t="str">
        <f ca="1">IF($A201="","",INT(SUMIFS(Data!$AN$4:$AN$183,Data!$AM$4:$AM$183,$B201,Data!$AL$4:$AL$183,$A201,Data!$AK$4:$AK$183,$C201))+MOD(ROUND(SUMIFS(Data!$AN$4:$AN$183,Data!$AM$4:$AM$183,$B201,Data!$AL$4:$AL$183,$A201,Data!$AK$4:$AK$183,$C201)*3,0),3)/10)</f>
        <v/>
      </c>
      <c r="J201" s="18" t="str">
        <f ca="1">IF($A201="","",SUMIFS(Data!$AQ$4:$AQ$183,Data!$AM$4:$AM$183,$B201,Data!$AL$4:$AL$183,$A201,Data!$AK$4:$AK$183,$C201))</f>
        <v/>
      </c>
      <c r="K201" s="62" t="str">
        <f ca="1">IF($A201="","",IF(SUMIFS(Data!$AN$4:$AN$183,Data!$AM$4:$AM$183,$B201,Data!$AL$4:$AL$183,$A201,Data!$AK$4:$AK$183,$C201)=0,"",J201*3/SUMIFS(Data!$AN$4:$AN$183,Data!$AM$4:$AM$183,$B201,Data!$AL$4:$AL$183,$A201,Data!$AK$4:$AK$183,$C201)))</f>
        <v/>
      </c>
      <c r="L201" s="18" t="str">
        <f ca="1">IF($A201="","",IF(IFERROR(_xlfn.XLOOKUP($C201,Bracket!$F$6:$F$16,Bracket!$K$6:$K$16,""),"")=$B201,1,0))</f>
        <v/>
      </c>
      <c r="M201" s="18" t="str">
        <f ca="1">IF($A201="","",IF(AND(IFERROR(_xlfn.XLOOKUP($C201,Bracket!$F$6:$F$16,Bracket!$K$6:$K$16,""),"")=$B201,LEFT(IFERROR(_xlfn.XLOOKUP($C201,Bracket!$F$6:$F$16,Bracket!$G$6:$G$16,""),""),2)="CG"),1,0))</f>
        <v/>
      </c>
      <c r="N201" s="18" t="str">
        <f ca="1">IF($A201="","",SUMIFS(Data!$X$4:$X$273,Data!$T$4:$T$273,$A201,Data!$U$4:$U$273,$B201,Data!$S$4:$S$273,$C201))</f>
        <v/>
      </c>
      <c r="O201" s="18" t="str">
        <f ca="1">IF($A201="","",SUMIFS(Data!$Z$4:$Z$273,Data!$T$4:$T$273,$A201,Data!$U$4:$U$273,$B201,Data!$S$4:$S$273,$C201))</f>
        <v/>
      </c>
      <c r="P201" s="18" t="str">
        <f ca="1">IF($A201="","",SUMIFS(Data!$AA$4:$AA$273,Data!$T$4:$T$273,$A201,Data!$U$4:$U$273,$B201,Data!$S$4:$S$273,$C201))</f>
        <v/>
      </c>
      <c r="Q201" s="18" t="str">
        <f ca="1">IF($A201="","",SUMIFS(Data!$AD$4:$AD$273,Data!$T$4:$T$273,$A201,Data!$U$4:$U$273,$B201,Data!$S$4:$S$273,$C201))</f>
        <v/>
      </c>
      <c r="R201" s="18" t="str">
        <f ca="1">IF($A201="","",SUMIFS(Data!$AE$4:$AE$273,Data!$T$4:$T$273,$A201,Data!$U$4:$U$273,$B201,Data!$S$4:$S$273,$C201))</f>
        <v/>
      </c>
      <c r="S201" s="18" t="str">
        <f ca="1">IF($A201="","",SUMIFS(Data!$AF$4:$AF$273,Data!$T$4:$T$273,$A201,Data!$U$4:$U$273,$B201,Data!$S$4:$S$273,$C201))</f>
        <v/>
      </c>
      <c r="T201" s="18" t="str">
        <f ca="1">IF($A201="","",SUMIFS(Data!$AG$4:$AG$273,Data!$T$4:$T$273,$A201,Data!$U$4:$U$273,$B201,Data!$S$4:$S$273,$C201))</f>
        <v/>
      </c>
      <c r="U201" s="18" t="str">
        <f ca="1">IF($A201="","",SUMIFS(Data!$AH$4:$AH$273,Data!$T$4:$T$273,$A201,Data!$U$4:$U$273,$B201,Data!$S$4:$S$273,$C201))</f>
        <v/>
      </c>
      <c r="V201" s="18" t="str">
        <f ca="1">IF($A201="","",SUMIFS(Data!$AO$4:$AO$183,Data!$AM$4:$AM$183,$B201,Data!$AL$4:$AL$183,$A201,Data!$AK$4:$AK$183,$C201))</f>
        <v/>
      </c>
      <c r="W201" s="18" t="str">
        <f ca="1">IF($A201="","",SUMIFS(Data!$AP$4:$AP$183,Data!$AM$4:$AM$183,$B201,Data!$AL$4:$AL$183,$A201,Data!$AK$4:$AK$183,$C201))</f>
        <v/>
      </c>
      <c r="X201" s="18" t="str">
        <f ca="1">IF($A201="","",SUMIFS(Data!$AR$4:$AR$183,Data!$AM$4:$AM$183,$B201,Data!$AL$4:$AL$183,$A201,Data!$AK$4:$AK$183,$C201))</f>
        <v/>
      </c>
      <c r="Y201" s="18" t="str">
        <f ca="1">IF($A201="","",SUMIFS(Data!$AS$4:$AS$183,Data!$AM$4:$AM$183,$B201,Data!$AL$4:$AL$183,$A201,Data!$AK$4:$AK$183,$C201))</f>
        <v/>
      </c>
      <c r="Z201" s="18" t="str">
        <f ca="1">IF($A201="","",SUMIFS(Data!$AT$4:$AT$183,Data!$AM$4:$AM$183,$B201,Data!$AL$4:$AL$183,$A201,Data!$AK$4:$AK$183,$C201))</f>
        <v/>
      </c>
      <c r="AA201" s="18" t="str">
        <f ca="1">IF($A201="","",SUMIFS(Data!$AW$4:$AW$183,Data!$AM$4:$AM$183,$B201,Data!$AL$4:$AL$183,$A201,Data!$AK$4:$AK$183,$C201))</f>
        <v/>
      </c>
      <c r="AB201" s="18" t="str">
        <f ca="1">IF($A201="","",SUMIFS(Data!$AX$4:$AX$183,Data!$AM$4:$AM$183,$B201,Data!$AL$4:$AL$183,$A201,Data!$AK$4:$AK$183,$C201))</f>
        <v/>
      </c>
      <c r="AC201" s="18" t="str">
        <f ca="1">IF($A201="","",SUMIFS(Data!$AY$4:$AY$183,Data!$AM$4:$AM$183,$B201,Data!$AL$4:$AL$183,$A201,Data!$AK$4:$AK$183,$C201))</f>
        <v/>
      </c>
      <c r="AD201" s="18" t="str">
        <f t="shared" ca="1" si="7"/>
        <v/>
      </c>
      <c r="AE201" s="18" t="str">
        <f ca="1">IF($A201="","",SUMIFS(Data!$AJ$4:$AJ$183,Data!$AM$4:$AM$183,$B201,Data!$AL$4:$AL$183,$A201,Data!$AK$4:$AK$183,$C201))</f>
        <v/>
      </c>
    </row>
    <row r="202" spans="1:31">
      <c r="A202" s="18" t="str">
        <f ca="1">IF(Data!T202="","",Data!T202)</f>
        <v/>
      </c>
      <c r="B202" s="18" t="str">
        <f ca="1">IF(Data!U202="","",Data!U202)</f>
        <v/>
      </c>
      <c r="C202" s="18" t="str">
        <f ca="1">IF(Data!S202="","",Data!S202)</f>
        <v/>
      </c>
      <c r="D202" s="18" t="str">
        <f ca="1">IF($A202="","",Data!W202)</f>
        <v/>
      </c>
      <c r="E202" s="18" t="str">
        <f ca="1">IF($A202="","",Data!Y202)</f>
        <v/>
      </c>
      <c r="F202" s="61" t="str">
        <f t="shared" ca="1" si="6"/>
        <v/>
      </c>
      <c r="G202" s="18" t="str">
        <f ca="1">IF($A202="","",Data!AB202)</f>
        <v/>
      </c>
      <c r="H202" s="18" t="str">
        <f ca="1">IF($A202="","",Data!AC202)</f>
        <v/>
      </c>
      <c r="I202" s="18" t="str">
        <f ca="1">IF($A202="","",INT(SUMIFS(Data!$AN$4:$AN$183,Data!$AM$4:$AM$183,$B202,Data!$AL$4:$AL$183,$A202,Data!$AK$4:$AK$183,$C202))+MOD(ROUND(SUMIFS(Data!$AN$4:$AN$183,Data!$AM$4:$AM$183,$B202,Data!$AL$4:$AL$183,$A202,Data!$AK$4:$AK$183,$C202)*3,0),3)/10)</f>
        <v/>
      </c>
      <c r="J202" s="18" t="str">
        <f ca="1">IF($A202="","",SUMIFS(Data!$AQ$4:$AQ$183,Data!$AM$4:$AM$183,$B202,Data!$AL$4:$AL$183,$A202,Data!$AK$4:$AK$183,$C202))</f>
        <v/>
      </c>
      <c r="K202" s="62" t="str">
        <f ca="1">IF($A202="","",IF(SUMIFS(Data!$AN$4:$AN$183,Data!$AM$4:$AM$183,$B202,Data!$AL$4:$AL$183,$A202,Data!$AK$4:$AK$183,$C202)=0,"",J202*3/SUMIFS(Data!$AN$4:$AN$183,Data!$AM$4:$AM$183,$B202,Data!$AL$4:$AL$183,$A202,Data!$AK$4:$AK$183,$C202)))</f>
        <v/>
      </c>
      <c r="L202" s="18" t="str">
        <f ca="1">IF($A202="","",IF(IFERROR(_xlfn.XLOOKUP($C202,Bracket!$F$6:$F$16,Bracket!$K$6:$K$16,""),"")=$B202,1,0))</f>
        <v/>
      </c>
      <c r="M202" s="18" t="str">
        <f ca="1">IF($A202="","",IF(AND(IFERROR(_xlfn.XLOOKUP($C202,Bracket!$F$6:$F$16,Bracket!$K$6:$K$16,""),"")=$B202,LEFT(IFERROR(_xlfn.XLOOKUP($C202,Bracket!$F$6:$F$16,Bracket!$G$6:$G$16,""),""),2)="CG"),1,0))</f>
        <v/>
      </c>
      <c r="N202" s="18" t="str">
        <f ca="1">IF($A202="","",SUMIFS(Data!$X$4:$X$273,Data!$T$4:$T$273,$A202,Data!$U$4:$U$273,$B202,Data!$S$4:$S$273,$C202))</f>
        <v/>
      </c>
      <c r="O202" s="18" t="str">
        <f ca="1">IF($A202="","",SUMIFS(Data!$Z$4:$Z$273,Data!$T$4:$T$273,$A202,Data!$U$4:$U$273,$B202,Data!$S$4:$S$273,$C202))</f>
        <v/>
      </c>
      <c r="P202" s="18" t="str">
        <f ca="1">IF($A202="","",SUMIFS(Data!$AA$4:$AA$273,Data!$T$4:$T$273,$A202,Data!$U$4:$U$273,$B202,Data!$S$4:$S$273,$C202))</f>
        <v/>
      </c>
      <c r="Q202" s="18" t="str">
        <f ca="1">IF($A202="","",SUMIFS(Data!$AD$4:$AD$273,Data!$T$4:$T$273,$A202,Data!$U$4:$U$273,$B202,Data!$S$4:$S$273,$C202))</f>
        <v/>
      </c>
      <c r="R202" s="18" t="str">
        <f ca="1">IF($A202="","",SUMIFS(Data!$AE$4:$AE$273,Data!$T$4:$T$273,$A202,Data!$U$4:$U$273,$B202,Data!$S$4:$S$273,$C202))</f>
        <v/>
      </c>
      <c r="S202" s="18" t="str">
        <f ca="1">IF($A202="","",SUMIFS(Data!$AF$4:$AF$273,Data!$T$4:$T$273,$A202,Data!$U$4:$U$273,$B202,Data!$S$4:$S$273,$C202))</f>
        <v/>
      </c>
      <c r="T202" s="18" t="str">
        <f ca="1">IF($A202="","",SUMIFS(Data!$AG$4:$AG$273,Data!$T$4:$T$273,$A202,Data!$U$4:$U$273,$B202,Data!$S$4:$S$273,$C202))</f>
        <v/>
      </c>
      <c r="U202" s="18" t="str">
        <f ca="1">IF($A202="","",SUMIFS(Data!$AH$4:$AH$273,Data!$T$4:$T$273,$A202,Data!$U$4:$U$273,$B202,Data!$S$4:$S$273,$C202))</f>
        <v/>
      </c>
      <c r="V202" s="18" t="str">
        <f ca="1">IF($A202="","",SUMIFS(Data!$AO$4:$AO$183,Data!$AM$4:$AM$183,$B202,Data!$AL$4:$AL$183,$A202,Data!$AK$4:$AK$183,$C202))</f>
        <v/>
      </c>
      <c r="W202" s="18" t="str">
        <f ca="1">IF($A202="","",SUMIFS(Data!$AP$4:$AP$183,Data!$AM$4:$AM$183,$B202,Data!$AL$4:$AL$183,$A202,Data!$AK$4:$AK$183,$C202))</f>
        <v/>
      </c>
      <c r="X202" s="18" t="str">
        <f ca="1">IF($A202="","",SUMIFS(Data!$AR$4:$AR$183,Data!$AM$4:$AM$183,$B202,Data!$AL$4:$AL$183,$A202,Data!$AK$4:$AK$183,$C202))</f>
        <v/>
      </c>
      <c r="Y202" s="18" t="str">
        <f ca="1">IF($A202="","",SUMIFS(Data!$AS$4:$AS$183,Data!$AM$4:$AM$183,$B202,Data!$AL$4:$AL$183,$A202,Data!$AK$4:$AK$183,$C202))</f>
        <v/>
      </c>
      <c r="Z202" s="18" t="str">
        <f ca="1">IF($A202="","",SUMIFS(Data!$AT$4:$AT$183,Data!$AM$4:$AM$183,$B202,Data!$AL$4:$AL$183,$A202,Data!$AK$4:$AK$183,$C202))</f>
        <v/>
      </c>
      <c r="AA202" s="18" t="str">
        <f ca="1">IF($A202="","",SUMIFS(Data!$AW$4:$AW$183,Data!$AM$4:$AM$183,$B202,Data!$AL$4:$AL$183,$A202,Data!$AK$4:$AK$183,$C202))</f>
        <v/>
      </c>
      <c r="AB202" s="18" t="str">
        <f ca="1">IF($A202="","",SUMIFS(Data!$AX$4:$AX$183,Data!$AM$4:$AM$183,$B202,Data!$AL$4:$AL$183,$A202,Data!$AK$4:$AK$183,$C202))</f>
        <v/>
      </c>
      <c r="AC202" s="18" t="str">
        <f ca="1">IF($A202="","",SUMIFS(Data!$AY$4:$AY$183,Data!$AM$4:$AM$183,$B202,Data!$AL$4:$AL$183,$A202,Data!$AK$4:$AK$183,$C202))</f>
        <v/>
      </c>
      <c r="AD202" s="18" t="str">
        <f t="shared" ca="1" si="7"/>
        <v/>
      </c>
      <c r="AE202" s="18" t="str">
        <f ca="1">IF($A202="","",SUMIFS(Data!$AJ$4:$AJ$183,Data!$AM$4:$AM$183,$B202,Data!$AL$4:$AL$183,$A202,Data!$AK$4:$AK$183,$C202))</f>
        <v/>
      </c>
    </row>
    <row r="203" spans="1:31">
      <c r="A203" s="18" t="str">
        <f ca="1">IF(Data!T203="","",Data!T203)</f>
        <v/>
      </c>
      <c r="B203" s="18" t="str">
        <f ca="1">IF(Data!U203="","",Data!U203)</f>
        <v/>
      </c>
      <c r="C203" s="18" t="str">
        <f ca="1">IF(Data!S203="","",Data!S203)</f>
        <v/>
      </c>
      <c r="D203" s="18" t="str">
        <f ca="1">IF($A203="","",Data!W203)</f>
        <v/>
      </c>
      <c r="E203" s="18" t="str">
        <f ca="1">IF($A203="","",Data!Y203)</f>
        <v/>
      </c>
      <c r="F203" s="61" t="str">
        <f t="shared" ca="1" si="6"/>
        <v/>
      </c>
      <c r="G203" s="18" t="str">
        <f ca="1">IF($A203="","",Data!AB203)</f>
        <v/>
      </c>
      <c r="H203" s="18" t="str">
        <f ca="1">IF($A203="","",Data!AC203)</f>
        <v/>
      </c>
      <c r="I203" s="18" t="str">
        <f ca="1">IF($A203="","",INT(SUMIFS(Data!$AN$4:$AN$183,Data!$AM$4:$AM$183,$B203,Data!$AL$4:$AL$183,$A203,Data!$AK$4:$AK$183,$C203))+MOD(ROUND(SUMIFS(Data!$AN$4:$AN$183,Data!$AM$4:$AM$183,$B203,Data!$AL$4:$AL$183,$A203,Data!$AK$4:$AK$183,$C203)*3,0),3)/10)</f>
        <v/>
      </c>
      <c r="J203" s="18" t="str">
        <f ca="1">IF($A203="","",SUMIFS(Data!$AQ$4:$AQ$183,Data!$AM$4:$AM$183,$B203,Data!$AL$4:$AL$183,$A203,Data!$AK$4:$AK$183,$C203))</f>
        <v/>
      </c>
      <c r="K203" s="62" t="str">
        <f ca="1">IF($A203="","",IF(SUMIFS(Data!$AN$4:$AN$183,Data!$AM$4:$AM$183,$B203,Data!$AL$4:$AL$183,$A203,Data!$AK$4:$AK$183,$C203)=0,"",J203*3/SUMIFS(Data!$AN$4:$AN$183,Data!$AM$4:$AM$183,$B203,Data!$AL$4:$AL$183,$A203,Data!$AK$4:$AK$183,$C203)))</f>
        <v/>
      </c>
      <c r="L203" s="18" t="str">
        <f ca="1">IF($A203="","",IF(IFERROR(_xlfn.XLOOKUP($C203,Bracket!$F$6:$F$16,Bracket!$K$6:$K$16,""),"")=$B203,1,0))</f>
        <v/>
      </c>
      <c r="M203" s="18" t="str">
        <f ca="1">IF($A203="","",IF(AND(IFERROR(_xlfn.XLOOKUP($C203,Bracket!$F$6:$F$16,Bracket!$K$6:$K$16,""),"")=$B203,LEFT(IFERROR(_xlfn.XLOOKUP($C203,Bracket!$F$6:$F$16,Bracket!$G$6:$G$16,""),""),2)="CG"),1,0))</f>
        <v/>
      </c>
      <c r="N203" s="18" t="str">
        <f ca="1">IF($A203="","",SUMIFS(Data!$X$4:$X$273,Data!$T$4:$T$273,$A203,Data!$U$4:$U$273,$B203,Data!$S$4:$S$273,$C203))</f>
        <v/>
      </c>
      <c r="O203" s="18" t="str">
        <f ca="1">IF($A203="","",SUMIFS(Data!$Z$4:$Z$273,Data!$T$4:$T$273,$A203,Data!$U$4:$U$273,$B203,Data!$S$4:$S$273,$C203))</f>
        <v/>
      </c>
      <c r="P203" s="18" t="str">
        <f ca="1">IF($A203="","",SUMIFS(Data!$AA$4:$AA$273,Data!$T$4:$T$273,$A203,Data!$U$4:$U$273,$B203,Data!$S$4:$S$273,$C203))</f>
        <v/>
      </c>
      <c r="Q203" s="18" t="str">
        <f ca="1">IF($A203="","",SUMIFS(Data!$AD$4:$AD$273,Data!$T$4:$T$273,$A203,Data!$U$4:$U$273,$B203,Data!$S$4:$S$273,$C203))</f>
        <v/>
      </c>
      <c r="R203" s="18" t="str">
        <f ca="1">IF($A203="","",SUMIFS(Data!$AE$4:$AE$273,Data!$T$4:$T$273,$A203,Data!$U$4:$U$273,$B203,Data!$S$4:$S$273,$C203))</f>
        <v/>
      </c>
      <c r="S203" s="18" t="str">
        <f ca="1">IF($A203="","",SUMIFS(Data!$AF$4:$AF$273,Data!$T$4:$T$273,$A203,Data!$U$4:$U$273,$B203,Data!$S$4:$S$273,$C203))</f>
        <v/>
      </c>
      <c r="T203" s="18" t="str">
        <f ca="1">IF($A203="","",SUMIFS(Data!$AG$4:$AG$273,Data!$T$4:$T$273,$A203,Data!$U$4:$U$273,$B203,Data!$S$4:$S$273,$C203))</f>
        <v/>
      </c>
      <c r="U203" s="18" t="str">
        <f ca="1">IF($A203="","",SUMIFS(Data!$AH$4:$AH$273,Data!$T$4:$T$273,$A203,Data!$U$4:$U$273,$B203,Data!$S$4:$S$273,$C203))</f>
        <v/>
      </c>
      <c r="V203" s="18" t="str">
        <f ca="1">IF($A203="","",SUMIFS(Data!$AO$4:$AO$183,Data!$AM$4:$AM$183,$B203,Data!$AL$4:$AL$183,$A203,Data!$AK$4:$AK$183,$C203))</f>
        <v/>
      </c>
      <c r="W203" s="18" t="str">
        <f ca="1">IF($A203="","",SUMIFS(Data!$AP$4:$AP$183,Data!$AM$4:$AM$183,$B203,Data!$AL$4:$AL$183,$A203,Data!$AK$4:$AK$183,$C203))</f>
        <v/>
      </c>
      <c r="X203" s="18" t="str">
        <f ca="1">IF($A203="","",SUMIFS(Data!$AR$4:$AR$183,Data!$AM$4:$AM$183,$B203,Data!$AL$4:$AL$183,$A203,Data!$AK$4:$AK$183,$C203))</f>
        <v/>
      </c>
      <c r="Y203" s="18" t="str">
        <f ca="1">IF($A203="","",SUMIFS(Data!$AS$4:$AS$183,Data!$AM$4:$AM$183,$B203,Data!$AL$4:$AL$183,$A203,Data!$AK$4:$AK$183,$C203))</f>
        <v/>
      </c>
      <c r="Z203" s="18" t="str">
        <f ca="1">IF($A203="","",SUMIFS(Data!$AT$4:$AT$183,Data!$AM$4:$AM$183,$B203,Data!$AL$4:$AL$183,$A203,Data!$AK$4:$AK$183,$C203))</f>
        <v/>
      </c>
      <c r="AA203" s="18" t="str">
        <f ca="1">IF($A203="","",SUMIFS(Data!$AW$4:$AW$183,Data!$AM$4:$AM$183,$B203,Data!$AL$4:$AL$183,$A203,Data!$AK$4:$AK$183,$C203))</f>
        <v/>
      </c>
      <c r="AB203" s="18" t="str">
        <f ca="1">IF($A203="","",SUMIFS(Data!$AX$4:$AX$183,Data!$AM$4:$AM$183,$B203,Data!$AL$4:$AL$183,$A203,Data!$AK$4:$AK$183,$C203))</f>
        <v/>
      </c>
      <c r="AC203" s="18" t="str">
        <f ca="1">IF($A203="","",SUMIFS(Data!$AY$4:$AY$183,Data!$AM$4:$AM$183,$B203,Data!$AL$4:$AL$183,$A203,Data!$AK$4:$AK$183,$C203))</f>
        <v/>
      </c>
      <c r="AD203" s="18" t="str">
        <f t="shared" ca="1" si="7"/>
        <v/>
      </c>
      <c r="AE203" s="18" t="str">
        <f ca="1">IF($A203="","",SUMIFS(Data!$AJ$4:$AJ$183,Data!$AM$4:$AM$183,$B203,Data!$AL$4:$AL$183,$A203,Data!$AK$4:$AK$183,$C203))</f>
        <v/>
      </c>
    </row>
    <row r="204" spans="1:31">
      <c r="A204" s="18" t="str">
        <f ca="1">IF(Data!T204="","",Data!T204)</f>
        <v/>
      </c>
      <c r="B204" s="18" t="str">
        <f ca="1">IF(Data!U204="","",Data!U204)</f>
        <v/>
      </c>
      <c r="C204" s="18" t="str">
        <f ca="1">IF(Data!S204="","",Data!S204)</f>
        <v/>
      </c>
      <c r="D204" s="18" t="str">
        <f ca="1">IF($A204="","",Data!W204)</f>
        <v/>
      </c>
      <c r="E204" s="18" t="str">
        <f ca="1">IF($A204="","",Data!Y204)</f>
        <v/>
      </c>
      <c r="F204" s="61" t="str">
        <f t="shared" ca="1" si="6"/>
        <v/>
      </c>
      <c r="G204" s="18" t="str">
        <f ca="1">IF($A204="","",Data!AB204)</f>
        <v/>
      </c>
      <c r="H204" s="18" t="str">
        <f ca="1">IF($A204="","",Data!AC204)</f>
        <v/>
      </c>
      <c r="I204" s="18" t="str">
        <f ca="1">IF($A204="","",INT(SUMIFS(Data!$AN$4:$AN$183,Data!$AM$4:$AM$183,$B204,Data!$AL$4:$AL$183,$A204,Data!$AK$4:$AK$183,$C204))+MOD(ROUND(SUMIFS(Data!$AN$4:$AN$183,Data!$AM$4:$AM$183,$B204,Data!$AL$4:$AL$183,$A204,Data!$AK$4:$AK$183,$C204)*3,0),3)/10)</f>
        <v/>
      </c>
      <c r="J204" s="18" t="str">
        <f ca="1">IF($A204="","",SUMIFS(Data!$AQ$4:$AQ$183,Data!$AM$4:$AM$183,$B204,Data!$AL$4:$AL$183,$A204,Data!$AK$4:$AK$183,$C204))</f>
        <v/>
      </c>
      <c r="K204" s="62" t="str">
        <f ca="1">IF($A204="","",IF(SUMIFS(Data!$AN$4:$AN$183,Data!$AM$4:$AM$183,$B204,Data!$AL$4:$AL$183,$A204,Data!$AK$4:$AK$183,$C204)=0,"",J204*3/SUMIFS(Data!$AN$4:$AN$183,Data!$AM$4:$AM$183,$B204,Data!$AL$4:$AL$183,$A204,Data!$AK$4:$AK$183,$C204)))</f>
        <v/>
      </c>
      <c r="L204" s="18" t="str">
        <f ca="1">IF($A204="","",IF(IFERROR(_xlfn.XLOOKUP($C204,Bracket!$F$6:$F$16,Bracket!$K$6:$K$16,""),"")=$B204,1,0))</f>
        <v/>
      </c>
      <c r="M204" s="18" t="str">
        <f ca="1">IF($A204="","",IF(AND(IFERROR(_xlfn.XLOOKUP($C204,Bracket!$F$6:$F$16,Bracket!$K$6:$K$16,""),"")=$B204,LEFT(IFERROR(_xlfn.XLOOKUP($C204,Bracket!$F$6:$F$16,Bracket!$G$6:$G$16,""),""),2)="CG"),1,0))</f>
        <v/>
      </c>
      <c r="N204" s="18" t="str">
        <f ca="1">IF($A204="","",SUMIFS(Data!$X$4:$X$273,Data!$T$4:$T$273,$A204,Data!$U$4:$U$273,$B204,Data!$S$4:$S$273,$C204))</f>
        <v/>
      </c>
      <c r="O204" s="18" t="str">
        <f ca="1">IF($A204="","",SUMIFS(Data!$Z$4:$Z$273,Data!$T$4:$T$273,$A204,Data!$U$4:$U$273,$B204,Data!$S$4:$S$273,$C204))</f>
        <v/>
      </c>
      <c r="P204" s="18" t="str">
        <f ca="1">IF($A204="","",SUMIFS(Data!$AA$4:$AA$273,Data!$T$4:$T$273,$A204,Data!$U$4:$U$273,$B204,Data!$S$4:$S$273,$C204))</f>
        <v/>
      </c>
      <c r="Q204" s="18" t="str">
        <f ca="1">IF($A204="","",SUMIFS(Data!$AD$4:$AD$273,Data!$T$4:$T$273,$A204,Data!$U$4:$U$273,$B204,Data!$S$4:$S$273,$C204))</f>
        <v/>
      </c>
      <c r="R204" s="18" t="str">
        <f ca="1">IF($A204="","",SUMIFS(Data!$AE$4:$AE$273,Data!$T$4:$T$273,$A204,Data!$U$4:$U$273,$B204,Data!$S$4:$S$273,$C204))</f>
        <v/>
      </c>
      <c r="S204" s="18" t="str">
        <f ca="1">IF($A204="","",SUMIFS(Data!$AF$4:$AF$273,Data!$T$4:$T$273,$A204,Data!$U$4:$U$273,$B204,Data!$S$4:$S$273,$C204))</f>
        <v/>
      </c>
      <c r="T204" s="18" t="str">
        <f ca="1">IF($A204="","",SUMIFS(Data!$AG$4:$AG$273,Data!$T$4:$T$273,$A204,Data!$U$4:$U$273,$B204,Data!$S$4:$S$273,$C204))</f>
        <v/>
      </c>
      <c r="U204" s="18" t="str">
        <f ca="1">IF($A204="","",SUMIFS(Data!$AH$4:$AH$273,Data!$T$4:$T$273,$A204,Data!$U$4:$U$273,$B204,Data!$S$4:$S$273,$C204))</f>
        <v/>
      </c>
      <c r="V204" s="18" t="str">
        <f ca="1">IF($A204="","",SUMIFS(Data!$AO$4:$AO$183,Data!$AM$4:$AM$183,$B204,Data!$AL$4:$AL$183,$A204,Data!$AK$4:$AK$183,$C204))</f>
        <v/>
      </c>
      <c r="W204" s="18" t="str">
        <f ca="1">IF($A204="","",SUMIFS(Data!$AP$4:$AP$183,Data!$AM$4:$AM$183,$B204,Data!$AL$4:$AL$183,$A204,Data!$AK$4:$AK$183,$C204))</f>
        <v/>
      </c>
      <c r="X204" s="18" t="str">
        <f ca="1">IF($A204="","",SUMIFS(Data!$AR$4:$AR$183,Data!$AM$4:$AM$183,$B204,Data!$AL$4:$AL$183,$A204,Data!$AK$4:$AK$183,$C204))</f>
        <v/>
      </c>
      <c r="Y204" s="18" t="str">
        <f ca="1">IF($A204="","",SUMIFS(Data!$AS$4:$AS$183,Data!$AM$4:$AM$183,$B204,Data!$AL$4:$AL$183,$A204,Data!$AK$4:$AK$183,$C204))</f>
        <v/>
      </c>
      <c r="Z204" s="18" t="str">
        <f ca="1">IF($A204="","",SUMIFS(Data!$AT$4:$AT$183,Data!$AM$4:$AM$183,$B204,Data!$AL$4:$AL$183,$A204,Data!$AK$4:$AK$183,$C204))</f>
        <v/>
      </c>
      <c r="AA204" s="18" t="str">
        <f ca="1">IF($A204="","",SUMIFS(Data!$AW$4:$AW$183,Data!$AM$4:$AM$183,$B204,Data!$AL$4:$AL$183,$A204,Data!$AK$4:$AK$183,$C204))</f>
        <v/>
      </c>
      <c r="AB204" s="18" t="str">
        <f ca="1">IF($A204="","",SUMIFS(Data!$AX$4:$AX$183,Data!$AM$4:$AM$183,$B204,Data!$AL$4:$AL$183,$A204,Data!$AK$4:$AK$183,$C204))</f>
        <v/>
      </c>
      <c r="AC204" s="18" t="str">
        <f ca="1">IF($A204="","",SUMIFS(Data!$AY$4:$AY$183,Data!$AM$4:$AM$183,$B204,Data!$AL$4:$AL$183,$A204,Data!$AK$4:$AK$183,$C204))</f>
        <v/>
      </c>
      <c r="AD204" s="18" t="str">
        <f t="shared" ca="1" si="7"/>
        <v/>
      </c>
      <c r="AE204" s="18" t="str">
        <f ca="1">IF($A204="","",SUMIFS(Data!$AJ$4:$AJ$183,Data!$AM$4:$AM$183,$B204,Data!$AL$4:$AL$183,$A204,Data!$AK$4:$AK$183,$C204))</f>
        <v/>
      </c>
    </row>
    <row r="205" spans="1:31">
      <c r="A205" s="18" t="str">
        <f ca="1">IF(Data!T205="","",Data!T205)</f>
        <v/>
      </c>
      <c r="B205" s="18" t="str">
        <f ca="1">IF(Data!U205="","",Data!U205)</f>
        <v/>
      </c>
      <c r="C205" s="18" t="str">
        <f ca="1">IF(Data!S205="","",Data!S205)</f>
        <v/>
      </c>
      <c r="D205" s="18" t="str">
        <f ca="1">IF($A205="","",Data!W205)</f>
        <v/>
      </c>
      <c r="E205" s="18" t="str">
        <f ca="1">IF($A205="","",Data!Y205)</f>
        <v/>
      </c>
      <c r="F205" s="61" t="str">
        <f t="shared" ca="1" si="6"/>
        <v/>
      </c>
      <c r="G205" s="18" t="str">
        <f ca="1">IF($A205="","",Data!AB205)</f>
        <v/>
      </c>
      <c r="H205" s="18" t="str">
        <f ca="1">IF($A205="","",Data!AC205)</f>
        <v/>
      </c>
      <c r="I205" s="18" t="str">
        <f ca="1">IF($A205="","",INT(SUMIFS(Data!$AN$4:$AN$183,Data!$AM$4:$AM$183,$B205,Data!$AL$4:$AL$183,$A205,Data!$AK$4:$AK$183,$C205))+MOD(ROUND(SUMIFS(Data!$AN$4:$AN$183,Data!$AM$4:$AM$183,$B205,Data!$AL$4:$AL$183,$A205,Data!$AK$4:$AK$183,$C205)*3,0),3)/10)</f>
        <v/>
      </c>
      <c r="J205" s="18" t="str">
        <f ca="1">IF($A205="","",SUMIFS(Data!$AQ$4:$AQ$183,Data!$AM$4:$AM$183,$B205,Data!$AL$4:$AL$183,$A205,Data!$AK$4:$AK$183,$C205))</f>
        <v/>
      </c>
      <c r="K205" s="62" t="str">
        <f ca="1">IF($A205="","",IF(SUMIFS(Data!$AN$4:$AN$183,Data!$AM$4:$AM$183,$B205,Data!$AL$4:$AL$183,$A205,Data!$AK$4:$AK$183,$C205)=0,"",J205*3/SUMIFS(Data!$AN$4:$AN$183,Data!$AM$4:$AM$183,$B205,Data!$AL$4:$AL$183,$A205,Data!$AK$4:$AK$183,$C205)))</f>
        <v/>
      </c>
      <c r="L205" s="18" t="str">
        <f ca="1">IF($A205="","",IF(IFERROR(_xlfn.XLOOKUP($C205,Bracket!$F$6:$F$16,Bracket!$K$6:$K$16,""),"")=$B205,1,0))</f>
        <v/>
      </c>
      <c r="M205" s="18" t="str">
        <f ca="1">IF($A205="","",IF(AND(IFERROR(_xlfn.XLOOKUP($C205,Bracket!$F$6:$F$16,Bracket!$K$6:$K$16,""),"")=$B205,LEFT(IFERROR(_xlfn.XLOOKUP($C205,Bracket!$F$6:$F$16,Bracket!$G$6:$G$16,""),""),2)="CG"),1,0))</f>
        <v/>
      </c>
      <c r="N205" s="18" t="str">
        <f ca="1">IF($A205="","",SUMIFS(Data!$X$4:$X$273,Data!$T$4:$T$273,$A205,Data!$U$4:$U$273,$B205,Data!$S$4:$S$273,$C205))</f>
        <v/>
      </c>
      <c r="O205" s="18" t="str">
        <f ca="1">IF($A205="","",SUMIFS(Data!$Z$4:$Z$273,Data!$T$4:$T$273,$A205,Data!$U$4:$U$273,$B205,Data!$S$4:$S$273,$C205))</f>
        <v/>
      </c>
      <c r="P205" s="18" t="str">
        <f ca="1">IF($A205="","",SUMIFS(Data!$AA$4:$AA$273,Data!$T$4:$T$273,$A205,Data!$U$4:$U$273,$B205,Data!$S$4:$S$273,$C205))</f>
        <v/>
      </c>
      <c r="Q205" s="18" t="str">
        <f ca="1">IF($A205="","",SUMIFS(Data!$AD$4:$AD$273,Data!$T$4:$T$273,$A205,Data!$U$4:$U$273,$B205,Data!$S$4:$S$273,$C205))</f>
        <v/>
      </c>
      <c r="R205" s="18" t="str">
        <f ca="1">IF($A205="","",SUMIFS(Data!$AE$4:$AE$273,Data!$T$4:$T$273,$A205,Data!$U$4:$U$273,$B205,Data!$S$4:$S$273,$C205))</f>
        <v/>
      </c>
      <c r="S205" s="18" t="str">
        <f ca="1">IF($A205="","",SUMIFS(Data!$AF$4:$AF$273,Data!$T$4:$T$273,$A205,Data!$U$4:$U$273,$B205,Data!$S$4:$S$273,$C205))</f>
        <v/>
      </c>
      <c r="T205" s="18" t="str">
        <f ca="1">IF($A205="","",SUMIFS(Data!$AG$4:$AG$273,Data!$T$4:$T$273,$A205,Data!$U$4:$U$273,$B205,Data!$S$4:$S$273,$C205))</f>
        <v/>
      </c>
      <c r="U205" s="18" t="str">
        <f ca="1">IF($A205="","",SUMIFS(Data!$AH$4:$AH$273,Data!$T$4:$T$273,$A205,Data!$U$4:$U$273,$B205,Data!$S$4:$S$273,$C205))</f>
        <v/>
      </c>
      <c r="V205" s="18" t="str">
        <f ca="1">IF($A205="","",SUMIFS(Data!$AO$4:$AO$183,Data!$AM$4:$AM$183,$B205,Data!$AL$4:$AL$183,$A205,Data!$AK$4:$AK$183,$C205))</f>
        <v/>
      </c>
      <c r="W205" s="18" t="str">
        <f ca="1">IF($A205="","",SUMIFS(Data!$AP$4:$AP$183,Data!$AM$4:$AM$183,$B205,Data!$AL$4:$AL$183,$A205,Data!$AK$4:$AK$183,$C205))</f>
        <v/>
      </c>
      <c r="X205" s="18" t="str">
        <f ca="1">IF($A205="","",SUMIFS(Data!$AR$4:$AR$183,Data!$AM$4:$AM$183,$B205,Data!$AL$4:$AL$183,$A205,Data!$AK$4:$AK$183,$C205))</f>
        <v/>
      </c>
      <c r="Y205" s="18" t="str">
        <f ca="1">IF($A205="","",SUMIFS(Data!$AS$4:$AS$183,Data!$AM$4:$AM$183,$B205,Data!$AL$4:$AL$183,$A205,Data!$AK$4:$AK$183,$C205))</f>
        <v/>
      </c>
      <c r="Z205" s="18" t="str">
        <f ca="1">IF($A205="","",SUMIFS(Data!$AT$4:$AT$183,Data!$AM$4:$AM$183,$B205,Data!$AL$4:$AL$183,$A205,Data!$AK$4:$AK$183,$C205))</f>
        <v/>
      </c>
      <c r="AA205" s="18" t="str">
        <f ca="1">IF($A205="","",SUMIFS(Data!$AW$4:$AW$183,Data!$AM$4:$AM$183,$B205,Data!$AL$4:$AL$183,$A205,Data!$AK$4:$AK$183,$C205))</f>
        <v/>
      </c>
      <c r="AB205" s="18" t="str">
        <f ca="1">IF($A205="","",SUMIFS(Data!$AX$4:$AX$183,Data!$AM$4:$AM$183,$B205,Data!$AL$4:$AL$183,$A205,Data!$AK$4:$AK$183,$C205))</f>
        <v/>
      </c>
      <c r="AC205" s="18" t="str">
        <f ca="1">IF($A205="","",SUMIFS(Data!$AY$4:$AY$183,Data!$AM$4:$AM$183,$B205,Data!$AL$4:$AL$183,$A205,Data!$AK$4:$AK$183,$C205))</f>
        <v/>
      </c>
      <c r="AD205" s="18" t="str">
        <f t="shared" ca="1" si="7"/>
        <v/>
      </c>
      <c r="AE205" s="18" t="str">
        <f ca="1">IF($A205="","",SUMIFS(Data!$AJ$4:$AJ$183,Data!$AM$4:$AM$183,$B205,Data!$AL$4:$AL$183,$A205,Data!$AK$4:$AK$183,$C205))</f>
        <v/>
      </c>
    </row>
    <row r="206" spans="1:31">
      <c r="A206" s="18" t="str">
        <f ca="1">IF(Data!T206="","",Data!T206)</f>
        <v/>
      </c>
      <c r="B206" s="18" t="str">
        <f ca="1">IF(Data!U206="","",Data!U206)</f>
        <v/>
      </c>
      <c r="C206" s="18" t="str">
        <f ca="1">IF(Data!S206="","",Data!S206)</f>
        <v/>
      </c>
      <c r="D206" s="18" t="str">
        <f ca="1">IF($A206="","",Data!W206)</f>
        <v/>
      </c>
      <c r="E206" s="18" t="str">
        <f ca="1">IF($A206="","",Data!Y206)</f>
        <v/>
      </c>
      <c r="F206" s="61" t="str">
        <f t="shared" ca="1" si="6"/>
        <v/>
      </c>
      <c r="G206" s="18" t="str">
        <f ca="1">IF($A206="","",Data!AB206)</f>
        <v/>
      </c>
      <c r="H206" s="18" t="str">
        <f ca="1">IF($A206="","",Data!AC206)</f>
        <v/>
      </c>
      <c r="I206" s="18" t="str">
        <f ca="1">IF($A206="","",INT(SUMIFS(Data!$AN$4:$AN$183,Data!$AM$4:$AM$183,$B206,Data!$AL$4:$AL$183,$A206,Data!$AK$4:$AK$183,$C206))+MOD(ROUND(SUMIFS(Data!$AN$4:$AN$183,Data!$AM$4:$AM$183,$B206,Data!$AL$4:$AL$183,$A206,Data!$AK$4:$AK$183,$C206)*3,0),3)/10)</f>
        <v/>
      </c>
      <c r="J206" s="18" t="str">
        <f ca="1">IF($A206="","",SUMIFS(Data!$AQ$4:$AQ$183,Data!$AM$4:$AM$183,$B206,Data!$AL$4:$AL$183,$A206,Data!$AK$4:$AK$183,$C206))</f>
        <v/>
      </c>
      <c r="K206" s="62" t="str">
        <f ca="1">IF($A206="","",IF(SUMIFS(Data!$AN$4:$AN$183,Data!$AM$4:$AM$183,$B206,Data!$AL$4:$AL$183,$A206,Data!$AK$4:$AK$183,$C206)=0,"",J206*3/SUMIFS(Data!$AN$4:$AN$183,Data!$AM$4:$AM$183,$B206,Data!$AL$4:$AL$183,$A206,Data!$AK$4:$AK$183,$C206)))</f>
        <v/>
      </c>
      <c r="L206" s="18" t="str">
        <f ca="1">IF($A206="","",IF(IFERROR(_xlfn.XLOOKUP($C206,Bracket!$F$6:$F$16,Bracket!$K$6:$K$16,""),"")=$B206,1,0))</f>
        <v/>
      </c>
      <c r="M206" s="18" t="str">
        <f ca="1">IF($A206="","",IF(AND(IFERROR(_xlfn.XLOOKUP($C206,Bracket!$F$6:$F$16,Bracket!$K$6:$K$16,""),"")=$B206,LEFT(IFERROR(_xlfn.XLOOKUP($C206,Bracket!$F$6:$F$16,Bracket!$G$6:$G$16,""),""),2)="CG"),1,0))</f>
        <v/>
      </c>
      <c r="N206" s="18" t="str">
        <f ca="1">IF($A206="","",SUMIFS(Data!$X$4:$X$273,Data!$T$4:$T$273,$A206,Data!$U$4:$U$273,$B206,Data!$S$4:$S$273,$C206))</f>
        <v/>
      </c>
      <c r="O206" s="18" t="str">
        <f ca="1">IF($A206="","",SUMIFS(Data!$Z$4:$Z$273,Data!$T$4:$T$273,$A206,Data!$U$4:$U$273,$B206,Data!$S$4:$S$273,$C206))</f>
        <v/>
      </c>
      <c r="P206" s="18" t="str">
        <f ca="1">IF($A206="","",SUMIFS(Data!$AA$4:$AA$273,Data!$T$4:$T$273,$A206,Data!$U$4:$U$273,$B206,Data!$S$4:$S$273,$C206))</f>
        <v/>
      </c>
      <c r="Q206" s="18" t="str">
        <f ca="1">IF($A206="","",SUMIFS(Data!$AD$4:$AD$273,Data!$T$4:$T$273,$A206,Data!$U$4:$U$273,$B206,Data!$S$4:$S$273,$C206))</f>
        <v/>
      </c>
      <c r="R206" s="18" t="str">
        <f ca="1">IF($A206="","",SUMIFS(Data!$AE$4:$AE$273,Data!$T$4:$T$273,$A206,Data!$U$4:$U$273,$B206,Data!$S$4:$S$273,$C206))</f>
        <v/>
      </c>
      <c r="S206" s="18" t="str">
        <f ca="1">IF($A206="","",SUMIFS(Data!$AF$4:$AF$273,Data!$T$4:$T$273,$A206,Data!$U$4:$U$273,$B206,Data!$S$4:$S$273,$C206))</f>
        <v/>
      </c>
      <c r="T206" s="18" t="str">
        <f ca="1">IF($A206="","",SUMIFS(Data!$AG$4:$AG$273,Data!$T$4:$T$273,$A206,Data!$U$4:$U$273,$B206,Data!$S$4:$S$273,$C206))</f>
        <v/>
      </c>
      <c r="U206" s="18" t="str">
        <f ca="1">IF($A206="","",SUMIFS(Data!$AH$4:$AH$273,Data!$T$4:$T$273,$A206,Data!$U$4:$U$273,$B206,Data!$S$4:$S$273,$C206))</f>
        <v/>
      </c>
      <c r="V206" s="18" t="str">
        <f ca="1">IF($A206="","",SUMIFS(Data!$AO$4:$AO$183,Data!$AM$4:$AM$183,$B206,Data!$AL$4:$AL$183,$A206,Data!$AK$4:$AK$183,$C206))</f>
        <v/>
      </c>
      <c r="W206" s="18" t="str">
        <f ca="1">IF($A206="","",SUMIFS(Data!$AP$4:$AP$183,Data!$AM$4:$AM$183,$B206,Data!$AL$4:$AL$183,$A206,Data!$AK$4:$AK$183,$C206))</f>
        <v/>
      </c>
      <c r="X206" s="18" t="str">
        <f ca="1">IF($A206="","",SUMIFS(Data!$AR$4:$AR$183,Data!$AM$4:$AM$183,$B206,Data!$AL$4:$AL$183,$A206,Data!$AK$4:$AK$183,$C206))</f>
        <v/>
      </c>
      <c r="Y206" s="18" t="str">
        <f ca="1">IF($A206="","",SUMIFS(Data!$AS$4:$AS$183,Data!$AM$4:$AM$183,$B206,Data!$AL$4:$AL$183,$A206,Data!$AK$4:$AK$183,$C206))</f>
        <v/>
      </c>
      <c r="Z206" s="18" t="str">
        <f ca="1">IF($A206="","",SUMIFS(Data!$AT$4:$AT$183,Data!$AM$4:$AM$183,$B206,Data!$AL$4:$AL$183,$A206,Data!$AK$4:$AK$183,$C206))</f>
        <v/>
      </c>
      <c r="AA206" s="18" t="str">
        <f ca="1">IF($A206="","",SUMIFS(Data!$AW$4:$AW$183,Data!$AM$4:$AM$183,$B206,Data!$AL$4:$AL$183,$A206,Data!$AK$4:$AK$183,$C206))</f>
        <v/>
      </c>
      <c r="AB206" s="18" t="str">
        <f ca="1">IF($A206="","",SUMIFS(Data!$AX$4:$AX$183,Data!$AM$4:$AM$183,$B206,Data!$AL$4:$AL$183,$A206,Data!$AK$4:$AK$183,$C206))</f>
        <v/>
      </c>
      <c r="AC206" s="18" t="str">
        <f ca="1">IF($A206="","",SUMIFS(Data!$AY$4:$AY$183,Data!$AM$4:$AM$183,$B206,Data!$AL$4:$AL$183,$A206,Data!$AK$4:$AK$183,$C206))</f>
        <v/>
      </c>
      <c r="AD206" s="18" t="str">
        <f t="shared" ca="1" si="7"/>
        <v/>
      </c>
      <c r="AE206" s="18" t="str">
        <f ca="1">IF($A206="","",SUMIFS(Data!$AJ$4:$AJ$183,Data!$AM$4:$AM$183,$B206,Data!$AL$4:$AL$183,$A206,Data!$AK$4:$AK$183,$C206))</f>
        <v/>
      </c>
    </row>
    <row r="207" spans="1:31">
      <c r="A207" s="18" t="str">
        <f ca="1">IF(Data!T207="","",Data!T207)</f>
        <v/>
      </c>
      <c r="B207" s="18" t="str">
        <f ca="1">IF(Data!U207="","",Data!U207)</f>
        <v/>
      </c>
      <c r="C207" s="18" t="str">
        <f ca="1">IF(Data!S207="","",Data!S207)</f>
        <v/>
      </c>
      <c r="D207" s="18" t="str">
        <f ca="1">IF($A207="","",Data!W207)</f>
        <v/>
      </c>
      <c r="E207" s="18" t="str">
        <f ca="1">IF($A207="","",Data!Y207)</f>
        <v/>
      </c>
      <c r="F207" s="61" t="str">
        <f t="shared" ca="1" si="6"/>
        <v/>
      </c>
      <c r="G207" s="18" t="str">
        <f ca="1">IF($A207="","",Data!AB207)</f>
        <v/>
      </c>
      <c r="H207" s="18" t="str">
        <f ca="1">IF($A207="","",Data!AC207)</f>
        <v/>
      </c>
      <c r="I207" s="18" t="str">
        <f ca="1">IF($A207="","",INT(SUMIFS(Data!$AN$4:$AN$183,Data!$AM$4:$AM$183,$B207,Data!$AL$4:$AL$183,$A207,Data!$AK$4:$AK$183,$C207))+MOD(ROUND(SUMIFS(Data!$AN$4:$AN$183,Data!$AM$4:$AM$183,$B207,Data!$AL$4:$AL$183,$A207,Data!$AK$4:$AK$183,$C207)*3,0),3)/10)</f>
        <v/>
      </c>
      <c r="J207" s="18" t="str">
        <f ca="1">IF($A207="","",SUMIFS(Data!$AQ$4:$AQ$183,Data!$AM$4:$AM$183,$B207,Data!$AL$4:$AL$183,$A207,Data!$AK$4:$AK$183,$C207))</f>
        <v/>
      </c>
      <c r="K207" s="62" t="str">
        <f ca="1">IF($A207="","",IF(SUMIFS(Data!$AN$4:$AN$183,Data!$AM$4:$AM$183,$B207,Data!$AL$4:$AL$183,$A207,Data!$AK$4:$AK$183,$C207)=0,"",J207*3/SUMIFS(Data!$AN$4:$AN$183,Data!$AM$4:$AM$183,$B207,Data!$AL$4:$AL$183,$A207,Data!$AK$4:$AK$183,$C207)))</f>
        <v/>
      </c>
      <c r="L207" s="18" t="str">
        <f ca="1">IF($A207="","",IF(IFERROR(_xlfn.XLOOKUP($C207,Bracket!$F$6:$F$16,Bracket!$K$6:$K$16,""),"")=$B207,1,0))</f>
        <v/>
      </c>
      <c r="M207" s="18" t="str">
        <f ca="1">IF($A207="","",IF(AND(IFERROR(_xlfn.XLOOKUP($C207,Bracket!$F$6:$F$16,Bracket!$K$6:$K$16,""),"")=$B207,LEFT(IFERROR(_xlfn.XLOOKUP($C207,Bracket!$F$6:$F$16,Bracket!$G$6:$G$16,""),""),2)="CG"),1,0))</f>
        <v/>
      </c>
      <c r="N207" s="18" t="str">
        <f ca="1">IF($A207="","",SUMIFS(Data!$X$4:$X$273,Data!$T$4:$T$273,$A207,Data!$U$4:$U$273,$B207,Data!$S$4:$S$273,$C207))</f>
        <v/>
      </c>
      <c r="O207" s="18" t="str">
        <f ca="1">IF($A207="","",SUMIFS(Data!$Z$4:$Z$273,Data!$T$4:$T$273,$A207,Data!$U$4:$U$273,$B207,Data!$S$4:$S$273,$C207))</f>
        <v/>
      </c>
      <c r="P207" s="18" t="str">
        <f ca="1">IF($A207="","",SUMIFS(Data!$AA$4:$AA$273,Data!$T$4:$T$273,$A207,Data!$U$4:$U$273,$B207,Data!$S$4:$S$273,$C207))</f>
        <v/>
      </c>
      <c r="Q207" s="18" t="str">
        <f ca="1">IF($A207="","",SUMIFS(Data!$AD$4:$AD$273,Data!$T$4:$T$273,$A207,Data!$U$4:$U$273,$B207,Data!$S$4:$S$273,$C207))</f>
        <v/>
      </c>
      <c r="R207" s="18" t="str">
        <f ca="1">IF($A207="","",SUMIFS(Data!$AE$4:$AE$273,Data!$T$4:$T$273,$A207,Data!$U$4:$U$273,$B207,Data!$S$4:$S$273,$C207))</f>
        <v/>
      </c>
      <c r="S207" s="18" t="str">
        <f ca="1">IF($A207="","",SUMIFS(Data!$AF$4:$AF$273,Data!$T$4:$T$273,$A207,Data!$U$4:$U$273,$B207,Data!$S$4:$S$273,$C207))</f>
        <v/>
      </c>
      <c r="T207" s="18" t="str">
        <f ca="1">IF($A207="","",SUMIFS(Data!$AG$4:$AG$273,Data!$T$4:$T$273,$A207,Data!$U$4:$U$273,$B207,Data!$S$4:$S$273,$C207))</f>
        <v/>
      </c>
      <c r="U207" s="18" t="str">
        <f ca="1">IF($A207="","",SUMIFS(Data!$AH$4:$AH$273,Data!$T$4:$T$273,$A207,Data!$U$4:$U$273,$B207,Data!$S$4:$S$273,$C207))</f>
        <v/>
      </c>
      <c r="V207" s="18" t="str">
        <f ca="1">IF($A207="","",SUMIFS(Data!$AO$4:$AO$183,Data!$AM$4:$AM$183,$B207,Data!$AL$4:$AL$183,$A207,Data!$AK$4:$AK$183,$C207))</f>
        <v/>
      </c>
      <c r="W207" s="18" t="str">
        <f ca="1">IF($A207="","",SUMIFS(Data!$AP$4:$AP$183,Data!$AM$4:$AM$183,$B207,Data!$AL$4:$AL$183,$A207,Data!$AK$4:$AK$183,$C207))</f>
        <v/>
      </c>
      <c r="X207" s="18" t="str">
        <f ca="1">IF($A207="","",SUMIFS(Data!$AR$4:$AR$183,Data!$AM$4:$AM$183,$B207,Data!$AL$4:$AL$183,$A207,Data!$AK$4:$AK$183,$C207))</f>
        <v/>
      </c>
      <c r="Y207" s="18" t="str">
        <f ca="1">IF($A207="","",SUMIFS(Data!$AS$4:$AS$183,Data!$AM$4:$AM$183,$B207,Data!$AL$4:$AL$183,$A207,Data!$AK$4:$AK$183,$C207))</f>
        <v/>
      </c>
      <c r="Z207" s="18" t="str">
        <f ca="1">IF($A207="","",SUMIFS(Data!$AT$4:$AT$183,Data!$AM$4:$AM$183,$B207,Data!$AL$4:$AL$183,$A207,Data!$AK$4:$AK$183,$C207))</f>
        <v/>
      </c>
      <c r="AA207" s="18" t="str">
        <f ca="1">IF($A207="","",SUMIFS(Data!$AW$4:$AW$183,Data!$AM$4:$AM$183,$B207,Data!$AL$4:$AL$183,$A207,Data!$AK$4:$AK$183,$C207))</f>
        <v/>
      </c>
      <c r="AB207" s="18" t="str">
        <f ca="1">IF($A207="","",SUMIFS(Data!$AX$4:$AX$183,Data!$AM$4:$AM$183,$B207,Data!$AL$4:$AL$183,$A207,Data!$AK$4:$AK$183,$C207))</f>
        <v/>
      </c>
      <c r="AC207" s="18" t="str">
        <f ca="1">IF($A207="","",SUMIFS(Data!$AY$4:$AY$183,Data!$AM$4:$AM$183,$B207,Data!$AL$4:$AL$183,$A207,Data!$AK$4:$AK$183,$C207))</f>
        <v/>
      </c>
      <c r="AD207" s="18" t="str">
        <f t="shared" ca="1" si="7"/>
        <v/>
      </c>
      <c r="AE207" s="18" t="str">
        <f ca="1">IF($A207="","",SUMIFS(Data!$AJ$4:$AJ$183,Data!$AM$4:$AM$183,$B207,Data!$AL$4:$AL$183,$A207,Data!$AK$4:$AK$183,$C207))</f>
        <v/>
      </c>
    </row>
    <row r="208" spans="1:31">
      <c r="A208" s="18" t="str">
        <f ca="1">IF(Data!T208="","",Data!T208)</f>
        <v/>
      </c>
      <c r="B208" s="18" t="str">
        <f ca="1">IF(Data!U208="","",Data!U208)</f>
        <v/>
      </c>
      <c r="C208" s="18" t="str">
        <f ca="1">IF(Data!S208="","",Data!S208)</f>
        <v/>
      </c>
      <c r="D208" s="18" t="str">
        <f ca="1">IF($A208="","",Data!W208)</f>
        <v/>
      </c>
      <c r="E208" s="18" t="str">
        <f ca="1">IF($A208="","",Data!Y208)</f>
        <v/>
      </c>
      <c r="F208" s="61" t="str">
        <f t="shared" ca="1" si="6"/>
        <v/>
      </c>
      <c r="G208" s="18" t="str">
        <f ca="1">IF($A208="","",Data!AB208)</f>
        <v/>
      </c>
      <c r="H208" s="18" t="str">
        <f ca="1">IF($A208="","",Data!AC208)</f>
        <v/>
      </c>
      <c r="I208" s="18" t="str">
        <f ca="1">IF($A208="","",INT(SUMIFS(Data!$AN$4:$AN$183,Data!$AM$4:$AM$183,$B208,Data!$AL$4:$AL$183,$A208,Data!$AK$4:$AK$183,$C208))+MOD(ROUND(SUMIFS(Data!$AN$4:$AN$183,Data!$AM$4:$AM$183,$B208,Data!$AL$4:$AL$183,$A208,Data!$AK$4:$AK$183,$C208)*3,0),3)/10)</f>
        <v/>
      </c>
      <c r="J208" s="18" t="str">
        <f ca="1">IF($A208="","",SUMIFS(Data!$AQ$4:$AQ$183,Data!$AM$4:$AM$183,$B208,Data!$AL$4:$AL$183,$A208,Data!$AK$4:$AK$183,$C208))</f>
        <v/>
      </c>
      <c r="K208" s="62" t="str">
        <f ca="1">IF($A208="","",IF(SUMIFS(Data!$AN$4:$AN$183,Data!$AM$4:$AM$183,$B208,Data!$AL$4:$AL$183,$A208,Data!$AK$4:$AK$183,$C208)=0,"",J208*3/SUMIFS(Data!$AN$4:$AN$183,Data!$AM$4:$AM$183,$B208,Data!$AL$4:$AL$183,$A208,Data!$AK$4:$AK$183,$C208)))</f>
        <v/>
      </c>
      <c r="L208" s="18" t="str">
        <f ca="1">IF($A208="","",IF(IFERROR(_xlfn.XLOOKUP($C208,Bracket!$F$6:$F$16,Bracket!$K$6:$K$16,""),"")=$B208,1,0))</f>
        <v/>
      </c>
      <c r="M208" s="18" t="str">
        <f ca="1">IF($A208="","",IF(AND(IFERROR(_xlfn.XLOOKUP($C208,Bracket!$F$6:$F$16,Bracket!$K$6:$K$16,""),"")=$B208,LEFT(IFERROR(_xlfn.XLOOKUP($C208,Bracket!$F$6:$F$16,Bracket!$G$6:$G$16,""),""),2)="CG"),1,0))</f>
        <v/>
      </c>
      <c r="N208" s="18" t="str">
        <f ca="1">IF($A208="","",SUMIFS(Data!$X$4:$X$273,Data!$T$4:$T$273,$A208,Data!$U$4:$U$273,$B208,Data!$S$4:$S$273,$C208))</f>
        <v/>
      </c>
      <c r="O208" s="18" t="str">
        <f ca="1">IF($A208="","",SUMIFS(Data!$Z$4:$Z$273,Data!$T$4:$T$273,$A208,Data!$U$4:$U$273,$B208,Data!$S$4:$S$273,$C208))</f>
        <v/>
      </c>
      <c r="P208" s="18" t="str">
        <f ca="1">IF($A208="","",SUMIFS(Data!$AA$4:$AA$273,Data!$T$4:$T$273,$A208,Data!$U$4:$U$273,$B208,Data!$S$4:$S$273,$C208))</f>
        <v/>
      </c>
      <c r="Q208" s="18" t="str">
        <f ca="1">IF($A208="","",SUMIFS(Data!$AD$4:$AD$273,Data!$T$4:$T$273,$A208,Data!$U$4:$U$273,$B208,Data!$S$4:$S$273,$C208))</f>
        <v/>
      </c>
      <c r="R208" s="18" t="str">
        <f ca="1">IF($A208="","",SUMIFS(Data!$AE$4:$AE$273,Data!$T$4:$T$273,$A208,Data!$U$4:$U$273,$B208,Data!$S$4:$S$273,$C208))</f>
        <v/>
      </c>
      <c r="S208" s="18" t="str">
        <f ca="1">IF($A208="","",SUMIFS(Data!$AF$4:$AF$273,Data!$T$4:$T$273,$A208,Data!$U$4:$U$273,$B208,Data!$S$4:$S$273,$C208))</f>
        <v/>
      </c>
      <c r="T208" s="18" t="str">
        <f ca="1">IF($A208="","",SUMIFS(Data!$AG$4:$AG$273,Data!$T$4:$T$273,$A208,Data!$U$4:$U$273,$B208,Data!$S$4:$S$273,$C208))</f>
        <v/>
      </c>
      <c r="U208" s="18" t="str">
        <f ca="1">IF($A208="","",SUMIFS(Data!$AH$4:$AH$273,Data!$T$4:$T$273,$A208,Data!$U$4:$U$273,$B208,Data!$S$4:$S$273,$C208))</f>
        <v/>
      </c>
      <c r="V208" s="18" t="str">
        <f ca="1">IF($A208="","",SUMIFS(Data!$AO$4:$AO$183,Data!$AM$4:$AM$183,$B208,Data!$AL$4:$AL$183,$A208,Data!$AK$4:$AK$183,$C208))</f>
        <v/>
      </c>
      <c r="W208" s="18" t="str">
        <f ca="1">IF($A208="","",SUMIFS(Data!$AP$4:$AP$183,Data!$AM$4:$AM$183,$B208,Data!$AL$4:$AL$183,$A208,Data!$AK$4:$AK$183,$C208))</f>
        <v/>
      </c>
      <c r="X208" s="18" t="str">
        <f ca="1">IF($A208="","",SUMIFS(Data!$AR$4:$AR$183,Data!$AM$4:$AM$183,$B208,Data!$AL$4:$AL$183,$A208,Data!$AK$4:$AK$183,$C208))</f>
        <v/>
      </c>
      <c r="Y208" s="18" t="str">
        <f ca="1">IF($A208="","",SUMIFS(Data!$AS$4:$AS$183,Data!$AM$4:$AM$183,$B208,Data!$AL$4:$AL$183,$A208,Data!$AK$4:$AK$183,$C208))</f>
        <v/>
      </c>
      <c r="Z208" s="18" t="str">
        <f ca="1">IF($A208="","",SUMIFS(Data!$AT$4:$AT$183,Data!$AM$4:$AM$183,$B208,Data!$AL$4:$AL$183,$A208,Data!$AK$4:$AK$183,$C208))</f>
        <v/>
      </c>
      <c r="AA208" s="18" t="str">
        <f ca="1">IF($A208="","",SUMIFS(Data!$AW$4:$AW$183,Data!$AM$4:$AM$183,$B208,Data!$AL$4:$AL$183,$A208,Data!$AK$4:$AK$183,$C208))</f>
        <v/>
      </c>
      <c r="AB208" s="18" t="str">
        <f ca="1">IF($A208="","",SUMIFS(Data!$AX$4:$AX$183,Data!$AM$4:$AM$183,$B208,Data!$AL$4:$AL$183,$A208,Data!$AK$4:$AK$183,$C208))</f>
        <v/>
      </c>
      <c r="AC208" s="18" t="str">
        <f ca="1">IF($A208="","",SUMIFS(Data!$AY$4:$AY$183,Data!$AM$4:$AM$183,$B208,Data!$AL$4:$AL$183,$A208,Data!$AK$4:$AK$183,$C208))</f>
        <v/>
      </c>
      <c r="AD208" s="18" t="str">
        <f t="shared" ca="1" si="7"/>
        <v/>
      </c>
      <c r="AE208" s="18" t="str">
        <f ca="1">IF($A208="","",SUMIFS(Data!$AJ$4:$AJ$183,Data!$AM$4:$AM$183,$B208,Data!$AL$4:$AL$183,$A208,Data!$AK$4:$AK$183,$C208))</f>
        <v/>
      </c>
    </row>
    <row r="209" spans="1:31">
      <c r="A209" s="18" t="str">
        <f ca="1">IF(Data!T209="","",Data!T209)</f>
        <v/>
      </c>
      <c r="B209" s="18" t="str">
        <f ca="1">IF(Data!U209="","",Data!U209)</f>
        <v/>
      </c>
      <c r="C209" s="18" t="str">
        <f ca="1">IF(Data!S209="","",Data!S209)</f>
        <v/>
      </c>
      <c r="D209" s="18" t="str">
        <f ca="1">IF($A209="","",Data!W209)</f>
        <v/>
      </c>
      <c r="E209" s="18" t="str">
        <f ca="1">IF($A209="","",Data!Y209)</f>
        <v/>
      </c>
      <c r="F209" s="61" t="str">
        <f t="shared" ca="1" si="6"/>
        <v/>
      </c>
      <c r="G209" s="18" t="str">
        <f ca="1">IF($A209="","",Data!AB209)</f>
        <v/>
      </c>
      <c r="H209" s="18" t="str">
        <f ca="1">IF($A209="","",Data!AC209)</f>
        <v/>
      </c>
      <c r="I209" s="18" t="str">
        <f ca="1">IF($A209="","",INT(SUMIFS(Data!$AN$4:$AN$183,Data!$AM$4:$AM$183,$B209,Data!$AL$4:$AL$183,$A209,Data!$AK$4:$AK$183,$C209))+MOD(ROUND(SUMIFS(Data!$AN$4:$AN$183,Data!$AM$4:$AM$183,$B209,Data!$AL$4:$AL$183,$A209,Data!$AK$4:$AK$183,$C209)*3,0),3)/10)</f>
        <v/>
      </c>
      <c r="J209" s="18" t="str">
        <f ca="1">IF($A209="","",SUMIFS(Data!$AQ$4:$AQ$183,Data!$AM$4:$AM$183,$B209,Data!$AL$4:$AL$183,$A209,Data!$AK$4:$AK$183,$C209))</f>
        <v/>
      </c>
      <c r="K209" s="62" t="str">
        <f ca="1">IF($A209="","",IF(SUMIFS(Data!$AN$4:$AN$183,Data!$AM$4:$AM$183,$B209,Data!$AL$4:$AL$183,$A209,Data!$AK$4:$AK$183,$C209)=0,"",J209*3/SUMIFS(Data!$AN$4:$AN$183,Data!$AM$4:$AM$183,$B209,Data!$AL$4:$AL$183,$A209,Data!$AK$4:$AK$183,$C209)))</f>
        <v/>
      </c>
      <c r="L209" s="18" t="str">
        <f ca="1">IF($A209="","",IF(IFERROR(_xlfn.XLOOKUP($C209,Bracket!$F$6:$F$16,Bracket!$K$6:$K$16,""),"")=$B209,1,0))</f>
        <v/>
      </c>
      <c r="M209" s="18" t="str">
        <f ca="1">IF($A209="","",IF(AND(IFERROR(_xlfn.XLOOKUP($C209,Bracket!$F$6:$F$16,Bracket!$K$6:$K$16,""),"")=$B209,LEFT(IFERROR(_xlfn.XLOOKUP($C209,Bracket!$F$6:$F$16,Bracket!$G$6:$G$16,""),""),2)="CG"),1,0))</f>
        <v/>
      </c>
      <c r="N209" s="18" t="str">
        <f ca="1">IF($A209="","",SUMIFS(Data!$X$4:$X$273,Data!$T$4:$T$273,$A209,Data!$U$4:$U$273,$B209,Data!$S$4:$S$273,$C209))</f>
        <v/>
      </c>
      <c r="O209" s="18" t="str">
        <f ca="1">IF($A209="","",SUMIFS(Data!$Z$4:$Z$273,Data!$T$4:$T$273,$A209,Data!$U$4:$U$273,$B209,Data!$S$4:$S$273,$C209))</f>
        <v/>
      </c>
      <c r="P209" s="18" t="str">
        <f ca="1">IF($A209="","",SUMIFS(Data!$AA$4:$AA$273,Data!$T$4:$T$273,$A209,Data!$U$4:$U$273,$B209,Data!$S$4:$S$273,$C209))</f>
        <v/>
      </c>
      <c r="Q209" s="18" t="str">
        <f ca="1">IF($A209="","",SUMIFS(Data!$AD$4:$AD$273,Data!$T$4:$T$273,$A209,Data!$U$4:$U$273,$B209,Data!$S$4:$S$273,$C209))</f>
        <v/>
      </c>
      <c r="R209" s="18" t="str">
        <f ca="1">IF($A209="","",SUMIFS(Data!$AE$4:$AE$273,Data!$T$4:$T$273,$A209,Data!$U$4:$U$273,$B209,Data!$S$4:$S$273,$C209))</f>
        <v/>
      </c>
      <c r="S209" s="18" t="str">
        <f ca="1">IF($A209="","",SUMIFS(Data!$AF$4:$AF$273,Data!$T$4:$T$273,$A209,Data!$U$4:$U$273,$B209,Data!$S$4:$S$273,$C209))</f>
        <v/>
      </c>
      <c r="T209" s="18" t="str">
        <f ca="1">IF($A209="","",SUMIFS(Data!$AG$4:$AG$273,Data!$T$4:$T$273,$A209,Data!$U$4:$U$273,$B209,Data!$S$4:$S$273,$C209))</f>
        <v/>
      </c>
      <c r="U209" s="18" t="str">
        <f ca="1">IF($A209="","",SUMIFS(Data!$AH$4:$AH$273,Data!$T$4:$T$273,$A209,Data!$U$4:$U$273,$B209,Data!$S$4:$S$273,$C209))</f>
        <v/>
      </c>
      <c r="V209" s="18" t="str">
        <f ca="1">IF($A209="","",SUMIFS(Data!$AO$4:$AO$183,Data!$AM$4:$AM$183,$B209,Data!$AL$4:$AL$183,$A209,Data!$AK$4:$AK$183,$C209))</f>
        <v/>
      </c>
      <c r="W209" s="18" t="str">
        <f ca="1">IF($A209="","",SUMIFS(Data!$AP$4:$AP$183,Data!$AM$4:$AM$183,$B209,Data!$AL$4:$AL$183,$A209,Data!$AK$4:$AK$183,$C209))</f>
        <v/>
      </c>
      <c r="X209" s="18" t="str">
        <f ca="1">IF($A209="","",SUMIFS(Data!$AR$4:$AR$183,Data!$AM$4:$AM$183,$B209,Data!$AL$4:$AL$183,$A209,Data!$AK$4:$AK$183,$C209))</f>
        <v/>
      </c>
      <c r="Y209" s="18" t="str">
        <f ca="1">IF($A209="","",SUMIFS(Data!$AS$4:$AS$183,Data!$AM$4:$AM$183,$B209,Data!$AL$4:$AL$183,$A209,Data!$AK$4:$AK$183,$C209))</f>
        <v/>
      </c>
      <c r="Z209" s="18" t="str">
        <f ca="1">IF($A209="","",SUMIFS(Data!$AT$4:$AT$183,Data!$AM$4:$AM$183,$B209,Data!$AL$4:$AL$183,$A209,Data!$AK$4:$AK$183,$C209))</f>
        <v/>
      </c>
      <c r="AA209" s="18" t="str">
        <f ca="1">IF($A209="","",SUMIFS(Data!$AW$4:$AW$183,Data!$AM$4:$AM$183,$B209,Data!$AL$4:$AL$183,$A209,Data!$AK$4:$AK$183,$C209))</f>
        <v/>
      </c>
      <c r="AB209" s="18" t="str">
        <f ca="1">IF($A209="","",SUMIFS(Data!$AX$4:$AX$183,Data!$AM$4:$AM$183,$B209,Data!$AL$4:$AL$183,$A209,Data!$AK$4:$AK$183,$C209))</f>
        <v/>
      </c>
      <c r="AC209" s="18" t="str">
        <f ca="1">IF($A209="","",SUMIFS(Data!$AY$4:$AY$183,Data!$AM$4:$AM$183,$B209,Data!$AL$4:$AL$183,$A209,Data!$AK$4:$AK$183,$C209))</f>
        <v/>
      </c>
      <c r="AD209" s="18" t="str">
        <f t="shared" ca="1" si="7"/>
        <v/>
      </c>
      <c r="AE209" s="18" t="str">
        <f ca="1">IF($A209="","",SUMIFS(Data!$AJ$4:$AJ$183,Data!$AM$4:$AM$183,$B209,Data!$AL$4:$AL$183,$A209,Data!$AK$4:$AK$183,$C209))</f>
        <v/>
      </c>
    </row>
    <row r="210" spans="1:31">
      <c r="A210" s="18" t="str">
        <f ca="1">IF(Data!T210="","",Data!T210)</f>
        <v/>
      </c>
      <c r="B210" s="18" t="str">
        <f ca="1">IF(Data!U210="","",Data!U210)</f>
        <v/>
      </c>
      <c r="C210" s="18" t="str">
        <f ca="1">IF(Data!S210="","",Data!S210)</f>
        <v/>
      </c>
      <c r="D210" s="18" t="str">
        <f ca="1">IF($A210="","",Data!W210)</f>
        <v/>
      </c>
      <c r="E210" s="18" t="str">
        <f ca="1">IF($A210="","",Data!Y210)</f>
        <v/>
      </c>
      <c r="F210" s="61" t="str">
        <f t="shared" ca="1" si="6"/>
        <v/>
      </c>
      <c r="G210" s="18" t="str">
        <f ca="1">IF($A210="","",Data!AB210)</f>
        <v/>
      </c>
      <c r="H210" s="18" t="str">
        <f ca="1">IF($A210="","",Data!AC210)</f>
        <v/>
      </c>
      <c r="I210" s="18" t="str">
        <f ca="1">IF($A210="","",INT(SUMIFS(Data!$AN$4:$AN$183,Data!$AM$4:$AM$183,$B210,Data!$AL$4:$AL$183,$A210,Data!$AK$4:$AK$183,$C210))+MOD(ROUND(SUMIFS(Data!$AN$4:$AN$183,Data!$AM$4:$AM$183,$B210,Data!$AL$4:$AL$183,$A210,Data!$AK$4:$AK$183,$C210)*3,0),3)/10)</f>
        <v/>
      </c>
      <c r="J210" s="18" t="str">
        <f ca="1">IF($A210="","",SUMIFS(Data!$AQ$4:$AQ$183,Data!$AM$4:$AM$183,$B210,Data!$AL$4:$AL$183,$A210,Data!$AK$4:$AK$183,$C210))</f>
        <v/>
      </c>
      <c r="K210" s="62" t="str">
        <f ca="1">IF($A210="","",IF(SUMIFS(Data!$AN$4:$AN$183,Data!$AM$4:$AM$183,$B210,Data!$AL$4:$AL$183,$A210,Data!$AK$4:$AK$183,$C210)=0,"",J210*3/SUMIFS(Data!$AN$4:$AN$183,Data!$AM$4:$AM$183,$B210,Data!$AL$4:$AL$183,$A210,Data!$AK$4:$AK$183,$C210)))</f>
        <v/>
      </c>
      <c r="L210" s="18" t="str">
        <f ca="1">IF($A210="","",IF(IFERROR(_xlfn.XLOOKUP($C210,Bracket!$F$6:$F$16,Bracket!$K$6:$K$16,""),"")=$B210,1,0))</f>
        <v/>
      </c>
      <c r="M210" s="18" t="str">
        <f ca="1">IF($A210="","",IF(AND(IFERROR(_xlfn.XLOOKUP($C210,Bracket!$F$6:$F$16,Bracket!$K$6:$K$16,""),"")=$B210,LEFT(IFERROR(_xlfn.XLOOKUP($C210,Bracket!$F$6:$F$16,Bracket!$G$6:$G$16,""),""),2)="CG"),1,0))</f>
        <v/>
      </c>
      <c r="N210" s="18" t="str">
        <f ca="1">IF($A210="","",SUMIFS(Data!$X$4:$X$273,Data!$T$4:$T$273,$A210,Data!$U$4:$U$273,$B210,Data!$S$4:$S$273,$C210))</f>
        <v/>
      </c>
      <c r="O210" s="18" t="str">
        <f ca="1">IF($A210="","",SUMIFS(Data!$Z$4:$Z$273,Data!$T$4:$T$273,$A210,Data!$U$4:$U$273,$B210,Data!$S$4:$S$273,$C210))</f>
        <v/>
      </c>
      <c r="P210" s="18" t="str">
        <f ca="1">IF($A210="","",SUMIFS(Data!$AA$4:$AA$273,Data!$T$4:$T$273,$A210,Data!$U$4:$U$273,$B210,Data!$S$4:$S$273,$C210))</f>
        <v/>
      </c>
      <c r="Q210" s="18" t="str">
        <f ca="1">IF($A210="","",SUMIFS(Data!$AD$4:$AD$273,Data!$T$4:$T$273,$A210,Data!$U$4:$U$273,$B210,Data!$S$4:$S$273,$C210))</f>
        <v/>
      </c>
      <c r="R210" s="18" t="str">
        <f ca="1">IF($A210="","",SUMIFS(Data!$AE$4:$AE$273,Data!$T$4:$T$273,$A210,Data!$U$4:$U$273,$B210,Data!$S$4:$S$273,$C210))</f>
        <v/>
      </c>
      <c r="S210" s="18" t="str">
        <f ca="1">IF($A210="","",SUMIFS(Data!$AF$4:$AF$273,Data!$T$4:$T$273,$A210,Data!$U$4:$U$273,$B210,Data!$S$4:$S$273,$C210))</f>
        <v/>
      </c>
      <c r="T210" s="18" t="str">
        <f ca="1">IF($A210="","",SUMIFS(Data!$AG$4:$AG$273,Data!$T$4:$T$273,$A210,Data!$U$4:$U$273,$B210,Data!$S$4:$S$273,$C210))</f>
        <v/>
      </c>
      <c r="U210" s="18" t="str">
        <f ca="1">IF($A210="","",SUMIFS(Data!$AH$4:$AH$273,Data!$T$4:$T$273,$A210,Data!$U$4:$U$273,$B210,Data!$S$4:$S$273,$C210))</f>
        <v/>
      </c>
      <c r="V210" s="18" t="str">
        <f ca="1">IF($A210="","",SUMIFS(Data!$AO$4:$AO$183,Data!$AM$4:$AM$183,$B210,Data!$AL$4:$AL$183,$A210,Data!$AK$4:$AK$183,$C210))</f>
        <v/>
      </c>
      <c r="W210" s="18" t="str">
        <f ca="1">IF($A210="","",SUMIFS(Data!$AP$4:$AP$183,Data!$AM$4:$AM$183,$B210,Data!$AL$4:$AL$183,$A210,Data!$AK$4:$AK$183,$C210))</f>
        <v/>
      </c>
      <c r="X210" s="18" t="str">
        <f ca="1">IF($A210="","",SUMIFS(Data!$AR$4:$AR$183,Data!$AM$4:$AM$183,$B210,Data!$AL$4:$AL$183,$A210,Data!$AK$4:$AK$183,$C210))</f>
        <v/>
      </c>
      <c r="Y210" s="18" t="str">
        <f ca="1">IF($A210="","",SUMIFS(Data!$AS$4:$AS$183,Data!$AM$4:$AM$183,$B210,Data!$AL$4:$AL$183,$A210,Data!$AK$4:$AK$183,$C210))</f>
        <v/>
      </c>
      <c r="Z210" s="18" t="str">
        <f ca="1">IF($A210="","",SUMIFS(Data!$AT$4:$AT$183,Data!$AM$4:$AM$183,$B210,Data!$AL$4:$AL$183,$A210,Data!$AK$4:$AK$183,$C210))</f>
        <v/>
      </c>
      <c r="AA210" s="18" t="str">
        <f ca="1">IF($A210="","",SUMIFS(Data!$AW$4:$AW$183,Data!$AM$4:$AM$183,$B210,Data!$AL$4:$AL$183,$A210,Data!$AK$4:$AK$183,$C210))</f>
        <v/>
      </c>
      <c r="AB210" s="18" t="str">
        <f ca="1">IF($A210="","",SUMIFS(Data!$AX$4:$AX$183,Data!$AM$4:$AM$183,$B210,Data!$AL$4:$AL$183,$A210,Data!$AK$4:$AK$183,$C210))</f>
        <v/>
      </c>
      <c r="AC210" s="18" t="str">
        <f ca="1">IF($A210="","",SUMIFS(Data!$AY$4:$AY$183,Data!$AM$4:$AM$183,$B210,Data!$AL$4:$AL$183,$A210,Data!$AK$4:$AK$183,$C210))</f>
        <v/>
      </c>
      <c r="AD210" s="18" t="str">
        <f t="shared" ca="1" si="7"/>
        <v/>
      </c>
      <c r="AE210" s="18" t="str">
        <f ca="1">IF($A210="","",SUMIFS(Data!$AJ$4:$AJ$183,Data!$AM$4:$AM$183,$B210,Data!$AL$4:$AL$183,$A210,Data!$AK$4:$AK$183,$C210))</f>
        <v/>
      </c>
    </row>
    <row r="211" spans="1:31">
      <c r="A211" s="18" t="str">
        <f ca="1">IF(Data!T211="","",Data!T211)</f>
        <v/>
      </c>
      <c r="B211" s="18" t="str">
        <f ca="1">IF(Data!U211="","",Data!U211)</f>
        <v/>
      </c>
      <c r="C211" s="18" t="str">
        <f ca="1">IF(Data!S211="","",Data!S211)</f>
        <v/>
      </c>
      <c r="D211" s="18" t="str">
        <f ca="1">IF($A211="","",Data!W211)</f>
        <v/>
      </c>
      <c r="E211" s="18" t="str">
        <f ca="1">IF($A211="","",Data!Y211)</f>
        <v/>
      </c>
      <c r="F211" s="61" t="str">
        <f t="shared" ca="1" si="6"/>
        <v/>
      </c>
      <c r="G211" s="18" t="str">
        <f ca="1">IF($A211="","",Data!AB211)</f>
        <v/>
      </c>
      <c r="H211" s="18" t="str">
        <f ca="1">IF($A211="","",Data!AC211)</f>
        <v/>
      </c>
      <c r="I211" s="18" t="str">
        <f ca="1">IF($A211="","",INT(SUMIFS(Data!$AN$4:$AN$183,Data!$AM$4:$AM$183,$B211,Data!$AL$4:$AL$183,$A211,Data!$AK$4:$AK$183,$C211))+MOD(ROUND(SUMIFS(Data!$AN$4:$AN$183,Data!$AM$4:$AM$183,$B211,Data!$AL$4:$AL$183,$A211,Data!$AK$4:$AK$183,$C211)*3,0),3)/10)</f>
        <v/>
      </c>
      <c r="J211" s="18" t="str">
        <f ca="1">IF($A211="","",SUMIFS(Data!$AQ$4:$AQ$183,Data!$AM$4:$AM$183,$B211,Data!$AL$4:$AL$183,$A211,Data!$AK$4:$AK$183,$C211))</f>
        <v/>
      </c>
      <c r="K211" s="62" t="str">
        <f ca="1">IF($A211="","",IF(SUMIFS(Data!$AN$4:$AN$183,Data!$AM$4:$AM$183,$B211,Data!$AL$4:$AL$183,$A211,Data!$AK$4:$AK$183,$C211)=0,"",J211*3/SUMIFS(Data!$AN$4:$AN$183,Data!$AM$4:$AM$183,$B211,Data!$AL$4:$AL$183,$A211,Data!$AK$4:$AK$183,$C211)))</f>
        <v/>
      </c>
      <c r="L211" s="18" t="str">
        <f ca="1">IF($A211="","",IF(IFERROR(_xlfn.XLOOKUP($C211,Bracket!$F$6:$F$16,Bracket!$K$6:$K$16,""),"")=$B211,1,0))</f>
        <v/>
      </c>
      <c r="M211" s="18" t="str">
        <f ca="1">IF($A211="","",IF(AND(IFERROR(_xlfn.XLOOKUP($C211,Bracket!$F$6:$F$16,Bracket!$K$6:$K$16,""),"")=$B211,LEFT(IFERROR(_xlfn.XLOOKUP($C211,Bracket!$F$6:$F$16,Bracket!$G$6:$G$16,""),""),2)="CG"),1,0))</f>
        <v/>
      </c>
      <c r="N211" s="18" t="str">
        <f ca="1">IF($A211="","",SUMIFS(Data!$X$4:$X$273,Data!$T$4:$T$273,$A211,Data!$U$4:$U$273,$B211,Data!$S$4:$S$273,$C211))</f>
        <v/>
      </c>
      <c r="O211" s="18" t="str">
        <f ca="1">IF($A211="","",SUMIFS(Data!$Z$4:$Z$273,Data!$T$4:$T$273,$A211,Data!$U$4:$U$273,$B211,Data!$S$4:$S$273,$C211))</f>
        <v/>
      </c>
      <c r="P211" s="18" t="str">
        <f ca="1">IF($A211="","",SUMIFS(Data!$AA$4:$AA$273,Data!$T$4:$T$273,$A211,Data!$U$4:$U$273,$B211,Data!$S$4:$S$273,$C211))</f>
        <v/>
      </c>
      <c r="Q211" s="18" t="str">
        <f ca="1">IF($A211="","",SUMIFS(Data!$AD$4:$AD$273,Data!$T$4:$T$273,$A211,Data!$U$4:$U$273,$B211,Data!$S$4:$S$273,$C211))</f>
        <v/>
      </c>
      <c r="R211" s="18" t="str">
        <f ca="1">IF($A211="","",SUMIFS(Data!$AE$4:$AE$273,Data!$T$4:$T$273,$A211,Data!$U$4:$U$273,$B211,Data!$S$4:$S$273,$C211))</f>
        <v/>
      </c>
      <c r="S211" s="18" t="str">
        <f ca="1">IF($A211="","",SUMIFS(Data!$AF$4:$AF$273,Data!$T$4:$T$273,$A211,Data!$U$4:$U$273,$B211,Data!$S$4:$S$273,$C211))</f>
        <v/>
      </c>
      <c r="T211" s="18" t="str">
        <f ca="1">IF($A211="","",SUMIFS(Data!$AG$4:$AG$273,Data!$T$4:$T$273,$A211,Data!$U$4:$U$273,$B211,Data!$S$4:$S$273,$C211))</f>
        <v/>
      </c>
      <c r="U211" s="18" t="str">
        <f ca="1">IF($A211="","",SUMIFS(Data!$AH$4:$AH$273,Data!$T$4:$T$273,$A211,Data!$U$4:$U$273,$B211,Data!$S$4:$S$273,$C211))</f>
        <v/>
      </c>
      <c r="V211" s="18" t="str">
        <f ca="1">IF($A211="","",SUMIFS(Data!$AO$4:$AO$183,Data!$AM$4:$AM$183,$B211,Data!$AL$4:$AL$183,$A211,Data!$AK$4:$AK$183,$C211))</f>
        <v/>
      </c>
      <c r="W211" s="18" t="str">
        <f ca="1">IF($A211="","",SUMIFS(Data!$AP$4:$AP$183,Data!$AM$4:$AM$183,$B211,Data!$AL$4:$AL$183,$A211,Data!$AK$4:$AK$183,$C211))</f>
        <v/>
      </c>
      <c r="X211" s="18" t="str">
        <f ca="1">IF($A211="","",SUMIFS(Data!$AR$4:$AR$183,Data!$AM$4:$AM$183,$B211,Data!$AL$4:$AL$183,$A211,Data!$AK$4:$AK$183,$C211))</f>
        <v/>
      </c>
      <c r="Y211" s="18" t="str">
        <f ca="1">IF($A211="","",SUMIFS(Data!$AS$4:$AS$183,Data!$AM$4:$AM$183,$B211,Data!$AL$4:$AL$183,$A211,Data!$AK$4:$AK$183,$C211))</f>
        <v/>
      </c>
      <c r="Z211" s="18" t="str">
        <f ca="1">IF($A211="","",SUMIFS(Data!$AT$4:$AT$183,Data!$AM$4:$AM$183,$B211,Data!$AL$4:$AL$183,$A211,Data!$AK$4:$AK$183,$C211))</f>
        <v/>
      </c>
      <c r="AA211" s="18" t="str">
        <f ca="1">IF($A211="","",SUMIFS(Data!$AW$4:$AW$183,Data!$AM$4:$AM$183,$B211,Data!$AL$4:$AL$183,$A211,Data!$AK$4:$AK$183,$C211))</f>
        <v/>
      </c>
      <c r="AB211" s="18" t="str">
        <f ca="1">IF($A211="","",SUMIFS(Data!$AX$4:$AX$183,Data!$AM$4:$AM$183,$B211,Data!$AL$4:$AL$183,$A211,Data!$AK$4:$AK$183,$C211))</f>
        <v/>
      </c>
      <c r="AC211" s="18" t="str">
        <f ca="1">IF($A211="","",SUMIFS(Data!$AY$4:$AY$183,Data!$AM$4:$AM$183,$B211,Data!$AL$4:$AL$183,$A211,Data!$AK$4:$AK$183,$C211))</f>
        <v/>
      </c>
      <c r="AD211" s="18" t="str">
        <f t="shared" ca="1" si="7"/>
        <v/>
      </c>
      <c r="AE211" s="18" t="str">
        <f ca="1">IF($A211="","",SUMIFS(Data!$AJ$4:$AJ$183,Data!$AM$4:$AM$183,$B211,Data!$AL$4:$AL$183,$A211,Data!$AK$4:$AK$183,$C211))</f>
        <v/>
      </c>
    </row>
    <row r="212" spans="1:31">
      <c r="A212" s="18" t="str">
        <f ca="1">IF(Data!T212="","",Data!T212)</f>
        <v/>
      </c>
      <c r="B212" s="18" t="str">
        <f ca="1">IF(Data!U212="","",Data!U212)</f>
        <v/>
      </c>
      <c r="C212" s="18" t="str">
        <f ca="1">IF(Data!S212="","",Data!S212)</f>
        <v/>
      </c>
      <c r="D212" s="18" t="str">
        <f ca="1">IF($A212="","",Data!W212)</f>
        <v/>
      </c>
      <c r="E212" s="18" t="str">
        <f ca="1">IF($A212="","",Data!Y212)</f>
        <v/>
      </c>
      <c r="F212" s="61" t="str">
        <f t="shared" ca="1" si="6"/>
        <v/>
      </c>
      <c r="G212" s="18" t="str">
        <f ca="1">IF($A212="","",Data!AB212)</f>
        <v/>
      </c>
      <c r="H212" s="18" t="str">
        <f ca="1">IF($A212="","",Data!AC212)</f>
        <v/>
      </c>
      <c r="I212" s="18" t="str">
        <f ca="1">IF($A212="","",INT(SUMIFS(Data!$AN$4:$AN$183,Data!$AM$4:$AM$183,$B212,Data!$AL$4:$AL$183,$A212,Data!$AK$4:$AK$183,$C212))+MOD(ROUND(SUMIFS(Data!$AN$4:$AN$183,Data!$AM$4:$AM$183,$B212,Data!$AL$4:$AL$183,$A212,Data!$AK$4:$AK$183,$C212)*3,0),3)/10)</f>
        <v/>
      </c>
      <c r="J212" s="18" t="str">
        <f ca="1">IF($A212="","",SUMIFS(Data!$AQ$4:$AQ$183,Data!$AM$4:$AM$183,$B212,Data!$AL$4:$AL$183,$A212,Data!$AK$4:$AK$183,$C212))</f>
        <v/>
      </c>
      <c r="K212" s="62" t="str">
        <f ca="1">IF($A212="","",IF(SUMIFS(Data!$AN$4:$AN$183,Data!$AM$4:$AM$183,$B212,Data!$AL$4:$AL$183,$A212,Data!$AK$4:$AK$183,$C212)=0,"",J212*3/SUMIFS(Data!$AN$4:$AN$183,Data!$AM$4:$AM$183,$B212,Data!$AL$4:$AL$183,$A212,Data!$AK$4:$AK$183,$C212)))</f>
        <v/>
      </c>
      <c r="L212" s="18" t="str">
        <f ca="1">IF($A212="","",IF(IFERROR(_xlfn.XLOOKUP($C212,Bracket!$F$6:$F$16,Bracket!$K$6:$K$16,""),"")=$B212,1,0))</f>
        <v/>
      </c>
      <c r="M212" s="18" t="str">
        <f ca="1">IF($A212="","",IF(AND(IFERROR(_xlfn.XLOOKUP($C212,Bracket!$F$6:$F$16,Bracket!$K$6:$K$16,""),"")=$B212,LEFT(IFERROR(_xlfn.XLOOKUP($C212,Bracket!$F$6:$F$16,Bracket!$G$6:$G$16,""),""),2)="CG"),1,0))</f>
        <v/>
      </c>
      <c r="N212" s="18" t="str">
        <f ca="1">IF($A212="","",SUMIFS(Data!$X$4:$X$273,Data!$T$4:$T$273,$A212,Data!$U$4:$U$273,$B212,Data!$S$4:$S$273,$C212))</f>
        <v/>
      </c>
      <c r="O212" s="18" t="str">
        <f ca="1">IF($A212="","",SUMIFS(Data!$Z$4:$Z$273,Data!$T$4:$T$273,$A212,Data!$U$4:$U$273,$B212,Data!$S$4:$S$273,$C212))</f>
        <v/>
      </c>
      <c r="P212" s="18" t="str">
        <f ca="1">IF($A212="","",SUMIFS(Data!$AA$4:$AA$273,Data!$T$4:$T$273,$A212,Data!$U$4:$U$273,$B212,Data!$S$4:$S$273,$C212))</f>
        <v/>
      </c>
      <c r="Q212" s="18" t="str">
        <f ca="1">IF($A212="","",SUMIFS(Data!$AD$4:$AD$273,Data!$T$4:$T$273,$A212,Data!$U$4:$U$273,$B212,Data!$S$4:$S$273,$C212))</f>
        <v/>
      </c>
      <c r="R212" s="18" t="str">
        <f ca="1">IF($A212="","",SUMIFS(Data!$AE$4:$AE$273,Data!$T$4:$T$273,$A212,Data!$U$4:$U$273,$B212,Data!$S$4:$S$273,$C212))</f>
        <v/>
      </c>
      <c r="S212" s="18" t="str">
        <f ca="1">IF($A212="","",SUMIFS(Data!$AF$4:$AF$273,Data!$T$4:$T$273,$A212,Data!$U$4:$U$273,$B212,Data!$S$4:$S$273,$C212))</f>
        <v/>
      </c>
      <c r="T212" s="18" t="str">
        <f ca="1">IF($A212="","",SUMIFS(Data!$AG$4:$AG$273,Data!$T$4:$T$273,$A212,Data!$U$4:$U$273,$B212,Data!$S$4:$S$273,$C212))</f>
        <v/>
      </c>
      <c r="U212" s="18" t="str">
        <f ca="1">IF($A212="","",SUMIFS(Data!$AH$4:$AH$273,Data!$T$4:$T$273,$A212,Data!$U$4:$U$273,$B212,Data!$S$4:$S$273,$C212))</f>
        <v/>
      </c>
      <c r="V212" s="18" t="str">
        <f ca="1">IF($A212="","",SUMIFS(Data!$AO$4:$AO$183,Data!$AM$4:$AM$183,$B212,Data!$AL$4:$AL$183,$A212,Data!$AK$4:$AK$183,$C212))</f>
        <v/>
      </c>
      <c r="W212" s="18" t="str">
        <f ca="1">IF($A212="","",SUMIFS(Data!$AP$4:$AP$183,Data!$AM$4:$AM$183,$B212,Data!$AL$4:$AL$183,$A212,Data!$AK$4:$AK$183,$C212))</f>
        <v/>
      </c>
      <c r="X212" s="18" t="str">
        <f ca="1">IF($A212="","",SUMIFS(Data!$AR$4:$AR$183,Data!$AM$4:$AM$183,$B212,Data!$AL$4:$AL$183,$A212,Data!$AK$4:$AK$183,$C212))</f>
        <v/>
      </c>
      <c r="Y212" s="18" t="str">
        <f ca="1">IF($A212="","",SUMIFS(Data!$AS$4:$AS$183,Data!$AM$4:$AM$183,$B212,Data!$AL$4:$AL$183,$A212,Data!$AK$4:$AK$183,$C212))</f>
        <v/>
      </c>
      <c r="Z212" s="18" t="str">
        <f ca="1">IF($A212="","",SUMIFS(Data!$AT$4:$AT$183,Data!$AM$4:$AM$183,$B212,Data!$AL$4:$AL$183,$A212,Data!$AK$4:$AK$183,$C212))</f>
        <v/>
      </c>
      <c r="AA212" s="18" t="str">
        <f ca="1">IF($A212="","",SUMIFS(Data!$AW$4:$AW$183,Data!$AM$4:$AM$183,$B212,Data!$AL$4:$AL$183,$A212,Data!$AK$4:$AK$183,$C212))</f>
        <v/>
      </c>
      <c r="AB212" s="18" t="str">
        <f ca="1">IF($A212="","",SUMIFS(Data!$AX$4:$AX$183,Data!$AM$4:$AM$183,$B212,Data!$AL$4:$AL$183,$A212,Data!$AK$4:$AK$183,$C212))</f>
        <v/>
      </c>
      <c r="AC212" s="18" t="str">
        <f ca="1">IF($A212="","",SUMIFS(Data!$AY$4:$AY$183,Data!$AM$4:$AM$183,$B212,Data!$AL$4:$AL$183,$A212,Data!$AK$4:$AK$183,$C212))</f>
        <v/>
      </c>
      <c r="AD212" s="18" t="str">
        <f t="shared" ca="1" si="7"/>
        <v/>
      </c>
      <c r="AE212" s="18" t="str">
        <f ca="1">IF($A212="","",SUMIFS(Data!$AJ$4:$AJ$183,Data!$AM$4:$AM$183,$B212,Data!$AL$4:$AL$183,$A212,Data!$AK$4:$AK$183,$C212))</f>
        <v/>
      </c>
    </row>
    <row r="213" spans="1:31">
      <c r="A213" s="18" t="str">
        <f ca="1">IF(Data!T213="","",Data!T213)</f>
        <v/>
      </c>
      <c r="B213" s="18" t="str">
        <f ca="1">IF(Data!U213="","",Data!U213)</f>
        <v/>
      </c>
      <c r="C213" s="18" t="str">
        <f ca="1">IF(Data!S213="","",Data!S213)</f>
        <v/>
      </c>
      <c r="D213" s="18" t="str">
        <f ca="1">IF($A213="","",Data!W213)</f>
        <v/>
      </c>
      <c r="E213" s="18" t="str">
        <f ca="1">IF($A213="","",Data!Y213)</f>
        <v/>
      </c>
      <c r="F213" s="61" t="str">
        <f t="shared" ca="1" si="6"/>
        <v/>
      </c>
      <c r="G213" s="18" t="str">
        <f ca="1">IF($A213="","",Data!AB213)</f>
        <v/>
      </c>
      <c r="H213" s="18" t="str">
        <f ca="1">IF($A213="","",Data!AC213)</f>
        <v/>
      </c>
      <c r="I213" s="18" t="str">
        <f ca="1">IF($A213="","",INT(SUMIFS(Data!$AN$4:$AN$183,Data!$AM$4:$AM$183,$B213,Data!$AL$4:$AL$183,$A213,Data!$AK$4:$AK$183,$C213))+MOD(ROUND(SUMIFS(Data!$AN$4:$AN$183,Data!$AM$4:$AM$183,$B213,Data!$AL$4:$AL$183,$A213,Data!$AK$4:$AK$183,$C213)*3,0),3)/10)</f>
        <v/>
      </c>
      <c r="J213" s="18" t="str">
        <f ca="1">IF($A213="","",SUMIFS(Data!$AQ$4:$AQ$183,Data!$AM$4:$AM$183,$B213,Data!$AL$4:$AL$183,$A213,Data!$AK$4:$AK$183,$C213))</f>
        <v/>
      </c>
      <c r="K213" s="62" t="str">
        <f ca="1">IF($A213="","",IF(SUMIFS(Data!$AN$4:$AN$183,Data!$AM$4:$AM$183,$B213,Data!$AL$4:$AL$183,$A213,Data!$AK$4:$AK$183,$C213)=0,"",J213*3/SUMIFS(Data!$AN$4:$AN$183,Data!$AM$4:$AM$183,$B213,Data!$AL$4:$AL$183,$A213,Data!$AK$4:$AK$183,$C213)))</f>
        <v/>
      </c>
      <c r="L213" s="18" t="str">
        <f ca="1">IF($A213="","",IF(IFERROR(_xlfn.XLOOKUP($C213,Bracket!$F$6:$F$16,Bracket!$K$6:$K$16,""),"")=$B213,1,0))</f>
        <v/>
      </c>
      <c r="M213" s="18" t="str">
        <f ca="1">IF($A213="","",IF(AND(IFERROR(_xlfn.XLOOKUP($C213,Bracket!$F$6:$F$16,Bracket!$K$6:$K$16,""),"")=$B213,LEFT(IFERROR(_xlfn.XLOOKUP($C213,Bracket!$F$6:$F$16,Bracket!$G$6:$G$16,""),""),2)="CG"),1,0))</f>
        <v/>
      </c>
      <c r="N213" s="18" t="str">
        <f ca="1">IF($A213="","",SUMIFS(Data!$X$4:$X$273,Data!$T$4:$T$273,$A213,Data!$U$4:$U$273,$B213,Data!$S$4:$S$273,$C213))</f>
        <v/>
      </c>
      <c r="O213" s="18" t="str">
        <f ca="1">IF($A213="","",SUMIFS(Data!$Z$4:$Z$273,Data!$T$4:$T$273,$A213,Data!$U$4:$U$273,$B213,Data!$S$4:$S$273,$C213))</f>
        <v/>
      </c>
      <c r="P213" s="18" t="str">
        <f ca="1">IF($A213="","",SUMIFS(Data!$AA$4:$AA$273,Data!$T$4:$T$273,$A213,Data!$U$4:$U$273,$B213,Data!$S$4:$S$273,$C213))</f>
        <v/>
      </c>
      <c r="Q213" s="18" t="str">
        <f ca="1">IF($A213="","",SUMIFS(Data!$AD$4:$AD$273,Data!$T$4:$T$273,$A213,Data!$U$4:$U$273,$B213,Data!$S$4:$S$273,$C213))</f>
        <v/>
      </c>
      <c r="R213" s="18" t="str">
        <f ca="1">IF($A213="","",SUMIFS(Data!$AE$4:$AE$273,Data!$T$4:$T$273,$A213,Data!$U$4:$U$273,$B213,Data!$S$4:$S$273,$C213))</f>
        <v/>
      </c>
      <c r="S213" s="18" t="str">
        <f ca="1">IF($A213="","",SUMIFS(Data!$AF$4:$AF$273,Data!$T$4:$T$273,$A213,Data!$U$4:$U$273,$B213,Data!$S$4:$S$273,$C213))</f>
        <v/>
      </c>
      <c r="T213" s="18" t="str">
        <f ca="1">IF($A213="","",SUMIFS(Data!$AG$4:$AG$273,Data!$T$4:$T$273,$A213,Data!$U$4:$U$273,$B213,Data!$S$4:$S$273,$C213))</f>
        <v/>
      </c>
      <c r="U213" s="18" t="str">
        <f ca="1">IF($A213="","",SUMIFS(Data!$AH$4:$AH$273,Data!$T$4:$T$273,$A213,Data!$U$4:$U$273,$B213,Data!$S$4:$S$273,$C213))</f>
        <v/>
      </c>
      <c r="V213" s="18" t="str">
        <f ca="1">IF($A213="","",SUMIFS(Data!$AO$4:$AO$183,Data!$AM$4:$AM$183,$B213,Data!$AL$4:$AL$183,$A213,Data!$AK$4:$AK$183,$C213))</f>
        <v/>
      </c>
      <c r="W213" s="18" t="str">
        <f ca="1">IF($A213="","",SUMIFS(Data!$AP$4:$AP$183,Data!$AM$4:$AM$183,$B213,Data!$AL$4:$AL$183,$A213,Data!$AK$4:$AK$183,$C213))</f>
        <v/>
      </c>
      <c r="X213" s="18" t="str">
        <f ca="1">IF($A213="","",SUMIFS(Data!$AR$4:$AR$183,Data!$AM$4:$AM$183,$B213,Data!$AL$4:$AL$183,$A213,Data!$AK$4:$AK$183,$C213))</f>
        <v/>
      </c>
      <c r="Y213" s="18" t="str">
        <f ca="1">IF($A213="","",SUMIFS(Data!$AS$4:$AS$183,Data!$AM$4:$AM$183,$B213,Data!$AL$4:$AL$183,$A213,Data!$AK$4:$AK$183,$C213))</f>
        <v/>
      </c>
      <c r="Z213" s="18" t="str">
        <f ca="1">IF($A213="","",SUMIFS(Data!$AT$4:$AT$183,Data!$AM$4:$AM$183,$B213,Data!$AL$4:$AL$183,$A213,Data!$AK$4:$AK$183,$C213))</f>
        <v/>
      </c>
      <c r="AA213" s="18" t="str">
        <f ca="1">IF($A213="","",SUMIFS(Data!$AW$4:$AW$183,Data!$AM$4:$AM$183,$B213,Data!$AL$4:$AL$183,$A213,Data!$AK$4:$AK$183,$C213))</f>
        <v/>
      </c>
      <c r="AB213" s="18" t="str">
        <f ca="1">IF($A213="","",SUMIFS(Data!$AX$4:$AX$183,Data!$AM$4:$AM$183,$B213,Data!$AL$4:$AL$183,$A213,Data!$AK$4:$AK$183,$C213))</f>
        <v/>
      </c>
      <c r="AC213" s="18" t="str">
        <f ca="1">IF($A213="","",SUMIFS(Data!$AY$4:$AY$183,Data!$AM$4:$AM$183,$B213,Data!$AL$4:$AL$183,$A213,Data!$AK$4:$AK$183,$C213))</f>
        <v/>
      </c>
      <c r="AD213" s="18" t="str">
        <f t="shared" ca="1" si="7"/>
        <v/>
      </c>
      <c r="AE213" s="18" t="str">
        <f ca="1">IF($A213="","",SUMIFS(Data!$AJ$4:$AJ$183,Data!$AM$4:$AM$183,$B213,Data!$AL$4:$AL$183,$A213,Data!$AK$4:$AK$183,$C213))</f>
        <v/>
      </c>
    </row>
    <row r="214" spans="1:31">
      <c r="A214" s="18" t="str">
        <f ca="1">IF(Data!T214="","",Data!T214)</f>
        <v/>
      </c>
      <c r="B214" s="18" t="str">
        <f ca="1">IF(Data!U214="","",Data!U214)</f>
        <v/>
      </c>
      <c r="C214" s="18" t="str">
        <f ca="1">IF(Data!S214="","",Data!S214)</f>
        <v/>
      </c>
      <c r="D214" s="18" t="str">
        <f ca="1">IF($A214="","",Data!W214)</f>
        <v/>
      </c>
      <c r="E214" s="18" t="str">
        <f ca="1">IF($A214="","",Data!Y214)</f>
        <v/>
      </c>
      <c r="F214" s="61" t="str">
        <f t="shared" ca="1" si="6"/>
        <v/>
      </c>
      <c r="G214" s="18" t="str">
        <f ca="1">IF($A214="","",Data!AB214)</f>
        <v/>
      </c>
      <c r="H214" s="18" t="str">
        <f ca="1">IF($A214="","",Data!AC214)</f>
        <v/>
      </c>
      <c r="I214" s="18" t="str">
        <f ca="1">IF($A214="","",INT(SUMIFS(Data!$AN$4:$AN$183,Data!$AM$4:$AM$183,$B214,Data!$AL$4:$AL$183,$A214,Data!$AK$4:$AK$183,$C214))+MOD(ROUND(SUMIFS(Data!$AN$4:$AN$183,Data!$AM$4:$AM$183,$B214,Data!$AL$4:$AL$183,$A214,Data!$AK$4:$AK$183,$C214)*3,0),3)/10)</f>
        <v/>
      </c>
      <c r="J214" s="18" t="str">
        <f ca="1">IF($A214="","",SUMIFS(Data!$AQ$4:$AQ$183,Data!$AM$4:$AM$183,$B214,Data!$AL$4:$AL$183,$A214,Data!$AK$4:$AK$183,$C214))</f>
        <v/>
      </c>
      <c r="K214" s="62" t="str">
        <f ca="1">IF($A214="","",IF(SUMIFS(Data!$AN$4:$AN$183,Data!$AM$4:$AM$183,$B214,Data!$AL$4:$AL$183,$A214,Data!$AK$4:$AK$183,$C214)=0,"",J214*3/SUMIFS(Data!$AN$4:$AN$183,Data!$AM$4:$AM$183,$B214,Data!$AL$4:$AL$183,$A214,Data!$AK$4:$AK$183,$C214)))</f>
        <v/>
      </c>
      <c r="L214" s="18" t="str">
        <f ca="1">IF($A214="","",IF(IFERROR(_xlfn.XLOOKUP($C214,Bracket!$F$6:$F$16,Bracket!$K$6:$K$16,""),"")=$B214,1,0))</f>
        <v/>
      </c>
      <c r="M214" s="18" t="str">
        <f ca="1">IF($A214="","",IF(AND(IFERROR(_xlfn.XLOOKUP($C214,Bracket!$F$6:$F$16,Bracket!$K$6:$K$16,""),"")=$B214,LEFT(IFERROR(_xlfn.XLOOKUP($C214,Bracket!$F$6:$F$16,Bracket!$G$6:$G$16,""),""),2)="CG"),1,0))</f>
        <v/>
      </c>
      <c r="N214" s="18" t="str">
        <f ca="1">IF($A214="","",SUMIFS(Data!$X$4:$X$273,Data!$T$4:$T$273,$A214,Data!$U$4:$U$273,$B214,Data!$S$4:$S$273,$C214))</f>
        <v/>
      </c>
      <c r="O214" s="18" t="str">
        <f ca="1">IF($A214="","",SUMIFS(Data!$Z$4:$Z$273,Data!$T$4:$T$273,$A214,Data!$U$4:$U$273,$B214,Data!$S$4:$S$273,$C214))</f>
        <v/>
      </c>
      <c r="P214" s="18" t="str">
        <f ca="1">IF($A214="","",SUMIFS(Data!$AA$4:$AA$273,Data!$T$4:$T$273,$A214,Data!$U$4:$U$273,$B214,Data!$S$4:$S$273,$C214))</f>
        <v/>
      </c>
      <c r="Q214" s="18" t="str">
        <f ca="1">IF($A214="","",SUMIFS(Data!$AD$4:$AD$273,Data!$T$4:$T$273,$A214,Data!$U$4:$U$273,$B214,Data!$S$4:$S$273,$C214))</f>
        <v/>
      </c>
      <c r="R214" s="18" t="str">
        <f ca="1">IF($A214="","",SUMIFS(Data!$AE$4:$AE$273,Data!$T$4:$T$273,$A214,Data!$U$4:$U$273,$B214,Data!$S$4:$S$273,$C214))</f>
        <v/>
      </c>
      <c r="S214" s="18" t="str">
        <f ca="1">IF($A214="","",SUMIFS(Data!$AF$4:$AF$273,Data!$T$4:$T$273,$A214,Data!$U$4:$U$273,$B214,Data!$S$4:$S$273,$C214))</f>
        <v/>
      </c>
      <c r="T214" s="18" t="str">
        <f ca="1">IF($A214="","",SUMIFS(Data!$AG$4:$AG$273,Data!$T$4:$T$273,$A214,Data!$U$4:$U$273,$B214,Data!$S$4:$S$273,$C214))</f>
        <v/>
      </c>
      <c r="U214" s="18" t="str">
        <f ca="1">IF($A214="","",SUMIFS(Data!$AH$4:$AH$273,Data!$T$4:$T$273,$A214,Data!$U$4:$U$273,$B214,Data!$S$4:$S$273,$C214))</f>
        <v/>
      </c>
      <c r="V214" s="18" t="str">
        <f ca="1">IF($A214="","",SUMIFS(Data!$AO$4:$AO$183,Data!$AM$4:$AM$183,$B214,Data!$AL$4:$AL$183,$A214,Data!$AK$4:$AK$183,$C214))</f>
        <v/>
      </c>
      <c r="W214" s="18" t="str">
        <f ca="1">IF($A214="","",SUMIFS(Data!$AP$4:$AP$183,Data!$AM$4:$AM$183,$B214,Data!$AL$4:$AL$183,$A214,Data!$AK$4:$AK$183,$C214))</f>
        <v/>
      </c>
      <c r="X214" s="18" t="str">
        <f ca="1">IF($A214="","",SUMIFS(Data!$AR$4:$AR$183,Data!$AM$4:$AM$183,$B214,Data!$AL$4:$AL$183,$A214,Data!$AK$4:$AK$183,$C214))</f>
        <v/>
      </c>
      <c r="Y214" s="18" t="str">
        <f ca="1">IF($A214="","",SUMIFS(Data!$AS$4:$AS$183,Data!$AM$4:$AM$183,$B214,Data!$AL$4:$AL$183,$A214,Data!$AK$4:$AK$183,$C214))</f>
        <v/>
      </c>
      <c r="Z214" s="18" t="str">
        <f ca="1">IF($A214="","",SUMIFS(Data!$AT$4:$AT$183,Data!$AM$4:$AM$183,$B214,Data!$AL$4:$AL$183,$A214,Data!$AK$4:$AK$183,$C214))</f>
        <v/>
      </c>
      <c r="AA214" s="18" t="str">
        <f ca="1">IF($A214="","",SUMIFS(Data!$AW$4:$AW$183,Data!$AM$4:$AM$183,$B214,Data!$AL$4:$AL$183,$A214,Data!$AK$4:$AK$183,$C214))</f>
        <v/>
      </c>
      <c r="AB214" s="18" t="str">
        <f ca="1">IF($A214="","",SUMIFS(Data!$AX$4:$AX$183,Data!$AM$4:$AM$183,$B214,Data!$AL$4:$AL$183,$A214,Data!$AK$4:$AK$183,$C214))</f>
        <v/>
      </c>
      <c r="AC214" s="18" t="str">
        <f ca="1">IF($A214="","",SUMIFS(Data!$AY$4:$AY$183,Data!$AM$4:$AM$183,$B214,Data!$AL$4:$AL$183,$A214,Data!$AK$4:$AK$183,$C214))</f>
        <v/>
      </c>
      <c r="AD214" s="18" t="str">
        <f t="shared" ca="1" si="7"/>
        <v/>
      </c>
      <c r="AE214" s="18" t="str">
        <f ca="1">IF($A214="","",SUMIFS(Data!$AJ$4:$AJ$183,Data!$AM$4:$AM$183,$B214,Data!$AL$4:$AL$183,$A214,Data!$AK$4:$AK$183,$C214))</f>
        <v/>
      </c>
    </row>
    <row r="215" spans="1:31">
      <c r="A215" s="18" t="str">
        <f ca="1">IF(Data!T215="","",Data!T215)</f>
        <v/>
      </c>
      <c r="B215" s="18" t="str">
        <f ca="1">IF(Data!U215="","",Data!U215)</f>
        <v/>
      </c>
      <c r="C215" s="18" t="str">
        <f ca="1">IF(Data!S215="","",Data!S215)</f>
        <v/>
      </c>
      <c r="D215" s="18" t="str">
        <f ca="1">IF($A215="","",Data!W215)</f>
        <v/>
      </c>
      <c r="E215" s="18" t="str">
        <f ca="1">IF($A215="","",Data!Y215)</f>
        <v/>
      </c>
      <c r="F215" s="61" t="str">
        <f t="shared" ca="1" si="6"/>
        <v/>
      </c>
      <c r="G215" s="18" t="str">
        <f ca="1">IF($A215="","",Data!AB215)</f>
        <v/>
      </c>
      <c r="H215" s="18" t="str">
        <f ca="1">IF($A215="","",Data!AC215)</f>
        <v/>
      </c>
      <c r="I215" s="18" t="str">
        <f ca="1">IF($A215="","",INT(SUMIFS(Data!$AN$4:$AN$183,Data!$AM$4:$AM$183,$B215,Data!$AL$4:$AL$183,$A215,Data!$AK$4:$AK$183,$C215))+MOD(ROUND(SUMIFS(Data!$AN$4:$AN$183,Data!$AM$4:$AM$183,$B215,Data!$AL$4:$AL$183,$A215,Data!$AK$4:$AK$183,$C215)*3,0),3)/10)</f>
        <v/>
      </c>
      <c r="J215" s="18" t="str">
        <f ca="1">IF($A215="","",SUMIFS(Data!$AQ$4:$AQ$183,Data!$AM$4:$AM$183,$B215,Data!$AL$4:$AL$183,$A215,Data!$AK$4:$AK$183,$C215))</f>
        <v/>
      </c>
      <c r="K215" s="62" t="str">
        <f ca="1">IF($A215="","",IF(SUMIFS(Data!$AN$4:$AN$183,Data!$AM$4:$AM$183,$B215,Data!$AL$4:$AL$183,$A215,Data!$AK$4:$AK$183,$C215)=0,"",J215*3/SUMIFS(Data!$AN$4:$AN$183,Data!$AM$4:$AM$183,$B215,Data!$AL$4:$AL$183,$A215,Data!$AK$4:$AK$183,$C215)))</f>
        <v/>
      </c>
      <c r="L215" s="18" t="str">
        <f ca="1">IF($A215="","",IF(IFERROR(_xlfn.XLOOKUP($C215,Bracket!$F$6:$F$16,Bracket!$K$6:$K$16,""),"")=$B215,1,0))</f>
        <v/>
      </c>
      <c r="M215" s="18" t="str">
        <f ca="1">IF($A215="","",IF(AND(IFERROR(_xlfn.XLOOKUP($C215,Bracket!$F$6:$F$16,Bracket!$K$6:$K$16,""),"")=$B215,LEFT(IFERROR(_xlfn.XLOOKUP($C215,Bracket!$F$6:$F$16,Bracket!$G$6:$G$16,""),""),2)="CG"),1,0))</f>
        <v/>
      </c>
      <c r="N215" s="18" t="str">
        <f ca="1">IF($A215="","",SUMIFS(Data!$X$4:$X$273,Data!$T$4:$T$273,$A215,Data!$U$4:$U$273,$B215,Data!$S$4:$S$273,$C215))</f>
        <v/>
      </c>
      <c r="O215" s="18" t="str">
        <f ca="1">IF($A215="","",SUMIFS(Data!$Z$4:$Z$273,Data!$T$4:$T$273,$A215,Data!$U$4:$U$273,$B215,Data!$S$4:$S$273,$C215))</f>
        <v/>
      </c>
      <c r="P215" s="18" t="str">
        <f ca="1">IF($A215="","",SUMIFS(Data!$AA$4:$AA$273,Data!$T$4:$T$273,$A215,Data!$U$4:$U$273,$B215,Data!$S$4:$S$273,$C215))</f>
        <v/>
      </c>
      <c r="Q215" s="18" t="str">
        <f ca="1">IF($A215="","",SUMIFS(Data!$AD$4:$AD$273,Data!$T$4:$T$273,$A215,Data!$U$4:$U$273,$B215,Data!$S$4:$S$273,$C215))</f>
        <v/>
      </c>
      <c r="R215" s="18" t="str">
        <f ca="1">IF($A215="","",SUMIFS(Data!$AE$4:$AE$273,Data!$T$4:$T$273,$A215,Data!$U$4:$U$273,$B215,Data!$S$4:$S$273,$C215))</f>
        <v/>
      </c>
      <c r="S215" s="18" t="str">
        <f ca="1">IF($A215="","",SUMIFS(Data!$AF$4:$AF$273,Data!$T$4:$T$273,$A215,Data!$U$4:$U$273,$B215,Data!$S$4:$S$273,$C215))</f>
        <v/>
      </c>
      <c r="T215" s="18" t="str">
        <f ca="1">IF($A215="","",SUMIFS(Data!$AG$4:$AG$273,Data!$T$4:$T$273,$A215,Data!$U$4:$U$273,$B215,Data!$S$4:$S$273,$C215))</f>
        <v/>
      </c>
      <c r="U215" s="18" t="str">
        <f ca="1">IF($A215="","",SUMIFS(Data!$AH$4:$AH$273,Data!$T$4:$T$273,$A215,Data!$U$4:$U$273,$B215,Data!$S$4:$S$273,$C215))</f>
        <v/>
      </c>
      <c r="V215" s="18" t="str">
        <f ca="1">IF($A215="","",SUMIFS(Data!$AO$4:$AO$183,Data!$AM$4:$AM$183,$B215,Data!$AL$4:$AL$183,$A215,Data!$AK$4:$AK$183,$C215))</f>
        <v/>
      </c>
      <c r="W215" s="18" t="str">
        <f ca="1">IF($A215="","",SUMIFS(Data!$AP$4:$AP$183,Data!$AM$4:$AM$183,$B215,Data!$AL$4:$AL$183,$A215,Data!$AK$4:$AK$183,$C215))</f>
        <v/>
      </c>
      <c r="X215" s="18" t="str">
        <f ca="1">IF($A215="","",SUMIFS(Data!$AR$4:$AR$183,Data!$AM$4:$AM$183,$B215,Data!$AL$4:$AL$183,$A215,Data!$AK$4:$AK$183,$C215))</f>
        <v/>
      </c>
      <c r="Y215" s="18" t="str">
        <f ca="1">IF($A215="","",SUMIFS(Data!$AS$4:$AS$183,Data!$AM$4:$AM$183,$B215,Data!$AL$4:$AL$183,$A215,Data!$AK$4:$AK$183,$C215))</f>
        <v/>
      </c>
      <c r="Z215" s="18" t="str">
        <f ca="1">IF($A215="","",SUMIFS(Data!$AT$4:$AT$183,Data!$AM$4:$AM$183,$B215,Data!$AL$4:$AL$183,$A215,Data!$AK$4:$AK$183,$C215))</f>
        <v/>
      </c>
      <c r="AA215" s="18" t="str">
        <f ca="1">IF($A215="","",SUMIFS(Data!$AW$4:$AW$183,Data!$AM$4:$AM$183,$B215,Data!$AL$4:$AL$183,$A215,Data!$AK$4:$AK$183,$C215))</f>
        <v/>
      </c>
      <c r="AB215" s="18" t="str">
        <f ca="1">IF($A215="","",SUMIFS(Data!$AX$4:$AX$183,Data!$AM$4:$AM$183,$B215,Data!$AL$4:$AL$183,$A215,Data!$AK$4:$AK$183,$C215))</f>
        <v/>
      </c>
      <c r="AC215" s="18" t="str">
        <f ca="1">IF($A215="","",SUMIFS(Data!$AY$4:$AY$183,Data!$AM$4:$AM$183,$B215,Data!$AL$4:$AL$183,$A215,Data!$AK$4:$AK$183,$C215))</f>
        <v/>
      </c>
      <c r="AD215" s="18" t="str">
        <f t="shared" ca="1" si="7"/>
        <v/>
      </c>
      <c r="AE215" s="18" t="str">
        <f ca="1">IF($A215="","",SUMIFS(Data!$AJ$4:$AJ$183,Data!$AM$4:$AM$183,$B215,Data!$AL$4:$AL$183,$A215,Data!$AK$4:$AK$183,$C215))</f>
        <v/>
      </c>
    </row>
    <row r="216" spans="1:31">
      <c r="A216" s="18" t="str">
        <f ca="1">IF(Data!T216="","",Data!T216)</f>
        <v/>
      </c>
      <c r="B216" s="18" t="str">
        <f ca="1">IF(Data!U216="","",Data!U216)</f>
        <v/>
      </c>
      <c r="C216" s="18" t="str">
        <f ca="1">IF(Data!S216="","",Data!S216)</f>
        <v/>
      </c>
      <c r="D216" s="18" t="str">
        <f ca="1">IF($A216="","",Data!W216)</f>
        <v/>
      </c>
      <c r="E216" s="18" t="str">
        <f ca="1">IF($A216="","",Data!Y216)</f>
        <v/>
      </c>
      <c r="F216" s="61" t="str">
        <f t="shared" ca="1" si="6"/>
        <v/>
      </c>
      <c r="G216" s="18" t="str">
        <f ca="1">IF($A216="","",Data!AB216)</f>
        <v/>
      </c>
      <c r="H216" s="18" t="str">
        <f ca="1">IF($A216="","",Data!AC216)</f>
        <v/>
      </c>
      <c r="I216" s="18" t="str">
        <f ca="1">IF($A216="","",INT(SUMIFS(Data!$AN$4:$AN$183,Data!$AM$4:$AM$183,$B216,Data!$AL$4:$AL$183,$A216,Data!$AK$4:$AK$183,$C216))+MOD(ROUND(SUMIFS(Data!$AN$4:$AN$183,Data!$AM$4:$AM$183,$B216,Data!$AL$4:$AL$183,$A216,Data!$AK$4:$AK$183,$C216)*3,0),3)/10)</f>
        <v/>
      </c>
      <c r="J216" s="18" t="str">
        <f ca="1">IF($A216="","",SUMIFS(Data!$AQ$4:$AQ$183,Data!$AM$4:$AM$183,$B216,Data!$AL$4:$AL$183,$A216,Data!$AK$4:$AK$183,$C216))</f>
        <v/>
      </c>
      <c r="K216" s="62" t="str">
        <f ca="1">IF($A216="","",IF(SUMIFS(Data!$AN$4:$AN$183,Data!$AM$4:$AM$183,$B216,Data!$AL$4:$AL$183,$A216,Data!$AK$4:$AK$183,$C216)=0,"",J216*3/SUMIFS(Data!$AN$4:$AN$183,Data!$AM$4:$AM$183,$B216,Data!$AL$4:$AL$183,$A216,Data!$AK$4:$AK$183,$C216)))</f>
        <v/>
      </c>
      <c r="L216" s="18" t="str">
        <f ca="1">IF($A216="","",IF(IFERROR(_xlfn.XLOOKUP($C216,Bracket!$F$6:$F$16,Bracket!$K$6:$K$16,""),"")=$B216,1,0))</f>
        <v/>
      </c>
      <c r="M216" s="18" t="str">
        <f ca="1">IF($A216="","",IF(AND(IFERROR(_xlfn.XLOOKUP($C216,Bracket!$F$6:$F$16,Bracket!$K$6:$K$16,""),"")=$B216,LEFT(IFERROR(_xlfn.XLOOKUP($C216,Bracket!$F$6:$F$16,Bracket!$G$6:$G$16,""),""),2)="CG"),1,0))</f>
        <v/>
      </c>
      <c r="N216" s="18" t="str">
        <f ca="1">IF($A216="","",SUMIFS(Data!$X$4:$X$273,Data!$T$4:$T$273,$A216,Data!$U$4:$U$273,$B216,Data!$S$4:$S$273,$C216))</f>
        <v/>
      </c>
      <c r="O216" s="18" t="str">
        <f ca="1">IF($A216="","",SUMIFS(Data!$Z$4:$Z$273,Data!$T$4:$T$273,$A216,Data!$U$4:$U$273,$B216,Data!$S$4:$S$273,$C216))</f>
        <v/>
      </c>
      <c r="P216" s="18" t="str">
        <f ca="1">IF($A216="","",SUMIFS(Data!$AA$4:$AA$273,Data!$T$4:$T$273,$A216,Data!$U$4:$U$273,$B216,Data!$S$4:$S$273,$C216))</f>
        <v/>
      </c>
      <c r="Q216" s="18" t="str">
        <f ca="1">IF($A216="","",SUMIFS(Data!$AD$4:$AD$273,Data!$T$4:$T$273,$A216,Data!$U$4:$U$273,$B216,Data!$S$4:$S$273,$C216))</f>
        <v/>
      </c>
      <c r="R216" s="18" t="str">
        <f ca="1">IF($A216="","",SUMIFS(Data!$AE$4:$AE$273,Data!$T$4:$T$273,$A216,Data!$U$4:$U$273,$B216,Data!$S$4:$S$273,$C216))</f>
        <v/>
      </c>
      <c r="S216" s="18" t="str">
        <f ca="1">IF($A216="","",SUMIFS(Data!$AF$4:$AF$273,Data!$T$4:$T$273,$A216,Data!$U$4:$U$273,$B216,Data!$S$4:$S$273,$C216))</f>
        <v/>
      </c>
      <c r="T216" s="18" t="str">
        <f ca="1">IF($A216="","",SUMIFS(Data!$AG$4:$AG$273,Data!$T$4:$T$273,$A216,Data!$U$4:$U$273,$B216,Data!$S$4:$S$273,$C216))</f>
        <v/>
      </c>
      <c r="U216" s="18" t="str">
        <f ca="1">IF($A216="","",SUMIFS(Data!$AH$4:$AH$273,Data!$T$4:$T$273,$A216,Data!$U$4:$U$273,$B216,Data!$S$4:$S$273,$C216))</f>
        <v/>
      </c>
      <c r="V216" s="18" t="str">
        <f ca="1">IF($A216="","",SUMIFS(Data!$AO$4:$AO$183,Data!$AM$4:$AM$183,$B216,Data!$AL$4:$AL$183,$A216,Data!$AK$4:$AK$183,$C216))</f>
        <v/>
      </c>
      <c r="W216" s="18" t="str">
        <f ca="1">IF($A216="","",SUMIFS(Data!$AP$4:$AP$183,Data!$AM$4:$AM$183,$B216,Data!$AL$4:$AL$183,$A216,Data!$AK$4:$AK$183,$C216))</f>
        <v/>
      </c>
      <c r="X216" s="18" t="str">
        <f ca="1">IF($A216="","",SUMIFS(Data!$AR$4:$AR$183,Data!$AM$4:$AM$183,$B216,Data!$AL$4:$AL$183,$A216,Data!$AK$4:$AK$183,$C216))</f>
        <v/>
      </c>
      <c r="Y216" s="18" t="str">
        <f ca="1">IF($A216="","",SUMIFS(Data!$AS$4:$AS$183,Data!$AM$4:$AM$183,$B216,Data!$AL$4:$AL$183,$A216,Data!$AK$4:$AK$183,$C216))</f>
        <v/>
      </c>
      <c r="Z216" s="18" t="str">
        <f ca="1">IF($A216="","",SUMIFS(Data!$AT$4:$AT$183,Data!$AM$4:$AM$183,$B216,Data!$AL$4:$AL$183,$A216,Data!$AK$4:$AK$183,$C216))</f>
        <v/>
      </c>
      <c r="AA216" s="18" t="str">
        <f ca="1">IF($A216="","",SUMIFS(Data!$AW$4:$AW$183,Data!$AM$4:$AM$183,$B216,Data!$AL$4:$AL$183,$A216,Data!$AK$4:$AK$183,$C216))</f>
        <v/>
      </c>
      <c r="AB216" s="18" t="str">
        <f ca="1">IF($A216="","",SUMIFS(Data!$AX$4:$AX$183,Data!$AM$4:$AM$183,$B216,Data!$AL$4:$AL$183,$A216,Data!$AK$4:$AK$183,$C216))</f>
        <v/>
      </c>
      <c r="AC216" s="18" t="str">
        <f ca="1">IF($A216="","",SUMIFS(Data!$AY$4:$AY$183,Data!$AM$4:$AM$183,$B216,Data!$AL$4:$AL$183,$A216,Data!$AK$4:$AK$183,$C216))</f>
        <v/>
      </c>
      <c r="AD216" s="18" t="str">
        <f t="shared" ca="1" si="7"/>
        <v/>
      </c>
      <c r="AE216" s="18" t="str">
        <f ca="1">IF($A216="","",SUMIFS(Data!$AJ$4:$AJ$183,Data!$AM$4:$AM$183,$B216,Data!$AL$4:$AL$183,$A216,Data!$AK$4:$AK$183,$C216))</f>
        <v/>
      </c>
    </row>
    <row r="217" spans="1:31">
      <c r="A217" s="18" t="str">
        <f ca="1">IF(Data!T217="","",Data!T217)</f>
        <v/>
      </c>
      <c r="B217" s="18" t="str">
        <f ca="1">IF(Data!U217="","",Data!U217)</f>
        <v/>
      </c>
      <c r="C217" s="18" t="str">
        <f ca="1">IF(Data!S217="","",Data!S217)</f>
        <v/>
      </c>
      <c r="D217" s="18" t="str">
        <f ca="1">IF($A217="","",Data!W217)</f>
        <v/>
      </c>
      <c r="E217" s="18" t="str">
        <f ca="1">IF($A217="","",Data!Y217)</f>
        <v/>
      </c>
      <c r="F217" s="61" t="str">
        <f t="shared" ca="1" si="6"/>
        <v/>
      </c>
      <c r="G217" s="18" t="str">
        <f ca="1">IF($A217="","",Data!AB217)</f>
        <v/>
      </c>
      <c r="H217" s="18" t="str">
        <f ca="1">IF($A217="","",Data!AC217)</f>
        <v/>
      </c>
      <c r="I217" s="18" t="str">
        <f ca="1">IF($A217="","",INT(SUMIFS(Data!$AN$4:$AN$183,Data!$AM$4:$AM$183,$B217,Data!$AL$4:$AL$183,$A217,Data!$AK$4:$AK$183,$C217))+MOD(ROUND(SUMIFS(Data!$AN$4:$AN$183,Data!$AM$4:$AM$183,$B217,Data!$AL$4:$AL$183,$A217,Data!$AK$4:$AK$183,$C217)*3,0),3)/10)</f>
        <v/>
      </c>
      <c r="J217" s="18" t="str">
        <f ca="1">IF($A217="","",SUMIFS(Data!$AQ$4:$AQ$183,Data!$AM$4:$AM$183,$B217,Data!$AL$4:$AL$183,$A217,Data!$AK$4:$AK$183,$C217))</f>
        <v/>
      </c>
      <c r="K217" s="62" t="str">
        <f ca="1">IF($A217="","",IF(SUMIFS(Data!$AN$4:$AN$183,Data!$AM$4:$AM$183,$B217,Data!$AL$4:$AL$183,$A217,Data!$AK$4:$AK$183,$C217)=0,"",J217*3/SUMIFS(Data!$AN$4:$AN$183,Data!$AM$4:$AM$183,$B217,Data!$AL$4:$AL$183,$A217,Data!$AK$4:$AK$183,$C217)))</f>
        <v/>
      </c>
      <c r="L217" s="18" t="str">
        <f ca="1">IF($A217="","",IF(IFERROR(_xlfn.XLOOKUP($C217,Bracket!$F$6:$F$16,Bracket!$K$6:$K$16,""),"")=$B217,1,0))</f>
        <v/>
      </c>
      <c r="M217" s="18" t="str">
        <f ca="1">IF($A217="","",IF(AND(IFERROR(_xlfn.XLOOKUP($C217,Bracket!$F$6:$F$16,Bracket!$K$6:$K$16,""),"")=$B217,LEFT(IFERROR(_xlfn.XLOOKUP($C217,Bracket!$F$6:$F$16,Bracket!$G$6:$G$16,""),""),2)="CG"),1,0))</f>
        <v/>
      </c>
      <c r="N217" s="18" t="str">
        <f ca="1">IF($A217="","",SUMIFS(Data!$X$4:$X$273,Data!$T$4:$T$273,$A217,Data!$U$4:$U$273,$B217,Data!$S$4:$S$273,$C217))</f>
        <v/>
      </c>
      <c r="O217" s="18" t="str">
        <f ca="1">IF($A217="","",SUMIFS(Data!$Z$4:$Z$273,Data!$T$4:$T$273,$A217,Data!$U$4:$U$273,$B217,Data!$S$4:$S$273,$C217))</f>
        <v/>
      </c>
      <c r="P217" s="18" t="str">
        <f ca="1">IF($A217="","",SUMIFS(Data!$AA$4:$AA$273,Data!$T$4:$T$273,$A217,Data!$U$4:$U$273,$B217,Data!$S$4:$S$273,$C217))</f>
        <v/>
      </c>
      <c r="Q217" s="18" t="str">
        <f ca="1">IF($A217="","",SUMIFS(Data!$AD$4:$AD$273,Data!$T$4:$T$273,$A217,Data!$U$4:$U$273,$B217,Data!$S$4:$S$273,$C217))</f>
        <v/>
      </c>
      <c r="R217" s="18" t="str">
        <f ca="1">IF($A217="","",SUMIFS(Data!$AE$4:$AE$273,Data!$T$4:$T$273,$A217,Data!$U$4:$U$273,$B217,Data!$S$4:$S$273,$C217))</f>
        <v/>
      </c>
      <c r="S217" s="18" t="str">
        <f ca="1">IF($A217="","",SUMIFS(Data!$AF$4:$AF$273,Data!$T$4:$T$273,$A217,Data!$U$4:$U$273,$B217,Data!$S$4:$S$273,$C217))</f>
        <v/>
      </c>
      <c r="T217" s="18" t="str">
        <f ca="1">IF($A217="","",SUMIFS(Data!$AG$4:$AG$273,Data!$T$4:$T$273,$A217,Data!$U$4:$U$273,$B217,Data!$S$4:$S$273,$C217))</f>
        <v/>
      </c>
      <c r="U217" s="18" t="str">
        <f ca="1">IF($A217="","",SUMIFS(Data!$AH$4:$AH$273,Data!$T$4:$T$273,$A217,Data!$U$4:$U$273,$B217,Data!$S$4:$S$273,$C217))</f>
        <v/>
      </c>
      <c r="V217" s="18" t="str">
        <f ca="1">IF($A217="","",SUMIFS(Data!$AO$4:$AO$183,Data!$AM$4:$AM$183,$B217,Data!$AL$4:$AL$183,$A217,Data!$AK$4:$AK$183,$C217))</f>
        <v/>
      </c>
      <c r="W217" s="18" t="str">
        <f ca="1">IF($A217="","",SUMIFS(Data!$AP$4:$AP$183,Data!$AM$4:$AM$183,$B217,Data!$AL$4:$AL$183,$A217,Data!$AK$4:$AK$183,$C217))</f>
        <v/>
      </c>
      <c r="X217" s="18" t="str">
        <f ca="1">IF($A217="","",SUMIFS(Data!$AR$4:$AR$183,Data!$AM$4:$AM$183,$B217,Data!$AL$4:$AL$183,$A217,Data!$AK$4:$AK$183,$C217))</f>
        <v/>
      </c>
      <c r="Y217" s="18" t="str">
        <f ca="1">IF($A217="","",SUMIFS(Data!$AS$4:$AS$183,Data!$AM$4:$AM$183,$B217,Data!$AL$4:$AL$183,$A217,Data!$AK$4:$AK$183,$C217))</f>
        <v/>
      </c>
      <c r="Z217" s="18" t="str">
        <f ca="1">IF($A217="","",SUMIFS(Data!$AT$4:$AT$183,Data!$AM$4:$AM$183,$B217,Data!$AL$4:$AL$183,$A217,Data!$AK$4:$AK$183,$C217))</f>
        <v/>
      </c>
      <c r="AA217" s="18" t="str">
        <f ca="1">IF($A217="","",SUMIFS(Data!$AW$4:$AW$183,Data!$AM$4:$AM$183,$B217,Data!$AL$4:$AL$183,$A217,Data!$AK$4:$AK$183,$C217))</f>
        <v/>
      </c>
      <c r="AB217" s="18" t="str">
        <f ca="1">IF($A217="","",SUMIFS(Data!$AX$4:$AX$183,Data!$AM$4:$AM$183,$B217,Data!$AL$4:$AL$183,$A217,Data!$AK$4:$AK$183,$C217))</f>
        <v/>
      </c>
      <c r="AC217" s="18" t="str">
        <f ca="1">IF($A217="","",SUMIFS(Data!$AY$4:$AY$183,Data!$AM$4:$AM$183,$B217,Data!$AL$4:$AL$183,$A217,Data!$AK$4:$AK$183,$C217))</f>
        <v/>
      </c>
      <c r="AD217" s="18" t="str">
        <f t="shared" ca="1" si="7"/>
        <v/>
      </c>
      <c r="AE217" s="18" t="str">
        <f ca="1">IF($A217="","",SUMIFS(Data!$AJ$4:$AJ$183,Data!$AM$4:$AM$183,$B217,Data!$AL$4:$AL$183,$A217,Data!$AK$4:$AK$183,$C217))</f>
        <v/>
      </c>
    </row>
    <row r="218" spans="1:31">
      <c r="A218" s="18" t="str">
        <f ca="1">IF(Data!T218="","",Data!T218)</f>
        <v/>
      </c>
      <c r="B218" s="18" t="str">
        <f ca="1">IF(Data!U218="","",Data!U218)</f>
        <v/>
      </c>
      <c r="C218" s="18" t="str">
        <f ca="1">IF(Data!S218="","",Data!S218)</f>
        <v/>
      </c>
      <c r="D218" s="18" t="str">
        <f ca="1">IF($A218="","",Data!W218)</f>
        <v/>
      </c>
      <c r="E218" s="18" t="str">
        <f ca="1">IF($A218="","",Data!Y218)</f>
        <v/>
      </c>
      <c r="F218" s="61" t="str">
        <f t="shared" ca="1" si="6"/>
        <v/>
      </c>
      <c r="G218" s="18" t="str">
        <f ca="1">IF($A218="","",Data!AB218)</f>
        <v/>
      </c>
      <c r="H218" s="18" t="str">
        <f ca="1">IF($A218="","",Data!AC218)</f>
        <v/>
      </c>
      <c r="I218" s="18" t="str">
        <f ca="1">IF($A218="","",INT(SUMIFS(Data!$AN$4:$AN$183,Data!$AM$4:$AM$183,$B218,Data!$AL$4:$AL$183,$A218,Data!$AK$4:$AK$183,$C218))+MOD(ROUND(SUMIFS(Data!$AN$4:$AN$183,Data!$AM$4:$AM$183,$B218,Data!$AL$4:$AL$183,$A218,Data!$AK$4:$AK$183,$C218)*3,0),3)/10)</f>
        <v/>
      </c>
      <c r="J218" s="18" t="str">
        <f ca="1">IF($A218="","",SUMIFS(Data!$AQ$4:$AQ$183,Data!$AM$4:$AM$183,$B218,Data!$AL$4:$AL$183,$A218,Data!$AK$4:$AK$183,$C218))</f>
        <v/>
      </c>
      <c r="K218" s="62" t="str">
        <f ca="1">IF($A218="","",IF(SUMIFS(Data!$AN$4:$AN$183,Data!$AM$4:$AM$183,$B218,Data!$AL$4:$AL$183,$A218,Data!$AK$4:$AK$183,$C218)=0,"",J218*3/SUMIFS(Data!$AN$4:$AN$183,Data!$AM$4:$AM$183,$B218,Data!$AL$4:$AL$183,$A218,Data!$AK$4:$AK$183,$C218)))</f>
        <v/>
      </c>
      <c r="L218" s="18" t="str">
        <f ca="1">IF($A218="","",IF(IFERROR(_xlfn.XLOOKUP($C218,Bracket!$F$6:$F$16,Bracket!$K$6:$K$16,""),"")=$B218,1,0))</f>
        <v/>
      </c>
      <c r="M218" s="18" t="str">
        <f ca="1">IF($A218="","",IF(AND(IFERROR(_xlfn.XLOOKUP($C218,Bracket!$F$6:$F$16,Bracket!$K$6:$K$16,""),"")=$B218,LEFT(IFERROR(_xlfn.XLOOKUP($C218,Bracket!$F$6:$F$16,Bracket!$G$6:$G$16,""),""),2)="CG"),1,0))</f>
        <v/>
      </c>
      <c r="N218" s="18" t="str">
        <f ca="1">IF($A218="","",SUMIFS(Data!$X$4:$X$273,Data!$T$4:$T$273,$A218,Data!$U$4:$U$273,$B218,Data!$S$4:$S$273,$C218))</f>
        <v/>
      </c>
      <c r="O218" s="18" t="str">
        <f ca="1">IF($A218="","",SUMIFS(Data!$Z$4:$Z$273,Data!$T$4:$T$273,$A218,Data!$U$4:$U$273,$B218,Data!$S$4:$S$273,$C218))</f>
        <v/>
      </c>
      <c r="P218" s="18" t="str">
        <f ca="1">IF($A218="","",SUMIFS(Data!$AA$4:$AA$273,Data!$T$4:$T$273,$A218,Data!$U$4:$U$273,$B218,Data!$S$4:$S$273,$C218))</f>
        <v/>
      </c>
      <c r="Q218" s="18" t="str">
        <f ca="1">IF($A218="","",SUMIFS(Data!$AD$4:$AD$273,Data!$T$4:$T$273,$A218,Data!$U$4:$U$273,$B218,Data!$S$4:$S$273,$C218))</f>
        <v/>
      </c>
      <c r="R218" s="18" t="str">
        <f ca="1">IF($A218="","",SUMIFS(Data!$AE$4:$AE$273,Data!$T$4:$T$273,$A218,Data!$U$4:$U$273,$B218,Data!$S$4:$S$273,$C218))</f>
        <v/>
      </c>
      <c r="S218" s="18" t="str">
        <f ca="1">IF($A218="","",SUMIFS(Data!$AF$4:$AF$273,Data!$T$4:$T$273,$A218,Data!$U$4:$U$273,$B218,Data!$S$4:$S$273,$C218))</f>
        <v/>
      </c>
      <c r="T218" s="18" t="str">
        <f ca="1">IF($A218="","",SUMIFS(Data!$AG$4:$AG$273,Data!$T$4:$T$273,$A218,Data!$U$4:$U$273,$B218,Data!$S$4:$S$273,$C218))</f>
        <v/>
      </c>
      <c r="U218" s="18" t="str">
        <f ca="1">IF($A218="","",SUMIFS(Data!$AH$4:$AH$273,Data!$T$4:$T$273,$A218,Data!$U$4:$U$273,$B218,Data!$S$4:$S$273,$C218))</f>
        <v/>
      </c>
      <c r="V218" s="18" t="str">
        <f ca="1">IF($A218="","",SUMIFS(Data!$AO$4:$AO$183,Data!$AM$4:$AM$183,$B218,Data!$AL$4:$AL$183,$A218,Data!$AK$4:$AK$183,$C218))</f>
        <v/>
      </c>
      <c r="W218" s="18" t="str">
        <f ca="1">IF($A218="","",SUMIFS(Data!$AP$4:$AP$183,Data!$AM$4:$AM$183,$B218,Data!$AL$4:$AL$183,$A218,Data!$AK$4:$AK$183,$C218))</f>
        <v/>
      </c>
      <c r="X218" s="18" t="str">
        <f ca="1">IF($A218="","",SUMIFS(Data!$AR$4:$AR$183,Data!$AM$4:$AM$183,$B218,Data!$AL$4:$AL$183,$A218,Data!$AK$4:$AK$183,$C218))</f>
        <v/>
      </c>
      <c r="Y218" s="18" t="str">
        <f ca="1">IF($A218="","",SUMIFS(Data!$AS$4:$AS$183,Data!$AM$4:$AM$183,$B218,Data!$AL$4:$AL$183,$A218,Data!$AK$4:$AK$183,$C218))</f>
        <v/>
      </c>
      <c r="Z218" s="18" t="str">
        <f ca="1">IF($A218="","",SUMIFS(Data!$AT$4:$AT$183,Data!$AM$4:$AM$183,$B218,Data!$AL$4:$AL$183,$A218,Data!$AK$4:$AK$183,$C218))</f>
        <v/>
      </c>
      <c r="AA218" s="18" t="str">
        <f ca="1">IF($A218="","",SUMIFS(Data!$AW$4:$AW$183,Data!$AM$4:$AM$183,$B218,Data!$AL$4:$AL$183,$A218,Data!$AK$4:$AK$183,$C218))</f>
        <v/>
      </c>
      <c r="AB218" s="18" t="str">
        <f ca="1">IF($A218="","",SUMIFS(Data!$AX$4:$AX$183,Data!$AM$4:$AM$183,$B218,Data!$AL$4:$AL$183,$A218,Data!$AK$4:$AK$183,$C218))</f>
        <v/>
      </c>
      <c r="AC218" s="18" t="str">
        <f ca="1">IF($A218="","",SUMIFS(Data!$AY$4:$AY$183,Data!$AM$4:$AM$183,$B218,Data!$AL$4:$AL$183,$A218,Data!$AK$4:$AK$183,$C218))</f>
        <v/>
      </c>
      <c r="AD218" s="18" t="str">
        <f t="shared" ca="1" si="7"/>
        <v/>
      </c>
      <c r="AE218" s="18" t="str">
        <f ca="1">IF($A218="","",SUMIFS(Data!$AJ$4:$AJ$183,Data!$AM$4:$AM$183,$B218,Data!$AL$4:$AL$183,$A218,Data!$AK$4:$AK$183,$C218))</f>
        <v/>
      </c>
    </row>
    <row r="219" spans="1:31">
      <c r="A219" s="18" t="str">
        <f ca="1">IF(Data!T219="","",Data!T219)</f>
        <v/>
      </c>
      <c r="B219" s="18" t="str">
        <f ca="1">IF(Data!U219="","",Data!U219)</f>
        <v/>
      </c>
      <c r="C219" s="18" t="str">
        <f ca="1">IF(Data!S219="","",Data!S219)</f>
        <v/>
      </c>
      <c r="D219" s="18" t="str">
        <f ca="1">IF($A219="","",Data!W219)</f>
        <v/>
      </c>
      <c r="E219" s="18" t="str">
        <f ca="1">IF($A219="","",Data!Y219)</f>
        <v/>
      </c>
      <c r="F219" s="61" t="str">
        <f t="shared" ca="1" si="6"/>
        <v/>
      </c>
      <c r="G219" s="18" t="str">
        <f ca="1">IF($A219="","",Data!AB219)</f>
        <v/>
      </c>
      <c r="H219" s="18" t="str">
        <f ca="1">IF($A219="","",Data!AC219)</f>
        <v/>
      </c>
      <c r="I219" s="18" t="str">
        <f ca="1">IF($A219="","",INT(SUMIFS(Data!$AN$4:$AN$183,Data!$AM$4:$AM$183,$B219,Data!$AL$4:$AL$183,$A219,Data!$AK$4:$AK$183,$C219))+MOD(ROUND(SUMIFS(Data!$AN$4:$AN$183,Data!$AM$4:$AM$183,$B219,Data!$AL$4:$AL$183,$A219,Data!$AK$4:$AK$183,$C219)*3,0),3)/10)</f>
        <v/>
      </c>
      <c r="J219" s="18" t="str">
        <f ca="1">IF($A219="","",SUMIFS(Data!$AQ$4:$AQ$183,Data!$AM$4:$AM$183,$B219,Data!$AL$4:$AL$183,$A219,Data!$AK$4:$AK$183,$C219))</f>
        <v/>
      </c>
      <c r="K219" s="62" t="str">
        <f ca="1">IF($A219="","",IF(SUMIFS(Data!$AN$4:$AN$183,Data!$AM$4:$AM$183,$B219,Data!$AL$4:$AL$183,$A219,Data!$AK$4:$AK$183,$C219)=0,"",J219*3/SUMIFS(Data!$AN$4:$AN$183,Data!$AM$4:$AM$183,$B219,Data!$AL$4:$AL$183,$A219,Data!$AK$4:$AK$183,$C219)))</f>
        <v/>
      </c>
      <c r="L219" s="18" t="str">
        <f ca="1">IF($A219="","",IF(IFERROR(_xlfn.XLOOKUP($C219,Bracket!$F$6:$F$16,Bracket!$K$6:$K$16,""),"")=$B219,1,0))</f>
        <v/>
      </c>
      <c r="M219" s="18" t="str">
        <f ca="1">IF($A219="","",IF(AND(IFERROR(_xlfn.XLOOKUP($C219,Bracket!$F$6:$F$16,Bracket!$K$6:$K$16,""),"")=$B219,LEFT(IFERROR(_xlfn.XLOOKUP($C219,Bracket!$F$6:$F$16,Bracket!$G$6:$G$16,""),""),2)="CG"),1,0))</f>
        <v/>
      </c>
      <c r="N219" s="18" t="str">
        <f ca="1">IF($A219="","",SUMIFS(Data!$X$4:$X$273,Data!$T$4:$T$273,$A219,Data!$U$4:$U$273,$B219,Data!$S$4:$S$273,$C219))</f>
        <v/>
      </c>
      <c r="O219" s="18" t="str">
        <f ca="1">IF($A219="","",SUMIFS(Data!$Z$4:$Z$273,Data!$T$4:$T$273,$A219,Data!$U$4:$U$273,$B219,Data!$S$4:$S$273,$C219))</f>
        <v/>
      </c>
      <c r="P219" s="18" t="str">
        <f ca="1">IF($A219="","",SUMIFS(Data!$AA$4:$AA$273,Data!$T$4:$T$273,$A219,Data!$U$4:$U$273,$B219,Data!$S$4:$S$273,$C219))</f>
        <v/>
      </c>
      <c r="Q219" s="18" t="str">
        <f ca="1">IF($A219="","",SUMIFS(Data!$AD$4:$AD$273,Data!$T$4:$T$273,$A219,Data!$U$4:$U$273,$B219,Data!$S$4:$S$273,$C219))</f>
        <v/>
      </c>
      <c r="R219" s="18" t="str">
        <f ca="1">IF($A219="","",SUMIFS(Data!$AE$4:$AE$273,Data!$T$4:$T$273,$A219,Data!$U$4:$U$273,$B219,Data!$S$4:$S$273,$C219))</f>
        <v/>
      </c>
      <c r="S219" s="18" t="str">
        <f ca="1">IF($A219="","",SUMIFS(Data!$AF$4:$AF$273,Data!$T$4:$T$273,$A219,Data!$U$4:$U$273,$B219,Data!$S$4:$S$273,$C219))</f>
        <v/>
      </c>
      <c r="T219" s="18" t="str">
        <f ca="1">IF($A219="","",SUMIFS(Data!$AG$4:$AG$273,Data!$T$4:$T$273,$A219,Data!$U$4:$U$273,$B219,Data!$S$4:$S$273,$C219))</f>
        <v/>
      </c>
      <c r="U219" s="18" t="str">
        <f ca="1">IF($A219="","",SUMIFS(Data!$AH$4:$AH$273,Data!$T$4:$T$273,$A219,Data!$U$4:$U$273,$B219,Data!$S$4:$S$273,$C219))</f>
        <v/>
      </c>
      <c r="V219" s="18" t="str">
        <f ca="1">IF($A219="","",SUMIFS(Data!$AO$4:$AO$183,Data!$AM$4:$AM$183,$B219,Data!$AL$4:$AL$183,$A219,Data!$AK$4:$AK$183,$C219))</f>
        <v/>
      </c>
      <c r="W219" s="18" t="str">
        <f ca="1">IF($A219="","",SUMIFS(Data!$AP$4:$AP$183,Data!$AM$4:$AM$183,$B219,Data!$AL$4:$AL$183,$A219,Data!$AK$4:$AK$183,$C219))</f>
        <v/>
      </c>
      <c r="X219" s="18" t="str">
        <f ca="1">IF($A219="","",SUMIFS(Data!$AR$4:$AR$183,Data!$AM$4:$AM$183,$B219,Data!$AL$4:$AL$183,$A219,Data!$AK$4:$AK$183,$C219))</f>
        <v/>
      </c>
      <c r="Y219" s="18" t="str">
        <f ca="1">IF($A219="","",SUMIFS(Data!$AS$4:$AS$183,Data!$AM$4:$AM$183,$B219,Data!$AL$4:$AL$183,$A219,Data!$AK$4:$AK$183,$C219))</f>
        <v/>
      </c>
      <c r="Z219" s="18" t="str">
        <f ca="1">IF($A219="","",SUMIFS(Data!$AT$4:$AT$183,Data!$AM$4:$AM$183,$B219,Data!$AL$4:$AL$183,$A219,Data!$AK$4:$AK$183,$C219))</f>
        <v/>
      </c>
      <c r="AA219" s="18" t="str">
        <f ca="1">IF($A219="","",SUMIFS(Data!$AW$4:$AW$183,Data!$AM$4:$AM$183,$B219,Data!$AL$4:$AL$183,$A219,Data!$AK$4:$AK$183,$C219))</f>
        <v/>
      </c>
      <c r="AB219" s="18" t="str">
        <f ca="1">IF($A219="","",SUMIFS(Data!$AX$4:$AX$183,Data!$AM$4:$AM$183,$B219,Data!$AL$4:$AL$183,$A219,Data!$AK$4:$AK$183,$C219))</f>
        <v/>
      </c>
      <c r="AC219" s="18" t="str">
        <f ca="1">IF($A219="","",SUMIFS(Data!$AY$4:$AY$183,Data!$AM$4:$AM$183,$B219,Data!$AL$4:$AL$183,$A219,Data!$AK$4:$AK$183,$C219))</f>
        <v/>
      </c>
      <c r="AD219" s="18" t="str">
        <f t="shared" ca="1" si="7"/>
        <v/>
      </c>
      <c r="AE219" s="18" t="str">
        <f ca="1">IF($A219="","",SUMIFS(Data!$AJ$4:$AJ$183,Data!$AM$4:$AM$183,$B219,Data!$AL$4:$AL$183,$A219,Data!$AK$4:$AK$183,$C219))</f>
        <v/>
      </c>
    </row>
    <row r="220" spans="1:31">
      <c r="A220" s="18" t="str">
        <f ca="1">IF(Data!T220="","",Data!T220)</f>
        <v/>
      </c>
      <c r="B220" s="18" t="str">
        <f ca="1">IF(Data!U220="","",Data!U220)</f>
        <v/>
      </c>
      <c r="C220" s="18" t="str">
        <f ca="1">IF(Data!S220="","",Data!S220)</f>
        <v/>
      </c>
      <c r="D220" s="18" t="str">
        <f ca="1">IF($A220="","",Data!W220)</f>
        <v/>
      </c>
      <c r="E220" s="18" t="str">
        <f ca="1">IF($A220="","",Data!Y220)</f>
        <v/>
      </c>
      <c r="F220" s="61" t="str">
        <f t="shared" ca="1" si="6"/>
        <v/>
      </c>
      <c r="G220" s="18" t="str">
        <f ca="1">IF($A220="","",Data!AB220)</f>
        <v/>
      </c>
      <c r="H220" s="18" t="str">
        <f ca="1">IF($A220="","",Data!AC220)</f>
        <v/>
      </c>
      <c r="I220" s="18" t="str">
        <f ca="1">IF($A220="","",INT(SUMIFS(Data!$AN$4:$AN$183,Data!$AM$4:$AM$183,$B220,Data!$AL$4:$AL$183,$A220,Data!$AK$4:$AK$183,$C220))+MOD(ROUND(SUMIFS(Data!$AN$4:$AN$183,Data!$AM$4:$AM$183,$B220,Data!$AL$4:$AL$183,$A220,Data!$AK$4:$AK$183,$C220)*3,0),3)/10)</f>
        <v/>
      </c>
      <c r="J220" s="18" t="str">
        <f ca="1">IF($A220="","",SUMIFS(Data!$AQ$4:$AQ$183,Data!$AM$4:$AM$183,$B220,Data!$AL$4:$AL$183,$A220,Data!$AK$4:$AK$183,$C220))</f>
        <v/>
      </c>
      <c r="K220" s="62" t="str">
        <f ca="1">IF($A220="","",IF(SUMIFS(Data!$AN$4:$AN$183,Data!$AM$4:$AM$183,$B220,Data!$AL$4:$AL$183,$A220,Data!$AK$4:$AK$183,$C220)=0,"",J220*3/SUMIFS(Data!$AN$4:$AN$183,Data!$AM$4:$AM$183,$B220,Data!$AL$4:$AL$183,$A220,Data!$AK$4:$AK$183,$C220)))</f>
        <v/>
      </c>
      <c r="L220" s="18" t="str">
        <f ca="1">IF($A220="","",IF(IFERROR(_xlfn.XLOOKUP($C220,Bracket!$F$6:$F$16,Bracket!$K$6:$K$16,""),"")=$B220,1,0))</f>
        <v/>
      </c>
      <c r="M220" s="18" t="str">
        <f ca="1">IF($A220="","",IF(AND(IFERROR(_xlfn.XLOOKUP($C220,Bracket!$F$6:$F$16,Bracket!$K$6:$K$16,""),"")=$B220,LEFT(IFERROR(_xlfn.XLOOKUP($C220,Bracket!$F$6:$F$16,Bracket!$G$6:$G$16,""),""),2)="CG"),1,0))</f>
        <v/>
      </c>
      <c r="N220" s="18" t="str">
        <f ca="1">IF($A220="","",SUMIFS(Data!$X$4:$X$273,Data!$T$4:$T$273,$A220,Data!$U$4:$U$273,$B220,Data!$S$4:$S$273,$C220))</f>
        <v/>
      </c>
      <c r="O220" s="18" t="str">
        <f ca="1">IF($A220="","",SUMIFS(Data!$Z$4:$Z$273,Data!$T$4:$T$273,$A220,Data!$U$4:$U$273,$B220,Data!$S$4:$S$273,$C220))</f>
        <v/>
      </c>
      <c r="P220" s="18" t="str">
        <f ca="1">IF($A220="","",SUMIFS(Data!$AA$4:$AA$273,Data!$T$4:$T$273,$A220,Data!$U$4:$U$273,$B220,Data!$S$4:$S$273,$C220))</f>
        <v/>
      </c>
      <c r="Q220" s="18" t="str">
        <f ca="1">IF($A220="","",SUMIFS(Data!$AD$4:$AD$273,Data!$T$4:$T$273,$A220,Data!$U$4:$U$273,$B220,Data!$S$4:$S$273,$C220))</f>
        <v/>
      </c>
      <c r="R220" s="18" t="str">
        <f ca="1">IF($A220="","",SUMIFS(Data!$AE$4:$AE$273,Data!$T$4:$T$273,$A220,Data!$U$4:$U$273,$B220,Data!$S$4:$S$273,$C220))</f>
        <v/>
      </c>
      <c r="S220" s="18" t="str">
        <f ca="1">IF($A220="","",SUMIFS(Data!$AF$4:$AF$273,Data!$T$4:$T$273,$A220,Data!$U$4:$U$273,$B220,Data!$S$4:$S$273,$C220))</f>
        <v/>
      </c>
      <c r="T220" s="18" t="str">
        <f ca="1">IF($A220="","",SUMIFS(Data!$AG$4:$AG$273,Data!$T$4:$T$273,$A220,Data!$U$4:$U$273,$B220,Data!$S$4:$S$273,$C220))</f>
        <v/>
      </c>
      <c r="U220" s="18" t="str">
        <f ca="1">IF($A220="","",SUMIFS(Data!$AH$4:$AH$273,Data!$T$4:$T$273,$A220,Data!$U$4:$U$273,$B220,Data!$S$4:$S$273,$C220))</f>
        <v/>
      </c>
      <c r="V220" s="18" t="str">
        <f ca="1">IF($A220="","",SUMIFS(Data!$AO$4:$AO$183,Data!$AM$4:$AM$183,$B220,Data!$AL$4:$AL$183,$A220,Data!$AK$4:$AK$183,$C220))</f>
        <v/>
      </c>
      <c r="W220" s="18" t="str">
        <f ca="1">IF($A220="","",SUMIFS(Data!$AP$4:$AP$183,Data!$AM$4:$AM$183,$B220,Data!$AL$4:$AL$183,$A220,Data!$AK$4:$AK$183,$C220))</f>
        <v/>
      </c>
      <c r="X220" s="18" t="str">
        <f ca="1">IF($A220="","",SUMIFS(Data!$AR$4:$AR$183,Data!$AM$4:$AM$183,$B220,Data!$AL$4:$AL$183,$A220,Data!$AK$4:$AK$183,$C220))</f>
        <v/>
      </c>
      <c r="Y220" s="18" t="str">
        <f ca="1">IF($A220="","",SUMIFS(Data!$AS$4:$AS$183,Data!$AM$4:$AM$183,$B220,Data!$AL$4:$AL$183,$A220,Data!$AK$4:$AK$183,$C220))</f>
        <v/>
      </c>
      <c r="Z220" s="18" t="str">
        <f ca="1">IF($A220="","",SUMIFS(Data!$AT$4:$AT$183,Data!$AM$4:$AM$183,$B220,Data!$AL$4:$AL$183,$A220,Data!$AK$4:$AK$183,$C220))</f>
        <v/>
      </c>
      <c r="AA220" s="18" t="str">
        <f ca="1">IF($A220="","",SUMIFS(Data!$AW$4:$AW$183,Data!$AM$4:$AM$183,$B220,Data!$AL$4:$AL$183,$A220,Data!$AK$4:$AK$183,$C220))</f>
        <v/>
      </c>
      <c r="AB220" s="18" t="str">
        <f ca="1">IF($A220="","",SUMIFS(Data!$AX$4:$AX$183,Data!$AM$4:$AM$183,$B220,Data!$AL$4:$AL$183,$A220,Data!$AK$4:$AK$183,$C220))</f>
        <v/>
      </c>
      <c r="AC220" s="18" t="str">
        <f ca="1">IF($A220="","",SUMIFS(Data!$AY$4:$AY$183,Data!$AM$4:$AM$183,$B220,Data!$AL$4:$AL$183,$A220,Data!$AK$4:$AK$183,$C220))</f>
        <v/>
      </c>
      <c r="AD220" s="18" t="str">
        <f t="shared" ca="1" si="7"/>
        <v/>
      </c>
      <c r="AE220" s="18" t="str">
        <f ca="1">IF($A220="","",SUMIFS(Data!$AJ$4:$AJ$183,Data!$AM$4:$AM$183,$B220,Data!$AL$4:$AL$183,$A220,Data!$AK$4:$AK$183,$C220))</f>
        <v/>
      </c>
    </row>
    <row r="221" spans="1:31">
      <c r="A221" s="18" t="str">
        <f ca="1">IF(Data!T221="","",Data!T221)</f>
        <v/>
      </c>
      <c r="B221" s="18" t="str">
        <f ca="1">IF(Data!U221="","",Data!U221)</f>
        <v/>
      </c>
      <c r="C221" s="18" t="str">
        <f ca="1">IF(Data!S221="","",Data!S221)</f>
        <v/>
      </c>
      <c r="D221" s="18" t="str">
        <f ca="1">IF($A221="","",Data!W221)</f>
        <v/>
      </c>
      <c r="E221" s="18" t="str">
        <f ca="1">IF($A221="","",Data!Y221)</f>
        <v/>
      </c>
      <c r="F221" s="61" t="str">
        <f t="shared" ca="1" si="6"/>
        <v/>
      </c>
      <c r="G221" s="18" t="str">
        <f ca="1">IF($A221="","",Data!AB221)</f>
        <v/>
      </c>
      <c r="H221" s="18" t="str">
        <f ca="1">IF($A221="","",Data!AC221)</f>
        <v/>
      </c>
      <c r="I221" s="18" t="str">
        <f ca="1">IF($A221="","",INT(SUMIFS(Data!$AN$4:$AN$183,Data!$AM$4:$AM$183,$B221,Data!$AL$4:$AL$183,$A221,Data!$AK$4:$AK$183,$C221))+MOD(ROUND(SUMIFS(Data!$AN$4:$AN$183,Data!$AM$4:$AM$183,$B221,Data!$AL$4:$AL$183,$A221,Data!$AK$4:$AK$183,$C221)*3,0),3)/10)</f>
        <v/>
      </c>
      <c r="J221" s="18" t="str">
        <f ca="1">IF($A221="","",SUMIFS(Data!$AQ$4:$AQ$183,Data!$AM$4:$AM$183,$B221,Data!$AL$4:$AL$183,$A221,Data!$AK$4:$AK$183,$C221))</f>
        <v/>
      </c>
      <c r="K221" s="62" t="str">
        <f ca="1">IF($A221="","",IF(SUMIFS(Data!$AN$4:$AN$183,Data!$AM$4:$AM$183,$B221,Data!$AL$4:$AL$183,$A221,Data!$AK$4:$AK$183,$C221)=0,"",J221*3/SUMIFS(Data!$AN$4:$AN$183,Data!$AM$4:$AM$183,$B221,Data!$AL$4:$AL$183,$A221,Data!$AK$4:$AK$183,$C221)))</f>
        <v/>
      </c>
      <c r="L221" s="18" t="str">
        <f ca="1">IF($A221="","",IF(IFERROR(_xlfn.XLOOKUP($C221,Bracket!$F$6:$F$16,Bracket!$K$6:$K$16,""),"")=$B221,1,0))</f>
        <v/>
      </c>
      <c r="M221" s="18" t="str">
        <f ca="1">IF($A221="","",IF(AND(IFERROR(_xlfn.XLOOKUP($C221,Bracket!$F$6:$F$16,Bracket!$K$6:$K$16,""),"")=$B221,LEFT(IFERROR(_xlfn.XLOOKUP($C221,Bracket!$F$6:$F$16,Bracket!$G$6:$G$16,""),""),2)="CG"),1,0))</f>
        <v/>
      </c>
      <c r="N221" s="18" t="str">
        <f ca="1">IF($A221="","",SUMIFS(Data!$X$4:$X$273,Data!$T$4:$T$273,$A221,Data!$U$4:$U$273,$B221,Data!$S$4:$S$273,$C221))</f>
        <v/>
      </c>
      <c r="O221" s="18" t="str">
        <f ca="1">IF($A221="","",SUMIFS(Data!$Z$4:$Z$273,Data!$T$4:$T$273,$A221,Data!$U$4:$U$273,$B221,Data!$S$4:$S$273,$C221))</f>
        <v/>
      </c>
      <c r="P221" s="18" t="str">
        <f ca="1">IF($A221="","",SUMIFS(Data!$AA$4:$AA$273,Data!$T$4:$T$273,$A221,Data!$U$4:$U$273,$B221,Data!$S$4:$S$273,$C221))</f>
        <v/>
      </c>
      <c r="Q221" s="18" t="str">
        <f ca="1">IF($A221="","",SUMIFS(Data!$AD$4:$AD$273,Data!$T$4:$T$273,$A221,Data!$U$4:$U$273,$B221,Data!$S$4:$S$273,$C221))</f>
        <v/>
      </c>
      <c r="R221" s="18" t="str">
        <f ca="1">IF($A221="","",SUMIFS(Data!$AE$4:$AE$273,Data!$T$4:$T$273,$A221,Data!$U$4:$U$273,$B221,Data!$S$4:$S$273,$C221))</f>
        <v/>
      </c>
      <c r="S221" s="18" t="str">
        <f ca="1">IF($A221="","",SUMIFS(Data!$AF$4:$AF$273,Data!$T$4:$T$273,$A221,Data!$U$4:$U$273,$B221,Data!$S$4:$S$273,$C221))</f>
        <v/>
      </c>
      <c r="T221" s="18" t="str">
        <f ca="1">IF($A221="","",SUMIFS(Data!$AG$4:$AG$273,Data!$T$4:$T$273,$A221,Data!$U$4:$U$273,$B221,Data!$S$4:$S$273,$C221))</f>
        <v/>
      </c>
      <c r="U221" s="18" t="str">
        <f ca="1">IF($A221="","",SUMIFS(Data!$AH$4:$AH$273,Data!$T$4:$T$273,$A221,Data!$U$4:$U$273,$B221,Data!$S$4:$S$273,$C221))</f>
        <v/>
      </c>
      <c r="V221" s="18" t="str">
        <f ca="1">IF($A221="","",SUMIFS(Data!$AO$4:$AO$183,Data!$AM$4:$AM$183,$B221,Data!$AL$4:$AL$183,$A221,Data!$AK$4:$AK$183,$C221))</f>
        <v/>
      </c>
      <c r="W221" s="18" t="str">
        <f ca="1">IF($A221="","",SUMIFS(Data!$AP$4:$AP$183,Data!$AM$4:$AM$183,$B221,Data!$AL$4:$AL$183,$A221,Data!$AK$4:$AK$183,$C221))</f>
        <v/>
      </c>
      <c r="X221" s="18" t="str">
        <f ca="1">IF($A221="","",SUMIFS(Data!$AR$4:$AR$183,Data!$AM$4:$AM$183,$B221,Data!$AL$4:$AL$183,$A221,Data!$AK$4:$AK$183,$C221))</f>
        <v/>
      </c>
      <c r="Y221" s="18" t="str">
        <f ca="1">IF($A221="","",SUMIFS(Data!$AS$4:$AS$183,Data!$AM$4:$AM$183,$B221,Data!$AL$4:$AL$183,$A221,Data!$AK$4:$AK$183,$C221))</f>
        <v/>
      </c>
      <c r="Z221" s="18" t="str">
        <f ca="1">IF($A221="","",SUMIFS(Data!$AT$4:$AT$183,Data!$AM$4:$AM$183,$B221,Data!$AL$4:$AL$183,$A221,Data!$AK$4:$AK$183,$C221))</f>
        <v/>
      </c>
      <c r="AA221" s="18" t="str">
        <f ca="1">IF($A221="","",SUMIFS(Data!$AW$4:$AW$183,Data!$AM$4:$AM$183,$B221,Data!$AL$4:$AL$183,$A221,Data!$AK$4:$AK$183,$C221))</f>
        <v/>
      </c>
      <c r="AB221" s="18" t="str">
        <f ca="1">IF($A221="","",SUMIFS(Data!$AX$4:$AX$183,Data!$AM$4:$AM$183,$B221,Data!$AL$4:$AL$183,$A221,Data!$AK$4:$AK$183,$C221))</f>
        <v/>
      </c>
      <c r="AC221" s="18" t="str">
        <f ca="1">IF($A221="","",SUMIFS(Data!$AY$4:$AY$183,Data!$AM$4:$AM$183,$B221,Data!$AL$4:$AL$183,$A221,Data!$AK$4:$AK$183,$C221))</f>
        <v/>
      </c>
      <c r="AD221" s="18" t="str">
        <f t="shared" ca="1" si="7"/>
        <v/>
      </c>
      <c r="AE221" s="18" t="str">
        <f ca="1">IF($A221="","",SUMIFS(Data!$AJ$4:$AJ$183,Data!$AM$4:$AM$183,$B221,Data!$AL$4:$AL$183,$A221,Data!$AK$4:$AK$183,$C221))</f>
        <v/>
      </c>
    </row>
    <row r="222" spans="1:31">
      <c r="A222" s="18" t="str">
        <f ca="1">IF(Data!T222="","",Data!T222)</f>
        <v/>
      </c>
      <c r="B222" s="18" t="str">
        <f ca="1">IF(Data!U222="","",Data!U222)</f>
        <v/>
      </c>
      <c r="C222" s="18" t="str">
        <f ca="1">IF(Data!S222="","",Data!S222)</f>
        <v/>
      </c>
      <c r="D222" s="18" t="str">
        <f ca="1">IF($A222="","",Data!W222)</f>
        <v/>
      </c>
      <c r="E222" s="18" t="str">
        <f ca="1">IF($A222="","",Data!Y222)</f>
        <v/>
      </c>
      <c r="F222" s="61" t="str">
        <f t="shared" ca="1" si="6"/>
        <v/>
      </c>
      <c r="G222" s="18" t="str">
        <f ca="1">IF($A222="","",Data!AB222)</f>
        <v/>
      </c>
      <c r="H222" s="18" t="str">
        <f ca="1">IF($A222="","",Data!AC222)</f>
        <v/>
      </c>
      <c r="I222" s="18" t="str">
        <f ca="1">IF($A222="","",INT(SUMIFS(Data!$AN$4:$AN$183,Data!$AM$4:$AM$183,$B222,Data!$AL$4:$AL$183,$A222,Data!$AK$4:$AK$183,$C222))+MOD(ROUND(SUMIFS(Data!$AN$4:$AN$183,Data!$AM$4:$AM$183,$B222,Data!$AL$4:$AL$183,$A222,Data!$AK$4:$AK$183,$C222)*3,0),3)/10)</f>
        <v/>
      </c>
      <c r="J222" s="18" t="str">
        <f ca="1">IF($A222="","",SUMIFS(Data!$AQ$4:$AQ$183,Data!$AM$4:$AM$183,$B222,Data!$AL$4:$AL$183,$A222,Data!$AK$4:$AK$183,$C222))</f>
        <v/>
      </c>
      <c r="K222" s="62" t="str">
        <f ca="1">IF($A222="","",IF(SUMIFS(Data!$AN$4:$AN$183,Data!$AM$4:$AM$183,$B222,Data!$AL$4:$AL$183,$A222,Data!$AK$4:$AK$183,$C222)=0,"",J222*3/SUMIFS(Data!$AN$4:$AN$183,Data!$AM$4:$AM$183,$B222,Data!$AL$4:$AL$183,$A222,Data!$AK$4:$AK$183,$C222)))</f>
        <v/>
      </c>
      <c r="L222" s="18" t="str">
        <f ca="1">IF($A222="","",IF(IFERROR(_xlfn.XLOOKUP($C222,Bracket!$F$6:$F$16,Bracket!$K$6:$K$16,""),"")=$B222,1,0))</f>
        <v/>
      </c>
      <c r="M222" s="18" t="str">
        <f ca="1">IF($A222="","",IF(AND(IFERROR(_xlfn.XLOOKUP($C222,Bracket!$F$6:$F$16,Bracket!$K$6:$K$16,""),"")=$B222,LEFT(IFERROR(_xlfn.XLOOKUP($C222,Bracket!$F$6:$F$16,Bracket!$G$6:$G$16,""),""),2)="CG"),1,0))</f>
        <v/>
      </c>
      <c r="N222" s="18" t="str">
        <f ca="1">IF($A222="","",SUMIFS(Data!$X$4:$X$273,Data!$T$4:$T$273,$A222,Data!$U$4:$U$273,$B222,Data!$S$4:$S$273,$C222))</f>
        <v/>
      </c>
      <c r="O222" s="18" t="str">
        <f ca="1">IF($A222="","",SUMIFS(Data!$Z$4:$Z$273,Data!$T$4:$T$273,$A222,Data!$U$4:$U$273,$B222,Data!$S$4:$S$273,$C222))</f>
        <v/>
      </c>
      <c r="P222" s="18" t="str">
        <f ca="1">IF($A222="","",SUMIFS(Data!$AA$4:$AA$273,Data!$T$4:$T$273,$A222,Data!$U$4:$U$273,$B222,Data!$S$4:$S$273,$C222))</f>
        <v/>
      </c>
      <c r="Q222" s="18" t="str">
        <f ca="1">IF($A222="","",SUMIFS(Data!$AD$4:$AD$273,Data!$T$4:$T$273,$A222,Data!$U$4:$U$273,$B222,Data!$S$4:$S$273,$C222))</f>
        <v/>
      </c>
      <c r="R222" s="18" t="str">
        <f ca="1">IF($A222="","",SUMIFS(Data!$AE$4:$AE$273,Data!$T$4:$T$273,$A222,Data!$U$4:$U$273,$B222,Data!$S$4:$S$273,$C222))</f>
        <v/>
      </c>
      <c r="S222" s="18" t="str">
        <f ca="1">IF($A222="","",SUMIFS(Data!$AF$4:$AF$273,Data!$T$4:$T$273,$A222,Data!$U$4:$U$273,$B222,Data!$S$4:$S$273,$C222))</f>
        <v/>
      </c>
      <c r="T222" s="18" t="str">
        <f ca="1">IF($A222="","",SUMIFS(Data!$AG$4:$AG$273,Data!$T$4:$T$273,$A222,Data!$U$4:$U$273,$B222,Data!$S$4:$S$273,$C222))</f>
        <v/>
      </c>
      <c r="U222" s="18" t="str">
        <f ca="1">IF($A222="","",SUMIFS(Data!$AH$4:$AH$273,Data!$T$4:$T$273,$A222,Data!$U$4:$U$273,$B222,Data!$S$4:$S$273,$C222))</f>
        <v/>
      </c>
      <c r="V222" s="18" t="str">
        <f ca="1">IF($A222="","",SUMIFS(Data!$AO$4:$AO$183,Data!$AM$4:$AM$183,$B222,Data!$AL$4:$AL$183,$A222,Data!$AK$4:$AK$183,$C222))</f>
        <v/>
      </c>
      <c r="W222" s="18" t="str">
        <f ca="1">IF($A222="","",SUMIFS(Data!$AP$4:$AP$183,Data!$AM$4:$AM$183,$B222,Data!$AL$4:$AL$183,$A222,Data!$AK$4:$AK$183,$C222))</f>
        <v/>
      </c>
      <c r="X222" s="18" t="str">
        <f ca="1">IF($A222="","",SUMIFS(Data!$AR$4:$AR$183,Data!$AM$4:$AM$183,$B222,Data!$AL$4:$AL$183,$A222,Data!$AK$4:$AK$183,$C222))</f>
        <v/>
      </c>
      <c r="Y222" s="18" t="str">
        <f ca="1">IF($A222="","",SUMIFS(Data!$AS$4:$AS$183,Data!$AM$4:$AM$183,$B222,Data!$AL$4:$AL$183,$A222,Data!$AK$4:$AK$183,$C222))</f>
        <v/>
      </c>
      <c r="Z222" s="18" t="str">
        <f ca="1">IF($A222="","",SUMIFS(Data!$AT$4:$AT$183,Data!$AM$4:$AM$183,$B222,Data!$AL$4:$AL$183,$A222,Data!$AK$4:$AK$183,$C222))</f>
        <v/>
      </c>
      <c r="AA222" s="18" t="str">
        <f ca="1">IF($A222="","",SUMIFS(Data!$AW$4:$AW$183,Data!$AM$4:$AM$183,$B222,Data!$AL$4:$AL$183,$A222,Data!$AK$4:$AK$183,$C222))</f>
        <v/>
      </c>
      <c r="AB222" s="18" t="str">
        <f ca="1">IF($A222="","",SUMIFS(Data!$AX$4:$AX$183,Data!$AM$4:$AM$183,$B222,Data!$AL$4:$AL$183,$A222,Data!$AK$4:$AK$183,$C222))</f>
        <v/>
      </c>
      <c r="AC222" s="18" t="str">
        <f ca="1">IF($A222="","",SUMIFS(Data!$AY$4:$AY$183,Data!$AM$4:$AM$183,$B222,Data!$AL$4:$AL$183,$A222,Data!$AK$4:$AK$183,$C222))</f>
        <v/>
      </c>
      <c r="AD222" s="18" t="str">
        <f t="shared" ca="1" si="7"/>
        <v/>
      </c>
      <c r="AE222" s="18" t="str">
        <f ca="1">IF($A222="","",SUMIFS(Data!$AJ$4:$AJ$183,Data!$AM$4:$AM$183,$B222,Data!$AL$4:$AL$183,$A222,Data!$AK$4:$AK$183,$C222))</f>
        <v/>
      </c>
    </row>
    <row r="223" spans="1:31">
      <c r="A223" s="18" t="str">
        <f ca="1">IF(Data!T223="","",Data!T223)</f>
        <v/>
      </c>
      <c r="B223" s="18" t="str">
        <f ca="1">IF(Data!U223="","",Data!U223)</f>
        <v/>
      </c>
      <c r="C223" s="18" t="str">
        <f ca="1">IF(Data!S223="","",Data!S223)</f>
        <v/>
      </c>
      <c r="D223" s="18" t="str">
        <f ca="1">IF($A223="","",Data!W223)</f>
        <v/>
      </c>
      <c r="E223" s="18" t="str">
        <f ca="1">IF($A223="","",Data!Y223)</f>
        <v/>
      </c>
      <c r="F223" s="61" t="str">
        <f t="shared" ca="1" si="6"/>
        <v/>
      </c>
      <c r="G223" s="18" t="str">
        <f ca="1">IF($A223="","",Data!AB223)</f>
        <v/>
      </c>
      <c r="H223" s="18" t="str">
        <f ca="1">IF($A223="","",Data!AC223)</f>
        <v/>
      </c>
      <c r="I223" s="18" t="str">
        <f ca="1">IF($A223="","",INT(SUMIFS(Data!$AN$4:$AN$183,Data!$AM$4:$AM$183,$B223,Data!$AL$4:$AL$183,$A223,Data!$AK$4:$AK$183,$C223))+MOD(ROUND(SUMIFS(Data!$AN$4:$AN$183,Data!$AM$4:$AM$183,$B223,Data!$AL$4:$AL$183,$A223,Data!$AK$4:$AK$183,$C223)*3,0),3)/10)</f>
        <v/>
      </c>
      <c r="J223" s="18" t="str">
        <f ca="1">IF($A223="","",SUMIFS(Data!$AQ$4:$AQ$183,Data!$AM$4:$AM$183,$B223,Data!$AL$4:$AL$183,$A223,Data!$AK$4:$AK$183,$C223))</f>
        <v/>
      </c>
      <c r="K223" s="62" t="str">
        <f ca="1">IF($A223="","",IF(SUMIFS(Data!$AN$4:$AN$183,Data!$AM$4:$AM$183,$B223,Data!$AL$4:$AL$183,$A223,Data!$AK$4:$AK$183,$C223)=0,"",J223*3/SUMIFS(Data!$AN$4:$AN$183,Data!$AM$4:$AM$183,$B223,Data!$AL$4:$AL$183,$A223,Data!$AK$4:$AK$183,$C223)))</f>
        <v/>
      </c>
      <c r="L223" s="18" t="str">
        <f ca="1">IF($A223="","",IF(IFERROR(_xlfn.XLOOKUP($C223,Bracket!$F$6:$F$16,Bracket!$K$6:$K$16,""),"")=$B223,1,0))</f>
        <v/>
      </c>
      <c r="M223" s="18" t="str">
        <f ca="1">IF($A223="","",IF(AND(IFERROR(_xlfn.XLOOKUP($C223,Bracket!$F$6:$F$16,Bracket!$K$6:$K$16,""),"")=$B223,LEFT(IFERROR(_xlfn.XLOOKUP($C223,Bracket!$F$6:$F$16,Bracket!$G$6:$G$16,""),""),2)="CG"),1,0))</f>
        <v/>
      </c>
      <c r="N223" s="18" t="str">
        <f ca="1">IF($A223="","",SUMIFS(Data!$X$4:$X$273,Data!$T$4:$T$273,$A223,Data!$U$4:$U$273,$B223,Data!$S$4:$S$273,$C223))</f>
        <v/>
      </c>
      <c r="O223" s="18" t="str">
        <f ca="1">IF($A223="","",SUMIFS(Data!$Z$4:$Z$273,Data!$T$4:$T$273,$A223,Data!$U$4:$U$273,$B223,Data!$S$4:$S$273,$C223))</f>
        <v/>
      </c>
      <c r="P223" s="18" t="str">
        <f ca="1">IF($A223="","",SUMIFS(Data!$AA$4:$AA$273,Data!$T$4:$T$273,$A223,Data!$U$4:$U$273,$B223,Data!$S$4:$S$273,$C223))</f>
        <v/>
      </c>
      <c r="Q223" s="18" t="str">
        <f ca="1">IF($A223="","",SUMIFS(Data!$AD$4:$AD$273,Data!$T$4:$T$273,$A223,Data!$U$4:$U$273,$B223,Data!$S$4:$S$273,$C223))</f>
        <v/>
      </c>
      <c r="R223" s="18" t="str">
        <f ca="1">IF($A223="","",SUMIFS(Data!$AE$4:$AE$273,Data!$T$4:$T$273,$A223,Data!$U$4:$U$273,$B223,Data!$S$4:$S$273,$C223))</f>
        <v/>
      </c>
      <c r="S223" s="18" t="str">
        <f ca="1">IF($A223="","",SUMIFS(Data!$AF$4:$AF$273,Data!$T$4:$T$273,$A223,Data!$U$4:$U$273,$B223,Data!$S$4:$S$273,$C223))</f>
        <v/>
      </c>
      <c r="T223" s="18" t="str">
        <f ca="1">IF($A223="","",SUMIFS(Data!$AG$4:$AG$273,Data!$T$4:$T$273,$A223,Data!$U$4:$U$273,$B223,Data!$S$4:$S$273,$C223))</f>
        <v/>
      </c>
      <c r="U223" s="18" t="str">
        <f ca="1">IF($A223="","",SUMIFS(Data!$AH$4:$AH$273,Data!$T$4:$T$273,$A223,Data!$U$4:$U$273,$B223,Data!$S$4:$S$273,$C223))</f>
        <v/>
      </c>
      <c r="V223" s="18" t="str">
        <f ca="1">IF($A223="","",SUMIFS(Data!$AO$4:$AO$183,Data!$AM$4:$AM$183,$B223,Data!$AL$4:$AL$183,$A223,Data!$AK$4:$AK$183,$C223))</f>
        <v/>
      </c>
      <c r="W223" s="18" t="str">
        <f ca="1">IF($A223="","",SUMIFS(Data!$AP$4:$AP$183,Data!$AM$4:$AM$183,$B223,Data!$AL$4:$AL$183,$A223,Data!$AK$4:$AK$183,$C223))</f>
        <v/>
      </c>
      <c r="X223" s="18" t="str">
        <f ca="1">IF($A223="","",SUMIFS(Data!$AR$4:$AR$183,Data!$AM$4:$AM$183,$B223,Data!$AL$4:$AL$183,$A223,Data!$AK$4:$AK$183,$C223))</f>
        <v/>
      </c>
      <c r="Y223" s="18" t="str">
        <f ca="1">IF($A223="","",SUMIFS(Data!$AS$4:$AS$183,Data!$AM$4:$AM$183,$B223,Data!$AL$4:$AL$183,$A223,Data!$AK$4:$AK$183,$C223))</f>
        <v/>
      </c>
      <c r="Z223" s="18" t="str">
        <f ca="1">IF($A223="","",SUMIFS(Data!$AT$4:$AT$183,Data!$AM$4:$AM$183,$B223,Data!$AL$4:$AL$183,$A223,Data!$AK$4:$AK$183,$C223))</f>
        <v/>
      </c>
      <c r="AA223" s="18" t="str">
        <f ca="1">IF($A223="","",SUMIFS(Data!$AW$4:$AW$183,Data!$AM$4:$AM$183,$B223,Data!$AL$4:$AL$183,$A223,Data!$AK$4:$AK$183,$C223))</f>
        <v/>
      </c>
      <c r="AB223" s="18" t="str">
        <f ca="1">IF($A223="","",SUMIFS(Data!$AX$4:$AX$183,Data!$AM$4:$AM$183,$B223,Data!$AL$4:$AL$183,$A223,Data!$AK$4:$AK$183,$C223))</f>
        <v/>
      </c>
      <c r="AC223" s="18" t="str">
        <f ca="1">IF($A223="","",SUMIFS(Data!$AY$4:$AY$183,Data!$AM$4:$AM$183,$B223,Data!$AL$4:$AL$183,$A223,Data!$AK$4:$AK$183,$C223))</f>
        <v/>
      </c>
      <c r="AD223" s="18" t="str">
        <f t="shared" ca="1" si="7"/>
        <v/>
      </c>
      <c r="AE223" s="18" t="str">
        <f ca="1">IF($A223="","",SUMIFS(Data!$AJ$4:$AJ$183,Data!$AM$4:$AM$183,$B223,Data!$AL$4:$AL$183,$A223,Data!$AK$4:$AK$183,$C223))</f>
        <v/>
      </c>
    </row>
    <row r="224" spans="1:31">
      <c r="A224" s="18" t="str">
        <f ca="1">IF(Data!T224="","",Data!T224)</f>
        <v/>
      </c>
      <c r="B224" s="18" t="str">
        <f ca="1">IF(Data!U224="","",Data!U224)</f>
        <v/>
      </c>
      <c r="C224" s="18" t="str">
        <f ca="1">IF(Data!S224="","",Data!S224)</f>
        <v/>
      </c>
      <c r="D224" s="18" t="str">
        <f ca="1">IF($A224="","",Data!W224)</f>
        <v/>
      </c>
      <c r="E224" s="18" t="str">
        <f ca="1">IF($A224="","",Data!Y224)</f>
        <v/>
      </c>
      <c r="F224" s="61" t="str">
        <f t="shared" ca="1" si="6"/>
        <v/>
      </c>
      <c r="G224" s="18" t="str">
        <f ca="1">IF($A224="","",Data!AB224)</f>
        <v/>
      </c>
      <c r="H224" s="18" t="str">
        <f ca="1">IF($A224="","",Data!AC224)</f>
        <v/>
      </c>
      <c r="I224" s="18" t="str">
        <f ca="1">IF($A224="","",INT(SUMIFS(Data!$AN$4:$AN$183,Data!$AM$4:$AM$183,$B224,Data!$AL$4:$AL$183,$A224,Data!$AK$4:$AK$183,$C224))+MOD(ROUND(SUMIFS(Data!$AN$4:$AN$183,Data!$AM$4:$AM$183,$B224,Data!$AL$4:$AL$183,$A224,Data!$AK$4:$AK$183,$C224)*3,0),3)/10)</f>
        <v/>
      </c>
      <c r="J224" s="18" t="str">
        <f ca="1">IF($A224="","",SUMIFS(Data!$AQ$4:$AQ$183,Data!$AM$4:$AM$183,$B224,Data!$AL$4:$AL$183,$A224,Data!$AK$4:$AK$183,$C224))</f>
        <v/>
      </c>
      <c r="K224" s="62" t="str">
        <f ca="1">IF($A224="","",IF(SUMIFS(Data!$AN$4:$AN$183,Data!$AM$4:$AM$183,$B224,Data!$AL$4:$AL$183,$A224,Data!$AK$4:$AK$183,$C224)=0,"",J224*3/SUMIFS(Data!$AN$4:$AN$183,Data!$AM$4:$AM$183,$B224,Data!$AL$4:$AL$183,$A224,Data!$AK$4:$AK$183,$C224)))</f>
        <v/>
      </c>
      <c r="L224" s="18" t="str">
        <f ca="1">IF($A224="","",IF(IFERROR(_xlfn.XLOOKUP($C224,Bracket!$F$6:$F$16,Bracket!$K$6:$K$16,""),"")=$B224,1,0))</f>
        <v/>
      </c>
      <c r="M224" s="18" t="str">
        <f ca="1">IF($A224="","",IF(AND(IFERROR(_xlfn.XLOOKUP($C224,Bracket!$F$6:$F$16,Bracket!$K$6:$K$16,""),"")=$B224,LEFT(IFERROR(_xlfn.XLOOKUP($C224,Bracket!$F$6:$F$16,Bracket!$G$6:$G$16,""),""),2)="CG"),1,0))</f>
        <v/>
      </c>
      <c r="N224" s="18" t="str">
        <f ca="1">IF($A224="","",SUMIFS(Data!$X$4:$X$273,Data!$T$4:$T$273,$A224,Data!$U$4:$U$273,$B224,Data!$S$4:$S$273,$C224))</f>
        <v/>
      </c>
      <c r="O224" s="18" t="str">
        <f ca="1">IF($A224="","",SUMIFS(Data!$Z$4:$Z$273,Data!$T$4:$T$273,$A224,Data!$U$4:$U$273,$B224,Data!$S$4:$S$273,$C224))</f>
        <v/>
      </c>
      <c r="P224" s="18" t="str">
        <f ca="1">IF($A224="","",SUMIFS(Data!$AA$4:$AA$273,Data!$T$4:$T$273,$A224,Data!$U$4:$U$273,$B224,Data!$S$4:$S$273,$C224))</f>
        <v/>
      </c>
      <c r="Q224" s="18" t="str">
        <f ca="1">IF($A224="","",SUMIFS(Data!$AD$4:$AD$273,Data!$T$4:$T$273,$A224,Data!$U$4:$U$273,$B224,Data!$S$4:$S$273,$C224))</f>
        <v/>
      </c>
      <c r="R224" s="18" t="str">
        <f ca="1">IF($A224="","",SUMIFS(Data!$AE$4:$AE$273,Data!$T$4:$T$273,$A224,Data!$U$4:$U$273,$B224,Data!$S$4:$S$273,$C224))</f>
        <v/>
      </c>
      <c r="S224" s="18" t="str">
        <f ca="1">IF($A224="","",SUMIFS(Data!$AF$4:$AF$273,Data!$T$4:$T$273,$A224,Data!$U$4:$U$273,$B224,Data!$S$4:$S$273,$C224))</f>
        <v/>
      </c>
      <c r="T224" s="18" t="str">
        <f ca="1">IF($A224="","",SUMIFS(Data!$AG$4:$AG$273,Data!$T$4:$T$273,$A224,Data!$U$4:$U$273,$B224,Data!$S$4:$S$273,$C224))</f>
        <v/>
      </c>
      <c r="U224" s="18" t="str">
        <f ca="1">IF($A224="","",SUMIFS(Data!$AH$4:$AH$273,Data!$T$4:$T$273,$A224,Data!$U$4:$U$273,$B224,Data!$S$4:$S$273,$C224))</f>
        <v/>
      </c>
      <c r="V224" s="18" t="str">
        <f ca="1">IF($A224="","",SUMIFS(Data!$AO$4:$AO$183,Data!$AM$4:$AM$183,$B224,Data!$AL$4:$AL$183,$A224,Data!$AK$4:$AK$183,$C224))</f>
        <v/>
      </c>
      <c r="W224" s="18" t="str">
        <f ca="1">IF($A224="","",SUMIFS(Data!$AP$4:$AP$183,Data!$AM$4:$AM$183,$B224,Data!$AL$4:$AL$183,$A224,Data!$AK$4:$AK$183,$C224))</f>
        <v/>
      </c>
      <c r="X224" s="18" t="str">
        <f ca="1">IF($A224="","",SUMIFS(Data!$AR$4:$AR$183,Data!$AM$4:$AM$183,$B224,Data!$AL$4:$AL$183,$A224,Data!$AK$4:$AK$183,$C224))</f>
        <v/>
      </c>
      <c r="Y224" s="18" t="str">
        <f ca="1">IF($A224="","",SUMIFS(Data!$AS$4:$AS$183,Data!$AM$4:$AM$183,$B224,Data!$AL$4:$AL$183,$A224,Data!$AK$4:$AK$183,$C224))</f>
        <v/>
      </c>
      <c r="Z224" s="18" t="str">
        <f ca="1">IF($A224="","",SUMIFS(Data!$AT$4:$AT$183,Data!$AM$4:$AM$183,$B224,Data!$AL$4:$AL$183,$A224,Data!$AK$4:$AK$183,$C224))</f>
        <v/>
      </c>
      <c r="AA224" s="18" t="str">
        <f ca="1">IF($A224="","",SUMIFS(Data!$AW$4:$AW$183,Data!$AM$4:$AM$183,$B224,Data!$AL$4:$AL$183,$A224,Data!$AK$4:$AK$183,$C224))</f>
        <v/>
      </c>
      <c r="AB224" s="18" t="str">
        <f ca="1">IF($A224="","",SUMIFS(Data!$AX$4:$AX$183,Data!$AM$4:$AM$183,$B224,Data!$AL$4:$AL$183,$A224,Data!$AK$4:$AK$183,$C224))</f>
        <v/>
      </c>
      <c r="AC224" s="18" t="str">
        <f ca="1">IF($A224="","",SUMIFS(Data!$AY$4:$AY$183,Data!$AM$4:$AM$183,$B224,Data!$AL$4:$AL$183,$A224,Data!$AK$4:$AK$183,$C224))</f>
        <v/>
      </c>
      <c r="AD224" s="18" t="str">
        <f t="shared" ca="1" si="7"/>
        <v/>
      </c>
      <c r="AE224" s="18" t="str">
        <f ca="1">IF($A224="","",SUMIFS(Data!$AJ$4:$AJ$183,Data!$AM$4:$AM$183,$B224,Data!$AL$4:$AL$183,$A224,Data!$AK$4:$AK$183,$C224))</f>
        <v/>
      </c>
    </row>
    <row r="225" spans="1:31">
      <c r="A225" s="18" t="str">
        <f ca="1">IF(Data!T225="","",Data!T225)</f>
        <v/>
      </c>
      <c r="B225" s="18" t="str">
        <f ca="1">IF(Data!U225="","",Data!U225)</f>
        <v/>
      </c>
      <c r="C225" s="18" t="str">
        <f ca="1">IF(Data!S225="","",Data!S225)</f>
        <v/>
      </c>
      <c r="D225" s="18" t="str">
        <f ca="1">IF($A225="","",Data!W225)</f>
        <v/>
      </c>
      <c r="E225" s="18" t="str">
        <f ca="1">IF($A225="","",Data!Y225)</f>
        <v/>
      </c>
      <c r="F225" s="61" t="str">
        <f t="shared" ca="1" si="6"/>
        <v/>
      </c>
      <c r="G225" s="18" t="str">
        <f ca="1">IF($A225="","",Data!AB225)</f>
        <v/>
      </c>
      <c r="H225" s="18" t="str">
        <f ca="1">IF($A225="","",Data!AC225)</f>
        <v/>
      </c>
      <c r="I225" s="18" t="str">
        <f ca="1">IF($A225="","",INT(SUMIFS(Data!$AN$4:$AN$183,Data!$AM$4:$AM$183,$B225,Data!$AL$4:$AL$183,$A225,Data!$AK$4:$AK$183,$C225))+MOD(ROUND(SUMIFS(Data!$AN$4:$AN$183,Data!$AM$4:$AM$183,$B225,Data!$AL$4:$AL$183,$A225,Data!$AK$4:$AK$183,$C225)*3,0),3)/10)</f>
        <v/>
      </c>
      <c r="J225" s="18" t="str">
        <f ca="1">IF($A225="","",SUMIFS(Data!$AQ$4:$AQ$183,Data!$AM$4:$AM$183,$B225,Data!$AL$4:$AL$183,$A225,Data!$AK$4:$AK$183,$C225))</f>
        <v/>
      </c>
      <c r="K225" s="62" t="str">
        <f ca="1">IF($A225="","",IF(SUMIFS(Data!$AN$4:$AN$183,Data!$AM$4:$AM$183,$B225,Data!$AL$4:$AL$183,$A225,Data!$AK$4:$AK$183,$C225)=0,"",J225*3/SUMIFS(Data!$AN$4:$AN$183,Data!$AM$4:$AM$183,$B225,Data!$AL$4:$AL$183,$A225,Data!$AK$4:$AK$183,$C225)))</f>
        <v/>
      </c>
      <c r="L225" s="18" t="str">
        <f ca="1">IF($A225="","",IF(IFERROR(_xlfn.XLOOKUP($C225,Bracket!$F$6:$F$16,Bracket!$K$6:$K$16,""),"")=$B225,1,0))</f>
        <v/>
      </c>
      <c r="M225" s="18" t="str">
        <f ca="1">IF($A225="","",IF(AND(IFERROR(_xlfn.XLOOKUP($C225,Bracket!$F$6:$F$16,Bracket!$K$6:$K$16,""),"")=$B225,LEFT(IFERROR(_xlfn.XLOOKUP($C225,Bracket!$F$6:$F$16,Bracket!$G$6:$G$16,""),""),2)="CG"),1,0))</f>
        <v/>
      </c>
      <c r="N225" s="18" t="str">
        <f ca="1">IF($A225="","",SUMIFS(Data!$X$4:$X$273,Data!$T$4:$T$273,$A225,Data!$U$4:$U$273,$B225,Data!$S$4:$S$273,$C225))</f>
        <v/>
      </c>
      <c r="O225" s="18" t="str">
        <f ca="1">IF($A225="","",SUMIFS(Data!$Z$4:$Z$273,Data!$T$4:$T$273,$A225,Data!$U$4:$U$273,$B225,Data!$S$4:$S$273,$C225))</f>
        <v/>
      </c>
      <c r="P225" s="18" t="str">
        <f ca="1">IF($A225="","",SUMIFS(Data!$AA$4:$AA$273,Data!$T$4:$T$273,$A225,Data!$U$4:$U$273,$B225,Data!$S$4:$S$273,$C225))</f>
        <v/>
      </c>
      <c r="Q225" s="18" t="str">
        <f ca="1">IF($A225="","",SUMIFS(Data!$AD$4:$AD$273,Data!$T$4:$T$273,$A225,Data!$U$4:$U$273,$B225,Data!$S$4:$S$273,$C225))</f>
        <v/>
      </c>
      <c r="R225" s="18" t="str">
        <f ca="1">IF($A225="","",SUMIFS(Data!$AE$4:$AE$273,Data!$T$4:$T$273,$A225,Data!$U$4:$U$273,$B225,Data!$S$4:$S$273,$C225))</f>
        <v/>
      </c>
      <c r="S225" s="18" t="str">
        <f ca="1">IF($A225="","",SUMIFS(Data!$AF$4:$AF$273,Data!$T$4:$T$273,$A225,Data!$U$4:$U$273,$B225,Data!$S$4:$S$273,$C225))</f>
        <v/>
      </c>
      <c r="T225" s="18" t="str">
        <f ca="1">IF($A225="","",SUMIFS(Data!$AG$4:$AG$273,Data!$T$4:$T$273,$A225,Data!$U$4:$U$273,$B225,Data!$S$4:$S$273,$C225))</f>
        <v/>
      </c>
      <c r="U225" s="18" t="str">
        <f ca="1">IF($A225="","",SUMIFS(Data!$AH$4:$AH$273,Data!$T$4:$T$273,$A225,Data!$U$4:$U$273,$B225,Data!$S$4:$S$273,$C225))</f>
        <v/>
      </c>
      <c r="V225" s="18" t="str">
        <f ca="1">IF($A225="","",SUMIFS(Data!$AO$4:$AO$183,Data!$AM$4:$AM$183,$B225,Data!$AL$4:$AL$183,$A225,Data!$AK$4:$AK$183,$C225))</f>
        <v/>
      </c>
      <c r="W225" s="18" t="str">
        <f ca="1">IF($A225="","",SUMIFS(Data!$AP$4:$AP$183,Data!$AM$4:$AM$183,$B225,Data!$AL$4:$AL$183,$A225,Data!$AK$4:$AK$183,$C225))</f>
        <v/>
      </c>
      <c r="X225" s="18" t="str">
        <f ca="1">IF($A225="","",SUMIFS(Data!$AR$4:$AR$183,Data!$AM$4:$AM$183,$B225,Data!$AL$4:$AL$183,$A225,Data!$AK$4:$AK$183,$C225))</f>
        <v/>
      </c>
      <c r="Y225" s="18" t="str">
        <f ca="1">IF($A225="","",SUMIFS(Data!$AS$4:$AS$183,Data!$AM$4:$AM$183,$B225,Data!$AL$4:$AL$183,$A225,Data!$AK$4:$AK$183,$C225))</f>
        <v/>
      </c>
      <c r="Z225" s="18" t="str">
        <f ca="1">IF($A225="","",SUMIFS(Data!$AT$4:$AT$183,Data!$AM$4:$AM$183,$B225,Data!$AL$4:$AL$183,$A225,Data!$AK$4:$AK$183,$C225))</f>
        <v/>
      </c>
      <c r="AA225" s="18" t="str">
        <f ca="1">IF($A225="","",SUMIFS(Data!$AW$4:$AW$183,Data!$AM$4:$AM$183,$B225,Data!$AL$4:$AL$183,$A225,Data!$AK$4:$AK$183,$C225))</f>
        <v/>
      </c>
      <c r="AB225" s="18" t="str">
        <f ca="1">IF($A225="","",SUMIFS(Data!$AX$4:$AX$183,Data!$AM$4:$AM$183,$B225,Data!$AL$4:$AL$183,$A225,Data!$AK$4:$AK$183,$C225))</f>
        <v/>
      </c>
      <c r="AC225" s="18" t="str">
        <f ca="1">IF($A225="","",SUMIFS(Data!$AY$4:$AY$183,Data!$AM$4:$AM$183,$B225,Data!$AL$4:$AL$183,$A225,Data!$AK$4:$AK$183,$C225))</f>
        <v/>
      </c>
      <c r="AD225" s="18" t="str">
        <f t="shared" ca="1" si="7"/>
        <v/>
      </c>
      <c r="AE225" s="18" t="str">
        <f ca="1">IF($A225="","",SUMIFS(Data!$AJ$4:$AJ$183,Data!$AM$4:$AM$183,$B225,Data!$AL$4:$AL$183,$A225,Data!$AK$4:$AK$183,$C225))</f>
        <v/>
      </c>
    </row>
    <row r="226" spans="1:31">
      <c r="A226" s="18" t="str">
        <f ca="1">IF(Data!T226="","",Data!T226)</f>
        <v/>
      </c>
      <c r="B226" s="18" t="str">
        <f ca="1">IF(Data!U226="","",Data!U226)</f>
        <v/>
      </c>
      <c r="C226" s="18" t="str">
        <f ca="1">IF(Data!S226="","",Data!S226)</f>
        <v/>
      </c>
      <c r="D226" s="18" t="str">
        <f ca="1">IF($A226="","",Data!W226)</f>
        <v/>
      </c>
      <c r="E226" s="18" t="str">
        <f ca="1">IF($A226="","",Data!Y226)</f>
        <v/>
      </c>
      <c r="F226" s="61" t="str">
        <f t="shared" ca="1" si="6"/>
        <v/>
      </c>
      <c r="G226" s="18" t="str">
        <f ca="1">IF($A226="","",Data!AB226)</f>
        <v/>
      </c>
      <c r="H226" s="18" t="str">
        <f ca="1">IF($A226="","",Data!AC226)</f>
        <v/>
      </c>
      <c r="I226" s="18" t="str">
        <f ca="1">IF($A226="","",INT(SUMIFS(Data!$AN$4:$AN$183,Data!$AM$4:$AM$183,$B226,Data!$AL$4:$AL$183,$A226,Data!$AK$4:$AK$183,$C226))+MOD(ROUND(SUMIFS(Data!$AN$4:$AN$183,Data!$AM$4:$AM$183,$B226,Data!$AL$4:$AL$183,$A226,Data!$AK$4:$AK$183,$C226)*3,0),3)/10)</f>
        <v/>
      </c>
      <c r="J226" s="18" t="str">
        <f ca="1">IF($A226="","",SUMIFS(Data!$AQ$4:$AQ$183,Data!$AM$4:$AM$183,$B226,Data!$AL$4:$AL$183,$A226,Data!$AK$4:$AK$183,$C226))</f>
        <v/>
      </c>
      <c r="K226" s="62" t="str">
        <f ca="1">IF($A226="","",IF(SUMIFS(Data!$AN$4:$AN$183,Data!$AM$4:$AM$183,$B226,Data!$AL$4:$AL$183,$A226,Data!$AK$4:$AK$183,$C226)=0,"",J226*3/SUMIFS(Data!$AN$4:$AN$183,Data!$AM$4:$AM$183,$B226,Data!$AL$4:$AL$183,$A226,Data!$AK$4:$AK$183,$C226)))</f>
        <v/>
      </c>
      <c r="L226" s="18" t="str">
        <f ca="1">IF($A226="","",IF(IFERROR(_xlfn.XLOOKUP($C226,Bracket!$F$6:$F$16,Bracket!$K$6:$K$16,""),"")=$B226,1,0))</f>
        <v/>
      </c>
      <c r="M226" s="18" t="str">
        <f ca="1">IF($A226="","",IF(AND(IFERROR(_xlfn.XLOOKUP($C226,Bracket!$F$6:$F$16,Bracket!$K$6:$K$16,""),"")=$B226,LEFT(IFERROR(_xlfn.XLOOKUP($C226,Bracket!$F$6:$F$16,Bracket!$G$6:$G$16,""),""),2)="CG"),1,0))</f>
        <v/>
      </c>
      <c r="N226" s="18" t="str">
        <f ca="1">IF($A226="","",SUMIFS(Data!$X$4:$X$273,Data!$T$4:$T$273,$A226,Data!$U$4:$U$273,$B226,Data!$S$4:$S$273,$C226))</f>
        <v/>
      </c>
      <c r="O226" s="18" t="str">
        <f ca="1">IF($A226="","",SUMIFS(Data!$Z$4:$Z$273,Data!$T$4:$T$273,$A226,Data!$U$4:$U$273,$B226,Data!$S$4:$S$273,$C226))</f>
        <v/>
      </c>
      <c r="P226" s="18" t="str">
        <f ca="1">IF($A226="","",SUMIFS(Data!$AA$4:$AA$273,Data!$T$4:$T$273,$A226,Data!$U$4:$U$273,$B226,Data!$S$4:$S$273,$C226))</f>
        <v/>
      </c>
      <c r="Q226" s="18" t="str">
        <f ca="1">IF($A226="","",SUMIFS(Data!$AD$4:$AD$273,Data!$T$4:$T$273,$A226,Data!$U$4:$U$273,$B226,Data!$S$4:$S$273,$C226))</f>
        <v/>
      </c>
      <c r="R226" s="18" t="str">
        <f ca="1">IF($A226="","",SUMIFS(Data!$AE$4:$AE$273,Data!$T$4:$T$273,$A226,Data!$U$4:$U$273,$B226,Data!$S$4:$S$273,$C226))</f>
        <v/>
      </c>
      <c r="S226" s="18" t="str">
        <f ca="1">IF($A226="","",SUMIFS(Data!$AF$4:$AF$273,Data!$T$4:$T$273,$A226,Data!$U$4:$U$273,$B226,Data!$S$4:$S$273,$C226))</f>
        <v/>
      </c>
      <c r="T226" s="18" t="str">
        <f ca="1">IF($A226="","",SUMIFS(Data!$AG$4:$AG$273,Data!$T$4:$T$273,$A226,Data!$U$4:$U$273,$B226,Data!$S$4:$S$273,$C226))</f>
        <v/>
      </c>
      <c r="U226" s="18" t="str">
        <f ca="1">IF($A226="","",SUMIFS(Data!$AH$4:$AH$273,Data!$T$4:$T$273,$A226,Data!$U$4:$U$273,$B226,Data!$S$4:$S$273,$C226))</f>
        <v/>
      </c>
      <c r="V226" s="18" t="str">
        <f ca="1">IF($A226="","",SUMIFS(Data!$AO$4:$AO$183,Data!$AM$4:$AM$183,$B226,Data!$AL$4:$AL$183,$A226,Data!$AK$4:$AK$183,$C226))</f>
        <v/>
      </c>
      <c r="W226" s="18" t="str">
        <f ca="1">IF($A226="","",SUMIFS(Data!$AP$4:$AP$183,Data!$AM$4:$AM$183,$B226,Data!$AL$4:$AL$183,$A226,Data!$AK$4:$AK$183,$C226))</f>
        <v/>
      </c>
      <c r="X226" s="18" t="str">
        <f ca="1">IF($A226="","",SUMIFS(Data!$AR$4:$AR$183,Data!$AM$4:$AM$183,$B226,Data!$AL$4:$AL$183,$A226,Data!$AK$4:$AK$183,$C226))</f>
        <v/>
      </c>
      <c r="Y226" s="18" t="str">
        <f ca="1">IF($A226="","",SUMIFS(Data!$AS$4:$AS$183,Data!$AM$4:$AM$183,$B226,Data!$AL$4:$AL$183,$A226,Data!$AK$4:$AK$183,$C226))</f>
        <v/>
      </c>
      <c r="Z226" s="18" t="str">
        <f ca="1">IF($A226="","",SUMIFS(Data!$AT$4:$AT$183,Data!$AM$4:$AM$183,$B226,Data!$AL$4:$AL$183,$A226,Data!$AK$4:$AK$183,$C226))</f>
        <v/>
      </c>
      <c r="AA226" s="18" t="str">
        <f ca="1">IF($A226="","",SUMIFS(Data!$AW$4:$AW$183,Data!$AM$4:$AM$183,$B226,Data!$AL$4:$AL$183,$A226,Data!$AK$4:$AK$183,$C226))</f>
        <v/>
      </c>
      <c r="AB226" s="18" t="str">
        <f ca="1">IF($A226="","",SUMIFS(Data!$AX$4:$AX$183,Data!$AM$4:$AM$183,$B226,Data!$AL$4:$AL$183,$A226,Data!$AK$4:$AK$183,$C226))</f>
        <v/>
      </c>
      <c r="AC226" s="18" t="str">
        <f ca="1">IF($A226="","",SUMIFS(Data!$AY$4:$AY$183,Data!$AM$4:$AM$183,$B226,Data!$AL$4:$AL$183,$A226,Data!$AK$4:$AK$183,$C226))</f>
        <v/>
      </c>
      <c r="AD226" s="18" t="str">
        <f t="shared" ca="1" si="7"/>
        <v/>
      </c>
      <c r="AE226" s="18" t="str">
        <f ca="1">IF($A226="","",SUMIFS(Data!$AJ$4:$AJ$183,Data!$AM$4:$AM$183,$B226,Data!$AL$4:$AL$183,$A226,Data!$AK$4:$AK$183,$C226))</f>
        <v/>
      </c>
    </row>
    <row r="227" spans="1:31">
      <c r="A227" s="18" t="str">
        <f ca="1">IF(Data!T227="","",Data!T227)</f>
        <v/>
      </c>
      <c r="B227" s="18" t="str">
        <f ca="1">IF(Data!U227="","",Data!U227)</f>
        <v/>
      </c>
      <c r="C227" s="18" t="str">
        <f ca="1">IF(Data!S227="","",Data!S227)</f>
        <v/>
      </c>
      <c r="D227" s="18" t="str">
        <f ca="1">IF($A227="","",Data!W227)</f>
        <v/>
      </c>
      <c r="E227" s="18" t="str">
        <f ca="1">IF($A227="","",Data!Y227)</f>
        <v/>
      </c>
      <c r="F227" s="61" t="str">
        <f t="shared" ca="1" si="6"/>
        <v/>
      </c>
      <c r="G227" s="18" t="str">
        <f ca="1">IF($A227="","",Data!AB227)</f>
        <v/>
      </c>
      <c r="H227" s="18" t="str">
        <f ca="1">IF($A227="","",Data!AC227)</f>
        <v/>
      </c>
      <c r="I227" s="18" t="str">
        <f ca="1">IF($A227="","",INT(SUMIFS(Data!$AN$4:$AN$183,Data!$AM$4:$AM$183,$B227,Data!$AL$4:$AL$183,$A227,Data!$AK$4:$AK$183,$C227))+MOD(ROUND(SUMIFS(Data!$AN$4:$AN$183,Data!$AM$4:$AM$183,$B227,Data!$AL$4:$AL$183,$A227,Data!$AK$4:$AK$183,$C227)*3,0),3)/10)</f>
        <v/>
      </c>
      <c r="J227" s="18" t="str">
        <f ca="1">IF($A227="","",SUMIFS(Data!$AQ$4:$AQ$183,Data!$AM$4:$AM$183,$B227,Data!$AL$4:$AL$183,$A227,Data!$AK$4:$AK$183,$C227))</f>
        <v/>
      </c>
      <c r="K227" s="62" t="str">
        <f ca="1">IF($A227="","",IF(SUMIFS(Data!$AN$4:$AN$183,Data!$AM$4:$AM$183,$B227,Data!$AL$4:$AL$183,$A227,Data!$AK$4:$AK$183,$C227)=0,"",J227*3/SUMIFS(Data!$AN$4:$AN$183,Data!$AM$4:$AM$183,$B227,Data!$AL$4:$AL$183,$A227,Data!$AK$4:$AK$183,$C227)))</f>
        <v/>
      </c>
      <c r="L227" s="18" t="str">
        <f ca="1">IF($A227="","",IF(IFERROR(_xlfn.XLOOKUP($C227,Bracket!$F$6:$F$16,Bracket!$K$6:$K$16,""),"")=$B227,1,0))</f>
        <v/>
      </c>
      <c r="M227" s="18" t="str">
        <f ca="1">IF($A227="","",IF(AND(IFERROR(_xlfn.XLOOKUP($C227,Bracket!$F$6:$F$16,Bracket!$K$6:$K$16,""),"")=$B227,LEFT(IFERROR(_xlfn.XLOOKUP($C227,Bracket!$F$6:$F$16,Bracket!$G$6:$G$16,""),""),2)="CG"),1,0))</f>
        <v/>
      </c>
      <c r="N227" s="18" t="str">
        <f ca="1">IF($A227="","",SUMIFS(Data!$X$4:$X$273,Data!$T$4:$T$273,$A227,Data!$U$4:$U$273,$B227,Data!$S$4:$S$273,$C227))</f>
        <v/>
      </c>
      <c r="O227" s="18" t="str">
        <f ca="1">IF($A227="","",SUMIFS(Data!$Z$4:$Z$273,Data!$T$4:$T$273,$A227,Data!$U$4:$U$273,$B227,Data!$S$4:$S$273,$C227))</f>
        <v/>
      </c>
      <c r="P227" s="18" t="str">
        <f ca="1">IF($A227="","",SUMIFS(Data!$AA$4:$AA$273,Data!$T$4:$T$273,$A227,Data!$U$4:$U$273,$B227,Data!$S$4:$S$273,$C227))</f>
        <v/>
      </c>
      <c r="Q227" s="18" t="str">
        <f ca="1">IF($A227="","",SUMIFS(Data!$AD$4:$AD$273,Data!$T$4:$T$273,$A227,Data!$U$4:$U$273,$B227,Data!$S$4:$S$273,$C227))</f>
        <v/>
      </c>
      <c r="R227" s="18" t="str">
        <f ca="1">IF($A227="","",SUMIFS(Data!$AE$4:$AE$273,Data!$T$4:$T$273,$A227,Data!$U$4:$U$273,$B227,Data!$S$4:$S$273,$C227))</f>
        <v/>
      </c>
      <c r="S227" s="18" t="str">
        <f ca="1">IF($A227="","",SUMIFS(Data!$AF$4:$AF$273,Data!$T$4:$T$273,$A227,Data!$U$4:$U$273,$B227,Data!$S$4:$S$273,$C227))</f>
        <v/>
      </c>
      <c r="T227" s="18" t="str">
        <f ca="1">IF($A227="","",SUMIFS(Data!$AG$4:$AG$273,Data!$T$4:$T$273,$A227,Data!$U$4:$U$273,$B227,Data!$S$4:$S$273,$C227))</f>
        <v/>
      </c>
      <c r="U227" s="18" t="str">
        <f ca="1">IF($A227="","",SUMIFS(Data!$AH$4:$AH$273,Data!$T$4:$T$273,$A227,Data!$U$4:$U$273,$B227,Data!$S$4:$S$273,$C227))</f>
        <v/>
      </c>
      <c r="V227" s="18" t="str">
        <f ca="1">IF($A227="","",SUMIFS(Data!$AO$4:$AO$183,Data!$AM$4:$AM$183,$B227,Data!$AL$4:$AL$183,$A227,Data!$AK$4:$AK$183,$C227))</f>
        <v/>
      </c>
      <c r="W227" s="18" t="str">
        <f ca="1">IF($A227="","",SUMIFS(Data!$AP$4:$AP$183,Data!$AM$4:$AM$183,$B227,Data!$AL$4:$AL$183,$A227,Data!$AK$4:$AK$183,$C227))</f>
        <v/>
      </c>
      <c r="X227" s="18" t="str">
        <f ca="1">IF($A227="","",SUMIFS(Data!$AR$4:$AR$183,Data!$AM$4:$AM$183,$B227,Data!$AL$4:$AL$183,$A227,Data!$AK$4:$AK$183,$C227))</f>
        <v/>
      </c>
      <c r="Y227" s="18" t="str">
        <f ca="1">IF($A227="","",SUMIFS(Data!$AS$4:$AS$183,Data!$AM$4:$AM$183,$B227,Data!$AL$4:$AL$183,$A227,Data!$AK$4:$AK$183,$C227))</f>
        <v/>
      </c>
      <c r="Z227" s="18" t="str">
        <f ca="1">IF($A227="","",SUMIFS(Data!$AT$4:$AT$183,Data!$AM$4:$AM$183,$B227,Data!$AL$4:$AL$183,$A227,Data!$AK$4:$AK$183,$C227))</f>
        <v/>
      </c>
      <c r="AA227" s="18" t="str">
        <f ca="1">IF($A227="","",SUMIFS(Data!$AW$4:$AW$183,Data!$AM$4:$AM$183,$B227,Data!$AL$4:$AL$183,$A227,Data!$AK$4:$AK$183,$C227))</f>
        <v/>
      </c>
      <c r="AB227" s="18" t="str">
        <f ca="1">IF($A227="","",SUMIFS(Data!$AX$4:$AX$183,Data!$AM$4:$AM$183,$B227,Data!$AL$4:$AL$183,$A227,Data!$AK$4:$AK$183,$C227))</f>
        <v/>
      </c>
      <c r="AC227" s="18" t="str">
        <f ca="1">IF($A227="","",SUMIFS(Data!$AY$4:$AY$183,Data!$AM$4:$AM$183,$B227,Data!$AL$4:$AL$183,$A227,Data!$AK$4:$AK$183,$C227))</f>
        <v/>
      </c>
      <c r="AD227" s="18" t="str">
        <f t="shared" ca="1" si="7"/>
        <v/>
      </c>
      <c r="AE227" s="18" t="str">
        <f ca="1">IF($A227="","",SUMIFS(Data!$AJ$4:$AJ$183,Data!$AM$4:$AM$183,$B227,Data!$AL$4:$AL$183,$A227,Data!$AK$4:$AK$183,$C227))</f>
        <v/>
      </c>
    </row>
    <row r="228" spans="1:31">
      <c r="A228" s="18" t="str">
        <f ca="1">IF(Data!T228="","",Data!T228)</f>
        <v/>
      </c>
      <c r="B228" s="18" t="str">
        <f ca="1">IF(Data!U228="","",Data!U228)</f>
        <v/>
      </c>
      <c r="C228" s="18" t="str">
        <f ca="1">IF(Data!S228="","",Data!S228)</f>
        <v/>
      </c>
      <c r="D228" s="18" t="str">
        <f ca="1">IF($A228="","",Data!W228)</f>
        <v/>
      </c>
      <c r="E228" s="18" t="str">
        <f ca="1">IF($A228="","",Data!Y228)</f>
        <v/>
      </c>
      <c r="F228" s="61" t="str">
        <f t="shared" ca="1" si="6"/>
        <v/>
      </c>
      <c r="G228" s="18" t="str">
        <f ca="1">IF($A228="","",Data!AB228)</f>
        <v/>
      </c>
      <c r="H228" s="18" t="str">
        <f ca="1">IF($A228="","",Data!AC228)</f>
        <v/>
      </c>
      <c r="I228" s="18" t="str">
        <f ca="1">IF($A228="","",INT(SUMIFS(Data!$AN$4:$AN$183,Data!$AM$4:$AM$183,$B228,Data!$AL$4:$AL$183,$A228,Data!$AK$4:$AK$183,$C228))+MOD(ROUND(SUMIFS(Data!$AN$4:$AN$183,Data!$AM$4:$AM$183,$B228,Data!$AL$4:$AL$183,$A228,Data!$AK$4:$AK$183,$C228)*3,0),3)/10)</f>
        <v/>
      </c>
      <c r="J228" s="18" t="str">
        <f ca="1">IF($A228="","",SUMIFS(Data!$AQ$4:$AQ$183,Data!$AM$4:$AM$183,$B228,Data!$AL$4:$AL$183,$A228,Data!$AK$4:$AK$183,$C228))</f>
        <v/>
      </c>
      <c r="K228" s="62" t="str">
        <f ca="1">IF($A228="","",IF(SUMIFS(Data!$AN$4:$AN$183,Data!$AM$4:$AM$183,$B228,Data!$AL$4:$AL$183,$A228,Data!$AK$4:$AK$183,$C228)=0,"",J228*3/SUMIFS(Data!$AN$4:$AN$183,Data!$AM$4:$AM$183,$B228,Data!$AL$4:$AL$183,$A228,Data!$AK$4:$AK$183,$C228)))</f>
        <v/>
      </c>
      <c r="L228" s="18" t="str">
        <f ca="1">IF($A228="","",IF(IFERROR(_xlfn.XLOOKUP($C228,Bracket!$F$6:$F$16,Bracket!$K$6:$K$16,""),"")=$B228,1,0))</f>
        <v/>
      </c>
      <c r="M228" s="18" t="str">
        <f ca="1">IF($A228="","",IF(AND(IFERROR(_xlfn.XLOOKUP($C228,Bracket!$F$6:$F$16,Bracket!$K$6:$K$16,""),"")=$B228,LEFT(IFERROR(_xlfn.XLOOKUP($C228,Bracket!$F$6:$F$16,Bracket!$G$6:$G$16,""),""),2)="CG"),1,0))</f>
        <v/>
      </c>
      <c r="N228" s="18" t="str">
        <f ca="1">IF($A228="","",SUMIFS(Data!$X$4:$X$273,Data!$T$4:$T$273,$A228,Data!$U$4:$U$273,$B228,Data!$S$4:$S$273,$C228))</f>
        <v/>
      </c>
      <c r="O228" s="18" t="str">
        <f ca="1">IF($A228="","",SUMIFS(Data!$Z$4:$Z$273,Data!$T$4:$T$273,$A228,Data!$U$4:$U$273,$B228,Data!$S$4:$S$273,$C228))</f>
        <v/>
      </c>
      <c r="P228" s="18" t="str">
        <f ca="1">IF($A228="","",SUMIFS(Data!$AA$4:$AA$273,Data!$T$4:$T$273,$A228,Data!$U$4:$U$273,$B228,Data!$S$4:$S$273,$C228))</f>
        <v/>
      </c>
      <c r="Q228" s="18" t="str">
        <f ca="1">IF($A228="","",SUMIFS(Data!$AD$4:$AD$273,Data!$T$4:$T$273,$A228,Data!$U$4:$U$273,$B228,Data!$S$4:$S$273,$C228))</f>
        <v/>
      </c>
      <c r="R228" s="18" t="str">
        <f ca="1">IF($A228="","",SUMIFS(Data!$AE$4:$AE$273,Data!$T$4:$T$273,$A228,Data!$U$4:$U$273,$B228,Data!$S$4:$S$273,$C228))</f>
        <v/>
      </c>
      <c r="S228" s="18" t="str">
        <f ca="1">IF($A228="","",SUMIFS(Data!$AF$4:$AF$273,Data!$T$4:$T$273,$A228,Data!$U$4:$U$273,$B228,Data!$S$4:$S$273,$C228))</f>
        <v/>
      </c>
      <c r="T228" s="18" t="str">
        <f ca="1">IF($A228="","",SUMIFS(Data!$AG$4:$AG$273,Data!$T$4:$T$273,$A228,Data!$U$4:$U$273,$B228,Data!$S$4:$S$273,$C228))</f>
        <v/>
      </c>
      <c r="U228" s="18" t="str">
        <f ca="1">IF($A228="","",SUMIFS(Data!$AH$4:$AH$273,Data!$T$4:$T$273,$A228,Data!$U$4:$U$273,$B228,Data!$S$4:$S$273,$C228))</f>
        <v/>
      </c>
      <c r="V228" s="18" t="str">
        <f ca="1">IF($A228="","",SUMIFS(Data!$AO$4:$AO$183,Data!$AM$4:$AM$183,$B228,Data!$AL$4:$AL$183,$A228,Data!$AK$4:$AK$183,$C228))</f>
        <v/>
      </c>
      <c r="W228" s="18" t="str">
        <f ca="1">IF($A228="","",SUMIFS(Data!$AP$4:$AP$183,Data!$AM$4:$AM$183,$B228,Data!$AL$4:$AL$183,$A228,Data!$AK$4:$AK$183,$C228))</f>
        <v/>
      </c>
      <c r="X228" s="18" t="str">
        <f ca="1">IF($A228="","",SUMIFS(Data!$AR$4:$AR$183,Data!$AM$4:$AM$183,$B228,Data!$AL$4:$AL$183,$A228,Data!$AK$4:$AK$183,$C228))</f>
        <v/>
      </c>
      <c r="Y228" s="18" t="str">
        <f ca="1">IF($A228="","",SUMIFS(Data!$AS$4:$AS$183,Data!$AM$4:$AM$183,$B228,Data!$AL$4:$AL$183,$A228,Data!$AK$4:$AK$183,$C228))</f>
        <v/>
      </c>
      <c r="Z228" s="18" t="str">
        <f ca="1">IF($A228="","",SUMIFS(Data!$AT$4:$AT$183,Data!$AM$4:$AM$183,$B228,Data!$AL$4:$AL$183,$A228,Data!$AK$4:$AK$183,$C228))</f>
        <v/>
      </c>
      <c r="AA228" s="18" t="str">
        <f ca="1">IF($A228="","",SUMIFS(Data!$AW$4:$AW$183,Data!$AM$4:$AM$183,$B228,Data!$AL$4:$AL$183,$A228,Data!$AK$4:$AK$183,$C228))</f>
        <v/>
      </c>
      <c r="AB228" s="18" t="str">
        <f ca="1">IF($A228="","",SUMIFS(Data!$AX$4:$AX$183,Data!$AM$4:$AM$183,$B228,Data!$AL$4:$AL$183,$A228,Data!$AK$4:$AK$183,$C228))</f>
        <v/>
      </c>
      <c r="AC228" s="18" t="str">
        <f ca="1">IF($A228="","",SUMIFS(Data!$AY$4:$AY$183,Data!$AM$4:$AM$183,$B228,Data!$AL$4:$AL$183,$A228,Data!$AK$4:$AK$183,$C228))</f>
        <v/>
      </c>
      <c r="AD228" s="18" t="str">
        <f t="shared" ca="1" si="7"/>
        <v/>
      </c>
      <c r="AE228" s="18" t="str">
        <f ca="1">IF($A228="","",SUMIFS(Data!$AJ$4:$AJ$183,Data!$AM$4:$AM$183,$B228,Data!$AL$4:$AL$183,$A228,Data!$AK$4:$AK$183,$C228))</f>
        <v/>
      </c>
    </row>
    <row r="229" spans="1:31">
      <c r="A229" s="18" t="str">
        <f ca="1">IF(Data!T229="","",Data!T229)</f>
        <v/>
      </c>
      <c r="B229" s="18" t="str">
        <f ca="1">IF(Data!U229="","",Data!U229)</f>
        <v/>
      </c>
      <c r="C229" s="18" t="str">
        <f ca="1">IF(Data!S229="","",Data!S229)</f>
        <v/>
      </c>
      <c r="D229" s="18" t="str">
        <f ca="1">IF($A229="","",Data!W229)</f>
        <v/>
      </c>
      <c r="E229" s="18" t="str">
        <f ca="1">IF($A229="","",Data!Y229)</f>
        <v/>
      </c>
      <c r="F229" s="61" t="str">
        <f t="shared" ca="1" si="6"/>
        <v/>
      </c>
      <c r="G229" s="18" t="str">
        <f ca="1">IF($A229="","",Data!AB229)</f>
        <v/>
      </c>
      <c r="H229" s="18" t="str">
        <f ca="1">IF($A229="","",Data!AC229)</f>
        <v/>
      </c>
      <c r="I229" s="18" t="str">
        <f ca="1">IF($A229="","",INT(SUMIFS(Data!$AN$4:$AN$183,Data!$AM$4:$AM$183,$B229,Data!$AL$4:$AL$183,$A229,Data!$AK$4:$AK$183,$C229))+MOD(ROUND(SUMIFS(Data!$AN$4:$AN$183,Data!$AM$4:$AM$183,$B229,Data!$AL$4:$AL$183,$A229,Data!$AK$4:$AK$183,$C229)*3,0),3)/10)</f>
        <v/>
      </c>
      <c r="J229" s="18" t="str">
        <f ca="1">IF($A229="","",SUMIFS(Data!$AQ$4:$AQ$183,Data!$AM$4:$AM$183,$B229,Data!$AL$4:$AL$183,$A229,Data!$AK$4:$AK$183,$C229))</f>
        <v/>
      </c>
      <c r="K229" s="62" t="str">
        <f ca="1">IF($A229="","",IF(SUMIFS(Data!$AN$4:$AN$183,Data!$AM$4:$AM$183,$B229,Data!$AL$4:$AL$183,$A229,Data!$AK$4:$AK$183,$C229)=0,"",J229*3/SUMIFS(Data!$AN$4:$AN$183,Data!$AM$4:$AM$183,$B229,Data!$AL$4:$AL$183,$A229,Data!$AK$4:$AK$183,$C229)))</f>
        <v/>
      </c>
      <c r="L229" s="18" t="str">
        <f ca="1">IF($A229="","",IF(IFERROR(_xlfn.XLOOKUP($C229,Bracket!$F$6:$F$16,Bracket!$K$6:$K$16,""),"")=$B229,1,0))</f>
        <v/>
      </c>
      <c r="M229" s="18" t="str">
        <f ca="1">IF($A229="","",IF(AND(IFERROR(_xlfn.XLOOKUP($C229,Bracket!$F$6:$F$16,Bracket!$K$6:$K$16,""),"")=$B229,LEFT(IFERROR(_xlfn.XLOOKUP($C229,Bracket!$F$6:$F$16,Bracket!$G$6:$G$16,""),""),2)="CG"),1,0))</f>
        <v/>
      </c>
      <c r="N229" s="18" t="str">
        <f ca="1">IF($A229="","",SUMIFS(Data!$X$4:$X$273,Data!$T$4:$T$273,$A229,Data!$U$4:$U$273,$B229,Data!$S$4:$S$273,$C229))</f>
        <v/>
      </c>
      <c r="O229" s="18" t="str">
        <f ca="1">IF($A229="","",SUMIFS(Data!$Z$4:$Z$273,Data!$T$4:$T$273,$A229,Data!$U$4:$U$273,$B229,Data!$S$4:$S$273,$C229))</f>
        <v/>
      </c>
      <c r="P229" s="18" t="str">
        <f ca="1">IF($A229="","",SUMIFS(Data!$AA$4:$AA$273,Data!$T$4:$T$273,$A229,Data!$U$4:$U$273,$B229,Data!$S$4:$S$273,$C229))</f>
        <v/>
      </c>
      <c r="Q229" s="18" t="str">
        <f ca="1">IF($A229="","",SUMIFS(Data!$AD$4:$AD$273,Data!$T$4:$T$273,$A229,Data!$U$4:$U$273,$B229,Data!$S$4:$S$273,$C229))</f>
        <v/>
      </c>
      <c r="R229" s="18" t="str">
        <f ca="1">IF($A229="","",SUMIFS(Data!$AE$4:$AE$273,Data!$T$4:$T$273,$A229,Data!$U$4:$U$273,$B229,Data!$S$4:$S$273,$C229))</f>
        <v/>
      </c>
      <c r="S229" s="18" t="str">
        <f ca="1">IF($A229="","",SUMIFS(Data!$AF$4:$AF$273,Data!$T$4:$T$273,$A229,Data!$U$4:$U$273,$B229,Data!$S$4:$S$273,$C229))</f>
        <v/>
      </c>
      <c r="T229" s="18" t="str">
        <f ca="1">IF($A229="","",SUMIFS(Data!$AG$4:$AG$273,Data!$T$4:$T$273,$A229,Data!$U$4:$U$273,$B229,Data!$S$4:$S$273,$C229))</f>
        <v/>
      </c>
      <c r="U229" s="18" t="str">
        <f ca="1">IF($A229="","",SUMIFS(Data!$AH$4:$AH$273,Data!$T$4:$T$273,$A229,Data!$U$4:$U$273,$B229,Data!$S$4:$S$273,$C229))</f>
        <v/>
      </c>
      <c r="V229" s="18" t="str">
        <f ca="1">IF($A229="","",SUMIFS(Data!$AO$4:$AO$183,Data!$AM$4:$AM$183,$B229,Data!$AL$4:$AL$183,$A229,Data!$AK$4:$AK$183,$C229))</f>
        <v/>
      </c>
      <c r="W229" s="18" t="str">
        <f ca="1">IF($A229="","",SUMIFS(Data!$AP$4:$AP$183,Data!$AM$4:$AM$183,$B229,Data!$AL$4:$AL$183,$A229,Data!$AK$4:$AK$183,$C229))</f>
        <v/>
      </c>
      <c r="X229" s="18" t="str">
        <f ca="1">IF($A229="","",SUMIFS(Data!$AR$4:$AR$183,Data!$AM$4:$AM$183,$B229,Data!$AL$4:$AL$183,$A229,Data!$AK$4:$AK$183,$C229))</f>
        <v/>
      </c>
      <c r="Y229" s="18" t="str">
        <f ca="1">IF($A229="","",SUMIFS(Data!$AS$4:$AS$183,Data!$AM$4:$AM$183,$B229,Data!$AL$4:$AL$183,$A229,Data!$AK$4:$AK$183,$C229))</f>
        <v/>
      </c>
      <c r="Z229" s="18" t="str">
        <f ca="1">IF($A229="","",SUMIFS(Data!$AT$4:$AT$183,Data!$AM$4:$AM$183,$B229,Data!$AL$4:$AL$183,$A229,Data!$AK$4:$AK$183,$C229))</f>
        <v/>
      </c>
      <c r="AA229" s="18" t="str">
        <f ca="1">IF($A229="","",SUMIFS(Data!$AW$4:$AW$183,Data!$AM$4:$AM$183,$B229,Data!$AL$4:$AL$183,$A229,Data!$AK$4:$AK$183,$C229))</f>
        <v/>
      </c>
      <c r="AB229" s="18" t="str">
        <f ca="1">IF($A229="","",SUMIFS(Data!$AX$4:$AX$183,Data!$AM$4:$AM$183,$B229,Data!$AL$4:$AL$183,$A229,Data!$AK$4:$AK$183,$C229))</f>
        <v/>
      </c>
      <c r="AC229" s="18" t="str">
        <f ca="1">IF($A229="","",SUMIFS(Data!$AY$4:$AY$183,Data!$AM$4:$AM$183,$B229,Data!$AL$4:$AL$183,$A229,Data!$AK$4:$AK$183,$C229))</f>
        <v/>
      </c>
      <c r="AD229" s="18" t="str">
        <f t="shared" ca="1" si="7"/>
        <v/>
      </c>
      <c r="AE229" s="18" t="str">
        <f ca="1">IF($A229="","",SUMIFS(Data!$AJ$4:$AJ$183,Data!$AM$4:$AM$183,$B229,Data!$AL$4:$AL$183,$A229,Data!$AK$4:$AK$183,$C229))</f>
        <v/>
      </c>
    </row>
    <row r="230" spans="1:31">
      <c r="A230" s="18" t="str">
        <f ca="1">IF(Data!T230="","",Data!T230)</f>
        <v/>
      </c>
      <c r="B230" s="18" t="str">
        <f ca="1">IF(Data!U230="","",Data!U230)</f>
        <v/>
      </c>
      <c r="C230" s="18" t="str">
        <f ca="1">IF(Data!S230="","",Data!S230)</f>
        <v/>
      </c>
      <c r="D230" s="18" t="str">
        <f ca="1">IF($A230="","",Data!W230)</f>
        <v/>
      </c>
      <c r="E230" s="18" t="str">
        <f ca="1">IF($A230="","",Data!Y230)</f>
        <v/>
      </c>
      <c r="F230" s="61" t="str">
        <f t="shared" ca="1" si="6"/>
        <v/>
      </c>
      <c r="G230" s="18" t="str">
        <f ca="1">IF($A230="","",Data!AB230)</f>
        <v/>
      </c>
      <c r="H230" s="18" t="str">
        <f ca="1">IF($A230="","",Data!AC230)</f>
        <v/>
      </c>
      <c r="I230" s="18" t="str">
        <f ca="1">IF($A230="","",INT(SUMIFS(Data!$AN$4:$AN$183,Data!$AM$4:$AM$183,$B230,Data!$AL$4:$AL$183,$A230,Data!$AK$4:$AK$183,$C230))+MOD(ROUND(SUMIFS(Data!$AN$4:$AN$183,Data!$AM$4:$AM$183,$B230,Data!$AL$4:$AL$183,$A230,Data!$AK$4:$AK$183,$C230)*3,0),3)/10)</f>
        <v/>
      </c>
      <c r="J230" s="18" t="str">
        <f ca="1">IF($A230="","",SUMIFS(Data!$AQ$4:$AQ$183,Data!$AM$4:$AM$183,$B230,Data!$AL$4:$AL$183,$A230,Data!$AK$4:$AK$183,$C230))</f>
        <v/>
      </c>
      <c r="K230" s="62" t="str">
        <f ca="1">IF($A230="","",IF(SUMIFS(Data!$AN$4:$AN$183,Data!$AM$4:$AM$183,$B230,Data!$AL$4:$AL$183,$A230,Data!$AK$4:$AK$183,$C230)=0,"",J230*3/SUMIFS(Data!$AN$4:$AN$183,Data!$AM$4:$AM$183,$B230,Data!$AL$4:$AL$183,$A230,Data!$AK$4:$AK$183,$C230)))</f>
        <v/>
      </c>
      <c r="L230" s="18" t="str">
        <f ca="1">IF($A230="","",IF(IFERROR(_xlfn.XLOOKUP($C230,Bracket!$F$6:$F$16,Bracket!$K$6:$K$16,""),"")=$B230,1,0))</f>
        <v/>
      </c>
      <c r="M230" s="18" t="str">
        <f ca="1">IF($A230="","",IF(AND(IFERROR(_xlfn.XLOOKUP($C230,Bracket!$F$6:$F$16,Bracket!$K$6:$K$16,""),"")=$B230,LEFT(IFERROR(_xlfn.XLOOKUP($C230,Bracket!$F$6:$F$16,Bracket!$G$6:$G$16,""),""),2)="CG"),1,0))</f>
        <v/>
      </c>
      <c r="N230" s="18" t="str">
        <f ca="1">IF($A230="","",SUMIFS(Data!$X$4:$X$273,Data!$T$4:$T$273,$A230,Data!$U$4:$U$273,$B230,Data!$S$4:$S$273,$C230))</f>
        <v/>
      </c>
      <c r="O230" s="18" t="str">
        <f ca="1">IF($A230="","",SUMIFS(Data!$Z$4:$Z$273,Data!$T$4:$T$273,$A230,Data!$U$4:$U$273,$B230,Data!$S$4:$S$273,$C230))</f>
        <v/>
      </c>
      <c r="P230" s="18" t="str">
        <f ca="1">IF($A230="","",SUMIFS(Data!$AA$4:$AA$273,Data!$T$4:$T$273,$A230,Data!$U$4:$U$273,$B230,Data!$S$4:$S$273,$C230))</f>
        <v/>
      </c>
      <c r="Q230" s="18" t="str">
        <f ca="1">IF($A230="","",SUMIFS(Data!$AD$4:$AD$273,Data!$T$4:$T$273,$A230,Data!$U$4:$U$273,$B230,Data!$S$4:$S$273,$C230))</f>
        <v/>
      </c>
      <c r="R230" s="18" t="str">
        <f ca="1">IF($A230="","",SUMIFS(Data!$AE$4:$AE$273,Data!$T$4:$T$273,$A230,Data!$U$4:$U$273,$B230,Data!$S$4:$S$273,$C230))</f>
        <v/>
      </c>
      <c r="S230" s="18" t="str">
        <f ca="1">IF($A230="","",SUMIFS(Data!$AF$4:$AF$273,Data!$T$4:$T$273,$A230,Data!$U$4:$U$273,$B230,Data!$S$4:$S$273,$C230))</f>
        <v/>
      </c>
      <c r="T230" s="18" t="str">
        <f ca="1">IF($A230="","",SUMIFS(Data!$AG$4:$AG$273,Data!$T$4:$T$273,$A230,Data!$U$4:$U$273,$B230,Data!$S$4:$S$273,$C230))</f>
        <v/>
      </c>
      <c r="U230" s="18" t="str">
        <f ca="1">IF($A230="","",SUMIFS(Data!$AH$4:$AH$273,Data!$T$4:$T$273,$A230,Data!$U$4:$U$273,$B230,Data!$S$4:$S$273,$C230))</f>
        <v/>
      </c>
      <c r="V230" s="18" t="str">
        <f ca="1">IF($A230="","",SUMIFS(Data!$AO$4:$AO$183,Data!$AM$4:$AM$183,$B230,Data!$AL$4:$AL$183,$A230,Data!$AK$4:$AK$183,$C230))</f>
        <v/>
      </c>
      <c r="W230" s="18" t="str">
        <f ca="1">IF($A230="","",SUMIFS(Data!$AP$4:$AP$183,Data!$AM$4:$AM$183,$B230,Data!$AL$4:$AL$183,$A230,Data!$AK$4:$AK$183,$C230))</f>
        <v/>
      </c>
      <c r="X230" s="18" t="str">
        <f ca="1">IF($A230="","",SUMIFS(Data!$AR$4:$AR$183,Data!$AM$4:$AM$183,$B230,Data!$AL$4:$AL$183,$A230,Data!$AK$4:$AK$183,$C230))</f>
        <v/>
      </c>
      <c r="Y230" s="18" t="str">
        <f ca="1">IF($A230="","",SUMIFS(Data!$AS$4:$AS$183,Data!$AM$4:$AM$183,$B230,Data!$AL$4:$AL$183,$A230,Data!$AK$4:$AK$183,$C230))</f>
        <v/>
      </c>
      <c r="Z230" s="18" t="str">
        <f ca="1">IF($A230="","",SUMIFS(Data!$AT$4:$AT$183,Data!$AM$4:$AM$183,$B230,Data!$AL$4:$AL$183,$A230,Data!$AK$4:$AK$183,$C230))</f>
        <v/>
      </c>
      <c r="AA230" s="18" t="str">
        <f ca="1">IF($A230="","",SUMIFS(Data!$AW$4:$AW$183,Data!$AM$4:$AM$183,$B230,Data!$AL$4:$AL$183,$A230,Data!$AK$4:$AK$183,$C230))</f>
        <v/>
      </c>
      <c r="AB230" s="18" t="str">
        <f ca="1">IF($A230="","",SUMIFS(Data!$AX$4:$AX$183,Data!$AM$4:$AM$183,$B230,Data!$AL$4:$AL$183,$A230,Data!$AK$4:$AK$183,$C230))</f>
        <v/>
      </c>
      <c r="AC230" s="18" t="str">
        <f ca="1">IF($A230="","",SUMIFS(Data!$AY$4:$AY$183,Data!$AM$4:$AM$183,$B230,Data!$AL$4:$AL$183,$A230,Data!$AK$4:$AK$183,$C230))</f>
        <v/>
      </c>
      <c r="AD230" s="18" t="str">
        <f t="shared" ca="1" si="7"/>
        <v/>
      </c>
      <c r="AE230" s="18" t="str">
        <f ca="1">IF($A230="","",SUMIFS(Data!$AJ$4:$AJ$183,Data!$AM$4:$AM$183,$B230,Data!$AL$4:$AL$183,$A230,Data!$AK$4:$AK$183,$C230))</f>
        <v/>
      </c>
    </row>
    <row r="231" spans="1:31">
      <c r="A231" s="18" t="str">
        <f ca="1">IF(Data!T231="","",Data!T231)</f>
        <v/>
      </c>
      <c r="B231" s="18" t="str">
        <f ca="1">IF(Data!U231="","",Data!U231)</f>
        <v/>
      </c>
      <c r="C231" s="18" t="str">
        <f ca="1">IF(Data!S231="","",Data!S231)</f>
        <v/>
      </c>
      <c r="D231" s="18" t="str">
        <f ca="1">IF($A231="","",Data!W231)</f>
        <v/>
      </c>
      <c r="E231" s="18" t="str">
        <f ca="1">IF($A231="","",Data!Y231)</f>
        <v/>
      </c>
      <c r="F231" s="61" t="str">
        <f t="shared" ca="1" si="6"/>
        <v/>
      </c>
      <c r="G231" s="18" t="str">
        <f ca="1">IF($A231="","",Data!AB231)</f>
        <v/>
      </c>
      <c r="H231" s="18" t="str">
        <f ca="1">IF($A231="","",Data!AC231)</f>
        <v/>
      </c>
      <c r="I231" s="18" t="str">
        <f ca="1">IF($A231="","",INT(SUMIFS(Data!$AN$4:$AN$183,Data!$AM$4:$AM$183,$B231,Data!$AL$4:$AL$183,$A231,Data!$AK$4:$AK$183,$C231))+MOD(ROUND(SUMIFS(Data!$AN$4:$AN$183,Data!$AM$4:$AM$183,$B231,Data!$AL$4:$AL$183,$A231,Data!$AK$4:$AK$183,$C231)*3,0),3)/10)</f>
        <v/>
      </c>
      <c r="J231" s="18" t="str">
        <f ca="1">IF($A231="","",SUMIFS(Data!$AQ$4:$AQ$183,Data!$AM$4:$AM$183,$B231,Data!$AL$4:$AL$183,$A231,Data!$AK$4:$AK$183,$C231))</f>
        <v/>
      </c>
      <c r="K231" s="62" t="str">
        <f ca="1">IF($A231="","",IF(SUMIFS(Data!$AN$4:$AN$183,Data!$AM$4:$AM$183,$B231,Data!$AL$4:$AL$183,$A231,Data!$AK$4:$AK$183,$C231)=0,"",J231*3/SUMIFS(Data!$AN$4:$AN$183,Data!$AM$4:$AM$183,$B231,Data!$AL$4:$AL$183,$A231,Data!$AK$4:$AK$183,$C231)))</f>
        <v/>
      </c>
      <c r="L231" s="18" t="str">
        <f ca="1">IF($A231="","",IF(IFERROR(_xlfn.XLOOKUP($C231,Bracket!$F$6:$F$16,Bracket!$K$6:$K$16,""),"")=$B231,1,0))</f>
        <v/>
      </c>
      <c r="M231" s="18" t="str">
        <f ca="1">IF($A231="","",IF(AND(IFERROR(_xlfn.XLOOKUP($C231,Bracket!$F$6:$F$16,Bracket!$K$6:$K$16,""),"")=$B231,LEFT(IFERROR(_xlfn.XLOOKUP($C231,Bracket!$F$6:$F$16,Bracket!$G$6:$G$16,""),""),2)="CG"),1,0))</f>
        <v/>
      </c>
      <c r="N231" s="18" t="str">
        <f ca="1">IF($A231="","",SUMIFS(Data!$X$4:$X$273,Data!$T$4:$T$273,$A231,Data!$U$4:$U$273,$B231,Data!$S$4:$S$273,$C231))</f>
        <v/>
      </c>
      <c r="O231" s="18" t="str">
        <f ca="1">IF($A231="","",SUMIFS(Data!$Z$4:$Z$273,Data!$T$4:$T$273,$A231,Data!$U$4:$U$273,$B231,Data!$S$4:$S$273,$C231))</f>
        <v/>
      </c>
      <c r="P231" s="18" t="str">
        <f ca="1">IF($A231="","",SUMIFS(Data!$AA$4:$AA$273,Data!$T$4:$T$273,$A231,Data!$U$4:$U$273,$B231,Data!$S$4:$S$273,$C231))</f>
        <v/>
      </c>
      <c r="Q231" s="18" t="str">
        <f ca="1">IF($A231="","",SUMIFS(Data!$AD$4:$AD$273,Data!$T$4:$T$273,$A231,Data!$U$4:$U$273,$B231,Data!$S$4:$S$273,$C231))</f>
        <v/>
      </c>
      <c r="R231" s="18" t="str">
        <f ca="1">IF($A231="","",SUMIFS(Data!$AE$4:$AE$273,Data!$T$4:$T$273,$A231,Data!$U$4:$U$273,$B231,Data!$S$4:$S$273,$C231))</f>
        <v/>
      </c>
      <c r="S231" s="18" t="str">
        <f ca="1">IF($A231="","",SUMIFS(Data!$AF$4:$AF$273,Data!$T$4:$T$273,$A231,Data!$U$4:$U$273,$B231,Data!$S$4:$S$273,$C231))</f>
        <v/>
      </c>
      <c r="T231" s="18" t="str">
        <f ca="1">IF($A231="","",SUMIFS(Data!$AG$4:$AG$273,Data!$T$4:$T$273,$A231,Data!$U$4:$U$273,$B231,Data!$S$4:$S$273,$C231))</f>
        <v/>
      </c>
      <c r="U231" s="18" t="str">
        <f ca="1">IF($A231="","",SUMIFS(Data!$AH$4:$AH$273,Data!$T$4:$T$273,$A231,Data!$U$4:$U$273,$B231,Data!$S$4:$S$273,$C231))</f>
        <v/>
      </c>
      <c r="V231" s="18" t="str">
        <f ca="1">IF($A231="","",SUMIFS(Data!$AO$4:$AO$183,Data!$AM$4:$AM$183,$B231,Data!$AL$4:$AL$183,$A231,Data!$AK$4:$AK$183,$C231))</f>
        <v/>
      </c>
      <c r="W231" s="18" t="str">
        <f ca="1">IF($A231="","",SUMIFS(Data!$AP$4:$AP$183,Data!$AM$4:$AM$183,$B231,Data!$AL$4:$AL$183,$A231,Data!$AK$4:$AK$183,$C231))</f>
        <v/>
      </c>
      <c r="X231" s="18" t="str">
        <f ca="1">IF($A231="","",SUMIFS(Data!$AR$4:$AR$183,Data!$AM$4:$AM$183,$B231,Data!$AL$4:$AL$183,$A231,Data!$AK$4:$AK$183,$C231))</f>
        <v/>
      </c>
      <c r="Y231" s="18" t="str">
        <f ca="1">IF($A231="","",SUMIFS(Data!$AS$4:$AS$183,Data!$AM$4:$AM$183,$B231,Data!$AL$4:$AL$183,$A231,Data!$AK$4:$AK$183,$C231))</f>
        <v/>
      </c>
      <c r="Z231" s="18" t="str">
        <f ca="1">IF($A231="","",SUMIFS(Data!$AT$4:$AT$183,Data!$AM$4:$AM$183,$B231,Data!$AL$4:$AL$183,$A231,Data!$AK$4:$AK$183,$C231))</f>
        <v/>
      </c>
      <c r="AA231" s="18" t="str">
        <f ca="1">IF($A231="","",SUMIFS(Data!$AW$4:$AW$183,Data!$AM$4:$AM$183,$B231,Data!$AL$4:$AL$183,$A231,Data!$AK$4:$AK$183,$C231))</f>
        <v/>
      </c>
      <c r="AB231" s="18" t="str">
        <f ca="1">IF($A231="","",SUMIFS(Data!$AX$4:$AX$183,Data!$AM$4:$AM$183,$B231,Data!$AL$4:$AL$183,$A231,Data!$AK$4:$AK$183,$C231))</f>
        <v/>
      </c>
      <c r="AC231" s="18" t="str">
        <f ca="1">IF($A231="","",SUMIFS(Data!$AY$4:$AY$183,Data!$AM$4:$AM$183,$B231,Data!$AL$4:$AL$183,$A231,Data!$AK$4:$AK$183,$C231))</f>
        <v/>
      </c>
      <c r="AD231" s="18" t="str">
        <f t="shared" ca="1" si="7"/>
        <v/>
      </c>
      <c r="AE231" s="18" t="str">
        <f ca="1">IF($A231="","",SUMIFS(Data!$AJ$4:$AJ$183,Data!$AM$4:$AM$183,$B231,Data!$AL$4:$AL$183,$A231,Data!$AK$4:$AK$183,$C231))</f>
        <v/>
      </c>
    </row>
    <row r="232" spans="1:31">
      <c r="A232" s="18" t="str">
        <f ca="1">IF(Data!T232="","",Data!T232)</f>
        <v/>
      </c>
      <c r="B232" s="18" t="str">
        <f ca="1">IF(Data!U232="","",Data!U232)</f>
        <v/>
      </c>
      <c r="C232" s="18" t="str">
        <f ca="1">IF(Data!S232="","",Data!S232)</f>
        <v/>
      </c>
      <c r="D232" s="18" t="str">
        <f ca="1">IF($A232="","",Data!W232)</f>
        <v/>
      </c>
      <c r="E232" s="18" t="str">
        <f ca="1">IF($A232="","",Data!Y232)</f>
        <v/>
      </c>
      <c r="F232" s="61" t="str">
        <f t="shared" ca="1" si="6"/>
        <v/>
      </c>
      <c r="G232" s="18" t="str">
        <f ca="1">IF($A232="","",Data!AB232)</f>
        <v/>
      </c>
      <c r="H232" s="18" t="str">
        <f ca="1">IF($A232="","",Data!AC232)</f>
        <v/>
      </c>
      <c r="I232" s="18" t="str">
        <f ca="1">IF($A232="","",INT(SUMIFS(Data!$AN$4:$AN$183,Data!$AM$4:$AM$183,$B232,Data!$AL$4:$AL$183,$A232,Data!$AK$4:$AK$183,$C232))+MOD(ROUND(SUMIFS(Data!$AN$4:$AN$183,Data!$AM$4:$AM$183,$B232,Data!$AL$4:$AL$183,$A232,Data!$AK$4:$AK$183,$C232)*3,0),3)/10)</f>
        <v/>
      </c>
      <c r="J232" s="18" t="str">
        <f ca="1">IF($A232="","",SUMIFS(Data!$AQ$4:$AQ$183,Data!$AM$4:$AM$183,$B232,Data!$AL$4:$AL$183,$A232,Data!$AK$4:$AK$183,$C232))</f>
        <v/>
      </c>
      <c r="K232" s="62" t="str">
        <f ca="1">IF($A232="","",IF(SUMIFS(Data!$AN$4:$AN$183,Data!$AM$4:$AM$183,$B232,Data!$AL$4:$AL$183,$A232,Data!$AK$4:$AK$183,$C232)=0,"",J232*3/SUMIFS(Data!$AN$4:$AN$183,Data!$AM$4:$AM$183,$B232,Data!$AL$4:$AL$183,$A232,Data!$AK$4:$AK$183,$C232)))</f>
        <v/>
      </c>
      <c r="L232" s="18" t="str">
        <f ca="1">IF($A232="","",IF(IFERROR(_xlfn.XLOOKUP($C232,Bracket!$F$6:$F$16,Bracket!$K$6:$K$16,""),"")=$B232,1,0))</f>
        <v/>
      </c>
      <c r="M232" s="18" t="str">
        <f ca="1">IF($A232="","",IF(AND(IFERROR(_xlfn.XLOOKUP($C232,Bracket!$F$6:$F$16,Bracket!$K$6:$K$16,""),"")=$B232,LEFT(IFERROR(_xlfn.XLOOKUP($C232,Bracket!$F$6:$F$16,Bracket!$G$6:$G$16,""),""),2)="CG"),1,0))</f>
        <v/>
      </c>
      <c r="N232" s="18" t="str">
        <f ca="1">IF($A232="","",SUMIFS(Data!$X$4:$X$273,Data!$T$4:$T$273,$A232,Data!$U$4:$U$273,$B232,Data!$S$4:$S$273,$C232))</f>
        <v/>
      </c>
      <c r="O232" s="18" t="str">
        <f ca="1">IF($A232="","",SUMIFS(Data!$Z$4:$Z$273,Data!$T$4:$T$273,$A232,Data!$U$4:$U$273,$B232,Data!$S$4:$S$273,$C232))</f>
        <v/>
      </c>
      <c r="P232" s="18" t="str">
        <f ca="1">IF($A232="","",SUMIFS(Data!$AA$4:$AA$273,Data!$T$4:$T$273,$A232,Data!$U$4:$U$273,$B232,Data!$S$4:$S$273,$C232))</f>
        <v/>
      </c>
      <c r="Q232" s="18" t="str">
        <f ca="1">IF($A232="","",SUMIFS(Data!$AD$4:$AD$273,Data!$T$4:$T$273,$A232,Data!$U$4:$U$273,$B232,Data!$S$4:$S$273,$C232))</f>
        <v/>
      </c>
      <c r="R232" s="18" t="str">
        <f ca="1">IF($A232="","",SUMIFS(Data!$AE$4:$AE$273,Data!$T$4:$T$273,$A232,Data!$U$4:$U$273,$B232,Data!$S$4:$S$273,$C232))</f>
        <v/>
      </c>
      <c r="S232" s="18" t="str">
        <f ca="1">IF($A232="","",SUMIFS(Data!$AF$4:$AF$273,Data!$T$4:$T$273,$A232,Data!$U$4:$U$273,$B232,Data!$S$4:$S$273,$C232))</f>
        <v/>
      </c>
      <c r="T232" s="18" t="str">
        <f ca="1">IF($A232="","",SUMIFS(Data!$AG$4:$AG$273,Data!$T$4:$T$273,$A232,Data!$U$4:$U$273,$B232,Data!$S$4:$S$273,$C232))</f>
        <v/>
      </c>
      <c r="U232" s="18" t="str">
        <f ca="1">IF($A232="","",SUMIFS(Data!$AH$4:$AH$273,Data!$T$4:$T$273,$A232,Data!$U$4:$U$273,$B232,Data!$S$4:$S$273,$C232))</f>
        <v/>
      </c>
      <c r="V232" s="18" t="str">
        <f ca="1">IF($A232="","",SUMIFS(Data!$AO$4:$AO$183,Data!$AM$4:$AM$183,$B232,Data!$AL$4:$AL$183,$A232,Data!$AK$4:$AK$183,$C232))</f>
        <v/>
      </c>
      <c r="W232" s="18" t="str">
        <f ca="1">IF($A232="","",SUMIFS(Data!$AP$4:$AP$183,Data!$AM$4:$AM$183,$B232,Data!$AL$4:$AL$183,$A232,Data!$AK$4:$AK$183,$C232))</f>
        <v/>
      </c>
      <c r="X232" s="18" t="str">
        <f ca="1">IF($A232="","",SUMIFS(Data!$AR$4:$AR$183,Data!$AM$4:$AM$183,$B232,Data!$AL$4:$AL$183,$A232,Data!$AK$4:$AK$183,$C232))</f>
        <v/>
      </c>
      <c r="Y232" s="18" t="str">
        <f ca="1">IF($A232="","",SUMIFS(Data!$AS$4:$AS$183,Data!$AM$4:$AM$183,$B232,Data!$AL$4:$AL$183,$A232,Data!$AK$4:$AK$183,$C232))</f>
        <v/>
      </c>
      <c r="Z232" s="18" t="str">
        <f ca="1">IF($A232="","",SUMIFS(Data!$AT$4:$AT$183,Data!$AM$4:$AM$183,$B232,Data!$AL$4:$AL$183,$A232,Data!$AK$4:$AK$183,$C232))</f>
        <v/>
      </c>
      <c r="AA232" s="18" t="str">
        <f ca="1">IF($A232="","",SUMIFS(Data!$AW$4:$AW$183,Data!$AM$4:$AM$183,$B232,Data!$AL$4:$AL$183,$A232,Data!$AK$4:$AK$183,$C232))</f>
        <v/>
      </c>
      <c r="AB232" s="18" t="str">
        <f ca="1">IF($A232="","",SUMIFS(Data!$AX$4:$AX$183,Data!$AM$4:$AM$183,$B232,Data!$AL$4:$AL$183,$A232,Data!$AK$4:$AK$183,$C232))</f>
        <v/>
      </c>
      <c r="AC232" s="18" t="str">
        <f ca="1">IF($A232="","",SUMIFS(Data!$AY$4:$AY$183,Data!$AM$4:$AM$183,$B232,Data!$AL$4:$AL$183,$A232,Data!$AK$4:$AK$183,$C232))</f>
        <v/>
      </c>
      <c r="AD232" s="18" t="str">
        <f t="shared" ca="1" si="7"/>
        <v/>
      </c>
      <c r="AE232" s="18" t="str">
        <f ca="1">IF($A232="","",SUMIFS(Data!$AJ$4:$AJ$183,Data!$AM$4:$AM$183,$B232,Data!$AL$4:$AL$183,$A232,Data!$AK$4:$AK$183,$C232))</f>
        <v/>
      </c>
    </row>
    <row r="233" spans="1:31">
      <c r="A233" s="18" t="str">
        <f ca="1">IF(Data!T233="","",Data!T233)</f>
        <v/>
      </c>
      <c r="B233" s="18" t="str">
        <f ca="1">IF(Data!U233="","",Data!U233)</f>
        <v/>
      </c>
      <c r="C233" s="18" t="str">
        <f ca="1">IF(Data!S233="","",Data!S233)</f>
        <v/>
      </c>
      <c r="D233" s="18" t="str">
        <f ca="1">IF($A233="","",Data!W233)</f>
        <v/>
      </c>
      <c r="E233" s="18" t="str">
        <f ca="1">IF($A233="","",Data!Y233)</f>
        <v/>
      </c>
      <c r="F233" s="61" t="str">
        <f t="shared" ca="1" si="6"/>
        <v/>
      </c>
      <c r="G233" s="18" t="str">
        <f ca="1">IF($A233="","",Data!AB233)</f>
        <v/>
      </c>
      <c r="H233" s="18" t="str">
        <f ca="1">IF($A233="","",Data!AC233)</f>
        <v/>
      </c>
      <c r="I233" s="18" t="str">
        <f ca="1">IF($A233="","",INT(SUMIFS(Data!$AN$4:$AN$183,Data!$AM$4:$AM$183,$B233,Data!$AL$4:$AL$183,$A233,Data!$AK$4:$AK$183,$C233))+MOD(ROUND(SUMIFS(Data!$AN$4:$AN$183,Data!$AM$4:$AM$183,$B233,Data!$AL$4:$AL$183,$A233,Data!$AK$4:$AK$183,$C233)*3,0),3)/10)</f>
        <v/>
      </c>
      <c r="J233" s="18" t="str">
        <f ca="1">IF($A233="","",SUMIFS(Data!$AQ$4:$AQ$183,Data!$AM$4:$AM$183,$B233,Data!$AL$4:$AL$183,$A233,Data!$AK$4:$AK$183,$C233))</f>
        <v/>
      </c>
      <c r="K233" s="62" t="str">
        <f ca="1">IF($A233="","",IF(SUMIFS(Data!$AN$4:$AN$183,Data!$AM$4:$AM$183,$B233,Data!$AL$4:$AL$183,$A233,Data!$AK$4:$AK$183,$C233)=0,"",J233*3/SUMIFS(Data!$AN$4:$AN$183,Data!$AM$4:$AM$183,$B233,Data!$AL$4:$AL$183,$A233,Data!$AK$4:$AK$183,$C233)))</f>
        <v/>
      </c>
      <c r="L233" s="18" t="str">
        <f ca="1">IF($A233="","",IF(IFERROR(_xlfn.XLOOKUP($C233,Bracket!$F$6:$F$16,Bracket!$K$6:$K$16,""),"")=$B233,1,0))</f>
        <v/>
      </c>
      <c r="M233" s="18" t="str">
        <f ca="1">IF($A233="","",IF(AND(IFERROR(_xlfn.XLOOKUP($C233,Bracket!$F$6:$F$16,Bracket!$K$6:$K$16,""),"")=$B233,LEFT(IFERROR(_xlfn.XLOOKUP($C233,Bracket!$F$6:$F$16,Bracket!$G$6:$G$16,""),""),2)="CG"),1,0))</f>
        <v/>
      </c>
      <c r="N233" s="18" t="str">
        <f ca="1">IF($A233="","",SUMIFS(Data!$X$4:$X$273,Data!$T$4:$T$273,$A233,Data!$U$4:$U$273,$B233,Data!$S$4:$S$273,$C233))</f>
        <v/>
      </c>
      <c r="O233" s="18" t="str">
        <f ca="1">IF($A233="","",SUMIFS(Data!$Z$4:$Z$273,Data!$T$4:$T$273,$A233,Data!$U$4:$U$273,$B233,Data!$S$4:$S$273,$C233))</f>
        <v/>
      </c>
      <c r="P233" s="18" t="str">
        <f ca="1">IF($A233="","",SUMIFS(Data!$AA$4:$AA$273,Data!$T$4:$T$273,$A233,Data!$U$4:$U$273,$B233,Data!$S$4:$S$273,$C233))</f>
        <v/>
      </c>
      <c r="Q233" s="18" t="str">
        <f ca="1">IF($A233="","",SUMIFS(Data!$AD$4:$AD$273,Data!$T$4:$T$273,$A233,Data!$U$4:$U$273,$B233,Data!$S$4:$S$273,$C233))</f>
        <v/>
      </c>
      <c r="R233" s="18" t="str">
        <f ca="1">IF($A233="","",SUMIFS(Data!$AE$4:$AE$273,Data!$T$4:$T$273,$A233,Data!$U$4:$U$273,$B233,Data!$S$4:$S$273,$C233))</f>
        <v/>
      </c>
      <c r="S233" s="18" t="str">
        <f ca="1">IF($A233="","",SUMIFS(Data!$AF$4:$AF$273,Data!$T$4:$T$273,$A233,Data!$U$4:$U$273,$B233,Data!$S$4:$S$273,$C233))</f>
        <v/>
      </c>
      <c r="T233" s="18" t="str">
        <f ca="1">IF($A233="","",SUMIFS(Data!$AG$4:$AG$273,Data!$T$4:$T$273,$A233,Data!$U$4:$U$273,$B233,Data!$S$4:$S$273,$C233))</f>
        <v/>
      </c>
      <c r="U233" s="18" t="str">
        <f ca="1">IF($A233="","",SUMIFS(Data!$AH$4:$AH$273,Data!$T$4:$T$273,$A233,Data!$U$4:$U$273,$B233,Data!$S$4:$S$273,$C233))</f>
        <v/>
      </c>
      <c r="V233" s="18" t="str">
        <f ca="1">IF($A233="","",SUMIFS(Data!$AO$4:$AO$183,Data!$AM$4:$AM$183,$B233,Data!$AL$4:$AL$183,$A233,Data!$AK$4:$AK$183,$C233))</f>
        <v/>
      </c>
      <c r="W233" s="18" t="str">
        <f ca="1">IF($A233="","",SUMIFS(Data!$AP$4:$AP$183,Data!$AM$4:$AM$183,$B233,Data!$AL$4:$AL$183,$A233,Data!$AK$4:$AK$183,$C233))</f>
        <v/>
      </c>
      <c r="X233" s="18" t="str">
        <f ca="1">IF($A233="","",SUMIFS(Data!$AR$4:$AR$183,Data!$AM$4:$AM$183,$B233,Data!$AL$4:$AL$183,$A233,Data!$AK$4:$AK$183,$C233))</f>
        <v/>
      </c>
      <c r="Y233" s="18" t="str">
        <f ca="1">IF($A233="","",SUMIFS(Data!$AS$4:$AS$183,Data!$AM$4:$AM$183,$B233,Data!$AL$4:$AL$183,$A233,Data!$AK$4:$AK$183,$C233))</f>
        <v/>
      </c>
      <c r="Z233" s="18" t="str">
        <f ca="1">IF($A233="","",SUMIFS(Data!$AT$4:$AT$183,Data!$AM$4:$AM$183,$B233,Data!$AL$4:$AL$183,$A233,Data!$AK$4:$AK$183,$C233))</f>
        <v/>
      </c>
      <c r="AA233" s="18" t="str">
        <f ca="1">IF($A233="","",SUMIFS(Data!$AW$4:$AW$183,Data!$AM$4:$AM$183,$B233,Data!$AL$4:$AL$183,$A233,Data!$AK$4:$AK$183,$C233))</f>
        <v/>
      </c>
      <c r="AB233" s="18" t="str">
        <f ca="1">IF($A233="","",SUMIFS(Data!$AX$4:$AX$183,Data!$AM$4:$AM$183,$B233,Data!$AL$4:$AL$183,$A233,Data!$AK$4:$AK$183,$C233))</f>
        <v/>
      </c>
      <c r="AC233" s="18" t="str">
        <f ca="1">IF($A233="","",SUMIFS(Data!$AY$4:$AY$183,Data!$AM$4:$AM$183,$B233,Data!$AL$4:$AL$183,$A233,Data!$AK$4:$AK$183,$C233))</f>
        <v/>
      </c>
      <c r="AD233" s="18" t="str">
        <f t="shared" ca="1" si="7"/>
        <v/>
      </c>
      <c r="AE233" s="18" t="str">
        <f ca="1">IF($A233="","",SUMIFS(Data!$AJ$4:$AJ$183,Data!$AM$4:$AM$183,$B233,Data!$AL$4:$AL$183,$A233,Data!$AK$4:$AK$183,$C233))</f>
        <v/>
      </c>
    </row>
    <row r="234" spans="1:31">
      <c r="A234" s="18" t="str">
        <f ca="1">IF(Data!T234="","",Data!T234)</f>
        <v/>
      </c>
      <c r="B234" s="18" t="str">
        <f ca="1">IF(Data!U234="","",Data!U234)</f>
        <v/>
      </c>
      <c r="C234" s="18" t="str">
        <f ca="1">IF(Data!S234="","",Data!S234)</f>
        <v/>
      </c>
      <c r="D234" s="18" t="str">
        <f ca="1">IF($A234="","",Data!W234)</f>
        <v/>
      </c>
      <c r="E234" s="18" t="str">
        <f ca="1">IF($A234="","",Data!Y234)</f>
        <v/>
      </c>
      <c r="F234" s="61" t="str">
        <f t="shared" ca="1" si="6"/>
        <v/>
      </c>
      <c r="G234" s="18" t="str">
        <f ca="1">IF($A234="","",Data!AB234)</f>
        <v/>
      </c>
      <c r="H234" s="18" t="str">
        <f ca="1">IF($A234="","",Data!AC234)</f>
        <v/>
      </c>
      <c r="I234" s="18" t="str">
        <f ca="1">IF($A234="","",INT(SUMIFS(Data!$AN$4:$AN$183,Data!$AM$4:$AM$183,$B234,Data!$AL$4:$AL$183,$A234,Data!$AK$4:$AK$183,$C234))+MOD(ROUND(SUMIFS(Data!$AN$4:$AN$183,Data!$AM$4:$AM$183,$B234,Data!$AL$4:$AL$183,$A234,Data!$AK$4:$AK$183,$C234)*3,0),3)/10)</f>
        <v/>
      </c>
      <c r="J234" s="18" t="str">
        <f ca="1">IF($A234="","",SUMIFS(Data!$AQ$4:$AQ$183,Data!$AM$4:$AM$183,$B234,Data!$AL$4:$AL$183,$A234,Data!$AK$4:$AK$183,$C234))</f>
        <v/>
      </c>
      <c r="K234" s="62" t="str">
        <f ca="1">IF($A234="","",IF(SUMIFS(Data!$AN$4:$AN$183,Data!$AM$4:$AM$183,$B234,Data!$AL$4:$AL$183,$A234,Data!$AK$4:$AK$183,$C234)=0,"",J234*3/SUMIFS(Data!$AN$4:$AN$183,Data!$AM$4:$AM$183,$B234,Data!$AL$4:$AL$183,$A234,Data!$AK$4:$AK$183,$C234)))</f>
        <v/>
      </c>
      <c r="L234" s="18" t="str">
        <f ca="1">IF($A234="","",IF(IFERROR(_xlfn.XLOOKUP($C234,Bracket!$F$6:$F$16,Bracket!$K$6:$K$16,""),"")=$B234,1,0))</f>
        <v/>
      </c>
      <c r="M234" s="18" t="str">
        <f ca="1">IF($A234="","",IF(AND(IFERROR(_xlfn.XLOOKUP($C234,Bracket!$F$6:$F$16,Bracket!$K$6:$K$16,""),"")=$B234,LEFT(IFERROR(_xlfn.XLOOKUP($C234,Bracket!$F$6:$F$16,Bracket!$G$6:$G$16,""),""),2)="CG"),1,0))</f>
        <v/>
      </c>
      <c r="N234" s="18" t="str">
        <f ca="1">IF($A234="","",SUMIFS(Data!$X$4:$X$273,Data!$T$4:$T$273,$A234,Data!$U$4:$U$273,$B234,Data!$S$4:$S$273,$C234))</f>
        <v/>
      </c>
      <c r="O234" s="18" t="str">
        <f ca="1">IF($A234="","",SUMIFS(Data!$Z$4:$Z$273,Data!$T$4:$T$273,$A234,Data!$U$4:$U$273,$B234,Data!$S$4:$S$273,$C234))</f>
        <v/>
      </c>
      <c r="P234" s="18" t="str">
        <f ca="1">IF($A234="","",SUMIFS(Data!$AA$4:$AA$273,Data!$T$4:$T$273,$A234,Data!$U$4:$U$273,$B234,Data!$S$4:$S$273,$C234))</f>
        <v/>
      </c>
      <c r="Q234" s="18" t="str">
        <f ca="1">IF($A234="","",SUMIFS(Data!$AD$4:$AD$273,Data!$T$4:$T$273,$A234,Data!$U$4:$U$273,$B234,Data!$S$4:$S$273,$C234))</f>
        <v/>
      </c>
      <c r="R234" s="18" t="str">
        <f ca="1">IF($A234="","",SUMIFS(Data!$AE$4:$AE$273,Data!$T$4:$T$273,$A234,Data!$U$4:$U$273,$B234,Data!$S$4:$S$273,$C234))</f>
        <v/>
      </c>
      <c r="S234" s="18" t="str">
        <f ca="1">IF($A234="","",SUMIFS(Data!$AF$4:$AF$273,Data!$T$4:$T$273,$A234,Data!$U$4:$U$273,$B234,Data!$S$4:$S$273,$C234))</f>
        <v/>
      </c>
      <c r="T234" s="18" t="str">
        <f ca="1">IF($A234="","",SUMIFS(Data!$AG$4:$AG$273,Data!$T$4:$T$273,$A234,Data!$U$4:$U$273,$B234,Data!$S$4:$S$273,$C234))</f>
        <v/>
      </c>
      <c r="U234" s="18" t="str">
        <f ca="1">IF($A234="","",SUMIFS(Data!$AH$4:$AH$273,Data!$T$4:$T$273,$A234,Data!$U$4:$U$273,$B234,Data!$S$4:$S$273,$C234))</f>
        <v/>
      </c>
      <c r="V234" s="18" t="str">
        <f ca="1">IF($A234="","",SUMIFS(Data!$AO$4:$AO$183,Data!$AM$4:$AM$183,$B234,Data!$AL$4:$AL$183,$A234,Data!$AK$4:$AK$183,$C234))</f>
        <v/>
      </c>
      <c r="W234" s="18" t="str">
        <f ca="1">IF($A234="","",SUMIFS(Data!$AP$4:$AP$183,Data!$AM$4:$AM$183,$B234,Data!$AL$4:$AL$183,$A234,Data!$AK$4:$AK$183,$C234))</f>
        <v/>
      </c>
      <c r="X234" s="18" t="str">
        <f ca="1">IF($A234="","",SUMIFS(Data!$AR$4:$AR$183,Data!$AM$4:$AM$183,$B234,Data!$AL$4:$AL$183,$A234,Data!$AK$4:$AK$183,$C234))</f>
        <v/>
      </c>
      <c r="Y234" s="18" t="str">
        <f ca="1">IF($A234="","",SUMIFS(Data!$AS$4:$AS$183,Data!$AM$4:$AM$183,$B234,Data!$AL$4:$AL$183,$A234,Data!$AK$4:$AK$183,$C234))</f>
        <v/>
      </c>
      <c r="Z234" s="18" t="str">
        <f ca="1">IF($A234="","",SUMIFS(Data!$AT$4:$AT$183,Data!$AM$4:$AM$183,$B234,Data!$AL$4:$AL$183,$A234,Data!$AK$4:$AK$183,$C234))</f>
        <v/>
      </c>
      <c r="AA234" s="18" t="str">
        <f ca="1">IF($A234="","",SUMIFS(Data!$AW$4:$AW$183,Data!$AM$4:$AM$183,$B234,Data!$AL$4:$AL$183,$A234,Data!$AK$4:$AK$183,$C234))</f>
        <v/>
      </c>
      <c r="AB234" s="18" t="str">
        <f ca="1">IF($A234="","",SUMIFS(Data!$AX$4:$AX$183,Data!$AM$4:$AM$183,$B234,Data!$AL$4:$AL$183,$A234,Data!$AK$4:$AK$183,$C234))</f>
        <v/>
      </c>
      <c r="AC234" s="18" t="str">
        <f ca="1">IF($A234="","",SUMIFS(Data!$AY$4:$AY$183,Data!$AM$4:$AM$183,$B234,Data!$AL$4:$AL$183,$A234,Data!$AK$4:$AK$183,$C234))</f>
        <v/>
      </c>
      <c r="AD234" s="18" t="str">
        <f t="shared" ca="1" si="7"/>
        <v/>
      </c>
      <c r="AE234" s="18" t="str">
        <f ca="1">IF($A234="","",SUMIFS(Data!$AJ$4:$AJ$183,Data!$AM$4:$AM$183,$B234,Data!$AL$4:$AL$183,$A234,Data!$AK$4:$AK$183,$C234))</f>
        <v/>
      </c>
    </row>
    <row r="235" spans="1:31">
      <c r="A235" s="18" t="str">
        <f ca="1">IF(Data!T235="","",Data!T235)</f>
        <v/>
      </c>
      <c r="B235" s="18" t="str">
        <f ca="1">IF(Data!U235="","",Data!U235)</f>
        <v/>
      </c>
      <c r="C235" s="18" t="str">
        <f ca="1">IF(Data!S235="","",Data!S235)</f>
        <v/>
      </c>
      <c r="D235" s="18" t="str">
        <f ca="1">IF($A235="","",Data!W235)</f>
        <v/>
      </c>
      <c r="E235" s="18" t="str">
        <f ca="1">IF($A235="","",Data!Y235)</f>
        <v/>
      </c>
      <c r="F235" s="61" t="str">
        <f t="shared" ca="1" si="6"/>
        <v/>
      </c>
      <c r="G235" s="18" t="str">
        <f ca="1">IF($A235="","",Data!AB235)</f>
        <v/>
      </c>
      <c r="H235" s="18" t="str">
        <f ca="1">IF($A235="","",Data!AC235)</f>
        <v/>
      </c>
      <c r="I235" s="18" t="str">
        <f ca="1">IF($A235="","",INT(SUMIFS(Data!$AN$4:$AN$183,Data!$AM$4:$AM$183,$B235,Data!$AL$4:$AL$183,$A235,Data!$AK$4:$AK$183,$C235))+MOD(ROUND(SUMIFS(Data!$AN$4:$AN$183,Data!$AM$4:$AM$183,$B235,Data!$AL$4:$AL$183,$A235,Data!$AK$4:$AK$183,$C235)*3,0),3)/10)</f>
        <v/>
      </c>
      <c r="J235" s="18" t="str">
        <f ca="1">IF($A235="","",SUMIFS(Data!$AQ$4:$AQ$183,Data!$AM$4:$AM$183,$B235,Data!$AL$4:$AL$183,$A235,Data!$AK$4:$AK$183,$C235))</f>
        <v/>
      </c>
      <c r="K235" s="62" t="str">
        <f ca="1">IF($A235="","",IF(SUMIFS(Data!$AN$4:$AN$183,Data!$AM$4:$AM$183,$B235,Data!$AL$4:$AL$183,$A235,Data!$AK$4:$AK$183,$C235)=0,"",J235*3/SUMIFS(Data!$AN$4:$AN$183,Data!$AM$4:$AM$183,$B235,Data!$AL$4:$AL$183,$A235,Data!$AK$4:$AK$183,$C235)))</f>
        <v/>
      </c>
      <c r="L235" s="18" t="str">
        <f ca="1">IF($A235="","",IF(IFERROR(_xlfn.XLOOKUP($C235,Bracket!$F$6:$F$16,Bracket!$K$6:$K$16,""),"")=$B235,1,0))</f>
        <v/>
      </c>
      <c r="M235" s="18" t="str">
        <f ca="1">IF($A235="","",IF(AND(IFERROR(_xlfn.XLOOKUP($C235,Bracket!$F$6:$F$16,Bracket!$K$6:$K$16,""),"")=$B235,LEFT(IFERROR(_xlfn.XLOOKUP($C235,Bracket!$F$6:$F$16,Bracket!$G$6:$G$16,""),""),2)="CG"),1,0))</f>
        <v/>
      </c>
      <c r="N235" s="18" t="str">
        <f ca="1">IF($A235="","",SUMIFS(Data!$X$4:$X$273,Data!$T$4:$T$273,$A235,Data!$U$4:$U$273,$B235,Data!$S$4:$S$273,$C235))</f>
        <v/>
      </c>
      <c r="O235" s="18" t="str">
        <f ca="1">IF($A235="","",SUMIFS(Data!$Z$4:$Z$273,Data!$T$4:$T$273,$A235,Data!$U$4:$U$273,$B235,Data!$S$4:$S$273,$C235))</f>
        <v/>
      </c>
      <c r="P235" s="18" t="str">
        <f ca="1">IF($A235="","",SUMIFS(Data!$AA$4:$AA$273,Data!$T$4:$T$273,$A235,Data!$U$4:$U$273,$B235,Data!$S$4:$S$273,$C235))</f>
        <v/>
      </c>
      <c r="Q235" s="18" t="str">
        <f ca="1">IF($A235="","",SUMIFS(Data!$AD$4:$AD$273,Data!$T$4:$T$273,$A235,Data!$U$4:$U$273,$B235,Data!$S$4:$S$273,$C235))</f>
        <v/>
      </c>
      <c r="R235" s="18" t="str">
        <f ca="1">IF($A235="","",SUMIFS(Data!$AE$4:$AE$273,Data!$T$4:$T$273,$A235,Data!$U$4:$U$273,$B235,Data!$S$4:$S$273,$C235))</f>
        <v/>
      </c>
      <c r="S235" s="18" t="str">
        <f ca="1">IF($A235="","",SUMIFS(Data!$AF$4:$AF$273,Data!$T$4:$T$273,$A235,Data!$U$4:$U$273,$B235,Data!$S$4:$S$273,$C235))</f>
        <v/>
      </c>
      <c r="T235" s="18" t="str">
        <f ca="1">IF($A235="","",SUMIFS(Data!$AG$4:$AG$273,Data!$T$4:$T$273,$A235,Data!$U$4:$U$273,$B235,Data!$S$4:$S$273,$C235))</f>
        <v/>
      </c>
      <c r="U235" s="18" t="str">
        <f ca="1">IF($A235="","",SUMIFS(Data!$AH$4:$AH$273,Data!$T$4:$T$273,$A235,Data!$U$4:$U$273,$B235,Data!$S$4:$S$273,$C235))</f>
        <v/>
      </c>
      <c r="V235" s="18" t="str">
        <f ca="1">IF($A235="","",SUMIFS(Data!$AO$4:$AO$183,Data!$AM$4:$AM$183,$B235,Data!$AL$4:$AL$183,$A235,Data!$AK$4:$AK$183,$C235))</f>
        <v/>
      </c>
      <c r="W235" s="18" t="str">
        <f ca="1">IF($A235="","",SUMIFS(Data!$AP$4:$AP$183,Data!$AM$4:$AM$183,$B235,Data!$AL$4:$AL$183,$A235,Data!$AK$4:$AK$183,$C235))</f>
        <v/>
      </c>
      <c r="X235" s="18" t="str">
        <f ca="1">IF($A235="","",SUMIFS(Data!$AR$4:$AR$183,Data!$AM$4:$AM$183,$B235,Data!$AL$4:$AL$183,$A235,Data!$AK$4:$AK$183,$C235))</f>
        <v/>
      </c>
      <c r="Y235" s="18" t="str">
        <f ca="1">IF($A235="","",SUMIFS(Data!$AS$4:$AS$183,Data!$AM$4:$AM$183,$B235,Data!$AL$4:$AL$183,$A235,Data!$AK$4:$AK$183,$C235))</f>
        <v/>
      </c>
      <c r="Z235" s="18" t="str">
        <f ca="1">IF($A235="","",SUMIFS(Data!$AT$4:$AT$183,Data!$AM$4:$AM$183,$B235,Data!$AL$4:$AL$183,$A235,Data!$AK$4:$AK$183,$C235))</f>
        <v/>
      </c>
      <c r="AA235" s="18" t="str">
        <f ca="1">IF($A235="","",SUMIFS(Data!$AW$4:$AW$183,Data!$AM$4:$AM$183,$B235,Data!$AL$4:$AL$183,$A235,Data!$AK$4:$AK$183,$C235))</f>
        <v/>
      </c>
      <c r="AB235" s="18" t="str">
        <f ca="1">IF($A235="","",SUMIFS(Data!$AX$4:$AX$183,Data!$AM$4:$AM$183,$B235,Data!$AL$4:$AL$183,$A235,Data!$AK$4:$AK$183,$C235))</f>
        <v/>
      </c>
      <c r="AC235" s="18" t="str">
        <f ca="1">IF($A235="","",SUMIFS(Data!$AY$4:$AY$183,Data!$AM$4:$AM$183,$B235,Data!$AL$4:$AL$183,$A235,Data!$AK$4:$AK$183,$C235))</f>
        <v/>
      </c>
      <c r="AD235" s="18" t="str">
        <f t="shared" ca="1" si="7"/>
        <v/>
      </c>
      <c r="AE235" s="18" t="str">
        <f ca="1">IF($A235="","",SUMIFS(Data!$AJ$4:$AJ$183,Data!$AM$4:$AM$183,$B235,Data!$AL$4:$AL$183,$A235,Data!$AK$4:$AK$183,$C235))</f>
        <v/>
      </c>
    </row>
    <row r="236" spans="1:31">
      <c r="A236" s="18" t="str">
        <f ca="1">IF(Data!T236="","",Data!T236)</f>
        <v/>
      </c>
      <c r="B236" s="18" t="str">
        <f ca="1">IF(Data!U236="","",Data!U236)</f>
        <v/>
      </c>
      <c r="C236" s="18" t="str">
        <f ca="1">IF(Data!S236="","",Data!S236)</f>
        <v/>
      </c>
      <c r="D236" s="18" t="str">
        <f ca="1">IF($A236="","",Data!W236)</f>
        <v/>
      </c>
      <c r="E236" s="18" t="str">
        <f ca="1">IF($A236="","",Data!Y236)</f>
        <v/>
      </c>
      <c r="F236" s="61" t="str">
        <f t="shared" ca="1" si="6"/>
        <v/>
      </c>
      <c r="G236" s="18" t="str">
        <f ca="1">IF($A236="","",Data!AB236)</f>
        <v/>
      </c>
      <c r="H236" s="18" t="str">
        <f ca="1">IF($A236="","",Data!AC236)</f>
        <v/>
      </c>
      <c r="I236" s="18" t="str">
        <f ca="1">IF($A236="","",INT(SUMIFS(Data!$AN$4:$AN$183,Data!$AM$4:$AM$183,$B236,Data!$AL$4:$AL$183,$A236,Data!$AK$4:$AK$183,$C236))+MOD(ROUND(SUMIFS(Data!$AN$4:$AN$183,Data!$AM$4:$AM$183,$B236,Data!$AL$4:$AL$183,$A236,Data!$AK$4:$AK$183,$C236)*3,0),3)/10)</f>
        <v/>
      </c>
      <c r="J236" s="18" t="str">
        <f ca="1">IF($A236="","",SUMIFS(Data!$AQ$4:$AQ$183,Data!$AM$4:$AM$183,$B236,Data!$AL$4:$AL$183,$A236,Data!$AK$4:$AK$183,$C236))</f>
        <v/>
      </c>
      <c r="K236" s="62" t="str">
        <f ca="1">IF($A236="","",IF(SUMIFS(Data!$AN$4:$AN$183,Data!$AM$4:$AM$183,$B236,Data!$AL$4:$AL$183,$A236,Data!$AK$4:$AK$183,$C236)=0,"",J236*3/SUMIFS(Data!$AN$4:$AN$183,Data!$AM$4:$AM$183,$B236,Data!$AL$4:$AL$183,$A236,Data!$AK$4:$AK$183,$C236)))</f>
        <v/>
      </c>
      <c r="L236" s="18" t="str">
        <f ca="1">IF($A236="","",IF(IFERROR(_xlfn.XLOOKUP($C236,Bracket!$F$6:$F$16,Bracket!$K$6:$K$16,""),"")=$B236,1,0))</f>
        <v/>
      </c>
      <c r="M236" s="18" t="str">
        <f ca="1">IF($A236="","",IF(AND(IFERROR(_xlfn.XLOOKUP($C236,Bracket!$F$6:$F$16,Bracket!$K$6:$K$16,""),"")=$B236,LEFT(IFERROR(_xlfn.XLOOKUP($C236,Bracket!$F$6:$F$16,Bracket!$G$6:$G$16,""),""),2)="CG"),1,0))</f>
        <v/>
      </c>
      <c r="N236" s="18" t="str">
        <f ca="1">IF($A236="","",SUMIFS(Data!$X$4:$X$273,Data!$T$4:$T$273,$A236,Data!$U$4:$U$273,$B236,Data!$S$4:$S$273,$C236))</f>
        <v/>
      </c>
      <c r="O236" s="18" t="str">
        <f ca="1">IF($A236="","",SUMIFS(Data!$Z$4:$Z$273,Data!$T$4:$T$273,$A236,Data!$U$4:$U$273,$B236,Data!$S$4:$S$273,$C236))</f>
        <v/>
      </c>
      <c r="P236" s="18" t="str">
        <f ca="1">IF($A236="","",SUMIFS(Data!$AA$4:$AA$273,Data!$T$4:$T$273,$A236,Data!$U$4:$U$273,$B236,Data!$S$4:$S$273,$C236))</f>
        <v/>
      </c>
      <c r="Q236" s="18" t="str">
        <f ca="1">IF($A236="","",SUMIFS(Data!$AD$4:$AD$273,Data!$T$4:$T$273,$A236,Data!$U$4:$U$273,$B236,Data!$S$4:$S$273,$C236))</f>
        <v/>
      </c>
      <c r="R236" s="18" t="str">
        <f ca="1">IF($A236="","",SUMIFS(Data!$AE$4:$AE$273,Data!$T$4:$T$273,$A236,Data!$U$4:$U$273,$B236,Data!$S$4:$S$273,$C236))</f>
        <v/>
      </c>
      <c r="S236" s="18" t="str">
        <f ca="1">IF($A236="","",SUMIFS(Data!$AF$4:$AF$273,Data!$T$4:$T$273,$A236,Data!$U$4:$U$273,$B236,Data!$S$4:$S$273,$C236))</f>
        <v/>
      </c>
      <c r="T236" s="18" t="str">
        <f ca="1">IF($A236="","",SUMIFS(Data!$AG$4:$AG$273,Data!$T$4:$T$273,$A236,Data!$U$4:$U$273,$B236,Data!$S$4:$S$273,$C236))</f>
        <v/>
      </c>
      <c r="U236" s="18" t="str">
        <f ca="1">IF($A236="","",SUMIFS(Data!$AH$4:$AH$273,Data!$T$4:$T$273,$A236,Data!$U$4:$U$273,$B236,Data!$S$4:$S$273,$C236))</f>
        <v/>
      </c>
      <c r="V236" s="18" t="str">
        <f ca="1">IF($A236="","",SUMIFS(Data!$AO$4:$AO$183,Data!$AM$4:$AM$183,$B236,Data!$AL$4:$AL$183,$A236,Data!$AK$4:$AK$183,$C236))</f>
        <v/>
      </c>
      <c r="W236" s="18" t="str">
        <f ca="1">IF($A236="","",SUMIFS(Data!$AP$4:$AP$183,Data!$AM$4:$AM$183,$B236,Data!$AL$4:$AL$183,$A236,Data!$AK$4:$AK$183,$C236))</f>
        <v/>
      </c>
      <c r="X236" s="18" t="str">
        <f ca="1">IF($A236="","",SUMIFS(Data!$AR$4:$AR$183,Data!$AM$4:$AM$183,$B236,Data!$AL$4:$AL$183,$A236,Data!$AK$4:$AK$183,$C236))</f>
        <v/>
      </c>
      <c r="Y236" s="18" t="str">
        <f ca="1">IF($A236="","",SUMIFS(Data!$AS$4:$AS$183,Data!$AM$4:$AM$183,$B236,Data!$AL$4:$AL$183,$A236,Data!$AK$4:$AK$183,$C236))</f>
        <v/>
      </c>
      <c r="Z236" s="18" t="str">
        <f ca="1">IF($A236="","",SUMIFS(Data!$AT$4:$AT$183,Data!$AM$4:$AM$183,$B236,Data!$AL$4:$AL$183,$A236,Data!$AK$4:$AK$183,$C236))</f>
        <v/>
      </c>
      <c r="AA236" s="18" t="str">
        <f ca="1">IF($A236="","",SUMIFS(Data!$AW$4:$AW$183,Data!$AM$4:$AM$183,$B236,Data!$AL$4:$AL$183,$A236,Data!$AK$4:$AK$183,$C236))</f>
        <v/>
      </c>
      <c r="AB236" s="18" t="str">
        <f ca="1">IF($A236="","",SUMIFS(Data!$AX$4:$AX$183,Data!$AM$4:$AM$183,$B236,Data!$AL$4:$AL$183,$A236,Data!$AK$4:$AK$183,$C236))</f>
        <v/>
      </c>
      <c r="AC236" s="18" t="str">
        <f ca="1">IF($A236="","",SUMIFS(Data!$AY$4:$AY$183,Data!$AM$4:$AM$183,$B236,Data!$AL$4:$AL$183,$A236,Data!$AK$4:$AK$183,$C236))</f>
        <v/>
      </c>
      <c r="AD236" s="18" t="str">
        <f t="shared" ca="1" si="7"/>
        <v/>
      </c>
      <c r="AE236" s="18" t="str">
        <f ca="1">IF($A236="","",SUMIFS(Data!$AJ$4:$AJ$183,Data!$AM$4:$AM$183,$B236,Data!$AL$4:$AL$183,$A236,Data!$AK$4:$AK$183,$C236))</f>
        <v/>
      </c>
    </row>
    <row r="237" spans="1:31">
      <c r="A237" s="18" t="str">
        <f ca="1">IF(Data!T237="","",Data!T237)</f>
        <v/>
      </c>
      <c r="B237" s="18" t="str">
        <f ca="1">IF(Data!U237="","",Data!U237)</f>
        <v/>
      </c>
      <c r="C237" s="18" t="str">
        <f ca="1">IF(Data!S237="","",Data!S237)</f>
        <v/>
      </c>
      <c r="D237" s="18" t="str">
        <f ca="1">IF($A237="","",Data!W237)</f>
        <v/>
      </c>
      <c r="E237" s="18" t="str">
        <f ca="1">IF($A237="","",Data!Y237)</f>
        <v/>
      </c>
      <c r="F237" s="61" t="str">
        <f t="shared" ca="1" si="6"/>
        <v/>
      </c>
      <c r="G237" s="18" t="str">
        <f ca="1">IF($A237="","",Data!AB237)</f>
        <v/>
      </c>
      <c r="H237" s="18" t="str">
        <f ca="1">IF($A237="","",Data!AC237)</f>
        <v/>
      </c>
      <c r="I237" s="18" t="str">
        <f ca="1">IF($A237="","",INT(SUMIFS(Data!$AN$4:$AN$183,Data!$AM$4:$AM$183,$B237,Data!$AL$4:$AL$183,$A237,Data!$AK$4:$AK$183,$C237))+MOD(ROUND(SUMIFS(Data!$AN$4:$AN$183,Data!$AM$4:$AM$183,$B237,Data!$AL$4:$AL$183,$A237,Data!$AK$4:$AK$183,$C237)*3,0),3)/10)</f>
        <v/>
      </c>
      <c r="J237" s="18" t="str">
        <f ca="1">IF($A237="","",SUMIFS(Data!$AQ$4:$AQ$183,Data!$AM$4:$AM$183,$B237,Data!$AL$4:$AL$183,$A237,Data!$AK$4:$AK$183,$C237))</f>
        <v/>
      </c>
      <c r="K237" s="62" t="str">
        <f ca="1">IF($A237="","",IF(SUMIFS(Data!$AN$4:$AN$183,Data!$AM$4:$AM$183,$B237,Data!$AL$4:$AL$183,$A237,Data!$AK$4:$AK$183,$C237)=0,"",J237*3/SUMIFS(Data!$AN$4:$AN$183,Data!$AM$4:$AM$183,$B237,Data!$AL$4:$AL$183,$A237,Data!$AK$4:$AK$183,$C237)))</f>
        <v/>
      </c>
      <c r="L237" s="18" t="str">
        <f ca="1">IF($A237="","",IF(IFERROR(_xlfn.XLOOKUP($C237,Bracket!$F$6:$F$16,Bracket!$K$6:$K$16,""),"")=$B237,1,0))</f>
        <v/>
      </c>
      <c r="M237" s="18" t="str">
        <f ca="1">IF($A237="","",IF(AND(IFERROR(_xlfn.XLOOKUP($C237,Bracket!$F$6:$F$16,Bracket!$K$6:$K$16,""),"")=$B237,LEFT(IFERROR(_xlfn.XLOOKUP($C237,Bracket!$F$6:$F$16,Bracket!$G$6:$G$16,""),""),2)="CG"),1,0))</f>
        <v/>
      </c>
      <c r="N237" s="18" t="str">
        <f ca="1">IF($A237="","",SUMIFS(Data!$X$4:$X$273,Data!$T$4:$T$273,$A237,Data!$U$4:$U$273,$B237,Data!$S$4:$S$273,$C237))</f>
        <v/>
      </c>
      <c r="O237" s="18" t="str">
        <f ca="1">IF($A237="","",SUMIFS(Data!$Z$4:$Z$273,Data!$T$4:$T$273,$A237,Data!$U$4:$U$273,$B237,Data!$S$4:$S$273,$C237))</f>
        <v/>
      </c>
      <c r="P237" s="18" t="str">
        <f ca="1">IF($A237="","",SUMIFS(Data!$AA$4:$AA$273,Data!$T$4:$T$273,$A237,Data!$U$4:$U$273,$B237,Data!$S$4:$S$273,$C237))</f>
        <v/>
      </c>
      <c r="Q237" s="18" t="str">
        <f ca="1">IF($A237="","",SUMIFS(Data!$AD$4:$AD$273,Data!$T$4:$T$273,$A237,Data!$U$4:$U$273,$B237,Data!$S$4:$S$273,$C237))</f>
        <v/>
      </c>
      <c r="R237" s="18" t="str">
        <f ca="1">IF($A237="","",SUMIFS(Data!$AE$4:$AE$273,Data!$T$4:$T$273,$A237,Data!$U$4:$U$273,$B237,Data!$S$4:$S$273,$C237))</f>
        <v/>
      </c>
      <c r="S237" s="18" t="str">
        <f ca="1">IF($A237="","",SUMIFS(Data!$AF$4:$AF$273,Data!$T$4:$T$273,$A237,Data!$U$4:$U$273,$B237,Data!$S$4:$S$273,$C237))</f>
        <v/>
      </c>
      <c r="T237" s="18" t="str">
        <f ca="1">IF($A237="","",SUMIFS(Data!$AG$4:$AG$273,Data!$T$4:$T$273,$A237,Data!$U$4:$U$273,$B237,Data!$S$4:$S$273,$C237))</f>
        <v/>
      </c>
      <c r="U237" s="18" t="str">
        <f ca="1">IF($A237="","",SUMIFS(Data!$AH$4:$AH$273,Data!$T$4:$T$273,$A237,Data!$U$4:$U$273,$B237,Data!$S$4:$S$273,$C237))</f>
        <v/>
      </c>
      <c r="V237" s="18" t="str">
        <f ca="1">IF($A237="","",SUMIFS(Data!$AO$4:$AO$183,Data!$AM$4:$AM$183,$B237,Data!$AL$4:$AL$183,$A237,Data!$AK$4:$AK$183,$C237))</f>
        <v/>
      </c>
      <c r="W237" s="18" t="str">
        <f ca="1">IF($A237="","",SUMIFS(Data!$AP$4:$AP$183,Data!$AM$4:$AM$183,$B237,Data!$AL$4:$AL$183,$A237,Data!$AK$4:$AK$183,$C237))</f>
        <v/>
      </c>
      <c r="X237" s="18" t="str">
        <f ca="1">IF($A237="","",SUMIFS(Data!$AR$4:$AR$183,Data!$AM$4:$AM$183,$B237,Data!$AL$4:$AL$183,$A237,Data!$AK$4:$AK$183,$C237))</f>
        <v/>
      </c>
      <c r="Y237" s="18" t="str">
        <f ca="1">IF($A237="","",SUMIFS(Data!$AS$4:$AS$183,Data!$AM$4:$AM$183,$B237,Data!$AL$4:$AL$183,$A237,Data!$AK$4:$AK$183,$C237))</f>
        <v/>
      </c>
      <c r="Z237" s="18" t="str">
        <f ca="1">IF($A237="","",SUMIFS(Data!$AT$4:$AT$183,Data!$AM$4:$AM$183,$B237,Data!$AL$4:$AL$183,$A237,Data!$AK$4:$AK$183,$C237))</f>
        <v/>
      </c>
      <c r="AA237" s="18" t="str">
        <f ca="1">IF($A237="","",SUMIFS(Data!$AW$4:$AW$183,Data!$AM$4:$AM$183,$B237,Data!$AL$4:$AL$183,$A237,Data!$AK$4:$AK$183,$C237))</f>
        <v/>
      </c>
      <c r="AB237" s="18" t="str">
        <f ca="1">IF($A237="","",SUMIFS(Data!$AX$4:$AX$183,Data!$AM$4:$AM$183,$B237,Data!$AL$4:$AL$183,$A237,Data!$AK$4:$AK$183,$C237))</f>
        <v/>
      </c>
      <c r="AC237" s="18" t="str">
        <f ca="1">IF($A237="","",SUMIFS(Data!$AY$4:$AY$183,Data!$AM$4:$AM$183,$B237,Data!$AL$4:$AL$183,$A237,Data!$AK$4:$AK$183,$C237))</f>
        <v/>
      </c>
      <c r="AD237" s="18" t="str">
        <f t="shared" ca="1" si="7"/>
        <v/>
      </c>
      <c r="AE237" s="18" t="str">
        <f ca="1">IF($A237="","",SUMIFS(Data!$AJ$4:$AJ$183,Data!$AM$4:$AM$183,$B237,Data!$AL$4:$AL$183,$A237,Data!$AK$4:$AK$183,$C237))</f>
        <v/>
      </c>
    </row>
    <row r="238" spans="1:31">
      <c r="A238" s="18" t="str">
        <f ca="1">IF(Data!T238="","",Data!T238)</f>
        <v/>
      </c>
      <c r="B238" s="18" t="str">
        <f ca="1">IF(Data!U238="","",Data!U238)</f>
        <v/>
      </c>
      <c r="C238" s="18" t="str">
        <f ca="1">IF(Data!S238="","",Data!S238)</f>
        <v/>
      </c>
      <c r="D238" s="18" t="str">
        <f ca="1">IF($A238="","",Data!W238)</f>
        <v/>
      </c>
      <c r="E238" s="18" t="str">
        <f ca="1">IF($A238="","",Data!Y238)</f>
        <v/>
      </c>
      <c r="F238" s="61" t="str">
        <f t="shared" ca="1" si="6"/>
        <v/>
      </c>
      <c r="G238" s="18" t="str">
        <f ca="1">IF($A238="","",Data!AB238)</f>
        <v/>
      </c>
      <c r="H238" s="18" t="str">
        <f ca="1">IF($A238="","",Data!AC238)</f>
        <v/>
      </c>
      <c r="I238" s="18" t="str">
        <f ca="1">IF($A238="","",INT(SUMIFS(Data!$AN$4:$AN$183,Data!$AM$4:$AM$183,$B238,Data!$AL$4:$AL$183,$A238,Data!$AK$4:$AK$183,$C238))+MOD(ROUND(SUMIFS(Data!$AN$4:$AN$183,Data!$AM$4:$AM$183,$B238,Data!$AL$4:$AL$183,$A238,Data!$AK$4:$AK$183,$C238)*3,0),3)/10)</f>
        <v/>
      </c>
      <c r="J238" s="18" t="str">
        <f ca="1">IF($A238="","",SUMIFS(Data!$AQ$4:$AQ$183,Data!$AM$4:$AM$183,$B238,Data!$AL$4:$AL$183,$A238,Data!$AK$4:$AK$183,$C238))</f>
        <v/>
      </c>
      <c r="K238" s="62" t="str">
        <f ca="1">IF($A238="","",IF(SUMIFS(Data!$AN$4:$AN$183,Data!$AM$4:$AM$183,$B238,Data!$AL$4:$AL$183,$A238,Data!$AK$4:$AK$183,$C238)=0,"",J238*3/SUMIFS(Data!$AN$4:$AN$183,Data!$AM$4:$AM$183,$B238,Data!$AL$4:$AL$183,$A238,Data!$AK$4:$AK$183,$C238)))</f>
        <v/>
      </c>
      <c r="L238" s="18" t="str">
        <f ca="1">IF($A238="","",IF(IFERROR(_xlfn.XLOOKUP($C238,Bracket!$F$6:$F$16,Bracket!$K$6:$K$16,""),"")=$B238,1,0))</f>
        <v/>
      </c>
      <c r="M238" s="18" t="str">
        <f ca="1">IF($A238="","",IF(AND(IFERROR(_xlfn.XLOOKUP($C238,Bracket!$F$6:$F$16,Bracket!$K$6:$K$16,""),"")=$B238,LEFT(IFERROR(_xlfn.XLOOKUP($C238,Bracket!$F$6:$F$16,Bracket!$G$6:$G$16,""),""),2)="CG"),1,0))</f>
        <v/>
      </c>
      <c r="N238" s="18" t="str">
        <f ca="1">IF($A238="","",SUMIFS(Data!$X$4:$X$273,Data!$T$4:$T$273,$A238,Data!$U$4:$U$273,$B238,Data!$S$4:$S$273,$C238))</f>
        <v/>
      </c>
      <c r="O238" s="18" t="str">
        <f ca="1">IF($A238="","",SUMIFS(Data!$Z$4:$Z$273,Data!$T$4:$T$273,$A238,Data!$U$4:$U$273,$B238,Data!$S$4:$S$273,$C238))</f>
        <v/>
      </c>
      <c r="P238" s="18" t="str">
        <f ca="1">IF($A238="","",SUMIFS(Data!$AA$4:$AA$273,Data!$T$4:$T$273,$A238,Data!$U$4:$U$273,$B238,Data!$S$4:$S$273,$C238))</f>
        <v/>
      </c>
      <c r="Q238" s="18" t="str">
        <f ca="1">IF($A238="","",SUMIFS(Data!$AD$4:$AD$273,Data!$T$4:$T$273,$A238,Data!$U$4:$U$273,$B238,Data!$S$4:$S$273,$C238))</f>
        <v/>
      </c>
      <c r="R238" s="18" t="str">
        <f ca="1">IF($A238="","",SUMIFS(Data!$AE$4:$AE$273,Data!$T$4:$T$273,$A238,Data!$U$4:$U$273,$B238,Data!$S$4:$S$273,$C238))</f>
        <v/>
      </c>
      <c r="S238" s="18" t="str">
        <f ca="1">IF($A238="","",SUMIFS(Data!$AF$4:$AF$273,Data!$T$4:$T$273,$A238,Data!$U$4:$U$273,$B238,Data!$S$4:$S$273,$C238))</f>
        <v/>
      </c>
      <c r="T238" s="18" t="str">
        <f ca="1">IF($A238="","",SUMIFS(Data!$AG$4:$AG$273,Data!$T$4:$T$273,$A238,Data!$U$4:$U$273,$B238,Data!$S$4:$S$273,$C238))</f>
        <v/>
      </c>
      <c r="U238" s="18" t="str">
        <f ca="1">IF($A238="","",SUMIFS(Data!$AH$4:$AH$273,Data!$T$4:$T$273,$A238,Data!$U$4:$U$273,$B238,Data!$S$4:$S$273,$C238))</f>
        <v/>
      </c>
      <c r="V238" s="18" t="str">
        <f ca="1">IF($A238="","",SUMIFS(Data!$AO$4:$AO$183,Data!$AM$4:$AM$183,$B238,Data!$AL$4:$AL$183,$A238,Data!$AK$4:$AK$183,$C238))</f>
        <v/>
      </c>
      <c r="W238" s="18" t="str">
        <f ca="1">IF($A238="","",SUMIFS(Data!$AP$4:$AP$183,Data!$AM$4:$AM$183,$B238,Data!$AL$4:$AL$183,$A238,Data!$AK$4:$AK$183,$C238))</f>
        <v/>
      </c>
      <c r="X238" s="18" t="str">
        <f ca="1">IF($A238="","",SUMIFS(Data!$AR$4:$AR$183,Data!$AM$4:$AM$183,$B238,Data!$AL$4:$AL$183,$A238,Data!$AK$4:$AK$183,$C238))</f>
        <v/>
      </c>
      <c r="Y238" s="18" t="str">
        <f ca="1">IF($A238="","",SUMIFS(Data!$AS$4:$AS$183,Data!$AM$4:$AM$183,$B238,Data!$AL$4:$AL$183,$A238,Data!$AK$4:$AK$183,$C238))</f>
        <v/>
      </c>
      <c r="Z238" s="18" t="str">
        <f ca="1">IF($A238="","",SUMIFS(Data!$AT$4:$AT$183,Data!$AM$4:$AM$183,$B238,Data!$AL$4:$AL$183,$A238,Data!$AK$4:$AK$183,$C238))</f>
        <v/>
      </c>
      <c r="AA238" s="18" t="str">
        <f ca="1">IF($A238="","",SUMIFS(Data!$AW$4:$AW$183,Data!$AM$4:$AM$183,$B238,Data!$AL$4:$AL$183,$A238,Data!$AK$4:$AK$183,$C238))</f>
        <v/>
      </c>
      <c r="AB238" s="18" t="str">
        <f ca="1">IF($A238="","",SUMIFS(Data!$AX$4:$AX$183,Data!$AM$4:$AM$183,$B238,Data!$AL$4:$AL$183,$A238,Data!$AK$4:$AK$183,$C238))</f>
        <v/>
      </c>
      <c r="AC238" s="18" t="str">
        <f ca="1">IF($A238="","",SUMIFS(Data!$AY$4:$AY$183,Data!$AM$4:$AM$183,$B238,Data!$AL$4:$AL$183,$A238,Data!$AK$4:$AK$183,$C238))</f>
        <v/>
      </c>
      <c r="AD238" s="18" t="str">
        <f t="shared" ca="1" si="7"/>
        <v/>
      </c>
      <c r="AE238" s="18" t="str">
        <f ca="1">IF($A238="","",SUMIFS(Data!$AJ$4:$AJ$183,Data!$AM$4:$AM$183,$B238,Data!$AL$4:$AL$183,$A238,Data!$AK$4:$AK$183,$C238))</f>
        <v/>
      </c>
    </row>
    <row r="239" spans="1:31">
      <c r="A239" s="18" t="str">
        <f ca="1">IF(Data!T239="","",Data!T239)</f>
        <v/>
      </c>
      <c r="B239" s="18" t="str">
        <f ca="1">IF(Data!U239="","",Data!U239)</f>
        <v/>
      </c>
      <c r="C239" s="18" t="str">
        <f ca="1">IF(Data!S239="","",Data!S239)</f>
        <v/>
      </c>
      <c r="D239" s="18" t="str">
        <f ca="1">IF($A239="","",Data!W239)</f>
        <v/>
      </c>
      <c r="E239" s="18" t="str">
        <f ca="1">IF($A239="","",Data!Y239)</f>
        <v/>
      </c>
      <c r="F239" s="61" t="str">
        <f t="shared" ca="1" si="6"/>
        <v/>
      </c>
      <c r="G239" s="18" t="str">
        <f ca="1">IF($A239="","",Data!AB239)</f>
        <v/>
      </c>
      <c r="H239" s="18" t="str">
        <f ca="1">IF($A239="","",Data!AC239)</f>
        <v/>
      </c>
      <c r="I239" s="18" t="str">
        <f ca="1">IF($A239="","",INT(SUMIFS(Data!$AN$4:$AN$183,Data!$AM$4:$AM$183,$B239,Data!$AL$4:$AL$183,$A239,Data!$AK$4:$AK$183,$C239))+MOD(ROUND(SUMIFS(Data!$AN$4:$AN$183,Data!$AM$4:$AM$183,$B239,Data!$AL$4:$AL$183,$A239,Data!$AK$4:$AK$183,$C239)*3,0),3)/10)</f>
        <v/>
      </c>
      <c r="J239" s="18" t="str">
        <f ca="1">IF($A239="","",SUMIFS(Data!$AQ$4:$AQ$183,Data!$AM$4:$AM$183,$B239,Data!$AL$4:$AL$183,$A239,Data!$AK$4:$AK$183,$C239))</f>
        <v/>
      </c>
      <c r="K239" s="62" t="str">
        <f ca="1">IF($A239="","",IF(SUMIFS(Data!$AN$4:$AN$183,Data!$AM$4:$AM$183,$B239,Data!$AL$4:$AL$183,$A239,Data!$AK$4:$AK$183,$C239)=0,"",J239*3/SUMIFS(Data!$AN$4:$AN$183,Data!$AM$4:$AM$183,$B239,Data!$AL$4:$AL$183,$A239,Data!$AK$4:$AK$183,$C239)))</f>
        <v/>
      </c>
      <c r="L239" s="18" t="str">
        <f ca="1">IF($A239="","",IF(IFERROR(_xlfn.XLOOKUP($C239,Bracket!$F$6:$F$16,Bracket!$K$6:$K$16,""),"")=$B239,1,0))</f>
        <v/>
      </c>
      <c r="M239" s="18" t="str">
        <f ca="1">IF($A239="","",IF(AND(IFERROR(_xlfn.XLOOKUP($C239,Bracket!$F$6:$F$16,Bracket!$K$6:$K$16,""),"")=$B239,LEFT(IFERROR(_xlfn.XLOOKUP($C239,Bracket!$F$6:$F$16,Bracket!$G$6:$G$16,""),""),2)="CG"),1,0))</f>
        <v/>
      </c>
      <c r="N239" s="18" t="str">
        <f ca="1">IF($A239="","",SUMIFS(Data!$X$4:$X$273,Data!$T$4:$T$273,$A239,Data!$U$4:$U$273,$B239,Data!$S$4:$S$273,$C239))</f>
        <v/>
      </c>
      <c r="O239" s="18" t="str">
        <f ca="1">IF($A239="","",SUMIFS(Data!$Z$4:$Z$273,Data!$T$4:$T$273,$A239,Data!$U$4:$U$273,$B239,Data!$S$4:$S$273,$C239))</f>
        <v/>
      </c>
      <c r="P239" s="18" t="str">
        <f ca="1">IF($A239="","",SUMIFS(Data!$AA$4:$AA$273,Data!$T$4:$T$273,$A239,Data!$U$4:$U$273,$B239,Data!$S$4:$S$273,$C239))</f>
        <v/>
      </c>
      <c r="Q239" s="18" t="str">
        <f ca="1">IF($A239="","",SUMIFS(Data!$AD$4:$AD$273,Data!$T$4:$T$273,$A239,Data!$U$4:$U$273,$B239,Data!$S$4:$S$273,$C239))</f>
        <v/>
      </c>
      <c r="R239" s="18" t="str">
        <f ca="1">IF($A239="","",SUMIFS(Data!$AE$4:$AE$273,Data!$T$4:$T$273,$A239,Data!$U$4:$U$273,$B239,Data!$S$4:$S$273,$C239))</f>
        <v/>
      </c>
      <c r="S239" s="18" t="str">
        <f ca="1">IF($A239="","",SUMIFS(Data!$AF$4:$AF$273,Data!$T$4:$T$273,$A239,Data!$U$4:$U$273,$B239,Data!$S$4:$S$273,$C239))</f>
        <v/>
      </c>
      <c r="T239" s="18" t="str">
        <f ca="1">IF($A239="","",SUMIFS(Data!$AG$4:$AG$273,Data!$T$4:$T$273,$A239,Data!$U$4:$U$273,$B239,Data!$S$4:$S$273,$C239))</f>
        <v/>
      </c>
      <c r="U239" s="18" t="str">
        <f ca="1">IF($A239="","",SUMIFS(Data!$AH$4:$AH$273,Data!$T$4:$T$273,$A239,Data!$U$4:$U$273,$B239,Data!$S$4:$S$273,$C239))</f>
        <v/>
      </c>
      <c r="V239" s="18" t="str">
        <f ca="1">IF($A239="","",SUMIFS(Data!$AO$4:$AO$183,Data!$AM$4:$AM$183,$B239,Data!$AL$4:$AL$183,$A239,Data!$AK$4:$AK$183,$C239))</f>
        <v/>
      </c>
      <c r="W239" s="18" t="str">
        <f ca="1">IF($A239="","",SUMIFS(Data!$AP$4:$AP$183,Data!$AM$4:$AM$183,$B239,Data!$AL$4:$AL$183,$A239,Data!$AK$4:$AK$183,$C239))</f>
        <v/>
      </c>
      <c r="X239" s="18" t="str">
        <f ca="1">IF($A239="","",SUMIFS(Data!$AR$4:$AR$183,Data!$AM$4:$AM$183,$B239,Data!$AL$4:$AL$183,$A239,Data!$AK$4:$AK$183,$C239))</f>
        <v/>
      </c>
      <c r="Y239" s="18" t="str">
        <f ca="1">IF($A239="","",SUMIFS(Data!$AS$4:$AS$183,Data!$AM$4:$AM$183,$B239,Data!$AL$4:$AL$183,$A239,Data!$AK$4:$AK$183,$C239))</f>
        <v/>
      </c>
      <c r="Z239" s="18" t="str">
        <f ca="1">IF($A239="","",SUMIFS(Data!$AT$4:$AT$183,Data!$AM$4:$AM$183,$B239,Data!$AL$4:$AL$183,$A239,Data!$AK$4:$AK$183,$C239))</f>
        <v/>
      </c>
      <c r="AA239" s="18" t="str">
        <f ca="1">IF($A239="","",SUMIFS(Data!$AW$4:$AW$183,Data!$AM$4:$AM$183,$B239,Data!$AL$4:$AL$183,$A239,Data!$AK$4:$AK$183,$C239))</f>
        <v/>
      </c>
      <c r="AB239" s="18" t="str">
        <f ca="1">IF($A239="","",SUMIFS(Data!$AX$4:$AX$183,Data!$AM$4:$AM$183,$B239,Data!$AL$4:$AL$183,$A239,Data!$AK$4:$AK$183,$C239))</f>
        <v/>
      </c>
      <c r="AC239" s="18" t="str">
        <f ca="1">IF($A239="","",SUMIFS(Data!$AY$4:$AY$183,Data!$AM$4:$AM$183,$B239,Data!$AL$4:$AL$183,$A239,Data!$AK$4:$AK$183,$C239))</f>
        <v/>
      </c>
      <c r="AD239" s="18" t="str">
        <f t="shared" ca="1" si="7"/>
        <v/>
      </c>
      <c r="AE239" s="18" t="str">
        <f ca="1">IF($A239="","",SUMIFS(Data!$AJ$4:$AJ$183,Data!$AM$4:$AM$183,$B239,Data!$AL$4:$AL$183,$A239,Data!$AK$4:$AK$183,$C239))</f>
        <v/>
      </c>
    </row>
    <row r="240" spans="1:31">
      <c r="A240" s="18" t="str">
        <f ca="1">IF(Data!T240="","",Data!T240)</f>
        <v/>
      </c>
      <c r="B240" s="18" t="str">
        <f ca="1">IF(Data!U240="","",Data!U240)</f>
        <v/>
      </c>
      <c r="C240" s="18" t="str">
        <f ca="1">IF(Data!S240="","",Data!S240)</f>
        <v/>
      </c>
      <c r="D240" s="18" t="str">
        <f ca="1">IF($A240="","",Data!W240)</f>
        <v/>
      </c>
      <c r="E240" s="18" t="str">
        <f ca="1">IF($A240="","",Data!Y240)</f>
        <v/>
      </c>
      <c r="F240" s="61" t="str">
        <f t="shared" ca="1" si="6"/>
        <v/>
      </c>
      <c r="G240" s="18" t="str">
        <f ca="1">IF($A240="","",Data!AB240)</f>
        <v/>
      </c>
      <c r="H240" s="18" t="str">
        <f ca="1">IF($A240="","",Data!AC240)</f>
        <v/>
      </c>
      <c r="I240" s="18" t="str">
        <f ca="1">IF($A240="","",INT(SUMIFS(Data!$AN$4:$AN$183,Data!$AM$4:$AM$183,$B240,Data!$AL$4:$AL$183,$A240,Data!$AK$4:$AK$183,$C240))+MOD(ROUND(SUMIFS(Data!$AN$4:$AN$183,Data!$AM$4:$AM$183,$B240,Data!$AL$4:$AL$183,$A240,Data!$AK$4:$AK$183,$C240)*3,0),3)/10)</f>
        <v/>
      </c>
      <c r="J240" s="18" t="str">
        <f ca="1">IF($A240="","",SUMIFS(Data!$AQ$4:$AQ$183,Data!$AM$4:$AM$183,$B240,Data!$AL$4:$AL$183,$A240,Data!$AK$4:$AK$183,$C240))</f>
        <v/>
      </c>
      <c r="K240" s="62" t="str">
        <f ca="1">IF($A240="","",IF(SUMIFS(Data!$AN$4:$AN$183,Data!$AM$4:$AM$183,$B240,Data!$AL$4:$AL$183,$A240,Data!$AK$4:$AK$183,$C240)=0,"",J240*3/SUMIFS(Data!$AN$4:$AN$183,Data!$AM$4:$AM$183,$B240,Data!$AL$4:$AL$183,$A240,Data!$AK$4:$AK$183,$C240)))</f>
        <v/>
      </c>
      <c r="L240" s="18" t="str">
        <f ca="1">IF($A240="","",IF(IFERROR(_xlfn.XLOOKUP($C240,Bracket!$F$6:$F$16,Bracket!$K$6:$K$16,""),"")=$B240,1,0))</f>
        <v/>
      </c>
      <c r="M240" s="18" t="str">
        <f ca="1">IF($A240="","",IF(AND(IFERROR(_xlfn.XLOOKUP($C240,Bracket!$F$6:$F$16,Bracket!$K$6:$K$16,""),"")=$B240,LEFT(IFERROR(_xlfn.XLOOKUP($C240,Bracket!$F$6:$F$16,Bracket!$G$6:$G$16,""),""),2)="CG"),1,0))</f>
        <v/>
      </c>
      <c r="N240" s="18" t="str">
        <f ca="1">IF($A240="","",SUMIFS(Data!$X$4:$X$273,Data!$T$4:$T$273,$A240,Data!$U$4:$U$273,$B240,Data!$S$4:$S$273,$C240))</f>
        <v/>
      </c>
      <c r="O240" s="18" t="str">
        <f ca="1">IF($A240="","",SUMIFS(Data!$Z$4:$Z$273,Data!$T$4:$T$273,$A240,Data!$U$4:$U$273,$B240,Data!$S$4:$S$273,$C240))</f>
        <v/>
      </c>
      <c r="P240" s="18" t="str">
        <f ca="1">IF($A240="","",SUMIFS(Data!$AA$4:$AA$273,Data!$T$4:$T$273,$A240,Data!$U$4:$U$273,$B240,Data!$S$4:$S$273,$C240))</f>
        <v/>
      </c>
      <c r="Q240" s="18" t="str">
        <f ca="1">IF($A240="","",SUMIFS(Data!$AD$4:$AD$273,Data!$T$4:$T$273,$A240,Data!$U$4:$U$273,$B240,Data!$S$4:$S$273,$C240))</f>
        <v/>
      </c>
      <c r="R240" s="18" t="str">
        <f ca="1">IF($A240="","",SUMIFS(Data!$AE$4:$AE$273,Data!$T$4:$T$273,$A240,Data!$U$4:$U$273,$B240,Data!$S$4:$S$273,$C240))</f>
        <v/>
      </c>
      <c r="S240" s="18" t="str">
        <f ca="1">IF($A240="","",SUMIFS(Data!$AF$4:$AF$273,Data!$T$4:$T$273,$A240,Data!$U$4:$U$273,$B240,Data!$S$4:$S$273,$C240))</f>
        <v/>
      </c>
      <c r="T240" s="18" t="str">
        <f ca="1">IF($A240="","",SUMIFS(Data!$AG$4:$AG$273,Data!$T$4:$T$273,$A240,Data!$U$4:$U$273,$B240,Data!$S$4:$S$273,$C240))</f>
        <v/>
      </c>
      <c r="U240" s="18" t="str">
        <f ca="1">IF($A240="","",SUMIFS(Data!$AH$4:$AH$273,Data!$T$4:$T$273,$A240,Data!$U$4:$U$273,$B240,Data!$S$4:$S$273,$C240))</f>
        <v/>
      </c>
      <c r="V240" s="18" t="str">
        <f ca="1">IF($A240="","",SUMIFS(Data!$AO$4:$AO$183,Data!$AM$4:$AM$183,$B240,Data!$AL$4:$AL$183,$A240,Data!$AK$4:$AK$183,$C240))</f>
        <v/>
      </c>
      <c r="W240" s="18" t="str">
        <f ca="1">IF($A240="","",SUMIFS(Data!$AP$4:$AP$183,Data!$AM$4:$AM$183,$B240,Data!$AL$4:$AL$183,$A240,Data!$AK$4:$AK$183,$C240))</f>
        <v/>
      </c>
      <c r="X240" s="18" t="str">
        <f ca="1">IF($A240="","",SUMIFS(Data!$AR$4:$AR$183,Data!$AM$4:$AM$183,$B240,Data!$AL$4:$AL$183,$A240,Data!$AK$4:$AK$183,$C240))</f>
        <v/>
      </c>
      <c r="Y240" s="18" t="str">
        <f ca="1">IF($A240="","",SUMIFS(Data!$AS$4:$AS$183,Data!$AM$4:$AM$183,$B240,Data!$AL$4:$AL$183,$A240,Data!$AK$4:$AK$183,$C240))</f>
        <v/>
      </c>
      <c r="Z240" s="18" t="str">
        <f ca="1">IF($A240="","",SUMIFS(Data!$AT$4:$AT$183,Data!$AM$4:$AM$183,$B240,Data!$AL$4:$AL$183,$A240,Data!$AK$4:$AK$183,$C240))</f>
        <v/>
      </c>
      <c r="AA240" s="18" t="str">
        <f ca="1">IF($A240="","",SUMIFS(Data!$AW$4:$AW$183,Data!$AM$4:$AM$183,$B240,Data!$AL$4:$AL$183,$A240,Data!$AK$4:$AK$183,$C240))</f>
        <v/>
      </c>
      <c r="AB240" s="18" t="str">
        <f ca="1">IF($A240="","",SUMIFS(Data!$AX$4:$AX$183,Data!$AM$4:$AM$183,$B240,Data!$AL$4:$AL$183,$A240,Data!$AK$4:$AK$183,$C240))</f>
        <v/>
      </c>
      <c r="AC240" s="18" t="str">
        <f ca="1">IF($A240="","",SUMIFS(Data!$AY$4:$AY$183,Data!$AM$4:$AM$183,$B240,Data!$AL$4:$AL$183,$A240,Data!$AK$4:$AK$183,$C240))</f>
        <v/>
      </c>
      <c r="AD240" s="18" t="str">
        <f t="shared" ca="1" si="7"/>
        <v/>
      </c>
      <c r="AE240" s="18" t="str">
        <f ca="1">IF($A240="","",SUMIFS(Data!$AJ$4:$AJ$183,Data!$AM$4:$AM$183,$B240,Data!$AL$4:$AL$183,$A240,Data!$AK$4:$AK$183,$C240))</f>
        <v/>
      </c>
    </row>
    <row r="241" spans="1:31">
      <c r="A241" s="18" t="str">
        <f ca="1">IF(Data!T241="","",Data!T241)</f>
        <v/>
      </c>
      <c r="B241" s="18" t="str">
        <f ca="1">IF(Data!U241="","",Data!U241)</f>
        <v/>
      </c>
      <c r="C241" s="18" t="str">
        <f ca="1">IF(Data!S241="","",Data!S241)</f>
        <v/>
      </c>
      <c r="D241" s="18" t="str">
        <f ca="1">IF($A241="","",Data!W241)</f>
        <v/>
      </c>
      <c r="E241" s="18" t="str">
        <f ca="1">IF($A241="","",Data!Y241)</f>
        <v/>
      </c>
      <c r="F241" s="61" t="str">
        <f t="shared" ca="1" si="6"/>
        <v/>
      </c>
      <c r="G241" s="18" t="str">
        <f ca="1">IF($A241="","",Data!AB241)</f>
        <v/>
      </c>
      <c r="H241" s="18" t="str">
        <f ca="1">IF($A241="","",Data!AC241)</f>
        <v/>
      </c>
      <c r="I241" s="18" t="str">
        <f ca="1">IF($A241="","",INT(SUMIFS(Data!$AN$4:$AN$183,Data!$AM$4:$AM$183,$B241,Data!$AL$4:$AL$183,$A241,Data!$AK$4:$AK$183,$C241))+MOD(ROUND(SUMIFS(Data!$AN$4:$AN$183,Data!$AM$4:$AM$183,$B241,Data!$AL$4:$AL$183,$A241,Data!$AK$4:$AK$183,$C241)*3,0),3)/10)</f>
        <v/>
      </c>
      <c r="J241" s="18" t="str">
        <f ca="1">IF($A241="","",SUMIFS(Data!$AQ$4:$AQ$183,Data!$AM$4:$AM$183,$B241,Data!$AL$4:$AL$183,$A241,Data!$AK$4:$AK$183,$C241))</f>
        <v/>
      </c>
      <c r="K241" s="62" t="str">
        <f ca="1">IF($A241="","",IF(SUMIFS(Data!$AN$4:$AN$183,Data!$AM$4:$AM$183,$B241,Data!$AL$4:$AL$183,$A241,Data!$AK$4:$AK$183,$C241)=0,"",J241*3/SUMIFS(Data!$AN$4:$AN$183,Data!$AM$4:$AM$183,$B241,Data!$AL$4:$AL$183,$A241,Data!$AK$4:$AK$183,$C241)))</f>
        <v/>
      </c>
      <c r="L241" s="18" t="str">
        <f ca="1">IF($A241="","",IF(IFERROR(_xlfn.XLOOKUP($C241,Bracket!$F$6:$F$16,Bracket!$K$6:$K$16,""),"")=$B241,1,0))</f>
        <v/>
      </c>
      <c r="M241" s="18" t="str">
        <f ca="1">IF($A241="","",IF(AND(IFERROR(_xlfn.XLOOKUP($C241,Bracket!$F$6:$F$16,Bracket!$K$6:$K$16,""),"")=$B241,LEFT(IFERROR(_xlfn.XLOOKUP($C241,Bracket!$F$6:$F$16,Bracket!$G$6:$G$16,""),""),2)="CG"),1,0))</f>
        <v/>
      </c>
      <c r="N241" s="18" t="str">
        <f ca="1">IF($A241="","",SUMIFS(Data!$X$4:$X$273,Data!$T$4:$T$273,$A241,Data!$U$4:$U$273,$B241,Data!$S$4:$S$273,$C241))</f>
        <v/>
      </c>
      <c r="O241" s="18" t="str">
        <f ca="1">IF($A241="","",SUMIFS(Data!$Z$4:$Z$273,Data!$T$4:$T$273,$A241,Data!$U$4:$U$273,$B241,Data!$S$4:$S$273,$C241))</f>
        <v/>
      </c>
      <c r="P241" s="18" t="str">
        <f ca="1">IF($A241="","",SUMIFS(Data!$AA$4:$AA$273,Data!$T$4:$T$273,$A241,Data!$U$4:$U$273,$B241,Data!$S$4:$S$273,$C241))</f>
        <v/>
      </c>
      <c r="Q241" s="18" t="str">
        <f ca="1">IF($A241="","",SUMIFS(Data!$AD$4:$AD$273,Data!$T$4:$T$273,$A241,Data!$U$4:$U$273,$B241,Data!$S$4:$S$273,$C241))</f>
        <v/>
      </c>
      <c r="R241" s="18" t="str">
        <f ca="1">IF($A241="","",SUMIFS(Data!$AE$4:$AE$273,Data!$T$4:$T$273,$A241,Data!$U$4:$U$273,$B241,Data!$S$4:$S$273,$C241))</f>
        <v/>
      </c>
      <c r="S241" s="18" t="str">
        <f ca="1">IF($A241="","",SUMIFS(Data!$AF$4:$AF$273,Data!$T$4:$T$273,$A241,Data!$U$4:$U$273,$B241,Data!$S$4:$S$273,$C241))</f>
        <v/>
      </c>
      <c r="T241" s="18" t="str">
        <f ca="1">IF($A241="","",SUMIFS(Data!$AG$4:$AG$273,Data!$T$4:$T$273,$A241,Data!$U$4:$U$273,$B241,Data!$S$4:$S$273,$C241))</f>
        <v/>
      </c>
      <c r="U241" s="18" t="str">
        <f ca="1">IF($A241="","",SUMIFS(Data!$AH$4:$AH$273,Data!$T$4:$T$273,$A241,Data!$U$4:$U$273,$B241,Data!$S$4:$S$273,$C241))</f>
        <v/>
      </c>
      <c r="V241" s="18" t="str">
        <f ca="1">IF($A241="","",SUMIFS(Data!$AO$4:$AO$183,Data!$AM$4:$AM$183,$B241,Data!$AL$4:$AL$183,$A241,Data!$AK$4:$AK$183,$C241))</f>
        <v/>
      </c>
      <c r="W241" s="18" t="str">
        <f ca="1">IF($A241="","",SUMIFS(Data!$AP$4:$AP$183,Data!$AM$4:$AM$183,$B241,Data!$AL$4:$AL$183,$A241,Data!$AK$4:$AK$183,$C241))</f>
        <v/>
      </c>
      <c r="X241" s="18" t="str">
        <f ca="1">IF($A241="","",SUMIFS(Data!$AR$4:$AR$183,Data!$AM$4:$AM$183,$B241,Data!$AL$4:$AL$183,$A241,Data!$AK$4:$AK$183,$C241))</f>
        <v/>
      </c>
      <c r="Y241" s="18" t="str">
        <f ca="1">IF($A241="","",SUMIFS(Data!$AS$4:$AS$183,Data!$AM$4:$AM$183,$B241,Data!$AL$4:$AL$183,$A241,Data!$AK$4:$AK$183,$C241))</f>
        <v/>
      </c>
      <c r="Z241" s="18" t="str">
        <f ca="1">IF($A241="","",SUMIFS(Data!$AT$4:$AT$183,Data!$AM$4:$AM$183,$B241,Data!$AL$4:$AL$183,$A241,Data!$AK$4:$AK$183,$C241))</f>
        <v/>
      </c>
      <c r="AA241" s="18" t="str">
        <f ca="1">IF($A241="","",SUMIFS(Data!$AW$4:$AW$183,Data!$AM$4:$AM$183,$B241,Data!$AL$4:$AL$183,$A241,Data!$AK$4:$AK$183,$C241))</f>
        <v/>
      </c>
      <c r="AB241" s="18" t="str">
        <f ca="1">IF($A241="","",SUMIFS(Data!$AX$4:$AX$183,Data!$AM$4:$AM$183,$B241,Data!$AL$4:$AL$183,$A241,Data!$AK$4:$AK$183,$C241))</f>
        <v/>
      </c>
      <c r="AC241" s="18" t="str">
        <f ca="1">IF($A241="","",SUMIFS(Data!$AY$4:$AY$183,Data!$AM$4:$AM$183,$B241,Data!$AL$4:$AL$183,$A241,Data!$AK$4:$AK$183,$C241))</f>
        <v/>
      </c>
      <c r="AD241" s="18" t="str">
        <f t="shared" ca="1" si="7"/>
        <v/>
      </c>
      <c r="AE241" s="18" t="str">
        <f ca="1">IF($A241="","",SUMIFS(Data!$AJ$4:$AJ$183,Data!$AM$4:$AM$183,$B241,Data!$AL$4:$AL$183,$A241,Data!$AK$4:$AK$183,$C241))</f>
        <v/>
      </c>
    </row>
    <row r="242" spans="1:31">
      <c r="A242" s="18" t="str">
        <f ca="1">IF(Data!T242="","",Data!T242)</f>
        <v/>
      </c>
      <c r="B242" s="18" t="str">
        <f ca="1">IF(Data!U242="","",Data!U242)</f>
        <v/>
      </c>
      <c r="C242" s="18" t="str">
        <f ca="1">IF(Data!S242="","",Data!S242)</f>
        <v/>
      </c>
      <c r="D242" s="18" t="str">
        <f ca="1">IF($A242="","",Data!W242)</f>
        <v/>
      </c>
      <c r="E242" s="18" t="str">
        <f ca="1">IF($A242="","",Data!Y242)</f>
        <v/>
      </c>
      <c r="F242" s="61" t="str">
        <f t="shared" ca="1" si="6"/>
        <v/>
      </c>
      <c r="G242" s="18" t="str">
        <f ca="1">IF($A242="","",Data!AB242)</f>
        <v/>
      </c>
      <c r="H242" s="18" t="str">
        <f ca="1">IF($A242="","",Data!AC242)</f>
        <v/>
      </c>
      <c r="I242" s="18" t="str">
        <f ca="1">IF($A242="","",INT(SUMIFS(Data!$AN$4:$AN$183,Data!$AM$4:$AM$183,$B242,Data!$AL$4:$AL$183,$A242,Data!$AK$4:$AK$183,$C242))+MOD(ROUND(SUMIFS(Data!$AN$4:$AN$183,Data!$AM$4:$AM$183,$B242,Data!$AL$4:$AL$183,$A242,Data!$AK$4:$AK$183,$C242)*3,0),3)/10)</f>
        <v/>
      </c>
      <c r="J242" s="18" t="str">
        <f ca="1">IF($A242="","",SUMIFS(Data!$AQ$4:$AQ$183,Data!$AM$4:$AM$183,$B242,Data!$AL$4:$AL$183,$A242,Data!$AK$4:$AK$183,$C242))</f>
        <v/>
      </c>
      <c r="K242" s="62" t="str">
        <f ca="1">IF($A242="","",IF(SUMIFS(Data!$AN$4:$AN$183,Data!$AM$4:$AM$183,$B242,Data!$AL$4:$AL$183,$A242,Data!$AK$4:$AK$183,$C242)=0,"",J242*3/SUMIFS(Data!$AN$4:$AN$183,Data!$AM$4:$AM$183,$B242,Data!$AL$4:$AL$183,$A242,Data!$AK$4:$AK$183,$C242)))</f>
        <v/>
      </c>
      <c r="L242" s="18" t="str">
        <f ca="1">IF($A242="","",IF(IFERROR(_xlfn.XLOOKUP($C242,Bracket!$F$6:$F$16,Bracket!$K$6:$K$16,""),"")=$B242,1,0))</f>
        <v/>
      </c>
      <c r="M242" s="18" t="str">
        <f ca="1">IF($A242="","",IF(AND(IFERROR(_xlfn.XLOOKUP($C242,Bracket!$F$6:$F$16,Bracket!$K$6:$K$16,""),"")=$B242,LEFT(IFERROR(_xlfn.XLOOKUP($C242,Bracket!$F$6:$F$16,Bracket!$G$6:$G$16,""),""),2)="CG"),1,0))</f>
        <v/>
      </c>
      <c r="N242" s="18" t="str">
        <f ca="1">IF($A242="","",SUMIFS(Data!$X$4:$X$273,Data!$T$4:$T$273,$A242,Data!$U$4:$U$273,$B242,Data!$S$4:$S$273,$C242))</f>
        <v/>
      </c>
      <c r="O242" s="18" t="str">
        <f ca="1">IF($A242="","",SUMIFS(Data!$Z$4:$Z$273,Data!$T$4:$T$273,$A242,Data!$U$4:$U$273,$B242,Data!$S$4:$S$273,$C242))</f>
        <v/>
      </c>
      <c r="P242" s="18" t="str">
        <f ca="1">IF($A242="","",SUMIFS(Data!$AA$4:$AA$273,Data!$T$4:$T$273,$A242,Data!$U$4:$U$273,$B242,Data!$S$4:$S$273,$C242))</f>
        <v/>
      </c>
      <c r="Q242" s="18" t="str">
        <f ca="1">IF($A242="","",SUMIFS(Data!$AD$4:$AD$273,Data!$T$4:$T$273,$A242,Data!$U$4:$U$273,$B242,Data!$S$4:$S$273,$C242))</f>
        <v/>
      </c>
      <c r="R242" s="18" t="str">
        <f ca="1">IF($A242="","",SUMIFS(Data!$AE$4:$AE$273,Data!$T$4:$T$273,$A242,Data!$U$4:$U$273,$B242,Data!$S$4:$S$273,$C242))</f>
        <v/>
      </c>
      <c r="S242" s="18" t="str">
        <f ca="1">IF($A242="","",SUMIFS(Data!$AF$4:$AF$273,Data!$T$4:$T$273,$A242,Data!$U$4:$U$273,$B242,Data!$S$4:$S$273,$C242))</f>
        <v/>
      </c>
      <c r="T242" s="18" t="str">
        <f ca="1">IF($A242="","",SUMIFS(Data!$AG$4:$AG$273,Data!$T$4:$T$273,$A242,Data!$U$4:$U$273,$B242,Data!$S$4:$S$273,$C242))</f>
        <v/>
      </c>
      <c r="U242" s="18" t="str">
        <f ca="1">IF($A242="","",SUMIFS(Data!$AH$4:$AH$273,Data!$T$4:$T$273,$A242,Data!$U$4:$U$273,$B242,Data!$S$4:$S$273,$C242))</f>
        <v/>
      </c>
      <c r="V242" s="18" t="str">
        <f ca="1">IF($A242="","",SUMIFS(Data!$AO$4:$AO$183,Data!$AM$4:$AM$183,$B242,Data!$AL$4:$AL$183,$A242,Data!$AK$4:$AK$183,$C242))</f>
        <v/>
      </c>
      <c r="W242" s="18" t="str">
        <f ca="1">IF($A242="","",SUMIFS(Data!$AP$4:$AP$183,Data!$AM$4:$AM$183,$B242,Data!$AL$4:$AL$183,$A242,Data!$AK$4:$AK$183,$C242))</f>
        <v/>
      </c>
      <c r="X242" s="18" t="str">
        <f ca="1">IF($A242="","",SUMIFS(Data!$AR$4:$AR$183,Data!$AM$4:$AM$183,$B242,Data!$AL$4:$AL$183,$A242,Data!$AK$4:$AK$183,$C242))</f>
        <v/>
      </c>
      <c r="Y242" s="18" t="str">
        <f ca="1">IF($A242="","",SUMIFS(Data!$AS$4:$AS$183,Data!$AM$4:$AM$183,$B242,Data!$AL$4:$AL$183,$A242,Data!$AK$4:$AK$183,$C242))</f>
        <v/>
      </c>
      <c r="Z242" s="18" t="str">
        <f ca="1">IF($A242="","",SUMIFS(Data!$AT$4:$AT$183,Data!$AM$4:$AM$183,$B242,Data!$AL$4:$AL$183,$A242,Data!$AK$4:$AK$183,$C242))</f>
        <v/>
      </c>
      <c r="AA242" s="18" t="str">
        <f ca="1">IF($A242="","",SUMIFS(Data!$AW$4:$AW$183,Data!$AM$4:$AM$183,$B242,Data!$AL$4:$AL$183,$A242,Data!$AK$4:$AK$183,$C242))</f>
        <v/>
      </c>
      <c r="AB242" s="18" t="str">
        <f ca="1">IF($A242="","",SUMIFS(Data!$AX$4:$AX$183,Data!$AM$4:$AM$183,$B242,Data!$AL$4:$AL$183,$A242,Data!$AK$4:$AK$183,$C242))</f>
        <v/>
      </c>
      <c r="AC242" s="18" t="str">
        <f ca="1">IF($A242="","",SUMIFS(Data!$AY$4:$AY$183,Data!$AM$4:$AM$183,$B242,Data!$AL$4:$AL$183,$A242,Data!$AK$4:$AK$183,$C242))</f>
        <v/>
      </c>
      <c r="AD242" s="18" t="str">
        <f t="shared" ca="1" si="7"/>
        <v/>
      </c>
      <c r="AE242" s="18" t="str">
        <f ca="1">IF($A242="","",SUMIFS(Data!$AJ$4:$AJ$183,Data!$AM$4:$AM$183,$B242,Data!$AL$4:$AL$183,$A242,Data!$AK$4:$AK$183,$C242))</f>
        <v/>
      </c>
    </row>
    <row r="243" spans="1:31">
      <c r="A243" s="18" t="str">
        <f ca="1">IF(Data!T243="","",Data!T243)</f>
        <v/>
      </c>
      <c r="B243" s="18" t="str">
        <f ca="1">IF(Data!U243="","",Data!U243)</f>
        <v/>
      </c>
      <c r="C243" s="18" t="str">
        <f ca="1">IF(Data!S243="","",Data!S243)</f>
        <v/>
      </c>
      <c r="D243" s="18" t="str">
        <f ca="1">IF($A243="","",Data!W243)</f>
        <v/>
      </c>
      <c r="E243" s="18" t="str">
        <f ca="1">IF($A243="","",Data!Y243)</f>
        <v/>
      </c>
      <c r="F243" s="61" t="str">
        <f t="shared" ca="1" si="6"/>
        <v/>
      </c>
      <c r="G243" s="18" t="str">
        <f ca="1">IF($A243="","",Data!AB243)</f>
        <v/>
      </c>
      <c r="H243" s="18" t="str">
        <f ca="1">IF($A243="","",Data!AC243)</f>
        <v/>
      </c>
      <c r="I243" s="18" t="str">
        <f ca="1">IF($A243="","",INT(SUMIFS(Data!$AN$4:$AN$183,Data!$AM$4:$AM$183,$B243,Data!$AL$4:$AL$183,$A243,Data!$AK$4:$AK$183,$C243))+MOD(ROUND(SUMIFS(Data!$AN$4:$AN$183,Data!$AM$4:$AM$183,$B243,Data!$AL$4:$AL$183,$A243,Data!$AK$4:$AK$183,$C243)*3,0),3)/10)</f>
        <v/>
      </c>
      <c r="J243" s="18" t="str">
        <f ca="1">IF($A243="","",SUMIFS(Data!$AQ$4:$AQ$183,Data!$AM$4:$AM$183,$B243,Data!$AL$4:$AL$183,$A243,Data!$AK$4:$AK$183,$C243))</f>
        <v/>
      </c>
      <c r="K243" s="62" t="str">
        <f ca="1">IF($A243="","",IF(SUMIFS(Data!$AN$4:$AN$183,Data!$AM$4:$AM$183,$B243,Data!$AL$4:$AL$183,$A243,Data!$AK$4:$AK$183,$C243)=0,"",J243*3/SUMIFS(Data!$AN$4:$AN$183,Data!$AM$4:$AM$183,$B243,Data!$AL$4:$AL$183,$A243,Data!$AK$4:$AK$183,$C243)))</f>
        <v/>
      </c>
      <c r="L243" s="18" t="str">
        <f ca="1">IF($A243="","",IF(IFERROR(_xlfn.XLOOKUP($C243,Bracket!$F$6:$F$16,Bracket!$K$6:$K$16,""),"")=$B243,1,0))</f>
        <v/>
      </c>
      <c r="M243" s="18" t="str">
        <f ca="1">IF($A243="","",IF(AND(IFERROR(_xlfn.XLOOKUP($C243,Bracket!$F$6:$F$16,Bracket!$K$6:$K$16,""),"")=$B243,LEFT(IFERROR(_xlfn.XLOOKUP($C243,Bracket!$F$6:$F$16,Bracket!$G$6:$G$16,""),""),2)="CG"),1,0))</f>
        <v/>
      </c>
      <c r="N243" s="18" t="str">
        <f ca="1">IF($A243="","",SUMIFS(Data!$X$4:$X$273,Data!$T$4:$T$273,$A243,Data!$U$4:$U$273,$B243,Data!$S$4:$S$273,$C243))</f>
        <v/>
      </c>
      <c r="O243" s="18" t="str">
        <f ca="1">IF($A243="","",SUMIFS(Data!$Z$4:$Z$273,Data!$T$4:$T$273,$A243,Data!$U$4:$U$273,$B243,Data!$S$4:$S$273,$C243))</f>
        <v/>
      </c>
      <c r="P243" s="18" t="str">
        <f ca="1">IF($A243="","",SUMIFS(Data!$AA$4:$AA$273,Data!$T$4:$T$273,$A243,Data!$U$4:$U$273,$B243,Data!$S$4:$S$273,$C243))</f>
        <v/>
      </c>
      <c r="Q243" s="18" t="str">
        <f ca="1">IF($A243="","",SUMIFS(Data!$AD$4:$AD$273,Data!$T$4:$T$273,$A243,Data!$U$4:$U$273,$B243,Data!$S$4:$S$273,$C243))</f>
        <v/>
      </c>
      <c r="R243" s="18" t="str">
        <f ca="1">IF($A243="","",SUMIFS(Data!$AE$4:$AE$273,Data!$T$4:$T$273,$A243,Data!$U$4:$U$273,$B243,Data!$S$4:$S$273,$C243))</f>
        <v/>
      </c>
      <c r="S243" s="18" t="str">
        <f ca="1">IF($A243="","",SUMIFS(Data!$AF$4:$AF$273,Data!$T$4:$T$273,$A243,Data!$U$4:$U$273,$B243,Data!$S$4:$S$273,$C243))</f>
        <v/>
      </c>
      <c r="T243" s="18" t="str">
        <f ca="1">IF($A243="","",SUMIFS(Data!$AG$4:$AG$273,Data!$T$4:$T$273,$A243,Data!$U$4:$U$273,$B243,Data!$S$4:$S$273,$C243))</f>
        <v/>
      </c>
      <c r="U243" s="18" t="str">
        <f ca="1">IF($A243="","",SUMIFS(Data!$AH$4:$AH$273,Data!$T$4:$T$273,$A243,Data!$U$4:$U$273,$B243,Data!$S$4:$S$273,$C243))</f>
        <v/>
      </c>
      <c r="V243" s="18" t="str">
        <f ca="1">IF($A243="","",SUMIFS(Data!$AO$4:$AO$183,Data!$AM$4:$AM$183,$B243,Data!$AL$4:$AL$183,$A243,Data!$AK$4:$AK$183,$C243))</f>
        <v/>
      </c>
      <c r="W243" s="18" t="str">
        <f ca="1">IF($A243="","",SUMIFS(Data!$AP$4:$AP$183,Data!$AM$4:$AM$183,$B243,Data!$AL$4:$AL$183,$A243,Data!$AK$4:$AK$183,$C243))</f>
        <v/>
      </c>
      <c r="X243" s="18" t="str">
        <f ca="1">IF($A243="","",SUMIFS(Data!$AR$4:$AR$183,Data!$AM$4:$AM$183,$B243,Data!$AL$4:$AL$183,$A243,Data!$AK$4:$AK$183,$C243))</f>
        <v/>
      </c>
      <c r="Y243" s="18" t="str">
        <f ca="1">IF($A243="","",SUMIFS(Data!$AS$4:$AS$183,Data!$AM$4:$AM$183,$B243,Data!$AL$4:$AL$183,$A243,Data!$AK$4:$AK$183,$C243))</f>
        <v/>
      </c>
      <c r="Z243" s="18" t="str">
        <f ca="1">IF($A243="","",SUMIFS(Data!$AT$4:$AT$183,Data!$AM$4:$AM$183,$B243,Data!$AL$4:$AL$183,$A243,Data!$AK$4:$AK$183,$C243))</f>
        <v/>
      </c>
      <c r="AA243" s="18" t="str">
        <f ca="1">IF($A243="","",SUMIFS(Data!$AW$4:$AW$183,Data!$AM$4:$AM$183,$B243,Data!$AL$4:$AL$183,$A243,Data!$AK$4:$AK$183,$C243))</f>
        <v/>
      </c>
      <c r="AB243" s="18" t="str">
        <f ca="1">IF($A243="","",SUMIFS(Data!$AX$4:$AX$183,Data!$AM$4:$AM$183,$B243,Data!$AL$4:$AL$183,$A243,Data!$AK$4:$AK$183,$C243))</f>
        <v/>
      </c>
      <c r="AC243" s="18" t="str">
        <f ca="1">IF($A243="","",SUMIFS(Data!$AY$4:$AY$183,Data!$AM$4:$AM$183,$B243,Data!$AL$4:$AL$183,$A243,Data!$AK$4:$AK$183,$C243))</f>
        <v/>
      </c>
      <c r="AD243" s="18" t="str">
        <f t="shared" ca="1" si="7"/>
        <v/>
      </c>
      <c r="AE243" s="18" t="str">
        <f ca="1">IF($A243="","",SUMIFS(Data!$AJ$4:$AJ$183,Data!$AM$4:$AM$183,$B243,Data!$AL$4:$AL$183,$A243,Data!$AK$4:$AK$183,$C243))</f>
        <v/>
      </c>
    </row>
    <row r="244" spans="1:31">
      <c r="A244" s="18" t="str">
        <f ca="1">IF(Data!T244="","",Data!T244)</f>
        <v/>
      </c>
      <c r="B244" s="18" t="str">
        <f ca="1">IF(Data!U244="","",Data!U244)</f>
        <v/>
      </c>
      <c r="C244" s="18" t="str">
        <f ca="1">IF(Data!S244="","",Data!S244)</f>
        <v/>
      </c>
      <c r="D244" s="18" t="str">
        <f ca="1">IF($A244="","",Data!W244)</f>
        <v/>
      </c>
      <c r="E244" s="18" t="str">
        <f ca="1">IF($A244="","",Data!Y244)</f>
        <v/>
      </c>
      <c r="F244" s="61" t="str">
        <f t="shared" ca="1" si="6"/>
        <v/>
      </c>
      <c r="G244" s="18" t="str">
        <f ca="1">IF($A244="","",Data!AB244)</f>
        <v/>
      </c>
      <c r="H244" s="18" t="str">
        <f ca="1">IF($A244="","",Data!AC244)</f>
        <v/>
      </c>
      <c r="I244" s="18" t="str">
        <f ca="1">IF($A244="","",INT(SUMIFS(Data!$AN$4:$AN$183,Data!$AM$4:$AM$183,$B244,Data!$AL$4:$AL$183,$A244,Data!$AK$4:$AK$183,$C244))+MOD(ROUND(SUMIFS(Data!$AN$4:$AN$183,Data!$AM$4:$AM$183,$B244,Data!$AL$4:$AL$183,$A244,Data!$AK$4:$AK$183,$C244)*3,0),3)/10)</f>
        <v/>
      </c>
      <c r="J244" s="18" t="str">
        <f ca="1">IF($A244="","",SUMIFS(Data!$AQ$4:$AQ$183,Data!$AM$4:$AM$183,$B244,Data!$AL$4:$AL$183,$A244,Data!$AK$4:$AK$183,$C244))</f>
        <v/>
      </c>
      <c r="K244" s="62" t="str">
        <f ca="1">IF($A244="","",IF(SUMIFS(Data!$AN$4:$AN$183,Data!$AM$4:$AM$183,$B244,Data!$AL$4:$AL$183,$A244,Data!$AK$4:$AK$183,$C244)=0,"",J244*3/SUMIFS(Data!$AN$4:$AN$183,Data!$AM$4:$AM$183,$B244,Data!$AL$4:$AL$183,$A244,Data!$AK$4:$AK$183,$C244)))</f>
        <v/>
      </c>
      <c r="L244" s="18" t="str">
        <f ca="1">IF($A244="","",IF(IFERROR(_xlfn.XLOOKUP($C244,Bracket!$F$6:$F$16,Bracket!$K$6:$K$16,""),"")=$B244,1,0))</f>
        <v/>
      </c>
      <c r="M244" s="18" t="str">
        <f ca="1">IF($A244="","",IF(AND(IFERROR(_xlfn.XLOOKUP($C244,Bracket!$F$6:$F$16,Bracket!$K$6:$K$16,""),"")=$B244,LEFT(IFERROR(_xlfn.XLOOKUP($C244,Bracket!$F$6:$F$16,Bracket!$G$6:$G$16,""),""),2)="CG"),1,0))</f>
        <v/>
      </c>
      <c r="N244" s="18" t="str">
        <f ca="1">IF($A244="","",SUMIFS(Data!$X$4:$X$273,Data!$T$4:$T$273,$A244,Data!$U$4:$U$273,$B244,Data!$S$4:$S$273,$C244))</f>
        <v/>
      </c>
      <c r="O244" s="18" t="str">
        <f ca="1">IF($A244="","",SUMIFS(Data!$Z$4:$Z$273,Data!$T$4:$T$273,$A244,Data!$U$4:$U$273,$B244,Data!$S$4:$S$273,$C244))</f>
        <v/>
      </c>
      <c r="P244" s="18" t="str">
        <f ca="1">IF($A244="","",SUMIFS(Data!$AA$4:$AA$273,Data!$T$4:$T$273,$A244,Data!$U$4:$U$273,$B244,Data!$S$4:$S$273,$C244))</f>
        <v/>
      </c>
      <c r="Q244" s="18" t="str">
        <f ca="1">IF($A244="","",SUMIFS(Data!$AD$4:$AD$273,Data!$T$4:$T$273,$A244,Data!$U$4:$U$273,$B244,Data!$S$4:$S$273,$C244))</f>
        <v/>
      </c>
      <c r="R244" s="18" t="str">
        <f ca="1">IF($A244="","",SUMIFS(Data!$AE$4:$AE$273,Data!$T$4:$T$273,$A244,Data!$U$4:$U$273,$B244,Data!$S$4:$S$273,$C244))</f>
        <v/>
      </c>
      <c r="S244" s="18" t="str">
        <f ca="1">IF($A244="","",SUMIFS(Data!$AF$4:$AF$273,Data!$T$4:$T$273,$A244,Data!$U$4:$U$273,$B244,Data!$S$4:$S$273,$C244))</f>
        <v/>
      </c>
      <c r="T244" s="18" t="str">
        <f ca="1">IF($A244="","",SUMIFS(Data!$AG$4:$AG$273,Data!$T$4:$T$273,$A244,Data!$U$4:$U$273,$B244,Data!$S$4:$S$273,$C244))</f>
        <v/>
      </c>
      <c r="U244" s="18" t="str">
        <f ca="1">IF($A244="","",SUMIFS(Data!$AH$4:$AH$273,Data!$T$4:$T$273,$A244,Data!$U$4:$U$273,$B244,Data!$S$4:$S$273,$C244))</f>
        <v/>
      </c>
      <c r="V244" s="18" t="str">
        <f ca="1">IF($A244="","",SUMIFS(Data!$AO$4:$AO$183,Data!$AM$4:$AM$183,$B244,Data!$AL$4:$AL$183,$A244,Data!$AK$4:$AK$183,$C244))</f>
        <v/>
      </c>
      <c r="W244" s="18" t="str">
        <f ca="1">IF($A244="","",SUMIFS(Data!$AP$4:$AP$183,Data!$AM$4:$AM$183,$B244,Data!$AL$4:$AL$183,$A244,Data!$AK$4:$AK$183,$C244))</f>
        <v/>
      </c>
      <c r="X244" s="18" t="str">
        <f ca="1">IF($A244="","",SUMIFS(Data!$AR$4:$AR$183,Data!$AM$4:$AM$183,$B244,Data!$AL$4:$AL$183,$A244,Data!$AK$4:$AK$183,$C244))</f>
        <v/>
      </c>
      <c r="Y244" s="18" t="str">
        <f ca="1">IF($A244="","",SUMIFS(Data!$AS$4:$AS$183,Data!$AM$4:$AM$183,$B244,Data!$AL$4:$AL$183,$A244,Data!$AK$4:$AK$183,$C244))</f>
        <v/>
      </c>
      <c r="Z244" s="18" t="str">
        <f ca="1">IF($A244="","",SUMIFS(Data!$AT$4:$AT$183,Data!$AM$4:$AM$183,$B244,Data!$AL$4:$AL$183,$A244,Data!$AK$4:$AK$183,$C244))</f>
        <v/>
      </c>
      <c r="AA244" s="18" t="str">
        <f ca="1">IF($A244="","",SUMIFS(Data!$AW$4:$AW$183,Data!$AM$4:$AM$183,$B244,Data!$AL$4:$AL$183,$A244,Data!$AK$4:$AK$183,$C244))</f>
        <v/>
      </c>
      <c r="AB244" s="18" t="str">
        <f ca="1">IF($A244="","",SUMIFS(Data!$AX$4:$AX$183,Data!$AM$4:$AM$183,$B244,Data!$AL$4:$AL$183,$A244,Data!$AK$4:$AK$183,$C244))</f>
        <v/>
      </c>
      <c r="AC244" s="18" t="str">
        <f ca="1">IF($A244="","",SUMIFS(Data!$AY$4:$AY$183,Data!$AM$4:$AM$183,$B244,Data!$AL$4:$AL$183,$A244,Data!$AK$4:$AK$183,$C244))</f>
        <v/>
      </c>
      <c r="AD244" s="18" t="str">
        <f t="shared" ca="1" si="7"/>
        <v/>
      </c>
      <c r="AE244" s="18" t="str">
        <f ca="1">IF($A244="","",SUMIFS(Data!$AJ$4:$AJ$183,Data!$AM$4:$AM$183,$B244,Data!$AL$4:$AL$183,$A244,Data!$AK$4:$AK$183,$C244))</f>
        <v/>
      </c>
    </row>
    <row r="245" spans="1:31">
      <c r="A245" s="18" t="str">
        <f ca="1">IF(Data!T245="","",Data!T245)</f>
        <v/>
      </c>
      <c r="B245" s="18" t="str">
        <f ca="1">IF(Data!U245="","",Data!U245)</f>
        <v/>
      </c>
      <c r="C245" s="18" t="str">
        <f ca="1">IF(Data!S245="","",Data!S245)</f>
        <v/>
      </c>
      <c r="D245" s="18" t="str">
        <f ca="1">IF($A245="","",Data!W245)</f>
        <v/>
      </c>
      <c r="E245" s="18" t="str">
        <f ca="1">IF($A245="","",Data!Y245)</f>
        <v/>
      </c>
      <c r="F245" s="61" t="str">
        <f t="shared" ca="1" si="6"/>
        <v/>
      </c>
      <c r="G245" s="18" t="str">
        <f ca="1">IF($A245="","",Data!AB245)</f>
        <v/>
      </c>
      <c r="H245" s="18" t="str">
        <f ca="1">IF($A245="","",Data!AC245)</f>
        <v/>
      </c>
      <c r="I245" s="18" t="str">
        <f ca="1">IF($A245="","",INT(SUMIFS(Data!$AN$4:$AN$183,Data!$AM$4:$AM$183,$B245,Data!$AL$4:$AL$183,$A245,Data!$AK$4:$AK$183,$C245))+MOD(ROUND(SUMIFS(Data!$AN$4:$AN$183,Data!$AM$4:$AM$183,$B245,Data!$AL$4:$AL$183,$A245,Data!$AK$4:$AK$183,$C245)*3,0),3)/10)</f>
        <v/>
      </c>
      <c r="J245" s="18" t="str">
        <f ca="1">IF($A245="","",SUMIFS(Data!$AQ$4:$AQ$183,Data!$AM$4:$AM$183,$B245,Data!$AL$4:$AL$183,$A245,Data!$AK$4:$AK$183,$C245))</f>
        <v/>
      </c>
      <c r="K245" s="62" t="str">
        <f ca="1">IF($A245="","",IF(SUMIFS(Data!$AN$4:$AN$183,Data!$AM$4:$AM$183,$B245,Data!$AL$4:$AL$183,$A245,Data!$AK$4:$AK$183,$C245)=0,"",J245*3/SUMIFS(Data!$AN$4:$AN$183,Data!$AM$4:$AM$183,$B245,Data!$AL$4:$AL$183,$A245,Data!$AK$4:$AK$183,$C245)))</f>
        <v/>
      </c>
      <c r="L245" s="18" t="str">
        <f ca="1">IF($A245="","",IF(IFERROR(_xlfn.XLOOKUP($C245,Bracket!$F$6:$F$16,Bracket!$K$6:$K$16,""),"")=$B245,1,0))</f>
        <v/>
      </c>
      <c r="M245" s="18" t="str">
        <f ca="1">IF($A245="","",IF(AND(IFERROR(_xlfn.XLOOKUP($C245,Bracket!$F$6:$F$16,Bracket!$K$6:$K$16,""),"")=$B245,LEFT(IFERROR(_xlfn.XLOOKUP($C245,Bracket!$F$6:$F$16,Bracket!$G$6:$G$16,""),""),2)="CG"),1,0))</f>
        <v/>
      </c>
      <c r="N245" s="18" t="str">
        <f ca="1">IF($A245="","",SUMIFS(Data!$X$4:$X$273,Data!$T$4:$T$273,$A245,Data!$U$4:$U$273,$B245,Data!$S$4:$S$273,$C245))</f>
        <v/>
      </c>
      <c r="O245" s="18" t="str">
        <f ca="1">IF($A245="","",SUMIFS(Data!$Z$4:$Z$273,Data!$T$4:$T$273,$A245,Data!$U$4:$U$273,$B245,Data!$S$4:$S$273,$C245))</f>
        <v/>
      </c>
      <c r="P245" s="18" t="str">
        <f ca="1">IF($A245="","",SUMIFS(Data!$AA$4:$AA$273,Data!$T$4:$T$273,$A245,Data!$U$4:$U$273,$B245,Data!$S$4:$S$273,$C245))</f>
        <v/>
      </c>
      <c r="Q245" s="18" t="str">
        <f ca="1">IF($A245="","",SUMIFS(Data!$AD$4:$AD$273,Data!$T$4:$T$273,$A245,Data!$U$4:$U$273,$B245,Data!$S$4:$S$273,$C245))</f>
        <v/>
      </c>
      <c r="R245" s="18" t="str">
        <f ca="1">IF($A245="","",SUMIFS(Data!$AE$4:$AE$273,Data!$T$4:$T$273,$A245,Data!$U$4:$U$273,$B245,Data!$S$4:$S$273,$C245))</f>
        <v/>
      </c>
      <c r="S245" s="18" t="str">
        <f ca="1">IF($A245="","",SUMIFS(Data!$AF$4:$AF$273,Data!$T$4:$T$273,$A245,Data!$U$4:$U$273,$B245,Data!$S$4:$S$273,$C245))</f>
        <v/>
      </c>
      <c r="T245" s="18" t="str">
        <f ca="1">IF($A245="","",SUMIFS(Data!$AG$4:$AG$273,Data!$T$4:$T$273,$A245,Data!$U$4:$U$273,$B245,Data!$S$4:$S$273,$C245))</f>
        <v/>
      </c>
      <c r="U245" s="18" t="str">
        <f ca="1">IF($A245="","",SUMIFS(Data!$AH$4:$AH$273,Data!$T$4:$T$273,$A245,Data!$U$4:$U$273,$B245,Data!$S$4:$S$273,$C245))</f>
        <v/>
      </c>
      <c r="V245" s="18" t="str">
        <f ca="1">IF($A245="","",SUMIFS(Data!$AO$4:$AO$183,Data!$AM$4:$AM$183,$B245,Data!$AL$4:$AL$183,$A245,Data!$AK$4:$AK$183,$C245))</f>
        <v/>
      </c>
      <c r="W245" s="18" t="str">
        <f ca="1">IF($A245="","",SUMIFS(Data!$AP$4:$AP$183,Data!$AM$4:$AM$183,$B245,Data!$AL$4:$AL$183,$A245,Data!$AK$4:$AK$183,$C245))</f>
        <v/>
      </c>
      <c r="X245" s="18" t="str">
        <f ca="1">IF($A245="","",SUMIFS(Data!$AR$4:$AR$183,Data!$AM$4:$AM$183,$B245,Data!$AL$4:$AL$183,$A245,Data!$AK$4:$AK$183,$C245))</f>
        <v/>
      </c>
      <c r="Y245" s="18" t="str">
        <f ca="1">IF($A245="","",SUMIFS(Data!$AS$4:$AS$183,Data!$AM$4:$AM$183,$B245,Data!$AL$4:$AL$183,$A245,Data!$AK$4:$AK$183,$C245))</f>
        <v/>
      </c>
      <c r="Z245" s="18" t="str">
        <f ca="1">IF($A245="","",SUMIFS(Data!$AT$4:$AT$183,Data!$AM$4:$AM$183,$B245,Data!$AL$4:$AL$183,$A245,Data!$AK$4:$AK$183,$C245))</f>
        <v/>
      </c>
      <c r="AA245" s="18" t="str">
        <f ca="1">IF($A245="","",SUMIFS(Data!$AW$4:$AW$183,Data!$AM$4:$AM$183,$B245,Data!$AL$4:$AL$183,$A245,Data!$AK$4:$AK$183,$C245))</f>
        <v/>
      </c>
      <c r="AB245" s="18" t="str">
        <f ca="1">IF($A245="","",SUMIFS(Data!$AX$4:$AX$183,Data!$AM$4:$AM$183,$B245,Data!$AL$4:$AL$183,$A245,Data!$AK$4:$AK$183,$C245))</f>
        <v/>
      </c>
      <c r="AC245" s="18" t="str">
        <f ca="1">IF($A245="","",SUMIFS(Data!$AY$4:$AY$183,Data!$AM$4:$AM$183,$B245,Data!$AL$4:$AL$183,$A245,Data!$AK$4:$AK$183,$C245))</f>
        <v/>
      </c>
      <c r="AD245" s="18" t="str">
        <f t="shared" ca="1" si="7"/>
        <v/>
      </c>
      <c r="AE245" s="18" t="str">
        <f ca="1">IF($A245="","",SUMIFS(Data!$AJ$4:$AJ$183,Data!$AM$4:$AM$183,$B245,Data!$AL$4:$AL$183,$A245,Data!$AK$4:$AK$183,$C245))</f>
        <v/>
      </c>
    </row>
    <row r="246" spans="1:31">
      <c r="A246" s="18" t="str">
        <f ca="1">IF(Data!T246="","",Data!T246)</f>
        <v/>
      </c>
      <c r="B246" s="18" t="str">
        <f ca="1">IF(Data!U246="","",Data!U246)</f>
        <v/>
      </c>
      <c r="C246" s="18" t="str">
        <f ca="1">IF(Data!S246="","",Data!S246)</f>
        <v/>
      </c>
      <c r="D246" s="18" t="str">
        <f ca="1">IF($A246="","",Data!W246)</f>
        <v/>
      </c>
      <c r="E246" s="18" t="str">
        <f ca="1">IF($A246="","",Data!Y246)</f>
        <v/>
      </c>
      <c r="F246" s="61" t="str">
        <f t="shared" ca="1" si="6"/>
        <v/>
      </c>
      <c r="G246" s="18" t="str">
        <f ca="1">IF($A246="","",Data!AB246)</f>
        <v/>
      </c>
      <c r="H246" s="18" t="str">
        <f ca="1">IF($A246="","",Data!AC246)</f>
        <v/>
      </c>
      <c r="I246" s="18" t="str">
        <f ca="1">IF($A246="","",INT(SUMIFS(Data!$AN$4:$AN$183,Data!$AM$4:$AM$183,$B246,Data!$AL$4:$AL$183,$A246,Data!$AK$4:$AK$183,$C246))+MOD(ROUND(SUMIFS(Data!$AN$4:$AN$183,Data!$AM$4:$AM$183,$B246,Data!$AL$4:$AL$183,$A246,Data!$AK$4:$AK$183,$C246)*3,0),3)/10)</f>
        <v/>
      </c>
      <c r="J246" s="18" t="str">
        <f ca="1">IF($A246="","",SUMIFS(Data!$AQ$4:$AQ$183,Data!$AM$4:$AM$183,$B246,Data!$AL$4:$AL$183,$A246,Data!$AK$4:$AK$183,$C246))</f>
        <v/>
      </c>
      <c r="K246" s="62" t="str">
        <f ca="1">IF($A246="","",IF(SUMIFS(Data!$AN$4:$AN$183,Data!$AM$4:$AM$183,$B246,Data!$AL$4:$AL$183,$A246,Data!$AK$4:$AK$183,$C246)=0,"",J246*3/SUMIFS(Data!$AN$4:$AN$183,Data!$AM$4:$AM$183,$B246,Data!$AL$4:$AL$183,$A246,Data!$AK$4:$AK$183,$C246)))</f>
        <v/>
      </c>
      <c r="L246" s="18" t="str">
        <f ca="1">IF($A246="","",IF(IFERROR(_xlfn.XLOOKUP($C246,Bracket!$F$6:$F$16,Bracket!$K$6:$K$16,""),"")=$B246,1,0))</f>
        <v/>
      </c>
      <c r="M246" s="18" t="str">
        <f ca="1">IF($A246="","",IF(AND(IFERROR(_xlfn.XLOOKUP($C246,Bracket!$F$6:$F$16,Bracket!$K$6:$K$16,""),"")=$B246,LEFT(IFERROR(_xlfn.XLOOKUP($C246,Bracket!$F$6:$F$16,Bracket!$G$6:$G$16,""),""),2)="CG"),1,0))</f>
        <v/>
      </c>
      <c r="N246" s="18" t="str">
        <f ca="1">IF($A246="","",SUMIFS(Data!$X$4:$X$273,Data!$T$4:$T$273,$A246,Data!$U$4:$U$273,$B246,Data!$S$4:$S$273,$C246))</f>
        <v/>
      </c>
      <c r="O246" s="18" t="str">
        <f ca="1">IF($A246="","",SUMIFS(Data!$Z$4:$Z$273,Data!$T$4:$T$273,$A246,Data!$U$4:$U$273,$B246,Data!$S$4:$S$273,$C246))</f>
        <v/>
      </c>
      <c r="P246" s="18" t="str">
        <f ca="1">IF($A246="","",SUMIFS(Data!$AA$4:$AA$273,Data!$T$4:$T$273,$A246,Data!$U$4:$U$273,$B246,Data!$S$4:$S$273,$C246))</f>
        <v/>
      </c>
      <c r="Q246" s="18" t="str">
        <f ca="1">IF($A246="","",SUMIFS(Data!$AD$4:$AD$273,Data!$T$4:$T$273,$A246,Data!$U$4:$U$273,$B246,Data!$S$4:$S$273,$C246))</f>
        <v/>
      </c>
      <c r="R246" s="18" t="str">
        <f ca="1">IF($A246="","",SUMIFS(Data!$AE$4:$AE$273,Data!$T$4:$T$273,$A246,Data!$U$4:$U$273,$B246,Data!$S$4:$S$273,$C246))</f>
        <v/>
      </c>
      <c r="S246" s="18" t="str">
        <f ca="1">IF($A246="","",SUMIFS(Data!$AF$4:$AF$273,Data!$T$4:$T$273,$A246,Data!$U$4:$U$273,$B246,Data!$S$4:$S$273,$C246))</f>
        <v/>
      </c>
      <c r="T246" s="18" t="str">
        <f ca="1">IF($A246="","",SUMIFS(Data!$AG$4:$AG$273,Data!$T$4:$T$273,$A246,Data!$U$4:$U$273,$B246,Data!$S$4:$S$273,$C246))</f>
        <v/>
      </c>
      <c r="U246" s="18" t="str">
        <f ca="1">IF($A246="","",SUMIFS(Data!$AH$4:$AH$273,Data!$T$4:$T$273,$A246,Data!$U$4:$U$273,$B246,Data!$S$4:$S$273,$C246))</f>
        <v/>
      </c>
      <c r="V246" s="18" t="str">
        <f ca="1">IF($A246="","",SUMIFS(Data!$AO$4:$AO$183,Data!$AM$4:$AM$183,$B246,Data!$AL$4:$AL$183,$A246,Data!$AK$4:$AK$183,$C246))</f>
        <v/>
      </c>
      <c r="W246" s="18" t="str">
        <f ca="1">IF($A246="","",SUMIFS(Data!$AP$4:$AP$183,Data!$AM$4:$AM$183,$B246,Data!$AL$4:$AL$183,$A246,Data!$AK$4:$AK$183,$C246))</f>
        <v/>
      </c>
      <c r="X246" s="18" t="str">
        <f ca="1">IF($A246="","",SUMIFS(Data!$AR$4:$AR$183,Data!$AM$4:$AM$183,$B246,Data!$AL$4:$AL$183,$A246,Data!$AK$4:$AK$183,$C246))</f>
        <v/>
      </c>
      <c r="Y246" s="18" t="str">
        <f ca="1">IF($A246="","",SUMIFS(Data!$AS$4:$AS$183,Data!$AM$4:$AM$183,$B246,Data!$AL$4:$AL$183,$A246,Data!$AK$4:$AK$183,$C246))</f>
        <v/>
      </c>
      <c r="Z246" s="18" t="str">
        <f ca="1">IF($A246="","",SUMIFS(Data!$AT$4:$AT$183,Data!$AM$4:$AM$183,$B246,Data!$AL$4:$AL$183,$A246,Data!$AK$4:$AK$183,$C246))</f>
        <v/>
      </c>
      <c r="AA246" s="18" t="str">
        <f ca="1">IF($A246="","",SUMIFS(Data!$AW$4:$AW$183,Data!$AM$4:$AM$183,$B246,Data!$AL$4:$AL$183,$A246,Data!$AK$4:$AK$183,$C246))</f>
        <v/>
      </c>
      <c r="AB246" s="18" t="str">
        <f ca="1">IF($A246="","",SUMIFS(Data!$AX$4:$AX$183,Data!$AM$4:$AM$183,$B246,Data!$AL$4:$AL$183,$A246,Data!$AK$4:$AK$183,$C246))</f>
        <v/>
      </c>
      <c r="AC246" s="18" t="str">
        <f ca="1">IF($A246="","",SUMIFS(Data!$AY$4:$AY$183,Data!$AM$4:$AM$183,$B246,Data!$AL$4:$AL$183,$A246,Data!$AK$4:$AK$183,$C246))</f>
        <v/>
      </c>
      <c r="AD246" s="18" t="str">
        <f t="shared" ca="1" si="7"/>
        <v/>
      </c>
      <c r="AE246" s="18" t="str">
        <f ca="1">IF($A246="","",SUMIFS(Data!$AJ$4:$AJ$183,Data!$AM$4:$AM$183,$B246,Data!$AL$4:$AL$183,$A246,Data!$AK$4:$AK$183,$C246))</f>
        <v/>
      </c>
    </row>
    <row r="247" spans="1:31">
      <c r="A247" s="18" t="str">
        <f ca="1">IF(Data!T247="","",Data!T247)</f>
        <v/>
      </c>
      <c r="B247" s="18" t="str">
        <f ca="1">IF(Data!U247="","",Data!U247)</f>
        <v/>
      </c>
      <c r="C247" s="18" t="str">
        <f ca="1">IF(Data!S247="","",Data!S247)</f>
        <v/>
      </c>
      <c r="D247" s="18" t="str">
        <f ca="1">IF($A247="","",Data!W247)</f>
        <v/>
      </c>
      <c r="E247" s="18" t="str">
        <f ca="1">IF($A247="","",Data!Y247)</f>
        <v/>
      </c>
      <c r="F247" s="61" t="str">
        <f t="shared" ca="1" si="6"/>
        <v/>
      </c>
      <c r="G247" s="18" t="str">
        <f ca="1">IF($A247="","",Data!AB247)</f>
        <v/>
      </c>
      <c r="H247" s="18" t="str">
        <f ca="1">IF($A247="","",Data!AC247)</f>
        <v/>
      </c>
      <c r="I247" s="18" t="str">
        <f ca="1">IF($A247="","",INT(SUMIFS(Data!$AN$4:$AN$183,Data!$AM$4:$AM$183,$B247,Data!$AL$4:$AL$183,$A247,Data!$AK$4:$AK$183,$C247))+MOD(ROUND(SUMIFS(Data!$AN$4:$AN$183,Data!$AM$4:$AM$183,$B247,Data!$AL$4:$AL$183,$A247,Data!$AK$4:$AK$183,$C247)*3,0),3)/10)</f>
        <v/>
      </c>
      <c r="J247" s="18" t="str">
        <f ca="1">IF($A247="","",SUMIFS(Data!$AQ$4:$AQ$183,Data!$AM$4:$AM$183,$B247,Data!$AL$4:$AL$183,$A247,Data!$AK$4:$AK$183,$C247))</f>
        <v/>
      </c>
      <c r="K247" s="62" t="str">
        <f ca="1">IF($A247="","",IF(SUMIFS(Data!$AN$4:$AN$183,Data!$AM$4:$AM$183,$B247,Data!$AL$4:$AL$183,$A247,Data!$AK$4:$AK$183,$C247)=0,"",J247*3/SUMIFS(Data!$AN$4:$AN$183,Data!$AM$4:$AM$183,$B247,Data!$AL$4:$AL$183,$A247,Data!$AK$4:$AK$183,$C247)))</f>
        <v/>
      </c>
      <c r="L247" s="18" t="str">
        <f ca="1">IF($A247="","",IF(IFERROR(_xlfn.XLOOKUP($C247,Bracket!$F$6:$F$16,Bracket!$K$6:$K$16,""),"")=$B247,1,0))</f>
        <v/>
      </c>
      <c r="M247" s="18" t="str">
        <f ca="1">IF($A247="","",IF(AND(IFERROR(_xlfn.XLOOKUP($C247,Bracket!$F$6:$F$16,Bracket!$K$6:$K$16,""),"")=$B247,LEFT(IFERROR(_xlfn.XLOOKUP($C247,Bracket!$F$6:$F$16,Bracket!$G$6:$G$16,""),""),2)="CG"),1,0))</f>
        <v/>
      </c>
      <c r="N247" s="18" t="str">
        <f ca="1">IF($A247="","",SUMIFS(Data!$X$4:$X$273,Data!$T$4:$T$273,$A247,Data!$U$4:$U$273,$B247,Data!$S$4:$S$273,$C247))</f>
        <v/>
      </c>
      <c r="O247" s="18" t="str">
        <f ca="1">IF($A247="","",SUMIFS(Data!$Z$4:$Z$273,Data!$T$4:$T$273,$A247,Data!$U$4:$U$273,$B247,Data!$S$4:$S$273,$C247))</f>
        <v/>
      </c>
      <c r="P247" s="18" t="str">
        <f ca="1">IF($A247="","",SUMIFS(Data!$AA$4:$AA$273,Data!$T$4:$T$273,$A247,Data!$U$4:$U$273,$B247,Data!$S$4:$S$273,$C247))</f>
        <v/>
      </c>
      <c r="Q247" s="18" t="str">
        <f ca="1">IF($A247="","",SUMIFS(Data!$AD$4:$AD$273,Data!$T$4:$T$273,$A247,Data!$U$4:$U$273,$B247,Data!$S$4:$S$273,$C247))</f>
        <v/>
      </c>
      <c r="R247" s="18" t="str">
        <f ca="1">IF($A247="","",SUMIFS(Data!$AE$4:$AE$273,Data!$T$4:$T$273,$A247,Data!$U$4:$U$273,$B247,Data!$S$4:$S$273,$C247))</f>
        <v/>
      </c>
      <c r="S247" s="18" t="str">
        <f ca="1">IF($A247="","",SUMIFS(Data!$AF$4:$AF$273,Data!$T$4:$T$273,$A247,Data!$U$4:$U$273,$B247,Data!$S$4:$S$273,$C247))</f>
        <v/>
      </c>
      <c r="T247" s="18" t="str">
        <f ca="1">IF($A247="","",SUMIFS(Data!$AG$4:$AG$273,Data!$T$4:$T$273,$A247,Data!$U$4:$U$273,$B247,Data!$S$4:$S$273,$C247))</f>
        <v/>
      </c>
      <c r="U247" s="18" t="str">
        <f ca="1">IF($A247="","",SUMIFS(Data!$AH$4:$AH$273,Data!$T$4:$T$273,$A247,Data!$U$4:$U$273,$B247,Data!$S$4:$S$273,$C247))</f>
        <v/>
      </c>
      <c r="V247" s="18" t="str">
        <f ca="1">IF($A247="","",SUMIFS(Data!$AO$4:$AO$183,Data!$AM$4:$AM$183,$B247,Data!$AL$4:$AL$183,$A247,Data!$AK$4:$AK$183,$C247))</f>
        <v/>
      </c>
      <c r="W247" s="18" t="str">
        <f ca="1">IF($A247="","",SUMIFS(Data!$AP$4:$AP$183,Data!$AM$4:$AM$183,$B247,Data!$AL$4:$AL$183,$A247,Data!$AK$4:$AK$183,$C247))</f>
        <v/>
      </c>
      <c r="X247" s="18" t="str">
        <f ca="1">IF($A247="","",SUMIFS(Data!$AR$4:$AR$183,Data!$AM$4:$AM$183,$B247,Data!$AL$4:$AL$183,$A247,Data!$AK$4:$AK$183,$C247))</f>
        <v/>
      </c>
      <c r="Y247" s="18" t="str">
        <f ca="1">IF($A247="","",SUMIFS(Data!$AS$4:$AS$183,Data!$AM$4:$AM$183,$B247,Data!$AL$4:$AL$183,$A247,Data!$AK$4:$AK$183,$C247))</f>
        <v/>
      </c>
      <c r="Z247" s="18" t="str">
        <f ca="1">IF($A247="","",SUMIFS(Data!$AT$4:$AT$183,Data!$AM$4:$AM$183,$B247,Data!$AL$4:$AL$183,$A247,Data!$AK$4:$AK$183,$C247))</f>
        <v/>
      </c>
      <c r="AA247" s="18" t="str">
        <f ca="1">IF($A247="","",SUMIFS(Data!$AW$4:$AW$183,Data!$AM$4:$AM$183,$B247,Data!$AL$4:$AL$183,$A247,Data!$AK$4:$AK$183,$C247))</f>
        <v/>
      </c>
      <c r="AB247" s="18" t="str">
        <f ca="1">IF($A247="","",SUMIFS(Data!$AX$4:$AX$183,Data!$AM$4:$AM$183,$B247,Data!$AL$4:$AL$183,$A247,Data!$AK$4:$AK$183,$C247))</f>
        <v/>
      </c>
      <c r="AC247" s="18" t="str">
        <f ca="1">IF($A247="","",SUMIFS(Data!$AY$4:$AY$183,Data!$AM$4:$AM$183,$B247,Data!$AL$4:$AL$183,$A247,Data!$AK$4:$AK$183,$C247))</f>
        <v/>
      </c>
      <c r="AD247" s="18" t="str">
        <f t="shared" ca="1" si="7"/>
        <v/>
      </c>
      <c r="AE247" s="18" t="str">
        <f ca="1">IF($A247="","",SUMIFS(Data!$AJ$4:$AJ$183,Data!$AM$4:$AM$183,$B247,Data!$AL$4:$AL$183,$A247,Data!$AK$4:$AK$183,$C247))</f>
        <v/>
      </c>
    </row>
    <row r="248" spans="1:31">
      <c r="A248" s="18" t="str">
        <f ca="1">IF(Data!T248="","",Data!T248)</f>
        <v/>
      </c>
      <c r="B248" s="18" t="str">
        <f ca="1">IF(Data!U248="","",Data!U248)</f>
        <v/>
      </c>
      <c r="C248" s="18" t="str">
        <f ca="1">IF(Data!S248="","",Data!S248)</f>
        <v/>
      </c>
      <c r="D248" s="18" t="str">
        <f ca="1">IF($A248="","",Data!W248)</f>
        <v/>
      </c>
      <c r="E248" s="18" t="str">
        <f ca="1">IF($A248="","",Data!Y248)</f>
        <v/>
      </c>
      <c r="F248" s="61" t="str">
        <f t="shared" ca="1" si="6"/>
        <v/>
      </c>
      <c r="G248" s="18" t="str">
        <f ca="1">IF($A248="","",Data!AB248)</f>
        <v/>
      </c>
      <c r="H248" s="18" t="str">
        <f ca="1">IF($A248="","",Data!AC248)</f>
        <v/>
      </c>
      <c r="I248" s="18" t="str">
        <f ca="1">IF($A248="","",INT(SUMIFS(Data!$AN$4:$AN$183,Data!$AM$4:$AM$183,$B248,Data!$AL$4:$AL$183,$A248,Data!$AK$4:$AK$183,$C248))+MOD(ROUND(SUMIFS(Data!$AN$4:$AN$183,Data!$AM$4:$AM$183,$B248,Data!$AL$4:$AL$183,$A248,Data!$AK$4:$AK$183,$C248)*3,0),3)/10)</f>
        <v/>
      </c>
      <c r="J248" s="18" t="str">
        <f ca="1">IF($A248="","",SUMIFS(Data!$AQ$4:$AQ$183,Data!$AM$4:$AM$183,$B248,Data!$AL$4:$AL$183,$A248,Data!$AK$4:$AK$183,$C248))</f>
        <v/>
      </c>
      <c r="K248" s="62" t="str">
        <f ca="1">IF($A248="","",IF(SUMIFS(Data!$AN$4:$AN$183,Data!$AM$4:$AM$183,$B248,Data!$AL$4:$AL$183,$A248,Data!$AK$4:$AK$183,$C248)=0,"",J248*3/SUMIFS(Data!$AN$4:$AN$183,Data!$AM$4:$AM$183,$B248,Data!$AL$4:$AL$183,$A248,Data!$AK$4:$AK$183,$C248)))</f>
        <v/>
      </c>
      <c r="L248" s="18" t="str">
        <f ca="1">IF($A248="","",IF(IFERROR(_xlfn.XLOOKUP($C248,Bracket!$F$6:$F$16,Bracket!$K$6:$K$16,""),"")=$B248,1,0))</f>
        <v/>
      </c>
      <c r="M248" s="18" t="str">
        <f ca="1">IF($A248="","",IF(AND(IFERROR(_xlfn.XLOOKUP($C248,Bracket!$F$6:$F$16,Bracket!$K$6:$K$16,""),"")=$B248,LEFT(IFERROR(_xlfn.XLOOKUP($C248,Bracket!$F$6:$F$16,Bracket!$G$6:$G$16,""),""),2)="CG"),1,0))</f>
        <v/>
      </c>
      <c r="N248" s="18" t="str">
        <f ca="1">IF($A248="","",SUMIFS(Data!$X$4:$X$273,Data!$T$4:$T$273,$A248,Data!$U$4:$U$273,$B248,Data!$S$4:$S$273,$C248))</f>
        <v/>
      </c>
      <c r="O248" s="18" t="str">
        <f ca="1">IF($A248="","",SUMIFS(Data!$Z$4:$Z$273,Data!$T$4:$T$273,$A248,Data!$U$4:$U$273,$B248,Data!$S$4:$S$273,$C248))</f>
        <v/>
      </c>
      <c r="P248" s="18" t="str">
        <f ca="1">IF($A248="","",SUMIFS(Data!$AA$4:$AA$273,Data!$T$4:$T$273,$A248,Data!$U$4:$U$273,$B248,Data!$S$4:$S$273,$C248))</f>
        <v/>
      </c>
      <c r="Q248" s="18" t="str">
        <f ca="1">IF($A248="","",SUMIFS(Data!$AD$4:$AD$273,Data!$T$4:$T$273,$A248,Data!$U$4:$U$273,$B248,Data!$S$4:$S$273,$C248))</f>
        <v/>
      </c>
      <c r="R248" s="18" t="str">
        <f ca="1">IF($A248="","",SUMIFS(Data!$AE$4:$AE$273,Data!$T$4:$T$273,$A248,Data!$U$4:$U$273,$B248,Data!$S$4:$S$273,$C248))</f>
        <v/>
      </c>
      <c r="S248" s="18" t="str">
        <f ca="1">IF($A248="","",SUMIFS(Data!$AF$4:$AF$273,Data!$T$4:$T$273,$A248,Data!$U$4:$U$273,$B248,Data!$S$4:$S$273,$C248))</f>
        <v/>
      </c>
      <c r="T248" s="18" t="str">
        <f ca="1">IF($A248="","",SUMIFS(Data!$AG$4:$AG$273,Data!$T$4:$T$273,$A248,Data!$U$4:$U$273,$B248,Data!$S$4:$S$273,$C248))</f>
        <v/>
      </c>
      <c r="U248" s="18" t="str">
        <f ca="1">IF($A248="","",SUMIFS(Data!$AH$4:$AH$273,Data!$T$4:$T$273,$A248,Data!$U$4:$U$273,$B248,Data!$S$4:$S$273,$C248))</f>
        <v/>
      </c>
      <c r="V248" s="18" t="str">
        <f ca="1">IF($A248="","",SUMIFS(Data!$AO$4:$AO$183,Data!$AM$4:$AM$183,$B248,Data!$AL$4:$AL$183,$A248,Data!$AK$4:$AK$183,$C248))</f>
        <v/>
      </c>
      <c r="W248" s="18" t="str">
        <f ca="1">IF($A248="","",SUMIFS(Data!$AP$4:$AP$183,Data!$AM$4:$AM$183,$B248,Data!$AL$4:$AL$183,$A248,Data!$AK$4:$AK$183,$C248))</f>
        <v/>
      </c>
      <c r="X248" s="18" t="str">
        <f ca="1">IF($A248="","",SUMIFS(Data!$AR$4:$AR$183,Data!$AM$4:$AM$183,$B248,Data!$AL$4:$AL$183,$A248,Data!$AK$4:$AK$183,$C248))</f>
        <v/>
      </c>
      <c r="Y248" s="18" t="str">
        <f ca="1">IF($A248="","",SUMIFS(Data!$AS$4:$AS$183,Data!$AM$4:$AM$183,$B248,Data!$AL$4:$AL$183,$A248,Data!$AK$4:$AK$183,$C248))</f>
        <v/>
      </c>
      <c r="Z248" s="18" t="str">
        <f ca="1">IF($A248="","",SUMIFS(Data!$AT$4:$AT$183,Data!$AM$4:$AM$183,$B248,Data!$AL$4:$AL$183,$A248,Data!$AK$4:$AK$183,$C248))</f>
        <v/>
      </c>
      <c r="AA248" s="18" t="str">
        <f ca="1">IF($A248="","",SUMIFS(Data!$AW$4:$AW$183,Data!$AM$4:$AM$183,$B248,Data!$AL$4:$AL$183,$A248,Data!$AK$4:$AK$183,$C248))</f>
        <v/>
      </c>
      <c r="AB248" s="18" t="str">
        <f ca="1">IF($A248="","",SUMIFS(Data!$AX$4:$AX$183,Data!$AM$4:$AM$183,$B248,Data!$AL$4:$AL$183,$A248,Data!$AK$4:$AK$183,$C248))</f>
        <v/>
      </c>
      <c r="AC248" s="18" t="str">
        <f ca="1">IF($A248="","",SUMIFS(Data!$AY$4:$AY$183,Data!$AM$4:$AM$183,$B248,Data!$AL$4:$AL$183,$A248,Data!$AK$4:$AK$183,$C248))</f>
        <v/>
      </c>
      <c r="AD248" s="18" t="str">
        <f t="shared" ca="1" si="7"/>
        <v/>
      </c>
      <c r="AE248" s="18" t="str">
        <f ca="1">IF($A248="","",SUMIFS(Data!$AJ$4:$AJ$183,Data!$AM$4:$AM$183,$B248,Data!$AL$4:$AL$183,$A248,Data!$AK$4:$AK$183,$C248))</f>
        <v/>
      </c>
    </row>
    <row r="249" spans="1:31">
      <c r="A249" s="18" t="str">
        <f ca="1">IF(Data!T249="","",Data!T249)</f>
        <v/>
      </c>
      <c r="B249" s="18" t="str">
        <f ca="1">IF(Data!U249="","",Data!U249)</f>
        <v/>
      </c>
      <c r="C249" s="18" t="str">
        <f ca="1">IF(Data!S249="","",Data!S249)</f>
        <v/>
      </c>
      <c r="D249" s="18" t="str">
        <f ca="1">IF($A249="","",Data!W249)</f>
        <v/>
      </c>
      <c r="E249" s="18" t="str">
        <f ca="1">IF($A249="","",Data!Y249)</f>
        <v/>
      </c>
      <c r="F249" s="61" t="str">
        <f t="shared" ca="1" si="6"/>
        <v/>
      </c>
      <c r="G249" s="18" t="str">
        <f ca="1">IF($A249="","",Data!AB249)</f>
        <v/>
      </c>
      <c r="H249" s="18" t="str">
        <f ca="1">IF($A249="","",Data!AC249)</f>
        <v/>
      </c>
      <c r="I249" s="18" t="str">
        <f ca="1">IF($A249="","",INT(SUMIFS(Data!$AN$4:$AN$183,Data!$AM$4:$AM$183,$B249,Data!$AL$4:$AL$183,$A249,Data!$AK$4:$AK$183,$C249))+MOD(ROUND(SUMIFS(Data!$AN$4:$AN$183,Data!$AM$4:$AM$183,$B249,Data!$AL$4:$AL$183,$A249,Data!$AK$4:$AK$183,$C249)*3,0),3)/10)</f>
        <v/>
      </c>
      <c r="J249" s="18" t="str">
        <f ca="1">IF($A249="","",SUMIFS(Data!$AQ$4:$AQ$183,Data!$AM$4:$AM$183,$B249,Data!$AL$4:$AL$183,$A249,Data!$AK$4:$AK$183,$C249))</f>
        <v/>
      </c>
      <c r="K249" s="62" t="str">
        <f ca="1">IF($A249="","",IF(SUMIFS(Data!$AN$4:$AN$183,Data!$AM$4:$AM$183,$B249,Data!$AL$4:$AL$183,$A249,Data!$AK$4:$AK$183,$C249)=0,"",J249*3/SUMIFS(Data!$AN$4:$AN$183,Data!$AM$4:$AM$183,$B249,Data!$AL$4:$AL$183,$A249,Data!$AK$4:$AK$183,$C249)))</f>
        <v/>
      </c>
      <c r="L249" s="18" t="str">
        <f ca="1">IF($A249="","",IF(IFERROR(_xlfn.XLOOKUP($C249,Bracket!$F$6:$F$16,Bracket!$K$6:$K$16,""),"")=$B249,1,0))</f>
        <v/>
      </c>
      <c r="M249" s="18" t="str">
        <f ca="1">IF($A249="","",IF(AND(IFERROR(_xlfn.XLOOKUP($C249,Bracket!$F$6:$F$16,Bracket!$K$6:$K$16,""),"")=$B249,LEFT(IFERROR(_xlfn.XLOOKUP($C249,Bracket!$F$6:$F$16,Bracket!$G$6:$G$16,""),""),2)="CG"),1,0))</f>
        <v/>
      </c>
      <c r="N249" s="18" t="str">
        <f ca="1">IF($A249="","",SUMIFS(Data!$X$4:$X$273,Data!$T$4:$T$273,$A249,Data!$U$4:$U$273,$B249,Data!$S$4:$S$273,$C249))</f>
        <v/>
      </c>
      <c r="O249" s="18" t="str">
        <f ca="1">IF($A249="","",SUMIFS(Data!$Z$4:$Z$273,Data!$T$4:$T$273,$A249,Data!$U$4:$U$273,$B249,Data!$S$4:$S$273,$C249))</f>
        <v/>
      </c>
      <c r="P249" s="18" t="str">
        <f ca="1">IF($A249="","",SUMIFS(Data!$AA$4:$AA$273,Data!$T$4:$T$273,$A249,Data!$U$4:$U$273,$B249,Data!$S$4:$S$273,$C249))</f>
        <v/>
      </c>
      <c r="Q249" s="18" t="str">
        <f ca="1">IF($A249="","",SUMIFS(Data!$AD$4:$AD$273,Data!$T$4:$T$273,$A249,Data!$U$4:$U$273,$B249,Data!$S$4:$S$273,$C249))</f>
        <v/>
      </c>
      <c r="R249" s="18" t="str">
        <f ca="1">IF($A249="","",SUMIFS(Data!$AE$4:$AE$273,Data!$T$4:$T$273,$A249,Data!$U$4:$U$273,$B249,Data!$S$4:$S$273,$C249))</f>
        <v/>
      </c>
      <c r="S249" s="18" t="str">
        <f ca="1">IF($A249="","",SUMIFS(Data!$AF$4:$AF$273,Data!$T$4:$T$273,$A249,Data!$U$4:$U$273,$B249,Data!$S$4:$S$273,$C249))</f>
        <v/>
      </c>
      <c r="T249" s="18" t="str">
        <f ca="1">IF($A249="","",SUMIFS(Data!$AG$4:$AG$273,Data!$T$4:$T$273,$A249,Data!$U$4:$U$273,$B249,Data!$S$4:$S$273,$C249))</f>
        <v/>
      </c>
      <c r="U249" s="18" t="str">
        <f ca="1">IF($A249="","",SUMIFS(Data!$AH$4:$AH$273,Data!$T$4:$T$273,$A249,Data!$U$4:$U$273,$B249,Data!$S$4:$S$273,$C249))</f>
        <v/>
      </c>
      <c r="V249" s="18" t="str">
        <f ca="1">IF($A249="","",SUMIFS(Data!$AO$4:$AO$183,Data!$AM$4:$AM$183,$B249,Data!$AL$4:$AL$183,$A249,Data!$AK$4:$AK$183,$C249))</f>
        <v/>
      </c>
      <c r="W249" s="18" t="str">
        <f ca="1">IF($A249="","",SUMIFS(Data!$AP$4:$AP$183,Data!$AM$4:$AM$183,$B249,Data!$AL$4:$AL$183,$A249,Data!$AK$4:$AK$183,$C249))</f>
        <v/>
      </c>
      <c r="X249" s="18" t="str">
        <f ca="1">IF($A249="","",SUMIFS(Data!$AR$4:$AR$183,Data!$AM$4:$AM$183,$B249,Data!$AL$4:$AL$183,$A249,Data!$AK$4:$AK$183,$C249))</f>
        <v/>
      </c>
      <c r="Y249" s="18" t="str">
        <f ca="1">IF($A249="","",SUMIFS(Data!$AS$4:$AS$183,Data!$AM$4:$AM$183,$B249,Data!$AL$4:$AL$183,$A249,Data!$AK$4:$AK$183,$C249))</f>
        <v/>
      </c>
      <c r="Z249" s="18" t="str">
        <f ca="1">IF($A249="","",SUMIFS(Data!$AT$4:$AT$183,Data!$AM$4:$AM$183,$B249,Data!$AL$4:$AL$183,$A249,Data!$AK$4:$AK$183,$C249))</f>
        <v/>
      </c>
      <c r="AA249" s="18" t="str">
        <f ca="1">IF($A249="","",SUMIFS(Data!$AW$4:$AW$183,Data!$AM$4:$AM$183,$B249,Data!$AL$4:$AL$183,$A249,Data!$AK$4:$AK$183,$C249))</f>
        <v/>
      </c>
      <c r="AB249" s="18" t="str">
        <f ca="1">IF($A249="","",SUMIFS(Data!$AX$4:$AX$183,Data!$AM$4:$AM$183,$B249,Data!$AL$4:$AL$183,$A249,Data!$AK$4:$AK$183,$C249))</f>
        <v/>
      </c>
      <c r="AC249" s="18" t="str">
        <f ca="1">IF($A249="","",SUMIFS(Data!$AY$4:$AY$183,Data!$AM$4:$AM$183,$B249,Data!$AL$4:$AL$183,$A249,Data!$AK$4:$AK$183,$C249))</f>
        <v/>
      </c>
      <c r="AD249" s="18" t="str">
        <f t="shared" ca="1" si="7"/>
        <v/>
      </c>
      <c r="AE249" s="18" t="str">
        <f ca="1">IF($A249="","",SUMIFS(Data!$AJ$4:$AJ$183,Data!$AM$4:$AM$183,$B249,Data!$AL$4:$AL$183,$A249,Data!$AK$4:$AK$183,$C249))</f>
        <v/>
      </c>
    </row>
    <row r="250" spans="1:31">
      <c r="A250" s="18" t="str">
        <f ca="1">IF(Data!T250="","",Data!T250)</f>
        <v/>
      </c>
      <c r="B250" s="18" t="str">
        <f ca="1">IF(Data!U250="","",Data!U250)</f>
        <v/>
      </c>
      <c r="C250" s="18" t="str">
        <f ca="1">IF(Data!S250="","",Data!S250)</f>
        <v/>
      </c>
      <c r="D250" s="18" t="str">
        <f ca="1">IF($A250="","",Data!W250)</f>
        <v/>
      </c>
      <c r="E250" s="18" t="str">
        <f ca="1">IF($A250="","",Data!Y250)</f>
        <v/>
      </c>
      <c r="F250" s="61" t="str">
        <f t="shared" ca="1" si="6"/>
        <v/>
      </c>
      <c r="G250" s="18" t="str">
        <f ca="1">IF($A250="","",Data!AB250)</f>
        <v/>
      </c>
      <c r="H250" s="18" t="str">
        <f ca="1">IF($A250="","",Data!AC250)</f>
        <v/>
      </c>
      <c r="I250" s="18" t="str">
        <f ca="1">IF($A250="","",INT(SUMIFS(Data!$AN$4:$AN$183,Data!$AM$4:$AM$183,$B250,Data!$AL$4:$AL$183,$A250,Data!$AK$4:$AK$183,$C250))+MOD(ROUND(SUMIFS(Data!$AN$4:$AN$183,Data!$AM$4:$AM$183,$B250,Data!$AL$4:$AL$183,$A250,Data!$AK$4:$AK$183,$C250)*3,0),3)/10)</f>
        <v/>
      </c>
      <c r="J250" s="18" t="str">
        <f ca="1">IF($A250="","",SUMIFS(Data!$AQ$4:$AQ$183,Data!$AM$4:$AM$183,$B250,Data!$AL$4:$AL$183,$A250,Data!$AK$4:$AK$183,$C250))</f>
        <v/>
      </c>
      <c r="K250" s="62" t="str">
        <f ca="1">IF($A250="","",IF(SUMIFS(Data!$AN$4:$AN$183,Data!$AM$4:$AM$183,$B250,Data!$AL$4:$AL$183,$A250,Data!$AK$4:$AK$183,$C250)=0,"",J250*3/SUMIFS(Data!$AN$4:$AN$183,Data!$AM$4:$AM$183,$B250,Data!$AL$4:$AL$183,$A250,Data!$AK$4:$AK$183,$C250)))</f>
        <v/>
      </c>
      <c r="L250" s="18" t="str">
        <f ca="1">IF($A250="","",IF(IFERROR(_xlfn.XLOOKUP($C250,Bracket!$F$6:$F$16,Bracket!$K$6:$K$16,""),"")=$B250,1,0))</f>
        <v/>
      </c>
      <c r="M250" s="18" t="str">
        <f ca="1">IF($A250="","",IF(AND(IFERROR(_xlfn.XLOOKUP($C250,Bracket!$F$6:$F$16,Bracket!$K$6:$K$16,""),"")=$B250,LEFT(IFERROR(_xlfn.XLOOKUP($C250,Bracket!$F$6:$F$16,Bracket!$G$6:$G$16,""),""),2)="CG"),1,0))</f>
        <v/>
      </c>
      <c r="N250" s="18" t="str">
        <f ca="1">IF($A250="","",SUMIFS(Data!$X$4:$X$273,Data!$T$4:$T$273,$A250,Data!$U$4:$U$273,$B250,Data!$S$4:$S$273,$C250))</f>
        <v/>
      </c>
      <c r="O250" s="18" t="str">
        <f ca="1">IF($A250="","",SUMIFS(Data!$Z$4:$Z$273,Data!$T$4:$T$273,$A250,Data!$U$4:$U$273,$B250,Data!$S$4:$S$273,$C250))</f>
        <v/>
      </c>
      <c r="P250" s="18" t="str">
        <f ca="1">IF($A250="","",SUMIFS(Data!$AA$4:$AA$273,Data!$T$4:$T$273,$A250,Data!$U$4:$U$273,$B250,Data!$S$4:$S$273,$C250))</f>
        <v/>
      </c>
      <c r="Q250" s="18" t="str">
        <f ca="1">IF($A250="","",SUMIFS(Data!$AD$4:$AD$273,Data!$T$4:$T$273,$A250,Data!$U$4:$U$273,$B250,Data!$S$4:$S$273,$C250))</f>
        <v/>
      </c>
      <c r="R250" s="18" t="str">
        <f ca="1">IF($A250="","",SUMIFS(Data!$AE$4:$AE$273,Data!$T$4:$T$273,$A250,Data!$U$4:$U$273,$B250,Data!$S$4:$S$273,$C250))</f>
        <v/>
      </c>
      <c r="S250" s="18" t="str">
        <f ca="1">IF($A250="","",SUMIFS(Data!$AF$4:$AF$273,Data!$T$4:$T$273,$A250,Data!$U$4:$U$273,$B250,Data!$S$4:$S$273,$C250))</f>
        <v/>
      </c>
      <c r="T250" s="18" t="str">
        <f ca="1">IF($A250="","",SUMIFS(Data!$AG$4:$AG$273,Data!$T$4:$T$273,$A250,Data!$U$4:$U$273,$B250,Data!$S$4:$S$273,$C250))</f>
        <v/>
      </c>
      <c r="U250" s="18" t="str">
        <f ca="1">IF($A250="","",SUMIFS(Data!$AH$4:$AH$273,Data!$T$4:$T$273,$A250,Data!$U$4:$U$273,$B250,Data!$S$4:$S$273,$C250))</f>
        <v/>
      </c>
      <c r="V250" s="18" t="str">
        <f ca="1">IF($A250="","",SUMIFS(Data!$AO$4:$AO$183,Data!$AM$4:$AM$183,$B250,Data!$AL$4:$AL$183,$A250,Data!$AK$4:$AK$183,$C250))</f>
        <v/>
      </c>
      <c r="W250" s="18" t="str">
        <f ca="1">IF($A250="","",SUMIFS(Data!$AP$4:$AP$183,Data!$AM$4:$AM$183,$B250,Data!$AL$4:$AL$183,$A250,Data!$AK$4:$AK$183,$C250))</f>
        <v/>
      </c>
      <c r="X250" s="18" t="str">
        <f ca="1">IF($A250="","",SUMIFS(Data!$AR$4:$AR$183,Data!$AM$4:$AM$183,$B250,Data!$AL$4:$AL$183,$A250,Data!$AK$4:$AK$183,$C250))</f>
        <v/>
      </c>
      <c r="Y250" s="18" t="str">
        <f ca="1">IF($A250="","",SUMIFS(Data!$AS$4:$AS$183,Data!$AM$4:$AM$183,$B250,Data!$AL$4:$AL$183,$A250,Data!$AK$4:$AK$183,$C250))</f>
        <v/>
      </c>
      <c r="Z250" s="18" t="str">
        <f ca="1">IF($A250="","",SUMIFS(Data!$AT$4:$AT$183,Data!$AM$4:$AM$183,$B250,Data!$AL$4:$AL$183,$A250,Data!$AK$4:$AK$183,$C250))</f>
        <v/>
      </c>
      <c r="AA250" s="18" t="str">
        <f ca="1">IF($A250="","",SUMIFS(Data!$AW$4:$AW$183,Data!$AM$4:$AM$183,$B250,Data!$AL$4:$AL$183,$A250,Data!$AK$4:$AK$183,$C250))</f>
        <v/>
      </c>
      <c r="AB250" s="18" t="str">
        <f ca="1">IF($A250="","",SUMIFS(Data!$AX$4:$AX$183,Data!$AM$4:$AM$183,$B250,Data!$AL$4:$AL$183,$A250,Data!$AK$4:$AK$183,$C250))</f>
        <v/>
      </c>
      <c r="AC250" s="18" t="str">
        <f ca="1">IF($A250="","",SUMIFS(Data!$AY$4:$AY$183,Data!$AM$4:$AM$183,$B250,Data!$AL$4:$AL$183,$A250,Data!$AK$4:$AK$183,$C250))</f>
        <v/>
      </c>
      <c r="AD250" s="18" t="str">
        <f t="shared" ca="1" si="7"/>
        <v/>
      </c>
      <c r="AE250" s="18" t="str">
        <f ca="1">IF($A250="","",SUMIFS(Data!$AJ$4:$AJ$183,Data!$AM$4:$AM$183,$B250,Data!$AL$4:$AL$183,$A250,Data!$AK$4:$AK$183,$C250))</f>
        <v/>
      </c>
    </row>
    <row r="251" spans="1:31">
      <c r="A251" s="18" t="str">
        <f ca="1">IF(Data!T251="","",Data!T251)</f>
        <v/>
      </c>
      <c r="B251" s="18" t="str">
        <f ca="1">IF(Data!U251="","",Data!U251)</f>
        <v/>
      </c>
      <c r="C251" s="18" t="str">
        <f ca="1">IF(Data!S251="","",Data!S251)</f>
        <v/>
      </c>
      <c r="D251" s="18" t="str">
        <f ca="1">IF($A251="","",Data!W251)</f>
        <v/>
      </c>
      <c r="E251" s="18" t="str">
        <f ca="1">IF($A251="","",Data!Y251)</f>
        <v/>
      </c>
      <c r="F251" s="61" t="str">
        <f t="shared" ca="1" si="6"/>
        <v/>
      </c>
      <c r="G251" s="18" t="str">
        <f ca="1">IF($A251="","",Data!AB251)</f>
        <v/>
      </c>
      <c r="H251" s="18" t="str">
        <f ca="1">IF($A251="","",Data!AC251)</f>
        <v/>
      </c>
      <c r="I251" s="18" t="str">
        <f ca="1">IF($A251="","",INT(SUMIFS(Data!$AN$4:$AN$183,Data!$AM$4:$AM$183,$B251,Data!$AL$4:$AL$183,$A251,Data!$AK$4:$AK$183,$C251))+MOD(ROUND(SUMIFS(Data!$AN$4:$AN$183,Data!$AM$4:$AM$183,$B251,Data!$AL$4:$AL$183,$A251,Data!$AK$4:$AK$183,$C251)*3,0),3)/10)</f>
        <v/>
      </c>
      <c r="J251" s="18" t="str">
        <f ca="1">IF($A251="","",SUMIFS(Data!$AQ$4:$AQ$183,Data!$AM$4:$AM$183,$B251,Data!$AL$4:$AL$183,$A251,Data!$AK$4:$AK$183,$C251))</f>
        <v/>
      </c>
      <c r="K251" s="62" t="str">
        <f ca="1">IF($A251="","",IF(SUMIFS(Data!$AN$4:$AN$183,Data!$AM$4:$AM$183,$B251,Data!$AL$4:$AL$183,$A251,Data!$AK$4:$AK$183,$C251)=0,"",J251*3/SUMIFS(Data!$AN$4:$AN$183,Data!$AM$4:$AM$183,$B251,Data!$AL$4:$AL$183,$A251,Data!$AK$4:$AK$183,$C251)))</f>
        <v/>
      </c>
      <c r="L251" s="18" t="str">
        <f ca="1">IF($A251="","",IF(IFERROR(_xlfn.XLOOKUP($C251,Bracket!$F$6:$F$16,Bracket!$K$6:$K$16,""),"")=$B251,1,0))</f>
        <v/>
      </c>
      <c r="M251" s="18" t="str">
        <f ca="1">IF($A251="","",IF(AND(IFERROR(_xlfn.XLOOKUP($C251,Bracket!$F$6:$F$16,Bracket!$K$6:$K$16,""),"")=$B251,LEFT(IFERROR(_xlfn.XLOOKUP($C251,Bracket!$F$6:$F$16,Bracket!$G$6:$G$16,""),""),2)="CG"),1,0))</f>
        <v/>
      </c>
      <c r="N251" s="18" t="str">
        <f ca="1">IF($A251="","",SUMIFS(Data!$X$4:$X$273,Data!$T$4:$T$273,$A251,Data!$U$4:$U$273,$B251,Data!$S$4:$S$273,$C251))</f>
        <v/>
      </c>
      <c r="O251" s="18" t="str">
        <f ca="1">IF($A251="","",SUMIFS(Data!$Z$4:$Z$273,Data!$T$4:$T$273,$A251,Data!$U$4:$U$273,$B251,Data!$S$4:$S$273,$C251))</f>
        <v/>
      </c>
      <c r="P251" s="18" t="str">
        <f ca="1">IF($A251="","",SUMIFS(Data!$AA$4:$AA$273,Data!$T$4:$T$273,$A251,Data!$U$4:$U$273,$B251,Data!$S$4:$S$273,$C251))</f>
        <v/>
      </c>
      <c r="Q251" s="18" t="str">
        <f ca="1">IF($A251="","",SUMIFS(Data!$AD$4:$AD$273,Data!$T$4:$T$273,$A251,Data!$U$4:$U$273,$B251,Data!$S$4:$S$273,$C251))</f>
        <v/>
      </c>
      <c r="R251" s="18" t="str">
        <f ca="1">IF($A251="","",SUMIFS(Data!$AE$4:$AE$273,Data!$T$4:$T$273,$A251,Data!$U$4:$U$273,$B251,Data!$S$4:$S$273,$C251))</f>
        <v/>
      </c>
      <c r="S251" s="18" t="str">
        <f ca="1">IF($A251="","",SUMIFS(Data!$AF$4:$AF$273,Data!$T$4:$T$273,$A251,Data!$U$4:$U$273,$B251,Data!$S$4:$S$273,$C251))</f>
        <v/>
      </c>
      <c r="T251" s="18" t="str">
        <f ca="1">IF($A251="","",SUMIFS(Data!$AG$4:$AG$273,Data!$T$4:$T$273,$A251,Data!$U$4:$U$273,$B251,Data!$S$4:$S$273,$C251))</f>
        <v/>
      </c>
      <c r="U251" s="18" t="str">
        <f ca="1">IF($A251="","",SUMIFS(Data!$AH$4:$AH$273,Data!$T$4:$T$273,$A251,Data!$U$4:$U$273,$B251,Data!$S$4:$S$273,$C251))</f>
        <v/>
      </c>
      <c r="V251" s="18" t="str">
        <f ca="1">IF($A251="","",SUMIFS(Data!$AO$4:$AO$183,Data!$AM$4:$AM$183,$B251,Data!$AL$4:$AL$183,$A251,Data!$AK$4:$AK$183,$C251))</f>
        <v/>
      </c>
      <c r="W251" s="18" t="str">
        <f ca="1">IF($A251="","",SUMIFS(Data!$AP$4:$AP$183,Data!$AM$4:$AM$183,$B251,Data!$AL$4:$AL$183,$A251,Data!$AK$4:$AK$183,$C251))</f>
        <v/>
      </c>
      <c r="X251" s="18" t="str">
        <f ca="1">IF($A251="","",SUMIFS(Data!$AR$4:$AR$183,Data!$AM$4:$AM$183,$B251,Data!$AL$4:$AL$183,$A251,Data!$AK$4:$AK$183,$C251))</f>
        <v/>
      </c>
      <c r="Y251" s="18" t="str">
        <f ca="1">IF($A251="","",SUMIFS(Data!$AS$4:$AS$183,Data!$AM$4:$AM$183,$B251,Data!$AL$4:$AL$183,$A251,Data!$AK$4:$AK$183,$C251))</f>
        <v/>
      </c>
      <c r="Z251" s="18" t="str">
        <f ca="1">IF($A251="","",SUMIFS(Data!$AT$4:$AT$183,Data!$AM$4:$AM$183,$B251,Data!$AL$4:$AL$183,$A251,Data!$AK$4:$AK$183,$C251))</f>
        <v/>
      </c>
      <c r="AA251" s="18" t="str">
        <f ca="1">IF($A251="","",SUMIFS(Data!$AW$4:$AW$183,Data!$AM$4:$AM$183,$B251,Data!$AL$4:$AL$183,$A251,Data!$AK$4:$AK$183,$C251))</f>
        <v/>
      </c>
      <c r="AB251" s="18" t="str">
        <f ca="1">IF($A251="","",SUMIFS(Data!$AX$4:$AX$183,Data!$AM$4:$AM$183,$B251,Data!$AL$4:$AL$183,$A251,Data!$AK$4:$AK$183,$C251))</f>
        <v/>
      </c>
      <c r="AC251" s="18" t="str">
        <f ca="1">IF($A251="","",SUMIFS(Data!$AY$4:$AY$183,Data!$AM$4:$AM$183,$B251,Data!$AL$4:$AL$183,$A251,Data!$AK$4:$AK$183,$C251))</f>
        <v/>
      </c>
      <c r="AD251" s="18" t="str">
        <f t="shared" ca="1" si="7"/>
        <v/>
      </c>
      <c r="AE251" s="18" t="str">
        <f ca="1">IF($A251="","",SUMIFS(Data!$AJ$4:$AJ$183,Data!$AM$4:$AM$183,$B251,Data!$AL$4:$AL$183,$A251,Data!$AK$4:$AK$183,$C251))</f>
        <v/>
      </c>
    </row>
    <row r="252" spans="1:31">
      <c r="A252" s="18" t="str">
        <f ca="1">IF(Data!T252="","",Data!T252)</f>
        <v/>
      </c>
      <c r="B252" s="18" t="str">
        <f ca="1">IF(Data!U252="","",Data!U252)</f>
        <v/>
      </c>
      <c r="C252" s="18" t="str">
        <f ca="1">IF(Data!S252="","",Data!S252)</f>
        <v/>
      </c>
      <c r="D252" s="18" t="str">
        <f ca="1">IF($A252="","",Data!W252)</f>
        <v/>
      </c>
      <c r="E252" s="18" t="str">
        <f ca="1">IF($A252="","",Data!Y252)</f>
        <v/>
      </c>
      <c r="F252" s="61" t="str">
        <f t="shared" ca="1" si="6"/>
        <v/>
      </c>
      <c r="G252" s="18" t="str">
        <f ca="1">IF($A252="","",Data!AB252)</f>
        <v/>
      </c>
      <c r="H252" s="18" t="str">
        <f ca="1">IF($A252="","",Data!AC252)</f>
        <v/>
      </c>
      <c r="I252" s="18" t="str">
        <f ca="1">IF($A252="","",INT(SUMIFS(Data!$AN$4:$AN$183,Data!$AM$4:$AM$183,$B252,Data!$AL$4:$AL$183,$A252,Data!$AK$4:$AK$183,$C252))+MOD(ROUND(SUMIFS(Data!$AN$4:$AN$183,Data!$AM$4:$AM$183,$B252,Data!$AL$4:$AL$183,$A252,Data!$AK$4:$AK$183,$C252)*3,0),3)/10)</f>
        <v/>
      </c>
      <c r="J252" s="18" t="str">
        <f ca="1">IF($A252="","",SUMIFS(Data!$AQ$4:$AQ$183,Data!$AM$4:$AM$183,$B252,Data!$AL$4:$AL$183,$A252,Data!$AK$4:$AK$183,$C252))</f>
        <v/>
      </c>
      <c r="K252" s="62" t="str">
        <f ca="1">IF($A252="","",IF(SUMIFS(Data!$AN$4:$AN$183,Data!$AM$4:$AM$183,$B252,Data!$AL$4:$AL$183,$A252,Data!$AK$4:$AK$183,$C252)=0,"",J252*3/SUMIFS(Data!$AN$4:$AN$183,Data!$AM$4:$AM$183,$B252,Data!$AL$4:$AL$183,$A252,Data!$AK$4:$AK$183,$C252)))</f>
        <v/>
      </c>
      <c r="L252" s="18" t="str">
        <f ca="1">IF($A252="","",IF(IFERROR(_xlfn.XLOOKUP($C252,Bracket!$F$6:$F$16,Bracket!$K$6:$K$16,""),"")=$B252,1,0))</f>
        <v/>
      </c>
      <c r="M252" s="18" t="str">
        <f ca="1">IF($A252="","",IF(AND(IFERROR(_xlfn.XLOOKUP($C252,Bracket!$F$6:$F$16,Bracket!$K$6:$K$16,""),"")=$B252,LEFT(IFERROR(_xlfn.XLOOKUP($C252,Bracket!$F$6:$F$16,Bracket!$G$6:$G$16,""),""),2)="CG"),1,0))</f>
        <v/>
      </c>
      <c r="N252" s="18" t="str">
        <f ca="1">IF($A252="","",SUMIFS(Data!$X$4:$X$273,Data!$T$4:$T$273,$A252,Data!$U$4:$U$273,$B252,Data!$S$4:$S$273,$C252))</f>
        <v/>
      </c>
      <c r="O252" s="18" t="str">
        <f ca="1">IF($A252="","",SUMIFS(Data!$Z$4:$Z$273,Data!$T$4:$T$273,$A252,Data!$U$4:$U$273,$B252,Data!$S$4:$S$273,$C252))</f>
        <v/>
      </c>
      <c r="P252" s="18" t="str">
        <f ca="1">IF($A252="","",SUMIFS(Data!$AA$4:$AA$273,Data!$T$4:$T$273,$A252,Data!$U$4:$U$273,$B252,Data!$S$4:$S$273,$C252))</f>
        <v/>
      </c>
      <c r="Q252" s="18" t="str">
        <f ca="1">IF($A252="","",SUMIFS(Data!$AD$4:$AD$273,Data!$T$4:$T$273,$A252,Data!$U$4:$U$273,$B252,Data!$S$4:$S$273,$C252))</f>
        <v/>
      </c>
      <c r="R252" s="18" t="str">
        <f ca="1">IF($A252="","",SUMIFS(Data!$AE$4:$AE$273,Data!$T$4:$T$273,$A252,Data!$U$4:$U$273,$B252,Data!$S$4:$S$273,$C252))</f>
        <v/>
      </c>
      <c r="S252" s="18" t="str">
        <f ca="1">IF($A252="","",SUMIFS(Data!$AF$4:$AF$273,Data!$T$4:$T$273,$A252,Data!$U$4:$U$273,$B252,Data!$S$4:$S$273,$C252))</f>
        <v/>
      </c>
      <c r="T252" s="18" t="str">
        <f ca="1">IF($A252="","",SUMIFS(Data!$AG$4:$AG$273,Data!$T$4:$T$273,$A252,Data!$U$4:$U$273,$B252,Data!$S$4:$S$273,$C252))</f>
        <v/>
      </c>
      <c r="U252" s="18" t="str">
        <f ca="1">IF($A252="","",SUMIFS(Data!$AH$4:$AH$273,Data!$T$4:$T$273,$A252,Data!$U$4:$U$273,$B252,Data!$S$4:$S$273,$C252))</f>
        <v/>
      </c>
      <c r="V252" s="18" t="str">
        <f ca="1">IF($A252="","",SUMIFS(Data!$AO$4:$AO$183,Data!$AM$4:$AM$183,$B252,Data!$AL$4:$AL$183,$A252,Data!$AK$4:$AK$183,$C252))</f>
        <v/>
      </c>
      <c r="W252" s="18" t="str">
        <f ca="1">IF($A252="","",SUMIFS(Data!$AP$4:$AP$183,Data!$AM$4:$AM$183,$B252,Data!$AL$4:$AL$183,$A252,Data!$AK$4:$AK$183,$C252))</f>
        <v/>
      </c>
      <c r="X252" s="18" t="str">
        <f ca="1">IF($A252="","",SUMIFS(Data!$AR$4:$AR$183,Data!$AM$4:$AM$183,$B252,Data!$AL$4:$AL$183,$A252,Data!$AK$4:$AK$183,$C252))</f>
        <v/>
      </c>
      <c r="Y252" s="18" t="str">
        <f ca="1">IF($A252="","",SUMIFS(Data!$AS$4:$AS$183,Data!$AM$4:$AM$183,$B252,Data!$AL$4:$AL$183,$A252,Data!$AK$4:$AK$183,$C252))</f>
        <v/>
      </c>
      <c r="Z252" s="18" t="str">
        <f ca="1">IF($A252="","",SUMIFS(Data!$AT$4:$AT$183,Data!$AM$4:$AM$183,$B252,Data!$AL$4:$AL$183,$A252,Data!$AK$4:$AK$183,$C252))</f>
        <v/>
      </c>
      <c r="AA252" s="18" t="str">
        <f ca="1">IF($A252="","",SUMIFS(Data!$AW$4:$AW$183,Data!$AM$4:$AM$183,$B252,Data!$AL$4:$AL$183,$A252,Data!$AK$4:$AK$183,$C252))</f>
        <v/>
      </c>
      <c r="AB252" s="18" t="str">
        <f ca="1">IF($A252="","",SUMIFS(Data!$AX$4:$AX$183,Data!$AM$4:$AM$183,$B252,Data!$AL$4:$AL$183,$A252,Data!$AK$4:$AK$183,$C252))</f>
        <v/>
      </c>
      <c r="AC252" s="18" t="str">
        <f ca="1">IF($A252="","",SUMIFS(Data!$AY$4:$AY$183,Data!$AM$4:$AM$183,$B252,Data!$AL$4:$AL$183,$A252,Data!$AK$4:$AK$183,$C252))</f>
        <v/>
      </c>
      <c r="AD252" s="18" t="str">
        <f t="shared" ca="1" si="7"/>
        <v/>
      </c>
      <c r="AE252" s="18" t="str">
        <f ca="1">IF($A252="","",SUMIFS(Data!$AJ$4:$AJ$183,Data!$AM$4:$AM$183,$B252,Data!$AL$4:$AL$183,$A252,Data!$AK$4:$AK$183,$C252))</f>
        <v/>
      </c>
    </row>
    <row r="253" spans="1:31">
      <c r="A253" s="18" t="str">
        <f ca="1">IF(Data!T253="","",Data!T253)</f>
        <v/>
      </c>
      <c r="B253" s="18" t="str">
        <f ca="1">IF(Data!U253="","",Data!U253)</f>
        <v/>
      </c>
      <c r="C253" s="18" t="str">
        <f ca="1">IF(Data!S253="","",Data!S253)</f>
        <v/>
      </c>
      <c r="D253" s="18" t="str">
        <f ca="1">IF($A253="","",Data!W253)</f>
        <v/>
      </c>
      <c r="E253" s="18" t="str">
        <f ca="1">IF($A253="","",Data!Y253)</f>
        <v/>
      </c>
      <c r="F253" s="61" t="str">
        <f t="shared" ca="1" si="6"/>
        <v/>
      </c>
      <c r="G253" s="18" t="str">
        <f ca="1">IF($A253="","",Data!AB253)</f>
        <v/>
      </c>
      <c r="H253" s="18" t="str">
        <f ca="1">IF($A253="","",Data!AC253)</f>
        <v/>
      </c>
      <c r="I253" s="18" t="str">
        <f ca="1">IF($A253="","",INT(SUMIFS(Data!$AN$4:$AN$183,Data!$AM$4:$AM$183,$B253,Data!$AL$4:$AL$183,$A253,Data!$AK$4:$AK$183,$C253))+MOD(ROUND(SUMIFS(Data!$AN$4:$AN$183,Data!$AM$4:$AM$183,$B253,Data!$AL$4:$AL$183,$A253,Data!$AK$4:$AK$183,$C253)*3,0),3)/10)</f>
        <v/>
      </c>
      <c r="J253" s="18" t="str">
        <f ca="1">IF($A253="","",SUMIFS(Data!$AQ$4:$AQ$183,Data!$AM$4:$AM$183,$B253,Data!$AL$4:$AL$183,$A253,Data!$AK$4:$AK$183,$C253))</f>
        <v/>
      </c>
      <c r="K253" s="62" t="str">
        <f ca="1">IF($A253="","",IF(SUMIFS(Data!$AN$4:$AN$183,Data!$AM$4:$AM$183,$B253,Data!$AL$4:$AL$183,$A253,Data!$AK$4:$AK$183,$C253)=0,"",J253*3/SUMIFS(Data!$AN$4:$AN$183,Data!$AM$4:$AM$183,$B253,Data!$AL$4:$AL$183,$A253,Data!$AK$4:$AK$183,$C253)))</f>
        <v/>
      </c>
      <c r="L253" s="18" t="str">
        <f ca="1">IF($A253="","",IF(IFERROR(_xlfn.XLOOKUP($C253,Bracket!$F$6:$F$16,Bracket!$K$6:$K$16,""),"")=$B253,1,0))</f>
        <v/>
      </c>
      <c r="M253" s="18" t="str">
        <f ca="1">IF($A253="","",IF(AND(IFERROR(_xlfn.XLOOKUP($C253,Bracket!$F$6:$F$16,Bracket!$K$6:$K$16,""),"")=$B253,LEFT(IFERROR(_xlfn.XLOOKUP($C253,Bracket!$F$6:$F$16,Bracket!$G$6:$G$16,""),""),2)="CG"),1,0))</f>
        <v/>
      </c>
      <c r="N253" s="18" t="str">
        <f ca="1">IF($A253="","",SUMIFS(Data!$X$4:$X$273,Data!$T$4:$T$273,$A253,Data!$U$4:$U$273,$B253,Data!$S$4:$S$273,$C253))</f>
        <v/>
      </c>
      <c r="O253" s="18" t="str">
        <f ca="1">IF($A253="","",SUMIFS(Data!$Z$4:$Z$273,Data!$T$4:$T$273,$A253,Data!$U$4:$U$273,$B253,Data!$S$4:$S$273,$C253))</f>
        <v/>
      </c>
      <c r="P253" s="18" t="str">
        <f ca="1">IF($A253="","",SUMIFS(Data!$AA$4:$AA$273,Data!$T$4:$T$273,$A253,Data!$U$4:$U$273,$B253,Data!$S$4:$S$273,$C253))</f>
        <v/>
      </c>
      <c r="Q253" s="18" t="str">
        <f ca="1">IF($A253="","",SUMIFS(Data!$AD$4:$AD$273,Data!$T$4:$T$273,$A253,Data!$U$4:$U$273,$B253,Data!$S$4:$S$273,$C253))</f>
        <v/>
      </c>
      <c r="R253" s="18" t="str">
        <f ca="1">IF($A253="","",SUMIFS(Data!$AE$4:$AE$273,Data!$T$4:$T$273,$A253,Data!$U$4:$U$273,$B253,Data!$S$4:$S$273,$C253))</f>
        <v/>
      </c>
      <c r="S253" s="18" t="str">
        <f ca="1">IF($A253="","",SUMIFS(Data!$AF$4:$AF$273,Data!$T$4:$T$273,$A253,Data!$U$4:$U$273,$B253,Data!$S$4:$S$273,$C253))</f>
        <v/>
      </c>
      <c r="T253" s="18" t="str">
        <f ca="1">IF($A253="","",SUMIFS(Data!$AG$4:$AG$273,Data!$T$4:$T$273,$A253,Data!$U$4:$U$273,$B253,Data!$S$4:$S$273,$C253))</f>
        <v/>
      </c>
      <c r="U253" s="18" t="str">
        <f ca="1">IF($A253="","",SUMIFS(Data!$AH$4:$AH$273,Data!$T$4:$T$273,$A253,Data!$U$4:$U$273,$B253,Data!$S$4:$S$273,$C253))</f>
        <v/>
      </c>
      <c r="V253" s="18" t="str">
        <f ca="1">IF($A253="","",SUMIFS(Data!$AO$4:$AO$183,Data!$AM$4:$AM$183,$B253,Data!$AL$4:$AL$183,$A253,Data!$AK$4:$AK$183,$C253))</f>
        <v/>
      </c>
      <c r="W253" s="18" t="str">
        <f ca="1">IF($A253="","",SUMIFS(Data!$AP$4:$AP$183,Data!$AM$4:$AM$183,$B253,Data!$AL$4:$AL$183,$A253,Data!$AK$4:$AK$183,$C253))</f>
        <v/>
      </c>
      <c r="X253" s="18" t="str">
        <f ca="1">IF($A253="","",SUMIFS(Data!$AR$4:$AR$183,Data!$AM$4:$AM$183,$B253,Data!$AL$4:$AL$183,$A253,Data!$AK$4:$AK$183,$C253))</f>
        <v/>
      </c>
      <c r="Y253" s="18" t="str">
        <f ca="1">IF($A253="","",SUMIFS(Data!$AS$4:$AS$183,Data!$AM$4:$AM$183,$B253,Data!$AL$4:$AL$183,$A253,Data!$AK$4:$AK$183,$C253))</f>
        <v/>
      </c>
      <c r="Z253" s="18" t="str">
        <f ca="1">IF($A253="","",SUMIFS(Data!$AT$4:$AT$183,Data!$AM$4:$AM$183,$B253,Data!$AL$4:$AL$183,$A253,Data!$AK$4:$AK$183,$C253))</f>
        <v/>
      </c>
      <c r="AA253" s="18" t="str">
        <f ca="1">IF($A253="","",SUMIFS(Data!$AW$4:$AW$183,Data!$AM$4:$AM$183,$B253,Data!$AL$4:$AL$183,$A253,Data!$AK$4:$AK$183,$C253))</f>
        <v/>
      </c>
      <c r="AB253" s="18" t="str">
        <f ca="1">IF($A253="","",SUMIFS(Data!$AX$4:$AX$183,Data!$AM$4:$AM$183,$B253,Data!$AL$4:$AL$183,$A253,Data!$AK$4:$AK$183,$C253))</f>
        <v/>
      </c>
      <c r="AC253" s="18" t="str">
        <f ca="1">IF($A253="","",SUMIFS(Data!$AY$4:$AY$183,Data!$AM$4:$AM$183,$B253,Data!$AL$4:$AL$183,$A253,Data!$AK$4:$AK$183,$C253))</f>
        <v/>
      </c>
      <c r="AD253" s="18" t="str">
        <f t="shared" ca="1" si="7"/>
        <v/>
      </c>
      <c r="AE253" s="18" t="str">
        <f ca="1">IF($A253="","",SUMIFS(Data!$AJ$4:$AJ$183,Data!$AM$4:$AM$183,$B253,Data!$AL$4:$AL$183,$A253,Data!$AK$4:$AK$183,$C253))</f>
        <v/>
      </c>
    </row>
    <row r="254" spans="1:31">
      <c r="A254" s="18" t="str">
        <f ca="1">IF(Data!T254="","",Data!T254)</f>
        <v/>
      </c>
      <c r="B254" s="18" t="str">
        <f ca="1">IF(Data!U254="","",Data!U254)</f>
        <v/>
      </c>
      <c r="C254" s="18" t="str">
        <f ca="1">IF(Data!S254="","",Data!S254)</f>
        <v/>
      </c>
      <c r="D254" s="18" t="str">
        <f ca="1">IF($A254="","",Data!W254)</f>
        <v/>
      </c>
      <c r="E254" s="18" t="str">
        <f ca="1">IF($A254="","",Data!Y254)</f>
        <v/>
      </c>
      <c r="F254" s="61" t="str">
        <f t="shared" ca="1" si="6"/>
        <v/>
      </c>
      <c r="G254" s="18" t="str">
        <f ca="1">IF($A254="","",Data!AB254)</f>
        <v/>
      </c>
      <c r="H254" s="18" t="str">
        <f ca="1">IF($A254="","",Data!AC254)</f>
        <v/>
      </c>
      <c r="I254" s="18" t="str">
        <f ca="1">IF($A254="","",INT(SUMIFS(Data!$AN$4:$AN$183,Data!$AM$4:$AM$183,$B254,Data!$AL$4:$AL$183,$A254,Data!$AK$4:$AK$183,$C254))+MOD(ROUND(SUMIFS(Data!$AN$4:$AN$183,Data!$AM$4:$AM$183,$B254,Data!$AL$4:$AL$183,$A254,Data!$AK$4:$AK$183,$C254)*3,0),3)/10)</f>
        <v/>
      </c>
      <c r="J254" s="18" t="str">
        <f ca="1">IF($A254="","",SUMIFS(Data!$AQ$4:$AQ$183,Data!$AM$4:$AM$183,$B254,Data!$AL$4:$AL$183,$A254,Data!$AK$4:$AK$183,$C254))</f>
        <v/>
      </c>
      <c r="K254" s="62" t="str">
        <f ca="1">IF($A254="","",IF(SUMIFS(Data!$AN$4:$AN$183,Data!$AM$4:$AM$183,$B254,Data!$AL$4:$AL$183,$A254,Data!$AK$4:$AK$183,$C254)=0,"",J254*3/SUMIFS(Data!$AN$4:$AN$183,Data!$AM$4:$AM$183,$B254,Data!$AL$4:$AL$183,$A254,Data!$AK$4:$AK$183,$C254)))</f>
        <v/>
      </c>
      <c r="L254" s="18" t="str">
        <f ca="1">IF($A254="","",IF(IFERROR(_xlfn.XLOOKUP($C254,Bracket!$F$6:$F$16,Bracket!$K$6:$K$16,""),"")=$B254,1,0))</f>
        <v/>
      </c>
      <c r="M254" s="18" t="str">
        <f ca="1">IF($A254="","",IF(AND(IFERROR(_xlfn.XLOOKUP($C254,Bracket!$F$6:$F$16,Bracket!$K$6:$K$16,""),"")=$B254,LEFT(IFERROR(_xlfn.XLOOKUP($C254,Bracket!$F$6:$F$16,Bracket!$G$6:$G$16,""),""),2)="CG"),1,0))</f>
        <v/>
      </c>
      <c r="N254" s="18" t="str">
        <f ca="1">IF($A254="","",SUMIFS(Data!$X$4:$X$273,Data!$T$4:$T$273,$A254,Data!$U$4:$U$273,$B254,Data!$S$4:$S$273,$C254))</f>
        <v/>
      </c>
      <c r="O254" s="18" t="str">
        <f ca="1">IF($A254="","",SUMIFS(Data!$Z$4:$Z$273,Data!$T$4:$T$273,$A254,Data!$U$4:$U$273,$B254,Data!$S$4:$S$273,$C254))</f>
        <v/>
      </c>
      <c r="P254" s="18" t="str">
        <f ca="1">IF($A254="","",SUMIFS(Data!$AA$4:$AA$273,Data!$T$4:$T$273,$A254,Data!$U$4:$U$273,$B254,Data!$S$4:$S$273,$C254))</f>
        <v/>
      </c>
      <c r="Q254" s="18" t="str">
        <f ca="1">IF($A254="","",SUMIFS(Data!$AD$4:$AD$273,Data!$T$4:$T$273,$A254,Data!$U$4:$U$273,$B254,Data!$S$4:$S$273,$C254))</f>
        <v/>
      </c>
      <c r="R254" s="18" t="str">
        <f ca="1">IF($A254="","",SUMIFS(Data!$AE$4:$AE$273,Data!$T$4:$T$273,$A254,Data!$U$4:$U$273,$B254,Data!$S$4:$S$273,$C254))</f>
        <v/>
      </c>
      <c r="S254" s="18" t="str">
        <f ca="1">IF($A254="","",SUMIFS(Data!$AF$4:$AF$273,Data!$T$4:$T$273,$A254,Data!$U$4:$U$273,$B254,Data!$S$4:$S$273,$C254))</f>
        <v/>
      </c>
      <c r="T254" s="18" t="str">
        <f ca="1">IF($A254="","",SUMIFS(Data!$AG$4:$AG$273,Data!$T$4:$T$273,$A254,Data!$U$4:$U$273,$B254,Data!$S$4:$S$273,$C254))</f>
        <v/>
      </c>
      <c r="U254" s="18" t="str">
        <f ca="1">IF($A254="","",SUMIFS(Data!$AH$4:$AH$273,Data!$T$4:$T$273,$A254,Data!$U$4:$U$273,$B254,Data!$S$4:$S$273,$C254))</f>
        <v/>
      </c>
      <c r="V254" s="18" t="str">
        <f ca="1">IF($A254="","",SUMIFS(Data!$AO$4:$AO$183,Data!$AM$4:$AM$183,$B254,Data!$AL$4:$AL$183,$A254,Data!$AK$4:$AK$183,$C254))</f>
        <v/>
      </c>
      <c r="W254" s="18" t="str">
        <f ca="1">IF($A254="","",SUMIFS(Data!$AP$4:$AP$183,Data!$AM$4:$AM$183,$B254,Data!$AL$4:$AL$183,$A254,Data!$AK$4:$AK$183,$C254))</f>
        <v/>
      </c>
      <c r="X254" s="18" t="str">
        <f ca="1">IF($A254="","",SUMIFS(Data!$AR$4:$AR$183,Data!$AM$4:$AM$183,$B254,Data!$AL$4:$AL$183,$A254,Data!$AK$4:$AK$183,$C254))</f>
        <v/>
      </c>
      <c r="Y254" s="18" t="str">
        <f ca="1">IF($A254="","",SUMIFS(Data!$AS$4:$AS$183,Data!$AM$4:$AM$183,$B254,Data!$AL$4:$AL$183,$A254,Data!$AK$4:$AK$183,$C254))</f>
        <v/>
      </c>
      <c r="Z254" s="18" t="str">
        <f ca="1">IF($A254="","",SUMIFS(Data!$AT$4:$AT$183,Data!$AM$4:$AM$183,$B254,Data!$AL$4:$AL$183,$A254,Data!$AK$4:$AK$183,$C254))</f>
        <v/>
      </c>
      <c r="AA254" s="18" t="str">
        <f ca="1">IF($A254="","",SUMIFS(Data!$AW$4:$AW$183,Data!$AM$4:$AM$183,$B254,Data!$AL$4:$AL$183,$A254,Data!$AK$4:$AK$183,$C254))</f>
        <v/>
      </c>
      <c r="AB254" s="18" t="str">
        <f ca="1">IF($A254="","",SUMIFS(Data!$AX$4:$AX$183,Data!$AM$4:$AM$183,$B254,Data!$AL$4:$AL$183,$A254,Data!$AK$4:$AK$183,$C254))</f>
        <v/>
      </c>
      <c r="AC254" s="18" t="str">
        <f ca="1">IF($A254="","",SUMIFS(Data!$AY$4:$AY$183,Data!$AM$4:$AM$183,$B254,Data!$AL$4:$AL$183,$A254,Data!$AK$4:$AK$183,$C254))</f>
        <v/>
      </c>
      <c r="AD254" s="18" t="str">
        <f t="shared" ca="1" si="7"/>
        <v/>
      </c>
      <c r="AE254" s="18" t="str">
        <f ca="1">IF($A254="","",SUMIFS(Data!$AJ$4:$AJ$183,Data!$AM$4:$AM$183,$B254,Data!$AL$4:$AL$183,$A254,Data!$AK$4:$AK$183,$C254))</f>
        <v/>
      </c>
    </row>
    <row r="255" spans="1:31">
      <c r="A255" s="18" t="str">
        <f ca="1">IF(Data!T255="","",Data!T255)</f>
        <v/>
      </c>
      <c r="B255" s="18" t="str">
        <f ca="1">IF(Data!U255="","",Data!U255)</f>
        <v/>
      </c>
      <c r="C255" s="18" t="str">
        <f ca="1">IF(Data!S255="","",Data!S255)</f>
        <v/>
      </c>
      <c r="D255" s="18" t="str">
        <f ca="1">IF($A255="","",Data!W255)</f>
        <v/>
      </c>
      <c r="E255" s="18" t="str">
        <f ca="1">IF($A255="","",Data!Y255)</f>
        <v/>
      </c>
      <c r="F255" s="61" t="str">
        <f t="shared" ca="1" si="6"/>
        <v/>
      </c>
      <c r="G255" s="18" t="str">
        <f ca="1">IF($A255="","",Data!AB255)</f>
        <v/>
      </c>
      <c r="H255" s="18" t="str">
        <f ca="1">IF($A255="","",Data!AC255)</f>
        <v/>
      </c>
      <c r="I255" s="18" t="str">
        <f ca="1">IF($A255="","",INT(SUMIFS(Data!$AN$4:$AN$183,Data!$AM$4:$AM$183,$B255,Data!$AL$4:$AL$183,$A255,Data!$AK$4:$AK$183,$C255))+MOD(ROUND(SUMIFS(Data!$AN$4:$AN$183,Data!$AM$4:$AM$183,$B255,Data!$AL$4:$AL$183,$A255,Data!$AK$4:$AK$183,$C255)*3,0),3)/10)</f>
        <v/>
      </c>
      <c r="J255" s="18" t="str">
        <f ca="1">IF($A255="","",SUMIFS(Data!$AQ$4:$AQ$183,Data!$AM$4:$AM$183,$B255,Data!$AL$4:$AL$183,$A255,Data!$AK$4:$AK$183,$C255))</f>
        <v/>
      </c>
      <c r="K255" s="62" t="str">
        <f ca="1">IF($A255="","",IF(SUMIFS(Data!$AN$4:$AN$183,Data!$AM$4:$AM$183,$B255,Data!$AL$4:$AL$183,$A255,Data!$AK$4:$AK$183,$C255)=0,"",J255*3/SUMIFS(Data!$AN$4:$AN$183,Data!$AM$4:$AM$183,$B255,Data!$AL$4:$AL$183,$A255,Data!$AK$4:$AK$183,$C255)))</f>
        <v/>
      </c>
      <c r="L255" s="18" t="str">
        <f ca="1">IF($A255="","",IF(IFERROR(_xlfn.XLOOKUP($C255,Bracket!$F$6:$F$16,Bracket!$K$6:$K$16,""),"")=$B255,1,0))</f>
        <v/>
      </c>
      <c r="M255" s="18" t="str">
        <f ca="1">IF($A255="","",IF(AND(IFERROR(_xlfn.XLOOKUP($C255,Bracket!$F$6:$F$16,Bracket!$K$6:$K$16,""),"")=$B255,LEFT(IFERROR(_xlfn.XLOOKUP($C255,Bracket!$F$6:$F$16,Bracket!$G$6:$G$16,""),""),2)="CG"),1,0))</f>
        <v/>
      </c>
      <c r="N255" s="18" t="str">
        <f ca="1">IF($A255="","",SUMIFS(Data!$X$4:$X$273,Data!$T$4:$T$273,$A255,Data!$U$4:$U$273,$B255,Data!$S$4:$S$273,$C255))</f>
        <v/>
      </c>
      <c r="O255" s="18" t="str">
        <f ca="1">IF($A255="","",SUMIFS(Data!$Z$4:$Z$273,Data!$T$4:$T$273,$A255,Data!$U$4:$U$273,$B255,Data!$S$4:$S$273,$C255))</f>
        <v/>
      </c>
      <c r="P255" s="18" t="str">
        <f ca="1">IF($A255="","",SUMIFS(Data!$AA$4:$AA$273,Data!$T$4:$T$273,$A255,Data!$U$4:$U$273,$B255,Data!$S$4:$S$273,$C255))</f>
        <v/>
      </c>
      <c r="Q255" s="18" t="str">
        <f ca="1">IF($A255="","",SUMIFS(Data!$AD$4:$AD$273,Data!$T$4:$T$273,$A255,Data!$U$4:$U$273,$B255,Data!$S$4:$S$273,$C255))</f>
        <v/>
      </c>
      <c r="R255" s="18" t="str">
        <f ca="1">IF($A255="","",SUMIFS(Data!$AE$4:$AE$273,Data!$T$4:$T$273,$A255,Data!$U$4:$U$273,$B255,Data!$S$4:$S$273,$C255))</f>
        <v/>
      </c>
      <c r="S255" s="18" t="str">
        <f ca="1">IF($A255="","",SUMIFS(Data!$AF$4:$AF$273,Data!$T$4:$T$273,$A255,Data!$U$4:$U$273,$B255,Data!$S$4:$S$273,$C255))</f>
        <v/>
      </c>
      <c r="T255" s="18" t="str">
        <f ca="1">IF($A255="","",SUMIFS(Data!$AG$4:$AG$273,Data!$T$4:$T$273,$A255,Data!$U$4:$U$273,$B255,Data!$S$4:$S$273,$C255))</f>
        <v/>
      </c>
      <c r="U255" s="18" t="str">
        <f ca="1">IF($A255="","",SUMIFS(Data!$AH$4:$AH$273,Data!$T$4:$T$273,$A255,Data!$U$4:$U$273,$B255,Data!$S$4:$S$273,$C255))</f>
        <v/>
      </c>
      <c r="V255" s="18" t="str">
        <f ca="1">IF($A255="","",SUMIFS(Data!$AO$4:$AO$183,Data!$AM$4:$AM$183,$B255,Data!$AL$4:$AL$183,$A255,Data!$AK$4:$AK$183,$C255))</f>
        <v/>
      </c>
      <c r="W255" s="18" t="str">
        <f ca="1">IF($A255="","",SUMIFS(Data!$AP$4:$AP$183,Data!$AM$4:$AM$183,$B255,Data!$AL$4:$AL$183,$A255,Data!$AK$4:$AK$183,$C255))</f>
        <v/>
      </c>
      <c r="X255" s="18" t="str">
        <f ca="1">IF($A255="","",SUMIFS(Data!$AR$4:$AR$183,Data!$AM$4:$AM$183,$B255,Data!$AL$4:$AL$183,$A255,Data!$AK$4:$AK$183,$C255))</f>
        <v/>
      </c>
      <c r="Y255" s="18" t="str">
        <f ca="1">IF($A255="","",SUMIFS(Data!$AS$4:$AS$183,Data!$AM$4:$AM$183,$B255,Data!$AL$4:$AL$183,$A255,Data!$AK$4:$AK$183,$C255))</f>
        <v/>
      </c>
      <c r="Z255" s="18" t="str">
        <f ca="1">IF($A255="","",SUMIFS(Data!$AT$4:$AT$183,Data!$AM$4:$AM$183,$B255,Data!$AL$4:$AL$183,$A255,Data!$AK$4:$AK$183,$C255))</f>
        <v/>
      </c>
      <c r="AA255" s="18" t="str">
        <f ca="1">IF($A255="","",SUMIFS(Data!$AW$4:$AW$183,Data!$AM$4:$AM$183,$B255,Data!$AL$4:$AL$183,$A255,Data!$AK$4:$AK$183,$C255))</f>
        <v/>
      </c>
      <c r="AB255" s="18" t="str">
        <f ca="1">IF($A255="","",SUMIFS(Data!$AX$4:$AX$183,Data!$AM$4:$AM$183,$B255,Data!$AL$4:$AL$183,$A255,Data!$AK$4:$AK$183,$C255))</f>
        <v/>
      </c>
      <c r="AC255" s="18" t="str">
        <f ca="1">IF($A255="","",SUMIFS(Data!$AY$4:$AY$183,Data!$AM$4:$AM$183,$B255,Data!$AL$4:$AL$183,$A255,Data!$AK$4:$AK$183,$C255))</f>
        <v/>
      </c>
      <c r="AD255" s="18" t="str">
        <f t="shared" ca="1" si="7"/>
        <v/>
      </c>
      <c r="AE255" s="18" t="str">
        <f ca="1">IF($A255="","",SUMIFS(Data!$AJ$4:$AJ$183,Data!$AM$4:$AM$183,$B255,Data!$AL$4:$AL$183,$A255,Data!$AK$4:$AK$183,$C255))</f>
        <v/>
      </c>
    </row>
    <row r="256" spans="1:31">
      <c r="A256" s="18" t="str">
        <f ca="1">IF(Data!T256="","",Data!T256)</f>
        <v/>
      </c>
      <c r="B256" s="18" t="str">
        <f ca="1">IF(Data!U256="","",Data!U256)</f>
        <v/>
      </c>
      <c r="C256" s="18" t="str">
        <f ca="1">IF(Data!S256="","",Data!S256)</f>
        <v/>
      </c>
      <c r="D256" s="18" t="str">
        <f ca="1">IF($A256="","",Data!W256)</f>
        <v/>
      </c>
      <c r="E256" s="18" t="str">
        <f ca="1">IF($A256="","",Data!Y256)</f>
        <v/>
      </c>
      <c r="F256" s="61" t="str">
        <f t="shared" ca="1" si="6"/>
        <v/>
      </c>
      <c r="G256" s="18" t="str">
        <f ca="1">IF($A256="","",Data!AB256)</f>
        <v/>
      </c>
      <c r="H256" s="18" t="str">
        <f ca="1">IF($A256="","",Data!AC256)</f>
        <v/>
      </c>
      <c r="I256" s="18" t="str">
        <f ca="1">IF($A256="","",INT(SUMIFS(Data!$AN$4:$AN$183,Data!$AM$4:$AM$183,$B256,Data!$AL$4:$AL$183,$A256,Data!$AK$4:$AK$183,$C256))+MOD(ROUND(SUMIFS(Data!$AN$4:$AN$183,Data!$AM$4:$AM$183,$B256,Data!$AL$4:$AL$183,$A256,Data!$AK$4:$AK$183,$C256)*3,0),3)/10)</f>
        <v/>
      </c>
      <c r="J256" s="18" t="str">
        <f ca="1">IF($A256="","",SUMIFS(Data!$AQ$4:$AQ$183,Data!$AM$4:$AM$183,$B256,Data!$AL$4:$AL$183,$A256,Data!$AK$4:$AK$183,$C256))</f>
        <v/>
      </c>
      <c r="K256" s="62" t="str">
        <f ca="1">IF($A256="","",IF(SUMIFS(Data!$AN$4:$AN$183,Data!$AM$4:$AM$183,$B256,Data!$AL$4:$AL$183,$A256,Data!$AK$4:$AK$183,$C256)=0,"",J256*3/SUMIFS(Data!$AN$4:$AN$183,Data!$AM$4:$AM$183,$B256,Data!$AL$4:$AL$183,$A256,Data!$AK$4:$AK$183,$C256)))</f>
        <v/>
      </c>
      <c r="L256" s="18" t="str">
        <f ca="1">IF($A256="","",IF(IFERROR(_xlfn.XLOOKUP($C256,Bracket!$F$6:$F$16,Bracket!$K$6:$K$16,""),"")=$B256,1,0))</f>
        <v/>
      </c>
      <c r="M256" s="18" t="str">
        <f ca="1">IF($A256="","",IF(AND(IFERROR(_xlfn.XLOOKUP($C256,Bracket!$F$6:$F$16,Bracket!$K$6:$K$16,""),"")=$B256,LEFT(IFERROR(_xlfn.XLOOKUP($C256,Bracket!$F$6:$F$16,Bracket!$G$6:$G$16,""),""),2)="CG"),1,0))</f>
        <v/>
      </c>
      <c r="N256" s="18" t="str">
        <f ca="1">IF($A256="","",SUMIFS(Data!$X$4:$X$273,Data!$T$4:$T$273,$A256,Data!$U$4:$U$273,$B256,Data!$S$4:$S$273,$C256))</f>
        <v/>
      </c>
      <c r="O256" s="18" t="str">
        <f ca="1">IF($A256="","",SUMIFS(Data!$Z$4:$Z$273,Data!$T$4:$T$273,$A256,Data!$U$4:$U$273,$B256,Data!$S$4:$S$273,$C256))</f>
        <v/>
      </c>
      <c r="P256" s="18" t="str">
        <f ca="1">IF($A256="","",SUMIFS(Data!$AA$4:$AA$273,Data!$T$4:$T$273,$A256,Data!$U$4:$U$273,$B256,Data!$S$4:$S$273,$C256))</f>
        <v/>
      </c>
      <c r="Q256" s="18" t="str">
        <f ca="1">IF($A256="","",SUMIFS(Data!$AD$4:$AD$273,Data!$T$4:$T$273,$A256,Data!$U$4:$U$273,$B256,Data!$S$4:$S$273,$C256))</f>
        <v/>
      </c>
      <c r="R256" s="18" t="str">
        <f ca="1">IF($A256="","",SUMIFS(Data!$AE$4:$AE$273,Data!$T$4:$T$273,$A256,Data!$U$4:$U$273,$B256,Data!$S$4:$S$273,$C256))</f>
        <v/>
      </c>
      <c r="S256" s="18" t="str">
        <f ca="1">IF($A256="","",SUMIFS(Data!$AF$4:$AF$273,Data!$T$4:$T$273,$A256,Data!$U$4:$U$273,$B256,Data!$S$4:$S$273,$C256))</f>
        <v/>
      </c>
      <c r="T256" s="18" t="str">
        <f ca="1">IF($A256="","",SUMIFS(Data!$AG$4:$AG$273,Data!$T$4:$T$273,$A256,Data!$U$4:$U$273,$B256,Data!$S$4:$S$273,$C256))</f>
        <v/>
      </c>
      <c r="U256" s="18" t="str">
        <f ca="1">IF($A256="","",SUMIFS(Data!$AH$4:$AH$273,Data!$T$4:$T$273,$A256,Data!$U$4:$U$273,$B256,Data!$S$4:$S$273,$C256))</f>
        <v/>
      </c>
      <c r="V256" s="18" t="str">
        <f ca="1">IF($A256="","",SUMIFS(Data!$AO$4:$AO$183,Data!$AM$4:$AM$183,$B256,Data!$AL$4:$AL$183,$A256,Data!$AK$4:$AK$183,$C256))</f>
        <v/>
      </c>
      <c r="W256" s="18" t="str">
        <f ca="1">IF($A256="","",SUMIFS(Data!$AP$4:$AP$183,Data!$AM$4:$AM$183,$B256,Data!$AL$4:$AL$183,$A256,Data!$AK$4:$AK$183,$C256))</f>
        <v/>
      </c>
      <c r="X256" s="18" t="str">
        <f ca="1">IF($A256="","",SUMIFS(Data!$AR$4:$AR$183,Data!$AM$4:$AM$183,$B256,Data!$AL$4:$AL$183,$A256,Data!$AK$4:$AK$183,$C256))</f>
        <v/>
      </c>
      <c r="Y256" s="18" t="str">
        <f ca="1">IF($A256="","",SUMIFS(Data!$AS$4:$AS$183,Data!$AM$4:$AM$183,$B256,Data!$AL$4:$AL$183,$A256,Data!$AK$4:$AK$183,$C256))</f>
        <v/>
      </c>
      <c r="Z256" s="18" t="str">
        <f ca="1">IF($A256="","",SUMIFS(Data!$AT$4:$AT$183,Data!$AM$4:$AM$183,$B256,Data!$AL$4:$AL$183,$A256,Data!$AK$4:$AK$183,$C256))</f>
        <v/>
      </c>
      <c r="AA256" s="18" t="str">
        <f ca="1">IF($A256="","",SUMIFS(Data!$AW$4:$AW$183,Data!$AM$4:$AM$183,$B256,Data!$AL$4:$AL$183,$A256,Data!$AK$4:$AK$183,$C256))</f>
        <v/>
      </c>
      <c r="AB256" s="18" t="str">
        <f ca="1">IF($A256="","",SUMIFS(Data!$AX$4:$AX$183,Data!$AM$4:$AM$183,$B256,Data!$AL$4:$AL$183,$A256,Data!$AK$4:$AK$183,$C256))</f>
        <v/>
      </c>
      <c r="AC256" s="18" t="str">
        <f ca="1">IF($A256="","",SUMIFS(Data!$AY$4:$AY$183,Data!$AM$4:$AM$183,$B256,Data!$AL$4:$AL$183,$A256,Data!$AK$4:$AK$183,$C256))</f>
        <v/>
      </c>
      <c r="AD256" s="18" t="str">
        <f t="shared" ca="1" si="7"/>
        <v/>
      </c>
      <c r="AE256" s="18" t="str">
        <f ca="1">IF($A256="","",SUMIFS(Data!$AJ$4:$AJ$183,Data!$AM$4:$AM$183,$B256,Data!$AL$4:$AL$183,$A256,Data!$AK$4:$AK$183,$C256))</f>
        <v/>
      </c>
    </row>
    <row r="257" spans="1:31">
      <c r="A257" s="18" t="str">
        <f ca="1">IF(Data!T257="","",Data!T257)</f>
        <v/>
      </c>
      <c r="B257" s="18" t="str">
        <f ca="1">IF(Data!U257="","",Data!U257)</f>
        <v/>
      </c>
      <c r="C257" s="18" t="str">
        <f ca="1">IF(Data!S257="","",Data!S257)</f>
        <v/>
      </c>
      <c r="D257" s="18" t="str">
        <f ca="1">IF($A257="","",Data!W257)</f>
        <v/>
      </c>
      <c r="E257" s="18" t="str">
        <f ca="1">IF($A257="","",Data!Y257)</f>
        <v/>
      </c>
      <c r="F257" s="61" t="str">
        <f t="shared" ca="1" si="6"/>
        <v/>
      </c>
      <c r="G257" s="18" t="str">
        <f ca="1">IF($A257="","",Data!AB257)</f>
        <v/>
      </c>
      <c r="H257" s="18" t="str">
        <f ca="1">IF($A257="","",Data!AC257)</f>
        <v/>
      </c>
      <c r="I257" s="18" t="str">
        <f ca="1">IF($A257="","",INT(SUMIFS(Data!$AN$4:$AN$183,Data!$AM$4:$AM$183,$B257,Data!$AL$4:$AL$183,$A257,Data!$AK$4:$AK$183,$C257))+MOD(ROUND(SUMIFS(Data!$AN$4:$AN$183,Data!$AM$4:$AM$183,$B257,Data!$AL$4:$AL$183,$A257,Data!$AK$4:$AK$183,$C257)*3,0),3)/10)</f>
        <v/>
      </c>
      <c r="J257" s="18" t="str">
        <f ca="1">IF($A257="","",SUMIFS(Data!$AQ$4:$AQ$183,Data!$AM$4:$AM$183,$B257,Data!$AL$4:$AL$183,$A257,Data!$AK$4:$AK$183,$C257))</f>
        <v/>
      </c>
      <c r="K257" s="62" t="str">
        <f ca="1">IF($A257="","",IF(SUMIFS(Data!$AN$4:$AN$183,Data!$AM$4:$AM$183,$B257,Data!$AL$4:$AL$183,$A257,Data!$AK$4:$AK$183,$C257)=0,"",J257*3/SUMIFS(Data!$AN$4:$AN$183,Data!$AM$4:$AM$183,$B257,Data!$AL$4:$AL$183,$A257,Data!$AK$4:$AK$183,$C257)))</f>
        <v/>
      </c>
      <c r="L257" s="18" t="str">
        <f ca="1">IF($A257="","",IF(IFERROR(_xlfn.XLOOKUP($C257,Bracket!$F$6:$F$16,Bracket!$K$6:$K$16,""),"")=$B257,1,0))</f>
        <v/>
      </c>
      <c r="M257" s="18" t="str">
        <f ca="1">IF($A257="","",IF(AND(IFERROR(_xlfn.XLOOKUP($C257,Bracket!$F$6:$F$16,Bracket!$K$6:$K$16,""),"")=$B257,LEFT(IFERROR(_xlfn.XLOOKUP($C257,Bracket!$F$6:$F$16,Bracket!$G$6:$G$16,""),""),2)="CG"),1,0))</f>
        <v/>
      </c>
      <c r="N257" s="18" t="str">
        <f ca="1">IF($A257="","",SUMIFS(Data!$X$4:$X$273,Data!$T$4:$T$273,$A257,Data!$U$4:$U$273,$B257,Data!$S$4:$S$273,$C257))</f>
        <v/>
      </c>
      <c r="O257" s="18" t="str">
        <f ca="1">IF($A257="","",SUMIFS(Data!$Z$4:$Z$273,Data!$T$4:$T$273,$A257,Data!$U$4:$U$273,$B257,Data!$S$4:$S$273,$C257))</f>
        <v/>
      </c>
      <c r="P257" s="18" t="str">
        <f ca="1">IF($A257="","",SUMIFS(Data!$AA$4:$AA$273,Data!$T$4:$T$273,$A257,Data!$U$4:$U$273,$B257,Data!$S$4:$S$273,$C257))</f>
        <v/>
      </c>
      <c r="Q257" s="18" t="str">
        <f ca="1">IF($A257="","",SUMIFS(Data!$AD$4:$AD$273,Data!$T$4:$T$273,$A257,Data!$U$4:$U$273,$B257,Data!$S$4:$S$273,$C257))</f>
        <v/>
      </c>
      <c r="R257" s="18" t="str">
        <f ca="1">IF($A257="","",SUMIFS(Data!$AE$4:$AE$273,Data!$T$4:$T$273,$A257,Data!$U$4:$U$273,$B257,Data!$S$4:$S$273,$C257))</f>
        <v/>
      </c>
      <c r="S257" s="18" t="str">
        <f ca="1">IF($A257="","",SUMIFS(Data!$AF$4:$AF$273,Data!$T$4:$T$273,$A257,Data!$U$4:$U$273,$B257,Data!$S$4:$S$273,$C257))</f>
        <v/>
      </c>
      <c r="T257" s="18" t="str">
        <f ca="1">IF($A257="","",SUMIFS(Data!$AG$4:$AG$273,Data!$T$4:$T$273,$A257,Data!$U$4:$U$273,$B257,Data!$S$4:$S$273,$C257))</f>
        <v/>
      </c>
      <c r="U257" s="18" t="str">
        <f ca="1">IF($A257="","",SUMIFS(Data!$AH$4:$AH$273,Data!$T$4:$T$273,$A257,Data!$U$4:$U$273,$B257,Data!$S$4:$S$273,$C257))</f>
        <v/>
      </c>
      <c r="V257" s="18" t="str">
        <f ca="1">IF($A257="","",SUMIFS(Data!$AO$4:$AO$183,Data!$AM$4:$AM$183,$B257,Data!$AL$4:$AL$183,$A257,Data!$AK$4:$AK$183,$C257))</f>
        <v/>
      </c>
      <c r="W257" s="18" t="str">
        <f ca="1">IF($A257="","",SUMIFS(Data!$AP$4:$AP$183,Data!$AM$4:$AM$183,$B257,Data!$AL$4:$AL$183,$A257,Data!$AK$4:$AK$183,$C257))</f>
        <v/>
      </c>
      <c r="X257" s="18" t="str">
        <f ca="1">IF($A257="","",SUMIFS(Data!$AR$4:$AR$183,Data!$AM$4:$AM$183,$B257,Data!$AL$4:$AL$183,$A257,Data!$AK$4:$AK$183,$C257))</f>
        <v/>
      </c>
      <c r="Y257" s="18" t="str">
        <f ca="1">IF($A257="","",SUMIFS(Data!$AS$4:$AS$183,Data!$AM$4:$AM$183,$B257,Data!$AL$4:$AL$183,$A257,Data!$AK$4:$AK$183,$C257))</f>
        <v/>
      </c>
      <c r="Z257" s="18" t="str">
        <f ca="1">IF($A257="","",SUMIFS(Data!$AT$4:$AT$183,Data!$AM$4:$AM$183,$B257,Data!$AL$4:$AL$183,$A257,Data!$AK$4:$AK$183,$C257))</f>
        <v/>
      </c>
      <c r="AA257" s="18" t="str">
        <f ca="1">IF($A257="","",SUMIFS(Data!$AW$4:$AW$183,Data!$AM$4:$AM$183,$B257,Data!$AL$4:$AL$183,$A257,Data!$AK$4:$AK$183,$C257))</f>
        <v/>
      </c>
      <c r="AB257" s="18" t="str">
        <f ca="1">IF($A257="","",SUMIFS(Data!$AX$4:$AX$183,Data!$AM$4:$AM$183,$B257,Data!$AL$4:$AL$183,$A257,Data!$AK$4:$AK$183,$C257))</f>
        <v/>
      </c>
      <c r="AC257" s="18" t="str">
        <f ca="1">IF($A257="","",SUMIFS(Data!$AY$4:$AY$183,Data!$AM$4:$AM$183,$B257,Data!$AL$4:$AL$183,$A257,Data!$AK$4:$AK$183,$C257))</f>
        <v/>
      </c>
      <c r="AD257" s="18" t="str">
        <f t="shared" ca="1" si="7"/>
        <v/>
      </c>
      <c r="AE257" s="18" t="str">
        <f ca="1">IF($A257="","",SUMIFS(Data!$AJ$4:$AJ$183,Data!$AM$4:$AM$183,$B257,Data!$AL$4:$AL$183,$A257,Data!$AK$4:$AK$183,$C257))</f>
        <v/>
      </c>
    </row>
    <row r="258" spans="1:31">
      <c r="A258" s="18" t="str">
        <f ca="1">IF(Data!T258="","",Data!T258)</f>
        <v/>
      </c>
      <c r="B258" s="18" t="str">
        <f ca="1">IF(Data!U258="","",Data!U258)</f>
        <v/>
      </c>
      <c r="C258" s="18" t="str">
        <f ca="1">IF(Data!S258="","",Data!S258)</f>
        <v/>
      </c>
      <c r="D258" s="18" t="str">
        <f ca="1">IF($A258="","",Data!W258)</f>
        <v/>
      </c>
      <c r="E258" s="18" t="str">
        <f ca="1">IF($A258="","",Data!Y258)</f>
        <v/>
      </c>
      <c r="F258" s="61" t="str">
        <f t="shared" ca="1" si="6"/>
        <v/>
      </c>
      <c r="G258" s="18" t="str">
        <f ca="1">IF($A258="","",Data!AB258)</f>
        <v/>
      </c>
      <c r="H258" s="18" t="str">
        <f ca="1">IF($A258="","",Data!AC258)</f>
        <v/>
      </c>
      <c r="I258" s="18" t="str">
        <f ca="1">IF($A258="","",INT(SUMIFS(Data!$AN$4:$AN$183,Data!$AM$4:$AM$183,$B258,Data!$AL$4:$AL$183,$A258,Data!$AK$4:$AK$183,$C258))+MOD(ROUND(SUMIFS(Data!$AN$4:$AN$183,Data!$AM$4:$AM$183,$B258,Data!$AL$4:$AL$183,$A258,Data!$AK$4:$AK$183,$C258)*3,0),3)/10)</f>
        <v/>
      </c>
      <c r="J258" s="18" t="str">
        <f ca="1">IF($A258="","",SUMIFS(Data!$AQ$4:$AQ$183,Data!$AM$4:$AM$183,$B258,Data!$AL$4:$AL$183,$A258,Data!$AK$4:$AK$183,$C258))</f>
        <v/>
      </c>
      <c r="K258" s="62" t="str">
        <f ca="1">IF($A258="","",IF(SUMIFS(Data!$AN$4:$AN$183,Data!$AM$4:$AM$183,$B258,Data!$AL$4:$AL$183,$A258,Data!$AK$4:$AK$183,$C258)=0,"",J258*3/SUMIFS(Data!$AN$4:$AN$183,Data!$AM$4:$AM$183,$B258,Data!$AL$4:$AL$183,$A258,Data!$AK$4:$AK$183,$C258)))</f>
        <v/>
      </c>
      <c r="L258" s="18" t="str">
        <f ca="1">IF($A258="","",IF(IFERROR(_xlfn.XLOOKUP($C258,Bracket!$F$6:$F$16,Bracket!$K$6:$K$16,""),"")=$B258,1,0))</f>
        <v/>
      </c>
      <c r="M258" s="18" t="str">
        <f ca="1">IF($A258="","",IF(AND(IFERROR(_xlfn.XLOOKUP($C258,Bracket!$F$6:$F$16,Bracket!$K$6:$K$16,""),"")=$B258,LEFT(IFERROR(_xlfn.XLOOKUP($C258,Bracket!$F$6:$F$16,Bracket!$G$6:$G$16,""),""),2)="CG"),1,0))</f>
        <v/>
      </c>
      <c r="N258" s="18" t="str">
        <f ca="1">IF($A258="","",SUMIFS(Data!$X$4:$X$273,Data!$T$4:$T$273,$A258,Data!$U$4:$U$273,$B258,Data!$S$4:$S$273,$C258))</f>
        <v/>
      </c>
      <c r="O258" s="18" t="str">
        <f ca="1">IF($A258="","",SUMIFS(Data!$Z$4:$Z$273,Data!$T$4:$T$273,$A258,Data!$U$4:$U$273,$B258,Data!$S$4:$S$273,$C258))</f>
        <v/>
      </c>
      <c r="P258" s="18" t="str">
        <f ca="1">IF($A258="","",SUMIFS(Data!$AA$4:$AA$273,Data!$T$4:$T$273,$A258,Data!$U$4:$U$273,$B258,Data!$S$4:$S$273,$C258))</f>
        <v/>
      </c>
      <c r="Q258" s="18" t="str">
        <f ca="1">IF($A258="","",SUMIFS(Data!$AD$4:$AD$273,Data!$T$4:$T$273,$A258,Data!$U$4:$U$273,$B258,Data!$S$4:$S$273,$C258))</f>
        <v/>
      </c>
      <c r="R258" s="18" t="str">
        <f ca="1">IF($A258="","",SUMIFS(Data!$AE$4:$AE$273,Data!$T$4:$T$273,$A258,Data!$U$4:$U$273,$B258,Data!$S$4:$S$273,$C258))</f>
        <v/>
      </c>
      <c r="S258" s="18" t="str">
        <f ca="1">IF($A258="","",SUMIFS(Data!$AF$4:$AF$273,Data!$T$4:$T$273,$A258,Data!$U$4:$U$273,$B258,Data!$S$4:$S$273,$C258))</f>
        <v/>
      </c>
      <c r="T258" s="18" t="str">
        <f ca="1">IF($A258="","",SUMIFS(Data!$AG$4:$AG$273,Data!$T$4:$T$273,$A258,Data!$U$4:$U$273,$B258,Data!$S$4:$S$273,$C258))</f>
        <v/>
      </c>
      <c r="U258" s="18" t="str">
        <f ca="1">IF($A258="","",SUMIFS(Data!$AH$4:$AH$273,Data!$T$4:$T$273,$A258,Data!$U$4:$U$273,$B258,Data!$S$4:$S$273,$C258))</f>
        <v/>
      </c>
      <c r="V258" s="18" t="str">
        <f ca="1">IF($A258="","",SUMIFS(Data!$AO$4:$AO$183,Data!$AM$4:$AM$183,$B258,Data!$AL$4:$AL$183,$A258,Data!$AK$4:$AK$183,$C258))</f>
        <v/>
      </c>
      <c r="W258" s="18" t="str">
        <f ca="1">IF($A258="","",SUMIFS(Data!$AP$4:$AP$183,Data!$AM$4:$AM$183,$B258,Data!$AL$4:$AL$183,$A258,Data!$AK$4:$AK$183,$C258))</f>
        <v/>
      </c>
      <c r="X258" s="18" t="str">
        <f ca="1">IF($A258="","",SUMIFS(Data!$AR$4:$AR$183,Data!$AM$4:$AM$183,$B258,Data!$AL$4:$AL$183,$A258,Data!$AK$4:$AK$183,$C258))</f>
        <v/>
      </c>
      <c r="Y258" s="18" t="str">
        <f ca="1">IF($A258="","",SUMIFS(Data!$AS$4:$AS$183,Data!$AM$4:$AM$183,$B258,Data!$AL$4:$AL$183,$A258,Data!$AK$4:$AK$183,$C258))</f>
        <v/>
      </c>
      <c r="Z258" s="18" t="str">
        <f ca="1">IF($A258="","",SUMIFS(Data!$AT$4:$AT$183,Data!$AM$4:$AM$183,$B258,Data!$AL$4:$AL$183,$A258,Data!$AK$4:$AK$183,$C258))</f>
        <v/>
      </c>
      <c r="AA258" s="18" t="str">
        <f ca="1">IF($A258="","",SUMIFS(Data!$AW$4:$AW$183,Data!$AM$4:$AM$183,$B258,Data!$AL$4:$AL$183,$A258,Data!$AK$4:$AK$183,$C258))</f>
        <v/>
      </c>
      <c r="AB258" s="18" t="str">
        <f ca="1">IF($A258="","",SUMIFS(Data!$AX$4:$AX$183,Data!$AM$4:$AM$183,$B258,Data!$AL$4:$AL$183,$A258,Data!$AK$4:$AK$183,$C258))</f>
        <v/>
      </c>
      <c r="AC258" s="18" t="str">
        <f ca="1">IF($A258="","",SUMIFS(Data!$AY$4:$AY$183,Data!$AM$4:$AM$183,$B258,Data!$AL$4:$AL$183,$A258,Data!$AK$4:$AK$183,$C258))</f>
        <v/>
      </c>
      <c r="AD258" s="18" t="str">
        <f t="shared" ca="1" si="7"/>
        <v/>
      </c>
      <c r="AE258" s="18" t="str">
        <f ca="1">IF($A258="","",SUMIFS(Data!$AJ$4:$AJ$183,Data!$AM$4:$AM$183,$B258,Data!$AL$4:$AL$183,$A258,Data!$AK$4:$AK$183,$C258))</f>
        <v/>
      </c>
    </row>
    <row r="259" spans="1:31">
      <c r="A259" s="18" t="str">
        <f ca="1">IF(Data!T259="","",Data!T259)</f>
        <v/>
      </c>
      <c r="B259" s="18" t="str">
        <f ca="1">IF(Data!U259="","",Data!U259)</f>
        <v/>
      </c>
      <c r="C259" s="18" t="str">
        <f ca="1">IF(Data!S259="","",Data!S259)</f>
        <v/>
      </c>
      <c r="D259" s="18" t="str">
        <f ca="1">IF($A259="","",Data!W259)</f>
        <v/>
      </c>
      <c r="E259" s="18" t="str">
        <f ca="1">IF($A259="","",Data!Y259)</f>
        <v/>
      </c>
      <c r="F259" s="61" t="str">
        <f t="shared" ca="1" si="6"/>
        <v/>
      </c>
      <c r="G259" s="18" t="str">
        <f ca="1">IF($A259="","",Data!AB259)</f>
        <v/>
      </c>
      <c r="H259" s="18" t="str">
        <f ca="1">IF($A259="","",Data!AC259)</f>
        <v/>
      </c>
      <c r="I259" s="18" t="str">
        <f ca="1">IF($A259="","",INT(SUMIFS(Data!$AN$4:$AN$183,Data!$AM$4:$AM$183,$B259,Data!$AL$4:$AL$183,$A259,Data!$AK$4:$AK$183,$C259))+MOD(ROUND(SUMIFS(Data!$AN$4:$AN$183,Data!$AM$4:$AM$183,$B259,Data!$AL$4:$AL$183,$A259,Data!$AK$4:$AK$183,$C259)*3,0),3)/10)</f>
        <v/>
      </c>
      <c r="J259" s="18" t="str">
        <f ca="1">IF($A259="","",SUMIFS(Data!$AQ$4:$AQ$183,Data!$AM$4:$AM$183,$B259,Data!$AL$4:$AL$183,$A259,Data!$AK$4:$AK$183,$C259))</f>
        <v/>
      </c>
      <c r="K259" s="62" t="str">
        <f ca="1">IF($A259="","",IF(SUMIFS(Data!$AN$4:$AN$183,Data!$AM$4:$AM$183,$B259,Data!$AL$4:$AL$183,$A259,Data!$AK$4:$AK$183,$C259)=0,"",J259*3/SUMIFS(Data!$AN$4:$AN$183,Data!$AM$4:$AM$183,$B259,Data!$AL$4:$AL$183,$A259,Data!$AK$4:$AK$183,$C259)))</f>
        <v/>
      </c>
      <c r="L259" s="18" t="str">
        <f ca="1">IF($A259="","",IF(IFERROR(_xlfn.XLOOKUP($C259,Bracket!$F$6:$F$16,Bracket!$K$6:$K$16,""),"")=$B259,1,0))</f>
        <v/>
      </c>
      <c r="M259" s="18" t="str">
        <f ca="1">IF($A259="","",IF(AND(IFERROR(_xlfn.XLOOKUP($C259,Bracket!$F$6:$F$16,Bracket!$K$6:$K$16,""),"")=$B259,LEFT(IFERROR(_xlfn.XLOOKUP($C259,Bracket!$F$6:$F$16,Bracket!$G$6:$G$16,""),""),2)="CG"),1,0))</f>
        <v/>
      </c>
      <c r="N259" s="18" t="str">
        <f ca="1">IF($A259="","",SUMIFS(Data!$X$4:$X$273,Data!$T$4:$T$273,$A259,Data!$U$4:$U$273,$B259,Data!$S$4:$S$273,$C259))</f>
        <v/>
      </c>
      <c r="O259" s="18" t="str">
        <f ca="1">IF($A259="","",SUMIFS(Data!$Z$4:$Z$273,Data!$T$4:$T$273,$A259,Data!$U$4:$U$273,$B259,Data!$S$4:$S$273,$C259))</f>
        <v/>
      </c>
      <c r="P259" s="18" t="str">
        <f ca="1">IF($A259="","",SUMIFS(Data!$AA$4:$AA$273,Data!$T$4:$T$273,$A259,Data!$U$4:$U$273,$B259,Data!$S$4:$S$273,$C259))</f>
        <v/>
      </c>
      <c r="Q259" s="18" t="str">
        <f ca="1">IF($A259="","",SUMIFS(Data!$AD$4:$AD$273,Data!$T$4:$T$273,$A259,Data!$U$4:$U$273,$B259,Data!$S$4:$S$273,$C259))</f>
        <v/>
      </c>
      <c r="R259" s="18" t="str">
        <f ca="1">IF($A259="","",SUMIFS(Data!$AE$4:$AE$273,Data!$T$4:$T$273,$A259,Data!$U$4:$U$273,$B259,Data!$S$4:$S$273,$C259))</f>
        <v/>
      </c>
      <c r="S259" s="18" t="str">
        <f ca="1">IF($A259="","",SUMIFS(Data!$AF$4:$AF$273,Data!$T$4:$T$273,$A259,Data!$U$4:$U$273,$B259,Data!$S$4:$S$273,$C259))</f>
        <v/>
      </c>
      <c r="T259" s="18" t="str">
        <f ca="1">IF($A259="","",SUMIFS(Data!$AG$4:$AG$273,Data!$T$4:$T$273,$A259,Data!$U$4:$U$273,$B259,Data!$S$4:$S$273,$C259))</f>
        <v/>
      </c>
      <c r="U259" s="18" t="str">
        <f ca="1">IF($A259="","",SUMIFS(Data!$AH$4:$AH$273,Data!$T$4:$T$273,$A259,Data!$U$4:$U$273,$B259,Data!$S$4:$S$273,$C259))</f>
        <v/>
      </c>
      <c r="V259" s="18" t="str">
        <f ca="1">IF($A259="","",SUMIFS(Data!$AO$4:$AO$183,Data!$AM$4:$AM$183,$B259,Data!$AL$4:$AL$183,$A259,Data!$AK$4:$AK$183,$C259))</f>
        <v/>
      </c>
      <c r="W259" s="18" t="str">
        <f ca="1">IF($A259="","",SUMIFS(Data!$AP$4:$AP$183,Data!$AM$4:$AM$183,$B259,Data!$AL$4:$AL$183,$A259,Data!$AK$4:$AK$183,$C259))</f>
        <v/>
      </c>
      <c r="X259" s="18" t="str">
        <f ca="1">IF($A259="","",SUMIFS(Data!$AR$4:$AR$183,Data!$AM$4:$AM$183,$B259,Data!$AL$4:$AL$183,$A259,Data!$AK$4:$AK$183,$C259))</f>
        <v/>
      </c>
      <c r="Y259" s="18" t="str">
        <f ca="1">IF($A259="","",SUMIFS(Data!$AS$4:$AS$183,Data!$AM$4:$AM$183,$B259,Data!$AL$4:$AL$183,$A259,Data!$AK$4:$AK$183,$C259))</f>
        <v/>
      </c>
      <c r="Z259" s="18" t="str">
        <f ca="1">IF($A259="","",SUMIFS(Data!$AT$4:$AT$183,Data!$AM$4:$AM$183,$B259,Data!$AL$4:$AL$183,$A259,Data!$AK$4:$AK$183,$C259))</f>
        <v/>
      </c>
      <c r="AA259" s="18" t="str">
        <f ca="1">IF($A259="","",SUMIFS(Data!$AW$4:$AW$183,Data!$AM$4:$AM$183,$B259,Data!$AL$4:$AL$183,$A259,Data!$AK$4:$AK$183,$C259))</f>
        <v/>
      </c>
      <c r="AB259" s="18" t="str">
        <f ca="1">IF($A259="","",SUMIFS(Data!$AX$4:$AX$183,Data!$AM$4:$AM$183,$B259,Data!$AL$4:$AL$183,$A259,Data!$AK$4:$AK$183,$C259))</f>
        <v/>
      </c>
      <c r="AC259" s="18" t="str">
        <f ca="1">IF($A259="","",SUMIFS(Data!$AY$4:$AY$183,Data!$AM$4:$AM$183,$B259,Data!$AL$4:$AL$183,$A259,Data!$AK$4:$AK$183,$C259))</f>
        <v/>
      </c>
      <c r="AD259" s="18" t="str">
        <f t="shared" ca="1" si="7"/>
        <v/>
      </c>
      <c r="AE259" s="18" t="str">
        <f ca="1">IF($A259="","",SUMIFS(Data!$AJ$4:$AJ$183,Data!$AM$4:$AM$183,$B259,Data!$AL$4:$AL$183,$A259,Data!$AK$4:$AK$183,$C259))</f>
        <v/>
      </c>
    </row>
    <row r="260" spans="1:31">
      <c r="A260" s="18" t="str">
        <f ca="1">IF(Data!T260="","",Data!T260)</f>
        <v/>
      </c>
      <c r="B260" s="18" t="str">
        <f ca="1">IF(Data!U260="","",Data!U260)</f>
        <v/>
      </c>
      <c r="C260" s="18" t="str">
        <f ca="1">IF(Data!S260="","",Data!S260)</f>
        <v/>
      </c>
      <c r="D260" s="18" t="str">
        <f ca="1">IF($A260="","",Data!W260)</f>
        <v/>
      </c>
      <c r="E260" s="18" t="str">
        <f ca="1">IF($A260="","",Data!Y260)</f>
        <v/>
      </c>
      <c r="F260" s="61" t="str">
        <f t="shared" ca="1" si="6"/>
        <v/>
      </c>
      <c r="G260" s="18" t="str">
        <f ca="1">IF($A260="","",Data!AB260)</f>
        <v/>
      </c>
      <c r="H260" s="18" t="str">
        <f ca="1">IF($A260="","",Data!AC260)</f>
        <v/>
      </c>
      <c r="I260" s="18" t="str">
        <f ca="1">IF($A260="","",INT(SUMIFS(Data!$AN$4:$AN$183,Data!$AM$4:$AM$183,$B260,Data!$AL$4:$AL$183,$A260,Data!$AK$4:$AK$183,$C260))+MOD(ROUND(SUMIFS(Data!$AN$4:$AN$183,Data!$AM$4:$AM$183,$B260,Data!$AL$4:$AL$183,$A260,Data!$AK$4:$AK$183,$C260)*3,0),3)/10)</f>
        <v/>
      </c>
      <c r="J260" s="18" t="str">
        <f ca="1">IF($A260="","",SUMIFS(Data!$AQ$4:$AQ$183,Data!$AM$4:$AM$183,$B260,Data!$AL$4:$AL$183,$A260,Data!$AK$4:$AK$183,$C260))</f>
        <v/>
      </c>
      <c r="K260" s="62" t="str">
        <f ca="1">IF($A260="","",IF(SUMIFS(Data!$AN$4:$AN$183,Data!$AM$4:$AM$183,$B260,Data!$AL$4:$AL$183,$A260,Data!$AK$4:$AK$183,$C260)=0,"",J260*3/SUMIFS(Data!$AN$4:$AN$183,Data!$AM$4:$AM$183,$B260,Data!$AL$4:$AL$183,$A260,Data!$AK$4:$AK$183,$C260)))</f>
        <v/>
      </c>
      <c r="L260" s="18" t="str">
        <f ca="1">IF($A260="","",IF(IFERROR(_xlfn.XLOOKUP($C260,Bracket!$F$6:$F$16,Bracket!$K$6:$K$16,""),"")=$B260,1,0))</f>
        <v/>
      </c>
      <c r="M260" s="18" t="str">
        <f ca="1">IF($A260="","",IF(AND(IFERROR(_xlfn.XLOOKUP($C260,Bracket!$F$6:$F$16,Bracket!$K$6:$K$16,""),"")=$B260,LEFT(IFERROR(_xlfn.XLOOKUP($C260,Bracket!$F$6:$F$16,Bracket!$G$6:$G$16,""),""),2)="CG"),1,0))</f>
        <v/>
      </c>
      <c r="N260" s="18" t="str">
        <f ca="1">IF($A260="","",SUMIFS(Data!$X$4:$X$273,Data!$T$4:$T$273,$A260,Data!$U$4:$U$273,$B260,Data!$S$4:$S$273,$C260))</f>
        <v/>
      </c>
      <c r="O260" s="18" t="str">
        <f ca="1">IF($A260="","",SUMIFS(Data!$Z$4:$Z$273,Data!$T$4:$T$273,$A260,Data!$U$4:$U$273,$B260,Data!$S$4:$S$273,$C260))</f>
        <v/>
      </c>
      <c r="P260" s="18" t="str">
        <f ca="1">IF($A260="","",SUMIFS(Data!$AA$4:$AA$273,Data!$T$4:$T$273,$A260,Data!$U$4:$U$273,$B260,Data!$S$4:$S$273,$C260))</f>
        <v/>
      </c>
      <c r="Q260" s="18" t="str">
        <f ca="1">IF($A260="","",SUMIFS(Data!$AD$4:$AD$273,Data!$T$4:$T$273,$A260,Data!$U$4:$U$273,$B260,Data!$S$4:$S$273,$C260))</f>
        <v/>
      </c>
      <c r="R260" s="18" t="str">
        <f ca="1">IF($A260="","",SUMIFS(Data!$AE$4:$AE$273,Data!$T$4:$T$273,$A260,Data!$U$4:$U$273,$B260,Data!$S$4:$S$273,$C260))</f>
        <v/>
      </c>
      <c r="S260" s="18" t="str">
        <f ca="1">IF($A260="","",SUMIFS(Data!$AF$4:$AF$273,Data!$T$4:$T$273,$A260,Data!$U$4:$U$273,$B260,Data!$S$4:$S$273,$C260))</f>
        <v/>
      </c>
      <c r="T260" s="18" t="str">
        <f ca="1">IF($A260="","",SUMIFS(Data!$AG$4:$AG$273,Data!$T$4:$T$273,$A260,Data!$U$4:$U$273,$B260,Data!$S$4:$S$273,$C260))</f>
        <v/>
      </c>
      <c r="U260" s="18" t="str">
        <f ca="1">IF($A260="","",SUMIFS(Data!$AH$4:$AH$273,Data!$T$4:$T$273,$A260,Data!$U$4:$U$273,$B260,Data!$S$4:$S$273,$C260))</f>
        <v/>
      </c>
      <c r="V260" s="18" t="str">
        <f ca="1">IF($A260="","",SUMIFS(Data!$AO$4:$AO$183,Data!$AM$4:$AM$183,$B260,Data!$AL$4:$AL$183,$A260,Data!$AK$4:$AK$183,$C260))</f>
        <v/>
      </c>
      <c r="W260" s="18" t="str">
        <f ca="1">IF($A260="","",SUMIFS(Data!$AP$4:$AP$183,Data!$AM$4:$AM$183,$B260,Data!$AL$4:$AL$183,$A260,Data!$AK$4:$AK$183,$C260))</f>
        <v/>
      </c>
      <c r="X260" s="18" t="str">
        <f ca="1">IF($A260="","",SUMIFS(Data!$AR$4:$AR$183,Data!$AM$4:$AM$183,$B260,Data!$AL$4:$AL$183,$A260,Data!$AK$4:$AK$183,$C260))</f>
        <v/>
      </c>
      <c r="Y260" s="18" t="str">
        <f ca="1">IF($A260="","",SUMIFS(Data!$AS$4:$AS$183,Data!$AM$4:$AM$183,$B260,Data!$AL$4:$AL$183,$A260,Data!$AK$4:$AK$183,$C260))</f>
        <v/>
      </c>
      <c r="Z260" s="18" t="str">
        <f ca="1">IF($A260="","",SUMIFS(Data!$AT$4:$AT$183,Data!$AM$4:$AM$183,$B260,Data!$AL$4:$AL$183,$A260,Data!$AK$4:$AK$183,$C260))</f>
        <v/>
      </c>
      <c r="AA260" s="18" t="str">
        <f ca="1">IF($A260="","",SUMIFS(Data!$AW$4:$AW$183,Data!$AM$4:$AM$183,$B260,Data!$AL$4:$AL$183,$A260,Data!$AK$4:$AK$183,$C260))</f>
        <v/>
      </c>
      <c r="AB260" s="18" t="str">
        <f ca="1">IF($A260="","",SUMIFS(Data!$AX$4:$AX$183,Data!$AM$4:$AM$183,$B260,Data!$AL$4:$AL$183,$A260,Data!$AK$4:$AK$183,$C260))</f>
        <v/>
      </c>
      <c r="AC260" s="18" t="str">
        <f ca="1">IF($A260="","",SUMIFS(Data!$AY$4:$AY$183,Data!$AM$4:$AM$183,$B260,Data!$AL$4:$AL$183,$A260,Data!$AK$4:$AK$183,$C260))</f>
        <v/>
      </c>
      <c r="AD260" s="18" t="str">
        <f t="shared" ca="1" si="7"/>
        <v/>
      </c>
      <c r="AE260" s="18" t="str">
        <f ca="1">IF($A260="","",SUMIFS(Data!$AJ$4:$AJ$183,Data!$AM$4:$AM$183,$B260,Data!$AL$4:$AL$183,$A260,Data!$AK$4:$AK$183,$C260))</f>
        <v/>
      </c>
    </row>
    <row r="261" spans="1:31">
      <c r="A261" s="18" t="str">
        <f ca="1">IF(Data!T261="","",Data!T261)</f>
        <v/>
      </c>
      <c r="B261" s="18" t="str">
        <f ca="1">IF(Data!U261="","",Data!U261)</f>
        <v/>
      </c>
      <c r="C261" s="18" t="str">
        <f ca="1">IF(Data!S261="","",Data!S261)</f>
        <v/>
      </c>
      <c r="D261" s="18" t="str">
        <f ca="1">IF($A261="","",Data!W261)</f>
        <v/>
      </c>
      <c r="E261" s="18" t="str">
        <f ca="1">IF($A261="","",Data!Y261)</f>
        <v/>
      </c>
      <c r="F261" s="61" t="str">
        <f t="shared" ref="F261:F273" ca="1" si="8">IF($A261="","",IF(D261=0,0,E261/D261))</f>
        <v/>
      </c>
      <c r="G261" s="18" t="str">
        <f ca="1">IF($A261="","",Data!AB261)</f>
        <v/>
      </c>
      <c r="H261" s="18" t="str">
        <f ca="1">IF($A261="","",Data!AC261)</f>
        <v/>
      </c>
      <c r="I261" s="18" t="str">
        <f ca="1">IF($A261="","",INT(SUMIFS(Data!$AN$4:$AN$183,Data!$AM$4:$AM$183,$B261,Data!$AL$4:$AL$183,$A261,Data!$AK$4:$AK$183,$C261))+MOD(ROUND(SUMIFS(Data!$AN$4:$AN$183,Data!$AM$4:$AM$183,$B261,Data!$AL$4:$AL$183,$A261,Data!$AK$4:$AK$183,$C261)*3,0),3)/10)</f>
        <v/>
      </c>
      <c r="J261" s="18" t="str">
        <f ca="1">IF($A261="","",SUMIFS(Data!$AQ$4:$AQ$183,Data!$AM$4:$AM$183,$B261,Data!$AL$4:$AL$183,$A261,Data!$AK$4:$AK$183,$C261))</f>
        <v/>
      </c>
      <c r="K261" s="62" t="str">
        <f ca="1">IF($A261="","",IF(SUMIFS(Data!$AN$4:$AN$183,Data!$AM$4:$AM$183,$B261,Data!$AL$4:$AL$183,$A261,Data!$AK$4:$AK$183,$C261)=0,"",J261*3/SUMIFS(Data!$AN$4:$AN$183,Data!$AM$4:$AM$183,$B261,Data!$AL$4:$AL$183,$A261,Data!$AK$4:$AK$183,$C261)))</f>
        <v/>
      </c>
      <c r="L261" s="18" t="str">
        <f ca="1">IF($A261="","",IF(IFERROR(_xlfn.XLOOKUP($C261,Bracket!$F$6:$F$16,Bracket!$K$6:$K$16,""),"")=$B261,1,0))</f>
        <v/>
      </c>
      <c r="M261" s="18" t="str">
        <f ca="1">IF($A261="","",IF(AND(IFERROR(_xlfn.XLOOKUP($C261,Bracket!$F$6:$F$16,Bracket!$K$6:$K$16,""),"")=$B261,LEFT(IFERROR(_xlfn.XLOOKUP($C261,Bracket!$F$6:$F$16,Bracket!$G$6:$G$16,""),""),2)="CG"),1,0))</f>
        <v/>
      </c>
      <c r="N261" s="18" t="str">
        <f ca="1">IF($A261="","",SUMIFS(Data!$X$4:$X$273,Data!$T$4:$T$273,$A261,Data!$U$4:$U$273,$B261,Data!$S$4:$S$273,$C261))</f>
        <v/>
      </c>
      <c r="O261" s="18" t="str">
        <f ca="1">IF($A261="","",SUMIFS(Data!$Z$4:$Z$273,Data!$T$4:$T$273,$A261,Data!$U$4:$U$273,$B261,Data!$S$4:$S$273,$C261))</f>
        <v/>
      </c>
      <c r="P261" s="18" t="str">
        <f ca="1">IF($A261="","",SUMIFS(Data!$AA$4:$AA$273,Data!$T$4:$T$273,$A261,Data!$U$4:$U$273,$B261,Data!$S$4:$S$273,$C261))</f>
        <v/>
      </c>
      <c r="Q261" s="18" t="str">
        <f ca="1">IF($A261="","",SUMIFS(Data!$AD$4:$AD$273,Data!$T$4:$T$273,$A261,Data!$U$4:$U$273,$B261,Data!$S$4:$S$273,$C261))</f>
        <v/>
      </c>
      <c r="R261" s="18" t="str">
        <f ca="1">IF($A261="","",SUMIFS(Data!$AE$4:$AE$273,Data!$T$4:$T$273,$A261,Data!$U$4:$U$273,$B261,Data!$S$4:$S$273,$C261))</f>
        <v/>
      </c>
      <c r="S261" s="18" t="str">
        <f ca="1">IF($A261="","",SUMIFS(Data!$AF$4:$AF$273,Data!$T$4:$T$273,$A261,Data!$U$4:$U$273,$B261,Data!$S$4:$S$273,$C261))</f>
        <v/>
      </c>
      <c r="T261" s="18" t="str">
        <f ca="1">IF($A261="","",SUMIFS(Data!$AG$4:$AG$273,Data!$T$4:$T$273,$A261,Data!$U$4:$U$273,$B261,Data!$S$4:$S$273,$C261))</f>
        <v/>
      </c>
      <c r="U261" s="18" t="str">
        <f ca="1">IF($A261="","",SUMIFS(Data!$AH$4:$AH$273,Data!$T$4:$T$273,$A261,Data!$U$4:$U$273,$B261,Data!$S$4:$S$273,$C261))</f>
        <v/>
      </c>
      <c r="V261" s="18" t="str">
        <f ca="1">IF($A261="","",SUMIFS(Data!$AO$4:$AO$183,Data!$AM$4:$AM$183,$B261,Data!$AL$4:$AL$183,$A261,Data!$AK$4:$AK$183,$C261))</f>
        <v/>
      </c>
      <c r="W261" s="18" t="str">
        <f ca="1">IF($A261="","",SUMIFS(Data!$AP$4:$AP$183,Data!$AM$4:$AM$183,$B261,Data!$AL$4:$AL$183,$A261,Data!$AK$4:$AK$183,$C261))</f>
        <v/>
      </c>
      <c r="X261" s="18" t="str">
        <f ca="1">IF($A261="","",SUMIFS(Data!$AR$4:$AR$183,Data!$AM$4:$AM$183,$B261,Data!$AL$4:$AL$183,$A261,Data!$AK$4:$AK$183,$C261))</f>
        <v/>
      </c>
      <c r="Y261" s="18" t="str">
        <f ca="1">IF($A261="","",SUMIFS(Data!$AS$4:$AS$183,Data!$AM$4:$AM$183,$B261,Data!$AL$4:$AL$183,$A261,Data!$AK$4:$AK$183,$C261))</f>
        <v/>
      </c>
      <c r="Z261" s="18" t="str">
        <f ca="1">IF($A261="","",SUMIFS(Data!$AT$4:$AT$183,Data!$AM$4:$AM$183,$B261,Data!$AL$4:$AL$183,$A261,Data!$AK$4:$AK$183,$C261))</f>
        <v/>
      </c>
      <c r="AA261" s="18" t="str">
        <f ca="1">IF($A261="","",SUMIFS(Data!$AW$4:$AW$183,Data!$AM$4:$AM$183,$B261,Data!$AL$4:$AL$183,$A261,Data!$AK$4:$AK$183,$C261))</f>
        <v/>
      </c>
      <c r="AB261" s="18" t="str">
        <f ca="1">IF($A261="","",SUMIFS(Data!$AX$4:$AX$183,Data!$AM$4:$AM$183,$B261,Data!$AL$4:$AL$183,$A261,Data!$AK$4:$AK$183,$C261))</f>
        <v/>
      </c>
      <c r="AC261" s="18" t="str">
        <f ca="1">IF($A261="","",SUMIFS(Data!$AY$4:$AY$183,Data!$AM$4:$AM$183,$B261,Data!$AL$4:$AL$183,$A261,Data!$AK$4:$AK$183,$C261))</f>
        <v/>
      </c>
      <c r="AD261" s="18" t="str">
        <f t="shared" ref="AD261:AD273" ca="1" si="9">IF($A261="","",IF($I261=0,0,(V261+X261)/$I261))</f>
        <v/>
      </c>
      <c r="AE261" s="18" t="str">
        <f ca="1">IF($A261="","",SUMIFS(Data!$AJ$4:$AJ$183,Data!$AM$4:$AM$183,$B261,Data!$AL$4:$AL$183,$A261,Data!$AK$4:$AK$183,$C261))</f>
        <v/>
      </c>
    </row>
    <row r="262" spans="1:31">
      <c r="A262" s="18" t="str">
        <f ca="1">IF(Data!T262="","",Data!T262)</f>
        <v/>
      </c>
      <c r="B262" s="18" t="str">
        <f ca="1">IF(Data!U262="","",Data!U262)</f>
        <v/>
      </c>
      <c r="C262" s="18" t="str">
        <f ca="1">IF(Data!S262="","",Data!S262)</f>
        <v/>
      </c>
      <c r="D262" s="18" t="str">
        <f ca="1">IF($A262="","",Data!W262)</f>
        <v/>
      </c>
      <c r="E262" s="18" t="str">
        <f ca="1">IF($A262="","",Data!Y262)</f>
        <v/>
      </c>
      <c r="F262" s="61" t="str">
        <f t="shared" ca="1" si="8"/>
        <v/>
      </c>
      <c r="G262" s="18" t="str">
        <f ca="1">IF($A262="","",Data!AB262)</f>
        <v/>
      </c>
      <c r="H262" s="18" t="str">
        <f ca="1">IF($A262="","",Data!AC262)</f>
        <v/>
      </c>
      <c r="I262" s="18" t="str">
        <f ca="1">IF($A262="","",INT(SUMIFS(Data!$AN$4:$AN$183,Data!$AM$4:$AM$183,$B262,Data!$AL$4:$AL$183,$A262,Data!$AK$4:$AK$183,$C262))+MOD(ROUND(SUMIFS(Data!$AN$4:$AN$183,Data!$AM$4:$AM$183,$B262,Data!$AL$4:$AL$183,$A262,Data!$AK$4:$AK$183,$C262)*3,0),3)/10)</f>
        <v/>
      </c>
      <c r="J262" s="18" t="str">
        <f ca="1">IF($A262="","",SUMIFS(Data!$AQ$4:$AQ$183,Data!$AM$4:$AM$183,$B262,Data!$AL$4:$AL$183,$A262,Data!$AK$4:$AK$183,$C262))</f>
        <v/>
      </c>
      <c r="K262" s="62" t="str">
        <f ca="1">IF($A262="","",IF(SUMIFS(Data!$AN$4:$AN$183,Data!$AM$4:$AM$183,$B262,Data!$AL$4:$AL$183,$A262,Data!$AK$4:$AK$183,$C262)=0,"",J262*3/SUMIFS(Data!$AN$4:$AN$183,Data!$AM$4:$AM$183,$B262,Data!$AL$4:$AL$183,$A262,Data!$AK$4:$AK$183,$C262)))</f>
        <v/>
      </c>
      <c r="L262" s="18" t="str">
        <f ca="1">IF($A262="","",IF(IFERROR(_xlfn.XLOOKUP($C262,Bracket!$F$6:$F$16,Bracket!$K$6:$K$16,""),"")=$B262,1,0))</f>
        <v/>
      </c>
      <c r="M262" s="18" t="str">
        <f ca="1">IF($A262="","",IF(AND(IFERROR(_xlfn.XLOOKUP($C262,Bracket!$F$6:$F$16,Bracket!$K$6:$K$16,""),"")=$B262,LEFT(IFERROR(_xlfn.XLOOKUP($C262,Bracket!$F$6:$F$16,Bracket!$G$6:$G$16,""),""),2)="CG"),1,0))</f>
        <v/>
      </c>
      <c r="N262" s="18" t="str">
        <f ca="1">IF($A262="","",SUMIFS(Data!$X$4:$X$273,Data!$T$4:$T$273,$A262,Data!$U$4:$U$273,$B262,Data!$S$4:$S$273,$C262))</f>
        <v/>
      </c>
      <c r="O262" s="18" t="str">
        <f ca="1">IF($A262="","",SUMIFS(Data!$Z$4:$Z$273,Data!$T$4:$T$273,$A262,Data!$U$4:$U$273,$B262,Data!$S$4:$S$273,$C262))</f>
        <v/>
      </c>
      <c r="P262" s="18" t="str">
        <f ca="1">IF($A262="","",SUMIFS(Data!$AA$4:$AA$273,Data!$T$4:$T$273,$A262,Data!$U$4:$U$273,$B262,Data!$S$4:$S$273,$C262))</f>
        <v/>
      </c>
      <c r="Q262" s="18" t="str">
        <f ca="1">IF($A262="","",SUMIFS(Data!$AD$4:$AD$273,Data!$T$4:$T$273,$A262,Data!$U$4:$U$273,$B262,Data!$S$4:$S$273,$C262))</f>
        <v/>
      </c>
      <c r="R262" s="18" t="str">
        <f ca="1">IF($A262="","",SUMIFS(Data!$AE$4:$AE$273,Data!$T$4:$T$273,$A262,Data!$U$4:$U$273,$B262,Data!$S$4:$S$273,$C262))</f>
        <v/>
      </c>
      <c r="S262" s="18" t="str">
        <f ca="1">IF($A262="","",SUMIFS(Data!$AF$4:$AF$273,Data!$T$4:$T$273,$A262,Data!$U$4:$U$273,$B262,Data!$S$4:$S$273,$C262))</f>
        <v/>
      </c>
      <c r="T262" s="18" t="str">
        <f ca="1">IF($A262="","",SUMIFS(Data!$AG$4:$AG$273,Data!$T$4:$T$273,$A262,Data!$U$4:$U$273,$B262,Data!$S$4:$S$273,$C262))</f>
        <v/>
      </c>
      <c r="U262" s="18" t="str">
        <f ca="1">IF($A262="","",SUMIFS(Data!$AH$4:$AH$273,Data!$T$4:$T$273,$A262,Data!$U$4:$U$273,$B262,Data!$S$4:$S$273,$C262))</f>
        <v/>
      </c>
      <c r="V262" s="18" t="str">
        <f ca="1">IF($A262="","",SUMIFS(Data!$AO$4:$AO$183,Data!$AM$4:$AM$183,$B262,Data!$AL$4:$AL$183,$A262,Data!$AK$4:$AK$183,$C262))</f>
        <v/>
      </c>
      <c r="W262" s="18" t="str">
        <f ca="1">IF($A262="","",SUMIFS(Data!$AP$4:$AP$183,Data!$AM$4:$AM$183,$B262,Data!$AL$4:$AL$183,$A262,Data!$AK$4:$AK$183,$C262))</f>
        <v/>
      </c>
      <c r="X262" s="18" t="str">
        <f ca="1">IF($A262="","",SUMIFS(Data!$AR$4:$AR$183,Data!$AM$4:$AM$183,$B262,Data!$AL$4:$AL$183,$A262,Data!$AK$4:$AK$183,$C262))</f>
        <v/>
      </c>
      <c r="Y262" s="18" t="str">
        <f ca="1">IF($A262="","",SUMIFS(Data!$AS$4:$AS$183,Data!$AM$4:$AM$183,$B262,Data!$AL$4:$AL$183,$A262,Data!$AK$4:$AK$183,$C262))</f>
        <v/>
      </c>
      <c r="Z262" s="18" t="str">
        <f ca="1">IF($A262="","",SUMIFS(Data!$AT$4:$AT$183,Data!$AM$4:$AM$183,$B262,Data!$AL$4:$AL$183,$A262,Data!$AK$4:$AK$183,$C262))</f>
        <v/>
      </c>
      <c r="AA262" s="18" t="str">
        <f ca="1">IF($A262="","",SUMIFS(Data!$AW$4:$AW$183,Data!$AM$4:$AM$183,$B262,Data!$AL$4:$AL$183,$A262,Data!$AK$4:$AK$183,$C262))</f>
        <v/>
      </c>
      <c r="AB262" s="18" t="str">
        <f ca="1">IF($A262="","",SUMIFS(Data!$AX$4:$AX$183,Data!$AM$4:$AM$183,$B262,Data!$AL$4:$AL$183,$A262,Data!$AK$4:$AK$183,$C262))</f>
        <v/>
      </c>
      <c r="AC262" s="18" t="str">
        <f ca="1">IF($A262="","",SUMIFS(Data!$AY$4:$AY$183,Data!$AM$4:$AM$183,$B262,Data!$AL$4:$AL$183,$A262,Data!$AK$4:$AK$183,$C262))</f>
        <v/>
      </c>
      <c r="AD262" s="18" t="str">
        <f t="shared" ca="1" si="9"/>
        <v/>
      </c>
      <c r="AE262" s="18" t="str">
        <f ca="1">IF($A262="","",SUMIFS(Data!$AJ$4:$AJ$183,Data!$AM$4:$AM$183,$B262,Data!$AL$4:$AL$183,$A262,Data!$AK$4:$AK$183,$C262))</f>
        <v/>
      </c>
    </row>
    <row r="263" spans="1:31">
      <c r="A263" s="18" t="str">
        <f ca="1">IF(Data!T263="","",Data!T263)</f>
        <v/>
      </c>
      <c r="B263" s="18" t="str">
        <f ca="1">IF(Data!U263="","",Data!U263)</f>
        <v/>
      </c>
      <c r="C263" s="18" t="str">
        <f ca="1">IF(Data!S263="","",Data!S263)</f>
        <v/>
      </c>
      <c r="D263" s="18" t="str">
        <f ca="1">IF($A263="","",Data!W263)</f>
        <v/>
      </c>
      <c r="E263" s="18" t="str">
        <f ca="1">IF($A263="","",Data!Y263)</f>
        <v/>
      </c>
      <c r="F263" s="61" t="str">
        <f t="shared" ca="1" si="8"/>
        <v/>
      </c>
      <c r="G263" s="18" t="str">
        <f ca="1">IF($A263="","",Data!AB263)</f>
        <v/>
      </c>
      <c r="H263" s="18" t="str">
        <f ca="1">IF($A263="","",Data!AC263)</f>
        <v/>
      </c>
      <c r="I263" s="18" t="str">
        <f ca="1">IF($A263="","",INT(SUMIFS(Data!$AN$4:$AN$183,Data!$AM$4:$AM$183,$B263,Data!$AL$4:$AL$183,$A263,Data!$AK$4:$AK$183,$C263))+MOD(ROUND(SUMIFS(Data!$AN$4:$AN$183,Data!$AM$4:$AM$183,$B263,Data!$AL$4:$AL$183,$A263,Data!$AK$4:$AK$183,$C263)*3,0),3)/10)</f>
        <v/>
      </c>
      <c r="J263" s="18" t="str">
        <f ca="1">IF($A263="","",SUMIFS(Data!$AQ$4:$AQ$183,Data!$AM$4:$AM$183,$B263,Data!$AL$4:$AL$183,$A263,Data!$AK$4:$AK$183,$C263))</f>
        <v/>
      </c>
      <c r="K263" s="62" t="str">
        <f ca="1">IF($A263="","",IF(SUMIFS(Data!$AN$4:$AN$183,Data!$AM$4:$AM$183,$B263,Data!$AL$4:$AL$183,$A263,Data!$AK$4:$AK$183,$C263)=0,"",J263*3/SUMIFS(Data!$AN$4:$AN$183,Data!$AM$4:$AM$183,$B263,Data!$AL$4:$AL$183,$A263,Data!$AK$4:$AK$183,$C263)))</f>
        <v/>
      </c>
      <c r="L263" s="18" t="str">
        <f ca="1">IF($A263="","",IF(IFERROR(_xlfn.XLOOKUP($C263,Bracket!$F$6:$F$16,Bracket!$K$6:$K$16,""),"")=$B263,1,0))</f>
        <v/>
      </c>
      <c r="M263" s="18" t="str">
        <f ca="1">IF($A263="","",IF(AND(IFERROR(_xlfn.XLOOKUP($C263,Bracket!$F$6:$F$16,Bracket!$K$6:$K$16,""),"")=$B263,LEFT(IFERROR(_xlfn.XLOOKUP($C263,Bracket!$F$6:$F$16,Bracket!$G$6:$G$16,""),""),2)="CG"),1,0))</f>
        <v/>
      </c>
      <c r="N263" s="18" t="str">
        <f ca="1">IF($A263="","",SUMIFS(Data!$X$4:$X$273,Data!$T$4:$T$273,$A263,Data!$U$4:$U$273,$B263,Data!$S$4:$S$273,$C263))</f>
        <v/>
      </c>
      <c r="O263" s="18" t="str">
        <f ca="1">IF($A263="","",SUMIFS(Data!$Z$4:$Z$273,Data!$T$4:$T$273,$A263,Data!$U$4:$U$273,$B263,Data!$S$4:$S$273,$C263))</f>
        <v/>
      </c>
      <c r="P263" s="18" t="str">
        <f ca="1">IF($A263="","",SUMIFS(Data!$AA$4:$AA$273,Data!$T$4:$T$273,$A263,Data!$U$4:$U$273,$B263,Data!$S$4:$S$273,$C263))</f>
        <v/>
      </c>
      <c r="Q263" s="18" t="str">
        <f ca="1">IF($A263="","",SUMIFS(Data!$AD$4:$AD$273,Data!$T$4:$T$273,$A263,Data!$U$4:$U$273,$B263,Data!$S$4:$S$273,$C263))</f>
        <v/>
      </c>
      <c r="R263" s="18" t="str">
        <f ca="1">IF($A263="","",SUMIFS(Data!$AE$4:$AE$273,Data!$T$4:$T$273,$A263,Data!$U$4:$U$273,$B263,Data!$S$4:$S$273,$C263))</f>
        <v/>
      </c>
      <c r="S263" s="18" t="str">
        <f ca="1">IF($A263="","",SUMIFS(Data!$AF$4:$AF$273,Data!$T$4:$T$273,$A263,Data!$U$4:$U$273,$B263,Data!$S$4:$S$273,$C263))</f>
        <v/>
      </c>
      <c r="T263" s="18" t="str">
        <f ca="1">IF($A263="","",SUMIFS(Data!$AG$4:$AG$273,Data!$T$4:$T$273,$A263,Data!$U$4:$U$273,$B263,Data!$S$4:$S$273,$C263))</f>
        <v/>
      </c>
      <c r="U263" s="18" t="str">
        <f ca="1">IF($A263="","",SUMIFS(Data!$AH$4:$AH$273,Data!$T$4:$T$273,$A263,Data!$U$4:$U$273,$B263,Data!$S$4:$S$273,$C263))</f>
        <v/>
      </c>
      <c r="V263" s="18" t="str">
        <f ca="1">IF($A263="","",SUMIFS(Data!$AO$4:$AO$183,Data!$AM$4:$AM$183,$B263,Data!$AL$4:$AL$183,$A263,Data!$AK$4:$AK$183,$C263))</f>
        <v/>
      </c>
      <c r="W263" s="18" t="str">
        <f ca="1">IF($A263="","",SUMIFS(Data!$AP$4:$AP$183,Data!$AM$4:$AM$183,$B263,Data!$AL$4:$AL$183,$A263,Data!$AK$4:$AK$183,$C263))</f>
        <v/>
      </c>
      <c r="X263" s="18" t="str">
        <f ca="1">IF($A263="","",SUMIFS(Data!$AR$4:$AR$183,Data!$AM$4:$AM$183,$B263,Data!$AL$4:$AL$183,$A263,Data!$AK$4:$AK$183,$C263))</f>
        <v/>
      </c>
      <c r="Y263" s="18" t="str">
        <f ca="1">IF($A263="","",SUMIFS(Data!$AS$4:$AS$183,Data!$AM$4:$AM$183,$B263,Data!$AL$4:$AL$183,$A263,Data!$AK$4:$AK$183,$C263))</f>
        <v/>
      </c>
      <c r="Z263" s="18" t="str">
        <f ca="1">IF($A263="","",SUMIFS(Data!$AT$4:$AT$183,Data!$AM$4:$AM$183,$B263,Data!$AL$4:$AL$183,$A263,Data!$AK$4:$AK$183,$C263))</f>
        <v/>
      </c>
      <c r="AA263" s="18" t="str">
        <f ca="1">IF($A263="","",SUMIFS(Data!$AW$4:$AW$183,Data!$AM$4:$AM$183,$B263,Data!$AL$4:$AL$183,$A263,Data!$AK$4:$AK$183,$C263))</f>
        <v/>
      </c>
      <c r="AB263" s="18" t="str">
        <f ca="1">IF($A263="","",SUMIFS(Data!$AX$4:$AX$183,Data!$AM$4:$AM$183,$B263,Data!$AL$4:$AL$183,$A263,Data!$AK$4:$AK$183,$C263))</f>
        <v/>
      </c>
      <c r="AC263" s="18" t="str">
        <f ca="1">IF($A263="","",SUMIFS(Data!$AY$4:$AY$183,Data!$AM$4:$AM$183,$B263,Data!$AL$4:$AL$183,$A263,Data!$AK$4:$AK$183,$C263))</f>
        <v/>
      </c>
      <c r="AD263" s="18" t="str">
        <f t="shared" ca="1" si="9"/>
        <v/>
      </c>
      <c r="AE263" s="18" t="str">
        <f ca="1">IF($A263="","",SUMIFS(Data!$AJ$4:$AJ$183,Data!$AM$4:$AM$183,$B263,Data!$AL$4:$AL$183,$A263,Data!$AK$4:$AK$183,$C263))</f>
        <v/>
      </c>
    </row>
    <row r="264" spans="1:31">
      <c r="A264" s="18" t="str">
        <f ca="1">IF(Data!T264="","",Data!T264)</f>
        <v/>
      </c>
      <c r="B264" s="18" t="str">
        <f ca="1">IF(Data!U264="","",Data!U264)</f>
        <v/>
      </c>
      <c r="C264" s="18" t="str">
        <f ca="1">IF(Data!S264="","",Data!S264)</f>
        <v/>
      </c>
      <c r="D264" s="18" t="str">
        <f ca="1">IF($A264="","",Data!W264)</f>
        <v/>
      </c>
      <c r="E264" s="18" t="str">
        <f ca="1">IF($A264="","",Data!Y264)</f>
        <v/>
      </c>
      <c r="F264" s="61" t="str">
        <f t="shared" ca="1" si="8"/>
        <v/>
      </c>
      <c r="G264" s="18" t="str">
        <f ca="1">IF($A264="","",Data!AB264)</f>
        <v/>
      </c>
      <c r="H264" s="18" t="str">
        <f ca="1">IF($A264="","",Data!AC264)</f>
        <v/>
      </c>
      <c r="I264" s="18" t="str">
        <f ca="1">IF($A264="","",INT(SUMIFS(Data!$AN$4:$AN$183,Data!$AM$4:$AM$183,$B264,Data!$AL$4:$AL$183,$A264,Data!$AK$4:$AK$183,$C264))+MOD(ROUND(SUMIFS(Data!$AN$4:$AN$183,Data!$AM$4:$AM$183,$B264,Data!$AL$4:$AL$183,$A264,Data!$AK$4:$AK$183,$C264)*3,0),3)/10)</f>
        <v/>
      </c>
      <c r="J264" s="18" t="str">
        <f ca="1">IF($A264="","",SUMIFS(Data!$AQ$4:$AQ$183,Data!$AM$4:$AM$183,$B264,Data!$AL$4:$AL$183,$A264,Data!$AK$4:$AK$183,$C264))</f>
        <v/>
      </c>
      <c r="K264" s="62" t="str">
        <f ca="1">IF($A264="","",IF(SUMIFS(Data!$AN$4:$AN$183,Data!$AM$4:$AM$183,$B264,Data!$AL$4:$AL$183,$A264,Data!$AK$4:$AK$183,$C264)=0,"",J264*3/SUMIFS(Data!$AN$4:$AN$183,Data!$AM$4:$AM$183,$B264,Data!$AL$4:$AL$183,$A264,Data!$AK$4:$AK$183,$C264)))</f>
        <v/>
      </c>
      <c r="L264" s="18" t="str">
        <f ca="1">IF($A264="","",IF(IFERROR(_xlfn.XLOOKUP($C264,Bracket!$F$6:$F$16,Bracket!$K$6:$K$16,""),"")=$B264,1,0))</f>
        <v/>
      </c>
      <c r="M264" s="18" t="str">
        <f ca="1">IF($A264="","",IF(AND(IFERROR(_xlfn.XLOOKUP($C264,Bracket!$F$6:$F$16,Bracket!$K$6:$K$16,""),"")=$B264,LEFT(IFERROR(_xlfn.XLOOKUP($C264,Bracket!$F$6:$F$16,Bracket!$G$6:$G$16,""),""),2)="CG"),1,0))</f>
        <v/>
      </c>
      <c r="N264" s="18" t="str">
        <f ca="1">IF($A264="","",SUMIFS(Data!$X$4:$X$273,Data!$T$4:$T$273,$A264,Data!$U$4:$U$273,$B264,Data!$S$4:$S$273,$C264))</f>
        <v/>
      </c>
      <c r="O264" s="18" t="str">
        <f ca="1">IF($A264="","",SUMIFS(Data!$Z$4:$Z$273,Data!$T$4:$T$273,$A264,Data!$U$4:$U$273,$B264,Data!$S$4:$S$273,$C264))</f>
        <v/>
      </c>
      <c r="P264" s="18" t="str">
        <f ca="1">IF($A264="","",SUMIFS(Data!$AA$4:$AA$273,Data!$T$4:$T$273,$A264,Data!$U$4:$U$273,$B264,Data!$S$4:$S$273,$C264))</f>
        <v/>
      </c>
      <c r="Q264" s="18" t="str">
        <f ca="1">IF($A264="","",SUMIFS(Data!$AD$4:$AD$273,Data!$T$4:$T$273,$A264,Data!$U$4:$U$273,$B264,Data!$S$4:$S$273,$C264))</f>
        <v/>
      </c>
      <c r="R264" s="18" t="str">
        <f ca="1">IF($A264="","",SUMIFS(Data!$AE$4:$AE$273,Data!$T$4:$T$273,$A264,Data!$U$4:$U$273,$B264,Data!$S$4:$S$273,$C264))</f>
        <v/>
      </c>
      <c r="S264" s="18" t="str">
        <f ca="1">IF($A264="","",SUMIFS(Data!$AF$4:$AF$273,Data!$T$4:$T$273,$A264,Data!$U$4:$U$273,$B264,Data!$S$4:$S$273,$C264))</f>
        <v/>
      </c>
      <c r="T264" s="18" t="str">
        <f ca="1">IF($A264="","",SUMIFS(Data!$AG$4:$AG$273,Data!$T$4:$T$273,$A264,Data!$U$4:$U$273,$B264,Data!$S$4:$S$273,$C264))</f>
        <v/>
      </c>
      <c r="U264" s="18" t="str">
        <f ca="1">IF($A264="","",SUMIFS(Data!$AH$4:$AH$273,Data!$T$4:$T$273,$A264,Data!$U$4:$U$273,$B264,Data!$S$4:$S$273,$C264))</f>
        <v/>
      </c>
      <c r="V264" s="18" t="str">
        <f ca="1">IF($A264="","",SUMIFS(Data!$AO$4:$AO$183,Data!$AM$4:$AM$183,$B264,Data!$AL$4:$AL$183,$A264,Data!$AK$4:$AK$183,$C264))</f>
        <v/>
      </c>
      <c r="W264" s="18" t="str">
        <f ca="1">IF($A264="","",SUMIFS(Data!$AP$4:$AP$183,Data!$AM$4:$AM$183,$B264,Data!$AL$4:$AL$183,$A264,Data!$AK$4:$AK$183,$C264))</f>
        <v/>
      </c>
      <c r="X264" s="18" t="str">
        <f ca="1">IF($A264="","",SUMIFS(Data!$AR$4:$AR$183,Data!$AM$4:$AM$183,$B264,Data!$AL$4:$AL$183,$A264,Data!$AK$4:$AK$183,$C264))</f>
        <v/>
      </c>
      <c r="Y264" s="18" t="str">
        <f ca="1">IF($A264="","",SUMIFS(Data!$AS$4:$AS$183,Data!$AM$4:$AM$183,$B264,Data!$AL$4:$AL$183,$A264,Data!$AK$4:$AK$183,$C264))</f>
        <v/>
      </c>
      <c r="Z264" s="18" t="str">
        <f ca="1">IF($A264="","",SUMIFS(Data!$AT$4:$AT$183,Data!$AM$4:$AM$183,$B264,Data!$AL$4:$AL$183,$A264,Data!$AK$4:$AK$183,$C264))</f>
        <v/>
      </c>
      <c r="AA264" s="18" t="str">
        <f ca="1">IF($A264="","",SUMIFS(Data!$AW$4:$AW$183,Data!$AM$4:$AM$183,$B264,Data!$AL$4:$AL$183,$A264,Data!$AK$4:$AK$183,$C264))</f>
        <v/>
      </c>
      <c r="AB264" s="18" t="str">
        <f ca="1">IF($A264="","",SUMIFS(Data!$AX$4:$AX$183,Data!$AM$4:$AM$183,$B264,Data!$AL$4:$AL$183,$A264,Data!$AK$4:$AK$183,$C264))</f>
        <v/>
      </c>
      <c r="AC264" s="18" t="str">
        <f ca="1">IF($A264="","",SUMIFS(Data!$AY$4:$AY$183,Data!$AM$4:$AM$183,$B264,Data!$AL$4:$AL$183,$A264,Data!$AK$4:$AK$183,$C264))</f>
        <v/>
      </c>
      <c r="AD264" s="18" t="str">
        <f t="shared" ca="1" si="9"/>
        <v/>
      </c>
      <c r="AE264" s="18" t="str">
        <f ca="1">IF($A264="","",SUMIFS(Data!$AJ$4:$AJ$183,Data!$AM$4:$AM$183,$B264,Data!$AL$4:$AL$183,$A264,Data!$AK$4:$AK$183,$C264))</f>
        <v/>
      </c>
    </row>
    <row r="265" spans="1:31">
      <c r="A265" s="18" t="str">
        <f ca="1">IF(Data!T265="","",Data!T265)</f>
        <v/>
      </c>
      <c r="B265" s="18" t="str">
        <f ca="1">IF(Data!U265="","",Data!U265)</f>
        <v/>
      </c>
      <c r="C265" s="18" t="str">
        <f ca="1">IF(Data!S265="","",Data!S265)</f>
        <v/>
      </c>
      <c r="D265" s="18" t="str">
        <f ca="1">IF($A265="","",Data!W265)</f>
        <v/>
      </c>
      <c r="E265" s="18" t="str">
        <f ca="1">IF($A265="","",Data!Y265)</f>
        <v/>
      </c>
      <c r="F265" s="61" t="str">
        <f t="shared" ca="1" si="8"/>
        <v/>
      </c>
      <c r="G265" s="18" t="str">
        <f ca="1">IF($A265="","",Data!AB265)</f>
        <v/>
      </c>
      <c r="H265" s="18" t="str">
        <f ca="1">IF($A265="","",Data!AC265)</f>
        <v/>
      </c>
      <c r="I265" s="18" t="str">
        <f ca="1">IF($A265="","",INT(SUMIFS(Data!$AN$4:$AN$183,Data!$AM$4:$AM$183,$B265,Data!$AL$4:$AL$183,$A265,Data!$AK$4:$AK$183,$C265))+MOD(ROUND(SUMIFS(Data!$AN$4:$AN$183,Data!$AM$4:$AM$183,$B265,Data!$AL$4:$AL$183,$A265,Data!$AK$4:$AK$183,$C265)*3,0),3)/10)</f>
        <v/>
      </c>
      <c r="J265" s="18" t="str">
        <f ca="1">IF($A265="","",SUMIFS(Data!$AQ$4:$AQ$183,Data!$AM$4:$AM$183,$B265,Data!$AL$4:$AL$183,$A265,Data!$AK$4:$AK$183,$C265))</f>
        <v/>
      </c>
      <c r="K265" s="62" t="str">
        <f ca="1">IF($A265="","",IF(SUMIFS(Data!$AN$4:$AN$183,Data!$AM$4:$AM$183,$B265,Data!$AL$4:$AL$183,$A265,Data!$AK$4:$AK$183,$C265)=0,"",J265*3/SUMIFS(Data!$AN$4:$AN$183,Data!$AM$4:$AM$183,$B265,Data!$AL$4:$AL$183,$A265,Data!$AK$4:$AK$183,$C265)))</f>
        <v/>
      </c>
      <c r="L265" s="18" t="str">
        <f ca="1">IF($A265="","",IF(IFERROR(_xlfn.XLOOKUP($C265,Bracket!$F$6:$F$16,Bracket!$K$6:$K$16,""),"")=$B265,1,0))</f>
        <v/>
      </c>
      <c r="M265" s="18" t="str">
        <f ca="1">IF($A265="","",IF(AND(IFERROR(_xlfn.XLOOKUP($C265,Bracket!$F$6:$F$16,Bracket!$K$6:$K$16,""),"")=$B265,LEFT(IFERROR(_xlfn.XLOOKUP($C265,Bracket!$F$6:$F$16,Bracket!$G$6:$G$16,""),""),2)="CG"),1,0))</f>
        <v/>
      </c>
      <c r="N265" s="18" t="str">
        <f ca="1">IF($A265="","",SUMIFS(Data!$X$4:$X$273,Data!$T$4:$T$273,$A265,Data!$U$4:$U$273,$B265,Data!$S$4:$S$273,$C265))</f>
        <v/>
      </c>
      <c r="O265" s="18" t="str">
        <f ca="1">IF($A265="","",SUMIFS(Data!$Z$4:$Z$273,Data!$T$4:$T$273,$A265,Data!$U$4:$U$273,$B265,Data!$S$4:$S$273,$C265))</f>
        <v/>
      </c>
      <c r="P265" s="18" t="str">
        <f ca="1">IF($A265="","",SUMIFS(Data!$AA$4:$AA$273,Data!$T$4:$T$273,$A265,Data!$U$4:$U$273,$B265,Data!$S$4:$S$273,$C265))</f>
        <v/>
      </c>
      <c r="Q265" s="18" t="str">
        <f ca="1">IF($A265="","",SUMIFS(Data!$AD$4:$AD$273,Data!$T$4:$T$273,$A265,Data!$U$4:$U$273,$B265,Data!$S$4:$S$273,$C265))</f>
        <v/>
      </c>
      <c r="R265" s="18" t="str">
        <f ca="1">IF($A265="","",SUMIFS(Data!$AE$4:$AE$273,Data!$T$4:$T$273,$A265,Data!$U$4:$U$273,$B265,Data!$S$4:$S$273,$C265))</f>
        <v/>
      </c>
      <c r="S265" s="18" t="str">
        <f ca="1">IF($A265="","",SUMIFS(Data!$AF$4:$AF$273,Data!$T$4:$T$273,$A265,Data!$U$4:$U$273,$B265,Data!$S$4:$S$273,$C265))</f>
        <v/>
      </c>
      <c r="T265" s="18" t="str">
        <f ca="1">IF($A265="","",SUMIFS(Data!$AG$4:$AG$273,Data!$T$4:$T$273,$A265,Data!$U$4:$U$273,$B265,Data!$S$4:$S$273,$C265))</f>
        <v/>
      </c>
      <c r="U265" s="18" t="str">
        <f ca="1">IF($A265="","",SUMIFS(Data!$AH$4:$AH$273,Data!$T$4:$T$273,$A265,Data!$U$4:$U$273,$B265,Data!$S$4:$S$273,$C265))</f>
        <v/>
      </c>
      <c r="V265" s="18" t="str">
        <f ca="1">IF($A265="","",SUMIFS(Data!$AO$4:$AO$183,Data!$AM$4:$AM$183,$B265,Data!$AL$4:$AL$183,$A265,Data!$AK$4:$AK$183,$C265))</f>
        <v/>
      </c>
      <c r="W265" s="18" t="str">
        <f ca="1">IF($A265="","",SUMIFS(Data!$AP$4:$AP$183,Data!$AM$4:$AM$183,$B265,Data!$AL$4:$AL$183,$A265,Data!$AK$4:$AK$183,$C265))</f>
        <v/>
      </c>
      <c r="X265" s="18" t="str">
        <f ca="1">IF($A265="","",SUMIFS(Data!$AR$4:$AR$183,Data!$AM$4:$AM$183,$B265,Data!$AL$4:$AL$183,$A265,Data!$AK$4:$AK$183,$C265))</f>
        <v/>
      </c>
      <c r="Y265" s="18" t="str">
        <f ca="1">IF($A265="","",SUMIFS(Data!$AS$4:$AS$183,Data!$AM$4:$AM$183,$B265,Data!$AL$4:$AL$183,$A265,Data!$AK$4:$AK$183,$C265))</f>
        <v/>
      </c>
      <c r="Z265" s="18" t="str">
        <f ca="1">IF($A265="","",SUMIFS(Data!$AT$4:$AT$183,Data!$AM$4:$AM$183,$B265,Data!$AL$4:$AL$183,$A265,Data!$AK$4:$AK$183,$C265))</f>
        <v/>
      </c>
      <c r="AA265" s="18" t="str">
        <f ca="1">IF($A265="","",SUMIFS(Data!$AW$4:$AW$183,Data!$AM$4:$AM$183,$B265,Data!$AL$4:$AL$183,$A265,Data!$AK$4:$AK$183,$C265))</f>
        <v/>
      </c>
      <c r="AB265" s="18" t="str">
        <f ca="1">IF($A265="","",SUMIFS(Data!$AX$4:$AX$183,Data!$AM$4:$AM$183,$B265,Data!$AL$4:$AL$183,$A265,Data!$AK$4:$AK$183,$C265))</f>
        <v/>
      </c>
      <c r="AC265" s="18" t="str">
        <f ca="1">IF($A265="","",SUMIFS(Data!$AY$4:$AY$183,Data!$AM$4:$AM$183,$B265,Data!$AL$4:$AL$183,$A265,Data!$AK$4:$AK$183,$C265))</f>
        <v/>
      </c>
      <c r="AD265" s="18" t="str">
        <f t="shared" ca="1" si="9"/>
        <v/>
      </c>
      <c r="AE265" s="18" t="str">
        <f ca="1">IF($A265="","",SUMIFS(Data!$AJ$4:$AJ$183,Data!$AM$4:$AM$183,$B265,Data!$AL$4:$AL$183,$A265,Data!$AK$4:$AK$183,$C265))</f>
        <v/>
      </c>
    </row>
    <row r="266" spans="1:31">
      <c r="A266" s="18" t="str">
        <f ca="1">IF(Data!T266="","",Data!T266)</f>
        <v/>
      </c>
      <c r="B266" s="18" t="str">
        <f ca="1">IF(Data!U266="","",Data!U266)</f>
        <v/>
      </c>
      <c r="C266" s="18" t="str">
        <f ca="1">IF(Data!S266="","",Data!S266)</f>
        <v/>
      </c>
      <c r="D266" s="18" t="str">
        <f ca="1">IF($A266="","",Data!W266)</f>
        <v/>
      </c>
      <c r="E266" s="18" t="str">
        <f ca="1">IF($A266="","",Data!Y266)</f>
        <v/>
      </c>
      <c r="F266" s="61" t="str">
        <f t="shared" ca="1" si="8"/>
        <v/>
      </c>
      <c r="G266" s="18" t="str">
        <f ca="1">IF($A266="","",Data!AB266)</f>
        <v/>
      </c>
      <c r="H266" s="18" t="str">
        <f ca="1">IF($A266="","",Data!AC266)</f>
        <v/>
      </c>
      <c r="I266" s="18" t="str">
        <f ca="1">IF($A266="","",INT(SUMIFS(Data!$AN$4:$AN$183,Data!$AM$4:$AM$183,$B266,Data!$AL$4:$AL$183,$A266,Data!$AK$4:$AK$183,$C266))+MOD(ROUND(SUMIFS(Data!$AN$4:$AN$183,Data!$AM$4:$AM$183,$B266,Data!$AL$4:$AL$183,$A266,Data!$AK$4:$AK$183,$C266)*3,0),3)/10)</f>
        <v/>
      </c>
      <c r="J266" s="18" t="str">
        <f ca="1">IF($A266="","",SUMIFS(Data!$AQ$4:$AQ$183,Data!$AM$4:$AM$183,$B266,Data!$AL$4:$AL$183,$A266,Data!$AK$4:$AK$183,$C266))</f>
        <v/>
      </c>
      <c r="K266" s="62" t="str">
        <f ca="1">IF($A266="","",IF(SUMIFS(Data!$AN$4:$AN$183,Data!$AM$4:$AM$183,$B266,Data!$AL$4:$AL$183,$A266,Data!$AK$4:$AK$183,$C266)=0,"",J266*3/SUMIFS(Data!$AN$4:$AN$183,Data!$AM$4:$AM$183,$B266,Data!$AL$4:$AL$183,$A266,Data!$AK$4:$AK$183,$C266)))</f>
        <v/>
      </c>
      <c r="L266" s="18" t="str">
        <f ca="1">IF($A266="","",IF(IFERROR(_xlfn.XLOOKUP($C266,Bracket!$F$6:$F$16,Bracket!$K$6:$K$16,""),"")=$B266,1,0))</f>
        <v/>
      </c>
      <c r="M266" s="18" t="str">
        <f ca="1">IF($A266="","",IF(AND(IFERROR(_xlfn.XLOOKUP($C266,Bracket!$F$6:$F$16,Bracket!$K$6:$K$16,""),"")=$B266,LEFT(IFERROR(_xlfn.XLOOKUP($C266,Bracket!$F$6:$F$16,Bracket!$G$6:$G$16,""),""),2)="CG"),1,0))</f>
        <v/>
      </c>
      <c r="N266" s="18" t="str">
        <f ca="1">IF($A266="","",SUMIFS(Data!$X$4:$X$273,Data!$T$4:$T$273,$A266,Data!$U$4:$U$273,$B266,Data!$S$4:$S$273,$C266))</f>
        <v/>
      </c>
      <c r="O266" s="18" t="str">
        <f ca="1">IF($A266="","",SUMIFS(Data!$Z$4:$Z$273,Data!$T$4:$T$273,$A266,Data!$U$4:$U$273,$B266,Data!$S$4:$S$273,$C266))</f>
        <v/>
      </c>
      <c r="P266" s="18" t="str">
        <f ca="1">IF($A266="","",SUMIFS(Data!$AA$4:$AA$273,Data!$T$4:$T$273,$A266,Data!$U$4:$U$273,$B266,Data!$S$4:$S$273,$C266))</f>
        <v/>
      </c>
      <c r="Q266" s="18" t="str">
        <f ca="1">IF($A266="","",SUMIFS(Data!$AD$4:$AD$273,Data!$T$4:$T$273,$A266,Data!$U$4:$U$273,$B266,Data!$S$4:$S$273,$C266))</f>
        <v/>
      </c>
      <c r="R266" s="18" t="str">
        <f ca="1">IF($A266="","",SUMIFS(Data!$AE$4:$AE$273,Data!$T$4:$T$273,$A266,Data!$U$4:$U$273,$B266,Data!$S$4:$S$273,$C266))</f>
        <v/>
      </c>
      <c r="S266" s="18" t="str">
        <f ca="1">IF($A266="","",SUMIFS(Data!$AF$4:$AF$273,Data!$T$4:$T$273,$A266,Data!$U$4:$U$273,$B266,Data!$S$4:$S$273,$C266))</f>
        <v/>
      </c>
      <c r="T266" s="18" t="str">
        <f ca="1">IF($A266="","",SUMIFS(Data!$AG$4:$AG$273,Data!$T$4:$T$273,$A266,Data!$U$4:$U$273,$B266,Data!$S$4:$S$273,$C266))</f>
        <v/>
      </c>
      <c r="U266" s="18" t="str">
        <f ca="1">IF($A266="","",SUMIFS(Data!$AH$4:$AH$273,Data!$T$4:$T$273,$A266,Data!$U$4:$U$273,$B266,Data!$S$4:$S$273,$C266))</f>
        <v/>
      </c>
      <c r="V266" s="18" t="str">
        <f ca="1">IF($A266="","",SUMIFS(Data!$AO$4:$AO$183,Data!$AM$4:$AM$183,$B266,Data!$AL$4:$AL$183,$A266,Data!$AK$4:$AK$183,$C266))</f>
        <v/>
      </c>
      <c r="W266" s="18" t="str">
        <f ca="1">IF($A266="","",SUMIFS(Data!$AP$4:$AP$183,Data!$AM$4:$AM$183,$B266,Data!$AL$4:$AL$183,$A266,Data!$AK$4:$AK$183,$C266))</f>
        <v/>
      </c>
      <c r="X266" s="18" t="str">
        <f ca="1">IF($A266="","",SUMIFS(Data!$AR$4:$AR$183,Data!$AM$4:$AM$183,$B266,Data!$AL$4:$AL$183,$A266,Data!$AK$4:$AK$183,$C266))</f>
        <v/>
      </c>
      <c r="Y266" s="18" t="str">
        <f ca="1">IF($A266="","",SUMIFS(Data!$AS$4:$AS$183,Data!$AM$4:$AM$183,$B266,Data!$AL$4:$AL$183,$A266,Data!$AK$4:$AK$183,$C266))</f>
        <v/>
      </c>
      <c r="Z266" s="18" t="str">
        <f ca="1">IF($A266="","",SUMIFS(Data!$AT$4:$AT$183,Data!$AM$4:$AM$183,$B266,Data!$AL$4:$AL$183,$A266,Data!$AK$4:$AK$183,$C266))</f>
        <v/>
      </c>
      <c r="AA266" s="18" t="str">
        <f ca="1">IF($A266="","",SUMIFS(Data!$AW$4:$AW$183,Data!$AM$4:$AM$183,$B266,Data!$AL$4:$AL$183,$A266,Data!$AK$4:$AK$183,$C266))</f>
        <v/>
      </c>
      <c r="AB266" s="18" t="str">
        <f ca="1">IF($A266="","",SUMIFS(Data!$AX$4:$AX$183,Data!$AM$4:$AM$183,$B266,Data!$AL$4:$AL$183,$A266,Data!$AK$4:$AK$183,$C266))</f>
        <v/>
      </c>
      <c r="AC266" s="18" t="str">
        <f ca="1">IF($A266="","",SUMIFS(Data!$AY$4:$AY$183,Data!$AM$4:$AM$183,$B266,Data!$AL$4:$AL$183,$A266,Data!$AK$4:$AK$183,$C266))</f>
        <v/>
      </c>
      <c r="AD266" s="18" t="str">
        <f t="shared" ca="1" si="9"/>
        <v/>
      </c>
      <c r="AE266" s="18" t="str">
        <f ca="1">IF($A266="","",SUMIFS(Data!$AJ$4:$AJ$183,Data!$AM$4:$AM$183,$B266,Data!$AL$4:$AL$183,$A266,Data!$AK$4:$AK$183,$C266))</f>
        <v/>
      </c>
    </row>
    <row r="267" spans="1:31">
      <c r="A267" s="18" t="str">
        <f ca="1">IF(Data!T267="","",Data!T267)</f>
        <v/>
      </c>
      <c r="B267" s="18" t="str">
        <f ca="1">IF(Data!U267="","",Data!U267)</f>
        <v/>
      </c>
      <c r="C267" s="18" t="str">
        <f ca="1">IF(Data!S267="","",Data!S267)</f>
        <v/>
      </c>
      <c r="D267" s="18" t="str">
        <f ca="1">IF($A267="","",Data!W267)</f>
        <v/>
      </c>
      <c r="E267" s="18" t="str">
        <f ca="1">IF($A267="","",Data!Y267)</f>
        <v/>
      </c>
      <c r="F267" s="61" t="str">
        <f t="shared" ca="1" si="8"/>
        <v/>
      </c>
      <c r="G267" s="18" t="str">
        <f ca="1">IF($A267="","",Data!AB267)</f>
        <v/>
      </c>
      <c r="H267" s="18" t="str">
        <f ca="1">IF($A267="","",Data!AC267)</f>
        <v/>
      </c>
      <c r="I267" s="18" t="str">
        <f ca="1">IF($A267="","",INT(SUMIFS(Data!$AN$4:$AN$183,Data!$AM$4:$AM$183,$B267,Data!$AL$4:$AL$183,$A267,Data!$AK$4:$AK$183,$C267))+MOD(ROUND(SUMIFS(Data!$AN$4:$AN$183,Data!$AM$4:$AM$183,$B267,Data!$AL$4:$AL$183,$A267,Data!$AK$4:$AK$183,$C267)*3,0),3)/10)</f>
        <v/>
      </c>
      <c r="J267" s="18" t="str">
        <f ca="1">IF($A267="","",SUMIFS(Data!$AQ$4:$AQ$183,Data!$AM$4:$AM$183,$B267,Data!$AL$4:$AL$183,$A267,Data!$AK$4:$AK$183,$C267))</f>
        <v/>
      </c>
      <c r="K267" s="62" t="str">
        <f ca="1">IF($A267="","",IF(SUMIFS(Data!$AN$4:$AN$183,Data!$AM$4:$AM$183,$B267,Data!$AL$4:$AL$183,$A267,Data!$AK$4:$AK$183,$C267)=0,"",J267*3/SUMIFS(Data!$AN$4:$AN$183,Data!$AM$4:$AM$183,$B267,Data!$AL$4:$AL$183,$A267,Data!$AK$4:$AK$183,$C267)))</f>
        <v/>
      </c>
      <c r="L267" s="18" t="str">
        <f ca="1">IF($A267="","",IF(IFERROR(_xlfn.XLOOKUP($C267,Bracket!$F$6:$F$16,Bracket!$K$6:$K$16,""),"")=$B267,1,0))</f>
        <v/>
      </c>
      <c r="M267" s="18" t="str">
        <f ca="1">IF($A267="","",IF(AND(IFERROR(_xlfn.XLOOKUP($C267,Bracket!$F$6:$F$16,Bracket!$K$6:$K$16,""),"")=$B267,LEFT(IFERROR(_xlfn.XLOOKUP($C267,Bracket!$F$6:$F$16,Bracket!$G$6:$G$16,""),""),2)="CG"),1,0))</f>
        <v/>
      </c>
      <c r="N267" s="18" t="str">
        <f ca="1">IF($A267="","",SUMIFS(Data!$X$4:$X$273,Data!$T$4:$T$273,$A267,Data!$U$4:$U$273,$B267,Data!$S$4:$S$273,$C267))</f>
        <v/>
      </c>
      <c r="O267" s="18" t="str">
        <f ca="1">IF($A267="","",SUMIFS(Data!$Z$4:$Z$273,Data!$T$4:$T$273,$A267,Data!$U$4:$U$273,$B267,Data!$S$4:$S$273,$C267))</f>
        <v/>
      </c>
      <c r="P267" s="18" t="str">
        <f ca="1">IF($A267="","",SUMIFS(Data!$AA$4:$AA$273,Data!$T$4:$T$273,$A267,Data!$U$4:$U$273,$B267,Data!$S$4:$S$273,$C267))</f>
        <v/>
      </c>
      <c r="Q267" s="18" t="str">
        <f ca="1">IF($A267="","",SUMIFS(Data!$AD$4:$AD$273,Data!$T$4:$T$273,$A267,Data!$U$4:$U$273,$B267,Data!$S$4:$S$273,$C267))</f>
        <v/>
      </c>
      <c r="R267" s="18" t="str">
        <f ca="1">IF($A267="","",SUMIFS(Data!$AE$4:$AE$273,Data!$T$4:$T$273,$A267,Data!$U$4:$U$273,$B267,Data!$S$4:$S$273,$C267))</f>
        <v/>
      </c>
      <c r="S267" s="18" t="str">
        <f ca="1">IF($A267="","",SUMIFS(Data!$AF$4:$AF$273,Data!$T$4:$T$273,$A267,Data!$U$4:$U$273,$B267,Data!$S$4:$S$273,$C267))</f>
        <v/>
      </c>
      <c r="T267" s="18" t="str">
        <f ca="1">IF($A267="","",SUMIFS(Data!$AG$4:$AG$273,Data!$T$4:$T$273,$A267,Data!$U$4:$U$273,$B267,Data!$S$4:$S$273,$C267))</f>
        <v/>
      </c>
      <c r="U267" s="18" t="str">
        <f ca="1">IF($A267="","",SUMIFS(Data!$AH$4:$AH$273,Data!$T$4:$T$273,$A267,Data!$U$4:$U$273,$B267,Data!$S$4:$S$273,$C267))</f>
        <v/>
      </c>
      <c r="V267" s="18" t="str">
        <f ca="1">IF($A267="","",SUMIFS(Data!$AO$4:$AO$183,Data!$AM$4:$AM$183,$B267,Data!$AL$4:$AL$183,$A267,Data!$AK$4:$AK$183,$C267))</f>
        <v/>
      </c>
      <c r="W267" s="18" t="str">
        <f ca="1">IF($A267="","",SUMIFS(Data!$AP$4:$AP$183,Data!$AM$4:$AM$183,$B267,Data!$AL$4:$AL$183,$A267,Data!$AK$4:$AK$183,$C267))</f>
        <v/>
      </c>
      <c r="X267" s="18" t="str">
        <f ca="1">IF($A267="","",SUMIFS(Data!$AR$4:$AR$183,Data!$AM$4:$AM$183,$B267,Data!$AL$4:$AL$183,$A267,Data!$AK$4:$AK$183,$C267))</f>
        <v/>
      </c>
      <c r="Y267" s="18" t="str">
        <f ca="1">IF($A267="","",SUMIFS(Data!$AS$4:$AS$183,Data!$AM$4:$AM$183,$B267,Data!$AL$4:$AL$183,$A267,Data!$AK$4:$AK$183,$C267))</f>
        <v/>
      </c>
      <c r="Z267" s="18" t="str">
        <f ca="1">IF($A267="","",SUMIFS(Data!$AT$4:$AT$183,Data!$AM$4:$AM$183,$B267,Data!$AL$4:$AL$183,$A267,Data!$AK$4:$AK$183,$C267))</f>
        <v/>
      </c>
      <c r="AA267" s="18" t="str">
        <f ca="1">IF($A267="","",SUMIFS(Data!$AW$4:$AW$183,Data!$AM$4:$AM$183,$B267,Data!$AL$4:$AL$183,$A267,Data!$AK$4:$AK$183,$C267))</f>
        <v/>
      </c>
      <c r="AB267" s="18" t="str">
        <f ca="1">IF($A267="","",SUMIFS(Data!$AX$4:$AX$183,Data!$AM$4:$AM$183,$B267,Data!$AL$4:$AL$183,$A267,Data!$AK$4:$AK$183,$C267))</f>
        <v/>
      </c>
      <c r="AC267" s="18" t="str">
        <f ca="1">IF($A267="","",SUMIFS(Data!$AY$4:$AY$183,Data!$AM$4:$AM$183,$B267,Data!$AL$4:$AL$183,$A267,Data!$AK$4:$AK$183,$C267))</f>
        <v/>
      </c>
      <c r="AD267" s="18" t="str">
        <f t="shared" ca="1" si="9"/>
        <v/>
      </c>
      <c r="AE267" s="18" t="str">
        <f ca="1">IF($A267="","",SUMIFS(Data!$AJ$4:$AJ$183,Data!$AM$4:$AM$183,$B267,Data!$AL$4:$AL$183,$A267,Data!$AK$4:$AK$183,$C267))</f>
        <v/>
      </c>
    </row>
    <row r="268" spans="1:31">
      <c r="A268" s="18" t="str">
        <f ca="1">IF(Data!T268="","",Data!T268)</f>
        <v/>
      </c>
      <c r="B268" s="18" t="str">
        <f ca="1">IF(Data!U268="","",Data!U268)</f>
        <v/>
      </c>
      <c r="C268" s="18" t="str">
        <f ca="1">IF(Data!S268="","",Data!S268)</f>
        <v/>
      </c>
      <c r="D268" s="18" t="str">
        <f ca="1">IF($A268="","",Data!W268)</f>
        <v/>
      </c>
      <c r="E268" s="18" t="str">
        <f ca="1">IF($A268="","",Data!Y268)</f>
        <v/>
      </c>
      <c r="F268" s="61" t="str">
        <f t="shared" ca="1" si="8"/>
        <v/>
      </c>
      <c r="G268" s="18" t="str">
        <f ca="1">IF($A268="","",Data!AB268)</f>
        <v/>
      </c>
      <c r="H268" s="18" t="str">
        <f ca="1">IF($A268="","",Data!AC268)</f>
        <v/>
      </c>
      <c r="I268" s="18" t="str">
        <f ca="1">IF($A268="","",INT(SUMIFS(Data!$AN$4:$AN$183,Data!$AM$4:$AM$183,$B268,Data!$AL$4:$AL$183,$A268,Data!$AK$4:$AK$183,$C268))+MOD(ROUND(SUMIFS(Data!$AN$4:$AN$183,Data!$AM$4:$AM$183,$B268,Data!$AL$4:$AL$183,$A268,Data!$AK$4:$AK$183,$C268)*3,0),3)/10)</f>
        <v/>
      </c>
      <c r="J268" s="18" t="str">
        <f ca="1">IF($A268="","",SUMIFS(Data!$AQ$4:$AQ$183,Data!$AM$4:$AM$183,$B268,Data!$AL$4:$AL$183,$A268,Data!$AK$4:$AK$183,$C268))</f>
        <v/>
      </c>
      <c r="K268" s="62" t="str">
        <f ca="1">IF($A268="","",IF(SUMIFS(Data!$AN$4:$AN$183,Data!$AM$4:$AM$183,$B268,Data!$AL$4:$AL$183,$A268,Data!$AK$4:$AK$183,$C268)=0,"",J268*3/SUMIFS(Data!$AN$4:$AN$183,Data!$AM$4:$AM$183,$B268,Data!$AL$4:$AL$183,$A268,Data!$AK$4:$AK$183,$C268)))</f>
        <v/>
      </c>
      <c r="L268" s="18" t="str">
        <f ca="1">IF($A268="","",IF(IFERROR(_xlfn.XLOOKUP($C268,Bracket!$F$6:$F$16,Bracket!$K$6:$K$16,""),"")=$B268,1,0))</f>
        <v/>
      </c>
      <c r="M268" s="18" t="str">
        <f ca="1">IF($A268="","",IF(AND(IFERROR(_xlfn.XLOOKUP($C268,Bracket!$F$6:$F$16,Bracket!$K$6:$K$16,""),"")=$B268,LEFT(IFERROR(_xlfn.XLOOKUP($C268,Bracket!$F$6:$F$16,Bracket!$G$6:$G$16,""),""),2)="CG"),1,0))</f>
        <v/>
      </c>
      <c r="N268" s="18" t="str">
        <f ca="1">IF($A268="","",SUMIFS(Data!$X$4:$X$273,Data!$T$4:$T$273,$A268,Data!$U$4:$U$273,$B268,Data!$S$4:$S$273,$C268))</f>
        <v/>
      </c>
      <c r="O268" s="18" t="str">
        <f ca="1">IF($A268="","",SUMIFS(Data!$Z$4:$Z$273,Data!$T$4:$T$273,$A268,Data!$U$4:$U$273,$B268,Data!$S$4:$S$273,$C268))</f>
        <v/>
      </c>
      <c r="P268" s="18" t="str">
        <f ca="1">IF($A268="","",SUMIFS(Data!$AA$4:$AA$273,Data!$T$4:$T$273,$A268,Data!$U$4:$U$273,$B268,Data!$S$4:$S$273,$C268))</f>
        <v/>
      </c>
      <c r="Q268" s="18" t="str">
        <f ca="1">IF($A268="","",SUMIFS(Data!$AD$4:$AD$273,Data!$T$4:$T$273,$A268,Data!$U$4:$U$273,$B268,Data!$S$4:$S$273,$C268))</f>
        <v/>
      </c>
      <c r="R268" s="18" t="str">
        <f ca="1">IF($A268="","",SUMIFS(Data!$AE$4:$AE$273,Data!$T$4:$T$273,$A268,Data!$U$4:$U$273,$B268,Data!$S$4:$S$273,$C268))</f>
        <v/>
      </c>
      <c r="S268" s="18" t="str">
        <f ca="1">IF($A268="","",SUMIFS(Data!$AF$4:$AF$273,Data!$T$4:$T$273,$A268,Data!$U$4:$U$273,$B268,Data!$S$4:$S$273,$C268))</f>
        <v/>
      </c>
      <c r="T268" s="18" t="str">
        <f ca="1">IF($A268="","",SUMIFS(Data!$AG$4:$AG$273,Data!$T$4:$T$273,$A268,Data!$U$4:$U$273,$B268,Data!$S$4:$S$273,$C268))</f>
        <v/>
      </c>
      <c r="U268" s="18" t="str">
        <f ca="1">IF($A268="","",SUMIFS(Data!$AH$4:$AH$273,Data!$T$4:$T$273,$A268,Data!$U$4:$U$273,$B268,Data!$S$4:$S$273,$C268))</f>
        <v/>
      </c>
      <c r="V268" s="18" t="str">
        <f ca="1">IF($A268="","",SUMIFS(Data!$AO$4:$AO$183,Data!$AM$4:$AM$183,$B268,Data!$AL$4:$AL$183,$A268,Data!$AK$4:$AK$183,$C268))</f>
        <v/>
      </c>
      <c r="W268" s="18" t="str">
        <f ca="1">IF($A268="","",SUMIFS(Data!$AP$4:$AP$183,Data!$AM$4:$AM$183,$B268,Data!$AL$4:$AL$183,$A268,Data!$AK$4:$AK$183,$C268))</f>
        <v/>
      </c>
      <c r="X268" s="18" t="str">
        <f ca="1">IF($A268="","",SUMIFS(Data!$AR$4:$AR$183,Data!$AM$4:$AM$183,$B268,Data!$AL$4:$AL$183,$A268,Data!$AK$4:$AK$183,$C268))</f>
        <v/>
      </c>
      <c r="Y268" s="18" t="str">
        <f ca="1">IF($A268="","",SUMIFS(Data!$AS$4:$AS$183,Data!$AM$4:$AM$183,$B268,Data!$AL$4:$AL$183,$A268,Data!$AK$4:$AK$183,$C268))</f>
        <v/>
      </c>
      <c r="Z268" s="18" t="str">
        <f ca="1">IF($A268="","",SUMIFS(Data!$AT$4:$AT$183,Data!$AM$4:$AM$183,$B268,Data!$AL$4:$AL$183,$A268,Data!$AK$4:$AK$183,$C268))</f>
        <v/>
      </c>
      <c r="AA268" s="18" t="str">
        <f ca="1">IF($A268="","",SUMIFS(Data!$AW$4:$AW$183,Data!$AM$4:$AM$183,$B268,Data!$AL$4:$AL$183,$A268,Data!$AK$4:$AK$183,$C268))</f>
        <v/>
      </c>
      <c r="AB268" s="18" t="str">
        <f ca="1">IF($A268="","",SUMIFS(Data!$AX$4:$AX$183,Data!$AM$4:$AM$183,$B268,Data!$AL$4:$AL$183,$A268,Data!$AK$4:$AK$183,$C268))</f>
        <v/>
      </c>
      <c r="AC268" s="18" t="str">
        <f ca="1">IF($A268="","",SUMIFS(Data!$AY$4:$AY$183,Data!$AM$4:$AM$183,$B268,Data!$AL$4:$AL$183,$A268,Data!$AK$4:$AK$183,$C268))</f>
        <v/>
      </c>
      <c r="AD268" s="18" t="str">
        <f t="shared" ca="1" si="9"/>
        <v/>
      </c>
      <c r="AE268" s="18" t="str">
        <f ca="1">IF($A268="","",SUMIFS(Data!$AJ$4:$AJ$183,Data!$AM$4:$AM$183,$B268,Data!$AL$4:$AL$183,$A268,Data!$AK$4:$AK$183,$C268))</f>
        <v/>
      </c>
    </row>
    <row r="269" spans="1:31">
      <c r="A269" s="18" t="str">
        <f ca="1">IF(Data!T269="","",Data!T269)</f>
        <v/>
      </c>
      <c r="B269" s="18" t="str">
        <f ca="1">IF(Data!U269="","",Data!U269)</f>
        <v/>
      </c>
      <c r="C269" s="18" t="str">
        <f ca="1">IF(Data!S269="","",Data!S269)</f>
        <v/>
      </c>
      <c r="D269" s="18" t="str">
        <f ca="1">IF($A269="","",Data!W269)</f>
        <v/>
      </c>
      <c r="E269" s="18" t="str">
        <f ca="1">IF($A269="","",Data!Y269)</f>
        <v/>
      </c>
      <c r="F269" s="61" t="str">
        <f t="shared" ca="1" si="8"/>
        <v/>
      </c>
      <c r="G269" s="18" t="str">
        <f ca="1">IF($A269="","",Data!AB269)</f>
        <v/>
      </c>
      <c r="H269" s="18" t="str">
        <f ca="1">IF($A269="","",Data!AC269)</f>
        <v/>
      </c>
      <c r="I269" s="18" t="str">
        <f ca="1">IF($A269="","",INT(SUMIFS(Data!$AN$4:$AN$183,Data!$AM$4:$AM$183,$B269,Data!$AL$4:$AL$183,$A269,Data!$AK$4:$AK$183,$C269))+MOD(ROUND(SUMIFS(Data!$AN$4:$AN$183,Data!$AM$4:$AM$183,$B269,Data!$AL$4:$AL$183,$A269,Data!$AK$4:$AK$183,$C269)*3,0),3)/10)</f>
        <v/>
      </c>
      <c r="J269" s="18" t="str">
        <f ca="1">IF($A269="","",SUMIFS(Data!$AQ$4:$AQ$183,Data!$AM$4:$AM$183,$B269,Data!$AL$4:$AL$183,$A269,Data!$AK$4:$AK$183,$C269))</f>
        <v/>
      </c>
      <c r="K269" s="62" t="str">
        <f ca="1">IF($A269="","",IF(SUMIFS(Data!$AN$4:$AN$183,Data!$AM$4:$AM$183,$B269,Data!$AL$4:$AL$183,$A269,Data!$AK$4:$AK$183,$C269)=0,"",J269*3/SUMIFS(Data!$AN$4:$AN$183,Data!$AM$4:$AM$183,$B269,Data!$AL$4:$AL$183,$A269,Data!$AK$4:$AK$183,$C269)))</f>
        <v/>
      </c>
      <c r="L269" s="18" t="str">
        <f ca="1">IF($A269="","",IF(IFERROR(_xlfn.XLOOKUP($C269,Bracket!$F$6:$F$16,Bracket!$K$6:$K$16,""),"")=$B269,1,0))</f>
        <v/>
      </c>
      <c r="M269" s="18" t="str">
        <f ca="1">IF($A269="","",IF(AND(IFERROR(_xlfn.XLOOKUP($C269,Bracket!$F$6:$F$16,Bracket!$K$6:$K$16,""),"")=$B269,LEFT(IFERROR(_xlfn.XLOOKUP($C269,Bracket!$F$6:$F$16,Bracket!$G$6:$G$16,""),""),2)="CG"),1,0))</f>
        <v/>
      </c>
      <c r="N269" s="18" t="str">
        <f ca="1">IF($A269="","",SUMIFS(Data!$X$4:$X$273,Data!$T$4:$T$273,$A269,Data!$U$4:$U$273,$B269,Data!$S$4:$S$273,$C269))</f>
        <v/>
      </c>
      <c r="O269" s="18" t="str">
        <f ca="1">IF($A269="","",SUMIFS(Data!$Z$4:$Z$273,Data!$T$4:$T$273,$A269,Data!$U$4:$U$273,$B269,Data!$S$4:$S$273,$C269))</f>
        <v/>
      </c>
      <c r="P269" s="18" t="str">
        <f ca="1">IF($A269="","",SUMIFS(Data!$AA$4:$AA$273,Data!$T$4:$T$273,$A269,Data!$U$4:$U$273,$B269,Data!$S$4:$S$273,$C269))</f>
        <v/>
      </c>
      <c r="Q269" s="18" t="str">
        <f ca="1">IF($A269="","",SUMIFS(Data!$AD$4:$AD$273,Data!$T$4:$T$273,$A269,Data!$U$4:$U$273,$B269,Data!$S$4:$S$273,$C269))</f>
        <v/>
      </c>
      <c r="R269" s="18" t="str">
        <f ca="1">IF($A269="","",SUMIFS(Data!$AE$4:$AE$273,Data!$T$4:$T$273,$A269,Data!$U$4:$U$273,$B269,Data!$S$4:$S$273,$C269))</f>
        <v/>
      </c>
      <c r="S269" s="18" t="str">
        <f ca="1">IF($A269="","",SUMIFS(Data!$AF$4:$AF$273,Data!$T$4:$T$273,$A269,Data!$U$4:$U$273,$B269,Data!$S$4:$S$273,$C269))</f>
        <v/>
      </c>
      <c r="T269" s="18" t="str">
        <f ca="1">IF($A269="","",SUMIFS(Data!$AG$4:$AG$273,Data!$T$4:$T$273,$A269,Data!$U$4:$U$273,$B269,Data!$S$4:$S$273,$C269))</f>
        <v/>
      </c>
      <c r="U269" s="18" t="str">
        <f ca="1">IF($A269="","",SUMIFS(Data!$AH$4:$AH$273,Data!$T$4:$T$273,$A269,Data!$U$4:$U$273,$B269,Data!$S$4:$S$273,$C269))</f>
        <v/>
      </c>
      <c r="V269" s="18" t="str">
        <f ca="1">IF($A269="","",SUMIFS(Data!$AO$4:$AO$183,Data!$AM$4:$AM$183,$B269,Data!$AL$4:$AL$183,$A269,Data!$AK$4:$AK$183,$C269))</f>
        <v/>
      </c>
      <c r="W269" s="18" t="str">
        <f ca="1">IF($A269="","",SUMIFS(Data!$AP$4:$AP$183,Data!$AM$4:$AM$183,$B269,Data!$AL$4:$AL$183,$A269,Data!$AK$4:$AK$183,$C269))</f>
        <v/>
      </c>
      <c r="X269" s="18" t="str">
        <f ca="1">IF($A269="","",SUMIFS(Data!$AR$4:$AR$183,Data!$AM$4:$AM$183,$B269,Data!$AL$4:$AL$183,$A269,Data!$AK$4:$AK$183,$C269))</f>
        <v/>
      </c>
      <c r="Y269" s="18" t="str">
        <f ca="1">IF($A269="","",SUMIFS(Data!$AS$4:$AS$183,Data!$AM$4:$AM$183,$B269,Data!$AL$4:$AL$183,$A269,Data!$AK$4:$AK$183,$C269))</f>
        <v/>
      </c>
      <c r="Z269" s="18" t="str">
        <f ca="1">IF($A269="","",SUMIFS(Data!$AT$4:$AT$183,Data!$AM$4:$AM$183,$B269,Data!$AL$4:$AL$183,$A269,Data!$AK$4:$AK$183,$C269))</f>
        <v/>
      </c>
      <c r="AA269" s="18" t="str">
        <f ca="1">IF($A269="","",SUMIFS(Data!$AW$4:$AW$183,Data!$AM$4:$AM$183,$B269,Data!$AL$4:$AL$183,$A269,Data!$AK$4:$AK$183,$C269))</f>
        <v/>
      </c>
      <c r="AB269" s="18" t="str">
        <f ca="1">IF($A269="","",SUMIFS(Data!$AX$4:$AX$183,Data!$AM$4:$AM$183,$B269,Data!$AL$4:$AL$183,$A269,Data!$AK$4:$AK$183,$C269))</f>
        <v/>
      </c>
      <c r="AC269" s="18" t="str">
        <f ca="1">IF($A269="","",SUMIFS(Data!$AY$4:$AY$183,Data!$AM$4:$AM$183,$B269,Data!$AL$4:$AL$183,$A269,Data!$AK$4:$AK$183,$C269))</f>
        <v/>
      </c>
      <c r="AD269" s="18" t="str">
        <f t="shared" ca="1" si="9"/>
        <v/>
      </c>
      <c r="AE269" s="18" t="str">
        <f ca="1">IF($A269="","",SUMIFS(Data!$AJ$4:$AJ$183,Data!$AM$4:$AM$183,$B269,Data!$AL$4:$AL$183,$A269,Data!$AK$4:$AK$183,$C269))</f>
        <v/>
      </c>
    </row>
    <row r="270" spans="1:31">
      <c r="A270" s="18" t="str">
        <f ca="1">IF(Data!T270="","",Data!T270)</f>
        <v/>
      </c>
      <c r="B270" s="18" t="str">
        <f ca="1">IF(Data!U270="","",Data!U270)</f>
        <v/>
      </c>
      <c r="C270" s="18" t="str">
        <f ca="1">IF(Data!S270="","",Data!S270)</f>
        <v/>
      </c>
      <c r="D270" s="18" t="str">
        <f ca="1">IF($A270="","",Data!W270)</f>
        <v/>
      </c>
      <c r="E270" s="18" t="str">
        <f ca="1">IF($A270="","",Data!Y270)</f>
        <v/>
      </c>
      <c r="F270" s="61" t="str">
        <f t="shared" ca="1" si="8"/>
        <v/>
      </c>
      <c r="G270" s="18" t="str">
        <f ca="1">IF($A270="","",Data!AB270)</f>
        <v/>
      </c>
      <c r="H270" s="18" t="str">
        <f ca="1">IF($A270="","",Data!AC270)</f>
        <v/>
      </c>
      <c r="I270" s="18" t="str">
        <f ca="1">IF($A270="","",INT(SUMIFS(Data!$AN$4:$AN$183,Data!$AM$4:$AM$183,$B270,Data!$AL$4:$AL$183,$A270,Data!$AK$4:$AK$183,$C270))+MOD(ROUND(SUMIFS(Data!$AN$4:$AN$183,Data!$AM$4:$AM$183,$B270,Data!$AL$4:$AL$183,$A270,Data!$AK$4:$AK$183,$C270)*3,0),3)/10)</f>
        <v/>
      </c>
      <c r="J270" s="18" t="str">
        <f ca="1">IF($A270="","",SUMIFS(Data!$AQ$4:$AQ$183,Data!$AM$4:$AM$183,$B270,Data!$AL$4:$AL$183,$A270,Data!$AK$4:$AK$183,$C270))</f>
        <v/>
      </c>
      <c r="K270" s="62" t="str">
        <f ca="1">IF($A270="","",IF(SUMIFS(Data!$AN$4:$AN$183,Data!$AM$4:$AM$183,$B270,Data!$AL$4:$AL$183,$A270,Data!$AK$4:$AK$183,$C270)=0,"",J270*3/SUMIFS(Data!$AN$4:$AN$183,Data!$AM$4:$AM$183,$B270,Data!$AL$4:$AL$183,$A270,Data!$AK$4:$AK$183,$C270)))</f>
        <v/>
      </c>
      <c r="L270" s="18" t="str">
        <f ca="1">IF($A270="","",IF(IFERROR(_xlfn.XLOOKUP($C270,Bracket!$F$6:$F$16,Bracket!$K$6:$K$16,""),"")=$B270,1,0))</f>
        <v/>
      </c>
      <c r="M270" s="18" t="str">
        <f ca="1">IF($A270="","",IF(AND(IFERROR(_xlfn.XLOOKUP($C270,Bracket!$F$6:$F$16,Bracket!$K$6:$K$16,""),"")=$B270,LEFT(IFERROR(_xlfn.XLOOKUP($C270,Bracket!$F$6:$F$16,Bracket!$G$6:$G$16,""),""),2)="CG"),1,0))</f>
        <v/>
      </c>
      <c r="N270" s="18" t="str">
        <f ca="1">IF($A270="","",SUMIFS(Data!$X$4:$X$273,Data!$T$4:$T$273,$A270,Data!$U$4:$U$273,$B270,Data!$S$4:$S$273,$C270))</f>
        <v/>
      </c>
      <c r="O270" s="18" t="str">
        <f ca="1">IF($A270="","",SUMIFS(Data!$Z$4:$Z$273,Data!$T$4:$T$273,$A270,Data!$U$4:$U$273,$B270,Data!$S$4:$S$273,$C270))</f>
        <v/>
      </c>
      <c r="P270" s="18" t="str">
        <f ca="1">IF($A270="","",SUMIFS(Data!$AA$4:$AA$273,Data!$T$4:$T$273,$A270,Data!$U$4:$U$273,$B270,Data!$S$4:$S$273,$C270))</f>
        <v/>
      </c>
      <c r="Q270" s="18" t="str">
        <f ca="1">IF($A270="","",SUMIFS(Data!$AD$4:$AD$273,Data!$T$4:$T$273,$A270,Data!$U$4:$U$273,$B270,Data!$S$4:$S$273,$C270))</f>
        <v/>
      </c>
      <c r="R270" s="18" t="str">
        <f ca="1">IF($A270="","",SUMIFS(Data!$AE$4:$AE$273,Data!$T$4:$T$273,$A270,Data!$U$4:$U$273,$B270,Data!$S$4:$S$273,$C270))</f>
        <v/>
      </c>
      <c r="S270" s="18" t="str">
        <f ca="1">IF($A270="","",SUMIFS(Data!$AF$4:$AF$273,Data!$T$4:$T$273,$A270,Data!$U$4:$U$273,$B270,Data!$S$4:$S$273,$C270))</f>
        <v/>
      </c>
      <c r="T270" s="18" t="str">
        <f ca="1">IF($A270="","",SUMIFS(Data!$AG$4:$AG$273,Data!$T$4:$T$273,$A270,Data!$U$4:$U$273,$B270,Data!$S$4:$S$273,$C270))</f>
        <v/>
      </c>
      <c r="U270" s="18" t="str">
        <f ca="1">IF($A270="","",SUMIFS(Data!$AH$4:$AH$273,Data!$T$4:$T$273,$A270,Data!$U$4:$U$273,$B270,Data!$S$4:$S$273,$C270))</f>
        <v/>
      </c>
      <c r="V270" s="18" t="str">
        <f ca="1">IF($A270="","",SUMIFS(Data!$AO$4:$AO$183,Data!$AM$4:$AM$183,$B270,Data!$AL$4:$AL$183,$A270,Data!$AK$4:$AK$183,$C270))</f>
        <v/>
      </c>
      <c r="W270" s="18" t="str">
        <f ca="1">IF($A270="","",SUMIFS(Data!$AP$4:$AP$183,Data!$AM$4:$AM$183,$B270,Data!$AL$4:$AL$183,$A270,Data!$AK$4:$AK$183,$C270))</f>
        <v/>
      </c>
      <c r="X270" s="18" t="str">
        <f ca="1">IF($A270="","",SUMIFS(Data!$AR$4:$AR$183,Data!$AM$4:$AM$183,$B270,Data!$AL$4:$AL$183,$A270,Data!$AK$4:$AK$183,$C270))</f>
        <v/>
      </c>
      <c r="Y270" s="18" t="str">
        <f ca="1">IF($A270="","",SUMIFS(Data!$AS$4:$AS$183,Data!$AM$4:$AM$183,$B270,Data!$AL$4:$AL$183,$A270,Data!$AK$4:$AK$183,$C270))</f>
        <v/>
      </c>
      <c r="Z270" s="18" t="str">
        <f ca="1">IF($A270="","",SUMIFS(Data!$AT$4:$AT$183,Data!$AM$4:$AM$183,$B270,Data!$AL$4:$AL$183,$A270,Data!$AK$4:$AK$183,$C270))</f>
        <v/>
      </c>
      <c r="AA270" s="18" t="str">
        <f ca="1">IF($A270="","",SUMIFS(Data!$AW$4:$AW$183,Data!$AM$4:$AM$183,$B270,Data!$AL$4:$AL$183,$A270,Data!$AK$4:$AK$183,$C270))</f>
        <v/>
      </c>
      <c r="AB270" s="18" t="str">
        <f ca="1">IF($A270="","",SUMIFS(Data!$AX$4:$AX$183,Data!$AM$4:$AM$183,$B270,Data!$AL$4:$AL$183,$A270,Data!$AK$4:$AK$183,$C270))</f>
        <v/>
      </c>
      <c r="AC270" s="18" t="str">
        <f ca="1">IF($A270="","",SUMIFS(Data!$AY$4:$AY$183,Data!$AM$4:$AM$183,$B270,Data!$AL$4:$AL$183,$A270,Data!$AK$4:$AK$183,$C270))</f>
        <v/>
      </c>
      <c r="AD270" s="18" t="str">
        <f t="shared" ca="1" si="9"/>
        <v/>
      </c>
      <c r="AE270" s="18" t="str">
        <f ca="1">IF($A270="","",SUMIFS(Data!$AJ$4:$AJ$183,Data!$AM$4:$AM$183,$B270,Data!$AL$4:$AL$183,$A270,Data!$AK$4:$AK$183,$C270))</f>
        <v/>
      </c>
    </row>
    <row r="271" spans="1:31">
      <c r="A271" s="18" t="str">
        <f ca="1">IF(Data!T271="","",Data!T271)</f>
        <v/>
      </c>
      <c r="B271" s="18" t="str">
        <f ca="1">IF(Data!U271="","",Data!U271)</f>
        <v/>
      </c>
      <c r="C271" s="18" t="str">
        <f ca="1">IF(Data!S271="","",Data!S271)</f>
        <v/>
      </c>
      <c r="D271" s="18" t="str">
        <f ca="1">IF($A271="","",Data!W271)</f>
        <v/>
      </c>
      <c r="E271" s="18" t="str">
        <f ca="1">IF($A271="","",Data!Y271)</f>
        <v/>
      </c>
      <c r="F271" s="61" t="str">
        <f t="shared" ca="1" si="8"/>
        <v/>
      </c>
      <c r="G271" s="18" t="str">
        <f ca="1">IF($A271="","",Data!AB271)</f>
        <v/>
      </c>
      <c r="H271" s="18" t="str">
        <f ca="1">IF($A271="","",Data!AC271)</f>
        <v/>
      </c>
      <c r="I271" s="18" t="str">
        <f ca="1">IF($A271="","",INT(SUMIFS(Data!$AN$4:$AN$183,Data!$AM$4:$AM$183,$B271,Data!$AL$4:$AL$183,$A271,Data!$AK$4:$AK$183,$C271))+MOD(ROUND(SUMIFS(Data!$AN$4:$AN$183,Data!$AM$4:$AM$183,$B271,Data!$AL$4:$AL$183,$A271,Data!$AK$4:$AK$183,$C271)*3,0),3)/10)</f>
        <v/>
      </c>
      <c r="J271" s="18" t="str">
        <f ca="1">IF($A271="","",SUMIFS(Data!$AQ$4:$AQ$183,Data!$AM$4:$AM$183,$B271,Data!$AL$4:$AL$183,$A271,Data!$AK$4:$AK$183,$C271))</f>
        <v/>
      </c>
      <c r="K271" s="62" t="str">
        <f ca="1">IF($A271="","",IF(SUMIFS(Data!$AN$4:$AN$183,Data!$AM$4:$AM$183,$B271,Data!$AL$4:$AL$183,$A271,Data!$AK$4:$AK$183,$C271)=0,"",J271*3/SUMIFS(Data!$AN$4:$AN$183,Data!$AM$4:$AM$183,$B271,Data!$AL$4:$AL$183,$A271,Data!$AK$4:$AK$183,$C271)))</f>
        <v/>
      </c>
      <c r="L271" s="18" t="str">
        <f ca="1">IF($A271="","",IF(IFERROR(_xlfn.XLOOKUP($C271,Bracket!$F$6:$F$16,Bracket!$K$6:$K$16,""),"")=$B271,1,0))</f>
        <v/>
      </c>
      <c r="M271" s="18" t="str">
        <f ca="1">IF($A271="","",IF(AND(IFERROR(_xlfn.XLOOKUP($C271,Bracket!$F$6:$F$16,Bracket!$K$6:$K$16,""),"")=$B271,LEFT(IFERROR(_xlfn.XLOOKUP($C271,Bracket!$F$6:$F$16,Bracket!$G$6:$G$16,""),""),2)="CG"),1,0))</f>
        <v/>
      </c>
      <c r="N271" s="18" t="str">
        <f ca="1">IF($A271="","",SUMIFS(Data!$X$4:$X$273,Data!$T$4:$T$273,$A271,Data!$U$4:$U$273,$B271,Data!$S$4:$S$273,$C271))</f>
        <v/>
      </c>
      <c r="O271" s="18" t="str">
        <f ca="1">IF($A271="","",SUMIFS(Data!$Z$4:$Z$273,Data!$T$4:$T$273,$A271,Data!$U$4:$U$273,$B271,Data!$S$4:$S$273,$C271))</f>
        <v/>
      </c>
      <c r="P271" s="18" t="str">
        <f ca="1">IF($A271="","",SUMIFS(Data!$AA$4:$AA$273,Data!$T$4:$T$273,$A271,Data!$U$4:$U$273,$B271,Data!$S$4:$S$273,$C271))</f>
        <v/>
      </c>
      <c r="Q271" s="18" t="str">
        <f ca="1">IF($A271="","",SUMIFS(Data!$AD$4:$AD$273,Data!$T$4:$T$273,$A271,Data!$U$4:$U$273,$B271,Data!$S$4:$S$273,$C271))</f>
        <v/>
      </c>
      <c r="R271" s="18" t="str">
        <f ca="1">IF($A271="","",SUMIFS(Data!$AE$4:$AE$273,Data!$T$4:$T$273,$A271,Data!$U$4:$U$273,$B271,Data!$S$4:$S$273,$C271))</f>
        <v/>
      </c>
      <c r="S271" s="18" t="str">
        <f ca="1">IF($A271="","",SUMIFS(Data!$AF$4:$AF$273,Data!$T$4:$T$273,$A271,Data!$U$4:$U$273,$B271,Data!$S$4:$S$273,$C271))</f>
        <v/>
      </c>
      <c r="T271" s="18" t="str">
        <f ca="1">IF($A271="","",SUMIFS(Data!$AG$4:$AG$273,Data!$T$4:$T$273,$A271,Data!$U$4:$U$273,$B271,Data!$S$4:$S$273,$C271))</f>
        <v/>
      </c>
      <c r="U271" s="18" t="str">
        <f ca="1">IF($A271="","",SUMIFS(Data!$AH$4:$AH$273,Data!$T$4:$T$273,$A271,Data!$U$4:$U$273,$B271,Data!$S$4:$S$273,$C271))</f>
        <v/>
      </c>
      <c r="V271" s="18" t="str">
        <f ca="1">IF($A271="","",SUMIFS(Data!$AO$4:$AO$183,Data!$AM$4:$AM$183,$B271,Data!$AL$4:$AL$183,$A271,Data!$AK$4:$AK$183,$C271))</f>
        <v/>
      </c>
      <c r="W271" s="18" t="str">
        <f ca="1">IF($A271="","",SUMIFS(Data!$AP$4:$AP$183,Data!$AM$4:$AM$183,$B271,Data!$AL$4:$AL$183,$A271,Data!$AK$4:$AK$183,$C271))</f>
        <v/>
      </c>
      <c r="X271" s="18" t="str">
        <f ca="1">IF($A271="","",SUMIFS(Data!$AR$4:$AR$183,Data!$AM$4:$AM$183,$B271,Data!$AL$4:$AL$183,$A271,Data!$AK$4:$AK$183,$C271))</f>
        <v/>
      </c>
      <c r="Y271" s="18" t="str">
        <f ca="1">IF($A271="","",SUMIFS(Data!$AS$4:$AS$183,Data!$AM$4:$AM$183,$B271,Data!$AL$4:$AL$183,$A271,Data!$AK$4:$AK$183,$C271))</f>
        <v/>
      </c>
      <c r="Z271" s="18" t="str">
        <f ca="1">IF($A271="","",SUMIFS(Data!$AT$4:$AT$183,Data!$AM$4:$AM$183,$B271,Data!$AL$4:$AL$183,$A271,Data!$AK$4:$AK$183,$C271))</f>
        <v/>
      </c>
      <c r="AA271" s="18" t="str">
        <f ca="1">IF($A271="","",SUMIFS(Data!$AW$4:$AW$183,Data!$AM$4:$AM$183,$B271,Data!$AL$4:$AL$183,$A271,Data!$AK$4:$AK$183,$C271))</f>
        <v/>
      </c>
      <c r="AB271" s="18" t="str">
        <f ca="1">IF($A271="","",SUMIFS(Data!$AX$4:$AX$183,Data!$AM$4:$AM$183,$B271,Data!$AL$4:$AL$183,$A271,Data!$AK$4:$AK$183,$C271))</f>
        <v/>
      </c>
      <c r="AC271" s="18" t="str">
        <f ca="1">IF($A271="","",SUMIFS(Data!$AY$4:$AY$183,Data!$AM$4:$AM$183,$B271,Data!$AL$4:$AL$183,$A271,Data!$AK$4:$AK$183,$C271))</f>
        <v/>
      </c>
      <c r="AD271" s="18" t="str">
        <f t="shared" ca="1" si="9"/>
        <v/>
      </c>
      <c r="AE271" s="18" t="str">
        <f ca="1">IF($A271="","",SUMIFS(Data!$AJ$4:$AJ$183,Data!$AM$4:$AM$183,$B271,Data!$AL$4:$AL$183,$A271,Data!$AK$4:$AK$183,$C271))</f>
        <v/>
      </c>
    </row>
    <row r="272" spans="1:31">
      <c r="A272" s="18" t="str">
        <f ca="1">IF(Data!T272="","",Data!T272)</f>
        <v/>
      </c>
      <c r="B272" s="18" t="str">
        <f ca="1">IF(Data!U272="","",Data!U272)</f>
        <v/>
      </c>
      <c r="C272" s="18" t="str">
        <f ca="1">IF(Data!S272="","",Data!S272)</f>
        <v/>
      </c>
      <c r="D272" s="18" t="str">
        <f ca="1">IF($A272="","",Data!W272)</f>
        <v/>
      </c>
      <c r="E272" s="18" t="str">
        <f ca="1">IF($A272="","",Data!Y272)</f>
        <v/>
      </c>
      <c r="F272" s="61" t="str">
        <f t="shared" ca="1" si="8"/>
        <v/>
      </c>
      <c r="G272" s="18" t="str">
        <f ca="1">IF($A272="","",Data!AB272)</f>
        <v/>
      </c>
      <c r="H272" s="18" t="str">
        <f ca="1">IF($A272="","",Data!AC272)</f>
        <v/>
      </c>
      <c r="I272" s="18" t="str">
        <f ca="1">IF($A272="","",INT(SUMIFS(Data!$AN$4:$AN$183,Data!$AM$4:$AM$183,$B272,Data!$AL$4:$AL$183,$A272,Data!$AK$4:$AK$183,$C272))+MOD(ROUND(SUMIFS(Data!$AN$4:$AN$183,Data!$AM$4:$AM$183,$B272,Data!$AL$4:$AL$183,$A272,Data!$AK$4:$AK$183,$C272)*3,0),3)/10)</f>
        <v/>
      </c>
      <c r="J272" s="18" t="str">
        <f ca="1">IF($A272="","",SUMIFS(Data!$AQ$4:$AQ$183,Data!$AM$4:$AM$183,$B272,Data!$AL$4:$AL$183,$A272,Data!$AK$4:$AK$183,$C272))</f>
        <v/>
      </c>
      <c r="K272" s="62" t="str">
        <f ca="1">IF($A272="","",IF(SUMIFS(Data!$AN$4:$AN$183,Data!$AM$4:$AM$183,$B272,Data!$AL$4:$AL$183,$A272,Data!$AK$4:$AK$183,$C272)=0,"",J272*3/SUMIFS(Data!$AN$4:$AN$183,Data!$AM$4:$AM$183,$B272,Data!$AL$4:$AL$183,$A272,Data!$AK$4:$AK$183,$C272)))</f>
        <v/>
      </c>
      <c r="L272" s="18" t="str">
        <f ca="1">IF($A272="","",IF(IFERROR(_xlfn.XLOOKUP($C272,Bracket!$F$6:$F$16,Bracket!$K$6:$K$16,""),"")=$B272,1,0))</f>
        <v/>
      </c>
      <c r="M272" s="18" t="str">
        <f ca="1">IF($A272="","",IF(AND(IFERROR(_xlfn.XLOOKUP($C272,Bracket!$F$6:$F$16,Bracket!$K$6:$K$16,""),"")=$B272,LEFT(IFERROR(_xlfn.XLOOKUP($C272,Bracket!$F$6:$F$16,Bracket!$G$6:$G$16,""),""),2)="CG"),1,0))</f>
        <v/>
      </c>
      <c r="N272" s="18" t="str">
        <f ca="1">IF($A272="","",SUMIFS(Data!$X$4:$X$273,Data!$T$4:$T$273,$A272,Data!$U$4:$U$273,$B272,Data!$S$4:$S$273,$C272))</f>
        <v/>
      </c>
      <c r="O272" s="18" t="str">
        <f ca="1">IF($A272="","",SUMIFS(Data!$Z$4:$Z$273,Data!$T$4:$T$273,$A272,Data!$U$4:$U$273,$B272,Data!$S$4:$S$273,$C272))</f>
        <v/>
      </c>
      <c r="P272" s="18" t="str">
        <f ca="1">IF($A272="","",SUMIFS(Data!$AA$4:$AA$273,Data!$T$4:$T$273,$A272,Data!$U$4:$U$273,$B272,Data!$S$4:$S$273,$C272))</f>
        <v/>
      </c>
      <c r="Q272" s="18" t="str">
        <f ca="1">IF($A272="","",SUMIFS(Data!$AD$4:$AD$273,Data!$T$4:$T$273,$A272,Data!$U$4:$U$273,$B272,Data!$S$4:$S$273,$C272))</f>
        <v/>
      </c>
      <c r="R272" s="18" t="str">
        <f ca="1">IF($A272="","",SUMIFS(Data!$AE$4:$AE$273,Data!$T$4:$T$273,$A272,Data!$U$4:$U$273,$B272,Data!$S$4:$S$273,$C272))</f>
        <v/>
      </c>
      <c r="S272" s="18" t="str">
        <f ca="1">IF($A272="","",SUMIFS(Data!$AF$4:$AF$273,Data!$T$4:$T$273,$A272,Data!$U$4:$U$273,$B272,Data!$S$4:$S$273,$C272))</f>
        <v/>
      </c>
      <c r="T272" s="18" t="str">
        <f ca="1">IF($A272="","",SUMIFS(Data!$AG$4:$AG$273,Data!$T$4:$T$273,$A272,Data!$U$4:$U$273,$B272,Data!$S$4:$S$273,$C272))</f>
        <v/>
      </c>
      <c r="U272" s="18" t="str">
        <f ca="1">IF($A272="","",SUMIFS(Data!$AH$4:$AH$273,Data!$T$4:$T$273,$A272,Data!$U$4:$U$273,$B272,Data!$S$4:$S$273,$C272))</f>
        <v/>
      </c>
      <c r="V272" s="18" t="str">
        <f ca="1">IF($A272="","",SUMIFS(Data!$AO$4:$AO$183,Data!$AM$4:$AM$183,$B272,Data!$AL$4:$AL$183,$A272,Data!$AK$4:$AK$183,$C272))</f>
        <v/>
      </c>
      <c r="W272" s="18" t="str">
        <f ca="1">IF($A272="","",SUMIFS(Data!$AP$4:$AP$183,Data!$AM$4:$AM$183,$B272,Data!$AL$4:$AL$183,$A272,Data!$AK$4:$AK$183,$C272))</f>
        <v/>
      </c>
      <c r="X272" s="18" t="str">
        <f ca="1">IF($A272="","",SUMIFS(Data!$AR$4:$AR$183,Data!$AM$4:$AM$183,$B272,Data!$AL$4:$AL$183,$A272,Data!$AK$4:$AK$183,$C272))</f>
        <v/>
      </c>
      <c r="Y272" s="18" t="str">
        <f ca="1">IF($A272="","",SUMIFS(Data!$AS$4:$AS$183,Data!$AM$4:$AM$183,$B272,Data!$AL$4:$AL$183,$A272,Data!$AK$4:$AK$183,$C272))</f>
        <v/>
      </c>
      <c r="Z272" s="18" t="str">
        <f ca="1">IF($A272="","",SUMIFS(Data!$AT$4:$AT$183,Data!$AM$4:$AM$183,$B272,Data!$AL$4:$AL$183,$A272,Data!$AK$4:$AK$183,$C272))</f>
        <v/>
      </c>
      <c r="AA272" s="18" t="str">
        <f ca="1">IF($A272="","",SUMIFS(Data!$AW$4:$AW$183,Data!$AM$4:$AM$183,$B272,Data!$AL$4:$AL$183,$A272,Data!$AK$4:$AK$183,$C272))</f>
        <v/>
      </c>
      <c r="AB272" s="18" t="str">
        <f ca="1">IF($A272="","",SUMIFS(Data!$AX$4:$AX$183,Data!$AM$4:$AM$183,$B272,Data!$AL$4:$AL$183,$A272,Data!$AK$4:$AK$183,$C272))</f>
        <v/>
      </c>
      <c r="AC272" s="18" t="str">
        <f ca="1">IF($A272="","",SUMIFS(Data!$AY$4:$AY$183,Data!$AM$4:$AM$183,$B272,Data!$AL$4:$AL$183,$A272,Data!$AK$4:$AK$183,$C272))</f>
        <v/>
      </c>
      <c r="AD272" s="18" t="str">
        <f t="shared" ca="1" si="9"/>
        <v/>
      </c>
      <c r="AE272" s="18" t="str">
        <f ca="1">IF($A272="","",SUMIFS(Data!$AJ$4:$AJ$183,Data!$AM$4:$AM$183,$B272,Data!$AL$4:$AL$183,$A272,Data!$AK$4:$AK$183,$C272))</f>
        <v/>
      </c>
    </row>
    <row r="273" spans="1:31">
      <c r="A273" s="18" t="str">
        <f ca="1">IF(Data!T273="","",Data!T273)</f>
        <v/>
      </c>
      <c r="B273" s="18" t="str">
        <f ca="1">IF(Data!U273="","",Data!U273)</f>
        <v/>
      </c>
      <c r="C273" s="18" t="str">
        <f ca="1">IF(Data!S273="","",Data!S273)</f>
        <v/>
      </c>
      <c r="D273" s="18" t="str">
        <f ca="1">IF($A273="","",Data!W273)</f>
        <v/>
      </c>
      <c r="E273" s="18" t="str">
        <f ca="1">IF($A273="","",Data!Y273)</f>
        <v/>
      </c>
      <c r="F273" s="61" t="str">
        <f t="shared" ca="1" si="8"/>
        <v/>
      </c>
      <c r="G273" s="18" t="str">
        <f ca="1">IF($A273="","",Data!AB273)</f>
        <v/>
      </c>
      <c r="H273" s="18" t="str">
        <f ca="1">IF($A273="","",Data!AC273)</f>
        <v/>
      </c>
      <c r="I273" s="18" t="str">
        <f ca="1">IF($A273="","",INT(SUMIFS(Data!$AN$4:$AN$183,Data!$AM$4:$AM$183,$B273,Data!$AL$4:$AL$183,$A273,Data!$AK$4:$AK$183,$C273))+MOD(ROUND(SUMIFS(Data!$AN$4:$AN$183,Data!$AM$4:$AM$183,$B273,Data!$AL$4:$AL$183,$A273,Data!$AK$4:$AK$183,$C273)*3,0),3)/10)</f>
        <v/>
      </c>
      <c r="J273" s="18" t="str">
        <f ca="1">IF($A273="","",SUMIFS(Data!$AQ$4:$AQ$183,Data!$AM$4:$AM$183,$B273,Data!$AL$4:$AL$183,$A273,Data!$AK$4:$AK$183,$C273))</f>
        <v/>
      </c>
      <c r="K273" s="62" t="str">
        <f ca="1">IF($A273="","",IF(SUMIFS(Data!$AN$4:$AN$183,Data!$AM$4:$AM$183,$B273,Data!$AL$4:$AL$183,$A273,Data!$AK$4:$AK$183,$C273)=0,"",J273*3/SUMIFS(Data!$AN$4:$AN$183,Data!$AM$4:$AM$183,$B273,Data!$AL$4:$AL$183,$A273,Data!$AK$4:$AK$183,$C273)))</f>
        <v/>
      </c>
      <c r="L273" s="18" t="str">
        <f ca="1">IF($A273="","",IF(IFERROR(_xlfn.XLOOKUP($C273,Bracket!$F$6:$F$16,Bracket!$K$6:$K$16,""),"")=$B273,1,0))</f>
        <v/>
      </c>
      <c r="M273" s="18" t="str">
        <f ca="1">IF($A273="","",IF(AND(IFERROR(_xlfn.XLOOKUP($C273,Bracket!$F$6:$F$16,Bracket!$K$6:$K$16,""),"")=$B273,LEFT(IFERROR(_xlfn.XLOOKUP($C273,Bracket!$F$6:$F$16,Bracket!$G$6:$G$16,""),""),2)="CG"),1,0))</f>
        <v/>
      </c>
      <c r="N273" s="18" t="str">
        <f ca="1">IF($A273="","",SUMIFS(Data!$X$4:$X$273,Data!$T$4:$T$273,$A273,Data!$U$4:$U$273,$B273,Data!$S$4:$S$273,$C273))</f>
        <v/>
      </c>
      <c r="O273" s="18" t="str">
        <f ca="1">IF($A273="","",SUMIFS(Data!$Z$4:$Z$273,Data!$T$4:$T$273,$A273,Data!$U$4:$U$273,$B273,Data!$S$4:$S$273,$C273))</f>
        <v/>
      </c>
      <c r="P273" s="18" t="str">
        <f ca="1">IF($A273="","",SUMIFS(Data!$AA$4:$AA$273,Data!$T$4:$T$273,$A273,Data!$U$4:$U$273,$B273,Data!$S$4:$S$273,$C273))</f>
        <v/>
      </c>
      <c r="Q273" s="18" t="str">
        <f ca="1">IF($A273="","",SUMIFS(Data!$AD$4:$AD$273,Data!$T$4:$T$273,$A273,Data!$U$4:$U$273,$B273,Data!$S$4:$S$273,$C273))</f>
        <v/>
      </c>
      <c r="R273" s="18" t="str">
        <f ca="1">IF($A273="","",SUMIFS(Data!$AE$4:$AE$273,Data!$T$4:$T$273,$A273,Data!$U$4:$U$273,$B273,Data!$S$4:$S$273,$C273))</f>
        <v/>
      </c>
      <c r="S273" s="18" t="str">
        <f ca="1">IF($A273="","",SUMIFS(Data!$AF$4:$AF$273,Data!$T$4:$T$273,$A273,Data!$U$4:$U$273,$B273,Data!$S$4:$S$273,$C273))</f>
        <v/>
      </c>
      <c r="T273" s="18" t="str">
        <f ca="1">IF($A273="","",SUMIFS(Data!$AG$4:$AG$273,Data!$T$4:$T$273,$A273,Data!$U$4:$U$273,$B273,Data!$S$4:$S$273,$C273))</f>
        <v/>
      </c>
      <c r="U273" s="18" t="str">
        <f ca="1">IF($A273="","",SUMIFS(Data!$AH$4:$AH$273,Data!$T$4:$T$273,$A273,Data!$U$4:$U$273,$B273,Data!$S$4:$S$273,$C273))</f>
        <v/>
      </c>
      <c r="V273" s="18" t="str">
        <f ca="1">IF($A273="","",SUMIFS(Data!$AO$4:$AO$183,Data!$AM$4:$AM$183,$B273,Data!$AL$4:$AL$183,$A273,Data!$AK$4:$AK$183,$C273))</f>
        <v/>
      </c>
      <c r="W273" s="18" t="str">
        <f ca="1">IF($A273="","",SUMIFS(Data!$AP$4:$AP$183,Data!$AM$4:$AM$183,$B273,Data!$AL$4:$AL$183,$A273,Data!$AK$4:$AK$183,$C273))</f>
        <v/>
      </c>
      <c r="X273" s="18" t="str">
        <f ca="1">IF($A273="","",SUMIFS(Data!$AR$4:$AR$183,Data!$AM$4:$AM$183,$B273,Data!$AL$4:$AL$183,$A273,Data!$AK$4:$AK$183,$C273))</f>
        <v/>
      </c>
      <c r="Y273" s="18" t="str">
        <f ca="1">IF($A273="","",SUMIFS(Data!$AS$4:$AS$183,Data!$AM$4:$AM$183,$B273,Data!$AL$4:$AL$183,$A273,Data!$AK$4:$AK$183,$C273))</f>
        <v/>
      </c>
      <c r="Z273" s="18" t="str">
        <f ca="1">IF($A273="","",SUMIFS(Data!$AT$4:$AT$183,Data!$AM$4:$AM$183,$B273,Data!$AL$4:$AL$183,$A273,Data!$AK$4:$AK$183,$C273))</f>
        <v/>
      </c>
      <c r="AA273" s="18" t="str">
        <f ca="1">IF($A273="","",SUMIFS(Data!$AW$4:$AW$183,Data!$AM$4:$AM$183,$B273,Data!$AL$4:$AL$183,$A273,Data!$AK$4:$AK$183,$C273))</f>
        <v/>
      </c>
      <c r="AB273" s="18" t="str">
        <f ca="1">IF($A273="","",SUMIFS(Data!$AX$4:$AX$183,Data!$AM$4:$AM$183,$B273,Data!$AL$4:$AL$183,$A273,Data!$AK$4:$AK$183,$C273))</f>
        <v/>
      </c>
      <c r="AC273" s="18" t="str">
        <f ca="1">IF($A273="","",SUMIFS(Data!$AY$4:$AY$183,Data!$AM$4:$AM$183,$B273,Data!$AL$4:$AL$183,$A273,Data!$AK$4:$AK$183,$C273))</f>
        <v/>
      </c>
      <c r="AD273" s="18" t="str">
        <f t="shared" ca="1" si="9"/>
        <v/>
      </c>
      <c r="AE273" s="18" t="str">
        <f ca="1">IF($A273="","",SUMIFS(Data!$AJ$4:$AJ$183,Data!$AM$4:$AM$183,$B273,Data!$AL$4:$AL$183,$A273,Data!$AK$4:$AK$183,$C273))</f>
        <v/>
      </c>
    </row>
  </sheetData>
  <conditionalFormatting sqref="A1:M273">
    <cfRule type="expression" dxfId="39" priority="9">
      <formula>COUNTIFS(ActivePlayers,A1,ActiveColors,"Blue")&gt;0</formula>
    </cfRule>
  </conditionalFormatting>
  <conditionalFormatting sqref="A1:M273">
    <cfRule type="expression" dxfId="38" priority="10">
      <formula>COUNTIFS(ActivePlayers,A1,ActiveColors,"Orange")&gt;0</formula>
    </cfRule>
  </conditionalFormatting>
  <conditionalFormatting sqref="A1:M273">
    <cfRule type="expression" dxfId="37" priority="11">
      <formula>COUNTIFS(ActivePlayers,A1,ActiveColors,"Green")&gt;0</formula>
    </cfRule>
  </conditionalFormatting>
  <conditionalFormatting sqref="A1:M273">
    <cfRule type="expression" dxfId="36" priority="12">
      <formula>COUNTIFS(ActivePlayers,A1,ActiveColors,"Red")&gt;0</formula>
    </cfRule>
  </conditionalFormatting>
  <conditionalFormatting sqref="A1:M273">
    <cfRule type="expression" dxfId="35" priority="13">
      <formula>COUNTIFS(ActivePlayers,A1,ActiveColors,"Purple")&gt;0</formula>
    </cfRule>
  </conditionalFormatting>
  <conditionalFormatting sqref="A1:M273">
    <cfRule type="expression" dxfId="34" priority="14">
      <formula>COUNTIFS(ActivePlayers,A1,ActiveColors,"Pink")&gt;0</formula>
    </cfRule>
  </conditionalFormatting>
  <conditionalFormatting sqref="A1:M273">
    <cfRule type="expression" dxfId="33" priority="15">
      <formula>COUNTIFS(ActivePlayers,A1,ActiveColors,"Gray")&gt;0</formula>
    </cfRule>
  </conditionalFormatting>
  <conditionalFormatting sqref="A1:M273">
    <cfRule type="expression" dxfId="32" priority="16">
      <formula>COUNTIFS(ActivePlayers,A1,ActiveColors,"Brown")&gt;0</formula>
    </cfRule>
  </conditionalFormatting>
  <conditionalFormatting sqref="N3:AE3">
    <cfRule type="expression" dxfId="31" priority="1">
      <formula>COUNTIFS(ActivePlayers,N3,ActiveColors,"Blue")&gt;0</formula>
    </cfRule>
  </conditionalFormatting>
  <conditionalFormatting sqref="N3:AE3">
    <cfRule type="expression" dxfId="30" priority="2">
      <formula>COUNTIFS(ActivePlayers,N3,ActiveColors,"Orange")&gt;0</formula>
    </cfRule>
  </conditionalFormatting>
  <conditionalFormatting sqref="N3:AE3">
    <cfRule type="expression" dxfId="29" priority="3">
      <formula>COUNTIFS(ActivePlayers,N3,ActiveColors,"Green")&gt;0</formula>
    </cfRule>
  </conditionalFormatting>
  <conditionalFormatting sqref="N3:AE3">
    <cfRule type="expression" dxfId="28" priority="4">
      <formula>COUNTIFS(ActivePlayers,N3,ActiveColors,"Red")&gt;0</formula>
    </cfRule>
  </conditionalFormatting>
  <conditionalFormatting sqref="N3:AE3">
    <cfRule type="expression" dxfId="27" priority="5">
      <formula>COUNTIFS(ActivePlayers,N3,ActiveColors,"Purple")&gt;0</formula>
    </cfRule>
  </conditionalFormatting>
  <conditionalFormatting sqref="N3:AE3">
    <cfRule type="expression" dxfId="26" priority="6">
      <formula>COUNTIFS(ActivePlayers,N3,ActiveColors,"Pink")&gt;0</formula>
    </cfRule>
  </conditionalFormatting>
  <conditionalFormatting sqref="N3:AE3">
    <cfRule type="expression" dxfId="25" priority="7">
      <formula>COUNTIFS(ActivePlayers,N3,ActiveColors,"Gray")&gt;0</formula>
    </cfRule>
  </conditionalFormatting>
  <conditionalFormatting sqref="N3:AE3">
    <cfRule type="expression" dxfId="24" priority="8">
      <formula>COUNTIFS(ActivePlayers,N3,ActiveColors,"Brown")&gt;0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601A5D41-631C-411B-B7A0-0E3ECBD8A07D}">
  <dimension ref="A1:P162"/>
  <sheetViews>
    <sheetView topLeftCell="A82" workbookViewId="0">
      <selection activeCell="I16" sqref="I16"/>
    </sheetView>
  </sheetViews>
  <sheetFormatPr defaultRowHeight="15"/>
  <cols>
    <col min="1" max="1" width="26.42578125" bestFit="1" customWidth="1"/>
    <col min="2" max="2" width="16.42578125" bestFit="1" customWidth="1"/>
    <col min="3" max="3" width="3.28515625" bestFit="1" customWidth="1"/>
    <col min="4" max="4" width="2.140625" bestFit="1" customWidth="1"/>
    <col min="5" max="5" width="5.7109375" bestFit="1" customWidth="1"/>
    <col min="6" max="6" width="3.42578125" bestFit="1" customWidth="1"/>
    <col min="7" max="7" width="3.85546875" bestFit="1" customWidth="1"/>
    <col min="8" max="8" width="9.85546875" bestFit="1" customWidth="1"/>
    <col min="9" max="9" width="9" bestFit="1" customWidth="1"/>
    <col min="10" max="10" width="18.28515625" bestFit="1" customWidth="1"/>
    <col min="11" max="11" width="6" bestFit="1" customWidth="1"/>
    <col min="12" max="12" width="9" bestFit="1" customWidth="1"/>
    <col min="13" max="13" width="5.7109375" bestFit="1" customWidth="1"/>
    <col min="14" max="14" width="4.7109375" bestFit="1" customWidth="1"/>
    <col min="15" max="15" width="5.85546875" bestFit="1" customWidth="1"/>
    <col min="16" max="16" width="10.28515625" bestFit="1" customWidth="1"/>
  </cols>
  <sheetData>
    <row r="1" spans="1:16" ht="18.75">
      <c r="A1" s="59" t="s">
        <v>283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3" spans="1:16">
      <c r="A3" s="63" t="s">
        <v>284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</row>
    <row r="4" spans="1:16">
      <c r="A4" s="35" t="s">
        <v>129</v>
      </c>
      <c r="B4" s="60" t="s">
        <v>285</v>
      </c>
      <c r="C4" s="60" t="s">
        <v>198</v>
      </c>
      <c r="D4" s="60" t="s">
        <v>199</v>
      </c>
      <c r="E4" s="60" t="s">
        <v>266</v>
      </c>
      <c r="F4" s="60" t="s">
        <v>267</v>
      </c>
      <c r="G4" s="60" t="s">
        <v>286</v>
      </c>
      <c r="H4" s="60" t="s">
        <v>175</v>
      </c>
      <c r="I4" s="60" t="s">
        <v>162</v>
      </c>
      <c r="J4" s="60" t="s">
        <v>268</v>
      </c>
      <c r="K4" s="60" t="s">
        <v>269</v>
      </c>
      <c r="L4" s="60" t="s">
        <v>270</v>
      </c>
      <c r="M4" s="60" t="s">
        <v>271</v>
      </c>
      <c r="N4" s="60" t="s">
        <v>273</v>
      </c>
      <c r="O4" s="60" t="s">
        <v>274</v>
      </c>
      <c r="P4" s="60" t="s">
        <v>146</v>
      </c>
    </row>
    <row r="5" spans="1:16">
      <c r="A5" s="114" t="str">
        <f>IF(3&lt;=Settings!$B$3+2,Settings!E3,"")</f>
        <v>Aidan</v>
      </c>
      <c r="B5" s="18" cm="1">
        <f t="array" aca="1" ref="B5" ca="1">IF($A5="","",SUMPRODUCT(('Current Player Stats'!$A$4:$A$33=$A5)*('Current Player Stats'!$A$4:$A$33&lt;&gt;"")))</f>
        <v>3</v>
      </c>
      <c r="C5" s="18">
        <f ca="1">IF($A5="","",SUMIFS('Current Player Stats'!$C$4:$C$33,'Current Player Stats'!$A$4:$A$33,$A5))</f>
        <v>1</v>
      </c>
      <c r="D5" s="18">
        <f ca="1">IF($A5="","",SUMIFS('Current Player Stats'!$D$4:$D$33,'Current Player Stats'!$A$4:$A$33,$A5))</f>
        <v>2</v>
      </c>
      <c r="E5" s="18">
        <f ca="1">IF($A5="","",SUMIFS('Current Player Stats'!$E$4:$E$33,'Current Player Stats'!$A$4:$A$33,$A5))</f>
        <v>7</v>
      </c>
      <c r="F5" s="18">
        <f ca="1">IF($A5="","",SUMIFS('Current Player Stats'!$F$4:$F$33,'Current Player Stats'!$A$4:$A$33,$A5))</f>
        <v>12</v>
      </c>
      <c r="G5" s="18">
        <f ca="1">IF($A5="","",E5-F5)</f>
        <v>-5</v>
      </c>
      <c r="H5" s="18">
        <f ca="1">IF($A5="","",SUMIFS('Current Player Stats'!$G$4:$G$33,'Current Player Stats'!$A$4:$A$33,$A5))</f>
        <v>38</v>
      </c>
      <c r="I5" s="18">
        <f ca="1">IF($A5="","",SUMIFS('Current Player Stats'!$H$4:$H$33,'Current Player Stats'!$A$4:$A$33,$A5))</f>
        <v>14</v>
      </c>
      <c r="J5" s="61">
        <f ca="1">IF($A5="","",IF(H5=0,0,I5/H5))</f>
        <v>0.3684210526315789</v>
      </c>
      <c r="K5" s="61">
        <f ca="1">IF($A5="","",IF(H5=0,0,_xlfn.LET(_xlpm.h,I5,_xlpm.bb,SUMIFS(Data!$AD$4:$AD$273,Data!$T$4:$T$273,$A5),_xlpm.hbp,SUMIFS(Data!$AF$4:$AF$273,Data!$T$4:$T$273,$A5),_xlpm.sf,SUMIFS(Data!$AG$4:$AG$273,Data!$T$4:$T$273,$A5),IF((H5+_xlpm.bb+_xlpm.hbp+_xlpm.sf)=0,0,(_xlpm.h+_xlpm.bb+_xlpm.hbp)/(H5+_xlpm.bb+_xlpm.hbp+_xlpm.sf)))))</f>
        <v>0.3684210526315789</v>
      </c>
      <c r="L5" s="61">
        <f ca="1">IF($A5="","",IF(H5=0,0,_xlfn.LET(_xlpm.singles,I5-SUMIFS(Data!$Z$4:$Z$273,Data!$T$4:$T$273,$A5)-SUMIFS(Data!$AA$4:$AA$273,Data!$T$4:$T$273,$A5)-SUMIFS(Data!$AB$4:$AB$273,Data!$T$4:$T$273,$A5),_xlpm.dbl,SUMIFS(Data!$Z$4:$Z$273,Data!$T$4:$T$273,$A5),_xlpm.trp,SUMIFS(Data!$AA$4:$AA$273,Data!$T$4:$T$273,$A5),_xlpm.hr,SUMIFS(Data!$AB$4:$AB$273,Data!$T$4:$T$273,$A5),(_xlpm.singles+2*_xlpm.dbl+3*_xlpm.trp+4*_xlpm.hr)/H5)))</f>
        <v>0.7894736842105263</v>
      </c>
      <c r="M5" s="61">
        <f ca="1">IF($A5="","",K5+L5)</f>
        <v>1.1578947368421053</v>
      </c>
      <c r="N5" s="62">
        <f ca="1">IF($A5="","",IF(SUMIFS(Data!$AN$4:$AN$183,Data!$AL$4:$AL$183,$A5)=0,0,SUMIFS(Data!$AQ$4:$AQ$183,Data!$AL$4:$AL$183,$A5)*3/SUMIFS(Data!$AN$4:$AN$183,Data!$AL$4:$AL$183,$A5)))</f>
        <v>4.0</v>
      </c>
      <c r="O5" s="61">
        <f ca="1">IF($A5="","",IF(SUMIFS(Data!$AN$4:$AN$183,Data!$AL$4:$AL$183,$A5)=0,0,(SUMIFS(Data!$AO$4:$AO$183,Data!$AL$4:$AL$183,$A5)+SUMIFS(Data!$AR$4:$AR$183,Data!$AL$4:$AL$183,$A5))/SUMIFS(Data!$AN$4:$AN$183,Data!$AL$4:$AL$183,$A5)))</f>
        <v>1.8888888888888888</v>
      </c>
      <c r="P5" s="18" t="str">
        <f ca="1">IF($A5="","",IFERROR(_xlfn.XLOOKUP($A5,Bracket!$B$18:$B$25,Bracket!$A$18:$A$25,""),""))</f>
        <v>6th</v>
      </c>
    </row>
    <row r="6" spans="1:16">
      <c r="A6" s="115" t="str">
        <f>IF(4&lt;=Settings!$B$3+2,Settings!E4,"")</f>
        <v>Donovan</v>
      </c>
      <c r="B6" s="18" cm="1">
        <f t="array" aca="1" ref="B6" ca="1">IF($A6="","",SUMPRODUCT(('Current Player Stats'!$A$4:$A$33=$A6)*('Current Player Stats'!$A$4:$A$33&lt;&gt;"")))</f>
        <v>3</v>
      </c>
      <c r="C6" s="18">
        <f ca="1">IF($A6="","",SUMIFS('Current Player Stats'!$C$4:$C$33,'Current Player Stats'!$A$4:$A$33,$A6))</f>
        <v>1</v>
      </c>
      <c r="D6" s="18">
        <f ca="1">IF($A6="","",SUMIFS('Current Player Stats'!$D$4:$D$33,'Current Player Stats'!$A$4:$A$33,$A6))</f>
        <v>2</v>
      </c>
      <c r="E6" s="18">
        <f ca="1">IF($A6="","",SUMIFS('Current Player Stats'!$E$4:$E$33,'Current Player Stats'!$A$4:$A$33,$A6))</f>
        <v>4</v>
      </c>
      <c r="F6" s="18">
        <f ca="1">IF($A6="","",SUMIFS('Current Player Stats'!$F$4:$F$33,'Current Player Stats'!$A$4:$A$33,$A6))</f>
        <v>6</v>
      </c>
      <c r="G6" s="18">
        <f ca="1">IF($A6="","",E6-F6)</f>
        <v>-2</v>
      </c>
      <c r="H6" s="18">
        <f ca="1">IF($A6="","",SUMIFS('Current Player Stats'!$G$4:$G$33,'Current Player Stats'!$A$4:$A$33,$A6))</f>
        <v>31</v>
      </c>
      <c r="I6" s="18">
        <f ca="1">IF($A6="","",SUMIFS('Current Player Stats'!$H$4:$H$33,'Current Player Stats'!$A$4:$A$33,$A6))</f>
        <v>5</v>
      </c>
      <c r="J6" s="61">
        <f ca="1">IF($A6="","",IF(H6=0,0,I6/H6))</f>
        <v>0.16129032258064516</v>
      </c>
      <c r="K6" s="61">
        <f ca="1">IF($A6="","",IF(H6=0,0,_xlfn.LET(_xlpm.h,I6,_xlpm.bb,SUMIFS(Data!$AD$4:$AD$273,Data!$T$4:$T$273,$A6),_xlpm.hbp,SUMIFS(Data!$AF$4:$AF$273,Data!$T$4:$T$273,$A6),_xlpm.sf,SUMIFS(Data!$AG$4:$AG$273,Data!$T$4:$T$273,$A6),IF((H6+_xlpm.bb+_xlpm.hbp+_xlpm.sf)=0,0,(_xlpm.h+_xlpm.bb+_xlpm.hbp)/(H6+_xlpm.bb+_xlpm.hbp+_xlpm.sf)))))</f>
        <v>0.16129032258064516</v>
      </c>
      <c r="L6" s="61">
        <f ca="1">IF($A6="","",IF(H6=0,0,_xlfn.LET(_xlpm.singles,I6-SUMIFS(Data!$Z$4:$Z$273,Data!$T$4:$T$273,$A6)-SUMIFS(Data!$AA$4:$AA$273,Data!$T$4:$T$273,$A6)-SUMIFS(Data!$AB$4:$AB$273,Data!$T$4:$T$273,$A6),_xlpm.dbl,SUMIFS(Data!$Z$4:$Z$273,Data!$T$4:$T$273,$A6),_xlpm.trp,SUMIFS(Data!$AA$4:$AA$273,Data!$T$4:$T$273,$A6),_xlpm.hr,SUMIFS(Data!$AB$4:$AB$273,Data!$T$4:$T$273,$A6),(_xlpm.singles+2*_xlpm.dbl+3*_xlpm.trp+4*_xlpm.hr)/H6)))</f>
        <v>0.3870967741935484</v>
      </c>
      <c r="M6" s="61">
        <f ca="1">IF($A6="","",K6+L6)</f>
        <v>0.5483870967741935</v>
      </c>
      <c r="N6" s="62">
        <f ca="1">IF($A6="","",IF(SUMIFS(Data!$AN$4:$AN$183,Data!$AL$4:$AL$183,$A6)=0,0,SUMIFS(Data!$AQ$4:$AQ$183,Data!$AL$4:$AL$183,$A6)*3/SUMIFS(Data!$AN$4:$AN$183,Data!$AL$4:$AL$183,$A6)))</f>
        <v>2.25</v>
      </c>
      <c r="O6" s="61">
        <f ca="1">IF($A6="","",IF(SUMIFS(Data!$AN$4:$AN$183,Data!$AL$4:$AL$183,$A6)=0,0,(SUMIFS(Data!$AO$4:$AO$183,Data!$AL$4:$AL$183,$A6)+SUMIFS(Data!$AR$4:$AR$183,Data!$AL$4:$AL$183,$A6))/SUMIFS(Data!$AN$4:$AN$183,Data!$AL$4:$AL$183,$A6)))</f>
        <v>1.25</v>
      </c>
      <c r="P6" s="18" t="str">
        <f ca="1">IF($A6="","",IFERROR(_xlfn.XLOOKUP($A6,Bracket!$B$18:$B$25,Bracket!$A$18:$A$25,""),""))</f>
        <v>4th</v>
      </c>
    </row>
    <row r="7" spans="1:16">
      <c r="A7" s="116" t="str">
        <f>IF(5&lt;=Settings!$B$3+2,Settings!E5,"")</f>
        <v>Jason</v>
      </c>
      <c r="B7" s="18" cm="1">
        <f t="array" aca="1" ref="B7" ca="1">IF($A7="","",SUMPRODUCT(('Current Player Stats'!$A$4:$A$33=$A7)*('Current Player Stats'!$A$4:$A$33&lt;&gt;"")))</f>
        <v>4</v>
      </c>
      <c r="C7" s="18">
        <f ca="1">IF($A7="","",SUMIFS('Current Player Stats'!$C$4:$C$33,'Current Player Stats'!$A$4:$A$33,$A7))</f>
        <v>3</v>
      </c>
      <c r="D7" s="18">
        <f ca="1">IF($A7="","",SUMIFS('Current Player Stats'!$D$4:$D$33,'Current Player Stats'!$A$4:$A$33,$A7))</f>
        <v>1</v>
      </c>
      <c r="E7" s="18">
        <f ca="1">IF($A7="","",SUMIFS('Current Player Stats'!$E$4:$E$33,'Current Player Stats'!$A$4:$A$33,$A7))</f>
        <v>14</v>
      </c>
      <c r="F7" s="18">
        <f ca="1">IF($A7="","",SUMIFS('Current Player Stats'!$F$4:$F$33,'Current Player Stats'!$A$4:$A$33,$A7))</f>
        <v>9</v>
      </c>
      <c r="G7" s="18">
        <f ca="1">IF($A7="","",E7-F7)</f>
        <v>5</v>
      </c>
      <c r="H7" s="18">
        <f ca="1">IF($A7="","",SUMIFS('Current Player Stats'!$G$4:$G$33,'Current Player Stats'!$A$4:$A$33,$A7))</f>
        <v>60</v>
      </c>
      <c r="I7" s="18">
        <f ca="1">IF($A7="","",SUMIFS('Current Player Stats'!$H$4:$H$33,'Current Player Stats'!$A$4:$A$33,$A7))</f>
        <v>26</v>
      </c>
      <c r="J7" s="61">
        <f ca="1">IF($A7="","",IF(H7=0,0,I7/H7))</f>
        <v>0.43333333333333335</v>
      </c>
      <c r="K7" s="61">
        <f ca="1">IF($A7="","",IF(H7=0,0,_xlfn.LET(_xlpm.h,I7,_xlpm.bb,SUMIFS(Data!$AD$4:$AD$273,Data!$T$4:$T$273,$A7),_xlpm.hbp,SUMIFS(Data!$AF$4:$AF$273,Data!$T$4:$T$273,$A7),_xlpm.sf,SUMIFS(Data!$AG$4:$AG$273,Data!$T$4:$T$273,$A7),IF((H7+_xlpm.bb+_xlpm.hbp+_xlpm.sf)=0,0,(_xlpm.h+_xlpm.bb+_xlpm.hbp)/(H7+_xlpm.bb+_xlpm.hbp+_xlpm.sf)))))</f>
        <v>0.4426229508196721</v>
      </c>
      <c r="L7" s="61">
        <f ca="1">IF($A7="","",IF(H7=0,0,_xlfn.LET(_xlpm.singles,I7-SUMIFS(Data!$Z$4:$Z$273,Data!$T$4:$T$273,$A7)-SUMIFS(Data!$AA$4:$AA$273,Data!$T$4:$T$273,$A7)-SUMIFS(Data!$AB$4:$AB$273,Data!$T$4:$T$273,$A7),_xlpm.dbl,SUMIFS(Data!$Z$4:$Z$273,Data!$T$4:$T$273,$A7),_xlpm.trp,SUMIFS(Data!$AA$4:$AA$273,Data!$T$4:$T$273,$A7),_xlpm.hr,SUMIFS(Data!$AB$4:$AB$273,Data!$T$4:$T$273,$A7),(_xlpm.singles+2*_xlpm.dbl+3*_xlpm.trp+4*_xlpm.hr)/H7)))</f>
        <v>0.85</v>
      </c>
      <c r="M7" s="61">
        <f ca="1">IF($A7="","",K7+L7)</f>
        <v>1.292622950819672</v>
      </c>
      <c r="N7" s="62">
        <f ca="1">IF($A7="","",IF(SUMIFS(Data!$AN$4:$AN$183,Data!$AL$4:$AL$183,$A7)=0,0,SUMIFS(Data!$AQ$4:$AQ$183,Data!$AL$4:$AL$183,$A7)*3/SUMIFS(Data!$AN$4:$AN$183,Data!$AL$4:$AL$183,$A7)))</f>
        <v>2.4545454545454546</v>
      </c>
      <c r="O7" s="61">
        <f ca="1">IF($A7="","",IF(SUMIFS(Data!$AN$4:$AN$183,Data!$AL$4:$AL$183,$A7)=0,0,(SUMIFS(Data!$AO$4:$AO$183,Data!$AL$4:$AL$183,$A7)+SUMIFS(Data!$AR$4:$AR$183,Data!$AL$4:$AL$183,$A7))/SUMIFS(Data!$AN$4:$AN$183,Data!$AL$4:$AL$183,$A7)))</f>
        <v>1.4545454545454546</v>
      </c>
      <c r="P7" s="18" t="str">
        <f ca="1">IF($A7="","",IFERROR(_xlfn.XLOOKUP($A7,Bracket!$B$18:$B$25,Bracket!$A$18:$A$25,""),""))</f>
        <v>1st</v>
      </c>
    </row>
    <row r="8" spans="1:16">
      <c r="A8" s="117" t="str">
        <f>IF(6&lt;=Settings!$B$3+2,Settings!E6,"")</f>
        <v>Justin</v>
      </c>
      <c r="B8" s="18" cm="1">
        <f t="array" aca="1" ref="B8" ca="1">IF($A8="","",SUMPRODUCT(('Current Player Stats'!$A$4:$A$33=$A8)*('Current Player Stats'!$A$4:$A$33&lt;&gt;"")))</f>
        <v>2</v>
      </c>
      <c r="C8" s="18">
        <f ca="1">IF($A8="","",SUMIFS('Current Player Stats'!$C$4:$C$33,'Current Player Stats'!$A$4:$A$33,$A8))</f>
        <v>0</v>
      </c>
      <c r="D8" s="18">
        <f ca="1">IF($A8="","",SUMIFS('Current Player Stats'!$D$4:$D$33,'Current Player Stats'!$A$4:$A$33,$A8))</f>
        <v>2</v>
      </c>
      <c r="E8" s="18">
        <f ca="1">IF($A8="","",SUMIFS('Current Player Stats'!$E$4:$E$33,'Current Player Stats'!$A$4:$A$33,$A8))</f>
        <v>4</v>
      </c>
      <c r="F8" s="18">
        <f ca="1">IF($A8="","",SUMIFS('Current Player Stats'!$F$4:$F$33,'Current Player Stats'!$A$4:$A$33,$A8))</f>
        <v>6</v>
      </c>
      <c r="G8" s="18">
        <f ca="1">IF($A8="","",E8-F8)</f>
        <v>-2</v>
      </c>
      <c r="H8" s="18">
        <f ca="1">IF($A8="","",SUMIFS('Current Player Stats'!$G$4:$G$33,'Current Player Stats'!$A$4:$A$33,$A8))</f>
        <v>24</v>
      </c>
      <c r="I8" s="18">
        <f ca="1">IF($A8="","",SUMIFS('Current Player Stats'!$H$4:$H$33,'Current Player Stats'!$A$4:$A$33,$A8))</f>
        <v>7</v>
      </c>
      <c r="J8" s="61">
        <f ca="1">IF($A8="","",IF(H8=0,0,I8/H8))</f>
        <v>0.2916666666666667</v>
      </c>
      <c r="K8" s="61">
        <f ca="1">IF($A8="","",IF(H8=0,0,_xlfn.LET(_xlpm.h,I8,_xlpm.bb,SUMIFS(Data!$AD$4:$AD$273,Data!$T$4:$T$273,$A8),_xlpm.hbp,SUMIFS(Data!$AF$4:$AF$273,Data!$T$4:$T$273,$A8),_xlpm.sf,SUMIFS(Data!$AG$4:$AG$273,Data!$T$4:$T$273,$A8),IF((H8+_xlpm.bb+_xlpm.hbp+_xlpm.sf)=0,0,(_xlpm.h+_xlpm.bb+_xlpm.hbp)/(H8+_xlpm.bb+_xlpm.hbp+_xlpm.sf)))))</f>
        <v>0.28</v>
      </c>
      <c r="L8" s="61">
        <f ca="1">IF($A8="","",IF(H8=0,0,_xlfn.LET(_xlpm.singles,I8-SUMIFS(Data!$Z$4:$Z$273,Data!$T$4:$T$273,$A8)-SUMIFS(Data!$AA$4:$AA$273,Data!$T$4:$T$273,$A8)-SUMIFS(Data!$AB$4:$AB$273,Data!$T$4:$T$273,$A8),_xlpm.dbl,SUMIFS(Data!$Z$4:$Z$273,Data!$T$4:$T$273,$A8),_xlpm.trp,SUMIFS(Data!$AA$4:$AA$273,Data!$T$4:$T$273,$A8),_xlpm.hr,SUMIFS(Data!$AB$4:$AB$273,Data!$T$4:$T$273,$A8),(_xlpm.singles+2*_xlpm.dbl+3*_xlpm.trp+4*_xlpm.hr)/H8)))</f>
        <v>0.875</v>
      </c>
      <c r="M8" s="61">
        <f ca="1">IF($A8="","",K8+L8)</f>
        <v>1.155</v>
      </c>
      <c r="N8" s="62">
        <f ca="1">IF($A8="","",IF(SUMIFS(Data!$AN$4:$AN$183,Data!$AL$4:$AL$183,$A8)=0,0,SUMIFS(Data!$AQ$4:$AQ$183,Data!$AL$4:$AL$183,$A8)*3/SUMIFS(Data!$AN$4:$AN$183,Data!$AL$4:$AL$183,$A8)))</f>
        <v>4.153846153846154</v>
      </c>
      <c r="O8" s="61">
        <f ca="1">IF($A8="","",IF(SUMIFS(Data!$AN$4:$AN$183,Data!$AL$4:$AL$183,$A8)=0,0,(SUMIFS(Data!$AO$4:$AO$183,Data!$AL$4:$AL$183,$A8)+SUMIFS(Data!$AR$4:$AR$183,Data!$AL$4:$AL$183,$A8))/SUMIFS(Data!$AN$4:$AN$183,Data!$AL$4:$AL$183,$A8)))</f>
        <v>2.307692307692308</v>
      </c>
      <c r="P8" s="18" t="str">
        <f ca="1">IF($A8="","",IFERROR(_xlfn.XLOOKUP($A8,Bracket!$B$18:$B$25,Bracket!$A$18:$A$25,""),""))</f>
        <v>5th</v>
      </c>
    </row>
    <row r="9" spans="1:16">
      <c r="A9" s="118" t="str">
        <f>IF(7&lt;=Settings!$B$3+2,Settings!E7,"")</f>
        <v>May</v>
      </c>
      <c r="B9" s="18" cm="1">
        <f t="array" aca="1" ref="B9" ca="1">IF($A9="","",SUMPRODUCT(('Current Player Stats'!$A$4:$A$33=$A9)*('Current Player Stats'!$A$4:$A$33&lt;&gt;"")))</f>
        <v>4</v>
      </c>
      <c r="C9" s="18">
        <f ca="1">IF($A9="","",SUMIFS('Current Player Stats'!$C$4:$C$33,'Current Player Stats'!$A$4:$A$33,$A9))</f>
        <v>2</v>
      </c>
      <c r="D9" s="18">
        <f ca="1">IF($A9="","",SUMIFS('Current Player Stats'!$D$4:$D$33,'Current Player Stats'!$A$4:$A$33,$A9))</f>
        <v>2</v>
      </c>
      <c r="E9" s="18">
        <f ca="1">IF($A9="","",SUMIFS('Current Player Stats'!$E$4:$E$33,'Current Player Stats'!$A$4:$A$33,$A9))</f>
        <v>4</v>
      </c>
      <c r="F9" s="18">
        <f ca="1">IF($A9="","",SUMIFS('Current Player Stats'!$F$4:$F$33,'Current Player Stats'!$A$4:$A$33,$A9))</f>
        <v>4</v>
      </c>
      <c r="G9" s="18">
        <f ca="1">IF($A9="","",E9-F9)</f>
        <v>0</v>
      </c>
      <c r="H9" s="18">
        <f ca="1">IF($A9="","",SUMIFS('Current Player Stats'!$G$4:$G$33,'Current Player Stats'!$A$4:$A$33,$A9))</f>
        <v>43</v>
      </c>
      <c r="I9" s="18">
        <f ca="1">IF($A9="","",SUMIFS('Current Player Stats'!$H$4:$H$33,'Current Player Stats'!$A$4:$A$33,$A9))</f>
        <v>11</v>
      </c>
      <c r="J9" s="61">
        <f ca="1">IF($A9="","",IF(H9=0,0,I9/H9))</f>
        <v>0.2558139534883721</v>
      </c>
      <c r="K9" s="61">
        <f ca="1">IF($A9="","",IF(H9=0,0,_xlfn.LET(_xlpm.h,I9,_xlpm.bb,SUMIFS(Data!$AD$4:$AD$273,Data!$T$4:$T$273,$A9),_xlpm.hbp,SUMIFS(Data!$AF$4:$AF$273,Data!$T$4:$T$273,$A9),_xlpm.sf,SUMIFS(Data!$AG$4:$AG$273,Data!$T$4:$T$273,$A9),IF((H9+_xlpm.bb+_xlpm.hbp+_xlpm.sf)=0,0,(_xlpm.h+_xlpm.bb+_xlpm.hbp)/(H9+_xlpm.bb+_xlpm.hbp+_xlpm.sf)))))</f>
        <v>0.28888888888888886</v>
      </c>
      <c r="L9" s="61">
        <f ca="1">IF($A9="","",IF(H9=0,0,_xlfn.LET(_xlpm.singles,I9-SUMIFS(Data!$Z$4:$Z$273,Data!$T$4:$T$273,$A9)-SUMIFS(Data!$AA$4:$AA$273,Data!$T$4:$T$273,$A9)-SUMIFS(Data!$AB$4:$AB$273,Data!$T$4:$T$273,$A9),_xlpm.dbl,SUMIFS(Data!$Z$4:$Z$273,Data!$T$4:$T$273,$A9),_xlpm.trp,SUMIFS(Data!$AA$4:$AA$273,Data!$T$4:$T$273,$A9),_xlpm.hr,SUMIFS(Data!$AB$4:$AB$273,Data!$T$4:$T$273,$A9),(_xlpm.singles+2*_xlpm.dbl+3*_xlpm.trp+4*_xlpm.hr)/H9)))</f>
        <v>0.4883720930232558</v>
      </c>
      <c r="M9" s="61">
        <f ca="1">IF($A9="","",K9+L9)</f>
        <v>0.7772609819121447</v>
      </c>
      <c r="N9" s="62">
        <f ca="1">IF($A9="","",IF(SUMIFS(Data!$AN$4:$AN$183,Data!$AL$4:$AL$183,$A9)=0,0,SUMIFS(Data!$AQ$4:$AQ$183,Data!$AL$4:$AL$183,$A9)*3/SUMIFS(Data!$AN$4:$AN$183,Data!$AL$4:$AL$183,$A9)))</f>
        <v>0.75</v>
      </c>
      <c r="O9" s="61">
        <f ca="1">IF($A9="","",IF(SUMIFS(Data!$AN$4:$AN$183,Data!$AL$4:$AL$183,$A9)=0,0,(SUMIFS(Data!$AO$4:$AO$183,Data!$AL$4:$AL$183,$A9)+SUMIFS(Data!$AR$4:$AR$183,Data!$AL$4:$AL$183,$A9))/SUMIFS(Data!$AN$4:$AN$183,Data!$AL$4:$AL$183,$A9)))</f>
        <v>1.0833333333333333</v>
      </c>
      <c r="P9" s="18" t="str">
        <f ca="1">IF($A9="","",IFERROR(_xlfn.XLOOKUP($A9,Bracket!$B$18:$B$25,Bracket!$A$18:$A$25,""),""))</f>
        <v>3rd</v>
      </c>
    </row>
    <row r="10" spans="1:16">
      <c r="A10" s="119" t="str">
        <f>IF(8&lt;=Settings!$B$3+2,Settings!E8,"")</f>
        <v>Nick</v>
      </c>
      <c r="B10" s="18" cm="1">
        <f t="array" aca="1" ref="B10" ca="1">IF($A10="","",SUMPRODUCT(('Current Player Stats'!$A$4:$A$33=$A10)*('Current Player Stats'!$A$4:$A$33&lt;&gt;"")))</f>
        <v>4</v>
      </c>
      <c r="C10" s="18">
        <f ca="1">IF($A10="","",SUMIFS('Current Player Stats'!$C$4:$C$33,'Current Player Stats'!$A$4:$A$33,$A10))</f>
        <v>3</v>
      </c>
      <c r="D10" s="18">
        <f ca="1">IF($A10="","",SUMIFS('Current Player Stats'!$D$4:$D$33,'Current Player Stats'!$A$4:$A$33,$A10))</f>
        <v>1</v>
      </c>
      <c r="E10" s="18">
        <f ca="1">IF($A10="","",SUMIFS('Current Player Stats'!$E$4:$E$33,'Current Player Stats'!$A$4:$A$33,$A10))</f>
        <v>13</v>
      </c>
      <c r="F10" s="18">
        <f ca="1">IF($A10="","",SUMIFS('Current Player Stats'!$F$4:$F$33,'Current Player Stats'!$A$4:$A$33,$A10))</f>
        <v>9</v>
      </c>
      <c r="G10" s="18">
        <f ca="1">IF($A10="","",E10-F10)</f>
        <v>4</v>
      </c>
      <c r="H10" s="18">
        <f ca="1">IF($A10="","",SUMIFS('Current Player Stats'!$G$4:$G$33,'Current Player Stats'!$A$4:$A$33,$A10))</f>
        <v>62</v>
      </c>
      <c r="I10" s="18">
        <f ca="1">IF($A10="","",SUMIFS('Current Player Stats'!$H$4:$H$33,'Current Player Stats'!$A$4:$A$33,$A10))</f>
        <v>23</v>
      </c>
      <c r="J10" s="61">
        <f ca="1">IF($A10="","",IF(H10=0,0,I10/H10))</f>
        <v>0.3709677419354839</v>
      </c>
      <c r="K10" s="61">
        <f ca="1">IF($A10="","",IF(H10=0,0,_xlfn.LET(_xlpm.h,I10,_xlpm.bb,SUMIFS(Data!$AD$4:$AD$273,Data!$T$4:$T$273,$A10),_xlpm.hbp,SUMIFS(Data!$AF$4:$AF$273,Data!$T$4:$T$273,$A10),_xlpm.sf,SUMIFS(Data!$AG$4:$AG$273,Data!$T$4:$T$273,$A10),IF((H10+_xlpm.bb+_xlpm.hbp+_xlpm.sf)=0,0,(_xlpm.h+_xlpm.bb+_xlpm.hbp)/(H10+_xlpm.bb+_xlpm.hbp+_xlpm.sf)))))</f>
        <v>0.4090909090909091</v>
      </c>
      <c r="L10" s="61">
        <f ca="1">IF($A10="","",IF(H10=0,0,_xlfn.LET(_xlpm.singles,I10-SUMIFS(Data!$Z$4:$Z$273,Data!$T$4:$T$273,$A10)-SUMIFS(Data!$AA$4:$AA$273,Data!$T$4:$T$273,$A10)-SUMIFS(Data!$AB$4:$AB$273,Data!$T$4:$T$273,$A10),_xlpm.dbl,SUMIFS(Data!$Z$4:$Z$273,Data!$T$4:$T$273,$A10),_xlpm.trp,SUMIFS(Data!$AA$4:$AA$273,Data!$T$4:$T$273,$A10),_xlpm.hr,SUMIFS(Data!$AB$4:$AB$273,Data!$T$4:$T$273,$A10),(_xlpm.singles+2*_xlpm.dbl+3*_xlpm.trp+4*_xlpm.hr)/H10)))</f>
        <v>0.6774193548387096</v>
      </c>
      <c r="M10" s="61">
        <f ca="1">IF($A10="","",K10+L10)</f>
        <v>1.0865102639296187</v>
      </c>
      <c r="N10" s="62">
        <f ca="1">IF($A10="","",IF(SUMIFS(Data!$AN$4:$AN$183,Data!$AL$4:$AL$183,$A10)=0,0,SUMIFS(Data!$AQ$4:$AQ$183,Data!$AL$4:$AL$183,$A10)*3/SUMIFS(Data!$AN$4:$AN$183,Data!$AL$4:$AL$183,$A10)))</f>
        <v>2.025</v>
      </c>
      <c r="O10" s="61">
        <f ca="1">IF($A10="","",IF(SUMIFS(Data!$AN$4:$AN$183,Data!$AL$4:$AL$183,$A10)=0,0,(SUMIFS(Data!$AO$4:$AO$183,Data!$AL$4:$AL$183,$A10)+SUMIFS(Data!$AR$4:$AR$183,Data!$AL$4:$AL$183,$A10))/SUMIFS(Data!$AN$4:$AN$183,Data!$AL$4:$AL$183,$A10)))</f>
        <v>1.425</v>
      </c>
      <c r="P10" s="18" t="str">
        <f ca="1">IF($A10="","",IFERROR(_xlfn.XLOOKUP($A10,Bracket!$B$18:$B$25,Bracket!$A$18:$A$25,""),""))</f>
        <v>2nd</v>
      </c>
    </row>
    <row r="11" spans="1:16">
      <c r="A11" s="18" t="str">
        <f>IF(9&lt;=Settings!$B$3+2,Settings!E9,"")</f>
        <v/>
      </c>
      <c r="B11" s="18" t="str" cm="1">
        <f t="array" aca="1" ref="B11" ca="1">IF($A11="","",SUMPRODUCT(('Current Player Stats'!$A$4:$A$33=$A11)*('Current Player Stats'!$A$4:$A$33&lt;&gt;"")))</f>
        <v/>
      </c>
      <c r="C11" s="18" t="str">
        <f ca="1">IF($A11="","",SUMIFS('Current Player Stats'!$C$4:$C$33,'Current Player Stats'!$A$4:$A$33,$A11))</f>
        <v/>
      </c>
      <c r="D11" s="18" t="str">
        <f ca="1">IF($A11="","",SUMIFS('Current Player Stats'!$D$4:$D$33,'Current Player Stats'!$A$4:$A$33,$A11))</f>
        <v/>
      </c>
      <c r="E11" s="18" t="str">
        <f ca="1">IF($A11="","",SUMIFS('Current Player Stats'!$E$4:$E$33,'Current Player Stats'!$A$4:$A$33,$A11))</f>
        <v/>
      </c>
      <c r="F11" s="18" t="str">
        <f ca="1">IF($A11="","",SUMIFS('Current Player Stats'!$F$4:$F$33,'Current Player Stats'!$A$4:$A$33,$A11))</f>
        <v/>
      </c>
      <c r="G11" s="18" t="str">
        <f ca="1">IF($A11="","",E11-F11)</f>
        <v/>
      </c>
      <c r="H11" s="18" t="str">
        <f ca="1">IF($A11="","",SUMIFS('Current Player Stats'!$G$4:$G$33,'Current Player Stats'!$A$4:$A$33,$A11))</f>
        <v/>
      </c>
      <c r="I11" s="18" t="str">
        <f ca="1">IF($A11="","",SUMIFS('Current Player Stats'!$H$4:$H$33,'Current Player Stats'!$A$4:$A$33,$A11))</f>
        <v/>
      </c>
      <c r="J11" s="61" t="str">
        <f ca="1">IF($A11="","",IF(H11=0,0,I11/H11))</f>
        <v/>
      </c>
      <c r="K11" s="61" t="str">
        <f ca="1">IF($A11="","",IF(H11=0,0,_xlfn.LET(_xlpm.h,I11,_xlpm.bb,SUMIFS(Data!$AD$4:$AD$273,Data!$T$4:$T$273,$A11),_xlpm.hbp,SUMIFS(Data!$AF$4:$AF$273,Data!$T$4:$T$273,$A11),_xlpm.sf,SUMIFS(Data!$AG$4:$AG$273,Data!$T$4:$T$273,$A11),IF((H11+_xlpm.bb+_xlpm.hbp+_xlpm.sf)=0,0,(_xlpm.h+_xlpm.bb+_xlpm.hbp)/(H11+_xlpm.bb+_xlpm.hbp+_xlpm.sf)))))</f>
        <v/>
      </c>
      <c r="L11" s="61" t="str">
        <f ca="1">IF($A11="","",IF(H11=0,0,_xlfn.LET(_xlpm.singles,I11-SUMIFS(Data!$Z$4:$Z$273,Data!$T$4:$T$273,$A11)-SUMIFS(Data!$AA$4:$AA$273,Data!$T$4:$T$273,$A11)-SUMIFS(Data!$AB$4:$AB$273,Data!$T$4:$T$273,$A11),_xlpm.dbl,SUMIFS(Data!$Z$4:$Z$273,Data!$T$4:$T$273,$A11),_xlpm.trp,SUMIFS(Data!$AA$4:$AA$273,Data!$T$4:$T$273,$A11),_xlpm.hr,SUMIFS(Data!$AB$4:$AB$273,Data!$T$4:$T$273,$A11),(_xlpm.singles+2*_xlpm.dbl+3*_xlpm.trp+4*_xlpm.hr)/H11)))</f>
        <v/>
      </c>
      <c r="M11" s="61" t="str">
        <f ca="1">IF($A11="","",K11+L11)</f>
        <v/>
      </c>
      <c r="N11" s="62" t="str">
        <f ca="1">IF($A11="","",IF(SUMIFS(Data!$AN$4:$AN$183,Data!$AL$4:$AL$183,$A11)=0,0,SUMIFS(Data!$AQ$4:$AQ$183,Data!$AL$4:$AL$183,$A11)*3/SUMIFS(Data!$AN$4:$AN$183,Data!$AL$4:$AL$183,$A11)))</f>
        <v/>
      </c>
      <c r="O11" s="61" t="str">
        <f ca="1">IF($A11="","",IF(SUMIFS(Data!$AN$4:$AN$183,Data!$AL$4:$AL$183,$A11)=0,0,(SUMIFS(Data!$AO$4:$AO$183,Data!$AL$4:$AL$183,$A11)+SUMIFS(Data!$AR$4:$AR$183,Data!$AL$4:$AL$183,$A11))/SUMIFS(Data!$AN$4:$AN$183,Data!$AL$4:$AL$183,$A11)))</f>
        <v/>
      </c>
      <c r="P11" s="18" t="str">
        <f ca="1">IF($A11="","",IFERROR(_xlfn.XLOOKUP($A11,Bracket!$B$18:$B$25,Bracket!$A$18:$A$25,""),""))</f>
        <v/>
      </c>
    </row>
    <row r="12" spans="1:16">
      <c r="A12" s="18" t="str">
        <f>IF(10&lt;=Settings!$B$3+2,Settings!E10,"")</f>
        <v/>
      </c>
      <c r="B12" s="18" t="str" cm="1">
        <f t="array" aca="1" ref="B12" ca="1">IF($A12="","",SUMPRODUCT(('Current Player Stats'!$A$4:$A$33=$A12)*('Current Player Stats'!$A$4:$A$33&lt;&gt;"")))</f>
        <v/>
      </c>
      <c r="C12" s="18" t="str">
        <f ca="1">IF($A12="","",SUMIFS('Current Player Stats'!$C$4:$C$33,'Current Player Stats'!$A$4:$A$33,$A12))</f>
        <v/>
      </c>
      <c r="D12" s="18" t="str">
        <f ca="1">IF($A12="","",SUMIFS('Current Player Stats'!$D$4:$D$33,'Current Player Stats'!$A$4:$A$33,$A12))</f>
        <v/>
      </c>
      <c r="E12" s="18" t="str">
        <f ca="1">IF($A12="","",SUMIFS('Current Player Stats'!$E$4:$E$33,'Current Player Stats'!$A$4:$A$33,$A12))</f>
        <v/>
      </c>
      <c r="F12" s="18" t="str">
        <f ca="1">IF($A12="","",SUMIFS('Current Player Stats'!$F$4:$F$33,'Current Player Stats'!$A$4:$A$33,$A12))</f>
        <v/>
      </c>
      <c r="G12" s="18" t="str">
        <f ca="1">IF($A12="","",E12-F12)</f>
        <v/>
      </c>
      <c r="H12" s="18" t="str">
        <f ca="1">IF($A12="","",SUMIFS('Current Player Stats'!$G$4:$G$33,'Current Player Stats'!$A$4:$A$33,$A12))</f>
        <v/>
      </c>
      <c r="I12" s="18" t="str">
        <f ca="1">IF($A12="","",SUMIFS('Current Player Stats'!$H$4:$H$33,'Current Player Stats'!$A$4:$A$33,$A12))</f>
        <v/>
      </c>
      <c r="J12" s="61" t="str">
        <f ca="1">IF($A12="","",IF(H12=0,0,I12/H12))</f>
        <v/>
      </c>
      <c r="K12" s="61" t="str">
        <f ca="1">IF($A12="","",IF(H12=0,0,_xlfn.LET(_xlpm.h,I12,_xlpm.bb,SUMIFS(Data!$AD$4:$AD$273,Data!$T$4:$T$273,$A12),_xlpm.hbp,SUMIFS(Data!$AF$4:$AF$273,Data!$T$4:$T$273,$A12),_xlpm.sf,SUMIFS(Data!$AG$4:$AG$273,Data!$T$4:$T$273,$A12),IF((H12+_xlpm.bb+_xlpm.hbp+_xlpm.sf)=0,0,(_xlpm.h+_xlpm.bb+_xlpm.hbp)/(H12+_xlpm.bb+_xlpm.hbp+_xlpm.sf)))))</f>
        <v/>
      </c>
      <c r="L12" s="61" t="str">
        <f ca="1">IF($A12="","",IF(H12=0,0,_xlfn.LET(_xlpm.singles,I12-SUMIFS(Data!$Z$4:$Z$273,Data!$T$4:$T$273,$A12)-SUMIFS(Data!$AA$4:$AA$273,Data!$T$4:$T$273,$A12)-SUMIFS(Data!$AB$4:$AB$273,Data!$T$4:$T$273,$A12),_xlpm.dbl,SUMIFS(Data!$Z$4:$Z$273,Data!$T$4:$T$273,$A12),_xlpm.trp,SUMIFS(Data!$AA$4:$AA$273,Data!$T$4:$T$273,$A12),_xlpm.hr,SUMIFS(Data!$AB$4:$AB$273,Data!$T$4:$T$273,$A12),(_xlpm.singles+2*_xlpm.dbl+3*_xlpm.trp+4*_xlpm.hr)/H12)))</f>
        <v/>
      </c>
      <c r="M12" s="61" t="str">
        <f ca="1">IF($A12="","",K12+L12)</f>
        <v/>
      </c>
      <c r="N12" s="62" t="str">
        <f ca="1">IF($A12="","",IF(SUMIFS(Data!$AN$4:$AN$183,Data!$AL$4:$AL$183,$A12)=0,0,SUMIFS(Data!$AQ$4:$AQ$183,Data!$AL$4:$AL$183,$A12)*3/SUMIFS(Data!$AN$4:$AN$183,Data!$AL$4:$AL$183,$A12)))</f>
        <v/>
      </c>
      <c r="O12" s="61" t="str">
        <f ca="1">IF($A12="","",IF(SUMIFS(Data!$AN$4:$AN$183,Data!$AL$4:$AL$183,$A12)=0,0,(SUMIFS(Data!$AO$4:$AO$183,Data!$AL$4:$AL$183,$A12)+SUMIFS(Data!$AR$4:$AR$183,Data!$AL$4:$AL$183,$A12))/SUMIFS(Data!$AN$4:$AN$183,Data!$AL$4:$AL$183,$A12)))</f>
        <v/>
      </c>
      <c r="P12" s="18" t="str">
        <f ca="1">IF($A12="","",IFERROR(_xlfn.XLOOKUP($A12,Bracket!$B$18:$B$25,Bracket!$A$18:$A$25,""),""))</f>
        <v/>
      </c>
    </row>
    <row r="14" spans="1:16">
      <c r="A14" s="63" t="s">
        <v>287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18"/>
      <c r="O14" s="18"/>
      <c r="P14" s="18"/>
    </row>
    <row r="15" spans="1:16">
      <c r="A15" s="35" t="s">
        <v>39</v>
      </c>
      <c r="B15" s="60" t="s">
        <v>288</v>
      </c>
      <c r="C15" s="60" t="s">
        <v>175</v>
      </c>
      <c r="D15" s="60" t="s">
        <v>162</v>
      </c>
      <c r="E15" s="60" t="s">
        <v>268</v>
      </c>
      <c r="F15" s="60" t="s">
        <v>178</v>
      </c>
      <c r="G15" s="60" t="s">
        <v>179</v>
      </c>
      <c r="H15" s="60" t="s">
        <v>289</v>
      </c>
      <c r="I15" s="60" t="s">
        <v>290</v>
      </c>
      <c r="J15" s="60" t="s">
        <v>291</v>
      </c>
      <c r="K15" s="60" t="s">
        <v>292</v>
      </c>
      <c r="L15" s="60" t="s">
        <v>293</v>
      </c>
      <c r="M15" s="60" t="s">
        <v>195</v>
      </c>
      <c r="N15" s="18"/>
      <c r="O15" s="18"/>
      <c r="P15" s="18"/>
    </row>
    <row r="16" spans="1:16">
      <c r="A16" s="18" t="str">
        <f>'Character List'!B4</f>
        <v>Bowser</v>
      </c>
      <c r="B16" s="18">
        <f>COUNTIF(Draft!$E$6:$E$77,$A16)</f>
        <v>1</v>
      </c>
      <c r="C16" s="18">
        <f ca="1">SUMIFS('Current Char Stats'!$D$4:$D$273,'Current Char Stats'!$B$4:$B$273,$A16)</f>
        <v>7</v>
      </c>
      <c r="D16" s="18">
        <f ca="1">SUMIFS('Current Char Stats'!$E$4:$E$273,'Current Char Stats'!$B$4:$B$273,$A16)</f>
        <v>4</v>
      </c>
      <c r="E16" s="61">
        <f ca="1">IF(C16=0,0,D16/C16)</f>
        <v>0.5714285714285714</v>
      </c>
      <c r="F16" s="18">
        <f ca="1">SUMIFS('Current Char Stats'!$G$4:$G$273,'Current Char Stats'!$B$4:$B$273,$A16)</f>
        <v>2</v>
      </c>
      <c r="G16" s="18">
        <f ca="1">SUMIFS('Current Char Stats'!$H$4:$H$273,'Current Char Stats'!$B$4:$B$273,$A16)</f>
        <v>5</v>
      </c>
      <c r="H16" s="114" t="str" cm="1">
        <f t="array" ref="H16">IFERROR(_xlfn.TEXTJOIN(", ",TRUE,_xlfn.UNIQUE(_xlfn._xlws.FILTER(Draft!$D$6:$D$77,Draft!$E$6:$E$77=$A16))),"Undrafted")</f>
        <v>Jason</v>
      </c>
      <c r="I16" s="65" cm="1">
        <f t="array" aca="1" ref="I16" ca="1">IFERROR(_xlfn.LET(_xlpm.charRows,IF('Current Char Stats'!$B$4:$B$273=$A16,1,0),_xlpm.ownerCol,'Current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0.25</v>
      </c>
      <c r="J16" s="18" t="str">
        <f ca="1">IF(AND(B16&gt;0,IFERROR(INDEX(Draft!$D$6:$D$77,MATCH($A16,Draft!$E$6:$E$77,0)),"")=IFERROR(INDEX(Bracket!$B$18:$B$25,MATCH("1st",Bracket!$A$18:$A$25,0)),""),IFERROR(INDEX(Bracket!$B$18:$B$25,MATCH("1st",Bracket!$A$18:$A$25,0)),"")&lt;&gt;""),"Yes","")</f>
        <v>Yes</v>
      </c>
      <c r="K16" s="18">
        <f ca="1">COUNTIF(Bracket!$K$6:$K$16,$A16)</f>
        <v>0</v>
      </c>
      <c r="L16" s="18">
        <f ca="1">COUNTIFS(Bracket!$K$6:$K$16,$A16,Bracket!$G$6:$G$16,"CG-*")</f>
        <v>0</v>
      </c>
      <c r="M16" s="18" cm="1">
        <f t="array" aca="1" ref="M16" ca="1">IF($A16="","",_xlfn.LET(_xlpm.rawIP,SUMPRODUCT(--(Data!$AM$4:$AM$183=$A16),IFERROR(Data!$AN$4:$AN$183,0)),IF(_xlpm.rawIP=0,0,INT(_xlpm.rawIP)+MOD(ROUND(_xlpm.rawIP*3,0),3)/10)))</f>
        <v>0</v>
      </c>
      <c r="N16" s="18"/>
      <c r="O16" s="18"/>
      <c r="P16" s="18"/>
    </row>
    <row r="17" spans="1:13">
      <c r="A17" s="18" t="str">
        <f>'Character List'!B5</f>
        <v>Petey Piranha</v>
      </c>
      <c r="B17" s="18">
        <f>COUNTIF(Draft!$E$6:$E$77,$A17)</f>
        <v>1</v>
      </c>
      <c r="C17" s="18">
        <f ca="1">SUMIFS('Current Char Stats'!$D$4:$D$273,'Current Char Stats'!$B$4:$B$273,$A17)</f>
        <v>4</v>
      </c>
      <c r="D17" s="18">
        <f ca="1">SUMIFS('Current Char Stats'!$E$4:$E$273,'Current Char Stats'!$B$4:$B$273,$A17)</f>
        <v>0</v>
      </c>
      <c r="E17" s="61">
        <f t="shared" ref="E17:E80" ca="1" si="0">IF(C17=0,0,D17/C17)</f>
        <v>0</v>
      </c>
      <c r="F17" s="18">
        <f ca="1">SUMIFS('Current Char Stats'!$G$4:$G$273,'Current Char Stats'!$B$4:$B$273,$A17)</f>
        <v>0</v>
      </c>
      <c r="G17" s="18">
        <f ca="1">SUMIFS('Current Char Stats'!$H$4:$H$273,'Current Char Stats'!$B$4:$B$273,$A17)</f>
        <v>0</v>
      </c>
      <c r="H17" s="115" t="str" cm="1">
        <f t="array" ref="H17">IFERROR(_xlfn.TEXTJOIN(", ",TRUE,_xlfn.UNIQUE(_xlfn._xlws.FILTER(Draft!$D$6:$D$77,Draft!$E$6:$E$77=$A17))),"Undrafted")</f>
        <v>May</v>
      </c>
      <c r="I17" s="65" cm="1">
        <f t="array" aca="1" ref="I17" ca="1">IFERROR(_xlfn.LET(_xlpm.charRows,IF('Current Char Stats'!$B$4:$B$273=$A17,1,0),_xlpm.ownerCol,'Current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0.75</v>
      </c>
      <c r="J17" s="18" t="str">
        <f ca="1">IF(AND(B17&gt;0,IFERROR(INDEX(Draft!$D$6:$D$77,MATCH($A17,Draft!$E$6:$E$77,0)),"")=IFERROR(INDEX(Bracket!$B$18:$B$25,MATCH("1st",Bracket!$A$18:$A$25,0)),""),IFERROR(INDEX(Bracket!$B$18:$B$25,MATCH("1st",Bracket!$A$18:$A$25,0)),"")&lt;&gt;""),"Yes","")</f>
        <v/>
      </c>
      <c r="K17" s="18">
        <f ca="1">COUNTIF(Bracket!$K$6:$K$16,$A17)</f>
        <v>0</v>
      </c>
      <c r="L17" s="18">
        <f ca="1">COUNTIFS(Bracket!$K$6:$K$16,$A17,Bracket!$G$6:$G$16,"CG-*")</f>
        <v>0</v>
      </c>
      <c r="M17" s="18" cm="1">
        <f t="array" aca="1" ref="M17" ca="1">IF($A17="","",_xlfn.LET(_xlpm.rawIP,SUMPRODUCT(--(Data!$AM$4:$AM$183=$A17),IFERROR(Data!$AN$4:$AN$183,0)),IF(_xlpm.rawIP=0,0,INT(_xlpm.rawIP)+MOD(ROUND(_xlpm.rawIP*3,0),3)/10)))</f>
        <v>0</v>
      </c>
    </row>
    <row r="18" spans="1:13">
      <c r="A18" s="18" t="str">
        <f>'Character List'!B6</f>
        <v>King K. Rool</v>
      </c>
      <c r="B18" s="18">
        <f>COUNTIF(Draft!$E$6:$E$77,$A18)</f>
        <v>1</v>
      </c>
      <c r="C18" s="18">
        <f ca="1">SUMIFS('Current Char Stats'!$D$4:$D$273,'Current Char Stats'!$B$4:$B$273,$A18)</f>
        <v>7</v>
      </c>
      <c r="D18" s="18">
        <f ca="1">SUMIFS('Current Char Stats'!$E$4:$E$273,'Current Char Stats'!$B$4:$B$273,$A18)</f>
        <v>2</v>
      </c>
      <c r="E18" s="61">
        <f t="shared" ca="1" si="0"/>
        <v>0.2857142857142857</v>
      </c>
      <c r="F18" s="18">
        <f ca="1">SUMIFS('Current Char Stats'!$G$4:$G$273,'Current Char Stats'!$B$4:$B$273,$A18)</f>
        <v>1</v>
      </c>
      <c r="G18" s="18">
        <f ca="1">SUMIFS('Current Char Stats'!$H$4:$H$273,'Current Char Stats'!$B$4:$B$273,$A18)</f>
        <v>1</v>
      </c>
      <c r="H18" s="116" t="str" cm="1">
        <f t="array" ref="H18">IFERROR(_xlfn.TEXTJOIN(", ",TRUE,_xlfn.UNIQUE(_xlfn._xlws.FILTER(Draft!$D$6:$D$77,Draft!$E$6:$E$77=$A18))),"Undrafted")</f>
        <v>Jason</v>
      </c>
      <c r="I18" s="65" cm="1">
        <f t="array" aca="1" ref="I18" ca="1">IFERROR(_xlfn.LET(_xlpm.charRows,IF('Current Char Stats'!$B$4:$B$273=$A18,1,0),_xlpm.ownerCol,'Current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0.25</v>
      </c>
      <c r="J18" s="18" t="str">
        <f ca="1">IF(AND(B18&gt;0,IFERROR(INDEX(Draft!$D$6:$D$77,MATCH($A18,Draft!$E$6:$E$77,0)),"")=IFERROR(INDEX(Bracket!$B$18:$B$25,MATCH("1st",Bracket!$A$18:$A$25,0)),""),IFERROR(INDEX(Bracket!$B$18:$B$25,MATCH("1st",Bracket!$A$18:$A$25,0)),"")&lt;&gt;""),"Yes","")</f>
        <v>Yes</v>
      </c>
      <c r="K18" s="18">
        <f ca="1">COUNTIF(Bracket!$K$6:$K$16,$A18)</f>
        <v>0</v>
      </c>
      <c r="L18" s="18">
        <f ca="1">COUNTIFS(Bracket!$K$6:$K$16,$A18,Bracket!$G$6:$G$16,"CG-*")</f>
        <v>0</v>
      </c>
      <c r="M18" s="18" cm="1">
        <f t="array" aca="1" ref="M18" ca="1">IF($A18="","",_xlfn.LET(_xlpm.rawIP,SUMPRODUCT(--(Data!$AM$4:$AM$183=$A18),IFERROR(Data!$AN$4:$AN$183,0)),IF(_xlpm.rawIP=0,0,INT(_xlpm.rawIP)+MOD(ROUND(_xlpm.rawIP*3,0),3)/10)))</f>
        <v>3.1</v>
      </c>
    </row>
    <row r="19" spans="1:13">
      <c r="A19" s="18" t="str">
        <f>'Character List'!B7</f>
        <v>Donkey Kong</v>
      </c>
      <c r="B19" s="18">
        <f>COUNTIF(Draft!$E$6:$E$77,$A19)</f>
        <v>1</v>
      </c>
      <c r="C19" s="18">
        <f ca="1">SUMIFS('Current Char Stats'!$D$4:$D$273,'Current Char Stats'!$B$4:$B$273,$A19)</f>
        <v>1</v>
      </c>
      <c r="D19" s="18">
        <f ca="1">SUMIFS('Current Char Stats'!$E$4:$E$273,'Current Char Stats'!$B$4:$B$273,$A19)</f>
        <v>0</v>
      </c>
      <c r="E19" s="61">
        <f t="shared" ca="1" si="0"/>
        <v>0</v>
      </c>
      <c r="F19" s="18">
        <f ca="1">SUMIFS('Current Char Stats'!$G$4:$G$273,'Current Char Stats'!$B$4:$B$273,$A19)</f>
        <v>0</v>
      </c>
      <c r="G19" s="18">
        <f ca="1">SUMIFS('Current Char Stats'!$H$4:$H$273,'Current Char Stats'!$B$4:$B$273,$A19)</f>
        <v>0</v>
      </c>
      <c r="H19" s="117" t="str" cm="1">
        <f t="array" ref="H19">IFERROR(_xlfn.TEXTJOIN(", ",TRUE,_xlfn.UNIQUE(_xlfn._xlws.FILTER(Draft!$D$6:$D$77,Draft!$E$6:$E$77=$A19))),"Undrafted")</f>
        <v>Donovan</v>
      </c>
      <c r="I19" s="65" cm="1">
        <f t="array" aca="1" ref="I19" ca="1">IFERROR(_xlfn.LET(_xlpm.charRows,IF('Current Char Stats'!$B$4:$B$273=$A19,1,0),_xlpm.ownerCol,'Current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0.33333333333333331</v>
      </c>
      <c r="J19" s="18" t="str">
        <f ca="1">IF(AND(B19&gt;0,IFERROR(INDEX(Draft!$D$6:$D$77,MATCH($A19,Draft!$E$6:$E$77,0)),"")=IFERROR(INDEX(Bracket!$B$18:$B$25,MATCH("1st",Bracket!$A$18:$A$25,0)),""),IFERROR(INDEX(Bracket!$B$18:$B$25,MATCH("1st",Bracket!$A$18:$A$25,0)),"")&lt;&gt;""),"Yes","")</f>
        <v/>
      </c>
      <c r="K19" s="18">
        <f ca="1">COUNTIF(Bracket!$K$6:$K$16,$A19)</f>
        <v>0</v>
      </c>
      <c r="L19" s="18">
        <f ca="1">COUNTIFS(Bracket!$K$6:$K$16,$A19,Bracket!$G$6:$G$16,"CG-*")</f>
        <v>0</v>
      </c>
      <c r="M19" s="18" cm="1">
        <f t="array" aca="1" ref="M19" ca="1">IF($A19="","",_xlfn.LET(_xlpm.rawIP,SUMPRODUCT(--(Data!$AM$4:$AM$183=$A19),IFERROR(Data!$AN$4:$AN$183,0)),IF(_xlpm.rawIP=0,0,INT(_xlpm.rawIP)+MOD(ROUND(_xlpm.rawIP*3,0),3)/10)))</f>
        <v>0.1</v>
      </c>
    </row>
    <row r="20" spans="1:13">
      <c r="A20" s="18" t="str">
        <f>'Character List'!B8</f>
        <v>Birdo</v>
      </c>
      <c r="B20" s="18">
        <f>COUNTIF(Draft!$E$6:$E$77,$A20)</f>
        <v>1</v>
      </c>
      <c r="C20" s="18">
        <f ca="1">SUMIFS('Current Char Stats'!$D$4:$D$273,'Current Char Stats'!$B$4:$B$273,$A20)</f>
        <v>5</v>
      </c>
      <c r="D20" s="18">
        <f ca="1">SUMIFS('Current Char Stats'!$E$4:$E$273,'Current Char Stats'!$B$4:$B$273,$A20)</f>
        <v>1</v>
      </c>
      <c r="E20" s="61">
        <f t="shared" ca="1" si="0"/>
        <v>0.33333333333333331</v>
      </c>
      <c r="F20" s="18">
        <f ca="1">SUMIFS('Current Char Stats'!$G$4:$G$273,'Current Char Stats'!$B$4:$B$273,$A20)</f>
        <v>0</v>
      </c>
      <c r="G20" s="18">
        <f ca="1">SUMIFS('Current Char Stats'!$H$4:$H$273,'Current Char Stats'!$B$4:$B$273,$A20)</f>
        <v>0</v>
      </c>
      <c r="H20" s="118" t="str" cm="1">
        <f t="array" ref="H20">IFERROR(_xlfn.TEXTJOIN(", ",TRUE,_xlfn.UNIQUE(_xlfn._xlws.FILTER(Draft!$D$6:$D$77,Draft!$E$6:$E$77=$A20))),"Undrafted")</f>
        <v>May</v>
      </c>
      <c r="I20" s="65" cm="1">
        <f t="array" aca="1" ref="I20" ca="1">IFERROR(_xlfn.LET(_xlpm.charRows,IF('Current Char Stats'!$B$4:$B$273=$A20,1,0),_xlpm.ownerCol,'Current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0.75</v>
      </c>
      <c r="J20" s="18" t="str">
        <f ca="1">IF(AND(B20&gt;0,IFERROR(INDEX(Draft!$D$6:$D$77,MATCH($A20,Draft!$E$6:$E$77,0)),"")=IFERROR(INDEX(Bracket!$B$18:$B$25,MATCH("1st",Bracket!$A$18:$A$25,0)),""),IFERROR(INDEX(Bracket!$B$18:$B$25,MATCH("1st",Bracket!$A$18:$A$25,0)),"")&lt;&gt;""),"Yes","")</f>
        <v/>
      </c>
      <c r="K20" s="18">
        <f ca="1">COUNTIF(Bracket!$K$6:$K$16,$A20)</f>
        <v>0</v>
      </c>
      <c r="L20" s="18">
        <f ca="1">COUNTIFS(Bracket!$K$6:$K$16,$A20,Bracket!$G$6:$G$16,"CG-*")</f>
        <v>0</v>
      </c>
      <c r="M20" s="18" cm="1">
        <f t="array" aca="1" ref="M20" ca="1">IF($A20="","",_xlfn.LET(_xlpm.rawIP,SUMPRODUCT(--(Data!$AM$4:$AM$183=$A20),IFERROR(Data!$AN$4:$AN$183,0)),IF(_xlpm.rawIP=0,0,INT(_xlpm.rawIP)+MOD(ROUND(_xlpm.rawIP*3,0),3)/10)))</f>
        <v>0</v>
      </c>
    </row>
    <row r="21" spans="1:13">
      <c r="A21" s="18" t="str">
        <f>'Character List'!B9</f>
        <v>Funky Kong</v>
      </c>
      <c r="B21" s="18">
        <f>COUNTIF(Draft!$E$6:$E$77,$A21)</f>
        <v>1</v>
      </c>
      <c r="C21" s="18">
        <f ca="1">SUMIFS('Current Char Stats'!$D$4:$D$273,'Current Char Stats'!$B$4:$B$273,$A21)</f>
        <v>2</v>
      </c>
      <c r="D21" s="18">
        <f ca="1">SUMIFS('Current Char Stats'!$E$4:$E$273,'Current Char Stats'!$B$4:$B$273,$A21)</f>
        <v>1</v>
      </c>
      <c r="E21" s="61">
        <f t="shared" ca="1" si="0"/>
        <v>0.5</v>
      </c>
      <c r="F21" s="18">
        <f ca="1">SUMIFS('Current Char Stats'!$G$4:$G$273,'Current Char Stats'!$B$4:$B$273,$A21)</f>
        <v>1</v>
      </c>
      <c r="G21" s="18">
        <f ca="1">SUMIFS('Current Char Stats'!$H$4:$H$273,'Current Char Stats'!$B$4:$B$273,$A21)</f>
        <v>2</v>
      </c>
      <c r="H21" s="119" t="str" cm="1">
        <f t="array" ref="H21">IFERROR(_xlfn.TEXTJOIN(", ",TRUE,_xlfn.UNIQUE(_xlfn._xlws.FILTER(Draft!$D$6:$D$77,Draft!$E$6:$E$77=$A21))),"Undrafted")</f>
        <v>Justin</v>
      </c>
      <c r="I21" s="65" cm="1">
        <f t="array" aca="1" ref="I21" ca="1">IFERROR(_xlfn.LET(_xlpm.charRows,IF('Current Char Stats'!$B$4:$B$273=$A21,1,0),_xlpm.ownerCol,'Current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</v>
      </c>
      <c r="J21" s="18" t="str">
        <f ca="1">IF(AND(B21&gt;0,IFERROR(INDEX(Draft!$D$6:$D$77,MATCH($A21,Draft!$E$6:$E$77,0)),"")=IFERROR(INDEX(Bracket!$B$18:$B$25,MATCH("1st",Bracket!$A$18:$A$25,0)),""),IFERROR(INDEX(Bracket!$B$18:$B$25,MATCH("1st",Bracket!$A$18:$A$25,0)),"")&lt;&gt;""),"Yes","")</f>
        <v/>
      </c>
      <c r="K21" s="18">
        <f ca="1">COUNTIF(Bracket!$K$6:$K$16,$A21)</f>
        <v>0</v>
      </c>
      <c r="L21" s="18">
        <f ca="1">COUNTIFS(Bracket!$K$6:$K$16,$A21,Bracket!$G$6:$G$16,"CG-*")</f>
        <v>0</v>
      </c>
      <c r="M21" s="18" cm="1">
        <f t="array" aca="1" ref="M21" ca="1">IF($A21="","",_xlfn.LET(_xlpm.rawIP,SUMPRODUCT(--(Data!$AM$4:$AM$183=$A21),IFERROR(Data!$AN$4:$AN$183,0)),IF(_xlpm.rawIP=0,0,INT(_xlpm.rawIP)+MOD(ROUND(_xlpm.rawIP*3,0),3)/10)))</f>
        <v>0</v>
      </c>
    </row>
    <row r="22" spans="1:13">
      <c r="A22" s="18" t="str">
        <f>'Character List'!B10</f>
        <v>Red Kritter</v>
      </c>
      <c r="B22" s="18">
        <f>COUNTIF(Draft!$E$6:$E$77,$A22)</f>
        <v>1</v>
      </c>
      <c r="C22" s="18">
        <f ca="1">SUMIFS('Current Char Stats'!$D$4:$D$273,'Current Char Stats'!$B$4:$B$273,$A22)</f>
        <v>3</v>
      </c>
      <c r="D22" s="18">
        <f ca="1">SUMIFS('Current Char Stats'!$E$4:$E$273,'Current Char Stats'!$B$4:$B$273,$A22)</f>
        <v>1</v>
      </c>
      <c r="E22" s="61">
        <f t="shared" ca="1" si="0"/>
        <v>0.33333333333333331</v>
      </c>
      <c r="F22" s="18">
        <f ca="1">SUMIFS('Current Char Stats'!$G$4:$G$273,'Current Char Stats'!$B$4:$B$273,$A22)</f>
        <v>1</v>
      </c>
      <c r="G22" s="18">
        <f ca="1">SUMIFS('Current Char Stats'!$H$4:$H$273,'Current Char Stats'!$B$4:$B$273,$A22)</f>
        <v>1</v>
      </c>
      <c r="H22" s="119" t="str" cm="1">
        <f t="array" ref="H22">IFERROR(_xlfn.TEXTJOIN(", ",TRUE,_xlfn.UNIQUE(_xlfn._xlws.FILTER(Draft!$D$6:$D$77,Draft!$E$6:$E$77=$A22))),"Undrafted")</f>
        <v>May</v>
      </c>
      <c r="I22" s="65" cm="1">
        <f t="array" aca="1" ref="I22" ca="1">IFERROR(_xlfn.LET(_xlpm.charRows,IF('Current Char Stats'!$B$4:$B$273=$A22,1,0),_xlpm.ownerCol,'Current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0.75</v>
      </c>
      <c r="J22" s="18" t="str">
        <f ca="1">IF(AND(B22&gt;0,IFERROR(INDEX(Draft!$D$6:$D$77,MATCH($A22,Draft!$E$6:$E$77,0)),"")=IFERROR(INDEX(Bracket!$B$18:$B$25,MATCH("1st",Bracket!$A$18:$A$25,0)),""),IFERROR(INDEX(Bracket!$B$18:$B$25,MATCH("1st",Bracket!$A$18:$A$25,0)),"")&lt;&gt;""),"Yes","")</f>
        <v/>
      </c>
      <c r="K22" s="18">
        <f ca="1">COUNTIF(Bracket!$K$6:$K$16,$A22)</f>
        <v>0</v>
      </c>
      <c r="L22" s="18">
        <f ca="1">COUNTIFS(Bracket!$K$6:$K$16,$A22,Bracket!$G$6:$G$16,"CG-*")</f>
        <v>0</v>
      </c>
      <c r="M22" s="18" cm="1">
        <f t="array" aca="1" ref="M22" ca="1">IF($A22="","",_xlfn.LET(_xlpm.rawIP,SUMPRODUCT(--(Data!$AM$4:$AM$183=$A22),IFERROR(Data!$AN$4:$AN$183,0)),IF(_xlpm.rawIP=0,0,INT(_xlpm.rawIP)+MOD(ROUND(_xlpm.rawIP*3,0),3)/10)))</f>
        <v>0</v>
      </c>
    </row>
    <row r="23" spans="1:13">
      <c r="A23" s="18" t="str">
        <f>'Character List'!B11</f>
        <v>Fire Bro</v>
      </c>
      <c r="B23" s="18">
        <f>COUNTIF(Draft!$E$6:$E$77,$A23)</f>
        <v>1</v>
      </c>
      <c r="C23" s="18">
        <f ca="1">SUMIFS('Current Char Stats'!$D$4:$D$273,'Current Char Stats'!$B$4:$B$273,$A23)</f>
        <v>1</v>
      </c>
      <c r="D23" s="18">
        <f ca="1">SUMIFS('Current Char Stats'!$E$4:$E$273,'Current Char Stats'!$B$4:$B$273,$A23)</f>
        <v>0</v>
      </c>
      <c r="E23" s="61">
        <f t="shared" ca="1" si="0"/>
        <v>0</v>
      </c>
      <c r="F23" s="18">
        <f ca="1">SUMIFS('Current Char Stats'!$G$4:$G$273,'Current Char Stats'!$B$4:$B$273,$A23)</f>
        <v>0</v>
      </c>
      <c r="G23" s="18">
        <f ca="1">SUMIFS('Current Char Stats'!$H$4:$H$273,'Current Char Stats'!$B$4:$B$273,$A23)</f>
        <v>0</v>
      </c>
      <c r="H23" s="118" t="str" cm="1">
        <f t="array" ref="H23">IFERROR(_xlfn.TEXTJOIN(", ",TRUE,_xlfn.UNIQUE(_xlfn._xlws.FILTER(Draft!$D$6:$D$77,Draft!$E$6:$E$77=$A23))),"Undrafted")</f>
        <v>Donovan</v>
      </c>
      <c r="I23" s="65" cm="1">
        <f t="array" aca="1" ref="I23" ca="1">IFERROR(_xlfn.LET(_xlpm.charRows,IF('Current Char Stats'!$B$4:$B$273=$A23,1,0),_xlpm.ownerCol,'Current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0.33333333333333331</v>
      </c>
      <c r="J23" s="18" t="str">
        <f ca="1">IF(AND(B23&gt;0,IFERROR(INDEX(Draft!$D$6:$D$77,MATCH($A23,Draft!$E$6:$E$77,0)),"")=IFERROR(INDEX(Bracket!$B$18:$B$25,MATCH("1st",Bracket!$A$18:$A$25,0)),""),IFERROR(INDEX(Bracket!$B$18:$B$25,MATCH("1st",Bracket!$A$18:$A$25,0)),"")&lt;&gt;""),"Yes","")</f>
        <v/>
      </c>
      <c r="K23" s="18">
        <f ca="1">COUNTIF(Bracket!$K$6:$K$16,$A23)</f>
        <v>0</v>
      </c>
      <c r="L23" s="18">
        <f ca="1">COUNTIFS(Bracket!$K$6:$K$16,$A23,Bracket!$G$6:$G$16,"CG-*")</f>
        <v>0</v>
      </c>
      <c r="M23" s="18" cm="1">
        <f t="array" aca="1" ref="M23" ca="1">IF($A23="","",_xlfn.LET(_xlpm.rawIP,SUMPRODUCT(--(Data!$AM$4:$AM$183=$A23),IFERROR(Data!$AN$4:$AN$183,0)),IF(_xlpm.rawIP=0,0,INT(_xlpm.rawIP)+MOD(ROUND(_xlpm.rawIP*3,0),3)/10)))</f>
        <v>0</v>
      </c>
    </row>
    <row r="24" spans="1:13">
      <c r="A24" s="18" t="str">
        <f>'Character List'!B12</f>
        <v>Wario</v>
      </c>
      <c r="B24" s="18">
        <f>COUNTIF(Draft!$E$6:$E$77,$A24)</f>
        <v>1</v>
      </c>
      <c r="C24" s="18">
        <f ca="1">SUMIFS('Current Char Stats'!$D$4:$D$273,'Current Char Stats'!$B$4:$B$273,$A24)</f>
        <v>6</v>
      </c>
      <c r="D24" s="18">
        <f ca="1">SUMIFS('Current Char Stats'!$E$4:$E$273,'Current Char Stats'!$B$4:$B$273,$A24)</f>
        <v>4</v>
      </c>
      <c r="E24" s="61">
        <f t="shared" ca="1" si="0"/>
        <v>0.66666666666666663</v>
      </c>
      <c r="F24" s="18">
        <f ca="1">SUMIFS('Current Char Stats'!$G$4:$G$273,'Current Char Stats'!$B$4:$B$273,$A24)</f>
        <v>1</v>
      </c>
      <c r="G24" s="18">
        <f ca="1">SUMIFS('Current Char Stats'!$H$4:$H$273,'Current Char Stats'!$B$4:$B$273,$A24)</f>
        <v>3</v>
      </c>
      <c r="H24" s="117" t="str" cm="1">
        <f t="array" ref="H24">IFERROR(_xlfn.TEXTJOIN(", ",TRUE,_xlfn.UNIQUE(_xlfn._xlws.FILTER(Draft!$D$6:$D$77,Draft!$E$6:$E$77=$A24))),"Undrafted")</f>
        <v>Nick</v>
      </c>
      <c r="I24" s="65" cm="1">
        <f t="array" aca="1" ref="I24" ca="1">IFERROR(_xlfn.LET(_xlpm.charRows,IF('Current Char Stats'!$B$4:$B$273=$A24,1,0),_xlpm.ownerCol,'Current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0.75</v>
      </c>
      <c r="J24" s="18" t="str">
        <f ca="1">IF(AND(B24&gt;0,IFERROR(INDEX(Draft!$D$6:$D$77,MATCH($A24,Draft!$E$6:$E$77,0)),"")=IFERROR(INDEX(Bracket!$B$18:$B$25,MATCH("1st",Bracket!$A$18:$A$25,0)),""),IFERROR(INDEX(Bracket!$B$18:$B$25,MATCH("1st",Bracket!$A$18:$A$25,0)),"")&lt;&gt;""),"Yes","")</f>
        <v/>
      </c>
      <c r="K24" s="18">
        <f ca="1">COUNTIF(Bracket!$K$6:$K$16,$A24)</f>
        <v>0</v>
      </c>
      <c r="L24" s="18">
        <f ca="1">COUNTIFS(Bracket!$K$6:$K$16,$A24,Bracket!$G$6:$G$16,"CG-*")</f>
        <v>0</v>
      </c>
      <c r="M24" s="18" cm="1">
        <f t="array" aca="1" ref="M24" ca="1">IF($A24="","",_xlfn.LET(_xlpm.rawIP,SUMPRODUCT(--(Data!$AM$4:$AM$183=$A24),IFERROR(Data!$AN$4:$AN$183,0)),IF(_xlpm.rawIP=0,0,INT(_xlpm.rawIP)+MOD(ROUND(_xlpm.rawIP*3,0),3)/10)))</f>
        <v>0.1</v>
      </c>
    </row>
    <row r="25" spans="1:13">
      <c r="A25" s="18" t="str">
        <f>'Character List'!B13</f>
        <v>Blue Pianta</v>
      </c>
      <c r="B25" s="18">
        <f>COUNTIF(Draft!$E$6:$E$77,$A25)</f>
        <v>1</v>
      </c>
      <c r="C25" s="18">
        <f ca="1">SUMIFS('Current Char Stats'!$D$4:$D$273,'Current Char Stats'!$B$4:$B$273,$A25)</f>
        <v>3</v>
      </c>
      <c r="D25" s="18">
        <f ca="1">SUMIFS('Current Char Stats'!$E$4:$E$273,'Current Char Stats'!$B$4:$B$273,$A25)</f>
        <v>1</v>
      </c>
      <c r="E25" s="61">
        <f t="shared" ca="1" si="0"/>
        <v>0.33333333333333331</v>
      </c>
      <c r="F25" s="18">
        <f ca="1">SUMIFS('Current Char Stats'!$G$4:$G$273,'Current Char Stats'!$B$4:$B$273,$A25)</f>
        <v>0</v>
      </c>
      <c r="G25" s="18">
        <f ca="1">SUMIFS('Current Char Stats'!$H$4:$H$273,'Current Char Stats'!$B$4:$B$273,$A25)</f>
        <v>0</v>
      </c>
      <c r="H25" s="116" t="str" cm="1">
        <f t="array" ref="H25">IFERROR(_xlfn.TEXTJOIN(", ",TRUE,_xlfn.UNIQUE(_xlfn._xlws.FILTER(Draft!$D$6:$D$77,Draft!$E$6:$E$77=$A25))),"Undrafted")</f>
        <v>Aidan</v>
      </c>
      <c r="I25" s="65" cm="1">
        <f t="array" aca="1" ref="I25" ca="1">IFERROR(_xlfn.LET(_xlpm.charRows,IF('Current Char Stats'!$B$4:$B$273=$A25,1,0),_xlpm.ownerCol,'Current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0.33333333333333331</v>
      </c>
      <c r="J25" s="18" t="str">
        <f ca="1">IF(AND(B25&gt;0,IFERROR(INDEX(Draft!$D$6:$D$77,MATCH($A25,Draft!$E$6:$E$77,0)),"")=IFERROR(INDEX(Bracket!$B$18:$B$25,MATCH("1st",Bracket!$A$18:$A$25,0)),""),IFERROR(INDEX(Bracket!$B$18:$B$25,MATCH("1st",Bracket!$A$18:$A$25,0)),"")&lt;&gt;""),"Yes","")</f>
        <v/>
      </c>
      <c r="K25" s="18">
        <f ca="1">COUNTIF(Bracket!$K$6:$K$16,$A25)</f>
        <v>0</v>
      </c>
      <c r="L25" s="18">
        <f ca="1">COUNTIFS(Bracket!$K$6:$K$16,$A25,Bracket!$G$6:$G$16,"CG-*")</f>
        <v>0</v>
      </c>
      <c r="M25" s="18" cm="1">
        <f t="array" aca="1" ref="M25" ca="1">IF($A25="","",_xlfn.LET(_xlpm.rawIP,SUMPRODUCT(--(Data!$AM$4:$AM$183=$A25),IFERROR(Data!$AN$4:$AN$183,0)),IF(_xlpm.rawIP=0,0,INT(_xlpm.rawIP)+MOD(ROUND(_xlpm.rawIP*3,0),3)/10)))</f>
        <v>0</v>
      </c>
    </row>
    <row r="26" spans="1:13">
      <c r="A26" s="18" t="str">
        <f>'Character List'!B14</f>
        <v>Red Pianta</v>
      </c>
      <c r="B26" s="18">
        <f>COUNTIF(Draft!$E$6:$E$77,$A26)</f>
        <v>1</v>
      </c>
      <c r="C26" s="18">
        <f ca="1">SUMIFS('Current Char Stats'!$D$4:$D$273,'Current Char Stats'!$B$4:$B$273,$A26)</f>
        <v>3</v>
      </c>
      <c r="D26" s="18">
        <f ca="1">SUMIFS('Current Char Stats'!$E$4:$E$273,'Current Char Stats'!$B$4:$B$273,$A26)</f>
        <v>0</v>
      </c>
      <c r="E26" s="61">
        <f t="shared" ca="1" si="0"/>
        <v>0</v>
      </c>
      <c r="F26" s="18">
        <f ca="1">SUMIFS('Current Char Stats'!$G$4:$G$273,'Current Char Stats'!$B$4:$B$273,$A26)</f>
        <v>0</v>
      </c>
      <c r="G26" s="18">
        <f ca="1">SUMIFS('Current Char Stats'!$H$4:$H$273,'Current Char Stats'!$B$4:$B$273,$A26)</f>
        <v>0</v>
      </c>
      <c r="H26" s="115" t="str" cm="1">
        <f t="array" ref="H26">IFERROR(_xlfn.TEXTJOIN(", ",TRUE,_xlfn.UNIQUE(_xlfn._xlws.FILTER(Draft!$D$6:$D$77,Draft!$E$6:$E$77=$A26))),"Undrafted")</f>
        <v>Justin</v>
      </c>
      <c r="I26" s="65" cm="1">
        <f t="array" aca="1" ref="I26" ca="1">IFERROR(_xlfn.LET(_xlpm.charRows,IF('Current Char Stats'!$B$4:$B$273=$A26,1,0),_xlpm.ownerCol,'Current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</v>
      </c>
      <c r="J26" s="18" t="str">
        <f ca="1">IF(AND(B26&gt;0,IFERROR(INDEX(Draft!$D$6:$D$77,MATCH($A26,Draft!$E$6:$E$77,0)),"")=IFERROR(INDEX(Bracket!$B$18:$B$25,MATCH("1st",Bracket!$A$18:$A$25,0)),""),IFERROR(INDEX(Bracket!$B$18:$B$25,MATCH("1st",Bracket!$A$18:$A$25,0)),"")&lt;&gt;""),"Yes","")</f>
        <v/>
      </c>
      <c r="K26" s="18">
        <f ca="1">COUNTIF(Bracket!$K$6:$K$16,$A26)</f>
        <v>0</v>
      </c>
      <c r="L26" s="18">
        <f ca="1">COUNTIFS(Bracket!$K$6:$K$16,$A26,Bracket!$G$6:$G$16,"CG-*")</f>
        <v>0</v>
      </c>
      <c r="M26" s="18" cm="1">
        <f t="array" aca="1" ref="M26" ca="1">IF($A26="","",_xlfn.LET(_xlpm.rawIP,SUMPRODUCT(--(Data!$AM$4:$AM$183=$A26),IFERROR(Data!$AN$4:$AN$183,0)),IF(_xlpm.rawIP=0,0,INT(_xlpm.rawIP)+MOD(ROUND(_xlpm.rawIP*3,0),3)/10)))</f>
        <v>0</v>
      </c>
    </row>
    <row r="27" spans="1:13">
      <c r="A27" s="18" t="str">
        <f>'Character List'!B15</f>
        <v>Yellow Pianta</v>
      </c>
      <c r="B27" s="18">
        <f>COUNTIF(Draft!$E$6:$E$77,$A27)</f>
        <v>1</v>
      </c>
      <c r="C27" s="18">
        <f ca="1">SUMIFS('Current Char Stats'!$D$4:$D$273,'Current Char Stats'!$B$4:$B$273,$A27)</f>
        <v>3</v>
      </c>
      <c r="D27" s="18">
        <f ca="1">SUMIFS('Current Char Stats'!$E$4:$E$273,'Current Char Stats'!$B$4:$B$273,$A27)</f>
        <v>1</v>
      </c>
      <c r="E27" s="61">
        <f t="shared" ca="1" si="0"/>
        <v>0.33333333333333331</v>
      </c>
      <c r="F27" s="18">
        <f ca="1">SUMIFS('Current Char Stats'!$G$4:$G$273,'Current Char Stats'!$B$4:$B$273,$A27)</f>
        <v>1</v>
      </c>
      <c r="G27" s="18">
        <f ca="1">SUMIFS('Current Char Stats'!$H$4:$H$273,'Current Char Stats'!$B$4:$B$273,$A27)</f>
        <v>1</v>
      </c>
      <c r="H27" s="114" t="str" cm="1">
        <f t="array" ref="H27">IFERROR(_xlfn.TEXTJOIN(", ",TRUE,_xlfn.UNIQUE(_xlfn._xlws.FILTER(Draft!$D$6:$D$77,Draft!$E$6:$E$77=$A27))),"Undrafted")</f>
        <v>Aidan</v>
      </c>
      <c r="I27" s="65" cm="1">
        <f t="array" aca="1" ref="I27" ca="1">IFERROR(_xlfn.LET(_xlpm.charRows,IF('Current Char Stats'!$B$4:$B$273=$A27,1,0),_xlpm.ownerCol,'Current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0.33333333333333331</v>
      </c>
      <c r="J27" s="18" t="str">
        <f ca="1">IF(AND(B27&gt;0,IFERROR(INDEX(Draft!$D$6:$D$77,MATCH($A27,Draft!$E$6:$E$77,0)),"")=IFERROR(INDEX(Bracket!$B$18:$B$25,MATCH("1st",Bracket!$A$18:$A$25,0)),""),IFERROR(INDEX(Bracket!$B$18:$B$25,MATCH("1st",Bracket!$A$18:$A$25,0)),"")&lt;&gt;""),"Yes","")</f>
        <v/>
      </c>
      <c r="K27" s="18">
        <f ca="1">COUNTIF(Bracket!$K$6:$K$16,$A27)</f>
        <v>1</v>
      </c>
      <c r="L27" s="18">
        <f ca="1">COUNTIFS(Bracket!$K$6:$K$16,$A27,Bracket!$G$6:$G$16,"CG-*")</f>
        <v>0</v>
      </c>
      <c r="M27" s="18" cm="1">
        <f t="array" aca="1" ref="M27" ca="1">IF($A27="","",_xlfn.LET(_xlpm.rawIP,SUMPRODUCT(--(Data!$AM$4:$AM$183=$A27),IFERROR(Data!$AN$4:$AN$183,0)),IF(_xlpm.rawIP=0,0,INT(_xlpm.rawIP)+MOD(ROUND(_xlpm.rawIP*3,0),3)/10)))</f>
        <v>0</v>
      </c>
    </row>
    <row r="28" spans="1:13">
      <c r="A28" s="18" t="str">
        <f>'Character List'!B16</f>
        <v>Mario</v>
      </c>
      <c r="B28" s="18">
        <f>COUNTIF(Draft!$E$6:$E$77,$A28)</f>
        <v>1</v>
      </c>
      <c r="C28" s="18">
        <f ca="1">SUMIFS('Current Char Stats'!$D$4:$D$273,'Current Char Stats'!$B$4:$B$273,$A28)</f>
        <v>4</v>
      </c>
      <c r="D28" s="18">
        <f ca="1">SUMIFS('Current Char Stats'!$E$4:$E$273,'Current Char Stats'!$B$4:$B$273,$A28)</f>
        <v>2</v>
      </c>
      <c r="E28" s="61">
        <f t="shared" ca="1" si="0"/>
        <v>0.5</v>
      </c>
      <c r="F28" s="18">
        <f ca="1">SUMIFS('Current Char Stats'!$G$4:$G$273,'Current Char Stats'!$B$4:$B$273,$A28)</f>
        <v>0</v>
      </c>
      <c r="G28" s="18">
        <f ca="1">SUMIFS('Current Char Stats'!$H$4:$H$273,'Current Char Stats'!$B$4:$B$273,$A28)</f>
        <v>0</v>
      </c>
      <c r="H28" s="114" t="str" cm="1">
        <f t="array" ref="H28">IFERROR(_xlfn.TEXTJOIN(", ",TRUE,_xlfn.UNIQUE(_xlfn._xlws.FILTER(Draft!$D$6:$D$77,Draft!$E$6:$E$77=$A28))),"Undrafted")</f>
        <v>Aidan</v>
      </c>
      <c r="I28" s="65" cm="1">
        <f t="array" aca="1" ref="I28" ca="1">IFERROR(_xlfn.LET(_xlpm.charRows,IF('Current Char Stats'!$B$4:$B$273=$A28,1,0),_xlpm.ownerCol,'Current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0.33333333333333331</v>
      </c>
      <c r="J28" s="18" t="str">
        <f ca="1">IF(AND(B28&gt;0,IFERROR(INDEX(Draft!$D$6:$D$77,MATCH($A28,Draft!$E$6:$E$77,0)),"")=IFERROR(INDEX(Bracket!$B$18:$B$25,MATCH("1st",Bracket!$A$18:$A$25,0)),""),IFERROR(INDEX(Bracket!$B$18:$B$25,MATCH("1st",Bracket!$A$18:$A$25,0)),"")&lt;&gt;""),"Yes","")</f>
        <v/>
      </c>
      <c r="K28" s="18">
        <f ca="1">COUNTIF(Bracket!$K$6:$K$16,$A28)</f>
        <v>0</v>
      </c>
      <c r="L28" s="18">
        <f ca="1">COUNTIFS(Bracket!$K$6:$K$16,$A28,Bracket!$G$6:$G$16,"CG-*")</f>
        <v>0</v>
      </c>
      <c r="M28" s="18" cm="1">
        <f t="array" aca="1" ref="M28" ca="1">IF($A28="","",_xlfn.LET(_xlpm.rawIP,SUMPRODUCT(--(Data!$AM$4:$AM$183=$A28),IFERROR(Data!$AN$4:$AN$183,0)),IF(_xlpm.rawIP=0,0,INT(_xlpm.rawIP)+MOD(ROUND(_xlpm.rawIP*3,0),3)/10)))</f>
        <v>0</v>
      </c>
    </row>
    <row r="29" spans="1:13">
      <c r="A29" s="18" t="str">
        <f>'Character List'!B17</f>
        <v>Bowser Jr.</v>
      </c>
      <c r="B29" s="18">
        <f>COUNTIF(Draft!$E$6:$E$77,$A29)</f>
        <v>1</v>
      </c>
      <c r="C29" s="18">
        <f ca="1">SUMIFS('Current Char Stats'!$D$4:$D$273,'Current Char Stats'!$B$4:$B$273,$A29)</f>
        <v>4</v>
      </c>
      <c r="D29" s="18">
        <f ca="1">SUMIFS('Current Char Stats'!$E$4:$E$273,'Current Char Stats'!$B$4:$B$273,$A29)</f>
        <v>1</v>
      </c>
      <c r="E29" s="61">
        <f t="shared" ca="1" si="0"/>
        <v>0.5</v>
      </c>
      <c r="F29" s="18">
        <f ca="1">SUMIFS('Current Char Stats'!$G$4:$G$273,'Current Char Stats'!$B$4:$B$273,$A29)</f>
        <v>0</v>
      </c>
      <c r="G29" s="18">
        <f ca="1">SUMIFS('Current Char Stats'!$H$4:$H$273,'Current Char Stats'!$B$4:$B$273,$A29)</f>
        <v>0</v>
      </c>
      <c r="H29" s="115" t="str" cm="1">
        <f t="array" ref="H29">IFERROR(_xlfn.TEXTJOIN(", ",TRUE,_xlfn.UNIQUE(_xlfn._xlws.FILTER(Draft!$D$6:$D$77,Draft!$E$6:$E$77=$A29))),"Undrafted")</f>
        <v>Justin</v>
      </c>
      <c r="I29" s="65" cm="1">
        <f t="array" aca="1" ref="I29" ca="1">IFERROR(_xlfn.LET(_xlpm.charRows,IF('Current Char Stats'!$B$4:$B$273=$A29,1,0),_xlpm.ownerCol,'Current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</v>
      </c>
      <c r="J29" s="18" t="str">
        <f ca="1">IF(AND(B29&gt;0,IFERROR(INDEX(Draft!$D$6:$D$77,MATCH($A29,Draft!$E$6:$E$77,0)),"")=IFERROR(INDEX(Bracket!$B$18:$B$25,MATCH("1st",Bracket!$A$18:$A$25,0)),""),IFERROR(INDEX(Bracket!$B$18:$B$25,MATCH("1st",Bracket!$A$18:$A$25,0)),"")&lt;&gt;""),"Yes","")</f>
        <v/>
      </c>
      <c r="K29" s="18">
        <f ca="1">COUNTIF(Bracket!$K$6:$K$16,$A29)</f>
        <v>0</v>
      </c>
      <c r="L29" s="18">
        <f ca="1">COUNTIFS(Bracket!$K$6:$K$16,$A29,Bracket!$G$6:$G$16,"CG-*")</f>
        <v>0</v>
      </c>
      <c r="M29" s="18" cm="1">
        <f t="array" aca="1" ref="M29" ca="1">IF($A29="","",_xlfn.LET(_xlpm.rawIP,SUMPRODUCT(--(Data!$AM$4:$AM$183=$A29),IFERROR(Data!$AN$4:$AN$183,0)),IF(_xlpm.rawIP=0,0,INT(_xlpm.rawIP)+MOD(ROUND(_xlpm.rawIP*3,0),3)/10)))</f>
        <v>0</v>
      </c>
    </row>
    <row r="30" spans="1:13">
      <c r="A30" s="18" t="str">
        <f>'Character List'!B18</f>
        <v>Brown Kritter</v>
      </c>
      <c r="B30" s="18">
        <f>COUNTIF(Draft!$E$6:$E$77,$A30)</f>
        <v>1</v>
      </c>
      <c r="C30" s="18">
        <f ca="1">SUMIFS('Current Char Stats'!$D$4:$D$273,'Current Char Stats'!$B$4:$B$273,$A30)</f>
        <v>7</v>
      </c>
      <c r="D30" s="18">
        <f ca="1">SUMIFS('Current Char Stats'!$E$4:$E$273,'Current Char Stats'!$B$4:$B$273,$A30)</f>
        <v>1</v>
      </c>
      <c r="E30" s="61">
        <f t="shared" ca="1" si="0"/>
        <v>0.14285714285714285</v>
      </c>
      <c r="F30" s="18">
        <f ca="1">SUMIFS('Current Char Stats'!$G$4:$G$273,'Current Char Stats'!$B$4:$B$273,$A30)</f>
        <v>0</v>
      </c>
      <c r="G30" s="18">
        <f ca="1">SUMIFS('Current Char Stats'!$H$4:$H$273,'Current Char Stats'!$B$4:$B$273,$A30)</f>
        <v>1</v>
      </c>
      <c r="H30" s="116" t="str" cm="1">
        <f t="array" ref="H30">IFERROR(_xlfn.TEXTJOIN(", ",TRUE,_xlfn.UNIQUE(_xlfn._xlws.FILTER(Draft!$D$6:$D$77,Draft!$E$6:$E$77=$A30))),"Undrafted")</f>
        <v>Jason</v>
      </c>
      <c r="I30" s="65" cm="1">
        <f t="array" aca="1" ref="I30" ca="1">IFERROR(_xlfn.LET(_xlpm.charRows,IF('Current Char Stats'!$B$4:$B$273=$A30,1,0),_xlpm.ownerCol,'Current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0.25</v>
      </c>
      <c r="J30" s="18" t="str">
        <f ca="1">IF(AND(B30&gt;0,IFERROR(INDEX(Draft!$D$6:$D$77,MATCH($A30,Draft!$E$6:$E$77,0)),"")=IFERROR(INDEX(Bracket!$B$18:$B$25,MATCH("1st",Bracket!$A$18:$A$25,0)),""),IFERROR(INDEX(Bracket!$B$18:$B$25,MATCH("1st",Bracket!$A$18:$A$25,0)),"")&lt;&gt;""),"Yes","")</f>
        <v>Yes</v>
      </c>
      <c r="K30" s="18">
        <f ca="1">COUNTIF(Bracket!$K$6:$K$16,$A30)</f>
        <v>0</v>
      </c>
      <c r="L30" s="18">
        <f ca="1">COUNTIFS(Bracket!$K$6:$K$16,$A30,Bracket!$G$6:$G$16,"CG-*")</f>
        <v>0</v>
      </c>
      <c r="M30" s="18" cm="1">
        <f t="array" aca="1" ref="M30" ca="1">IF($A30="","",_xlfn.LET(_xlpm.rawIP,SUMPRODUCT(--(Data!$AM$4:$AM$183=$A30),IFERROR(Data!$AN$4:$AN$183,0)),IF(_xlpm.rawIP=0,0,INT(_xlpm.rawIP)+MOD(ROUND(_xlpm.rawIP*3,0),3)/10)))</f>
        <v>0</v>
      </c>
    </row>
    <row r="31" spans="1:13">
      <c r="A31" s="18" t="str">
        <f>'Character List'!B19</f>
        <v>Dark Bones</v>
      </c>
      <c r="B31" s="18">
        <f>COUNTIF(Draft!$E$6:$E$77,$A31)</f>
        <v>1</v>
      </c>
      <c r="C31" s="18">
        <f ca="1">SUMIFS('Current Char Stats'!$D$4:$D$273,'Current Char Stats'!$B$4:$B$273,$A31)</f>
        <v>3</v>
      </c>
      <c r="D31" s="18">
        <f ca="1">SUMIFS('Current Char Stats'!$E$4:$E$273,'Current Char Stats'!$B$4:$B$273,$A31)</f>
        <v>1</v>
      </c>
      <c r="E31" s="61">
        <f t="shared" ca="1" si="0"/>
        <v>0.33333333333333331</v>
      </c>
      <c r="F31" s="18">
        <f ca="1">SUMIFS('Current Char Stats'!$G$4:$G$273,'Current Char Stats'!$B$4:$B$273,$A31)</f>
        <v>1</v>
      </c>
      <c r="G31" s="18">
        <f ca="1">SUMIFS('Current Char Stats'!$H$4:$H$273,'Current Char Stats'!$B$4:$B$273,$A31)</f>
        <v>2</v>
      </c>
      <c r="H31" s="117" t="str" cm="1">
        <f t="array" ref="H31">IFERROR(_xlfn.TEXTJOIN(", ",TRUE,_xlfn.UNIQUE(_xlfn._xlws.FILTER(Draft!$D$6:$D$77,Draft!$E$6:$E$77=$A31))),"Undrafted")</f>
        <v>Aidan</v>
      </c>
      <c r="I31" s="65" cm="1">
        <f t="array" aca="1" ref="I31" ca="1">IFERROR(_xlfn.LET(_xlpm.charRows,IF('Current Char Stats'!$B$4:$B$273=$A31,1,0),_xlpm.ownerCol,'Current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0.33333333333333331</v>
      </c>
      <c r="J31" s="18" t="str">
        <f ca="1">IF(AND(B31&gt;0,IFERROR(INDEX(Draft!$D$6:$D$77,MATCH($A31,Draft!$E$6:$E$77,0)),"")=IFERROR(INDEX(Bracket!$B$18:$B$25,MATCH("1st",Bracket!$A$18:$A$25,0)),""),IFERROR(INDEX(Bracket!$B$18:$B$25,MATCH("1st",Bracket!$A$18:$A$25,0)),"")&lt;&gt;""),"Yes","")</f>
        <v/>
      </c>
      <c r="K31" s="18">
        <f ca="1">COUNTIF(Bracket!$K$6:$K$16,$A31)</f>
        <v>0</v>
      </c>
      <c r="L31" s="18">
        <f ca="1">COUNTIFS(Bracket!$K$6:$K$16,$A31,Bracket!$G$6:$G$16,"CG-*")</f>
        <v>0</v>
      </c>
      <c r="M31" s="18" cm="1">
        <f t="array" aca="1" ref="M31" ca="1">IF($A31="","",_xlfn.LET(_xlpm.rawIP,SUMPRODUCT(--(Data!$AM$4:$AM$183=$A31),IFERROR(Data!$AN$4:$AN$183,0)),IF(_xlpm.rawIP=0,0,INT(_xlpm.rawIP)+MOD(ROUND(_xlpm.rawIP*3,0),3)/10)))</f>
        <v>0</v>
      </c>
    </row>
    <row r="32" spans="1:13">
      <c r="A32" s="18" t="str">
        <f>'Character List'!B20</f>
        <v>King Boo</v>
      </c>
      <c r="B32" s="18">
        <f>COUNTIF(Draft!$E$6:$E$77,$A32)</f>
        <v>1</v>
      </c>
      <c r="C32" s="18">
        <f ca="1">SUMIFS('Current Char Stats'!$D$4:$D$273,'Current Char Stats'!$B$4:$B$273,$A32)</f>
        <v>4</v>
      </c>
      <c r="D32" s="18">
        <f ca="1">SUMIFS('Current Char Stats'!$E$4:$E$273,'Current Char Stats'!$B$4:$B$273,$A32)</f>
        <v>1</v>
      </c>
      <c r="E32" s="61">
        <f t="shared" ca="1" si="0"/>
        <v>0.5</v>
      </c>
      <c r="F32" s="18">
        <f ca="1">SUMIFS('Current Char Stats'!$G$4:$G$273,'Current Char Stats'!$B$4:$B$273,$A32)</f>
        <v>0</v>
      </c>
      <c r="G32" s="18">
        <f ca="1">SUMIFS('Current Char Stats'!$H$4:$H$273,'Current Char Stats'!$B$4:$B$273,$A32)</f>
        <v>0</v>
      </c>
      <c r="H32" s="118" t="str" cm="1">
        <f t="array" ref="H32">IFERROR(_xlfn.TEXTJOIN(", ",TRUE,_xlfn.UNIQUE(_xlfn._xlws.FILTER(Draft!$D$6:$D$77,Draft!$E$6:$E$77=$A32))),"Undrafted")</f>
        <v>May</v>
      </c>
      <c r="I32" s="65" cm="1">
        <f t="array" aca="1" ref="I32" ca="1">IFERROR(_xlfn.LET(_xlpm.charRows,IF('Current Char Stats'!$B$4:$B$273=$A32,1,0),_xlpm.ownerCol,'Current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0.75</v>
      </c>
      <c r="J32" s="18" t="str">
        <f ca="1">IF(AND(B32&gt;0,IFERROR(INDEX(Draft!$D$6:$D$77,MATCH($A32,Draft!$E$6:$E$77,0)),"")=IFERROR(INDEX(Bracket!$B$18:$B$25,MATCH("1st",Bracket!$A$18:$A$25,0)),""),IFERROR(INDEX(Bracket!$B$18:$B$25,MATCH("1st",Bracket!$A$18:$A$25,0)),"")&lt;&gt;""),"Yes","")</f>
        <v/>
      </c>
      <c r="K32" s="18">
        <f ca="1">COUNTIF(Bracket!$K$6:$K$16,$A32)</f>
        <v>1</v>
      </c>
      <c r="L32" s="18">
        <f ca="1">COUNTIFS(Bracket!$K$6:$K$16,$A32,Bracket!$G$6:$G$16,"CG-*")</f>
        <v>0</v>
      </c>
      <c r="M32" s="18" cm="1">
        <f t="array" aca="1" ref="M32" ca="1">IF($A32="","",_xlfn.LET(_xlpm.rawIP,SUMPRODUCT(--(Data!$AM$4:$AM$183=$A32),IFERROR(Data!$AN$4:$AN$183,0)),IF(_xlpm.rawIP=0,0,INT(_xlpm.rawIP)+MOD(ROUND(_xlpm.rawIP*3,0),3)/10)))</f>
        <v>9</v>
      </c>
    </row>
    <row r="33" spans="1:13">
      <c r="A33" s="18" t="str">
        <f>'Character List'!B21</f>
        <v>Kritter</v>
      </c>
      <c r="B33" s="18">
        <f>COUNTIF(Draft!$E$6:$E$77,$A33)</f>
        <v>1</v>
      </c>
      <c r="C33" s="18">
        <f ca="1">SUMIFS('Current Char Stats'!$D$4:$D$273,'Current Char Stats'!$B$4:$B$273,$A33)</f>
        <v>4</v>
      </c>
      <c r="D33" s="18">
        <f ca="1">SUMIFS('Current Char Stats'!$E$4:$E$273,'Current Char Stats'!$B$4:$B$273,$A33)</f>
        <v>1</v>
      </c>
      <c r="E33" s="61">
        <f t="shared" ca="1" si="0"/>
        <v>0.25</v>
      </c>
      <c r="F33" s="18">
        <f ca="1">SUMIFS('Current Char Stats'!$G$4:$G$273,'Current Char Stats'!$B$4:$B$273,$A33)</f>
        <v>0</v>
      </c>
      <c r="G33" s="18">
        <f ca="1">SUMIFS('Current Char Stats'!$H$4:$H$273,'Current Char Stats'!$B$4:$B$273,$A33)</f>
        <v>0</v>
      </c>
      <c r="H33" s="119" t="str" cm="1">
        <f t="array" ref="H33">IFERROR(_xlfn.TEXTJOIN(", ",TRUE,_xlfn.UNIQUE(_xlfn._xlws.FILTER(Draft!$D$6:$D$77,Draft!$E$6:$E$77=$A33))),"Undrafted")</f>
        <v>Justin</v>
      </c>
      <c r="I33" s="65" cm="1">
        <f t="array" aca="1" ref="I33" ca="1">IFERROR(_xlfn.LET(_xlpm.charRows,IF('Current Char Stats'!$B$4:$B$273=$A33,1,0),_xlpm.ownerCol,'Current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</v>
      </c>
      <c r="J33" s="18" t="str">
        <f ca="1">IF(AND(B33&gt;0,IFERROR(INDEX(Draft!$D$6:$D$77,MATCH($A33,Draft!$E$6:$E$77,0)),"")=IFERROR(INDEX(Bracket!$B$18:$B$25,MATCH("1st",Bracket!$A$18:$A$25,0)),""),IFERROR(INDEX(Bracket!$B$18:$B$25,MATCH("1st",Bracket!$A$18:$A$25,0)),"")&lt;&gt;""),"Yes","")</f>
        <v/>
      </c>
      <c r="K33" s="18">
        <f ca="1">COUNTIF(Bracket!$K$6:$K$16,$A33)</f>
        <v>0</v>
      </c>
      <c r="L33" s="18">
        <f ca="1">COUNTIFS(Bracket!$K$6:$K$16,$A33,Bracket!$G$6:$G$16,"CG-*")</f>
        <v>0</v>
      </c>
      <c r="M33" s="18" cm="1">
        <f t="array" aca="1" ref="M33" ca="1">IF($A33="","",_xlfn.LET(_xlpm.rawIP,SUMPRODUCT(--(Data!$AM$4:$AM$183=$A33),IFERROR(Data!$AN$4:$AN$183,0)),IF(_xlpm.rawIP=0,0,INT(_xlpm.rawIP)+MOD(ROUND(_xlpm.rawIP*3,0),3)/10)))</f>
        <v>0</v>
      </c>
    </row>
    <row r="34" spans="1:13">
      <c r="A34" s="18" t="str">
        <f>'Character List'!B22</f>
        <v>Wiggler</v>
      </c>
      <c r="B34" s="18">
        <f>COUNTIF(Draft!$E$6:$E$77,$A34)</f>
        <v>1</v>
      </c>
      <c r="C34" s="18">
        <f ca="1">SUMIFS('Current Char Stats'!$D$4:$D$273,'Current Char Stats'!$B$4:$B$273,$A34)</f>
        <v>7</v>
      </c>
      <c r="D34" s="18">
        <f ca="1">SUMIFS('Current Char Stats'!$E$4:$E$273,'Current Char Stats'!$B$4:$B$273,$A34)</f>
        <v>1</v>
      </c>
      <c r="E34" s="61">
        <f t="shared" ca="1" si="0"/>
        <v>0.14285714285714285</v>
      </c>
      <c r="F34" s="18">
        <f ca="1">SUMIFS('Current Char Stats'!$G$4:$G$273,'Current Char Stats'!$B$4:$B$273,$A34)</f>
        <v>1</v>
      </c>
      <c r="G34" s="18">
        <f ca="1">SUMIFS('Current Char Stats'!$H$4:$H$273,'Current Char Stats'!$B$4:$B$273,$A34)</f>
        <v>1</v>
      </c>
      <c r="H34" s="119" t="str" cm="1">
        <f t="array" ref="H34">IFERROR(_xlfn.TEXTJOIN(", ",TRUE,_xlfn.UNIQUE(_xlfn._xlws.FILTER(Draft!$D$6:$D$77,Draft!$E$6:$E$77=$A34))),"Undrafted")</f>
        <v>Nick</v>
      </c>
      <c r="I34" s="65" cm="1">
        <f t="array" aca="1" ref="I34" ca="1">IFERROR(_xlfn.LET(_xlpm.charRows,IF('Current Char Stats'!$B$4:$B$273=$A34,1,0),_xlpm.ownerCol,'Current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0.75</v>
      </c>
      <c r="J34" s="18" t="str">
        <f ca="1">IF(AND(B34&gt;0,IFERROR(INDEX(Draft!$D$6:$D$77,MATCH($A34,Draft!$E$6:$E$77,0)),"")=IFERROR(INDEX(Bracket!$B$18:$B$25,MATCH("1st",Bracket!$A$18:$A$25,0)),""),IFERROR(INDEX(Bracket!$B$18:$B$25,MATCH("1st",Bracket!$A$18:$A$25,0)),"")&lt;&gt;""),"Yes","")</f>
        <v/>
      </c>
      <c r="K34" s="18">
        <f ca="1">COUNTIF(Bracket!$K$6:$K$16,$A34)</f>
        <v>0</v>
      </c>
      <c r="L34" s="18">
        <f ca="1">COUNTIFS(Bracket!$K$6:$K$16,$A34,Bracket!$G$6:$G$16,"CG-*")</f>
        <v>0</v>
      </c>
      <c r="M34" s="18" cm="1">
        <f t="array" aca="1" ref="M34" ca="1">IF($A34="","",_xlfn.LET(_xlpm.rawIP,SUMPRODUCT(--(Data!$AM$4:$AM$183=$A34),IFERROR(Data!$AN$4:$AN$183,0)),IF(_xlpm.rawIP=0,0,INT(_xlpm.rawIP)+MOD(ROUND(_xlpm.rawIP*3,0),3)/10)))</f>
        <v>1.1000000000000001</v>
      </c>
    </row>
    <row r="35" spans="1:13">
      <c r="A35" s="18" t="str">
        <f>'Character List'!B23</f>
        <v>Blue Dry Bones</v>
      </c>
      <c r="B35" s="18">
        <f>COUNTIF(Draft!$E$6:$E$77,$A35)</f>
        <v>1</v>
      </c>
      <c r="C35" s="18">
        <f ca="1">SUMIFS('Current Char Stats'!$D$4:$D$273,'Current Char Stats'!$B$4:$B$273,$A35)</f>
        <v>2</v>
      </c>
      <c r="D35" s="18">
        <f ca="1">SUMIFS('Current Char Stats'!$E$4:$E$273,'Current Char Stats'!$B$4:$B$273,$A35)</f>
        <v>2</v>
      </c>
      <c r="E35" s="61">
        <f t="shared" ca="1" si="0"/>
        <v>1</v>
      </c>
      <c r="F35" s="18">
        <f ca="1">SUMIFS('Current Char Stats'!$G$4:$G$273,'Current Char Stats'!$B$4:$B$273,$A35)</f>
        <v>1</v>
      </c>
      <c r="G35" s="18">
        <f ca="1">SUMIFS('Current Char Stats'!$H$4:$H$273,'Current Char Stats'!$B$4:$B$273,$A35)</f>
        <v>2</v>
      </c>
      <c r="H35" s="118" t="str" cm="1">
        <f t="array" ref="H35">IFERROR(_xlfn.TEXTJOIN(", ",TRUE,_xlfn.UNIQUE(_xlfn._xlws.FILTER(Draft!$D$6:$D$77,Draft!$E$6:$E$77=$A35))),"Undrafted")</f>
        <v>Aidan</v>
      </c>
      <c r="I35" s="65" cm="1">
        <f t="array" aca="1" ref="I35" ca="1">IFERROR(_xlfn.LET(_xlpm.charRows,IF('Current Char Stats'!$B$4:$B$273=$A35,1,0),_xlpm.ownerCol,'Current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0.33333333333333331</v>
      </c>
      <c r="J35" s="18" t="str">
        <f ca="1">IF(AND(B35&gt;0,IFERROR(INDEX(Draft!$D$6:$D$77,MATCH($A35,Draft!$E$6:$E$77,0)),"")=IFERROR(INDEX(Bracket!$B$18:$B$25,MATCH("1st",Bracket!$A$18:$A$25,0)),""),IFERROR(INDEX(Bracket!$B$18:$B$25,MATCH("1st",Bracket!$A$18:$A$25,0)),"")&lt;&gt;""),"Yes","")</f>
        <v/>
      </c>
      <c r="K35" s="18">
        <f ca="1">COUNTIF(Bracket!$K$6:$K$16,$A35)</f>
        <v>0</v>
      </c>
      <c r="L35" s="18">
        <f ca="1">COUNTIFS(Bracket!$K$6:$K$16,$A35,Bracket!$G$6:$G$16,"CG-*")</f>
        <v>0</v>
      </c>
      <c r="M35" s="18" cm="1">
        <f t="array" aca="1" ref="M35" ca="1">IF($A35="","",_xlfn.LET(_xlpm.rawIP,SUMPRODUCT(--(Data!$AM$4:$AM$183=$A35),IFERROR(Data!$AN$4:$AN$183,0)),IF(_xlpm.rawIP=0,0,INT(_xlpm.rawIP)+MOD(ROUND(_xlpm.rawIP*3,0),3)/10)))</f>
        <v>0</v>
      </c>
    </row>
    <row r="36" spans="1:13">
      <c r="A36" s="18" t="str">
        <f>'Character List'!B24</f>
        <v>Boomerang Bro</v>
      </c>
      <c r="B36" s="18">
        <f>COUNTIF(Draft!$E$6:$E$77,$A36)</f>
        <v>1</v>
      </c>
      <c r="C36" s="18">
        <f ca="1">SUMIFS('Current Char Stats'!$D$4:$D$273,'Current Char Stats'!$B$4:$B$273,$A36)</f>
        <v>6</v>
      </c>
      <c r="D36" s="18">
        <f ca="1">SUMIFS('Current Char Stats'!$E$4:$E$273,'Current Char Stats'!$B$4:$B$273,$A36)</f>
        <v>2</v>
      </c>
      <c r="E36" s="61">
        <f t="shared" ca="1" si="0"/>
        <v>0.33333333333333331</v>
      </c>
      <c r="F36" s="18">
        <f ca="1">SUMIFS('Current Char Stats'!$G$4:$G$273,'Current Char Stats'!$B$4:$B$273,$A36)</f>
        <v>0</v>
      </c>
      <c r="G36" s="18">
        <f ca="1">SUMIFS('Current Char Stats'!$H$4:$H$273,'Current Char Stats'!$B$4:$B$273,$A36)</f>
        <v>0</v>
      </c>
      <c r="H36" s="117" t="str" cm="1">
        <f t="array" ref="H36">IFERROR(_xlfn.TEXTJOIN(", ",TRUE,_xlfn.UNIQUE(_xlfn._xlws.FILTER(Draft!$D$6:$D$77,Draft!$E$6:$E$77=$A36))),"Undrafted")</f>
        <v>Nick</v>
      </c>
      <c r="I36" s="65" cm="1">
        <f t="array" aca="1" ref="I36" ca="1">IFERROR(_xlfn.LET(_xlpm.charRows,IF('Current Char Stats'!$B$4:$B$273=$A36,1,0),_xlpm.ownerCol,'Current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0.75</v>
      </c>
      <c r="J36" s="18" t="str">
        <f ca="1">IF(AND(B36&gt;0,IFERROR(INDEX(Draft!$D$6:$D$77,MATCH($A36,Draft!$E$6:$E$77,0)),"")=IFERROR(INDEX(Bracket!$B$18:$B$25,MATCH("1st",Bracket!$A$18:$A$25,0)),""),IFERROR(INDEX(Bracket!$B$18:$B$25,MATCH("1st",Bracket!$A$18:$A$25,0)),"")&lt;&gt;""),"Yes","")</f>
        <v/>
      </c>
      <c r="K36" s="18">
        <f ca="1">COUNTIF(Bracket!$K$6:$K$16,$A36)</f>
        <v>0</v>
      </c>
      <c r="L36" s="18">
        <f ca="1">COUNTIFS(Bracket!$K$6:$K$16,$A36,Bracket!$G$6:$G$16,"CG-*")</f>
        <v>0</v>
      </c>
      <c r="M36" s="18" cm="1">
        <f t="array" aca="1" ref="M36" ca="1">IF($A36="","",_xlfn.LET(_xlpm.rawIP,SUMPRODUCT(--(Data!$AM$4:$AM$183=$A36),IFERROR(Data!$AN$4:$AN$183,0)),IF(_xlpm.rawIP=0,0,INT(_xlpm.rawIP)+MOD(ROUND(_xlpm.rawIP*3,0),3)/10)))</f>
        <v>3.2</v>
      </c>
    </row>
    <row r="37" spans="1:13">
      <c r="A37" s="18" t="str">
        <f>'Character List'!B25</f>
        <v>Dry Bones</v>
      </c>
      <c r="B37" s="18">
        <f>COUNTIF(Draft!$E$6:$E$77,$A37)</f>
        <v>1</v>
      </c>
      <c r="C37" s="18">
        <f ca="1">SUMIFS('Current Char Stats'!$D$4:$D$273,'Current Char Stats'!$B$4:$B$273,$A37)</f>
        <v>1</v>
      </c>
      <c r="D37" s="18">
        <f ca="1">SUMIFS('Current Char Stats'!$E$4:$E$273,'Current Char Stats'!$B$4:$B$273,$A37)</f>
        <v>0</v>
      </c>
      <c r="E37" s="61">
        <f t="shared" ca="1" si="0"/>
        <v>0</v>
      </c>
      <c r="F37" s="18">
        <f ca="1">SUMIFS('Current Char Stats'!$G$4:$G$273,'Current Char Stats'!$B$4:$B$273,$A37)</f>
        <v>0</v>
      </c>
      <c r="G37" s="18">
        <f ca="1">SUMIFS('Current Char Stats'!$H$4:$H$273,'Current Char Stats'!$B$4:$B$273,$A37)</f>
        <v>0</v>
      </c>
      <c r="H37" s="116" t="str" cm="1">
        <f t="array" ref="H37">IFERROR(_xlfn.TEXTJOIN(", ",TRUE,_xlfn.UNIQUE(_xlfn._xlws.FILTER(Draft!$D$6:$D$77,Draft!$E$6:$E$77=$A37))),"Undrafted")</f>
        <v>Donovan</v>
      </c>
      <c r="I37" s="65" cm="1">
        <f t="array" aca="1" ref="I37" ca="1">IFERROR(_xlfn.LET(_xlpm.charRows,IF('Current Char Stats'!$B$4:$B$273=$A37,1,0),_xlpm.ownerCol,'Current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0.33333333333333331</v>
      </c>
      <c r="J37" s="18" t="str">
        <f ca="1">IF(AND(B37&gt;0,IFERROR(INDEX(Draft!$D$6:$D$77,MATCH($A37,Draft!$E$6:$E$77,0)),"")=IFERROR(INDEX(Bracket!$B$18:$B$25,MATCH("1st",Bracket!$A$18:$A$25,0)),""),IFERROR(INDEX(Bracket!$B$18:$B$25,MATCH("1st",Bracket!$A$18:$A$25,0)),"")&lt;&gt;""),"Yes","")</f>
        <v/>
      </c>
      <c r="K37" s="18">
        <f ca="1">COUNTIF(Bracket!$K$6:$K$16,$A37)</f>
        <v>1</v>
      </c>
      <c r="L37" s="18">
        <f ca="1">COUNTIFS(Bracket!$K$6:$K$16,$A37,Bracket!$G$6:$G$16,"CG-*")</f>
        <v>0</v>
      </c>
      <c r="M37" s="18" cm="1">
        <f t="array" aca="1" ref="M37" ca="1">IF($A37="","",_xlfn.LET(_xlpm.rawIP,SUMPRODUCT(--(Data!$AM$4:$AM$183=$A37),IFERROR(Data!$AN$4:$AN$183,0)),IF(_xlpm.rawIP=0,0,INT(_xlpm.rawIP)+MOD(ROUND(_xlpm.rawIP*3,0),3)/10)))</f>
        <v>0</v>
      </c>
    </row>
    <row r="38" spans="1:13">
      <c r="A38" s="18" t="str">
        <f>'Character List'!B26</f>
        <v>Green Dry Bones</v>
      </c>
      <c r="B38" s="18">
        <f>COUNTIF(Draft!$E$6:$E$77,$A38)</f>
        <v>1</v>
      </c>
      <c r="C38" s="18">
        <f ca="1">SUMIFS('Current Char Stats'!$D$4:$D$273,'Current Char Stats'!$B$4:$B$273,$A38)</f>
        <v>8</v>
      </c>
      <c r="D38" s="18">
        <f ca="1">SUMIFS('Current Char Stats'!$E$4:$E$273,'Current Char Stats'!$B$4:$B$273,$A38)</f>
        <v>3</v>
      </c>
      <c r="E38" s="61">
        <f t="shared" ca="1" si="0"/>
        <v>0.5</v>
      </c>
      <c r="F38" s="18">
        <f ca="1">SUMIFS('Current Char Stats'!$G$4:$G$273,'Current Char Stats'!$B$4:$B$273,$A38)</f>
        <v>0</v>
      </c>
      <c r="G38" s="18">
        <f ca="1">SUMIFS('Current Char Stats'!$H$4:$H$273,'Current Char Stats'!$B$4:$B$273,$A38)</f>
        <v>0</v>
      </c>
      <c r="H38" s="115" t="str" cm="1">
        <f t="array" ref="H38">IFERROR(_xlfn.TEXTJOIN(", ",TRUE,_xlfn.UNIQUE(_xlfn._xlws.FILTER(Draft!$D$6:$D$77,Draft!$E$6:$E$77=$A38))),"Undrafted")</f>
        <v>Nick</v>
      </c>
      <c r="I38" s="65" cm="1">
        <f t="array" aca="1" ref="I38" ca="1">IFERROR(_xlfn.LET(_xlpm.charRows,IF('Current Char Stats'!$B$4:$B$273=$A38,1,0),_xlpm.ownerCol,'Current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0.75</v>
      </c>
      <c r="J38" s="18" t="str">
        <f ca="1">IF(AND(B38&gt;0,IFERROR(INDEX(Draft!$D$6:$D$77,MATCH($A38,Draft!$E$6:$E$77,0)),"")=IFERROR(INDEX(Bracket!$B$18:$B$25,MATCH("1st",Bracket!$A$18:$A$25,0)),""),IFERROR(INDEX(Bracket!$B$18:$B$25,MATCH("1st",Bracket!$A$18:$A$25,0)),"")&lt;&gt;""),"Yes","")</f>
        <v/>
      </c>
      <c r="K38" s="18">
        <f ca="1">COUNTIF(Bracket!$K$6:$K$16,$A38)</f>
        <v>0</v>
      </c>
      <c r="L38" s="18">
        <f ca="1">COUNTIFS(Bracket!$K$6:$K$16,$A38,Bracket!$G$6:$G$16,"CG-*")</f>
        <v>0</v>
      </c>
      <c r="M38" s="18" cm="1">
        <f t="array" aca="1" ref="M38" ca="1">IF($A38="","",_xlfn.LET(_xlpm.rawIP,SUMPRODUCT(--(Data!$AM$4:$AM$183=$A38),IFERROR(Data!$AN$4:$AN$183,0)),IF(_xlpm.rawIP=0,0,INT(_xlpm.rawIP)+MOD(ROUND(_xlpm.rawIP*3,0),3)/10)))</f>
        <v>0</v>
      </c>
    </row>
    <row r="39" spans="1:13">
      <c r="A39" s="18" t="str">
        <f>'Character List'!B27</f>
        <v>Hammer Bro</v>
      </c>
      <c r="B39" s="18">
        <f>COUNTIF(Draft!$E$6:$E$77,$A39)</f>
        <v>1</v>
      </c>
      <c r="C39" s="18">
        <f ca="1">SUMIFS('Current Char Stats'!$D$4:$D$273,'Current Char Stats'!$B$4:$B$273,$A39)</f>
        <v>4</v>
      </c>
      <c r="D39" s="18">
        <f ca="1">SUMIFS('Current Char Stats'!$E$4:$E$273,'Current Char Stats'!$B$4:$B$273,$A39)</f>
        <v>1</v>
      </c>
      <c r="E39" s="61">
        <f t="shared" ca="1" si="0"/>
        <v>0.25</v>
      </c>
      <c r="F39" s="18">
        <f ca="1">SUMIFS('Current Char Stats'!$G$4:$G$273,'Current Char Stats'!$B$4:$B$273,$A39)</f>
        <v>1</v>
      </c>
      <c r="G39" s="18">
        <f ca="1">SUMIFS('Current Char Stats'!$H$4:$H$273,'Current Char Stats'!$B$4:$B$273,$A39)</f>
        <v>1</v>
      </c>
      <c r="H39" s="114" t="str" cm="1">
        <f t="array" ref="H39">IFERROR(_xlfn.TEXTJOIN(", ",TRUE,_xlfn.UNIQUE(_xlfn._xlws.FILTER(Draft!$D$6:$D$77,Draft!$E$6:$E$77=$A39))),"Undrafted")</f>
        <v>May</v>
      </c>
      <c r="I39" s="65" cm="1">
        <f t="array" aca="1" ref="I39" ca="1">IFERROR(_xlfn.LET(_xlpm.charRows,IF('Current Char Stats'!$B$4:$B$273=$A39,1,0),_xlpm.ownerCol,'Current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0.75</v>
      </c>
      <c r="J39" s="18" t="str">
        <f ca="1">IF(AND(B39&gt;0,IFERROR(INDEX(Draft!$D$6:$D$77,MATCH($A39,Draft!$E$6:$E$77,0)),"")=IFERROR(INDEX(Bracket!$B$18:$B$25,MATCH("1st",Bracket!$A$18:$A$25,0)),""),IFERROR(INDEX(Bracket!$B$18:$B$25,MATCH("1st",Bracket!$A$18:$A$25,0)),"")&lt;&gt;""),"Yes","")</f>
        <v/>
      </c>
      <c r="K39" s="18">
        <f ca="1">COUNTIF(Bracket!$K$6:$K$16,$A39)</f>
        <v>1</v>
      </c>
      <c r="L39" s="18">
        <f ca="1">COUNTIFS(Bracket!$K$6:$K$16,$A39,Bracket!$G$6:$G$16,"CG-*")</f>
        <v>0</v>
      </c>
      <c r="M39" s="18" cm="1">
        <f t="array" aca="1" ref="M39" ca="1">IF($A39="","",_xlfn.LET(_xlpm.rawIP,SUMPRODUCT(--(Data!$AM$4:$AM$183=$A39),IFERROR(Data!$AN$4:$AN$183,0)),IF(_xlpm.rawIP=0,0,INT(_xlpm.rawIP)+MOD(ROUND(_xlpm.rawIP*3,0),3)/10)))</f>
        <v>0</v>
      </c>
    </row>
    <row r="40" spans="1:13">
      <c r="A40" s="18" t="str">
        <f>'Character List'!B28</f>
        <v>Daisy</v>
      </c>
      <c r="B40" s="18">
        <f>COUNTIF(Draft!$E$6:$E$77,$A40)</f>
        <v>1</v>
      </c>
      <c r="C40" s="18">
        <f ca="1">SUMIFS('Current Char Stats'!$D$4:$D$273,'Current Char Stats'!$B$4:$B$273,$A40)</f>
        <v>8</v>
      </c>
      <c r="D40" s="18">
        <f ca="1">SUMIFS('Current Char Stats'!$E$4:$E$273,'Current Char Stats'!$B$4:$B$273,$A40)</f>
        <v>5</v>
      </c>
      <c r="E40" s="61">
        <f t="shared" ca="1" si="0"/>
        <v>0.625</v>
      </c>
      <c r="F40" s="18">
        <f ca="1">SUMIFS('Current Char Stats'!$G$4:$G$273,'Current Char Stats'!$B$4:$B$273,$A40)</f>
        <v>0</v>
      </c>
      <c r="G40" s="18">
        <f ca="1">SUMIFS('Current Char Stats'!$H$4:$H$273,'Current Char Stats'!$B$4:$B$273,$A40)</f>
        <v>5</v>
      </c>
      <c r="H40" s="114" t="str" cm="1">
        <f t="array" ref="H40">IFERROR(_xlfn.TEXTJOIN(", ",TRUE,_xlfn.UNIQUE(_xlfn._xlws.FILTER(Draft!$D$6:$D$77,Draft!$E$6:$E$77=$A40))),"Undrafted")</f>
        <v>Nick</v>
      </c>
      <c r="I40" s="65" cm="1">
        <f t="array" aca="1" ref="I40" ca="1">IFERROR(_xlfn.LET(_xlpm.charRows,IF('Current Char Stats'!$B$4:$B$273=$A40,1,0),_xlpm.ownerCol,'Current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0.75</v>
      </c>
      <c r="J40" s="18" t="str">
        <f ca="1">IF(AND(B40&gt;0,IFERROR(INDEX(Draft!$D$6:$D$77,MATCH($A40,Draft!$E$6:$E$77,0)),"")=IFERROR(INDEX(Bracket!$B$18:$B$25,MATCH("1st",Bracket!$A$18:$A$25,0)),""),IFERROR(INDEX(Bracket!$B$18:$B$25,MATCH("1st",Bracket!$A$18:$A$25,0)),"")&lt;&gt;""),"Yes","")</f>
        <v/>
      </c>
      <c r="K40" s="18">
        <f ca="1">COUNTIF(Bracket!$K$6:$K$16,$A40)</f>
        <v>3</v>
      </c>
      <c r="L40" s="18">
        <f ca="1">COUNTIFS(Bracket!$K$6:$K$16,$A40,Bracket!$G$6:$G$16,"CG-*")</f>
        <v>0</v>
      </c>
      <c r="M40" s="18" cm="1">
        <f t="array" aca="1" ref="M40" ca="1">IF($A40="","",_xlfn.LET(_xlpm.rawIP,SUMPRODUCT(--(Data!$AM$4:$AM$183=$A40),IFERROR(Data!$AN$4:$AN$183,0)),IF(_xlpm.rawIP=0,0,INT(_xlpm.rawIP)+MOD(ROUND(_xlpm.rawIP*3,0),3)/10)))</f>
        <v>8</v>
      </c>
    </row>
    <row r="41" spans="1:13">
      <c r="A41" s="18" t="str">
        <f>'Character List'!B29</f>
        <v>Luigi</v>
      </c>
      <c r="B41" s="18">
        <f>COUNTIF(Draft!$E$6:$E$77,$A41)</f>
        <v>1</v>
      </c>
      <c r="C41" s="18">
        <f ca="1">SUMIFS('Current Char Stats'!$D$4:$D$273,'Current Char Stats'!$B$4:$B$273,$A41)</f>
        <v>3</v>
      </c>
      <c r="D41" s="18">
        <f ca="1">SUMIFS('Current Char Stats'!$E$4:$E$273,'Current Char Stats'!$B$4:$B$273,$A41)</f>
        <v>1</v>
      </c>
      <c r="E41" s="61">
        <f t="shared" ca="1" si="0"/>
        <v>0.33333333333333331</v>
      </c>
      <c r="F41" s="18">
        <f ca="1">SUMIFS('Current Char Stats'!$G$4:$G$273,'Current Char Stats'!$B$4:$B$273,$A41)</f>
        <v>0</v>
      </c>
      <c r="G41" s="18">
        <f ca="1">SUMIFS('Current Char Stats'!$H$4:$H$273,'Current Char Stats'!$B$4:$B$273,$A41)</f>
        <v>1</v>
      </c>
      <c r="H41" s="115" t="str" cm="1">
        <f t="array" ref="H41">IFERROR(_xlfn.TEXTJOIN(", ",TRUE,_xlfn.UNIQUE(_xlfn._xlws.FILTER(Draft!$D$6:$D$77,Draft!$E$6:$E$77=$A41))),"Undrafted")</f>
        <v>Aidan</v>
      </c>
      <c r="I41" s="65" cm="1">
        <f t="array" aca="1" ref="I41" ca="1">IFERROR(_xlfn.LET(_xlpm.charRows,IF('Current Char Stats'!$B$4:$B$273=$A41,1,0),_xlpm.ownerCol,'Current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0.33333333333333331</v>
      </c>
      <c r="J41" s="18" t="str">
        <f ca="1">IF(AND(B41&gt;0,IFERROR(INDEX(Draft!$D$6:$D$77,MATCH($A41,Draft!$E$6:$E$77,0)),"")=IFERROR(INDEX(Bracket!$B$18:$B$25,MATCH("1st",Bracket!$A$18:$A$25,0)),""),IFERROR(INDEX(Bracket!$B$18:$B$25,MATCH("1st",Bracket!$A$18:$A$25,0)),"")&lt;&gt;""),"Yes","")</f>
        <v/>
      </c>
      <c r="K41" s="18">
        <f ca="1">COUNTIF(Bracket!$K$6:$K$16,$A41)</f>
        <v>0</v>
      </c>
      <c r="L41" s="18">
        <f ca="1">COUNTIFS(Bracket!$K$6:$K$16,$A41,Bracket!$G$6:$G$16,"CG-*")</f>
        <v>0</v>
      </c>
      <c r="M41" s="18" cm="1">
        <f t="array" aca="1" ref="M41" ca="1">IF($A41="","",_xlfn.LET(_xlpm.rawIP,SUMPRODUCT(--(Data!$AM$4:$AM$183=$A41),IFERROR(Data!$AN$4:$AN$183,0)),IF(_xlpm.rawIP=0,0,INT(_xlpm.rawIP)+MOD(ROUND(_xlpm.rawIP*3,0),3)/10)))</f>
        <v>0</v>
      </c>
    </row>
    <row r="42" spans="1:13">
      <c r="A42" s="18" t="str">
        <f>'Character List'!B30</f>
        <v>Mii</v>
      </c>
      <c r="B42" s="18">
        <f>COUNTIF(Draft!$E$6:$E$77,$A42)</f>
        <v>1</v>
      </c>
      <c r="C42" s="18">
        <f ca="1">SUMIFS('Current Char Stats'!$D$4:$D$273,'Current Char Stats'!$B$4:$B$273,$A42)</f>
        <v>6</v>
      </c>
      <c r="D42" s="18">
        <f ca="1">SUMIFS('Current Char Stats'!$E$4:$E$273,'Current Char Stats'!$B$4:$B$273,$A42)</f>
        <v>3</v>
      </c>
      <c r="E42" s="61">
        <f t="shared" ca="1" si="0"/>
        <v>0.5</v>
      </c>
      <c r="F42" s="18">
        <f ca="1">SUMIFS('Current Char Stats'!$G$4:$G$273,'Current Char Stats'!$B$4:$B$273,$A42)</f>
        <v>0</v>
      </c>
      <c r="G42" s="18">
        <f ca="1">SUMIFS('Current Char Stats'!$H$4:$H$273,'Current Char Stats'!$B$4:$B$273,$A42)</f>
        <v>1</v>
      </c>
      <c r="H42" s="116" t="str" cm="1">
        <f t="array" ref="H42">IFERROR(_xlfn.TEXTJOIN(", ",TRUE,_xlfn.UNIQUE(_xlfn._xlws.FILTER(Draft!$D$6:$D$77,Draft!$E$6:$E$77=$A42))),"Undrafted")</f>
        <v>Nick</v>
      </c>
      <c r="I42" s="65" cm="1">
        <f t="array" aca="1" ref="I42" ca="1">IFERROR(_xlfn.LET(_xlpm.charRows,IF('Current Char Stats'!$B$4:$B$273=$A42,1,0),_xlpm.ownerCol,'Current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0.75</v>
      </c>
      <c r="J42" s="18" t="str">
        <f ca="1">IF(AND(B42&gt;0,IFERROR(INDEX(Draft!$D$6:$D$77,MATCH($A42,Draft!$E$6:$E$77,0)),"")=IFERROR(INDEX(Bracket!$B$18:$B$25,MATCH("1st",Bracket!$A$18:$A$25,0)),""),IFERROR(INDEX(Bracket!$B$18:$B$25,MATCH("1st",Bracket!$A$18:$A$25,0)),"")&lt;&gt;""),"Yes","")</f>
        <v/>
      </c>
      <c r="K42" s="18">
        <f ca="1">COUNTIF(Bracket!$K$6:$K$16,$A42)</f>
        <v>0</v>
      </c>
      <c r="L42" s="18">
        <f ca="1">COUNTIFS(Bracket!$K$6:$K$16,$A42,Bracket!$G$6:$G$16,"CG-*")</f>
        <v>0</v>
      </c>
      <c r="M42" s="18" cm="1">
        <f t="array" aca="1" ref="M42" ca="1">IF($A42="","",_xlfn.LET(_xlpm.rawIP,SUMPRODUCT(--(Data!$AM$4:$AM$183=$A42),IFERROR(Data!$AN$4:$AN$183,0)),IF(_xlpm.rawIP=0,0,INT(_xlpm.rawIP)+MOD(ROUND(_xlpm.rawIP*3,0),3)/10)))</f>
        <v>0</v>
      </c>
    </row>
    <row r="43" spans="1:13">
      <c r="A43" s="18" t="str">
        <f>'Character List'!B31</f>
        <v>Baby DK</v>
      </c>
      <c r="B43" s="18">
        <f>COUNTIF(Draft!$E$6:$E$77,$A43)</f>
        <v>1</v>
      </c>
      <c r="C43" s="18">
        <f ca="1">SUMIFS('Current Char Stats'!$D$4:$D$273,'Current Char Stats'!$B$4:$B$273,$A43)</f>
        <v>1</v>
      </c>
      <c r="D43" s="18">
        <f ca="1">SUMIFS('Current Char Stats'!$E$4:$E$273,'Current Char Stats'!$B$4:$B$273,$A43)</f>
        <v>0</v>
      </c>
      <c r="E43" s="61">
        <f t="shared" ca="1" si="0"/>
        <v>0</v>
      </c>
      <c r="F43" s="18">
        <f ca="1">SUMIFS('Current Char Stats'!$G$4:$G$273,'Current Char Stats'!$B$4:$B$273,$A43)</f>
        <v>0</v>
      </c>
      <c r="G43" s="18">
        <f ca="1">SUMIFS('Current Char Stats'!$H$4:$H$273,'Current Char Stats'!$B$4:$B$273,$A43)</f>
        <v>0</v>
      </c>
      <c r="H43" s="117" t="str" cm="1">
        <f t="array" ref="H43">IFERROR(_xlfn.TEXTJOIN(", ",TRUE,_xlfn.UNIQUE(_xlfn._xlws.FILTER(Draft!$D$6:$D$77,Draft!$E$6:$E$77=$A43))),"Undrafted")</f>
        <v>Donovan</v>
      </c>
      <c r="I43" s="65" cm="1">
        <f t="array" aca="1" ref="I43" ca="1">IFERROR(_xlfn.LET(_xlpm.charRows,IF('Current Char Stats'!$B$4:$B$273=$A43,1,0),_xlpm.ownerCol,'Current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0.33333333333333331</v>
      </c>
      <c r="J43" s="18" t="str">
        <f ca="1">IF(AND(B43&gt;0,IFERROR(INDEX(Draft!$D$6:$D$77,MATCH($A43,Draft!$E$6:$E$77,0)),"")=IFERROR(INDEX(Bracket!$B$18:$B$25,MATCH("1st",Bracket!$A$18:$A$25,0)),""),IFERROR(INDEX(Bracket!$B$18:$B$25,MATCH("1st",Bracket!$A$18:$A$25,0)),"")&lt;&gt;""),"Yes","")</f>
        <v/>
      </c>
      <c r="K43" s="18">
        <f ca="1">COUNTIF(Bracket!$K$6:$K$16,$A43)</f>
        <v>0</v>
      </c>
      <c r="L43" s="18">
        <f ca="1">COUNTIFS(Bracket!$K$6:$K$16,$A43,Bracket!$G$6:$G$16,"CG-*")</f>
        <v>0</v>
      </c>
      <c r="M43" s="18" cm="1">
        <f t="array" aca="1" ref="M43" ca="1">IF($A43="","",_xlfn.LET(_xlpm.rawIP,SUMPRODUCT(--(Data!$AM$4:$AM$183=$A43),IFERROR(Data!$AN$4:$AN$183,0)),IF(_xlpm.rawIP=0,0,INT(_xlpm.rawIP)+MOD(ROUND(_xlpm.rawIP*3,0),3)/10)))</f>
        <v>0</v>
      </c>
    </row>
    <row r="44" spans="1:13">
      <c r="A44" s="18" t="str">
        <f>'Character List'!B32</f>
        <v>Blue Kritter</v>
      </c>
      <c r="B44" s="18">
        <f>COUNTIF(Draft!$E$6:$E$77,$A44)</f>
        <v>1</v>
      </c>
      <c r="C44" s="18">
        <f ca="1">SUMIFS('Current Char Stats'!$D$4:$D$273,'Current Char Stats'!$B$4:$B$273,$A44)</f>
        <v>3</v>
      </c>
      <c r="D44" s="18">
        <f ca="1">SUMIFS('Current Char Stats'!$E$4:$E$273,'Current Char Stats'!$B$4:$B$273,$A44)</f>
        <v>1</v>
      </c>
      <c r="E44" s="61">
        <f t="shared" ca="1" si="0"/>
        <v>0.33333333333333331</v>
      </c>
      <c r="F44" s="18">
        <f ca="1">SUMIFS('Current Char Stats'!$G$4:$G$273,'Current Char Stats'!$B$4:$B$273,$A44)</f>
        <v>0</v>
      </c>
      <c r="G44" s="18">
        <f ca="1">SUMIFS('Current Char Stats'!$H$4:$H$273,'Current Char Stats'!$B$4:$B$273,$A44)</f>
        <v>0</v>
      </c>
      <c r="H44" s="118" t="str" cm="1">
        <f t="array" ref="H44">IFERROR(_xlfn.TEXTJOIN(", ",TRUE,_xlfn.UNIQUE(_xlfn._xlws.FILTER(Draft!$D$6:$D$77,Draft!$E$6:$E$77=$A44))),"Undrafted")</f>
        <v>Aidan</v>
      </c>
      <c r="I44" s="65" cm="1">
        <f t="array" aca="1" ref="I44" ca="1">IFERROR(_xlfn.LET(_xlpm.charRows,IF('Current Char Stats'!$B$4:$B$273=$A44,1,0),_xlpm.ownerCol,'Current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0.33333333333333331</v>
      </c>
      <c r="J44" s="18" t="str">
        <f ca="1">IF(AND(B44&gt;0,IFERROR(INDEX(Draft!$D$6:$D$77,MATCH($A44,Draft!$E$6:$E$77,0)),"")=IFERROR(INDEX(Bracket!$B$18:$B$25,MATCH("1st",Bracket!$A$18:$A$25,0)),""),IFERROR(INDEX(Bracket!$B$18:$B$25,MATCH("1st",Bracket!$A$18:$A$25,0)),"")&lt;&gt;""),"Yes","")</f>
        <v/>
      </c>
      <c r="K44" s="18">
        <f ca="1">COUNTIF(Bracket!$K$6:$K$16,$A44)</f>
        <v>0</v>
      </c>
      <c r="L44" s="18">
        <f ca="1">COUNTIFS(Bracket!$K$6:$K$16,$A44,Bracket!$G$6:$G$16,"CG-*")</f>
        <v>0</v>
      </c>
      <c r="M44" s="18" cm="1">
        <f t="array" aca="1" ref="M44" ca="1">IF($A44="","",_xlfn.LET(_xlpm.rawIP,SUMPRODUCT(--(Data!$AM$4:$AM$183=$A44),IFERROR(Data!$AN$4:$AN$183,0)),IF(_xlpm.rawIP=0,0,INT(_xlpm.rawIP)+MOD(ROUND(_xlpm.rawIP*3,0),3)/10)))</f>
        <v>4.0999999999999996</v>
      </c>
    </row>
    <row r="45" spans="1:13">
      <c r="A45" s="18" t="str">
        <f>'Character List'!B33</f>
        <v>Blue Toad</v>
      </c>
      <c r="B45" s="18">
        <f>COUNTIF(Draft!$E$6:$E$77,$A45)</f>
        <v>1</v>
      </c>
      <c r="C45" s="18">
        <f ca="1">SUMIFS('Current Char Stats'!$D$4:$D$273,'Current Char Stats'!$B$4:$B$273,$A45)</f>
        <v>5</v>
      </c>
      <c r="D45" s="18">
        <f ca="1">SUMIFS('Current Char Stats'!$E$4:$E$273,'Current Char Stats'!$B$4:$B$273,$A45)</f>
        <v>2</v>
      </c>
      <c r="E45" s="61">
        <f t="shared" ca="1" si="0"/>
        <v>0.4</v>
      </c>
      <c r="F45" s="18">
        <f ca="1">SUMIFS('Current Char Stats'!$G$4:$G$273,'Current Char Stats'!$B$4:$B$273,$A45)</f>
        <v>1</v>
      </c>
      <c r="G45" s="18">
        <f ca="1">SUMIFS('Current Char Stats'!$H$4:$H$273,'Current Char Stats'!$B$4:$B$273,$A45)</f>
        <v>3</v>
      </c>
      <c r="H45" s="119" t="str" cm="1">
        <f t="array" ref="H45">IFERROR(_xlfn.TEXTJOIN(", ",TRUE,_xlfn.UNIQUE(_xlfn._xlws.FILTER(Draft!$D$6:$D$77,Draft!$E$6:$E$77=$A45))),"Undrafted")</f>
        <v>Nick</v>
      </c>
      <c r="I45" s="65" cm="1">
        <f t="array" aca="1" ref="I45" ca="1">IFERROR(_xlfn.LET(_xlpm.charRows,IF('Current Char Stats'!$B$4:$B$273=$A45,1,0),_xlpm.ownerCol,'Current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0.75</v>
      </c>
      <c r="J45" s="18" t="str">
        <f ca="1">IF(AND(B45&gt;0,IFERROR(INDEX(Draft!$D$6:$D$77,MATCH($A45,Draft!$E$6:$E$77,0)),"")=IFERROR(INDEX(Bracket!$B$18:$B$25,MATCH("1st",Bracket!$A$18:$A$25,0)),""),IFERROR(INDEX(Bracket!$B$18:$B$25,MATCH("1st",Bracket!$A$18:$A$25,0)),"")&lt;&gt;""),"Yes","")</f>
        <v/>
      </c>
      <c r="K45" s="18">
        <f ca="1">COUNTIF(Bracket!$K$6:$K$16,$A45)</f>
        <v>0</v>
      </c>
      <c r="L45" s="18">
        <f ca="1">COUNTIFS(Bracket!$K$6:$K$16,$A45,Bracket!$G$6:$G$16,"CG-*")</f>
        <v>0</v>
      </c>
      <c r="M45" s="18" cm="1">
        <f t="array" aca="1" ref="M45" ca="1">IF($A45="","",_xlfn.LET(_xlpm.rawIP,SUMPRODUCT(--(Data!$AM$4:$AM$183=$A45),IFERROR(Data!$AN$4:$AN$183,0)),IF(_xlpm.rawIP=0,0,INT(_xlpm.rawIP)+MOD(ROUND(_xlpm.rawIP*3,0),3)/10)))</f>
        <v>0</v>
      </c>
    </row>
    <row r="46" spans="1:13">
      <c r="A46" s="18" t="str">
        <f>'Character List'!B34</f>
        <v>Purple Toad</v>
      </c>
      <c r="B46" s="18">
        <f>COUNTIF(Draft!$E$6:$E$77,$A46)</f>
        <v>0</v>
      </c>
      <c r="C46" s="18">
        <f ca="1">SUMIFS('Current Char Stats'!$D$4:$D$273,'Current Char Stats'!$B$4:$B$273,$A46)</f>
        <v>0</v>
      </c>
      <c r="D46" s="18">
        <f ca="1">SUMIFS('Current Char Stats'!$E$4:$E$273,'Current Char Stats'!$B$4:$B$273,$A46)</f>
        <v>0</v>
      </c>
      <c r="E46" s="61">
        <f t="shared" ca="1" si="0"/>
        <v>0</v>
      </c>
      <c r="F46" s="18">
        <f ca="1">SUMIFS('Current Char Stats'!$G$4:$G$273,'Current Char Stats'!$B$4:$B$273,$A46)</f>
        <v>0</v>
      </c>
      <c r="G46" s="18">
        <f ca="1">SUMIFS('Current Char Stats'!$H$4:$H$273,'Current Char Stats'!$B$4:$B$273,$A46)</f>
        <v>0</v>
      </c>
      <c r="H46" s="119" t="str" cm="1">
        <f t="array" ref="H46">IFERROR(_xlfn.TEXTJOIN(", ",TRUE,_xlfn.UNIQUE(_xlfn._xlws.FILTER(Draft!$D$6:$D$77,Draft!$E$6:$E$77=$A46))),"Undrafted")</f>
        <v>Undrafted</v>
      </c>
      <c r="I46" s="65" t="str" cm="1">
        <f t="array" aca="1" ref="I46" ca="1">IFERROR(_xlfn.LET(_xlpm.charRows,IF('Current Char Stats'!$B$4:$B$273=$A46,1,0),_xlpm.ownerCol,'Current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/>
      </c>
      <c r="J46" s="18" t="str">
        <f ca="1">IF(AND(B46&gt;0,IFERROR(INDEX(Draft!$D$6:$D$77,MATCH($A46,Draft!$E$6:$E$77,0)),"")=IFERROR(INDEX(Bracket!$B$18:$B$25,MATCH("1st",Bracket!$A$18:$A$25,0)),""),IFERROR(INDEX(Bracket!$B$18:$B$25,MATCH("1st",Bracket!$A$18:$A$25,0)),"")&lt;&gt;""),"Yes","")</f>
        <v/>
      </c>
      <c r="K46" s="18">
        <f ca="1">COUNTIF(Bracket!$K$6:$K$16,$A46)</f>
        <v>0</v>
      </c>
      <c r="L46" s="18">
        <f ca="1">COUNTIFS(Bracket!$K$6:$K$16,$A46,Bracket!$G$6:$G$16,"CG-*")</f>
        <v>0</v>
      </c>
      <c r="M46" s="18" cm="1">
        <f t="array" aca="1" ref="M46" ca="1">IF($A46="","",_xlfn.LET(_xlpm.rawIP,SUMPRODUCT(--(Data!$AM$4:$AM$183=$A46),IFERROR(Data!$AN$4:$AN$183,0)),IF(_xlpm.rawIP=0,0,INT(_xlpm.rawIP)+MOD(ROUND(_xlpm.rawIP*3,0),3)/10)))</f>
        <v>0</v>
      </c>
    </row>
    <row r="47" spans="1:13">
      <c r="A47" s="18" t="str">
        <f>'Character List'!B35</f>
        <v>Yellow Toad</v>
      </c>
      <c r="B47" s="18">
        <f>COUNTIF(Draft!$E$6:$E$77,$A47)</f>
        <v>1</v>
      </c>
      <c r="C47" s="18">
        <f ca="1">SUMIFS('Current Char Stats'!$D$4:$D$273,'Current Char Stats'!$B$4:$B$273,$A47)</f>
        <v>7</v>
      </c>
      <c r="D47" s="18">
        <f ca="1">SUMIFS('Current Char Stats'!$E$4:$E$273,'Current Char Stats'!$B$4:$B$273,$A47)</f>
        <v>2</v>
      </c>
      <c r="E47" s="61">
        <f t="shared" ca="1" si="0"/>
        <v>0.2857142857142857</v>
      </c>
      <c r="F47" s="18">
        <f ca="1">SUMIFS('Current Char Stats'!$G$4:$G$273,'Current Char Stats'!$B$4:$B$273,$A47)</f>
        <v>0</v>
      </c>
      <c r="G47" s="18">
        <f ca="1">SUMIFS('Current Char Stats'!$H$4:$H$273,'Current Char Stats'!$B$4:$B$273,$A47)</f>
        <v>0</v>
      </c>
      <c r="H47" s="118" t="str" cm="1">
        <f t="array" ref="H47">IFERROR(_xlfn.TEXTJOIN(", ",TRUE,_xlfn.UNIQUE(_xlfn._xlws.FILTER(Draft!$D$6:$D$77,Draft!$E$6:$E$77=$A47))),"Undrafted")</f>
        <v>Jason</v>
      </c>
      <c r="I47" s="65" cm="1">
        <f t="array" aca="1" ref="I47" ca="1">IFERROR(_xlfn.LET(_xlpm.charRows,IF('Current Char Stats'!$B$4:$B$273=$A47,1,0),_xlpm.ownerCol,'Current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0.25</v>
      </c>
      <c r="J47" s="18" t="str">
        <f ca="1">IF(AND(B47&gt;0,IFERROR(INDEX(Draft!$D$6:$D$77,MATCH($A47,Draft!$E$6:$E$77,0)),"")=IFERROR(INDEX(Bracket!$B$18:$B$25,MATCH("1st",Bracket!$A$18:$A$25,0)),""),IFERROR(INDEX(Bracket!$B$18:$B$25,MATCH("1st",Bracket!$A$18:$A$25,0)),"")&lt;&gt;""),"Yes","")</f>
        <v>Yes</v>
      </c>
      <c r="K47" s="18">
        <f ca="1">COUNTIF(Bracket!$K$6:$K$16,$A47)</f>
        <v>0</v>
      </c>
      <c r="L47" s="18">
        <f ca="1">COUNTIFS(Bracket!$K$6:$K$16,$A47,Bracket!$G$6:$G$16,"CG-*")</f>
        <v>0</v>
      </c>
      <c r="M47" s="18" cm="1">
        <f t="array" aca="1" ref="M47" ca="1">IF($A47="","",_xlfn.LET(_xlpm.rawIP,SUMPRODUCT(--(Data!$AM$4:$AM$183=$A47),IFERROR(Data!$AN$4:$AN$183,0)),IF(_xlpm.rawIP=0,0,INT(_xlpm.rawIP)+MOD(ROUND(_xlpm.rawIP*3,0),3)/10)))</f>
        <v>0.2</v>
      </c>
    </row>
    <row r="48" spans="1:13">
      <c r="A48" s="18" t="str">
        <f>'Character List'!B36</f>
        <v>Koopa</v>
      </c>
      <c r="B48" s="18">
        <f>COUNTIF(Draft!$E$6:$E$77,$A48)</f>
        <v>1</v>
      </c>
      <c r="C48" s="18">
        <f ca="1">SUMIFS('Current Char Stats'!$D$4:$D$273,'Current Char Stats'!$B$4:$B$273,$A48)</f>
        <v>4</v>
      </c>
      <c r="D48" s="18">
        <f ca="1">SUMIFS('Current Char Stats'!$E$4:$E$273,'Current Char Stats'!$B$4:$B$273,$A48)</f>
        <v>1</v>
      </c>
      <c r="E48" s="61">
        <f t="shared" ca="1" si="0"/>
        <v>0.5</v>
      </c>
      <c r="F48" s="18">
        <f ca="1">SUMIFS('Current Char Stats'!$G$4:$G$273,'Current Char Stats'!$B$4:$B$273,$A48)</f>
        <v>0</v>
      </c>
      <c r="G48" s="18">
        <f ca="1">SUMIFS('Current Char Stats'!$H$4:$H$273,'Current Char Stats'!$B$4:$B$273,$A48)</f>
        <v>0</v>
      </c>
      <c r="H48" s="117" t="str" cm="1">
        <f t="array" ref="H48">IFERROR(_xlfn.TEXTJOIN(", ",TRUE,_xlfn.UNIQUE(_xlfn._xlws.FILTER(Draft!$D$6:$D$77,Draft!$E$6:$E$77=$A48))),"Undrafted")</f>
        <v>May</v>
      </c>
      <c r="I48" s="65" cm="1">
        <f t="array" aca="1" ref="I48" ca="1">IFERROR(_xlfn.LET(_xlpm.charRows,IF('Current Char Stats'!$B$4:$B$273=$A48,1,0),_xlpm.ownerCol,'Current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0.75</v>
      </c>
      <c r="J48" s="18" t="str">
        <f ca="1">IF(AND(B48&gt;0,IFERROR(INDEX(Draft!$D$6:$D$77,MATCH($A48,Draft!$E$6:$E$77,0)),"")=IFERROR(INDEX(Bracket!$B$18:$B$25,MATCH("1st",Bracket!$A$18:$A$25,0)),""),IFERROR(INDEX(Bracket!$B$18:$B$25,MATCH("1st",Bracket!$A$18:$A$25,0)),"")&lt;&gt;""),"Yes","")</f>
        <v/>
      </c>
      <c r="K48" s="18">
        <f ca="1">COUNTIF(Bracket!$K$6:$K$16,$A48)</f>
        <v>0</v>
      </c>
      <c r="L48" s="18">
        <f ca="1">COUNTIFS(Bracket!$K$6:$K$16,$A48,Bracket!$G$6:$G$16,"CG-*")</f>
        <v>0</v>
      </c>
      <c r="M48" s="18" cm="1">
        <f t="array" aca="1" ref="M48" ca="1">IF($A48="","",_xlfn.LET(_xlpm.rawIP,SUMPRODUCT(--(Data!$AM$4:$AM$183=$A48),IFERROR(Data!$AN$4:$AN$183,0)),IF(_xlpm.rawIP=0,0,INT(_xlpm.rawIP)+MOD(ROUND(_xlpm.rawIP*3,0),3)/10)))</f>
        <v>0</v>
      </c>
    </row>
    <row r="49" spans="1:13">
      <c r="A49" s="18" t="str">
        <f>'Character List'!B37</f>
        <v>Red Koopa</v>
      </c>
      <c r="B49" s="18">
        <f>COUNTIF(Draft!$E$6:$E$77,$A49)</f>
        <v>0</v>
      </c>
      <c r="C49" s="18">
        <f ca="1">SUMIFS('Current Char Stats'!$D$4:$D$273,'Current Char Stats'!$B$4:$B$273,$A49)</f>
        <v>0</v>
      </c>
      <c r="D49" s="18">
        <f ca="1">SUMIFS('Current Char Stats'!$E$4:$E$273,'Current Char Stats'!$B$4:$B$273,$A49)</f>
        <v>0</v>
      </c>
      <c r="E49" s="61">
        <f t="shared" ca="1" si="0"/>
        <v>0</v>
      </c>
      <c r="F49" s="18">
        <f ca="1">SUMIFS('Current Char Stats'!$G$4:$G$273,'Current Char Stats'!$B$4:$B$273,$A49)</f>
        <v>0</v>
      </c>
      <c r="G49" s="18">
        <f ca="1">SUMIFS('Current Char Stats'!$H$4:$H$273,'Current Char Stats'!$B$4:$B$273,$A49)</f>
        <v>0</v>
      </c>
      <c r="H49" s="116" t="str" cm="1">
        <f t="array" ref="H49">IFERROR(_xlfn.TEXTJOIN(", ",TRUE,_xlfn.UNIQUE(_xlfn._xlws.FILTER(Draft!$D$6:$D$77,Draft!$E$6:$E$77=$A49))),"Undrafted")</f>
        <v>Undrafted</v>
      </c>
      <c r="I49" s="65" t="str" cm="1">
        <f t="array" aca="1" ref="I49" ca="1">IFERROR(_xlfn.LET(_xlpm.charRows,IF('Current Char Stats'!$B$4:$B$273=$A49,1,0),_xlpm.ownerCol,'Current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/>
      </c>
      <c r="J49" s="18" t="str">
        <f ca="1">IF(AND(B49&gt;0,IFERROR(INDEX(Draft!$D$6:$D$77,MATCH($A49,Draft!$E$6:$E$77,0)),"")=IFERROR(INDEX(Bracket!$B$18:$B$25,MATCH("1st",Bracket!$A$18:$A$25,0)),""),IFERROR(INDEX(Bracket!$B$18:$B$25,MATCH("1st",Bracket!$A$18:$A$25,0)),"")&lt;&gt;""),"Yes","")</f>
        <v/>
      </c>
      <c r="K49" s="18">
        <f ca="1">COUNTIF(Bracket!$K$6:$K$16,$A49)</f>
        <v>0</v>
      </c>
      <c r="L49" s="18">
        <f ca="1">COUNTIFS(Bracket!$K$6:$K$16,$A49,Bracket!$G$6:$G$16,"CG-*")</f>
        <v>0</v>
      </c>
      <c r="M49" s="18" cm="1">
        <f t="array" aca="1" ref="M49" ca="1">IF($A49="","",_xlfn.LET(_xlpm.rawIP,SUMPRODUCT(--(Data!$AM$4:$AM$183=$A49),IFERROR(Data!$AN$4:$AN$183,0)),IF(_xlpm.rawIP=0,0,INT(_xlpm.rawIP)+MOD(ROUND(_xlpm.rawIP*3,0),3)/10)))</f>
        <v>0</v>
      </c>
    </row>
    <row r="50" spans="1:13">
      <c r="A50" s="18" t="str">
        <f>'Character List'!B38</f>
        <v>Tiny Kong</v>
      </c>
      <c r="B50" s="18">
        <f>COUNTIF(Draft!$E$6:$E$77,$A50)</f>
        <v>1</v>
      </c>
      <c r="C50" s="18">
        <f ca="1">SUMIFS('Current Char Stats'!$D$4:$D$273,'Current Char Stats'!$B$4:$B$273,$A50)</f>
        <v>1</v>
      </c>
      <c r="D50" s="18">
        <f ca="1">SUMIFS('Current Char Stats'!$E$4:$E$273,'Current Char Stats'!$B$4:$B$273,$A50)</f>
        <v>0</v>
      </c>
      <c r="E50" s="61">
        <f t="shared" ca="1" si="0"/>
        <v>0</v>
      </c>
      <c r="F50" s="18">
        <f ca="1">SUMIFS('Current Char Stats'!$G$4:$G$273,'Current Char Stats'!$B$4:$B$273,$A50)</f>
        <v>0</v>
      </c>
      <c r="G50" s="18">
        <f ca="1">SUMIFS('Current Char Stats'!$H$4:$H$273,'Current Char Stats'!$B$4:$B$273,$A50)</f>
        <v>0</v>
      </c>
      <c r="H50" s="115" t="str" cm="1">
        <f t="array" ref="H50">IFERROR(_xlfn.TEXTJOIN(", ",TRUE,_xlfn.UNIQUE(_xlfn._xlws.FILTER(Draft!$D$6:$D$77,Draft!$E$6:$E$77=$A50))),"Undrafted")</f>
        <v>Donovan</v>
      </c>
      <c r="I50" s="65" cm="1">
        <f t="array" aca="1" ref="I50" ca="1">IFERROR(_xlfn.LET(_xlpm.charRows,IF('Current Char Stats'!$B$4:$B$273=$A50,1,0),_xlpm.ownerCol,'Current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0.33333333333333331</v>
      </c>
      <c r="J50" s="18" t="str">
        <f ca="1">IF(AND(B50&gt;0,IFERROR(INDEX(Draft!$D$6:$D$77,MATCH($A50,Draft!$E$6:$E$77,0)),"")=IFERROR(INDEX(Bracket!$B$18:$B$25,MATCH("1st",Bracket!$A$18:$A$25,0)),""),IFERROR(INDEX(Bracket!$B$18:$B$25,MATCH("1st",Bracket!$A$18:$A$25,0)),"")&lt;&gt;""),"Yes","")</f>
        <v/>
      </c>
      <c r="K50" s="18">
        <f ca="1">COUNTIF(Bracket!$K$6:$K$16,$A50)</f>
        <v>0</v>
      </c>
      <c r="L50" s="18">
        <f ca="1">COUNTIFS(Bracket!$K$6:$K$16,$A50,Bracket!$G$6:$G$16,"CG-*")</f>
        <v>0</v>
      </c>
      <c r="M50" s="18" cm="1">
        <f t="array" aca="1" ref="M50" ca="1">IF($A50="","",_xlfn.LET(_xlpm.rawIP,SUMPRODUCT(--(Data!$AM$4:$AM$183=$A50),IFERROR(Data!$AN$4:$AN$183,0)),IF(_xlpm.rawIP=0,0,INT(_xlpm.rawIP)+MOD(ROUND(_xlpm.rawIP*3,0),3)/10)))</f>
        <v>0</v>
      </c>
    </row>
    <row r="51" spans="1:13">
      <c r="A51" s="18" t="str">
        <f>'Character List'!B39</f>
        <v>Green Noki</v>
      </c>
      <c r="B51" s="18">
        <f>COUNTIF(Draft!$E$6:$E$77,$A51)</f>
        <v>0</v>
      </c>
      <c r="C51" s="18">
        <f ca="1">SUMIFS('Current Char Stats'!$D$4:$D$273,'Current Char Stats'!$B$4:$B$273,$A51)</f>
        <v>0</v>
      </c>
      <c r="D51" s="18">
        <f ca="1">SUMIFS('Current Char Stats'!$E$4:$E$273,'Current Char Stats'!$B$4:$B$273,$A51)</f>
        <v>0</v>
      </c>
      <c r="E51" s="61">
        <f t="shared" ca="1" si="0"/>
        <v>0</v>
      </c>
      <c r="F51" s="18">
        <f ca="1">SUMIFS('Current Char Stats'!$G$4:$G$273,'Current Char Stats'!$B$4:$B$273,$A51)</f>
        <v>0</v>
      </c>
      <c r="G51" s="18">
        <f ca="1">SUMIFS('Current Char Stats'!$H$4:$H$273,'Current Char Stats'!$B$4:$B$273,$A51)</f>
        <v>0</v>
      </c>
      <c r="H51" s="114" t="str" cm="1">
        <f t="array" ref="H51">IFERROR(_xlfn.TEXTJOIN(", ",TRUE,_xlfn.UNIQUE(_xlfn._xlws.FILTER(Draft!$D$6:$D$77,Draft!$E$6:$E$77=$A51))),"Undrafted")</f>
        <v>Undrafted</v>
      </c>
      <c r="I51" s="65" t="str" cm="1">
        <f t="array" aca="1" ref="I51" ca="1">IFERROR(_xlfn.LET(_xlpm.charRows,IF('Current Char Stats'!$B$4:$B$273=$A51,1,0),_xlpm.ownerCol,'Current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/>
      </c>
      <c r="J51" s="18" t="str">
        <f ca="1">IF(AND(B51&gt;0,IFERROR(INDEX(Draft!$D$6:$D$77,MATCH($A51,Draft!$E$6:$E$77,0)),"")=IFERROR(INDEX(Bracket!$B$18:$B$25,MATCH("1st",Bracket!$A$18:$A$25,0)),""),IFERROR(INDEX(Bracket!$B$18:$B$25,MATCH("1st",Bracket!$A$18:$A$25,0)),"")&lt;&gt;""),"Yes","")</f>
        <v/>
      </c>
      <c r="K51" s="18">
        <f ca="1">COUNTIF(Bracket!$K$6:$K$16,$A51)</f>
        <v>0</v>
      </c>
      <c r="L51" s="18">
        <f ca="1">COUNTIFS(Bracket!$K$6:$K$16,$A51,Bracket!$G$6:$G$16,"CG-*")</f>
        <v>0</v>
      </c>
      <c r="M51" s="18" cm="1">
        <f t="array" aca="1" ref="M51" ca="1">IF($A51="","",_xlfn.LET(_xlpm.rawIP,SUMPRODUCT(--(Data!$AM$4:$AM$183=$A51),IFERROR(Data!$AN$4:$AN$183,0)),IF(_xlpm.rawIP=0,0,INT(_xlpm.rawIP)+MOD(ROUND(_xlpm.rawIP*3,0),3)/10)))</f>
        <v>0</v>
      </c>
    </row>
    <row r="52" spans="1:13">
      <c r="A52" s="18" t="str">
        <f>'Character List'!B40</f>
        <v>Green Paratroopa</v>
      </c>
      <c r="B52" s="18">
        <f>COUNTIF(Draft!$E$6:$E$77,$A52)</f>
        <v>0</v>
      </c>
      <c r="C52" s="18">
        <f ca="1">SUMIFS('Current Char Stats'!$D$4:$D$273,'Current Char Stats'!$B$4:$B$273,$A52)</f>
        <v>0</v>
      </c>
      <c r="D52" s="18">
        <f ca="1">SUMIFS('Current Char Stats'!$E$4:$E$273,'Current Char Stats'!$B$4:$B$273,$A52)</f>
        <v>0</v>
      </c>
      <c r="E52" s="61">
        <f t="shared" ca="1" si="0"/>
        <v>0</v>
      </c>
      <c r="F52" s="18">
        <f ca="1">SUMIFS('Current Char Stats'!$G$4:$G$273,'Current Char Stats'!$B$4:$B$273,$A52)</f>
        <v>0</v>
      </c>
      <c r="G52" s="18">
        <f ca="1">SUMIFS('Current Char Stats'!$H$4:$H$273,'Current Char Stats'!$B$4:$B$273,$A52)</f>
        <v>0</v>
      </c>
      <c r="H52" s="114" t="str" cm="1">
        <f t="array" ref="H52">IFERROR(_xlfn.TEXTJOIN(", ",TRUE,_xlfn.UNIQUE(_xlfn._xlws.FILTER(Draft!$D$6:$D$77,Draft!$E$6:$E$77=$A52))),"Undrafted")</f>
        <v>Undrafted</v>
      </c>
      <c r="I52" s="65" t="str" cm="1">
        <f t="array" aca="1" ref="I52" ca="1">IFERROR(_xlfn.LET(_xlpm.charRows,IF('Current Char Stats'!$B$4:$B$273=$A52,1,0),_xlpm.ownerCol,'Current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/>
      </c>
      <c r="J52" s="18" t="str">
        <f ca="1">IF(AND(B52&gt;0,IFERROR(INDEX(Draft!$D$6:$D$77,MATCH($A52,Draft!$E$6:$E$77,0)),"")=IFERROR(INDEX(Bracket!$B$18:$B$25,MATCH("1st",Bracket!$A$18:$A$25,0)),""),IFERROR(INDEX(Bracket!$B$18:$B$25,MATCH("1st",Bracket!$A$18:$A$25,0)),"")&lt;&gt;""),"Yes","")</f>
        <v/>
      </c>
      <c r="K52" s="18">
        <f ca="1">COUNTIF(Bracket!$K$6:$K$16,$A52)</f>
        <v>0</v>
      </c>
      <c r="L52" s="18">
        <f ca="1">COUNTIFS(Bracket!$K$6:$K$16,$A52,Bracket!$G$6:$G$16,"CG-*")</f>
        <v>0</v>
      </c>
      <c r="M52" s="18" cm="1">
        <f t="array" aca="1" ref="M52" ca="1">IF($A52="","",_xlfn.LET(_xlpm.rawIP,SUMPRODUCT(--(Data!$AM$4:$AM$183=$A52),IFERROR(Data!$AN$4:$AN$183,0)),IF(_xlpm.rawIP=0,0,INT(_xlpm.rawIP)+MOD(ROUND(_xlpm.rawIP*3,0),3)/10)))</f>
        <v>0</v>
      </c>
    </row>
    <row r="53" spans="1:13">
      <c r="A53" s="18" t="str">
        <f>'Character List'!B41</f>
        <v>Green Shy Guy</v>
      </c>
      <c r="B53" s="18">
        <f>COUNTIF(Draft!$E$6:$E$77,$A53)</f>
        <v>1</v>
      </c>
      <c r="C53" s="18">
        <f ca="1">SUMIFS('Current Char Stats'!$D$4:$D$273,'Current Char Stats'!$B$4:$B$273,$A53)</f>
        <v>4</v>
      </c>
      <c r="D53" s="18">
        <f ca="1">SUMIFS('Current Char Stats'!$E$4:$E$273,'Current Char Stats'!$B$4:$B$273,$A53)</f>
        <v>1</v>
      </c>
      <c r="E53" s="61">
        <f t="shared" ca="1" si="0"/>
        <v>0.25</v>
      </c>
      <c r="F53" s="18">
        <f ca="1">SUMIFS('Current Char Stats'!$G$4:$G$273,'Current Char Stats'!$B$4:$B$273,$A53)</f>
        <v>0</v>
      </c>
      <c r="G53" s="18">
        <f ca="1">SUMIFS('Current Char Stats'!$H$4:$H$273,'Current Char Stats'!$B$4:$B$273,$A53)</f>
        <v>0</v>
      </c>
      <c r="H53" s="115" t="str" cm="1">
        <f t="array" ref="H53">IFERROR(_xlfn.TEXTJOIN(", ",TRUE,_xlfn.UNIQUE(_xlfn._xlws.FILTER(Draft!$D$6:$D$77,Draft!$E$6:$E$77=$A53))),"Undrafted")</f>
        <v>May</v>
      </c>
      <c r="I53" s="65" cm="1">
        <f t="array" aca="1" ref="I53" ca="1">IFERROR(_xlfn.LET(_xlpm.charRows,IF('Current Char Stats'!$B$4:$B$273=$A53,1,0),_xlpm.ownerCol,'Current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0.75</v>
      </c>
      <c r="J53" s="18" t="str">
        <f ca="1">IF(AND(B53&gt;0,IFERROR(INDEX(Draft!$D$6:$D$77,MATCH($A53,Draft!$E$6:$E$77,0)),"")=IFERROR(INDEX(Bracket!$B$18:$B$25,MATCH("1st",Bracket!$A$18:$A$25,0)),""),IFERROR(INDEX(Bracket!$B$18:$B$25,MATCH("1st",Bracket!$A$18:$A$25,0)),"")&lt;&gt;""),"Yes","")</f>
        <v/>
      </c>
      <c r="K53" s="18">
        <f ca="1">COUNTIF(Bracket!$K$6:$K$16,$A53)</f>
        <v>0</v>
      </c>
      <c r="L53" s="18">
        <f ca="1">COUNTIFS(Bracket!$K$6:$K$16,$A53,Bracket!$G$6:$G$16,"CG-*")</f>
        <v>0</v>
      </c>
      <c r="M53" s="18" cm="1">
        <f t="array" aca="1" ref="M53" ca="1">IF($A53="","",_xlfn.LET(_xlpm.rawIP,SUMPRODUCT(--(Data!$AM$4:$AM$183=$A53),IFERROR(Data!$AN$4:$AN$183,0)),IF(_xlpm.rawIP=0,0,INT(_xlpm.rawIP)+MOD(ROUND(_xlpm.rawIP*3,0),3)/10)))</f>
        <v>0</v>
      </c>
    </row>
    <row r="54" spans="1:13">
      <c r="A54" s="18" t="str">
        <f>'Character List'!B42</f>
        <v>Green Toad</v>
      </c>
      <c r="B54" s="18">
        <f>COUNTIF(Draft!$E$6:$E$77,$A54)</f>
        <v>0</v>
      </c>
      <c r="C54" s="18">
        <f ca="1">SUMIFS('Current Char Stats'!$D$4:$D$273,'Current Char Stats'!$B$4:$B$273,$A54)</f>
        <v>0</v>
      </c>
      <c r="D54" s="18">
        <f ca="1">SUMIFS('Current Char Stats'!$E$4:$E$273,'Current Char Stats'!$B$4:$B$273,$A54)</f>
        <v>0</v>
      </c>
      <c r="E54" s="61">
        <f t="shared" ca="1" si="0"/>
        <v>0</v>
      </c>
      <c r="F54" s="18">
        <f ca="1">SUMIFS('Current Char Stats'!$G$4:$G$273,'Current Char Stats'!$B$4:$B$273,$A54)</f>
        <v>0</v>
      </c>
      <c r="G54" s="18">
        <f ca="1">SUMIFS('Current Char Stats'!$H$4:$H$273,'Current Char Stats'!$B$4:$B$273,$A54)</f>
        <v>0</v>
      </c>
      <c r="H54" s="116" t="str" cm="1">
        <f t="array" ref="H54">IFERROR(_xlfn.TEXTJOIN(", ",TRUE,_xlfn.UNIQUE(_xlfn._xlws.FILTER(Draft!$D$6:$D$77,Draft!$E$6:$E$77=$A54))),"Undrafted")</f>
        <v>Undrafted</v>
      </c>
      <c r="I54" s="65" t="str" cm="1">
        <f t="array" aca="1" ref="I54" ca="1">IFERROR(_xlfn.LET(_xlpm.charRows,IF('Current Char Stats'!$B$4:$B$273=$A54,1,0),_xlpm.ownerCol,'Current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/>
      </c>
      <c r="J54" s="18" t="str">
        <f ca="1">IF(AND(B54&gt;0,IFERROR(INDEX(Draft!$D$6:$D$77,MATCH($A54,Draft!$E$6:$E$77,0)),"")=IFERROR(INDEX(Bracket!$B$18:$B$25,MATCH("1st",Bracket!$A$18:$A$25,0)),""),IFERROR(INDEX(Bracket!$B$18:$B$25,MATCH("1st",Bracket!$A$18:$A$25,0)),"")&lt;&gt;""),"Yes","")</f>
        <v/>
      </c>
      <c r="K54" s="18">
        <f ca="1">COUNTIF(Bracket!$K$6:$K$16,$A54)</f>
        <v>0</v>
      </c>
      <c r="L54" s="18">
        <f ca="1">COUNTIFS(Bracket!$K$6:$K$16,$A54,Bracket!$G$6:$G$16,"CG-*")</f>
        <v>0</v>
      </c>
      <c r="M54" s="18" cm="1">
        <f t="array" aca="1" ref="M54" ca="1">IF($A54="","",_xlfn.LET(_xlpm.rawIP,SUMPRODUCT(--(Data!$AM$4:$AM$183=$A54),IFERROR(Data!$AN$4:$AN$183,0)),IF(_xlpm.rawIP=0,0,INT(_xlpm.rawIP)+MOD(ROUND(_xlpm.rawIP*3,0),3)/10)))</f>
        <v>0</v>
      </c>
    </row>
    <row r="55" spans="1:13">
      <c r="A55" s="18" t="str">
        <f>'Character List'!B43</f>
        <v>Red Toad</v>
      </c>
      <c r="B55" s="18">
        <f>COUNTIF(Draft!$E$6:$E$77,$A55)</f>
        <v>0</v>
      </c>
      <c r="C55" s="18">
        <f ca="1">SUMIFS('Current Char Stats'!$D$4:$D$273,'Current Char Stats'!$B$4:$B$273,$A55)</f>
        <v>0</v>
      </c>
      <c r="D55" s="18">
        <f ca="1">SUMIFS('Current Char Stats'!$E$4:$E$273,'Current Char Stats'!$B$4:$B$273,$A55)</f>
        <v>0</v>
      </c>
      <c r="E55" s="61">
        <f t="shared" ca="1" si="0"/>
        <v>0</v>
      </c>
      <c r="F55" s="18">
        <f ca="1">SUMIFS('Current Char Stats'!$G$4:$G$273,'Current Char Stats'!$B$4:$B$273,$A55)</f>
        <v>0</v>
      </c>
      <c r="G55" s="18">
        <f ca="1">SUMIFS('Current Char Stats'!$H$4:$H$273,'Current Char Stats'!$B$4:$B$273,$A55)</f>
        <v>0</v>
      </c>
      <c r="H55" s="117" t="str" cm="1">
        <f t="array" ref="H55">IFERROR(_xlfn.TEXTJOIN(", ",TRUE,_xlfn.UNIQUE(_xlfn._xlws.FILTER(Draft!$D$6:$D$77,Draft!$E$6:$E$77=$A55))),"Undrafted")</f>
        <v>Undrafted</v>
      </c>
      <c r="I55" s="65" t="str" cm="1">
        <f t="array" aca="1" ref="I55" ca="1">IFERROR(_xlfn.LET(_xlpm.charRows,IF('Current Char Stats'!$B$4:$B$273=$A55,1,0),_xlpm.ownerCol,'Current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/>
      </c>
      <c r="J55" s="18" t="str">
        <f ca="1">IF(AND(B55&gt;0,IFERROR(INDEX(Draft!$D$6:$D$77,MATCH($A55,Draft!$E$6:$E$77,0)),"")=IFERROR(INDEX(Bracket!$B$18:$B$25,MATCH("1st",Bracket!$A$18:$A$25,0)),""),IFERROR(INDEX(Bracket!$B$18:$B$25,MATCH("1st",Bracket!$A$18:$A$25,0)),"")&lt;&gt;""),"Yes","")</f>
        <v/>
      </c>
      <c r="K55" s="18">
        <f ca="1">COUNTIF(Bracket!$K$6:$K$16,$A55)</f>
        <v>0</v>
      </c>
      <c r="L55" s="18">
        <f ca="1">COUNTIFS(Bracket!$K$6:$K$16,$A55,Bracket!$G$6:$G$16,"CG-*")</f>
        <v>0</v>
      </c>
      <c r="M55" s="18" cm="1">
        <f t="array" aca="1" ref="M55" ca="1">IF($A55="","",_xlfn.LET(_xlpm.rawIP,SUMPRODUCT(--(Data!$AM$4:$AM$183=$A55),IFERROR(Data!$AN$4:$AN$183,0)),IF(_xlpm.rawIP=0,0,INT(_xlpm.rawIP)+MOD(ROUND(_xlpm.rawIP*3,0),3)/10)))</f>
        <v>0</v>
      </c>
    </row>
    <row r="56" spans="1:13">
      <c r="A56" s="18" t="str">
        <f>'Character List'!B44</f>
        <v>Shy Guy</v>
      </c>
      <c r="B56" s="18">
        <f>COUNTIF(Draft!$E$6:$E$77,$A56)</f>
        <v>0</v>
      </c>
      <c r="C56" s="18">
        <f ca="1">SUMIFS('Current Char Stats'!$D$4:$D$273,'Current Char Stats'!$B$4:$B$273,$A56)</f>
        <v>0</v>
      </c>
      <c r="D56" s="18">
        <f ca="1">SUMIFS('Current Char Stats'!$E$4:$E$273,'Current Char Stats'!$B$4:$B$273,$A56)</f>
        <v>0</v>
      </c>
      <c r="E56" s="61">
        <f t="shared" ca="1" si="0"/>
        <v>0</v>
      </c>
      <c r="F56" s="18">
        <f ca="1">SUMIFS('Current Char Stats'!$G$4:$G$273,'Current Char Stats'!$B$4:$B$273,$A56)</f>
        <v>0</v>
      </c>
      <c r="G56" s="18">
        <f ca="1">SUMIFS('Current Char Stats'!$H$4:$H$273,'Current Char Stats'!$B$4:$B$273,$A56)</f>
        <v>0</v>
      </c>
      <c r="H56" s="118" t="str" cm="1">
        <f t="array" ref="H56">IFERROR(_xlfn.TEXTJOIN(", ",TRUE,_xlfn.UNIQUE(_xlfn._xlws.FILTER(Draft!$D$6:$D$77,Draft!$E$6:$E$77=$A56))),"Undrafted")</f>
        <v>Undrafted</v>
      </c>
      <c r="I56" s="65" t="str" cm="1">
        <f t="array" aca="1" ref="I56" ca="1">IFERROR(_xlfn.LET(_xlpm.charRows,IF('Current Char Stats'!$B$4:$B$273=$A56,1,0),_xlpm.ownerCol,'Current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/>
      </c>
      <c r="J56" s="18" t="str">
        <f ca="1">IF(AND(B56&gt;0,IFERROR(INDEX(Draft!$D$6:$D$77,MATCH($A56,Draft!$E$6:$E$77,0)),"")=IFERROR(INDEX(Bracket!$B$18:$B$25,MATCH("1st",Bracket!$A$18:$A$25,0)),""),IFERROR(INDEX(Bracket!$B$18:$B$25,MATCH("1st",Bracket!$A$18:$A$25,0)),"")&lt;&gt;""),"Yes","")</f>
        <v/>
      </c>
      <c r="K56" s="18">
        <f ca="1">COUNTIF(Bracket!$K$6:$K$16,$A56)</f>
        <v>0</v>
      </c>
      <c r="L56" s="18">
        <f ca="1">COUNTIFS(Bracket!$K$6:$K$16,$A56,Bracket!$G$6:$G$16,"CG-*")</f>
        <v>0</v>
      </c>
      <c r="M56" s="18" cm="1">
        <f t="array" aca="1" ref="M56" ca="1">IF($A56="","",_xlfn.LET(_xlpm.rawIP,SUMPRODUCT(--(Data!$AM$4:$AM$183=$A56),IFERROR(Data!$AN$4:$AN$183,0)),IF(_xlpm.rawIP=0,0,INT(_xlpm.rawIP)+MOD(ROUND(_xlpm.rawIP*3,0),3)/10)))</f>
        <v>0</v>
      </c>
    </row>
    <row r="57" spans="1:13">
      <c r="A57" s="18" t="str">
        <f>'Character List'!B45</f>
        <v>Peach</v>
      </c>
      <c r="B57" s="18">
        <f>COUNTIF(Draft!$E$6:$E$77,$A57)</f>
        <v>1</v>
      </c>
      <c r="C57" s="18">
        <f ca="1">SUMIFS('Current Char Stats'!$D$4:$D$273,'Current Char Stats'!$B$4:$B$273,$A57)</f>
        <v>7</v>
      </c>
      <c r="D57" s="18">
        <f ca="1">SUMIFS('Current Char Stats'!$E$4:$E$273,'Current Char Stats'!$B$4:$B$273,$A57)</f>
        <v>4</v>
      </c>
      <c r="E57" s="61">
        <f t="shared" ca="1" si="0"/>
        <v>0.5714285714285714</v>
      </c>
      <c r="F57" s="18">
        <f ca="1">SUMIFS('Current Char Stats'!$G$4:$G$273,'Current Char Stats'!$B$4:$B$273,$A57)</f>
        <v>2</v>
      </c>
      <c r="G57" s="18">
        <f ca="1">SUMIFS('Current Char Stats'!$H$4:$H$273,'Current Char Stats'!$B$4:$B$273,$A57)</f>
        <v>3</v>
      </c>
      <c r="H57" s="119" t="str" cm="1">
        <f t="array" ref="H57">IFERROR(_xlfn.TEXTJOIN(", ",TRUE,_xlfn.UNIQUE(_xlfn._xlws.FILTER(Draft!$D$6:$D$77,Draft!$E$6:$E$77=$A57))),"Undrafted")</f>
        <v>Jason</v>
      </c>
      <c r="I57" s="65" cm="1">
        <f t="array" aca="1" ref="I57" ca="1">IFERROR(_xlfn.LET(_xlpm.charRows,IF('Current Char Stats'!$B$4:$B$273=$A57,1,0),_xlpm.ownerCol,'Current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0.25</v>
      </c>
      <c r="J57" s="18" t="str">
        <f ca="1">IF(AND(B57&gt;0,IFERROR(INDEX(Draft!$D$6:$D$77,MATCH($A57,Draft!$E$6:$E$77,0)),"")=IFERROR(INDEX(Bracket!$B$18:$B$25,MATCH("1st",Bracket!$A$18:$A$25,0)),""),IFERROR(INDEX(Bracket!$B$18:$B$25,MATCH("1st",Bracket!$A$18:$A$25,0)),"")&lt;&gt;""),"Yes","")</f>
        <v>Yes</v>
      </c>
      <c r="K57" s="18">
        <f ca="1">COUNTIF(Bracket!$K$6:$K$16,$A57)</f>
        <v>2</v>
      </c>
      <c r="L57" s="18">
        <f ca="1">COUNTIFS(Bracket!$K$6:$K$16,$A57,Bracket!$G$6:$G$16,"CG-*")</f>
        <v>0</v>
      </c>
      <c r="M57" s="18" cm="1">
        <f t="array" aca="1" ref="M57" ca="1">IF($A57="","",_xlfn.LET(_xlpm.rawIP,SUMPRODUCT(--(Data!$AM$4:$AM$183=$A57),IFERROR(Data!$AN$4:$AN$183,0)),IF(_xlpm.rawIP=0,0,INT(_xlpm.rawIP)+MOD(ROUND(_xlpm.rawIP*3,0),3)/10)))</f>
        <v>7</v>
      </c>
    </row>
    <row r="58" spans="1:13">
      <c r="A58" s="18" t="str">
        <f>'Character List'!B46</f>
        <v>Waluigi</v>
      </c>
      <c r="B58" s="18">
        <f>COUNTIF(Draft!$E$6:$E$77,$A58)</f>
        <v>1</v>
      </c>
      <c r="C58" s="18">
        <f ca="1">SUMIFS('Current Char Stats'!$D$4:$D$273,'Current Char Stats'!$B$4:$B$273,$A58)</f>
        <v>1</v>
      </c>
      <c r="D58" s="18">
        <f ca="1">SUMIFS('Current Char Stats'!$E$4:$E$273,'Current Char Stats'!$B$4:$B$273,$A58)</f>
        <v>0</v>
      </c>
      <c r="E58" s="61">
        <f t="shared" ca="1" si="0"/>
        <v>0</v>
      </c>
      <c r="F58" s="18">
        <f ca="1">SUMIFS('Current Char Stats'!$G$4:$G$273,'Current Char Stats'!$B$4:$B$273,$A58)</f>
        <v>0</v>
      </c>
      <c r="G58" s="18">
        <f ca="1">SUMIFS('Current Char Stats'!$H$4:$H$273,'Current Char Stats'!$B$4:$B$273,$A58)</f>
        <v>0</v>
      </c>
      <c r="H58" s="119" t="str" cm="1">
        <f t="array" ref="H58">IFERROR(_xlfn.TEXTJOIN(", ",TRUE,_xlfn.UNIQUE(_xlfn._xlws.FILTER(Draft!$D$6:$D$77,Draft!$E$6:$E$77=$A58))),"Undrafted")</f>
        <v>Donovan</v>
      </c>
      <c r="I58" s="65" cm="1">
        <f t="array" aca="1" ref="I58" ca="1">IFERROR(_xlfn.LET(_xlpm.charRows,IF('Current Char Stats'!$B$4:$B$273=$A58,1,0),_xlpm.ownerCol,'Current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0.33333333333333331</v>
      </c>
      <c r="J58" s="18" t="str">
        <f ca="1">IF(AND(B58&gt;0,IFERROR(INDEX(Draft!$D$6:$D$77,MATCH($A58,Draft!$E$6:$E$77,0)),"")=IFERROR(INDEX(Bracket!$B$18:$B$25,MATCH("1st",Bracket!$A$18:$A$25,0)),""),IFERROR(INDEX(Bracket!$B$18:$B$25,MATCH("1st",Bracket!$A$18:$A$25,0)),"")&lt;&gt;""),"Yes","")</f>
        <v/>
      </c>
      <c r="K58" s="18">
        <f ca="1">COUNTIF(Bracket!$K$6:$K$16,$A58)</f>
        <v>0</v>
      </c>
      <c r="L58" s="18">
        <f ca="1">COUNTIFS(Bracket!$K$6:$K$16,$A58,Bracket!$G$6:$G$16,"CG-*")</f>
        <v>0</v>
      </c>
      <c r="M58" s="18" cm="1">
        <f t="array" aca="1" ref="M58" ca="1">IF($A58="","",_xlfn.LET(_xlpm.rawIP,SUMPRODUCT(--(Data!$AM$4:$AM$183=$A58),IFERROR(Data!$AN$4:$AN$183,0)),IF(_xlpm.rawIP=0,0,INT(_xlpm.rawIP)+MOD(ROUND(_xlpm.rawIP*3,0),3)/10)))</f>
        <v>7.2</v>
      </c>
    </row>
    <row r="59" spans="1:13">
      <c r="A59" s="18" t="str">
        <f>'Character List'!B47</f>
        <v>Diddy Kong</v>
      </c>
      <c r="B59" s="18">
        <f>COUNTIF(Draft!$E$6:$E$77,$A59)</f>
        <v>1</v>
      </c>
      <c r="C59" s="18">
        <f ca="1">SUMIFS('Current Char Stats'!$D$4:$D$273,'Current Char Stats'!$B$4:$B$273,$A59)</f>
        <v>1</v>
      </c>
      <c r="D59" s="18">
        <f ca="1">SUMIFS('Current Char Stats'!$E$4:$E$273,'Current Char Stats'!$B$4:$B$273,$A59)</f>
        <v>0</v>
      </c>
      <c r="E59" s="61">
        <f t="shared" ca="1" si="0"/>
        <v>0</v>
      </c>
      <c r="F59" s="18">
        <f ca="1">SUMIFS('Current Char Stats'!$G$4:$G$273,'Current Char Stats'!$B$4:$B$273,$A59)</f>
        <v>0</v>
      </c>
      <c r="G59" s="18">
        <f ca="1">SUMIFS('Current Char Stats'!$H$4:$H$273,'Current Char Stats'!$B$4:$B$273,$A59)</f>
        <v>0</v>
      </c>
      <c r="H59" s="118" t="str" cm="1">
        <f t="array" ref="H59">IFERROR(_xlfn.TEXTJOIN(", ",TRUE,_xlfn.UNIQUE(_xlfn._xlws.FILTER(Draft!$D$6:$D$77,Draft!$E$6:$E$77=$A59))),"Undrafted")</f>
        <v>Donovan</v>
      </c>
      <c r="I59" s="65" cm="1">
        <f t="array" aca="1" ref="I59" ca="1">IFERROR(_xlfn.LET(_xlpm.charRows,IF('Current Char Stats'!$B$4:$B$273=$A59,1,0),_xlpm.ownerCol,'Current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0.33333333333333331</v>
      </c>
      <c r="J59" s="18" t="str">
        <f ca="1">IF(AND(B59&gt;0,IFERROR(INDEX(Draft!$D$6:$D$77,MATCH($A59,Draft!$E$6:$E$77,0)),"")=IFERROR(INDEX(Bracket!$B$18:$B$25,MATCH("1st",Bracket!$A$18:$A$25,0)),""),IFERROR(INDEX(Bracket!$B$18:$B$25,MATCH("1st",Bracket!$A$18:$A$25,0)),"")&lt;&gt;""),"Yes","")</f>
        <v/>
      </c>
      <c r="K59" s="18">
        <f ca="1">COUNTIF(Bracket!$K$6:$K$16,$A59)</f>
        <v>0</v>
      </c>
      <c r="L59" s="18">
        <f ca="1">COUNTIFS(Bracket!$K$6:$K$16,$A59,Bracket!$G$6:$G$16,"CG-*")</f>
        <v>0</v>
      </c>
      <c r="M59" s="18" cm="1">
        <f t="array" aca="1" ref="M59" ca="1">IF($A59="","",_xlfn.LET(_xlpm.rawIP,SUMPRODUCT(--(Data!$AM$4:$AM$183=$A59),IFERROR(Data!$AN$4:$AN$183,0)),IF(_xlpm.rawIP=0,0,INT(_xlpm.rawIP)+MOD(ROUND(_xlpm.rawIP*3,0),3)/10)))</f>
        <v>0</v>
      </c>
    </row>
    <row r="60" spans="1:13">
      <c r="A60" s="18" t="str">
        <f>'Character List'!B48</f>
        <v>Yoshi</v>
      </c>
      <c r="B60" s="18">
        <f>COUNTIF(Draft!$E$6:$E$77,$A60)</f>
        <v>1</v>
      </c>
      <c r="C60" s="18">
        <f ca="1">SUMIFS('Current Char Stats'!$D$4:$D$273,'Current Char Stats'!$B$4:$B$273,$A60)</f>
        <v>8</v>
      </c>
      <c r="D60" s="18">
        <f ca="1">SUMIFS('Current Char Stats'!$E$4:$E$273,'Current Char Stats'!$B$4:$B$273,$A60)</f>
        <v>4</v>
      </c>
      <c r="E60" s="61">
        <f t="shared" ca="1" si="0"/>
        <v>0.5</v>
      </c>
      <c r="F60" s="18">
        <f ca="1">SUMIFS('Current Char Stats'!$G$4:$G$273,'Current Char Stats'!$B$4:$B$273,$A60)</f>
        <v>0</v>
      </c>
      <c r="G60" s="18">
        <f ca="1">SUMIFS('Current Char Stats'!$H$4:$H$273,'Current Char Stats'!$B$4:$B$273,$A60)</f>
        <v>0</v>
      </c>
      <c r="H60" s="117" t="str" cm="1">
        <f t="array" ref="H60">IFERROR(_xlfn.TEXTJOIN(", ",TRUE,_xlfn.UNIQUE(_xlfn._xlws.FILTER(Draft!$D$6:$D$77,Draft!$E$6:$E$77=$A60))),"Undrafted")</f>
        <v>Jason</v>
      </c>
      <c r="I60" s="65" cm="1">
        <f t="array" aca="1" ref="I60" ca="1">IFERROR(_xlfn.LET(_xlpm.charRows,IF('Current Char Stats'!$B$4:$B$273=$A60,1,0),_xlpm.ownerCol,'Current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0.25</v>
      </c>
      <c r="J60" s="18" t="str">
        <f ca="1">IF(AND(B60&gt;0,IFERROR(INDEX(Draft!$D$6:$D$77,MATCH($A60,Draft!$E$6:$E$77,0)),"")=IFERROR(INDEX(Bracket!$B$18:$B$25,MATCH("1st",Bracket!$A$18:$A$25,0)),""),IFERROR(INDEX(Bracket!$B$18:$B$25,MATCH("1st",Bracket!$A$18:$A$25,0)),"")&lt;&gt;""),"Yes","")</f>
        <v>Yes</v>
      </c>
      <c r="K60" s="18">
        <f ca="1">COUNTIF(Bracket!$K$6:$K$16,$A60)</f>
        <v>0</v>
      </c>
      <c r="L60" s="18">
        <f ca="1">COUNTIFS(Bracket!$K$6:$K$16,$A60,Bracket!$G$6:$G$16,"CG-*")</f>
        <v>0</v>
      </c>
      <c r="M60" s="18" cm="1">
        <f t="array" aca="1" ref="M60" ca="1">IF($A60="","",_xlfn.LET(_xlpm.rawIP,SUMPRODUCT(--(Data!$AM$4:$AM$183=$A60),IFERROR(Data!$AN$4:$AN$183,0)),IF(_xlpm.rawIP=0,0,INT(_xlpm.rawIP)+MOD(ROUND(_xlpm.rawIP*3,0),3)/10)))</f>
        <v>0</v>
      </c>
    </row>
    <row r="61" spans="1:13">
      <c r="A61" s="18" t="str">
        <f>'Character List'!B49</f>
        <v>Baby Daisy</v>
      </c>
      <c r="B61" s="18">
        <f>COUNTIF(Draft!$E$6:$E$77,$A61)</f>
        <v>1</v>
      </c>
      <c r="C61" s="18">
        <f ca="1">SUMIFS('Current Char Stats'!$D$4:$D$273,'Current Char Stats'!$B$4:$B$273,$A61)</f>
        <v>4</v>
      </c>
      <c r="D61" s="18">
        <f ca="1">SUMIFS('Current Char Stats'!$E$4:$E$273,'Current Char Stats'!$B$4:$B$273,$A61)</f>
        <v>3</v>
      </c>
      <c r="E61" s="61">
        <f t="shared" ca="1" si="0"/>
        <v>0.75</v>
      </c>
      <c r="F61" s="18">
        <f ca="1">SUMIFS('Current Char Stats'!$G$4:$G$273,'Current Char Stats'!$B$4:$B$273,$A61)</f>
        <v>0</v>
      </c>
      <c r="G61" s="18">
        <f ca="1">SUMIFS('Current Char Stats'!$H$4:$H$273,'Current Char Stats'!$B$4:$B$273,$A61)</f>
        <v>0</v>
      </c>
      <c r="H61" s="116" t="str" cm="1">
        <f t="array" ref="H61">IFERROR(_xlfn.TEXTJOIN(", ",TRUE,_xlfn.UNIQUE(_xlfn._xlws.FILTER(Draft!$D$6:$D$77,Draft!$E$6:$E$77=$A61))),"Undrafted")</f>
        <v>Jason</v>
      </c>
      <c r="I61" s="65" cm="1">
        <f t="array" aca="1" ref="I61" ca="1">IFERROR(_xlfn.LET(_xlpm.charRows,IF('Current Char Stats'!$B$4:$B$273=$A61,1,0),_xlpm.ownerCol,'Current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0.25</v>
      </c>
      <c r="J61" s="18" t="str">
        <f ca="1">IF(AND(B61&gt;0,IFERROR(INDEX(Draft!$D$6:$D$77,MATCH($A61,Draft!$E$6:$E$77,0)),"")=IFERROR(INDEX(Bracket!$B$18:$B$25,MATCH("1st",Bracket!$A$18:$A$25,0)),""),IFERROR(INDEX(Bracket!$B$18:$B$25,MATCH("1st",Bracket!$A$18:$A$25,0)),"")&lt;&gt;""),"Yes","")</f>
        <v>Yes</v>
      </c>
      <c r="K61" s="18">
        <f ca="1">COUNTIF(Bracket!$K$6:$K$16,$A61)</f>
        <v>0</v>
      </c>
      <c r="L61" s="18">
        <f ca="1">COUNTIFS(Bracket!$K$6:$K$16,$A61,Bracket!$G$6:$G$16,"CG-*")</f>
        <v>0</v>
      </c>
      <c r="M61" s="18" cm="1">
        <f t="array" aca="1" ref="M61" ca="1">IF($A61="","",_xlfn.LET(_xlpm.rawIP,SUMPRODUCT(--(Data!$AM$4:$AM$183=$A61),IFERROR(Data!$AN$4:$AN$183,0)),IF(_xlpm.rawIP=0,0,INT(_xlpm.rawIP)+MOD(ROUND(_xlpm.rawIP*3,0),3)/10)))</f>
        <v>0</v>
      </c>
    </row>
    <row r="62" spans="1:13">
      <c r="A62" s="18" t="str">
        <f>'Character List'!B50</f>
        <v>Blooper</v>
      </c>
      <c r="B62" s="18">
        <f>COUNTIF(Draft!$E$6:$E$77,$A62)</f>
        <v>1</v>
      </c>
      <c r="C62" s="18">
        <f ca="1">SUMIFS('Current Char Stats'!$D$4:$D$273,'Current Char Stats'!$B$4:$B$273,$A62)</f>
        <v>7</v>
      </c>
      <c r="D62" s="18">
        <f ca="1">SUMIFS('Current Char Stats'!$E$4:$E$273,'Current Char Stats'!$B$4:$B$273,$A62)</f>
        <v>5</v>
      </c>
      <c r="E62" s="61">
        <f t="shared" ca="1" si="0"/>
        <v>0.7142857142857143</v>
      </c>
      <c r="F62" s="18">
        <f ca="1">SUMIFS('Current Char Stats'!$G$4:$G$273,'Current Char Stats'!$B$4:$B$273,$A62)</f>
        <v>3</v>
      </c>
      <c r="G62" s="18">
        <f ca="1">SUMIFS('Current Char Stats'!$H$4:$H$273,'Current Char Stats'!$B$4:$B$273,$A62)</f>
        <v>4</v>
      </c>
      <c r="H62" s="115" t="str" cm="1">
        <f t="array" ref="H62">IFERROR(_xlfn.TEXTJOIN(", ",TRUE,_xlfn.UNIQUE(_xlfn._xlws.FILTER(Draft!$D$6:$D$77,Draft!$E$6:$E$77=$A62))),"Undrafted")</f>
        <v>Jason</v>
      </c>
      <c r="I62" s="65" cm="1">
        <f t="array" aca="1" ref="I62" ca="1">IFERROR(_xlfn.LET(_xlpm.charRows,IF('Current Char Stats'!$B$4:$B$273=$A62,1,0),_xlpm.ownerCol,'Current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0.25</v>
      </c>
      <c r="J62" s="18" t="str">
        <f ca="1">IF(AND(B62&gt;0,IFERROR(INDEX(Draft!$D$6:$D$77,MATCH($A62,Draft!$E$6:$E$77,0)),"")=IFERROR(INDEX(Bracket!$B$18:$B$25,MATCH("1st",Bracket!$A$18:$A$25,0)),""),IFERROR(INDEX(Bracket!$B$18:$B$25,MATCH("1st",Bracket!$A$18:$A$25,0)),"")&lt;&gt;""),"Yes","")</f>
        <v>Yes</v>
      </c>
      <c r="K62" s="18">
        <f ca="1">COUNTIF(Bracket!$K$6:$K$16,$A62)</f>
        <v>0</v>
      </c>
      <c r="L62" s="18">
        <f ca="1">COUNTIFS(Bracket!$K$6:$K$16,$A62,Bracket!$G$6:$G$16,"CG-*")</f>
        <v>0</v>
      </c>
      <c r="M62" s="18" cm="1">
        <f t="array" aca="1" ref="M62" ca="1">IF($A62="","",_xlfn.LET(_xlpm.rawIP,SUMPRODUCT(--(Data!$AM$4:$AM$183=$A62),IFERROR(Data!$AN$4:$AN$183,0)),IF(_xlpm.rawIP=0,0,INT(_xlpm.rawIP)+MOD(ROUND(_xlpm.rawIP*3,0),3)/10)))</f>
        <v>0</v>
      </c>
    </row>
    <row r="63" spans="1:13">
      <c r="A63" s="18" t="str">
        <f>'Character List'!B51</f>
        <v>Blue Noki</v>
      </c>
      <c r="B63" s="18">
        <f>COUNTIF(Draft!$E$6:$E$77,$A63)</f>
        <v>0</v>
      </c>
      <c r="C63" s="18">
        <f ca="1">SUMIFS('Current Char Stats'!$D$4:$D$273,'Current Char Stats'!$B$4:$B$273,$A63)</f>
        <v>0</v>
      </c>
      <c r="D63" s="18">
        <f ca="1">SUMIFS('Current Char Stats'!$E$4:$E$273,'Current Char Stats'!$B$4:$B$273,$A63)</f>
        <v>0</v>
      </c>
      <c r="E63" s="61">
        <f t="shared" ca="1" si="0"/>
        <v>0</v>
      </c>
      <c r="F63" s="18">
        <f ca="1">SUMIFS('Current Char Stats'!$G$4:$G$273,'Current Char Stats'!$B$4:$B$273,$A63)</f>
        <v>0</v>
      </c>
      <c r="G63" s="18">
        <f ca="1">SUMIFS('Current Char Stats'!$H$4:$H$273,'Current Char Stats'!$B$4:$B$273,$A63)</f>
        <v>0</v>
      </c>
      <c r="H63" s="114" t="str" cm="1">
        <f t="array" ref="H63">IFERROR(_xlfn.TEXTJOIN(", ",TRUE,_xlfn.UNIQUE(_xlfn._xlws.FILTER(Draft!$D$6:$D$77,Draft!$E$6:$E$77=$A63))),"Undrafted")</f>
        <v>Undrafted</v>
      </c>
      <c r="I63" s="65" t="str" cm="1">
        <f t="array" aca="1" ref="I63" ca="1">IFERROR(_xlfn.LET(_xlpm.charRows,IF('Current Char Stats'!$B$4:$B$273=$A63,1,0),_xlpm.ownerCol,'Current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/>
      </c>
      <c r="J63" s="18" t="str">
        <f ca="1">IF(AND(B63&gt;0,IFERROR(INDEX(Draft!$D$6:$D$77,MATCH($A63,Draft!$E$6:$E$77,0)),"")=IFERROR(INDEX(Bracket!$B$18:$B$25,MATCH("1st",Bracket!$A$18:$A$25,0)),""),IFERROR(INDEX(Bracket!$B$18:$B$25,MATCH("1st",Bracket!$A$18:$A$25,0)),"")&lt;&gt;""),"Yes","")</f>
        <v/>
      </c>
      <c r="K63" s="18">
        <f ca="1">COUNTIF(Bracket!$K$6:$K$16,$A63)</f>
        <v>0</v>
      </c>
      <c r="L63" s="18">
        <f ca="1">COUNTIFS(Bracket!$K$6:$K$16,$A63,Bracket!$G$6:$G$16,"CG-*")</f>
        <v>0</v>
      </c>
      <c r="M63" s="18" cm="1">
        <f t="array" aca="1" ref="M63" ca="1">IF($A63="","",_xlfn.LET(_xlpm.rawIP,SUMPRODUCT(--(Data!$AM$4:$AM$183=$A63),IFERROR(Data!$AN$4:$AN$183,0)),IF(_xlpm.rawIP=0,0,INT(_xlpm.rawIP)+MOD(ROUND(_xlpm.rawIP*3,0),3)/10)))</f>
        <v>0</v>
      </c>
    </row>
    <row r="64" spans="1:13">
      <c r="A64" s="18" t="str">
        <f>'Character List'!B52</f>
        <v>Blue Shy Guy</v>
      </c>
      <c r="B64" s="18">
        <f>COUNTIF(Draft!$E$6:$E$77,$A64)</f>
        <v>0</v>
      </c>
      <c r="C64" s="18">
        <f ca="1">SUMIFS('Current Char Stats'!$D$4:$D$273,'Current Char Stats'!$B$4:$B$273,$A64)</f>
        <v>0</v>
      </c>
      <c r="D64" s="18">
        <f ca="1">SUMIFS('Current Char Stats'!$E$4:$E$273,'Current Char Stats'!$B$4:$B$273,$A64)</f>
        <v>0</v>
      </c>
      <c r="E64" s="61">
        <f t="shared" ca="1" si="0"/>
        <v>0</v>
      </c>
      <c r="F64" s="18">
        <f ca="1">SUMIFS('Current Char Stats'!$G$4:$G$273,'Current Char Stats'!$B$4:$B$273,$A64)</f>
        <v>0</v>
      </c>
      <c r="G64" s="18">
        <f ca="1">SUMIFS('Current Char Stats'!$H$4:$H$273,'Current Char Stats'!$B$4:$B$273,$A64)</f>
        <v>0</v>
      </c>
      <c r="H64" s="114" t="str" cm="1">
        <f t="array" ref="H64">IFERROR(_xlfn.TEXTJOIN(", ",TRUE,_xlfn.UNIQUE(_xlfn._xlws.FILTER(Draft!$D$6:$D$77,Draft!$E$6:$E$77=$A64))),"Undrafted")</f>
        <v>Undrafted</v>
      </c>
      <c r="I64" s="65" t="str" cm="1">
        <f t="array" aca="1" ref="I64" ca="1">IFERROR(_xlfn.LET(_xlpm.charRows,IF('Current Char Stats'!$B$4:$B$273=$A64,1,0),_xlpm.ownerCol,'Current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/>
      </c>
      <c r="J64" s="18" t="str">
        <f ca="1">IF(AND(B64&gt;0,IFERROR(INDEX(Draft!$D$6:$D$77,MATCH($A64,Draft!$E$6:$E$77,0)),"")=IFERROR(INDEX(Bracket!$B$18:$B$25,MATCH("1st",Bracket!$A$18:$A$25,0)),""),IFERROR(INDEX(Bracket!$B$18:$B$25,MATCH("1st",Bracket!$A$18:$A$25,0)),"")&lt;&gt;""),"Yes","")</f>
        <v/>
      </c>
      <c r="K64" s="18">
        <f ca="1">COUNTIF(Bracket!$K$6:$K$16,$A64)</f>
        <v>0</v>
      </c>
      <c r="L64" s="18">
        <f ca="1">COUNTIFS(Bracket!$K$6:$K$16,$A64,Bracket!$G$6:$G$16,"CG-*")</f>
        <v>0</v>
      </c>
      <c r="M64" s="18" cm="1">
        <f t="array" aca="1" ref="M64" ca="1">IF($A64="","",_xlfn.LET(_xlpm.rawIP,SUMPRODUCT(--(Data!$AM$4:$AM$183=$A64),IFERROR(Data!$AN$4:$AN$183,0)),IF(_xlpm.rawIP=0,0,INT(_xlpm.rawIP)+MOD(ROUND(_xlpm.rawIP*3,0),3)/10)))</f>
        <v>0</v>
      </c>
    </row>
    <row r="65" spans="1:13">
      <c r="A65" s="18" t="str">
        <f>'Character List'!B53</f>
        <v>Gray Shy Guy</v>
      </c>
      <c r="B65" s="18">
        <f>COUNTIF(Draft!$E$6:$E$77,$A65)</f>
        <v>0</v>
      </c>
      <c r="C65" s="18">
        <f ca="1">SUMIFS('Current Char Stats'!$D$4:$D$273,'Current Char Stats'!$B$4:$B$273,$A65)</f>
        <v>0</v>
      </c>
      <c r="D65" s="18">
        <f ca="1">SUMIFS('Current Char Stats'!$E$4:$E$273,'Current Char Stats'!$B$4:$B$273,$A65)</f>
        <v>0</v>
      </c>
      <c r="E65" s="61">
        <f t="shared" ca="1" si="0"/>
        <v>0</v>
      </c>
      <c r="F65" s="18">
        <f ca="1">SUMIFS('Current Char Stats'!$G$4:$G$273,'Current Char Stats'!$B$4:$B$273,$A65)</f>
        <v>0</v>
      </c>
      <c r="G65" s="18">
        <f ca="1">SUMIFS('Current Char Stats'!$H$4:$H$273,'Current Char Stats'!$B$4:$B$273,$A65)</f>
        <v>0</v>
      </c>
      <c r="H65" s="115" t="str" cm="1">
        <f t="array" ref="H65">IFERROR(_xlfn.TEXTJOIN(", ",TRUE,_xlfn.UNIQUE(_xlfn._xlws.FILTER(Draft!$D$6:$D$77,Draft!$E$6:$E$77=$A65))),"Undrafted")</f>
        <v>Undrafted</v>
      </c>
      <c r="I65" s="65" t="str" cm="1">
        <f t="array" aca="1" ref="I65" ca="1">IFERROR(_xlfn.LET(_xlpm.charRows,IF('Current Char Stats'!$B$4:$B$273=$A65,1,0),_xlpm.ownerCol,'Current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/>
      </c>
      <c r="J65" s="18" t="str">
        <f ca="1">IF(AND(B65&gt;0,IFERROR(INDEX(Draft!$D$6:$D$77,MATCH($A65,Draft!$E$6:$E$77,0)),"")=IFERROR(INDEX(Bracket!$B$18:$B$25,MATCH("1st",Bracket!$A$18:$A$25,0)),""),IFERROR(INDEX(Bracket!$B$18:$B$25,MATCH("1st",Bracket!$A$18:$A$25,0)),"")&lt;&gt;""),"Yes","")</f>
        <v/>
      </c>
      <c r="K65" s="18">
        <f ca="1">COUNTIF(Bracket!$K$6:$K$16,$A65)</f>
        <v>0</v>
      </c>
      <c r="L65" s="18">
        <f ca="1">COUNTIFS(Bracket!$K$6:$K$16,$A65,Bracket!$G$6:$G$16,"CG-*")</f>
        <v>0</v>
      </c>
      <c r="M65" s="18" cm="1">
        <f t="array" aca="1" ref="M65" ca="1">IF($A65="","",_xlfn.LET(_xlpm.rawIP,SUMPRODUCT(--(Data!$AM$4:$AM$183=$A65),IFERROR(Data!$AN$4:$AN$183,0)),IF(_xlpm.rawIP=0,0,INT(_xlpm.rawIP)+MOD(ROUND(_xlpm.rawIP*3,0),3)/10)))</f>
        <v>0</v>
      </c>
    </row>
    <row r="66" spans="1:13">
      <c r="A66" s="18" t="str">
        <f>'Character List'!B54</f>
        <v>Monty Mole</v>
      </c>
      <c r="B66" s="18">
        <f>COUNTIF(Draft!$E$6:$E$77,$A66)</f>
        <v>1</v>
      </c>
      <c r="C66" s="18">
        <f ca="1">SUMIFS('Current Char Stats'!$D$4:$D$273,'Current Char Stats'!$B$4:$B$273,$A66)</f>
        <v>9</v>
      </c>
      <c r="D66" s="18">
        <f ca="1">SUMIFS('Current Char Stats'!$E$4:$E$273,'Current Char Stats'!$B$4:$B$273,$A66)</f>
        <v>0</v>
      </c>
      <c r="E66" s="61">
        <f t="shared" ca="1" si="0"/>
        <v>0</v>
      </c>
      <c r="F66" s="18">
        <f ca="1">SUMIFS('Current Char Stats'!$G$4:$G$273,'Current Char Stats'!$B$4:$B$273,$A66)</f>
        <v>0</v>
      </c>
      <c r="G66" s="18">
        <f ca="1">SUMIFS('Current Char Stats'!$H$4:$H$273,'Current Char Stats'!$B$4:$B$273,$A66)</f>
        <v>0</v>
      </c>
      <c r="H66" s="116" t="str" cm="1">
        <f t="array" ref="H66">IFERROR(_xlfn.TEXTJOIN(", ",TRUE,_xlfn.UNIQUE(_xlfn._xlws.FILTER(Draft!$D$6:$D$77,Draft!$E$6:$E$77=$A66))),"Undrafted")</f>
        <v>Nick</v>
      </c>
      <c r="I66" s="65" cm="1">
        <f t="array" aca="1" ref="I66" ca="1">IFERROR(_xlfn.LET(_xlpm.charRows,IF('Current Char Stats'!$B$4:$B$273=$A66,1,0),_xlpm.ownerCol,'Current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0.75</v>
      </c>
      <c r="J66" s="18" t="str">
        <f ca="1">IF(AND(B66&gt;0,IFERROR(INDEX(Draft!$D$6:$D$77,MATCH($A66,Draft!$E$6:$E$77,0)),"")=IFERROR(INDEX(Bracket!$B$18:$B$25,MATCH("1st",Bracket!$A$18:$A$25,0)),""),IFERROR(INDEX(Bracket!$B$18:$B$25,MATCH("1st",Bracket!$A$18:$A$25,0)),"")&lt;&gt;""),"Yes","")</f>
        <v/>
      </c>
      <c r="K66" s="18">
        <f ca="1">COUNTIF(Bracket!$K$6:$K$16,$A66)</f>
        <v>0</v>
      </c>
      <c r="L66" s="18">
        <f ca="1">COUNTIFS(Bracket!$K$6:$K$16,$A66,Bracket!$G$6:$G$16,"CG-*")</f>
        <v>0</v>
      </c>
      <c r="M66" s="18" cm="1">
        <f t="array" aca="1" ref="M66" ca="1">IF($A66="","",_xlfn.LET(_xlpm.rawIP,SUMPRODUCT(--(Data!$AM$4:$AM$183=$A66),IFERROR(Data!$AN$4:$AN$183,0)),IF(_xlpm.rawIP=0,0,INT(_xlpm.rawIP)+MOD(ROUND(_xlpm.rawIP*3,0),3)/10)))</f>
        <v>0</v>
      </c>
    </row>
    <row r="67" spans="1:13">
      <c r="A67" s="18" t="str">
        <f>'Character List'!B55</f>
        <v>Paratroopa</v>
      </c>
      <c r="B67" s="18">
        <f>COUNTIF(Draft!$E$6:$E$77,$A67)</f>
        <v>1</v>
      </c>
      <c r="C67" s="18">
        <f ca="1">SUMIFS('Current Char Stats'!$D$4:$D$273,'Current Char Stats'!$B$4:$B$273,$A67)</f>
        <v>2</v>
      </c>
      <c r="D67" s="18">
        <f ca="1">SUMIFS('Current Char Stats'!$E$4:$E$273,'Current Char Stats'!$B$4:$B$273,$A67)</f>
        <v>0</v>
      </c>
      <c r="E67" s="61">
        <f t="shared" ca="1" si="0"/>
        <v>0</v>
      </c>
      <c r="F67" s="18">
        <f ca="1">SUMIFS('Current Char Stats'!$G$4:$G$273,'Current Char Stats'!$B$4:$B$273,$A67)</f>
        <v>0</v>
      </c>
      <c r="G67" s="18">
        <f ca="1">SUMIFS('Current Char Stats'!$H$4:$H$273,'Current Char Stats'!$B$4:$B$273,$A67)</f>
        <v>0</v>
      </c>
      <c r="H67" s="117" t="str" cm="1">
        <f t="array" ref="H67">IFERROR(_xlfn.TEXTJOIN(", ",TRUE,_xlfn.UNIQUE(_xlfn._xlws.FILTER(Draft!$D$6:$D$77,Draft!$E$6:$E$77=$A67))),"Undrafted")</f>
        <v>Justin</v>
      </c>
      <c r="I67" s="65" cm="1">
        <f t="array" aca="1" ref="I67" ca="1">IFERROR(_xlfn.LET(_xlpm.charRows,IF('Current Char Stats'!$B$4:$B$273=$A67,1,0),_xlpm.ownerCol,'Current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</v>
      </c>
      <c r="J67" s="18" t="str">
        <f ca="1">IF(AND(B67&gt;0,IFERROR(INDEX(Draft!$D$6:$D$77,MATCH($A67,Draft!$E$6:$E$77,0)),"")=IFERROR(INDEX(Bracket!$B$18:$B$25,MATCH("1st",Bracket!$A$18:$A$25,0)),""),IFERROR(INDEX(Bracket!$B$18:$B$25,MATCH("1st",Bracket!$A$18:$A$25,0)),"")&lt;&gt;""),"Yes","")</f>
        <v/>
      </c>
      <c r="K67" s="18">
        <f ca="1">COUNTIF(Bracket!$K$6:$K$16,$A67)</f>
        <v>0</v>
      </c>
      <c r="L67" s="18">
        <f ca="1">COUNTIFS(Bracket!$K$6:$K$16,$A67,Bracket!$G$6:$G$16,"CG-*")</f>
        <v>0</v>
      </c>
      <c r="M67" s="18" cm="1">
        <f t="array" aca="1" ref="M67" ca="1">IF($A67="","",_xlfn.LET(_xlpm.rawIP,SUMPRODUCT(--(Data!$AM$4:$AM$183=$A67),IFERROR(Data!$AN$4:$AN$183,0)),IF(_xlpm.rawIP=0,0,INT(_xlpm.rawIP)+MOD(ROUND(_xlpm.rawIP*3,0),3)/10)))</f>
        <v>0</v>
      </c>
    </row>
    <row r="68" spans="1:13">
      <c r="A68" s="18" t="str">
        <f>'Character List'!B56</f>
        <v>Red Noki</v>
      </c>
      <c r="B68" s="18">
        <f>COUNTIF(Draft!$E$6:$E$77,$A68)</f>
        <v>0</v>
      </c>
      <c r="C68" s="18">
        <f ca="1">SUMIFS('Current Char Stats'!$D$4:$D$273,'Current Char Stats'!$B$4:$B$273,$A68)</f>
        <v>0</v>
      </c>
      <c r="D68" s="18">
        <f ca="1">SUMIFS('Current Char Stats'!$E$4:$E$273,'Current Char Stats'!$B$4:$B$273,$A68)</f>
        <v>0</v>
      </c>
      <c r="E68" s="61">
        <f t="shared" ca="1" si="0"/>
        <v>0</v>
      </c>
      <c r="F68" s="18">
        <f ca="1">SUMIFS('Current Char Stats'!$G$4:$G$273,'Current Char Stats'!$B$4:$B$273,$A68)</f>
        <v>0</v>
      </c>
      <c r="G68" s="18">
        <f ca="1">SUMIFS('Current Char Stats'!$H$4:$H$273,'Current Char Stats'!$B$4:$B$273,$A68)</f>
        <v>0</v>
      </c>
      <c r="H68" s="118" t="str" cm="1">
        <f t="array" ref="H68">IFERROR(_xlfn.TEXTJOIN(", ",TRUE,_xlfn.UNIQUE(_xlfn._xlws.FILTER(Draft!$D$6:$D$77,Draft!$E$6:$E$77=$A68))),"Undrafted")</f>
        <v>Undrafted</v>
      </c>
      <c r="I68" s="65" t="str" cm="1">
        <f t="array" aca="1" ref="I68" ca="1">IFERROR(_xlfn.LET(_xlpm.charRows,IF('Current Char Stats'!$B$4:$B$273=$A68,1,0),_xlpm.ownerCol,'Current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/>
      </c>
      <c r="J68" s="18" t="str">
        <f ca="1">IF(AND(B68&gt;0,IFERROR(INDEX(Draft!$D$6:$D$77,MATCH($A68,Draft!$E$6:$E$77,0)),"")=IFERROR(INDEX(Bracket!$B$18:$B$25,MATCH("1st",Bracket!$A$18:$A$25,0)),""),IFERROR(INDEX(Bracket!$B$18:$B$25,MATCH("1st",Bracket!$A$18:$A$25,0)),"")&lt;&gt;""),"Yes","")</f>
        <v/>
      </c>
      <c r="K68" s="18">
        <f ca="1">COUNTIF(Bracket!$K$6:$K$16,$A68)</f>
        <v>0</v>
      </c>
      <c r="L68" s="18">
        <f ca="1">COUNTIFS(Bracket!$K$6:$K$16,$A68,Bracket!$G$6:$G$16,"CG-*")</f>
        <v>0</v>
      </c>
      <c r="M68" s="18" cm="1">
        <f t="array" aca="1" ref="M68" ca="1">IF($A68="","",_xlfn.LET(_xlpm.rawIP,SUMPRODUCT(--(Data!$AM$4:$AM$183=$A68),IFERROR(Data!$AN$4:$AN$183,0)),IF(_xlpm.rawIP=0,0,INT(_xlpm.rawIP)+MOD(ROUND(_xlpm.rawIP*3,0),3)/10)))</f>
        <v>0</v>
      </c>
    </row>
    <row r="69" spans="1:13">
      <c r="A69" s="18" t="str">
        <f>'Character List'!B57</f>
        <v>Yellow Shy Guy</v>
      </c>
      <c r="B69" s="18">
        <f>COUNTIF(Draft!$E$6:$E$77,$A69)</f>
        <v>0</v>
      </c>
      <c r="C69" s="18">
        <f ca="1">SUMIFS('Current Char Stats'!$D$4:$D$273,'Current Char Stats'!$B$4:$B$273,$A69)</f>
        <v>0</v>
      </c>
      <c r="D69" s="18">
        <f ca="1">SUMIFS('Current Char Stats'!$E$4:$E$273,'Current Char Stats'!$B$4:$B$273,$A69)</f>
        <v>0</v>
      </c>
      <c r="E69" s="61">
        <f t="shared" ca="1" si="0"/>
        <v>0</v>
      </c>
      <c r="F69" s="18">
        <f ca="1">SUMIFS('Current Char Stats'!$G$4:$G$273,'Current Char Stats'!$B$4:$B$273,$A69)</f>
        <v>0</v>
      </c>
      <c r="G69" s="18">
        <f ca="1">SUMIFS('Current Char Stats'!$H$4:$H$273,'Current Char Stats'!$B$4:$B$273,$A69)</f>
        <v>0</v>
      </c>
      <c r="H69" s="119" t="str" cm="1">
        <f t="array" ref="H69">IFERROR(_xlfn.TEXTJOIN(", ",TRUE,_xlfn.UNIQUE(_xlfn._xlws.FILTER(Draft!$D$6:$D$77,Draft!$E$6:$E$77=$A69))),"Undrafted")</f>
        <v>Undrafted</v>
      </c>
      <c r="I69" s="65" t="str" cm="1">
        <f t="array" aca="1" ref="I69" ca="1">IFERROR(_xlfn.LET(_xlpm.charRows,IF('Current Char Stats'!$B$4:$B$273=$A69,1,0),_xlpm.ownerCol,'Current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/>
      </c>
      <c r="J69" s="18" t="str">
        <f ca="1">IF(AND(B69&gt;0,IFERROR(INDEX(Draft!$D$6:$D$77,MATCH($A69,Draft!$E$6:$E$77,0)),"")=IFERROR(INDEX(Bracket!$B$18:$B$25,MATCH("1st",Bracket!$A$18:$A$25,0)),""),IFERROR(INDEX(Bracket!$B$18:$B$25,MATCH("1st",Bracket!$A$18:$A$25,0)),"")&lt;&gt;""),"Yes","")</f>
        <v/>
      </c>
      <c r="K69" s="18">
        <f ca="1">COUNTIF(Bracket!$K$6:$K$16,$A69)</f>
        <v>0</v>
      </c>
      <c r="L69" s="18">
        <f ca="1">COUNTIFS(Bracket!$K$6:$K$16,$A69,Bracket!$G$6:$G$16,"CG-*")</f>
        <v>0</v>
      </c>
      <c r="M69" s="18" cm="1">
        <f t="array" aca="1" ref="M69" ca="1">IF($A69="","",_xlfn.LET(_xlpm.rawIP,SUMPRODUCT(--(Data!$AM$4:$AM$183=$A69),IFERROR(Data!$AN$4:$AN$183,0)),IF(_xlpm.rawIP=0,0,INT(_xlpm.rawIP)+MOD(ROUND(_xlpm.rawIP*3,0),3)/10)))</f>
        <v>0</v>
      </c>
    </row>
    <row r="70" spans="1:13">
      <c r="A70" s="18" t="str">
        <f>'Character List'!B58</f>
        <v>Yellow Yoshi</v>
      </c>
      <c r="B70" s="18">
        <f>COUNTIF(Draft!$E$6:$E$77,$A70)</f>
        <v>0</v>
      </c>
      <c r="C70" s="18">
        <f ca="1">SUMIFS('Current Char Stats'!$D$4:$D$273,'Current Char Stats'!$B$4:$B$273,$A70)</f>
        <v>0</v>
      </c>
      <c r="D70" s="18">
        <f ca="1">SUMIFS('Current Char Stats'!$E$4:$E$273,'Current Char Stats'!$B$4:$B$273,$A70)</f>
        <v>0</v>
      </c>
      <c r="E70" s="61">
        <f t="shared" ca="1" si="0"/>
        <v>0</v>
      </c>
      <c r="F70" s="18">
        <f ca="1">SUMIFS('Current Char Stats'!$G$4:$G$273,'Current Char Stats'!$B$4:$B$273,$A70)</f>
        <v>0</v>
      </c>
      <c r="G70" s="18">
        <f ca="1">SUMIFS('Current Char Stats'!$H$4:$H$273,'Current Char Stats'!$B$4:$B$273,$A70)</f>
        <v>0</v>
      </c>
      <c r="H70" s="18" t="str" cm="1">
        <f t="array" ref="H70">IFERROR(_xlfn.TEXTJOIN(", ",TRUE,_xlfn.UNIQUE(_xlfn._xlws.FILTER(Draft!$D$6:$D$77,Draft!$E$6:$E$77=$A70))),"Undrafted")</f>
        <v>Undrafted</v>
      </c>
      <c r="I70" s="65" t="str" cm="1">
        <f t="array" aca="1" ref="I70" ca="1">IFERROR(_xlfn.LET(_xlpm.charRows,IF('Current Char Stats'!$B$4:$B$273=$A70,1,0),_xlpm.ownerCol,'Current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/>
      </c>
      <c r="J70" s="18" t="str">
        <f ca="1">IF(AND(B70&gt;0,IFERROR(INDEX(Draft!$D$6:$D$77,MATCH($A70,Draft!$E$6:$E$77,0)),"")=IFERROR(INDEX(Bracket!$B$18:$B$25,MATCH("1st",Bracket!$A$18:$A$25,0)),""),IFERROR(INDEX(Bracket!$B$18:$B$25,MATCH("1st",Bracket!$A$18:$A$25,0)),"")&lt;&gt;""),"Yes","")</f>
        <v/>
      </c>
      <c r="K70" s="18">
        <f ca="1">COUNTIF(Bracket!$K$6:$K$16,$A70)</f>
        <v>0</v>
      </c>
      <c r="L70" s="18">
        <f ca="1">COUNTIFS(Bracket!$K$6:$K$16,$A70,Bracket!$G$6:$G$16,"CG-*")</f>
        <v>0</v>
      </c>
      <c r="M70" s="18" cm="1">
        <f t="array" aca="1" ref="M70" ca="1">IF($A70="","",_xlfn.LET(_xlpm.rawIP,SUMPRODUCT(--(Data!$AM$4:$AM$183=$A70),IFERROR(Data!$AN$4:$AN$183,0)),IF(_xlpm.rawIP=0,0,INT(_xlpm.rawIP)+MOD(ROUND(_xlpm.rawIP*3,0),3)/10)))</f>
        <v>0</v>
      </c>
    </row>
    <row r="71" spans="1:13">
      <c r="A71" s="18" t="str">
        <f>'Character List'!B59</f>
        <v>Red Yoshi</v>
      </c>
      <c r="B71" s="18">
        <f>COUNTIF(Draft!$E$6:$E$77,$A71)</f>
        <v>1</v>
      </c>
      <c r="C71" s="18">
        <f ca="1">SUMIFS('Current Char Stats'!$D$4:$D$273,'Current Char Stats'!$B$4:$B$273,$A71)</f>
        <v>4</v>
      </c>
      <c r="D71" s="18">
        <f ca="1">SUMIFS('Current Char Stats'!$E$4:$E$273,'Current Char Stats'!$B$4:$B$273,$A71)</f>
        <v>3</v>
      </c>
      <c r="E71" s="61">
        <f t="shared" ca="1" si="0"/>
        <v>1</v>
      </c>
      <c r="F71" s="18">
        <f ca="1">SUMIFS('Current Char Stats'!$G$4:$G$273,'Current Char Stats'!$B$4:$B$273,$A71)</f>
        <v>0</v>
      </c>
      <c r="G71" s="18">
        <f ca="1">SUMIFS('Current Char Stats'!$H$4:$H$273,'Current Char Stats'!$B$4:$B$273,$A71)</f>
        <v>0</v>
      </c>
      <c r="H71" s="18" t="str" cm="1">
        <f t="array" ref="H71">IFERROR(_xlfn.TEXTJOIN(", ",TRUE,_xlfn.UNIQUE(_xlfn._xlws.FILTER(Draft!$D$6:$D$77,Draft!$E$6:$E$77=$A71))),"Undrafted")</f>
        <v>May</v>
      </c>
      <c r="I71" s="65" cm="1">
        <f t="array" aca="1" ref="I71" ca="1">IFERROR(_xlfn.LET(_xlpm.charRows,IF('Current Char Stats'!$B$4:$B$273=$A71,1,0),_xlpm.ownerCol,'Current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0.75</v>
      </c>
      <c r="J71" s="18" t="str">
        <f ca="1">IF(AND(B71&gt;0,IFERROR(INDEX(Draft!$D$6:$D$77,MATCH($A71,Draft!$E$6:$E$77,0)),"")=IFERROR(INDEX(Bracket!$B$18:$B$25,MATCH("1st",Bracket!$A$18:$A$25,0)),""),IFERROR(INDEX(Bracket!$B$18:$B$25,MATCH("1st",Bracket!$A$18:$A$25,0)),"")&lt;&gt;""),"Yes","")</f>
        <v/>
      </c>
      <c r="K71" s="18">
        <f ca="1">COUNTIF(Bracket!$K$6:$K$16,$A71)</f>
        <v>0</v>
      </c>
      <c r="L71" s="18">
        <f ca="1">COUNTIFS(Bracket!$K$6:$K$16,$A71,Bracket!$G$6:$G$16,"CG-*")</f>
        <v>0</v>
      </c>
      <c r="M71" s="18" cm="1">
        <f t="array" aca="1" ref="M71" ca="1">IF($A71="","",_xlfn.LET(_xlpm.rawIP,SUMPRODUCT(--(Data!$AM$4:$AM$183=$A71),IFERROR(Data!$AN$4:$AN$183,0)),IF(_xlpm.rawIP=0,0,INT(_xlpm.rawIP)+MOD(ROUND(_xlpm.rawIP*3,0),3)/10)))</f>
        <v>0</v>
      </c>
    </row>
    <row r="72" spans="1:13">
      <c r="A72" s="18" t="str">
        <f>'Character List'!B60</f>
        <v>Paragoomba</v>
      </c>
      <c r="B72" s="18">
        <f>COUNTIF(Draft!$E$6:$E$77,$A72)</f>
        <v>1</v>
      </c>
      <c r="C72" s="18">
        <f ca="1">SUMIFS('Current Char Stats'!$D$4:$D$273,'Current Char Stats'!$B$4:$B$273,$A72)</f>
        <v>1</v>
      </c>
      <c r="D72" s="18">
        <f ca="1">SUMIFS('Current Char Stats'!$E$4:$E$273,'Current Char Stats'!$B$4:$B$273,$A72)</f>
        <v>0</v>
      </c>
      <c r="E72" s="61">
        <f t="shared" ca="1" si="0"/>
        <v>0</v>
      </c>
      <c r="F72" s="18">
        <f ca="1">SUMIFS('Current Char Stats'!$G$4:$G$273,'Current Char Stats'!$B$4:$B$273,$A72)</f>
        <v>0</v>
      </c>
      <c r="G72" s="18">
        <f ca="1">SUMIFS('Current Char Stats'!$H$4:$H$273,'Current Char Stats'!$B$4:$B$273,$A72)</f>
        <v>0</v>
      </c>
      <c r="H72" s="18" t="str" cm="1">
        <f t="array" ref="H72">IFERROR(_xlfn.TEXTJOIN(", ",TRUE,_xlfn.UNIQUE(_xlfn._xlws.FILTER(Draft!$D$6:$D$77,Draft!$E$6:$E$77=$A72))),"Undrafted")</f>
        <v>Donovan</v>
      </c>
      <c r="I72" s="65" cm="1">
        <f t="array" aca="1" ref="I72" ca="1">IFERROR(_xlfn.LET(_xlpm.charRows,IF('Current Char Stats'!$B$4:$B$273=$A72,1,0),_xlpm.ownerCol,'Current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0.33333333333333331</v>
      </c>
      <c r="J72" s="18" t="str">
        <f ca="1">IF(AND(B72&gt;0,IFERROR(INDEX(Draft!$D$6:$D$77,MATCH($A72,Draft!$E$6:$E$77,0)),"")=IFERROR(INDEX(Bracket!$B$18:$B$25,MATCH("1st",Bracket!$A$18:$A$25,0)),""),IFERROR(INDEX(Bracket!$B$18:$B$25,MATCH("1st",Bracket!$A$18:$A$25,0)),"")&lt;&gt;""),"Yes","")</f>
        <v/>
      </c>
      <c r="K72" s="18">
        <f ca="1">COUNTIF(Bracket!$K$6:$K$16,$A72)</f>
        <v>0</v>
      </c>
      <c r="L72" s="18">
        <f ca="1">COUNTIFS(Bracket!$K$6:$K$16,$A72,Bracket!$G$6:$G$16,"CG-*")</f>
        <v>0</v>
      </c>
      <c r="M72" s="18" cm="1">
        <f t="array" aca="1" ref="M72" ca="1">IF($A72="","",_xlfn.LET(_xlpm.rawIP,SUMPRODUCT(--(Data!$AM$4:$AM$183=$A72),IFERROR(Data!$AN$4:$AN$183,0)),IF(_xlpm.rawIP=0,0,INT(_xlpm.rawIP)+MOD(ROUND(_xlpm.rawIP*3,0),3)/10)))</f>
        <v>0</v>
      </c>
    </row>
    <row r="73" spans="1:13">
      <c r="A73" s="18" t="str">
        <f>'Character List'!B61</f>
        <v>Baby Mario</v>
      </c>
      <c r="B73" s="18">
        <f>COUNTIF(Draft!$E$6:$E$77,$A73)</f>
        <v>1</v>
      </c>
      <c r="C73" s="18">
        <f ca="1">SUMIFS('Current Char Stats'!$D$4:$D$273,'Current Char Stats'!$B$4:$B$273,$A73)</f>
        <v>6</v>
      </c>
      <c r="D73" s="18">
        <f ca="1">SUMIFS('Current Char Stats'!$E$4:$E$273,'Current Char Stats'!$B$4:$B$273,$A73)</f>
        <v>1</v>
      </c>
      <c r="E73" s="61">
        <f t="shared" ca="1" si="0"/>
        <v>0.16666666666666666</v>
      </c>
      <c r="F73" s="18">
        <f ca="1">SUMIFS('Current Char Stats'!$G$4:$G$273,'Current Char Stats'!$B$4:$B$273,$A73)</f>
        <v>0</v>
      </c>
      <c r="G73" s="18">
        <f ca="1">SUMIFS('Current Char Stats'!$H$4:$H$273,'Current Char Stats'!$B$4:$B$273,$A73)</f>
        <v>0</v>
      </c>
      <c r="H73" s="18" t="str" cm="1">
        <f t="array" ref="H73">IFERROR(_xlfn.TEXTJOIN(", ",TRUE,_xlfn.UNIQUE(_xlfn._xlws.FILTER(Draft!$D$6:$D$77,Draft!$E$6:$E$77=$A73))),"Undrafted")</f>
        <v>Jason</v>
      </c>
      <c r="I73" s="65" cm="1">
        <f t="array" aca="1" ref="I73" ca="1">IFERROR(_xlfn.LET(_xlpm.charRows,IF('Current Char Stats'!$B$4:$B$273=$A73,1,0),_xlpm.ownerCol,'Current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0.25</v>
      </c>
      <c r="J73" s="18" t="str">
        <f ca="1">IF(AND(B73&gt;0,IFERROR(INDEX(Draft!$D$6:$D$77,MATCH($A73,Draft!$E$6:$E$77,0)),"")=IFERROR(INDEX(Bracket!$B$18:$B$25,MATCH("1st",Bracket!$A$18:$A$25,0)),""),IFERROR(INDEX(Bracket!$B$18:$B$25,MATCH("1st",Bracket!$A$18:$A$25,0)),"")&lt;&gt;""),"Yes","")</f>
        <v>Yes</v>
      </c>
      <c r="K73" s="18">
        <f ca="1">COUNTIF(Bracket!$K$6:$K$16,$A73)</f>
        <v>0</v>
      </c>
      <c r="L73" s="18">
        <f ca="1">COUNTIFS(Bracket!$K$6:$K$16,$A73,Bracket!$G$6:$G$16,"CG-*")</f>
        <v>0</v>
      </c>
      <c r="M73" s="18" cm="1">
        <f t="array" aca="1" ref="M73" ca="1">IF($A73="","",_xlfn.LET(_xlpm.rawIP,SUMPRODUCT(--(Data!$AM$4:$AM$183=$A73),IFERROR(Data!$AN$4:$AN$183,0)),IF(_xlpm.rawIP=0,0,INT(_xlpm.rawIP)+MOD(ROUND(_xlpm.rawIP*3,0),3)/10)))</f>
        <v>0</v>
      </c>
    </row>
    <row r="74" spans="1:13">
      <c r="A74" s="18" t="str">
        <f>'Character List'!B62</f>
        <v>Boo</v>
      </c>
      <c r="B74" s="18">
        <f>COUNTIF(Draft!$E$6:$E$77,$A74)</f>
        <v>1</v>
      </c>
      <c r="C74" s="18">
        <f ca="1">SUMIFS('Current Char Stats'!$D$4:$D$273,'Current Char Stats'!$B$4:$B$273,$A74)</f>
        <v>2</v>
      </c>
      <c r="D74" s="18">
        <f ca="1">SUMIFS('Current Char Stats'!$E$4:$E$273,'Current Char Stats'!$B$4:$B$273,$A74)</f>
        <v>1</v>
      </c>
      <c r="E74" s="61">
        <f t="shared" ca="1" si="0"/>
        <v>1</v>
      </c>
      <c r="F74" s="18">
        <f ca="1">SUMIFS('Current Char Stats'!$G$4:$G$273,'Current Char Stats'!$B$4:$B$273,$A74)</f>
        <v>1</v>
      </c>
      <c r="G74" s="18">
        <f ca="1">SUMIFS('Current Char Stats'!$H$4:$H$273,'Current Char Stats'!$B$4:$B$273,$A74)</f>
        <v>1</v>
      </c>
      <c r="H74" s="18" t="str" cm="1">
        <f t="array" ref="H74">IFERROR(_xlfn.TEXTJOIN(", ",TRUE,_xlfn.UNIQUE(_xlfn._xlws.FILTER(Draft!$D$6:$D$77,Draft!$E$6:$E$77=$A74))),"Undrafted")</f>
        <v>Justin</v>
      </c>
      <c r="I74" s="65" cm="1">
        <f t="array" aca="1" ref="I74" ca="1">IFERROR(_xlfn.LET(_xlpm.charRows,IF('Current Char Stats'!$B$4:$B$273=$A74,1,0),_xlpm.ownerCol,'Current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</v>
      </c>
      <c r="J74" s="18" t="str">
        <f ca="1">IF(AND(B74&gt;0,IFERROR(INDEX(Draft!$D$6:$D$77,MATCH($A74,Draft!$E$6:$E$77,0)),"")=IFERROR(INDEX(Bracket!$B$18:$B$25,MATCH("1st",Bracket!$A$18:$A$25,0)),""),IFERROR(INDEX(Bracket!$B$18:$B$25,MATCH("1st",Bracket!$A$18:$A$25,0)),"")&lt;&gt;""),"Yes","")</f>
        <v/>
      </c>
      <c r="K74" s="18">
        <f ca="1">COUNTIF(Bracket!$K$6:$K$16,$A74)</f>
        <v>0</v>
      </c>
      <c r="L74" s="18">
        <f ca="1">COUNTIFS(Bracket!$K$6:$K$16,$A74,Bracket!$G$6:$G$16,"CG-*")</f>
        <v>0</v>
      </c>
      <c r="M74" s="18" cm="1">
        <f t="array" aca="1" ref="M74" ca="1">IF($A74="","",_xlfn.LET(_xlpm.rawIP,SUMPRODUCT(--(Data!$AM$4:$AM$183=$A74),IFERROR(Data!$AN$4:$AN$183,0)),IF(_xlpm.rawIP=0,0,INT(_xlpm.rawIP)+MOD(ROUND(_xlpm.rawIP*3,0),3)/10)))</f>
        <v>4.0999999999999996</v>
      </c>
    </row>
    <row r="75" spans="1:13">
      <c r="A75" s="18" t="str">
        <f>'Character List'!B63</f>
        <v>Light-Blue Yoshi</v>
      </c>
      <c r="B75" s="18">
        <f>COUNTIF(Draft!$E$6:$E$77,$A75)</f>
        <v>0</v>
      </c>
      <c r="C75" s="18">
        <f ca="1">SUMIFS('Current Char Stats'!$D$4:$D$273,'Current Char Stats'!$B$4:$B$273,$A75)</f>
        <v>0</v>
      </c>
      <c r="D75" s="18">
        <f ca="1">SUMIFS('Current Char Stats'!$E$4:$E$273,'Current Char Stats'!$B$4:$B$273,$A75)</f>
        <v>0</v>
      </c>
      <c r="E75" s="61">
        <f t="shared" ca="1" si="0"/>
        <v>0</v>
      </c>
      <c r="F75" s="18">
        <f ca="1">SUMIFS('Current Char Stats'!$G$4:$G$273,'Current Char Stats'!$B$4:$B$273,$A75)</f>
        <v>0</v>
      </c>
      <c r="G75" s="18">
        <f ca="1">SUMIFS('Current Char Stats'!$H$4:$H$273,'Current Char Stats'!$B$4:$B$273,$A75)</f>
        <v>0</v>
      </c>
      <c r="H75" s="18" t="str" cm="1">
        <f t="array" ref="H75">IFERROR(_xlfn.TEXTJOIN(", ",TRUE,_xlfn.UNIQUE(_xlfn._xlws.FILTER(Draft!$D$6:$D$77,Draft!$E$6:$E$77=$A75))),"Undrafted")</f>
        <v>Undrafted</v>
      </c>
      <c r="I75" s="65" t="str" cm="1">
        <f t="array" aca="1" ref="I75" ca="1">IFERROR(_xlfn.LET(_xlpm.charRows,IF('Current Char Stats'!$B$4:$B$273=$A75,1,0),_xlpm.ownerCol,'Current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/>
      </c>
      <c r="J75" s="18" t="str">
        <f ca="1">IF(AND(B75&gt;0,IFERROR(INDEX(Draft!$D$6:$D$77,MATCH($A75,Draft!$E$6:$E$77,0)),"")=IFERROR(INDEX(Bracket!$B$18:$B$25,MATCH("1st",Bracket!$A$18:$A$25,0)),""),IFERROR(INDEX(Bracket!$B$18:$B$25,MATCH("1st",Bracket!$A$18:$A$25,0)),"")&lt;&gt;""),"Yes","")</f>
        <v/>
      </c>
      <c r="K75" s="18">
        <f ca="1">COUNTIF(Bracket!$K$6:$K$16,$A75)</f>
        <v>0</v>
      </c>
      <c r="L75" s="18">
        <f ca="1">COUNTIFS(Bracket!$K$6:$K$16,$A75,Bracket!$G$6:$G$16,"CG-*")</f>
        <v>0</v>
      </c>
      <c r="M75" s="18" cm="1">
        <f t="array" aca="1" ref="M75" ca="1">IF($A75="","",_xlfn.LET(_xlpm.rawIP,SUMPRODUCT(--(Data!$AM$4:$AM$183=$A75),IFERROR(Data!$AN$4:$AN$183,0)),IF(_xlpm.rawIP=0,0,INT(_xlpm.rawIP)+MOD(ROUND(_xlpm.rawIP*3,0),3)/10)))</f>
        <v>0</v>
      </c>
    </row>
    <row r="76" spans="1:13">
      <c r="A76" s="18" t="str">
        <f>'Character List'!B64</f>
        <v>Pink Yoshi</v>
      </c>
      <c r="B76" s="18">
        <f>COUNTIF(Draft!$E$6:$E$77,$A76)</f>
        <v>1</v>
      </c>
      <c r="C76" s="18">
        <f ca="1">SUMIFS('Current Char Stats'!$D$4:$D$273,'Current Char Stats'!$B$4:$B$273,$A76)</f>
        <v>2</v>
      </c>
      <c r="D76" s="18">
        <f ca="1">SUMIFS('Current Char Stats'!$E$4:$E$273,'Current Char Stats'!$B$4:$B$273,$A76)</f>
        <v>0</v>
      </c>
      <c r="E76" s="61">
        <f t="shared" ca="1" si="0"/>
        <v>0</v>
      </c>
      <c r="F76" s="18">
        <f ca="1">SUMIFS('Current Char Stats'!$G$4:$G$273,'Current Char Stats'!$B$4:$B$273,$A76)</f>
        <v>0</v>
      </c>
      <c r="G76" s="18">
        <f ca="1">SUMIFS('Current Char Stats'!$H$4:$H$273,'Current Char Stats'!$B$4:$B$273,$A76)</f>
        <v>0</v>
      </c>
      <c r="H76" s="18" t="str" cm="1">
        <f t="array" ref="H76">IFERROR(_xlfn.TEXTJOIN(", ",TRUE,_xlfn.UNIQUE(_xlfn._xlws.FILTER(Draft!$D$6:$D$77,Draft!$E$6:$E$77=$A76))),"Undrafted")</f>
        <v>Aidan</v>
      </c>
      <c r="I76" s="65" cm="1">
        <f t="array" aca="1" ref="I76" ca="1">IFERROR(_xlfn.LET(_xlpm.charRows,IF('Current Char Stats'!$B$4:$B$273=$A76,1,0),_xlpm.ownerCol,'Current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0.33333333333333331</v>
      </c>
      <c r="J76" s="18" t="str">
        <f ca="1">IF(AND(B76&gt;0,IFERROR(INDEX(Draft!$D$6:$D$77,MATCH($A76,Draft!$E$6:$E$77,0)),"")=IFERROR(INDEX(Bracket!$B$18:$B$25,MATCH("1st",Bracket!$A$18:$A$25,0)),""),IFERROR(INDEX(Bracket!$B$18:$B$25,MATCH("1st",Bracket!$A$18:$A$25,0)),"")&lt;&gt;""),"Yes","")</f>
        <v/>
      </c>
      <c r="K76" s="18">
        <f ca="1">COUNTIF(Bracket!$K$6:$K$16,$A76)</f>
        <v>0</v>
      </c>
      <c r="L76" s="18">
        <f ca="1">COUNTIFS(Bracket!$K$6:$K$16,$A76,Bracket!$G$6:$G$16,"CG-*")</f>
        <v>0</v>
      </c>
      <c r="M76" s="18" cm="1">
        <f t="array" aca="1" ref="M76" ca="1">IF($A76="","",_xlfn.LET(_xlpm.rawIP,SUMPRODUCT(--(Data!$AM$4:$AM$183=$A76),IFERROR(Data!$AN$4:$AN$183,0)),IF(_xlpm.rawIP=0,0,INT(_xlpm.rawIP)+MOD(ROUND(_xlpm.rawIP*3,0),3)/10)))</f>
        <v>0</v>
      </c>
    </row>
    <row r="77" spans="1:13">
      <c r="A77" s="18" t="str">
        <f>'Character List'!B65</f>
        <v>Red Magikoopa</v>
      </c>
      <c r="B77" s="18">
        <f>COUNTIF(Draft!$E$6:$E$77,$A77)</f>
        <v>1</v>
      </c>
      <c r="C77" s="18">
        <f ca="1">SUMIFS('Current Char Stats'!$D$4:$D$273,'Current Char Stats'!$B$4:$B$273,$A77)</f>
        <v>2</v>
      </c>
      <c r="D77" s="18">
        <f ca="1">SUMIFS('Current Char Stats'!$E$4:$E$273,'Current Char Stats'!$B$4:$B$273,$A77)</f>
        <v>1</v>
      </c>
      <c r="E77" s="61">
        <f t="shared" ca="1" si="0"/>
        <v>0.5</v>
      </c>
      <c r="F77" s="18">
        <f ca="1">SUMIFS('Current Char Stats'!$G$4:$G$273,'Current Char Stats'!$B$4:$B$273,$A77)</f>
        <v>0</v>
      </c>
      <c r="G77" s="18">
        <f ca="1">SUMIFS('Current Char Stats'!$H$4:$H$273,'Current Char Stats'!$B$4:$B$273,$A77)</f>
        <v>0</v>
      </c>
      <c r="H77" s="18" t="str" cm="1">
        <f t="array" ref="H77">IFERROR(_xlfn.TEXTJOIN(", ",TRUE,_xlfn.UNIQUE(_xlfn._xlws.FILTER(Draft!$D$6:$D$77,Draft!$E$6:$E$77=$A77))),"Undrafted")</f>
        <v>Aidan</v>
      </c>
      <c r="I77" s="65" cm="1">
        <f t="array" aca="1" ref="I77" ca="1">IFERROR(_xlfn.LET(_xlpm.charRows,IF('Current Char Stats'!$B$4:$B$273=$A77,1,0),_xlpm.ownerCol,'Current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0.33333333333333331</v>
      </c>
      <c r="J77" s="18" t="str">
        <f ca="1">IF(AND(B77&gt;0,IFERROR(INDEX(Draft!$D$6:$D$77,MATCH($A77,Draft!$E$6:$E$77,0)),"")=IFERROR(INDEX(Bracket!$B$18:$B$25,MATCH("1st",Bracket!$A$18:$A$25,0)),""),IFERROR(INDEX(Bracket!$B$18:$B$25,MATCH("1st",Bracket!$A$18:$A$25,0)),"")&lt;&gt;""),"Yes","")</f>
        <v/>
      </c>
      <c r="K77" s="18">
        <f ca="1">COUNTIF(Bracket!$K$6:$K$16,$A77)</f>
        <v>0</v>
      </c>
      <c r="L77" s="18">
        <f ca="1">COUNTIFS(Bracket!$K$6:$K$16,$A77,Bracket!$G$6:$G$16,"CG-*")</f>
        <v>0</v>
      </c>
      <c r="M77" s="18" cm="1">
        <f t="array" aca="1" ref="M77" ca="1">IF($A77="","",_xlfn.LET(_xlpm.rawIP,SUMPRODUCT(--(Data!$AM$4:$AM$183=$A77),IFERROR(Data!$AN$4:$AN$183,0)),IF(_xlpm.rawIP=0,0,INT(_xlpm.rawIP)+MOD(ROUND(_xlpm.rawIP*3,0),3)/10)))</f>
        <v>4.2</v>
      </c>
    </row>
    <row r="78" spans="1:13">
      <c r="A78" s="18" t="str">
        <f>'Character List'!B66</f>
        <v>Toadette</v>
      </c>
      <c r="B78" s="18">
        <f>COUNTIF(Draft!$E$6:$E$77,$A78)</f>
        <v>1</v>
      </c>
      <c r="C78" s="18">
        <f ca="1">SUMIFS('Current Char Stats'!$D$4:$D$273,'Current Char Stats'!$B$4:$B$273,$A78)</f>
        <v>5</v>
      </c>
      <c r="D78" s="18">
        <f ca="1">SUMIFS('Current Char Stats'!$E$4:$E$273,'Current Char Stats'!$B$4:$B$273,$A78)</f>
        <v>3</v>
      </c>
      <c r="E78" s="61">
        <f t="shared" ca="1" si="0"/>
        <v>0.6</v>
      </c>
      <c r="F78" s="18">
        <f ca="1">SUMIFS('Current Char Stats'!$G$4:$G$273,'Current Char Stats'!$B$4:$B$273,$A78)</f>
        <v>0</v>
      </c>
      <c r="G78" s="18">
        <f ca="1">SUMIFS('Current Char Stats'!$H$4:$H$273,'Current Char Stats'!$B$4:$B$273,$A78)</f>
        <v>0</v>
      </c>
      <c r="H78" s="18" t="str" cm="1">
        <f t="array" ref="H78">IFERROR(_xlfn.TEXTJOIN(", ",TRUE,_xlfn.UNIQUE(_xlfn._xlws.FILTER(Draft!$D$6:$D$77,Draft!$E$6:$E$77=$A78))),"Undrafted")</f>
        <v>Nick</v>
      </c>
      <c r="I78" s="65" cm="1">
        <f t="array" aca="1" ref="I78" ca="1">IFERROR(_xlfn.LET(_xlpm.charRows,IF('Current Char Stats'!$B$4:$B$273=$A78,1,0),_xlpm.ownerCol,'Current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0.75</v>
      </c>
      <c r="J78" s="18" t="str">
        <f ca="1">IF(AND(B78&gt;0,IFERROR(INDEX(Draft!$D$6:$D$77,MATCH($A78,Draft!$E$6:$E$77,0)),"")=IFERROR(INDEX(Bracket!$B$18:$B$25,MATCH("1st",Bracket!$A$18:$A$25,0)),""),IFERROR(INDEX(Bracket!$B$18:$B$25,MATCH("1st",Bracket!$A$18:$A$25,0)),"")&lt;&gt;""),"Yes","")</f>
        <v/>
      </c>
      <c r="K78" s="18">
        <f ca="1">COUNTIF(Bracket!$K$6:$K$16,$A78)</f>
        <v>0</v>
      </c>
      <c r="L78" s="18">
        <f ca="1">COUNTIFS(Bracket!$K$6:$K$16,$A78,Bracket!$G$6:$G$16,"CG-*")</f>
        <v>0</v>
      </c>
      <c r="M78" s="18" cm="1">
        <f t="array" aca="1" ref="M78" ca="1">IF($A78="","",_xlfn.LET(_xlpm.rawIP,SUMPRODUCT(--(Data!$AM$4:$AM$183=$A78),IFERROR(Data!$AN$4:$AN$183,0)),IF(_xlpm.rawIP=0,0,INT(_xlpm.rawIP)+MOD(ROUND(_xlpm.rawIP*3,0),3)/10)))</f>
        <v>0</v>
      </c>
    </row>
    <row r="79" spans="1:13">
      <c r="A79" s="18" t="str">
        <f>'Character List'!B67</f>
        <v>Toadsworth</v>
      </c>
      <c r="B79" s="18">
        <f>COUNTIF(Draft!$E$6:$E$77,$A79)</f>
        <v>0</v>
      </c>
      <c r="C79" s="18">
        <f ca="1">SUMIFS('Current Char Stats'!$D$4:$D$273,'Current Char Stats'!$B$4:$B$273,$A79)</f>
        <v>0</v>
      </c>
      <c r="D79" s="18">
        <f ca="1">SUMIFS('Current Char Stats'!$E$4:$E$273,'Current Char Stats'!$B$4:$B$273,$A79)</f>
        <v>0</v>
      </c>
      <c r="E79" s="61">
        <f t="shared" ca="1" si="0"/>
        <v>0</v>
      </c>
      <c r="F79" s="18">
        <f ca="1">SUMIFS('Current Char Stats'!$G$4:$G$273,'Current Char Stats'!$B$4:$B$273,$A79)</f>
        <v>0</v>
      </c>
      <c r="G79" s="18">
        <f ca="1">SUMIFS('Current Char Stats'!$H$4:$H$273,'Current Char Stats'!$B$4:$B$273,$A79)</f>
        <v>0</v>
      </c>
      <c r="H79" s="18" t="str" cm="1">
        <f t="array" ref="H79">IFERROR(_xlfn.TEXTJOIN(", ",TRUE,_xlfn.UNIQUE(_xlfn._xlws.FILTER(Draft!$D$6:$D$77,Draft!$E$6:$E$77=$A79))),"Undrafted")</f>
        <v>Undrafted</v>
      </c>
      <c r="I79" s="65" t="str" cm="1">
        <f t="array" aca="1" ref="I79" ca="1">IFERROR(_xlfn.LET(_xlpm.charRows,IF('Current Char Stats'!$B$4:$B$273=$A79,1,0),_xlpm.ownerCol,'Current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/>
      </c>
      <c r="J79" s="18" t="str">
        <f ca="1">IF(AND(B79&gt;0,IFERROR(INDEX(Draft!$D$6:$D$77,MATCH($A79,Draft!$E$6:$E$77,0)),"")=IFERROR(INDEX(Bracket!$B$18:$B$25,MATCH("1st",Bracket!$A$18:$A$25,0)),""),IFERROR(INDEX(Bracket!$B$18:$B$25,MATCH("1st",Bracket!$A$18:$A$25,0)),"")&lt;&gt;""),"Yes","")</f>
        <v/>
      </c>
      <c r="K79" s="18">
        <f ca="1">COUNTIF(Bracket!$K$6:$K$16,$A79)</f>
        <v>0</v>
      </c>
      <c r="L79" s="18">
        <f ca="1">COUNTIFS(Bracket!$K$6:$K$16,$A79,Bracket!$G$6:$G$16,"CG-*")</f>
        <v>0</v>
      </c>
      <c r="M79" s="18" cm="1">
        <f t="array" aca="1" ref="M79" ca="1">IF($A79="","",_xlfn.LET(_xlpm.rawIP,SUMPRODUCT(--(Data!$AM$4:$AM$183=$A79),IFERROR(Data!$AN$4:$AN$183,0)),IF(_xlpm.rawIP=0,0,INT(_xlpm.rawIP)+MOD(ROUND(_xlpm.rawIP*3,0),3)/10)))</f>
        <v>0</v>
      </c>
    </row>
    <row r="80" spans="1:13">
      <c r="A80" s="18" t="str">
        <f>'Character List'!B68</f>
        <v>Yellow Magikoopa</v>
      </c>
      <c r="B80" s="18">
        <f>COUNTIF(Draft!$E$6:$E$77,$A80)</f>
        <v>1</v>
      </c>
      <c r="C80" s="18">
        <f ca="1">SUMIFS('Current Char Stats'!$D$4:$D$273,'Current Char Stats'!$B$4:$B$273,$A80)</f>
        <v>2</v>
      </c>
      <c r="D80" s="18">
        <f ca="1">SUMIFS('Current Char Stats'!$E$4:$E$273,'Current Char Stats'!$B$4:$B$273,$A80)</f>
        <v>2</v>
      </c>
      <c r="E80" s="61">
        <f t="shared" ca="1" si="0"/>
        <v>1</v>
      </c>
      <c r="F80" s="18">
        <f ca="1">SUMIFS('Current Char Stats'!$G$4:$G$273,'Current Char Stats'!$B$4:$B$273,$A80)</f>
        <v>1</v>
      </c>
      <c r="G80" s="18">
        <f ca="1">SUMIFS('Current Char Stats'!$H$4:$H$273,'Current Char Stats'!$B$4:$B$273,$A80)</f>
        <v>1</v>
      </c>
      <c r="H80" s="18" t="str" cm="1">
        <f t="array" ref="H80">IFERROR(_xlfn.TEXTJOIN(", ",TRUE,_xlfn.UNIQUE(_xlfn._xlws.FILTER(Draft!$D$6:$D$77,Draft!$E$6:$E$77=$A80))),"Undrafted")</f>
        <v>Justin</v>
      </c>
      <c r="I80" s="65" cm="1">
        <f t="array" aca="1" ref="I80" ca="1">IFERROR(_xlfn.LET(_xlpm.charRows,IF('Current Char Stats'!$B$4:$B$273=$A80,1,0),_xlpm.ownerCol,'Current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</v>
      </c>
      <c r="J80" s="18" t="str">
        <f ca="1">IF(AND(B80&gt;0,IFERROR(INDEX(Draft!$D$6:$D$77,MATCH($A80,Draft!$E$6:$E$77,0)),"")=IFERROR(INDEX(Bracket!$B$18:$B$25,MATCH("1st",Bracket!$A$18:$A$25,0)),""),IFERROR(INDEX(Bracket!$B$18:$B$25,MATCH("1st",Bracket!$A$18:$A$25,0)),"")&lt;&gt;""),"Yes","")</f>
        <v/>
      </c>
      <c r="K80" s="18">
        <f ca="1">COUNTIF(Bracket!$K$6:$K$16,$A80)</f>
        <v>0</v>
      </c>
      <c r="L80" s="18">
        <f ca="1">COUNTIFS(Bracket!$K$6:$K$16,$A80,Bracket!$G$6:$G$16,"CG-*")</f>
        <v>0</v>
      </c>
      <c r="M80" s="18" cm="1">
        <f t="array" aca="1" ref="M80" ca="1">IF($A80="","",_xlfn.LET(_xlpm.rawIP,SUMPRODUCT(--(Data!$AM$4:$AM$183=$A80),IFERROR(Data!$AN$4:$AN$183,0)),IF(_xlpm.rawIP=0,0,INT(_xlpm.rawIP)+MOD(ROUND(_xlpm.rawIP*3,0),3)/10)))</f>
        <v>0</v>
      </c>
    </row>
    <row r="81" spans="1:13">
      <c r="A81" s="18" t="str">
        <f>'Character List'!B69</f>
        <v>Goomba</v>
      </c>
      <c r="B81" s="18">
        <f>COUNTIF(Draft!$E$6:$E$77,$A81)</f>
        <v>0</v>
      </c>
      <c r="C81" s="18">
        <f ca="1">SUMIFS('Current Char Stats'!$D$4:$D$273,'Current Char Stats'!$B$4:$B$273,$A81)</f>
        <v>0</v>
      </c>
      <c r="D81" s="18">
        <f ca="1">SUMIFS('Current Char Stats'!$E$4:$E$273,'Current Char Stats'!$B$4:$B$273,$A81)</f>
        <v>0</v>
      </c>
      <c r="E81" s="61">
        <f t="shared" ref="E81:E87" ca="1" si="1">IF(C81=0,0,D81/C81)</f>
        <v>0</v>
      </c>
      <c r="F81" s="18">
        <f ca="1">SUMIFS('Current Char Stats'!$G$4:$G$273,'Current Char Stats'!$B$4:$B$273,$A81)</f>
        <v>0</v>
      </c>
      <c r="G81" s="18">
        <f ca="1">SUMIFS('Current Char Stats'!$H$4:$H$273,'Current Char Stats'!$B$4:$B$273,$A81)</f>
        <v>0</v>
      </c>
      <c r="H81" s="18" t="str" cm="1">
        <f t="array" ref="H81">IFERROR(_xlfn.TEXTJOIN(", ",TRUE,_xlfn.UNIQUE(_xlfn._xlws.FILTER(Draft!$D$6:$D$77,Draft!$E$6:$E$77=$A81))),"Undrafted")</f>
        <v>Undrafted</v>
      </c>
      <c r="I81" s="65" t="str" cm="1">
        <f t="array" aca="1" ref="I81" ca="1">IFERROR(_xlfn.LET(_xlpm.charRows,IF('Current Char Stats'!$B$4:$B$273=$A81,1,0),_xlpm.ownerCol,'Current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/>
      </c>
      <c r="J81" s="18" t="str">
        <f ca="1">IF(AND(B81&gt;0,IFERROR(INDEX(Draft!$D$6:$D$77,MATCH($A81,Draft!$E$6:$E$77,0)),"")=IFERROR(INDEX(Bracket!$B$18:$B$25,MATCH("1st",Bracket!$A$18:$A$25,0)),""),IFERROR(INDEX(Bracket!$B$18:$B$25,MATCH("1st",Bracket!$A$18:$A$25,0)),"")&lt;&gt;""),"Yes","")</f>
        <v/>
      </c>
      <c r="K81" s="18">
        <f ca="1">COUNTIF(Bracket!$K$6:$K$16,$A81)</f>
        <v>0</v>
      </c>
      <c r="L81" s="18">
        <f ca="1">COUNTIFS(Bracket!$K$6:$K$16,$A81,Bracket!$G$6:$G$16,"CG-*")</f>
        <v>0</v>
      </c>
      <c r="M81" s="18" cm="1">
        <f t="array" aca="1" ref="M81" ca="1">IF($A81="","",_xlfn.LET(_xlpm.rawIP,SUMPRODUCT(--(Data!$AM$4:$AM$183=$A81),IFERROR(Data!$AN$4:$AN$183,0)),IF(_xlpm.rawIP=0,0,INT(_xlpm.rawIP)+MOD(ROUND(_xlpm.rawIP*3,0),3)/10)))</f>
        <v>0</v>
      </c>
    </row>
    <row r="82" spans="1:13">
      <c r="A82" s="18" t="str">
        <f>'Character List'!B70</f>
        <v>Baby Peach</v>
      </c>
      <c r="B82" s="18">
        <f>COUNTIF(Draft!$E$6:$E$77,$A82)</f>
        <v>1</v>
      </c>
      <c r="C82" s="18">
        <f ca="1">SUMIFS('Current Char Stats'!$D$4:$D$273,'Current Char Stats'!$B$4:$B$273,$A82)</f>
        <v>4</v>
      </c>
      <c r="D82" s="18">
        <f ca="1">SUMIFS('Current Char Stats'!$E$4:$E$273,'Current Char Stats'!$B$4:$B$273,$A82)</f>
        <v>1</v>
      </c>
      <c r="E82" s="61">
        <f t="shared" ca="1" si="1"/>
        <v>0.25</v>
      </c>
      <c r="F82" s="18">
        <f ca="1">SUMIFS('Current Char Stats'!$G$4:$G$273,'Current Char Stats'!$B$4:$B$273,$A82)</f>
        <v>0</v>
      </c>
      <c r="G82" s="18">
        <f ca="1">SUMIFS('Current Char Stats'!$H$4:$H$273,'Current Char Stats'!$B$4:$B$273,$A82)</f>
        <v>1</v>
      </c>
      <c r="H82" s="18" t="str" cm="1">
        <f t="array" ref="H82">IFERROR(_xlfn.TEXTJOIN(", ",TRUE,_xlfn.UNIQUE(_xlfn._xlws.FILTER(Draft!$D$6:$D$77,Draft!$E$6:$E$77=$A82))),"Undrafted")</f>
        <v>May</v>
      </c>
      <c r="I82" s="65" cm="1">
        <f t="array" aca="1" ref="I82" ca="1">IFERROR(_xlfn.LET(_xlpm.charRows,IF('Current Char Stats'!$B$4:$B$273=$A82,1,0),_xlpm.ownerCol,'Current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0.75</v>
      </c>
      <c r="J82" s="18" t="str">
        <f ca="1">IF(AND(B82&gt;0,IFERROR(INDEX(Draft!$D$6:$D$77,MATCH($A82,Draft!$E$6:$E$77,0)),"")=IFERROR(INDEX(Bracket!$B$18:$B$25,MATCH("1st",Bracket!$A$18:$A$25,0)),""),IFERROR(INDEX(Bracket!$B$18:$B$25,MATCH("1st",Bracket!$A$18:$A$25,0)),"")&lt;&gt;""),"Yes","")</f>
        <v/>
      </c>
      <c r="K82" s="18">
        <f ca="1">COUNTIF(Bracket!$K$6:$K$16,$A82)</f>
        <v>0</v>
      </c>
      <c r="L82" s="18">
        <f ca="1">COUNTIFS(Bracket!$K$6:$K$16,$A82,Bracket!$G$6:$G$16,"CG-*")</f>
        <v>0</v>
      </c>
      <c r="M82" s="18" cm="1">
        <f t="array" aca="1" ref="M82" ca="1">IF($A82="","",_xlfn.LET(_xlpm.rawIP,SUMPRODUCT(--(Data!$AM$4:$AM$183=$A82),IFERROR(Data!$AN$4:$AN$183,0)),IF(_xlpm.rawIP=0,0,INT(_xlpm.rawIP)+MOD(ROUND(_xlpm.rawIP*3,0),3)/10)))</f>
        <v>3</v>
      </c>
    </row>
    <row r="83" spans="1:13">
      <c r="A83" s="18" t="str">
        <f>'Character List'!B71</f>
        <v>Baby Luigi</v>
      </c>
      <c r="B83" s="18">
        <f>COUNTIF(Draft!$E$6:$E$77,$A83)</f>
        <v>1</v>
      </c>
      <c r="C83" s="18">
        <f ca="1">SUMIFS('Current Char Stats'!$D$4:$D$273,'Current Char Stats'!$B$4:$B$273,$A83)</f>
        <v>2</v>
      </c>
      <c r="D83" s="18">
        <f ca="1">SUMIFS('Current Char Stats'!$E$4:$E$273,'Current Char Stats'!$B$4:$B$273,$A83)</f>
        <v>1</v>
      </c>
      <c r="E83" s="61">
        <f t="shared" ca="1" si="1"/>
        <v>0.5</v>
      </c>
      <c r="F83" s="18">
        <f ca="1">SUMIFS('Current Char Stats'!$G$4:$G$273,'Current Char Stats'!$B$4:$B$273,$A83)</f>
        <v>0</v>
      </c>
      <c r="G83" s="18">
        <f ca="1">SUMIFS('Current Char Stats'!$H$4:$H$273,'Current Char Stats'!$B$4:$B$273,$A83)</f>
        <v>0</v>
      </c>
      <c r="H83" s="18" t="str" cm="1">
        <f t="array" ref="H83">IFERROR(_xlfn.TEXTJOIN(", ",TRUE,_xlfn.UNIQUE(_xlfn._xlws.FILTER(Draft!$D$6:$D$77,Draft!$E$6:$E$77=$A83))),"Undrafted")</f>
        <v>Justin</v>
      </c>
      <c r="I83" s="65" cm="1">
        <f t="array" aca="1" ref="I83" ca="1">IFERROR(_xlfn.LET(_xlpm.charRows,IF('Current Char Stats'!$B$4:$B$273=$A83,1,0),_xlpm.ownerCol,'Current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</v>
      </c>
      <c r="J83" s="18" t="str">
        <f ca="1">IF(AND(B83&gt;0,IFERROR(INDEX(Draft!$D$6:$D$77,MATCH($A83,Draft!$E$6:$E$77,0)),"")=IFERROR(INDEX(Bracket!$B$18:$B$25,MATCH("1st",Bracket!$A$18:$A$25,0)),""),IFERROR(INDEX(Bracket!$B$18:$B$25,MATCH("1st",Bracket!$A$18:$A$25,0)),"")&lt;&gt;""),"Yes","")</f>
        <v/>
      </c>
      <c r="K83" s="18">
        <f ca="1">COUNTIF(Bracket!$K$6:$K$16,$A83)</f>
        <v>0</v>
      </c>
      <c r="L83" s="18">
        <f ca="1">COUNTIFS(Bracket!$K$6:$K$16,$A83,Bracket!$G$6:$G$16,"CG-*")</f>
        <v>0</v>
      </c>
      <c r="M83" s="18" cm="1">
        <f t="array" aca="1" ref="M83" ca="1">IF($A83="","",_xlfn.LET(_xlpm.rawIP,SUMPRODUCT(--(Data!$AM$4:$AM$183=$A83),IFERROR(Data!$AN$4:$AN$183,0)),IF(_xlpm.rawIP=0,0,INT(_xlpm.rawIP)+MOD(ROUND(_xlpm.rawIP*3,0),3)/10)))</f>
        <v>0</v>
      </c>
    </row>
    <row r="84" spans="1:13">
      <c r="A84" s="18" t="str">
        <f>'Character List'!B72</f>
        <v>Blue Yoshi</v>
      </c>
      <c r="B84" s="18">
        <f>COUNTIF(Draft!$E$6:$E$77,$A84)</f>
        <v>1</v>
      </c>
      <c r="C84" s="18">
        <f ca="1">SUMIFS('Current Char Stats'!$D$4:$D$273,'Current Char Stats'!$B$4:$B$273,$A84)</f>
        <v>3</v>
      </c>
      <c r="D84" s="18">
        <f ca="1">SUMIFS('Current Char Stats'!$E$4:$E$273,'Current Char Stats'!$B$4:$B$273,$A84)</f>
        <v>0</v>
      </c>
      <c r="E84" s="61">
        <f t="shared" ca="1" si="1"/>
        <v>0</v>
      </c>
      <c r="F84" s="18">
        <f ca="1">SUMIFS('Current Char Stats'!$G$4:$G$273,'Current Char Stats'!$B$4:$B$273,$A84)</f>
        <v>0</v>
      </c>
      <c r="G84" s="18">
        <f ca="1">SUMIFS('Current Char Stats'!$H$4:$H$273,'Current Char Stats'!$B$4:$B$273,$A84)</f>
        <v>0</v>
      </c>
      <c r="H84" s="18" t="str" cm="1">
        <f t="array" ref="H84">IFERROR(_xlfn.TEXTJOIN(", ",TRUE,_xlfn.UNIQUE(_xlfn._xlws.FILTER(Draft!$D$6:$D$77,Draft!$E$6:$E$77=$A84))),"Undrafted")</f>
        <v>Justin</v>
      </c>
      <c r="I84" s="65" cm="1">
        <f t="array" aca="1" ref="I84" ca="1">IFERROR(_xlfn.LET(_xlpm.charRows,IF('Current Char Stats'!$B$4:$B$273=$A84,1,0),_xlpm.ownerCol,'Current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</v>
      </c>
      <c r="J84" s="18" t="str">
        <f ca="1">IF(AND(B84&gt;0,IFERROR(INDEX(Draft!$D$6:$D$77,MATCH($A84,Draft!$E$6:$E$77,0)),"")=IFERROR(INDEX(Bracket!$B$18:$B$25,MATCH("1st",Bracket!$A$18:$A$25,0)),""),IFERROR(INDEX(Bracket!$B$18:$B$25,MATCH("1st",Bracket!$A$18:$A$25,0)),"")&lt;&gt;""),"Yes","")</f>
        <v/>
      </c>
      <c r="K84" s="18">
        <f ca="1">COUNTIF(Bracket!$K$6:$K$16,$A84)</f>
        <v>0</v>
      </c>
      <c r="L84" s="18">
        <f ca="1">COUNTIFS(Bracket!$K$6:$K$16,$A84,Bracket!$G$6:$G$16,"CG-*")</f>
        <v>0</v>
      </c>
      <c r="M84" s="18" cm="1">
        <f t="array" aca="1" ref="M84" ca="1">IF($A84="","",_xlfn.LET(_xlpm.rawIP,SUMPRODUCT(--(Data!$AM$4:$AM$183=$A84),IFERROR(Data!$AN$4:$AN$183,0)),IF(_xlpm.rawIP=0,0,INT(_xlpm.rawIP)+MOD(ROUND(_xlpm.rawIP*3,0),3)/10)))</f>
        <v>0</v>
      </c>
    </row>
    <row r="85" spans="1:13">
      <c r="A85" s="18" t="str">
        <f>'Character List'!B73</f>
        <v>Magikoopa</v>
      </c>
      <c r="B85" s="18">
        <f>COUNTIF(Draft!$E$6:$E$77,$A85)</f>
        <v>0</v>
      </c>
      <c r="C85" s="18">
        <f ca="1">SUMIFS('Current Char Stats'!$D$4:$D$273,'Current Char Stats'!$B$4:$B$273,$A85)</f>
        <v>0</v>
      </c>
      <c r="D85" s="18">
        <f ca="1">SUMIFS('Current Char Stats'!$E$4:$E$273,'Current Char Stats'!$B$4:$B$273,$A85)</f>
        <v>0</v>
      </c>
      <c r="E85" s="61">
        <f t="shared" ca="1" si="1"/>
        <v>0</v>
      </c>
      <c r="F85" s="18">
        <f ca="1">SUMIFS('Current Char Stats'!$G$4:$G$273,'Current Char Stats'!$B$4:$B$273,$A85)</f>
        <v>0</v>
      </c>
      <c r="G85" s="18">
        <f ca="1">SUMIFS('Current Char Stats'!$H$4:$H$273,'Current Char Stats'!$B$4:$B$273,$A85)</f>
        <v>0</v>
      </c>
      <c r="H85" s="18" t="str" cm="1">
        <f t="array" ref="H85">IFERROR(_xlfn.TEXTJOIN(", ",TRUE,_xlfn.UNIQUE(_xlfn._xlws.FILTER(Draft!$D$6:$D$77,Draft!$E$6:$E$77=$A85))),"Undrafted")</f>
        <v>Undrafted</v>
      </c>
      <c r="I85" s="65" t="str" cm="1">
        <f t="array" aca="1" ref="I85" ca="1">IFERROR(_xlfn.LET(_xlpm.charRows,IF('Current Char Stats'!$B$4:$B$273=$A85,1,0),_xlpm.ownerCol,'Current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/>
      </c>
      <c r="J85" s="18" t="str">
        <f ca="1">IF(AND(B85&gt;0,IFERROR(INDEX(Draft!$D$6:$D$77,MATCH($A85,Draft!$E$6:$E$77,0)),"")=IFERROR(INDEX(Bracket!$B$18:$B$25,MATCH("1st",Bracket!$A$18:$A$25,0)),""),IFERROR(INDEX(Bracket!$B$18:$B$25,MATCH("1st",Bracket!$A$18:$A$25,0)),"")&lt;&gt;""),"Yes","")</f>
        <v/>
      </c>
      <c r="K85" s="18">
        <f ca="1">COUNTIF(Bracket!$K$6:$K$16,$A85)</f>
        <v>0</v>
      </c>
      <c r="L85" s="18">
        <f ca="1">COUNTIFS(Bracket!$K$6:$K$16,$A85,Bracket!$G$6:$G$16,"CG-*")</f>
        <v>0</v>
      </c>
      <c r="M85" s="18" cm="1">
        <f t="array" aca="1" ref="M85" ca="1">IF($A85="","",_xlfn.LET(_xlpm.rawIP,SUMPRODUCT(--(Data!$AM$4:$AM$183=$A85),IFERROR(Data!$AN$4:$AN$183,0)),IF(_xlpm.rawIP=0,0,INT(_xlpm.rawIP)+MOD(ROUND(_xlpm.rawIP*3,0),3)/10)))</f>
        <v>0</v>
      </c>
    </row>
    <row r="86" spans="1:13">
      <c r="A86" s="18" t="str">
        <f>'Character List'!B74</f>
        <v>Dixie Kong</v>
      </c>
      <c r="B86" s="18">
        <f>COUNTIF(Draft!$E$6:$E$77,$A86)</f>
        <v>1</v>
      </c>
      <c r="C86" s="18">
        <f ca="1">SUMIFS('Current Char Stats'!$D$4:$D$273,'Current Char Stats'!$B$4:$B$273,$A86)</f>
        <v>1</v>
      </c>
      <c r="D86" s="18">
        <f ca="1">SUMIFS('Current Char Stats'!$E$4:$E$273,'Current Char Stats'!$B$4:$B$273,$A86)</f>
        <v>0</v>
      </c>
      <c r="E86" s="61">
        <f t="shared" ca="1" si="1"/>
        <v>0</v>
      </c>
      <c r="F86" s="18">
        <f ca="1">SUMIFS('Current Char Stats'!$G$4:$G$273,'Current Char Stats'!$B$4:$B$273,$A86)</f>
        <v>0</v>
      </c>
      <c r="G86" s="18">
        <f ca="1">SUMIFS('Current Char Stats'!$H$4:$H$273,'Current Char Stats'!$B$4:$B$273,$A86)</f>
        <v>0</v>
      </c>
      <c r="H86" s="18" t="str" cm="1">
        <f t="array" ref="H86">IFERROR(_xlfn.TEXTJOIN(", ",TRUE,_xlfn.UNIQUE(_xlfn._xlws.FILTER(Draft!$D$6:$D$77,Draft!$E$6:$E$77=$A86))),"Undrafted")</f>
        <v>Donovan</v>
      </c>
      <c r="I86" s="65" cm="1">
        <f t="array" aca="1" ref="I86" ca="1">IFERROR(_xlfn.LET(_xlpm.charRows,IF('Current Char Stats'!$B$4:$B$273=$A86,1,0),_xlpm.ownerCol,'Current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>0.33333333333333331</v>
      </c>
      <c r="J86" s="18" t="str">
        <f ca="1">IF(AND(B86&gt;0,IFERROR(INDEX(Draft!$D$6:$D$77,MATCH($A86,Draft!$E$6:$E$77,0)),"")=IFERROR(INDEX(Bracket!$B$18:$B$25,MATCH("1st",Bracket!$A$18:$A$25,0)),""),IFERROR(INDEX(Bracket!$B$18:$B$25,MATCH("1st",Bracket!$A$18:$A$25,0)),"")&lt;&gt;""),"Yes","")</f>
        <v/>
      </c>
      <c r="K86" s="18">
        <f ca="1">COUNTIF(Bracket!$K$6:$K$16,$A86)</f>
        <v>0</v>
      </c>
      <c r="L86" s="18">
        <f ca="1">COUNTIFS(Bracket!$K$6:$K$16,$A86,Bracket!$G$6:$G$16,"CG-*")</f>
        <v>0</v>
      </c>
      <c r="M86" s="18" cm="1">
        <f t="array" aca="1" ref="M86" ca="1">IF($A86="","",_xlfn.LET(_xlpm.rawIP,SUMPRODUCT(--(Data!$AM$4:$AM$183=$A86),IFERROR(Data!$AN$4:$AN$183,0)),IF(_xlpm.rawIP=0,0,INT(_xlpm.rawIP)+MOD(ROUND(_xlpm.rawIP*3,0),3)/10)))</f>
        <v>0</v>
      </c>
    </row>
    <row r="87" spans="1:13">
      <c r="A87" s="18" t="str">
        <f>'Character List'!B75</f>
        <v>Green Magikoopa</v>
      </c>
      <c r="B87" s="18">
        <f>COUNTIF(Draft!$E$6:$E$77,$A87)</f>
        <v>0</v>
      </c>
      <c r="C87" s="18">
        <f ca="1">SUMIFS('Current Char Stats'!$D$4:$D$273,'Current Char Stats'!$B$4:$B$273,$A87)</f>
        <v>0</v>
      </c>
      <c r="D87" s="18">
        <f ca="1">SUMIFS('Current Char Stats'!$E$4:$E$273,'Current Char Stats'!$B$4:$B$273,$A87)</f>
        <v>0</v>
      </c>
      <c r="E87" s="61">
        <f t="shared" ca="1" si="1"/>
        <v>0</v>
      </c>
      <c r="F87" s="18">
        <f ca="1">SUMIFS('Current Char Stats'!$G$4:$G$273,'Current Char Stats'!$B$4:$B$273,$A87)</f>
        <v>0</v>
      </c>
      <c r="G87" s="18">
        <f ca="1">SUMIFS('Current Char Stats'!$H$4:$H$273,'Current Char Stats'!$B$4:$B$273,$A87)</f>
        <v>0</v>
      </c>
      <c r="H87" s="18" t="str" cm="1">
        <f t="array" ref="H87">IFERROR(_xlfn.TEXTJOIN(", ",TRUE,_xlfn.UNIQUE(_xlfn._xlws.FILTER(Draft!$D$6:$D$77,Draft!$E$6:$E$77=$A87))),"Undrafted")</f>
        <v>Undrafted</v>
      </c>
      <c r="I87" s="65" t="str" cm="1">
        <f t="array" aca="1" ref="I87" ca="1">IFERROR(_xlfn.LET(_xlpm.charRows,IF('Current Char Stats'!$B$4:$B$273=$A87,1,0),_xlpm.ownerCol,'Current Char Stats'!$A$4:$A$273,_xlpm.gameCol,'Current Char Stats'!$C$4:$C$273,_xlpm.totalGames,SUMPRODUCT(_xlpm.charRows*(_xlpm.ownerCol&lt;&gt;"")),IF(_xlpm.totalGames=0,"",SUMPRODUCT(_xlpm.charRows*(_xlpm.ownerCol&lt;&gt;"")*COUNTIFS('Current Player Stats'!$A$4:$A$33,_xlpm.ownerCol,'Current Player Stats'!$B$4:$B$33,_xlpm.gameCol,'Current Player Stats'!$C$4:$C$33,1))/_xlpm.totalGames)),"")</f>
        <v/>
      </c>
      <c r="J87" s="18" t="str">
        <f ca="1">IF(AND(B87&gt;0,IFERROR(INDEX(Draft!$D$6:$D$77,MATCH($A87,Draft!$E$6:$E$77,0)),"")=IFERROR(INDEX(Bracket!$B$18:$B$25,MATCH("1st",Bracket!$A$18:$A$25,0)),""),IFERROR(INDEX(Bracket!$B$18:$B$25,MATCH("1st",Bracket!$A$18:$A$25,0)),"")&lt;&gt;""),"Yes","")</f>
        <v/>
      </c>
      <c r="K87" s="18">
        <f ca="1">COUNTIF(Bracket!$K$6:$K$16,$A87)</f>
        <v>0</v>
      </c>
      <c r="L87" s="18">
        <f ca="1">COUNTIFS(Bracket!$K$6:$K$16,$A87,Bracket!$G$6:$G$16,"CG-*")</f>
        <v>0</v>
      </c>
      <c r="M87" s="18" cm="1">
        <f t="array" aca="1" ref="M87" ca="1">IF($A87="","",_xlfn.LET(_xlpm.rawIP,SUMPRODUCT(--(Data!$AM$4:$AM$183=$A87),IFERROR(Data!$AN$4:$AN$183,0)),IF(_xlpm.rawIP=0,0,INT(_xlpm.rawIP)+MOD(ROUND(_xlpm.rawIP*3,0),3)/10)))</f>
        <v>0</v>
      </c>
    </row>
    <row r="89" spans="1:13">
      <c r="A89" s="63" t="s">
        <v>294</v>
      </c>
      <c r="B89" s="64"/>
      <c r="C89" s="64"/>
      <c r="D89" s="64"/>
      <c r="E89" s="64"/>
      <c r="F89" s="64"/>
      <c r="G89" s="64"/>
      <c r="H89" s="64"/>
      <c r="I89" s="64"/>
      <c r="J89" s="64"/>
      <c r="K89" s="18"/>
      <c r="L89" s="18"/>
      <c r="M89" s="18"/>
    </row>
    <row r="90" spans="1:13">
      <c r="A90" s="35" t="s">
        <v>230</v>
      </c>
      <c r="B90" s="35" t="s">
        <v>39</v>
      </c>
      <c r="C90" s="60" t="s">
        <v>175</v>
      </c>
      <c r="D90" s="60" t="s">
        <v>162</v>
      </c>
      <c r="E90" s="60" t="s">
        <v>268</v>
      </c>
      <c r="F90" s="60" t="s">
        <v>178</v>
      </c>
      <c r="G90" s="60" t="s">
        <v>179</v>
      </c>
      <c r="H90" s="60" t="s">
        <v>195</v>
      </c>
      <c r="I90" s="60" t="s">
        <v>196</v>
      </c>
      <c r="J90" s="60" t="s">
        <v>273</v>
      </c>
      <c r="K90" s="18"/>
      <c r="L90" s="18"/>
      <c r="M90" s="18"/>
    </row>
    <row r="91" spans="1:13">
      <c r="A91" s="114" t="str">
        <f>IF(Draft!D6="","",Draft!D6)</f>
        <v>Justin</v>
      </c>
      <c r="B91" s="18" t="str">
        <f>IF(Draft!E6="","",Draft!E6)</f>
        <v>Bowser Jr.</v>
      </c>
      <c r="C91" s="18">
        <f ca="1">IF($A91="","",SUMIFS('Current Char Stats'!$D$4:$D$273,'Current Char Stats'!$A$4:$A$273,$A91,'Current Char Stats'!$B$4:$B$273,$B91))</f>
        <v>4</v>
      </c>
      <c r="D91" s="18">
        <f ca="1">IF($A91="","",SUMIFS('Current Char Stats'!$E$4:$E$273,'Current Char Stats'!$A$4:$A$273,$A91,'Current Char Stats'!$B$4:$B$273,$B91))</f>
        <v>1</v>
      </c>
      <c r="E91" s="61">
        <f ca="1">IF($A91="","",IF(C91=0,0,D91/C91))</f>
        <v>0.25</v>
      </c>
      <c r="F91" s="18">
        <f ca="1">IF($A91="","",SUMIFS('Current Char Stats'!$G$4:$G$273,'Current Char Stats'!$A$4:$A$273,$A91,'Current Char Stats'!$B$4:$B$273,$B91))</f>
        <v>0</v>
      </c>
      <c r="G91" s="18">
        <f ca="1">IF($A91="","",SUMIFS('Current Char Stats'!$H$4:$H$273,'Current Char Stats'!$A$4:$A$273,$A91,'Current Char Stats'!$B$4:$B$273,$B91))</f>
        <v>0</v>
      </c>
      <c r="H91" s="18">
        <f ca="1">IF($A91="","",INT(SUMIFS(Data!$AN$4:$AN$183,Data!$AL$4:$AL$183,$A91,Data!$AM$4:$AM$183,$B91))+MOD(ROUND(SUMIFS(Data!$AN$4:$AN$183,Data!$AL$4:$AL$183,$A91,Data!$AM$4:$AM$183,$B91)*3,0),3)/10)</f>
        <v>0</v>
      </c>
      <c r="I91" s="18">
        <f ca="1">IF($A91="","",SUMIFS('Current Char Stats'!$J$4:$J$273,'Current Char Stats'!$A$4:$A$273,$A91,'Current Char Stats'!$B$4:$B$273,$B91))</f>
        <v>0</v>
      </c>
      <c r="J91" s="62">
        <f ca="1">IF($A91="","",IF(SUMIFS(Data!$AN$4:$AN$183,Data!$AL$4:$AL$183,$A91,Data!$AM$4:$AM$183,$B91)=0,"",I91*3/SUMIFS(Data!$AN$4:$AN$183,Data!$AL$4:$AL$183,$A91,Data!$AM$4:$AM$183,$B91)))</f>
      </c>
      <c r="K91" s="18"/>
      <c r="L91" s="18"/>
      <c r="M91" s="18"/>
    </row>
    <row r="92" spans="1:13">
      <c r="A92" s="115" t="str">
        <f>IF(Draft!D7="","",Draft!D7)</f>
        <v>Donovan</v>
      </c>
      <c r="B92" s="18" t="str">
        <f>IF(Draft!E7="","",Draft!E7)</f>
        <v>Donkey Kong</v>
      </c>
      <c r="C92" s="18">
        <f ca="1">IF($A92="","",SUMIFS('Current Char Stats'!$D$4:$D$273,'Current Char Stats'!$A$4:$A$273,$A92,'Current Char Stats'!$B$4:$B$273,$B92))</f>
        <v>4</v>
      </c>
      <c r="D92" s="18">
        <f ca="1">IF($A92="","",SUMIFS('Current Char Stats'!$E$4:$E$273,'Current Char Stats'!$A$4:$A$273,$A92,'Current Char Stats'!$B$4:$B$273,$B92))</f>
        <v>2</v>
      </c>
      <c r="E92" s="61">
        <f t="shared" ref="E92:E155" ca="1" si="2">IF($A92="","",IF(C92=0,0,D92/C92))</f>
        <v>0.5</v>
      </c>
      <c r="F92" s="18">
        <f ca="1">IF($A92="","",SUMIFS('Current Char Stats'!$G$4:$G$273,'Current Char Stats'!$A$4:$A$273,$A92,'Current Char Stats'!$B$4:$B$273,$B92))</f>
        <v>0</v>
      </c>
      <c r="G92" s="18">
        <f ca="1">IF($A92="","",SUMIFS('Current Char Stats'!$H$4:$H$273,'Current Char Stats'!$A$4:$A$273,$A92,'Current Char Stats'!$B$4:$B$273,$B92))</f>
        <v>0</v>
      </c>
      <c r="H92" s="18">
        <f ca="1">IF($A92="","",INT(SUMIFS(Data!$AN$4:$AN$183,Data!$AL$4:$AL$183,$A92,Data!$AM$4:$AM$183,$B92))+MOD(ROUND(SUMIFS(Data!$AN$4:$AN$183,Data!$AL$4:$AL$183,$A92,Data!$AM$4:$AM$183,$B92)*3,0),3)/10)</f>
        <v>0.1</v>
      </c>
      <c r="I92" s="18">
        <f ca="1">IF($A92="","",SUMIFS('Current Char Stats'!$J$4:$J$273,'Current Char Stats'!$A$4:$A$273,$A92,'Current Char Stats'!$B$4:$B$273,$B92))</f>
        <v>0</v>
      </c>
      <c r="J92" s="62">
        <f ca="1">IF($A92="","",IF(SUMIFS(Data!$AN$4:$AN$183,Data!$AL$4:$AL$183,$A92,Data!$AM$4:$AM$183,$B92)=0,"",I92*3/SUMIFS(Data!$AN$4:$AN$183,Data!$AL$4:$AL$183,$A92,Data!$AM$4:$AM$183,$B92)))</f>
        <v>0.0</v>
      </c>
      <c r="K92" s="18"/>
      <c r="L92" s="18"/>
      <c r="M92" s="18"/>
    </row>
    <row r="93" spans="1:13">
      <c r="A93" s="116" t="str">
        <f>IF(Draft!D8="","",Draft!D8)</f>
        <v>Nick</v>
      </c>
      <c r="B93" s="18" t="str">
        <f>IF(Draft!E8="","",Draft!E8)</f>
        <v>Daisy</v>
      </c>
      <c r="C93" s="18">
        <f ca="1">IF($A93="","",SUMIFS('Current Char Stats'!$D$4:$D$273,'Current Char Stats'!$A$4:$A$273,$A93,'Current Char Stats'!$B$4:$B$273,$B93))</f>
        <v>8</v>
      </c>
      <c r="D93" s="18">
        <f ca="1">IF($A93="","",SUMIFS('Current Char Stats'!$E$4:$E$273,'Current Char Stats'!$A$4:$A$273,$A93,'Current Char Stats'!$B$4:$B$273,$B93))</f>
        <v>5</v>
      </c>
      <c r="E93" s="61">
        <f t="shared" ca="1" si="2"/>
        <v>0.625</v>
      </c>
      <c r="F93" s="18">
        <f ca="1">IF($A93="","",SUMIFS('Current Char Stats'!$G$4:$G$273,'Current Char Stats'!$A$4:$A$273,$A93,'Current Char Stats'!$B$4:$B$273,$B93))</f>
        <v>0</v>
      </c>
      <c r="G93" s="18">
        <f ca="1">IF($A93="","",SUMIFS('Current Char Stats'!$H$4:$H$273,'Current Char Stats'!$A$4:$A$273,$A93,'Current Char Stats'!$B$4:$B$273,$B93))</f>
        <v>5</v>
      </c>
      <c r="H93" s="18">
        <f ca="1">IF($A93="","",INT(SUMIFS(Data!$AN$4:$AN$183,Data!$AL$4:$AL$183,$A93,Data!$AM$4:$AM$183,$B93))+MOD(ROUND(SUMIFS(Data!$AN$4:$AN$183,Data!$AL$4:$AL$183,$A93,Data!$AM$4:$AM$183,$B93)*3,0),3)/10)</f>
        <v>8</v>
      </c>
      <c r="I93" s="18">
        <f ca="1">IF($A93="","",SUMIFS('Current Char Stats'!$J$4:$J$273,'Current Char Stats'!$A$4:$A$273,$A93,'Current Char Stats'!$B$4:$B$273,$B93))</f>
        <v>2</v>
      </c>
      <c r="J93" s="62">
        <f ca="1">IF($A93="","",IF(SUMIFS(Data!$AN$4:$AN$183,Data!$AL$4:$AL$183,$A93,Data!$AM$4:$AM$183,$B93)=0,"",I93*3/SUMIFS(Data!$AN$4:$AN$183,Data!$AL$4:$AL$183,$A93,Data!$AM$4:$AM$183,$B93)))</f>
        <v>0.75</v>
      </c>
      <c r="K93" s="18"/>
      <c r="L93" s="18"/>
      <c r="M93" s="18"/>
    </row>
    <row r="94" spans="1:13">
      <c r="A94" s="117" t="str">
        <f>IF(Draft!D9="","",Draft!D9)</f>
        <v>Aidan</v>
      </c>
      <c r="B94" s="18" t="str">
        <f>IF(Draft!E9="","",Draft!E9)</f>
        <v>Mario</v>
      </c>
      <c r="C94" s="18">
        <f ca="1">IF($A94="","",SUMIFS('Current Char Stats'!$D$4:$D$273,'Current Char Stats'!$A$4:$A$273,$A94,'Current Char Stats'!$B$4:$B$273,$B94))</f>
        <v>6</v>
      </c>
      <c r="D94" s="18">
        <f ca="1">IF($A94="","",SUMIFS('Current Char Stats'!$E$4:$E$273,'Current Char Stats'!$A$4:$A$273,$A94,'Current Char Stats'!$B$4:$B$273,$B94))</f>
        <v>4</v>
      </c>
      <c r="E94" s="61">
        <f t="shared" ca="1" si="2"/>
        <v>0.6666666666666666</v>
      </c>
      <c r="F94" s="18">
        <f ca="1">IF($A94="","",SUMIFS('Current Char Stats'!$G$4:$G$273,'Current Char Stats'!$A$4:$A$273,$A94,'Current Char Stats'!$B$4:$B$273,$B94))</f>
        <v>0</v>
      </c>
      <c r="G94" s="18">
        <f ca="1">IF($A94="","",SUMIFS('Current Char Stats'!$H$4:$H$273,'Current Char Stats'!$A$4:$A$273,$A94,'Current Char Stats'!$B$4:$B$273,$B94))</f>
        <v>0</v>
      </c>
      <c r="H94" s="18">
        <f ca="1">IF($A94="","",INT(SUMIFS(Data!$AN$4:$AN$183,Data!$AL$4:$AL$183,$A94,Data!$AM$4:$AM$183,$B94))+MOD(ROUND(SUMIFS(Data!$AN$4:$AN$183,Data!$AL$4:$AL$183,$A94,Data!$AM$4:$AM$183,$B94)*3,0),3)/10)</f>
        <v>0</v>
      </c>
      <c r="I94" s="18">
        <f ca="1">IF($A94="","",SUMIFS('Current Char Stats'!$J$4:$J$273,'Current Char Stats'!$A$4:$A$273,$A94,'Current Char Stats'!$B$4:$B$273,$B94))</f>
        <v>0</v>
      </c>
      <c r="J94" s="62">
        <f ca="1">IF($A94="","",IF(SUMIFS(Data!$AN$4:$AN$183,Data!$AL$4:$AL$183,$A94,Data!$AM$4:$AM$183,$B94)=0,"",I94*3/SUMIFS(Data!$AN$4:$AN$183,Data!$AL$4:$AL$183,$A94,Data!$AM$4:$AM$183,$B94)))</f>
      </c>
      <c r="K94" s="18"/>
      <c r="L94" s="18"/>
      <c r="M94" s="18"/>
    </row>
    <row r="95" spans="1:13">
      <c r="A95" s="118" t="str">
        <f>IF(Draft!D10="","",Draft!D10)</f>
        <v>Jason</v>
      </c>
      <c r="B95" s="18" t="str">
        <f>IF(Draft!E10="","",Draft!E10)</f>
        <v>Bowser</v>
      </c>
      <c r="C95" s="18">
        <f ca="1">IF($A95="","",SUMIFS('Current Char Stats'!$D$4:$D$273,'Current Char Stats'!$A$4:$A$273,$A95,'Current Char Stats'!$B$4:$B$273,$B95))</f>
        <v>7</v>
      </c>
      <c r="D95" s="18">
        <f ca="1">IF($A95="","",SUMIFS('Current Char Stats'!$E$4:$E$273,'Current Char Stats'!$A$4:$A$273,$A95,'Current Char Stats'!$B$4:$B$273,$B95))</f>
        <v>4</v>
      </c>
      <c r="E95" s="61">
        <f t="shared" ca="1" si="2"/>
        <v>0.5714285714285714</v>
      </c>
      <c r="F95" s="18">
        <f ca="1">IF($A95="","",SUMIFS('Current Char Stats'!$G$4:$G$273,'Current Char Stats'!$A$4:$A$273,$A95,'Current Char Stats'!$B$4:$B$273,$B95))</f>
        <v>2</v>
      </c>
      <c r="G95" s="18">
        <f ca="1">IF($A95="","",SUMIFS('Current Char Stats'!$H$4:$H$273,'Current Char Stats'!$A$4:$A$273,$A95,'Current Char Stats'!$B$4:$B$273,$B95))</f>
        <v>5</v>
      </c>
      <c r="H95" s="18">
        <f ca="1">IF($A95="","",INT(SUMIFS(Data!$AN$4:$AN$183,Data!$AL$4:$AL$183,$A95,Data!$AM$4:$AM$183,$B95))+MOD(ROUND(SUMIFS(Data!$AN$4:$AN$183,Data!$AL$4:$AL$183,$A95,Data!$AM$4:$AM$183,$B95)*3,0),3)/10)</f>
        <v>0</v>
      </c>
      <c r="I95" s="18">
        <f ca="1">IF($A95="","",SUMIFS('Current Char Stats'!$J$4:$J$273,'Current Char Stats'!$A$4:$A$273,$A95,'Current Char Stats'!$B$4:$B$273,$B95))</f>
        <v>0</v>
      </c>
      <c r="J95" s="62">
        <f ca="1">IF($A95="","",IF(SUMIFS(Data!$AN$4:$AN$183,Data!$AL$4:$AL$183,$A95,Data!$AM$4:$AM$183,$B95)=0,"",I95*3/SUMIFS(Data!$AN$4:$AN$183,Data!$AL$4:$AL$183,$A95,Data!$AM$4:$AM$183,$B95)))</f>
      </c>
      <c r="K95" s="18"/>
      <c r="L95" s="18"/>
      <c r="M95" s="18"/>
    </row>
    <row r="96" spans="1:13">
      <c r="A96" s="119" t="str">
        <f>IF(Draft!D11="","",Draft!D11)</f>
        <v>May</v>
      </c>
      <c r="B96" s="18" t="str">
        <f>IF(Draft!E11="","",Draft!E11)</f>
        <v>Birdo</v>
      </c>
      <c r="C96" s="18">
        <f ca="1">IF($A96="","",SUMIFS('Current Char Stats'!$D$4:$D$273,'Current Char Stats'!$A$4:$A$273,$A96,'Current Char Stats'!$B$4:$B$273,$B96))</f>
        <v>6</v>
      </c>
      <c r="D96" s="18">
        <f ca="1">IF($A96="","",SUMIFS('Current Char Stats'!$E$4:$E$273,'Current Char Stats'!$A$4:$A$273,$A96,'Current Char Stats'!$B$4:$B$273,$B96))</f>
        <v>1</v>
      </c>
      <c r="E96" s="61">
        <f t="shared" ca="1" si="2"/>
        <v>0.16666666666666666</v>
      </c>
      <c r="F96" s="18">
        <f ca="1">IF($A96="","",SUMIFS('Current Char Stats'!$G$4:$G$273,'Current Char Stats'!$A$4:$A$273,$A96,'Current Char Stats'!$B$4:$B$273,$B96))</f>
        <v>0</v>
      </c>
      <c r="G96" s="18">
        <f ca="1">IF($A96="","",SUMIFS('Current Char Stats'!$H$4:$H$273,'Current Char Stats'!$A$4:$A$273,$A96,'Current Char Stats'!$B$4:$B$273,$B96))</f>
        <v>0</v>
      </c>
      <c r="H96" s="18">
        <f ca="1">IF($A96="","",INT(SUMIFS(Data!$AN$4:$AN$183,Data!$AL$4:$AL$183,$A96,Data!$AM$4:$AM$183,$B96))+MOD(ROUND(SUMIFS(Data!$AN$4:$AN$183,Data!$AL$4:$AL$183,$A96,Data!$AM$4:$AM$183,$B96)*3,0),3)/10)</f>
        <v>0</v>
      </c>
      <c r="I96" s="18">
        <f ca="1">IF($A96="","",SUMIFS('Current Char Stats'!$J$4:$J$273,'Current Char Stats'!$A$4:$A$273,$A96,'Current Char Stats'!$B$4:$B$273,$B96))</f>
        <v>0</v>
      </c>
      <c r="J96" s="62">
        <f ca="1">IF($A96="","",IF(SUMIFS(Data!$AN$4:$AN$183,Data!$AL$4:$AL$183,$A96,Data!$AM$4:$AM$183,$B96)=0,"",I96*3/SUMIFS(Data!$AN$4:$AN$183,Data!$AL$4:$AL$183,$A96,Data!$AM$4:$AM$183,$B96)))</f>
      </c>
      <c r="K96" s="18"/>
      <c r="L96" s="18"/>
      <c r="M96" s="18"/>
    </row>
    <row r="97" spans="1:10">
      <c r="A97" s="119" t="str">
        <f>IF(Draft!D12="","",Draft!D12)</f>
        <v>May</v>
      </c>
      <c r="B97" s="18" t="str">
        <f>IF(Draft!E12="","",Draft!E12)</f>
        <v>Petey Piranha</v>
      </c>
      <c r="C97" s="18">
        <f ca="1">IF($A97="","",SUMIFS('Current Char Stats'!$D$4:$D$273,'Current Char Stats'!$A$4:$A$273,$A97,'Current Char Stats'!$B$4:$B$273,$B97))</f>
        <v>5</v>
      </c>
      <c r="D97" s="18">
        <f ca="1">IF($A97="","",SUMIFS('Current Char Stats'!$E$4:$E$273,'Current Char Stats'!$A$4:$A$273,$A97,'Current Char Stats'!$B$4:$B$273,$B97))</f>
        <v>0</v>
      </c>
      <c r="E97" s="61">
        <f t="shared" ca="1" si="2"/>
        <v>0.0</v>
      </c>
      <c r="F97" s="18">
        <f ca="1">IF($A97="","",SUMIFS('Current Char Stats'!$G$4:$G$273,'Current Char Stats'!$A$4:$A$273,$A97,'Current Char Stats'!$B$4:$B$273,$B97))</f>
        <v>0</v>
      </c>
      <c r="G97" s="18">
        <f ca="1">IF($A97="","",SUMIFS('Current Char Stats'!$H$4:$H$273,'Current Char Stats'!$A$4:$A$273,$A97,'Current Char Stats'!$B$4:$B$273,$B97))</f>
        <v>0</v>
      </c>
      <c r="H97" s="18">
        <f ca="1">IF($A97="","",INT(SUMIFS(Data!$AN$4:$AN$183,Data!$AL$4:$AL$183,$A97,Data!$AM$4:$AM$183,$B97))+MOD(ROUND(SUMIFS(Data!$AN$4:$AN$183,Data!$AL$4:$AL$183,$A97,Data!$AM$4:$AM$183,$B97)*3,0),3)/10)</f>
        <v>0</v>
      </c>
      <c r="I97" s="18">
        <f ca="1">IF($A97="","",SUMIFS('Current Char Stats'!$J$4:$J$273,'Current Char Stats'!$A$4:$A$273,$A97,'Current Char Stats'!$B$4:$B$273,$B97))</f>
        <v>0</v>
      </c>
      <c r="J97" s="62">
        <f ca="1">IF($A97="","",IF(SUMIFS(Data!$AN$4:$AN$183,Data!$AL$4:$AL$183,$A97,Data!$AM$4:$AM$183,$B97)=0,"",I97*3/SUMIFS(Data!$AN$4:$AN$183,Data!$AL$4:$AL$183,$A97,Data!$AM$4:$AM$183,$B97)))</f>
      </c>
    </row>
    <row r="98" spans="1:10">
      <c r="A98" s="118" t="str">
        <f>IF(Draft!D13="","",Draft!D13)</f>
        <v>Jason</v>
      </c>
      <c r="B98" s="18" t="str">
        <f>IF(Draft!E13="","",Draft!E13)</f>
        <v>Peach</v>
      </c>
      <c r="C98" s="18">
        <f ca="1">IF($A98="","",SUMIFS('Current Char Stats'!$D$4:$D$273,'Current Char Stats'!$A$4:$A$273,$A98,'Current Char Stats'!$B$4:$B$273,$B98))</f>
        <v>7</v>
      </c>
      <c r="D98" s="18">
        <f ca="1">IF($A98="","",SUMIFS('Current Char Stats'!$E$4:$E$273,'Current Char Stats'!$A$4:$A$273,$A98,'Current Char Stats'!$B$4:$B$273,$B98))</f>
        <v>4</v>
      </c>
      <c r="E98" s="61">
        <f t="shared" ca="1" si="2"/>
        <v>0.5714285714285714</v>
      </c>
      <c r="F98" s="18">
        <f ca="1">IF($A98="","",SUMIFS('Current Char Stats'!$G$4:$G$273,'Current Char Stats'!$A$4:$A$273,$A98,'Current Char Stats'!$B$4:$B$273,$B98))</f>
        <v>2</v>
      </c>
      <c r="G98" s="18">
        <f ca="1">IF($A98="","",SUMIFS('Current Char Stats'!$H$4:$H$273,'Current Char Stats'!$A$4:$A$273,$A98,'Current Char Stats'!$B$4:$B$273,$B98))</f>
        <v>3</v>
      </c>
      <c r="H98" s="18">
        <f ca="1">IF($A98="","",INT(SUMIFS(Data!$AN$4:$AN$183,Data!$AL$4:$AL$183,$A98,Data!$AM$4:$AM$183,$B98))+MOD(ROUND(SUMIFS(Data!$AN$4:$AN$183,Data!$AL$4:$AL$183,$A98,Data!$AM$4:$AM$183,$B98)*3,0),3)/10)</f>
        <v>7</v>
      </c>
      <c r="I98" s="18">
        <f ca="1">IF($A98="","",SUMIFS('Current Char Stats'!$J$4:$J$273,'Current Char Stats'!$A$4:$A$273,$A98,'Current Char Stats'!$B$4:$B$273,$B98))</f>
        <v>4</v>
      </c>
      <c r="J98" s="62">
        <f ca="1">IF($A98="","",IF(SUMIFS(Data!$AN$4:$AN$183,Data!$AL$4:$AL$183,$A98,Data!$AM$4:$AM$183,$B98)=0,"",I98*3/SUMIFS(Data!$AN$4:$AN$183,Data!$AL$4:$AL$183,$A98,Data!$AM$4:$AM$183,$B98)))</f>
        <v>1.7142857142857142</v>
      </c>
    </row>
    <row r="99" spans="1:10">
      <c r="A99" s="117" t="str">
        <f>IF(Draft!D14="","",Draft!D14)</f>
        <v>Aidan</v>
      </c>
      <c r="B99" s="18" t="str">
        <f>IF(Draft!E14="","",Draft!E14)</f>
        <v>Luigi</v>
      </c>
      <c r="C99" s="18">
        <f ca="1">IF($A99="","",SUMIFS('Current Char Stats'!$D$4:$D$273,'Current Char Stats'!$A$4:$A$273,$A99,'Current Char Stats'!$B$4:$B$273,$B99))</f>
        <v>5</v>
      </c>
      <c r="D99" s="18">
        <f ca="1">IF($A99="","",SUMIFS('Current Char Stats'!$E$4:$E$273,'Current Char Stats'!$A$4:$A$273,$A99,'Current Char Stats'!$B$4:$B$273,$B99))</f>
        <v>1</v>
      </c>
      <c r="E99" s="61">
        <f t="shared" ca="1" si="2"/>
        <v>0.2</v>
      </c>
      <c r="F99" s="18">
        <f ca="1">IF($A99="","",SUMIFS('Current Char Stats'!$G$4:$G$273,'Current Char Stats'!$A$4:$A$273,$A99,'Current Char Stats'!$B$4:$B$273,$B99))</f>
        <v>0</v>
      </c>
      <c r="G99" s="18">
        <f ca="1">IF($A99="","",SUMIFS('Current Char Stats'!$H$4:$H$273,'Current Char Stats'!$A$4:$A$273,$A99,'Current Char Stats'!$B$4:$B$273,$B99))</f>
        <v>1</v>
      </c>
      <c r="H99" s="18">
        <f ca="1">IF($A99="","",INT(SUMIFS(Data!$AN$4:$AN$183,Data!$AL$4:$AL$183,$A99,Data!$AM$4:$AM$183,$B99))+MOD(ROUND(SUMIFS(Data!$AN$4:$AN$183,Data!$AL$4:$AL$183,$A99,Data!$AM$4:$AM$183,$B99)*3,0),3)/10)</f>
        <v>0</v>
      </c>
      <c r="I99" s="18">
        <f ca="1">IF($A99="","",SUMIFS('Current Char Stats'!$J$4:$J$273,'Current Char Stats'!$A$4:$A$273,$A99,'Current Char Stats'!$B$4:$B$273,$B99))</f>
        <v>0</v>
      </c>
      <c r="J99" s="62">
        <f ca="1">IF($A99="","",IF(SUMIFS(Data!$AN$4:$AN$183,Data!$AL$4:$AL$183,$A99,Data!$AM$4:$AM$183,$B99)=0,"",I99*3/SUMIFS(Data!$AN$4:$AN$183,Data!$AL$4:$AL$183,$A99,Data!$AM$4:$AM$183,$B99)))</f>
      </c>
    </row>
    <row r="100" spans="1:10">
      <c r="A100" s="116" t="str">
        <f>IF(Draft!D15="","",Draft!D15)</f>
        <v>Nick</v>
      </c>
      <c r="B100" s="18" t="str">
        <f>IF(Draft!E15="","",Draft!E15)</f>
        <v>Mii</v>
      </c>
      <c r="C100" s="18">
        <f ca="1">IF($A100="","",SUMIFS('Current Char Stats'!$D$4:$D$273,'Current Char Stats'!$A$4:$A$273,$A100,'Current Char Stats'!$B$4:$B$273,$B100))</f>
        <v>6</v>
      </c>
      <c r="D100" s="18">
        <f ca="1">IF($A100="","",SUMIFS('Current Char Stats'!$E$4:$E$273,'Current Char Stats'!$A$4:$A$273,$A100,'Current Char Stats'!$B$4:$B$273,$B100))</f>
        <v>3</v>
      </c>
      <c r="E100" s="61">
        <f t="shared" ca="1" si="2"/>
        <v>0.5</v>
      </c>
      <c r="F100" s="18">
        <f ca="1">IF($A100="","",SUMIFS('Current Char Stats'!$G$4:$G$273,'Current Char Stats'!$A$4:$A$273,$A100,'Current Char Stats'!$B$4:$B$273,$B100))</f>
        <v>0</v>
      </c>
      <c r="G100" s="18">
        <f ca="1">IF($A100="","",SUMIFS('Current Char Stats'!$H$4:$H$273,'Current Char Stats'!$A$4:$A$273,$A100,'Current Char Stats'!$B$4:$B$273,$B100))</f>
        <v>1</v>
      </c>
      <c r="H100" s="18">
        <f ca="1">IF($A100="","",INT(SUMIFS(Data!$AN$4:$AN$183,Data!$AL$4:$AL$183,$A100,Data!$AM$4:$AM$183,$B100))+MOD(ROUND(SUMIFS(Data!$AN$4:$AN$183,Data!$AL$4:$AL$183,$A100,Data!$AM$4:$AM$183,$B100)*3,0),3)/10)</f>
        <v>0</v>
      </c>
      <c r="I100" s="18">
        <f ca="1">IF($A100="","",SUMIFS('Current Char Stats'!$J$4:$J$273,'Current Char Stats'!$A$4:$A$273,$A100,'Current Char Stats'!$B$4:$B$273,$B100))</f>
        <v>0</v>
      </c>
      <c r="J100" s="62">
        <f ca="1">IF($A100="","",IF(SUMIFS(Data!$AN$4:$AN$183,Data!$AL$4:$AL$183,$A100,Data!$AM$4:$AM$183,$B100)=0,"",I100*3/SUMIFS(Data!$AN$4:$AN$183,Data!$AL$4:$AL$183,$A100,Data!$AM$4:$AM$183,$B100)))</f>
      </c>
    </row>
    <row r="101" spans="1:10">
      <c r="A101" s="115" t="str">
        <f>IF(Draft!D16="","",Draft!D16)</f>
        <v>Donovan</v>
      </c>
      <c r="B101" s="18" t="str">
        <f>IF(Draft!E16="","",Draft!E16)</f>
        <v>Waluigi</v>
      </c>
      <c r="C101" s="18">
        <f ca="1">IF($A101="","",SUMIFS('Current Char Stats'!$D$4:$D$273,'Current Char Stats'!$A$4:$A$273,$A101,'Current Char Stats'!$B$4:$B$273,$B101))</f>
        <v>4</v>
      </c>
      <c r="D101" s="18">
        <f ca="1">IF($A101="","",SUMIFS('Current Char Stats'!$E$4:$E$273,'Current Char Stats'!$A$4:$A$273,$A101,'Current Char Stats'!$B$4:$B$273,$B101))</f>
        <v>1</v>
      </c>
      <c r="E101" s="61">
        <f t="shared" ca="1" si="2"/>
        <v>0.25</v>
      </c>
      <c r="F101" s="18">
        <f ca="1">IF($A101="","",SUMIFS('Current Char Stats'!$G$4:$G$273,'Current Char Stats'!$A$4:$A$273,$A101,'Current Char Stats'!$B$4:$B$273,$B101))</f>
        <v>0</v>
      </c>
      <c r="G101" s="18">
        <f ca="1">IF($A101="","",SUMIFS('Current Char Stats'!$H$4:$H$273,'Current Char Stats'!$A$4:$A$273,$A101,'Current Char Stats'!$B$4:$B$273,$B101))</f>
        <v>0</v>
      </c>
      <c r="H101" s="18">
        <f ca="1">IF($A101="","",INT(SUMIFS(Data!$AN$4:$AN$183,Data!$AL$4:$AL$183,$A101,Data!$AM$4:$AM$183,$B101))+MOD(ROUND(SUMIFS(Data!$AN$4:$AN$183,Data!$AL$4:$AL$183,$A101,Data!$AM$4:$AM$183,$B101)*3,0),3)/10)</f>
        <v>7.2</v>
      </c>
      <c r="I101" s="18">
        <f ca="1">IF($A101="","",SUMIFS('Current Char Stats'!$J$4:$J$273,'Current Char Stats'!$A$4:$A$273,$A101,'Current Char Stats'!$B$4:$B$273,$B101))</f>
        <v>6</v>
      </c>
      <c r="J101" s="62">
        <f ca="1">IF($A101="","",IF(SUMIFS(Data!$AN$4:$AN$183,Data!$AL$4:$AL$183,$A101,Data!$AM$4:$AM$183,$B101)=0,"",I101*3/SUMIFS(Data!$AN$4:$AN$183,Data!$AL$4:$AL$183,$A101,Data!$AM$4:$AM$183,$B101)))</f>
        <v>2.3478260869565215</v>
      </c>
    </row>
    <row r="102" spans="1:10">
      <c r="A102" s="114" t="str">
        <f>IF(Draft!D17="","",Draft!D17)</f>
        <v>Justin</v>
      </c>
      <c r="B102" s="18" t="str">
        <f>IF(Draft!E17="","",Draft!E17)</f>
        <v>Boo</v>
      </c>
      <c r="C102" s="18">
        <f ca="1">IF($A102="","",SUMIFS('Current Char Stats'!$D$4:$D$273,'Current Char Stats'!$A$4:$A$273,$A102,'Current Char Stats'!$B$4:$B$273,$B102))</f>
        <v>2</v>
      </c>
      <c r="D102" s="18">
        <f ca="1">IF($A102="","",SUMIFS('Current Char Stats'!$E$4:$E$273,'Current Char Stats'!$A$4:$A$273,$A102,'Current Char Stats'!$B$4:$B$273,$B102))</f>
        <v>1</v>
      </c>
      <c r="E102" s="61">
        <f t="shared" ca="1" si="2"/>
        <v>0.5</v>
      </c>
      <c r="F102" s="18">
        <f ca="1">IF($A102="","",SUMIFS('Current Char Stats'!$G$4:$G$273,'Current Char Stats'!$A$4:$A$273,$A102,'Current Char Stats'!$B$4:$B$273,$B102))</f>
        <v>1</v>
      </c>
      <c r="G102" s="18">
        <f ca="1">IF($A102="","",SUMIFS('Current Char Stats'!$H$4:$H$273,'Current Char Stats'!$A$4:$A$273,$A102,'Current Char Stats'!$B$4:$B$273,$B102))</f>
        <v>1</v>
      </c>
      <c r="H102" s="18">
        <f ca="1">IF($A102="","",INT(SUMIFS(Data!$AN$4:$AN$183,Data!$AL$4:$AL$183,$A102,Data!$AM$4:$AM$183,$B102))+MOD(ROUND(SUMIFS(Data!$AN$4:$AN$183,Data!$AL$4:$AL$183,$A102,Data!$AM$4:$AM$183,$B102)*3,0),3)/10)</f>
        <v>4.1</v>
      </c>
      <c r="I102" s="18">
        <f ca="1">IF($A102="","",SUMIFS('Current Char Stats'!$J$4:$J$273,'Current Char Stats'!$A$4:$A$273,$A102,'Current Char Stats'!$B$4:$B$273,$B102))</f>
        <v>6</v>
      </c>
      <c r="J102" s="62">
        <f ca="1">IF($A102="","",IF(SUMIFS(Data!$AN$4:$AN$183,Data!$AL$4:$AL$183,$A102,Data!$AM$4:$AM$183,$B102)=0,"",I102*3/SUMIFS(Data!$AN$4:$AN$183,Data!$AL$4:$AL$183,$A102,Data!$AM$4:$AM$183,$B102)))</f>
        <v>4.153846153846154</v>
      </c>
    </row>
    <row r="103" spans="1:10">
      <c r="A103" s="114" t="str">
        <f>IF(Draft!D18="","",Draft!D18)</f>
        <v>Justin</v>
      </c>
      <c r="B103" s="18" t="str">
        <f>IF(Draft!E18="","",Draft!E18)</f>
        <v>Funky Kong</v>
      </c>
      <c r="C103" s="18">
        <f ca="1">IF($A103="","",SUMIFS('Current Char Stats'!$D$4:$D$273,'Current Char Stats'!$A$4:$A$273,$A103,'Current Char Stats'!$B$4:$B$273,$B103))</f>
        <v>2</v>
      </c>
      <c r="D103" s="18">
        <f ca="1">IF($A103="","",SUMIFS('Current Char Stats'!$E$4:$E$273,'Current Char Stats'!$A$4:$A$273,$A103,'Current Char Stats'!$B$4:$B$273,$B103))</f>
        <v>1</v>
      </c>
      <c r="E103" s="61">
        <f t="shared" ca="1" si="2"/>
        <v>0.5</v>
      </c>
      <c r="F103" s="18">
        <f ca="1">IF($A103="","",SUMIFS('Current Char Stats'!$G$4:$G$273,'Current Char Stats'!$A$4:$A$273,$A103,'Current Char Stats'!$B$4:$B$273,$B103))</f>
        <v>1</v>
      </c>
      <c r="G103" s="18">
        <f ca="1">IF($A103="","",SUMIFS('Current Char Stats'!$H$4:$H$273,'Current Char Stats'!$A$4:$A$273,$A103,'Current Char Stats'!$B$4:$B$273,$B103))</f>
        <v>2</v>
      </c>
      <c r="H103" s="18">
        <f ca="1">IF($A103="","",INT(SUMIFS(Data!$AN$4:$AN$183,Data!$AL$4:$AL$183,$A103,Data!$AM$4:$AM$183,$B103))+MOD(ROUND(SUMIFS(Data!$AN$4:$AN$183,Data!$AL$4:$AL$183,$A103,Data!$AM$4:$AM$183,$B103)*3,0),3)/10)</f>
        <v>0</v>
      </c>
      <c r="I103" s="18">
        <f ca="1">IF($A103="","",SUMIFS('Current Char Stats'!$J$4:$J$273,'Current Char Stats'!$A$4:$A$273,$A103,'Current Char Stats'!$B$4:$B$273,$B103))</f>
        <v>0</v>
      </c>
      <c r="J103" s="62">
        <f ca="1">IF($A103="","",IF(SUMIFS(Data!$AN$4:$AN$183,Data!$AL$4:$AL$183,$A103,Data!$AM$4:$AM$183,$B103)=0,"",I103*3/SUMIFS(Data!$AN$4:$AN$183,Data!$AL$4:$AL$183,$A103,Data!$AM$4:$AM$183,$B103)))</f>
      </c>
    </row>
    <row r="104" spans="1:10">
      <c r="A104" s="115" t="str">
        <f>IF(Draft!D19="","",Draft!D19)</f>
        <v>Donovan</v>
      </c>
      <c r="B104" s="18" t="str">
        <f>IF(Draft!E19="","",Draft!E19)</f>
        <v>Diddy Kong</v>
      </c>
      <c r="C104" s="18">
        <f ca="1">IF($A104="","",SUMIFS('Current Char Stats'!$D$4:$D$273,'Current Char Stats'!$A$4:$A$273,$A104,'Current Char Stats'!$B$4:$B$273,$B104))</f>
        <v>4</v>
      </c>
      <c r="D104" s="18">
        <f ca="1">IF($A104="","",SUMIFS('Current Char Stats'!$E$4:$E$273,'Current Char Stats'!$A$4:$A$273,$A104,'Current Char Stats'!$B$4:$B$273,$B104))</f>
        <v>0</v>
      </c>
      <c r="E104" s="61">
        <f t="shared" ca="1" si="2"/>
        <v>0.0</v>
      </c>
      <c r="F104" s="18">
        <f ca="1">IF($A104="","",SUMIFS('Current Char Stats'!$G$4:$G$273,'Current Char Stats'!$A$4:$A$273,$A104,'Current Char Stats'!$B$4:$B$273,$B104))</f>
        <v>0</v>
      </c>
      <c r="G104" s="18">
        <f ca="1">IF($A104="","",SUMIFS('Current Char Stats'!$H$4:$H$273,'Current Char Stats'!$A$4:$A$273,$A104,'Current Char Stats'!$B$4:$B$273,$B104))</f>
        <v>0</v>
      </c>
      <c r="H104" s="18">
        <f ca="1">IF($A104="","",INT(SUMIFS(Data!$AN$4:$AN$183,Data!$AL$4:$AL$183,$A104,Data!$AM$4:$AM$183,$B104))+MOD(ROUND(SUMIFS(Data!$AN$4:$AN$183,Data!$AL$4:$AL$183,$A104,Data!$AM$4:$AM$183,$B104)*3,0),3)/10)</f>
        <v>0</v>
      </c>
      <c r="I104" s="18">
        <f ca="1">IF($A104="","",SUMIFS('Current Char Stats'!$J$4:$J$273,'Current Char Stats'!$A$4:$A$273,$A104,'Current Char Stats'!$B$4:$B$273,$B104))</f>
        <v>0</v>
      </c>
      <c r="J104" s="62">
        <f ca="1">IF($A104="","",IF(SUMIFS(Data!$AN$4:$AN$183,Data!$AL$4:$AL$183,$A104,Data!$AM$4:$AM$183,$B104)=0,"",I104*3/SUMIFS(Data!$AN$4:$AN$183,Data!$AL$4:$AL$183,$A104,Data!$AM$4:$AM$183,$B104)))</f>
      </c>
    </row>
    <row r="105" spans="1:10">
      <c r="A105" s="116" t="str">
        <f>IF(Draft!D20="","",Draft!D20)</f>
        <v>Nick</v>
      </c>
      <c r="B105" s="18" t="str">
        <f>IF(Draft!E20="","",Draft!E20)</f>
        <v>Toadette</v>
      </c>
      <c r="C105" s="18">
        <f ca="1">IF($A105="","",SUMIFS('Current Char Stats'!$D$4:$D$273,'Current Char Stats'!$A$4:$A$273,$A105,'Current Char Stats'!$B$4:$B$273,$B105))</f>
        <v>5</v>
      </c>
      <c r="D105" s="18">
        <f ca="1">IF($A105="","",SUMIFS('Current Char Stats'!$E$4:$E$273,'Current Char Stats'!$A$4:$A$273,$A105,'Current Char Stats'!$B$4:$B$273,$B105))</f>
        <v>3</v>
      </c>
      <c r="E105" s="61">
        <f t="shared" ca="1" si="2"/>
        <v>0.6</v>
      </c>
      <c r="F105" s="18">
        <f ca="1">IF($A105="","",SUMIFS('Current Char Stats'!$G$4:$G$273,'Current Char Stats'!$A$4:$A$273,$A105,'Current Char Stats'!$B$4:$B$273,$B105))</f>
        <v>0</v>
      </c>
      <c r="G105" s="18">
        <f ca="1">IF($A105="","",SUMIFS('Current Char Stats'!$H$4:$H$273,'Current Char Stats'!$A$4:$A$273,$A105,'Current Char Stats'!$B$4:$B$273,$B105))</f>
        <v>0</v>
      </c>
      <c r="H105" s="18">
        <f ca="1">IF($A105="","",INT(SUMIFS(Data!$AN$4:$AN$183,Data!$AL$4:$AL$183,$A105,Data!$AM$4:$AM$183,$B105))+MOD(ROUND(SUMIFS(Data!$AN$4:$AN$183,Data!$AL$4:$AL$183,$A105,Data!$AM$4:$AM$183,$B105)*3,0),3)/10)</f>
        <v>0</v>
      </c>
      <c r="I105" s="18">
        <f ca="1">IF($A105="","",SUMIFS('Current Char Stats'!$J$4:$J$273,'Current Char Stats'!$A$4:$A$273,$A105,'Current Char Stats'!$B$4:$B$273,$B105))</f>
        <v>0</v>
      </c>
      <c r="J105" s="62">
        <f ca="1">IF($A105="","",IF(SUMIFS(Data!$AN$4:$AN$183,Data!$AL$4:$AL$183,$A105,Data!$AM$4:$AM$183,$B105)=0,"",I105*3/SUMIFS(Data!$AN$4:$AN$183,Data!$AL$4:$AL$183,$A105,Data!$AM$4:$AM$183,$B105)))</f>
      </c>
    </row>
    <row r="106" spans="1:10">
      <c r="A106" s="117" t="str">
        <f>IF(Draft!D21="","",Draft!D21)</f>
        <v>Aidan</v>
      </c>
      <c r="B106" s="18" t="str">
        <f>IF(Draft!E21="","",Draft!E21)</f>
        <v>Dark Bones</v>
      </c>
      <c r="C106" s="18">
        <f ca="1">IF($A106="","",SUMIFS('Current Char Stats'!$D$4:$D$273,'Current Char Stats'!$A$4:$A$273,$A106,'Current Char Stats'!$B$4:$B$273,$B106))</f>
        <v>4</v>
      </c>
      <c r="D106" s="18">
        <f ca="1">IF($A106="","",SUMIFS('Current Char Stats'!$E$4:$E$273,'Current Char Stats'!$A$4:$A$273,$A106,'Current Char Stats'!$B$4:$B$273,$B106))</f>
        <v>1</v>
      </c>
      <c r="E106" s="61">
        <f t="shared" ca="1" si="2"/>
        <v>0.25</v>
      </c>
      <c r="F106" s="18">
        <f ca="1">IF($A106="","",SUMIFS('Current Char Stats'!$G$4:$G$273,'Current Char Stats'!$A$4:$A$273,$A106,'Current Char Stats'!$B$4:$B$273,$B106))</f>
        <v>1</v>
      </c>
      <c r="G106" s="18">
        <f ca="1">IF($A106="","",SUMIFS('Current Char Stats'!$H$4:$H$273,'Current Char Stats'!$A$4:$A$273,$A106,'Current Char Stats'!$B$4:$B$273,$B106))</f>
        <v>2</v>
      </c>
      <c r="H106" s="18">
        <f ca="1">IF($A106="","",INT(SUMIFS(Data!$AN$4:$AN$183,Data!$AL$4:$AL$183,$A106,Data!$AM$4:$AM$183,$B106))+MOD(ROUND(SUMIFS(Data!$AN$4:$AN$183,Data!$AL$4:$AL$183,$A106,Data!$AM$4:$AM$183,$B106)*3,0),3)/10)</f>
        <v>0</v>
      </c>
      <c r="I106" s="18">
        <f ca="1">IF($A106="","",SUMIFS('Current Char Stats'!$J$4:$J$273,'Current Char Stats'!$A$4:$A$273,$A106,'Current Char Stats'!$B$4:$B$273,$B106))</f>
        <v>0</v>
      </c>
      <c r="J106" s="62">
        <f ca="1">IF($A106="","",IF(SUMIFS(Data!$AN$4:$AN$183,Data!$AL$4:$AL$183,$A106,Data!$AM$4:$AM$183,$B106)=0,"",I106*3/SUMIFS(Data!$AN$4:$AN$183,Data!$AL$4:$AL$183,$A106,Data!$AM$4:$AM$183,$B106)))</f>
      </c>
    </row>
    <row r="107" spans="1:10">
      <c r="A107" s="118" t="str">
        <f>IF(Draft!D22="","",Draft!D22)</f>
        <v>Jason</v>
      </c>
      <c r="B107" s="18" t="str">
        <f>IF(Draft!E22="","",Draft!E22)</f>
        <v>Yoshi</v>
      </c>
      <c r="C107" s="18">
        <f ca="1">IF($A107="","",SUMIFS('Current Char Stats'!$D$4:$D$273,'Current Char Stats'!$A$4:$A$273,$A107,'Current Char Stats'!$B$4:$B$273,$B107))</f>
        <v>8</v>
      </c>
      <c r="D107" s="18">
        <f ca="1">IF($A107="","",SUMIFS('Current Char Stats'!$E$4:$E$273,'Current Char Stats'!$A$4:$A$273,$A107,'Current Char Stats'!$B$4:$B$273,$B107))</f>
        <v>4</v>
      </c>
      <c r="E107" s="61">
        <f t="shared" ca="1" si="2"/>
        <v>0.5</v>
      </c>
      <c r="F107" s="18">
        <f ca="1">IF($A107="","",SUMIFS('Current Char Stats'!$G$4:$G$273,'Current Char Stats'!$A$4:$A$273,$A107,'Current Char Stats'!$B$4:$B$273,$B107))</f>
        <v>0</v>
      </c>
      <c r="G107" s="18">
        <f ca="1">IF($A107="","",SUMIFS('Current Char Stats'!$H$4:$H$273,'Current Char Stats'!$A$4:$A$273,$A107,'Current Char Stats'!$B$4:$B$273,$B107))</f>
        <v>0</v>
      </c>
      <c r="H107" s="18">
        <f ca="1">IF($A107="","",INT(SUMIFS(Data!$AN$4:$AN$183,Data!$AL$4:$AL$183,$A107,Data!$AM$4:$AM$183,$B107))+MOD(ROUND(SUMIFS(Data!$AN$4:$AN$183,Data!$AL$4:$AL$183,$A107,Data!$AM$4:$AM$183,$B107)*3,0),3)/10)</f>
        <v>0</v>
      </c>
      <c r="I107" s="18">
        <f ca="1">IF($A107="","",SUMIFS('Current Char Stats'!$J$4:$J$273,'Current Char Stats'!$A$4:$A$273,$A107,'Current Char Stats'!$B$4:$B$273,$B107))</f>
        <v>0</v>
      </c>
      <c r="J107" s="62">
        <f ca="1">IF($A107="","",IF(SUMIFS(Data!$AN$4:$AN$183,Data!$AL$4:$AL$183,$A107,Data!$AM$4:$AM$183,$B107)=0,"",I107*3/SUMIFS(Data!$AN$4:$AN$183,Data!$AL$4:$AL$183,$A107,Data!$AM$4:$AM$183,$B107)))</f>
      </c>
    </row>
    <row r="108" spans="1:10">
      <c r="A108" s="119" t="str">
        <f>IF(Draft!D23="","",Draft!D23)</f>
        <v>May</v>
      </c>
      <c r="B108" s="18" t="str">
        <f>IF(Draft!E23="","",Draft!E23)</f>
        <v>King Boo</v>
      </c>
      <c r="C108" s="18">
        <f ca="1">IF($A108="","",SUMIFS('Current Char Stats'!$D$4:$D$273,'Current Char Stats'!$A$4:$A$273,$A108,'Current Char Stats'!$B$4:$B$273,$B108))</f>
        <v>5</v>
      </c>
      <c r="D108" s="18">
        <f ca="1">IF($A108="","",SUMIFS('Current Char Stats'!$E$4:$E$273,'Current Char Stats'!$A$4:$A$273,$A108,'Current Char Stats'!$B$4:$B$273,$B108))</f>
        <v>2</v>
      </c>
      <c r="E108" s="61">
        <f t="shared" ca="1" si="2"/>
        <v>0.4</v>
      </c>
      <c r="F108" s="18">
        <f ca="1">IF($A108="","",SUMIFS('Current Char Stats'!$G$4:$G$273,'Current Char Stats'!$A$4:$A$273,$A108,'Current Char Stats'!$B$4:$B$273,$B108))</f>
        <v>1</v>
      </c>
      <c r="G108" s="18">
        <f ca="1">IF($A108="","",SUMIFS('Current Char Stats'!$H$4:$H$273,'Current Char Stats'!$A$4:$A$273,$A108,'Current Char Stats'!$B$4:$B$273,$B108))</f>
        <v>1</v>
      </c>
      <c r="H108" s="18">
        <f ca="1">IF($A108="","",INT(SUMIFS(Data!$AN$4:$AN$183,Data!$AL$4:$AL$183,$A108,Data!$AM$4:$AM$183,$B108))+MOD(ROUND(SUMIFS(Data!$AN$4:$AN$183,Data!$AL$4:$AL$183,$A108,Data!$AM$4:$AM$183,$B108)*3,0),3)/10)</f>
        <v>9</v>
      </c>
      <c r="I108" s="18">
        <f ca="1">IF($A108="","",SUMIFS('Current Char Stats'!$J$4:$J$273,'Current Char Stats'!$A$4:$A$273,$A108,'Current Char Stats'!$B$4:$B$273,$B108))</f>
        <v>2</v>
      </c>
      <c r="J108" s="62">
        <f ca="1">IF($A108="","",IF(SUMIFS(Data!$AN$4:$AN$183,Data!$AL$4:$AL$183,$A108,Data!$AM$4:$AM$183,$B108)=0,"",I108*3/SUMIFS(Data!$AN$4:$AN$183,Data!$AL$4:$AL$183,$A108,Data!$AM$4:$AM$183,$B108)))</f>
        <v>0.6666666666666666</v>
      </c>
    </row>
    <row r="109" spans="1:10">
      <c r="A109" s="119" t="str">
        <f>IF(Draft!D24="","",Draft!D24)</f>
        <v>May</v>
      </c>
      <c r="B109" s="18" t="str">
        <f>IF(Draft!E24="","",Draft!E24)</f>
        <v>Red Kritter</v>
      </c>
      <c r="C109" s="18">
        <f ca="1">IF($A109="","",SUMIFS('Current Char Stats'!$D$4:$D$273,'Current Char Stats'!$A$4:$A$273,$A109,'Current Char Stats'!$B$4:$B$273,$B109))</f>
        <v>4</v>
      </c>
      <c r="D109" s="18">
        <f ca="1">IF($A109="","",SUMIFS('Current Char Stats'!$E$4:$E$273,'Current Char Stats'!$A$4:$A$273,$A109,'Current Char Stats'!$B$4:$B$273,$B109))</f>
        <v>1</v>
      </c>
      <c r="E109" s="61">
        <f t="shared" ca="1" si="2"/>
        <v>0.25</v>
      </c>
      <c r="F109" s="18">
        <f ca="1">IF($A109="","",SUMIFS('Current Char Stats'!$G$4:$G$273,'Current Char Stats'!$A$4:$A$273,$A109,'Current Char Stats'!$B$4:$B$273,$B109))</f>
        <v>1</v>
      </c>
      <c r="G109" s="18">
        <f ca="1">IF($A109="","",SUMIFS('Current Char Stats'!$H$4:$H$273,'Current Char Stats'!$A$4:$A$273,$A109,'Current Char Stats'!$B$4:$B$273,$B109))</f>
        <v>1</v>
      </c>
      <c r="H109" s="18">
        <f ca="1">IF($A109="","",INT(SUMIFS(Data!$AN$4:$AN$183,Data!$AL$4:$AL$183,$A109,Data!$AM$4:$AM$183,$B109))+MOD(ROUND(SUMIFS(Data!$AN$4:$AN$183,Data!$AL$4:$AL$183,$A109,Data!$AM$4:$AM$183,$B109)*3,0),3)/10)</f>
        <v>0</v>
      </c>
      <c r="I109" s="18">
        <f ca="1">IF($A109="","",SUMIFS('Current Char Stats'!$J$4:$J$273,'Current Char Stats'!$A$4:$A$273,$A109,'Current Char Stats'!$B$4:$B$273,$B109))</f>
        <v>0</v>
      </c>
      <c r="J109" s="62">
        <f ca="1">IF($A109="","",IF(SUMIFS(Data!$AN$4:$AN$183,Data!$AL$4:$AL$183,$A109,Data!$AM$4:$AM$183,$B109)=0,"",I109*3/SUMIFS(Data!$AN$4:$AN$183,Data!$AL$4:$AL$183,$A109,Data!$AM$4:$AM$183,$B109)))</f>
      </c>
    </row>
    <row r="110" spans="1:10">
      <c r="A110" s="118" t="str">
        <f>IF(Draft!D25="","",Draft!D25)</f>
        <v>Jason</v>
      </c>
      <c r="B110" s="18" t="str">
        <f>IF(Draft!E25="","",Draft!E25)</f>
        <v>King K. Rool</v>
      </c>
      <c r="C110" s="18">
        <f ca="1">IF($A110="","",SUMIFS('Current Char Stats'!$D$4:$D$273,'Current Char Stats'!$A$4:$A$273,$A110,'Current Char Stats'!$B$4:$B$273,$B110))</f>
        <v>7</v>
      </c>
      <c r="D110" s="18">
        <f ca="1">IF($A110="","",SUMIFS('Current Char Stats'!$E$4:$E$273,'Current Char Stats'!$A$4:$A$273,$A110,'Current Char Stats'!$B$4:$B$273,$B110))</f>
        <v>2</v>
      </c>
      <c r="E110" s="61">
        <f t="shared" ca="1" si="2"/>
        <v>0.2857142857142857</v>
      </c>
      <c r="F110" s="18">
        <f ca="1">IF($A110="","",SUMIFS('Current Char Stats'!$G$4:$G$273,'Current Char Stats'!$A$4:$A$273,$A110,'Current Char Stats'!$B$4:$B$273,$B110))</f>
        <v>1</v>
      </c>
      <c r="G110" s="18">
        <f ca="1">IF($A110="","",SUMIFS('Current Char Stats'!$H$4:$H$273,'Current Char Stats'!$A$4:$A$273,$A110,'Current Char Stats'!$B$4:$B$273,$B110))</f>
        <v>1</v>
      </c>
      <c r="H110" s="18">
        <f ca="1">IF($A110="","",INT(SUMIFS(Data!$AN$4:$AN$183,Data!$AL$4:$AL$183,$A110,Data!$AM$4:$AM$183,$B110))+MOD(ROUND(SUMIFS(Data!$AN$4:$AN$183,Data!$AL$4:$AL$183,$A110,Data!$AM$4:$AM$183,$B110)*3,0),3)/10)</f>
        <v>3.1</v>
      </c>
      <c r="I110" s="18">
        <f ca="1">IF($A110="","",SUMIFS('Current Char Stats'!$J$4:$J$273,'Current Char Stats'!$A$4:$A$273,$A110,'Current Char Stats'!$B$4:$B$273,$B110))</f>
        <v>0</v>
      </c>
      <c r="J110" s="62">
        <f ca="1">IF($A110="","",IF(SUMIFS(Data!$AN$4:$AN$183,Data!$AL$4:$AL$183,$A110,Data!$AM$4:$AM$183,$B110)=0,"",I110*3/SUMIFS(Data!$AN$4:$AN$183,Data!$AL$4:$AL$183,$A110,Data!$AM$4:$AM$183,$B110)))</f>
        <v>0.0</v>
      </c>
    </row>
    <row r="111" spans="1:10">
      <c r="A111" s="117" t="str">
        <f>IF(Draft!D26="","",Draft!D26)</f>
        <v>Aidan</v>
      </c>
      <c r="B111" s="18" t="str">
        <f>IF(Draft!E26="","",Draft!E26)</f>
        <v>Pink Yoshi</v>
      </c>
      <c r="C111" s="18">
        <f ca="1">IF($A111="","",SUMIFS('Current Char Stats'!$D$4:$D$273,'Current Char Stats'!$A$4:$A$273,$A111,'Current Char Stats'!$B$4:$B$273,$B111))</f>
        <v>3</v>
      </c>
      <c r="D111" s="18">
        <f ca="1">IF($A111="","",SUMIFS('Current Char Stats'!$E$4:$E$273,'Current Char Stats'!$A$4:$A$273,$A111,'Current Char Stats'!$B$4:$B$273,$B111))</f>
        <v>0</v>
      </c>
      <c r="E111" s="61">
        <f t="shared" ca="1" si="2"/>
        <v>0.0</v>
      </c>
      <c r="F111" s="18">
        <f ca="1">IF($A111="","",SUMIFS('Current Char Stats'!$G$4:$G$273,'Current Char Stats'!$A$4:$A$273,$A111,'Current Char Stats'!$B$4:$B$273,$B111))</f>
        <v>0</v>
      </c>
      <c r="G111" s="18">
        <f ca="1">IF($A111="","",SUMIFS('Current Char Stats'!$H$4:$H$273,'Current Char Stats'!$A$4:$A$273,$A111,'Current Char Stats'!$B$4:$B$273,$B111))</f>
        <v>0</v>
      </c>
      <c r="H111" s="18">
        <f ca="1">IF($A111="","",INT(SUMIFS(Data!$AN$4:$AN$183,Data!$AL$4:$AL$183,$A111,Data!$AM$4:$AM$183,$B111))+MOD(ROUND(SUMIFS(Data!$AN$4:$AN$183,Data!$AL$4:$AL$183,$A111,Data!$AM$4:$AM$183,$B111)*3,0),3)/10)</f>
        <v>0</v>
      </c>
      <c r="I111" s="18">
        <f ca="1">IF($A111="","",SUMIFS('Current Char Stats'!$J$4:$J$273,'Current Char Stats'!$A$4:$A$273,$A111,'Current Char Stats'!$B$4:$B$273,$B111))</f>
        <v>0</v>
      </c>
      <c r="J111" s="62">
        <f ca="1">IF($A111="","",IF(SUMIFS(Data!$AN$4:$AN$183,Data!$AL$4:$AL$183,$A111,Data!$AM$4:$AM$183,$B111)=0,"",I111*3/SUMIFS(Data!$AN$4:$AN$183,Data!$AL$4:$AL$183,$A111,Data!$AM$4:$AM$183,$B111)))</f>
      </c>
    </row>
    <row r="112" spans="1:10">
      <c r="A112" s="116" t="str">
        <f>IF(Draft!D27="","",Draft!D27)</f>
        <v>Nick</v>
      </c>
      <c r="B112" s="18" t="str">
        <f>IF(Draft!E27="","",Draft!E27)</f>
        <v>Blue Toad</v>
      </c>
      <c r="C112" s="18">
        <f ca="1">IF($A112="","",SUMIFS('Current Char Stats'!$D$4:$D$273,'Current Char Stats'!$A$4:$A$273,$A112,'Current Char Stats'!$B$4:$B$273,$B112))</f>
        <v>5</v>
      </c>
      <c r="D112" s="18">
        <f ca="1">IF($A112="","",SUMIFS('Current Char Stats'!$E$4:$E$273,'Current Char Stats'!$A$4:$A$273,$A112,'Current Char Stats'!$B$4:$B$273,$B112))</f>
        <v>2</v>
      </c>
      <c r="E112" s="61">
        <f t="shared" ca="1" si="2"/>
        <v>0.4</v>
      </c>
      <c r="F112" s="18">
        <f ca="1">IF($A112="","",SUMIFS('Current Char Stats'!$G$4:$G$273,'Current Char Stats'!$A$4:$A$273,$A112,'Current Char Stats'!$B$4:$B$273,$B112))</f>
        <v>1</v>
      </c>
      <c r="G112" s="18">
        <f ca="1">IF($A112="","",SUMIFS('Current Char Stats'!$H$4:$H$273,'Current Char Stats'!$A$4:$A$273,$A112,'Current Char Stats'!$B$4:$B$273,$B112))</f>
        <v>3</v>
      </c>
      <c r="H112" s="18">
        <f ca="1">IF($A112="","",INT(SUMIFS(Data!$AN$4:$AN$183,Data!$AL$4:$AL$183,$A112,Data!$AM$4:$AM$183,$B112))+MOD(ROUND(SUMIFS(Data!$AN$4:$AN$183,Data!$AL$4:$AL$183,$A112,Data!$AM$4:$AM$183,$B112)*3,0),3)/10)</f>
        <v>0</v>
      </c>
      <c r="I112" s="18">
        <f ca="1">IF($A112="","",SUMIFS('Current Char Stats'!$J$4:$J$273,'Current Char Stats'!$A$4:$A$273,$A112,'Current Char Stats'!$B$4:$B$273,$B112))</f>
        <v>0</v>
      </c>
      <c r="J112" s="62">
        <f ca="1">IF($A112="","",IF(SUMIFS(Data!$AN$4:$AN$183,Data!$AL$4:$AL$183,$A112,Data!$AM$4:$AM$183,$B112)=0,"",I112*3/SUMIFS(Data!$AN$4:$AN$183,Data!$AL$4:$AL$183,$A112,Data!$AM$4:$AM$183,$B112)))</f>
      </c>
    </row>
    <row r="113" spans="1:10">
      <c r="A113" s="115" t="str">
        <f>IF(Draft!D28="","",Draft!D28)</f>
        <v>Donovan</v>
      </c>
      <c r="B113" s="18" t="str">
        <f>IF(Draft!E28="","",Draft!E28)</f>
        <v>Baby DK</v>
      </c>
      <c r="C113" s="18">
        <f ca="1">IF($A113="","",SUMIFS('Current Char Stats'!$D$4:$D$273,'Current Char Stats'!$A$4:$A$273,$A113,'Current Char Stats'!$B$4:$B$273,$B113))</f>
        <v>3</v>
      </c>
      <c r="D113" s="18">
        <f ca="1">IF($A113="","",SUMIFS('Current Char Stats'!$E$4:$E$273,'Current Char Stats'!$A$4:$A$273,$A113,'Current Char Stats'!$B$4:$B$273,$B113))</f>
        <v>0</v>
      </c>
      <c r="E113" s="61">
        <f t="shared" ca="1" si="2"/>
        <v>0.0</v>
      </c>
      <c r="F113" s="18">
        <f ca="1">IF($A113="","",SUMIFS('Current Char Stats'!$G$4:$G$273,'Current Char Stats'!$A$4:$A$273,$A113,'Current Char Stats'!$B$4:$B$273,$B113))</f>
        <v>0</v>
      </c>
      <c r="G113" s="18">
        <f ca="1">IF($A113="","",SUMIFS('Current Char Stats'!$H$4:$H$273,'Current Char Stats'!$A$4:$A$273,$A113,'Current Char Stats'!$B$4:$B$273,$B113))</f>
        <v>0</v>
      </c>
      <c r="H113" s="18">
        <f ca="1">IF($A113="","",INT(SUMIFS(Data!$AN$4:$AN$183,Data!$AL$4:$AL$183,$A113,Data!$AM$4:$AM$183,$B113))+MOD(ROUND(SUMIFS(Data!$AN$4:$AN$183,Data!$AL$4:$AL$183,$A113,Data!$AM$4:$AM$183,$B113)*3,0),3)/10)</f>
        <v>0</v>
      </c>
      <c r="I113" s="18">
        <f ca="1">IF($A113="","",SUMIFS('Current Char Stats'!$J$4:$J$273,'Current Char Stats'!$A$4:$A$273,$A113,'Current Char Stats'!$B$4:$B$273,$B113))</f>
        <v>0</v>
      </c>
      <c r="J113" s="62">
        <f ca="1">IF($A113="","",IF(SUMIFS(Data!$AN$4:$AN$183,Data!$AL$4:$AL$183,$A113,Data!$AM$4:$AM$183,$B113)=0,"",I113*3/SUMIFS(Data!$AN$4:$AN$183,Data!$AL$4:$AL$183,$A113,Data!$AM$4:$AM$183,$B113)))</f>
      </c>
    </row>
    <row r="114" spans="1:10">
      <c r="A114" s="114" t="str">
        <f>IF(Draft!D29="","",Draft!D29)</f>
        <v>Justin</v>
      </c>
      <c r="B114" s="18" t="str">
        <f>IF(Draft!E29="","",Draft!E29)</f>
        <v>Yellow Magikoopa</v>
      </c>
      <c r="C114" s="18">
        <f ca="1">IF($A114="","",SUMIFS('Current Char Stats'!$D$4:$D$273,'Current Char Stats'!$A$4:$A$273,$A114,'Current Char Stats'!$B$4:$B$273,$B114))</f>
        <v>2</v>
      </c>
      <c r="D114" s="18">
        <f ca="1">IF($A114="","",SUMIFS('Current Char Stats'!$E$4:$E$273,'Current Char Stats'!$A$4:$A$273,$A114,'Current Char Stats'!$B$4:$B$273,$B114))</f>
        <v>2</v>
      </c>
      <c r="E114" s="61">
        <f t="shared" ca="1" si="2"/>
        <v>1.0</v>
      </c>
      <c r="F114" s="18">
        <f ca="1">IF($A114="","",SUMIFS('Current Char Stats'!$G$4:$G$273,'Current Char Stats'!$A$4:$A$273,$A114,'Current Char Stats'!$B$4:$B$273,$B114))</f>
        <v>1</v>
      </c>
      <c r="G114" s="18">
        <f ca="1">IF($A114="","",SUMIFS('Current Char Stats'!$H$4:$H$273,'Current Char Stats'!$A$4:$A$273,$A114,'Current Char Stats'!$B$4:$B$273,$B114))</f>
        <v>1</v>
      </c>
      <c r="H114" s="18">
        <f ca="1">IF($A114="","",INT(SUMIFS(Data!$AN$4:$AN$183,Data!$AL$4:$AL$183,$A114,Data!$AM$4:$AM$183,$B114))+MOD(ROUND(SUMIFS(Data!$AN$4:$AN$183,Data!$AL$4:$AL$183,$A114,Data!$AM$4:$AM$183,$B114)*3,0),3)/10)</f>
        <v>0</v>
      </c>
      <c r="I114" s="18">
        <f ca="1">IF($A114="","",SUMIFS('Current Char Stats'!$J$4:$J$273,'Current Char Stats'!$A$4:$A$273,$A114,'Current Char Stats'!$B$4:$B$273,$B114))</f>
        <v>0</v>
      </c>
      <c r="J114" s="62">
        <f ca="1">IF($A114="","",IF(SUMIFS(Data!$AN$4:$AN$183,Data!$AL$4:$AL$183,$A114,Data!$AM$4:$AM$183,$B114)=0,"",I114*3/SUMIFS(Data!$AN$4:$AN$183,Data!$AL$4:$AL$183,$A114,Data!$AM$4:$AM$183,$B114)))</f>
      </c>
    </row>
    <row r="115" spans="1:10">
      <c r="A115" s="114" t="str">
        <f>IF(Draft!D30="","",Draft!D30)</f>
        <v>Justin</v>
      </c>
      <c r="B115" s="18" t="str">
        <f>IF(Draft!E30="","",Draft!E30)</f>
        <v>Blue Yoshi</v>
      </c>
      <c r="C115" s="18">
        <f ca="1">IF($A115="","",SUMIFS('Current Char Stats'!$D$4:$D$273,'Current Char Stats'!$A$4:$A$273,$A115,'Current Char Stats'!$B$4:$B$273,$B115))</f>
        <v>3</v>
      </c>
      <c r="D115" s="18">
        <f ca="1">IF($A115="","",SUMIFS('Current Char Stats'!$E$4:$E$273,'Current Char Stats'!$A$4:$A$273,$A115,'Current Char Stats'!$B$4:$B$273,$B115))</f>
        <v>0</v>
      </c>
      <c r="E115" s="61">
        <f t="shared" ca="1" si="2"/>
        <v>0.0</v>
      </c>
      <c r="F115" s="18">
        <f ca="1">IF($A115="","",SUMIFS('Current Char Stats'!$G$4:$G$273,'Current Char Stats'!$A$4:$A$273,$A115,'Current Char Stats'!$B$4:$B$273,$B115))</f>
        <v>0</v>
      </c>
      <c r="G115" s="18">
        <f ca="1">IF($A115="","",SUMIFS('Current Char Stats'!$H$4:$H$273,'Current Char Stats'!$A$4:$A$273,$A115,'Current Char Stats'!$B$4:$B$273,$B115))</f>
        <v>0</v>
      </c>
      <c r="H115" s="18">
        <f ca="1">IF($A115="","",INT(SUMIFS(Data!$AN$4:$AN$183,Data!$AL$4:$AL$183,$A115,Data!$AM$4:$AM$183,$B115))+MOD(ROUND(SUMIFS(Data!$AN$4:$AN$183,Data!$AL$4:$AL$183,$A115,Data!$AM$4:$AM$183,$B115)*3,0),3)/10)</f>
        <v>0</v>
      </c>
      <c r="I115" s="18">
        <f ca="1">IF($A115="","",SUMIFS('Current Char Stats'!$J$4:$J$273,'Current Char Stats'!$A$4:$A$273,$A115,'Current Char Stats'!$B$4:$B$273,$B115))</f>
        <v>0</v>
      </c>
      <c r="J115" s="62">
        <f ca="1">IF($A115="","",IF(SUMIFS(Data!$AN$4:$AN$183,Data!$AL$4:$AL$183,$A115,Data!$AM$4:$AM$183,$B115)=0,"",I115*3/SUMIFS(Data!$AN$4:$AN$183,Data!$AL$4:$AL$183,$A115,Data!$AM$4:$AM$183,$B115)))</f>
      </c>
    </row>
    <row r="116" spans="1:10">
      <c r="A116" s="115" t="str">
        <f>IF(Draft!D31="","",Draft!D31)</f>
        <v>Donovan</v>
      </c>
      <c r="B116" s="18" t="str">
        <f>IF(Draft!E31="","",Draft!E31)</f>
        <v>Dixie Kong</v>
      </c>
      <c r="C116" s="18">
        <f ca="1">IF($A116="","",SUMIFS('Current Char Stats'!$D$4:$D$273,'Current Char Stats'!$A$4:$A$273,$A116,'Current Char Stats'!$B$4:$B$273,$B116))</f>
        <v>3</v>
      </c>
      <c r="D116" s="18">
        <f ca="1">IF($A116="","",SUMIFS('Current Char Stats'!$E$4:$E$273,'Current Char Stats'!$A$4:$A$273,$A116,'Current Char Stats'!$B$4:$B$273,$B116))</f>
        <v>0</v>
      </c>
      <c r="E116" s="61">
        <f t="shared" ca="1" si="2"/>
        <v>0.0</v>
      </c>
      <c r="F116" s="18">
        <f ca="1">IF($A116="","",SUMIFS('Current Char Stats'!$G$4:$G$273,'Current Char Stats'!$A$4:$A$273,$A116,'Current Char Stats'!$B$4:$B$273,$B116))</f>
        <v>0</v>
      </c>
      <c r="G116" s="18">
        <f ca="1">IF($A116="","",SUMIFS('Current Char Stats'!$H$4:$H$273,'Current Char Stats'!$A$4:$A$273,$A116,'Current Char Stats'!$B$4:$B$273,$B116))</f>
        <v>0</v>
      </c>
      <c r="H116" s="18">
        <f ca="1">IF($A116="","",INT(SUMIFS(Data!$AN$4:$AN$183,Data!$AL$4:$AL$183,$A116,Data!$AM$4:$AM$183,$B116))+MOD(ROUND(SUMIFS(Data!$AN$4:$AN$183,Data!$AL$4:$AL$183,$A116,Data!$AM$4:$AM$183,$B116)*3,0),3)/10)</f>
        <v>0</v>
      </c>
      <c r="I116" s="18">
        <f ca="1">IF($A116="","",SUMIFS('Current Char Stats'!$J$4:$J$273,'Current Char Stats'!$A$4:$A$273,$A116,'Current Char Stats'!$B$4:$B$273,$B116))</f>
        <v>0</v>
      </c>
      <c r="J116" s="62">
        <f ca="1">IF($A116="","",IF(SUMIFS(Data!$AN$4:$AN$183,Data!$AL$4:$AL$183,$A116,Data!$AM$4:$AM$183,$B116)=0,"",I116*3/SUMIFS(Data!$AN$4:$AN$183,Data!$AL$4:$AL$183,$A116,Data!$AM$4:$AM$183,$B116)))</f>
      </c>
    </row>
    <row r="117" spans="1:10">
      <c r="A117" s="116" t="str">
        <f>IF(Draft!D32="","",Draft!D32)</f>
        <v>Nick</v>
      </c>
      <c r="B117" s="18" t="str">
        <f>IF(Draft!E32="","",Draft!E32)</f>
        <v>Monty Mole</v>
      </c>
      <c r="C117" s="18">
        <f ca="1">IF($A117="","",SUMIFS('Current Char Stats'!$D$4:$D$273,'Current Char Stats'!$A$4:$A$273,$A117,'Current Char Stats'!$B$4:$B$273,$B117))</f>
        <v>9</v>
      </c>
      <c r="D117" s="18">
        <f ca="1">IF($A117="","",SUMIFS('Current Char Stats'!$E$4:$E$273,'Current Char Stats'!$A$4:$A$273,$A117,'Current Char Stats'!$B$4:$B$273,$B117))</f>
        <v>0</v>
      </c>
      <c r="E117" s="61">
        <f t="shared" ca="1" si="2"/>
        <v>0.0</v>
      </c>
      <c r="F117" s="18">
        <f ca="1">IF($A117="","",SUMIFS('Current Char Stats'!$G$4:$G$273,'Current Char Stats'!$A$4:$A$273,$A117,'Current Char Stats'!$B$4:$B$273,$B117))</f>
        <v>0</v>
      </c>
      <c r="G117" s="18">
        <f ca="1">IF($A117="","",SUMIFS('Current Char Stats'!$H$4:$H$273,'Current Char Stats'!$A$4:$A$273,$A117,'Current Char Stats'!$B$4:$B$273,$B117))</f>
        <v>0</v>
      </c>
      <c r="H117" s="18">
        <f ca="1">IF($A117="","",INT(SUMIFS(Data!$AN$4:$AN$183,Data!$AL$4:$AL$183,$A117,Data!$AM$4:$AM$183,$B117))+MOD(ROUND(SUMIFS(Data!$AN$4:$AN$183,Data!$AL$4:$AL$183,$A117,Data!$AM$4:$AM$183,$B117)*3,0),3)/10)</f>
        <v>0</v>
      </c>
      <c r="I117" s="18">
        <f ca="1">IF($A117="","",SUMIFS('Current Char Stats'!$J$4:$J$273,'Current Char Stats'!$A$4:$A$273,$A117,'Current Char Stats'!$B$4:$B$273,$B117))</f>
        <v>0</v>
      </c>
      <c r="J117" s="62">
        <f ca="1">IF($A117="","",IF(SUMIFS(Data!$AN$4:$AN$183,Data!$AL$4:$AL$183,$A117,Data!$AM$4:$AM$183,$B117)=0,"",I117*3/SUMIFS(Data!$AN$4:$AN$183,Data!$AL$4:$AL$183,$A117,Data!$AM$4:$AM$183,$B117)))</f>
      </c>
    </row>
    <row r="118" spans="1:10">
      <c r="A118" s="117" t="str">
        <f>IF(Draft!D33="","",Draft!D33)</f>
        <v>Aidan</v>
      </c>
      <c r="B118" s="18" t="str">
        <f>IF(Draft!E33="","",Draft!E33)</f>
        <v>Red Magikoopa</v>
      </c>
      <c r="C118" s="18">
        <f ca="1">IF($A118="","",SUMIFS('Current Char Stats'!$D$4:$D$273,'Current Char Stats'!$A$4:$A$273,$A118,'Current Char Stats'!$B$4:$B$273,$B118))</f>
        <v>3</v>
      </c>
      <c r="D118" s="18">
        <f ca="1">IF($A118="","",SUMIFS('Current Char Stats'!$E$4:$E$273,'Current Char Stats'!$A$4:$A$273,$A118,'Current Char Stats'!$B$4:$B$273,$B118))</f>
        <v>1</v>
      </c>
      <c r="E118" s="61">
        <f t="shared" ca="1" si="2"/>
        <v>0.3333333333333333</v>
      </c>
      <c r="F118" s="18">
        <f ca="1">IF($A118="","",SUMIFS('Current Char Stats'!$G$4:$G$273,'Current Char Stats'!$A$4:$A$273,$A118,'Current Char Stats'!$B$4:$B$273,$B118))</f>
        <v>0</v>
      </c>
      <c r="G118" s="18">
        <f ca="1">IF($A118="","",SUMIFS('Current Char Stats'!$H$4:$H$273,'Current Char Stats'!$A$4:$A$273,$A118,'Current Char Stats'!$B$4:$B$273,$B118))</f>
        <v>0</v>
      </c>
      <c r="H118" s="18">
        <f ca="1">IF($A118="","",INT(SUMIFS(Data!$AN$4:$AN$183,Data!$AL$4:$AL$183,$A118,Data!$AM$4:$AM$183,$B118))+MOD(ROUND(SUMIFS(Data!$AN$4:$AN$183,Data!$AL$4:$AL$183,$A118,Data!$AM$4:$AM$183,$B118)*3,0),3)/10)</f>
        <v>4.2</v>
      </c>
      <c r="I118" s="18">
        <f ca="1">IF($A118="","",SUMIFS('Current Char Stats'!$J$4:$J$273,'Current Char Stats'!$A$4:$A$273,$A118,'Current Char Stats'!$B$4:$B$273,$B118))</f>
        <v>6</v>
      </c>
      <c r="J118" s="62">
        <f ca="1">IF($A118="","",IF(SUMIFS(Data!$AN$4:$AN$183,Data!$AL$4:$AL$183,$A118,Data!$AM$4:$AM$183,$B118)=0,"",I118*3/SUMIFS(Data!$AN$4:$AN$183,Data!$AL$4:$AL$183,$A118,Data!$AM$4:$AM$183,$B118)))</f>
        <v>3.8571428571428568</v>
      </c>
    </row>
    <row r="119" spans="1:10">
      <c r="A119" s="118" t="str">
        <f>IF(Draft!D34="","",Draft!D34)</f>
        <v>Jason</v>
      </c>
      <c r="B119" s="18" t="str">
        <f>IF(Draft!E34="","",Draft!E34)</f>
        <v>Baby Daisy</v>
      </c>
      <c r="C119" s="18">
        <f ca="1">IF($A119="","",SUMIFS('Current Char Stats'!$D$4:$D$273,'Current Char Stats'!$A$4:$A$273,$A119,'Current Char Stats'!$B$4:$B$273,$B119))</f>
        <v>4</v>
      </c>
      <c r="D119" s="18">
        <f ca="1">IF($A119="","",SUMIFS('Current Char Stats'!$E$4:$E$273,'Current Char Stats'!$A$4:$A$273,$A119,'Current Char Stats'!$B$4:$B$273,$B119))</f>
        <v>3</v>
      </c>
      <c r="E119" s="61">
        <f t="shared" ca="1" si="2"/>
        <v>0.75</v>
      </c>
      <c r="F119" s="18">
        <f ca="1">IF($A119="","",SUMIFS('Current Char Stats'!$G$4:$G$273,'Current Char Stats'!$A$4:$A$273,$A119,'Current Char Stats'!$B$4:$B$273,$B119))</f>
        <v>0</v>
      </c>
      <c r="G119" s="18">
        <f ca="1">IF($A119="","",SUMIFS('Current Char Stats'!$H$4:$H$273,'Current Char Stats'!$A$4:$A$273,$A119,'Current Char Stats'!$B$4:$B$273,$B119))</f>
        <v>0</v>
      </c>
      <c r="H119" s="18">
        <f ca="1">IF($A119="","",INT(SUMIFS(Data!$AN$4:$AN$183,Data!$AL$4:$AL$183,$A119,Data!$AM$4:$AM$183,$B119))+MOD(ROUND(SUMIFS(Data!$AN$4:$AN$183,Data!$AL$4:$AL$183,$A119,Data!$AM$4:$AM$183,$B119)*3,0),3)/10)</f>
        <v>0</v>
      </c>
      <c r="I119" s="18">
        <f ca="1">IF($A119="","",SUMIFS('Current Char Stats'!$J$4:$J$273,'Current Char Stats'!$A$4:$A$273,$A119,'Current Char Stats'!$B$4:$B$273,$B119))</f>
        <v>0</v>
      </c>
      <c r="J119" s="62">
        <f ca="1">IF($A119="","",IF(SUMIFS(Data!$AN$4:$AN$183,Data!$AL$4:$AL$183,$A119,Data!$AM$4:$AM$183,$B119)=0,"",I119*3/SUMIFS(Data!$AN$4:$AN$183,Data!$AL$4:$AL$183,$A119,Data!$AM$4:$AM$183,$B119)))</f>
      </c>
    </row>
    <row r="120" spans="1:10">
      <c r="A120" s="119" t="str">
        <f>IF(Draft!D35="","",Draft!D35)</f>
        <v>May</v>
      </c>
      <c r="B120" s="18" t="str">
        <f>IF(Draft!E35="","",Draft!E35)</f>
        <v>Red Yoshi</v>
      </c>
      <c r="C120" s="18">
        <f ca="1">IF($A120="","",SUMIFS('Current Char Stats'!$D$4:$D$273,'Current Char Stats'!$A$4:$A$273,$A120,'Current Char Stats'!$B$4:$B$273,$B120))</f>
        <v>5</v>
      </c>
      <c r="D120" s="18">
        <f ca="1">IF($A120="","",SUMIFS('Current Char Stats'!$E$4:$E$273,'Current Char Stats'!$A$4:$A$273,$A120,'Current Char Stats'!$B$4:$B$273,$B120))</f>
        <v>3</v>
      </c>
      <c r="E120" s="61">
        <f t="shared" ca="1" si="2"/>
        <v>0.6</v>
      </c>
      <c r="F120" s="18">
        <f ca="1">IF($A120="","",SUMIFS('Current Char Stats'!$G$4:$G$273,'Current Char Stats'!$A$4:$A$273,$A120,'Current Char Stats'!$B$4:$B$273,$B120))</f>
        <v>0</v>
      </c>
      <c r="G120" s="18">
        <f ca="1">IF($A120="","",SUMIFS('Current Char Stats'!$H$4:$H$273,'Current Char Stats'!$A$4:$A$273,$A120,'Current Char Stats'!$B$4:$B$273,$B120))</f>
        <v>0</v>
      </c>
      <c r="H120" s="18">
        <f ca="1">IF($A120="","",INT(SUMIFS(Data!$AN$4:$AN$183,Data!$AL$4:$AL$183,$A120,Data!$AM$4:$AM$183,$B120))+MOD(ROUND(SUMIFS(Data!$AN$4:$AN$183,Data!$AL$4:$AL$183,$A120,Data!$AM$4:$AM$183,$B120)*3,0),3)/10)</f>
        <v>0</v>
      </c>
      <c r="I120" s="18">
        <f ca="1">IF($A120="","",SUMIFS('Current Char Stats'!$J$4:$J$273,'Current Char Stats'!$A$4:$A$273,$A120,'Current Char Stats'!$B$4:$B$273,$B120))</f>
        <v>0</v>
      </c>
      <c r="J120" s="62">
        <f ca="1">IF($A120="","",IF(SUMIFS(Data!$AN$4:$AN$183,Data!$AL$4:$AL$183,$A120,Data!$AM$4:$AM$183,$B120)=0,"",I120*3/SUMIFS(Data!$AN$4:$AN$183,Data!$AL$4:$AL$183,$A120,Data!$AM$4:$AM$183,$B120)))</f>
      </c>
    </row>
    <row r="121" spans="1:10">
      <c r="A121" s="119" t="str">
        <f>IF(Draft!D36="","",Draft!D36)</f>
        <v>May</v>
      </c>
      <c r="B121" s="18" t="str">
        <f>IF(Draft!E36="","",Draft!E36)</f>
        <v>Baby Peach</v>
      </c>
      <c r="C121" s="18">
        <f ca="1">IF($A121="","",SUMIFS('Current Char Stats'!$D$4:$D$273,'Current Char Stats'!$A$4:$A$273,$A121,'Current Char Stats'!$B$4:$B$273,$B121))</f>
        <v>4</v>
      </c>
      <c r="D121" s="18">
        <f ca="1">IF($A121="","",SUMIFS('Current Char Stats'!$E$4:$E$273,'Current Char Stats'!$A$4:$A$273,$A121,'Current Char Stats'!$B$4:$B$273,$B121))</f>
        <v>1</v>
      </c>
      <c r="E121" s="61">
        <f t="shared" ca="1" si="2"/>
        <v>0.25</v>
      </c>
      <c r="F121" s="18">
        <f ca="1">IF($A121="","",SUMIFS('Current Char Stats'!$G$4:$G$273,'Current Char Stats'!$A$4:$A$273,$A121,'Current Char Stats'!$B$4:$B$273,$B121))</f>
        <v>0</v>
      </c>
      <c r="G121" s="18">
        <f ca="1">IF($A121="","",SUMIFS('Current Char Stats'!$H$4:$H$273,'Current Char Stats'!$A$4:$A$273,$A121,'Current Char Stats'!$B$4:$B$273,$B121))</f>
        <v>1</v>
      </c>
      <c r="H121" s="18">
        <f ca="1">IF($A121="","",INT(SUMIFS(Data!$AN$4:$AN$183,Data!$AL$4:$AL$183,$A121,Data!$AM$4:$AM$183,$B121))+MOD(ROUND(SUMIFS(Data!$AN$4:$AN$183,Data!$AL$4:$AL$183,$A121,Data!$AM$4:$AM$183,$B121)*3,0),3)/10)</f>
        <v>3</v>
      </c>
      <c r="I121" s="18">
        <f ca="1">IF($A121="","",SUMIFS('Current Char Stats'!$J$4:$J$273,'Current Char Stats'!$A$4:$A$273,$A121,'Current Char Stats'!$B$4:$B$273,$B121))</f>
        <v>1</v>
      </c>
      <c r="J121" s="62">
        <f ca="1">IF($A121="","",IF(SUMIFS(Data!$AN$4:$AN$183,Data!$AL$4:$AL$183,$A121,Data!$AM$4:$AM$183,$B121)=0,"",I121*3/SUMIFS(Data!$AN$4:$AN$183,Data!$AL$4:$AL$183,$A121,Data!$AM$4:$AM$183,$B121)))</f>
        <v>1.0</v>
      </c>
    </row>
    <row r="122" spans="1:10">
      <c r="A122" s="118" t="str">
        <f>IF(Draft!D37="","",Draft!D37)</f>
        <v>Jason</v>
      </c>
      <c r="B122" s="18" t="str">
        <f>IF(Draft!E37="","",Draft!E37)</f>
        <v>Baby Mario</v>
      </c>
      <c r="C122" s="18">
        <f ca="1">IF($A122="","",SUMIFS('Current Char Stats'!$D$4:$D$273,'Current Char Stats'!$A$4:$A$273,$A122,'Current Char Stats'!$B$4:$B$273,$B122))</f>
        <v>6</v>
      </c>
      <c r="D122" s="18">
        <f ca="1">IF($A122="","",SUMIFS('Current Char Stats'!$E$4:$E$273,'Current Char Stats'!$A$4:$A$273,$A122,'Current Char Stats'!$B$4:$B$273,$B122))</f>
        <v>1</v>
      </c>
      <c r="E122" s="61">
        <f t="shared" ca="1" si="2"/>
        <v>0.16666666666666666</v>
      </c>
      <c r="F122" s="18">
        <f ca="1">IF($A122="","",SUMIFS('Current Char Stats'!$G$4:$G$273,'Current Char Stats'!$A$4:$A$273,$A122,'Current Char Stats'!$B$4:$B$273,$B122))</f>
        <v>0</v>
      </c>
      <c r="G122" s="18">
        <f ca="1">IF($A122="","",SUMIFS('Current Char Stats'!$H$4:$H$273,'Current Char Stats'!$A$4:$A$273,$A122,'Current Char Stats'!$B$4:$B$273,$B122))</f>
        <v>0</v>
      </c>
      <c r="H122" s="18">
        <f ca="1">IF($A122="","",INT(SUMIFS(Data!$AN$4:$AN$183,Data!$AL$4:$AL$183,$A122,Data!$AM$4:$AM$183,$B122))+MOD(ROUND(SUMIFS(Data!$AN$4:$AN$183,Data!$AL$4:$AL$183,$A122,Data!$AM$4:$AM$183,$B122)*3,0),3)/10)</f>
        <v>0</v>
      </c>
      <c r="I122" s="18">
        <f ca="1">IF($A122="","",SUMIFS('Current Char Stats'!$J$4:$J$273,'Current Char Stats'!$A$4:$A$273,$A122,'Current Char Stats'!$B$4:$B$273,$B122))</f>
        <v>0</v>
      </c>
      <c r="J122" s="62">
        <f ca="1">IF($A122="","",IF(SUMIFS(Data!$AN$4:$AN$183,Data!$AL$4:$AL$183,$A122,Data!$AM$4:$AM$183,$B122)=0,"",I122*3/SUMIFS(Data!$AN$4:$AN$183,Data!$AL$4:$AL$183,$A122,Data!$AM$4:$AM$183,$B122)))</f>
      </c>
    </row>
    <row r="123" spans="1:10">
      <c r="A123" s="117" t="str">
        <f>IF(Draft!D38="","",Draft!D38)</f>
        <v>Aidan</v>
      </c>
      <c r="B123" s="18" t="str">
        <f>IF(Draft!E38="","",Draft!E38)</f>
        <v>Blue Pianta</v>
      </c>
      <c r="C123" s="18">
        <f ca="1">IF($A123="","",SUMIFS('Current Char Stats'!$D$4:$D$273,'Current Char Stats'!$A$4:$A$273,$A123,'Current Char Stats'!$B$4:$B$273,$B123))</f>
        <v>5</v>
      </c>
      <c r="D123" s="18">
        <f ca="1">IF($A123="","",SUMIFS('Current Char Stats'!$E$4:$E$273,'Current Char Stats'!$A$4:$A$273,$A123,'Current Char Stats'!$B$4:$B$273,$B123))</f>
        <v>1</v>
      </c>
      <c r="E123" s="61">
        <f t="shared" ca="1" si="2"/>
        <v>0.2</v>
      </c>
      <c r="F123" s="18">
        <f ca="1">IF($A123="","",SUMIFS('Current Char Stats'!$G$4:$G$273,'Current Char Stats'!$A$4:$A$273,$A123,'Current Char Stats'!$B$4:$B$273,$B123))</f>
        <v>0</v>
      </c>
      <c r="G123" s="18">
        <f ca="1">IF($A123="","",SUMIFS('Current Char Stats'!$H$4:$H$273,'Current Char Stats'!$A$4:$A$273,$A123,'Current Char Stats'!$B$4:$B$273,$B123))</f>
        <v>0</v>
      </c>
      <c r="H123" s="18">
        <f ca="1">IF($A123="","",INT(SUMIFS(Data!$AN$4:$AN$183,Data!$AL$4:$AL$183,$A123,Data!$AM$4:$AM$183,$B123))+MOD(ROUND(SUMIFS(Data!$AN$4:$AN$183,Data!$AL$4:$AL$183,$A123,Data!$AM$4:$AM$183,$B123)*3,0),3)/10)</f>
        <v>0</v>
      </c>
      <c r="I123" s="18">
        <f ca="1">IF($A123="","",SUMIFS('Current Char Stats'!$J$4:$J$273,'Current Char Stats'!$A$4:$A$273,$A123,'Current Char Stats'!$B$4:$B$273,$B123))</f>
        <v>0</v>
      </c>
      <c r="J123" s="62">
        <f ca="1">IF($A123="","",IF(SUMIFS(Data!$AN$4:$AN$183,Data!$AL$4:$AL$183,$A123,Data!$AM$4:$AM$183,$B123)=0,"",I123*3/SUMIFS(Data!$AN$4:$AN$183,Data!$AL$4:$AL$183,$A123,Data!$AM$4:$AM$183,$B123)))</f>
      </c>
    </row>
    <row r="124" spans="1:10">
      <c r="A124" s="116" t="str">
        <f>IF(Draft!D39="","",Draft!D39)</f>
        <v>Nick</v>
      </c>
      <c r="B124" s="18" t="str">
        <f>IF(Draft!E39="","",Draft!E39)</f>
        <v>Wario</v>
      </c>
      <c r="C124" s="18">
        <f ca="1">IF($A124="","",SUMIFS('Current Char Stats'!$D$4:$D$273,'Current Char Stats'!$A$4:$A$273,$A124,'Current Char Stats'!$B$4:$B$273,$B124))</f>
        <v>8</v>
      </c>
      <c r="D124" s="18">
        <f ca="1">IF($A124="","",SUMIFS('Current Char Stats'!$E$4:$E$273,'Current Char Stats'!$A$4:$A$273,$A124,'Current Char Stats'!$B$4:$B$273,$B124))</f>
        <v>4</v>
      </c>
      <c r="E124" s="61">
        <f t="shared" ca="1" si="2"/>
        <v>0.5</v>
      </c>
      <c r="F124" s="18">
        <f ca="1">IF($A124="","",SUMIFS('Current Char Stats'!$G$4:$G$273,'Current Char Stats'!$A$4:$A$273,$A124,'Current Char Stats'!$B$4:$B$273,$B124))</f>
        <v>1</v>
      </c>
      <c r="G124" s="18">
        <f ca="1">IF($A124="","",SUMIFS('Current Char Stats'!$H$4:$H$273,'Current Char Stats'!$A$4:$A$273,$A124,'Current Char Stats'!$B$4:$B$273,$B124))</f>
        <v>3</v>
      </c>
      <c r="H124" s="18">
        <f ca="1">IF($A124="","",INT(SUMIFS(Data!$AN$4:$AN$183,Data!$AL$4:$AL$183,$A124,Data!$AM$4:$AM$183,$B124))+MOD(ROUND(SUMIFS(Data!$AN$4:$AN$183,Data!$AL$4:$AL$183,$A124,Data!$AM$4:$AM$183,$B124)*3,0),3)/10)</f>
        <v>0.1</v>
      </c>
      <c r="I124" s="18">
        <f ca="1">IF($A124="","",SUMIFS('Current Char Stats'!$J$4:$J$273,'Current Char Stats'!$A$4:$A$273,$A124,'Current Char Stats'!$B$4:$B$273,$B124))</f>
        <v>0</v>
      </c>
      <c r="J124" s="62">
        <f ca="1">IF($A124="","",IF(SUMIFS(Data!$AN$4:$AN$183,Data!$AL$4:$AL$183,$A124,Data!$AM$4:$AM$183,$B124)=0,"",I124*3/SUMIFS(Data!$AN$4:$AN$183,Data!$AL$4:$AL$183,$A124,Data!$AM$4:$AM$183,$B124)))</f>
        <v>0.0</v>
      </c>
    </row>
    <row r="125" spans="1:10">
      <c r="A125" s="115" t="str">
        <f>IF(Draft!D40="","",Draft!D40)</f>
        <v>Donovan</v>
      </c>
      <c r="B125" s="18" t="str">
        <f>IF(Draft!E40="","",Draft!E40)</f>
        <v>Fire Bro</v>
      </c>
      <c r="C125" s="18">
        <f ca="1">IF($A125="","",SUMIFS('Current Char Stats'!$D$4:$D$273,'Current Char Stats'!$A$4:$A$273,$A125,'Current Char Stats'!$B$4:$B$273,$B125))</f>
        <v>3</v>
      </c>
      <c r="D125" s="18">
        <f ca="1">IF($A125="","",SUMIFS('Current Char Stats'!$E$4:$E$273,'Current Char Stats'!$A$4:$A$273,$A125,'Current Char Stats'!$B$4:$B$273,$B125))</f>
        <v>0</v>
      </c>
      <c r="E125" s="61">
        <f t="shared" ca="1" si="2"/>
        <v>0.0</v>
      </c>
      <c r="F125" s="18">
        <f ca="1">IF($A125="","",SUMIFS('Current Char Stats'!$G$4:$G$273,'Current Char Stats'!$A$4:$A$273,$A125,'Current Char Stats'!$B$4:$B$273,$B125))</f>
        <v>0</v>
      </c>
      <c r="G125" s="18">
        <f ca="1">IF($A125="","",SUMIFS('Current Char Stats'!$H$4:$H$273,'Current Char Stats'!$A$4:$A$273,$A125,'Current Char Stats'!$B$4:$B$273,$B125))</f>
        <v>0</v>
      </c>
      <c r="H125" s="18">
        <f ca="1">IF($A125="","",INT(SUMIFS(Data!$AN$4:$AN$183,Data!$AL$4:$AL$183,$A125,Data!$AM$4:$AM$183,$B125))+MOD(ROUND(SUMIFS(Data!$AN$4:$AN$183,Data!$AL$4:$AL$183,$A125,Data!$AM$4:$AM$183,$B125)*3,0),3)/10)</f>
        <v>0</v>
      </c>
      <c r="I125" s="18">
        <f ca="1">IF($A125="","",SUMIFS('Current Char Stats'!$J$4:$J$273,'Current Char Stats'!$A$4:$A$273,$A125,'Current Char Stats'!$B$4:$B$273,$B125))</f>
        <v>0</v>
      </c>
      <c r="J125" s="62">
        <f ca="1">IF($A125="","",IF(SUMIFS(Data!$AN$4:$AN$183,Data!$AL$4:$AL$183,$A125,Data!$AM$4:$AM$183,$B125)=0,"",I125*3/SUMIFS(Data!$AN$4:$AN$183,Data!$AL$4:$AL$183,$A125,Data!$AM$4:$AM$183,$B125)))</f>
      </c>
    </row>
    <row r="126" spans="1:10">
      <c r="A126" s="114" t="str">
        <f>IF(Draft!D41="","",Draft!D41)</f>
        <v>Justin</v>
      </c>
      <c r="B126" s="18" t="str">
        <f>IF(Draft!E41="","",Draft!E41)</f>
        <v>Red Pianta</v>
      </c>
      <c r="C126" s="18">
        <f ca="1">IF($A126="","",SUMIFS('Current Char Stats'!$D$4:$D$273,'Current Char Stats'!$A$4:$A$273,$A126,'Current Char Stats'!$B$4:$B$273,$B126))</f>
        <v>3</v>
      </c>
      <c r="D126" s="18">
        <f ca="1">IF($A126="","",SUMIFS('Current Char Stats'!$E$4:$E$273,'Current Char Stats'!$A$4:$A$273,$A126,'Current Char Stats'!$B$4:$B$273,$B126))</f>
        <v>0</v>
      </c>
      <c r="E126" s="61">
        <f t="shared" ca="1" si="2"/>
        <v>0.0</v>
      </c>
      <c r="F126" s="18">
        <f ca="1">IF($A126="","",SUMIFS('Current Char Stats'!$G$4:$G$273,'Current Char Stats'!$A$4:$A$273,$A126,'Current Char Stats'!$B$4:$B$273,$B126))</f>
        <v>0</v>
      </c>
      <c r="G126" s="18">
        <f ca="1">IF($A126="","",SUMIFS('Current Char Stats'!$H$4:$H$273,'Current Char Stats'!$A$4:$A$273,$A126,'Current Char Stats'!$B$4:$B$273,$B126))</f>
        <v>0</v>
      </c>
      <c r="H126" s="18">
        <f ca="1">IF($A126="","",INT(SUMIFS(Data!$AN$4:$AN$183,Data!$AL$4:$AL$183,$A126,Data!$AM$4:$AM$183,$B126))+MOD(ROUND(SUMIFS(Data!$AN$4:$AN$183,Data!$AL$4:$AL$183,$A126,Data!$AM$4:$AM$183,$B126)*3,0),3)/10)</f>
        <v>0</v>
      </c>
      <c r="I126" s="18">
        <f ca="1">IF($A126="","",SUMIFS('Current Char Stats'!$J$4:$J$273,'Current Char Stats'!$A$4:$A$273,$A126,'Current Char Stats'!$B$4:$B$273,$B126))</f>
        <v>0</v>
      </c>
      <c r="J126" s="62">
        <f ca="1">IF($A126="","",IF(SUMIFS(Data!$AN$4:$AN$183,Data!$AL$4:$AL$183,$A126,Data!$AM$4:$AM$183,$B126)=0,"",I126*3/SUMIFS(Data!$AN$4:$AN$183,Data!$AL$4:$AL$183,$A126,Data!$AM$4:$AM$183,$B126)))</f>
      </c>
    </row>
    <row r="127" spans="1:10">
      <c r="A127" s="114" t="str">
        <f>IF(Draft!D42="","",Draft!D42)</f>
        <v>Justin</v>
      </c>
      <c r="B127" s="18" t="str">
        <f>IF(Draft!E42="","",Draft!E42)</f>
        <v>Baby Luigi</v>
      </c>
      <c r="C127" s="18">
        <f ca="1">IF($A127="","",SUMIFS('Current Char Stats'!$D$4:$D$273,'Current Char Stats'!$A$4:$A$273,$A127,'Current Char Stats'!$B$4:$B$273,$B127))</f>
        <v>2</v>
      </c>
      <c r="D127" s="18">
        <f ca="1">IF($A127="","",SUMIFS('Current Char Stats'!$E$4:$E$273,'Current Char Stats'!$A$4:$A$273,$A127,'Current Char Stats'!$B$4:$B$273,$B127))</f>
        <v>1</v>
      </c>
      <c r="E127" s="61">
        <f t="shared" ca="1" si="2"/>
        <v>0.5</v>
      </c>
      <c r="F127" s="18">
        <f ca="1">IF($A127="","",SUMIFS('Current Char Stats'!$G$4:$G$273,'Current Char Stats'!$A$4:$A$273,$A127,'Current Char Stats'!$B$4:$B$273,$B127))</f>
        <v>0</v>
      </c>
      <c r="G127" s="18">
        <f ca="1">IF($A127="","",SUMIFS('Current Char Stats'!$H$4:$H$273,'Current Char Stats'!$A$4:$A$273,$A127,'Current Char Stats'!$B$4:$B$273,$B127))</f>
        <v>0</v>
      </c>
      <c r="H127" s="18">
        <f ca="1">IF($A127="","",INT(SUMIFS(Data!$AN$4:$AN$183,Data!$AL$4:$AL$183,$A127,Data!$AM$4:$AM$183,$B127))+MOD(ROUND(SUMIFS(Data!$AN$4:$AN$183,Data!$AL$4:$AL$183,$A127,Data!$AM$4:$AM$183,$B127)*3,0),3)/10)</f>
        <v>0</v>
      </c>
      <c r="I127" s="18">
        <f ca="1">IF($A127="","",SUMIFS('Current Char Stats'!$J$4:$J$273,'Current Char Stats'!$A$4:$A$273,$A127,'Current Char Stats'!$B$4:$B$273,$B127))</f>
        <v>0</v>
      </c>
      <c r="J127" s="62">
        <f ca="1">IF($A127="","",IF(SUMIFS(Data!$AN$4:$AN$183,Data!$AL$4:$AL$183,$A127,Data!$AM$4:$AM$183,$B127)=0,"",I127*3/SUMIFS(Data!$AN$4:$AN$183,Data!$AL$4:$AL$183,$A127,Data!$AM$4:$AM$183,$B127)))</f>
      </c>
    </row>
    <row r="128" spans="1:10">
      <c r="A128" s="115" t="str">
        <f>IF(Draft!D43="","",Draft!D43)</f>
        <v>Donovan</v>
      </c>
      <c r="B128" s="18" t="str">
        <f>IF(Draft!E43="","",Draft!E43)</f>
        <v>Tiny Kong</v>
      </c>
      <c r="C128" s="18">
        <f ca="1">IF($A128="","",SUMIFS('Current Char Stats'!$D$4:$D$273,'Current Char Stats'!$A$4:$A$273,$A128,'Current Char Stats'!$B$4:$B$273,$B128))</f>
        <v>3</v>
      </c>
      <c r="D128" s="18">
        <f ca="1">IF($A128="","",SUMIFS('Current Char Stats'!$E$4:$E$273,'Current Char Stats'!$A$4:$A$273,$A128,'Current Char Stats'!$B$4:$B$273,$B128))</f>
        <v>0</v>
      </c>
      <c r="E128" s="61">
        <f t="shared" ca="1" si="2"/>
        <v>0.0</v>
      </c>
      <c r="F128" s="18">
        <f ca="1">IF($A128="","",SUMIFS('Current Char Stats'!$G$4:$G$273,'Current Char Stats'!$A$4:$A$273,$A128,'Current Char Stats'!$B$4:$B$273,$B128))</f>
        <v>0</v>
      </c>
      <c r="G128" s="18">
        <f ca="1">IF($A128="","",SUMIFS('Current Char Stats'!$H$4:$H$273,'Current Char Stats'!$A$4:$A$273,$A128,'Current Char Stats'!$B$4:$B$273,$B128))</f>
        <v>0</v>
      </c>
      <c r="H128" s="18">
        <f ca="1">IF($A128="","",INT(SUMIFS(Data!$AN$4:$AN$183,Data!$AL$4:$AL$183,$A128,Data!$AM$4:$AM$183,$B128))+MOD(ROUND(SUMIFS(Data!$AN$4:$AN$183,Data!$AL$4:$AL$183,$A128,Data!$AM$4:$AM$183,$B128)*3,0),3)/10)</f>
        <v>0</v>
      </c>
      <c r="I128" s="18">
        <f ca="1">IF($A128="","",SUMIFS('Current Char Stats'!$J$4:$J$273,'Current Char Stats'!$A$4:$A$273,$A128,'Current Char Stats'!$B$4:$B$273,$B128))</f>
        <v>0</v>
      </c>
      <c r="J128" s="62">
        <f ca="1">IF($A128="","",IF(SUMIFS(Data!$AN$4:$AN$183,Data!$AL$4:$AL$183,$A128,Data!$AM$4:$AM$183,$B128)=0,"",I128*3/SUMIFS(Data!$AN$4:$AN$183,Data!$AL$4:$AL$183,$A128,Data!$AM$4:$AM$183,$B128)))</f>
      </c>
    </row>
    <row r="129" spans="1:10">
      <c r="A129" s="116" t="str">
        <f>IF(Draft!D44="","",Draft!D44)</f>
        <v>Nick</v>
      </c>
      <c r="B129" s="18" t="str">
        <f>IF(Draft!E44="","",Draft!E44)</f>
        <v>Wiggler</v>
      </c>
      <c r="C129" s="18">
        <f ca="1">IF($A129="","",SUMIFS('Current Char Stats'!$D$4:$D$273,'Current Char Stats'!$A$4:$A$273,$A129,'Current Char Stats'!$B$4:$B$273,$B129))</f>
        <v>7</v>
      </c>
      <c r="D129" s="18">
        <f ca="1">IF($A129="","",SUMIFS('Current Char Stats'!$E$4:$E$273,'Current Char Stats'!$A$4:$A$273,$A129,'Current Char Stats'!$B$4:$B$273,$B129))</f>
        <v>1</v>
      </c>
      <c r="E129" s="61">
        <f t="shared" ca="1" si="2"/>
        <v>0.14285714285714285</v>
      </c>
      <c r="F129" s="18">
        <f ca="1">IF($A129="","",SUMIFS('Current Char Stats'!$G$4:$G$273,'Current Char Stats'!$A$4:$A$273,$A129,'Current Char Stats'!$B$4:$B$273,$B129))</f>
        <v>1</v>
      </c>
      <c r="G129" s="18">
        <f ca="1">IF($A129="","",SUMIFS('Current Char Stats'!$H$4:$H$273,'Current Char Stats'!$A$4:$A$273,$A129,'Current Char Stats'!$B$4:$B$273,$B129))</f>
        <v>1</v>
      </c>
      <c r="H129" s="18">
        <f ca="1">IF($A129="","",INT(SUMIFS(Data!$AN$4:$AN$183,Data!$AL$4:$AL$183,$A129,Data!$AM$4:$AM$183,$B129))+MOD(ROUND(SUMIFS(Data!$AN$4:$AN$183,Data!$AL$4:$AL$183,$A129,Data!$AM$4:$AM$183,$B129)*3,0),3)/10)</f>
        <v>1.1</v>
      </c>
      <c r="I129" s="18">
        <f ca="1">IF($A129="","",SUMIFS('Current Char Stats'!$J$4:$J$273,'Current Char Stats'!$A$4:$A$273,$A129,'Current Char Stats'!$B$4:$B$273,$B129))</f>
        <v>1</v>
      </c>
      <c r="J129" s="62">
        <f ca="1">IF($A129="","",IF(SUMIFS(Data!$AN$4:$AN$183,Data!$AL$4:$AL$183,$A129,Data!$AM$4:$AM$183,$B129)=0,"",I129*3/SUMIFS(Data!$AN$4:$AN$183,Data!$AL$4:$AL$183,$A129,Data!$AM$4:$AM$183,$B129)))</f>
        <v>2.25</v>
      </c>
    </row>
    <row r="130" spans="1:10">
      <c r="A130" s="117" t="str">
        <f>IF(Draft!D45="","",Draft!D45)</f>
        <v>Aidan</v>
      </c>
      <c r="B130" s="18" t="str">
        <f>IF(Draft!E45="","",Draft!E45)</f>
        <v>Yellow Pianta</v>
      </c>
      <c r="C130" s="18">
        <f ca="1">IF($A130="","",SUMIFS('Current Char Stats'!$D$4:$D$273,'Current Char Stats'!$A$4:$A$273,$A130,'Current Char Stats'!$B$4:$B$273,$B130))</f>
        <v>5</v>
      </c>
      <c r="D130" s="18">
        <f ca="1">IF($A130="","",SUMIFS('Current Char Stats'!$E$4:$E$273,'Current Char Stats'!$A$4:$A$273,$A130,'Current Char Stats'!$B$4:$B$273,$B130))</f>
        <v>2</v>
      </c>
      <c r="E130" s="61">
        <f t="shared" ca="1" si="2"/>
        <v>0.4</v>
      </c>
      <c r="F130" s="18">
        <f ca="1">IF($A130="","",SUMIFS('Current Char Stats'!$G$4:$G$273,'Current Char Stats'!$A$4:$A$273,$A130,'Current Char Stats'!$B$4:$B$273,$B130))</f>
        <v>1</v>
      </c>
      <c r="G130" s="18">
        <f ca="1">IF($A130="","",SUMIFS('Current Char Stats'!$H$4:$H$273,'Current Char Stats'!$A$4:$A$273,$A130,'Current Char Stats'!$B$4:$B$273,$B130))</f>
        <v>1</v>
      </c>
      <c r="H130" s="18">
        <f ca="1">IF($A130="","",INT(SUMIFS(Data!$AN$4:$AN$183,Data!$AL$4:$AL$183,$A130,Data!$AM$4:$AM$183,$B130))+MOD(ROUND(SUMIFS(Data!$AN$4:$AN$183,Data!$AL$4:$AL$183,$A130,Data!$AM$4:$AM$183,$B130)*3,0),3)/10)</f>
        <v>0</v>
      </c>
      <c r="I130" s="18">
        <f ca="1">IF($A130="","",SUMIFS('Current Char Stats'!$J$4:$J$273,'Current Char Stats'!$A$4:$A$273,$A130,'Current Char Stats'!$B$4:$B$273,$B130))</f>
        <v>0</v>
      </c>
      <c r="J130" s="62">
        <f ca="1">IF($A130="","",IF(SUMIFS(Data!$AN$4:$AN$183,Data!$AL$4:$AL$183,$A130,Data!$AM$4:$AM$183,$B130)=0,"",I130*3/SUMIFS(Data!$AN$4:$AN$183,Data!$AL$4:$AL$183,$A130,Data!$AM$4:$AM$183,$B130)))</f>
      </c>
    </row>
    <row r="131" spans="1:10">
      <c r="A131" s="118" t="str">
        <f>IF(Draft!D46="","",Draft!D46)</f>
        <v>Jason</v>
      </c>
      <c r="B131" s="18" t="str">
        <f>IF(Draft!E46="","",Draft!E46)</f>
        <v>Brown Kritter</v>
      </c>
      <c r="C131" s="18">
        <f ca="1">IF($A131="","",SUMIFS('Current Char Stats'!$D$4:$D$273,'Current Char Stats'!$A$4:$A$273,$A131,'Current Char Stats'!$B$4:$B$273,$B131))</f>
        <v>7</v>
      </c>
      <c r="D131" s="18">
        <f ca="1">IF($A131="","",SUMIFS('Current Char Stats'!$E$4:$E$273,'Current Char Stats'!$A$4:$A$273,$A131,'Current Char Stats'!$B$4:$B$273,$B131))</f>
        <v>1</v>
      </c>
      <c r="E131" s="61">
        <f t="shared" ca="1" si="2"/>
        <v>0.14285714285714285</v>
      </c>
      <c r="F131" s="18">
        <f ca="1">IF($A131="","",SUMIFS('Current Char Stats'!$G$4:$G$273,'Current Char Stats'!$A$4:$A$273,$A131,'Current Char Stats'!$B$4:$B$273,$B131))</f>
        <v>0</v>
      </c>
      <c r="G131" s="18">
        <f ca="1">IF($A131="","",SUMIFS('Current Char Stats'!$H$4:$H$273,'Current Char Stats'!$A$4:$A$273,$A131,'Current Char Stats'!$B$4:$B$273,$B131))</f>
        <v>1</v>
      </c>
      <c r="H131" s="18">
        <f ca="1">IF($A131="","",INT(SUMIFS(Data!$AN$4:$AN$183,Data!$AL$4:$AL$183,$A131,Data!$AM$4:$AM$183,$B131))+MOD(ROUND(SUMIFS(Data!$AN$4:$AN$183,Data!$AL$4:$AL$183,$A131,Data!$AM$4:$AM$183,$B131)*3,0),3)/10)</f>
        <v>0</v>
      </c>
      <c r="I131" s="18">
        <f ca="1">IF($A131="","",SUMIFS('Current Char Stats'!$J$4:$J$273,'Current Char Stats'!$A$4:$A$273,$A131,'Current Char Stats'!$B$4:$B$273,$B131))</f>
        <v>0</v>
      </c>
      <c r="J131" s="62">
        <f ca="1">IF($A131="","",IF(SUMIFS(Data!$AN$4:$AN$183,Data!$AL$4:$AL$183,$A131,Data!$AM$4:$AM$183,$B131)=0,"",I131*3/SUMIFS(Data!$AN$4:$AN$183,Data!$AL$4:$AL$183,$A131,Data!$AM$4:$AM$183,$B131)))</f>
      </c>
    </row>
    <row r="132" spans="1:10">
      <c r="A132" s="119" t="str">
        <f>IF(Draft!D47="","",Draft!D47)</f>
        <v>May</v>
      </c>
      <c r="B132" s="18" t="str">
        <f>IF(Draft!E47="","",Draft!E47)</f>
        <v>Hammer Bro</v>
      </c>
      <c r="C132" s="18">
        <f ca="1">IF($A132="","",SUMIFS('Current Char Stats'!$D$4:$D$273,'Current Char Stats'!$A$4:$A$273,$A132,'Current Char Stats'!$B$4:$B$273,$B132))</f>
        <v>4</v>
      </c>
      <c r="D132" s="18">
        <f ca="1">IF($A132="","",SUMIFS('Current Char Stats'!$E$4:$E$273,'Current Char Stats'!$A$4:$A$273,$A132,'Current Char Stats'!$B$4:$B$273,$B132))</f>
        <v>1</v>
      </c>
      <c r="E132" s="61">
        <f t="shared" ca="1" si="2"/>
        <v>0.25</v>
      </c>
      <c r="F132" s="18">
        <f ca="1">IF($A132="","",SUMIFS('Current Char Stats'!$G$4:$G$273,'Current Char Stats'!$A$4:$A$273,$A132,'Current Char Stats'!$B$4:$B$273,$B132))</f>
        <v>1</v>
      </c>
      <c r="G132" s="18">
        <f ca="1">IF($A132="","",SUMIFS('Current Char Stats'!$H$4:$H$273,'Current Char Stats'!$A$4:$A$273,$A132,'Current Char Stats'!$B$4:$B$273,$B132))</f>
        <v>1</v>
      </c>
      <c r="H132" s="18">
        <f ca="1">IF($A132="","",INT(SUMIFS(Data!$AN$4:$AN$183,Data!$AL$4:$AL$183,$A132,Data!$AM$4:$AM$183,$B132))+MOD(ROUND(SUMIFS(Data!$AN$4:$AN$183,Data!$AL$4:$AL$183,$A132,Data!$AM$4:$AM$183,$B132)*3,0),3)/10)</f>
        <v>0</v>
      </c>
      <c r="I132" s="18">
        <f ca="1">IF($A132="","",SUMIFS('Current Char Stats'!$J$4:$J$273,'Current Char Stats'!$A$4:$A$273,$A132,'Current Char Stats'!$B$4:$B$273,$B132))</f>
        <v>0</v>
      </c>
      <c r="J132" s="62">
        <f ca="1">IF($A132="","",IF(SUMIFS(Data!$AN$4:$AN$183,Data!$AL$4:$AL$183,$A132,Data!$AM$4:$AM$183,$B132)=0,"",I132*3/SUMIFS(Data!$AN$4:$AN$183,Data!$AL$4:$AL$183,$A132,Data!$AM$4:$AM$183,$B132)))</f>
      </c>
    </row>
    <row r="133" spans="1:10">
      <c r="A133" s="119" t="str">
        <f>IF(Draft!D48="","",Draft!D48)</f>
        <v>May</v>
      </c>
      <c r="B133" s="18" t="str">
        <f>IF(Draft!E48="","",Draft!E48)</f>
        <v>Green Shy Guy</v>
      </c>
      <c r="C133" s="18">
        <f ca="1">IF($A133="","",SUMIFS('Current Char Stats'!$D$4:$D$273,'Current Char Stats'!$A$4:$A$273,$A133,'Current Char Stats'!$B$4:$B$273,$B133))</f>
        <v>5</v>
      </c>
      <c r="D133" s="18">
        <f ca="1">IF($A133="","",SUMIFS('Current Char Stats'!$E$4:$E$273,'Current Char Stats'!$A$4:$A$273,$A133,'Current Char Stats'!$B$4:$B$273,$B133))</f>
        <v>1</v>
      </c>
      <c r="E133" s="61">
        <f t="shared" ca="1" si="2"/>
        <v>0.2</v>
      </c>
      <c r="F133" s="18">
        <f ca="1">IF($A133="","",SUMIFS('Current Char Stats'!$G$4:$G$273,'Current Char Stats'!$A$4:$A$273,$A133,'Current Char Stats'!$B$4:$B$273,$B133))</f>
        <v>0</v>
      </c>
      <c r="G133" s="18">
        <f ca="1">IF($A133="","",SUMIFS('Current Char Stats'!$H$4:$H$273,'Current Char Stats'!$A$4:$A$273,$A133,'Current Char Stats'!$B$4:$B$273,$B133))</f>
        <v>0</v>
      </c>
      <c r="H133" s="18">
        <f ca="1">IF($A133="","",INT(SUMIFS(Data!$AN$4:$AN$183,Data!$AL$4:$AL$183,$A133,Data!$AM$4:$AM$183,$B133))+MOD(ROUND(SUMIFS(Data!$AN$4:$AN$183,Data!$AL$4:$AL$183,$A133,Data!$AM$4:$AM$183,$B133)*3,0),3)/10)</f>
        <v>0</v>
      </c>
      <c r="I133" s="18">
        <f ca="1">IF($A133="","",SUMIFS('Current Char Stats'!$J$4:$J$273,'Current Char Stats'!$A$4:$A$273,$A133,'Current Char Stats'!$B$4:$B$273,$B133))</f>
        <v>0</v>
      </c>
      <c r="J133" s="62">
        <f ca="1">IF($A133="","",IF(SUMIFS(Data!$AN$4:$AN$183,Data!$AL$4:$AL$183,$A133,Data!$AM$4:$AM$183,$B133)=0,"",I133*3/SUMIFS(Data!$AN$4:$AN$183,Data!$AL$4:$AL$183,$A133,Data!$AM$4:$AM$183,$B133)))</f>
      </c>
    </row>
    <row r="134" spans="1:10">
      <c r="A134" s="118" t="str">
        <f>IF(Draft!D49="","",Draft!D49)</f>
        <v>Jason</v>
      </c>
      <c r="B134" s="18" t="str">
        <f>IF(Draft!E49="","",Draft!E49)</f>
        <v>Blooper</v>
      </c>
      <c r="C134" s="18">
        <f ca="1">IF($A134="","",SUMIFS('Current Char Stats'!$D$4:$D$273,'Current Char Stats'!$A$4:$A$273,$A134,'Current Char Stats'!$B$4:$B$273,$B134))</f>
        <v>7</v>
      </c>
      <c r="D134" s="18">
        <f ca="1">IF($A134="","",SUMIFS('Current Char Stats'!$E$4:$E$273,'Current Char Stats'!$A$4:$A$273,$A134,'Current Char Stats'!$B$4:$B$273,$B134))</f>
        <v>5</v>
      </c>
      <c r="E134" s="61">
        <f t="shared" ca="1" si="2"/>
        <v>0.7142857142857143</v>
      </c>
      <c r="F134" s="18">
        <f ca="1">IF($A134="","",SUMIFS('Current Char Stats'!$G$4:$G$273,'Current Char Stats'!$A$4:$A$273,$A134,'Current Char Stats'!$B$4:$B$273,$B134))</f>
        <v>3</v>
      </c>
      <c r="G134" s="18">
        <f ca="1">IF($A134="","",SUMIFS('Current Char Stats'!$H$4:$H$273,'Current Char Stats'!$A$4:$A$273,$A134,'Current Char Stats'!$B$4:$B$273,$B134))</f>
        <v>4</v>
      </c>
      <c r="H134" s="18">
        <f ca="1">IF($A134="","",INT(SUMIFS(Data!$AN$4:$AN$183,Data!$AL$4:$AL$183,$A134,Data!$AM$4:$AM$183,$B134))+MOD(ROUND(SUMIFS(Data!$AN$4:$AN$183,Data!$AL$4:$AL$183,$A134,Data!$AM$4:$AM$183,$B134)*3,0),3)/10)</f>
        <v>0</v>
      </c>
      <c r="I134" s="18">
        <f ca="1">IF($A134="","",SUMIFS('Current Char Stats'!$J$4:$J$273,'Current Char Stats'!$A$4:$A$273,$A134,'Current Char Stats'!$B$4:$B$273,$B134))</f>
        <v>5</v>
      </c>
      <c r="J134" s="62">
        <f ca="1">IF($A134="","",IF(SUMIFS(Data!$AN$4:$AN$183,Data!$AL$4:$AL$183,$A134,Data!$AM$4:$AM$183,$B134)=0,"",I134*3/SUMIFS(Data!$AN$4:$AN$183,Data!$AL$4:$AL$183,$A134,Data!$AM$4:$AM$183,$B134)))</f>
      </c>
    </row>
    <row r="135" spans="1:10">
      <c r="A135" s="117" t="str">
        <f>IF(Draft!D50="","",Draft!D50)</f>
        <v>Aidan</v>
      </c>
      <c r="B135" s="18" t="str">
        <f>IF(Draft!E50="","",Draft!E50)</f>
        <v>Blue Kritter</v>
      </c>
      <c r="C135" s="18">
        <f ca="1">IF($A135="","",SUMIFS('Current Char Stats'!$D$4:$D$273,'Current Char Stats'!$A$4:$A$273,$A135,'Current Char Stats'!$B$4:$B$273,$B135))</f>
        <v>4</v>
      </c>
      <c r="D135" s="18">
        <f ca="1">IF($A135="","",SUMIFS('Current Char Stats'!$E$4:$E$273,'Current Char Stats'!$A$4:$A$273,$A135,'Current Char Stats'!$B$4:$B$273,$B135))</f>
        <v>2</v>
      </c>
      <c r="E135" s="61">
        <f t="shared" ca="1" si="2"/>
        <v>0.5</v>
      </c>
      <c r="F135" s="18">
        <f ca="1">IF($A135="","",SUMIFS('Current Char Stats'!$G$4:$G$273,'Current Char Stats'!$A$4:$A$273,$A135,'Current Char Stats'!$B$4:$B$273,$B135))</f>
        <v>1</v>
      </c>
      <c r="G135" s="18">
        <f ca="1">IF($A135="","",SUMIFS('Current Char Stats'!$H$4:$H$273,'Current Char Stats'!$A$4:$A$273,$A135,'Current Char Stats'!$B$4:$B$273,$B135))</f>
        <v>1</v>
      </c>
      <c r="H135" s="18">
        <f ca="1">IF($A135="","",INT(SUMIFS(Data!$AN$4:$AN$183,Data!$AL$4:$AL$183,$A135,Data!$AM$4:$AM$183,$B135))+MOD(ROUND(SUMIFS(Data!$AN$4:$AN$183,Data!$AL$4:$AL$183,$A135,Data!$AM$4:$AM$183,$B135)*3,0),3)/10)</f>
        <v>4.1</v>
      </c>
      <c r="I135" s="18">
        <f ca="1">IF($A135="","",SUMIFS('Current Char Stats'!$J$4:$J$273,'Current Char Stats'!$A$4:$A$273,$A135,'Current Char Stats'!$B$4:$B$273,$B135))</f>
        <v>6</v>
      </c>
      <c r="J135" s="62">
        <f ca="1">IF($A135="","",IF(SUMIFS(Data!$AN$4:$AN$183,Data!$AL$4:$AL$183,$A135,Data!$AM$4:$AM$183,$B135)=0,"",I135*3/SUMIFS(Data!$AN$4:$AN$183,Data!$AL$4:$AL$183,$A135,Data!$AM$4:$AM$183,$B135)))</f>
        <v>4.153846153846154</v>
      </c>
    </row>
    <row r="136" spans="1:10">
      <c r="A136" s="116" t="str">
        <f>IF(Draft!D51="","",Draft!D51)</f>
        <v>Nick</v>
      </c>
      <c r="B136" s="18" t="str">
        <f>IF(Draft!E51="","",Draft!E51)</f>
        <v>Boomerang Bro</v>
      </c>
      <c r="C136" s="18">
        <f ca="1">IF($A136="","",SUMIFS('Current Char Stats'!$D$4:$D$273,'Current Char Stats'!$A$4:$A$273,$A136,'Current Char Stats'!$B$4:$B$273,$B136))</f>
        <v>6</v>
      </c>
      <c r="D136" s="18">
        <f ca="1">IF($A136="","",SUMIFS('Current Char Stats'!$E$4:$E$273,'Current Char Stats'!$A$4:$A$273,$A136,'Current Char Stats'!$B$4:$B$273,$B136))</f>
        <v>2</v>
      </c>
      <c r="E136" s="61">
        <f t="shared" ca="1" si="2"/>
        <v>0.3333333333333333</v>
      </c>
      <c r="F136" s="18">
        <f ca="1">IF($A136="","",SUMIFS('Current Char Stats'!$G$4:$G$273,'Current Char Stats'!$A$4:$A$273,$A136,'Current Char Stats'!$B$4:$B$273,$B136))</f>
        <v>0</v>
      </c>
      <c r="G136" s="18">
        <f ca="1">IF($A136="","",SUMIFS('Current Char Stats'!$H$4:$H$273,'Current Char Stats'!$A$4:$A$273,$A136,'Current Char Stats'!$B$4:$B$273,$B136))</f>
        <v>0</v>
      </c>
      <c r="H136" s="18">
        <f ca="1">IF($A136="","",INT(SUMIFS(Data!$AN$4:$AN$183,Data!$AL$4:$AL$183,$A136,Data!$AM$4:$AM$183,$B136))+MOD(ROUND(SUMIFS(Data!$AN$4:$AN$183,Data!$AL$4:$AL$183,$A136,Data!$AM$4:$AM$183,$B136)*3,0),3)/10)</f>
        <v>3.2</v>
      </c>
      <c r="I136" s="18">
        <f ca="1">IF($A136="","",SUMIFS('Current Char Stats'!$J$4:$J$273,'Current Char Stats'!$A$4:$A$273,$A136,'Current Char Stats'!$B$4:$B$273,$B136))</f>
        <v>6</v>
      </c>
      <c r="J136" s="62">
        <f ca="1">IF($A136="","",IF(SUMIFS(Data!$AN$4:$AN$183,Data!$AL$4:$AL$183,$A136,Data!$AM$4:$AM$183,$B136)=0,"",I136*3/SUMIFS(Data!$AN$4:$AN$183,Data!$AL$4:$AL$183,$A136,Data!$AM$4:$AM$183,$B136)))</f>
        <v>4.909090909090909</v>
      </c>
    </row>
    <row r="137" spans="1:10">
      <c r="A137" s="115" t="str">
        <f>IF(Draft!D52="","",Draft!D52)</f>
        <v>Donovan</v>
      </c>
      <c r="B137" s="18" t="str">
        <f>IF(Draft!E52="","",Draft!E52)</f>
        <v>Dry Bones</v>
      </c>
      <c r="C137" s="18">
        <f ca="1">IF($A137="","",SUMIFS('Current Char Stats'!$D$4:$D$273,'Current Char Stats'!$A$4:$A$273,$A137,'Current Char Stats'!$B$4:$B$273,$B137))</f>
        <v>4</v>
      </c>
      <c r="D137" s="18">
        <f ca="1">IF($A137="","",SUMIFS('Current Char Stats'!$E$4:$E$273,'Current Char Stats'!$A$4:$A$273,$A137,'Current Char Stats'!$B$4:$B$273,$B137))</f>
        <v>2</v>
      </c>
      <c r="E137" s="61">
        <f t="shared" ca="1" si="2"/>
        <v>0.5</v>
      </c>
      <c r="F137" s="18">
        <f ca="1">IF($A137="","",SUMIFS('Current Char Stats'!$G$4:$G$273,'Current Char Stats'!$A$4:$A$273,$A137,'Current Char Stats'!$B$4:$B$273,$B137))</f>
        <v>2</v>
      </c>
      <c r="G137" s="18">
        <f ca="1">IF($A137="","",SUMIFS('Current Char Stats'!$H$4:$H$273,'Current Char Stats'!$A$4:$A$273,$A137,'Current Char Stats'!$B$4:$B$273,$B137))</f>
        <v>4</v>
      </c>
      <c r="H137" s="18">
        <f ca="1">IF($A137="","",INT(SUMIFS(Data!$AN$4:$AN$183,Data!$AL$4:$AL$183,$A137,Data!$AM$4:$AM$183,$B137))+MOD(ROUND(SUMIFS(Data!$AN$4:$AN$183,Data!$AL$4:$AL$183,$A137,Data!$AM$4:$AM$183,$B137)*3,0),3)/10)</f>
        <v>0</v>
      </c>
      <c r="I137" s="18">
        <f ca="1">IF($A137="","",SUMIFS('Current Char Stats'!$J$4:$J$273,'Current Char Stats'!$A$4:$A$273,$A137,'Current Char Stats'!$B$4:$B$273,$B137))</f>
        <v>0</v>
      </c>
      <c r="J137" s="62">
        <f ca="1">IF($A137="","",IF(SUMIFS(Data!$AN$4:$AN$183,Data!$AL$4:$AL$183,$A137,Data!$AM$4:$AM$183,$B137)=0,"",I137*3/SUMIFS(Data!$AN$4:$AN$183,Data!$AL$4:$AL$183,$A137,Data!$AM$4:$AM$183,$B137)))</f>
      </c>
    </row>
    <row r="138" spans="1:10">
      <c r="A138" s="114" t="str">
        <f>IF(Draft!D53="","",Draft!D53)</f>
        <v>Justin</v>
      </c>
      <c r="B138" s="18" t="str">
        <f>IF(Draft!E53="","",Draft!E53)</f>
        <v>Paratroopa</v>
      </c>
      <c r="C138" s="18">
        <f ca="1">IF($A138="","",SUMIFS('Current Char Stats'!$D$4:$D$273,'Current Char Stats'!$A$4:$A$273,$A138,'Current Char Stats'!$B$4:$B$273,$B138))</f>
        <v>2</v>
      </c>
      <c r="D138" s="18">
        <f ca="1">IF($A138="","",SUMIFS('Current Char Stats'!$E$4:$E$273,'Current Char Stats'!$A$4:$A$273,$A138,'Current Char Stats'!$B$4:$B$273,$B138))</f>
        <v>0</v>
      </c>
      <c r="E138" s="61">
        <f t="shared" ca="1" si="2"/>
        <v>0.0</v>
      </c>
      <c r="F138" s="18">
        <f ca="1">IF($A138="","",SUMIFS('Current Char Stats'!$G$4:$G$273,'Current Char Stats'!$A$4:$A$273,$A138,'Current Char Stats'!$B$4:$B$273,$B138))</f>
        <v>0</v>
      </c>
      <c r="G138" s="18">
        <f ca="1">IF($A138="","",SUMIFS('Current Char Stats'!$H$4:$H$273,'Current Char Stats'!$A$4:$A$273,$A138,'Current Char Stats'!$B$4:$B$273,$B138))</f>
        <v>0</v>
      </c>
      <c r="H138" s="18">
        <f ca="1">IF($A138="","",INT(SUMIFS(Data!$AN$4:$AN$183,Data!$AL$4:$AL$183,$A138,Data!$AM$4:$AM$183,$B138))+MOD(ROUND(SUMIFS(Data!$AN$4:$AN$183,Data!$AL$4:$AL$183,$A138,Data!$AM$4:$AM$183,$B138)*3,0),3)/10)</f>
        <v>0</v>
      </c>
      <c r="I138" s="18">
        <f ca="1">IF($A138="","",SUMIFS('Current Char Stats'!$J$4:$J$273,'Current Char Stats'!$A$4:$A$273,$A138,'Current Char Stats'!$B$4:$B$273,$B138))</f>
        <v>0</v>
      </c>
      <c r="J138" s="62">
        <f ca="1">IF($A138="","",IF(SUMIFS(Data!$AN$4:$AN$183,Data!$AL$4:$AL$183,$A138,Data!$AM$4:$AM$183,$B138)=0,"",I138*3/SUMIFS(Data!$AN$4:$AN$183,Data!$AL$4:$AL$183,$A138,Data!$AM$4:$AM$183,$B138)))</f>
      </c>
    </row>
    <row r="139" spans="1:10">
      <c r="A139" s="114" t="str">
        <f>IF(Draft!D54="","",Draft!D54)</f>
        <v>Justin</v>
      </c>
      <c r="B139" s="18" t="str">
        <f>IF(Draft!E54="","",Draft!E54)</f>
        <v>Kritter</v>
      </c>
      <c r="C139" s="18">
        <f ca="1">IF($A139="","",SUMIFS('Current Char Stats'!$D$4:$D$273,'Current Char Stats'!$A$4:$A$273,$A139,'Current Char Stats'!$B$4:$B$273,$B139))</f>
        <v>4</v>
      </c>
      <c r="D139" s="18">
        <f ca="1">IF($A139="","",SUMIFS('Current Char Stats'!$E$4:$E$273,'Current Char Stats'!$A$4:$A$273,$A139,'Current Char Stats'!$B$4:$B$273,$B139))</f>
        <v>1</v>
      </c>
      <c r="E139" s="61">
        <f t="shared" ca="1" si="2"/>
        <v>0.25</v>
      </c>
      <c r="F139" s="18">
        <f ca="1">IF($A139="","",SUMIFS('Current Char Stats'!$G$4:$G$273,'Current Char Stats'!$A$4:$A$273,$A139,'Current Char Stats'!$B$4:$B$273,$B139))</f>
        <v>0</v>
      </c>
      <c r="G139" s="18">
        <f ca="1">IF($A139="","",SUMIFS('Current Char Stats'!$H$4:$H$273,'Current Char Stats'!$A$4:$A$273,$A139,'Current Char Stats'!$B$4:$B$273,$B139))</f>
        <v>0</v>
      </c>
      <c r="H139" s="18">
        <f ca="1">IF($A139="","",INT(SUMIFS(Data!$AN$4:$AN$183,Data!$AL$4:$AL$183,$A139,Data!$AM$4:$AM$183,$B139))+MOD(ROUND(SUMIFS(Data!$AN$4:$AN$183,Data!$AL$4:$AL$183,$A139,Data!$AM$4:$AM$183,$B139)*3,0),3)/10)</f>
        <v>0</v>
      </c>
      <c r="I139" s="18">
        <f ca="1">IF($A139="","",SUMIFS('Current Char Stats'!$J$4:$J$273,'Current Char Stats'!$A$4:$A$273,$A139,'Current Char Stats'!$B$4:$B$273,$B139))</f>
        <v>0</v>
      </c>
      <c r="J139" s="62">
        <f ca="1">IF($A139="","",IF(SUMIFS(Data!$AN$4:$AN$183,Data!$AL$4:$AL$183,$A139,Data!$AM$4:$AM$183,$B139)=0,"",I139*3/SUMIFS(Data!$AN$4:$AN$183,Data!$AL$4:$AL$183,$A139,Data!$AM$4:$AM$183,$B139)))</f>
      </c>
    </row>
    <row r="140" spans="1:10">
      <c r="A140" s="115" t="str">
        <f>IF(Draft!D55="","",Draft!D55)</f>
        <v>Donovan</v>
      </c>
      <c r="B140" s="18" t="str">
        <f>IF(Draft!E55="","",Draft!E55)</f>
        <v>Paragoomba</v>
      </c>
      <c r="C140" s="18">
        <f ca="1">IF($A140="","",SUMIFS('Current Char Stats'!$D$4:$D$273,'Current Char Stats'!$A$4:$A$273,$A140,'Current Char Stats'!$B$4:$B$273,$B140))</f>
        <v>1</v>
      </c>
      <c r="D140" s="18">
        <f ca="1">IF($A140="","",SUMIFS('Current Char Stats'!$E$4:$E$273,'Current Char Stats'!$A$4:$A$273,$A140,'Current Char Stats'!$B$4:$B$273,$B140))</f>
        <v>0</v>
      </c>
      <c r="E140" s="61">
        <f t="shared" ca="1" si="2"/>
        <v>0</v>
      </c>
      <c r="F140" s="18">
        <f ca="1">IF($A140="","",SUMIFS('Current Char Stats'!$G$4:$G$273,'Current Char Stats'!$A$4:$A$273,$A140,'Current Char Stats'!$B$4:$B$273,$B140))</f>
        <v>0</v>
      </c>
      <c r="G140" s="18">
        <f ca="1">IF($A140="","",SUMIFS('Current Char Stats'!$H$4:$H$273,'Current Char Stats'!$A$4:$A$273,$A140,'Current Char Stats'!$B$4:$B$273,$B140))</f>
        <v>0</v>
      </c>
      <c r="H140" s="18">
        <f ca="1">IF($A140="","",INT(SUMIFS(Data!$AN$4:$AN$183,Data!$AL$4:$AL$183,$A140,Data!$AM$4:$AM$183,$B140))+MOD(ROUND(SUMIFS(Data!$AN$4:$AN$183,Data!$AL$4:$AL$183,$A140,Data!$AM$4:$AM$183,$B140)*3,0),3)/10)</f>
        <v>0</v>
      </c>
      <c r="I140" s="18">
        <f ca="1">IF($A140="","",SUMIFS('Current Char Stats'!$J$4:$J$273,'Current Char Stats'!$A$4:$A$273,$A140,'Current Char Stats'!$B$4:$B$273,$B140))</f>
        <v>0</v>
      </c>
      <c r="J140" s="62" t="str">
        <f ca="1">IF($A140="","",IF(SUMIFS(Data!$AN$4:$AN$183,Data!$AL$4:$AL$183,$A140,Data!$AM$4:$AM$183,$B140)=0,"",I140*3/SUMIFS(Data!$AN$4:$AN$183,Data!$AL$4:$AL$183,$A140,Data!$AM$4:$AM$183,$B140)))</f>
        <v/>
      </c>
    </row>
    <row r="141" spans="1:10">
      <c r="A141" s="116" t="str">
        <f>IF(Draft!D56="","",Draft!D56)</f>
        <v>Nick</v>
      </c>
      <c r="B141" s="18" t="str">
        <f>IF(Draft!E56="","",Draft!E56)</f>
        <v>Green Dry Bones</v>
      </c>
      <c r="C141" s="18">
        <f ca="1">IF($A141="","",SUMIFS('Current Char Stats'!$D$4:$D$273,'Current Char Stats'!$A$4:$A$273,$A141,'Current Char Stats'!$B$4:$B$273,$B141))</f>
        <v>5</v>
      </c>
      <c r="D141" s="18">
        <f ca="1">IF($A141="","",SUMIFS('Current Char Stats'!$E$4:$E$273,'Current Char Stats'!$A$4:$A$273,$A141,'Current Char Stats'!$B$4:$B$273,$B141))</f>
        <v>2</v>
      </c>
      <c r="E141" s="61">
        <f t="shared" ca="1" si="2"/>
        <v>0.5</v>
      </c>
      <c r="F141" s="18">
        <f ca="1">IF($A141="","",SUMIFS('Current Char Stats'!$G$4:$G$273,'Current Char Stats'!$A$4:$A$273,$A141,'Current Char Stats'!$B$4:$B$273,$B141))</f>
        <v>0</v>
      </c>
      <c r="G141" s="18">
        <f ca="1">IF($A141="","",SUMIFS('Current Char Stats'!$H$4:$H$273,'Current Char Stats'!$A$4:$A$273,$A141,'Current Char Stats'!$B$4:$B$273,$B141))</f>
        <v>0</v>
      </c>
      <c r="H141" s="18">
        <f ca="1">IF($A141="","",INT(SUMIFS(Data!$AN$4:$AN$183,Data!$AL$4:$AL$183,$A141,Data!$AM$4:$AM$183,$B141))+MOD(ROUND(SUMIFS(Data!$AN$4:$AN$183,Data!$AL$4:$AL$183,$A141,Data!$AM$4:$AM$183,$B141)*3,0),3)/10)</f>
        <v>0</v>
      </c>
      <c r="I141" s="18">
        <f ca="1">IF($A141="","",SUMIFS('Current Char Stats'!$J$4:$J$273,'Current Char Stats'!$A$4:$A$273,$A141,'Current Char Stats'!$B$4:$B$273,$B141))</f>
        <v>0</v>
      </c>
      <c r="J141" s="62" t="str">
        <f ca="1">IF($A141="","",IF(SUMIFS(Data!$AN$4:$AN$183,Data!$AL$4:$AL$183,$A141,Data!$AM$4:$AM$183,$B141)=0,"",I141*3/SUMIFS(Data!$AN$4:$AN$183,Data!$AL$4:$AL$183,$A141,Data!$AM$4:$AM$183,$B141)))</f>
        <v/>
      </c>
    </row>
    <row r="142" spans="1:10">
      <c r="A142" s="117" t="str">
        <f>IF(Draft!D57="","",Draft!D57)</f>
        <v>Aidan</v>
      </c>
      <c r="B142" s="18" t="str">
        <f>IF(Draft!E57="","",Draft!E57)</f>
        <v>Blue Dry Bones</v>
      </c>
      <c r="C142" s="18">
        <f ca="1">IF($A142="","",SUMIFS('Current Char Stats'!$D$4:$D$273,'Current Char Stats'!$A$4:$A$273,$A142,'Current Char Stats'!$B$4:$B$273,$B142))</f>
        <v>2</v>
      </c>
      <c r="D142" s="18">
        <f ca="1">IF($A142="","",SUMIFS('Current Char Stats'!$E$4:$E$273,'Current Char Stats'!$A$4:$A$273,$A142,'Current Char Stats'!$B$4:$B$273,$B142))</f>
        <v>2</v>
      </c>
      <c r="E142" s="61">
        <f t="shared" ca="1" si="2"/>
        <v>1</v>
      </c>
      <c r="F142" s="18">
        <f ca="1">IF($A142="","",SUMIFS('Current Char Stats'!$G$4:$G$273,'Current Char Stats'!$A$4:$A$273,$A142,'Current Char Stats'!$B$4:$B$273,$B142))</f>
        <v>1</v>
      </c>
      <c r="G142" s="18">
        <f ca="1">IF($A142="","",SUMIFS('Current Char Stats'!$H$4:$H$273,'Current Char Stats'!$A$4:$A$273,$A142,'Current Char Stats'!$B$4:$B$273,$B142))</f>
        <v>2</v>
      </c>
      <c r="H142" s="18">
        <f ca="1">IF($A142="","",INT(SUMIFS(Data!$AN$4:$AN$183,Data!$AL$4:$AL$183,$A142,Data!$AM$4:$AM$183,$B142))+MOD(ROUND(SUMIFS(Data!$AN$4:$AN$183,Data!$AL$4:$AL$183,$A142,Data!$AM$4:$AM$183,$B142)*3,0),3)/10)</f>
        <v>0</v>
      </c>
      <c r="I142" s="18">
        <f ca="1">IF($A142="","",SUMIFS('Current Char Stats'!$J$4:$J$273,'Current Char Stats'!$A$4:$A$273,$A142,'Current Char Stats'!$B$4:$B$273,$B142))</f>
        <v>0</v>
      </c>
      <c r="J142" s="62" t="str">
        <f ca="1">IF($A142="","",IF(SUMIFS(Data!$AN$4:$AN$183,Data!$AL$4:$AL$183,$A142,Data!$AM$4:$AM$183,$B142)=0,"",I142*3/SUMIFS(Data!$AN$4:$AN$183,Data!$AL$4:$AL$183,$A142,Data!$AM$4:$AM$183,$B142)))</f>
        <v/>
      </c>
    </row>
    <row r="143" spans="1:10">
      <c r="A143" s="118" t="str">
        <f>IF(Draft!D58="","",Draft!D58)</f>
        <v>Jason</v>
      </c>
      <c r="B143" s="18" t="str">
        <f>IF(Draft!E58="","",Draft!E58)</f>
        <v>Yellow Toad</v>
      </c>
      <c r="C143" s="18">
        <f ca="1">IF($A143="","",SUMIFS('Current Char Stats'!$D$4:$D$273,'Current Char Stats'!$A$4:$A$273,$A143,'Current Char Stats'!$B$4:$B$273,$B143))</f>
        <v>4</v>
      </c>
      <c r="D143" s="18">
        <f ca="1">IF($A143="","",SUMIFS('Current Char Stats'!$E$4:$E$273,'Current Char Stats'!$A$4:$A$273,$A143,'Current Char Stats'!$B$4:$B$273,$B143))</f>
        <v>1</v>
      </c>
      <c r="E143" s="61">
        <f t="shared" ca="1" si="2"/>
        <v>0.25</v>
      </c>
      <c r="F143" s="18">
        <f ca="1">IF($A143="","",SUMIFS('Current Char Stats'!$G$4:$G$273,'Current Char Stats'!$A$4:$A$273,$A143,'Current Char Stats'!$B$4:$B$273,$B143))</f>
        <v>0</v>
      </c>
      <c r="G143" s="18">
        <f ca="1">IF($A143="","",SUMIFS('Current Char Stats'!$H$4:$H$273,'Current Char Stats'!$A$4:$A$273,$A143,'Current Char Stats'!$B$4:$B$273,$B143))</f>
        <v>0</v>
      </c>
      <c r="H143" s="18">
        <f ca="1">IF($A143="","",INT(SUMIFS(Data!$AN$4:$AN$183,Data!$AL$4:$AL$183,$A143,Data!$AM$4:$AM$183,$B143))+MOD(ROUND(SUMIFS(Data!$AN$4:$AN$183,Data!$AL$4:$AL$183,$A143,Data!$AM$4:$AM$183,$B143)*3,0),3)/10)</f>
        <v>0</v>
      </c>
      <c r="I143" s="18">
        <f ca="1">IF($A143="","",SUMIFS('Current Char Stats'!$J$4:$J$273,'Current Char Stats'!$A$4:$A$273,$A143,'Current Char Stats'!$B$4:$B$273,$B143))</f>
        <v>0</v>
      </c>
      <c r="J143" s="62" t="str">
        <f ca="1">IF($A143="","",IF(SUMIFS(Data!$AN$4:$AN$183,Data!$AL$4:$AL$183,$A143,Data!$AM$4:$AM$183,$B143)=0,"",I143*3/SUMIFS(Data!$AN$4:$AN$183,Data!$AL$4:$AL$183,$A143,Data!$AM$4:$AM$183,$B143)))</f>
        <v/>
      </c>
    </row>
    <row r="144" spans="1:10">
      <c r="A144" s="119" t="str">
        <f>IF(Draft!D59="","",Draft!D59)</f>
        <v>May</v>
      </c>
      <c r="B144" s="18" t="str">
        <f>IF(Draft!E59="","",Draft!E59)</f>
        <v>Koopa</v>
      </c>
      <c r="C144" s="18">
        <f ca="1">IF($A144="","",SUMIFS('Current Char Stats'!$D$4:$D$273,'Current Char Stats'!$A$4:$A$273,$A144,'Current Char Stats'!$B$4:$B$273,$B144))</f>
        <v>3</v>
      </c>
      <c r="D144" s="18">
        <f ca="1">IF($A144="","",SUMIFS('Current Char Stats'!$E$4:$E$273,'Current Char Stats'!$A$4:$A$273,$A144,'Current Char Stats'!$B$4:$B$273,$B144))</f>
        <v>1</v>
      </c>
      <c r="E144" s="61">
        <f t="shared" ca="1" si="2"/>
        <v>0.33333333333333331</v>
      </c>
      <c r="F144" s="18">
        <f ca="1">IF($A144="","",SUMIFS('Current Char Stats'!$G$4:$G$273,'Current Char Stats'!$A$4:$A$273,$A144,'Current Char Stats'!$B$4:$B$273,$B144))</f>
        <v>0</v>
      </c>
      <c r="G144" s="18">
        <f ca="1">IF($A144="","",SUMIFS('Current Char Stats'!$H$4:$H$273,'Current Char Stats'!$A$4:$A$273,$A144,'Current Char Stats'!$B$4:$B$273,$B144))</f>
        <v>0</v>
      </c>
      <c r="H144" s="18">
        <f ca="1">IF($A144="","",INT(SUMIFS(Data!$AN$4:$AN$183,Data!$AL$4:$AL$183,$A144,Data!$AM$4:$AM$183,$B144))+MOD(ROUND(SUMIFS(Data!$AN$4:$AN$183,Data!$AL$4:$AL$183,$A144,Data!$AM$4:$AM$183,$B144)*3,0),3)/10)</f>
        <v>0</v>
      </c>
      <c r="I144" s="18">
        <f ca="1">IF($A144="","",SUMIFS('Current Char Stats'!$J$4:$J$273,'Current Char Stats'!$A$4:$A$273,$A144,'Current Char Stats'!$B$4:$B$273,$B144))</f>
        <v>0</v>
      </c>
      <c r="J144" s="62" t="str">
        <f ca="1">IF($A144="","",IF(SUMIFS(Data!$AN$4:$AN$183,Data!$AL$4:$AL$183,$A144,Data!$AM$4:$AM$183,$B144)=0,"",I144*3/SUMIFS(Data!$AN$4:$AN$183,Data!$AL$4:$AL$183,$A144,Data!$AM$4:$AM$183,$B144)))</f>
        <v/>
      </c>
    </row>
    <row r="145" spans="1:10">
      <c r="A145" s="18" t="str">
        <f>IF(Draft!D60="","",Draft!D60)</f>
        <v/>
      </c>
      <c r="B145" s="18" t="str">
        <f>IF(Draft!E60="","",Draft!E60)</f>
        <v/>
      </c>
      <c r="C145" s="18" t="str">
        <f ca="1">IF($A145="","",SUMIFS('Current Char Stats'!$D$4:$D$273,'Current Char Stats'!$A$4:$A$273,$A145,'Current Char Stats'!$B$4:$B$273,$B145))</f>
        <v/>
      </c>
      <c r="D145" s="18" t="str">
        <f ca="1">IF($A145="","",SUMIFS('Current Char Stats'!$E$4:$E$273,'Current Char Stats'!$A$4:$A$273,$A145,'Current Char Stats'!$B$4:$B$273,$B145))</f>
        <v/>
      </c>
      <c r="E145" s="61" t="str">
        <f t="shared" ca="1" si="2"/>
        <v/>
      </c>
      <c r="F145" s="18" t="str">
        <f ca="1">IF($A145="","",SUMIFS('Current Char Stats'!$G$4:$G$273,'Current Char Stats'!$A$4:$A$273,$A145,'Current Char Stats'!$B$4:$B$273,$B145))</f>
        <v/>
      </c>
      <c r="G145" s="18" t="str">
        <f ca="1">IF($A145="","",SUMIFS('Current Char Stats'!$H$4:$H$273,'Current Char Stats'!$A$4:$A$273,$A145,'Current Char Stats'!$B$4:$B$273,$B145))</f>
        <v/>
      </c>
      <c r="H145" s="18" t="str">
        <f ca="1">IF($A145="","",INT(SUMIFS(Data!$AN$4:$AN$183,Data!$AL$4:$AL$183,$A145,Data!$AM$4:$AM$183,$B145))+MOD(ROUND(SUMIFS(Data!$AN$4:$AN$183,Data!$AL$4:$AL$183,$A145,Data!$AM$4:$AM$183,$B145)*3,0),3)/10)</f>
        <v/>
      </c>
      <c r="I145" s="18" t="str">
        <f ca="1">IF($A145="","",SUMIFS('Current Char Stats'!$J$4:$J$273,'Current Char Stats'!$A$4:$A$273,$A145,'Current Char Stats'!$B$4:$B$273,$B145))</f>
        <v/>
      </c>
      <c r="J145" s="62" t="str">
        <f ca="1">IF($A145="","",IF(SUMIFS(Data!$AN$4:$AN$183,Data!$AL$4:$AL$183,$A145,Data!$AM$4:$AM$183,$B145)=0,"",I145*3/SUMIFS(Data!$AN$4:$AN$183,Data!$AL$4:$AL$183,$A145,Data!$AM$4:$AM$183,$B145)))</f>
        <v/>
      </c>
    </row>
    <row r="146" spans="1:10">
      <c r="A146" s="18" t="str">
        <f>IF(Draft!D61="","",Draft!D61)</f>
        <v/>
      </c>
      <c r="B146" s="18" t="str">
        <f>IF(Draft!E61="","",Draft!E61)</f>
        <v/>
      </c>
      <c r="C146" s="18" t="str">
        <f ca="1">IF($A146="","",SUMIFS('Current Char Stats'!$D$4:$D$273,'Current Char Stats'!$A$4:$A$273,$A146,'Current Char Stats'!$B$4:$B$273,$B146))</f>
        <v/>
      </c>
      <c r="D146" s="18" t="str">
        <f ca="1">IF($A146="","",SUMIFS('Current Char Stats'!$E$4:$E$273,'Current Char Stats'!$A$4:$A$273,$A146,'Current Char Stats'!$B$4:$B$273,$B146))</f>
        <v/>
      </c>
      <c r="E146" s="61" t="str">
        <f t="shared" ca="1" si="2"/>
        <v/>
      </c>
      <c r="F146" s="18" t="str">
        <f ca="1">IF($A146="","",SUMIFS('Current Char Stats'!$G$4:$G$273,'Current Char Stats'!$A$4:$A$273,$A146,'Current Char Stats'!$B$4:$B$273,$B146))</f>
        <v/>
      </c>
      <c r="G146" s="18" t="str">
        <f ca="1">IF($A146="","",SUMIFS('Current Char Stats'!$H$4:$H$273,'Current Char Stats'!$A$4:$A$273,$A146,'Current Char Stats'!$B$4:$B$273,$B146))</f>
        <v/>
      </c>
      <c r="H146" s="18" t="str">
        <f ca="1">IF($A146="","",INT(SUMIFS(Data!$AN$4:$AN$183,Data!$AL$4:$AL$183,$A146,Data!$AM$4:$AM$183,$B146))+MOD(ROUND(SUMIFS(Data!$AN$4:$AN$183,Data!$AL$4:$AL$183,$A146,Data!$AM$4:$AM$183,$B146)*3,0),3)/10)</f>
        <v/>
      </c>
      <c r="I146" s="18" t="str">
        <f ca="1">IF($A146="","",SUMIFS('Current Char Stats'!$J$4:$J$273,'Current Char Stats'!$A$4:$A$273,$A146,'Current Char Stats'!$B$4:$B$273,$B146))</f>
        <v/>
      </c>
      <c r="J146" s="62" t="str">
        <f ca="1">IF($A146="","",IF(SUMIFS(Data!$AN$4:$AN$183,Data!$AL$4:$AL$183,$A146,Data!$AM$4:$AM$183,$B146)=0,"",I146*3/SUMIFS(Data!$AN$4:$AN$183,Data!$AL$4:$AL$183,$A146,Data!$AM$4:$AM$183,$B146)))</f>
        <v/>
      </c>
    </row>
    <row r="147" spans="1:10">
      <c r="A147" s="18" t="str">
        <f>IF(Draft!D62="","",Draft!D62)</f>
        <v/>
      </c>
      <c r="B147" s="18" t="str">
        <f>IF(Draft!E62="","",Draft!E62)</f>
        <v/>
      </c>
      <c r="C147" s="18" t="str">
        <f ca="1">IF($A147="","",SUMIFS('Current Char Stats'!$D$4:$D$273,'Current Char Stats'!$A$4:$A$273,$A147,'Current Char Stats'!$B$4:$B$273,$B147))</f>
        <v/>
      </c>
      <c r="D147" s="18" t="str">
        <f ca="1">IF($A147="","",SUMIFS('Current Char Stats'!$E$4:$E$273,'Current Char Stats'!$A$4:$A$273,$A147,'Current Char Stats'!$B$4:$B$273,$B147))</f>
        <v/>
      </c>
      <c r="E147" s="61" t="str">
        <f t="shared" ca="1" si="2"/>
        <v/>
      </c>
      <c r="F147" s="18" t="str">
        <f ca="1">IF($A147="","",SUMIFS('Current Char Stats'!$G$4:$G$273,'Current Char Stats'!$A$4:$A$273,$A147,'Current Char Stats'!$B$4:$B$273,$B147))</f>
        <v/>
      </c>
      <c r="G147" s="18" t="str">
        <f ca="1">IF($A147="","",SUMIFS('Current Char Stats'!$H$4:$H$273,'Current Char Stats'!$A$4:$A$273,$A147,'Current Char Stats'!$B$4:$B$273,$B147))</f>
        <v/>
      </c>
      <c r="H147" s="18" t="str">
        <f ca="1">IF($A147="","",INT(SUMIFS(Data!$AN$4:$AN$183,Data!$AL$4:$AL$183,$A147,Data!$AM$4:$AM$183,$B147))+MOD(ROUND(SUMIFS(Data!$AN$4:$AN$183,Data!$AL$4:$AL$183,$A147,Data!$AM$4:$AM$183,$B147)*3,0),3)/10)</f>
        <v/>
      </c>
      <c r="I147" s="18" t="str">
        <f ca="1">IF($A147="","",SUMIFS('Current Char Stats'!$J$4:$J$273,'Current Char Stats'!$A$4:$A$273,$A147,'Current Char Stats'!$B$4:$B$273,$B147))</f>
        <v/>
      </c>
      <c r="J147" s="62" t="str">
        <f ca="1">IF($A147="","",IF(SUMIFS(Data!$AN$4:$AN$183,Data!$AL$4:$AL$183,$A147,Data!$AM$4:$AM$183,$B147)=0,"",I147*3/SUMIFS(Data!$AN$4:$AN$183,Data!$AL$4:$AL$183,$A147,Data!$AM$4:$AM$183,$B147)))</f>
        <v/>
      </c>
    </row>
    <row r="148" spans="1:10">
      <c r="A148" s="18" t="str">
        <f>IF(Draft!D63="","",Draft!D63)</f>
        <v/>
      </c>
      <c r="B148" s="18" t="str">
        <f>IF(Draft!E63="","",Draft!E63)</f>
        <v/>
      </c>
      <c r="C148" s="18" t="str">
        <f ca="1">IF($A148="","",SUMIFS('Current Char Stats'!$D$4:$D$273,'Current Char Stats'!$A$4:$A$273,$A148,'Current Char Stats'!$B$4:$B$273,$B148))</f>
        <v/>
      </c>
      <c r="D148" s="18" t="str">
        <f ca="1">IF($A148="","",SUMIFS('Current Char Stats'!$E$4:$E$273,'Current Char Stats'!$A$4:$A$273,$A148,'Current Char Stats'!$B$4:$B$273,$B148))</f>
        <v/>
      </c>
      <c r="E148" s="61" t="str">
        <f t="shared" ca="1" si="2"/>
        <v/>
      </c>
      <c r="F148" s="18" t="str">
        <f ca="1">IF($A148="","",SUMIFS('Current Char Stats'!$G$4:$G$273,'Current Char Stats'!$A$4:$A$273,$A148,'Current Char Stats'!$B$4:$B$273,$B148))</f>
        <v/>
      </c>
      <c r="G148" s="18" t="str">
        <f ca="1">IF($A148="","",SUMIFS('Current Char Stats'!$H$4:$H$273,'Current Char Stats'!$A$4:$A$273,$A148,'Current Char Stats'!$B$4:$B$273,$B148))</f>
        <v/>
      </c>
      <c r="H148" s="18" t="str">
        <f ca="1">IF($A148="","",INT(SUMIFS(Data!$AN$4:$AN$183,Data!$AL$4:$AL$183,$A148,Data!$AM$4:$AM$183,$B148))+MOD(ROUND(SUMIFS(Data!$AN$4:$AN$183,Data!$AL$4:$AL$183,$A148,Data!$AM$4:$AM$183,$B148)*3,0),3)/10)</f>
        <v/>
      </c>
      <c r="I148" s="18" t="str">
        <f ca="1">IF($A148="","",SUMIFS('Current Char Stats'!$J$4:$J$273,'Current Char Stats'!$A$4:$A$273,$A148,'Current Char Stats'!$B$4:$B$273,$B148))</f>
        <v/>
      </c>
      <c r="J148" s="62" t="str">
        <f ca="1">IF($A148="","",IF(SUMIFS(Data!$AN$4:$AN$183,Data!$AL$4:$AL$183,$A148,Data!$AM$4:$AM$183,$B148)=0,"",I148*3/SUMIFS(Data!$AN$4:$AN$183,Data!$AL$4:$AL$183,$A148,Data!$AM$4:$AM$183,$B148)))</f>
        <v/>
      </c>
    </row>
    <row r="149" spans="1:10">
      <c r="A149" s="18" t="str">
        <f>IF(Draft!D64="","",Draft!D64)</f>
        <v/>
      </c>
      <c r="B149" s="18" t="str">
        <f>IF(Draft!E64="","",Draft!E64)</f>
        <v/>
      </c>
      <c r="C149" s="18" t="str">
        <f ca="1">IF($A149="","",SUMIFS('Current Char Stats'!$D$4:$D$273,'Current Char Stats'!$A$4:$A$273,$A149,'Current Char Stats'!$B$4:$B$273,$B149))</f>
        <v/>
      </c>
      <c r="D149" s="18" t="str">
        <f ca="1">IF($A149="","",SUMIFS('Current Char Stats'!$E$4:$E$273,'Current Char Stats'!$A$4:$A$273,$A149,'Current Char Stats'!$B$4:$B$273,$B149))</f>
        <v/>
      </c>
      <c r="E149" s="61" t="str">
        <f t="shared" ca="1" si="2"/>
        <v/>
      </c>
      <c r="F149" s="18" t="str">
        <f ca="1">IF($A149="","",SUMIFS('Current Char Stats'!$G$4:$G$273,'Current Char Stats'!$A$4:$A$273,$A149,'Current Char Stats'!$B$4:$B$273,$B149))</f>
        <v/>
      </c>
      <c r="G149" s="18" t="str">
        <f ca="1">IF($A149="","",SUMIFS('Current Char Stats'!$H$4:$H$273,'Current Char Stats'!$A$4:$A$273,$A149,'Current Char Stats'!$B$4:$B$273,$B149))</f>
        <v/>
      </c>
      <c r="H149" s="18" t="str">
        <f ca="1">IF($A149="","",INT(SUMIFS(Data!$AN$4:$AN$183,Data!$AL$4:$AL$183,$A149,Data!$AM$4:$AM$183,$B149))+MOD(ROUND(SUMIFS(Data!$AN$4:$AN$183,Data!$AL$4:$AL$183,$A149,Data!$AM$4:$AM$183,$B149)*3,0),3)/10)</f>
        <v/>
      </c>
      <c r="I149" s="18" t="str">
        <f ca="1">IF($A149="","",SUMIFS('Current Char Stats'!$J$4:$J$273,'Current Char Stats'!$A$4:$A$273,$A149,'Current Char Stats'!$B$4:$B$273,$B149))</f>
        <v/>
      </c>
      <c r="J149" s="62" t="str">
        <f ca="1">IF($A149="","",IF(SUMIFS(Data!$AN$4:$AN$183,Data!$AL$4:$AL$183,$A149,Data!$AM$4:$AM$183,$B149)=0,"",I149*3/SUMIFS(Data!$AN$4:$AN$183,Data!$AL$4:$AL$183,$A149,Data!$AM$4:$AM$183,$B149)))</f>
        <v/>
      </c>
    </row>
    <row r="150" spans="1:10">
      <c r="A150" s="18" t="str">
        <f>IF(Draft!D65="","",Draft!D65)</f>
        <v/>
      </c>
      <c r="B150" s="18" t="str">
        <f>IF(Draft!E65="","",Draft!E65)</f>
        <v/>
      </c>
      <c r="C150" s="18" t="str">
        <f ca="1">IF($A150="","",SUMIFS('Current Char Stats'!$D$4:$D$273,'Current Char Stats'!$A$4:$A$273,$A150,'Current Char Stats'!$B$4:$B$273,$B150))</f>
        <v/>
      </c>
      <c r="D150" s="18" t="str">
        <f ca="1">IF($A150="","",SUMIFS('Current Char Stats'!$E$4:$E$273,'Current Char Stats'!$A$4:$A$273,$A150,'Current Char Stats'!$B$4:$B$273,$B150))</f>
        <v/>
      </c>
      <c r="E150" s="61" t="str">
        <f t="shared" ca="1" si="2"/>
        <v/>
      </c>
      <c r="F150" s="18" t="str">
        <f ca="1">IF($A150="","",SUMIFS('Current Char Stats'!$G$4:$G$273,'Current Char Stats'!$A$4:$A$273,$A150,'Current Char Stats'!$B$4:$B$273,$B150))</f>
        <v/>
      </c>
      <c r="G150" s="18" t="str">
        <f ca="1">IF($A150="","",SUMIFS('Current Char Stats'!$H$4:$H$273,'Current Char Stats'!$A$4:$A$273,$A150,'Current Char Stats'!$B$4:$B$273,$B150))</f>
        <v/>
      </c>
      <c r="H150" s="18" t="str">
        <f ca="1">IF($A150="","",INT(SUMIFS(Data!$AN$4:$AN$183,Data!$AL$4:$AL$183,$A150,Data!$AM$4:$AM$183,$B150))+MOD(ROUND(SUMIFS(Data!$AN$4:$AN$183,Data!$AL$4:$AL$183,$A150,Data!$AM$4:$AM$183,$B150)*3,0),3)/10)</f>
        <v/>
      </c>
      <c r="I150" s="18" t="str">
        <f ca="1">IF($A150="","",SUMIFS('Current Char Stats'!$J$4:$J$273,'Current Char Stats'!$A$4:$A$273,$A150,'Current Char Stats'!$B$4:$B$273,$B150))</f>
        <v/>
      </c>
      <c r="J150" s="62" t="str">
        <f ca="1">IF($A150="","",IF(SUMIFS(Data!$AN$4:$AN$183,Data!$AL$4:$AL$183,$A150,Data!$AM$4:$AM$183,$B150)=0,"",I150*3/SUMIFS(Data!$AN$4:$AN$183,Data!$AL$4:$AL$183,$A150,Data!$AM$4:$AM$183,$B150)))</f>
        <v/>
      </c>
    </row>
    <row r="151" spans="1:10">
      <c r="A151" s="18" t="str">
        <f>IF(Draft!D66="","",Draft!D66)</f>
        <v/>
      </c>
      <c r="B151" s="18" t="str">
        <f>IF(Draft!E66="","",Draft!E66)</f>
        <v/>
      </c>
      <c r="C151" s="18" t="str">
        <f ca="1">IF($A151="","",SUMIFS('Current Char Stats'!$D$4:$D$273,'Current Char Stats'!$A$4:$A$273,$A151,'Current Char Stats'!$B$4:$B$273,$B151))</f>
        <v/>
      </c>
      <c r="D151" s="18" t="str">
        <f ca="1">IF($A151="","",SUMIFS('Current Char Stats'!$E$4:$E$273,'Current Char Stats'!$A$4:$A$273,$A151,'Current Char Stats'!$B$4:$B$273,$B151))</f>
        <v/>
      </c>
      <c r="E151" s="61" t="str">
        <f t="shared" ca="1" si="2"/>
        <v/>
      </c>
      <c r="F151" s="18" t="str">
        <f ca="1">IF($A151="","",SUMIFS('Current Char Stats'!$G$4:$G$273,'Current Char Stats'!$A$4:$A$273,$A151,'Current Char Stats'!$B$4:$B$273,$B151))</f>
        <v/>
      </c>
      <c r="G151" s="18" t="str">
        <f ca="1">IF($A151="","",SUMIFS('Current Char Stats'!$H$4:$H$273,'Current Char Stats'!$A$4:$A$273,$A151,'Current Char Stats'!$B$4:$B$273,$B151))</f>
        <v/>
      </c>
      <c r="H151" s="18" t="str">
        <f ca="1">IF($A151="","",INT(SUMIFS(Data!$AN$4:$AN$183,Data!$AL$4:$AL$183,$A151,Data!$AM$4:$AM$183,$B151))+MOD(ROUND(SUMIFS(Data!$AN$4:$AN$183,Data!$AL$4:$AL$183,$A151,Data!$AM$4:$AM$183,$B151)*3,0),3)/10)</f>
        <v/>
      </c>
      <c r="I151" s="18" t="str">
        <f ca="1">IF($A151="","",SUMIFS('Current Char Stats'!$J$4:$J$273,'Current Char Stats'!$A$4:$A$273,$A151,'Current Char Stats'!$B$4:$B$273,$B151))</f>
        <v/>
      </c>
      <c r="J151" s="62" t="str">
        <f ca="1">IF($A151="","",IF(SUMIFS(Data!$AN$4:$AN$183,Data!$AL$4:$AL$183,$A151,Data!$AM$4:$AM$183,$B151)=0,"",I151*3/SUMIFS(Data!$AN$4:$AN$183,Data!$AL$4:$AL$183,$A151,Data!$AM$4:$AM$183,$B151)))</f>
        <v/>
      </c>
    </row>
    <row r="152" spans="1:10">
      <c r="A152" s="18" t="str">
        <f>IF(Draft!D67="","",Draft!D67)</f>
        <v/>
      </c>
      <c r="B152" s="18" t="str">
        <f>IF(Draft!E67="","",Draft!E67)</f>
        <v/>
      </c>
      <c r="C152" s="18" t="str">
        <f ca="1">IF($A152="","",SUMIFS('Current Char Stats'!$D$4:$D$273,'Current Char Stats'!$A$4:$A$273,$A152,'Current Char Stats'!$B$4:$B$273,$B152))</f>
        <v/>
      </c>
      <c r="D152" s="18" t="str">
        <f ca="1">IF($A152="","",SUMIFS('Current Char Stats'!$E$4:$E$273,'Current Char Stats'!$A$4:$A$273,$A152,'Current Char Stats'!$B$4:$B$273,$B152))</f>
        <v/>
      </c>
      <c r="E152" s="61" t="str">
        <f t="shared" ca="1" si="2"/>
        <v/>
      </c>
      <c r="F152" s="18" t="str">
        <f ca="1">IF($A152="","",SUMIFS('Current Char Stats'!$G$4:$G$273,'Current Char Stats'!$A$4:$A$273,$A152,'Current Char Stats'!$B$4:$B$273,$B152))</f>
        <v/>
      </c>
      <c r="G152" s="18" t="str">
        <f ca="1">IF($A152="","",SUMIFS('Current Char Stats'!$H$4:$H$273,'Current Char Stats'!$A$4:$A$273,$A152,'Current Char Stats'!$B$4:$B$273,$B152))</f>
        <v/>
      </c>
      <c r="H152" s="18" t="str">
        <f ca="1">IF($A152="","",INT(SUMIFS(Data!$AN$4:$AN$183,Data!$AL$4:$AL$183,$A152,Data!$AM$4:$AM$183,$B152))+MOD(ROUND(SUMIFS(Data!$AN$4:$AN$183,Data!$AL$4:$AL$183,$A152,Data!$AM$4:$AM$183,$B152)*3,0),3)/10)</f>
        <v/>
      </c>
      <c r="I152" s="18" t="str">
        <f ca="1">IF($A152="","",SUMIFS('Current Char Stats'!$J$4:$J$273,'Current Char Stats'!$A$4:$A$273,$A152,'Current Char Stats'!$B$4:$B$273,$B152))</f>
        <v/>
      </c>
      <c r="J152" s="62" t="str">
        <f ca="1">IF($A152="","",IF(SUMIFS(Data!$AN$4:$AN$183,Data!$AL$4:$AL$183,$A152,Data!$AM$4:$AM$183,$B152)=0,"",I152*3/SUMIFS(Data!$AN$4:$AN$183,Data!$AL$4:$AL$183,$A152,Data!$AM$4:$AM$183,$B152)))</f>
        <v/>
      </c>
    </row>
    <row r="153" spans="1:10">
      <c r="A153" s="18" t="str">
        <f>IF(Draft!D68="","",Draft!D68)</f>
        <v/>
      </c>
      <c r="B153" s="18" t="str">
        <f>IF(Draft!E68="","",Draft!E68)</f>
        <v/>
      </c>
      <c r="C153" s="18" t="str">
        <f ca="1">IF($A153="","",SUMIFS('Current Char Stats'!$D$4:$D$273,'Current Char Stats'!$A$4:$A$273,$A153,'Current Char Stats'!$B$4:$B$273,$B153))</f>
        <v/>
      </c>
      <c r="D153" s="18" t="str">
        <f ca="1">IF($A153="","",SUMIFS('Current Char Stats'!$E$4:$E$273,'Current Char Stats'!$A$4:$A$273,$A153,'Current Char Stats'!$B$4:$B$273,$B153))</f>
        <v/>
      </c>
      <c r="E153" s="61" t="str">
        <f t="shared" ca="1" si="2"/>
        <v/>
      </c>
      <c r="F153" s="18" t="str">
        <f ca="1">IF($A153="","",SUMIFS('Current Char Stats'!$G$4:$G$273,'Current Char Stats'!$A$4:$A$273,$A153,'Current Char Stats'!$B$4:$B$273,$B153))</f>
        <v/>
      </c>
      <c r="G153" s="18" t="str">
        <f ca="1">IF($A153="","",SUMIFS('Current Char Stats'!$H$4:$H$273,'Current Char Stats'!$A$4:$A$273,$A153,'Current Char Stats'!$B$4:$B$273,$B153))</f>
        <v/>
      </c>
      <c r="H153" s="18" t="str">
        <f ca="1">IF($A153="","",INT(SUMIFS(Data!$AN$4:$AN$183,Data!$AL$4:$AL$183,$A153,Data!$AM$4:$AM$183,$B153))+MOD(ROUND(SUMIFS(Data!$AN$4:$AN$183,Data!$AL$4:$AL$183,$A153,Data!$AM$4:$AM$183,$B153)*3,0),3)/10)</f>
        <v/>
      </c>
      <c r="I153" s="18" t="str">
        <f ca="1">IF($A153="","",SUMIFS('Current Char Stats'!$J$4:$J$273,'Current Char Stats'!$A$4:$A$273,$A153,'Current Char Stats'!$B$4:$B$273,$B153))</f>
        <v/>
      </c>
      <c r="J153" s="62" t="str">
        <f ca="1">IF($A153="","",IF(SUMIFS(Data!$AN$4:$AN$183,Data!$AL$4:$AL$183,$A153,Data!$AM$4:$AM$183,$B153)=0,"",I153*3/SUMIFS(Data!$AN$4:$AN$183,Data!$AL$4:$AL$183,$A153,Data!$AM$4:$AM$183,$B153)))</f>
        <v/>
      </c>
    </row>
    <row r="154" spans="1:10">
      <c r="A154" s="18" t="str">
        <f>IF(Draft!D69="","",Draft!D69)</f>
        <v/>
      </c>
      <c r="B154" s="18" t="str">
        <f>IF(Draft!E69="","",Draft!E69)</f>
        <v/>
      </c>
      <c r="C154" s="18" t="str">
        <f ca="1">IF($A154="","",SUMIFS('Current Char Stats'!$D$4:$D$273,'Current Char Stats'!$A$4:$A$273,$A154,'Current Char Stats'!$B$4:$B$273,$B154))</f>
        <v/>
      </c>
      <c r="D154" s="18" t="str">
        <f ca="1">IF($A154="","",SUMIFS('Current Char Stats'!$E$4:$E$273,'Current Char Stats'!$A$4:$A$273,$A154,'Current Char Stats'!$B$4:$B$273,$B154))</f>
        <v/>
      </c>
      <c r="E154" s="61" t="str">
        <f t="shared" ca="1" si="2"/>
        <v/>
      </c>
      <c r="F154" s="18" t="str">
        <f ca="1">IF($A154="","",SUMIFS('Current Char Stats'!$G$4:$G$273,'Current Char Stats'!$A$4:$A$273,$A154,'Current Char Stats'!$B$4:$B$273,$B154))</f>
        <v/>
      </c>
      <c r="G154" s="18" t="str">
        <f ca="1">IF($A154="","",SUMIFS('Current Char Stats'!$H$4:$H$273,'Current Char Stats'!$A$4:$A$273,$A154,'Current Char Stats'!$B$4:$B$273,$B154))</f>
        <v/>
      </c>
      <c r="H154" s="18" t="str">
        <f ca="1">IF($A154="","",INT(SUMIFS(Data!$AN$4:$AN$183,Data!$AL$4:$AL$183,$A154,Data!$AM$4:$AM$183,$B154))+MOD(ROUND(SUMIFS(Data!$AN$4:$AN$183,Data!$AL$4:$AL$183,$A154,Data!$AM$4:$AM$183,$B154)*3,0),3)/10)</f>
        <v/>
      </c>
      <c r="I154" s="18" t="str">
        <f ca="1">IF($A154="","",SUMIFS('Current Char Stats'!$J$4:$J$273,'Current Char Stats'!$A$4:$A$273,$A154,'Current Char Stats'!$B$4:$B$273,$B154))</f>
        <v/>
      </c>
      <c r="J154" s="62" t="str">
        <f ca="1">IF($A154="","",IF(SUMIFS(Data!$AN$4:$AN$183,Data!$AL$4:$AL$183,$A154,Data!$AM$4:$AM$183,$B154)=0,"",I154*3/SUMIFS(Data!$AN$4:$AN$183,Data!$AL$4:$AL$183,$A154,Data!$AM$4:$AM$183,$B154)))</f>
        <v/>
      </c>
    </row>
    <row r="155" spans="1:10">
      <c r="A155" s="18" t="str">
        <f>IF(Draft!D70="","",Draft!D70)</f>
        <v/>
      </c>
      <c r="B155" s="18" t="str">
        <f>IF(Draft!E70="","",Draft!E70)</f>
        <v/>
      </c>
      <c r="C155" s="18" t="str">
        <f ca="1">IF($A155="","",SUMIFS('Current Char Stats'!$D$4:$D$273,'Current Char Stats'!$A$4:$A$273,$A155,'Current Char Stats'!$B$4:$B$273,$B155))</f>
        <v/>
      </c>
      <c r="D155" s="18" t="str">
        <f ca="1">IF($A155="","",SUMIFS('Current Char Stats'!$E$4:$E$273,'Current Char Stats'!$A$4:$A$273,$A155,'Current Char Stats'!$B$4:$B$273,$B155))</f>
        <v/>
      </c>
      <c r="E155" s="61" t="str">
        <f t="shared" ca="1" si="2"/>
        <v/>
      </c>
      <c r="F155" s="18" t="str">
        <f ca="1">IF($A155="","",SUMIFS('Current Char Stats'!$G$4:$G$273,'Current Char Stats'!$A$4:$A$273,$A155,'Current Char Stats'!$B$4:$B$273,$B155))</f>
        <v/>
      </c>
      <c r="G155" s="18" t="str">
        <f ca="1">IF($A155="","",SUMIFS('Current Char Stats'!$H$4:$H$273,'Current Char Stats'!$A$4:$A$273,$A155,'Current Char Stats'!$B$4:$B$273,$B155))</f>
        <v/>
      </c>
      <c r="H155" s="18" t="str">
        <f ca="1">IF($A155="","",INT(SUMIFS(Data!$AN$4:$AN$183,Data!$AL$4:$AL$183,$A155,Data!$AM$4:$AM$183,$B155))+MOD(ROUND(SUMIFS(Data!$AN$4:$AN$183,Data!$AL$4:$AL$183,$A155,Data!$AM$4:$AM$183,$B155)*3,0),3)/10)</f>
        <v/>
      </c>
      <c r="I155" s="18" t="str">
        <f ca="1">IF($A155="","",SUMIFS('Current Char Stats'!$J$4:$J$273,'Current Char Stats'!$A$4:$A$273,$A155,'Current Char Stats'!$B$4:$B$273,$B155))</f>
        <v/>
      </c>
      <c r="J155" s="62" t="str">
        <f ca="1">IF($A155="","",IF(SUMIFS(Data!$AN$4:$AN$183,Data!$AL$4:$AL$183,$A155,Data!$AM$4:$AM$183,$B155)=0,"",I155*3/SUMIFS(Data!$AN$4:$AN$183,Data!$AL$4:$AL$183,$A155,Data!$AM$4:$AM$183,$B155)))</f>
        <v/>
      </c>
    </row>
    <row r="156" spans="1:10">
      <c r="A156" s="18" t="str">
        <f>IF(Draft!D71="","",Draft!D71)</f>
        <v/>
      </c>
      <c r="B156" s="18" t="str">
        <f>IF(Draft!E71="","",Draft!E71)</f>
        <v/>
      </c>
      <c r="C156" s="18" t="str">
        <f ca="1">IF($A156="","",SUMIFS('Current Char Stats'!$D$4:$D$273,'Current Char Stats'!$A$4:$A$273,$A156,'Current Char Stats'!$B$4:$B$273,$B156))</f>
        <v/>
      </c>
      <c r="D156" s="18" t="str">
        <f ca="1">IF($A156="","",SUMIFS('Current Char Stats'!$E$4:$E$273,'Current Char Stats'!$A$4:$A$273,$A156,'Current Char Stats'!$B$4:$B$273,$B156))</f>
        <v/>
      </c>
      <c r="E156" s="61" t="str">
        <f t="shared" ref="E156:E162" ca="1" si="3">IF($A156="","",IF(C156=0,0,D156/C156))</f>
        <v/>
      </c>
      <c r="F156" s="18" t="str">
        <f ca="1">IF($A156="","",SUMIFS('Current Char Stats'!$G$4:$G$273,'Current Char Stats'!$A$4:$A$273,$A156,'Current Char Stats'!$B$4:$B$273,$B156))</f>
        <v/>
      </c>
      <c r="G156" s="18" t="str">
        <f ca="1">IF($A156="","",SUMIFS('Current Char Stats'!$H$4:$H$273,'Current Char Stats'!$A$4:$A$273,$A156,'Current Char Stats'!$B$4:$B$273,$B156))</f>
        <v/>
      </c>
      <c r="H156" s="18" t="str">
        <f ca="1">IF($A156="","",INT(SUMIFS(Data!$AN$4:$AN$183,Data!$AL$4:$AL$183,$A156,Data!$AM$4:$AM$183,$B156))+MOD(ROUND(SUMIFS(Data!$AN$4:$AN$183,Data!$AL$4:$AL$183,$A156,Data!$AM$4:$AM$183,$B156)*3,0),3)/10)</f>
        <v/>
      </c>
      <c r="I156" s="18" t="str">
        <f ca="1">IF($A156="","",SUMIFS('Current Char Stats'!$J$4:$J$273,'Current Char Stats'!$A$4:$A$273,$A156,'Current Char Stats'!$B$4:$B$273,$B156))</f>
        <v/>
      </c>
      <c r="J156" s="62" t="str">
        <f ca="1">IF($A156="","",IF(SUMIFS(Data!$AN$4:$AN$183,Data!$AL$4:$AL$183,$A156,Data!$AM$4:$AM$183,$B156)=0,"",I156*3/SUMIFS(Data!$AN$4:$AN$183,Data!$AL$4:$AL$183,$A156,Data!$AM$4:$AM$183,$B156)))</f>
        <v/>
      </c>
    </row>
    <row r="157" spans="1:10">
      <c r="A157" s="18" t="str">
        <f>IF(Draft!D72="","",Draft!D72)</f>
        <v/>
      </c>
      <c r="B157" s="18" t="str">
        <f>IF(Draft!E72="","",Draft!E72)</f>
        <v/>
      </c>
      <c r="C157" s="18" t="str">
        <f ca="1">IF($A157="","",SUMIFS('Current Char Stats'!$D$4:$D$273,'Current Char Stats'!$A$4:$A$273,$A157,'Current Char Stats'!$B$4:$B$273,$B157))</f>
        <v/>
      </c>
      <c r="D157" s="18" t="str">
        <f ca="1">IF($A157="","",SUMIFS('Current Char Stats'!$E$4:$E$273,'Current Char Stats'!$A$4:$A$273,$A157,'Current Char Stats'!$B$4:$B$273,$B157))</f>
        <v/>
      </c>
      <c r="E157" s="61" t="str">
        <f t="shared" ca="1" si="3"/>
        <v/>
      </c>
      <c r="F157" s="18" t="str">
        <f ca="1">IF($A157="","",SUMIFS('Current Char Stats'!$G$4:$G$273,'Current Char Stats'!$A$4:$A$273,$A157,'Current Char Stats'!$B$4:$B$273,$B157))</f>
        <v/>
      </c>
      <c r="G157" s="18" t="str">
        <f ca="1">IF($A157="","",SUMIFS('Current Char Stats'!$H$4:$H$273,'Current Char Stats'!$A$4:$A$273,$A157,'Current Char Stats'!$B$4:$B$273,$B157))</f>
        <v/>
      </c>
      <c r="H157" s="18" t="str">
        <f ca="1">IF($A157="","",INT(SUMIFS(Data!$AN$4:$AN$183,Data!$AL$4:$AL$183,$A157,Data!$AM$4:$AM$183,$B157))+MOD(ROUND(SUMIFS(Data!$AN$4:$AN$183,Data!$AL$4:$AL$183,$A157,Data!$AM$4:$AM$183,$B157)*3,0),3)/10)</f>
        <v/>
      </c>
      <c r="I157" s="18" t="str">
        <f ca="1">IF($A157="","",SUMIFS('Current Char Stats'!$J$4:$J$273,'Current Char Stats'!$A$4:$A$273,$A157,'Current Char Stats'!$B$4:$B$273,$B157))</f>
        <v/>
      </c>
      <c r="J157" s="62" t="str">
        <f ca="1">IF($A157="","",IF(SUMIFS(Data!$AN$4:$AN$183,Data!$AL$4:$AL$183,$A157,Data!$AM$4:$AM$183,$B157)=0,"",I157*3/SUMIFS(Data!$AN$4:$AN$183,Data!$AL$4:$AL$183,$A157,Data!$AM$4:$AM$183,$B157)))</f>
        <v/>
      </c>
    </row>
    <row r="158" spans="1:10">
      <c r="A158" s="18" t="str">
        <f>IF(Draft!D73="","",Draft!D73)</f>
        <v/>
      </c>
      <c r="B158" s="18" t="str">
        <f>IF(Draft!E73="","",Draft!E73)</f>
        <v/>
      </c>
      <c r="C158" s="18" t="str">
        <f ca="1">IF($A158="","",SUMIFS('Current Char Stats'!$D$4:$D$273,'Current Char Stats'!$A$4:$A$273,$A158,'Current Char Stats'!$B$4:$B$273,$B158))</f>
        <v/>
      </c>
      <c r="D158" s="18" t="str">
        <f ca="1">IF($A158="","",SUMIFS('Current Char Stats'!$E$4:$E$273,'Current Char Stats'!$A$4:$A$273,$A158,'Current Char Stats'!$B$4:$B$273,$B158))</f>
        <v/>
      </c>
      <c r="E158" s="61" t="str">
        <f t="shared" ca="1" si="3"/>
        <v/>
      </c>
      <c r="F158" s="18" t="str">
        <f ca="1">IF($A158="","",SUMIFS('Current Char Stats'!$G$4:$G$273,'Current Char Stats'!$A$4:$A$273,$A158,'Current Char Stats'!$B$4:$B$273,$B158))</f>
        <v/>
      </c>
      <c r="G158" s="18" t="str">
        <f ca="1">IF($A158="","",SUMIFS('Current Char Stats'!$H$4:$H$273,'Current Char Stats'!$A$4:$A$273,$A158,'Current Char Stats'!$B$4:$B$273,$B158))</f>
        <v/>
      </c>
      <c r="H158" s="18" t="str">
        <f ca="1">IF($A158="","",INT(SUMIFS(Data!$AN$4:$AN$183,Data!$AL$4:$AL$183,$A158,Data!$AM$4:$AM$183,$B158))+MOD(ROUND(SUMIFS(Data!$AN$4:$AN$183,Data!$AL$4:$AL$183,$A158,Data!$AM$4:$AM$183,$B158)*3,0),3)/10)</f>
        <v/>
      </c>
      <c r="I158" s="18" t="str">
        <f ca="1">IF($A158="","",SUMIFS('Current Char Stats'!$J$4:$J$273,'Current Char Stats'!$A$4:$A$273,$A158,'Current Char Stats'!$B$4:$B$273,$B158))</f>
        <v/>
      </c>
      <c r="J158" s="62" t="str">
        <f ca="1">IF($A158="","",IF(SUMIFS(Data!$AN$4:$AN$183,Data!$AL$4:$AL$183,$A158,Data!$AM$4:$AM$183,$B158)=0,"",I158*3/SUMIFS(Data!$AN$4:$AN$183,Data!$AL$4:$AL$183,$A158,Data!$AM$4:$AM$183,$B158)))</f>
        <v/>
      </c>
    </row>
    <row r="159" spans="1:10">
      <c r="A159" s="18" t="str">
        <f>IF(Draft!D74="","",Draft!D74)</f>
        <v/>
      </c>
      <c r="B159" s="18" t="str">
        <f>IF(Draft!E74="","",Draft!E74)</f>
        <v/>
      </c>
      <c r="C159" s="18" t="str">
        <f ca="1">IF($A159="","",SUMIFS('Current Char Stats'!$D$4:$D$273,'Current Char Stats'!$A$4:$A$273,$A159,'Current Char Stats'!$B$4:$B$273,$B159))</f>
        <v/>
      </c>
      <c r="D159" s="18" t="str">
        <f ca="1">IF($A159="","",SUMIFS('Current Char Stats'!$E$4:$E$273,'Current Char Stats'!$A$4:$A$273,$A159,'Current Char Stats'!$B$4:$B$273,$B159))</f>
        <v/>
      </c>
      <c r="E159" s="61" t="str">
        <f t="shared" ca="1" si="3"/>
        <v/>
      </c>
      <c r="F159" s="18" t="str">
        <f ca="1">IF($A159="","",SUMIFS('Current Char Stats'!$G$4:$G$273,'Current Char Stats'!$A$4:$A$273,$A159,'Current Char Stats'!$B$4:$B$273,$B159))</f>
        <v/>
      </c>
      <c r="G159" s="18" t="str">
        <f ca="1">IF($A159="","",SUMIFS('Current Char Stats'!$H$4:$H$273,'Current Char Stats'!$A$4:$A$273,$A159,'Current Char Stats'!$B$4:$B$273,$B159))</f>
        <v/>
      </c>
      <c r="H159" s="18" t="str">
        <f ca="1">IF($A159="","",INT(SUMIFS(Data!$AN$4:$AN$183,Data!$AL$4:$AL$183,$A159,Data!$AM$4:$AM$183,$B159))+MOD(ROUND(SUMIFS(Data!$AN$4:$AN$183,Data!$AL$4:$AL$183,$A159,Data!$AM$4:$AM$183,$B159)*3,0),3)/10)</f>
        <v/>
      </c>
      <c r="I159" s="18" t="str">
        <f ca="1">IF($A159="","",SUMIFS('Current Char Stats'!$J$4:$J$273,'Current Char Stats'!$A$4:$A$273,$A159,'Current Char Stats'!$B$4:$B$273,$B159))</f>
        <v/>
      </c>
      <c r="J159" s="62" t="str">
        <f ca="1">IF($A159="","",IF(SUMIFS(Data!$AN$4:$AN$183,Data!$AL$4:$AL$183,$A159,Data!$AM$4:$AM$183,$B159)=0,"",I159*3/SUMIFS(Data!$AN$4:$AN$183,Data!$AL$4:$AL$183,$A159,Data!$AM$4:$AM$183,$B159)))</f>
        <v/>
      </c>
    </row>
    <row r="160" spans="1:10">
      <c r="A160" s="18" t="str">
        <f>IF(Draft!D75="","",Draft!D75)</f>
        <v/>
      </c>
      <c r="B160" s="18" t="str">
        <f>IF(Draft!E75="","",Draft!E75)</f>
        <v/>
      </c>
      <c r="C160" s="18" t="str">
        <f ca="1">IF($A160="","",SUMIFS('Current Char Stats'!$D$4:$D$273,'Current Char Stats'!$A$4:$A$273,$A160,'Current Char Stats'!$B$4:$B$273,$B160))</f>
        <v/>
      </c>
      <c r="D160" s="18" t="str">
        <f ca="1">IF($A160="","",SUMIFS('Current Char Stats'!$E$4:$E$273,'Current Char Stats'!$A$4:$A$273,$A160,'Current Char Stats'!$B$4:$B$273,$B160))</f>
        <v/>
      </c>
      <c r="E160" s="61" t="str">
        <f t="shared" ca="1" si="3"/>
        <v/>
      </c>
      <c r="F160" s="18" t="str">
        <f ca="1">IF($A160="","",SUMIFS('Current Char Stats'!$G$4:$G$273,'Current Char Stats'!$A$4:$A$273,$A160,'Current Char Stats'!$B$4:$B$273,$B160))</f>
        <v/>
      </c>
      <c r="G160" s="18" t="str">
        <f ca="1">IF($A160="","",SUMIFS('Current Char Stats'!$H$4:$H$273,'Current Char Stats'!$A$4:$A$273,$A160,'Current Char Stats'!$B$4:$B$273,$B160))</f>
        <v/>
      </c>
      <c r="H160" s="18" t="str">
        <f ca="1">IF($A160="","",INT(SUMIFS(Data!$AN$4:$AN$183,Data!$AL$4:$AL$183,$A160,Data!$AM$4:$AM$183,$B160))+MOD(ROUND(SUMIFS(Data!$AN$4:$AN$183,Data!$AL$4:$AL$183,$A160,Data!$AM$4:$AM$183,$B160)*3,0),3)/10)</f>
        <v/>
      </c>
      <c r="I160" s="18" t="str">
        <f ca="1">IF($A160="","",SUMIFS('Current Char Stats'!$J$4:$J$273,'Current Char Stats'!$A$4:$A$273,$A160,'Current Char Stats'!$B$4:$B$273,$B160))</f>
        <v/>
      </c>
      <c r="J160" s="62" t="str">
        <f ca="1">IF($A160="","",IF(SUMIFS(Data!$AN$4:$AN$183,Data!$AL$4:$AL$183,$A160,Data!$AM$4:$AM$183,$B160)=0,"",I160*3/SUMIFS(Data!$AN$4:$AN$183,Data!$AL$4:$AL$183,$A160,Data!$AM$4:$AM$183,$B160)))</f>
        <v/>
      </c>
    </row>
    <row r="161" spans="1:10">
      <c r="A161" s="18" t="str">
        <f>IF(Draft!D76="","",Draft!D76)</f>
        <v/>
      </c>
      <c r="B161" s="18" t="str">
        <f>IF(Draft!E76="","",Draft!E76)</f>
        <v/>
      </c>
      <c r="C161" s="18" t="str">
        <f ca="1">IF($A161="","",SUMIFS('Current Char Stats'!$D$4:$D$273,'Current Char Stats'!$A$4:$A$273,$A161,'Current Char Stats'!$B$4:$B$273,$B161))</f>
        <v/>
      </c>
      <c r="D161" s="18" t="str">
        <f ca="1">IF($A161="","",SUMIFS('Current Char Stats'!$E$4:$E$273,'Current Char Stats'!$A$4:$A$273,$A161,'Current Char Stats'!$B$4:$B$273,$B161))</f>
        <v/>
      </c>
      <c r="E161" s="61" t="str">
        <f t="shared" ca="1" si="3"/>
        <v/>
      </c>
      <c r="F161" s="18" t="str">
        <f ca="1">IF($A161="","",SUMIFS('Current Char Stats'!$G$4:$G$273,'Current Char Stats'!$A$4:$A$273,$A161,'Current Char Stats'!$B$4:$B$273,$B161))</f>
        <v/>
      </c>
      <c r="G161" s="18" t="str">
        <f ca="1">IF($A161="","",SUMIFS('Current Char Stats'!$H$4:$H$273,'Current Char Stats'!$A$4:$A$273,$A161,'Current Char Stats'!$B$4:$B$273,$B161))</f>
        <v/>
      </c>
      <c r="H161" s="18" t="str">
        <f ca="1">IF($A161="","",INT(SUMIFS(Data!$AN$4:$AN$183,Data!$AL$4:$AL$183,$A161,Data!$AM$4:$AM$183,$B161))+MOD(ROUND(SUMIFS(Data!$AN$4:$AN$183,Data!$AL$4:$AL$183,$A161,Data!$AM$4:$AM$183,$B161)*3,0),3)/10)</f>
        <v/>
      </c>
      <c r="I161" s="18" t="str">
        <f ca="1">IF($A161="","",SUMIFS('Current Char Stats'!$J$4:$J$273,'Current Char Stats'!$A$4:$A$273,$A161,'Current Char Stats'!$B$4:$B$273,$B161))</f>
        <v/>
      </c>
      <c r="J161" s="62" t="str">
        <f ca="1">IF($A161="","",IF(SUMIFS(Data!$AN$4:$AN$183,Data!$AL$4:$AL$183,$A161,Data!$AM$4:$AM$183,$B161)=0,"",I161*3/SUMIFS(Data!$AN$4:$AN$183,Data!$AL$4:$AL$183,$A161,Data!$AM$4:$AM$183,$B161)))</f>
        <v/>
      </c>
    </row>
    <row r="162" spans="1:10">
      <c r="A162" s="18" t="str">
        <f>IF(Draft!D77="","",Draft!D77)</f>
        <v/>
      </c>
      <c r="B162" s="18" t="str">
        <f>IF(Draft!E77="","",Draft!E77)</f>
        <v/>
      </c>
      <c r="C162" s="18" t="str">
        <f ca="1">IF($A162="","",SUMIFS('Current Char Stats'!$D$4:$D$273,'Current Char Stats'!$A$4:$A$273,$A162,'Current Char Stats'!$B$4:$B$273,$B162))</f>
        <v/>
      </c>
      <c r="D162" s="18" t="str">
        <f ca="1">IF($A162="","",SUMIFS('Current Char Stats'!$E$4:$E$273,'Current Char Stats'!$A$4:$A$273,$A162,'Current Char Stats'!$B$4:$B$273,$B162))</f>
        <v/>
      </c>
      <c r="E162" s="61" t="str">
        <f t="shared" ca="1" si="3"/>
        <v/>
      </c>
      <c r="F162" s="18" t="str">
        <f ca="1">IF($A162="","",SUMIFS('Current Char Stats'!$G$4:$G$273,'Current Char Stats'!$A$4:$A$273,$A162,'Current Char Stats'!$B$4:$B$273,$B162))</f>
        <v/>
      </c>
      <c r="G162" s="18" t="str">
        <f ca="1">IF($A162="","",SUMIFS('Current Char Stats'!$H$4:$H$273,'Current Char Stats'!$A$4:$A$273,$A162,'Current Char Stats'!$B$4:$B$273,$B162))</f>
        <v/>
      </c>
      <c r="H162" s="18" t="str">
        <f ca="1">IF($A162="","",INT(SUMIFS(Data!$AN$4:$AN$183,Data!$AL$4:$AL$183,$A162,Data!$AM$4:$AM$183,$B162))+MOD(ROUND(SUMIFS(Data!$AN$4:$AN$183,Data!$AL$4:$AL$183,$A162,Data!$AM$4:$AM$183,$B162)*3,0),3)/10)</f>
        <v/>
      </c>
      <c r="I162" s="18" t="str">
        <f ca="1">IF($A162="","",SUMIFS('Current Char Stats'!$J$4:$J$273,'Current Char Stats'!$A$4:$A$273,$A162,'Current Char Stats'!$B$4:$B$273,$B162))</f>
        <v/>
      </c>
      <c r="J162" s="62" t="str">
        <f ca="1">IF($A162="","",IF(SUMIFS(Data!$AN$4:$AN$183,Data!$AL$4:$AL$183,$A162,Data!$AM$4:$AM$183,$B162)=0,"",I162*3/SUMIFS(Data!$AN$4:$AN$183,Data!$AL$4:$AL$183,$A162,Data!$AM$4:$AM$183,$B162)))</f>
        <v/>
      </c>
    </row>
  </sheetData>
  <conditionalFormatting sqref="A1:P162">
    <cfRule type="expression" dxfId="23" priority="1">
      <formula>COUNTIFS(ActivePlayers,A1,ActiveColors,"Blue")&gt;0</formula>
    </cfRule>
  </conditionalFormatting>
  <conditionalFormatting sqref="A1:P162">
    <cfRule type="expression" dxfId="22" priority="2">
      <formula>COUNTIFS(ActivePlayers,A1,ActiveColors,"Orange")&gt;0</formula>
    </cfRule>
  </conditionalFormatting>
  <conditionalFormatting sqref="A1:P162">
    <cfRule type="expression" dxfId="21" priority="3">
      <formula>COUNTIFS(ActivePlayers,A1,ActiveColors,"Green")&gt;0</formula>
    </cfRule>
  </conditionalFormatting>
  <conditionalFormatting sqref="A1:P162">
    <cfRule type="expression" dxfId="20" priority="4">
      <formula>COUNTIFS(ActivePlayers,A1,ActiveColors,"Red")&gt;0</formula>
    </cfRule>
  </conditionalFormatting>
  <conditionalFormatting sqref="A1:P162">
    <cfRule type="expression" dxfId="19" priority="5">
      <formula>COUNTIFS(ActivePlayers,A1,ActiveColors,"Purple")&gt;0</formula>
    </cfRule>
  </conditionalFormatting>
  <conditionalFormatting sqref="A1:P162">
    <cfRule type="expression" dxfId="18" priority="6">
      <formula>COUNTIFS(ActivePlayers,A1,ActiveColors,"Pink")&gt;0</formula>
    </cfRule>
  </conditionalFormatting>
  <conditionalFormatting sqref="A1:P162">
    <cfRule type="expression" dxfId="17" priority="7">
      <formula>COUNTIFS(ActivePlayers,A1,ActiveColors,"Gray")&gt;0</formula>
    </cfRule>
  </conditionalFormatting>
  <conditionalFormatting sqref="A1:P162">
    <cfRule type="expression" dxfId="16" priority="8">
      <formula>COUNTIFS(ActivePlayers,A1,ActiveColors,"Brown")&gt;0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03"/>
  <sheetViews>
    <sheetView showGridLines="0" workbookViewId="0">
      <selection activeCell="E4" sqref="E4"/>
    </sheetView>
  </sheetViews>
  <sheetFormatPr defaultRowHeight="15"/>
  <cols>
    <col min="1" max="1" width="11.85546875" bestFit="1" customWidth="1"/>
    <col min="2" max="2" width="5.140625" bestFit="1" customWidth="1"/>
    <col min="3" max="3" width="12.28515625" bestFit="1" customWidth="1"/>
    <col min="4" max="4" width="9.85546875" bestFit="1" customWidth="1"/>
    <col min="5" max="5" width="10.5703125" bestFit="1" customWidth="1"/>
    <col min="6" max="6" width="4.28515625" customWidth="1"/>
  </cols>
  <sheetData>
    <row r="1" spans="1:11">
      <c r="A1" s="214" t="s">
        <v>295</v>
      </c>
      <c r="B1" s="215"/>
      <c r="C1" s="215"/>
      <c r="D1" s="215"/>
      <c r="E1" s="215"/>
      <c r="F1" s="215"/>
      <c r="G1" s="215"/>
      <c r="H1" s="216"/>
      <c r="I1" s="18"/>
      <c r="J1" s="18"/>
      <c r="K1" s="18"/>
    </row>
    <row r="3" spans="1:11">
      <c r="A3" s="3" t="s">
        <v>33</v>
      </c>
      <c r="B3" s="3" t="s">
        <v>296</v>
      </c>
      <c r="C3" s="3" t="s">
        <v>12</v>
      </c>
      <c r="D3" s="3" t="s">
        <v>297</v>
      </c>
      <c r="E3" s="3" t="s">
        <v>298</v>
      </c>
      <c r="F3" s="3" t="s">
        <v>152</v>
      </c>
      <c r="G3" s="3" t="s">
        <v>154</v>
      </c>
      <c r="H3" s="3" t="s">
        <v>22</v>
      </c>
      <c r="I3" s="18"/>
      <c r="J3" s="18"/>
      <c r="K3" s="18"/>
    </row>
    <row r="4" spans="1:11">
      <c r="A4" s="4"/>
      <c r="B4" s="4"/>
      <c r="C4" s="4"/>
      <c r="D4" s="4"/>
      <c r="E4" s="4"/>
      <c r="F4" s="4"/>
      <c r="G4" s="4"/>
      <c r="H4" s="4"/>
      <c r="I4" s="18"/>
      <c r="J4" s="18"/>
      <c r="K4" s="18"/>
    </row>
    <row r="5" spans="1:11">
      <c r="A5" s="4"/>
      <c r="B5" s="4"/>
      <c r="C5" s="4"/>
      <c r="D5" s="4"/>
      <c r="E5" s="4"/>
      <c r="F5" s="4"/>
      <c r="G5" s="4"/>
      <c r="H5" s="4"/>
      <c r="I5" s="18"/>
      <c r="J5" s="18"/>
      <c r="K5" s="18"/>
    </row>
    <row r="6" spans="1:11">
      <c r="A6" s="4"/>
      <c r="B6" s="4"/>
      <c r="C6" s="4"/>
      <c r="D6" s="4"/>
      <c r="E6" s="4"/>
      <c r="F6" s="4"/>
      <c r="G6" s="4"/>
      <c r="H6" s="4"/>
      <c r="I6" s="18"/>
      <c r="J6" s="18"/>
      <c r="K6" s="18"/>
    </row>
    <row r="7" spans="1:11">
      <c r="A7" s="4"/>
      <c r="B7" s="4"/>
      <c r="C7" s="4"/>
      <c r="D7" s="4"/>
      <c r="E7" s="4"/>
      <c r="F7" s="4"/>
      <c r="G7" s="4"/>
      <c r="H7" s="4"/>
      <c r="I7" s="18"/>
      <c r="J7" s="18"/>
      <c r="K7" s="18"/>
    </row>
    <row r="8" spans="1:11">
      <c r="A8" s="4"/>
      <c r="B8" s="4"/>
      <c r="C8" s="4"/>
      <c r="D8" s="4"/>
      <c r="E8" s="4"/>
      <c r="F8" s="4"/>
      <c r="G8" s="4"/>
      <c r="H8" s="4"/>
      <c r="I8" s="18"/>
      <c r="J8" s="18"/>
      <c r="K8" s="18"/>
    </row>
    <row r="9" spans="1:11">
      <c r="A9" s="4"/>
      <c r="B9" s="4"/>
      <c r="C9" s="4"/>
      <c r="D9" s="4"/>
      <c r="E9" s="4"/>
      <c r="F9" s="4"/>
      <c r="G9" s="4"/>
      <c r="H9" s="4"/>
      <c r="I9" s="18"/>
      <c r="J9" s="18"/>
      <c r="K9" s="18"/>
    </row>
    <row r="10" spans="1:11">
      <c r="A10" s="4"/>
      <c r="B10" s="4"/>
      <c r="C10" s="4"/>
      <c r="D10" s="4"/>
      <c r="E10" s="4"/>
      <c r="F10" s="4"/>
      <c r="G10" s="4"/>
      <c r="H10" s="4"/>
      <c r="I10" s="18"/>
      <c r="J10" s="18"/>
      <c r="K10" s="18"/>
    </row>
    <row r="11" spans="1:11">
      <c r="A11" s="4"/>
      <c r="B11" s="4"/>
      <c r="C11" s="4"/>
      <c r="D11" s="4"/>
      <c r="E11" s="4"/>
      <c r="F11" s="4"/>
      <c r="G11" s="4"/>
      <c r="H11" s="4"/>
      <c r="I11" s="18"/>
      <c r="J11" s="18"/>
      <c r="K11" s="18"/>
    </row>
    <row r="12" spans="1:11">
      <c r="A12" s="4"/>
      <c r="B12" s="4"/>
      <c r="C12" s="4"/>
      <c r="D12" s="4"/>
      <c r="E12" s="4"/>
      <c r="F12" s="4"/>
      <c r="G12" s="4"/>
      <c r="H12" s="4"/>
      <c r="I12" s="18"/>
      <c r="J12" s="18"/>
      <c r="K12" s="18"/>
    </row>
    <row r="13" spans="1:11">
      <c r="A13" s="4"/>
      <c r="B13" s="4"/>
      <c r="C13" s="4"/>
      <c r="D13" s="4"/>
      <c r="E13" s="4"/>
      <c r="F13" s="4"/>
      <c r="G13" s="4"/>
      <c r="H13" s="4"/>
      <c r="I13" s="18"/>
      <c r="J13" s="18"/>
      <c r="K13" s="18"/>
    </row>
    <row r="14" spans="1:11">
      <c r="A14" s="4"/>
      <c r="B14" s="4"/>
      <c r="C14" s="4"/>
      <c r="D14" s="4"/>
      <c r="E14" s="4"/>
      <c r="F14" s="4"/>
      <c r="G14" s="4"/>
      <c r="H14" s="4"/>
      <c r="I14" s="18"/>
      <c r="J14" s="18"/>
      <c r="K14" s="18"/>
    </row>
    <row r="15" spans="1:11">
      <c r="A15" s="4"/>
      <c r="B15" s="4"/>
      <c r="C15" s="4"/>
      <c r="D15" s="4"/>
      <c r="E15" s="4"/>
      <c r="F15" s="4"/>
      <c r="G15" s="4"/>
      <c r="H15" s="4"/>
      <c r="I15" s="18"/>
      <c r="J15" s="18"/>
      <c r="K15" s="18"/>
    </row>
    <row r="16" spans="1:11">
      <c r="A16" s="4"/>
      <c r="B16" s="4"/>
      <c r="C16" s="4"/>
      <c r="D16" s="4"/>
      <c r="E16" s="4"/>
      <c r="F16" s="4"/>
      <c r="G16" s="4"/>
      <c r="H16" s="4"/>
      <c r="I16" s="18"/>
      <c r="J16" s="18"/>
      <c r="K16" s="18"/>
    </row>
    <row r="17" spans="1:11">
      <c r="A17" s="4"/>
      <c r="B17" s="4"/>
      <c r="C17" s="4"/>
      <c r="D17" s="4"/>
      <c r="E17" s="4"/>
      <c r="F17" s="4"/>
      <c r="G17" s="4"/>
      <c r="H17" s="4"/>
      <c r="I17" s="18"/>
      <c r="J17" s="18"/>
      <c r="K17" s="18"/>
    </row>
    <row r="18" spans="1:11">
      <c r="A18" s="4"/>
      <c r="B18" s="4"/>
      <c r="C18" s="4"/>
      <c r="D18" s="4"/>
      <c r="E18" s="4"/>
      <c r="F18" s="4"/>
      <c r="G18" s="4"/>
      <c r="H18" s="4"/>
      <c r="I18" s="18"/>
      <c r="J18" s="18"/>
      <c r="K18" s="18"/>
    </row>
    <row r="19" spans="1:11">
      <c r="A19" s="4"/>
      <c r="B19" s="4"/>
      <c r="C19" s="4"/>
      <c r="D19" s="4"/>
      <c r="E19" s="4"/>
      <c r="F19" s="4"/>
      <c r="G19" s="4"/>
      <c r="H19" s="4"/>
      <c r="I19" s="18"/>
      <c r="J19" s="18"/>
      <c r="K19" s="18"/>
    </row>
    <row r="20" spans="1:11">
      <c r="A20" s="4"/>
      <c r="B20" s="4"/>
      <c r="C20" s="4"/>
      <c r="D20" s="4"/>
      <c r="E20" s="4"/>
      <c r="F20" s="4"/>
      <c r="G20" s="4"/>
      <c r="H20" s="4"/>
      <c r="I20" s="18"/>
      <c r="J20" s="18"/>
      <c r="K20" s="18"/>
    </row>
    <row r="21" spans="1:11">
      <c r="A21" s="4"/>
      <c r="B21" s="4"/>
      <c r="C21" s="4"/>
      <c r="D21" s="4"/>
      <c r="E21" s="4"/>
      <c r="F21" s="4"/>
      <c r="G21" s="4"/>
      <c r="H21" s="4"/>
      <c r="I21" s="18"/>
      <c r="J21" s="18"/>
      <c r="K21" s="18"/>
    </row>
    <row r="22" spans="1:11">
      <c r="A22" s="4"/>
      <c r="B22" s="4"/>
      <c r="C22" s="4"/>
      <c r="D22" s="4"/>
      <c r="E22" s="4"/>
      <c r="F22" s="4"/>
      <c r="G22" s="4"/>
      <c r="H22" s="4"/>
      <c r="I22" s="18"/>
      <c r="J22" s="18"/>
      <c r="K22" s="18"/>
    </row>
    <row r="23" spans="1:11">
      <c r="A23" s="4"/>
      <c r="B23" s="4"/>
      <c r="C23" s="4"/>
      <c r="D23" s="4"/>
      <c r="E23" s="4"/>
      <c r="F23" s="4"/>
      <c r="G23" s="4"/>
      <c r="H23" s="4"/>
      <c r="I23" s="18"/>
      <c r="J23" s="18"/>
      <c r="K23" s="18"/>
    </row>
    <row r="24" spans="1:11">
      <c r="A24" s="4"/>
      <c r="B24" s="4"/>
      <c r="C24" s="4"/>
      <c r="D24" s="4"/>
      <c r="E24" s="4"/>
      <c r="F24" s="4"/>
      <c r="G24" s="4"/>
      <c r="H24" s="4"/>
      <c r="I24" s="18"/>
      <c r="J24" s="18"/>
      <c r="K24" s="18"/>
    </row>
    <row r="25" spans="1:11">
      <c r="A25" s="4"/>
      <c r="B25" s="4"/>
      <c r="C25" s="4"/>
      <c r="D25" s="4"/>
      <c r="E25" s="4"/>
      <c r="F25" s="4"/>
      <c r="G25" s="4"/>
      <c r="H25" s="4"/>
      <c r="I25" s="18"/>
      <c r="J25" s="18"/>
      <c r="K25" s="18"/>
    </row>
    <row r="26" spans="1:11">
      <c r="A26" s="4"/>
      <c r="B26" s="4"/>
      <c r="C26" s="4"/>
      <c r="D26" s="4"/>
      <c r="E26" s="4"/>
      <c r="F26" s="4"/>
      <c r="G26" s="4"/>
      <c r="H26" s="4"/>
      <c r="I26" s="18"/>
      <c r="J26" s="18"/>
      <c r="K26" s="18"/>
    </row>
    <row r="27" spans="1:11">
      <c r="A27" s="4"/>
      <c r="B27" s="4"/>
      <c r="C27" s="4"/>
      <c r="D27" s="4"/>
      <c r="E27" s="4"/>
      <c r="F27" s="4"/>
      <c r="G27" s="4"/>
      <c r="H27" s="4"/>
      <c r="I27" s="18"/>
      <c r="J27" s="18"/>
      <c r="K27" s="18"/>
    </row>
    <row r="28" spans="1:11">
      <c r="A28" s="4"/>
      <c r="B28" s="4"/>
      <c r="C28" s="4"/>
      <c r="D28" s="4"/>
      <c r="E28" s="4"/>
      <c r="F28" s="4"/>
      <c r="G28" s="4"/>
      <c r="H28" s="4"/>
      <c r="I28" s="18"/>
      <c r="J28" s="18"/>
      <c r="K28" s="18"/>
    </row>
    <row r="29" spans="1:11">
      <c r="A29" s="4"/>
      <c r="B29" s="4"/>
      <c r="C29" s="4"/>
      <c r="D29" s="4"/>
      <c r="E29" s="4"/>
      <c r="F29" s="4"/>
      <c r="G29" s="4"/>
      <c r="H29" s="4"/>
      <c r="I29" s="18"/>
      <c r="J29" s="18"/>
      <c r="K29" s="18"/>
    </row>
    <row r="30" spans="1:11">
      <c r="A30" s="4"/>
      <c r="B30" s="4"/>
      <c r="C30" s="4"/>
      <c r="D30" s="4"/>
      <c r="E30" s="4"/>
      <c r="F30" s="4"/>
      <c r="G30" s="4"/>
      <c r="H30" s="4"/>
      <c r="I30" s="18"/>
      <c r="J30" s="18"/>
      <c r="K30" s="18"/>
    </row>
    <row r="31" spans="1:11">
      <c r="A31" s="4"/>
      <c r="B31" s="4"/>
      <c r="C31" s="4"/>
      <c r="D31" s="4"/>
      <c r="E31" s="4"/>
      <c r="F31" s="4"/>
      <c r="G31" s="4"/>
      <c r="H31" s="4"/>
      <c r="I31" s="18"/>
      <c r="J31" s="18"/>
      <c r="K31" s="18"/>
    </row>
    <row r="32" spans="1:11">
      <c r="A32" s="4"/>
      <c r="B32" s="4"/>
      <c r="C32" s="4"/>
      <c r="D32" s="4"/>
      <c r="E32" s="4"/>
      <c r="F32" s="4"/>
      <c r="G32" s="4"/>
      <c r="H32" s="4"/>
      <c r="I32" s="18"/>
      <c r="J32" s="18"/>
      <c r="K32" s="18"/>
    </row>
    <row r="33" spans="1:11">
      <c r="A33" s="4"/>
      <c r="B33" s="4"/>
      <c r="C33" s="4"/>
      <c r="D33" s="4"/>
      <c r="E33" s="4"/>
      <c r="F33" s="4"/>
      <c r="G33" s="4"/>
      <c r="H33" s="4"/>
      <c r="I33" s="18"/>
      <c r="J33" s="18"/>
      <c r="K33" s="18"/>
    </row>
    <row r="34" spans="1:11">
      <c r="A34" s="4"/>
      <c r="B34" s="4"/>
      <c r="C34" s="4"/>
      <c r="D34" s="4"/>
      <c r="E34" s="4"/>
      <c r="F34" s="4"/>
      <c r="G34" s="4"/>
      <c r="H34" s="4"/>
      <c r="I34" s="18"/>
      <c r="J34" s="18"/>
      <c r="K34" s="18"/>
    </row>
    <row r="35" spans="1:11">
      <c r="A35" s="4"/>
      <c r="B35" s="4"/>
      <c r="C35" s="4"/>
      <c r="D35" s="4"/>
      <c r="E35" s="4"/>
      <c r="F35" s="4"/>
      <c r="G35" s="4"/>
      <c r="H35" s="4"/>
      <c r="I35" s="18"/>
      <c r="J35" s="18"/>
      <c r="K35" s="18"/>
    </row>
    <row r="36" spans="1:11">
      <c r="A36" s="4"/>
      <c r="B36" s="4"/>
      <c r="C36" s="4"/>
      <c r="D36" s="4"/>
      <c r="E36" s="4"/>
      <c r="F36" s="4"/>
      <c r="G36" s="4"/>
      <c r="H36" s="4"/>
      <c r="I36" s="18"/>
      <c r="J36" s="18"/>
      <c r="K36" s="18"/>
    </row>
    <row r="37" spans="1:11">
      <c r="A37" s="4"/>
      <c r="B37" s="4"/>
      <c r="C37" s="4"/>
      <c r="D37" s="4"/>
      <c r="E37" s="4"/>
      <c r="F37" s="4"/>
      <c r="G37" s="4"/>
      <c r="H37" s="4"/>
      <c r="I37" s="18"/>
      <c r="J37" s="18"/>
      <c r="K37" s="18"/>
    </row>
    <row r="38" spans="1:11">
      <c r="A38" s="4"/>
      <c r="B38" s="4"/>
      <c r="C38" s="4"/>
      <c r="D38" s="4"/>
      <c r="E38" s="4"/>
      <c r="F38" s="4"/>
      <c r="G38" s="4"/>
      <c r="H38" s="4"/>
      <c r="I38" s="18"/>
      <c r="J38" s="18"/>
      <c r="K38" s="18"/>
    </row>
    <row r="39" spans="1:11">
      <c r="A39" s="4"/>
      <c r="B39" s="4"/>
      <c r="C39" s="4"/>
      <c r="D39" s="4"/>
      <c r="E39" s="4"/>
      <c r="F39" s="4"/>
      <c r="G39" s="4"/>
      <c r="H39" s="4"/>
      <c r="I39" s="18"/>
      <c r="J39" s="18"/>
      <c r="K39" s="18"/>
    </row>
    <row r="40" spans="1:11">
      <c r="A40" s="4"/>
      <c r="B40" s="4"/>
      <c r="C40" s="4"/>
      <c r="D40" s="4"/>
      <c r="E40" s="4"/>
      <c r="F40" s="4"/>
      <c r="G40" s="4"/>
      <c r="H40" s="4"/>
      <c r="I40" s="18"/>
      <c r="J40" s="18"/>
      <c r="K40" s="18"/>
    </row>
    <row r="41" spans="1:11">
      <c r="A41" s="4"/>
      <c r="B41" s="4"/>
      <c r="C41" s="4"/>
      <c r="D41" s="4"/>
      <c r="E41" s="4"/>
      <c r="F41" s="4"/>
      <c r="G41" s="4"/>
      <c r="H41" s="4"/>
      <c r="I41" s="18"/>
      <c r="J41" s="18"/>
      <c r="K41" s="18"/>
    </row>
    <row r="42" spans="1:11">
      <c r="A42" s="4"/>
      <c r="B42" s="4"/>
      <c r="C42" s="4"/>
      <c r="D42" s="4"/>
      <c r="E42" s="4"/>
      <c r="F42" s="4"/>
      <c r="G42" s="4"/>
      <c r="H42" s="4"/>
      <c r="I42" s="18"/>
      <c r="J42" s="18"/>
      <c r="K42" s="18"/>
    </row>
    <row r="43" spans="1:11">
      <c r="A43" s="4"/>
      <c r="B43" s="4"/>
      <c r="C43" s="4"/>
      <c r="D43" s="4"/>
      <c r="E43" s="4"/>
      <c r="F43" s="4"/>
      <c r="G43" s="4"/>
      <c r="H43" s="4"/>
      <c r="I43" s="18"/>
      <c r="J43" s="18"/>
      <c r="K43" s="18"/>
    </row>
    <row r="44" spans="1:11">
      <c r="A44" s="4"/>
      <c r="B44" s="4"/>
      <c r="C44" s="4"/>
      <c r="D44" s="4"/>
      <c r="E44" s="4"/>
      <c r="F44" s="4"/>
      <c r="G44" s="4"/>
      <c r="H44" s="4"/>
      <c r="I44" s="18"/>
      <c r="J44" s="18"/>
      <c r="K44" s="18"/>
    </row>
    <row r="45" spans="1:11">
      <c r="A45" s="4"/>
      <c r="B45" s="4"/>
      <c r="C45" s="4"/>
      <c r="D45" s="4"/>
      <c r="E45" s="4"/>
      <c r="F45" s="4"/>
      <c r="G45" s="4"/>
      <c r="H45" s="4"/>
      <c r="I45" s="18"/>
      <c r="J45" s="18"/>
      <c r="K45" s="18"/>
    </row>
    <row r="46" spans="1:11">
      <c r="A46" s="4"/>
      <c r="B46" s="4"/>
      <c r="C46" s="4"/>
      <c r="D46" s="4"/>
      <c r="E46" s="4"/>
      <c r="F46" s="4"/>
      <c r="G46" s="4"/>
      <c r="H46" s="4"/>
      <c r="I46" s="18"/>
      <c r="J46" s="18"/>
      <c r="K46" s="18"/>
    </row>
    <row r="47" spans="1:11">
      <c r="A47" s="4"/>
      <c r="B47" s="4"/>
      <c r="C47" s="4"/>
      <c r="D47" s="4"/>
      <c r="E47" s="4"/>
      <c r="F47" s="4"/>
      <c r="G47" s="4"/>
      <c r="H47" s="4"/>
      <c r="I47" s="18"/>
      <c r="J47" s="18"/>
      <c r="K47" s="18"/>
    </row>
    <row r="48" spans="1:11">
      <c r="A48" s="4"/>
      <c r="B48" s="4"/>
      <c r="C48" s="4"/>
      <c r="D48" s="4"/>
      <c r="E48" s="4"/>
      <c r="F48" s="4"/>
      <c r="G48" s="4"/>
      <c r="H48" s="4"/>
      <c r="I48" s="18"/>
      <c r="J48" s="18"/>
      <c r="K48" s="18"/>
    </row>
    <row r="49" spans="1:11">
      <c r="A49" s="4"/>
      <c r="B49" s="4"/>
      <c r="C49" s="4"/>
      <c r="D49" s="4"/>
      <c r="E49" s="4"/>
      <c r="F49" s="4"/>
      <c r="G49" s="4"/>
      <c r="H49" s="4"/>
      <c r="I49" s="18"/>
      <c r="J49" s="18"/>
      <c r="K49" s="18"/>
    </row>
    <row r="50" spans="1:11">
      <c r="A50" s="4"/>
      <c r="B50" s="4"/>
      <c r="C50" s="4"/>
      <c r="D50" s="4"/>
      <c r="E50" s="4"/>
      <c r="F50" s="4"/>
      <c r="G50" s="4"/>
      <c r="H50" s="4"/>
      <c r="I50" s="18"/>
      <c r="J50" s="18"/>
      <c r="K50" s="18"/>
    </row>
    <row r="51" spans="1:11">
      <c r="A51" s="4"/>
      <c r="B51" s="4"/>
      <c r="C51" s="4"/>
      <c r="D51" s="4"/>
      <c r="E51" s="4"/>
      <c r="F51" s="4"/>
      <c r="G51" s="4"/>
      <c r="H51" s="4"/>
      <c r="I51" s="18"/>
      <c r="J51" s="18"/>
      <c r="K51" s="18"/>
    </row>
    <row r="52" spans="1:11">
      <c r="A52" s="4"/>
      <c r="B52" s="4"/>
      <c r="C52" s="4"/>
      <c r="D52" s="4"/>
      <c r="E52" s="4"/>
      <c r="F52" s="4"/>
      <c r="G52" s="4"/>
      <c r="H52" s="4"/>
      <c r="I52" s="18"/>
      <c r="J52" s="18"/>
      <c r="K52" s="18"/>
    </row>
    <row r="53" spans="1:11">
      <c r="A53" s="4"/>
      <c r="B53" s="4"/>
      <c r="C53" s="4"/>
      <c r="D53" s="4"/>
      <c r="E53" s="4"/>
      <c r="F53" s="4"/>
      <c r="G53" s="4"/>
      <c r="H53" s="4"/>
      <c r="I53" s="18"/>
      <c r="J53" s="18"/>
      <c r="K53" s="18"/>
    </row>
    <row r="54" spans="1:11">
      <c r="A54" s="4"/>
      <c r="B54" s="4"/>
      <c r="C54" s="4"/>
      <c r="D54" s="4"/>
      <c r="E54" s="4"/>
      <c r="F54" s="4"/>
      <c r="G54" s="4"/>
      <c r="H54" s="4"/>
      <c r="I54" s="18"/>
      <c r="J54" s="18"/>
      <c r="K54" s="18"/>
    </row>
    <row r="55" spans="1:11">
      <c r="A55" s="4"/>
      <c r="B55" s="4"/>
      <c r="C55" s="4"/>
      <c r="D55" s="4"/>
      <c r="E55" s="4"/>
      <c r="F55" s="4"/>
      <c r="G55" s="4"/>
      <c r="H55" s="4"/>
      <c r="I55" s="18"/>
      <c r="J55" s="18"/>
      <c r="K55" s="18"/>
    </row>
    <row r="56" spans="1:11">
      <c r="A56" s="4"/>
      <c r="B56" s="4"/>
      <c r="C56" s="4"/>
      <c r="D56" s="4"/>
      <c r="E56" s="4"/>
      <c r="F56" s="4"/>
      <c r="G56" s="4"/>
      <c r="H56" s="4"/>
      <c r="I56" s="18"/>
      <c r="J56" s="18"/>
      <c r="K56" s="18"/>
    </row>
    <row r="57" spans="1:11">
      <c r="A57" s="4"/>
      <c r="B57" s="4"/>
      <c r="C57" s="4"/>
      <c r="D57" s="4"/>
      <c r="E57" s="4"/>
      <c r="F57" s="4"/>
      <c r="G57" s="4"/>
      <c r="H57" s="4"/>
      <c r="I57" s="18"/>
      <c r="J57" s="18"/>
      <c r="K57" s="18"/>
    </row>
    <row r="58" spans="1:11">
      <c r="A58" s="4"/>
      <c r="B58" s="4"/>
      <c r="C58" s="4"/>
      <c r="D58" s="4"/>
      <c r="E58" s="4"/>
      <c r="F58" s="4"/>
      <c r="G58" s="4"/>
      <c r="H58" s="4"/>
      <c r="I58" s="18"/>
      <c r="J58" s="18"/>
      <c r="K58" s="18"/>
    </row>
    <row r="59" spans="1:11">
      <c r="A59" s="4"/>
      <c r="B59" s="4"/>
      <c r="C59" s="4"/>
      <c r="D59" s="4"/>
      <c r="E59" s="4"/>
      <c r="F59" s="4"/>
      <c r="G59" s="4"/>
      <c r="H59" s="4"/>
      <c r="I59" s="18"/>
      <c r="J59" s="18"/>
      <c r="K59" s="18"/>
    </row>
    <row r="60" spans="1:11">
      <c r="A60" s="4"/>
      <c r="B60" s="4"/>
      <c r="C60" s="4"/>
      <c r="D60" s="4"/>
      <c r="E60" s="4"/>
      <c r="F60" s="4"/>
      <c r="G60" s="4"/>
      <c r="H60" s="4"/>
      <c r="I60" s="18"/>
      <c r="J60" s="18"/>
      <c r="K60" s="18"/>
    </row>
    <row r="61" spans="1:11">
      <c r="A61" s="4"/>
      <c r="B61" s="4"/>
      <c r="C61" s="4"/>
      <c r="D61" s="4"/>
      <c r="E61" s="4"/>
      <c r="F61" s="4"/>
      <c r="G61" s="4"/>
      <c r="H61" s="4"/>
      <c r="I61" s="18"/>
      <c r="J61" s="18"/>
      <c r="K61" s="18"/>
    </row>
    <row r="62" spans="1:11">
      <c r="A62" s="4"/>
      <c r="B62" s="4"/>
      <c r="C62" s="4"/>
      <c r="D62" s="4"/>
      <c r="E62" s="4"/>
      <c r="F62" s="4"/>
      <c r="G62" s="4"/>
      <c r="H62" s="4"/>
      <c r="I62" s="18"/>
      <c r="J62" s="18"/>
      <c r="K62" s="18"/>
    </row>
    <row r="63" spans="1:11">
      <c r="A63" s="4"/>
      <c r="B63" s="4"/>
      <c r="C63" s="4"/>
      <c r="D63" s="4"/>
      <c r="E63" s="4"/>
      <c r="F63" s="4"/>
      <c r="G63" s="4"/>
      <c r="H63" s="4"/>
      <c r="I63" s="18"/>
      <c r="J63" s="18"/>
      <c r="K63" s="18"/>
    </row>
    <row r="64" spans="1:11">
      <c r="A64" s="4"/>
      <c r="B64" s="4"/>
      <c r="C64" s="4"/>
      <c r="D64" s="4"/>
      <c r="E64" s="4"/>
      <c r="F64" s="4"/>
      <c r="G64" s="4"/>
      <c r="H64" s="4"/>
      <c r="I64" s="18"/>
      <c r="J64" s="18"/>
      <c r="K64" s="18"/>
    </row>
    <row r="65" spans="1:11">
      <c r="A65" s="4"/>
      <c r="B65" s="4"/>
      <c r="C65" s="4"/>
      <c r="D65" s="4"/>
      <c r="E65" s="4"/>
      <c r="F65" s="4"/>
      <c r="G65" s="4"/>
      <c r="H65" s="4"/>
      <c r="I65" s="18"/>
      <c r="J65" s="18"/>
      <c r="K65" s="18"/>
    </row>
    <row r="66" spans="1:11">
      <c r="A66" s="4"/>
      <c r="B66" s="4"/>
      <c r="C66" s="4"/>
      <c r="D66" s="4"/>
      <c r="E66" s="4"/>
      <c r="F66" s="4"/>
      <c r="G66" s="4"/>
      <c r="H66" s="4"/>
      <c r="I66" s="18"/>
      <c r="J66" s="18"/>
      <c r="K66" s="18"/>
    </row>
    <row r="67" spans="1:11">
      <c r="A67" s="4"/>
      <c r="B67" s="4"/>
      <c r="C67" s="4"/>
      <c r="D67" s="4"/>
      <c r="E67" s="4"/>
      <c r="F67" s="4"/>
      <c r="G67" s="4"/>
      <c r="H67" s="4"/>
      <c r="I67" s="18"/>
      <c r="J67" s="18"/>
      <c r="K67" s="18"/>
    </row>
    <row r="68" spans="1:11">
      <c r="A68" s="4"/>
      <c r="B68" s="4"/>
      <c r="C68" s="4"/>
      <c r="D68" s="4"/>
      <c r="E68" s="4"/>
      <c r="F68" s="4"/>
      <c r="G68" s="4"/>
      <c r="H68" s="4"/>
      <c r="I68" s="18"/>
      <c r="J68" s="18"/>
      <c r="K68" s="18"/>
    </row>
    <row r="69" spans="1:11">
      <c r="A69" s="4"/>
      <c r="B69" s="4"/>
      <c r="C69" s="4"/>
      <c r="D69" s="4"/>
      <c r="E69" s="4"/>
      <c r="F69" s="4"/>
      <c r="G69" s="4"/>
      <c r="H69" s="4"/>
      <c r="I69" s="18"/>
      <c r="J69" s="18"/>
      <c r="K69" s="18"/>
    </row>
    <row r="70" spans="1:11">
      <c r="A70" s="4"/>
      <c r="B70" s="4"/>
      <c r="C70" s="4"/>
      <c r="D70" s="4"/>
      <c r="E70" s="4"/>
      <c r="F70" s="4"/>
      <c r="G70" s="4"/>
      <c r="H70" s="4"/>
      <c r="I70" s="18"/>
      <c r="J70" s="18"/>
      <c r="K70" s="18"/>
    </row>
    <row r="71" spans="1:11">
      <c r="A71" s="4"/>
      <c r="B71" s="4"/>
      <c r="C71" s="4"/>
      <c r="D71" s="4"/>
      <c r="E71" s="4"/>
      <c r="F71" s="4"/>
      <c r="G71" s="4"/>
      <c r="H71" s="4"/>
      <c r="I71" s="18"/>
      <c r="J71" s="18"/>
      <c r="K71" s="18"/>
    </row>
    <row r="72" spans="1:11">
      <c r="A72" s="4"/>
      <c r="B72" s="4"/>
      <c r="C72" s="4"/>
      <c r="D72" s="4"/>
      <c r="E72" s="4"/>
      <c r="F72" s="4"/>
      <c r="G72" s="4"/>
      <c r="H72" s="4"/>
      <c r="I72" s="18"/>
      <c r="J72" s="18"/>
      <c r="K72" s="18"/>
    </row>
    <row r="73" spans="1:11">
      <c r="A73" s="4"/>
      <c r="B73" s="4"/>
      <c r="C73" s="4"/>
      <c r="D73" s="4"/>
      <c r="E73" s="4"/>
      <c r="F73" s="4"/>
      <c r="G73" s="4"/>
      <c r="H73" s="4"/>
      <c r="I73" s="18"/>
      <c r="J73" s="18"/>
      <c r="K73" s="18"/>
    </row>
    <row r="74" spans="1:11">
      <c r="A74" s="4"/>
      <c r="B74" s="4"/>
      <c r="C74" s="4"/>
      <c r="D74" s="4"/>
      <c r="E74" s="4"/>
      <c r="F74" s="4"/>
      <c r="G74" s="4"/>
      <c r="H74" s="4"/>
      <c r="I74" s="18"/>
      <c r="J74" s="18"/>
      <c r="K74" s="18"/>
    </row>
    <row r="75" spans="1:11">
      <c r="A75" s="4"/>
      <c r="B75" s="4"/>
      <c r="C75" s="4"/>
      <c r="D75" s="4"/>
      <c r="E75" s="4"/>
      <c r="F75" s="4"/>
      <c r="G75" s="4"/>
      <c r="H75" s="4"/>
      <c r="I75" s="18"/>
      <c r="J75" s="18"/>
      <c r="K75" s="18"/>
    </row>
    <row r="76" spans="1:11">
      <c r="A76" s="4"/>
      <c r="B76" s="4"/>
      <c r="C76" s="4"/>
      <c r="D76" s="4"/>
      <c r="E76" s="4"/>
      <c r="F76" s="4"/>
      <c r="G76" s="4"/>
      <c r="H76" s="4"/>
      <c r="I76" s="18"/>
      <c r="J76" s="18"/>
      <c r="K76" s="18"/>
    </row>
    <row r="77" spans="1:11">
      <c r="A77" s="4"/>
      <c r="B77" s="4"/>
      <c r="C77" s="4"/>
      <c r="D77" s="4"/>
      <c r="E77" s="4"/>
      <c r="F77" s="4"/>
      <c r="G77" s="4"/>
      <c r="H77" s="4"/>
      <c r="I77" s="18"/>
      <c r="J77" s="18"/>
      <c r="K77" s="18"/>
    </row>
    <row r="78" spans="1:11">
      <c r="A78" s="4"/>
      <c r="B78" s="4"/>
      <c r="C78" s="4"/>
      <c r="D78" s="4"/>
      <c r="E78" s="4"/>
      <c r="F78" s="4"/>
      <c r="G78" s="4"/>
      <c r="H78" s="4"/>
      <c r="I78" s="18"/>
      <c r="J78" s="18"/>
      <c r="K78" s="18"/>
    </row>
    <row r="79" spans="1:11">
      <c r="A79" s="4"/>
      <c r="B79" s="4"/>
      <c r="C79" s="4"/>
      <c r="D79" s="4"/>
      <c r="E79" s="4"/>
      <c r="F79" s="4"/>
      <c r="G79" s="4"/>
      <c r="H79" s="4"/>
      <c r="I79" s="18"/>
      <c r="J79" s="18"/>
      <c r="K79" s="18"/>
    </row>
    <row r="80" spans="1:11">
      <c r="A80" s="4"/>
      <c r="B80" s="4"/>
      <c r="C80" s="4"/>
      <c r="D80" s="4"/>
      <c r="E80" s="4"/>
      <c r="F80" s="4"/>
      <c r="G80" s="4"/>
      <c r="H80" s="4"/>
      <c r="I80" s="18"/>
      <c r="J80" s="18"/>
      <c r="K80" s="18"/>
    </row>
    <row r="81" spans="1:11">
      <c r="A81" s="4"/>
      <c r="B81" s="4"/>
      <c r="C81" s="4"/>
      <c r="D81" s="4"/>
      <c r="E81" s="4"/>
      <c r="F81" s="4"/>
      <c r="G81" s="4"/>
      <c r="H81" s="4"/>
      <c r="I81" s="18"/>
      <c r="J81" s="18"/>
      <c r="K81" s="18"/>
    </row>
    <row r="82" spans="1:11">
      <c r="A82" s="4"/>
      <c r="B82" s="4"/>
      <c r="C82" s="4"/>
      <c r="D82" s="4"/>
      <c r="E82" s="4"/>
      <c r="F82" s="4"/>
      <c r="G82" s="4"/>
      <c r="H82" s="4"/>
      <c r="I82" s="18"/>
      <c r="J82" s="18"/>
      <c r="K82" s="18"/>
    </row>
    <row r="83" spans="1:11">
      <c r="A83" s="4"/>
      <c r="B83" s="4"/>
      <c r="C83" s="4"/>
      <c r="D83" s="4"/>
      <c r="E83" s="4"/>
      <c r="F83" s="4"/>
      <c r="G83" s="4"/>
      <c r="H83" s="4"/>
      <c r="I83" s="18"/>
      <c r="J83" s="18"/>
      <c r="K83" s="18"/>
    </row>
    <row r="84" spans="1:11">
      <c r="A84" s="4"/>
      <c r="B84" s="4"/>
      <c r="C84" s="4"/>
      <c r="D84" s="4"/>
      <c r="E84" s="4"/>
      <c r="F84" s="4"/>
      <c r="G84" s="4"/>
      <c r="H84" s="4"/>
      <c r="I84" s="18"/>
      <c r="J84" s="18"/>
      <c r="K84" s="18"/>
    </row>
    <row r="85" spans="1:11">
      <c r="A85" s="4"/>
      <c r="B85" s="4"/>
      <c r="C85" s="4"/>
      <c r="D85" s="4"/>
      <c r="E85" s="4"/>
      <c r="F85" s="4"/>
      <c r="G85" s="4"/>
      <c r="H85" s="4"/>
      <c r="I85" s="18"/>
      <c r="J85" s="18"/>
      <c r="K85" s="18"/>
    </row>
    <row r="86" spans="1:11">
      <c r="A86" s="4"/>
      <c r="B86" s="4"/>
      <c r="C86" s="4"/>
      <c r="D86" s="4"/>
      <c r="E86" s="4"/>
      <c r="F86" s="4"/>
      <c r="G86" s="4"/>
      <c r="H86" s="4"/>
      <c r="I86" s="18"/>
      <c r="J86" s="18"/>
      <c r="K86" s="18"/>
    </row>
    <row r="87" spans="1:11">
      <c r="A87" s="4"/>
      <c r="B87" s="4"/>
      <c r="C87" s="4"/>
      <c r="D87" s="4"/>
      <c r="E87" s="4"/>
      <c r="F87" s="4"/>
      <c r="G87" s="4"/>
      <c r="H87" s="4"/>
      <c r="I87" s="18"/>
      <c r="J87" s="18"/>
      <c r="K87" s="18"/>
    </row>
    <row r="88" spans="1:11">
      <c r="A88" s="4"/>
      <c r="B88" s="4"/>
      <c r="C88" s="4"/>
      <c r="D88" s="4"/>
      <c r="E88" s="4"/>
      <c r="F88" s="4"/>
      <c r="G88" s="4"/>
      <c r="H88" s="4"/>
      <c r="I88" s="18"/>
      <c r="J88" s="18"/>
      <c r="K88" s="18"/>
    </row>
    <row r="89" spans="1:11">
      <c r="A89" s="4"/>
      <c r="B89" s="4"/>
      <c r="C89" s="4"/>
      <c r="D89" s="4"/>
      <c r="E89" s="4"/>
      <c r="F89" s="4"/>
      <c r="G89" s="4"/>
      <c r="H89" s="4"/>
      <c r="I89" s="18"/>
      <c r="J89" s="18"/>
      <c r="K89" s="18"/>
    </row>
    <row r="90" spans="1:11">
      <c r="A90" s="4"/>
      <c r="B90" s="4"/>
      <c r="C90" s="4"/>
      <c r="D90" s="4"/>
      <c r="E90" s="4"/>
      <c r="F90" s="4"/>
      <c r="G90" s="4"/>
      <c r="H90" s="4"/>
      <c r="I90" s="18"/>
      <c r="J90" s="18"/>
      <c r="K90" s="18"/>
    </row>
    <row r="91" spans="1:11">
      <c r="A91" s="4"/>
      <c r="B91" s="4"/>
      <c r="C91" s="4"/>
      <c r="D91" s="4"/>
      <c r="E91" s="4"/>
      <c r="F91" s="4"/>
      <c r="G91" s="4"/>
      <c r="H91" s="4"/>
      <c r="I91" s="18"/>
      <c r="J91" s="18"/>
      <c r="K91" s="18"/>
    </row>
    <row r="92" spans="1:11">
      <c r="A92" s="4"/>
      <c r="B92" s="4"/>
      <c r="C92" s="4"/>
      <c r="D92" s="4"/>
      <c r="E92" s="4"/>
      <c r="F92" s="4"/>
      <c r="G92" s="4"/>
      <c r="H92" s="4"/>
      <c r="I92" s="18"/>
      <c r="J92" s="18"/>
      <c r="K92" s="18"/>
    </row>
    <row r="93" spans="1:11">
      <c r="A93" s="4"/>
      <c r="B93" s="4"/>
      <c r="C93" s="4"/>
      <c r="D93" s="4"/>
      <c r="E93" s="4"/>
      <c r="F93" s="4"/>
      <c r="G93" s="4"/>
      <c r="H93" s="4"/>
      <c r="I93" s="18"/>
      <c r="J93" s="18"/>
      <c r="K93" s="18"/>
    </row>
    <row r="94" spans="1:11">
      <c r="A94" s="4"/>
      <c r="B94" s="4"/>
      <c r="C94" s="4"/>
      <c r="D94" s="4"/>
      <c r="E94" s="4"/>
      <c r="F94" s="4"/>
      <c r="G94" s="4"/>
      <c r="H94" s="4"/>
      <c r="I94" s="18"/>
      <c r="J94" s="18"/>
      <c r="K94" s="18"/>
    </row>
    <row r="95" spans="1:11">
      <c r="A95" s="4"/>
      <c r="B95" s="4"/>
      <c r="C95" s="4"/>
      <c r="D95" s="4"/>
      <c r="E95" s="4"/>
      <c r="F95" s="4"/>
      <c r="G95" s="4"/>
      <c r="H95" s="4"/>
      <c r="I95" s="18"/>
      <c r="J95" s="18"/>
      <c r="K95" s="18"/>
    </row>
    <row r="96" spans="1:11">
      <c r="A96" s="4"/>
      <c r="B96" s="4"/>
      <c r="C96" s="4"/>
      <c r="D96" s="4"/>
      <c r="E96" s="4"/>
      <c r="F96" s="4"/>
      <c r="G96" s="4"/>
      <c r="H96" s="4"/>
      <c r="I96" s="18"/>
      <c r="J96" s="18"/>
      <c r="K96" s="18"/>
    </row>
    <row r="97" spans="1:11">
      <c r="A97" s="4"/>
      <c r="B97" s="4"/>
      <c r="C97" s="4"/>
      <c r="D97" s="4"/>
      <c r="E97" s="4"/>
      <c r="F97" s="4"/>
      <c r="G97" s="4"/>
      <c r="H97" s="4"/>
      <c r="I97" s="18"/>
      <c r="J97" s="18"/>
      <c r="K97" s="18"/>
    </row>
    <row r="98" spans="1:11">
      <c r="A98" s="4"/>
      <c r="B98" s="4"/>
      <c r="C98" s="4"/>
      <c r="D98" s="4"/>
      <c r="E98" s="4"/>
      <c r="F98" s="4"/>
      <c r="G98" s="4"/>
      <c r="H98" s="4"/>
      <c r="I98" s="18"/>
      <c r="J98" s="18"/>
      <c r="K98" s="18"/>
    </row>
    <row r="99" spans="1:11">
      <c r="A99" s="4"/>
      <c r="B99" s="4"/>
      <c r="C99" s="4"/>
      <c r="D99" s="4"/>
      <c r="E99" s="4"/>
      <c r="F99" s="4"/>
      <c r="G99" s="4"/>
      <c r="H99" s="4"/>
      <c r="I99" s="18"/>
      <c r="J99" s="18"/>
      <c r="K99" s="18"/>
    </row>
    <row r="100" spans="1:11">
      <c r="A100" s="4"/>
      <c r="B100" s="4"/>
      <c r="C100" s="4"/>
      <c r="D100" s="4"/>
      <c r="E100" s="4"/>
      <c r="F100" s="4"/>
      <c r="G100" s="4"/>
      <c r="H100" s="4"/>
      <c r="I100" s="18"/>
      <c r="J100" s="18"/>
      <c r="K100" s="18"/>
    </row>
    <row r="101" spans="1:11">
      <c r="A101" s="4"/>
      <c r="B101" s="4"/>
      <c r="C101" s="4"/>
      <c r="D101" s="4"/>
      <c r="E101" s="4"/>
      <c r="F101" s="4"/>
      <c r="G101" s="4"/>
      <c r="H101" s="4"/>
      <c r="I101" s="18"/>
      <c r="J101" s="18"/>
      <c r="K101" s="18"/>
    </row>
    <row r="102" spans="1:11">
      <c r="A102" s="4"/>
      <c r="B102" s="4"/>
      <c r="C102" s="4"/>
      <c r="D102" s="4"/>
      <c r="E102" s="4"/>
      <c r="F102" s="4"/>
      <c r="G102" s="4"/>
      <c r="H102" s="4"/>
      <c r="I102" s="18"/>
      <c r="J102" s="18"/>
      <c r="K102" s="18"/>
    </row>
    <row r="103" spans="1:11">
      <c r="A103" s="4"/>
      <c r="B103" s="4"/>
      <c r="C103" s="4"/>
      <c r="D103" s="4"/>
      <c r="E103" s="4"/>
      <c r="F103" s="4"/>
      <c r="G103" s="4"/>
      <c r="H103" s="4"/>
      <c r="I103" s="18"/>
      <c r="J103" s="18"/>
      <c r="K103" s="18"/>
    </row>
    <row r="104" spans="1:11">
      <c r="A104" s="4"/>
      <c r="B104" s="4"/>
      <c r="C104" s="4"/>
      <c r="D104" s="4"/>
      <c r="E104" s="4"/>
      <c r="F104" s="4"/>
      <c r="G104" s="4"/>
      <c r="H104" s="4"/>
      <c r="I104" s="18"/>
      <c r="J104" s="18"/>
      <c r="K104" s="18"/>
    </row>
    <row r="105" spans="1:11">
      <c r="A105" s="4"/>
      <c r="B105" s="4"/>
      <c r="C105" s="4"/>
      <c r="D105" s="4"/>
      <c r="E105" s="4"/>
      <c r="F105" s="4"/>
      <c r="G105" s="4"/>
      <c r="H105" s="4"/>
      <c r="I105" s="18"/>
      <c r="J105" s="18"/>
      <c r="K105" s="18"/>
    </row>
    <row r="106" spans="1:11">
      <c r="A106" s="4"/>
      <c r="B106" s="4"/>
      <c r="C106" s="4"/>
      <c r="D106" s="4"/>
      <c r="E106" s="4"/>
      <c r="F106" s="4"/>
      <c r="G106" s="4"/>
      <c r="H106" s="4"/>
      <c r="I106" s="18"/>
      <c r="J106" s="18"/>
      <c r="K106" s="18"/>
    </row>
    <row r="107" spans="1:11">
      <c r="A107" s="4"/>
      <c r="B107" s="4"/>
      <c r="C107" s="4"/>
      <c r="D107" s="4"/>
      <c r="E107" s="4"/>
      <c r="F107" s="4"/>
      <c r="G107" s="4"/>
      <c r="H107" s="4"/>
      <c r="I107" s="18"/>
      <c r="J107" s="18"/>
      <c r="K107" s="18"/>
    </row>
    <row r="108" spans="1:11">
      <c r="A108" s="4"/>
      <c r="B108" s="4"/>
      <c r="C108" s="4"/>
      <c r="D108" s="4"/>
      <c r="E108" s="4"/>
      <c r="F108" s="4"/>
      <c r="G108" s="4"/>
      <c r="H108" s="4"/>
      <c r="I108" s="18"/>
      <c r="J108" s="18"/>
      <c r="K108" s="18"/>
    </row>
    <row r="109" spans="1:11">
      <c r="A109" s="4"/>
      <c r="B109" s="4"/>
      <c r="C109" s="4"/>
      <c r="D109" s="4"/>
      <c r="E109" s="4"/>
      <c r="F109" s="4"/>
      <c r="G109" s="4"/>
      <c r="H109" s="4"/>
      <c r="I109" s="18"/>
      <c r="J109" s="18"/>
      <c r="K109" s="18"/>
    </row>
    <row r="110" spans="1:11">
      <c r="A110" s="4"/>
      <c r="B110" s="4"/>
      <c r="C110" s="4"/>
      <c r="D110" s="4"/>
      <c r="E110" s="4"/>
      <c r="F110" s="4"/>
      <c r="G110" s="4"/>
      <c r="H110" s="4"/>
      <c r="I110" s="18"/>
      <c r="J110" s="18"/>
      <c r="K110" s="18"/>
    </row>
    <row r="111" spans="1:11">
      <c r="A111" s="4"/>
      <c r="B111" s="4"/>
      <c r="C111" s="4"/>
      <c r="D111" s="4"/>
      <c r="E111" s="4"/>
      <c r="F111" s="4"/>
      <c r="G111" s="4"/>
      <c r="H111" s="4"/>
      <c r="I111" s="18"/>
      <c r="J111" s="18"/>
      <c r="K111" s="18"/>
    </row>
    <row r="112" spans="1:11">
      <c r="A112" s="4"/>
      <c r="B112" s="4"/>
      <c r="C112" s="4"/>
      <c r="D112" s="4"/>
      <c r="E112" s="4"/>
      <c r="F112" s="4"/>
      <c r="G112" s="4"/>
      <c r="H112" s="4"/>
      <c r="I112" s="18"/>
      <c r="J112" s="18"/>
      <c r="K112" s="18"/>
    </row>
    <row r="113" spans="1:11">
      <c r="A113" s="4"/>
      <c r="B113" s="4"/>
      <c r="C113" s="4"/>
      <c r="D113" s="4"/>
      <c r="E113" s="4"/>
      <c r="F113" s="4"/>
      <c r="G113" s="4"/>
      <c r="H113" s="4"/>
      <c r="I113" s="18"/>
      <c r="J113" s="18"/>
      <c r="K113" s="18"/>
    </row>
    <row r="114" spans="1:11">
      <c r="A114" s="4"/>
      <c r="B114" s="4"/>
      <c r="C114" s="4"/>
      <c r="D114" s="4"/>
      <c r="E114" s="4"/>
      <c r="F114" s="4"/>
      <c r="G114" s="4"/>
      <c r="H114" s="4"/>
      <c r="I114" s="18"/>
      <c r="J114" s="18"/>
      <c r="K114" s="18"/>
    </row>
    <row r="115" spans="1:11">
      <c r="A115" s="4"/>
      <c r="B115" s="4"/>
      <c r="C115" s="4"/>
      <c r="D115" s="4"/>
      <c r="E115" s="4"/>
      <c r="F115" s="4"/>
      <c r="G115" s="4"/>
      <c r="H115" s="4"/>
      <c r="I115" s="18"/>
      <c r="J115" s="18"/>
      <c r="K115" s="18"/>
    </row>
    <row r="116" spans="1:11">
      <c r="A116" s="4"/>
      <c r="B116" s="4"/>
      <c r="C116" s="4"/>
      <c r="D116" s="4"/>
      <c r="E116" s="4"/>
      <c r="F116" s="4"/>
      <c r="G116" s="4"/>
      <c r="H116" s="4"/>
      <c r="I116" s="18"/>
      <c r="J116" s="18"/>
      <c r="K116" s="18"/>
    </row>
    <row r="117" spans="1:11">
      <c r="A117" s="4"/>
      <c r="B117" s="4"/>
      <c r="C117" s="4"/>
      <c r="D117" s="4"/>
      <c r="E117" s="4"/>
      <c r="F117" s="4"/>
      <c r="G117" s="4"/>
      <c r="H117" s="4"/>
      <c r="I117" s="18"/>
      <c r="J117" s="18"/>
      <c r="K117" s="18"/>
    </row>
    <row r="118" spans="1:11">
      <c r="A118" s="4"/>
      <c r="B118" s="4"/>
      <c r="C118" s="4"/>
      <c r="D118" s="4"/>
      <c r="E118" s="4"/>
      <c r="F118" s="4"/>
      <c r="G118" s="4"/>
      <c r="H118" s="4"/>
      <c r="I118" s="18"/>
      <c r="J118" s="18"/>
      <c r="K118" s="18"/>
    </row>
    <row r="119" spans="1:11">
      <c r="A119" s="4"/>
      <c r="B119" s="4"/>
      <c r="C119" s="4"/>
      <c r="D119" s="4"/>
      <c r="E119" s="4"/>
      <c r="F119" s="4"/>
      <c r="G119" s="4"/>
      <c r="H119" s="4"/>
      <c r="I119" s="18"/>
      <c r="J119" s="18"/>
      <c r="K119" s="18"/>
    </row>
    <row r="120" spans="1:11">
      <c r="A120" s="4"/>
      <c r="B120" s="4"/>
      <c r="C120" s="4"/>
      <c r="D120" s="4"/>
      <c r="E120" s="4"/>
      <c r="F120" s="4"/>
      <c r="G120" s="4"/>
      <c r="H120" s="4"/>
      <c r="I120" s="18"/>
      <c r="J120" s="18"/>
      <c r="K120" s="18"/>
    </row>
    <row r="121" spans="1:11">
      <c r="A121" s="4"/>
      <c r="B121" s="4"/>
      <c r="C121" s="4"/>
      <c r="D121" s="4"/>
      <c r="E121" s="4"/>
      <c r="F121" s="4"/>
      <c r="G121" s="4"/>
      <c r="H121" s="4"/>
      <c r="I121" s="18"/>
      <c r="J121" s="18"/>
      <c r="K121" s="18"/>
    </row>
    <row r="122" spans="1:11">
      <c r="A122" s="4"/>
      <c r="B122" s="4"/>
      <c r="C122" s="4"/>
      <c r="D122" s="4"/>
      <c r="E122" s="4"/>
      <c r="F122" s="4"/>
      <c r="G122" s="4"/>
      <c r="H122" s="4"/>
      <c r="I122" s="18"/>
      <c r="J122" s="18"/>
      <c r="K122" s="18"/>
    </row>
    <row r="123" spans="1:11">
      <c r="A123" s="4"/>
      <c r="B123" s="4"/>
      <c r="C123" s="4"/>
      <c r="D123" s="4"/>
      <c r="E123" s="4"/>
      <c r="F123" s="4"/>
      <c r="G123" s="4"/>
      <c r="H123" s="4"/>
      <c r="I123" s="18"/>
      <c r="J123" s="18"/>
      <c r="K123" s="18"/>
    </row>
    <row r="124" spans="1:11">
      <c r="A124" s="4"/>
      <c r="B124" s="4"/>
      <c r="C124" s="4"/>
      <c r="D124" s="4"/>
      <c r="E124" s="4"/>
      <c r="F124" s="4"/>
      <c r="G124" s="4"/>
      <c r="H124" s="4"/>
      <c r="I124" s="18"/>
      <c r="J124" s="18"/>
      <c r="K124" s="18"/>
    </row>
    <row r="125" spans="1:11">
      <c r="A125" s="4"/>
      <c r="B125" s="4"/>
      <c r="C125" s="4"/>
      <c r="D125" s="4"/>
      <c r="E125" s="4"/>
      <c r="F125" s="4"/>
      <c r="G125" s="4"/>
      <c r="H125" s="4"/>
      <c r="I125" s="18"/>
      <c r="J125" s="18"/>
      <c r="K125" s="18"/>
    </row>
    <row r="126" spans="1:11">
      <c r="A126" s="4"/>
      <c r="B126" s="4"/>
      <c r="C126" s="4"/>
      <c r="D126" s="4"/>
      <c r="E126" s="4"/>
      <c r="F126" s="4"/>
      <c r="G126" s="4"/>
      <c r="H126" s="4"/>
      <c r="I126" s="18"/>
      <c r="J126" s="18"/>
      <c r="K126" s="18"/>
    </row>
    <row r="127" spans="1:11">
      <c r="A127" s="4"/>
      <c r="B127" s="4"/>
      <c r="C127" s="4"/>
      <c r="D127" s="4"/>
      <c r="E127" s="4"/>
      <c r="F127" s="4"/>
      <c r="G127" s="4"/>
      <c r="H127" s="4"/>
      <c r="I127" s="18"/>
      <c r="J127" s="18"/>
      <c r="K127" s="18"/>
    </row>
    <row r="128" spans="1:11">
      <c r="A128" s="4"/>
      <c r="B128" s="4"/>
      <c r="C128" s="4"/>
      <c r="D128" s="4"/>
      <c r="E128" s="4"/>
      <c r="F128" s="4"/>
      <c r="G128" s="4"/>
      <c r="H128" s="4"/>
      <c r="I128" s="18"/>
      <c r="J128" s="18"/>
      <c r="K128" s="18"/>
    </row>
    <row r="129" spans="1:11">
      <c r="A129" s="4"/>
      <c r="B129" s="4"/>
      <c r="C129" s="4"/>
      <c r="D129" s="4"/>
      <c r="E129" s="4"/>
      <c r="F129" s="4"/>
      <c r="G129" s="4"/>
      <c r="H129" s="4"/>
      <c r="I129" s="18"/>
      <c r="J129" s="18"/>
      <c r="K129" s="18"/>
    </row>
    <row r="130" spans="1:11">
      <c r="A130" s="4"/>
      <c r="B130" s="4"/>
      <c r="C130" s="4"/>
      <c r="D130" s="4"/>
      <c r="E130" s="4"/>
      <c r="F130" s="4"/>
      <c r="G130" s="4"/>
      <c r="H130" s="4"/>
      <c r="I130" s="18"/>
      <c r="J130" s="18"/>
      <c r="K130" s="18"/>
    </row>
    <row r="131" spans="1:11">
      <c r="A131" s="4"/>
      <c r="B131" s="4"/>
      <c r="C131" s="4"/>
      <c r="D131" s="4"/>
      <c r="E131" s="4"/>
      <c r="F131" s="4"/>
      <c r="G131" s="4"/>
      <c r="H131" s="4"/>
      <c r="I131" s="18"/>
      <c r="J131" s="18"/>
      <c r="K131" s="18"/>
    </row>
    <row r="132" spans="1:11">
      <c r="A132" s="4"/>
      <c r="B132" s="4"/>
      <c r="C132" s="4"/>
      <c r="D132" s="4"/>
      <c r="E132" s="4"/>
      <c r="F132" s="4"/>
      <c r="G132" s="4"/>
      <c r="H132" s="4"/>
      <c r="I132" s="18"/>
      <c r="J132" s="18"/>
      <c r="K132" s="18"/>
    </row>
    <row r="133" spans="1:11">
      <c r="A133" s="4"/>
      <c r="B133" s="4"/>
      <c r="C133" s="4"/>
      <c r="D133" s="4"/>
      <c r="E133" s="4"/>
      <c r="F133" s="4"/>
      <c r="G133" s="4"/>
      <c r="H133" s="4"/>
      <c r="I133" s="18"/>
      <c r="J133" s="18"/>
      <c r="K133" s="18"/>
    </row>
    <row r="134" spans="1:11">
      <c r="A134" s="4"/>
      <c r="B134" s="4"/>
      <c r="C134" s="4"/>
      <c r="D134" s="4"/>
      <c r="E134" s="4"/>
      <c r="F134" s="4"/>
      <c r="G134" s="4"/>
      <c r="H134" s="4"/>
      <c r="I134" s="18"/>
      <c r="J134" s="18"/>
      <c r="K134" s="18"/>
    </row>
    <row r="135" spans="1:11">
      <c r="A135" s="4"/>
      <c r="B135" s="4"/>
      <c r="C135" s="4"/>
      <c r="D135" s="4"/>
      <c r="E135" s="4"/>
      <c r="F135" s="4"/>
      <c r="G135" s="4"/>
      <c r="H135" s="4"/>
      <c r="I135" s="18"/>
      <c r="J135" s="18"/>
      <c r="K135" s="18"/>
    </row>
    <row r="136" spans="1:11">
      <c r="A136" s="4"/>
      <c r="B136" s="4"/>
      <c r="C136" s="4"/>
      <c r="D136" s="4"/>
      <c r="E136" s="4"/>
      <c r="F136" s="4"/>
      <c r="G136" s="4"/>
      <c r="H136" s="4"/>
      <c r="I136" s="18"/>
      <c r="J136" s="18"/>
      <c r="K136" s="18"/>
    </row>
    <row r="137" spans="1:11">
      <c r="A137" s="4"/>
      <c r="B137" s="4"/>
      <c r="C137" s="4"/>
      <c r="D137" s="4"/>
      <c r="E137" s="4"/>
      <c r="F137" s="4"/>
      <c r="G137" s="4"/>
      <c r="H137" s="4"/>
      <c r="I137" s="18"/>
      <c r="J137" s="18"/>
      <c r="K137" s="18"/>
    </row>
    <row r="138" spans="1:11">
      <c r="A138" s="4"/>
      <c r="B138" s="4"/>
      <c r="C138" s="4"/>
      <c r="D138" s="4"/>
      <c r="E138" s="4"/>
      <c r="F138" s="4"/>
      <c r="G138" s="4"/>
      <c r="H138" s="4"/>
      <c r="I138" s="18"/>
      <c r="J138" s="18"/>
      <c r="K138" s="18"/>
    </row>
    <row r="139" spans="1:11">
      <c r="A139" s="4"/>
      <c r="B139" s="4"/>
      <c r="C139" s="4"/>
      <c r="D139" s="4"/>
      <c r="E139" s="4"/>
      <c r="F139" s="4"/>
      <c r="G139" s="4"/>
      <c r="H139" s="4"/>
      <c r="I139" s="18"/>
      <c r="J139" s="18"/>
      <c r="K139" s="18"/>
    </row>
    <row r="140" spans="1:11">
      <c r="A140" s="4"/>
      <c r="B140" s="4"/>
      <c r="C140" s="4"/>
      <c r="D140" s="4"/>
      <c r="E140" s="4"/>
      <c r="F140" s="4"/>
      <c r="G140" s="4"/>
      <c r="H140" s="4"/>
      <c r="I140" s="18"/>
      <c r="J140" s="18"/>
      <c r="K140" s="18"/>
    </row>
    <row r="141" spans="1:11">
      <c r="A141" s="4"/>
      <c r="B141" s="4"/>
      <c r="C141" s="4"/>
      <c r="D141" s="4"/>
      <c r="E141" s="4"/>
      <c r="F141" s="4"/>
      <c r="G141" s="4"/>
      <c r="H141" s="4"/>
      <c r="I141" s="18"/>
      <c r="J141" s="18"/>
      <c r="K141" s="18"/>
    </row>
    <row r="142" spans="1:11">
      <c r="A142" s="4"/>
      <c r="B142" s="4"/>
      <c r="C142" s="4"/>
      <c r="D142" s="4"/>
      <c r="E142" s="4"/>
      <c r="F142" s="4"/>
      <c r="G142" s="4"/>
      <c r="H142" s="4"/>
      <c r="I142" s="18"/>
      <c r="J142" s="18"/>
      <c r="K142" s="18"/>
    </row>
    <row r="143" spans="1:11">
      <c r="A143" s="4"/>
      <c r="B143" s="4"/>
      <c r="C143" s="4"/>
      <c r="D143" s="4"/>
      <c r="E143" s="4"/>
      <c r="F143" s="4"/>
      <c r="G143" s="4"/>
      <c r="H143" s="4"/>
      <c r="I143" s="18"/>
      <c r="J143" s="18"/>
      <c r="K143" s="18"/>
    </row>
    <row r="144" spans="1:11">
      <c r="A144" s="4"/>
      <c r="B144" s="4"/>
      <c r="C144" s="4"/>
      <c r="D144" s="4"/>
      <c r="E144" s="4"/>
      <c r="F144" s="4"/>
      <c r="G144" s="4"/>
      <c r="H144" s="4"/>
      <c r="I144" s="18"/>
      <c r="J144" s="18"/>
      <c r="K144" s="18"/>
    </row>
    <row r="145" spans="1:11">
      <c r="A145" s="4"/>
      <c r="B145" s="4"/>
      <c r="C145" s="4"/>
      <c r="D145" s="4"/>
      <c r="E145" s="4"/>
      <c r="F145" s="4"/>
      <c r="G145" s="4"/>
      <c r="H145" s="4"/>
      <c r="I145" s="18"/>
      <c r="J145" s="18"/>
      <c r="K145" s="18"/>
    </row>
    <row r="146" spans="1:11">
      <c r="A146" s="4"/>
      <c r="B146" s="4"/>
      <c r="C146" s="4"/>
      <c r="D146" s="4"/>
      <c r="E146" s="4"/>
      <c r="F146" s="4"/>
      <c r="G146" s="4"/>
      <c r="H146" s="4"/>
      <c r="I146" s="18"/>
      <c r="J146" s="18"/>
      <c r="K146" s="18"/>
    </row>
    <row r="147" spans="1:11">
      <c r="A147" s="4"/>
      <c r="B147" s="4"/>
      <c r="C147" s="4"/>
      <c r="D147" s="4"/>
      <c r="E147" s="4"/>
      <c r="F147" s="4"/>
      <c r="G147" s="4"/>
      <c r="H147" s="4"/>
      <c r="I147" s="18"/>
      <c r="J147" s="18"/>
      <c r="K147" s="18"/>
    </row>
    <row r="148" spans="1:11">
      <c r="A148" s="4"/>
      <c r="B148" s="4"/>
      <c r="C148" s="4"/>
      <c r="D148" s="4"/>
      <c r="E148" s="4"/>
      <c r="F148" s="4"/>
      <c r="G148" s="4"/>
      <c r="H148" s="4"/>
      <c r="I148" s="18"/>
      <c r="J148" s="18"/>
      <c r="K148" s="18"/>
    </row>
    <row r="149" spans="1:11">
      <c r="A149" s="4"/>
      <c r="B149" s="4"/>
      <c r="C149" s="4"/>
      <c r="D149" s="4"/>
      <c r="E149" s="4"/>
      <c r="F149" s="4"/>
      <c r="G149" s="4"/>
      <c r="H149" s="4"/>
      <c r="I149" s="18"/>
      <c r="J149" s="18"/>
      <c r="K149" s="18"/>
    </row>
    <row r="150" spans="1:11">
      <c r="A150" s="4"/>
      <c r="B150" s="4"/>
      <c r="C150" s="4"/>
      <c r="D150" s="4"/>
      <c r="E150" s="4"/>
      <c r="F150" s="4"/>
      <c r="G150" s="4"/>
      <c r="H150" s="4"/>
      <c r="I150" s="18"/>
      <c r="J150" s="18"/>
      <c r="K150" s="18"/>
    </row>
    <row r="151" spans="1:11">
      <c r="A151" s="4"/>
      <c r="B151" s="4"/>
      <c r="C151" s="4"/>
      <c r="D151" s="4"/>
      <c r="E151" s="4"/>
      <c r="F151" s="4"/>
      <c r="G151" s="4"/>
      <c r="H151" s="4"/>
      <c r="I151" s="18"/>
      <c r="J151" s="18"/>
      <c r="K151" s="18"/>
    </row>
    <row r="152" spans="1:11">
      <c r="A152" s="4"/>
      <c r="B152" s="4"/>
      <c r="C152" s="4"/>
      <c r="D152" s="4"/>
      <c r="E152" s="4"/>
      <c r="F152" s="4"/>
      <c r="G152" s="4"/>
      <c r="H152" s="4"/>
      <c r="I152" s="18"/>
      <c r="J152" s="18"/>
      <c r="K152" s="18"/>
    </row>
    <row r="153" spans="1:11">
      <c r="A153" s="4"/>
      <c r="B153" s="4"/>
      <c r="C153" s="4"/>
      <c r="D153" s="4"/>
      <c r="E153" s="4"/>
      <c r="F153" s="4"/>
      <c r="G153" s="4"/>
      <c r="H153" s="4"/>
      <c r="I153" s="18"/>
      <c r="J153" s="18"/>
      <c r="K153" s="18"/>
    </row>
    <row r="154" spans="1:11">
      <c r="A154" s="4"/>
      <c r="B154" s="4"/>
      <c r="C154" s="4"/>
      <c r="D154" s="4"/>
      <c r="E154" s="4"/>
      <c r="F154" s="4"/>
      <c r="G154" s="4"/>
      <c r="H154" s="4"/>
      <c r="I154" s="18"/>
      <c r="J154" s="18"/>
      <c r="K154" s="18"/>
    </row>
    <row r="155" spans="1:11">
      <c r="A155" s="4"/>
      <c r="B155" s="4"/>
      <c r="C155" s="4"/>
      <c r="D155" s="4"/>
      <c r="E155" s="4"/>
      <c r="F155" s="4"/>
      <c r="G155" s="4"/>
      <c r="H155" s="4"/>
      <c r="I155" s="18"/>
      <c r="J155" s="18"/>
      <c r="K155" s="18"/>
    </row>
    <row r="156" spans="1:11">
      <c r="A156" s="4"/>
      <c r="B156" s="4"/>
      <c r="C156" s="4"/>
      <c r="D156" s="4"/>
      <c r="E156" s="4"/>
      <c r="F156" s="4"/>
      <c r="G156" s="4"/>
      <c r="H156" s="4"/>
      <c r="I156" s="18"/>
      <c r="J156" s="18"/>
      <c r="K156" s="18"/>
    </row>
    <row r="157" spans="1:11">
      <c r="A157" s="4"/>
      <c r="B157" s="4"/>
      <c r="C157" s="4"/>
      <c r="D157" s="4"/>
      <c r="E157" s="4"/>
      <c r="F157" s="4"/>
      <c r="G157" s="4"/>
      <c r="H157" s="4"/>
      <c r="I157" s="18"/>
      <c r="J157" s="18"/>
      <c r="K157" s="18"/>
    </row>
    <row r="158" spans="1:11">
      <c r="A158" s="4"/>
      <c r="B158" s="4"/>
      <c r="C158" s="4"/>
      <c r="D158" s="4"/>
      <c r="E158" s="4"/>
      <c r="F158" s="4"/>
      <c r="G158" s="4"/>
      <c r="H158" s="4"/>
      <c r="I158" s="18"/>
      <c r="J158" s="18"/>
      <c r="K158" s="18"/>
    </row>
    <row r="159" spans="1:11">
      <c r="A159" s="4"/>
      <c r="B159" s="4"/>
      <c r="C159" s="4"/>
      <c r="D159" s="4"/>
      <c r="E159" s="4"/>
      <c r="F159" s="4"/>
      <c r="G159" s="4"/>
      <c r="H159" s="4"/>
      <c r="I159" s="18"/>
      <c r="J159" s="18"/>
      <c r="K159" s="18"/>
    </row>
    <row r="160" spans="1:11">
      <c r="A160" s="4"/>
      <c r="B160" s="4"/>
      <c r="C160" s="4"/>
      <c r="D160" s="4"/>
      <c r="E160" s="4"/>
      <c r="F160" s="4"/>
      <c r="G160" s="4"/>
      <c r="H160" s="4"/>
      <c r="I160" s="18"/>
      <c r="J160" s="18"/>
      <c r="K160" s="18"/>
    </row>
    <row r="161" spans="1:11">
      <c r="A161" s="4"/>
      <c r="B161" s="4"/>
      <c r="C161" s="4"/>
      <c r="D161" s="4"/>
      <c r="E161" s="4"/>
      <c r="F161" s="4"/>
      <c r="G161" s="4"/>
      <c r="H161" s="4"/>
      <c r="I161" s="18"/>
      <c r="J161" s="18"/>
      <c r="K161" s="18"/>
    </row>
    <row r="162" spans="1:11">
      <c r="A162" s="4"/>
      <c r="B162" s="4"/>
      <c r="C162" s="4"/>
      <c r="D162" s="4"/>
      <c r="E162" s="4"/>
      <c r="F162" s="4"/>
      <c r="G162" s="4"/>
      <c r="H162" s="4"/>
      <c r="I162" s="18"/>
      <c r="J162" s="18"/>
      <c r="K162" s="18"/>
    </row>
    <row r="163" spans="1:11">
      <c r="A163" s="4"/>
      <c r="B163" s="4"/>
      <c r="C163" s="4"/>
      <c r="D163" s="4"/>
      <c r="E163" s="4"/>
      <c r="F163" s="4"/>
      <c r="G163" s="4"/>
      <c r="H163" s="4"/>
      <c r="I163" s="18"/>
      <c r="J163" s="18"/>
      <c r="K163" s="18"/>
    </row>
    <row r="164" spans="1:11">
      <c r="A164" s="4"/>
      <c r="B164" s="4"/>
      <c r="C164" s="4"/>
      <c r="D164" s="4"/>
      <c r="E164" s="4"/>
      <c r="F164" s="4"/>
      <c r="G164" s="4"/>
      <c r="H164" s="4"/>
      <c r="I164" s="18"/>
      <c r="J164" s="18"/>
      <c r="K164" s="18"/>
    </row>
    <row r="165" spans="1:11">
      <c r="A165" s="4"/>
      <c r="B165" s="4"/>
      <c r="C165" s="4"/>
      <c r="D165" s="4"/>
      <c r="E165" s="4"/>
      <c r="F165" s="4"/>
      <c r="G165" s="4"/>
      <c r="H165" s="4"/>
      <c r="I165" s="18"/>
      <c r="J165" s="18"/>
      <c r="K165" s="18"/>
    </row>
    <row r="166" spans="1:11">
      <c r="A166" s="4"/>
      <c r="B166" s="4"/>
      <c r="C166" s="4"/>
      <c r="D166" s="4"/>
      <c r="E166" s="4"/>
      <c r="F166" s="4"/>
      <c r="G166" s="4"/>
      <c r="H166" s="4"/>
      <c r="I166" s="18"/>
      <c r="J166" s="18"/>
      <c r="K166" s="18"/>
    </row>
    <row r="167" spans="1:11">
      <c r="A167" s="4"/>
      <c r="B167" s="4"/>
      <c r="C167" s="4"/>
      <c r="D167" s="4"/>
      <c r="E167" s="4"/>
      <c r="F167" s="4"/>
      <c r="G167" s="4"/>
      <c r="H167" s="4"/>
      <c r="I167" s="18"/>
      <c r="J167" s="18"/>
      <c r="K167" s="18"/>
    </row>
    <row r="168" spans="1:11">
      <c r="A168" s="4"/>
      <c r="B168" s="4"/>
      <c r="C168" s="4"/>
      <c r="D168" s="4"/>
      <c r="E168" s="4"/>
      <c r="F168" s="4"/>
      <c r="G168" s="4"/>
      <c r="H168" s="4"/>
      <c r="I168" s="18"/>
      <c r="J168" s="18"/>
      <c r="K168" s="18"/>
    </row>
    <row r="169" spans="1:11">
      <c r="A169" s="4"/>
      <c r="B169" s="4"/>
      <c r="C169" s="4"/>
      <c r="D169" s="4"/>
      <c r="E169" s="4"/>
      <c r="F169" s="4"/>
      <c r="G169" s="4"/>
      <c r="H169" s="4"/>
      <c r="I169" s="18"/>
      <c r="J169" s="18"/>
      <c r="K169" s="18"/>
    </row>
    <row r="170" spans="1:11">
      <c r="A170" s="4"/>
      <c r="B170" s="4"/>
      <c r="C170" s="4"/>
      <c r="D170" s="4"/>
      <c r="E170" s="4"/>
      <c r="F170" s="4"/>
      <c r="G170" s="4"/>
      <c r="H170" s="4"/>
      <c r="I170" s="18"/>
      <c r="J170" s="18"/>
      <c r="K170" s="18"/>
    </row>
    <row r="171" spans="1:11">
      <c r="A171" s="4"/>
      <c r="B171" s="4"/>
      <c r="C171" s="4"/>
      <c r="D171" s="4"/>
      <c r="E171" s="4"/>
      <c r="F171" s="4"/>
      <c r="G171" s="4"/>
      <c r="H171" s="4"/>
      <c r="I171" s="18"/>
      <c r="J171" s="18"/>
      <c r="K171" s="18"/>
    </row>
    <row r="172" spans="1:11">
      <c r="A172" s="4"/>
      <c r="B172" s="4"/>
      <c r="C172" s="4"/>
      <c r="D172" s="4"/>
      <c r="E172" s="4"/>
      <c r="F172" s="4"/>
      <c r="G172" s="4"/>
      <c r="H172" s="4"/>
      <c r="I172" s="18"/>
      <c r="J172" s="18"/>
      <c r="K172" s="18"/>
    </row>
    <row r="173" spans="1:11">
      <c r="A173" s="4"/>
      <c r="B173" s="4"/>
      <c r="C173" s="4"/>
      <c r="D173" s="4"/>
      <c r="E173" s="4"/>
      <c r="F173" s="4"/>
      <c r="G173" s="4"/>
      <c r="H173" s="4"/>
      <c r="I173" s="18"/>
      <c r="J173" s="18"/>
      <c r="K173" s="18"/>
    </row>
    <row r="174" spans="1:11">
      <c r="A174" s="4"/>
      <c r="B174" s="4"/>
      <c r="C174" s="4"/>
      <c r="D174" s="4"/>
      <c r="E174" s="4"/>
      <c r="F174" s="4"/>
      <c r="G174" s="4"/>
      <c r="H174" s="4"/>
      <c r="I174" s="18"/>
      <c r="J174" s="18"/>
      <c r="K174" s="18"/>
    </row>
    <row r="175" spans="1:11">
      <c r="A175" s="4"/>
      <c r="B175" s="4"/>
      <c r="C175" s="4"/>
      <c r="D175" s="4"/>
      <c r="E175" s="4"/>
      <c r="F175" s="4"/>
      <c r="G175" s="4"/>
      <c r="H175" s="4"/>
      <c r="I175" s="18"/>
      <c r="J175" s="18"/>
      <c r="K175" s="18"/>
    </row>
    <row r="176" spans="1:11">
      <c r="A176" s="4"/>
      <c r="B176" s="4"/>
      <c r="C176" s="4"/>
      <c r="D176" s="4"/>
      <c r="E176" s="4"/>
      <c r="F176" s="4"/>
      <c r="G176" s="4"/>
      <c r="H176" s="4"/>
      <c r="I176" s="18"/>
      <c r="J176" s="18"/>
      <c r="K176" s="18"/>
    </row>
    <row r="177" spans="1:11">
      <c r="A177" s="4"/>
      <c r="B177" s="4"/>
      <c r="C177" s="4"/>
      <c r="D177" s="4"/>
      <c r="E177" s="4"/>
      <c r="F177" s="4"/>
      <c r="G177" s="4"/>
      <c r="H177" s="4"/>
      <c r="I177" s="18"/>
      <c r="J177" s="18"/>
      <c r="K177" s="18"/>
    </row>
    <row r="178" spans="1:11">
      <c r="A178" s="4"/>
      <c r="B178" s="4"/>
      <c r="C178" s="4"/>
      <c r="D178" s="4"/>
      <c r="E178" s="4"/>
      <c r="F178" s="4"/>
      <c r="G178" s="4"/>
      <c r="H178" s="4"/>
      <c r="I178" s="18"/>
      <c r="J178" s="18"/>
      <c r="K178" s="18"/>
    </row>
    <row r="179" spans="1:11">
      <c r="A179" s="4"/>
      <c r="B179" s="4"/>
      <c r="C179" s="4"/>
      <c r="D179" s="4"/>
      <c r="E179" s="4"/>
      <c r="F179" s="4"/>
      <c r="G179" s="4"/>
      <c r="H179" s="4"/>
      <c r="I179" s="18"/>
      <c r="J179" s="18"/>
      <c r="K179" s="18"/>
    </row>
    <row r="180" spans="1:11">
      <c r="A180" s="4"/>
      <c r="B180" s="4"/>
      <c r="C180" s="4"/>
      <c r="D180" s="4"/>
      <c r="E180" s="4"/>
      <c r="F180" s="4"/>
      <c r="G180" s="4"/>
      <c r="H180" s="4"/>
      <c r="I180" s="18"/>
      <c r="J180" s="18"/>
      <c r="K180" s="18"/>
    </row>
    <row r="181" spans="1:11">
      <c r="A181" s="4"/>
      <c r="B181" s="4"/>
      <c r="C181" s="4"/>
      <c r="D181" s="4"/>
      <c r="E181" s="4"/>
      <c r="F181" s="4"/>
      <c r="G181" s="4"/>
      <c r="H181" s="4"/>
      <c r="I181" s="18"/>
      <c r="J181" s="18"/>
      <c r="K181" s="18"/>
    </row>
    <row r="182" spans="1:11">
      <c r="A182" s="4"/>
      <c r="B182" s="4"/>
      <c r="C182" s="4"/>
      <c r="D182" s="4"/>
      <c r="E182" s="4"/>
      <c r="F182" s="4"/>
      <c r="G182" s="4"/>
      <c r="H182" s="4"/>
      <c r="I182" s="18"/>
      <c r="J182" s="18"/>
      <c r="K182" s="18"/>
    </row>
    <row r="183" spans="1:11">
      <c r="A183" s="4"/>
      <c r="B183" s="4"/>
      <c r="C183" s="4"/>
      <c r="D183" s="4"/>
      <c r="E183" s="4"/>
      <c r="F183" s="4"/>
      <c r="G183" s="4"/>
      <c r="H183" s="4"/>
      <c r="I183" s="18"/>
      <c r="J183" s="18"/>
      <c r="K183" s="18"/>
    </row>
    <row r="184" spans="1:11">
      <c r="A184" s="4"/>
      <c r="B184" s="4"/>
      <c r="C184" s="4"/>
      <c r="D184" s="4"/>
      <c r="E184" s="4"/>
      <c r="F184" s="4"/>
      <c r="G184" s="4"/>
      <c r="H184" s="4"/>
      <c r="I184" s="18"/>
      <c r="J184" s="18"/>
      <c r="K184" s="18"/>
    </row>
    <row r="185" spans="1:11">
      <c r="A185" s="4"/>
      <c r="B185" s="4"/>
      <c r="C185" s="4"/>
      <c r="D185" s="4"/>
      <c r="E185" s="4"/>
      <c r="F185" s="4"/>
      <c r="G185" s="4"/>
      <c r="H185" s="4"/>
      <c r="I185" s="18"/>
      <c r="J185" s="18"/>
      <c r="K185" s="18"/>
    </row>
    <row r="186" spans="1:11">
      <c r="A186" s="4"/>
      <c r="B186" s="4"/>
      <c r="C186" s="4"/>
      <c r="D186" s="4"/>
      <c r="E186" s="4"/>
      <c r="F186" s="4"/>
      <c r="G186" s="4"/>
      <c r="H186" s="4"/>
      <c r="I186" s="18"/>
      <c r="J186" s="18"/>
      <c r="K186" s="18"/>
    </row>
    <row r="187" spans="1:11">
      <c r="A187" s="4"/>
      <c r="B187" s="4"/>
      <c r="C187" s="4"/>
      <c r="D187" s="4"/>
      <c r="E187" s="4"/>
      <c r="F187" s="4"/>
      <c r="G187" s="4"/>
      <c r="H187" s="4"/>
      <c r="I187" s="18"/>
      <c r="J187" s="18"/>
      <c r="K187" s="18"/>
    </row>
    <row r="188" spans="1:11">
      <c r="A188" s="4"/>
      <c r="B188" s="4"/>
      <c r="C188" s="4"/>
      <c r="D188" s="4"/>
      <c r="E188" s="4"/>
      <c r="F188" s="4"/>
      <c r="G188" s="4"/>
      <c r="H188" s="4"/>
      <c r="I188" s="18"/>
      <c r="J188" s="18"/>
      <c r="K188" s="18"/>
    </row>
    <row r="189" spans="1:11">
      <c r="A189" s="4"/>
      <c r="B189" s="4"/>
      <c r="C189" s="4"/>
      <c r="D189" s="4"/>
      <c r="E189" s="4"/>
      <c r="F189" s="4"/>
      <c r="G189" s="4"/>
      <c r="H189" s="4"/>
      <c r="I189" s="18"/>
      <c r="J189" s="18"/>
      <c r="K189" s="18"/>
    </row>
    <row r="190" spans="1:11">
      <c r="A190" s="4"/>
      <c r="B190" s="4"/>
      <c r="C190" s="4"/>
      <c r="D190" s="4"/>
      <c r="E190" s="4"/>
      <c r="F190" s="4"/>
      <c r="G190" s="4"/>
      <c r="H190" s="4"/>
      <c r="I190" s="18"/>
      <c r="J190" s="18"/>
      <c r="K190" s="18"/>
    </row>
    <row r="191" spans="1:11">
      <c r="A191" s="4"/>
      <c r="B191" s="4"/>
      <c r="C191" s="4"/>
      <c r="D191" s="4"/>
      <c r="E191" s="4"/>
      <c r="F191" s="4"/>
      <c r="G191" s="4"/>
      <c r="H191" s="4"/>
      <c r="I191" s="18"/>
      <c r="J191" s="18"/>
      <c r="K191" s="18"/>
    </row>
    <row r="192" spans="1:11">
      <c r="A192" s="4"/>
      <c r="B192" s="4"/>
      <c r="C192" s="4"/>
      <c r="D192" s="4"/>
      <c r="E192" s="4"/>
      <c r="F192" s="4"/>
      <c r="G192" s="4"/>
      <c r="H192" s="4"/>
      <c r="I192" s="18"/>
      <c r="J192" s="18"/>
      <c r="K192" s="18"/>
    </row>
    <row r="193" spans="1:11">
      <c r="A193" s="4"/>
      <c r="B193" s="4"/>
      <c r="C193" s="4"/>
      <c r="D193" s="4"/>
      <c r="E193" s="4"/>
      <c r="F193" s="4"/>
      <c r="G193" s="4"/>
      <c r="H193" s="4"/>
      <c r="I193" s="18"/>
      <c r="J193" s="18"/>
      <c r="K193" s="18"/>
    </row>
    <row r="194" spans="1:11">
      <c r="A194" s="4"/>
      <c r="B194" s="4"/>
      <c r="C194" s="4"/>
      <c r="D194" s="4"/>
      <c r="E194" s="4"/>
      <c r="F194" s="4"/>
      <c r="G194" s="4"/>
      <c r="H194" s="4"/>
      <c r="I194" s="18"/>
      <c r="J194" s="18"/>
      <c r="K194" s="18"/>
    </row>
    <row r="195" spans="1:11">
      <c r="A195" s="4"/>
      <c r="B195" s="4"/>
      <c r="C195" s="4"/>
      <c r="D195" s="4"/>
      <c r="E195" s="4"/>
      <c r="F195" s="4"/>
      <c r="G195" s="4"/>
      <c r="H195" s="4"/>
      <c r="I195" s="18"/>
      <c r="J195" s="18"/>
      <c r="K195" s="18"/>
    </row>
    <row r="196" spans="1:11">
      <c r="A196" s="4"/>
      <c r="B196" s="4"/>
      <c r="C196" s="4"/>
      <c r="D196" s="4"/>
      <c r="E196" s="4"/>
      <c r="F196" s="4"/>
      <c r="G196" s="4"/>
      <c r="H196" s="4"/>
      <c r="I196" s="18"/>
      <c r="J196" s="18"/>
      <c r="K196" s="18"/>
    </row>
    <row r="197" spans="1:11">
      <c r="A197" s="4"/>
      <c r="B197" s="4"/>
      <c r="C197" s="4"/>
      <c r="D197" s="4"/>
      <c r="E197" s="4"/>
      <c r="F197" s="4"/>
      <c r="G197" s="4"/>
      <c r="H197" s="4"/>
      <c r="I197" s="18"/>
      <c r="J197" s="18"/>
      <c r="K197" s="18"/>
    </row>
    <row r="198" spans="1:11">
      <c r="A198" s="4"/>
      <c r="B198" s="4"/>
      <c r="C198" s="4"/>
      <c r="D198" s="4"/>
      <c r="E198" s="4"/>
      <c r="F198" s="4"/>
      <c r="G198" s="4"/>
      <c r="H198" s="4"/>
      <c r="I198" s="18"/>
      <c r="J198" s="18"/>
      <c r="K198" s="18"/>
    </row>
    <row r="199" spans="1:11">
      <c r="A199" s="4"/>
      <c r="B199" s="4"/>
      <c r="C199" s="4"/>
      <c r="D199" s="4"/>
      <c r="E199" s="4"/>
      <c r="F199" s="4"/>
      <c r="G199" s="4"/>
      <c r="H199" s="4"/>
      <c r="I199" s="18"/>
      <c r="J199" s="18"/>
      <c r="K199" s="18"/>
    </row>
    <row r="200" spans="1:11">
      <c r="A200" s="4"/>
      <c r="B200" s="4"/>
      <c r="C200" s="4"/>
      <c r="D200" s="4"/>
      <c r="E200" s="4"/>
      <c r="F200" s="4"/>
      <c r="G200" s="4"/>
      <c r="H200" s="4"/>
      <c r="I200" s="18"/>
      <c r="J200" s="18"/>
      <c r="K200" s="18"/>
    </row>
    <row r="201" spans="1:11">
      <c r="A201" s="4"/>
      <c r="B201" s="4"/>
      <c r="C201" s="4"/>
      <c r="D201" s="4"/>
      <c r="E201" s="4"/>
      <c r="F201" s="4"/>
      <c r="G201" s="4"/>
      <c r="H201" s="4"/>
      <c r="I201" s="18"/>
      <c r="J201" s="18"/>
      <c r="K201" s="18"/>
    </row>
    <row r="202" spans="1:11">
      <c r="A202" s="4"/>
      <c r="B202" s="4"/>
      <c r="C202" s="4"/>
      <c r="D202" s="4"/>
      <c r="E202" s="4"/>
      <c r="F202" s="4"/>
      <c r="G202" s="4"/>
      <c r="H202" s="4"/>
      <c r="I202" s="18"/>
      <c r="J202" s="18"/>
      <c r="K202" s="18"/>
    </row>
    <row r="203" spans="1:11">
      <c r="A203" s="4"/>
      <c r="B203" s="4"/>
      <c r="C203" s="4"/>
      <c r="D203" s="4"/>
      <c r="E203" s="4"/>
      <c r="F203" s="4"/>
      <c r="G203" s="4"/>
      <c r="H203" s="4"/>
      <c r="I203" s="18"/>
      <c r="J203" s="18"/>
      <c r="K203" s="18"/>
    </row>
  </sheetData>
  <mergeCells count="1">
    <mergeCell ref="A1:H1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52E97A3A-9364-4A6A-8D8A-25A2B615E48F}">
  <dimension ref="A1:AJ3"/>
  <sheetViews>
    <sheetView workbookViewId="0"/>
  </sheetViews>
  <sheetFormatPr defaultRowHeight="15"/>
  <sheetData>
    <row r="1" spans="1:36" ht="18.75">
      <c r="A1" s="59" t="s">
        <v>299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3" spans="1:36">
      <c r="A3" s="66" t="s">
        <v>33</v>
      </c>
      <c r="B3" s="66" t="s">
        <v>129</v>
      </c>
      <c r="C3" s="66" t="s">
        <v>95</v>
      </c>
      <c r="D3" s="66" t="s">
        <v>198</v>
      </c>
      <c r="E3" s="66" t="s">
        <v>199</v>
      </c>
      <c r="F3" s="66" t="s">
        <v>266</v>
      </c>
      <c r="G3" s="66" t="s">
        <v>267</v>
      </c>
      <c r="H3" s="66" t="s">
        <v>175</v>
      </c>
      <c r="I3" s="66" t="s">
        <v>162</v>
      </c>
      <c r="J3" s="66" t="s">
        <v>268</v>
      </c>
      <c r="K3" s="66" t="s">
        <v>269</v>
      </c>
      <c r="L3" s="66" t="s">
        <v>270</v>
      </c>
      <c r="M3" s="66" t="s">
        <v>271</v>
      </c>
      <c r="N3" s="66" t="s">
        <v>195</v>
      </c>
      <c r="O3" s="66" t="s">
        <v>272</v>
      </c>
      <c r="P3" s="66" t="s">
        <v>196</v>
      </c>
      <c r="Q3" s="66" t="s">
        <v>180</v>
      </c>
      <c r="R3" s="66" t="s">
        <v>181</v>
      </c>
      <c r="S3" s="66" t="s">
        <v>273</v>
      </c>
      <c r="T3" s="66" t="s">
        <v>274</v>
      </c>
      <c r="U3" s="66" t="s">
        <v>200</v>
      </c>
      <c r="V3" s="66" t="s">
        <v>201</v>
      </c>
      <c r="W3" s="66" t="s">
        <v>202</v>
      </c>
      <c r="X3" s="18" t="s">
        <v>161</v>
      </c>
      <c r="Y3" s="18" t="s">
        <v>176</v>
      </c>
      <c r="Z3" s="18" t="s">
        <v>177</v>
      </c>
      <c r="AA3" s="18" t="s">
        <v>178</v>
      </c>
      <c r="AB3" s="18" t="s">
        <v>179</v>
      </c>
      <c r="AC3" s="18" t="s">
        <v>275</v>
      </c>
      <c r="AD3" s="18" t="s">
        <v>276</v>
      </c>
      <c r="AE3" s="18" t="s">
        <v>182</v>
      </c>
      <c r="AF3" s="18" t="s">
        <v>183</v>
      </c>
      <c r="AG3" s="18" t="s">
        <v>184</v>
      </c>
      <c r="AH3" s="18" t="s">
        <v>277</v>
      </c>
      <c r="AI3" s="18" t="s">
        <v>197</v>
      </c>
      <c r="AJ3" s="18" t="s">
        <v>203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3C381E7B-2225-4DEB-A7BF-CBB1DB455210}">
  <dimension ref="A1:AF3"/>
  <sheetViews>
    <sheetView workbookViewId="0">
      <selection activeCell="AD22" sqref="AD22"/>
    </sheetView>
  </sheetViews>
  <sheetFormatPr defaultRowHeight="15"/>
  <sheetData>
    <row r="1" spans="1:32" ht="18.75">
      <c r="A1" s="59" t="s">
        <v>300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</row>
    <row r="3" spans="1:32">
      <c r="A3" s="66" t="s">
        <v>33</v>
      </c>
      <c r="B3" s="66" t="s">
        <v>230</v>
      </c>
      <c r="C3" s="66" t="s">
        <v>39</v>
      </c>
      <c r="D3" s="66" t="s">
        <v>95</v>
      </c>
      <c r="E3" s="66" t="s">
        <v>175</v>
      </c>
      <c r="F3" s="66" t="s">
        <v>162</v>
      </c>
      <c r="G3" s="66" t="s">
        <v>268</v>
      </c>
      <c r="H3" s="66" t="s">
        <v>178</v>
      </c>
      <c r="I3" s="66" t="s">
        <v>179</v>
      </c>
      <c r="J3" s="66" t="s">
        <v>195</v>
      </c>
      <c r="K3" s="66" t="s">
        <v>196</v>
      </c>
      <c r="L3" s="66" t="s">
        <v>273</v>
      </c>
      <c r="M3" s="66" t="s">
        <v>279</v>
      </c>
      <c r="N3" s="66" t="s">
        <v>280</v>
      </c>
      <c r="O3" s="66" t="s">
        <v>161</v>
      </c>
      <c r="P3" s="66" t="s">
        <v>176</v>
      </c>
      <c r="Q3" s="66" t="s">
        <v>177</v>
      </c>
      <c r="R3" s="66" t="s">
        <v>275</v>
      </c>
      <c r="S3" s="66" t="s">
        <v>276</v>
      </c>
      <c r="T3" s="66" t="s">
        <v>182</v>
      </c>
      <c r="U3" s="66" t="s">
        <v>183</v>
      </c>
      <c r="V3" s="66" t="s">
        <v>184</v>
      </c>
      <c r="W3" s="66" t="s">
        <v>272</v>
      </c>
      <c r="X3" s="66" t="s">
        <v>277</v>
      </c>
      <c r="Y3" s="66" t="s">
        <v>281</v>
      </c>
      <c r="Z3" s="66" t="s">
        <v>282</v>
      </c>
      <c r="AA3" s="66" t="s">
        <v>197</v>
      </c>
      <c r="AB3" s="66" t="s">
        <v>200</v>
      </c>
      <c r="AC3" s="66" t="s">
        <v>201</v>
      </c>
      <c r="AD3" s="66" t="s">
        <v>202</v>
      </c>
      <c r="AE3" s="66" t="s">
        <v>274</v>
      </c>
      <c r="AF3" s="66" t="s">
        <v>203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03"/>
  <sheetViews>
    <sheetView showGridLines="0" workbookViewId="0">
      <selection activeCell="H6" sqref="H6"/>
    </sheetView>
  </sheetViews>
  <sheetFormatPr defaultRowHeight="15"/>
  <cols>
    <col min="1" max="1" width="11.85546875" bestFit="1" customWidth="1"/>
    <col min="7" max="7" width="10.28515625" bestFit="1" customWidth="1"/>
    <col min="9" max="9" width="9.7109375" bestFit="1" customWidth="1"/>
  </cols>
  <sheetData>
    <row r="1" spans="1:10">
      <c r="A1" s="214" t="s">
        <v>301</v>
      </c>
      <c r="B1" s="215"/>
      <c r="C1" s="215"/>
      <c r="D1" s="215"/>
      <c r="E1" s="215"/>
      <c r="F1" s="215"/>
      <c r="G1" s="215"/>
      <c r="H1" s="215"/>
      <c r="I1" s="215"/>
      <c r="J1" s="216"/>
    </row>
    <row r="3" spans="1:10">
      <c r="A3" s="3" t="s">
        <v>33</v>
      </c>
      <c r="B3" s="3" t="s">
        <v>222</v>
      </c>
      <c r="C3" s="3" t="s">
        <v>95</v>
      </c>
      <c r="D3" s="3" t="s">
        <v>223</v>
      </c>
      <c r="E3" s="3" t="s">
        <v>224</v>
      </c>
      <c r="F3" s="3" t="s">
        <v>225</v>
      </c>
      <c r="G3" s="3" t="s">
        <v>226</v>
      </c>
      <c r="H3" s="3" t="s">
        <v>227</v>
      </c>
      <c r="I3" s="3" t="s">
        <v>228</v>
      </c>
      <c r="J3" s="3" t="s">
        <v>22</v>
      </c>
    </row>
    <row r="4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>
      <c r="A203" s="4"/>
      <c r="B203" s="4"/>
      <c r="C203" s="4"/>
      <c r="D203" s="4"/>
      <c r="E203" s="4"/>
      <c r="F203" s="4"/>
      <c r="G203" s="4"/>
      <c r="H203" s="4"/>
      <c r="I203" s="4"/>
      <c r="J203" s="4"/>
    </row>
  </sheetData>
  <mergeCells count="1">
    <mergeCell ref="A1:J1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63EE-A3EF-46DA-A3CC-A365710EDD74}">
  <sheetPr>
    <tabColor rgb="FF5B9BD5"/>
  </sheetPr>
  <dimension ref="A1:AJ410"/>
  <sheetViews>
    <sheetView workbookViewId="0">
      <selection activeCell="A21" sqref="A20:A21"/>
    </sheetView>
  </sheetViews>
  <sheetFormatPr defaultRowHeight="15"/>
  <cols>
    <col min="1" max="1" width="50.85546875" bestFit="1" customWidth="1"/>
    <col min="2" max="2" width="8.85546875" bestFit="1" customWidth="1"/>
    <col min="3" max="3" width="16.42578125" bestFit="1" customWidth="1"/>
    <col min="4" max="4" width="13.42578125" bestFit="1" customWidth="1"/>
    <col min="5" max="5" width="22.140625" bestFit="1" customWidth="1"/>
    <col min="6" max="6" width="21.85546875" bestFit="1" customWidth="1"/>
    <col min="7" max="7" width="6.5703125" bestFit="1" customWidth="1"/>
    <col min="8" max="8" width="6.140625" bestFit="1" customWidth="1"/>
    <col min="9" max="9" width="4.85546875" bestFit="1" customWidth="1"/>
    <col min="10" max="10" width="3.42578125" bestFit="1" customWidth="1"/>
    <col min="11" max="11" width="3.85546875" bestFit="1" customWidth="1"/>
    <col min="12" max="12" width="2.5703125" bestFit="1" customWidth="1"/>
    <col min="13" max="13" width="4.85546875" bestFit="1" customWidth="1"/>
    <col min="14" max="14" width="4.7109375" bestFit="1" customWidth="1"/>
    <col min="15" max="15" width="6" bestFit="1" customWidth="1"/>
    <col min="16" max="16" width="9" bestFit="1" customWidth="1"/>
    <col min="17" max="17" width="3" bestFit="1" customWidth="1"/>
    <col min="18" max="18" width="3.140625" bestFit="1" customWidth="1"/>
    <col min="19" max="19" width="4.42578125" bestFit="1" customWidth="1"/>
    <col min="20" max="20" width="5.85546875" bestFit="1" customWidth="1"/>
    <col min="21" max="36" width="2" bestFit="1" customWidth="1"/>
  </cols>
  <sheetData>
    <row r="1" spans="1:20" ht="18.75">
      <c r="A1" s="56" t="s">
        <v>302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</row>
    <row r="2" spans="1:20">
      <c r="A2" s="57" t="s">
        <v>303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0">
      <c r="A3" s="58" t="s">
        <v>33</v>
      </c>
      <c r="B3" s="58" t="s">
        <v>296</v>
      </c>
      <c r="C3" s="58" t="s">
        <v>12</v>
      </c>
      <c r="D3" s="58" t="s">
        <v>297</v>
      </c>
      <c r="E3" s="58" t="s">
        <v>298</v>
      </c>
      <c r="F3" s="58" t="s">
        <v>152</v>
      </c>
      <c r="G3" s="58" t="s">
        <v>154</v>
      </c>
      <c r="H3" s="58" t="s">
        <v>22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>
      <c r="A4" s="18" cm="1">
        <f t="array" aca="1" ref="A4:H4" ca="1">IF(Settings!$B$2="","",_xlfn.HSTACK(Settings!$B$2,Settings!$B$4,Settings!$B$3,_xlfn.XLOOKUP("1st",Bracket!$A$18:$A$25,Bracket!$B$18:$B$25,""),_xlfn.XLOOKUP("2nd",Bracket!$A$18:$A$25,Bracket!$B$18:$B$25,""),_xlfn.XLOOKUP("3rd",Bracket!$A$18:$A$25,Bracket!$B$18:$B$25,""),_xlfn.XLOOKUP("4th",Bracket!$A$18:$A$25,Bracket!$B$18:$B$25,""),Settings!$B$5))</f>
        <v>1</v>
      </c>
      <c r="B4" s="18" t="str">
        <f ca="1"/>
        <v/>
      </c>
      <c r="C4" s="18">
        <f ca="1"/>
        <v>6</v>
      </c>
      <c r="D4" s="18" t="str">
        <f ca="1"/>
        <v>Jason</v>
      </c>
      <c r="E4" s="18" t="str">
        <f ca="1"/>
        <v>Nick</v>
      </c>
      <c r="F4" s="18" t="str">
        <f ca="1"/>
        <v>May</v>
      </c>
      <c r="G4" s="18" t="str">
        <f ca="1"/>
        <v>Donovan</v>
      </c>
      <c r="H4" s="18" t="str">
        <f ca="1"/>
        <v/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8" spans="1:20">
      <c r="A8" s="57" t="s">
        <v>304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>
      <c r="A9" s="58" t="s">
        <v>33</v>
      </c>
      <c r="B9" s="58" t="s">
        <v>129</v>
      </c>
      <c r="C9" s="58" t="s">
        <v>146</v>
      </c>
      <c r="D9" s="58" t="s">
        <v>305</v>
      </c>
      <c r="E9" s="58" t="s">
        <v>306</v>
      </c>
      <c r="F9" s="58" t="s">
        <v>307</v>
      </c>
      <c r="G9" s="58" t="s">
        <v>308</v>
      </c>
      <c r="H9" s="58" t="s">
        <v>266</v>
      </c>
      <c r="I9" s="58" t="s">
        <v>267</v>
      </c>
      <c r="J9" s="58" t="s">
        <v>286</v>
      </c>
      <c r="K9" s="58" t="s">
        <v>175</v>
      </c>
      <c r="L9" s="58" t="s">
        <v>162</v>
      </c>
      <c r="M9" s="58" t="s">
        <v>268</v>
      </c>
      <c r="N9" s="58" t="s">
        <v>269</v>
      </c>
      <c r="O9" s="58" t="s">
        <v>270</v>
      </c>
      <c r="P9" s="58" t="s">
        <v>271</v>
      </c>
      <c r="Q9" s="58" t="s">
        <v>195</v>
      </c>
      <c r="R9" s="58" t="s">
        <v>196</v>
      </c>
      <c r="S9" s="58" t="s">
        <v>273</v>
      </c>
      <c r="T9" s="58" t="s">
        <v>274</v>
      </c>
    </row>
    <row r="10" spans="1:20">
      <c r="A10" s="18" cm="1">
        <f t="array" aca="1" ref="A10:R15" ca="1">IFERROR(_xlfn.LET(_xlpm.ts,'Tourney Summary'!$A$5:$A$12,_xlpm.mask,_xlpm.ts&lt;&gt;"",_xlpm.players,_xlfn._xlws.FILTER(_xlpm.ts,_xlpm.mask),_xlfn.HSTACK(IF(_xlpm.players&lt;&gt;"",Settings!$B$2,""),_xlpm.players,_xlfn._xlws.FILTER('Tourney Summary'!$P$5:$P$12,_xlpm.mask),IF(_xlfn._xlws.FILTER('Tourney Summary'!$P$5:$P$12,_xlpm.mask)="1st","Yes",""),_xlfn._xlws.FILTER('Tourney Summary'!$B$5:$B$12,_xlpm.mask),_xlfn._xlws.FILTER('Tourney Summary'!$C$5:$C$12,_xlpm.mask),_xlfn._xlws.FILTER('Tourney Summary'!$D$5:$D$12,_xlpm.mask),_xlfn._xlws.FILTER('Tourney Summary'!$E$5:$E$12,_xlpm.mask),_xlfn._xlws.FILTER('Tourney Summary'!$F$5:$F$12,_xlpm.mask),_xlfn._xlws.FILTER('Tourney Summary'!$G$5:$G$12,_xlpm.mask),_xlfn._xlws.FILTER('Tourney Summary'!$H$5:$H$12,_xlpm.mask),_xlfn._xlws.FILTER('Tourney Summary'!$I$5:$I$12,_xlpm.mask),_xlfn._xlws.FILTER('Tourney Summary'!$J$5:$J$12,_xlpm.mask),_xlfn._xlws.FILTER('Tourney Summary'!$K$5:$K$12,_xlpm.mask),_xlfn._xlws.FILTER('Tourney Summary'!$L$5:$L$12,_xlpm.mask),_xlfn._xlws.FILTER('Tourney Summary'!$M$5:$M$12,_xlpm.mask),_xlfn._xlws.FILTER('Tourney Summary'!$N$5:$N$12,_xlpm.mask),_xlfn._xlws.FILTER('Tourney Summary'!$O$5:$O$12,_xlpm.mask))),"")</f>
        <v>1</v>
      </c>
      <c r="B10" s="114" t="str">
        <f ca="1"/>
        <v>Aidan</v>
      </c>
      <c r="C10" s="18" t="str">
        <f ca="1"/>
        <v>6th</v>
      </c>
      <c r="D10" s="18" t="str">
        <f ca="1"/>
        <v/>
      </c>
      <c r="E10" s="18">
        <f ca="1"/>
        <v>3</v>
      </c>
      <c r="F10" s="18">
        <f ca="1"/>
        <v>1</v>
      </c>
      <c r="G10" s="18">
        <f ca="1"/>
        <v>1</v>
      </c>
      <c r="H10" s="18">
        <f ca="1"/>
        <v>6</v>
      </c>
      <c r="I10" s="18">
        <f ca="1"/>
        <v>8</v>
      </c>
      <c r="J10" s="18">
        <f ca="1"/>
        <v>-2</v>
      </c>
      <c r="K10" s="18">
        <f ca="1"/>
        <v>38</v>
      </c>
      <c r="L10" s="18">
        <f ca="1"/>
        <v>14</v>
      </c>
      <c r="M10" s="18">
        <f ca="1"/>
        <v>0.36842105263157893</v>
      </c>
      <c r="N10" s="18">
        <f ca="1"/>
        <v>0.36842105263157893</v>
      </c>
      <c r="O10" s="18">
        <f ca="1"/>
        <v>0.88</v>
      </c>
      <c r="P10" s="18">
        <f ca="1"/>
        <v>1.2484210526315789</v>
      </c>
      <c r="Q10" s="18">
        <f ca="1"/>
        <v>12</v>
      </c>
      <c r="R10" s="18">
        <f ca="1"/>
        <v>1.8888888888888888</v>
      </c>
      <c r="S10" s="18"/>
      <c r="T10" s="18"/>
    </row>
    <row r="11" spans="1:20">
      <c r="A11" s="18">
        <f ca="1"/>
        <v>1</v>
      </c>
      <c r="B11" s="115" t="str">
        <f ca="1"/>
        <v>Donovan</v>
      </c>
      <c r="C11" s="18" t="str">
        <f ca="1"/>
        <v>4th</v>
      </c>
      <c r="D11" s="18" t="str">
        <f ca="1"/>
        <v/>
      </c>
      <c r="E11" s="18">
        <f ca="1"/>
        <v>2</v>
      </c>
      <c r="F11" s="18">
        <f ca="1"/>
        <v>1</v>
      </c>
      <c r="G11" s="18">
        <f ca="1"/>
        <v>1</v>
      </c>
      <c r="H11" s="18">
        <f ca="1"/>
        <v>0</v>
      </c>
      <c r="I11" s="18">
        <f ca="1"/>
        <v>4</v>
      </c>
      <c r="J11" s="18">
        <f ca="1"/>
        <v>-4</v>
      </c>
      <c r="K11" s="18">
        <f ca="1"/>
        <v>22</v>
      </c>
      <c r="L11" s="18">
        <f ca="1"/>
        <v>0</v>
      </c>
      <c r="M11" s="18">
        <f ca="1"/>
        <v>0</v>
      </c>
      <c r="N11" s="18">
        <f ca="1"/>
        <v>0</v>
      </c>
      <c r="O11" s="18">
        <f ca="1"/>
        <v>0.31818181818181818</v>
      </c>
      <c r="P11" s="18">
        <f ca="1"/>
        <v>0</v>
      </c>
      <c r="Q11" s="18">
        <f ca="1"/>
        <v>7.5</v>
      </c>
      <c r="R11" s="18">
        <f ca="1"/>
        <v>1.5</v>
      </c>
      <c r="S11" s="18"/>
      <c r="T11" s="18"/>
    </row>
    <row r="12" spans="1:20">
      <c r="A12" s="18">
        <f ca="1"/>
        <v>1</v>
      </c>
      <c r="B12" s="116" t="str">
        <f ca="1"/>
        <v>Jason</v>
      </c>
      <c r="C12" s="18" t="str">
        <f ca="1"/>
        <v>1st</v>
      </c>
      <c r="D12" s="18" t="str">
        <f ca="1"/>
        <v>Yes</v>
      </c>
      <c r="E12" s="18">
        <f ca="1"/>
        <v>5</v>
      </c>
      <c r="F12" s="18">
        <f ca="1"/>
        <v>3</v>
      </c>
      <c r="G12" s="18">
        <f ca="1"/>
        <v>1</v>
      </c>
      <c r="H12" s="18">
        <f ca="1"/>
        <v>16</v>
      </c>
      <c r="I12" s="18">
        <f ca="1"/>
        <v>8</v>
      </c>
      <c r="J12" s="18">
        <f ca="1"/>
        <v>8</v>
      </c>
      <c r="K12" s="18">
        <f ca="1"/>
        <v>54</v>
      </c>
      <c r="L12" s="18">
        <f ca="1"/>
        <v>8</v>
      </c>
      <c r="M12" s="18">
        <f ca="1"/>
        <v>0.14814814814814814</v>
      </c>
      <c r="N12" s="18">
        <f ca="1"/>
        <v>0.17857142857142858</v>
      </c>
      <c r="O12" s="18">
        <f ca="1"/>
        <v>0.64814814814814814</v>
      </c>
      <c r="P12" s="18">
        <f ca="1"/>
        <v>2.0294117647058822</v>
      </c>
      <c r="Q12" s="18">
        <f ca="1"/>
        <v>4.5</v>
      </c>
      <c r="R12" s="18">
        <f ca="1"/>
        <v>1</v>
      </c>
      <c r="S12" s="18"/>
      <c r="T12" s="18"/>
    </row>
    <row r="13" spans="1:20">
      <c r="A13" s="18">
        <f ca="1"/>
        <v>1</v>
      </c>
      <c r="B13" s="117" t="str">
        <f ca="1"/>
        <v>Justin</v>
      </c>
      <c r="C13" s="18" t="str">
        <f ca="1"/>
        <v>5th</v>
      </c>
      <c r="D13" s="18" t="str">
        <f ca="1"/>
        <v/>
      </c>
      <c r="E13" s="18">
        <f ca="1"/>
        <v>2</v>
      </c>
      <c r="F13" s="18">
        <f ca="1"/>
        <v>0</v>
      </c>
      <c r="G13" s="18">
        <f ca="1"/>
        <v>2</v>
      </c>
      <c r="H13" s="18">
        <f ca="1"/>
        <v>4</v>
      </c>
      <c r="I13" s="18">
        <f ca="1"/>
        <v>6</v>
      </c>
      <c r="J13" s="18">
        <f ca="1"/>
        <v>-2</v>
      </c>
      <c r="K13" s="18">
        <f ca="1"/>
        <v>24</v>
      </c>
      <c r="L13" s="18">
        <f ca="1"/>
        <v>7</v>
      </c>
      <c r="M13" s="18">
        <f ca="1"/>
        <v>0.29166666666666669</v>
      </c>
      <c r="N13" s="18">
        <f ca="1"/>
        <v>0.28000000000000003</v>
      </c>
      <c r="O13" s="18">
        <f ca="1"/>
        <v>0.875</v>
      </c>
      <c r="P13" s="18">
        <f ca="1"/>
        <v>1.155</v>
      </c>
      <c r="Q13" s="18">
        <f ca="1"/>
        <v>12.46153846153846</v>
      </c>
      <c r="R13" s="18">
        <f ca="1"/>
        <v>2.3076923076923075</v>
      </c>
      <c r="S13" s="18"/>
      <c r="T13" s="18"/>
    </row>
    <row r="14" spans="1:20">
      <c r="A14" s="18">
        <f ca="1"/>
        <v>1</v>
      </c>
      <c r="B14" s="118" t="str">
        <f ca="1"/>
        <v>May</v>
      </c>
      <c r="C14" s="18" t="str">
        <f ca="1"/>
        <v>3rd</v>
      </c>
      <c r="D14" s="18" t="str">
        <f ca="1"/>
        <v/>
      </c>
      <c r="E14" s="18">
        <f ca="1"/>
        <v>3</v>
      </c>
      <c r="F14" s="18">
        <f ca="1"/>
        <v>1</v>
      </c>
      <c r="G14" s="18">
        <f ca="1"/>
        <v>2</v>
      </c>
      <c r="H14" s="18">
        <f ca="1"/>
        <v>7</v>
      </c>
      <c r="I14" s="18">
        <f ca="1"/>
        <v>10</v>
      </c>
      <c r="J14" s="18">
        <f ca="1"/>
        <v>-3</v>
      </c>
      <c r="K14" s="18">
        <f ca="1"/>
        <v>44</v>
      </c>
      <c r="L14" s="18">
        <f ca="1"/>
        <v>15</v>
      </c>
      <c r="M14" s="18">
        <f ca="1"/>
        <v>0.34090909090909088</v>
      </c>
      <c r="N14" s="18">
        <f ca="1"/>
        <v>0.35555555555555557</v>
      </c>
      <c r="O14" s="18">
        <f ca="1"/>
        <v>0.63636363636363635</v>
      </c>
      <c r="P14" s="18">
        <f ca="1"/>
        <v>0.99191919191919187</v>
      </c>
      <c r="Q14" s="18">
        <f ca="1"/>
        <v>8.1818181818181817</v>
      </c>
      <c r="R14" s="18">
        <f ca="1"/>
        <v>1.4545454545454546</v>
      </c>
      <c r="S14" s="18"/>
      <c r="T14" s="18"/>
    </row>
    <row r="15" spans="1:20">
      <c r="A15" s="18">
        <f ca="1"/>
        <v>1</v>
      </c>
      <c r="B15" s="119" t="str">
        <f ca="1"/>
        <v>Nick</v>
      </c>
      <c r="C15" s="18" t="str">
        <f ca="1"/>
        <v>2nd</v>
      </c>
      <c r="D15" s="18" t="str">
        <f ca="1"/>
        <v/>
      </c>
      <c r="E15" s="18">
        <f ca="1"/>
        <v>5</v>
      </c>
      <c r="F15" s="18">
        <f ca="1"/>
        <v>3</v>
      </c>
      <c r="G15" s="18">
        <f ca="1"/>
        <v>0</v>
      </c>
      <c r="H15" s="18">
        <f ca="1"/>
        <v>8</v>
      </c>
      <c r="I15" s="18">
        <f ca="1"/>
        <v>5</v>
      </c>
      <c r="J15" s="18">
        <f ca="1"/>
        <v>3</v>
      </c>
      <c r="K15" s="18">
        <f ca="1"/>
        <v>48</v>
      </c>
      <c r="L15" s="18">
        <f ca="1"/>
        <v>17</v>
      </c>
      <c r="M15" s="18">
        <f ca="1"/>
        <v>0.35416666666666669</v>
      </c>
      <c r="N15" s="18">
        <f ca="1"/>
        <v>0.40384615384615385</v>
      </c>
      <c r="O15" s="18">
        <f ca="1"/>
        <v>0.7</v>
      </c>
      <c r="P15" s="18">
        <f ca="1"/>
        <v>1.075</v>
      </c>
      <c r="Q15" s="18">
        <f ca="1"/>
        <v>3.3750000000000004</v>
      </c>
      <c r="R15" s="18">
        <f ca="1"/>
        <v>1.125</v>
      </c>
      <c r="S15" s="18"/>
      <c r="T15" s="18"/>
    </row>
    <row r="16" spans="1:20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21" spans="1:36">
      <c r="A21" s="57" t="s">
        <v>309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</row>
    <row r="22" spans="1:36">
      <c r="A22" s="58" t="s">
        <v>33</v>
      </c>
      <c r="B22" s="58" t="s">
        <v>129</v>
      </c>
      <c r="C22" s="58" t="s">
        <v>95</v>
      </c>
      <c r="D22" s="58" t="s">
        <v>198</v>
      </c>
      <c r="E22" s="58" t="s">
        <v>199</v>
      </c>
      <c r="F22" s="58" t="s">
        <v>266</v>
      </c>
      <c r="G22" s="58" t="s">
        <v>267</v>
      </c>
      <c r="H22" s="58" t="s">
        <v>175</v>
      </c>
      <c r="I22" s="18" t="s">
        <v>162</v>
      </c>
      <c r="J22" s="18" t="s">
        <v>268</v>
      </c>
      <c r="K22" s="18" t="s">
        <v>269</v>
      </c>
      <c r="L22" s="18" t="s">
        <v>270</v>
      </c>
      <c r="M22" s="18" t="s">
        <v>271</v>
      </c>
      <c r="N22" s="18" t="s">
        <v>195</v>
      </c>
      <c r="O22" s="18" t="s">
        <v>272</v>
      </c>
      <c r="P22" s="18" t="s">
        <v>196</v>
      </c>
      <c r="Q22" s="18" t="s">
        <v>180</v>
      </c>
      <c r="R22" s="18" t="s">
        <v>181</v>
      </c>
      <c r="S22" s="18" t="s">
        <v>273</v>
      </c>
      <c r="T22" s="18" t="s">
        <v>274</v>
      </c>
      <c r="U22" s="18" t="s">
        <v>200</v>
      </c>
      <c r="V22" s="18" t="s">
        <v>201</v>
      </c>
      <c r="W22" s="18" t="s">
        <v>202</v>
      </c>
      <c r="X22" s="18" t="s">
        <v>161</v>
      </c>
      <c r="Y22" s="18" t="s">
        <v>176</v>
      </c>
      <c r="Z22" s="18" t="s">
        <v>177</v>
      </c>
      <c r="AA22" s="18" t="s">
        <v>178</v>
      </c>
      <c r="AB22" s="18" t="s">
        <v>179</v>
      </c>
      <c r="AC22" s="18" t="s">
        <v>275</v>
      </c>
      <c r="AD22" s="18" t="s">
        <v>276</v>
      </c>
      <c r="AE22" s="18" t="s">
        <v>182</v>
      </c>
      <c r="AF22" s="18" t="s">
        <v>183</v>
      </c>
      <c r="AG22" s="18" t="s">
        <v>184</v>
      </c>
      <c r="AH22" s="18" t="s">
        <v>277</v>
      </c>
      <c r="AI22" s="18" t="s">
        <v>197</v>
      </c>
      <c r="AJ22" s="18" t="s">
        <v>203</v>
      </c>
    </row>
    <row r="23" spans="1:36">
      <c r="A23" s="18">
        <f ca="1">IF('Current Player Stats'!$A4="","",Settings!$B$2)</f>
        <v>1</v>
      </c>
      <c r="B23" s="117" t="str">
        <f ca="1">IF('Current Player Stats'!$A4="","",'Current Player Stats'!$A4)</f>
        <v>Nick</v>
      </c>
      <c r="C23" s="18" t="str">
        <f ca="1">IF('Current Player Stats'!$A4="","",'Current Player Stats'!$B4)</f>
        <v>G1</v>
      </c>
      <c r="D23" s="18">
        <f ca="1">IF('Current Player Stats'!$A4="","",'Current Player Stats'!$C4)</f>
        <v>1</v>
      </c>
      <c r="E23" s="18">
        <f ca="1">IF('Current Player Stats'!$A4="","",'Current Player Stats'!$D4)</f>
        <v>0</v>
      </c>
      <c r="F23" s="18">
        <f ca="1">IF('Current Player Stats'!$A4="","",'Current Player Stats'!$E4)</f>
        <v>4</v>
      </c>
      <c r="G23" s="18">
        <f ca="1">IF('Current Player Stats'!$A4="","",'Current Player Stats'!$F4)</f>
        <v>0</v>
      </c>
      <c r="H23" s="18">
        <f ca="1">IF('Current Player Stats'!$A4="","",'Current Player Stats'!$G4)</f>
        <v>14</v>
      </c>
      <c r="I23" s="18">
        <f ca="1">IF('Current Player Stats'!$A4="","",'Current Player Stats'!$H4)</f>
        <v>5</v>
      </c>
      <c r="J23" s="18">
        <f ca="1">IF('Current Player Stats'!$A4="","",'Current Player Stats'!$I4)</f>
        <v>0.35714285714285715</v>
      </c>
      <c r="K23" s="18">
        <f ca="1">IF('Current Player Stats'!$A4="","",'Current Player Stats'!$J4)</f>
        <v>0.35714285714285715</v>
      </c>
      <c r="L23" s="18">
        <f ca="1">IF('Current Player Stats'!$A4="","",'Current Player Stats'!$K4)</f>
        <v>0.8571428571428571</v>
      </c>
      <c r="M23" s="18">
        <f ca="1">IF('Current Player Stats'!$A4="","",'Current Player Stats'!$L4)</f>
        <v>1.2142857142857142</v>
      </c>
      <c r="N23" s="18">
        <f ca="1">IF('Current Player Stats'!$A4="","",'Current Player Stats'!$M4)</f>
        <v>3</v>
      </c>
      <c r="O23" s="18">
        <f ca="1">IF('Current Player Stats'!$A4="","",'Current Player Stats'!$N4)</f>
        <v>0</v>
      </c>
      <c r="P23" s="18">
        <f ca="1">IF('Current Player Stats'!$A4="","",'Current Player Stats'!$O4)</f>
        <v>0</v>
      </c>
      <c r="Q23" s="18">
        <f ca="1">IF('Current Player Stats'!$A4="","",'Current Player Stats'!$P4)</f>
        <v>0</v>
      </c>
      <c r="R23" s="18">
        <f ca="1">IF('Current Player Stats'!$A4="","",'Current Player Stats'!$Q4)</f>
        <v>4</v>
      </c>
      <c r="S23" s="18">
        <f ca="1">IF('Current Player Stats'!$A4="","",'Current Player Stats'!$R4)</f>
        <v>0</v>
      </c>
      <c r="T23" s="18">
        <f ca="1">IF('Current Player Stats'!$A4="","",'Current Player Stats'!$S4)</f>
        <v>0</v>
      </c>
      <c r="U23" s="18">
        <f ca="1">IF('Current Player Stats'!$A4="","",'Current Player Stats'!$T4)</f>
        <v>0</v>
      </c>
      <c r="V23" s="18">
        <f ca="1">IF('Current Player Stats'!$A4="","",'Current Player Stats'!$U4)</f>
        <v>0</v>
      </c>
      <c r="W23" s="18">
        <f ca="1">IF('Current Player Stats'!$A4="","",'Current Player Stats'!$V4)</f>
        <v>0</v>
      </c>
      <c r="X23" s="18">
        <f ca="1">IF('Current Player Stats'!$A4="","",'Current Player Stats'!$W4)</f>
        <v>3</v>
      </c>
      <c r="Y23" s="18">
        <f ca="1">IF('Current Player Stats'!$A4="","",'Current Player Stats'!$X4)</f>
        <v>2</v>
      </c>
      <c r="Z23" s="18">
        <f ca="1">IF('Current Player Stats'!$A4="","",'Current Player Stats'!$Y4)</f>
        <v>1</v>
      </c>
      <c r="AA23" s="18">
        <f ca="1">IF('Current Player Stats'!$A4="","",'Current Player Stats'!$Z4)</f>
        <v>1</v>
      </c>
      <c r="AB23" s="18">
        <f ca="1">IF('Current Player Stats'!$A4="","",'Current Player Stats'!$AA4)</f>
        <v>4</v>
      </c>
      <c r="AC23" s="18">
        <f ca="1">IF('Current Player Stats'!$A4="","",'Current Player Stats'!$AB4)</f>
        <v>0</v>
      </c>
      <c r="AD23" s="18">
        <f ca="1">IF('Current Player Stats'!$A4="","",'Current Player Stats'!$AC4)</f>
        <v>2</v>
      </c>
      <c r="AE23" s="18">
        <f ca="1">IF('Current Player Stats'!$A4="","",'Current Player Stats'!$AD4)</f>
        <v>0</v>
      </c>
      <c r="AF23" s="18">
        <f ca="1">IF('Current Player Stats'!$A4="","",'Current Player Stats'!$AE4)</f>
        <v>0</v>
      </c>
      <c r="AG23" s="18">
        <f ca="1">IF('Current Player Stats'!$A4="","",'Current Player Stats'!$AF4)</f>
        <v>0</v>
      </c>
      <c r="AH23" s="18">
        <f ca="1">IF('Current Player Stats'!$A4="","",'Current Player Stats'!$AG4)</f>
        <v>0</v>
      </c>
      <c r="AI23" s="18">
        <f ca="1">IF('Current Player Stats'!$A4="","",'Current Player Stats'!$AH4)</f>
        <v>0</v>
      </c>
      <c r="AJ23" s="18">
        <f ca="1">IF('Current Player Stats'!$A4="","",'Current Player Stats'!$AI4)</f>
        <v>9</v>
      </c>
    </row>
    <row r="24" spans="1:36">
      <c r="A24" s="18">
        <f ca="1">IF('Current Player Stats'!$A5="","",Settings!$B$2)</f>
        <v>1</v>
      </c>
      <c r="B24" s="117" t="str">
        <f ca="1">IF('Current Player Stats'!$A5="","",'Current Player Stats'!$A5)</f>
        <v>Donovan</v>
      </c>
      <c r="C24" s="18" t="str">
        <f ca="1">IF('Current Player Stats'!$A5="","",'Current Player Stats'!$B5)</f>
        <v>G1</v>
      </c>
      <c r="D24" s="18">
        <f ca="1">IF('Current Player Stats'!$A5="","",'Current Player Stats'!$C5)</f>
        <v>0</v>
      </c>
      <c r="E24" s="18">
        <f ca="1">IF('Current Player Stats'!$A5="","",'Current Player Stats'!$D5)</f>
        <v>1</v>
      </c>
      <c r="F24" s="18">
        <f ca="1">IF('Current Player Stats'!$A5="","",'Current Player Stats'!$E5)</f>
        <v>0</v>
      </c>
      <c r="G24" s="18">
        <f ca="1">IF('Current Player Stats'!$A5="","",'Current Player Stats'!$F5)</f>
        <v>4</v>
      </c>
      <c r="H24" s="18">
        <f ca="1">IF('Current Player Stats'!$A5="","",'Current Player Stats'!$G5)</f>
        <v>9</v>
      </c>
      <c r="I24" s="18">
        <f ca="1">IF('Current Player Stats'!$A5="","",'Current Player Stats'!$H5)</f>
        <v>0</v>
      </c>
      <c r="J24" s="18">
        <f ca="1">IF('Current Player Stats'!$A5="","",'Current Player Stats'!$I5)</f>
        <v>0</v>
      </c>
      <c r="K24" s="18">
        <f ca="1">IF('Current Player Stats'!$A5="","",'Current Player Stats'!$J5)</f>
        <v>0</v>
      </c>
      <c r="L24" s="18">
        <f ca="1">IF('Current Player Stats'!$A5="","",'Current Player Stats'!$K5)</f>
        <v>0</v>
      </c>
      <c r="M24" s="18">
        <f ca="1">IF('Current Player Stats'!$A5="","",'Current Player Stats'!$L5)</f>
        <v>0</v>
      </c>
      <c r="N24" s="18">
        <f ca="1">IF('Current Player Stats'!$A5="","",'Current Player Stats'!$M5)</f>
        <v>3</v>
      </c>
      <c r="O24" s="18">
        <f ca="1">IF('Current Player Stats'!$A5="","",'Current Player Stats'!$N5)</f>
        <v>5</v>
      </c>
      <c r="P24" s="18">
        <f ca="1">IF('Current Player Stats'!$A5="","",'Current Player Stats'!$O5)</f>
        <v>4</v>
      </c>
      <c r="Q24" s="18">
        <f ca="1">IF('Current Player Stats'!$A5="","",'Current Player Stats'!$P5)</f>
        <v>0</v>
      </c>
      <c r="R24" s="18">
        <f ca="1">IF('Current Player Stats'!$A5="","",'Current Player Stats'!$Q5)</f>
        <v>2</v>
      </c>
      <c r="S24" s="18">
        <f ca="1">IF('Current Player Stats'!$A5="","",'Current Player Stats'!$R5)</f>
        <v>12</v>
      </c>
      <c r="T24" s="18">
        <f ca="1">IF('Current Player Stats'!$A5="","",'Current Player Stats'!$S5)</f>
        <v>1.6666666666666667</v>
      </c>
      <c r="U24" s="18">
        <f ca="1">IF('Current Player Stats'!$A5="","",'Current Player Stats'!$T5)</f>
        <v>0</v>
      </c>
      <c r="V24" s="18">
        <f ca="1">IF('Current Player Stats'!$A5="","",'Current Player Stats'!$U5)</f>
        <v>0</v>
      </c>
      <c r="W24" s="18">
        <f ca="1">IF('Current Player Stats'!$A5="","",'Current Player Stats'!$V5)</f>
        <v>1</v>
      </c>
      <c r="X24" s="18">
        <f ca="1">IF('Current Player Stats'!$A5="","",'Current Player Stats'!$W5)</f>
        <v>0</v>
      </c>
      <c r="Y24" s="18">
        <f ca="1">IF('Current Player Stats'!$A5="","",'Current Player Stats'!$X5)</f>
        <v>0</v>
      </c>
      <c r="Z24" s="18">
        <f ca="1">IF('Current Player Stats'!$A5="","",'Current Player Stats'!$Y5)</f>
        <v>0</v>
      </c>
      <c r="AA24" s="18">
        <f ca="1">IF('Current Player Stats'!$A5="","",'Current Player Stats'!$Z5)</f>
        <v>0</v>
      </c>
      <c r="AB24" s="18">
        <f ca="1">IF('Current Player Stats'!$A5="","",'Current Player Stats'!$AA5)</f>
        <v>0</v>
      </c>
      <c r="AC24" s="18">
        <f ca="1">IF('Current Player Stats'!$A5="","",'Current Player Stats'!$AB5)</f>
        <v>0</v>
      </c>
      <c r="AD24" s="18">
        <f ca="1">IF('Current Player Stats'!$A5="","",'Current Player Stats'!$AC5)</f>
        <v>4</v>
      </c>
      <c r="AE24" s="18">
        <f ca="1">IF('Current Player Stats'!$A5="","",'Current Player Stats'!$AD5)</f>
        <v>0</v>
      </c>
      <c r="AF24" s="18">
        <f ca="1">IF('Current Player Stats'!$A5="","",'Current Player Stats'!$AE5)</f>
        <v>0</v>
      </c>
      <c r="AG24" s="18">
        <f ca="1">IF('Current Player Stats'!$A5="","",'Current Player Stats'!$AF5)</f>
        <v>0</v>
      </c>
      <c r="AH24" s="18">
        <f ca="1">IF('Current Player Stats'!$A5="","",'Current Player Stats'!$AG5)</f>
        <v>4</v>
      </c>
      <c r="AI24" s="18">
        <f ca="1">IF('Current Player Stats'!$A5="","",'Current Player Stats'!$AH5)</f>
        <v>1</v>
      </c>
      <c r="AJ24" s="18">
        <f ca="1">IF('Current Player Stats'!$A5="","",'Current Player Stats'!$AI5)</f>
        <v>14</v>
      </c>
    </row>
    <row r="25" spans="1:36">
      <c r="A25" s="18">
        <f ca="1">IF('Current Player Stats'!$A6="","",Settings!$B$2)</f>
        <v>1</v>
      </c>
      <c r="B25" s="117" t="str">
        <f ca="1">IF('Current Player Stats'!$A6="","",'Current Player Stats'!$A6)</f>
        <v>Aidan</v>
      </c>
      <c r="C25" s="18" t="str">
        <f ca="1">IF('Current Player Stats'!$A6="","",'Current Player Stats'!$B6)</f>
        <v>G2</v>
      </c>
      <c r="D25" s="18">
        <f ca="1">IF('Current Player Stats'!$A6="","",'Current Player Stats'!$C6)</f>
        <v>1</v>
      </c>
      <c r="E25" s="18">
        <f ca="1">IF('Current Player Stats'!$A6="","",'Current Player Stats'!$D6)</f>
        <v>0</v>
      </c>
      <c r="F25" s="18">
        <f ca="1">IF('Current Player Stats'!$A6="","",'Current Player Stats'!$E6)</f>
        <v>4</v>
      </c>
      <c r="G25" s="18">
        <f ca="1">IF('Current Player Stats'!$A6="","",'Current Player Stats'!$F6)</f>
        <v>3</v>
      </c>
      <c r="H25" s="18">
        <f ca="1">IF('Current Player Stats'!$A6="","",'Current Player Stats'!$G6)</f>
        <v>13</v>
      </c>
      <c r="I25" s="18">
        <f ca="1">IF('Current Player Stats'!$A6="","",'Current Player Stats'!$H6)</f>
        <v>7</v>
      </c>
      <c r="J25" s="18">
        <f ca="1">IF('Current Player Stats'!$A6="","",'Current Player Stats'!$I6)</f>
        <v>0.53846153846153844</v>
      </c>
      <c r="K25" s="18">
        <f ca="1">IF('Current Player Stats'!$A6="","",'Current Player Stats'!$J6)</f>
        <v>0.53846153846153844</v>
      </c>
      <c r="L25" s="18">
        <f ca="1">IF('Current Player Stats'!$A6="","",'Current Player Stats'!$K6)</f>
        <v>1.1538461538461537</v>
      </c>
      <c r="M25" s="18">
        <f ca="1">IF('Current Player Stats'!$A6="","",'Current Player Stats'!$L6)</f>
        <v>1.6923076923076921</v>
      </c>
      <c r="N25" s="18">
        <f ca="1">IF('Current Player Stats'!$A6="","",'Current Player Stats'!$M6)</f>
        <v>3</v>
      </c>
      <c r="O25" s="18">
        <f ca="1">IF('Current Player Stats'!$A6="","",'Current Player Stats'!$N6)</f>
        <v>5</v>
      </c>
      <c r="P25" s="18">
        <f ca="1">IF('Current Player Stats'!$A6="","",'Current Player Stats'!$O6)</f>
        <v>3</v>
      </c>
      <c r="Q25" s="18">
        <f ca="1">IF('Current Player Stats'!$A6="","",'Current Player Stats'!$P6)</f>
        <v>0</v>
      </c>
      <c r="R25" s="18">
        <f ca="1">IF('Current Player Stats'!$A6="","",'Current Player Stats'!$Q6)</f>
        <v>5</v>
      </c>
      <c r="S25" s="18">
        <f ca="1">IF('Current Player Stats'!$A6="","",'Current Player Stats'!$R6)</f>
        <v>9</v>
      </c>
      <c r="T25" s="18">
        <f ca="1">IF('Current Player Stats'!$A6="","",'Current Player Stats'!$S6)</f>
        <v>1.6666666666666667</v>
      </c>
      <c r="U25" s="18">
        <f ca="1">IF('Current Player Stats'!$A6="","",'Current Player Stats'!$T6)</f>
        <v>1</v>
      </c>
      <c r="V25" s="18">
        <f ca="1">IF('Current Player Stats'!$A6="","",'Current Player Stats'!$U6)</f>
        <v>0</v>
      </c>
      <c r="W25" s="18">
        <f ca="1">IF('Current Player Stats'!$A6="","",'Current Player Stats'!$V6)</f>
        <v>0</v>
      </c>
      <c r="X25" s="18">
        <f ca="1">IF('Current Player Stats'!$A6="","",'Current Player Stats'!$W6)</f>
        <v>5</v>
      </c>
      <c r="Y25" s="18">
        <f ca="1">IF('Current Player Stats'!$A6="","",'Current Player Stats'!$X6)</f>
        <v>0</v>
      </c>
      <c r="Z25" s="18">
        <f ca="1">IF('Current Player Stats'!$A6="","",'Current Player Stats'!$Y6)</f>
        <v>1</v>
      </c>
      <c r="AA25" s="18">
        <f ca="1">IF('Current Player Stats'!$A6="","",'Current Player Stats'!$Z6)</f>
        <v>2</v>
      </c>
      <c r="AB25" s="18">
        <f ca="1">IF('Current Player Stats'!$A6="","",'Current Player Stats'!$AA6)</f>
        <v>4</v>
      </c>
      <c r="AC25" s="18">
        <f ca="1">IF('Current Player Stats'!$A6="","",'Current Player Stats'!$AB6)</f>
        <v>0</v>
      </c>
      <c r="AD25" s="18">
        <f ca="1">IF('Current Player Stats'!$A6="","",'Current Player Stats'!$AC6)</f>
        <v>1</v>
      </c>
      <c r="AE25" s="18">
        <f ca="1">IF('Current Player Stats'!$A6="","",'Current Player Stats'!$AD6)</f>
        <v>0</v>
      </c>
      <c r="AF25" s="18">
        <f ca="1">IF('Current Player Stats'!$A6="","",'Current Player Stats'!$AE6)</f>
        <v>0</v>
      </c>
      <c r="AG25" s="18">
        <f ca="1">IF('Current Player Stats'!$A6="","",'Current Player Stats'!$AF6)</f>
        <v>0</v>
      </c>
      <c r="AH25" s="18">
        <f ca="1">IF('Current Player Stats'!$A6="","",'Current Player Stats'!$AG6)</f>
        <v>3</v>
      </c>
      <c r="AI25" s="18">
        <f ca="1">IF('Current Player Stats'!$A6="","",'Current Player Stats'!$AH6)</f>
        <v>3</v>
      </c>
      <c r="AJ25" s="18">
        <f ca="1">IF('Current Player Stats'!$A6="","",'Current Player Stats'!$AI6)</f>
        <v>14</v>
      </c>
    </row>
    <row r="26" spans="1:36">
      <c r="A26" s="18">
        <f ca="1">IF('Current Player Stats'!$A7="","",Settings!$B$2)</f>
        <v>1</v>
      </c>
      <c r="B26" s="117" t="str">
        <f ca="1">IF('Current Player Stats'!$A7="","",'Current Player Stats'!$A7)</f>
        <v>Justin</v>
      </c>
      <c r="C26" s="18" t="str">
        <f ca="1">IF('Current Player Stats'!$A7="","",'Current Player Stats'!$B7)</f>
        <v>G2</v>
      </c>
      <c r="D26" s="18">
        <f ca="1">IF('Current Player Stats'!$A7="","",'Current Player Stats'!$C7)</f>
        <v>0</v>
      </c>
      <c r="E26" s="18">
        <f ca="1">IF('Current Player Stats'!$A7="","",'Current Player Stats'!$D7)</f>
        <v>1</v>
      </c>
      <c r="F26" s="18">
        <f ca="1">IF('Current Player Stats'!$A7="","",'Current Player Stats'!$E7)</f>
        <v>3</v>
      </c>
      <c r="G26" s="18">
        <f ca="1">IF('Current Player Stats'!$A7="","",'Current Player Stats'!$F7)</f>
        <v>4</v>
      </c>
      <c r="H26" s="18">
        <f ca="1">IF('Current Player Stats'!$A7="","",'Current Player Stats'!$G7)</f>
        <v>14</v>
      </c>
      <c r="I26" s="18">
        <f ca="1">IF('Current Player Stats'!$A7="","",'Current Player Stats'!$H7)</f>
        <v>5</v>
      </c>
      <c r="J26" s="18">
        <f ca="1">IF('Current Player Stats'!$A7="","",'Current Player Stats'!$I7)</f>
        <v>0.35714285714285715</v>
      </c>
      <c r="K26" s="18">
        <f ca="1">IF('Current Player Stats'!$A7="","",'Current Player Stats'!$J7)</f>
        <v>0.35714285714285715</v>
      </c>
      <c r="L26" s="18">
        <f ca="1">IF('Current Player Stats'!$A7="","",'Current Player Stats'!$K7)</f>
        <v>1.0714285714285714</v>
      </c>
      <c r="M26" s="18">
        <f ca="1">IF('Current Player Stats'!$A7="","",'Current Player Stats'!$L7)</f>
        <v>1.4285714285714286</v>
      </c>
      <c r="N26" s="18">
        <f ca="1">IF('Current Player Stats'!$A7="","",'Current Player Stats'!$M7)</f>
        <v>2.1</v>
      </c>
      <c r="O26" s="18">
        <f ca="1">IF('Current Player Stats'!$A7="","",'Current Player Stats'!$N7)</f>
        <v>7</v>
      </c>
      <c r="P26" s="18">
        <f ca="1">IF('Current Player Stats'!$A7="","",'Current Player Stats'!$O7)</f>
        <v>4</v>
      </c>
      <c r="Q26" s="18">
        <f ca="1">IF('Current Player Stats'!$A7="","",'Current Player Stats'!$P7)</f>
        <v>0</v>
      </c>
      <c r="R26" s="18">
        <f ca="1">IF('Current Player Stats'!$A7="","",'Current Player Stats'!$Q7)</f>
        <v>1</v>
      </c>
      <c r="S26" s="18">
        <f ca="1">IF('Current Player Stats'!$A7="","",'Current Player Stats'!$R7)</f>
        <v>15.428571428571427</v>
      </c>
      <c r="T26" s="18">
        <f ca="1">IF('Current Player Stats'!$A7="","",'Current Player Stats'!$S7)</f>
        <v>3</v>
      </c>
      <c r="U26" s="18">
        <f ca="1">IF('Current Player Stats'!$A7="","",'Current Player Stats'!$T7)</f>
        <v>0</v>
      </c>
      <c r="V26" s="18">
        <f ca="1">IF('Current Player Stats'!$A7="","",'Current Player Stats'!$U7)</f>
        <v>0</v>
      </c>
      <c r="W26" s="18">
        <f ca="1">IF('Current Player Stats'!$A7="","",'Current Player Stats'!$V7)</f>
        <v>1</v>
      </c>
      <c r="X26" s="18">
        <f ca="1">IF('Current Player Stats'!$A7="","",'Current Player Stats'!$W7)</f>
        <v>4</v>
      </c>
      <c r="Y26" s="18">
        <f ca="1">IF('Current Player Stats'!$A7="","",'Current Player Stats'!$X7)</f>
        <v>1</v>
      </c>
      <c r="Z26" s="18">
        <f ca="1">IF('Current Player Stats'!$A7="","",'Current Player Stats'!$Y7)</f>
        <v>0</v>
      </c>
      <c r="AA26" s="18">
        <f ca="1">IF('Current Player Stats'!$A7="","",'Current Player Stats'!$Z7)</f>
        <v>3</v>
      </c>
      <c r="AB26" s="18">
        <f ca="1">IF('Current Player Stats'!$A7="","",'Current Player Stats'!$AA7)</f>
        <v>3</v>
      </c>
      <c r="AC26" s="18">
        <f ca="1">IF('Current Player Stats'!$A7="","",'Current Player Stats'!$AB7)</f>
        <v>0</v>
      </c>
      <c r="AD26" s="18">
        <f ca="1">IF('Current Player Stats'!$A7="","",'Current Player Stats'!$AC7)</f>
        <v>5</v>
      </c>
      <c r="AE26" s="18">
        <f ca="1">IF('Current Player Stats'!$A7="","",'Current Player Stats'!$AD7)</f>
        <v>0</v>
      </c>
      <c r="AF26" s="18">
        <f ca="1">IF('Current Player Stats'!$A7="","",'Current Player Stats'!$AE7)</f>
        <v>0</v>
      </c>
      <c r="AG26" s="18">
        <f ca="1">IF('Current Player Stats'!$A7="","",'Current Player Stats'!$AF7)</f>
        <v>0</v>
      </c>
      <c r="AH26" s="18">
        <f ca="1">IF('Current Player Stats'!$A7="","",'Current Player Stats'!$AG7)</f>
        <v>4</v>
      </c>
      <c r="AI26" s="18">
        <f ca="1">IF('Current Player Stats'!$A7="","",'Current Player Stats'!$AH7)</f>
        <v>2</v>
      </c>
      <c r="AJ26" s="18">
        <f ca="1">IF('Current Player Stats'!$A7="","",'Current Player Stats'!$AI7)</f>
        <v>13</v>
      </c>
    </row>
    <row r="27" spans="1:36">
      <c r="A27" s="18">
        <f ca="1">IF('Current Player Stats'!$A8="","",Settings!$B$2)</f>
        <v>1</v>
      </c>
      <c r="B27" s="117" t="str">
        <f ca="1">IF('Current Player Stats'!$A8="","",'Current Player Stats'!$A8)</f>
        <v>May</v>
      </c>
      <c r="C27" s="18" t="str">
        <f ca="1">IF('Current Player Stats'!$A8="","",'Current Player Stats'!$B8)</f>
        <v>G3</v>
      </c>
      <c r="D27" s="18">
        <f ca="1">IF('Current Player Stats'!$A8="","",'Current Player Stats'!$C8)</f>
        <v>0</v>
      </c>
      <c r="E27" s="18">
        <f ca="1">IF('Current Player Stats'!$A8="","",'Current Player Stats'!$D8)</f>
        <v>1</v>
      </c>
      <c r="F27" s="18">
        <f ca="1">IF('Current Player Stats'!$A8="","",'Current Player Stats'!$E8)</f>
        <v>1</v>
      </c>
      <c r="G27" s="18">
        <f ca="1">IF('Current Player Stats'!$A8="","",'Current Player Stats'!$F8)</f>
        <v>2</v>
      </c>
      <c r="H27" s="18">
        <f ca="1">IF('Current Player Stats'!$A8="","",'Current Player Stats'!$G8)</f>
        <v>18</v>
      </c>
      <c r="I27" s="18">
        <f ca="1">IF('Current Player Stats'!$A8="","",'Current Player Stats'!$H8)</f>
        <v>7</v>
      </c>
      <c r="J27" s="18">
        <f ca="1">IF('Current Player Stats'!$A8="","",'Current Player Stats'!$I8)</f>
        <v>0.3888888888888889</v>
      </c>
      <c r="K27" s="18">
        <f ca="1">IF('Current Player Stats'!$A8="","",'Current Player Stats'!$J8)</f>
        <v>0.42105263157894735</v>
      </c>
      <c r="L27" s="18">
        <f ca="1">IF('Current Player Stats'!$A8="","",'Current Player Stats'!$K8)</f>
        <v>0.44444444444444442</v>
      </c>
      <c r="M27" s="18">
        <f ca="1">IF('Current Player Stats'!$A8="","",'Current Player Stats'!$L8)</f>
        <v>0.86549707602339176</v>
      </c>
      <c r="N27" s="18">
        <f ca="1">IF('Current Player Stats'!$A8="","",'Current Player Stats'!$M8)</f>
        <v>4</v>
      </c>
      <c r="O27" s="18">
        <f ca="1">IF('Current Player Stats'!$A8="","",'Current Player Stats'!$N8)</f>
        <v>5</v>
      </c>
      <c r="P27" s="18">
        <f ca="1">IF('Current Player Stats'!$A8="","",'Current Player Stats'!$O8)</f>
        <v>2</v>
      </c>
      <c r="Q27" s="18">
        <f ca="1">IF('Current Player Stats'!$A8="","",'Current Player Stats'!$P8)</f>
        <v>0</v>
      </c>
      <c r="R27" s="18">
        <f ca="1">IF('Current Player Stats'!$A8="","",'Current Player Stats'!$Q8)</f>
        <v>2</v>
      </c>
      <c r="S27" s="18">
        <f ca="1">IF('Current Player Stats'!$A8="","",'Current Player Stats'!$R8)</f>
        <v>4.5</v>
      </c>
      <c r="T27" s="18">
        <f ca="1">IF('Current Player Stats'!$A8="","",'Current Player Stats'!$S8)</f>
        <v>1.25</v>
      </c>
      <c r="U27" s="18">
        <f ca="1">IF('Current Player Stats'!$A8="","",'Current Player Stats'!$T8)</f>
        <v>0</v>
      </c>
      <c r="V27" s="18">
        <f ca="1">IF('Current Player Stats'!$A8="","",'Current Player Stats'!$U8)</f>
        <v>0</v>
      </c>
      <c r="W27" s="18">
        <f ca="1">IF('Current Player Stats'!$A8="","",'Current Player Stats'!$V8)</f>
        <v>0</v>
      </c>
      <c r="X27" s="18">
        <f ca="1">IF('Current Player Stats'!$A8="","",'Current Player Stats'!$W8)</f>
        <v>1</v>
      </c>
      <c r="Y27" s="18">
        <f ca="1">IF('Current Player Stats'!$A8="","",'Current Player Stats'!$X8)</f>
        <v>1</v>
      </c>
      <c r="Z27" s="18">
        <f ca="1">IF('Current Player Stats'!$A8="","",'Current Player Stats'!$Y8)</f>
        <v>0</v>
      </c>
      <c r="AA27" s="18">
        <f ca="1">IF('Current Player Stats'!$A8="","",'Current Player Stats'!$Z8)</f>
        <v>0</v>
      </c>
      <c r="AB27" s="18">
        <f ca="1">IF('Current Player Stats'!$A8="","",'Current Player Stats'!$AA8)</f>
        <v>1</v>
      </c>
      <c r="AC27" s="18">
        <f ca="1">IF('Current Player Stats'!$A8="","",'Current Player Stats'!$AB8)</f>
        <v>1</v>
      </c>
      <c r="AD27" s="18">
        <f ca="1">IF('Current Player Stats'!$A8="","",'Current Player Stats'!$AC8)</f>
        <v>1</v>
      </c>
      <c r="AE27" s="18">
        <f ca="1">IF('Current Player Stats'!$A8="","",'Current Player Stats'!$AD8)</f>
        <v>0</v>
      </c>
      <c r="AF27" s="18">
        <f ca="1">IF('Current Player Stats'!$A8="","",'Current Player Stats'!$AE8)</f>
        <v>0</v>
      </c>
      <c r="AG27" s="18">
        <f ca="1">IF('Current Player Stats'!$A8="","",'Current Player Stats'!$AF8)</f>
        <v>0</v>
      </c>
      <c r="AH27" s="18">
        <f ca="1">IF('Current Player Stats'!$A8="","",'Current Player Stats'!$AG8)</f>
        <v>2</v>
      </c>
      <c r="AI27" s="18">
        <f ca="1">IF('Current Player Stats'!$A8="","",'Current Player Stats'!$AH8)</f>
        <v>1</v>
      </c>
      <c r="AJ27" s="18">
        <f ca="1">IF('Current Player Stats'!$A8="","",'Current Player Stats'!$AI8)</f>
        <v>18</v>
      </c>
    </row>
    <row r="28" spans="1:36">
      <c r="A28" s="18">
        <f ca="1">IF('Current Player Stats'!$A9="","",Settings!$B$2)</f>
        <v>1</v>
      </c>
      <c r="B28" s="117" t="str">
        <f ca="1">IF('Current Player Stats'!$A9="","",'Current Player Stats'!$A9)</f>
        <v>Nick</v>
      </c>
      <c r="C28" s="18" t="str">
        <f ca="1">IF('Current Player Stats'!$A9="","",'Current Player Stats'!$B9)</f>
        <v>G3</v>
      </c>
      <c r="D28" s="18">
        <f ca="1">IF('Current Player Stats'!$A9="","",'Current Player Stats'!$C9)</f>
        <v>1</v>
      </c>
      <c r="E28" s="18">
        <f ca="1">IF('Current Player Stats'!$A9="","",'Current Player Stats'!$D9)</f>
        <v>0</v>
      </c>
      <c r="F28" s="18">
        <f ca="1">IF('Current Player Stats'!$A9="","",'Current Player Stats'!$E9)</f>
        <v>2</v>
      </c>
      <c r="G28" s="18">
        <f ca="1">IF('Current Player Stats'!$A9="","",'Current Player Stats'!$F9)</f>
        <v>1</v>
      </c>
      <c r="H28" s="18">
        <f ca="1">IF('Current Player Stats'!$A9="","",'Current Player Stats'!$G9)</f>
        <v>16</v>
      </c>
      <c r="I28" s="18">
        <f ca="1">IF('Current Player Stats'!$A9="","",'Current Player Stats'!$H9)</f>
        <v>5</v>
      </c>
      <c r="J28" s="18">
        <f ca="1">IF('Current Player Stats'!$A9="","",'Current Player Stats'!$I9)</f>
        <v>0.3125</v>
      </c>
      <c r="K28" s="18">
        <f ca="1">IF('Current Player Stats'!$A9="","",'Current Player Stats'!$J9)</f>
        <v>0.3888888888888889</v>
      </c>
      <c r="L28" s="18">
        <f ca="1">IF('Current Player Stats'!$A9="","",'Current Player Stats'!$K9)</f>
        <v>0.5625</v>
      </c>
      <c r="M28" s="18">
        <f ca="1">IF('Current Player Stats'!$A9="","",'Current Player Stats'!$L9)</f>
        <v>0.95138888888888884</v>
      </c>
      <c r="N28" s="18">
        <f ca="1">IF('Current Player Stats'!$A9="","",'Current Player Stats'!$M9)</f>
        <v>3.1</v>
      </c>
      <c r="O28" s="18">
        <f ca="1">IF('Current Player Stats'!$A9="","",'Current Player Stats'!$N9)</f>
        <v>6</v>
      </c>
      <c r="P28" s="18">
        <f ca="1">IF('Current Player Stats'!$A9="","",'Current Player Stats'!$O9)</f>
        <v>1</v>
      </c>
      <c r="Q28" s="18">
        <f ca="1">IF('Current Player Stats'!$A9="","",'Current Player Stats'!$P9)</f>
        <v>1</v>
      </c>
      <c r="R28" s="18">
        <f ca="1">IF('Current Player Stats'!$A9="","",'Current Player Stats'!$Q9)</f>
        <v>0</v>
      </c>
      <c r="S28" s="18">
        <f ca="1">IF('Current Player Stats'!$A9="","",'Current Player Stats'!$R9)</f>
        <v>2.6999999999999997</v>
      </c>
      <c r="T28" s="18">
        <f ca="1">IF('Current Player Stats'!$A9="","",'Current Player Stats'!$S9)</f>
        <v>2.1</v>
      </c>
      <c r="U28" s="18">
        <f ca="1">IF('Current Player Stats'!$A9="","",'Current Player Stats'!$T9)</f>
        <v>0</v>
      </c>
      <c r="V28" s="18">
        <f ca="1">IF('Current Player Stats'!$A9="","",'Current Player Stats'!$U9)</f>
        <v>0</v>
      </c>
      <c r="W28" s="18">
        <f ca="1">IF('Current Player Stats'!$A9="","",'Current Player Stats'!$V9)</f>
        <v>0</v>
      </c>
      <c r="X28" s="18">
        <f ca="1">IF('Current Player Stats'!$A9="","",'Current Player Stats'!$W9)</f>
        <v>2</v>
      </c>
      <c r="Y28" s="18">
        <f ca="1">IF('Current Player Stats'!$A9="","",'Current Player Stats'!$X9)</f>
        <v>1</v>
      </c>
      <c r="Z28" s="18">
        <f ca="1">IF('Current Player Stats'!$A9="","",'Current Player Stats'!$Y9)</f>
        <v>0</v>
      </c>
      <c r="AA28" s="18">
        <f ca="1">IF('Current Player Stats'!$A9="","",'Current Player Stats'!$Z9)</f>
        <v>1</v>
      </c>
      <c r="AB28" s="18">
        <f ca="1">IF('Current Player Stats'!$A9="","",'Current Player Stats'!$AA9)</f>
        <v>2</v>
      </c>
      <c r="AC28" s="18">
        <f ca="1">IF('Current Player Stats'!$A9="","",'Current Player Stats'!$AB9)</f>
        <v>0</v>
      </c>
      <c r="AD28" s="18">
        <f ca="1">IF('Current Player Stats'!$A9="","",'Current Player Stats'!$AC9)</f>
        <v>2</v>
      </c>
      <c r="AE28" s="18">
        <f ca="1">IF('Current Player Stats'!$A9="","",'Current Player Stats'!$AD9)</f>
        <v>2</v>
      </c>
      <c r="AF28" s="18">
        <f ca="1">IF('Current Player Stats'!$A9="","",'Current Player Stats'!$AE9)</f>
        <v>0</v>
      </c>
      <c r="AG28" s="18">
        <f ca="1">IF('Current Player Stats'!$A9="","",'Current Player Stats'!$AF9)</f>
        <v>0</v>
      </c>
      <c r="AH28" s="18">
        <f ca="1">IF('Current Player Stats'!$A9="","",'Current Player Stats'!$AG9)</f>
        <v>1</v>
      </c>
      <c r="AI28" s="18">
        <f ca="1">IF('Current Player Stats'!$A9="","",'Current Player Stats'!$AH9)</f>
        <v>0</v>
      </c>
      <c r="AJ28" s="18">
        <f ca="1">IF('Current Player Stats'!$A9="","",'Current Player Stats'!$AI9)</f>
        <v>16</v>
      </c>
    </row>
    <row r="29" spans="1:36">
      <c r="A29" s="18">
        <f ca="1">IF('Current Player Stats'!$A10="","",Settings!$B$2)</f>
        <v>1</v>
      </c>
      <c r="B29" s="117" t="str">
        <f ca="1">IF('Current Player Stats'!$A10="","",'Current Player Stats'!$A10)</f>
        <v>Jason</v>
      </c>
      <c r="C29" s="18" t="str">
        <f ca="1">IF('Current Player Stats'!$A10="","",'Current Player Stats'!$B10)</f>
        <v>G4</v>
      </c>
      <c r="D29" s="18">
        <f ca="1">IF('Current Player Stats'!$A10="","",'Current Player Stats'!$C10)</f>
        <v>1</v>
      </c>
      <c r="E29" s="18">
        <f ca="1">IF('Current Player Stats'!$A10="","",'Current Player Stats'!$D10)</f>
        <v>0</v>
      </c>
      <c r="F29" s="18">
        <f ca="1">IF('Current Player Stats'!$A10="","",'Current Player Stats'!$E10)</f>
        <v>5</v>
      </c>
      <c r="G29" s="18">
        <f ca="1">IF('Current Player Stats'!$A10="","",'Current Player Stats'!$F10)</f>
        <v>2</v>
      </c>
      <c r="H29" s="18">
        <f ca="1">IF('Current Player Stats'!$A10="","",'Current Player Stats'!$G10)</f>
        <v>16</v>
      </c>
      <c r="I29" s="18">
        <f ca="1">IF('Current Player Stats'!$A10="","",'Current Player Stats'!$H10)</f>
        <v>8</v>
      </c>
      <c r="J29" s="18">
        <f ca="1">IF('Current Player Stats'!$A10="","",'Current Player Stats'!$I10)</f>
        <v>0.5</v>
      </c>
      <c r="K29" s="18">
        <f ca="1">IF('Current Player Stats'!$A10="","",'Current Player Stats'!$J10)</f>
        <v>0.52941176470588236</v>
      </c>
      <c r="L29" s="18">
        <f ca="1">IF('Current Player Stats'!$A10="","",'Current Player Stats'!$K10)</f>
        <v>1.5</v>
      </c>
      <c r="M29" s="18">
        <f ca="1">IF('Current Player Stats'!$A10="","",'Current Player Stats'!$L10)</f>
        <v>2.0294117647058822</v>
      </c>
      <c r="N29" s="18">
        <f ca="1">IF('Current Player Stats'!$A10="","",'Current Player Stats'!$M10)</f>
        <v>3</v>
      </c>
      <c r="O29" s="18">
        <f ca="1">IF('Current Player Stats'!$A10="","",'Current Player Stats'!$N10)</f>
        <v>3</v>
      </c>
      <c r="P29" s="18">
        <f ca="1">IF('Current Player Stats'!$A10="","",'Current Player Stats'!$O10)</f>
        <v>2</v>
      </c>
      <c r="Q29" s="18">
        <f ca="1">IF('Current Player Stats'!$A10="","",'Current Player Stats'!$P10)</f>
        <v>0</v>
      </c>
      <c r="R29" s="18">
        <f ca="1">IF('Current Player Stats'!$A10="","",'Current Player Stats'!$Q10)</f>
        <v>3</v>
      </c>
      <c r="S29" s="18">
        <f ca="1">IF('Current Player Stats'!$A10="","",'Current Player Stats'!$R10)</f>
        <v>6</v>
      </c>
      <c r="T29" s="18">
        <f ca="1">IF('Current Player Stats'!$A10="","",'Current Player Stats'!$S10)</f>
        <v>1</v>
      </c>
      <c r="U29" s="18">
        <f ca="1">IF('Current Player Stats'!$A10="","",'Current Player Stats'!$T10)</f>
        <v>1</v>
      </c>
      <c r="V29" s="18">
        <f ca="1">IF('Current Player Stats'!$A10="","",'Current Player Stats'!$U10)</f>
        <v>0</v>
      </c>
      <c r="W29" s="18">
        <f ca="1">IF('Current Player Stats'!$A10="","",'Current Player Stats'!$V10)</f>
        <v>0</v>
      </c>
      <c r="X29" s="18">
        <f ca="1">IF('Current Player Stats'!$A10="","",'Current Player Stats'!$W10)</f>
        <v>6</v>
      </c>
      <c r="Y29" s="18">
        <f ca="1">IF('Current Player Stats'!$A10="","",'Current Player Stats'!$X10)</f>
        <v>1</v>
      </c>
      <c r="Z29" s="18">
        <f ca="1">IF('Current Player Stats'!$A10="","",'Current Player Stats'!$Y10)</f>
        <v>0</v>
      </c>
      <c r="AA29" s="18">
        <f ca="1">IF('Current Player Stats'!$A10="","",'Current Player Stats'!$Z10)</f>
        <v>5</v>
      </c>
      <c r="AB29" s="18">
        <f ca="1">IF('Current Player Stats'!$A10="","",'Current Player Stats'!$AA10)</f>
        <v>5</v>
      </c>
      <c r="AC29" s="18">
        <f ca="1">IF('Current Player Stats'!$A10="","",'Current Player Stats'!$AB10)</f>
        <v>0</v>
      </c>
      <c r="AD29" s="18">
        <f ca="1">IF('Current Player Stats'!$A10="","",'Current Player Stats'!$AC10)</f>
        <v>3</v>
      </c>
      <c r="AE29" s="18">
        <f ca="1">IF('Current Player Stats'!$A10="","",'Current Player Stats'!$AD10)</f>
        <v>1</v>
      </c>
      <c r="AF29" s="18">
        <f ca="1">IF('Current Player Stats'!$A10="","",'Current Player Stats'!$AE10)</f>
        <v>0</v>
      </c>
      <c r="AG29" s="18">
        <f ca="1">IF('Current Player Stats'!$A10="","",'Current Player Stats'!$AF10)</f>
        <v>0</v>
      </c>
      <c r="AH29" s="18">
        <f ca="1">IF('Current Player Stats'!$A10="","",'Current Player Stats'!$AG10)</f>
        <v>2</v>
      </c>
      <c r="AI29" s="18">
        <f ca="1">IF('Current Player Stats'!$A10="","",'Current Player Stats'!$AH10)</f>
        <v>1</v>
      </c>
      <c r="AJ29" s="18">
        <f ca="1">IF('Current Player Stats'!$A10="","",'Current Player Stats'!$AI10)</f>
        <v>12</v>
      </c>
    </row>
    <row r="30" spans="1:36">
      <c r="A30" s="18">
        <f ca="1">IF('Current Player Stats'!$A11="","",Settings!$B$2)</f>
        <v>1</v>
      </c>
      <c r="B30" s="117" t="str">
        <f ca="1">IF('Current Player Stats'!$A11="","",'Current Player Stats'!$A11)</f>
        <v>Aidan</v>
      </c>
      <c r="C30" s="18" t="str">
        <f ca="1">IF('Current Player Stats'!$A11="","",'Current Player Stats'!$B11)</f>
        <v>G4</v>
      </c>
      <c r="D30" s="18">
        <f ca="1">IF('Current Player Stats'!$A11="","",'Current Player Stats'!$C11)</f>
        <v>0</v>
      </c>
      <c r="E30" s="18">
        <f ca="1">IF('Current Player Stats'!$A11="","",'Current Player Stats'!$D11)</f>
        <v>1</v>
      </c>
      <c r="F30" s="18">
        <f ca="1">IF('Current Player Stats'!$A11="","",'Current Player Stats'!$E11)</f>
        <v>2</v>
      </c>
      <c r="G30" s="18">
        <f ca="1">IF('Current Player Stats'!$A11="","",'Current Player Stats'!$F11)</f>
        <v>5</v>
      </c>
      <c r="H30" s="18">
        <f ca="1">IF('Current Player Stats'!$A11="","",'Current Player Stats'!$G11)</f>
        <v>12</v>
      </c>
      <c r="I30" s="18">
        <f ca="1">IF('Current Player Stats'!$A11="","",'Current Player Stats'!$H11)</f>
        <v>3</v>
      </c>
      <c r="J30" s="18">
        <f ca="1">IF('Current Player Stats'!$A11="","",'Current Player Stats'!$I11)</f>
        <v>0.25</v>
      </c>
      <c r="K30" s="18">
        <f ca="1">IF('Current Player Stats'!$A11="","",'Current Player Stats'!$J11)</f>
        <v>0.25</v>
      </c>
      <c r="L30" s="18">
        <f ca="1">IF('Current Player Stats'!$A11="","",'Current Player Stats'!$K11)</f>
        <v>0.58333333333333337</v>
      </c>
      <c r="M30" s="18">
        <f ca="1">IF('Current Player Stats'!$A11="","",'Current Player Stats'!$L11)</f>
        <v>0.83333333333333337</v>
      </c>
      <c r="N30" s="18">
        <f ca="1">IF('Current Player Stats'!$A11="","",'Current Player Stats'!$M11)</f>
        <v>3</v>
      </c>
      <c r="O30" s="18">
        <f ca="1">IF('Current Player Stats'!$A11="","",'Current Player Stats'!$N11)</f>
        <v>8</v>
      </c>
      <c r="P30" s="18">
        <f ca="1">IF('Current Player Stats'!$A11="","",'Current Player Stats'!$O11)</f>
        <v>5</v>
      </c>
      <c r="Q30" s="18">
        <f ca="1">IF('Current Player Stats'!$A11="","",'Current Player Stats'!$P11)</f>
        <v>0</v>
      </c>
      <c r="R30" s="18">
        <f ca="1">IF('Current Player Stats'!$A11="","",'Current Player Stats'!$Q11)</f>
        <v>3</v>
      </c>
      <c r="S30" s="18">
        <f ca="1">IF('Current Player Stats'!$A11="","",'Current Player Stats'!$R11)</f>
        <v>0</v>
      </c>
      <c r="T30" s="18">
        <f ca="1">IF('Current Player Stats'!$A11="","",'Current Player Stats'!$S11)</f>
        <v>2.6666666666666665</v>
      </c>
      <c r="U30" s="18">
        <f ca="1">IF('Current Player Stats'!$A11="","",'Current Player Stats'!$T11)</f>
        <v>0</v>
      </c>
      <c r="V30" s="18">
        <f ca="1">IF('Current Player Stats'!$A11="","",'Current Player Stats'!$U11)</f>
        <v>0</v>
      </c>
      <c r="W30" s="18">
        <f ca="1">IF('Current Player Stats'!$A11="","",'Current Player Stats'!$V11)</f>
        <v>0</v>
      </c>
      <c r="X30" s="18">
        <f ca="1">IF('Current Player Stats'!$A11="","",'Current Player Stats'!$W11)</f>
        <v>2</v>
      </c>
      <c r="Y30" s="18">
        <f ca="1">IF('Current Player Stats'!$A11="","",'Current Player Stats'!$X11)</f>
        <v>1</v>
      </c>
      <c r="Z30" s="18">
        <f ca="1">IF('Current Player Stats'!$A11="","",'Current Player Stats'!$Y11)</f>
        <v>0</v>
      </c>
      <c r="AA30" s="18">
        <f ca="1">IF('Current Player Stats'!$A11="","",'Current Player Stats'!$Z11)</f>
        <v>1</v>
      </c>
      <c r="AB30" s="18">
        <f ca="1">IF('Current Player Stats'!$A11="","",'Current Player Stats'!$AA11)</f>
        <v>2</v>
      </c>
      <c r="AC30" s="18">
        <f ca="1">IF('Current Player Stats'!$A11="","",'Current Player Stats'!$AB11)</f>
        <v>0</v>
      </c>
      <c r="AD30" s="18">
        <f ca="1">IF('Current Player Stats'!$A11="","",'Current Player Stats'!$AC11)</f>
        <v>3</v>
      </c>
      <c r="AE30" s="18">
        <f ca="1">IF('Current Player Stats'!$A11="","",'Current Player Stats'!$AD11)</f>
        <v>0</v>
      </c>
      <c r="AF30" s="18">
        <f ca="1">IF('Current Player Stats'!$A11="","",'Current Player Stats'!$AE11)</f>
        <v>0</v>
      </c>
      <c r="AG30" s="18">
        <f ca="1">IF('Current Player Stats'!$A11="","",'Current Player Stats'!$AF11)</f>
        <v>0</v>
      </c>
      <c r="AH30" s="18">
        <f ca="1">IF('Current Player Stats'!$A11="","",'Current Player Stats'!$AG11)</f>
        <v>5</v>
      </c>
      <c r="AI30" s="18">
        <f ca="1">IF('Current Player Stats'!$A11="","",'Current Player Stats'!$AH11)</f>
        <v>5</v>
      </c>
      <c r="AJ30" s="18">
        <f ca="1">IF('Current Player Stats'!$A11="","",'Current Player Stats'!$AI11)</f>
        <v>17</v>
      </c>
    </row>
    <row r="31" spans="1:36">
      <c r="A31" s="18">
        <f ca="1">IF('Current Player Stats'!$A12="","",Settings!$B$2)</f>
        <v>1</v>
      </c>
      <c r="B31" s="117" t="str">
        <f ca="1">IF('Current Player Stats'!$A12="","",'Current Player Stats'!$A12)</f>
        <v>May</v>
      </c>
      <c r="C31" s="18" t="str">
        <f ca="1">IF('Current Player Stats'!$A12="","",'Current Player Stats'!$B12)</f>
        <v>G5</v>
      </c>
      <c r="D31" s="18">
        <f ca="1">IF('Current Player Stats'!$A12="","",'Current Player Stats'!$C12)</f>
        <v>1</v>
      </c>
      <c r="E31" s="18">
        <f ca="1">IF('Current Player Stats'!$A12="","",'Current Player Stats'!$D12)</f>
        <v>0</v>
      </c>
      <c r="F31" s="18">
        <f ca="1">IF('Current Player Stats'!$A12="","",'Current Player Stats'!$E12)</f>
        <v>2</v>
      </c>
      <c r="G31" s="18">
        <f ca="1">IF('Current Player Stats'!$A12="","",'Current Player Stats'!$F12)</f>
        <v>1</v>
      </c>
      <c r="H31" s="18">
        <f ca="1">IF('Current Player Stats'!$A12="","",'Current Player Stats'!$G12)</f>
        <v>9</v>
      </c>
      <c r="I31" s="18">
        <f ca="1">IF('Current Player Stats'!$A12="","",'Current Player Stats'!$H12)</f>
        <v>3</v>
      </c>
      <c r="J31" s="18">
        <f ca="1">IF('Current Player Stats'!$A12="","",'Current Player Stats'!$I12)</f>
        <v>0.33333333333333331</v>
      </c>
      <c r="K31" s="18">
        <f ca="1">IF('Current Player Stats'!$A12="","",'Current Player Stats'!$J12)</f>
        <v>0.33333333333333331</v>
      </c>
      <c r="L31" s="18">
        <f ca="1">IF('Current Player Stats'!$A12="","",'Current Player Stats'!$K12)</f>
        <v>1</v>
      </c>
      <c r="M31" s="18">
        <f ca="1">IF('Current Player Stats'!$A12="","",'Current Player Stats'!$L12)</f>
        <v>1.3333333333333333</v>
      </c>
      <c r="N31" s="18">
        <f ca="1">IF('Current Player Stats'!$A12="","",'Current Player Stats'!$M12)</f>
        <v>3</v>
      </c>
      <c r="O31" s="18">
        <f ca="1">IF('Current Player Stats'!$A12="","",'Current Player Stats'!$N12)</f>
        <v>2</v>
      </c>
      <c r="P31" s="18">
        <f ca="1">IF('Current Player Stats'!$A12="","",'Current Player Stats'!$O12)</f>
        <v>1</v>
      </c>
      <c r="Q31" s="18">
        <f ca="1">IF('Current Player Stats'!$A12="","",'Current Player Stats'!$P12)</f>
        <v>0</v>
      </c>
      <c r="R31" s="18">
        <f ca="1">IF('Current Player Stats'!$A12="","",'Current Player Stats'!$Q12)</f>
        <v>2</v>
      </c>
      <c r="S31" s="18">
        <f ca="1">IF('Current Player Stats'!$A12="","",'Current Player Stats'!$R12)</f>
        <v>3</v>
      </c>
      <c r="T31" s="18">
        <f ca="1">IF('Current Player Stats'!$A12="","",'Current Player Stats'!$S12)</f>
        <v>0.66666666666666663</v>
      </c>
      <c r="U31" s="18">
        <f ca="1">IF('Current Player Stats'!$A12="","",'Current Player Stats'!$T12)</f>
        <v>0</v>
      </c>
      <c r="V31" s="18">
        <f ca="1">IF('Current Player Stats'!$A12="","",'Current Player Stats'!$U12)</f>
        <v>0</v>
      </c>
      <c r="W31" s="18">
        <f ca="1">IF('Current Player Stats'!$A12="","",'Current Player Stats'!$V12)</f>
        <v>1</v>
      </c>
      <c r="X31" s="18">
        <f ca="1">IF('Current Player Stats'!$A12="","",'Current Player Stats'!$W12)</f>
        <v>2</v>
      </c>
      <c r="Y31" s="18">
        <f ca="1">IF('Current Player Stats'!$A12="","",'Current Player Stats'!$X12)</f>
        <v>0</v>
      </c>
      <c r="Z31" s="18">
        <f ca="1">IF('Current Player Stats'!$A12="","",'Current Player Stats'!$Y12)</f>
        <v>0</v>
      </c>
      <c r="AA31" s="18">
        <f ca="1">IF('Current Player Stats'!$A12="","",'Current Player Stats'!$Z12)</f>
        <v>2</v>
      </c>
      <c r="AB31" s="18">
        <f ca="1">IF('Current Player Stats'!$A12="","",'Current Player Stats'!$AA12)</f>
        <v>2</v>
      </c>
      <c r="AC31" s="18">
        <f ca="1">IF('Current Player Stats'!$A12="","",'Current Player Stats'!$AB12)</f>
        <v>0</v>
      </c>
      <c r="AD31" s="18">
        <f ca="1">IF('Current Player Stats'!$A12="","",'Current Player Stats'!$AC12)</f>
        <v>1</v>
      </c>
      <c r="AE31" s="18">
        <f ca="1">IF('Current Player Stats'!$A12="","",'Current Player Stats'!$AD12)</f>
        <v>0</v>
      </c>
      <c r="AF31" s="18">
        <f ca="1">IF('Current Player Stats'!$A12="","",'Current Player Stats'!$AE12)</f>
        <v>0</v>
      </c>
      <c r="AG31" s="18">
        <f ca="1">IF('Current Player Stats'!$A12="","",'Current Player Stats'!$AF12)</f>
        <v>0</v>
      </c>
      <c r="AH31" s="18">
        <f ca="1">IF('Current Player Stats'!$A12="","",'Current Player Stats'!$AG12)</f>
        <v>1</v>
      </c>
      <c r="AI31" s="18">
        <f ca="1">IF('Current Player Stats'!$A12="","",'Current Player Stats'!$AH12)</f>
        <v>0</v>
      </c>
      <c r="AJ31" s="18">
        <f ca="1">IF('Current Player Stats'!$A12="","",'Current Player Stats'!$AI12)</f>
        <v>11</v>
      </c>
    </row>
    <row r="32" spans="1:36">
      <c r="A32" s="18">
        <f ca="1">IF('Current Player Stats'!$A13="","",Settings!$B$2)</f>
        <v>1</v>
      </c>
      <c r="B32" s="117" t="str">
        <f ca="1">IF('Current Player Stats'!$A13="","",'Current Player Stats'!$A13)</f>
        <v>Justin</v>
      </c>
      <c r="C32" s="18" t="str">
        <f ca="1">IF('Current Player Stats'!$A13="","",'Current Player Stats'!$B13)</f>
        <v>G5</v>
      </c>
      <c r="D32" s="18">
        <f ca="1">IF('Current Player Stats'!$A13="","",'Current Player Stats'!$C13)</f>
        <v>0</v>
      </c>
      <c r="E32" s="18">
        <f ca="1">IF('Current Player Stats'!$A13="","",'Current Player Stats'!$D13)</f>
        <v>1</v>
      </c>
      <c r="F32" s="18">
        <f ca="1">IF('Current Player Stats'!$A13="","",'Current Player Stats'!$E13)</f>
        <v>1</v>
      </c>
      <c r="G32" s="18">
        <f ca="1">IF('Current Player Stats'!$A13="","",'Current Player Stats'!$F13)</f>
        <v>2</v>
      </c>
      <c r="H32" s="18">
        <f ca="1">IF('Current Player Stats'!$A13="","",'Current Player Stats'!$G13)</f>
        <v>10</v>
      </c>
      <c r="I32" s="18">
        <f ca="1">IF('Current Player Stats'!$A13="","",'Current Player Stats'!$H13)</f>
        <v>2</v>
      </c>
      <c r="J32" s="18">
        <f ca="1">IF('Current Player Stats'!$A13="","",'Current Player Stats'!$I13)</f>
        <v>0.2</v>
      </c>
      <c r="K32" s="18">
        <f ca="1">IF('Current Player Stats'!$A13="","",'Current Player Stats'!$J13)</f>
        <v>0.18181818181818182</v>
      </c>
      <c r="L32" s="18">
        <f ca="1">IF('Current Player Stats'!$A13="","",'Current Player Stats'!$K13)</f>
        <v>0.6</v>
      </c>
      <c r="M32" s="18">
        <f ca="1">IF('Current Player Stats'!$A13="","",'Current Player Stats'!$L13)</f>
        <v>0.78181818181818175</v>
      </c>
      <c r="N32" s="18">
        <f ca="1">IF('Current Player Stats'!$A13="","",'Current Player Stats'!$M13)</f>
        <v>2</v>
      </c>
      <c r="O32" s="18">
        <f ca="1">IF('Current Player Stats'!$A13="","",'Current Player Stats'!$N13)</f>
        <v>3</v>
      </c>
      <c r="P32" s="18">
        <f ca="1">IF('Current Player Stats'!$A13="","",'Current Player Stats'!$O13)</f>
        <v>2</v>
      </c>
      <c r="Q32" s="18">
        <f ca="1">IF('Current Player Stats'!$A13="","",'Current Player Stats'!$P13)</f>
        <v>0</v>
      </c>
      <c r="R32" s="18">
        <f ca="1">IF('Current Player Stats'!$A13="","",'Current Player Stats'!$Q13)</f>
        <v>1</v>
      </c>
      <c r="S32" s="18">
        <f ca="1">IF('Current Player Stats'!$A13="","",'Current Player Stats'!$R13)</f>
        <v>9</v>
      </c>
      <c r="T32" s="18">
        <f ca="1">IF('Current Player Stats'!$A13="","",'Current Player Stats'!$S13)</f>
        <v>1.5</v>
      </c>
      <c r="U32" s="18">
        <f ca="1">IF('Current Player Stats'!$A13="","",'Current Player Stats'!$T13)</f>
        <v>0</v>
      </c>
      <c r="V32" s="18">
        <f ca="1">IF('Current Player Stats'!$A13="","",'Current Player Stats'!$U13)</f>
        <v>0</v>
      </c>
      <c r="W32" s="18">
        <f ca="1">IF('Current Player Stats'!$A13="","",'Current Player Stats'!$V13)</f>
        <v>1</v>
      </c>
      <c r="X32" s="18">
        <f ca="1">IF('Current Player Stats'!$A13="","",'Current Player Stats'!$W13)</f>
        <v>1</v>
      </c>
      <c r="Y32" s="18">
        <f ca="1">IF('Current Player Stats'!$A13="","",'Current Player Stats'!$X13)</f>
        <v>0</v>
      </c>
      <c r="Z32" s="18">
        <f ca="1">IF('Current Player Stats'!$A13="","",'Current Player Stats'!$Y13)</f>
        <v>2</v>
      </c>
      <c r="AA32" s="18">
        <f ca="1">IF('Current Player Stats'!$A13="","",'Current Player Stats'!$Z13)</f>
        <v>0</v>
      </c>
      <c r="AB32" s="18">
        <f ca="1">IF('Current Player Stats'!$A13="","",'Current Player Stats'!$AA13)</f>
        <v>1</v>
      </c>
      <c r="AC32" s="18">
        <f ca="1">IF('Current Player Stats'!$A13="","",'Current Player Stats'!$AB13)</f>
        <v>0</v>
      </c>
      <c r="AD32" s="18">
        <f ca="1">IF('Current Player Stats'!$A13="","",'Current Player Stats'!$AC13)</f>
        <v>2</v>
      </c>
      <c r="AE32" s="18">
        <f ca="1">IF('Current Player Stats'!$A13="","",'Current Player Stats'!$AD13)</f>
        <v>0</v>
      </c>
      <c r="AF32" s="18">
        <f ca="1">IF('Current Player Stats'!$A13="","",'Current Player Stats'!$AE13)</f>
        <v>1</v>
      </c>
      <c r="AG32" s="18">
        <f ca="1">IF('Current Player Stats'!$A13="","",'Current Player Stats'!$AF13)</f>
        <v>0</v>
      </c>
      <c r="AH32" s="18">
        <f ca="1">IF('Current Player Stats'!$A13="","",'Current Player Stats'!$AG13)</f>
        <v>2</v>
      </c>
      <c r="AI32" s="18">
        <f ca="1">IF('Current Player Stats'!$A13="","",'Current Player Stats'!$AH13)</f>
        <v>2</v>
      </c>
      <c r="AJ32" s="18">
        <f ca="1">IF('Current Player Stats'!$A13="","",'Current Player Stats'!$AI13)</f>
        <v>9</v>
      </c>
    </row>
    <row r="33" spans="1:36">
      <c r="A33" s="18">
        <f ca="1">IF('Current Player Stats'!$A14="","",Settings!$B$2)</f>
        <v>1</v>
      </c>
      <c r="B33" s="117" t="str">
        <f ca="1">IF('Current Player Stats'!$A14="","",'Current Player Stats'!$A14)</f>
        <v>Aidan</v>
      </c>
      <c r="C33" s="18" t="str">
        <f ca="1">IF('Current Player Stats'!$A14="","",'Current Player Stats'!$B14)</f>
        <v>G6</v>
      </c>
      <c r="D33" s="18">
        <f ca="1">IF('Current Player Stats'!$A14="","",'Current Player Stats'!$C14)</f>
        <v>0</v>
      </c>
      <c r="E33" s="18">
        <f ca="1">IF('Current Player Stats'!$A14="","",'Current Player Stats'!$D14)</f>
        <v>1</v>
      </c>
      <c r="F33" s="18">
        <f ca="1">IF('Current Player Stats'!$A14="","",'Current Player Stats'!$E14)</f>
        <v>1</v>
      </c>
      <c r="G33" s="18">
        <f ca="1">IF('Current Player Stats'!$A14="","",'Current Player Stats'!$F14)</f>
        <v>4</v>
      </c>
      <c r="H33" s="18">
        <f ca="1">IF('Current Player Stats'!$A14="","",'Current Player Stats'!$G14)</f>
        <v>13</v>
      </c>
      <c r="I33" s="18">
        <f ca="1">IF('Current Player Stats'!$A14="","",'Current Player Stats'!$H14)</f>
        <v>4</v>
      </c>
      <c r="J33" s="18">
        <f ca="1">IF('Current Player Stats'!$A14="","",'Current Player Stats'!$I14)</f>
        <v>0</v>
      </c>
      <c r="K33" s="18">
        <f ca="1">IF('Current Player Stats'!$A14="","",'Current Player Stats'!$J14)</f>
        <v>0.30769230769230771</v>
      </c>
      <c r="L33" s="18">
        <f ca="1">IF('Current Player Stats'!$A14="","",'Current Player Stats'!$K14)</f>
        <v>0</v>
      </c>
      <c r="M33" s="18">
        <f ca="1">IF('Current Player Stats'!$A14="","",'Current Player Stats'!$L14)</f>
        <v>0</v>
      </c>
      <c r="N33" s="18">
        <f ca="1">IF('Current Player Stats'!$A14="","",'Current Player Stats'!$M14)</f>
        <v>3</v>
      </c>
      <c r="O33" s="18">
        <f ca="1">IF('Current Player Stats'!$A14="","",'Current Player Stats'!$N14)</f>
        <v>4</v>
      </c>
      <c r="P33" s="18">
        <f ca="1">IF('Current Player Stats'!$A14="","",'Current Player Stats'!$O14)</f>
        <v>4</v>
      </c>
      <c r="Q33" s="18">
        <f ca="1">IF('Current Player Stats'!$A14="","",'Current Player Stats'!$P14)</f>
        <v>0</v>
      </c>
      <c r="R33" s="18">
        <f ca="1">IF('Current Player Stats'!$A14="","",'Current Player Stats'!$Q14)</f>
        <v>6</v>
      </c>
      <c r="S33" s="18">
        <f ca="1">IF('Current Player Stats'!$A14="","",'Current Player Stats'!$R14)</f>
        <v>12</v>
      </c>
      <c r="T33" s="18">
        <f ca="1">IF('Current Player Stats'!$A14="","",'Current Player Stats'!$S14)</f>
        <v>1.3333333333333333</v>
      </c>
      <c r="U33" s="18">
        <f ca="1">IF('Current Player Stats'!$A14="","",'Current Player Stats'!$T14)</f>
        <v>0</v>
      </c>
      <c r="V33" s="18">
        <f ca="1">IF('Current Player Stats'!$A14="","",'Current Player Stats'!$U14)</f>
        <v>0</v>
      </c>
      <c r="W33" s="18">
        <f ca="1">IF('Current Player Stats'!$A14="","",'Current Player Stats'!$V14)</f>
        <v>0</v>
      </c>
      <c r="X33" s="18">
        <f ca="1">IF('Current Player Stats'!$A14="","",'Current Player Stats'!$W14)</f>
        <v>1</v>
      </c>
      <c r="Y33" s="18">
        <f ca="1">IF('Current Player Stats'!$A14="","",'Current Player Stats'!$X14)</f>
        <v>1</v>
      </c>
      <c r="Z33" s="18">
        <f ca="1">IF('Current Player Stats'!$A14="","",'Current Player Stats'!$Y14)</f>
        <v>0</v>
      </c>
      <c r="AA33" s="18">
        <f ca="1">IF('Current Player Stats'!$A14="","",'Current Player Stats'!$Z14)</f>
        <v>1</v>
      </c>
      <c r="AB33" s="18">
        <f ca="1">IF('Current Player Stats'!$A14="","",'Current Player Stats'!$AA14)</f>
        <v>1</v>
      </c>
      <c r="AC33" s="18">
        <f ca="1">IF('Current Player Stats'!$A14="","",'Current Player Stats'!$AB14)</f>
        <v>0</v>
      </c>
      <c r="AD33" s="18">
        <f ca="1">IF('Current Player Stats'!$A14="","",'Current Player Stats'!$AC14)</f>
        <v>3</v>
      </c>
      <c r="AE33" s="18">
        <f ca="1">IF('Current Player Stats'!$A14="","",'Current Player Stats'!$AD14)</f>
        <v>0</v>
      </c>
      <c r="AF33" s="18">
        <f ca="1">IF('Current Player Stats'!$A14="","",'Current Player Stats'!$AE14)</f>
        <v>0</v>
      </c>
      <c r="AG33" s="18">
        <f ca="1">IF('Current Player Stats'!$A14="","",'Current Player Stats'!$AF14)</f>
        <v>0</v>
      </c>
      <c r="AH33" s="18">
        <f ca="1">IF('Current Player Stats'!$A14="","",'Current Player Stats'!$AG14)</f>
        <v>4</v>
      </c>
      <c r="AI33" s="18">
        <f ca="1">IF('Current Player Stats'!$A14="","",'Current Player Stats'!$AH14)</f>
        <v>2</v>
      </c>
      <c r="AJ33" s="18">
        <f ca="1">IF('Current Player Stats'!$A14="","",'Current Player Stats'!$AI14)</f>
        <v>13</v>
      </c>
    </row>
    <row r="34" spans="1:36">
      <c r="A34" s="18">
        <f ca="1">IF('Current Player Stats'!$A15="","",Settings!$B$2)</f>
        <v>1</v>
      </c>
      <c r="B34" s="117" t="str">
        <f ca="1">IF('Current Player Stats'!$A15="","",'Current Player Stats'!$A15)</f>
        <v>Donovan</v>
      </c>
      <c r="C34" s="18" t="str">
        <f ca="1">IF('Current Player Stats'!$A15="","",'Current Player Stats'!$B15)</f>
        <v>G6</v>
      </c>
      <c r="D34" s="18">
        <f ca="1">IF('Current Player Stats'!$A15="","",'Current Player Stats'!$C15)</f>
        <v>1</v>
      </c>
      <c r="E34" s="18">
        <f ca="1">IF('Current Player Stats'!$A15="","",'Current Player Stats'!$D15)</f>
        <v>0</v>
      </c>
      <c r="F34" s="18">
        <f ca="1">IF('Current Player Stats'!$A15="","",'Current Player Stats'!$E15)</f>
        <v>4</v>
      </c>
      <c r="G34" s="18">
        <f ca="1">IF('Current Player Stats'!$A15="","",'Current Player Stats'!$F15)</f>
        <v>1</v>
      </c>
      <c r="H34" s="18">
        <f ca="1">IF('Current Player Stats'!$A15="","",'Current Player Stats'!$G15)</f>
        <v>13</v>
      </c>
      <c r="I34" s="18">
        <f ca="1">IF('Current Player Stats'!$A15="","",'Current Player Stats'!$H15)</f>
        <v>4</v>
      </c>
      <c r="J34" s="18">
        <f ca="1">IF('Current Player Stats'!$A15="","",'Current Player Stats'!$I15)</f>
        <v>0</v>
      </c>
      <c r="K34" s="18">
        <f ca="1">IF('Current Player Stats'!$A15="","",'Current Player Stats'!$J15)</f>
        <v>0.30769230769230771</v>
      </c>
      <c r="L34" s="18">
        <f ca="1">IF('Current Player Stats'!$A15="","",'Current Player Stats'!$K15)</f>
        <v>0</v>
      </c>
      <c r="M34" s="18">
        <f ca="1">IF('Current Player Stats'!$A15="","",'Current Player Stats'!$L15)</f>
        <v>0</v>
      </c>
      <c r="N34" s="18">
        <f ca="1">IF('Current Player Stats'!$A15="","",'Current Player Stats'!$M15)</f>
        <v>3</v>
      </c>
      <c r="O34" s="18">
        <f ca="1">IF('Current Player Stats'!$A15="","",'Current Player Stats'!$N15)</f>
        <v>4</v>
      </c>
      <c r="P34" s="18">
        <f ca="1">IF('Current Player Stats'!$A15="","",'Current Player Stats'!$O15)</f>
        <v>1</v>
      </c>
      <c r="Q34" s="18">
        <f ca="1">IF('Current Player Stats'!$A15="","",'Current Player Stats'!$P15)</f>
        <v>0</v>
      </c>
      <c r="R34" s="18">
        <f ca="1">IF('Current Player Stats'!$A15="","",'Current Player Stats'!$Q15)</f>
        <v>3</v>
      </c>
      <c r="S34" s="18">
        <f ca="1">IF('Current Player Stats'!$A15="","",'Current Player Stats'!$R15)</f>
        <v>3</v>
      </c>
      <c r="T34" s="18">
        <f ca="1">IF('Current Player Stats'!$A15="","",'Current Player Stats'!$S15)</f>
        <v>1.3333333333333333</v>
      </c>
      <c r="U34" s="18">
        <f ca="1">IF('Current Player Stats'!$A15="","",'Current Player Stats'!$T15)</f>
        <v>0</v>
      </c>
      <c r="V34" s="18">
        <f ca="1">IF('Current Player Stats'!$A15="","",'Current Player Stats'!$U15)</f>
        <v>0</v>
      </c>
      <c r="W34" s="18">
        <f ca="1">IF('Current Player Stats'!$A15="","",'Current Player Stats'!$V15)</f>
        <v>0</v>
      </c>
      <c r="X34" s="18">
        <f ca="1">IF('Current Player Stats'!$A15="","",'Current Player Stats'!$W15)</f>
        <v>4</v>
      </c>
      <c r="Y34" s="18">
        <f ca="1">IF('Current Player Stats'!$A15="","",'Current Player Stats'!$X15)</f>
        <v>1</v>
      </c>
      <c r="Z34" s="18">
        <f ca="1">IF('Current Player Stats'!$A15="","",'Current Player Stats'!$Y15)</f>
        <v>0</v>
      </c>
      <c r="AA34" s="18">
        <f ca="1">IF('Current Player Stats'!$A15="","",'Current Player Stats'!$Z15)</f>
        <v>2</v>
      </c>
      <c r="AB34" s="18">
        <f ca="1">IF('Current Player Stats'!$A15="","",'Current Player Stats'!$AA15)</f>
        <v>4</v>
      </c>
      <c r="AC34" s="18">
        <f ca="1">IF('Current Player Stats'!$A15="","",'Current Player Stats'!$AB15)</f>
        <v>0</v>
      </c>
      <c r="AD34" s="18">
        <f ca="1">IF('Current Player Stats'!$A15="","",'Current Player Stats'!$AC15)</f>
        <v>6</v>
      </c>
      <c r="AE34" s="18">
        <f ca="1">IF('Current Player Stats'!$A15="","",'Current Player Stats'!$AD15)</f>
        <v>0</v>
      </c>
      <c r="AF34" s="18">
        <f ca="1">IF('Current Player Stats'!$A15="","",'Current Player Stats'!$AE15)</f>
        <v>0</v>
      </c>
      <c r="AG34" s="18">
        <f ca="1">IF('Current Player Stats'!$A15="","",'Current Player Stats'!$AF15)</f>
        <v>0</v>
      </c>
      <c r="AH34" s="18">
        <f ca="1">IF('Current Player Stats'!$A15="","",'Current Player Stats'!$AG15)</f>
        <v>1</v>
      </c>
      <c r="AI34" s="18">
        <f ca="1">IF('Current Player Stats'!$A15="","",'Current Player Stats'!$AH15)</f>
        <v>1</v>
      </c>
      <c r="AJ34" s="18">
        <f ca="1">IF('Current Player Stats'!$A15="","",'Current Player Stats'!$AI15)</f>
        <v>13</v>
      </c>
    </row>
    <row r="35" spans="1:36">
      <c r="A35" s="18">
        <f ca="1">IF('Current Player Stats'!$A16="","",Settings!$B$2)</f>
        <v>1</v>
      </c>
      <c r="B35" s="117" t="str">
        <f ca="1">IF('Current Player Stats'!$A16="","",'Current Player Stats'!$A16)</f>
        <v>Nick</v>
      </c>
      <c r="C35" s="18" t="str">
        <f ca="1">IF('Current Player Stats'!$A16="","",'Current Player Stats'!$B16)</f>
        <v>G7</v>
      </c>
      <c r="D35" s="18">
        <f ca="1">IF('Current Player Stats'!$A16="","",'Current Player Stats'!$C16)</f>
        <v>1</v>
      </c>
      <c r="E35" s="18">
        <f ca="1">IF('Current Player Stats'!$A16="","",'Current Player Stats'!$D16)</f>
        <v>0</v>
      </c>
      <c r="F35" s="18">
        <f ca="1">IF('Current Player Stats'!$A16="","",'Current Player Stats'!$E16)</f>
        <v>1</v>
      </c>
      <c r="G35" s="18">
        <f ca="1">IF('Current Player Stats'!$A16="","",'Current Player Stats'!$F16)</f>
        <v>0</v>
      </c>
      <c r="H35" s="18">
        <f ca="1">IF('Current Player Stats'!$A16="","",'Current Player Stats'!$G16)</f>
        <v>7</v>
      </c>
      <c r="I35" s="18">
        <f ca="1">IF('Current Player Stats'!$A16="","",'Current Player Stats'!$H16)</f>
        <v>1</v>
      </c>
      <c r="J35" s="18">
        <f ca="1">IF('Current Player Stats'!$A16="","",'Current Player Stats'!$I16)</f>
        <v>0</v>
      </c>
      <c r="K35" s="18">
        <f ca="1">IF('Current Player Stats'!$A16="","",'Current Player Stats'!$J16)</f>
        <v>0.25</v>
      </c>
      <c r="L35" s="18">
        <f ca="1">IF('Current Player Stats'!$A16="","",'Current Player Stats'!$K16)</f>
        <v>0</v>
      </c>
      <c r="M35" s="18">
        <f ca="1">IF('Current Player Stats'!$A16="","",'Current Player Stats'!$L16)</f>
        <v>0</v>
      </c>
      <c r="N35" s="18">
        <f ca="1">IF('Current Player Stats'!$A16="","",'Current Player Stats'!$M16)</f>
        <v>3</v>
      </c>
      <c r="O35" s="18">
        <f ca="1">IF('Current Player Stats'!$A16="","",'Current Player Stats'!$N16)</f>
        <v>1</v>
      </c>
      <c r="P35" s="18">
        <f ca="1">IF('Current Player Stats'!$A16="","",'Current Player Stats'!$O16)</f>
        <v>0</v>
      </c>
      <c r="Q35" s="18">
        <f ca="1">IF('Current Player Stats'!$A16="","",'Current Player Stats'!$P16)</f>
        <v>0</v>
      </c>
      <c r="R35" s="18">
        <f ca="1">IF('Current Player Stats'!$A16="","",'Current Player Stats'!$Q16)</f>
        <v>3</v>
      </c>
      <c r="S35" s="18">
        <f ca="1">IF('Current Player Stats'!$A16="","",'Current Player Stats'!$R16)</f>
        <v>0</v>
      </c>
      <c r="T35" s="18">
        <f ca="1">IF('Current Player Stats'!$A16="","",'Current Player Stats'!$S16)</f>
        <v>0.33333333333333331</v>
      </c>
      <c r="U35" s="18">
        <f ca="1">IF('Current Player Stats'!$A16="","",'Current Player Stats'!$T16)</f>
        <v>0</v>
      </c>
      <c r="V35" s="18">
        <f ca="1">IF('Current Player Stats'!$A16="","",'Current Player Stats'!$U16)</f>
        <v>1</v>
      </c>
      <c r="W35" s="18">
        <f ca="1">IF('Current Player Stats'!$A16="","",'Current Player Stats'!$V16)</f>
        <v>1</v>
      </c>
      <c r="X35" s="18">
        <f ca="1">IF('Current Player Stats'!$A16="","",'Current Player Stats'!$W16)</f>
        <v>1</v>
      </c>
      <c r="Y35" s="18">
        <f ca="1">IF('Current Player Stats'!$A16="","",'Current Player Stats'!$X16)</f>
        <v>0</v>
      </c>
      <c r="Z35" s="18">
        <f ca="1">IF('Current Player Stats'!$A16="","",'Current Player Stats'!$Y16)</f>
        <v>0</v>
      </c>
      <c r="AA35" s="18">
        <f ca="1">IF('Current Player Stats'!$A16="","",'Current Player Stats'!$Z16)</f>
        <v>1</v>
      </c>
      <c r="AB35" s="18">
        <f ca="1">IF('Current Player Stats'!$A16="","",'Current Player Stats'!$AA16)</f>
        <v>1</v>
      </c>
      <c r="AC35" s="18">
        <f ca="1">IF('Current Player Stats'!$A16="","",'Current Player Stats'!$AB16)</f>
        <v>0</v>
      </c>
      <c r="AD35" s="18">
        <f ca="1">IF('Current Player Stats'!$A16="","",'Current Player Stats'!$AC16)</f>
        <v>2</v>
      </c>
      <c r="AE35" s="18">
        <f ca="1">IF('Current Player Stats'!$A16="","",'Current Player Stats'!$AD16)</f>
        <v>1</v>
      </c>
      <c r="AF35" s="18">
        <f ca="1">IF('Current Player Stats'!$A16="","",'Current Player Stats'!$AE16)</f>
        <v>0</v>
      </c>
      <c r="AG35" s="18">
        <f ca="1">IF('Current Player Stats'!$A16="","",'Current Player Stats'!$AF16)</f>
        <v>0</v>
      </c>
      <c r="AH35" s="18">
        <f ca="1">IF('Current Player Stats'!$A16="","",'Current Player Stats'!$AG16)</f>
        <v>0</v>
      </c>
      <c r="AI35" s="18">
        <f ca="1">IF('Current Player Stats'!$A16="","",'Current Player Stats'!$AH16)</f>
        <v>0</v>
      </c>
      <c r="AJ35" s="18">
        <f ca="1">IF('Current Player Stats'!$A16="","",'Current Player Stats'!$AI16)</f>
        <v>9</v>
      </c>
    </row>
    <row r="36" spans="1:36">
      <c r="A36" s="18">
        <f ca="1">IF('Current Player Stats'!$A17="","",Settings!$B$2)</f>
        <v>1</v>
      </c>
      <c r="B36" s="117" t="str">
        <f ca="1">IF('Current Player Stats'!$A17="","",'Current Player Stats'!$A17)</f>
        <v>Jason</v>
      </c>
      <c r="C36" s="18" t="str">
        <f ca="1">IF('Current Player Stats'!$A17="","",'Current Player Stats'!$B17)</f>
        <v>G7</v>
      </c>
      <c r="D36" s="18">
        <f ca="1">IF('Current Player Stats'!$A17="","",'Current Player Stats'!$C17)</f>
        <v>0</v>
      </c>
      <c r="E36" s="18">
        <f ca="1">IF('Current Player Stats'!$A17="","",'Current Player Stats'!$D17)</f>
        <v>1</v>
      </c>
      <c r="F36" s="18">
        <f ca="1">IF('Current Player Stats'!$A17="","",'Current Player Stats'!$E17)</f>
        <v>0</v>
      </c>
      <c r="G36" s="18">
        <f ca="1">IF('Current Player Stats'!$A17="","",'Current Player Stats'!$F17)</f>
        <v>1</v>
      </c>
      <c r="H36" s="18">
        <f ca="1">IF('Current Player Stats'!$A17="","",'Current Player Stats'!$G17)</f>
        <v>9</v>
      </c>
      <c r="I36" s="18">
        <f ca="1">IF('Current Player Stats'!$A17="","",'Current Player Stats'!$H17)</f>
        <v>1</v>
      </c>
      <c r="J36" s="18">
        <f ca="1">IF('Current Player Stats'!$A17="","",'Current Player Stats'!$I17)</f>
        <v>0</v>
      </c>
      <c r="K36" s="18">
        <f ca="1">IF('Current Player Stats'!$A17="","",'Current Player Stats'!$J17)</f>
        <v>0.1111111111111111</v>
      </c>
      <c r="L36" s="18">
        <f ca="1">IF('Current Player Stats'!$A17="","",'Current Player Stats'!$K17)</f>
        <v>0</v>
      </c>
      <c r="M36" s="18">
        <f ca="1">IF('Current Player Stats'!$A17="","",'Current Player Stats'!$L17)</f>
        <v>0</v>
      </c>
      <c r="N36" s="18">
        <f ca="1">IF('Current Player Stats'!$A17="","",'Current Player Stats'!$M17)</f>
        <v>2</v>
      </c>
      <c r="O36" s="18">
        <f ca="1">IF('Current Player Stats'!$A17="","",'Current Player Stats'!$N17)</f>
        <v>1</v>
      </c>
      <c r="P36" s="18">
        <f ca="1">IF('Current Player Stats'!$A17="","",'Current Player Stats'!$O17)</f>
        <v>1</v>
      </c>
      <c r="Q36" s="18">
        <f ca="1">IF('Current Player Stats'!$A17="","",'Current Player Stats'!$P17)</f>
        <v>0</v>
      </c>
      <c r="R36" s="18">
        <f ca="1">IF('Current Player Stats'!$A17="","",'Current Player Stats'!$Q17)</f>
        <v>2</v>
      </c>
      <c r="S36" s="18">
        <f ca="1">IF('Current Player Stats'!$A17="","",'Current Player Stats'!$R17)</f>
        <v>4.5</v>
      </c>
      <c r="T36" s="18">
        <f ca="1">IF('Current Player Stats'!$A17="","",'Current Player Stats'!$S17)</f>
        <v>0.5</v>
      </c>
      <c r="U36" s="18">
        <f ca="1">IF('Current Player Stats'!$A17="","",'Current Player Stats'!$T17)</f>
        <v>0</v>
      </c>
      <c r="V36" s="18">
        <f ca="1">IF('Current Player Stats'!$A17="","",'Current Player Stats'!$U17)</f>
        <v>0</v>
      </c>
      <c r="W36" s="18">
        <f ca="1">IF('Current Player Stats'!$A17="","",'Current Player Stats'!$V17)</f>
        <v>1</v>
      </c>
      <c r="X36" s="18">
        <f ca="1">IF('Current Player Stats'!$A17="","",'Current Player Stats'!$W17)</f>
        <v>0</v>
      </c>
      <c r="Y36" s="18">
        <f ca="1">IF('Current Player Stats'!$A17="","",'Current Player Stats'!$X17)</f>
        <v>0</v>
      </c>
      <c r="Z36" s="18">
        <f ca="1">IF('Current Player Stats'!$A17="","",'Current Player Stats'!$Y17)</f>
        <v>0</v>
      </c>
      <c r="AA36" s="18">
        <f ca="1">IF('Current Player Stats'!$A17="","",'Current Player Stats'!$Z17)</f>
        <v>0</v>
      </c>
      <c r="AB36" s="18">
        <f ca="1">IF('Current Player Stats'!$A17="","",'Current Player Stats'!$AA17)</f>
        <v>0</v>
      </c>
      <c r="AC36" s="18">
        <f ca="1">IF('Current Player Stats'!$A17="","",'Current Player Stats'!$AB17)</f>
        <v>0</v>
      </c>
      <c r="AD36" s="18">
        <f ca="1">IF('Current Player Stats'!$A17="","",'Current Player Stats'!$AC17)</f>
        <v>3</v>
      </c>
      <c r="AE36" s="18">
        <f ca="1">IF('Current Player Stats'!$A17="","",'Current Player Stats'!$AD17)</f>
        <v>0</v>
      </c>
      <c r="AF36" s="18">
        <f ca="1">IF('Current Player Stats'!$A17="","",'Current Player Stats'!$AE17)</f>
        <v>0</v>
      </c>
      <c r="AG36" s="18">
        <f ca="1">IF('Current Player Stats'!$A17="","",'Current Player Stats'!$AF17)</f>
        <v>0</v>
      </c>
      <c r="AH36" s="18">
        <f ca="1">IF('Current Player Stats'!$A17="","",'Current Player Stats'!$AG17)</f>
        <v>1</v>
      </c>
      <c r="AI36" s="18">
        <f ca="1">IF('Current Player Stats'!$A17="","",'Current Player Stats'!$AH17)</f>
        <v>1</v>
      </c>
      <c r="AJ36" s="18">
        <f ca="1">IF('Current Player Stats'!$A17="","",'Current Player Stats'!$AI17)</f>
        <v>8</v>
      </c>
    </row>
    <row r="37" spans="1:36">
      <c r="A37" s="18">
        <f ca="1">IF('Current Player Stats'!$A18="","",Settings!$B$2)</f>
        <v>1</v>
      </c>
      <c r="B37" s="117" t="str">
        <f ca="1">IF('Current Player Stats'!$A18="","",'Current Player Stats'!$A18)</f>
        <v>Jason</v>
      </c>
      <c r="C37" s="18" t="str">
        <f ca="1">IF('Current Player Stats'!$A18="","",'Current Player Stats'!$B18)</f>
        <v>G8</v>
      </c>
      <c r="D37" s="18">
        <f ca="1">IF('Current Player Stats'!$A18="","",'Current Player Stats'!$C18)</f>
        <v>1</v>
      </c>
      <c r="E37" s="18">
        <f ca="1">IF('Current Player Stats'!$A18="","",'Current Player Stats'!$D18)</f>
        <v>0</v>
      </c>
      <c r="F37" s="18">
        <f ca="1">IF('Current Player Stats'!$A18="","",'Current Player Stats'!$E18)</f>
        <v>7</v>
      </c>
      <c r="G37" s="18">
        <f ca="1">IF('Current Player Stats'!$A18="","",'Current Player Stats'!$F18)</f>
        <v>4</v>
      </c>
      <c r="H37" s="18">
        <f ca="1">IF('Current Player Stats'!$A18="","",'Current Player Stats'!$G18)</f>
        <v>20</v>
      </c>
      <c r="I37" s="18">
        <f ca="1">IF('Current Player Stats'!$A18="","",'Current Player Stats'!$H18)</f>
        <v>9</v>
      </c>
      <c r="J37" s="18">
        <f ca="1">IF('Current Player Stats'!$A18="","",'Current Player Stats'!$I18)</f>
        <v>0.45</v>
      </c>
      <c r="K37" s="18">
        <f ca="1">IF('Current Player Stats'!$A18="","",'Current Player Stats'!$J18)</f>
        <v>0.47619047619047616</v>
      </c>
      <c r="L37" s="18">
        <f ca="1">IF('Current Player Stats'!$A18="","",'Current Player Stats'!$K18)</f>
        <v>0.85</v>
      </c>
      <c r="M37" s="18">
        <f ca="1">IF('Current Player Stats'!$A18="","",'Current Player Stats'!$L18)</f>
        <v>1.3261904761904761</v>
      </c>
      <c r="N37" s="18">
        <f ca="1">IF('Current Player Stats'!$A18="","",'Current Player Stats'!$M18)</f>
        <v>4</v>
      </c>
      <c r="O37" s="18">
        <f ca="1">IF('Current Player Stats'!$A18="","",'Current Player Stats'!$N18)</f>
        <v>5</v>
      </c>
      <c r="P37" s="18">
        <f ca="1">IF('Current Player Stats'!$A18="","",'Current Player Stats'!$O18)</f>
        <v>4</v>
      </c>
      <c r="Q37" s="18">
        <f ca="1">IF('Current Player Stats'!$A18="","",'Current Player Stats'!$P18)</f>
        <v>0</v>
      </c>
      <c r="R37" s="18">
        <f ca="1">IF('Current Player Stats'!$A18="","",'Current Player Stats'!$Q18)</f>
        <v>2</v>
      </c>
      <c r="S37" s="18">
        <f ca="1">IF('Current Player Stats'!$A18="","",'Current Player Stats'!$R18)</f>
        <v>9</v>
      </c>
      <c r="T37" s="18">
        <f ca="1">IF('Current Player Stats'!$A18="","",'Current Player Stats'!$S18)</f>
        <v>1.25</v>
      </c>
      <c r="U37" s="18">
        <f ca="1">IF('Current Player Stats'!$A18="","",'Current Player Stats'!$T18)</f>
        <v>1</v>
      </c>
      <c r="V37" s="18">
        <f ca="1">IF('Current Player Stats'!$A18="","",'Current Player Stats'!$U18)</f>
        <v>0</v>
      </c>
      <c r="W37" s="18">
        <f ca="1">IF('Current Player Stats'!$A18="","",'Current Player Stats'!$V18)</f>
        <v>0</v>
      </c>
      <c r="X37" s="18">
        <f ca="1">IF('Current Player Stats'!$A18="","",'Current Player Stats'!$W18)</f>
        <v>7</v>
      </c>
      <c r="Y37" s="18">
        <f ca="1">IF('Current Player Stats'!$A18="","",'Current Player Stats'!$X18)</f>
        <v>3</v>
      </c>
      <c r="Z37" s="18">
        <f ca="1">IF('Current Player Stats'!$A18="","",'Current Player Stats'!$Y18)</f>
        <v>1</v>
      </c>
      <c r="AA37" s="18">
        <f ca="1">IF('Current Player Stats'!$A18="","",'Current Player Stats'!$Z18)</f>
        <v>1</v>
      </c>
      <c r="AB37" s="18">
        <f ca="1">IF('Current Player Stats'!$A18="","",'Current Player Stats'!$AA18)</f>
        <v>7</v>
      </c>
      <c r="AC37" s="18">
        <f ca="1">IF('Current Player Stats'!$A18="","",'Current Player Stats'!$AB18)</f>
        <v>0</v>
      </c>
      <c r="AD37" s="18">
        <f ca="1">IF('Current Player Stats'!$A18="","",'Current Player Stats'!$AC18)</f>
        <v>3</v>
      </c>
      <c r="AE37" s="18">
        <f ca="1">IF('Current Player Stats'!$A18="","",'Current Player Stats'!$AD18)</f>
        <v>1</v>
      </c>
      <c r="AF37" s="18">
        <f ca="1">IF('Current Player Stats'!$A18="","",'Current Player Stats'!$AE18)</f>
        <v>0</v>
      </c>
      <c r="AG37" s="18">
        <f ca="1">IF('Current Player Stats'!$A18="","",'Current Player Stats'!$AF18)</f>
        <v>0</v>
      </c>
      <c r="AH37" s="18">
        <f ca="1">IF('Current Player Stats'!$A18="","",'Current Player Stats'!$AG18)</f>
        <v>4</v>
      </c>
      <c r="AI37" s="18">
        <f ca="1">IF('Current Player Stats'!$A18="","",'Current Player Stats'!$AH18)</f>
        <v>2</v>
      </c>
      <c r="AJ37" s="18">
        <f ca="1">IF('Current Player Stats'!$A18="","",'Current Player Stats'!$AI18)</f>
        <v>17</v>
      </c>
    </row>
    <row r="38" spans="1:36">
      <c r="A38" s="18">
        <f ca="1">IF('Current Player Stats'!$A19="","",Settings!$B$2)</f>
        <v>1</v>
      </c>
      <c r="B38" s="117" t="str">
        <f ca="1">IF('Current Player Stats'!$A19="","",'Current Player Stats'!$A19)</f>
        <v>May</v>
      </c>
      <c r="C38" s="18" t="str">
        <f ca="1">IF('Current Player Stats'!$A19="","",'Current Player Stats'!$B19)</f>
        <v>G8</v>
      </c>
      <c r="D38" s="18">
        <f ca="1">IF('Current Player Stats'!$A19="","",'Current Player Stats'!$C19)</f>
        <v>0</v>
      </c>
      <c r="E38" s="18">
        <f ca="1">IF('Current Player Stats'!$A19="","",'Current Player Stats'!$D19)</f>
        <v>1</v>
      </c>
      <c r="F38" s="18">
        <f ca="1">IF('Current Player Stats'!$A19="","",'Current Player Stats'!$E19)</f>
        <v>4</v>
      </c>
      <c r="G38" s="18">
        <f ca="1">IF('Current Player Stats'!$A19="","",'Current Player Stats'!$F19)</f>
        <v>7</v>
      </c>
      <c r="H38" s="18">
        <f ca="1">IF('Current Player Stats'!$A19="","",'Current Player Stats'!$G19)</f>
        <v>17</v>
      </c>
      <c r="I38" s="18">
        <f ca="1">IF('Current Player Stats'!$A19="","",'Current Player Stats'!$H19)</f>
        <v>5</v>
      </c>
      <c r="J38" s="18">
        <f ca="1">IF('Current Player Stats'!$A19="","",'Current Player Stats'!$I19)</f>
        <v>0.29411764705882354</v>
      </c>
      <c r="K38" s="18">
        <f ca="1">IF('Current Player Stats'!$A19="","",'Current Player Stats'!$J19)</f>
        <v>0.29411764705882354</v>
      </c>
      <c r="L38" s="18">
        <f ca="1">IF('Current Player Stats'!$A19="","",'Current Player Stats'!$K19)</f>
        <v>0.6470588235294118</v>
      </c>
      <c r="M38" s="18">
        <f ca="1">IF('Current Player Stats'!$A19="","",'Current Player Stats'!$L19)</f>
        <v>0.94117647058823528</v>
      </c>
      <c r="N38" s="18">
        <f ca="1">IF('Current Player Stats'!$A19="","",'Current Player Stats'!$M19)</f>
        <v>4</v>
      </c>
      <c r="O38" s="18">
        <f ca="1">IF('Current Player Stats'!$A19="","",'Current Player Stats'!$N19)</f>
        <v>9</v>
      </c>
      <c r="P38" s="18">
        <f ca="1">IF('Current Player Stats'!$A19="","",'Current Player Stats'!$O19)</f>
        <v>7</v>
      </c>
      <c r="Q38" s="18">
        <f ca="1">IF('Current Player Stats'!$A19="","",'Current Player Stats'!$P19)</f>
        <v>0</v>
      </c>
      <c r="R38" s="18">
        <f ca="1">IF('Current Player Stats'!$A19="","",'Current Player Stats'!$Q19)</f>
        <v>3</v>
      </c>
      <c r="S38" s="18">
        <f ca="1">IF('Current Player Stats'!$A19="","",'Current Player Stats'!$R19)</f>
        <v>15.750000000000002</v>
      </c>
      <c r="T38" s="18">
        <f ca="1">IF('Current Player Stats'!$A19="","",'Current Player Stats'!$S19)</f>
        <v>2.2500000000000004</v>
      </c>
      <c r="U38" s="18">
        <f ca="1">IF('Current Player Stats'!$A19="","",'Current Player Stats'!$T19)</f>
        <v>0</v>
      </c>
      <c r="V38" s="18">
        <f ca="1">IF('Current Player Stats'!$A19="","",'Current Player Stats'!$U19)</f>
        <v>0</v>
      </c>
      <c r="W38" s="18">
        <f ca="1">IF('Current Player Stats'!$A19="","",'Current Player Stats'!$V19)</f>
        <v>0</v>
      </c>
      <c r="X38" s="18">
        <f ca="1">IF('Current Player Stats'!$A19="","",'Current Player Stats'!$W19)</f>
        <v>4</v>
      </c>
      <c r="Y38" s="18">
        <f ca="1">IF('Current Player Stats'!$A19="","",'Current Player Stats'!$X19)</f>
        <v>0</v>
      </c>
      <c r="Z38" s="18">
        <f ca="1">IF('Current Player Stats'!$A19="","",'Current Player Stats'!$Y19)</f>
        <v>0</v>
      </c>
      <c r="AA38" s="18">
        <f ca="1">IF('Current Player Stats'!$A19="","",'Current Player Stats'!$Z19)</f>
        <v>2</v>
      </c>
      <c r="AB38" s="18">
        <f ca="1">IF('Current Player Stats'!$A19="","",'Current Player Stats'!$AA19)</f>
        <v>4</v>
      </c>
      <c r="AC38" s="18">
        <f ca="1">IF('Current Player Stats'!$A19="","",'Current Player Stats'!$AB19)</f>
        <v>0</v>
      </c>
      <c r="AD38" s="18">
        <f ca="1">IF('Current Player Stats'!$A19="","",'Current Player Stats'!$AC19)</f>
        <v>2</v>
      </c>
      <c r="AE38" s="18">
        <f ca="1">IF('Current Player Stats'!$A19="","",'Current Player Stats'!$AD19)</f>
        <v>0</v>
      </c>
      <c r="AF38" s="18">
        <f ca="1">IF('Current Player Stats'!$A19="","",'Current Player Stats'!$AE19)</f>
        <v>0</v>
      </c>
      <c r="AG38" s="18">
        <f ca="1">IF('Current Player Stats'!$A19="","",'Current Player Stats'!$AF19)</f>
        <v>0</v>
      </c>
      <c r="AH38" s="18">
        <f ca="1">IF('Current Player Stats'!$A19="","",'Current Player Stats'!$AG19)</f>
        <v>7</v>
      </c>
      <c r="AI38" s="18">
        <f ca="1">IF('Current Player Stats'!$A19="","",'Current Player Stats'!$AH19)</f>
        <v>1</v>
      </c>
      <c r="AJ38" s="18">
        <f ca="1">IF('Current Player Stats'!$A19="","",'Current Player Stats'!$AI19)</f>
        <v>21</v>
      </c>
    </row>
    <row r="39" spans="1:36">
      <c r="A39" s="18">
        <f ca="1">IF('Current Player Stats'!$A20="","",Settings!$B$2)</f>
        <v>1</v>
      </c>
      <c r="B39" s="117" t="str">
        <f ca="1">IF('Current Player Stats'!$A20="","",'Current Player Stats'!$A20)</f>
        <v>Nick</v>
      </c>
      <c r="C39" s="18" t="str">
        <f ca="1">IF('Current Player Stats'!$A20="","",'Current Player Stats'!$B20)</f>
        <v>G9</v>
      </c>
      <c r="D39" s="18">
        <f ca="1">IF('Current Player Stats'!$A20="","",'Current Player Stats'!$C20)</f>
        <v>0</v>
      </c>
      <c r="E39" s="18">
        <f ca="1">IF('Current Player Stats'!$A20="","",'Current Player Stats'!$D20)</f>
        <v>0</v>
      </c>
      <c r="F39" s="18">
        <f ca="1">IF('Current Player Stats'!$A20="","",'Current Player Stats'!$E20)</f>
        <v>1</v>
      </c>
      <c r="G39" s="18">
        <f ca="1">IF('Current Player Stats'!$A20="","",'Current Player Stats'!$F20)</f>
        <v>0</v>
      </c>
      <c r="H39" s="18">
        <f ca="1">IF('Current Player Stats'!$A20="","",'Current Player Stats'!$G20)</f>
        <v>11</v>
      </c>
      <c r="I39" s="18">
        <f ca="1">IF('Current Player Stats'!$A20="","",'Current Player Stats'!$H20)</f>
        <v>6</v>
      </c>
      <c r="J39" s="18">
        <f ca="1">IF('Current Player Stats'!$A20="","",'Current Player Stats'!$I20)</f>
        <v>0.54545454545454541</v>
      </c>
      <c r="K39" s="18">
        <f ca="1">IF('Current Player Stats'!$A20="","",'Current Player Stats'!$J20)</f>
        <v>0.54545454545454541</v>
      </c>
      <c r="L39" s="18">
        <f ca="1">IF('Current Player Stats'!$A20="","",'Current Player Stats'!$K20)</f>
        <v>0.54545454545454541</v>
      </c>
      <c r="M39" s="18">
        <f ca="1">IF('Current Player Stats'!$A20="","",'Current Player Stats'!$L20)</f>
        <v>1.0909090909090908</v>
      </c>
      <c r="N39" s="18">
        <f ca="1">IF('Current Player Stats'!$A20="","",'Current Player Stats'!$M20)</f>
        <v>1</v>
      </c>
      <c r="O39" s="18">
        <f ca="1">IF('Current Player Stats'!$A20="","",'Current Player Stats'!$N20)</f>
        <v>0</v>
      </c>
      <c r="P39" s="18">
        <f ca="1">IF('Current Player Stats'!$A20="","",'Current Player Stats'!$O20)</f>
        <v>0</v>
      </c>
      <c r="Q39" s="18">
        <f ca="1">IF('Current Player Stats'!$A20="","",'Current Player Stats'!$P20)</f>
        <v>0</v>
      </c>
      <c r="R39" s="18">
        <f ca="1">IF('Current Player Stats'!$A20="","",'Current Player Stats'!$Q20)</f>
        <v>0</v>
      </c>
      <c r="S39" s="18">
        <f ca="1">IF('Current Player Stats'!$A20="","",'Current Player Stats'!$R20)</f>
        <v>0</v>
      </c>
      <c r="T39" s="18">
        <f ca="1">IF('Current Player Stats'!$A20="","",'Current Player Stats'!$S20)</f>
        <v>0</v>
      </c>
      <c r="U39" s="18">
        <f ca="1">IF('Current Player Stats'!$A20="","",'Current Player Stats'!$T20)</f>
        <v>0</v>
      </c>
      <c r="V39" s="18">
        <f ca="1">IF('Current Player Stats'!$A20="","",'Current Player Stats'!$U20)</f>
        <v>1</v>
      </c>
      <c r="W39" s="18">
        <f ca="1">IF('Current Player Stats'!$A20="","",'Current Player Stats'!$V20)</f>
        <v>1</v>
      </c>
      <c r="X39" s="18">
        <f ca="1">IF('Current Player Stats'!$A20="","",'Current Player Stats'!$W20)</f>
        <v>1</v>
      </c>
      <c r="Y39" s="18">
        <f ca="1">IF('Current Player Stats'!$A20="","",'Current Player Stats'!$X20)</f>
        <v>0</v>
      </c>
      <c r="Z39" s="18">
        <f ca="1">IF('Current Player Stats'!$A20="","",'Current Player Stats'!$Y20)</f>
        <v>0</v>
      </c>
      <c r="AA39" s="18">
        <f ca="1">IF('Current Player Stats'!$A20="","",'Current Player Stats'!$Z20)</f>
        <v>0</v>
      </c>
      <c r="AB39" s="18">
        <f ca="1">IF('Current Player Stats'!$A20="","",'Current Player Stats'!$AA20)</f>
        <v>1</v>
      </c>
      <c r="AC39" s="18">
        <f ca="1">IF('Current Player Stats'!$A20="","",'Current Player Stats'!$AB20)</f>
        <v>0</v>
      </c>
      <c r="AD39" s="18">
        <f ca="1">IF('Current Player Stats'!$A20="","",'Current Player Stats'!$AC20)</f>
        <v>1</v>
      </c>
      <c r="AE39" s="18">
        <f ca="1">IF('Current Player Stats'!$A20="","",'Current Player Stats'!$AD20)</f>
        <v>0</v>
      </c>
      <c r="AF39" s="18">
        <f ca="1">IF('Current Player Stats'!$A20="","",'Current Player Stats'!$AE20)</f>
        <v>0</v>
      </c>
      <c r="AG39" s="18">
        <f ca="1">IF('Current Player Stats'!$A20="","",'Current Player Stats'!$AF20)</f>
        <v>0</v>
      </c>
      <c r="AH39" s="18">
        <f ca="1">IF('Current Player Stats'!$A20="","",'Current Player Stats'!$AG20)</f>
        <v>0</v>
      </c>
      <c r="AI39" s="18">
        <f ca="1">IF('Current Player Stats'!$A20="","",'Current Player Stats'!$AH20)</f>
        <v>0</v>
      </c>
      <c r="AJ39" s="18">
        <f ca="1">IF('Current Player Stats'!$A20="","",'Current Player Stats'!$AI20)</f>
        <v>3</v>
      </c>
    </row>
    <row r="40" spans="1:36">
      <c r="A40" s="18">
        <f ca="1">IF('Current Player Stats'!$A21="","",Settings!$B$2)</f>
        <v>1</v>
      </c>
      <c r="B40" s="117" t="str">
        <f ca="1">IF('Current Player Stats'!$A21="","",'Current Player Stats'!$A21)</f>
        <v>Jason</v>
      </c>
      <c r="C40" s="18" t="str">
        <f ca="1">IF('Current Player Stats'!$A21="","",'Current Player Stats'!$B21)</f>
        <v>G9</v>
      </c>
      <c r="D40" s="18">
        <f ca="1">IF('Current Player Stats'!$A21="","",'Current Player Stats'!$C21)</f>
        <v>1</v>
      </c>
      <c r="E40" s="18">
        <f ca="1">IF('Current Player Stats'!$A21="","",'Current Player Stats'!$D21)</f>
        <v>0</v>
      </c>
      <c r="F40" s="18">
        <f ca="1">IF('Current Player Stats'!$A21="","",'Current Player Stats'!$E21)</f>
        <v>0</v>
      </c>
      <c r="G40" s="18">
        <f ca="1">IF('Current Player Stats'!$A21="","",'Current Player Stats'!$F21)</f>
        <v>1</v>
      </c>
      <c r="H40" s="18">
        <f ca="1">IF('Current Player Stats'!$A21="","",'Current Player Stats'!$G21)</f>
        <v>9</v>
      </c>
      <c r="I40" s="18">
        <f ca="1">IF('Current Player Stats'!$A21="","",'Current Player Stats'!$H21)</f>
        <v>0</v>
      </c>
      <c r="J40" s="18">
        <f ca="1">IF('Current Player Stats'!$A21="","",'Current Player Stats'!$I21)</f>
        <v>0</v>
      </c>
      <c r="K40" s="18">
        <f ca="1">IF('Current Player Stats'!$A21="","",'Current Player Stats'!$J21)</f>
        <v>0</v>
      </c>
      <c r="L40" s="18">
        <f ca="1">IF('Current Player Stats'!$A21="","",'Current Player Stats'!$K21)</f>
        <v>0</v>
      </c>
      <c r="M40" s="18">
        <f ca="1">IF('Current Player Stats'!$A21="","",'Current Player Stats'!$L21)</f>
        <v>0</v>
      </c>
      <c r="N40" s="18">
        <f ca="1">IF('Current Player Stats'!$A21="","",'Current Player Stats'!$M21)</f>
        <v>2</v>
      </c>
      <c r="O40" s="18">
        <f ca="1">IF('Current Player Stats'!$A21="","",'Current Player Stats'!$N21)</f>
        <v>5</v>
      </c>
      <c r="P40" s="18">
        <f ca="1">IF('Current Player Stats'!$A21="","",'Current Player Stats'!$O21)</f>
        <v>0</v>
      </c>
      <c r="Q40" s="18">
        <f ca="1">IF('Current Player Stats'!$A21="","",'Current Player Stats'!$P21)</f>
        <v>0</v>
      </c>
      <c r="R40" s="18">
        <f ca="1">IF('Current Player Stats'!$A21="","",'Current Player Stats'!$Q21)</f>
        <v>1</v>
      </c>
      <c r="S40" s="18">
        <f ca="1">IF('Current Player Stats'!$A21="","",'Current Player Stats'!$R21)</f>
        <v>0</v>
      </c>
      <c r="T40" s="18">
        <f ca="1">IF('Current Player Stats'!$A21="","",'Current Player Stats'!$S21)</f>
        <v>2.5</v>
      </c>
      <c r="U40" s="18">
        <f ca="1">IF('Current Player Stats'!$A21="","",'Current Player Stats'!$T21)</f>
        <v>0</v>
      </c>
      <c r="V40" s="18">
        <f ca="1">IF('Current Player Stats'!$A21="","",'Current Player Stats'!$U21)</f>
        <v>0</v>
      </c>
      <c r="W40" s="18">
        <f ca="1">IF('Current Player Stats'!$A21="","",'Current Player Stats'!$V21)</f>
        <v>1</v>
      </c>
      <c r="X40" s="18">
        <f ca="1">IF('Current Player Stats'!$A21="","",'Current Player Stats'!$W21)</f>
        <v>0</v>
      </c>
      <c r="Y40" s="18">
        <f ca="1">IF('Current Player Stats'!$A21="","",'Current Player Stats'!$X21)</f>
        <v>0</v>
      </c>
      <c r="Z40" s="18">
        <f ca="1">IF('Current Player Stats'!$A21="","",'Current Player Stats'!$Y21)</f>
        <v>0</v>
      </c>
      <c r="AA40" s="18">
        <f ca="1">IF('Current Player Stats'!$A21="","",'Current Player Stats'!$Z21)</f>
        <v>0</v>
      </c>
      <c r="AB40" s="18">
        <f ca="1">IF('Current Player Stats'!$A21="","",'Current Player Stats'!$AA21)</f>
        <v>0</v>
      </c>
      <c r="AC40" s="18">
        <f ca="1">IF('Current Player Stats'!$A21="","",'Current Player Stats'!$AB21)</f>
        <v>0</v>
      </c>
      <c r="AD40" s="18">
        <f ca="1">IF('Current Player Stats'!$A21="","",'Current Player Stats'!$AC21)</f>
        <v>0</v>
      </c>
      <c r="AE40" s="18">
        <f ca="1">IF('Current Player Stats'!$A21="","",'Current Player Stats'!$AD21)</f>
        <v>0</v>
      </c>
      <c r="AF40" s="18">
        <f ca="1">IF('Current Player Stats'!$A21="","",'Current Player Stats'!$AE21)</f>
        <v>0</v>
      </c>
      <c r="AG40" s="18">
        <f ca="1">IF('Current Player Stats'!$A21="","",'Current Player Stats'!$AF21)</f>
        <v>0</v>
      </c>
      <c r="AH40" s="18">
        <f ca="1">IF('Current Player Stats'!$A21="","",'Current Player Stats'!$AG21)</f>
        <v>0</v>
      </c>
      <c r="AI40" s="18">
        <f ca="1">IF('Current Player Stats'!$A21="","",'Current Player Stats'!$AH21)</f>
        <v>0</v>
      </c>
      <c r="AJ40" s="18">
        <f ca="1">IF('Current Player Stats'!$A21="","",'Current Player Stats'!$AI21)</f>
        <v>10</v>
      </c>
    </row>
    <row r="41" spans="1:36">
      <c r="A41" s="18">
        <f ca="1">IF('Current Player Stats'!$A22="","",Settings!$B$2)</f>
        <v>1</v>
      </c>
      <c r="B41" s="117" t="str">
        <f ca="1">IF('Current Player Stats'!$A22="","",'Current Player Stats'!$A22)</f>
        <v>Nick</v>
      </c>
      <c r="C41" s="18" t="str">
        <f ca="1">IF('Current Player Stats'!$A22="","",'Current Player Stats'!$B22)</f>
        <v>G10</v>
      </c>
      <c r="D41" s="18">
        <f ca="1">IF('Current Player Stats'!$A22="","",'Current Player Stats'!$C22)</f>
        <v>0</v>
      </c>
      <c r="E41" s="18">
        <f ca="1">IF('Current Player Stats'!$A22="","",'Current Player Stats'!$D22)</f>
        <v>0</v>
      </c>
      <c r="F41" s="18">
        <f ca="1">IF('Current Player Stats'!$A22="","",'Current Player Stats'!$E22)</f>
        <v>0</v>
      </c>
      <c r="G41" s="18">
        <f ca="1">IF('Current Player Stats'!$A22="","",'Current Player Stats'!$F22)</f>
        <v>4</v>
      </c>
      <c r="H41" s="18">
        <f ca="1">IF('Current Player Stats'!$A22="","",'Current Player Stats'!$G22)</f>
        <v>0</v>
      </c>
      <c r="I41" s="18">
        <f ca="1">IF('Current Player Stats'!$A22="","",'Current Player Stats'!$H22)</f>
        <v>0</v>
      </c>
      <c r="J41" s="18">
        <f ca="1">IF('Current Player Stats'!$A22="","",'Current Player Stats'!$I22)</f>
        <v>0</v>
      </c>
      <c r="K41" s="18">
        <f ca="1">IF('Current Player Stats'!$A22="","",'Current Player Stats'!$J22)</f>
        <v>0</v>
      </c>
      <c r="L41" s="18">
        <f ca="1">IF('Current Player Stats'!$A22="","",'Current Player Stats'!$K22)</f>
        <v>0</v>
      </c>
      <c r="M41" s="18">
        <f ca="1">IF('Current Player Stats'!$A22="","",'Current Player Stats'!$L22)</f>
        <v>0</v>
      </c>
      <c r="N41" s="18">
        <f ca="1">IF('Current Player Stats'!$A22="","",'Current Player Stats'!$M22)</f>
        <v>0</v>
      </c>
      <c r="O41" s="18">
        <f ca="1">IF('Current Player Stats'!$A22="","",'Current Player Stats'!$N22)</f>
        <v>0</v>
      </c>
      <c r="P41" s="18">
        <f ca="1">IF('Current Player Stats'!$A22="","",'Current Player Stats'!$O22)</f>
        <v>0</v>
      </c>
      <c r="Q41" s="18">
        <f ca="1">IF('Current Player Stats'!$A22="","",'Current Player Stats'!$P22)</f>
        <v>0</v>
      </c>
      <c r="R41" s="18">
        <f ca="1">IF('Current Player Stats'!$A22="","",'Current Player Stats'!$Q22)</f>
        <v>0</v>
      </c>
      <c r="S41" s="18">
        <f ca="1">IF('Current Player Stats'!$A22="","",'Current Player Stats'!$R22)</f>
        <v>0</v>
      </c>
      <c r="T41" s="18">
        <f ca="1">IF('Current Player Stats'!$A22="","",'Current Player Stats'!$S22)</f>
        <v>0</v>
      </c>
      <c r="U41" s="18">
        <f ca="1">IF('Current Player Stats'!$A22="","",'Current Player Stats'!$T22)</f>
        <v>0</v>
      </c>
      <c r="V41" s="18">
        <f ca="1">IF('Current Player Stats'!$A22="","",'Current Player Stats'!$U22)</f>
        <v>0</v>
      </c>
      <c r="W41" s="18">
        <f ca="1">IF('Current Player Stats'!$A22="","",'Current Player Stats'!$V22)</f>
        <v>0</v>
      </c>
      <c r="X41" s="18">
        <f ca="1">IF('Current Player Stats'!$A22="","",'Current Player Stats'!$W22)</f>
        <v>0</v>
      </c>
      <c r="Y41" s="18">
        <f ca="1">IF('Current Player Stats'!$A22="","",'Current Player Stats'!$X22)</f>
        <v>0</v>
      </c>
      <c r="Z41" s="18">
        <f ca="1">IF('Current Player Stats'!$A22="","",'Current Player Stats'!$Y22)</f>
        <v>0</v>
      </c>
      <c r="AA41" s="18">
        <f ca="1">IF('Current Player Stats'!$A22="","",'Current Player Stats'!$Z22)</f>
        <v>0</v>
      </c>
      <c r="AB41" s="18">
        <f ca="1">IF('Current Player Stats'!$A22="","",'Current Player Stats'!$AA22)</f>
        <v>0</v>
      </c>
      <c r="AC41" s="18">
        <f ca="1">IF('Current Player Stats'!$A22="","",'Current Player Stats'!$AB22)</f>
        <v>0</v>
      </c>
      <c r="AD41" s="18">
        <f ca="1">IF('Current Player Stats'!$A22="","",'Current Player Stats'!$AC22)</f>
        <v>0</v>
      </c>
      <c r="AE41" s="18">
        <f ca="1">IF('Current Player Stats'!$A22="","",'Current Player Stats'!$AD22)</f>
        <v>0</v>
      </c>
      <c r="AF41" s="18">
        <f ca="1">IF('Current Player Stats'!$A22="","",'Current Player Stats'!$AE22)</f>
        <v>0</v>
      </c>
      <c r="AG41" s="18">
        <f ca="1">IF('Current Player Stats'!$A22="","",'Current Player Stats'!$AF22)</f>
        <v>0</v>
      </c>
      <c r="AH41" s="18">
        <f ca="1">IF('Current Player Stats'!$A22="","",'Current Player Stats'!$AG22)</f>
        <v>0</v>
      </c>
      <c r="AI41" s="18">
        <f ca="1">IF('Current Player Stats'!$A22="","",'Current Player Stats'!$AH22)</f>
        <v>0</v>
      </c>
      <c r="AJ41" s="18">
        <f ca="1">IF('Current Player Stats'!$A22="","",'Current Player Stats'!$AI22)</f>
        <v>0</v>
      </c>
    </row>
    <row r="42" spans="1:36">
      <c r="A42" s="18">
        <f ca="1">IF('Current Player Stats'!$A23="","",Settings!$B$2)</f>
        <v>1</v>
      </c>
      <c r="B42" s="117" t="str">
        <f ca="1">IF('Current Player Stats'!$A23="","",'Current Player Stats'!$A23)</f>
        <v>Jason</v>
      </c>
      <c r="C42" s="18" t="str">
        <f ca="1">IF('Current Player Stats'!$A23="","",'Current Player Stats'!$B23)</f>
        <v>G10</v>
      </c>
      <c r="D42" s="18">
        <f ca="1">IF('Current Player Stats'!$A23="","",'Current Player Stats'!$C23)</f>
        <v>0</v>
      </c>
      <c r="E42" s="18">
        <f ca="1">IF('Current Player Stats'!$A23="","",'Current Player Stats'!$D23)</f>
        <v>0</v>
      </c>
      <c r="F42" s="18">
        <f ca="1">IF('Current Player Stats'!$A23="","",'Current Player Stats'!$E23)</f>
        <v>4</v>
      </c>
      <c r="G42" s="18">
        <f ca="1">IF('Current Player Stats'!$A23="","",'Current Player Stats'!$F23)</f>
        <v>0</v>
      </c>
      <c r="H42" s="18">
        <f ca="1">IF('Current Player Stats'!$A23="","",'Current Player Stats'!$G23)</f>
        <v>0</v>
      </c>
      <c r="I42" s="18">
        <f ca="1">IF('Current Player Stats'!$A23="","",'Current Player Stats'!$H23)</f>
        <v>0</v>
      </c>
      <c r="J42" s="18">
        <f ca="1">IF('Current Player Stats'!$A23="","",'Current Player Stats'!$I23)</f>
        <v>0</v>
      </c>
      <c r="K42" s="18">
        <f ca="1">IF('Current Player Stats'!$A23="","",'Current Player Stats'!$J23)</f>
        <v>0</v>
      </c>
      <c r="L42" s="18">
        <f ca="1">IF('Current Player Stats'!$A23="","",'Current Player Stats'!$K23)</f>
        <v>0</v>
      </c>
      <c r="M42" s="18">
        <f ca="1">IF('Current Player Stats'!$A23="","",'Current Player Stats'!$L23)</f>
        <v>0</v>
      </c>
      <c r="N42" s="18">
        <f ca="1">IF('Current Player Stats'!$A23="","",'Current Player Stats'!$M23)</f>
        <v>0</v>
      </c>
      <c r="O42" s="18">
        <f ca="1">IF('Current Player Stats'!$A23="","",'Current Player Stats'!$N23)</f>
        <v>0</v>
      </c>
      <c r="P42" s="18">
        <f ca="1">IF('Current Player Stats'!$A23="","",'Current Player Stats'!$O23)</f>
        <v>0</v>
      </c>
      <c r="Q42" s="18">
        <f ca="1">IF('Current Player Stats'!$A23="","",'Current Player Stats'!$P23)</f>
        <v>0</v>
      </c>
      <c r="R42" s="18">
        <f ca="1">IF('Current Player Stats'!$A23="","",'Current Player Stats'!$Q23)</f>
        <v>0</v>
      </c>
      <c r="S42" s="18">
        <f ca="1">IF('Current Player Stats'!$A23="","",'Current Player Stats'!$R23)</f>
        <v>0</v>
      </c>
      <c r="T42" s="18">
        <f ca="1">IF('Current Player Stats'!$A23="","",'Current Player Stats'!$S23)</f>
        <v>0</v>
      </c>
      <c r="U42" s="18">
        <f ca="1">IF('Current Player Stats'!$A23="","",'Current Player Stats'!$T23)</f>
        <v>0</v>
      </c>
      <c r="V42" s="18">
        <f ca="1">IF('Current Player Stats'!$A23="","",'Current Player Stats'!$U23)</f>
        <v>0</v>
      </c>
      <c r="W42" s="18">
        <f ca="1">IF('Current Player Stats'!$A23="","",'Current Player Stats'!$V23)</f>
        <v>0</v>
      </c>
      <c r="X42" s="18">
        <f ca="1">IF('Current Player Stats'!$A23="","",'Current Player Stats'!$W23)</f>
        <v>0</v>
      </c>
      <c r="Y42" s="18">
        <f ca="1">IF('Current Player Stats'!$A23="","",'Current Player Stats'!$X23)</f>
        <v>0</v>
      </c>
      <c r="Z42" s="18">
        <f ca="1">IF('Current Player Stats'!$A23="","",'Current Player Stats'!$Y23)</f>
        <v>0</v>
      </c>
      <c r="AA42" s="18">
        <f ca="1">IF('Current Player Stats'!$A23="","",'Current Player Stats'!$Z23)</f>
        <v>0</v>
      </c>
      <c r="AB42" s="18">
        <f ca="1">IF('Current Player Stats'!$A23="","",'Current Player Stats'!$AA23)</f>
        <v>0</v>
      </c>
      <c r="AC42" s="18">
        <f ca="1">IF('Current Player Stats'!$A23="","",'Current Player Stats'!$AB23)</f>
        <v>0</v>
      </c>
      <c r="AD42" s="18">
        <f ca="1">IF('Current Player Stats'!$A23="","",'Current Player Stats'!$AC23)</f>
        <v>0</v>
      </c>
      <c r="AE42" s="18">
        <f ca="1">IF('Current Player Stats'!$A23="","",'Current Player Stats'!$AD23)</f>
        <v>0</v>
      </c>
      <c r="AF42" s="18">
        <f ca="1">IF('Current Player Stats'!$A23="","",'Current Player Stats'!$AE23)</f>
        <v>0</v>
      </c>
      <c r="AG42" s="18">
        <f ca="1">IF('Current Player Stats'!$A23="","",'Current Player Stats'!$AF23)</f>
        <v>0</v>
      </c>
      <c r="AH42" s="18">
        <f ca="1">IF('Current Player Stats'!$A23="","",'Current Player Stats'!$AG23)</f>
        <v>0</v>
      </c>
      <c r="AI42" s="18">
        <f ca="1">IF('Current Player Stats'!$A23="","",'Current Player Stats'!$AH23)</f>
        <v>0</v>
      </c>
      <c r="AJ42" s="18">
        <f ca="1">IF('Current Player Stats'!$A23="","",'Current Player Stats'!$AI23)</f>
        <v>0</v>
      </c>
    </row>
    <row r="43" spans="1:36">
      <c r="A43" s="18" t="str">
        <f ca="1">IF('Current Player Stats'!$A24="","",Settings!$B$2)</f>
        <v/>
      </c>
      <c r="B43" s="117" t="str">
        <f ca="1">IF('Current Player Stats'!$A24="","",'Current Player Stats'!$A24)</f>
        <v/>
      </c>
      <c r="C43" s="18" t="str">
        <f ca="1">IF('Current Player Stats'!$A24="","",'Current Player Stats'!$B24)</f>
        <v/>
      </c>
      <c r="D43" s="18" t="str">
        <f ca="1">IF('Current Player Stats'!$A24="","",'Current Player Stats'!$C24)</f>
        <v/>
      </c>
      <c r="E43" s="18" t="str">
        <f ca="1">IF('Current Player Stats'!$A24="","",'Current Player Stats'!$D24)</f>
        <v/>
      </c>
      <c r="F43" s="18" t="str">
        <f ca="1">IF('Current Player Stats'!$A24="","",'Current Player Stats'!$E24)</f>
        <v/>
      </c>
      <c r="G43" s="18" t="str">
        <f ca="1">IF('Current Player Stats'!$A24="","",'Current Player Stats'!$F24)</f>
        <v/>
      </c>
      <c r="H43" s="18" t="str">
        <f ca="1">IF('Current Player Stats'!$A24="","",'Current Player Stats'!$G24)</f>
        <v/>
      </c>
      <c r="I43" s="18" t="str">
        <f ca="1">IF('Current Player Stats'!$A24="","",'Current Player Stats'!$H24)</f>
        <v/>
      </c>
      <c r="J43" s="18" t="str">
        <f ca="1">IF('Current Player Stats'!$A24="","",'Current Player Stats'!$I24)</f>
        <v/>
      </c>
      <c r="K43" s="18" t="str">
        <f ca="1">IF('Current Player Stats'!$A24="","",'Current Player Stats'!$J24)</f>
        <v/>
      </c>
      <c r="L43" s="18" t="str">
        <f ca="1">IF('Current Player Stats'!$A24="","",'Current Player Stats'!$K24)</f>
        <v/>
      </c>
      <c r="M43" s="18" t="str">
        <f ca="1">IF('Current Player Stats'!$A24="","",'Current Player Stats'!$L24)</f>
        <v/>
      </c>
      <c r="N43" s="18" t="str">
        <f ca="1">IF('Current Player Stats'!$A24="","",'Current Player Stats'!$M24)</f>
        <v/>
      </c>
      <c r="O43" s="18" t="str">
        <f ca="1">IF('Current Player Stats'!$A24="","",'Current Player Stats'!$N24)</f>
        <v/>
      </c>
      <c r="P43" s="18" t="str">
        <f ca="1">IF('Current Player Stats'!$A24="","",'Current Player Stats'!$O24)</f>
        <v/>
      </c>
      <c r="Q43" s="18" t="str">
        <f ca="1">IF('Current Player Stats'!$A24="","",'Current Player Stats'!$P24)</f>
        <v/>
      </c>
      <c r="R43" s="18" t="str">
        <f ca="1">IF('Current Player Stats'!$A24="","",'Current Player Stats'!$Q24)</f>
        <v/>
      </c>
      <c r="S43" s="18" t="str">
        <f ca="1">IF('Current Player Stats'!$A24="","",'Current Player Stats'!$R24)</f>
        <v/>
      </c>
      <c r="T43" s="18" t="str">
        <f ca="1">IF('Current Player Stats'!$A24="","",'Current Player Stats'!$S24)</f>
        <v/>
      </c>
      <c r="U43" s="18" t="str">
        <f ca="1">IF('Current Player Stats'!$A24="","",'Current Player Stats'!$T24)</f>
        <v/>
      </c>
      <c r="V43" s="18" t="str">
        <f ca="1">IF('Current Player Stats'!$A24="","",'Current Player Stats'!$U24)</f>
        <v/>
      </c>
      <c r="W43" s="18" t="str">
        <f ca="1">IF('Current Player Stats'!$A24="","",'Current Player Stats'!$V24)</f>
        <v/>
      </c>
      <c r="X43" s="18" t="str">
        <f ca="1">IF('Current Player Stats'!$A24="","",'Current Player Stats'!$W24)</f>
        <v/>
      </c>
      <c r="Y43" s="18" t="str">
        <f ca="1">IF('Current Player Stats'!$A24="","",'Current Player Stats'!$X24)</f>
        <v/>
      </c>
      <c r="Z43" s="18" t="str">
        <f ca="1">IF('Current Player Stats'!$A24="","",'Current Player Stats'!$Y24)</f>
        <v/>
      </c>
      <c r="AA43" s="18" t="str">
        <f ca="1">IF('Current Player Stats'!$A24="","",'Current Player Stats'!$Z24)</f>
        <v/>
      </c>
      <c r="AB43" s="18" t="str">
        <f ca="1">IF('Current Player Stats'!$A24="","",'Current Player Stats'!$AA24)</f>
        <v/>
      </c>
      <c r="AC43" s="18" t="str">
        <f ca="1">IF('Current Player Stats'!$A24="","",'Current Player Stats'!$AB24)</f>
        <v/>
      </c>
      <c r="AD43" s="18" t="str">
        <f ca="1">IF('Current Player Stats'!$A24="","",'Current Player Stats'!$AC24)</f>
        <v/>
      </c>
      <c r="AE43" s="18" t="str">
        <f ca="1">IF('Current Player Stats'!$A24="","",'Current Player Stats'!$AD24)</f>
        <v/>
      </c>
      <c r="AF43" s="18" t="str">
        <f ca="1">IF('Current Player Stats'!$A24="","",'Current Player Stats'!$AE24)</f>
        <v/>
      </c>
      <c r="AG43" s="18" t="str">
        <f ca="1">IF('Current Player Stats'!$A24="","",'Current Player Stats'!$AF24)</f>
        <v/>
      </c>
      <c r="AH43" s="18" t="str">
        <f ca="1">IF('Current Player Stats'!$A24="","",'Current Player Stats'!$AG24)</f>
        <v/>
      </c>
      <c r="AI43" s="18" t="str">
        <f ca="1">IF('Current Player Stats'!$A24="","",'Current Player Stats'!$AH24)</f>
        <v/>
      </c>
      <c r="AJ43" s="18" t="str">
        <f ca="1">IF('Current Player Stats'!$A24="","",'Current Player Stats'!$AI24)</f>
        <v/>
      </c>
    </row>
    <row r="44" spans="1:36">
      <c r="A44" s="18" t="str">
        <f ca="1">IF('Current Player Stats'!$A25="","",Settings!$B$2)</f>
        <v/>
      </c>
      <c r="B44" s="117" t="str">
        <f ca="1">IF('Current Player Stats'!$A25="","",'Current Player Stats'!$A25)</f>
        <v/>
      </c>
      <c r="C44" s="18" t="str">
        <f ca="1">IF('Current Player Stats'!$A25="","",'Current Player Stats'!$B25)</f>
        <v/>
      </c>
      <c r="D44" s="18" t="str">
        <f ca="1">IF('Current Player Stats'!$A25="","",'Current Player Stats'!$C25)</f>
        <v/>
      </c>
      <c r="E44" s="18" t="str">
        <f ca="1">IF('Current Player Stats'!$A25="","",'Current Player Stats'!$D25)</f>
        <v/>
      </c>
      <c r="F44" s="18" t="str">
        <f ca="1">IF('Current Player Stats'!$A25="","",'Current Player Stats'!$E25)</f>
        <v/>
      </c>
      <c r="G44" s="18" t="str">
        <f ca="1">IF('Current Player Stats'!$A25="","",'Current Player Stats'!$F25)</f>
        <v/>
      </c>
      <c r="H44" s="18" t="str">
        <f ca="1">IF('Current Player Stats'!$A25="","",'Current Player Stats'!$G25)</f>
        <v/>
      </c>
      <c r="I44" s="18" t="str">
        <f ca="1">IF('Current Player Stats'!$A25="","",'Current Player Stats'!$H25)</f>
        <v/>
      </c>
      <c r="J44" s="18" t="str">
        <f ca="1">IF('Current Player Stats'!$A25="","",'Current Player Stats'!$I25)</f>
        <v/>
      </c>
      <c r="K44" s="18" t="str">
        <f ca="1">IF('Current Player Stats'!$A25="","",'Current Player Stats'!$J25)</f>
        <v/>
      </c>
      <c r="L44" s="18" t="str">
        <f ca="1">IF('Current Player Stats'!$A25="","",'Current Player Stats'!$K25)</f>
        <v/>
      </c>
      <c r="M44" s="18" t="str">
        <f ca="1">IF('Current Player Stats'!$A25="","",'Current Player Stats'!$L25)</f>
        <v/>
      </c>
      <c r="N44" s="18" t="str">
        <f ca="1">IF('Current Player Stats'!$A25="","",'Current Player Stats'!$M25)</f>
        <v/>
      </c>
      <c r="O44" s="18" t="str">
        <f ca="1">IF('Current Player Stats'!$A25="","",'Current Player Stats'!$N25)</f>
        <v/>
      </c>
      <c r="P44" s="18" t="str">
        <f ca="1">IF('Current Player Stats'!$A25="","",'Current Player Stats'!$O25)</f>
        <v/>
      </c>
      <c r="Q44" s="18" t="str">
        <f ca="1">IF('Current Player Stats'!$A25="","",'Current Player Stats'!$P25)</f>
        <v/>
      </c>
      <c r="R44" s="18" t="str">
        <f ca="1">IF('Current Player Stats'!$A25="","",'Current Player Stats'!$Q25)</f>
        <v/>
      </c>
      <c r="S44" s="18" t="str">
        <f ca="1">IF('Current Player Stats'!$A25="","",'Current Player Stats'!$R25)</f>
        <v/>
      </c>
      <c r="T44" s="18" t="str">
        <f ca="1">IF('Current Player Stats'!$A25="","",'Current Player Stats'!$S25)</f>
        <v/>
      </c>
      <c r="U44" s="18" t="str">
        <f ca="1">IF('Current Player Stats'!$A25="","",'Current Player Stats'!$T25)</f>
        <v/>
      </c>
      <c r="V44" s="18" t="str">
        <f ca="1">IF('Current Player Stats'!$A25="","",'Current Player Stats'!$U25)</f>
        <v/>
      </c>
      <c r="W44" s="18" t="str">
        <f ca="1">IF('Current Player Stats'!$A25="","",'Current Player Stats'!$V25)</f>
        <v/>
      </c>
      <c r="X44" s="18" t="str">
        <f ca="1">IF('Current Player Stats'!$A25="","",'Current Player Stats'!$W25)</f>
        <v/>
      </c>
      <c r="Y44" s="18" t="str">
        <f ca="1">IF('Current Player Stats'!$A25="","",'Current Player Stats'!$X25)</f>
        <v/>
      </c>
      <c r="Z44" s="18" t="str">
        <f ca="1">IF('Current Player Stats'!$A25="","",'Current Player Stats'!$Y25)</f>
        <v/>
      </c>
      <c r="AA44" s="18" t="str">
        <f ca="1">IF('Current Player Stats'!$A25="","",'Current Player Stats'!$Z25)</f>
        <v/>
      </c>
      <c r="AB44" s="18" t="str">
        <f ca="1">IF('Current Player Stats'!$A25="","",'Current Player Stats'!$AA25)</f>
        <v/>
      </c>
      <c r="AC44" s="18" t="str">
        <f ca="1">IF('Current Player Stats'!$A25="","",'Current Player Stats'!$AB25)</f>
        <v/>
      </c>
      <c r="AD44" s="18" t="str">
        <f ca="1">IF('Current Player Stats'!$A25="","",'Current Player Stats'!$AC25)</f>
        <v/>
      </c>
      <c r="AE44" s="18" t="str">
        <f ca="1">IF('Current Player Stats'!$A25="","",'Current Player Stats'!$AD25)</f>
        <v/>
      </c>
      <c r="AF44" s="18" t="str">
        <f ca="1">IF('Current Player Stats'!$A25="","",'Current Player Stats'!$AE25)</f>
        <v/>
      </c>
      <c r="AG44" s="18" t="str">
        <f ca="1">IF('Current Player Stats'!$A25="","",'Current Player Stats'!$AF25)</f>
        <v/>
      </c>
      <c r="AH44" s="18" t="str">
        <f ca="1">IF('Current Player Stats'!$A25="","",'Current Player Stats'!$AG25)</f>
        <v/>
      </c>
      <c r="AI44" s="18" t="str">
        <f ca="1">IF('Current Player Stats'!$A25="","",'Current Player Stats'!$AH25)</f>
        <v/>
      </c>
      <c r="AJ44" s="18" t="str">
        <f ca="1">IF('Current Player Stats'!$A25="","",'Current Player Stats'!$AI25)</f>
        <v/>
      </c>
    </row>
    <row r="45" spans="1:36">
      <c r="A45" s="18" t="str">
        <f ca="1">IF('Current Player Stats'!$A26="","",Settings!$B$2)</f>
        <v/>
      </c>
      <c r="B45" s="117" t="str">
        <f ca="1">IF('Current Player Stats'!$A26="","",'Current Player Stats'!$A26)</f>
        <v/>
      </c>
      <c r="C45" s="18" t="str">
        <f ca="1">IF('Current Player Stats'!$A26="","",'Current Player Stats'!$B26)</f>
        <v/>
      </c>
      <c r="D45" s="18" t="str">
        <f ca="1">IF('Current Player Stats'!$A26="","",'Current Player Stats'!$C26)</f>
        <v/>
      </c>
      <c r="E45" s="18" t="str">
        <f ca="1">IF('Current Player Stats'!$A26="","",'Current Player Stats'!$D26)</f>
        <v/>
      </c>
      <c r="F45" s="18" t="str">
        <f ca="1">IF('Current Player Stats'!$A26="","",'Current Player Stats'!$E26)</f>
        <v/>
      </c>
      <c r="G45" s="18" t="str">
        <f ca="1">IF('Current Player Stats'!$A26="","",'Current Player Stats'!$F26)</f>
        <v/>
      </c>
      <c r="H45" s="18" t="str">
        <f ca="1">IF('Current Player Stats'!$A26="","",'Current Player Stats'!$G26)</f>
        <v/>
      </c>
      <c r="I45" s="18" t="str">
        <f ca="1">IF('Current Player Stats'!$A26="","",'Current Player Stats'!$H26)</f>
        <v/>
      </c>
      <c r="J45" s="18" t="str">
        <f ca="1">IF('Current Player Stats'!$A26="","",'Current Player Stats'!$I26)</f>
        <v/>
      </c>
      <c r="K45" s="18" t="str">
        <f ca="1">IF('Current Player Stats'!$A26="","",'Current Player Stats'!$J26)</f>
        <v/>
      </c>
      <c r="L45" s="18" t="str">
        <f ca="1">IF('Current Player Stats'!$A26="","",'Current Player Stats'!$K26)</f>
        <v/>
      </c>
      <c r="M45" s="18" t="str">
        <f ca="1">IF('Current Player Stats'!$A26="","",'Current Player Stats'!$L26)</f>
        <v/>
      </c>
      <c r="N45" s="18" t="str">
        <f ca="1">IF('Current Player Stats'!$A26="","",'Current Player Stats'!$M26)</f>
        <v/>
      </c>
      <c r="O45" s="18" t="str">
        <f ca="1">IF('Current Player Stats'!$A26="","",'Current Player Stats'!$N26)</f>
        <v/>
      </c>
      <c r="P45" s="18" t="str">
        <f ca="1">IF('Current Player Stats'!$A26="","",'Current Player Stats'!$O26)</f>
        <v/>
      </c>
      <c r="Q45" s="18" t="str">
        <f ca="1">IF('Current Player Stats'!$A26="","",'Current Player Stats'!$P26)</f>
        <v/>
      </c>
      <c r="R45" s="18" t="str">
        <f ca="1">IF('Current Player Stats'!$A26="","",'Current Player Stats'!$Q26)</f>
        <v/>
      </c>
      <c r="S45" s="18" t="str">
        <f ca="1">IF('Current Player Stats'!$A26="","",'Current Player Stats'!$R26)</f>
        <v/>
      </c>
      <c r="T45" s="18" t="str">
        <f ca="1">IF('Current Player Stats'!$A26="","",'Current Player Stats'!$S26)</f>
        <v/>
      </c>
      <c r="U45" s="18" t="str">
        <f ca="1">IF('Current Player Stats'!$A26="","",'Current Player Stats'!$T26)</f>
        <v/>
      </c>
      <c r="V45" s="18" t="str">
        <f ca="1">IF('Current Player Stats'!$A26="","",'Current Player Stats'!$U26)</f>
        <v/>
      </c>
      <c r="W45" s="18" t="str">
        <f ca="1">IF('Current Player Stats'!$A26="","",'Current Player Stats'!$V26)</f>
        <v/>
      </c>
      <c r="X45" s="18" t="str">
        <f ca="1">IF('Current Player Stats'!$A26="","",'Current Player Stats'!$W26)</f>
        <v/>
      </c>
      <c r="Y45" s="18" t="str">
        <f ca="1">IF('Current Player Stats'!$A26="","",'Current Player Stats'!$X26)</f>
        <v/>
      </c>
      <c r="Z45" s="18" t="str">
        <f ca="1">IF('Current Player Stats'!$A26="","",'Current Player Stats'!$Y26)</f>
        <v/>
      </c>
      <c r="AA45" s="18" t="str">
        <f ca="1">IF('Current Player Stats'!$A26="","",'Current Player Stats'!$Z26)</f>
        <v/>
      </c>
      <c r="AB45" s="18" t="str">
        <f ca="1">IF('Current Player Stats'!$A26="","",'Current Player Stats'!$AA26)</f>
        <v/>
      </c>
      <c r="AC45" s="18" t="str">
        <f ca="1">IF('Current Player Stats'!$A26="","",'Current Player Stats'!$AB26)</f>
        <v/>
      </c>
      <c r="AD45" s="18" t="str">
        <f ca="1">IF('Current Player Stats'!$A26="","",'Current Player Stats'!$AC26)</f>
        <v/>
      </c>
      <c r="AE45" s="18" t="str">
        <f ca="1">IF('Current Player Stats'!$A26="","",'Current Player Stats'!$AD26)</f>
        <v/>
      </c>
      <c r="AF45" s="18" t="str">
        <f ca="1">IF('Current Player Stats'!$A26="","",'Current Player Stats'!$AE26)</f>
        <v/>
      </c>
      <c r="AG45" s="18" t="str">
        <f ca="1">IF('Current Player Stats'!$A26="","",'Current Player Stats'!$AF26)</f>
        <v/>
      </c>
      <c r="AH45" s="18" t="str">
        <f ca="1">IF('Current Player Stats'!$A26="","",'Current Player Stats'!$AG26)</f>
        <v/>
      </c>
      <c r="AI45" s="18" t="str">
        <f ca="1">IF('Current Player Stats'!$A26="","",'Current Player Stats'!$AH26)</f>
        <v/>
      </c>
      <c r="AJ45" s="18" t="str">
        <f ca="1">IF('Current Player Stats'!$A26="","",'Current Player Stats'!$AI26)</f>
        <v/>
      </c>
    </row>
    <row r="46" spans="1:36">
      <c r="A46" s="18" t="str">
        <f ca="1">IF('Current Player Stats'!$A27="","",Settings!$B$2)</f>
        <v/>
      </c>
      <c r="B46" s="117" t="str">
        <f ca="1">IF('Current Player Stats'!$A27="","",'Current Player Stats'!$A27)</f>
        <v/>
      </c>
      <c r="C46" s="18" t="str">
        <f ca="1">IF('Current Player Stats'!$A27="","",'Current Player Stats'!$B27)</f>
        <v/>
      </c>
      <c r="D46" s="18" t="str">
        <f ca="1">IF('Current Player Stats'!$A27="","",'Current Player Stats'!$C27)</f>
        <v/>
      </c>
      <c r="E46" s="18" t="str">
        <f ca="1">IF('Current Player Stats'!$A27="","",'Current Player Stats'!$D27)</f>
        <v/>
      </c>
      <c r="F46" s="18" t="str">
        <f ca="1">IF('Current Player Stats'!$A27="","",'Current Player Stats'!$E27)</f>
        <v/>
      </c>
      <c r="G46" s="18" t="str">
        <f ca="1">IF('Current Player Stats'!$A27="","",'Current Player Stats'!$F27)</f>
        <v/>
      </c>
      <c r="H46" s="18" t="str">
        <f ca="1">IF('Current Player Stats'!$A27="","",'Current Player Stats'!$G27)</f>
        <v/>
      </c>
      <c r="I46" s="18" t="str">
        <f ca="1">IF('Current Player Stats'!$A27="","",'Current Player Stats'!$H27)</f>
        <v/>
      </c>
      <c r="J46" s="18" t="str">
        <f ca="1">IF('Current Player Stats'!$A27="","",'Current Player Stats'!$I27)</f>
        <v/>
      </c>
      <c r="K46" s="18" t="str">
        <f ca="1">IF('Current Player Stats'!$A27="","",'Current Player Stats'!$J27)</f>
        <v/>
      </c>
      <c r="L46" s="18" t="str">
        <f ca="1">IF('Current Player Stats'!$A27="","",'Current Player Stats'!$K27)</f>
        <v/>
      </c>
      <c r="M46" s="18" t="str">
        <f ca="1">IF('Current Player Stats'!$A27="","",'Current Player Stats'!$L27)</f>
        <v/>
      </c>
      <c r="N46" s="18" t="str">
        <f ca="1">IF('Current Player Stats'!$A27="","",'Current Player Stats'!$M27)</f>
        <v/>
      </c>
      <c r="O46" s="18" t="str">
        <f ca="1">IF('Current Player Stats'!$A27="","",'Current Player Stats'!$N27)</f>
        <v/>
      </c>
      <c r="P46" s="18" t="str">
        <f ca="1">IF('Current Player Stats'!$A27="","",'Current Player Stats'!$O27)</f>
        <v/>
      </c>
      <c r="Q46" s="18" t="str">
        <f ca="1">IF('Current Player Stats'!$A27="","",'Current Player Stats'!$P27)</f>
        <v/>
      </c>
      <c r="R46" s="18" t="str">
        <f ca="1">IF('Current Player Stats'!$A27="","",'Current Player Stats'!$Q27)</f>
        <v/>
      </c>
      <c r="S46" s="18" t="str">
        <f ca="1">IF('Current Player Stats'!$A27="","",'Current Player Stats'!$R27)</f>
        <v/>
      </c>
      <c r="T46" s="18" t="str">
        <f ca="1">IF('Current Player Stats'!$A27="","",'Current Player Stats'!$S27)</f>
        <v/>
      </c>
      <c r="U46" s="18" t="str">
        <f ca="1">IF('Current Player Stats'!$A27="","",'Current Player Stats'!$T27)</f>
        <v/>
      </c>
      <c r="V46" s="18" t="str">
        <f ca="1">IF('Current Player Stats'!$A27="","",'Current Player Stats'!$U27)</f>
        <v/>
      </c>
      <c r="W46" s="18" t="str">
        <f ca="1">IF('Current Player Stats'!$A27="","",'Current Player Stats'!$V27)</f>
        <v/>
      </c>
      <c r="X46" s="18" t="str">
        <f ca="1">IF('Current Player Stats'!$A27="","",'Current Player Stats'!$W27)</f>
        <v/>
      </c>
      <c r="Y46" s="18" t="str">
        <f ca="1">IF('Current Player Stats'!$A27="","",'Current Player Stats'!$X27)</f>
        <v/>
      </c>
      <c r="Z46" s="18" t="str">
        <f ca="1">IF('Current Player Stats'!$A27="","",'Current Player Stats'!$Y27)</f>
        <v/>
      </c>
      <c r="AA46" s="18" t="str">
        <f ca="1">IF('Current Player Stats'!$A27="","",'Current Player Stats'!$Z27)</f>
        <v/>
      </c>
      <c r="AB46" s="18" t="str">
        <f ca="1">IF('Current Player Stats'!$A27="","",'Current Player Stats'!$AA27)</f>
        <v/>
      </c>
      <c r="AC46" s="18" t="str">
        <f ca="1">IF('Current Player Stats'!$A27="","",'Current Player Stats'!$AB27)</f>
        <v/>
      </c>
      <c r="AD46" s="18" t="str">
        <f ca="1">IF('Current Player Stats'!$A27="","",'Current Player Stats'!$AC27)</f>
        <v/>
      </c>
      <c r="AE46" s="18" t="str">
        <f ca="1">IF('Current Player Stats'!$A27="","",'Current Player Stats'!$AD27)</f>
        <v/>
      </c>
      <c r="AF46" s="18" t="str">
        <f ca="1">IF('Current Player Stats'!$A27="","",'Current Player Stats'!$AE27)</f>
        <v/>
      </c>
      <c r="AG46" s="18" t="str">
        <f ca="1">IF('Current Player Stats'!$A27="","",'Current Player Stats'!$AF27)</f>
        <v/>
      </c>
      <c r="AH46" s="18" t="str">
        <f ca="1">IF('Current Player Stats'!$A27="","",'Current Player Stats'!$AG27)</f>
        <v/>
      </c>
      <c r="AI46" s="18" t="str">
        <f ca="1">IF('Current Player Stats'!$A27="","",'Current Player Stats'!$AH27)</f>
        <v/>
      </c>
      <c r="AJ46" s="18" t="str">
        <f ca="1">IF('Current Player Stats'!$A27="","",'Current Player Stats'!$AI27)</f>
        <v/>
      </c>
    </row>
    <row r="47" spans="1:36">
      <c r="A47" s="18" t="str">
        <f ca="1">IF('Current Player Stats'!$A28="","",Settings!$B$2)</f>
        <v/>
      </c>
      <c r="B47" s="117" t="str">
        <f ca="1">IF('Current Player Stats'!$A28="","",'Current Player Stats'!$A28)</f>
        <v/>
      </c>
      <c r="C47" s="18" t="str">
        <f ca="1">IF('Current Player Stats'!$A28="","",'Current Player Stats'!$B28)</f>
        <v/>
      </c>
      <c r="D47" s="18" t="str">
        <f ca="1">IF('Current Player Stats'!$A28="","",'Current Player Stats'!$C28)</f>
        <v/>
      </c>
      <c r="E47" s="18" t="str">
        <f ca="1">IF('Current Player Stats'!$A28="","",'Current Player Stats'!$D28)</f>
        <v/>
      </c>
      <c r="F47" s="18" t="str">
        <f ca="1">IF('Current Player Stats'!$A28="","",'Current Player Stats'!$E28)</f>
        <v/>
      </c>
      <c r="G47" s="18" t="str">
        <f ca="1">IF('Current Player Stats'!$A28="","",'Current Player Stats'!$F28)</f>
        <v/>
      </c>
      <c r="H47" s="18" t="str">
        <f ca="1">IF('Current Player Stats'!$A28="","",'Current Player Stats'!$G28)</f>
        <v/>
      </c>
      <c r="I47" s="18" t="str">
        <f ca="1">IF('Current Player Stats'!$A28="","",'Current Player Stats'!$H28)</f>
        <v/>
      </c>
      <c r="J47" s="18" t="str">
        <f ca="1">IF('Current Player Stats'!$A28="","",'Current Player Stats'!$I28)</f>
        <v/>
      </c>
      <c r="K47" s="18" t="str">
        <f ca="1">IF('Current Player Stats'!$A28="","",'Current Player Stats'!$J28)</f>
        <v/>
      </c>
      <c r="L47" s="18" t="str">
        <f ca="1">IF('Current Player Stats'!$A28="","",'Current Player Stats'!$K28)</f>
        <v/>
      </c>
      <c r="M47" s="18" t="str">
        <f ca="1">IF('Current Player Stats'!$A28="","",'Current Player Stats'!$L28)</f>
        <v/>
      </c>
      <c r="N47" s="18" t="str">
        <f ca="1">IF('Current Player Stats'!$A28="","",'Current Player Stats'!$M28)</f>
        <v/>
      </c>
      <c r="O47" s="18" t="str">
        <f ca="1">IF('Current Player Stats'!$A28="","",'Current Player Stats'!$N28)</f>
        <v/>
      </c>
      <c r="P47" s="18" t="str">
        <f ca="1">IF('Current Player Stats'!$A28="","",'Current Player Stats'!$O28)</f>
        <v/>
      </c>
      <c r="Q47" s="18" t="str">
        <f ca="1">IF('Current Player Stats'!$A28="","",'Current Player Stats'!$P28)</f>
        <v/>
      </c>
      <c r="R47" s="18" t="str">
        <f ca="1">IF('Current Player Stats'!$A28="","",'Current Player Stats'!$Q28)</f>
        <v/>
      </c>
      <c r="S47" s="18" t="str">
        <f ca="1">IF('Current Player Stats'!$A28="","",'Current Player Stats'!$R28)</f>
        <v/>
      </c>
      <c r="T47" s="18" t="str">
        <f ca="1">IF('Current Player Stats'!$A28="","",'Current Player Stats'!$S28)</f>
        <v/>
      </c>
      <c r="U47" s="18" t="str">
        <f ca="1">IF('Current Player Stats'!$A28="","",'Current Player Stats'!$T28)</f>
        <v/>
      </c>
      <c r="V47" s="18" t="str">
        <f ca="1">IF('Current Player Stats'!$A28="","",'Current Player Stats'!$U28)</f>
        <v/>
      </c>
      <c r="W47" s="18" t="str">
        <f ca="1">IF('Current Player Stats'!$A28="","",'Current Player Stats'!$V28)</f>
        <v/>
      </c>
      <c r="X47" s="18" t="str">
        <f ca="1">IF('Current Player Stats'!$A28="","",'Current Player Stats'!$W28)</f>
        <v/>
      </c>
      <c r="Y47" s="18" t="str">
        <f ca="1">IF('Current Player Stats'!$A28="","",'Current Player Stats'!$X28)</f>
        <v/>
      </c>
      <c r="Z47" s="18" t="str">
        <f ca="1">IF('Current Player Stats'!$A28="","",'Current Player Stats'!$Y28)</f>
        <v/>
      </c>
      <c r="AA47" s="18" t="str">
        <f ca="1">IF('Current Player Stats'!$A28="","",'Current Player Stats'!$Z28)</f>
        <v/>
      </c>
      <c r="AB47" s="18" t="str">
        <f ca="1">IF('Current Player Stats'!$A28="","",'Current Player Stats'!$AA28)</f>
        <v/>
      </c>
      <c r="AC47" s="18" t="str">
        <f ca="1">IF('Current Player Stats'!$A28="","",'Current Player Stats'!$AB28)</f>
        <v/>
      </c>
      <c r="AD47" s="18" t="str">
        <f ca="1">IF('Current Player Stats'!$A28="","",'Current Player Stats'!$AC28)</f>
        <v/>
      </c>
      <c r="AE47" s="18" t="str">
        <f ca="1">IF('Current Player Stats'!$A28="","",'Current Player Stats'!$AD28)</f>
        <v/>
      </c>
      <c r="AF47" s="18" t="str">
        <f ca="1">IF('Current Player Stats'!$A28="","",'Current Player Stats'!$AE28)</f>
        <v/>
      </c>
      <c r="AG47" s="18" t="str">
        <f ca="1">IF('Current Player Stats'!$A28="","",'Current Player Stats'!$AF28)</f>
        <v/>
      </c>
      <c r="AH47" s="18" t="str">
        <f ca="1">IF('Current Player Stats'!$A28="","",'Current Player Stats'!$AG28)</f>
        <v/>
      </c>
      <c r="AI47" s="18" t="str">
        <f ca="1">IF('Current Player Stats'!$A28="","",'Current Player Stats'!$AH28)</f>
        <v/>
      </c>
      <c r="AJ47" s="18" t="str">
        <f ca="1">IF('Current Player Stats'!$A28="","",'Current Player Stats'!$AI28)</f>
        <v/>
      </c>
    </row>
    <row r="48" spans="1:36">
      <c r="A48" s="18" t="str">
        <f ca="1">IF('Current Player Stats'!$A29="","",Settings!$B$2)</f>
        <v/>
      </c>
      <c r="B48" s="117" t="str">
        <f ca="1">IF('Current Player Stats'!$A29="","",'Current Player Stats'!$A29)</f>
        <v/>
      </c>
      <c r="C48" s="18" t="str">
        <f ca="1">IF('Current Player Stats'!$A29="","",'Current Player Stats'!$B29)</f>
        <v/>
      </c>
      <c r="D48" s="18" t="str">
        <f ca="1">IF('Current Player Stats'!$A29="","",'Current Player Stats'!$C29)</f>
        <v/>
      </c>
      <c r="E48" s="18" t="str">
        <f ca="1">IF('Current Player Stats'!$A29="","",'Current Player Stats'!$D29)</f>
        <v/>
      </c>
      <c r="F48" s="18" t="str">
        <f ca="1">IF('Current Player Stats'!$A29="","",'Current Player Stats'!$E29)</f>
        <v/>
      </c>
      <c r="G48" s="18" t="str">
        <f ca="1">IF('Current Player Stats'!$A29="","",'Current Player Stats'!$F29)</f>
        <v/>
      </c>
      <c r="H48" s="18" t="str">
        <f ca="1">IF('Current Player Stats'!$A29="","",'Current Player Stats'!$G29)</f>
        <v/>
      </c>
      <c r="I48" s="18" t="str">
        <f ca="1">IF('Current Player Stats'!$A29="","",'Current Player Stats'!$H29)</f>
        <v/>
      </c>
      <c r="J48" s="18" t="str">
        <f ca="1">IF('Current Player Stats'!$A29="","",'Current Player Stats'!$I29)</f>
        <v/>
      </c>
      <c r="K48" s="18" t="str">
        <f ca="1">IF('Current Player Stats'!$A29="","",'Current Player Stats'!$J29)</f>
        <v/>
      </c>
      <c r="L48" s="18" t="str">
        <f ca="1">IF('Current Player Stats'!$A29="","",'Current Player Stats'!$K29)</f>
        <v/>
      </c>
      <c r="M48" s="18" t="str">
        <f ca="1">IF('Current Player Stats'!$A29="","",'Current Player Stats'!$L29)</f>
        <v/>
      </c>
      <c r="N48" s="18" t="str">
        <f ca="1">IF('Current Player Stats'!$A29="","",'Current Player Stats'!$M29)</f>
        <v/>
      </c>
      <c r="O48" s="18" t="str">
        <f ca="1">IF('Current Player Stats'!$A29="","",'Current Player Stats'!$N29)</f>
        <v/>
      </c>
      <c r="P48" s="18" t="str">
        <f ca="1">IF('Current Player Stats'!$A29="","",'Current Player Stats'!$O29)</f>
        <v/>
      </c>
      <c r="Q48" s="18" t="str">
        <f ca="1">IF('Current Player Stats'!$A29="","",'Current Player Stats'!$P29)</f>
        <v/>
      </c>
      <c r="R48" s="18" t="str">
        <f ca="1">IF('Current Player Stats'!$A29="","",'Current Player Stats'!$Q29)</f>
        <v/>
      </c>
      <c r="S48" s="18" t="str">
        <f ca="1">IF('Current Player Stats'!$A29="","",'Current Player Stats'!$R29)</f>
        <v/>
      </c>
      <c r="T48" s="18" t="str">
        <f ca="1">IF('Current Player Stats'!$A29="","",'Current Player Stats'!$S29)</f>
        <v/>
      </c>
      <c r="U48" s="18" t="str">
        <f ca="1">IF('Current Player Stats'!$A29="","",'Current Player Stats'!$T29)</f>
        <v/>
      </c>
      <c r="V48" s="18" t="str">
        <f ca="1">IF('Current Player Stats'!$A29="","",'Current Player Stats'!$U29)</f>
        <v/>
      </c>
      <c r="W48" s="18" t="str">
        <f ca="1">IF('Current Player Stats'!$A29="","",'Current Player Stats'!$V29)</f>
        <v/>
      </c>
      <c r="X48" s="18" t="str">
        <f ca="1">IF('Current Player Stats'!$A29="","",'Current Player Stats'!$W29)</f>
        <v/>
      </c>
      <c r="Y48" s="18" t="str">
        <f ca="1">IF('Current Player Stats'!$A29="","",'Current Player Stats'!$X29)</f>
        <v/>
      </c>
      <c r="Z48" s="18" t="str">
        <f ca="1">IF('Current Player Stats'!$A29="","",'Current Player Stats'!$Y29)</f>
        <v/>
      </c>
      <c r="AA48" s="18" t="str">
        <f ca="1">IF('Current Player Stats'!$A29="","",'Current Player Stats'!$Z29)</f>
        <v/>
      </c>
      <c r="AB48" s="18" t="str">
        <f ca="1">IF('Current Player Stats'!$A29="","",'Current Player Stats'!$AA29)</f>
        <v/>
      </c>
      <c r="AC48" s="18" t="str">
        <f ca="1">IF('Current Player Stats'!$A29="","",'Current Player Stats'!$AB29)</f>
        <v/>
      </c>
      <c r="AD48" s="18" t="str">
        <f ca="1">IF('Current Player Stats'!$A29="","",'Current Player Stats'!$AC29)</f>
        <v/>
      </c>
      <c r="AE48" s="18" t="str">
        <f ca="1">IF('Current Player Stats'!$A29="","",'Current Player Stats'!$AD29)</f>
        <v/>
      </c>
      <c r="AF48" s="18" t="str">
        <f ca="1">IF('Current Player Stats'!$A29="","",'Current Player Stats'!$AE29)</f>
        <v/>
      </c>
      <c r="AG48" s="18" t="str">
        <f ca="1">IF('Current Player Stats'!$A29="","",'Current Player Stats'!$AF29)</f>
        <v/>
      </c>
      <c r="AH48" s="18" t="str">
        <f ca="1">IF('Current Player Stats'!$A29="","",'Current Player Stats'!$AG29)</f>
        <v/>
      </c>
      <c r="AI48" s="18" t="str">
        <f ca="1">IF('Current Player Stats'!$A29="","",'Current Player Stats'!$AH29)</f>
        <v/>
      </c>
      <c r="AJ48" s="18" t="str">
        <f ca="1">IF('Current Player Stats'!$A29="","",'Current Player Stats'!$AI29)</f>
        <v/>
      </c>
    </row>
    <row r="49" spans="1:36">
      <c r="A49" s="18" t="str">
        <f ca="1">IF('Current Player Stats'!$A30="","",Settings!$B$2)</f>
        <v/>
      </c>
      <c r="B49" s="117" t="str">
        <f ca="1">IF('Current Player Stats'!$A30="","",'Current Player Stats'!$A30)</f>
        <v/>
      </c>
      <c r="C49" s="18" t="str">
        <f ca="1">IF('Current Player Stats'!$A30="","",'Current Player Stats'!$B30)</f>
        <v/>
      </c>
      <c r="D49" s="18" t="str">
        <f ca="1">IF('Current Player Stats'!$A30="","",'Current Player Stats'!$C30)</f>
        <v/>
      </c>
      <c r="E49" s="18" t="str">
        <f ca="1">IF('Current Player Stats'!$A30="","",'Current Player Stats'!$D30)</f>
        <v/>
      </c>
      <c r="F49" s="18" t="str">
        <f ca="1">IF('Current Player Stats'!$A30="","",'Current Player Stats'!$E30)</f>
        <v/>
      </c>
      <c r="G49" s="18" t="str">
        <f ca="1">IF('Current Player Stats'!$A30="","",'Current Player Stats'!$F30)</f>
        <v/>
      </c>
      <c r="H49" s="18" t="str">
        <f ca="1">IF('Current Player Stats'!$A30="","",'Current Player Stats'!$G30)</f>
        <v/>
      </c>
      <c r="I49" s="18" t="str">
        <f ca="1">IF('Current Player Stats'!$A30="","",'Current Player Stats'!$H30)</f>
        <v/>
      </c>
      <c r="J49" s="18" t="str">
        <f ca="1">IF('Current Player Stats'!$A30="","",'Current Player Stats'!$I30)</f>
        <v/>
      </c>
      <c r="K49" s="18" t="str">
        <f ca="1">IF('Current Player Stats'!$A30="","",'Current Player Stats'!$J30)</f>
        <v/>
      </c>
      <c r="L49" s="18" t="str">
        <f ca="1">IF('Current Player Stats'!$A30="","",'Current Player Stats'!$K30)</f>
        <v/>
      </c>
      <c r="M49" s="18" t="str">
        <f ca="1">IF('Current Player Stats'!$A30="","",'Current Player Stats'!$L30)</f>
        <v/>
      </c>
      <c r="N49" s="18" t="str">
        <f ca="1">IF('Current Player Stats'!$A30="","",'Current Player Stats'!$M30)</f>
        <v/>
      </c>
      <c r="O49" s="18" t="str">
        <f ca="1">IF('Current Player Stats'!$A30="","",'Current Player Stats'!$N30)</f>
        <v/>
      </c>
      <c r="P49" s="18" t="str">
        <f ca="1">IF('Current Player Stats'!$A30="","",'Current Player Stats'!$O30)</f>
        <v/>
      </c>
      <c r="Q49" s="18" t="str">
        <f ca="1">IF('Current Player Stats'!$A30="","",'Current Player Stats'!$P30)</f>
        <v/>
      </c>
      <c r="R49" s="18" t="str">
        <f ca="1">IF('Current Player Stats'!$A30="","",'Current Player Stats'!$Q30)</f>
        <v/>
      </c>
      <c r="S49" s="18" t="str">
        <f ca="1">IF('Current Player Stats'!$A30="","",'Current Player Stats'!$R30)</f>
        <v/>
      </c>
      <c r="T49" s="18" t="str">
        <f ca="1">IF('Current Player Stats'!$A30="","",'Current Player Stats'!$S30)</f>
        <v/>
      </c>
      <c r="U49" s="18" t="str">
        <f ca="1">IF('Current Player Stats'!$A30="","",'Current Player Stats'!$T30)</f>
        <v/>
      </c>
      <c r="V49" s="18" t="str">
        <f ca="1">IF('Current Player Stats'!$A30="","",'Current Player Stats'!$U30)</f>
        <v/>
      </c>
      <c r="W49" s="18" t="str">
        <f ca="1">IF('Current Player Stats'!$A30="","",'Current Player Stats'!$V30)</f>
        <v/>
      </c>
      <c r="X49" s="18" t="str">
        <f ca="1">IF('Current Player Stats'!$A30="","",'Current Player Stats'!$W30)</f>
        <v/>
      </c>
      <c r="Y49" s="18" t="str">
        <f ca="1">IF('Current Player Stats'!$A30="","",'Current Player Stats'!$X30)</f>
        <v/>
      </c>
      <c r="Z49" s="18" t="str">
        <f ca="1">IF('Current Player Stats'!$A30="","",'Current Player Stats'!$Y30)</f>
        <v/>
      </c>
      <c r="AA49" s="18" t="str">
        <f ca="1">IF('Current Player Stats'!$A30="","",'Current Player Stats'!$Z30)</f>
        <v/>
      </c>
      <c r="AB49" s="18" t="str">
        <f ca="1">IF('Current Player Stats'!$A30="","",'Current Player Stats'!$AA30)</f>
        <v/>
      </c>
      <c r="AC49" s="18" t="str">
        <f ca="1">IF('Current Player Stats'!$A30="","",'Current Player Stats'!$AB30)</f>
        <v/>
      </c>
      <c r="AD49" s="18" t="str">
        <f ca="1">IF('Current Player Stats'!$A30="","",'Current Player Stats'!$AC30)</f>
        <v/>
      </c>
      <c r="AE49" s="18" t="str">
        <f ca="1">IF('Current Player Stats'!$A30="","",'Current Player Stats'!$AD30)</f>
        <v/>
      </c>
      <c r="AF49" s="18" t="str">
        <f ca="1">IF('Current Player Stats'!$A30="","",'Current Player Stats'!$AE30)</f>
        <v/>
      </c>
      <c r="AG49" s="18" t="str">
        <f ca="1">IF('Current Player Stats'!$A30="","",'Current Player Stats'!$AF30)</f>
        <v/>
      </c>
      <c r="AH49" s="18" t="str">
        <f ca="1">IF('Current Player Stats'!$A30="","",'Current Player Stats'!$AG30)</f>
        <v/>
      </c>
      <c r="AI49" s="18" t="str">
        <f ca="1">IF('Current Player Stats'!$A30="","",'Current Player Stats'!$AH30)</f>
        <v/>
      </c>
      <c r="AJ49" s="18" t="str">
        <f ca="1">IF('Current Player Stats'!$A30="","",'Current Player Stats'!$AI30)</f>
        <v/>
      </c>
    </row>
    <row r="50" spans="1:36">
      <c r="A50" s="18" t="str">
        <f ca="1">IF('Current Player Stats'!$A31="","",Settings!$B$2)</f>
        <v/>
      </c>
      <c r="B50" s="117" t="str">
        <f ca="1">IF('Current Player Stats'!$A31="","",'Current Player Stats'!$A31)</f>
        <v/>
      </c>
      <c r="C50" s="18" t="str">
        <f ca="1">IF('Current Player Stats'!$A31="","",'Current Player Stats'!$B31)</f>
        <v/>
      </c>
      <c r="D50" s="18" t="str">
        <f ca="1">IF('Current Player Stats'!$A31="","",'Current Player Stats'!$C31)</f>
        <v/>
      </c>
      <c r="E50" s="18" t="str">
        <f ca="1">IF('Current Player Stats'!$A31="","",'Current Player Stats'!$D31)</f>
        <v/>
      </c>
      <c r="F50" s="18" t="str">
        <f ca="1">IF('Current Player Stats'!$A31="","",'Current Player Stats'!$E31)</f>
        <v/>
      </c>
      <c r="G50" s="18" t="str">
        <f ca="1">IF('Current Player Stats'!$A31="","",'Current Player Stats'!$F31)</f>
        <v/>
      </c>
      <c r="H50" s="18" t="str">
        <f ca="1">IF('Current Player Stats'!$A31="","",'Current Player Stats'!$G31)</f>
        <v/>
      </c>
      <c r="I50" s="18" t="str">
        <f ca="1">IF('Current Player Stats'!$A31="","",'Current Player Stats'!$H31)</f>
        <v/>
      </c>
      <c r="J50" s="18" t="str">
        <f ca="1">IF('Current Player Stats'!$A31="","",'Current Player Stats'!$I31)</f>
        <v/>
      </c>
      <c r="K50" s="18" t="str">
        <f ca="1">IF('Current Player Stats'!$A31="","",'Current Player Stats'!$J31)</f>
        <v/>
      </c>
      <c r="L50" s="18" t="str">
        <f ca="1">IF('Current Player Stats'!$A31="","",'Current Player Stats'!$K31)</f>
        <v/>
      </c>
      <c r="M50" s="18" t="str">
        <f ca="1">IF('Current Player Stats'!$A31="","",'Current Player Stats'!$L31)</f>
        <v/>
      </c>
      <c r="N50" s="18" t="str">
        <f ca="1">IF('Current Player Stats'!$A31="","",'Current Player Stats'!$M31)</f>
        <v/>
      </c>
      <c r="O50" s="18" t="str">
        <f ca="1">IF('Current Player Stats'!$A31="","",'Current Player Stats'!$N31)</f>
        <v/>
      </c>
      <c r="P50" s="18" t="str">
        <f ca="1">IF('Current Player Stats'!$A31="","",'Current Player Stats'!$O31)</f>
        <v/>
      </c>
      <c r="Q50" s="18" t="str">
        <f ca="1">IF('Current Player Stats'!$A31="","",'Current Player Stats'!$P31)</f>
        <v/>
      </c>
      <c r="R50" s="18" t="str">
        <f ca="1">IF('Current Player Stats'!$A31="","",'Current Player Stats'!$Q31)</f>
        <v/>
      </c>
      <c r="S50" s="18" t="str">
        <f ca="1">IF('Current Player Stats'!$A31="","",'Current Player Stats'!$R31)</f>
        <v/>
      </c>
      <c r="T50" s="18" t="str">
        <f ca="1">IF('Current Player Stats'!$A31="","",'Current Player Stats'!$S31)</f>
        <v/>
      </c>
      <c r="U50" s="18" t="str">
        <f ca="1">IF('Current Player Stats'!$A31="","",'Current Player Stats'!$T31)</f>
        <v/>
      </c>
      <c r="V50" s="18" t="str">
        <f ca="1">IF('Current Player Stats'!$A31="","",'Current Player Stats'!$U31)</f>
        <v/>
      </c>
      <c r="W50" s="18" t="str">
        <f ca="1">IF('Current Player Stats'!$A31="","",'Current Player Stats'!$V31)</f>
        <v/>
      </c>
      <c r="X50" s="18" t="str">
        <f ca="1">IF('Current Player Stats'!$A31="","",'Current Player Stats'!$W31)</f>
        <v/>
      </c>
      <c r="Y50" s="18" t="str">
        <f ca="1">IF('Current Player Stats'!$A31="","",'Current Player Stats'!$X31)</f>
        <v/>
      </c>
      <c r="Z50" s="18" t="str">
        <f ca="1">IF('Current Player Stats'!$A31="","",'Current Player Stats'!$Y31)</f>
        <v/>
      </c>
      <c r="AA50" s="18" t="str">
        <f ca="1">IF('Current Player Stats'!$A31="","",'Current Player Stats'!$Z31)</f>
        <v/>
      </c>
      <c r="AB50" s="18" t="str">
        <f ca="1">IF('Current Player Stats'!$A31="","",'Current Player Stats'!$AA31)</f>
        <v/>
      </c>
      <c r="AC50" s="18" t="str">
        <f ca="1">IF('Current Player Stats'!$A31="","",'Current Player Stats'!$AB31)</f>
        <v/>
      </c>
      <c r="AD50" s="18" t="str">
        <f ca="1">IF('Current Player Stats'!$A31="","",'Current Player Stats'!$AC31)</f>
        <v/>
      </c>
      <c r="AE50" s="18" t="str">
        <f ca="1">IF('Current Player Stats'!$A31="","",'Current Player Stats'!$AD31)</f>
        <v/>
      </c>
      <c r="AF50" s="18" t="str">
        <f ca="1">IF('Current Player Stats'!$A31="","",'Current Player Stats'!$AE31)</f>
        <v/>
      </c>
      <c r="AG50" s="18" t="str">
        <f ca="1">IF('Current Player Stats'!$A31="","",'Current Player Stats'!$AF31)</f>
        <v/>
      </c>
      <c r="AH50" s="18" t="str">
        <f ca="1">IF('Current Player Stats'!$A31="","",'Current Player Stats'!$AG31)</f>
        <v/>
      </c>
      <c r="AI50" s="18" t="str">
        <f ca="1">IF('Current Player Stats'!$A31="","",'Current Player Stats'!$AH31)</f>
        <v/>
      </c>
      <c r="AJ50" s="18" t="str">
        <f ca="1">IF('Current Player Stats'!$A31="","",'Current Player Stats'!$AI31)</f>
        <v/>
      </c>
    </row>
    <row r="51" spans="1:36">
      <c r="A51" s="18" t="str">
        <f ca="1">IF('Current Player Stats'!$A32="","",Settings!$B$2)</f>
        <v/>
      </c>
      <c r="B51" s="117" t="str">
        <f ca="1">IF('Current Player Stats'!$A32="","",'Current Player Stats'!$A32)</f>
        <v/>
      </c>
      <c r="C51" s="18" t="str">
        <f ca="1">IF('Current Player Stats'!$A32="","",'Current Player Stats'!$B32)</f>
        <v/>
      </c>
      <c r="D51" s="18" t="str">
        <f ca="1">IF('Current Player Stats'!$A32="","",'Current Player Stats'!$C32)</f>
        <v/>
      </c>
      <c r="E51" s="18" t="str">
        <f ca="1">IF('Current Player Stats'!$A32="","",'Current Player Stats'!$D32)</f>
        <v/>
      </c>
      <c r="F51" s="18" t="str">
        <f ca="1">IF('Current Player Stats'!$A32="","",'Current Player Stats'!$E32)</f>
        <v/>
      </c>
      <c r="G51" s="18" t="str">
        <f ca="1">IF('Current Player Stats'!$A32="","",'Current Player Stats'!$F32)</f>
        <v/>
      </c>
      <c r="H51" s="18" t="str">
        <f ca="1">IF('Current Player Stats'!$A32="","",'Current Player Stats'!$G32)</f>
        <v/>
      </c>
      <c r="I51" s="18" t="str">
        <f ca="1">IF('Current Player Stats'!$A32="","",'Current Player Stats'!$H32)</f>
        <v/>
      </c>
      <c r="J51" s="18" t="str">
        <f ca="1">IF('Current Player Stats'!$A32="","",'Current Player Stats'!$I32)</f>
        <v/>
      </c>
      <c r="K51" s="18" t="str">
        <f ca="1">IF('Current Player Stats'!$A32="","",'Current Player Stats'!$J32)</f>
        <v/>
      </c>
      <c r="L51" s="18" t="str">
        <f ca="1">IF('Current Player Stats'!$A32="","",'Current Player Stats'!$K32)</f>
        <v/>
      </c>
      <c r="M51" s="18" t="str">
        <f ca="1">IF('Current Player Stats'!$A32="","",'Current Player Stats'!$L32)</f>
        <v/>
      </c>
      <c r="N51" s="18" t="str">
        <f ca="1">IF('Current Player Stats'!$A32="","",'Current Player Stats'!$M32)</f>
        <v/>
      </c>
      <c r="O51" s="18" t="str">
        <f ca="1">IF('Current Player Stats'!$A32="","",'Current Player Stats'!$N32)</f>
        <v/>
      </c>
      <c r="P51" s="18" t="str">
        <f ca="1">IF('Current Player Stats'!$A32="","",'Current Player Stats'!$O32)</f>
        <v/>
      </c>
      <c r="Q51" s="18" t="str">
        <f ca="1">IF('Current Player Stats'!$A32="","",'Current Player Stats'!$P32)</f>
        <v/>
      </c>
      <c r="R51" s="18" t="str">
        <f ca="1">IF('Current Player Stats'!$A32="","",'Current Player Stats'!$Q32)</f>
        <v/>
      </c>
      <c r="S51" s="18" t="str">
        <f ca="1">IF('Current Player Stats'!$A32="","",'Current Player Stats'!$R32)</f>
        <v/>
      </c>
      <c r="T51" s="18" t="str">
        <f ca="1">IF('Current Player Stats'!$A32="","",'Current Player Stats'!$S32)</f>
        <v/>
      </c>
      <c r="U51" s="18" t="str">
        <f ca="1">IF('Current Player Stats'!$A32="","",'Current Player Stats'!$T32)</f>
        <v/>
      </c>
      <c r="V51" s="18" t="str">
        <f ca="1">IF('Current Player Stats'!$A32="","",'Current Player Stats'!$U32)</f>
        <v/>
      </c>
      <c r="W51" s="18" t="str">
        <f ca="1">IF('Current Player Stats'!$A32="","",'Current Player Stats'!$V32)</f>
        <v/>
      </c>
      <c r="X51" s="18" t="str">
        <f ca="1">IF('Current Player Stats'!$A32="","",'Current Player Stats'!$W32)</f>
        <v/>
      </c>
      <c r="Y51" s="18" t="str">
        <f ca="1">IF('Current Player Stats'!$A32="","",'Current Player Stats'!$X32)</f>
        <v/>
      </c>
      <c r="Z51" s="18" t="str">
        <f ca="1">IF('Current Player Stats'!$A32="","",'Current Player Stats'!$Y32)</f>
        <v/>
      </c>
      <c r="AA51" s="18" t="str">
        <f ca="1">IF('Current Player Stats'!$A32="","",'Current Player Stats'!$Z32)</f>
        <v/>
      </c>
      <c r="AB51" s="18" t="str">
        <f ca="1">IF('Current Player Stats'!$A32="","",'Current Player Stats'!$AA32)</f>
        <v/>
      </c>
      <c r="AC51" s="18" t="str">
        <f ca="1">IF('Current Player Stats'!$A32="","",'Current Player Stats'!$AB32)</f>
        <v/>
      </c>
      <c r="AD51" s="18" t="str">
        <f ca="1">IF('Current Player Stats'!$A32="","",'Current Player Stats'!$AC32)</f>
        <v/>
      </c>
      <c r="AE51" s="18" t="str">
        <f ca="1">IF('Current Player Stats'!$A32="","",'Current Player Stats'!$AD32)</f>
        <v/>
      </c>
      <c r="AF51" s="18" t="str">
        <f ca="1">IF('Current Player Stats'!$A32="","",'Current Player Stats'!$AE32)</f>
        <v/>
      </c>
      <c r="AG51" s="18" t="str">
        <f ca="1">IF('Current Player Stats'!$A32="","",'Current Player Stats'!$AF32)</f>
        <v/>
      </c>
      <c r="AH51" s="18" t="str">
        <f ca="1">IF('Current Player Stats'!$A32="","",'Current Player Stats'!$AG32)</f>
        <v/>
      </c>
      <c r="AI51" s="18" t="str">
        <f ca="1">IF('Current Player Stats'!$A32="","",'Current Player Stats'!$AH32)</f>
        <v/>
      </c>
      <c r="AJ51" s="18" t="str">
        <f ca="1">IF('Current Player Stats'!$A32="","",'Current Player Stats'!$AI32)</f>
        <v/>
      </c>
    </row>
    <row r="52" spans="1:36">
      <c r="A52" s="18" t="str">
        <f ca="1">IF('Current Player Stats'!$A33="","",Settings!$B$2)</f>
        <v/>
      </c>
      <c r="B52" s="117" t="str">
        <f ca="1">IF('Current Player Stats'!$A33="","",'Current Player Stats'!$A33)</f>
        <v/>
      </c>
      <c r="C52" s="18" t="str">
        <f ca="1">IF('Current Player Stats'!$A33="","",'Current Player Stats'!$B33)</f>
        <v/>
      </c>
      <c r="D52" s="18" t="str">
        <f ca="1">IF('Current Player Stats'!$A33="","",'Current Player Stats'!$C33)</f>
        <v/>
      </c>
      <c r="E52" s="18" t="str">
        <f ca="1">IF('Current Player Stats'!$A33="","",'Current Player Stats'!$D33)</f>
        <v/>
      </c>
      <c r="F52" s="18" t="str">
        <f ca="1">IF('Current Player Stats'!$A33="","",'Current Player Stats'!$E33)</f>
        <v/>
      </c>
      <c r="G52" s="18" t="str">
        <f ca="1">IF('Current Player Stats'!$A33="","",'Current Player Stats'!$F33)</f>
        <v/>
      </c>
      <c r="H52" s="18" t="str">
        <f ca="1">IF('Current Player Stats'!$A33="","",'Current Player Stats'!$G33)</f>
        <v/>
      </c>
      <c r="I52" s="18" t="str">
        <f ca="1">IF('Current Player Stats'!$A33="","",'Current Player Stats'!$H33)</f>
        <v/>
      </c>
      <c r="J52" s="18" t="str">
        <f ca="1">IF('Current Player Stats'!$A33="","",'Current Player Stats'!$I33)</f>
        <v/>
      </c>
      <c r="K52" s="18" t="str">
        <f ca="1">IF('Current Player Stats'!$A33="","",'Current Player Stats'!$J33)</f>
        <v/>
      </c>
      <c r="L52" s="18" t="str">
        <f ca="1">IF('Current Player Stats'!$A33="","",'Current Player Stats'!$K33)</f>
        <v/>
      </c>
      <c r="M52" s="18" t="str">
        <f ca="1">IF('Current Player Stats'!$A33="","",'Current Player Stats'!$L33)</f>
        <v/>
      </c>
      <c r="N52" s="18" t="str">
        <f ca="1">IF('Current Player Stats'!$A33="","",'Current Player Stats'!$M33)</f>
        <v/>
      </c>
      <c r="O52" s="18" t="str">
        <f ca="1">IF('Current Player Stats'!$A33="","",'Current Player Stats'!$N33)</f>
        <v/>
      </c>
      <c r="P52" s="18" t="str">
        <f ca="1">IF('Current Player Stats'!$A33="","",'Current Player Stats'!$O33)</f>
        <v/>
      </c>
      <c r="Q52" s="18" t="str">
        <f ca="1">IF('Current Player Stats'!$A33="","",'Current Player Stats'!$P33)</f>
        <v/>
      </c>
      <c r="R52" s="18" t="str">
        <f ca="1">IF('Current Player Stats'!$A33="","",'Current Player Stats'!$Q33)</f>
        <v/>
      </c>
      <c r="S52" s="18" t="str">
        <f ca="1">IF('Current Player Stats'!$A33="","",'Current Player Stats'!$R33)</f>
        <v/>
      </c>
      <c r="T52" s="18" t="str">
        <f ca="1">IF('Current Player Stats'!$A33="","",'Current Player Stats'!$S33)</f>
        <v/>
      </c>
      <c r="U52" s="18" t="str">
        <f ca="1">IF('Current Player Stats'!$A33="","",'Current Player Stats'!$T33)</f>
        <v/>
      </c>
      <c r="V52" s="18" t="str">
        <f ca="1">IF('Current Player Stats'!$A33="","",'Current Player Stats'!$U33)</f>
        <v/>
      </c>
      <c r="W52" s="18" t="str">
        <f ca="1">IF('Current Player Stats'!$A33="","",'Current Player Stats'!$V33)</f>
        <v/>
      </c>
      <c r="X52" s="18" t="str">
        <f ca="1">IF('Current Player Stats'!$A33="","",'Current Player Stats'!$W33)</f>
        <v/>
      </c>
      <c r="Y52" s="18" t="str">
        <f ca="1">IF('Current Player Stats'!$A33="","",'Current Player Stats'!$X33)</f>
        <v/>
      </c>
      <c r="Z52" s="18" t="str">
        <f ca="1">IF('Current Player Stats'!$A33="","",'Current Player Stats'!$Y33)</f>
        <v/>
      </c>
      <c r="AA52" s="18" t="str">
        <f ca="1">IF('Current Player Stats'!$A33="","",'Current Player Stats'!$Z33)</f>
        <v/>
      </c>
      <c r="AB52" s="18" t="str">
        <f ca="1">IF('Current Player Stats'!$A33="","",'Current Player Stats'!$AA33)</f>
        <v/>
      </c>
      <c r="AC52" s="18" t="str">
        <f ca="1">IF('Current Player Stats'!$A33="","",'Current Player Stats'!$AB33)</f>
        <v/>
      </c>
      <c r="AD52" s="18" t="str">
        <f ca="1">IF('Current Player Stats'!$A33="","",'Current Player Stats'!$AC33)</f>
        <v/>
      </c>
      <c r="AE52" s="18" t="str">
        <f ca="1">IF('Current Player Stats'!$A33="","",'Current Player Stats'!$AD33)</f>
        <v/>
      </c>
      <c r="AF52" s="18" t="str">
        <f ca="1">IF('Current Player Stats'!$A33="","",'Current Player Stats'!$AE33)</f>
        <v/>
      </c>
      <c r="AG52" s="18" t="str">
        <f ca="1">IF('Current Player Stats'!$A33="","",'Current Player Stats'!$AF33)</f>
        <v/>
      </c>
      <c r="AH52" s="18" t="str">
        <f ca="1">IF('Current Player Stats'!$A33="","",'Current Player Stats'!$AG33)</f>
        <v/>
      </c>
      <c r="AI52" s="18" t="str">
        <f ca="1">IF('Current Player Stats'!$A33="","",'Current Player Stats'!$AH33)</f>
        <v/>
      </c>
      <c r="AJ52" s="18" t="str">
        <f ca="1">IF('Current Player Stats'!$A33="","",'Current Player Stats'!$AI33)</f>
        <v/>
      </c>
    </row>
    <row r="56" spans="1:36">
      <c r="A56" s="57" t="s">
        <v>310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</row>
    <row r="57" spans="1:36">
      <c r="A57" s="58" t="s">
        <v>33</v>
      </c>
      <c r="B57" s="58" t="s">
        <v>230</v>
      </c>
      <c r="C57" s="58" t="s">
        <v>39</v>
      </c>
      <c r="D57" s="58" t="s">
        <v>288</v>
      </c>
      <c r="E57" s="58" t="s">
        <v>311</v>
      </c>
      <c r="F57" s="58" t="s">
        <v>312</v>
      </c>
      <c r="G57" s="58" t="s">
        <v>175</v>
      </c>
      <c r="H57" s="58" t="s">
        <v>162</v>
      </c>
      <c r="I57" s="58" t="s">
        <v>268</v>
      </c>
      <c r="J57" s="58" t="s">
        <v>178</v>
      </c>
      <c r="K57" s="58" t="s">
        <v>179</v>
      </c>
      <c r="L57" s="58" t="s">
        <v>195</v>
      </c>
      <c r="M57" s="58" t="s">
        <v>196</v>
      </c>
      <c r="N57" s="58" t="s">
        <v>273</v>
      </c>
      <c r="O57" s="58" t="s">
        <v>292</v>
      </c>
      <c r="P57" s="58" t="s">
        <v>293</v>
      </c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</row>
    <row r="58" spans="1:36">
      <c r="A58" s="18" cm="1">
        <f t="array" aca="1" ref="A58:P111" ca="1">IFERROR(_xlfn.LET(_xlpm.owners,'Tourney Summary'!$A$91:$A$162,_xlpm.mask,_xlpm.owners&lt;&gt;"",_xlpm.o,_xlfn._xlws.FILTER(_xlpm.owners,_xlpm.mask),_xlpm.chars,_xlfn._xlws.FILTER('Tourney Summary'!$B$91:$B$162,_xlpm.mask),_xlpm.times,_xlfn.XLOOKUP(_xlpm.chars,'Tourney Summary'!$A$16:$A$87,'Tourney Summary'!$B$16:$B$87,0),_xlpm.wr,_xlfn.XLOOKUP(_xlpm.chars,'Tourney Summary'!$A$16:$A$87,'Tourney Summary'!$I$16:$I$87,0),_xlpm.champ,_xlfn.XLOOKUP(_xlpm.chars,'Tourney Summary'!$A$16:$A$87,'Tourney Summary'!$J$16:$J$87,""),_xlpm.mvps,_xlfn.XLOOKUP(_xlpm.chars,'Tourney Summary'!$A$16:$A$87,'Tourney Summary'!$K$16:$K$87,0),_xlpm.cgmvps,_xlfn.XLOOKUP(_xlpm.chars,'Tourney Summary'!$A$16:$A$87,'Tourney Summary'!$L$16:$L$87,0),_xlfn.HSTACK(IF(_xlpm.o&lt;&gt;"",Settings!$B$2,""),_xlpm.o,_xlpm.chars,_xlpm.times,_xlpm.wr,_xlpm.champ,_xlfn._xlws.FILTER('Tourney Summary'!$C$91:$C$162,_xlpm.mask),_xlfn._xlws.FILTER('Tourney Summary'!$D$91:$D$162,_xlpm.mask),_xlfn._xlws.FILTER('Tourney Summary'!$E$91:$E$162,_xlpm.mask),_xlfn._xlws.FILTER('Tourney Summary'!$F$91:$F$162,_xlpm.mask),_xlfn._xlws.FILTER('Tourney Summary'!$G$91:$G$162,_xlpm.mask),_xlfn._xlws.FILTER('Tourney Summary'!$H$91:$H$162,_xlpm.mask),_xlfn._xlws.FILTER('Tourney Summary'!$I$91:$I$162,_xlpm.mask),_xlfn._xlws.FILTER('Tourney Summary'!$J$91:$J$162,_xlpm.mask),_xlpm.mvps,_xlpm.cgmvps)),"")</f>
        <v>1</v>
      </c>
      <c r="B58" s="114" t="str">
        <f ca="1"/>
        <v>Justin</v>
      </c>
      <c r="C58" s="18" t="str">
        <f ca="1"/>
        <v>Bowser Jr.</v>
      </c>
      <c r="D58" s="18">
        <f ca="1"/>
        <v>1</v>
      </c>
      <c r="E58" s="18">
        <f ca="1"/>
        <v>0</v>
      </c>
      <c r="F58" s="18" t="str">
        <f ca="1"/>
        <v/>
      </c>
      <c r="G58" s="18">
        <f ca="1"/>
        <v>2</v>
      </c>
      <c r="H58" s="18">
        <f ca="1"/>
        <v>1</v>
      </c>
      <c r="I58" s="18">
        <f ca="1"/>
        <v>0.5</v>
      </c>
      <c r="J58" s="18">
        <f ca="1"/>
        <v>0</v>
      </c>
      <c r="K58" s="18">
        <f ca="1"/>
        <v>0</v>
      </c>
      <c r="L58" s="18">
        <f ca="1"/>
        <v>0</v>
      </c>
      <c r="M58" s="18">
        <f ca="1"/>
        <v>0</v>
      </c>
      <c r="N58" s="18" t="str">
        <f ca="1"/>
        <v/>
      </c>
      <c r="O58" s="18">
        <f ca="1"/>
        <v>0</v>
      </c>
      <c r="P58" s="18">
        <f ca="1"/>
        <v>0</v>
      </c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</row>
    <row r="59" spans="1:36">
      <c r="A59" s="18">
        <f ca="1"/>
        <v>1</v>
      </c>
      <c r="B59" s="115" t="str">
        <f ca="1"/>
        <v>Donovan</v>
      </c>
      <c r="C59" s="18" t="str">
        <f ca="1"/>
        <v>Donkey Kong</v>
      </c>
      <c r="D59" s="18">
        <f ca="1"/>
        <v>1</v>
      </c>
      <c r="E59" s="18">
        <f ca="1"/>
        <v>0</v>
      </c>
      <c r="F59" s="18" t="str">
        <f ca="1"/>
        <v/>
      </c>
      <c r="G59" s="18">
        <f ca="1"/>
        <v>1</v>
      </c>
      <c r="H59" s="18">
        <f ca="1"/>
        <v>0</v>
      </c>
      <c r="I59" s="18">
        <f ca="1"/>
        <v>0</v>
      </c>
      <c r="J59" s="18">
        <f ca="1"/>
        <v>0</v>
      </c>
      <c r="K59" s="18">
        <f ca="1"/>
        <v>0</v>
      </c>
      <c r="L59" s="18">
        <f ca="1"/>
        <v>0</v>
      </c>
      <c r="M59" s="18">
        <f ca="1"/>
        <v>0</v>
      </c>
      <c r="N59" s="18" t="str">
        <f ca="1"/>
        <v/>
      </c>
      <c r="O59" s="18">
        <f ca="1"/>
        <v>0</v>
      </c>
      <c r="P59" s="18">
        <f ca="1"/>
        <v>0</v>
      </c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</row>
    <row r="60" spans="1:36">
      <c r="A60" s="18">
        <f ca="1"/>
        <v>1</v>
      </c>
      <c r="B60" s="116" t="str">
        <f ca="1"/>
        <v>Nick</v>
      </c>
      <c r="C60" s="18" t="str">
        <f ca="1"/>
        <v>Daisy</v>
      </c>
      <c r="D60" s="18">
        <f ca="1"/>
        <v>1</v>
      </c>
      <c r="E60" s="18">
        <f ca="1"/>
        <v>1</v>
      </c>
      <c r="F60" s="18" t="str">
        <f ca="1"/>
        <v/>
      </c>
      <c r="G60" s="18">
        <f ca="1"/>
        <v>4</v>
      </c>
      <c r="H60" s="18">
        <f ca="1"/>
        <v>2</v>
      </c>
      <c r="I60" s="18">
        <f ca="1"/>
        <v>0.5</v>
      </c>
      <c r="J60" s="18">
        <f ca="1"/>
        <v>0</v>
      </c>
      <c r="K60" s="18">
        <f ca="1"/>
        <v>2</v>
      </c>
      <c r="L60" s="18">
        <f ca="1"/>
        <v>3.2</v>
      </c>
      <c r="M60" s="18">
        <f ca="1"/>
        <v>0</v>
      </c>
      <c r="N60" s="18">
        <f ca="1"/>
        <v>0</v>
      </c>
      <c r="O60" s="18">
        <f ca="1"/>
        <v>2</v>
      </c>
      <c r="P60" s="18">
        <f ca="1"/>
        <v>0</v>
      </c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</row>
    <row r="61" spans="1:36">
      <c r="A61" s="18">
        <f ca="1"/>
        <v>1</v>
      </c>
      <c r="B61" s="117" t="str">
        <f ca="1"/>
        <v>Aidan</v>
      </c>
      <c r="C61" s="18" t="str">
        <f ca="1"/>
        <v>Mario</v>
      </c>
      <c r="D61" s="18">
        <f ca="1"/>
        <v>1</v>
      </c>
      <c r="E61" s="18">
        <f ca="1"/>
        <v>0.33333333333333331</v>
      </c>
      <c r="F61" s="18" t="str">
        <f ca="1"/>
        <v/>
      </c>
      <c r="G61" s="18">
        <f ca="1"/>
        <v>4</v>
      </c>
      <c r="H61" s="18">
        <f ca="1"/>
        <v>2</v>
      </c>
      <c r="I61" s="18">
        <f ca="1"/>
        <v>0.5</v>
      </c>
      <c r="J61" s="18">
        <f ca="1"/>
        <v>0</v>
      </c>
      <c r="K61" s="18">
        <f ca="1"/>
        <v>0</v>
      </c>
      <c r="L61" s="18">
        <f ca="1"/>
        <v>0</v>
      </c>
      <c r="M61" s="18">
        <f ca="1"/>
        <v>0</v>
      </c>
      <c r="N61" s="18" t="str">
        <f ca="1"/>
        <v/>
      </c>
      <c r="O61" s="18">
        <f ca="1"/>
        <v>0</v>
      </c>
      <c r="P61" s="18">
        <f ca="1"/>
        <v>0</v>
      </c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</row>
    <row r="62" spans="1:36">
      <c r="A62" s="18">
        <f ca="1"/>
        <v>1</v>
      </c>
      <c r="B62" s="118" t="str">
        <f ca="1"/>
        <v>Jason</v>
      </c>
      <c r="C62" s="18" t="str">
        <f ca="1"/>
        <v>Bowser</v>
      </c>
      <c r="D62" s="18">
        <f ca="1"/>
        <v>1</v>
      </c>
      <c r="E62" s="18">
        <f ca="1"/>
        <v>1</v>
      </c>
      <c r="F62" s="18" t="str">
        <f ca="1"/>
        <v/>
      </c>
      <c r="G62" s="18">
        <f ca="1"/>
        <v>2</v>
      </c>
      <c r="H62" s="18">
        <f ca="1"/>
        <v>1</v>
      </c>
      <c r="I62" s="18">
        <f ca="1"/>
        <v>0.5</v>
      </c>
      <c r="J62" s="18">
        <f ca="1"/>
        <v>1</v>
      </c>
      <c r="K62" s="18">
        <f ca="1"/>
        <v>1</v>
      </c>
      <c r="L62" s="18">
        <f ca="1"/>
        <v>0</v>
      </c>
      <c r="M62" s="18">
        <f ca="1"/>
        <v>0</v>
      </c>
      <c r="N62" s="18" t="str">
        <f ca="1"/>
        <v/>
      </c>
      <c r="O62" s="18">
        <f ca="1"/>
        <v>0</v>
      </c>
      <c r="P62" s="18">
        <f ca="1"/>
        <v>0</v>
      </c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</row>
    <row r="63" spans="1:36">
      <c r="A63" s="18">
        <f ca="1"/>
        <v>1</v>
      </c>
      <c r="B63" s="119" t="str">
        <f ca="1"/>
        <v>May</v>
      </c>
      <c r="C63" s="18" t="str">
        <f ca="1"/>
        <v>Birdo</v>
      </c>
      <c r="D63" s="18">
        <f ca="1"/>
        <v>1</v>
      </c>
      <c r="E63" s="18">
        <f ca="1"/>
        <v>0</v>
      </c>
      <c r="F63" s="18" t="str">
        <f ca="1"/>
        <v/>
      </c>
      <c r="G63" s="18">
        <f ca="1"/>
        <v>3</v>
      </c>
      <c r="H63" s="18">
        <f ca="1"/>
        <v>1</v>
      </c>
      <c r="I63" s="18">
        <f ca="1"/>
        <v>0.33333333333333331</v>
      </c>
      <c r="J63" s="18">
        <f ca="1"/>
        <v>0</v>
      </c>
      <c r="K63" s="18">
        <f ca="1"/>
        <v>0</v>
      </c>
      <c r="L63" s="18">
        <f ca="1"/>
        <v>0</v>
      </c>
      <c r="M63" s="18">
        <f ca="1"/>
        <v>0</v>
      </c>
      <c r="N63" s="18" t="str">
        <f ca="1"/>
        <v/>
      </c>
      <c r="O63" s="18">
        <f ca="1"/>
        <v>0</v>
      </c>
      <c r="P63" s="18">
        <f ca="1"/>
        <v>0</v>
      </c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</row>
    <row r="64" spans="1:36">
      <c r="A64" s="18">
        <f ca="1"/>
        <v>1</v>
      </c>
      <c r="B64" s="119" t="str">
        <f ca="1"/>
        <v>May</v>
      </c>
      <c r="C64" s="18" t="str">
        <f ca="1"/>
        <v>Petey Piranha</v>
      </c>
      <c r="D64" s="18">
        <f ca="1"/>
        <v>1</v>
      </c>
      <c r="E64" s="18">
        <f ca="1"/>
        <v>0</v>
      </c>
      <c r="F64" s="18" t="str">
        <f ca="1"/>
        <v/>
      </c>
      <c r="G64" s="18">
        <f ca="1"/>
        <v>2</v>
      </c>
      <c r="H64" s="18">
        <f ca="1"/>
        <v>0</v>
      </c>
      <c r="I64" s="18">
        <f ca="1"/>
        <v>0</v>
      </c>
      <c r="J64" s="18">
        <f ca="1"/>
        <v>0</v>
      </c>
      <c r="K64" s="18">
        <f ca="1"/>
        <v>0</v>
      </c>
      <c r="L64" s="18">
        <f ca="1"/>
        <v>0</v>
      </c>
      <c r="M64" s="18">
        <f ca="1"/>
        <v>0</v>
      </c>
      <c r="N64" s="18" t="str">
        <f ca="1"/>
        <v/>
      </c>
      <c r="O64" s="18">
        <f ca="1"/>
        <v>0</v>
      </c>
      <c r="P64" s="18">
        <f ca="1"/>
        <v>0</v>
      </c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</row>
    <row r="65" spans="1:20">
      <c r="A65" s="18">
        <f ca="1"/>
        <v>1</v>
      </c>
      <c r="B65" s="118" t="str">
        <f ca="1"/>
        <v>Jason</v>
      </c>
      <c r="C65" s="18" t="str">
        <f ca="1"/>
        <v>Peach</v>
      </c>
      <c r="D65" s="18">
        <f ca="1"/>
        <v>1</v>
      </c>
      <c r="E65" s="18">
        <f ca="1"/>
        <v>1</v>
      </c>
      <c r="F65" s="18" t="str">
        <f ca="1"/>
        <v/>
      </c>
      <c r="G65" s="18">
        <f ca="1"/>
        <v>2</v>
      </c>
      <c r="H65" s="18">
        <f ca="1"/>
        <v>2</v>
      </c>
      <c r="I65" s="18">
        <f ca="1"/>
        <v>1</v>
      </c>
      <c r="J65" s="18">
        <f ca="1"/>
        <v>1</v>
      </c>
      <c r="K65" s="18">
        <f ca="1"/>
        <v>1</v>
      </c>
      <c r="L65" s="18">
        <f ca="1"/>
        <v>2</v>
      </c>
      <c r="M65" s="18">
        <f ca="1"/>
        <v>2</v>
      </c>
      <c r="N65" s="18">
        <f ca="1"/>
        <v>9</v>
      </c>
      <c r="O65" s="18">
        <f ca="1"/>
        <v>1</v>
      </c>
      <c r="P65" s="18">
        <f ca="1"/>
        <v>0</v>
      </c>
      <c r="Q65" s="18"/>
      <c r="R65" s="18"/>
      <c r="S65" s="18"/>
      <c r="T65" s="18"/>
    </row>
    <row r="66" spans="1:20">
      <c r="A66" s="18">
        <f ca="1"/>
        <v>1</v>
      </c>
      <c r="B66" s="117" t="str">
        <f ca="1"/>
        <v>Aidan</v>
      </c>
      <c r="C66" s="18" t="str">
        <f ca="1"/>
        <v>Luigi</v>
      </c>
      <c r="D66" s="18">
        <f ca="1"/>
        <v>1</v>
      </c>
      <c r="E66" s="18">
        <f ca="1"/>
        <v>0.33333333333333331</v>
      </c>
      <c r="F66" s="18" t="str">
        <f ca="1"/>
        <v/>
      </c>
      <c r="G66" s="18">
        <f ca="1"/>
        <v>3</v>
      </c>
      <c r="H66" s="18">
        <f ca="1"/>
        <v>1</v>
      </c>
      <c r="I66" s="18">
        <f ca="1"/>
        <v>0.33333333333333331</v>
      </c>
      <c r="J66" s="18">
        <f ca="1"/>
        <v>0</v>
      </c>
      <c r="K66" s="18">
        <f ca="1"/>
        <v>1</v>
      </c>
      <c r="L66" s="18">
        <f ca="1"/>
        <v>0</v>
      </c>
      <c r="M66" s="18">
        <f ca="1"/>
        <v>0</v>
      </c>
      <c r="N66" s="18" t="str">
        <f ca="1"/>
        <v/>
      </c>
      <c r="O66" s="18">
        <f ca="1"/>
        <v>0</v>
      </c>
      <c r="P66" s="18">
        <f ca="1"/>
        <v>0</v>
      </c>
      <c r="Q66" s="18"/>
      <c r="R66" s="18"/>
      <c r="S66" s="18"/>
      <c r="T66" s="18"/>
    </row>
    <row r="67" spans="1:20">
      <c r="A67" s="18">
        <f ca="1"/>
        <v>1</v>
      </c>
      <c r="B67" s="116" t="str">
        <f ca="1"/>
        <v>Nick</v>
      </c>
      <c r="C67" s="18" t="str">
        <f ca="1"/>
        <v>Mii</v>
      </c>
      <c r="D67" s="18">
        <f ca="1"/>
        <v>1</v>
      </c>
      <c r="E67" s="18">
        <f ca="1"/>
        <v>1</v>
      </c>
      <c r="F67" s="18" t="str">
        <f ca="1"/>
        <v/>
      </c>
      <c r="G67" s="18">
        <f ca="1"/>
        <v>3</v>
      </c>
      <c r="H67" s="18">
        <f ca="1"/>
        <v>2</v>
      </c>
      <c r="I67" s="18">
        <f ca="1"/>
        <v>0.66666666666666663</v>
      </c>
      <c r="J67" s="18">
        <f ca="1"/>
        <v>0</v>
      </c>
      <c r="K67" s="18">
        <f ca="1"/>
        <v>0</v>
      </c>
      <c r="L67" s="18">
        <f ca="1"/>
        <v>0</v>
      </c>
      <c r="M67" s="18">
        <f ca="1"/>
        <v>0</v>
      </c>
      <c r="N67" s="18" t="str">
        <f ca="1"/>
        <v/>
      </c>
      <c r="O67" s="18">
        <f ca="1"/>
        <v>0</v>
      </c>
      <c r="P67" s="18">
        <f ca="1"/>
        <v>0</v>
      </c>
      <c r="Q67" s="18"/>
      <c r="R67" s="18"/>
      <c r="S67" s="18"/>
      <c r="T67" s="18"/>
    </row>
    <row r="68" spans="1:20">
      <c r="A68" s="18">
        <f ca="1"/>
        <v>1</v>
      </c>
      <c r="B68" s="115" t="str">
        <f ca="1"/>
        <v>Donovan</v>
      </c>
      <c r="C68" s="18" t="str">
        <f ca="1"/>
        <v>Waluigi</v>
      </c>
      <c r="D68" s="18">
        <f ca="1"/>
        <v>1</v>
      </c>
      <c r="E68" s="18">
        <f ca="1"/>
        <v>0</v>
      </c>
      <c r="F68" s="18" t="str">
        <f ca="1"/>
        <v/>
      </c>
      <c r="G68" s="18">
        <f ca="1"/>
        <v>1</v>
      </c>
      <c r="H68" s="18">
        <f ca="1"/>
        <v>0</v>
      </c>
      <c r="I68" s="18">
        <f ca="1"/>
        <v>0</v>
      </c>
      <c r="J68" s="18">
        <f ca="1"/>
        <v>0</v>
      </c>
      <c r="K68" s="18">
        <f ca="1"/>
        <v>0</v>
      </c>
      <c r="L68" s="18">
        <f ca="1"/>
        <v>3</v>
      </c>
      <c r="M68" s="18">
        <f ca="1"/>
        <v>4</v>
      </c>
      <c r="N68" s="18">
        <f ca="1"/>
        <v>12</v>
      </c>
      <c r="O68" s="18">
        <f ca="1"/>
        <v>0</v>
      </c>
      <c r="P68" s="18">
        <f ca="1"/>
        <v>0</v>
      </c>
      <c r="Q68" s="18"/>
      <c r="R68" s="18"/>
      <c r="S68" s="18"/>
      <c r="T68" s="18"/>
    </row>
    <row r="69" spans="1:20">
      <c r="A69" s="18">
        <f ca="1"/>
        <v>1</v>
      </c>
      <c r="B69" s="114" t="str">
        <f ca="1"/>
        <v>Justin</v>
      </c>
      <c r="C69" s="18" t="str">
        <f ca="1"/>
        <v>Boo</v>
      </c>
      <c r="D69" s="18">
        <f ca="1"/>
        <v>1</v>
      </c>
      <c r="E69" s="18">
        <f ca="1"/>
        <v>0</v>
      </c>
      <c r="F69" s="18" t="str">
        <f ca="1"/>
        <v/>
      </c>
      <c r="G69" s="18">
        <f ca="1"/>
        <v>1</v>
      </c>
      <c r="H69" s="18">
        <f ca="1"/>
        <v>1</v>
      </c>
      <c r="I69" s="18">
        <f ca="1"/>
        <v>1</v>
      </c>
      <c r="J69" s="18">
        <f ca="1"/>
        <v>1</v>
      </c>
      <c r="K69" s="18">
        <f ca="1"/>
        <v>1</v>
      </c>
      <c r="L69" s="18">
        <f ca="1"/>
        <v>2.1</v>
      </c>
      <c r="M69" s="18">
        <f ca="1"/>
        <v>4</v>
      </c>
      <c r="N69" s="18">
        <f ca="1"/>
        <v>15.428571428571427</v>
      </c>
      <c r="O69" s="18">
        <f ca="1"/>
        <v>0</v>
      </c>
      <c r="P69" s="18">
        <f ca="1"/>
        <v>0</v>
      </c>
      <c r="Q69" s="18"/>
      <c r="R69" s="18"/>
      <c r="S69" s="18"/>
      <c r="T69" s="18"/>
    </row>
    <row r="70" spans="1:20">
      <c r="A70" s="18">
        <f ca="1"/>
        <v>1</v>
      </c>
      <c r="B70" s="114" t="str">
        <f ca="1"/>
        <v>Justin</v>
      </c>
      <c r="C70" s="18" t="str">
        <f ca="1"/>
        <v>Funky Kong</v>
      </c>
      <c r="D70" s="18">
        <f ca="1"/>
        <v>1</v>
      </c>
      <c r="E70" s="18">
        <f ca="1"/>
        <v>0</v>
      </c>
      <c r="F70" s="18" t="str">
        <f ca="1"/>
        <v/>
      </c>
      <c r="G70" s="18">
        <f ca="1"/>
        <v>2</v>
      </c>
      <c r="H70" s="18">
        <f ca="1"/>
        <v>1</v>
      </c>
      <c r="I70" s="18">
        <f ca="1"/>
        <v>0.5</v>
      </c>
      <c r="J70" s="18">
        <f ca="1"/>
        <v>1</v>
      </c>
      <c r="K70" s="18">
        <f ca="1"/>
        <v>1</v>
      </c>
      <c r="L70" s="18">
        <f ca="1"/>
        <v>0</v>
      </c>
      <c r="M70" s="18">
        <f ca="1"/>
        <v>0</v>
      </c>
      <c r="N70" s="18" t="str">
        <f ca="1"/>
        <v/>
      </c>
      <c r="O70" s="18">
        <f ca="1"/>
        <v>0</v>
      </c>
      <c r="P70" s="18">
        <f ca="1"/>
        <v>0</v>
      </c>
      <c r="Q70" s="18"/>
      <c r="R70" s="18"/>
      <c r="S70" s="18"/>
      <c r="T70" s="18"/>
    </row>
    <row r="71" spans="1:20">
      <c r="A71" s="18">
        <f ca="1"/>
        <v>1</v>
      </c>
      <c r="B71" s="115" t="str">
        <f ca="1"/>
        <v>Donovan</v>
      </c>
      <c r="C71" s="18" t="str">
        <f ca="1"/>
        <v>Diddy Kong</v>
      </c>
      <c r="D71" s="18">
        <f ca="1"/>
        <v>1</v>
      </c>
      <c r="E71" s="18">
        <f ca="1"/>
        <v>0</v>
      </c>
      <c r="F71" s="18" t="str">
        <f ca="1"/>
        <v/>
      </c>
      <c r="G71" s="18">
        <f ca="1"/>
        <v>1</v>
      </c>
      <c r="H71" s="18">
        <f ca="1"/>
        <v>0</v>
      </c>
      <c r="I71" s="18">
        <f ca="1"/>
        <v>0</v>
      </c>
      <c r="J71" s="18">
        <f ca="1"/>
        <v>0</v>
      </c>
      <c r="K71" s="18">
        <f ca="1"/>
        <v>0</v>
      </c>
      <c r="L71" s="18">
        <f ca="1"/>
        <v>0</v>
      </c>
      <c r="M71" s="18">
        <f ca="1"/>
        <v>0</v>
      </c>
      <c r="N71" s="18" t="str">
        <f ca="1"/>
        <v/>
      </c>
      <c r="O71" s="18">
        <f ca="1"/>
        <v>0</v>
      </c>
      <c r="P71" s="18">
        <f ca="1"/>
        <v>0</v>
      </c>
      <c r="Q71" s="18"/>
      <c r="R71" s="18"/>
      <c r="S71" s="18"/>
      <c r="T71" s="18"/>
    </row>
    <row r="72" spans="1:20">
      <c r="A72" s="18">
        <f ca="1"/>
        <v>1</v>
      </c>
      <c r="B72" s="116" t="str">
        <f ca="1"/>
        <v>Nick</v>
      </c>
      <c r="C72" s="18" t="str">
        <f ca="1"/>
        <v>Toadette</v>
      </c>
      <c r="D72" s="18">
        <f ca="1"/>
        <v>1</v>
      </c>
      <c r="E72" s="18">
        <f ca="1"/>
        <v>1</v>
      </c>
      <c r="F72" s="18" t="str">
        <f ca="1"/>
        <v/>
      </c>
      <c r="G72" s="18">
        <f ca="1"/>
        <v>2</v>
      </c>
      <c r="H72" s="18">
        <f ca="1"/>
        <v>1</v>
      </c>
      <c r="I72" s="18">
        <f ca="1"/>
        <v>0.5</v>
      </c>
      <c r="J72" s="18">
        <f ca="1"/>
        <v>0</v>
      </c>
      <c r="K72" s="18">
        <f ca="1"/>
        <v>0</v>
      </c>
      <c r="L72" s="18">
        <f ca="1"/>
        <v>0</v>
      </c>
      <c r="M72" s="18">
        <f ca="1"/>
        <v>0</v>
      </c>
      <c r="N72" s="18" t="str">
        <f ca="1"/>
        <v/>
      </c>
      <c r="O72" s="18">
        <f ca="1"/>
        <v>0</v>
      </c>
      <c r="P72" s="18">
        <f ca="1"/>
        <v>0</v>
      </c>
      <c r="Q72" s="18"/>
      <c r="R72" s="18"/>
      <c r="S72" s="18"/>
      <c r="T72" s="18"/>
    </row>
    <row r="73" spans="1:20">
      <c r="A73" s="18">
        <f ca="1"/>
        <v>1</v>
      </c>
      <c r="B73" s="117" t="str">
        <f ca="1"/>
        <v>Aidan</v>
      </c>
      <c r="C73" s="18" t="str">
        <f ca="1"/>
        <v>Dark Bones</v>
      </c>
      <c r="D73" s="18">
        <f ca="1"/>
        <v>1</v>
      </c>
      <c r="E73" s="18">
        <f ca="1"/>
        <v>0.33333333333333331</v>
      </c>
      <c r="F73" s="18" t="str">
        <f ca="1"/>
        <v/>
      </c>
      <c r="G73" s="18">
        <f ca="1"/>
        <v>3</v>
      </c>
      <c r="H73" s="18">
        <f ca="1"/>
        <v>1</v>
      </c>
      <c r="I73" s="18">
        <f ca="1"/>
        <v>0.33333333333333331</v>
      </c>
      <c r="J73" s="18">
        <f ca="1"/>
        <v>1</v>
      </c>
      <c r="K73" s="18">
        <f ca="1"/>
        <v>2</v>
      </c>
      <c r="L73" s="18">
        <f ca="1"/>
        <v>0</v>
      </c>
      <c r="M73" s="18">
        <f ca="1"/>
        <v>0</v>
      </c>
      <c r="N73" s="18" t="str">
        <f ca="1"/>
        <v/>
      </c>
      <c r="O73" s="18">
        <f ca="1"/>
        <v>0</v>
      </c>
      <c r="P73" s="18">
        <f ca="1"/>
        <v>0</v>
      </c>
      <c r="Q73" s="18"/>
      <c r="R73" s="18"/>
      <c r="S73" s="18"/>
      <c r="T73" s="18"/>
    </row>
    <row r="74" spans="1:20">
      <c r="A74" s="18">
        <f ca="1"/>
        <v>1</v>
      </c>
      <c r="B74" s="118" t="str">
        <f ca="1"/>
        <v>Jason</v>
      </c>
      <c r="C74" s="18" t="str">
        <f ca="1"/>
        <v>Yoshi</v>
      </c>
      <c r="D74" s="18">
        <f ca="1"/>
        <v>1</v>
      </c>
      <c r="E74" s="18">
        <f ca="1"/>
        <v>1</v>
      </c>
      <c r="F74" s="18" t="str">
        <f ca="1"/>
        <v/>
      </c>
      <c r="G74" s="18">
        <f ca="1"/>
        <v>2</v>
      </c>
      <c r="H74" s="18">
        <f ca="1"/>
        <v>1</v>
      </c>
      <c r="I74" s="18">
        <f ca="1"/>
        <v>0.5</v>
      </c>
      <c r="J74" s="18">
        <f ca="1"/>
        <v>0</v>
      </c>
      <c r="K74" s="18">
        <f ca="1"/>
        <v>0</v>
      </c>
      <c r="L74" s="18">
        <f ca="1"/>
        <v>0</v>
      </c>
      <c r="M74" s="18">
        <f ca="1"/>
        <v>0</v>
      </c>
      <c r="N74" s="18" t="str">
        <f ca="1"/>
        <v/>
      </c>
      <c r="O74" s="18">
        <f ca="1"/>
        <v>0</v>
      </c>
      <c r="P74" s="18">
        <f ca="1"/>
        <v>0</v>
      </c>
      <c r="Q74" s="18"/>
      <c r="R74" s="18"/>
      <c r="S74" s="18"/>
      <c r="T74" s="18"/>
    </row>
    <row r="75" spans="1:20">
      <c r="A75" s="18">
        <f ca="1"/>
        <v>1</v>
      </c>
      <c r="B75" s="119" t="str">
        <f ca="1"/>
        <v>May</v>
      </c>
      <c r="C75" s="18" t="str">
        <f ca="1"/>
        <v>King Boo</v>
      </c>
      <c r="D75" s="18">
        <f ca="1"/>
        <v>1</v>
      </c>
      <c r="E75" s="18">
        <f ca="1"/>
        <v>0</v>
      </c>
      <c r="F75" s="18" t="str">
        <f ca="1"/>
        <v/>
      </c>
      <c r="G75" s="18">
        <f ca="1"/>
        <v>2</v>
      </c>
      <c r="H75" s="18">
        <f ca="1"/>
        <v>1</v>
      </c>
      <c r="I75" s="18">
        <f ca="1"/>
        <v>0.5</v>
      </c>
      <c r="J75" s="18">
        <f ca="1"/>
        <v>0</v>
      </c>
      <c r="K75" s="18">
        <f ca="1"/>
        <v>0</v>
      </c>
      <c r="L75" s="18">
        <f ca="1"/>
        <v>1</v>
      </c>
      <c r="M75" s="18">
        <f ca="1"/>
        <v>1</v>
      </c>
      <c r="N75" s="18">
        <f ca="1"/>
        <v>9</v>
      </c>
      <c r="O75" s="18">
        <f ca="1"/>
        <v>0</v>
      </c>
      <c r="P75" s="18">
        <f ca="1"/>
        <v>0</v>
      </c>
      <c r="Q75" s="18"/>
      <c r="R75" s="18"/>
      <c r="S75" s="18"/>
      <c r="T75" s="18"/>
    </row>
    <row r="76" spans="1:20">
      <c r="A76" s="18">
        <f ca="1"/>
        <v>1</v>
      </c>
      <c r="B76" s="119" t="str">
        <f ca="1"/>
        <v>May</v>
      </c>
      <c r="C76" s="18" t="str">
        <f ca="1"/>
        <v>Red Kritter</v>
      </c>
      <c r="D76" s="18">
        <f ca="1"/>
        <v>1</v>
      </c>
      <c r="E76" s="18">
        <f ca="1"/>
        <v>0</v>
      </c>
      <c r="F76" s="18" t="str">
        <f ca="1"/>
        <v/>
      </c>
      <c r="G76" s="18">
        <f ca="1"/>
        <v>1</v>
      </c>
      <c r="H76" s="18">
        <f ca="1"/>
        <v>0</v>
      </c>
      <c r="I76" s="18">
        <f ca="1"/>
        <v>0</v>
      </c>
      <c r="J76" s="18">
        <f ca="1"/>
        <v>0</v>
      </c>
      <c r="K76" s="18">
        <f ca="1"/>
        <v>0</v>
      </c>
      <c r="L76" s="18">
        <f ca="1"/>
        <v>0</v>
      </c>
      <c r="M76" s="18">
        <f ca="1"/>
        <v>0</v>
      </c>
      <c r="N76" s="18" t="str">
        <f ca="1"/>
        <v/>
      </c>
      <c r="O76" s="18">
        <f ca="1"/>
        <v>0</v>
      </c>
      <c r="P76" s="18">
        <f ca="1"/>
        <v>0</v>
      </c>
      <c r="Q76" s="18"/>
      <c r="R76" s="18"/>
      <c r="S76" s="18"/>
      <c r="T76" s="18"/>
    </row>
    <row r="77" spans="1:20">
      <c r="A77" s="18">
        <f ca="1"/>
        <v>1</v>
      </c>
      <c r="B77" s="118" t="str">
        <f ca="1"/>
        <v>Jason</v>
      </c>
      <c r="C77" s="18" t="str">
        <f ca="1"/>
        <v>King K. Rool</v>
      </c>
      <c r="D77" s="18">
        <f ca="1"/>
        <v>1</v>
      </c>
      <c r="E77" s="18">
        <f ca="1"/>
        <v>1</v>
      </c>
      <c r="F77" s="18" t="str">
        <f ca="1"/>
        <v/>
      </c>
      <c r="G77" s="18">
        <f ca="1"/>
        <v>2</v>
      </c>
      <c r="H77" s="18">
        <f ca="1"/>
        <v>1</v>
      </c>
      <c r="I77" s="18">
        <f ca="1"/>
        <v>0.5</v>
      </c>
      <c r="J77" s="18">
        <f ca="1"/>
        <v>1</v>
      </c>
      <c r="K77" s="18">
        <f ca="1"/>
        <v>1</v>
      </c>
      <c r="L77" s="18">
        <f ca="1"/>
        <v>1</v>
      </c>
      <c r="M77" s="18">
        <f ca="1"/>
        <v>0</v>
      </c>
      <c r="N77" s="18">
        <f ca="1"/>
        <v>0</v>
      </c>
      <c r="O77" s="18">
        <f ca="1"/>
        <v>0</v>
      </c>
      <c r="P77" s="18">
        <f ca="1"/>
        <v>0</v>
      </c>
      <c r="Q77" s="18"/>
      <c r="R77" s="18"/>
      <c r="S77" s="18"/>
      <c r="T77" s="18"/>
    </row>
    <row r="78" spans="1:20">
      <c r="A78" s="18">
        <f ca="1"/>
        <v>1</v>
      </c>
      <c r="B78" s="117" t="str">
        <f ca="1"/>
        <v>Aidan</v>
      </c>
      <c r="C78" s="18" t="str">
        <f ca="1"/>
        <v>Pink Yoshi</v>
      </c>
      <c r="D78" s="18">
        <f ca="1"/>
        <v>1</v>
      </c>
      <c r="E78" s="18">
        <f ca="1"/>
        <v>0.33333333333333331</v>
      </c>
      <c r="F78" s="18" t="str">
        <f ca="1"/>
        <v/>
      </c>
      <c r="G78" s="18">
        <f ca="1"/>
        <v>2</v>
      </c>
      <c r="H78" s="18">
        <f ca="1"/>
        <v>0</v>
      </c>
      <c r="I78" s="18">
        <f ca="1"/>
        <v>0</v>
      </c>
      <c r="J78" s="18">
        <f ca="1"/>
        <v>0</v>
      </c>
      <c r="K78" s="18">
        <f ca="1"/>
        <v>0</v>
      </c>
      <c r="L78" s="18">
        <f ca="1"/>
        <v>0</v>
      </c>
      <c r="M78" s="18">
        <f ca="1"/>
        <v>0</v>
      </c>
      <c r="N78" s="18" t="str">
        <f ca="1"/>
        <v/>
      </c>
      <c r="O78" s="18">
        <f ca="1"/>
        <v>0</v>
      </c>
      <c r="P78" s="18">
        <f ca="1"/>
        <v>0</v>
      </c>
      <c r="Q78" s="18"/>
      <c r="R78" s="18"/>
      <c r="S78" s="18"/>
      <c r="T78" s="18"/>
    </row>
    <row r="79" spans="1:20">
      <c r="A79" s="18">
        <f ca="1"/>
        <v>1</v>
      </c>
      <c r="B79" s="116" t="str">
        <f ca="1"/>
        <v>Nick</v>
      </c>
      <c r="C79" s="18" t="str">
        <f ca="1"/>
        <v>Blue Toad</v>
      </c>
      <c r="D79" s="18">
        <f ca="1"/>
        <v>1</v>
      </c>
      <c r="E79" s="18">
        <f ca="1"/>
        <v>1</v>
      </c>
      <c r="F79" s="18" t="str">
        <f ca="1"/>
        <v/>
      </c>
      <c r="G79" s="18">
        <f ca="1"/>
        <v>2</v>
      </c>
      <c r="H79" s="18">
        <f ca="1"/>
        <v>0</v>
      </c>
      <c r="I79" s="18">
        <f ca="1"/>
        <v>0</v>
      </c>
      <c r="J79" s="18">
        <f ca="1"/>
        <v>0</v>
      </c>
      <c r="K79" s="18">
        <f ca="1"/>
        <v>0</v>
      </c>
      <c r="L79" s="18">
        <f ca="1"/>
        <v>0</v>
      </c>
      <c r="M79" s="18">
        <f ca="1"/>
        <v>0</v>
      </c>
      <c r="N79" s="18" t="str">
        <f ca="1"/>
        <v/>
      </c>
      <c r="O79" s="18">
        <f ca="1"/>
        <v>0</v>
      </c>
      <c r="P79" s="18">
        <f ca="1"/>
        <v>0</v>
      </c>
      <c r="Q79" s="18"/>
      <c r="R79" s="18"/>
      <c r="S79" s="18"/>
      <c r="T79" s="18"/>
    </row>
    <row r="80" spans="1:20">
      <c r="A80" s="18">
        <f ca="1"/>
        <v>1</v>
      </c>
      <c r="B80" s="115" t="str">
        <f ca="1"/>
        <v>Donovan</v>
      </c>
      <c r="C80" s="18" t="str">
        <f ca="1"/>
        <v>Baby DK</v>
      </c>
      <c r="D80" s="18">
        <f ca="1"/>
        <v>1</v>
      </c>
      <c r="E80" s="18">
        <f ca="1"/>
        <v>0</v>
      </c>
      <c r="F80" s="18" t="str">
        <f ca="1"/>
        <v/>
      </c>
      <c r="G80" s="18">
        <f ca="1"/>
        <v>1</v>
      </c>
      <c r="H80" s="18">
        <f ca="1"/>
        <v>0</v>
      </c>
      <c r="I80" s="18">
        <f ca="1"/>
        <v>0</v>
      </c>
      <c r="J80" s="18">
        <f ca="1"/>
        <v>0</v>
      </c>
      <c r="K80" s="18">
        <f ca="1"/>
        <v>0</v>
      </c>
      <c r="L80" s="18">
        <f ca="1"/>
        <v>0</v>
      </c>
      <c r="M80" s="18">
        <f ca="1"/>
        <v>0</v>
      </c>
      <c r="N80" s="18" t="str">
        <f ca="1"/>
        <v/>
      </c>
      <c r="O80" s="18">
        <f ca="1"/>
        <v>0</v>
      </c>
      <c r="P80" s="18">
        <f ca="1"/>
        <v>0</v>
      </c>
      <c r="Q80" s="18"/>
      <c r="R80" s="18"/>
      <c r="S80" s="18"/>
      <c r="T80" s="18"/>
    </row>
    <row r="81" spans="1:20">
      <c r="A81" s="18">
        <f ca="1"/>
        <v>1</v>
      </c>
      <c r="B81" s="114" t="str">
        <f ca="1"/>
        <v>Justin</v>
      </c>
      <c r="C81" s="18" t="str">
        <f ca="1"/>
        <v>Yellow Magikoopa</v>
      </c>
      <c r="D81" s="18">
        <f ca="1"/>
        <v>1</v>
      </c>
      <c r="E81" s="18">
        <f ca="1"/>
        <v>0</v>
      </c>
      <c r="F81" s="18" t="str">
        <f ca="1"/>
        <v/>
      </c>
      <c r="G81" s="18">
        <f ca="1"/>
        <v>1</v>
      </c>
      <c r="H81" s="18">
        <f ca="1"/>
        <v>1</v>
      </c>
      <c r="I81" s="18">
        <f ca="1"/>
        <v>1</v>
      </c>
      <c r="J81" s="18">
        <f ca="1"/>
        <v>1</v>
      </c>
      <c r="K81" s="18">
        <f ca="1"/>
        <v>1</v>
      </c>
      <c r="L81" s="18">
        <f ca="1"/>
        <v>0</v>
      </c>
      <c r="M81" s="18">
        <f ca="1"/>
        <v>0</v>
      </c>
      <c r="N81" s="18" t="str">
        <f ca="1"/>
        <v/>
      </c>
      <c r="O81" s="18">
        <f ca="1"/>
        <v>0</v>
      </c>
      <c r="P81" s="18">
        <f ca="1"/>
        <v>0</v>
      </c>
      <c r="Q81" s="18"/>
      <c r="R81" s="18"/>
      <c r="S81" s="18"/>
      <c r="T81" s="18"/>
    </row>
    <row r="82" spans="1:20">
      <c r="A82" s="18">
        <f ca="1"/>
        <v>1</v>
      </c>
      <c r="B82" s="114" t="str">
        <f ca="1"/>
        <v>Justin</v>
      </c>
      <c r="C82" s="18" t="str">
        <f ca="1"/>
        <v>Blue Yoshi</v>
      </c>
      <c r="D82" s="18">
        <f ca="1"/>
        <v>1</v>
      </c>
      <c r="E82" s="18">
        <f ca="1"/>
        <v>0</v>
      </c>
      <c r="F82" s="18" t="str">
        <f ca="1"/>
        <v/>
      </c>
      <c r="G82" s="18">
        <f ca="1"/>
        <v>2</v>
      </c>
      <c r="H82" s="18">
        <f ca="1"/>
        <v>0</v>
      </c>
      <c r="I82" s="18">
        <f ca="1"/>
        <v>0</v>
      </c>
      <c r="J82" s="18">
        <f ca="1"/>
        <v>0</v>
      </c>
      <c r="K82" s="18">
        <f ca="1"/>
        <v>0</v>
      </c>
      <c r="L82" s="18">
        <f ca="1"/>
        <v>0</v>
      </c>
      <c r="M82" s="18">
        <f ca="1"/>
        <v>0</v>
      </c>
      <c r="N82" s="18" t="str">
        <f ca="1"/>
        <v/>
      </c>
      <c r="O82" s="18">
        <f ca="1"/>
        <v>0</v>
      </c>
      <c r="P82" s="18">
        <f ca="1"/>
        <v>0</v>
      </c>
      <c r="Q82" s="18"/>
      <c r="R82" s="18"/>
      <c r="S82" s="18"/>
      <c r="T82" s="18"/>
    </row>
    <row r="83" spans="1:20">
      <c r="A83" s="18">
        <f ca="1"/>
        <v>1</v>
      </c>
      <c r="B83" s="115" t="str">
        <f ca="1"/>
        <v>Donovan</v>
      </c>
      <c r="C83" s="18" t="str">
        <f ca="1"/>
        <v>Dixie Kong</v>
      </c>
      <c r="D83" s="18">
        <f ca="1"/>
        <v>1</v>
      </c>
      <c r="E83" s="18">
        <f ca="1"/>
        <v>0</v>
      </c>
      <c r="F83" s="18" t="str">
        <f ca="1"/>
        <v/>
      </c>
      <c r="G83" s="18">
        <f ca="1"/>
        <v>1</v>
      </c>
      <c r="H83" s="18">
        <f ca="1"/>
        <v>0</v>
      </c>
      <c r="I83" s="18">
        <f ca="1"/>
        <v>0</v>
      </c>
      <c r="J83" s="18">
        <f ca="1"/>
        <v>0</v>
      </c>
      <c r="K83" s="18">
        <f ca="1"/>
        <v>0</v>
      </c>
      <c r="L83" s="18">
        <f ca="1"/>
        <v>0</v>
      </c>
      <c r="M83" s="18">
        <f ca="1"/>
        <v>0</v>
      </c>
      <c r="N83" s="18" t="str">
        <f ca="1"/>
        <v/>
      </c>
      <c r="O83" s="18">
        <f ca="1"/>
        <v>0</v>
      </c>
      <c r="P83" s="18">
        <f ca="1"/>
        <v>0</v>
      </c>
      <c r="Q83" s="18"/>
      <c r="R83" s="18"/>
      <c r="S83" s="18"/>
      <c r="T83" s="18"/>
    </row>
    <row r="84" spans="1:20">
      <c r="A84" s="18">
        <f ca="1"/>
        <v>1</v>
      </c>
      <c r="B84" s="116" t="str">
        <f ca="1"/>
        <v>Nick</v>
      </c>
      <c r="C84" s="18" t="str">
        <f ca="1"/>
        <v>Monty Mole</v>
      </c>
      <c r="D84" s="18">
        <f ca="1"/>
        <v>1</v>
      </c>
      <c r="E84" s="18">
        <f ca="1"/>
        <v>1</v>
      </c>
      <c r="F84" s="18" t="str">
        <f ca="1"/>
        <v/>
      </c>
      <c r="G84" s="18">
        <f ca="1"/>
        <v>4</v>
      </c>
      <c r="H84" s="18">
        <f ca="1"/>
        <v>0</v>
      </c>
      <c r="I84" s="18">
        <f ca="1"/>
        <v>0</v>
      </c>
      <c r="J84" s="18">
        <f ca="1"/>
        <v>0</v>
      </c>
      <c r="K84" s="18">
        <f ca="1"/>
        <v>0</v>
      </c>
      <c r="L84" s="18">
        <f ca="1"/>
        <v>0</v>
      </c>
      <c r="M84" s="18">
        <f ca="1"/>
        <v>0</v>
      </c>
      <c r="N84" s="18" t="str">
        <f ca="1"/>
        <v/>
      </c>
      <c r="O84" s="18">
        <f ca="1"/>
        <v>0</v>
      </c>
      <c r="P84" s="18">
        <f ca="1"/>
        <v>0</v>
      </c>
      <c r="Q84" s="18"/>
      <c r="R84" s="18"/>
      <c r="S84" s="18"/>
      <c r="T84" s="18"/>
    </row>
    <row r="85" spans="1:20">
      <c r="A85" s="18">
        <f ca="1"/>
        <v>1</v>
      </c>
      <c r="B85" s="117" t="str">
        <f ca="1"/>
        <v>Aidan</v>
      </c>
      <c r="C85" s="18" t="str">
        <f ca="1"/>
        <v>Red Magikoopa</v>
      </c>
      <c r="D85" s="18">
        <f ca="1"/>
        <v>1</v>
      </c>
      <c r="E85" s="18">
        <f ca="1"/>
        <v>0.33333333333333331</v>
      </c>
      <c r="F85" s="18" t="str">
        <f ca="1"/>
        <v/>
      </c>
      <c r="G85" s="18">
        <f ca="1"/>
        <v>2</v>
      </c>
      <c r="H85" s="18">
        <f ca="1"/>
        <v>1</v>
      </c>
      <c r="I85" s="18">
        <f ca="1"/>
        <v>0.5</v>
      </c>
      <c r="J85" s="18">
        <f ca="1"/>
        <v>0</v>
      </c>
      <c r="K85" s="18">
        <f ca="1"/>
        <v>0</v>
      </c>
      <c r="L85" s="18">
        <f ca="1"/>
        <v>3.2</v>
      </c>
      <c r="M85" s="18">
        <f ca="1"/>
        <v>2</v>
      </c>
      <c r="N85" s="18">
        <f ca="1"/>
        <v>4.9090909090909092</v>
      </c>
      <c r="O85" s="18">
        <f ca="1"/>
        <v>0</v>
      </c>
      <c r="P85" s="18">
        <f ca="1"/>
        <v>0</v>
      </c>
      <c r="Q85" s="18"/>
      <c r="R85" s="18"/>
      <c r="S85" s="18"/>
      <c r="T85" s="18"/>
    </row>
    <row r="86" spans="1:20">
      <c r="A86" s="18">
        <f ca="1"/>
        <v>1</v>
      </c>
      <c r="B86" s="118" t="str">
        <f ca="1"/>
        <v>Jason</v>
      </c>
      <c r="C86" s="18" t="str">
        <f ca="1"/>
        <v>Baby Daisy</v>
      </c>
      <c r="D86" s="18">
        <f ca="1"/>
        <v>1</v>
      </c>
      <c r="E86" s="18">
        <f ca="1"/>
        <v>1</v>
      </c>
      <c r="F86" s="18" t="str">
        <f ca="1"/>
        <v/>
      </c>
      <c r="G86" s="18">
        <f ca="1"/>
        <v>1</v>
      </c>
      <c r="H86" s="18">
        <f ca="1"/>
        <v>1</v>
      </c>
      <c r="I86" s="18">
        <f ca="1"/>
        <v>1</v>
      </c>
      <c r="J86" s="18">
        <f ca="1"/>
        <v>0</v>
      </c>
      <c r="K86" s="18">
        <f ca="1"/>
        <v>0</v>
      </c>
      <c r="L86" s="18">
        <f ca="1"/>
        <v>0</v>
      </c>
      <c r="M86" s="18">
        <f ca="1"/>
        <v>0</v>
      </c>
      <c r="N86" s="18" t="str">
        <f ca="1"/>
        <v/>
      </c>
      <c r="O86" s="18">
        <f ca="1"/>
        <v>0</v>
      </c>
      <c r="P86" s="18">
        <f ca="1"/>
        <v>0</v>
      </c>
      <c r="Q86" s="18"/>
      <c r="R86" s="18"/>
      <c r="S86" s="18"/>
      <c r="T86" s="18"/>
    </row>
    <row r="87" spans="1:20">
      <c r="A87" s="18">
        <f ca="1"/>
        <v>1</v>
      </c>
      <c r="B87" s="119" t="str">
        <f ca="1"/>
        <v>May</v>
      </c>
      <c r="C87" s="18" t="str">
        <f ca="1"/>
        <v>Red Yoshi</v>
      </c>
      <c r="D87" s="18">
        <f ca="1"/>
        <v>1</v>
      </c>
      <c r="E87" s="18">
        <f ca="1"/>
        <v>0</v>
      </c>
      <c r="F87" s="18" t="str">
        <f ca="1"/>
        <v/>
      </c>
      <c r="G87" s="18">
        <f ca="1"/>
        <v>2</v>
      </c>
      <c r="H87" s="18">
        <f ca="1"/>
        <v>2</v>
      </c>
      <c r="I87" s="18">
        <f ca="1"/>
        <v>1</v>
      </c>
      <c r="J87" s="18">
        <f ca="1"/>
        <v>0</v>
      </c>
      <c r="K87" s="18">
        <f ca="1"/>
        <v>0</v>
      </c>
      <c r="L87" s="18">
        <f ca="1"/>
        <v>0</v>
      </c>
      <c r="M87" s="18">
        <f ca="1"/>
        <v>0</v>
      </c>
      <c r="N87" s="18" t="str">
        <f ca="1"/>
        <v/>
      </c>
      <c r="O87" s="18">
        <f ca="1"/>
        <v>0</v>
      </c>
      <c r="P87" s="18">
        <f ca="1"/>
        <v>0</v>
      </c>
      <c r="Q87" s="18"/>
      <c r="R87" s="18"/>
      <c r="S87" s="18"/>
      <c r="T87" s="18"/>
    </row>
    <row r="88" spans="1:20">
      <c r="A88" s="18">
        <f ca="1"/>
        <v>1</v>
      </c>
      <c r="B88" s="119" t="str">
        <f ca="1"/>
        <v>May</v>
      </c>
      <c r="C88" s="18" t="str">
        <f ca="1"/>
        <v>Baby Peach</v>
      </c>
      <c r="D88" s="18">
        <f ca="1"/>
        <v>1</v>
      </c>
      <c r="E88" s="18">
        <f ca="1"/>
        <v>0</v>
      </c>
      <c r="F88" s="18" t="str">
        <f ca="1"/>
        <v/>
      </c>
      <c r="G88" s="18">
        <f ca="1"/>
        <v>2</v>
      </c>
      <c r="H88" s="18">
        <f ca="1"/>
        <v>1</v>
      </c>
      <c r="I88" s="18">
        <f ca="1"/>
        <v>0.5</v>
      </c>
      <c r="J88" s="18">
        <f ca="1"/>
        <v>0</v>
      </c>
      <c r="K88" s="18">
        <f ca="1"/>
        <v>1</v>
      </c>
      <c r="L88" s="18">
        <f ca="1"/>
        <v>3</v>
      </c>
      <c r="M88" s="18">
        <f ca="1"/>
        <v>1</v>
      </c>
      <c r="N88" s="18">
        <f ca="1"/>
        <v>3</v>
      </c>
      <c r="O88" s="18">
        <f ca="1"/>
        <v>0</v>
      </c>
      <c r="P88" s="18">
        <f ca="1"/>
        <v>0</v>
      </c>
      <c r="Q88" s="18"/>
      <c r="R88" s="18"/>
      <c r="S88" s="18"/>
      <c r="T88" s="18"/>
    </row>
    <row r="89" spans="1:20">
      <c r="A89" s="18">
        <f ca="1"/>
        <v>1</v>
      </c>
      <c r="B89" s="118" t="str">
        <f ca="1"/>
        <v>Jason</v>
      </c>
      <c r="C89" s="18" t="str">
        <f ca="1"/>
        <v>Baby Mario</v>
      </c>
      <c r="D89" s="18">
        <f ca="1"/>
        <v>1</v>
      </c>
      <c r="E89" s="18">
        <f ca="1"/>
        <v>1</v>
      </c>
      <c r="F89" s="18" t="str">
        <f ca="1"/>
        <v/>
      </c>
      <c r="G89" s="18">
        <f ca="1"/>
        <v>2</v>
      </c>
      <c r="H89" s="18">
        <f ca="1"/>
        <v>0</v>
      </c>
      <c r="I89" s="18">
        <f ca="1"/>
        <v>0</v>
      </c>
      <c r="J89" s="18">
        <f ca="1"/>
        <v>0</v>
      </c>
      <c r="K89" s="18">
        <f ca="1"/>
        <v>0</v>
      </c>
      <c r="L89" s="18">
        <f ca="1"/>
        <v>0</v>
      </c>
      <c r="M89" s="18">
        <f ca="1"/>
        <v>0</v>
      </c>
      <c r="N89" s="18" t="str">
        <f ca="1"/>
        <v/>
      </c>
      <c r="O89" s="18">
        <f ca="1"/>
        <v>0</v>
      </c>
      <c r="P89" s="18">
        <f ca="1"/>
        <v>0</v>
      </c>
      <c r="Q89" s="18"/>
      <c r="R89" s="18"/>
      <c r="S89" s="18"/>
      <c r="T89" s="18"/>
    </row>
    <row r="90" spans="1:20">
      <c r="A90" s="18">
        <f ca="1"/>
        <v>1</v>
      </c>
      <c r="B90" s="117" t="str">
        <f ca="1"/>
        <v>Aidan</v>
      </c>
      <c r="C90" s="18" t="str">
        <f ca="1"/>
        <v>Blue Pianta</v>
      </c>
      <c r="D90" s="18">
        <f ca="1"/>
        <v>1</v>
      </c>
      <c r="E90" s="18">
        <f ca="1"/>
        <v>0.33333333333333331</v>
      </c>
      <c r="F90" s="18" t="str">
        <f ca="1"/>
        <v/>
      </c>
      <c r="G90" s="18">
        <f ca="1"/>
        <v>3</v>
      </c>
      <c r="H90" s="18">
        <f ca="1"/>
        <v>1</v>
      </c>
      <c r="I90" s="18">
        <f ca="1"/>
        <v>0.33333333333333331</v>
      </c>
      <c r="J90" s="18">
        <f ca="1"/>
        <v>0</v>
      </c>
      <c r="K90" s="18">
        <f ca="1"/>
        <v>0</v>
      </c>
      <c r="L90" s="18">
        <f ca="1"/>
        <v>0</v>
      </c>
      <c r="M90" s="18">
        <f ca="1"/>
        <v>0</v>
      </c>
      <c r="N90" s="18" t="str">
        <f ca="1"/>
        <v/>
      </c>
      <c r="O90" s="18">
        <f ca="1"/>
        <v>0</v>
      </c>
      <c r="P90" s="18">
        <f ca="1"/>
        <v>0</v>
      </c>
      <c r="Q90" s="18"/>
      <c r="R90" s="18"/>
      <c r="S90" s="18"/>
      <c r="T90" s="18"/>
    </row>
    <row r="91" spans="1:20">
      <c r="A91" s="18">
        <f ca="1"/>
        <v>1</v>
      </c>
      <c r="B91" s="116" t="str">
        <f ca="1"/>
        <v>Nick</v>
      </c>
      <c r="C91" s="18" t="str">
        <f ca="1"/>
        <v>Wario</v>
      </c>
      <c r="D91" s="18">
        <f ca="1"/>
        <v>1</v>
      </c>
      <c r="E91" s="18">
        <f ca="1"/>
        <v>1</v>
      </c>
      <c r="F91" s="18" t="str">
        <f ca="1"/>
        <v/>
      </c>
      <c r="G91" s="18">
        <f ca="1"/>
        <v>4</v>
      </c>
      <c r="H91" s="18">
        <f ca="1"/>
        <v>2</v>
      </c>
      <c r="I91" s="18">
        <f ca="1"/>
        <v>0.5</v>
      </c>
      <c r="J91" s="18">
        <f ca="1"/>
        <v>1</v>
      </c>
      <c r="K91" s="18">
        <f ca="1"/>
        <v>3</v>
      </c>
      <c r="L91" s="18">
        <f ca="1"/>
        <v>0</v>
      </c>
      <c r="M91" s="18">
        <f ca="1"/>
        <v>0</v>
      </c>
      <c r="N91" s="18" t="str">
        <f ca="1"/>
        <v/>
      </c>
      <c r="O91" s="18">
        <f ca="1"/>
        <v>0</v>
      </c>
      <c r="P91" s="18">
        <f ca="1"/>
        <v>0</v>
      </c>
      <c r="Q91" s="18"/>
      <c r="R91" s="18"/>
      <c r="S91" s="18"/>
      <c r="T91" s="18"/>
    </row>
    <row r="92" spans="1:20">
      <c r="A92" s="18">
        <f ca="1"/>
        <v>1</v>
      </c>
      <c r="B92" s="115" t="str">
        <f ca="1"/>
        <v>Donovan</v>
      </c>
      <c r="C92" s="18" t="str">
        <f ca="1"/>
        <v>Fire Bro</v>
      </c>
      <c r="D92" s="18">
        <f ca="1"/>
        <v>1</v>
      </c>
      <c r="E92" s="18">
        <f ca="1"/>
        <v>0</v>
      </c>
      <c r="F92" s="18" t="str">
        <f ca="1"/>
        <v/>
      </c>
      <c r="G92" s="18">
        <f ca="1"/>
        <v>1</v>
      </c>
      <c r="H92" s="18">
        <f ca="1"/>
        <v>0</v>
      </c>
      <c r="I92" s="18">
        <f ca="1"/>
        <v>0</v>
      </c>
      <c r="J92" s="18">
        <f ca="1"/>
        <v>0</v>
      </c>
      <c r="K92" s="18">
        <f ca="1"/>
        <v>0</v>
      </c>
      <c r="L92" s="18">
        <f ca="1"/>
        <v>0</v>
      </c>
      <c r="M92" s="18">
        <f ca="1"/>
        <v>0</v>
      </c>
      <c r="N92" s="18" t="str">
        <f ca="1"/>
        <v/>
      </c>
      <c r="O92" s="18">
        <f ca="1"/>
        <v>0</v>
      </c>
      <c r="P92" s="18">
        <f ca="1"/>
        <v>0</v>
      </c>
      <c r="Q92" s="18"/>
      <c r="R92" s="18"/>
      <c r="S92" s="18"/>
      <c r="T92" s="18"/>
    </row>
    <row r="93" spans="1:20">
      <c r="A93" s="18">
        <f ca="1"/>
        <v>1</v>
      </c>
      <c r="B93" s="114" t="str">
        <f ca="1"/>
        <v>Justin</v>
      </c>
      <c r="C93" s="18" t="str">
        <f ca="1"/>
        <v>Red Pianta</v>
      </c>
      <c r="D93" s="18">
        <f ca="1"/>
        <v>1</v>
      </c>
      <c r="E93" s="18">
        <f ca="1"/>
        <v>0</v>
      </c>
      <c r="F93" s="18" t="str">
        <f ca="1"/>
        <v/>
      </c>
      <c r="G93" s="18">
        <f ca="1"/>
        <v>2</v>
      </c>
      <c r="H93" s="18">
        <f ca="1"/>
        <v>0</v>
      </c>
      <c r="I93" s="18">
        <f ca="1"/>
        <v>0</v>
      </c>
      <c r="J93" s="18">
        <f ca="1"/>
        <v>0</v>
      </c>
      <c r="K93" s="18">
        <f ca="1"/>
        <v>0</v>
      </c>
      <c r="L93" s="18">
        <f ca="1"/>
        <v>0</v>
      </c>
      <c r="M93" s="18">
        <f ca="1"/>
        <v>0</v>
      </c>
      <c r="N93" s="18" t="str">
        <f ca="1"/>
        <v/>
      </c>
      <c r="O93" s="18">
        <f ca="1"/>
        <v>0</v>
      </c>
      <c r="P93" s="18">
        <f ca="1"/>
        <v>0</v>
      </c>
      <c r="Q93" s="18"/>
      <c r="R93" s="18"/>
      <c r="S93" s="18"/>
      <c r="T93" s="18"/>
    </row>
    <row r="94" spans="1:20">
      <c r="A94" s="18">
        <f ca="1"/>
        <v>1</v>
      </c>
      <c r="B94" s="114" t="str">
        <f ca="1"/>
        <v>Justin</v>
      </c>
      <c r="C94" s="18" t="str">
        <f ca="1"/>
        <v>Baby Luigi</v>
      </c>
      <c r="D94" s="18">
        <f ca="1"/>
        <v>1</v>
      </c>
      <c r="E94" s="18">
        <f ca="1"/>
        <v>0</v>
      </c>
      <c r="F94" s="18" t="str">
        <f ca="1"/>
        <v/>
      </c>
      <c r="G94" s="18">
        <f ca="1"/>
        <v>1</v>
      </c>
      <c r="H94" s="18">
        <f ca="1"/>
        <v>1</v>
      </c>
      <c r="I94" s="18">
        <f ca="1"/>
        <v>1</v>
      </c>
      <c r="J94" s="18">
        <f ca="1"/>
        <v>0</v>
      </c>
      <c r="K94" s="18">
        <f ca="1"/>
        <v>0</v>
      </c>
      <c r="L94" s="18">
        <f ca="1"/>
        <v>0</v>
      </c>
      <c r="M94" s="18">
        <f ca="1"/>
        <v>0</v>
      </c>
      <c r="N94" s="18" t="str">
        <f ca="1"/>
        <v/>
      </c>
      <c r="O94" s="18">
        <f ca="1"/>
        <v>0</v>
      </c>
      <c r="P94" s="18">
        <f ca="1"/>
        <v>0</v>
      </c>
      <c r="Q94" s="18"/>
      <c r="R94" s="18"/>
      <c r="S94" s="18"/>
      <c r="T94" s="18"/>
    </row>
    <row r="95" spans="1:20">
      <c r="A95" s="18">
        <f ca="1"/>
        <v>1</v>
      </c>
      <c r="B95" s="115" t="str">
        <f ca="1"/>
        <v>Donovan</v>
      </c>
      <c r="C95" s="18" t="str">
        <f ca="1"/>
        <v>Tiny Kong</v>
      </c>
      <c r="D95" s="18">
        <f ca="1"/>
        <v>1</v>
      </c>
      <c r="E95" s="18">
        <f ca="1"/>
        <v>0</v>
      </c>
      <c r="F95" s="18" t="str">
        <f ca="1"/>
        <v/>
      </c>
      <c r="G95" s="18">
        <f ca="1"/>
        <v>1</v>
      </c>
      <c r="H95" s="18">
        <f ca="1"/>
        <v>0</v>
      </c>
      <c r="I95" s="18">
        <f ca="1"/>
        <v>0</v>
      </c>
      <c r="J95" s="18">
        <f ca="1"/>
        <v>0</v>
      </c>
      <c r="K95" s="18">
        <f ca="1"/>
        <v>0</v>
      </c>
      <c r="L95" s="18">
        <f ca="1"/>
        <v>0</v>
      </c>
      <c r="M95" s="18">
        <f ca="1"/>
        <v>0</v>
      </c>
      <c r="N95" s="18" t="str">
        <f ca="1"/>
        <v/>
      </c>
      <c r="O95" s="18">
        <f ca="1"/>
        <v>0</v>
      </c>
      <c r="P95" s="18">
        <f ca="1"/>
        <v>0</v>
      </c>
      <c r="Q95" s="18"/>
      <c r="R95" s="18"/>
      <c r="S95" s="18"/>
      <c r="T95" s="18"/>
    </row>
    <row r="96" spans="1:20">
      <c r="A96" s="18">
        <f ca="1"/>
        <v>1</v>
      </c>
      <c r="B96" s="116" t="str">
        <f ca="1"/>
        <v>Nick</v>
      </c>
      <c r="C96" s="18" t="str">
        <f ca="1"/>
        <v>Wiggler</v>
      </c>
      <c r="D96" s="18">
        <f ca="1"/>
        <v>1</v>
      </c>
      <c r="E96" s="18">
        <f ca="1"/>
        <v>1</v>
      </c>
      <c r="F96" s="18" t="str">
        <f ca="1"/>
        <v/>
      </c>
      <c r="G96" s="18">
        <f ca="1"/>
        <v>3</v>
      </c>
      <c r="H96" s="18">
        <f ca="1"/>
        <v>1</v>
      </c>
      <c r="I96" s="18">
        <f ca="1"/>
        <v>0.33333333333333331</v>
      </c>
      <c r="J96" s="18">
        <f ca="1"/>
        <v>1</v>
      </c>
      <c r="K96" s="18">
        <f ca="1"/>
        <v>1</v>
      </c>
      <c r="L96" s="18">
        <f ca="1"/>
        <v>1.1000000000000001</v>
      </c>
      <c r="M96" s="18">
        <f ca="1"/>
        <v>1</v>
      </c>
      <c r="N96" s="18">
        <f ca="1"/>
        <v>6.75</v>
      </c>
      <c r="O96" s="18">
        <f ca="1"/>
        <v>0</v>
      </c>
      <c r="P96" s="18">
        <f ca="1"/>
        <v>0</v>
      </c>
      <c r="Q96" s="18"/>
      <c r="R96" s="18"/>
      <c r="S96" s="18"/>
      <c r="T96" s="18"/>
    </row>
    <row r="97" spans="1:20">
      <c r="A97" s="18">
        <f ca="1"/>
        <v>1</v>
      </c>
      <c r="B97" s="117" t="str">
        <f ca="1"/>
        <v>Aidan</v>
      </c>
      <c r="C97" s="18" t="str">
        <f ca="1"/>
        <v>Yellow Pianta</v>
      </c>
      <c r="D97" s="18">
        <f ca="1"/>
        <v>1</v>
      </c>
      <c r="E97" s="18">
        <f ca="1"/>
        <v>0.33333333333333331</v>
      </c>
      <c r="F97" s="18" t="str">
        <f ca="1"/>
        <v/>
      </c>
      <c r="G97" s="18">
        <f ca="1"/>
        <v>3</v>
      </c>
      <c r="H97" s="18">
        <f ca="1"/>
        <v>1</v>
      </c>
      <c r="I97" s="18">
        <f ca="1"/>
        <v>0.33333333333333331</v>
      </c>
      <c r="J97" s="18">
        <f ca="1"/>
        <v>1</v>
      </c>
      <c r="K97" s="18">
        <f ca="1"/>
        <v>1</v>
      </c>
      <c r="L97" s="18">
        <f ca="1"/>
        <v>0</v>
      </c>
      <c r="M97" s="18">
        <f ca="1"/>
        <v>0</v>
      </c>
      <c r="N97" s="18" t="str">
        <f ca="1"/>
        <v/>
      </c>
      <c r="O97" s="18">
        <f ca="1"/>
        <v>1</v>
      </c>
      <c r="P97" s="18">
        <f ca="1"/>
        <v>0</v>
      </c>
      <c r="Q97" s="18"/>
      <c r="R97" s="18"/>
      <c r="S97" s="18"/>
      <c r="T97" s="18"/>
    </row>
    <row r="98" spans="1:20">
      <c r="A98" s="18">
        <f ca="1"/>
        <v>1</v>
      </c>
      <c r="B98" s="118" t="str">
        <f ca="1"/>
        <v>Jason</v>
      </c>
      <c r="C98" s="18" t="str">
        <f ca="1"/>
        <v>Brown Kritter</v>
      </c>
      <c r="D98" s="18">
        <f ca="1"/>
        <v>1</v>
      </c>
      <c r="E98" s="18">
        <f ca="1"/>
        <v>1</v>
      </c>
      <c r="F98" s="18" t="str">
        <f ca="1"/>
        <v/>
      </c>
      <c r="G98" s="18">
        <f ca="1"/>
        <v>1</v>
      </c>
      <c r="H98" s="18">
        <f ca="1"/>
        <v>0</v>
      </c>
      <c r="I98" s="18">
        <f ca="1"/>
        <v>0</v>
      </c>
      <c r="J98" s="18">
        <f ca="1"/>
        <v>0</v>
      </c>
      <c r="K98" s="18">
        <f ca="1"/>
        <v>0</v>
      </c>
      <c r="L98" s="18">
        <f ca="1"/>
        <v>0</v>
      </c>
      <c r="M98" s="18">
        <f ca="1"/>
        <v>0</v>
      </c>
      <c r="N98" s="18" t="str">
        <f ca="1"/>
        <v/>
      </c>
      <c r="O98" s="18">
        <f ca="1"/>
        <v>0</v>
      </c>
      <c r="P98" s="18">
        <f ca="1"/>
        <v>0</v>
      </c>
      <c r="Q98" s="18"/>
      <c r="R98" s="18"/>
      <c r="S98" s="18"/>
      <c r="T98" s="18"/>
    </row>
    <row r="99" spans="1:20">
      <c r="A99" s="18">
        <f ca="1"/>
        <v>1</v>
      </c>
      <c r="B99" s="119" t="str">
        <f ca="1"/>
        <v>May</v>
      </c>
      <c r="C99" s="18" t="str">
        <f ca="1"/>
        <v>Hammer Bro</v>
      </c>
      <c r="D99" s="18">
        <f ca="1"/>
        <v>1</v>
      </c>
      <c r="E99" s="18">
        <f ca="1"/>
        <v>0</v>
      </c>
      <c r="F99" s="18" t="str">
        <f ca="1"/>
        <v/>
      </c>
      <c r="G99" s="18">
        <f ca="1"/>
        <v>2</v>
      </c>
      <c r="H99" s="18">
        <f ca="1"/>
        <v>0</v>
      </c>
      <c r="I99" s="18">
        <f ca="1"/>
        <v>0</v>
      </c>
      <c r="J99" s="18">
        <f ca="1"/>
        <v>0</v>
      </c>
      <c r="K99" s="18">
        <f ca="1"/>
        <v>0</v>
      </c>
      <c r="L99" s="18">
        <f ca="1"/>
        <v>0</v>
      </c>
      <c r="M99" s="18">
        <f ca="1"/>
        <v>0</v>
      </c>
      <c r="N99" s="18" t="str">
        <f ca="1"/>
        <v/>
      </c>
      <c r="O99" s="18">
        <f ca="1"/>
        <v>0</v>
      </c>
      <c r="P99" s="18">
        <f ca="1"/>
        <v>0</v>
      </c>
      <c r="Q99" s="18"/>
      <c r="R99" s="18"/>
      <c r="S99" s="18"/>
      <c r="T99" s="18"/>
    </row>
    <row r="100" spans="1:20">
      <c r="A100" s="18">
        <f ca="1"/>
        <v>1</v>
      </c>
      <c r="B100" s="119" t="str">
        <f ca="1"/>
        <v>May</v>
      </c>
      <c r="C100" s="18" t="str">
        <f ca="1"/>
        <v>Green Shy Guy</v>
      </c>
      <c r="D100" s="18">
        <f ca="1"/>
        <v>1</v>
      </c>
      <c r="E100" s="18">
        <f ca="1"/>
        <v>0</v>
      </c>
      <c r="F100" s="18" t="str">
        <f ca="1"/>
        <v/>
      </c>
      <c r="G100" s="18">
        <f ca="1"/>
        <v>2</v>
      </c>
      <c r="H100" s="18">
        <f ca="1"/>
        <v>1</v>
      </c>
      <c r="I100" s="18">
        <f ca="1"/>
        <v>0.5</v>
      </c>
      <c r="J100" s="18">
        <f ca="1"/>
        <v>0</v>
      </c>
      <c r="K100" s="18">
        <f ca="1"/>
        <v>0</v>
      </c>
      <c r="L100" s="18">
        <f ca="1"/>
        <v>0</v>
      </c>
      <c r="M100" s="18">
        <f ca="1"/>
        <v>0</v>
      </c>
      <c r="N100" s="18" t="str">
        <f ca="1"/>
        <v/>
      </c>
      <c r="O100" s="18">
        <f ca="1"/>
        <v>0</v>
      </c>
      <c r="P100" s="18">
        <f ca="1"/>
        <v>0</v>
      </c>
      <c r="Q100" s="18"/>
      <c r="R100" s="18"/>
      <c r="S100" s="18"/>
      <c r="T100" s="18"/>
    </row>
    <row r="101" spans="1:20">
      <c r="A101" s="18">
        <f ca="1"/>
        <v>1</v>
      </c>
      <c r="B101" s="118" t="str">
        <f ca="1"/>
        <v>Jason</v>
      </c>
      <c r="C101" s="18" t="str">
        <f ca="1"/>
        <v>Blooper</v>
      </c>
      <c r="D101" s="18">
        <f ca="1"/>
        <v>1</v>
      </c>
      <c r="E101" s="18">
        <f ca="1"/>
        <v>1</v>
      </c>
      <c r="F101" s="18" t="str">
        <f ca="1"/>
        <v/>
      </c>
      <c r="G101" s="18">
        <f ca="1"/>
        <v>2</v>
      </c>
      <c r="H101" s="18">
        <f ca="1"/>
        <v>2</v>
      </c>
      <c r="I101" s="18">
        <f ca="1"/>
        <v>1</v>
      </c>
      <c r="J101" s="18">
        <f ca="1"/>
        <v>2</v>
      </c>
      <c r="K101" s="18">
        <f ca="1"/>
        <v>2</v>
      </c>
      <c r="L101" s="18">
        <f ca="1"/>
        <v>0</v>
      </c>
      <c r="M101" s="18">
        <f ca="1"/>
        <v>0</v>
      </c>
      <c r="N101" s="18" t="str">
        <f ca="1"/>
        <v/>
      </c>
      <c r="O101" s="18">
        <f ca="1"/>
        <v>0</v>
      </c>
      <c r="P101" s="18">
        <f ca="1"/>
        <v>0</v>
      </c>
      <c r="Q101" s="18"/>
      <c r="R101" s="18"/>
      <c r="S101" s="18"/>
      <c r="T101" s="18"/>
    </row>
    <row r="102" spans="1:20">
      <c r="A102" s="18">
        <f ca="1"/>
        <v>1</v>
      </c>
      <c r="B102" s="117" t="str">
        <f ca="1"/>
        <v>Aidan</v>
      </c>
      <c r="C102" s="18" t="str">
        <f ca="1"/>
        <v>Blue Kritter</v>
      </c>
      <c r="D102" s="18">
        <f ca="1"/>
        <v>1</v>
      </c>
      <c r="E102" s="18">
        <f ca="1"/>
        <v>0.33333333333333331</v>
      </c>
      <c r="F102" s="18" t="str">
        <f ca="1"/>
        <v/>
      </c>
      <c r="G102" s="18">
        <f ca="1"/>
        <v>3</v>
      </c>
      <c r="H102" s="18">
        <f ca="1"/>
        <v>1</v>
      </c>
      <c r="I102" s="18">
        <f ca="1"/>
        <v>0.33333333333333331</v>
      </c>
      <c r="J102" s="18">
        <f ca="1"/>
        <v>0</v>
      </c>
      <c r="K102" s="18">
        <f ca="1"/>
        <v>0</v>
      </c>
      <c r="L102" s="18">
        <f ca="1"/>
        <v>2.1</v>
      </c>
      <c r="M102" s="18">
        <f ca="1"/>
        <v>1</v>
      </c>
      <c r="N102" s="18">
        <f ca="1"/>
        <v>3.8571428571428577</v>
      </c>
      <c r="O102" s="18">
        <f ca="1"/>
        <v>0</v>
      </c>
      <c r="P102" s="18">
        <f ca="1"/>
        <v>0</v>
      </c>
      <c r="Q102" s="18"/>
      <c r="R102" s="18"/>
      <c r="S102" s="18"/>
      <c r="T102" s="18"/>
    </row>
    <row r="103" spans="1:20">
      <c r="A103" s="18">
        <f ca="1"/>
        <v>1</v>
      </c>
      <c r="B103" s="116" t="str">
        <f ca="1"/>
        <v>Nick</v>
      </c>
      <c r="C103" s="18" t="str">
        <f ca="1"/>
        <v>Boomerang Bro</v>
      </c>
      <c r="D103" s="18">
        <f ca="1"/>
        <v>1</v>
      </c>
      <c r="E103" s="18">
        <f ca="1"/>
        <v>1</v>
      </c>
      <c r="F103" s="18" t="str">
        <f ca="1"/>
        <v/>
      </c>
      <c r="G103" s="18">
        <f ca="1"/>
        <v>4</v>
      </c>
      <c r="H103" s="18">
        <f ca="1"/>
        <v>0</v>
      </c>
      <c r="I103" s="18">
        <f ca="1"/>
        <v>0</v>
      </c>
      <c r="J103" s="18">
        <f ca="1"/>
        <v>0</v>
      </c>
      <c r="K103" s="18">
        <f ca="1"/>
        <v>0</v>
      </c>
      <c r="L103" s="18">
        <f ca="1"/>
        <v>1.1000000000000001</v>
      </c>
      <c r="M103" s="18">
        <f ca="1"/>
        <v>0</v>
      </c>
      <c r="N103" s="18">
        <f ca="1"/>
        <v>0</v>
      </c>
      <c r="O103" s="18">
        <f ca="1"/>
        <v>0</v>
      </c>
      <c r="P103" s="18">
        <f ca="1"/>
        <v>0</v>
      </c>
      <c r="Q103" s="18"/>
      <c r="R103" s="18"/>
      <c r="S103" s="18"/>
      <c r="T103" s="18"/>
    </row>
    <row r="104" spans="1:20">
      <c r="A104" s="18">
        <f ca="1"/>
        <v>1</v>
      </c>
      <c r="B104" s="115" t="str">
        <f ca="1"/>
        <v>Donovan</v>
      </c>
      <c r="C104" s="18" t="str">
        <f ca="1"/>
        <v>Dry Bones</v>
      </c>
      <c r="D104" s="18">
        <f ca="1"/>
        <v>1</v>
      </c>
      <c r="E104" s="18">
        <f ca="1"/>
        <v>0</v>
      </c>
      <c r="F104" s="18" t="str">
        <f ca="1"/>
        <v/>
      </c>
      <c r="G104" s="18">
        <f ca="1"/>
        <v>1</v>
      </c>
      <c r="H104" s="18">
        <f ca="1"/>
        <v>0</v>
      </c>
      <c r="I104" s="18">
        <f ca="1"/>
        <v>0</v>
      </c>
      <c r="J104" s="18">
        <f ca="1"/>
        <v>0</v>
      </c>
      <c r="K104" s="18">
        <f ca="1"/>
        <v>0</v>
      </c>
      <c r="L104" s="18">
        <f ca="1"/>
        <v>0</v>
      </c>
      <c r="M104" s="18">
        <f ca="1"/>
        <v>0</v>
      </c>
      <c r="N104" s="18" t="str">
        <f ca="1"/>
        <v/>
      </c>
      <c r="O104" s="18">
        <f ca="1"/>
        <v>0</v>
      </c>
      <c r="P104" s="18">
        <f ca="1"/>
        <v>0</v>
      </c>
      <c r="Q104" s="18"/>
      <c r="R104" s="18"/>
      <c r="S104" s="18"/>
      <c r="T104" s="18"/>
    </row>
    <row r="105" spans="1:20">
      <c r="A105" s="18">
        <f ca="1"/>
        <v>1</v>
      </c>
      <c r="B105" s="114" t="str">
        <f ca="1"/>
        <v>Justin</v>
      </c>
      <c r="C105" s="18" t="str">
        <f ca="1"/>
        <v>Paratroopa</v>
      </c>
      <c r="D105" s="18">
        <f ca="1"/>
        <v>1</v>
      </c>
      <c r="E105" s="18">
        <f ca="1"/>
        <v>0</v>
      </c>
      <c r="F105" s="18" t="str">
        <f ca="1"/>
        <v/>
      </c>
      <c r="G105" s="18">
        <f ca="1"/>
        <v>1</v>
      </c>
      <c r="H105" s="18">
        <f ca="1"/>
        <v>0</v>
      </c>
      <c r="I105" s="18">
        <f ca="1"/>
        <v>0</v>
      </c>
      <c r="J105" s="18">
        <f ca="1"/>
        <v>0</v>
      </c>
      <c r="K105" s="18">
        <f ca="1"/>
        <v>0</v>
      </c>
      <c r="L105" s="18">
        <f ca="1"/>
        <v>0</v>
      </c>
      <c r="M105" s="18">
        <f ca="1"/>
        <v>0</v>
      </c>
      <c r="N105" s="18" t="str">
        <f ca="1"/>
        <v/>
      </c>
      <c r="O105" s="18">
        <f ca="1"/>
        <v>0</v>
      </c>
      <c r="P105" s="18">
        <f ca="1"/>
        <v>0</v>
      </c>
      <c r="Q105" s="18"/>
      <c r="R105" s="18"/>
      <c r="S105" s="18"/>
      <c r="T105" s="18"/>
    </row>
    <row r="106" spans="1:20">
      <c r="A106" s="18">
        <f ca="1"/>
        <v>1</v>
      </c>
      <c r="B106" s="114" t="str">
        <f ca="1"/>
        <v>Justin</v>
      </c>
      <c r="C106" s="18" t="str">
        <f ca="1"/>
        <v>Kritter</v>
      </c>
      <c r="D106" s="18">
        <f ca="1"/>
        <v>1</v>
      </c>
      <c r="E106" s="18">
        <f ca="1"/>
        <v>0</v>
      </c>
      <c r="F106" s="18" t="str">
        <f ca="1"/>
        <v/>
      </c>
      <c r="G106" s="18">
        <f ca="1"/>
        <v>2</v>
      </c>
      <c r="H106" s="18">
        <f ca="1"/>
        <v>0</v>
      </c>
      <c r="I106" s="18">
        <f ca="1"/>
        <v>0</v>
      </c>
      <c r="J106" s="18">
        <f ca="1"/>
        <v>0</v>
      </c>
      <c r="K106" s="18">
        <f ca="1"/>
        <v>0</v>
      </c>
      <c r="L106" s="18">
        <f ca="1"/>
        <v>0</v>
      </c>
      <c r="M106" s="18">
        <f ca="1"/>
        <v>0</v>
      </c>
      <c r="N106" s="18" t="str">
        <f ca="1"/>
        <v/>
      </c>
      <c r="O106" s="18">
        <f ca="1"/>
        <v>0</v>
      </c>
      <c r="P106" s="18">
        <f ca="1"/>
        <v>0</v>
      </c>
      <c r="Q106" s="18"/>
      <c r="R106" s="18"/>
      <c r="S106" s="18"/>
      <c r="T106" s="18"/>
    </row>
    <row r="107" spans="1:20">
      <c r="A107" s="18">
        <f ca="1"/>
        <v>1</v>
      </c>
      <c r="B107" s="115" t="str">
        <f ca="1"/>
        <v>Donovan</v>
      </c>
      <c r="C107" s="18" t="str">
        <f ca="1"/>
        <v>Paragoomba</v>
      </c>
      <c r="D107" s="18">
        <f ca="1"/>
        <v>1</v>
      </c>
      <c r="E107" s="18">
        <f ca="1"/>
        <v>0</v>
      </c>
      <c r="F107" s="18" t="str">
        <f ca="1"/>
        <v/>
      </c>
      <c r="G107" s="18">
        <f ca="1"/>
        <v>1</v>
      </c>
      <c r="H107" s="18">
        <f ca="1"/>
        <v>0</v>
      </c>
      <c r="I107" s="18">
        <f ca="1"/>
        <v>0</v>
      </c>
      <c r="J107" s="18">
        <f ca="1"/>
        <v>0</v>
      </c>
      <c r="K107" s="18">
        <f ca="1"/>
        <v>0</v>
      </c>
      <c r="L107" s="18">
        <f ca="1"/>
        <v>0</v>
      </c>
      <c r="M107" s="18">
        <f ca="1"/>
        <v>0</v>
      </c>
      <c r="N107" s="18" t="str">
        <f ca="1"/>
        <v/>
      </c>
      <c r="O107" s="18">
        <f ca="1"/>
        <v>0</v>
      </c>
      <c r="P107" s="18">
        <f ca="1"/>
        <v>0</v>
      </c>
      <c r="Q107" s="18"/>
      <c r="R107" s="18"/>
      <c r="S107" s="18"/>
      <c r="T107" s="18"/>
    </row>
    <row r="108" spans="1:20">
      <c r="A108" s="18">
        <f ca="1"/>
        <v>1</v>
      </c>
      <c r="B108" s="116" t="str">
        <f ca="1"/>
        <v>Nick</v>
      </c>
      <c r="C108" s="18" t="str">
        <f ca="1"/>
        <v>Green Dry Bones</v>
      </c>
      <c r="D108" s="18">
        <f ca="1"/>
        <v>1</v>
      </c>
      <c r="E108" s="18">
        <f ca="1"/>
        <v>1</v>
      </c>
      <c r="F108" s="18" t="str">
        <f ca="1"/>
        <v/>
      </c>
      <c r="G108" s="18">
        <f ca="1"/>
        <v>4</v>
      </c>
      <c r="H108" s="18">
        <f ca="1"/>
        <v>2</v>
      </c>
      <c r="I108" s="18">
        <f ca="1"/>
        <v>0.5</v>
      </c>
      <c r="J108" s="18">
        <f ca="1"/>
        <v>0</v>
      </c>
      <c r="K108" s="18">
        <f ca="1"/>
        <v>0</v>
      </c>
      <c r="L108" s="18">
        <f ca="1"/>
        <v>0</v>
      </c>
      <c r="M108" s="18">
        <f ca="1"/>
        <v>0</v>
      </c>
      <c r="N108" s="18" t="str">
        <f ca="1"/>
        <v/>
      </c>
      <c r="O108" s="18">
        <f ca="1"/>
        <v>0</v>
      </c>
      <c r="P108" s="18">
        <f ca="1"/>
        <v>0</v>
      </c>
      <c r="Q108" s="18"/>
      <c r="R108" s="18"/>
      <c r="S108" s="18"/>
      <c r="T108" s="18"/>
    </row>
    <row r="109" spans="1:20">
      <c r="A109" s="18">
        <f ca="1"/>
        <v>1</v>
      </c>
      <c r="B109" s="117" t="str">
        <f ca="1"/>
        <v>Aidan</v>
      </c>
      <c r="C109" s="18" t="str">
        <f ca="1"/>
        <v>Blue Dry Bones</v>
      </c>
      <c r="D109" s="18">
        <f ca="1"/>
        <v>1</v>
      </c>
      <c r="E109" s="18">
        <f ca="1"/>
        <v>0.33333333333333331</v>
      </c>
      <c r="F109" s="18" t="str">
        <f ca="1"/>
        <v/>
      </c>
      <c r="G109" s="18">
        <f ca="1"/>
        <v>2</v>
      </c>
      <c r="H109" s="18">
        <f ca="1"/>
        <v>2</v>
      </c>
      <c r="I109" s="18">
        <f ca="1"/>
        <v>1</v>
      </c>
      <c r="J109" s="18">
        <f ca="1"/>
        <v>1</v>
      </c>
      <c r="K109" s="18">
        <f ca="1"/>
        <v>2</v>
      </c>
      <c r="L109" s="18">
        <f ca="1"/>
        <v>0</v>
      </c>
      <c r="M109" s="18">
        <f ca="1"/>
        <v>0</v>
      </c>
      <c r="N109" s="18" t="str">
        <f ca="1"/>
        <v/>
      </c>
      <c r="O109" s="18">
        <f ca="1"/>
        <v>0</v>
      </c>
      <c r="P109" s="18">
        <f ca="1"/>
        <v>0</v>
      </c>
      <c r="Q109" s="18"/>
      <c r="R109" s="18"/>
      <c r="S109" s="18"/>
      <c r="T109" s="18"/>
    </row>
    <row r="110" spans="1:20">
      <c r="A110" s="18">
        <f ca="1"/>
        <v>1</v>
      </c>
      <c r="B110" s="118" t="str">
        <f ca="1"/>
        <v>Jason</v>
      </c>
      <c r="C110" s="18" t="str">
        <f ca="1"/>
        <v>Yellow Toad</v>
      </c>
      <c r="D110" s="18">
        <f ca="1"/>
        <v>1</v>
      </c>
      <c r="E110" s="18">
        <f ca="1"/>
        <v>1</v>
      </c>
      <c r="F110" s="18" t="str">
        <f ca="1"/>
        <v/>
      </c>
      <c r="G110" s="18">
        <f ca="1"/>
        <v>2</v>
      </c>
      <c r="H110" s="18">
        <f ca="1"/>
        <v>0</v>
      </c>
      <c r="I110" s="18">
        <f ca="1"/>
        <v>0</v>
      </c>
      <c r="J110" s="18">
        <f ca="1"/>
        <v>0</v>
      </c>
      <c r="K110" s="18">
        <f ca="1"/>
        <v>0</v>
      </c>
      <c r="L110" s="18">
        <f ca="1"/>
        <v>0</v>
      </c>
      <c r="M110" s="18">
        <f ca="1"/>
        <v>0</v>
      </c>
      <c r="N110" s="18" t="str">
        <f ca="1"/>
        <v/>
      </c>
      <c r="O110" s="18">
        <f ca="1"/>
        <v>0</v>
      </c>
      <c r="P110" s="18">
        <f ca="1"/>
        <v>0</v>
      </c>
      <c r="Q110" s="18"/>
      <c r="R110" s="18"/>
      <c r="S110" s="18"/>
      <c r="T110" s="18"/>
    </row>
    <row r="111" spans="1:20">
      <c r="A111" s="18">
        <f ca="1"/>
        <v>1</v>
      </c>
      <c r="B111" s="119" t="str">
        <f ca="1"/>
        <v>May</v>
      </c>
      <c r="C111" s="18" t="str">
        <f ca="1"/>
        <v>Koopa</v>
      </c>
      <c r="D111" s="18">
        <f ca="1"/>
        <v>1</v>
      </c>
      <c r="E111" s="18">
        <f ca="1"/>
        <v>0</v>
      </c>
      <c r="F111" s="18" t="str">
        <f ca="1"/>
        <v/>
      </c>
      <c r="G111" s="18">
        <f ca="1"/>
        <v>2</v>
      </c>
      <c r="H111" s="18">
        <f ca="1"/>
        <v>1</v>
      </c>
      <c r="I111" s="18">
        <f ca="1"/>
        <v>0.5</v>
      </c>
      <c r="J111" s="18">
        <f ca="1"/>
        <v>0</v>
      </c>
      <c r="K111" s="18">
        <f ca="1"/>
        <v>0</v>
      </c>
      <c r="L111" s="18">
        <f ca="1"/>
        <v>0</v>
      </c>
      <c r="M111" s="18">
        <f ca="1"/>
        <v>0</v>
      </c>
      <c r="N111" s="18" t="str">
        <f ca="1"/>
        <v/>
      </c>
      <c r="O111" s="18">
        <f ca="1"/>
        <v>0</v>
      </c>
      <c r="P111" s="18">
        <f ca="1"/>
        <v>0</v>
      </c>
      <c r="Q111" s="18"/>
      <c r="R111" s="18"/>
      <c r="S111" s="18"/>
      <c r="T111" s="18"/>
    </row>
    <row r="112" spans="1:20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</row>
    <row r="133" spans="1:32">
      <c r="A133" s="57" t="s">
        <v>313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</row>
    <row r="134" spans="1:32">
      <c r="A134" s="58" t="s">
        <v>33</v>
      </c>
      <c r="B134" s="58" t="s">
        <v>230</v>
      </c>
      <c r="C134" s="58" t="s">
        <v>39</v>
      </c>
      <c r="D134" s="58" t="s">
        <v>95</v>
      </c>
      <c r="E134" s="58" t="s">
        <v>175</v>
      </c>
      <c r="F134" s="58" t="s">
        <v>162</v>
      </c>
      <c r="G134" s="58" t="s">
        <v>268</v>
      </c>
      <c r="H134" s="58" t="s">
        <v>178</v>
      </c>
      <c r="I134" s="18" t="s">
        <v>179</v>
      </c>
      <c r="J134" s="18" t="s">
        <v>195</v>
      </c>
      <c r="K134" s="18" t="s">
        <v>196</v>
      </c>
      <c r="L134" s="18" t="s">
        <v>273</v>
      </c>
      <c r="M134" s="18" t="s">
        <v>279</v>
      </c>
      <c r="N134" s="18" t="s">
        <v>280</v>
      </c>
      <c r="O134" s="18" t="s">
        <v>161</v>
      </c>
      <c r="P134" s="18" t="s">
        <v>176</v>
      </c>
      <c r="Q134" s="18" t="s">
        <v>177</v>
      </c>
      <c r="R134" s="18" t="s">
        <v>275</v>
      </c>
      <c r="S134" s="18" t="s">
        <v>276</v>
      </c>
      <c r="T134" s="18" t="s">
        <v>182</v>
      </c>
      <c r="U134" s="18" t="s">
        <v>183</v>
      </c>
      <c r="V134" s="18" t="s">
        <v>184</v>
      </c>
      <c r="W134" s="18" t="s">
        <v>272</v>
      </c>
      <c r="X134" s="18" t="s">
        <v>277</v>
      </c>
      <c r="Y134" s="18" t="s">
        <v>281</v>
      </c>
      <c r="Z134" s="18" t="s">
        <v>282</v>
      </c>
      <c r="AA134" s="18" t="s">
        <v>197</v>
      </c>
      <c r="AB134" s="18" t="s">
        <v>200</v>
      </c>
      <c r="AC134" s="18" t="s">
        <v>201</v>
      </c>
      <c r="AD134" s="18" t="s">
        <v>202</v>
      </c>
      <c r="AE134" s="18" t="s">
        <v>274</v>
      </c>
      <c r="AF134" s="18" t="s">
        <v>203</v>
      </c>
    </row>
    <row r="135" spans="1:32">
      <c r="A135" s="18">
        <f ca="1">IF('Current Char Stats'!$A4="","",Settings!$B$2)</f>
        <v>1</v>
      </c>
      <c r="B135" s="117" t="str">
        <f ca="1">IF('Current Char Stats'!$A4="","",'Current Char Stats'!$A4)</f>
        <v>Nick</v>
      </c>
      <c r="C135" s="18" t="str">
        <f ca="1">IF('Current Char Stats'!$A4="","",'Current Char Stats'!$B4)</f>
        <v>Monty Mole</v>
      </c>
      <c r="D135" s="18" t="str">
        <f ca="1">IF('Current Char Stats'!$A4="","",'Current Char Stats'!$C4)</f>
        <v>G1</v>
      </c>
      <c r="E135" s="18">
        <f ca="1">IF('Current Char Stats'!$A4="","",'Current Char Stats'!$D4)</f>
        <v>2</v>
      </c>
      <c r="F135" s="18">
        <f ca="1">IF('Current Char Stats'!$A4="","",'Current Char Stats'!$E4)</f>
        <v>0</v>
      </c>
      <c r="G135" s="18">
        <f ca="1">IF('Current Char Stats'!$A4="","",'Current Char Stats'!$F4)</f>
        <v>0</v>
      </c>
      <c r="H135" s="18">
        <f ca="1">IF('Current Char Stats'!$A4="","",'Current Char Stats'!$G4)</f>
        <v>0</v>
      </c>
      <c r="I135" s="18">
        <f ca="1">IF('Current Char Stats'!$A4="","",'Current Char Stats'!$H4)</f>
        <v>0</v>
      </c>
      <c r="J135" s="18">
        <f ca="1">IF('Current Char Stats'!$A4="","",'Current Char Stats'!$I4)</f>
        <v>0</v>
      </c>
      <c r="K135" s="18">
        <f ca="1">IF('Current Char Stats'!$A4="","",'Current Char Stats'!$J4)</f>
        <v>0</v>
      </c>
      <c r="L135" s="18" t="str">
        <f ca="1">IF('Current Char Stats'!$A4="","",'Current Char Stats'!$K4)</f>
        <v/>
      </c>
      <c r="M135" s="18">
        <f ca="1">IF('Current Char Stats'!$A4="","",'Current Char Stats'!$L4)</f>
        <v>0</v>
      </c>
      <c r="N135" s="18">
        <f ca="1">IF('Current Char Stats'!$A4="","",'Current Char Stats'!$M4)</f>
        <v>0</v>
      </c>
      <c r="O135" s="18">
        <f ca="1">IF('Current Char Stats'!$A4="","",'Current Char Stats'!$N4)</f>
        <v>0</v>
      </c>
      <c r="P135" s="18">
        <f ca="1">IF('Current Char Stats'!$A4="","",'Current Char Stats'!$O4)</f>
        <v>0</v>
      </c>
      <c r="Q135" s="18">
        <f ca="1">IF('Current Char Stats'!$A4="","",'Current Char Stats'!$P4)</f>
        <v>0</v>
      </c>
      <c r="R135" s="18">
        <f ca="1">IF('Current Char Stats'!$A4="","",'Current Char Stats'!$Q4)</f>
        <v>0</v>
      </c>
      <c r="S135" s="18">
        <f ca="1">IF('Current Char Stats'!$A4="","",'Current Char Stats'!$R4)</f>
        <v>1</v>
      </c>
      <c r="T135" s="18">
        <f ca="1">IF('Current Char Stats'!$A4="","",'Current Char Stats'!$S4)</f>
        <v>0</v>
      </c>
      <c r="U135" s="18">
        <f ca="1">IF('Current Char Stats'!$A4="","",'Current Char Stats'!$T4)</f>
        <v>0</v>
      </c>
      <c r="V135" s="18">
        <f ca="1">IF('Current Char Stats'!$A4="","",'Current Char Stats'!$U4)</f>
        <v>0</v>
      </c>
      <c r="W135" s="18">
        <f ca="1">IF('Current Char Stats'!$A4="","",'Current Char Stats'!$V4)</f>
        <v>0</v>
      </c>
      <c r="X135" s="18">
        <f ca="1">IF('Current Char Stats'!$A4="","",'Current Char Stats'!$W4)</f>
        <v>0</v>
      </c>
      <c r="Y135" s="18">
        <f ca="1">IF('Current Char Stats'!$A4="","",'Current Char Stats'!$X4)</f>
        <v>0</v>
      </c>
      <c r="Z135" s="18">
        <f ca="1">IF('Current Char Stats'!$A4="","",'Current Char Stats'!$Y4)</f>
        <v>0</v>
      </c>
      <c r="AA135" s="18">
        <f ca="1">IF('Current Char Stats'!$A4="","",'Current Char Stats'!$Z4)</f>
        <v>0</v>
      </c>
      <c r="AB135" s="18">
        <f ca="1">IF('Current Char Stats'!$A4="","",'Current Char Stats'!$AA4)</f>
        <v>0</v>
      </c>
      <c r="AC135" s="18">
        <f ca="1">IF('Current Char Stats'!$A4="","",'Current Char Stats'!$AB4)</f>
        <v>0</v>
      </c>
      <c r="AD135" s="18">
        <f ca="1">IF('Current Char Stats'!$A4="","",'Current Char Stats'!$AC4)</f>
        <v>0</v>
      </c>
      <c r="AE135" s="18">
        <f ca="1">IF('Current Char Stats'!$A4="","",'Current Char Stats'!$AD4)</f>
        <v>0</v>
      </c>
      <c r="AF135" s="18">
        <f ca="1">IF('Current Char Stats'!$A4="","",'Current Char Stats'!$AE4)</f>
        <v>0</v>
      </c>
    </row>
    <row r="136" spans="1:32">
      <c r="A136" s="18">
        <f ca="1">IF('Current Char Stats'!$A5="","",Settings!$B$2)</f>
        <v>1</v>
      </c>
      <c r="B136" s="117" t="str">
        <f ca="1">IF('Current Char Stats'!$A5="","",'Current Char Stats'!$A5)</f>
        <v>Nick</v>
      </c>
      <c r="C136" s="18" t="str">
        <f ca="1">IF('Current Char Stats'!$A5="","",'Current Char Stats'!$B5)</f>
        <v>Green Dry Bones</v>
      </c>
      <c r="D136" s="18" t="str">
        <f ca="1">IF('Current Char Stats'!$A5="","",'Current Char Stats'!$C5)</f>
        <v>G1</v>
      </c>
      <c r="E136" s="18">
        <f ca="1">IF('Current Char Stats'!$A5="","",'Current Char Stats'!$D5)</f>
        <v>2</v>
      </c>
      <c r="F136" s="18">
        <f ca="1">IF('Current Char Stats'!$A5="","",'Current Char Stats'!$E5)</f>
        <v>2</v>
      </c>
      <c r="G136" s="18">
        <f ca="1">IF('Current Char Stats'!$A5="","",'Current Char Stats'!$F5)</f>
        <v>1</v>
      </c>
      <c r="H136" s="18">
        <f ca="1">IF('Current Char Stats'!$A5="","",'Current Char Stats'!$G5)</f>
        <v>0</v>
      </c>
      <c r="I136" s="18">
        <f ca="1">IF('Current Char Stats'!$A5="","",'Current Char Stats'!$H5)</f>
        <v>0</v>
      </c>
      <c r="J136" s="18">
        <f ca="1">IF('Current Char Stats'!$A5="","",'Current Char Stats'!$I5)</f>
        <v>0</v>
      </c>
      <c r="K136" s="18">
        <f ca="1">IF('Current Char Stats'!$A5="","",'Current Char Stats'!$J5)</f>
        <v>0</v>
      </c>
      <c r="L136" s="18" t="str">
        <f ca="1">IF('Current Char Stats'!$A5="","",'Current Char Stats'!$K5)</f>
        <v/>
      </c>
      <c r="M136" s="18">
        <f ca="1">IF('Current Char Stats'!$A5="","",'Current Char Stats'!$L5)</f>
        <v>0</v>
      </c>
      <c r="N136" s="18">
        <f ca="1">IF('Current Char Stats'!$A5="","",'Current Char Stats'!$M5)</f>
        <v>0</v>
      </c>
      <c r="O136" s="18">
        <f ca="1">IF('Current Char Stats'!$A5="","",'Current Char Stats'!$N5)</f>
        <v>2</v>
      </c>
      <c r="P136" s="18">
        <f ca="1">IF('Current Char Stats'!$A5="","",'Current Char Stats'!$O5)</f>
        <v>0</v>
      </c>
      <c r="Q136" s="18">
        <f ca="1">IF('Current Char Stats'!$A5="","",'Current Char Stats'!$P5)</f>
        <v>1</v>
      </c>
      <c r="R136" s="18">
        <f ca="1">IF('Current Char Stats'!$A5="","",'Current Char Stats'!$Q5)</f>
        <v>0</v>
      </c>
      <c r="S136" s="18">
        <f ca="1">IF('Current Char Stats'!$A5="","",'Current Char Stats'!$R5)</f>
        <v>0</v>
      </c>
      <c r="T136" s="18">
        <f ca="1">IF('Current Char Stats'!$A5="","",'Current Char Stats'!$S5)</f>
        <v>0</v>
      </c>
      <c r="U136" s="18">
        <f ca="1">IF('Current Char Stats'!$A5="","",'Current Char Stats'!$T5)</f>
        <v>0</v>
      </c>
      <c r="V136" s="18">
        <f ca="1">IF('Current Char Stats'!$A5="","",'Current Char Stats'!$U5)</f>
        <v>0</v>
      </c>
      <c r="W136" s="18">
        <f ca="1">IF('Current Char Stats'!$A5="","",'Current Char Stats'!$V5)</f>
        <v>0</v>
      </c>
      <c r="X136" s="18">
        <f ca="1">IF('Current Char Stats'!$A5="","",'Current Char Stats'!$W5)</f>
        <v>0</v>
      </c>
      <c r="Y136" s="18">
        <f ca="1">IF('Current Char Stats'!$A5="","",'Current Char Stats'!$X5)</f>
        <v>0</v>
      </c>
      <c r="Z136" s="18">
        <f ca="1">IF('Current Char Stats'!$A5="","",'Current Char Stats'!$Y5)</f>
        <v>0</v>
      </c>
      <c r="AA136" s="18">
        <f ca="1">IF('Current Char Stats'!$A5="","",'Current Char Stats'!$Z5)</f>
        <v>0</v>
      </c>
      <c r="AB136" s="18">
        <f ca="1">IF('Current Char Stats'!$A5="","",'Current Char Stats'!$AA5)</f>
        <v>0</v>
      </c>
      <c r="AC136" s="18">
        <f ca="1">IF('Current Char Stats'!$A5="","",'Current Char Stats'!$AB5)</f>
        <v>0</v>
      </c>
      <c r="AD136" s="18">
        <f ca="1">IF('Current Char Stats'!$A5="","",'Current Char Stats'!$AC5)</f>
        <v>0</v>
      </c>
      <c r="AE136" s="18">
        <f ca="1">IF('Current Char Stats'!$A5="","",'Current Char Stats'!$AD5)</f>
        <v>0</v>
      </c>
      <c r="AF136" s="18">
        <f ca="1">IF('Current Char Stats'!$A5="","",'Current Char Stats'!$AE5)</f>
        <v>0</v>
      </c>
    </row>
    <row r="137" spans="1:32">
      <c r="A137" s="18">
        <f ca="1">IF('Current Char Stats'!$A6="","",Settings!$B$2)</f>
        <v>1</v>
      </c>
      <c r="B137" s="117" t="str">
        <f ca="1">IF('Current Char Stats'!$A6="","",'Current Char Stats'!$A6)</f>
        <v>Nick</v>
      </c>
      <c r="C137" s="18" t="str">
        <f ca="1">IF('Current Char Stats'!$A6="","",'Current Char Stats'!$B6)</f>
        <v>Daisy</v>
      </c>
      <c r="D137" s="18" t="str">
        <f ca="1">IF('Current Char Stats'!$A6="","",'Current Char Stats'!$C6)</f>
        <v>G1</v>
      </c>
      <c r="E137" s="18">
        <f ca="1">IF('Current Char Stats'!$A6="","",'Current Char Stats'!$D6)</f>
        <v>2</v>
      </c>
      <c r="F137" s="18">
        <f ca="1">IF('Current Char Stats'!$A6="","",'Current Char Stats'!$E6)</f>
        <v>1</v>
      </c>
      <c r="G137" s="18">
        <f ca="1">IF('Current Char Stats'!$A6="","",'Current Char Stats'!$F6)</f>
        <v>0.5</v>
      </c>
      <c r="H137" s="18">
        <f ca="1">IF('Current Char Stats'!$A6="","",'Current Char Stats'!$G6)</f>
        <v>0</v>
      </c>
      <c r="I137" s="18">
        <f ca="1">IF('Current Char Stats'!$A6="","",'Current Char Stats'!$H6)</f>
        <v>1</v>
      </c>
      <c r="J137" s="18">
        <f ca="1">IF('Current Char Stats'!$A6="","",'Current Char Stats'!$I6)</f>
        <v>2</v>
      </c>
      <c r="K137" s="18">
        <f ca="1">IF('Current Char Stats'!$A6="","",'Current Char Stats'!$J6)</f>
        <v>0</v>
      </c>
      <c r="L137" s="18">
        <f ca="1">IF('Current Char Stats'!$A6="","",'Current Char Stats'!$K6)</f>
        <v>0</v>
      </c>
      <c r="M137" s="18">
        <f ca="1">IF('Current Char Stats'!$A6="","",'Current Char Stats'!$L6)</f>
        <v>1</v>
      </c>
      <c r="N137" s="18">
        <f ca="1">IF('Current Char Stats'!$A6="","",'Current Char Stats'!$M6)</f>
        <v>0</v>
      </c>
      <c r="O137" s="18">
        <f ca="1">IF('Current Char Stats'!$A6="","",'Current Char Stats'!$N6)</f>
        <v>1</v>
      </c>
      <c r="P137" s="18">
        <f ca="1">IF('Current Char Stats'!$A6="","",'Current Char Stats'!$O6)</f>
        <v>1</v>
      </c>
      <c r="Q137" s="18">
        <f ca="1">IF('Current Char Stats'!$A6="","",'Current Char Stats'!$P6)</f>
        <v>0</v>
      </c>
      <c r="R137" s="18">
        <f ca="1">IF('Current Char Stats'!$A6="","",'Current Char Stats'!$Q6)</f>
        <v>0</v>
      </c>
      <c r="S137" s="18">
        <f ca="1">IF('Current Char Stats'!$A6="","",'Current Char Stats'!$R6)</f>
        <v>0</v>
      </c>
      <c r="T137" s="18">
        <f ca="1">IF('Current Char Stats'!$A6="","",'Current Char Stats'!$S6)</f>
        <v>0</v>
      </c>
      <c r="U137" s="18">
        <f ca="1">IF('Current Char Stats'!$A6="","",'Current Char Stats'!$T6)</f>
        <v>0</v>
      </c>
      <c r="V137" s="18">
        <f ca="1">IF('Current Char Stats'!$A6="","",'Current Char Stats'!$U6)</f>
        <v>0</v>
      </c>
      <c r="W137" s="18">
        <f ca="1">IF('Current Char Stats'!$A6="","",'Current Char Stats'!$V6)</f>
        <v>0</v>
      </c>
      <c r="X137" s="18">
        <f ca="1">IF('Current Char Stats'!$A6="","",'Current Char Stats'!$W6)</f>
        <v>0</v>
      </c>
      <c r="Y137" s="18">
        <f ca="1">IF('Current Char Stats'!$A6="","",'Current Char Stats'!$X6)</f>
        <v>0</v>
      </c>
      <c r="Z137" s="18">
        <f ca="1">IF('Current Char Stats'!$A6="","",'Current Char Stats'!$Y6)</f>
        <v>3</v>
      </c>
      <c r="AA137" s="18">
        <f ca="1">IF('Current Char Stats'!$A6="","",'Current Char Stats'!$Z6)</f>
        <v>0</v>
      </c>
      <c r="AB137" s="18">
        <f ca="1">IF('Current Char Stats'!$A6="","",'Current Char Stats'!$AA6)</f>
        <v>0</v>
      </c>
      <c r="AC137" s="18">
        <f ca="1">IF('Current Char Stats'!$A6="","",'Current Char Stats'!$AB6)</f>
        <v>0</v>
      </c>
      <c r="AD137" s="18">
        <f ca="1">IF('Current Char Stats'!$A6="","",'Current Char Stats'!$AC6)</f>
        <v>0</v>
      </c>
      <c r="AE137" s="18">
        <f ca="1">IF('Current Char Stats'!$A6="","",'Current Char Stats'!$AD6)</f>
        <v>0</v>
      </c>
      <c r="AF137" s="18">
        <f ca="1">IF('Current Char Stats'!$A6="","",'Current Char Stats'!$AE6)</f>
        <v>6</v>
      </c>
    </row>
    <row r="138" spans="1:32">
      <c r="A138" s="18">
        <f ca="1">IF('Current Char Stats'!$A7="","",Settings!$B$2)</f>
        <v>1</v>
      </c>
      <c r="B138" s="117" t="str">
        <f ca="1">IF('Current Char Stats'!$A7="","",'Current Char Stats'!$A7)</f>
        <v>Nick</v>
      </c>
      <c r="C138" s="18" t="str">
        <f ca="1">IF('Current Char Stats'!$A7="","",'Current Char Stats'!$B7)</f>
        <v>Wario</v>
      </c>
      <c r="D138" s="18" t="str">
        <f ca="1">IF('Current Char Stats'!$A7="","",'Current Char Stats'!$C7)</f>
        <v>G1</v>
      </c>
      <c r="E138" s="18">
        <f ca="1">IF('Current Char Stats'!$A7="","",'Current Char Stats'!$D7)</f>
        <v>2</v>
      </c>
      <c r="F138" s="18">
        <f ca="1">IF('Current Char Stats'!$A7="","",'Current Char Stats'!$E7)</f>
        <v>2</v>
      </c>
      <c r="G138" s="18">
        <f ca="1">IF('Current Char Stats'!$A7="","",'Current Char Stats'!$F7)</f>
        <v>1</v>
      </c>
      <c r="H138" s="18">
        <f ca="1">IF('Current Char Stats'!$A7="","",'Current Char Stats'!$G7)</f>
        <v>1</v>
      </c>
      <c r="I138" s="18">
        <f ca="1">IF('Current Char Stats'!$A7="","",'Current Char Stats'!$H7)</f>
        <v>3</v>
      </c>
      <c r="J138" s="18">
        <f ca="1">IF('Current Char Stats'!$A7="","",'Current Char Stats'!$I7)</f>
        <v>0</v>
      </c>
      <c r="K138" s="18">
        <f ca="1">IF('Current Char Stats'!$A7="","",'Current Char Stats'!$J7)</f>
        <v>0</v>
      </c>
      <c r="L138" s="18" t="str">
        <f ca="1">IF('Current Char Stats'!$A7="","",'Current Char Stats'!$K7)</f>
        <v/>
      </c>
      <c r="M138" s="18">
        <f ca="1">IF('Current Char Stats'!$A7="","",'Current Char Stats'!$L7)</f>
        <v>0</v>
      </c>
      <c r="N138" s="18">
        <f ca="1">IF('Current Char Stats'!$A7="","",'Current Char Stats'!$M7)</f>
        <v>0</v>
      </c>
      <c r="O138" s="18">
        <f ca="1">IF('Current Char Stats'!$A7="","",'Current Char Stats'!$N7)</f>
        <v>0</v>
      </c>
      <c r="P138" s="18">
        <f ca="1">IF('Current Char Stats'!$A7="","",'Current Char Stats'!$O7)</f>
        <v>1</v>
      </c>
      <c r="Q138" s="18">
        <f ca="1">IF('Current Char Stats'!$A7="","",'Current Char Stats'!$P7)</f>
        <v>0</v>
      </c>
      <c r="R138" s="18">
        <f ca="1">IF('Current Char Stats'!$A7="","",'Current Char Stats'!$Q7)</f>
        <v>0</v>
      </c>
      <c r="S138" s="18">
        <f ca="1">IF('Current Char Stats'!$A7="","",'Current Char Stats'!$R7)</f>
        <v>0</v>
      </c>
      <c r="T138" s="18">
        <f ca="1">IF('Current Char Stats'!$A7="","",'Current Char Stats'!$S7)</f>
        <v>0</v>
      </c>
      <c r="U138" s="18">
        <f ca="1">IF('Current Char Stats'!$A7="","",'Current Char Stats'!$T7)</f>
        <v>0</v>
      </c>
      <c r="V138" s="18">
        <f ca="1">IF('Current Char Stats'!$A7="","",'Current Char Stats'!$U7)</f>
        <v>0</v>
      </c>
      <c r="W138" s="18">
        <f ca="1">IF('Current Char Stats'!$A7="","",'Current Char Stats'!$V7)</f>
        <v>0</v>
      </c>
      <c r="X138" s="18">
        <f ca="1">IF('Current Char Stats'!$A7="","",'Current Char Stats'!$W7)</f>
        <v>0</v>
      </c>
      <c r="Y138" s="18">
        <f ca="1">IF('Current Char Stats'!$A7="","",'Current Char Stats'!$X7)</f>
        <v>0</v>
      </c>
      <c r="Z138" s="18">
        <f ca="1">IF('Current Char Stats'!$A7="","",'Current Char Stats'!$Y7)</f>
        <v>0</v>
      </c>
      <c r="AA138" s="18">
        <f ca="1">IF('Current Char Stats'!$A7="","",'Current Char Stats'!$Z7)</f>
        <v>0</v>
      </c>
      <c r="AB138" s="18">
        <f ca="1">IF('Current Char Stats'!$A7="","",'Current Char Stats'!$AA7)</f>
        <v>0</v>
      </c>
      <c r="AC138" s="18">
        <f ca="1">IF('Current Char Stats'!$A7="","",'Current Char Stats'!$AB7)</f>
        <v>0</v>
      </c>
      <c r="AD138" s="18">
        <f ca="1">IF('Current Char Stats'!$A7="","",'Current Char Stats'!$AC7)</f>
        <v>0</v>
      </c>
      <c r="AE138" s="18">
        <f ca="1">IF('Current Char Stats'!$A7="","",'Current Char Stats'!$AD7)</f>
        <v>0</v>
      </c>
      <c r="AF138" s="18">
        <f ca="1">IF('Current Char Stats'!$A7="","",'Current Char Stats'!$AE7)</f>
        <v>0</v>
      </c>
    </row>
    <row r="139" spans="1:32">
      <c r="A139" s="18">
        <f ca="1">IF('Current Char Stats'!$A8="","",Settings!$B$2)</f>
        <v>1</v>
      </c>
      <c r="B139" s="117" t="str">
        <f ca="1">IF('Current Char Stats'!$A8="","",'Current Char Stats'!$A8)</f>
        <v>Nick</v>
      </c>
      <c r="C139" s="18" t="str">
        <f ca="1">IF('Current Char Stats'!$A8="","",'Current Char Stats'!$B8)</f>
        <v>Boomerang Bro</v>
      </c>
      <c r="D139" s="18" t="str">
        <f ca="1">IF('Current Char Stats'!$A8="","",'Current Char Stats'!$C8)</f>
        <v>G1</v>
      </c>
      <c r="E139" s="18">
        <f ca="1">IF('Current Char Stats'!$A8="","",'Current Char Stats'!$D8)</f>
        <v>2</v>
      </c>
      <c r="F139" s="18">
        <f ca="1">IF('Current Char Stats'!$A8="","",'Current Char Stats'!$E8)</f>
        <v>0</v>
      </c>
      <c r="G139" s="18">
        <f ca="1">IF('Current Char Stats'!$A8="","",'Current Char Stats'!$F8)</f>
        <v>0</v>
      </c>
      <c r="H139" s="18">
        <f ca="1">IF('Current Char Stats'!$A8="","",'Current Char Stats'!$G8)</f>
        <v>0</v>
      </c>
      <c r="I139" s="18">
        <f ca="1">IF('Current Char Stats'!$A8="","",'Current Char Stats'!$H8)</f>
        <v>0</v>
      </c>
      <c r="J139" s="18">
        <f ca="1">IF('Current Char Stats'!$A8="","",'Current Char Stats'!$I8)</f>
        <v>1</v>
      </c>
      <c r="K139" s="18">
        <f ca="1">IF('Current Char Stats'!$A8="","",'Current Char Stats'!$J8)</f>
        <v>0</v>
      </c>
      <c r="L139" s="18">
        <f ca="1">IF('Current Char Stats'!$A8="","",'Current Char Stats'!$K8)</f>
        <v>0</v>
      </c>
      <c r="M139" s="18">
        <f ca="1">IF('Current Char Stats'!$A8="","",'Current Char Stats'!$L8)</f>
        <v>0</v>
      </c>
      <c r="N139" s="18">
        <f ca="1">IF('Current Char Stats'!$A8="","",'Current Char Stats'!$M8)</f>
        <v>0</v>
      </c>
      <c r="O139" s="18">
        <f ca="1">IF('Current Char Stats'!$A8="","",'Current Char Stats'!$N8)</f>
        <v>0</v>
      </c>
      <c r="P139" s="18">
        <f ca="1">IF('Current Char Stats'!$A8="","",'Current Char Stats'!$O8)</f>
        <v>0</v>
      </c>
      <c r="Q139" s="18">
        <f ca="1">IF('Current Char Stats'!$A8="","",'Current Char Stats'!$P8)</f>
        <v>0</v>
      </c>
      <c r="R139" s="18">
        <f ca="1">IF('Current Char Stats'!$A8="","",'Current Char Stats'!$Q8)</f>
        <v>0</v>
      </c>
      <c r="S139" s="18">
        <f ca="1">IF('Current Char Stats'!$A8="","",'Current Char Stats'!$R8)</f>
        <v>1</v>
      </c>
      <c r="T139" s="18">
        <f ca="1">IF('Current Char Stats'!$A8="","",'Current Char Stats'!$S8)</f>
        <v>0</v>
      </c>
      <c r="U139" s="18">
        <f ca="1">IF('Current Char Stats'!$A8="","",'Current Char Stats'!$T8)</f>
        <v>0</v>
      </c>
      <c r="V139" s="18">
        <f ca="1">IF('Current Char Stats'!$A8="","",'Current Char Stats'!$U8)</f>
        <v>0</v>
      </c>
      <c r="W139" s="18">
        <f ca="1">IF('Current Char Stats'!$A8="","",'Current Char Stats'!$V8)</f>
        <v>0</v>
      </c>
      <c r="X139" s="18">
        <f ca="1">IF('Current Char Stats'!$A8="","",'Current Char Stats'!$W8)</f>
        <v>0</v>
      </c>
      <c r="Y139" s="18">
        <f ca="1">IF('Current Char Stats'!$A8="","",'Current Char Stats'!$X8)</f>
        <v>0</v>
      </c>
      <c r="Z139" s="18">
        <f ca="1">IF('Current Char Stats'!$A8="","",'Current Char Stats'!$Y8)</f>
        <v>1</v>
      </c>
      <c r="AA139" s="18">
        <f ca="1">IF('Current Char Stats'!$A8="","",'Current Char Stats'!$Z8)</f>
        <v>0</v>
      </c>
      <c r="AB139" s="18">
        <f ca="1">IF('Current Char Stats'!$A8="","",'Current Char Stats'!$AA8)</f>
        <v>0</v>
      </c>
      <c r="AC139" s="18">
        <f ca="1">IF('Current Char Stats'!$A8="","",'Current Char Stats'!$AB8)</f>
        <v>0</v>
      </c>
      <c r="AD139" s="18">
        <f ca="1">IF('Current Char Stats'!$A8="","",'Current Char Stats'!$AC8)</f>
        <v>0</v>
      </c>
      <c r="AE139" s="18">
        <f ca="1">IF('Current Char Stats'!$A8="","",'Current Char Stats'!$AD8)</f>
        <v>0</v>
      </c>
      <c r="AF139" s="18">
        <f ca="1">IF('Current Char Stats'!$A8="","",'Current Char Stats'!$AE8)</f>
        <v>3</v>
      </c>
    </row>
    <row r="140" spans="1:32">
      <c r="A140" s="18">
        <f ca="1">IF('Current Char Stats'!$A9="","",Settings!$B$2)</f>
        <v>1</v>
      </c>
      <c r="B140" s="117" t="str">
        <f ca="1">IF('Current Char Stats'!$A9="","",'Current Char Stats'!$A9)</f>
        <v>Nick</v>
      </c>
      <c r="C140" s="18" t="str">
        <f ca="1">IF('Current Char Stats'!$A9="","",'Current Char Stats'!$B9)</f>
        <v>Mii</v>
      </c>
      <c r="D140" s="18" t="str">
        <f ca="1">IF('Current Char Stats'!$A9="","",'Current Char Stats'!$C9)</f>
        <v>G1</v>
      </c>
      <c r="E140" s="18">
        <f ca="1">IF('Current Char Stats'!$A9="","",'Current Char Stats'!$D9)</f>
        <v>1</v>
      </c>
      <c r="F140" s="18">
        <f ca="1">IF('Current Char Stats'!$A9="","",'Current Char Stats'!$E9)</f>
        <v>0</v>
      </c>
      <c r="G140" s="18">
        <f ca="1">IF('Current Char Stats'!$A9="","",'Current Char Stats'!$F9)</f>
        <v>0</v>
      </c>
      <c r="H140" s="18">
        <f ca="1">IF('Current Char Stats'!$A9="","",'Current Char Stats'!$G9)</f>
        <v>0</v>
      </c>
      <c r="I140" s="18">
        <f ca="1">IF('Current Char Stats'!$A9="","",'Current Char Stats'!$H9)</f>
        <v>0</v>
      </c>
      <c r="J140" s="18">
        <f ca="1">IF('Current Char Stats'!$A9="","",'Current Char Stats'!$I9)</f>
        <v>0</v>
      </c>
      <c r="K140" s="18">
        <f ca="1">IF('Current Char Stats'!$A9="","",'Current Char Stats'!$J9)</f>
        <v>0</v>
      </c>
      <c r="L140" s="18" t="str">
        <f ca="1">IF('Current Char Stats'!$A9="","",'Current Char Stats'!$K9)</f>
        <v/>
      </c>
      <c r="M140" s="18">
        <f ca="1">IF('Current Char Stats'!$A9="","",'Current Char Stats'!$L9)</f>
        <v>0</v>
      </c>
      <c r="N140" s="18">
        <f ca="1">IF('Current Char Stats'!$A9="","",'Current Char Stats'!$M9)</f>
        <v>0</v>
      </c>
      <c r="O140" s="18">
        <f ca="1">IF('Current Char Stats'!$A9="","",'Current Char Stats'!$N9)</f>
        <v>0</v>
      </c>
      <c r="P140" s="18">
        <f ca="1">IF('Current Char Stats'!$A9="","",'Current Char Stats'!$O9)</f>
        <v>0</v>
      </c>
      <c r="Q140" s="18">
        <f ca="1">IF('Current Char Stats'!$A9="","",'Current Char Stats'!$P9)</f>
        <v>0</v>
      </c>
      <c r="R140" s="18">
        <f ca="1">IF('Current Char Stats'!$A9="","",'Current Char Stats'!$Q9)</f>
        <v>0</v>
      </c>
      <c r="S140" s="18">
        <f ca="1">IF('Current Char Stats'!$A9="","",'Current Char Stats'!$R9)</f>
        <v>0</v>
      </c>
      <c r="T140" s="18">
        <f ca="1">IF('Current Char Stats'!$A9="","",'Current Char Stats'!$S9)</f>
        <v>0</v>
      </c>
      <c r="U140" s="18">
        <f ca="1">IF('Current Char Stats'!$A9="","",'Current Char Stats'!$T9)</f>
        <v>0</v>
      </c>
      <c r="V140" s="18">
        <f ca="1">IF('Current Char Stats'!$A9="","",'Current Char Stats'!$U9)</f>
        <v>0</v>
      </c>
      <c r="W140" s="18">
        <f ca="1">IF('Current Char Stats'!$A9="","",'Current Char Stats'!$V9)</f>
        <v>0</v>
      </c>
      <c r="X140" s="18">
        <f ca="1">IF('Current Char Stats'!$A9="","",'Current Char Stats'!$W9)</f>
        <v>0</v>
      </c>
      <c r="Y140" s="18">
        <f ca="1">IF('Current Char Stats'!$A9="","",'Current Char Stats'!$X9)</f>
        <v>0</v>
      </c>
      <c r="Z140" s="18">
        <f ca="1">IF('Current Char Stats'!$A9="","",'Current Char Stats'!$Y9)</f>
        <v>0</v>
      </c>
      <c r="AA140" s="18">
        <f ca="1">IF('Current Char Stats'!$A9="","",'Current Char Stats'!$Z9)</f>
        <v>0</v>
      </c>
      <c r="AB140" s="18">
        <f ca="1">IF('Current Char Stats'!$A9="","",'Current Char Stats'!$AA9)</f>
        <v>0</v>
      </c>
      <c r="AC140" s="18">
        <f ca="1">IF('Current Char Stats'!$A9="","",'Current Char Stats'!$AB9)</f>
        <v>0</v>
      </c>
      <c r="AD140" s="18">
        <f ca="1">IF('Current Char Stats'!$A9="","",'Current Char Stats'!$AC9)</f>
        <v>0</v>
      </c>
      <c r="AE140" s="18">
        <f ca="1">IF('Current Char Stats'!$A9="","",'Current Char Stats'!$AD9)</f>
        <v>0</v>
      </c>
      <c r="AF140" s="18">
        <f ca="1">IF('Current Char Stats'!$A9="","",'Current Char Stats'!$AE9)</f>
        <v>0</v>
      </c>
    </row>
    <row r="141" spans="1:32">
      <c r="A141" s="18">
        <f ca="1">IF('Current Char Stats'!$A10="","",Settings!$B$2)</f>
        <v>1</v>
      </c>
      <c r="B141" s="117" t="str">
        <f ca="1">IF('Current Char Stats'!$A10="","",'Current Char Stats'!$A10)</f>
        <v>Nick</v>
      </c>
      <c r="C141" s="18" t="str">
        <f ca="1">IF('Current Char Stats'!$A10="","",'Current Char Stats'!$B10)</f>
        <v>Blue Toad</v>
      </c>
      <c r="D141" s="18" t="str">
        <f ca="1">IF('Current Char Stats'!$A10="","",'Current Char Stats'!$C10)</f>
        <v>G1</v>
      </c>
      <c r="E141" s="18">
        <f ca="1">IF('Current Char Stats'!$A10="","",'Current Char Stats'!$D10)</f>
        <v>1</v>
      </c>
      <c r="F141" s="18">
        <f ca="1">IF('Current Char Stats'!$A10="","",'Current Char Stats'!$E10)</f>
        <v>0</v>
      </c>
      <c r="G141" s="18">
        <f ca="1">IF('Current Char Stats'!$A10="","",'Current Char Stats'!$F10)</f>
        <v>0</v>
      </c>
      <c r="H141" s="18">
        <f ca="1">IF('Current Char Stats'!$A10="","",'Current Char Stats'!$G10)</f>
        <v>0</v>
      </c>
      <c r="I141" s="18">
        <f ca="1">IF('Current Char Stats'!$A10="","",'Current Char Stats'!$H10)</f>
        <v>0</v>
      </c>
      <c r="J141" s="18">
        <f ca="1">IF('Current Char Stats'!$A10="","",'Current Char Stats'!$I10)</f>
        <v>0</v>
      </c>
      <c r="K141" s="18">
        <f ca="1">IF('Current Char Stats'!$A10="","",'Current Char Stats'!$J10)</f>
        <v>0</v>
      </c>
      <c r="L141" s="18" t="str">
        <f ca="1">IF('Current Char Stats'!$A10="","",'Current Char Stats'!$K10)</f>
        <v/>
      </c>
      <c r="M141" s="18">
        <f ca="1">IF('Current Char Stats'!$A10="","",'Current Char Stats'!$L10)</f>
        <v>0</v>
      </c>
      <c r="N141" s="18">
        <f ca="1">IF('Current Char Stats'!$A10="","",'Current Char Stats'!$M10)</f>
        <v>0</v>
      </c>
      <c r="O141" s="18">
        <f ca="1">IF('Current Char Stats'!$A10="","",'Current Char Stats'!$N10)</f>
        <v>0</v>
      </c>
      <c r="P141" s="18">
        <f ca="1">IF('Current Char Stats'!$A10="","",'Current Char Stats'!$O10)</f>
        <v>0</v>
      </c>
      <c r="Q141" s="18">
        <f ca="1">IF('Current Char Stats'!$A10="","",'Current Char Stats'!$P10)</f>
        <v>0</v>
      </c>
      <c r="R141" s="18">
        <f ca="1">IF('Current Char Stats'!$A10="","",'Current Char Stats'!$Q10)</f>
        <v>0</v>
      </c>
      <c r="S141" s="18">
        <f ca="1">IF('Current Char Stats'!$A10="","",'Current Char Stats'!$R10)</f>
        <v>0</v>
      </c>
      <c r="T141" s="18">
        <f ca="1">IF('Current Char Stats'!$A10="","",'Current Char Stats'!$S10)</f>
        <v>0</v>
      </c>
      <c r="U141" s="18">
        <f ca="1">IF('Current Char Stats'!$A10="","",'Current Char Stats'!$T10)</f>
        <v>0</v>
      </c>
      <c r="V141" s="18">
        <f ca="1">IF('Current Char Stats'!$A10="","",'Current Char Stats'!$U10)</f>
        <v>0</v>
      </c>
      <c r="W141" s="18">
        <f ca="1">IF('Current Char Stats'!$A10="","",'Current Char Stats'!$V10)</f>
        <v>0</v>
      </c>
      <c r="X141" s="18">
        <f ca="1">IF('Current Char Stats'!$A10="","",'Current Char Stats'!$W10)</f>
        <v>0</v>
      </c>
      <c r="Y141" s="18">
        <f ca="1">IF('Current Char Stats'!$A10="","",'Current Char Stats'!$X10)</f>
        <v>0</v>
      </c>
      <c r="Z141" s="18">
        <f ca="1">IF('Current Char Stats'!$A10="","",'Current Char Stats'!$Y10)</f>
        <v>0</v>
      </c>
      <c r="AA141" s="18">
        <f ca="1">IF('Current Char Stats'!$A10="","",'Current Char Stats'!$Z10)</f>
        <v>0</v>
      </c>
      <c r="AB141" s="18">
        <f ca="1">IF('Current Char Stats'!$A10="","",'Current Char Stats'!$AA10)</f>
        <v>0</v>
      </c>
      <c r="AC141" s="18">
        <f ca="1">IF('Current Char Stats'!$A10="","",'Current Char Stats'!$AB10)</f>
        <v>0</v>
      </c>
      <c r="AD141" s="18">
        <f ca="1">IF('Current Char Stats'!$A10="","",'Current Char Stats'!$AC10)</f>
        <v>0</v>
      </c>
      <c r="AE141" s="18">
        <f ca="1">IF('Current Char Stats'!$A10="","",'Current Char Stats'!$AD10)</f>
        <v>0</v>
      </c>
      <c r="AF141" s="18">
        <f ca="1">IF('Current Char Stats'!$A10="","",'Current Char Stats'!$AE10)</f>
        <v>0</v>
      </c>
    </row>
    <row r="142" spans="1:32">
      <c r="A142" s="18">
        <f ca="1">IF('Current Char Stats'!$A11="","",Settings!$B$2)</f>
        <v>1</v>
      </c>
      <c r="B142" s="117" t="str">
        <f ca="1">IF('Current Char Stats'!$A11="","",'Current Char Stats'!$A11)</f>
        <v>Nick</v>
      </c>
      <c r="C142" s="18" t="str">
        <f ca="1">IF('Current Char Stats'!$A11="","",'Current Char Stats'!$B11)</f>
        <v>Toadette</v>
      </c>
      <c r="D142" s="18" t="str">
        <f ca="1">IF('Current Char Stats'!$A11="","",'Current Char Stats'!$C11)</f>
        <v>G1</v>
      </c>
      <c r="E142" s="18">
        <f ca="1">IF('Current Char Stats'!$A11="","",'Current Char Stats'!$D11)</f>
        <v>1</v>
      </c>
      <c r="F142" s="18">
        <f ca="1">IF('Current Char Stats'!$A11="","",'Current Char Stats'!$E11)</f>
        <v>0</v>
      </c>
      <c r="G142" s="18">
        <f ca="1">IF('Current Char Stats'!$A11="","",'Current Char Stats'!$F11)</f>
        <v>0</v>
      </c>
      <c r="H142" s="18">
        <f ca="1">IF('Current Char Stats'!$A11="","",'Current Char Stats'!$G11)</f>
        <v>0</v>
      </c>
      <c r="I142" s="18">
        <f ca="1">IF('Current Char Stats'!$A11="","",'Current Char Stats'!$H11)</f>
        <v>0</v>
      </c>
      <c r="J142" s="18">
        <f ca="1">IF('Current Char Stats'!$A11="","",'Current Char Stats'!$I11)</f>
        <v>0</v>
      </c>
      <c r="K142" s="18">
        <f ca="1">IF('Current Char Stats'!$A11="","",'Current Char Stats'!$J11)</f>
        <v>0</v>
      </c>
      <c r="L142" s="18" t="str">
        <f ca="1">IF('Current Char Stats'!$A11="","",'Current Char Stats'!$K11)</f>
        <v/>
      </c>
      <c r="M142" s="18">
        <f ca="1">IF('Current Char Stats'!$A11="","",'Current Char Stats'!$L11)</f>
        <v>0</v>
      </c>
      <c r="N142" s="18">
        <f ca="1">IF('Current Char Stats'!$A11="","",'Current Char Stats'!$M11)</f>
        <v>0</v>
      </c>
      <c r="O142" s="18">
        <f ca="1">IF('Current Char Stats'!$A11="","",'Current Char Stats'!$N11)</f>
        <v>0</v>
      </c>
      <c r="P142" s="18">
        <f ca="1">IF('Current Char Stats'!$A11="","",'Current Char Stats'!$O11)</f>
        <v>0</v>
      </c>
      <c r="Q142" s="18">
        <f ca="1">IF('Current Char Stats'!$A11="","",'Current Char Stats'!$P11)</f>
        <v>0</v>
      </c>
      <c r="R142" s="18">
        <f ca="1">IF('Current Char Stats'!$A11="","",'Current Char Stats'!$Q11)</f>
        <v>0</v>
      </c>
      <c r="S142" s="18">
        <f ca="1">IF('Current Char Stats'!$A11="","",'Current Char Stats'!$R11)</f>
        <v>0</v>
      </c>
      <c r="T142" s="18">
        <f ca="1">IF('Current Char Stats'!$A11="","",'Current Char Stats'!$S11)</f>
        <v>0</v>
      </c>
      <c r="U142" s="18">
        <f ca="1">IF('Current Char Stats'!$A11="","",'Current Char Stats'!$T11)</f>
        <v>0</v>
      </c>
      <c r="V142" s="18">
        <f ca="1">IF('Current Char Stats'!$A11="","",'Current Char Stats'!$U11)</f>
        <v>0</v>
      </c>
      <c r="W142" s="18">
        <f ca="1">IF('Current Char Stats'!$A11="","",'Current Char Stats'!$V11)</f>
        <v>0</v>
      </c>
      <c r="X142" s="18">
        <f ca="1">IF('Current Char Stats'!$A11="","",'Current Char Stats'!$W11)</f>
        <v>0</v>
      </c>
      <c r="Y142" s="18">
        <f ca="1">IF('Current Char Stats'!$A11="","",'Current Char Stats'!$X11)</f>
        <v>0</v>
      </c>
      <c r="Z142" s="18">
        <f ca="1">IF('Current Char Stats'!$A11="","",'Current Char Stats'!$Y11)</f>
        <v>0</v>
      </c>
      <c r="AA142" s="18">
        <f ca="1">IF('Current Char Stats'!$A11="","",'Current Char Stats'!$Z11)</f>
        <v>0</v>
      </c>
      <c r="AB142" s="18">
        <f ca="1">IF('Current Char Stats'!$A11="","",'Current Char Stats'!$AA11)</f>
        <v>0</v>
      </c>
      <c r="AC142" s="18">
        <f ca="1">IF('Current Char Stats'!$A11="","",'Current Char Stats'!$AB11)</f>
        <v>0</v>
      </c>
      <c r="AD142" s="18">
        <f ca="1">IF('Current Char Stats'!$A11="","",'Current Char Stats'!$AC11)</f>
        <v>0</v>
      </c>
      <c r="AE142" s="18">
        <f ca="1">IF('Current Char Stats'!$A11="","",'Current Char Stats'!$AD11)</f>
        <v>0</v>
      </c>
      <c r="AF142" s="18">
        <f ca="1">IF('Current Char Stats'!$A11="","",'Current Char Stats'!$AE11)</f>
        <v>0</v>
      </c>
    </row>
    <row r="143" spans="1:32">
      <c r="A143" s="18">
        <f ca="1">IF('Current Char Stats'!$A12="","",Settings!$B$2)</f>
        <v>1</v>
      </c>
      <c r="B143" s="117" t="str">
        <f ca="1">IF('Current Char Stats'!$A12="","",'Current Char Stats'!$A12)</f>
        <v>Nick</v>
      </c>
      <c r="C143" s="18" t="str">
        <f ca="1">IF('Current Char Stats'!$A12="","",'Current Char Stats'!$B12)</f>
        <v>Wiggler</v>
      </c>
      <c r="D143" s="18" t="str">
        <f ca="1">IF('Current Char Stats'!$A12="","",'Current Char Stats'!$C12)</f>
        <v>G1</v>
      </c>
      <c r="E143" s="18">
        <f ca="1">IF('Current Char Stats'!$A12="","",'Current Char Stats'!$D12)</f>
        <v>1</v>
      </c>
      <c r="F143" s="18">
        <f ca="1">IF('Current Char Stats'!$A12="","",'Current Char Stats'!$E12)</f>
        <v>0</v>
      </c>
      <c r="G143" s="18">
        <f ca="1">IF('Current Char Stats'!$A12="","",'Current Char Stats'!$F12)</f>
        <v>0</v>
      </c>
      <c r="H143" s="18">
        <f ca="1">IF('Current Char Stats'!$A12="","",'Current Char Stats'!$G12)</f>
        <v>0</v>
      </c>
      <c r="I143" s="18">
        <f ca="1">IF('Current Char Stats'!$A12="","",'Current Char Stats'!$H12)</f>
        <v>0</v>
      </c>
      <c r="J143" s="18">
        <f ca="1">IF('Current Char Stats'!$A12="","",'Current Char Stats'!$I12)</f>
        <v>0</v>
      </c>
      <c r="K143" s="18">
        <f ca="1">IF('Current Char Stats'!$A12="","",'Current Char Stats'!$J12)</f>
        <v>0</v>
      </c>
      <c r="L143" s="18" t="str">
        <f ca="1">IF('Current Char Stats'!$A12="","",'Current Char Stats'!$K12)</f>
        <v/>
      </c>
      <c r="M143" s="18">
        <f ca="1">IF('Current Char Stats'!$A12="","",'Current Char Stats'!$L12)</f>
        <v>0</v>
      </c>
      <c r="N143" s="18">
        <f ca="1">IF('Current Char Stats'!$A12="","",'Current Char Stats'!$M12)</f>
        <v>0</v>
      </c>
      <c r="O143" s="18">
        <f ca="1">IF('Current Char Stats'!$A12="","",'Current Char Stats'!$N12)</f>
        <v>0</v>
      </c>
      <c r="P143" s="18">
        <f ca="1">IF('Current Char Stats'!$A12="","",'Current Char Stats'!$O12)</f>
        <v>0</v>
      </c>
      <c r="Q143" s="18">
        <f ca="1">IF('Current Char Stats'!$A12="","",'Current Char Stats'!$P12)</f>
        <v>0</v>
      </c>
      <c r="R143" s="18">
        <f ca="1">IF('Current Char Stats'!$A12="","",'Current Char Stats'!$Q12)</f>
        <v>0</v>
      </c>
      <c r="S143" s="18">
        <f ca="1">IF('Current Char Stats'!$A12="","",'Current Char Stats'!$R12)</f>
        <v>0</v>
      </c>
      <c r="T143" s="18">
        <f ca="1">IF('Current Char Stats'!$A12="","",'Current Char Stats'!$S12)</f>
        <v>0</v>
      </c>
      <c r="U143" s="18">
        <f ca="1">IF('Current Char Stats'!$A12="","",'Current Char Stats'!$T12)</f>
        <v>0</v>
      </c>
      <c r="V143" s="18">
        <f ca="1">IF('Current Char Stats'!$A12="","",'Current Char Stats'!$U12)</f>
        <v>0</v>
      </c>
      <c r="W143" s="18">
        <f ca="1">IF('Current Char Stats'!$A12="","",'Current Char Stats'!$V12)</f>
        <v>0</v>
      </c>
      <c r="X143" s="18">
        <f ca="1">IF('Current Char Stats'!$A12="","",'Current Char Stats'!$W12)</f>
        <v>0</v>
      </c>
      <c r="Y143" s="18">
        <f ca="1">IF('Current Char Stats'!$A12="","",'Current Char Stats'!$X12)</f>
        <v>0</v>
      </c>
      <c r="Z143" s="18">
        <f ca="1">IF('Current Char Stats'!$A12="","",'Current Char Stats'!$Y12)</f>
        <v>0</v>
      </c>
      <c r="AA143" s="18">
        <f ca="1">IF('Current Char Stats'!$A12="","",'Current Char Stats'!$Z12)</f>
        <v>0</v>
      </c>
      <c r="AB143" s="18">
        <f ca="1">IF('Current Char Stats'!$A12="","",'Current Char Stats'!$AA12)</f>
        <v>0</v>
      </c>
      <c r="AC143" s="18">
        <f ca="1">IF('Current Char Stats'!$A12="","",'Current Char Stats'!$AB12)</f>
        <v>0</v>
      </c>
      <c r="AD143" s="18">
        <f ca="1">IF('Current Char Stats'!$A12="","",'Current Char Stats'!$AC12)</f>
        <v>0</v>
      </c>
      <c r="AE143" s="18">
        <f ca="1">IF('Current Char Stats'!$A12="","",'Current Char Stats'!$AD12)</f>
        <v>0</v>
      </c>
      <c r="AF143" s="18">
        <f ca="1">IF('Current Char Stats'!$A12="","",'Current Char Stats'!$AE12)</f>
        <v>0</v>
      </c>
    </row>
    <row r="144" spans="1:32">
      <c r="A144" s="18">
        <f ca="1">IF('Current Char Stats'!$A13="","",Settings!$B$2)</f>
        <v>1</v>
      </c>
      <c r="B144" s="117" t="str">
        <f ca="1">IF('Current Char Stats'!$A13="","",'Current Char Stats'!$A13)</f>
        <v>Donovan</v>
      </c>
      <c r="C144" s="18" t="str">
        <f ca="1">IF('Current Char Stats'!$A13="","",'Current Char Stats'!$B13)</f>
        <v>Donkey Kong</v>
      </c>
      <c r="D144" s="18" t="str">
        <f ca="1">IF('Current Char Stats'!$A13="","",'Current Char Stats'!$C13)</f>
        <v>G1</v>
      </c>
      <c r="E144" s="18">
        <f ca="1">IF('Current Char Stats'!$A13="","",'Current Char Stats'!$D13)</f>
        <v>1</v>
      </c>
      <c r="F144" s="18">
        <f ca="1">IF('Current Char Stats'!$A13="","",'Current Char Stats'!$E13)</f>
        <v>0</v>
      </c>
      <c r="G144" s="18">
        <f ca="1">IF('Current Char Stats'!$A13="","",'Current Char Stats'!$F13)</f>
        <v>0</v>
      </c>
      <c r="H144" s="18">
        <f ca="1">IF('Current Char Stats'!$A13="","",'Current Char Stats'!$G13)</f>
        <v>0</v>
      </c>
      <c r="I144" s="18">
        <f ca="1">IF('Current Char Stats'!$A13="","",'Current Char Stats'!$H13)</f>
        <v>0</v>
      </c>
      <c r="J144" s="18">
        <f ca="1">IF('Current Char Stats'!$A13="","",'Current Char Stats'!$I13)</f>
        <v>0</v>
      </c>
      <c r="K144" s="18">
        <f ca="1">IF('Current Char Stats'!$A13="","",'Current Char Stats'!$J13)</f>
        <v>0</v>
      </c>
      <c r="L144" s="18" t="str">
        <f ca="1">IF('Current Char Stats'!$A13="","",'Current Char Stats'!$K13)</f>
        <v/>
      </c>
      <c r="M144" s="18">
        <f ca="1">IF('Current Char Stats'!$A13="","",'Current Char Stats'!$L13)</f>
        <v>0</v>
      </c>
      <c r="N144" s="18">
        <f ca="1">IF('Current Char Stats'!$A13="","",'Current Char Stats'!$M13)</f>
        <v>0</v>
      </c>
      <c r="O144" s="18">
        <f ca="1">IF('Current Char Stats'!$A13="","",'Current Char Stats'!$N13)</f>
        <v>0</v>
      </c>
      <c r="P144" s="18">
        <f ca="1">IF('Current Char Stats'!$A13="","",'Current Char Stats'!$O13)</f>
        <v>0</v>
      </c>
      <c r="Q144" s="18">
        <f ca="1">IF('Current Char Stats'!$A13="","",'Current Char Stats'!$P13)</f>
        <v>0</v>
      </c>
      <c r="R144" s="18">
        <f ca="1">IF('Current Char Stats'!$A13="","",'Current Char Stats'!$Q13)</f>
        <v>0</v>
      </c>
      <c r="S144" s="18">
        <f ca="1">IF('Current Char Stats'!$A13="","",'Current Char Stats'!$R13)</f>
        <v>0</v>
      </c>
      <c r="T144" s="18">
        <f ca="1">IF('Current Char Stats'!$A13="","",'Current Char Stats'!$S13)</f>
        <v>0</v>
      </c>
      <c r="U144" s="18">
        <f ca="1">IF('Current Char Stats'!$A13="","",'Current Char Stats'!$T13)</f>
        <v>0</v>
      </c>
      <c r="V144" s="18">
        <f ca="1">IF('Current Char Stats'!$A13="","",'Current Char Stats'!$U13)</f>
        <v>0</v>
      </c>
      <c r="W144" s="18">
        <f ca="1">IF('Current Char Stats'!$A13="","",'Current Char Stats'!$V13)</f>
        <v>0</v>
      </c>
      <c r="X144" s="18">
        <f ca="1">IF('Current Char Stats'!$A13="","",'Current Char Stats'!$W13)</f>
        <v>0</v>
      </c>
      <c r="Y144" s="18">
        <f ca="1">IF('Current Char Stats'!$A13="","",'Current Char Stats'!$X13)</f>
        <v>0</v>
      </c>
      <c r="Z144" s="18">
        <f ca="1">IF('Current Char Stats'!$A13="","",'Current Char Stats'!$Y13)</f>
        <v>0</v>
      </c>
      <c r="AA144" s="18">
        <f ca="1">IF('Current Char Stats'!$A13="","",'Current Char Stats'!$Z13)</f>
        <v>0</v>
      </c>
      <c r="AB144" s="18">
        <f ca="1">IF('Current Char Stats'!$A13="","",'Current Char Stats'!$AA13)</f>
        <v>0</v>
      </c>
      <c r="AC144" s="18">
        <f ca="1">IF('Current Char Stats'!$A13="","",'Current Char Stats'!$AB13)</f>
        <v>0</v>
      </c>
      <c r="AD144" s="18">
        <f ca="1">IF('Current Char Stats'!$A13="","",'Current Char Stats'!$AC13)</f>
        <v>0</v>
      </c>
      <c r="AE144" s="18">
        <f ca="1">IF('Current Char Stats'!$A13="","",'Current Char Stats'!$AD13)</f>
        <v>0</v>
      </c>
      <c r="AF144" s="18">
        <f ca="1">IF('Current Char Stats'!$A13="","",'Current Char Stats'!$AE13)</f>
        <v>0</v>
      </c>
    </row>
    <row r="145" spans="1:32">
      <c r="A145" s="18">
        <f ca="1">IF('Current Char Stats'!$A14="","",Settings!$B$2)</f>
        <v>1</v>
      </c>
      <c r="B145" s="117" t="str">
        <f ca="1">IF('Current Char Stats'!$A14="","",'Current Char Stats'!$A14)</f>
        <v>Donovan</v>
      </c>
      <c r="C145" s="18" t="str">
        <f ca="1">IF('Current Char Stats'!$A14="","",'Current Char Stats'!$B14)</f>
        <v>Waluigi</v>
      </c>
      <c r="D145" s="18" t="str">
        <f ca="1">IF('Current Char Stats'!$A14="","",'Current Char Stats'!$C14)</f>
        <v>G1</v>
      </c>
      <c r="E145" s="18">
        <f ca="1">IF('Current Char Stats'!$A14="","",'Current Char Stats'!$D14)</f>
        <v>1</v>
      </c>
      <c r="F145" s="18">
        <f ca="1">IF('Current Char Stats'!$A14="","",'Current Char Stats'!$E14)</f>
        <v>0</v>
      </c>
      <c r="G145" s="18">
        <f ca="1">IF('Current Char Stats'!$A14="","",'Current Char Stats'!$F14)</f>
        <v>0</v>
      </c>
      <c r="H145" s="18">
        <f ca="1">IF('Current Char Stats'!$A14="","",'Current Char Stats'!$G14)</f>
        <v>0</v>
      </c>
      <c r="I145" s="18">
        <f ca="1">IF('Current Char Stats'!$A14="","",'Current Char Stats'!$H14)</f>
        <v>0</v>
      </c>
      <c r="J145" s="18">
        <f ca="1">IF('Current Char Stats'!$A14="","",'Current Char Stats'!$I14)</f>
        <v>3</v>
      </c>
      <c r="K145" s="18">
        <f ca="1">IF('Current Char Stats'!$A14="","",'Current Char Stats'!$J14)</f>
        <v>4</v>
      </c>
      <c r="L145" s="18">
        <f ca="1">IF('Current Char Stats'!$A14="","",'Current Char Stats'!$K14)</f>
        <v>12</v>
      </c>
      <c r="M145" s="18">
        <f ca="1">IF('Current Char Stats'!$A14="","",'Current Char Stats'!$L14)</f>
        <v>0</v>
      </c>
      <c r="N145" s="18">
        <f ca="1">IF('Current Char Stats'!$A14="","",'Current Char Stats'!$M14)</f>
        <v>0</v>
      </c>
      <c r="O145" s="18">
        <f ca="1">IF('Current Char Stats'!$A14="","",'Current Char Stats'!$N14)</f>
        <v>0</v>
      </c>
      <c r="P145" s="18">
        <f ca="1">IF('Current Char Stats'!$A14="","",'Current Char Stats'!$O14)</f>
        <v>0</v>
      </c>
      <c r="Q145" s="18">
        <f ca="1">IF('Current Char Stats'!$A14="","",'Current Char Stats'!$P14)</f>
        <v>0</v>
      </c>
      <c r="R145" s="18">
        <f ca="1">IF('Current Char Stats'!$A14="","",'Current Char Stats'!$Q14)</f>
        <v>0</v>
      </c>
      <c r="S145" s="18">
        <f ca="1">IF('Current Char Stats'!$A14="","",'Current Char Stats'!$R14)</f>
        <v>0</v>
      </c>
      <c r="T145" s="18">
        <f ca="1">IF('Current Char Stats'!$A14="","",'Current Char Stats'!$S14)</f>
        <v>0</v>
      </c>
      <c r="U145" s="18">
        <f ca="1">IF('Current Char Stats'!$A14="","",'Current Char Stats'!$T14)</f>
        <v>0</v>
      </c>
      <c r="V145" s="18">
        <f ca="1">IF('Current Char Stats'!$A14="","",'Current Char Stats'!$U14)</f>
        <v>0</v>
      </c>
      <c r="W145" s="18">
        <f ca="1">IF('Current Char Stats'!$A14="","",'Current Char Stats'!$V14)</f>
        <v>5</v>
      </c>
      <c r="X145" s="18">
        <f ca="1">IF('Current Char Stats'!$A14="","",'Current Char Stats'!$W14)</f>
        <v>4</v>
      </c>
      <c r="Y145" s="18">
        <f ca="1">IF('Current Char Stats'!$A14="","",'Current Char Stats'!$X14)</f>
        <v>0</v>
      </c>
      <c r="Z145" s="18">
        <f ca="1">IF('Current Char Stats'!$A14="","",'Current Char Stats'!$Y14)</f>
        <v>2</v>
      </c>
      <c r="AA145" s="18">
        <f ca="1">IF('Current Char Stats'!$A14="","",'Current Char Stats'!$Z14)</f>
        <v>1</v>
      </c>
      <c r="AB145" s="18">
        <f ca="1">IF('Current Char Stats'!$A14="","",'Current Char Stats'!$AA14)</f>
        <v>0</v>
      </c>
      <c r="AC145" s="18">
        <f ca="1">IF('Current Char Stats'!$A14="","",'Current Char Stats'!$AB14)</f>
        <v>0</v>
      </c>
      <c r="AD145" s="18">
        <f ca="1">IF('Current Char Stats'!$A14="","",'Current Char Stats'!$AC14)</f>
        <v>1</v>
      </c>
      <c r="AE145" s="18">
        <f ca="1">IF('Current Char Stats'!$A14="","",'Current Char Stats'!$AD14)</f>
        <v>1.6666666666666667</v>
      </c>
      <c r="AF145" s="18">
        <f ca="1">IF('Current Char Stats'!$A14="","",'Current Char Stats'!$AE14)</f>
        <v>14</v>
      </c>
    </row>
    <row r="146" spans="1:32">
      <c r="A146" s="18">
        <f ca="1">IF('Current Char Stats'!$A15="","",Settings!$B$2)</f>
        <v>1</v>
      </c>
      <c r="B146" s="117" t="str">
        <f ca="1">IF('Current Char Stats'!$A15="","",'Current Char Stats'!$A15)</f>
        <v>Donovan</v>
      </c>
      <c r="C146" s="18" t="str">
        <f ca="1">IF('Current Char Stats'!$A15="","",'Current Char Stats'!$B15)</f>
        <v>Dry Bones</v>
      </c>
      <c r="D146" s="18" t="str">
        <f ca="1">IF('Current Char Stats'!$A15="","",'Current Char Stats'!$C15)</f>
        <v>G1</v>
      </c>
      <c r="E146" s="18">
        <f ca="1">IF('Current Char Stats'!$A15="","",'Current Char Stats'!$D15)</f>
        <v>1</v>
      </c>
      <c r="F146" s="18">
        <f ca="1">IF('Current Char Stats'!$A15="","",'Current Char Stats'!$E15)</f>
        <v>0</v>
      </c>
      <c r="G146" s="18">
        <f ca="1">IF('Current Char Stats'!$A15="","",'Current Char Stats'!$F15)</f>
        <v>0</v>
      </c>
      <c r="H146" s="18">
        <f ca="1">IF('Current Char Stats'!$A15="","",'Current Char Stats'!$G15)</f>
        <v>0</v>
      </c>
      <c r="I146" s="18">
        <f ca="1">IF('Current Char Stats'!$A15="","",'Current Char Stats'!$H15)</f>
        <v>0</v>
      </c>
      <c r="J146" s="18">
        <f ca="1">IF('Current Char Stats'!$A15="","",'Current Char Stats'!$I15)</f>
        <v>0</v>
      </c>
      <c r="K146" s="18">
        <f ca="1">IF('Current Char Stats'!$A15="","",'Current Char Stats'!$J15)</f>
        <v>0</v>
      </c>
      <c r="L146" s="18" t="str">
        <f ca="1">IF('Current Char Stats'!$A15="","",'Current Char Stats'!$K15)</f>
        <v/>
      </c>
      <c r="M146" s="18">
        <f ca="1">IF('Current Char Stats'!$A15="","",'Current Char Stats'!$L15)</f>
        <v>0</v>
      </c>
      <c r="N146" s="18">
        <f ca="1">IF('Current Char Stats'!$A15="","",'Current Char Stats'!$M15)</f>
        <v>0</v>
      </c>
      <c r="O146" s="18">
        <f ca="1">IF('Current Char Stats'!$A15="","",'Current Char Stats'!$N15)</f>
        <v>0</v>
      </c>
      <c r="P146" s="18">
        <f ca="1">IF('Current Char Stats'!$A15="","",'Current Char Stats'!$O15)</f>
        <v>0</v>
      </c>
      <c r="Q146" s="18">
        <f ca="1">IF('Current Char Stats'!$A15="","",'Current Char Stats'!$P15)</f>
        <v>0</v>
      </c>
      <c r="R146" s="18">
        <f ca="1">IF('Current Char Stats'!$A15="","",'Current Char Stats'!$Q15)</f>
        <v>0</v>
      </c>
      <c r="S146" s="18">
        <f ca="1">IF('Current Char Stats'!$A15="","",'Current Char Stats'!$R15)</f>
        <v>1</v>
      </c>
      <c r="T146" s="18">
        <f ca="1">IF('Current Char Stats'!$A15="","",'Current Char Stats'!$S15)</f>
        <v>0</v>
      </c>
      <c r="U146" s="18">
        <f ca="1">IF('Current Char Stats'!$A15="","",'Current Char Stats'!$T15)</f>
        <v>0</v>
      </c>
      <c r="V146" s="18">
        <f ca="1">IF('Current Char Stats'!$A15="","",'Current Char Stats'!$U15)</f>
        <v>0</v>
      </c>
      <c r="W146" s="18">
        <f ca="1">IF('Current Char Stats'!$A15="","",'Current Char Stats'!$V15)</f>
        <v>0</v>
      </c>
      <c r="X146" s="18">
        <f ca="1">IF('Current Char Stats'!$A15="","",'Current Char Stats'!$W15)</f>
        <v>0</v>
      </c>
      <c r="Y146" s="18">
        <f ca="1">IF('Current Char Stats'!$A15="","",'Current Char Stats'!$X15)</f>
        <v>0</v>
      </c>
      <c r="Z146" s="18">
        <f ca="1">IF('Current Char Stats'!$A15="","",'Current Char Stats'!$Y15)</f>
        <v>0</v>
      </c>
      <c r="AA146" s="18">
        <f ca="1">IF('Current Char Stats'!$A15="","",'Current Char Stats'!$Z15)</f>
        <v>0</v>
      </c>
      <c r="AB146" s="18">
        <f ca="1">IF('Current Char Stats'!$A15="","",'Current Char Stats'!$AA15)</f>
        <v>0</v>
      </c>
      <c r="AC146" s="18">
        <f ca="1">IF('Current Char Stats'!$A15="","",'Current Char Stats'!$AB15)</f>
        <v>0</v>
      </c>
      <c r="AD146" s="18">
        <f ca="1">IF('Current Char Stats'!$A15="","",'Current Char Stats'!$AC15)</f>
        <v>0</v>
      </c>
      <c r="AE146" s="18">
        <f ca="1">IF('Current Char Stats'!$A15="","",'Current Char Stats'!$AD15)</f>
        <v>0</v>
      </c>
      <c r="AF146" s="18">
        <f ca="1">IF('Current Char Stats'!$A15="","",'Current Char Stats'!$AE15)</f>
        <v>0</v>
      </c>
    </row>
    <row r="147" spans="1:32">
      <c r="A147" s="18">
        <f ca="1">IF('Current Char Stats'!$A16="","",Settings!$B$2)</f>
        <v>1</v>
      </c>
      <c r="B147" s="117" t="str">
        <f ca="1">IF('Current Char Stats'!$A16="","",'Current Char Stats'!$A16)</f>
        <v>Donovan</v>
      </c>
      <c r="C147" s="18" t="str">
        <f ca="1">IF('Current Char Stats'!$A16="","",'Current Char Stats'!$B16)</f>
        <v>Diddy Kong</v>
      </c>
      <c r="D147" s="18" t="str">
        <f ca="1">IF('Current Char Stats'!$A16="","",'Current Char Stats'!$C16)</f>
        <v>G1</v>
      </c>
      <c r="E147" s="18">
        <f ca="1">IF('Current Char Stats'!$A16="","",'Current Char Stats'!$D16)</f>
        <v>1</v>
      </c>
      <c r="F147" s="18">
        <f ca="1">IF('Current Char Stats'!$A16="","",'Current Char Stats'!$E16)</f>
        <v>0</v>
      </c>
      <c r="G147" s="18">
        <f ca="1">IF('Current Char Stats'!$A16="","",'Current Char Stats'!$F16)</f>
        <v>0</v>
      </c>
      <c r="H147" s="18">
        <f ca="1">IF('Current Char Stats'!$A16="","",'Current Char Stats'!$G16)</f>
        <v>0</v>
      </c>
      <c r="I147" s="18">
        <f ca="1">IF('Current Char Stats'!$A16="","",'Current Char Stats'!$H16)</f>
        <v>0</v>
      </c>
      <c r="J147" s="18">
        <f ca="1">IF('Current Char Stats'!$A16="","",'Current Char Stats'!$I16)</f>
        <v>0</v>
      </c>
      <c r="K147" s="18">
        <f ca="1">IF('Current Char Stats'!$A16="","",'Current Char Stats'!$J16)</f>
        <v>0</v>
      </c>
      <c r="L147" s="18" t="str">
        <f ca="1">IF('Current Char Stats'!$A16="","",'Current Char Stats'!$K16)</f>
        <v/>
      </c>
      <c r="M147" s="18">
        <f ca="1">IF('Current Char Stats'!$A16="","",'Current Char Stats'!$L16)</f>
        <v>0</v>
      </c>
      <c r="N147" s="18">
        <f ca="1">IF('Current Char Stats'!$A16="","",'Current Char Stats'!$M16)</f>
        <v>0</v>
      </c>
      <c r="O147" s="18">
        <f ca="1">IF('Current Char Stats'!$A16="","",'Current Char Stats'!$N16)</f>
        <v>0</v>
      </c>
      <c r="P147" s="18">
        <f ca="1">IF('Current Char Stats'!$A16="","",'Current Char Stats'!$O16)</f>
        <v>0</v>
      </c>
      <c r="Q147" s="18">
        <f ca="1">IF('Current Char Stats'!$A16="","",'Current Char Stats'!$P16)</f>
        <v>0</v>
      </c>
      <c r="R147" s="18">
        <f ca="1">IF('Current Char Stats'!$A16="","",'Current Char Stats'!$Q16)</f>
        <v>0</v>
      </c>
      <c r="S147" s="18">
        <f ca="1">IF('Current Char Stats'!$A16="","",'Current Char Stats'!$R16)</f>
        <v>1</v>
      </c>
      <c r="T147" s="18">
        <f ca="1">IF('Current Char Stats'!$A16="","",'Current Char Stats'!$S16)</f>
        <v>0</v>
      </c>
      <c r="U147" s="18">
        <f ca="1">IF('Current Char Stats'!$A16="","",'Current Char Stats'!$T16)</f>
        <v>0</v>
      </c>
      <c r="V147" s="18">
        <f ca="1">IF('Current Char Stats'!$A16="","",'Current Char Stats'!$U16)</f>
        <v>0</v>
      </c>
      <c r="W147" s="18">
        <f ca="1">IF('Current Char Stats'!$A16="","",'Current Char Stats'!$V16)</f>
        <v>0</v>
      </c>
      <c r="X147" s="18">
        <f ca="1">IF('Current Char Stats'!$A16="","",'Current Char Stats'!$W16)</f>
        <v>0</v>
      </c>
      <c r="Y147" s="18">
        <f ca="1">IF('Current Char Stats'!$A16="","",'Current Char Stats'!$X16)</f>
        <v>0</v>
      </c>
      <c r="Z147" s="18">
        <f ca="1">IF('Current Char Stats'!$A16="","",'Current Char Stats'!$Y16)</f>
        <v>0</v>
      </c>
      <c r="AA147" s="18">
        <f ca="1">IF('Current Char Stats'!$A16="","",'Current Char Stats'!$Z16)</f>
        <v>0</v>
      </c>
      <c r="AB147" s="18">
        <f ca="1">IF('Current Char Stats'!$A16="","",'Current Char Stats'!$AA16)</f>
        <v>0</v>
      </c>
      <c r="AC147" s="18">
        <f ca="1">IF('Current Char Stats'!$A16="","",'Current Char Stats'!$AB16)</f>
        <v>0</v>
      </c>
      <c r="AD147" s="18">
        <f ca="1">IF('Current Char Stats'!$A16="","",'Current Char Stats'!$AC16)</f>
        <v>0</v>
      </c>
      <c r="AE147" s="18">
        <f ca="1">IF('Current Char Stats'!$A16="","",'Current Char Stats'!$AD16)</f>
        <v>0</v>
      </c>
      <c r="AF147" s="18">
        <f ca="1">IF('Current Char Stats'!$A16="","",'Current Char Stats'!$AE16)</f>
        <v>0</v>
      </c>
    </row>
    <row r="148" spans="1:32">
      <c r="A148" s="18">
        <f ca="1">IF('Current Char Stats'!$A17="","",Settings!$B$2)</f>
        <v>1</v>
      </c>
      <c r="B148" s="117" t="str">
        <f ca="1">IF('Current Char Stats'!$A17="","",'Current Char Stats'!$A17)</f>
        <v>Donovan</v>
      </c>
      <c r="C148" s="18" t="str">
        <f ca="1">IF('Current Char Stats'!$A17="","",'Current Char Stats'!$B17)</f>
        <v>Fire Bro</v>
      </c>
      <c r="D148" s="18" t="str">
        <f ca="1">IF('Current Char Stats'!$A17="","",'Current Char Stats'!$C17)</f>
        <v>G1</v>
      </c>
      <c r="E148" s="18">
        <f ca="1">IF('Current Char Stats'!$A17="","",'Current Char Stats'!$D17)</f>
        <v>1</v>
      </c>
      <c r="F148" s="18">
        <f ca="1">IF('Current Char Stats'!$A17="","",'Current Char Stats'!$E17)</f>
        <v>0</v>
      </c>
      <c r="G148" s="18">
        <f ca="1">IF('Current Char Stats'!$A17="","",'Current Char Stats'!$F17)</f>
        <v>0</v>
      </c>
      <c r="H148" s="18">
        <f ca="1">IF('Current Char Stats'!$A17="","",'Current Char Stats'!$G17)</f>
        <v>0</v>
      </c>
      <c r="I148" s="18">
        <f ca="1">IF('Current Char Stats'!$A17="","",'Current Char Stats'!$H17)</f>
        <v>0</v>
      </c>
      <c r="J148" s="18">
        <f ca="1">IF('Current Char Stats'!$A17="","",'Current Char Stats'!$I17)</f>
        <v>0</v>
      </c>
      <c r="K148" s="18">
        <f ca="1">IF('Current Char Stats'!$A17="","",'Current Char Stats'!$J17)</f>
        <v>0</v>
      </c>
      <c r="L148" s="18" t="str">
        <f ca="1">IF('Current Char Stats'!$A17="","",'Current Char Stats'!$K17)</f>
        <v/>
      </c>
      <c r="M148" s="18">
        <f ca="1">IF('Current Char Stats'!$A17="","",'Current Char Stats'!$L17)</f>
        <v>0</v>
      </c>
      <c r="N148" s="18">
        <f ca="1">IF('Current Char Stats'!$A17="","",'Current Char Stats'!$M17)</f>
        <v>0</v>
      </c>
      <c r="O148" s="18">
        <f ca="1">IF('Current Char Stats'!$A17="","",'Current Char Stats'!$N17)</f>
        <v>0</v>
      </c>
      <c r="P148" s="18">
        <f ca="1">IF('Current Char Stats'!$A17="","",'Current Char Stats'!$O17)</f>
        <v>0</v>
      </c>
      <c r="Q148" s="18">
        <f ca="1">IF('Current Char Stats'!$A17="","",'Current Char Stats'!$P17)</f>
        <v>0</v>
      </c>
      <c r="R148" s="18">
        <f ca="1">IF('Current Char Stats'!$A17="","",'Current Char Stats'!$Q17)</f>
        <v>0</v>
      </c>
      <c r="S148" s="18">
        <f ca="1">IF('Current Char Stats'!$A17="","",'Current Char Stats'!$R17)</f>
        <v>1</v>
      </c>
      <c r="T148" s="18">
        <f ca="1">IF('Current Char Stats'!$A17="","",'Current Char Stats'!$S17)</f>
        <v>0</v>
      </c>
      <c r="U148" s="18">
        <f ca="1">IF('Current Char Stats'!$A17="","",'Current Char Stats'!$T17)</f>
        <v>0</v>
      </c>
      <c r="V148" s="18">
        <f ca="1">IF('Current Char Stats'!$A17="","",'Current Char Stats'!$U17)</f>
        <v>0</v>
      </c>
      <c r="W148" s="18">
        <f ca="1">IF('Current Char Stats'!$A17="","",'Current Char Stats'!$V17)</f>
        <v>0</v>
      </c>
      <c r="X148" s="18">
        <f ca="1">IF('Current Char Stats'!$A17="","",'Current Char Stats'!$W17)</f>
        <v>0</v>
      </c>
      <c r="Y148" s="18">
        <f ca="1">IF('Current Char Stats'!$A17="","",'Current Char Stats'!$X17)</f>
        <v>0</v>
      </c>
      <c r="Z148" s="18">
        <f ca="1">IF('Current Char Stats'!$A17="","",'Current Char Stats'!$Y17)</f>
        <v>0</v>
      </c>
      <c r="AA148" s="18">
        <f ca="1">IF('Current Char Stats'!$A17="","",'Current Char Stats'!$Z17)</f>
        <v>0</v>
      </c>
      <c r="AB148" s="18">
        <f ca="1">IF('Current Char Stats'!$A17="","",'Current Char Stats'!$AA17)</f>
        <v>0</v>
      </c>
      <c r="AC148" s="18">
        <f ca="1">IF('Current Char Stats'!$A17="","",'Current Char Stats'!$AB17)</f>
        <v>0</v>
      </c>
      <c r="AD148" s="18">
        <f ca="1">IF('Current Char Stats'!$A17="","",'Current Char Stats'!$AC17)</f>
        <v>0</v>
      </c>
      <c r="AE148" s="18">
        <f ca="1">IF('Current Char Stats'!$A17="","",'Current Char Stats'!$AD17)</f>
        <v>0</v>
      </c>
      <c r="AF148" s="18">
        <f ca="1">IF('Current Char Stats'!$A17="","",'Current Char Stats'!$AE17)</f>
        <v>0</v>
      </c>
    </row>
    <row r="149" spans="1:32">
      <c r="A149" s="18">
        <f ca="1">IF('Current Char Stats'!$A18="","",Settings!$B$2)</f>
        <v>1</v>
      </c>
      <c r="B149" s="117" t="str">
        <f ca="1">IF('Current Char Stats'!$A18="","",'Current Char Stats'!$A18)</f>
        <v>Donovan</v>
      </c>
      <c r="C149" s="18" t="str">
        <f ca="1">IF('Current Char Stats'!$A18="","",'Current Char Stats'!$B18)</f>
        <v>Dixie Kong</v>
      </c>
      <c r="D149" s="18" t="str">
        <f ca="1">IF('Current Char Stats'!$A18="","",'Current Char Stats'!$C18)</f>
        <v>G1</v>
      </c>
      <c r="E149" s="18">
        <f ca="1">IF('Current Char Stats'!$A18="","",'Current Char Stats'!$D18)</f>
        <v>1</v>
      </c>
      <c r="F149" s="18">
        <f ca="1">IF('Current Char Stats'!$A18="","",'Current Char Stats'!$E18)</f>
        <v>0</v>
      </c>
      <c r="G149" s="18">
        <f ca="1">IF('Current Char Stats'!$A18="","",'Current Char Stats'!$F18)</f>
        <v>0</v>
      </c>
      <c r="H149" s="18">
        <f ca="1">IF('Current Char Stats'!$A18="","",'Current Char Stats'!$G18)</f>
        <v>0</v>
      </c>
      <c r="I149" s="18">
        <f ca="1">IF('Current Char Stats'!$A18="","",'Current Char Stats'!$H18)</f>
        <v>0</v>
      </c>
      <c r="J149" s="18">
        <f ca="1">IF('Current Char Stats'!$A18="","",'Current Char Stats'!$I18)</f>
        <v>0</v>
      </c>
      <c r="K149" s="18">
        <f ca="1">IF('Current Char Stats'!$A18="","",'Current Char Stats'!$J18)</f>
        <v>0</v>
      </c>
      <c r="L149" s="18" t="str">
        <f ca="1">IF('Current Char Stats'!$A18="","",'Current Char Stats'!$K18)</f>
        <v/>
      </c>
      <c r="M149" s="18">
        <f ca="1">IF('Current Char Stats'!$A18="","",'Current Char Stats'!$L18)</f>
        <v>0</v>
      </c>
      <c r="N149" s="18">
        <f ca="1">IF('Current Char Stats'!$A18="","",'Current Char Stats'!$M18)</f>
        <v>0</v>
      </c>
      <c r="O149" s="18">
        <f ca="1">IF('Current Char Stats'!$A18="","",'Current Char Stats'!$N18)</f>
        <v>0</v>
      </c>
      <c r="P149" s="18">
        <f ca="1">IF('Current Char Stats'!$A18="","",'Current Char Stats'!$O18)</f>
        <v>0</v>
      </c>
      <c r="Q149" s="18">
        <f ca="1">IF('Current Char Stats'!$A18="","",'Current Char Stats'!$P18)</f>
        <v>0</v>
      </c>
      <c r="R149" s="18">
        <f ca="1">IF('Current Char Stats'!$A18="","",'Current Char Stats'!$Q18)</f>
        <v>0</v>
      </c>
      <c r="S149" s="18">
        <f ca="1">IF('Current Char Stats'!$A18="","",'Current Char Stats'!$R18)</f>
        <v>0</v>
      </c>
      <c r="T149" s="18">
        <f ca="1">IF('Current Char Stats'!$A18="","",'Current Char Stats'!$S18)</f>
        <v>0</v>
      </c>
      <c r="U149" s="18">
        <f ca="1">IF('Current Char Stats'!$A18="","",'Current Char Stats'!$T18)</f>
        <v>0</v>
      </c>
      <c r="V149" s="18">
        <f ca="1">IF('Current Char Stats'!$A18="","",'Current Char Stats'!$U18)</f>
        <v>0</v>
      </c>
      <c r="W149" s="18">
        <f ca="1">IF('Current Char Stats'!$A18="","",'Current Char Stats'!$V18)</f>
        <v>0</v>
      </c>
      <c r="X149" s="18">
        <f ca="1">IF('Current Char Stats'!$A18="","",'Current Char Stats'!$W18)</f>
        <v>0</v>
      </c>
      <c r="Y149" s="18">
        <f ca="1">IF('Current Char Stats'!$A18="","",'Current Char Stats'!$X18)</f>
        <v>0</v>
      </c>
      <c r="Z149" s="18">
        <f ca="1">IF('Current Char Stats'!$A18="","",'Current Char Stats'!$Y18)</f>
        <v>0</v>
      </c>
      <c r="AA149" s="18">
        <f ca="1">IF('Current Char Stats'!$A18="","",'Current Char Stats'!$Z18)</f>
        <v>0</v>
      </c>
      <c r="AB149" s="18">
        <f ca="1">IF('Current Char Stats'!$A18="","",'Current Char Stats'!$AA18)</f>
        <v>0</v>
      </c>
      <c r="AC149" s="18">
        <f ca="1">IF('Current Char Stats'!$A18="","",'Current Char Stats'!$AB18)</f>
        <v>0</v>
      </c>
      <c r="AD149" s="18">
        <f ca="1">IF('Current Char Stats'!$A18="","",'Current Char Stats'!$AC18)</f>
        <v>0</v>
      </c>
      <c r="AE149" s="18">
        <f ca="1">IF('Current Char Stats'!$A18="","",'Current Char Stats'!$AD18)</f>
        <v>0</v>
      </c>
      <c r="AF149" s="18">
        <f ca="1">IF('Current Char Stats'!$A18="","",'Current Char Stats'!$AE18)</f>
        <v>0</v>
      </c>
    </row>
    <row r="150" spans="1:32">
      <c r="A150" s="18">
        <f ca="1">IF('Current Char Stats'!$A19="","",Settings!$B$2)</f>
        <v>1</v>
      </c>
      <c r="B150" s="117" t="str">
        <f ca="1">IF('Current Char Stats'!$A19="","",'Current Char Stats'!$A19)</f>
        <v>Donovan</v>
      </c>
      <c r="C150" s="18" t="str">
        <f ca="1">IF('Current Char Stats'!$A19="","",'Current Char Stats'!$B19)</f>
        <v>Baby DK</v>
      </c>
      <c r="D150" s="18" t="str">
        <f ca="1">IF('Current Char Stats'!$A19="","",'Current Char Stats'!$C19)</f>
        <v>G1</v>
      </c>
      <c r="E150" s="18">
        <f ca="1">IF('Current Char Stats'!$A19="","",'Current Char Stats'!$D19)</f>
        <v>1</v>
      </c>
      <c r="F150" s="18">
        <f ca="1">IF('Current Char Stats'!$A19="","",'Current Char Stats'!$E19)</f>
        <v>0</v>
      </c>
      <c r="G150" s="18">
        <f ca="1">IF('Current Char Stats'!$A19="","",'Current Char Stats'!$F19)</f>
        <v>0</v>
      </c>
      <c r="H150" s="18">
        <f ca="1">IF('Current Char Stats'!$A19="","",'Current Char Stats'!$G19)</f>
        <v>0</v>
      </c>
      <c r="I150" s="18">
        <f ca="1">IF('Current Char Stats'!$A19="","",'Current Char Stats'!$H19)</f>
        <v>0</v>
      </c>
      <c r="J150" s="18">
        <f ca="1">IF('Current Char Stats'!$A19="","",'Current Char Stats'!$I19)</f>
        <v>0</v>
      </c>
      <c r="K150" s="18">
        <f ca="1">IF('Current Char Stats'!$A19="","",'Current Char Stats'!$J19)</f>
        <v>0</v>
      </c>
      <c r="L150" s="18" t="str">
        <f ca="1">IF('Current Char Stats'!$A19="","",'Current Char Stats'!$K19)</f>
        <v/>
      </c>
      <c r="M150" s="18">
        <f ca="1">IF('Current Char Stats'!$A19="","",'Current Char Stats'!$L19)</f>
        <v>0</v>
      </c>
      <c r="N150" s="18">
        <f ca="1">IF('Current Char Stats'!$A19="","",'Current Char Stats'!$M19)</f>
        <v>0</v>
      </c>
      <c r="O150" s="18">
        <f ca="1">IF('Current Char Stats'!$A19="","",'Current Char Stats'!$N19)</f>
        <v>0</v>
      </c>
      <c r="P150" s="18">
        <f ca="1">IF('Current Char Stats'!$A19="","",'Current Char Stats'!$O19)</f>
        <v>0</v>
      </c>
      <c r="Q150" s="18">
        <f ca="1">IF('Current Char Stats'!$A19="","",'Current Char Stats'!$P19)</f>
        <v>0</v>
      </c>
      <c r="R150" s="18">
        <f ca="1">IF('Current Char Stats'!$A19="","",'Current Char Stats'!$Q19)</f>
        <v>0</v>
      </c>
      <c r="S150" s="18">
        <f ca="1">IF('Current Char Stats'!$A19="","",'Current Char Stats'!$R19)</f>
        <v>0</v>
      </c>
      <c r="T150" s="18">
        <f ca="1">IF('Current Char Stats'!$A19="","",'Current Char Stats'!$S19)</f>
        <v>0</v>
      </c>
      <c r="U150" s="18">
        <f ca="1">IF('Current Char Stats'!$A19="","",'Current Char Stats'!$T19)</f>
        <v>0</v>
      </c>
      <c r="V150" s="18">
        <f ca="1">IF('Current Char Stats'!$A19="","",'Current Char Stats'!$U19)</f>
        <v>0</v>
      </c>
      <c r="W150" s="18">
        <f ca="1">IF('Current Char Stats'!$A19="","",'Current Char Stats'!$V19)</f>
        <v>0</v>
      </c>
      <c r="X150" s="18">
        <f ca="1">IF('Current Char Stats'!$A19="","",'Current Char Stats'!$W19)</f>
        <v>0</v>
      </c>
      <c r="Y150" s="18">
        <f ca="1">IF('Current Char Stats'!$A19="","",'Current Char Stats'!$X19)</f>
        <v>0</v>
      </c>
      <c r="Z150" s="18">
        <f ca="1">IF('Current Char Stats'!$A19="","",'Current Char Stats'!$Y19)</f>
        <v>0</v>
      </c>
      <c r="AA150" s="18">
        <f ca="1">IF('Current Char Stats'!$A19="","",'Current Char Stats'!$Z19)</f>
        <v>0</v>
      </c>
      <c r="AB150" s="18">
        <f ca="1">IF('Current Char Stats'!$A19="","",'Current Char Stats'!$AA19)</f>
        <v>0</v>
      </c>
      <c r="AC150" s="18">
        <f ca="1">IF('Current Char Stats'!$A19="","",'Current Char Stats'!$AB19)</f>
        <v>0</v>
      </c>
      <c r="AD150" s="18">
        <f ca="1">IF('Current Char Stats'!$A19="","",'Current Char Stats'!$AC19)</f>
        <v>0</v>
      </c>
      <c r="AE150" s="18">
        <f ca="1">IF('Current Char Stats'!$A19="","",'Current Char Stats'!$AD19)</f>
        <v>0</v>
      </c>
      <c r="AF150" s="18">
        <f ca="1">IF('Current Char Stats'!$A19="","",'Current Char Stats'!$AE19)</f>
        <v>0</v>
      </c>
    </row>
    <row r="151" spans="1:32">
      <c r="A151" s="18">
        <f ca="1">IF('Current Char Stats'!$A20="","",Settings!$B$2)</f>
        <v>1</v>
      </c>
      <c r="B151" s="117" t="str">
        <f ca="1">IF('Current Char Stats'!$A20="","",'Current Char Stats'!$A20)</f>
        <v>Donovan</v>
      </c>
      <c r="C151" s="18" t="str">
        <f ca="1">IF('Current Char Stats'!$A20="","",'Current Char Stats'!$B20)</f>
        <v>Tiny Kong</v>
      </c>
      <c r="D151" s="18" t="str">
        <f ca="1">IF('Current Char Stats'!$A20="","",'Current Char Stats'!$C20)</f>
        <v>G1</v>
      </c>
      <c r="E151" s="18">
        <f ca="1">IF('Current Char Stats'!$A20="","",'Current Char Stats'!$D20)</f>
        <v>1</v>
      </c>
      <c r="F151" s="18">
        <f ca="1">IF('Current Char Stats'!$A20="","",'Current Char Stats'!$E20)</f>
        <v>0</v>
      </c>
      <c r="G151" s="18">
        <f ca="1">IF('Current Char Stats'!$A20="","",'Current Char Stats'!$F20)</f>
        <v>0</v>
      </c>
      <c r="H151" s="18">
        <f ca="1">IF('Current Char Stats'!$A20="","",'Current Char Stats'!$G20)</f>
        <v>0</v>
      </c>
      <c r="I151" s="18">
        <f ca="1">IF('Current Char Stats'!$A20="","",'Current Char Stats'!$H20)</f>
        <v>0</v>
      </c>
      <c r="J151" s="18">
        <f ca="1">IF('Current Char Stats'!$A20="","",'Current Char Stats'!$I20)</f>
        <v>0</v>
      </c>
      <c r="K151" s="18">
        <f ca="1">IF('Current Char Stats'!$A20="","",'Current Char Stats'!$J20)</f>
        <v>0</v>
      </c>
      <c r="L151" s="18" t="str">
        <f ca="1">IF('Current Char Stats'!$A20="","",'Current Char Stats'!$K20)</f>
        <v/>
      </c>
      <c r="M151" s="18">
        <f ca="1">IF('Current Char Stats'!$A20="","",'Current Char Stats'!$L20)</f>
        <v>0</v>
      </c>
      <c r="N151" s="18">
        <f ca="1">IF('Current Char Stats'!$A20="","",'Current Char Stats'!$M20)</f>
        <v>0</v>
      </c>
      <c r="O151" s="18">
        <f ca="1">IF('Current Char Stats'!$A20="","",'Current Char Stats'!$N20)</f>
        <v>0</v>
      </c>
      <c r="P151" s="18">
        <f ca="1">IF('Current Char Stats'!$A20="","",'Current Char Stats'!$O20)</f>
        <v>0</v>
      </c>
      <c r="Q151" s="18">
        <f ca="1">IF('Current Char Stats'!$A20="","",'Current Char Stats'!$P20)</f>
        <v>0</v>
      </c>
      <c r="R151" s="18">
        <f ca="1">IF('Current Char Stats'!$A20="","",'Current Char Stats'!$Q20)</f>
        <v>0</v>
      </c>
      <c r="S151" s="18">
        <f ca="1">IF('Current Char Stats'!$A20="","",'Current Char Stats'!$R20)</f>
        <v>1</v>
      </c>
      <c r="T151" s="18">
        <f ca="1">IF('Current Char Stats'!$A20="","",'Current Char Stats'!$S20)</f>
        <v>0</v>
      </c>
      <c r="U151" s="18">
        <f ca="1">IF('Current Char Stats'!$A20="","",'Current Char Stats'!$T20)</f>
        <v>0</v>
      </c>
      <c r="V151" s="18">
        <f ca="1">IF('Current Char Stats'!$A20="","",'Current Char Stats'!$U20)</f>
        <v>0</v>
      </c>
      <c r="W151" s="18">
        <f ca="1">IF('Current Char Stats'!$A20="","",'Current Char Stats'!$V20)</f>
        <v>0</v>
      </c>
      <c r="X151" s="18">
        <f ca="1">IF('Current Char Stats'!$A20="","",'Current Char Stats'!$W20)</f>
        <v>0</v>
      </c>
      <c r="Y151" s="18">
        <f ca="1">IF('Current Char Stats'!$A20="","",'Current Char Stats'!$X20)</f>
        <v>0</v>
      </c>
      <c r="Z151" s="18">
        <f ca="1">IF('Current Char Stats'!$A20="","",'Current Char Stats'!$Y20)</f>
        <v>0</v>
      </c>
      <c r="AA151" s="18">
        <f ca="1">IF('Current Char Stats'!$A20="","",'Current Char Stats'!$Z20)</f>
        <v>0</v>
      </c>
      <c r="AB151" s="18">
        <f ca="1">IF('Current Char Stats'!$A20="","",'Current Char Stats'!$AA20)</f>
        <v>0</v>
      </c>
      <c r="AC151" s="18">
        <f ca="1">IF('Current Char Stats'!$A20="","",'Current Char Stats'!$AB20)</f>
        <v>0</v>
      </c>
      <c r="AD151" s="18">
        <f ca="1">IF('Current Char Stats'!$A20="","",'Current Char Stats'!$AC20)</f>
        <v>0</v>
      </c>
      <c r="AE151" s="18">
        <f ca="1">IF('Current Char Stats'!$A20="","",'Current Char Stats'!$AD20)</f>
        <v>0</v>
      </c>
      <c r="AF151" s="18">
        <f ca="1">IF('Current Char Stats'!$A20="","",'Current Char Stats'!$AE20)</f>
        <v>0</v>
      </c>
    </row>
    <row r="152" spans="1:32">
      <c r="A152" s="18">
        <f ca="1">IF('Current Char Stats'!$A21="","",Settings!$B$2)</f>
        <v>1</v>
      </c>
      <c r="B152" s="117" t="str">
        <f ca="1">IF('Current Char Stats'!$A21="","",'Current Char Stats'!$A21)</f>
        <v>Donovan</v>
      </c>
      <c r="C152" s="18" t="str">
        <f ca="1">IF('Current Char Stats'!$A21="","",'Current Char Stats'!$B21)</f>
        <v>Paragoomba</v>
      </c>
      <c r="D152" s="18" t="str">
        <f ca="1">IF('Current Char Stats'!$A21="","",'Current Char Stats'!$C21)</f>
        <v>G1</v>
      </c>
      <c r="E152" s="18">
        <f ca="1">IF('Current Char Stats'!$A21="","",'Current Char Stats'!$D21)</f>
        <v>1</v>
      </c>
      <c r="F152" s="18">
        <f ca="1">IF('Current Char Stats'!$A21="","",'Current Char Stats'!$E21)</f>
        <v>0</v>
      </c>
      <c r="G152" s="18">
        <f ca="1">IF('Current Char Stats'!$A21="","",'Current Char Stats'!$F21)</f>
        <v>0</v>
      </c>
      <c r="H152" s="18">
        <f ca="1">IF('Current Char Stats'!$A21="","",'Current Char Stats'!$G21)</f>
        <v>0</v>
      </c>
      <c r="I152" s="18">
        <f ca="1">IF('Current Char Stats'!$A21="","",'Current Char Stats'!$H21)</f>
        <v>0</v>
      </c>
      <c r="J152" s="18">
        <f ca="1">IF('Current Char Stats'!$A21="","",'Current Char Stats'!$I21)</f>
        <v>0</v>
      </c>
      <c r="K152" s="18">
        <f ca="1">IF('Current Char Stats'!$A21="","",'Current Char Stats'!$J21)</f>
        <v>0</v>
      </c>
      <c r="L152" s="18" t="str">
        <f ca="1">IF('Current Char Stats'!$A21="","",'Current Char Stats'!$K21)</f>
        <v/>
      </c>
      <c r="M152" s="18">
        <f ca="1">IF('Current Char Stats'!$A21="","",'Current Char Stats'!$L21)</f>
        <v>0</v>
      </c>
      <c r="N152" s="18">
        <f ca="1">IF('Current Char Stats'!$A21="","",'Current Char Stats'!$M21)</f>
        <v>0</v>
      </c>
      <c r="O152" s="18">
        <f ca="1">IF('Current Char Stats'!$A21="","",'Current Char Stats'!$N21)</f>
        <v>0</v>
      </c>
      <c r="P152" s="18">
        <f ca="1">IF('Current Char Stats'!$A21="","",'Current Char Stats'!$O21)</f>
        <v>0</v>
      </c>
      <c r="Q152" s="18">
        <f ca="1">IF('Current Char Stats'!$A21="","",'Current Char Stats'!$P21)</f>
        <v>0</v>
      </c>
      <c r="R152" s="18">
        <f ca="1">IF('Current Char Stats'!$A21="","",'Current Char Stats'!$Q21)</f>
        <v>0</v>
      </c>
      <c r="S152" s="18">
        <f ca="1">IF('Current Char Stats'!$A21="","",'Current Char Stats'!$R21)</f>
        <v>0</v>
      </c>
      <c r="T152" s="18">
        <f ca="1">IF('Current Char Stats'!$A21="","",'Current Char Stats'!$S21)</f>
        <v>0</v>
      </c>
      <c r="U152" s="18">
        <f ca="1">IF('Current Char Stats'!$A21="","",'Current Char Stats'!$T21)</f>
        <v>0</v>
      </c>
      <c r="V152" s="18">
        <f ca="1">IF('Current Char Stats'!$A21="","",'Current Char Stats'!$U21)</f>
        <v>0</v>
      </c>
      <c r="W152" s="18">
        <f ca="1">IF('Current Char Stats'!$A21="","",'Current Char Stats'!$V21)</f>
        <v>0</v>
      </c>
      <c r="X152" s="18">
        <f ca="1">IF('Current Char Stats'!$A21="","",'Current Char Stats'!$W21)</f>
        <v>0</v>
      </c>
      <c r="Y152" s="18">
        <f ca="1">IF('Current Char Stats'!$A21="","",'Current Char Stats'!$X21)</f>
        <v>0</v>
      </c>
      <c r="Z152" s="18">
        <f ca="1">IF('Current Char Stats'!$A21="","",'Current Char Stats'!$Y21)</f>
        <v>0</v>
      </c>
      <c r="AA152" s="18">
        <f ca="1">IF('Current Char Stats'!$A21="","",'Current Char Stats'!$Z21)</f>
        <v>0</v>
      </c>
      <c r="AB152" s="18">
        <f ca="1">IF('Current Char Stats'!$A21="","",'Current Char Stats'!$AA21)</f>
        <v>0</v>
      </c>
      <c r="AC152" s="18">
        <f ca="1">IF('Current Char Stats'!$A21="","",'Current Char Stats'!$AB21)</f>
        <v>0</v>
      </c>
      <c r="AD152" s="18">
        <f ca="1">IF('Current Char Stats'!$A21="","",'Current Char Stats'!$AC21)</f>
        <v>0</v>
      </c>
      <c r="AE152" s="18">
        <f ca="1">IF('Current Char Stats'!$A21="","",'Current Char Stats'!$AD21)</f>
        <v>0</v>
      </c>
      <c r="AF152" s="18">
        <f ca="1">IF('Current Char Stats'!$A21="","",'Current Char Stats'!$AE21)</f>
        <v>0</v>
      </c>
    </row>
    <row r="153" spans="1:32">
      <c r="A153" s="18">
        <f ca="1">IF('Current Char Stats'!$A22="","",Settings!$B$2)</f>
        <v>1</v>
      </c>
      <c r="B153" s="117" t="str">
        <f ca="1">IF('Current Char Stats'!$A22="","",'Current Char Stats'!$A22)</f>
        <v>Aidan</v>
      </c>
      <c r="C153" s="18" t="str">
        <f ca="1">IF('Current Char Stats'!$A22="","",'Current Char Stats'!$B22)</f>
        <v>Dark Bones</v>
      </c>
      <c r="D153" s="18" t="str">
        <f ca="1">IF('Current Char Stats'!$A22="","",'Current Char Stats'!$C22)</f>
        <v>G2</v>
      </c>
      <c r="E153" s="18">
        <f ca="1">IF('Current Char Stats'!$A22="","",'Current Char Stats'!$D22)</f>
        <v>2</v>
      </c>
      <c r="F153" s="18">
        <f ca="1">IF('Current Char Stats'!$A22="","",'Current Char Stats'!$E22)</f>
        <v>0</v>
      </c>
      <c r="G153" s="18">
        <f ca="1">IF('Current Char Stats'!$A22="","",'Current Char Stats'!$F22)</f>
        <v>0</v>
      </c>
      <c r="H153" s="18">
        <f ca="1">IF('Current Char Stats'!$A22="","",'Current Char Stats'!$G22)</f>
        <v>0</v>
      </c>
      <c r="I153" s="18">
        <f ca="1">IF('Current Char Stats'!$A22="","",'Current Char Stats'!$H22)</f>
        <v>0</v>
      </c>
      <c r="J153" s="18">
        <f ca="1">IF('Current Char Stats'!$A22="","",'Current Char Stats'!$I22)</f>
        <v>0</v>
      </c>
      <c r="K153" s="18">
        <f ca="1">IF('Current Char Stats'!$A22="","",'Current Char Stats'!$J22)</f>
        <v>0</v>
      </c>
      <c r="L153" s="18" t="str">
        <f ca="1">IF('Current Char Stats'!$A22="","",'Current Char Stats'!$K22)</f>
        <v/>
      </c>
      <c r="M153" s="18">
        <f ca="1">IF('Current Char Stats'!$A22="","",'Current Char Stats'!$L22)</f>
        <v>0</v>
      </c>
      <c r="N153" s="18">
        <f ca="1">IF('Current Char Stats'!$A22="","",'Current Char Stats'!$M22)</f>
        <v>0</v>
      </c>
      <c r="O153" s="18">
        <f ca="1">IF('Current Char Stats'!$A22="","",'Current Char Stats'!$N22)</f>
        <v>0</v>
      </c>
      <c r="P153" s="18">
        <f ca="1">IF('Current Char Stats'!$A22="","",'Current Char Stats'!$O22)</f>
        <v>0</v>
      </c>
      <c r="Q153" s="18">
        <f ca="1">IF('Current Char Stats'!$A22="","",'Current Char Stats'!$P22)</f>
        <v>0</v>
      </c>
      <c r="R153" s="18">
        <f ca="1">IF('Current Char Stats'!$A22="","",'Current Char Stats'!$Q22)</f>
        <v>0</v>
      </c>
      <c r="S153" s="18">
        <f ca="1">IF('Current Char Stats'!$A22="","",'Current Char Stats'!$R22)</f>
        <v>0</v>
      </c>
      <c r="T153" s="18">
        <f ca="1">IF('Current Char Stats'!$A22="","",'Current Char Stats'!$S22)</f>
        <v>0</v>
      </c>
      <c r="U153" s="18">
        <f ca="1">IF('Current Char Stats'!$A22="","",'Current Char Stats'!$T22)</f>
        <v>0</v>
      </c>
      <c r="V153" s="18">
        <f ca="1">IF('Current Char Stats'!$A22="","",'Current Char Stats'!$U22)</f>
        <v>0</v>
      </c>
      <c r="W153" s="18">
        <f ca="1">IF('Current Char Stats'!$A22="","",'Current Char Stats'!$V22)</f>
        <v>0</v>
      </c>
      <c r="X153" s="18">
        <f ca="1">IF('Current Char Stats'!$A22="","",'Current Char Stats'!$W22)</f>
        <v>0</v>
      </c>
      <c r="Y153" s="18">
        <f ca="1">IF('Current Char Stats'!$A22="","",'Current Char Stats'!$X22)</f>
        <v>0</v>
      </c>
      <c r="Z153" s="18">
        <f ca="1">IF('Current Char Stats'!$A22="","",'Current Char Stats'!$Y22)</f>
        <v>0</v>
      </c>
      <c r="AA153" s="18">
        <f ca="1">IF('Current Char Stats'!$A22="","",'Current Char Stats'!$Z22)</f>
        <v>0</v>
      </c>
      <c r="AB153" s="18">
        <f ca="1">IF('Current Char Stats'!$A22="","",'Current Char Stats'!$AA22)</f>
        <v>0</v>
      </c>
      <c r="AC153" s="18">
        <f ca="1">IF('Current Char Stats'!$A22="","",'Current Char Stats'!$AB22)</f>
        <v>0</v>
      </c>
      <c r="AD153" s="18">
        <f ca="1">IF('Current Char Stats'!$A22="","",'Current Char Stats'!$AC22)</f>
        <v>0</v>
      </c>
      <c r="AE153" s="18">
        <f ca="1">IF('Current Char Stats'!$A22="","",'Current Char Stats'!$AD22)</f>
        <v>0</v>
      </c>
      <c r="AF153" s="18">
        <f ca="1">IF('Current Char Stats'!$A22="","",'Current Char Stats'!$AE22)</f>
        <v>0</v>
      </c>
    </row>
    <row r="154" spans="1:32">
      <c r="A154" s="18">
        <f ca="1">IF('Current Char Stats'!$A23="","",Settings!$B$2)</f>
        <v>1</v>
      </c>
      <c r="B154" s="117" t="str">
        <f ca="1">IF('Current Char Stats'!$A23="","",'Current Char Stats'!$A23)</f>
        <v>Aidan</v>
      </c>
      <c r="C154" s="18" t="str">
        <f ca="1">IF('Current Char Stats'!$A23="","",'Current Char Stats'!$B23)</f>
        <v>Blue Pianta</v>
      </c>
      <c r="D154" s="18" t="str">
        <f ca="1">IF('Current Char Stats'!$A23="","",'Current Char Stats'!$C23)</f>
        <v>G2</v>
      </c>
      <c r="E154" s="18">
        <f ca="1">IF('Current Char Stats'!$A23="","",'Current Char Stats'!$D23)</f>
        <v>2</v>
      </c>
      <c r="F154" s="18">
        <f ca="1">IF('Current Char Stats'!$A23="","",'Current Char Stats'!$E23)</f>
        <v>0</v>
      </c>
      <c r="G154" s="18">
        <f ca="1">IF('Current Char Stats'!$A23="","",'Current Char Stats'!$F23)</f>
        <v>0</v>
      </c>
      <c r="H154" s="18">
        <f ca="1">IF('Current Char Stats'!$A23="","",'Current Char Stats'!$G23)</f>
        <v>0</v>
      </c>
      <c r="I154" s="18">
        <f ca="1">IF('Current Char Stats'!$A23="","",'Current Char Stats'!$H23)</f>
        <v>0</v>
      </c>
      <c r="J154" s="18">
        <f ca="1">IF('Current Char Stats'!$A23="","",'Current Char Stats'!$I23)</f>
        <v>0</v>
      </c>
      <c r="K154" s="18">
        <f ca="1">IF('Current Char Stats'!$A23="","",'Current Char Stats'!$J23)</f>
        <v>0</v>
      </c>
      <c r="L154" s="18" t="str">
        <f ca="1">IF('Current Char Stats'!$A23="","",'Current Char Stats'!$K23)</f>
        <v/>
      </c>
      <c r="M154" s="18">
        <f ca="1">IF('Current Char Stats'!$A23="","",'Current Char Stats'!$L23)</f>
        <v>0</v>
      </c>
      <c r="N154" s="18">
        <f ca="1">IF('Current Char Stats'!$A23="","",'Current Char Stats'!$M23)</f>
        <v>0</v>
      </c>
      <c r="O154" s="18">
        <f ca="1">IF('Current Char Stats'!$A23="","",'Current Char Stats'!$N23)</f>
        <v>0</v>
      </c>
      <c r="P154" s="18">
        <f ca="1">IF('Current Char Stats'!$A23="","",'Current Char Stats'!$O23)</f>
        <v>0</v>
      </c>
      <c r="Q154" s="18">
        <f ca="1">IF('Current Char Stats'!$A23="","",'Current Char Stats'!$P23)</f>
        <v>0</v>
      </c>
      <c r="R154" s="18">
        <f ca="1">IF('Current Char Stats'!$A23="","",'Current Char Stats'!$Q23)</f>
        <v>0</v>
      </c>
      <c r="S154" s="18">
        <f ca="1">IF('Current Char Stats'!$A23="","",'Current Char Stats'!$R23)</f>
        <v>1</v>
      </c>
      <c r="T154" s="18">
        <f ca="1">IF('Current Char Stats'!$A23="","",'Current Char Stats'!$S23)</f>
        <v>0</v>
      </c>
      <c r="U154" s="18">
        <f ca="1">IF('Current Char Stats'!$A23="","",'Current Char Stats'!$T23)</f>
        <v>0</v>
      </c>
      <c r="V154" s="18">
        <f ca="1">IF('Current Char Stats'!$A23="","",'Current Char Stats'!$U23)</f>
        <v>0</v>
      </c>
      <c r="W154" s="18">
        <f ca="1">IF('Current Char Stats'!$A23="","",'Current Char Stats'!$V23)</f>
        <v>0</v>
      </c>
      <c r="X154" s="18">
        <f ca="1">IF('Current Char Stats'!$A23="","",'Current Char Stats'!$W23)</f>
        <v>0</v>
      </c>
      <c r="Y154" s="18">
        <f ca="1">IF('Current Char Stats'!$A23="","",'Current Char Stats'!$X23)</f>
        <v>0</v>
      </c>
      <c r="Z154" s="18">
        <f ca="1">IF('Current Char Stats'!$A23="","",'Current Char Stats'!$Y23)</f>
        <v>0</v>
      </c>
      <c r="AA154" s="18">
        <f ca="1">IF('Current Char Stats'!$A23="","",'Current Char Stats'!$Z23)</f>
        <v>0</v>
      </c>
      <c r="AB154" s="18">
        <f ca="1">IF('Current Char Stats'!$A23="","",'Current Char Stats'!$AA23)</f>
        <v>0</v>
      </c>
      <c r="AC154" s="18">
        <f ca="1">IF('Current Char Stats'!$A23="","",'Current Char Stats'!$AB23)</f>
        <v>0</v>
      </c>
      <c r="AD154" s="18">
        <f ca="1">IF('Current Char Stats'!$A23="","",'Current Char Stats'!$AC23)</f>
        <v>0</v>
      </c>
      <c r="AE154" s="18">
        <f ca="1">IF('Current Char Stats'!$A23="","",'Current Char Stats'!$AD23)</f>
        <v>0</v>
      </c>
      <c r="AF154" s="18">
        <f ca="1">IF('Current Char Stats'!$A23="","",'Current Char Stats'!$AE23)</f>
        <v>0</v>
      </c>
    </row>
    <row r="155" spans="1:32">
      <c r="A155" s="18">
        <f ca="1">IF('Current Char Stats'!$A24="","",Settings!$B$2)</f>
        <v>1</v>
      </c>
      <c r="B155" s="117" t="str">
        <f ca="1">IF('Current Char Stats'!$A24="","",'Current Char Stats'!$A24)</f>
        <v>Aidan</v>
      </c>
      <c r="C155" s="18" t="str">
        <f ca="1">IF('Current Char Stats'!$A24="","",'Current Char Stats'!$B24)</f>
        <v>Mario</v>
      </c>
      <c r="D155" s="18" t="str">
        <f ca="1">IF('Current Char Stats'!$A24="","",'Current Char Stats'!$C24)</f>
        <v>G2</v>
      </c>
      <c r="E155" s="18">
        <f ca="1">IF('Current Char Stats'!$A24="","",'Current Char Stats'!$D24)</f>
        <v>2</v>
      </c>
      <c r="F155" s="18">
        <f ca="1">IF('Current Char Stats'!$A24="","",'Current Char Stats'!$E24)</f>
        <v>2</v>
      </c>
      <c r="G155" s="18">
        <f ca="1">IF('Current Char Stats'!$A24="","",'Current Char Stats'!$F24)</f>
        <v>1</v>
      </c>
      <c r="H155" s="18">
        <f ca="1">IF('Current Char Stats'!$A24="","",'Current Char Stats'!$G24)</f>
        <v>0</v>
      </c>
      <c r="I155" s="18">
        <f ca="1">IF('Current Char Stats'!$A24="","",'Current Char Stats'!$H24)</f>
        <v>0</v>
      </c>
      <c r="J155" s="18">
        <f ca="1">IF('Current Char Stats'!$A24="","",'Current Char Stats'!$I24)</f>
        <v>0</v>
      </c>
      <c r="K155" s="18">
        <f ca="1">IF('Current Char Stats'!$A24="","",'Current Char Stats'!$J24)</f>
        <v>0</v>
      </c>
      <c r="L155" s="18" t="str">
        <f ca="1">IF('Current Char Stats'!$A24="","",'Current Char Stats'!$K24)</f>
        <v/>
      </c>
      <c r="M155" s="18">
        <f ca="1">IF('Current Char Stats'!$A24="","",'Current Char Stats'!$L24)</f>
        <v>0</v>
      </c>
      <c r="N155" s="18">
        <f ca="1">IF('Current Char Stats'!$A24="","",'Current Char Stats'!$M24)</f>
        <v>0</v>
      </c>
      <c r="O155" s="18">
        <f ca="1">IF('Current Char Stats'!$A24="","",'Current Char Stats'!$N24)</f>
        <v>1</v>
      </c>
      <c r="P155" s="18">
        <f ca="1">IF('Current Char Stats'!$A24="","",'Current Char Stats'!$O24)</f>
        <v>0</v>
      </c>
      <c r="Q155" s="18">
        <f ca="1">IF('Current Char Stats'!$A24="","",'Current Char Stats'!$P24)</f>
        <v>0</v>
      </c>
      <c r="R155" s="18">
        <f ca="1">IF('Current Char Stats'!$A24="","",'Current Char Stats'!$Q24)</f>
        <v>0</v>
      </c>
      <c r="S155" s="18">
        <f ca="1">IF('Current Char Stats'!$A24="","",'Current Char Stats'!$R24)</f>
        <v>0</v>
      </c>
      <c r="T155" s="18">
        <f ca="1">IF('Current Char Stats'!$A24="","",'Current Char Stats'!$S24)</f>
        <v>0</v>
      </c>
      <c r="U155" s="18">
        <f ca="1">IF('Current Char Stats'!$A24="","",'Current Char Stats'!$T24)</f>
        <v>0</v>
      </c>
      <c r="V155" s="18">
        <f ca="1">IF('Current Char Stats'!$A24="","",'Current Char Stats'!$U24)</f>
        <v>0</v>
      </c>
      <c r="W155" s="18">
        <f ca="1">IF('Current Char Stats'!$A24="","",'Current Char Stats'!$V24)</f>
        <v>0</v>
      </c>
      <c r="X155" s="18">
        <f ca="1">IF('Current Char Stats'!$A24="","",'Current Char Stats'!$W24)</f>
        <v>0</v>
      </c>
      <c r="Y155" s="18">
        <f ca="1">IF('Current Char Stats'!$A24="","",'Current Char Stats'!$X24)</f>
        <v>0</v>
      </c>
      <c r="Z155" s="18">
        <f ca="1">IF('Current Char Stats'!$A24="","",'Current Char Stats'!$Y24)</f>
        <v>0</v>
      </c>
      <c r="AA155" s="18">
        <f ca="1">IF('Current Char Stats'!$A24="","",'Current Char Stats'!$Z24)</f>
        <v>0</v>
      </c>
      <c r="AB155" s="18">
        <f ca="1">IF('Current Char Stats'!$A24="","",'Current Char Stats'!$AA24)</f>
        <v>0</v>
      </c>
      <c r="AC155" s="18">
        <f ca="1">IF('Current Char Stats'!$A24="","",'Current Char Stats'!$AB24)</f>
        <v>0</v>
      </c>
      <c r="AD155" s="18">
        <f ca="1">IF('Current Char Stats'!$A24="","",'Current Char Stats'!$AC24)</f>
        <v>0</v>
      </c>
      <c r="AE155" s="18">
        <f ca="1">IF('Current Char Stats'!$A24="","",'Current Char Stats'!$AD24)</f>
        <v>0</v>
      </c>
      <c r="AF155" s="18">
        <f ca="1">IF('Current Char Stats'!$A24="","",'Current Char Stats'!$AE24)</f>
        <v>0</v>
      </c>
    </row>
    <row r="156" spans="1:32">
      <c r="A156" s="18">
        <f ca="1">IF('Current Char Stats'!$A25="","",Settings!$B$2)</f>
        <v>1</v>
      </c>
      <c r="B156" s="117" t="str">
        <f ca="1">IF('Current Char Stats'!$A25="","",'Current Char Stats'!$A25)</f>
        <v>Aidan</v>
      </c>
      <c r="C156" s="18" t="str">
        <f ca="1">IF('Current Char Stats'!$A25="","",'Current Char Stats'!$B25)</f>
        <v>Yellow Pianta</v>
      </c>
      <c r="D156" s="18" t="str">
        <f ca="1">IF('Current Char Stats'!$A25="","",'Current Char Stats'!$C25)</f>
        <v>G2</v>
      </c>
      <c r="E156" s="18">
        <f ca="1">IF('Current Char Stats'!$A25="","",'Current Char Stats'!$D25)</f>
        <v>2</v>
      </c>
      <c r="F156" s="18">
        <f ca="1">IF('Current Char Stats'!$A25="","",'Current Char Stats'!$E25)</f>
        <v>1</v>
      </c>
      <c r="G156" s="18">
        <f ca="1">IF('Current Char Stats'!$A25="","",'Current Char Stats'!$F25)</f>
        <v>0.5</v>
      </c>
      <c r="H156" s="18">
        <f ca="1">IF('Current Char Stats'!$A25="","",'Current Char Stats'!$G25)</f>
        <v>1</v>
      </c>
      <c r="I156" s="18">
        <f ca="1">IF('Current Char Stats'!$A25="","",'Current Char Stats'!$H25)</f>
        <v>1</v>
      </c>
      <c r="J156" s="18">
        <f ca="1">IF('Current Char Stats'!$A25="","",'Current Char Stats'!$I25)</f>
        <v>0</v>
      </c>
      <c r="K156" s="18">
        <f ca="1">IF('Current Char Stats'!$A25="","",'Current Char Stats'!$J25)</f>
        <v>0</v>
      </c>
      <c r="L156" s="18" t="str">
        <f ca="1">IF('Current Char Stats'!$A25="","",'Current Char Stats'!$K25)</f>
        <v/>
      </c>
      <c r="M156" s="18">
        <f ca="1">IF('Current Char Stats'!$A25="","",'Current Char Stats'!$L25)</f>
        <v>1</v>
      </c>
      <c r="N156" s="18">
        <f ca="1">IF('Current Char Stats'!$A25="","",'Current Char Stats'!$M25)</f>
        <v>0</v>
      </c>
      <c r="O156" s="18">
        <f ca="1">IF('Current Char Stats'!$A25="","",'Current Char Stats'!$N25)</f>
        <v>1</v>
      </c>
      <c r="P156" s="18">
        <f ca="1">IF('Current Char Stats'!$A25="","",'Current Char Stats'!$O25)</f>
        <v>0</v>
      </c>
      <c r="Q156" s="18">
        <f ca="1">IF('Current Char Stats'!$A25="","",'Current Char Stats'!$P25)</f>
        <v>0</v>
      </c>
      <c r="R156" s="18">
        <f ca="1">IF('Current Char Stats'!$A25="","",'Current Char Stats'!$Q25)</f>
        <v>0</v>
      </c>
      <c r="S156" s="18">
        <f ca="1">IF('Current Char Stats'!$A25="","",'Current Char Stats'!$R25)</f>
        <v>0</v>
      </c>
      <c r="T156" s="18">
        <f ca="1">IF('Current Char Stats'!$A25="","",'Current Char Stats'!$S25)</f>
        <v>0</v>
      </c>
      <c r="U156" s="18">
        <f ca="1">IF('Current Char Stats'!$A25="","",'Current Char Stats'!$T25)</f>
        <v>0</v>
      </c>
      <c r="V156" s="18">
        <f ca="1">IF('Current Char Stats'!$A25="","",'Current Char Stats'!$U25)</f>
        <v>0</v>
      </c>
      <c r="W156" s="18">
        <f ca="1">IF('Current Char Stats'!$A25="","",'Current Char Stats'!$V25)</f>
        <v>0</v>
      </c>
      <c r="X156" s="18">
        <f ca="1">IF('Current Char Stats'!$A25="","",'Current Char Stats'!$W25)</f>
        <v>0</v>
      </c>
      <c r="Y156" s="18">
        <f ca="1">IF('Current Char Stats'!$A25="","",'Current Char Stats'!$X25)</f>
        <v>0</v>
      </c>
      <c r="Z156" s="18">
        <f ca="1">IF('Current Char Stats'!$A25="","",'Current Char Stats'!$Y25)</f>
        <v>0</v>
      </c>
      <c r="AA156" s="18">
        <f ca="1">IF('Current Char Stats'!$A25="","",'Current Char Stats'!$Z25)</f>
        <v>0</v>
      </c>
      <c r="AB156" s="18">
        <f ca="1">IF('Current Char Stats'!$A25="","",'Current Char Stats'!$AA25)</f>
        <v>0</v>
      </c>
      <c r="AC156" s="18">
        <f ca="1">IF('Current Char Stats'!$A25="","",'Current Char Stats'!$AB25)</f>
        <v>0</v>
      </c>
      <c r="AD156" s="18">
        <f ca="1">IF('Current Char Stats'!$A25="","",'Current Char Stats'!$AC25)</f>
        <v>0</v>
      </c>
      <c r="AE156" s="18">
        <f ca="1">IF('Current Char Stats'!$A25="","",'Current Char Stats'!$AD25)</f>
        <v>0</v>
      </c>
      <c r="AF156" s="18">
        <f ca="1">IF('Current Char Stats'!$A25="","",'Current Char Stats'!$AE25)</f>
        <v>0</v>
      </c>
    </row>
    <row r="157" spans="1:32">
      <c r="A157" s="18">
        <f ca="1">IF('Current Char Stats'!$A26="","",Settings!$B$2)</f>
        <v>1</v>
      </c>
      <c r="B157" s="117" t="str">
        <f ca="1">IF('Current Char Stats'!$A26="","",'Current Char Stats'!$A26)</f>
        <v>Aidan</v>
      </c>
      <c r="C157" s="18" t="str">
        <f ca="1">IF('Current Char Stats'!$A26="","",'Current Char Stats'!$B26)</f>
        <v>Blue Kritter</v>
      </c>
      <c r="D157" s="18" t="str">
        <f ca="1">IF('Current Char Stats'!$A26="","",'Current Char Stats'!$C26)</f>
        <v>G2</v>
      </c>
      <c r="E157" s="18">
        <f ca="1">IF('Current Char Stats'!$A26="","",'Current Char Stats'!$D26)</f>
        <v>1</v>
      </c>
      <c r="F157" s="18">
        <f ca="1">IF('Current Char Stats'!$A26="","",'Current Char Stats'!$E26)</f>
        <v>1</v>
      </c>
      <c r="G157" s="18">
        <f ca="1">IF('Current Char Stats'!$A26="","",'Current Char Stats'!$F26)</f>
        <v>1</v>
      </c>
      <c r="H157" s="18">
        <f ca="1">IF('Current Char Stats'!$A26="","",'Current Char Stats'!$G26)</f>
        <v>0</v>
      </c>
      <c r="I157" s="18">
        <f ca="1">IF('Current Char Stats'!$A26="","",'Current Char Stats'!$H26)</f>
        <v>0</v>
      </c>
      <c r="J157" s="18">
        <f ca="1">IF('Current Char Stats'!$A26="","",'Current Char Stats'!$I26)</f>
        <v>1</v>
      </c>
      <c r="K157" s="18">
        <f ca="1">IF('Current Char Stats'!$A26="","",'Current Char Stats'!$J26)</f>
        <v>1</v>
      </c>
      <c r="L157" s="18">
        <f ca="1">IF('Current Char Stats'!$A26="","",'Current Char Stats'!$K26)</f>
        <v>9</v>
      </c>
      <c r="M157" s="18">
        <f ca="1">IF('Current Char Stats'!$A26="","",'Current Char Stats'!$L26)</f>
        <v>0</v>
      </c>
      <c r="N157" s="18">
        <f ca="1">IF('Current Char Stats'!$A26="","",'Current Char Stats'!$M26)</f>
        <v>0</v>
      </c>
      <c r="O157" s="18">
        <f ca="1">IF('Current Char Stats'!$A26="","",'Current Char Stats'!$N26)</f>
        <v>1</v>
      </c>
      <c r="P157" s="18">
        <f ca="1">IF('Current Char Stats'!$A26="","",'Current Char Stats'!$O26)</f>
        <v>0</v>
      </c>
      <c r="Q157" s="18">
        <f ca="1">IF('Current Char Stats'!$A26="","",'Current Char Stats'!$P26)</f>
        <v>1</v>
      </c>
      <c r="R157" s="18">
        <f ca="1">IF('Current Char Stats'!$A26="","",'Current Char Stats'!$Q26)</f>
        <v>0</v>
      </c>
      <c r="S157" s="18">
        <f ca="1">IF('Current Char Stats'!$A26="","",'Current Char Stats'!$R26)</f>
        <v>0</v>
      </c>
      <c r="T157" s="18">
        <f ca="1">IF('Current Char Stats'!$A26="","",'Current Char Stats'!$S26)</f>
        <v>0</v>
      </c>
      <c r="U157" s="18">
        <f ca="1">IF('Current Char Stats'!$A26="","",'Current Char Stats'!$T26)</f>
        <v>0</v>
      </c>
      <c r="V157" s="18">
        <f ca="1">IF('Current Char Stats'!$A26="","",'Current Char Stats'!$U26)</f>
        <v>0</v>
      </c>
      <c r="W157" s="18">
        <f ca="1">IF('Current Char Stats'!$A26="","",'Current Char Stats'!$V26)</f>
        <v>2</v>
      </c>
      <c r="X157" s="18">
        <f ca="1">IF('Current Char Stats'!$A26="","",'Current Char Stats'!$W26)</f>
        <v>1</v>
      </c>
      <c r="Y157" s="18">
        <f ca="1">IF('Current Char Stats'!$A26="","",'Current Char Stats'!$X26)</f>
        <v>0</v>
      </c>
      <c r="Z157" s="18">
        <f ca="1">IF('Current Char Stats'!$A26="","",'Current Char Stats'!$Y26)</f>
        <v>2</v>
      </c>
      <c r="AA157" s="18">
        <f ca="1">IF('Current Char Stats'!$A26="","",'Current Char Stats'!$Z26)</f>
        <v>1</v>
      </c>
      <c r="AB157" s="18">
        <f ca="1">IF('Current Char Stats'!$A26="","",'Current Char Stats'!$AA26)</f>
        <v>1</v>
      </c>
      <c r="AC157" s="18">
        <f ca="1">IF('Current Char Stats'!$A26="","",'Current Char Stats'!$AB26)</f>
        <v>0</v>
      </c>
      <c r="AD157" s="18">
        <f ca="1">IF('Current Char Stats'!$A26="","",'Current Char Stats'!$AC26)</f>
        <v>0</v>
      </c>
      <c r="AE157" s="18">
        <f ca="1">IF('Current Char Stats'!$A26="","",'Current Char Stats'!$AD26)</f>
        <v>2</v>
      </c>
      <c r="AF157" s="18">
        <f ca="1">IF('Current Char Stats'!$A26="","",'Current Char Stats'!$AE26)</f>
        <v>5</v>
      </c>
    </row>
    <row r="158" spans="1:32">
      <c r="A158" s="18">
        <f ca="1">IF('Current Char Stats'!$A27="","",Settings!$B$2)</f>
        <v>1</v>
      </c>
      <c r="B158" s="117" t="str">
        <f ca="1">IF('Current Char Stats'!$A27="","",'Current Char Stats'!$A27)</f>
        <v>Aidan</v>
      </c>
      <c r="C158" s="18" t="str">
        <f ca="1">IF('Current Char Stats'!$A27="","",'Current Char Stats'!$B27)</f>
        <v>Luigi</v>
      </c>
      <c r="D158" s="18" t="str">
        <f ca="1">IF('Current Char Stats'!$A27="","",'Current Char Stats'!$C27)</f>
        <v>G2</v>
      </c>
      <c r="E158" s="18">
        <f ca="1">IF('Current Char Stats'!$A27="","",'Current Char Stats'!$D27)</f>
        <v>1</v>
      </c>
      <c r="F158" s="18">
        <f ca="1">IF('Current Char Stats'!$A27="","",'Current Char Stats'!$E27)</f>
        <v>1</v>
      </c>
      <c r="G158" s="18">
        <f ca="1">IF('Current Char Stats'!$A27="","",'Current Char Stats'!$F27)</f>
        <v>1</v>
      </c>
      <c r="H158" s="18">
        <f ca="1">IF('Current Char Stats'!$A27="","",'Current Char Stats'!$G27)</f>
        <v>0</v>
      </c>
      <c r="I158" s="18">
        <f ca="1">IF('Current Char Stats'!$A27="","",'Current Char Stats'!$H27)</f>
        <v>1</v>
      </c>
      <c r="J158" s="18">
        <f ca="1">IF('Current Char Stats'!$A27="","",'Current Char Stats'!$I27)</f>
        <v>0</v>
      </c>
      <c r="K158" s="18">
        <f ca="1">IF('Current Char Stats'!$A27="","",'Current Char Stats'!$J27)</f>
        <v>0</v>
      </c>
      <c r="L158" s="18" t="str">
        <f ca="1">IF('Current Char Stats'!$A27="","",'Current Char Stats'!$K27)</f>
        <v/>
      </c>
      <c r="M158" s="18">
        <f ca="1">IF('Current Char Stats'!$A27="","",'Current Char Stats'!$L27)</f>
        <v>0</v>
      </c>
      <c r="N158" s="18">
        <f ca="1">IF('Current Char Stats'!$A27="","",'Current Char Stats'!$M27)</f>
        <v>0</v>
      </c>
      <c r="O158" s="18">
        <f ca="1">IF('Current Char Stats'!$A27="","",'Current Char Stats'!$N27)</f>
        <v>1</v>
      </c>
      <c r="P158" s="18">
        <f ca="1">IF('Current Char Stats'!$A27="","",'Current Char Stats'!$O27)</f>
        <v>0</v>
      </c>
      <c r="Q158" s="18">
        <f ca="1">IF('Current Char Stats'!$A27="","",'Current Char Stats'!$P27)</f>
        <v>0</v>
      </c>
      <c r="R158" s="18">
        <f ca="1">IF('Current Char Stats'!$A27="","",'Current Char Stats'!$Q27)</f>
        <v>0</v>
      </c>
      <c r="S158" s="18">
        <f ca="1">IF('Current Char Stats'!$A27="","",'Current Char Stats'!$R27)</f>
        <v>0</v>
      </c>
      <c r="T158" s="18">
        <f ca="1">IF('Current Char Stats'!$A27="","",'Current Char Stats'!$S27)</f>
        <v>0</v>
      </c>
      <c r="U158" s="18">
        <f ca="1">IF('Current Char Stats'!$A27="","",'Current Char Stats'!$T27)</f>
        <v>0</v>
      </c>
      <c r="V158" s="18">
        <f ca="1">IF('Current Char Stats'!$A27="","",'Current Char Stats'!$U27)</f>
        <v>0</v>
      </c>
      <c r="W158" s="18">
        <f ca="1">IF('Current Char Stats'!$A27="","",'Current Char Stats'!$V27)</f>
        <v>0</v>
      </c>
      <c r="X158" s="18">
        <f ca="1">IF('Current Char Stats'!$A27="","",'Current Char Stats'!$W27)</f>
        <v>0</v>
      </c>
      <c r="Y158" s="18">
        <f ca="1">IF('Current Char Stats'!$A27="","",'Current Char Stats'!$X27)</f>
        <v>0</v>
      </c>
      <c r="Z158" s="18">
        <f ca="1">IF('Current Char Stats'!$A27="","",'Current Char Stats'!$Y27)</f>
        <v>0</v>
      </c>
      <c r="AA158" s="18">
        <f ca="1">IF('Current Char Stats'!$A27="","",'Current Char Stats'!$Z27)</f>
        <v>0</v>
      </c>
      <c r="AB158" s="18">
        <f ca="1">IF('Current Char Stats'!$A27="","",'Current Char Stats'!$AA27)</f>
        <v>0</v>
      </c>
      <c r="AC158" s="18">
        <f ca="1">IF('Current Char Stats'!$A27="","",'Current Char Stats'!$AB27)</f>
        <v>0</v>
      </c>
      <c r="AD158" s="18">
        <f ca="1">IF('Current Char Stats'!$A27="","",'Current Char Stats'!$AC27)</f>
        <v>0</v>
      </c>
      <c r="AE158" s="18">
        <f ca="1">IF('Current Char Stats'!$A27="","",'Current Char Stats'!$AD27)</f>
        <v>0</v>
      </c>
      <c r="AF158" s="18">
        <f ca="1">IF('Current Char Stats'!$A27="","",'Current Char Stats'!$AE27)</f>
        <v>0</v>
      </c>
    </row>
    <row r="159" spans="1:32">
      <c r="A159" s="18">
        <f ca="1">IF('Current Char Stats'!$A28="","",Settings!$B$2)</f>
        <v>1</v>
      </c>
      <c r="B159" s="117" t="str">
        <f ca="1">IF('Current Char Stats'!$A28="","",'Current Char Stats'!$A28)</f>
        <v>Aidan</v>
      </c>
      <c r="C159" s="18" t="str">
        <f ca="1">IF('Current Char Stats'!$A28="","",'Current Char Stats'!$B28)</f>
        <v>Blue Dry Bones</v>
      </c>
      <c r="D159" s="18" t="str">
        <f ca="1">IF('Current Char Stats'!$A28="","",'Current Char Stats'!$C28)</f>
        <v>G2</v>
      </c>
      <c r="E159" s="18">
        <f ca="1">IF('Current Char Stats'!$A28="","",'Current Char Stats'!$D28)</f>
        <v>1</v>
      </c>
      <c r="F159" s="18">
        <f ca="1">IF('Current Char Stats'!$A28="","",'Current Char Stats'!$E28)</f>
        <v>1</v>
      </c>
      <c r="G159" s="18">
        <f ca="1">IF('Current Char Stats'!$A28="","",'Current Char Stats'!$F28)</f>
        <v>1</v>
      </c>
      <c r="H159" s="18">
        <f ca="1">IF('Current Char Stats'!$A28="","",'Current Char Stats'!$G28)</f>
        <v>1</v>
      </c>
      <c r="I159" s="18">
        <f ca="1">IF('Current Char Stats'!$A28="","",'Current Char Stats'!$H28)</f>
        <v>2</v>
      </c>
      <c r="J159" s="18">
        <f ca="1">IF('Current Char Stats'!$A28="","",'Current Char Stats'!$I28)</f>
        <v>0</v>
      </c>
      <c r="K159" s="18">
        <f ca="1">IF('Current Char Stats'!$A28="","",'Current Char Stats'!$J28)</f>
        <v>0</v>
      </c>
      <c r="L159" s="18" t="str">
        <f ca="1">IF('Current Char Stats'!$A28="","",'Current Char Stats'!$K28)</f>
        <v/>
      </c>
      <c r="M159" s="18">
        <f ca="1">IF('Current Char Stats'!$A28="","",'Current Char Stats'!$L28)</f>
        <v>0</v>
      </c>
      <c r="N159" s="18">
        <f ca="1">IF('Current Char Stats'!$A28="","",'Current Char Stats'!$M28)</f>
        <v>0</v>
      </c>
      <c r="O159" s="18">
        <f ca="1">IF('Current Char Stats'!$A28="","",'Current Char Stats'!$N28)</f>
        <v>1</v>
      </c>
      <c r="P159" s="18">
        <f ca="1">IF('Current Char Stats'!$A28="","",'Current Char Stats'!$O28)</f>
        <v>0</v>
      </c>
      <c r="Q159" s="18">
        <f ca="1">IF('Current Char Stats'!$A28="","",'Current Char Stats'!$P28)</f>
        <v>0</v>
      </c>
      <c r="R159" s="18">
        <f ca="1">IF('Current Char Stats'!$A28="","",'Current Char Stats'!$Q28)</f>
        <v>0</v>
      </c>
      <c r="S159" s="18">
        <f ca="1">IF('Current Char Stats'!$A28="","",'Current Char Stats'!$R28)</f>
        <v>0</v>
      </c>
      <c r="T159" s="18">
        <f ca="1">IF('Current Char Stats'!$A28="","",'Current Char Stats'!$S28)</f>
        <v>0</v>
      </c>
      <c r="U159" s="18">
        <f ca="1">IF('Current Char Stats'!$A28="","",'Current Char Stats'!$T28)</f>
        <v>0</v>
      </c>
      <c r="V159" s="18">
        <f ca="1">IF('Current Char Stats'!$A28="","",'Current Char Stats'!$U28)</f>
        <v>0</v>
      </c>
      <c r="W159" s="18">
        <f ca="1">IF('Current Char Stats'!$A28="","",'Current Char Stats'!$V28)</f>
        <v>0</v>
      </c>
      <c r="X159" s="18">
        <f ca="1">IF('Current Char Stats'!$A28="","",'Current Char Stats'!$W28)</f>
        <v>0</v>
      </c>
      <c r="Y159" s="18">
        <f ca="1">IF('Current Char Stats'!$A28="","",'Current Char Stats'!$X28)</f>
        <v>0</v>
      </c>
      <c r="Z159" s="18">
        <f ca="1">IF('Current Char Stats'!$A28="","",'Current Char Stats'!$Y28)</f>
        <v>0</v>
      </c>
      <c r="AA159" s="18">
        <f ca="1">IF('Current Char Stats'!$A28="","",'Current Char Stats'!$Z28)</f>
        <v>0</v>
      </c>
      <c r="AB159" s="18">
        <f ca="1">IF('Current Char Stats'!$A28="","",'Current Char Stats'!$AA28)</f>
        <v>0</v>
      </c>
      <c r="AC159" s="18">
        <f ca="1">IF('Current Char Stats'!$A28="","",'Current Char Stats'!$AB28)</f>
        <v>0</v>
      </c>
      <c r="AD159" s="18">
        <f ca="1">IF('Current Char Stats'!$A28="","",'Current Char Stats'!$AC28)</f>
        <v>0</v>
      </c>
      <c r="AE159" s="18">
        <f ca="1">IF('Current Char Stats'!$A28="","",'Current Char Stats'!$AD28)</f>
        <v>0</v>
      </c>
      <c r="AF159" s="18">
        <f ca="1">IF('Current Char Stats'!$A28="","",'Current Char Stats'!$AE28)</f>
        <v>0</v>
      </c>
    </row>
    <row r="160" spans="1:32">
      <c r="A160" s="18">
        <f ca="1">IF('Current Char Stats'!$A29="","",Settings!$B$2)</f>
        <v>1</v>
      </c>
      <c r="B160" s="117" t="str">
        <f ca="1">IF('Current Char Stats'!$A29="","",'Current Char Stats'!$A29)</f>
        <v>Aidan</v>
      </c>
      <c r="C160" s="18" t="str">
        <f ca="1">IF('Current Char Stats'!$A29="","",'Current Char Stats'!$B29)</f>
        <v>Red Magikoopa</v>
      </c>
      <c r="D160" s="18" t="str">
        <f ca="1">IF('Current Char Stats'!$A29="","",'Current Char Stats'!$C29)</f>
        <v>G2</v>
      </c>
      <c r="E160" s="18">
        <f ca="1">IF('Current Char Stats'!$A29="","",'Current Char Stats'!$D29)</f>
        <v>1</v>
      </c>
      <c r="F160" s="18">
        <f ca="1">IF('Current Char Stats'!$A29="","",'Current Char Stats'!$E29)</f>
        <v>1</v>
      </c>
      <c r="G160" s="18">
        <f ca="1">IF('Current Char Stats'!$A29="","",'Current Char Stats'!$F29)</f>
        <v>1</v>
      </c>
      <c r="H160" s="18">
        <f ca="1">IF('Current Char Stats'!$A29="","",'Current Char Stats'!$G29)</f>
        <v>0</v>
      </c>
      <c r="I160" s="18">
        <f ca="1">IF('Current Char Stats'!$A29="","",'Current Char Stats'!$H29)</f>
        <v>0</v>
      </c>
      <c r="J160" s="18">
        <f ca="1">IF('Current Char Stats'!$A29="","",'Current Char Stats'!$I29)</f>
        <v>2</v>
      </c>
      <c r="K160" s="18">
        <f ca="1">IF('Current Char Stats'!$A29="","",'Current Char Stats'!$J29)</f>
        <v>2</v>
      </c>
      <c r="L160" s="18">
        <f ca="1">IF('Current Char Stats'!$A29="","",'Current Char Stats'!$K29)</f>
        <v>9</v>
      </c>
      <c r="M160" s="18">
        <f ca="1">IF('Current Char Stats'!$A29="","",'Current Char Stats'!$L29)</f>
        <v>0</v>
      </c>
      <c r="N160" s="18">
        <f ca="1">IF('Current Char Stats'!$A29="","",'Current Char Stats'!$M29)</f>
        <v>0</v>
      </c>
      <c r="O160" s="18">
        <f ca="1">IF('Current Char Stats'!$A29="","",'Current Char Stats'!$N29)</f>
        <v>0</v>
      </c>
      <c r="P160" s="18">
        <f ca="1">IF('Current Char Stats'!$A29="","",'Current Char Stats'!$O29)</f>
        <v>0</v>
      </c>
      <c r="Q160" s="18">
        <f ca="1">IF('Current Char Stats'!$A29="","",'Current Char Stats'!$P29)</f>
        <v>0</v>
      </c>
      <c r="R160" s="18">
        <f ca="1">IF('Current Char Stats'!$A29="","",'Current Char Stats'!$Q29)</f>
        <v>0</v>
      </c>
      <c r="S160" s="18">
        <f ca="1">IF('Current Char Stats'!$A29="","",'Current Char Stats'!$R29)</f>
        <v>0</v>
      </c>
      <c r="T160" s="18">
        <f ca="1">IF('Current Char Stats'!$A29="","",'Current Char Stats'!$S29)</f>
        <v>0</v>
      </c>
      <c r="U160" s="18">
        <f ca="1">IF('Current Char Stats'!$A29="","",'Current Char Stats'!$T29)</f>
        <v>0</v>
      </c>
      <c r="V160" s="18">
        <f ca="1">IF('Current Char Stats'!$A29="","",'Current Char Stats'!$U29)</f>
        <v>0</v>
      </c>
      <c r="W160" s="18">
        <f ca="1">IF('Current Char Stats'!$A29="","",'Current Char Stats'!$V29)</f>
        <v>3</v>
      </c>
      <c r="X160" s="18">
        <f ca="1">IF('Current Char Stats'!$A29="","",'Current Char Stats'!$W29)</f>
        <v>2</v>
      </c>
      <c r="Y160" s="18">
        <f ca="1">IF('Current Char Stats'!$A29="","",'Current Char Stats'!$X29)</f>
        <v>0</v>
      </c>
      <c r="Z160" s="18">
        <f ca="1">IF('Current Char Stats'!$A29="","",'Current Char Stats'!$Y29)</f>
        <v>3</v>
      </c>
      <c r="AA160" s="18">
        <f ca="1">IF('Current Char Stats'!$A29="","",'Current Char Stats'!$Z29)</f>
        <v>2</v>
      </c>
      <c r="AB160" s="18">
        <f ca="1">IF('Current Char Stats'!$A29="","",'Current Char Stats'!$AA29)</f>
        <v>0</v>
      </c>
      <c r="AC160" s="18">
        <f ca="1">IF('Current Char Stats'!$A29="","",'Current Char Stats'!$AB29)</f>
        <v>0</v>
      </c>
      <c r="AD160" s="18">
        <f ca="1">IF('Current Char Stats'!$A29="","",'Current Char Stats'!$AC29)</f>
        <v>0</v>
      </c>
      <c r="AE160" s="18">
        <f ca="1">IF('Current Char Stats'!$A29="","",'Current Char Stats'!$AD29)</f>
        <v>1.5</v>
      </c>
      <c r="AF160" s="18">
        <f ca="1">IF('Current Char Stats'!$A29="","",'Current Char Stats'!$AE29)</f>
        <v>9</v>
      </c>
    </row>
    <row r="161" spans="1:32">
      <c r="A161" s="18">
        <f ca="1">IF('Current Char Stats'!$A30="","",Settings!$B$2)</f>
        <v>1</v>
      </c>
      <c r="B161" s="117" t="str">
        <f ca="1">IF('Current Char Stats'!$A30="","",'Current Char Stats'!$A30)</f>
        <v>Aidan</v>
      </c>
      <c r="C161" s="18" t="str">
        <f ca="1">IF('Current Char Stats'!$A30="","",'Current Char Stats'!$B30)</f>
        <v>Pink Yoshi</v>
      </c>
      <c r="D161" s="18" t="str">
        <f ca="1">IF('Current Char Stats'!$A30="","",'Current Char Stats'!$C30)</f>
        <v>G2</v>
      </c>
      <c r="E161" s="18">
        <f ca="1">IF('Current Char Stats'!$A30="","",'Current Char Stats'!$D30)</f>
        <v>1</v>
      </c>
      <c r="F161" s="18">
        <f ca="1">IF('Current Char Stats'!$A30="","",'Current Char Stats'!$E30)</f>
        <v>0</v>
      </c>
      <c r="G161" s="18">
        <f ca="1">IF('Current Char Stats'!$A30="","",'Current Char Stats'!$F30)</f>
        <v>0</v>
      </c>
      <c r="H161" s="18">
        <f ca="1">IF('Current Char Stats'!$A30="","",'Current Char Stats'!$G30)</f>
        <v>0</v>
      </c>
      <c r="I161" s="18">
        <f ca="1">IF('Current Char Stats'!$A30="","",'Current Char Stats'!$H30)</f>
        <v>0</v>
      </c>
      <c r="J161" s="18">
        <f ca="1">IF('Current Char Stats'!$A30="","",'Current Char Stats'!$I30)</f>
        <v>0</v>
      </c>
      <c r="K161" s="18">
        <f ca="1">IF('Current Char Stats'!$A30="","",'Current Char Stats'!$J30)</f>
        <v>0</v>
      </c>
      <c r="L161" s="18" t="str">
        <f ca="1">IF('Current Char Stats'!$A30="","",'Current Char Stats'!$K30)</f>
        <v/>
      </c>
      <c r="M161" s="18">
        <f ca="1">IF('Current Char Stats'!$A30="","",'Current Char Stats'!$L30)</f>
        <v>0</v>
      </c>
      <c r="N161" s="18">
        <f ca="1">IF('Current Char Stats'!$A30="","",'Current Char Stats'!$M30)</f>
        <v>0</v>
      </c>
      <c r="O161" s="18">
        <f ca="1">IF('Current Char Stats'!$A30="","",'Current Char Stats'!$N30)</f>
        <v>0</v>
      </c>
      <c r="P161" s="18">
        <f ca="1">IF('Current Char Stats'!$A30="","",'Current Char Stats'!$O30)</f>
        <v>0</v>
      </c>
      <c r="Q161" s="18">
        <f ca="1">IF('Current Char Stats'!$A30="","",'Current Char Stats'!$P30)</f>
        <v>0</v>
      </c>
      <c r="R161" s="18">
        <f ca="1">IF('Current Char Stats'!$A30="","",'Current Char Stats'!$Q30)</f>
        <v>0</v>
      </c>
      <c r="S161" s="18">
        <f ca="1">IF('Current Char Stats'!$A30="","",'Current Char Stats'!$R30)</f>
        <v>0</v>
      </c>
      <c r="T161" s="18">
        <f ca="1">IF('Current Char Stats'!$A30="","",'Current Char Stats'!$S30)</f>
        <v>0</v>
      </c>
      <c r="U161" s="18">
        <f ca="1">IF('Current Char Stats'!$A30="","",'Current Char Stats'!$T30)</f>
        <v>0</v>
      </c>
      <c r="V161" s="18">
        <f ca="1">IF('Current Char Stats'!$A30="","",'Current Char Stats'!$U30)</f>
        <v>0</v>
      </c>
      <c r="W161" s="18">
        <f ca="1">IF('Current Char Stats'!$A30="","",'Current Char Stats'!$V30)</f>
        <v>0</v>
      </c>
      <c r="X161" s="18">
        <f ca="1">IF('Current Char Stats'!$A30="","",'Current Char Stats'!$W30)</f>
        <v>0</v>
      </c>
      <c r="Y161" s="18">
        <f ca="1">IF('Current Char Stats'!$A30="","",'Current Char Stats'!$X30)</f>
        <v>0</v>
      </c>
      <c r="Z161" s="18">
        <f ca="1">IF('Current Char Stats'!$A30="","",'Current Char Stats'!$Y30)</f>
        <v>0</v>
      </c>
      <c r="AA161" s="18">
        <f ca="1">IF('Current Char Stats'!$A30="","",'Current Char Stats'!$Z30)</f>
        <v>0</v>
      </c>
      <c r="AB161" s="18">
        <f ca="1">IF('Current Char Stats'!$A30="","",'Current Char Stats'!$AA30)</f>
        <v>0</v>
      </c>
      <c r="AC161" s="18">
        <f ca="1">IF('Current Char Stats'!$A30="","",'Current Char Stats'!$AB30)</f>
        <v>0</v>
      </c>
      <c r="AD161" s="18">
        <f ca="1">IF('Current Char Stats'!$A30="","",'Current Char Stats'!$AC30)</f>
        <v>0</v>
      </c>
      <c r="AE161" s="18">
        <f ca="1">IF('Current Char Stats'!$A30="","",'Current Char Stats'!$AD30)</f>
        <v>0</v>
      </c>
      <c r="AF161" s="18">
        <f ca="1">IF('Current Char Stats'!$A30="","",'Current Char Stats'!$AE30)</f>
        <v>0</v>
      </c>
    </row>
    <row r="162" spans="1:32">
      <c r="A162" s="18">
        <f ca="1">IF('Current Char Stats'!$A31="","",Settings!$B$2)</f>
        <v>1</v>
      </c>
      <c r="B162" s="117" t="str">
        <f ca="1">IF('Current Char Stats'!$A31="","",'Current Char Stats'!$A31)</f>
        <v>Justin</v>
      </c>
      <c r="C162" s="18" t="str">
        <f ca="1">IF('Current Char Stats'!$A31="","",'Current Char Stats'!$B31)</f>
        <v>Bowser Jr.</v>
      </c>
      <c r="D162" s="18" t="str">
        <f ca="1">IF('Current Char Stats'!$A31="","",'Current Char Stats'!$C31)</f>
        <v>G2</v>
      </c>
      <c r="E162" s="18">
        <f ca="1">IF('Current Char Stats'!$A31="","",'Current Char Stats'!$D31)</f>
        <v>2</v>
      </c>
      <c r="F162" s="18">
        <f ca="1">IF('Current Char Stats'!$A31="","",'Current Char Stats'!$E31)</f>
        <v>1</v>
      </c>
      <c r="G162" s="18">
        <f ca="1">IF('Current Char Stats'!$A31="","",'Current Char Stats'!$F31)</f>
        <v>0.5</v>
      </c>
      <c r="H162" s="18">
        <f ca="1">IF('Current Char Stats'!$A31="","",'Current Char Stats'!$G31)</f>
        <v>0</v>
      </c>
      <c r="I162" s="18">
        <f ca="1">IF('Current Char Stats'!$A31="","",'Current Char Stats'!$H31)</f>
        <v>0</v>
      </c>
      <c r="J162" s="18">
        <f ca="1">IF('Current Char Stats'!$A31="","",'Current Char Stats'!$I31)</f>
        <v>0</v>
      </c>
      <c r="K162" s="18">
        <f ca="1">IF('Current Char Stats'!$A31="","",'Current Char Stats'!$J31)</f>
        <v>0</v>
      </c>
      <c r="L162" s="18" t="str">
        <f ca="1">IF('Current Char Stats'!$A31="","",'Current Char Stats'!$K31)</f>
        <v/>
      </c>
      <c r="M162" s="18">
        <f ca="1">IF('Current Char Stats'!$A31="","",'Current Char Stats'!$L31)</f>
        <v>0</v>
      </c>
      <c r="N162" s="18">
        <f ca="1">IF('Current Char Stats'!$A31="","",'Current Char Stats'!$M31)</f>
        <v>0</v>
      </c>
      <c r="O162" s="18">
        <f ca="1">IF('Current Char Stats'!$A31="","",'Current Char Stats'!$N31)</f>
        <v>1</v>
      </c>
      <c r="P162" s="18">
        <f ca="1">IF('Current Char Stats'!$A31="","",'Current Char Stats'!$O31)</f>
        <v>1</v>
      </c>
      <c r="Q162" s="18">
        <f ca="1">IF('Current Char Stats'!$A31="","",'Current Char Stats'!$P31)</f>
        <v>0</v>
      </c>
      <c r="R162" s="18">
        <f ca="1">IF('Current Char Stats'!$A31="","",'Current Char Stats'!$Q31)</f>
        <v>0</v>
      </c>
      <c r="S162" s="18">
        <f ca="1">IF('Current Char Stats'!$A31="","",'Current Char Stats'!$R31)</f>
        <v>0</v>
      </c>
      <c r="T162" s="18">
        <f ca="1">IF('Current Char Stats'!$A31="","",'Current Char Stats'!$S31)</f>
        <v>0</v>
      </c>
      <c r="U162" s="18">
        <f ca="1">IF('Current Char Stats'!$A31="","",'Current Char Stats'!$T31)</f>
        <v>0</v>
      </c>
      <c r="V162" s="18">
        <f ca="1">IF('Current Char Stats'!$A31="","",'Current Char Stats'!$U31)</f>
        <v>0</v>
      </c>
      <c r="W162" s="18">
        <f ca="1">IF('Current Char Stats'!$A31="","",'Current Char Stats'!$V31)</f>
        <v>0</v>
      </c>
      <c r="X162" s="18">
        <f ca="1">IF('Current Char Stats'!$A31="","",'Current Char Stats'!$W31)</f>
        <v>0</v>
      </c>
      <c r="Y162" s="18">
        <f ca="1">IF('Current Char Stats'!$A31="","",'Current Char Stats'!$X31)</f>
        <v>0</v>
      </c>
      <c r="Z162" s="18">
        <f ca="1">IF('Current Char Stats'!$A31="","",'Current Char Stats'!$Y31)</f>
        <v>0</v>
      </c>
      <c r="AA162" s="18">
        <f ca="1">IF('Current Char Stats'!$A31="","",'Current Char Stats'!$Z31)</f>
        <v>0</v>
      </c>
      <c r="AB162" s="18">
        <f ca="1">IF('Current Char Stats'!$A31="","",'Current Char Stats'!$AA31)</f>
        <v>0</v>
      </c>
      <c r="AC162" s="18">
        <f ca="1">IF('Current Char Stats'!$A31="","",'Current Char Stats'!$AB31)</f>
        <v>0</v>
      </c>
      <c r="AD162" s="18">
        <f ca="1">IF('Current Char Stats'!$A31="","",'Current Char Stats'!$AC31)</f>
        <v>0</v>
      </c>
      <c r="AE162" s="18">
        <f ca="1">IF('Current Char Stats'!$A31="","",'Current Char Stats'!$AD31)</f>
        <v>0</v>
      </c>
      <c r="AF162" s="18">
        <f ca="1">IF('Current Char Stats'!$A31="","",'Current Char Stats'!$AE31)</f>
        <v>0</v>
      </c>
    </row>
    <row r="163" spans="1:32">
      <c r="A163" s="18">
        <f ca="1">IF('Current Char Stats'!$A32="","",Settings!$B$2)</f>
        <v>1</v>
      </c>
      <c r="B163" s="117" t="str">
        <f ca="1">IF('Current Char Stats'!$A32="","",'Current Char Stats'!$A32)</f>
        <v>Justin</v>
      </c>
      <c r="C163" s="18" t="str">
        <f ca="1">IF('Current Char Stats'!$A32="","",'Current Char Stats'!$B32)</f>
        <v>Kritter</v>
      </c>
      <c r="D163" s="18" t="str">
        <f ca="1">IF('Current Char Stats'!$A32="","",'Current Char Stats'!$C32)</f>
        <v>G2</v>
      </c>
      <c r="E163" s="18">
        <f ca="1">IF('Current Char Stats'!$A32="","",'Current Char Stats'!$D32)</f>
        <v>2</v>
      </c>
      <c r="F163" s="18">
        <f ca="1">IF('Current Char Stats'!$A32="","",'Current Char Stats'!$E32)</f>
        <v>0</v>
      </c>
      <c r="G163" s="18">
        <f ca="1">IF('Current Char Stats'!$A32="","",'Current Char Stats'!$F32)</f>
        <v>0</v>
      </c>
      <c r="H163" s="18">
        <f ca="1">IF('Current Char Stats'!$A32="","",'Current Char Stats'!$G32)</f>
        <v>0</v>
      </c>
      <c r="I163" s="18">
        <f ca="1">IF('Current Char Stats'!$A32="","",'Current Char Stats'!$H32)</f>
        <v>0</v>
      </c>
      <c r="J163" s="18">
        <f ca="1">IF('Current Char Stats'!$A32="","",'Current Char Stats'!$I32)</f>
        <v>0</v>
      </c>
      <c r="K163" s="18">
        <f ca="1">IF('Current Char Stats'!$A32="","",'Current Char Stats'!$J32)</f>
        <v>0</v>
      </c>
      <c r="L163" s="18" t="str">
        <f ca="1">IF('Current Char Stats'!$A32="","",'Current Char Stats'!$K32)</f>
        <v/>
      </c>
      <c r="M163" s="18">
        <f ca="1">IF('Current Char Stats'!$A32="","",'Current Char Stats'!$L32)</f>
        <v>0</v>
      </c>
      <c r="N163" s="18">
        <f ca="1">IF('Current Char Stats'!$A32="","",'Current Char Stats'!$M32)</f>
        <v>0</v>
      </c>
      <c r="O163" s="18">
        <f ca="1">IF('Current Char Stats'!$A32="","",'Current Char Stats'!$N32)</f>
        <v>0</v>
      </c>
      <c r="P163" s="18">
        <f ca="1">IF('Current Char Stats'!$A32="","",'Current Char Stats'!$O32)</f>
        <v>0</v>
      </c>
      <c r="Q163" s="18">
        <f ca="1">IF('Current Char Stats'!$A32="","",'Current Char Stats'!$P32)</f>
        <v>0</v>
      </c>
      <c r="R163" s="18">
        <f ca="1">IF('Current Char Stats'!$A32="","",'Current Char Stats'!$Q32)</f>
        <v>0</v>
      </c>
      <c r="S163" s="18">
        <f ca="1">IF('Current Char Stats'!$A32="","",'Current Char Stats'!$R32)</f>
        <v>2</v>
      </c>
      <c r="T163" s="18">
        <f ca="1">IF('Current Char Stats'!$A32="","",'Current Char Stats'!$S32)</f>
        <v>0</v>
      </c>
      <c r="U163" s="18">
        <f ca="1">IF('Current Char Stats'!$A32="","",'Current Char Stats'!$T32)</f>
        <v>0</v>
      </c>
      <c r="V163" s="18">
        <f ca="1">IF('Current Char Stats'!$A32="","",'Current Char Stats'!$U32)</f>
        <v>0</v>
      </c>
      <c r="W163" s="18">
        <f ca="1">IF('Current Char Stats'!$A32="","",'Current Char Stats'!$V32)</f>
        <v>0</v>
      </c>
      <c r="X163" s="18">
        <f ca="1">IF('Current Char Stats'!$A32="","",'Current Char Stats'!$W32)</f>
        <v>0</v>
      </c>
      <c r="Y163" s="18">
        <f ca="1">IF('Current Char Stats'!$A32="","",'Current Char Stats'!$X32)</f>
        <v>0</v>
      </c>
      <c r="Z163" s="18">
        <f ca="1">IF('Current Char Stats'!$A32="","",'Current Char Stats'!$Y32)</f>
        <v>0</v>
      </c>
      <c r="AA163" s="18">
        <f ca="1">IF('Current Char Stats'!$A32="","",'Current Char Stats'!$Z32)</f>
        <v>0</v>
      </c>
      <c r="AB163" s="18">
        <f ca="1">IF('Current Char Stats'!$A32="","",'Current Char Stats'!$AA32)</f>
        <v>0</v>
      </c>
      <c r="AC163" s="18">
        <f ca="1">IF('Current Char Stats'!$A32="","",'Current Char Stats'!$AB32)</f>
        <v>0</v>
      </c>
      <c r="AD163" s="18">
        <f ca="1">IF('Current Char Stats'!$A32="","",'Current Char Stats'!$AC32)</f>
        <v>0</v>
      </c>
      <c r="AE163" s="18">
        <f ca="1">IF('Current Char Stats'!$A32="","",'Current Char Stats'!$AD32)</f>
        <v>0</v>
      </c>
      <c r="AF163" s="18">
        <f ca="1">IF('Current Char Stats'!$A32="","",'Current Char Stats'!$AE32)</f>
        <v>0</v>
      </c>
    </row>
    <row r="164" spans="1:32">
      <c r="A164" s="18">
        <f ca="1">IF('Current Char Stats'!$A33="","",Settings!$B$2)</f>
        <v>1</v>
      </c>
      <c r="B164" s="117" t="str">
        <f ca="1">IF('Current Char Stats'!$A33="","",'Current Char Stats'!$A33)</f>
        <v>Justin</v>
      </c>
      <c r="C164" s="18" t="str">
        <f ca="1">IF('Current Char Stats'!$A33="","",'Current Char Stats'!$B33)</f>
        <v>Funky Kong</v>
      </c>
      <c r="D164" s="18" t="str">
        <f ca="1">IF('Current Char Stats'!$A33="","",'Current Char Stats'!$C33)</f>
        <v>G2</v>
      </c>
      <c r="E164" s="18">
        <f ca="1">IF('Current Char Stats'!$A33="","",'Current Char Stats'!$D33)</f>
        <v>2</v>
      </c>
      <c r="F164" s="18">
        <f ca="1">IF('Current Char Stats'!$A33="","",'Current Char Stats'!$E33)</f>
        <v>1</v>
      </c>
      <c r="G164" s="18">
        <f ca="1">IF('Current Char Stats'!$A33="","",'Current Char Stats'!$F33)</f>
        <v>0.5</v>
      </c>
      <c r="H164" s="18">
        <f ca="1">IF('Current Char Stats'!$A33="","",'Current Char Stats'!$G33)</f>
        <v>1</v>
      </c>
      <c r="I164" s="18">
        <f ca="1">IF('Current Char Stats'!$A33="","",'Current Char Stats'!$H33)</f>
        <v>1</v>
      </c>
      <c r="J164" s="18">
        <f ca="1">IF('Current Char Stats'!$A33="","",'Current Char Stats'!$I33)</f>
        <v>0</v>
      </c>
      <c r="K164" s="18">
        <f ca="1">IF('Current Char Stats'!$A33="","",'Current Char Stats'!$J33)</f>
        <v>0</v>
      </c>
      <c r="L164" s="18" t="str">
        <f ca="1">IF('Current Char Stats'!$A33="","",'Current Char Stats'!$K33)</f>
        <v/>
      </c>
      <c r="M164" s="18">
        <f ca="1">IF('Current Char Stats'!$A33="","",'Current Char Stats'!$L33)</f>
        <v>0</v>
      </c>
      <c r="N164" s="18">
        <f ca="1">IF('Current Char Stats'!$A33="","",'Current Char Stats'!$M33)</f>
        <v>0</v>
      </c>
      <c r="O164" s="18">
        <f ca="1">IF('Current Char Stats'!$A33="","",'Current Char Stats'!$N33)</f>
        <v>1</v>
      </c>
      <c r="P164" s="18">
        <f ca="1">IF('Current Char Stats'!$A33="","",'Current Char Stats'!$O33)</f>
        <v>0</v>
      </c>
      <c r="Q164" s="18">
        <f ca="1">IF('Current Char Stats'!$A33="","",'Current Char Stats'!$P33)</f>
        <v>0</v>
      </c>
      <c r="R164" s="18">
        <f ca="1">IF('Current Char Stats'!$A33="","",'Current Char Stats'!$Q33)</f>
        <v>0</v>
      </c>
      <c r="S164" s="18">
        <f ca="1">IF('Current Char Stats'!$A33="","",'Current Char Stats'!$R33)</f>
        <v>1</v>
      </c>
      <c r="T164" s="18">
        <f ca="1">IF('Current Char Stats'!$A33="","",'Current Char Stats'!$S33)</f>
        <v>0</v>
      </c>
      <c r="U164" s="18">
        <f ca="1">IF('Current Char Stats'!$A33="","",'Current Char Stats'!$T33)</f>
        <v>0</v>
      </c>
      <c r="V164" s="18">
        <f ca="1">IF('Current Char Stats'!$A33="","",'Current Char Stats'!$U33)</f>
        <v>0</v>
      </c>
      <c r="W164" s="18">
        <f ca="1">IF('Current Char Stats'!$A33="","",'Current Char Stats'!$V33)</f>
        <v>0</v>
      </c>
      <c r="X164" s="18">
        <f ca="1">IF('Current Char Stats'!$A33="","",'Current Char Stats'!$W33)</f>
        <v>0</v>
      </c>
      <c r="Y164" s="18">
        <f ca="1">IF('Current Char Stats'!$A33="","",'Current Char Stats'!$X33)</f>
        <v>0</v>
      </c>
      <c r="Z164" s="18">
        <f ca="1">IF('Current Char Stats'!$A33="","",'Current Char Stats'!$Y33)</f>
        <v>0</v>
      </c>
      <c r="AA164" s="18">
        <f ca="1">IF('Current Char Stats'!$A33="","",'Current Char Stats'!$Z33)</f>
        <v>0</v>
      </c>
      <c r="AB164" s="18">
        <f ca="1">IF('Current Char Stats'!$A33="","",'Current Char Stats'!$AA33)</f>
        <v>0</v>
      </c>
      <c r="AC164" s="18">
        <f ca="1">IF('Current Char Stats'!$A33="","",'Current Char Stats'!$AB33)</f>
        <v>0</v>
      </c>
      <c r="AD164" s="18">
        <f ca="1">IF('Current Char Stats'!$A33="","",'Current Char Stats'!$AC33)</f>
        <v>0</v>
      </c>
      <c r="AE164" s="18">
        <f ca="1">IF('Current Char Stats'!$A33="","",'Current Char Stats'!$AD33)</f>
        <v>0</v>
      </c>
      <c r="AF164" s="18">
        <f ca="1">IF('Current Char Stats'!$A33="","",'Current Char Stats'!$AE33)</f>
        <v>0</v>
      </c>
    </row>
    <row r="165" spans="1:32">
      <c r="A165" s="18">
        <f ca="1">IF('Current Char Stats'!$A34="","",Settings!$B$2)</f>
        <v>1</v>
      </c>
      <c r="B165" s="117" t="str">
        <f ca="1">IF('Current Char Stats'!$A34="","",'Current Char Stats'!$A34)</f>
        <v>Justin</v>
      </c>
      <c r="C165" s="18" t="str">
        <f ca="1">IF('Current Char Stats'!$A34="","",'Current Char Stats'!$B34)</f>
        <v>Red Pianta</v>
      </c>
      <c r="D165" s="18" t="str">
        <f ca="1">IF('Current Char Stats'!$A34="","",'Current Char Stats'!$C34)</f>
        <v>G2</v>
      </c>
      <c r="E165" s="18">
        <f ca="1">IF('Current Char Stats'!$A34="","",'Current Char Stats'!$D34)</f>
        <v>2</v>
      </c>
      <c r="F165" s="18">
        <f ca="1">IF('Current Char Stats'!$A34="","",'Current Char Stats'!$E34)</f>
        <v>0</v>
      </c>
      <c r="G165" s="18">
        <f ca="1">IF('Current Char Stats'!$A34="","",'Current Char Stats'!$F34)</f>
        <v>0</v>
      </c>
      <c r="H165" s="18">
        <f ca="1">IF('Current Char Stats'!$A34="","",'Current Char Stats'!$G34)</f>
        <v>0</v>
      </c>
      <c r="I165" s="18">
        <f ca="1">IF('Current Char Stats'!$A34="","",'Current Char Stats'!$H34)</f>
        <v>0</v>
      </c>
      <c r="J165" s="18">
        <f ca="1">IF('Current Char Stats'!$A34="","",'Current Char Stats'!$I34)</f>
        <v>0</v>
      </c>
      <c r="K165" s="18">
        <f ca="1">IF('Current Char Stats'!$A34="","",'Current Char Stats'!$J34)</f>
        <v>0</v>
      </c>
      <c r="L165" s="18" t="str">
        <f ca="1">IF('Current Char Stats'!$A34="","",'Current Char Stats'!$K34)</f>
        <v/>
      </c>
      <c r="M165" s="18">
        <f ca="1">IF('Current Char Stats'!$A34="","",'Current Char Stats'!$L34)</f>
        <v>0</v>
      </c>
      <c r="N165" s="18">
        <f ca="1">IF('Current Char Stats'!$A34="","",'Current Char Stats'!$M34)</f>
        <v>0</v>
      </c>
      <c r="O165" s="18">
        <f ca="1">IF('Current Char Stats'!$A34="","",'Current Char Stats'!$N34)</f>
        <v>0</v>
      </c>
      <c r="P165" s="18">
        <f ca="1">IF('Current Char Stats'!$A34="","",'Current Char Stats'!$O34)</f>
        <v>0</v>
      </c>
      <c r="Q165" s="18">
        <f ca="1">IF('Current Char Stats'!$A34="","",'Current Char Stats'!$P34)</f>
        <v>0</v>
      </c>
      <c r="R165" s="18">
        <f ca="1">IF('Current Char Stats'!$A34="","",'Current Char Stats'!$Q34)</f>
        <v>0</v>
      </c>
      <c r="S165" s="18">
        <f ca="1">IF('Current Char Stats'!$A34="","",'Current Char Stats'!$R34)</f>
        <v>1</v>
      </c>
      <c r="T165" s="18">
        <f ca="1">IF('Current Char Stats'!$A34="","",'Current Char Stats'!$S34)</f>
        <v>0</v>
      </c>
      <c r="U165" s="18">
        <f ca="1">IF('Current Char Stats'!$A34="","",'Current Char Stats'!$T34)</f>
        <v>0</v>
      </c>
      <c r="V165" s="18">
        <f ca="1">IF('Current Char Stats'!$A34="","",'Current Char Stats'!$U34)</f>
        <v>0</v>
      </c>
      <c r="W165" s="18">
        <f ca="1">IF('Current Char Stats'!$A34="","",'Current Char Stats'!$V34)</f>
        <v>0</v>
      </c>
      <c r="X165" s="18">
        <f ca="1">IF('Current Char Stats'!$A34="","",'Current Char Stats'!$W34)</f>
        <v>0</v>
      </c>
      <c r="Y165" s="18">
        <f ca="1">IF('Current Char Stats'!$A34="","",'Current Char Stats'!$X34)</f>
        <v>0</v>
      </c>
      <c r="Z165" s="18">
        <f ca="1">IF('Current Char Stats'!$A34="","",'Current Char Stats'!$Y34)</f>
        <v>0</v>
      </c>
      <c r="AA165" s="18">
        <f ca="1">IF('Current Char Stats'!$A34="","",'Current Char Stats'!$Z34)</f>
        <v>0</v>
      </c>
      <c r="AB165" s="18">
        <f ca="1">IF('Current Char Stats'!$A34="","",'Current Char Stats'!$AA34)</f>
        <v>0</v>
      </c>
      <c r="AC165" s="18">
        <f ca="1">IF('Current Char Stats'!$A34="","",'Current Char Stats'!$AB34)</f>
        <v>0</v>
      </c>
      <c r="AD165" s="18">
        <f ca="1">IF('Current Char Stats'!$A34="","",'Current Char Stats'!$AC34)</f>
        <v>0</v>
      </c>
      <c r="AE165" s="18">
        <f ca="1">IF('Current Char Stats'!$A34="","",'Current Char Stats'!$AD34)</f>
        <v>0</v>
      </c>
      <c r="AF165" s="18">
        <f ca="1">IF('Current Char Stats'!$A34="","",'Current Char Stats'!$AE34)</f>
        <v>0</v>
      </c>
    </row>
    <row r="166" spans="1:32">
      <c r="A166" s="18">
        <f ca="1">IF('Current Char Stats'!$A35="","",Settings!$B$2)</f>
        <v>1</v>
      </c>
      <c r="B166" s="117" t="str">
        <f ca="1">IF('Current Char Stats'!$A35="","",'Current Char Stats'!$A35)</f>
        <v>Justin</v>
      </c>
      <c r="C166" s="18" t="str">
        <f ca="1">IF('Current Char Stats'!$A35="","",'Current Char Stats'!$B35)</f>
        <v>Blue Yoshi</v>
      </c>
      <c r="D166" s="18" t="str">
        <f ca="1">IF('Current Char Stats'!$A35="","",'Current Char Stats'!$C35)</f>
        <v>G2</v>
      </c>
      <c r="E166" s="18">
        <f ca="1">IF('Current Char Stats'!$A35="","",'Current Char Stats'!$D35)</f>
        <v>2</v>
      </c>
      <c r="F166" s="18">
        <f ca="1">IF('Current Char Stats'!$A35="","",'Current Char Stats'!$E35)</f>
        <v>0</v>
      </c>
      <c r="G166" s="18">
        <f ca="1">IF('Current Char Stats'!$A35="","",'Current Char Stats'!$F35)</f>
        <v>0</v>
      </c>
      <c r="H166" s="18">
        <f ca="1">IF('Current Char Stats'!$A35="","",'Current Char Stats'!$G35)</f>
        <v>0</v>
      </c>
      <c r="I166" s="18">
        <f ca="1">IF('Current Char Stats'!$A35="","",'Current Char Stats'!$H35)</f>
        <v>0</v>
      </c>
      <c r="J166" s="18">
        <f ca="1">IF('Current Char Stats'!$A35="","",'Current Char Stats'!$I35)</f>
        <v>0</v>
      </c>
      <c r="K166" s="18">
        <f ca="1">IF('Current Char Stats'!$A35="","",'Current Char Stats'!$J35)</f>
        <v>0</v>
      </c>
      <c r="L166" s="18" t="str">
        <f ca="1">IF('Current Char Stats'!$A35="","",'Current Char Stats'!$K35)</f>
        <v/>
      </c>
      <c r="M166" s="18">
        <f ca="1">IF('Current Char Stats'!$A35="","",'Current Char Stats'!$L35)</f>
        <v>0</v>
      </c>
      <c r="N166" s="18">
        <f ca="1">IF('Current Char Stats'!$A35="","",'Current Char Stats'!$M35)</f>
        <v>0</v>
      </c>
      <c r="O166" s="18">
        <f ca="1">IF('Current Char Stats'!$A35="","",'Current Char Stats'!$N35)</f>
        <v>0</v>
      </c>
      <c r="P166" s="18">
        <f ca="1">IF('Current Char Stats'!$A35="","",'Current Char Stats'!$O35)</f>
        <v>0</v>
      </c>
      <c r="Q166" s="18">
        <f ca="1">IF('Current Char Stats'!$A35="","",'Current Char Stats'!$P35)</f>
        <v>0</v>
      </c>
      <c r="R166" s="18">
        <f ca="1">IF('Current Char Stats'!$A35="","",'Current Char Stats'!$Q35)</f>
        <v>0</v>
      </c>
      <c r="S166" s="18">
        <f ca="1">IF('Current Char Stats'!$A35="","",'Current Char Stats'!$R35)</f>
        <v>0</v>
      </c>
      <c r="T166" s="18">
        <f ca="1">IF('Current Char Stats'!$A35="","",'Current Char Stats'!$S35)</f>
        <v>0</v>
      </c>
      <c r="U166" s="18">
        <f ca="1">IF('Current Char Stats'!$A35="","",'Current Char Stats'!$T35)</f>
        <v>0</v>
      </c>
      <c r="V166" s="18">
        <f ca="1">IF('Current Char Stats'!$A35="","",'Current Char Stats'!$U35)</f>
        <v>0</v>
      </c>
      <c r="W166" s="18">
        <f ca="1">IF('Current Char Stats'!$A35="","",'Current Char Stats'!$V35)</f>
        <v>0</v>
      </c>
      <c r="X166" s="18">
        <f ca="1">IF('Current Char Stats'!$A35="","",'Current Char Stats'!$W35)</f>
        <v>0</v>
      </c>
      <c r="Y166" s="18">
        <f ca="1">IF('Current Char Stats'!$A35="","",'Current Char Stats'!$X35)</f>
        <v>0</v>
      </c>
      <c r="Z166" s="18">
        <f ca="1">IF('Current Char Stats'!$A35="","",'Current Char Stats'!$Y35)</f>
        <v>0</v>
      </c>
      <c r="AA166" s="18">
        <f ca="1">IF('Current Char Stats'!$A35="","",'Current Char Stats'!$Z35)</f>
        <v>0</v>
      </c>
      <c r="AB166" s="18">
        <f ca="1">IF('Current Char Stats'!$A35="","",'Current Char Stats'!$AA35)</f>
        <v>0</v>
      </c>
      <c r="AC166" s="18">
        <f ca="1">IF('Current Char Stats'!$A35="","",'Current Char Stats'!$AB35)</f>
        <v>0</v>
      </c>
      <c r="AD166" s="18">
        <f ca="1">IF('Current Char Stats'!$A35="","",'Current Char Stats'!$AC35)</f>
        <v>0</v>
      </c>
      <c r="AE166" s="18">
        <f ca="1">IF('Current Char Stats'!$A35="","",'Current Char Stats'!$AD35)</f>
        <v>0</v>
      </c>
      <c r="AF166" s="18">
        <f ca="1">IF('Current Char Stats'!$A35="","",'Current Char Stats'!$AE35)</f>
        <v>0</v>
      </c>
    </row>
    <row r="167" spans="1:32">
      <c r="A167" s="18">
        <f ca="1">IF('Current Char Stats'!$A36="","",Settings!$B$2)</f>
        <v>1</v>
      </c>
      <c r="B167" s="117" t="str">
        <f ca="1">IF('Current Char Stats'!$A36="","",'Current Char Stats'!$A36)</f>
        <v>Justin</v>
      </c>
      <c r="C167" s="18" t="str">
        <f ca="1">IF('Current Char Stats'!$A36="","",'Current Char Stats'!$B36)</f>
        <v>Baby Luigi</v>
      </c>
      <c r="D167" s="18" t="str">
        <f ca="1">IF('Current Char Stats'!$A36="","",'Current Char Stats'!$C36)</f>
        <v>G2</v>
      </c>
      <c r="E167" s="18">
        <f ca="1">IF('Current Char Stats'!$A36="","",'Current Char Stats'!$D36)</f>
        <v>1</v>
      </c>
      <c r="F167" s="18">
        <f ca="1">IF('Current Char Stats'!$A36="","",'Current Char Stats'!$E36)</f>
        <v>1</v>
      </c>
      <c r="G167" s="18">
        <f ca="1">IF('Current Char Stats'!$A36="","",'Current Char Stats'!$F36)</f>
        <v>1</v>
      </c>
      <c r="H167" s="18">
        <f ca="1">IF('Current Char Stats'!$A36="","",'Current Char Stats'!$G36)</f>
        <v>0</v>
      </c>
      <c r="I167" s="18">
        <f ca="1">IF('Current Char Stats'!$A36="","",'Current Char Stats'!$H36)</f>
        <v>0</v>
      </c>
      <c r="J167" s="18">
        <f ca="1">IF('Current Char Stats'!$A36="","",'Current Char Stats'!$I36)</f>
        <v>0</v>
      </c>
      <c r="K167" s="18">
        <f ca="1">IF('Current Char Stats'!$A36="","",'Current Char Stats'!$J36)</f>
        <v>0</v>
      </c>
      <c r="L167" s="18" t="str">
        <f ca="1">IF('Current Char Stats'!$A36="","",'Current Char Stats'!$K36)</f>
        <v/>
      </c>
      <c r="M167" s="18">
        <f ca="1">IF('Current Char Stats'!$A36="","",'Current Char Stats'!$L36)</f>
        <v>0</v>
      </c>
      <c r="N167" s="18">
        <f ca="1">IF('Current Char Stats'!$A36="","",'Current Char Stats'!$M36)</f>
        <v>0</v>
      </c>
      <c r="O167" s="18">
        <f ca="1">IF('Current Char Stats'!$A36="","",'Current Char Stats'!$N36)</f>
        <v>0</v>
      </c>
      <c r="P167" s="18">
        <f ca="1">IF('Current Char Stats'!$A36="","",'Current Char Stats'!$O36)</f>
        <v>0</v>
      </c>
      <c r="Q167" s="18">
        <f ca="1">IF('Current Char Stats'!$A36="","",'Current Char Stats'!$P36)</f>
        <v>0</v>
      </c>
      <c r="R167" s="18">
        <f ca="1">IF('Current Char Stats'!$A36="","",'Current Char Stats'!$Q36)</f>
        <v>0</v>
      </c>
      <c r="S167" s="18">
        <f ca="1">IF('Current Char Stats'!$A36="","",'Current Char Stats'!$R36)</f>
        <v>0</v>
      </c>
      <c r="T167" s="18">
        <f ca="1">IF('Current Char Stats'!$A36="","",'Current Char Stats'!$S36)</f>
        <v>0</v>
      </c>
      <c r="U167" s="18">
        <f ca="1">IF('Current Char Stats'!$A36="","",'Current Char Stats'!$T36)</f>
        <v>0</v>
      </c>
      <c r="V167" s="18">
        <f ca="1">IF('Current Char Stats'!$A36="","",'Current Char Stats'!$U36)</f>
        <v>0</v>
      </c>
      <c r="W167" s="18">
        <f ca="1">IF('Current Char Stats'!$A36="","",'Current Char Stats'!$V36)</f>
        <v>0</v>
      </c>
      <c r="X167" s="18">
        <f ca="1">IF('Current Char Stats'!$A36="","",'Current Char Stats'!$W36)</f>
        <v>0</v>
      </c>
      <c r="Y167" s="18">
        <f ca="1">IF('Current Char Stats'!$A36="","",'Current Char Stats'!$X36)</f>
        <v>0</v>
      </c>
      <c r="Z167" s="18">
        <f ca="1">IF('Current Char Stats'!$A36="","",'Current Char Stats'!$Y36)</f>
        <v>0</v>
      </c>
      <c r="AA167" s="18">
        <f ca="1">IF('Current Char Stats'!$A36="","",'Current Char Stats'!$Z36)</f>
        <v>0</v>
      </c>
      <c r="AB167" s="18">
        <f ca="1">IF('Current Char Stats'!$A36="","",'Current Char Stats'!$AA36)</f>
        <v>0</v>
      </c>
      <c r="AC167" s="18">
        <f ca="1">IF('Current Char Stats'!$A36="","",'Current Char Stats'!$AB36)</f>
        <v>0</v>
      </c>
      <c r="AD167" s="18">
        <f ca="1">IF('Current Char Stats'!$A36="","",'Current Char Stats'!$AC36)</f>
        <v>0</v>
      </c>
      <c r="AE167" s="18">
        <f ca="1">IF('Current Char Stats'!$A36="","",'Current Char Stats'!$AD36)</f>
        <v>0</v>
      </c>
      <c r="AF167" s="18">
        <f ca="1">IF('Current Char Stats'!$A36="","",'Current Char Stats'!$AE36)</f>
        <v>0</v>
      </c>
    </row>
    <row r="168" spans="1:32">
      <c r="A168" s="18">
        <f ca="1">IF('Current Char Stats'!$A37="","",Settings!$B$2)</f>
        <v>1</v>
      </c>
      <c r="B168" s="117" t="str">
        <f ca="1">IF('Current Char Stats'!$A37="","",'Current Char Stats'!$A37)</f>
        <v>Justin</v>
      </c>
      <c r="C168" s="18" t="str">
        <f ca="1">IF('Current Char Stats'!$A37="","",'Current Char Stats'!$B37)</f>
        <v>Paratroopa</v>
      </c>
      <c r="D168" s="18" t="str">
        <f ca="1">IF('Current Char Stats'!$A37="","",'Current Char Stats'!$C37)</f>
        <v>G2</v>
      </c>
      <c r="E168" s="18">
        <f ca="1">IF('Current Char Stats'!$A37="","",'Current Char Stats'!$D37)</f>
        <v>1</v>
      </c>
      <c r="F168" s="18">
        <f ca="1">IF('Current Char Stats'!$A37="","",'Current Char Stats'!$E37)</f>
        <v>0</v>
      </c>
      <c r="G168" s="18">
        <f ca="1">IF('Current Char Stats'!$A37="","",'Current Char Stats'!$F37)</f>
        <v>0</v>
      </c>
      <c r="H168" s="18">
        <f ca="1">IF('Current Char Stats'!$A37="","",'Current Char Stats'!$G37)</f>
        <v>0</v>
      </c>
      <c r="I168" s="18">
        <f ca="1">IF('Current Char Stats'!$A37="","",'Current Char Stats'!$H37)</f>
        <v>0</v>
      </c>
      <c r="J168" s="18">
        <f ca="1">IF('Current Char Stats'!$A37="","",'Current Char Stats'!$I37)</f>
        <v>0</v>
      </c>
      <c r="K168" s="18">
        <f ca="1">IF('Current Char Stats'!$A37="","",'Current Char Stats'!$J37)</f>
        <v>0</v>
      </c>
      <c r="L168" s="18" t="str">
        <f ca="1">IF('Current Char Stats'!$A37="","",'Current Char Stats'!$K37)</f>
        <v/>
      </c>
      <c r="M168" s="18">
        <f ca="1">IF('Current Char Stats'!$A37="","",'Current Char Stats'!$L37)</f>
        <v>0</v>
      </c>
      <c r="N168" s="18">
        <f ca="1">IF('Current Char Stats'!$A37="","",'Current Char Stats'!$M37)</f>
        <v>0</v>
      </c>
      <c r="O168" s="18">
        <f ca="1">IF('Current Char Stats'!$A37="","",'Current Char Stats'!$N37)</f>
        <v>0</v>
      </c>
      <c r="P168" s="18">
        <f ca="1">IF('Current Char Stats'!$A37="","",'Current Char Stats'!$O37)</f>
        <v>0</v>
      </c>
      <c r="Q168" s="18">
        <f ca="1">IF('Current Char Stats'!$A37="","",'Current Char Stats'!$P37)</f>
        <v>0</v>
      </c>
      <c r="R168" s="18">
        <f ca="1">IF('Current Char Stats'!$A37="","",'Current Char Stats'!$Q37)</f>
        <v>0</v>
      </c>
      <c r="S168" s="18">
        <f ca="1">IF('Current Char Stats'!$A37="","",'Current Char Stats'!$R37)</f>
        <v>1</v>
      </c>
      <c r="T168" s="18">
        <f ca="1">IF('Current Char Stats'!$A37="","",'Current Char Stats'!$S37)</f>
        <v>0</v>
      </c>
      <c r="U168" s="18">
        <f ca="1">IF('Current Char Stats'!$A37="","",'Current Char Stats'!$T37)</f>
        <v>0</v>
      </c>
      <c r="V168" s="18">
        <f ca="1">IF('Current Char Stats'!$A37="","",'Current Char Stats'!$U37)</f>
        <v>0</v>
      </c>
      <c r="W168" s="18">
        <f ca="1">IF('Current Char Stats'!$A37="","",'Current Char Stats'!$V37)</f>
        <v>0</v>
      </c>
      <c r="X168" s="18">
        <f ca="1">IF('Current Char Stats'!$A37="","",'Current Char Stats'!$W37)</f>
        <v>0</v>
      </c>
      <c r="Y168" s="18">
        <f ca="1">IF('Current Char Stats'!$A37="","",'Current Char Stats'!$X37)</f>
        <v>0</v>
      </c>
      <c r="Z168" s="18">
        <f ca="1">IF('Current Char Stats'!$A37="","",'Current Char Stats'!$Y37)</f>
        <v>0</v>
      </c>
      <c r="AA168" s="18">
        <f ca="1">IF('Current Char Stats'!$A37="","",'Current Char Stats'!$Z37)</f>
        <v>0</v>
      </c>
      <c r="AB168" s="18">
        <f ca="1">IF('Current Char Stats'!$A37="","",'Current Char Stats'!$AA37)</f>
        <v>0</v>
      </c>
      <c r="AC168" s="18">
        <f ca="1">IF('Current Char Stats'!$A37="","",'Current Char Stats'!$AB37)</f>
        <v>0</v>
      </c>
      <c r="AD168" s="18">
        <f ca="1">IF('Current Char Stats'!$A37="","",'Current Char Stats'!$AC37)</f>
        <v>0</v>
      </c>
      <c r="AE168" s="18">
        <f ca="1">IF('Current Char Stats'!$A37="","",'Current Char Stats'!$AD37)</f>
        <v>0</v>
      </c>
      <c r="AF168" s="18">
        <f ca="1">IF('Current Char Stats'!$A37="","",'Current Char Stats'!$AE37)</f>
        <v>0</v>
      </c>
    </row>
    <row r="169" spans="1:32">
      <c r="A169" s="18">
        <f ca="1">IF('Current Char Stats'!$A38="","",Settings!$B$2)</f>
        <v>1</v>
      </c>
      <c r="B169" s="117" t="str">
        <f ca="1">IF('Current Char Stats'!$A38="","",'Current Char Stats'!$A38)</f>
        <v>Justin</v>
      </c>
      <c r="C169" s="18" t="str">
        <f ca="1">IF('Current Char Stats'!$A38="","",'Current Char Stats'!$B38)</f>
        <v>Yellow Magikoopa</v>
      </c>
      <c r="D169" s="18" t="str">
        <f ca="1">IF('Current Char Stats'!$A38="","",'Current Char Stats'!$C38)</f>
        <v>G2</v>
      </c>
      <c r="E169" s="18">
        <f ca="1">IF('Current Char Stats'!$A38="","",'Current Char Stats'!$D38)</f>
        <v>1</v>
      </c>
      <c r="F169" s="18">
        <f ca="1">IF('Current Char Stats'!$A38="","",'Current Char Stats'!$E38)</f>
        <v>1</v>
      </c>
      <c r="G169" s="18">
        <f ca="1">IF('Current Char Stats'!$A38="","",'Current Char Stats'!$F38)</f>
        <v>1</v>
      </c>
      <c r="H169" s="18">
        <f ca="1">IF('Current Char Stats'!$A38="","",'Current Char Stats'!$G38)</f>
        <v>1</v>
      </c>
      <c r="I169" s="18">
        <f ca="1">IF('Current Char Stats'!$A38="","",'Current Char Stats'!$H38)</f>
        <v>1</v>
      </c>
      <c r="J169" s="18">
        <f ca="1">IF('Current Char Stats'!$A38="","",'Current Char Stats'!$I38)</f>
        <v>0</v>
      </c>
      <c r="K169" s="18">
        <f ca="1">IF('Current Char Stats'!$A38="","",'Current Char Stats'!$J38)</f>
        <v>0</v>
      </c>
      <c r="L169" s="18" t="str">
        <f ca="1">IF('Current Char Stats'!$A38="","",'Current Char Stats'!$K38)</f>
        <v/>
      </c>
      <c r="M169" s="18">
        <f ca="1">IF('Current Char Stats'!$A38="","",'Current Char Stats'!$L38)</f>
        <v>0</v>
      </c>
      <c r="N169" s="18">
        <f ca="1">IF('Current Char Stats'!$A38="","",'Current Char Stats'!$M38)</f>
        <v>0</v>
      </c>
      <c r="O169" s="18">
        <f ca="1">IF('Current Char Stats'!$A38="","",'Current Char Stats'!$N38)</f>
        <v>1</v>
      </c>
      <c r="P169" s="18">
        <f ca="1">IF('Current Char Stats'!$A38="","",'Current Char Stats'!$O38)</f>
        <v>0</v>
      </c>
      <c r="Q169" s="18">
        <f ca="1">IF('Current Char Stats'!$A38="","",'Current Char Stats'!$P38)</f>
        <v>0</v>
      </c>
      <c r="R169" s="18">
        <f ca="1">IF('Current Char Stats'!$A38="","",'Current Char Stats'!$Q38)</f>
        <v>0</v>
      </c>
      <c r="S169" s="18">
        <f ca="1">IF('Current Char Stats'!$A38="","",'Current Char Stats'!$R38)</f>
        <v>0</v>
      </c>
      <c r="T169" s="18">
        <f ca="1">IF('Current Char Stats'!$A38="","",'Current Char Stats'!$S38)</f>
        <v>0</v>
      </c>
      <c r="U169" s="18">
        <f ca="1">IF('Current Char Stats'!$A38="","",'Current Char Stats'!$T38)</f>
        <v>0</v>
      </c>
      <c r="V169" s="18">
        <f ca="1">IF('Current Char Stats'!$A38="","",'Current Char Stats'!$U38)</f>
        <v>0</v>
      </c>
      <c r="W169" s="18">
        <f ca="1">IF('Current Char Stats'!$A38="","",'Current Char Stats'!$V38)</f>
        <v>0</v>
      </c>
      <c r="X169" s="18">
        <f ca="1">IF('Current Char Stats'!$A38="","",'Current Char Stats'!$W38)</f>
        <v>0</v>
      </c>
      <c r="Y169" s="18">
        <f ca="1">IF('Current Char Stats'!$A38="","",'Current Char Stats'!$X38)</f>
        <v>0</v>
      </c>
      <c r="Z169" s="18">
        <f ca="1">IF('Current Char Stats'!$A38="","",'Current Char Stats'!$Y38)</f>
        <v>0</v>
      </c>
      <c r="AA169" s="18">
        <f ca="1">IF('Current Char Stats'!$A38="","",'Current Char Stats'!$Z38)</f>
        <v>0</v>
      </c>
      <c r="AB169" s="18">
        <f ca="1">IF('Current Char Stats'!$A38="","",'Current Char Stats'!$AA38)</f>
        <v>0</v>
      </c>
      <c r="AC169" s="18">
        <f ca="1">IF('Current Char Stats'!$A38="","",'Current Char Stats'!$AB38)</f>
        <v>0</v>
      </c>
      <c r="AD169" s="18">
        <f ca="1">IF('Current Char Stats'!$A38="","",'Current Char Stats'!$AC38)</f>
        <v>0</v>
      </c>
      <c r="AE169" s="18">
        <f ca="1">IF('Current Char Stats'!$A38="","",'Current Char Stats'!$AD38)</f>
        <v>0</v>
      </c>
      <c r="AF169" s="18">
        <f ca="1">IF('Current Char Stats'!$A38="","",'Current Char Stats'!$AE38)</f>
        <v>0</v>
      </c>
    </row>
    <row r="170" spans="1:32">
      <c r="A170" s="18">
        <f ca="1">IF('Current Char Stats'!$A39="","",Settings!$B$2)</f>
        <v>1</v>
      </c>
      <c r="B170" s="117" t="str">
        <f ca="1">IF('Current Char Stats'!$A39="","",'Current Char Stats'!$A39)</f>
        <v>Justin</v>
      </c>
      <c r="C170" s="18" t="str">
        <f ca="1">IF('Current Char Stats'!$A39="","",'Current Char Stats'!$B39)</f>
        <v>Boo</v>
      </c>
      <c r="D170" s="18" t="str">
        <f ca="1">IF('Current Char Stats'!$A39="","",'Current Char Stats'!$C39)</f>
        <v>G2</v>
      </c>
      <c r="E170" s="18">
        <f ca="1">IF('Current Char Stats'!$A39="","",'Current Char Stats'!$D39)</f>
        <v>1</v>
      </c>
      <c r="F170" s="18">
        <f ca="1">IF('Current Char Stats'!$A39="","",'Current Char Stats'!$E39)</f>
        <v>1</v>
      </c>
      <c r="G170" s="18">
        <f ca="1">IF('Current Char Stats'!$A39="","",'Current Char Stats'!$F39)</f>
        <v>1</v>
      </c>
      <c r="H170" s="18">
        <f ca="1">IF('Current Char Stats'!$A39="","",'Current Char Stats'!$G39)</f>
        <v>1</v>
      </c>
      <c r="I170" s="18">
        <f ca="1">IF('Current Char Stats'!$A39="","",'Current Char Stats'!$H39)</f>
        <v>1</v>
      </c>
      <c r="J170" s="18">
        <f ca="1">IF('Current Char Stats'!$A39="","",'Current Char Stats'!$I39)</f>
        <v>2.1</v>
      </c>
      <c r="K170" s="18">
        <f ca="1">IF('Current Char Stats'!$A39="","",'Current Char Stats'!$J39)</f>
        <v>4</v>
      </c>
      <c r="L170" s="18">
        <f ca="1">IF('Current Char Stats'!$A39="","",'Current Char Stats'!$K39)</f>
        <v>15.428571428571427</v>
      </c>
      <c r="M170" s="18">
        <f ca="1">IF('Current Char Stats'!$A39="","",'Current Char Stats'!$L39)</f>
        <v>0</v>
      </c>
      <c r="N170" s="18">
        <f ca="1">IF('Current Char Stats'!$A39="","",'Current Char Stats'!$M39)</f>
        <v>0</v>
      </c>
      <c r="O170" s="18">
        <f ca="1">IF('Current Char Stats'!$A39="","",'Current Char Stats'!$N39)</f>
        <v>1</v>
      </c>
      <c r="P170" s="18">
        <f ca="1">IF('Current Char Stats'!$A39="","",'Current Char Stats'!$O39)</f>
        <v>0</v>
      </c>
      <c r="Q170" s="18">
        <f ca="1">IF('Current Char Stats'!$A39="","",'Current Char Stats'!$P39)</f>
        <v>0</v>
      </c>
      <c r="R170" s="18">
        <f ca="1">IF('Current Char Stats'!$A39="","",'Current Char Stats'!$Q39)</f>
        <v>0</v>
      </c>
      <c r="S170" s="18">
        <f ca="1">IF('Current Char Stats'!$A39="","",'Current Char Stats'!$R39)</f>
        <v>0</v>
      </c>
      <c r="T170" s="18">
        <f ca="1">IF('Current Char Stats'!$A39="","",'Current Char Stats'!$S39)</f>
        <v>0</v>
      </c>
      <c r="U170" s="18">
        <f ca="1">IF('Current Char Stats'!$A39="","",'Current Char Stats'!$T39)</f>
        <v>0</v>
      </c>
      <c r="V170" s="18">
        <f ca="1">IF('Current Char Stats'!$A39="","",'Current Char Stats'!$U39)</f>
        <v>0</v>
      </c>
      <c r="W170" s="18">
        <f ca="1">IF('Current Char Stats'!$A39="","",'Current Char Stats'!$V39)</f>
        <v>7</v>
      </c>
      <c r="X170" s="18">
        <f ca="1">IF('Current Char Stats'!$A39="","",'Current Char Stats'!$W39)</f>
        <v>4</v>
      </c>
      <c r="Y170" s="18">
        <f ca="1">IF('Current Char Stats'!$A39="","",'Current Char Stats'!$X39)</f>
        <v>0</v>
      </c>
      <c r="Z170" s="18">
        <f ca="1">IF('Current Char Stats'!$A39="","",'Current Char Stats'!$Y39)</f>
        <v>1</v>
      </c>
      <c r="AA170" s="18">
        <f ca="1">IF('Current Char Stats'!$A39="","",'Current Char Stats'!$Z39)</f>
        <v>2</v>
      </c>
      <c r="AB170" s="18">
        <f ca="1">IF('Current Char Stats'!$A39="","",'Current Char Stats'!$AA39)</f>
        <v>0</v>
      </c>
      <c r="AC170" s="18">
        <f ca="1">IF('Current Char Stats'!$A39="","",'Current Char Stats'!$AB39)</f>
        <v>0</v>
      </c>
      <c r="AD170" s="18">
        <f ca="1">IF('Current Char Stats'!$A39="","",'Current Char Stats'!$AC39)</f>
        <v>1</v>
      </c>
      <c r="AE170" s="18">
        <f ca="1">IF('Current Char Stats'!$A39="","",'Current Char Stats'!$AD39)</f>
        <v>3.333333333333333</v>
      </c>
      <c r="AF170" s="18">
        <f ca="1">IF('Current Char Stats'!$A39="","",'Current Char Stats'!$AE39)</f>
        <v>13</v>
      </c>
    </row>
    <row r="171" spans="1:32">
      <c r="A171" s="18">
        <f ca="1">IF('Current Char Stats'!$A40="","",Settings!$B$2)</f>
        <v>1</v>
      </c>
      <c r="B171" s="117" t="str">
        <f ca="1">IF('Current Char Stats'!$A40="","",'Current Char Stats'!$A40)</f>
        <v>May</v>
      </c>
      <c r="C171" s="18" t="str">
        <f ca="1">IF('Current Char Stats'!$A40="","",'Current Char Stats'!$B40)</f>
        <v>Birdo</v>
      </c>
      <c r="D171" s="18" t="str">
        <f ca="1">IF('Current Char Stats'!$A40="","",'Current Char Stats'!$C40)</f>
        <v>G3</v>
      </c>
      <c r="E171" s="18">
        <f ca="1">IF('Current Char Stats'!$A40="","",'Current Char Stats'!$D40)</f>
        <v>3</v>
      </c>
      <c r="F171" s="18">
        <f ca="1">IF('Current Char Stats'!$A40="","",'Current Char Stats'!$E40)</f>
        <v>1</v>
      </c>
      <c r="G171" s="18">
        <f ca="1">IF('Current Char Stats'!$A40="","",'Current Char Stats'!$F40)</f>
        <v>0.33333333333333331</v>
      </c>
      <c r="H171" s="18">
        <f ca="1">IF('Current Char Stats'!$A40="","",'Current Char Stats'!$G40)</f>
        <v>0</v>
      </c>
      <c r="I171" s="18">
        <f ca="1">IF('Current Char Stats'!$A40="","",'Current Char Stats'!$H40)</f>
        <v>0</v>
      </c>
      <c r="J171" s="18">
        <f ca="1">IF('Current Char Stats'!$A40="","",'Current Char Stats'!$I40)</f>
        <v>0</v>
      </c>
      <c r="K171" s="18">
        <f ca="1">IF('Current Char Stats'!$A40="","",'Current Char Stats'!$J40)</f>
        <v>0</v>
      </c>
      <c r="L171" s="18" t="str">
        <f ca="1">IF('Current Char Stats'!$A40="","",'Current Char Stats'!$K40)</f>
        <v/>
      </c>
      <c r="M171" s="18">
        <f ca="1">IF('Current Char Stats'!$A40="","",'Current Char Stats'!$L40)</f>
        <v>0</v>
      </c>
      <c r="N171" s="18">
        <f ca="1">IF('Current Char Stats'!$A40="","",'Current Char Stats'!$M40)</f>
        <v>0</v>
      </c>
      <c r="O171" s="18">
        <f ca="1">IF('Current Char Stats'!$A40="","",'Current Char Stats'!$N40)</f>
        <v>0</v>
      </c>
      <c r="P171" s="18">
        <f ca="1">IF('Current Char Stats'!$A40="","",'Current Char Stats'!$O40)</f>
        <v>0</v>
      </c>
      <c r="Q171" s="18">
        <f ca="1">IF('Current Char Stats'!$A40="","",'Current Char Stats'!$P40)</f>
        <v>0</v>
      </c>
      <c r="R171" s="18">
        <f ca="1">IF('Current Char Stats'!$A40="","",'Current Char Stats'!$Q40)</f>
        <v>0</v>
      </c>
      <c r="S171" s="18">
        <f ca="1">IF('Current Char Stats'!$A40="","",'Current Char Stats'!$R40)</f>
        <v>0</v>
      </c>
      <c r="T171" s="18">
        <f ca="1">IF('Current Char Stats'!$A40="","",'Current Char Stats'!$S40)</f>
        <v>0</v>
      </c>
      <c r="U171" s="18">
        <f ca="1">IF('Current Char Stats'!$A40="","",'Current Char Stats'!$T40)</f>
        <v>0</v>
      </c>
      <c r="V171" s="18">
        <f ca="1">IF('Current Char Stats'!$A40="","",'Current Char Stats'!$U40)</f>
        <v>0</v>
      </c>
      <c r="W171" s="18">
        <f ca="1">IF('Current Char Stats'!$A40="","",'Current Char Stats'!$V40)</f>
        <v>0</v>
      </c>
      <c r="X171" s="18">
        <f ca="1">IF('Current Char Stats'!$A40="","",'Current Char Stats'!$W40)</f>
        <v>0</v>
      </c>
      <c r="Y171" s="18">
        <f ca="1">IF('Current Char Stats'!$A40="","",'Current Char Stats'!$X40)</f>
        <v>0</v>
      </c>
      <c r="Z171" s="18">
        <f ca="1">IF('Current Char Stats'!$A40="","",'Current Char Stats'!$Y40)</f>
        <v>0</v>
      </c>
      <c r="AA171" s="18">
        <f ca="1">IF('Current Char Stats'!$A40="","",'Current Char Stats'!$Z40)</f>
        <v>0</v>
      </c>
      <c r="AB171" s="18">
        <f ca="1">IF('Current Char Stats'!$A40="","",'Current Char Stats'!$AA40)</f>
        <v>0</v>
      </c>
      <c r="AC171" s="18">
        <f ca="1">IF('Current Char Stats'!$A40="","",'Current Char Stats'!$AB40)</f>
        <v>0</v>
      </c>
      <c r="AD171" s="18">
        <f ca="1">IF('Current Char Stats'!$A40="","",'Current Char Stats'!$AC40)</f>
        <v>0</v>
      </c>
      <c r="AE171" s="18">
        <f ca="1">IF('Current Char Stats'!$A40="","",'Current Char Stats'!$AD40)</f>
        <v>0</v>
      </c>
      <c r="AF171" s="18">
        <f ca="1">IF('Current Char Stats'!$A40="","",'Current Char Stats'!$AE40)</f>
        <v>0</v>
      </c>
    </row>
    <row r="172" spans="1:32">
      <c r="A172" s="18">
        <f ca="1">IF('Current Char Stats'!$A41="","",Settings!$B$2)</f>
        <v>1</v>
      </c>
      <c r="B172" s="117" t="str">
        <f ca="1">IF('Current Char Stats'!$A41="","",'Current Char Stats'!$A41)</f>
        <v>May</v>
      </c>
      <c r="C172" s="18" t="str">
        <f ca="1">IF('Current Char Stats'!$A41="","",'Current Char Stats'!$B41)</f>
        <v>Petey Piranha</v>
      </c>
      <c r="D172" s="18" t="str">
        <f ca="1">IF('Current Char Stats'!$A41="","",'Current Char Stats'!$C41)</f>
        <v>G3</v>
      </c>
      <c r="E172" s="18">
        <f ca="1">IF('Current Char Stats'!$A41="","",'Current Char Stats'!$D41)</f>
        <v>2</v>
      </c>
      <c r="F172" s="18">
        <f ca="1">IF('Current Char Stats'!$A41="","",'Current Char Stats'!$E41)</f>
        <v>0</v>
      </c>
      <c r="G172" s="18">
        <f ca="1">IF('Current Char Stats'!$A41="","",'Current Char Stats'!$F41)</f>
        <v>0</v>
      </c>
      <c r="H172" s="18">
        <f ca="1">IF('Current Char Stats'!$A41="","",'Current Char Stats'!$G41)</f>
        <v>0</v>
      </c>
      <c r="I172" s="18">
        <f ca="1">IF('Current Char Stats'!$A41="","",'Current Char Stats'!$H41)</f>
        <v>0</v>
      </c>
      <c r="J172" s="18">
        <f ca="1">IF('Current Char Stats'!$A41="","",'Current Char Stats'!$I41)</f>
        <v>0</v>
      </c>
      <c r="K172" s="18">
        <f ca="1">IF('Current Char Stats'!$A41="","",'Current Char Stats'!$J41)</f>
        <v>0</v>
      </c>
      <c r="L172" s="18" t="str">
        <f ca="1">IF('Current Char Stats'!$A41="","",'Current Char Stats'!$K41)</f>
        <v/>
      </c>
      <c r="M172" s="18">
        <f ca="1">IF('Current Char Stats'!$A41="","",'Current Char Stats'!$L41)</f>
        <v>0</v>
      </c>
      <c r="N172" s="18">
        <f ca="1">IF('Current Char Stats'!$A41="","",'Current Char Stats'!$M41)</f>
        <v>0</v>
      </c>
      <c r="O172" s="18">
        <f ca="1">IF('Current Char Stats'!$A41="","",'Current Char Stats'!$N41)</f>
        <v>0</v>
      </c>
      <c r="P172" s="18">
        <f ca="1">IF('Current Char Stats'!$A41="","",'Current Char Stats'!$O41)</f>
        <v>0</v>
      </c>
      <c r="Q172" s="18">
        <f ca="1">IF('Current Char Stats'!$A41="","",'Current Char Stats'!$P41)</f>
        <v>0</v>
      </c>
      <c r="R172" s="18">
        <f ca="1">IF('Current Char Stats'!$A41="","",'Current Char Stats'!$Q41)</f>
        <v>0</v>
      </c>
      <c r="S172" s="18">
        <f ca="1">IF('Current Char Stats'!$A41="","",'Current Char Stats'!$R41)</f>
        <v>0</v>
      </c>
      <c r="T172" s="18">
        <f ca="1">IF('Current Char Stats'!$A41="","",'Current Char Stats'!$S41)</f>
        <v>0</v>
      </c>
      <c r="U172" s="18">
        <f ca="1">IF('Current Char Stats'!$A41="","",'Current Char Stats'!$T41)</f>
        <v>0</v>
      </c>
      <c r="V172" s="18">
        <f ca="1">IF('Current Char Stats'!$A41="","",'Current Char Stats'!$U41)</f>
        <v>0</v>
      </c>
      <c r="W172" s="18">
        <f ca="1">IF('Current Char Stats'!$A41="","",'Current Char Stats'!$V41)</f>
        <v>0</v>
      </c>
      <c r="X172" s="18">
        <f ca="1">IF('Current Char Stats'!$A41="","",'Current Char Stats'!$W41)</f>
        <v>0</v>
      </c>
      <c r="Y172" s="18">
        <f ca="1">IF('Current Char Stats'!$A41="","",'Current Char Stats'!$X41)</f>
        <v>0</v>
      </c>
      <c r="Z172" s="18">
        <f ca="1">IF('Current Char Stats'!$A41="","",'Current Char Stats'!$Y41)</f>
        <v>0</v>
      </c>
      <c r="AA172" s="18">
        <f ca="1">IF('Current Char Stats'!$A41="","",'Current Char Stats'!$Z41)</f>
        <v>0</v>
      </c>
      <c r="AB172" s="18">
        <f ca="1">IF('Current Char Stats'!$A41="","",'Current Char Stats'!$AA41)</f>
        <v>0</v>
      </c>
      <c r="AC172" s="18">
        <f ca="1">IF('Current Char Stats'!$A41="","",'Current Char Stats'!$AB41)</f>
        <v>0</v>
      </c>
      <c r="AD172" s="18">
        <f ca="1">IF('Current Char Stats'!$A41="","",'Current Char Stats'!$AC41)</f>
        <v>0</v>
      </c>
      <c r="AE172" s="18">
        <f ca="1">IF('Current Char Stats'!$A41="","",'Current Char Stats'!$AD41)</f>
        <v>0</v>
      </c>
      <c r="AF172" s="18">
        <f ca="1">IF('Current Char Stats'!$A41="","",'Current Char Stats'!$AE41)</f>
        <v>0</v>
      </c>
    </row>
    <row r="173" spans="1:32">
      <c r="A173" s="18">
        <f ca="1">IF('Current Char Stats'!$A42="","",Settings!$B$2)</f>
        <v>1</v>
      </c>
      <c r="B173" s="117" t="str">
        <f ca="1">IF('Current Char Stats'!$A42="","",'Current Char Stats'!$A42)</f>
        <v>May</v>
      </c>
      <c r="C173" s="18" t="str">
        <f ca="1">IF('Current Char Stats'!$A42="","",'Current Char Stats'!$B42)</f>
        <v>King Boo</v>
      </c>
      <c r="D173" s="18" t="str">
        <f ca="1">IF('Current Char Stats'!$A42="","",'Current Char Stats'!$C42)</f>
        <v>G3</v>
      </c>
      <c r="E173" s="18">
        <f ca="1">IF('Current Char Stats'!$A42="","",'Current Char Stats'!$D42)</f>
        <v>2</v>
      </c>
      <c r="F173" s="18">
        <f ca="1">IF('Current Char Stats'!$A42="","",'Current Char Stats'!$E42)</f>
        <v>1</v>
      </c>
      <c r="G173" s="18">
        <f ca="1">IF('Current Char Stats'!$A42="","",'Current Char Stats'!$F42)</f>
        <v>0.5</v>
      </c>
      <c r="H173" s="18">
        <f ca="1">IF('Current Char Stats'!$A42="","",'Current Char Stats'!$G42)</f>
        <v>0</v>
      </c>
      <c r="I173" s="18">
        <f ca="1">IF('Current Char Stats'!$A42="","",'Current Char Stats'!$H42)</f>
        <v>0</v>
      </c>
      <c r="J173" s="18">
        <f ca="1">IF('Current Char Stats'!$A42="","",'Current Char Stats'!$I42)</f>
        <v>1</v>
      </c>
      <c r="K173" s="18">
        <f ca="1">IF('Current Char Stats'!$A42="","",'Current Char Stats'!$J42)</f>
        <v>1</v>
      </c>
      <c r="L173" s="18">
        <f ca="1">IF('Current Char Stats'!$A42="","",'Current Char Stats'!$K42)</f>
        <v>9</v>
      </c>
      <c r="M173" s="18">
        <f ca="1">IF('Current Char Stats'!$A42="","",'Current Char Stats'!$L42)</f>
        <v>0</v>
      </c>
      <c r="N173" s="18">
        <f ca="1">IF('Current Char Stats'!$A42="","",'Current Char Stats'!$M42)</f>
        <v>0</v>
      </c>
      <c r="O173" s="18">
        <f ca="1">IF('Current Char Stats'!$A42="","",'Current Char Stats'!$N42)</f>
        <v>0</v>
      </c>
      <c r="P173" s="18">
        <f ca="1">IF('Current Char Stats'!$A42="","",'Current Char Stats'!$O42)</f>
        <v>0</v>
      </c>
      <c r="Q173" s="18">
        <f ca="1">IF('Current Char Stats'!$A42="","",'Current Char Stats'!$P42)</f>
        <v>0</v>
      </c>
      <c r="R173" s="18">
        <f ca="1">IF('Current Char Stats'!$A42="","",'Current Char Stats'!$Q42)</f>
        <v>0</v>
      </c>
      <c r="S173" s="18">
        <f ca="1">IF('Current Char Stats'!$A42="","",'Current Char Stats'!$R42)</f>
        <v>0</v>
      </c>
      <c r="T173" s="18">
        <f ca="1">IF('Current Char Stats'!$A42="","",'Current Char Stats'!$S42)</f>
        <v>0</v>
      </c>
      <c r="U173" s="18">
        <f ca="1">IF('Current Char Stats'!$A42="","",'Current Char Stats'!$T42)</f>
        <v>0</v>
      </c>
      <c r="V173" s="18">
        <f ca="1">IF('Current Char Stats'!$A42="","",'Current Char Stats'!$U42)</f>
        <v>0</v>
      </c>
      <c r="W173" s="18">
        <f ca="1">IF('Current Char Stats'!$A42="","",'Current Char Stats'!$V42)</f>
        <v>2</v>
      </c>
      <c r="X173" s="18">
        <f ca="1">IF('Current Char Stats'!$A42="","",'Current Char Stats'!$W42)</f>
        <v>1</v>
      </c>
      <c r="Y173" s="18">
        <f ca="1">IF('Current Char Stats'!$A42="","",'Current Char Stats'!$X42)</f>
        <v>0</v>
      </c>
      <c r="Z173" s="18">
        <f ca="1">IF('Current Char Stats'!$A42="","",'Current Char Stats'!$Y42)</f>
        <v>1</v>
      </c>
      <c r="AA173" s="18">
        <f ca="1">IF('Current Char Stats'!$A42="","",'Current Char Stats'!$Z42)</f>
        <v>1</v>
      </c>
      <c r="AB173" s="18">
        <f ca="1">IF('Current Char Stats'!$A42="","",'Current Char Stats'!$AA42)</f>
        <v>0</v>
      </c>
      <c r="AC173" s="18">
        <f ca="1">IF('Current Char Stats'!$A42="","",'Current Char Stats'!$AB42)</f>
        <v>0</v>
      </c>
      <c r="AD173" s="18">
        <f ca="1">IF('Current Char Stats'!$A42="","",'Current Char Stats'!$AC42)</f>
        <v>0</v>
      </c>
      <c r="AE173" s="18">
        <f ca="1">IF('Current Char Stats'!$A42="","",'Current Char Stats'!$AD42)</f>
        <v>2</v>
      </c>
      <c r="AF173" s="18">
        <f ca="1">IF('Current Char Stats'!$A42="","",'Current Char Stats'!$AE42)</f>
        <v>5</v>
      </c>
    </row>
    <row r="174" spans="1:32">
      <c r="A174" s="18">
        <f ca="1">IF('Current Char Stats'!$A43="","",Settings!$B$2)</f>
        <v>1</v>
      </c>
      <c r="B174" s="117" t="str">
        <f ca="1">IF('Current Char Stats'!$A43="","",'Current Char Stats'!$A43)</f>
        <v>May</v>
      </c>
      <c r="C174" s="18" t="str">
        <f ca="1">IF('Current Char Stats'!$A43="","",'Current Char Stats'!$B43)</f>
        <v>Red Kritter</v>
      </c>
      <c r="D174" s="18" t="str">
        <f ca="1">IF('Current Char Stats'!$A43="","",'Current Char Stats'!$C43)</f>
        <v>G3</v>
      </c>
      <c r="E174" s="18">
        <f ca="1">IF('Current Char Stats'!$A43="","",'Current Char Stats'!$D43)</f>
        <v>1</v>
      </c>
      <c r="F174" s="18">
        <f ca="1">IF('Current Char Stats'!$A43="","",'Current Char Stats'!$E43)</f>
        <v>0</v>
      </c>
      <c r="G174" s="18">
        <f ca="1">IF('Current Char Stats'!$A43="","",'Current Char Stats'!$F43)</f>
        <v>0</v>
      </c>
      <c r="H174" s="18">
        <f ca="1">IF('Current Char Stats'!$A43="","",'Current Char Stats'!$G43)</f>
        <v>0</v>
      </c>
      <c r="I174" s="18">
        <f ca="1">IF('Current Char Stats'!$A43="","",'Current Char Stats'!$H43)</f>
        <v>0</v>
      </c>
      <c r="J174" s="18">
        <f ca="1">IF('Current Char Stats'!$A43="","",'Current Char Stats'!$I43)</f>
        <v>0</v>
      </c>
      <c r="K174" s="18">
        <f ca="1">IF('Current Char Stats'!$A43="","",'Current Char Stats'!$J43)</f>
        <v>0</v>
      </c>
      <c r="L174" s="18" t="str">
        <f ca="1">IF('Current Char Stats'!$A43="","",'Current Char Stats'!$K43)</f>
        <v/>
      </c>
      <c r="M174" s="18">
        <f ca="1">IF('Current Char Stats'!$A43="","",'Current Char Stats'!$L43)</f>
        <v>0</v>
      </c>
      <c r="N174" s="18">
        <f ca="1">IF('Current Char Stats'!$A43="","",'Current Char Stats'!$M43)</f>
        <v>0</v>
      </c>
      <c r="O174" s="18">
        <f ca="1">IF('Current Char Stats'!$A43="","",'Current Char Stats'!$N43)</f>
        <v>0</v>
      </c>
      <c r="P174" s="18">
        <f ca="1">IF('Current Char Stats'!$A43="","",'Current Char Stats'!$O43)</f>
        <v>0</v>
      </c>
      <c r="Q174" s="18">
        <f ca="1">IF('Current Char Stats'!$A43="","",'Current Char Stats'!$P43)</f>
        <v>0</v>
      </c>
      <c r="R174" s="18">
        <f ca="1">IF('Current Char Stats'!$A43="","",'Current Char Stats'!$Q43)</f>
        <v>1</v>
      </c>
      <c r="S174" s="18">
        <f ca="1">IF('Current Char Stats'!$A43="","",'Current Char Stats'!$R43)</f>
        <v>0</v>
      </c>
      <c r="T174" s="18">
        <f ca="1">IF('Current Char Stats'!$A43="","",'Current Char Stats'!$S43)</f>
        <v>0</v>
      </c>
      <c r="U174" s="18">
        <f ca="1">IF('Current Char Stats'!$A43="","",'Current Char Stats'!$T43)</f>
        <v>0</v>
      </c>
      <c r="V174" s="18">
        <f ca="1">IF('Current Char Stats'!$A43="","",'Current Char Stats'!$U43)</f>
        <v>0</v>
      </c>
      <c r="W174" s="18">
        <f ca="1">IF('Current Char Stats'!$A43="","",'Current Char Stats'!$V43)</f>
        <v>0</v>
      </c>
      <c r="X174" s="18">
        <f ca="1">IF('Current Char Stats'!$A43="","",'Current Char Stats'!$W43)</f>
        <v>0</v>
      </c>
      <c r="Y174" s="18">
        <f ca="1">IF('Current Char Stats'!$A43="","",'Current Char Stats'!$X43)</f>
        <v>0</v>
      </c>
      <c r="Z174" s="18">
        <f ca="1">IF('Current Char Stats'!$A43="","",'Current Char Stats'!$Y43)</f>
        <v>0</v>
      </c>
      <c r="AA174" s="18">
        <f ca="1">IF('Current Char Stats'!$A43="","",'Current Char Stats'!$Z43)</f>
        <v>0</v>
      </c>
      <c r="AB174" s="18">
        <f ca="1">IF('Current Char Stats'!$A43="","",'Current Char Stats'!$AA43)</f>
        <v>0</v>
      </c>
      <c r="AC174" s="18">
        <f ca="1">IF('Current Char Stats'!$A43="","",'Current Char Stats'!$AB43)</f>
        <v>0</v>
      </c>
      <c r="AD174" s="18">
        <f ca="1">IF('Current Char Stats'!$A43="","",'Current Char Stats'!$AC43)</f>
        <v>0</v>
      </c>
      <c r="AE174" s="18">
        <f ca="1">IF('Current Char Stats'!$A43="","",'Current Char Stats'!$AD43)</f>
        <v>0</v>
      </c>
      <c r="AF174" s="18">
        <f ca="1">IF('Current Char Stats'!$A43="","",'Current Char Stats'!$AE43)</f>
        <v>0</v>
      </c>
    </row>
    <row r="175" spans="1:32">
      <c r="A175" s="18">
        <f ca="1">IF('Current Char Stats'!$A44="","",Settings!$B$2)</f>
        <v>1</v>
      </c>
      <c r="B175" s="117" t="str">
        <f ca="1">IF('Current Char Stats'!$A44="","",'Current Char Stats'!$A44)</f>
        <v>May</v>
      </c>
      <c r="C175" s="18" t="str">
        <f ca="1">IF('Current Char Stats'!$A44="","",'Current Char Stats'!$B44)</f>
        <v>Hammer Bro</v>
      </c>
      <c r="D175" s="18" t="str">
        <f ca="1">IF('Current Char Stats'!$A44="","",'Current Char Stats'!$C44)</f>
        <v>G3</v>
      </c>
      <c r="E175" s="18">
        <f ca="1">IF('Current Char Stats'!$A44="","",'Current Char Stats'!$D44)</f>
        <v>2</v>
      </c>
      <c r="F175" s="18">
        <f ca="1">IF('Current Char Stats'!$A44="","",'Current Char Stats'!$E44)</f>
        <v>0</v>
      </c>
      <c r="G175" s="18">
        <f ca="1">IF('Current Char Stats'!$A44="","",'Current Char Stats'!$F44)</f>
        <v>0</v>
      </c>
      <c r="H175" s="18">
        <f ca="1">IF('Current Char Stats'!$A44="","",'Current Char Stats'!$G44)</f>
        <v>0</v>
      </c>
      <c r="I175" s="18">
        <f ca="1">IF('Current Char Stats'!$A44="","",'Current Char Stats'!$H44)</f>
        <v>0</v>
      </c>
      <c r="J175" s="18">
        <f ca="1">IF('Current Char Stats'!$A44="","",'Current Char Stats'!$I44)</f>
        <v>0</v>
      </c>
      <c r="K175" s="18">
        <f ca="1">IF('Current Char Stats'!$A44="","",'Current Char Stats'!$J44)</f>
        <v>0</v>
      </c>
      <c r="L175" s="18" t="str">
        <f ca="1">IF('Current Char Stats'!$A44="","",'Current Char Stats'!$K44)</f>
        <v/>
      </c>
      <c r="M175" s="18">
        <f ca="1">IF('Current Char Stats'!$A44="","",'Current Char Stats'!$L44)</f>
        <v>0</v>
      </c>
      <c r="N175" s="18">
        <f ca="1">IF('Current Char Stats'!$A44="","",'Current Char Stats'!$M44)</f>
        <v>0</v>
      </c>
      <c r="O175" s="18">
        <f ca="1">IF('Current Char Stats'!$A44="","",'Current Char Stats'!$N44)</f>
        <v>0</v>
      </c>
      <c r="P175" s="18">
        <f ca="1">IF('Current Char Stats'!$A44="","",'Current Char Stats'!$O44)</f>
        <v>0</v>
      </c>
      <c r="Q175" s="18">
        <f ca="1">IF('Current Char Stats'!$A44="","",'Current Char Stats'!$P44)</f>
        <v>0</v>
      </c>
      <c r="R175" s="18">
        <f ca="1">IF('Current Char Stats'!$A44="","",'Current Char Stats'!$Q44)</f>
        <v>0</v>
      </c>
      <c r="S175" s="18">
        <f ca="1">IF('Current Char Stats'!$A44="","",'Current Char Stats'!$R44)</f>
        <v>0</v>
      </c>
      <c r="T175" s="18">
        <f ca="1">IF('Current Char Stats'!$A44="","",'Current Char Stats'!$S44)</f>
        <v>0</v>
      </c>
      <c r="U175" s="18">
        <f ca="1">IF('Current Char Stats'!$A44="","",'Current Char Stats'!$T44)</f>
        <v>0</v>
      </c>
      <c r="V175" s="18">
        <f ca="1">IF('Current Char Stats'!$A44="","",'Current Char Stats'!$U44)</f>
        <v>0</v>
      </c>
      <c r="W175" s="18">
        <f ca="1">IF('Current Char Stats'!$A44="","",'Current Char Stats'!$V44)</f>
        <v>0</v>
      </c>
      <c r="X175" s="18">
        <f ca="1">IF('Current Char Stats'!$A44="","",'Current Char Stats'!$W44)</f>
        <v>0</v>
      </c>
      <c r="Y175" s="18">
        <f ca="1">IF('Current Char Stats'!$A44="","",'Current Char Stats'!$X44)</f>
        <v>0</v>
      </c>
      <c r="Z175" s="18">
        <f ca="1">IF('Current Char Stats'!$A44="","",'Current Char Stats'!$Y44)</f>
        <v>0</v>
      </c>
      <c r="AA175" s="18">
        <f ca="1">IF('Current Char Stats'!$A44="","",'Current Char Stats'!$Z44)</f>
        <v>0</v>
      </c>
      <c r="AB175" s="18">
        <f ca="1">IF('Current Char Stats'!$A44="","",'Current Char Stats'!$AA44)</f>
        <v>0</v>
      </c>
      <c r="AC175" s="18">
        <f ca="1">IF('Current Char Stats'!$A44="","",'Current Char Stats'!$AB44)</f>
        <v>0</v>
      </c>
      <c r="AD175" s="18">
        <f ca="1">IF('Current Char Stats'!$A44="","",'Current Char Stats'!$AC44)</f>
        <v>0</v>
      </c>
      <c r="AE175" s="18">
        <f ca="1">IF('Current Char Stats'!$A44="","",'Current Char Stats'!$AD44)</f>
        <v>0</v>
      </c>
      <c r="AF175" s="18">
        <f ca="1">IF('Current Char Stats'!$A44="","",'Current Char Stats'!$AE44)</f>
        <v>0</v>
      </c>
    </row>
    <row r="176" spans="1:32">
      <c r="A176" s="18">
        <f ca="1">IF('Current Char Stats'!$A45="","",Settings!$B$2)</f>
        <v>1</v>
      </c>
      <c r="B176" s="117" t="str">
        <f ca="1">IF('Current Char Stats'!$A45="","",'Current Char Stats'!$A45)</f>
        <v>May</v>
      </c>
      <c r="C176" s="18" t="str">
        <f ca="1">IF('Current Char Stats'!$A45="","",'Current Char Stats'!$B45)</f>
        <v>Koopa</v>
      </c>
      <c r="D176" s="18" t="str">
        <f ca="1">IF('Current Char Stats'!$A45="","",'Current Char Stats'!$C45)</f>
        <v>G3</v>
      </c>
      <c r="E176" s="18">
        <f ca="1">IF('Current Char Stats'!$A45="","",'Current Char Stats'!$D45)</f>
        <v>2</v>
      </c>
      <c r="F176" s="18">
        <f ca="1">IF('Current Char Stats'!$A45="","",'Current Char Stats'!$E45)</f>
        <v>1</v>
      </c>
      <c r="G176" s="18">
        <f ca="1">IF('Current Char Stats'!$A45="","",'Current Char Stats'!$F45)</f>
        <v>0.5</v>
      </c>
      <c r="H176" s="18">
        <f ca="1">IF('Current Char Stats'!$A45="","",'Current Char Stats'!$G45)</f>
        <v>0</v>
      </c>
      <c r="I176" s="18">
        <f ca="1">IF('Current Char Stats'!$A45="","",'Current Char Stats'!$H45)</f>
        <v>0</v>
      </c>
      <c r="J176" s="18">
        <f ca="1">IF('Current Char Stats'!$A45="","",'Current Char Stats'!$I45)</f>
        <v>0</v>
      </c>
      <c r="K176" s="18">
        <f ca="1">IF('Current Char Stats'!$A45="","",'Current Char Stats'!$J45)</f>
        <v>0</v>
      </c>
      <c r="L176" s="18" t="str">
        <f ca="1">IF('Current Char Stats'!$A45="","",'Current Char Stats'!$K45)</f>
        <v/>
      </c>
      <c r="M176" s="18">
        <f ca="1">IF('Current Char Stats'!$A45="","",'Current Char Stats'!$L45)</f>
        <v>0</v>
      </c>
      <c r="N176" s="18">
        <f ca="1">IF('Current Char Stats'!$A45="","",'Current Char Stats'!$M45)</f>
        <v>0</v>
      </c>
      <c r="O176" s="18">
        <f ca="1">IF('Current Char Stats'!$A45="","",'Current Char Stats'!$N45)</f>
        <v>0</v>
      </c>
      <c r="P176" s="18">
        <f ca="1">IF('Current Char Stats'!$A45="","",'Current Char Stats'!$O45)</f>
        <v>0</v>
      </c>
      <c r="Q176" s="18">
        <f ca="1">IF('Current Char Stats'!$A45="","",'Current Char Stats'!$P45)</f>
        <v>0</v>
      </c>
      <c r="R176" s="18">
        <f ca="1">IF('Current Char Stats'!$A45="","",'Current Char Stats'!$Q45)</f>
        <v>0</v>
      </c>
      <c r="S176" s="18">
        <f ca="1">IF('Current Char Stats'!$A45="","",'Current Char Stats'!$R45)</f>
        <v>0</v>
      </c>
      <c r="T176" s="18">
        <f ca="1">IF('Current Char Stats'!$A45="","",'Current Char Stats'!$S45)</f>
        <v>0</v>
      </c>
      <c r="U176" s="18">
        <f ca="1">IF('Current Char Stats'!$A45="","",'Current Char Stats'!$T45)</f>
        <v>0</v>
      </c>
      <c r="V176" s="18">
        <f ca="1">IF('Current Char Stats'!$A45="","",'Current Char Stats'!$U45)</f>
        <v>0</v>
      </c>
      <c r="W176" s="18">
        <f ca="1">IF('Current Char Stats'!$A45="","",'Current Char Stats'!$V45)</f>
        <v>0</v>
      </c>
      <c r="X176" s="18">
        <f ca="1">IF('Current Char Stats'!$A45="","",'Current Char Stats'!$W45)</f>
        <v>0</v>
      </c>
      <c r="Y176" s="18">
        <f ca="1">IF('Current Char Stats'!$A45="","",'Current Char Stats'!$X45)</f>
        <v>0</v>
      </c>
      <c r="Z176" s="18">
        <f ca="1">IF('Current Char Stats'!$A45="","",'Current Char Stats'!$Y45)</f>
        <v>0</v>
      </c>
      <c r="AA176" s="18">
        <f ca="1">IF('Current Char Stats'!$A45="","",'Current Char Stats'!$Z45)</f>
        <v>0</v>
      </c>
      <c r="AB176" s="18">
        <f ca="1">IF('Current Char Stats'!$A45="","",'Current Char Stats'!$AA45)</f>
        <v>0</v>
      </c>
      <c r="AC176" s="18">
        <f ca="1">IF('Current Char Stats'!$A45="","",'Current Char Stats'!$AB45)</f>
        <v>0</v>
      </c>
      <c r="AD176" s="18">
        <f ca="1">IF('Current Char Stats'!$A45="","",'Current Char Stats'!$AC45)</f>
        <v>0</v>
      </c>
      <c r="AE176" s="18">
        <f ca="1">IF('Current Char Stats'!$A45="","",'Current Char Stats'!$AD45)</f>
        <v>0</v>
      </c>
      <c r="AF176" s="18">
        <f ca="1">IF('Current Char Stats'!$A45="","",'Current Char Stats'!$AE45)</f>
        <v>0</v>
      </c>
    </row>
    <row r="177" spans="1:32">
      <c r="A177" s="18">
        <f ca="1">IF('Current Char Stats'!$A46="","",Settings!$B$2)</f>
        <v>1</v>
      </c>
      <c r="B177" s="117" t="str">
        <f ca="1">IF('Current Char Stats'!$A46="","",'Current Char Stats'!$A46)</f>
        <v>May</v>
      </c>
      <c r="C177" s="18" t="str">
        <f ca="1">IF('Current Char Stats'!$A46="","",'Current Char Stats'!$B46)</f>
        <v>Green Shy Guy</v>
      </c>
      <c r="D177" s="18" t="str">
        <f ca="1">IF('Current Char Stats'!$A46="","",'Current Char Stats'!$C46)</f>
        <v>G3</v>
      </c>
      <c r="E177" s="18">
        <f ca="1">IF('Current Char Stats'!$A46="","",'Current Char Stats'!$D46)</f>
        <v>2</v>
      </c>
      <c r="F177" s="18">
        <f ca="1">IF('Current Char Stats'!$A46="","",'Current Char Stats'!$E46)</f>
        <v>1</v>
      </c>
      <c r="G177" s="18">
        <f ca="1">IF('Current Char Stats'!$A46="","",'Current Char Stats'!$F46)</f>
        <v>0.5</v>
      </c>
      <c r="H177" s="18">
        <f ca="1">IF('Current Char Stats'!$A46="","",'Current Char Stats'!$G46)</f>
        <v>0</v>
      </c>
      <c r="I177" s="18">
        <f ca="1">IF('Current Char Stats'!$A46="","",'Current Char Stats'!$H46)</f>
        <v>0</v>
      </c>
      <c r="J177" s="18">
        <f ca="1">IF('Current Char Stats'!$A46="","",'Current Char Stats'!$I46)</f>
        <v>0</v>
      </c>
      <c r="K177" s="18">
        <f ca="1">IF('Current Char Stats'!$A46="","",'Current Char Stats'!$J46)</f>
        <v>0</v>
      </c>
      <c r="L177" s="18" t="str">
        <f ca="1">IF('Current Char Stats'!$A46="","",'Current Char Stats'!$K46)</f>
        <v/>
      </c>
      <c r="M177" s="18">
        <f ca="1">IF('Current Char Stats'!$A46="","",'Current Char Stats'!$L46)</f>
        <v>0</v>
      </c>
      <c r="N177" s="18">
        <f ca="1">IF('Current Char Stats'!$A46="","",'Current Char Stats'!$M46)</f>
        <v>0</v>
      </c>
      <c r="O177" s="18">
        <f ca="1">IF('Current Char Stats'!$A46="","",'Current Char Stats'!$N46)</f>
        <v>0</v>
      </c>
      <c r="P177" s="18">
        <f ca="1">IF('Current Char Stats'!$A46="","",'Current Char Stats'!$O46)</f>
        <v>0</v>
      </c>
      <c r="Q177" s="18">
        <f ca="1">IF('Current Char Stats'!$A46="","",'Current Char Stats'!$P46)</f>
        <v>0</v>
      </c>
      <c r="R177" s="18">
        <f ca="1">IF('Current Char Stats'!$A46="","",'Current Char Stats'!$Q46)</f>
        <v>0</v>
      </c>
      <c r="S177" s="18">
        <f ca="1">IF('Current Char Stats'!$A46="","",'Current Char Stats'!$R46)</f>
        <v>0</v>
      </c>
      <c r="T177" s="18">
        <f ca="1">IF('Current Char Stats'!$A46="","",'Current Char Stats'!$S46)</f>
        <v>0</v>
      </c>
      <c r="U177" s="18">
        <f ca="1">IF('Current Char Stats'!$A46="","",'Current Char Stats'!$T46)</f>
        <v>0</v>
      </c>
      <c r="V177" s="18">
        <f ca="1">IF('Current Char Stats'!$A46="","",'Current Char Stats'!$U46)</f>
        <v>0</v>
      </c>
      <c r="W177" s="18">
        <f ca="1">IF('Current Char Stats'!$A46="","",'Current Char Stats'!$V46)</f>
        <v>0</v>
      </c>
      <c r="X177" s="18">
        <f ca="1">IF('Current Char Stats'!$A46="","",'Current Char Stats'!$W46)</f>
        <v>0</v>
      </c>
      <c r="Y177" s="18">
        <f ca="1">IF('Current Char Stats'!$A46="","",'Current Char Stats'!$X46)</f>
        <v>0</v>
      </c>
      <c r="Z177" s="18">
        <f ca="1">IF('Current Char Stats'!$A46="","",'Current Char Stats'!$Y46)</f>
        <v>0</v>
      </c>
      <c r="AA177" s="18">
        <f ca="1">IF('Current Char Stats'!$A46="","",'Current Char Stats'!$Z46)</f>
        <v>0</v>
      </c>
      <c r="AB177" s="18">
        <f ca="1">IF('Current Char Stats'!$A46="","",'Current Char Stats'!$AA46)</f>
        <v>0</v>
      </c>
      <c r="AC177" s="18">
        <f ca="1">IF('Current Char Stats'!$A46="","",'Current Char Stats'!$AB46)</f>
        <v>0</v>
      </c>
      <c r="AD177" s="18">
        <f ca="1">IF('Current Char Stats'!$A46="","",'Current Char Stats'!$AC46)</f>
        <v>0</v>
      </c>
      <c r="AE177" s="18">
        <f ca="1">IF('Current Char Stats'!$A46="","",'Current Char Stats'!$AD46)</f>
        <v>0</v>
      </c>
      <c r="AF177" s="18">
        <f ca="1">IF('Current Char Stats'!$A46="","",'Current Char Stats'!$AE46)</f>
        <v>0</v>
      </c>
    </row>
    <row r="178" spans="1:32">
      <c r="A178" s="18">
        <f ca="1">IF('Current Char Stats'!$A47="","",Settings!$B$2)</f>
        <v>1</v>
      </c>
      <c r="B178" s="117" t="str">
        <f ca="1">IF('Current Char Stats'!$A47="","",'Current Char Stats'!$A47)</f>
        <v>May</v>
      </c>
      <c r="C178" s="18" t="str">
        <f ca="1">IF('Current Char Stats'!$A47="","",'Current Char Stats'!$B47)</f>
        <v>Red Yoshi</v>
      </c>
      <c r="D178" s="18" t="str">
        <f ca="1">IF('Current Char Stats'!$A47="","",'Current Char Stats'!$C47)</f>
        <v>G3</v>
      </c>
      <c r="E178" s="18">
        <f ca="1">IF('Current Char Stats'!$A47="","",'Current Char Stats'!$D47)</f>
        <v>2</v>
      </c>
      <c r="F178" s="18">
        <f ca="1">IF('Current Char Stats'!$A47="","",'Current Char Stats'!$E47)</f>
        <v>2</v>
      </c>
      <c r="G178" s="18">
        <f ca="1">IF('Current Char Stats'!$A47="","",'Current Char Stats'!$F47)</f>
        <v>1</v>
      </c>
      <c r="H178" s="18">
        <f ca="1">IF('Current Char Stats'!$A47="","",'Current Char Stats'!$G47)</f>
        <v>0</v>
      </c>
      <c r="I178" s="18">
        <f ca="1">IF('Current Char Stats'!$A47="","",'Current Char Stats'!$H47)</f>
        <v>0</v>
      </c>
      <c r="J178" s="18">
        <f ca="1">IF('Current Char Stats'!$A47="","",'Current Char Stats'!$I47)</f>
        <v>0</v>
      </c>
      <c r="K178" s="18">
        <f ca="1">IF('Current Char Stats'!$A47="","",'Current Char Stats'!$J47)</f>
        <v>0</v>
      </c>
      <c r="L178" s="18" t="str">
        <f ca="1">IF('Current Char Stats'!$A47="","",'Current Char Stats'!$K47)</f>
        <v/>
      </c>
      <c r="M178" s="18">
        <f ca="1">IF('Current Char Stats'!$A47="","",'Current Char Stats'!$L47)</f>
        <v>0</v>
      </c>
      <c r="N178" s="18">
        <f ca="1">IF('Current Char Stats'!$A47="","",'Current Char Stats'!$M47)</f>
        <v>0</v>
      </c>
      <c r="O178" s="18">
        <f ca="1">IF('Current Char Stats'!$A47="","",'Current Char Stats'!$N47)</f>
        <v>1</v>
      </c>
      <c r="P178" s="18">
        <f ca="1">IF('Current Char Stats'!$A47="","",'Current Char Stats'!$O47)</f>
        <v>1</v>
      </c>
      <c r="Q178" s="18">
        <f ca="1">IF('Current Char Stats'!$A47="","",'Current Char Stats'!$P47)</f>
        <v>0</v>
      </c>
      <c r="R178" s="18">
        <f ca="1">IF('Current Char Stats'!$A47="","",'Current Char Stats'!$Q47)</f>
        <v>0</v>
      </c>
      <c r="S178" s="18">
        <f ca="1">IF('Current Char Stats'!$A47="","",'Current Char Stats'!$R47)</f>
        <v>0</v>
      </c>
      <c r="T178" s="18">
        <f ca="1">IF('Current Char Stats'!$A47="","",'Current Char Stats'!$S47)</f>
        <v>0</v>
      </c>
      <c r="U178" s="18">
        <f ca="1">IF('Current Char Stats'!$A47="","",'Current Char Stats'!$T47)</f>
        <v>0</v>
      </c>
      <c r="V178" s="18">
        <f ca="1">IF('Current Char Stats'!$A47="","",'Current Char Stats'!$U47)</f>
        <v>0</v>
      </c>
      <c r="W178" s="18">
        <f ca="1">IF('Current Char Stats'!$A47="","",'Current Char Stats'!$V47)</f>
        <v>0</v>
      </c>
      <c r="X178" s="18">
        <f ca="1">IF('Current Char Stats'!$A47="","",'Current Char Stats'!$W47)</f>
        <v>0</v>
      </c>
      <c r="Y178" s="18">
        <f ca="1">IF('Current Char Stats'!$A47="","",'Current Char Stats'!$X47)</f>
        <v>0</v>
      </c>
      <c r="Z178" s="18">
        <f ca="1">IF('Current Char Stats'!$A47="","",'Current Char Stats'!$Y47)</f>
        <v>0</v>
      </c>
      <c r="AA178" s="18">
        <f ca="1">IF('Current Char Stats'!$A47="","",'Current Char Stats'!$Z47)</f>
        <v>0</v>
      </c>
      <c r="AB178" s="18">
        <f ca="1">IF('Current Char Stats'!$A47="","",'Current Char Stats'!$AA47)</f>
        <v>0</v>
      </c>
      <c r="AC178" s="18">
        <f ca="1">IF('Current Char Stats'!$A47="","",'Current Char Stats'!$AB47)</f>
        <v>0</v>
      </c>
      <c r="AD178" s="18">
        <f ca="1">IF('Current Char Stats'!$A47="","",'Current Char Stats'!$AC47)</f>
        <v>0</v>
      </c>
      <c r="AE178" s="18">
        <f ca="1">IF('Current Char Stats'!$A47="","",'Current Char Stats'!$AD47)</f>
        <v>0</v>
      </c>
      <c r="AF178" s="18">
        <f ca="1">IF('Current Char Stats'!$A47="","",'Current Char Stats'!$AE47)</f>
        <v>0</v>
      </c>
    </row>
    <row r="179" spans="1:32">
      <c r="A179" s="18">
        <f ca="1">IF('Current Char Stats'!$A48="","",Settings!$B$2)</f>
        <v>1</v>
      </c>
      <c r="B179" s="117" t="str">
        <f ca="1">IF('Current Char Stats'!$A48="","",'Current Char Stats'!$A48)</f>
        <v>May</v>
      </c>
      <c r="C179" s="18" t="str">
        <f ca="1">IF('Current Char Stats'!$A48="","",'Current Char Stats'!$B48)</f>
        <v>Baby Peach</v>
      </c>
      <c r="D179" s="18" t="str">
        <f ca="1">IF('Current Char Stats'!$A48="","",'Current Char Stats'!$C48)</f>
        <v>G3</v>
      </c>
      <c r="E179" s="18">
        <f ca="1">IF('Current Char Stats'!$A48="","",'Current Char Stats'!$D48)</f>
        <v>2</v>
      </c>
      <c r="F179" s="18">
        <f ca="1">IF('Current Char Stats'!$A48="","",'Current Char Stats'!$E48)</f>
        <v>1</v>
      </c>
      <c r="G179" s="18">
        <f ca="1">IF('Current Char Stats'!$A48="","",'Current Char Stats'!$F48)</f>
        <v>0.5</v>
      </c>
      <c r="H179" s="18">
        <f ca="1">IF('Current Char Stats'!$A48="","",'Current Char Stats'!$G48)</f>
        <v>0</v>
      </c>
      <c r="I179" s="18">
        <f ca="1">IF('Current Char Stats'!$A48="","",'Current Char Stats'!$H48)</f>
        <v>1</v>
      </c>
      <c r="J179" s="18">
        <f ca="1">IF('Current Char Stats'!$A48="","",'Current Char Stats'!$I48)</f>
        <v>3</v>
      </c>
      <c r="K179" s="18">
        <f ca="1">IF('Current Char Stats'!$A48="","",'Current Char Stats'!$J48)</f>
        <v>1</v>
      </c>
      <c r="L179" s="18">
        <f ca="1">IF('Current Char Stats'!$A48="","",'Current Char Stats'!$K48)</f>
        <v>3</v>
      </c>
      <c r="M179" s="18">
        <f ca="1">IF('Current Char Stats'!$A48="","",'Current Char Stats'!$L48)</f>
        <v>0</v>
      </c>
      <c r="N179" s="18">
        <f ca="1">IF('Current Char Stats'!$A48="","",'Current Char Stats'!$M48)</f>
        <v>0</v>
      </c>
      <c r="O179" s="18">
        <f ca="1">IF('Current Char Stats'!$A48="","",'Current Char Stats'!$N48)</f>
        <v>0</v>
      </c>
      <c r="P179" s="18">
        <f ca="1">IF('Current Char Stats'!$A48="","",'Current Char Stats'!$O48)</f>
        <v>0</v>
      </c>
      <c r="Q179" s="18">
        <f ca="1">IF('Current Char Stats'!$A48="","",'Current Char Stats'!$P48)</f>
        <v>0</v>
      </c>
      <c r="R179" s="18">
        <f ca="1">IF('Current Char Stats'!$A48="","",'Current Char Stats'!$Q48)</f>
        <v>0</v>
      </c>
      <c r="S179" s="18">
        <f ca="1">IF('Current Char Stats'!$A48="","",'Current Char Stats'!$R48)</f>
        <v>1</v>
      </c>
      <c r="T179" s="18">
        <f ca="1">IF('Current Char Stats'!$A48="","",'Current Char Stats'!$S48)</f>
        <v>0</v>
      </c>
      <c r="U179" s="18">
        <f ca="1">IF('Current Char Stats'!$A48="","",'Current Char Stats'!$T48)</f>
        <v>0</v>
      </c>
      <c r="V179" s="18">
        <f ca="1">IF('Current Char Stats'!$A48="","",'Current Char Stats'!$U48)</f>
        <v>0</v>
      </c>
      <c r="W179" s="18">
        <f ca="1">IF('Current Char Stats'!$A48="","",'Current Char Stats'!$V48)</f>
        <v>3</v>
      </c>
      <c r="X179" s="18">
        <f ca="1">IF('Current Char Stats'!$A48="","",'Current Char Stats'!$W48)</f>
        <v>1</v>
      </c>
      <c r="Y179" s="18">
        <f ca="1">IF('Current Char Stats'!$A48="","",'Current Char Stats'!$X48)</f>
        <v>0</v>
      </c>
      <c r="Z179" s="18">
        <f ca="1">IF('Current Char Stats'!$A48="","",'Current Char Stats'!$Y48)</f>
        <v>1</v>
      </c>
      <c r="AA179" s="18">
        <f ca="1">IF('Current Char Stats'!$A48="","",'Current Char Stats'!$Z48)</f>
        <v>0</v>
      </c>
      <c r="AB179" s="18">
        <f ca="1">IF('Current Char Stats'!$A48="","",'Current Char Stats'!$AA48)</f>
        <v>0</v>
      </c>
      <c r="AC179" s="18">
        <f ca="1">IF('Current Char Stats'!$A48="","",'Current Char Stats'!$AB48)</f>
        <v>0</v>
      </c>
      <c r="AD179" s="18">
        <f ca="1">IF('Current Char Stats'!$A48="","",'Current Char Stats'!$AC48)</f>
        <v>0</v>
      </c>
      <c r="AE179" s="18">
        <f ca="1">IF('Current Char Stats'!$A48="","",'Current Char Stats'!$AD48)</f>
        <v>1</v>
      </c>
      <c r="AF179" s="18">
        <f ca="1">IF('Current Char Stats'!$A48="","",'Current Char Stats'!$AE48)</f>
        <v>13</v>
      </c>
    </row>
    <row r="180" spans="1:32">
      <c r="A180" s="18">
        <f ca="1">IF('Current Char Stats'!$A49="","",Settings!$B$2)</f>
        <v>1</v>
      </c>
      <c r="B180" s="117" t="str">
        <f ca="1">IF('Current Char Stats'!$A49="","",'Current Char Stats'!$A49)</f>
        <v>Nick</v>
      </c>
      <c r="C180" s="18" t="str">
        <f ca="1">IF('Current Char Stats'!$A49="","",'Current Char Stats'!$B49)</f>
        <v>Monty Mole</v>
      </c>
      <c r="D180" s="18" t="str">
        <f ca="1">IF('Current Char Stats'!$A49="","",'Current Char Stats'!$C49)</f>
        <v>G3</v>
      </c>
      <c r="E180" s="18">
        <f ca="1">IF('Current Char Stats'!$A49="","",'Current Char Stats'!$D49)</f>
        <v>2</v>
      </c>
      <c r="F180" s="18">
        <f ca="1">IF('Current Char Stats'!$A49="","",'Current Char Stats'!$E49)</f>
        <v>0</v>
      </c>
      <c r="G180" s="18">
        <f ca="1">IF('Current Char Stats'!$A49="","",'Current Char Stats'!$F49)</f>
        <v>0</v>
      </c>
      <c r="H180" s="18">
        <f ca="1">IF('Current Char Stats'!$A49="","",'Current Char Stats'!$G49)</f>
        <v>0</v>
      </c>
      <c r="I180" s="18">
        <f ca="1">IF('Current Char Stats'!$A49="","",'Current Char Stats'!$H49)</f>
        <v>0</v>
      </c>
      <c r="J180" s="18">
        <f ca="1">IF('Current Char Stats'!$A49="","",'Current Char Stats'!$I49)</f>
        <v>0</v>
      </c>
      <c r="K180" s="18">
        <f ca="1">IF('Current Char Stats'!$A49="","",'Current Char Stats'!$J49)</f>
        <v>0</v>
      </c>
      <c r="L180" s="18" t="str">
        <f ca="1">IF('Current Char Stats'!$A49="","",'Current Char Stats'!$K49)</f>
        <v/>
      </c>
      <c r="M180" s="18">
        <f ca="1">IF('Current Char Stats'!$A49="","",'Current Char Stats'!$L49)</f>
        <v>0</v>
      </c>
      <c r="N180" s="18">
        <f ca="1">IF('Current Char Stats'!$A49="","",'Current Char Stats'!$M49)</f>
        <v>0</v>
      </c>
      <c r="O180" s="18">
        <f ca="1">IF('Current Char Stats'!$A49="","",'Current Char Stats'!$N49)</f>
        <v>0</v>
      </c>
      <c r="P180" s="18">
        <f ca="1">IF('Current Char Stats'!$A49="","",'Current Char Stats'!$O49)</f>
        <v>0</v>
      </c>
      <c r="Q180" s="18">
        <f ca="1">IF('Current Char Stats'!$A49="","",'Current Char Stats'!$P49)</f>
        <v>0</v>
      </c>
      <c r="R180" s="18">
        <f ca="1">IF('Current Char Stats'!$A49="","",'Current Char Stats'!$Q49)</f>
        <v>0</v>
      </c>
      <c r="S180" s="18">
        <f ca="1">IF('Current Char Stats'!$A49="","",'Current Char Stats'!$R49)</f>
        <v>0</v>
      </c>
      <c r="T180" s="18">
        <f ca="1">IF('Current Char Stats'!$A49="","",'Current Char Stats'!$S49)</f>
        <v>0</v>
      </c>
      <c r="U180" s="18">
        <f ca="1">IF('Current Char Stats'!$A49="","",'Current Char Stats'!$T49)</f>
        <v>0</v>
      </c>
      <c r="V180" s="18">
        <f ca="1">IF('Current Char Stats'!$A49="","",'Current Char Stats'!$U49)</f>
        <v>0</v>
      </c>
      <c r="W180" s="18">
        <f ca="1">IF('Current Char Stats'!$A49="","",'Current Char Stats'!$V49)</f>
        <v>0</v>
      </c>
      <c r="X180" s="18">
        <f ca="1">IF('Current Char Stats'!$A49="","",'Current Char Stats'!$W49)</f>
        <v>0</v>
      </c>
      <c r="Y180" s="18">
        <f ca="1">IF('Current Char Stats'!$A49="","",'Current Char Stats'!$X49)</f>
        <v>0</v>
      </c>
      <c r="Z180" s="18">
        <f ca="1">IF('Current Char Stats'!$A49="","",'Current Char Stats'!$Y49)</f>
        <v>0</v>
      </c>
      <c r="AA180" s="18">
        <f ca="1">IF('Current Char Stats'!$A49="","",'Current Char Stats'!$Z49)</f>
        <v>0</v>
      </c>
      <c r="AB180" s="18">
        <f ca="1">IF('Current Char Stats'!$A49="","",'Current Char Stats'!$AA49)</f>
        <v>0</v>
      </c>
      <c r="AC180" s="18">
        <f ca="1">IF('Current Char Stats'!$A49="","",'Current Char Stats'!$AB49)</f>
        <v>0</v>
      </c>
      <c r="AD180" s="18">
        <f ca="1">IF('Current Char Stats'!$A49="","",'Current Char Stats'!$AC49)</f>
        <v>0</v>
      </c>
      <c r="AE180" s="18">
        <f ca="1">IF('Current Char Stats'!$A49="","",'Current Char Stats'!$AD49)</f>
        <v>0</v>
      </c>
      <c r="AF180" s="18">
        <f ca="1">IF('Current Char Stats'!$A49="","",'Current Char Stats'!$AE49)</f>
        <v>0</v>
      </c>
    </row>
    <row r="181" spans="1:32">
      <c r="A181" s="18">
        <f ca="1">IF('Current Char Stats'!$A50="","",Settings!$B$2)</f>
        <v>1</v>
      </c>
      <c r="B181" s="117" t="str">
        <f ca="1">IF('Current Char Stats'!$A50="","",'Current Char Stats'!$A50)</f>
        <v>Nick</v>
      </c>
      <c r="C181" s="18" t="str">
        <f ca="1">IF('Current Char Stats'!$A50="","",'Current Char Stats'!$B50)</f>
        <v>Boomerang Bro</v>
      </c>
      <c r="D181" s="18" t="str">
        <f ca="1">IF('Current Char Stats'!$A50="","",'Current Char Stats'!$C50)</f>
        <v>G3</v>
      </c>
      <c r="E181" s="18">
        <f ca="1">IF('Current Char Stats'!$A50="","",'Current Char Stats'!$D50)</f>
        <v>2</v>
      </c>
      <c r="F181" s="18">
        <f ca="1">IF('Current Char Stats'!$A50="","",'Current Char Stats'!$E50)</f>
        <v>0</v>
      </c>
      <c r="G181" s="18">
        <f ca="1">IF('Current Char Stats'!$A50="","",'Current Char Stats'!$F50)</f>
        <v>0</v>
      </c>
      <c r="H181" s="18">
        <f ca="1">IF('Current Char Stats'!$A50="","",'Current Char Stats'!$G50)</f>
        <v>0</v>
      </c>
      <c r="I181" s="18">
        <f ca="1">IF('Current Char Stats'!$A50="","",'Current Char Stats'!$H50)</f>
        <v>0</v>
      </c>
      <c r="J181" s="18">
        <f ca="1">IF('Current Char Stats'!$A50="","",'Current Char Stats'!$I50)</f>
        <v>0.1</v>
      </c>
      <c r="K181" s="18">
        <f ca="1">IF('Current Char Stats'!$A50="","",'Current Char Stats'!$J50)</f>
        <v>0</v>
      </c>
      <c r="L181" s="18">
        <f ca="1">IF('Current Char Stats'!$A50="","",'Current Char Stats'!$K50)</f>
        <v>0</v>
      </c>
      <c r="M181" s="18">
        <f ca="1">IF('Current Char Stats'!$A50="","",'Current Char Stats'!$L50)</f>
        <v>0</v>
      </c>
      <c r="N181" s="18">
        <f ca="1">IF('Current Char Stats'!$A50="","",'Current Char Stats'!$M50)</f>
        <v>0</v>
      </c>
      <c r="O181" s="18">
        <f ca="1">IF('Current Char Stats'!$A50="","",'Current Char Stats'!$N50)</f>
        <v>0</v>
      </c>
      <c r="P181" s="18">
        <f ca="1">IF('Current Char Stats'!$A50="","",'Current Char Stats'!$O50)</f>
        <v>0</v>
      </c>
      <c r="Q181" s="18">
        <f ca="1">IF('Current Char Stats'!$A50="","",'Current Char Stats'!$P50)</f>
        <v>0</v>
      </c>
      <c r="R181" s="18">
        <f ca="1">IF('Current Char Stats'!$A50="","",'Current Char Stats'!$Q50)</f>
        <v>0</v>
      </c>
      <c r="S181" s="18">
        <f ca="1">IF('Current Char Stats'!$A50="","",'Current Char Stats'!$R50)</f>
        <v>0</v>
      </c>
      <c r="T181" s="18">
        <f ca="1">IF('Current Char Stats'!$A50="","",'Current Char Stats'!$S50)</f>
        <v>0</v>
      </c>
      <c r="U181" s="18">
        <f ca="1">IF('Current Char Stats'!$A50="","",'Current Char Stats'!$T50)</f>
        <v>0</v>
      </c>
      <c r="V181" s="18">
        <f ca="1">IF('Current Char Stats'!$A50="","",'Current Char Stats'!$U50)</f>
        <v>0</v>
      </c>
      <c r="W181" s="18">
        <f ca="1">IF('Current Char Stats'!$A50="","",'Current Char Stats'!$V50)</f>
        <v>1</v>
      </c>
      <c r="X181" s="18">
        <f ca="1">IF('Current Char Stats'!$A50="","",'Current Char Stats'!$W50)</f>
        <v>0</v>
      </c>
      <c r="Y181" s="18">
        <f ca="1">IF('Current Char Stats'!$A50="","",'Current Char Stats'!$X50)</f>
        <v>0</v>
      </c>
      <c r="Z181" s="18">
        <f ca="1">IF('Current Char Stats'!$A50="","",'Current Char Stats'!$Y50)</f>
        <v>0</v>
      </c>
      <c r="AA181" s="18">
        <f ca="1">IF('Current Char Stats'!$A50="","",'Current Char Stats'!$Z50)</f>
        <v>0</v>
      </c>
      <c r="AB181" s="18">
        <f ca="1">IF('Current Char Stats'!$A50="","",'Current Char Stats'!$AA50)</f>
        <v>0</v>
      </c>
      <c r="AC181" s="18">
        <f ca="1">IF('Current Char Stats'!$A50="","",'Current Char Stats'!$AB50)</f>
        <v>0</v>
      </c>
      <c r="AD181" s="18">
        <f ca="1">IF('Current Char Stats'!$A50="","",'Current Char Stats'!$AC50)</f>
        <v>0</v>
      </c>
      <c r="AE181" s="18">
        <f ca="1">IF('Current Char Stats'!$A50="","",'Current Char Stats'!$AD50)</f>
        <v>10</v>
      </c>
      <c r="AF181" s="18">
        <f ca="1">IF('Current Char Stats'!$A50="","",'Current Char Stats'!$AE50)</f>
        <v>2</v>
      </c>
    </row>
    <row r="182" spans="1:32">
      <c r="A182" s="18">
        <f ca="1">IF('Current Char Stats'!$A51="","",Settings!$B$2)</f>
        <v>1</v>
      </c>
      <c r="B182" s="117" t="str">
        <f ca="1">IF('Current Char Stats'!$A51="","",'Current Char Stats'!$A51)</f>
        <v>Nick</v>
      </c>
      <c r="C182" s="18" t="str">
        <f ca="1">IF('Current Char Stats'!$A51="","",'Current Char Stats'!$B51)</f>
        <v>Wiggler</v>
      </c>
      <c r="D182" s="18" t="str">
        <f ca="1">IF('Current Char Stats'!$A51="","",'Current Char Stats'!$C51)</f>
        <v>G3</v>
      </c>
      <c r="E182" s="18">
        <f ca="1">IF('Current Char Stats'!$A51="","",'Current Char Stats'!$D51)</f>
        <v>2</v>
      </c>
      <c r="F182" s="18">
        <f ca="1">IF('Current Char Stats'!$A51="","",'Current Char Stats'!$E51)</f>
        <v>1</v>
      </c>
      <c r="G182" s="18">
        <f ca="1">IF('Current Char Stats'!$A51="","",'Current Char Stats'!$F51)</f>
        <v>0.5</v>
      </c>
      <c r="H182" s="18">
        <f ca="1">IF('Current Char Stats'!$A51="","",'Current Char Stats'!$G51)</f>
        <v>1</v>
      </c>
      <c r="I182" s="18">
        <f ca="1">IF('Current Char Stats'!$A51="","",'Current Char Stats'!$H51)</f>
        <v>1</v>
      </c>
      <c r="J182" s="18">
        <f ca="1">IF('Current Char Stats'!$A51="","",'Current Char Stats'!$I51)</f>
        <v>1.1000000000000001</v>
      </c>
      <c r="K182" s="18">
        <f ca="1">IF('Current Char Stats'!$A51="","",'Current Char Stats'!$J51)</f>
        <v>1</v>
      </c>
      <c r="L182" s="18">
        <f ca="1">IF('Current Char Stats'!$A51="","",'Current Char Stats'!$K51)</f>
        <v>6.75</v>
      </c>
      <c r="M182" s="18">
        <f ca="1">IF('Current Char Stats'!$A51="","",'Current Char Stats'!$L51)</f>
        <v>0</v>
      </c>
      <c r="N182" s="18">
        <f ca="1">IF('Current Char Stats'!$A51="","",'Current Char Stats'!$M51)</f>
        <v>0</v>
      </c>
      <c r="O182" s="18">
        <f ca="1">IF('Current Char Stats'!$A51="","",'Current Char Stats'!$N51)</f>
        <v>1</v>
      </c>
      <c r="P182" s="18">
        <f ca="1">IF('Current Char Stats'!$A51="","",'Current Char Stats'!$O51)</f>
        <v>0</v>
      </c>
      <c r="Q182" s="18">
        <f ca="1">IF('Current Char Stats'!$A51="","",'Current Char Stats'!$P51)</f>
        <v>0</v>
      </c>
      <c r="R182" s="18">
        <f ca="1">IF('Current Char Stats'!$A51="","",'Current Char Stats'!$Q51)</f>
        <v>0</v>
      </c>
      <c r="S182" s="18">
        <f ca="1">IF('Current Char Stats'!$A51="","",'Current Char Stats'!$R51)</f>
        <v>0</v>
      </c>
      <c r="T182" s="18">
        <f ca="1">IF('Current Char Stats'!$A51="","",'Current Char Stats'!$S51)</f>
        <v>0</v>
      </c>
      <c r="U182" s="18">
        <f ca="1">IF('Current Char Stats'!$A51="","",'Current Char Stats'!$T51)</f>
        <v>0</v>
      </c>
      <c r="V182" s="18">
        <f ca="1">IF('Current Char Stats'!$A51="","",'Current Char Stats'!$U51)</f>
        <v>0</v>
      </c>
      <c r="W182" s="18">
        <f ca="1">IF('Current Char Stats'!$A51="","",'Current Char Stats'!$V51)</f>
        <v>2</v>
      </c>
      <c r="X182" s="18">
        <f ca="1">IF('Current Char Stats'!$A51="","",'Current Char Stats'!$W51)</f>
        <v>1</v>
      </c>
      <c r="Y182" s="18">
        <f ca="1">IF('Current Char Stats'!$A51="","",'Current Char Stats'!$X51)</f>
        <v>0</v>
      </c>
      <c r="Z182" s="18">
        <f ca="1">IF('Current Char Stats'!$A51="","",'Current Char Stats'!$Y51)</f>
        <v>0</v>
      </c>
      <c r="AA182" s="18">
        <f ca="1">IF('Current Char Stats'!$A51="","",'Current Char Stats'!$Z51)</f>
        <v>0</v>
      </c>
      <c r="AB182" s="18">
        <f ca="1">IF('Current Char Stats'!$A51="","",'Current Char Stats'!$AA51)</f>
        <v>0</v>
      </c>
      <c r="AC182" s="18">
        <f ca="1">IF('Current Char Stats'!$A51="","",'Current Char Stats'!$AB51)</f>
        <v>0</v>
      </c>
      <c r="AD182" s="18">
        <f ca="1">IF('Current Char Stats'!$A51="","",'Current Char Stats'!$AC51)</f>
        <v>0</v>
      </c>
      <c r="AE182" s="18">
        <f ca="1">IF('Current Char Stats'!$A51="","",'Current Char Stats'!$AD51)</f>
        <v>1.8181818181818181</v>
      </c>
      <c r="AF182" s="18">
        <f ca="1">IF('Current Char Stats'!$A51="","",'Current Char Stats'!$AE51)</f>
        <v>6</v>
      </c>
    </row>
    <row r="183" spans="1:32">
      <c r="A183" s="18">
        <f ca="1">IF('Current Char Stats'!$A52="","",Settings!$B$2)</f>
        <v>1</v>
      </c>
      <c r="B183" s="117" t="str">
        <f ca="1">IF('Current Char Stats'!$A52="","",'Current Char Stats'!$A52)</f>
        <v>Nick</v>
      </c>
      <c r="C183" s="18" t="str">
        <f ca="1">IF('Current Char Stats'!$A52="","",'Current Char Stats'!$B52)</f>
        <v>Mii</v>
      </c>
      <c r="D183" s="18" t="str">
        <f ca="1">IF('Current Char Stats'!$A52="","",'Current Char Stats'!$C52)</f>
        <v>G3</v>
      </c>
      <c r="E183" s="18">
        <f ca="1">IF('Current Char Stats'!$A52="","",'Current Char Stats'!$D52)</f>
        <v>2</v>
      </c>
      <c r="F183" s="18">
        <f ca="1">IF('Current Char Stats'!$A52="","",'Current Char Stats'!$E52)</f>
        <v>2</v>
      </c>
      <c r="G183" s="18">
        <f ca="1">IF('Current Char Stats'!$A52="","",'Current Char Stats'!$F52)</f>
        <v>1</v>
      </c>
      <c r="H183" s="18">
        <f ca="1">IF('Current Char Stats'!$A52="","",'Current Char Stats'!$G52)</f>
        <v>0</v>
      </c>
      <c r="I183" s="18">
        <f ca="1">IF('Current Char Stats'!$A52="","",'Current Char Stats'!$H52)</f>
        <v>0</v>
      </c>
      <c r="J183" s="18">
        <f ca="1">IF('Current Char Stats'!$A52="","",'Current Char Stats'!$I52)</f>
        <v>0</v>
      </c>
      <c r="K183" s="18">
        <f ca="1">IF('Current Char Stats'!$A52="","",'Current Char Stats'!$J52)</f>
        <v>0</v>
      </c>
      <c r="L183" s="18" t="str">
        <f ca="1">IF('Current Char Stats'!$A52="","",'Current Char Stats'!$K52)</f>
        <v/>
      </c>
      <c r="M183" s="18">
        <f ca="1">IF('Current Char Stats'!$A52="","",'Current Char Stats'!$L52)</f>
        <v>0</v>
      </c>
      <c r="N183" s="18">
        <f ca="1">IF('Current Char Stats'!$A52="","",'Current Char Stats'!$M52)</f>
        <v>0</v>
      </c>
      <c r="O183" s="18">
        <f ca="1">IF('Current Char Stats'!$A52="","",'Current Char Stats'!$N52)</f>
        <v>0</v>
      </c>
      <c r="P183" s="18">
        <f ca="1">IF('Current Char Stats'!$A52="","",'Current Char Stats'!$O52)</f>
        <v>0</v>
      </c>
      <c r="Q183" s="18">
        <f ca="1">IF('Current Char Stats'!$A52="","",'Current Char Stats'!$P52)</f>
        <v>0</v>
      </c>
      <c r="R183" s="18">
        <f ca="1">IF('Current Char Stats'!$A52="","",'Current Char Stats'!$Q52)</f>
        <v>0</v>
      </c>
      <c r="S183" s="18">
        <f ca="1">IF('Current Char Stats'!$A52="","",'Current Char Stats'!$R52)</f>
        <v>0</v>
      </c>
      <c r="T183" s="18">
        <f ca="1">IF('Current Char Stats'!$A52="","",'Current Char Stats'!$S52)</f>
        <v>0</v>
      </c>
      <c r="U183" s="18">
        <f ca="1">IF('Current Char Stats'!$A52="","",'Current Char Stats'!$T52)</f>
        <v>0</v>
      </c>
      <c r="V183" s="18">
        <f ca="1">IF('Current Char Stats'!$A52="","",'Current Char Stats'!$U52)</f>
        <v>0</v>
      </c>
      <c r="W183" s="18">
        <f ca="1">IF('Current Char Stats'!$A52="","",'Current Char Stats'!$V52)</f>
        <v>0</v>
      </c>
      <c r="X183" s="18">
        <f ca="1">IF('Current Char Stats'!$A52="","",'Current Char Stats'!$W52)</f>
        <v>0</v>
      </c>
      <c r="Y183" s="18">
        <f ca="1">IF('Current Char Stats'!$A52="","",'Current Char Stats'!$X52)</f>
        <v>0</v>
      </c>
      <c r="Z183" s="18">
        <f ca="1">IF('Current Char Stats'!$A52="","",'Current Char Stats'!$Y52)</f>
        <v>0</v>
      </c>
      <c r="AA183" s="18">
        <f ca="1">IF('Current Char Stats'!$A52="","",'Current Char Stats'!$Z52)</f>
        <v>0</v>
      </c>
      <c r="AB183" s="18">
        <f ca="1">IF('Current Char Stats'!$A52="","",'Current Char Stats'!$AA52)</f>
        <v>0</v>
      </c>
      <c r="AC183" s="18">
        <f ca="1">IF('Current Char Stats'!$A52="","",'Current Char Stats'!$AB52)</f>
        <v>0</v>
      </c>
      <c r="AD183" s="18">
        <f ca="1">IF('Current Char Stats'!$A52="","",'Current Char Stats'!$AC52)</f>
        <v>0</v>
      </c>
      <c r="AE183" s="18">
        <f ca="1">IF('Current Char Stats'!$A52="","",'Current Char Stats'!$AD52)</f>
        <v>0</v>
      </c>
      <c r="AF183" s="18">
        <f ca="1">IF('Current Char Stats'!$A52="","",'Current Char Stats'!$AE52)</f>
        <v>0</v>
      </c>
    </row>
    <row r="184" spans="1:32">
      <c r="A184" s="18">
        <f ca="1">IF('Current Char Stats'!$A53="","",Settings!$B$2)</f>
        <v>1</v>
      </c>
      <c r="B184" s="117" t="str">
        <f ca="1">IF('Current Char Stats'!$A53="","",'Current Char Stats'!$A53)</f>
        <v>Nick</v>
      </c>
      <c r="C184" s="18" t="str">
        <f ca="1">IF('Current Char Stats'!$A53="","",'Current Char Stats'!$B53)</f>
        <v>Green Dry Bones</v>
      </c>
      <c r="D184" s="18" t="str">
        <f ca="1">IF('Current Char Stats'!$A53="","",'Current Char Stats'!$C53)</f>
        <v>G3</v>
      </c>
      <c r="E184" s="18">
        <f ca="1">IF('Current Char Stats'!$A53="","",'Current Char Stats'!$D53)</f>
        <v>2</v>
      </c>
      <c r="F184" s="18">
        <f ca="1">IF('Current Char Stats'!$A53="","",'Current Char Stats'!$E53)</f>
        <v>0</v>
      </c>
      <c r="G184" s="18">
        <f ca="1">IF('Current Char Stats'!$A53="","",'Current Char Stats'!$F53)</f>
        <v>0</v>
      </c>
      <c r="H184" s="18">
        <f ca="1">IF('Current Char Stats'!$A53="","",'Current Char Stats'!$G53)</f>
        <v>0</v>
      </c>
      <c r="I184" s="18">
        <f ca="1">IF('Current Char Stats'!$A53="","",'Current Char Stats'!$H53)</f>
        <v>0</v>
      </c>
      <c r="J184" s="18">
        <f ca="1">IF('Current Char Stats'!$A53="","",'Current Char Stats'!$I53)</f>
        <v>0</v>
      </c>
      <c r="K184" s="18">
        <f ca="1">IF('Current Char Stats'!$A53="","",'Current Char Stats'!$J53)</f>
        <v>0</v>
      </c>
      <c r="L184" s="18" t="str">
        <f ca="1">IF('Current Char Stats'!$A53="","",'Current Char Stats'!$K53)</f>
        <v/>
      </c>
      <c r="M184" s="18">
        <f ca="1">IF('Current Char Stats'!$A53="","",'Current Char Stats'!$L53)</f>
        <v>0</v>
      </c>
      <c r="N184" s="18">
        <f ca="1">IF('Current Char Stats'!$A53="","",'Current Char Stats'!$M53)</f>
        <v>0</v>
      </c>
      <c r="O184" s="18">
        <f ca="1">IF('Current Char Stats'!$A53="","",'Current Char Stats'!$N53)</f>
        <v>0</v>
      </c>
      <c r="P184" s="18">
        <f ca="1">IF('Current Char Stats'!$A53="","",'Current Char Stats'!$O53)</f>
        <v>0</v>
      </c>
      <c r="Q184" s="18">
        <f ca="1">IF('Current Char Stats'!$A53="","",'Current Char Stats'!$P53)</f>
        <v>0</v>
      </c>
      <c r="R184" s="18">
        <f ca="1">IF('Current Char Stats'!$A53="","",'Current Char Stats'!$Q53)</f>
        <v>0</v>
      </c>
      <c r="S184" s="18">
        <f ca="1">IF('Current Char Stats'!$A53="","",'Current Char Stats'!$R53)</f>
        <v>1</v>
      </c>
      <c r="T184" s="18">
        <f ca="1">IF('Current Char Stats'!$A53="","",'Current Char Stats'!$S53)</f>
        <v>0</v>
      </c>
      <c r="U184" s="18">
        <f ca="1">IF('Current Char Stats'!$A53="","",'Current Char Stats'!$T53)</f>
        <v>0</v>
      </c>
      <c r="V184" s="18">
        <f ca="1">IF('Current Char Stats'!$A53="","",'Current Char Stats'!$U53)</f>
        <v>0</v>
      </c>
      <c r="W184" s="18">
        <f ca="1">IF('Current Char Stats'!$A53="","",'Current Char Stats'!$V53)</f>
        <v>0</v>
      </c>
      <c r="X184" s="18">
        <f ca="1">IF('Current Char Stats'!$A53="","",'Current Char Stats'!$W53)</f>
        <v>0</v>
      </c>
      <c r="Y184" s="18">
        <f ca="1">IF('Current Char Stats'!$A53="","",'Current Char Stats'!$X53)</f>
        <v>0</v>
      </c>
      <c r="Z184" s="18">
        <f ca="1">IF('Current Char Stats'!$A53="","",'Current Char Stats'!$Y53)</f>
        <v>0</v>
      </c>
      <c r="AA184" s="18">
        <f ca="1">IF('Current Char Stats'!$A53="","",'Current Char Stats'!$Z53)</f>
        <v>0</v>
      </c>
      <c r="AB184" s="18">
        <f ca="1">IF('Current Char Stats'!$A53="","",'Current Char Stats'!$AA53)</f>
        <v>0</v>
      </c>
      <c r="AC184" s="18">
        <f ca="1">IF('Current Char Stats'!$A53="","",'Current Char Stats'!$AB53)</f>
        <v>0</v>
      </c>
      <c r="AD184" s="18">
        <f ca="1">IF('Current Char Stats'!$A53="","",'Current Char Stats'!$AC53)</f>
        <v>0</v>
      </c>
      <c r="AE184" s="18">
        <f ca="1">IF('Current Char Stats'!$A53="","",'Current Char Stats'!$AD53)</f>
        <v>0</v>
      </c>
      <c r="AF184" s="18">
        <f ca="1">IF('Current Char Stats'!$A53="","",'Current Char Stats'!$AE53)</f>
        <v>0</v>
      </c>
    </row>
    <row r="185" spans="1:32">
      <c r="A185" s="18">
        <f ca="1">IF('Current Char Stats'!$A54="","",Settings!$B$2)</f>
        <v>1</v>
      </c>
      <c r="B185" s="117" t="str">
        <f ca="1">IF('Current Char Stats'!$A54="","",'Current Char Stats'!$A54)</f>
        <v>Nick</v>
      </c>
      <c r="C185" s="18" t="str">
        <f ca="1">IF('Current Char Stats'!$A54="","",'Current Char Stats'!$B54)</f>
        <v>Toadette</v>
      </c>
      <c r="D185" s="18" t="str">
        <f ca="1">IF('Current Char Stats'!$A54="","",'Current Char Stats'!$C54)</f>
        <v>G3</v>
      </c>
      <c r="E185" s="18">
        <f ca="1">IF('Current Char Stats'!$A54="","",'Current Char Stats'!$D54)</f>
        <v>1</v>
      </c>
      <c r="F185" s="18">
        <f ca="1">IF('Current Char Stats'!$A54="","",'Current Char Stats'!$E54)</f>
        <v>1</v>
      </c>
      <c r="G185" s="18">
        <f ca="1">IF('Current Char Stats'!$A54="","",'Current Char Stats'!$F54)</f>
        <v>1</v>
      </c>
      <c r="H185" s="18">
        <f ca="1">IF('Current Char Stats'!$A54="","",'Current Char Stats'!$G54)</f>
        <v>0</v>
      </c>
      <c r="I185" s="18">
        <f ca="1">IF('Current Char Stats'!$A54="","",'Current Char Stats'!$H54)</f>
        <v>0</v>
      </c>
      <c r="J185" s="18">
        <f ca="1">IF('Current Char Stats'!$A54="","",'Current Char Stats'!$I54)</f>
        <v>0</v>
      </c>
      <c r="K185" s="18">
        <f ca="1">IF('Current Char Stats'!$A54="","",'Current Char Stats'!$J54)</f>
        <v>0</v>
      </c>
      <c r="L185" s="18" t="str">
        <f ca="1">IF('Current Char Stats'!$A54="","",'Current Char Stats'!$K54)</f>
        <v/>
      </c>
      <c r="M185" s="18">
        <f ca="1">IF('Current Char Stats'!$A54="","",'Current Char Stats'!$L54)</f>
        <v>0</v>
      </c>
      <c r="N185" s="18">
        <f ca="1">IF('Current Char Stats'!$A54="","",'Current Char Stats'!$M54)</f>
        <v>0</v>
      </c>
      <c r="O185" s="18">
        <f ca="1">IF('Current Char Stats'!$A54="","",'Current Char Stats'!$N54)</f>
        <v>1</v>
      </c>
      <c r="P185" s="18">
        <f ca="1">IF('Current Char Stats'!$A54="","",'Current Char Stats'!$O54)</f>
        <v>0</v>
      </c>
      <c r="Q185" s="18">
        <f ca="1">IF('Current Char Stats'!$A54="","",'Current Char Stats'!$P54)</f>
        <v>0</v>
      </c>
      <c r="R185" s="18">
        <f ca="1">IF('Current Char Stats'!$A54="","",'Current Char Stats'!$Q54)</f>
        <v>0</v>
      </c>
      <c r="S185" s="18">
        <f ca="1">IF('Current Char Stats'!$A54="","",'Current Char Stats'!$R54)</f>
        <v>0</v>
      </c>
      <c r="T185" s="18">
        <f ca="1">IF('Current Char Stats'!$A54="","",'Current Char Stats'!$S54)</f>
        <v>1</v>
      </c>
      <c r="U185" s="18">
        <f ca="1">IF('Current Char Stats'!$A54="","",'Current Char Stats'!$T54)</f>
        <v>0</v>
      </c>
      <c r="V185" s="18">
        <f ca="1">IF('Current Char Stats'!$A54="","",'Current Char Stats'!$U54)</f>
        <v>0</v>
      </c>
      <c r="W185" s="18">
        <f ca="1">IF('Current Char Stats'!$A54="","",'Current Char Stats'!$V54)</f>
        <v>0</v>
      </c>
      <c r="X185" s="18">
        <f ca="1">IF('Current Char Stats'!$A54="","",'Current Char Stats'!$W54)</f>
        <v>0</v>
      </c>
      <c r="Y185" s="18">
        <f ca="1">IF('Current Char Stats'!$A54="","",'Current Char Stats'!$X54)</f>
        <v>0</v>
      </c>
      <c r="Z185" s="18">
        <f ca="1">IF('Current Char Stats'!$A54="","",'Current Char Stats'!$Y54)</f>
        <v>0</v>
      </c>
      <c r="AA185" s="18">
        <f ca="1">IF('Current Char Stats'!$A54="","",'Current Char Stats'!$Z54)</f>
        <v>0</v>
      </c>
      <c r="AB185" s="18">
        <f ca="1">IF('Current Char Stats'!$A54="","",'Current Char Stats'!$AA54)</f>
        <v>0</v>
      </c>
      <c r="AC185" s="18">
        <f ca="1">IF('Current Char Stats'!$A54="","",'Current Char Stats'!$AB54)</f>
        <v>0</v>
      </c>
      <c r="AD185" s="18">
        <f ca="1">IF('Current Char Stats'!$A54="","",'Current Char Stats'!$AC54)</f>
        <v>0</v>
      </c>
      <c r="AE185" s="18">
        <f ca="1">IF('Current Char Stats'!$A54="","",'Current Char Stats'!$AD54)</f>
        <v>0</v>
      </c>
      <c r="AF185" s="18">
        <f ca="1">IF('Current Char Stats'!$A54="","",'Current Char Stats'!$AE54)</f>
        <v>0</v>
      </c>
    </row>
    <row r="186" spans="1:32">
      <c r="A186" s="18">
        <f ca="1">IF('Current Char Stats'!$A55="","",Settings!$B$2)</f>
        <v>1</v>
      </c>
      <c r="B186" s="117" t="str">
        <f ca="1">IF('Current Char Stats'!$A55="","",'Current Char Stats'!$A55)</f>
        <v>Nick</v>
      </c>
      <c r="C186" s="18" t="str">
        <f ca="1">IF('Current Char Stats'!$A55="","",'Current Char Stats'!$B55)</f>
        <v>Daisy</v>
      </c>
      <c r="D186" s="18" t="str">
        <f ca="1">IF('Current Char Stats'!$A55="","",'Current Char Stats'!$C55)</f>
        <v>G3</v>
      </c>
      <c r="E186" s="18">
        <f ca="1">IF('Current Char Stats'!$A55="","",'Current Char Stats'!$D55)</f>
        <v>2</v>
      </c>
      <c r="F186" s="18">
        <f ca="1">IF('Current Char Stats'!$A55="","",'Current Char Stats'!$E55)</f>
        <v>1</v>
      </c>
      <c r="G186" s="18">
        <f ca="1">IF('Current Char Stats'!$A55="","",'Current Char Stats'!$F55)</f>
        <v>0.5</v>
      </c>
      <c r="H186" s="18">
        <f ca="1">IF('Current Char Stats'!$A55="","",'Current Char Stats'!$G55)</f>
        <v>0</v>
      </c>
      <c r="I186" s="18">
        <f ca="1">IF('Current Char Stats'!$A55="","",'Current Char Stats'!$H55)</f>
        <v>1</v>
      </c>
      <c r="J186" s="18">
        <f ca="1">IF('Current Char Stats'!$A55="","",'Current Char Stats'!$I55)</f>
        <v>1.2</v>
      </c>
      <c r="K186" s="18">
        <f ca="1">IF('Current Char Stats'!$A55="","",'Current Char Stats'!$J55)</f>
        <v>0</v>
      </c>
      <c r="L186" s="18">
        <f ca="1">IF('Current Char Stats'!$A55="","",'Current Char Stats'!$K55)</f>
        <v>0</v>
      </c>
      <c r="M186" s="18">
        <f ca="1">IF('Current Char Stats'!$A55="","",'Current Char Stats'!$L55)</f>
        <v>1</v>
      </c>
      <c r="N186" s="18">
        <f ca="1">IF('Current Char Stats'!$A55="","",'Current Char Stats'!$M55)</f>
        <v>0</v>
      </c>
      <c r="O186" s="18">
        <f ca="1">IF('Current Char Stats'!$A55="","",'Current Char Stats'!$N55)</f>
        <v>0</v>
      </c>
      <c r="P186" s="18">
        <f ca="1">IF('Current Char Stats'!$A55="","",'Current Char Stats'!$O55)</f>
        <v>1</v>
      </c>
      <c r="Q186" s="18">
        <f ca="1">IF('Current Char Stats'!$A55="","",'Current Char Stats'!$P55)</f>
        <v>0</v>
      </c>
      <c r="R186" s="18">
        <f ca="1">IF('Current Char Stats'!$A55="","",'Current Char Stats'!$Q55)</f>
        <v>0</v>
      </c>
      <c r="S186" s="18">
        <f ca="1">IF('Current Char Stats'!$A55="","",'Current Char Stats'!$R55)</f>
        <v>1</v>
      </c>
      <c r="T186" s="18">
        <f ca="1">IF('Current Char Stats'!$A55="","",'Current Char Stats'!$S55)</f>
        <v>0</v>
      </c>
      <c r="U186" s="18">
        <f ca="1">IF('Current Char Stats'!$A55="","",'Current Char Stats'!$T55)</f>
        <v>0</v>
      </c>
      <c r="V186" s="18">
        <f ca="1">IF('Current Char Stats'!$A55="","",'Current Char Stats'!$U55)</f>
        <v>0</v>
      </c>
      <c r="W186" s="18">
        <f ca="1">IF('Current Char Stats'!$A55="","",'Current Char Stats'!$V55)</f>
        <v>3</v>
      </c>
      <c r="X186" s="18">
        <f ca="1">IF('Current Char Stats'!$A55="","",'Current Char Stats'!$W55)</f>
        <v>0</v>
      </c>
      <c r="Y186" s="18">
        <f ca="1">IF('Current Char Stats'!$A55="","",'Current Char Stats'!$X55)</f>
        <v>1</v>
      </c>
      <c r="Z186" s="18">
        <f ca="1">IF('Current Char Stats'!$A55="","",'Current Char Stats'!$Y55)</f>
        <v>0</v>
      </c>
      <c r="AA186" s="18">
        <f ca="1">IF('Current Char Stats'!$A55="","",'Current Char Stats'!$Z55)</f>
        <v>0</v>
      </c>
      <c r="AB186" s="18">
        <f ca="1">IF('Current Char Stats'!$A55="","",'Current Char Stats'!$AA55)</f>
        <v>0</v>
      </c>
      <c r="AC186" s="18">
        <f ca="1">IF('Current Char Stats'!$A55="","",'Current Char Stats'!$AB55)</f>
        <v>0</v>
      </c>
      <c r="AD186" s="18">
        <f ca="1">IF('Current Char Stats'!$A55="","",'Current Char Stats'!$AC55)</f>
        <v>0</v>
      </c>
      <c r="AE186" s="18">
        <f ca="1">IF('Current Char Stats'!$A55="","",'Current Char Stats'!$AD55)</f>
        <v>3.3333333333333335</v>
      </c>
      <c r="AF186" s="18">
        <f ca="1">IF('Current Char Stats'!$A55="","",'Current Char Stats'!$AE55)</f>
        <v>8</v>
      </c>
    </row>
    <row r="187" spans="1:32">
      <c r="A187" s="18">
        <f ca="1">IF('Current Char Stats'!$A56="","",Settings!$B$2)</f>
        <v>1</v>
      </c>
      <c r="B187" s="117" t="str">
        <f ca="1">IF('Current Char Stats'!$A56="","",'Current Char Stats'!$A56)</f>
        <v>Nick</v>
      </c>
      <c r="C187" s="18" t="str">
        <f ca="1">IF('Current Char Stats'!$A56="","",'Current Char Stats'!$B56)</f>
        <v>Blue Toad</v>
      </c>
      <c r="D187" s="18" t="str">
        <f ca="1">IF('Current Char Stats'!$A56="","",'Current Char Stats'!$C56)</f>
        <v>G3</v>
      </c>
      <c r="E187" s="18">
        <f ca="1">IF('Current Char Stats'!$A56="","",'Current Char Stats'!$D56)</f>
        <v>1</v>
      </c>
      <c r="F187" s="18">
        <f ca="1">IF('Current Char Stats'!$A56="","",'Current Char Stats'!$E56)</f>
        <v>0</v>
      </c>
      <c r="G187" s="18">
        <f ca="1">IF('Current Char Stats'!$A56="","",'Current Char Stats'!$F56)</f>
        <v>0</v>
      </c>
      <c r="H187" s="18">
        <f ca="1">IF('Current Char Stats'!$A56="","",'Current Char Stats'!$G56)</f>
        <v>0</v>
      </c>
      <c r="I187" s="18">
        <f ca="1">IF('Current Char Stats'!$A56="","",'Current Char Stats'!$H56)</f>
        <v>0</v>
      </c>
      <c r="J187" s="18">
        <f ca="1">IF('Current Char Stats'!$A56="","",'Current Char Stats'!$I56)</f>
        <v>0</v>
      </c>
      <c r="K187" s="18">
        <f ca="1">IF('Current Char Stats'!$A56="","",'Current Char Stats'!$J56)</f>
        <v>0</v>
      </c>
      <c r="L187" s="18" t="str">
        <f ca="1">IF('Current Char Stats'!$A56="","",'Current Char Stats'!$K56)</f>
        <v/>
      </c>
      <c r="M187" s="18">
        <f ca="1">IF('Current Char Stats'!$A56="","",'Current Char Stats'!$L56)</f>
        <v>0</v>
      </c>
      <c r="N187" s="18">
        <f ca="1">IF('Current Char Stats'!$A56="","",'Current Char Stats'!$M56)</f>
        <v>0</v>
      </c>
      <c r="O187" s="18">
        <f ca="1">IF('Current Char Stats'!$A56="","",'Current Char Stats'!$N56)</f>
        <v>0</v>
      </c>
      <c r="P187" s="18">
        <f ca="1">IF('Current Char Stats'!$A56="","",'Current Char Stats'!$O56)</f>
        <v>0</v>
      </c>
      <c r="Q187" s="18">
        <f ca="1">IF('Current Char Stats'!$A56="","",'Current Char Stats'!$P56)</f>
        <v>0</v>
      </c>
      <c r="R187" s="18">
        <f ca="1">IF('Current Char Stats'!$A56="","",'Current Char Stats'!$Q56)</f>
        <v>0</v>
      </c>
      <c r="S187" s="18">
        <f ca="1">IF('Current Char Stats'!$A56="","",'Current Char Stats'!$R56)</f>
        <v>0</v>
      </c>
      <c r="T187" s="18">
        <f ca="1">IF('Current Char Stats'!$A56="","",'Current Char Stats'!$S56)</f>
        <v>1</v>
      </c>
      <c r="U187" s="18">
        <f ca="1">IF('Current Char Stats'!$A56="","",'Current Char Stats'!$T56)</f>
        <v>0</v>
      </c>
      <c r="V187" s="18">
        <f ca="1">IF('Current Char Stats'!$A56="","",'Current Char Stats'!$U56)</f>
        <v>0</v>
      </c>
      <c r="W187" s="18">
        <f ca="1">IF('Current Char Stats'!$A56="","",'Current Char Stats'!$V56)</f>
        <v>0</v>
      </c>
      <c r="X187" s="18">
        <f ca="1">IF('Current Char Stats'!$A56="","",'Current Char Stats'!$W56)</f>
        <v>0</v>
      </c>
      <c r="Y187" s="18">
        <f ca="1">IF('Current Char Stats'!$A56="","",'Current Char Stats'!$X56)</f>
        <v>0</v>
      </c>
      <c r="Z187" s="18">
        <f ca="1">IF('Current Char Stats'!$A56="","",'Current Char Stats'!$Y56)</f>
        <v>0</v>
      </c>
      <c r="AA187" s="18">
        <f ca="1">IF('Current Char Stats'!$A56="","",'Current Char Stats'!$Z56)</f>
        <v>0</v>
      </c>
      <c r="AB187" s="18">
        <f ca="1">IF('Current Char Stats'!$A56="","",'Current Char Stats'!$AA56)</f>
        <v>0</v>
      </c>
      <c r="AC187" s="18">
        <f ca="1">IF('Current Char Stats'!$A56="","",'Current Char Stats'!$AB56)</f>
        <v>0</v>
      </c>
      <c r="AD187" s="18">
        <f ca="1">IF('Current Char Stats'!$A56="","",'Current Char Stats'!$AC56)</f>
        <v>0</v>
      </c>
      <c r="AE187" s="18">
        <f ca="1">IF('Current Char Stats'!$A56="","",'Current Char Stats'!$AD56)</f>
        <v>0</v>
      </c>
      <c r="AF187" s="18">
        <f ca="1">IF('Current Char Stats'!$A56="","",'Current Char Stats'!$AE56)</f>
        <v>0</v>
      </c>
    </row>
    <row r="188" spans="1:32">
      <c r="A188" s="18">
        <f ca="1">IF('Current Char Stats'!$A57="","",Settings!$B$2)</f>
        <v>1</v>
      </c>
      <c r="B188" s="117" t="str">
        <f ca="1">IF('Current Char Stats'!$A57="","",'Current Char Stats'!$A57)</f>
        <v>Nick</v>
      </c>
      <c r="C188" s="18" t="str">
        <f ca="1">IF('Current Char Stats'!$A57="","",'Current Char Stats'!$B57)</f>
        <v>Wario</v>
      </c>
      <c r="D188" s="18" t="str">
        <f ca="1">IF('Current Char Stats'!$A57="","",'Current Char Stats'!$C57)</f>
        <v>G3</v>
      </c>
      <c r="E188" s="18">
        <f ca="1">IF('Current Char Stats'!$A57="","",'Current Char Stats'!$D57)</f>
        <v>2</v>
      </c>
      <c r="F188" s="18">
        <f ca="1">IF('Current Char Stats'!$A57="","",'Current Char Stats'!$E57)</f>
        <v>0</v>
      </c>
      <c r="G188" s="18">
        <f ca="1">IF('Current Char Stats'!$A57="","",'Current Char Stats'!$F57)</f>
        <v>0</v>
      </c>
      <c r="H188" s="18">
        <f ca="1">IF('Current Char Stats'!$A57="","",'Current Char Stats'!$G57)</f>
        <v>0</v>
      </c>
      <c r="I188" s="18">
        <f ca="1">IF('Current Char Stats'!$A57="","",'Current Char Stats'!$H57)</f>
        <v>0</v>
      </c>
      <c r="J188" s="18">
        <f ca="1">IF('Current Char Stats'!$A57="","",'Current Char Stats'!$I57)</f>
        <v>0</v>
      </c>
      <c r="K188" s="18">
        <f ca="1">IF('Current Char Stats'!$A57="","",'Current Char Stats'!$J57)</f>
        <v>0</v>
      </c>
      <c r="L188" s="18" t="str">
        <f ca="1">IF('Current Char Stats'!$A57="","",'Current Char Stats'!$K57)</f>
        <v/>
      </c>
      <c r="M188" s="18">
        <f ca="1">IF('Current Char Stats'!$A57="","",'Current Char Stats'!$L57)</f>
        <v>0</v>
      </c>
      <c r="N188" s="18">
        <f ca="1">IF('Current Char Stats'!$A57="","",'Current Char Stats'!$M57)</f>
        <v>0</v>
      </c>
      <c r="O188" s="18">
        <f ca="1">IF('Current Char Stats'!$A57="","",'Current Char Stats'!$N57)</f>
        <v>0</v>
      </c>
      <c r="P188" s="18">
        <f ca="1">IF('Current Char Stats'!$A57="","",'Current Char Stats'!$O57)</f>
        <v>0</v>
      </c>
      <c r="Q188" s="18">
        <f ca="1">IF('Current Char Stats'!$A57="","",'Current Char Stats'!$P57)</f>
        <v>0</v>
      </c>
      <c r="R188" s="18">
        <f ca="1">IF('Current Char Stats'!$A57="","",'Current Char Stats'!$Q57)</f>
        <v>0</v>
      </c>
      <c r="S188" s="18">
        <f ca="1">IF('Current Char Stats'!$A57="","",'Current Char Stats'!$R57)</f>
        <v>0</v>
      </c>
      <c r="T188" s="18">
        <f ca="1">IF('Current Char Stats'!$A57="","",'Current Char Stats'!$S57)</f>
        <v>0</v>
      </c>
      <c r="U188" s="18">
        <f ca="1">IF('Current Char Stats'!$A57="","",'Current Char Stats'!$T57)</f>
        <v>0</v>
      </c>
      <c r="V188" s="18">
        <f ca="1">IF('Current Char Stats'!$A57="","",'Current Char Stats'!$U57)</f>
        <v>0</v>
      </c>
      <c r="W188" s="18">
        <f ca="1">IF('Current Char Stats'!$A57="","",'Current Char Stats'!$V57)</f>
        <v>0</v>
      </c>
      <c r="X188" s="18">
        <f ca="1">IF('Current Char Stats'!$A57="","",'Current Char Stats'!$W57)</f>
        <v>0</v>
      </c>
      <c r="Y188" s="18">
        <f ca="1">IF('Current Char Stats'!$A57="","",'Current Char Stats'!$X57)</f>
        <v>0</v>
      </c>
      <c r="Z188" s="18">
        <f ca="1">IF('Current Char Stats'!$A57="","",'Current Char Stats'!$Y57)</f>
        <v>0</v>
      </c>
      <c r="AA188" s="18">
        <f ca="1">IF('Current Char Stats'!$A57="","",'Current Char Stats'!$Z57)</f>
        <v>0</v>
      </c>
      <c r="AB188" s="18">
        <f ca="1">IF('Current Char Stats'!$A57="","",'Current Char Stats'!$AA57)</f>
        <v>0</v>
      </c>
      <c r="AC188" s="18">
        <f ca="1">IF('Current Char Stats'!$A57="","",'Current Char Stats'!$AB57)</f>
        <v>0</v>
      </c>
      <c r="AD188" s="18">
        <f ca="1">IF('Current Char Stats'!$A57="","",'Current Char Stats'!$AC57)</f>
        <v>0</v>
      </c>
      <c r="AE188" s="18">
        <f ca="1">IF('Current Char Stats'!$A57="","",'Current Char Stats'!$AD57)</f>
        <v>0</v>
      </c>
      <c r="AF188" s="18">
        <f ca="1">IF('Current Char Stats'!$A57="","",'Current Char Stats'!$AE57)</f>
        <v>0</v>
      </c>
    </row>
    <row r="189" spans="1:32">
      <c r="A189" s="18">
        <f ca="1">IF('Current Char Stats'!$A58="","",Settings!$B$2)</f>
        <v>1</v>
      </c>
      <c r="B189" s="117" t="str">
        <f ca="1">IF('Current Char Stats'!$A58="","",'Current Char Stats'!$A58)</f>
        <v>Jason</v>
      </c>
      <c r="C189" s="18" t="str">
        <f ca="1">IF('Current Char Stats'!$A58="","",'Current Char Stats'!$B58)</f>
        <v>Yoshi</v>
      </c>
      <c r="D189" s="18" t="str">
        <f ca="1">IF('Current Char Stats'!$A58="","",'Current Char Stats'!$C58)</f>
        <v>G4</v>
      </c>
      <c r="E189" s="18">
        <f ca="1">IF('Current Char Stats'!$A58="","",'Current Char Stats'!$D58)</f>
        <v>2</v>
      </c>
      <c r="F189" s="18">
        <f ca="1">IF('Current Char Stats'!$A58="","",'Current Char Stats'!$E58)</f>
        <v>1</v>
      </c>
      <c r="G189" s="18">
        <f ca="1">IF('Current Char Stats'!$A58="","",'Current Char Stats'!$F58)</f>
        <v>0.5</v>
      </c>
      <c r="H189" s="18">
        <f ca="1">IF('Current Char Stats'!$A58="","",'Current Char Stats'!$G58)</f>
        <v>0</v>
      </c>
      <c r="I189" s="18">
        <f ca="1">IF('Current Char Stats'!$A58="","",'Current Char Stats'!$H58)</f>
        <v>0</v>
      </c>
      <c r="J189" s="18">
        <f ca="1">IF('Current Char Stats'!$A58="","",'Current Char Stats'!$I58)</f>
        <v>0</v>
      </c>
      <c r="K189" s="18">
        <f ca="1">IF('Current Char Stats'!$A58="","",'Current Char Stats'!$J58)</f>
        <v>0</v>
      </c>
      <c r="L189" s="18" t="str">
        <f ca="1">IF('Current Char Stats'!$A58="","",'Current Char Stats'!$K58)</f>
        <v/>
      </c>
      <c r="M189" s="18">
        <f ca="1">IF('Current Char Stats'!$A58="","",'Current Char Stats'!$L58)</f>
        <v>0</v>
      </c>
      <c r="N189" s="18">
        <f ca="1">IF('Current Char Stats'!$A58="","",'Current Char Stats'!$M58)</f>
        <v>0</v>
      </c>
      <c r="O189" s="18">
        <f ca="1">IF('Current Char Stats'!$A58="","",'Current Char Stats'!$N58)</f>
        <v>0</v>
      </c>
      <c r="P189" s="18">
        <f ca="1">IF('Current Char Stats'!$A58="","",'Current Char Stats'!$O58)</f>
        <v>0</v>
      </c>
      <c r="Q189" s="18">
        <f ca="1">IF('Current Char Stats'!$A58="","",'Current Char Stats'!$P58)</f>
        <v>0</v>
      </c>
      <c r="R189" s="18">
        <f ca="1">IF('Current Char Stats'!$A58="","",'Current Char Stats'!$Q58)</f>
        <v>0</v>
      </c>
      <c r="S189" s="18">
        <f ca="1">IF('Current Char Stats'!$A58="","",'Current Char Stats'!$R58)</f>
        <v>0</v>
      </c>
      <c r="T189" s="18">
        <f ca="1">IF('Current Char Stats'!$A58="","",'Current Char Stats'!$S58)</f>
        <v>0</v>
      </c>
      <c r="U189" s="18">
        <f ca="1">IF('Current Char Stats'!$A58="","",'Current Char Stats'!$T58)</f>
        <v>0</v>
      </c>
      <c r="V189" s="18">
        <f ca="1">IF('Current Char Stats'!$A58="","",'Current Char Stats'!$U58)</f>
        <v>0</v>
      </c>
      <c r="W189" s="18">
        <f ca="1">IF('Current Char Stats'!$A58="","",'Current Char Stats'!$V58)</f>
        <v>0</v>
      </c>
      <c r="X189" s="18">
        <f ca="1">IF('Current Char Stats'!$A58="","",'Current Char Stats'!$W58)</f>
        <v>0</v>
      </c>
      <c r="Y189" s="18">
        <f ca="1">IF('Current Char Stats'!$A58="","",'Current Char Stats'!$X58)</f>
        <v>0</v>
      </c>
      <c r="Z189" s="18">
        <f ca="1">IF('Current Char Stats'!$A58="","",'Current Char Stats'!$Y58)</f>
        <v>0</v>
      </c>
      <c r="AA189" s="18">
        <f ca="1">IF('Current Char Stats'!$A58="","",'Current Char Stats'!$Z58)</f>
        <v>0</v>
      </c>
      <c r="AB189" s="18">
        <f ca="1">IF('Current Char Stats'!$A58="","",'Current Char Stats'!$AA58)</f>
        <v>0</v>
      </c>
      <c r="AC189" s="18">
        <f ca="1">IF('Current Char Stats'!$A58="","",'Current Char Stats'!$AB58)</f>
        <v>0</v>
      </c>
      <c r="AD189" s="18">
        <f ca="1">IF('Current Char Stats'!$A58="","",'Current Char Stats'!$AC58)</f>
        <v>0</v>
      </c>
      <c r="AE189" s="18">
        <f ca="1">IF('Current Char Stats'!$A58="","",'Current Char Stats'!$AD58)</f>
        <v>0</v>
      </c>
      <c r="AF189" s="18">
        <f ca="1">IF('Current Char Stats'!$A58="","",'Current Char Stats'!$AE58)</f>
        <v>0</v>
      </c>
    </row>
    <row r="190" spans="1:32">
      <c r="A190" s="18">
        <f ca="1">IF('Current Char Stats'!$A59="","",Settings!$B$2)</f>
        <v>1</v>
      </c>
      <c r="B190" s="117" t="str">
        <f ca="1">IF('Current Char Stats'!$A59="","",'Current Char Stats'!$A59)</f>
        <v>Jason</v>
      </c>
      <c r="C190" s="18" t="str">
        <f ca="1">IF('Current Char Stats'!$A59="","",'Current Char Stats'!$B59)</f>
        <v>Brown Kritter</v>
      </c>
      <c r="D190" s="18" t="str">
        <f ca="1">IF('Current Char Stats'!$A59="","",'Current Char Stats'!$C59)</f>
        <v>G4</v>
      </c>
      <c r="E190" s="18">
        <f ca="1">IF('Current Char Stats'!$A59="","",'Current Char Stats'!$D59)</f>
        <v>1</v>
      </c>
      <c r="F190" s="18">
        <f ca="1">IF('Current Char Stats'!$A59="","",'Current Char Stats'!$E59)</f>
        <v>0</v>
      </c>
      <c r="G190" s="18">
        <f ca="1">IF('Current Char Stats'!$A59="","",'Current Char Stats'!$F59)</f>
        <v>0</v>
      </c>
      <c r="H190" s="18">
        <f ca="1">IF('Current Char Stats'!$A59="","",'Current Char Stats'!$G59)</f>
        <v>0</v>
      </c>
      <c r="I190" s="18">
        <f ca="1">IF('Current Char Stats'!$A59="","",'Current Char Stats'!$H59)</f>
        <v>0</v>
      </c>
      <c r="J190" s="18">
        <f ca="1">IF('Current Char Stats'!$A59="","",'Current Char Stats'!$I59)</f>
        <v>0</v>
      </c>
      <c r="K190" s="18">
        <f ca="1">IF('Current Char Stats'!$A59="","",'Current Char Stats'!$J59)</f>
        <v>0</v>
      </c>
      <c r="L190" s="18" t="str">
        <f ca="1">IF('Current Char Stats'!$A59="","",'Current Char Stats'!$K59)</f>
        <v/>
      </c>
      <c r="M190" s="18">
        <f ca="1">IF('Current Char Stats'!$A59="","",'Current Char Stats'!$L59)</f>
        <v>0</v>
      </c>
      <c r="N190" s="18">
        <f ca="1">IF('Current Char Stats'!$A59="","",'Current Char Stats'!$M59)</f>
        <v>0</v>
      </c>
      <c r="O190" s="18">
        <f ca="1">IF('Current Char Stats'!$A59="","",'Current Char Stats'!$N59)</f>
        <v>0</v>
      </c>
      <c r="P190" s="18">
        <f ca="1">IF('Current Char Stats'!$A59="","",'Current Char Stats'!$O59)</f>
        <v>0</v>
      </c>
      <c r="Q190" s="18">
        <f ca="1">IF('Current Char Stats'!$A59="","",'Current Char Stats'!$P59)</f>
        <v>0</v>
      </c>
      <c r="R190" s="18">
        <f ca="1">IF('Current Char Stats'!$A59="","",'Current Char Stats'!$Q59)</f>
        <v>0</v>
      </c>
      <c r="S190" s="18">
        <f ca="1">IF('Current Char Stats'!$A59="","",'Current Char Stats'!$R59)</f>
        <v>1</v>
      </c>
      <c r="T190" s="18">
        <f ca="1">IF('Current Char Stats'!$A59="","",'Current Char Stats'!$S59)</f>
        <v>1</v>
      </c>
      <c r="U190" s="18">
        <f ca="1">IF('Current Char Stats'!$A59="","",'Current Char Stats'!$T59)</f>
        <v>0</v>
      </c>
      <c r="V190" s="18">
        <f ca="1">IF('Current Char Stats'!$A59="","",'Current Char Stats'!$U59)</f>
        <v>0</v>
      </c>
      <c r="W190" s="18">
        <f ca="1">IF('Current Char Stats'!$A59="","",'Current Char Stats'!$V59)</f>
        <v>0</v>
      </c>
      <c r="X190" s="18">
        <f ca="1">IF('Current Char Stats'!$A59="","",'Current Char Stats'!$W59)</f>
        <v>0</v>
      </c>
      <c r="Y190" s="18">
        <f ca="1">IF('Current Char Stats'!$A59="","",'Current Char Stats'!$X59)</f>
        <v>0</v>
      </c>
      <c r="Z190" s="18">
        <f ca="1">IF('Current Char Stats'!$A59="","",'Current Char Stats'!$Y59)</f>
        <v>0</v>
      </c>
      <c r="AA190" s="18">
        <f ca="1">IF('Current Char Stats'!$A59="","",'Current Char Stats'!$Z59)</f>
        <v>0</v>
      </c>
      <c r="AB190" s="18">
        <f ca="1">IF('Current Char Stats'!$A59="","",'Current Char Stats'!$AA59)</f>
        <v>0</v>
      </c>
      <c r="AC190" s="18">
        <f ca="1">IF('Current Char Stats'!$A59="","",'Current Char Stats'!$AB59)</f>
        <v>0</v>
      </c>
      <c r="AD190" s="18">
        <f ca="1">IF('Current Char Stats'!$A59="","",'Current Char Stats'!$AC59)</f>
        <v>0</v>
      </c>
      <c r="AE190" s="18">
        <f ca="1">IF('Current Char Stats'!$A59="","",'Current Char Stats'!$AD59)</f>
        <v>0</v>
      </c>
      <c r="AF190" s="18">
        <f ca="1">IF('Current Char Stats'!$A59="","",'Current Char Stats'!$AE59)</f>
        <v>0</v>
      </c>
    </row>
    <row r="191" spans="1:32">
      <c r="A191" s="18">
        <f ca="1">IF('Current Char Stats'!$A60="","",Settings!$B$2)</f>
        <v>1</v>
      </c>
      <c r="B191" s="117" t="str">
        <f ca="1">IF('Current Char Stats'!$A60="","",'Current Char Stats'!$A60)</f>
        <v>Jason</v>
      </c>
      <c r="C191" s="18" t="str">
        <f ca="1">IF('Current Char Stats'!$A60="","",'Current Char Stats'!$B60)</f>
        <v>Bowser</v>
      </c>
      <c r="D191" s="18" t="str">
        <f ca="1">IF('Current Char Stats'!$A60="","",'Current Char Stats'!$C60)</f>
        <v>G4</v>
      </c>
      <c r="E191" s="18">
        <f ca="1">IF('Current Char Stats'!$A60="","",'Current Char Stats'!$D60)</f>
        <v>2</v>
      </c>
      <c r="F191" s="18">
        <f ca="1">IF('Current Char Stats'!$A60="","",'Current Char Stats'!$E60)</f>
        <v>1</v>
      </c>
      <c r="G191" s="18">
        <f ca="1">IF('Current Char Stats'!$A60="","",'Current Char Stats'!$F60)</f>
        <v>0.5</v>
      </c>
      <c r="H191" s="18">
        <f ca="1">IF('Current Char Stats'!$A60="","",'Current Char Stats'!$G60)</f>
        <v>1</v>
      </c>
      <c r="I191" s="18">
        <f ca="1">IF('Current Char Stats'!$A60="","",'Current Char Stats'!$H60)</f>
        <v>1</v>
      </c>
      <c r="J191" s="18">
        <f ca="1">IF('Current Char Stats'!$A60="","",'Current Char Stats'!$I60)</f>
        <v>0</v>
      </c>
      <c r="K191" s="18">
        <f ca="1">IF('Current Char Stats'!$A60="","",'Current Char Stats'!$J60)</f>
        <v>0</v>
      </c>
      <c r="L191" s="18" t="str">
        <f ca="1">IF('Current Char Stats'!$A60="","",'Current Char Stats'!$K60)</f>
        <v/>
      </c>
      <c r="M191" s="18">
        <f ca="1">IF('Current Char Stats'!$A60="","",'Current Char Stats'!$L60)</f>
        <v>0</v>
      </c>
      <c r="N191" s="18">
        <f ca="1">IF('Current Char Stats'!$A60="","",'Current Char Stats'!$M60)</f>
        <v>0</v>
      </c>
      <c r="O191" s="18">
        <f ca="1">IF('Current Char Stats'!$A60="","",'Current Char Stats'!$N60)</f>
        <v>2</v>
      </c>
      <c r="P191" s="18">
        <f ca="1">IF('Current Char Stats'!$A60="","",'Current Char Stats'!$O60)</f>
        <v>0</v>
      </c>
      <c r="Q191" s="18">
        <f ca="1">IF('Current Char Stats'!$A60="","",'Current Char Stats'!$P60)</f>
        <v>0</v>
      </c>
      <c r="R191" s="18">
        <f ca="1">IF('Current Char Stats'!$A60="","",'Current Char Stats'!$Q60)</f>
        <v>0</v>
      </c>
      <c r="S191" s="18">
        <f ca="1">IF('Current Char Stats'!$A60="","",'Current Char Stats'!$R60)</f>
        <v>0</v>
      </c>
      <c r="T191" s="18">
        <f ca="1">IF('Current Char Stats'!$A60="","",'Current Char Stats'!$S60)</f>
        <v>0</v>
      </c>
      <c r="U191" s="18">
        <f ca="1">IF('Current Char Stats'!$A60="","",'Current Char Stats'!$T60)</f>
        <v>0</v>
      </c>
      <c r="V191" s="18">
        <f ca="1">IF('Current Char Stats'!$A60="","",'Current Char Stats'!$U60)</f>
        <v>0</v>
      </c>
      <c r="W191" s="18">
        <f ca="1">IF('Current Char Stats'!$A60="","",'Current Char Stats'!$V60)</f>
        <v>0</v>
      </c>
      <c r="X191" s="18">
        <f ca="1">IF('Current Char Stats'!$A60="","",'Current Char Stats'!$W60)</f>
        <v>0</v>
      </c>
      <c r="Y191" s="18">
        <f ca="1">IF('Current Char Stats'!$A60="","",'Current Char Stats'!$X60)</f>
        <v>0</v>
      </c>
      <c r="Z191" s="18">
        <f ca="1">IF('Current Char Stats'!$A60="","",'Current Char Stats'!$Y60)</f>
        <v>0</v>
      </c>
      <c r="AA191" s="18">
        <f ca="1">IF('Current Char Stats'!$A60="","",'Current Char Stats'!$Z60)</f>
        <v>0</v>
      </c>
      <c r="AB191" s="18">
        <f ca="1">IF('Current Char Stats'!$A60="","",'Current Char Stats'!$AA60)</f>
        <v>0</v>
      </c>
      <c r="AC191" s="18">
        <f ca="1">IF('Current Char Stats'!$A60="","",'Current Char Stats'!$AB60)</f>
        <v>0</v>
      </c>
      <c r="AD191" s="18">
        <f ca="1">IF('Current Char Stats'!$A60="","",'Current Char Stats'!$AC60)</f>
        <v>0</v>
      </c>
      <c r="AE191" s="18">
        <f ca="1">IF('Current Char Stats'!$A60="","",'Current Char Stats'!$AD60)</f>
        <v>0</v>
      </c>
      <c r="AF191" s="18">
        <f ca="1">IF('Current Char Stats'!$A60="","",'Current Char Stats'!$AE60)</f>
        <v>0</v>
      </c>
    </row>
    <row r="192" spans="1:32">
      <c r="A192" s="18">
        <f ca="1">IF('Current Char Stats'!$A61="","",Settings!$B$2)</f>
        <v>1</v>
      </c>
      <c r="B192" s="117" t="str">
        <f ca="1">IF('Current Char Stats'!$A61="","",'Current Char Stats'!$A61)</f>
        <v>Jason</v>
      </c>
      <c r="C192" s="18" t="str">
        <f ca="1">IF('Current Char Stats'!$A61="","",'Current Char Stats'!$B61)</f>
        <v>King K. Rool</v>
      </c>
      <c r="D192" s="18" t="str">
        <f ca="1">IF('Current Char Stats'!$A61="","",'Current Char Stats'!$C61)</f>
        <v>G4</v>
      </c>
      <c r="E192" s="18">
        <f ca="1">IF('Current Char Stats'!$A61="","",'Current Char Stats'!$D61)</f>
        <v>2</v>
      </c>
      <c r="F192" s="18">
        <f ca="1">IF('Current Char Stats'!$A61="","",'Current Char Stats'!$E61)</f>
        <v>1</v>
      </c>
      <c r="G192" s="18">
        <f ca="1">IF('Current Char Stats'!$A61="","",'Current Char Stats'!$F61)</f>
        <v>0.5</v>
      </c>
      <c r="H192" s="18">
        <f ca="1">IF('Current Char Stats'!$A61="","",'Current Char Stats'!$G61)</f>
        <v>1</v>
      </c>
      <c r="I192" s="18">
        <f ca="1">IF('Current Char Stats'!$A61="","",'Current Char Stats'!$H61)</f>
        <v>1</v>
      </c>
      <c r="J192" s="18">
        <f ca="1">IF('Current Char Stats'!$A61="","",'Current Char Stats'!$I61)</f>
        <v>1</v>
      </c>
      <c r="K192" s="18">
        <f ca="1">IF('Current Char Stats'!$A61="","",'Current Char Stats'!$J61)</f>
        <v>0</v>
      </c>
      <c r="L192" s="18">
        <f ca="1">IF('Current Char Stats'!$A61="","",'Current Char Stats'!$K61)</f>
        <v>0</v>
      </c>
      <c r="M192" s="18">
        <f ca="1">IF('Current Char Stats'!$A61="","",'Current Char Stats'!$L61)</f>
        <v>0</v>
      </c>
      <c r="N192" s="18">
        <f ca="1">IF('Current Char Stats'!$A61="","",'Current Char Stats'!$M61)</f>
        <v>0</v>
      </c>
      <c r="O192" s="18">
        <f ca="1">IF('Current Char Stats'!$A61="","",'Current Char Stats'!$N61)</f>
        <v>1</v>
      </c>
      <c r="P192" s="18">
        <f ca="1">IF('Current Char Stats'!$A61="","",'Current Char Stats'!$O61)</f>
        <v>0</v>
      </c>
      <c r="Q192" s="18">
        <f ca="1">IF('Current Char Stats'!$A61="","",'Current Char Stats'!$P61)</f>
        <v>0</v>
      </c>
      <c r="R192" s="18">
        <f ca="1">IF('Current Char Stats'!$A61="","",'Current Char Stats'!$Q61)</f>
        <v>0</v>
      </c>
      <c r="S192" s="18">
        <f ca="1">IF('Current Char Stats'!$A61="","",'Current Char Stats'!$R61)</f>
        <v>1</v>
      </c>
      <c r="T192" s="18">
        <f ca="1">IF('Current Char Stats'!$A61="","",'Current Char Stats'!$S61)</f>
        <v>0</v>
      </c>
      <c r="U192" s="18">
        <f ca="1">IF('Current Char Stats'!$A61="","",'Current Char Stats'!$T61)</f>
        <v>0</v>
      </c>
      <c r="V192" s="18">
        <f ca="1">IF('Current Char Stats'!$A61="","",'Current Char Stats'!$U61)</f>
        <v>0</v>
      </c>
      <c r="W192" s="18">
        <f ca="1">IF('Current Char Stats'!$A61="","",'Current Char Stats'!$V61)</f>
        <v>0</v>
      </c>
      <c r="X192" s="18">
        <f ca="1">IF('Current Char Stats'!$A61="","",'Current Char Stats'!$W61)</f>
        <v>0</v>
      </c>
      <c r="Y192" s="18">
        <f ca="1">IF('Current Char Stats'!$A61="","",'Current Char Stats'!$X61)</f>
        <v>0</v>
      </c>
      <c r="Z192" s="18">
        <f ca="1">IF('Current Char Stats'!$A61="","",'Current Char Stats'!$Y61)</f>
        <v>0</v>
      </c>
      <c r="AA192" s="18">
        <f ca="1">IF('Current Char Stats'!$A61="","",'Current Char Stats'!$Z61)</f>
        <v>0</v>
      </c>
      <c r="AB192" s="18">
        <f ca="1">IF('Current Char Stats'!$A61="","",'Current Char Stats'!$AA61)</f>
        <v>1</v>
      </c>
      <c r="AC192" s="18">
        <f ca="1">IF('Current Char Stats'!$A61="","",'Current Char Stats'!$AB61)</f>
        <v>0</v>
      </c>
      <c r="AD192" s="18">
        <f ca="1">IF('Current Char Stats'!$A61="","",'Current Char Stats'!$AC61)</f>
        <v>0</v>
      </c>
      <c r="AE192" s="18">
        <f ca="1">IF('Current Char Stats'!$A61="","",'Current Char Stats'!$AD61)</f>
        <v>0</v>
      </c>
      <c r="AF192" s="18">
        <f ca="1">IF('Current Char Stats'!$A61="","",'Current Char Stats'!$AE61)</f>
        <v>3</v>
      </c>
    </row>
    <row r="193" spans="1:32">
      <c r="A193" s="18">
        <f ca="1">IF('Current Char Stats'!$A62="","",Settings!$B$2)</f>
        <v>1</v>
      </c>
      <c r="B193" s="117" t="str">
        <f ca="1">IF('Current Char Stats'!$A62="","",'Current Char Stats'!$A62)</f>
        <v>Jason</v>
      </c>
      <c r="C193" s="18" t="str">
        <f ca="1">IF('Current Char Stats'!$A62="","",'Current Char Stats'!$B62)</f>
        <v>Yellow Toad</v>
      </c>
      <c r="D193" s="18" t="str">
        <f ca="1">IF('Current Char Stats'!$A62="","",'Current Char Stats'!$C62)</f>
        <v>G4</v>
      </c>
      <c r="E193" s="18">
        <f ca="1">IF('Current Char Stats'!$A62="","",'Current Char Stats'!$D62)</f>
        <v>2</v>
      </c>
      <c r="F193" s="18">
        <f ca="1">IF('Current Char Stats'!$A62="","",'Current Char Stats'!$E62)</f>
        <v>0</v>
      </c>
      <c r="G193" s="18">
        <f ca="1">IF('Current Char Stats'!$A62="","",'Current Char Stats'!$F62)</f>
        <v>0</v>
      </c>
      <c r="H193" s="18">
        <f ca="1">IF('Current Char Stats'!$A62="","",'Current Char Stats'!$G62)</f>
        <v>0</v>
      </c>
      <c r="I193" s="18">
        <f ca="1">IF('Current Char Stats'!$A62="","",'Current Char Stats'!$H62)</f>
        <v>0</v>
      </c>
      <c r="J193" s="18">
        <f ca="1">IF('Current Char Stats'!$A62="","",'Current Char Stats'!$I62)</f>
        <v>0</v>
      </c>
      <c r="K193" s="18">
        <f ca="1">IF('Current Char Stats'!$A62="","",'Current Char Stats'!$J62)</f>
        <v>0</v>
      </c>
      <c r="L193" s="18" t="str">
        <f ca="1">IF('Current Char Stats'!$A62="","",'Current Char Stats'!$K62)</f>
        <v/>
      </c>
      <c r="M193" s="18">
        <f ca="1">IF('Current Char Stats'!$A62="","",'Current Char Stats'!$L62)</f>
        <v>0</v>
      </c>
      <c r="N193" s="18">
        <f ca="1">IF('Current Char Stats'!$A62="","",'Current Char Stats'!$M62)</f>
        <v>0</v>
      </c>
      <c r="O193" s="18">
        <f ca="1">IF('Current Char Stats'!$A62="","",'Current Char Stats'!$N62)</f>
        <v>0</v>
      </c>
      <c r="P193" s="18">
        <f ca="1">IF('Current Char Stats'!$A62="","",'Current Char Stats'!$O62)</f>
        <v>0</v>
      </c>
      <c r="Q193" s="18">
        <f ca="1">IF('Current Char Stats'!$A62="","",'Current Char Stats'!$P62)</f>
        <v>0</v>
      </c>
      <c r="R193" s="18">
        <f ca="1">IF('Current Char Stats'!$A62="","",'Current Char Stats'!$Q62)</f>
        <v>0</v>
      </c>
      <c r="S193" s="18">
        <f ca="1">IF('Current Char Stats'!$A62="","",'Current Char Stats'!$R62)</f>
        <v>1</v>
      </c>
      <c r="T193" s="18">
        <f ca="1">IF('Current Char Stats'!$A62="","",'Current Char Stats'!$S62)</f>
        <v>0</v>
      </c>
      <c r="U193" s="18">
        <f ca="1">IF('Current Char Stats'!$A62="","",'Current Char Stats'!$T62)</f>
        <v>0</v>
      </c>
      <c r="V193" s="18">
        <f ca="1">IF('Current Char Stats'!$A62="","",'Current Char Stats'!$U62)</f>
        <v>0</v>
      </c>
      <c r="W193" s="18">
        <f ca="1">IF('Current Char Stats'!$A62="","",'Current Char Stats'!$V62)</f>
        <v>0</v>
      </c>
      <c r="X193" s="18">
        <f ca="1">IF('Current Char Stats'!$A62="","",'Current Char Stats'!$W62)</f>
        <v>0</v>
      </c>
      <c r="Y193" s="18">
        <f ca="1">IF('Current Char Stats'!$A62="","",'Current Char Stats'!$X62)</f>
        <v>0</v>
      </c>
      <c r="Z193" s="18">
        <f ca="1">IF('Current Char Stats'!$A62="","",'Current Char Stats'!$Y62)</f>
        <v>0</v>
      </c>
      <c r="AA193" s="18">
        <f ca="1">IF('Current Char Stats'!$A62="","",'Current Char Stats'!$Z62)</f>
        <v>0</v>
      </c>
      <c r="AB193" s="18">
        <f ca="1">IF('Current Char Stats'!$A62="","",'Current Char Stats'!$AA62)</f>
        <v>0</v>
      </c>
      <c r="AC193" s="18">
        <f ca="1">IF('Current Char Stats'!$A62="","",'Current Char Stats'!$AB62)</f>
        <v>0</v>
      </c>
      <c r="AD193" s="18">
        <f ca="1">IF('Current Char Stats'!$A62="","",'Current Char Stats'!$AC62)</f>
        <v>0</v>
      </c>
      <c r="AE193" s="18">
        <f ca="1">IF('Current Char Stats'!$A62="","",'Current Char Stats'!$AD62)</f>
        <v>0</v>
      </c>
      <c r="AF193" s="18">
        <f ca="1">IF('Current Char Stats'!$A62="","",'Current Char Stats'!$AE62)</f>
        <v>0</v>
      </c>
    </row>
    <row r="194" spans="1:32">
      <c r="A194" s="18">
        <f ca="1">IF('Current Char Stats'!$A63="","",Settings!$B$2)</f>
        <v>1</v>
      </c>
      <c r="B194" s="117" t="str">
        <f ca="1">IF('Current Char Stats'!$A63="","",'Current Char Stats'!$A63)</f>
        <v>Jason</v>
      </c>
      <c r="C194" s="18" t="str">
        <f ca="1">IF('Current Char Stats'!$A63="","",'Current Char Stats'!$B63)</f>
        <v>Blooper</v>
      </c>
      <c r="D194" s="18" t="str">
        <f ca="1">IF('Current Char Stats'!$A63="","",'Current Char Stats'!$C63)</f>
        <v>G4</v>
      </c>
      <c r="E194" s="18">
        <f ca="1">IF('Current Char Stats'!$A63="","",'Current Char Stats'!$D63)</f>
        <v>2</v>
      </c>
      <c r="F194" s="18">
        <f ca="1">IF('Current Char Stats'!$A63="","",'Current Char Stats'!$E63)</f>
        <v>2</v>
      </c>
      <c r="G194" s="18">
        <f ca="1">IF('Current Char Stats'!$A63="","",'Current Char Stats'!$F63)</f>
        <v>1</v>
      </c>
      <c r="H194" s="18">
        <f ca="1">IF('Current Char Stats'!$A63="","",'Current Char Stats'!$G63)</f>
        <v>2</v>
      </c>
      <c r="I194" s="18">
        <f ca="1">IF('Current Char Stats'!$A63="","",'Current Char Stats'!$H63)</f>
        <v>2</v>
      </c>
      <c r="J194" s="18">
        <f ca="1">IF('Current Char Stats'!$A63="","",'Current Char Stats'!$I63)</f>
        <v>0</v>
      </c>
      <c r="K194" s="18">
        <f ca="1">IF('Current Char Stats'!$A63="","",'Current Char Stats'!$J63)</f>
        <v>0</v>
      </c>
      <c r="L194" s="18" t="str">
        <f ca="1">IF('Current Char Stats'!$A63="","",'Current Char Stats'!$K63)</f>
        <v/>
      </c>
      <c r="M194" s="18">
        <f ca="1">IF('Current Char Stats'!$A63="","",'Current Char Stats'!$L63)</f>
        <v>0</v>
      </c>
      <c r="N194" s="18">
        <f ca="1">IF('Current Char Stats'!$A63="","",'Current Char Stats'!$M63)</f>
        <v>0</v>
      </c>
      <c r="O194" s="18">
        <f ca="1">IF('Current Char Stats'!$A63="","",'Current Char Stats'!$N63)</f>
        <v>2</v>
      </c>
      <c r="P194" s="18">
        <f ca="1">IF('Current Char Stats'!$A63="","",'Current Char Stats'!$O63)</f>
        <v>0</v>
      </c>
      <c r="Q194" s="18">
        <f ca="1">IF('Current Char Stats'!$A63="","",'Current Char Stats'!$P63)</f>
        <v>0</v>
      </c>
      <c r="R194" s="18">
        <f ca="1">IF('Current Char Stats'!$A63="","",'Current Char Stats'!$Q63)</f>
        <v>0</v>
      </c>
      <c r="S194" s="18">
        <f ca="1">IF('Current Char Stats'!$A63="","",'Current Char Stats'!$R63)</f>
        <v>0</v>
      </c>
      <c r="T194" s="18">
        <f ca="1">IF('Current Char Stats'!$A63="","",'Current Char Stats'!$S63)</f>
        <v>0</v>
      </c>
      <c r="U194" s="18">
        <f ca="1">IF('Current Char Stats'!$A63="","",'Current Char Stats'!$T63)</f>
        <v>0</v>
      </c>
      <c r="V194" s="18">
        <f ca="1">IF('Current Char Stats'!$A63="","",'Current Char Stats'!$U63)</f>
        <v>0</v>
      </c>
      <c r="W194" s="18">
        <f ca="1">IF('Current Char Stats'!$A63="","",'Current Char Stats'!$V63)</f>
        <v>0</v>
      </c>
      <c r="X194" s="18">
        <f ca="1">IF('Current Char Stats'!$A63="","",'Current Char Stats'!$W63)</f>
        <v>0</v>
      </c>
      <c r="Y194" s="18">
        <f ca="1">IF('Current Char Stats'!$A63="","",'Current Char Stats'!$X63)</f>
        <v>0</v>
      </c>
      <c r="Z194" s="18">
        <f ca="1">IF('Current Char Stats'!$A63="","",'Current Char Stats'!$Y63)</f>
        <v>0</v>
      </c>
      <c r="AA194" s="18">
        <f ca="1">IF('Current Char Stats'!$A63="","",'Current Char Stats'!$Z63)</f>
        <v>0</v>
      </c>
      <c r="AB194" s="18">
        <f ca="1">IF('Current Char Stats'!$A63="","",'Current Char Stats'!$AA63)</f>
        <v>0</v>
      </c>
      <c r="AC194" s="18">
        <f ca="1">IF('Current Char Stats'!$A63="","",'Current Char Stats'!$AB63)</f>
        <v>0</v>
      </c>
      <c r="AD194" s="18">
        <f ca="1">IF('Current Char Stats'!$A63="","",'Current Char Stats'!$AC63)</f>
        <v>0</v>
      </c>
      <c r="AE194" s="18">
        <f ca="1">IF('Current Char Stats'!$A63="","",'Current Char Stats'!$AD63)</f>
        <v>0</v>
      </c>
      <c r="AF194" s="18">
        <f ca="1">IF('Current Char Stats'!$A63="","",'Current Char Stats'!$AE63)</f>
        <v>0</v>
      </c>
    </row>
    <row r="195" spans="1:32">
      <c r="A195" s="18">
        <f ca="1">IF('Current Char Stats'!$A64="","",Settings!$B$2)</f>
        <v>1</v>
      </c>
      <c r="B195" s="117" t="str">
        <f ca="1">IF('Current Char Stats'!$A64="","",'Current Char Stats'!$A64)</f>
        <v>Jason</v>
      </c>
      <c r="C195" s="18" t="str">
        <f ca="1">IF('Current Char Stats'!$A64="","",'Current Char Stats'!$B64)</f>
        <v>Peach</v>
      </c>
      <c r="D195" s="18" t="str">
        <f ca="1">IF('Current Char Stats'!$A64="","",'Current Char Stats'!$C64)</f>
        <v>G4</v>
      </c>
      <c r="E195" s="18">
        <f ca="1">IF('Current Char Stats'!$A64="","",'Current Char Stats'!$D64)</f>
        <v>2</v>
      </c>
      <c r="F195" s="18">
        <f ca="1">IF('Current Char Stats'!$A64="","",'Current Char Stats'!$E64)</f>
        <v>2</v>
      </c>
      <c r="G195" s="18">
        <f ca="1">IF('Current Char Stats'!$A64="","",'Current Char Stats'!$F64)</f>
        <v>1</v>
      </c>
      <c r="H195" s="18">
        <f ca="1">IF('Current Char Stats'!$A64="","",'Current Char Stats'!$G64)</f>
        <v>1</v>
      </c>
      <c r="I195" s="18">
        <f ca="1">IF('Current Char Stats'!$A64="","",'Current Char Stats'!$H64)</f>
        <v>1</v>
      </c>
      <c r="J195" s="18">
        <f ca="1">IF('Current Char Stats'!$A64="","",'Current Char Stats'!$I64)</f>
        <v>2</v>
      </c>
      <c r="K195" s="18">
        <f ca="1">IF('Current Char Stats'!$A64="","",'Current Char Stats'!$J64)</f>
        <v>2</v>
      </c>
      <c r="L195" s="18">
        <f ca="1">IF('Current Char Stats'!$A64="","",'Current Char Stats'!$K64)</f>
        <v>9</v>
      </c>
      <c r="M195" s="18">
        <f ca="1">IF('Current Char Stats'!$A64="","",'Current Char Stats'!$L64)</f>
        <v>1</v>
      </c>
      <c r="N195" s="18">
        <f ca="1">IF('Current Char Stats'!$A64="","",'Current Char Stats'!$M64)</f>
        <v>0</v>
      </c>
      <c r="O195" s="18">
        <f ca="1">IF('Current Char Stats'!$A64="","",'Current Char Stats'!$N64)</f>
        <v>1</v>
      </c>
      <c r="P195" s="18">
        <f ca="1">IF('Current Char Stats'!$A64="","",'Current Char Stats'!$O64)</f>
        <v>0</v>
      </c>
      <c r="Q195" s="18">
        <f ca="1">IF('Current Char Stats'!$A64="","",'Current Char Stats'!$P64)</f>
        <v>0</v>
      </c>
      <c r="R195" s="18">
        <f ca="1">IF('Current Char Stats'!$A64="","",'Current Char Stats'!$Q64)</f>
        <v>0</v>
      </c>
      <c r="S195" s="18">
        <f ca="1">IF('Current Char Stats'!$A64="","",'Current Char Stats'!$R64)</f>
        <v>0</v>
      </c>
      <c r="T195" s="18">
        <f ca="1">IF('Current Char Stats'!$A64="","",'Current Char Stats'!$S64)</f>
        <v>0</v>
      </c>
      <c r="U195" s="18">
        <f ca="1">IF('Current Char Stats'!$A64="","",'Current Char Stats'!$T64)</f>
        <v>0</v>
      </c>
      <c r="V195" s="18">
        <f ca="1">IF('Current Char Stats'!$A64="","",'Current Char Stats'!$U64)</f>
        <v>0</v>
      </c>
      <c r="W195" s="18">
        <f ca="1">IF('Current Char Stats'!$A64="","",'Current Char Stats'!$V64)</f>
        <v>3</v>
      </c>
      <c r="X195" s="18">
        <f ca="1">IF('Current Char Stats'!$A64="","",'Current Char Stats'!$W64)</f>
        <v>2</v>
      </c>
      <c r="Y195" s="18">
        <f ca="1">IF('Current Char Stats'!$A64="","",'Current Char Stats'!$X64)</f>
        <v>0</v>
      </c>
      <c r="Z195" s="18">
        <f ca="1">IF('Current Char Stats'!$A64="","",'Current Char Stats'!$Y64)</f>
        <v>3</v>
      </c>
      <c r="AA195" s="18">
        <f ca="1">IF('Current Char Stats'!$A64="","",'Current Char Stats'!$Z64)</f>
        <v>1</v>
      </c>
      <c r="AB195" s="18">
        <f ca="1">IF('Current Char Stats'!$A64="","",'Current Char Stats'!$AA64)</f>
        <v>0</v>
      </c>
      <c r="AC195" s="18">
        <f ca="1">IF('Current Char Stats'!$A64="","",'Current Char Stats'!$AB64)</f>
        <v>0</v>
      </c>
      <c r="AD195" s="18">
        <f ca="1">IF('Current Char Stats'!$A64="","",'Current Char Stats'!$AC64)</f>
        <v>0</v>
      </c>
      <c r="AE195" s="18">
        <f ca="1">IF('Current Char Stats'!$A64="","",'Current Char Stats'!$AD64)</f>
        <v>1.5</v>
      </c>
      <c r="AF195" s="18">
        <f ca="1">IF('Current Char Stats'!$A64="","",'Current Char Stats'!$AE64)</f>
        <v>9</v>
      </c>
    </row>
    <row r="196" spans="1:32">
      <c r="A196" s="18">
        <f ca="1">IF('Current Char Stats'!$A65="","",Settings!$B$2)</f>
        <v>1</v>
      </c>
      <c r="B196" s="117" t="str">
        <f ca="1">IF('Current Char Stats'!$A65="","",'Current Char Stats'!$A65)</f>
        <v>Jason</v>
      </c>
      <c r="C196" s="18" t="str">
        <f ca="1">IF('Current Char Stats'!$A65="","",'Current Char Stats'!$B65)</f>
        <v>Baby Mario</v>
      </c>
      <c r="D196" s="18" t="str">
        <f ca="1">IF('Current Char Stats'!$A65="","",'Current Char Stats'!$C65)</f>
        <v>G4</v>
      </c>
      <c r="E196" s="18">
        <f ca="1">IF('Current Char Stats'!$A65="","",'Current Char Stats'!$D65)</f>
        <v>2</v>
      </c>
      <c r="F196" s="18">
        <f ca="1">IF('Current Char Stats'!$A65="","",'Current Char Stats'!$E65)</f>
        <v>0</v>
      </c>
      <c r="G196" s="18">
        <f ca="1">IF('Current Char Stats'!$A65="","",'Current Char Stats'!$F65)</f>
        <v>0</v>
      </c>
      <c r="H196" s="18">
        <f ca="1">IF('Current Char Stats'!$A65="","",'Current Char Stats'!$G65)</f>
        <v>0</v>
      </c>
      <c r="I196" s="18">
        <f ca="1">IF('Current Char Stats'!$A65="","",'Current Char Stats'!$H65)</f>
        <v>0</v>
      </c>
      <c r="J196" s="18">
        <f ca="1">IF('Current Char Stats'!$A65="","",'Current Char Stats'!$I65)</f>
        <v>0</v>
      </c>
      <c r="K196" s="18">
        <f ca="1">IF('Current Char Stats'!$A65="","",'Current Char Stats'!$J65)</f>
        <v>0</v>
      </c>
      <c r="L196" s="18" t="str">
        <f ca="1">IF('Current Char Stats'!$A65="","",'Current Char Stats'!$K65)</f>
        <v/>
      </c>
      <c r="M196" s="18">
        <f ca="1">IF('Current Char Stats'!$A65="","",'Current Char Stats'!$L65)</f>
        <v>0</v>
      </c>
      <c r="N196" s="18">
        <f ca="1">IF('Current Char Stats'!$A65="","",'Current Char Stats'!$M65)</f>
        <v>0</v>
      </c>
      <c r="O196" s="18">
        <f ca="1">IF('Current Char Stats'!$A65="","",'Current Char Stats'!$N65)</f>
        <v>0</v>
      </c>
      <c r="P196" s="18">
        <f ca="1">IF('Current Char Stats'!$A65="","",'Current Char Stats'!$O65)</f>
        <v>0</v>
      </c>
      <c r="Q196" s="18">
        <f ca="1">IF('Current Char Stats'!$A65="","",'Current Char Stats'!$P65)</f>
        <v>0</v>
      </c>
      <c r="R196" s="18">
        <f ca="1">IF('Current Char Stats'!$A65="","",'Current Char Stats'!$Q65)</f>
        <v>0</v>
      </c>
      <c r="S196" s="18">
        <f ca="1">IF('Current Char Stats'!$A65="","",'Current Char Stats'!$R65)</f>
        <v>0</v>
      </c>
      <c r="T196" s="18">
        <f ca="1">IF('Current Char Stats'!$A65="","",'Current Char Stats'!$S65)</f>
        <v>0</v>
      </c>
      <c r="U196" s="18">
        <f ca="1">IF('Current Char Stats'!$A65="","",'Current Char Stats'!$T65)</f>
        <v>0</v>
      </c>
      <c r="V196" s="18">
        <f ca="1">IF('Current Char Stats'!$A65="","",'Current Char Stats'!$U65)</f>
        <v>0</v>
      </c>
      <c r="W196" s="18">
        <f ca="1">IF('Current Char Stats'!$A65="","",'Current Char Stats'!$V65)</f>
        <v>0</v>
      </c>
      <c r="X196" s="18">
        <f ca="1">IF('Current Char Stats'!$A65="","",'Current Char Stats'!$W65)</f>
        <v>0</v>
      </c>
      <c r="Y196" s="18">
        <f ca="1">IF('Current Char Stats'!$A65="","",'Current Char Stats'!$X65)</f>
        <v>0</v>
      </c>
      <c r="Z196" s="18">
        <f ca="1">IF('Current Char Stats'!$A65="","",'Current Char Stats'!$Y65)</f>
        <v>0</v>
      </c>
      <c r="AA196" s="18">
        <f ca="1">IF('Current Char Stats'!$A65="","",'Current Char Stats'!$Z65)</f>
        <v>0</v>
      </c>
      <c r="AB196" s="18">
        <f ca="1">IF('Current Char Stats'!$A65="","",'Current Char Stats'!$AA65)</f>
        <v>0</v>
      </c>
      <c r="AC196" s="18">
        <f ca="1">IF('Current Char Stats'!$A65="","",'Current Char Stats'!$AB65)</f>
        <v>0</v>
      </c>
      <c r="AD196" s="18">
        <f ca="1">IF('Current Char Stats'!$A65="","",'Current Char Stats'!$AC65)</f>
        <v>0</v>
      </c>
      <c r="AE196" s="18">
        <f ca="1">IF('Current Char Stats'!$A65="","",'Current Char Stats'!$AD65)</f>
        <v>0</v>
      </c>
      <c r="AF196" s="18">
        <f ca="1">IF('Current Char Stats'!$A65="","",'Current Char Stats'!$AE65)</f>
        <v>0</v>
      </c>
    </row>
    <row r="197" spans="1:32">
      <c r="A197" s="18">
        <f ca="1">IF('Current Char Stats'!$A66="","",Settings!$B$2)</f>
        <v>1</v>
      </c>
      <c r="B197" s="117" t="str">
        <f ca="1">IF('Current Char Stats'!$A66="","",'Current Char Stats'!$A66)</f>
        <v>Jason</v>
      </c>
      <c r="C197" s="18" t="str">
        <f ca="1">IF('Current Char Stats'!$A66="","",'Current Char Stats'!$B66)</f>
        <v>Baby Daisy</v>
      </c>
      <c r="D197" s="18" t="str">
        <f ca="1">IF('Current Char Stats'!$A66="","",'Current Char Stats'!$C66)</f>
        <v>G4</v>
      </c>
      <c r="E197" s="18">
        <f ca="1">IF('Current Char Stats'!$A66="","",'Current Char Stats'!$D66)</f>
        <v>1</v>
      </c>
      <c r="F197" s="18">
        <f ca="1">IF('Current Char Stats'!$A66="","",'Current Char Stats'!$E66)</f>
        <v>1</v>
      </c>
      <c r="G197" s="18">
        <f ca="1">IF('Current Char Stats'!$A66="","",'Current Char Stats'!$F66)</f>
        <v>1</v>
      </c>
      <c r="H197" s="18">
        <f ca="1">IF('Current Char Stats'!$A66="","",'Current Char Stats'!$G66)</f>
        <v>0</v>
      </c>
      <c r="I197" s="18">
        <f ca="1">IF('Current Char Stats'!$A66="","",'Current Char Stats'!$H66)</f>
        <v>0</v>
      </c>
      <c r="J197" s="18">
        <f ca="1">IF('Current Char Stats'!$A66="","",'Current Char Stats'!$I66)</f>
        <v>0</v>
      </c>
      <c r="K197" s="18">
        <f ca="1">IF('Current Char Stats'!$A66="","",'Current Char Stats'!$J66)</f>
        <v>0</v>
      </c>
      <c r="L197" s="18" t="str">
        <f ca="1">IF('Current Char Stats'!$A66="","",'Current Char Stats'!$K66)</f>
        <v/>
      </c>
      <c r="M197" s="18">
        <f ca="1">IF('Current Char Stats'!$A66="","",'Current Char Stats'!$L66)</f>
        <v>0</v>
      </c>
      <c r="N197" s="18">
        <f ca="1">IF('Current Char Stats'!$A66="","",'Current Char Stats'!$M66)</f>
        <v>0</v>
      </c>
      <c r="O197" s="18">
        <f ca="1">IF('Current Char Stats'!$A66="","",'Current Char Stats'!$N66)</f>
        <v>0</v>
      </c>
      <c r="P197" s="18">
        <f ca="1">IF('Current Char Stats'!$A66="","",'Current Char Stats'!$O66)</f>
        <v>1</v>
      </c>
      <c r="Q197" s="18">
        <f ca="1">IF('Current Char Stats'!$A66="","",'Current Char Stats'!$P66)</f>
        <v>0</v>
      </c>
      <c r="R197" s="18">
        <f ca="1">IF('Current Char Stats'!$A66="","",'Current Char Stats'!$Q66)</f>
        <v>0</v>
      </c>
      <c r="S197" s="18">
        <f ca="1">IF('Current Char Stats'!$A66="","",'Current Char Stats'!$R66)</f>
        <v>0</v>
      </c>
      <c r="T197" s="18">
        <f ca="1">IF('Current Char Stats'!$A66="","",'Current Char Stats'!$S66)</f>
        <v>0</v>
      </c>
      <c r="U197" s="18">
        <f ca="1">IF('Current Char Stats'!$A66="","",'Current Char Stats'!$T66)</f>
        <v>0</v>
      </c>
      <c r="V197" s="18">
        <f ca="1">IF('Current Char Stats'!$A66="","",'Current Char Stats'!$U66)</f>
        <v>0</v>
      </c>
      <c r="W197" s="18">
        <f ca="1">IF('Current Char Stats'!$A66="","",'Current Char Stats'!$V66)</f>
        <v>0</v>
      </c>
      <c r="X197" s="18">
        <f ca="1">IF('Current Char Stats'!$A66="","",'Current Char Stats'!$W66)</f>
        <v>0</v>
      </c>
      <c r="Y197" s="18">
        <f ca="1">IF('Current Char Stats'!$A66="","",'Current Char Stats'!$X66)</f>
        <v>0</v>
      </c>
      <c r="Z197" s="18">
        <f ca="1">IF('Current Char Stats'!$A66="","",'Current Char Stats'!$Y66)</f>
        <v>0</v>
      </c>
      <c r="AA197" s="18">
        <f ca="1">IF('Current Char Stats'!$A66="","",'Current Char Stats'!$Z66)</f>
        <v>0</v>
      </c>
      <c r="AB197" s="18">
        <f ca="1">IF('Current Char Stats'!$A66="","",'Current Char Stats'!$AA66)</f>
        <v>0</v>
      </c>
      <c r="AC197" s="18">
        <f ca="1">IF('Current Char Stats'!$A66="","",'Current Char Stats'!$AB66)</f>
        <v>0</v>
      </c>
      <c r="AD197" s="18">
        <f ca="1">IF('Current Char Stats'!$A66="","",'Current Char Stats'!$AC66)</f>
        <v>0</v>
      </c>
      <c r="AE197" s="18">
        <f ca="1">IF('Current Char Stats'!$A66="","",'Current Char Stats'!$AD66)</f>
        <v>0</v>
      </c>
      <c r="AF197" s="18">
        <f ca="1">IF('Current Char Stats'!$A66="","",'Current Char Stats'!$AE66)</f>
        <v>0</v>
      </c>
    </row>
    <row r="198" spans="1:32">
      <c r="A198" s="18">
        <f ca="1">IF('Current Char Stats'!$A67="","",Settings!$B$2)</f>
        <v>1</v>
      </c>
      <c r="B198" s="117" t="str">
        <f ca="1">IF('Current Char Stats'!$A67="","",'Current Char Stats'!$A67)</f>
        <v>Aidan</v>
      </c>
      <c r="C198" s="18" t="str">
        <f ca="1">IF('Current Char Stats'!$A67="","",'Current Char Stats'!$B67)</f>
        <v>Blue Kritter</v>
      </c>
      <c r="D198" s="18" t="str">
        <f ca="1">IF('Current Char Stats'!$A67="","",'Current Char Stats'!$C67)</f>
        <v>G4</v>
      </c>
      <c r="E198" s="18">
        <f ca="1">IF('Current Char Stats'!$A67="","",'Current Char Stats'!$D67)</f>
        <v>2</v>
      </c>
      <c r="F198" s="18">
        <f ca="1">IF('Current Char Stats'!$A67="","",'Current Char Stats'!$E67)</f>
        <v>0</v>
      </c>
      <c r="G198" s="18">
        <f ca="1">IF('Current Char Stats'!$A67="","",'Current Char Stats'!$F67)</f>
        <v>0</v>
      </c>
      <c r="H198" s="18">
        <f ca="1">IF('Current Char Stats'!$A67="","",'Current Char Stats'!$G67)</f>
        <v>0</v>
      </c>
      <c r="I198" s="18">
        <f ca="1">IF('Current Char Stats'!$A67="","",'Current Char Stats'!$H67)</f>
        <v>0</v>
      </c>
      <c r="J198" s="18">
        <f ca="1">IF('Current Char Stats'!$A67="","",'Current Char Stats'!$I67)</f>
        <v>1.1000000000000001</v>
      </c>
      <c r="K198" s="18">
        <f ca="1">IF('Current Char Stats'!$A67="","",'Current Char Stats'!$J67)</f>
        <v>3</v>
      </c>
      <c r="L198" s="18">
        <f ca="1">IF('Current Char Stats'!$A67="","",'Current Char Stats'!$K67)</f>
        <v>0</v>
      </c>
      <c r="M198" s="18">
        <f ca="1">IF('Current Char Stats'!$A67="","",'Current Char Stats'!$L67)</f>
        <v>0</v>
      </c>
      <c r="N198" s="18">
        <f ca="1">IF('Current Char Stats'!$A67="","",'Current Char Stats'!$M67)</f>
        <v>0</v>
      </c>
      <c r="O198" s="18">
        <f ca="1">IF('Current Char Stats'!$A67="","",'Current Char Stats'!$N67)</f>
        <v>0</v>
      </c>
      <c r="P198" s="18">
        <f ca="1">IF('Current Char Stats'!$A67="","",'Current Char Stats'!$O67)</f>
        <v>0</v>
      </c>
      <c r="Q198" s="18">
        <f ca="1">IF('Current Char Stats'!$A67="","",'Current Char Stats'!$P67)</f>
        <v>0</v>
      </c>
      <c r="R198" s="18">
        <f ca="1">IF('Current Char Stats'!$A67="","",'Current Char Stats'!$Q67)</f>
        <v>0</v>
      </c>
      <c r="S198" s="18">
        <f ca="1">IF('Current Char Stats'!$A67="","",'Current Char Stats'!$R67)</f>
        <v>1</v>
      </c>
      <c r="T198" s="18">
        <f ca="1">IF('Current Char Stats'!$A67="","",'Current Char Stats'!$S67)</f>
        <v>0</v>
      </c>
      <c r="U198" s="18">
        <f ca="1">IF('Current Char Stats'!$A67="","",'Current Char Stats'!$T67)</f>
        <v>0</v>
      </c>
      <c r="V198" s="18">
        <f ca="1">IF('Current Char Stats'!$A67="","",'Current Char Stats'!$U67)</f>
        <v>0</v>
      </c>
      <c r="W198" s="18">
        <f ca="1">IF('Current Char Stats'!$A67="","",'Current Char Stats'!$V67)</f>
        <v>3</v>
      </c>
      <c r="X198" s="18">
        <f ca="1">IF('Current Char Stats'!$A67="","",'Current Char Stats'!$W67)</f>
        <v>3</v>
      </c>
      <c r="Y198" s="18">
        <f ca="1">IF('Current Char Stats'!$A67="","",'Current Char Stats'!$X67)</f>
        <v>0</v>
      </c>
      <c r="Z198" s="18">
        <f ca="1">IF('Current Char Stats'!$A67="","",'Current Char Stats'!$Y67)</f>
        <v>2</v>
      </c>
      <c r="AA198" s="18">
        <f ca="1">IF('Current Char Stats'!$A67="","",'Current Char Stats'!$Z67)</f>
        <v>3</v>
      </c>
      <c r="AB198" s="18">
        <f ca="1">IF('Current Char Stats'!$A67="","",'Current Char Stats'!$AA67)</f>
        <v>0</v>
      </c>
      <c r="AC198" s="18">
        <f ca="1">IF('Current Char Stats'!$A67="","",'Current Char Stats'!$AB67)</f>
        <v>0</v>
      </c>
      <c r="AD198" s="18">
        <f ca="1">IF('Current Char Stats'!$A67="","",'Current Char Stats'!$AC67)</f>
        <v>0</v>
      </c>
      <c r="AE198" s="18">
        <f ca="1">IF('Current Char Stats'!$A67="","",'Current Char Stats'!$AD67)</f>
        <v>2.7272727272727271</v>
      </c>
      <c r="AF198" s="18">
        <f ca="1">IF('Current Char Stats'!$A67="","",'Current Char Stats'!$AE67)</f>
        <v>7</v>
      </c>
    </row>
    <row r="199" spans="1:32">
      <c r="A199" s="18">
        <f ca="1">IF('Current Char Stats'!$A68="","",Settings!$B$2)</f>
        <v>1</v>
      </c>
      <c r="B199" s="117" t="str">
        <f ca="1">IF('Current Char Stats'!$A68="","",'Current Char Stats'!$A68)</f>
        <v>Aidan</v>
      </c>
      <c r="C199" s="18" t="str">
        <f ca="1">IF('Current Char Stats'!$A68="","",'Current Char Stats'!$B68)</f>
        <v>Mario</v>
      </c>
      <c r="D199" s="18" t="str">
        <f ca="1">IF('Current Char Stats'!$A68="","",'Current Char Stats'!$C68)</f>
        <v>G4</v>
      </c>
      <c r="E199" s="18">
        <f ca="1">IF('Current Char Stats'!$A68="","",'Current Char Stats'!$D68)</f>
        <v>2</v>
      </c>
      <c r="F199" s="18">
        <f ca="1">IF('Current Char Stats'!$A68="","",'Current Char Stats'!$E68)</f>
        <v>0</v>
      </c>
      <c r="G199" s="18">
        <f ca="1">IF('Current Char Stats'!$A68="","",'Current Char Stats'!$F68)</f>
        <v>0</v>
      </c>
      <c r="H199" s="18">
        <f ca="1">IF('Current Char Stats'!$A68="","",'Current Char Stats'!$G68)</f>
        <v>0</v>
      </c>
      <c r="I199" s="18">
        <f ca="1">IF('Current Char Stats'!$A68="","",'Current Char Stats'!$H68)</f>
        <v>0</v>
      </c>
      <c r="J199" s="18">
        <f ca="1">IF('Current Char Stats'!$A68="","",'Current Char Stats'!$I68)</f>
        <v>0</v>
      </c>
      <c r="K199" s="18">
        <f ca="1">IF('Current Char Stats'!$A68="","",'Current Char Stats'!$J68)</f>
        <v>0</v>
      </c>
      <c r="L199" s="18" t="str">
        <f ca="1">IF('Current Char Stats'!$A68="","",'Current Char Stats'!$K68)</f>
        <v/>
      </c>
      <c r="M199" s="18">
        <f ca="1">IF('Current Char Stats'!$A68="","",'Current Char Stats'!$L68)</f>
        <v>0</v>
      </c>
      <c r="N199" s="18">
        <f ca="1">IF('Current Char Stats'!$A68="","",'Current Char Stats'!$M68)</f>
        <v>0</v>
      </c>
      <c r="O199" s="18">
        <f ca="1">IF('Current Char Stats'!$A68="","",'Current Char Stats'!$N68)</f>
        <v>0</v>
      </c>
      <c r="P199" s="18">
        <f ca="1">IF('Current Char Stats'!$A68="","",'Current Char Stats'!$O68)</f>
        <v>0</v>
      </c>
      <c r="Q199" s="18">
        <f ca="1">IF('Current Char Stats'!$A68="","",'Current Char Stats'!$P68)</f>
        <v>0</v>
      </c>
      <c r="R199" s="18">
        <f ca="1">IF('Current Char Stats'!$A68="","",'Current Char Stats'!$Q68)</f>
        <v>0</v>
      </c>
      <c r="S199" s="18">
        <f ca="1">IF('Current Char Stats'!$A68="","",'Current Char Stats'!$R68)</f>
        <v>1</v>
      </c>
      <c r="T199" s="18">
        <f ca="1">IF('Current Char Stats'!$A68="","",'Current Char Stats'!$S68)</f>
        <v>0</v>
      </c>
      <c r="U199" s="18">
        <f ca="1">IF('Current Char Stats'!$A68="","",'Current Char Stats'!$T68)</f>
        <v>0</v>
      </c>
      <c r="V199" s="18">
        <f ca="1">IF('Current Char Stats'!$A68="","",'Current Char Stats'!$U68)</f>
        <v>0</v>
      </c>
      <c r="W199" s="18">
        <f ca="1">IF('Current Char Stats'!$A68="","",'Current Char Stats'!$V68)</f>
        <v>0</v>
      </c>
      <c r="X199" s="18">
        <f ca="1">IF('Current Char Stats'!$A68="","",'Current Char Stats'!$W68)</f>
        <v>0</v>
      </c>
      <c r="Y199" s="18">
        <f ca="1">IF('Current Char Stats'!$A68="","",'Current Char Stats'!$X68)</f>
        <v>0</v>
      </c>
      <c r="Z199" s="18">
        <f ca="1">IF('Current Char Stats'!$A68="","",'Current Char Stats'!$Y68)</f>
        <v>0</v>
      </c>
      <c r="AA199" s="18">
        <f ca="1">IF('Current Char Stats'!$A68="","",'Current Char Stats'!$Z68)</f>
        <v>0</v>
      </c>
      <c r="AB199" s="18">
        <f ca="1">IF('Current Char Stats'!$A68="","",'Current Char Stats'!$AA68)</f>
        <v>0</v>
      </c>
      <c r="AC199" s="18">
        <f ca="1">IF('Current Char Stats'!$A68="","",'Current Char Stats'!$AB68)</f>
        <v>0</v>
      </c>
      <c r="AD199" s="18">
        <f ca="1">IF('Current Char Stats'!$A68="","",'Current Char Stats'!$AC68)</f>
        <v>0</v>
      </c>
      <c r="AE199" s="18">
        <f ca="1">IF('Current Char Stats'!$A68="","",'Current Char Stats'!$AD68)</f>
        <v>0</v>
      </c>
      <c r="AF199" s="18">
        <f ca="1">IF('Current Char Stats'!$A68="","",'Current Char Stats'!$AE68)</f>
        <v>0</v>
      </c>
    </row>
    <row r="200" spans="1:32">
      <c r="A200" s="18">
        <f ca="1">IF('Current Char Stats'!$A69="","",Settings!$B$2)</f>
        <v>1</v>
      </c>
      <c r="B200" s="117" t="str">
        <f ca="1">IF('Current Char Stats'!$A69="","",'Current Char Stats'!$A69)</f>
        <v>Aidan</v>
      </c>
      <c r="C200" s="18" t="str">
        <f ca="1">IF('Current Char Stats'!$A69="","",'Current Char Stats'!$B69)</f>
        <v>Luigi</v>
      </c>
      <c r="D200" s="18" t="str">
        <f ca="1">IF('Current Char Stats'!$A69="","",'Current Char Stats'!$C69)</f>
        <v>G4</v>
      </c>
      <c r="E200" s="18">
        <f ca="1">IF('Current Char Stats'!$A69="","",'Current Char Stats'!$D69)</f>
        <v>2</v>
      </c>
      <c r="F200" s="18">
        <f ca="1">IF('Current Char Stats'!$A69="","",'Current Char Stats'!$E69)</f>
        <v>0</v>
      </c>
      <c r="G200" s="18">
        <f ca="1">IF('Current Char Stats'!$A69="","",'Current Char Stats'!$F69)</f>
        <v>0</v>
      </c>
      <c r="H200" s="18">
        <f ca="1">IF('Current Char Stats'!$A69="","",'Current Char Stats'!$G69)</f>
        <v>0</v>
      </c>
      <c r="I200" s="18">
        <f ca="1">IF('Current Char Stats'!$A69="","",'Current Char Stats'!$H69)</f>
        <v>0</v>
      </c>
      <c r="J200" s="18">
        <f ca="1">IF('Current Char Stats'!$A69="","",'Current Char Stats'!$I69)</f>
        <v>0</v>
      </c>
      <c r="K200" s="18">
        <f ca="1">IF('Current Char Stats'!$A69="","",'Current Char Stats'!$J69)</f>
        <v>0</v>
      </c>
      <c r="L200" s="18" t="str">
        <f ca="1">IF('Current Char Stats'!$A69="","",'Current Char Stats'!$K69)</f>
        <v/>
      </c>
      <c r="M200" s="18">
        <f ca="1">IF('Current Char Stats'!$A69="","",'Current Char Stats'!$L69)</f>
        <v>0</v>
      </c>
      <c r="N200" s="18">
        <f ca="1">IF('Current Char Stats'!$A69="","",'Current Char Stats'!$M69)</f>
        <v>0</v>
      </c>
      <c r="O200" s="18">
        <f ca="1">IF('Current Char Stats'!$A69="","",'Current Char Stats'!$N69)</f>
        <v>0</v>
      </c>
      <c r="P200" s="18">
        <f ca="1">IF('Current Char Stats'!$A69="","",'Current Char Stats'!$O69)</f>
        <v>0</v>
      </c>
      <c r="Q200" s="18">
        <f ca="1">IF('Current Char Stats'!$A69="","",'Current Char Stats'!$P69)</f>
        <v>0</v>
      </c>
      <c r="R200" s="18">
        <f ca="1">IF('Current Char Stats'!$A69="","",'Current Char Stats'!$Q69)</f>
        <v>0</v>
      </c>
      <c r="S200" s="18">
        <f ca="1">IF('Current Char Stats'!$A69="","",'Current Char Stats'!$R69)</f>
        <v>1</v>
      </c>
      <c r="T200" s="18">
        <f ca="1">IF('Current Char Stats'!$A69="","",'Current Char Stats'!$S69)</f>
        <v>0</v>
      </c>
      <c r="U200" s="18">
        <f ca="1">IF('Current Char Stats'!$A69="","",'Current Char Stats'!$T69)</f>
        <v>0</v>
      </c>
      <c r="V200" s="18">
        <f ca="1">IF('Current Char Stats'!$A69="","",'Current Char Stats'!$U69)</f>
        <v>0</v>
      </c>
      <c r="W200" s="18">
        <f ca="1">IF('Current Char Stats'!$A69="","",'Current Char Stats'!$V69)</f>
        <v>0</v>
      </c>
      <c r="X200" s="18">
        <f ca="1">IF('Current Char Stats'!$A69="","",'Current Char Stats'!$W69)</f>
        <v>0</v>
      </c>
      <c r="Y200" s="18">
        <f ca="1">IF('Current Char Stats'!$A69="","",'Current Char Stats'!$X69)</f>
        <v>0</v>
      </c>
      <c r="Z200" s="18">
        <f ca="1">IF('Current Char Stats'!$A69="","",'Current Char Stats'!$Y69)</f>
        <v>0</v>
      </c>
      <c r="AA200" s="18">
        <f ca="1">IF('Current Char Stats'!$A69="","",'Current Char Stats'!$Z69)</f>
        <v>0</v>
      </c>
      <c r="AB200" s="18">
        <f ca="1">IF('Current Char Stats'!$A69="","",'Current Char Stats'!$AA69)</f>
        <v>0</v>
      </c>
      <c r="AC200" s="18">
        <f ca="1">IF('Current Char Stats'!$A69="","",'Current Char Stats'!$AB69)</f>
        <v>0</v>
      </c>
      <c r="AD200" s="18">
        <f ca="1">IF('Current Char Stats'!$A69="","",'Current Char Stats'!$AC69)</f>
        <v>0</v>
      </c>
      <c r="AE200" s="18">
        <f ca="1">IF('Current Char Stats'!$A69="","",'Current Char Stats'!$AD69)</f>
        <v>0</v>
      </c>
      <c r="AF200" s="18">
        <f ca="1">IF('Current Char Stats'!$A69="","",'Current Char Stats'!$AE69)</f>
        <v>0</v>
      </c>
    </row>
    <row r="201" spans="1:32">
      <c r="A201" s="18">
        <f ca="1">IF('Current Char Stats'!$A70="","",Settings!$B$2)</f>
        <v>1</v>
      </c>
      <c r="B201" s="117" t="str">
        <f ca="1">IF('Current Char Stats'!$A70="","",'Current Char Stats'!$A70)</f>
        <v>Aidan</v>
      </c>
      <c r="C201" s="18" t="str">
        <f ca="1">IF('Current Char Stats'!$A70="","",'Current Char Stats'!$B70)</f>
        <v>Blue Pianta</v>
      </c>
      <c r="D201" s="18" t="str">
        <f ca="1">IF('Current Char Stats'!$A70="","",'Current Char Stats'!$C70)</f>
        <v>G4</v>
      </c>
      <c r="E201" s="18">
        <f ca="1">IF('Current Char Stats'!$A70="","",'Current Char Stats'!$D70)</f>
        <v>1</v>
      </c>
      <c r="F201" s="18">
        <f ca="1">IF('Current Char Stats'!$A70="","",'Current Char Stats'!$E70)</f>
        <v>1</v>
      </c>
      <c r="G201" s="18">
        <f ca="1">IF('Current Char Stats'!$A70="","",'Current Char Stats'!$F70)</f>
        <v>1</v>
      </c>
      <c r="H201" s="18">
        <f ca="1">IF('Current Char Stats'!$A70="","",'Current Char Stats'!$G70)</f>
        <v>0</v>
      </c>
      <c r="I201" s="18">
        <f ca="1">IF('Current Char Stats'!$A70="","",'Current Char Stats'!$H70)</f>
        <v>0</v>
      </c>
      <c r="J201" s="18">
        <f ca="1">IF('Current Char Stats'!$A70="","",'Current Char Stats'!$I70)</f>
        <v>0</v>
      </c>
      <c r="K201" s="18">
        <f ca="1">IF('Current Char Stats'!$A70="","",'Current Char Stats'!$J70)</f>
        <v>0</v>
      </c>
      <c r="L201" s="18" t="str">
        <f ca="1">IF('Current Char Stats'!$A70="","",'Current Char Stats'!$K70)</f>
        <v/>
      </c>
      <c r="M201" s="18">
        <f ca="1">IF('Current Char Stats'!$A70="","",'Current Char Stats'!$L70)</f>
        <v>0</v>
      </c>
      <c r="N201" s="18">
        <f ca="1">IF('Current Char Stats'!$A70="","",'Current Char Stats'!$M70)</f>
        <v>0</v>
      </c>
      <c r="O201" s="18">
        <f ca="1">IF('Current Char Stats'!$A70="","",'Current Char Stats'!$N70)</f>
        <v>1</v>
      </c>
      <c r="P201" s="18">
        <f ca="1">IF('Current Char Stats'!$A70="","",'Current Char Stats'!$O70)</f>
        <v>0</v>
      </c>
      <c r="Q201" s="18">
        <f ca="1">IF('Current Char Stats'!$A70="","",'Current Char Stats'!$P70)</f>
        <v>0</v>
      </c>
      <c r="R201" s="18">
        <f ca="1">IF('Current Char Stats'!$A70="","",'Current Char Stats'!$Q70)</f>
        <v>0</v>
      </c>
      <c r="S201" s="18">
        <f ca="1">IF('Current Char Stats'!$A70="","",'Current Char Stats'!$R70)</f>
        <v>0</v>
      </c>
      <c r="T201" s="18">
        <f ca="1">IF('Current Char Stats'!$A70="","",'Current Char Stats'!$S70)</f>
        <v>0</v>
      </c>
      <c r="U201" s="18">
        <f ca="1">IF('Current Char Stats'!$A70="","",'Current Char Stats'!$T70)</f>
        <v>0</v>
      </c>
      <c r="V201" s="18">
        <f ca="1">IF('Current Char Stats'!$A70="","",'Current Char Stats'!$U70)</f>
        <v>0</v>
      </c>
      <c r="W201" s="18">
        <f ca="1">IF('Current Char Stats'!$A70="","",'Current Char Stats'!$V70)</f>
        <v>0</v>
      </c>
      <c r="X201" s="18">
        <f ca="1">IF('Current Char Stats'!$A70="","",'Current Char Stats'!$W70)</f>
        <v>0</v>
      </c>
      <c r="Y201" s="18">
        <f ca="1">IF('Current Char Stats'!$A70="","",'Current Char Stats'!$X70)</f>
        <v>0</v>
      </c>
      <c r="Z201" s="18">
        <f ca="1">IF('Current Char Stats'!$A70="","",'Current Char Stats'!$Y70)</f>
        <v>0</v>
      </c>
      <c r="AA201" s="18">
        <f ca="1">IF('Current Char Stats'!$A70="","",'Current Char Stats'!$Z70)</f>
        <v>0</v>
      </c>
      <c r="AB201" s="18">
        <f ca="1">IF('Current Char Stats'!$A70="","",'Current Char Stats'!$AA70)</f>
        <v>0</v>
      </c>
      <c r="AC201" s="18">
        <f ca="1">IF('Current Char Stats'!$A70="","",'Current Char Stats'!$AB70)</f>
        <v>0</v>
      </c>
      <c r="AD201" s="18">
        <f ca="1">IF('Current Char Stats'!$A70="","",'Current Char Stats'!$AC70)</f>
        <v>0</v>
      </c>
      <c r="AE201" s="18">
        <f ca="1">IF('Current Char Stats'!$A70="","",'Current Char Stats'!$AD70)</f>
        <v>0</v>
      </c>
      <c r="AF201" s="18">
        <f ca="1">IF('Current Char Stats'!$A70="","",'Current Char Stats'!$AE70)</f>
        <v>0</v>
      </c>
    </row>
    <row r="202" spans="1:32">
      <c r="A202" s="18">
        <f ca="1">IF('Current Char Stats'!$A71="","",Settings!$B$2)</f>
        <v>1</v>
      </c>
      <c r="B202" s="117" t="str">
        <f ca="1">IF('Current Char Stats'!$A71="","",'Current Char Stats'!$A71)</f>
        <v>Aidan</v>
      </c>
      <c r="C202" s="18" t="str">
        <f ca="1">IF('Current Char Stats'!$A71="","",'Current Char Stats'!$B71)</f>
        <v>Dark Bones</v>
      </c>
      <c r="D202" s="18" t="str">
        <f ca="1">IF('Current Char Stats'!$A71="","",'Current Char Stats'!$C71)</f>
        <v>G4</v>
      </c>
      <c r="E202" s="18">
        <f ca="1">IF('Current Char Stats'!$A71="","",'Current Char Stats'!$D71)</f>
        <v>1</v>
      </c>
      <c r="F202" s="18">
        <f ca="1">IF('Current Char Stats'!$A71="","",'Current Char Stats'!$E71)</f>
        <v>1</v>
      </c>
      <c r="G202" s="18">
        <f ca="1">IF('Current Char Stats'!$A71="","",'Current Char Stats'!$F71)</f>
        <v>1</v>
      </c>
      <c r="H202" s="18">
        <f ca="1">IF('Current Char Stats'!$A71="","",'Current Char Stats'!$G71)</f>
        <v>1</v>
      </c>
      <c r="I202" s="18">
        <f ca="1">IF('Current Char Stats'!$A71="","",'Current Char Stats'!$H71)</f>
        <v>2</v>
      </c>
      <c r="J202" s="18">
        <f ca="1">IF('Current Char Stats'!$A71="","",'Current Char Stats'!$I71)</f>
        <v>0</v>
      </c>
      <c r="K202" s="18">
        <f ca="1">IF('Current Char Stats'!$A71="","",'Current Char Stats'!$J71)</f>
        <v>0</v>
      </c>
      <c r="L202" s="18" t="str">
        <f ca="1">IF('Current Char Stats'!$A71="","",'Current Char Stats'!$K71)</f>
        <v/>
      </c>
      <c r="M202" s="18">
        <f ca="1">IF('Current Char Stats'!$A71="","",'Current Char Stats'!$L71)</f>
        <v>0</v>
      </c>
      <c r="N202" s="18">
        <f ca="1">IF('Current Char Stats'!$A71="","",'Current Char Stats'!$M71)</f>
        <v>0</v>
      </c>
      <c r="O202" s="18">
        <f ca="1">IF('Current Char Stats'!$A71="","",'Current Char Stats'!$N71)</f>
        <v>1</v>
      </c>
      <c r="P202" s="18">
        <f ca="1">IF('Current Char Stats'!$A71="","",'Current Char Stats'!$O71)</f>
        <v>0</v>
      </c>
      <c r="Q202" s="18">
        <f ca="1">IF('Current Char Stats'!$A71="","",'Current Char Stats'!$P71)</f>
        <v>0</v>
      </c>
      <c r="R202" s="18">
        <f ca="1">IF('Current Char Stats'!$A71="","",'Current Char Stats'!$Q71)</f>
        <v>0</v>
      </c>
      <c r="S202" s="18">
        <f ca="1">IF('Current Char Stats'!$A71="","",'Current Char Stats'!$R71)</f>
        <v>0</v>
      </c>
      <c r="T202" s="18">
        <f ca="1">IF('Current Char Stats'!$A71="","",'Current Char Stats'!$S71)</f>
        <v>0</v>
      </c>
      <c r="U202" s="18">
        <f ca="1">IF('Current Char Stats'!$A71="","",'Current Char Stats'!$T71)</f>
        <v>0</v>
      </c>
      <c r="V202" s="18">
        <f ca="1">IF('Current Char Stats'!$A71="","",'Current Char Stats'!$U71)</f>
        <v>0</v>
      </c>
      <c r="W202" s="18">
        <f ca="1">IF('Current Char Stats'!$A71="","",'Current Char Stats'!$V71)</f>
        <v>0</v>
      </c>
      <c r="X202" s="18">
        <f ca="1">IF('Current Char Stats'!$A71="","",'Current Char Stats'!$W71)</f>
        <v>0</v>
      </c>
      <c r="Y202" s="18">
        <f ca="1">IF('Current Char Stats'!$A71="","",'Current Char Stats'!$X71)</f>
        <v>0</v>
      </c>
      <c r="Z202" s="18">
        <f ca="1">IF('Current Char Stats'!$A71="","",'Current Char Stats'!$Y71)</f>
        <v>0</v>
      </c>
      <c r="AA202" s="18">
        <f ca="1">IF('Current Char Stats'!$A71="","",'Current Char Stats'!$Z71)</f>
        <v>0</v>
      </c>
      <c r="AB202" s="18">
        <f ca="1">IF('Current Char Stats'!$A71="","",'Current Char Stats'!$AA71)</f>
        <v>0</v>
      </c>
      <c r="AC202" s="18">
        <f ca="1">IF('Current Char Stats'!$A71="","",'Current Char Stats'!$AB71)</f>
        <v>0</v>
      </c>
      <c r="AD202" s="18">
        <f ca="1">IF('Current Char Stats'!$A71="","",'Current Char Stats'!$AC71)</f>
        <v>0</v>
      </c>
      <c r="AE202" s="18">
        <f ca="1">IF('Current Char Stats'!$A71="","",'Current Char Stats'!$AD71)</f>
        <v>0</v>
      </c>
      <c r="AF202" s="18">
        <f ca="1">IF('Current Char Stats'!$A71="","",'Current Char Stats'!$AE71)</f>
        <v>0</v>
      </c>
    </row>
    <row r="203" spans="1:32">
      <c r="A203" s="18">
        <f ca="1">IF('Current Char Stats'!$A72="","",Settings!$B$2)</f>
        <v>1</v>
      </c>
      <c r="B203" s="117" t="str">
        <f ca="1">IF('Current Char Stats'!$A72="","",'Current Char Stats'!$A72)</f>
        <v>Aidan</v>
      </c>
      <c r="C203" s="18" t="str">
        <f ca="1">IF('Current Char Stats'!$A72="","",'Current Char Stats'!$B72)</f>
        <v>Blue Dry Bones</v>
      </c>
      <c r="D203" s="18" t="str">
        <f ca="1">IF('Current Char Stats'!$A72="","",'Current Char Stats'!$C72)</f>
        <v>G4</v>
      </c>
      <c r="E203" s="18">
        <f ca="1">IF('Current Char Stats'!$A72="","",'Current Char Stats'!$D72)</f>
        <v>1</v>
      </c>
      <c r="F203" s="18">
        <f ca="1">IF('Current Char Stats'!$A72="","",'Current Char Stats'!$E72)</f>
        <v>1</v>
      </c>
      <c r="G203" s="18">
        <f ca="1">IF('Current Char Stats'!$A72="","",'Current Char Stats'!$F72)</f>
        <v>1</v>
      </c>
      <c r="H203" s="18">
        <f ca="1">IF('Current Char Stats'!$A72="","",'Current Char Stats'!$G72)</f>
        <v>0</v>
      </c>
      <c r="I203" s="18">
        <f ca="1">IF('Current Char Stats'!$A72="","",'Current Char Stats'!$H72)</f>
        <v>0</v>
      </c>
      <c r="J203" s="18">
        <f ca="1">IF('Current Char Stats'!$A72="","",'Current Char Stats'!$I72)</f>
        <v>0</v>
      </c>
      <c r="K203" s="18">
        <f ca="1">IF('Current Char Stats'!$A72="","",'Current Char Stats'!$J72)</f>
        <v>0</v>
      </c>
      <c r="L203" s="18" t="str">
        <f ca="1">IF('Current Char Stats'!$A72="","",'Current Char Stats'!$K72)</f>
        <v/>
      </c>
      <c r="M203" s="18">
        <f ca="1">IF('Current Char Stats'!$A72="","",'Current Char Stats'!$L72)</f>
        <v>0</v>
      </c>
      <c r="N203" s="18">
        <f ca="1">IF('Current Char Stats'!$A72="","",'Current Char Stats'!$M72)</f>
        <v>0</v>
      </c>
      <c r="O203" s="18">
        <f ca="1">IF('Current Char Stats'!$A72="","",'Current Char Stats'!$N72)</f>
        <v>0</v>
      </c>
      <c r="P203" s="18">
        <f ca="1">IF('Current Char Stats'!$A72="","",'Current Char Stats'!$O72)</f>
        <v>1</v>
      </c>
      <c r="Q203" s="18">
        <f ca="1">IF('Current Char Stats'!$A72="","",'Current Char Stats'!$P72)</f>
        <v>0</v>
      </c>
      <c r="R203" s="18">
        <f ca="1">IF('Current Char Stats'!$A72="","",'Current Char Stats'!$Q72)</f>
        <v>0</v>
      </c>
      <c r="S203" s="18">
        <f ca="1">IF('Current Char Stats'!$A72="","",'Current Char Stats'!$R72)</f>
        <v>0</v>
      </c>
      <c r="T203" s="18">
        <f ca="1">IF('Current Char Stats'!$A72="","",'Current Char Stats'!$S72)</f>
        <v>0</v>
      </c>
      <c r="U203" s="18">
        <f ca="1">IF('Current Char Stats'!$A72="","",'Current Char Stats'!$T72)</f>
        <v>0</v>
      </c>
      <c r="V203" s="18">
        <f ca="1">IF('Current Char Stats'!$A72="","",'Current Char Stats'!$U72)</f>
        <v>0</v>
      </c>
      <c r="W203" s="18">
        <f ca="1">IF('Current Char Stats'!$A72="","",'Current Char Stats'!$V72)</f>
        <v>0</v>
      </c>
      <c r="X203" s="18">
        <f ca="1">IF('Current Char Stats'!$A72="","",'Current Char Stats'!$W72)</f>
        <v>0</v>
      </c>
      <c r="Y203" s="18">
        <f ca="1">IF('Current Char Stats'!$A72="","",'Current Char Stats'!$X72)</f>
        <v>0</v>
      </c>
      <c r="Z203" s="18">
        <f ca="1">IF('Current Char Stats'!$A72="","",'Current Char Stats'!$Y72)</f>
        <v>0</v>
      </c>
      <c r="AA203" s="18">
        <f ca="1">IF('Current Char Stats'!$A72="","",'Current Char Stats'!$Z72)</f>
        <v>0</v>
      </c>
      <c r="AB203" s="18">
        <f ca="1">IF('Current Char Stats'!$A72="","",'Current Char Stats'!$AA72)</f>
        <v>0</v>
      </c>
      <c r="AC203" s="18">
        <f ca="1">IF('Current Char Stats'!$A72="","",'Current Char Stats'!$AB72)</f>
        <v>0</v>
      </c>
      <c r="AD203" s="18">
        <f ca="1">IF('Current Char Stats'!$A72="","",'Current Char Stats'!$AC72)</f>
        <v>0</v>
      </c>
      <c r="AE203" s="18">
        <f ca="1">IF('Current Char Stats'!$A72="","",'Current Char Stats'!$AD72)</f>
        <v>0</v>
      </c>
      <c r="AF203" s="18">
        <f ca="1">IF('Current Char Stats'!$A72="","",'Current Char Stats'!$AE72)</f>
        <v>0</v>
      </c>
    </row>
    <row r="204" spans="1:32">
      <c r="A204" s="18">
        <f ca="1">IF('Current Char Stats'!$A73="","",Settings!$B$2)</f>
        <v>1</v>
      </c>
      <c r="B204" s="117" t="str">
        <f ca="1">IF('Current Char Stats'!$A73="","",'Current Char Stats'!$A73)</f>
        <v>Aidan</v>
      </c>
      <c r="C204" s="18" t="str">
        <f ca="1">IF('Current Char Stats'!$A73="","",'Current Char Stats'!$B73)</f>
        <v>Red Magikoopa</v>
      </c>
      <c r="D204" s="18" t="str">
        <f ca="1">IF('Current Char Stats'!$A73="","",'Current Char Stats'!$C73)</f>
        <v>G4</v>
      </c>
      <c r="E204" s="18">
        <f ca="1">IF('Current Char Stats'!$A73="","",'Current Char Stats'!$D73)</f>
        <v>1</v>
      </c>
      <c r="F204" s="18">
        <f ca="1">IF('Current Char Stats'!$A73="","",'Current Char Stats'!$E73)</f>
        <v>0</v>
      </c>
      <c r="G204" s="18">
        <f ca="1">IF('Current Char Stats'!$A73="","",'Current Char Stats'!$F73)</f>
        <v>0</v>
      </c>
      <c r="H204" s="18">
        <f ca="1">IF('Current Char Stats'!$A73="","",'Current Char Stats'!$G73)</f>
        <v>0</v>
      </c>
      <c r="I204" s="18">
        <f ca="1">IF('Current Char Stats'!$A73="","",'Current Char Stats'!$H73)</f>
        <v>0</v>
      </c>
      <c r="J204" s="18">
        <f ca="1">IF('Current Char Stats'!$A73="","",'Current Char Stats'!$I73)</f>
        <v>1.2</v>
      </c>
      <c r="K204" s="18">
        <f ca="1">IF('Current Char Stats'!$A73="","",'Current Char Stats'!$J73)</f>
        <v>2</v>
      </c>
      <c r="L204" s="18">
        <f ca="1">IF('Current Char Stats'!$A73="","",'Current Char Stats'!$K73)</f>
        <v>0</v>
      </c>
      <c r="M204" s="18">
        <f ca="1">IF('Current Char Stats'!$A73="","",'Current Char Stats'!$L73)</f>
        <v>0</v>
      </c>
      <c r="N204" s="18">
        <f ca="1">IF('Current Char Stats'!$A73="","",'Current Char Stats'!$M73)</f>
        <v>0</v>
      </c>
      <c r="O204" s="18">
        <f ca="1">IF('Current Char Stats'!$A73="","",'Current Char Stats'!$N73)</f>
        <v>0</v>
      </c>
      <c r="P204" s="18">
        <f ca="1">IF('Current Char Stats'!$A73="","",'Current Char Stats'!$O73)</f>
        <v>0</v>
      </c>
      <c r="Q204" s="18">
        <f ca="1">IF('Current Char Stats'!$A73="","",'Current Char Stats'!$P73)</f>
        <v>0</v>
      </c>
      <c r="R204" s="18">
        <f ca="1">IF('Current Char Stats'!$A73="","",'Current Char Stats'!$Q73)</f>
        <v>0</v>
      </c>
      <c r="S204" s="18">
        <f ca="1">IF('Current Char Stats'!$A73="","",'Current Char Stats'!$R73)</f>
        <v>0</v>
      </c>
      <c r="T204" s="18">
        <f ca="1">IF('Current Char Stats'!$A73="","",'Current Char Stats'!$S73)</f>
        <v>0</v>
      </c>
      <c r="U204" s="18">
        <f ca="1">IF('Current Char Stats'!$A73="","",'Current Char Stats'!$T73)</f>
        <v>0</v>
      </c>
      <c r="V204" s="18">
        <f ca="1">IF('Current Char Stats'!$A73="","",'Current Char Stats'!$U73)</f>
        <v>0</v>
      </c>
      <c r="W204" s="18">
        <f ca="1">IF('Current Char Stats'!$A73="","",'Current Char Stats'!$V73)</f>
        <v>5</v>
      </c>
      <c r="X204" s="18">
        <f ca="1">IF('Current Char Stats'!$A73="","",'Current Char Stats'!$W73)</f>
        <v>2</v>
      </c>
      <c r="Y204" s="18">
        <f ca="1">IF('Current Char Stats'!$A73="","",'Current Char Stats'!$X73)</f>
        <v>0</v>
      </c>
      <c r="Z204" s="18">
        <f ca="1">IF('Current Char Stats'!$A73="","",'Current Char Stats'!$Y73)</f>
        <v>1</v>
      </c>
      <c r="AA204" s="18">
        <f ca="1">IF('Current Char Stats'!$A73="","",'Current Char Stats'!$Z73)</f>
        <v>2</v>
      </c>
      <c r="AB204" s="18">
        <f ca="1">IF('Current Char Stats'!$A73="","",'Current Char Stats'!$AA73)</f>
        <v>0</v>
      </c>
      <c r="AC204" s="18">
        <f ca="1">IF('Current Char Stats'!$A73="","",'Current Char Stats'!$AB73)</f>
        <v>0</v>
      </c>
      <c r="AD204" s="18">
        <f ca="1">IF('Current Char Stats'!$A73="","",'Current Char Stats'!$AC73)</f>
        <v>0</v>
      </c>
      <c r="AE204" s="18">
        <f ca="1">IF('Current Char Stats'!$A73="","",'Current Char Stats'!$AD73)</f>
        <v>4.166666666666667</v>
      </c>
      <c r="AF204" s="18">
        <f ca="1">IF('Current Char Stats'!$A73="","",'Current Char Stats'!$AE73)</f>
        <v>10</v>
      </c>
    </row>
    <row r="205" spans="1:32">
      <c r="A205" s="18">
        <f ca="1">IF('Current Char Stats'!$A74="","",Settings!$B$2)</f>
        <v>1</v>
      </c>
      <c r="B205" s="117" t="str">
        <f ca="1">IF('Current Char Stats'!$A74="","",'Current Char Stats'!$A74)</f>
        <v>Aidan</v>
      </c>
      <c r="C205" s="18" t="str">
        <f ca="1">IF('Current Char Stats'!$A74="","",'Current Char Stats'!$B74)</f>
        <v>Yellow Pianta</v>
      </c>
      <c r="D205" s="18" t="str">
        <f ca="1">IF('Current Char Stats'!$A74="","",'Current Char Stats'!$C74)</f>
        <v>G4</v>
      </c>
      <c r="E205" s="18">
        <f ca="1">IF('Current Char Stats'!$A74="","",'Current Char Stats'!$D74)</f>
        <v>1</v>
      </c>
      <c r="F205" s="18">
        <f ca="1">IF('Current Char Stats'!$A74="","",'Current Char Stats'!$E74)</f>
        <v>0</v>
      </c>
      <c r="G205" s="18">
        <f ca="1">IF('Current Char Stats'!$A74="","",'Current Char Stats'!$F74)</f>
        <v>0</v>
      </c>
      <c r="H205" s="18">
        <f ca="1">IF('Current Char Stats'!$A74="","",'Current Char Stats'!$G74)</f>
        <v>0</v>
      </c>
      <c r="I205" s="18">
        <f ca="1">IF('Current Char Stats'!$A74="","",'Current Char Stats'!$H74)</f>
        <v>0</v>
      </c>
      <c r="J205" s="18">
        <f ca="1">IF('Current Char Stats'!$A74="","",'Current Char Stats'!$I74)</f>
        <v>0</v>
      </c>
      <c r="K205" s="18">
        <f ca="1">IF('Current Char Stats'!$A74="","",'Current Char Stats'!$J74)</f>
        <v>0</v>
      </c>
      <c r="L205" s="18" t="str">
        <f ca="1">IF('Current Char Stats'!$A74="","",'Current Char Stats'!$K74)</f>
        <v/>
      </c>
      <c r="M205" s="18">
        <f ca="1">IF('Current Char Stats'!$A74="","",'Current Char Stats'!$L74)</f>
        <v>0</v>
      </c>
      <c r="N205" s="18">
        <f ca="1">IF('Current Char Stats'!$A74="","",'Current Char Stats'!$M74)</f>
        <v>0</v>
      </c>
      <c r="O205" s="18">
        <f ca="1">IF('Current Char Stats'!$A74="","",'Current Char Stats'!$N74)</f>
        <v>0</v>
      </c>
      <c r="P205" s="18">
        <f ca="1">IF('Current Char Stats'!$A74="","",'Current Char Stats'!$O74)</f>
        <v>0</v>
      </c>
      <c r="Q205" s="18">
        <f ca="1">IF('Current Char Stats'!$A74="","",'Current Char Stats'!$P74)</f>
        <v>0</v>
      </c>
      <c r="R205" s="18">
        <f ca="1">IF('Current Char Stats'!$A74="","",'Current Char Stats'!$Q74)</f>
        <v>0</v>
      </c>
      <c r="S205" s="18">
        <f ca="1">IF('Current Char Stats'!$A74="","",'Current Char Stats'!$R74)</f>
        <v>0</v>
      </c>
      <c r="T205" s="18">
        <f ca="1">IF('Current Char Stats'!$A74="","",'Current Char Stats'!$S74)</f>
        <v>0</v>
      </c>
      <c r="U205" s="18">
        <f ca="1">IF('Current Char Stats'!$A74="","",'Current Char Stats'!$T74)</f>
        <v>0</v>
      </c>
      <c r="V205" s="18">
        <f ca="1">IF('Current Char Stats'!$A74="","",'Current Char Stats'!$U74)</f>
        <v>0</v>
      </c>
      <c r="W205" s="18">
        <f ca="1">IF('Current Char Stats'!$A74="","",'Current Char Stats'!$V74)</f>
        <v>0</v>
      </c>
      <c r="X205" s="18">
        <f ca="1">IF('Current Char Stats'!$A74="","",'Current Char Stats'!$W74)</f>
        <v>0</v>
      </c>
      <c r="Y205" s="18">
        <f ca="1">IF('Current Char Stats'!$A74="","",'Current Char Stats'!$X74)</f>
        <v>0</v>
      </c>
      <c r="Z205" s="18">
        <f ca="1">IF('Current Char Stats'!$A74="","",'Current Char Stats'!$Y74)</f>
        <v>0</v>
      </c>
      <c r="AA205" s="18">
        <f ca="1">IF('Current Char Stats'!$A74="","",'Current Char Stats'!$Z74)</f>
        <v>0</v>
      </c>
      <c r="AB205" s="18">
        <f ca="1">IF('Current Char Stats'!$A74="","",'Current Char Stats'!$AA74)</f>
        <v>0</v>
      </c>
      <c r="AC205" s="18">
        <f ca="1">IF('Current Char Stats'!$A74="","",'Current Char Stats'!$AB74)</f>
        <v>0</v>
      </c>
      <c r="AD205" s="18">
        <f ca="1">IF('Current Char Stats'!$A74="","",'Current Char Stats'!$AC74)</f>
        <v>0</v>
      </c>
      <c r="AE205" s="18">
        <f ca="1">IF('Current Char Stats'!$A74="","",'Current Char Stats'!$AD74)</f>
        <v>0</v>
      </c>
      <c r="AF205" s="18">
        <f ca="1">IF('Current Char Stats'!$A74="","",'Current Char Stats'!$AE74)</f>
        <v>0</v>
      </c>
    </row>
    <row r="206" spans="1:32">
      <c r="A206" s="18">
        <f ca="1">IF('Current Char Stats'!$A75="","",Settings!$B$2)</f>
        <v>1</v>
      </c>
      <c r="B206" s="117" t="str">
        <f ca="1">IF('Current Char Stats'!$A75="","",'Current Char Stats'!$A75)</f>
        <v>Aidan</v>
      </c>
      <c r="C206" s="18" t="str">
        <f ca="1">IF('Current Char Stats'!$A75="","",'Current Char Stats'!$B75)</f>
        <v>Pink Yoshi</v>
      </c>
      <c r="D206" s="18" t="str">
        <f ca="1">IF('Current Char Stats'!$A75="","",'Current Char Stats'!$C75)</f>
        <v>G4</v>
      </c>
      <c r="E206" s="18">
        <f ca="1">IF('Current Char Stats'!$A75="","",'Current Char Stats'!$D75)</f>
        <v>1</v>
      </c>
      <c r="F206" s="18">
        <f ca="1">IF('Current Char Stats'!$A75="","",'Current Char Stats'!$E75)</f>
        <v>0</v>
      </c>
      <c r="G206" s="18">
        <f ca="1">IF('Current Char Stats'!$A75="","",'Current Char Stats'!$F75)</f>
        <v>0</v>
      </c>
      <c r="H206" s="18">
        <f ca="1">IF('Current Char Stats'!$A75="","",'Current Char Stats'!$G75)</f>
        <v>0</v>
      </c>
      <c r="I206" s="18">
        <f ca="1">IF('Current Char Stats'!$A75="","",'Current Char Stats'!$H75)</f>
        <v>0</v>
      </c>
      <c r="J206" s="18">
        <f ca="1">IF('Current Char Stats'!$A75="","",'Current Char Stats'!$I75)</f>
        <v>0</v>
      </c>
      <c r="K206" s="18">
        <f ca="1">IF('Current Char Stats'!$A75="","",'Current Char Stats'!$J75)</f>
        <v>0</v>
      </c>
      <c r="L206" s="18" t="str">
        <f ca="1">IF('Current Char Stats'!$A75="","",'Current Char Stats'!$K75)</f>
        <v/>
      </c>
      <c r="M206" s="18">
        <f ca="1">IF('Current Char Stats'!$A75="","",'Current Char Stats'!$L75)</f>
        <v>0</v>
      </c>
      <c r="N206" s="18">
        <f ca="1">IF('Current Char Stats'!$A75="","",'Current Char Stats'!$M75)</f>
        <v>0</v>
      </c>
      <c r="O206" s="18">
        <f ca="1">IF('Current Char Stats'!$A75="","",'Current Char Stats'!$N75)</f>
        <v>0</v>
      </c>
      <c r="P206" s="18">
        <f ca="1">IF('Current Char Stats'!$A75="","",'Current Char Stats'!$O75)</f>
        <v>0</v>
      </c>
      <c r="Q206" s="18">
        <f ca="1">IF('Current Char Stats'!$A75="","",'Current Char Stats'!$P75)</f>
        <v>0</v>
      </c>
      <c r="R206" s="18">
        <f ca="1">IF('Current Char Stats'!$A75="","",'Current Char Stats'!$Q75)</f>
        <v>0</v>
      </c>
      <c r="S206" s="18">
        <f ca="1">IF('Current Char Stats'!$A75="","",'Current Char Stats'!$R75)</f>
        <v>0</v>
      </c>
      <c r="T206" s="18">
        <f ca="1">IF('Current Char Stats'!$A75="","",'Current Char Stats'!$S75)</f>
        <v>0</v>
      </c>
      <c r="U206" s="18">
        <f ca="1">IF('Current Char Stats'!$A75="","",'Current Char Stats'!$T75)</f>
        <v>0</v>
      </c>
      <c r="V206" s="18">
        <f ca="1">IF('Current Char Stats'!$A75="","",'Current Char Stats'!$U75)</f>
        <v>0</v>
      </c>
      <c r="W206" s="18">
        <f ca="1">IF('Current Char Stats'!$A75="","",'Current Char Stats'!$V75)</f>
        <v>0</v>
      </c>
      <c r="X206" s="18">
        <f ca="1">IF('Current Char Stats'!$A75="","",'Current Char Stats'!$W75)</f>
        <v>0</v>
      </c>
      <c r="Y206" s="18">
        <f ca="1">IF('Current Char Stats'!$A75="","",'Current Char Stats'!$X75)</f>
        <v>0</v>
      </c>
      <c r="Z206" s="18">
        <f ca="1">IF('Current Char Stats'!$A75="","",'Current Char Stats'!$Y75)</f>
        <v>0</v>
      </c>
      <c r="AA206" s="18">
        <f ca="1">IF('Current Char Stats'!$A75="","",'Current Char Stats'!$Z75)</f>
        <v>0</v>
      </c>
      <c r="AB206" s="18">
        <f ca="1">IF('Current Char Stats'!$A75="","",'Current Char Stats'!$AA75)</f>
        <v>0</v>
      </c>
      <c r="AC206" s="18">
        <f ca="1">IF('Current Char Stats'!$A75="","",'Current Char Stats'!$AB75)</f>
        <v>0</v>
      </c>
      <c r="AD206" s="18">
        <f ca="1">IF('Current Char Stats'!$A75="","",'Current Char Stats'!$AC75)</f>
        <v>0</v>
      </c>
      <c r="AE206" s="18">
        <f ca="1">IF('Current Char Stats'!$A75="","",'Current Char Stats'!$AD75)</f>
        <v>0</v>
      </c>
      <c r="AF206" s="18">
        <f ca="1">IF('Current Char Stats'!$A75="","",'Current Char Stats'!$AE75)</f>
        <v>0</v>
      </c>
    </row>
    <row r="207" spans="1:32">
      <c r="A207" s="18">
        <f ca="1">IF('Current Char Stats'!$A76="","",Settings!$B$2)</f>
        <v>1</v>
      </c>
      <c r="B207" s="117" t="str">
        <f ca="1">IF('Current Char Stats'!$A76="","",'Current Char Stats'!$A76)</f>
        <v>May</v>
      </c>
      <c r="C207" s="18" t="str">
        <f ca="1">IF('Current Char Stats'!$A76="","",'Current Char Stats'!$B76)</f>
        <v>Red Kritter</v>
      </c>
      <c r="D207" s="18" t="str">
        <f ca="1">IF('Current Char Stats'!$A76="","",'Current Char Stats'!$C76)</f>
        <v>G5</v>
      </c>
      <c r="E207" s="18">
        <f ca="1">IF('Current Char Stats'!$A76="","",'Current Char Stats'!$D76)</f>
        <v>1</v>
      </c>
      <c r="F207" s="18">
        <f ca="1">IF('Current Char Stats'!$A76="","",'Current Char Stats'!$E76)</f>
        <v>1</v>
      </c>
      <c r="G207" s="18">
        <f ca="1">IF('Current Char Stats'!$A76="","",'Current Char Stats'!$F76)</f>
        <v>1</v>
      </c>
      <c r="H207" s="18">
        <f ca="1">IF('Current Char Stats'!$A76="","",'Current Char Stats'!$G76)</f>
        <v>1</v>
      </c>
      <c r="I207" s="18">
        <f ca="1">IF('Current Char Stats'!$A76="","",'Current Char Stats'!$H76)</f>
        <v>1</v>
      </c>
      <c r="J207" s="18">
        <f ca="1">IF('Current Char Stats'!$A76="","",'Current Char Stats'!$I76)</f>
        <v>0</v>
      </c>
      <c r="K207" s="18">
        <f ca="1">IF('Current Char Stats'!$A76="","",'Current Char Stats'!$J76)</f>
        <v>0</v>
      </c>
      <c r="L207" s="18" t="str">
        <f ca="1">IF('Current Char Stats'!$A76="","",'Current Char Stats'!$K76)</f>
        <v/>
      </c>
      <c r="M207" s="18">
        <f ca="1">IF('Current Char Stats'!$A76="","",'Current Char Stats'!$L76)</f>
        <v>0</v>
      </c>
      <c r="N207" s="18">
        <f ca="1">IF('Current Char Stats'!$A76="","",'Current Char Stats'!$M76)</f>
        <v>0</v>
      </c>
      <c r="O207" s="18">
        <f ca="1">IF('Current Char Stats'!$A76="","",'Current Char Stats'!$N76)</f>
        <v>1</v>
      </c>
      <c r="P207" s="18">
        <f ca="1">IF('Current Char Stats'!$A76="","",'Current Char Stats'!$O76)</f>
        <v>0</v>
      </c>
      <c r="Q207" s="18">
        <f ca="1">IF('Current Char Stats'!$A76="","",'Current Char Stats'!$P76)</f>
        <v>0</v>
      </c>
      <c r="R207" s="18">
        <f ca="1">IF('Current Char Stats'!$A76="","",'Current Char Stats'!$Q76)</f>
        <v>0</v>
      </c>
      <c r="S207" s="18">
        <f ca="1">IF('Current Char Stats'!$A76="","",'Current Char Stats'!$R76)</f>
        <v>0</v>
      </c>
      <c r="T207" s="18">
        <f ca="1">IF('Current Char Stats'!$A76="","",'Current Char Stats'!$S76)</f>
        <v>0</v>
      </c>
      <c r="U207" s="18">
        <f ca="1">IF('Current Char Stats'!$A76="","",'Current Char Stats'!$T76)</f>
        <v>0</v>
      </c>
      <c r="V207" s="18">
        <f ca="1">IF('Current Char Stats'!$A76="","",'Current Char Stats'!$U76)</f>
        <v>0</v>
      </c>
      <c r="W207" s="18">
        <f ca="1">IF('Current Char Stats'!$A76="","",'Current Char Stats'!$V76)</f>
        <v>0</v>
      </c>
      <c r="X207" s="18">
        <f ca="1">IF('Current Char Stats'!$A76="","",'Current Char Stats'!$W76)</f>
        <v>0</v>
      </c>
      <c r="Y207" s="18">
        <f ca="1">IF('Current Char Stats'!$A76="","",'Current Char Stats'!$X76)</f>
        <v>0</v>
      </c>
      <c r="Z207" s="18">
        <f ca="1">IF('Current Char Stats'!$A76="","",'Current Char Stats'!$Y76)</f>
        <v>0</v>
      </c>
      <c r="AA207" s="18">
        <f ca="1">IF('Current Char Stats'!$A76="","",'Current Char Stats'!$Z76)</f>
        <v>0</v>
      </c>
      <c r="AB207" s="18">
        <f ca="1">IF('Current Char Stats'!$A76="","",'Current Char Stats'!$AA76)</f>
        <v>0</v>
      </c>
      <c r="AC207" s="18">
        <f ca="1">IF('Current Char Stats'!$A76="","",'Current Char Stats'!$AB76)</f>
        <v>0</v>
      </c>
      <c r="AD207" s="18">
        <f ca="1">IF('Current Char Stats'!$A76="","",'Current Char Stats'!$AC76)</f>
        <v>0</v>
      </c>
      <c r="AE207" s="18">
        <f ca="1">IF('Current Char Stats'!$A76="","",'Current Char Stats'!$AD76)</f>
        <v>0</v>
      </c>
      <c r="AF207" s="18">
        <f ca="1">IF('Current Char Stats'!$A76="","",'Current Char Stats'!$AE76)</f>
        <v>0</v>
      </c>
    </row>
    <row r="208" spans="1:32">
      <c r="A208" s="18">
        <f ca="1">IF('Current Char Stats'!$A77="","",Settings!$B$2)</f>
        <v>1</v>
      </c>
      <c r="B208" s="117" t="str">
        <f ca="1">IF('Current Char Stats'!$A77="","",'Current Char Stats'!$A77)</f>
        <v>May</v>
      </c>
      <c r="C208" s="18" t="str">
        <f ca="1">IF('Current Char Stats'!$A77="","",'Current Char Stats'!$B77)</f>
        <v>Birdo</v>
      </c>
      <c r="D208" s="18" t="str">
        <f ca="1">IF('Current Char Stats'!$A77="","",'Current Char Stats'!$C77)</f>
        <v>G5</v>
      </c>
      <c r="E208" s="18">
        <f ca="1">IF('Current Char Stats'!$A77="","",'Current Char Stats'!$D77)</f>
        <v>1</v>
      </c>
      <c r="F208" s="18">
        <f ca="1">IF('Current Char Stats'!$A77="","",'Current Char Stats'!$E77)</f>
        <v>0</v>
      </c>
      <c r="G208" s="18">
        <f ca="1">IF('Current Char Stats'!$A77="","",'Current Char Stats'!$F77)</f>
        <v>0</v>
      </c>
      <c r="H208" s="18">
        <f ca="1">IF('Current Char Stats'!$A77="","",'Current Char Stats'!$G77)</f>
        <v>0</v>
      </c>
      <c r="I208" s="18">
        <f ca="1">IF('Current Char Stats'!$A77="","",'Current Char Stats'!$H77)</f>
        <v>0</v>
      </c>
      <c r="J208" s="18">
        <f ca="1">IF('Current Char Stats'!$A77="","",'Current Char Stats'!$I77)</f>
        <v>0</v>
      </c>
      <c r="K208" s="18">
        <f ca="1">IF('Current Char Stats'!$A77="","",'Current Char Stats'!$J77)</f>
        <v>0</v>
      </c>
      <c r="L208" s="18" t="str">
        <f ca="1">IF('Current Char Stats'!$A77="","",'Current Char Stats'!$K77)</f>
        <v/>
      </c>
      <c r="M208" s="18">
        <f ca="1">IF('Current Char Stats'!$A77="","",'Current Char Stats'!$L77)</f>
        <v>0</v>
      </c>
      <c r="N208" s="18">
        <f ca="1">IF('Current Char Stats'!$A77="","",'Current Char Stats'!$M77)</f>
        <v>0</v>
      </c>
      <c r="O208" s="18">
        <f ca="1">IF('Current Char Stats'!$A77="","",'Current Char Stats'!$N77)</f>
        <v>0</v>
      </c>
      <c r="P208" s="18">
        <f ca="1">IF('Current Char Stats'!$A77="","",'Current Char Stats'!$O77)</f>
        <v>0</v>
      </c>
      <c r="Q208" s="18">
        <f ca="1">IF('Current Char Stats'!$A77="","",'Current Char Stats'!$P77)</f>
        <v>0</v>
      </c>
      <c r="R208" s="18">
        <f ca="1">IF('Current Char Stats'!$A77="","",'Current Char Stats'!$Q77)</f>
        <v>0</v>
      </c>
      <c r="S208" s="18">
        <f ca="1">IF('Current Char Stats'!$A77="","",'Current Char Stats'!$R77)</f>
        <v>0</v>
      </c>
      <c r="T208" s="18">
        <f ca="1">IF('Current Char Stats'!$A77="","",'Current Char Stats'!$S77)</f>
        <v>0</v>
      </c>
      <c r="U208" s="18">
        <f ca="1">IF('Current Char Stats'!$A77="","",'Current Char Stats'!$T77)</f>
        <v>0</v>
      </c>
      <c r="V208" s="18">
        <f ca="1">IF('Current Char Stats'!$A77="","",'Current Char Stats'!$U77)</f>
        <v>0</v>
      </c>
      <c r="W208" s="18">
        <f ca="1">IF('Current Char Stats'!$A77="","",'Current Char Stats'!$V77)</f>
        <v>0</v>
      </c>
      <c r="X208" s="18">
        <f ca="1">IF('Current Char Stats'!$A77="","",'Current Char Stats'!$W77)</f>
        <v>0</v>
      </c>
      <c r="Y208" s="18">
        <f ca="1">IF('Current Char Stats'!$A77="","",'Current Char Stats'!$X77)</f>
        <v>0</v>
      </c>
      <c r="Z208" s="18">
        <f ca="1">IF('Current Char Stats'!$A77="","",'Current Char Stats'!$Y77)</f>
        <v>0</v>
      </c>
      <c r="AA208" s="18">
        <f ca="1">IF('Current Char Stats'!$A77="","",'Current Char Stats'!$Z77)</f>
        <v>0</v>
      </c>
      <c r="AB208" s="18">
        <f ca="1">IF('Current Char Stats'!$A77="","",'Current Char Stats'!$AA77)</f>
        <v>0</v>
      </c>
      <c r="AC208" s="18">
        <f ca="1">IF('Current Char Stats'!$A77="","",'Current Char Stats'!$AB77)</f>
        <v>0</v>
      </c>
      <c r="AD208" s="18">
        <f ca="1">IF('Current Char Stats'!$A77="","",'Current Char Stats'!$AC77)</f>
        <v>0</v>
      </c>
      <c r="AE208" s="18">
        <f ca="1">IF('Current Char Stats'!$A77="","",'Current Char Stats'!$AD77)</f>
        <v>0</v>
      </c>
      <c r="AF208" s="18">
        <f ca="1">IF('Current Char Stats'!$A77="","",'Current Char Stats'!$AE77)</f>
        <v>0</v>
      </c>
    </row>
    <row r="209" spans="1:32">
      <c r="A209" s="18">
        <f ca="1">IF('Current Char Stats'!$A78="","",Settings!$B$2)</f>
        <v>1</v>
      </c>
      <c r="B209" s="117" t="str">
        <f ca="1">IF('Current Char Stats'!$A78="","",'Current Char Stats'!$A78)</f>
        <v>May</v>
      </c>
      <c r="C209" s="18" t="str">
        <f ca="1">IF('Current Char Stats'!$A78="","",'Current Char Stats'!$B78)</f>
        <v>Petey Piranha</v>
      </c>
      <c r="D209" s="18" t="str">
        <f ca="1">IF('Current Char Stats'!$A78="","",'Current Char Stats'!$C78)</f>
        <v>G5</v>
      </c>
      <c r="E209" s="18">
        <f ca="1">IF('Current Char Stats'!$A78="","",'Current Char Stats'!$D78)</f>
        <v>1</v>
      </c>
      <c r="F209" s="18">
        <f ca="1">IF('Current Char Stats'!$A78="","",'Current Char Stats'!$E78)</f>
        <v>0</v>
      </c>
      <c r="G209" s="18">
        <f ca="1">IF('Current Char Stats'!$A78="","",'Current Char Stats'!$F78)</f>
        <v>0</v>
      </c>
      <c r="H209" s="18">
        <f ca="1">IF('Current Char Stats'!$A78="","",'Current Char Stats'!$G78)</f>
        <v>0</v>
      </c>
      <c r="I209" s="18">
        <f ca="1">IF('Current Char Stats'!$A78="","",'Current Char Stats'!$H78)</f>
        <v>0</v>
      </c>
      <c r="J209" s="18">
        <f ca="1">IF('Current Char Stats'!$A78="","",'Current Char Stats'!$I78)</f>
        <v>0</v>
      </c>
      <c r="K209" s="18">
        <f ca="1">IF('Current Char Stats'!$A78="","",'Current Char Stats'!$J78)</f>
        <v>0</v>
      </c>
      <c r="L209" s="18" t="str">
        <f ca="1">IF('Current Char Stats'!$A78="","",'Current Char Stats'!$K78)</f>
        <v/>
      </c>
      <c r="M209" s="18">
        <f ca="1">IF('Current Char Stats'!$A78="","",'Current Char Stats'!$L78)</f>
        <v>0</v>
      </c>
      <c r="N209" s="18">
        <f ca="1">IF('Current Char Stats'!$A78="","",'Current Char Stats'!$M78)</f>
        <v>0</v>
      </c>
      <c r="O209" s="18">
        <f ca="1">IF('Current Char Stats'!$A78="","",'Current Char Stats'!$N78)</f>
        <v>0</v>
      </c>
      <c r="P209" s="18">
        <f ca="1">IF('Current Char Stats'!$A78="","",'Current Char Stats'!$O78)</f>
        <v>0</v>
      </c>
      <c r="Q209" s="18">
        <f ca="1">IF('Current Char Stats'!$A78="","",'Current Char Stats'!$P78)</f>
        <v>0</v>
      </c>
      <c r="R209" s="18">
        <f ca="1">IF('Current Char Stats'!$A78="","",'Current Char Stats'!$Q78)</f>
        <v>0</v>
      </c>
      <c r="S209" s="18">
        <f ca="1">IF('Current Char Stats'!$A78="","",'Current Char Stats'!$R78)</f>
        <v>0</v>
      </c>
      <c r="T209" s="18">
        <f ca="1">IF('Current Char Stats'!$A78="","",'Current Char Stats'!$S78)</f>
        <v>0</v>
      </c>
      <c r="U209" s="18">
        <f ca="1">IF('Current Char Stats'!$A78="","",'Current Char Stats'!$T78)</f>
        <v>0</v>
      </c>
      <c r="V209" s="18">
        <f ca="1">IF('Current Char Stats'!$A78="","",'Current Char Stats'!$U78)</f>
        <v>0</v>
      </c>
      <c r="W209" s="18">
        <f ca="1">IF('Current Char Stats'!$A78="","",'Current Char Stats'!$V78)</f>
        <v>0</v>
      </c>
      <c r="X209" s="18">
        <f ca="1">IF('Current Char Stats'!$A78="","",'Current Char Stats'!$W78)</f>
        <v>0</v>
      </c>
      <c r="Y209" s="18">
        <f ca="1">IF('Current Char Stats'!$A78="","",'Current Char Stats'!$X78)</f>
        <v>0</v>
      </c>
      <c r="Z209" s="18">
        <f ca="1">IF('Current Char Stats'!$A78="","",'Current Char Stats'!$Y78)</f>
        <v>0</v>
      </c>
      <c r="AA209" s="18">
        <f ca="1">IF('Current Char Stats'!$A78="","",'Current Char Stats'!$Z78)</f>
        <v>0</v>
      </c>
      <c r="AB209" s="18">
        <f ca="1">IF('Current Char Stats'!$A78="","",'Current Char Stats'!$AA78)</f>
        <v>0</v>
      </c>
      <c r="AC209" s="18">
        <f ca="1">IF('Current Char Stats'!$A78="","",'Current Char Stats'!$AB78)</f>
        <v>0</v>
      </c>
      <c r="AD209" s="18">
        <f ca="1">IF('Current Char Stats'!$A78="","",'Current Char Stats'!$AC78)</f>
        <v>0</v>
      </c>
      <c r="AE209" s="18">
        <f ca="1">IF('Current Char Stats'!$A78="","",'Current Char Stats'!$AD78)</f>
        <v>0</v>
      </c>
      <c r="AF209" s="18">
        <f ca="1">IF('Current Char Stats'!$A78="","",'Current Char Stats'!$AE78)</f>
        <v>0</v>
      </c>
    </row>
    <row r="210" spans="1:32">
      <c r="A210" s="18">
        <f ca="1">IF('Current Char Stats'!$A79="","",Settings!$B$2)</f>
        <v>1</v>
      </c>
      <c r="B210" s="117" t="str">
        <f ca="1">IF('Current Char Stats'!$A79="","",'Current Char Stats'!$A79)</f>
        <v>May</v>
      </c>
      <c r="C210" s="18" t="str">
        <f ca="1">IF('Current Char Stats'!$A79="","",'Current Char Stats'!$B79)</f>
        <v>King Boo</v>
      </c>
      <c r="D210" s="18" t="str">
        <f ca="1">IF('Current Char Stats'!$A79="","",'Current Char Stats'!$C79)</f>
        <v>G5</v>
      </c>
      <c r="E210" s="18">
        <f ca="1">IF('Current Char Stats'!$A79="","",'Current Char Stats'!$D79)</f>
        <v>1</v>
      </c>
      <c r="F210" s="18">
        <f ca="1">IF('Current Char Stats'!$A79="","",'Current Char Stats'!$E79)</f>
        <v>0</v>
      </c>
      <c r="G210" s="18">
        <f ca="1">IF('Current Char Stats'!$A79="","",'Current Char Stats'!$F79)</f>
        <v>0</v>
      </c>
      <c r="H210" s="18">
        <f ca="1">IF('Current Char Stats'!$A79="","",'Current Char Stats'!$G79)</f>
        <v>0</v>
      </c>
      <c r="I210" s="18">
        <f ca="1">IF('Current Char Stats'!$A79="","",'Current Char Stats'!$H79)</f>
        <v>0</v>
      </c>
      <c r="J210" s="18">
        <f ca="1">IF('Current Char Stats'!$A79="","",'Current Char Stats'!$I79)</f>
        <v>3</v>
      </c>
      <c r="K210" s="18">
        <f ca="1">IF('Current Char Stats'!$A79="","",'Current Char Stats'!$J79)</f>
        <v>1</v>
      </c>
      <c r="L210" s="18">
        <f ca="1">IF('Current Char Stats'!$A79="","",'Current Char Stats'!$K79)</f>
        <v>3</v>
      </c>
      <c r="M210" s="18">
        <f ca="1">IF('Current Char Stats'!$A79="","",'Current Char Stats'!$L79)</f>
        <v>0</v>
      </c>
      <c r="N210" s="18">
        <f ca="1">IF('Current Char Stats'!$A79="","",'Current Char Stats'!$M79)</f>
        <v>0</v>
      </c>
      <c r="O210" s="18">
        <f ca="1">IF('Current Char Stats'!$A79="","",'Current Char Stats'!$N79)</f>
        <v>0</v>
      </c>
      <c r="P210" s="18">
        <f ca="1">IF('Current Char Stats'!$A79="","",'Current Char Stats'!$O79)</f>
        <v>0</v>
      </c>
      <c r="Q210" s="18">
        <f ca="1">IF('Current Char Stats'!$A79="","",'Current Char Stats'!$P79)</f>
        <v>0</v>
      </c>
      <c r="R210" s="18">
        <f ca="1">IF('Current Char Stats'!$A79="","",'Current Char Stats'!$Q79)</f>
        <v>0</v>
      </c>
      <c r="S210" s="18">
        <f ca="1">IF('Current Char Stats'!$A79="","",'Current Char Stats'!$R79)</f>
        <v>0</v>
      </c>
      <c r="T210" s="18">
        <f ca="1">IF('Current Char Stats'!$A79="","",'Current Char Stats'!$S79)</f>
        <v>0</v>
      </c>
      <c r="U210" s="18">
        <f ca="1">IF('Current Char Stats'!$A79="","",'Current Char Stats'!$T79)</f>
        <v>0</v>
      </c>
      <c r="V210" s="18">
        <f ca="1">IF('Current Char Stats'!$A79="","",'Current Char Stats'!$U79)</f>
        <v>0</v>
      </c>
      <c r="W210" s="18">
        <f ca="1">IF('Current Char Stats'!$A79="","",'Current Char Stats'!$V79)</f>
        <v>2</v>
      </c>
      <c r="X210" s="18">
        <f ca="1">IF('Current Char Stats'!$A79="","",'Current Char Stats'!$W79)</f>
        <v>1</v>
      </c>
      <c r="Y210" s="18">
        <f ca="1">IF('Current Char Stats'!$A79="","",'Current Char Stats'!$X79)</f>
        <v>0</v>
      </c>
      <c r="Z210" s="18">
        <f ca="1">IF('Current Char Stats'!$A79="","",'Current Char Stats'!$Y79)</f>
        <v>2</v>
      </c>
      <c r="AA210" s="18">
        <f ca="1">IF('Current Char Stats'!$A79="","",'Current Char Stats'!$Z79)</f>
        <v>0</v>
      </c>
      <c r="AB210" s="18">
        <f ca="1">IF('Current Char Stats'!$A79="","",'Current Char Stats'!$AA79)</f>
        <v>0</v>
      </c>
      <c r="AC210" s="18">
        <f ca="1">IF('Current Char Stats'!$A79="","",'Current Char Stats'!$AB79)</f>
        <v>0</v>
      </c>
      <c r="AD210" s="18">
        <f ca="1">IF('Current Char Stats'!$A79="","",'Current Char Stats'!$AC79)</f>
        <v>1</v>
      </c>
      <c r="AE210" s="18">
        <f ca="1">IF('Current Char Stats'!$A79="","",'Current Char Stats'!$AD79)</f>
        <v>0</v>
      </c>
      <c r="AF210" s="18">
        <f ca="1">IF('Current Char Stats'!$A79="","",'Current Char Stats'!$AE79)</f>
        <v>11</v>
      </c>
    </row>
    <row r="211" spans="1:32">
      <c r="A211" s="18">
        <f ca="1">IF('Current Char Stats'!$A80="","",Settings!$B$2)</f>
        <v>1</v>
      </c>
      <c r="B211" s="117" t="str">
        <f ca="1">IF('Current Char Stats'!$A80="","",'Current Char Stats'!$A80)</f>
        <v>May</v>
      </c>
      <c r="C211" s="18" t="str">
        <f ca="1">IF('Current Char Stats'!$A80="","",'Current Char Stats'!$B80)</f>
        <v>Hammer Bro</v>
      </c>
      <c r="D211" s="18" t="str">
        <f ca="1">IF('Current Char Stats'!$A80="","",'Current Char Stats'!$C80)</f>
        <v>G5</v>
      </c>
      <c r="E211" s="18">
        <f ca="1">IF('Current Char Stats'!$A80="","",'Current Char Stats'!$D80)</f>
        <v>1</v>
      </c>
      <c r="F211" s="18">
        <f ca="1">IF('Current Char Stats'!$A80="","",'Current Char Stats'!$E80)</f>
        <v>1</v>
      </c>
      <c r="G211" s="18">
        <f ca="1">IF('Current Char Stats'!$A80="","",'Current Char Stats'!$F80)</f>
        <v>1</v>
      </c>
      <c r="H211" s="18">
        <f ca="1">IF('Current Char Stats'!$A80="","",'Current Char Stats'!$G80)</f>
        <v>1</v>
      </c>
      <c r="I211" s="18">
        <f ca="1">IF('Current Char Stats'!$A80="","",'Current Char Stats'!$H80)</f>
        <v>1</v>
      </c>
      <c r="J211" s="18">
        <f ca="1">IF('Current Char Stats'!$A80="","",'Current Char Stats'!$I80)</f>
        <v>0</v>
      </c>
      <c r="K211" s="18">
        <f ca="1">IF('Current Char Stats'!$A80="","",'Current Char Stats'!$J80)</f>
        <v>0</v>
      </c>
      <c r="L211" s="18" t="str">
        <f ca="1">IF('Current Char Stats'!$A80="","",'Current Char Stats'!$K80)</f>
        <v/>
      </c>
      <c r="M211" s="18">
        <f ca="1">IF('Current Char Stats'!$A80="","",'Current Char Stats'!$L80)</f>
        <v>1</v>
      </c>
      <c r="N211" s="18">
        <f ca="1">IF('Current Char Stats'!$A80="","",'Current Char Stats'!$M80)</f>
        <v>0</v>
      </c>
      <c r="O211" s="18">
        <f ca="1">IF('Current Char Stats'!$A80="","",'Current Char Stats'!$N80)</f>
        <v>1</v>
      </c>
      <c r="P211" s="18">
        <f ca="1">IF('Current Char Stats'!$A80="","",'Current Char Stats'!$O80)</f>
        <v>0</v>
      </c>
      <c r="Q211" s="18">
        <f ca="1">IF('Current Char Stats'!$A80="","",'Current Char Stats'!$P80)</f>
        <v>0</v>
      </c>
      <c r="R211" s="18">
        <f ca="1">IF('Current Char Stats'!$A80="","",'Current Char Stats'!$Q80)</f>
        <v>0</v>
      </c>
      <c r="S211" s="18">
        <f ca="1">IF('Current Char Stats'!$A80="","",'Current Char Stats'!$R80)</f>
        <v>0</v>
      </c>
      <c r="T211" s="18">
        <f ca="1">IF('Current Char Stats'!$A80="","",'Current Char Stats'!$S80)</f>
        <v>0</v>
      </c>
      <c r="U211" s="18">
        <f ca="1">IF('Current Char Stats'!$A80="","",'Current Char Stats'!$T80)</f>
        <v>0</v>
      </c>
      <c r="V211" s="18">
        <f ca="1">IF('Current Char Stats'!$A80="","",'Current Char Stats'!$U80)</f>
        <v>0</v>
      </c>
      <c r="W211" s="18">
        <f ca="1">IF('Current Char Stats'!$A80="","",'Current Char Stats'!$V80)</f>
        <v>0</v>
      </c>
      <c r="X211" s="18">
        <f ca="1">IF('Current Char Stats'!$A80="","",'Current Char Stats'!$W80)</f>
        <v>0</v>
      </c>
      <c r="Y211" s="18">
        <f ca="1">IF('Current Char Stats'!$A80="","",'Current Char Stats'!$X80)</f>
        <v>0</v>
      </c>
      <c r="Z211" s="18">
        <f ca="1">IF('Current Char Stats'!$A80="","",'Current Char Stats'!$Y80)</f>
        <v>0</v>
      </c>
      <c r="AA211" s="18">
        <f ca="1">IF('Current Char Stats'!$A80="","",'Current Char Stats'!$Z80)</f>
        <v>0</v>
      </c>
      <c r="AB211" s="18">
        <f ca="1">IF('Current Char Stats'!$A80="","",'Current Char Stats'!$AA80)</f>
        <v>0</v>
      </c>
      <c r="AC211" s="18">
        <f ca="1">IF('Current Char Stats'!$A80="","",'Current Char Stats'!$AB80)</f>
        <v>0</v>
      </c>
      <c r="AD211" s="18">
        <f ca="1">IF('Current Char Stats'!$A80="","",'Current Char Stats'!$AC80)</f>
        <v>0</v>
      </c>
      <c r="AE211" s="18">
        <f ca="1">IF('Current Char Stats'!$A80="","",'Current Char Stats'!$AD80)</f>
        <v>0</v>
      </c>
      <c r="AF211" s="18">
        <f ca="1">IF('Current Char Stats'!$A80="","",'Current Char Stats'!$AE80)</f>
        <v>0</v>
      </c>
    </row>
    <row r="212" spans="1:32">
      <c r="A212" s="18">
        <f ca="1">IF('Current Char Stats'!$A81="","",Settings!$B$2)</f>
        <v>1</v>
      </c>
      <c r="B212" s="117" t="str">
        <f ca="1">IF('Current Char Stats'!$A81="","",'Current Char Stats'!$A81)</f>
        <v>May</v>
      </c>
      <c r="C212" s="18" t="str">
        <f ca="1">IF('Current Char Stats'!$A81="","",'Current Char Stats'!$B81)</f>
        <v>Green Shy Guy</v>
      </c>
      <c r="D212" s="18" t="str">
        <f ca="1">IF('Current Char Stats'!$A81="","",'Current Char Stats'!$C81)</f>
        <v>G5</v>
      </c>
      <c r="E212" s="18">
        <f ca="1">IF('Current Char Stats'!$A81="","",'Current Char Stats'!$D81)</f>
        <v>1</v>
      </c>
      <c r="F212" s="18">
        <f ca="1">IF('Current Char Stats'!$A81="","",'Current Char Stats'!$E81)</f>
        <v>0</v>
      </c>
      <c r="G212" s="18">
        <f ca="1">IF('Current Char Stats'!$A81="","",'Current Char Stats'!$F81)</f>
        <v>0</v>
      </c>
      <c r="H212" s="18">
        <f ca="1">IF('Current Char Stats'!$A81="","",'Current Char Stats'!$G81)</f>
        <v>0</v>
      </c>
      <c r="I212" s="18">
        <f ca="1">IF('Current Char Stats'!$A81="","",'Current Char Stats'!$H81)</f>
        <v>0</v>
      </c>
      <c r="J212" s="18">
        <f ca="1">IF('Current Char Stats'!$A81="","",'Current Char Stats'!$I81)</f>
        <v>0</v>
      </c>
      <c r="K212" s="18">
        <f ca="1">IF('Current Char Stats'!$A81="","",'Current Char Stats'!$J81)</f>
        <v>0</v>
      </c>
      <c r="L212" s="18" t="str">
        <f ca="1">IF('Current Char Stats'!$A81="","",'Current Char Stats'!$K81)</f>
        <v/>
      </c>
      <c r="M212" s="18">
        <f ca="1">IF('Current Char Stats'!$A81="","",'Current Char Stats'!$L81)</f>
        <v>0</v>
      </c>
      <c r="N212" s="18">
        <f ca="1">IF('Current Char Stats'!$A81="","",'Current Char Stats'!$M81)</f>
        <v>0</v>
      </c>
      <c r="O212" s="18">
        <f ca="1">IF('Current Char Stats'!$A81="","",'Current Char Stats'!$N81)</f>
        <v>0</v>
      </c>
      <c r="P212" s="18">
        <f ca="1">IF('Current Char Stats'!$A81="","",'Current Char Stats'!$O81)</f>
        <v>0</v>
      </c>
      <c r="Q212" s="18">
        <f ca="1">IF('Current Char Stats'!$A81="","",'Current Char Stats'!$P81)</f>
        <v>0</v>
      </c>
      <c r="R212" s="18">
        <f ca="1">IF('Current Char Stats'!$A81="","",'Current Char Stats'!$Q81)</f>
        <v>0</v>
      </c>
      <c r="S212" s="18">
        <f ca="1">IF('Current Char Stats'!$A81="","",'Current Char Stats'!$R81)</f>
        <v>0</v>
      </c>
      <c r="T212" s="18">
        <f ca="1">IF('Current Char Stats'!$A81="","",'Current Char Stats'!$S81)</f>
        <v>0</v>
      </c>
      <c r="U212" s="18">
        <f ca="1">IF('Current Char Stats'!$A81="","",'Current Char Stats'!$T81)</f>
        <v>0</v>
      </c>
      <c r="V212" s="18">
        <f ca="1">IF('Current Char Stats'!$A81="","",'Current Char Stats'!$U81)</f>
        <v>0</v>
      </c>
      <c r="W212" s="18">
        <f ca="1">IF('Current Char Stats'!$A81="","",'Current Char Stats'!$V81)</f>
        <v>0</v>
      </c>
      <c r="X212" s="18">
        <f ca="1">IF('Current Char Stats'!$A81="","",'Current Char Stats'!$W81)</f>
        <v>0</v>
      </c>
      <c r="Y212" s="18">
        <f ca="1">IF('Current Char Stats'!$A81="","",'Current Char Stats'!$X81)</f>
        <v>0</v>
      </c>
      <c r="Z212" s="18">
        <f ca="1">IF('Current Char Stats'!$A81="","",'Current Char Stats'!$Y81)</f>
        <v>0</v>
      </c>
      <c r="AA212" s="18">
        <f ca="1">IF('Current Char Stats'!$A81="","",'Current Char Stats'!$Z81)</f>
        <v>0</v>
      </c>
      <c r="AB212" s="18">
        <f ca="1">IF('Current Char Stats'!$A81="","",'Current Char Stats'!$AA81)</f>
        <v>0</v>
      </c>
      <c r="AC212" s="18">
        <f ca="1">IF('Current Char Stats'!$A81="","",'Current Char Stats'!$AB81)</f>
        <v>0</v>
      </c>
      <c r="AD212" s="18">
        <f ca="1">IF('Current Char Stats'!$A81="","",'Current Char Stats'!$AC81)</f>
        <v>0</v>
      </c>
      <c r="AE212" s="18">
        <f ca="1">IF('Current Char Stats'!$A81="","",'Current Char Stats'!$AD81)</f>
        <v>0</v>
      </c>
      <c r="AF212" s="18">
        <f ca="1">IF('Current Char Stats'!$A81="","",'Current Char Stats'!$AE81)</f>
        <v>0</v>
      </c>
    </row>
    <row r="213" spans="1:32">
      <c r="A213" s="18">
        <f ca="1">IF('Current Char Stats'!$A82="","",Settings!$B$2)</f>
        <v>1</v>
      </c>
      <c r="B213" s="117" t="str">
        <f ca="1">IF('Current Char Stats'!$A82="","",'Current Char Stats'!$A82)</f>
        <v>May</v>
      </c>
      <c r="C213" s="18" t="str">
        <f ca="1">IF('Current Char Stats'!$A82="","",'Current Char Stats'!$B82)</f>
        <v>Koopa</v>
      </c>
      <c r="D213" s="18" t="str">
        <f ca="1">IF('Current Char Stats'!$A82="","",'Current Char Stats'!$C82)</f>
        <v>G5</v>
      </c>
      <c r="E213" s="18">
        <f ca="1">IF('Current Char Stats'!$A82="","",'Current Char Stats'!$D82)</f>
        <v>1</v>
      </c>
      <c r="F213" s="18">
        <f ca="1">IF('Current Char Stats'!$A82="","",'Current Char Stats'!$E82)</f>
        <v>0</v>
      </c>
      <c r="G213" s="18">
        <f ca="1">IF('Current Char Stats'!$A82="","",'Current Char Stats'!$F82)</f>
        <v>0</v>
      </c>
      <c r="H213" s="18">
        <f ca="1">IF('Current Char Stats'!$A82="","",'Current Char Stats'!$G82)</f>
        <v>0</v>
      </c>
      <c r="I213" s="18">
        <f ca="1">IF('Current Char Stats'!$A82="","",'Current Char Stats'!$H82)</f>
        <v>0</v>
      </c>
      <c r="J213" s="18">
        <f ca="1">IF('Current Char Stats'!$A82="","",'Current Char Stats'!$I82)</f>
        <v>0</v>
      </c>
      <c r="K213" s="18">
        <f ca="1">IF('Current Char Stats'!$A82="","",'Current Char Stats'!$J82)</f>
        <v>0</v>
      </c>
      <c r="L213" s="18" t="str">
        <f ca="1">IF('Current Char Stats'!$A82="","",'Current Char Stats'!$K82)</f>
        <v/>
      </c>
      <c r="M213" s="18">
        <f ca="1">IF('Current Char Stats'!$A82="","",'Current Char Stats'!$L82)</f>
        <v>0</v>
      </c>
      <c r="N213" s="18">
        <f ca="1">IF('Current Char Stats'!$A82="","",'Current Char Stats'!$M82)</f>
        <v>0</v>
      </c>
      <c r="O213" s="18">
        <f ca="1">IF('Current Char Stats'!$A82="","",'Current Char Stats'!$N82)</f>
        <v>0</v>
      </c>
      <c r="P213" s="18">
        <f ca="1">IF('Current Char Stats'!$A82="","",'Current Char Stats'!$O82)</f>
        <v>0</v>
      </c>
      <c r="Q213" s="18">
        <f ca="1">IF('Current Char Stats'!$A82="","",'Current Char Stats'!$P82)</f>
        <v>0</v>
      </c>
      <c r="R213" s="18">
        <f ca="1">IF('Current Char Stats'!$A82="","",'Current Char Stats'!$Q82)</f>
        <v>0</v>
      </c>
      <c r="S213" s="18">
        <f ca="1">IF('Current Char Stats'!$A82="","",'Current Char Stats'!$R82)</f>
        <v>1</v>
      </c>
      <c r="T213" s="18">
        <f ca="1">IF('Current Char Stats'!$A82="","",'Current Char Stats'!$S82)</f>
        <v>0</v>
      </c>
      <c r="U213" s="18">
        <f ca="1">IF('Current Char Stats'!$A82="","",'Current Char Stats'!$T82)</f>
        <v>0</v>
      </c>
      <c r="V213" s="18">
        <f ca="1">IF('Current Char Stats'!$A82="","",'Current Char Stats'!$U82)</f>
        <v>0</v>
      </c>
      <c r="W213" s="18">
        <f ca="1">IF('Current Char Stats'!$A82="","",'Current Char Stats'!$V82)</f>
        <v>0</v>
      </c>
      <c r="X213" s="18">
        <f ca="1">IF('Current Char Stats'!$A82="","",'Current Char Stats'!$W82)</f>
        <v>0</v>
      </c>
      <c r="Y213" s="18">
        <f ca="1">IF('Current Char Stats'!$A82="","",'Current Char Stats'!$X82)</f>
        <v>0</v>
      </c>
      <c r="Z213" s="18">
        <f ca="1">IF('Current Char Stats'!$A82="","",'Current Char Stats'!$Y82)</f>
        <v>0</v>
      </c>
      <c r="AA213" s="18">
        <f ca="1">IF('Current Char Stats'!$A82="","",'Current Char Stats'!$Z82)</f>
        <v>0</v>
      </c>
      <c r="AB213" s="18">
        <f ca="1">IF('Current Char Stats'!$A82="","",'Current Char Stats'!$AA82)</f>
        <v>0</v>
      </c>
      <c r="AC213" s="18">
        <f ca="1">IF('Current Char Stats'!$A82="","",'Current Char Stats'!$AB82)</f>
        <v>0</v>
      </c>
      <c r="AD213" s="18">
        <f ca="1">IF('Current Char Stats'!$A82="","",'Current Char Stats'!$AC82)</f>
        <v>0</v>
      </c>
      <c r="AE213" s="18">
        <f ca="1">IF('Current Char Stats'!$A82="","",'Current Char Stats'!$AD82)</f>
        <v>0</v>
      </c>
      <c r="AF213" s="18">
        <f ca="1">IF('Current Char Stats'!$A82="","",'Current Char Stats'!$AE82)</f>
        <v>0</v>
      </c>
    </row>
    <row r="214" spans="1:32">
      <c r="A214" s="18">
        <f ca="1">IF('Current Char Stats'!$A83="","",Settings!$B$2)</f>
        <v>1</v>
      </c>
      <c r="B214" s="117" t="str">
        <f ca="1">IF('Current Char Stats'!$A83="","",'Current Char Stats'!$A83)</f>
        <v>May</v>
      </c>
      <c r="C214" s="18" t="str">
        <f ca="1">IF('Current Char Stats'!$A83="","",'Current Char Stats'!$B83)</f>
        <v>Red Yoshi</v>
      </c>
      <c r="D214" s="18" t="str">
        <f ca="1">IF('Current Char Stats'!$A83="","",'Current Char Stats'!$C83)</f>
        <v>G5</v>
      </c>
      <c r="E214" s="18">
        <f ca="1">IF('Current Char Stats'!$A83="","",'Current Char Stats'!$D83)</f>
        <v>1</v>
      </c>
      <c r="F214" s="18">
        <f ca="1">IF('Current Char Stats'!$A83="","",'Current Char Stats'!$E83)</f>
        <v>1</v>
      </c>
      <c r="G214" s="18">
        <f ca="1">IF('Current Char Stats'!$A83="","",'Current Char Stats'!$F83)</f>
        <v>1</v>
      </c>
      <c r="H214" s="18">
        <f ca="1">IF('Current Char Stats'!$A83="","",'Current Char Stats'!$G83)</f>
        <v>0</v>
      </c>
      <c r="I214" s="18">
        <f ca="1">IF('Current Char Stats'!$A83="","",'Current Char Stats'!$H83)</f>
        <v>0</v>
      </c>
      <c r="J214" s="18">
        <f ca="1">IF('Current Char Stats'!$A83="","",'Current Char Stats'!$I83)</f>
        <v>0</v>
      </c>
      <c r="K214" s="18">
        <f ca="1">IF('Current Char Stats'!$A83="","",'Current Char Stats'!$J83)</f>
        <v>0</v>
      </c>
      <c r="L214" s="18" t="str">
        <f ca="1">IF('Current Char Stats'!$A83="","",'Current Char Stats'!$K83)</f>
        <v/>
      </c>
      <c r="M214" s="18">
        <f ca="1">IF('Current Char Stats'!$A83="","",'Current Char Stats'!$L83)</f>
        <v>0</v>
      </c>
      <c r="N214" s="18">
        <f ca="1">IF('Current Char Stats'!$A83="","",'Current Char Stats'!$M83)</f>
        <v>0</v>
      </c>
      <c r="O214" s="18">
        <f ca="1">IF('Current Char Stats'!$A83="","",'Current Char Stats'!$N83)</f>
        <v>0</v>
      </c>
      <c r="P214" s="18">
        <f ca="1">IF('Current Char Stats'!$A83="","",'Current Char Stats'!$O83)</f>
        <v>0</v>
      </c>
      <c r="Q214" s="18">
        <f ca="1">IF('Current Char Stats'!$A83="","",'Current Char Stats'!$P83)</f>
        <v>0</v>
      </c>
      <c r="R214" s="18">
        <f ca="1">IF('Current Char Stats'!$A83="","",'Current Char Stats'!$Q83)</f>
        <v>0</v>
      </c>
      <c r="S214" s="18">
        <f ca="1">IF('Current Char Stats'!$A83="","",'Current Char Stats'!$R83)</f>
        <v>0</v>
      </c>
      <c r="T214" s="18">
        <f ca="1">IF('Current Char Stats'!$A83="","",'Current Char Stats'!$S83)</f>
        <v>0</v>
      </c>
      <c r="U214" s="18">
        <f ca="1">IF('Current Char Stats'!$A83="","",'Current Char Stats'!$T83)</f>
        <v>0</v>
      </c>
      <c r="V214" s="18">
        <f ca="1">IF('Current Char Stats'!$A83="","",'Current Char Stats'!$U83)</f>
        <v>0</v>
      </c>
      <c r="W214" s="18">
        <f ca="1">IF('Current Char Stats'!$A83="","",'Current Char Stats'!$V83)</f>
        <v>0</v>
      </c>
      <c r="X214" s="18">
        <f ca="1">IF('Current Char Stats'!$A83="","",'Current Char Stats'!$W83)</f>
        <v>0</v>
      </c>
      <c r="Y214" s="18">
        <f ca="1">IF('Current Char Stats'!$A83="","",'Current Char Stats'!$X83)</f>
        <v>0</v>
      </c>
      <c r="Z214" s="18">
        <f ca="1">IF('Current Char Stats'!$A83="","",'Current Char Stats'!$Y83)</f>
        <v>0</v>
      </c>
      <c r="AA214" s="18">
        <f ca="1">IF('Current Char Stats'!$A83="","",'Current Char Stats'!$Z83)</f>
        <v>0</v>
      </c>
      <c r="AB214" s="18">
        <f ca="1">IF('Current Char Stats'!$A83="","",'Current Char Stats'!$AA83)</f>
        <v>0</v>
      </c>
      <c r="AC214" s="18">
        <f ca="1">IF('Current Char Stats'!$A83="","",'Current Char Stats'!$AB83)</f>
        <v>0</v>
      </c>
      <c r="AD214" s="18">
        <f ca="1">IF('Current Char Stats'!$A83="","",'Current Char Stats'!$AC83)</f>
        <v>0</v>
      </c>
      <c r="AE214" s="18">
        <f ca="1">IF('Current Char Stats'!$A83="","",'Current Char Stats'!$AD83)</f>
        <v>0</v>
      </c>
      <c r="AF214" s="18">
        <f ca="1">IF('Current Char Stats'!$A83="","",'Current Char Stats'!$AE83)</f>
        <v>0</v>
      </c>
    </row>
    <row r="215" spans="1:32">
      <c r="A215" s="18">
        <f ca="1">IF('Current Char Stats'!$A84="","",Settings!$B$2)</f>
        <v>1</v>
      </c>
      <c r="B215" s="117" t="str">
        <f ca="1">IF('Current Char Stats'!$A84="","",'Current Char Stats'!$A84)</f>
        <v>May</v>
      </c>
      <c r="C215" s="18" t="str">
        <f ca="1">IF('Current Char Stats'!$A84="","",'Current Char Stats'!$B84)</f>
        <v>Baby Peach</v>
      </c>
      <c r="D215" s="18" t="str">
        <f ca="1">IF('Current Char Stats'!$A84="","",'Current Char Stats'!$C84)</f>
        <v>G5</v>
      </c>
      <c r="E215" s="18">
        <f ca="1">IF('Current Char Stats'!$A84="","",'Current Char Stats'!$D84)</f>
        <v>1</v>
      </c>
      <c r="F215" s="18">
        <f ca="1">IF('Current Char Stats'!$A84="","",'Current Char Stats'!$E84)</f>
        <v>0</v>
      </c>
      <c r="G215" s="18">
        <f ca="1">IF('Current Char Stats'!$A84="","",'Current Char Stats'!$F84)</f>
        <v>0</v>
      </c>
      <c r="H215" s="18">
        <f ca="1">IF('Current Char Stats'!$A84="","",'Current Char Stats'!$G84)</f>
        <v>0</v>
      </c>
      <c r="I215" s="18">
        <f ca="1">IF('Current Char Stats'!$A84="","",'Current Char Stats'!$H84)</f>
        <v>0</v>
      </c>
      <c r="J215" s="18">
        <f ca="1">IF('Current Char Stats'!$A84="","",'Current Char Stats'!$I84)</f>
        <v>0</v>
      </c>
      <c r="K215" s="18">
        <f ca="1">IF('Current Char Stats'!$A84="","",'Current Char Stats'!$J84)</f>
        <v>0</v>
      </c>
      <c r="L215" s="18" t="str">
        <f ca="1">IF('Current Char Stats'!$A84="","",'Current Char Stats'!$K84)</f>
        <v/>
      </c>
      <c r="M215" s="18">
        <f ca="1">IF('Current Char Stats'!$A84="","",'Current Char Stats'!$L84)</f>
        <v>0</v>
      </c>
      <c r="N215" s="18">
        <f ca="1">IF('Current Char Stats'!$A84="","",'Current Char Stats'!$M84)</f>
        <v>0</v>
      </c>
      <c r="O215" s="18">
        <f ca="1">IF('Current Char Stats'!$A84="","",'Current Char Stats'!$N84)</f>
        <v>0</v>
      </c>
      <c r="P215" s="18">
        <f ca="1">IF('Current Char Stats'!$A84="","",'Current Char Stats'!$O84)</f>
        <v>0</v>
      </c>
      <c r="Q215" s="18">
        <f ca="1">IF('Current Char Stats'!$A84="","",'Current Char Stats'!$P84)</f>
        <v>0</v>
      </c>
      <c r="R215" s="18">
        <f ca="1">IF('Current Char Stats'!$A84="","",'Current Char Stats'!$Q84)</f>
        <v>0</v>
      </c>
      <c r="S215" s="18">
        <f ca="1">IF('Current Char Stats'!$A84="","",'Current Char Stats'!$R84)</f>
        <v>0</v>
      </c>
      <c r="T215" s="18">
        <f ca="1">IF('Current Char Stats'!$A84="","",'Current Char Stats'!$S84)</f>
        <v>0</v>
      </c>
      <c r="U215" s="18">
        <f ca="1">IF('Current Char Stats'!$A84="","",'Current Char Stats'!$T84)</f>
        <v>0</v>
      </c>
      <c r="V215" s="18">
        <f ca="1">IF('Current Char Stats'!$A84="","",'Current Char Stats'!$U84)</f>
        <v>0</v>
      </c>
      <c r="W215" s="18">
        <f ca="1">IF('Current Char Stats'!$A84="","",'Current Char Stats'!$V84)</f>
        <v>0</v>
      </c>
      <c r="X215" s="18">
        <f ca="1">IF('Current Char Stats'!$A84="","",'Current Char Stats'!$W84)</f>
        <v>0</v>
      </c>
      <c r="Y215" s="18">
        <f ca="1">IF('Current Char Stats'!$A84="","",'Current Char Stats'!$X84)</f>
        <v>0</v>
      </c>
      <c r="Z215" s="18">
        <f ca="1">IF('Current Char Stats'!$A84="","",'Current Char Stats'!$Y84)</f>
        <v>0</v>
      </c>
      <c r="AA215" s="18">
        <f ca="1">IF('Current Char Stats'!$A84="","",'Current Char Stats'!$Z84)</f>
        <v>0</v>
      </c>
      <c r="AB215" s="18">
        <f ca="1">IF('Current Char Stats'!$A84="","",'Current Char Stats'!$AA84)</f>
        <v>0</v>
      </c>
      <c r="AC215" s="18">
        <f ca="1">IF('Current Char Stats'!$A84="","",'Current Char Stats'!$AB84)</f>
        <v>0</v>
      </c>
      <c r="AD215" s="18">
        <f ca="1">IF('Current Char Stats'!$A84="","",'Current Char Stats'!$AC84)</f>
        <v>0</v>
      </c>
      <c r="AE215" s="18">
        <f ca="1">IF('Current Char Stats'!$A84="","",'Current Char Stats'!$AD84)</f>
        <v>0</v>
      </c>
      <c r="AF215" s="18">
        <f ca="1">IF('Current Char Stats'!$A84="","",'Current Char Stats'!$AE84)</f>
        <v>0</v>
      </c>
    </row>
    <row r="216" spans="1:32">
      <c r="A216" s="18">
        <f ca="1">IF('Current Char Stats'!$A85="","",Settings!$B$2)</f>
        <v>1</v>
      </c>
      <c r="B216" s="117" t="str">
        <f ca="1">IF('Current Char Stats'!$A85="","",'Current Char Stats'!$A85)</f>
        <v>Justin</v>
      </c>
      <c r="C216" s="18" t="str">
        <f ca="1">IF('Current Char Stats'!$A85="","",'Current Char Stats'!$B85)</f>
        <v>Bowser Jr.</v>
      </c>
      <c r="D216" s="18" t="str">
        <f ca="1">IF('Current Char Stats'!$A85="","",'Current Char Stats'!$C85)</f>
        <v>G5</v>
      </c>
      <c r="E216" s="18">
        <f ca="1">IF('Current Char Stats'!$A85="","",'Current Char Stats'!$D85)</f>
        <v>2</v>
      </c>
      <c r="F216" s="18">
        <f ca="1">IF('Current Char Stats'!$A85="","",'Current Char Stats'!$E85)</f>
        <v>0</v>
      </c>
      <c r="G216" s="18">
        <f ca="1">IF('Current Char Stats'!$A85="","",'Current Char Stats'!$F85)</f>
        <v>0</v>
      </c>
      <c r="H216" s="18">
        <f ca="1">IF('Current Char Stats'!$A85="","",'Current Char Stats'!$G85)</f>
        <v>0</v>
      </c>
      <c r="I216" s="18">
        <f ca="1">IF('Current Char Stats'!$A85="","",'Current Char Stats'!$H85)</f>
        <v>0</v>
      </c>
      <c r="J216" s="18">
        <f ca="1">IF('Current Char Stats'!$A85="","",'Current Char Stats'!$I85)</f>
        <v>0</v>
      </c>
      <c r="K216" s="18">
        <f ca="1">IF('Current Char Stats'!$A85="","",'Current Char Stats'!$J85)</f>
        <v>0</v>
      </c>
      <c r="L216" s="18" t="str">
        <f ca="1">IF('Current Char Stats'!$A85="","",'Current Char Stats'!$K85)</f>
        <v/>
      </c>
      <c r="M216" s="18">
        <f ca="1">IF('Current Char Stats'!$A85="","",'Current Char Stats'!$L85)</f>
        <v>0</v>
      </c>
      <c r="N216" s="18">
        <f ca="1">IF('Current Char Stats'!$A85="","",'Current Char Stats'!$M85)</f>
        <v>0</v>
      </c>
      <c r="O216" s="18">
        <f ca="1">IF('Current Char Stats'!$A85="","",'Current Char Stats'!$N85)</f>
        <v>0</v>
      </c>
      <c r="P216" s="18">
        <f ca="1">IF('Current Char Stats'!$A85="","",'Current Char Stats'!$O85)</f>
        <v>0</v>
      </c>
      <c r="Q216" s="18">
        <f ca="1">IF('Current Char Stats'!$A85="","",'Current Char Stats'!$P85)</f>
        <v>0</v>
      </c>
      <c r="R216" s="18">
        <f ca="1">IF('Current Char Stats'!$A85="","",'Current Char Stats'!$Q85)</f>
        <v>0</v>
      </c>
      <c r="S216" s="18">
        <f ca="1">IF('Current Char Stats'!$A85="","",'Current Char Stats'!$R85)</f>
        <v>1</v>
      </c>
      <c r="T216" s="18">
        <f ca="1">IF('Current Char Stats'!$A85="","",'Current Char Stats'!$S85)</f>
        <v>0</v>
      </c>
      <c r="U216" s="18">
        <f ca="1">IF('Current Char Stats'!$A85="","",'Current Char Stats'!$T85)</f>
        <v>0</v>
      </c>
      <c r="V216" s="18">
        <f ca="1">IF('Current Char Stats'!$A85="","",'Current Char Stats'!$U85)</f>
        <v>0</v>
      </c>
      <c r="W216" s="18">
        <f ca="1">IF('Current Char Stats'!$A85="","",'Current Char Stats'!$V85)</f>
        <v>0</v>
      </c>
      <c r="X216" s="18">
        <f ca="1">IF('Current Char Stats'!$A85="","",'Current Char Stats'!$W85)</f>
        <v>0</v>
      </c>
      <c r="Y216" s="18">
        <f ca="1">IF('Current Char Stats'!$A85="","",'Current Char Stats'!$X85)</f>
        <v>0</v>
      </c>
      <c r="Z216" s="18">
        <f ca="1">IF('Current Char Stats'!$A85="","",'Current Char Stats'!$Y85)</f>
        <v>0</v>
      </c>
      <c r="AA216" s="18">
        <f ca="1">IF('Current Char Stats'!$A85="","",'Current Char Stats'!$Z85)</f>
        <v>0</v>
      </c>
      <c r="AB216" s="18">
        <f ca="1">IF('Current Char Stats'!$A85="","",'Current Char Stats'!$AA85)</f>
        <v>0</v>
      </c>
      <c r="AC216" s="18">
        <f ca="1">IF('Current Char Stats'!$A85="","",'Current Char Stats'!$AB85)</f>
        <v>0</v>
      </c>
      <c r="AD216" s="18">
        <f ca="1">IF('Current Char Stats'!$A85="","",'Current Char Stats'!$AC85)</f>
        <v>0</v>
      </c>
      <c r="AE216" s="18">
        <f ca="1">IF('Current Char Stats'!$A85="","",'Current Char Stats'!$AD85)</f>
        <v>0</v>
      </c>
      <c r="AF216" s="18">
        <f ca="1">IF('Current Char Stats'!$A85="","",'Current Char Stats'!$AE85)</f>
        <v>0</v>
      </c>
    </row>
    <row r="217" spans="1:32">
      <c r="A217" s="18">
        <f ca="1">IF('Current Char Stats'!$A86="","",Settings!$B$2)</f>
        <v>1</v>
      </c>
      <c r="B217" s="117" t="str">
        <f ca="1">IF('Current Char Stats'!$A86="","",'Current Char Stats'!$A86)</f>
        <v>Justin</v>
      </c>
      <c r="C217" s="18" t="str">
        <f ca="1">IF('Current Char Stats'!$A86="","",'Current Char Stats'!$B86)</f>
        <v>Kritter</v>
      </c>
      <c r="D217" s="18" t="str">
        <f ca="1">IF('Current Char Stats'!$A86="","",'Current Char Stats'!$C86)</f>
        <v>G5</v>
      </c>
      <c r="E217" s="18">
        <f ca="1">IF('Current Char Stats'!$A86="","",'Current Char Stats'!$D86)</f>
        <v>2</v>
      </c>
      <c r="F217" s="18">
        <f ca="1">IF('Current Char Stats'!$A86="","",'Current Char Stats'!$E86)</f>
        <v>1</v>
      </c>
      <c r="G217" s="18">
        <f ca="1">IF('Current Char Stats'!$A86="","",'Current Char Stats'!$F86)</f>
        <v>0.5</v>
      </c>
      <c r="H217" s="18">
        <f ca="1">IF('Current Char Stats'!$A86="","",'Current Char Stats'!$G86)</f>
        <v>0</v>
      </c>
      <c r="I217" s="18">
        <f ca="1">IF('Current Char Stats'!$A86="","",'Current Char Stats'!$H86)</f>
        <v>0</v>
      </c>
      <c r="J217" s="18">
        <f ca="1">IF('Current Char Stats'!$A86="","",'Current Char Stats'!$I86)</f>
        <v>0</v>
      </c>
      <c r="K217" s="18">
        <f ca="1">IF('Current Char Stats'!$A86="","",'Current Char Stats'!$J86)</f>
        <v>0</v>
      </c>
      <c r="L217" s="18" t="str">
        <f ca="1">IF('Current Char Stats'!$A86="","",'Current Char Stats'!$K86)</f>
        <v/>
      </c>
      <c r="M217" s="18">
        <f ca="1">IF('Current Char Stats'!$A86="","",'Current Char Stats'!$L86)</f>
        <v>0</v>
      </c>
      <c r="N217" s="18">
        <f ca="1">IF('Current Char Stats'!$A86="","",'Current Char Stats'!$M86)</f>
        <v>0</v>
      </c>
      <c r="O217" s="18">
        <f ca="1">IF('Current Char Stats'!$A86="","",'Current Char Stats'!$N86)</f>
        <v>1</v>
      </c>
      <c r="P217" s="18">
        <f ca="1">IF('Current Char Stats'!$A86="","",'Current Char Stats'!$O86)</f>
        <v>0</v>
      </c>
      <c r="Q217" s="18">
        <f ca="1">IF('Current Char Stats'!$A86="","",'Current Char Stats'!$P86)</f>
        <v>1</v>
      </c>
      <c r="R217" s="18">
        <f ca="1">IF('Current Char Stats'!$A86="","",'Current Char Stats'!$Q86)</f>
        <v>0</v>
      </c>
      <c r="S217" s="18">
        <f ca="1">IF('Current Char Stats'!$A86="","",'Current Char Stats'!$R86)</f>
        <v>0</v>
      </c>
      <c r="T217" s="18">
        <f ca="1">IF('Current Char Stats'!$A86="","",'Current Char Stats'!$S86)</f>
        <v>0</v>
      </c>
      <c r="U217" s="18">
        <f ca="1">IF('Current Char Stats'!$A86="","",'Current Char Stats'!$T86)</f>
        <v>0</v>
      </c>
      <c r="V217" s="18">
        <f ca="1">IF('Current Char Stats'!$A86="","",'Current Char Stats'!$U86)</f>
        <v>0</v>
      </c>
      <c r="W217" s="18">
        <f ca="1">IF('Current Char Stats'!$A86="","",'Current Char Stats'!$V86)</f>
        <v>0</v>
      </c>
      <c r="X217" s="18">
        <f ca="1">IF('Current Char Stats'!$A86="","",'Current Char Stats'!$W86)</f>
        <v>0</v>
      </c>
      <c r="Y217" s="18">
        <f ca="1">IF('Current Char Stats'!$A86="","",'Current Char Stats'!$X86)</f>
        <v>0</v>
      </c>
      <c r="Z217" s="18">
        <f ca="1">IF('Current Char Stats'!$A86="","",'Current Char Stats'!$Y86)</f>
        <v>0</v>
      </c>
      <c r="AA217" s="18">
        <f ca="1">IF('Current Char Stats'!$A86="","",'Current Char Stats'!$Z86)</f>
        <v>0</v>
      </c>
      <c r="AB217" s="18">
        <f ca="1">IF('Current Char Stats'!$A86="","",'Current Char Stats'!$AA86)</f>
        <v>0</v>
      </c>
      <c r="AC217" s="18">
        <f ca="1">IF('Current Char Stats'!$A86="","",'Current Char Stats'!$AB86)</f>
        <v>0</v>
      </c>
      <c r="AD217" s="18">
        <f ca="1">IF('Current Char Stats'!$A86="","",'Current Char Stats'!$AC86)</f>
        <v>0</v>
      </c>
      <c r="AE217" s="18">
        <f ca="1">IF('Current Char Stats'!$A86="","",'Current Char Stats'!$AD86)</f>
        <v>0</v>
      </c>
      <c r="AF217" s="18">
        <f ca="1">IF('Current Char Stats'!$A86="","",'Current Char Stats'!$AE86)</f>
        <v>0</v>
      </c>
    </row>
    <row r="218" spans="1:32">
      <c r="A218" s="18">
        <f ca="1">IF('Current Char Stats'!$A87="","",Settings!$B$2)</f>
        <v>1</v>
      </c>
      <c r="B218" s="117" t="str">
        <f ca="1">IF('Current Char Stats'!$A87="","",'Current Char Stats'!$A87)</f>
        <v>Justin</v>
      </c>
      <c r="C218" s="18" t="str">
        <f ca="1">IF('Current Char Stats'!$A87="","",'Current Char Stats'!$B87)</f>
        <v>Funky Kong</v>
      </c>
      <c r="D218" s="18" t="str">
        <f ca="1">IF('Current Char Stats'!$A87="","",'Current Char Stats'!$C87)</f>
        <v>G5</v>
      </c>
      <c r="E218" s="18">
        <f ca="1">IF('Current Char Stats'!$A87="","",'Current Char Stats'!$D87)</f>
        <v>0</v>
      </c>
      <c r="F218" s="18">
        <f ca="1">IF('Current Char Stats'!$A87="","",'Current Char Stats'!$E87)</f>
        <v>0</v>
      </c>
      <c r="G218" s="18">
        <f ca="1">IF('Current Char Stats'!$A87="","",'Current Char Stats'!$F87)</f>
        <v>0</v>
      </c>
      <c r="H218" s="18">
        <f ca="1">IF('Current Char Stats'!$A87="","",'Current Char Stats'!$G87)</f>
        <v>0</v>
      </c>
      <c r="I218" s="18">
        <f ca="1">IF('Current Char Stats'!$A87="","",'Current Char Stats'!$H87)</f>
        <v>1</v>
      </c>
      <c r="J218" s="18">
        <f ca="1">IF('Current Char Stats'!$A87="","",'Current Char Stats'!$I87)</f>
        <v>0</v>
      </c>
      <c r="K218" s="18">
        <f ca="1">IF('Current Char Stats'!$A87="","",'Current Char Stats'!$J87)</f>
        <v>0</v>
      </c>
      <c r="L218" s="18" t="str">
        <f ca="1">IF('Current Char Stats'!$A87="","",'Current Char Stats'!$K87)</f>
        <v/>
      </c>
      <c r="M218" s="18">
        <f ca="1">IF('Current Char Stats'!$A87="","",'Current Char Stats'!$L87)</f>
        <v>0</v>
      </c>
      <c r="N218" s="18">
        <f ca="1">IF('Current Char Stats'!$A87="","",'Current Char Stats'!$M87)</f>
        <v>0</v>
      </c>
      <c r="O218" s="18">
        <f ca="1">IF('Current Char Stats'!$A87="","",'Current Char Stats'!$N87)</f>
        <v>0</v>
      </c>
      <c r="P218" s="18">
        <f ca="1">IF('Current Char Stats'!$A87="","",'Current Char Stats'!$O87)</f>
        <v>0</v>
      </c>
      <c r="Q218" s="18">
        <f ca="1">IF('Current Char Stats'!$A87="","",'Current Char Stats'!$P87)</f>
        <v>0</v>
      </c>
      <c r="R218" s="18">
        <f ca="1">IF('Current Char Stats'!$A87="","",'Current Char Stats'!$Q87)</f>
        <v>0</v>
      </c>
      <c r="S218" s="18">
        <f ca="1">IF('Current Char Stats'!$A87="","",'Current Char Stats'!$R87)</f>
        <v>0</v>
      </c>
      <c r="T218" s="18">
        <f ca="1">IF('Current Char Stats'!$A87="","",'Current Char Stats'!$S87)</f>
        <v>0</v>
      </c>
      <c r="U218" s="18">
        <f ca="1">IF('Current Char Stats'!$A87="","",'Current Char Stats'!$T87)</f>
        <v>1</v>
      </c>
      <c r="V218" s="18">
        <f ca="1">IF('Current Char Stats'!$A87="","",'Current Char Stats'!$U87)</f>
        <v>0</v>
      </c>
      <c r="W218" s="18">
        <f ca="1">IF('Current Char Stats'!$A87="","",'Current Char Stats'!$V87)</f>
        <v>0</v>
      </c>
      <c r="X218" s="18">
        <f ca="1">IF('Current Char Stats'!$A87="","",'Current Char Stats'!$W87)</f>
        <v>0</v>
      </c>
      <c r="Y218" s="18">
        <f ca="1">IF('Current Char Stats'!$A87="","",'Current Char Stats'!$X87)</f>
        <v>0</v>
      </c>
      <c r="Z218" s="18">
        <f ca="1">IF('Current Char Stats'!$A87="","",'Current Char Stats'!$Y87)</f>
        <v>0</v>
      </c>
      <c r="AA218" s="18">
        <f ca="1">IF('Current Char Stats'!$A87="","",'Current Char Stats'!$Z87)</f>
        <v>0</v>
      </c>
      <c r="AB218" s="18">
        <f ca="1">IF('Current Char Stats'!$A87="","",'Current Char Stats'!$AA87)</f>
        <v>0</v>
      </c>
      <c r="AC218" s="18">
        <f ca="1">IF('Current Char Stats'!$A87="","",'Current Char Stats'!$AB87)</f>
        <v>0</v>
      </c>
      <c r="AD218" s="18">
        <f ca="1">IF('Current Char Stats'!$A87="","",'Current Char Stats'!$AC87)</f>
        <v>0</v>
      </c>
      <c r="AE218" s="18">
        <f ca="1">IF('Current Char Stats'!$A87="","",'Current Char Stats'!$AD87)</f>
        <v>0</v>
      </c>
      <c r="AF218" s="18">
        <f ca="1">IF('Current Char Stats'!$A87="","",'Current Char Stats'!$AE87)</f>
        <v>0</v>
      </c>
    </row>
    <row r="219" spans="1:32">
      <c r="A219" s="18">
        <f ca="1">IF('Current Char Stats'!$A88="","",Settings!$B$2)</f>
        <v>1</v>
      </c>
      <c r="B219" s="117" t="str">
        <f ca="1">IF('Current Char Stats'!$A88="","",'Current Char Stats'!$A88)</f>
        <v>Justin</v>
      </c>
      <c r="C219" s="18" t="str">
        <f ca="1">IF('Current Char Stats'!$A88="","",'Current Char Stats'!$B88)</f>
        <v>Red Pianta</v>
      </c>
      <c r="D219" s="18" t="str">
        <f ca="1">IF('Current Char Stats'!$A88="","",'Current Char Stats'!$C88)</f>
        <v>G5</v>
      </c>
      <c r="E219" s="18">
        <f ca="1">IF('Current Char Stats'!$A88="","",'Current Char Stats'!$D88)</f>
        <v>1</v>
      </c>
      <c r="F219" s="18">
        <f ca="1">IF('Current Char Stats'!$A88="","",'Current Char Stats'!$E88)</f>
        <v>0</v>
      </c>
      <c r="G219" s="18">
        <f ca="1">IF('Current Char Stats'!$A88="","",'Current Char Stats'!$F88)</f>
        <v>0</v>
      </c>
      <c r="H219" s="18">
        <f ca="1">IF('Current Char Stats'!$A88="","",'Current Char Stats'!$G88)</f>
        <v>0</v>
      </c>
      <c r="I219" s="18">
        <f ca="1">IF('Current Char Stats'!$A88="","",'Current Char Stats'!$H88)</f>
        <v>0</v>
      </c>
      <c r="J219" s="18">
        <f ca="1">IF('Current Char Stats'!$A88="","",'Current Char Stats'!$I88)</f>
        <v>0</v>
      </c>
      <c r="K219" s="18">
        <f ca="1">IF('Current Char Stats'!$A88="","",'Current Char Stats'!$J88)</f>
        <v>0</v>
      </c>
      <c r="L219" s="18" t="str">
        <f ca="1">IF('Current Char Stats'!$A88="","",'Current Char Stats'!$K88)</f>
        <v/>
      </c>
      <c r="M219" s="18">
        <f ca="1">IF('Current Char Stats'!$A88="","",'Current Char Stats'!$L88)</f>
        <v>0</v>
      </c>
      <c r="N219" s="18">
        <f ca="1">IF('Current Char Stats'!$A88="","",'Current Char Stats'!$M88)</f>
        <v>0</v>
      </c>
      <c r="O219" s="18">
        <f ca="1">IF('Current Char Stats'!$A88="","",'Current Char Stats'!$N88)</f>
        <v>0</v>
      </c>
      <c r="P219" s="18">
        <f ca="1">IF('Current Char Stats'!$A88="","",'Current Char Stats'!$O88)</f>
        <v>0</v>
      </c>
      <c r="Q219" s="18">
        <f ca="1">IF('Current Char Stats'!$A88="","",'Current Char Stats'!$P88)</f>
        <v>0</v>
      </c>
      <c r="R219" s="18">
        <f ca="1">IF('Current Char Stats'!$A88="","",'Current Char Stats'!$Q88)</f>
        <v>0</v>
      </c>
      <c r="S219" s="18">
        <f ca="1">IF('Current Char Stats'!$A88="","",'Current Char Stats'!$R88)</f>
        <v>0</v>
      </c>
      <c r="T219" s="18">
        <f ca="1">IF('Current Char Stats'!$A88="","",'Current Char Stats'!$S88)</f>
        <v>0</v>
      </c>
      <c r="U219" s="18">
        <f ca="1">IF('Current Char Stats'!$A88="","",'Current Char Stats'!$T88)</f>
        <v>0</v>
      </c>
      <c r="V219" s="18">
        <f ca="1">IF('Current Char Stats'!$A88="","",'Current Char Stats'!$U88)</f>
        <v>0</v>
      </c>
      <c r="W219" s="18">
        <f ca="1">IF('Current Char Stats'!$A88="","",'Current Char Stats'!$V88)</f>
        <v>0</v>
      </c>
      <c r="X219" s="18">
        <f ca="1">IF('Current Char Stats'!$A88="","",'Current Char Stats'!$W88)</f>
        <v>0</v>
      </c>
      <c r="Y219" s="18">
        <f ca="1">IF('Current Char Stats'!$A88="","",'Current Char Stats'!$X88)</f>
        <v>0</v>
      </c>
      <c r="Z219" s="18">
        <f ca="1">IF('Current Char Stats'!$A88="","",'Current Char Stats'!$Y88)</f>
        <v>0</v>
      </c>
      <c r="AA219" s="18">
        <f ca="1">IF('Current Char Stats'!$A88="","",'Current Char Stats'!$Z88)</f>
        <v>0</v>
      </c>
      <c r="AB219" s="18">
        <f ca="1">IF('Current Char Stats'!$A88="","",'Current Char Stats'!$AA88)</f>
        <v>0</v>
      </c>
      <c r="AC219" s="18">
        <f ca="1">IF('Current Char Stats'!$A88="","",'Current Char Stats'!$AB88)</f>
        <v>0</v>
      </c>
      <c r="AD219" s="18">
        <f ca="1">IF('Current Char Stats'!$A88="","",'Current Char Stats'!$AC88)</f>
        <v>0</v>
      </c>
      <c r="AE219" s="18">
        <f ca="1">IF('Current Char Stats'!$A88="","",'Current Char Stats'!$AD88)</f>
        <v>0</v>
      </c>
      <c r="AF219" s="18">
        <f ca="1">IF('Current Char Stats'!$A88="","",'Current Char Stats'!$AE88)</f>
        <v>0</v>
      </c>
    </row>
    <row r="220" spans="1:32">
      <c r="A220" s="18">
        <f ca="1">IF('Current Char Stats'!$A89="","",Settings!$B$2)</f>
        <v>1</v>
      </c>
      <c r="B220" s="117" t="str">
        <f ca="1">IF('Current Char Stats'!$A89="","",'Current Char Stats'!$A89)</f>
        <v>Justin</v>
      </c>
      <c r="C220" s="18" t="str">
        <f ca="1">IF('Current Char Stats'!$A89="","",'Current Char Stats'!$B89)</f>
        <v>Blue Yoshi</v>
      </c>
      <c r="D220" s="18" t="str">
        <f ca="1">IF('Current Char Stats'!$A89="","",'Current Char Stats'!$C89)</f>
        <v>G5</v>
      </c>
      <c r="E220" s="18">
        <f ca="1">IF('Current Char Stats'!$A89="","",'Current Char Stats'!$D89)</f>
        <v>1</v>
      </c>
      <c r="F220" s="18">
        <f ca="1">IF('Current Char Stats'!$A89="","",'Current Char Stats'!$E89)</f>
        <v>0</v>
      </c>
      <c r="G220" s="18">
        <f ca="1">IF('Current Char Stats'!$A89="","",'Current Char Stats'!$F89)</f>
        <v>0</v>
      </c>
      <c r="H220" s="18">
        <f ca="1">IF('Current Char Stats'!$A89="","",'Current Char Stats'!$G89)</f>
        <v>0</v>
      </c>
      <c r="I220" s="18">
        <f ca="1">IF('Current Char Stats'!$A89="","",'Current Char Stats'!$H89)</f>
        <v>0</v>
      </c>
      <c r="J220" s="18">
        <f ca="1">IF('Current Char Stats'!$A89="","",'Current Char Stats'!$I89)</f>
        <v>0</v>
      </c>
      <c r="K220" s="18">
        <f ca="1">IF('Current Char Stats'!$A89="","",'Current Char Stats'!$J89)</f>
        <v>0</v>
      </c>
      <c r="L220" s="18" t="str">
        <f ca="1">IF('Current Char Stats'!$A89="","",'Current Char Stats'!$K89)</f>
        <v/>
      </c>
      <c r="M220" s="18">
        <f ca="1">IF('Current Char Stats'!$A89="","",'Current Char Stats'!$L89)</f>
        <v>0</v>
      </c>
      <c r="N220" s="18">
        <f ca="1">IF('Current Char Stats'!$A89="","",'Current Char Stats'!$M89)</f>
        <v>0</v>
      </c>
      <c r="O220" s="18">
        <f ca="1">IF('Current Char Stats'!$A89="","",'Current Char Stats'!$N89)</f>
        <v>0</v>
      </c>
      <c r="P220" s="18">
        <f ca="1">IF('Current Char Stats'!$A89="","",'Current Char Stats'!$O89)</f>
        <v>0</v>
      </c>
      <c r="Q220" s="18">
        <f ca="1">IF('Current Char Stats'!$A89="","",'Current Char Stats'!$P89)</f>
        <v>0</v>
      </c>
      <c r="R220" s="18">
        <f ca="1">IF('Current Char Stats'!$A89="","",'Current Char Stats'!$Q89)</f>
        <v>0</v>
      </c>
      <c r="S220" s="18">
        <f ca="1">IF('Current Char Stats'!$A89="","",'Current Char Stats'!$R89)</f>
        <v>0</v>
      </c>
      <c r="T220" s="18">
        <f ca="1">IF('Current Char Stats'!$A89="","",'Current Char Stats'!$S89)</f>
        <v>0</v>
      </c>
      <c r="U220" s="18">
        <f ca="1">IF('Current Char Stats'!$A89="","",'Current Char Stats'!$T89)</f>
        <v>0</v>
      </c>
      <c r="V220" s="18">
        <f ca="1">IF('Current Char Stats'!$A89="","",'Current Char Stats'!$U89)</f>
        <v>0</v>
      </c>
      <c r="W220" s="18">
        <f ca="1">IF('Current Char Stats'!$A89="","",'Current Char Stats'!$V89)</f>
        <v>0</v>
      </c>
      <c r="X220" s="18">
        <f ca="1">IF('Current Char Stats'!$A89="","",'Current Char Stats'!$W89)</f>
        <v>0</v>
      </c>
      <c r="Y220" s="18">
        <f ca="1">IF('Current Char Stats'!$A89="","",'Current Char Stats'!$X89)</f>
        <v>0</v>
      </c>
      <c r="Z220" s="18">
        <f ca="1">IF('Current Char Stats'!$A89="","",'Current Char Stats'!$Y89)</f>
        <v>0</v>
      </c>
      <c r="AA220" s="18">
        <f ca="1">IF('Current Char Stats'!$A89="","",'Current Char Stats'!$Z89)</f>
        <v>0</v>
      </c>
      <c r="AB220" s="18">
        <f ca="1">IF('Current Char Stats'!$A89="","",'Current Char Stats'!$AA89)</f>
        <v>0</v>
      </c>
      <c r="AC220" s="18">
        <f ca="1">IF('Current Char Stats'!$A89="","",'Current Char Stats'!$AB89)</f>
        <v>0</v>
      </c>
      <c r="AD220" s="18">
        <f ca="1">IF('Current Char Stats'!$A89="","",'Current Char Stats'!$AC89)</f>
        <v>0</v>
      </c>
      <c r="AE220" s="18">
        <f ca="1">IF('Current Char Stats'!$A89="","",'Current Char Stats'!$AD89)</f>
        <v>0</v>
      </c>
      <c r="AF220" s="18">
        <f ca="1">IF('Current Char Stats'!$A89="","",'Current Char Stats'!$AE89)</f>
        <v>0</v>
      </c>
    </row>
    <row r="221" spans="1:32">
      <c r="A221" s="18">
        <f ca="1">IF('Current Char Stats'!$A90="","",Settings!$B$2)</f>
        <v>1</v>
      </c>
      <c r="B221" s="117" t="str">
        <f ca="1">IF('Current Char Stats'!$A90="","",'Current Char Stats'!$A90)</f>
        <v>Justin</v>
      </c>
      <c r="C221" s="18" t="str">
        <f ca="1">IF('Current Char Stats'!$A90="","",'Current Char Stats'!$B90)</f>
        <v>Baby Luigi</v>
      </c>
      <c r="D221" s="18" t="str">
        <f ca="1">IF('Current Char Stats'!$A90="","",'Current Char Stats'!$C90)</f>
        <v>G5</v>
      </c>
      <c r="E221" s="18">
        <f ca="1">IF('Current Char Stats'!$A90="","",'Current Char Stats'!$D90)</f>
        <v>1</v>
      </c>
      <c r="F221" s="18">
        <f ca="1">IF('Current Char Stats'!$A90="","",'Current Char Stats'!$E90)</f>
        <v>0</v>
      </c>
      <c r="G221" s="18">
        <f ca="1">IF('Current Char Stats'!$A90="","",'Current Char Stats'!$F90)</f>
        <v>0</v>
      </c>
      <c r="H221" s="18">
        <f ca="1">IF('Current Char Stats'!$A90="","",'Current Char Stats'!$G90)</f>
        <v>0</v>
      </c>
      <c r="I221" s="18">
        <f ca="1">IF('Current Char Stats'!$A90="","",'Current Char Stats'!$H90)</f>
        <v>0</v>
      </c>
      <c r="J221" s="18">
        <f ca="1">IF('Current Char Stats'!$A90="","",'Current Char Stats'!$I90)</f>
        <v>0</v>
      </c>
      <c r="K221" s="18">
        <f ca="1">IF('Current Char Stats'!$A90="","",'Current Char Stats'!$J90)</f>
        <v>0</v>
      </c>
      <c r="L221" s="18" t="str">
        <f ca="1">IF('Current Char Stats'!$A90="","",'Current Char Stats'!$K90)</f>
        <v/>
      </c>
      <c r="M221" s="18">
        <f ca="1">IF('Current Char Stats'!$A90="","",'Current Char Stats'!$L90)</f>
        <v>0</v>
      </c>
      <c r="N221" s="18">
        <f ca="1">IF('Current Char Stats'!$A90="","",'Current Char Stats'!$M90)</f>
        <v>0</v>
      </c>
      <c r="O221" s="18">
        <f ca="1">IF('Current Char Stats'!$A90="","",'Current Char Stats'!$N90)</f>
        <v>0</v>
      </c>
      <c r="P221" s="18">
        <f ca="1">IF('Current Char Stats'!$A90="","",'Current Char Stats'!$O90)</f>
        <v>0</v>
      </c>
      <c r="Q221" s="18">
        <f ca="1">IF('Current Char Stats'!$A90="","",'Current Char Stats'!$P90)</f>
        <v>0</v>
      </c>
      <c r="R221" s="18">
        <f ca="1">IF('Current Char Stats'!$A90="","",'Current Char Stats'!$Q90)</f>
        <v>0</v>
      </c>
      <c r="S221" s="18">
        <f ca="1">IF('Current Char Stats'!$A90="","",'Current Char Stats'!$R90)</f>
        <v>0</v>
      </c>
      <c r="T221" s="18">
        <f ca="1">IF('Current Char Stats'!$A90="","",'Current Char Stats'!$S90)</f>
        <v>0</v>
      </c>
      <c r="U221" s="18">
        <f ca="1">IF('Current Char Stats'!$A90="","",'Current Char Stats'!$T90)</f>
        <v>0</v>
      </c>
      <c r="V221" s="18">
        <f ca="1">IF('Current Char Stats'!$A90="","",'Current Char Stats'!$U90)</f>
        <v>0</v>
      </c>
      <c r="W221" s="18">
        <f ca="1">IF('Current Char Stats'!$A90="","",'Current Char Stats'!$V90)</f>
        <v>0</v>
      </c>
      <c r="X221" s="18">
        <f ca="1">IF('Current Char Stats'!$A90="","",'Current Char Stats'!$W90)</f>
        <v>0</v>
      </c>
      <c r="Y221" s="18">
        <f ca="1">IF('Current Char Stats'!$A90="","",'Current Char Stats'!$X90)</f>
        <v>0</v>
      </c>
      <c r="Z221" s="18">
        <f ca="1">IF('Current Char Stats'!$A90="","",'Current Char Stats'!$Y90)</f>
        <v>0</v>
      </c>
      <c r="AA221" s="18">
        <f ca="1">IF('Current Char Stats'!$A90="","",'Current Char Stats'!$Z90)</f>
        <v>0</v>
      </c>
      <c r="AB221" s="18">
        <f ca="1">IF('Current Char Stats'!$A90="","",'Current Char Stats'!$AA90)</f>
        <v>0</v>
      </c>
      <c r="AC221" s="18">
        <f ca="1">IF('Current Char Stats'!$A90="","",'Current Char Stats'!$AB90)</f>
        <v>0</v>
      </c>
      <c r="AD221" s="18">
        <f ca="1">IF('Current Char Stats'!$A90="","",'Current Char Stats'!$AC90)</f>
        <v>0</v>
      </c>
      <c r="AE221" s="18">
        <f ca="1">IF('Current Char Stats'!$A90="","",'Current Char Stats'!$AD90)</f>
        <v>0</v>
      </c>
      <c r="AF221" s="18">
        <f ca="1">IF('Current Char Stats'!$A90="","",'Current Char Stats'!$AE90)</f>
        <v>0</v>
      </c>
    </row>
    <row r="222" spans="1:32">
      <c r="A222" s="18">
        <f ca="1">IF('Current Char Stats'!$A91="","",Settings!$B$2)</f>
        <v>1</v>
      </c>
      <c r="B222" s="117" t="str">
        <f ca="1">IF('Current Char Stats'!$A91="","",'Current Char Stats'!$A91)</f>
        <v>Justin</v>
      </c>
      <c r="C222" s="18" t="str">
        <f ca="1">IF('Current Char Stats'!$A91="","",'Current Char Stats'!$B91)</f>
        <v>Yellow Magikoopa</v>
      </c>
      <c r="D222" s="18" t="str">
        <f ca="1">IF('Current Char Stats'!$A91="","",'Current Char Stats'!$C91)</f>
        <v>G5</v>
      </c>
      <c r="E222" s="18">
        <f ca="1">IF('Current Char Stats'!$A91="","",'Current Char Stats'!$D91)</f>
        <v>1</v>
      </c>
      <c r="F222" s="18">
        <f ca="1">IF('Current Char Stats'!$A91="","",'Current Char Stats'!$E91)</f>
        <v>1</v>
      </c>
      <c r="G222" s="18">
        <f ca="1">IF('Current Char Stats'!$A91="","",'Current Char Stats'!$F91)</f>
        <v>1</v>
      </c>
      <c r="H222" s="18">
        <f ca="1">IF('Current Char Stats'!$A91="","",'Current Char Stats'!$G91)</f>
        <v>0</v>
      </c>
      <c r="I222" s="18">
        <f ca="1">IF('Current Char Stats'!$A91="","",'Current Char Stats'!$H91)</f>
        <v>0</v>
      </c>
      <c r="J222" s="18">
        <f ca="1">IF('Current Char Stats'!$A91="","",'Current Char Stats'!$I91)</f>
        <v>0</v>
      </c>
      <c r="K222" s="18">
        <f ca="1">IF('Current Char Stats'!$A91="","",'Current Char Stats'!$J91)</f>
        <v>0</v>
      </c>
      <c r="L222" s="18" t="str">
        <f ca="1">IF('Current Char Stats'!$A91="","",'Current Char Stats'!$K91)</f>
        <v/>
      </c>
      <c r="M222" s="18">
        <f ca="1">IF('Current Char Stats'!$A91="","",'Current Char Stats'!$L91)</f>
        <v>0</v>
      </c>
      <c r="N222" s="18">
        <f ca="1">IF('Current Char Stats'!$A91="","",'Current Char Stats'!$M91)</f>
        <v>0</v>
      </c>
      <c r="O222" s="18">
        <f ca="1">IF('Current Char Stats'!$A91="","",'Current Char Stats'!$N91)</f>
        <v>0</v>
      </c>
      <c r="P222" s="18">
        <f ca="1">IF('Current Char Stats'!$A91="","",'Current Char Stats'!$O91)</f>
        <v>0</v>
      </c>
      <c r="Q222" s="18">
        <f ca="1">IF('Current Char Stats'!$A91="","",'Current Char Stats'!$P91)</f>
        <v>1</v>
      </c>
      <c r="R222" s="18">
        <f ca="1">IF('Current Char Stats'!$A91="","",'Current Char Stats'!$Q91)</f>
        <v>0</v>
      </c>
      <c r="S222" s="18">
        <f ca="1">IF('Current Char Stats'!$A91="","",'Current Char Stats'!$R91)</f>
        <v>0</v>
      </c>
      <c r="T222" s="18">
        <f ca="1">IF('Current Char Stats'!$A91="","",'Current Char Stats'!$S91)</f>
        <v>0</v>
      </c>
      <c r="U222" s="18">
        <f ca="1">IF('Current Char Stats'!$A91="","",'Current Char Stats'!$T91)</f>
        <v>0</v>
      </c>
      <c r="V222" s="18">
        <f ca="1">IF('Current Char Stats'!$A91="","",'Current Char Stats'!$U91)</f>
        <v>0</v>
      </c>
      <c r="W222" s="18">
        <f ca="1">IF('Current Char Stats'!$A91="","",'Current Char Stats'!$V91)</f>
        <v>0</v>
      </c>
      <c r="X222" s="18">
        <f ca="1">IF('Current Char Stats'!$A91="","",'Current Char Stats'!$W91)</f>
        <v>0</v>
      </c>
      <c r="Y222" s="18">
        <f ca="1">IF('Current Char Stats'!$A91="","",'Current Char Stats'!$X91)</f>
        <v>0</v>
      </c>
      <c r="Z222" s="18">
        <f ca="1">IF('Current Char Stats'!$A91="","",'Current Char Stats'!$Y91)</f>
        <v>0</v>
      </c>
      <c r="AA222" s="18">
        <f ca="1">IF('Current Char Stats'!$A91="","",'Current Char Stats'!$Z91)</f>
        <v>0</v>
      </c>
      <c r="AB222" s="18">
        <f ca="1">IF('Current Char Stats'!$A91="","",'Current Char Stats'!$AA91)</f>
        <v>0</v>
      </c>
      <c r="AC222" s="18">
        <f ca="1">IF('Current Char Stats'!$A91="","",'Current Char Stats'!$AB91)</f>
        <v>0</v>
      </c>
      <c r="AD222" s="18">
        <f ca="1">IF('Current Char Stats'!$A91="","",'Current Char Stats'!$AC91)</f>
        <v>0</v>
      </c>
      <c r="AE222" s="18">
        <f ca="1">IF('Current Char Stats'!$A91="","",'Current Char Stats'!$AD91)</f>
        <v>0</v>
      </c>
      <c r="AF222" s="18">
        <f ca="1">IF('Current Char Stats'!$A91="","",'Current Char Stats'!$AE91)</f>
        <v>0</v>
      </c>
    </row>
    <row r="223" spans="1:32">
      <c r="A223" s="18">
        <f ca="1">IF('Current Char Stats'!$A92="","",Settings!$B$2)</f>
        <v>1</v>
      </c>
      <c r="B223" s="117" t="str">
        <f ca="1">IF('Current Char Stats'!$A92="","",'Current Char Stats'!$A92)</f>
        <v>Justin</v>
      </c>
      <c r="C223" s="18" t="str">
        <f ca="1">IF('Current Char Stats'!$A92="","",'Current Char Stats'!$B92)</f>
        <v>Paratroopa</v>
      </c>
      <c r="D223" s="18" t="str">
        <f ca="1">IF('Current Char Stats'!$A92="","",'Current Char Stats'!$C92)</f>
        <v>G5</v>
      </c>
      <c r="E223" s="18">
        <f ca="1">IF('Current Char Stats'!$A92="","",'Current Char Stats'!$D92)</f>
        <v>1</v>
      </c>
      <c r="F223" s="18">
        <f ca="1">IF('Current Char Stats'!$A92="","",'Current Char Stats'!$E92)</f>
        <v>0</v>
      </c>
      <c r="G223" s="18">
        <f ca="1">IF('Current Char Stats'!$A92="","",'Current Char Stats'!$F92)</f>
        <v>0</v>
      </c>
      <c r="H223" s="18">
        <f ca="1">IF('Current Char Stats'!$A92="","",'Current Char Stats'!$G92)</f>
        <v>0</v>
      </c>
      <c r="I223" s="18">
        <f ca="1">IF('Current Char Stats'!$A92="","",'Current Char Stats'!$H92)</f>
        <v>0</v>
      </c>
      <c r="J223" s="18">
        <f ca="1">IF('Current Char Stats'!$A92="","",'Current Char Stats'!$I92)</f>
        <v>0</v>
      </c>
      <c r="K223" s="18">
        <f ca="1">IF('Current Char Stats'!$A92="","",'Current Char Stats'!$J92)</f>
        <v>0</v>
      </c>
      <c r="L223" s="18" t="str">
        <f ca="1">IF('Current Char Stats'!$A92="","",'Current Char Stats'!$K92)</f>
        <v/>
      </c>
      <c r="M223" s="18">
        <f ca="1">IF('Current Char Stats'!$A92="","",'Current Char Stats'!$L92)</f>
        <v>0</v>
      </c>
      <c r="N223" s="18">
        <f ca="1">IF('Current Char Stats'!$A92="","",'Current Char Stats'!$M92)</f>
        <v>0</v>
      </c>
      <c r="O223" s="18">
        <f ca="1">IF('Current Char Stats'!$A92="","",'Current Char Stats'!$N92)</f>
        <v>0</v>
      </c>
      <c r="P223" s="18">
        <f ca="1">IF('Current Char Stats'!$A92="","",'Current Char Stats'!$O92)</f>
        <v>0</v>
      </c>
      <c r="Q223" s="18">
        <f ca="1">IF('Current Char Stats'!$A92="","",'Current Char Stats'!$P92)</f>
        <v>0</v>
      </c>
      <c r="R223" s="18">
        <f ca="1">IF('Current Char Stats'!$A92="","",'Current Char Stats'!$Q92)</f>
        <v>0</v>
      </c>
      <c r="S223" s="18">
        <f ca="1">IF('Current Char Stats'!$A92="","",'Current Char Stats'!$R92)</f>
        <v>1</v>
      </c>
      <c r="T223" s="18">
        <f ca="1">IF('Current Char Stats'!$A92="","",'Current Char Stats'!$S92)</f>
        <v>0</v>
      </c>
      <c r="U223" s="18">
        <f ca="1">IF('Current Char Stats'!$A92="","",'Current Char Stats'!$T92)</f>
        <v>0</v>
      </c>
      <c r="V223" s="18">
        <f ca="1">IF('Current Char Stats'!$A92="","",'Current Char Stats'!$U92)</f>
        <v>0</v>
      </c>
      <c r="W223" s="18">
        <f ca="1">IF('Current Char Stats'!$A92="","",'Current Char Stats'!$V92)</f>
        <v>0</v>
      </c>
      <c r="X223" s="18">
        <f ca="1">IF('Current Char Stats'!$A92="","",'Current Char Stats'!$W92)</f>
        <v>0</v>
      </c>
      <c r="Y223" s="18">
        <f ca="1">IF('Current Char Stats'!$A92="","",'Current Char Stats'!$X92)</f>
        <v>0</v>
      </c>
      <c r="Z223" s="18">
        <f ca="1">IF('Current Char Stats'!$A92="","",'Current Char Stats'!$Y92)</f>
        <v>0</v>
      </c>
      <c r="AA223" s="18">
        <f ca="1">IF('Current Char Stats'!$A92="","",'Current Char Stats'!$Z92)</f>
        <v>0</v>
      </c>
      <c r="AB223" s="18">
        <f ca="1">IF('Current Char Stats'!$A92="","",'Current Char Stats'!$AA92)</f>
        <v>0</v>
      </c>
      <c r="AC223" s="18">
        <f ca="1">IF('Current Char Stats'!$A92="","",'Current Char Stats'!$AB92)</f>
        <v>0</v>
      </c>
      <c r="AD223" s="18">
        <f ca="1">IF('Current Char Stats'!$A92="","",'Current Char Stats'!$AC92)</f>
        <v>0</v>
      </c>
      <c r="AE223" s="18">
        <f ca="1">IF('Current Char Stats'!$A92="","",'Current Char Stats'!$AD92)</f>
        <v>0</v>
      </c>
      <c r="AF223" s="18">
        <f ca="1">IF('Current Char Stats'!$A92="","",'Current Char Stats'!$AE92)</f>
        <v>0</v>
      </c>
    </row>
    <row r="224" spans="1:32">
      <c r="A224" s="18">
        <f ca="1">IF('Current Char Stats'!$A93="","",Settings!$B$2)</f>
        <v>1</v>
      </c>
      <c r="B224" s="117" t="str">
        <f ca="1">IF('Current Char Stats'!$A93="","",'Current Char Stats'!$A93)</f>
        <v>Justin</v>
      </c>
      <c r="C224" s="18" t="str">
        <f ca="1">IF('Current Char Stats'!$A93="","",'Current Char Stats'!$B93)</f>
        <v>Boo</v>
      </c>
      <c r="D224" s="18" t="str">
        <f ca="1">IF('Current Char Stats'!$A93="","",'Current Char Stats'!$C93)</f>
        <v>G5</v>
      </c>
      <c r="E224" s="18">
        <f ca="1">IF('Current Char Stats'!$A93="","",'Current Char Stats'!$D93)</f>
        <v>1</v>
      </c>
      <c r="F224" s="18">
        <f ca="1">IF('Current Char Stats'!$A93="","",'Current Char Stats'!$E93)</f>
        <v>0</v>
      </c>
      <c r="G224" s="18">
        <f ca="1">IF('Current Char Stats'!$A93="","",'Current Char Stats'!$F93)</f>
        <v>0</v>
      </c>
      <c r="H224" s="18">
        <f ca="1">IF('Current Char Stats'!$A93="","",'Current Char Stats'!$G93)</f>
        <v>0</v>
      </c>
      <c r="I224" s="18">
        <f ca="1">IF('Current Char Stats'!$A93="","",'Current Char Stats'!$H93)</f>
        <v>0</v>
      </c>
      <c r="J224" s="18">
        <f ca="1">IF('Current Char Stats'!$A93="","",'Current Char Stats'!$I93)</f>
        <v>2</v>
      </c>
      <c r="K224" s="18">
        <f ca="1">IF('Current Char Stats'!$A93="","",'Current Char Stats'!$J93)</f>
        <v>2</v>
      </c>
      <c r="L224" s="18">
        <f ca="1">IF('Current Char Stats'!$A93="","",'Current Char Stats'!$K93)</f>
        <v>9</v>
      </c>
      <c r="M224" s="18">
        <f ca="1">IF('Current Char Stats'!$A93="","",'Current Char Stats'!$L93)</f>
        <v>0</v>
      </c>
      <c r="N224" s="18">
        <f ca="1">IF('Current Char Stats'!$A93="","",'Current Char Stats'!$M93)</f>
        <v>0</v>
      </c>
      <c r="O224" s="18">
        <f ca="1">IF('Current Char Stats'!$A93="","",'Current Char Stats'!$N93)</f>
        <v>0</v>
      </c>
      <c r="P224" s="18">
        <f ca="1">IF('Current Char Stats'!$A93="","",'Current Char Stats'!$O93)</f>
        <v>0</v>
      </c>
      <c r="Q224" s="18">
        <f ca="1">IF('Current Char Stats'!$A93="","",'Current Char Stats'!$P93)</f>
        <v>0</v>
      </c>
      <c r="R224" s="18">
        <f ca="1">IF('Current Char Stats'!$A93="","",'Current Char Stats'!$Q93)</f>
        <v>0</v>
      </c>
      <c r="S224" s="18">
        <f ca="1">IF('Current Char Stats'!$A93="","",'Current Char Stats'!$R93)</f>
        <v>0</v>
      </c>
      <c r="T224" s="18">
        <f ca="1">IF('Current Char Stats'!$A93="","",'Current Char Stats'!$S93)</f>
        <v>0</v>
      </c>
      <c r="U224" s="18">
        <f ca="1">IF('Current Char Stats'!$A93="","",'Current Char Stats'!$T93)</f>
        <v>0</v>
      </c>
      <c r="V224" s="18">
        <f ca="1">IF('Current Char Stats'!$A93="","",'Current Char Stats'!$U93)</f>
        <v>0</v>
      </c>
      <c r="W224" s="18">
        <f ca="1">IF('Current Char Stats'!$A93="","",'Current Char Stats'!$V93)</f>
        <v>3</v>
      </c>
      <c r="X224" s="18">
        <f ca="1">IF('Current Char Stats'!$A93="","",'Current Char Stats'!$W93)</f>
        <v>2</v>
      </c>
      <c r="Y224" s="18">
        <f ca="1">IF('Current Char Stats'!$A93="","",'Current Char Stats'!$X93)</f>
        <v>0</v>
      </c>
      <c r="Z224" s="18">
        <f ca="1">IF('Current Char Stats'!$A93="","",'Current Char Stats'!$Y93)</f>
        <v>1</v>
      </c>
      <c r="AA224" s="18">
        <f ca="1">IF('Current Char Stats'!$A93="","",'Current Char Stats'!$Z93)</f>
        <v>2</v>
      </c>
      <c r="AB224" s="18">
        <f ca="1">IF('Current Char Stats'!$A93="","",'Current Char Stats'!$AA93)</f>
        <v>0</v>
      </c>
      <c r="AC224" s="18">
        <f ca="1">IF('Current Char Stats'!$A93="","",'Current Char Stats'!$AB93)</f>
        <v>0</v>
      </c>
      <c r="AD224" s="18">
        <f ca="1">IF('Current Char Stats'!$A93="","",'Current Char Stats'!$AC93)</f>
        <v>1</v>
      </c>
      <c r="AE224" s="18">
        <f ca="1">IF('Current Char Stats'!$A93="","",'Current Char Stats'!$AD93)</f>
        <v>0</v>
      </c>
      <c r="AF224" s="18">
        <f ca="1">IF('Current Char Stats'!$A93="","",'Current Char Stats'!$AE93)</f>
        <v>9</v>
      </c>
    </row>
    <row r="225" spans="1:32">
      <c r="A225" s="18">
        <f ca="1">IF('Current Char Stats'!$A94="","",Settings!$B$2)</f>
        <v>1</v>
      </c>
      <c r="B225" s="117" t="str">
        <f ca="1">IF('Current Char Stats'!$A94="","",'Current Char Stats'!$A94)</f>
        <v>Aidan</v>
      </c>
      <c r="C225" s="18" t="str">
        <f ca="1">IF('Current Char Stats'!$A94="","",'Current Char Stats'!$B94)</f>
        <v>Yellow Pianta</v>
      </c>
      <c r="D225" s="18" t="str">
        <f ca="1">IF('Current Char Stats'!$A94="","",'Current Char Stats'!$C94)</f>
        <v>G6</v>
      </c>
      <c r="E225" s="18">
        <f ca="1">IF('Current Char Stats'!$A94="","",'Current Char Stats'!$D94)</f>
        <v>0</v>
      </c>
      <c r="F225" s="18">
        <f ca="1">IF('Current Char Stats'!$A94="","",'Current Char Stats'!$E94)</f>
        <v>0</v>
      </c>
      <c r="G225" s="18">
        <f ca="1">IF('Current Char Stats'!$A94="","",'Current Char Stats'!$F94)</f>
        <v>0</v>
      </c>
      <c r="H225" s="18">
        <f ca="1">IF('Current Char Stats'!$A94="","",'Current Char Stats'!$G94)</f>
        <v>0</v>
      </c>
      <c r="I225" s="18">
        <f ca="1">IF('Current Char Stats'!$A94="","",'Current Char Stats'!$H94)</f>
        <v>0</v>
      </c>
      <c r="J225" s="18">
        <f ca="1">IF('Current Char Stats'!$A94="","",'Current Char Stats'!$I94)</f>
        <v>0</v>
      </c>
      <c r="K225" s="18">
        <f ca="1">IF('Current Char Stats'!$A94="","",'Current Char Stats'!$J94)</f>
        <v>0</v>
      </c>
      <c r="L225" s="18" t="str">
        <f ca="1">IF('Current Char Stats'!$A94="","",'Current Char Stats'!$K94)</f>
        <v/>
      </c>
      <c r="M225" s="18">
        <f ca="1">IF('Current Char Stats'!$A94="","",'Current Char Stats'!$L94)</f>
        <v>0</v>
      </c>
      <c r="N225" s="18">
        <f ca="1">IF('Current Char Stats'!$A94="","",'Current Char Stats'!$M94)</f>
        <v>0</v>
      </c>
      <c r="O225" s="18">
        <f ca="1">IF('Current Char Stats'!$A94="","",'Current Char Stats'!$N94)</f>
        <v>0</v>
      </c>
      <c r="P225" s="18">
        <f ca="1">IF('Current Char Stats'!$A94="","",'Current Char Stats'!$O94)</f>
        <v>0</v>
      </c>
      <c r="Q225" s="18">
        <f ca="1">IF('Current Char Stats'!$A94="","",'Current Char Stats'!$P94)</f>
        <v>0</v>
      </c>
      <c r="R225" s="18">
        <f ca="1">IF('Current Char Stats'!$A94="","",'Current Char Stats'!$Q94)</f>
        <v>0</v>
      </c>
      <c r="S225" s="18">
        <f ca="1">IF('Current Char Stats'!$A94="","",'Current Char Stats'!$R94)</f>
        <v>0</v>
      </c>
      <c r="T225" s="18">
        <f ca="1">IF('Current Char Stats'!$A94="","",'Current Char Stats'!$S94)</f>
        <v>0</v>
      </c>
      <c r="U225" s="18">
        <f ca="1">IF('Current Char Stats'!$A94="","",'Current Char Stats'!$T94)</f>
        <v>0</v>
      </c>
      <c r="V225" s="18">
        <f ca="1">IF('Current Char Stats'!$A94="","",'Current Char Stats'!$U94)</f>
        <v>0</v>
      </c>
      <c r="W225" s="18">
        <f ca="1">IF('Current Char Stats'!$A94="","",'Current Char Stats'!$V94)</f>
        <v>0</v>
      </c>
      <c r="X225" s="18">
        <f ca="1">IF('Current Char Stats'!$A94="","",'Current Char Stats'!$W94)</f>
        <v>0</v>
      </c>
      <c r="Y225" s="18">
        <f ca="1">IF('Current Char Stats'!$A94="","",'Current Char Stats'!$X94)</f>
        <v>0</v>
      </c>
      <c r="Z225" s="18">
        <f ca="1">IF('Current Char Stats'!$A94="","",'Current Char Stats'!$Y94)</f>
        <v>0</v>
      </c>
      <c r="AA225" s="18">
        <f ca="1">IF('Current Char Stats'!$A94="","",'Current Char Stats'!$Z94)</f>
        <v>0</v>
      </c>
      <c r="AB225" s="18">
        <f ca="1">IF('Current Char Stats'!$A94="","",'Current Char Stats'!$AA94)</f>
        <v>0</v>
      </c>
      <c r="AC225" s="18">
        <f ca="1">IF('Current Char Stats'!$A94="","",'Current Char Stats'!$AB94)</f>
        <v>0</v>
      </c>
      <c r="AD225" s="18">
        <f ca="1">IF('Current Char Stats'!$A94="","",'Current Char Stats'!$AC94)</f>
        <v>0</v>
      </c>
      <c r="AE225" s="18">
        <f ca="1">IF('Current Char Stats'!$A94="","",'Current Char Stats'!$AD94)</f>
        <v>0</v>
      </c>
      <c r="AF225" s="18">
        <f ca="1">IF('Current Char Stats'!$A94="","",'Current Char Stats'!$AE94)</f>
        <v>0</v>
      </c>
    </row>
    <row r="226" spans="1:32">
      <c r="A226" s="18">
        <f ca="1">IF('Current Char Stats'!$A95="","",Settings!$B$2)</f>
        <v>1</v>
      </c>
      <c r="B226" s="117" t="str">
        <f ca="1">IF('Current Char Stats'!$A95="","",'Current Char Stats'!$A95)</f>
        <v>Aidan</v>
      </c>
      <c r="C226" s="18" t="str">
        <f ca="1">IF('Current Char Stats'!$A95="","",'Current Char Stats'!$B95)</f>
        <v>Mario</v>
      </c>
      <c r="D226" s="18" t="str">
        <f ca="1">IF('Current Char Stats'!$A95="","",'Current Char Stats'!$C95)</f>
        <v>G6</v>
      </c>
      <c r="E226" s="18">
        <f ca="1">IF('Current Char Stats'!$A95="","",'Current Char Stats'!$D95)</f>
        <v>0</v>
      </c>
      <c r="F226" s="18">
        <f ca="1">IF('Current Char Stats'!$A95="","",'Current Char Stats'!$E95)</f>
        <v>0</v>
      </c>
      <c r="G226" s="18">
        <f ca="1">IF('Current Char Stats'!$A95="","",'Current Char Stats'!$F95)</f>
        <v>0</v>
      </c>
      <c r="H226" s="18">
        <f ca="1">IF('Current Char Stats'!$A95="","",'Current Char Stats'!$G95)</f>
        <v>0</v>
      </c>
      <c r="I226" s="18">
        <f ca="1">IF('Current Char Stats'!$A95="","",'Current Char Stats'!$H95)</f>
        <v>0</v>
      </c>
      <c r="J226" s="18">
        <f ca="1">IF('Current Char Stats'!$A95="","",'Current Char Stats'!$I95)</f>
        <v>0</v>
      </c>
      <c r="K226" s="18">
        <f ca="1">IF('Current Char Stats'!$A95="","",'Current Char Stats'!$J95)</f>
        <v>0</v>
      </c>
      <c r="L226" s="18" t="str">
        <f ca="1">IF('Current Char Stats'!$A95="","",'Current Char Stats'!$K95)</f>
        <v/>
      </c>
      <c r="M226" s="18">
        <f ca="1">IF('Current Char Stats'!$A95="","",'Current Char Stats'!$L95)</f>
        <v>0</v>
      </c>
      <c r="N226" s="18">
        <f ca="1">IF('Current Char Stats'!$A95="","",'Current Char Stats'!$M95)</f>
        <v>0</v>
      </c>
      <c r="O226" s="18">
        <f ca="1">IF('Current Char Stats'!$A95="","",'Current Char Stats'!$N95)</f>
        <v>0</v>
      </c>
      <c r="P226" s="18">
        <f ca="1">IF('Current Char Stats'!$A95="","",'Current Char Stats'!$O95)</f>
        <v>0</v>
      </c>
      <c r="Q226" s="18">
        <f ca="1">IF('Current Char Stats'!$A95="","",'Current Char Stats'!$P95)</f>
        <v>0</v>
      </c>
      <c r="R226" s="18">
        <f ca="1">IF('Current Char Stats'!$A95="","",'Current Char Stats'!$Q95)</f>
        <v>0</v>
      </c>
      <c r="S226" s="18">
        <f ca="1">IF('Current Char Stats'!$A95="","",'Current Char Stats'!$R95)</f>
        <v>0</v>
      </c>
      <c r="T226" s="18">
        <f ca="1">IF('Current Char Stats'!$A95="","",'Current Char Stats'!$S95)</f>
        <v>0</v>
      </c>
      <c r="U226" s="18">
        <f ca="1">IF('Current Char Stats'!$A95="","",'Current Char Stats'!$T95)</f>
        <v>0</v>
      </c>
      <c r="V226" s="18">
        <f ca="1">IF('Current Char Stats'!$A95="","",'Current Char Stats'!$U95)</f>
        <v>0</v>
      </c>
      <c r="W226" s="18">
        <f ca="1">IF('Current Char Stats'!$A95="","",'Current Char Stats'!$V95)</f>
        <v>0</v>
      </c>
      <c r="X226" s="18">
        <f ca="1">IF('Current Char Stats'!$A95="","",'Current Char Stats'!$W95)</f>
        <v>0</v>
      </c>
      <c r="Y226" s="18">
        <f ca="1">IF('Current Char Stats'!$A95="","",'Current Char Stats'!$X95)</f>
        <v>0</v>
      </c>
      <c r="Z226" s="18">
        <f ca="1">IF('Current Char Stats'!$A95="","",'Current Char Stats'!$Y95)</f>
        <v>0</v>
      </c>
      <c r="AA226" s="18">
        <f ca="1">IF('Current Char Stats'!$A95="","",'Current Char Stats'!$Z95)</f>
        <v>0</v>
      </c>
      <c r="AB226" s="18">
        <f ca="1">IF('Current Char Stats'!$A95="","",'Current Char Stats'!$AA95)</f>
        <v>0</v>
      </c>
      <c r="AC226" s="18">
        <f ca="1">IF('Current Char Stats'!$A95="","",'Current Char Stats'!$AB95)</f>
        <v>0</v>
      </c>
      <c r="AD226" s="18">
        <f ca="1">IF('Current Char Stats'!$A95="","",'Current Char Stats'!$AC95)</f>
        <v>0</v>
      </c>
      <c r="AE226" s="18">
        <f ca="1">IF('Current Char Stats'!$A95="","",'Current Char Stats'!$AD95)</f>
        <v>0</v>
      </c>
      <c r="AF226" s="18">
        <f ca="1">IF('Current Char Stats'!$A95="","",'Current Char Stats'!$AE95)</f>
        <v>0</v>
      </c>
    </row>
    <row r="227" spans="1:32">
      <c r="A227" s="18">
        <f ca="1">IF('Current Char Stats'!$A96="","",Settings!$B$2)</f>
        <v>1</v>
      </c>
      <c r="B227" s="117" t="str">
        <f ca="1">IF('Current Char Stats'!$A96="","",'Current Char Stats'!$A96)</f>
        <v>Aidan</v>
      </c>
      <c r="C227" s="18" t="str">
        <f ca="1">IF('Current Char Stats'!$A96="","",'Current Char Stats'!$B96)</f>
        <v>Blue Pianta</v>
      </c>
      <c r="D227" s="18" t="str">
        <f ca="1">IF('Current Char Stats'!$A96="","",'Current Char Stats'!$C96)</f>
        <v>G6</v>
      </c>
      <c r="E227" s="18">
        <f ca="1">IF('Current Char Stats'!$A96="","",'Current Char Stats'!$D96)</f>
        <v>0</v>
      </c>
      <c r="F227" s="18">
        <f ca="1">IF('Current Char Stats'!$A96="","",'Current Char Stats'!$E96)</f>
        <v>0</v>
      </c>
      <c r="G227" s="18">
        <f ca="1">IF('Current Char Stats'!$A96="","",'Current Char Stats'!$F96)</f>
        <v>0</v>
      </c>
      <c r="H227" s="18">
        <f ca="1">IF('Current Char Stats'!$A96="","",'Current Char Stats'!$G96)</f>
        <v>0</v>
      </c>
      <c r="I227" s="18">
        <f ca="1">IF('Current Char Stats'!$A96="","",'Current Char Stats'!$H96)</f>
        <v>0</v>
      </c>
      <c r="J227" s="18">
        <f ca="1">IF('Current Char Stats'!$A96="","",'Current Char Stats'!$I96)</f>
        <v>0</v>
      </c>
      <c r="K227" s="18">
        <f ca="1">IF('Current Char Stats'!$A96="","",'Current Char Stats'!$J96)</f>
        <v>0</v>
      </c>
      <c r="L227" s="18" t="str">
        <f ca="1">IF('Current Char Stats'!$A96="","",'Current Char Stats'!$K96)</f>
        <v/>
      </c>
      <c r="M227" s="18">
        <f ca="1">IF('Current Char Stats'!$A96="","",'Current Char Stats'!$L96)</f>
        <v>0</v>
      </c>
      <c r="N227" s="18">
        <f ca="1">IF('Current Char Stats'!$A96="","",'Current Char Stats'!$M96)</f>
        <v>0</v>
      </c>
      <c r="O227" s="18">
        <f ca="1">IF('Current Char Stats'!$A96="","",'Current Char Stats'!$N96)</f>
        <v>0</v>
      </c>
      <c r="P227" s="18">
        <f ca="1">IF('Current Char Stats'!$A96="","",'Current Char Stats'!$O96)</f>
        <v>0</v>
      </c>
      <c r="Q227" s="18">
        <f ca="1">IF('Current Char Stats'!$A96="","",'Current Char Stats'!$P96)</f>
        <v>0</v>
      </c>
      <c r="R227" s="18">
        <f ca="1">IF('Current Char Stats'!$A96="","",'Current Char Stats'!$Q96)</f>
        <v>0</v>
      </c>
      <c r="S227" s="18">
        <f ca="1">IF('Current Char Stats'!$A96="","",'Current Char Stats'!$R96)</f>
        <v>0</v>
      </c>
      <c r="T227" s="18">
        <f ca="1">IF('Current Char Stats'!$A96="","",'Current Char Stats'!$S96)</f>
        <v>0</v>
      </c>
      <c r="U227" s="18">
        <f ca="1">IF('Current Char Stats'!$A96="","",'Current Char Stats'!$T96)</f>
        <v>0</v>
      </c>
      <c r="V227" s="18">
        <f ca="1">IF('Current Char Stats'!$A96="","",'Current Char Stats'!$U96)</f>
        <v>0</v>
      </c>
      <c r="W227" s="18">
        <f ca="1">IF('Current Char Stats'!$A96="","",'Current Char Stats'!$V96)</f>
        <v>0</v>
      </c>
      <c r="X227" s="18">
        <f ca="1">IF('Current Char Stats'!$A96="","",'Current Char Stats'!$W96)</f>
        <v>0</v>
      </c>
      <c r="Y227" s="18">
        <f ca="1">IF('Current Char Stats'!$A96="","",'Current Char Stats'!$X96)</f>
        <v>0</v>
      </c>
      <c r="Z227" s="18">
        <f ca="1">IF('Current Char Stats'!$A96="","",'Current Char Stats'!$Y96)</f>
        <v>0</v>
      </c>
      <c r="AA227" s="18">
        <f ca="1">IF('Current Char Stats'!$A96="","",'Current Char Stats'!$Z96)</f>
        <v>0</v>
      </c>
      <c r="AB227" s="18">
        <f ca="1">IF('Current Char Stats'!$A96="","",'Current Char Stats'!$AA96)</f>
        <v>0</v>
      </c>
      <c r="AC227" s="18">
        <f ca="1">IF('Current Char Stats'!$A96="","",'Current Char Stats'!$AB96)</f>
        <v>0</v>
      </c>
      <c r="AD227" s="18">
        <f ca="1">IF('Current Char Stats'!$A96="","",'Current Char Stats'!$AC96)</f>
        <v>0</v>
      </c>
      <c r="AE227" s="18">
        <f ca="1">IF('Current Char Stats'!$A96="","",'Current Char Stats'!$AD96)</f>
        <v>0</v>
      </c>
      <c r="AF227" s="18">
        <f ca="1">IF('Current Char Stats'!$A96="","",'Current Char Stats'!$AE96)</f>
        <v>0</v>
      </c>
    </row>
    <row r="228" spans="1:32">
      <c r="A228" s="18">
        <f ca="1">IF('Current Char Stats'!$A97="","",Settings!$B$2)</f>
        <v>1</v>
      </c>
      <c r="B228" s="117" t="str">
        <f ca="1">IF('Current Char Stats'!$A97="","",'Current Char Stats'!$A97)</f>
        <v>Aidan</v>
      </c>
      <c r="C228" s="18" t="str">
        <f ca="1">IF('Current Char Stats'!$A97="","",'Current Char Stats'!$B97)</f>
        <v>Luigi</v>
      </c>
      <c r="D228" s="18" t="str">
        <f ca="1">IF('Current Char Stats'!$A97="","",'Current Char Stats'!$C97)</f>
        <v>G6</v>
      </c>
      <c r="E228" s="18">
        <f ca="1">IF('Current Char Stats'!$A97="","",'Current Char Stats'!$D97)</f>
        <v>0</v>
      </c>
      <c r="F228" s="18">
        <f ca="1">IF('Current Char Stats'!$A97="","",'Current Char Stats'!$E97)</f>
        <v>0</v>
      </c>
      <c r="G228" s="18">
        <f ca="1">IF('Current Char Stats'!$A97="","",'Current Char Stats'!$F97)</f>
        <v>0</v>
      </c>
      <c r="H228" s="18">
        <f ca="1">IF('Current Char Stats'!$A97="","",'Current Char Stats'!$G97)</f>
        <v>0</v>
      </c>
      <c r="I228" s="18">
        <f ca="1">IF('Current Char Stats'!$A97="","",'Current Char Stats'!$H97)</f>
        <v>0</v>
      </c>
      <c r="J228" s="18">
        <f ca="1">IF('Current Char Stats'!$A97="","",'Current Char Stats'!$I97)</f>
        <v>0</v>
      </c>
      <c r="K228" s="18">
        <f ca="1">IF('Current Char Stats'!$A97="","",'Current Char Stats'!$J97)</f>
        <v>0</v>
      </c>
      <c r="L228" s="18" t="str">
        <f ca="1">IF('Current Char Stats'!$A97="","",'Current Char Stats'!$K97)</f>
        <v/>
      </c>
      <c r="M228" s="18">
        <f ca="1">IF('Current Char Stats'!$A97="","",'Current Char Stats'!$L97)</f>
        <v>0</v>
      </c>
      <c r="N228" s="18">
        <f ca="1">IF('Current Char Stats'!$A97="","",'Current Char Stats'!$M97)</f>
        <v>0</v>
      </c>
      <c r="O228" s="18">
        <f ca="1">IF('Current Char Stats'!$A97="","",'Current Char Stats'!$N97)</f>
        <v>0</v>
      </c>
      <c r="P228" s="18">
        <f ca="1">IF('Current Char Stats'!$A97="","",'Current Char Stats'!$O97)</f>
        <v>0</v>
      </c>
      <c r="Q228" s="18">
        <f ca="1">IF('Current Char Stats'!$A97="","",'Current Char Stats'!$P97)</f>
        <v>0</v>
      </c>
      <c r="R228" s="18">
        <f ca="1">IF('Current Char Stats'!$A97="","",'Current Char Stats'!$Q97)</f>
        <v>0</v>
      </c>
      <c r="S228" s="18">
        <f ca="1">IF('Current Char Stats'!$A97="","",'Current Char Stats'!$R97)</f>
        <v>0</v>
      </c>
      <c r="T228" s="18">
        <f ca="1">IF('Current Char Stats'!$A97="","",'Current Char Stats'!$S97)</f>
        <v>0</v>
      </c>
      <c r="U228" s="18">
        <f ca="1">IF('Current Char Stats'!$A97="","",'Current Char Stats'!$T97)</f>
        <v>0</v>
      </c>
      <c r="V228" s="18">
        <f ca="1">IF('Current Char Stats'!$A97="","",'Current Char Stats'!$U97)</f>
        <v>0</v>
      </c>
      <c r="W228" s="18">
        <f ca="1">IF('Current Char Stats'!$A97="","",'Current Char Stats'!$V97)</f>
        <v>0</v>
      </c>
      <c r="X228" s="18">
        <f ca="1">IF('Current Char Stats'!$A97="","",'Current Char Stats'!$W97)</f>
        <v>0</v>
      </c>
      <c r="Y228" s="18">
        <f ca="1">IF('Current Char Stats'!$A97="","",'Current Char Stats'!$X97)</f>
        <v>0</v>
      </c>
      <c r="Z228" s="18">
        <f ca="1">IF('Current Char Stats'!$A97="","",'Current Char Stats'!$Y97)</f>
        <v>0</v>
      </c>
      <c r="AA228" s="18">
        <f ca="1">IF('Current Char Stats'!$A97="","",'Current Char Stats'!$Z97)</f>
        <v>0</v>
      </c>
      <c r="AB228" s="18">
        <f ca="1">IF('Current Char Stats'!$A97="","",'Current Char Stats'!$AA97)</f>
        <v>0</v>
      </c>
      <c r="AC228" s="18">
        <f ca="1">IF('Current Char Stats'!$A97="","",'Current Char Stats'!$AB97)</f>
        <v>0</v>
      </c>
      <c r="AD228" s="18">
        <f ca="1">IF('Current Char Stats'!$A97="","",'Current Char Stats'!$AC97)</f>
        <v>0</v>
      </c>
      <c r="AE228" s="18">
        <f ca="1">IF('Current Char Stats'!$A97="","",'Current Char Stats'!$AD97)</f>
        <v>0</v>
      </c>
      <c r="AF228" s="18">
        <f ca="1">IF('Current Char Stats'!$A97="","",'Current Char Stats'!$AE97)</f>
        <v>0</v>
      </c>
    </row>
    <row r="229" spans="1:32">
      <c r="A229" s="18">
        <f ca="1">IF('Current Char Stats'!$A98="","",Settings!$B$2)</f>
        <v>1</v>
      </c>
      <c r="B229" s="117" t="str">
        <f ca="1">IF('Current Char Stats'!$A98="","",'Current Char Stats'!$A98)</f>
        <v>Aidan</v>
      </c>
      <c r="C229" s="18" t="str">
        <f ca="1">IF('Current Char Stats'!$A98="","",'Current Char Stats'!$B98)</f>
        <v>Dark Bones</v>
      </c>
      <c r="D229" s="18" t="str">
        <f ca="1">IF('Current Char Stats'!$A98="","",'Current Char Stats'!$C98)</f>
        <v>G6</v>
      </c>
      <c r="E229" s="18">
        <f ca="1">IF('Current Char Stats'!$A98="","",'Current Char Stats'!$D98)</f>
        <v>0</v>
      </c>
      <c r="F229" s="18">
        <f ca="1">IF('Current Char Stats'!$A98="","",'Current Char Stats'!$E98)</f>
        <v>0</v>
      </c>
      <c r="G229" s="18">
        <f ca="1">IF('Current Char Stats'!$A98="","",'Current Char Stats'!$F98)</f>
        <v>0</v>
      </c>
      <c r="H229" s="18">
        <f ca="1">IF('Current Char Stats'!$A98="","",'Current Char Stats'!$G98)</f>
        <v>0</v>
      </c>
      <c r="I229" s="18">
        <f ca="1">IF('Current Char Stats'!$A98="","",'Current Char Stats'!$H98)</f>
        <v>0</v>
      </c>
      <c r="J229" s="18">
        <f ca="1">IF('Current Char Stats'!$A98="","",'Current Char Stats'!$I98)</f>
        <v>0</v>
      </c>
      <c r="K229" s="18">
        <f ca="1">IF('Current Char Stats'!$A98="","",'Current Char Stats'!$J98)</f>
        <v>0</v>
      </c>
      <c r="L229" s="18" t="str">
        <f ca="1">IF('Current Char Stats'!$A98="","",'Current Char Stats'!$K98)</f>
        <v/>
      </c>
      <c r="M229" s="18">
        <f ca="1">IF('Current Char Stats'!$A98="","",'Current Char Stats'!$L98)</f>
        <v>0</v>
      </c>
      <c r="N229" s="18">
        <f ca="1">IF('Current Char Stats'!$A98="","",'Current Char Stats'!$M98)</f>
        <v>0</v>
      </c>
      <c r="O229" s="18">
        <f ca="1">IF('Current Char Stats'!$A98="","",'Current Char Stats'!$N98)</f>
        <v>0</v>
      </c>
      <c r="P229" s="18">
        <f ca="1">IF('Current Char Stats'!$A98="","",'Current Char Stats'!$O98)</f>
        <v>0</v>
      </c>
      <c r="Q229" s="18">
        <f ca="1">IF('Current Char Stats'!$A98="","",'Current Char Stats'!$P98)</f>
        <v>0</v>
      </c>
      <c r="R229" s="18">
        <f ca="1">IF('Current Char Stats'!$A98="","",'Current Char Stats'!$Q98)</f>
        <v>0</v>
      </c>
      <c r="S229" s="18">
        <f ca="1">IF('Current Char Stats'!$A98="","",'Current Char Stats'!$R98)</f>
        <v>0</v>
      </c>
      <c r="T229" s="18">
        <f ca="1">IF('Current Char Stats'!$A98="","",'Current Char Stats'!$S98)</f>
        <v>0</v>
      </c>
      <c r="U229" s="18">
        <f ca="1">IF('Current Char Stats'!$A98="","",'Current Char Stats'!$T98)</f>
        <v>0</v>
      </c>
      <c r="V229" s="18">
        <f ca="1">IF('Current Char Stats'!$A98="","",'Current Char Stats'!$U98)</f>
        <v>0</v>
      </c>
      <c r="W229" s="18">
        <f ca="1">IF('Current Char Stats'!$A98="","",'Current Char Stats'!$V98)</f>
        <v>0</v>
      </c>
      <c r="X229" s="18">
        <f ca="1">IF('Current Char Stats'!$A98="","",'Current Char Stats'!$W98)</f>
        <v>0</v>
      </c>
      <c r="Y229" s="18">
        <f ca="1">IF('Current Char Stats'!$A98="","",'Current Char Stats'!$X98)</f>
        <v>0</v>
      </c>
      <c r="Z229" s="18">
        <f ca="1">IF('Current Char Stats'!$A98="","",'Current Char Stats'!$Y98)</f>
        <v>0</v>
      </c>
      <c r="AA229" s="18">
        <f ca="1">IF('Current Char Stats'!$A98="","",'Current Char Stats'!$Z98)</f>
        <v>0</v>
      </c>
      <c r="AB229" s="18">
        <f ca="1">IF('Current Char Stats'!$A98="","",'Current Char Stats'!$AA98)</f>
        <v>0</v>
      </c>
      <c r="AC229" s="18">
        <f ca="1">IF('Current Char Stats'!$A98="","",'Current Char Stats'!$AB98)</f>
        <v>0</v>
      </c>
      <c r="AD229" s="18">
        <f ca="1">IF('Current Char Stats'!$A98="","",'Current Char Stats'!$AC98)</f>
        <v>0</v>
      </c>
      <c r="AE229" s="18">
        <f ca="1">IF('Current Char Stats'!$A98="","",'Current Char Stats'!$AD98)</f>
        <v>0</v>
      </c>
      <c r="AF229" s="18">
        <f ca="1">IF('Current Char Stats'!$A98="","",'Current Char Stats'!$AE98)</f>
        <v>0</v>
      </c>
    </row>
    <row r="230" spans="1:32">
      <c r="A230" s="18">
        <f ca="1">IF('Current Char Stats'!$A99="","",Settings!$B$2)</f>
        <v>1</v>
      </c>
      <c r="B230" s="117" t="str">
        <f ca="1">IF('Current Char Stats'!$A99="","",'Current Char Stats'!$A99)</f>
        <v>Aidan</v>
      </c>
      <c r="C230" s="18" t="str">
        <f ca="1">IF('Current Char Stats'!$A99="","",'Current Char Stats'!$B99)</f>
        <v>Pink Yoshi</v>
      </c>
      <c r="D230" s="18" t="str">
        <f ca="1">IF('Current Char Stats'!$A99="","",'Current Char Stats'!$C99)</f>
        <v>G6</v>
      </c>
      <c r="E230" s="18">
        <f ca="1">IF('Current Char Stats'!$A99="","",'Current Char Stats'!$D99)</f>
        <v>0</v>
      </c>
      <c r="F230" s="18">
        <f ca="1">IF('Current Char Stats'!$A99="","",'Current Char Stats'!$E99)</f>
        <v>0</v>
      </c>
      <c r="G230" s="18">
        <f ca="1">IF('Current Char Stats'!$A99="","",'Current Char Stats'!$F99)</f>
        <v>0</v>
      </c>
      <c r="H230" s="18">
        <f ca="1">IF('Current Char Stats'!$A99="","",'Current Char Stats'!$G99)</f>
        <v>0</v>
      </c>
      <c r="I230" s="18">
        <f ca="1">IF('Current Char Stats'!$A99="","",'Current Char Stats'!$H99)</f>
        <v>0</v>
      </c>
      <c r="J230" s="18">
        <f ca="1">IF('Current Char Stats'!$A99="","",'Current Char Stats'!$I99)</f>
        <v>0</v>
      </c>
      <c r="K230" s="18">
        <f ca="1">IF('Current Char Stats'!$A99="","",'Current Char Stats'!$J99)</f>
        <v>0</v>
      </c>
      <c r="L230" s="18" t="str">
        <f ca="1">IF('Current Char Stats'!$A99="","",'Current Char Stats'!$K99)</f>
        <v/>
      </c>
      <c r="M230" s="18">
        <f ca="1">IF('Current Char Stats'!$A99="","",'Current Char Stats'!$L99)</f>
        <v>0</v>
      </c>
      <c r="N230" s="18">
        <f ca="1">IF('Current Char Stats'!$A99="","",'Current Char Stats'!$M99)</f>
        <v>0</v>
      </c>
      <c r="O230" s="18">
        <f ca="1">IF('Current Char Stats'!$A99="","",'Current Char Stats'!$N99)</f>
        <v>0</v>
      </c>
      <c r="P230" s="18">
        <f ca="1">IF('Current Char Stats'!$A99="","",'Current Char Stats'!$O99)</f>
        <v>0</v>
      </c>
      <c r="Q230" s="18">
        <f ca="1">IF('Current Char Stats'!$A99="","",'Current Char Stats'!$P99)</f>
        <v>0</v>
      </c>
      <c r="R230" s="18">
        <f ca="1">IF('Current Char Stats'!$A99="","",'Current Char Stats'!$Q99)</f>
        <v>0</v>
      </c>
      <c r="S230" s="18">
        <f ca="1">IF('Current Char Stats'!$A99="","",'Current Char Stats'!$R99)</f>
        <v>0</v>
      </c>
      <c r="T230" s="18">
        <f ca="1">IF('Current Char Stats'!$A99="","",'Current Char Stats'!$S99)</f>
        <v>0</v>
      </c>
      <c r="U230" s="18">
        <f ca="1">IF('Current Char Stats'!$A99="","",'Current Char Stats'!$T99)</f>
        <v>0</v>
      </c>
      <c r="V230" s="18">
        <f ca="1">IF('Current Char Stats'!$A99="","",'Current Char Stats'!$U99)</f>
        <v>0</v>
      </c>
      <c r="W230" s="18">
        <f ca="1">IF('Current Char Stats'!$A99="","",'Current Char Stats'!$V99)</f>
        <v>0</v>
      </c>
      <c r="X230" s="18">
        <f ca="1">IF('Current Char Stats'!$A99="","",'Current Char Stats'!$W99)</f>
        <v>0</v>
      </c>
      <c r="Y230" s="18">
        <f ca="1">IF('Current Char Stats'!$A99="","",'Current Char Stats'!$X99)</f>
        <v>0</v>
      </c>
      <c r="Z230" s="18">
        <f ca="1">IF('Current Char Stats'!$A99="","",'Current Char Stats'!$Y99)</f>
        <v>0</v>
      </c>
      <c r="AA230" s="18">
        <f ca="1">IF('Current Char Stats'!$A99="","",'Current Char Stats'!$Z99)</f>
        <v>0</v>
      </c>
      <c r="AB230" s="18">
        <f ca="1">IF('Current Char Stats'!$A99="","",'Current Char Stats'!$AA99)</f>
        <v>0</v>
      </c>
      <c r="AC230" s="18">
        <f ca="1">IF('Current Char Stats'!$A99="","",'Current Char Stats'!$AB99)</f>
        <v>0</v>
      </c>
      <c r="AD230" s="18">
        <f ca="1">IF('Current Char Stats'!$A99="","",'Current Char Stats'!$AC99)</f>
        <v>0</v>
      </c>
      <c r="AE230" s="18">
        <f ca="1">IF('Current Char Stats'!$A99="","",'Current Char Stats'!$AD99)</f>
        <v>0</v>
      </c>
      <c r="AF230" s="18">
        <f ca="1">IF('Current Char Stats'!$A99="","",'Current Char Stats'!$AE99)</f>
        <v>0</v>
      </c>
    </row>
    <row r="231" spans="1:32">
      <c r="A231" s="18">
        <f ca="1">IF('Current Char Stats'!$A100="","",Settings!$B$2)</f>
        <v>1</v>
      </c>
      <c r="B231" s="117" t="str">
        <f ca="1">IF('Current Char Stats'!$A100="","",'Current Char Stats'!$A100)</f>
        <v>Aidan</v>
      </c>
      <c r="C231" s="18" t="str">
        <f ca="1">IF('Current Char Stats'!$A100="","",'Current Char Stats'!$B100)</f>
        <v>Blue Dry Bones</v>
      </c>
      <c r="D231" s="18" t="str">
        <f ca="1">IF('Current Char Stats'!$A100="","",'Current Char Stats'!$C100)</f>
        <v>G6</v>
      </c>
      <c r="E231" s="18">
        <f ca="1">IF('Current Char Stats'!$A100="","",'Current Char Stats'!$D100)</f>
        <v>0</v>
      </c>
      <c r="F231" s="18">
        <f ca="1">IF('Current Char Stats'!$A100="","",'Current Char Stats'!$E100)</f>
        <v>0</v>
      </c>
      <c r="G231" s="18">
        <f ca="1">IF('Current Char Stats'!$A100="","",'Current Char Stats'!$F100)</f>
        <v>0</v>
      </c>
      <c r="H231" s="18">
        <f ca="1">IF('Current Char Stats'!$A100="","",'Current Char Stats'!$G100)</f>
        <v>0</v>
      </c>
      <c r="I231" s="18">
        <f ca="1">IF('Current Char Stats'!$A100="","",'Current Char Stats'!$H100)</f>
        <v>0</v>
      </c>
      <c r="J231" s="18">
        <f ca="1">IF('Current Char Stats'!$A100="","",'Current Char Stats'!$I100)</f>
        <v>0</v>
      </c>
      <c r="K231" s="18">
        <f ca="1">IF('Current Char Stats'!$A100="","",'Current Char Stats'!$J100)</f>
        <v>0</v>
      </c>
      <c r="L231" s="18" t="str">
        <f ca="1">IF('Current Char Stats'!$A100="","",'Current Char Stats'!$K100)</f>
        <v/>
      </c>
      <c r="M231" s="18">
        <f ca="1">IF('Current Char Stats'!$A100="","",'Current Char Stats'!$L100)</f>
        <v>0</v>
      </c>
      <c r="N231" s="18">
        <f ca="1">IF('Current Char Stats'!$A100="","",'Current Char Stats'!$M100)</f>
        <v>0</v>
      </c>
      <c r="O231" s="18">
        <f ca="1">IF('Current Char Stats'!$A100="","",'Current Char Stats'!$N100)</f>
        <v>0</v>
      </c>
      <c r="P231" s="18">
        <f ca="1">IF('Current Char Stats'!$A100="","",'Current Char Stats'!$O100)</f>
        <v>0</v>
      </c>
      <c r="Q231" s="18">
        <f ca="1">IF('Current Char Stats'!$A100="","",'Current Char Stats'!$P100)</f>
        <v>0</v>
      </c>
      <c r="R231" s="18">
        <f ca="1">IF('Current Char Stats'!$A100="","",'Current Char Stats'!$Q100)</f>
        <v>0</v>
      </c>
      <c r="S231" s="18">
        <f ca="1">IF('Current Char Stats'!$A100="","",'Current Char Stats'!$R100)</f>
        <v>0</v>
      </c>
      <c r="T231" s="18">
        <f ca="1">IF('Current Char Stats'!$A100="","",'Current Char Stats'!$S100)</f>
        <v>0</v>
      </c>
      <c r="U231" s="18">
        <f ca="1">IF('Current Char Stats'!$A100="","",'Current Char Stats'!$T100)</f>
        <v>0</v>
      </c>
      <c r="V231" s="18">
        <f ca="1">IF('Current Char Stats'!$A100="","",'Current Char Stats'!$U100)</f>
        <v>0</v>
      </c>
      <c r="W231" s="18">
        <f ca="1">IF('Current Char Stats'!$A100="","",'Current Char Stats'!$V100)</f>
        <v>0</v>
      </c>
      <c r="X231" s="18">
        <f ca="1">IF('Current Char Stats'!$A100="","",'Current Char Stats'!$W100)</f>
        <v>0</v>
      </c>
      <c r="Y231" s="18">
        <f ca="1">IF('Current Char Stats'!$A100="","",'Current Char Stats'!$X100)</f>
        <v>0</v>
      </c>
      <c r="Z231" s="18">
        <f ca="1">IF('Current Char Stats'!$A100="","",'Current Char Stats'!$Y100)</f>
        <v>0</v>
      </c>
      <c r="AA231" s="18">
        <f ca="1">IF('Current Char Stats'!$A100="","",'Current Char Stats'!$Z100)</f>
        <v>0</v>
      </c>
      <c r="AB231" s="18">
        <f ca="1">IF('Current Char Stats'!$A100="","",'Current Char Stats'!$AA100)</f>
        <v>0</v>
      </c>
      <c r="AC231" s="18">
        <f ca="1">IF('Current Char Stats'!$A100="","",'Current Char Stats'!$AB100)</f>
        <v>0</v>
      </c>
      <c r="AD231" s="18">
        <f ca="1">IF('Current Char Stats'!$A100="","",'Current Char Stats'!$AC100)</f>
        <v>0</v>
      </c>
      <c r="AE231" s="18">
        <f ca="1">IF('Current Char Stats'!$A100="","",'Current Char Stats'!$AD100)</f>
        <v>0</v>
      </c>
      <c r="AF231" s="18">
        <f ca="1">IF('Current Char Stats'!$A100="","",'Current Char Stats'!$AE100)</f>
        <v>0</v>
      </c>
    </row>
    <row r="232" spans="1:32">
      <c r="A232" s="18">
        <f ca="1">IF('Current Char Stats'!$A101="","",Settings!$B$2)</f>
        <v>1</v>
      </c>
      <c r="B232" s="117" t="str">
        <f ca="1">IF('Current Char Stats'!$A101="","",'Current Char Stats'!$A101)</f>
        <v>Aidan</v>
      </c>
      <c r="C232" s="18" t="str">
        <f ca="1">IF('Current Char Stats'!$A101="","",'Current Char Stats'!$B101)</f>
        <v>Blue Kritter</v>
      </c>
      <c r="D232" s="18" t="str">
        <f ca="1">IF('Current Char Stats'!$A101="","",'Current Char Stats'!$C101)</f>
        <v>G6</v>
      </c>
      <c r="E232" s="18">
        <f ca="1">IF('Current Char Stats'!$A101="","",'Current Char Stats'!$D101)</f>
        <v>0</v>
      </c>
      <c r="F232" s="18">
        <f ca="1">IF('Current Char Stats'!$A101="","",'Current Char Stats'!$E101)</f>
        <v>0</v>
      </c>
      <c r="G232" s="18">
        <f ca="1">IF('Current Char Stats'!$A101="","",'Current Char Stats'!$F101)</f>
        <v>0</v>
      </c>
      <c r="H232" s="18">
        <f ca="1">IF('Current Char Stats'!$A101="","",'Current Char Stats'!$G101)</f>
        <v>0</v>
      </c>
      <c r="I232" s="18">
        <f ca="1">IF('Current Char Stats'!$A101="","",'Current Char Stats'!$H101)</f>
        <v>0</v>
      </c>
      <c r="J232" s="18">
        <f ca="1">IF('Current Char Stats'!$A101="","",'Current Char Stats'!$I101)</f>
        <v>2</v>
      </c>
      <c r="K232" s="18">
        <f ca="1">IF('Current Char Stats'!$A101="","",'Current Char Stats'!$J101)</f>
        <v>2</v>
      </c>
      <c r="L232" s="18">
        <f ca="1">IF('Current Char Stats'!$A101="","",'Current Char Stats'!$K101)</f>
        <v>9</v>
      </c>
      <c r="M232" s="18">
        <f ca="1">IF('Current Char Stats'!$A101="","",'Current Char Stats'!$L101)</f>
        <v>0</v>
      </c>
      <c r="N232" s="18">
        <f ca="1">IF('Current Char Stats'!$A101="","",'Current Char Stats'!$M101)</f>
        <v>0</v>
      </c>
      <c r="O232" s="18">
        <f ca="1">IF('Current Char Stats'!$A101="","",'Current Char Stats'!$N101)</f>
        <v>0</v>
      </c>
      <c r="P232" s="18">
        <f ca="1">IF('Current Char Stats'!$A101="","",'Current Char Stats'!$O101)</f>
        <v>0</v>
      </c>
      <c r="Q232" s="18">
        <f ca="1">IF('Current Char Stats'!$A101="","",'Current Char Stats'!$P101)</f>
        <v>0</v>
      </c>
      <c r="R232" s="18">
        <f ca="1">IF('Current Char Stats'!$A101="","",'Current Char Stats'!$Q101)</f>
        <v>0</v>
      </c>
      <c r="S232" s="18">
        <f ca="1">IF('Current Char Stats'!$A101="","",'Current Char Stats'!$R101)</f>
        <v>0</v>
      </c>
      <c r="T232" s="18">
        <f ca="1">IF('Current Char Stats'!$A101="","",'Current Char Stats'!$S101)</f>
        <v>0</v>
      </c>
      <c r="U232" s="18">
        <f ca="1">IF('Current Char Stats'!$A101="","",'Current Char Stats'!$T101)</f>
        <v>0</v>
      </c>
      <c r="V232" s="18">
        <f ca="1">IF('Current Char Stats'!$A101="","",'Current Char Stats'!$U101)</f>
        <v>0</v>
      </c>
      <c r="W232" s="18">
        <f ca="1">IF('Current Char Stats'!$A101="","",'Current Char Stats'!$V101)</f>
        <v>2</v>
      </c>
      <c r="X232" s="18">
        <f ca="1">IF('Current Char Stats'!$A101="","",'Current Char Stats'!$W101)</f>
        <v>2</v>
      </c>
      <c r="Y232" s="18">
        <f ca="1">IF('Current Char Stats'!$A101="","",'Current Char Stats'!$X101)</f>
        <v>0</v>
      </c>
      <c r="Z232" s="18">
        <f ca="1">IF('Current Char Stats'!$A101="","",'Current Char Stats'!$Y101)</f>
        <v>5</v>
      </c>
      <c r="AA232" s="18">
        <f ca="1">IF('Current Char Stats'!$A101="","",'Current Char Stats'!$Z101)</f>
        <v>1</v>
      </c>
      <c r="AB232" s="18">
        <f ca="1">IF('Current Char Stats'!$A101="","",'Current Char Stats'!$AA101)</f>
        <v>0</v>
      </c>
      <c r="AC232" s="18">
        <f ca="1">IF('Current Char Stats'!$A101="","",'Current Char Stats'!$AB101)</f>
        <v>0</v>
      </c>
      <c r="AD232" s="18">
        <f ca="1">IF('Current Char Stats'!$A101="","",'Current Char Stats'!$AC101)</f>
        <v>0</v>
      </c>
      <c r="AE232" s="18">
        <f ca="1">IF('Current Char Stats'!$A101="","",'Current Char Stats'!$AD101)</f>
        <v>0</v>
      </c>
      <c r="AF232" s="18">
        <f ca="1">IF('Current Char Stats'!$A101="","",'Current Char Stats'!$AE101)</f>
        <v>8</v>
      </c>
    </row>
    <row r="233" spans="1:32">
      <c r="A233" s="18">
        <f ca="1">IF('Current Char Stats'!$A102="","",Settings!$B$2)</f>
        <v>1</v>
      </c>
      <c r="B233" s="117" t="str">
        <f ca="1">IF('Current Char Stats'!$A102="","",'Current Char Stats'!$A102)</f>
        <v>Aidan</v>
      </c>
      <c r="C233" s="18" t="str">
        <f ca="1">IF('Current Char Stats'!$A102="","",'Current Char Stats'!$B102)</f>
        <v>Red Magikoopa</v>
      </c>
      <c r="D233" s="18" t="str">
        <f ca="1">IF('Current Char Stats'!$A102="","",'Current Char Stats'!$C102)</f>
        <v>G6</v>
      </c>
      <c r="E233" s="18">
        <f ca="1">IF('Current Char Stats'!$A102="","",'Current Char Stats'!$D102)</f>
        <v>0</v>
      </c>
      <c r="F233" s="18">
        <f ca="1">IF('Current Char Stats'!$A102="","",'Current Char Stats'!$E102)</f>
        <v>0</v>
      </c>
      <c r="G233" s="18">
        <f ca="1">IF('Current Char Stats'!$A102="","",'Current Char Stats'!$F102)</f>
        <v>0</v>
      </c>
      <c r="H233" s="18">
        <f ca="1">IF('Current Char Stats'!$A102="","",'Current Char Stats'!$G102)</f>
        <v>0</v>
      </c>
      <c r="I233" s="18">
        <f ca="1">IF('Current Char Stats'!$A102="","",'Current Char Stats'!$H102)</f>
        <v>0</v>
      </c>
      <c r="J233" s="18">
        <f ca="1">IF('Current Char Stats'!$A102="","",'Current Char Stats'!$I102)</f>
        <v>1</v>
      </c>
      <c r="K233" s="18">
        <f ca="1">IF('Current Char Stats'!$A102="","",'Current Char Stats'!$J102)</f>
        <v>2</v>
      </c>
      <c r="L233" s="18">
        <f ca="1">IF('Current Char Stats'!$A102="","",'Current Char Stats'!$K102)</f>
        <v>18</v>
      </c>
      <c r="M233" s="18">
        <f ca="1">IF('Current Char Stats'!$A102="","",'Current Char Stats'!$L102)</f>
        <v>0</v>
      </c>
      <c r="N233" s="18">
        <f ca="1">IF('Current Char Stats'!$A102="","",'Current Char Stats'!$M102)</f>
        <v>0</v>
      </c>
      <c r="O233" s="18">
        <f ca="1">IF('Current Char Stats'!$A102="","",'Current Char Stats'!$N102)</f>
        <v>0</v>
      </c>
      <c r="P233" s="18">
        <f ca="1">IF('Current Char Stats'!$A102="","",'Current Char Stats'!$O102)</f>
        <v>0</v>
      </c>
      <c r="Q233" s="18">
        <f ca="1">IF('Current Char Stats'!$A102="","",'Current Char Stats'!$P102)</f>
        <v>0</v>
      </c>
      <c r="R233" s="18">
        <f ca="1">IF('Current Char Stats'!$A102="","",'Current Char Stats'!$Q102)</f>
        <v>0</v>
      </c>
      <c r="S233" s="18">
        <f ca="1">IF('Current Char Stats'!$A102="","",'Current Char Stats'!$R102)</f>
        <v>0</v>
      </c>
      <c r="T233" s="18">
        <f ca="1">IF('Current Char Stats'!$A102="","",'Current Char Stats'!$S102)</f>
        <v>0</v>
      </c>
      <c r="U233" s="18">
        <f ca="1">IF('Current Char Stats'!$A102="","",'Current Char Stats'!$T102)</f>
        <v>0</v>
      </c>
      <c r="V233" s="18">
        <f ca="1">IF('Current Char Stats'!$A102="","",'Current Char Stats'!$U102)</f>
        <v>0</v>
      </c>
      <c r="W233" s="18">
        <f ca="1">IF('Current Char Stats'!$A102="","",'Current Char Stats'!$V102)</f>
        <v>2</v>
      </c>
      <c r="X233" s="18">
        <f ca="1">IF('Current Char Stats'!$A102="","",'Current Char Stats'!$W102)</f>
        <v>2</v>
      </c>
      <c r="Y233" s="18">
        <f ca="1">IF('Current Char Stats'!$A102="","",'Current Char Stats'!$X102)</f>
        <v>0</v>
      </c>
      <c r="Z233" s="18">
        <f ca="1">IF('Current Char Stats'!$A102="","",'Current Char Stats'!$Y102)</f>
        <v>1</v>
      </c>
      <c r="AA233" s="18">
        <f ca="1">IF('Current Char Stats'!$A102="","",'Current Char Stats'!$Z102)</f>
        <v>1</v>
      </c>
      <c r="AB233" s="18">
        <f ca="1">IF('Current Char Stats'!$A102="","",'Current Char Stats'!$AA102)</f>
        <v>0</v>
      </c>
      <c r="AC233" s="18">
        <f ca="1">IF('Current Char Stats'!$A102="","",'Current Char Stats'!$AB102)</f>
        <v>0</v>
      </c>
      <c r="AD233" s="18">
        <f ca="1">IF('Current Char Stats'!$A102="","",'Current Char Stats'!$AC102)</f>
        <v>0</v>
      </c>
      <c r="AE233" s="18">
        <f ca="1">IF('Current Char Stats'!$A102="","",'Current Char Stats'!$AD102)</f>
        <v>0</v>
      </c>
      <c r="AF233" s="18">
        <f ca="1">IF('Current Char Stats'!$A102="","",'Current Char Stats'!$AE102)</f>
        <v>5</v>
      </c>
    </row>
    <row r="234" spans="1:32">
      <c r="A234" s="18">
        <f ca="1">IF('Current Char Stats'!$A103="","",Settings!$B$2)</f>
        <v>1</v>
      </c>
      <c r="B234" s="117" t="str">
        <f ca="1">IF('Current Char Stats'!$A103="","",'Current Char Stats'!$A103)</f>
        <v>Donovan</v>
      </c>
      <c r="C234" s="18" t="str">
        <f ca="1">IF('Current Char Stats'!$A103="","",'Current Char Stats'!$B103)</f>
        <v>Donkey Kong</v>
      </c>
      <c r="D234" s="18" t="str">
        <f ca="1">IF('Current Char Stats'!$A103="","",'Current Char Stats'!$C103)</f>
        <v>G6</v>
      </c>
      <c r="E234" s="18">
        <f ca="1">IF('Current Char Stats'!$A103="","",'Current Char Stats'!$D103)</f>
        <v>0</v>
      </c>
      <c r="F234" s="18">
        <f ca="1">IF('Current Char Stats'!$A103="","",'Current Char Stats'!$E103)</f>
        <v>0</v>
      </c>
      <c r="G234" s="18">
        <f ca="1">IF('Current Char Stats'!$A103="","",'Current Char Stats'!$F103)</f>
        <v>0</v>
      </c>
      <c r="H234" s="18">
        <f ca="1">IF('Current Char Stats'!$A103="","",'Current Char Stats'!$G103)</f>
        <v>0</v>
      </c>
      <c r="I234" s="18">
        <f ca="1">IF('Current Char Stats'!$A103="","",'Current Char Stats'!$H103)</f>
        <v>0</v>
      </c>
      <c r="J234" s="18">
        <f ca="1">IF('Current Char Stats'!$A103="","",'Current Char Stats'!$I103)</f>
        <v>0.1</v>
      </c>
      <c r="K234" s="18">
        <f ca="1">IF('Current Char Stats'!$A103="","",'Current Char Stats'!$J103)</f>
        <v>0</v>
      </c>
      <c r="L234" s="18">
        <f ca="1">IF('Current Char Stats'!$A103="","",'Current Char Stats'!$K103)</f>
        <v>0</v>
      </c>
      <c r="M234" s="18">
        <f ca="1">IF('Current Char Stats'!$A103="","",'Current Char Stats'!$L103)</f>
        <v>0</v>
      </c>
      <c r="N234" s="18">
        <f ca="1">IF('Current Char Stats'!$A103="","",'Current Char Stats'!$M103)</f>
        <v>0</v>
      </c>
      <c r="O234" s="18">
        <f ca="1">IF('Current Char Stats'!$A103="","",'Current Char Stats'!$N103)</f>
        <v>2</v>
      </c>
      <c r="P234" s="18">
        <f ca="1">IF('Current Char Stats'!$A103="","",'Current Char Stats'!$O103)</f>
        <v>1</v>
      </c>
      <c r="Q234" s="18">
        <f ca="1">IF('Current Char Stats'!$A103="","",'Current Char Stats'!$P103)</f>
        <v>0</v>
      </c>
      <c r="R234" s="18">
        <f ca="1">IF('Current Char Stats'!$A103="","",'Current Char Stats'!$Q103)</f>
        <v>0</v>
      </c>
      <c r="S234" s="18">
        <f ca="1">IF('Current Char Stats'!$A103="","",'Current Char Stats'!$R103)</f>
        <v>0</v>
      </c>
      <c r="T234" s="18">
        <f ca="1">IF('Current Char Stats'!$A103="","",'Current Char Stats'!$S103)</f>
        <v>0</v>
      </c>
      <c r="U234" s="18">
        <f ca="1">IF('Current Char Stats'!$A103="","",'Current Char Stats'!$T103)</f>
        <v>0</v>
      </c>
      <c r="V234" s="18">
        <f ca="1">IF('Current Char Stats'!$A103="","",'Current Char Stats'!$U103)</f>
        <v>0</v>
      </c>
      <c r="W234" s="18">
        <f ca="1">IF('Current Char Stats'!$A103="","",'Current Char Stats'!$V103)</f>
        <v>2</v>
      </c>
      <c r="X234" s="18">
        <f ca="1">IF('Current Char Stats'!$A103="","",'Current Char Stats'!$W103)</f>
        <v>0</v>
      </c>
      <c r="Y234" s="18">
        <f ca="1">IF('Current Char Stats'!$A103="","",'Current Char Stats'!$X103)</f>
        <v>0</v>
      </c>
      <c r="Z234" s="18">
        <f ca="1">IF('Current Char Stats'!$A103="","",'Current Char Stats'!$Y103)</f>
        <v>0</v>
      </c>
      <c r="AA234" s="18">
        <f ca="1">IF('Current Char Stats'!$A103="","",'Current Char Stats'!$Z103)</f>
        <v>0</v>
      </c>
      <c r="AB234" s="18">
        <f ca="1">IF('Current Char Stats'!$A103="","",'Current Char Stats'!$AA103)</f>
        <v>0</v>
      </c>
      <c r="AC234" s="18">
        <f ca="1">IF('Current Char Stats'!$A103="","",'Current Char Stats'!$AB103)</f>
        <v>0</v>
      </c>
      <c r="AD234" s="18">
        <f ca="1">IF('Current Char Stats'!$A103="","",'Current Char Stats'!$AC103)</f>
        <v>0</v>
      </c>
      <c r="AE234" s="18">
        <f ca="1">IF('Current Char Stats'!$A103="","",'Current Char Stats'!$AD103)</f>
        <v>0</v>
      </c>
      <c r="AF234" s="18">
        <f ca="1">IF('Current Char Stats'!$A103="","",'Current Char Stats'!$AE103)</f>
        <v>3</v>
      </c>
    </row>
    <row r="235" spans="1:32">
      <c r="A235" s="18">
        <f ca="1">IF('Current Char Stats'!$A104="","",Settings!$B$2)</f>
        <v>1</v>
      </c>
      <c r="B235" s="117" t="str">
        <f ca="1">IF('Current Char Stats'!$A104="","",'Current Char Stats'!$A104)</f>
        <v>Donovan</v>
      </c>
      <c r="C235" s="18" t="str">
        <f ca="1">IF('Current Char Stats'!$A104="","",'Current Char Stats'!$B104)</f>
        <v>Waluigi</v>
      </c>
      <c r="D235" s="18" t="str">
        <f ca="1">IF('Current Char Stats'!$A104="","",'Current Char Stats'!$C104)</f>
        <v>G6</v>
      </c>
      <c r="E235" s="18">
        <f ca="1">IF('Current Char Stats'!$A104="","",'Current Char Stats'!$D104)</f>
        <v>0</v>
      </c>
      <c r="F235" s="18">
        <f ca="1">IF('Current Char Stats'!$A104="","",'Current Char Stats'!$E104)</f>
        <v>0</v>
      </c>
      <c r="G235" s="18">
        <f ca="1">IF('Current Char Stats'!$A104="","",'Current Char Stats'!$F104)</f>
        <v>0</v>
      </c>
      <c r="H235" s="18">
        <f ca="1">IF('Current Char Stats'!$A104="","",'Current Char Stats'!$G104)</f>
        <v>0</v>
      </c>
      <c r="I235" s="18">
        <f ca="1">IF('Current Char Stats'!$A104="","",'Current Char Stats'!$H104)</f>
        <v>0</v>
      </c>
      <c r="J235" s="18">
        <f ca="1">IF('Current Char Stats'!$A104="","",'Current Char Stats'!$I104)</f>
        <v>2.2000000000000002</v>
      </c>
      <c r="K235" s="18">
        <f ca="1">IF('Current Char Stats'!$A104="","",'Current Char Stats'!$J104)</f>
        <v>1</v>
      </c>
      <c r="L235" s="18">
        <f ca="1">IF('Current Char Stats'!$A104="","",'Current Char Stats'!$K104)</f>
        <v>3.375</v>
      </c>
      <c r="M235" s="18">
        <f ca="1">IF('Current Char Stats'!$A104="","",'Current Char Stats'!$L104)</f>
        <v>0</v>
      </c>
      <c r="N235" s="18">
        <f ca="1">IF('Current Char Stats'!$A104="","",'Current Char Stats'!$M104)</f>
        <v>0</v>
      </c>
      <c r="O235" s="18">
        <f ca="1">IF('Current Char Stats'!$A104="","",'Current Char Stats'!$N104)</f>
        <v>0</v>
      </c>
      <c r="P235" s="18">
        <f ca="1">IF('Current Char Stats'!$A104="","",'Current Char Stats'!$O104)</f>
        <v>0</v>
      </c>
      <c r="Q235" s="18">
        <f ca="1">IF('Current Char Stats'!$A104="","",'Current Char Stats'!$P104)</f>
        <v>0</v>
      </c>
      <c r="R235" s="18">
        <f ca="1">IF('Current Char Stats'!$A104="","",'Current Char Stats'!$Q104)</f>
        <v>0</v>
      </c>
      <c r="S235" s="18">
        <f ca="1">IF('Current Char Stats'!$A104="","",'Current Char Stats'!$R104)</f>
        <v>1</v>
      </c>
      <c r="T235" s="18">
        <f ca="1">IF('Current Char Stats'!$A104="","",'Current Char Stats'!$S104)</f>
        <v>0</v>
      </c>
      <c r="U235" s="18">
        <f ca="1">IF('Current Char Stats'!$A104="","",'Current Char Stats'!$T104)</f>
        <v>0</v>
      </c>
      <c r="V235" s="18">
        <f ca="1">IF('Current Char Stats'!$A104="","",'Current Char Stats'!$U104)</f>
        <v>0</v>
      </c>
      <c r="W235" s="18">
        <f ca="1">IF('Current Char Stats'!$A104="","",'Current Char Stats'!$V104)</f>
        <v>2</v>
      </c>
      <c r="X235" s="18">
        <f ca="1">IF('Current Char Stats'!$A104="","",'Current Char Stats'!$W104)</f>
        <v>1</v>
      </c>
      <c r="Y235" s="18">
        <f ca="1">IF('Current Char Stats'!$A104="","",'Current Char Stats'!$X104)</f>
        <v>0</v>
      </c>
      <c r="Z235" s="18">
        <f ca="1">IF('Current Char Stats'!$A104="","",'Current Char Stats'!$Y104)</f>
        <v>3</v>
      </c>
      <c r="AA235" s="18">
        <f ca="1">IF('Current Char Stats'!$A104="","",'Current Char Stats'!$Z104)</f>
        <v>1</v>
      </c>
      <c r="AB235" s="18">
        <f ca="1">IF('Current Char Stats'!$A104="","",'Current Char Stats'!$AA104)</f>
        <v>0</v>
      </c>
      <c r="AC235" s="18">
        <f ca="1">IF('Current Char Stats'!$A104="","",'Current Char Stats'!$AB104)</f>
        <v>0</v>
      </c>
      <c r="AD235" s="18">
        <f ca="1">IF('Current Char Stats'!$A104="","",'Current Char Stats'!$AC104)</f>
        <v>0</v>
      </c>
      <c r="AE235" s="18">
        <f ca="1">IF('Current Char Stats'!$A104="","",'Current Char Stats'!$AD104)</f>
        <v>0</v>
      </c>
      <c r="AF235" s="18">
        <f ca="1">IF('Current Char Stats'!$A104="","",'Current Char Stats'!$AE104)</f>
        <v>10</v>
      </c>
    </row>
    <row r="236" spans="1:32">
      <c r="A236" s="18">
        <f ca="1">IF('Current Char Stats'!$A105="","",Settings!$B$2)</f>
        <v>1</v>
      </c>
      <c r="B236" s="117" t="str">
        <f ca="1">IF('Current Char Stats'!$A105="","",'Current Char Stats'!$A105)</f>
        <v>Donovan</v>
      </c>
      <c r="C236" s="18" t="str">
        <f ca="1">IF('Current Char Stats'!$A105="","",'Current Char Stats'!$B105)</f>
        <v>Dry Bones</v>
      </c>
      <c r="D236" s="18" t="str">
        <f ca="1">IF('Current Char Stats'!$A105="","",'Current Char Stats'!$C105)</f>
        <v>G6</v>
      </c>
      <c r="E236" s="18">
        <f ca="1">IF('Current Char Stats'!$A105="","",'Current Char Stats'!$D105)</f>
        <v>0</v>
      </c>
      <c r="F236" s="18">
        <f ca="1">IF('Current Char Stats'!$A105="","",'Current Char Stats'!$E105)</f>
        <v>0</v>
      </c>
      <c r="G236" s="18">
        <f ca="1">IF('Current Char Stats'!$A105="","",'Current Char Stats'!$F105)</f>
        <v>0</v>
      </c>
      <c r="H236" s="18">
        <f ca="1">IF('Current Char Stats'!$A105="","",'Current Char Stats'!$G105)</f>
        <v>0</v>
      </c>
      <c r="I236" s="18">
        <f ca="1">IF('Current Char Stats'!$A105="","",'Current Char Stats'!$H105)</f>
        <v>0</v>
      </c>
      <c r="J236" s="18">
        <f ca="1">IF('Current Char Stats'!$A105="","",'Current Char Stats'!$I105)</f>
        <v>0</v>
      </c>
      <c r="K236" s="18">
        <f ca="1">IF('Current Char Stats'!$A105="","",'Current Char Stats'!$J105)</f>
        <v>0</v>
      </c>
      <c r="L236" s="18" t="str">
        <f ca="1">IF('Current Char Stats'!$A105="","",'Current Char Stats'!$K105)</f>
        <v/>
      </c>
      <c r="M236" s="18">
        <f ca="1">IF('Current Char Stats'!$A105="","",'Current Char Stats'!$L105)</f>
        <v>1</v>
      </c>
      <c r="N236" s="18">
        <f ca="1">IF('Current Char Stats'!$A105="","",'Current Char Stats'!$M105)</f>
        <v>0</v>
      </c>
      <c r="O236" s="18">
        <f ca="1">IF('Current Char Stats'!$A105="","",'Current Char Stats'!$N105)</f>
        <v>2</v>
      </c>
      <c r="P236" s="18">
        <f ca="1">IF('Current Char Stats'!$A105="","",'Current Char Stats'!$O105)</f>
        <v>0</v>
      </c>
      <c r="Q236" s="18">
        <f ca="1">IF('Current Char Stats'!$A105="","",'Current Char Stats'!$P105)</f>
        <v>0</v>
      </c>
      <c r="R236" s="18">
        <f ca="1">IF('Current Char Stats'!$A105="","",'Current Char Stats'!$Q105)</f>
        <v>0</v>
      </c>
      <c r="S236" s="18">
        <f ca="1">IF('Current Char Stats'!$A105="","",'Current Char Stats'!$R105)</f>
        <v>0</v>
      </c>
      <c r="T236" s="18">
        <f ca="1">IF('Current Char Stats'!$A105="","",'Current Char Stats'!$S105)</f>
        <v>0</v>
      </c>
      <c r="U236" s="18">
        <f ca="1">IF('Current Char Stats'!$A105="","",'Current Char Stats'!$T105)</f>
        <v>0</v>
      </c>
      <c r="V236" s="18">
        <f ca="1">IF('Current Char Stats'!$A105="","",'Current Char Stats'!$U105)</f>
        <v>0</v>
      </c>
      <c r="W236" s="18">
        <f ca="1">IF('Current Char Stats'!$A105="","",'Current Char Stats'!$V105)</f>
        <v>0</v>
      </c>
      <c r="X236" s="18">
        <f ca="1">IF('Current Char Stats'!$A105="","",'Current Char Stats'!$W105)</f>
        <v>0</v>
      </c>
      <c r="Y236" s="18">
        <f ca="1">IF('Current Char Stats'!$A105="","",'Current Char Stats'!$X105)</f>
        <v>0</v>
      </c>
      <c r="Z236" s="18">
        <f ca="1">IF('Current Char Stats'!$A105="","",'Current Char Stats'!$Y105)</f>
        <v>0</v>
      </c>
      <c r="AA236" s="18">
        <f ca="1">IF('Current Char Stats'!$A105="","",'Current Char Stats'!$Z105)</f>
        <v>0</v>
      </c>
      <c r="AB236" s="18">
        <f ca="1">IF('Current Char Stats'!$A105="","",'Current Char Stats'!$AA105)</f>
        <v>0</v>
      </c>
      <c r="AC236" s="18">
        <f ca="1">IF('Current Char Stats'!$A105="","",'Current Char Stats'!$AB105)</f>
        <v>0</v>
      </c>
      <c r="AD236" s="18">
        <f ca="1">IF('Current Char Stats'!$A105="","",'Current Char Stats'!$AC105)</f>
        <v>0</v>
      </c>
      <c r="AE236" s="18">
        <f ca="1">IF('Current Char Stats'!$A105="","",'Current Char Stats'!$AD105)</f>
        <v>0</v>
      </c>
      <c r="AF236" s="18">
        <f ca="1">IF('Current Char Stats'!$A105="","",'Current Char Stats'!$AE105)</f>
        <v>0</v>
      </c>
    </row>
    <row r="237" spans="1:32">
      <c r="A237" s="18">
        <f ca="1">IF('Current Char Stats'!$A106="","",Settings!$B$2)</f>
        <v>1</v>
      </c>
      <c r="B237" s="117" t="str">
        <f ca="1">IF('Current Char Stats'!$A106="","",'Current Char Stats'!$A106)</f>
        <v>Donovan</v>
      </c>
      <c r="C237" s="18" t="str">
        <f ca="1">IF('Current Char Stats'!$A106="","",'Current Char Stats'!$B106)</f>
        <v>Diddy Kong</v>
      </c>
      <c r="D237" s="18" t="str">
        <f ca="1">IF('Current Char Stats'!$A106="","",'Current Char Stats'!$C106)</f>
        <v>G6</v>
      </c>
      <c r="E237" s="18">
        <f ca="1">IF('Current Char Stats'!$A106="","",'Current Char Stats'!$D106)</f>
        <v>0</v>
      </c>
      <c r="F237" s="18">
        <f ca="1">IF('Current Char Stats'!$A106="","",'Current Char Stats'!$E106)</f>
        <v>0</v>
      </c>
      <c r="G237" s="18">
        <f ca="1">IF('Current Char Stats'!$A106="","",'Current Char Stats'!$F106)</f>
        <v>0</v>
      </c>
      <c r="H237" s="18">
        <f ca="1">IF('Current Char Stats'!$A106="","",'Current Char Stats'!$G106)</f>
        <v>0</v>
      </c>
      <c r="I237" s="18">
        <f ca="1">IF('Current Char Stats'!$A106="","",'Current Char Stats'!$H106)</f>
        <v>0</v>
      </c>
      <c r="J237" s="18">
        <f ca="1">IF('Current Char Stats'!$A106="","",'Current Char Stats'!$I106)</f>
        <v>0</v>
      </c>
      <c r="K237" s="18">
        <f ca="1">IF('Current Char Stats'!$A106="","",'Current Char Stats'!$J106)</f>
        <v>0</v>
      </c>
      <c r="L237" s="18" t="str">
        <f ca="1">IF('Current Char Stats'!$A106="","",'Current Char Stats'!$K106)</f>
        <v/>
      </c>
      <c r="M237" s="18">
        <f ca="1">IF('Current Char Stats'!$A106="","",'Current Char Stats'!$L106)</f>
        <v>0</v>
      </c>
      <c r="N237" s="18">
        <f ca="1">IF('Current Char Stats'!$A106="","",'Current Char Stats'!$M106)</f>
        <v>0</v>
      </c>
      <c r="O237" s="18">
        <f ca="1">IF('Current Char Stats'!$A106="","",'Current Char Stats'!$N106)</f>
        <v>0</v>
      </c>
      <c r="P237" s="18">
        <f ca="1">IF('Current Char Stats'!$A106="","",'Current Char Stats'!$O106)</f>
        <v>0</v>
      </c>
      <c r="Q237" s="18">
        <f ca="1">IF('Current Char Stats'!$A106="","",'Current Char Stats'!$P106)</f>
        <v>0</v>
      </c>
      <c r="R237" s="18">
        <f ca="1">IF('Current Char Stats'!$A106="","",'Current Char Stats'!$Q106)</f>
        <v>0</v>
      </c>
      <c r="S237" s="18">
        <f ca="1">IF('Current Char Stats'!$A106="","",'Current Char Stats'!$R106)</f>
        <v>1</v>
      </c>
      <c r="T237" s="18">
        <f ca="1">IF('Current Char Stats'!$A106="","",'Current Char Stats'!$S106)</f>
        <v>0</v>
      </c>
      <c r="U237" s="18">
        <f ca="1">IF('Current Char Stats'!$A106="","",'Current Char Stats'!$T106)</f>
        <v>0</v>
      </c>
      <c r="V237" s="18">
        <f ca="1">IF('Current Char Stats'!$A106="","",'Current Char Stats'!$U106)</f>
        <v>0</v>
      </c>
      <c r="W237" s="18">
        <f ca="1">IF('Current Char Stats'!$A106="","",'Current Char Stats'!$V106)</f>
        <v>0</v>
      </c>
      <c r="X237" s="18">
        <f ca="1">IF('Current Char Stats'!$A106="","",'Current Char Stats'!$W106)</f>
        <v>0</v>
      </c>
      <c r="Y237" s="18">
        <f ca="1">IF('Current Char Stats'!$A106="","",'Current Char Stats'!$X106)</f>
        <v>0</v>
      </c>
      <c r="Z237" s="18">
        <f ca="1">IF('Current Char Stats'!$A106="","",'Current Char Stats'!$Y106)</f>
        <v>0</v>
      </c>
      <c r="AA237" s="18">
        <f ca="1">IF('Current Char Stats'!$A106="","",'Current Char Stats'!$Z106)</f>
        <v>0</v>
      </c>
      <c r="AB237" s="18">
        <f ca="1">IF('Current Char Stats'!$A106="","",'Current Char Stats'!$AA106)</f>
        <v>0</v>
      </c>
      <c r="AC237" s="18">
        <f ca="1">IF('Current Char Stats'!$A106="","",'Current Char Stats'!$AB106)</f>
        <v>0</v>
      </c>
      <c r="AD237" s="18">
        <f ca="1">IF('Current Char Stats'!$A106="","",'Current Char Stats'!$AC106)</f>
        <v>0</v>
      </c>
      <c r="AE237" s="18">
        <f ca="1">IF('Current Char Stats'!$A106="","",'Current Char Stats'!$AD106)</f>
        <v>0</v>
      </c>
      <c r="AF237" s="18">
        <f ca="1">IF('Current Char Stats'!$A106="","",'Current Char Stats'!$AE106)</f>
        <v>0</v>
      </c>
    </row>
    <row r="238" spans="1:32">
      <c r="A238" s="18">
        <f ca="1">IF('Current Char Stats'!$A107="","",Settings!$B$2)</f>
        <v>1</v>
      </c>
      <c r="B238" s="117" t="str">
        <f ca="1">IF('Current Char Stats'!$A107="","",'Current Char Stats'!$A107)</f>
        <v>Donovan</v>
      </c>
      <c r="C238" s="18" t="str">
        <f ca="1">IF('Current Char Stats'!$A107="","",'Current Char Stats'!$B107)</f>
        <v>Fire Bro</v>
      </c>
      <c r="D238" s="18" t="str">
        <f ca="1">IF('Current Char Stats'!$A107="","",'Current Char Stats'!$C107)</f>
        <v>G6</v>
      </c>
      <c r="E238" s="18">
        <f ca="1">IF('Current Char Stats'!$A107="","",'Current Char Stats'!$D107)</f>
        <v>0</v>
      </c>
      <c r="F238" s="18">
        <f ca="1">IF('Current Char Stats'!$A107="","",'Current Char Stats'!$E107)</f>
        <v>0</v>
      </c>
      <c r="G238" s="18">
        <f ca="1">IF('Current Char Stats'!$A107="","",'Current Char Stats'!$F107)</f>
        <v>0</v>
      </c>
      <c r="H238" s="18">
        <f ca="1">IF('Current Char Stats'!$A107="","",'Current Char Stats'!$G107)</f>
        <v>0</v>
      </c>
      <c r="I238" s="18">
        <f ca="1">IF('Current Char Stats'!$A107="","",'Current Char Stats'!$H107)</f>
        <v>0</v>
      </c>
      <c r="J238" s="18">
        <f ca="1">IF('Current Char Stats'!$A107="","",'Current Char Stats'!$I107)</f>
        <v>0</v>
      </c>
      <c r="K238" s="18">
        <f ca="1">IF('Current Char Stats'!$A107="","",'Current Char Stats'!$J107)</f>
        <v>0</v>
      </c>
      <c r="L238" s="18" t="str">
        <f ca="1">IF('Current Char Stats'!$A107="","",'Current Char Stats'!$K107)</f>
        <v/>
      </c>
      <c r="M238" s="18">
        <f ca="1">IF('Current Char Stats'!$A107="","",'Current Char Stats'!$L107)</f>
        <v>0</v>
      </c>
      <c r="N238" s="18">
        <f ca="1">IF('Current Char Stats'!$A107="","",'Current Char Stats'!$M107)</f>
        <v>0</v>
      </c>
      <c r="O238" s="18">
        <f ca="1">IF('Current Char Stats'!$A107="","",'Current Char Stats'!$N107)</f>
        <v>0</v>
      </c>
      <c r="P238" s="18">
        <f ca="1">IF('Current Char Stats'!$A107="","",'Current Char Stats'!$O107)</f>
        <v>0</v>
      </c>
      <c r="Q238" s="18">
        <f ca="1">IF('Current Char Stats'!$A107="","",'Current Char Stats'!$P107)</f>
        <v>0</v>
      </c>
      <c r="R238" s="18">
        <f ca="1">IF('Current Char Stats'!$A107="","",'Current Char Stats'!$Q107)</f>
        <v>0</v>
      </c>
      <c r="S238" s="18">
        <f ca="1">IF('Current Char Stats'!$A107="","",'Current Char Stats'!$R107)</f>
        <v>1</v>
      </c>
      <c r="T238" s="18">
        <f ca="1">IF('Current Char Stats'!$A107="","",'Current Char Stats'!$S107)</f>
        <v>0</v>
      </c>
      <c r="U238" s="18">
        <f ca="1">IF('Current Char Stats'!$A107="","",'Current Char Stats'!$T107)</f>
        <v>0</v>
      </c>
      <c r="V238" s="18">
        <f ca="1">IF('Current Char Stats'!$A107="","",'Current Char Stats'!$U107)</f>
        <v>0</v>
      </c>
      <c r="W238" s="18">
        <f ca="1">IF('Current Char Stats'!$A107="","",'Current Char Stats'!$V107)</f>
        <v>0</v>
      </c>
      <c r="X238" s="18">
        <f ca="1">IF('Current Char Stats'!$A107="","",'Current Char Stats'!$W107)</f>
        <v>0</v>
      </c>
      <c r="Y238" s="18">
        <f ca="1">IF('Current Char Stats'!$A107="","",'Current Char Stats'!$X107)</f>
        <v>0</v>
      </c>
      <c r="Z238" s="18">
        <f ca="1">IF('Current Char Stats'!$A107="","",'Current Char Stats'!$Y107)</f>
        <v>0</v>
      </c>
      <c r="AA238" s="18">
        <f ca="1">IF('Current Char Stats'!$A107="","",'Current Char Stats'!$Z107)</f>
        <v>0</v>
      </c>
      <c r="AB238" s="18">
        <f ca="1">IF('Current Char Stats'!$A107="","",'Current Char Stats'!$AA107)</f>
        <v>0</v>
      </c>
      <c r="AC238" s="18">
        <f ca="1">IF('Current Char Stats'!$A107="","",'Current Char Stats'!$AB107)</f>
        <v>0</v>
      </c>
      <c r="AD238" s="18">
        <f ca="1">IF('Current Char Stats'!$A107="","",'Current Char Stats'!$AC107)</f>
        <v>0</v>
      </c>
      <c r="AE238" s="18">
        <f ca="1">IF('Current Char Stats'!$A107="","",'Current Char Stats'!$AD107)</f>
        <v>0</v>
      </c>
      <c r="AF238" s="18">
        <f ca="1">IF('Current Char Stats'!$A107="","",'Current Char Stats'!$AE107)</f>
        <v>0</v>
      </c>
    </row>
    <row r="239" spans="1:32">
      <c r="A239" s="18">
        <f ca="1">IF('Current Char Stats'!$A108="","",Settings!$B$2)</f>
        <v>1</v>
      </c>
      <c r="B239" s="117" t="str">
        <f ca="1">IF('Current Char Stats'!$A108="","",'Current Char Stats'!$A108)</f>
        <v>Donovan</v>
      </c>
      <c r="C239" s="18" t="str">
        <f ca="1">IF('Current Char Stats'!$A108="","",'Current Char Stats'!$B108)</f>
        <v>Tiny Kong</v>
      </c>
      <c r="D239" s="18" t="str">
        <f ca="1">IF('Current Char Stats'!$A108="","",'Current Char Stats'!$C108)</f>
        <v>G6</v>
      </c>
      <c r="E239" s="18">
        <f ca="1">IF('Current Char Stats'!$A108="","",'Current Char Stats'!$D108)</f>
        <v>0</v>
      </c>
      <c r="F239" s="18">
        <f ca="1">IF('Current Char Stats'!$A108="","",'Current Char Stats'!$E108)</f>
        <v>0</v>
      </c>
      <c r="G239" s="18">
        <f ca="1">IF('Current Char Stats'!$A108="","",'Current Char Stats'!$F108)</f>
        <v>0</v>
      </c>
      <c r="H239" s="18">
        <f ca="1">IF('Current Char Stats'!$A108="","",'Current Char Stats'!$G108)</f>
        <v>0</v>
      </c>
      <c r="I239" s="18">
        <f ca="1">IF('Current Char Stats'!$A108="","",'Current Char Stats'!$H108)</f>
        <v>0</v>
      </c>
      <c r="J239" s="18">
        <f ca="1">IF('Current Char Stats'!$A108="","",'Current Char Stats'!$I108)</f>
        <v>0</v>
      </c>
      <c r="K239" s="18">
        <f ca="1">IF('Current Char Stats'!$A108="","",'Current Char Stats'!$J108)</f>
        <v>0</v>
      </c>
      <c r="L239" s="18" t="str">
        <f ca="1">IF('Current Char Stats'!$A108="","",'Current Char Stats'!$K108)</f>
        <v/>
      </c>
      <c r="M239" s="18">
        <f ca="1">IF('Current Char Stats'!$A108="","",'Current Char Stats'!$L108)</f>
        <v>0</v>
      </c>
      <c r="N239" s="18">
        <f ca="1">IF('Current Char Stats'!$A108="","",'Current Char Stats'!$M108)</f>
        <v>0</v>
      </c>
      <c r="O239" s="18">
        <f ca="1">IF('Current Char Stats'!$A108="","",'Current Char Stats'!$N108)</f>
        <v>0</v>
      </c>
      <c r="P239" s="18">
        <f ca="1">IF('Current Char Stats'!$A108="","",'Current Char Stats'!$O108)</f>
        <v>0</v>
      </c>
      <c r="Q239" s="18">
        <f ca="1">IF('Current Char Stats'!$A108="","",'Current Char Stats'!$P108)</f>
        <v>0</v>
      </c>
      <c r="R239" s="18">
        <f ca="1">IF('Current Char Stats'!$A108="","",'Current Char Stats'!$Q108)</f>
        <v>0</v>
      </c>
      <c r="S239" s="18">
        <f ca="1">IF('Current Char Stats'!$A108="","",'Current Char Stats'!$R108)</f>
        <v>1</v>
      </c>
      <c r="T239" s="18">
        <f ca="1">IF('Current Char Stats'!$A108="","",'Current Char Stats'!$S108)</f>
        <v>0</v>
      </c>
      <c r="U239" s="18">
        <f ca="1">IF('Current Char Stats'!$A108="","",'Current Char Stats'!$T108)</f>
        <v>0</v>
      </c>
      <c r="V239" s="18">
        <f ca="1">IF('Current Char Stats'!$A108="","",'Current Char Stats'!$U108)</f>
        <v>0</v>
      </c>
      <c r="W239" s="18">
        <f ca="1">IF('Current Char Stats'!$A108="","",'Current Char Stats'!$V108)</f>
        <v>0</v>
      </c>
      <c r="X239" s="18">
        <f ca="1">IF('Current Char Stats'!$A108="","",'Current Char Stats'!$W108)</f>
        <v>0</v>
      </c>
      <c r="Y239" s="18">
        <f ca="1">IF('Current Char Stats'!$A108="","",'Current Char Stats'!$X108)</f>
        <v>0</v>
      </c>
      <c r="Z239" s="18">
        <f ca="1">IF('Current Char Stats'!$A108="","",'Current Char Stats'!$Y108)</f>
        <v>0</v>
      </c>
      <c r="AA239" s="18">
        <f ca="1">IF('Current Char Stats'!$A108="","",'Current Char Stats'!$Z108)</f>
        <v>0</v>
      </c>
      <c r="AB239" s="18">
        <f ca="1">IF('Current Char Stats'!$A108="","",'Current Char Stats'!$AA108)</f>
        <v>0</v>
      </c>
      <c r="AC239" s="18">
        <f ca="1">IF('Current Char Stats'!$A108="","",'Current Char Stats'!$AB108)</f>
        <v>0</v>
      </c>
      <c r="AD239" s="18">
        <f ca="1">IF('Current Char Stats'!$A108="","",'Current Char Stats'!$AC108)</f>
        <v>0</v>
      </c>
      <c r="AE239" s="18">
        <f ca="1">IF('Current Char Stats'!$A108="","",'Current Char Stats'!$AD108)</f>
        <v>0</v>
      </c>
      <c r="AF239" s="18">
        <f ca="1">IF('Current Char Stats'!$A108="","",'Current Char Stats'!$AE108)</f>
        <v>0</v>
      </c>
    </row>
    <row r="240" spans="1:32">
      <c r="A240" s="18">
        <f ca="1">IF('Current Char Stats'!$A109="","",Settings!$B$2)</f>
        <v>1</v>
      </c>
      <c r="B240" s="117" t="str">
        <f ca="1">IF('Current Char Stats'!$A109="","",'Current Char Stats'!$A109)</f>
        <v>Donovan</v>
      </c>
      <c r="C240" s="18" t="str">
        <f ca="1">IF('Current Char Stats'!$A109="","",'Current Char Stats'!$B109)</f>
        <v>Baby DK</v>
      </c>
      <c r="D240" s="18" t="str">
        <f ca="1">IF('Current Char Stats'!$A109="","",'Current Char Stats'!$C109)</f>
        <v>G6</v>
      </c>
      <c r="E240" s="18">
        <f ca="1">IF('Current Char Stats'!$A109="","",'Current Char Stats'!$D109)</f>
        <v>0</v>
      </c>
      <c r="F240" s="18">
        <f ca="1">IF('Current Char Stats'!$A109="","",'Current Char Stats'!$E109)</f>
        <v>0</v>
      </c>
      <c r="G240" s="18">
        <f ca="1">IF('Current Char Stats'!$A109="","",'Current Char Stats'!$F109)</f>
        <v>0</v>
      </c>
      <c r="H240" s="18">
        <f ca="1">IF('Current Char Stats'!$A109="","",'Current Char Stats'!$G109)</f>
        <v>0</v>
      </c>
      <c r="I240" s="18">
        <f ca="1">IF('Current Char Stats'!$A109="","",'Current Char Stats'!$H109)</f>
        <v>0</v>
      </c>
      <c r="J240" s="18">
        <f ca="1">IF('Current Char Stats'!$A109="","",'Current Char Stats'!$I109)</f>
        <v>0</v>
      </c>
      <c r="K240" s="18">
        <f ca="1">IF('Current Char Stats'!$A109="","",'Current Char Stats'!$J109)</f>
        <v>0</v>
      </c>
      <c r="L240" s="18" t="str">
        <f ca="1">IF('Current Char Stats'!$A109="","",'Current Char Stats'!$K109)</f>
        <v/>
      </c>
      <c r="M240" s="18">
        <f ca="1">IF('Current Char Stats'!$A109="","",'Current Char Stats'!$L109)</f>
        <v>0</v>
      </c>
      <c r="N240" s="18">
        <f ca="1">IF('Current Char Stats'!$A109="","",'Current Char Stats'!$M109)</f>
        <v>0</v>
      </c>
      <c r="O240" s="18">
        <f ca="1">IF('Current Char Stats'!$A109="","",'Current Char Stats'!$N109)</f>
        <v>0</v>
      </c>
      <c r="P240" s="18">
        <f ca="1">IF('Current Char Stats'!$A109="","",'Current Char Stats'!$O109)</f>
        <v>0</v>
      </c>
      <c r="Q240" s="18">
        <f ca="1">IF('Current Char Stats'!$A109="","",'Current Char Stats'!$P109)</f>
        <v>0</v>
      </c>
      <c r="R240" s="18">
        <f ca="1">IF('Current Char Stats'!$A109="","",'Current Char Stats'!$Q109)</f>
        <v>0</v>
      </c>
      <c r="S240" s="18">
        <f ca="1">IF('Current Char Stats'!$A109="","",'Current Char Stats'!$R109)</f>
        <v>1</v>
      </c>
      <c r="T240" s="18">
        <f ca="1">IF('Current Char Stats'!$A109="","",'Current Char Stats'!$S109)</f>
        <v>0</v>
      </c>
      <c r="U240" s="18">
        <f ca="1">IF('Current Char Stats'!$A109="","",'Current Char Stats'!$T109)</f>
        <v>0</v>
      </c>
      <c r="V240" s="18">
        <f ca="1">IF('Current Char Stats'!$A109="","",'Current Char Stats'!$U109)</f>
        <v>0</v>
      </c>
      <c r="W240" s="18">
        <f ca="1">IF('Current Char Stats'!$A109="","",'Current Char Stats'!$V109)</f>
        <v>0</v>
      </c>
      <c r="X240" s="18">
        <f ca="1">IF('Current Char Stats'!$A109="","",'Current Char Stats'!$W109)</f>
        <v>0</v>
      </c>
      <c r="Y240" s="18">
        <f ca="1">IF('Current Char Stats'!$A109="","",'Current Char Stats'!$X109)</f>
        <v>0</v>
      </c>
      <c r="Z240" s="18">
        <f ca="1">IF('Current Char Stats'!$A109="","",'Current Char Stats'!$Y109)</f>
        <v>0</v>
      </c>
      <c r="AA240" s="18">
        <f ca="1">IF('Current Char Stats'!$A109="","",'Current Char Stats'!$Z109)</f>
        <v>0</v>
      </c>
      <c r="AB240" s="18">
        <f ca="1">IF('Current Char Stats'!$A109="","",'Current Char Stats'!$AA109)</f>
        <v>0</v>
      </c>
      <c r="AC240" s="18">
        <f ca="1">IF('Current Char Stats'!$A109="","",'Current Char Stats'!$AB109)</f>
        <v>0</v>
      </c>
      <c r="AD240" s="18">
        <f ca="1">IF('Current Char Stats'!$A109="","",'Current Char Stats'!$AC109)</f>
        <v>0</v>
      </c>
      <c r="AE240" s="18">
        <f ca="1">IF('Current Char Stats'!$A109="","",'Current Char Stats'!$AD109)</f>
        <v>0</v>
      </c>
      <c r="AF240" s="18">
        <f ca="1">IF('Current Char Stats'!$A109="","",'Current Char Stats'!$AE109)</f>
        <v>0</v>
      </c>
    </row>
    <row r="241" spans="1:32">
      <c r="A241" s="18">
        <f ca="1">IF('Current Char Stats'!$A110="","",Settings!$B$2)</f>
        <v>1</v>
      </c>
      <c r="B241" s="117" t="str">
        <f ca="1">IF('Current Char Stats'!$A110="","",'Current Char Stats'!$A110)</f>
        <v>Donovan</v>
      </c>
      <c r="C241" s="18" t="str">
        <f ca="1">IF('Current Char Stats'!$A110="","",'Current Char Stats'!$B110)</f>
        <v>Paragoomba</v>
      </c>
      <c r="D241" s="18" t="str">
        <f ca="1">IF('Current Char Stats'!$A110="","",'Current Char Stats'!$C110)</f>
        <v>G6</v>
      </c>
      <c r="E241" s="18">
        <f ca="1">IF('Current Char Stats'!$A110="","",'Current Char Stats'!$D110)</f>
        <v>0</v>
      </c>
      <c r="F241" s="18">
        <f ca="1">IF('Current Char Stats'!$A110="","",'Current Char Stats'!$E110)</f>
        <v>0</v>
      </c>
      <c r="G241" s="18">
        <f ca="1">IF('Current Char Stats'!$A110="","",'Current Char Stats'!$F110)</f>
        <v>0</v>
      </c>
      <c r="H241" s="18">
        <f ca="1">IF('Current Char Stats'!$A110="","",'Current Char Stats'!$G110)</f>
        <v>0</v>
      </c>
      <c r="I241" s="18">
        <f ca="1">IF('Current Char Stats'!$A110="","",'Current Char Stats'!$H110)</f>
        <v>0</v>
      </c>
      <c r="J241" s="18">
        <f ca="1">IF('Current Char Stats'!$A110="","",'Current Char Stats'!$I110)</f>
        <v>0</v>
      </c>
      <c r="K241" s="18">
        <f ca="1">IF('Current Char Stats'!$A110="","",'Current Char Stats'!$J110)</f>
        <v>0</v>
      </c>
      <c r="L241" s="18" t="str">
        <f ca="1">IF('Current Char Stats'!$A110="","",'Current Char Stats'!$K110)</f>
        <v/>
      </c>
      <c r="M241" s="18">
        <f ca="1">IF('Current Char Stats'!$A110="","",'Current Char Stats'!$L110)</f>
        <v>0</v>
      </c>
      <c r="N241" s="18">
        <f ca="1">IF('Current Char Stats'!$A110="","",'Current Char Stats'!$M110)</f>
        <v>0</v>
      </c>
      <c r="O241" s="18">
        <f ca="1">IF('Current Char Stats'!$A110="","",'Current Char Stats'!$N110)</f>
        <v>0</v>
      </c>
      <c r="P241" s="18">
        <f ca="1">IF('Current Char Stats'!$A110="","",'Current Char Stats'!$O110)</f>
        <v>0</v>
      </c>
      <c r="Q241" s="18">
        <f ca="1">IF('Current Char Stats'!$A110="","",'Current Char Stats'!$P110)</f>
        <v>0</v>
      </c>
      <c r="R241" s="18">
        <f ca="1">IF('Current Char Stats'!$A110="","",'Current Char Stats'!$Q110)</f>
        <v>0</v>
      </c>
      <c r="S241" s="18">
        <f ca="1">IF('Current Char Stats'!$A110="","",'Current Char Stats'!$R110)</f>
        <v>0</v>
      </c>
      <c r="T241" s="18">
        <f ca="1">IF('Current Char Stats'!$A110="","",'Current Char Stats'!$S110)</f>
        <v>0</v>
      </c>
      <c r="U241" s="18">
        <f ca="1">IF('Current Char Stats'!$A110="","",'Current Char Stats'!$T110)</f>
        <v>0</v>
      </c>
      <c r="V241" s="18">
        <f ca="1">IF('Current Char Stats'!$A110="","",'Current Char Stats'!$U110)</f>
        <v>0</v>
      </c>
      <c r="W241" s="18">
        <f ca="1">IF('Current Char Stats'!$A110="","",'Current Char Stats'!$V110)</f>
        <v>0</v>
      </c>
      <c r="X241" s="18">
        <f ca="1">IF('Current Char Stats'!$A110="","",'Current Char Stats'!$W110)</f>
        <v>0</v>
      </c>
      <c r="Y241" s="18">
        <f ca="1">IF('Current Char Stats'!$A110="","",'Current Char Stats'!$X110)</f>
        <v>0</v>
      </c>
      <c r="Z241" s="18">
        <f ca="1">IF('Current Char Stats'!$A110="","",'Current Char Stats'!$Y110)</f>
        <v>0</v>
      </c>
      <c r="AA241" s="18">
        <f ca="1">IF('Current Char Stats'!$A110="","",'Current Char Stats'!$Z110)</f>
        <v>0</v>
      </c>
      <c r="AB241" s="18">
        <f ca="1">IF('Current Char Stats'!$A110="","",'Current Char Stats'!$AA110)</f>
        <v>0</v>
      </c>
      <c r="AC241" s="18">
        <f ca="1">IF('Current Char Stats'!$A110="","",'Current Char Stats'!$AB110)</f>
        <v>0</v>
      </c>
      <c r="AD241" s="18">
        <f ca="1">IF('Current Char Stats'!$A110="","",'Current Char Stats'!$AC110)</f>
        <v>0</v>
      </c>
      <c r="AE241" s="18">
        <f ca="1">IF('Current Char Stats'!$A110="","",'Current Char Stats'!$AD110)</f>
        <v>0</v>
      </c>
      <c r="AF241" s="18">
        <f ca="1">IF('Current Char Stats'!$A110="","",'Current Char Stats'!$AE110)</f>
        <v>0</v>
      </c>
    </row>
    <row r="242" spans="1:32">
      <c r="A242" s="18">
        <f ca="1">IF('Current Char Stats'!$A111="","",Settings!$B$2)</f>
        <v>1</v>
      </c>
      <c r="B242" s="117" t="str">
        <f ca="1">IF('Current Char Stats'!$A111="","",'Current Char Stats'!$A111)</f>
        <v>Donovan</v>
      </c>
      <c r="C242" s="18" t="str">
        <f ca="1">IF('Current Char Stats'!$A111="","",'Current Char Stats'!$B111)</f>
        <v>Dixie Kong</v>
      </c>
      <c r="D242" s="18" t="str">
        <f ca="1">IF('Current Char Stats'!$A111="","",'Current Char Stats'!$C111)</f>
        <v>G6</v>
      </c>
      <c r="E242" s="18">
        <f ca="1">IF('Current Char Stats'!$A111="","",'Current Char Stats'!$D111)</f>
        <v>0</v>
      </c>
      <c r="F242" s="18">
        <f ca="1">IF('Current Char Stats'!$A111="","",'Current Char Stats'!$E111)</f>
        <v>0</v>
      </c>
      <c r="G242" s="18">
        <f ca="1">IF('Current Char Stats'!$A111="","",'Current Char Stats'!$F111)</f>
        <v>0</v>
      </c>
      <c r="H242" s="18">
        <f ca="1">IF('Current Char Stats'!$A111="","",'Current Char Stats'!$G111)</f>
        <v>0</v>
      </c>
      <c r="I242" s="18">
        <f ca="1">IF('Current Char Stats'!$A111="","",'Current Char Stats'!$H111)</f>
        <v>0</v>
      </c>
      <c r="J242" s="18">
        <f ca="1">IF('Current Char Stats'!$A111="","",'Current Char Stats'!$I111)</f>
        <v>0</v>
      </c>
      <c r="K242" s="18">
        <f ca="1">IF('Current Char Stats'!$A111="","",'Current Char Stats'!$J111)</f>
        <v>0</v>
      </c>
      <c r="L242" s="18" t="str">
        <f ca="1">IF('Current Char Stats'!$A111="","",'Current Char Stats'!$K111)</f>
        <v/>
      </c>
      <c r="M242" s="18">
        <f ca="1">IF('Current Char Stats'!$A111="","",'Current Char Stats'!$L111)</f>
        <v>0</v>
      </c>
      <c r="N242" s="18">
        <f ca="1">IF('Current Char Stats'!$A111="","",'Current Char Stats'!$M111)</f>
        <v>0</v>
      </c>
      <c r="O242" s="18">
        <f ca="1">IF('Current Char Stats'!$A111="","",'Current Char Stats'!$N111)</f>
        <v>0</v>
      </c>
      <c r="P242" s="18">
        <f ca="1">IF('Current Char Stats'!$A111="","",'Current Char Stats'!$O111)</f>
        <v>0</v>
      </c>
      <c r="Q242" s="18">
        <f ca="1">IF('Current Char Stats'!$A111="","",'Current Char Stats'!$P111)</f>
        <v>0</v>
      </c>
      <c r="R242" s="18">
        <f ca="1">IF('Current Char Stats'!$A111="","",'Current Char Stats'!$Q111)</f>
        <v>0</v>
      </c>
      <c r="S242" s="18">
        <f ca="1">IF('Current Char Stats'!$A111="","",'Current Char Stats'!$R111)</f>
        <v>1</v>
      </c>
      <c r="T242" s="18">
        <f ca="1">IF('Current Char Stats'!$A111="","",'Current Char Stats'!$S111)</f>
        <v>0</v>
      </c>
      <c r="U242" s="18">
        <f ca="1">IF('Current Char Stats'!$A111="","",'Current Char Stats'!$T111)</f>
        <v>0</v>
      </c>
      <c r="V242" s="18">
        <f ca="1">IF('Current Char Stats'!$A111="","",'Current Char Stats'!$U111)</f>
        <v>0</v>
      </c>
      <c r="W242" s="18">
        <f ca="1">IF('Current Char Stats'!$A111="","",'Current Char Stats'!$V111)</f>
        <v>0</v>
      </c>
      <c r="X242" s="18">
        <f ca="1">IF('Current Char Stats'!$A111="","",'Current Char Stats'!$W111)</f>
        <v>0</v>
      </c>
      <c r="Y242" s="18">
        <f ca="1">IF('Current Char Stats'!$A111="","",'Current Char Stats'!$X111)</f>
        <v>0</v>
      </c>
      <c r="Z242" s="18">
        <f ca="1">IF('Current Char Stats'!$A111="","",'Current Char Stats'!$Y111)</f>
        <v>0</v>
      </c>
      <c r="AA242" s="18">
        <f ca="1">IF('Current Char Stats'!$A111="","",'Current Char Stats'!$Z111)</f>
        <v>0</v>
      </c>
      <c r="AB242" s="18">
        <f ca="1">IF('Current Char Stats'!$A111="","",'Current Char Stats'!$AA111)</f>
        <v>0</v>
      </c>
      <c r="AC242" s="18">
        <f ca="1">IF('Current Char Stats'!$A111="","",'Current Char Stats'!$AB111)</f>
        <v>0</v>
      </c>
      <c r="AD242" s="18">
        <f ca="1">IF('Current Char Stats'!$A111="","",'Current Char Stats'!$AC111)</f>
        <v>0</v>
      </c>
      <c r="AE242" s="18">
        <f ca="1">IF('Current Char Stats'!$A111="","",'Current Char Stats'!$AD111)</f>
        <v>0</v>
      </c>
      <c r="AF242" s="18">
        <f ca="1">IF('Current Char Stats'!$A111="","",'Current Char Stats'!$AE111)</f>
        <v>0</v>
      </c>
    </row>
    <row r="243" spans="1:32">
      <c r="A243" s="18">
        <f ca="1">IF('Current Char Stats'!$A112="","",Settings!$B$2)</f>
        <v>1</v>
      </c>
      <c r="B243" s="117" t="str">
        <f ca="1">IF('Current Char Stats'!$A112="","",'Current Char Stats'!$A112)</f>
        <v>Nick</v>
      </c>
      <c r="C243" s="18" t="str">
        <f ca="1">IF('Current Char Stats'!$A112="","",'Current Char Stats'!$B112)</f>
        <v>Birdo</v>
      </c>
      <c r="D243" s="18" t="str">
        <f ca="1">IF('Current Char Stats'!$A112="","",'Current Char Stats'!$C112)</f>
        <v>G7</v>
      </c>
      <c r="E243" s="18" t="str">
        <f ca="1">IF('Current Char Stats'!$A112="","",'Current Char Stats'!$D112)</f>
        <v/>
      </c>
      <c r="F243" s="18" t="str">
        <f ca="1">IF('Current Char Stats'!$A112="","",'Current Char Stats'!$E112)</f>
        <v/>
      </c>
      <c r="G243" s="18" t="e">
        <f ca="1">IF('Current Char Stats'!$A112="","",'Current Char Stats'!$F112)</f>
        <v>#VALUE!</v>
      </c>
      <c r="H243" s="18">
        <f ca="1">IF('Current Char Stats'!$A112="","",'Current Char Stats'!$G112)</f>
        <v>0</v>
      </c>
      <c r="I243" s="18">
        <f ca="1">IF('Current Char Stats'!$A112="","",'Current Char Stats'!$H112)</f>
        <v>0</v>
      </c>
      <c r="J243" s="18">
        <f ca="1">IF('Current Char Stats'!$A112="","",'Current Char Stats'!$I112)</f>
        <v>0</v>
      </c>
      <c r="K243" s="18">
        <f ca="1">IF('Current Char Stats'!$A112="","",'Current Char Stats'!$J112)</f>
        <v>0</v>
      </c>
      <c r="L243" s="18" t="str">
        <f ca="1">IF('Current Char Stats'!$A112="","",'Current Char Stats'!$K112)</f>
        <v/>
      </c>
      <c r="M243" s="18">
        <f ca="1">IF('Current Char Stats'!$A112="","",'Current Char Stats'!$L112)</f>
        <v>0</v>
      </c>
      <c r="N243" s="18">
        <f ca="1">IF('Current Char Stats'!$A112="","",'Current Char Stats'!$M112)</f>
        <v>0</v>
      </c>
      <c r="O243" s="18">
        <f ca="1">IF('Current Char Stats'!$A112="","",'Current Char Stats'!$N112)</f>
        <v>0</v>
      </c>
      <c r="P243" s="18">
        <f ca="1">IF('Current Char Stats'!$A112="","",'Current Char Stats'!$O112)</f>
        <v>0</v>
      </c>
      <c r="Q243" s="18">
        <f ca="1">IF('Current Char Stats'!$A112="","",'Current Char Stats'!$P112)</f>
        <v>0</v>
      </c>
      <c r="R243" s="18">
        <f ca="1">IF('Current Char Stats'!$A112="","",'Current Char Stats'!$Q112)</f>
        <v>0</v>
      </c>
      <c r="S243" s="18">
        <f ca="1">IF('Current Char Stats'!$A112="","",'Current Char Stats'!$R112)</f>
        <v>0</v>
      </c>
      <c r="T243" s="18">
        <f ca="1">IF('Current Char Stats'!$A112="","",'Current Char Stats'!$S112)</f>
        <v>0</v>
      </c>
      <c r="U243" s="18">
        <f ca="1">IF('Current Char Stats'!$A112="","",'Current Char Stats'!$T112)</f>
        <v>0</v>
      </c>
      <c r="V243" s="18">
        <f ca="1">IF('Current Char Stats'!$A112="","",'Current Char Stats'!$U112)</f>
        <v>0</v>
      </c>
      <c r="W243" s="18">
        <f ca="1">IF('Current Char Stats'!$A112="","",'Current Char Stats'!$V112)</f>
        <v>0</v>
      </c>
      <c r="X243" s="18">
        <f ca="1">IF('Current Char Stats'!$A112="","",'Current Char Stats'!$W112)</f>
        <v>0</v>
      </c>
      <c r="Y243" s="18">
        <f ca="1">IF('Current Char Stats'!$A112="","",'Current Char Stats'!$X112)</f>
        <v>0</v>
      </c>
      <c r="Z243" s="18">
        <f ca="1">IF('Current Char Stats'!$A112="","",'Current Char Stats'!$Y112)</f>
        <v>0</v>
      </c>
      <c r="AA243" s="18">
        <f ca="1">IF('Current Char Stats'!$A112="","",'Current Char Stats'!$Z112)</f>
        <v>0</v>
      </c>
      <c r="AB243" s="18">
        <f ca="1">IF('Current Char Stats'!$A112="","",'Current Char Stats'!$AA112)</f>
        <v>0</v>
      </c>
      <c r="AC243" s="18">
        <f ca="1">IF('Current Char Stats'!$A112="","",'Current Char Stats'!$AB112)</f>
        <v>0</v>
      </c>
      <c r="AD243" s="18">
        <f ca="1">IF('Current Char Stats'!$A112="","",'Current Char Stats'!$AC112)</f>
        <v>0</v>
      </c>
      <c r="AE243" s="18">
        <f ca="1">IF('Current Char Stats'!$A112="","",'Current Char Stats'!$AD112)</f>
        <v>0</v>
      </c>
      <c r="AF243" s="18">
        <f ca="1">IF('Current Char Stats'!$A112="","",'Current Char Stats'!$AE112)</f>
        <v>0</v>
      </c>
    </row>
    <row r="244" spans="1:32">
      <c r="A244" s="18">
        <f ca="1">IF('Current Char Stats'!$A113="","",Settings!$B$2)</f>
        <v>1</v>
      </c>
      <c r="B244" s="117" t="str">
        <f ca="1">IF('Current Char Stats'!$A113="","",'Current Char Stats'!$A113)</f>
        <v>Nick</v>
      </c>
      <c r="C244" s="18" t="str">
        <f ca="1">IF('Current Char Stats'!$A113="","",'Current Char Stats'!$B113)</f>
        <v>King Boo</v>
      </c>
      <c r="D244" s="18" t="str">
        <f ca="1">IF('Current Char Stats'!$A113="","",'Current Char Stats'!$C113)</f>
        <v>G7</v>
      </c>
      <c r="E244" s="18" t="str">
        <f ca="1">IF('Current Char Stats'!$A113="","",'Current Char Stats'!$D113)</f>
        <v/>
      </c>
      <c r="F244" s="18" t="str">
        <f ca="1">IF('Current Char Stats'!$A113="","",'Current Char Stats'!$E113)</f>
        <v/>
      </c>
      <c r="G244" s="18" t="e">
        <f ca="1">IF('Current Char Stats'!$A113="","",'Current Char Stats'!$F113)</f>
        <v>#VALUE!</v>
      </c>
      <c r="H244" s="18" t="str">
        <f ca="1">IF('Current Char Stats'!$A113="","",'Current Char Stats'!$G113)</f>
        <v/>
      </c>
      <c r="I244" s="18" t="str">
        <f ca="1">IF('Current Char Stats'!$A113="","",'Current Char Stats'!$H113)</f>
        <v/>
      </c>
      <c r="J244" s="18">
        <f ca="1">IF('Current Char Stats'!$A113="","",'Current Char Stats'!$I113)</f>
        <v>3</v>
      </c>
      <c r="K244" s="18">
        <f ca="1">IF('Current Char Stats'!$A113="","",'Current Char Stats'!$J113)</f>
        <v>0</v>
      </c>
      <c r="L244" s="18">
        <f ca="1">IF('Current Char Stats'!$A113="","",'Current Char Stats'!$K113)</f>
        <v>0</v>
      </c>
      <c r="M244" s="18">
        <f ca="1">IF('Current Char Stats'!$A113="","",'Current Char Stats'!$L113)</f>
        <v>1</v>
      </c>
      <c r="N244" s="18">
        <f ca="1">IF('Current Char Stats'!$A113="","",'Current Char Stats'!$M113)</f>
        <v>0</v>
      </c>
      <c r="O244" s="18">
        <f ca="1">IF('Current Char Stats'!$A113="","",'Current Char Stats'!$N113)</f>
        <v>0</v>
      </c>
      <c r="P244" s="18">
        <f ca="1">IF('Current Char Stats'!$A113="","",'Current Char Stats'!$O113)</f>
        <v>0</v>
      </c>
      <c r="Q244" s="18">
        <f ca="1">IF('Current Char Stats'!$A113="","",'Current Char Stats'!$P113)</f>
        <v>0</v>
      </c>
      <c r="R244" s="18">
        <f ca="1">IF('Current Char Stats'!$A113="","",'Current Char Stats'!$Q113)</f>
        <v>0</v>
      </c>
      <c r="S244" s="18">
        <f ca="1">IF('Current Char Stats'!$A113="","",'Current Char Stats'!$R113)</f>
        <v>0</v>
      </c>
      <c r="T244" s="18">
        <f ca="1">IF('Current Char Stats'!$A113="","",'Current Char Stats'!$S113)</f>
        <v>0</v>
      </c>
      <c r="U244" s="18">
        <f ca="1">IF('Current Char Stats'!$A113="","",'Current Char Stats'!$T113)</f>
        <v>0</v>
      </c>
      <c r="V244" s="18">
        <f ca="1">IF('Current Char Stats'!$A113="","",'Current Char Stats'!$U113)</f>
        <v>0</v>
      </c>
      <c r="W244" s="18">
        <f ca="1">IF('Current Char Stats'!$A113="","",'Current Char Stats'!$V113)</f>
        <v>1</v>
      </c>
      <c r="X244" s="18">
        <f ca="1">IF('Current Char Stats'!$A113="","",'Current Char Stats'!$W113)</f>
        <v>0</v>
      </c>
      <c r="Y244" s="18">
        <f ca="1">IF('Current Char Stats'!$A113="","",'Current Char Stats'!$X113)</f>
        <v>0</v>
      </c>
      <c r="Z244" s="18">
        <f ca="1">IF('Current Char Stats'!$A113="","",'Current Char Stats'!$Y113)</f>
        <v>3</v>
      </c>
      <c r="AA244" s="18">
        <f ca="1">IF('Current Char Stats'!$A113="","",'Current Char Stats'!$Z113)</f>
        <v>0</v>
      </c>
      <c r="AB244" s="18">
        <f ca="1">IF('Current Char Stats'!$A113="","",'Current Char Stats'!$AA113)</f>
        <v>0</v>
      </c>
      <c r="AC244" s="18">
        <f ca="1">IF('Current Char Stats'!$A113="","",'Current Char Stats'!$AB113)</f>
        <v>1</v>
      </c>
      <c r="AD244" s="18">
        <f ca="1">IF('Current Char Stats'!$A113="","",'Current Char Stats'!$AC113)</f>
        <v>1</v>
      </c>
      <c r="AE244" s="18">
        <f ca="1">IF('Current Char Stats'!$A113="","",'Current Char Stats'!$AD113)</f>
        <v>0</v>
      </c>
      <c r="AF244" s="18">
        <f ca="1">IF('Current Char Stats'!$A113="","",'Current Char Stats'!$AE113)</f>
        <v>9</v>
      </c>
    </row>
    <row r="245" spans="1:32">
      <c r="A245" s="18">
        <f ca="1">IF('Current Char Stats'!$A114="","",Settings!$B$2)</f>
        <v>1</v>
      </c>
      <c r="B245" s="117" t="str">
        <f ca="1">IF('Current Char Stats'!$A114="","",'Current Char Stats'!$A114)</f>
        <v>Nick</v>
      </c>
      <c r="C245" s="18" t="str">
        <f ca="1">IF('Current Char Stats'!$A114="","",'Current Char Stats'!$B114)</f>
        <v>Petey Piranha</v>
      </c>
      <c r="D245" s="18" t="str">
        <f ca="1">IF('Current Char Stats'!$A114="","",'Current Char Stats'!$C114)</f>
        <v>G7</v>
      </c>
      <c r="E245" s="18" t="str">
        <f ca="1">IF('Current Char Stats'!$A114="","",'Current Char Stats'!$D114)</f>
        <v/>
      </c>
      <c r="F245" s="18" t="str">
        <f ca="1">IF('Current Char Stats'!$A114="","",'Current Char Stats'!$E114)</f>
        <v/>
      </c>
      <c r="G245" s="18" t="e">
        <f ca="1">IF('Current Char Stats'!$A114="","",'Current Char Stats'!$F114)</f>
        <v>#VALUE!</v>
      </c>
      <c r="H245" s="18" t="str">
        <f ca="1">IF('Current Char Stats'!$A114="","",'Current Char Stats'!$G114)</f>
        <v/>
      </c>
      <c r="I245" s="18" t="str">
        <f ca="1">IF('Current Char Stats'!$A114="","",'Current Char Stats'!$H114)</f>
        <v/>
      </c>
      <c r="J245" s="18">
        <f ca="1">IF('Current Char Stats'!$A114="","",'Current Char Stats'!$I114)</f>
        <v>0</v>
      </c>
      <c r="K245" s="18">
        <f ca="1">IF('Current Char Stats'!$A114="","",'Current Char Stats'!$J114)</f>
        <v>0</v>
      </c>
      <c r="L245" s="18" t="str">
        <f ca="1">IF('Current Char Stats'!$A114="","",'Current Char Stats'!$K114)</f>
        <v/>
      </c>
      <c r="M245" s="18">
        <f ca="1">IF('Current Char Stats'!$A114="","",'Current Char Stats'!$L114)</f>
        <v>0</v>
      </c>
      <c r="N245" s="18">
        <f ca="1">IF('Current Char Stats'!$A114="","",'Current Char Stats'!$M114)</f>
        <v>0</v>
      </c>
      <c r="O245" s="18">
        <f ca="1">IF('Current Char Stats'!$A114="","",'Current Char Stats'!$N114)</f>
        <v>0</v>
      </c>
      <c r="P245" s="18">
        <f ca="1">IF('Current Char Stats'!$A114="","",'Current Char Stats'!$O114)</f>
        <v>0</v>
      </c>
      <c r="Q245" s="18">
        <f ca="1">IF('Current Char Stats'!$A114="","",'Current Char Stats'!$P114)</f>
        <v>0</v>
      </c>
      <c r="R245" s="18">
        <f ca="1">IF('Current Char Stats'!$A114="","",'Current Char Stats'!$Q114)</f>
        <v>0</v>
      </c>
      <c r="S245" s="18">
        <f ca="1">IF('Current Char Stats'!$A114="","",'Current Char Stats'!$R114)</f>
        <v>0</v>
      </c>
      <c r="T245" s="18">
        <f ca="1">IF('Current Char Stats'!$A114="","",'Current Char Stats'!$S114)</f>
        <v>0</v>
      </c>
      <c r="U245" s="18">
        <f ca="1">IF('Current Char Stats'!$A114="","",'Current Char Stats'!$T114)</f>
        <v>0</v>
      </c>
      <c r="V245" s="18">
        <f ca="1">IF('Current Char Stats'!$A114="","",'Current Char Stats'!$U114)</f>
        <v>0</v>
      </c>
      <c r="W245" s="18">
        <f ca="1">IF('Current Char Stats'!$A114="","",'Current Char Stats'!$V114)</f>
        <v>0</v>
      </c>
      <c r="X245" s="18">
        <f ca="1">IF('Current Char Stats'!$A114="","",'Current Char Stats'!$W114)</f>
        <v>0</v>
      </c>
      <c r="Y245" s="18">
        <f ca="1">IF('Current Char Stats'!$A114="","",'Current Char Stats'!$X114)</f>
        <v>0</v>
      </c>
      <c r="Z245" s="18">
        <f ca="1">IF('Current Char Stats'!$A114="","",'Current Char Stats'!$Y114)</f>
        <v>0</v>
      </c>
      <c r="AA245" s="18">
        <f ca="1">IF('Current Char Stats'!$A114="","",'Current Char Stats'!$Z114)</f>
        <v>0</v>
      </c>
      <c r="AB245" s="18">
        <f ca="1">IF('Current Char Stats'!$A114="","",'Current Char Stats'!$AA114)</f>
        <v>0</v>
      </c>
      <c r="AC245" s="18">
        <f ca="1">IF('Current Char Stats'!$A114="","",'Current Char Stats'!$AB114)</f>
        <v>0</v>
      </c>
      <c r="AD245" s="18">
        <f ca="1">IF('Current Char Stats'!$A114="","",'Current Char Stats'!$AC114)</f>
        <v>0</v>
      </c>
      <c r="AE245" s="18">
        <f ca="1">IF('Current Char Stats'!$A114="","",'Current Char Stats'!$AD114)</f>
        <v>0</v>
      </c>
      <c r="AF245" s="18">
        <f ca="1">IF('Current Char Stats'!$A114="","",'Current Char Stats'!$AE114)</f>
        <v>0</v>
      </c>
    </row>
    <row r="246" spans="1:32">
      <c r="A246" s="18">
        <f ca="1">IF('Current Char Stats'!$A115="","",Settings!$B$2)</f>
        <v>1</v>
      </c>
      <c r="B246" s="117" t="str">
        <f ca="1">IF('Current Char Stats'!$A115="","",'Current Char Stats'!$A115)</f>
        <v>Nick</v>
      </c>
      <c r="C246" s="18" t="str">
        <f ca="1">IF('Current Char Stats'!$A115="","",'Current Char Stats'!$B115)</f>
        <v>Red Kritter</v>
      </c>
      <c r="D246" s="18" t="str">
        <f ca="1">IF('Current Char Stats'!$A115="","",'Current Char Stats'!$C115)</f>
        <v>G7</v>
      </c>
      <c r="E246" s="18" t="str">
        <f ca="1">IF('Current Char Stats'!$A115="","",'Current Char Stats'!$D115)</f>
        <v/>
      </c>
      <c r="F246" s="18" t="str">
        <f ca="1">IF('Current Char Stats'!$A115="","",'Current Char Stats'!$E115)</f>
        <v/>
      </c>
      <c r="G246" s="18" t="e">
        <f ca="1">IF('Current Char Stats'!$A115="","",'Current Char Stats'!$F115)</f>
        <v>#VALUE!</v>
      </c>
      <c r="H246" s="18" t="str">
        <f ca="1">IF('Current Char Stats'!$A115="","",'Current Char Stats'!$G115)</f>
        <v/>
      </c>
      <c r="I246" s="18" t="str">
        <f ca="1">IF('Current Char Stats'!$A115="","",'Current Char Stats'!$H115)</f>
        <v/>
      </c>
      <c r="J246" s="18">
        <f ca="1">IF('Current Char Stats'!$A115="","",'Current Char Stats'!$I115)</f>
        <v>0</v>
      </c>
      <c r="K246" s="18">
        <f ca="1">IF('Current Char Stats'!$A115="","",'Current Char Stats'!$J115)</f>
        <v>0</v>
      </c>
      <c r="L246" s="18" t="str">
        <f ca="1">IF('Current Char Stats'!$A115="","",'Current Char Stats'!$K115)</f>
        <v/>
      </c>
      <c r="M246" s="18">
        <f ca="1">IF('Current Char Stats'!$A115="","",'Current Char Stats'!$L115)</f>
        <v>0</v>
      </c>
      <c r="N246" s="18">
        <f ca="1">IF('Current Char Stats'!$A115="","",'Current Char Stats'!$M115)</f>
        <v>0</v>
      </c>
      <c r="O246" s="18">
        <f ca="1">IF('Current Char Stats'!$A115="","",'Current Char Stats'!$N115)</f>
        <v>0</v>
      </c>
      <c r="P246" s="18">
        <f ca="1">IF('Current Char Stats'!$A115="","",'Current Char Stats'!$O115)</f>
        <v>0</v>
      </c>
      <c r="Q246" s="18">
        <f ca="1">IF('Current Char Stats'!$A115="","",'Current Char Stats'!$P115)</f>
        <v>0</v>
      </c>
      <c r="R246" s="18">
        <f ca="1">IF('Current Char Stats'!$A115="","",'Current Char Stats'!$Q115)</f>
        <v>0</v>
      </c>
      <c r="S246" s="18">
        <f ca="1">IF('Current Char Stats'!$A115="","",'Current Char Stats'!$R115)</f>
        <v>0</v>
      </c>
      <c r="T246" s="18">
        <f ca="1">IF('Current Char Stats'!$A115="","",'Current Char Stats'!$S115)</f>
        <v>0</v>
      </c>
      <c r="U246" s="18">
        <f ca="1">IF('Current Char Stats'!$A115="","",'Current Char Stats'!$T115)</f>
        <v>0</v>
      </c>
      <c r="V246" s="18">
        <f ca="1">IF('Current Char Stats'!$A115="","",'Current Char Stats'!$U115)</f>
        <v>0</v>
      </c>
      <c r="W246" s="18">
        <f ca="1">IF('Current Char Stats'!$A115="","",'Current Char Stats'!$V115)</f>
        <v>0</v>
      </c>
      <c r="X246" s="18">
        <f ca="1">IF('Current Char Stats'!$A115="","",'Current Char Stats'!$W115)</f>
        <v>0</v>
      </c>
      <c r="Y246" s="18">
        <f ca="1">IF('Current Char Stats'!$A115="","",'Current Char Stats'!$X115)</f>
        <v>0</v>
      </c>
      <c r="Z246" s="18">
        <f ca="1">IF('Current Char Stats'!$A115="","",'Current Char Stats'!$Y115)</f>
        <v>0</v>
      </c>
      <c r="AA246" s="18">
        <f ca="1">IF('Current Char Stats'!$A115="","",'Current Char Stats'!$Z115)</f>
        <v>0</v>
      </c>
      <c r="AB246" s="18">
        <f ca="1">IF('Current Char Stats'!$A115="","",'Current Char Stats'!$AA115)</f>
        <v>0</v>
      </c>
      <c r="AC246" s="18">
        <f ca="1">IF('Current Char Stats'!$A115="","",'Current Char Stats'!$AB115)</f>
        <v>0</v>
      </c>
      <c r="AD246" s="18">
        <f ca="1">IF('Current Char Stats'!$A115="","",'Current Char Stats'!$AC115)</f>
        <v>0</v>
      </c>
      <c r="AE246" s="18">
        <f ca="1">IF('Current Char Stats'!$A115="","",'Current Char Stats'!$AD115)</f>
        <v>0</v>
      </c>
      <c r="AF246" s="18">
        <f ca="1">IF('Current Char Stats'!$A115="","",'Current Char Stats'!$AE115)</f>
        <v>0</v>
      </c>
    </row>
    <row r="247" spans="1:32">
      <c r="A247" s="18">
        <f ca="1">IF('Current Char Stats'!$A116="","",Settings!$B$2)</f>
        <v>1</v>
      </c>
      <c r="B247" s="117" t="str">
        <f ca="1">IF('Current Char Stats'!$A116="","",'Current Char Stats'!$A116)</f>
        <v>Nick</v>
      </c>
      <c r="C247" s="18" t="str">
        <f ca="1">IF('Current Char Stats'!$A116="","",'Current Char Stats'!$B116)</f>
        <v>Hammer Bro</v>
      </c>
      <c r="D247" s="18" t="str">
        <f ca="1">IF('Current Char Stats'!$A116="","",'Current Char Stats'!$C116)</f>
        <v>G7</v>
      </c>
      <c r="E247" s="18" t="str">
        <f ca="1">IF('Current Char Stats'!$A116="","",'Current Char Stats'!$D116)</f>
        <v/>
      </c>
      <c r="F247" s="18" t="str">
        <f ca="1">IF('Current Char Stats'!$A116="","",'Current Char Stats'!$E116)</f>
        <v/>
      </c>
      <c r="G247" s="18" t="e">
        <f ca="1">IF('Current Char Stats'!$A116="","",'Current Char Stats'!$F116)</f>
        <v>#VALUE!</v>
      </c>
      <c r="H247" s="18" t="str">
        <f ca="1">IF('Current Char Stats'!$A116="","",'Current Char Stats'!$G116)</f>
        <v/>
      </c>
      <c r="I247" s="18" t="str">
        <f ca="1">IF('Current Char Stats'!$A116="","",'Current Char Stats'!$H116)</f>
        <v/>
      </c>
      <c r="J247" s="18">
        <f ca="1">IF('Current Char Stats'!$A116="","",'Current Char Stats'!$I116)</f>
        <v>0</v>
      </c>
      <c r="K247" s="18">
        <f ca="1">IF('Current Char Stats'!$A116="","",'Current Char Stats'!$J116)</f>
        <v>0</v>
      </c>
      <c r="L247" s="18" t="str">
        <f ca="1">IF('Current Char Stats'!$A116="","",'Current Char Stats'!$K116)</f>
        <v/>
      </c>
      <c r="M247" s="18">
        <f ca="1">IF('Current Char Stats'!$A116="","",'Current Char Stats'!$L116)</f>
        <v>0</v>
      </c>
      <c r="N247" s="18">
        <f ca="1">IF('Current Char Stats'!$A116="","",'Current Char Stats'!$M116)</f>
        <v>0</v>
      </c>
      <c r="O247" s="18">
        <f ca="1">IF('Current Char Stats'!$A116="","",'Current Char Stats'!$N116)</f>
        <v>0</v>
      </c>
      <c r="P247" s="18">
        <f ca="1">IF('Current Char Stats'!$A116="","",'Current Char Stats'!$O116)</f>
        <v>0</v>
      </c>
      <c r="Q247" s="18">
        <f ca="1">IF('Current Char Stats'!$A116="","",'Current Char Stats'!$P116)</f>
        <v>0</v>
      </c>
      <c r="R247" s="18">
        <f ca="1">IF('Current Char Stats'!$A116="","",'Current Char Stats'!$Q116)</f>
        <v>0</v>
      </c>
      <c r="S247" s="18">
        <f ca="1">IF('Current Char Stats'!$A116="","",'Current Char Stats'!$R116)</f>
        <v>0</v>
      </c>
      <c r="T247" s="18">
        <f ca="1">IF('Current Char Stats'!$A116="","",'Current Char Stats'!$S116)</f>
        <v>0</v>
      </c>
      <c r="U247" s="18">
        <f ca="1">IF('Current Char Stats'!$A116="","",'Current Char Stats'!$T116)</f>
        <v>0</v>
      </c>
      <c r="V247" s="18">
        <f ca="1">IF('Current Char Stats'!$A116="","",'Current Char Stats'!$U116)</f>
        <v>0</v>
      </c>
      <c r="W247" s="18">
        <f ca="1">IF('Current Char Stats'!$A116="","",'Current Char Stats'!$V116)</f>
        <v>0</v>
      </c>
      <c r="X247" s="18">
        <f ca="1">IF('Current Char Stats'!$A116="","",'Current Char Stats'!$W116)</f>
        <v>0</v>
      </c>
      <c r="Y247" s="18">
        <f ca="1">IF('Current Char Stats'!$A116="","",'Current Char Stats'!$X116)</f>
        <v>0</v>
      </c>
      <c r="Z247" s="18">
        <f ca="1">IF('Current Char Stats'!$A116="","",'Current Char Stats'!$Y116)</f>
        <v>0</v>
      </c>
      <c r="AA247" s="18">
        <f ca="1">IF('Current Char Stats'!$A116="","",'Current Char Stats'!$Z116)</f>
        <v>0</v>
      </c>
      <c r="AB247" s="18">
        <f ca="1">IF('Current Char Stats'!$A116="","",'Current Char Stats'!$AA116)</f>
        <v>0</v>
      </c>
      <c r="AC247" s="18">
        <f ca="1">IF('Current Char Stats'!$A116="","",'Current Char Stats'!$AB116)</f>
        <v>0</v>
      </c>
      <c r="AD247" s="18">
        <f ca="1">IF('Current Char Stats'!$A116="","",'Current Char Stats'!$AC116)</f>
        <v>0</v>
      </c>
      <c r="AE247" s="18">
        <f ca="1">IF('Current Char Stats'!$A116="","",'Current Char Stats'!$AD116)</f>
        <v>0</v>
      </c>
      <c r="AF247" s="18">
        <f ca="1">IF('Current Char Stats'!$A116="","",'Current Char Stats'!$AE116)</f>
        <v>0</v>
      </c>
    </row>
    <row r="248" spans="1:32">
      <c r="A248" s="18">
        <f ca="1">IF('Current Char Stats'!$A117="","",Settings!$B$2)</f>
        <v>1</v>
      </c>
      <c r="B248" s="117" t="str">
        <f ca="1">IF('Current Char Stats'!$A117="","",'Current Char Stats'!$A117)</f>
        <v>Nick</v>
      </c>
      <c r="C248" s="18" t="str">
        <f ca="1">IF('Current Char Stats'!$A117="","",'Current Char Stats'!$B117)</f>
        <v>Red Yoshi</v>
      </c>
      <c r="D248" s="18" t="str">
        <f ca="1">IF('Current Char Stats'!$A117="","",'Current Char Stats'!$C117)</f>
        <v>G7</v>
      </c>
      <c r="E248" s="18" t="str">
        <f ca="1">IF('Current Char Stats'!$A117="","",'Current Char Stats'!$D117)</f>
        <v/>
      </c>
      <c r="F248" s="18" t="str">
        <f ca="1">IF('Current Char Stats'!$A117="","",'Current Char Stats'!$E117)</f>
        <v/>
      </c>
      <c r="G248" s="18" t="e">
        <f ca="1">IF('Current Char Stats'!$A117="","",'Current Char Stats'!$F117)</f>
        <v>#VALUE!</v>
      </c>
      <c r="H248" s="18" t="str">
        <f ca="1">IF('Current Char Stats'!$A117="","",'Current Char Stats'!$G117)</f>
        <v/>
      </c>
      <c r="I248" s="18" t="str">
        <f ca="1">IF('Current Char Stats'!$A117="","",'Current Char Stats'!$H117)</f>
        <v/>
      </c>
      <c r="J248" s="18">
        <f ca="1">IF('Current Char Stats'!$A117="","",'Current Char Stats'!$I117)</f>
        <v>0</v>
      </c>
      <c r="K248" s="18">
        <f ca="1">IF('Current Char Stats'!$A117="","",'Current Char Stats'!$J117)</f>
        <v>0</v>
      </c>
      <c r="L248" s="18" t="str">
        <f ca="1">IF('Current Char Stats'!$A117="","",'Current Char Stats'!$K117)</f>
        <v/>
      </c>
      <c r="M248" s="18">
        <f ca="1">IF('Current Char Stats'!$A117="","",'Current Char Stats'!$L117)</f>
        <v>0</v>
      </c>
      <c r="N248" s="18">
        <f ca="1">IF('Current Char Stats'!$A117="","",'Current Char Stats'!$M117)</f>
        <v>0</v>
      </c>
      <c r="O248" s="18">
        <f ca="1">IF('Current Char Stats'!$A117="","",'Current Char Stats'!$N117)</f>
        <v>0</v>
      </c>
      <c r="P248" s="18">
        <f ca="1">IF('Current Char Stats'!$A117="","",'Current Char Stats'!$O117)</f>
        <v>0</v>
      </c>
      <c r="Q248" s="18">
        <f ca="1">IF('Current Char Stats'!$A117="","",'Current Char Stats'!$P117)</f>
        <v>0</v>
      </c>
      <c r="R248" s="18">
        <f ca="1">IF('Current Char Stats'!$A117="","",'Current Char Stats'!$Q117)</f>
        <v>0</v>
      </c>
      <c r="S248" s="18">
        <f ca="1">IF('Current Char Stats'!$A117="","",'Current Char Stats'!$R117)</f>
        <v>0</v>
      </c>
      <c r="T248" s="18">
        <f ca="1">IF('Current Char Stats'!$A117="","",'Current Char Stats'!$S117)</f>
        <v>0</v>
      </c>
      <c r="U248" s="18">
        <f ca="1">IF('Current Char Stats'!$A117="","",'Current Char Stats'!$T117)</f>
        <v>0</v>
      </c>
      <c r="V248" s="18">
        <f ca="1">IF('Current Char Stats'!$A117="","",'Current Char Stats'!$U117)</f>
        <v>0</v>
      </c>
      <c r="W248" s="18">
        <f ca="1">IF('Current Char Stats'!$A117="","",'Current Char Stats'!$V117)</f>
        <v>0</v>
      </c>
      <c r="X248" s="18">
        <f ca="1">IF('Current Char Stats'!$A117="","",'Current Char Stats'!$W117)</f>
        <v>0</v>
      </c>
      <c r="Y248" s="18">
        <f ca="1">IF('Current Char Stats'!$A117="","",'Current Char Stats'!$X117)</f>
        <v>0</v>
      </c>
      <c r="Z248" s="18">
        <f ca="1">IF('Current Char Stats'!$A117="","",'Current Char Stats'!$Y117)</f>
        <v>0</v>
      </c>
      <c r="AA248" s="18">
        <f ca="1">IF('Current Char Stats'!$A117="","",'Current Char Stats'!$Z117)</f>
        <v>0</v>
      </c>
      <c r="AB248" s="18">
        <f ca="1">IF('Current Char Stats'!$A117="","",'Current Char Stats'!$AA117)</f>
        <v>0</v>
      </c>
      <c r="AC248" s="18">
        <f ca="1">IF('Current Char Stats'!$A117="","",'Current Char Stats'!$AB117)</f>
        <v>0</v>
      </c>
      <c r="AD248" s="18">
        <f ca="1">IF('Current Char Stats'!$A117="","",'Current Char Stats'!$AC117)</f>
        <v>0</v>
      </c>
      <c r="AE248" s="18">
        <f ca="1">IF('Current Char Stats'!$A117="","",'Current Char Stats'!$AD117)</f>
        <v>0</v>
      </c>
      <c r="AF248" s="18">
        <f ca="1">IF('Current Char Stats'!$A117="","",'Current Char Stats'!$AE117)</f>
        <v>0</v>
      </c>
    </row>
    <row r="249" spans="1:32">
      <c r="A249" s="18">
        <f ca="1">IF('Current Char Stats'!$A118="","",Settings!$B$2)</f>
        <v>1</v>
      </c>
      <c r="B249" s="117" t="str">
        <f ca="1">IF('Current Char Stats'!$A118="","",'Current Char Stats'!$A118)</f>
        <v>Nick</v>
      </c>
      <c r="C249" s="18" t="str">
        <f ca="1">IF('Current Char Stats'!$A118="","",'Current Char Stats'!$B118)</f>
        <v>Koopa</v>
      </c>
      <c r="D249" s="18" t="str">
        <f ca="1">IF('Current Char Stats'!$A118="","",'Current Char Stats'!$C118)</f>
        <v>G7</v>
      </c>
      <c r="E249" s="18" t="str">
        <f ca="1">IF('Current Char Stats'!$A118="","",'Current Char Stats'!$D118)</f>
        <v/>
      </c>
      <c r="F249" s="18" t="str">
        <f ca="1">IF('Current Char Stats'!$A118="","",'Current Char Stats'!$E118)</f>
        <v/>
      </c>
      <c r="G249" s="18" t="e">
        <f ca="1">IF('Current Char Stats'!$A118="","",'Current Char Stats'!$F118)</f>
        <v>#VALUE!</v>
      </c>
      <c r="H249" s="18" t="str">
        <f ca="1">IF('Current Char Stats'!$A118="","",'Current Char Stats'!$G118)</f>
        <v/>
      </c>
      <c r="I249" s="18" t="str">
        <f ca="1">IF('Current Char Stats'!$A118="","",'Current Char Stats'!$H118)</f>
        <v/>
      </c>
      <c r="J249" s="18">
        <f ca="1">IF('Current Char Stats'!$A118="","",'Current Char Stats'!$I118)</f>
        <v>0</v>
      </c>
      <c r="K249" s="18">
        <f ca="1">IF('Current Char Stats'!$A118="","",'Current Char Stats'!$J118)</f>
        <v>0</v>
      </c>
      <c r="L249" s="18" t="str">
        <f ca="1">IF('Current Char Stats'!$A118="","",'Current Char Stats'!$K118)</f>
        <v/>
      </c>
      <c r="M249" s="18">
        <f ca="1">IF('Current Char Stats'!$A118="","",'Current Char Stats'!$L118)</f>
        <v>0</v>
      </c>
      <c r="N249" s="18">
        <f ca="1">IF('Current Char Stats'!$A118="","",'Current Char Stats'!$M118)</f>
        <v>0</v>
      </c>
      <c r="O249" s="18">
        <f ca="1">IF('Current Char Stats'!$A118="","",'Current Char Stats'!$N118)</f>
        <v>0</v>
      </c>
      <c r="P249" s="18">
        <f ca="1">IF('Current Char Stats'!$A118="","",'Current Char Stats'!$O118)</f>
        <v>0</v>
      </c>
      <c r="Q249" s="18">
        <f ca="1">IF('Current Char Stats'!$A118="","",'Current Char Stats'!$P118)</f>
        <v>0</v>
      </c>
      <c r="R249" s="18">
        <f ca="1">IF('Current Char Stats'!$A118="","",'Current Char Stats'!$Q118)</f>
        <v>0</v>
      </c>
      <c r="S249" s="18">
        <f ca="1">IF('Current Char Stats'!$A118="","",'Current Char Stats'!$R118)</f>
        <v>0</v>
      </c>
      <c r="T249" s="18">
        <f ca="1">IF('Current Char Stats'!$A118="","",'Current Char Stats'!$S118)</f>
        <v>0</v>
      </c>
      <c r="U249" s="18">
        <f ca="1">IF('Current Char Stats'!$A118="","",'Current Char Stats'!$T118)</f>
        <v>0</v>
      </c>
      <c r="V249" s="18">
        <f ca="1">IF('Current Char Stats'!$A118="","",'Current Char Stats'!$U118)</f>
        <v>0</v>
      </c>
      <c r="W249" s="18">
        <f ca="1">IF('Current Char Stats'!$A118="","",'Current Char Stats'!$V118)</f>
        <v>0</v>
      </c>
      <c r="X249" s="18">
        <f ca="1">IF('Current Char Stats'!$A118="","",'Current Char Stats'!$W118)</f>
        <v>0</v>
      </c>
      <c r="Y249" s="18">
        <f ca="1">IF('Current Char Stats'!$A118="","",'Current Char Stats'!$X118)</f>
        <v>0</v>
      </c>
      <c r="Z249" s="18">
        <f ca="1">IF('Current Char Stats'!$A118="","",'Current Char Stats'!$Y118)</f>
        <v>0</v>
      </c>
      <c r="AA249" s="18">
        <f ca="1">IF('Current Char Stats'!$A118="","",'Current Char Stats'!$Z118)</f>
        <v>0</v>
      </c>
      <c r="AB249" s="18">
        <f ca="1">IF('Current Char Stats'!$A118="","",'Current Char Stats'!$AA118)</f>
        <v>0</v>
      </c>
      <c r="AC249" s="18">
        <f ca="1">IF('Current Char Stats'!$A118="","",'Current Char Stats'!$AB118)</f>
        <v>0</v>
      </c>
      <c r="AD249" s="18">
        <f ca="1">IF('Current Char Stats'!$A118="","",'Current Char Stats'!$AC118)</f>
        <v>0</v>
      </c>
      <c r="AE249" s="18">
        <f ca="1">IF('Current Char Stats'!$A118="","",'Current Char Stats'!$AD118)</f>
        <v>0</v>
      </c>
      <c r="AF249" s="18">
        <f ca="1">IF('Current Char Stats'!$A118="","",'Current Char Stats'!$AE118)</f>
        <v>0</v>
      </c>
    </row>
    <row r="250" spans="1:32">
      <c r="A250" s="18">
        <f ca="1">IF('Current Char Stats'!$A119="","",Settings!$B$2)</f>
        <v>1</v>
      </c>
      <c r="B250" s="117" t="str">
        <f ca="1">IF('Current Char Stats'!$A119="","",'Current Char Stats'!$A119)</f>
        <v>Nick</v>
      </c>
      <c r="C250" s="18" t="str">
        <f ca="1">IF('Current Char Stats'!$A119="","",'Current Char Stats'!$B119)</f>
        <v>Green Shy Guy</v>
      </c>
      <c r="D250" s="18" t="str">
        <f ca="1">IF('Current Char Stats'!$A119="","",'Current Char Stats'!$C119)</f>
        <v>G7</v>
      </c>
      <c r="E250" s="18" t="str">
        <f ca="1">IF('Current Char Stats'!$A119="","",'Current Char Stats'!$D119)</f>
        <v/>
      </c>
      <c r="F250" s="18" t="str">
        <f ca="1">IF('Current Char Stats'!$A119="","",'Current Char Stats'!$E119)</f>
        <v/>
      </c>
      <c r="G250" s="18" t="e">
        <f ca="1">IF('Current Char Stats'!$A119="","",'Current Char Stats'!$F119)</f>
        <v>#VALUE!</v>
      </c>
      <c r="H250" s="18" t="str">
        <f ca="1">IF('Current Char Stats'!$A119="","",'Current Char Stats'!$G119)</f>
        <v/>
      </c>
      <c r="I250" s="18" t="str">
        <f ca="1">IF('Current Char Stats'!$A119="","",'Current Char Stats'!$H119)</f>
        <v/>
      </c>
      <c r="J250" s="18">
        <f ca="1">IF('Current Char Stats'!$A119="","",'Current Char Stats'!$I119)</f>
        <v>0</v>
      </c>
      <c r="K250" s="18">
        <f ca="1">IF('Current Char Stats'!$A119="","",'Current Char Stats'!$J119)</f>
        <v>0</v>
      </c>
      <c r="L250" s="18" t="str">
        <f ca="1">IF('Current Char Stats'!$A119="","",'Current Char Stats'!$K119)</f>
        <v/>
      </c>
      <c r="M250" s="18">
        <f ca="1">IF('Current Char Stats'!$A119="","",'Current Char Stats'!$L119)</f>
        <v>0</v>
      </c>
      <c r="N250" s="18">
        <f ca="1">IF('Current Char Stats'!$A119="","",'Current Char Stats'!$M119)</f>
        <v>0</v>
      </c>
      <c r="O250" s="18">
        <f ca="1">IF('Current Char Stats'!$A119="","",'Current Char Stats'!$N119)</f>
        <v>0</v>
      </c>
      <c r="P250" s="18">
        <f ca="1">IF('Current Char Stats'!$A119="","",'Current Char Stats'!$O119)</f>
        <v>0</v>
      </c>
      <c r="Q250" s="18">
        <f ca="1">IF('Current Char Stats'!$A119="","",'Current Char Stats'!$P119)</f>
        <v>0</v>
      </c>
      <c r="R250" s="18">
        <f ca="1">IF('Current Char Stats'!$A119="","",'Current Char Stats'!$Q119)</f>
        <v>0</v>
      </c>
      <c r="S250" s="18">
        <f ca="1">IF('Current Char Stats'!$A119="","",'Current Char Stats'!$R119)</f>
        <v>0</v>
      </c>
      <c r="T250" s="18">
        <f ca="1">IF('Current Char Stats'!$A119="","",'Current Char Stats'!$S119)</f>
        <v>0</v>
      </c>
      <c r="U250" s="18">
        <f ca="1">IF('Current Char Stats'!$A119="","",'Current Char Stats'!$T119)</f>
        <v>0</v>
      </c>
      <c r="V250" s="18">
        <f ca="1">IF('Current Char Stats'!$A119="","",'Current Char Stats'!$U119)</f>
        <v>0</v>
      </c>
      <c r="W250" s="18">
        <f ca="1">IF('Current Char Stats'!$A119="","",'Current Char Stats'!$V119)</f>
        <v>0</v>
      </c>
      <c r="X250" s="18">
        <f ca="1">IF('Current Char Stats'!$A119="","",'Current Char Stats'!$W119)</f>
        <v>0</v>
      </c>
      <c r="Y250" s="18">
        <f ca="1">IF('Current Char Stats'!$A119="","",'Current Char Stats'!$X119)</f>
        <v>0</v>
      </c>
      <c r="Z250" s="18">
        <f ca="1">IF('Current Char Stats'!$A119="","",'Current Char Stats'!$Y119)</f>
        <v>0</v>
      </c>
      <c r="AA250" s="18">
        <f ca="1">IF('Current Char Stats'!$A119="","",'Current Char Stats'!$Z119)</f>
        <v>0</v>
      </c>
      <c r="AB250" s="18">
        <f ca="1">IF('Current Char Stats'!$A119="","",'Current Char Stats'!$AA119)</f>
        <v>0</v>
      </c>
      <c r="AC250" s="18">
        <f ca="1">IF('Current Char Stats'!$A119="","",'Current Char Stats'!$AB119)</f>
        <v>0</v>
      </c>
      <c r="AD250" s="18">
        <f ca="1">IF('Current Char Stats'!$A119="","",'Current Char Stats'!$AC119)</f>
        <v>0</v>
      </c>
      <c r="AE250" s="18">
        <f ca="1">IF('Current Char Stats'!$A119="","",'Current Char Stats'!$AD119)</f>
        <v>0</v>
      </c>
      <c r="AF250" s="18">
        <f ca="1">IF('Current Char Stats'!$A119="","",'Current Char Stats'!$AE119)</f>
        <v>0</v>
      </c>
    </row>
    <row r="251" spans="1:32">
      <c r="A251" s="18">
        <f ca="1">IF('Current Char Stats'!$A120="","",Settings!$B$2)</f>
        <v>1</v>
      </c>
      <c r="B251" s="117" t="str">
        <f ca="1">IF('Current Char Stats'!$A120="","",'Current Char Stats'!$A120)</f>
        <v>Nick</v>
      </c>
      <c r="C251" s="18" t="str">
        <f ca="1">IF('Current Char Stats'!$A120="","",'Current Char Stats'!$B120)</f>
        <v>Baby Peach</v>
      </c>
      <c r="D251" s="18" t="str">
        <f ca="1">IF('Current Char Stats'!$A120="","",'Current Char Stats'!$C120)</f>
        <v>G7</v>
      </c>
      <c r="E251" s="18" t="str">
        <f ca="1">IF('Current Char Stats'!$A120="","",'Current Char Stats'!$D120)</f>
        <v/>
      </c>
      <c r="F251" s="18" t="str">
        <f ca="1">IF('Current Char Stats'!$A120="","",'Current Char Stats'!$E120)</f>
        <v/>
      </c>
      <c r="G251" s="18" t="e">
        <f ca="1">IF('Current Char Stats'!$A120="","",'Current Char Stats'!$F120)</f>
        <v>#VALUE!</v>
      </c>
      <c r="H251" s="18">
        <f ca="1">IF('Current Char Stats'!$A120="","",'Current Char Stats'!$G120)</f>
        <v>0</v>
      </c>
      <c r="I251" s="18">
        <f ca="1">IF('Current Char Stats'!$A120="","",'Current Char Stats'!$H120)</f>
        <v>0</v>
      </c>
      <c r="J251" s="18">
        <f ca="1">IF('Current Char Stats'!$A120="","",'Current Char Stats'!$I120)</f>
        <v>0</v>
      </c>
      <c r="K251" s="18">
        <f ca="1">IF('Current Char Stats'!$A120="","",'Current Char Stats'!$J120)</f>
        <v>0</v>
      </c>
      <c r="L251" s="18" t="str">
        <f ca="1">IF('Current Char Stats'!$A120="","",'Current Char Stats'!$K120)</f>
        <v/>
      </c>
      <c r="M251" s="18">
        <f ca="1">IF('Current Char Stats'!$A120="","",'Current Char Stats'!$L120)</f>
        <v>0</v>
      </c>
      <c r="N251" s="18">
        <f ca="1">IF('Current Char Stats'!$A120="","",'Current Char Stats'!$M120)</f>
        <v>0</v>
      </c>
      <c r="O251" s="18">
        <f ca="1">IF('Current Char Stats'!$A120="","",'Current Char Stats'!$N120)</f>
        <v>0</v>
      </c>
      <c r="P251" s="18">
        <f ca="1">IF('Current Char Stats'!$A120="","",'Current Char Stats'!$O120)</f>
        <v>0</v>
      </c>
      <c r="Q251" s="18">
        <f ca="1">IF('Current Char Stats'!$A120="","",'Current Char Stats'!$P120)</f>
        <v>0</v>
      </c>
      <c r="R251" s="18">
        <f ca="1">IF('Current Char Stats'!$A120="","",'Current Char Stats'!$Q120)</f>
        <v>0</v>
      </c>
      <c r="S251" s="18">
        <f ca="1">IF('Current Char Stats'!$A120="","",'Current Char Stats'!$R120)</f>
        <v>0</v>
      </c>
      <c r="T251" s="18">
        <f ca="1">IF('Current Char Stats'!$A120="","",'Current Char Stats'!$S120)</f>
        <v>0</v>
      </c>
      <c r="U251" s="18">
        <f ca="1">IF('Current Char Stats'!$A120="","",'Current Char Stats'!$T120)</f>
        <v>0</v>
      </c>
      <c r="V251" s="18">
        <f ca="1">IF('Current Char Stats'!$A120="","",'Current Char Stats'!$U120)</f>
        <v>0</v>
      </c>
      <c r="W251" s="18">
        <f ca="1">IF('Current Char Stats'!$A120="","",'Current Char Stats'!$V120)</f>
        <v>0</v>
      </c>
      <c r="X251" s="18">
        <f ca="1">IF('Current Char Stats'!$A120="","",'Current Char Stats'!$W120)</f>
        <v>0</v>
      </c>
      <c r="Y251" s="18">
        <f ca="1">IF('Current Char Stats'!$A120="","",'Current Char Stats'!$X120)</f>
        <v>0</v>
      </c>
      <c r="Z251" s="18">
        <f ca="1">IF('Current Char Stats'!$A120="","",'Current Char Stats'!$Y120)</f>
        <v>0</v>
      </c>
      <c r="AA251" s="18">
        <f ca="1">IF('Current Char Stats'!$A120="","",'Current Char Stats'!$Z120)</f>
        <v>0</v>
      </c>
      <c r="AB251" s="18">
        <f ca="1">IF('Current Char Stats'!$A120="","",'Current Char Stats'!$AA120)</f>
        <v>0</v>
      </c>
      <c r="AC251" s="18">
        <f ca="1">IF('Current Char Stats'!$A120="","",'Current Char Stats'!$AB120)</f>
        <v>0</v>
      </c>
      <c r="AD251" s="18">
        <f ca="1">IF('Current Char Stats'!$A120="","",'Current Char Stats'!$AC120)</f>
        <v>0</v>
      </c>
      <c r="AE251" s="18">
        <f ca="1">IF('Current Char Stats'!$A120="","",'Current Char Stats'!$AD120)</f>
        <v>0</v>
      </c>
      <c r="AF251" s="18">
        <f ca="1">IF('Current Char Stats'!$A120="","",'Current Char Stats'!$AE120)</f>
        <v>0</v>
      </c>
    </row>
    <row r="252" spans="1:32">
      <c r="A252" s="18">
        <f ca="1">IF('Current Char Stats'!$A121="","",Settings!$B$2)</f>
        <v>1</v>
      </c>
      <c r="B252" s="117" t="str">
        <f ca="1">IF('Current Char Stats'!$A121="","",'Current Char Stats'!$A121)</f>
        <v>Jason</v>
      </c>
      <c r="C252" s="18" t="str">
        <f ca="1">IF('Current Char Stats'!$A121="","",'Current Char Stats'!$B121)</f>
        <v>Donkey Kong</v>
      </c>
      <c r="D252" s="18" t="str">
        <f ca="1">IF('Current Char Stats'!$A121="","",'Current Char Stats'!$C121)</f>
        <v>G7</v>
      </c>
      <c r="E252" s="18" t="str">
        <f ca="1">IF('Current Char Stats'!$A121="","",'Current Char Stats'!$D121)</f>
        <v/>
      </c>
      <c r="F252" s="18" t="str">
        <f ca="1">IF('Current Char Stats'!$A121="","",'Current Char Stats'!$E121)</f>
        <v/>
      </c>
      <c r="G252" s="18" t="e">
        <f ca="1">IF('Current Char Stats'!$A121="","",'Current Char Stats'!$F121)</f>
        <v>#VALUE!</v>
      </c>
      <c r="H252" s="18" t="str">
        <f ca="1">IF('Current Char Stats'!$A121="","",'Current Char Stats'!$G121)</f>
        <v/>
      </c>
      <c r="I252" s="18" t="str">
        <f ca="1">IF('Current Char Stats'!$A121="","",'Current Char Stats'!$H121)</f>
        <v/>
      </c>
      <c r="J252" s="18">
        <f ca="1">IF('Current Char Stats'!$A121="","",'Current Char Stats'!$I121)</f>
        <v>0</v>
      </c>
      <c r="K252" s="18">
        <f ca="1">IF('Current Char Stats'!$A121="","",'Current Char Stats'!$J121)</f>
        <v>0</v>
      </c>
      <c r="L252" s="18" t="str">
        <f ca="1">IF('Current Char Stats'!$A121="","",'Current Char Stats'!$K121)</f>
        <v/>
      </c>
      <c r="M252" s="18">
        <f ca="1">IF('Current Char Stats'!$A121="","",'Current Char Stats'!$L121)</f>
        <v>0</v>
      </c>
      <c r="N252" s="18">
        <f ca="1">IF('Current Char Stats'!$A121="","",'Current Char Stats'!$M121)</f>
        <v>0</v>
      </c>
      <c r="O252" s="18">
        <f ca="1">IF('Current Char Stats'!$A121="","",'Current Char Stats'!$N121)</f>
        <v>0</v>
      </c>
      <c r="P252" s="18">
        <f ca="1">IF('Current Char Stats'!$A121="","",'Current Char Stats'!$O121)</f>
        <v>0</v>
      </c>
      <c r="Q252" s="18">
        <f ca="1">IF('Current Char Stats'!$A121="","",'Current Char Stats'!$P121)</f>
        <v>0</v>
      </c>
      <c r="R252" s="18">
        <f ca="1">IF('Current Char Stats'!$A121="","",'Current Char Stats'!$Q121)</f>
        <v>0</v>
      </c>
      <c r="S252" s="18">
        <f ca="1">IF('Current Char Stats'!$A121="","",'Current Char Stats'!$R121)</f>
        <v>1</v>
      </c>
      <c r="T252" s="18">
        <f ca="1">IF('Current Char Stats'!$A121="","",'Current Char Stats'!$S121)</f>
        <v>0</v>
      </c>
      <c r="U252" s="18">
        <f ca="1">IF('Current Char Stats'!$A121="","",'Current Char Stats'!$T121)</f>
        <v>0</v>
      </c>
      <c r="V252" s="18">
        <f ca="1">IF('Current Char Stats'!$A121="","",'Current Char Stats'!$U121)</f>
        <v>0</v>
      </c>
      <c r="W252" s="18">
        <f ca="1">IF('Current Char Stats'!$A121="","",'Current Char Stats'!$V121)</f>
        <v>0</v>
      </c>
      <c r="X252" s="18">
        <f ca="1">IF('Current Char Stats'!$A121="","",'Current Char Stats'!$W121)</f>
        <v>0</v>
      </c>
      <c r="Y252" s="18">
        <f ca="1">IF('Current Char Stats'!$A121="","",'Current Char Stats'!$X121)</f>
        <v>0</v>
      </c>
      <c r="Z252" s="18">
        <f ca="1">IF('Current Char Stats'!$A121="","",'Current Char Stats'!$Y121)</f>
        <v>0</v>
      </c>
      <c r="AA252" s="18">
        <f ca="1">IF('Current Char Stats'!$A121="","",'Current Char Stats'!$Z121)</f>
        <v>0</v>
      </c>
      <c r="AB252" s="18">
        <f ca="1">IF('Current Char Stats'!$A121="","",'Current Char Stats'!$AA121)</f>
        <v>0</v>
      </c>
      <c r="AC252" s="18">
        <f ca="1">IF('Current Char Stats'!$A121="","",'Current Char Stats'!$AB121)</f>
        <v>0</v>
      </c>
      <c r="AD252" s="18">
        <f ca="1">IF('Current Char Stats'!$A121="","",'Current Char Stats'!$AC121)</f>
        <v>0</v>
      </c>
      <c r="AE252" s="18">
        <f ca="1">IF('Current Char Stats'!$A121="","",'Current Char Stats'!$AD121)</f>
        <v>0</v>
      </c>
      <c r="AF252" s="18">
        <f ca="1">IF('Current Char Stats'!$A121="","",'Current Char Stats'!$AE121)</f>
        <v>0</v>
      </c>
    </row>
    <row r="253" spans="1:32">
      <c r="A253" s="18">
        <f ca="1">IF('Current Char Stats'!$A122="","",Settings!$B$2)</f>
        <v>1</v>
      </c>
      <c r="B253" s="117" t="str">
        <f ca="1">IF('Current Char Stats'!$A122="","",'Current Char Stats'!$A122)</f>
        <v>Jason</v>
      </c>
      <c r="C253" s="18" t="str">
        <f ca="1">IF('Current Char Stats'!$A122="","",'Current Char Stats'!$B122)</f>
        <v>Waluigi</v>
      </c>
      <c r="D253" s="18" t="str">
        <f ca="1">IF('Current Char Stats'!$A122="","",'Current Char Stats'!$C122)</f>
        <v>G7</v>
      </c>
      <c r="E253" s="18" t="str">
        <f ca="1">IF('Current Char Stats'!$A122="","",'Current Char Stats'!$D122)</f>
        <v/>
      </c>
      <c r="F253" s="18" t="str">
        <f ca="1">IF('Current Char Stats'!$A122="","",'Current Char Stats'!$E122)</f>
        <v/>
      </c>
      <c r="G253" s="18" t="e">
        <f ca="1">IF('Current Char Stats'!$A122="","",'Current Char Stats'!$F122)</f>
        <v>#VALUE!</v>
      </c>
      <c r="H253" s="18" t="str">
        <f ca="1">IF('Current Char Stats'!$A122="","",'Current Char Stats'!$G122)</f>
        <v/>
      </c>
      <c r="I253" s="18" t="str">
        <f ca="1">IF('Current Char Stats'!$A122="","",'Current Char Stats'!$H122)</f>
        <v/>
      </c>
      <c r="J253" s="18">
        <f ca="1">IF('Current Char Stats'!$A122="","",'Current Char Stats'!$I122)</f>
        <v>2</v>
      </c>
      <c r="K253" s="18">
        <f ca="1">IF('Current Char Stats'!$A122="","",'Current Char Stats'!$J122)</f>
        <v>1</v>
      </c>
      <c r="L253" s="18">
        <f ca="1">IF('Current Char Stats'!$A122="","",'Current Char Stats'!$K122)</f>
        <v>4.5</v>
      </c>
      <c r="M253" s="18">
        <f ca="1">IF('Current Char Stats'!$A122="","",'Current Char Stats'!$L122)</f>
        <v>0</v>
      </c>
      <c r="N253" s="18">
        <f ca="1">IF('Current Char Stats'!$A122="","",'Current Char Stats'!$M122)</f>
        <v>0</v>
      </c>
      <c r="O253" s="18">
        <f ca="1">IF('Current Char Stats'!$A122="","",'Current Char Stats'!$N122)</f>
        <v>0</v>
      </c>
      <c r="P253" s="18">
        <f ca="1">IF('Current Char Stats'!$A122="","",'Current Char Stats'!$O122)</f>
        <v>0</v>
      </c>
      <c r="Q253" s="18">
        <f ca="1">IF('Current Char Stats'!$A122="","",'Current Char Stats'!$P122)</f>
        <v>0</v>
      </c>
      <c r="R253" s="18">
        <f ca="1">IF('Current Char Stats'!$A122="","",'Current Char Stats'!$Q122)</f>
        <v>0</v>
      </c>
      <c r="S253" s="18">
        <f ca="1">IF('Current Char Stats'!$A122="","",'Current Char Stats'!$R122)</f>
        <v>0</v>
      </c>
      <c r="T253" s="18">
        <f ca="1">IF('Current Char Stats'!$A122="","",'Current Char Stats'!$S122)</f>
        <v>0</v>
      </c>
      <c r="U253" s="18">
        <f ca="1">IF('Current Char Stats'!$A122="","",'Current Char Stats'!$T122)</f>
        <v>0</v>
      </c>
      <c r="V253" s="18">
        <f ca="1">IF('Current Char Stats'!$A122="","",'Current Char Stats'!$U122)</f>
        <v>0</v>
      </c>
      <c r="W253" s="18">
        <f ca="1">IF('Current Char Stats'!$A122="","",'Current Char Stats'!$V122)</f>
        <v>1</v>
      </c>
      <c r="X253" s="18">
        <f ca="1">IF('Current Char Stats'!$A122="","",'Current Char Stats'!$W122)</f>
        <v>1</v>
      </c>
      <c r="Y253" s="18">
        <f ca="1">IF('Current Char Stats'!$A122="","",'Current Char Stats'!$X122)</f>
        <v>0</v>
      </c>
      <c r="Z253" s="18">
        <f ca="1">IF('Current Char Stats'!$A122="","",'Current Char Stats'!$Y122)</f>
        <v>2</v>
      </c>
      <c r="AA253" s="18">
        <f ca="1">IF('Current Char Stats'!$A122="","",'Current Char Stats'!$Z122)</f>
        <v>1</v>
      </c>
      <c r="AB253" s="18">
        <f ca="1">IF('Current Char Stats'!$A122="","",'Current Char Stats'!$AA122)</f>
        <v>0</v>
      </c>
      <c r="AC253" s="18">
        <f ca="1">IF('Current Char Stats'!$A122="","",'Current Char Stats'!$AB122)</f>
        <v>0</v>
      </c>
      <c r="AD253" s="18">
        <f ca="1">IF('Current Char Stats'!$A122="","",'Current Char Stats'!$AC122)</f>
        <v>1</v>
      </c>
      <c r="AE253" s="18">
        <f ca="1">IF('Current Char Stats'!$A122="","",'Current Char Stats'!$AD122)</f>
        <v>0</v>
      </c>
      <c r="AF253" s="18">
        <f ca="1">IF('Current Char Stats'!$A122="","",'Current Char Stats'!$AE122)</f>
        <v>8</v>
      </c>
    </row>
    <row r="254" spans="1:32">
      <c r="A254" s="18">
        <f ca="1">IF('Current Char Stats'!$A123="","",Settings!$B$2)</f>
        <v>1</v>
      </c>
      <c r="B254" s="117" t="str">
        <f ca="1">IF('Current Char Stats'!$A123="","",'Current Char Stats'!$A123)</f>
        <v>Jason</v>
      </c>
      <c r="C254" s="18" t="str">
        <f ca="1">IF('Current Char Stats'!$A123="","",'Current Char Stats'!$B123)</f>
        <v>Dry Bones</v>
      </c>
      <c r="D254" s="18" t="str">
        <f ca="1">IF('Current Char Stats'!$A123="","",'Current Char Stats'!$C123)</f>
        <v>G7</v>
      </c>
      <c r="E254" s="18" t="str">
        <f ca="1">IF('Current Char Stats'!$A123="","",'Current Char Stats'!$D123)</f>
        <v/>
      </c>
      <c r="F254" s="18" t="str">
        <f ca="1">IF('Current Char Stats'!$A123="","",'Current Char Stats'!$E123)</f>
        <v/>
      </c>
      <c r="G254" s="18" t="e">
        <f ca="1">IF('Current Char Stats'!$A123="","",'Current Char Stats'!$F123)</f>
        <v>#VALUE!</v>
      </c>
      <c r="H254" s="18" t="str">
        <f ca="1">IF('Current Char Stats'!$A123="","",'Current Char Stats'!$G123)</f>
        <v/>
      </c>
      <c r="I254" s="18" t="str">
        <f ca="1">IF('Current Char Stats'!$A123="","",'Current Char Stats'!$H123)</f>
        <v/>
      </c>
      <c r="J254" s="18">
        <f ca="1">IF('Current Char Stats'!$A123="","",'Current Char Stats'!$I123)</f>
        <v>0</v>
      </c>
      <c r="K254" s="18">
        <f ca="1">IF('Current Char Stats'!$A123="","",'Current Char Stats'!$J123)</f>
        <v>0</v>
      </c>
      <c r="L254" s="18" t="str">
        <f ca="1">IF('Current Char Stats'!$A123="","",'Current Char Stats'!$K123)</f>
        <v/>
      </c>
      <c r="M254" s="18">
        <f ca="1">IF('Current Char Stats'!$A123="","",'Current Char Stats'!$L123)</f>
        <v>0</v>
      </c>
      <c r="N254" s="18">
        <f ca="1">IF('Current Char Stats'!$A123="","",'Current Char Stats'!$M123)</f>
        <v>0</v>
      </c>
      <c r="O254" s="18">
        <f ca="1">IF('Current Char Stats'!$A123="","",'Current Char Stats'!$N123)</f>
        <v>0</v>
      </c>
      <c r="P254" s="18">
        <f ca="1">IF('Current Char Stats'!$A123="","",'Current Char Stats'!$O123)</f>
        <v>0</v>
      </c>
      <c r="Q254" s="18">
        <f ca="1">IF('Current Char Stats'!$A123="","",'Current Char Stats'!$P123)</f>
        <v>0</v>
      </c>
      <c r="R254" s="18">
        <f ca="1">IF('Current Char Stats'!$A123="","",'Current Char Stats'!$Q123)</f>
        <v>0</v>
      </c>
      <c r="S254" s="18">
        <f ca="1">IF('Current Char Stats'!$A123="","",'Current Char Stats'!$R123)</f>
        <v>0</v>
      </c>
      <c r="T254" s="18">
        <f ca="1">IF('Current Char Stats'!$A123="","",'Current Char Stats'!$S123)</f>
        <v>0</v>
      </c>
      <c r="U254" s="18">
        <f ca="1">IF('Current Char Stats'!$A123="","",'Current Char Stats'!$T123)</f>
        <v>0</v>
      </c>
      <c r="V254" s="18">
        <f ca="1">IF('Current Char Stats'!$A123="","",'Current Char Stats'!$U123)</f>
        <v>0</v>
      </c>
      <c r="W254" s="18">
        <f ca="1">IF('Current Char Stats'!$A123="","",'Current Char Stats'!$V123)</f>
        <v>0</v>
      </c>
      <c r="X254" s="18">
        <f ca="1">IF('Current Char Stats'!$A123="","",'Current Char Stats'!$W123)</f>
        <v>0</v>
      </c>
      <c r="Y254" s="18">
        <f ca="1">IF('Current Char Stats'!$A123="","",'Current Char Stats'!$X123)</f>
        <v>0</v>
      </c>
      <c r="Z254" s="18">
        <f ca="1">IF('Current Char Stats'!$A123="","",'Current Char Stats'!$Y123)</f>
        <v>0</v>
      </c>
      <c r="AA254" s="18">
        <f ca="1">IF('Current Char Stats'!$A123="","",'Current Char Stats'!$Z123)</f>
        <v>0</v>
      </c>
      <c r="AB254" s="18">
        <f ca="1">IF('Current Char Stats'!$A123="","",'Current Char Stats'!$AA123)</f>
        <v>0</v>
      </c>
      <c r="AC254" s="18">
        <f ca="1">IF('Current Char Stats'!$A123="","",'Current Char Stats'!$AB123)</f>
        <v>0</v>
      </c>
      <c r="AD254" s="18">
        <f ca="1">IF('Current Char Stats'!$A123="","",'Current Char Stats'!$AC123)</f>
        <v>0</v>
      </c>
      <c r="AE254" s="18">
        <f ca="1">IF('Current Char Stats'!$A123="","",'Current Char Stats'!$AD123)</f>
        <v>0</v>
      </c>
      <c r="AF254" s="18">
        <f ca="1">IF('Current Char Stats'!$A123="","",'Current Char Stats'!$AE123)</f>
        <v>0</v>
      </c>
    </row>
    <row r="255" spans="1:32">
      <c r="A255" s="18">
        <f ca="1">IF('Current Char Stats'!$A124="","",Settings!$B$2)</f>
        <v>1</v>
      </c>
      <c r="B255" s="117" t="str">
        <f ca="1">IF('Current Char Stats'!$A124="","",'Current Char Stats'!$A124)</f>
        <v>Jason</v>
      </c>
      <c r="C255" s="18" t="str">
        <f ca="1">IF('Current Char Stats'!$A124="","",'Current Char Stats'!$B124)</f>
        <v>Diddy Kong</v>
      </c>
      <c r="D255" s="18" t="str">
        <f ca="1">IF('Current Char Stats'!$A124="","",'Current Char Stats'!$C124)</f>
        <v>G7</v>
      </c>
      <c r="E255" s="18" t="str">
        <f ca="1">IF('Current Char Stats'!$A124="","",'Current Char Stats'!$D124)</f>
        <v/>
      </c>
      <c r="F255" s="18" t="str">
        <f ca="1">IF('Current Char Stats'!$A124="","",'Current Char Stats'!$E124)</f>
        <v/>
      </c>
      <c r="G255" s="18" t="e">
        <f ca="1">IF('Current Char Stats'!$A124="","",'Current Char Stats'!$F124)</f>
        <v>#VALUE!</v>
      </c>
      <c r="H255" s="18" t="str">
        <f ca="1">IF('Current Char Stats'!$A124="","",'Current Char Stats'!$G124)</f>
        <v/>
      </c>
      <c r="I255" s="18" t="str">
        <f ca="1">IF('Current Char Stats'!$A124="","",'Current Char Stats'!$H124)</f>
        <v/>
      </c>
      <c r="J255" s="18">
        <f ca="1">IF('Current Char Stats'!$A124="","",'Current Char Stats'!$I124)</f>
        <v>0</v>
      </c>
      <c r="K255" s="18">
        <f ca="1">IF('Current Char Stats'!$A124="","",'Current Char Stats'!$J124)</f>
        <v>0</v>
      </c>
      <c r="L255" s="18" t="str">
        <f ca="1">IF('Current Char Stats'!$A124="","",'Current Char Stats'!$K124)</f>
        <v/>
      </c>
      <c r="M255" s="18">
        <f ca="1">IF('Current Char Stats'!$A124="","",'Current Char Stats'!$L124)</f>
        <v>0</v>
      </c>
      <c r="N255" s="18">
        <f ca="1">IF('Current Char Stats'!$A124="","",'Current Char Stats'!$M124)</f>
        <v>0</v>
      </c>
      <c r="O255" s="18">
        <f ca="1">IF('Current Char Stats'!$A124="","",'Current Char Stats'!$N124)</f>
        <v>0</v>
      </c>
      <c r="P255" s="18">
        <f ca="1">IF('Current Char Stats'!$A124="","",'Current Char Stats'!$O124)</f>
        <v>0</v>
      </c>
      <c r="Q255" s="18">
        <f ca="1">IF('Current Char Stats'!$A124="","",'Current Char Stats'!$P124)</f>
        <v>0</v>
      </c>
      <c r="R255" s="18">
        <f ca="1">IF('Current Char Stats'!$A124="","",'Current Char Stats'!$Q124)</f>
        <v>0</v>
      </c>
      <c r="S255" s="18">
        <f ca="1">IF('Current Char Stats'!$A124="","",'Current Char Stats'!$R124)</f>
        <v>0</v>
      </c>
      <c r="T255" s="18">
        <f ca="1">IF('Current Char Stats'!$A124="","",'Current Char Stats'!$S124)</f>
        <v>0</v>
      </c>
      <c r="U255" s="18">
        <f ca="1">IF('Current Char Stats'!$A124="","",'Current Char Stats'!$T124)</f>
        <v>0</v>
      </c>
      <c r="V255" s="18">
        <f ca="1">IF('Current Char Stats'!$A124="","",'Current Char Stats'!$U124)</f>
        <v>0</v>
      </c>
      <c r="W255" s="18">
        <f ca="1">IF('Current Char Stats'!$A124="","",'Current Char Stats'!$V124)</f>
        <v>0</v>
      </c>
      <c r="X255" s="18">
        <f ca="1">IF('Current Char Stats'!$A124="","",'Current Char Stats'!$W124)</f>
        <v>0</v>
      </c>
      <c r="Y255" s="18">
        <f ca="1">IF('Current Char Stats'!$A124="","",'Current Char Stats'!$X124)</f>
        <v>0</v>
      </c>
      <c r="Z255" s="18">
        <f ca="1">IF('Current Char Stats'!$A124="","",'Current Char Stats'!$Y124)</f>
        <v>0</v>
      </c>
      <c r="AA255" s="18">
        <f ca="1">IF('Current Char Stats'!$A124="","",'Current Char Stats'!$Z124)</f>
        <v>0</v>
      </c>
      <c r="AB255" s="18">
        <f ca="1">IF('Current Char Stats'!$A124="","",'Current Char Stats'!$AA124)</f>
        <v>0</v>
      </c>
      <c r="AC255" s="18">
        <f ca="1">IF('Current Char Stats'!$A124="","",'Current Char Stats'!$AB124)</f>
        <v>0</v>
      </c>
      <c r="AD255" s="18">
        <f ca="1">IF('Current Char Stats'!$A124="","",'Current Char Stats'!$AC124)</f>
        <v>0</v>
      </c>
      <c r="AE255" s="18">
        <f ca="1">IF('Current Char Stats'!$A124="","",'Current Char Stats'!$AD124)</f>
        <v>0</v>
      </c>
      <c r="AF255" s="18">
        <f ca="1">IF('Current Char Stats'!$A124="","",'Current Char Stats'!$AE124)</f>
        <v>0</v>
      </c>
    </row>
    <row r="256" spans="1:32">
      <c r="A256" s="18">
        <f ca="1">IF('Current Char Stats'!$A125="","",Settings!$B$2)</f>
        <v>1</v>
      </c>
      <c r="B256" s="117" t="str">
        <f ca="1">IF('Current Char Stats'!$A125="","",'Current Char Stats'!$A125)</f>
        <v>Jason</v>
      </c>
      <c r="C256" s="18" t="str">
        <f ca="1">IF('Current Char Stats'!$A125="","",'Current Char Stats'!$B125)</f>
        <v>Tiny Kong</v>
      </c>
      <c r="D256" s="18" t="str">
        <f ca="1">IF('Current Char Stats'!$A125="","",'Current Char Stats'!$C125)</f>
        <v>G7</v>
      </c>
      <c r="E256" s="18" t="str">
        <f ca="1">IF('Current Char Stats'!$A125="","",'Current Char Stats'!$D125)</f>
        <v/>
      </c>
      <c r="F256" s="18" t="str">
        <f ca="1">IF('Current Char Stats'!$A125="","",'Current Char Stats'!$E125)</f>
        <v/>
      </c>
      <c r="G256" s="18" t="e">
        <f ca="1">IF('Current Char Stats'!$A125="","",'Current Char Stats'!$F125)</f>
        <v>#VALUE!</v>
      </c>
      <c r="H256" s="18" t="str">
        <f ca="1">IF('Current Char Stats'!$A125="","",'Current Char Stats'!$G125)</f>
        <v/>
      </c>
      <c r="I256" s="18" t="str">
        <f ca="1">IF('Current Char Stats'!$A125="","",'Current Char Stats'!$H125)</f>
        <v/>
      </c>
      <c r="J256" s="18">
        <f ca="1">IF('Current Char Stats'!$A125="","",'Current Char Stats'!$I125)</f>
        <v>0</v>
      </c>
      <c r="K256" s="18">
        <f ca="1">IF('Current Char Stats'!$A125="","",'Current Char Stats'!$J125)</f>
        <v>0</v>
      </c>
      <c r="L256" s="18" t="str">
        <f ca="1">IF('Current Char Stats'!$A125="","",'Current Char Stats'!$K125)</f>
        <v/>
      </c>
      <c r="M256" s="18">
        <f ca="1">IF('Current Char Stats'!$A125="","",'Current Char Stats'!$L125)</f>
        <v>0</v>
      </c>
      <c r="N256" s="18">
        <f ca="1">IF('Current Char Stats'!$A125="","",'Current Char Stats'!$M125)</f>
        <v>0</v>
      </c>
      <c r="O256" s="18">
        <f ca="1">IF('Current Char Stats'!$A125="","",'Current Char Stats'!$N125)</f>
        <v>0</v>
      </c>
      <c r="P256" s="18">
        <f ca="1">IF('Current Char Stats'!$A125="","",'Current Char Stats'!$O125)</f>
        <v>0</v>
      </c>
      <c r="Q256" s="18">
        <f ca="1">IF('Current Char Stats'!$A125="","",'Current Char Stats'!$P125)</f>
        <v>0</v>
      </c>
      <c r="R256" s="18">
        <f ca="1">IF('Current Char Stats'!$A125="","",'Current Char Stats'!$Q125)</f>
        <v>0</v>
      </c>
      <c r="S256" s="18">
        <f ca="1">IF('Current Char Stats'!$A125="","",'Current Char Stats'!$R125)</f>
        <v>0</v>
      </c>
      <c r="T256" s="18">
        <f ca="1">IF('Current Char Stats'!$A125="","",'Current Char Stats'!$S125)</f>
        <v>0</v>
      </c>
      <c r="U256" s="18">
        <f ca="1">IF('Current Char Stats'!$A125="","",'Current Char Stats'!$T125)</f>
        <v>0</v>
      </c>
      <c r="V256" s="18">
        <f ca="1">IF('Current Char Stats'!$A125="","",'Current Char Stats'!$U125)</f>
        <v>0</v>
      </c>
      <c r="W256" s="18">
        <f ca="1">IF('Current Char Stats'!$A125="","",'Current Char Stats'!$V125)</f>
        <v>0</v>
      </c>
      <c r="X256" s="18">
        <f ca="1">IF('Current Char Stats'!$A125="","",'Current Char Stats'!$W125)</f>
        <v>0</v>
      </c>
      <c r="Y256" s="18">
        <f ca="1">IF('Current Char Stats'!$A125="","",'Current Char Stats'!$X125)</f>
        <v>0</v>
      </c>
      <c r="Z256" s="18">
        <f ca="1">IF('Current Char Stats'!$A125="","",'Current Char Stats'!$Y125)</f>
        <v>0</v>
      </c>
      <c r="AA256" s="18">
        <f ca="1">IF('Current Char Stats'!$A125="","",'Current Char Stats'!$Z125)</f>
        <v>0</v>
      </c>
      <c r="AB256" s="18">
        <f ca="1">IF('Current Char Stats'!$A125="","",'Current Char Stats'!$AA125)</f>
        <v>0</v>
      </c>
      <c r="AC256" s="18">
        <f ca="1">IF('Current Char Stats'!$A125="","",'Current Char Stats'!$AB125)</f>
        <v>0</v>
      </c>
      <c r="AD256" s="18">
        <f ca="1">IF('Current Char Stats'!$A125="","",'Current Char Stats'!$AC125)</f>
        <v>0</v>
      </c>
      <c r="AE256" s="18">
        <f ca="1">IF('Current Char Stats'!$A125="","",'Current Char Stats'!$AD125)</f>
        <v>0</v>
      </c>
      <c r="AF256" s="18">
        <f ca="1">IF('Current Char Stats'!$A125="","",'Current Char Stats'!$AE125)</f>
        <v>0</v>
      </c>
    </row>
    <row r="257" spans="1:32">
      <c r="A257" s="18">
        <f ca="1">IF('Current Char Stats'!$A126="","",Settings!$B$2)</f>
        <v>1</v>
      </c>
      <c r="B257" s="117" t="str">
        <f ca="1">IF('Current Char Stats'!$A126="","",'Current Char Stats'!$A126)</f>
        <v>Jason</v>
      </c>
      <c r="C257" s="18" t="str">
        <f ca="1">IF('Current Char Stats'!$A126="","",'Current Char Stats'!$B126)</f>
        <v>Baby DK</v>
      </c>
      <c r="D257" s="18" t="str">
        <f ca="1">IF('Current Char Stats'!$A126="","",'Current Char Stats'!$C126)</f>
        <v>G7</v>
      </c>
      <c r="E257" s="18" t="str">
        <f ca="1">IF('Current Char Stats'!$A126="","",'Current Char Stats'!$D126)</f>
        <v/>
      </c>
      <c r="F257" s="18" t="str">
        <f ca="1">IF('Current Char Stats'!$A126="","",'Current Char Stats'!$E126)</f>
        <v/>
      </c>
      <c r="G257" s="18" t="e">
        <f ca="1">IF('Current Char Stats'!$A126="","",'Current Char Stats'!$F126)</f>
        <v>#VALUE!</v>
      </c>
      <c r="H257" s="18" t="str">
        <f ca="1">IF('Current Char Stats'!$A126="","",'Current Char Stats'!$G126)</f>
        <v/>
      </c>
      <c r="I257" s="18" t="str">
        <f ca="1">IF('Current Char Stats'!$A126="","",'Current Char Stats'!$H126)</f>
        <v/>
      </c>
      <c r="J257" s="18">
        <f ca="1">IF('Current Char Stats'!$A126="","",'Current Char Stats'!$I126)</f>
        <v>0</v>
      </c>
      <c r="K257" s="18">
        <f ca="1">IF('Current Char Stats'!$A126="","",'Current Char Stats'!$J126)</f>
        <v>0</v>
      </c>
      <c r="L257" s="18" t="str">
        <f ca="1">IF('Current Char Stats'!$A126="","",'Current Char Stats'!$K126)</f>
        <v/>
      </c>
      <c r="M257" s="18">
        <f ca="1">IF('Current Char Stats'!$A126="","",'Current Char Stats'!$L126)</f>
        <v>0</v>
      </c>
      <c r="N257" s="18">
        <f ca="1">IF('Current Char Stats'!$A126="","",'Current Char Stats'!$M126)</f>
        <v>0</v>
      </c>
      <c r="O257" s="18">
        <f ca="1">IF('Current Char Stats'!$A126="","",'Current Char Stats'!$N126)</f>
        <v>0</v>
      </c>
      <c r="P257" s="18">
        <f ca="1">IF('Current Char Stats'!$A126="","",'Current Char Stats'!$O126)</f>
        <v>0</v>
      </c>
      <c r="Q257" s="18">
        <f ca="1">IF('Current Char Stats'!$A126="","",'Current Char Stats'!$P126)</f>
        <v>0</v>
      </c>
      <c r="R257" s="18">
        <f ca="1">IF('Current Char Stats'!$A126="","",'Current Char Stats'!$Q126)</f>
        <v>0</v>
      </c>
      <c r="S257" s="18">
        <f ca="1">IF('Current Char Stats'!$A126="","",'Current Char Stats'!$R126)</f>
        <v>0</v>
      </c>
      <c r="T257" s="18">
        <f ca="1">IF('Current Char Stats'!$A126="","",'Current Char Stats'!$S126)</f>
        <v>0</v>
      </c>
      <c r="U257" s="18">
        <f ca="1">IF('Current Char Stats'!$A126="","",'Current Char Stats'!$T126)</f>
        <v>0</v>
      </c>
      <c r="V257" s="18">
        <f ca="1">IF('Current Char Stats'!$A126="","",'Current Char Stats'!$U126)</f>
        <v>0</v>
      </c>
      <c r="W257" s="18">
        <f ca="1">IF('Current Char Stats'!$A126="","",'Current Char Stats'!$V126)</f>
        <v>0</v>
      </c>
      <c r="X257" s="18">
        <f ca="1">IF('Current Char Stats'!$A126="","",'Current Char Stats'!$W126)</f>
        <v>0</v>
      </c>
      <c r="Y257" s="18">
        <f ca="1">IF('Current Char Stats'!$A126="","",'Current Char Stats'!$X126)</f>
        <v>0</v>
      </c>
      <c r="Z257" s="18">
        <f ca="1">IF('Current Char Stats'!$A126="","",'Current Char Stats'!$Y126)</f>
        <v>0</v>
      </c>
      <c r="AA257" s="18">
        <f ca="1">IF('Current Char Stats'!$A126="","",'Current Char Stats'!$Z126)</f>
        <v>0</v>
      </c>
      <c r="AB257" s="18">
        <f ca="1">IF('Current Char Stats'!$A126="","",'Current Char Stats'!$AA126)</f>
        <v>0</v>
      </c>
      <c r="AC257" s="18">
        <f ca="1">IF('Current Char Stats'!$A126="","",'Current Char Stats'!$AB126)</f>
        <v>0</v>
      </c>
      <c r="AD257" s="18">
        <f ca="1">IF('Current Char Stats'!$A126="","",'Current Char Stats'!$AC126)</f>
        <v>0</v>
      </c>
      <c r="AE257" s="18">
        <f ca="1">IF('Current Char Stats'!$A126="","",'Current Char Stats'!$AD126)</f>
        <v>0</v>
      </c>
      <c r="AF257" s="18">
        <f ca="1">IF('Current Char Stats'!$A126="","",'Current Char Stats'!$AE126)</f>
        <v>0</v>
      </c>
    </row>
    <row r="258" spans="1:32">
      <c r="A258" s="18">
        <f ca="1">IF('Current Char Stats'!$A127="","",Settings!$B$2)</f>
        <v>1</v>
      </c>
      <c r="B258" s="117" t="str">
        <f ca="1">IF('Current Char Stats'!$A127="","",'Current Char Stats'!$A127)</f>
        <v>Jason</v>
      </c>
      <c r="C258" s="18" t="str">
        <f ca="1">IF('Current Char Stats'!$A127="","",'Current Char Stats'!$B127)</f>
        <v>Fire Bro</v>
      </c>
      <c r="D258" s="18" t="str">
        <f ca="1">IF('Current Char Stats'!$A127="","",'Current Char Stats'!$C127)</f>
        <v>G7</v>
      </c>
      <c r="E258" s="18" t="str">
        <f ca="1">IF('Current Char Stats'!$A127="","",'Current Char Stats'!$D127)</f>
        <v/>
      </c>
      <c r="F258" s="18" t="str">
        <f ca="1">IF('Current Char Stats'!$A127="","",'Current Char Stats'!$E127)</f>
        <v/>
      </c>
      <c r="G258" s="18" t="e">
        <f ca="1">IF('Current Char Stats'!$A127="","",'Current Char Stats'!$F127)</f>
        <v>#VALUE!</v>
      </c>
      <c r="H258" s="18" t="str">
        <f ca="1">IF('Current Char Stats'!$A127="","",'Current Char Stats'!$G127)</f>
        <v/>
      </c>
      <c r="I258" s="18" t="str">
        <f ca="1">IF('Current Char Stats'!$A127="","",'Current Char Stats'!$H127)</f>
        <v/>
      </c>
      <c r="J258" s="18">
        <f ca="1">IF('Current Char Stats'!$A127="","",'Current Char Stats'!$I127)</f>
        <v>0</v>
      </c>
      <c r="K258" s="18">
        <f ca="1">IF('Current Char Stats'!$A127="","",'Current Char Stats'!$J127)</f>
        <v>0</v>
      </c>
      <c r="L258" s="18" t="str">
        <f ca="1">IF('Current Char Stats'!$A127="","",'Current Char Stats'!$K127)</f>
        <v/>
      </c>
      <c r="M258" s="18">
        <f ca="1">IF('Current Char Stats'!$A127="","",'Current Char Stats'!$L127)</f>
        <v>0</v>
      </c>
      <c r="N258" s="18">
        <f ca="1">IF('Current Char Stats'!$A127="","",'Current Char Stats'!$M127)</f>
        <v>0</v>
      </c>
      <c r="O258" s="18">
        <f ca="1">IF('Current Char Stats'!$A127="","",'Current Char Stats'!$N127)</f>
        <v>0</v>
      </c>
      <c r="P258" s="18">
        <f ca="1">IF('Current Char Stats'!$A127="","",'Current Char Stats'!$O127)</f>
        <v>0</v>
      </c>
      <c r="Q258" s="18">
        <f ca="1">IF('Current Char Stats'!$A127="","",'Current Char Stats'!$P127)</f>
        <v>0</v>
      </c>
      <c r="R258" s="18">
        <f ca="1">IF('Current Char Stats'!$A127="","",'Current Char Stats'!$Q127)</f>
        <v>0</v>
      </c>
      <c r="S258" s="18">
        <f ca="1">IF('Current Char Stats'!$A127="","",'Current Char Stats'!$R127)</f>
        <v>1</v>
      </c>
      <c r="T258" s="18">
        <f ca="1">IF('Current Char Stats'!$A127="","",'Current Char Stats'!$S127)</f>
        <v>0</v>
      </c>
      <c r="U258" s="18">
        <f ca="1">IF('Current Char Stats'!$A127="","",'Current Char Stats'!$T127)</f>
        <v>0</v>
      </c>
      <c r="V258" s="18">
        <f ca="1">IF('Current Char Stats'!$A127="","",'Current Char Stats'!$U127)</f>
        <v>0</v>
      </c>
      <c r="W258" s="18">
        <f ca="1">IF('Current Char Stats'!$A127="","",'Current Char Stats'!$V127)</f>
        <v>0</v>
      </c>
      <c r="X258" s="18">
        <f ca="1">IF('Current Char Stats'!$A127="","",'Current Char Stats'!$W127)</f>
        <v>0</v>
      </c>
      <c r="Y258" s="18">
        <f ca="1">IF('Current Char Stats'!$A127="","",'Current Char Stats'!$X127)</f>
        <v>0</v>
      </c>
      <c r="Z258" s="18">
        <f ca="1">IF('Current Char Stats'!$A127="","",'Current Char Stats'!$Y127)</f>
        <v>0</v>
      </c>
      <c r="AA258" s="18">
        <f ca="1">IF('Current Char Stats'!$A127="","",'Current Char Stats'!$Z127)</f>
        <v>0</v>
      </c>
      <c r="AB258" s="18">
        <f ca="1">IF('Current Char Stats'!$A127="","",'Current Char Stats'!$AA127)</f>
        <v>0</v>
      </c>
      <c r="AC258" s="18">
        <f ca="1">IF('Current Char Stats'!$A127="","",'Current Char Stats'!$AB127)</f>
        <v>0</v>
      </c>
      <c r="AD258" s="18">
        <f ca="1">IF('Current Char Stats'!$A127="","",'Current Char Stats'!$AC127)</f>
        <v>0</v>
      </c>
      <c r="AE258" s="18">
        <f ca="1">IF('Current Char Stats'!$A127="","",'Current Char Stats'!$AD127)</f>
        <v>0</v>
      </c>
      <c r="AF258" s="18">
        <f ca="1">IF('Current Char Stats'!$A127="","",'Current Char Stats'!$AE127)</f>
        <v>0</v>
      </c>
    </row>
    <row r="259" spans="1:32">
      <c r="A259" s="18">
        <f ca="1">IF('Current Char Stats'!$A128="","",Settings!$B$2)</f>
        <v>1</v>
      </c>
      <c r="B259" s="117" t="str">
        <f ca="1">IF('Current Char Stats'!$A128="","",'Current Char Stats'!$A128)</f>
        <v>Jason</v>
      </c>
      <c r="C259" s="18" t="str">
        <f ca="1">IF('Current Char Stats'!$A128="","",'Current Char Stats'!$B128)</f>
        <v>Dixie Kong</v>
      </c>
      <c r="D259" s="18" t="str">
        <f ca="1">IF('Current Char Stats'!$A128="","",'Current Char Stats'!$C128)</f>
        <v>G7</v>
      </c>
      <c r="E259" s="18" t="str">
        <f ca="1">IF('Current Char Stats'!$A128="","",'Current Char Stats'!$D128)</f>
        <v/>
      </c>
      <c r="F259" s="18" t="str">
        <f ca="1">IF('Current Char Stats'!$A128="","",'Current Char Stats'!$E128)</f>
        <v/>
      </c>
      <c r="G259" s="18" t="e">
        <f ca="1">IF('Current Char Stats'!$A128="","",'Current Char Stats'!$F128)</f>
        <v>#VALUE!</v>
      </c>
      <c r="H259" s="18" t="str">
        <f ca="1">IF('Current Char Stats'!$A128="","",'Current Char Stats'!$G128)</f>
        <v/>
      </c>
      <c r="I259" s="18" t="str">
        <f ca="1">IF('Current Char Stats'!$A128="","",'Current Char Stats'!$H128)</f>
        <v/>
      </c>
      <c r="J259" s="18">
        <f ca="1">IF('Current Char Stats'!$A128="","",'Current Char Stats'!$I128)</f>
        <v>0</v>
      </c>
      <c r="K259" s="18">
        <f ca="1">IF('Current Char Stats'!$A128="","",'Current Char Stats'!$J128)</f>
        <v>0</v>
      </c>
      <c r="L259" s="18" t="str">
        <f ca="1">IF('Current Char Stats'!$A128="","",'Current Char Stats'!$K128)</f>
        <v/>
      </c>
      <c r="M259" s="18">
        <f ca="1">IF('Current Char Stats'!$A128="","",'Current Char Stats'!$L128)</f>
        <v>0</v>
      </c>
      <c r="N259" s="18">
        <f ca="1">IF('Current Char Stats'!$A128="","",'Current Char Stats'!$M128)</f>
        <v>0</v>
      </c>
      <c r="O259" s="18">
        <f ca="1">IF('Current Char Stats'!$A128="","",'Current Char Stats'!$N128)</f>
        <v>0</v>
      </c>
      <c r="P259" s="18">
        <f ca="1">IF('Current Char Stats'!$A128="","",'Current Char Stats'!$O128)</f>
        <v>0</v>
      </c>
      <c r="Q259" s="18">
        <f ca="1">IF('Current Char Stats'!$A128="","",'Current Char Stats'!$P128)</f>
        <v>0</v>
      </c>
      <c r="R259" s="18">
        <f ca="1">IF('Current Char Stats'!$A128="","",'Current Char Stats'!$Q128)</f>
        <v>0</v>
      </c>
      <c r="S259" s="18">
        <f ca="1">IF('Current Char Stats'!$A128="","",'Current Char Stats'!$R128)</f>
        <v>1</v>
      </c>
      <c r="T259" s="18">
        <f ca="1">IF('Current Char Stats'!$A128="","",'Current Char Stats'!$S128)</f>
        <v>0</v>
      </c>
      <c r="U259" s="18">
        <f ca="1">IF('Current Char Stats'!$A128="","",'Current Char Stats'!$T128)</f>
        <v>0</v>
      </c>
      <c r="V259" s="18">
        <f ca="1">IF('Current Char Stats'!$A128="","",'Current Char Stats'!$U128)</f>
        <v>0</v>
      </c>
      <c r="W259" s="18">
        <f ca="1">IF('Current Char Stats'!$A128="","",'Current Char Stats'!$V128)</f>
        <v>0</v>
      </c>
      <c r="X259" s="18">
        <f ca="1">IF('Current Char Stats'!$A128="","",'Current Char Stats'!$W128)</f>
        <v>0</v>
      </c>
      <c r="Y259" s="18">
        <f ca="1">IF('Current Char Stats'!$A128="","",'Current Char Stats'!$X128)</f>
        <v>0</v>
      </c>
      <c r="Z259" s="18">
        <f ca="1">IF('Current Char Stats'!$A128="","",'Current Char Stats'!$Y128)</f>
        <v>0</v>
      </c>
      <c r="AA259" s="18">
        <f ca="1">IF('Current Char Stats'!$A128="","",'Current Char Stats'!$Z128)</f>
        <v>0</v>
      </c>
      <c r="AB259" s="18">
        <f ca="1">IF('Current Char Stats'!$A128="","",'Current Char Stats'!$AA128)</f>
        <v>0</v>
      </c>
      <c r="AC259" s="18">
        <f ca="1">IF('Current Char Stats'!$A128="","",'Current Char Stats'!$AB128)</f>
        <v>0</v>
      </c>
      <c r="AD259" s="18">
        <f ca="1">IF('Current Char Stats'!$A128="","",'Current Char Stats'!$AC128)</f>
        <v>0</v>
      </c>
      <c r="AE259" s="18">
        <f ca="1">IF('Current Char Stats'!$A128="","",'Current Char Stats'!$AD128)</f>
        <v>0</v>
      </c>
      <c r="AF259" s="18">
        <f ca="1">IF('Current Char Stats'!$A128="","",'Current Char Stats'!$AE128)</f>
        <v>0</v>
      </c>
    </row>
    <row r="260" spans="1:32">
      <c r="A260" s="18">
        <f ca="1">IF('Current Char Stats'!$A129="","",Settings!$B$2)</f>
        <v>1</v>
      </c>
      <c r="B260" s="117" t="str">
        <f ca="1">IF('Current Char Stats'!$A129="","",'Current Char Stats'!$A129)</f>
        <v>Jason</v>
      </c>
      <c r="C260" s="18" t="str">
        <f ca="1">IF('Current Char Stats'!$A129="","",'Current Char Stats'!$B129)</f>
        <v>Paragoomba</v>
      </c>
      <c r="D260" s="18" t="str">
        <f ca="1">IF('Current Char Stats'!$A129="","",'Current Char Stats'!$C129)</f>
        <v>G7</v>
      </c>
      <c r="E260" s="18" t="str">
        <f ca="1">IF('Current Char Stats'!$A129="","",'Current Char Stats'!$D129)</f>
        <v/>
      </c>
      <c r="F260" s="18" t="str">
        <f ca="1">IF('Current Char Stats'!$A129="","",'Current Char Stats'!$E129)</f>
        <v/>
      </c>
      <c r="G260" s="18" t="e">
        <f ca="1">IF('Current Char Stats'!$A129="","",'Current Char Stats'!$F129)</f>
        <v>#VALUE!</v>
      </c>
      <c r="H260" s="18" t="str">
        <f ca="1">IF('Current Char Stats'!$A129="","",'Current Char Stats'!$G129)</f>
        <v/>
      </c>
      <c r="I260" s="18" t="str">
        <f ca="1">IF('Current Char Stats'!$A129="","",'Current Char Stats'!$H129)</f>
        <v/>
      </c>
      <c r="J260" s="18">
        <f ca="1">IF('Current Char Stats'!$A129="","",'Current Char Stats'!$I129)</f>
        <v>0</v>
      </c>
      <c r="K260" s="18">
        <f ca="1">IF('Current Char Stats'!$A129="","",'Current Char Stats'!$J129)</f>
        <v>0</v>
      </c>
      <c r="L260" s="18" t="str">
        <f ca="1">IF('Current Char Stats'!$A129="","",'Current Char Stats'!$K129)</f>
        <v/>
      </c>
      <c r="M260" s="18">
        <f ca="1">IF('Current Char Stats'!$A129="","",'Current Char Stats'!$L129)</f>
        <v>0</v>
      </c>
      <c r="N260" s="18">
        <f ca="1">IF('Current Char Stats'!$A129="","",'Current Char Stats'!$M129)</f>
        <v>0</v>
      </c>
      <c r="O260" s="18">
        <f ca="1">IF('Current Char Stats'!$A129="","",'Current Char Stats'!$N129)</f>
        <v>0</v>
      </c>
      <c r="P260" s="18">
        <f ca="1">IF('Current Char Stats'!$A129="","",'Current Char Stats'!$O129)</f>
        <v>0</v>
      </c>
      <c r="Q260" s="18">
        <f ca="1">IF('Current Char Stats'!$A129="","",'Current Char Stats'!$P129)</f>
        <v>0</v>
      </c>
      <c r="R260" s="18">
        <f ca="1">IF('Current Char Stats'!$A129="","",'Current Char Stats'!$Q129)</f>
        <v>0</v>
      </c>
      <c r="S260" s="18">
        <f ca="1">IF('Current Char Stats'!$A129="","",'Current Char Stats'!$R129)</f>
        <v>0</v>
      </c>
      <c r="T260" s="18">
        <f ca="1">IF('Current Char Stats'!$A129="","",'Current Char Stats'!$S129)</f>
        <v>0</v>
      </c>
      <c r="U260" s="18">
        <f ca="1">IF('Current Char Stats'!$A129="","",'Current Char Stats'!$T129)</f>
        <v>0</v>
      </c>
      <c r="V260" s="18">
        <f ca="1">IF('Current Char Stats'!$A129="","",'Current Char Stats'!$U129)</f>
        <v>0</v>
      </c>
      <c r="W260" s="18">
        <f ca="1">IF('Current Char Stats'!$A129="","",'Current Char Stats'!$V129)</f>
        <v>0</v>
      </c>
      <c r="X260" s="18">
        <f ca="1">IF('Current Char Stats'!$A129="","",'Current Char Stats'!$W129)</f>
        <v>0</v>
      </c>
      <c r="Y260" s="18">
        <f ca="1">IF('Current Char Stats'!$A129="","",'Current Char Stats'!$X129)</f>
        <v>0</v>
      </c>
      <c r="Z260" s="18">
        <f ca="1">IF('Current Char Stats'!$A129="","",'Current Char Stats'!$Y129)</f>
        <v>0</v>
      </c>
      <c r="AA260" s="18">
        <f ca="1">IF('Current Char Stats'!$A129="","",'Current Char Stats'!$Z129)</f>
        <v>0</v>
      </c>
      <c r="AB260" s="18">
        <f ca="1">IF('Current Char Stats'!$A129="","",'Current Char Stats'!$AA129)</f>
        <v>0</v>
      </c>
      <c r="AC260" s="18">
        <f ca="1">IF('Current Char Stats'!$A129="","",'Current Char Stats'!$AB129)</f>
        <v>0</v>
      </c>
      <c r="AD260" s="18">
        <f ca="1">IF('Current Char Stats'!$A129="","",'Current Char Stats'!$AC129)</f>
        <v>0</v>
      </c>
      <c r="AE260" s="18">
        <f ca="1">IF('Current Char Stats'!$A129="","",'Current Char Stats'!$AD129)</f>
        <v>0</v>
      </c>
      <c r="AF260" s="18">
        <f ca="1">IF('Current Char Stats'!$A129="","",'Current Char Stats'!$AE129)</f>
        <v>0</v>
      </c>
    </row>
    <row r="261" spans="1:32">
      <c r="A261" s="18">
        <f ca="1">IF('Current Char Stats'!$A130="","",Settings!$B$2)</f>
        <v>1</v>
      </c>
      <c r="B261" s="117" t="str">
        <f ca="1">IF('Current Char Stats'!$A130="","",'Current Char Stats'!$A130)</f>
        <v>Jason</v>
      </c>
      <c r="C261" s="18" t="str">
        <f ca="1">IF('Current Char Stats'!$A130="","",'Current Char Stats'!$B130)</f>
        <v>Monty Mole</v>
      </c>
      <c r="D261" s="18" t="str">
        <f ca="1">IF('Current Char Stats'!$A130="","",'Current Char Stats'!$C130)</f>
        <v>G8</v>
      </c>
      <c r="E261" s="18">
        <f ca="1">IF('Current Char Stats'!$A130="","",'Current Char Stats'!$D130)</f>
        <v>3</v>
      </c>
      <c r="F261" s="18">
        <f ca="1">IF('Current Char Stats'!$A130="","",'Current Char Stats'!$E130)</f>
        <v>0</v>
      </c>
      <c r="G261" s="18">
        <f ca="1">IF('Current Char Stats'!$A130="","",'Current Char Stats'!$F130)</f>
        <v>0</v>
      </c>
      <c r="H261" s="18">
        <f ca="1">IF('Current Char Stats'!$A130="","",'Current Char Stats'!$G130)</f>
        <v>0</v>
      </c>
      <c r="I261" s="18">
        <f ca="1">IF('Current Char Stats'!$A130="","",'Current Char Stats'!$H130)</f>
        <v>0</v>
      </c>
      <c r="J261" s="18">
        <f ca="1">IF('Current Char Stats'!$A130="","",'Current Char Stats'!$I130)</f>
        <v>0</v>
      </c>
      <c r="K261" s="18">
        <f ca="1">IF('Current Char Stats'!$A130="","",'Current Char Stats'!$J130)</f>
        <v>0</v>
      </c>
      <c r="L261" s="18" t="str">
        <f ca="1">IF('Current Char Stats'!$A130="","",'Current Char Stats'!$K130)</f>
        <v/>
      </c>
      <c r="M261" s="18">
        <f ca="1">IF('Current Char Stats'!$A130="","",'Current Char Stats'!$L130)</f>
        <v>0</v>
      </c>
      <c r="N261" s="18">
        <f ca="1">IF('Current Char Stats'!$A130="","",'Current Char Stats'!$M130)</f>
        <v>0</v>
      </c>
      <c r="O261" s="18">
        <f ca="1">IF('Current Char Stats'!$A130="","",'Current Char Stats'!$N130)</f>
        <v>0</v>
      </c>
      <c r="P261" s="18">
        <f ca="1">IF('Current Char Stats'!$A130="","",'Current Char Stats'!$O130)</f>
        <v>0</v>
      </c>
      <c r="Q261" s="18">
        <f ca="1">IF('Current Char Stats'!$A130="","",'Current Char Stats'!$P130)</f>
        <v>0</v>
      </c>
      <c r="R261" s="18">
        <f ca="1">IF('Current Char Stats'!$A130="","",'Current Char Stats'!$Q130)</f>
        <v>0</v>
      </c>
      <c r="S261" s="18">
        <f ca="1">IF('Current Char Stats'!$A130="","",'Current Char Stats'!$R130)</f>
        <v>1</v>
      </c>
      <c r="T261" s="18">
        <f ca="1">IF('Current Char Stats'!$A130="","",'Current Char Stats'!$S130)</f>
        <v>0</v>
      </c>
      <c r="U261" s="18">
        <f ca="1">IF('Current Char Stats'!$A130="","",'Current Char Stats'!$T130)</f>
        <v>0</v>
      </c>
      <c r="V261" s="18">
        <f ca="1">IF('Current Char Stats'!$A130="","",'Current Char Stats'!$U130)</f>
        <v>0</v>
      </c>
      <c r="W261" s="18">
        <f ca="1">IF('Current Char Stats'!$A130="","",'Current Char Stats'!$V130)</f>
        <v>0</v>
      </c>
      <c r="X261" s="18">
        <f ca="1">IF('Current Char Stats'!$A130="","",'Current Char Stats'!$W130)</f>
        <v>0</v>
      </c>
      <c r="Y261" s="18">
        <f ca="1">IF('Current Char Stats'!$A130="","",'Current Char Stats'!$X130)</f>
        <v>0</v>
      </c>
      <c r="Z261" s="18">
        <f ca="1">IF('Current Char Stats'!$A130="","",'Current Char Stats'!$Y130)</f>
        <v>0</v>
      </c>
      <c r="AA261" s="18">
        <f ca="1">IF('Current Char Stats'!$A130="","",'Current Char Stats'!$Z130)</f>
        <v>0</v>
      </c>
      <c r="AB261" s="18">
        <f ca="1">IF('Current Char Stats'!$A130="","",'Current Char Stats'!$AA130)</f>
        <v>0</v>
      </c>
      <c r="AC261" s="18">
        <f ca="1">IF('Current Char Stats'!$A130="","",'Current Char Stats'!$AB130)</f>
        <v>0</v>
      </c>
      <c r="AD261" s="18">
        <f ca="1">IF('Current Char Stats'!$A130="","",'Current Char Stats'!$AC130)</f>
        <v>0</v>
      </c>
      <c r="AE261" s="18">
        <f ca="1">IF('Current Char Stats'!$A130="","",'Current Char Stats'!$AD130)</f>
        <v>0</v>
      </c>
      <c r="AF261" s="18">
        <f ca="1">IF('Current Char Stats'!$A130="","",'Current Char Stats'!$AE130)</f>
        <v>0</v>
      </c>
    </row>
    <row r="262" spans="1:32">
      <c r="A262" s="18">
        <f ca="1">IF('Current Char Stats'!$A131="","",Settings!$B$2)</f>
        <v>1</v>
      </c>
      <c r="B262" s="117" t="str">
        <f ca="1">IF('Current Char Stats'!$A131="","",'Current Char Stats'!$A131)</f>
        <v>Jason</v>
      </c>
      <c r="C262" s="18" t="str">
        <f ca="1">IF('Current Char Stats'!$A131="","",'Current Char Stats'!$B131)</f>
        <v>Green Dry Bones</v>
      </c>
      <c r="D262" s="18" t="str">
        <f ca="1">IF('Current Char Stats'!$A131="","",'Current Char Stats'!$C131)</f>
        <v>G8</v>
      </c>
      <c r="E262" s="18">
        <f ca="1">IF('Current Char Stats'!$A131="","",'Current Char Stats'!$D131)</f>
        <v>3</v>
      </c>
      <c r="F262" s="18">
        <f ca="1">IF('Current Char Stats'!$A131="","",'Current Char Stats'!$E131)</f>
        <v>1</v>
      </c>
      <c r="G262" s="18">
        <f ca="1">IF('Current Char Stats'!$A131="","",'Current Char Stats'!$F131)</f>
        <v>0.33333333333333331</v>
      </c>
      <c r="H262" s="18">
        <f ca="1">IF('Current Char Stats'!$A131="","",'Current Char Stats'!$G131)</f>
        <v>0</v>
      </c>
      <c r="I262" s="18">
        <f ca="1">IF('Current Char Stats'!$A131="","",'Current Char Stats'!$H131)</f>
        <v>0</v>
      </c>
      <c r="J262" s="18">
        <f ca="1">IF('Current Char Stats'!$A131="","",'Current Char Stats'!$I131)</f>
        <v>0</v>
      </c>
      <c r="K262" s="18">
        <f ca="1">IF('Current Char Stats'!$A131="","",'Current Char Stats'!$J131)</f>
        <v>0</v>
      </c>
      <c r="L262" s="18" t="str">
        <f ca="1">IF('Current Char Stats'!$A131="","",'Current Char Stats'!$K131)</f>
        <v/>
      </c>
      <c r="M262" s="18">
        <f ca="1">IF('Current Char Stats'!$A131="","",'Current Char Stats'!$L131)</f>
        <v>0</v>
      </c>
      <c r="N262" s="18">
        <f ca="1">IF('Current Char Stats'!$A131="","",'Current Char Stats'!$M131)</f>
        <v>0</v>
      </c>
      <c r="O262" s="18">
        <f ca="1">IF('Current Char Stats'!$A131="","",'Current Char Stats'!$N131)</f>
        <v>0</v>
      </c>
      <c r="P262" s="18">
        <f ca="1">IF('Current Char Stats'!$A131="","",'Current Char Stats'!$O131)</f>
        <v>1</v>
      </c>
      <c r="Q262" s="18">
        <f ca="1">IF('Current Char Stats'!$A131="","",'Current Char Stats'!$P131)</f>
        <v>0</v>
      </c>
      <c r="R262" s="18">
        <f ca="1">IF('Current Char Stats'!$A131="","",'Current Char Stats'!$Q131)</f>
        <v>0</v>
      </c>
      <c r="S262" s="18">
        <f ca="1">IF('Current Char Stats'!$A131="","",'Current Char Stats'!$R131)</f>
        <v>0</v>
      </c>
      <c r="T262" s="18">
        <f ca="1">IF('Current Char Stats'!$A131="","",'Current Char Stats'!$S131)</f>
        <v>0</v>
      </c>
      <c r="U262" s="18">
        <f ca="1">IF('Current Char Stats'!$A131="","",'Current Char Stats'!$T131)</f>
        <v>0</v>
      </c>
      <c r="V262" s="18">
        <f ca="1">IF('Current Char Stats'!$A131="","",'Current Char Stats'!$U131)</f>
        <v>0</v>
      </c>
      <c r="W262" s="18">
        <f ca="1">IF('Current Char Stats'!$A131="","",'Current Char Stats'!$V131)</f>
        <v>0</v>
      </c>
      <c r="X262" s="18">
        <f ca="1">IF('Current Char Stats'!$A131="","",'Current Char Stats'!$W131)</f>
        <v>0</v>
      </c>
      <c r="Y262" s="18">
        <f ca="1">IF('Current Char Stats'!$A131="","",'Current Char Stats'!$X131)</f>
        <v>0</v>
      </c>
      <c r="Z262" s="18">
        <f ca="1">IF('Current Char Stats'!$A131="","",'Current Char Stats'!$Y131)</f>
        <v>0</v>
      </c>
      <c r="AA262" s="18">
        <f ca="1">IF('Current Char Stats'!$A131="","",'Current Char Stats'!$Z131)</f>
        <v>0</v>
      </c>
      <c r="AB262" s="18">
        <f ca="1">IF('Current Char Stats'!$A131="","",'Current Char Stats'!$AA131)</f>
        <v>0</v>
      </c>
      <c r="AC262" s="18">
        <f ca="1">IF('Current Char Stats'!$A131="","",'Current Char Stats'!$AB131)</f>
        <v>0</v>
      </c>
      <c r="AD262" s="18">
        <f ca="1">IF('Current Char Stats'!$A131="","",'Current Char Stats'!$AC131)</f>
        <v>0</v>
      </c>
      <c r="AE262" s="18">
        <f ca="1">IF('Current Char Stats'!$A131="","",'Current Char Stats'!$AD131)</f>
        <v>0</v>
      </c>
      <c r="AF262" s="18">
        <f ca="1">IF('Current Char Stats'!$A131="","",'Current Char Stats'!$AE131)</f>
        <v>0</v>
      </c>
    </row>
    <row r="263" spans="1:32">
      <c r="A263" s="18">
        <f ca="1">IF('Current Char Stats'!$A132="","",Settings!$B$2)</f>
        <v>1</v>
      </c>
      <c r="B263" s="117" t="str">
        <f ca="1">IF('Current Char Stats'!$A132="","",'Current Char Stats'!$A132)</f>
        <v>Jason</v>
      </c>
      <c r="C263" s="18" t="str">
        <f ca="1">IF('Current Char Stats'!$A132="","",'Current Char Stats'!$B132)</f>
        <v>Wiggler</v>
      </c>
      <c r="D263" s="18" t="str">
        <f ca="1">IF('Current Char Stats'!$A132="","",'Current Char Stats'!$C132)</f>
        <v>G8</v>
      </c>
      <c r="E263" s="18">
        <f ca="1">IF('Current Char Stats'!$A132="","",'Current Char Stats'!$D132)</f>
        <v>3</v>
      </c>
      <c r="F263" s="18">
        <f ca="1">IF('Current Char Stats'!$A132="","",'Current Char Stats'!$E132)</f>
        <v>0</v>
      </c>
      <c r="G263" s="18">
        <f ca="1">IF('Current Char Stats'!$A132="","",'Current Char Stats'!$F132)</f>
        <v>0</v>
      </c>
      <c r="H263" s="18">
        <f ca="1">IF('Current Char Stats'!$A132="","",'Current Char Stats'!$G132)</f>
        <v>0</v>
      </c>
      <c r="I263" s="18">
        <f ca="1">IF('Current Char Stats'!$A132="","",'Current Char Stats'!$H132)</f>
        <v>0</v>
      </c>
      <c r="J263" s="18">
        <f ca="1">IF('Current Char Stats'!$A132="","",'Current Char Stats'!$I132)</f>
        <v>0</v>
      </c>
      <c r="K263" s="18">
        <f ca="1">IF('Current Char Stats'!$A132="","",'Current Char Stats'!$J132)</f>
        <v>0</v>
      </c>
      <c r="L263" s="18" t="str">
        <f ca="1">IF('Current Char Stats'!$A132="","",'Current Char Stats'!$K132)</f>
        <v/>
      </c>
      <c r="M263" s="18">
        <f ca="1">IF('Current Char Stats'!$A132="","",'Current Char Stats'!$L132)</f>
        <v>0</v>
      </c>
      <c r="N263" s="18">
        <f ca="1">IF('Current Char Stats'!$A132="","",'Current Char Stats'!$M132)</f>
        <v>0</v>
      </c>
      <c r="O263" s="18">
        <f ca="1">IF('Current Char Stats'!$A132="","",'Current Char Stats'!$N132)</f>
        <v>0</v>
      </c>
      <c r="P263" s="18">
        <f ca="1">IF('Current Char Stats'!$A132="","",'Current Char Stats'!$O132)</f>
        <v>0</v>
      </c>
      <c r="Q263" s="18">
        <f ca="1">IF('Current Char Stats'!$A132="","",'Current Char Stats'!$P132)</f>
        <v>0</v>
      </c>
      <c r="R263" s="18">
        <f ca="1">IF('Current Char Stats'!$A132="","",'Current Char Stats'!$Q132)</f>
        <v>0</v>
      </c>
      <c r="S263" s="18">
        <f ca="1">IF('Current Char Stats'!$A132="","",'Current Char Stats'!$R132)</f>
        <v>1</v>
      </c>
      <c r="T263" s="18">
        <f ca="1">IF('Current Char Stats'!$A132="","",'Current Char Stats'!$S132)</f>
        <v>0</v>
      </c>
      <c r="U263" s="18">
        <f ca="1">IF('Current Char Stats'!$A132="","",'Current Char Stats'!$T132)</f>
        <v>0</v>
      </c>
      <c r="V263" s="18">
        <f ca="1">IF('Current Char Stats'!$A132="","",'Current Char Stats'!$U132)</f>
        <v>0</v>
      </c>
      <c r="W263" s="18">
        <f ca="1">IF('Current Char Stats'!$A132="","",'Current Char Stats'!$V132)</f>
        <v>0</v>
      </c>
      <c r="X263" s="18">
        <f ca="1">IF('Current Char Stats'!$A132="","",'Current Char Stats'!$W132)</f>
        <v>0</v>
      </c>
      <c r="Y263" s="18">
        <f ca="1">IF('Current Char Stats'!$A132="","",'Current Char Stats'!$X132)</f>
        <v>0</v>
      </c>
      <c r="Z263" s="18">
        <f ca="1">IF('Current Char Stats'!$A132="","",'Current Char Stats'!$Y132)</f>
        <v>0</v>
      </c>
      <c r="AA263" s="18">
        <f ca="1">IF('Current Char Stats'!$A132="","",'Current Char Stats'!$Z132)</f>
        <v>0</v>
      </c>
      <c r="AB263" s="18">
        <f ca="1">IF('Current Char Stats'!$A132="","",'Current Char Stats'!$AA132)</f>
        <v>0</v>
      </c>
      <c r="AC263" s="18">
        <f ca="1">IF('Current Char Stats'!$A132="","",'Current Char Stats'!$AB132)</f>
        <v>0</v>
      </c>
      <c r="AD263" s="18">
        <f ca="1">IF('Current Char Stats'!$A132="","",'Current Char Stats'!$AC132)</f>
        <v>0</v>
      </c>
      <c r="AE263" s="18">
        <f ca="1">IF('Current Char Stats'!$A132="","",'Current Char Stats'!$AD132)</f>
        <v>0</v>
      </c>
      <c r="AF263" s="18">
        <f ca="1">IF('Current Char Stats'!$A132="","",'Current Char Stats'!$AE132)</f>
        <v>0</v>
      </c>
    </row>
    <row r="264" spans="1:32">
      <c r="A264" s="18">
        <f ca="1">IF('Current Char Stats'!$A133="","",Settings!$B$2)</f>
        <v>1</v>
      </c>
      <c r="B264" s="117" t="str">
        <f ca="1">IF('Current Char Stats'!$A133="","",'Current Char Stats'!$A133)</f>
        <v>Jason</v>
      </c>
      <c r="C264" s="18" t="str">
        <f ca="1">IF('Current Char Stats'!$A133="","",'Current Char Stats'!$B133)</f>
        <v>Wario</v>
      </c>
      <c r="D264" s="18" t="str">
        <f ca="1">IF('Current Char Stats'!$A133="","",'Current Char Stats'!$C133)</f>
        <v>G8</v>
      </c>
      <c r="E264" s="18">
        <f ca="1">IF('Current Char Stats'!$A133="","",'Current Char Stats'!$D133)</f>
        <v>2</v>
      </c>
      <c r="F264" s="18">
        <f ca="1">IF('Current Char Stats'!$A133="","",'Current Char Stats'!$E133)</f>
        <v>2</v>
      </c>
      <c r="G264" s="18">
        <f ca="1">IF('Current Char Stats'!$A133="","",'Current Char Stats'!$F133)</f>
        <v>1</v>
      </c>
      <c r="H264" s="18">
        <f ca="1">IF('Current Char Stats'!$A133="","",'Current Char Stats'!$G133)</f>
        <v>0</v>
      </c>
      <c r="I264" s="18">
        <f ca="1">IF('Current Char Stats'!$A133="","",'Current Char Stats'!$H133)</f>
        <v>0</v>
      </c>
      <c r="J264" s="18">
        <f ca="1">IF('Current Char Stats'!$A133="","",'Current Char Stats'!$I133)</f>
        <v>0</v>
      </c>
      <c r="K264" s="18">
        <f ca="1">IF('Current Char Stats'!$A133="","",'Current Char Stats'!$J133)</f>
        <v>0</v>
      </c>
      <c r="L264" s="18" t="str">
        <f ca="1">IF('Current Char Stats'!$A133="","",'Current Char Stats'!$K133)</f>
        <v/>
      </c>
      <c r="M264" s="18">
        <f ca="1">IF('Current Char Stats'!$A133="","",'Current Char Stats'!$L133)</f>
        <v>0</v>
      </c>
      <c r="N264" s="18">
        <f ca="1">IF('Current Char Stats'!$A133="","",'Current Char Stats'!$M133)</f>
        <v>0</v>
      </c>
      <c r="O264" s="18">
        <f ca="1">IF('Current Char Stats'!$A133="","",'Current Char Stats'!$N133)</f>
        <v>2</v>
      </c>
      <c r="P264" s="18">
        <f ca="1">IF('Current Char Stats'!$A133="","",'Current Char Stats'!$O133)</f>
        <v>1</v>
      </c>
      <c r="Q264" s="18">
        <f ca="1">IF('Current Char Stats'!$A133="","",'Current Char Stats'!$P133)</f>
        <v>1</v>
      </c>
      <c r="R264" s="18">
        <f ca="1">IF('Current Char Stats'!$A133="","",'Current Char Stats'!$Q133)</f>
        <v>0</v>
      </c>
      <c r="S264" s="18">
        <f ca="1">IF('Current Char Stats'!$A133="","",'Current Char Stats'!$R133)</f>
        <v>0</v>
      </c>
      <c r="T264" s="18">
        <f ca="1">IF('Current Char Stats'!$A133="","",'Current Char Stats'!$S133)</f>
        <v>0</v>
      </c>
      <c r="U264" s="18">
        <f ca="1">IF('Current Char Stats'!$A133="","",'Current Char Stats'!$T133)</f>
        <v>0</v>
      </c>
      <c r="V264" s="18">
        <f ca="1">IF('Current Char Stats'!$A133="","",'Current Char Stats'!$U133)</f>
        <v>0</v>
      </c>
      <c r="W264" s="18">
        <f ca="1">IF('Current Char Stats'!$A133="","",'Current Char Stats'!$V133)</f>
        <v>0</v>
      </c>
      <c r="X264" s="18">
        <f ca="1">IF('Current Char Stats'!$A133="","",'Current Char Stats'!$W133)</f>
        <v>0</v>
      </c>
      <c r="Y264" s="18">
        <f ca="1">IF('Current Char Stats'!$A133="","",'Current Char Stats'!$X133)</f>
        <v>0</v>
      </c>
      <c r="Z264" s="18">
        <f ca="1">IF('Current Char Stats'!$A133="","",'Current Char Stats'!$Y133)</f>
        <v>0</v>
      </c>
      <c r="AA264" s="18">
        <f ca="1">IF('Current Char Stats'!$A133="","",'Current Char Stats'!$Z133)</f>
        <v>0</v>
      </c>
      <c r="AB264" s="18">
        <f ca="1">IF('Current Char Stats'!$A133="","",'Current Char Stats'!$AA133)</f>
        <v>0</v>
      </c>
      <c r="AC264" s="18">
        <f ca="1">IF('Current Char Stats'!$A133="","",'Current Char Stats'!$AB133)</f>
        <v>0</v>
      </c>
      <c r="AD264" s="18">
        <f ca="1">IF('Current Char Stats'!$A133="","",'Current Char Stats'!$AC133)</f>
        <v>0</v>
      </c>
      <c r="AE264" s="18">
        <f ca="1">IF('Current Char Stats'!$A133="","",'Current Char Stats'!$AD133)</f>
        <v>0</v>
      </c>
      <c r="AF264" s="18">
        <f ca="1">IF('Current Char Stats'!$A133="","",'Current Char Stats'!$AE133)</f>
        <v>0</v>
      </c>
    </row>
    <row r="265" spans="1:32">
      <c r="A265" s="18">
        <f ca="1">IF('Current Char Stats'!$A134="","",Settings!$B$2)</f>
        <v>1</v>
      </c>
      <c r="B265" s="117" t="str">
        <f ca="1">IF('Current Char Stats'!$A134="","",'Current Char Stats'!$A134)</f>
        <v>Jason</v>
      </c>
      <c r="C265" s="18" t="str">
        <f ca="1">IF('Current Char Stats'!$A134="","",'Current Char Stats'!$B134)</f>
        <v>Toadette</v>
      </c>
      <c r="D265" s="18" t="str">
        <f ca="1">IF('Current Char Stats'!$A134="","",'Current Char Stats'!$C134)</f>
        <v>G8</v>
      </c>
      <c r="E265" s="18">
        <f ca="1">IF('Current Char Stats'!$A134="","",'Current Char Stats'!$D134)</f>
        <v>2</v>
      </c>
      <c r="F265" s="18">
        <f ca="1">IF('Current Char Stats'!$A134="","",'Current Char Stats'!$E134)</f>
        <v>1</v>
      </c>
      <c r="G265" s="18">
        <f ca="1">IF('Current Char Stats'!$A134="","",'Current Char Stats'!$F134)</f>
        <v>0.5</v>
      </c>
      <c r="H265" s="18">
        <f ca="1">IF('Current Char Stats'!$A134="","",'Current Char Stats'!$G134)</f>
        <v>0</v>
      </c>
      <c r="I265" s="18">
        <f ca="1">IF('Current Char Stats'!$A134="","",'Current Char Stats'!$H134)</f>
        <v>0</v>
      </c>
      <c r="J265" s="18">
        <f ca="1">IF('Current Char Stats'!$A134="","",'Current Char Stats'!$I134)</f>
        <v>0</v>
      </c>
      <c r="K265" s="18">
        <f ca="1">IF('Current Char Stats'!$A134="","",'Current Char Stats'!$J134)</f>
        <v>0</v>
      </c>
      <c r="L265" s="18" t="str">
        <f ca="1">IF('Current Char Stats'!$A134="","",'Current Char Stats'!$K134)</f>
        <v/>
      </c>
      <c r="M265" s="18">
        <f ca="1">IF('Current Char Stats'!$A134="","",'Current Char Stats'!$L134)</f>
        <v>0</v>
      </c>
      <c r="N265" s="18">
        <f ca="1">IF('Current Char Stats'!$A134="","",'Current Char Stats'!$M134)</f>
        <v>0</v>
      </c>
      <c r="O265" s="18">
        <f ca="1">IF('Current Char Stats'!$A134="","",'Current Char Stats'!$N134)</f>
        <v>1</v>
      </c>
      <c r="P265" s="18">
        <f ca="1">IF('Current Char Stats'!$A134="","",'Current Char Stats'!$O134)</f>
        <v>0</v>
      </c>
      <c r="Q265" s="18">
        <f ca="1">IF('Current Char Stats'!$A134="","",'Current Char Stats'!$P134)</f>
        <v>0</v>
      </c>
      <c r="R265" s="18">
        <f ca="1">IF('Current Char Stats'!$A134="","",'Current Char Stats'!$Q134)</f>
        <v>0</v>
      </c>
      <c r="S265" s="18">
        <f ca="1">IF('Current Char Stats'!$A134="","",'Current Char Stats'!$R134)</f>
        <v>0</v>
      </c>
      <c r="T265" s="18">
        <f ca="1">IF('Current Char Stats'!$A134="","",'Current Char Stats'!$S134)</f>
        <v>0</v>
      </c>
      <c r="U265" s="18">
        <f ca="1">IF('Current Char Stats'!$A134="","",'Current Char Stats'!$T134)</f>
        <v>0</v>
      </c>
      <c r="V265" s="18">
        <f ca="1">IF('Current Char Stats'!$A134="","",'Current Char Stats'!$U134)</f>
        <v>0</v>
      </c>
      <c r="W265" s="18">
        <f ca="1">IF('Current Char Stats'!$A134="","",'Current Char Stats'!$V134)</f>
        <v>0</v>
      </c>
      <c r="X265" s="18">
        <f ca="1">IF('Current Char Stats'!$A134="","",'Current Char Stats'!$W134)</f>
        <v>0</v>
      </c>
      <c r="Y265" s="18">
        <f ca="1">IF('Current Char Stats'!$A134="","",'Current Char Stats'!$X134)</f>
        <v>0</v>
      </c>
      <c r="Z265" s="18">
        <f ca="1">IF('Current Char Stats'!$A134="","",'Current Char Stats'!$Y134)</f>
        <v>0</v>
      </c>
      <c r="AA265" s="18">
        <f ca="1">IF('Current Char Stats'!$A134="","",'Current Char Stats'!$Z134)</f>
        <v>0</v>
      </c>
      <c r="AB265" s="18">
        <f ca="1">IF('Current Char Stats'!$A134="","",'Current Char Stats'!$AA134)</f>
        <v>0</v>
      </c>
      <c r="AC265" s="18">
        <f ca="1">IF('Current Char Stats'!$A134="","",'Current Char Stats'!$AB134)</f>
        <v>0</v>
      </c>
      <c r="AD265" s="18">
        <f ca="1">IF('Current Char Stats'!$A134="","",'Current Char Stats'!$AC134)</f>
        <v>0</v>
      </c>
      <c r="AE265" s="18">
        <f ca="1">IF('Current Char Stats'!$A134="","",'Current Char Stats'!$AD134)</f>
        <v>0</v>
      </c>
      <c r="AF265" s="18">
        <f ca="1">IF('Current Char Stats'!$A134="","",'Current Char Stats'!$AE134)</f>
        <v>0</v>
      </c>
    </row>
    <row r="266" spans="1:32">
      <c r="A266" s="18">
        <f ca="1">IF('Current Char Stats'!$A135="","",Settings!$B$2)</f>
        <v>1</v>
      </c>
      <c r="B266" s="117" t="str">
        <f ca="1">IF('Current Char Stats'!$A135="","",'Current Char Stats'!$A135)</f>
        <v>Jason</v>
      </c>
      <c r="C266" s="18" t="str">
        <f ca="1">IF('Current Char Stats'!$A135="","",'Current Char Stats'!$B135)</f>
        <v>Mii</v>
      </c>
      <c r="D266" s="18" t="str">
        <f ca="1">IF('Current Char Stats'!$A135="","",'Current Char Stats'!$C135)</f>
        <v>G8</v>
      </c>
      <c r="E266" s="18">
        <f ca="1">IF('Current Char Stats'!$A135="","",'Current Char Stats'!$D135)</f>
        <v>2</v>
      </c>
      <c r="F266" s="18">
        <f ca="1">IF('Current Char Stats'!$A135="","",'Current Char Stats'!$E135)</f>
        <v>1</v>
      </c>
      <c r="G266" s="18">
        <f ca="1">IF('Current Char Stats'!$A135="","",'Current Char Stats'!$F135)</f>
        <v>0.5</v>
      </c>
      <c r="H266" s="18">
        <f ca="1">IF('Current Char Stats'!$A135="","",'Current Char Stats'!$G135)</f>
        <v>0</v>
      </c>
      <c r="I266" s="18">
        <f ca="1">IF('Current Char Stats'!$A135="","",'Current Char Stats'!$H135)</f>
        <v>1</v>
      </c>
      <c r="J266" s="18">
        <f ca="1">IF('Current Char Stats'!$A135="","",'Current Char Stats'!$I135)</f>
        <v>0</v>
      </c>
      <c r="K266" s="18">
        <f ca="1">IF('Current Char Stats'!$A135="","",'Current Char Stats'!$J135)</f>
        <v>0</v>
      </c>
      <c r="L266" s="18" t="str">
        <f ca="1">IF('Current Char Stats'!$A135="","",'Current Char Stats'!$K135)</f>
        <v/>
      </c>
      <c r="M266" s="18">
        <f ca="1">IF('Current Char Stats'!$A135="","",'Current Char Stats'!$L135)</f>
        <v>0</v>
      </c>
      <c r="N266" s="18">
        <f ca="1">IF('Current Char Stats'!$A135="","",'Current Char Stats'!$M135)</f>
        <v>0</v>
      </c>
      <c r="O266" s="18">
        <f ca="1">IF('Current Char Stats'!$A135="","",'Current Char Stats'!$N135)</f>
        <v>1</v>
      </c>
      <c r="P266" s="18">
        <f ca="1">IF('Current Char Stats'!$A135="","",'Current Char Stats'!$O135)</f>
        <v>0</v>
      </c>
      <c r="Q266" s="18">
        <f ca="1">IF('Current Char Stats'!$A135="","",'Current Char Stats'!$P135)</f>
        <v>0</v>
      </c>
      <c r="R266" s="18">
        <f ca="1">IF('Current Char Stats'!$A135="","",'Current Char Stats'!$Q135)</f>
        <v>0</v>
      </c>
      <c r="S266" s="18">
        <f ca="1">IF('Current Char Stats'!$A135="","",'Current Char Stats'!$R135)</f>
        <v>1</v>
      </c>
      <c r="T266" s="18">
        <f ca="1">IF('Current Char Stats'!$A135="","",'Current Char Stats'!$S135)</f>
        <v>0</v>
      </c>
      <c r="U266" s="18">
        <f ca="1">IF('Current Char Stats'!$A135="","",'Current Char Stats'!$T135)</f>
        <v>0</v>
      </c>
      <c r="V266" s="18">
        <f ca="1">IF('Current Char Stats'!$A135="","",'Current Char Stats'!$U135)</f>
        <v>0</v>
      </c>
      <c r="W266" s="18">
        <f ca="1">IF('Current Char Stats'!$A135="","",'Current Char Stats'!$V135)</f>
        <v>0</v>
      </c>
      <c r="X266" s="18">
        <f ca="1">IF('Current Char Stats'!$A135="","",'Current Char Stats'!$W135)</f>
        <v>0</v>
      </c>
      <c r="Y266" s="18">
        <f ca="1">IF('Current Char Stats'!$A135="","",'Current Char Stats'!$X135)</f>
        <v>0</v>
      </c>
      <c r="Z266" s="18">
        <f ca="1">IF('Current Char Stats'!$A135="","",'Current Char Stats'!$Y135)</f>
        <v>0</v>
      </c>
      <c r="AA266" s="18">
        <f ca="1">IF('Current Char Stats'!$A135="","",'Current Char Stats'!$Z135)</f>
        <v>0</v>
      </c>
      <c r="AB266" s="18">
        <f ca="1">IF('Current Char Stats'!$A135="","",'Current Char Stats'!$AA135)</f>
        <v>0</v>
      </c>
      <c r="AC266" s="18">
        <f ca="1">IF('Current Char Stats'!$A135="","",'Current Char Stats'!$AB135)</f>
        <v>0</v>
      </c>
      <c r="AD266" s="18">
        <f ca="1">IF('Current Char Stats'!$A135="","",'Current Char Stats'!$AC135)</f>
        <v>0</v>
      </c>
      <c r="AE266" s="18">
        <f ca="1">IF('Current Char Stats'!$A135="","",'Current Char Stats'!$AD135)</f>
        <v>0</v>
      </c>
      <c r="AF266" s="18">
        <f ca="1">IF('Current Char Stats'!$A135="","",'Current Char Stats'!$AE135)</f>
        <v>0</v>
      </c>
    </row>
    <row r="267" spans="1:32">
      <c r="A267" s="18">
        <f ca="1">IF('Current Char Stats'!$A136="","",Settings!$B$2)</f>
        <v>1</v>
      </c>
      <c r="B267" s="117" t="str">
        <f ca="1">IF('Current Char Stats'!$A136="","",'Current Char Stats'!$A136)</f>
        <v>Jason</v>
      </c>
      <c r="C267" s="18" t="str">
        <f ca="1">IF('Current Char Stats'!$A136="","",'Current Char Stats'!$B136)</f>
        <v>Boomerang Bro</v>
      </c>
      <c r="D267" s="18" t="str">
        <f ca="1">IF('Current Char Stats'!$A136="","",'Current Char Stats'!$C136)</f>
        <v>G8</v>
      </c>
      <c r="E267" s="18">
        <f ca="1">IF('Current Char Stats'!$A136="","",'Current Char Stats'!$D136)</f>
        <v>1</v>
      </c>
      <c r="F267" s="18">
        <f ca="1">IF('Current Char Stats'!$A136="","",'Current Char Stats'!$E136)</f>
        <v>1</v>
      </c>
      <c r="G267" s="18">
        <f ca="1">IF('Current Char Stats'!$A136="","",'Current Char Stats'!$F136)</f>
        <v>1</v>
      </c>
      <c r="H267" s="18">
        <f ca="1">IF('Current Char Stats'!$A136="","",'Current Char Stats'!$G136)</f>
        <v>0</v>
      </c>
      <c r="I267" s="18">
        <f ca="1">IF('Current Char Stats'!$A136="","",'Current Char Stats'!$H136)</f>
        <v>0</v>
      </c>
      <c r="J267" s="18">
        <f ca="1">IF('Current Char Stats'!$A136="","",'Current Char Stats'!$I136)</f>
        <v>1.2</v>
      </c>
      <c r="K267" s="18">
        <f ca="1">IF('Current Char Stats'!$A136="","",'Current Char Stats'!$J136)</f>
        <v>2</v>
      </c>
      <c r="L267" s="18">
        <f ca="1">IF('Current Char Stats'!$A136="","",'Current Char Stats'!$K136)</f>
        <v>10.8</v>
      </c>
      <c r="M267" s="18">
        <f ca="1">IF('Current Char Stats'!$A136="","",'Current Char Stats'!$L136)</f>
        <v>0</v>
      </c>
      <c r="N267" s="18">
        <f ca="1">IF('Current Char Stats'!$A136="","",'Current Char Stats'!$M136)</f>
        <v>0</v>
      </c>
      <c r="O267" s="18">
        <f ca="1">IF('Current Char Stats'!$A136="","",'Current Char Stats'!$N136)</f>
        <v>1</v>
      </c>
      <c r="P267" s="18">
        <f ca="1">IF('Current Char Stats'!$A136="","",'Current Char Stats'!$O136)</f>
        <v>0</v>
      </c>
      <c r="Q267" s="18">
        <f ca="1">IF('Current Char Stats'!$A136="","",'Current Char Stats'!$P136)</f>
        <v>0</v>
      </c>
      <c r="R267" s="18">
        <f ca="1">IF('Current Char Stats'!$A136="","",'Current Char Stats'!$Q136)</f>
        <v>0</v>
      </c>
      <c r="S267" s="18">
        <f ca="1">IF('Current Char Stats'!$A136="","",'Current Char Stats'!$R136)</f>
        <v>0</v>
      </c>
      <c r="T267" s="18">
        <f ca="1">IF('Current Char Stats'!$A136="","",'Current Char Stats'!$S136)</f>
        <v>1</v>
      </c>
      <c r="U267" s="18">
        <f ca="1">IF('Current Char Stats'!$A136="","",'Current Char Stats'!$T136)</f>
        <v>0</v>
      </c>
      <c r="V267" s="18">
        <f ca="1">IF('Current Char Stats'!$A136="","",'Current Char Stats'!$U136)</f>
        <v>0</v>
      </c>
      <c r="W267" s="18">
        <f ca="1">IF('Current Char Stats'!$A136="","",'Current Char Stats'!$V136)</f>
        <v>3</v>
      </c>
      <c r="X267" s="18">
        <f ca="1">IF('Current Char Stats'!$A136="","",'Current Char Stats'!$W136)</f>
        <v>2</v>
      </c>
      <c r="Y267" s="18">
        <f ca="1">IF('Current Char Stats'!$A136="","",'Current Char Stats'!$X136)</f>
        <v>0</v>
      </c>
      <c r="Z267" s="18">
        <f ca="1">IF('Current Char Stats'!$A136="","",'Current Char Stats'!$Y136)</f>
        <v>1</v>
      </c>
      <c r="AA267" s="18">
        <f ca="1">IF('Current Char Stats'!$A136="","",'Current Char Stats'!$Z136)</f>
        <v>1</v>
      </c>
      <c r="AB267" s="18">
        <f ca="1">IF('Current Char Stats'!$A136="","",'Current Char Stats'!$AA136)</f>
        <v>1</v>
      </c>
      <c r="AC267" s="18">
        <f ca="1">IF('Current Char Stats'!$A136="","",'Current Char Stats'!$AB136)</f>
        <v>0</v>
      </c>
      <c r="AD267" s="18">
        <f ca="1">IF('Current Char Stats'!$A136="","",'Current Char Stats'!$AC136)</f>
        <v>0</v>
      </c>
      <c r="AE267" s="18">
        <f ca="1">IF('Current Char Stats'!$A136="","",'Current Char Stats'!$AD136)</f>
        <v>2.5</v>
      </c>
      <c r="AF267" s="18">
        <f ca="1">IF('Current Char Stats'!$A136="","",'Current Char Stats'!$AE136)</f>
        <v>8</v>
      </c>
    </row>
    <row r="268" spans="1:32">
      <c r="A268" s="18">
        <f ca="1">IF('Current Char Stats'!$A137="","",Settings!$B$2)</f>
        <v>1</v>
      </c>
      <c r="B268" s="117" t="str">
        <f ca="1">IF('Current Char Stats'!$A137="","",'Current Char Stats'!$A137)</f>
        <v>Jason</v>
      </c>
      <c r="C268" s="18" t="str">
        <f ca="1">IF('Current Char Stats'!$A137="","",'Current Char Stats'!$B137)</f>
        <v>Daisy</v>
      </c>
      <c r="D268" s="18" t="str">
        <f ca="1">IF('Current Char Stats'!$A137="","",'Current Char Stats'!$C137)</f>
        <v>G8</v>
      </c>
      <c r="E268" s="18">
        <f ca="1">IF('Current Char Stats'!$A137="","",'Current Char Stats'!$D137)</f>
        <v>2</v>
      </c>
      <c r="F268" s="18">
        <f ca="1">IF('Current Char Stats'!$A137="","",'Current Char Stats'!$E137)</f>
        <v>2</v>
      </c>
      <c r="G268" s="18">
        <f ca="1">IF('Current Char Stats'!$A137="","",'Current Char Stats'!$F137)</f>
        <v>1</v>
      </c>
      <c r="H268" s="18">
        <f ca="1">IF('Current Char Stats'!$A137="","",'Current Char Stats'!$G137)</f>
        <v>0</v>
      </c>
      <c r="I268" s="18">
        <f ca="1">IF('Current Char Stats'!$A137="","",'Current Char Stats'!$H137)</f>
        <v>3</v>
      </c>
      <c r="J268" s="18">
        <f ca="1">IF('Current Char Stats'!$A137="","",'Current Char Stats'!$I137)</f>
        <v>2.1</v>
      </c>
      <c r="K268" s="18">
        <f ca="1">IF('Current Char Stats'!$A137="","",'Current Char Stats'!$J137)</f>
        <v>2</v>
      </c>
      <c r="L268" s="18">
        <f ca="1">IF('Current Char Stats'!$A137="","",'Current Char Stats'!$K137)</f>
        <v>7.7142857142857135</v>
      </c>
      <c r="M268" s="18">
        <f ca="1">IF('Current Char Stats'!$A137="","",'Current Char Stats'!$L137)</f>
        <v>1</v>
      </c>
      <c r="N268" s="18">
        <f ca="1">IF('Current Char Stats'!$A137="","",'Current Char Stats'!$M137)</f>
        <v>0</v>
      </c>
      <c r="O268" s="18">
        <f ca="1">IF('Current Char Stats'!$A137="","",'Current Char Stats'!$N137)</f>
        <v>1</v>
      </c>
      <c r="P268" s="18">
        <f ca="1">IF('Current Char Stats'!$A137="","",'Current Char Stats'!$O137)</f>
        <v>1</v>
      </c>
      <c r="Q268" s="18">
        <f ca="1">IF('Current Char Stats'!$A137="","",'Current Char Stats'!$P137)</f>
        <v>0</v>
      </c>
      <c r="R268" s="18">
        <f ca="1">IF('Current Char Stats'!$A137="","",'Current Char Stats'!$Q137)</f>
        <v>0</v>
      </c>
      <c r="S268" s="18">
        <f ca="1">IF('Current Char Stats'!$A137="","",'Current Char Stats'!$R137)</f>
        <v>0</v>
      </c>
      <c r="T268" s="18">
        <f ca="1">IF('Current Char Stats'!$A137="","",'Current Char Stats'!$S137)</f>
        <v>0</v>
      </c>
      <c r="U268" s="18">
        <f ca="1">IF('Current Char Stats'!$A137="","",'Current Char Stats'!$T137)</f>
        <v>0</v>
      </c>
      <c r="V268" s="18">
        <f ca="1">IF('Current Char Stats'!$A137="","",'Current Char Stats'!$U137)</f>
        <v>0</v>
      </c>
      <c r="W268" s="18">
        <f ca="1">IF('Current Char Stats'!$A137="","",'Current Char Stats'!$V137)</f>
        <v>2</v>
      </c>
      <c r="X268" s="18">
        <f ca="1">IF('Current Char Stats'!$A137="","",'Current Char Stats'!$W137)</f>
        <v>2</v>
      </c>
      <c r="Y268" s="18">
        <f ca="1">IF('Current Char Stats'!$A137="","",'Current Char Stats'!$X137)</f>
        <v>0</v>
      </c>
      <c r="Z268" s="18">
        <f ca="1">IF('Current Char Stats'!$A137="","",'Current Char Stats'!$Y137)</f>
        <v>1</v>
      </c>
      <c r="AA268" s="18">
        <f ca="1">IF('Current Char Stats'!$A137="","",'Current Char Stats'!$Z137)</f>
        <v>1</v>
      </c>
      <c r="AB268" s="18">
        <f ca="1">IF('Current Char Stats'!$A137="","",'Current Char Stats'!$AA137)</f>
        <v>0</v>
      </c>
      <c r="AC268" s="18">
        <f ca="1">IF('Current Char Stats'!$A137="","",'Current Char Stats'!$AB137)</f>
        <v>0</v>
      </c>
      <c r="AD268" s="18">
        <f ca="1">IF('Current Char Stats'!$A137="","",'Current Char Stats'!$AC137)</f>
        <v>0</v>
      </c>
      <c r="AE268" s="18">
        <f ca="1">IF('Current Char Stats'!$A137="","",'Current Char Stats'!$AD137)</f>
        <v>0.95238095238095233</v>
      </c>
      <c r="AF268" s="18">
        <f ca="1">IF('Current Char Stats'!$A137="","",'Current Char Stats'!$AE137)</f>
        <v>9</v>
      </c>
    </row>
    <row r="269" spans="1:32">
      <c r="A269" s="18">
        <f ca="1">IF('Current Char Stats'!$A138="","",Settings!$B$2)</f>
        <v>1</v>
      </c>
      <c r="B269" s="117" t="str">
        <f ca="1">IF('Current Char Stats'!$A138="","",'Current Char Stats'!$A138)</f>
        <v>Jason</v>
      </c>
      <c r="C269" s="18" t="str">
        <f ca="1">IF('Current Char Stats'!$A138="","",'Current Char Stats'!$B138)</f>
        <v>Blue Toad</v>
      </c>
      <c r="D269" s="18" t="str">
        <f ca="1">IF('Current Char Stats'!$A138="","",'Current Char Stats'!$C138)</f>
        <v>G8</v>
      </c>
      <c r="E269" s="18">
        <f ca="1">IF('Current Char Stats'!$A138="","",'Current Char Stats'!$D138)</f>
        <v>2</v>
      </c>
      <c r="F269" s="18">
        <f ca="1">IF('Current Char Stats'!$A138="","",'Current Char Stats'!$E138)</f>
        <v>1</v>
      </c>
      <c r="G269" s="18">
        <f ca="1">IF('Current Char Stats'!$A138="","",'Current Char Stats'!$F138)</f>
        <v>0.5</v>
      </c>
      <c r="H269" s="18">
        <f ca="1">IF('Current Char Stats'!$A138="","",'Current Char Stats'!$G138)</f>
        <v>1</v>
      </c>
      <c r="I269" s="18">
        <f ca="1">IF('Current Char Stats'!$A138="","",'Current Char Stats'!$H138)</f>
        <v>3</v>
      </c>
      <c r="J269" s="18">
        <f ca="1">IF('Current Char Stats'!$A138="","",'Current Char Stats'!$I138)</f>
        <v>0</v>
      </c>
      <c r="K269" s="18">
        <f ca="1">IF('Current Char Stats'!$A138="","",'Current Char Stats'!$J138)</f>
        <v>0</v>
      </c>
      <c r="L269" s="18" t="str">
        <f ca="1">IF('Current Char Stats'!$A138="","",'Current Char Stats'!$K138)</f>
        <v/>
      </c>
      <c r="M269" s="18">
        <f ca="1">IF('Current Char Stats'!$A138="","",'Current Char Stats'!$L138)</f>
        <v>0</v>
      </c>
      <c r="N269" s="18">
        <f ca="1">IF('Current Char Stats'!$A138="","",'Current Char Stats'!$M138)</f>
        <v>0</v>
      </c>
      <c r="O269" s="18">
        <f ca="1">IF('Current Char Stats'!$A138="","",'Current Char Stats'!$N138)</f>
        <v>1</v>
      </c>
      <c r="P269" s="18">
        <f ca="1">IF('Current Char Stats'!$A138="","",'Current Char Stats'!$O138)</f>
        <v>0</v>
      </c>
      <c r="Q269" s="18">
        <f ca="1">IF('Current Char Stats'!$A138="","",'Current Char Stats'!$P138)</f>
        <v>0</v>
      </c>
      <c r="R269" s="18">
        <f ca="1">IF('Current Char Stats'!$A138="","",'Current Char Stats'!$Q138)</f>
        <v>0</v>
      </c>
      <c r="S269" s="18">
        <f ca="1">IF('Current Char Stats'!$A138="","",'Current Char Stats'!$R138)</f>
        <v>0</v>
      </c>
      <c r="T269" s="18">
        <f ca="1">IF('Current Char Stats'!$A138="","",'Current Char Stats'!$S138)</f>
        <v>0</v>
      </c>
      <c r="U269" s="18">
        <f ca="1">IF('Current Char Stats'!$A138="","",'Current Char Stats'!$T138)</f>
        <v>0</v>
      </c>
      <c r="V269" s="18">
        <f ca="1">IF('Current Char Stats'!$A138="","",'Current Char Stats'!$U138)</f>
        <v>0</v>
      </c>
      <c r="W269" s="18">
        <f ca="1">IF('Current Char Stats'!$A138="","",'Current Char Stats'!$V138)</f>
        <v>0</v>
      </c>
      <c r="X269" s="18">
        <f ca="1">IF('Current Char Stats'!$A138="","",'Current Char Stats'!$W138)</f>
        <v>0</v>
      </c>
      <c r="Y269" s="18">
        <f ca="1">IF('Current Char Stats'!$A138="","",'Current Char Stats'!$X138)</f>
        <v>0</v>
      </c>
      <c r="Z269" s="18">
        <f ca="1">IF('Current Char Stats'!$A138="","",'Current Char Stats'!$Y138)</f>
        <v>0</v>
      </c>
      <c r="AA269" s="18">
        <f ca="1">IF('Current Char Stats'!$A138="","",'Current Char Stats'!$Z138)</f>
        <v>0</v>
      </c>
      <c r="AB269" s="18">
        <f ca="1">IF('Current Char Stats'!$A138="","",'Current Char Stats'!$AA138)</f>
        <v>0</v>
      </c>
      <c r="AC269" s="18">
        <f ca="1">IF('Current Char Stats'!$A138="","",'Current Char Stats'!$AB138)</f>
        <v>0</v>
      </c>
      <c r="AD269" s="18">
        <f ca="1">IF('Current Char Stats'!$A138="","",'Current Char Stats'!$AC138)</f>
        <v>0</v>
      </c>
      <c r="AE269" s="18">
        <f ca="1">IF('Current Char Stats'!$A138="","",'Current Char Stats'!$AD138)</f>
        <v>0</v>
      </c>
      <c r="AF269" s="18">
        <f ca="1">IF('Current Char Stats'!$A138="","",'Current Char Stats'!$AE138)</f>
        <v>0</v>
      </c>
    </row>
    <row r="270" spans="1:32">
      <c r="A270" s="18">
        <f ca="1">IF('Current Char Stats'!$A139="","",Settings!$B$2)</f>
        <v>1</v>
      </c>
      <c r="B270" s="117" t="str">
        <f ca="1">IF('Current Char Stats'!$A139="","",'Current Char Stats'!$A139)</f>
        <v>May</v>
      </c>
      <c r="C270" s="18" t="str">
        <f ca="1">IF('Current Char Stats'!$A139="","",'Current Char Stats'!$B139)</f>
        <v>Yoshi</v>
      </c>
      <c r="D270" s="18" t="str">
        <f ca="1">IF('Current Char Stats'!$A139="","",'Current Char Stats'!$C139)</f>
        <v>G8</v>
      </c>
      <c r="E270" s="18">
        <f ca="1">IF('Current Char Stats'!$A139="","",'Current Char Stats'!$D139)</f>
        <v>2</v>
      </c>
      <c r="F270" s="18">
        <f ca="1">IF('Current Char Stats'!$A139="","",'Current Char Stats'!$E139)</f>
        <v>0</v>
      </c>
      <c r="G270" s="18">
        <f ca="1">IF('Current Char Stats'!$A139="","",'Current Char Stats'!$F139)</f>
        <v>0</v>
      </c>
      <c r="H270" s="18">
        <f ca="1">IF('Current Char Stats'!$A139="","",'Current Char Stats'!$G139)</f>
        <v>0</v>
      </c>
      <c r="I270" s="18">
        <f ca="1">IF('Current Char Stats'!$A139="","",'Current Char Stats'!$H139)</f>
        <v>0</v>
      </c>
      <c r="J270" s="18">
        <f ca="1">IF('Current Char Stats'!$A139="","",'Current Char Stats'!$I139)</f>
        <v>0</v>
      </c>
      <c r="K270" s="18">
        <f ca="1">IF('Current Char Stats'!$A139="","",'Current Char Stats'!$J139)</f>
        <v>0</v>
      </c>
      <c r="L270" s="18" t="str">
        <f ca="1">IF('Current Char Stats'!$A139="","",'Current Char Stats'!$K139)</f>
        <v/>
      </c>
      <c r="M270" s="18">
        <f ca="1">IF('Current Char Stats'!$A139="","",'Current Char Stats'!$L139)</f>
        <v>0</v>
      </c>
      <c r="N270" s="18">
        <f ca="1">IF('Current Char Stats'!$A139="","",'Current Char Stats'!$M139)</f>
        <v>0</v>
      </c>
      <c r="O270" s="18">
        <f ca="1">IF('Current Char Stats'!$A139="","",'Current Char Stats'!$N139)</f>
        <v>0</v>
      </c>
      <c r="P270" s="18">
        <f ca="1">IF('Current Char Stats'!$A139="","",'Current Char Stats'!$O139)</f>
        <v>0</v>
      </c>
      <c r="Q270" s="18">
        <f ca="1">IF('Current Char Stats'!$A139="","",'Current Char Stats'!$P139)</f>
        <v>0</v>
      </c>
      <c r="R270" s="18">
        <f ca="1">IF('Current Char Stats'!$A139="","",'Current Char Stats'!$Q139)</f>
        <v>0</v>
      </c>
      <c r="S270" s="18">
        <f ca="1">IF('Current Char Stats'!$A139="","",'Current Char Stats'!$R139)</f>
        <v>1</v>
      </c>
      <c r="T270" s="18">
        <f ca="1">IF('Current Char Stats'!$A139="","",'Current Char Stats'!$S139)</f>
        <v>0</v>
      </c>
      <c r="U270" s="18">
        <f ca="1">IF('Current Char Stats'!$A139="","",'Current Char Stats'!$T139)</f>
        <v>0</v>
      </c>
      <c r="V270" s="18">
        <f ca="1">IF('Current Char Stats'!$A139="","",'Current Char Stats'!$U139)</f>
        <v>0</v>
      </c>
      <c r="W270" s="18">
        <f ca="1">IF('Current Char Stats'!$A139="","",'Current Char Stats'!$V139)</f>
        <v>0</v>
      </c>
      <c r="X270" s="18">
        <f ca="1">IF('Current Char Stats'!$A139="","",'Current Char Stats'!$W139)</f>
        <v>0</v>
      </c>
      <c r="Y270" s="18">
        <f ca="1">IF('Current Char Stats'!$A139="","",'Current Char Stats'!$X139)</f>
        <v>0</v>
      </c>
      <c r="Z270" s="18">
        <f ca="1">IF('Current Char Stats'!$A139="","",'Current Char Stats'!$Y139)</f>
        <v>0</v>
      </c>
      <c r="AA270" s="18">
        <f ca="1">IF('Current Char Stats'!$A139="","",'Current Char Stats'!$Z139)</f>
        <v>0</v>
      </c>
      <c r="AB270" s="18">
        <f ca="1">IF('Current Char Stats'!$A139="","",'Current Char Stats'!$AA139)</f>
        <v>0</v>
      </c>
      <c r="AC270" s="18">
        <f ca="1">IF('Current Char Stats'!$A139="","",'Current Char Stats'!$AB139)</f>
        <v>0</v>
      </c>
      <c r="AD270" s="18">
        <f ca="1">IF('Current Char Stats'!$A139="","",'Current Char Stats'!$AC139)</f>
        <v>0</v>
      </c>
      <c r="AE270" s="18">
        <f ca="1">IF('Current Char Stats'!$A139="","",'Current Char Stats'!$AD139)</f>
        <v>0</v>
      </c>
      <c r="AF270" s="18">
        <f ca="1">IF('Current Char Stats'!$A139="","",'Current Char Stats'!$AE139)</f>
        <v>0</v>
      </c>
    </row>
    <row r="271" spans="1:32">
      <c r="A271" s="18">
        <f ca="1">IF('Current Char Stats'!$A140="","",Settings!$B$2)</f>
        <v>1</v>
      </c>
      <c r="B271" s="117" t="str">
        <f ca="1">IF('Current Char Stats'!$A140="","",'Current Char Stats'!$A140)</f>
        <v>May</v>
      </c>
      <c r="C271" s="18" t="str">
        <f ca="1">IF('Current Char Stats'!$A140="","",'Current Char Stats'!$B140)</f>
        <v>Brown Kritter</v>
      </c>
      <c r="D271" s="18" t="str">
        <f ca="1">IF('Current Char Stats'!$A140="","",'Current Char Stats'!$C140)</f>
        <v>G8</v>
      </c>
      <c r="E271" s="18">
        <f ca="1">IF('Current Char Stats'!$A140="","",'Current Char Stats'!$D140)</f>
        <v>2</v>
      </c>
      <c r="F271" s="18">
        <f ca="1">IF('Current Char Stats'!$A140="","",'Current Char Stats'!$E140)</f>
        <v>0</v>
      </c>
      <c r="G271" s="18">
        <f ca="1">IF('Current Char Stats'!$A140="","",'Current Char Stats'!$F140)</f>
        <v>0</v>
      </c>
      <c r="H271" s="18">
        <f ca="1">IF('Current Char Stats'!$A140="","",'Current Char Stats'!$G140)</f>
        <v>0</v>
      </c>
      <c r="I271" s="18">
        <f ca="1">IF('Current Char Stats'!$A140="","",'Current Char Stats'!$H140)</f>
        <v>0</v>
      </c>
      <c r="J271" s="18">
        <f ca="1">IF('Current Char Stats'!$A140="","",'Current Char Stats'!$I140)</f>
        <v>0</v>
      </c>
      <c r="K271" s="18">
        <f ca="1">IF('Current Char Stats'!$A140="","",'Current Char Stats'!$J140)</f>
        <v>0</v>
      </c>
      <c r="L271" s="18" t="str">
        <f ca="1">IF('Current Char Stats'!$A140="","",'Current Char Stats'!$K140)</f>
        <v/>
      </c>
      <c r="M271" s="18">
        <f ca="1">IF('Current Char Stats'!$A140="","",'Current Char Stats'!$L140)</f>
        <v>0</v>
      </c>
      <c r="N271" s="18">
        <f ca="1">IF('Current Char Stats'!$A140="","",'Current Char Stats'!$M140)</f>
        <v>0</v>
      </c>
      <c r="O271" s="18">
        <f ca="1">IF('Current Char Stats'!$A140="","",'Current Char Stats'!$N140)</f>
        <v>0</v>
      </c>
      <c r="P271" s="18">
        <f ca="1">IF('Current Char Stats'!$A140="","",'Current Char Stats'!$O140)</f>
        <v>0</v>
      </c>
      <c r="Q271" s="18">
        <f ca="1">IF('Current Char Stats'!$A140="","",'Current Char Stats'!$P140)</f>
        <v>0</v>
      </c>
      <c r="R271" s="18">
        <f ca="1">IF('Current Char Stats'!$A140="","",'Current Char Stats'!$Q140)</f>
        <v>0</v>
      </c>
      <c r="S271" s="18">
        <f ca="1">IF('Current Char Stats'!$A140="","",'Current Char Stats'!$R140)</f>
        <v>0</v>
      </c>
      <c r="T271" s="18">
        <f ca="1">IF('Current Char Stats'!$A140="","",'Current Char Stats'!$S140)</f>
        <v>0</v>
      </c>
      <c r="U271" s="18">
        <f ca="1">IF('Current Char Stats'!$A140="","",'Current Char Stats'!$T140)</f>
        <v>0</v>
      </c>
      <c r="V271" s="18">
        <f ca="1">IF('Current Char Stats'!$A140="","",'Current Char Stats'!$U140)</f>
        <v>0</v>
      </c>
      <c r="W271" s="18">
        <f ca="1">IF('Current Char Stats'!$A140="","",'Current Char Stats'!$V140)</f>
        <v>0</v>
      </c>
      <c r="X271" s="18">
        <f ca="1">IF('Current Char Stats'!$A140="","",'Current Char Stats'!$W140)</f>
        <v>0</v>
      </c>
      <c r="Y271" s="18">
        <f ca="1">IF('Current Char Stats'!$A140="","",'Current Char Stats'!$X140)</f>
        <v>0</v>
      </c>
      <c r="Z271" s="18">
        <f ca="1">IF('Current Char Stats'!$A140="","",'Current Char Stats'!$Y140)</f>
        <v>0</v>
      </c>
      <c r="AA271" s="18">
        <f ca="1">IF('Current Char Stats'!$A140="","",'Current Char Stats'!$Z140)</f>
        <v>0</v>
      </c>
      <c r="AB271" s="18">
        <f ca="1">IF('Current Char Stats'!$A140="","",'Current Char Stats'!$AA140)</f>
        <v>0</v>
      </c>
      <c r="AC271" s="18">
        <f ca="1">IF('Current Char Stats'!$A140="","",'Current Char Stats'!$AB140)</f>
        <v>0</v>
      </c>
      <c r="AD271" s="18">
        <f ca="1">IF('Current Char Stats'!$A140="","",'Current Char Stats'!$AC140)</f>
        <v>0</v>
      </c>
      <c r="AE271" s="18">
        <f ca="1">IF('Current Char Stats'!$A140="","",'Current Char Stats'!$AD140)</f>
        <v>0</v>
      </c>
      <c r="AF271" s="18">
        <f ca="1">IF('Current Char Stats'!$A140="","",'Current Char Stats'!$AE140)</f>
        <v>0</v>
      </c>
    </row>
    <row r="272" spans="1:32">
      <c r="A272" s="18">
        <f ca="1">IF('Current Char Stats'!$A141="","",Settings!$B$2)</f>
        <v>1</v>
      </c>
      <c r="B272" s="117" t="str">
        <f ca="1">IF('Current Char Stats'!$A141="","",'Current Char Stats'!$A141)</f>
        <v>May</v>
      </c>
      <c r="C272" s="18" t="str">
        <f ca="1">IF('Current Char Stats'!$A141="","",'Current Char Stats'!$B141)</f>
        <v>King K. Rool</v>
      </c>
      <c r="D272" s="18" t="str">
        <f ca="1">IF('Current Char Stats'!$A141="","",'Current Char Stats'!$C141)</f>
        <v>G8</v>
      </c>
      <c r="E272" s="18">
        <f ca="1">IF('Current Char Stats'!$A141="","",'Current Char Stats'!$D141)</f>
        <v>2</v>
      </c>
      <c r="F272" s="18">
        <f ca="1">IF('Current Char Stats'!$A141="","",'Current Char Stats'!$E141)</f>
        <v>0</v>
      </c>
      <c r="G272" s="18">
        <f ca="1">IF('Current Char Stats'!$A141="","",'Current Char Stats'!$F141)</f>
        <v>0</v>
      </c>
      <c r="H272" s="18">
        <f ca="1">IF('Current Char Stats'!$A141="","",'Current Char Stats'!$G141)</f>
        <v>0</v>
      </c>
      <c r="I272" s="18">
        <f ca="1">IF('Current Char Stats'!$A141="","",'Current Char Stats'!$H141)</f>
        <v>0</v>
      </c>
      <c r="J272" s="18">
        <f ca="1">IF('Current Char Stats'!$A141="","",'Current Char Stats'!$I141)</f>
        <v>1.1000000000000001</v>
      </c>
      <c r="K272" s="18">
        <f ca="1">IF('Current Char Stats'!$A141="","",'Current Char Stats'!$J141)</f>
        <v>0</v>
      </c>
      <c r="L272" s="18">
        <f ca="1">IF('Current Char Stats'!$A141="","",'Current Char Stats'!$K141)</f>
        <v>0</v>
      </c>
      <c r="M272" s="18">
        <f ca="1">IF('Current Char Stats'!$A141="","",'Current Char Stats'!$L141)</f>
        <v>0</v>
      </c>
      <c r="N272" s="18">
        <f ca="1">IF('Current Char Stats'!$A141="","",'Current Char Stats'!$M141)</f>
        <v>0</v>
      </c>
      <c r="O272" s="18">
        <f ca="1">IF('Current Char Stats'!$A141="","",'Current Char Stats'!$N141)</f>
        <v>0</v>
      </c>
      <c r="P272" s="18">
        <f ca="1">IF('Current Char Stats'!$A141="","",'Current Char Stats'!$O141)</f>
        <v>0</v>
      </c>
      <c r="Q272" s="18">
        <f ca="1">IF('Current Char Stats'!$A141="","",'Current Char Stats'!$P141)</f>
        <v>0</v>
      </c>
      <c r="R272" s="18">
        <f ca="1">IF('Current Char Stats'!$A141="","",'Current Char Stats'!$Q141)</f>
        <v>0</v>
      </c>
      <c r="S272" s="18">
        <f ca="1">IF('Current Char Stats'!$A141="","",'Current Char Stats'!$R141)</f>
        <v>1</v>
      </c>
      <c r="T272" s="18">
        <f ca="1">IF('Current Char Stats'!$A141="","",'Current Char Stats'!$S141)</f>
        <v>0</v>
      </c>
      <c r="U272" s="18">
        <f ca="1">IF('Current Char Stats'!$A141="","",'Current Char Stats'!$T141)</f>
        <v>0</v>
      </c>
      <c r="V272" s="18">
        <f ca="1">IF('Current Char Stats'!$A141="","",'Current Char Stats'!$U141)</f>
        <v>0</v>
      </c>
      <c r="W272" s="18">
        <f ca="1">IF('Current Char Stats'!$A141="","",'Current Char Stats'!$V141)</f>
        <v>2</v>
      </c>
      <c r="X272" s="18">
        <f ca="1">IF('Current Char Stats'!$A141="","",'Current Char Stats'!$W141)</f>
        <v>0</v>
      </c>
      <c r="Y272" s="18">
        <f ca="1">IF('Current Char Stats'!$A141="","",'Current Char Stats'!$X141)</f>
        <v>0</v>
      </c>
      <c r="Z272" s="18">
        <f ca="1">IF('Current Char Stats'!$A141="","",'Current Char Stats'!$Y141)</f>
        <v>2</v>
      </c>
      <c r="AA272" s="18">
        <f ca="1">IF('Current Char Stats'!$A141="","",'Current Char Stats'!$Z141)</f>
        <v>0</v>
      </c>
      <c r="AB272" s="18">
        <f ca="1">IF('Current Char Stats'!$A141="","",'Current Char Stats'!$AA141)</f>
        <v>0</v>
      </c>
      <c r="AC272" s="18">
        <f ca="1">IF('Current Char Stats'!$A141="","",'Current Char Stats'!$AB141)</f>
        <v>0</v>
      </c>
      <c r="AD272" s="18">
        <f ca="1">IF('Current Char Stats'!$A141="","",'Current Char Stats'!$AC141)</f>
        <v>0</v>
      </c>
      <c r="AE272" s="18">
        <f ca="1">IF('Current Char Stats'!$A141="","",'Current Char Stats'!$AD141)</f>
        <v>1.8181818181818181</v>
      </c>
      <c r="AF272" s="18">
        <f ca="1">IF('Current Char Stats'!$A141="","",'Current Char Stats'!$AE141)</f>
        <v>6</v>
      </c>
    </row>
    <row r="273" spans="1:32">
      <c r="A273" s="18">
        <f ca="1">IF('Current Char Stats'!$A142="","",Settings!$B$2)</f>
        <v>1</v>
      </c>
      <c r="B273" s="117" t="str">
        <f ca="1">IF('Current Char Stats'!$A142="","",'Current Char Stats'!$A142)</f>
        <v>May</v>
      </c>
      <c r="C273" s="18" t="str">
        <f ca="1">IF('Current Char Stats'!$A142="","",'Current Char Stats'!$B142)</f>
        <v>Bowser</v>
      </c>
      <c r="D273" s="18" t="str">
        <f ca="1">IF('Current Char Stats'!$A142="","",'Current Char Stats'!$C142)</f>
        <v>G8</v>
      </c>
      <c r="E273" s="18">
        <f ca="1">IF('Current Char Stats'!$A142="","",'Current Char Stats'!$D142)</f>
        <v>2</v>
      </c>
      <c r="F273" s="18">
        <f ca="1">IF('Current Char Stats'!$A142="","",'Current Char Stats'!$E142)</f>
        <v>2</v>
      </c>
      <c r="G273" s="18">
        <f ca="1">IF('Current Char Stats'!$A142="","",'Current Char Stats'!$F142)</f>
        <v>1</v>
      </c>
      <c r="H273" s="18">
        <f ca="1">IF('Current Char Stats'!$A142="","",'Current Char Stats'!$G142)</f>
        <v>0</v>
      </c>
      <c r="I273" s="18">
        <f ca="1">IF('Current Char Stats'!$A142="","",'Current Char Stats'!$H142)</f>
        <v>0</v>
      </c>
      <c r="J273" s="18">
        <f ca="1">IF('Current Char Stats'!$A142="","",'Current Char Stats'!$I142)</f>
        <v>0</v>
      </c>
      <c r="K273" s="18">
        <f ca="1">IF('Current Char Stats'!$A142="","",'Current Char Stats'!$J142)</f>
        <v>0</v>
      </c>
      <c r="L273" s="18" t="str">
        <f ca="1">IF('Current Char Stats'!$A142="","",'Current Char Stats'!$K142)</f>
        <v/>
      </c>
      <c r="M273" s="18">
        <f ca="1">IF('Current Char Stats'!$A142="","",'Current Char Stats'!$L142)</f>
        <v>0</v>
      </c>
      <c r="N273" s="18">
        <f ca="1">IF('Current Char Stats'!$A142="","",'Current Char Stats'!$M142)</f>
        <v>0</v>
      </c>
      <c r="O273" s="18">
        <f ca="1">IF('Current Char Stats'!$A142="","",'Current Char Stats'!$N142)</f>
        <v>2</v>
      </c>
      <c r="P273" s="18">
        <f ca="1">IF('Current Char Stats'!$A142="","",'Current Char Stats'!$O142)</f>
        <v>0</v>
      </c>
      <c r="Q273" s="18">
        <f ca="1">IF('Current Char Stats'!$A142="","",'Current Char Stats'!$P142)</f>
        <v>0</v>
      </c>
      <c r="R273" s="18">
        <f ca="1">IF('Current Char Stats'!$A142="","",'Current Char Stats'!$Q142)</f>
        <v>0</v>
      </c>
      <c r="S273" s="18">
        <f ca="1">IF('Current Char Stats'!$A142="","",'Current Char Stats'!$R142)</f>
        <v>0</v>
      </c>
      <c r="T273" s="18">
        <f ca="1">IF('Current Char Stats'!$A142="","",'Current Char Stats'!$S142)</f>
        <v>0</v>
      </c>
      <c r="U273" s="18">
        <f ca="1">IF('Current Char Stats'!$A142="","",'Current Char Stats'!$T142)</f>
        <v>0</v>
      </c>
      <c r="V273" s="18">
        <f ca="1">IF('Current Char Stats'!$A142="","",'Current Char Stats'!$U142)</f>
        <v>0</v>
      </c>
      <c r="W273" s="18">
        <f ca="1">IF('Current Char Stats'!$A142="","",'Current Char Stats'!$V142)</f>
        <v>0</v>
      </c>
      <c r="X273" s="18">
        <f ca="1">IF('Current Char Stats'!$A142="","",'Current Char Stats'!$W142)</f>
        <v>0</v>
      </c>
      <c r="Y273" s="18">
        <f ca="1">IF('Current Char Stats'!$A142="","",'Current Char Stats'!$X142)</f>
        <v>0</v>
      </c>
      <c r="Z273" s="18">
        <f ca="1">IF('Current Char Stats'!$A142="","",'Current Char Stats'!$Y142)</f>
        <v>0</v>
      </c>
      <c r="AA273" s="18">
        <f ca="1">IF('Current Char Stats'!$A142="","",'Current Char Stats'!$Z142)</f>
        <v>0</v>
      </c>
      <c r="AB273" s="18">
        <f ca="1">IF('Current Char Stats'!$A142="","",'Current Char Stats'!$AA142)</f>
        <v>0</v>
      </c>
      <c r="AC273" s="18">
        <f ca="1">IF('Current Char Stats'!$A142="","",'Current Char Stats'!$AB142)</f>
        <v>0</v>
      </c>
      <c r="AD273" s="18">
        <f ca="1">IF('Current Char Stats'!$A142="","",'Current Char Stats'!$AC142)</f>
        <v>0</v>
      </c>
      <c r="AE273" s="18">
        <f ca="1">IF('Current Char Stats'!$A142="","",'Current Char Stats'!$AD142)</f>
        <v>0</v>
      </c>
      <c r="AF273" s="18">
        <f ca="1">IF('Current Char Stats'!$A142="","",'Current Char Stats'!$AE142)</f>
        <v>0</v>
      </c>
    </row>
    <row r="274" spans="1:32">
      <c r="A274" s="18">
        <f ca="1">IF('Current Char Stats'!$A143="","",Settings!$B$2)</f>
        <v>1</v>
      </c>
      <c r="B274" s="117" t="str">
        <f ca="1">IF('Current Char Stats'!$A143="","",'Current Char Stats'!$A143)</f>
        <v>May</v>
      </c>
      <c r="C274" s="18" t="str">
        <f ca="1">IF('Current Char Stats'!$A143="","",'Current Char Stats'!$B143)</f>
        <v>Blooper</v>
      </c>
      <c r="D274" s="18" t="str">
        <f ca="1">IF('Current Char Stats'!$A143="","",'Current Char Stats'!$C143)</f>
        <v>G8</v>
      </c>
      <c r="E274" s="18">
        <f ca="1">IF('Current Char Stats'!$A143="","",'Current Char Stats'!$D143)</f>
        <v>2</v>
      </c>
      <c r="F274" s="18">
        <f ca="1">IF('Current Char Stats'!$A143="","",'Current Char Stats'!$E143)</f>
        <v>1</v>
      </c>
      <c r="G274" s="18">
        <f ca="1">IF('Current Char Stats'!$A143="","",'Current Char Stats'!$F143)</f>
        <v>0.5</v>
      </c>
      <c r="H274" s="18">
        <f ca="1">IF('Current Char Stats'!$A143="","",'Current Char Stats'!$G143)</f>
        <v>1</v>
      </c>
      <c r="I274" s="18">
        <f ca="1">IF('Current Char Stats'!$A143="","",'Current Char Stats'!$H143)</f>
        <v>2</v>
      </c>
      <c r="J274" s="18">
        <f ca="1">IF('Current Char Stats'!$A143="","",'Current Char Stats'!$I143)</f>
        <v>0</v>
      </c>
      <c r="K274" s="18">
        <f ca="1">IF('Current Char Stats'!$A143="","",'Current Char Stats'!$J143)</f>
        <v>5</v>
      </c>
      <c r="L274" s="18" t="str">
        <f ca="1">IF('Current Char Stats'!$A143="","",'Current Char Stats'!$K143)</f>
        <v/>
      </c>
      <c r="M274" s="18">
        <f ca="1">IF('Current Char Stats'!$A143="","",'Current Char Stats'!$L143)</f>
        <v>0</v>
      </c>
      <c r="N274" s="18">
        <f ca="1">IF('Current Char Stats'!$A143="","",'Current Char Stats'!$M143)</f>
        <v>0</v>
      </c>
      <c r="O274" s="18">
        <f ca="1">IF('Current Char Stats'!$A143="","",'Current Char Stats'!$N143)</f>
        <v>1</v>
      </c>
      <c r="P274" s="18">
        <f ca="1">IF('Current Char Stats'!$A143="","",'Current Char Stats'!$O143)</f>
        <v>0</v>
      </c>
      <c r="Q274" s="18">
        <f ca="1">IF('Current Char Stats'!$A143="","",'Current Char Stats'!$P143)</f>
        <v>0</v>
      </c>
      <c r="R274" s="18">
        <f ca="1">IF('Current Char Stats'!$A143="","",'Current Char Stats'!$Q143)</f>
        <v>0</v>
      </c>
      <c r="S274" s="18">
        <f ca="1">IF('Current Char Stats'!$A143="","",'Current Char Stats'!$R143)</f>
        <v>0</v>
      </c>
      <c r="T274" s="18">
        <f ca="1">IF('Current Char Stats'!$A143="","",'Current Char Stats'!$S143)</f>
        <v>0</v>
      </c>
      <c r="U274" s="18">
        <f ca="1">IF('Current Char Stats'!$A143="","",'Current Char Stats'!$T143)</f>
        <v>0</v>
      </c>
      <c r="V274" s="18">
        <f ca="1">IF('Current Char Stats'!$A143="","",'Current Char Stats'!$U143)</f>
        <v>0</v>
      </c>
      <c r="W274" s="18">
        <f ca="1">IF('Current Char Stats'!$A143="","",'Current Char Stats'!$V143)</f>
        <v>2</v>
      </c>
      <c r="X274" s="18">
        <f ca="1">IF('Current Char Stats'!$A143="","",'Current Char Stats'!$W143)</f>
        <v>5</v>
      </c>
      <c r="Y274" s="18">
        <f ca="1">IF('Current Char Stats'!$A143="","",'Current Char Stats'!$X143)</f>
        <v>0</v>
      </c>
      <c r="Z274" s="18">
        <f ca="1">IF('Current Char Stats'!$A143="","",'Current Char Stats'!$Y143)</f>
        <v>0</v>
      </c>
      <c r="AA274" s="18">
        <f ca="1">IF('Current Char Stats'!$A143="","",'Current Char Stats'!$Z143)</f>
        <v>1</v>
      </c>
      <c r="AB274" s="18">
        <f ca="1">IF('Current Char Stats'!$A143="","",'Current Char Stats'!$AA143)</f>
        <v>0</v>
      </c>
      <c r="AC274" s="18">
        <f ca="1">IF('Current Char Stats'!$A143="","",'Current Char Stats'!$AB143)</f>
        <v>0</v>
      </c>
      <c r="AD274" s="18">
        <f ca="1">IF('Current Char Stats'!$A143="","",'Current Char Stats'!$AC143)</f>
        <v>0</v>
      </c>
      <c r="AE274" s="18">
        <f ca="1">IF('Current Char Stats'!$A143="","",'Current Char Stats'!$AD143)</f>
        <v>0</v>
      </c>
      <c r="AF274" s="18">
        <f ca="1">IF('Current Char Stats'!$A143="","",'Current Char Stats'!$AE143)</f>
        <v>3</v>
      </c>
    </row>
    <row r="275" spans="1:32">
      <c r="A275" s="18">
        <f ca="1">IF('Current Char Stats'!$A144="","",Settings!$B$2)</f>
        <v>1</v>
      </c>
      <c r="B275" s="117" t="str">
        <f ca="1">IF('Current Char Stats'!$A144="","",'Current Char Stats'!$A144)</f>
        <v>May</v>
      </c>
      <c r="C275" s="18" t="str">
        <f ca="1">IF('Current Char Stats'!$A144="","",'Current Char Stats'!$B144)</f>
        <v>Yellow Toad</v>
      </c>
      <c r="D275" s="18" t="str">
        <f ca="1">IF('Current Char Stats'!$A144="","",'Current Char Stats'!$C144)</f>
        <v>G8</v>
      </c>
      <c r="E275" s="18">
        <f ca="1">IF('Current Char Stats'!$A144="","",'Current Char Stats'!$D144)</f>
        <v>2</v>
      </c>
      <c r="F275" s="18">
        <f ca="1">IF('Current Char Stats'!$A144="","",'Current Char Stats'!$E144)</f>
        <v>0</v>
      </c>
      <c r="G275" s="18">
        <f ca="1">IF('Current Char Stats'!$A144="","",'Current Char Stats'!$F144)</f>
        <v>0</v>
      </c>
      <c r="H275" s="18">
        <f ca="1">IF('Current Char Stats'!$A144="","",'Current Char Stats'!$G144)</f>
        <v>0</v>
      </c>
      <c r="I275" s="18">
        <f ca="1">IF('Current Char Stats'!$A144="","",'Current Char Stats'!$H144)</f>
        <v>0</v>
      </c>
      <c r="J275" s="18">
        <f ca="1">IF('Current Char Stats'!$A144="","",'Current Char Stats'!$I144)</f>
        <v>0.2</v>
      </c>
      <c r="K275" s="18">
        <f ca="1">IF('Current Char Stats'!$A144="","",'Current Char Stats'!$J144)</f>
        <v>0</v>
      </c>
      <c r="L275" s="18">
        <f ca="1">IF('Current Char Stats'!$A144="","",'Current Char Stats'!$K144)</f>
        <v>0</v>
      </c>
      <c r="M275" s="18">
        <f ca="1">IF('Current Char Stats'!$A144="","",'Current Char Stats'!$L144)</f>
        <v>0</v>
      </c>
      <c r="N275" s="18">
        <f ca="1">IF('Current Char Stats'!$A144="","",'Current Char Stats'!$M144)</f>
        <v>0</v>
      </c>
      <c r="O275" s="18">
        <f ca="1">IF('Current Char Stats'!$A144="","",'Current Char Stats'!$N144)</f>
        <v>0</v>
      </c>
      <c r="P275" s="18">
        <f ca="1">IF('Current Char Stats'!$A144="","",'Current Char Stats'!$O144)</f>
        <v>0</v>
      </c>
      <c r="Q275" s="18">
        <f ca="1">IF('Current Char Stats'!$A144="","",'Current Char Stats'!$P144)</f>
        <v>0</v>
      </c>
      <c r="R275" s="18">
        <f ca="1">IF('Current Char Stats'!$A144="","",'Current Char Stats'!$Q144)</f>
        <v>0</v>
      </c>
      <c r="S275" s="18">
        <f ca="1">IF('Current Char Stats'!$A144="","",'Current Char Stats'!$R144)</f>
        <v>0</v>
      </c>
      <c r="T275" s="18">
        <f ca="1">IF('Current Char Stats'!$A144="","",'Current Char Stats'!$S144)</f>
        <v>0</v>
      </c>
      <c r="U275" s="18">
        <f ca="1">IF('Current Char Stats'!$A144="","",'Current Char Stats'!$T144)</f>
        <v>0</v>
      </c>
      <c r="V275" s="18">
        <f ca="1">IF('Current Char Stats'!$A144="","",'Current Char Stats'!$U144)</f>
        <v>0</v>
      </c>
      <c r="W275" s="18">
        <f ca="1">IF('Current Char Stats'!$A144="","",'Current Char Stats'!$V144)</f>
        <v>1</v>
      </c>
      <c r="X275" s="18">
        <f ca="1">IF('Current Char Stats'!$A144="","",'Current Char Stats'!$W144)</f>
        <v>0</v>
      </c>
      <c r="Y275" s="18">
        <f ca="1">IF('Current Char Stats'!$A144="","",'Current Char Stats'!$X144)</f>
        <v>0</v>
      </c>
      <c r="Z275" s="18">
        <f ca="1">IF('Current Char Stats'!$A144="","",'Current Char Stats'!$Y144)</f>
        <v>1</v>
      </c>
      <c r="AA275" s="18">
        <f ca="1">IF('Current Char Stats'!$A144="","",'Current Char Stats'!$Z144)</f>
        <v>0</v>
      </c>
      <c r="AB275" s="18">
        <f ca="1">IF('Current Char Stats'!$A144="","",'Current Char Stats'!$AA144)</f>
        <v>0</v>
      </c>
      <c r="AC275" s="18">
        <f ca="1">IF('Current Char Stats'!$A144="","",'Current Char Stats'!$AB144)</f>
        <v>0</v>
      </c>
      <c r="AD275" s="18">
        <f ca="1">IF('Current Char Stats'!$A144="","",'Current Char Stats'!$AC144)</f>
        <v>0</v>
      </c>
      <c r="AE275" s="18">
        <f ca="1">IF('Current Char Stats'!$A144="","",'Current Char Stats'!$AD144)</f>
        <v>5</v>
      </c>
      <c r="AF275" s="18">
        <f ca="1">IF('Current Char Stats'!$A144="","",'Current Char Stats'!$AE144)</f>
        <v>3</v>
      </c>
    </row>
    <row r="276" spans="1:32">
      <c r="A276" s="18">
        <f ca="1">IF('Current Char Stats'!$A145="","",Settings!$B$2)</f>
        <v>1</v>
      </c>
      <c r="B276" s="117" t="str">
        <f ca="1">IF('Current Char Stats'!$A145="","",'Current Char Stats'!$A145)</f>
        <v>May</v>
      </c>
      <c r="C276" s="18" t="str">
        <f ca="1">IF('Current Char Stats'!$A145="","",'Current Char Stats'!$B145)</f>
        <v>Peach</v>
      </c>
      <c r="D276" s="18" t="str">
        <f ca="1">IF('Current Char Stats'!$A145="","",'Current Char Stats'!$C145)</f>
        <v>G8</v>
      </c>
      <c r="E276" s="18">
        <f ca="1">IF('Current Char Stats'!$A145="","",'Current Char Stats'!$D145)</f>
        <v>2</v>
      </c>
      <c r="F276" s="18">
        <f ca="1">IF('Current Char Stats'!$A145="","",'Current Char Stats'!$E145)</f>
        <v>2</v>
      </c>
      <c r="G276" s="18">
        <f ca="1">IF('Current Char Stats'!$A145="","",'Current Char Stats'!$F145)</f>
        <v>1</v>
      </c>
      <c r="H276" s="18">
        <f ca="1">IF('Current Char Stats'!$A145="","",'Current Char Stats'!$G145)</f>
        <v>1</v>
      </c>
      <c r="I276" s="18">
        <f ca="1">IF('Current Char Stats'!$A145="","",'Current Char Stats'!$H145)</f>
        <v>2</v>
      </c>
      <c r="J276" s="18">
        <f ca="1">IF('Current Char Stats'!$A145="","",'Current Char Stats'!$I145)</f>
        <v>2</v>
      </c>
      <c r="K276" s="18">
        <f ca="1">IF('Current Char Stats'!$A145="","",'Current Char Stats'!$J145)</f>
        <v>2</v>
      </c>
      <c r="L276" s="18">
        <f ca="1">IF('Current Char Stats'!$A145="","",'Current Char Stats'!$K145)</f>
        <v>9</v>
      </c>
      <c r="M276" s="18">
        <f ca="1">IF('Current Char Stats'!$A145="","",'Current Char Stats'!$L145)</f>
        <v>0</v>
      </c>
      <c r="N276" s="18">
        <f ca="1">IF('Current Char Stats'!$A145="","",'Current Char Stats'!$M145)</f>
        <v>0</v>
      </c>
      <c r="O276" s="18">
        <f ca="1">IF('Current Char Stats'!$A145="","",'Current Char Stats'!$N145)</f>
        <v>1</v>
      </c>
      <c r="P276" s="18">
        <f ca="1">IF('Current Char Stats'!$A145="","",'Current Char Stats'!$O145)</f>
        <v>0</v>
      </c>
      <c r="Q276" s="18">
        <f ca="1">IF('Current Char Stats'!$A145="","",'Current Char Stats'!$P145)</f>
        <v>0</v>
      </c>
      <c r="R276" s="18">
        <f ca="1">IF('Current Char Stats'!$A145="","",'Current Char Stats'!$Q145)</f>
        <v>0</v>
      </c>
      <c r="S276" s="18">
        <f ca="1">IF('Current Char Stats'!$A145="","",'Current Char Stats'!$R145)</f>
        <v>0</v>
      </c>
      <c r="T276" s="18">
        <f ca="1">IF('Current Char Stats'!$A145="","",'Current Char Stats'!$S145)</f>
        <v>0</v>
      </c>
      <c r="U276" s="18">
        <f ca="1">IF('Current Char Stats'!$A145="","",'Current Char Stats'!$T145)</f>
        <v>0</v>
      </c>
      <c r="V276" s="18">
        <f ca="1">IF('Current Char Stats'!$A145="","",'Current Char Stats'!$U145)</f>
        <v>0</v>
      </c>
      <c r="W276" s="18">
        <f ca="1">IF('Current Char Stats'!$A145="","",'Current Char Stats'!$V145)</f>
        <v>4</v>
      </c>
      <c r="X276" s="18">
        <f ca="1">IF('Current Char Stats'!$A145="","",'Current Char Stats'!$W145)</f>
        <v>2</v>
      </c>
      <c r="Y276" s="18">
        <f ca="1">IF('Current Char Stats'!$A145="","",'Current Char Stats'!$X145)</f>
        <v>0</v>
      </c>
      <c r="Z276" s="18">
        <f ca="1">IF('Current Char Stats'!$A145="","",'Current Char Stats'!$Y145)</f>
        <v>0</v>
      </c>
      <c r="AA276" s="18">
        <f ca="1">IF('Current Char Stats'!$A145="","",'Current Char Stats'!$Z145)</f>
        <v>0</v>
      </c>
      <c r="AB276" s="18">
        <f ca="1">IF('Current Char Stats'!$A145="","",'Current Char Stats'!$AA145)</f>
        <v>0</v>
      </c>
      <c r="AC276" s="18">
        <f ca="1">IF('Current Char Stats'!$A145="","",'Current Char Stats'!$AB145)</f>
        <v>0</v>
      </c>
      <c r="AD276" s="18">
        <f ca="1">IF('Current Char Stats'!$A145="","",'Current Char Stats'!$AC145)</f>
        <v>0</v>
      </c>
      <c r="AE276" s="18">
        <f ca="1">IF('Current Char Stats'!$A145="","",'Current Char Stats'!$AD145)</f>
        <v>2</v>
      </c>
      <c r="AF276" s="18">
        <f ca="1">IF('Current Char Stats'!$A145="","",'Current Char Stats'!$AE145)</f>
        <v>9</v>
      </c>
    </row>
    <row r="277" spans="1:32">
      <c r="A277" s="18">
        <f ca="1">IF('Current Char Stats'!$A146="","",Settings!$B$2)</f>
        <v>1</v>
      </c>
      <c r="B277" s="117" t="str">
        <f ca="1">IF('Current Char Stats'!$A146="","",'Current Char Stats'!$A146)</f>
        <v>May</v>
      </c>
      <c r="C277" s="18" t="str">
        <f ca="1">IF('Current Char Stats'!$A146="","",'Current Char Stats'!$B146)</f>
        <v>Baby Mario</v>
      </c>
      <c r="D277" s="18" t="str">
        <f ca="1">IF('Current Char Stats'!$A146="","",'Current Char Stats'!$C146)</f>
        <v>G8</v>
      </c>
      <c r="E277" s="18">
        <f ca="1">IF('Current Char Stats'!$A146="","",'Current Char Stats'!$D146)</f>
        <v>2</v>
      </c>
      <c r="F277" s="18">
        <f ca="1">IF('Current Char Stats'!$A146="","",'Current Char Stats'!$E146)</f>
        <v>0</v>
      </c>
      <c r="G277" s="18">
        <f ca="1">IF('Current Char Stats'!$A146="","",'Current Char Stats'!$F146)</f>
        <v>0</v>
      </c>
      <c r="H277" s="18">
        <f ca="1">IF('Current Char Stats'!$A146="","",'Current Char Stats'!$G146)</f>
        <v>0</v>
      </c>
      <c r="I277" s="18">
        <f ca="1">IF('Current Char Stats'!$A146="","",'Current Char Stats'!$H146)</f>
        <v>0</v>
      </c>
      <c r="J277" s="18">
        <f ca="1">IF('Current Char Stats'!$A146="","",'Current Char Stats'!$I146)</f>
        <v>0</v>
      </c>
      <c r="K277" s="18">
        <f ca="1">IF('Current Char Stats'!$A146="","",'Current Char Stats'!$J146)</f>
        <v>0</v>
      </c>
      <c r="L277" s="18" t="str">
        <f ca="1">IF('Current Char Stats'!$A146="","",'Current Char Stats'!$K146)</f>
        <v/>
      </c>
      <c r="M277" s="18">
        <f ca="1">IF('Current Char Stats'!$A146="","",'Current Char Stats'!$L146)</f>
        <v>0</v>
      </c>
      <c r="N277" s="18">
        <f ca="1">IF('Current Char Stats'!$A146="","",'Current Char Stats'!$M146)</f>
        <v>0</v>
      </c>
      <c r="O277" s="18">
        <f ca="1">IF('Current Char Stats'!$A146="","",'Current Char Stats'!$N146)</f>
        <v>0</v>
      </c>
      <c r="P277" s="18">
        <f ca="1">IF('Current Char Stats'!$A146="","",'Current Char Stats'!$O146)</f>
        <v>0</v>
      </c>
      <c r="Q277" s="18">
        <f ca="1">IF('Current Char Stats'!$A146="","",'Current Char Stats'!$P146)</f>
        <v>0</v>
      </c>
      <c r="R277" s="18">
        <f ca="1">IF('Current Char Stats'!$A146="","",'Current Char Stats'!$Q146)</f>
        <v>0</v>
      </c>
      <c r="S277" s="18">
        <f ca="1">IF('Current Char Stats'!$A146="","",'Current Char Stats'!$R146)</f>
        <v>0</v>
      </c>
      <c r="T277" s="18">
        <f ca="1">IF('Current Char Stats'!$A146="","",'Current Char Stats'!$S146)</f>
        <v>0</v>
      </c>
      <c r="U277" s="18">
        <f ca="1">IF('Current Char Stats'!$A146="","",'Current Char Stats'!$T146)</f>
        <v>0</v>
      </c>
      <c r="V277" s="18">
        <f ca="1">IF('Current Char Stats'!$A146="","",'Current Char Stats'!$U146)</f>
        <v>0</v>
      </c>
      <c r="W277" s="18">
        <f ca="1">IF('Current Char Stats'!$A146="","",'Current Char Stats'!$V146)</f>
        <v>0</v>
      </c>
      <c r="X277" s="18">
        <f ca="1">IF('Current Char Stats'!$A146="","",'Current Char Stats'!$W146)</f>
        <v>0</v>
      </c>
      <c r="Y277" s="18">
        <f ca="1">IF('Current Char Stats'!$A146="","",'Current Char Stats'!$X146)</f>
        <v>0</v>
      </c>
      <c r="Z277" s="18">
        <f ca="1">IF('Current Char Stats'!$A146="","",'Current Char Stats'!$Y146)</f>
        <v>0</v>
      </c>
      <c r="AA277" s="18">
        <f ca="1">IF('Current Char Stats'!$A146="","",'Current Char Stats'!$Z146)</f>
        <v>0</v>
      </c>
      <c r="AB277" s="18">
        <f ca="1">IF('Current Char Stats'!$A146="","",'Current Char Stats'!$AA146)</f>
        <v>0</v>
      </c>
      <c r="AC277" s="18">
        <f ca="1">IF('Current Char Stats'!$A146="","",'Current Char Stats'!$AB146)</f>
        <v>0</v>
      </c>
      <c r="AD277" s="18">
        <f ca="1">IF('Current Char Stats'!$A146="","",'Current Char Stats'!$AC146)</f>
        <v>0</v>
      </c>
      <c r="AE277" s="18">
        <f ca="1">IF('Current Char Stats'!$A146="","",'Current Char Stats'!$AD146)</f>
        <v>0</v>
      </c>
      <c r="AF277" s="18">
        <f ca="1">IF('Current Char Stats'!$A146="","",'Current Char Stats'!$AE146)</f>
        <v>0</v>
      </c>
    </row>
    <row r="278" spans="1:32">
      <c r="A278" s="18">
        <f ca="1">IF('Current Char Stats'!$A147="","",Settings!$B$2)</f>
        <v>1</v>
      </c>
      <c r="B278" s="117" t="str">
        <f ca="1">IF('Current Char Stats'!$A147="","",'Current Char Stats'!$A147)</f>
        <v>May</v>
      </c>
      <c r="C278" s="18" t="str">
        <f ca="1">IF('Current Char Stats'!$A147="","",'Current Char Stats'!$B147)</f>
        <v>Baby Daisy</v>
      </c>
      <c r="D278" s="18" t="str">
        <f ca="1">IF('Current Char Stats'!$A147="","",'Current Char Stats'!$C147)</f>
        <v>G8</v>
      </c>
      <c r="E278" s="18">
        <f ca="1">IF('Current Char Stats'!$A147="","",'Current Char Stats'!$D147)</f>
        <v>1</v>
      </c>
      <c r="F278" s="18">
        <f ca="1">IF('Current Char Stats'!$A147="","",'Current Char Stats'!$E147)</f>
        <v>0</v>
      </c>
      <c r="G278" s="18">
        <f ca="1">IF('Current Char Stats'!$A147="","",'Current Char Stats'!$F147)</f>
        <v>0</v>
      </c>
      <c r="H278" s="18">
        <f ca="1">IF('Current Char Stats'!$A147="","",'Current Char Stats'!$G147)</f>
        <v>0</v>
      </c>
      <c r="I278" s="18">
        <f ca="1">IF('Current Char Stats'!$A147="","",'Current Char Stats'!$H147)</f>
        <v>0</v>
      </c>
      <c r="J278" s="18">
        <f ca="1">IF('Current Char Stats'!$A147="","",'Current Char Stats'!$I147)</f>
        <v>0</v>
      </c>
      <c r="K278" s="18">
        <f ca="1">IF('Current Char Stats'!$A147="","",'Current Char Stats'!$J147)</f>
        <v>0</v>
      </c>
      <c r="L278" s="18" t="str">
        <f ca="1">IF('Current Char Stats'!$A147="","",'Current Char Stats'!$K147)</f>
        <v/>
      </c>
      <c r="M278" s="18">
        <f ca="1">IF('Current Char Stats'!$A147="","",'Current Char Stats'!$L147)</f>
        <v>0</v>
      </c>
      <c r="N278" s="18">
        <f ca="1">IF('Current Char Stats'!$A147="","",'Current Char Stats'!$M147)</f>
        <v>0</v>
      </c>
      <c r="O278" s="18">
        <f ca="1">IF('Current Char Stats'!$A147="","",'Current Char Stats'!$N147)</f>
        <v>0</v>
      </c>
      <c r="P278" s="18">
        <f ca="1">IF('Current Char Stats'!$A147="","",'Current Char Stats'!$O147)</f>
        <v>0</v>
      </c>
      <c r="Q278" s="18">
        <f ca="1">IF('Current Char Stats'!$A147="","",'Current Char Stats'!$P147)</f>
        <v>0</v>
      </c>
      <c r="R278" s="18">
        <f ca="1">IF('Current Char Stats'!$A147="","",'Current Char Stats'!$Q147)</f>
        <v>0</v>
      </c>
      <c r="S278" s="18">
        <f ca="1">IF('Current Char Stats'!$A147="","",'Current Char Stats'!$R147)</f>
        <v>0</v>
      </c>
      <c r="T278" s="18">
        <f ca="1">IF('Current Char Stats'!$A147="","",'Current Char Stats'!$S147)</f>
        <v>0</v>
      </c>
      <c r="U278" s="18">
        <f ca="1">IF('Current Char Stats'!$A147="","",'Current Char Stats'!$T147)</f>
        <v>0</v>
      </c>
      <c r="V278" s="18">
        <f ca="1">IF('Current Char Stats'!$A147="","",'Current Char Stats'!$U147)</f>
        <v>0</v>
      </c>
      <c r="W278" s="18">
        <f ca="1">IF('Current Char Stats'!$A147="","",'Current Char Stats'!$V147)</f>
        <v>0</v>
      </c>
      <c r="X278" s="18">
        <f ca="1">IF('Current Char Stats'!$A147="","",'Current Char Stats'!$W147)</f>
        <v>0</v>
      </c>
      <c r="Y278" s="18">
        <f ca="1">IF('Current Char Stats'!$A147="","",'Current Char Stats'!$X147)</f>
        <v>0</v>
      </c>
      <c r="Z278" s="18">
        <f ca="1">IF('Current Char Stats'!$A147="","",'Current Char Stats'!$Y147)</f>
        <v>0</v>
      </c>
      <c r="AA278" s="18">
        <f ca="1">IF('Current Char Stats'!$A147="","",'Current Char Stats'!$Z147)</f>
        <v>0</v>
      </c>
      <c r="AB278" s="18">
        <f ca="1">IF('Current Char Stats'!$A147="","",'Current Char Stats'!$AA147)</f>
        <v>0</v>
      </c>
      <c r="AC278" s="18">
        <f ca="1">IF('Current Char Stats'!$A147="","",'Current Char Stats'!$AB147)</f>
        <v>0</v>
      </c>
      <c r="AD278" s="18">
        <f ca="1">IF('Current Char Stats'!$A147="","",'Current Char Stats'!$AC147)</f>
        <v>0</v>
      </c>
      <c r="AE278" s="18">
        <f ca="1">IF('Current Char Stats'!$A147="","",'Current Char Stats'!$AD147)</f>
        <v>0</v>
      </c>
      <c r="AF278" s="18">
        <f ca="1">IF('Current Char Stats'!$A147="","",'Current Char Stats'!$AE147)</f>
        <v>0</v>
      </c>
    </row>
    <row r="279" spans="1:32">
      <c r="A279" s="18">
        <f ca="1">IF('Current Char Stats'!$A148="","",Settings!$B$2)</f>
        <v>1</v>
      </c>
      <c r="B279" s="117" t="str">
        <f ca="1">IF('Current Char Stats'!$A148="","",'Current Char Stats'!$A148)</f>
        <v>Nick</v>
      </c>
      <c r="C279" s="18" t="str">
        <f ca="1">IF('Current Char Stats'!$A148="","",'Current Char Stats'!$B148)</f>
        <v>Yoshi</v>
      </c>
      <c r="D279" s="18" t="str">
        <f ca="1">IF('Current Char Stats'!$A148="","",'Current Char Stats'!$C148)</f>
        <v>G9</v>
      </c>
      <c r="E279" s="18">
        <f ca="1">IF('Current Char Stats'!$A148="","",'Current Char Stats'!$D148)</f>
        <v>2</v>
      </c>
      <c r="F279" s="18">
        <f ca="1">IF('Current Char Stats'!$A148="","",'Current Char Stats'!$E148)</f>
        <v>2</v>
      </c>
      <c r="G279" s="18">
        <f ca="1">IF('Current Char Stats'!$A148="","",'Current Char Stats'!$F148)</f>
        <v>1</v>
      </c>
      <c r="H279" s="18">
        <f ca="1">IF('Current Char Stats'!$A148="","",'Current Char Stats'!$G148)</f>
        <v>0</v>
      </c>
      <c r="I279" s="18">
        <f ca="1">IF('Current Char Stats'!$A148="","",'Current Char Stats'!$H148)</f>
        <v>0</v>
      </c>
      <c r="J279" s="18">
        <f ca="1">IF('Current Char Stats'!$A148="","",'Current Char Stats'!$I148)</f>
        <v>0</v>
      </c>
      <c r="K279" s="18">
        <f ca="1">IF('Current Char Stats'!$A148="","",'Current Char Stats'!$J148)</f>
        <v>0</v>
      </c>
      <c r="L279" s="18" t="str">
        <f ca="1">IF('Current Char Stats'!$A148="","",'Current Char Stats'!$K148)</f>
        <v/>
      </c>
      <c r="M279" s="18">
        <f ca="1">IF('Current Char Stats'!$A148="","",'Current Char Stats'!$L148)</f>
        <v>0</v>
      </c>
      <c r="N279" s="18">
        <f ca="1">IF('Current Char Stats'!$A148="","",'Current Char Stats'!$M148)</f>
        <v>0</v>
      </c>
      <c r="O279" s="18">
        <f ca="1">IF('Current Char Stats'!$A148="","",'Current Char Stats'!$N148)</f>
        <v>1</v>
      </c>
      <c r="P279" s="18">
        <f ca="1">IF('Current Char Stats'!$A148="","",'Current Char Stats'!$O148)</f>
        <v>0</v>
      </c>
      <c r="Q279" s="18">
        <f ca="1">IF('Current Char Stats'!$A148="","",'Current Char Stats'!$P148)</f>
        <v>0</v>
      </c>
      <c r="R279" s="18">
        <f ca="1">IF('Current Char Stats'!$A148="","",'Current Char Stats'!$Q148)</f>
        <v>0</v>
      </c>
      <c r="S279" s="18">
        <f ca="1">IF('Current Char Stats'!$A148="","",'Current Char Stats'!$R148)</f>
        <v>0</v>
      </c>
      <c r="T279" s="18">
        <f ca="1">IF('Current Char Stats'!$A148="","",'Current Char Stats'!$S148)</f>
        <v>0</v>
      </c>
      <c r="U279" s="18">
        <f ca="1">IF('Current Char Stats'!$A148="","",'Current Char Stats'!$T148)</f>
        <v>0</v>
      </c>
      <c r="V279" s="18">
        <f ca="1">IF('Current Char Stats'!$A148="","",'Current Char Stats'!$U148)</f>
        <v>0</v>
      </c>
      <c r="W279" s="18">
        <f ca="1">IF('Current Char Stats'!$A148="","",'Current Char Stats'!$V148)</f>
        <v>0</v>
      </c>
      <c r="X279" s="18">
        <f ca="1">IF('Current Char Stats'!$A148="","",'Current Char Stats'!$W148)</f>
        <v>0</v>
      </c>
      <c r="Y279" s="18">
        <f ca="1">IF('Current Char Stats'!$A148="","",'Current Char Stats'!$X148)</f>
        <v>0</v>
      </c>
      <c r="Z279" s="18">
        <f ca="1">IF('Current Char Stats'!$A148="","",'Current Char Stats'!$Y148)</f>
        <v>0</v>
      </c>
      <c r="AA279" s="18">
        <f ca="1">IF('Current Char Stats'!$A148="","",'Current Char Stats'!$Z148)</f>
        <v>0</v>
      </c>
      <c r="AB279" s="18">
        <f ca="1">IF('Current Char Stats'!$A148="","",'Current Char Stats'!$AA148)</f>
        <v>0</v>
      </c>
      <c r="AC279" s="18">
        <f ca="1">IF('Current Char Stats'!$A148="","",'Current Char Stats'!$AB148)</f>
        <v>0</v>
      </c>
      <c r="AD279" s="18">
        <f ca="1">IF('Current Char Stats'!$A148="","",'Current Char Stats'!$AC148)</f>
        <v>0</v>
      </c>
      <c r="AE279" s="18">
        <f ca="1">IF('Current Char Stats'!$A148="","",'Current Char Stats'!$AD148)</f>
        <v>0</v>
      </c>
      <c r="AF279" s="18">
        <f ca="1">IF('Current Char Stats'!$A148="","",'Current Char Stats'!$AE148)</f>
        <v>0</v>
      </c>
    </row>
    <row r="280" spans="1:32">
      <c r="A280" s="18">
        <f ca="1">IF('Current Char Stats'!$A149="","",Settings!$B$2)</f>
        <v>1</v>
      </c>
      <c r="B280" s="117" t="str">
        <f ca="1">IF('Current Char Stats'!$A149="","",'Current Char Stats'!$A149)</f>
        <v>Nick</v>
      </c>
      <c r="C280" s="18" t="str">
        <f ca="1">IF('Current Char Stats'!$A149="","",'Current Char Stats'!$B149)</f>
        <v>Brown Kritter</v>
      </c>
      <c r="D280" s="18" t="str">
        <f ca="1">IF('Current Char Stats'!$A149="","",'Current Char Stats'!$C149)</f>
        <v>G9</v>
      </c>
      <c r="E280" s="18">
        <f ca="1">IF('Current Char Stats'!$A149="","",'Current Char Stats'!$D149)</f>
        <v>2</v>
      </c>
      <c r="F280" s="18">
        <f ca="1">IF('Current Char Stats'!$A149="","",'Current Char Stats'!$E149)</f>
        <v>1</v>
      </c>
      <c r="G280" s="18">
        <f ca="1">IF('Current Char Stats'!$A149="","",'Current Char Stats'!$F149)</f>
        <v>0.5</v>
      </c>
      <c r="H280" s="18">
        <f ca="1">IF('Current Char Stats'!$A149="","",'Current Char Stats'!$G149)</f>
        <v>0</v>
      </c>
      <c r="I280" s="18">
        <f ca="1">IF('Current Char Stats'!$A149="","",'Current Char Stats'!$H149)</f>
        <v>1</v>
      </c>
      <c r="J280" s="18">
        <f ca="1">IF('Current Char Stats'!$A149="","",'Current Char Stats'!$I149)</f>
        <v>0</v>
      </c>
      <c r="K280" s="18">
        <f ca="1">IF('Current Char Stats'!$A149="","",'Current Char Stats'!$J149)</f>
        <v>0</v>
      </c>
      <c r="L280" s="18" t="str">
        <f ca="1">IF('Current Char Stats'!$A149="","",'Current Char Stats'!$K149)</f>
        <v/>
      </c>
      <c r="M280" s="18">
        <f ca="1">IF('Current Char Stats'!$A149="","",'Current Char Stats'!$L149)</f>
        <v>0</v>
      </c>
      <c r="N280" s="18">
        <f ca="1">IF('Current Char Stats'!$A149="","",'Current Char Stats'!$M149)</f>
        <v>0</v>
      </c>
      <c r="O280" s="18">
        <f ca="1">IF('Current Char Stats'!$A149="","",'Current Char Stats'!$N149)</f>
        <v>0</v>
      </c>
      <c r="P280" s="18">
        <f ca="1">IF('Current Char Stats'!$A149="","",'Current Char Stats'!$O149)</f>
        <v>0</v>
      </c>
      <c r="Q280" s="18">
        <f ca="1">IF('Current Char Stats'!$A149="","",'Current Char Stats'!$P149)</f>
        <v>0</v>
      </c>
      <c r="R280" s="18">
        <f ca="1">IF('Current Char Stats'!$A149="","",'Current Char Stats'!$Q149)</f>
        <v>0</v>
      </c>
      <c r="S280" s="18">
        <f ca="1">IF('Current Char Stats'!$A149="","",'Current Char Stats'!$R149)</f>
        <v>0</v>
      </c>
      <c r="T280" s="18">
        <f ca="1">IF('Current Char Stats'!$A149="","",'Current Char Stats'!$S149)</f>
        <v>0</v>
      </c>
      <c r="U280" s="18">
        <f ca="1">IF('Current Char Stats'!$A149="","",'Current Char Stats'!$T149)</f>
        <v>0</v>
      </c>
      <c r="V280" s="18">
        <f ca="1">IF('Current Char Stats'!$A149="","",'Current Char Stats'!$U149)</f>
        <v>0</v>
      </c>
      <c r="W280" s="18">
        <f ca="1">IF('Current Char Stats'!$A149="","",'Current Char Stats'!$V149)</f>
        <v>0</v>
      </c>
      <c r="X280" s="18">
        <f ca="1">IF('Current Char Stats'!$A149="","",'Current Char Stats'!$W149)</f>
        <v>0</v>
      </c>
      <c r="Y280" s="18">
        <f ca="1">IF('Current Char Stats'!$A149="","",'Current Char Stats'!$X149)</f>
        <v>0</v>
      </c>
      <c r="Z280" s="18">
        <f ca="1">IF('Current Char Stats'!$A149="","",'Current Char Stats'!$Y149)</f>
        <v>0</v>
      </c>
      <c r="AA280" s="18">
        <f ca="1">IF('Current Char Stats'!$A149="","",'Current Char Stats'!$Z149)</f>
        <v>0</v>
      </c>
      <c r="AB280" s="18">
        <f ca="1">IF('Current Char Stats'!$A149="","",'Current Char Stats'!$AA149)</f>
        <v>0</v>
      </c>
      <c r="AC280" s="18">
        <f ca="1">IF('Current Char Stats'!$A149="","",'Current Char Stats'!$AB149)</f>
        <v>0</v>
      </c>
      <c r="AD280" s="18">
        <f ca="1">IF('Current Char Stats'!$A149="","",'Current Char Stats'!$AC149)</f>
        <v>0</v>
      </c>
      <c r="AE280" s="18">
        <f ca="1">IF('Current Char Stats'!$A149="","",'Current Char Stats'!$AD149)</f>
        <v>0</v>
      </c>
      <c r="AF280" s="18">
        <f ca="1">IF('Current Char Stats'!$A149="","",'Current Char Stats'!$AE149)</f>
        <v>0</v>
      </c>
    </row>
    <row r="281" spans="1:32">
      <c r="A281" s="18">
        <f ca="1">IF('Current Char Stats'!$A150="","",Settings!$B$2)</f>
        <v>1</v>
      </c>
      <c r="B281" s="117" t="str">
        <f ca="1">IF('Current Char Stats'!$A150="","",'Current Char Stats'!$A150)</f>
        <v>Nick</v>
      </c>
      <c r="C281" s="18" t="str">
        <f ca="1">IF('Current Char Stats'!$A150="","",'Current Char Stats'!$B150)</f>
        <v>Bowser</v>
      </c>
      <c r="D281" s="18" t="str">
        <f ca="1">IF('Current Char Stats'!$A150="","",'Current Char Stats'!$C150)</f>
        <v>G9</v>
      </c>
      <c r="E281" s="18">
        <f ca="1">IF('Current Char Stats'!$A150="","",'Current Char Stats'!$D150)</f>
        <v>1</v>
      </c>
      <c r="F281" s="18">
        <f ca="1">IF('Current Char Stats'!$A150="","",'Current Char Stats'!$E150)</f>
        <v>0</v>
      </c>
      <c r="G281" s="18">
        <f ca="1">IF('Current Char Stats'!$A150="","",'Current Char Stats'!$F150)</f>
        <v>0</v>
      </c>
      <c r="H281" s="18">
        <f ca="1">IF('Current Char Stats'!$A150="","",'Current Char Stats'!$G150)</f>
        <v>0</v>
      </c>
      <c r="I281" s="18">
        <f ca="1">IF('Current Char Stats'!$A150="","",'Current Char Stats'!$H150)</f>
        <v>0</v>
      </c>
      <c r="J281" s="18">
        <f ca="1">IF('Current Char Stats'!$A150="","",'Current Char Stats'!$I150)</f>
        <v>0</v>
      </c>
      <c r="K281" s="18">
        <f ca="1">IF('Current Char Stats'!$A150="","",'Current Char Stats'!$J150)</f>
        <v>0</v>
      </c>
      <c r="L281" s="18" t="str">
        <f ca="1">IF('Current Char Stats'!$A150="","",'Current Char Stats'!$K150)</f>
        <v/>
      </c>
      <c r="M281" s="18">
        <f ca="1">IF('Current Char Stats'!$A150="","",'Current Char Stats'!$L150)</f>
        <v>0</v>
      </c>
      <c r="N281" s="18">
        <f ca="1">IF('Current Char Stats'!$A150="","",'Current Char Stats'!$M150)</f>
        <v>0</v>
      </c>
      <c r="O281" s="18">
        <f ca="1">IF('Current Char Stats'!$A150="","",'Current Char Stats'!$N150)</f>
        <v>0</v>
      </c>
      <c r="P281" s="18">
        <f ca="1">IF('Current Char Stats'!$A150="","",'Current Char Stats'!$O150)</f>
        <v>0</v>
      </c>
      <c r="Q281" s="18">
        <f ca="1">IF('Current Char Stats'!$A150="","",'Current Char Stats'!$P150)</f>
        <v>0</v>
      </c>
      <c r="R281" s="18">
        <f ca="1">IF('Current Char Stats'!$A150="","",'Current Char Stats'!$Q150)</f>
        <v>0</v>
      </c>
      <c r="S281" s="18">
        <f ca="1">IF('Current Char Stats'!$A150="","",'Current Char Stats'!$R150)</f>
        <v>0</v>
      </c>
      <c r="T281" s="18">
        <f ca="1">IF('Current Char Stats'!$A150="","",'Current Char Stats'!$S150)</f>
        <v>0</v>
      </c>
      <c r="U281" s="18">
        <f ca="1">IF('Current Char Stats'!$A150="","",'Current Char Stats'!$T150)</f>
        <v>0</v>
      </c>
      <c r="V281" s="18">
        <f ca="1">IF('Current Char Stats'!$A150="","",'Current Char Stats'!$U150)</f>
        <v>0</v>
      </c>
      <c r="W281" s="18">
        <f ca="1">IF('Current Char Stats'!$A150="","",'Current Char Stats'!$V150)</f>
        <v>0</v>
      </c>
      <c r="X281" s="18">
        <f ca="1">IF('Current Char Stats'!$A150="","",'Current Char Stats'!$W150)</f>
        <v>0</v>
      </c>
      <c r="Y281" s="18">
        <f ca="1">IF('Current Char Stats'!$A150="","",'Current Char Stats'!$X150)</f>
        <v>0</v>
      </c>
      <c r="Z281" s="18">
        <f ca="1">IF('Current Char Stats'!$A150="","",'Current Char Stats'!$Y150)</f>
        <v>0</v>
      </c>
      <c r="AA281" s="18">
        <f ca="1">IF('Current Char Stats'!$A150="","",'Current Char Stats'!$Z150)</f>
        <v>0</v>
      </c>
      <c r="AB281" s="18">
        <f ca="1">IF('Current Char Stats'!$A150="","",'Current Char Stats'!$AA150)</f>
        <v>0</v>
      </c>
      <c r="AC281" s="18">
        <f ca="1">IF('Current Char Stats'!$A150="","",'Current Char Stats'!$AB150)</f>
        <v>0</v>
      </c>
      <c r="AD281" s="18">
        <f ca="1">IF('Current Char Stats'!$A150="","",'Current Char Stats'!$AC150)</f>
        <v>0</v>
      </c>
      <c r="AE281" s="18">
        <f ca="1">IF('Current Char Stats'!$A150="","",'Current Char Stats'!$AD150)</f>
        <v>0</v>
      </c>
      <c r="AF281" s="18">
        <f ca="1">IF('Current Char Stats'!$A150="","",'Current Char Stats'!$AE150)</f>
        <v>0</v>
      </c>
    </row>
    <row r="282" spans="1:32">
      <c r="A282" s="18">
        <f ca="1">IF('Current Char Stats'!$A151="","",Settings!$B$2)</f>
        <v>1</v>
      </c>
      <c r="B282" s="117" t="str">
        <f ca="1">IF('Current Char Stats'!$A151="","",'Current Char Stats'!$A151)</f>
        <v>Nick</v>
      </c>
      <c r="C282" s="18" t="str">
        <f ca="1">IF('Current Char Stats'!$A151="","",'Current Char Stats'!$B151)</f>
        <v>King K. Rool</v>
      </c>
      <c r="D282" s="18" t="str">
        <f ca="1">IF('Current Char Stats'!$A151="","",'Current Char Stats'!$C151)</f>
        <v>G9</v>
      </c>
      <c r="E282" s="18">
        <f ca="1">IF('Current Char Stats'!$A151="","",'Current Char Stats'!$D151)</f>
        <v>1</v>
      </c>
      <c r="F282" s="18">
        <f ca="1">IF('Current Char Stats'!$A151="","",'Current Char Stats'!$E151)</f>
        <v>0</v>
      </c>
      <c r="G282" s="18">
        <f ca="1">IF('Current Char Stats'!$A151="","",'Current Char Stats'!$F151)</f>
        <v>0</v>
      </c>
      <c r="H282" s="18">
        <f ca="1">IF('Current Char Stats'!$A151="","",'Current Char Stats'!$G151)</f>
        <v>0</v>
      </c>
      <c r="I282" s="18">
        <f ca="1">IF('Current Char Stats'!$A151="","",'Current Char Stats'!$H151)</f>
        <v>0</v>
      </c>
      <c r="J282" s="18">
        <f ca="1">IF('Current Char Stats'!$A151="","",'Current Char Stats'!$I151)</f>
        <v>0</v>
      </c>
      <c r="K282" s="18">
        <f ca="1">IF('Current Char Stats'!$A151="","",'Current Char Stats'!$J151)</f>
        <v>0</v>
      </c>
      <c r="L282" s="18" t="str">
        <f ca="1">IF('Current Char Stats'!$A151="","",'Current Char Stats'!$K151)</f>
        <v/>
      </c>
      <c r="M282" s="18">
        <f ca="1">IF('Current Char Stats'!$A151="","",'Current Char Stats'!$L151)</f>
        <v>0</v>
      </c>
      <c r="N282" s="18">
        <f ca="1">IF('Current Char Stats'!$A151="","",'Current Char Stats'!$M151)</f>
        <v>0</v>
      </c>
      <c r="O282" s="18">
        <f ca="1">IF('Current Char Stats'!$A151="","",'Current Char Stats'!$N151)</f>
        <v>0</v>
      </c>
      <c r="P282" s="18">
        <f ca="1">IF('Current Char Stats'!$A151="","",'Current Char Stats'!$O151)</f>
        <v>0</v>
      </c>
      <c r="Q282" s="18">
        <f ca="1">IF('Current Char Stats'!$A151="","",'Current Char Stats'!$P151)</f>
        <v>0</v>
      </c>
      <c r="R282" s="18">
        <f ca="1">IF('Current Char Stats'!$A151="","",'Current Char Stats'!$Q151)</f>
        <v>0</v>
      </c>
      <c r="S282" s="18">
        <f ca="1">IF('Current Char Stats'!$A151="","",'Current Char Stats'!$R151)</f>
        <v>0</v>
      </c>
      <c r="T282" s="18">
        <f ca="1">IF('Current Char Stats'!$A151="","",'Current Char Stats'!$S151)</f>
        <v>0</v>
      </c>
      <c r="U282" s="18">
        <f ca="1">IF('Current Char Stats'!$A151="","",'Current Char Stats'!$T151)</f>
        <v>0</v>
      </c>
      <c r="V282" s="18">
        <f ca="1">IF('Current Char Stats'!$A151="","",'Current Char Stats'!$U151)</f>
        <v>0</v>
      </c>
      <c r="W282" s="18">
        <f ca="1">IF('Current Char Stats'!$A151="","",'Current Char Stats'!$V151)</f>
        <v>0</v>
      </c>
      <c r="X282" s="18">
        <f ca="1">IF('Current Char Stats'!$A151="","",'Current Char Stats'!$W151)</f>
        <v>0</v>
      </c>
      <c r="Y282" s="18">
        <f ca="1">IF('Current Char Stats'!$A151="","",'Current Char Stats'!$X151)</f>
        <v>0</v>
      </c>
      <c r="Z282" s="18">
        <f ca="1">IF('Current Char Stats'!$A151="","",'Current Char Stats'!$Y151)</f>
        <v>0</v>
      </c>
      <c r="AA282" s="18">
        <f ca="1">IF('Current Char Stats'!$A151="","",'Current Char Stats'!$Z151)</f>
        <v>0</v>
      </c>
      <c r="AB282" s="18">
        <f ca="1">IF('Current Char Stats'!$A151="","",'Current Char Stats'!$AA151)</f>
        <v>0</v>
      </c>
      <c r="AC282" s="18">
        <f ca="1">IF('Current Char Stats'!$A151="","",'Current Char Stats'!$AB151)</f>
        <v>0</v>
      </c>
      <c r="AD282" s="18">
        <f ca="1">IF('Current Char Stats'!$A151="","",'Current Char Stats'!$AC151)</f>
        <v>0</v>
      </c>
      <c r="AE282" s="18">
        <f ca="1">IF('Current Char Stats'!$A151="","",'Current Char Stats'!$AD151)</f>
        <v>0</v>
      </c>
      <c r="AF282" s="18">
        <f ca="1">IF('Current Char Stats'!$A151="","",'Current Char Stats'!$AE151)</f>
        <v>0</v>
      </c>
    </row>
    <row r="283" spans="1:32">
      <c r="A283" s="18">
        <f ca="1">IF('Current Char Stats'!$A152="","",Settings!$B$2)</f>
        <v>1</v>
      </c>
      <c r="B283" s="117" t="str">
        <f ca="1">IF('Current Char Stats'!$A152="","",'Current Char Stats'!$A152)</f>
        <v>Nick</v>
      </c>
      <c r="C283" s="18" t="str">
        <f ca="1">IF('Current Char Stats'!$A152="","",'Current Char Stats'!$B152)</f>
        <v>Blooper</v>
      </c>
      <c r="D283" s="18" t="str">
        <f ca="1">IF('Current Char Stats'!$A152="","",'Current Char Stats'!$C152)</f>
        <v>G9</v>
      </c>
      <c r="E283" s="18">
        <f ca="1">IF('Current Char Stats'!$A152="","",'Current Char Stats'!$D152)</f>
        <v>1</v>
      </c>
      <c r="F283" s="18">
        <f ca="1">IF('Current Char Stats'!$A152="","",'Current Char Stats'!$E152)</f>
        <v>1</v>
      </c>
      <c r="G283" s="18">
        <f ca="1">IF('Current Char Stats'!$A152="","",'Current Char Stats'!$F152)</f>
        <v>1</v>
      </c>
      <c r="H283" s="18">
        <f ca="1">IF('Current Char Stats'!$A152="","",'Current Char Stats'!$G152)</f>
        <v>0</v>
      </c>
      <c r="I283" s="18">
        <f ca="1">IF('Current Char Stats'!$A152="","",'Current Char Stats'!$H152)</f>
        <v>0</v>
      </c>
      <c r="J283" s="18">
        <f ca="1">IF('Current Char Stats'!$A152="","",'Current Char Stats'!$I152)</f>
        <v>0</v>
      </c>
      <c r="K283" s="18">
        <f ca="1">IF('Current Char Stats'!$A152="","",'Current Char Stats'!$J152)</f>
        <v>0</v>
      </c>
      <c r="L283" s="18" t="str">
        <f ca="1">IF('Current Char Stats'!$A152="","",'Current Char Stats'!$K152)</f>
        <v/>
      </c>
      <c r="M283" s="18">
        <f ca="1">IF('Current Char Stats'!$A152="","",'Current Char Stats'!$L152)</f>
        <v>0</v>
      </c>
      <c r="N283" s="18">
        <f ca="1">IF('Current Char Stats'!$A152="","",'Current Char Stats'!$M152)</f>
        <v>0</v>
      </c>
      <c r="O283" s="18">
        <f ca="1">IF('Current Char Stats'!$A152="","",'Current Char Stats'!$N152)</f>
        <v>0</v>
      </c>
      <c r="P283" s="18">
        <f ca="1">IF('Current Char Stats'!$A152="","",'Current Char Stats'!$O152)</f>
        <v>0</v>
      </c>
      <c r="Q283" s="18">
        <f ca="1">IF('Current Char Stats'!$A152="","",'Current Char Stats'!$P152)</f>
        <v>0</v>
      </c>
      <c r="R283" s="18">
        <f ca="1">IF('Current Char Stats'!$A152="","",'Current Char Stats'!$Q152)</f>
        <v>0</v>
      </c>
      <c r="S283" s="18">
        <f ca="1">IF('Current Char Stats'!$A152="","",'Current Char Stats'!$R152)</f>
        <v>0</v>
      </c>
      <c r="T283" s="18">
        <f ca="1">IF('Current Char Stats'!$A152="","",'Current Char Stats'!$S152)</f>
        <v>0</v>
      </c>
      <c r="U283" s="18">
        <f ca="1">IF('Current Char Stats'!$A152="","",'Current Char Stats'!$T152)</f>
        <v>0</v>
      </c>
      <c r="V283" s="18">
        <f ca="1">IF('Current Char Stats'!$A152="","",'Current Char Stats'!$U152)</f>
        <v>0</v>
      </c>
      <c r="W283" s="18">
        <f ca="1">IF('Current Char Stats'!$A152="","",'Current Char Stats'!$V152)</f>
        <v>0</v>
      </c>
      <c r="X283" s="18">
        <f ca="1">IF('Current Char Stats'!$A152="","",'Current Char Stats'!$W152)</f>
        <v>0</v>
      </c>
      <c r="Y283" s="18">
        <f ca="1">IF('Current Char Stats'!$A152="","",'Current Char Stats'!$X152)</f>
        <v>0</v>
      </c>
      <c r="Z283" s="18">
        <f ca="1">IF('Current Char Stats'!$A152="","",'Current Char Stats'!$Y152)</f>
        <v>0</v>
      </c>
      <c r="AA283" s="18">
        <f ca="1">IF('Current Char Stats'!$A152="","",'Current Char Stats'!$Z152)</f>
        <v>0</v>
      </c>
      <c r="AB283" s="18">
        <f ca="1">IF('Current Char Stats'!$A152="","",'Current Char Stats'!$AA152)</f>
        <v>0</v>
      </c>
      <c r="AC283" s="18">
        <f ca="1">IF('Current Char Stats'!$A152="","",'Current Char Stats'!$AB152)</f>
        <v>0</v>
      </c>
      <c r="AD283" s="18">
        <f ca="1">IF('Current Char Stats'!$A152="","",'Current Char Stats'!$AC152)</f>
        <v>0</v>
      </c>
      <c r="AE283" s="18">
        <f ca="1">IF('Current Char Stats'!$A152="","",'Current Char Stats'!$AD152)</f>
        <v>0</v>
      </c>
      <c r="AF283" s="18">
        <f ca="1">IF('Current Char Stats'!$A152="","",'Current Char Stats'!$AE152)</f>
        <v>0</v>
      </c>
    </row>
    <row r="284" spans="1:32">
      <c r="A284" s="18">
        <f ca="1">IF('Current Char Stats'!$A153="","",Settings!$B$2)</f>
        <v>1</v>
      </c>
      <c r="B284" s="117" t="str">
        <f ca="1">IF('Current Char Stats'!$A153="","",'Current Char Stats'!$A153)</f>
        <v>Nick</v>
      </c>
      <c r="C284" s="18" t="str">
        <f ca="1">IF('Current Char Stats'!$A153="","",'Current Char Stats'!$B153)</f>
        <v>Yellow Toad</v>
      </c>
      <c r="D284" s="18" t="str">
        <f ca="1">IF('Current Char Stats'!$A153="","",'Current Char Stats'!$C153)</f>
        <v>G9</v>
      </c>
      <c r="E284" s="18">
        <f ca="1">IF('Current Char Stats'!$A153="","",'Current Char Stats'!$D153)</f>
        <v>1</v>
      </c>
      <c r="F284" s="18">
        <f ca="1">IF('Current Char Stats'!$A153="","",'Current Char Stats'!$E153)</f>
        <v>1</v>
      </c>
      <c r="G284" s="18">
        <f ca="1">IF('Current Char Stats'!$A153="","",'Current Char Stats'!$F153)</f>
        <v>1</v>
      </c>
      <c r="H284" s="18">
        <f ca="1">IF('Current Char Stats'!$A153="","",'Current Char Stats'!$G153)</f>
        <v>0</v>
      </c>
      <c r="I284" s="18">
        <f ca="1">IF('Current Char Stats'!$A153="","",'Current Char Stats'!$H153)</f>
        <v>0</v>
      </c>
      <c r="J284" s="18">
        <f ca="1">IF('Current Char Stats'!$A153="","",'Current Char Stats'!$I153)</f>
        <v>0</v>
      </c>
      <c r="K284" s="18">
        <f ca="1">IF('Current Char Stats'!$A153="","",'Current Char Stats'!$J153)</f>
        <v>0</v>
      </c>
      <c r="L284" s="18" t="str">
        <f ca="1">IF('Current Char Stats'!$A153="","",'Current Char Stats'!$K153)</f>
        <v/>
      </c>
      <c r="M284" s="18">
        <f ca="1">IF('Current Char Stats'!$A153="","",'Current Char Stats'!$L153)</f>
        <v>0</v>
      </c>
      <c r="N284" s="18">
        <f ca="1">IF('Current Char Stats'!$A153="","",'Current Char Stats'!$M153)</f>
        <v>0</v>
      </c>
      <c r="O284" s="18">
        <f ca="1">IF('Current Char Stats'!$A153="","",'Current Char Stats'!$N153)</f>
        <v>0</v>
      </c>
      <c r="P284" s="18">
        <f ca="1">IF('Current Char Stats'!$A153="","",'Current Char Stats'!$O153)</f>
        <v>0</v>
      </c>
      <c r="Q284" s="18">
        <f ca="1">IF('Current Char Stats'!$A153="","",'Current Char Stats'!$P153)</f>
        <v>0</v>
      </c>
      <c r="R284" s="18">
        <f ca="1">IF('Current Char Stats'!$A153="","",'Current Char Stats'!$Q153)</f>
        <v>0</v>
      </c>
      <c r="S284" s="18">
        <f ca="1">IF('Current Char Stats'!$A153="","",'Current Char Stats'!$R153)</f>
        <v>0</v>
      </c>
      <c r="T284" s="18">
        <f ca="1">IF('Current Char Stats'!$A153="","",'Current Char Stats'!$S153)</f>
        <v>0</v>
      </c>
      <c r="U284" s="18">
        <f ca="1">IF('Current Char Stats'!$A153="","",'Current Char Stats'!$T153)</f>
        <v>0</v>
      </c>
      <c r="V284" s="18">
        <f ca="1">IF('Current Char Stats'!$A153="","",'Current Char Stats'!$U153)</f>
        <v>0</v>
      </c>
      <c r="W284" s="18">
        <f ca="1">IF('Current Char Stats'!$A153="","",'Current Char Stats'!$V153)</f>
        <v>0</v>
      </c>
      <c r="X284" s="18">
        <f ca="1">IF('Current Char Stats'!$A153="","",'Current Char Stats'!$W153)</f>
        <v>0</v>
      </c>
      <c r="Y284" s="18">
        <f ca="1">IF('Current Char Stats'!$A153="","",'Current Char Stats'!$X153)</f>
        <v>0</v>
      </c>
      <c r="Z284" s="18">
        <f ca="1">IF('Current Char Stats'!$A153="","",'Current Char Stats'!$Y153)</f>
        <v>0</v>
      </c>
      <c r="AA284" s="18">
        <f ca="1">IF('Current Char Stats'!$A153="","",'Current Char Stats'!$Z153)</f>
        <v>0</v>
      </c>
      <c r="AB284" s="18">
        <f ca="1">IF('Current Char Stats'!$A153="","",'Current Char Stats'!$AA153)</f>
        <v>0</v>
      </c>
      <c r="AC284" s="18">
        <f ca="1">IF('Current Char Stats'!$A153="","",'Current Char Stats'!$AB153)</f>
        <v>0</v>
      </c>
      <c r="AD284" s="18">
        <f ca="1">IF('Current Char Stats'!$A153="","",'Current Char Stats'!$AC153)</f>
        <v>0</v>
      </c>
      <c r="AE284" s="18">
        <f ca="1">IF('Current Char Stats'!$A153="","",'Current Char Stats'!$AD153)</f>
        <v>0</v>
      </c>
      <c r="AF284" s="18">
        <f ca="1">IF('Current Char Stats'!$A153="","",'Current Char Stats'!$AE153)</f>
        <v>0</v>
      </c>
    </row>
    <row r="285" spans="1:32">
      <c r="A285" s="18">
        <f ca="1">IF('Current Char Stats'!$A154="","",Settings!$B$2)</f>
        <v>1</v>
      </c>
      <c r="B285" s="117" t="str">
        <f ca="1">IF('Current Char Stats'!$A154="","",'Current Char Stats'!$A154)</f>
        <v>Nick</v>
      </c>
      <c r="C285" s="18" t="str">
        <f ca="1">IF('Current Char Stats'!$A154="","",'Current Char Stats'!$B154)</f>
        <v>Peach</v>
      </c>
      <c r="D285" s="18" t="str">
        <f ca="1">IF('Current Char Stats'!$A154="","",'Current Char Stats'!$C154)</f>
        <v>G9</v>
      </c>
      <c r="E285" s="18">
        <f ca="1">IF('Current Char Stats'!$A154="","",'Current Char Stats'!$D154)</f>
        <v>1</v>
      </c>
      <c r="F285" s="18">
        <f ca="1">IF('Current Char Stats'!$A154="","",'Current Char Stats'!$E154)</f>
        <v>0</v>
      </c>
      <c r="G285" s="18">
        <f ca="1">IF('Current Char Stats'!$A154="","",'Current Char Stats'!$F154)</f>
        <v>0</v>
      </c>
      <c r="H285" s="18">
        <f ca="1">IF('Current Char Stats'!$A154="","",'Current Char Stats'!$G154)</f>
        <v>0</v>
      </c>
      <c r="I285" s="18">
        <f ca="1">IF('Current Char Stats'!$A154="","",'Current Char Stats'!$H154)</f>
        <v>0</v>
      </c>
      <c r="J285" s="18">
        <f ca="1">IF('Current Char Stats'!$A154="","",'Current Char Stats'!$I154)</f>
        <v>1</v>
      </c>
      <c r="K285" s="18">
        <f ca="1">IF('Current Char Stats'!$A154="","",'Current Char Stats'!$J154)</f>
        <v>0</v>
      </c>
      <c r="L285" s="18">
        <f ca="1">IF('Current Char Stats'!$A154="","",'Current Char Stats'!$K154)</f>
        <v>0</v>
      </c>
      <c r="M285" s="18">
        <f ca="1">IF('Current Char Stats'!$A154="","",'Current Char Stats'!$L154)</f>
        <v>1</v>
      </c>
      <c r="N285" s="18">
        <f ca="1">IF('Current Char Stats'!$A154="","",'Current Char Stats'!$M154)</f>
        <v>0</v>
      </c>
      <c r="O285" s="18">
        <f ca="1">IF('Current Char Stats'!$A154="","",'Current Char Stats'!$N154)</f>
        <v>0</v>
      </c>
      <c r="P285" s="18">
        <f ca="1">IF('Current Char Stats'!$A154="","",'Current Char Stats'!$O154)</f>
        <v>0</v>
      </c>
      <c r="Q285" s="18">
        <f ca="1">IF('Current Char Stats'!$A154="","",'Current Char Stats'!$P154)</f>
        <v>0</v>
      </c>
      <c r="R285" s="18">
        <f ca="1">IF('Current Char Stats'!$A154="","",'Current Char Stats'!$Q154)</f>
        <v>0</v>
      </c>
      <c r="S285" s="18">
        <f ca="1">IF('Current Char Stats'!$A154="","",'Current Char Stats'!$R154)</f>
        <v>1</v>
      </c>
      <c r="T285" s="18">
        <f ca="1">IF('Current Char Stats'!$A154="","",'Current Char Stats'!$S154)</f>
        <v>0</v>
      </c>
      <c r="U285" s="18">
        <f ca="1">IF('Current Char Stats'!$A154="","",'Current Char Stats'!$T154)</f>
        <v>0</v>
      </c>
      <c r="V285" s="18">
        <f ca="1">IF('Current Char Stats'!$A154="","",'Current Char Stats'!$U154)</f>
        <v>0</v>
      </c>
      <c r="W285" s="18">
        <f ca="1">IF('Current Char Stats'!$A154="","",'Current Char Stats'!$V154)</f>
        <v>0</v>
      </c>
      <c r="X285" s="18">
        <f ca="1">IF('Current Char Stats'!$A154="","",'Current Char Stats'!$W154)</f>
        <v>0</v>
      </c>
      <c r="Y285" s="18">
        <f ca="1">IF('Current Char Stats'!$A154="","",'Current Char Stats'!$X154)</f>
        <v>0</v>
      </c>
      <c r="Z285" s="18">
        <f ca="1">IF('Current Char Stats'!$A154="","",'Current Char Stats'!$Y154)</f>
        <v>0</v>
      </c>
      <c r="AA285" s="18">
        <f ca="1">IF('Current Char Stats'!$A154="","",'Current Char Stats'!$Z154)</f>
        <v>0</v>
      </c>
      <c r="AB285" s="18">
        <f ca="1">IF('Current Char Stats'!$A154="","",'Current Char Stats'!$AA154)</f>
        <v>0</v>
      </c>
      <c r="AC285" s="18">
        <f ca="1">IF('Current Char Stats'!$A154="","",'Current Char Stats'!$AB154)</f>
        <v>1</v>
      </c>
      <c r="AD285" s="18">
        <f ca="1">IF('Current Char Stats'!$A154="","",'Current Char Stats'!$AC154)</f>
        <v>1</v>
      </c>
      <c r="AE285" s="18">
        <f ca="1">IF('Current Char Stats'!$A154="","",'Current Char Stats'!$AD154)</f>
        <v>0</v>
      </c>
      <c r="AF285" s="18">
        <f ca="1">IF('Current Char Stats'!$A154="","",'Current Char Stats'!$AE154)</f>
        <v>3</v>
      </c>
    </row>
    <row r="286" spans="1:32">
      <c r="A286" s="18">
        <f ca="1">IF('Current Char Stats'!$A155="","",Settings!$B$2)</f>
        <v>1</v>
      </c>
      <c r="B286" s="117" t="str">
        <f ca="1">IF('Current Char Stats'!$A155="","",'Current Char Stats'!$A155)</f>
        <v>Nick</v>
      </c>
      <c r="C286" s="18" t="str">
        <f ca="1">IF('Current Char Stats'!$A155="","",'Current Char Stats'!$B155)</f>
        <v>Baby Mario</v>
      </c>
      <c r="D286" s="18" t="str">
        <f ca="1">IF('Current Char Stats'!$A155="","",'Current Char Stats'!$C155)</f>
        <v>G9</v>
      </c>
      <c r="E286" s="18">
        <f ca="1">IF('Current Char Stats'!$A155="","",'Current Char Stats'!$D155)</f>
        <v>1</v>
      </c>
      <c r="F286" s="18">
        <f ca="1">IF('Current Char Stats'!$A155="","",'Current Char Stats'!$E155)</f>
        <v>0</v>
      </c>
      <c r="G286" s="18">
        <f ca="1">IF('Current Char Stats'!$A155="","",'Current Char Stats'!$F155)</f>
        <v>0</v>
      </c>
      <c r="H286" s="18">
        <f ca="1">IF('Current Char Stats'!$A155="","",'Current Char Stats'!$G155)</f>
        <v>0</v>
      </c>
      <c r="I286" s="18">
        <f ca="1">IF('Current Char Stats'!$A155="","",'Current Char Stats'!$H155)</f>
        <v>0</v>
      </c>
      <c r="J286" s="18">
        <f ca="1">IF('Current Char Stats'!$A155="","",'Current Char Stats'!$I155)</f>
        <v>0</v>
      </c>
      <c r="K286" s="18">
        <f ca="1">IF('Current Char Stats'!$A155="","",'Current Char Stats'!$J155)</f>
        <v>0</v>
      </c>
      <c r="L286" s="18" t="str">
        <f ca="1">IF('Current Char Stats'!$A155="","",'Current Char Stats'!$K155)</f>
        <v/>
      </c>
      <c r="M286" s="18">
        <f ca="1">IF('Current Char Stats'!$A155="","",'Current Char Stats'!$L155)</f>
        <v>0</v>
      </c>
      <c r="N286" s="18">
        <f ca="1">IF('Current Char Stats'!$A155="","",'Current Char Stats'!$M155)</f>
        <v>0</v>
      </c>
      <c r="O286" s="18">
        <f ca="1">IF('Current Char Stats'!$A155="","",'Current Char Stats'!$N155)</f>
        <v>0</v>
      </c>
      <c r="P286" s="18">
        <f ca="1">IF('Current Char Stats'!$A155="","",'Current Char Stats'!$O155)</f>
        <v>0</v>
      </c>
      <c r="Q286" s="18">
        <f ca="1">IF('Current Char Stats'!$A155="","",'Current Char Stats'!$P155)</f>
        <v>0</v>
      </c>
      <c r="R286" s="18">
        <f ca="1">IF('Current Char Stats'!$A155="","",'Current Char Stats'!$Q155)</f>
        <v>0</v>
      </c>
      <c r="S286" s="18">
        <f ca="1">IF('Current Char Stats'!$A155="","",'Current Char Stats'!$R155)</f>
        <v>0</v>
      </c>
      <c r="T286" s="18">
        <f ca="1">IF('Current Char Stats'!$A155="","",'Current Char Stats'!$S155)</f>
        <v>0</v>
      </c>
      <c r="U286" s="18">
        <f ca="1">IF('Current Char Stats'!$A155="","",'Current Char Stats'!$T155)</f>
        <v>0</v>
      </c>
      <c r="V286" s="18">
        <f ca="1">IF('Current Char Stats'!$A155="","",'Current Char Stats'!$U155)</f>
        <v>0</v>
      </c>
      <c r="W286" s="18">
        <f ca="1">IF('Current Char Stats'!$A155="","",'Current Char Stats'!$V155)</f>
        <v>0</v>
      </c>
      <c r="X286" s="18">
        <f ca="1">IF('Current Char Stats'!$A155="","",'Current Char Stats'!$W155)</f>
        <v>0</v>
      </c>
      <c r="Y286" s="18">
        <f ca="1">IF('Current Char Stats'!$A155="","",'Current Char Stats'!$X155)</f>
        <v>0</v>
      </c>
      <c r="Z286" s="18">
        <f ca="1">IF('Current Char Stats'!$A155="","",'Current Char Stats'!$Y155)</f>
        <v>0</v>
      </c>
      <c r="AA286" s="18">
        <f ca="1">IF('Current Char Stats'!$A155="","",'Current Char Stats'!$Z155)</f>
        <v>0</v>
      </c>
      <c r="AB286" s="18">
        <f ca="1">IF('Current Char Stats'!$A155="","",'Current Char Stats'!$AA155)</f>
        <v>0</v>
      </c>
      <c r="AC286" s="18">
        <f ca="1">IF('Current Char Stats'!$A155="","",'Current Char Stats'!$AB155)</f>
        <v>0</v>
      </c>
      <c r="AD286" s="18">
        <f ca="1">IF('Current Char Stats'!$A155="","",'Current Char Stats'!$AC155)</f>
        <v>0</v>
      </c>
      <c r="AE286" s="18">
        <f ca="1">IF('Current Char Stats'!$A155="","",'Current Char Stats'!$AD155)</f>
        <v>0</v>
      </c>
      <c r="AF286" s="18">
        <f ca="1">IF('Current Char Stats'!$A155="","",'Current Char Stats'!$AE155)</f>
        <v>0</v>
      </c>
    </row>
    <row r="287" spans="1:32">
      <c r="A287" s="18">
        <f ca="1">IF('Current Char Stats'!$A156="","",Settings!$B$2)</f>
        <v>1</v>
      </c>
      <c r="B287" s="117" t="str">
        <f ca="1">IF('Current Char Stats'!$A156="","",'Current Char Stats'!$A156)</f>
        <v>Nick</v>
      </c>
      <c r="C287" s="18" t="str">
        <f ca="1">IF('Current Char Stats'!$A156="","",'Current Char Stats'!$B156)</f>
        <v>Baby Daisy</v>
      </c>
      <c r="D287" s="18" t="str">
        <f ca="1">IF('Current Char Stats'!$A156="","",'Current Char Stats'!$C156)</f>
        <v>G9</v>
      </c>
      <c r="E287" s="18">
        <f ca="1">IF('Current Char Stats'!$A156="","",'Current Char Stats'!$D156)</f>
        <v>1</v>
      </c>
      <c r="F287" s="18">
        <f ca="1">IF('Current Char Stats'!$A156="","",'Current Char Stats'!$E156)</f>
        <v>1</v>
      </c>
      <c r="G287" s="18">
        <f ca="1">IF('Current Char Stats'!$A156="","",'Current Char Stats'!$F156)</f>
        <v>1</v>
      </c>
      <c r="H287" s="18">
        <f ca="1">IF('Current Char Stats'!$A156="","",'Current Char Stats'!$G156)</f>
        <v>0</v>
      </c>
      <c r="I287" s="18">
        <f ca="1">IF('Current Char Stats'!$A156="","",'Current Char Stats'!$H156)</f>
        <v>0</v>
      </c>
      <c r="J287" s="18">
        <f ca="1">IF('Current Char Stats'!$A156="","",'Current Char Stats'!$I156)</f>
        <v>0</v>
      </c>
      <c r="K287" s="18">
        <f ca="1">IF('Current Char Stats'!$A156="","",'Current Char Stats'!$J156)</f>
        <v>0</v>
      </c>
      <c r="L287" s="18" t="str">
        <f ca="1">IF('Current Char Stats'!$A156="","",'Current Char Stats'!$K156)</f>
        <v/>
      </c>
      <c r="M287" s="18">
        <f ca="1">IF('Current Char Stats'!$A156="","",'Current Char Stats'!$L156)</f>
        <v>0</v>
      </c>
      <c r="N287" s="18">
        <f ca="1">IF('Current Char Stats'!$A156="","",'Current Char Stats'!$M156)</f>
        <v>0</v>
      </c>
      <c r="O287" s="18">
        <f ca="1">IF('Current Char Stats'!$A156="","",'Current Char Stats'!$N156)</f>
        <v>0</v>
      </c>
      <c r="P287" s="18">
        <f ca="1">IF('Current Char Stats'!$A156="","",'Current Char Stats'!$O156)</f>
        <v>0</v>
      </c>
      <c r="Q287" s="18">
        <f ca="1">IF('Current Char Stats'!$A156="","",'Current Char Stats'!$P156)</f>
        <v>0</v>
      </c>
      <c r="R287" s="18">
        <f ca="1">IF('Current Char Stats'!$A156="","",'Current Char Stats'!$Q156)</f>
        <v>0</v>
      </c>
      <c r="S287" s="18">
        <f ca="1">IF('Current Char Stats'!$A156="","",'Current Char Stats'!$R156)</f>
        <v>0</v>
      </c>
      <c r="T287" s="18">
        <f ca="1">IF('Current Char Stats'!$A156="","",'Current Char Stats'!$S156)</f>
        <v>0</v>
      </c>
      <c r="U287" s="18">
        <f ca="1">IF('Current Char Stats'!$A156="","",'Current Char Stats'!$T156)</f>
        <v>0</v>
      </c>
      <c r="V287" s="18">
        <f ca="1">IF('Current Char Stats'!$A156="","",'Current Char Stats'!$U156)</f>
        <v>0</v>
      </c>
      <c r="W287" s="18">
        <f ca="1">IF('Current Char Stats'!$A156="","",'Current Char Stats'!$V156)</f>
        <v>0</v>
      </c>
      <c r="X287" s="18">
        <f ca="1">IF('Current Char Stats'!$A156="","",'Current Char Stats'!$W156)</f>
        <v>0</v>
      </c>
      <c r="Y287" s="18">
        <f ca="1">IF('Current Char Stats'!$A156="","",'Current Char Stats'!$X156)</f>
        <v>0</v>
      </c>
      <c r="Z287" s="18">
        <f ca="1">IF('Current Char Stats'!$A156="","",'Current Char Stats'!$Y156)</f>
        <v>0</v>
      </c>
      <c r="AA287" s="18">
        <f ca="1">IF('Current Char Stats'!$A156="","",'Current Char Stats'!$Z156)</f>
        <v>0</v>
      </c>
      <c r="AB287" s="18">
        <f ca="1">IF('Current Char Stats'!$A156="","",'Current Char Stats'!$AA156)</f>
        <v>0</v>
      </c>
      <c r="AC287" s="18">
        <f ca="1">IF('Current Char Stats'!$A156="","",'Current Char Stats'!$AB156)</f>
        <v>0</v>
      </c>
      <c r="AD287" s="18">
        <f ca="1">IF('Current Char Stats'!$A156="","",'Current Char Stats'!$AC156)</f>
        <v>0</v>
      </c>
      <c r="AE287" s="18">
        <f ca="1">IF('Current Char Stats'!$A156="","",'Current Char Stats'!$AD156)</f>
        <v>0</v>
      </c>
      <c r="AF287" s="18">
        <f ca="1">IF('Current Char Stats'!$A156="","",'Current Char Stats'!$AE156)</f>
        <v>0</v>
      </c>
    </row>
    <row r="288" spans="1:32">
      <c r="A288" s="18">
        <f ca="1">IF('Current Char Stats'!$A157="","",Settings!$B$2)</f>
        <v>1</v>
      </c>
      <c r="B288" s="117" t="str">
        <f ca="1">IF('Current Char Stats'!$A157="","",'Current Char Stats'!$A157)</f>
        <v>Jason</v>
      </c>
      <c r="C288" s="18" t="str">
        <f ca="1">IF('Current Char Stats'!$A157="","",'Current Char Stats'!$B157)</f>
        <v>Birdo</v>
      </c>
      <c r="D288" s="18" t="str">
        <f ca="1">IF('Current Char Stats'!$A157="","",'Current Char Stats'!$C157)</f>
        <v>G9</v>
      </c>
      <c r="E288" s="18">
        <f ca="1">IF('Current Char Stats'!$A157="","",'Current Char Stats'!$D157)</f>
        <v>1</v>
      </c>
      <c r="F288" s="18">
        <f ca="1">IF('Current Char Stats'!$A157="","",'Current Char Stats'!$E157)</f>
        <v>0</v>
      </c>
      <c r="G288" s="18">
        <f ca="1">IF('Current Char Stats'!$A157="","",'Current Char Stats'!$F157)</f>
        <v>0</v>
      </c>
      <c r="H288" s="18">
        <f ca="1">IF('Current Char Stats'!$A157="","",'Current Char Stats'!$G157)</f>
        <v>0</v>
      </c>
      <c r="I288" s="18">
        <f ca="1">IF('Current Char Stats'!$A157="","",'Current Char Stats'!$H157)</f>
        <v>0</v>
      </c>
      <c r="J288" s="18">
        <f ca="1">IF('Current Char Stats'!$A157="","",'Current Char Stats'!$I157)</f>
        <v>0</v>
      </c>
      <c r="K288" s="18">
        <f ca="1">IF('Current Char Stats'!$A157="","",'Current Char Stats'!$J157)</f>
        <v>0</v>
      </c>
      <c r="L288" s="18" t="str">
        <f ca="1">IF('Current Char Stats'!$A157="","",'Current Char Stats'!$K157)</f>
        <v/>
      </c>
      <c r="M288" s="18">
        <f ca="1">IF('Current Char Stats'!$A157="","",'Current Char Stats'!$L157)</f>
        <v>0</v>
      </c>
      <c r="N288" s="18">
        <f ca="1">IF('Current Char Stats'!$A157="","",'Current Char Stats'!$M157)</f>
        <v>0</v>
      </c>
      <c r="O288" s="18">
        <f ca="1">IF('Current Char Stats'!$A157="","",'Current Char Stats'!$N157)</f>
        <v>0</v>
      </c>
      <c r="P288" s="18">
        <f ca="1">IF('Current Char Stats'!$A157="","",'Current Char Stats'!$O157)</f>
        <v>0</v>
      </c>
      <c r="Q288" s="18">
        <f ca="1">IF('Current Char Stats'!$A157="","",'Current Char Stats'!$P157)</f>
        <v>0</v>
      </c>
      <c r="R288" s="18">
        <f ca="1">IF('Current Char Stats'!$A157="","",'Current Char Stats'!$Q157)</f>
        <v>0</v>
      </c>
      <c r="S288" s="18">
        <f ca="1">IF('Current Char Stats'!$A157="","",'Current Char Stats'!$R157)</f>
        <v>0</v>
      </c>
      <c r="T288" s="18">
        <f ca="1">IF('Current Char Stats'!$A157="","",'Current Char Stats'!$S157)</f>
        <v>0</v>
      </c>
      <c r="U288" s="18">
        <f ca="1">IF('Current Char Stats'!$A157="","",'Current Char Stats'!$T157)</f>
        <v>0</v>
      </c>
      <c r="V288" s="18">
        <f ca="1">IF('Current Char Stats'!$A157="","",'Current Char Stats'!$U157)</f>
        <v>0</v>
      </c>
      <c r="W288" s="18">
        <f ca="1">IF('Current Char Stats'!$A157="","",'Current Char Stats'!$V157)</f>
        <v>0</v>
      </c>
      <c r="X288" s="18">
        <f ca="1">IF('Current Char Stats'!$A157="","",'Current Char Stats'!$W157)</f>
        <v>0</v>
      </c>
      <c r="Y288" s="18">
        <f ca="1">IF('Current Char Stats'!$A157="","",'Current Char Stats'!$X157)</f>
        <v>0</v>
      </c>
      <c r="Z288" s="18">
        <f ca="1">IF('Current Char Stats'!$A157="","",'Current Char Stats'!$Y157)</f>
        <v>0</v>
      </c>
      <c r="AA288" s="18">
        <f ca="1">IF('Current Char Stats'!$A157="","",'Current Char Stats'!$Z157)</f>
        <v>0</v>
      </c>
      <c r="AB288" s="18">
        <f ca="1">IF('Current Char Stats'!$A157="","",'Current Char Stats'!$AA157)</f>
        <v>0</v>
      </c>
      <c r="AC288" s="18">
        <f ca="1">IF('Current Char Stats'!$A157="","",'Current Char Stats'!$AB157)</f>
        <v>0</v>
      </c>
      <c r="AD288" s="18">
        <f ca="1">IF('Current Char Stats'!$A157="","",'Current Char Stats'!$AC157)</f>
        <v>0</v>
      </c>
      <c r="AE288" s="18">
        <f ca="1">IF('Current Char Stats'!$A157="","",'Current Char Stats'!$AD157)</f>
        <v>0</v>
      </c>
      <c r="AF288" s="18">
        <f ca="1">IF('Current Char Stats'!$A157="","",'Current Char Stats'!$AE157)</f>
        <v>0</v>
      </c>
    </row>
    <row r="289" spans="1:32">
      <c r="A289" s="18">
        <f ca="1">IF('Current Char Stats'!$A158="","",Settings!$B$2)</f>
        <v>1</v>
      </c>
      <c r="B289" s="117" t="str">
        <f ca="1">IF('Current Char Stats'!$A158="","",'Current Char Stats'!$A158)</f>
        <v>Jason</v>
      </c>
      <c r="C289" s="18" t="str">
        <f ca="1">IF('Current Char Stats'!$A158="","",'Current Char Stats'!$B158)</f>
        <v>Red Kritter</v>
      </c>
      <c r="D289" s="18" t="str">
        <f ca="1">IF('Current Char Stats'!$A158="","",'Current Char Stats'!$C158)</f>
        <v>G9</v>
      </c>
      <c r="E289" s="18">
        <f ca="1">IF('Current Char Stats'!$A158="","",'Current Char Stats'!$D158)</f>
        <v>1</v>
      </c>
      <c r="F289" s="18">
        <f ca="1">IF('Current Char Stats'!$A158="","",'Current Char Stats'!$E158)</f>
        <v>0</v>
      </c>
      <c r="G289" s="18">
        <f ca="1">IF('Current Char Stats'!$A158="","",'Current Char Stats'!$F158)</f>
        <v>0</v>
      </c>
      <c r="H289" s="18">
        <f ca="1">IF('Current Char Stats'!$A158="","",'Current Char Stats'!$G158)</f>
        <v>0</v>
      </c>
      <c r="I289" s="18">
        <f ca="1">IF('Current Char Stats'!$A158="","",'Current Char Stats'!$H158)</f>
        <v>0</v>
      </c>
      <c r="J289" s="18">
        <f ca="1">IF('Current Char Stats'!$A158="","",'Current Char Stats'!$I158)</f>
        <v>0</v>
      </c>
      <c r="K289" s="18">
        <f ca="1">IF('Current Char Stats'!$A158="","",'Current Char Stats'!$J158)</f>
        <v>0</v>
      </c>
      <c r="L289" s="18" t="str">
        <f ca="1">IF('Current Char Stats'!$A158="","",'Current Char Stats'!$K158)</f>
        <v/>
      </c>
      <c r="M289" s="18">
        <f ca="1">IF('Current Char Stats'!$A158="","",'Current Char Stats'!$L158)</f>
        <v>0</v>
      </c>
      <c r="N289" s="18">
        <f ca="1">IF('Current Char Stats'!$A158="","",'Current Char Stats'!$M158)</f>
        <v>0</v>
      </c>
      <c r="O289" s="18">
        <f ca="1">IF('Current Char Stats'!$A158="","",'Current Char Stats'!$N158)</f>
        <v>0</v>
      </c>
      <c r="P289" s="18">
        <f ca="1">IF('Current Char Stats'!$A158="","",'Current Char Stats'!$O158)</f>
        <v>0</v>
      </c>
      <c r="Q289" s="18">
        <f ca="1">IF('Current Char Stats'!$A158="","",'Current Char Stats'!$P158)</f>
        <v>0</v>
      </c>
      <c r="R289" s="18">
        <f ca="1">IF('Current Char Stats'!$A158="","",'Current Char Stats'!$Q158)</f>
        <v>0</v>
      </c>
      <c r="S289" s="18">
        <f ca="1">IF('Current Char Stats'!$A158="","",'Current Char Stats'!$R158)</f>
        <v>0</v>
      </c>
      <c r="T289" s="18">
        <f ca="1">IF('Current Char Stats'!$A158="","",'Current Char Stats'!$S158)</f>
        <v>0</v>
      </c>
      <c r="U289" s="18">
        <f ca="1">IF('Current Char Stats'!$A158="","",'Current Char Stats'!$T158)</f>
        <v>0</v>
      </c>
      <c r="V289" s="18">
        <f ca="1">IF('Current Char Stats'!$A158="","",'Current Char Stats'!$U158)</f>
        <v>0</v>
      </c>
      <c r="W289" s="18">
        <f ca="1">IF('Current Char Stats'!$A158="","",'Current Char Stats'!$V158)</f>
        <v>0</v>
      </c>
      <c r="X289" s="18">
        <f ca="1">IF('Current Char Stats'!$A158="","",'Current Char Stats'!$W158)</f>
        <v>0</v>
      </c>
      <c r="Y289" s="18">
        <f ca="1">IF('Current Char Stats'!$A158="","",'Current Char Stats'!$X158)</f>
        <v>0</v>
      </c>
      <c r="Z289" s="18">
        <f ca="1">IF('Current Char Stats'!$A158="","",'Current Char Stats'!$Y158)</f>
        <v>0</v>
      </c>
      <c r="AA289" s="18">
        <f ca="1">IF('Current Char Stats'!$A158="","",'Current Char Stats'!$Z158)</f>
        <v>0</v>
      </c>
      <c r="AB289" s="18">
        <f ca="1">IF('Current Char Stats'!$A158="","",'Current Char Stats'!$AA158)</f>
        <v>0</v>
      </c>
      <c r="AC289" s="18">
        <f ca="1">IF('Current Char Stats'!$A158="","",'Current Char Stats'!$AB158)</f>
        <v>0</v>
      </c>
      <c r="AD289" s="18">
        <f ca="1">IF('Current Char Stats'!$A158="","",'Current Char Stats'!$AC158)</f>
        <v>0</v>
      </c>
      <c r="AE289" s="18">
        <f ca="1">IF('Current Char Stats'!$A158="","",'Current Char Stats'!$AD158)</f>
        <v>0</v>
      </c>
      <c r="AF289" s="18">
        <f ca="1">IF('Current Char Stats'!$A158="","",'Current Char Stats'!$AE158)</f>
        <v>0</v>
      </c>
    </row>
    <row r="290" spans="1:32">
      <c r="A290" s="18">
        <f ca="1">IF('Current Char Stats'!$A159="","",Settings!$B$2)</f>
        <v>1</v>
      </c>
      <c r="B290" s="117" t="str">
        <f ca="1">IF('Current Char Stats'!$A159="","",'Current Char Stats'!$A159)</f>
        <v>Jason</v>
      </c>
      <c r="C290" s="18" t="str">
        <f ca="1">IF('Current Char Stats'!$A159="","",'Current Char Stats'!$B159)</f>
        <v>Petey Piranha</v>
      </c>
      <c r="D290" s="18" t="str">
        <f ca="1">IF('Current Char Stats'!$A159="","",'Current Char Stats'!$C159)</f>
        <v>G9</v>
      </c>
      <c r="E290" s="18">
        <f ca="1">IF('Current Char Stats'!$A159="","",'Current Char Stats'!$D159)</f>
        <v>1</v>
      </c>
      <c r="F290" s="18">
        <f ca="1">IF('Current Char Stats'!$A159="","",'Current Char Stats'!$E159)</f>
        <v>0</v>
      </c>
      <c r="G290" s="18">
        <f ca="1">IF('Current Char Stats'!$A159="","",'Current Char Stats'!$F159)</f>
        <v>0</v>
      </c>
      <c r="H290" s="18">
        <f ca="1">IF('Current Char Stats'!$A159="","",'Current Char Stats'!$G159)</f>
        <v>0</v>
      </c>
      <c r="I290" s="18">
        <f ca="1">IF('Current Char Stats'!$A159="","",'Current Char Stats'!$H159)</f>
        <v>0</v>
      </c>
      <c r="J290" s="18">
        <f ca="1">IF('Current Char Stats'!$A159="","",'Current Char Stats'!$I159)</f>
        <v>0</v>
      </c>
      <c r="K290" s="18">
        <f ca="1">IF('Current Char Stats'!$A159="","",'Current Char Stats'!$J159)</f>
        <v>0</v>
      </c>
      <c r="L290" s="18" t="str">
        <f ca="1">IF('Current Char Stats'!$A159="","",'Current Char Stats'!$K159)</f>
        <v/>
      </c>
      <c r="M290" s="18">
        <f ca="1">IF('Current Char Stats'!$A159="","",'Current Char Stats'!$L159)</f>
        <v>0</v>
      </c>
      <c r="N290" s="18">
        <f ca="1">IF('Current Char Stats'!$A159="","",'Current Char Stats'!$M159)</f>
        <v>0</v>
      </c>
      <c r="O290" s="18">
        <f ca="1">IF('Current Char Stats'!$A159="","",'Current Char Stats'!$N159)</f>
        <v>0</v>
      </c>
      <c r="P290" s="18">
        <f ca="1">IF('Current Char Stats'!$A159="","",'Current Char Stats'!$O159)</f>
        <v>0</v>
      </c>
      <c r="Q290" s="18">
        <f ca="1">IF('Current Char Stats'!$A159="","",'Current Char Stats'!$P159)</f>
        <v>0</v>
      </c>
      <c r="R290" s="18">
        <f ca="1">IF('Current Char Stats'!$A159="","",'Current Char Stats'!$Q159)</f>
        <v>0</v>
      </c>
      <c r="S290" s="18">
        <f ca="1">IF('Current Char Stats'!$A159="","",'Current Char Stats'!$R159)</f>
        <v>0</v>
      </c>
      <c r="T290" s="18">
        <f ca="1">IF('Current Char Stats'!$A159="","",'Current Char Stats'!$S159)</f>
        <v>0</v>
      </c>
      <c r="U290" s="18">
        <f ca="1">IF('Current Char Stats'!$A159="","",'Current Char Stats'!$T159)</f>
        <v>0</v>
      </c>
      <c r="V290" s="18">
        <f ca="1">IF('Current Char Stats'!$A159="","",'Current Char Stats'!$U159)</f>
        <v>0</v>
      </c>
      <c r="W290" s="18">
        <f ca="1">IF('Current Char Stats'!$A159="","",'Current Char Stats'!$V159)</f>
        <v>0</v>
      </c>
      <c r="X290" s="18">
        <f ca="1">IF('Current Char Stats'!$A159="","",'Current Char Stats'!$W159)</f>
        <v>0</v>
      </c>
      <c r="Y290" s="18">
        <f ca="1">IF('Current Char Stats'!$A159="","",'Current Char Stats'!$X159)</f>
        <v>0</v>
      </c>
      <c r="Z290" s="18">
        <f ca="1">IF('Current Char Stats'!$A159="","",'Current Char Stats'!$Y159)</f>
        <v>0</v>
      </c>
      <c r="AA290" s="18">
        <f ca="1">IF('Current Char Stats'!$A159="","",'Current Char Stats'!$Z159)</f>
        <v>0</v>
      </c>
      <c r="AB290" s="18">
        <f ca="1">IF('Current Char Stats'!$A159="","",'Current Char Stats'!$AA159)</f>
        <v>0</v>
      </c>
      <c r="AC290" s="18">
        <f ca="1">IF('Current Char Stats'!$A159="","",'Current Char Stats'!$AB159)</f>
        <v>0</v>
      </c>
      <c r="AD290" s="18">
        <f ca="1">IF('Current Char Stats'!$A159="","",'Current Char Stats'!$AC159)</f>
        <v>0</v>
      </c>
      <c r="AE290" s="18">
        <f ca="1">IF('Current Char Stats'!$A159="","",'Current Char Stats'!$AD159)</f>
        <v>0</v>
      </c>
      <c r="AF290" s="18">
        <f ca="1">IF('Current Char Stats'!$A159="","",'Current Char Stats'!$AE159)</f>
        <v>0</v>
      </c>
    </row>
    <row r="291" spans="1:32">
      <c r="A291" s="18">
        <f ca="1">IF('Current Char Stats'!$A160="","",Settings!$B$2)</f>
        <v>1</v>
      </c>
      <c r="B291" s="117" t="str">
        <f ca="1">IF('Current Char Stats'!$A160="","",'Current Char Stats'!$A160)</f>
        <v>Jason</v>
      </c>
      <c r="C291" s="18" t="str">
        <f ca="1">IF('Current Char Stats'!$A160="","",'Current Char Stats'!$B160)</f>
        <v>King Boo</v>
      </c>
      <c r="D291" s="18" t="str">
        <f ca="1">IF('Current Char Stats'!$A160="","",'Current Char Stats'!$C160)</f>
        <v>G9</v>
      </c>
      <c r="E291" s="18">
        <f ca="1">IF('Current Char Stats'!$A160="","",'Current Char Stats'!$D160)</f>
        <v>1</v>
      </c>
      <c r="F291" s="18">
        <f ca="1">IF('Current Char Stats'!$A160="","",'Current Char Stats'!$E160)</f>
        <v>0</v>
      </c>
      <c r="G291" s="18">
        <f ca="1">IF('Current Char Stats'!$A160="","",'Current Char Stats'!$F160)</f>
        <v>0</v>
      </c>
      <c r="H291" s="18">
        <f ca="1">IF('Current Char Stats'!$A160="","",'Current Char Stats'!$G160)</f>
        <v>0</v>
      </c>
      <c r="I291" s="18">
        <f ca="1">IF('Current Char Stats'!$A160="","",'Current Char Stats'!$H160)</f>
        <v>0</v>
      </c>
      <c r="J291" s="18">
        <f ca="1">IF('Current Char Stats'!$A160="","",'Current Char Stats'!$I160)</f>
        <v>2</v>
      </c>
      <c r="K291" s="18">
        <f ca="1">IF('Current Char Stats'!$A160="","",'Current Char Stats'!$J160)</f>
        <v>0</v>
      </c>
      <c r="L291" s="18">
        <f ca="1">IF('Current Char Stats'!$A160="","",'Current Char Stats'!$K160)</f>
        <v>0</v>
      </c>
      <c r="M291" s="18">
        <f ca="1">IF('Current Char Stats'!$A160="","",'Current Char Stats'!$L160)</f>
        <v>0</v>
      </c>
      <c r="N291" s="18">
        <f ca="1">IF('Current Char Stats'!$A160="","",'Current Char Stats'!$M160)</f>
        <v>0</v>
      </c>
      <c r="O291" s="18">
        <f ca="1">IF('Current Char Stats'!$A160="","",'Current Char Stats'!$N160)</f>
        <v>0</v>
      </c>
      <c r="P291" s="18">
        <f ca="1">IF('Current Char Stats'!$A160="","",'Current Char Stats'!$O160)</f>
        <v>0</v>
      </c>
      <c r="Q291" s="18">
        <f ca="1">IF('Current Char Stats'!$A160="","",'Current Char Stats'!$P160)</f>
        <v>0</v>
      </c>
      <c r="R291" s="18">
        <f ca="1">IF('Current Char Stats'!$A160="","",'Current Char Stats'!$Q160)</f>
        <v>0</v>
      </c>
      <c r="S291" s="18">
        <f ca="1">IF('Current Char Stats'!$A160="","",'Current Char Stats'!$R160)</f>
        <v>0</v>
      </c>
      <c r="T291" s="18">
        <f ca="1">IF('Current Char Stats'!$A160="","",'Current Char Stats'!$S160)</f>
        <v>0</v>
      </c>
      <c r="U291" s="18">
        <f ca="1">IF('Current Char Stats'!$A160="","",'Current Char Stats'!$T160)</f>
        <v>0</v>
      </c>
      <c r="V291" s="18">
        <f ca="1">IF('Current Char Stats'!$A160="","",'Current Char Stats'!$U160)</f>
        <v>0</v>
      </c>
      <c r="W291" s="18">
        <f ca="1">IF('Current Char Stats'!$A160="","",'Current Char Stats'!$V160)</f>
        <v>5</v>
      </c>
      <c r="X291" s="18">
        <f ca="1">IF('Current Char Stats'!$A160="","",'Current Char Stats'!$W160)</f>
        <v>0</v>
      </c>
      <c r="Y291" s="18">
        <f ca="1">IF('Current Char Stats'!$A160="","",'Current Char Stats'!$X160)</f>
        <v>0</v>
      </c>
      <c r="Z291" s="18">
        <f ca="1">IF('Current Char Stats'!$A160="","",'Current Char Stats'!$Y160)</f>
        <v>1</v>
      </c>
      <c r="AA291" s="18">
        <f ca="1">IF('Current Char Stats'!$A160="","",'Current Char Stats'!$Z160)</f>
        <v>0</v>
      </c>
      <c r="AB291" s="18">
        <f ca="1">IF('Current Char Stats'!$A160="","",'Current Char Stats'!$AA160)</f>
        <v>0</v>
      </c>
      <c r="AC291" s="18">
        <f ca="1">IF('Current Char Stats'!$A160="","",'Current Char Stats'!$AB160)</f>
        <v>0</v>
      </c>
      <c r="AD291" s="18">
        <f ca="1">IF('Current Char Stats'!$A160="","",'Current Char Stats'!$AC160)</f>
        <v>1</v>
      </c>
      <c r="AE291" s="18">
        <f ca="1">IF('Current Char Stats'!$A160="","",'Current Char Stats'!$AD160)</f>
        <v>2.5</v>
      </c>
      <c r="AF291" s="18">
        <f ca="1">IF('Current Char Stats'!$A160="","",'Current Char Stats'!$AE160)</f>
        <v>10</v>
      </c>
    </row>
    <row r="292" spans="1:32">
      <c r="A292" s="18">
        <f ca="1">IF('Current Char Stats'!$A161="","",Settings!$B$2)</f>
        <v>1</v>
      </c>
      <c r="B292" s="117" t="str">
        <f ca="1">IF('Current Char Stats'!$A161="","",'Current Char Stats'!$A161)</f>
        <v>Jason</v>
      </c>
      <c r="C292" s="18" t="str">
        <f ca="1">IF('Current Char Stats'!$A161="","",'Current Char Stats'!$B161)</f>
        <v>Hammer Bro</v>
      </c>
      <c r="D292" s="18" t="str">
        <f ca="1">IF('Current Char Stats'!$A161="","",'Current Char Stats'!$C161)</f>
        <v>G9</v>
      </c>
      <c r="E292" s="18">
        <f ca="1">IF('Current Char Stats'!$A161="","",'Current Char Stats'!$D161)</f>
        <v>1</v>
      </c>
      <c r="F292" s="18">
        <f ca="1">IF('Current Char Stats'!$A161="","",'Current Char Stats'!$E161)</f>
        <v>0</v>
      </c>
      <c r="G292" s="18">
        <f ca="1">IF('Current Char Stats'!$A161="","",'Current Char Stats'!$F161)</f>
        <v>0</v>
      </c>
      <c r="H292" s="18">
        <f ca="1">IF('Current Char Stats'!$A161="","",'Current Char Stats'!$G161)</f>
        <v>0</v>
      </c>
      <c r="I292" s="18">
        <f ca="1">IF('Current Char Stats'!$A161="","",'Current Char Stats'!$H161)</f>
        <v>0</v>
      </c>
      <c r="J292" s="18">
        <f ca="1">IF('Current Char Stats'!$A161="","",'Current Char Stats'!$I161)</f>
        <v>0</v>
      </c>
      <c r="K292" s="18">
        <f ca="1">IF('Current Char Stats'!$A161="","",'Current Char Stats'!$J161)</f>
        <v>0</v>
      </c>
      <c r="L292" s="18" t="str">
        <f ca="1">IF('Current Char Stats'!$A161="","",'Current Char Stats'!$K161)</f>
        <v/>
      </c>
      <c r="M292" s="18">
        <f ca="1">IF('Current Char Stats'!$A161="","",'Current Char Stats'!$L161)</f>
        <v>0</v>
      </c>
      <c r="N292" s="18">
        <f ca="1">IF('Current Char Stats'!$A161="","",'Current Char Stats'!$M161)</f>
        <v>0</v>
      </c>
      <c r="O292" s="18">
        <f ca="1">IF('Current Char Stats'!$A161="","",'Current Char Stats'!$N161)</f>
        <v>0</v>
      </c>
      <c r="P292" s="18">
        <f ca="1">IF('Current Char Stats'!$A161="","",'Current Char Stats'!$O161)</f>
        <v>0</v>
      </c>
      <c r="Q292" s="18">
        <f ca="1">IF('Current Char Stats'!$A161="","",'Current Char Stats'!$P161)</f>
        <v>0</v>
      </c>
      <c r="R292" s="18">
        <f ca="1">IF('Current Char Stats'!$A161="","",'Current Char Stats'!$Q161)</f>
        <v>0</v>
      </c>
      <c r="S292" s="18">
        <f ca="1">IF('Current Char Stats'!$A161="","",'Current Char Stats'!$R161)</f>
        <v>0</v>
      </c>
      <c r="T292" s="18">
        <f ca="1">IF('Current Char Stats'!$A161="","",'Current Char Stats'!$S161)</f>
        <v>0</v>
      </c>
      <c r="U292" s="18">
        <f ca="1">IF('Current Char Stats'!$A161="","",'Current Char Stats'!$T161)</f>
        <v>0</v>
      </c>
      <c r="V292" s="18">
        <f ca="1">IF('Current Char Stats'!$A161="","",'Current Char Stats'!$U161)</f>
        <v>0</v>
      </c>
      <c r="W292" s="18">
        <f ca="1">IF('Current Char Stats'!$A161="","",'Current Char Stats'!$V161)</f>
        <v>0</v>
      </c>
      <c r="X292" s="18">
        <f ca="1">IF('Current Char Stats'!$A161="","",'Current Char Stats'!$W161)</f>
        <v>0</v>
      </c>
      <c r="Y292" s="18">
        <f ca="1">IF('Current Char Stats'!$A161="","",'Current Char Stats'!$X161)</f>
        <v>0</v>
      </c>
      <c r="Z292" s="18">
        <f ca="1">IF('Current Char Stats'!$A161="","",'Current Char Stats'!$Y161)</f>
        <v>0</v>
      </c>
      <c r="AA292" s="18">
        <f ca="1">IF('Current Char Stats'!$A161="","",'Current Char Stats'!$Z161)</f>
        <v>0</v>
      </c>
      <c r="AB292" s="18">
        <f ca="1">IF('Current Char Stats'!$A161="","",'Current Char Stats'!$AA161)</f>
        <v>0</v>
      </c>
      <c r="AC292" s="18">
        <f ca="1">IF('Current Char Stats'!$A161="","",'Current Char Stats'!$AB161)</f>
        <v>0</v>
      </c>
      <c r="AD292" s="18">
        <f ca="1">IF('Current Char Stats'!$A161="","",'Current Char Stats'!$AC161)</f>
        <v>0</v>
      </c>
      <c r="AE292" s="18">
        <f ca="1">IF('Current Char Stats'!$A161="","",'Current Char Stats'!$AD161)</f>
        <v>0</v>
      </c>
      <c r="AF292" s="18">
        <f ca="1">IF('Current Char Stats'!$A161="","",'Current Char Stats'!$AE161)</f>
        <v>0</v>
      </c>
    </row>
    <row r="293" spans="1:32">
      <c r="A293" s="18">
        <f ca="1">IF('Current Char Stats'!$A162="","",Settings!$B$2)</f>
        <v>1</v>
      </c>
      <c r="B293" s="117" t="str">
        <f ca="1">IF('Current Char Stats'!$A162="","",'Current Char Stats'!$A162)</f>
        <v>Jason</v>
      </c>
      <c r="C293" s="18" t="str">
        <f ca="1">IF('Current Char Stats'!$A162="","",'Current Char Stats'!$B162)</f>
        <v>Red Yoshi</v>
      </c>
      <c r="D293" s="18" t="str">
        <f ca="1">IF('Current Char Stats'!$A162="","",'Current Char Stats'!$C162)</f>
        <v>G9</v>
      </c>
      <c r="E293" s="18">
        <f ca="1">IF('Current Char Stats'!$A162="","",'Current Char Stats'!$D162)</f>
        <v>1</v>
      </c>
      <c r="F293" s="18">
        <f ca="1">IF('Current Char Stats'!$A162="","",'Current Char Stats'!$E162)</f>
        <v>0</v>
      </c>
      <c r="G293" s="18">
        <f ca="1">IF('Current Char Stats'!$A162="","",'Current Char Stats'!$F162)</f>
        <v>0</v>
      </c>
      <c r="H293" s="18">
        <f ca="1">IF('Current Char Stats'!$A162="","",'Current Char Stats'!$G162)</f>
        <v>0</v>
      </c>
      <c r="I293" s="18">
        <f ca="1">IF('Current Char Stats'!$A162="","",'Current Char Stats'!$H162)</f>
        <v>0</v>
      </c>
      <c r="J293" s="18">
        <f ca="1">IF('Current Char Stats'!$A162="","",'Current Char Stats'!$I162)</f>
        <v>0</v>
      </c>
      <c r="K293" s="18">
        <f ca="1">IF('Current Char Stats'!$A162="","",'Current Char Stats'!$J162)</f>
        <v>0</v>
      </c>
      <c r="L293" s="18" t="str">
        <f ca="1">IF('Current Char Stats'!$A162="","",'Current Char Stats'!$K162)</f>
        <v/>
      </c>
      <c r="M293" s="18">
        <f ca="1">IF('Current Char Stats'!$A162="","",'Current Char Stats'!$L162)</f>
        <v>0</v>
      </c>
      <c r="N293" s="18">
        <f ca="1">IF('Current Char Stats'!$A162="","",'Current Char Stats'!$M162)</f>
        <v>0</v>
      </c>
      <c r="O293" s="18">
        <f ca="1">IF('Current Char Stats'!$A162="","",'Current Char Stats'!$N162)</f>
        <v>0</v>
      </c>
      <c r="P293" s="18">
        <f ca="1">IF('Current Char Stats'!$A162="","",'Current Char Stats'!$O162)</f>
        <v>0</v>
      </c>
      <c r="Q293" s="18">
        <f ca="1">IF('Current Char Stats'!$A162="","",'Current Char Stats'!$P162)</f>
        <v>0</v>
      </c>
      <c r="R293" s="18">
        <f ca="1">IF('Current Char Stats'!$A162="","",'Current Char Stats'!$Q162)</f>
        <v>0</v>
      </c>
      <c r="S293" s="18">
        <f ca="1">IF('Current Char Stats'!$A162="","",'Current Char Stats'!$R162)</f>
        <v>0</v>
      </c>
      <c r="T293" s="18">
        <f ca="1">IF('Current Char Stats'!$A162="","",'Current Char Stats'!$S162)</f>
        <v>0</v>
      </c>
      <c r="U293" s="18">
        <f ca="1">IF('Current Char Stats'!$A162="","",'Current Char Stats'!$T162)</f>
        <v>0</v>
      </c>
      <c r="V293" s="18">
        <f ca="1">IF('Current Char Stats'!$A162="","",'Current Char Stats'!$U162)</f>
        <v>0</v>
      </c>
      <c r="W293" s="18">
        <f ca="1">IF('Current Char Stats'!$A162="","",'Current Char Stats'!$V162)</f>
        <v>0</v>
      </c>
      <c r="X293" s="18">
        <f ca="1">IF('Current Char Stats'!$A162="","",'Current Char Stats'!$W162)</f>
        <v>0</v>
      </c>
      <c r="Y293" s="18">
        <f ca="1">IF('Current Char Stats'!$A162="","",'Current Char Stats'!$X162)</f>
        <v>0</v>
      </c>
      <c r="Z293" s="18">
        <f ca="1">IF('Current Char Stats'!$A162="","",'Current Char Stats'!$Y162)</f>
        <v>0</v>
      </c>
      <c r="AA293" s="18">
        <f ca="1">IF('Current Char Stats'!$A162="","",'Current Char Stats'!$Z162)</f>
        <v>0</v>
      </c>
      <c r="AB293" s="18">
        <f ca="1">IF('Current Char Stats'!$A162="","",'Current Char Stats'!$AA162)</f>
        <v>0</v>
      </c>
      <c r="AC293" s="18">
        <f ca="1">IF('Current Char Stats'!$A162="","",'Current Char Stats'!$AB162)</f>
        <v>0</v>
      </c>
      <c r="AD293" s="18">
        <f ca="1">IF('Current Char Stats'!$A162="","",'Current Char Stats'!$AC162)</f>
        <v>0</v>
      </c>
      <c r="AE293" s="18">
        <f ca="1">IF('Current Char Stats'!$A162="","",'Current Char Stats'!$AD162)</f>
        <v>0</v>
      </c>
      <c r="AF293" s="18">
        <f ca="1">IF('Current Char Stats'!$A162="","",'Current Char Stats'!$AE162)</f>
        <v>0</v>
      </c>
    </row>
    <row r="294" spans="1:32">
      <c r="A294" s="18">
        <f ca="1">IF('Current Char Stats'!$A163="","",Settings!$B$2)</f>
        <v>1</v>
      </c>
      <c r="B294" s="117" t="str">
        <f ca="1">IF('Current Char Stats'!$A163="","",'Current Char Stats'!$A163)</f>
        <v>Jason</v>
      </c>
      <c r="C294" s="18" t="str">
        <f ca="1">IF('Current Char Stats'!$A163="","",'Current Char Stats'!$B163)</f>
        <v>Koopa</v>
      </c>
      <c r="D294" s="18" t="str">
        <f ca="1">IF('Current Char Stats'!$A163="","",'Current Char Stats'!$C163)</f>
        <v>G9</v>
      </c>
      <c r="E294" s="18">
        <f ca="1">IF('Current Char Stats'!$A163="","",'Current Char Stats'!$D163)</f>
        <v>1</v>
      </c>
      <c r="F294" s="18">
        <f ca="1">IF('Current Char Stats'!$A163="","",'Current Char Stats'!$E163)</f>
        <v>0</v>
      </c>
      <c r="G294" s="18">
        <f ca="1">IF('Current Char Stats'!$A163="","",'Current Char Stats'!$F163)</f>
        <v>0</v>
      </c>
      <c r="H294" s="18">
        <f ca="1">IF('Current Char Stats'!$A163="","",'Current Char Stats'!$G163)</f>
        <v>0</v>
      </c>
      <c r="I294" s="18">
        <f ca="1">IF('Current Char Stats'!$A163="","",'Current Char Stats'!$H163)</f>
        <v>0</v>
      </c>
      <c r="J294" s="18">
        <f ca="1">IF('Current Char Stats'!$A163="","",'Current Char Stats'!$I163)</f>
        <v>0</v>
      </c>
      <c r="K294" s="18">
        <f ca="1">IF('Current Char Stats'!$A163="","",'Current Char Stats'!$J163)</f>
        <v>0</v>
      </c>
      <c r="L294" s="18" t="str">
        <f ca="1">IF('Current Char Stats'!$A163="","",'Current Char Stats'!$K163)</f>
        <v/>
      </c>
      <c r="M294" s="18">
        <f ca="1">IF('Current Char Stats'!$A163="","",'Current Char Stats'!$L163)</f>
        <v>0</v>
      </c>
      <c r="N294" s="18">
        <f ca="1">IF('Current Char Stats'!$A163="","",'Current Char Stats'!$M163)</f>
        <v>0</v>
      </c>
      <c r="O294" s="18">
        <f ca="1">IF('Current Char Stats'!$A163="","",'Current Char Stats'!$N163)</f>
        <v>0</v>
      </c>
      <c r="P294" s="18">
        <f ca="1">IF('Current Char Stats'!$A163="","",'Current Char Stats'!$O163)</f>
        <v>0</v>
      </c>
      <c r="Q294" s="18">
        <f ca="1">IF('Current Char Stats'!$A163="","",'Current Char Stats'!$P163)</f>
        <v>0</v>
      </c>
      <c r="R294" s="18">
        <f ca="1">IF('Current Char Stats'!$A163="","",'Current Char Stats'!$Q163)</f>
        <v>0</v>
      </c>
      <c r="S294" s="18">
        <f ca="1">IF('Current Char Stats'!$A163="","",'Current Char Stats'!$R163)</f>
        <v>0</v>
      </c>
      <c r="T294" s="18">
        <f ca="1">IF('Current Char Stats'!$A163="","",'Current Char Stats'!$S163)</f>
        <v>0</v>
      </c>
      <c r="U294" s="18">
        <f ca="1">IF('Current Char Stats'!$A163="","",'Current Char Stats'!$T163)</f>
        <v>0</v>
      </c>
      <c r="V294" s="18">
        <f ca="1">IF('Current Char Stats'!$A163="","",'Current Char Stats'!$U163)</f>
        <v>0</v>
      </c>
      <c r="W294" s="18">
        <f ca="1">IF('Current Char Stats'!$A163="","",'Current Char Stats'!$V163)</f>
        <v>0</v>
      </c>
      <c r="X294" s="18">
        <f ca="1">IF('Current Char Stats'!$A163="","",'Current Char Stats'!$W163)</f>
        <v>0</v>
      </c>
      <c r="Y294" s="18">
        <f ca="1">IF('Current Char Stats'!$A163="","",'Current Char Stats'!$X163)</f>
        <v>0</v>
      </c>
      <c r="Z294" s="18">
        <f ca="1">IF('Current Char Stats'!$A163="","",'Current Char Stats'!$Y163)</f>
        <v>0</v>
      </c>
      <c r="AA294" s="18">
        <f ca="1">IF('Current Char Stats'!$A163="","",'Current Char Stats'!$Z163)</f>
        <v>0</v>
      </c>
      <c r="AB294" s="18">
        <f ca="1">IF('Current Char Stats'!$A163="","",'Current Char Stats'!$AA163)</f>
        <v>0</v>
      </c>
      <c r="AC294" s="18">
        <f ca="1">IF('Current Char Stats'!$A163="","",'Current Char Stats'!$AB163)</f>
        <v>0</v>
      </c>
      <c r="AD294" s="18">
        <f ca="1">IF('Current Char Stats'!$A163="","",'Current Char Stats'!$AC163)</f>
        <v>0</v>
      </c>
      <c r="AE294" s="18">
        <f ca="1">IF('Current Char Stats'!$A163="","",'Current Char Stats'!$AD163)</f>
        <v>0</v>
      </c>
      <c r="AF294" s="18">
        <f ca="1">IF('Current Char Stats'!$A163="","",'Current Char Stats'!$AE163)</f>
        <v>0</v>
      </c>
    </row>
    <row r="295" spans="1:32">
      <c r="A295" s="18">
        <f ca="1">IF('Current Char Stats'!$A164="","",Settings!$B$2)</f>
        <v>1</v>
      </c>
      <c r="B295" s="117" t="str">
        <f ca="1">IF('Current Char Stats'!$A164="","",'Current Char Stats'!$A164)</f>
        <v>Jason</v>
      </c>
      <c r="C295" s="18" t="str">
        <f ca="1">IF('Current Char Stats'!$A164="","",'Current Char Stats'!$B164)</f>
        <v>Green Shy Guy</v>
      </c>
      <c r="D295" s="18" t="str">
        <f ca="1">IF('Current Char Stats'!$A164="","",'Current Char Stats'!$C164)</f>
        <v>G9</v>
      </c>
      <c r="E295" s="18">
        <f ca="1">IF('Current Char Stats'!$A164="","",'Current Char Stats'!$D164)</f>
        <v>1</v>
      </c>
      <c r="F295" s="18">
        <f ca="1">IF('Current Char Stats'!$A164="","",'Current Char Stats'!$E164)</f>
        <v>0</v>
      </c>
      <c r="G295" s="18">
        <f ca="1">IF('Current Char Stats'!$A164="","",'Current Char Stats'!$F164)</f>
        <v>0</v>
      </c>
      <c r="H295" s="18">
        <f ca="1">IF('Current Char Stats'!$A164="","",'Current Char Stats'!$G164)</f>
        <v>0</v>
      </c>
      <c r="I295" s="18">
        <f ca="1">IF('Current Char Stats'!$A164="","",'Current Char Stats'!$H164)</f>
        <v>0</v>
      </c>
      <c r="J295" s="18">
        <f ca="1">IF('Current Char Stats'!$A164="","",'Current Char Stats'!$I164)</f>
        <v>0</v>
      </c>
      <c r="K295" s="18">
        <f ca="1">IF('Current Char Stats'!$A164="","",'Current Char Stats'!$J164)</f>
        <v>0</v>
      </c>
      <c r="L295" s="18" t="str">
        <f ca="1">IF('Current Char Stats'!$A164="","",'Current Char Stats'!$K164)</f>
        <v/>
      </c>
      <c r="M295" s="18">
        <f ca="1">IF('Current Char Stats'!$A164="","",'Current Char Stats'!$L164)</f>
        <v>0</v>
      </c>
      <c r="N295" s="18">
        <f ca="1">IF('Current Char Stats'!$A164="","",'Current Char Stats'!$M164)</f>
        <v>0</v>
      </c>
      <c r="O295" s="18">
        <f ca="1">IF('Current Char Stats'!$A164="","",'Current Char Stats'!$N164)</f>
        <v>0</v>
      </c>
      <c r="P295" s="18">
        <f ca="1">IF('Current Char Stats'!$A164="","",'Current Char Stats'!$O164)</f>
        <v>0</v>
      </c>
      <c r="Q295" s="18">
        <f ca="1">IF('Current Char Stats'!$A164="","",'Current Char Stats'!$P164)</f>
        <v>0</v>
      </c>
      <c r="R295" s="18">
        <f ca="1">IF('Current Char Stats'!$A164="","",'Current Char Stats'!$Q164)</f>
        <v>0</v>
      </c>
      <c r="S295" s="18">
        <f ca="1">IF('Current Char Stats'!$A164="","",'Current Char Stats'!$R164)</f>
        <v>0</v>
      </c>
      <c r="T295" s="18">
        <f ca="1">IF('Current Char Stats'!$A164="","",'Current Char Stats'!$S164)</f>
        <v>0</v>
      </c>
      <c r="U295" s="18">
        <f ca="1">IF('Current Char Stats'!$A164="","",'Current Char Stats'!$T164)</f>
        <v>0</v>
      </c>
      <c r="V295" s="18">
        <f ca="1">IF('Current Char Stats'!$A164="","",'Current Char Stats'!$U164)</f>
        <v>0</v>
      </c>
      <c r="W295" s="18">
        <f ca="1">IF('Current Char Stats'!$A164="","",'Current Char Stats'!$V164)</f>
        <v>0</v>
      </c>
      <c r="X295" s="18">
        <f ca="1">IF('Current Char Stats'!$A164="","",'Current Char Stats'!$W164)</f>
        <v>0</v>
      </c>
      <c r="Y295" s="18">
        <f ca="1">IF('Current Char Stats'!$A164="","",'Current Char Stats'!$X164)</f>
        <v>0</v>
      </c>
      <c r="Z295" s="18">
        <f ca="1">IF('Current Char Stats'!$A164="","",'Current Char Stats'!$Y164)</f>
        <v>0</v>
      </c>
      <c r="AA295" s="18">
        <f ca="1">IF('Current Char Stats'!$A164="","",'Current Char Stats'!$Z164)</f>
        <v>0</v>
      </c>
      <c r="AB295" s="18">
        <f ca="1">IF('Current Char Stats'!$A164="","",'Current Char Stats'!$AA164)</f>
        <v>0</v>
      </c>
      <c r="AC295" s="18">
        <f ca="1">IF('Current Char Stats'!$A164="","",'Current Char Stats'!$AB164)</f>
        <v>0</v>
      </c>
      <c r="AD295" s="18">
        <f ca="1">IF('Current Char Stats'!$A164="","",'Current Char Stats'!$AC164)</f>
        <v>0</v>
      </c>
      <c r="AE295" s="18">
        <f ca="1">IF('Current Char Stats'!$A164="","",'Current Char Stats'!$AD164)</f>
        <v>0</v>
      </c>
      <c r="AF295" s="18">
        <f ca="1">IF('Current Char Stats'!$A164="","",'Current Char Stats'!$AE164)</f>
        <v>0</v>
      </c>
    </row>
    <row r="296" spans="1:32">
      <c r="A296" s="18">
        <f ca="1">IF('Current Char Stats'!$A165="","",Settings!$B$2)</f>
        <v>1</v>
      </c>
      <c r="B296" s="117" t="str">
        <f ca="1">IF('Current Char Stats'!$A165="","",'Current Char Stats'!$A165)</f>
        <v>Jason</v>
      </c>
      <c r="C296" s="18" t="str">
        <f ca="1">IF('Current Char Stats'!$A165="","",'Current Char Stats'!$B165)</f>
        <v>Baby Peach</v>
      </c>
      <c r="D296" s="18" t="str">
        <f ca="1">IF('Current Char Stats'!$A165="","",'Current Char Stats'!$C165)</f>
        <v>G9</v>
      </c>
      <c r="E296" s="18">
        <f ca="1">IF('Current Char Stats'!$A165="","",'Current Char Stats'!$D165)</f>
        <v>1</v>
      </c>
      <c r="F296" s="18">
        <f ca="1">IF('Current Char Stats'!$A165="","",'Current Char Stats'!$E165)</f>
        <v>0</v>
      </c>
      <c r="G296" s="18">
        <f ca="1">IF('Current Char Stats'!$A165="","",'Current Char Stats'!$F165)</f>
        <v>0</v>
      </c>
      <c r="H296" s="18">
        <f ca="1">IF('Current Char Stats'!$A165="","",'Current Char Stats'!$G165)</f>
        <v>0</v>
      </c>
      <c r="I296" s="18">
        <f ca="1">IF('Current Char Stats'!$A165="","",'Current Char Stats'!$H165)</f>
        <v>0</v>
      </c>
      <c r="J296" s="18">
        <f ca="1">IF('Current Char Stats'!$A165="","",'Current Char Stats'!$I165)</f>
        <v>0</v>
      </c>
      <c r="K296" s="18">
        <f ca="1">IF('Current Char Stats'!$A165="","",'Current Char Stats'!$J165)</f>
        <v>0</v>
      </c>
      <c r="L296" s="18" t="str">
        <f ca="1">IF('Current Char Stats'!$A165="","",'Current Char Stats'!$K165)</f>
        <v/>
      </c>
      <c r="M296" s="18">
        <f ca="1">IF('Current Char Stats'!$A165="","",'Current Char Stats'!$L165)</f>
        <v>0</v>
      </c>
      <c r="N296" s="18">
        <f ca="1">IF('Current Char Stats'!$A165="","",'Current Char Stats'!$M165)</f>
        <v>0</v>
      </c>
      <c r="O296" s="18">
        <f ca="1">IF('Current Char Stats'!$A165="","",'Current Char Stats'!$N165)</f>
        <v>0</v>
      </c>
      <c r="P296" s="18">
        <f ca="1">IF('Current Char Stats'!$A165="","",'Current Char Stats'!$O165)</f>
        <v>0</v>
      </c>
      <c r="Q296" s="18">
        <f ca="1">IF('Current Char Stats'!$A165="","",'Current Char Stats'!$P165)</f>
        <v>0</v>
      </c>
      <c r="R296" s="18">
        <f ca="1">IF('Current Char Stats'!$A165="","",'Current Char Stats'!$Q165)</f>
        <v>0</v>
      </c>
      <c r="S296" s="18">
        <f ca="1">IF('Current Char Stats'!$A165="","",'Current Char Stats'!$R165)</f>
        <v>0</v>
      </c>
      <c r="T296" s="18">
        <f ca="1">IF('Current Char Stats'!$A165="","",'Current Char Stats'!$S165)</f>
        <v>0</v>
      </c>
      <c r="U296" s="18">
        <f ca="1">IF('Current Char Stats'!$A165="","",'Current Char Stats'!$T165)</f>
        <v>0</v>
      </c>
      <c r="V296" s="18">
        <f ca="1">IF('Current Char Stats'!$A165="","",'Current Char Stats'!$U165)</f>
        <v>0</v>
      </c>
      <c r="W296" s="18">
        <f ca="1">IF('Current Char Stats'!$A165="","",'Current Char Stats'!$V165)</f>
        <v>0</v>
      </c>
      <c r="X296" s="18">
        <f ca="1">IF('Current Char Stats'!$A165="","",'Current Char Stats'!$W165)</f>
        <v>0</v>
      </c>
      <c r="Y296" s="18">
        <f ca="1">IF('Current Char Stats'!$A165="","",'Current Char Stats'!$X165)</f>
        <v>0</v>
      </c>
      <c r="Z296" s="18">
        <f ca="1">IF('Current Char Stats'!$A165="","",'Current Char Stats'!$Y165)</f>
        <v>0</v>
      </c>
      <c r="AA296" s="18">
        <f ca="1">IF('Current Char Stats'!$A165="","",'Current Char Stats'!$Z165)</f>
        <v>0</v>
      </c>
      <c r="AB296" s="18">
        <f ca="1">IF('Current Char Stats'!$A165="","",'Current Char Stats'!$AA165)</f>
        <v>0</v>
      </c>
      <c r="AC296" s="18">
        <f ca="1">IF('Current Char Stats'!$A165="","",'Current Char Stats'!$AB165)</f>
        <v>0</v>
      </c>
      <c r="AD296" s="18">
        <f ca="1">IF('Current Char Stats'!$A165="","",'Current Char Stats'!$AC165)</f>
        <v>0</v>
      </c>
      <c r="AE296" s="18">
        <f ca="1">IF('Current Char Stats'!$A165="","",'Current Char Stats'!$AD165)</f>
        <v>0</v>
      </c>
      <c r="AF296" s="18">
        <f ca="1">IF('Current Char Stats'!$A165="","",'Current Char Stats'!$AE165)</f>
        <v>0</v>
      </c>
    </row>
    <row r="297" spans="1:32">
      <c r="A297" s="18">
        <f ca="1">IF('Current Char Stats'!$A166="","",Settings!$B$2)</f>
        <v>1</v>
      </c>
      <c r="B297" s="117" t="str">
        <f ca="1">IF('Current Char Stats'!$A166="","",'Current Char Stats'!$A166)</f>
        <v>Nick</v>
      </c>
      <c r="C297" s="18" t="str">
        <f ca="1">IF('Current Char Stats'!$A166="","",'Current Char Stats'!$B166)</f>
        <v>Monty Mole</v>
      </c>
      <c r="D297" s="18" t="str">
        <f ca="1">IF('Current Char Stats'!$A166="","",'Current Char Stats'!$C166)</f>
        <v>G10</v>
      </c>
      <c r="E297" s="18">
        <f ca="1">IF('Current Char Stats'!$A166="","",'Current Char Stats'!$D166)</f>
        <v>2</v>
      </c>
      <c r="F297" s="18">
        <f ca="1">IF('Current Char Stats'!$A166="","",'Current Char Stats'!$E166)</f>
        <v>0</v>
      </c>
      <c r="G297" s="18">
        <f ca="1">IF('Current Char Stats'!$A166="","",'Current Char Stats'!$F166)</f>
        <v>0</v>
      </c>
      <c r="H297" s="18">
        <f ca="1">IF('Current Char Stats'!$A166="","",'Current Char Stats'!$G166)</f>
        <v>0</v>
      </c>
      <c r="I297" s="18">
        <f ca="1">IF('Current Char Stats'!$A166="","",'Current Char Stats'!$H166)</f>
        <v>0</v>
      </c>
      <c r="J297" s="18">
        <f ca="1">IF('Current Char Stats'!$A166="","",'Current Char Stats'!$I166)</f>
        <v>0</v>
      </c>
      <c r="K297" s="18">
        <f ca="1">IF('Current Char Stats'!$A166="","",'Current Char Stats'!$J166)</f>
        <v>0</v>
      </c>
      <c r="L297" s="18" t="str">
        <f ca="1">IF('Current Char Stats'!$A166="","",'Current Char Stats'!$K166)</f>
        <v/>
      </c>
      <c r="M297" s="18">
        <f ca="1">IF('Current Char Stats'!$A166="","",'Current Char Stats'!$L166)</f>
        <v>0</v>
      </c>
      <c r="N297" s="18">
        <f ca="1">IF('Current Char Stats'!$A166="","",'Current Char Stats'!$M166)</f>
        <v>0</v>
      </c>
      <c r="O297" s="18">
        <f ca="1">IF('Current Char Stats'!$A166="","",'Current Char Stats'!$N166)</f>
        <v>0</v>
      </c>
      <c r="P297" s="18">
        <f ca="1">IF('Current Char Stats'!$A166="","",'Current Char Stats'!$O166)</f>
        <v>0</v>
      </c>
      <c r="Q297" s="18">
        <f ca="1">IF('Current Char Stats'!$A166="","",'Current Char Stats'!$P166)</f>
        <v>0</v>
      </c>
      <c r="R297" s="18">
        <f ca="1">IF('Current Char Stats'!$A166="","",'Current Char Stats'!$Q166)</f>
        <v>0</v>
      </c>
      <c r="S297" s="18">
        <f ca="1">IF('Current Char Stats'!$A166="","",'Current Char Stats'!$R166)</f>
        <v>1</v>
      </c>
      <c r="T297" s="18">
        <f ca="1">IF('Current Char Stats'!$A166="","",'Current Char Stats'!$S166)</f>
        <v>0</v>
      </c>
      <c r="U297" s="18">
        <f ca="1">IF('Current Char Stats'!$A166="","",'Current Char Stats'!$T166)</f>
        <v>0</v>
      </c>
      <c r="V297" s="18">
        <f ca="1">IF('Current Char Stats'!$A166="","",'Current Char Stats'!$U166)</f>
        <v>0</v>
      </c>
      <c r="W297" s="18">
        <f ca="1">IF('Current Char Stats'!$A166="","",'Current Char Stats'!$V166)</f>
        <v>0</v>
      </c>
      <c r="X297" s="18">
        <f ca="1">IF('Current Char Stats'!$A166="","",'Current Char Stats'!$W166)</f>
        <v>0</v>
      </c>
      <c r="Y297" s="18">
        <f ca="1">IF('Current Char Stats'!$A166="","",'Current Char Stats'!$X166)</f>
        <v>0</v>
      </c>
      <c r="Z297" s="18">
        <f ca="1">IF('Current Char Stats'!$A166="","",'Current Char Stats'!$Y166)</f>
        <v>0</v>
      </c>
      <c r="AA297" s="18">
        <f ca="1">IF('Current Char Stats'!$A166="","",'Current Char Stats'!$Z166)</f>
        <v>0</v>
      </c>
      <c r="AB297" s="18">
        <f ca="1">IF('Current Char Stats'!$A166="","",'Current Char Stats'!$AA166)</f>
        <v>0</v>
      </c>
      <c r="AC297" s="18">
        <f ca="1">IF('Current Char Stats'!$A166="","",'Current Char Stats'!$AB166)</f>
        <v>0</v>
      </c>
      <c r="AD297" s="18">
        <f ca="1">IF('Current Char Stats'!$A166="","",'Current Char Stats'!$AC166)</f>
        <v>0</v>
      </c>
      <c r="AE297" s="18" t="e">
        <f ca="1">IF('Current Char Stats'!$A166="","",'Current Char Stats'!$AD166)</f>
        <v>#VALUE!</v>
      </c>
      <c r="AF297" s="18">
        <f ca="1">IF('Current Char Stats'!$A166="","",'Current Char Stats'!$AE166)</f>
        <v>0</v>
      </c>
    </row>
    <row r="298" spans="1:32">
      <c r="A298" s="18">
        <f ca="1">IF('Current Char Stats'!$A167="","",Settings!$B$2)</f>
        <v>1</v>
      </c>
      <c r="B298" s="117" t="str">
        <f ca="1">IF('Current Char Stats'!$A167="","",'Current Char Stats'!$A167)</f>
        <v>Nick</v>
      </c>
      <c r="C298" s="18" t="str">
        <f ca="1">IF('Current Char Stats'!$A167="","",'Current Char Stats'!$B167)</f>
        <v>Green Dry Bones</v>
      </c>
      <c r="D298" s="18" t="str">
        <f ca="1">IF('Current Char Stats'!$A167="","",'Current Char Stats'!$C167)</f>
        <v>G10</v>
      </c>
      <c r="E298" s="18">
        <f ca="1">IF('Current Char Stats'!$A167="","",'Current Char Stats'!$D167)</f>
        <v>1</v>
      </c>
      <c r="F298" s="18">
        <f ca="1">IF('Current Char Stats'!$A167="","",'Current Char Stats'!$E167)</f>
        <v>0</v>
      </c>
      <c r="G298" s="18">
        <f ca="1">IF('Current Char Stats'!$A167="","",'Current Char Stats'!$F167)</f>
        <v>0</v>
      </c>
      <c r="H298" s="18">
        <f ca="1">IF('Current Char Stats'!$A167="","",'Current Char Stats'!$G167)</f>
        <v>0</v>
      </c>
      <c r="I298" s="18">
        <f ca="1">IF('Current Char Stats'!$A167="","",'Current Char Stats'!$H167)</f>
        <v>0</v>
      </c>
      <c r="J298" s="18">
        <f ca="1">IF('Current Char Stats'!$A167="","",'Current Char Stats'!$I167)</f>
        <v>0</v>
      </c>
      <c r="K298" s="18">
        <f ca="1">IF('Current Char Stats'!$A167="","",'Current Char Stats'!$J167)</f>
        <v>0</v>
      </c>
      <c r="L298" s="18" t="str">
        <f ca="1">IF('Current Char Stats'!$A167="","",'Current Char Stats'!$K167)</f>
        <v/>
      </c>
      <c r="M298" s="18">
        <f ca="1">IF('Current Char Stats'!$A167="","",'Current Char Stats'!$L167)</f>
        <v>0</v>
      </c>
      <c r="N298" s="18">
        <f ca="1">IF('Current Char Stats'!$A167="","",'Current Char Stats'!$M167)</f>
        <v>0</v>
      </c>
      <c r="O298" s="18">
        <f ca="1">IF('Current Char Stats'!$A167="","",'Current Char Stats'!$N167)</f>
        <v>0</v>
      </c>
      <c r="P298" s="18">
        <f ca="1">IF('Current Char Stats'!$A167="","",'Current Char Stats'!$O167)</f>
        <v>0</v>
      </c>
      <c r="Q298" s="18">
        <f ca="1">IF('Current Char Stats'!$A167="","",'Current Char Stats'!$P167)</f>
        <v>0</v>
      </c>
      <c r="R298" s="18">
        <f ca="1">IF('Current Char Stats'!$A167="","",'Current Char Stats'!$Q167)</f>
        <v>0</v>
      </c>
      <c r="S298" s="18">
        <f ca="1">IF('Current Char Stats'!$A167="","",'Current Char Stats'!$R167)</f>
        <v>0</v>
      </c>
      <c r="T298" s="18">
        <f ca="1">IF('Current Char Stats'!$A167="","",'Current Char Stats'!$S167)</f>
        <v>0</v>
      </c>
      <c r="U298" s="18">
        <f ca="1">IF('Current Char Stats'!$A167="","",'Current Char Stats'!$T167)</f>
        <v>0</v>
      </c>
      <c r="V298" s="18">
        <f ca="1">IF('Current Char Stats'!$A167="","",'Current Char Stats'!$U167)</f>
        <v>0</v>
      </c>
      <c r="W298" s="18">
        <f ca="1">IF('Current Char Stats'!$A167="","",'Current Char Stats'!$V167)</f>
        <v>0</v>
      </c>
      <c r="X298" s="18">
        <f ca="1">IF('Current Char Stats'!$A167="","",'Current Char Stats'!$W167)</f>
        <v>0</v>
      </c>
      <c r="Y298" s="18">
        <f ca="1">IF('Current Char Stats'!$A167="","",'Current Char Stats'!$X167)</f>
        <v>0</v>
      </c>
      <c r="Z298" s="18">
        <f ca="1">IF('Current Char Stats'!$A167="","",'Current Char Stats'!$Y167)</f>
        <v>0</v>
      </c>
      <c r="AA298" s="18">
        <f ca="1">IF('Current Char Stats'!$A167="","",'Current Char Stats'!$Z167)</f>
        <v>0</v>
      </c>
      <c r="AB298" s="18">
        <f ca="1">IF('Current Char Stats'!$A167="","",'Current Char Stats'!$AA167)</f>
        <v>0</v>
      </c>
      <c r="AC298" s="18">
        <f ca="1">IF('Current Char Stats'!$A167="","",'Current Char Stats'!$AB167)</f>
        <v>0</v>
      </c>
      <c r="AD298" s="18">
        <f ca="1">IF('Current Char Stats'!$A167="","",'Current Char Stats'!$AC167)</f>
        <v>0</v>
      </c>
      <c r="AE298" s="18" t="e">
        <f ca="1">IF('Current Char Stats'!$A167="","",'Current Char Stats'!$AD167)</f>
        <v>#VALUE!</v>
      </c>
      <c r="AF298" s="18">
        <f ca="1">IF('Current Char Stats'!$A167="","",'Current Char Stats'!$AE167)</f>
        <v>0</v>
      </c>
    </row>
    <row r="299" spans="1:32">
      <c r="A299" s="18">
        <f ca="1">IF('Current Char Stats'!$A168="","",Settings!$B$2)</f>
        <v>1</v>
      </c>
      <c r="B299" s="117" t="str">
        <f ca="1">IF('Current Char Stats'!$A168="","",'Current Char Stats'!$A168)</f>
        <v>Nick</v>
      </c>
      <c r="C299" s="18" t="str">
        <f ca="1">IF('Current Char Stats'!$A168="","",'Current Char Stats'!$B168)</f>
        <v>Daisy</v>
      </c>
      <c r="D299" s="18" t="str">
        <f ca="1">IF('Current Char Stats'!$A168="","",'Current Char Stats'!$C168)</f>
        <v>G10</v>
      </c>
      <c r="E299" s="18">
        <f ca="1">IF('Current Char Stats'!$A168="","",'Current Char Stats'!$D168)</f>
        <v>2</v>
      </c>
      <c r="F299" s="18">
        <f ca="1">IF('Current Char Stats'!$A168="","",'Current Char Stats'!$E168)</f>
        <v>1</v>
      </c>
      <c r="G299" s="18">
        <f ca="1">IF('Current Char Stats'!$A168="","",'Current Char Stats'!$F168)</f>
        <v>0.5</v>
      </c>
      <c r="H299" s="18">
        <f ca="1">IF('Current Char Stats'!$A168="","",'Current Char Stats'!$G168)</f>
        <v>0</v>
      </c>
      <c r="I299" s="18">
        <f ca="1">IF('Current Char Stats'!$A168="","",'Current Char Stats'!$H168)</f>
        <v>0</v>
      </c>
      <c r="J299" s="18">
        <f ca="1">IF('Current Char Stats'!$A168="","",'Current Char Stats'!$I168)</f>
        <v>2</v>
      </c>
      <c r="K299" s="18">
        <f ca="1">IF('Current Char Stats'!$A168="","",'Current Char Stats'!$J168)</f>
        <v>0</v>
      </c>
      <c r="L299" s="18" t="e">
        <f ca="1">IF('Current Char Stats'!$A168="","",'Current Char Stats'!$K168)</f>
        <v>#VALUE!</v>
      </c>
      <c r="M299" s="18">
        <f ca="1">IF('Current Char Stats'!$A168="","",'Current Char Stats'!$L168)</f>
        <v>0</v>
      </c>
      <c r="N299" s="18">
        <f ca="1">IF('Current Char Stats'!$A168="","",'Current Char Stats'!$M168)</f>
        <v>0</v>
      </c>
      <c r="O299" s="18">
        <f ca="1">IF('Current Char Stats'!$A168="","",'Current Char Stats'!$N168)</f>
        <v>0</v>
      </c>
      <c r="P299" s="18">
        <f ca="1">IF('Current Char Stats'!$A168="","",'Current Char Stats'!$O168)</f>
        <v>0</v>
      </c>
      <c r="Q299" s="18">
        <f ca="1">IF('Current Char Stats'!$A168="","",'Current Char Stats'!$P168)</f>
        <v>0</v>
      </c>
      <c r="R299" s="18">
        <f ca="1">IF('Current Char Stats'!$A168="","",'Current Char Stats'!$Q168)</f>
        <v>0</v>
      </c>
      <c r="S299" s="18">
        <f ca="1">IF('Current Char Stats'!$A168="","",'Current Char Stats'!$R168)</f>
        <v>0</v>
      </c>
      <c r="T299" s="18">
        <f ca="1">IF('Current Char Stats'!$A168="","",'Current Char Stats'!$S168)</f>
        <v>0</v>
      </c>
      <c r="U299" s="18">
        <f ca="1">IF('Current Char Stats'!$A168="","",'Current Char Stats'!$T168)</f>
        <v>0</v>
      </c>
      <c r="V299" s="18">
        <f ca="1">IF('Current Char Stats'!$A168="","",'Current Char Stats'!$U168)</f>
        <v>0</v>
      </c>
      <c r="W299" s="18">
        <f ca="1">IF('Current Char Stats'!$A168="","",'Current Char Stats'!$V168)</f>
        <v>0</v>
      </c>
      <c r="X299" s="18">
        <f ca="1">IF('Current Char Stats'!$A168="","",'Current Char Stats'!$W168)</f>
        <v>0</v>
      </c>
      <c r="Y299" s="18">
        <f ca="1">IF('Current Char Stats'!$A168="","",'Current Char Stats'!$X168)</f>
        <v>0</v>
      </c>
      <c r="Z299" s="18">
        <f ca="1">IF('Current Char Stats'!$A168="","",'Current Char Stats'!$Y168)</f>
        <v>0</v>
      </c>
      <c r="AA299" s="18">
        <f ca="1">IF('Current Char Stats'!$A168="","",'Current Char Stats'!$Z168)</f>
        <v>0</v>
      </c>
      <c r="AB299" s="18" t="e">
        <f ca="1">IF('Current Char Stats'!$A168="","",'Current Char Stats'!$AA168)</f>
        <v>#VALUE!</v>
      </c>
      <c r="AC299" s="18">
        <f ca="1">IF('Current Char Stats'!$A168="","",'Current Char Stats'!$AB168)</f>
        <v>0</v>
      </c>
      <c r="AD299" s="18">
        <f ca="1">IF('Current Char Stats'!$A168="","",'Current Char Stats'!$AC168)</f>
        <v>0</v>
      </c>
      <c r="AE299" s="18" t="e">
        <f ca="1">IF('Current Char Stats'!$A168="","",'Current Char Stats'!$AD168)</f>
        <v>#VALUE!</v>
      </c>
      <c r="AF299" s="18">
        <f ca="1">IF('Current Char Stats'!$A168="","",'Current Char Stats'!$AE168)</f>
        <v>10</v>
      </c>
    </row>
    <row r="300" spans="1:32">
      <c r="A300" s="18">
        <f ca="1">IF('Current Char Stats'!$A169="","",Settings!$B$2)</f>
        <v>1</v>
      </c>
      <c r="B300" s="117" t="str">
        <f ca="1">IF('Current Char Stats'!$A169="","",'Current Char Stats'!$A169)</f>
        <v>Nick</v>
      </c>
      <c r="C300" s="18" t="str">
        <f ca="1">IF('Current Char Stats'!$A169="","",'Current Char Stats'!$B169)</f>
        <v>Wario</v>
      </c>
      <c r="D300" s="18" t="str">
        <f ca="1">IF('Current Char Stats'!$A169="","",'Current Char Stats'!$C169)</f>
        <v>G10</v>
      </c>
      <c r="E300" s="18">
        <f ca="1">IF('Current Char Stats'!$A169="","",'Current Char Stats'!$D169)</f>
        <v>0</v>
      </c>
      <c r="F300" s="18">
        <f ca="1">IF('Current Char Stats'!$A169="","",'Current Char Stats'!$E169)</f>
        <v>0</v>
      </c>
      <c r="G300" s="18">
        <f ca="1">IF('Current Char Stats'!$A169="","",'Current Char Stats'!$F169)</f>
        <v>0</v>
      </c>
      <c r="H300" s="18">
        <f ca="1">IF('Current Char Stats'!$A169="","",'Current Char Stats'!$G169)</f>
        <v>0</v>
      </c>
      <c r="I300" s="18">
        <f ca="1">IF('Current Char Stats'!$A169="","",'Current Char Stats'!$H169)</f>
        <v>0</v>
      </c>
      <c r="J300" s="18">
        <f ca="1">IF('Current Char Stats'!$A169="","",'Current Char Stats'!$I169)</f>
        <v>0.1</v>
      </c>
      <c r="K300" s="18">
        <f ca="1">IF('Current Char Stats'!$A169="","",'Current Char Stats'!$J169)</f>
        <v>0</v>
      </c>
      <c r="L300" s="18" t="e">
        <f ca="1">IF('Current Char Stats'!$A169="","",'Current Char Stats'!$K169)</f>
        <v>#VALUE!</v>
      </c>
      <c r="M300" s="18">
        <f ca="1">IF('Current Char Stats'!$A169="","",'Current Char Stats'!$L169)</f>
        <v>0</v>
      </c>
      <c r="N300" s="18">
        <f ca="1">IF('Current Char Stats'!$A169="","",'Current Char Stats'!$M169)</f>
        <v>0</v>
      </c>
      <c r="O300" s="18">
        <f ca="1">IF('Current Char Stats'!$A169="","",'Current Char Stats'!$N169)</f>
        <v>0</v>
      </c>
      <c r="P300" s="18">
        <f ca="1">IF('Current Char Stats'!$A169="","",'Current Char Stats'!$O169)</f>
        <v>0</v>
      </c>
      <c r="Q300" s="18">
        <f ca="1">IF('Current Char Stats'!$A169="","",'Current Char Stats'!$P169)</f>
        <v>0</v>
      </c>
      <c r="R300" s="18">
        <f ca="1">IF('Current Char Stats'!$A169="","",'Current Char Stats'!$Q169)</f>
        <v>0</v>
      </c>
      <c r="S300" s="18">
        <f ca="1">IF('Current Char Stats'!$A169="","",'Current Char Stats'!$R169)</f>
        <v>0</v>
      </c>
      <c r="T300" s="18">
        <f ca="1">IF('Current Char Stats'!$A169="","",'Current Char Stats'!$S169)</f>
        <v>0</v>
      </c>
      <c r="U300" s="18">
        <f ca="1">IF('Current Char Stats'!$A169="","",'Current Char Stats'!$T169)</f>
        <v>0</v>
      </c>
      <c r="V300" s="18">
        <f ca="1">IF('Current Char Stats'!$A169="","",'Current Char Stats'!$U169)</f>
        <v>0</v>
      </c>
      <c r="W300" s="18">
        <f ca="1">IF('Current Char Stats'!$A169="","",'Current Char Stats'!$V169)</f>
        <v>0</v>
      </c>
      <c r="X300" s="18">
        <f ca="1">IF('Current Char Stats'!$A169="","",'Current Char Stats'!$W169)</f>
        <v>0</v>
      </c>
      <c r="Y300" s="18">
        <f ca="1">IF('Current Char Stats'!$A169="","",'Current Char Stats'!$X169)</f>
        <v>0</v>
      </c>
      <c r="Z300" s="18">
        <f ca="1">IF('Current Char Stats'!$A169="","",'Current Char Stats'!$Y169)</f>
        <v>0</v>
      </c>
      <c r="AA300" s="18">
        <f ca="1">IF('Current Char Stats'!$A169="","",'Current Char Stats'!$Z169)</f>
        <v>0</v>
      </c>
      <c r="AB300" s="18" t="e">
        <f ca="1">IF('Current Char Stats'!$A169="","",'Current Char Stats'!$AA169)</f>
        <v>#VALUE!</v>
      </c>
      <c r="AC300" s="18">
        <f ca="1">IF('Current Char Stats'!$A169="","",'Current Char Stats'!$AB169)</f>
        <v>0</v>
      </c>
      <c r="AD300" s="18">
        <f ca="1">IF('Current Char Stats'!$A169="","",'Current Char Stats'!$AC169)</f>
        <v>0</v>
      </c>
      <c r="AE300" s="18" t="e">
        <f ca="1">IF('Current Char Stats'!$A169="","",'Current Char Stats'!$AD169)</f>
        <v>#VALUE!</v>
      </c>
      <c r="AF300" s="18">
        <f ca="1">IF('Current Char Stats'!$A169="","",'Current Char Stats'!$AE169)</f>
        <v>2</v>
      </c>
    </row>
    <row r="301" spans="1:32">
      <c r="A301" s="18">
        <f ca="1">IF('Current Char Stats'!$A170="","",Settings!$B$2)</f>
        <v>1</v>
      </c>
      <c r="B301" s="117" t="str">
        <f ca="1">IF('Current Char Stats'!$A170="","",'Current Char Stats'!$A170)</f>
        <v>Nick</v>
      </c>
      <c r="C301" s="18" t="str">
        <f ca="1">IF('Current Char Stats'!$A170="","",'Current Char Stats'!$B170)</f>
        <v>Blue Toad</v>
      </c>
      <c r="D301" s="18" t="str">
        <f ca="1">IF('Current Char Stats'!$A170="","",'Current Char Stats'!$C170)</f>
        <v>G10</v>
      </c>
      <c r="E301" s="18">
        <f ca="1">IF('Current Char Stats'!$A170="","",'Current Char Stats'!$D170)</f>
        <v>1</v>
      </c>
      <c r="F301" s="18">
        <f ca="1">IF('Current Char Stats'!$A170="","",'Current Char Stats'!$E170)</f>
        <v>1</v>
      </c>
      <c r="G301" s="18">
        <f ca="1">IF('Current Char Stats'!$A170="","",'Current Char Stats'!$F170)</f>
        <v>1</v>
      </c>
      <c r="H301" s="18">
        <f ca="1">IF('Current Char Stats'!$A170="","",'Current Char Stats'!$G170)</f>
        <v>0</v>
      </c>
      <c r="I301" s="18">
        <f ca="1">IF('Current Char Stats'!$A170="","",'Current Char Stats'!$H170)</f>
        <v>0</v>
      </c>
      <c r="J301" s="18">
        <f ca="1">IF('Current Char Stats'!$A170="","",'Current Char Stats'!$I170)</f>
        <v>0</v>
      </c>
      <c r="K301" s="18">
        <f ca="1">IF('Current Char Stats'!$A170="","",'Current Char Stats'!$J170)</f>
        <v>0</v>
      </c>
      <c r="L301" s="18" t="str">
        <f ca="1">IF('Current Char Stats'!$A170="","",'Current Char Stats'!$K170)</f>
        <v/>
      </c>
      <c r="M301" s="18">
        <f ca="1">IF('Current Char Stats'!$A170="","",'Current Char Stats'!$L170)</f>
        <v>0</v>
      </c>
      <c r="N301" s="18">
        <f ca="1">IF('Current Char Stats'!$A170="","",'Current Char Stats'!$M170)</f>
        <v>0</v>
      </c>
      <c r="O301" s="18">
        <f ca="1">IF('Current Char Stats'!$A170="","",'Current Char Stats'!$N170)</f>
        <v>0</v>
      </c>
      <c r="P301" s="18">
        <f ca="1">IF('Current Char Stats'!$A170="","",'Current Char Stats'!$O170)</f>
        <v>0</v>
      </c>
      <c r="Q301" s="18">
        <f ca="1">IF('Current Char Stats'!$A170="","",'Current Char Stats'!$P170)</f>
        <v>0</v>
      </c>
      <c r="R301" s="18">
        <f ca="1">IF('Current Char Stats'!$A170="","",'Current Char Stats'!$Q170)</f>
        <v>0</v>
      </c>
      <c r="S301" s="18">
        <f ca="1">IF('Current Char Stats'!$A170="","",'Current Char Stats'!$R170)</f>
        <v>0</v>
      </c>
      <c r="T301" s="18">
        <f ca="1">IF('Current Char Stats'!$A170="","",'Current Char Stats'!$S170)</f>
        <v>0</v>
      </c>
      <c r="U301" s="18">
        <f ca="1">IF('Current Char Stats'!$A170="","",'Current Char Stats'!$T170)</f>
        <v>0</v>
      </c>
      <c r="V301" s="18">
        <f ca="1">IF('Current Char Stats'!$A170="","",'Current Char Stats'!$U170)</f>
        <v>0</v>
      </c>
      <c r="W301" s="18">
        <f ca="1">IF('Current Char Stats'!$A170="","",'Current Char Stats'!$V170)</f>
        <v>0</v>
      </c>
      <c r="X301" s="18">
        <f ca="1">IF('Current Char Stats'!$A170="","",'Current Char Stats'!$W170)</f>
        <v>0</v>
      </c>
      <c r="Y301" s="18">
        <f ca="1">IF('Current Char Stats'!$A170="","",'Current Char Stats'!$X170)</f>
        <v>0</v>
      </c>
      <c r="Z301" s="18">
        <f ca="1">IF('Current Char Stats'!$A170="","",'Current Char Stats'!$Y170)</f>
        <v>0</v>
      </c>
      <c r="AA301" s="18">
        <f ca="1">IF('Current Char Stats'!$A170="","",'Current Char Stats'!$Z170)</f>
        <v>0</v>
      </c>
      <c r="AB301" s="18">
        <f ca="1">IF('Current Char Stats'!$A170="","",'Current Char Stats'!$AA170)</f>
        <v>0</v>
      </c>
      <c r="AC301" s="18">
        <f ca="1">IF('Current Char Stats'!$A170="","",'Current Char Stats'!$AB170)</f>
        <v>0</v>
      </c>
      <c r="AD301" s="18">
        <f ca="1">IF('Current Char Stats'!$A170="","",'Current Char Stats'!$AC170)</f>
        <v>0</v>
      </c>
      <c r="AE301" s="18" t="e">
        <f ca="1">IF('Current Char Stats'!$A170="","",'Current Char Stats'!$AD170)</f>
        <v>#VALUE!</v>
      </c>
      <c r="AF301" s="18">
        <f ca="1">IF('Current Char Stats'!$A170="","",'Current Char Stats'!$AE170)</f>
        <v>0</v>
      </c>
    </row>
    <row r="302" spans="1:32">
      <c r="A302" s="18">
        <f ca="1">IF('Current Char Stats'!$A171="","",Settings!$B$2)</f>
        <v>1</v>
      </c>
      <c r="B302" s="117" t="str">
        <f ca="1">IF('Current Char Stats'!$A171="","",'Current Char Stats'!$A171)</f>
        <v>Nick</v>
      </c>
      <c r="C302" s="18" t="str">
        <f ca="1">IF('Current Char Stats'!$A171="","",'Current Char Stats'!$B171)</f>
        <v>Mii</v>
      </c>
      <c r="D302" s="18" t="str">
        <f ca="1">IF('Current Char Stats'!$A171="","",'Current Char Stats'!$C171)</f>
        <v>G10</v>
      </c>
      <c r="E302" s="18">
        <f ca="1">IF('Current Char Stats'!$A171="","",'Current Char Stats'!$D171)</f>
        <v>1</v>
      </c>
      <c r="F302" s="18">
        <f ca="1">IF('Current Char Stats'!$A171="","",'Current Char Stats'!$E171)</f>
        <v>0</v>
      </c>
      <c r="G302" s="18">
        <f ca="1">IF('Current Char Stats'!$A171="","",'Current Char Stats'!$F171)</f>
        <v>0</v>
      </c>
      <c r="H302" s="18">
        <f ca="1">IF('Current Char Stats'!$A171="","",'Current Char Stats'!$G171)</f>
        <v>0</v>
      </c>
      <c r="I302" s="18">
        <f ca="1">IF('Current Char Stats'!$A171="","",'Current Char Stats'!$H171)</f>
        <v>0</v>
      </c>
      <c r="J302" s="18">
        <f ca="1">IF('Current Char Stats'!$A171="","",'Current Char Stats'!$I171)</f>
        <v>0</v>
      </c>
      <c r="K302" s="18">
        <f ca="1">IF('Current Char Stats'!$A171="","",'Current Char Stats'!$J171)</f>
        <v>0</v>
      </c>
      <c r="L302" s="18" t="str">
        <f ca="1">IF('Current Char Stats'!$A171="","",'Current Char Stats'!$K171)</f>
        <v/>
      </c>
      <c r="M302" s="18">
        <f ca="1">IF('Current Char Stats'!$A171="","",'Current Char Stats'!$L171)</f>
        <v>0</v>
      </c>
      <c r="N302" s="18">
        <f ca="1">IF('Current Char Stats'!$A171="","",'Current Char Stats'!$M171)</f>
        <v>0</v>
      </c>
      <c r="O302" s="18">
        <f ca="1">IF('Current Char Stats'!$A171="","",'Current Char Stats'!$N171)</f>
        <v>0</v>
      </c>
      <c r="P302" s="18">
        <f ca="1">IF('Current Char Stats'!$A171="","",'Current Char Stats'!$O171)</f>
        <v>0</v>
      </c>
      <c r="Q302" s="18">
        <f ca="1">IF('Current Char Stats'!$A171="","",'Current Char Stats'!$P171)</f>
        <v>0</v>
      </c>
      <c r="R302" s="18">
        <f ca="1">IF('Current Char Stats'!$A171="","",'Current Char Stats'!$Q171)</f>
        <v>0</v>
      </c>
      <c r="S302" s="18">
        <f ca="1">IF('Current Char Stats'!$A171="","",'Current Char Stats'!$R171)</f>
        <v>0</v>
      </c>
      <c r="T302" s="18">
        <f ca="1">IF('Current Char Stats'!$A171="","",'Current Char Stats'!$S171)</f>
        <v>0</v>
      </c>
      <c r="U302" s="18">
        <f ca="1">IF('Current Char Stats'!$A171="","",'Current Char Stats'!$T171)</f>
        <v>0</v>
      </c>
      <c r="V302" s="18">
        <f ca="1">IF('Current Char Stats'!$A171="","",'Current Char Stats'!$U171)</f>
        <v>0</v>
      </c>
      <c r="W302" s="18">
        <f ca="1">IF('Current Char Stats'!$A171="","",'Current Char Stats'!$V171)</f>
        <v>0</v>
      </c>
      <c r="X302" s="18">
        <f ca="1">IF('Current Char Stats'!$A171="","",'Current Char Stats'!$W171)</f>
        <v>0</v>
      </c>
      <c r="Y302" s="18">
        <f ca="1">IF('Current Char Stats'!$A171="","",'Current Char Stats'!$X171)</f>
        <v>0</v>
      </c>
      <c r="Z302" s="18">
        <f ca="1">IF('Current Char Stats'!$A171="","",'Current Char Stats'!$Y171)</f>
        <v>0</v>
      </c>
      <c r="AA302" s="18">
        <f ca="1">IF('Current Char Stats'!$A171="","",'Current Char Stats'!$Z171)</f>
        <v>0</v>
      </c>
      <c r="AB302" s="18">
        <f ca="1">IF('Current Char Stats'!$A171="","",'Current Char Stats'!$AA171)</f>
        <v>0</v>
      </c>
      <c r="AC302" s="18">
        <f ca="1">IF('Current Char Stats'!$A171="","",'Current Char Stats'!$AB171)</f>
        <v>0</v>
      </c>
      <c r="AD302" s="18">
        <f ca="1">IF('Current Char Stats'!$A171="","",'Current Char Stats'!$AC171)</f>
        <v>0</v>
      </c>
      <c r="AE302" s="18" t="e">
        <f ca="1">IF('Current Char Stats'!$A171="","",'Current Char Stats'!$AD171)</f>
        <v>#VALUE!</v>
      </c>
      <c r="AF302" s="18">
        <f ca="1">IF('Current Char Stats'!$A171="","",'Current Char Stats'!$AE171)</f>
        <v>0</v>
      </c>
    </row>
    <row r="303" spans="1:32">
      <c r="A303" s="18">
        <f ca="1">IF('Current Char Stats'!$A172="","",Settings!$B$2)</f>
        <v>1</v>
      </c>
      <c r="B303" s="117" t="str">
        <f ca="1">IF('Current Char Stats'!$A172="","",'Current Char Stats'!$A172)</f>
        <v>Nick</v>
      </c>
      <c r="C303" s="18" t="str">
        <f ca="1">IF('Current Char Stats'!$A172="","",'Current Char Stats'!$B172)</f>
        <v>Wiggler</v>
      </c>
      <c r="D303" s="18" t="str">
        <f ca="1">IF('Current Char Stats'!$A172="","",'Current Char Stats'!$C172)</f>
        <v>G10</v>
      </c>
      <c r="E303" s="18">
        <f ca="1">IF('Current Char Stats'!$A172="","",'Current Char Stats'!$D172)</f>
        <v>1</v>
      </c>
      <c r="F303" s="18">
        <f ca="1">IF('Current Char Stats'!$A172="","",'Current Char Stats'!$E172)</f>
        <v>0</v>
      </c>
      <c r="G303" s="18">
        <f ca="1">IF('Current Char Stats'!$A172="","",'Current Char Stats'!$F172)</f>
        <v>0</v>
      </c>
      <c r="H303" s="18">
        <f ca="1">IF('Current Char Stats'!$A172="","",'Current Char Stats'!$G172)</f>
        <v>0</v>
      </c>
      <c r="I303" s="18">
        <f ca="1">IF('Current Char Stats'!$A172="","",'Current Char Stats'!$H172)</f>
        <v>0</v>
      </c>
      <c r="J303" s="18">
        <f ca="1">IF('Current Char Stats'!$A172="","",'Current Char Stats'!$I172)</f>
        <v>0</v>
      </c>
      <c r="K303" s="18">
        <f ca="1">IF('Current Char Stats'!$A172="","",'Current Char Stats'!$J172)</f>
        <v>0</v>
      </c>
      <c r="L303" s="18" t="str">
        <f ca="1">IF('Current Char Stats'!$A172="","",'Current Char Stats'!$K172)</f>
        <v/>
      </c>
      <c r="M303" s="18">
        <f ca="1">IF('Current Char Stats'!$A172="","",'Current Char Stats'!$L172)</f>
        <v>0</v>
      </c>
      <c r="N303" s="18">
        <f ca="1">IF('Current Char Stats'!$A172="","",'Current Char Stats'!$M172)</f>
        <v>0</v>
      </c>
      <c r="O303" s="18">
        <f ca="1">IF('Current Char Stats'!$A172="","",'Current Char Stats'!$N172)</f>
        <v>0</v>
      </c>
      <c r="P303" s="18">
        <f ca="1">IF('Current Char Stats'!$A172="","",'Current Char Stats'!$O172)</f>
        <v>0</v>
      </c>
      <c r="Q303" s="18">
        <f ca="1">IF('Current Char Stats'!$A172="","",'Current Char Stats'!$P172)</f>
        <v>0</v>
      </c>
      <c r="R303" s="18">
        <f ca="1">IF('Current Char Stats'!$A172="","",'Current Char Stats'!$Q172)</f>
        <v>0</v>
      </c>
      <c r="S303" s="18">
        <f ca="1">IF('Current Char Stats'!$A172="","",'Current Char Stats'!$R172)</f>
        <v>0</v>
      </c>
      <c r="T303" s="18">
        <f ca="1">IF('Current Char Stats'!$A172="","",'Current Char Stats'!$S172)</f>
        <v>0</v>
      </c>
      <c r="U303" s="18">
        <f ca="1">IF('Current Char Stats'!$A172="","",'Current Char Stats'!$T172)</f>
        <v>0</v>
      </c>
      <c r="V303" s="18">
        <f ca="1">IF('Current Char Stats'!$A172="","",'Current Char Stats'!$U172)</f>
        <v>0</v>
      </c>
      <c r="W303" s="18">
        <f ca="1">IF('Current Char Stats'!$A172="","",'Current Char Stats'!$V172)</f>
        <v>0</v>
      </c>
      <c r="X303" s="18">
        <f ca="1">IF('Current Char Stats'!$A172="","",'Current Char Stats'!$W172)</f>
        <v>0</v>
      </c>
      <c r="Y303" s="18">
        <f ca="1">IF('Current Char Stats'!$A172="","",'Current Char Stats'!$X172)</f>
        <v>0</v>
      </c>
      <c r="Z303" s="18">
        <f ca="1">IF('Current Char Stats'!$A172="","",'Current Char Stats'!$Y172)</f>
        <v>0</v>
      </c>
      <c r="AA303" s="18">
        <f ca="1">IF('Current Char Stats'!$A172="","",'Current Char Stats'!$Z172)</f>
        <v>0</v>
      </c>
      <c r="AB303" s="18">
        <f ca="1">IF('Current Char Stats'!$A172="","",'Current Char Stats'!$AA172)</f>
        <v>0</v>
      </c>
      <c r="AC303" s="18">
        <f ca="1">IF('Current Char Stats'!$A172="","",'Current Char Stats'!$AB172)</f>
        <v>0</v>
      </c>
      <c r="AD303" s="18">
        <f ca="1">IF('Current Char Stats'!$A172="","",'Current Char Stats'!$AC172)</f>
        <v>0</v>
      </c>
      <c r="AE303" s="18" t="e">
        <f ca="1">IF('Current Char Stats'!$A172="","",'Current Char Stats'!$AD172)</f>
        <v>#VALUE!</v>
      </c>
      <c r="AF303" s="18">
        <f ca="1">IF('Current Char Stats'!$A172="","",'Current Char Stats'!$AE172)</f>
        <v>0</v>
      </c>
    </row>
    <row r="304" spans="1:32">
      <c r="A304" s="18">
        <f ca="1">IF('Current Char Stats'!$A173="","",Settings!$B$2)</f>
        <v>1</v>
      </c>
      <c r="B304" s="117" t="str">
        <f ca="1">IF('Current Char Stats'!$A173="","",'Current Char Stats'!$A173)</f>
        <v>Nick</v>
      </c>
      <c r="C304" s="18" t="str">
        <f ca="1">IF('Current Char Stats'!$A173="","",'Current Char Stats'!$B173)</f>
        <v>Toadette</v>
      </c>
      <c r="D304" s="18" t="str">
        <f ca="1">IF('Current Char Stats'!$A173="","",'Current Char Stats'!$C173)</f>
        <v>G10</v>
      </c>
      <c r="E304" s="18">
        <f ca="1">IF('Current Char Stats'!$A173="","",'Current Char Stats'!$D173)</f>
        <v>1</v>
      </c>
      <c r="F304" s="18">
        <f ca="1">IF('Current Char Stats'!$A173="","",'Current Char Stats'!$E173)</f>
        <v>1</v>
      </c>
      <c r="G304" s="18">
        <f ca="1">IF('Current Char Stats'!$A173="","",'Current Char Stats'!$F173)</f>
        <v>1</v>
      </c>
      <c r="H304" s="18">
        <f ca="1">IF('Current Char Stats'!$A173="","",'Current Char Stats'!$G173)</f>
        <v>0</v>
      </c>
      <c r="I304" s="18">
        <f ca="1">IF('Current Char Stats'!$A173="","",'Current Char Stats'!$H173)</f>
        <v>0</v>
      </c>
      <c r="J304" s="18">
        <f ca="1">IF('Current Char Stats'!$A173="","",'Current Char Stats'!$I173)</f>
        <v>0</v>
      </c>
      <c r="K304" s="18">
        <f ca="1">IF('Current Char Stats'!$A173="","",'Current Char Stats'!$J173)</f>
        <v>0</v>
      </c>
      <c r="L304" s="18" t="str">
        <f ca="1">IF('Current Char Stats'!$A173="","",'Current Char Stats'!$K173)</f>
        <v/>
      </c>
      <c r="M304" s="18">
        <f ca="1">IF('Current Char Stats'!$A173="","",'Current Char Stats'!$L173)</f>
        <v>0</v>
      </c>
      <c r="N304" s="18">
        <f ca="1">IF('Current Char Stats'!$A173="","",'Current Char Stats'!$M173)</f>
        <v>0</v>
      </c>
      <c r="O304" s="18">
        <f ca="1">IF('Current Char Stats'!$A173="","",'Current Char Stats'!$N173)</f>
        <v>0</v>
      </c>
      <c r="P304" s="18">
        <f ca="1">IF('Current Char Stats'!$A173="","",'Current Char Stats'!$O173)</f>
        <v>0</v>
      </c>
      <c r="Q304" s="18">
        <f ca="1">IF('Current Char Stats'!$A173="","",'Current Char Stats'!$P173)</f>
        <v>0</v>
      </c>
      <c r="R304" s="18">
        <f ca="1">IF('Current Char Stats'!$A173="","",'Current Char Stats'!$Q173)</f>
        <v>0</v>
      </c>
      <c r="S304" s="18">
        <f ca="1">IF('Current Char Stats'!$A173="","",'Current Char Stats'!$R173)</f>
        <v>0</v>
      </c>
      <c r="T304" s="18">
        <f ca="1">IF('Current Char Stats'!$A173="","",'Current Char Stats'!$S173)</f>
        <v>0</v>
      </c>
      <c r="U304" s="18">
        <f ca="1">IF('Current Char Stats'!$A173="","",'Current Char Stats'!$T173)</f>
        <v>0</v>
      </c>
      <c r="V304" s="18">
        <f ca="1">IF('Current Char Stats'!$A173="","",'Current Char Stats'!$U173)</f>
        <v>0</v>
      </c>
      <c r="W304" s="18">
        <f ca="1">IF('Current Char Stats'!$A173="","",'Current Char Stats'!$V173)</f>
        <v>0</v>
      </c>
      <c r="X304" s="18">
        <f ca="1">IF('Current Char Stats'!$A173="","",'Current Char Stats'!$W173)</f>
        <v>0</v>
      </c>
      <c r="Y304" s="18">
        <f ca="1">IF('Current Char Stats'!$A173="","",'Current Char Stats'!$X173)</f>
        <v>0</v>
      </c>
      <c r="Z304" s="18">
        <f ca="1">IF('Current Char Stats'!$A173="","",'Current Char Stats'!$Y173)</f>
        <v>0</v>
      </c>
      <c r="AA304" s="18">
        <f ca="1">IF('Current Char Stats'!$A173="","",'Current Char Stats'!$Z173)</f>
        <v>0</v>
      </c>
      <c r="AB304" s="18">
        <f ca="1">IF('Current Char Stats'!$A173="","",'Current Char Stats'!$AA173)</f>
        <v>0</v>
      </c>
      <c r="AC304" s="18">
        <f ca="1">IF('Current Char Stats'!$A173="","",'Current Char Stats'!$AB173)</f>
        <v>0</v>
      </c>
      <c r="AD304" s="18">
        <f ca="1">IF('Current Char Stats'!$A173="","",'Current Char Stats'!$AC173)</f>
        <v>0</v>
      </c>
      <c r="AE304" s="18" t="e">
        <f ca="1">IF('Current Char Stats'!$A173="","",'Current Char Stats'!$AD173)</f>
        <v>#VALUE!</v>
      </c>
      <c r="AF304" s="18">
        <f ca="1">IF('Current Char Stats'!$A173="","",'Current Char Stats'!$AE173)</f>
        <v>0</v>
      </c>
    </row>
    <row r="305" spans="1:32">
      <c r="A305" s="18">
        <f ca="1">IF('Current Char Stats'!$A174="","",Settings!$B$2)</f>
        <v>1</v>
      </c>
      <c r="B305" s="117" t="str">
        <f ca="1">IF('Current Char Stats'!$A174="","",'Current Char Stats'!$A174)</f>
        <v>Nick</v>
      </c>
      <c r="C305" s="18" t="str">
        <f ca="1">IF('Current Char Stats'!$A174="","",'Current Char Stats'!$B174)</f>
        <v>Boomerang Bro</v>
      </c>
      <c r="D305" s="18" t="str">
        <f ca="1">IF('Current Char Stats'!$A174="","",'Current Char Stats'!$C174)</f>
        <v>G10</v>
      </c>
      <c r="E305" s="18">
        <f ca="1">IF('Current Char Stats'!$A174="","",'Current Char Stats'!$D174)</f>
        <v>1</v>
      </c>
      <c r="F305" s="18">
        <f ca="1">IF('Current Char Stats'!$A174="","",'Current Char Stats'!$E174)</f>
        <v>1</v>
      </c>
      <c r="G305" s="18">
        <f ca="1">IF('Current Char Stats'!$A174="","",'Current Char Stats'!$F174)</f>
        <v>1</v>
      </c>
      <c r="H305" s="18">
        <f ca="1">IF('Current Char Stats'!$A174="","",'Current Char Stats'!$G174)</f>
        <v>0</v>
      </c>
      <c r="I305" s="18">
        <f ca="1">IF('Current Char Stats'!$A174="","",'Current Char Stats'!$H174)</f>
        <v>0</v>
      </c>
      <c r="J305" s="18">
        <f ca="1">IF('Current Char Stats'!$A174="","",'Current Char Stats'!$I174)</f>
        <v>0.2</v>
      </c>
      <c r="K305" s="18">
        <f ca="1">IF('Current Char Stats'!$A174="","",'Current Char Stats'!$J174)</f>
        <v>4</v>
      </c>
      <c r="L305" s="18" t="e">
        <f ca="1">IF('Current Char Stats'!$A174="","",'Current Char Stats'!$K174)</f>
        <v>#VALUE!</v>
      </c>
      <c r="M305" s="18">
        <f ca="1">IF('Current Char Stats'!$A174="","",'Current Char Stats'!$L174)</f>
        <v>0</v>
      </c>
      <c r="N305" s="18">
        <f ca="1">IF('Current Char Stats'!$A174="","",'Current Char Stats'!$M174)</f>
        <v>0</v>
      </c>
      <c r="O305" s="18">
        <f ca="1">IF('Current Char Stats'!$A174="","",'Current Char Stats'!$N174)</f>
        <v>0</v>
      </c>
      <c r="P305" s="18">
        <f ca="1">IF('Current Char Stats'!$A174="","",'Current Char Stats'!$O174)</f>
        <v>0</v>
      </c>
      <c r="Q305" s="18">
        <f ca="1">IF('Current Char Stats'!$A174="","",'Current Char Stats'!$P174)</f>
        <v>0</v>
      </c>
      <c r="R305" s="18">
        <f ca="1">IF('Current Char Stats'!$A174="","",'Current Char Stats'!$Q174)</f>
        <v>0</v>
      </c>
      <c r="S305" s="18">
        <f ca="1">IF('Current Char Stats'!$A174="","",'Current Char Stats'!$R174)</f>
        <v>0</v>
      </c>
      <c r="T305" s="18">
        <f ca="1">IF('Current Char Stats'!$A174="","",'Current Char Stats'!$S174)</f>
        <v>0</v>
      </c>
      <c r="U305" s="18">
        <f ca="1">IF('Current Char Stats'!$A174="","",'Current Char Stats'!$T174)</f>
        <v>0</v>
      </c>
      <c r="V305" s="18">
        <f ca="1">IF('Current Char Stats'!$A174="","",'Current Char Stats'!$U174)</f>
        <v>0</v>
      </c>
      <c r="W305" s="18">
        <f ca="1">IF('Current Char Stats'!$A174="","",'Current Char Stats'!$V174)</f>
        <v>0</v>
      </c>
      <c r="X305" s="18">
        <f ca="1">IF('Current Char Stats'!$A174="","",'Current Char Stats'!$W174)</f>
        <v>0</v>
      </c>
      <c r="Y305" s="18">
        <f ca="1">IF('Current Char Stats'!$A174="","",'Current Char Stats'!$X174)</f>
        <v>0</v>
      </c>
      <c r="Z305" s="18">
        <f ca="1">IF('Current Char Stats'!$A174="","",'Current Char Stats'!$Y174)</f>
        <v>0</v>
      </c>
      <c r="AA305" s="18">
        <f ca="1">IF('Current Char Stats'!$A174="","",'Current Char Stats'!$Z174)</f>
        <v>0</v>
      </c>
      <c r="AB305" s="18" t="e">
        <f ca="1">IF('Current Char Stats'!$A174="","",'Current Char Stats'!$AA174)</f>
        <v>#VALUE!</v>
      </c>
      <c r="AC305" s="18">
        <f ca="1">IF('Current Char Stats'!$A174="","",'Current Char Stats'!$AB174)</f>
        <v>0</v>
      </c>
      <c r="AD305" s="18">
        <f ca="1">IF('Current Char Stats'!$A174="","",'Current Char Stats'!$AC174)</f>
        <v>0</v>
      </c>
      <c r="AE305" s="18" t="e">
        <f ca="1">IF('Current Char Stats'!$A174="","",'Current Char Stats'!$AD174)</f>
        <v>#VALUE!</v>
      </c>
      <c r="AF305" s="18">
        <f ca="1">IF('Current Char Stats'!$A174="","",'Current Char Stats'!$AE174)</f>
        <v>4</v>
      </c>
    </row>
    <row r="306" spans="1:32">
      <c r="A306" s="18">
        <f ca="1">IF('Current Char Stats'!$A175="","",Settings!$B$2)</f>
        <v>1</v>
      </c>
      <c r="B306" s="117" t="str">
        <f ca="1">IF('Current Char Stats'!$A175="","",'Current Char Stats'!$A175)</f>
        <v>Jason</v>
      </c>
      <c r="C306" s="18" t="str">
        <f ca="1">IF('Current Char Stats'!$A175="","",'Current Char Stats'!$B175)</f>
        <v>Yoshi</v>
      </c>
      <c r="D306" s="18" t="str">
        <f ca="1">IF('Current Char Stats'!$A175="","",'Current Char Stats'!$C175)</f>
        <v>G10</v>
      </c>
      <c r="E306" s="18">
        <f ca="1">IF('Current Char Stats'!$A175="","",'Current Char Stats'!$D175)</f>
        <v>2</v>
      </c>
      <c r="F306" s="18">
        <f ca="1">IF('Current Char Stats'!$A175="","",'Current Char Stats'!$E175)</f>
        <v>1</v>
      </c>
      <c r="G306" s="18">
        <f ca="1">IF('Current Char Stats'!$A175="","",'Current Char Stats'!$F175)</f>
        <v>0.5</v>
      </c>
      <c r="H306" s="18">
        <f ca="1">IF('Current Char Stats'!$A175="","",'Current Char Stats'!$G175)</f>
        <v>0</v>
      </c>
      <c r="I306" s="18">
        <f ca="1">IF('Current Char Stats'!$A175="","",'Current Char Stats'!$H175)</f>
        <v>0</v>
      </c>
      <c r="J306" s="18">
        <f ca="1">IF('Current Char Stats'!$A175="","",'Current Char Stats'!$I175)</f>
        <v>0</v>
      </c>
      <c r="K306" s="18">
        <f ca="1">IF('Current Char Stats'!$A175="","",'Current Char Stats'!$J175)</f>
        <v>0</v>
      </c>
      <c r="L306" s="18" t="str">
        <f ca="1">IF('Current Char Stats'!$A175="","",'Current Char Stats'!$K175)</f>
        <v/>
      </c>
      <c r="M306" s="18">
        <f ca="1">IF('Current Char Stats'!$A175="","",'Current Char Stats'!$L175)</f>
        <v>0</v>
      </c>
      <c r="N306" s="18">
        <f ca="1">IF('Current Char Stats'!$A175="","",'Current Char Stats'!$M175)</f>
        <v>0</v>
      </c>
      <c r="O306" s="18">
        <f ca="1">IF('Current Char Stats'!$A175="","",'Current Char Stats'!$N175)</f>
        <v>1</v>
      </c>
      <c r="P306" s="18">
        <f ca="1">IF('Current Char Stats'!$A175="","",'Current Char Stats'!$O175)</f>
        <v>0</v>
      </c>
      <c r="Q306" s="18">
        <f ca="1">IF('Current Char Stats'!$A175="","",'Current Char Stats'!$P175)</f>
        <v>0</v>
      </c>
      <c r="R306" s="18">
        <f ca="1">IF('Current Char Stats'!$A175="","",'Current Char Stats'!$Q175)</f>
        <v>0</v>
      </c>
      <c r="S306" s="18">
        <f ca="1">IF('Current Char Stats'!$A175="","",'Current Char Stats'!$R175)</f>
        <v>0</v>
      </c>
      <c r="T306" s="18">
        <f ca="1">IF('Current Char Stats'!$A175="","",'Current Char Stats'!$S175)</f>
        <v>0</v>
      </c>
      <c r="U306" s="18">
        <f ca="1">IF('Current Char Stats'!$A175="","",'Current Char Stats'!$T175)</f>
        <v>0</v>
      </c>
      <c r="V306" s="18">
        <f ca="1">IF('Current Char Stats'!$A175="","",'Current Char Stats'!$U175)</f>
        <v>0</v>
      </c>
      <c r="W306" s="18">
        <f ca="1">IF('Current Char Stats'!$A175="","",'Current Char Stats'!$V175)</f>
        <v>0</v>
      </c>
      <c r="X306" s="18">
        <f ca="1">IF('Current Char Stats'!$A175="","",'Current Char Stats'!$W175)</f>
        <v>0</v>
      </c>
      <c r="Y306" s="18">
        <f ca="1">IF('Current Char Stats'!$A175="","",'Current Char Stats'!$X175)</f>
        <v>0</v>
      </c>
      <c r="Z306" s="18">
        <f ca="1">IF('Current Char Stats'!$A175="","",'Current Char Stats'!$Y175)</f>
        <v>0</v>
      </c>
      <c r="AA306" s="18">
        <f ca="1">IF('Current Char Stats'!$A175="","",'Current Char Stats'!$Z175)</f>
        <v>0</v>
      </c>
      <c r="AB306" s="18">
        <f ca="1">IF('Current Char Stats'!$A175="","",'Current Char Stats'!$AA175)</f>
        <v>0</v>
      </c>
      <c r="AC306" s="18">
        <f ca="1">IF('Current Char Stats'!$A175="","",'Current Char Stats'!$AB175)</f>
        <v>0</v>
      </c>
      <c r="AD306" s="18">
        <f ca="1">IF('Current Char Stats'!$A175="","",'Current Char Stats'!$AC175)</f>
        <v>0</v>
      </c>
      <c r="AE306" s="18" t="e">
        <f ca="1">IF('Current Char Stats'!$A175="","",'Current Char Stats'!$AD175)</f>
        <v>#VALUE!</v>
      </c>
      <c r="AF306" s="18">
        <f ca="1">IF('Current Char Stats'!$A175="","",'Current Char Stats'!$AE175)</f>
        <v>0</v>
      </c>
    </row>
    <row r="307" spans="1:32">
      <c r="A307" s="18">
        <f ca="1">IF('Current Char Stats'!$A176="","",Settings!$B$2)</f>
        <v>1</v>
      </c>
      <c r="B307" s="117" t="str">
        <f ca="1">IF('Current Char Stats'!$A176="","",'Current Char Stats'!$A176)</f>
        <v>Jason</v>
      </c>
      <c r="C307" s="18" t="str">
        <f ca="1">IF('Current Char Stats'!$A176="","",'Current Char Stats'!$B176)</f>
        <v>Brown Kritter</v>
      </c>
      <c r="D307" s="18" t="str">
        <f ca="1">IF('Current Char Stats'!$A176="","",'Current Char Stats'!$C176)</f>
        <v>G10</v>
      </c>
      <c r="E307" s="18">
        <f ca="1">IF('Current Char Stats'!$A176="","",'Current Char Stats'!$D176)</f>
        <v>2</v>
      </c>
      <c r="F307" s="18">
        <f ca="1">IF('Current Char Stats'!$A176="","",'Current Char Stats'!$E176)</f>
        <v>0</v>
      </c>
      <c r="G307" s="18">
        <f ca="1">IF('Current Char Stats'!$A176="","",'Current Char Stats'!$F176)</f>
        <v>0</v>
      </c>
      <c r="H307" s="18">
        <f ca="1">IF('Current Char Stats'!$A176="","",'Current Char Stats'!$G176)</f>
        <v>0</v>
      </c>
      <c r="I307" s="18">
        <f ca="1">IF('Current Char Stats'!$A176="","",'Current Char Stats'!$H176)</f>
        <v>0</v>
      </c>
      <c r="J307" s="18">
        <f ca="1">IF('Current Char Stats'!$A176="","",'Current Char Stats'!$I176)</f>
        <v>0</v>
      </c>
      <c r="K307" s="18">
        <f ca="1">IF('Current Char Stats'!$A176="","",'Current Char Stats'!$J176)</f>
        <v>0</v>
      </c>
      <c r="L307" s="18" t="str">
        <f ca="1">IF('Current Char Stats'!$A176="","",'Current Char Stats'!$K176)</f>
        <v/>
      </c>
      <c r="M307" s="18">
        <f ca="1">IF('Current Char Stats'!$A176="","",'Current Char Stats'!$L176)</f>
        <v>0</v>
      </c>
      <c r="N307" s="18">
        <f ca="1">IF('Current Char Stats'!$A176="","",'Current Char Stats'!$M176)</f>
        <v>0</v>
      </c>
      <c r="O307" s="18">
        <f ca="1">IF('Current Char Stats'!$A176="","",'Current Char Stats'!$N176)</f>
        <v>0</v>
      </c>
      <c r="P307" s="18">
        <f ca="1">IF('Current Char Stats'!$A176="","",'Current Char Stats'!$O176)</f>
        <v>0</v>
      </c>
      <c r="Q307" s="18">
        <f ca="1">IF('Current Char Stats'!$A176="","",'Current Char Stats'!$P176)</f>
        <v>0</v>
      </c>
      <c r="R307" s="18">
        <f ca="1">IF('Current Char Stats'!$A176="","",'Current Char Stats'!$Q176)</f>
        <v>0</v>
      </c>
      <c r="S307" s="18">
        <f ca="1">IF('Current Char Stats'!$A176="","",'Current Char Stats'!$R176)</f>
        <v>0</v>
      </c>
      <c r="T307" s="18">
        <f ca="1">IF('Current Char Stats'!$A176="","",'Current Char Stats'!$S176)</f>
        <v>0</v>
      </c>
      <c r="U307" s="18">
        <f ca="1">IF('Current Char Stats'!$A176="","",'Current Char Stats'!$T176)</f>
        <v>0</v>
      </c>
      <c r="V307" s="18">
        <f ca="1">IF('Current Char Stats'!$A176="","",'Current Char Stats'!$U176)</f>
        <v>0</v>
      </c>
      <c r="W307" s="18">
        <f ca="1">IF('Current Char Stats'!$A176="","",'Current Char Stats'!$V176)</f>
        <v>0</v>
      </c>
      <c r="X307" s="18">
        <f ca="1">IF('Current Char Stats'!$A176="","",'Current Char Stats'!$W176)</f>
        <v>0</v>
      </c>
      <c r="Y307" s="18">
        <f ca="1">IF('Current Char Stats'!$A176="","",'Current Char Stats'!$X176)</f>
        <v>0</v>
      </c>
      <c r="Z307" s="18">
        <f ca="1">IF('Current Char Stats'!$A176="","",'Current Char Stats'!$Y176)</f>
        <v>0</v>
      </c>
      <c r="AA307" s="18">
        <f ca="1">IF('Current Char Stats'!$A176="","",'Current Char Stats'!$Z176)</f>
        <v>0</v>
      </c>
      <c r="AB307" s="18">
        <f ca="1">IF('Current Char Stats'!$A176="","",'Current Char Stats'!$AA176)</f>
        <v>0</v>
      </c>
      <c r="AC307" s="18">
        <f ca="1">IF('Current Char Stats'!$A176="","",'Current Char Stats'!$AB176)</f>
        <v>0</v>
      </c>
      <c r="AD307" s="18">
        <f ca="1">IF('Current Char Stats'!$A176="","",'Current Char Stats'!$AC176)</f>
        <v>0</v>
      </c>
      <c r="AE307" s="18" t="e">
        <f ca="1">IF('Current Char Stats'!$A176="","",'Current Char Stats'!$AD176)</f>
        <v>#VALUE!</v>
      </c>
      <c r="AF307" s="18">
        <f ca="1">IF('Current Char Stats'!$A176="","",'Current Char Stats'!$AE176)</f>
        <v>0</v>
      </c>
    </row>
    <row r="308" spans="1:32">
      <c r="A308" s="18">
        <f ca="1">IF('Current Char Stats'!$A177="","",Settings!$B$2)</f>
        <v>1</v>
      </c>
      <c r="B308" s="117" t="str">
        <f ca="1">IF('Current Char Stats'!$A177="","",'Current Char Stats'!$A177)</f>
        <v>Jason</v>
      </c>
      <c r="C308" s="18" t="str">
        <f ca="1">IF('Current Char Stats'!$A177="","",'Current Char Stats'!$B177)</f>
        <v>Bowser</v>
      </c>
      <c r="D308" s="18" t="str">
        <f ca="1">IF('Current Char Stats'!$A177="","",'Current Char Stats'!$C177)</f>
        <v>G10</v>
      </c>
      <c r="E308" s="18">
        <f ca="1">IF('Current Char Stats'!$A177="","",'Current Char Stats'!$D177)</f>
        <v>2</v>
      </c>
      <c r="F308" s="18">
        <f ca="1">IF('Current Char Stats'!$A177="","",'Current Char Stats'!$E177)</f>
        <v>1</v>
      </c>
      <c r="G308" s="18">
        <f ca="1">IF('Current Char Stats'!$A177="","",'Current Char Stats'!$F177)</f>
        <v>0.5</v>
      </c>
      <c r="H308" s="18">
        <f ca="1">IF('Current Char Stats'!$A177="","",'Current Char Stats'!$G177)</f>
        <v>1</v>
      </c>
      <c r="I308" s="18">
        <f ca="1">IF('Current Char Stats'!$A177="","",'Current Char Stats'!$H177)</f>
        <v>4</v>
      </c>
      <c r="J308" s="18">
        <f ca="1">IF('Current Char Stats'!$A177="","",'Current Char Stats'!$I177)</f>
        <v>0</v>
      </c>
      <c r="K308" s="18">
        <f ca="1">IF('Current Char Stats'!$A177="","",'Current Char Stats'!$J177)</f>
        <v>0</v>
      </c>
      <c r="L308" s="18" t="str">
        <f ca="1">IF('Current Char Stats'!$A177="","",'Current Char Stats'!$K177)</f>
        <v/>
      </c>
      <c r="M308" s="18">
        <f ca="1">IF('Current Char Stats'!$A177="","",'Current Char Stats'!$L177)</f>
        <v>0</v>
      </c>
      <c r="N308" s="18">
        <f ca="1">IF('Current Char Stats'!$A177="","",'Current Char Stats'!$M177)</f>
        <v>0</v>
      </c>
      <c r="O308" s="18">
        <f ca="1">IF('Current Char Stats'!$A177="","",'Current Char Stats'!$N177)</f>
        <v>1</v>
      </c>
      <c r="P308" s="18">
        <f ca="1">IF('Current Char Stats'!$A177="","",'Current Char Stats'!$O177)</f>
        <v>0</v>
      </c>
      <c r="Q308" s="18">
        <f ca="1">IF('Current Char Stats'!$A177="","",'Current Char Stats'!$P177)</f>
        <v>0</v>
      </c>
      <c r="R308" s="18">
        <f ca="1">IF('Current Char Stats'!$A177="","",'Current Char Stats'!$Q177)</f>
        <v>0</v>
      </c>
      <c r="S308" s="18">
        <f ca="1">IF('Current Char Stats'!$A177="","",'Current Char Stats'!$R177)</f>
        <v>0</v>
      </c>
      <c r="T308" s="18">
        <f ca="1">IF('Current Char Stats'!$A177="","",'Current Char Stats'!$S177)</f>
        <v>0</v>
      </c>
      <c r="U308" s="18">
        <f ca="1">IF('Current Char Stats'!$A177="","",'Current Char Stats'!$T177)</f>
        <v>0</v>
      </c>
      <c r="V308" s="18">
        <f ca="1">IF('Current Char Stats'!$A177="","",'Current Char Stats'!$U177)</f>
        <v>0</v>
      </c>
      <c r="W308" s="18">
        <f ca="1">IF('Current Char Stats'!$A177="","",'Current Char Stats'!$V177)</f>
        <v>0</v>
      </c>
      <c r="X308" s="18">
        <f ca="1">IF('Current Char Stats'!$A177="","",'Current Char Stats'!$W177)</f>
        <v>0</v>
      </c>
      <c r="Y308" s="18">
        <f ca="1">IF('Current Char Stats'!$A177="","",'Current Char Stats'!$X177)</f>
        <v>0</v>
      </c>
      <c r="Z308" s="18">
        <f ca="1">IF('Current Char Stats'!$A177="","",'Current Char Stats'!$Y177)</f>
        <v>0</v>
      </c>
      <c r="AA308" s="18">
        <f ca="1">IF('Current Char Stats'!$A177="","",'Current Char Stats'!$Z177)</f>
        <v>0</v>
      </c>
      <c r="AB308" s="18">
        <f ca="1">IF('Current Char Stats'!$A177="","",'Current Char Stats'!$AA177)</f>
        <v>0</v>
      </c>
      <c r="AC308" s="18">
        <f ca="1">IF('Current Char Stats'!$A177="","",'Current Char Stats'!$AB177)</f>
        <v>0</v>
      </c>
      <c r="AD308" s="18">
        <f ca="1">IF('Current Char Stats'!$A177="","",'Current Char Stats'!$AC177)</f>
        <v>0</v>
      </c>
      <c r="AE308" s="18" t="e">
        <f ca="1">IF('Current Char Stats'!$A177="","",'Current Char Stats'!$AD177)</f>
        <v>#VALUE!</v>
      </c>
      <c r="AF308" s="18">
        <f ca="1">IF('Current Char Stats'!$A177="","",'Current Char Stats'!$AE177)</f>
        <v>0</v>
      </c>
    </row>
    <row r="309" spans="1:32">
      <c r="A309" s="18">
        <f ca="1">IF('Current Char Stats'!$A178="","",Settings!$B$2)</f>
        <v>1</v>
      </c>
      <c r="B309" s="117" t="str">
        <f ca="1">IF('Current Char Stats'!$A178="","",'Current Char Stats'!$A178)</f>
        <v>Jason</v>
      </c>
      <c r="C309" s="18" t="str">
        <f ca="1">IF('Current Char Stats'!$A178="","",'Current Char Stats'!$B178)</f>
        <v>King K. Rool</v>
      </c>
      <c r="D309" s="18" t="str">
        <f ca="1">IF('Current Char Stats'!$A178="","",'Current Char Stats'!$C178)</f>
        <v>G10</v>
      </c>
      <c r="E309" s="18">
        <f ca="1">IF('Current Char Stats'!$A178="","",'Current Char Stats'!$D178)</f>
        <v>2</v>
      </c>
      <c r="F309" s="18">
        <f ca="1">IF('Current Char Stats'!$A178="","",'Current Char Stats'!$E178)</f>
        <v>1</v>
      </c>
      <c r="G309" s="18">
        <f ca="1">IF('Current Char Stats'!$A178="","",'Current Char Stats'!$F178)</f>
        <v>0.5</v>
      </c>
      <c r="H309" s="18">
        <f ca="1">IF('Current Char Stats'!$A178="","",'Current Char Stats'!$G178)</f>
        <v>0</v>
      </c>
      <c r="I309" s="18">
        <f ca="1">IF('Current Char Stats'!$A178="","",'Current Char Stats'!$H178)</f>
        <v>0</v>
      </c>
      <c r="J309" s="18">
        <f ca="1">IF('Current Char Stats'!$A178="","",'Current Char Stats'!$I178)</f>
        <v>1</v>
      </c>
      <c r="K309" s="18">
        <f ca="1">IF('Current Char Stats'!$A178="","",'Current Char Stats'!$J178)</f>
        <v>0</v>
      </c>
      <c r="L309" s="18" t="e">
        <f ca="1">IF('Current Char Stats'!$A178="","",'Current Char Stats'!$K178)</f>
        <v>#VALUE!</v>
      </c>
      <c r="M309" s="18">
        <f ca="1">IF('Current Char Stats'!$A178="","",'Current Char Stats'!$L178)</f>
        <v>0</v>
      </c>
      <c r="N309" s="18">
        <f ca="1">IF('Current Char Stats'!$A178="","",'Current Char Stats'!$M178)</f>
        <v>0</v>
      </c>
      <c r="O309" s="18">
        <f ca="1">IF('Current Char Stats'!$A178="","",'Current Char Stats'!$N178)</f>
        <v>0</v>
      </c>
      <c r="P309" s="18">
        <f ca="1">IF('Current Char Stats'!$A178="","",'Current Char Stats'!$O178)</f>
        <v>0</v>
      </c>
      <c r="Q309" s="18">
        <f ca="1">IF('Current Char Stats'!$A178="","",'Current Char Stats'!$P178)</f>
        <v>0</v>
      </c>
      <c r="R309" s="18">
        <f ca="1">IF('Current Char Stats'!$A178="","",'Current Char Stats'!$Q178)</f>
        <v>0</v>
      </c>
      <c r="S309" s="18">
        <f ca="1">IF('Current Char Stats'!$A178="","",'Current Char Stats'!$R178)</f>
        <v>1</v>
      </c>
      <c r="T309" s="18">
        <f ca="1">IF('Current Char Stats'!$A178="","",'Current Char Stats'!$S178)</f>
        <v>0</v>
      </c>
      <c r="U309" s="18">
        <f ca="1">IF('Current Char Stats'!$A178="","",'Current Char Stats'!$T178)</f>
        <v>0</v>
      </c>
      <c r="V309" s="18">
        <f ca="1">IF('Current Char Stats'!$A178="","",'Current Char Stats'!$U178)</f>
        <v>0</v>
      </c>
      <c r="W309" s="18">
        <f ca="1">IF('Current Char Stats'!$A178="","",'Current Char Stats'!$V178)</f>
        <v>0</v>
      </c>
      <c r="X309" s="18">
        <f ca="1">IF('Current Char Stats'!$A178="","",'Current Char Stats'!$W178)</f>
        <v>0</v>
      </c>
      <c r="Y309" s="18">
        <f ca="1">IF('Current Char Stats'!$A178="","",'Current Char Stats'!$X178)</f>
        <v>0</v>
      </c>
      <c r="Z309" s="18">
        <f ca="1">IF('Current Char Stats'!$A178="","",'Current Char Stats'!$Y178)</f>
        <v>0</v>
      </c>
      <c r="AA309" s="18">
        <f ca="1">IF('Current Char Stats'!$A178="","",'Current Char Stats'!$Z178)</f>
        <v>0</v>
      </c>
      <c r="AB309" s="18" t="e">
        <f ca="1">IF('Current Char Stats'!$A178="","",'Current Char Stats'!$AA178)</f>
        <v>#VALUE!</v>
      </c>
      <c r="AC309" s="18">
        <f ca="1">IF('Current Char Stats'!$A178="","",'Current Char Stats'!$AB178)</f>
        <v>0</v>
      </c>
      <c r="AD309" s="18">
        <f ca="1">IF('Current Char Stats'!$A178="","",'Current Char Stats'!$AC178)</f>
        <v>0</v>
      </c>
      <c r="AE309" s="18" t="e">
        <f ca="1">IF('Current Char Stats'!$A178="","",'Current Char Stats'!$AD178)</f>
        <v>#VALUE!</v>
      </c>
      <c r="AF309" s="18">
        <f ca="1">IF('Current Char Stats'!$A178="","",'Current Char Stats'!$AE178)</f>
        <v>3</v>
      </c>
    </row>
    <row r="310" spans="1:32">
      <c r="A310" s="18">
        <f ca="1">IF('Current Char Stats'!$A179="","",Settings!$B$2)</f>
        <v>1</v>
      </c>
      <c r="B310" s="117" t="str">
        <f ca="1">IF('Current Char Stats'!$A179="","",'Current Char Stats'!$A179)</f>
        <v>Jason</v>
      </c>
      <c r="C310" s="18" t="str">
        <f ca="1">IF('Current Char Stats'!$A179="","",'Current Char Stats'!$B179)</f>
        <v>Blooper</v>
      </c>
      <c r="D310" s="18" t="str">
        <f ca="1">IF('Current Char Stats'!$A179="","",'Current Char Stats'!$C179)</f>
        <v>G10</v>
      </c>
      <c r="E310" s="18">
        <f ca="1">IF('Current Char Stats'!$A179="","",'Current Char Stats'!$D179)</f>
        <v>2</v>
      </c>
      <c r="F310" s="18">
        <f ca="1">IF('Current Char Stats'!$A179="","",'Current Char Stats'!$E179)</f>
        <v>1</v>
      </c>
      <c r="G310" s="18">
        <f ca="1">IF('Current Char Stats'!$A179="","",'Current Char Stats'!$F179)</f>
        <v>0.5</v>
      </c>
      <c r="H310" s="18">
        <f ca="1">IF('Current Char Stats'!$A179="","",'Current Char Stats'!$G179)</f>
        <v>0</v>
      </c>
      <c r="I310" s="18">
        <f ca="1">IF('Current Char Stats'!$A179="","",'Current Char Stats'!$H179)</f>
        <v>0</v>
      </c>
      <c r="J310" s="18">
        <f ca="1">IF('Current Char Stats'!$A179="","",'Current Char Stats'!$I179)</f>
        <v>0</v>
      </c>
      <c r="K310" s="18">
        <f ca="1">IF('Current Char Stats'!$A179="","",'Current Char Stats'!$J179)</f>
        <v>0</v>
      </c>
      <c r="L310" s="18" t="str">
        <f ca="1">IF('Current Char Stats'!$A179="","",'Current Char Stats'!$K179)</f>
        <v/>
      </c>
      <c r="M310" s="18">
        <f ca="1">IF('Current Char Stats'!$A179="","",'Current Char Stats'!$L179)</f>
        <v>0</v>
      </c>
      <c r="N310" s="18">
        <f ca="1">IF('Current Char Stats'!$A179="","",'Current Char Stats'!$M179)</f>
        <v>0</v>
      </c>
      <c r="O310" s="18">
        <f ca="1">IF('Current Char Stats'!$A179="","",'Current Char Stats'!$N179)</f>
        <v>0</v>
      </c>
      <c r="P310" s="18">
        <f ca="1">IF('Current Char Stats'!$A179="","",'Current Char Stats'!$O179)</f>
        <v>0</v>
      </c>
      <c r="Q310" s="18">
        <f ca="1">IF('Current Char Stats'!$A179="","",'Current Char Stats'!$P179)</f>
        <v>0</v>
      </c>
      <c r="R310" s="18">
        <f ca="1">IF('Current Char Stats'!$A179="","",'Current Char Stats'!$Q179)</f>
        <v>0</v>
      </c>
      <c r="S310" s="18">
        <f ca="1">IF('Current Char Stats'!$A179="","",'Current Char Stats'!$R179)</f>
        <v>0</v>
      </c>
      <c r="T310" s="18">
        <f ca="1">IF('Current Char Stats'!$A179="","",'Current Char Stats'!$S179)</f>
        <v>0</v>
      </c>
      <c r="U310" s="18">
        <f ca="1">IF('Current Char Stats'!$A179="","",'Current Char Stats'!$T179)</f>
        <v>0</v>
      </c>
      <c r="V310" s="18">
        <f ca="1">IF('Current Char Stats'!$A179="","",'Current Char Stats'!$U179)</f>
        <v>0</v>
      </c>
      <c r="W310" s="18">
        <f ca="1">IF('Current Char Stats'!$A179="","",'Current Char Stats'!$V179)</f>
        <v>0</v>
      </c>
      <c r="X310" s="18">
        <f ca="1">IF('Current Char Stats'!$A179="","",'Current Char Stats'!$W179)</f>
        <v>0</v>
      </c>
      <c r="Y310" s="18">
        <f ca="1">IF('Current Char Stats'!$A179="","",'Current Char Stats'!$X179)</f>
        <v>0</v>
      </c>
      <c r="Z310" s="18">
        <f ca="1">IF('Current Char Stats'!$A179="","",'Current Char Stats'!$Y179)</f>
        <v>0</v>
      </c>
      <c r="AA310" s="18">
        <f ca="1">IF('Current Char Stats'!$A179="","",'Current Char Stats'!$Z179)</f>
        <v>0</v>
      </c>
      <c r="AB310" s="18">
        <f ca="1">IF('Current Char Stats'!$A179="","",'Current Char Stats'!$AA179)</f>
        <v>0</v>
      </c>
      <c r="AC310" s="18">
        <f ca="1">IF('Current Char Stats'!$A179="","",'Current Char Stats'!$AB179)</f>
        <v>0</v>
      </c>
      <c r="AD310" s="18">
        <f ca="1">IF('Current Char Stats'!$A179="","",'Current Char Stats'!$AC179)</f>
        <v>0</v>
      </c>
      <c r="AE310" s="18" t="e">
        <f ca="1">IF('Current Char Stats'!$A179="","",'Current Char Stats'!$AD179)</f>
        <v>#VALUE!</v>
      </c>
      <c r="AF310" s="18">
        <f ca="1">IF('Current Char Stats'!$A179="","",'Current Char Stats'!$AE179)</f>
        <v>0</v>
      </c>
    </row>
    <row r="311" spans="1:32">
      <c r="A311" s="18">
        <f ca="1">IF('Current Char Stats'!$A180="","",Settings!$B$2)</f>
        <v>1</v>
      </c>
      <c r="B311" s="117" t="str">
        <f ca="1">IF('Current Char Stats'!$A180="","",'Current Char Stats'!$A180)</f>
        <v>Jason</v>
      </c>
      <c r="C311" s="18" t="str">
        <f ca="1">IF('Current Char Stats'!$A180="","",'Current Char Stats'!$B180)</f>
        <v>Yellow Toad</v>
      </c>
      <c r="D311" s="18" t="str">
        <f ca="1">IF('Current Char Stats'!$A180="","",'Current Char Stats'!$C180)</f>
        <v>G10</v>
      </c>
      <c r="E311" s="18">
        <f ca="1">IF('Current Char Stats'!$A180="","",'Current Char Stats'!$D180)</f>
        <v>2</v>
      </c>
      <c r="F311" s="18">
        <f ca="1">IF('Current Char Stats'!$A180="","",'Current Char Stats'!$E180)</f>
        <v>1</v>
      </c>
      <c r="G311" s="18">
        <f ca="1">IF('Current Char Stats'!$A180="","",'Current Char Stats'!$F180)</f>
        <v>0.5</v>
      </c>
      <c r="H311" s="18">
        <f ca="1">IF('Current Char Stats'!$A180="","",'Current Char Stats'!$G180)</f>
        <v>0</v>
      </c>
      <c r="I311" s="18">
        <f ca="1">IF('Current Char Stats'!$A180="","",'Current Char Stats'!$H180)</f>
        <v>0</v>
      </c>
      <c r="J311" s="18">
        <f ca="1">IF('Current Char Stats'!$A180="","",'Current Char Stats'!$I180)</f>
        <v>0</v>
      </c>
      <c r="K311" s="18">
        <f ca="1">IF('Current Char Stats'!$A180="","",'Current Char Stats'!$J180)</f>
        <v>0</v>
      </c>
      <c r="L311" s="18" t="str">
        <f ca="1">IF('Current Char Stats'!$A180="","",'Current Char Stats'!$K180)</f>
        <v/>
      </c>
      <c r="M311" s="18">
        <f ca="1">IF('Current Char Stats'!$A180="","",'Current Char Stats'!$L180)</f>
        <v>0</v>
      </c>
      <c r="N311" s="18">
        <f ca="1">IF('Current Char Stats'!$A180="","",'Current Char Stats'!$M180)</f>
        <v>0</v>
      </c>
      <c r="O311" s="18">
        <f ca="1">IF('Current Char Stats'!$A180="","",'Current Char Stats'!$N180)</f>
        <v>0</v>
      </c>
      <c r="P311" s="18">
        <f ca="1">IF('Current Char Stats'!$A180="","",'Current Char Stats'!$O180)</f>
        <v>0</v>
      </c>
      <c r="Q311" s="18">
        <f ca="1">IF('Current Char Stats'!$A180="","",'Current Char Stats'!$P180)</f>
        <v>0</v>
      </c>
      <c r="R311" s="18">
        <f ca="1">IF('Current Char Stats'!$A180="","",'Current Char Stats'!$Q180)</f>
        <v>0</v>
      </c>
      <c r="S311" s="18">
        <f ca="1">IF('Current Char Stats'!$A180="","",'Current Char Stats'!$R180)</f>
        <v>0</v>
      </c>
      <c r="T311" s="18">
        <f ca="1">IF('Current Char Stats'!$A180="","",'Current Char Stats'!$S180)</f>
        <v>0</v>
      </c>
      <c r="U311" s="18">
        <f ca="1">IF('Current Char Stats'!$A180="","",'Current Char Stats'!$T180)</f>
        <v>0</v>
      </c>
      <c r="V311" s="18">
        <f ca="1">IF('Current Char Stats'!$A180="","",'Current Char Stats'!$U180)</f>
        <v>0</v>
      </c>
      <c r="W311" s="18">
        <f ca="1">IF('Current Char Stats'!$A180="","",'Current Char Stats'!$V180)</f>
        <v>0</v>
      </c>
      <c r="X311" s="18">
        <f ca="1">IF('Current Char Stats'!$A180="","",'Current Char Stats'!$W180)</f>
        <v>0</v>
      </c>
      <c r="Y311" s="18">
        <f ca="1">IF('Current Char Stats'!$A180="","",'Current Char Stats'!$X180)</f>
        <v>0</v>
      </c>
      <c r="Z311" s="18">
        <f ca="1">IF('Current Char Stats'!$A180="","",'Current Char Stats'!$Y180)</f>
        <v>0</v>
      </c>
      <c r="AA311" s="18">
        <f ca="1">IF('Current Char Stats'!$A180="","",'Current Char Stats'!$Z180)</f>
        <v>0</v>
      </c>
      <c r="AB311" s="18">
        <f ca="1">IF('Current Char Stats'!$A180="","",'Current Char Stats'!$AA180)</f>
        <v>0</v>
      </c>
      <c r="AC311" s="18">
        <f ca="1">IF('Current Char Stats'!$A180="","",'Current Char Stats'!$AB180)</f>
        <v>0</v>
      </c>
      <c r="AD311" s="18">
        <f ca="1">IF('Current Char Stats'!$A180="","",'Current Char Stats'!$AC180)</f>
        <v>0</v>
      </c>
      <c r="AE311" s="18" t="e">
        <f ca="1">IF('Current Char Stats'!$A180="","",'Current Char Stats'!$AD180)</f>
        <v>#VALUE!</v>
      </c>
      <c r="AF311" s="18">
        <f ca="1">IF('Current Char Stats'!$A180="","",'Current Char Stats'!$AE180)</f>
        <v>0</v>
      </c>
    </row>
    <row r="312" spans="1:32">
      <c r="A312" s="18">
        <f ca="1">IF('Current Char Stats'!$A181="","",Settings!$B$2)</f>
        <v>1</v>
      </c>
      <c r="B312" s="117" t="str">
        <f ca="1">IF('Current Char Stats'!$A181="","",'Current Char Stats'!$A181)</f>
        <v>Jason</v>
      </c>
      <c r="C312" s="18" t="str">
        <f ca="1">IF('Current Char Stats'!$A181="","",'Current Char Stats'!$B181)</f>
        <v>Peach</v>
      </c>
      <c r="D312" s="18" t="str">
        <f ca="1">IF('Current Char Stats'!$A181="","",'Current Char Stats'!$C181)</f>
        <v>G10</v>
      </c>
      <c r="E312" s="18">
        <f ca="1">IF('Current Char Stats'!$A181="","",'Current Char Stats'!$D181)</f>
        <v>2</v>
      </c>
      <c r="F312" s="18">
        <f ca="1">IF('Current Char Stats'!$A181="","",'Current Char Stats'!$E181)</f>
        <v>0</v>
      </c>
      <c r="G312" s="18">
        <f ca="1">IF('Current Char Stats'!$A181="","",'Current Char Stats'!$F181)</f>
        <v>0</v>
      </c>
      <c r="H312" s="18">
        <f ca="1">IF('Current Char Stats'!$A181="","",'Current Char Stats'!$G181)</f>
        <v>0</v>
      </c>
      <c r="I312" s="18">
        <f ca="1">IF('Current Char Stats'!$A181="","",'Current Char Stats'!$H181)</f>
        <v>0</v>
      </c>
      <c r="J312" s="18">
        <f ca="1">IF('Current Char Stats'!$A181="","",'Current Char Stats'!$I181)</f>
        <v>2</v>
      </c>
      <c r="K312" s="18">
        <f ca="1">IF('Current Char Stats'!$A181="","",'Current Char Stats'!$J181)</f>
        <v>0</v>
      </c>
      <c r="L312" s="18" t="e">
        <f ca="1">IF('Current Char Stats'!$A181="","",'Current Char Stats'!$K181)</f>
        <v>#VALUE!</v>
      </c>
      <c r="M312" s="18">
        <f ca="1">IF('Current Char Stats'!$A181="","",'Current Char Stats'!$L181)</f>
        <v>0</v>
      </c>
      <c r="N312" s="18">
        <f ca="1">IF('Current Char Stats'!$A181="","",'Current Char Stats'!$M181)</f>
        <v>0</v>
      </c>
      <c r="O312" s="18">
        <f ca="1">IF('Current Char Stats'!$A181="","",'Current Char Stats'!$N181)</f>
        <v>0</v>
      </c>
      <c r="P312" s="18">
        <f ca="1">IF('Current Char Stats'!$A181="","",'Current Char Stats'!$O181)</f>
        <v>0</v>
      </c>
      <c r="Q312" s="18">
        <f ca="1">IF('Current Char Stats'!$A181="","",'Current Char Stats'!$P181)</f>
        <v>0</v>
      </c>
      <c r="R312" s="18">
        <f ca="1">IF('Current Char Stats'!$A181="","",'Current Char Stats'!$Q181)</f>
        <v>0</v>
      </c>
      <c r="S312" s="18">
        <f ca="1">IF('Current Char Stats'!$A181="","",'Current Char Stats'!$R181)</f>
        <v>0</v>
      </c>
      <c r="T312" s="18">
        <f ca="1">IF('Current Char Stats'!$A181="","",'Current Char Stats'!$S181)</f>
        <v>0</v>
      </c>
      <c r="U312" s="18">
        <f ca="1">IF('Current Char Stats'!$A181="","",'Current Char Stats'!$T181)</f>
        <v>0</v>
      </c>
      <c r="V312" s="18">
        <f ca="1">IF('Current Char Stats'!$A181="","",'Current Char Stats'!$U181)</f>
        <v>0</v>
      </c>
      <c r="W312" s="18">
        <f ca="1">IF('Current Char Stats'!$A181="","",'Current Char Stats'!$V181)</f>
        <v>0</v>
      </c>
      <c r="X312" s="18">
        <f ca="1">IF('Current Char Stats'!$A181="","",'Current Char Stats'!$W181)</f>
        <v>0</v>
      </c>
      <c r="Y312" s="18">
        <f ca="1">IF('Current Char Stats'!$A181="","",'Current Char Stats'!$X181)</f>
        <v>0</v>
      </c>
      <c r="Z312" s="18">
        <f ca="1">IF('Current Char Stats'!$A181="","",'Current Char Stats'!$Y181)</f>
        <v>0</v>
      </c>
      <c r="AA312" s="18">
        <f ca="1">IF('Current Char Stats'!$A181="","",'Current Char Stats'!$Z181)</f>
        <v>0</v>
      </c>
      <c r="AB312" s="18" t="e">
        <f ca="1">IF('Current Char Stats'!$A181="","",'Current Char Stats'!$AA181)</f>
        <v>#VALUE!</v>
      </c>
      <c r="AC312" s="18">
        <f ca="1">IF('Current Char Stats'!$A181="","",'Current Char Stats'!$AB181)</f>
        <v>0</v>
      </c>
      <c r="AD312" s="18">
        <f ca="1">IF('Current Char Stats'!$A181="","",'Current Char Stats'!$AC181)</f>
        <v>0</v>
      </c>
      <c r="AE312" s="18" t="e">
        <f ca="1">IF('Current Char Stats'!$A181="","",'Current Char Stats'!$AD181)</f>
        <v>#VALUE!</v>
      </c>
      <c r="AF312" s="18">
        <f ca="1">IF('Current Char Stats'!$A181="","",'Current Char Stats'!$AE181)</f>
        <v>10</v>
      </c>
    </row>
    <row r="313" spans="1:32">
      <c r="A313" s="18">
        <f ca="1">IF('Current Char Stats'!$A182="","",Settings!$B$2)</f>
        <v>1</v>
      </c>
      <c r="B313" s="117" t="str">
        <f ca="1">IF('Current Char Stats'!$A182="","",'Current Char Stats'!$A182)</f>
        <v>Jason</v>
      </c>
      <c r="C313" s="18" t="str">
        <f ca="1">IF('Current Char Stats'!$A182="","",'Current Char Stats'!$B182)</f>
        <v>Baby Mario</v>
      </c>
      <c r="D313" s="18" t="str">
        <f ca="1">IF('Current Char Stats'!$A182="","",'Current Char Stats'!$C182)</f>
        <v>G10</v>
      </c>
      <c r="E313" s="18">
        <f ca="1">IF('Current Char Stats'!$A182="","",'Current Char Stats'!$D182)</f>
        <v>1</v>
      </c>
      <c r="F313" s="18">
        <f ca="1">IF('Current Char Stats'!$A182="","",'Current Char Stats'!$E182)</f>
        <v>1</v>
      </c>
      <c r="G313" s="18">
        <f ca="1">IF('Current Char Stats'!$A182="","",'Current Char Stats'!$F182)</f>
        <v>1</v>
      </c>
      <c r="H313" s="18">
        <f ca="1">IF('Current Char Stats'!$A182="","",'Current Char Stats'!$G182)</f>
        <v>0</v>
      </c>
      <c r="I313" s="18">
        <f ca="1">IF('Current Char Stats'!$A182="","",'Current Char Stats'!$H182)</f>
        <v>0</v>
      </c>
      <c r="J313" s="18">
        <f ca="1">IF('Current Char Stats'!$A182="","",'Current Char Stats'!$I182)</f>
        <v>0</v>
      </c>
      <c r="K313" s="18">
        <f ca="1">IF('Current Char Stats'!$A182="","",'Current Char Stats'!$J182)</f>
        <v>0</v>
      </c>
      <c r="L313" s="18" t="str">
        <f ca="1">IF('Current Char Stats'!$A182="","",'Current Char Stats'!$K182)</f>
        <v/>
      </c>
      <c r="M313" s="18">
        <f ca="1">IF('Current Char Stats'!$A182="","",'Current Char Stats'!$L182)</f>
        <v>0</v>
      </c>
      <c r="N313" s="18">
        <f ca="1">IF('Current Char Stats'!$A182="","",'Current Char Stats'!$M182)</f>
        <v>0</v>
      </c>
      <c r="O313" s="18">
        <f ca="1">IF('Current Char Stats'!$A182="","",'Current Char Stats'!$N182)</f>
        <v>1</v>
      </c>
      <c r="P313" s="18">
        <f ca="1">IF('Current Char Stats'!$A182="","",'Current Char Stats'!$O182)</f>
        <v>0</v>
      </c>
      <c r="Q313" s="18">
        <f ca="1">IF('Current Char Stats'!$A182="","",'Current Char Stats'!$P182)</f>
        <v>0</v>
      </c>
      <c r="R313" s="18">
        <f ca="1">IF('Current Char Stats'!$A182="","",'Current Char Stats'!$Q182)</f>
        <v>0</v>
      </c>
      <c r="S313" s="18">
        <f ca="1">IF('Current Char Stats'!$A182="","",'Current Char Stats'!$R182)</f>
        <v>0</v>
      </c>
      <c r="T313" s="18">
        <f ca="1">IF('Current Char Stats'!$A182="","",'Current Char Stats'!$S182)</f>
        <v>0</v>
      </c>
      <c r="U313" s="18">
        <f ca="1">IF('Current Char Stats'!$A182="","",'Current Char Stats'!$T182)</f>
        <v>0</v>
      </c>
      <c r="V313" s="18">
        <f ca="1">IF('Current Char Stats'!$A182="","",'Current Char Stats'!$U182)</f>
        <v>0</v>
      </c>
      <c r="W313" s="18">
        <f ca="1">IF('Current Char Stats'!$A182="","",'Current Char Stats'!$V182)</f>
        <v>0</v>
      </c>
      <c r="X313" s="18">
        <f ca="1">IF('Current Char Stats'!$A182="","",'Current Char Stats'!$W182)</f>
        <v>0</v>
      </c>
      <c r="Y313" s="18">
        <f ca="1">IF('Current Char Stats'!$A182="","",'Current Char Stats'!$X182)</f>
        <v>0</v>
      </c>
      <c r="Z313" s="18">
        <f ca="1">IF('Current Char Stats'!$A182="","",'Current Char Stats'!$Y182)</f>
        <v>0</v>
      </c>
      <c r="AA313" s="18">
        <f ca="1">IF('Current Char Stats'!$A182="","",'Current Char Stats'!$Z182)</f>
        <v>0</v>
      </c>
      <c r="AB313" s="18">
        <f ca="1">IF('Current Char Stats'!$A182="","",'Current Char Stats'!$AA182)</f>
        <v>0</v>
      </c>
      <c r="AC313" s="18">
        <f ca="1">IF('Current Char Stats'!$A182="","",'Current Char Stats'!$AB182)</f>
        <v>0</v>
      </c>
      <c r="AD313" s="18">
        <f ca="1">IF('Current Char Stats'!$A182="","",'Current Char Stats'!$AC182)</f>
        <v>0</v>
      </c>
      <c r="AE313" s="18" t="e">
        <f ca="1">IF('Current Char Stats'!$A182="","",'Current Char Stats'!$AD182)</f>
        <v>#VALUE!</v>
      </c>
      <c r="AF313" s="18">
        <f ca="1">IF('Current Char Stats'!$A182="","",'Current Char Stats'!$AE182)</f>
        <v>0</v>
      </c>
    </row>
    <row r="314" spans="1:32">
      <c r="A314" s="18">
        <f ca="1">IF('Current Char Stats'!$A183="","",Settings!$B$2)</f>
        <v>1</v>
      </c>
      <c r="B314" s="117" t="str">
        <f ca="1">IF('Current Char Stats'!$A183="","",'Current Char Stats'!$A183)</f>
        <v>Jason</v>
      </c>
      <c r="C314" s="18" t="str">
        <f ca="1">IF('Current Char Stats'!$A183="","",'Current Char Stats'!$B183)</f>
        <v>Baby Daisy</v>
      </c>
      <c r="D314" s="18" t="str">
        <f ca="1">IF('Current Char Stats'!$A183="","",'Current Char Stats'!$C183)</f>
        <v>G10</v>
      </c>
      <c r="E314" s="18">
        <f ca="1">IF('Current Char Stats'!$A183="","",'Current Char Stats'!$D183)</f>
        <v>1</v>
      </c>
      <c r="F314" s="18">
        <f ca="1">IF('Current Char Stats'!$A183="","",'Current Char Stats'!$E183)</f>
        <v>1</v>
      </c>
      <c r="G314" s="18">
        <f ca="1">IF('Current Char Stats'!$A183="","",'Current Char Stats'!$F183)</f>
        <v>1</v>
      </c>
      <c r="H314" s="18">
        <f ca="1">IF('Current Char Stats'!$A183="","",'Current Char Stats'!$G183)</f>
        <v>0</v>
      </c>
      <c r="I314" s="18">
        <f ca="1">IF('Current Char Stats'!$A183="","",'Current Char Stats'!$H183)</f>
        <v>0</v>
      </c>
      <c r="J314" s="18">
        <f ca="1">IF('Current Char Stats'!$A183="","",'Current Char Stats'!$I183)</f>
        <v>0</v>
      </c>
      <c r="K314" s="18">
        <f ca="1">IF('Current Char Stats'!$A183="","",'Current Char Stats'!$J183)</f>
        <v>0</v>
      </c>
      <c r="L314" s="18" t="str">
        <f ca="1">IF('Current Char Stats'!$A183="","",'Current Char Stats'!$K183)</f>
        <v/>
      </c>
      <c r="M314" s="18">
        <f ca="1">IF('Current Char Stats'!$A183="","",'Current Char Stats'!$L183)</f>
        <v>0</v>
      </c>
      <c r="N314" s="18">
        <f ca="1">IF('Current Char Stats'!$A183="","",'Current Char Stats'!$M183)</f>
        <v>0</v>
      </c>
      <c r="O314" s="18">
        <f ca="1">IF('Current Char Stats'!$A183="","",'Current Char Stats'!$N183)</f>
        <v>1</v>
      </c>
      <c r="P314" s="18">
        <f ca="1">IF('Current Char Stats'!$A183="","",'Current Char Stats'!$O183)</f>
        <v>0</v>
      </c>
      <c r="Q314" s="18">
        <f ca="1">IF('Current Char Stats'!$A183="","",'Current Char Stats'!$P183)</f>
        <v>0</v>
      </c>
      <c r="R314" s="18">
        <f ca="1">IF('Current Char Stats'!$A183="","",'Current Char Stats'!$Q183)</f>
        <v>0</v>
      </c>
      <c r="S314" s="18">
        <f ca="1">IF('Current Char Stats'!$A183="","",'Current Char Stats'!$R183)</f>
        <v>0</v>
      </c>
      <c r="T314" s="18">
        <f ca="1">IF('Current Char Stats'!$A183="","",'Current Char Stats'!$S183)</f>
        <v>0</v>
      </c>
      <c r="U314" s="18">
        <f ca="1">IF('Current Char Stats'!$A183="","",'Current Char Stats'!$T183)</f>
        <v>0</v>
      </c>
      <c r="V314" s="18">
        <f ca="1">IF('Current Char Stats'!$A183="","",'Current Char Stats'!$U183)</f>
        <v>0</v>
      </c>
      <c r="W314" s="18">
        <f ca="1">IF('Current Char Stats'!$A183="","",'Current Char Stats'!$V183)</f>
        <v>0</v>
      </c>
      <c r="X314" s="18">
        <f ca="1">IF('Current Char Stats'!$A183="","",'Current Char Stats'!$W183)</f>
        <v>0</v>
      </c>
      <c r="Y314" s="18">
        <f ca="1">IF('Current Char Stats'!$A183="","",'Current Char Stats'!$X183)</f>
        <v>0</v>
      </c>
      <c r="Z314" s="18">
        <f ca="1">IF('Current Char Stats'!$A183="","",'Current Char Stats'!$Y183)</f>
        <v>0</v>
      </c>
      <c r="AA314" s="18">
        <f ca="1">IF('Current Char Stats'!$A183="","",'Current Char Stats'!$Z183)</f>
        <v>0</v>
      </c>
      <c r="AB314" s="18">
        <f ca="1">IF('Current Char Stats'!$A183="","",'Current Char Stats'!$AA183)</f>
        <v>0</v>
      </c>
      <c r="AC314" s="18">
        <f ca="1">IF('Current Char Stats'!$A183="","",'Current Char Stats'!$AB183)</f>
        <v>0</v>
      </c>
      <c r="AD314" s="18">
        <f ca="1">IF('Current Char Stats'!$A183="","",'Current Char Stats'!$AC183)</f>
        <v>0</v>
      </c>
      <c r="AE314" s="18" t="e">
        <f ca="1">IF('Current Char Stats'!$A183="","",'Current Char Stats'!$AD183)</f>
        <v>#VALUE!</v>
      </c>
      <c r="AF314" s="18">
        <f ca="1">IF('Current Char Stats'!$A183="","",'Current Char Stats'!$AE183)</f>
        <v>0</v>
      </c>
    </row>
    <row r="315" spans="1:32">
      <c r="A315" s="18" t="str">
        <f ca="1">IF('Current Char Stats'!$A184="","",Settings!$B$2)</f>
        <v/>
      </c>
      <c r="B315" s="117" t="str">
        <f ca="1">IF('Current Char Stats'!$A184="","",'Current Char Stats'!$A184)</f>
        <v/>
      </c>
      <c r="C315" s="18" t="str">
        <f ca="1">IF('Current Char Stats'!$A184="","",'Current Char Stats'!$B184)</f>
        <v/>
      </c>
      <c r="D315" s="18" t="str">
        <f ca="1">IF('Current Char Stats'!$A184="","",'Current Char Stats'!$C184)</f>
        <v/>
      </c>
      <c r="E315" s="18" t="str">
        <f ca="1">IF('Current Char Stats'!$A184="","",'Current Char Stats'!$D184)</f>
        <v/>
      </c>
      <c r="F315" s="18" t="str">
        <f ca="1">IF('Current Char Stats'!$A184="","",'Current Char Stats'!$E184)</f>
        <v/>
      </c>
      <c r="G315" s="18" t="str">
        <f ca="1">IF('Current Char Stats'!$A184="","",'Current Char Stats'!$F184)</f>
        <v/>
      </c>
      <c r="H315" s="18" t="str">
        <f ca="1">IF('Current Char Stats'!$A184="","",'Current Char Stats'!$G184)</f>
        <v/>
      </c>
      <c r="I315" s="18" t="str">
        <f ca="1">IF('Current Char Stats'!$A184="","",'Current Char Stats'!$H184)</f>
        <v/>
      </c>
      <c r="J315" s="18" t="str">
        <f ca="1">IF('Current Char Stats'!$A184="","",'Current Char Stats'!$I184)</f>
        <v/>
      </c>
      <c r="K315" s="18" t="str">
        <f ca="1">IF('Current Char Stats'!$A184="","",'Current Char Stats'!$J184)</f>
        <v/>
      </c>
      <c r="L315" s="18" t="str">
        <f ca="1">IF('Current Char Stats'!$A184="","",'Current Char Stats'!$K184)</f>
        <v/>
      </c>
      <c r="M315" s="18" t="str">
        <f ca="1">IF('Current Char Stats'!$A184="","",'Current Char Stats'!$L184)</f>
        <v/>
      </c>
      <c r="N315" s="18" t="str">
        <f ca="1">IF('Current Char Stats'!$A184="","",'Current Char Stats'!$M184)</f>
        <v/>
      </c>
      <c r="O315" s="18" t="str">
        <f ca="1">IF('Current Char Stats'!$A184="","",'Current Char Stats'!$N184)</f>
        <v/>
      </c>
      <c r="P315" s="18" t="str">
        <f ca="1">IF('Current Char Stats'!$A184="","",'Current Char Stats'!$O184)</f>
        <v/>
      </c>
      <c r="Q315" s="18" t="str">
        <f ca="1">IF('Current Char Stats'!$A184="","",'Current Char Stats'!$P184)</f>
        <v/>
      </c>
      <c r="R315" s="18" t="str">
        <f ca="1">IF('Current Char Stats'!$A184="","",'Current Char Stats'!$Q184)</f>
        <v/>
      </c>
      <c r="S315" s="18" t="str">
        <f ca="1">IF('Current Char Stats'!$A184="","",'Current Char Stats'!$R184)</f>
        <v/>
      </c>
      <c r="T315" s="18" t="str">
        <f ca="1">IF('Current Char Stats'!$A184="","",'Current Char Stats'!$S184)</f>
        <v/>
      </c>
      <c r="U315" s="18" t="str">
        <f ca="1">IF('Current Char Stats'!$A184="","",'Current Char Stats'!$T184)</f>
        <v/>
      </c>
      <c r="V315" s="18" t="str">
        <f ca="1">IF('Current Char Stats'!$A184="","",'Current Char Stats'!$U184)</f>
        <v/>
      </c>
      <c r="W315" s="18" t="str">
        <f ca="1">IF('Current Char Stats'!$A184="","",'Current Char Stats'!$V184)</f>
        <v/>
      </c>
      <c r="X315" s="18" t="str">
        <f ca="1">IF('Current Char Stats'!$A184="","",'Current Char Stats'!$W184)</f>
        <v/>
      </c>
      <c r="Y315" s="18" t="str">
        <f ca="1">IF('Current Char Stats'!$A184="","",'Current Char Stats'!$X184)</f>
        <v/>
      </c>
      <c r="Z315" s="18" t="str">
        <f ca="1">IF('Current Char Stats'!$A184="","",'Current Char Stats'!$Y184)</f>
        <v/>
      </c>
      <c r="AA315" s="18" t="str">
        <f ca="1">IF('Current Char Stats'!$A184="","",'Current Char Stats'!$Z184)</f>
        <v/>
      </c>
      <c r="AB315" s="18" t="str">
        <f ca="1">IF('Current Char Stats'!$A184="","",'Current Char Stats'!$AA184)</f>
        <v/>
      </c>
      <c r="AC315" s="18" t="str">
        <f ca="1">IF('Current Char Stats'!$A184="","",'Current Char Stats'!$AB184)</f>
        <v/>
      </c>
      <c r="AD315" s="18" t="str">
        <f ca="1">IF('Current Char Stats'!$A184="","",'Current Char Stats'!$AC184)</f>
        <v/>
      </c>
      <c r="AE315" s="18" t="str">
        <f ca="1">IF('Current Char Stats'!$A184="","",'Current Char Stats'!$AD184)</f>
        <v/>
      </c>
      <c r="AF315" s="18" t="str">
        <f ca="1">IF('Current Char Stats'!$A184="","",'Current Char Stats'!$AE184)</f>
        <v/>
      </c>
    </row>
    <row r="316" spans="1:32">
      <c r="A316" s="18" t="str">
        <f ca="1">IF('Current Char Stats'!$A185="","",Settings!$B$2)</f>
        <v/>
      </c>
      <c r="B316" s="117" t="str">
        <f ca="1">IF('Current Char Stats'!$A185="","",'Current Char Stats'!$A185)</f>
        <v/>
      </c>
      <c r="C316" s="18" t="str">
        <f ca="1">IF('Current Char Stats'!$A185="","",'Current Char Stats'!$B185)</f>
        <v/>
      </c>
      <c r="D316" s="18" t="str">
        <f ca="1">IF('Current Char Stats'!$A185="","",'Current Char Stats'!$C185)</f>
        <v/>
      </c>
      <c r="E316" s="18" t="str">
        <f ca="1">IF('Current Char Stats'!$A185="","",'Current Char Stats'!$D185)</f>
        <v/>
      </c>
      <c r="F316" s="18" t="str">
        <f ca="1">IF('Current Char Stats'!$A185="","",'Current Char Stats'!$E185)</f>
        <v/>
      </c>
      <c r="G316" s="18" t="str">
        <f ca="1">IF('Current Char Stats'!$A185="","",'Current Char Stats'!$F185)</f>
        <v/>
      </c>
      <c r="H316" s="18" t="str">
        <f ca="1">IF('Current Char Stats'!$A185="","",'Current Char Stats'!$G185)</f>
        <v/>
      </c>
      <c r="I316" s="18" t="str">
        <f ca="1">IF('Current Char Stats'!$A185="","",'Current Char Stats'!$H185)</f>
        <v/>
      </c>
      <c r="J316" s="18" t="str">
        <f ca="1">IF('Current Char Stats'!$A185="","",'Current Char Stats'!$I185)</f>
        <v/>
      </c>
      <c r="K316" s="18" t="str">
        <f ca="1">IF('Current Char Stats'!$A185="","",'Current Char Stats'!$J185)</f>
        <v/>
      </c>
      <c r="L316" s="18" t="str">
        <f ca="1">IF('Current Char Stats'!$A185="","",'Current Char Stats'!$K185)</f>
        <v/>
      </c>
      <c r="M316" s="18" t="str">
        <f ca="1">IF('Current Char Stats'!$A185="","",'Current Char Stats'!$L185)</f>
        <v/>
      </c>
      <c r="N316" s="18" t="str">
        <f ca="1">IF('Current Char Stats'!$A185="","",'Current Char Stats'!$M185)</f>
        <v/>
      </c>
      <c r="O316" s="18" t="str">
        <f ca="1">IF('Current Char Stats'!$A185="","",'Current Char Stats'!$N185)</f>
        <v/>
      </c>
      <c r="P316" s="18" t="str">
        <f ca="1">IF('Current Char Stats'!$A185="","",'Current Char Stats'!$O185)</f>
        <v/>
      </c>
      <c r="Q316" s="18" t="str">
        <f ca="1">IF('Current Char Stats'!$A185="","",'Current Char Stats'!$P185)</f>
        <v/>
      </c>
      <c r="R316" s="18" t="str">
        <f ca="1">IF('Current Char Stats'!$A185="","",'Current Char Stats'!$Q185)</f>
        <v/>
      </c>
      <c r="S316" s="18" t="str">
        <f ca="1">IF('Current Char Stats'!$A185="","",'Current Char Stats'!$R185)</f>
        <v/>
      </c>
      <c r="T316" s="18" t="str">
        <f ca="1">IF('Current Char Stats'!$A185="","",'Current Char Stats'!$S185)</f>
        <v/>
      </c>
      <c r="U316" s="18" t="str">
        <f ca="1">IF('Current Char Stats'!$A185="","",'Current Char Stats'!$T185)</f>
        <v/>
      </c>
      <c r="V316" s="18" t="str">
        <f ca="1">IF('Current Char Stats'!$A185="","",'Current Char Stats'!$U185)</f>
        <v/>
      </c>
      <c r="W316" s="18" t="str">
        <f ca="1">IF('Current Char Stats'!$A185="","",'Current Char Stats'!$V185)</f>
        <v/>
      </c>
      <c r="X316" s="18" t="str">
        <f ca="1">IF('Current Char Stats'!$A185="","",'Current Char Stats'!$W185)</f>
        <v/>
      </c>
      <c r="Y316" s="18" t="str">
        <f ca="1">IF('Current Char Stats'!$A185="","",'Current Char Stats'!$X185)</f>
        <v/>
      </c>
      <c r="Z316" s="18" t="str">
        <f ca="1">IF('Current Char Stats'!$A185="","",'Current Char Stats'!$Y185)</f>
        <v/>
      </c>
      <c r="AA316" s="18" t="str">
        <f ca="1">IF('Current Char Stats'!$A185="","",'Current Char Stats'!$Z185)</f>
        <v/>
      </c>
      <c r="AB316" s="18" t="str">
        <f ca="1">IF('Current Char Stats'!$A185="","",'Current Char Stats'!$AA185)</f>
        <v/>
      </c>
      <c r="AC316" s="18" t="str">
        <f ca="1">IF('Current Char Stats'!$A185="","",'Current Char Stats'!$AB185)</f>
        <v/>
      </c>
      <c r="AD316" s="18" t="str">
        <f ca="1">IF('Current Char Stats'!$A185="","",'Current Char Stats'!$AC185)</f>
        <v/>
      </c>
      <c r="AE316" s="18" t="str">
        <f ca="1">IF('Current Char Stats'!$A185="","",'Current Char Stats'!$AD185)</f>
        <v/>
      </c>
      <c r="AF316" s="18" t="str">
        <f ca="1">IF('Current Char Stats'!$A185="","",'Current Char Stats'!$AE185)</f>
        <v/>
      </c>
    </row>
    <row r="317" spans="1:32">
      <c r="A317" s="18" t="str">
        <f ca="1">IF('Current Char Stats'!$A186="","",Settings!$B$2)</f>
        <v/>
      </c>
      <c r="B317" s="117" t="str">
        <f ca="1">IF('Current Char Stats'!$A186="","",'Current Char Stats'!$A186)</f>
        <v/>
      </c>
      <c r="C317" s="18" t="str">
        <f ca="1">IF('Current Char Stats'!$A186="","",'Current Char Stats'!$B186)</f>
        <v/>
      </c>
      <c r="D317" s="18" t="str">
        <f ca="1">IF('Current Char Stats'!$A186="","",'Current Char Stats'!$C186)</f>
        <v/>
      </c>
      <c r="E317" s="18" t="str">
        <f ca="1">IF('Current Char Stats'!$A186="","",'Current Char Stats'!$D186)</f>
        <v/>
      </c>
      <c r="F317" s="18" t="str">
        <f ca="1">IF('Current Char Stats'!$A186="","",'Current Char Stats'!$E186)</f>
        <v/>
      </c>
      <c r="G317" s="18" t="str">
        <f ca="1">IF('Current Char Stats'!$A186="","",'Current Char Stats'!$F186)</f>
        <v/>
      </c>
      <c r="H317" s="18" t="str">
        <f ca="1">IF('Current Char Stats'!$A186="","",'Current Char Stats'!$G186)</f>
        <v/>
      </c>
      <c r="I317" s="18" t="str">
        <f ca="1">IF('Current Char Stats'!$A186="","",'Current Char Stats'!$H186)</f>
        <v/>
      </c>
      <c r="J317" s="18" t="str">
        <f ca="1">IF('Current Char Stats'!$A186="","",'Current Char Stats'!$I186)</f>
        <v/>
      </c>
      <c r="K317" s="18" t="str">
        <f ca="1">IF('Current Char Stats'!$A186="","",'Current Char Stats'!$J186)</f>
        <v/>
      </c>
      <c r="L317" s="18" t="str">
        <f ca="1">IF('Current Char Stats'!$A186="","",'Current Char Stats'!$K186)</f>
        <v/>
      </c>
      <c r="M317" s="18" t="str">
        <f ca="1">IF('Current Char Stats'!$A186="","",'Current Char Stats'!$L186)</f>
        <v/>
      </c>
      <c r="N317" s="18" t="str">
        <f ca="1">IF('Current Char Stats'!$A186="","",'Current Char Stats'!$M186)</f>
        <v/>
      </c>
      <c r="O317" s="18" t="str">
        <f ca="1">IF('Current Char Stats'!$A186="","",'Current Char Stats'!$N186)</f>
        <v/>
      </c>
      <c r="P317" s="18" t="str">
        <f ca="1">IF('Current Char Stats'!$A186="","",'Current Char Stats'!$O186)</f>
        <v/>
      </c>
      <c r="Q317" s="18" t="str">
        <f ca="1">IF('Current Char Stats'!$A186="","",'Current Char Stats'!$P186)</f>
        <v/>
      </c>
      <c r="R317" s="18" t="str">
        <f ca="1">IF('Current Char Stats'!$A186="","",'Current Char Stats'!$Q186)</f>
        <v/>
      </c>
      <c r="S317" s="18" t="str">
        <f ca="1">IF('Current Char Stats'!$A186="","",'Current Char Stats'!$R186)</f>
        <v/>
      </c>
      <c r="T317" s="18" t="str">
        <f ca="1">IF('Current Char Stats'!$A186="","",'Current Char Stats'!$S186)</f>
        <v/>
      </c>
      <c r="U317" s="18" t="str">
        <f ca="1">IF('Current Char Stats'!$A186="","",'Current Char Stats'!$T186)</f>
        <v/>
      </c>
      <c r="V317" s="18" t="str">
        <f ca="1">IF('Current Char Stats'!$A186="","",'Current Char Stats'!$U186)</f>
        <v/>
      </c>
      <c r="W317" s="18" t="str">
        <f ca="1">IF('Current Char Stats'!$A186="","",'Current Char Stats'!$V186)</f>
        <v/>
      </c>
      <c r="X317" s="18" t="str">
        <f ca="1">IF('Current Char Stats'!$A186="","",'Current Char Stats'!$W186)</f>
        <v/>
      </c>
      <c r="Y317" s="18" t="str">
        <f ca="1">IF('Current Char Stats'!$A186="","",'Current Char Stats'!$X186)</f>
        <v/>
      </c>
      <c r="Z317" s="18" t="str">
        <f ca="1">IF('Current Char Stats'!$A186="","",'Current Char Stats'!$Y186)</f>
        <v/>
      </c>
      <c r="AA317" s="18" t="str">
        <f ca="1">IF('Current Char Stats'!$A186="","",'Current Char Stats'!$Z186)</f>
        <v/>
      </c>
      <c r="AB317" s="18" t="str">
        <f ca="1">IF('Current Char Stats'!$A186="","",'Current Char Stats'!$AA186)</f>
        <v/>
      </c>
      <c r="AC317" s="18" t="str">
        <f ca="1">IF('Current Char Stats'!$A186="","",'Current Char Stats'!$AB186)</f>
        <v/>
      </c>
      <c r="AD317" s="18" t="str">
        <f ca="1">IF('Current Char Stats'!$A186="","",'Current Char Stats'!$AC186)</f>
        <v/>
      </c>
      <c r="AE317" s="18" t="str">
        <f ca="1">IF('Current Char Stats'!$A186="","",'Current Char Stats'!$AD186)</f>
        <v/>
      </c>
      <c r="AF317" s="18" t="str">
        <f ca="1">IF('Current Char Stats'!$A186="","",'Current Char Stats'!$AE186)</f>
        <v/>
      </c>
    </row>
    <row r="318" spans="1:32">
      <c r="A318" s="18" t="str">
        <f ca="1">IF('Current Char Stats'!$A187="","",Settings!$B$2)</f>
        <v/>
      </c>
      <c r="B318" s="117" t="str">
        <f ca="1">IF('Current Char Stats'!$A187="","",'Current Char Stats'!$A187)</f>
        <v/>
      </c>
      <c r="C318" s="18" t="str">
        <f ca="1">IF('Current Char Stats'!$A187="","",'Current Char Stats'!$B187)</f>
        <v/>
      </c>
      <c r="D318" s="18" t="str">
        <f ca="1">IF('Current Char Stats'!$A187="","",'Current Char Stats'!$C187)</f>
        <v/>
      </c>
      <c r="E318" s="18" t="str">
        <f ca="1">IF('Current Char Stats'!$A187="","",'Current Char Stats'!$D187)</f>
        <v/>
      </c>
      <c r="F318" s="18" t="str">
        <f ca="1">IF('Current Char Stats'!$A187="","",'Current Char Stats'!$E187)</f>
        <v/>
      </c>
      <c r="G318" s="18" t="str">
        <f ca="1">IF('Current Char Stats'!$A187="","",'Current Char Stats'!$F187)</f>
        <v/>
      </c>
      <c r="H318" s="18" t="str">
        <f ca="1">IF('Current Char Stats'!$A187="","",'Current Char Stats'!$G187)</f>
        <v/>
      </c>
      <c r="I318" s="18" t="str">
        <f ca="1">IF('Current Char Stats'!$A187="","",'Current Char Stats'!$H187)</f>
        <v/>
      </c>
      <c r="J318" s="18" t="str">
        <f ca="1">IF('Current Char Stats'!$A187="","",'Current Char Stats'!$I187)</f>
        <v/>
      </c>
      <c r="K318" s="18" t="str">
        <f ca="1">IF('Current Char Stats'!$A187="","",'Current Char Stats'!$J187)</f>
        <v/>
      </c>
      <c r="L318" s="18" t="str">
        <f ca="1">IF('Current Char Stats'!$A187="","",'Current Char Stats'!$K187)</f>
        <v/>
      </c>
      <c r="M318" s="18" t="str">
        <f ca="1">IF('Current Char Stats'!$A187="","",'Current Char Stats'!$L187)</f>
        <v/>
      </c>
      <c r="N318" s="18" t="str">
        <f ca="1">IF('Current Char Stats'!$A187="","",'Current Char Stats'!$M187)</f>
        <v/>
      </c>
      <c r="O318" s="18" t="str">
        <f ca="1">IF('Current Char Stats'!$A187="","",'Current Char Stats'!$N187)</f>
        <v/>
      </c>
      <c r="P318" s="18" t="str">
        <f ca="1">IF('Current Char Stats'!$A187="","",'Current Char Stats'!$O187)</f>
        <v/>
      </c>
      <c r="Q318" s="18" t="str">
        <f ca="1">IF('Current Char Stats'!$A187="","",'Current Char Stats'!$P187)</f>
        <v/>
      </c>
      <c r="R318" s="18" t="str">
        <f ca="1">IF('Current Char Stats'!$A187="","",'Current Char Stats'!$Q187)</f>
        <v/>
      </c>
      <c r="S318" s="18" t="str">
        <f ca="1">IF('Current Char Stats'!$A187="","",'Current Char Stats'!$R187)</f>
        <v/>
      </c>
      <c r="T318" s="18" t="str">
        <f ca="1">IF('Current Char Stats'!$A187="","",'Current Char Stats'!$S187)</f>
        <v/>
      </c>
      <c r="U318" s="18" t="str">
        <f ca="1">IF('Current Char Stats'!$A187="","",'Current Char Stats'!$T187)</f>
        <v/>
      </c>
      <c r="V318" s="18" t="str">
        <f ca="1">IF('Current Char Stats'!$A187="","",'Current Char Stats'!$U187)</f>
        <v/>
      </c>
      <c r="W318" s="18" t="str">
        <f ca="1">IF('Current Char Stats'!$A187="","",'Current Char Stats'!$V187)</f>
        <v/>
      </c>
      <c r="X318" s="18" t="str">
        <f ca="1">IF('Current Char Stats'!$A187="","",'Current Char Stats'!$W187)</f>
        <v/>
      </c>
      <c r="Y318" s="18" t="str">
        <f ca="1">IF('Current Char Stats'!$A187="","",'Current Char Stats'!$X187)</f>
        <v/>
      </c>
      <c r="Z318" s="18" t="str">
        <f ca="1">IF('Current Char Stats'!$A187="","",'Current Char Stats'!$Y187)</f>
        <v/>
      </c>
      <c r="AA318" s="18" t="str">
        <f ca="1">IF('Current Char Stats'!$A187="","",'Current Char Stats'!$Z187)</f>
        <v/>
      </c>
      <c r="AB318" s="18" t="str">
        <f ca="1">IF('Current Char Stats'!$A187="","",'Current Char Stats'!$AA187)</f>
        <v/>
      </c>
      <c r="AC318" s="18" t="str">
        <f ca="1">IF('Current Char Stats'!$A187="","",'Current Char Stats'!$AB187)</f>
        <v/>
      </c>
      <c r="AD318" s="18" t="str">
        <f ca="1">IF('Current Char Stats'!$A187="","",'Current Char Stats'!$AC187)</f>
        <v/>
      </c>
      <c r="AE318" s="18" t="str">
        <f ca="1">IF('Current Char Stats'!$A187="","",'Current Char Stats'!$AD187)</f>
        <v/>
      </c>
      <c r="AF318" s="18" t="str">
        <f ca="1">IF('Current Char Stats'!$A187="","",'Current Char Stats'!$AE187)</f>
        <v/>
      </c>
    </row>
    <row r="319" spans="1:32">
      <c r="A319" s="18" t="str">
        <f ca="1">IF('Current Char Stats'!$A188="","",Settings!$B$2)</f>
        <v/>
      </c>
      <c r="B319" s="117" t="str">
        <f ca="1">IF('Current Char Stats'!$A188="","",'Current Char Stats'!$A188)</f>
        <v/>
      </c>
      <c r="C319" s="18" t="str">
        <f ca="1">IF('Current Char Stats'!$A188="","",'Current Char Stats'!$B188)</f>
        <v/>
      </c>
      <c r="D319" s="18" t="str">
        <f ca="1">IF('Current Char Stats'!$A188="","",'Current Char Stats'!$C188)</f>
        <v/>
      </c>
      <c r="E319" s="18" t="str">
        <f ca="1">IF('Current Char Stats'!$A188="","",'Current Char Stats'!$D188)</f>
        <v/>
      </c>
      <c r="F319" s="18" t="str">
        <f ca="1">IF('Current Char Stats'!$A188="","",'Current Char Stats'!$E188)</f>
        <v/>
      </c>
      <c r="G319" s="18" t="str">
        <f ca="1">IF('Current Char Stats'!$A188="","",'Current Char Stats'!$F188)</f>
        <v/>
      </c>
      <c r="H319" s="18" t="str">
        <f ca="1">IF('Current Char Stats'!$A188="","",'Current Char Stats'!$G188)</f>
        <v/>
      </c>
      <c r="I319" s="18" t="str">
        <f ca="1">IF('Current Char Stats'!$A188="","",'Current Char Stats'!$H188)</f>
        <v/>
      </c>
      <c r="J319" s="18" t="str">
        <f ca="1">IF('Current Char Stats'!$A188="","",'Current Char Stats'!$I188)</f>
        <v/>
      </c>
      <c r="K319" s="18" t="str">
        <f ca="1">IF('Current Char Stats'!$A188="","",'Current Char Stats'!$J188)</f>
        <v/>
      </c>
      <c r="L319" s="18" t="str">
        <f ca="1">IF('Current Char Stats'!$A188="","",'Current Char Stats'!$K188)</f>
        <v/>
      </c>
      <c r="M319" s="18" t="str">
        <f ca="1">IF('Current Char Stats'!$A188="","",'Current Char Stats'!$L188)</f>
        <v/>
      </c>
      <c r="N319" s="18" t="str">
        <f ca="1">IF('Current Char Stats'!$A188="","",'Current Char Stats'!$M188)</f>
        <v/>
      </c>
      <c r="O319" s="18" t="str">
        <f ca="1">IF('Current Char Stats'!$A188="","",'Current Char Stats'!$N188)</f>
        <v/>
      </c>
      <c r="P319" s="18" t="str">
        <f ca="1">IF('Current Char Stats'!$A188="","",'Current Char Stats'!$O188)</f>
        <v/>
      </c>
      <c r="Q319" s="18" t="str">
        <f ca="1">IF('Current Char Stats'!$A188="","",'Current Char Stats'!$P188)</f>
        <v/>
      </c>
      <c r="R319" s="18" t="str">
        <f ca="1">IF('Current Char Stats'!$A188="","",'Current Char Stats'!$Q188)</f>
        <v/>
      </c>
      <c r="S319" s="18" t="str">
        <f ca="1">IF('Current Char Stats'!$A188="","",'Current Char Stats'!$R188)</f>
        <v/>
      </c>
      <c r="T319" s="18" t="str">
        <f ca="1">IF('Current Char Stats'!$A188="","",'Current Char Stats'!$S188)</f>
        <v/>
      </c>
      <c r="U319" s="18" t="str">
        <f ca="1">IF('Current Char Stats'!$A188="","",'Current Char Stats'!$T188)</f>
        <v/>
      </c>
      <c r="V319" s="18" t="str">
        <f ca="1">IF('Current Char Stats'!$A188="","",'Current Char Stats'!$U188)</f>
        <v/>
      </c>
      <c r="W319" s="18" t="str">
        <f ca="1">IF('Current Char Stats'!$A188="","",'Current Char Stats'!$V188)</f>
        <v/>
      </c>
      <c r="X319" s="18" t="str">
        <f ca="1">IF('Current Char Stats'!$A188="","",'Current Char Stats'!$W188)</f>
        <v/>
      </c>
      <c r="Y319" s="18" t="str">
        <f ca="1">IF('Current Char Stats'!$A188="","",'Current Char Stats'!$X188)</f>
        <v/>
      </c>
      <c r="Z319" s="18" t="str">
        <f ca="1">IF('Current Char Stats'!$A188="","",'Current Char Stats'!$Y188)</f>
        <v/>
      </c>
      <c r="AA319" s="18" t="str">
        <f ca="1">IF('Current Char Stats'!$A188="","",'Current Char Stats'!$Z188)</f>
        <v/>
      </c>
      <c r="AB319" s="18" t="str">
        <f ca="1">IF('Current Char Stats'!$A188="","",'Current Char Stats'!$AA188)</f>
        <v/>
      </c>
      <c r="AC319" s="18" t="str">
        <f ca="1">IF('Current Char Stats'!$A188="","",'Current Char Stats'!$AB188)</f>
        <v/>
      </c>
      <c r="AD319" s="18" t="str">
        <f ca="1">IF('Current Char Stats'!$A188="","",'Current Char Stats'!$AC188)</f>
        <v/>
      </c>
      <c r="AE319" s="18" t="str">
        <f ca="1">IF('Current Char Stats'!$A188="","",'Current Char Stats'!$AD188)</f>
        <v/>
      </c>
      <c r="AF319" s="18" t="str">
        <f ca="1">IF('Current Char Stats'!$A188="","",'Current Char Stats'!$AE188)</f>
        <v/>
      </c>
    </row>
    <row r="320" spans="1:32">
      <c r="A320" s="18" t="str">
        <f ca="1">IF('Current Char Stats'!$A189="","",Settings!$B$2)</f>
        <v/>
      </c>
      <c r="B320" s="117" t="str">
        <f ca="1">IF('Current Char Stats'!$A189="","",'Current Char Stats'!$A189)</f>
        <v/>
      </c>
      <c r="C320" s="18" t="str">
        <f ca="1">IF('Current Char Stats'!$A189="","",'Current Char Stats'!$B189)</f>
        <v/>
      </c>
      <c r="D320" s="18" t="str">
        <f ca="1">IF('Current Char Stats'!$A189="","",'Current Char Stats'!$C189)</f>
        <v/>
      </c>
      <c r="E320" s="18" t="str">
        <f ca="1">IF('Current Char Stats'!$A189="","",'Current Char Stats'!$D189)</f>
        <v/>
      </c>
      <c r="F320" s="18" t="str">
        <f ca="1">IF('Current Char Stats'!$A189="","",'Current Char Stats'!$E189)</f>
        <v/>
      </c>
      <c r="G320" s="18" t="str">
        <f ca="1">IF('Current Char Stats'!$A189="","",'Current Char Stats'!$F189)</f>
        <v/>
      </c>
      <c r="H320" s="18" t="str">
        <f ca="1">IF('Current Char Stats'!$A189="","",'Current Char Stats'!$G189)</f>
        <v/>
      </c>
      <c r="I320" s="18" t="str">
        <f ca="1">IF('Current Char Stats'!$A189="","",'Current Char Stats'!$H189)</f>
        <v/>
      </c>
      <c r="J320" s="18" t="str">
        <f ca="1">IF('Current Char Stats'!$A189="","",'Current Char Stats'!$I189)</f>
        <v/>
      </c>
      <c r="K320" s="18" t="str">
        <f ca="1">IF('Current Char Stats'!$A189="","",'Current Char Stats'!$J189)</f>
        <v/>
      </c>
      <c r="L320" s="18" t="str">
        <f ca="1">IF('Current Char Stats'!$A189="","",'Current Char Stats'!$K189)</f>
        <v/>
      </c>
      <c r="M320" s="18" t="str">
        <f ca="1">IF('Current Char Stats'!$A189="","",'Current Char Stats'!$L189)</f>
        <v/>
      </c>
      <c r="N320" s="18" t="str">
        <f ca="1">IF('Current Char Stats'!$A189="","",'Current Char Stats'!$M189)</f>
        <v/>
      </c>
      <c r="O320" s="18" t="str">
        <f ca="1">IF('Current Char Stats'!$A189="","",'Current Char Stats'!$N189)</f>
        <v/>
      </c>
      <c r="P320" s="18" t="str">
        <f ca="1">IF('Current Char Stats'!$A189="","",'Current Char Stats'!$O189)</f>
        <v/>
      </c>
      <c r="Q320" s="18" t="str">
        <f ca="1">IF('Current Char Stats'!$A189="","",'Current Char Stats'!$P189)</f>
        <v/>
      </c>
      <c r="R320" s="18" t="str">
        <f ca="1">IF('Current Char Stats'!$A189="","",'Current Char Stats'!$Q189)</f>
        <v/>
      </c>
      <c r="S320" s="18" t="str">
        <f ca="1">IF('Current Char Stats'!$A189="","",'Current Char Stats'!$R189)</f>
        <v/>
      </c>
      <c r="T320" s="18" t="str">
        <f ca="1">IF('Current Char Stats'!$A189="","",'Current Char Stats'!$S189)</f>
        <v/>
      </c>
      <c r="U320" s="18" t="str">
        <f ca="1">IF('Current Char Stats'!$A189="","",'Current Char Stats'!$T189)</f>
        <v/>
      </c>
      <c r="V320" s="18" t="str">
        <f ca="1">IF('Current Char Stats'!$A189="","",'Current Char Stats'!$U189)</f>
        <v/>
      </c>
      <c r="W320" s="18" t="str">
        <f ca="1">IF('Current Char Stats'!$A189="","",'Current Char Stats'!$V189)</f>
        <v/>
      </c>
      <c r="X320" s="18" t="str">
        <f ca="1">IF('Current Char Stats'!$A189="","",'Current Char Stats'!$W189)</f>
        <v/>
      </c>
      <c r="Y320" s="18" t="str">
        <f ca="1">IF('Current Char Stats'!$A189="","",'Current Char Stats'!$X189)</f>
        <v/>
      </c>
      <c r="Z320" s="18" t="str">
        <f ca="1">IF('Current Char Stats'!$A189="","",'Current Char Stats'!$Y189)</f>
        <v/>
      </c>
      <c r="AA320" s="18" t="str">
        <f ca="1">IF('Current Char Stats'!$A189="","",'Current Char Stats'!$Z189)</f>
        <v/>
      </c>
      <c r="AB320" s="18" t="str">
        <f ca="1">IF('Current Char Stats'!$A189="","",'Current Char Stats'!$AA189)</f>
        <v/>
      </c>
      <c r="AC320" s="18" t="str">
        <f ca="1">IF('Current Char Stats'!$A189="","",'Current Char Stats'!$AB189)</f>
        <v/>
      </c>
      <c r="AD320" s="18" t="str">
        <f ca="1">IF('Current Char Stats'!$A189="","",'Current Char Stats'!$AC189)</f>
        <v/>
      </c>
      <c r="AE320" s="18" t="str">
        <f ca="1">IF('Current Char Stats'!$A189="","",'Current Char Stats'!$AD189)</f>
        <v/>
      </c>
      <c r="AF320" s="18" t="str">
        <f ca="1">IF('Current Char Stats'!$A189="","",'Current Char Stats'!$AE189)</f>
        <v/>
      </c>
    </row>
    <row r="321" spans="1:32">
      <c r="A321" s="18" t="str">
        <f ca="1">IF('Current Char Stats'!$A190="","",Settings!$B$2)</f>
        <v/>
      </c>
      <c r="B321" s="117" t="str">
        <f ca="1">IF('Current Char Stats'!$A190="","",'Current Char Stats'!$A190)</f>
        <v/>
      </c>
      <c r="C321" s="18" t="str">
        <f ca="1">IF('Current Char Stats'!$A190="","",'Current Char Stats'!$B190)</f>
        <v/>
      </c>
      <c r="D321" s="18" t="str">
        <f ca="1">IF('Current Char Stats'!$A190="","",'Current Char Stats'!$C190)</f>
        <v/>
      </c>
      <c r="E321" s="18" t="str">
        <f ca="1">IF('Current Char Stats'!$A190="","",'Current Char Stats'!$D190)</f>
        <v/>
      </c>
      <c r="F321" s="18" t="str">
        <f ca="1">IF('Current Char Stats'!$A190="","",'Current Char Stats'!$E190)</f>
        <v/>
      </c>
      <c r="G321" s="18" t="str">
        <f ca="1">IF('Current Char Stats'!$A190="","",'Current Char Stats'!$F190)</f>
        <v/>
      </c>
      <c r="H321" s="18" t="str">
        <f ca="1">IF('Current Char Stats'!$A190="","",'Current Char Stats'!$G190)</f>
        <v/>
      </c>
      <c r="I321" s="18" t="str">
        <f ca="1">IF('Current Char Stats'!$A190="","",'Current Char Stats'!$H190)</f>
        <v/>
      </c>
      <c r="J321" s="18" t="str">
        <f ca="1">IF('Current Char Stats'!$A190="","",'Current Char Stats'!$I190)</f>
        <v/>
      </c>
      <c r="K321" s="18" t="str">
        <f ca="1">IF('Current Char Stats'!$A190="","",'Current Char Stats'!$J190)</f>
        <v/>
      </c>
      <c r="L321" s="18" t="str">
        <f ca="1">IF('Current Char Stats'!$A190="","",'Current Char Stats'!$K190)</f>
        <v/>
      </c>
      <c r="M321" s="18" t="str">
        <f ca="1">IF('Current Char Stats'!$A190="","",'Current Char Stats'!$L190)</f>
        <v/>
      </c>
      <c r="N321" s="18" t="str">
        <f ca="1">IF('Current Char Stats'!$A190="","",'Current Char Stats'!$M190)</f>
        <v/>
      </c>
      <c r="O321" s="18" t="str">
        <f ca="1">IF('Current Char Stats'!$A190="","",'Current Char Stats'!$N190)</f>
        <v/>
      </c>
      <c r="P321" s="18" t="str">
        <f ca="1">IF('Current Char Stats'!$A190="","",'Current Char Stats'!$O190)</f>
        <v/>
      </c>
      <c r="Q321" s="18" t="str">
        <f ca="1">IF('Current Char Stats'!$A190="","",'Current Char Stats'!$P190)</f>
        <v/>
      </c>
      <c r="R321" s="18" t="str">
        <f ca="1">IF('Current Char Stats'!$A190="","",'Current Char Stats'!$Q190)</f>
        <v/>
      </c>
      <c r="S321" s="18" t="str">
        <f ca="1">IF('Current Char Stats'!$A190="","",'Current Char Stats'!$R190)</f>
        <v/>
      </c>
      <c r="T321" s="18" t="str">
        <f ca="1">IF('Current Char Stats'!$A190="","",'Current Char Stats'!$S190)</f>
        <v/>
      </c>
      <c r="U321" s="18" t="str">
        <f ca="1">IF('Current Char Stats'!$A190="","",'Current Char Stats'!$T190)</f>
        <v/>
      </c>
      <c r="V321" s="18" t="str">
        <f ca="1">IF('Current Char Stats'!$A190="","",'Current Char Stats'!$U190)</f>
        <v/>
      </c>
      <c r="W321" s="18" t="str">
        <f ca="1">IF('Current Char Stats'!$A190="","",'Current Char Stats'!$V190)</f>
        <v/>
      </c>
      <c r="X321" s="18" t="str">
        <f ca="1">IF('Current Char Stats'!$A190="","",'Current Char Stats'!$W190)</f>
        <v/>
      </c>
      <c r="Y321" s="18" t="str">
        <f ca="1">IF('Current Char Stats'!$A190="","",'Current Char Stats'!$X190)</f>
        <v/>
      </c>
      <c r="Z321" s="18" t="str">
        <f ca="1">IF('Current Char Stats'!$A190="","",'Current Char Stats'!$Y190)</f>
        <v/>
      </c>
      <c r="AA321" s="18" t="str">
        <f ca="1">IF('Current Char Stats'!$A190="","",'Current Char Stats'!$Z190)</f>
        <v/>
      </c>
      <c r="AB321" s="18" t="str">
        <f ca="1">IF('Current Char Stats'!$A190="","",'Current Char Stats'!$AA190)</f>
        <v/>
      </c>
      <c r="AC321" s="18" t="str">
        <f ca="1">IF('Current Char Stats'!$A190="","",'Current Char Stats'!$AB190)</f>
        <v/>
      </c>
      <c r="AD321" s="18" t="str">
        <f ca="1">IF('Current Char Stats'!$A190="","",'Current Char Stats'!$AC190)</f>
        <v/>
      </c>
      <c r="AE321" s="18" t="str">
        <f ca="1">IF('Current Char Stats'!$A190="","",'Current Char Stats'!$AD190)</f>
        <v/>
      </c>
      <c r="AF321" s="18" t="str">
        <f ca="1">IF('Current Char Stats'!$A190="","",'Current Char Stats'!$AE190)</f>
        <v/>
      </c>
    </row>
    <row r="322" spans="1:32">
      <c r="A322" s="18" t="str">
        <f ca="1">IF('Current Char Stats'!$A191="","",Settings!$B$2)</f>
        <v/>
      </c>
      <c r="B322" s="117" t="str">
        <f ca="1">IF('Current Char Stats'!$A191="","",'Current Char Stats'!$A191)</f>
        <v/>
      </c>
      <c r="C322" s="18" t="str">
        <f ca="1">IF('Current Char Stats'!$A191="","",'Current Char Stats'!$B191)</f>
        <v/>
      </c>
      <c r="D322" s="18" t="str">
        <f ca="1">IF('Current Char Stats'!$A191="","",'Current Char Stats'!$C191)</f>
        <v/>
      </c>
      <c r="E322" s="18" t="str">
        <f ca="1">IF('Current Char Stats'!$A191="","",'Current Char Stats'!$D191)</f>
        <v/>
      </c>
      <c r="F322" s="18" t="str">
        <f ca="1">IF('Current Char Stats'!$A191="","",'Current Char Stats'!$E191)</f>
        <v/>
      </c>
      <c r="G322" s="18" t="str">
        <f ca="1">IF('Current Char Stats'!$A191="","",'Current Char Stats'!$F191)</f>
        <v/>
      </c>
      <c r="H322" s="18" t="str">
        <f ca="1">IF('Current Char Stats'!$A191="","",'Current Char Stats'!$G191)</f>
        <v/>
      </c>
      <c r="I322" s="18" t="str">
        <f ca="1">IF('Current Char Stats'!$A191="","",'Current Char Stats'!$H191)</f>
        <v/>
      </c>
      <c r="J322" s="18" t="str">
        <f ca="1">IF('Current Char Stats'!$A191="","",'Current Char Stats'!$I191)</f>
        <v/>
      </c>
      <c r="K322" s="18" t="str">
        <f ca="1">IF('Current Char Stats'!$A191="","",'Current Char Stats'!$J191)</f>
        <v/>
      </c>
      <c r="L322" s="18" t="str">
        <f ca="1">IF('Current Char Stats'!$A191="","",'Current Char Stats'!$K191)</f>
        <v/>
      </c>
      <c r="M322" s="18" t="str">
        <f ca="1">IF('Current Char Stats'!$A191="","",'Current Char Stats'!$L191)</f>
        <v/>
      </c>
      <c r="N322" s="18" t="str">
        <f ca="1">IF('Current Char Stats'!$A191="","",'Current Char Stats'!$M191)</f>
        <v/>
      </c>
      <c r="O322" s="18" t="str">
        <f ca="1">IF('Current Char Stats'!$A191="","",'Current Char Stats'!$N191)</f>
        <v/>
      </c>
      <c r="P322" s="18" t="str">
        <f ca="1">IF('Current Char Stats'!$A191="","",'Current Char Stats'!$O191)</f>
        <v/>
      </c>
      <c r="Q322" s="18" t="str">
        <f ca="1">IF('Current Char Stats'!$A191="","",'Current Char Stats'!$P191)</f>
        <v/>
      </c>
      <c r="R322" s="18" t="str">
        <f ca="1">IF('Current Char Stats'!$A191="","",'Current Char Stats'!$Q191)</f>
        <v/>
      </c>
      <c r="S322" s="18" t="str">
        <f ca="1">IF('Current Char Stats'!$A191="","",'Current Char Stats'!$R191)</f>
        <v/>
      </c>
      <c r="T322" s="18" t="str">
        <f ca="1">IF('Current Char Stats'!$A191="","",'Current Char Stats'!$S191)</f>
        <v/>
      </c>
      <c r="U322" s="18" t="str">
        <f ca="1">IF('Current Char Stats'!$A191="","",'Current Char Stats'!$T191)</f>
        <v/>
      </c>
      <c r="V322" s="18" t="str">
        <f ca="1">IF('Current Char Stats'!$A191="","",'Current Char Stats'!$U191)</f>
        <v/>
      </c>
      <c r="W322" s="18" t="str">
        <f ca="1">IF('Current Char Stats'!$A191="","",'Current Char Stats'!$V191)</f>
        <v/>
      </c>
      <c r="X322" s="18" t="str">
        <f ca="1">IF('Current Char Stats'!$A191="","",'Current Char Stats'!$W191)</f>
        <v/>
      </c>
      <c r="Y322" s="18" t="str">
        <f ca="1">IF('Current Char Stats'!$A191="","",'Current Char Stats'!$X191)</f>
        <v/>
      </c>
      <c r="Z322" s="18" t="str">
        <f ca="1">IF('Current Char Stats'!$A191="","",'Current Char Stats'!$Y191)</f>
        <v/>
      </c>
      <c r="AA322" s="18" t="str">
        <f ca="1">IF('Current Char Stats'!$A191="","",'Current Char Stats'!$Z191)</f>
        <v/>
      </c>
      <c r="AB322" s="18" t="str">
        <f ca="1">IF('Current Char Stats'!$A191="","",'Current Char Stats'!$AA191)</f>
        <v/>
      </c>
      <c r="AC322" s="18" t="str">
        <f ca="1">IF('Current Char Stats'!$A191="","",'Current Char Stats'!$AB191)</f>
        <v/>
      </c>
      <c r="AD322" s="18" t="str">
        <f ca="1">IF('Current Char Stats'!$A191="","",'Current Char Stats'!$AC191)</f>
        <v/>
      </c>
      <c r="AE322" s="18" t="str">
        <f ca="1">IF('Current Char Stats'!$A191="","",'Current Char Stats'!$AD191)</f>
        <v/>
      </c>
      <c r="AF322" s="18" t="str">
        <f ca="1">IF('Current Char Stats'!$A191="","",'Current Char Stats'!$AE191)</f>
        <v/>
      </c>
    </row>
    <row r="323" spans="1:32">
      <c r="A323" s="18" t="str">
        <f ca="1">IF('Current Char Stats'!$A192="","",Settings!$B$2)</f>
        <v/>
      </c>
      <c r="B323" s="117" t="str">
        <f ca="1">IF('Current Char Stats'!$A192="","",'Current Char Stats'!$A192)</f>
        <v/>
      </c>
      <c r="C323" s="18" t="str">
        <f ca="1">IF('Current Char Stats'!$A192="","",'Current Char Stats'!$B192)</f>
        <v/>
      </c>
      <c r="D323" s="18" t="str">
        <f ca="1">IF('Current Char Stats'!$A192="","",'Current Char Stats'!$C192)</f>
        <v/>
      </c>
      <c r="E323" s="18" t="str">
        <f ca="1">IF('Current Char Stats'!$A192="","",'Current Char Stats'!$D192)</f>
        <v/>
      </c>
      <c r="F323" s="18" t="str">
        <f ca="1">IF('Current Char Stats'!$A192="","",'Current Char Stats'!$E192)</f>
        <v/>
      </c>
      <c r="G323" s="18" t="str">
        <f ca="1">IF('Current Char Stats'!$A192="","",'Current Char Stats'!$F192)</f>
        <v/>
      </c>
      <c r="H323" s="18" t="str">
        <f ca="1">IF('Current Char Stats'!$A192="","",'Current Char Stats'!$G192)</f>
        <v/>
      </c>
      <c r="I323" s="18" t="str">
        <f ca="1">IF('Current Char Stats'!$A192="","",'Current Char Stats'!$H192)</f>
        <v/>
      </c>
      <c r="J323" s="18" t="str">
        <f ca="1">IF('Current Char Stats'!$A192="","",'Current Char Stats'!$I192)</f>
        <v/>
      </c>
      <c r="K323" s="18" t="str">
        <f ca="1">IF('Current Char Stats'!$A192="","",'Current Char Stats'!$J192)</f>
        <v/>
      </c>
      <c r="L323" s="18" t="str">
        <f ca="1">IF('Current Char Stats'!$A192="","",'Current Char Stats'!$K192)</f>
        <v/>
      </c>
      <c r="M323" s="18" t="str">
        <f ca="1">IF('Current Char Stats'!$A192="","",'Current Char Stats'!$L192)</f>
        <v/>
      </c>
      <c r="N323" s="18" t="str">
        <f ca="1">IF('Current Char Stats'!$A192="","",'Current Char Stats'!$M192)</f>
        <v/>
      </c>
      <c r="O323" s="18" t="str">
        <f ca="1">IF('Current Char Stats'!$A192="","",'Current Char Stats'!$N192)</f>
        <v/>
      </c>
      <c r="P323" s="18" t="str">
        <f ca="1">IF('Current Char Stats'!$A192="","",'Current Char Stats'!$O192)</f>
        <v/>
      </c>
      <c r="Q323" s="18" t="str">
        <f ca="1">IF('Current Char Stats'!$A192="","",'Current Char Stats'!$P192)</f>
        <v/>
      </c>
      <c r="R323" s="18" t="str">
        <f ca="1">IF('Current Char Stats'!$A192="","",'Current Char Stats'!$Q192)</f>
        <v/>
      </c>
      <c r="S323" s="18" t="str">
        <f ca="1">IF('Current Char Stats'!$A192="","",'Current Char Stats'!$R192)</f>
        <v/>
      </c>
      <c r="T323" s="18" t="str">
        <f ca="1">IF('Current Char Stats'!$A192="","",'Current Char Stats'!$S192)</f>
        <v/>
      </c>
      <c r="U323" s="18" t="str">
        <f ca="1">IF('Current Char Stats'!$A192="","",'Current Char Stats'!$T192)</f>
        <v/>
      </c>
      <c r="V323" s="18" t="str">
        <f ca="1">IF('Current Char Stats'!$A192="","",'Current Char Stats'!$U192)</f>
        <v/>
      </c>
      <c r="W323" s="18" t="str">
        <f ca="1">IF('Current Char Stats'!$A192="","",'Current Char Stats'!$V192)</f>
        <v/>
      </c>
      <c r="X323" s="18" t="str">
        <f ca="1">IF('Current Char Stats'!$A192="","",'Current Char Stats'!$W192)</f>
        <v/>
      </c>
      <c r="Y323" s="18" t="str">
        <f ca="1">IF('Current Char Stats'!$A192="","",'Current Char Stats'!$X192)</f>
        <v/>
      </c>
      <c r="Z323" s="18" t="str">
        <f ca="1">IF('Current Char Stats'!$A192="","",'Current Char Stats'!$Y192)</f>
        <v/>
      </c>
      <c r="AA323" s="18" t="str">
        <f ca="1">IF('Current Char Stats'!$A192="","",'Current Char Stats'!$Z192)</f>
        <v/>
      </c>
      <c r="AB323" s="18" t="str">
        <f ca="1">IF('Current Char Stats'!$A192="","",'Current Char Stats'!$AA192)</f>
        <v/>
      </c>
      <c r="AC323" s="18" t="str">
        <f ca="1">IF('Current Char Stats'!$A192="","",'Current Char Stats'!$AB192)</f>
        <v/>
      </c>
      <c r="AD323" s="18" t="str">
        <f ca="1">IF('Current Char Stats'!$A192="","",'Current Char Stats'!$AC192)</f>
        <v/>
      </c>
      <c r="AE323" s="18" t="str">
        <f ca="1">IF('Current Char Stats'!$A192="","",'Current Char Stats'!$AD192)</f>
        <v/>
      </c>
      <c r="AF323" s="18" t="str">
        <f ca="1">IF('Current Char Stats'!$A192="","",'Current Char Stats'!$AE192)</f>
        <v/>
      </c>
    </row>
    <row r="324" spans="1:32">
      <c r="A324" s="18" t="str">
        <f ca="1">IF('Current Char Stats'!$A193="","",Settings!$B$2)</f>
        <v/>
      </c>
      <c r="B324" s="117" t="str">
        <f ca="1">IF('Current Char Stats'!$A193="","",'Current Char Stats'!$A193)</f>
        <v/>
      </c>
      <c r="C324" s="18" t="str">
        <f ca="1">IF('Current Char Stats'!$A193="","",'Current Char Stats'!$B193)</f>
        <v/>
      </c>
      <c r="D324" s="18" t="str">
        <f ca="1">IF('Current Char Stats'!$A193="","",'Current Char Stats'!$C193)</f>
        <v/>
      </c>
      <c r="E324" s="18" t="str">
        <f ca="1">IF('Current Char Stats'!$A193="","",'Current Char Stats'!$D193)</f>
        <v/>
      </c>
      <c r="F324" s="18" t="str">
        <f ca="1">IF('Current Char Stats'!$A193="","",'Current Char Stats'!$E193)</f>
        <v/>
      </c>
      <c r="G324" s="18" t="str">
        <f ca="1">IF('Current Char Stats'!$A193="","",'Current Char Stats'!$F193)</f>
        <v/>
      </c>
      <c r="H324" s="18" t="str">
        <f ca="1">IF('Current Char Stats'!$A193="","",'Current Char Stats'!$G193)</f>
        <v/>
      </c>
      <c r="I324" s="18" t="str">
        <f ca="1">IF('Current Char Stats'!$A193="","",'Current Char Stats'!$H193)</f>
        <v/>
      </c>
      <c r="J324" s="18" t="str">
        <f ca="1">IF('Current Char Stats'!$A193="","",'Current Char Stats'!$I193)</f>
        <v/>
      </c>
      <c r="K324" s="18" t="str">
        <f ca="1">IF('Current Char Stats'!$A193="","",'Current Char Stats'!$J193)</f>
        <v/>
      </c>
      <c r="L324" s="18" t="str">
        <f ca="1">IF('Current Char Stats'!$A193="","",'Current Char Stats'!$K193)</f>
        <v/>
      </c>
      <c r="M324" s="18" t="str">
        <f ca="1">IF('Current Char Stats'!$A193="","",'Current Char Stats'!$L193)</f>
        <v/>
      </c>
      <c r="N324" s="18" t="str">
        <f ca="1">IF('Current Char Stats'!$A193="","",'Current Char Stats'!$M193)</f>
        <v/>
      </c>
      <c r="O324" s="18" t="str">
        <f ca="1">IF('Current Char Stats'!$A193="","",'Current Char Stats'!$N193)</f>
        <v/>
      </c>
      <c r="P324" s="18" t="str">
        <f ca="1">IF('Current Char Stats'!$A193="","",'Current Char Stats'!$O193)</f>
        <v/>
      </c>
      <c r="Q324" s="18" t="str">
        <f ca="1">IF('Current Char Stats'!$A193="","",'Current Char Stats'!$P193)</f>
        <v/>
      </c>
      <c r="R324" s="18" t="str">
        <f ca="1">IF('Current Char Stats'!$A193="","",'Current Char Stats'!$Q193)</f>
        <v/>
      </c>
      <c r="S324" s="18" t="str">
        <f ca="1">IF('Current Char Stats'!$A193="","",'Current Char Stats'!$R193)</f>
        <v/>
      </c>
      <c r="T324" s="18" t="str">
        <f ca="1">IF('Current Char Stats'!$A193="","",'Current Char Stats'!$S193)</f>
        <v/>
      </c>
      <c r="U324" s="18" t="str">
        <f ca="1">IF('Current Char Stats'!$A193="","",'Current Char Stats'!$T193)</f>
        <v/>
      </c>
      <c r="V324" s="18" t="str">
        <f ca="1">IF('Current Char Stats'!$A193="","",'Current Char Stats'!$U193)</f>
        <v/>
      </c>
      <c r="W324" s="18" t="str">
        <f ca="1">IF('Current Char Stats'!$A193="","",'Current Char Stats'!$V193)</f>
        <v/>
      </c>
      <c r="X324" s="18" t="str">
        <f ca="1">IF('Current Char Stats'!$A193="","",'Current Char Stats'!$W193)</f>
        <v/>
      </c>
      <c r="Y324" s="18" t="str">
        <f ca="1">IF('Current Char Stats'!$A193="","",'Current Char Stats'!$X193)</f>
        <v/>
      </c>
      <c r="Z324" s="18" t="str">
        <f ca="1">IF('Current Char Stats'!$A193="","",'Current Char Stats'!$Y193)</f>
        <v/>
      </c>
      <c r="AA324" s="18" t="str">
        <f ca="1">IF('Current Char Stats'!$A193="","",'Current Char Stats'!$Z193)</f>
        <v/>
      </c>
      <c r="AB324" s="18" t="str">
        <f ca="1">IF('Current Char Stats'!$A193="","",'Current Char Stats'!$AA193)</f>
        <v/>
      </c>
      <c r="AC324" s="18" t="str">
        <f ca="1">IF('Current Char Stats'!$A193="","",'Current Char Stats'!$AB193)</f>
        <v/>
      </c>
      <c r="AD324" s="18" t="str">
        <f ca="1">IF('Current Char Stats'!$A193="","",'Current Char Stats'!$AC193)</f>
        <v/>
      </c>
      <c r="AE324" s="18" t="str">
        <f ca="1">IF('Current Char Stats'!$A193="","",'Current Char Stats'!$AD193)</f>
        <v/>
      </c>
      <c r="AF324" s="18" t="str">
        <f ca="1">IF('Current Char Stats'!$A193="","",'Current Char Stats'!$AE193)</f>
        <v/>
      </c>
    </row>
    <row r="325" spans="1:32">
      <c r="A325" s="18" t="str">
        <f ca="1">IF('Current Char Stats'!$A194="","",Settings!$B$2)</f>
        <v/>
      </c>
      <c r="B325" s="117" t="str">
        <f ca="1">IF('Current Char Stats'!$A194="","",'Current Char Stats'!$A194)</f>
        <v/>
      </c>
      <c r="C325" s="18" t="str">
        <f ca="1">IF('Current Char Stats'!$A194="","",'Current Char Stats'!$B194)</f>
        <v/>
      </c>
      <c r="D325" s="18" t="str">
        <f ca="1">IF('Current Char Stats'!$A194="","",'Current Char Stats'!$C194)</f>
        <v/>
      </c>
      <c r="E325" s="18" t="str">
        <f ca="1">IF('Current Char Stats'!$A194="","",'Current Char Stats'!$D194)</f>
        <v/>
      </c>
      <c r="F325" s="18" t="str">
        <f ca="1">IF('Current Char Stats'!$A194="","",'Current Char Stats'!$E194)</f>
        <v/>
      </c>
      <c r="G325" s="18" t="str">
        <f ca="1">IF('Current Char Stats'!$A194="","",'Current Char Stats'!$F194)</f>
        <v/>
      </c>
      <c r="H325" s="18" t="str">
        <f ca="1">IF('Current Char Stats'!$A194="","",'Current Char Stats'!$G194)</f>
        <v/>
      </c>
      <c r="I325" s="18" t="str">
        <f ca="1">IF('Current Char Stats'!$A194="","",'Current Char Stats'!$H194)</f>
        <v/>
      </c>
      <c r="J325" s="18" t="str">
        <f ca="1">IF('Current Char Stats'!$A194="","",'Current Char Stats'!$I194)</f>
        <v/>
      </c>
      <c r="K325" s="18" t="str">
        <f ca="1">IF('Current Char Stats'!$A194="","",'Current Char Stats'!$J194)</f>
        <v/>
      </c>
      <c r="L325" s="18" t="str">
        <f ca="1">IF('Current Char Stats'!$A194="","",'Current Char Stats'!$K194)</f>
        <v/>
      </c>
      <c r="M325" s="18" t="str">
        <f ca="1">IF('Current Char Stats'!$A194="","",'Current Char Stats'!$L194)</f>
        <v/>
      </c>
      <c r="N325" s="18" t="str">
        <f ca="1">IF('Current Char Stats'!$A194="","",'Current Char Stats'!$M194)</f>
        <v/>
      </c>
      <c r="O325" s="18" t="str">
        <f ca="1">IF('Current Char Stats'!$A194="","",'Current Char Stats'!$N194)</f>
        <v/>
      </c>
      <c r="P325" s="18" t="str">
        <f ca="1">IF('Current Char Stats'!$A194="","",'Current Char Stats'!$O194)</f>
        <v/>
      </c>
      <c r="Q325" s="18" t="str">
        <f ca="1">IF('Current Char Stats'!$A194="","",'Current Char Stats'!$P194)</f>
        <v/>
      </c>
      <c r="R325" s="18" t="str">
        <f ca="1">IF('Current Char Stats'!$A194="","",'Current Char Stats'!$Q194)</f>
        <v/>
      </c>
      <c r="S325" s="18" t="str">
        <f ca="1">IF('Current Char Stats'!$A194="","",'Current Char Stats'!$R194)</f>
        <v/>
      </c>
      <c r="T325" s="18" t="str">
        <f ca="1">IF('Current Char Stats'!$A194="","",'Current Char Stats'!$S194)</f>
        <v/>
      </c>
      <c r="U325" s="18" t="str">
        <f ca="1">IF('Current Char Stats'!$A194="","",'Current Char Stats'!$T194)</f>
        <v/>
      </c>
      <c r="V325" s="18" t="str">
        <f ca="1">IF('Current Char Stats'!$A194="","",'Current Char Stats'!$U194)</f>
        <v/>
      </c>
      <c r="W325" s="18" t="str">
        <f ca="1">IF('Current Char Stats'!$A194="","",'Current Char Stats'!$V194)</f>
        <v/>
      </c>
      <c r="X325" s="18" t="str">
        <f ca="1">IF('Current Char Stats'!$A194="","",'Current Char Stats'!$W194)</f>
        <v/>
      </c>
      <c r="Y325" s="18" t="str">
        <f ca="1">IF('Current Char Stats'!$A194="","",'Current Char Stats'!$X194)</f>
        <v/>
      </c>
      <c r="Z325" s="18" t="str">
        <f ca="1">IF('Current Char Stats'!$A194="","",'Current Char Stats'!$Y194)</f>
        <v/>
      </c>
      <c r="AA325" s="18" t="str">
        <f ca="1">IF('Current Char Stats'!$A194="","",'Current Char Stats'!$Z194)</f>
        <v/>
      </c>
      <c r="AB325" s="18" t="str">
        <f ca="1">IF('Current Char Stats'!$A194="","",'Current Char Stats'!$AA194)</f>
        <v/>
      </c>
      <c r="AC325" s="18" t="str">
        <f ca="1">IF('Current Char Stats'!$A194="","",'Current Char Stats'!$AB194)</f>
        <v/>
      </c>
      <c r="AD325" s="18" t="str">
        <f ca="1">IF('Current Char Stats'!$A194="","",'Current Char Stats'!$AC194)</f>
        <v/>
      </c>
      <c r="AE325" s="18" t="str">
        <f ca="1">IF('Current Char Stats'!$A194="","",'Current Char Stats'!$AD194)</f>
        <v/>
      </c>
      <c r="AF325" s="18" t="str">
        <f ca="1">IF('Current Char Stats'!$A194="","",'Current Char Stats'!$AE194)</f>
        <v/>
      </c>
    </row>
    <row r="326" spans="1:32">
      <c r="A326" s="18" t="str">
        <f ca="1">IF('Current Char Stats'!$A195="","",Settings!$B$2)</f>
        <v/>
      </c>
      <c r="B326" s="117" t="str">
        <f ca="1">IF('Current Char Stats'!$A195="","",'Current Char Stats'!$A195)</f>
        <v/>
      </c>
      <c r="C326" s="18" t="str">
        <f ca="1">IF('Current Char Stats'!$A195="","",'Current Char Stats'!$B195)</f>
        <v/>
      </c>
      <c r="D326" s="18" t="str">
        <f ca="1">IF('Current Char Stats'!$A195="","",'Current Char Stats'!$C195)</f>
        <v/>
      </c>
      <c r="E326" s="18" t="str">
        <f ca="1">IF('Current Char Stats'!$A195="","",'Current Char Stats'!$D195)</f>
        <v/>
      </c>
      <c r="F326" s="18" t="str">
        <f ca="1">IF('Current Char Stats'!$A195="","",'Current Char Stats'!$E195)</f>
        <v/>
      </c>
      <c r="G326" s="18" t="str">
        <f ca="1">IF('Current Char Stats'!$A195="","",'Current Char Stats'!$F195)</f>
        <v/>
      </c>
      <c r="H326" s="18" t="str">
        <f ca="1">IF('Current Char Stats'!$A195="","",'Current Char Stats'!$G195)</f>
        <v/>
      </c>
      <c r="I326" s="18" t="str">
        <f ca="1">IF('Current Char Stats'!$A195="","",'Current Char Stats'!$H195)</f>
        <v/>
      </c>
      <c r="J326" s="18" t="str">
        <f ca="1">IF('Current Char Stats'!$A195="","",'Current Char Stats'!$I195)</f>
        <v/>
      </c>
      <c r="K326" s="18" t="str">
        <f ca="1">IF('Current Char Stats'!$A195="","",'Current Char Stats'!$J195)</f>
        <v/>
      </c>
      <c r="L326" s="18" t="str">
        <f ca="1">IF('Current Char Stats'!$A195="","",'Current Char Stats'!$K195)</f>
        <v/>
      </c>
      <c r="M326" s="18" t="str">
        <f ca="1">IF('Current Char Stats'!$A195="","",'Current Char Stats'!$L195)</f>
        <v/>
      </c>
      <c r="N326" s="18" t="str">
        <f ca="1">IF('Current Char Stats'!$A195="","",'Current Char Stats'!$M195)</f>
        <v/>
      </c>
      <c r="O326" s="18" t="str">
        <f ca="1">IF('Current Char Stats'!$A195="","",'Current Char Stats'!$N195)</f>
        <v/>
      </c>
      <c r="P326" s="18" t="str">
        <f ca="1">IF('Current Char Stats'!$A195="","",'Current Char Stats'!$O195)</f>
        <v/>
      </c>
      <c r="Q326" s="18" t="str">
        <f ca="1">IF('Current Char Stats'!$A195="","",'Current Char Stats'!$P195)</f>
        <v/>
      </c>
      <c r="R326" s="18" t="str">
        <f ca="1">IF('Current Char Stats'!$A195="","",'Current Char Stats'!$Q195)</f>
        <v/>
      </c>
      <c r="S326" s="18" t="str">
        <f ca="1">IF('Current Char Stats'!$A195="","",'Current Char Stats'!$R195)</f>
        <v/>
      </c>
      <c r="T326" s="18" t="str">
        <f ca="1">IF('Current Char Stats'!$A195="","",'Current Char Stats'!$S195)</f>
        <v/>
      </c>
      <c r="U326" s="18" t="str">
        <f ca="1">IF('Current Char Stats'!$A195="","",'Current Char Stats'!$T195)</f>
        <v/>
      </c>
      <c r="V326" s="18" t="str">
        <f ca="1">IF('Current Char Stats'!$A195="","",'Current Char Stats'!$U195)</f>
        <v/>
      </c>
      <c r="W326" s="18" t="str">
        <f ca="1">IF('Current Char Stats'!$A195="","",'Current Char Stats'!$V195)</f>
        <v/>
      </c>
      <c r="X326" s="18" t="str">
        <f ca="1">IF('Current Char Stats'!$A195="","",'Current Char Stats'!$W195)</f>
        <v/>
      </c>
      <c r="Y326" s="18" t="str">
        <f ca="1">IF('Current Char Stats'!$A195="","",'Current Char Stats'!$X195)</f>
        <v/>
      </c>
      <c r="Z326" s="18" t="str">
        <f ca="1">IF('Current Char Stats'!$A195="","",'Current Char Stats'!$Y195)</f>
        <v/>
      </c>
      <c r="AA326" s="18" t="str">
        <f ca="1">IF('Current Char Stats'!$A195="","",'Current Char Stats'!$Z195)</f>
        <v/>
      </c>
      <c r="AB326" s="18" t="str">
        <f ca="1">IF('Current Char Stats'!$A195="","",'Current Char Stats'!$AA195)</f>
        <v/>
      </c>
      <c r="AC326" s="18" t="str">
        <f ca="1">IF('Current Char Stats'!$A195="","",'Current Char Stats'!$AB195)</f>
        <v/>
      </c>
      <c r="AD326" s="18" t="str">
        <f ca="1">IF('Current Char Stats'!$A195="","",'Current Char Stats'!$AC195)</f>
        <v/>
      </c>
      <c r="AE326" s="18" t="str">
        <f ca="1">IF('Current Char Stats'!$A195="","",'Current Char Stats'!$AD195)</f>
        <v/>
      </c>
      <c r="AF326" s="18" t="str">
        <f ca="1">IF('Current Char Stats'!$A195="","",'Current Char Stats'!$AE195)</f>
        <v/>
      </c>
    </row>
    <row r="327" spans="1:32">
      <c r="A327" s="18" t="str">
        <f ca="1">IF('Current Char Stats'!$A196="","",Settings!$B$2)</f>
        <v/>
      </c>
      <c r="B327" s="117" t="str">
        <f ca="1">IF('Current Char Stats'!$A196="","",'Current Char Stats'!$A196)</f>
        <v/>
      </c>
      <c r="C327" s="18" t="str">
        <f ca="1">IF('Current Char Stats'!$A196="","",'Current Char Stats'!$B196)</f>
        <v/>
      </c>
      <c r="D327" s="18" t="str">
        <f ca="1">IF('Current Char Stats'!$A196="","",'Current Char Stats'!$C196)</f>
        <v/>
      </c>
      <c r="E327" s="18" t="str">
        <f ca="1">IF('Current Char Stats'!$A196="","",'Current Char Stats'!$D196)</f>
        <v/>
      </c>
      <c r="F327" s="18" t="str">
        <f ca="1">IF('Current Char Stats'!$A196="","",'Current Char Stats'!$E196)</f>
        <v/>
      </c>
      <c r="G327" s="18" t="str">
        <f ca="1">IF('Current Char Stats'!$A196="","",'Current Char Stats'!$F196)</f>
        <v/>
      </c>
      <c r="H327" s="18" t="str">
        <f ca="1">IF('Current Char Stats'!$A196="","",'Current Char Stats'!$G196)</f>
        <v/>
      </c>
      <c r="I327" s="18" t="str">
        <f ca="1">IF('Current Char Stats'!$A196="","",'Current Char Stats'!$H196)</f>
        <v/>
      </c>
      <c r="J327" s="18" t="str">
        <f ca="1">IF('Current Char Stats'!$A196="","",'Current Char Stats'!$I196)</f>
        <v/>
      </c>
      <c r="K327" s="18" t="str">
        <f ca="1">IF('Current Char Stats'!$A196="","",'Current Char Stats'!$J196)</f>
        <v/>
      </c>
      <c r="L327" s="18" t="str">
        <f ca="1">IF('Current Char Stats'!$A196="","",'Current Char Stats'!$K196)</f>
        <v/>
      </c>
      <c r="M327" s="18" t="str">
        <f ca="1">IF('Current Char Stats'!$A196="","",'Current Char Stats'!$L196)</f>
        <v/>
      </c>
      <c r="N327" s="18" t="str">
        <f ca="1">IF('Current Char Stats'!$A196="","",'Current Char Stats'!$M196)</f>
        <v/>
      </c>
      <c r="O327" s="18" t="str">
        <f ca="1">IF('Current Char Stats'!$A196="","",'Current Char Stats'!$N196)</f>
        <v/>
      </c>
      <c r="P327" s="18" t="str">
        <f ca="1">IF('Current Char Stats'!$A196="","",'Current Char Stats'!$O196)</f>
        <v/>
      </c>
      <c r="Q327" s="18" t="str">
        <f ca="1">IF('Current Char Stats'!$A196="","",'Current Char Stats'!$P196)</f>
        <v/>
      </c>
      <c r="R327" s="18" t="str">
        <f ca="1">IF('Current Char Stats'!$A196="","",'Current Char Stats'!$Q196)</f>
        <v/>
      </c>
      <c r="S327" s="18" t="str">
        <f ca="1">IF('Current Char Stats'!$A196="","",'Current Char Stats'!$R196)</f>
        <v/>
      </c>
      <c r="T327" s="18" t="str">
        <f ca="1">IF('Current Char Stats'!$A196="","",'Current Char Stats'!$S196)</f>
        <v/>
      </c>
      <c r="U327" s="18" t="str">
        <f ca="1">IF('Current Char Stats'!$A196="","",'Current Char Stats'!$T196)</f>
        <v/>
      </c>
      <c r="V327" s="18" t="str">
        <f ca="1">IF('Current Char Stats'!$A196="","",'Current Char Stats'!$U196)</f>
        <v/>
      </c>
      <c r="W327" s="18" t="str">
        <f ca="1">IF('Current Char Stats'!$A196="","",'Current Char Stats'!$V196)</f>
        <v/>
      </c>
      <c r="X327" s="18" t="str">
        <f ca="1">IF('Current Char Stats'!$A196="","",'Current Char Stats'!$W196)</f>
        <v/>
      </c>
      <c r="Y327" s="18" t="str">
        <f ca="1">IF('Current Char Stats'!$A196="","",'Current Char Stats'!$X196)</f>
        <v/>
      </c>
      <c r="Z327" s="18" t="str">
        <f ca="1">IF('Current Char Stats'!$A196="","",'Current Char Stats'!$Y196)</f>
        <v/>
      </c>
      <c r="AA327" s="18" t="str">
        <f ca="1">IF('Current Char Stats'!$A196="","",'Current Char Stats'!$Z196)</f>
        <v/>
      </c>
      <c r="AB327" s="18" t="str">
        <f ca="1">IF('Current Char Stats'!$A196="","",'Current Char Stats'!$AA196)</f>
        <v/>
      </c>
      <c r="AC327" s="18" t="str">
        <f ca="1">IF('Current Char Stats'!$A196="","",'Current Char Stats'!$AB196)</f>
        <v/>
      </c>
      <c r="AD327" s="18" t="str">
        <f ca="1">IF('Current Char Stats'!$A196="","",'Current Char Stats'!$AC196)</f>
        <v/>
      </c>
      <c r="AE327" s="18" t="str">
        <f ca="1">IF('Current Char Stats'!$A196="","",'Current Char Stats'!$AD196)</f>
        <v/>
      </c>
      <c r="AF327" s="18" t="str">
        <f ca="1">IF('Current Char Stats'!$A196="","",'Current Char Stats'!$AE196)</f>
        <v/>
      </c>
    </row>
    <row r="328" spans="1:32">
      <c r="A328" s="18" t="str">
        <f ca="1">IF('Current Char Stats'!$A197="","",Settings!$B$2)</f>
        <v/>
      </c>
      <c r="B328" s="117" t="str">
        <f ca="1">IF('Current Char Stats'!$A197="","",'Current Char Stats'!$A197)</f>
        <v/>
      </c>
      <c r="C328" s="18" t="str">
        <f ca="1">IF('Current Char Stats'!$A197="","",'Current Char Stats'!$B197)</f>
        <v/>
      </c>
      <c r="D328" s="18" t="str">
        <f ca="1">IF('Current Char Stats'!$A197="","",'Current Char Stats'!$C197)</f>
        <v/>
      </c>
      <c r="E328" s="18" t="str">
        <f ca="1">IF('Current Char Stats'!$A197="","",'Current Char Stats'!$D197)</f>
        <v/>
      </c>
      <c r="F328" s="18" t="str">
        <f ca="1">IF('Current Char Stats'!$A197="","",'Current Char Stats'!$E197)</f>
        <v/>
      </c>
      <c r="G328" s="18" t="str">
        <f ca="1">IF('Current Char Stats'!$A197="","",'Current Char Stats'!$F197)</f>
        <v/>
      </c>
      <c r="H328" s="18" t="str">
        <f ca="1">IF('Current Char Stats'!$A197="","",'Current Char Stats'!$G197)</f>
        <v/>
      </c>
      <c r="I328" s="18" t="str">
        <f ca="1">IF('Current Char Stats'!$A197="","",'Current Char Stats'!$H197)</f>
        <v/>
      </c>
      <c r="J328" s="18" t="str">
        <f ca="1">IF('Current Char Stats'!$A197="","",'Current Char Stats'!$I197)</f>
        <v/>
      </c>
      <c r="K328" s="18" t="str">
        <f ca="1">IF('Current Char Stats'!$A197="","",'Current Char Stats'!$J197)</f>
        <v/>
      </c>
      <c r="L328" s="18" t="str">
        <f ca="1">IF('Current Char Stats'!$A197="","",'Current Char Stats'!$K197)</f>
        <v/>
      </c>
      <c r="M328" s="18" t="str">
        <f ca="1">IF('Current Char Stats'!$A197="","",'Current Char Stats'!$L197)</f>
        <v/>
      </c>
      <c r="N328" s="18" t="str">
        <f ca="1">IF('Current Char Stats'!$A197="","",'Current Char Stats'!$M197)</f>
        <v/>
      </c>
      <c r="O328" s="18" t="str">
        <f ca="1">IF('Current Char Stats'!$A197="","",'Current Char Stats'!$N197)</f>
        <v/>
      </c>
      <c r="P328" s="18" t="str">
        <f ca="1">IF('Current Char Stats'!$A197="","",'Current Char Stats'!$O197)</f>
        <v/>
      </c>
      <c r="Q328" s="18" t="str">
        <f ca="1">IF('Current Char Stats'!$A197="","",'Current Char Stats'!$P197)</f>
        <v/>
      </c>
      <c r="R328" s="18" t="str">
        <f ca="1">IF('Current Char Stats'!$A197="","",'Current Char Stats'!$Q197)</f>
        <v/>
      </c>
      <c r="S328" s="18" t="str">
        <f ca="1">IF('Current Char Stats'!$A197="","",'Current Char Stats'!$R197)</f>
        <v/>
      </c>
      <c r="T328" s="18" t="str">
        <f ca="1">IF('Current Char Stats'!$A197="","",'Current Char Stats'!$S197)</f>
        <v/>
      </c>
      <c r="U328" s="18" t="str">
        <f ca="1">IF('Current Char Stats'!$A197="","",'Current Char Stats'!$T197)</f>
        <v/>
      </c>
      <c r="V328" s="18" t="str">
        <f ca="1">IF('Current Char Stats'!$A197="","",'Current Char Stats'!$U197)</f>
        <v/>
      </c>
      <c r="W328" s="18" t="str">
        <f ca="1">IF('Current Char Stats'!$A197="","",'Current Char Stats'!$V197)</f>
        <v/>
      </c>
      <c r="X328" s="18" t="str">
        <f ca="1">IF('Current Char Stats'!$A197="","",'Current Char Stats'!$W197)</f>
        <v/>
      </c>
      <c r="Y328" s="18" t="str">
        <f ca="1">IF('Current Char Stats'!$A197="","",'Current Char Stats'!$X197)</f>
        <v/>
      </c>
      <c r="Z328" s="18" t="str">
        <f ca="1">IF('Current Char Stats'!$A197="","",'Current Char Stats'!$Y197)</f>
        <v/>
      </c>
      <c r="AA328" s="18" t="str">
        <f ca="1">IF('Current Char Stats'!$A197="","",'Current Char Stats'!$Z197)</f>
        <v/>
      </c>
      <c r="AB328" s="18" t="str">
        <f ca="1">IF('Current Char Stats'!$A197="","",'Current Char Stats'!$AA197)</f>
        <v/>
      </c>
      <c r="AC328" s="18" t="str">
        <f ca="1">IF('Current Char Stats'!$A197="","",'Current Char Stats'!$AB197)</f>
        <v/>
      </c>
      <c r="AD328" s="18" t="str">
        <f ca="1">IF('Current Char Stats'!$A197="","",'Current Char Stats'!$AC197)</f>
        <v/>
      </c>
      <c r="AE328" s="18" t="str">
        <f ca="1">IF('Current Char Stats'!$A197="","",'Current Char Stats'!$AD197)</f>
        <v/>
      </c>
      <c r="AF328" s="18" t="str">
        <f ca="1">IF('Current Char Stats'!$A197="","",'Current Char Stats'!$AE197)</f>
        <v/>
      </c>
    </row>
    <row r="329" spans="1:32">
      <c r="A329" s="18" t="str">
        <f ca="1">IF('Current Char Stats'!$A198="","",Settings!$B$2)</f>
        <v/>
      </c>
      <c r="B329" s="117" t="str">
        <f ca="1">IF('Current Char Stats'!$A198="","",'Current Char Stats'!$A198)</f>
        <v/>
      </c>
      <c r="C329" s="18" t="str">
        <f ca="1">IF('Current Char Stats'!$A198="","",'Current Char Stats'!$B198)</f>
        <v/>
      </c>
      <c r="D329" s="18" t="str">
        <f ca="1">IF('Current Char Stats'!$A198="","",'Current Char Stats'!$C198)</f>
        <v/>
      </c>
      <c r="E329" s="18" t="str">
        <f ca="1">IF('Current Char Stats'!$A198="","",'Current Char Stats'!$D198)</f>
        <v/>
      </c>
      <c r="F329" s="18" t="str">
        <f ca="1">IF('Current Char Stats'!$A198="","",'Current Char Stats'!$E198)</f>
        <v/>
      </c>
      <c r="G329" s="18" t="str">
        <f ca="1">IF('Current Char Stats'!$A198="","",'Current Char Stats'!$F198)</f>
        <v/>
      </c>
      <c r="H329" s="18" t="str">
        <f ca="1">IF('Current Char Stats'!$A198="","",'Current Char Stats'!$G198)</f>
        <v/>
      </c>
      <c r="I329" s="18" t="str">
        <f ca="1">IF('Current Char Stats'!$A198="","",'Current Char Stats'!$H198)</f>
        <v/>
      </c>
      <c r="J329" s="18" t="str">
        <f ca="1">IF('Current Char Stats'!$A198="","",'Current Char Stats'!$I198)</f>
        <v/>
      </c>
      <c r="K329" s="18" t="str">
        <f ca="1">IF('Current Char Stats'!$A198="","",'Current Char Stats'!$J198)</f>
        <v/>
      </c>
      <c r="L329" s="18" t="str">
        <f ca="1">IF('Current Char Stats'!$A198="","",'Current Char Stats'!$K198)</f>
        <v/>
      </c>
      <c r="M329" s="18" t="str">
        <f ca="1">IF('Current Char Stats'!$A198="","",'Current Char Stats'!$L198)</f>
        <v/>
      </c>
      <c r="N329" s="18" t="str">
        <f ca="1">IF('Current Char Stats'!$A198="","",'Current Char Stats'!$M198)</f>
        <v/>
      </c>
      <c r="O329" s="18" t="str">
        <f ca="1">IF('Current Char Stats'!$A198="","",'Current Char Stats'!$N198)</f>
        <v/>
      </c>
      <c r="P329" s="18" t="str">
        <f ca="1">IF('Current Char Stats'!$A198="","",'Current Char Stats'!$O198)</f>
        <v/>
      </c>
      <c r="Q329" s="18" t="str">
        <f ca="1">IF('Current Char Stats'!$A198="","",'Current Char Stats'!$P198)</f>
        <v/>
      </c>
      <c r="R329" s="18" t="str">
        <f ca="1">IF('Current Char Stats'!$A198="","",'Current Char Stats'!$Q198)</f>
        <v/>
      </c>
      <c r="S329" s="18" t="str">
        <f ca="1">IF('Current Char Stats'!$A198="","",'Current Char Stats'!$R198)</f>
        <v/>
      </c>
      <c r="T329" s="18" t="str">
        <f ca="1">IF('Current Char Stats'!$A198="","",'Current Char Stats'!$S198)</f>
        <v/>
      </c>
      <c r="U329" s="18" t="str">
        <f ca="1">IF('Current Char Stats'!$A198="","",'Current Char Stats'!$T198)</f>
        <v/>
      </c>
      <c r="V329" s="18" t="str">
        <f ca="1">IF('Current Char Stats'!$A198="","",'Current Char Stats'!$U198)</f>
        <v/>
      </c>
      <c r="W329" s="18" t="str">
        <f ca="1">IF('Current Char Stats'!$A198="","",'Current Char Stats'!$V198)</f>
        <v/>
      </c>
      <c r="X329" s="18" t="str">
        <f ca="1">IF('Current Char Stats'!$A198="","",'Current Char Stats'!$W198)</f>
        <v/>
      </c>
      <c r="Y329" s="18" t="str">
        <f ca="1">IF('Current Char Stats'!$A198="","",'Current Char Stats'!$X198)</f>
        <v/>
      </c>
      <c r="Z329" s="18" t="str">
        <f ca="1">IF('Current Char Stats'!$A198="","",'Current Char Stats'!$Y198)</f>
        <v/>
      </c>
      <c r="AA329" s="18" t="str">
        <f ca="1">IF('Current Char Stats'!$A198="","",'Current Char Stats'!$Z198)</f>
        <v/>
      </c>
      <c r="AB329" s="18" t="str">
        <f ca="1">IF('Current Char Stats'!$A198="","",'Current Char Stats'!$AA198)</f>
        <v/>
      </c>
      <c r="AC329" s="18" t="str">
        <f ca="1">IF('Current Char Stats'!$A198="","",'Current Char Stats'!$AB198)</f>
        <v/>
      </c>
      <c r="AD329" s="18" t="str">
        <f ca="1">IF('Current Char Stats'!$A198="","",'Current Char Stats'!$AC198)</f>
        <v/>
      </c>
      <c r="AE329" s="18" t="str">
        <f ca="1">IF('Current Char Stats'!$A198="","",'Current Char Stats'!$AD198)</f>
        <v/>
      </c>
      <c r="AF329" s="18" t="str">
        <f ca="1">IF('Current Char Stats'!$A198="","",'Current Char Stats'!$AE198)</f>
        <v/>
      </c>
    </row>
    <row r="330" spans="1:32">
      <c r="A330" s="18" t="str">
        <f ca="1">IF('Current Char Stats'!$A199="","",Settings!$B$2)</f>
        <v/>
      </c>
      <c r="B330" s="117" t="str">
        <f ca="1">IF('Current Char Stats'!$A199="","",'Current Char Stats'!$A199)</f>
        <v/>
      </c>
      <c r="C330" s="18" t="str">
        <f ca="1">IF('Current Char Stats'!$A199="","",'Current Char Stats'!$B199)</f>
        <v/>
      </c>
      <c r="D330" s="18" t="str">
        <f ca="1">IF('Current Char Stats'!$A199="","",'Current Char Stats'!$C199)</f>
        <v/>
      </c>
      <c r="E330" s="18" t="str">
        <f ca="1">IF('Current Char Stats'!$A199="","",'Current Char Stats'!$D199)</f>
        <v/>
      </c>
      <c r="F330" s="18" t="str">
        <f ca="1">IF('Current Char Stats'!$A199="","",'Current Char Stats'!$E199)</f>
        <v/>
      </c>
      <c r="G330" s="18" t="str">
        <f ca="1">IF('Current Char Stats'!$A199="","",'Current Char Stats'!$F199)</f>
        <v/>
      </c>
      <c r="H330" s="18" t="str">
        <f ca="1">IF('Current Char Stats'!$A199="","",'Current Char Stats'!$G199)</f>
        <v/>
      </c>
      <c r="I330" s="18" t="str">
        <f ca="1">IF('Current Char Stats'!$A199="","",'Current Char Stats'!$H199)</f>
        <v/>
      </c>
      <c r="J330" s="18" t="str">
        <f ca="1">IF('Current Char Stats'!$A199="","",'Current Char Stats'!$I199)</f>
        <v/>
      </c>
      <c r="K330" s="18" t="str">
        <f ca="1">IF('Current Char Stats'!$A199="","",'Current Char Stats'!$J199)</f>
        <v/>
      </c>
      <c r="L330" s="18" t="str">
        <f ca="1">IF('Current Char Stats'!$A199="","",'Current Char Stats'!$K199)</f>
        <v/>
      </c>
      <c r="M330" s="18" t="str">
        <f ca="1">IF('Current Char Stats'!$A199="","",'Current Char Stats'!$L199)</f>
        <v/>
      </c>
      <c r="N330" s="18" t="str">
        <f ca="1">IF('Current Char Stats'!$A199="","",'Current Char Stats'!$M199)</f>
        <v/>
      </c>
      <c r="O330" s="18" t="str">
        <f ca="1">IF('Current Char Stats'!$A199="","",'Current Char Stats'!$N199)</f>
        <v/>
      </c>
      <c r="P330" s="18" t="str">
        <f ca="1">IF('Current Char Stats'!$A199="","",'Current Char Stats'!$O199)</f>
        <v/>
      </c>
      <c r="Q330" s="18" t="str">
        <f ca="1">IF('Current Char Stats'!$A199="","",'Current Char Stats'!$P199)</f>
        <v/>
      </c>
      <c r="R330" s="18" t="str">
        <f ca="1">IF('Current Char Stats'!$A199="","",'Current Char Stats'!$Q199)</f>
        <v/>
      </c>
      <c r="S330" s="18" t="str">
        <f ca="1">IF('Current Char Stats'!$A199="","",'Current Char Stats'!$R199)</f>
        <v/>
      </c>
      <c r="T330" s="18" t="str">
        <f ca="1">IF('Current Char Stats'!$A199="","",'Current Char Stats'!$S199)</f>
        <v/>
      </c>
      <c r="U330" s="18" t="str">
        <f ca="1">IF('Current Char Stats'!$A199="","",'Current Char Stats'!$T199)</f>
        <v/>
      </c>
      <c r="V330" s="18" t="str">
        <f ca="1">IF('Current Char Stats'!$A199="","",'Current Char Stats'!$U199)</f>
        <v/>
      </c>
      <c r="W330" s="18" t="str">
        <f ca="1">IF('Current Char Stats'!$A199="","",'Current Char Stats'!$V199)</f>
        <v/>
      </c>
      <c r="X330" s="18" t="str">
        <f ca="1">IF('Current Char Stats'!$A199="","",'Current Char Stats'!$W199)</f>
        <v/>
      </c>
      <c r="Y330" s="18" t="str">
        <f ca="1">IF('Current Char Stats'!$A199="","",'Current Char Stats'!$X199)</f>
        <v/>
      </c>
      <c r="Z330" s="18" t="str">
        <f ca="1">IF('Current Char Stats'!$A199="","",'Current Char Stats'!$Y199)</f>
        <v/>
      </c>
      <c r="AA330" s="18" t="str">
        <f ca="1">IF('Current Char Stats'!$A199="","",'Current Char Stats'!$Z199)</f>
        <v/>
      </c>
      <c r="AB330" s="18" t="str">
        <f ca="1">IF('Current Char Stats'!$A199="","",'Current Char Stats'!$AA199)</f>
        <v/>
      </c>
      <c r="AC330" s="18" t="str">
        <f ca="1">IF('Current Char Stats'!$A199="","",'Current Char Stats'!$AB199)</f>
        <v/>
      </c>
      <c r="AD330" s="18" t="str">
        <f ca="1">IF('Current Char Stats'!$A199="","",'Current Char Stats'!$AC199)</f>
        <v/>
      </c>
      <c r="AE330" s="18" t="str">
        <f ca="1">IF('Current Char Stats'!$A199="","",'Current Char Stats'!$AD199)</f>
        <v/>
      </c>
      <c r="AF330" s="18" t="str">
        <f ca="1">IF('Current Char Stats'!$A199="","",'Current Char Stats'!$AE199)</f>
        <v/>
      </c>
    </row>
    <row r="331" spans="1:32">
      <c r="A331" s="18" t="str">
        <f ca="1">IF('Current Char Stats'!$A200="","",Settings!$B$2)</f>
        <v/>
      </c>
      <c r="B331" s="117" t="str">
        <f ca="1">IF('Current Char Stats'!$A200="","",'Current Char Stats'!$A200)</f>
        <v/>
      </c>
      <c r="C331" s="18" t="str">
        <f ca="1">IF('Current Char Stats'!$A200="","",'Current Char Stats'!$B200)</f>
        <v/>
      </c>
      <c r="D331" s="18" t="str">
        <f ca="1">IF('Current Char Stats'!$A200="","",'Current Char Stats'!$C200)</f>
        <v/>
      </c>
      <c r="E331" s="18" t="str">
        <f ca="1">IF('Current Char Stats'!$A200="","",'Current Char Stats'!$D200)</f>
        <v/>
      </c>
      <c r="F331" s="18" t="str">
        <f ca="1">IF('Current Char Stats'!$A200="","",'Current Char Stats'!$E200)</f>
        <v/>
      </c>
      <c r="G331" s="18" t="str">
        <f ca="1">IF('Current Char Stats'!$A200="","",'Current Char Stats'!$F200)</f>
        <v/>
      </c>
      <c r="H331" s="18" t="str">
        <f ca="1">IF('Current Char Stats'!$A200="","",'Current Char Stats'!$G200)</f>
        <v/>
      </c>
      <c r="I331" s="18" t="str">
        <f ca="1">IF('Current Char Stats'!$A200="","",'Current Char Stats'!$H200)</f>
        <v/>
      </c>
      <c r="J331" s="18" t="str">
        <f ca="1">IF('Current Char Stats'!$A200="","",'Current Char Stats'!$I200)</f>
        <v/>
      </c>
      <c r="K331" s="18" t="str">
        <f ca="1">IF('Current Char Stats'!$A200="","",'Current Char Stats'!$J200)</f>
        <v/>
      </c>
      <c r="L331" s="18" t="str">
        <f ca="1">IF('Current Char Stats'!$A200="","",'Current Char Stats'!$K200)</f>
        <v/>
      </c>
      <c r="M331" s="18" t="str">
        <f ca="1">IF('Current Char Stats'!$A200="","",'Current Char Stats'!$L200)</f>
        <v/>
      </c>
      <c r="N331" s="18" t="str">
        <f ca="1">IF('Current Char Stats'!$A200="","",'Current Char Stats'!$M200)</f>
        <v/>
      </c>
      <c r="O331" s="18" t="str">
        <f ca="1">IF('Current Char Stats'!$A200="","",'Current Char Stats'!$N200)</f>
        <v/>
      </c>
      <c r="P331" s="18" t="str">
        <f ca="1">IF('Current Char Stats'!$A200="","",'Current Char Stats'!$O200)</f>
        <v/>
      </c>
      <c r="Q331" s="18" t="str">
        <f ca="1">IF('Current Char Stats'!$A200="","",'Current Char Stats'!$P200)</f>
        <v/>
      </c>
      <c r="R331" s="18" t="str">
        <f ca="1">IF('Current Char Stats'!$A200="","",'Current Char Stats'!$Q200)</f>
        <v/>
      </c>
      <c r="S331" s="18" t="str">
        <f ca="1">IF('Current Char Stats'!$A200="","",'Current Char Stats'!$R200)</f>
        <v/>
      </c>
      <c r="T331" s="18" t="str">
        <f ca="1">IF('Current Char Stats'!$A200="","",'Current Char Stats'!$S200)</f>
        <v/>
      </c>
      <c r="U331" s="18" t="str">
        <f ca="1">IF('Current Char Stats'!$A200="","",'Current Char Stats'!$T200)</f>
        <v/>
      </c>
      <c r="V331" s="18" t="str">
        <f ca="1">IF('Current Char Stats'!$A200="","",'Current Char Stats'!$U200)</f>
        <v/>
      </c>
      <c r="W331" s="18" t="str">
        <f ca="1">IF('Current Char Stats'!$A200="","",'Current Char Stats'!$V200)</f>
        <v/>
      </c>
      <c r="X331" s="18" t="str">
        <f ca="1">IF('Current Char Stats'!$A200="","",'Current Char Stats'!$W200)</f>
        <v/>
      </c>
      <c r="Y331" s="18" t="str">
        <f ca="1">IF('Current Char Stats'!$A200="","",'Current Char Stats'!$X200)</f>
        <v/>
      </c>
      <c r="Z331" s="18" t="str">
        <f ca="1">IF('Current Char Stats'!$A200="","",'Current Char Stats'!$Y200)</f>
        <v/>
      </c>
      <c r="AA331" s="18" t="str">
        <f ca="1">IF('Current Char Stats'!$A200="","",'Current Char Stats'!$Z200)</f>
        <v/>
      </c>
      <c r="AB331" s="18" t="str">
        <f ca="1">IF('Current Char Stats'!$A200="","",'Current Char Stats'!$AA200)</f>
        <v/>
      </c>
      <c r="AC331" s="18" t="str">
        <f ca="1">IF('Current Char Stats'!$A200="","",'Current Char Stats'!$AB200)</f>
        <v/>
      </c>
      <c r="AD331" s="18" t="str">
        <f ca="1">IF('Current Char Stats'!$A200="","",'Current Char Stats'!$AC200)</f>
        <v/>
      </c>
      <c r="AE331" s="18" t="str">
        <f ca="1">IF('Current Char Stats'!$A200="","",'Current Char Stats'!$AD200)</f>
        <v/>
      </c>
      <c r="AF331" s="18" t="str">
        <f ca="1">IF('Current Char Stats'!$A200="","",'Current Char Stats'!$AE200)</f>
        <v/>
      </c>
    </row>
    <row r="332" spans="1:32">
      <c r="A332" s="18" t="str">
        <f ca="1">IF('Current Char Stats'!$A201="","",Settings!$B$2)</f>
        <v/>
      </c>
      <c r="B332" s="117" t="str">
        <f ca="1">IF('Current Char Stats'!$A201="","",'Current Char Stats'!$A201)</f>
        <v/>
      </c>
      <c r="C332" s="18" t="str">
        <f ca="1">IF('Current Char Stats'!$A201="","",'Current Char Stats'!$B201)</f>
        <v/>
      </c>
      <c r="D332" s="18" t="str">
        <f ca="1">IF('Current Char Stats'!$A201="","",'Current Char Stats'!$C201)</f>
        <v/>
      </c>
      <c r="E332" s="18" t="str">
        <f ca="1">IF('Current Char Stats'!$A201="","",'Current Char Stats'!$D201)</f>
        <v/>
      </c>
      <c r="F332" s="18" t="str">
        <f ca="1">IF('Current Char Stats'!$A201="","",'Current Char Stats'!$E201)</f>
        <v/>
      </c>
      <c r="G332" s="18" t="str">
        <f ca="1">IF('Current Char Stats'!$A201="","",'Current Char Stats'!$F201)</f>
        <v/>
      </c>
      <c r="H332" s="18" t="str">
        <f ca="1">IF('Current Char Stats'!$A201="","",'Current Char Stats'!$G201)</f>
        <v/>
      </c>
      <c r="I332" s="18" t="str">
        <f ca="1">IF('Current Char Stats'!$A201="","",'Current Char Stats'!$H201)</f>
        <v/>
      </c>
      <c r="J332" s="18" t="str">
        <f ca="1">IF('Current Char Stats'!$A201="","",'Current Char Stats'!$I201)</f>
        <v/>
      </c>
      <c r="K332" s="18" t="str">
        <f ca="1">IF('Current Char Stats'!$A201="","",'Current Char Stats'!$J201)</f>
        <v/>
      </c>
      <c r="L332" s="18" t="str">
        <f ca="1">IF('Current Char Stats'!$A201="","",'Current Char Stats'!$K201)</f>
        <v/>
      </c>
      <c r="M332" s="18" t="str">
        <f ca="1">IF('Current Char Stats'!$A201="","",'Current Char Stats'!$L201)</f>
        <v/>
      </c>
      <c r="N332" s="18" t="str">
        <f ca="1">IF('Current Char Stats'!$A201="","",'Current Char Stats'!$M201)</f>
        <v/>
      </c>
      <c r="O332" s="18" t="str">
        <f ca="1">IF('Current Char Stats'!$A201="","",'Current Char Stats'!$N201)</f>
        <v/>
      </c>
      <c r="P332" s="18" t="str">
        <f ca="1">IF('Current Char Stats'!$A201="","",'Current Char Stats'!$O201)</f>
        <v/>
      </c>
      <c r="Q332" s="18" t="str">
        <f ca="1">IF('Current Char Stats'!$A201="","",'Current Char Stats'!$P201)</f>
        <v/>
      </c>
      <c r="R332" s="18" t="str">
        <f ca="1">IF('Current Char Stats'!$A201="","",'Current Char Stats'!$Q201)</f>
        <v/>
      </c>
      <c r="S332" s="18" t="str">
        <f ca="1">IF('Current Char Stats'!$A201="","",'Current Char Stats'!$R201)</f>
        <v/>
      </c>
      <c r="T332" s="18" t="str">
        <f ca="1">IF('Current Char Stats'!$A201="","",'Current Char Stats'!$S201)</f>
        <v/>
      </c>
      <c r="U332" s="18" t="str">
        <f ca="1">IF('Current Char Stats'!$A201="","",'Current Char Stats'!$T201)</f>
        <v/>
      </c>
      <c r="V332" s="18" t="str">
        <f ca="1">IF('Current Char Stats'!$A201="","",'Current Char Stats'!$U201)</f>
        <v/>
      </c>
      <c r="W332" s="18" t="str">
        <f ca="1">IF('Current Char Stats'!$A201="","",'Current Char Stats'!$V201)</f>
        <v/>
      </c>
      <c r="X332" s="18" t="str">
        <f ca="1">IF('Current Char Stats'!$A201="","",'Current Char Stats'!$W201)</f>
        <v/>
      </c>
      <c r="Y332" s="18" t="str">
        <f ca="1">IF('Current Char Stats'!$A201="","",'Current Char Stats'!$X201)</f>
        <v/>
      </c>
      <c r="Z332" s="18" t="str">
        <f ca="1">IF('Current Char Stats'!$A201="","",'Current Char Stats'!$Y201)</f>
        <v/>
      </c>
      <c r="AA332" s="18" t="str">
        <f ca="1">IF('Current Char Stats'!$A201="","",'Current Char Stats'!$Z201)</f>
        <v/>
      </c>
      <c r="AB332" s="18" t="str">
        <f ca="1">IF('Current Char Stats'!$A201="","",'Current Char Stats'!$AA201)</f>
        <v/>
      </c>
      <c r="AC332" s="18" t="str">
        <f ca="1">IF('Current Char Stats'!$A201="","",'Current Char Stats'!$AB201)</f>
        <v/>
      </c>
      <c r="AD332" s="18" t="str">
        <f ca="1">IF('Current Char Stats'!$A201="","",'Current Char Stats'!$AC201)</f>
        <v/>
      </c>
      <c r="AE332" s="18" t="str">
        <f ca="1">IF('Current Char Stats'!$A201="","",'Current Char Stats'!$AD201)</f>
        <v/>
      </c>
      <c r="AF332" s="18" t="str">
        <f ca="1">IF('Current Char Stats'!$A201="","",'Current Char Stats'!$AE201)</f>
        <v/>
      </c>
    </row>
    <row r="333" spans="1:32">
      <c r="A333" s="18" t="str">
        <f ca="1">IF('Current Char Stats'!$A202="","",Settings!$B$2)</f>
        <v/>
      </c>
      <c r="B333" s="117" t="str">
        <f ca="1">IF('Current Char Stats'!$A202="","",'Current Char Stats'!$A202)</f>
        <v/>
      </c>
      <c r="C333" s="18" t="str">
        <f ca="1">IF('Current Char Stats'!$A202="","",'Current Char Stats'!$B202)</f>
        <v/>
      </c>
      <c r="D333" s="18" t="str">
        <f ca="1">IF('Current Char Stats'!$A202="","",'Current Char Stats'!$C202)</f>
        <v/>
      </c>
      <c r="E333" s="18" t="str">
        <f ca="1">IF('Current Char Stats'!$A202="","",'Current Char Stats'!$D202)</f>
        <v/>
      </c>
      <c r="F333" s="18" t="str">
        <f ca="1">IF('Current Char Stats'!$A202="","",'Current Char Stats'!$E202)</f>
        <v/>
      </c>
      <c r="G333" s="18" t="str">
        <f ca="1">IF('Current Char Stats'!$A202="","",'Current Char Stats'!$F202)</f>
        <v/>
      </c>
      <c r="H333" s="18" t="str">
        <f ca="1">IF('Current Char Stats'!$A202="","",'Current Char Stats'!$G202)</f>
        <v/>
      </c>
      <c r="I333" s="18" t="str">
        <f ca="1">IF('Current Char Stats'!$A202="","",'Current Char Stats'!$H202)</f>
        <v/>
      </c>
      <c r="J333" s="18" t="str">
        <f ca="1">IF('Current Char Stats'!$A202="","",'Current Char Stats'!$I202)</f>
        <v/>
      </c>
      <c r="K333" s="18" t="str">
        <f ca="1">IF('Current Char Stats'!$A202="","",'Current Char Stats'!$J202)</f>
        <v/>
      </c>
      <c r="L333" s="18" t="str">
        <f ca="1">IF('Current Char Stats'!$A202="","",'Current Char Stats'!$K202)</f>
        <v/>
      </c>
      <c r="M333" s="18" t="str">
        <f ca="1">IF('Current Char Stats'!$A202="","",'Current Char Stats'!$L202)</f>
        <v/>
      </c>
      <c r="N333" s="18" t="str">
        <f ca="1">IF('Current Char Stats'!$A202="","",'Current Char Stats'!$M202)</f>
        <v/>
      </c>
      <c r="O333" s="18" t="str">
        <f ca="1">IF('Current Char Stats'!$A202="","",'Current Char Stats'!$N202)</f>
        <v/>
      </c>
      <c r="P333" s="18" t="str">
        <f ca="1">IF('Current Char Stats'!$A202="","",'Current Char Stats'!$O202)</f>
        <v/>
      </c>
      <c r="Q333" s="18" t="str">
        <f ca="1">IF('Current Char Stats'!$A202="","",'Current Char Stats'!$P202)</f>
        <v/>
      </c>
      <c r="R333" s="18" t="str">
        <f ca="1">IF('Current Char Stats'!$A202="","",'Current Char Stats'!$Q202)</f>
        <v/>
      </c>
      <c r="S333" s="18" t="str">
        <f ca="1">IF('Current Char Stats'!$A202="","",'Current Char Stats'!$R202)</f>
        <v/>
      </c>
      <c r="T333" s="18" t="str">
        <f ca="1">IF('Current Char Stats'!$A202="","",'Current Char Stats'!$S202)</f>
        <v/>
      </c>
      <c r="U333" s="18" t="str">
        <f ca="1">IF('Current Char Stats'!$A202="","",'Current Char Stats'!$T202)</f>
        <v/>
      </c>
      <c r="V333" s="18" t="str">
        <f ca="1">IF('Current Char Stats'!$A202="","",'Current Char Stats'!$U202)</f>
        <v/>
      </c>
      <c r="W333" s="18" t="str">
        <f ca="1">IF('Current Char Stats'!$A202="","",'Current Char Stats'!$V202)</f>
        <v/>
      </c>
      <c r="X333" s="18" t="str">
        <f ca="1">IF('Current Char Stats'!$A202="","",'Current Char Stats'!$W202)</f>
        <v/>
      </c>
      <c r="Y333" s="18" t="str">
        <f ca="1">IF('Current Char Stats'!$A202="","",'Current Char Stats'!$X202)</f>
        <v/>
      </c>
      <c r="Z333" s="18" t="str">
        <f ca="1">IF('Current Char Stats'!$A202="","",'Current Char Stats'!$Y202)</f>
        <v/>
      </c>
      <c r="AA333" s="18" t="str">
        <f ca="1">IF('Current Char Stats'!$A202="","",'Current Char Stats'!$Z202)</f>
        <v/>
      </c>
      <c r="AB333" s="18" t="str">
        <f ca="1">IF('Current Char Stats'!$A202="","",'Current Char Stats'!$AA202)</f>
        <v/>
      </c>
      <c r="AC333" s="18" t="str">
        <f ca="1">IF('Current Char Stats'!$A202="","",'Current Char Stats'!$AB202)</f>
        <v/>
      </c>
      <c r="AD333" s="18" t="str">
        <f ca="1">IF('Current Char Stats'!$A202="","",'Current Char Stats'!$AC202)</f>
        <v/>
      </c>
      <c r="AE333" s="18" t="str">
        <f ca="1">IF('Current Char Stats'!$A202="","",'Current Char Stats'!$AD202)</f>
        <v/>
      </c>
      <c r="AF333" s="18" t="str">
        <f ca="1">IF('Current Char Stats'!$A202="","",'Current Char Stats'!$AE202)</f>
        <v/>
      </c>
    </row>
    <row r="334" spans="1:32">
      <c r="A334" s="18" t="str">
        <f ca="1">IF('Current Char Stats'!$A203="","",Settings!$B$2)</f>
        <v/>
      </c>
      <c r="B334" s="117" t="str">
        <f ca="1">IF('Current Char Stats'!$A203="","",'Current Char Stats'!$A203)</f>
        <v/>
      </c>
      <c r="C334" s="18" t="str">
        <f ca="1">IF('Current Char Stats'!$A203="","",'Current Char Stats'!$B203)</f>
        <v/>
      </c>
      <c r="D334" s="18" t="str">
        <f ca="1">IF('Current Char Stats'!$A203="","",'Current Char Stats'!$C203)</f>
        <v/>
      </c>
      <c r="E334" s="18" t="str">
        <f ca="1">IF('Current Char Stats'!$A203="","",'Current Char Stats'!$D203)</f>
        <v/>
      </c>
      <c r="F334" s="18" t="str">
        <f ca="1">IF('Current Char Stats'!$A203="","",'Current Char Stats'!$E203)</f>
        <v/>
      </c>
      <c r="G334" s="18" t="str">
        <f ca="1">IF('Current Char Stats'!$A203="","",'Current Char Stats'!$F203)</f>
        <v/>
      </c>
      <c r="H334" s="18" t="str">
        <f ca="1">IF('Current Char Stats'!$A203="","",'Current Char Stats'!$G203)</f>
        <v/>
      </c>
      <c r="I334" s="18" t="str">
        <f ca="1">IF('Current Char Stats'!$A203="","",'Current Char Stats'!$H203)</f>
        <v/>
      </c>
      <c r="J334" s="18" t="str">
        <f ca="1">IF('Current Char Stats'!$A203="","",'Current Char Stats'!$I203)</f>
        <v/>
      </c>
      <c r="K334" s="18" t="str">
        <f ca="1">IF('Current Char Stats'!$A203="","",'Current Char Stats'!$J203)</f>
        <v/>
      </c>
      <c r="L334" s="18" t="str">
        <f ca="1">IF('Current Char Stats'!$A203="","",'Current Char Stats'!$K203)</f>
        <v/>
      </c>
      <c r="M334" s="18" t="str">
        <f ca="1">IF('Current Char Stats'!$A203="","",'Current Char Stats'!$L203)</f>
        <v/>
      </c>
      <c r="N334" s="18" t="str">
        <f ca="1">IF('Current Char Stats'!$A203="","",'Current Char Stats'!$M203)</f>
        <v/>
      </c>
      <c r="O334" s="18" t="str">
        <f ca="1">IF('Current Char Stats'!$A203="","",'Current Char Stats'!$N203)</f>
        <v/>
      </c>
      <c r="P334" s="18" t="str">
        <f ca="1">IF('Current Char Stats'!$A203="","",'Current Char Stats'!$O203)</f>
        <v/>
      </c>
      <c r="Q334" s="18" t="str">
        <f ca="1">IF('Current Char Stats'!$A203="","",'Current Char Stats'!$P203)</f>
        <v/>
      </c>
      <c r="R334" s="18" t="str">
        <f ca="1">IF('Current Char Stats'!$A203="","",'Current Char Stats'!$Q203)</f>
        <v/>
      </c>
      <c r="S334" s="18" t="str">
        <f ca="1">IF('Current Char Stats'!$A203="","",'Current Char Stats'!$R203)</f>
        <v/>
      </c>
      <c r="T334" s="18" t="str">
        <f ca="1">IF('Current Char Stats'!$A203="","",'Current Char Stats'!$S203)</f>
        <v/>
      </c>
      <c r="U334" s="18" t="str">
        <f ca="1">IF('Current Char Stats'!$A203="","",'Current Char Stats'!$T203)</f>
        <v/>
      </c>
      <c r="V334" s="18" t="str">
        <f ca="1">IF('Current Char Stats'!$A203="","",'Current Char Stats'!$U203)</f>
        <v/>
      </c>
      <c r="W334" s="18" t="str">
        <f ca="1">IF('Current Char Stats'!$A203="","",'Current Char Stats'!$V203)</f>
        <v/>
      </c>
      <c r="X334" s="18" t="str">
        <f ca="1">IF('Current Char Stats'!$A203="","",'Current Char Stats'!$W203)</f>
        <v/>
      </c>
      <c r="Y334" s="18" t="str">
        <f ca="1">IF('Current Char Stats'!$A203="","",'Current Char Stats'!$X203)</f>
        <v/>
      </c>
      <c r="Z334" s="18" t="str">
        <f ca="1">IF('Current Char Stats'!$A203="","",'Current Char Stats'!$Y203)</f>
        <v/>
      </c>
      <c r="AA334" s="18" t="str">
        <f ca="1">IF('Current Char Stats'!$A203="","",'Current Char Stats'!$Z203)</f>
        <v/>
      </c>
      <c r="AB334" s="18" t="str">
        <f ca="1">IF('Current Char Stats'!$A203="","",'Current Char Stats'!$AA203)</f>
        <v/>
      </c>
      <c r="AC334" s="18" t="str">
        <f ca="1">IF('Current Char Stats'!$A203="","",'Current Char Stats'!$AB203)</f>
        <v/>
      </c>
      <c r="AD334" s="18" t="str">
        <f ca="1">IF('Current Char Stats'!$A203="","",'Current Char Stats'!$AC203)</f>
        <v/>
      </c>
      <c r="AE334" s="18" t="str">
        <f ca="1">IF('Current Char Stats'!$A203="","",'Current Char Stats'!$AD203)</f>
        <v/>
      </c>
      <c r="AF334" s="18" t="str">
        <f ca="1">IF('Current Char Stats'!$A203="","",'Current Char Stats'!$AE203)</f>
        <v/>
      </c>
    </row>
    <row r="335" spans="1:32">
      <c r="A335" s="18" t="str">
        <f ca="1">IF('Current Char Stats'!$A204="","",Settings!$B$2)</f>
        <v/>
      </c>
      <c r="B335" s="117" t="str">
        <f ca="1">IF('Current Char Stats'!$A204="","",'Current Char Stats'!$A204)</f>
        <v/>
      </c>
      <c r="C335" s="18" t="str">
        <f ca="1">IF('Current Char Stats'!$A204="","",'Current Char Stats'!$B204)</f>
        <v/>
      </c>
      <c r="D335" s="18" t="str">
        <f ca="1">IF('Current Char Stats'!$A204="","",'Current Char Stats'!$C204)</f>
        <v/>
      </c>
      <c r="E335" s="18" t="str">
        <f ca="1">IF('Current Char Stats'!$A204="","",'Current Char Stats'!$D204)</f>
        <v/>
      </c>
      <c r="F335" s="18" t="str">
        <f ca="1">IF('Current Char Stats'!$A204="","",'Current Char Stats'!$E204)</f>
        <v/>
      </c>
      <c r="G335" s="18" t="str">
        <f ca="1">IF('Current Char Stats'!$A204="","",'Current Char Stats'!$F204)</f>
        <v/>
      </c>
      <c r="H335" s="18" t="str">
        <f ca="1">IF('Current Char Stats'!$A204="","",'Current Char Stats'!$G204)</f>
        <v/>
      </c>
      <c r="I335" s="18" t="str">
        <f ca="1">IF('Current Char Stats'!$A204="","",'Current Char Stats'!$H204)</f>
        <v/>
      </c>
      <c r="J335" s="18" t="str">
        <f ca="1">IF('Current Char Stats'!$A204="","",'Current Char Stats'!$I204)</f>
        <v/>
      </c>
      <c r="K335" s="18" t="str">
        <f ca="1">IF('Current Char Stats'!$A204="","",'Current Char Stats'!$J204)</f>
        <v/>
      </c>
      <c r="L335" s="18" t="str">
        <f ca="1">IF('Current Char Stats'!$A204="","",'Current Char Stats'!$K204)</f>
        <v/>
      </c>
      <c r="M335" s="18" t="str">
        <f ca="1">IF('Current Char Stats'!$A204="","",'Current Char Stats'!$L204)</f>
        <v/>
      </c>
      <c r="N335" s="18" t="str">
        <f ca="1">IF('Current Char Stats'!$A204="","",'Current Char Stats'!$M204)</f>
        <v/>
      </c>
      <c r="O335" s="18" t="str">
        <f ca="1">IF('Current Char Stats'!$A204="","",'Current Char Stats'!$N204)</f>
        <v/>
      </c>
      <c r="P335" s="18" t="str">
        <f ca="1">IF('Current Char Stats'!$A204="","",'Current Char Stats'!$O204)</f>
        <v/>
      </c>
      <c r="Q335" s="18" t="str">
        <f ca="1">IF('Current Char Stats'!$A204="","",'Current Char Stats'!$P204)</f>
        <v/>
      </c>
      <c r="R335" s="18" t="str">
        <f ca="1">IF('Current Char Stats'!$A204="","",'Current Char Stats'!$Q204)</f>
        <v/>
      </c>
      <c r="S335" s="18" t="str">
        <f ca="1">IF('Current Char Stats'!$A204="","",'Current Char Stats'!$R204)</f>
        <v/>
      </c>
      <c r="T335" s="18" t="str">
        <f ca="1">IF('Current Char Stats'!$A204="","",'Current Char Stats'!$S204)</f>
        <v/>
      </c>
      <c r="U335" s="18" t="str">
        <f ca="1">IF('Current Char Stats'!$A204="","",'Current Char Stats'!$T204)</f>
        <v/>
      </c>
      <c r="V335" s="18" t="str">
        <f ca="1">IF('Current Char Stats'!$A204="","",'Current Char Stats'!$U204)</f>
        <v/>
      </c>
      <c r="W335" s="18" t="str">
        <f ca="1">IF('Current Char Stats'!$A204="","",'Current Char Stats'!$V204)</f>
        <v/>
      </c>
      <c r="X335" s="18" t="str">
        <f ca="1">IF('Current Char Stats'!$A204="","",'Current Char Stats'!$W204)</f>
        <v/>
      </c>
      <c r="Y335" s="18" t="str">
        <f ca="1">IF('Current Char Stats'!$A204="","",'Current Char Stats'!$X204)</f>
        <v/>
      </c>
      <c r="Z335" s="18" t="str">
        <f ca="1">IF('Current Char Stats'!$A204="","",'Current Char Stats'!$Y204)</f>
        <v/>
      </c>
      <c r="AA335" s="18" t="str">
        <f ca="1">IF('Current Char Stats'!$A204="","",'Current Char Stats'!$Z204)</f>
        <v/>
      </c>
      <c r="AB335" s="18" t="str">
        <f ca="1">IF('Current Char Stats'!$A204="","",'Current Char Stats'!$AA204)</f>
        <v/>
      </c>
      <c r="AC335" s="18" t="str">
        <f ca="1">IF('Current Char Stats'!$A204="","",'Current Char Stats'!$AB204)</f>
        <v/>
      </c>
      <c r="AD335" s="18" t="str">
        <f ca="1">IF('Current Char Stats'!$A204="","",'Current Char Stats'!$AC204)</f>
        <v/>
      </c>
      <c r="AE335" s="18" t="str">
        <f ca="1">IF('Current Char Stats'!$A204="","",'Current Char Stats'!$AD204)</f>
        <v/>
      </c>
      <c r="AF335" s="18" t="str">
        <f ca="1">IF('Current Char Stats'!$A204="","",'Current Char Stats'!$AE204)</f>
        <v/>
      </c>
    </row>
    <row r="336" spans="1:32">
      <c r="A336" s="18" t="str">
        <f ca="1">IF('Current Char Stats'!$A205="","",Settings!$B$2)</f>
        <v/>
      </c>
      <c r="B336" s="117" t="str">
        <f ca="1">IF('Current Char Stats'!$A205="","",'Current Char Stats'!$A205)</f>
        <v/>
      </c>
      <c r="C336" s="18" t="str">
        <f ca="1">IF('Current Char Stats'!$A205="","",'Current Char Stats'!$B205)</f>
        <v/>
      </c>
      <c r="D336" s="18" t="str">
        <f ca="1">IF('Current Char Stats'!$A205="","",'Current Char Stats'!$C205)</f>
        <v/>
      </c>
      <c r="E336" s="18" t="str">
        <f ca="1">IF('Current Char Stats'!$A205="","",'Current Char Stats'!$D205)</f>
        <v/>
      </c>
      <c r="F336" s="18" t="str">
        <f ca="1">IF('Current Char Stats'!$A205="","",'Current Char Stats'!$E205)</f>
        <v/>
      </c>
      <c r="G336" s="18" t="str">
        <f ca="1">IF('Current Char Stats'!$A205="","",'Current Char Stats'!$F205)</f>
        <v/>
      </c>
      <c r="H336" s="18" t="str">
        <f ca="1">IF('Current Char Stats'!$A205="","",'Current Char Stats'!$G205)</f>
        <v/>
      </c>
      <c r="I336" s="18" t="str">
        <f ca="1">IF('Current Char Stats'!$A205="","",'Current Char Stats'!$H205)</f>
        <v/>
      </c>
      <c r="J336" s="18" t="str">
        <f ca="1">IF('Current Char Stats'!$A205="","",'Current Char Stats'!$I205)</f>
        <v/>
      </c>
      <c r="K336" s="18" t="str">
        <f ca="1">IF('Current Char Stats'!$A205="","",'Current Char Stats'!$J205)</f>
        <v/>
      </c>
      <c r="L336" s="18" t="str">
        <f ca="1">IF('Current Char Stats'!$A205="","",'Current Char Stats'!$K205)</f>
        <v/>
      </c>
      <c r="M336" s="18" t="str">
        <f ca="1">IF('Current Char Stats'!$A205="","",'Current Char Stats'!$L205)</f>
        <v/>
      </c>
      <c r="N336" s="18" t="str">
        <f ca="1">IF('Current Char Stats'!$A205="","",'Current Char Stats'!$M205)</f>
        <v/>
      </c>
      <c r="O336" s="18" t="str">
        <f ca="1">IF('Current Char Stats'!$A205="","",'Current Char Stats'!$N205)</f>
        <v/>
      </c>
      <c r="P336" s="18" t="str">
        <f ca="1">IF('Current Char Stats'!$A205="","",'Current Char Stats'!$O205)</f>
        <v/>
      </c>
      <c r="Q336" s="18" t="str">
        <f ca="1">IF('Current Char Stats'!$A205="","",'Current Char Stats'!$P205)</f>
        <v/>
      </c>
      <c r="R336" s="18" t="str">
        <f ca="1">IF('Current Char Stats'!$A205="","",'Current Char Stats'!$Q205)</f>
        <v/>
      </c>
      <c r="S336" s="18" t="str">
        <f ca="1">IF('Current Char Stats'!$A205="","",'Current Char Stats'!$R205)</f>
        <v/>
      </c>
      <c r="T336" s="18" t="str">
        <f ca="1">IF('Current Char Stats'!$A205="","",'Current Char Stats'!$S205)</f>
        <v/>
      </c>
      <c r="U336" s="18" t="str">
        <f ca="1">IF('Current Char Stats'!$A205="","",'Current Char Stats'!$T205)</f>
        <v/>
      </c>
      <c r="V336" s="18" t="str">
        <f ca="1">IF('Current Char Stats'!$A205="","",'Current Char Stats'!$U205)</f>
        <v/>
      </c>
      <c r="W336" s="18" t="str">
        <f ca="1">IF('Current Char Stats'!$A205="","",'Current Char Stats'!$V205)</f>
        <v/>
      </c>
      <c r="X336" s="18" t="str">
        <f ca="1">IF('Current Char Stats'!$A205="","",'Current Char Stats'!$W205)</f>
        <v/>
      </c>
      <c r="Y336" s="18" t="str">
        <f ca="1">IF('Current Char Stats'!$A205="","",'Current Char Stats'!$X205)</f>
        <v/>
      </c>
      <c r="Z336" s="18" t="str">
        <f ca="1">IF('Current Char Stats'!$A205="","",'Current Char Stats'!$Y205)</f>
        <v/>
      </c>
      <c r="AA336" s="18" t="str">
        <f ca="1">IF('Current Char Stats'!$A205="","",'Current Char Stats'!$Z205)</f>
        <v/>
      </c>
      <c r="AB336" s="18" t="str">
        <f ca="1">IF('Current Char Stats'!$A205="","",'Current Char Stats'!$AA205)</f>
        <v/>
      </c>
      <c r="AC336" s="18" t="str">
        <f ca="1">IF('Current Char Stats'!$A205="","",'Current Char Stats'!$AB205)</f>
        <v/>
      </c>
      <c r="AD336" s="18" t="str">
        <f ca="1">IF('Current Char Stats'!$A205="","",'Current Char Stats'!$AC205)</f>
        <v/>
      </c>
      <c r="AE336" s="18" t="str">
        <f ca="1">IF('Current Char Stats'!$A205="","",'Current Char Stats'!$AD205)</f>
        <v/>
      </c>
      <c r="AF336" s="18" t="str">
        <f ca="1">IF('Current Char Stats'!$A205="","",'Current Char Stats'!$AE205)</f>
        <v/>
      </c>
    </row>
    <row r="337" spans="1:32">
      <c r="A337" s="18" t="str">
        <f ca="1">IF('Current Char Stats'!$A206="","",Settings!$B$2)</f>
        <v/>
      </c>
      <c r="B337" s="117" t="str">
        <f ca="1">IF('Current Char Stats'!$A206="","",'Current Char Stats'!$A206)</f>
        <v/>
      </c>
      <c r="C337" s="18" t="str">
        <f ca="1">IF('Current Char Stats'!$A206="","",'Current Char Stats'!$B206)</f>
        <v/>
      </c>
      <c r="D337" s="18" t="str">
        <f ca="1">IF('Current Char Stats'!$A206="","",'Current Char Stats'!$C206)</f>
        <v/>
      </c>
      <c r="E337" s="18" t="str">
        <f ca="1">IF('Current Char Stats'!$A206="","",'Current Char Stats'!$D206)</f>
        <v/>
      </c>
      <c r="F337" s="18" t="str">
        <f ca="1">IF('Current Char Stats'!$A206="","",'Current Char Stats'!$E206)</f>
        <v/>
      </c>
      <c r="G337" s="18" t="str">
        <f ca="1">IF('Current Char Stats'!$A206="","",'Current Char Stats'!$F206)</f>
        <v/>
      </c>
      <c r="H337" s="18" t="str">
        <f ca="1">IF('Current Char Stats'!$A206="","",'Current Char Stats'!$G206)</f>
        <v/>
      </c>
      <c r="I337" s="18" t="str">
        <f ca="1">IF('Current Char Stats'!$A206="","",'Current Char Stats'!$H206)</f>
        <v/>
      </c>
      <c r="J337" s="18" t="str">
        <f ca="1">IF('Current Char Stats'!$A206="","",'Current Char Stats'!$I206)</f>
        <v/>
      </c>
      <c r="K337" s="18" t="str">
        <f ca="1">IF('Current Char Stats'!$A206="","",'Current Char Stats'!$J206)</f>
        <v/>
      </c>
      <c r="L337" s="18" t="str">
        <f ca="1">IF('Current Char Stats'!$A206="","",'Current Char Stats'!$K206)</f>
        <v/>
      </c>
      <c r="M337" s="18" t="str">
        <f ca="1">IF('Current Char Stats'!$A206="","",'Current Char Stats'!$L206)</f>
        <v/>
      </c>
      <c r="N337" s="18" t="str">
        <f ca="1">IF('Current Char Stats'!$A206="","",'Current Char Stats'!$M206)</f>
        <v/>
      </c>
      <c r="O337" s="18" t="str">
        <f ca="1">IF('Current Char Stats'!$A206="","",'Current Char Stats'!$N206)</f>
        <v/>
      </c>
      <c r="P337" s="18" t="str">
        <f ca="1">IF('Current Char Stats'!$A206="","",'Current Char Stats'!$O206)</f>
        <v/>
      </c>
      <c r="Q337" s="18" t="str">
        <f ca="1">IF('Current Char Stats'!$A206="","",'Current Char Stats'!$P206)</f>
        <v/>
      </c>
      <c r="R337" s="18" t="str">
        <f ca="1">IF('Current Char Stats'!$A206="","",'Current Char Stats'!$Q206)</f>
        <v/>
      </c>
      <c r="S337" s="18" t="str">
        <f ca="1">IF('Current Char Stats'!$A206="","",'Current Char Stats'!$R206)</f>
        <v/>
      </c>
      <c r="T337" s="18" t="str">
        <f ca="1">IF('Current Char Stats'!$A206="","",'Current Char Stats'!$S206)</f>
        <v/>
      </c>
      <c r="U337" s="18" t="str">
        <f ca="1">IF('Current Char Stats'!$A206="","",'Current Char Stats'!$T206)</f>
        <v/>
      </c>
      <c r="V337" s="18" t="str">
        <f ca="1">IF('Current Char Stats'!$A206="","",'Current Char Stats'!$U206)</f>
        <v/>
      </c>
      <c r="W337" s="18" t="str">
        <f ca="1">IF('Current Char Stats'!$A206="","",'Current Char Stats'!$V206)</f>
        <v/>
      </c>
      <c r="X337" s="18" t="str">
        <f ca="1">IF('Current Char Stats'!$A206="","",'Current Char Stats'!$W206)</f>
        <v/>
      </c>
      <c r="Y337" s="18" t="str">
        <f ca="1">IF('Current Char Stats'!$A206="","",'Current Char Stats'!$X206)</f>
        <v/>
      </c>
      <c r="Z337" s="18" t="str">
        <f ca="1">IF('Current Char Stats'!$A206="","",'Current Char Stats'!$Y206)</f>
        <v/>
      </c>
      <c r="AA337" s="18" t="str">
        <f ca="1">IF('Current Char Stats'!$A206="","",'Current Char Stats'!$Z206)</f>
        <v/>
      </c>
      <c r="AB337" s="18" t="str">
        <f ca="1">IF('Current Char Stats'!$A206="","",'Current Char Stats'!$AA206)</f>
        <v/>
      </c>
      <c r="AC337" s="18" t="str">
        <f ca="1">IF('Current Char Stats'!$A206="","",'Current Char Stats'!$AB206)</f>
        <v/>
      </c>
      <c r="AD337" s="18" t="str">
        <f ca="1">IF('Current Char Stats'!$A206="","",'Current Char Stats'!$AC206)</f>
        <v/>
      </c>
      <c r="AE337" s="18" t="str">
        <f ca="1">IF('Current Char Stats'!$A206="","",'Current Char Stats'!$AD206)</f>
        <v/>
      </c>
      <c r="AF337" s="18" t="str">
        <f ca="1">IF('Current Char Stats'!$A206="","",'Current Char Stats'!$AE206)</f>
        <v/>
      </c>
    </row>
    <row r="338" spans="1:32">
      <c r="A338" s="18" t="str">
        <f ca="1">IF('Current Char Stats'!$A207="","",Settings!$B$2)</f>
        <v/>
      </c>
      <c r="B338" s="117" t="str">
        <f ca="1">IF('Current Char Stats'!$A207="","",'Current Char Stats'!$A207)</f>
        <v/>
      </c>
      <c r="C338" s="18" t="str">
        <f ca="1">IF('Current Char Stats'!$A207="","",'Current Char Stats'!$B207)</f>
        <v/>
      </c>
      <c r="D338" s="18" t="str">
        <f ca="1">IF('Current Char Stats'!$A207="","",'Current Char Stats'!$C207)</f>
        <v/>
      </c>
      <c r="E338" s="18" t="str">
        <f ca="1">IF('Current Char Stats'!$A207="","",'Current Char Stats'!$D207)</f>
        <v/>
      </c>
      <c r="F338" s="18" t="str">
        <f ca="1">IF('Current Char Stats'!$A207="","",'Current Char Stats'!$E207)</f>
        <v/>
      </c>
      <c r="G338" s="18" t="str">
        <f ca="1">IF('Current Char Stats'!$A207="","",'Current Char Stats'!$F207)</f>
        <v/>
      </c>
      <c r="H338" s="18" t="str">
        <f ca="1">IF('Current Char Stats'!$A207="","",'Current Char Stats'!$G207)</f>
        <v/>
      </c>
      <c r="I338" s="18" t="str">
        <f ca="1">IF('Current Char Stats'!$A207="","",'Current Char Stats'!$H207)</f>
        <v/>
      </c>
      <c r="J338" s="18" t="str">
        <f ca="1">IF('Current Char Stats'!$A207="","",'Current Char Stats'!$I207)</f>
        <v/>
      </c>
      <c r="K338" s="18" t="str">
        <f ca="1">IF('Current Char Stats'!$A207="","",'Current Char Stats'!$J207)</f>
        <v/>
      </c>
      <c r="L338" s="18" t="str">
        <f ca="1">IF('Current Char Stats'!$A207="","",'Current Char Stats'!$K207)</f>
        <v/>
      </c>
      <c r="M338" s="18" t="str">
        <f ca="1">IF('Current Char Stats'!$A207="","",'Current Char Stats'!$L207)</f>
        <v/>
      </c>
      <c r="N338" s="18" t="str">
        <f ca="1">IF('Current Char Stats'!$A207="","",'Current Char Stats'!$M207)</f>
        <v/>
      </c>
      <c r="O338" s="18" t="str">
        <f ca="1">IF('Current Char Stats'!$A207="","",'Current Char Stats'!$N207)</f>
        <v/>
      </c>
      <c r="P338" s="18" t="str">
        <f ca="1">IF('Current Char Stats'!$A207="","",'Current Char Stats'!$O207)</f>
        <v/>
      </c>
      <c r="Q338" s="18" t="str">
        <f ca="1">IF('Current Char Stats'!$A207="","",'Current Char Stats'!$P207)</f>
        <v/>
      </c>
      <c r="R338" s="18" t="str">
        <f ca="1">IF('Current Char Stats'!$A207="","",'Current Char Stats'!$Q207)</f>
        <v/>
      </c>
      <c r="S338" s="18" t="str">
        <f ca="1">IF('Current Char Stats'!$A207="","",'Current Char Stats'!$R207)</f>
        <v/>
      </c>
      <c r="T338" s="18" t="str">
        <f ca="1">IF('Current Char Stats'!$A207="","",'Current Char Stats'!$S207)</f>
        <v/>
      </c>
      <c r="U338" s="18" t="str">
        <f ca="1">IF('Current Char Stats'!$A207="","",'Current Char Stats'!$T207)</f>
        <v/>
      </c>
      <c r="V338" s="18" t="str">
        <f ca="1">IF('Current Char Stats'!$A207="","",'Current Char Stats'!$U207)</f>
        <v/>
      </c>
      <c r="W338" s="18" t="str">
        <f ca="1">IF('Current Char Stats'!$A207="","",'Current Char Stats'!$V207)</f>
        <v/>
      </c>
      <c r="X338" s="18" t="str">
        <f ca="1">IF('Current Char Stats'!$A207="","",'Current Char Stats'!$W207)</f>
        <v/>
      </c>
      <c r="Y338" s="18" t="str">
        <f ca="1">IF('Current Char Stats'!$A207="","",'Current Char Stats'!$X207)</f>
        <v/>
      </c>
      <c r="Z338" s="18" t="str">
        <f ca="1">IF('Current Char Stats'!$A207="","",'Current Char Stats'!$Y207)</f>
        <v/>
      </c>
      <c r="AA338" s="18" t="str">
        <f ca="1">IF('Current Char Stats'!$A207="","",'Current Char Stats'!$Z207)</f>
        <v/>
      </c>
      <c r="AB338" s="18" t="str">
        <f ca="1">IF('Current Char Stats'!$A207="","",'Current Char Stats'!$AA207)</f>
        <v/>
      </c>
      <c r="AC338" s="18" t="str">
        <f ca="1">IF('Current Char Stats'!$A207="","",'Current Char Stats'!$AB207)</f>
        <v/>
      </c>
      <c r="AD338" s="18" t="str">
        <f ca="1">IF('Current Char Stats'!$A207="","",'Current Char Stats'!$AC207)</f>
        <v/>
      </c>
      <c r="AE338" s="18" t="str">
        <f ca="1">IF('Current Char Stats'!$A207="","",'Current Char Stats'!$AD207)</f>
        <v/>
      </c>
      <c r="AF338" s="18" t="str">
        <f ca="1">IF('Current Char Stats'!$A207="","",'Current Char Stats'!$AE207)</f>
        <v/>
      </c>
    </row>
    <row r="339" spans="1:32">
      <c r="A339" s="18" t="str">
        <f ca="1">IF('Current Char Stats'!$A208="","",Settings!$B$2)</f>
        <v/>
      </c>
      <c r="B339" s="117" t="str">
        <f ca="1">IF('Current Char Stats'!$A208="","",'Current Char Stats'!$A208)</f>
        <v/>
      </c>
      <c r="C339" s="18" t="str">
        <f ca="1">IF('Current Char Stats'!$A208="","",'Current Char Stats'!$B208)</f>
        <v/>
      </c>
      <c r="D339" s="18" t="str">
        <f ca="1">IF('Current Char Stats'!$A208="","",'Current Char Stats'!$C208)</f>
        <v/>
      </c>
      <c r="E339" s="18" t="str">
        <f ca="1">IF('Current Char Stats'!$A208="","",'Current Char Stats'!$D208)</f>
        <v/>
      </c>
      <c r="F339" s="18" t="str">
        <f ca="1">IF('Current Char Stats'!$A208="","",'Current Char Stats'!$E208)</f>
        <v/>
      </c>
      <c r="G339" s="18" t="str">
        <f ca="1">IF('Current Char Stats'!$A208="","",'Current Char Stats'!$F208)</f>
        <v/>
      </c>
      <c r="H339" s="18" t="str">
        <f ca="1">IF('Current Char Stats'!$A208="","",'Current Char Stats'!$G208)</f>
        <v/>
      </c>
      <c r="I339" s="18" t="str">
        <f ca="1">IF('Current Char Stats'!$A208="","",'Current Char Stats'!$H208)</f>
        <v/>
      </c>
      <c r="J339" s="18" t="str">
        <f ca="1">IF('Current Char Stats'!$A208="","",'Current Char Stats'!$I208)</f>
        <v/>
      </c>
      <c r="K339" s="18" t="str">
        <f ca="1">IF('Current Char Stats'!$A208="","",'Current Char Stats'!$J208)</f>
        <v/>
      </c>
      <c r="L339" s="18" t="str">
        <f ca="1">IF('Current Char Stats'!$A208="","",'Current Char Stats'!$K208)</f>
        <v/>
      </c>
      <c r="M339" s="18" t="str">
        <f ca="1">IF('Current Char Stats'!$A208="","",'Current Char Stats'!$L208)</f>
        <v/>
      </c>
      <c r="N339" s="18" t="str">
        <f ca="1">IF('Current Char Stats'!$A208="","",'Current Char Stats'!$M208)</f>
        <v/>
      </c>
      <c r="O339" s="18" t="str">
        <f ca="1">IF('Current Char Stats'!$A208="","",'Current Char Stats'!$N208)</f>
        <v/>
      </c>
      <c r="P339" s="18" t="str">
        <f ca="1">IF('Current Char Stats'!$A208="","",'Current Char Stats'!$O208)</f>
        <v/>
      </c>
      <c r="Q339" s="18" t="str">
        <f ca="1">IF('Current Char Stats'!$A208="","",'Current Char Stats'!$P208)</f>
        <v/>
      </c>
      <c r="R339" s="18" t="str">
        <f ca="1">IF('Current Char Stats'!$A208="","",'Current Char Stats'!$Q208)</f>
        <v/>
      </c>
      <c r="S339" s="18" t="str">
        <f ca="1">IF('Current Char Stats'!$A208="","",'Current Char Stats'!$R208)</f>
        <v/>
      </c>
      <c r="T339" s="18" t="str">
        <f ca="1">IF('Current Char Stats'!$A208="","",'Current Char Stats'!$S208)</f>
        <v/>
      </c>
      <c r="U339" s="18" t="str">
        <f ca="1">IF('Current Char Stats'!$A208="","",'Current Char Stats'!$T208)</f>
        <v/>
      </c>
      <c r="V339" s="18" t="str">
        <f ca="1">IF('Current Char Stats'!$A208="","",'Current Char Stats'!$U208)</f>
        <v/>
      </c>
      <c r="W339" s="18" t="str">
        <f ca="1">IF('Current Char Stats'!$A208="","",'Current Char Stats'!$V208)</f>
        <v/>
      </c>
      <c r="X339" s="18" t="str">
        <f ca="1">IF('Current Char Stats'!$A208="","",'Current Char Stats'!$W208)</f>
        <v/>
      </c>
      <c r="Y339" s="18" t="str">
        <f ca="1">IF('Current Char Stats'!$A208="","",'Current Char Stats'!$X208)</f>
        <v/>
      </c>
      <c r="Z339" s="18" t="str">
        <f ca="1">IF('Current Char Stats'!$A208="","",'Current Char Stats'!$Y208)</f>
        <v/>
      </c>
      <c r="AA339" s="18" t="str">
        <f ca="1">IF('Current Char Stats'!$A208="","",'Current Char Stats'!$Z208)</f>
        <v/>
      </c>
      <c r="AB339" s="18" t="str">
        <f ca="1">IF('Current Char Stats'!$A208="","",'Current Char Stats'!$AA208)</f>
        <v/>
      </c>
      <c r="AC339" s="18" t="str">
        <f ca="1">IF('Current Char Stats'!$A208="","",'Current Char Stats'!$AB208)</f>
        <v/>
      </c>
      <c r="AD339" s="18" t="str">
        <f ca="1">IF('Current Char Stats'!$A208="","",'Current Char Stats'!$AC208)</f>
        <v/>
      </c>
      <c r="AE339" s="18" t="str">
        <f ca="1">IF('Current Char Stats'!$A208="","",'Current Char Stats'!$AD208)</f>
        <v/>
      </c>
      <c r="AF339" s="18" t="str">
        <f ca="1">IF('Current Char Stats'!$A208="","",'Current Char Stats'!$AE208)</f>
        <v/>
      </c>
    </row>
    <row r="340" spans="1:32">
      <c r="A340" s="18" t="str">
        <f ca="1">IF('Current Char Stats'!$A209="","",Settings!$B$2)</f>
        <v/>
      </c>
      <c r="B340" s="117" t="str">
        <f ca="1">IF('Current Char Stats'!$A209="","",'Current Char Stats'!$A209)</f>
        <v/>
      </c>
      <c r="C340" s="18" t="str">
        <f ca="1">IF('Current Char Stats'!$A209="","",'Current Char Stats'!$B209)</f>
        <v/>
      </c>
      <c r="D340" s="18" t="str">
        <f ca="1">IF('Current Char Stats'!$A209="","",'Current Char Stats'!$C209)</f>
        <v/>
      </c>
      <c r="E340" s="18" t="str">
        <f ca="1">IF('Current Char Stats'!$A209="","",'Current Char Stats'!$D209)</f>
        <v/>
      </c>
      <c r="F340" s="18" t="str">
        <f ca="1">IF('Current Char Stats'!$A209="","",'Current Char Stats'!$E209)</f>
        <v/>
      </c>
      <c r="G340" s="18" t="str">
        <f ca="1">IF('Current Char Stats'!$A209="","",'Current Char Stats'!$F209)</f>
        <v/>
      </c>
      <c r="H340" s="18" t="str">
        <f ca="1">IF('Current Char Stats'!$A209="","",'Current Char Stats'!$G209)</f>
        <v/>
      </c>
      <c r="I340" s="18" t="str">
        <f ca="1">IF('Current Char Stats'!$A209="","",'Current Char Stats'!$H209)</f>
        <v/>
      </c>
      <c r="J340" s="18" t="str">
        <f ca="1">IF('Current Char Stats'!$A209="","",'Current Char Stats'!$I209)</f>
        <v/>
      </c>
      <c r="K340" s="18" t="str">
        <f ca="1">IF('Current Char Stats'!$A209="","",'Current Char Stats'!$J209)</f>
        <v/>
      </c>
      <c r="L340" s="18" t="str">
        <f ca="1">IF('Current Char Stats'!$A209="","",'Current Char Stats'!$K209)</f>
        <v/>
      </c>
      <c r="M340" s="18" t="str">
        <f ca="1">IF('Current Char Stats'!$A209="","",'Current Char Stats'!$L209)</f>
        <v/>
      </c>
      <c r="N340" s="18" t="str">
        <f ca="1">IF('Current Char Stats'!$A209="","",'Current Char Stats'!$M209)</f>
        <v/>
      </c>
      <c r="O340" s="18" t="str">
        <f ca="1">IF('Current Char Stats'!$A209="","",'Current Char Stats'!$N209)</f>
        <v/>
      </c>
      <c r="P340" s="18" t="str">
        <f ca="1">IF('Current Char Stats'!$A209="","",'Current Char Stats'!$O209)</f>
        <v/>
      </c>
      <c r="Q340" s="18" t="str">
        <f ca="1">IF('Current Char Stats'!$A209="","",'Current Char Stats'!$P209)</f>
        <v/>
      </c>
      <c r="R340" s="18" t="str">
        <f ca="1">IF('Current Char Stats'!$A209="","",'Current Char Stats'!$Q209)</f>
        <v/>
      </c>
      <c r="S340" s="18" t="str">
        <f ca="1">IF('Current Char Stats'!$A209="","",'Current Char Stats'!$R209)</f>
        <v/>
      </c>
      <c r="T340" s="18" t="str">
        <f ca="1">IF('Current Char Stats'!$A209="","",'Current Char Stats'!$S209)</f>
        <v/>
      </c>
      <c r="U340" s="18" t="str">
        <f ca="1">IF('Current Char Stats'!$A209="","",'Current Char Stats'!$T209)</f>
        <v/>
      </c>
      <c r="V340" s="18" t="str">
        <f ca="1">IF('Current Char Stats'!$A209="","",'Current Char Stats'!$U209)</f>
        <v/>
      </c>
      <c r="W340" s="18" t="str">
        <f ca="1">IF('Current Char Stats'!$A209="","",'Current Char Stats'!$V209)</f>
        <v/>
      </c>
      <c r="X340" s="18" t="str">
        <f ca="1">IF('Current Char Stats'!$A209="","",'Current Char Stats'!$W209)</f>
        <v/>
      </c>
      <c r="Y340" s="18" t="str">
        <f ca="1">IF('Current Char Stats'!$A209="","",'Current Char Stats'!$X209)</f>
        <v/>
      </c>
      <c r="Z340" s="18" t="str">
        <f ca="1">IF('Current Char Stats'!$A209="","",'Current Char Stats'!$Y209)</f>
        <v/>
      </c>
      <c r="AA340" s="18" t="str">
        <f ca="1">IF('Current Char Stats'!$A209="","",'Current Char Stats'!$Z209)</f>
        <v/>
      </c>
      <c r="AB340" s="18" t="str">
        <f ca="1">IF('Current Char Stats'!$A209="","",'Current Char Stats'!$AA209)</f>
        <v/>
      </c>
      <c r="AC340" s="18" t="str">
        <f ca="1">IF('Current Char Stats'!$A209="","",'Current Char Stats'!$AB209)</f>
        <v/>
      </c>
      <c r="AD340" s="18" t="str">
        <f ca="1">IF('Current Char Stats'!$A209="","",'Current Char Stats'!$AC209)</f>
        <v/>
      </c>
      <c r="AE340" s="18" t="str">
        <f ca="1">IF('Current Char Stats'!$A209="","",'Current Char Stats'!$AD209)</f>
        <v/>
      </c>
      <c r="AF340" s="18" t="str">
        <f ca="1">IF('Current Char Stats'!$A209="","",'Current Char Stats'!$AE209)</f>
        <v/>
      </c>
    </row>
    <row r="341" spans="1:32">
      <c r="A341" s="18" t="str">
        <f ca="1">IF('Current Char Stats'!$A210="","",Settings!$B$2)</f>
        <v/>
      </c>
      <c r="B341" s="117" t="str">
        <f ca="1">IF('Current Char Stats'!$A210="","",'Current Char Stats'!$A210)</f>
        <v/>
      </c>
      <c r="C341" s="18" t="str">
        <f ca="1">IF('Current Char Stats'!$A210="","",'Current Char Stats'!$B210)</f>
        <v/>
      </c>
      <c r="D341" s="18" t="str">
        <f ca="1">IF('Current Char Stats'!$A210="","",'Current Char Stats'!$C210)</f>
        <v/>
      </c>
      <c r="E341" s="18" t="str">
        <f ca="1">IF('Current Char Stats'!$A210="","",'Current Char Stats'!$D210)</f>
        <v/>
      </c>
      <c r="F341" s="18" t="str">
        <f ca="1">IF('Current Char Stats'!$A210="","",'Current Char Stats'!$E210)</f>
        <v/>
      </c>
      <c r="G341" s="18" t="str">
        <f ca="1">IF('Current Char Stats'!$A210="","",'Current Char Stats'!$F210)</f>
        <v/>
      </c>
      <c r="H341" s="18" t="str">
        <f ca="1">IF('Current Char Stats'!$A210="","",'Current Char Stats'!$G210)</f>
        <v/>
      </c>
      <c r="I341" s="18" t="str">
        <f ca="1">IF('Current Char Stats'!$A210="","",'Current Char Stats'!$H210)</f>
        <v/>
      </c>
      <c r="J341" s="18" t="str">
        <f ca="1">IF('Current Char Stats'!$A210="","",'Current Char Stats'!$I210)</f>
        <v/>
      </c>
      <c r="K341" s="18" t="str">
        <f ca="1">IF('Current Char Stats'!$A210="","",'Current Char Stats'!$J210)</f>
        <v/>
      </c>
      <c r="L341" s="18" t="str">
        <f ca="1">IF('Current Char Stats'!$A210="","",'Current Char Stats'!$K210)</f>
        <v/>
      </c>
      <c r="M341" s="18" t="str">
        <f ca="1">IF('Current Char Stats'!$A210="","",'Current Char Stats'!$L210)</f>
        <v/>
      </c>
      <c r="N341" s="18" t="str">
        <f ca="1">IF('Current Char Stats'!$A210="","",'Current Char Stats'!$M210)</f>
        <v/>
      </c>
      <c r="O341" s="18" t="str">
        <f ca="1">IF('Current Char Stats'!$A210="","",'Current Char Stats'!$N210)</f>
        <v/>
      </c>
      <c r="P341" s="18" t="str">
        <f ca="1">IF('Current Char Stats'!$A210="","",'Current Char Stats'!$O210)</f>
        <v/>
      </c>
      <c r="Q341" s="18" t="str">
        <f ca="1">IF('Current Char Stats'!$A210="","",'Current Char Stats'!$P210)</f>
        <v/>
      </c>
      <c r="R341" s="18" t="str">
        <f ca="1">IF('Current Char Stats'!$A210="","",'Current Char Stats'!$Q210)</f>
        <v/>
      </c>
      <c r="S341" s="18" t="str">
        <f ca="1">IF('Current Char Stats'!$A210="","",'Current Char Stats'!$R210)</f>
        <v/>
      </c>
      <c r="T341" s="18" t="str">
        <f ca="1">IF('Current Char Stats'!$A210="","",'Current Char Stats'!$S210)</f>
        <v/>
      </c>
      <c r="U341" s="18" t="str">
        <f ca="1">IF('Current Char Stats'!$A210="","",'Current Char Stats'!$T210)</f>
        <v/>
      </c>
      <c r="V341" s="18" t="str">
        <f ca="1">IF('Current Char Stats'!$A210="","",'Current Char Stats'!$U210)</f>
        <v/>
      </c>
      <c r="W341" s="18" t="str">
        <f ca="1">IF('Current Char Stats'!$A210="","",'Current Char Stats'!$V210)</f>
        <v/>
      </c>
      <c r="X341" s="18" t="str">
        <f ca="1">IF('Current Char Stats'!$A210="","",'Current Char Stats'!$W210)</f>
        <v/>
      </c>
      <c r="Y341" s="18" t="str">
        <f ca="1">IF('Current Char Stats'!$A210="","",'Current Char Stats'!$X210)</f>
        <v/>
      </c>
      <c r="Z341" s="18" t="str">
        <f ca="1">IF('Current Char Stats'!$A210="","",'Current Char Stats'!$Y210)</f>
        <v/>
      </c>
      <c r="AA341" s="18" t="str">
        <f ca="1">IF('Current Char Stats'!$A210="","",'Current Char Stats'!$Z210)</f>
        <v/>
      </c>
      <c r="AB341" s="18" t="str">
        <f ca="1">IF('Current Char Stats'!$A210="","",'Current Char Stats'!$AA210)</f>
        <v/>
      </c>
      <c r="AC341" s="18" t="str">
        <f ca="1">IF('Current Char Stats'!$A210="","",'Current Char Stats'!$AB210)</f>
        <v/>
      </c>
      <c r="AD341" s="18" t="str">
        <f ca="1">IF('Current Char Stats'!$A210="","",'Current Char Stats'!$AC210)</f>
        <v/>
      </c>
      <c r="AE341" s="18" t="str">
        <f ca="1">IF('Current Char Stats'!$A210="","",'Current Char Stats'!$AD210)</f>
        <v/>
      </c>
      <c r="AF341" s="18" t="str">
        <f ca="1">IF('Current Char Stats'!$A210="","",'Current Char Stats'!$AE210)</f>
        <v/>
      </c>
    </row>
    <row r="342" spans="1:32">
      <c r="A342" s="18" t="str">
        <f ca="1">IF('Current Char Stats'!$A211="","",Settings!$B$2)</f>
        <v/>
      </c>
      <c r="B342" s="117" t="str">
        <f ca="1">IF('Current Char Stats'!$A211="","",'Current Char Stats'!$A211)</f>
        <v/>
      </c>
      <c r="C342" s="18" t="str">
        <f ca="1">IF('Current Char Stats'!$A211="","",'Current Char Stats'!$B211)</f>
        <v/>
      </c>
      <c r="D342" s="18" t="str">
        <f ca="1">IF('Current Char Stats'!$A211="","",'Current Char Stats'!$C211)</f>
        <v/>
      </c>
      <c r="E342" s="18" t="str">
        <f ca="1">IF('Current Char Stats'!$A211="","",'Current Char Stats'!$D211)</f>
        <v/>
      </c>
      <c r="F342" s="18" t="str">
        <f ca="1">IF('Current Char Stats'!$A211="","",'Current Char Stats'!$E211)</f>
        <v/>
      </c>
      <c r="G342" s="18" t="str">
        <f ca="1">IF('Current Char Stats'!$A211="","",'Current Char Stats'!$F211)</f>
        <v/>
      </c>
      <c r="H342" s="18" t="str">
        <f ca="1">IF('Current Char Stats'!$A211="","",'Current Char Stats'!$G211)</f>
        <v/>
      </c>
      <c r="I342" s="18" t="str">
        <f ca="1">IF('Current Char Stats'!$A211="","",'Current Char Stats'!$H211)</f>
        <v/>
      </c>
      <c r="J342" s="18" t="str">
        <f ca="1">IF('Current Char Stats'!$A211="","",'Current Char Stats'!$I211)</f>
        <v/>
      </c>
      <c r="K342" s="18" t="str">
        <f ca="1">IF('Current Char Stats'!$A211="","",'Current Char Stats'!$J211)</f>
        <v/>
      </c>
      <c r="L342" s="18" t="str">
        <f ca="1">IF('Current Char Stats'!$A211="","",'Current Char Stats'!$K211)</f>
        <v/>
      </c>
      <c r="M342" s="18" t="str">
        <f ca="1">IF('Current Char Stats'!$A211="","",'Current Char Stats'!$L211)</f>
        <v/>
      </c>
      <c r="N342" s="18" t="str">
        <f ca="1">IF('Current Char Stats'!$A211="","",'Current Char Stats'!$M211)</f>
        <v/>
      </c>
      <c r="O342" s="18" t="str">
        <f ca="1">IF('Current Char Stats'!$A211="","",'Current Char Stats'!$N211)</f>
        <v/>
      </c>
      <c r="P342" s="18" t="str">
        <f ca="1">IF('Current Char Stats'!$A211="","",'Current Char Stats'!$O211)</f>
        <v/>
      </c>
      <c r="Q342" s="18" t="str">
        <f ca="1">IF('Current Char Stats'!$A211="","",'Current Char Stats'!$P211)</f>
        <v/>
      </c>
      <c r="R342" s="18" t="str">
        <f ca="1">IF('Current Char Stats'!$A211="","",'Current Char Stats'!$Q211)</f>
        <v/>
      </c>
      <c r="S342" s="18" t="str">
        <f ca="1">IF('Current Char Stats'!$A211="","",'Current Char Stats'!$R211)</f>
        <v/>
      </c>
      <c r="T342" s="18" t="str">
        <f ca="1">IF('Current Char Stats'!$A211="","",'Current Char Stats'!$S211)</f>
        <v/>
      </c>
      <c r="U342" s="18" t="str">
        <f ca="1">IF('Current Char Stats'!$A211="","",'Current Char Stats'!$T211)</f>
        <v/>
      </c>
      <c r="V342" s="18" t="str">
        <f ca="1">IF('Current Char Stats'!$A211="","",'Current Char Stats'!$U211)</f>
        <v/>
      </c>
      <c r="W342" s="18" t="str">
        <f ca="1">IF('Current Char Stats'!$A211="","",'Current Char Stats'!$V211)</f>
        <v/>
      </c>
      <c r="X342" s="18" t="str">
        <f ca="1">IF('Current Char Stats'!$A211="","",'Current Char Stats'!$W211)</f>
        <v/>
      </c>
      <c r="Y342" s="18" t="str">
        <f ca="1">IF('Current Char Stats'!$A211="","",'Current Char Stats'!$X211)</f>
        <v/>
      </c>
      <c r="Z342" s="18" t="str">
        <f ca="1">IF('Current Char Stats'!$A211="","",'Current Char Stats'!$Y211)</f>
        <v/>
      </c>
      <c r="AA342" s="18" t="str">
        <f ca="1">IF('Current Char Stats'!$A211="","",'Current Char Stats'!$Z211)</f>
        <v/>
      </c>
      <c r="AB342" s="18" t="str">
        <f ca="1">IF('Current Char Stats'!$A211="","",'Current Char Stats'!$AA211)</f>
        <v/>
      </c>
      <c r="AC342" s="18" t="str">
        <f ca="1">IF('Current Char Stats'!$A211="","",'Current Char Stats'!$AB211)</f>
        <v/>
      </c>
      <c r="AD342" s="18" t="str">
        <f ca="1">IF('Current Char Stats'!$A211="","",'Current Char Stats'!$AC211)</f>
        <v/>
      </c>
      <c r="AE342" s="18" t="str">
        <f ca="1">IF('Current Char Stats'!$A211="","",'Current Char Stats'!$AD211)</f>
        <v/>
      </c>
      <c r="AF342" s="18" t="str">
        <f ca="1">IF('Current Char Stats'!$A211="","",'Current Char Stats'!$AE211)</f>
        <v/>
      </c>
    </row>
    <row r="343" spans="1:32">
      <c r="A343" s="18" t="str">
        <f ca="1">IF('Current Char Stats'!$A212="","",Settings!$B$2)</f>
        <v/>
      </c>
      <c r="B343" s="117" t="str">
        <f ca="1">IF('Current Char Stats'!$A212="","",'Current Char Stats'!$A212)</f>
        <v/>
      </c>
      <c r="C343" s="18" t="str">
        <f ca="1">IF('Current Char Stats'!$A212="","",'Current Char Stats'!$B212)</f>
        <v/>
      </c>
      <c r="D343" s="18" t="str">
        <f ca="1">IF('Current Char Stats'!$A212="","",'Current Char Stats'!$C212)</f>
        <v/>
      </c>
      <c r="E343" s="18" t="str">
        <f ca="1">IF('Current Char Stats'!$A212="","",'Current Char Stats'!$D212)</f>
        <v/>
      </c>
      <c r="F343" s="18" t="str">
        <f ca="1">IF('Current Char Stats'!$A212="","",'Current Char Stats'!$E212)</f>
        <v/>
      </c>
      <c r="G343" s="18" t="str">
        <f ca="1">IF('Current Char Stats'!$A212="","",'Current Char Stats'!$F212)</f>
        <v/>
      </c>
      <c r="H343" s="18" t="str">
        <f ca="1">IF('Current Char Stats'!$A212="","",'Current Char Stats'!$G212)</f>
        <v/>
      </c>
      <c r="I343" s="18" t="str">
        <f ca="1">IF('Current Char Stats'!$A212="","",'Current Char Stats'!$H212)</f>
        <v/>
      </c>
      <c r="J343" s="18" t="str">
        <f ca="1">IF('Current Char Stats'!$A212="","",'Current Char Stats'!$I212)</f>
        <v/>
      </c>
      <c r="K343" s="18" t="str">
        <f ca="1">IF('Current Char Stats'!$A212="","",'Current Char Stats'!$J212)</f>
        <v/>
      </c>
      <c r="L343" s="18" t="str">
        <f ca="1">IF('Current Char Stats'!$A212="","",'Current Char Stats'!$K212)</f>
        <v/>
      </c>
      <c r="M343" s="18" t="str">
        <f ca="1">IF('Current Char Stats'!$A212="","",'Current Char Stats'!$L212)</f>
        <v/>
      </c>
      <c r="N343" s="18" t="str">
        <f ca="1">IF('Current Char Stats'!$A212="","",'Current Char Stats'!$M212)</f>
        <v/>
      </c>
      <c r="O343" s="18" t="str">
        <f ca="1">IF('Current Char Stats'!$A212="","",'Current Char Stats'!$N212)</f>
        <v/>
      </c>
      <c r="P343" s="18" t="str">
        <f ca="1">IF('Current Char Stats'!$A212="","",'Current Char Stats'!$O212)</f>
        <v/>
      </c>
      <c r="Q343" s="18" t="str">
        <f ca="1">IF('Current Char Stats'!$A212="","",'Current Char Stats'!$P212)</f>
        <v/>
      </c>
      <c r="R343" s="18" t="str">
        <f ca="1">IF('Current Char Stats'!$A212="","",'Current Char Stats'!$Q212)</f>
        <v/>
      </c>
      <c r="S343" s="18" t="str">
        <f ca="1">IF('Current Char Stats'!$A212="","",'Current Char Stats'!$R212)</f>
        <v/>
      </c>
      <c r="T343" s="18" t="str">
        <f ca="1">IF('Current Char Stats'!$A212="","",'Current Char Stats'!$S212)</f>
        <v/>
      </c>
      <c r="U343" s="18" t="str">
        <f ca="1">IF('Current Char Stats'!$A212="","",'Current Char Stats'!$T212)</f>
        <v/>
      </c>
      <c r="V343" s="18" t="str">
        <f ca="1">IF('Current Char Stats'!$A212="","",'Current Char Stats'!$U212)</f>
        <v/>
      </c>
      <c r="W343" s="18" t="str">
        <f ca="1">IF('Current Char Stats'!$A212="","",'Current Char Stats'!$V212)</f>
        <v/>
      </c>
      <c r="X343" s="18" t="str">
        <f ca="1">IF('Current Char Stats'!$A212="","",'Current Char Stats'!$W212)</f>
        <v/>
      </c>
      <c r="Y343" s="18" t="str">
        <f ca="1">IF('Current Char Stats'!$A212="","",'Current Char Stats'!$X212)</f>
        <v/>
      </c>
      <c r="Z343" s="18" t="str">
        <f ca="1">IF('Current Char Stats'!$A212="","",'Current Char Stats'!$Y212)</f>
        <v/>
      </c>
      <c r="AA343" s="18" t="str">
        <f ca="1">IF('Current Char Stats'!$A212="","",'Current Char Stats'!$Z212)</f>
        <v/>
      </c>
      <c r="AB343" s="18" t="str">
        <f ca="1">IF('Current Char Stats'!$A212="","",'Current Char Stats'!$AA212)</f>
        <v/>
      </c>
      <c r="AC343" s="18" t="str">
        <f ca="1">IF('Current Char Stats'!$A212="","",'Current Char Stats'!$AB212)</f>
        <v/>
      </c>
      <c r="AD343" s="18" t="str">
        <f ca="1">IF('Current Char Stats'!$A212="","",'Current Char Stats'!$AC212)</f>
        <v/>
      </c>
      <c r="AE343" s="18" t="str">
        <f ca="1">IF('Current Char Stats'!$A212="","",'Current Char Stats'!$AD212)</f>
        <v/>
      </c>
      <c r="AF343" s="18" t="str">
        <f ca="1">IF('Current Char Stats'!$A212="","",'Current Char Stats'!$AE212)</f>
        <v/>
      </c>
    </row>
    <row r="344" spans="1:32">
      <c r="A344" s="18" t="str">
        <f ca="1">IF('Current Char Stats'!$A213="","",Settings!$B$2)</f>
        <v/>
      </c>
      <c r="B344" s="117" t="str">
        <f ca="1">IF('Current Char Stats'!$A213="","",'Current Char Stats'!$A213)</f>
        <v/>
      </c>
      <c r="C344" s="18" t="str">
        <f ca="1">IF('Current Char Stats'!$A213="","",'Current Char Stats'!$B213)</f>
        <v/>
      </c>
      <c r="D344" s="18" t="str">
        <f ca="1">IF('Current Char Stats'!$A213="","",'Current Char Stats'!$C213)</f>
        <v/>
      </c>
      <c r="E344" s="18" t="str">
        <f ca="1">IF('Current Char Stats'!$A213="","",'Current Char Stats'!$D213)</f>
        <v/>
      </c>
      <c r="F344" s="18" t="str">
        <f ca="1">IF('Current Char Stats'!$A213="","",'Current Char Stats'!$E213)</f>
        <v/>
      </c>
      <c r="G344" s="18" t="str">
        <f ca="1">IF('Current Char Stats'!$A213="","",'Current Char Stats'!$F213)</f>
        <v/>
      </c>
      <c r="H344" s="18" t="str">
        <f ca="1">IF('Current Char Stats'!$A213="","",'Current Char Stats'!$G213)</f>
        <v/>
      </c>
      <c r="I344" s="18" t="str">
        <f ca="1">IF('Current Char Stats'!$A213="","",'Current Char Stats'!$H213)</f>
        <v/>
      </c>
      <c r="J344" s="18" t="str">
        <f ca="1">IF('Current Char Stats'!$A213="","",'Current Char Stats'!$I213)</f>
        <v/>
      </c>
      <c r="K344" s="18" t="str">
        <f ca="1">IF('Current Char Stats'!$A213="","",'Current Char Stats'!$J213)</f>
        <v/>
      </c>
      <c r="L344" s="18" t="str">
        <f ca="1">IF('Current Char Stats'!$A213="","",'Current Char Stats'!$K213)</f>
        <v/>
      </c>
      <c r="M344" s="18" t="str">
        <f ca="1">IF('Current Char Stats'!$A213="","",'Current Char Stats'!$L213)</f>
        <v/>
      </c>
      <c r="N344" s="18" t="str">
        <f ca="1">IF('Current Char Stats'!$A213="","",'Current Char Stats'!$M213)</f>
        <v/>
      </c>
      <c r="O344" s="18" t="str">
        <f ca="1">IF('Current Char Stats'!$A213="","",'Current Char Stats'!$N213)</f>
        <v/>
      </c>
      <c r="P344" s="18" t="str">
        <f ca="1">IF('Current Char Stats'!$A213="","",'Current Char Stats'!$O213)</f>
        <v/>
      </c>
      <c r="Q344" s="18" t="str">
        <f ca="1">IF('Current Char Stats'!$A213="","",'Current Char Stats'!$P213)</f>
        <v/>
      </c>
      <c r="R344" s="18" t="str">
        <f ca="1">IF('Current Char Stats'!$A213="","",'Current Char Stats'!$Q213)</f>
        <v/>
      </c>
      <c r="S344" s="18" t="str">
        <f ca="1">IF('Current Char Stats'!$A213="","",'Current Char Stats'!$R213)</f>
        <v/>
      </c>
      <c r="T344" s="18" t="str">
        <f ca="1">IF('Current Char Stats'!$A213="","",'Current Char Stats'!$S213)</f>
        <v/>
      </c>
      <c r="U344" s="18" t="str">
        <f ca="1">IF('Current Char Stats'!$A213="","",'Current Char Stats'!$T213)</f>
        <v/>
      </c>
      <c r="V344" s="18" t="str">
        <f ca="1">IF('Current Char Stats'!$A213="","",'Current Char Stats'!$U213)</f>
        <v/>
      </c>
      <c r="W344" s="18" t="str">
        <f ca="1">IF('Current Char Stats'!$A213="","",'Current Char Stats'!$V213)</f>
        <v/>
      </c>
      <c r="X344" s="18" t="str">
        <f ca="1">IF('Current Char Stats'!$A213="","",'Current Char Stats'!$W213)</f>
        <v/>
      </c>
      <c r="Y344" s="18" t="str">
        <f ca="1">IF('Current Char Stats'!$A213="","",'Current Char Stats'!$X213)</f>
        <v/>
      </c>
      <c r="Z344" s="18" t="str">
        <f ca="1">IF('Current Char Stats'!$A213="","",'Current Char Stats'!$Y213)</f>
        <v/>
      </c>
      <c r="AA344" s="18" t="str">
        <f ca="1">IF('Current Char Stats'!$A213="","",'Current Char Stats'!$Z213)</f>
        <v/>
      </c>
      <c r="AB344" s="18" t="str">
        <f ca="1">IF('Current Char Stats'!$A213="","",'Current Char Stats'!$AA213)</f>
        <v/>
      </c>
      <c r="AC344" s="18" t="str">
        <f ca="1">IF('Current Char Stats'!$A213="","",'Current Char Stats'!$AB213)</f>
        <v/>
      </c>
      <c r="AD344" s="18" t="str">
        <f ca="1">IF('Current Char Stats'!$A213="","",'Current Char Stats'!$AC213)</f>
        <v/>
      </c>
      <c r="AE344" s="18" t="str">
        <f ca="1">IF('Current Char Stats'!$A213="","",'Current Char Stats'!$AD213)</f>
        <v/>
      </c>
      <c r="AF344" s="18" t="str">
        <f ca="1">IF('Current Char Stats'!$A213="","",'Current Char Stats'!$AE213)</f>
        <v/>
      </c>
    </row>
    <row r="345" spans="1:32">
      <c r="A345" s="18" t="str">
        <f ca="1">IF('Current Char Stats'!$A214="","",Settings!$B$2)</f>
        <v/>
      </c>
      <c r="B345" s="117" t="str">
        <f ca="1">IF('Current Char Stats'!$A214="","",'Current Char Stats'!$A214)</f>
        <v/>
      </c>
      <c r="C345" s="18" t="str">
        <f ca="1">IF('Current Char Stats'!$A214="","",'Current Char Stats'!$B214)</f>
        <v/>
      </c>
      <c r="D345" s="18" t="str">
        <f ca="1">IF('Current Char Stats'!$A214="","",'Current Char Stats'!$C214)</f>
        <v/>
      </c>
      <c r="E345" s="18" t="str">
        <f ca="1">IF('Current Char Stats'!$A214="","",'Current Char Stats'!$D214)</f>
        <v/>
      </c>
      <c r="F345" s="18" t="str">
        <f ca="1">IF('Current Char Stats'!$A214="","",'Current Char Stats'!$E214)</f>
        <v/>
      </c>
      <c r="G345" s="18" t="str">
        <f ca="1">IF('Current Char Stats'!$A214="","",'Current Char Stats'!$F214)</f>
        <v/>
      </c>
      <c r="H345" s="18" t="str">
        <f ca="1">IF('Current Char Stats'!$A214="","",'Current Char Stats'!$G214)</f>
        <v/>
      </c>
      <c r="I345" s="18" t="str">
        <f ca="1">IF('Current Char Stats'!$A214="","",'Current Char Stats'!$H214)</f>
        <v/>
      </c>
      <c r="J345" s="18" t="str">
        <f ca="1">IF('Current Char Stats'!$A214="","",'Current Char Stats'!$I214)</f>
        <v/>
      </c>
      <c r="K345" s="18" t="str">
        <f ca="1">IF('Current Char Stats'!$A214="","",'Current Char Stats'!$J214)</f>
        <v/>
      </c>
      <c r="L345" s="18" t="str">
        <f ca="1">IF('Current Char Stats'!$A214="","",'Current Char Stats'!$K214)</f>
        <v/>
      </c>
      <c r="M345" s="18" t="str">
        <f ca="1">IF('Current Char Stats'!$A214="","",'Current Char Stats'!$L214)</f>
        <v/>
      </c>
      <c r="N345" s="18" t="str">
        <f ca="1">IF('Current Char Stats'!$A214="","",'Current Char Stats'!$M214)</f>
        <v/>
      </c>
      <c r="O345" s="18" t="str">
        <f ca="1">IF('Current Char Stats'!$A214="","",'Current Char Stats'!$N214)</f>
        <v/>
      </c>
      <c r="P345" s="18" t="str">
        <f ca="1">IF('Current Char Stats'!$A214="","",'Current Char Stats'!$O214)</f>
        <v/>
      </c>
      <c r="Q345" s="18" t="str">
        <f ca="1">IF('Current Char Stats'!$A214="","",'Current Char Stats'!$P214)</f>
        <v/>
      </c>
      <c r="R345" s="18" t="str">
        <f ca="1">IF('Current Char Stats'!$A214="","",'Current Char Stats'!$Q214)</f>
        <v/>
      </c>
      <c r="S345" s="18" t="str">
        <f ca="1">IF('Current Char Stats'!$A214="","",'Current Char Stats'!$R214)</f>
        <v/>
      </c>
      <c r="T345" s="18" t="str">
        <f ca="1">IF('Current Char Stats'!$A214="","",'Current Char Stats'!$S214)</f>
        <v/>
      </c>
      <c r="U345" s="18" t="str">
        <f ca="1">IF('Current Char Stats'!$A214="","",'Current Char Stats'!$T214)</f>
        <v/>
      </c>
      <c r="V345" s="18" t="str">
        <f ca="1">IF('Current Char Stats'!$A214="","",'Current Char Stats'!$U214)</f>
        <v/>
      </c>
      <c r="W345" s="18" t="str">
        <f ca="1">IF('Current Char Stats'!$A214="","",'Current Char Stats'!$V214)</f>
        <v/>
      </c>
      <c r="X345" s="18" t="str">
        <f ca="1">IF('Current Char Stats'!$A214="","",'Current Char Stats'!$W214)</f>
        <v/>
      </c>
      <c r="Y345" s="18" t="str">
        <f ca="1">IF('Current Char Stats'!$A214="","",'Current Char Stats'!$X214)</f>
        <v/>
      </c>
      <c r="Z345" s="18" t="str">
        <f ca="1">IF('Current Char Stats'!$A214="","",'Current Char Stats'!$Y214)</f>
        <v/>
      </c>
      <c r="AA345" s="18" t="str">
        <f ca="1">IF('Current Char Stats'!$A214="","",'Current Char Stats'!$Z214)</f>
        <v/>
      </c>
      <c r="AB345" s="18" t="str">
        <f ca="1">IF('Current Char Stats'!$A214="","",'Current Char Stats'!$AA214)</f>
        <v/>
      </c>
      <c r="AC345" s="18" t="str">
        <f ca="1">IF('Current Char Stats'!$A214="","",'Current Char Stats'!$AB214)</f>
        <v/>
      </c>
      <c r="AD345" s="18" t="str">
        <f ca="1">IF('Current Char Stats'!$A214="","",'Current Char Stats'!$AC214)</f>
        <v/>
      </c>
      <c r="AE345" s="18" t="str">
        <f ca="1">IF('Current Char Stats'!$A214="","",'Current Char Stats'!$AD214)</f>
        <v/>
      </c>
      <c r="AF345" s="18" t="str">
        <f ca="1">IF('Current Char Stats'!$A214="","",'Current Char Stats'!$AE214)</f>
        <v/>
      </c>
    </row>
    <row r="346" spans="1:32">
      <c r="A346" s="18" t="str">
        <f ca="1">IF('Current Char Stats'!$A215="","",Settings!$B$2)</f>
        <v/>
      </c>
      <c r="B346" s="117" t="str">
        <f ca="1">IF('Current Char Stats'!$A215="","",'Current Char Stats'!$A215)</f>
        <v/>
      </c>
      <c r="C346" s="18" t="str">
        <f ca="1">IF('Current Char Stats'!$A215="","",'Current Char Stats'!$B215)</f>
        <v/>
      </c>
      <c r="D346" s="18" t="str">
        <f ca="1">IF('Current Char Stats'!$A215="","",'Current Char Stats'!$C215)</f>
        <v/>
      </c>
      <c r="E346" s="18" t="str">
        <f ca="1">IF('Current Char Stats'!$A215="","",'Current Char Stats'!$D215)</f>
        <v/>
      </c>
      <c r="F346" s="18" t="str">
        <f ca="1">IF('Current Char Stats'!$A215="","",'Current Char Stats'!$E215)</f>
        <v/>
      </c>
      <c r="G346" s="18" t="str">
        <f ca="1">IF('Current Char Stats'!$A215="","",'Current Char Stats'!$F215)</f>
        <v/>
      </c>
      <c r="H346" s="18" t="str">
        <f ca="1">IF('Current Char Stats'!$A215="","",'Current Char Stats'!$G215)</f>
        <v/>
      </c>
      <c r="I346" s="18" t="str">
        <f ca="1">IF('Current Char Stats'!$A215="","",'Current Char Stats'!$H215)</f>
        <v/>
      </c>
      <c r="J346" s="18" t="str">
        <f ca="1">IF('Current Char Stats'!$A215="","",'Current Char Stats'!$I215)</f>
        <v/>
      </c>
      <c r="K346" s="18" t="str">
        <f ca="1">IF('Current Char Stats'!$A215="","",'Current Char Stats'!$J215)</f>
        <v/>
      </c>
      <c r="L346" s="18" t="str">
        <f ca="1">IF('Current Char Stats'!$A215="","",'Current Char Stats'!$K215)</f>
        <v/>
      </c>
      <c r="M346" s="18" t="str">
        <f ca="1">IF('Current Char Stats'!$A215="","",'Current Char Stats'!$L215)</f>
        <v/>
      </c>
      <c r="N346" s="18" t="str">
        <f ca="1">IF('Current Char Stats'!$A215="","",'Current Char Stats'!$M215)</f>
        <v/>
      </c>
      <c r="O346" s="18" t="str">
        <f ca="1">IF('Current Char Stats'!$A215="","",'Current Char Stats'!$N215)</f>
        <v/>
      </c>
      <c r="P346" s="18" t="str">
        <f ca="1">IF('Current Char Stats'!$A215="","",'Current Char Stats'!$O215)</f>
        <v/>
      </c>
      <c r="Q346" s="18" t="str">
        <f ca="1">IF('Current Char Stats'!$A215="","",'Current Char Stats'!$P215)</f>
        <v/>
      </c>
      <c r="R346" s="18" t="str">
        <f ca="1">IF('Current Char Stats'!$A215="","",'Current Char Stats'!$Q215)</f>
        <v/>
      </c>
      <c r="S346" s="18" t="str">
        <f ca="1">IF('Current Char Stats'!$A215="","",'Current Char Stats'!$R215)</f>
        <v/>
      </c>
      <c r="T346" s="18" t="str">
        <f ca="1">IF('Current Char Stats'!$A215="","",'Current Char Stats'!$S215)</f>
        <v/>
      </c>
      <c r="U346" s="18" t="str">
        <f ca="1">IF('Current Char Stats'!$A215="","",'Current Char Stats'!$T215)</f>
        <v/>
      </c>
      <c r="V346" s="18" t="str">
        <f ca="1">IF('Current Char Stats'!$A215="","",'Current Char Stats'!$U215)</f>
        <v/>
      </c>
      <c r="W346" s="18" t="str">
        <f ca="1">IF('Current Char Stats'!$A215="","",'Current Char Stats'!$V215)</f>
        <v/>
      </c>
      <c r="X346" s="18" t="str">
        <f ca="1">IF('Current Char Stats'!$A215="","",'Current Char Stats'!$W215)</f>
        <v/>
      </c>
      <c r="Y346" s="18" t="str">
        <f ca="1">IF('Current Char Stats'!$A215="","",'Current Char Stats'!$X215)</f>
        <v/>
      </c>
      <c r="Z346" s="18" t="str">
        <f ca="1">IF('Current Char Stats'!$A215="","",'Current Char Stats'!$Y215)</f>
        <v/>
      </c>
      <c r="AA346" s="18" t="str">
        <f ca="1">IF('Current Char Stats'!$A215="","",'Current Char Stats'!$Z215)</f>
        <v/>
      </c>
      <c r="AB346" s="18" t="str">
        <f ca="1">IF('Current Char Stats'!$A215="","",'Current Char Stats'!$AA215)</f>
        <v/>
      </c>
      <c r="AC346" s="18" t="str">
        <f ca="1">IF('Current Char Stats'!$A215="","",'Current Char Stats'!$AB215)</f>
        <v/>
      </c>
      <c r="AD346" s="18" t="str">
        <f ca="1">IF('Current Char Stats'!$A215="","",'Current Char Stats'!$AC215)</f>
        <v/>
      </c>
      <c r="AE346" s="18" t="str">
        <f ca="1">IF('Current Char Stats'!$A215="","",'Current Char Stats'!$AD215)</f>
        <v/>
      </c>
      <c r="AF346" s="18" t="str">
        <f ca="1">IF('Current Char Stats'!$A215="","",'Current Char Stats'!$AE215)</f>
        <v/>
      </c>
    </row>
    <row r="347" spans="1:32">
      <c r="A347" s="18" t="str">
        <f ca="1">IF('Current Char Stats'!$A216="","",Settings!$B$2)</f>
        <v/>
      </c>
      <c r="B347" s="117" t="str">
        <f ca="1">IF('Current Char Stats'!$A216="","",'Current Char Stats'!$A216)</f>
        <v/>
      </c>
      <c r="C347" s="18" t="str">
        <f ca="1">IF('Current Char Stats'!$A216="","",'Current Char Stats'!$B216)</f>
        <v/>
      </c>
      <c r="D347" s="18" t="str">
        <f ca="1">IF('Current Char Stats'!$A216="","",'Current Char Stats'!$C216)</f>
        <v/>
      </c>
      <c r="E347" s="18" t="str">
        <f ca="1">IF('Current Char Stats'!$A216="","",'Current Char Stats'!$D216)</f>
        <v/>
      </c>
      <c r="F347" s="18" t="str">
        <f ca="1">IF('Current Char Stats'!$A216="","",'Current Char Stats'!$E216)</f>
        <v/>
      </c>
      <c r="G347" s="18" t="str">
        <f ca="1">IF('Current Char Stats'!$A216="","",'Current Char Stats'!$F216)</f>
        <v/>
      </c>
      <c r="H347" s="18" t="str">
        <f ca="1">IF('Current Char Stats'!$A216="","",'Current Char Stats'!$G216)</f>
        <v/>
      </c>
      <c r="I347" s="18" t="str">
        <f ca="1">IF('Current Char Stats'!$A216="","",'Current Char Stats'!$H216)</f>
        <v/>
      </c>
      <c r="J347" s="18" t="str">
        <f ca="1">IF('Current Char Stats'!$A216="","",'Current Char Stats'!$I216)</f>
        <v/>
      </c>
      <c r="K347" s="18" t="str">
        <f ca="1">IF('Current Char Stats'!$A216="","",'Current Char Stats'!$J216)</f>
        <v/>
      </c>
      <c r="L347" s="18" t="str">
        <f ca="1">IF('Current Char Stats'!$A216="","",'Current Char Stats'!$K216)</f>
        <v/>
      </c>
      <c r="M347" s="18" t="str">
        <f ca="1">IF('Current Char Stats'!$A216="","",'Current Char Stats'!$L216)</f>
        <v/>
      </c>
      <c r="N347" s="18" t="str">
        <f ca="1">IF('Current Char Stats'!$A216="","",'Current Char Stats'!$M216)</f>
        <v/>
      </c>
      <c r="O347" s="18" t="str">
        <f ca="1">IF('Current Char Stats'!$A216="","",'Current Char Stats'!$N216)</f>
        <v/>
      </c>
      <c r="P347" s="18" t="str">
        <f ca="1">IF('Current Char Stats'!$A216="","",'Current Char Stats'!$O216)</f>
        <v/>
      </c>
      <c r="Q347" s="18" t="str">
        <f ca="1">IF('Current Char Stats'!$A216="","",'Current Char Stats'!$P216)</f>
        <v/>
      </c>
      <c r="R347" s="18" t="str">
        <f ca="1">IF('Current Char Stats'!$A216="","",'Current Char Stats'!$Q216)</f>
        <v/>
      </c>
      <c r="S347" s="18" t="str">
        <f ca="1">IF('Current Char Stats'!$A216="","",'Current Char Stats'!$R216)</f>
        <v/>
      </c>
      <c r="T347" s="18" t="str">
        <f ca="1">IF('Current Char Stats'!$A216="","",'Current Char Stats'!$S216)</f>
        <v/>
      </c>
      <c r="U347" s="18" t="str">
        <f ca="1">IF('Current Char Stats'!$A216="","",'Current Char Stats'!$T216)</f>
        <v/>
      </c>
      <c r="V347" s="18" t="str">
        <f ca="1">IF('Current Char Stats'!$A216="","",'Current Char Stats'!$U216)</f>
        <v/>
      </c>
      <c r="W347" s="18" t="str">
        <f ca="1">IF('Current Char Stats'!$A216="","",'Current Char Stats'!$V216)</f>
        <v/>
      </c>
      <c r="X347" s="18" t="str">
        <f ca="1">IF('Current Char Stats'!$A216="","",'Current Char Stats'!$W216)</f>
        <v/>
      </c>
      <c r="Y347" s="18" t="str">
        <f ca="1">IF('Current Char Stats'!$A216="","",'Current Char Stats'!$X216)</f>
        <v/>
      </c>
      <c r="Z347" s="18" t="str">
        <f ca="1">IF('Current Char Stats'!$A216="","",'Current Char Stats'!$Y216)</f>
        <v/>
      </c>
      <c r="AA347" s="18" t="str">
        <f ca="1">IF('Current Char Stats'!$A216="","",'Current Char Stats'!$Z216)</f>
        <v/>
      </c>
      <c r="AB347" s="18" t="str">
        <f ca="1">IF('Current Char Stats'!$A216="","",'Current Char Stats'!$AA216)</f>
        <v/>
      </c>
      <c r="AC347" s="18" t="str">
        <f ca="1">IF('Current Char Stats'!$A216="","",'Current Char Stats'!$AB216)</f>
        <v/>
      </c>
      <c r="AD347" s="18" t="str">
        <f ca="1">IF('Current Char Stats'!$A216="","",'Current Char Stats'!$AC216)</f>
        <v/>
      </c>
      <c r="AE347" s="18" t="str">
        <f ca="1">IF('Current Char Stats'!$A216="","",'Current Char Stats'!$AD216)</f>
        <v/>
      </c>
      <c r="AF347" s="18" t="str">
        <f ca="1">IF('Current Char Stats'!$A216="","",'Current Char Stats'!$AE216)</f>
        <v/>
      </c>
    </row>
    <row r="348" spans="1:32">
      <c r="A348" s="18" t="str">
        <f ca="1">IF('Current Char Stats'!$A217="","",Settings!$B$2)</f>
        <v/>
      </c>
      <c r="B348" s="117" t="str">
        <f ca="1">IF('Current Char Stats'!$A217="","",'Current Char Stats'!$A217)</f>
        <v/>
      </c>
      <c r="C348" s="18" t="str">
        <f ca="1">IF('Current Char Stats'!$A217="","",'Current Char Stats'!$B217)</f>
        <v/>
      </c>
      <c r="D348" s="18" t="str">
        <f ca="1">IF('Current Char Stats'!$A217="","",'Current Char Stats'!$C217)</f>
        <v/>
      </c>
      <c r="E348" s="18" t="str">
        <f ca="1">IF('Current Char Stats'!$A217="","",'Current Char Stats'!$D217)</f>
        <v/>
      </c>
      <c r="F348" s="18" t="str">
        <f ca="1">IF('Current Char Stats'!$A217="","",'Current Char Stats'!$E217)</f>
        <v/>
      </c>
      <c r="G348" s="18" t="str">
        <f ca="1">IF('Current Char Stats'!$A217="","",'Current Char Stats'!$F217)</f>
        <v/>
      </c>
      <c r="H348" s="18" t="str">
        <f ca="1">IF('Current Char Stats'!$A217="","",'Current Char Stats'!$G217)</f>
        <v/>
      </c>
      <c r="I348" s="18" t="str">
        <f ca="1">IF('Current Char Stats'!$A217="","",'Current Char Stats'!$H217)</f>
        <v/>
      </c>
      <c r="J348" s="18" t="str">
        <f ca="1">IF('Current Char Stats'!$A217="","",'Current Char Stats'!$I217)</f>
        <v/>
      </c>
      <c r="K348" s="18" t="str">
        <f ca="1">IF('Current Char Stats'!$A217="","",'Current Char Stats'!$J217)</f>
        <v/>
      </c>
      <c r="L348" s="18" t="str">
        <f ca="1">IF('Current Char Stats'!$A217="","",'Current Char Stats'!$K217)</f>
        <v/>
      </c>
      <c r="M348" s="18" t="str">
        <f ca="1">IF('Current Char Stats'!$A217="","",'Current Char Stats'!$L217)</f>
        <v/>
      </c>
      <c r="N348" s="18" t="str">
        <f ca="1">IF('Current Char Stats'!$A217="","",'Current Char Stats'!$M217)</f>
        <v/>
      </c>
      <c r="O348" s="18" t="str">
        <f ca="1">IF('Current Char Stats'!$A217="","",'Current Char Stats'!$N217)</f>
        <v/>
      </c>
      <c r="P348" s="18" t="str">
        <f ca="1">IF('Current Char Stats'!$A217="","",'Current Char Stats'!$O217)</f>
        <v/>
      </c>
      <c r="Q348" s="18" t="str">
        <f ca="1">IF('Current Char Stats'!$A217="","",'Current Char Stats'!$P217)</f>
        <v/>
      </c>
      <c r="R348" s="18" t="str">
        <f ca="1">IF('Current Char Stats'!$A217="","",'Current Char Stats'!$Q217)</f>
        <v/>
      </c>
      <c r="S348" s="18" t="str">
        <f ca="1">IF('Current Char Stats'!$A217="","",'Current Char Stats'!$R217)</f>
        <v/>
      </c>
      <c r="T348" s="18" t="str">
        <f ca="1">IF('Current Char Stats'!$A217="","",'Current Char Stats'!$S217)</f>
        <v/>
      </c>
      <c r="U348" s="18" t="str">
        <f ca="1">IF('Current Char Stats'!$A217="","",'Current Char Stats'!$T217)</f>
        <v/>
      </c>
      <c r="V348" s="18" t="str">
        <f ca="1">IF('Current Char Stats'!$A217="","",'Current Char Stats'!$U217)</f>
        <v/>
      </c>
      <c r="W348" s="18" t="str">
        <f ca="1">IF('Current Char Stats'!$A217="","",'Current Char Stats'!$V217)</f>
        <v/>
      </c>
      <c r="X348" s="18" t="str">
        <f ca="1">IF('Current Char Stats'!$A217="","",'Current Char Stats'!$W217)</f>
        <v/>
      </c>
      <c r="Y348" s="18" t="str">
        <f ca="1">IF('Current Char Stats'!$A217="","",'Current Char Stats'!$X217)</f>
        <v/>
      </c>
      <c r="Z348" s="18" t="str">
        <f ca="1">IF('Current Char Stats'!$A217="","",'Current Char Stats'!$Y217)</f>
        <v/>
      </c>
      <c r="AA348" s="18" t="str">
        <f ca="1">IF('Current Char Stats'!$A217="","",'Current Char Stats'!$Z217)</f>
        <v/>
      </c>
      <c r="AB348" s="18" t="str">
        <f ca="1">IF('Current Char Stats'!$A217="","",'Current Char Stats'!$AA217)</f>
        <v/>
      </c>
      <c r="AC348" s="18" t="str">
        <f ca="1">IF('Current Char Stats'!$A217="","",'Current Char Stats'!$AB217)</f>
        <v/>
      </c>
      <c r="AD348" s="18" t="str">
        <f ca="1">IF('Current Char Stats'!$A217="","",'Current Char Stats'!$AC217)</f>
        <v/>
      </c>
      <c r="AE348" s="18" t="str">
        <f ca="1">IF('Current Char Stats'!$A217="","",'Current Char Stats'!$AD217)</f>
        <v/>
      </c>
      <c r="AF348" s="18" t="str">
        <f ca="1">IF('Current Char Stats'!$A217="","",'Current Char Stats'!$AE217)</f>
        <v/>
      </c>
    </row>
    <row r="349" spans="1:32">
      <c r="A349" s="18" t="str">
        <f ca="1">IF('Current Char Stats'!$A218="","",Settings!$B$2)</f>
        <v/>
      </c>
      <c r="B349" s="117" t="str">
        <f ca="1">IF('Current Char Stats'!$A218="","",'Current Char Stats'!$A218)</f>
        <v/>
      </c>
      <c r="C349" s="18" t="str">
        <f ca="1">IF('Current Char Stats'!$A218="","",'Current Char Stats'!$B218)</f>
        <v/>
      </c>
      <c r="D349" s="18" t="str">
        <f ca="1">IF('Current Char Stats'!$A218="","",'Current Char Stats'!$C218)</f>
        <v/>
      </c>
      <c r="E349" s="18" t="str">
        <f ca="1">IF('Current Char Stats'!$A218="","",'Current Char Stats'!$D218)</f>
        <v/>
      </c>
      <c r="F349" s="18" t="str">
        <f ca="1">IF('Current Char Stats'!$A218="","",'Current Char Stats'!$E218)</f>
        <v/>
      </c>
      <c r="G349" s="18" t="str">
        <f ca="1">IF('Current Char Stats'!$A218="","",'Current Char Stats'!$F218)</f>
        <v/>
      </c>
      <c r="H349" s="18" t="str">
        <f ca="1">IF('Current Char Stats'!$A218="","",'Current Char Stats'!$G218)</f>
        <v/>
      </c>
      <c r="I349" s="18" t="str">
        <f ca="1">IF('Current Char Stats'!$A218="","",'Current Char Stats'!$H218)</f>
        <v/>
      </c>
      <c r="J349" s="18" t="str">
        <f ca="1">IF('Current Char Stats'!$A218="","",'Current Char Stats'!$I218)</f>
        <v/>
      </c>
      <c r="K349" s="18" t="str">
        <f ca="1">IF('Current Char Stats'!$A218="","",'Current Char Stats'!$J218)</f>
        <v/>
      </c>
      <c r="L349" s="18" t="str">
        <f ca="1">IF('Current Char Stats'!$A218="","",'Current Char Stats'!$K218)</f>
        <v/>
      </c>
      <c r="M349" s="18" t="str">
        <f ca="1">IF('Current Char Stats'!$A218="","",'Current Char Stats'!$L218)</f>
        <v/>
      </c>
      <c r="N349" s="18" t="str">
        <f ca="1">IF('Current Char Stats'!$A218="","",'Current Char Stats'!$M218)</f>
        <v/>
      </c>
      <c r="O349" s="18" t="str">
        <f ca="1">IF('Current Char Stats'!$A218="","",'Current Char Stats'!$N218)</f>
        <v/>
      </c>
      <c r="P349" s="18" t="str">
        <f ca="1">IF('Current Char Stats'!$A218="","",'Current Char Stats'!$O218)</f>
        <v/>
      </c>
      <c r="Q349" s="18" t="str">
        <f ca="1">IF('Current Char Stats'!$A218="","",'Current Char Stats'!$P218)</f>
        <v/>
      </c>
      <c r="R349" s="18" t="str">
        <f ca="1">IF('Current Char Stats'!$A218="","",'Current Char Stats'!$Q218)</f>
        <v/>
      </c>
      <c r="S349" s="18" t="str">
        <f ca="1">IF('Current Char Stats'!$A218="","",'Current Char Stats'!$R218)</f>
        <v/>
      </c>
      <c r="T349" s="18" t="str">
        <f ca="1">IF('Current Char Stats'!$A218="","",'Current Char Stats'!$S218)</f>
        <v/>
      </c>
      <c r="U349" s="18" t="str">
        <f ca="1">IF('Current Char Stats'!$A218="","",'Current Char Stats'!$T218)</f>
        <v/>
      </c>
      <c r="V349" s="18" t="str">
        <f ca="1">IF('Current Char Stats'!$A218="","",'Current Char Stats'!$U218)</f>
        <v/>
      </c>
      <c r="W349" s="18" t="str">
        <f ca="1">IF('Current Char Stats'!$A218="","",'Current Char Stats'!$V218)</f>
        <v/>
      </c>
      <c r="X349" s="18" t="str">
        <f ca="1">IF('Current Char Stats'!$A218="","",'Current Char Stats'!$W218)</f>
        <v/>
      </c>
      <c r="Y349" s="18" t="str">
        <f ca="1">IF('Current Char Stats'!$A218="","",'Current Char Stats'!$X218)</f>
        <v/>
      </c>
      <c r="Z349" s="18" t="str">
        <f ca="1">IF('Current Char Stats'!$A218="","",'Current Char Stats'!$Y218)</f>
        <v/>
      </c>
      <c r="AA349" s="18" t="str">
        <f ca="1">IF('Current Char Stats'!$A218="","",'Current Char Stats'!$Z218)</f>
        <v/>
      </c>
      <c r="AB349" s="18" t="str">
        <f ca="1">IF('Current Char Stats'!$A218="","",'Current Char Stats'!$AA218)</f>
        <v/>
      </c>
      <c r="AC349" s="18" t="str">
        <f ca="1">IF('Current Char Stats'!$A218="","",'Current Char Stats'!$AB218)</f>
        <v/>
      </c>
      <c r="AD349" s="18" t="str">
        <f ca="1">IF('Current Char Stats'!$A218="","",'Current Char Stats'!$AC218)</f>
        <v/>
      </c>
      <c r="AE349" s="18" t="str">
        <f ca="1">IF('Current Char Stats'!$A218="","",'Current Char Stats'!$AD218)</f>
        <v/>
      </c>
      <c r="AF349" s="18" t="str">
        <f ca="1">IF('Current Char Stats'!$A218="","",'Current Char Stats'!$AE218)</f>
        <v/>
      </c>
    </row>
    <row r="350" spans="1:32">
      <c r="A350" s="18" t="str">
        <f ca="1">IF('Current Char Stats'!$A219="","",Settings!$B$2)</f>
        <v/>
      </c>
      <c r="B350" s="117" t="str">
        <f ca="1">IF('Current Char Stats'!$A219="","",'Current Char Stats'!$A219)</f>
        <v/>
      </c>
      <c r="C350" s="18" t="str">
        <f ca="1">IF('Current Char Stats'!$A219="","",'Current Char Stats'!$B219)</f>
        <v/>
      </c>
      <c r="D350" s="18" t="str">
        <f ca="1">IF('Current Char Stats'!$A219="","",'Current Char Stats'!$C219)</f>
        <v/>
      </c>
      <c r="E350" s="18" t="str">
        <f ca="1">IF('Current Char Stats'!$A219="","",'Current Char Stats'!$D219)</f>
        <v/>
      </c>
      <c r="F350" s="18" t="str">
        <f ca="1">IF('Current Char Stats'!$A219="","",'Current Char Stats'!$E219)</f>
        <v/>
      </c>
      <c r="G350" s="18" t="str">
        <f ca="1">IF('Current Char Stats'!$A219="","",'Current Char Stats'!$F219)</f>
        <v/>
      </c>
      <c r="H350" s="18" t="str">
        <f ca="1">IF('Current Char Stats'!$A219="","",'Current Char Stats'!$G219)</f>
        <v/>
      </c>
      <c r="I350" s="18" t="str">
        <f ca="1">IF('Current Char Stats'!$A219="","",'Current Char Stats'!$H219)</f>
        <v/>
      </c>
      <c r="J350" s="18" t="str">
        <f ca="1">IF('Current Char Stats'!$A219="","",'Current Char Stats'!$I219)</f>
        <v/>
      </c>
      <c r="K350" s="18" t="str">
        <f ca="1">IF('Current Char Stats'!$A219="","",'Current Char Stats'!$J219)</f>
        <v/>
      </c>
      <c r="L350" s="18" t="str">
        <f ca="1">IF('Current Char Stats'!$A219="","",'Current Char Stats'!$K219)</f>
        <v/>
      </c>
      <c r="M350" s="18" t="str">
        <f ca="1">IF('Current Char Stats'!$A219="","",'Current Char Stats'!$L219)</f>
        <v/>
      </c>
      <c r="N350" s="18" t="str">
        <f ca="1">IF('Current Char Stats'!$A219="","",'Current Char Stats'!$M219)</f>
        <v/>
      </c>
      <c r="O350" s="18" t="str">
        <f ca="1">IF('Current Char Stats'!$A219="","",'Current Char Stats'!$N219)</f>
        <v/>
      </c>
      <c r="P350" s="18" t="str">
        <f ca="1">IF('Current Char Stats'!$A219="","",'Current Char Stats'!$O219)</f>
        <v/>
      </c>
      <c r="Q350" s="18" t="str">
        <f ca="1">IF('Current Char Stats'!$A219="","",'Current Char Stats'!$P219)</f>
        <v/>
      </c>
      <c r="R350" s="18" t="str">
        <f ca="1">IF('Current Char Stats'!$A219="","",'Current Char Stats'!$Q219)</f>
        <v/>
      </c>
      <c r="S350" s="18" t="str">
        <f ca="1">IF('Current Char Stats'!$A219="","",'Current Char Stats'!$R219)</f>
        <v/>
      </c>
      <c r="T350" s="18" t="str">
        <f ca="1">IF('Current Char Stats'!$A219="","",'Current Char Stats'!$S219)</f>
        <v/>
      </c>
      <c r="U350" s="18" t="str">
        <f ca="1">IF('Current Char Stats'!$A219="","",'Current Char Stats'!$T219)</f>
        <v/>
      </c>
      <c r="V350" s="18" t="str">
        <f ca="1">IF('Current Char Stats'!$A219="","",'Current Char Stats'!$U219)</f>
        <v/>
      </c>
      <c r="W350" s="18" t="str">
        <f ca="1">IF('Current Char Stats'!$A219="","",'Current Char Stats'!$V219)</f>
        <v/>
      </c>
      <c r="X350" s="18" t="str">
        <f ca="1">IF('Current Char Stats'!$A219="","",'Current Char Stats'!$W219)</f>
        <v/>
      </c>
      <c r="Y350" s="18" t="str">
        <f ca="1">IF('Current Char Stats'!$A219="","",'Current Char Stats'!$X219)</f>
        <v/>
      </c>
      <c r="Z350" s="18" t="str">
        <f ca="1">IF('Current Char Stats'!$A219="","",'Current Char Stats'!$Y219)</f>
        <v/>
      </c>
      <c r="AA350" s="18" t="str">
        <f ca="1">IF('Current Char Stats'!$A219="","",'Current Char Stats'!$Z219)</f>
        <v/>
      </c>
      <c r="AB350" s="18" t="str">
        <f ca="1">IF('Current Char Stats'!$A219="","",'Current Char Stats'!$AA219)</f>
        <v/>
      </c>
      <c r="AC350" s="18" t="str">
        <f ca="1">IF('Current Char Stats'!$A219="","",'Current Char Stats'!$AB219)</f>
        <v/>
      </c>
      <c r="AD350" s="18" t="str">
        <f ca="1">IF('Current Char Stats'!$A219="","",'Current Char Stats'!$AC219)</f>
        <v/>
      </c>
      <c r="AE350" s="18" t="str">
        <f ca="1">IF('Current Char Stats'!$A219="","",'Current Char Stats'!$AD219)</f>
        <v/>
      </c>
      <c r="AF350" s="18" t="str">
        <f ca="1">IF('Current Char Stats'!$A219="","",'Current Char Stats'!$AE219)</f>
        <v/>
      </c>
    </row>
    <row r="351" spans="1:32">
      <c r="A351" s="18" t="str">
        <f ca="1">IF('Current Char Stats'!$A220="","",Settings!$B$2)</f>
        <v/>
      </c>
      <c r="B351" s="117" t="str">
        <f ca="1">IF('Current Char Stats'!$A220="","",'Current Char Stats'!$A220)</f>
        <v/>
      </c>
      <c r="C351" s="18" t="str">
        <f ca="1">IF('Current Char Stats'!$A220="","",'Current Char Stats'!$B220)</f>
        <v/>
      </c>
      <c r="D351" s="18" t="str">
        <f ca="1">IF('Current Char Stats'!$A220="","",'Current Char Stats'!$C220)</f>
        <v/>
      </c>
      <c r="E351" s="18" t="str">
        <f ca="1">IF('Current Char Stats'!$A220="","",'Current Char Stats'!$D220)</f>
        <v/>
      </c>
      <c r="F351" s="18" t="str">
        <f ca="1">IF('Current Char Stats'!$A220="","",'Current Char Stats'!$E220)</f>
        <v/>
      </c>
      <c r="G351" s="18" t="str">
        <f ca="1">IF('Current Char Stats'!$A220="","",'Current Char Stats'!$F220)</f>
        <v/>
      </c>
      <c r="H351" s="18" t="str">
        <f ca="1">IF('Current Char Stats'!$A220="","",'Current Char Stats'!$G220)</f>
        <v/>
      </c>
      <c r="I351" s="18" t="str">
        <f ca="1">IF('Current Char Stats'!$A220="","",'Current Char Stats'!$H220)</f>
        <v/>
      </c>
      <c r="J351" s="18" t="str">
        <f ca="1">IF('Current Char Stats'!$A220="","",'Current Char Stats'!$I220)</f>
        <v/>
      </c>
      <c r="K351" s="18" t="str">
        <f ca="1">IF('Current Char Stats'!$A220="","",'Current Char Stats'!$J220)</f>
        <v/>
      </c>
      <c r="L351" s="18" t="str">
        <f ca="1">IF('Current Char Stats'!$A220="","",'Current Char Stats'!$K220)</f>
        <v/>
      </c>
      <c r="M351" s="18" t="str">
        <f ca="1">IF('Current Char Stats'!$A220="","",'Current Char Stats'!$L220)</f>
        <v/>
      </c>
      <c r="N351" s="18" t="str">
        <f ca="1">IF('Current Char Stats'!$A220="","",'Current Char Stats'!$M220)</f>
        <v/>
      </c>
      <c r="O351" s="18" t="str">
        <f ca="1">IF('Current Char Stats'!$A220="","",'Current Char Stats'!$N220)</f>
        <v/>
      </c>
      <c r="P351" s="18" t="str">
        <f ca="1">IF('Current Char Stats'!$A220="","",'Current Char Stats'!$O220)</f>
        <v/>
      </c>
      <c r="Q351" s="18" t="str">
        <f ca="1">IF('Current Char Stats'!$A220="","",'Current Char Stats'!$P220)</f>
        <v/>
      </c>
      <c r="R351" s="18" t="str">
        <f ca="1">IF('Current Char Stats'!$A220="","",'Current Char Stats'!$Q220)</f>
        <v/>
      </c>
      <c r="S351" s="18" t="str">
        <f ca="1">IF('Current Char Stats'!$A220="","",'Current Char Stats'!$R220)</f>
        <v/>
      </c>
      <c r="T351" s="18" t="str">
        <f ca="1">IF('Current Char Stats'!$A220="","",'Current Char Stats'!$S220)</f>
        <v/>
      </c>
      <c r="U351" s="18" t="str">
        <f ca="1">IF('Current Char Stats'!$A220="","",'Current Char Stats'!$T220)</f>
        <v/>
      </c>
      <c r="V351" s="18" t="str">
        <f ca="1">IF('Current Char Stats'!$A220="","",'Current Char Stats'!$U220)</f>
        <v/>
      </c>
      <c r="W351" s="18" t="str">
        <f ca="1">IF('Current Char Stats'!$A220="","",'Current Char Stats'!$V220)</f>
        <v/>
      </c>
      <c r="X351" s="18" t="str">
        <f ca="1">IF('Current Char Stats'!$A220="","",'Current Char Stats'!$W220)</f>
        <v/>
      </c>
      <c r="Y351" s="18" t="str">
        <f ca="1">IF('Current Char Stats'!$A220="","",'Current Char Stats'!$X220)</f>
        <v/>
      </c>
      <c r="Z351" s="18" t="str">
        <f ca="1">IF('Current Char Stats'!$A220="","",'Current Char Stats'!$Y220)</f>
        <v/>
      </c>
      <c r="AA351" s="18" t="str">
        <f ca="1">IF('Current Char Stats'!$A220="","",'Current Char Stats'!$Z220)</f>
        <v/>
      </c>
      <c r="AB351" s="18" t="str">
        <f ca="1">IF('Current Char Stats'!$A220="","",'Current Char Stats'!$AA220)</f>
        <v/>
      </c>
      <c r="AC351" s="18" t="str">
        <f ca="1">IF('Current Char Stats'!$A220="","",'Current Char Stats'!$AB220)</f>
        <v/>
      </c>
      <c r="AD351" s="18" t="str">
        <f ca="1">IF('Current Char Stats'!$A220="","",'Current Char Stats'!$AC220)</f>
        <v/>
      </c>
      <c r="AE351" s="18" t="str">
        <f ca="1">IF('Current Char Stats'!$A220="","",'Current Char Stats'!$AD220)</f>
        <v/>
      </c>
      <c r="AF351" s="18" t="str">
        <f ca="1">IF('Current Char Stats'!$A220="","",'Current Char Stats'!$AE220)</f>
        <v/>
      </c>
    </row>
    <row r="352" spans="1:32">
      <c r="A352" s="18" t="str">
        <f ca="1">IF('Current Char Stats'!$A221="","",Settings!$B$2)</f>
        <v/>
      </c>
      <c r="B352" s="117" t="str">
        <f ca="1">IF('Current Char Stats'!$A221="","",'Current Char Stats'!$A221)</f>
        <v/>
      </c>
      <c r="C352" s="18" t="str">
        <f ca="1">IF('Current Char Stats'!$A221="","",'Current Char Stats'!$B221)</f>
        <v/>
      </c>
      <c r="D352" s="18" t="str">
        <f ca="1">IF('Current Char Stats'!$A221="","",'Current Char Stats'!$C221)</f>
        <v/>
      </c>
      <c r="E352" s="18" t="str">
        <f ca="1">IF('Current Char Stats'!$A221="","",'Current Char Stats'!$D221)</f>
        <v/>
      </c>
      <c r="F352" s="18" t="str">
        <f ca="1">IF('Current Char Stats'!$A221="","",'Current Char Stats'!$E221)</f>
        <v/>
      </c>
      <c r="G352" s="18" t="str">
        <f ca="1">IF('Current Char Stats'!$A221="","",'Current Char Stats'!$F221)</f>
        <v/>
      </c>
      <c r="H352" s="18" t="str">
        <f ca="1">IF('Current Char Stats'!$A221="","",'Current Char Stats'!$G221)</f>
        <v/>
      </c>
      <c r="I352" s="18" t="str">
        <f ca="1">IF('Current Char Stats'!$A221="","",'Current Char Stats'!$H221)</f>
        <v/>
      </c>
      <c r="J352" s="18" t="str">
        <f ca="1">IF('Current Char Stats'!$A221="","",'Current Char Stats'!$I221)</f>
        <v/>
      </c>
      <c r="K352" s="18" t="str">
        <f ca="1">IF('Current Char Stats'!$A221="","",'Current Char Stats'!$J221)</f>
        <v/>
      </c>
      <c r="L352" s="18" t="str">
        <f ca="1">IF('Current Char Stats'!$A221="","",'Current Char Stats'!$K221)</f>
        <v/>
      </c>
      <c r="M352" s="18" t="str">
        <f ca="1">IF('Current Char Stats'!$A221="","",'Current Char Stats'!$L221)</f>
        <v/>
      </c>
      <c r="N352" s="18" t="str">
        <f ca="1">IF('Current Char Stats'!$A221="","",'Current Char Stats'!$M221)</f>
        <v/>
      </c>
      <c r="O352" s="18" t="str">
        <f ca="1">IF('Current Char Stats'!$A221="","",'Current Char Stats'!$N221)</f>
        <v/>
      </c>
      <c r="P352" s="18" t="str">
        <f ca="1">IF('Current Char Stats'!$A221="","",'Current Char Stats'!$O221)</f>
        <v/>
      </c>
      <c r="Q352" s="18" t="str">
        <f ca="1">IF('Current Char Stats'!$A221="","",'Current Char Stats'!$P221)</f>
        <v/>
      </c>
      <c r="R352" s="18" t="str">
        <f ca="1">IF('Current Char Stats'!$A221="","",'Current Char Stats'!$Q221)</f>
        <v/>
      </c>
      <c r="S352" s="18" t="str">
        <f ca="1">IF('Current Char Stats'!$A221="","",'Current Char Stats'!$R221)</f>
        <v/>
      </c>
      <c r="T352" s="18" t="str">
        <f ca="1">IF('Current Char Stats'!$A221="","",'Current Char Stats'!$S221)</f>
        <v/>
      </c>
      <c r="U352" s="18" t="str">
        <f ca="1">IF('Current Char Stats'!$A221="","",'Current Char Stats'!$T221)</f>
        <v/>
      </c>
      <c r="V352" s="18" t="str">
        <f ca="1">IF('Current Char Stats'!$A221="","",'Current Char Stats'!$U221)</f>
        <v/>
      </c>
      <c r="W352" s="18" t="str">
        <f ca="1">IF('Current Char Stats'!$A221="","",'Current Char Stats'!$V221)</f>
        <v/>
      </c>
      <c r="X352" s="18" t="str">
        <f ca="1">IF('Current Char Stats'!$A221="","",'Current Char Stats'!$W221)</f>
        <v/>
      </c>
      <c r="Y352" s="18" t="str">
        <f ca="1">IF('Current Char Stats'!$A221="","",'Current Char Stats'!$X221)</f>
        <v/>
      </c>
      <c r="Z352" s="18" t="str">
        <f ca="1">IF('Current Char Stats'!$A221="","",'Current Char Stats'!$Y221)</f>
        <v/>
      </c>
      <c r="AA352" s="18" t="str">
        <f ca="1">IF('Current Char Stats'!$A221="","",'Current Char Stats'!$Z221)</f>
        <v/>
      </c>
      <c r="AB352" s="18" t="str">
        <f ca="1">IF('Current Char Stats'!$A221="","",'Current Char Stats'!$AA221)</f>
        <v/>
      </c>
      <c r="AC352" s="18" t="str">
        <f ca="1">IF('Current Char Stats'!$A221="","",'Current Char Stats'!$AB221)</f>
        <v/>
      </c>
      <c r="AD352" s="18" t="str">
        <f ca="1">IF('Current Char Stats'!$A221="","",'Current Char Stats'!$AC221)</f>
        <v/>
      </c>
      <c r="AE352" s="18" t="str">
        <f ca="1">IF('Current Char Stats'!$A221="","",'Current Char Stats'!$AD221)</f>
        <v/>
      </c>
      <c r="AF352" s="18" t="str">
        <f ca="1">IF('Current Char Stats'!$A221="","",'Current Char Stats'!$AE221)</f>
        <v/>
      </c>
    </row>
    <row r="353" spans="1:32">
      <c r="A353" s="18" t="str">
        <f ca="1">IF('Current Char Stats'!$A222="","",Settings!$B$2)</f>
        <v/>
      </c>
      <c r="B353" s="117" t="str">
        <f ca="1">IF('Current Char Stats'!$A222="","",'Current Char Stats'!$A222)</f>
        <v/>
      </c>
      <c r="C353" s="18" t="str">
        <f ca="1">IF('Current Char Stats'!$A222="","",'Current Char Stats'!$B222)</f>
        <v/>
      </c>
      <c r="D353" s="18" t="str">
        <f ca="1">IF('Current Char Stats'!$A222="","",'Current Char Stats'!$C222)</f>
        <v/>
      </c>
      <c r="E353" s="18" t="str">
        <f ca="1">IF('Current Char Stats'!$A222="","",'Current Char Stats'!$D222)</f>
        <v/>
      </c>
      <c r="F353" s="18" t="str">
        <f ca="1">IF('Current Char Stats'!$A222="","",'Current Char Stats'!$E222)</f>
        <v/>
      </c>
      <c r="G353" s="18" t="str">
        <f ca="1">IF('Current Char Stats'!$A222="","",'Current Char Stats'!$F222)</f>
        <v/>
      </c>
      <c r="H353" s="18" t="str">
        <f ca="1">IF('Current Char Stats'!$A222="","",'Current Char Stats'!$G222)</f>
        <v/>
      </c>
      <c r="I353" s="18" t="str">
        <f ca="1">IF('Current Char Stats'!$A222="","",'Current Char Stats'!$H222)</f>
        <v/>
      </c>
      <c r="J353" s="18" t="str">
        <f ca="1">IF('Current Char Stats'!$A222="","",'Current Char Stats'!$I222)</f>
        <v/>
      </c>
      <c r="K353" s="18" t="str">
        <f ca="1">IF('Current Char Stats'!$A222="","",'Current Char Stats'!$J222)</f>
        <v/>
      </c>
      <c r="L353" s="18" t="str">
        <f ca="1">IF('Current Char Stats'!$A222="","",'Current Char Stats'!$K222)</f>
        <v/>
      </c>
      <c r="M353" s="18" t="str">
        <f ca="1">IF('Current Char Stats'!$A222="","",'Current Char Stats'!$L222)</f>
        <v/>
      </c>
      <c r="N353" s="18" t="str">
        <f ca="1">IF('Current Char Stats'!$A222="","",'Current Char Stats'!$M222)</f>
        <v/>
      </c>
      <c r="O353" s="18" t="str">
        <f ca="1">IF('Current Char Stats'!$A222="","",'Current Char Stats'!$N222)</f>
        <v/>
      </c>
      <c r="P353" s="18" t="str">
        <f ca="1">IF('Current Char Stats'!$A222="","",'Current Char Stats'!$O222)</f>
        <v/>
      </c>
      <c r="Q353" s="18" t="str">
        <f ca="1">IF('Current Char Stats'!$A222="","",'Current Char Stats'!$P222)</f>
        <v/>
      </c>
      <c r="R353" s="18" t="str">
        <f ca="1">IF('Current Char Stats'!$A222="","",'Current Char Stats'!$Q222)</f>
        <v/>
      </c>
      <c r="S353" s="18" t="str">
        <f ca="1">IF('Current Char Stats'!$A222="","",'Current Char Stats'!$R222)</f>
        <v/>
      </c>
      <c r="T353" s="18" t="str">
        <f ca="1">IF('Current Char Stats'!$A222="","",'Current Char Stats'!$S222)</f>
        <v/>
      </c>
      <c r="U353" s="18" t="str">
        <f ca="1">IF('Current Char Stats'!$A222="","",'Current Char Stats'!$T222)</f>
        <v/>
      </c>
      <c r="V353" s="18" t="str">
        <f ca="1">IF('Current Char Stats'!$A222="","",'Current Char Stats'!$U222)</f>
        <v/>
      </c>
      <c r="W353" s="18" t="str">
        <f ca="1">IF('Current Char Stats'!$A222="","",'Current Char Stats'!$V222)</f>
        <v/>
      </c>
      <c r="X353" s="18" t="str">
        <f ca="1">IF('Current Char Stats'!$A222="","",'Current Char Stats'!$W222)</f>
        <v/>
      </c>
      <c r="Y353" s="18" t="str">
        <f ca="1">IF('Current Char Stats'!$A222="","",'Current Char Stats'!$X222)</f>
        <v/>
      </c>
      <c r="Z353" s="18" t="str">
        <f ca="1">IF('Current Char Stats'!$A222="","",'Current Char Stats'!$Y222)</f>
        <v/>
      </c>
      <c r="AA353" s="18" t="str">
        <f ca="1">IF('Current Char Stats'!$A222="","",'Current Char Stats'!$Z222)</f>
        <v/>
      </c>
      <c r="AB353" s="18" t="str">
        <f ca="1">IF('Current Char Stats'!$A222="","",'Current Char Stats'!$AA222)</f>
        <v/>
      </c>
      <c r="AC353" s="18" t="str">
        <f ca="1">IF('Current Char Stats'!$A222="","",'Current Char Stats'!$AB222)</f>
        <v/>
      </c>
      <c r="AD353" s="18" t="str">
        <f ca="1">IF('Current Char Stats'!$A222="","",'Current Char Stats'!$AC222)</f>
        <v/>
      </c>
      <c r="AE353" s="18" t="str">
        <f ca="1">IF('Current Char Stats'!$A222="","",'Current Char Stats'!$AD222)</f>
        <v/>
      </c>
      <c r="AF353" s="18" t="str">
        <f ca="1">IF('Current Char Stats'!$A222="","",'Current Char Stats'!$AE222)</f>
        <v/>
      </c>
    </row>
    <row r="354" spans="1:32">
      <c r="A354" s="18" t="str">
        <f ca="1">IF('Current Char Stats'!$A223="","",Settings!$B$2)</f>
        <v/>
      </c>
      <c r="B354" s="117" t="str">
        <f ca="1">IF('Current Char Stats'!$A223="","",'Current Char Stats'!$A223)</f>
        <v/>
      </c>
      <c r="C354" s="18" t="str">
        <f ca="1">IF('Current Char Stats'!$A223="","",'Current Char Stats'!$B223)</f>
        <v/>
      </c>
      <c r="D354" s="18" t="str">
        <f ca="1">IF('Current Char Stats'!$A223="","",'Current Char Stats'!$C223)</f>
        <v/>
      </c>
      <c r="E354" s="18" t="str">
        <f ca="1">IF('Current Char Stats'!$A223="","",'Current Char Stats'!$D223)</f>
        <v/>
      </c>
      <c r="F354" s="18" t="str">
        <f ca="1">IF('Current Char Stats'!$A223="","",'Current Char Stats'!$E223)</f>
        <v/>
      </c>
      <c r="G354" s="18" t="str">
        <f ca="1">IF('Current Char Stats'!$A223="","",'Current Char Stats'!$F223)</f>
        <v/>
      </c>
      <c r="H354" s="18" t="str">
        <f ca="1">IF('Current Char Stats'!$A223="","",'Current Char Stats'!$G223)</f>
        <v/>
      </c>
      <c r="I354" s="18" t="str">
        <f ca="1">IF('Current Char Stats'!$A223="","",'Current Char Stats'!$H223)</f>
        <v/>
      </c>
      <c r="J354" s="18" t="str">
        <f ca="1">IF('Current Char Stats'!$A223="","",'Current Char Stats'!$I223)</f>
        <v/>
      </c>
      <c r="K354" s="18" t="str">
        <f ca="1">IF('Current Char Stats'!$A223="","",'Current Char Stats'!$J223)</f>
        <v/>
      </c>
      <c r="L354" s="18" t="str">
        <f ca="1">IF('Current Char Stats'!$A223="","",'Current Char Stats'!$K223)</f>
        <v/>
      </c>
      <c r="M354" s="18" t="str">
        <f ca="1">IF('Current Char Stats'!$A223="","",'Current Char Stats'!$L223)</f>
        <v/>
      </c>
      <c r="N354" s="18" t="str">
        <f ca="1">IF('Current Char Stats'!$A223="","",'Current Char Stats'!$M223)</f>
        <v/>
      </c>
      <c r="O354" s="18" t="str">
        <f ca="1">IF('Current Char Stats'!$A223="","",'Current Char Stats'!$N223)</f>
        <v/>
      </c>
      <c r="P354" s="18" t="str">
        <f ca="1">IF('Current Char Stats'!$A223="","",'Current Char Stats'!$O223)</f>
        <v/>
      </c>
      <c r="Q354" s="18" t="str">
        <f ca="1">IF('Current Char Stats'!$A223="","",'Current Char Stats'!$P223)</f>
        <v/>
      </c>
      <c r="R354" s="18" t="str">
        <f ca="1">IF('Current Char Stats'!$A223="","",'Current Char Stats'!$Q223)</f>
        <v/>
      </c>
      <c r="S354" s="18" t="str">
        <f ca="1">IF('Current Char Stats'!$A223="","",'Current Char Stats'!$R223)</f>
        <v/>
      </c>
      <c r="T354" s="18" t="str">
        <f ca="1">IF('Current Char Stats'!$A223="","",'Current Char Stats'!$S223)</f>
        <v/>
      </c>
      <c r="U354" s="18" t="str">
        <f ca="1">IF('Current Char Stats'!$A223="","",'Current Char Stats'!$T223)</f>
        <v/>
      </c>
      <c r="V354" s="18" t="str">
        <f ca="1">IF('Current Char Stats'!$A223="","",'Current Char Stats'!$U223)</f>
        <v/>
      </c>
      <c r="W354" s="18" t="str">
        <f ca="1">IF('Current Char Stats'!$A223="","",'Current Char Stats'!$V223)</f>
        <v/>
      </c>
      <c r="X354" s="18" t="str">
        <f ca="1">IF('Current Char Stats'!$A223="","",'Current Char Stats'!$W223)</f>
        <v/>
      </c>
      <c r="Y354" s="18" t="str">
        <f ca="1">IF('Current Char Stats'!$A223="","",'Current Char Stats'!$X223)</f>
        <v/>
      </c>
      <c r="Z354" s="18" t="str">
        <f ca="1">IF('Current Char Stats'!$A223="","",'Current Char Stats'!$Y223)</f>
        <v/>
      </c>
      <c r="AA354" s="18" t="str">
        <f ca="1">IF('Current Char Stats'!$A223="","",'Current Char Stats'!$Z223)</f>
        <v/>
      </c>
      <c r="AB354" s="18" t="str">
        <f ca="1">IF('Current Char Stats'!$A223="","",'Current Char Stats'!$AA223)</f>
        <v/>
      </c>
      <c r="AC354" s="18" t="str">
        <f ca="1">IF('Current Char Stats'!$A223="","",'Current Char Stats'!$AB223)</f>
        <v/>
      </c>
      <c r="AD354" s="18" t="str">
        <f ca="1">IF('Current Char Stats'!$A223="","",'Current Char Stats'!$AC223)</f>
        <v/>
      </c>
      <c r="AE354" s="18" t="str">
        <f ca="1">IF('Current Char Stats'!$A223="","",'Current Char Stats'!$AD223)</f>
        <v/>
      </c>
      <c r="AF354" s="18" t="str">
        <f ca="1">IF('Current Char Stats'!$A223="","",'Current Char Stats'!$AE223)</f>
        <v/>
      </c>
    </row>
    <row r="355" spans="1:32">
      <c r="A355" s="18" t="str">
        <f ca="1">IF('Current Char Stats'!$A224="","",Settings!$B$2)</f>
        <v/>
      </c>
      <c r="B355" s="117" t="str">
        <f ca="1">IF('Current Char Stats'!$A224="","",'Current Char Stats'!$A224)</f>
        <v/>
      </c>
      <c r="C355" s="18" t="str">
        <f ca="1">IF('Current Char Stats'!$A224="","",'Current Char Stats'!$B224)</f>
        <v/>
      </c>
      <c r="D355" s="18" t="str">
        <f ca="1">IF('Current Char Stats'!$A224="","",'Current Char Stats'!$C224)</f>
        <v/>
      </c>
      <c r="E355" s="18" t="str">
        <f ca="1">IF('Current Char Stats'!$A224="","",'Current Char Stats'!$D224)</f>
        <v/>
      </c>
      <c r="F355" s="18" t="str">
        <f ca="1">IF('Current Char Stats'!$A224="","",'Current Char Stats'!$E224)</f>
        <v/>
      </c>
      <c r="G355" s="18" t="str">
        <f ca="1">IF('Current Char Stats'!$A224="","",'Current Char Stats'!$F224)</f>
        <v/>
      </c>
      <c r="H355" s="18" t="str">
        <f ca="1">IF('Current Char Stats'!$A224="","",'Current Char Stats'!$G224)</f>
        <v/>
      </c>
      <c r="I355" s="18" t="str">
        <f ca="1">IF('Current Char Stats'!$A224="","",'Current Char Stats'!$H224)</f>
        <v/>
      </c>
      <c r="J355" s="18" t="str">
        <f ca="1">IF('Current Char Stats'!$A224="","",'Current Char Stats'!$I224)</f>
        <v/>
      </c>
      <c r="K355" s="18" t="str">
        <f ca="1">IF('Current Char Stats'!$A224="","",'Current Char Stats'!$J224)</f>
        <v/>
      </c>
      <c r="L355" s="18" t="str">
        <f ca="1">IF('Current Char Stats'!$A224="","",'Current Char Stats'!$K224)</f>
        <v/>
      </c>
      <c r="M355" s="18" t="str">
        <f ca="1">IF('Current Char Stats'!$A224="","",'Current Char Stats'!$L224)</f>
        <v/>
      </c>
      <c r="N355" s="18" t="str">
        <f ca="1">IF('Current Char Stats'!$A224="","",'Current Char Stats'!$M224)</f>
        <v/>
      </c>
      <c r="O355" s="18" t="str">
        <f ca="1">IF('Current Char Stats'!$A224="","",'Current Char Stats'!$N224)</f>
        <v/>
      </c>
      <c r="P355" s="18" t="str">
        <f ca="1">IF('Current Char Stats'!$A224="","",'Current Char Stats'!$O224)</f>
        <v/>
      </c>
      <c r="Q355" s="18" t="str">
        <f ca="1">IF('Current Char Stats'!$A224="","",'Current Char Stats'!$P224)</f>
        <v/>
      </c>
      <c r="R355" s="18" t="str">
        <f ca="1">IF('Current Char Stats'!$A224="","",'Current Char Stats'!$Q224)</f>
        <v/>
      </c>
      <c r="S355" s="18" t="str">
        <f ca="1">IF('Current Char Stats'!$A224="","",'Current Char Stats'!$R224)</f>
        <v/>
      </c>
      <c r="T355" s="18" t="str">
        <f ca="1">IF('Current Char Stats'!$A224="","",'Current Char Stats'!$S224)</f>
        <v/>
      </c>
      <c r="U355" s="18" t="str">
        <f ca="1">IF('Current Char Stats'!$A224="","",'Current Char Stats'!$T224)</f>
        <v/>
      </c>
      <c r="V355" s="18" t="str">
        <f ca="1">IF('Current Char Stats'!$A224="","",'Current Char Stats'!$U224)</f>
        <v/>
      </c>
      <c r="W355" s="18" t="str">
        <f ca="1">IF('Current Char Stats'!$A224="","",'Current Char Stats'!$V224)</f>
        <v/>
      </c>
      <c r="X355" s="18" t="str">
        <f ca="1">IF('Current Char Stats'!$A224="","",'Current Char Stats'!$W224)</f>
        <v/>
      </c>
      <c r="Y355" s="18" t="str">
        <f ca="1">IF('Current Char Stats'!$A224="","",'Current Char Stats'!$X224)</f>
        <v/>
      </c>
      <c r="Z355" s="18" t="str">
        <f ca="1">IF('Current Char Stats'!$A224="","",'Current Char Stats'!$Y224)</f>
        <v/>
      </c>
      <c r="AA355" s="18" t="str">
        <f ca="1">IF('Current Char Stats'!$A224="","",'Current Char Stats'!$Z224)</f>
        <v/>
      </c>
      <c r="AB355" s="18" t="str">
        <f ca="1">IF('Current Char Stats'!$A224="","",'Current Char Stats'!$AA224)</f>
        <v/>
      </c>
      <c r="AC355" s="18" t="str">
        <f ca="1">IF('Current Char Stats'!$A224="","",'Current Char Stats'!$AB224)</f>
        <v/>
      </c>
      <c r="AD355" s="18" t="str">
        <f ca="1">IF('Current Char Stats'!$A224="","",'Current Char Stats'!$AC224)</f>
        <v/>
      </c>
      <c r="AE355" s="18" t="str">
        <f ca="1">IF('Current Char Stats'!$A224="","",'Current Char Stats'!$AD224)</f>
        <v/>
      </c>
      <c r="AF355" s="18" t="str">
        <f ca="1">IF('Current Char Stats'!$A224="","",'Current Char Stats'!$AE224)</f>
        <v/>
      </c>
    </row>
    <row r="356" spans="1:32">
      <c r="A356" s="18" t="str">
        <f ca="1">IF('Current Char Stats'!$A225="","",Settings!$B$2)</f>
        <v/>
      </c>
      <c r="B356" s="117" t="str">
        <f ca="1">IF('Current Char Stats'!$A225="","",'Current Char Stats'!$A225)</f>
        <v/>
      </c>
      <c r="C356" s="18" t="str">
        <f ca="1">IF('Current Char Stats'!$A225="","",'Current Char Stats'!$B225)</f>
        <v/>
      </c>
      <c r="D356" s="18" t="str">
        <f ca="1">IF('Current Char Stats'!$A225="","",'Current Char Stats'!$C225)</f>
        <v/>
      </c>
      <c r="E356" s="18" t="str">
        <f ca="1">IF('Current Char Stats'!$A225="","",'Current Char Stats'!$D225)</f>
        <v/>
      </c>
      <c r="F356" s="18" t="str">
        <f ca="1">IF('Current Char Stats'!$A225="","",'Current Char Stats'!$E225)</f>
        <v/>
      </c>
      <c r="G356" s="18" t="str">
        <f ca="1">IF('Current Char Stats'!$A225="","",'Current Char Stats'!$F225)</f>
        <v/>
      </c>
      <c r="H356" s="18" t="str">
        <f ca="1">IF('Current Char Stats'!$A225="","",'Current Char Stats'!$G225)</f>
        <v/>
      </c>
      <c r="I356" s="18" t="str">
        <f ca="1">IF('Current Char Stats'!$A225="","",'Current Char Stats'!$H225)</f>
        <v/>
      </c>
      <c r="J356" s="18" t="str">
        <f ca="1">IF('Current Char Stats'!$A225="","",'Current Char Stats'!$I225)</f>
        <v/>
      </c>
      <c r="K356" s="18" t="str">
        <f ca="1">IF('Current Char Stats'!$A225="","",'Current Char Stats'!$J225)</f>
        <v/>
      </c>
      <c r="L356" s="18" t="str">
        <f ca="1">IF('Current Char Stats'!$A225="","",'Current Char Stats'!$K225)</f>
        <v/>
      </c>
      <c r="M356" s="18" t="str">
        <f ca="1">IF('Current Char Stats'!$A225="","",'Current Char Stats'!$L225)</f>
        <v/>
      </c>
      <c r="N356" s="18" t="str">
        <f ca="1">IF('Current Char Stats'!$A225="","",'Current Char Stats'!$M225)</f>
        <v/>
      </c>
      <c r="O356" s="18" t="str">
        <f ca="1">IF('Current Char Stats'!$A225="","",'Current Char Stats'!$N225)</f>
        <v/>
      </c>
      <c r="P356" s="18" t="str">
        <f ca="1">IF('Current Char Stats'!$A225="","",'Current Char Stats'!$O225)</f>
        <v/>
      </c>
      <c r="Q356" s="18" t="str">
        <f ca="1">IF('Current Char Stats'!$A225="","",'Current Char Stats'!$P225)</f>
        <v/>
      </c>
      <c r="R356" s="18" t="str">
        <f ca="1">IF('Current Char Stats'!$A225="","",'Current Char Stats'!$Q225)</f>
        <v/>
      </c>
      <c r="S356" s="18" t="str">
        <f ca="1">IF('Current Char Stats'!$A225="","",'Current Char Stats'!$R225)</f>
        <v/>
      </c>
      <c r="T356" s="18" t="str">
        <f ca="1">IF('Current Char Stats'!$A225="","",'Current Char Stats'!$S225)</f>
        <v/>
      </c>
      <c r="U356" s="18" t="str">
        <f ca="1">IF('Current Char Stats'!$A225="","",'Current Char Stats'!$T225)</f>
        <v/>
      </c>
      <c r="V356" s="18" t="str">
        <f ca="1">IF('Current Char Stats'!$A225="","",'Current Char Stats'!$U225)</f>
        <v/>
      </c>
      <c r="W356" s="18" t="str">
        <f ca="1">IF('Current Char Stats'!$A225="","",'Current Char Stats'!$V225)</f>
        <v/>
      </c>
      <c r="X356" s="18" t="str">
        <f ca="1">IF('Current Char Stats'!$A225="","",'Current Char Stats'!$W225)</f>
        <v/>
      </c>
      <c r="Y356" s="18" t="str">
        <f ca="1">IF('Current Char Stats'!$A225="","",'Current Char Stats'!$X225)</f>
        <v/>
      </c>
      <c r="Z356" s="18" t="str">
        <f ca="1">IF('Current Char Stats'!$A225="","",'Current Char Stats'!$Y225)</f>
        <v/>
      </c>
      <c r="AA356" s="18" t="str">
        <f ca="1">IF('Current Char Stats'!$A225="","",'Current Char Stats'!$Z225)</f>
        <v/>
      </c>
      <c r="AB356" s="18" t="str">
        <f ca="1">IF('Current Char Stats'!$A225="","",'Current Char Stats'!$AA225)</f>
        <v/>
      </c>
      <c r="AC356" s="18" t="str">
        <f ca="1">IF('Current Char Stats'!$A225="","",'Current Char Stats'!$AB225)</f>
        <v/>
      </c>
      <c r="AD356" s="18" t="str">
        <f ca="1">IF('Current Char Stats'!$A225="","",'Current Char Stats'!$AC225)</f>
        <v/>
      </c>
      <c r="AE356" s="18" t="str">
        <f ca="1">IF('Current Char Stats'!$A225="","",'Current Char Stats'!$AD225)</f>
        <v/>
      </c>
      <c r="AF356" s="18" t="str">
        <f ca="1">IF('Current Char Stats'!$A225="","",'Current Char Stats'!$AE225)</f>
        <v/>
      </c>
    </row>
    <row r="357" spans="1:32">
      <c r="A357" s="18" t="str">
        <f ca="1">IF('Current Char Stats'!$A226="","",Settings!$B$2)</f>
        <v/>
      </c>
      <c r="B357" s="117" t="str">
        <f ca="1">IF('Current Char Stats'!$A226="","",'Current Char Stats'!$A226)</f>
        <v/>
      </c>
      <c r="C357" s="18" t="str">
        <f ca="1">IF('Current Char Stats'!$A226="","",'Current Char Stats'!$B226)</f>
        <v/>
      </c>
      <c r="D357" s="18" t="str">
        <f ca="1">IF('Current Char Stats'!$A226="","",'Current Char Stats'!$C226)</f>
        <v/>
      </c>
      <c r="E357" s="18" t="str">
        <f ca="1">IF('Current Char Stats'!$A226="","",'Current Char Stats'!$D226)</f>
        <v/>
      </c>
      <c r="F357" s="18" t="str">
        <f ca="1">IF('Current Char Stats'!$A226="","",'Current Char Stats'!$E226)</f>
        <v/>
      </c>
      <c r="G357" s="18" t="str">
        <f ca="1">IF('Current Char Stats'!$A226="","",'Current Char Stats'!$F226)</f>
        <v/>
      </c>
      <c r="H357" s="18" t="str">
        <f ca="1">IF('Current Char Stats'!$A226="","",'Current Char Stats'!$G226)</f>
        <v/>
      </c>
      <c r="I357" s="18" t="str">
        <f ca="1">IF('Current Char Stats'!$A226="","",'Current Char Stats'!$H226)</f>
        <v/>
      </c>
      <c r="J357" s="18" t="str">
        <f ca="1">IF('Current Char Stats'!$A226="","",'Current Char Stats'!$I226)</f>
        <v/>
      </c>
      <c r="K357" s="18" t="str">
        <f ca="1">IF('Current Char Stats'!$A226="","",'Current Char Stats'!$J226)</f>
        <v/>
      </c>
      <c r="L357" s="18" t="str">
        <f ca="1">IF('Current Char Stats'!$A226="","",'Current Char Stats'!$K226)</f>
        <v/>
      </c>
      <c r="M357" s="18" t="str">
        <f ca="1">IF('Current Char Stats'!$A226="","",'Current Char Stats'!$L226)</f>
        <v/>
      </c>
      <c r="N357" s="18" t="str">
        <f ca="1">IF('Current Char Stats'!$A226="","",'Current Char Stats'!$M226)</f>
        <v/>
      </c>
      <c r="O357" s="18" t="str">
        <f ca="1">IF('Current Char Stats'!$A226="","",'Current Char Stats'!$N226)</f>
        <v/>
      </c>
      <c r="P357" s="18" t="str">
        <f ca="1">IF('Current Char Stats'!$A226="","",'Current Char Stats'!$O226)</f>
        <v/>
      </c>
      <c r="Q357" s="18" t="str">
        <f ca="1">IF('Current Char Stats'!$A226="","",'Current Char Stats'!$P226)</f>
        <v/>
      </c>
      <c r="R357" s="18" t="str">
        <f ca="1">IF('Current Char Stats'!$A226="","",'Current Char Stats'!$Q226)</f>
        <v/>
      </c>
      <c r="S357" s="18" t="str">
        <f ca="1">IF('Current Char Stats'!$A226="","",'Current Char Stats'!$R226)</f>
        <v/>
      </c>
      <c r="T357" s="18" t="str">
        <f ca="1">IF('Current Char Stats'!$A226="","",'Current Char Stats'!$S226)</f>
        <v/>
      </c>
      <c r="U357" s="18" t="str">
        <f ca="1">IF('Current Char Stats'!$A226="","",'Current Char Stats'!$T226)</f>
        <v/>
      </c>
      <c r="V357" s="18" t="str">
        <f ca="1">IF('Current Char Stats'!$A226="","",'Current Char Stats'!$U226)</f>
        <v/>
      </c>
      <c r="W357" s="18" t="str">
        <f ca="1">IF('Current Char Stats'!$A226="","",'Current Char Stats'!$V226)</f>
        <v/>
      </c>
      <c r="X357" s="18" t="str">
        <f ca="1">IF('Current Char Stats'!$A226="","",'Current Char Stats'!$W226)</f>
        <v/>
      </c>
      <c r="Y357" s="18" t="str">
        <f ca="1">IF('Current Char Stats'!$A226="","",'Current Char Stats'!$X226)</f>
        <v/>
      </c>
      <c r="Z357" s="18" t="str">
        <f ca="1">IF('Current Char Stats'!$A226="","",'Current Char Stats'!$Y226)</f>
        <v/>
      </c>
      <c r="AA357" s="18" t="str">
        <f ca="1">IF('Current Char Stats'!$A226="","",'Current Char Stats'!$Z226)</f>
        <v/>
      </c>
      <c r="AB357" s="18" t="str">
        <f ca="1">IF('Current Char Stats'!$A226="","",'Current Char Stats'!$AA226)</f>
        <v/>
      </c>
      <c r="AC357" s="18" t="str">
        <f ca="1">IF('Current Char Stats'!$A226="","",'Current Char Stats'!$AB226)</f>
        <v/>
      </c>
      <c r="AD357" s="18" t="str">
        <f ca="1">IF('Current Char Stats'!$A226="","",'Current Char Stats'!$AC226)</f>
        <v/>
      </c>
      <c r="AE357" s="18" t="str">
        <f ca="1">IF('Current Char Stats'!$A226="","",'Current Char Stats'!$AD226)</f>
        <v/>
      </c>
      <c r="AF357" s="18" t="str">
        <f ca="1">IF('Current Char Stats'!$A226="","",'Current Char Stats'!$AE226)</f>
        <v/>
      </c>
    </row>
    <row r="358" spans="1:32">
      <c r="A358" s="18" t="str">
        <f ca="1">IF('Current Char Stats'!$A227="","",Settings!$B$2)</f>
        <v/>
      </c>
      <c r="B358" s="117" t="str">
        <f ca="1">IF('Current Char Stats'!$A227="","",'Current Char Stats'!$A227)</f>
        <v/>
      </c>
      <c r="C358" s="18" t="str">
        <f ca="1">IF('Current Char Stats'!$A227="","",'Current Char Stats'!$B227)</f>
        <v/>
      </c>
      <c r="D358" s="18" t="str">
        <f ca="1">IF('Current Char Stats'!$A227="","",'Current Char Stats'!$C227)</f>
        <v/>
      </c>
      <c r="E358" s="18" t="str">
        <f ca="1">IF('Current Char Stats'!$A227="","",'Current Char Stats'!$D227)</f>
        <v/>
      </c>
      <c r="F358" s="18" t="str">
        <f ca="1">IF('Current Char Stats'!$A227="","",'Current Char Stats'!$E227)</f>
        <v/>
      </c>
      <c r="G358" s="18" t="str">
        <f ca="1">IF('Current Char Stats'!$A227="","",'Current Char Stats'!$F227)</f>
        <v/>
      </c>
      <c r="H358" s="18" t="str">
        <f ca="1">IF('Current Char Stats'!$A227="","",'Current Char Stats'!$G227)</f>
        <v/>
      </c>
      <c r="I358" s="18" t="str">
        <f ca="1">IF('Current Char Stats'!$A227="","",'Current Char Stats'!$H227)</f>
        <v/>
      </c>
      <c r="J358" s="18" t="str">
        <f ca="1">IF('Current Char Stats'!$A227="","",'Current Char Stats'!$I227)</f>
        <v/>
      </c>
      <c r="K358" s="18" t="str">
        <f ca="1">IF('Current Char Stats'!$A227="","",'Current Char Stats'!$J227)</f>
        <v/>
      </c>
      <c r="L358" s="18" t="str">
        <f ca="1">IF('Current Char Stats'!$A227="","",'Current Char Stats'!$K227)</f>
        <v/>
      </c>
      <c r="M358" s="18" t="str">
        <f ca="1">IF('Current Char Stats'!$A227="","",'Current Char Stats'!$L227)</f>
        <v/>
      </c>
      <c r="N358" s="18" t="str">
        <f ca="1">IF('Current Char Stats'!$A227="","",'Current Char Stats'!$M227)</f>
        <v/>
      </c>
      <c r="O358" s="18" t="str">
        <f ca="1">IF('Current Char Stats'!$A227="","",'Current Char Stats'!$N227)</f>
        <v/>
      </c>
      <c r="P358" s="18" t="str">
        <f ca="1">IF('Current Char Stats'!$A227="","",'Current Char Stats'!$O227)</f>
        <v/>
      </c>
      <c r="Q358" s="18" t="str">
        <f ca="1">IF('Current Char Stats'!$A227="","",'Current Char Stats'!$P227)</f>
        <v/>
      </c>
      <c r="R358" s="18" t="str">
        <f ca="1">IF('Current Char Stats'!$A227="","",'Current Char Stats'!$Q227)</f>
        <v/>
      </c>
      <c r="S358" s="18" t="str">
        <f ca="1">IF('Current Char Stats'!$A227="","",'Current Char Stats'!$R227)</f>
        <v/>
      </c>
      <c r="T358" s="18" t="str">
        <f ca="1">IF('Current Char Stats'!$A227="","",'Current Char Stats'!$S227)</f>
        <v/>
      </c>
      <c r="U358" s="18" t="str">
        <f ca="1">IF('Current Char Stats'!$A227="","",'Current Char Stats'!$T227)</f>
        <v/>
      </c>
      <c r="V358" s="18" t="str">
        <f ca="1">IF('Current Char Stats'!$A227="","",'Current Char Stats'!$U227)</f>
        <v/>
      </c>
      <c r="W358" s="18" t="str">
        <f ca="1">IF('Current Char Stats'!$A227="","",'Current Char Stats'!$V227)</f>
        <v/>
      </c>
      <c r="X358" s="18" t="str">
        <f ca="1">IF('Current Char Stats'!$A227="","",'Current Char Stats'!$W227)</f>
        <v/>
      </c>
      <c r="Y358" s="18" t="str">
        <f ca="1">IF('Current Char Stats'!$A227="","",'Current Char Stats'!$X227)</f>
        <v/>
      </c>
      <c r="Z358" s="18" t="str">
        <f ca="1">IF('Current Char Stats'!$A227="","",'Current Char Stats'!$Y227)</f>
        <v/>
      </c>
      <c r="AA358" s="18" t="str">
        <f ca="1">IF('Current Char Stats'!$A227="","",'Current Char Stats'!$Z227)</f>
        <v/>
      </c>
      <c r="AB358" s="18" t="str">
        <f ca="1">IF('Current Char Stats'!$A227="","",'Current Char Stats'!$AA227)</f>
        <v/>
      </c>
      <c r="AC358" s="18" t="str">
        <f ca="1">IF('Current Char Stats'!$A227="","",'Current Char Stats'!$AB227)</f>
        <v/>
      </c>
      <c r="AD358" s="18" t="str">
        <f ca="1">IF('Current Char Stats'!$A227="","",'Current Char Stats'!$AC227)</f>
        <v/>
      </c>
      <c r="AE358" s="18" t="str">
        <f ca="1">IF('Current Char Stats'!$A227="","",'Current Char Stats'!$AD227)</f>
        <v/>
      </c>
      <c r="AF358" s="18" t="str">
        <f ca="1">IF('Current Char Stats'!$A227="","",'Current Char Stats'!$AE227)</f>
        <v/>
      </c>
    </row>
    <row r="359" spans="1:32">
      <c r="A359" s="18" t="str">
        <f ca="1">IF('Current Char Stats'!$A228="","",Settings!$B$2)</f>
        <v/>
      </c>
      <c r="B359" s="117" t="str">
        <f ca="1">IF('Current Char Stats'!$A228="","",'Current Char Stats'!$A228)</f>
        <v/>
      </c>
      <c r="C359" s="18" t="str">
        <f ca="1">IF('Current Char Stats'!$A228="","",'Current Char Stats'!$B228)</f>
        <v/>
      </c>
      <c r="D359" s="18" t="str">
        <f ca="1">IF('Current Char Stats'!$A228="","",'Current Char Stats'!$C228)</f>
        <v/>
      </c>
      <c r="E359" s="18" t="str">
        <f ca="1">IF('Current Char Stats'!$A228="","",'Current Char Stats'!$D228)</f>
        <v/>
      </c>
      <c r="F359" s="18" t="str">
        <f ca="1">IF('Current Char Stats'!$A228="","",'Current Char Stats'!$E228)</f>
        <v/>
      </c>
      <c r="G359" s="18" t="str">
        <f ca="1">IF('Current Char Stats'!$A228="","",'Current Char Stats'!$F228)</f>
        <v/>
      </c>
      <c r="H359" s="18" t="str">
        <f ca="1">IF('Current Char Stats'!$A228="","",'Current Char Stats'!$G228)</f>
        <v/>
      </c>
      <c r="I359" s="18" t="str">
        <f ca="1">IF('Current Char Stats'!$A228="","",'Current Char Stats'!$H228)</f>
        <v/>
      </c>
      <c r="J359" s="18" t="str">
        <f ca="1">IF('Current Char Stats'!$A228="","",'Current Char Stats'!$I228)</f>
        <v/>
      </c>
      <c r="K359" s="18" t="str">
        <f ca="1">IF('Current Char Stats'!$A228="","",'Current Char Stats'!$J228)</f>
        <v/>
      </c>
      <c r="L359" s="18" t="str">
        <f ca="1">IF('Current Char Stats'!$A228="","",'Current Char Stats'!$K228)</f>
        <v/>
      </c>
      <c r="M359" s="18" t="str">
        <f ca="1">IF('Current Char Stats'!$A228="","",'Current Char Stats'!$L228)</f>
        <v/>
      </c>
      <c r="N359" s="18" t="str">
        <f ca="1">IF('Current Char Stats'!$A228="","",'Current Char Stats'!$M228)</f>
        <v/>
      </c>
      <c r="O359" s="18" t="str">
        <f ca="1">IF('Current Char Stats'!$A228="","",'Current Char Stats'!$N228)</f>
        <v/>
      </c>
      <c r="P359" s="18" t="str">
        <f ca="1">IF('Current Char Stats'!$A228="","",'Current Char Stats'!$O228)</f>
        <v/>
      </c>
      <c r="Q359" s="18" t="str">
        <f ca="1">IF('Current Char Stats'!$A228="","",'Current Char Stats'!$P228)</f>
        <v/>
      </c>
      <c r="R359" s="18" t="str">
        <f ca="1">IF('Current Char Stats'!$A228="","",'Current Char Stats'!$Q228)</f>
        <v/>
      </c>
      <c r="S359" s="18" t="str">
        <f ca="1">IF('Current Char Stats'!$A228="","",'Current Char Stats'!$R228)</f>
        <v/>
      </c>
      <c r="T359" s="18" t="str">
        <f ca="1">IF('Current Char Stats'!$A228="","",'Current Char Stats'!$S228)</f>
        <v/>
      </c>
      <c r="U359" s="18" t="str">
        <f ca="1">IF('Current Char Stats'!$A228="","",'Current Char Stats'!$T228)</f>
        <v/>
      </c>
      <c r="V359" s="18" t="str">
        <f ca="1">IF('Current Char Stats'!$A228="","",'Current Char Stats'!$U228)</f>
        <v/>
      </c>
      <c r="W359" s="18" t="str">
        <f ca="1">IF('Current Char Stats'!$A228="","",'Current Char Stats'!$V228)</f>
        <v/>
      </c>
      <c r="X359" s="18" t="str">
        <f ca="1">IF('Current Char Stats'!$A228="","",'Current Char Stats'!$W228)</f>
        <v/>
      </c>
      <c r="Y359" s="18" t="str">
        <f ca="1">IF('Current Char Stats'!$A228="","",'Current Char Stats'!$X228)</f>
        <v/>
      </c>
      <c r="Z359" s="18" t="str">
        <f ca="1">IF('Current Char Stats'!$A228="","",'Current Char Stats'!$Y228)</f>
        <v/>
      </c>
      <c r="AA359" s="18" t="str">
        <f ca="1">IF('Current Char Stats'!$A228="","",'Current Char Stats'!$Z228)</f>
        <v/>
      </c>
      <c r="AB359" s="18" t="str">
        <f ca="1">IF('Current Char Stats'!$A228="","",'Current Char Stats'!$AA228)</f>
        <v/>
      </c>
      <c r="AC359" s="18" t="str">
        <f ca="1">IF('Current Char Stats'!$A228="","",'Current Char Stats'!$AB228)</f>
        <v/>
      </c>
      <c r="AD359" s="18" t="str">
        <f ca="1">IF('Current Char Stats'!$A228="","",'Current Char Stats'!$AC228)</f>
        <v/>
      </c>
      <c r="AE359" s="18" t="str">
        <f ca="1">IF('Current Char Stats'!$A228="","",'Current Char Stats'!$AD228)</f>
        <v/>
      </c>
      <c r="AF359" s="18" t="str">
        <f ca="1">IF('Current Char Stats'!$A228="","",'Current Char Stats'!$AE228)</f>
        <v/>
      </c>
    </row>
    <row r="360" spans="1:32">
      <c r="A360" s="18" t="str">
        <f ca="1">IF('Current Char Stats'!$A229="","",Settings!$B$2)</f>
        <v/>
      </c>
      <c r="B360" s="117" t="str">
        <f ca="1">IF('Current Char Stats'!$A229="","",'Current Char Stats'!$A229)</f>
        <v/>
      </c>
      <c r="C360" s="18" t="str">
        <f ca="1">IF('Current Char Stats'!$A229="","",'Current Char Stats'!$B229)</f>
        <v/>
      </c>
      <c r="D360" s="18" t="str">
        <f ca="1">IF('Current Char Stats'!$A229="","",'Current Char Stats'!$C229)</f>
        <v/>
      </c>
      <c r="E360" s="18" t="str">
        <f ca="1">IF('Current Char Stats'!$A229="","",'Current Char Stats'!$D229)</f>
        <v/>
      </c>
      <c r="F360" s="18" t="str">
        <f ca="1">IF('Current Char Stats'!$A229="","",'Current Char Stats'!$E229)</f>
        <v/>
      </c>
      <c r="G360" s="18" t="str">
        <f ca="1">IF('Current Char Stats'!$A229="","",'Current Char Stats'!$F229)</f>
        <v/>
      </c>
      <c r="H360" s="18" t="str">
        <f ca="1">IF('Current Char Stats'!$A229="","",'Current Char Stats'!$G229)</f>
        <v/>
      </c>
      <c r="I360" s="18" t="str">
        <f ca="1">IF('Current Char Stats'!$A229="","",'Current Char Stats'!$H229)</f>
        <v/>
      </c>
      <c r="J360" s="18" t="str">
        <f ca="1">IF('Current Char Stats'!$A229="","",'Current Char Stats'!$I229)</f>
        <v/>
      </c>
      <c r="K360" s="18" t="str">
        <f ca="1">IF('Current Char Stats'!$A229="","",'Current Char Stats'!$J229)</f>
        <v/>
      </c>
      <c r="L360" s="18" t="str">
        <f ca="1">IF('Current Char Stats'!$A229="","",'Current Char Stats'!$K229)</f>
        <v/>
      </c>
      <c r="M360" s="18" t="str">
        <f ca="1">IF('Current Char Stats'!$A229="","",'Current Char Stats'!$L229)</f>
        <v/>
      </c>
      <c r="N360" s="18" t="str">
        <f ca="1">IF('Current Char Stats'!$A229="","",'Current Char Stats'!$M229)</f>
        <v/>
      </c>
      <c r="O360" s="18" t="str">
        <f ca="1">IF('Current Char Stats'!$A229="","",'Current Char Stats'!$N229)</f>
        <v/>
      </c>
      <c r="P360" s="18" t="str">
        <f ca="1">IF('Current Char Stats'!$A229="","",'Current Char Stats'!$O229)</f>
        <v/>
      </c>
      <c r="Q360" s="18" t="str">
        <f ca="1">IF('Current Char Stats'!$A229="","",'Current Char Stats'!$P229)</f>
        <v/>
      </c>
      <c r="R360" s="18" t="str">
        <f ca="1">IF('Current Char Stats'!$A229="","",'Current Char Stats'!$Q229)</f>
        <v/>
      </c>
      <c r="S360" s="18" t="str">
        <f ca="1">IF('Current Char Stats'!$A229="","",'Current Char Stats'!$R229)</f>
        <v/>
      </c>
      <c r="T360" s="18" t="str">
        <f ca="1">IF('Current Char Stats'!$A229="","",'Current Char Stats'!$S229)</f>
        <v/>
      </c>
      <c r="U360" s="18" t="str">
        <f ca="1">IF('Current Char Stats'!$A229="","",'Current Char Stats'!$T229)</f>
        <v/>
      </c>
      <c r="V360" s="18" t="str">
        <f ca="1">IF('Current Char Stats'!$A229="","",'Current Char Stats'!$U229)</f>
        <v/>
      </c>
      <c r="W360" s="18" t="str">
        <f ca="1">IF('Current Char Stats'!$A229="","",'Current Char Stats'!$V229)</f>
        <v/>
      </c>
      <c r="X360" s="18" t="str">
        <f ca="1">IF('Current Char Stats'!$A229="","",'Current Char Stats'!$W229)</f>
        <v/>
      </c>
      <c r="Y360" s="18" t="str">
        <f ca="1">IF('Current Char Stats'!$A229="","",'Current Char Stats'!$X229)</f>
        <v/>
      </c>
      <c r="Z360" s="18" t="str">
        <f ca="1">IF('Current Char Stats'!$A229="","",'Current Char Stats'!$Y229)</f>
        <v/>
      </c>
      <c r="AA360" s="18" t="str">
        <f ca="1">IF('Current Char Stats'!$A229="","",'Current Char Stats'!$Z229)</f>
        <v/>
      </c>
      <c r="AB360" s="18" t="str">
        <f ca="1">IF('Current Char Stats'!$A229="","",'Current Char Stats'!$AA229)</f>
        <v/>
      </c>
      <c r="AC360" s="18" t="str">
        <f ca="1">IF('Current Char Stats'!$A229="","",'Current Char Stats'!$AB229)</f>
        <v/>
      </c>
      <c r="AD360" s="18" t="str">
        <f ca="1">IF('Current Char Stats'!$A229="","",'Current Char Stats'!$AC229)</f>
        <v/>
      </c>
      <c r="AE360" s="18" t="str">
        <f ca="1">IF('Current Char Stats'!$A229="","",'Current Char Stats'!$AD229)</f>
        <v/>
      </c>
      <c r="AF360" s="18" t="str">
        <f ca="1">IF('Current Char Stats'!$A229="","",'Current Char Stats'!$AE229)</f>
        <v/>
      </c>
    </row>
    <row r="361" spans="1:32">
      <c r="A361" s="18" t="str">
        <f ca="1">IF('Current Char Stats'!$A230="","",Settings!$B$2)</f>
        <v/>
      </c>
      <c r="B361" s="117" t="str">
        <f ca="1">IF('Current Char Stats'!$A230="","",'Current Char Stats'!$A230)</f>
        <v/>
      </c>
      <c r="C361" s="18" t="str">
        <f ca="1">IF('Current Char Stats'!$A230="","",'Current Char Stats'!$B230)</f>
        <v/>
      </c>
      <c r="D361" s="18" t="str">
        <f ca="1">IF('Current Char Stats'!$A230="","",'Current Char Stats'!$C230)</f>
        <v/>
      </c>
      <c r="E361" s="18" t="str">
        <f ca="1">IF('Current Char Stats'!$A230="","",'Current Char Stats'!$D230)</f>
        <v/>
      </c>
      <c r="F361" s="18" t="str">
        <f ca="1">IF('Current Char Stats'!$A230="","",'Current Char Stats'!$E230)</f>
        <v/>
      </c>
      <c r="G361" s="18" t="str">
        <f ca="1">IF('Current Char Stats'!$A230="","",'Current Char Stats'!$F230)</f>
        <v/>
      </c>
      <c r="H361" s="18" t="str">
        <f ca="1">IF('Current Char Stats'!$A230="","",'Current Char Stats'!$G230)</f>
        <v/>
      </c>
      <c r="I361" s="18" t="str">
        <f ca="1">IF('Current Char Stats'!$A230="","",'Current Char Stats'!$H230)</f>
        <v/>
      </c>
      <c r="J361" s="18" t="str">
        <f ca="1">IF('Current Char Stats'!$A230="","",'Current Char Stats'!$I230)</f>
        <v/>
      </c>
      <c r="K361" s="18" t="str">
        <f ca="1">IF('Current Char Stats'!$A230="","",'Current Char Stats'!$J230)</f>
        <v/>
      </c>
      <c r="L361" s="18" t="str">
        <f ca="1">IF('Current Char Stats'!$A230="","",'Current Char Stats'!$K230)</f>
        <v/>
      </c>
      <c r="M361" s="18" t="str">
        <f ca="1">IF('Current Char Stats'!$A230="","",'Current Char Stats'!$L230)</f>
        <v/>
      </c>
      <c r="N361" s="18" t="str">
        <f ca="1">IF('Current Char Stats'!$A230="","",'Current Char Stats'!$M230)</f>
        <v/>
      </c>
      <c r="O361" s="18" t="str">
        <f ca="1">IF('Current Char Stats'!$A230="","",'Current Char Stats'!$N230)</f>
        <v/>
      </c>
      <c r="P361" s="18" t="str">
        <f ca="1">IF('Current Char Stats'!$A230="","",'Current Char Stats'!$O230)</f>
        <v/>
      </c>
      <c r="Q361" s="18" t="str">
        <f ca="1">IF('Current Char Stats'!$A230="","",'Current Char Stats'!$P230)</f>
        <v/>
      </c>
      <c r="R361" s="18" t="str">
        <f ca="1">IF('Current Char Stats'!$A230="","",'Current Char Stats'!$Q230)</f>
        <v/>
      </c>
      <c r="S361" s="18" t="str">
        <f ca="1">IF('Current Char Stats'!$A230="","",'Current Char Stats'!$R230)</f>
        <v/>
      </c>
      <c r="T361" s="18" t="str">
        <f ca="1">IF('Current Char Stats'!$A230="","",'Current Char Stats'!$S230)</f>
        <v/>
      </c>
      <c r="U361" s="18" t="str">
        <f ca="1">IF('Current Char Stats'!$A230="","",'Current Char Stats'!$T230)</f>
        <v/>
      </c>
      <c r="V361" s="18" t="str">
        <f ca="1">IF('Current Char Stats'!$A230="","",'Current Char Stats'!$U230)</f>
        <v/>
      </c>
      <c r="W361" s="18" t="str">
        <f ca="1">IF('Current Char Stats'!$A230="","",'Current Char Stats'!$V230)</f>
        <v/>
      </c>
      <c r="X361" s="18" t="str">
        <f ca="1">IF('Current Char Stats'!$A230="","",'Current Char Stats'!$W230)</f>
        <v/>
      </c>
      <c r="Y361" s="18" t="str">
        <f ca="1">IF('Current Char Stats'!$A230="","",'Current Char Stats'!$X230)</f>
        <v/>
      </c>
      <c r="Z361" s="18" t="str">
        <f ca="1">IF('Current Char Stats'!$A230="","",'Current Char Stats'!$Y230)</f>
        <v/>
      </c>
      <c r="AA361" s="18" t="str">
        <f ca="1">IF('Current Char Stats'!$A230="","",'Current Char Stats'!$Z230)</f>
        <v/>
      </c>
      <c r="AB361" s="18" t="str">
        <f ca="1">IF('Current Char Stats'!$A230="","",'Current Char Stats'!$AA230)</f>
        <v/>
      </c>
      <c r="AC361" s="18" t="str">
        <f ca="1">IF('Current Char Stats'!$A230="","",'Current Char Stats'!$AB230)</f>
        <v/>
      </c>
      <c r="AD361" s="18" t="str">
        <f ca="1">IF('Current Char Stats'!$A230="","",'Current Char Stats'!$AC230)</f>
        <v/>
      </c>
      <c r="AE361" s="18" t="str">
        <f ca="1">IF('Current Char Stats'!$A230="","",'Current Char Stats'!$AD230)</f>
        <v/>
      </c>
      <c r="AF361" s="18" t="str">
        <f ca="1">IF('Current Char Stats'!$A230="","",'Current Char Stats'!$AE230)</f>
        <v/>
      </c>
    </row>
    <row r="362" spans="1:32">
      <c r="A362" s="18" t="str">
        <f ca="1">IF('Current Char Stats'!$A231="","",Settings!$B$2)</f>
        <v/>
      </c>
      <c r="B362" s="117" t="str">
        <f ca="1">IF('Current Char Stats'!$A231="","",'Current Char Stats'!$A231)</f>
        <v/>
      </c>
      <c r="C362" s="18" t="str">
        <f ca="1">IF('Current Char Stats'!$A231="","",'Current Char Stats'!$B231)</f>
        <v/>
      </c>
      <c r="D362" s="18" t="str">
        <f ca="1">IF('Current Char Stats'!$A231="","",'Current Char Stats'!$C231)</f>
        <v/>
      </c>
      <c r="E362" s="18" t="str">
        <f ca="1">IF('Current Char Stats'!$A231="","",'Current Char Stats'!$D231)</f>
        <v/>
      </c>
      <c r="F362" s="18" t="str">
        <f ca="1">IF('Current Char Stats'!$A231="","",'Current Char Stats'!$E231)</f>
        <v/>
      </c>
      <c r="G362" s="18" t="str">
        <f ca="1">IF('Current Char Stats'!$A231="","",'Current Char Stats'!$F231)</f>
        <v/>
      </c>
      <c r="H362" s="18" t="str">
        <f ca="1">IF('Current Char Stats'!$A231="","",'Current Char Stats'!$G231)</f>
        <v/>
      </c>
      <c r="I362" s="18" t="str">
        <f ca="1">IF('Current Char Stats'!$A231="","",'Current Char Stats'!$H231)</f>
        <v/>
      </c>
      <c r="J362" s="18" t="str">
        <f ca="1">IF('Current Char Stats'!$A231="","",'Current Char Stats'!$I231)</f>
        <v/>
      </c>
      <c r="K362" s="18" t="str">
        <f ca="1">IF('Current Char Stats'!$A231="","",'Current Char Stats'!$J231)</f>
        <v/>
      </c>
      <c r="L362" s="18" t="str">
        <f ca="1">IF('Current Char Stats'!$A231="","",'Current Char Stats'!$K231)</f>
        <v/>
      </c>
      <c r="M362" s="18" t="str">
        <f ca="1">IF('Current Char Stats'!$A231="","",'Current Char Stats'!$L231)</f>
        <v/>
      </c>
      <c r="N362" s="18" t="str">
        <f ca="1">IF('Current Char Stats'!$A231="","",'Current Char Stats'!$M231)</f>
        <v/>
      </c>
      <c r="O362" s="18" t="str">
        <f ca="1">IF('Current Char Stats'!$A231="","",'Current Char Stats'!$N231)</f>
        <v/>
      </c>
      <c r="P362" s="18" t="str">
        <f ca="1">IF('Current Char Stats'!$A231="","",'Current Char Stats'!$O231)</f>
        <v/>
      </c>
      <c r="Q362" s="18" t="str">
        <f ca="1">IF('Current Char Stats'!$A231="","",'Current Char Stats'!$P231)</f>
        <v/>
      </c>
      <c r="R362" s="18" t="str">
        <f ca="1">IF('Current Char Stats'!$A231="","",'Current Char Stats'!$Q231)</f>
        <v/>
      </c>
      <c r="S362" s="18" t="str">
        <f ca="1">IF('Current Char Stats'!$A231="","",'Current Char Stats'!$R231)</f>
        <v/>
      </c>
      <c r="T362" s="18" t="str">
        <f ca="1">IF('Current Char Stats'!$A231="","",'Current Char Stats'!$S231)</f>
        <v/>
      </c>
      <c r="U362" s="18" t="str">
        <f ca="1">IF('Current Char Stats'!$A231="","",'Current Char Stats'!$T231)</f>
        <v/>
      </c>
      <c r="V362" s="18" t="str">
        <f ca="1">IF('Current Char Stats'!$A231="","",'Current Char Stats'!$U231)</f>
        <v/>
      </c>
      <c r="W362" s="18" t="str">
        <f ca="1">IF('Current Char Stats'!$A231="","",'Current Char Stats'!$V231)</f>
        <v/>
      </c>
      <c r="X362" s="18" t="str">
        <f ca="1">IF('Current Char Stats'!$A231="","",'Current Char Stats'!$W231)</f>
        <v/>
      </c>
      <c r="Y362" s="18" t="str">
        <f ca="1">IF('Current Char Stats'!$A231="","",'Current Char Stats'!$X231)</f>
        <v/>
      </c>
      <c r="Z362" s="18" t="str">
        <f ca="1">IF('Current Char Stats'!$A231="","",'Current Char Stats'!$Y231)</f>
        <v/>
      </c>
      <c r="AA362" s="18" t="str">
        <f ca="1">IF('Current Char Stats'!$A231="","",'Current Char Stats'!$Z231)</f>
        <v/>
      </c>
      <c r="AB362" s="18" t="str">
        <f ca="1">IF('Current Char Stats'!$A231="","",'Current Char Stats'!$AA231)</f>
        <v/>
      </c>
      <c r="AC362" s="18" t="str">
        <f ca="1">IF('Current Char Stats'!$A231="","",'Current Char Stats'!$AB231)</f>
        <v/>
      </c>
      <c r="AD362" s="18" t="str">
        <f ca="1">IF('Current Char Stats'!$A231="","",'Current Char Stats'!$AC231)</f>
        <v/>
      </c>
      <c r="AE362" s="18" t="str">
        <f ca="1">IF('Current Char Stats'!$A231="","",'Current Char Stats'!$AD231)</f>
        <v/>
      </c>
      <c r="AF362" s="18" t="str">
        <f ca="1">IF('Current Char Stats'!$A231="","",'Current Char Stats'!$AE231)</f>
        <v/>
      </c>
    </row>
    <row r="363" spans="1:32">
      <c r="A363" s="18" t="str">
        <f ca="1">IF('Current Char Stats'!$A232="","",Settings!$B$2)</f>
        <v/>
      </c>
      <c r="B363" s="117" t="str">
        <f ca="1">IF('Current Char Stats'!$A232="","",'Current Char Stats'!$A232)</f>
        <v/>
      </c>
      <c r="C363" s="18" t="str">
        <f ca="1">IF('Current Char Stats'!$A232="","",'Current Char Stats'!$B232)</f>
        <v/>
      </c>
      <c r="D363" s="18" t="str">
        <f ca="1">IF('Current Char Stats'!$A232="","",'Current Char Stats'!$C232)</f>
        <v/>
      </c>
      <c r="E363" s="18" t="str">
        <f ca="1">IF('Current Char Stats'!$A232="","",'Current Char Stats'!$D232)</f>
        <v/>
      </c>
      <c r="F363" s="18" t="str">
        <f ca="1">IF('Current Char Stats'!$A232="","",'Current Char Stats'!$E232)</f>
        <v/>
      </c>
      <c r="G363" s="18" t="str">
        <f ca="1">IF('Current Char Stats'!$A232="","",'Current Char Stats'!$F232)</f>
        <v/>
      </c>
      <c r="H363" s="18" t="str">
        <f ca="1">IF('Current Char Stats'!$A232="","",'Current Char Stats'!$G232)</f>
        <v/>
      </c>
      <c r="I363" s="18" t="str">
        <f ca="1">IF('Current Char Stats'!$A232="","",'Current Char Stats'!$H232)</f>
        <v/>
      </c>
      <c r="J363" s="18" t="str">
        <f ca="1">IF('Current Char Stats'!$A232="","",'Current Char Stats'!$I232)</f>
        <v/>
      </c>
      <c r="K363" s="18" t="str">
        <f ca="1">IF('Current Char Stats'!$A232="","",'Current Char Stats'!$J232)</f>
        <v/>
      </c>
      <c r="L363" s="18" t="str">
        <f ca="1">IF('Current Char Stats'!$A232="","",'Current Char Stats'!$K232)</f>
        <v/>
      </c>
      <c r="M363" s="18" t="str">
        <f ca="1">IF('Current Char Stats'!$A232="","",'Current Char Stats'!$L232)</f>
        <v/>
      </c>
      <c r="N363" s="18" t="str">
        <f ca="1">IF('Current Char Stats'!$A232="","",'Current Char Stats'!$M232)</f>
        <v/>
      </c>
      <c r="O363" s="18" t="str">
        <f ca="1">IF('Current Char Stats'!$A232="","",'Current Char Stats'!$N232)</f>
        <v/>
      </c>
      <c r="P363" s="18" t="str">
        <f ca="1">IF('Current Char Stats'!$A232="","",'Current Char Stats'!$O232)</f>
        <v/>
      </c>
      <c r="Q363" s="18" t="str">
        <f ca="1">IF('Current Char Stats'!$A232="","",'Current Char Stats'!$P232)</f>
        <v/>
      </c>
      <c r="R363" s="18" t="str">
        <f ca="1">IF('Current Char Stats'!$A232="","",'Current Char Stats'!$Q232)</f>
        <v/>
      </c>
      <c r="S363" s="18" t="str">
        <f ca="1">IF('Current Char Stats'!$A232="","",'Current Char Stats'!$R232)</f>
        <v/>
      </c>
      <c r="T363" s="18" t="str">
        <f ca="1">IF('Current Char Stats'!$A232="","",'Current Char Stats'!$S232)</f>
        <v/>
      </c>
      <c r="U363" s="18" t="str">
        <f ca="1">IF('Current Char Stats'!$A232="","",'Current Char Stats'!$T232)</f>
        <v/>
      </c>
      <c r="V363" s="18" t="str">
        <f ca="1">IF('Current Char Stats'!$A232="","",'Current Char Stats'!$U232)</f>
        <v/>
      </c>
      <c r="W363" s="18" t="str">
        <f ca="1">IF('Current Char Stats'!$A232="","",'Current Char Stats'!$V232)</f>
        <v/>
      </c>
      <c r="X363" s="18" t="str">
        <f ca="1">IF('Current Char Stats'!$A232="","",'Current Char Stats'!$W232)</f>
        <v/>
      </c>
      <c r="Y363" s="18" t="str">
        <f ca="1">IF('Current Char Stats'!$A232="","",'Current Char Stats'!$X232)</f>
        <v/>
      </c>
      <c r="Z363" s="18" t="str">
        <f ca="1">IF('Current Char Stats'!$A232="","",'Current Char Stats'!$Y232)</f>
        <v/>
      </c>
      <c r="AA363" s="18" t="str">
        <f ca="1">IF('Current Char Stats'!$A232="","",'Current Char Stats'!$Z232)</f>
        <v/>
      </c>
      <c r="AB363" s="18" t="str">
        <f ca="1">IF('Current Char Stats'!$A232="","",'Current Char Stats'!$AA232)</f>
        <v/>
      </c>
      <c r="AC363" s="18" t="str">
        <f ca="1">IF('Current Char Stats'!$A232="","",'Current Char Stats'!$AB232)</f>
        <v/>
      </c>
      <c r="AD363" s="18" t="str">
        <f ca="1">IF('Current Char Stats'!$A232="","",'Current Char Stats'!$AC232)</f>
        <v/>
      </c>
      <c r="AE363" s="18" t="str">
        <f ca="1">IF('Current Char Stats'!$A232="","",'Current Char Stats'!$AD232)</f>
        <v/>
      </c>
      <c r="AF363" s="18" t="str">
        <f ca="1">IF('Current Char Stats'!$A232="","",'Current Char Stats'!$AE232)</f>
        <v/>
      </c>
    </row>
    <row r="364" spans="1:32">
      <c r="A364" s="18" t="str">
        <f ca="1">IF('Current Char Stats'!$A233="","",Settings!$B$2)</f>
        <v/>
      </c>
      <c r="B364" s="117" t="str">
        <f ca="1">IF('Current Char Stats'!$A233="","",'Current Char Stats'!$A233)</f>
        <v/>
      </c>
      <c r="C364" s="18" t="str">
        <f ca="1">IF('Current Char Stats'!$A233="","",'Current Char Stats'!$B233)</f>
        <v/>
      </c>
      <c r="D364" s="18" t="str">
        <f ca="1">IF('Current Char Stats'!$A233="","",'Current Char Stats'!$C233)</f>
        <v/>
      </c>
      <c r="E364" s="18" t="str">
        <f ca="1">IF('Current Char Stats'!$A233="","",'Current Char Stats'!$D233)</f>
        <v/>
      </c>
      <c r="F364" s="18" t="str">
        <f ca="1">IF('Current Char Stats'!$A233="","",'Current Char Stats'!$E233)</f>
        <v/>
      </c>
      <c r="G364" s="18" t="str">
        <f ca="1">IF('Current Char Stats'!$A233="","",'Current Char Stats'!$F233)</f>
        <v/>
      </c>
      <c r="H364" s="18" t="str">
        <f ca="1">IF('Current Char Stats'!$A233="","",'Current Char Stats'!$G233)</f>
        <v/>
      </c>
      <c r="I364" s="18" t="str">
        <f ca="1">IF('Current Char Stats'!$A233="","",'Current Char Stats'!$H233)</f>
        <v/>
      </c>
      <c r="J364" s="18" t="str">
        <f ca="1">IF('Current Char Stats'!$A233="","",'Current Char Stats'!$I233)</f>
        <v/>
      </c>
      <c r="K364" s="18" t="str">
        <f ca="1">IF('Current Char Stats'!$A233="","",'Current Char Stats'!$J233)</f>
        <v/>
      </c>
      <c r="L364" s="18" t="str">
        <f ca="1">IF('Current Char Stats'!$A233="","",'Current Char Stats'!$K233)</f>
        <v/>
      </c>
      <c r="M364" s="18" t="str">
        <f ca="1">IF('Current Char Stats'!$A233="","",'Current Char Stats'!$L233)</f>
        <v/>
      </c>
      <c r="N364" s="18" t="str">
        <f ca="1">IF('Current Char Stats'!$A233="","",'Current Char Stats'!$M233)</f>
        <v/>
      </c>
      <c r="O364" s="18" t="str">
        <f ca="1">IF('Current Char Stats'!$A233="","",'Current Char Stats'!$N233)</f>
        <v/>
      </c>
      <c r="P364" s="18" t="str">
        <f ca="1">IF('Current Char Stats'!$A233="","",'Current Char Stats'!$O233)</f>
        <v/>
      </c>
      <c r="Q364" s="18" t="str">
        <f ca="1">IF('Current Char Stats'!$A233="","",'Current Char Stats'!$P233)</f>
        <v/>
      </c>
      <c r="R364" s="18" t="str">
        <f ca="1">IF('Current Char Stats'!$A233="","",'Current Char Stats'!$Q233)</f>
        <v/>
      </c>
      <c r="S364" s="18" t="str">
        <f ca="1">IF('Current Char Stats'!$A233="","",'Current Char Stats'!$R233)</f>
        <v/>
      </c>
      <c r="T364" s="18" t="str">
        <f ca="1">IF('Current Char Stats'!$A233="","",'Current Char Stats'!$S233)</f>
        <v/>
      </c>
      <c r="U364" s="18" t="str">
        <f ca="1">IF('Current Char Stats'!$A233="","",'Current Char Stats'!$T233)</f>
        <v/>
      </c>
      <c r="V364" s="18" t="str">
        <f ca="1">IF('Current Char Stats'!$A233="","",'Current Char Stats'!$U233)</f>
        <v/>
      </c>
      <c r="W364" s="18" t="str">
        <f ca="1">IF('Current Char Stats'!$A233="","",'Current Char Stats'!$V233)</f>
        <v/>
      </c>
      <c r="X364" s="18" t="str">
        <f ca="1">IF('Current Char Stats'!$A233="","",'Current Char Stats'!$W233)</f>
        <v/>
      </c>
      <c r="Y364" s="18" t="str">
        <f ca="1">IF('Current Char Stats'!$A233="","",'Current Char Stats'!$X233)</f>
        <v/>
      </c>
      <c r="Z364" s="18" t="str">
        <f ca="1">IF('Current Char Stats'!$A233="","",'Current Char Stats'!$Y233)</f>
        <v/>
      </c>
      <c r="AA364" s="18" t="str">
        <f ca="1">IF('Current Char Stats'!$A233="","",'Current Char Stats'!$Z233)</f>
        <v/>
      </c>
      <c r="AB364" s="18" t="str">
        <f ca="1">IF('Current Char Stats'!$A233="","",'Current Char Stats'!$AA233)</f>
        <v/>
      </c>
      <c r="AC364" s="18" t="str">
        <f ca="1">IF('Current Char Stats'!$A233="","",'Current Char Stats'!$AB233)</f>
        <v/>
      </c>
      <c r="AD364" s="18" t="str">
        <f ca="1">IF('Current Char Stats'!$A233="","",'Current Char Stats'!$AC233)</f>
        <v/>
      </c>
      <c r="AE364" s="18" t="str">
        <f ca="1">IF('Current Char Stats'!$A233="","",'Current Char Stats'!$AD233)</f>
        <v/>
      </c>
      <c r="AF364" s="18" t="str">
        <f ca="1">IF('Current Char Stats'!$A233="","",'Current Char Stats'!$AE233)</f>
        <v/>
      </c>
    </row>
    <row r="365" spans="1:32">
      <c r="A365" s="18" t="str">
        <f ca="1">IF('Current Char Stats'!$A234="","",Settings!$B$2)</f>
        <v/>
      </c>
      <c r="B365" s="117" t="str">
        <f ca="1">IF('Current Char Stats'!$A234="","",'Current Char Stats'!$A234)</f>
        <v/>
      </c>
      <c r="C365" s="18" t="str">
        <f ca="1">IF('Current Char Stats'!$A234="","",'Current Char Stats'!$B234)</f>
        <v/>
      </c>
      <c r="D365" s="18" t="str">
        <f ca="1">IF('Current Char Stats'!$A234="","",'Current Char Stats'!$C234)</f>
        <v/>
      </c>
      <c r="E365" s="18" t="str">
        <f ca="1">IF('Current Char Stats'!$A234="","",'Current Char Stats'!$D234)</f>
        <v/>
      </c>
      <c r="F365" s="18" t="str">
        <f ca="1">IF('Current Char Stats'!$A234="","",'Current Char Stats'!$E234)</f>
        <v/>
      </c>
      <c r="G365" s="18" t="str">
        <f ca="1">IF('Current Char Stats'!$A234="","",'Current Char Stats'!$F234)</f>
        <v/>
      </c>
      <c r="H365" s="18" t="str">
        <f ca="1">IF('Current Char Stats'!$A234="","",'Current Char Stats'!$G234)</f>
        <v/>
      </c>
      <c r="I365" s="18" t="str">
        <f ca="1">IF('Current Char Stats'!$A234="","",'Current Char Stats'!$H234)</f>
        <v/>
      </c>
      <c r="J365" s="18" t="str">
        <f ca="1">IF('Current Char Stats'!$A234="","",'Current Char Stats'!$I234)</f>
        <v/>
      </c>
      <c r="K365" s="18" t="str">
        <f ca="1">IF('Current Char Stats'!$A234="","",'Current Char Stats'!$J234)</f>
        <v/>
      </c>
      <c r="L365" s="18" t="str">
        <f ca="1">IF('Current Char Stats'!$A234="","",'Current Char Stats'!$K234)</f>
        <v/>
      </c>
      <c r="M365" s="18" t="str">
        <f ca="1">IF('Current Char Stats'!$A234="","",'Current Char Stats'!$L234)</f>
        <v/>
      </c>
      <c r="N365" s="18" t="str">
        <f ca="1">IF('Current Char Stats'!$A234="","",'Current Char Stats'!$M234)</f>
        <v/>
      </c>
      <c r="O365" s="18" t="str">
        <f ca="1">IF('Current Char Stats'!$A234="","",'Current Char Stats'!$N234)</f>
        <v/>
      </c>
      <c r="P365" s="18" t="str">
        <f ca="1">IF('Current Char Stats'!$A234="","",'Current Char Stats'!$O234)</f>
        <v/>
      </c>
      <c r="Q365" s="18" t="str">
        <f ca="1">IF('Current Char Stats'!$A234="","",'Current Char Stats'!$P234)</f>
        <v/>
      </c>
      <c r="R365" s="18" t="str">
        <f ca="1">IF('Current Char Stats'!$A234="","",'Current Char Stats'!$Q234)</f>
        <v/>
      </c>
      <c r="S365" s="18" t="str">
        <f ca="1">IF('Current Char Stats'!$A234="","",'Current Char Stats'!$R234)</f>
        <v/>
      </c>
      <c r="T365" s="18" t="str">
        <f ca="1">IF('Current Char Stats'!$A234="","",'Current Char Stats'!$S234)</f>
        <v/>
      </c>
      <c r="U365" s="18" t="str">
        <f ca="1">IF('Current Char Stats'!$A234="","",'Current Char Stats'!$T234)</f>
        <v/>
      </c>
      <c r="V365" s="18" t="str">
        <f ca="1">IF('Current Char Stats'!$A234="","",'Current Char Stats'!$U234)</f>
        <v/>
      </c>
      <c r="W365" s="18" t="str">
        <f ca="1">IF('Current Char Stats'!$A234="","",'Current Char Stats'!$V234)</f>
        <v/>
      </c>
      <c r="X365" s="18" t="str">
        <f ca="1">IF('Current Char Stats'!$A234="","",'Current Char Stats'!$W234)</f>
        <v/>
      </c>
      <c r="Y365" s="18" t="str">
        <f ca="1">IF('Current Char Stats'!$A234="","",'Current Char Stats'!$X234)</f>
        <v/>
      </c>
      <c r="Z365" s="18" t="str">
        <f ca="1">IF('Current Char Stats'!$A234="","",'Current Char Stats'!$Y234)</f>
        <v/>
      </c>
      <c r="AA365" s="18" t="str">
        <f ca="1">IF('Current Char Stats'!$A234="","",'Current Char Stats'!$Z234)</f>
        <v/>
      </c>
      <c r="AB365" s="18" t="str">
        <f ca="1">IF('Current Char Stats'!$A234="","",'Current Char Stats'!$AA234)</f>
        <v/>
      </c>
      <c r="AC365" s="18" t="str">
        <f ca="1">IF('Current Char Stats'!$A234="","",'Current Char Stats'!$AB234)</f>
        <v/>
      </c>
      <c r="AD365" s="18" t="str">
        <f ca="1">IF('Current Char Stats'!$A234="","",'Current Char Stats'!$AC234)</f>
        <v/>
      </c>
      <c r="AE365" s="18" t="str">
        <f ca="1">IF('Current Char Stats'!$A234="","",'Current Char Stats'!$AD234)</f>
        <v/>
      </c>
      <c r="AF365" s="18" t="str">
        <f ca="1">IF('Current Char Stats'!$A234="","",'Current Char Stats'!$AE234)</f>
        <v/>
      </c>
    </row>
    <row r="366" spans="1:32">
      <c r="A366" s="18" t="str">
        <f ca="1">IF('Current Char Stats'!$A235="","",Settings!$B$2)</f>
        <v/>
      </c>
      <c r="B366" s="117" t="str">
        <f ca="1">IF('Current Char Stats'!$A235="","",'Current Char Stats'!$A235)</f>
        <v/>
      </c>
      <c r="C366" s="18" t="str">
        <f ca="1">IF('Current Char Stats'!$A235="","",'Current Char Stats'!$B235)</f>
        <v/>
      </c>
      <c r="D366" s="18" t="str">
        <f ca="1">IF('Current Char Stats'!$A235="","",'Current Char Stats'!$C235)</f>
        <v/>
      </c>
      <c r="E366" s="18" t="str">
        <f ca="1">IF('Current Char Stats'!$A235="","",'Current Char Stats'!$D235)</f>
        <v/>
      </c>
      <c r="F366" s="18" t="str">
        <f ca="1">IF('Current Char Stats'!$A235="","",'Current Char Stats'!$E235)</f>
        <v/>
      </c>
      <c r="G366" s="18" t="str">
        <f ca="1">IF('Current Char Stats'!$A235="","",'Current Char Stats'!$F235)</f>
        <v/>
      </c>
      <c r="H366" s="18" t="str">
        <f ca="1">IF('Current Char Stats'!$A235="","",'Current Char Stats'!$G235)</f>
        <v/>
      </c>
      <c r="I366" s="18" t="str">
        <f ca="1">IF('Current Char Stats'!$A235="","",'Current Char Stats'!$H235)</f>
        <v/>
      </c>
      <c r="J366" s="18" t="str">
        <f ca="1">IF('Current Char Stats'!$A235="","",'Current Char Stats'!$I235)</f>
        <v/>
      </c>
      <c r="K366" s="18" t="str">
        <f ca="1">IF('Current Char Stats'!$A235="","",'Current Char Stats'!$J235)</f>
        <v/>
      </c>
      <c r="L366" s="18" t="str">
        <f ca="1">IF('Current Char Stats'!$A235="","",'Current Char Stats'!$K235)</f>
        <v/>
      </c>
      <c r="M366" s="18" t="str">
        <f ca="1">IF('Current Char Stats'!$A235="","",'Current Char Stats'!$L235)</f>
        <v/>
      </c>
      <c r="N366" s="18" t="str">
        <f ca="1">IF('Current Char Stats'!$A235="","",'Current Char Stats'!$M235)</f>
        <v/>
      </c>
      <c r="O366" s="18" t="str">
        <f ca="1">IF('Current Char Stats'!$A235="","",'Current Char Stats'!$N235)</f>
        <v/>
      </c>
      <c r="P366" s="18" t="str">
        <f ca="1">IF('Current Char Stats'!$A235="","",'Current Char Stats'!$O235)</f>
        <v/>
      </c>
      <c r="Q366" s="18" t="str">
        <f ca="1">IF('Current Char Stats'!$A235="","",'Current Char Stats'!$P235)</f>
        <v/>
      </c>
      <c r="R366" s="18" t="str">
        <f ca="1">IF('Current Char Stats'!$A235="","",'Current Char Stats'!$Q235)</f>
        <v/>
      </c>
      <c r="S366" s="18" t="str">
        <f ca="1">IF('Current Char Stats'!$A235="","",'Current Char Stats'!$R235)</f>
        <v/>
      </c>
      <c r="T366" s="18" t="str">
        <f ca="1">IF('Current Char Stats'!$A235="","",'Current Char Stats'!$S235)</f>
        <v/>
      </c>
      <c r="U366" s="18" t="str">
        <f ca="1">IF('Current Char Stats'!$A235="","",'Current Char Stats'!$T235)</f>
        <v/>
      </c>
      <c r="V366" s="18" t="str">
        <f ca="1">IF('Current Char Stats'!$A235="","",'Current Char Stats'!$U235)</f>
        <v/>
      </c>
      <c r="W366" s="18" t="str">
        <f ca="1">IF('Current Char Stats'!$A235="","",'Current Char Stats'!$V235)</f>
        <v/>
      </c>
      <c r="X366" s="18" t="str">
        <f ca="1">IF('Current Char Stats'!$A235="","",'Current Char Stats'!$W235)</f>
        <v/>
      </c>
      <c r="Y366" s="18" t="str">
        <f ca="1">IF('Current Char Stats'!$A235="","",'Current Char Stats'!$X235)</f>
        <v/>
      </c>
      <c r="Z366" s="18" t="str">
        <f ca="1">IF('Current Char Stats'!$A235="","",'Current Char Stats'!$Y235)</f>
        <v/>
      </c>
      <c r="AA366" s="18" t="str">
        <f ca="1">IF('Current Char Stats'!$A235="","",'Current Char Stats'!$Z235)</f>
        <v/>
      </c>
      <c r="AB366" s="18" t="str">
        <f ca="1">IF('Current Char Stats'!$A235="","",'Current Char Stats'!$AA235)</f>
        <v/>
      </c>
      <c r="AC366" s="18" t="str">
        <f ca="1">IF('Current Char Stats'!$A235="","",'Current Char Stats'!$AB235)</f>
        <v/>
      </c>
      <c r="AD366" s="18" t="str">
        <f ca="1">IF('Current Char Stats'!$A235="","",'Current Char Stats'!$AC235)</f>
        <v/>
      </c>
      <c r="AE366" s="18" t="str">
        <f ca="1">IF('Current Char Stats'!$A235="","",'Current Char Stats'!$AD235)</f>
        <v/>
      </c>
      <c r="AF366" s="18" t="str">
        <f ca="1">IF('Current Char Stats'!$A235="","",'Current Char Stats'!$AE235)</f>
        <v/>
      </c>
    </row>
    <row r="367" spans="1:32">
      <c r="A367" s="18" t="str">
        <f ca="1">IF('Current Char Stats'!$A236="","",Settings!$B$2)</f>
        <v/>
      </c>
      <c r="B367" s="117" t="str">
        <f ca="1">IF('Current Char Stats'!$A236="","",'Current Char Stats'!$A236)</f>
        <v/>
      </c>
      <c r="C367" s="18" t="str">
        <f ca="1">IF('Current Char Stats'!$A236="","",'Current Char Stats'!$B236)</f>
        <v/>
      </c>
      <c r="D367" s="18" t="str">
        <f ca="1">IF('Current Char Stats'!$A236="","",'Current Char Stats'!$C236)</f>
        <v/>
      </c>
      <c r="E367" s="18" t="str">
        <f ca="1">IF('Current Char Stats'!$A236="","",'Current Char Stats'!$D236)</f>
        <v/>
      </c>
      <c r="F367" s="18" t="str">
        <f ca="1">IF('Current Char Stats'!$A236="","",'Current Char Stats'!$E236)</f>
        <v/>
      </c>
      <c r="G367" s="18" t="str">
        <f ca="1">IF('Current Char Stats'!$A236="","",'Current Char Stats'!$F236)</f>
        <v/>
      </c>
      <c r="H367" s="18" t="str">
        <f ca="1">IF('Current Char Stats'!$A236="","",'Current Char Stats'!$G236)</f>
        <v/>
      </c>
      <c r="I367" s="18" t="str">
        <f ca="1">IF('Current Char Stats'!$A236="","",'Current Char Stats'!$H236)</f>
        <v/>
      </c>
      <c r="J367" s="18" t="str">
        <f ca="1">IF('Current Char Stats'!$A236="","",'Current Char Stats'!$I236)</f>
        <v/>
      </c>
      <c r="K367" s="18" t="str">
        <f ca="1">IF('Current Char Stats'!$A236="","",'Current Char Stats'!$J236)</f>
        <v/>
      </c>
      <c r="L367" s="18" t="str">
        <f ca="1">IF('Current Char Stats'!$A236="","",'Current Char Stats'!$K236)</f>
        <v/>
      </c>
      <c r="M367" s="18" t="str">
        <f ca="1">IF('Current Char Stats'!$A236="","",'Current Char Stats'!$L236)</f>
        <v/>
      </c>
      <c r="N367" s="18" t="str">
        <f ca="1">IF('Current Char Stats'!$A236="","",'Current Char Stats'!$M236)</f>
        <v/>
      </c>
      <c r="O367" s="18" t="str">
        <f ca="1">IF('Current Char Stats'!$A236="","",'Current Char Stats'!$N236)</f>
        <v/>
      </c>
      <c r="P367" s="18" t="str">
        <f ca="1">IF('Current Char Stats'!$A236="","",'Current Char Stats'!$O236)</f>
        <v/>
      </c>
      <c r="Q367" s="18" t="str">
        <f ca="1">IF('Current Char Stats'!$A236="","",'Current Char Stats'!$P236)</f>
        <v/>
      </c>
      <c r="R367" s="18" t="str">
        <f ca="1">IF('Current Char Stats'!$A236="","",'Current Char Stats'!$Q236)</f>
        <v/>
      </c>
      <c r="S367" s="18" t="str">
        <f ca="1">IF('Current Char Stats'!$A236="","",'Current Char Stats'!$R236)</f>
        <v/>
      </c>
      <c r="T367" s="18" t="str">
        <f ca="1">IF('Current Char Stats'!$A236="","",'Current Char Stats'!$S236)</f>
        <v/>
      </c>
      <c r="U367" s="18" t="str">
        <f ca="1">IF('Current Char Stats'!$A236="","",'Current Char Stats'!$T236)</f>
        <v/>
      </c>
      <c r="V367" s="18" t="str">
        <f ca="1">IF('Current Char Stats'!$A236="","",'Current Char Stats'!$U236)</f>
        <v/>
      </c>
      <c r="W367" s="18" t="str">
        <f ca="1">IF('Current Char Stats'!$A236="","",'Current Char Stats'!$V236)</f>
        <v/>
      </c>
      <c r="X367" s="18" t="str">
        <f ca="1">IF('Current Char Stats'!$A236="","",'Current Char Stats'!$W236)</f>
        <v/>
      </c>
      <c r="Y367" s="18" t="str">
        <f ca="1">IF('Current Char Stats'!$A236="","",'Current Char Stats'!$X236)</f>
        <v/>
      </c>
      <c r="Z367" s="18" t="str">
        <f ca="1">IF('Current Char Stats'!$A236="","",'Current Char Stats'!$Y236)</f>
        <v/>
      </c>
      <c r="AA367" s="18" t="str">
        <f ca="1">IF('Current Char Stats'!$A236="","",'Current Char Stats'!$Z236)</f>
        <v/>
      </c>
      <c r="AB367" s="18" t="str">
        <f ca="1">IF('Current Char Stats'!$A236="","",'Current Char Stats'!$AA236)</f>
        <v/>
      </c>
      <c r="AC367" s="18" t="str">
        <f ca="1">IF('Current Char Stats'!$A236="","",'Current Char Stats'!$AB236)</f>
        <v/>
      </c>
      <c r="AD367" s="18" t="str">
        <f ca="1">IF('Current Char Stats'!$A236="","",'Current Char Stats'!$AC236)</f>
        <v/>
      </c>
      <c r="AE367" s="18" t="str">
        <f ca="1">IF('Current Char Stats'!$A236="","",'Current Char Stats'!$AD236)</f>
        <v/>
      </c>
      <c r="AF367" s="18" t="str">
        <f ca="1">IF('Current Char Stats'!$A236="","",'Current Char Stats'!$AE236)</f>
        <v/>
      </c>
    </row>
    <row r="368" spans="1:32">
      <c r="A368" s="18" t="str">
        <f ca="1">IF('Current Char Stats'!$A237="","",Settings!$B$2)</f>
        <v/>
      </c>
      <c r="B368" s="117" t="str">
        <f ca="1">IF('Current Char Stats'!$A237="","",'Current Char Stats'!$A237)</f>
        <v/>
      </c>
      <c r="C368" s="18" t="str">
        <f ca="1">IF('Current Char Stats'!$A237="","",'Current Char Stats'!$B237)</f>
        <v/>
      </c>
      <c r="D368" s="18" t="str">
        <f ca="1">IF('Current Char Stats'!$A237="","",'Current Char Stats'!$C237)</f>
        <v/>
      </c>
      <c r="E368" s="18" t="str">
        <f ca="1">IF('Current Char Stats'!$A237="","",'Current Char Stats'!$D237)</f>
        <v/>
      </c>
      <c r="F368" s="18" t="str">
        <f ca="1">IF('Current Char Stats'!$A237="","",'Current Char Stats'!$E237)</f>
        <v/>
      </c>
      <c r="G368" s="18" t="str">
        <f ca="1">IF('Current Char Stats'!$A237="","",'Current Char Stats'!$F237)</f>
        <v/>
      </c>
      <c r="H368" s="18" t="str">
        <f ca="1">IF('Current Char Stats'!$A237="","",'Current Char Stats'!$G237)</f>
        <v/>
      </c>
      <c r="I368" s="18" t="str">
        <f ca="1">IF('Current Char Stats'!$A237="","",'Current Char Stats'!$H237)</f>
        <v/>
      </c>
      <c r="J368" s="18" t="str">
        <f ca="1">IF('Current Char Stats'!$A237="","",'Current Char Stats'!$I237)</f>
        <v/>
      </c>
      <c r="K368" s="18" t="str">
        <f ca="1">IF('Current Char Stats'!$A237="","",'Current Char Stats'!$J237)</f>
        <v/>
      </c>
      <c r="L368" s="18" t="str">
        <f ca="1">IF('Current Char Stats'!$A237="","",'Current Char Stats'!$K237)</f>
        <v/>
      </c>
      <c r="M368" s="18" t="str">
        <f ca="1">IF('Current Char Stats'!$A237="","",'Current Char Stats'!$L237)</f>
        <v/>
      </c>
      <c r="N368" s="18" t="str">
        <f ca="1">IF('Current Char Stats'!$A237="","",'Current Char Stats'!$M237)</f>
        <v/>
      </c>
      <c r="O368" s="18" t="str">
        <f ca="1">IF('Current Char Stats'!$A237="","",'Current Char Stats'!$N237)</f>
        <v/>
      </c>
      <c r="P368" s="18" t="str">
        <f ca="1">IF('Current Char Stats'!$A237="","",'Current Char Stats'!$O237)</f>
        <v/>
      </c>
      <c r="Q368" s="18" t="str">
        <f ca="1">IF('Current Char Stats'!$A237="","",'Current Char Stats'!$P237)</f>
        <v/>
      </c>
      <c r="R368" s="18" t="str">
        <f ca="1">IF('Current Char Stats'!$A237="","",'Current Char Stats'!$Q237)</f>
        <v/>
      </c>
      <c r="S368" s="18" t="str">
        <f ca="1">IF('Current Char Stats'!$A237="","",'Current Char Stats'!$R237)</f>
        <v/>
      </c>
      <c r="T368" s="18" t="str">
        <f ca="1">IF('Current Char Stats'!$A237="","",'Current Char Stats'!$S237)</f>
        <v/>
      </c>
      <c r="U368" s="18" t="str">
        <f ca="1">IF('Current Char Stats'!$A237="","",'Current Char Stats'!$T237)</f>
        <v/>
      </c>
      <c r="V368" s="18" t="str">
        <f ca="1">IF('Current Char Stats'!$A237="","",'Current Char Stats'!$U237)</f>
        <v/>
      </c>
      <c r="W368" s="18" t="str">
        <f ca="1">IF('Current Char Stats'!$A237="","",'Current Char Stats'!$V237)</f>
        <v/>
      </c>
      <c r="X368" s="18" t="str">
        <f ca="1">IF('Current Char Stats'!$A237="","",'Current Char Stats'!$W237)</f>
        <v/>
      </c>
      <c r="Y368" s="18" t="str">
        <f ca="1">IF('Current Char Stats'!$A237="","",'Current Char Stats'!$X237)</f>
        <v/>
      </c>
      <c r="Z368" s="18" t="str">
        <f ca="1">IF('Current Char Stats'!$A237="","",'Current Char Stats'!$Y237)</f>
        <v/>
      </c>
      <c r="AA368" s="18" t="str">
        <f ca="1">IF('Current Char Stats'!$A237="","",'Current Char Stats'!$Z237)</f>
        <v/>
      </c>
      <c r="AB368" s="18" t="str">
        <f ca="1">IF('Current Char Stats'!$A237="","",'Current Char Stats'!$AA237)</f>
        <v/>
      </c>
      <c r="AC368" s="18" t="str">
        <f ca="1">IF('Current Char Stats'!$A237="","",'Current Char Stats'!$AB237)</f>
        <v/>
      </c>
      <c r="AD368" s="18" t="str">
        <f ca="1">IF('Current Char Stats'!$A237="","",'Current Char Stats'!$AC237)</f>
        <v/>
      </c>
      <c r="AE368" s="18" t="str">
        <f ca="1">IF('Current Char Stats'!$A237="","",'Current Char Stats'!$AD237)</f>
        <v/>
      </c>
      <c r="AF368" s="18" t="str">
        <f ca="1">IF('Current Char Stats'!$A237="","",'Current Char Stats'!$AE237)</f>
        <v/>
      </c>
    </row>
    <row r="369" spans="1:32">
      <c r="A369" s="18" t="str">
        <f ca="1">IF('Current Char Stats'!$A238="","",Settings!$B$2)</f>
        <v/>
      </c>
      <c r="B369" s="117" t="str">
        <f ca="1">IF('Current Char Stats'!$A238="","",'Current Char Stats'!$A238)</f>
        <v/>
      </c>
      <c r="C369" s="18" t="str">
        <f ca="1">IF('Current Char Stats'!$A238="","",'Current Char Stats'!$B238)</f>
        <v/>
      </c>
      <c r="D369" s="18" t="str">
        <f ca="1">IF('Current Char Stats'!$A238="","",'Current Char Stats'!$C238)</f>
        <v/>
      </c>
      <c r="E369" s="18" t="str">
        <f ca="1">IF('Current Char Stats'!$A238="","",'Current Char Stats'!$D238)</f>
        <v/>
      </c>
      <c r="F369" s="18" t="str">
        <f ca="1">IF('Current Char Stats'!$A238="","",'Current Char Stats'!$E238)</f>
        <v/>
      </c>
      <c r="G369" s="18" t="str">
        <f ca="1">IF('Current Char Stats'!$A238="","",'Current Char Stats'!$F238)</f>
        <v/>
      </c>
      <c r="H369" s="18" t="str">
        <f ca="1">IF('Current Char Stats'!$A238="","",'Current Char Stats'!$G238)</f>
        <v/>
      </c>
      <c r="I369" s="18" t="str">
        <f ca="1">IF('Current Char Stats'!$A238="","",'Current Char Stats'!$H238)</f>
        <v/>
      </c>
      <c r="J369" s="18" t="str">
        <f ca="1">IF('Current Char Stats'!$A238="","",'Current Char Stats'!$I238)</f>
        <v/>
      </c>
      <c r="K369" s="18" t="str">
        <f ca="1">IF('Current Char Stats'!$A238="","",'Current Char Stats'!$J238)</f>
        <v/>
      </c>
      <c r="L369" s="18" t="str">
        <f ca="1">IF('Current Char Stats'!$A238="","",'Current Char Stats'!$K238)</f>
        <v/>
      </c>
      <c r="M369" s="18" t="str">
        <f ca="1">IF('Current Char Stats'!$A238="","",'Current Char Stats'!$L238)</f>
        <v/>
      </c>
      <c r="N369" s="18" t="str">
        <f ca="1">IF('Current Char Stats'!$A238="","",'Current Char Stats'!$M238)</f>
        <v/>
      </c>
      <c r="O369" s="18" t="str">
        <f ca="1">IF('Current Char Stats'!$A238="","",'Current Char Stats'!$N238)</f>
        <v/>
      </c>
      <c r="P369" s="18" t="str">
        <f ca="1">IF('Current Char Stats'!$A238="","",'Current Char Stats'!$O238)</f>
        <v/>
      </c>
      <c r="Q369" s="18" t="str">
        <f ca="1">IF('Current Char Stats'!$A238="","",'Current Char Stats'!$P238)</f>
        <v/>
      </c>
      <c r="R369" s="18" t="str">
        <f ca="1">IF('Current Char Stats'!$A238="","",'Current Char Stats'!$Q238)</f>
        <v/>
      </c>
      <c r="S369" s="18" t="str">
        <f ca="1">IF('Current Char Stats'!$A238="","",'Current Char Stats'!$R238)</f>
        <v/>
      </c>
      <c r="T369" s="18" t="str">
        <f ca="1">IF('Current Char Stats'!$A238="","",'Current Char Stats'!$S238)</f>
        <v/>
      </c>
      <c r="U369" s="18" t="str">
        <f ca="1">IF('Current Char Stats'!$A238="","",'Current Char Stats'!$T238)</f>
        <v/>
      </c>
      <c r="V369" s="18" t="str">
        <f ca="1">IF('Current Char Stats'!$A238="","",'Current Char Stats'!$U238)</f>
        <v/>
      </c>
      <c r="W369" s="18" t="str">
        <f ca="1">IF('Current Char Stats'!$A238="","",'Current Char Stats'!$V238)</f>
        <v/>
      </c>
      <c r="X369" s="18" t="str">
        <f ca="1">IF('Current Char Stats'!$A238="","",'Current Char Stats'!$W238)</f>
        <v/>
      </c>
      <c r="Y369" s="18" t="str">
        <f ca="1">IF('Current Char Stats'!$A238="","",'Current Char Stats'!$X238)</f>
        <v/>
      </c>
      <c r="Z369" s="18" t="str">
        <f ca="1">IF('Current Char Stats'!$A238="","",'Current Char Stats'!$Y238)</f>
        <v/>
      </c>
      <c r="AA369" s="18" t="str">
        <f ca="1">IF('Current Char Stats'!$A238="","",'Current Char Stats'!$Z238)</f>
        <v/>
      </c>
      <c r="AB369" s="18" t="str">
        <f ca="1">IF('Current Char Stats'!$A238="","",'Current Char Stats'!$AA238)</f>
        <v/>
      </c>
      <c r="AC369" s="18" t="str">
        <f ca="1">IF('Current Char Stats'!$A238="","",'Current Char Stats'!$AB238)</f>
        <v/>
      </c>
      <c r="AD369" s="18" t="str">
        <f ca="1">IF('Current Char Stats'!$A238="","",'Current Char Stats'!$AC238)</f>
        <v/>
      </c>
      <c r="AE369" s="18" t="str">
        <f ca="1">IF('Current Char Stats'!$A238="","",'Current Char Stats'!$AD238)</f>
        <v/>
      </c>
      <c r="AF369" s="18" t="str">
        <f ca="1">IF('Current Char Stats'!$A238="","",'Current Char Stats'!$AE238)</f>
        <v/>
      </c>
    </row>
    <row r="370" spans="1:32">
      <c r="A370" s="18" t="str">
        <f ca="1">IF('Current Char Stats'!$A239="","",Settings!$B$2)</f>
        <v/>
      </c>
      <c r="B370" s="117" t="str">
        <f ca="1">IF('Current Char Stats'!$A239="","",'Current Char Stats'!$A239)</f>
        <v/>
      </c>
      <c r="C370" s="18" t="str">
        <f ca="1">IF('Current Char Stats'!$A239="","",'Current Char Stats'!$B239)</f>
        <v/>
      </c>
      <c r="D370" s="18" t="str">
        <f ca="1">IF('Current Char Stats'!$A239="","",'Current Char Stats'!$C239)</f>
        <v/>
      </c>
      <c r="E370" s="18" t="str">
        <f ca="1">IF('Current Char Stats'!$A239="","",'Current Char Stats'!$D239)</f>
        <v/>
      </c>
      <c r="F370" s="18" t="str">
        <f ca="1">IF('Current Char Stats'!$A239="","",'Current Char Stats'!$E239)</f>
        <v/>
      </c>
      <c r="G370" s="18" t="str">
        <f ca="1">IF('Current Char Stats'!$A239="","",'Current Char Stats'!$F239)</f>
        <v/>
      </c>
      <c r="H370" s="18" t="str">
        <f ca="1">IF('Current Char Stats'!$A239="","",'Current Char Stats'!$G239)</f>
        <v/>
      </c>
      <c r="I370" s="18" t="str">
        <f ca="1">IF('Current Char Stats'!$A239="","",'Current Char Stats'!$H239)</f>
        <v/>
      </c>
      <c r="J370" s="18" t="str">
        <f ca="1">IF('Current Char Stats'!$A239="","",'Current Char Stats'!$I239)</f>
        <v/>
      </c>
      <c r="K370" s="18" t="str">
        <f ca="1">IF('Current Char Stats'!$A239="","",'Current Char Stats'!$J239)</f>
        <v/>
      </c>
      <c r="L370" s="18" t="str">
        <f ca="1">IF('Current Char Stats'!$A239="","",'Current Char Stats'!$K239)</f>
        <v/>
      </c>
      <c r="M370" s="18" t="str">
        <f ca="1">IF('Current Char Stats'!$A239="","",'Current Char Stats'!$L239)</f>
        <v/>
      </c>
      <c r="N370" s="18" t="str">
        <f ca="1">IF('Current Char Stats'!$A239="","",'Current Char Stats'!$M239)</f>
        <v/>
      </c>
      <c r="O370" s="18" t="str">
        <f ca="1">IF('Current Char Stats'!$A239="","",'Current Char Stats'!$N239)</f>
        <v/>
      </c>
      <c r="P370" s="18" t="str">
        <f ca="1">IF('Current Char Stats'!$A239="","",'Current Char Stats'!$O239)</f>
        <v/>
      </c>
      <c r="Q370" s="18" t="str">
        <f ca="1">IF('Current Char Stats'!$A239="","",'Current Char Stats'!$P239)</f>
        <v/>
      </c>
      <c r="R370" s="18" t="str">
        <f ca="1">IF('Current Char Stats'!$A239="","",'Current Char Stats'!$Q239)</f>
        <v/>
      </c>
      <c r="S370" s="18" t="str">
        <f ca="1">IF('Current Char Stats'!$A239="","",'Current Char Stats'!$R239)</f>
        <v/>
      </c>
      <c r="T370" s="18" t="str">
        <f ca="1">IF('Current Char Stats'!$A239="","",'Current Char Stats'!$S239)</f>
        <v/>
      </c>
      <c r="U370" s="18" t="str">
        <f ca="1">IF('Current Char Stats'!$A239="","",'Current Char Stats'!$T239)</f>
        <v/>
      </c>
      <c r="V370" s="18" t="str">
        <f ca="1">IF('Current Char Stats'!$A239="","",'Current Char Stats'!$U239)</f>
        <v/>
      </c>
      <c r="W370" s="18" t="str">
        <f ca="1">IF('Current Char Stats'!$A239="","",'Current Char Stats'!$V239)</f>
        <v/>
      </c>
      <c r="X370" s="18" t="str">
        <f ca="1">IF('Current Char Stats'!$A239="","",'Current Char Stats'!$W239)</f>
        <v/>
      </c>
      <c r="Y370" s="18" t="str">
        <f ca="1">IF('Current Char Stats'!$A239="","",'Current Char Stats'!$X239)</f>
        <v/>
      </c>
      <c r="Z370" s="18" t="str">
        <f ca="1">IF('Current Char Stats'!$A239="","",'Current Char Stats'!$Y239)</f>
        <v/>
      </c>
      <c r="AA370" s="18" t="str">
        <f ca="1">IF('Current Char Stats'!$A239="","",'Current Char Stats'!$Z239)</f>
        <v/>
      </c>
      <c r="AB370" s="18" t="str">
        <f ca="1">IF('Current Char Stats'!$A239="","",'Current Char Stats'!$AA239)</f>
        <v/>
      </c>
      <c r="AC370" s="18" t="str">
        <f ca="1">IF('Current Char Stats'!$A239="","",'Current Char Stats'!$AB239)</f>
        <v/>
      </c>
      <c r="AD370" s="18" t="str">
        <f ca="1">IF('Current Char Stats'!$A239="","",'Current Char Stats'!$AC239)</f>
        <v/>
      </c>
      <c r="AE370" s="18" t="str">
        <f ca="1">IF('Current Char Stats'!$A239="","",'Current Char Stats'!$AD239)</f>
        <v/>
      </c>
      <c r="AF370" s="18" t="str">
        <f ca="1">IF('Current Char Stats'!$A239="","",'Current Char Stats'!$AE239)</f>
        <v/>
      </c>
    </row>
    <row r="371" spans="1:32">
      <c r="A371" s="18" t="str">
        <f ca="1">IF('Current Char Stats'!$A240="","",Settings!$B$2)</f>
        <v/>
      </c>
      <c r="B371" s="117" t="str">
        <f ca="1">IF('Current Char Stats'!$A240="","",'Current Char Stats'!$A240)</f>
        <v/>
      </c>
      <c r="C371" s="18" t="str">
        <f ca="1">IF('Current Char Stats'!$A240="","",'Current Char Stats'!$B240)</f>
        <v/>
      </c>
      <c r="D371" s="18" t="str">
        <f ca="1">IF('Current Char Stats'!$A240="","",'Current Char Stats'!$C240)</f>
        <v/>
      </c>
      <c r="E371" s="18" t="str">
        <f ca="1">IF('Current Char Stats'!$A240="","",'Current Char Stats'!$D240)</f>
        <v/>
      </c>
      <c r="F371" s="18" t="str">
        <f ca="1">IF('Current Char Stats'!$A240="","",'Current Char Stats'!$E240)</f>
        <v/>
      </c>
      <c r="G371" s="18" t="str">
        <f ca="1">IF('Current Char Stats'!$A240="","",'Current Char Stats'!$F240)</f>
        <v/>
      </c>
      <c r="H371" s="18" t="str">
        <f ca="1">IF('Current Char Stats'!$A240="","",'Current Char Stats'!$G240)</f>
        <v/>
      </c>
      <c r="I371" s="18" t="str">
        <f ca="1">IF('Current Char Stats'!$A240="","",'Current Char Stats'!$H240)</f>
        <v/>
      </c>
      <c r="J371" s="18" t="str">
        <f ca="1">IF('Current Char Stats'!$A240="","",'Current Char Stats'!$I240)</f>
        <v/>
      </c>
      <c r="K371" s="18" t="str">
        <f ca="1">IF('Current Char Stats'!$A240="","",'Current Char Stats'!$J240)</f>
        <v/>
      </c>
      <c r="L371" s="18" t="str">
        <f ca="1">IF('Current Char Stats'!$A240="","",'Current Char Stats'!$K240)</f>
        <v/>
      </c>
      <c r="M371" s="18" t="str">
        <f ca="1">IF('Current Char Stats'!$A240="","",'Current Char Stats'!$L240)</f>
        <v/>
      </c>
      <c r="N371" s="18" t="str">
        <f ca="1">IF('Current Char Stats'!$A240="","",'Current Char Stats'!$M240)</f>
        <v/>
      </c>
      <c r="O371" s="18" t="str">
        <f ca="1">IF('Current Char Stats'!$A240="","",'Current Char Stats'!$N240)</f>
        <v/>
      </c>
      <c r="P371" s="18" t="str">
        <f ca="1">IF('Current Char Stats'!$A240="","",'Current Char Stats'!$O240)</f>
        <v/>
      </c>
      <c r="Q371" s="18" t="str">
        <f ca="1">IF('Current Char Stats'!$A240="","",'Current Char Stats'!$P240)</f>
        <v/>
      </c>
      <c r="R371" s="18" t="str">
        <f ca="1">IF('Current Char Stats'!$A240="","",'Current Char Stats'!$Q240)</f>
        <v/>
      </c>
      <c r="S371" s="18" t="str">
        <f ca="1">IF('Current Char Stats'!$A240="","",'Current Char Stats'!$R240)</f>
        <v/>
      </c>
      <c r="T371" s="18" t="str">
        <f ca="1">IF('Current Char Stats'!$A240="","",'Current Char Stats'!$S240)</f>
        <v/>
      </c>
      <c r="U371" s="18" t="str">
        <f ca="1">IF('Current Char Stats'!$A240="","",'Current Char Stats'!$T240)</f>
        <v/>
      </c>
      <c r="V371" s="18" t="str">
        <f ca="1">IF('Current Char Stats'!$A240="","",'Current Char Stats'!$U240)</f>
        <v/>
      </c>
      <c r="W371" s="18" t="str">
        <f ca="1">IF('Current Char Stats'!$A240="","",'Current Char Stats'!$V240)</f>
        <v/>
      </c>
      <c r="X371" s="18" t="str">
        <f ca="1">IF('Current Char Stats'!$A240="","",'Current Char Stats'!$W240)</f>
        <v/>
      </c>
      <c r="Y371" s="18" t="str">
        <f ca="1">IF('Current Char Stats'!$A240="","",'Current Char Stats'!$X240)</f>
        <v/>
      </c>
      <c r="Z371" s="18" t="str">
        <f ca="1">IF('Current Char Stats'!$A240="","",'Current Char Stats'!$Y240)</f>
        <v/>
      </c>
      <c r="AA371" s="18" t="str">
        <f ca="1">IF('Current Char Stats'!$A240="","",'Current Char Stats'!$Z240)</f>
        <v/>
      </c>
      <c r="AB371" s="18" t="str">
        <f ca="1">IF('Current Char Stats'!$A240="","",'Current Char Stats'!$AA240)</f>
        <v/>
      </c>
      <c r="AC371" s="18" t="str">
        <f ca="1">IF('Current Char Stats'!$A240="","",'Current Char Stats'!$AB240)</f>
        <v/>
      </c>
      <c r="AD371" s="18" t="str">
        <f ca="1">IF('Current Char Stats'!$A240="","",'Current Char Stats'!$AC240)</f>
        <v/>
      </c>
      <c r="AE371" s="18" t="str">
        <f ca="1">IF('Current Char Stats'!$A240="","",'Current Char Stats'!$AD240)</f>
        <v/>
      </c>
      <c r="AF371" s="18" t="str">
        <f ca="1">IF('Current Char Stats'!$A240="","",'Current Char Stats'!$AE240)</f>
        <v/>
      </c>
    </row>
    <row r="372" spans="1:32">
      <c r="A372" s="18" t="str">
        <f ca="1">IF('Current Char Stats'!$A241="","",Settings!$B$2)</f>
        <v/>
      </c>
      <c r="B372" s="117" t="str">
        <f ca="1">IF('Current Char Stats'!$A241="","",'Current Char Stats'!$A241)</f>
        <v/>
      </c>
      <c r="C372" s="18" t="str">
        <f ca="1">IF('Current Char Stats'!$A241="","",'Current Char Stats'!$B241)</f>
        <v/>
      </c>
      <c r="D372" s="18" t="str">
        <f ca="1">IF('Current Char Stats'!$A241="","",'Current Char Stats'!$C241)</f>
        <v/>
      </c>
      <c r="E372" s="18" t="str">
        <f ca="1">IF('Current Char Stats'!$A241="","",'Current Char Stats'!$D241)</f>
        <v/>
      </c>
      <c r="F372" s="18" t="str">
        <f ca="1">IF('Current Char Stats'!$A241="","",'Current Char Stats'!$E241)</f>
        <v/>
      </c>
      <c r="G372" s="18" t="str">
        <f ca="1">IF('Current Char Stats'!$A241="","",'Current Char Stats'!$F241)</f>
        <v/>
      </c>
      <c r="H372" s="18" t="str">
        <f ca="1">IF('Current Char Stats'!$A241="","",'Current Char Stats'!$G241)</f>
        <v/>
      </c>
      <c r="I372" s="18" t="str">
        <f ca="1">IF('Current Char Stats'!$A241="","",'Current Char Stats'!$H241)</f>
        <v/>
      </c>
      <c r="J372" s="18" t="str">
        <f ca="1">IF('Current Char Stats'!$A241="","",'Current Char Stats'!$I241)</f>
        <v/>
      </c>
      <c r="K372" s="18" t="str">
        <f ca="1">IF('Current Char Stats'!$A241="","",'Current Char Stats'!$J241)</f>
        <v/>
      </c>
      <c r="L372" s="18" t="str">
        <f ca="1">IF('Current Char Stats'!$A241="","",'Current Char Stats'!$K241)</f>
        <v/>
      </c>
      <c r="M372" s="18" t="str">
        <f ca="1">IF('Current Char Stats'!$A241="","",'Current Char Stats'!$L241)</f>
        <v/>
      </c>
      <c r="N372" s="18" t="str">
        <f ca="1">IF('Current Char Stats'!$A241="","",'Current Char Stats'!$M241)</f>
        <v/>
      </c>
      <c r="O372" s="18" t="str">
        <f ca="1">IF('Current Char Stats'!$A241="","",'Current Char Stats'!$N241)</f>
        <v/>
      </c>
      <c r="P372" s="18" t="str">
        <f ca="1">IF('Current Char Stats'!$A241="","",'Current Char Stats'!$O241)</f>
        <v/>
      </c>
      <c r="Q372" s="18" t="str">
        <f ca="1">IF('Current Char Stats'!$A241="","",'Current Char Stats'!$P241)</f>
        <v/>
      </c>
      <c r="R372" s="18" t="str">
        <f ca="1">IF('Current Char Stats'!$A241="","",'Current Char Stats'!$Q241)</f>
        <v/>
      </c>
      <c r="S372" s="18" t="str">
        <f ca="1">IF('Current Char Stats'!$A241="","",'Current Char Stats'!$R241)</f>
        <v/>
      </c>
      <c r="T372" s="18" t="str">
        <f ca="1">IF('Current Char Stats'!$A241="","",'Current Char Stats'!$S241)</f>
        <v/>
      </c>
      <c r="U372" s="18" t="str">
        <f ca="1">IF('Current Char Stats'!$A241="","",'Current Char Stats'!$T241)</f>
        <v/>
      </c>
      <c r="V372" s="18" t="str">
        <f ca="1">IF('Current Char Stats'!$A241="","",'Current Char Stats'!$U241)</f>
        <v/>
      </c>
      <c r="W372" s="18" t="str">
        <f ca="1">IF('Current Char Stats'!$A241="","",'Current Char Stats'!$V241)</f>
        <v/>
      </c>
      <c r="X372" s="18" t="str">
        <f ca="1">IF('Current Char Stats'!$A241="","",'Current Char Stats'!$W241)</f>
        <v/>
      </c>
      <c r="Y372" s="18" t="str">
        <f ca="1">IF('Current Char Stats'!$A241="","",'Current Char Stats'!$X241)</f>
        <v/>
      </c>
      <c r="Z372" s="18" t="str">
        <f ca="1">IF('Current Char Stats'!$A241="","",'Current Char Stats'!$Y241)</f>
        <v/>
      </c>
      <c r="AA372" s="18" t="str">
        <f ca="1">IF('Current Char Stats'!$A241="","",'Current Char Stats'!$Z241)</f>
        <v/>
      </c>
      <c r="AB372" s="18" t="str">
        <f ca="1">IF('Current Char Stats'!$A241="","",'Current Char Stats'!$AA241)</f>
        <v/>
      </c>
      <c r="AC372" s="18" t="str">
        <f ca="1">IF('Current Char Stats'!$A241="","",'Current Char Stats'!$AB241)</f>
        <v/>
      </c>
      <c r="AD372" s="18" t="str">
        <f ca="1">IF('Current Char Stats'!$A241="","",'Current Char Stats'!$AC241)</f>
        <v/>
      </c>
      <c r="AE372" s="18" t="str">
        <f ca="1">IF('Current Char Stats'!$A241="","",'Current Char Stats'!$AD241)</f>
        <v/>
      </c>
      <c r="AF372" s="18" t="str">
        <f ca="1">IF('Current Char Stats'!$A241="","",'Current Char Stats'!$AE241)</f>
        <v/>
      </c>
    </row>
    <row r="373" spans="1:32">
      <c r="A373" s="18" t="str">
        <f ca="1">IF('Current Char Stats'!$A242="","",Settings!$B$2)</f>
        <v/>
      </c>
      <c r="B373" s="117" t="str">
        <f ca="1">IF('Current Char Stats'!$A242="","",'Current Char Stats'!$A242)</f>
        <v/>
      </c>
      <c r="C373" s="18" t="str">
        <f ca="1">IF('Current Char Stats'!$A242="","",'Current Char Stats'!$B242)</f>
        <v/>
      </c>
      <c r="D373" s="18" t="str">
        <f ca="1">IF('Current Char Stats'!$A242="","",'Current Char Stats'!$C242)</f>
        <v/>
      </c>
      <c r="E373" s="18" t="str">
        <f ca="1">IF('Current Char Stats'!$A242="","",'Current Char Stats'!$D242)</f>
        <v/>
      </c>
      <c r="F373" s="18" t="str">
        <f ca="1">IF('Current Char Stats'!$A242="","",'Current Char Stats'!$E242)</f>
        <v/>
      </c>
      <c r="G373" s="18" t="str">
        <f ca="1">IF('Current Char Stats'!$A242="","",'Current Char Stats'!$F242)</f>
        <v/>
      </c>
      <c r="H373" s="18" t="str">
        <f ca="1">IF('Current Char Stats'!$A242="","",'Current Char Stats'!$G242)</f>
        <v/>
      </c>
      <c r="I373" s="18" t="str">
        <f ca="1">IF('Current Char Stats'!$A242="","",'Current Char Stats'!$H242)</f>
        <v/>
      </c>
      <c r="J373" s="18" t="str">
        <f ca="1">IF('Current Char Stats'!$A242="","",'Current Char Stats'!$I242)</f>
        <v/>
      </c>
      <c r="K373" s="18" t="str">
        <f ca="1">IF('Current Char Stats'!$A242="","",'Current Char Stats'!$J242)</f>
        <v/>
      </c>
      <c r="L373" s="18" t="str">
        <f ca="1">IF('Current Char Stats'!$A242="","",'Current Char Stats'!$K242)</f>
        <v/>
      </c>
      <c r="M373" s="18" t="str">
        <f ca="1">IF('Current Char Stats'!$A242="","",'Current Char Stats'!$L242)</f>
        <v/>
      </c>
      <c r="N373" s="18" t="str">
        <f ca="1">IF('Current Char Stats'!$A242="","",'Current Char Stats'!$M242)</f>
        <v/>
      </c>
      <c r="O373" s="18" t="str">
        <f ca="1">IF('Current Char Stats'!$A242="","",'Current Char Stats'!$N242)</f>
        <v/>
      </c>
      <c r="P373" s="18" t="str">
        <f ca="1">IF('Current Char Stats'!$A242="","",'Current Char Stats'!$O242)</f>
        <v/>
      </c>
      <c r="Q373" s="18" t="str">
        <f ca="1">IF('Current Char Stats'!$A242="","",'Current Char Stats'!$P242)</f>
        <v/>
      </c>
      <c r="R373" s="18" t="str">
        <f ca="1">IF('Current Char Stats'!$A242="","",'Current Char Stats'!$Q242)</f>
        <v/>
      </c>
      <c r="S373" s="18" t="str">
        <f ca="1">IF('Current Char Stats'!$A242="","",'Current Char Stats'!$R242)</f>
        <v/>
      </c>
      <c r="T373" s="18" t="str">
        <f ca="1">IF('Current Char Stats'!$A242="","",'Current Char Stats'!$S242)</f>
        <v/>
      </c>
      <c r="U373" s="18" t="str">
        <f ca="1">IF('Current Char Stats'!$A242="","",'Current Char Stats'!$T242)</f>
        <v/>
      </c>
      <c r="V373" s="18" t="str">
        <f ca="1">IF('Current Char Stats'!$A242="","",'Current Char Stats'!$U242)</f>
        <v/>
      </c>
      <c r="W373" s="18" t="str">
        <f ca="1">IF('Current Char Stats'!$A242="","",'Current Char Stats'!$V242)</f>
        <v/>
      </c>
      <c r="X373" s="18" t="str">
        <f ca="1">IF('Current Char Stats'!$A242="","",'Current Char Stats'!$W242)</f>
        <v/>
      </c>
      <c r="Y373" s="18" t="str">
        <f ca="1">IF('Current Char Stats'!$A242="","",'Current Char Stats'!$X242)</f>
        <v/>
      </c>
      <c r="Z373" s="18" t="str">
        <f ca="1">IF('Current Char Stats'!$A242="","",'Current Char Stats'!$Y242)</f>
        <v/>
      </c>
      <c r="AA373" s="18" t="str">
        <f ca="1">IF('Current Char Stats'!$A242="","",'Current Char Stats'!$Z242)</f>
        <v/>
      </c>
      <c r="AB373" s="18" t="str">
        <f ca="1">IF('Current Char Stats'!$A242="","",'Current Char Stats'!$AA242)</f>
        <v/>
      </c>
      <c r="AC373" s="18" t="str">
        <f ca="1">IF('Current Char Stats'!$A242="","",'Current Char Stats'!$AB242)</f>
        <v/>
      </c>
      <c r="AD373" s="18" t="str">
        <f ca="1">IF('Current Char Stats'!$A242="","",'Current Char Stats'!$AC242)</f>
        <v/>
      </c>
      <c r="AE373" s="18" t="str">
        <f ca="1">IF('Current Char Stats'!$A242="","",'Current Char Stats'!$AD242)</f>
        <v/>
      </c>
      <c r="AF373" s="18" t="str">
        <f ca="1">IF('Current Char Stats'!$A242="","",'Current Char Stats'!$AE242)</f>
        <v/>
      </c>
    </row>
    <row r="374" spans="1:32">
      <c r="A374" s="18" t="str">
        <f ca="1">IF('Current Char Stats'!$A243="","",Settings!$B$2)</f>
        <v/>
      </c>
      <c r="B374" s="117" t="str">
        <f ca="1">IF('Current Char Stats'!$A243="","",'Current Char Stats'!$A243)</f>
        <v/>
      </c>
      <c r="C374" s="18" t="str">
        <f ca="1">IF('Current Char Stats'!$A243="","",'Current Char Stats'!$B243)</f>
        <v/>
      </c>
      <c r="D374" s="18" t="str">
        <f ca="1">IF('Current Char Stats'!$A243="","",'Current Char Stats'!$C243)</f>
        <v/>
      </c>
      <c r="E374" s="18" t="str">
        <f ca="1">IF('Current Char Stats'!$A243="","",'Current Char Stats'!$D243)</f>
        <v/>
      </c>
      <c r="F374" s="18" t="str">
        <f ca="1">IF('Current Char Stats'!$A243="","",'Current Char Stats'!$E243)</f>
        <v/>
      </c>
      <c r="G374" s="18" t="str">
        <f ca="1">IF('Current Char Stats'!$A243="","",'Current Char Stats'!$F243)</f>
        <v/>
      </c>
      <c r="H374" s="18" t="str">
        <f ca="1">IF('Current Char Stats'!$A243="","",'Current Char Stats'!$G243)</f>
        <v/>
      </c>
      <c r="I374" s="18" t="str">
        <f ca="1">IF('Current Char Stats'!$A243="","",'Current Char Stats'!$H243)</f>
        <v/>
      </c>
      <c r="J374" s="18" t="str">
        <f ca="1">IF('Current Char Stats'!$A243="","",'Current Char Stats'!$I243)</f>
        <v/>
      </c>
      <c r="K374" s="18" t="str">
        <f ca="1">IF('Current Char Stats'!$A243="","",'Current Char Stats'!$J243)</f>
        <v/>
      </c>
      <c r="L374" s="18" t="str">
        <f ca="1">IF('Current Char Stats'!$A243="","",'Current Char Stats'!$K243)</f>
        <v/>
      </c>
      <c r="M374" s="18" t="str">
        <f ca="1">IF('Current Char Stats'!$A243="","",'Current Char Stats'!$L243)</f>
        <v/>
      </c>
      <c r="N374" s="18" t="str">
        <f ca="1">IF('Current Char Stats'!$A243="","",'Current Char Stats'!$M243)</f>
        <v/>
      </c>
      <c r="O374" s="18" t="str">
        <f ca="1">IF('Current Char Stats'!$A243="","",'Current Char Stats'!$N243)</f>
        <v/>
      </c>
      <c r="P374" s="18" t="str">
        <f ca="1">IF('Current Char Stats'!$A243="","",'Current Char Stats'!$O243)</f>
        <v/>
      </c>
      <c r="Q374" s="18" t="str">
        <f ca="1">IF('Current Char Stats'!$A243="","",'Current Char Stats'!$P243)</f>
        <v/>
      </c>
      <c r="R374" s="18" t="str">
        <f ca="1">IF('Current Char Stats'!$A243="","",'Current Char Stats'!$Q243)</f>
        <v/>
      </c>
      <c r="S374" s="18" t="str">
        <f ca="1">IF('Current Char Stats'!$A243="","",'Current Char Stats'!$R243)</f>
        <v/>
      </c>
      <c r="T374" s="18" t="str">
        <f ca="1">IF('Current Char Stats'!$A243="","",'Current Char Stats'!$S243)</f>
        <v/>
      </c>
      <c r="U374" s="18" t="str">
        <f ca="1">IF('Current Char Stats'!$A243="","",'Current Char Stats'!$T243)</f>
        <v/>
      </c>
      <c r="V374" s="18" t="str">
        <f ca="1">IF('Current Char Stats'!$A243="","",'Current Char Stats'!$U243)</f>
        <v/>
      </c>
      <c r="W374" s="18" t="str">
        <f ca="1">IF('Current Char Stats'!$A243="","",'Current Char Stats'!$V243)</f>
        <v/>
      </c>
      <c r="X374" s="18" t="str">
        <f ca="1">IF('Current Char Stats'!$A243="","",'Current Char Stats'!$W243)</f>
        <v/>
      </c>
      <c r="Y374" s="18" t="str">
        <f ca="1">IF('Current Char Stats'!$A243="","",'Current Char Stats'!$X243)</f>
        <v/>
      </c>
      <c r="Z374" s="18" t="str">
        <f ca="1">IF('Current Char Stats'!$A243="","",'Current Char Stats'!$Y243)</f>
        <v/>
      </c>
      <c r="AA374" s="18" t="str">
        <f ca="1">IF('Current Char Stats'!$A243="","",'Current Char Stats'!$Z243)</f>
        <v/>
      </c>
      <c r="AB374" s="18" t="str">
        <f ca="1">IF('Current Char Stats'!$A243="","",'Current Char Stats'!$AA243)</f>
        <v/>
      </c>
      <c r="AC374" s="18" t="str">
        <f ca="1">IF('Current Char Stats'!$A243="","",'Current Char Stats'!$AB243)</f>
        <v/>
      </c>
      <c r="AD374" s="18" t="str">
        <f ca="1">IF('Current Char Stats'!$A243="","",'Current Char Stats'!$AC243)</f>
        <v/>
      </c>
      <c r="AE374" s="18" t="str">
        <f ca="1">IF('Current Char Stats'!$A243="","",'Current Char Stats'!$AD243)</f>
        <v/>
      </c>
      <c r="AF374" s="18" t="str">
        <f ca="1">IF('Current Char Stats'!$A243="","",'Current Char Stats'!$AE243)</f>
        <v/>
      </c>
    </row>
    <row r="375" spans="1:32">
      <c r="A375" s="18" t="str">
        <f ca="1">IF('Current Char Stats'!$A244="","",Settings!$B$2)</f>
        <v/>
      </c>
      <c r="B375" s="117" t="str">
        <f ca="1">IF('Current Char Stats'!$A244="","",'Current Char Stats'!$A244)</f>
        <v/>
      </c>
      <c r="C375" s="18" t="str">
        <f ca="1">IF('Current Char Stats'!$A244="","",'Current Char Stats'!$B244)</f>
        <v/>
      </c>
      <c r="D375" s="18" t="str">
        <f ca="1">IF('Current Char Stats'!$A244="","",'Current Char Stats'!$C244)</f>
        <v/>
      </c>
      <c r="E375" s="18" t="str">
        <f ca="1">IF('Current Char Stats'!$A244="","",'Current Char Stats'!$D244)</f>
        <v/>
      </c>
      <c r="F375" s="18" t="str">
        <f ca="1">IF('Current Char Stats'!$A244="","",'Current Char Stats'!$E244)</f>
        <v/>
      </c>
      <c r="G375" s="18" t="str">
        <f ca="1">IF('Current Char Stats'!$A244="","",'Current Char Stats'!$F244)</f>
        <v/>
      </c>
      <c r="H375" s="18" t="str">
        <f ca="1">IF('Current Char Stats'!$A244="","",'Current Char Stats'!$G244)</f>
        <v/>
      </c>
      <c r="I375" s="18" t="str">
        <f ca="1">IF('Current Char Stats'!$A244="","",'Current Char Stats'!$H244)</f>
        <v/>
      </c>
      <c r="J375" s="18" t="str">
        <f ca="1">IF('Current Char Stats'!$A244="","",'Current Char Stats'!$I244)</f>
        <v/>
      </c>
      <c r="K375" s="18" t="str">
        <f ca="1">IF('Current Char Stats'!$A244="","",'Current Char Stats'!$J244)</f>
        <v/>
      </c>
      <c r="L375" s="18" t="str">
        <f ca="1">IF('Current Char Stats'!$A244="","",'Current Char Stats'!$K244)</f>
        <v/>
      </c>
      <c r="M375" s="18" t="str">
        <f ca="1">IF('Current Char Stats'!$A244="","",'Current Char Stats'!$L244)</f>
        <v/>
      </c>
      <c r="N375" s="18" t="str">
        <f ca="1">IF('Current Char Stats'!$A244="","",'Current Char Stats'!$M244)</f>
        <v/>
      </c>
      <c r="O375" s="18" t="str">
        <f ca="1">IF('Current Char Stats'!$A244="","",'Current Char Stats'!$N244)</f>
        <v/>
      </c>
      <c r="P375" s="18" t="str">
        <f ca="1">IF('Current Char Stats'!$A244="","",'Current Char Stats'!$O244)</f>
        <v/>
      </c>
      <c r="Q375" s="18" t="str">
        <f ca="1">IF('Current Char Stats'!$A244="","",'Current Char Stats'!$P244)</f>
        <v/>
      </c>
      <c r="R375" s="18" t="str">
        <f ca="1">IF('Current Char Stats'!$A244="","",'Current Char Stats'!$Q244)</f>
        <v/>
      </c>
      <c r="S375" s="18" t="str">
        <f ca="1">IF('Current Char Stats'!$A244="","",'Current Char Stats'!$R244)</f>
        <v/>
      </c>
      <c r="T375" s="18" t="str">
        <f ca="1">IF('Current Char Stats'!$A244="","",'Current Char Stats'!$S244)</f>
        <v/>
      </c>
      <c r="U375" s="18" t="str">
        <f ca="1">IF('Current Char Stats'!$A244="","",'Current Char Stats'!$T244)</f>
        <v/>
      </c>
      <c r="V375" s="18" t="str">
        <f ca="1">IF('Current Char Stats'!$A244="","",'Current Char Stats'!$U244)</f>
        <v/>
      </c>
      <c r="W375" s="18" t="str">
        <f ca="1">IF('Current Char Stats'!$A244="","",'Current Char Stats'!$V244)</f>
        <v/>
      </c>
      <c r="X375" s="18" t="str">
        <f ca="1">IF('Current Char Stats'!$A244="","",'Current Char Stats'!$W244)</f>
        <v/>
      </c>
      <c r="Y375" s="18" t="str">
        <f ca="1">IF('Current Char Stats'!$A244="","",'Current Char Stats'!$X244)</f>
        <v/>
      </c>
      <c r="Z375" s="18" t="str">
        <f ca="1">IF('Current Char Stats'!$A244="","",'Current Char Stats'!$Y244)</f>
        <v/>
      </c>
      <c r="AA375" s="18" t="str">
        <f ca="1">IF('Current Char Stats'!$A244="","",'Current Char Stats'!$Z244)</f>
        <v/>
      </c>
      <c r="AB375" s="18" t="str">
        <f ca="1">IF('Current Char Stats'!$A244="","",'Current Char Stats'!$AA244)</f>
        <v/>
      </c>
      <c r="AC375" s="18" t="str">
        <f ca="1">IF('Current Char Stats'!$A244="","",'Current Char Stats'!$AB244)</f>
        <v/>
      </c>
      <c r="AD375" s="18" t="str">
        <f ca="1">IF('Current Char Stats'!$A244="","",'Current Char Stats'!$AC244)</f>
        <v/>
      </c>
      <c r="AE375" s="18" t="str">
        <f ca="1">IF('Current Char Stats'!$A244="","",'Current Char Stats'!$AD244)</f>
        <v/>
      </c>
      <c r="AF375" s="18" t="str">
        <f ca="1">IF('Current Char Stats'!$A244="","",'Current Char Stats'!$AE244)</f>
        <v/>
      </c>
    </row>
    <row r="376" spans="1:32">
      <c r="A376" s="18" t="str">
        <f ca="1">IF('Current Char Stats'!$A245="","",Settings!$B$2)</f>
        <v/>
      </c>
      <c r="B376" s="117" t="str">
        <f ca="1">IF('Current Char Stats'!$A245="","",'Current Char Stats'!$A245)</f>
        <v/>
      </c>
      <c r="C376" s="18" t="str">
        <f ca="1">IF('Current Char Stats'!$A245="","",'Current Char Stats'!$B245)</f>
        <v/>
      </c>
      <c r="D376" s="18" t="str">
        <f ca="1">IF('Current Char Stats'!$A245="","",'Current Char Stats'!$C245)</f>
        <v/>
      </c>
      <c r="E376" s="18" t="str">
        <f ca="1">IF('Current Char Stats'!$A245="","",'Current Char Stats'!$D245)</f>
        <v/>
      </c>
      <c r="F376" s="18" t="str">
        <f ca="1">IF('Current Char Stats'!$A245="","",'Current Char Stats'!$E245)</f>
        <v/>
      </c>
      <c r="G376" s="18" t="str">
        <f ca="1">IF('Current Char Stats'!$A245="","",'Current Char Stats'!$F245)</f>
        <v/>
      </c>
      <c r="H376" s="18" t="str">
        <f ca="1">IF('Current Char Stats'!$A245="","",'Current Char Stats'!$G245)</f>
        <v/>
      </c>
      <c r="I376" s="18" t="str">
        <f ca="1">IF('Current Char Stats'!$A245="","",'Current Char Stats'!$H245)</f>
        <v/>
      </c>
      <c r="J376" s="18" t="str">
        <f ca="1">IF('Current Char Stats'!$A245="","",'Current Char Stats'!$I245)</f>
        <v/>
      </c>
      <c r="K376" s="18" t="str">
        <f ca="1">IF('Current Char Stats'!$A245="","",'Current Char Stats'!$J245)</f>
        <v/>
      </c>
      <c r="L376" s="18" t="str">
        <f ca="1">IF('Current Char Stats'!$A245="","",'Current Char Stats'!$K245)</f>
        <v/>
      </c>
      <c r="M376" s="18" t="str">
        <f ca="1">IF('Current Char Stats'!$A245="","",'Current Char Stats'!$L245)</f>
        <v/>
      </c>
      <c r="N376" s="18" t="str">
        <f ca="1">IF('Current Char Stats'!$A245="","",'Current Char Stats'!$M245)</f>
        <v/>
      </c>
      <c r="O376" s="18" t="str">
        <f ca="1">IF('Current Char Stats'!$A245="","",'Current Char Stats'!$N245)</f>
        <v/>
      </c>
      <c r="P376" s="18" t="str">
        <f ca="1">IF('Current Char Stats'!$A245="","",'Current Char Stats'!$O245)</f>
        <v/>
      </c>
      <c r="Q376" s="18" t="str">
        <f ca="1">IF('Current Char Stats'!$A245="","",'Current Char Stats'!$P245)</f>
        <v/>
      </c>
      <c r="R376" s="18" t="str">
        <f ca="1">IF('Current Char Stats'!$A245="","",'Current Char Stats'!$Q245)</f>
        <v/>
      </c>
      <c r="S376" s="18" t="str">
        <f ca="1">IF('Current Char Stats'!$A245="","",'Current Char Stats'!$R245)</f>
        <v/>
      </c>
      <c r="T376" s="18" t="str">
        <f ca="1">IF('Current Char Stats'!$A245="","",'Current Char Stats'!$S245)</f>
        <v/>
      </c>
      <c r="U376" s="18" t="str">
        <f ca="1">IF('Current Char Stats'!$A245="","",'Current Char Stats'!$T245)</f>
        <v/>
      </c>
      <c r="V376" s="18" t="str">
        <f ca="1">IF('Current Char Stats'!$A245="","",'Current Char Stats'!$U245)</f>
        <v/>
      </c>
      <c r="W376" s="18" t="str">
        <f ca="1">IF('Current Char Stats'!$A245="","",'Current Char Stats'!$V245)</f>
        <v/>
      </c>
      <c r="X376" s="18" t="str">
        <f ca="1">IF('Current Char Stats'!$A245="","",'Current Char Stats'!$W245)</f>
        <v/>
      </c>
      <c r="Y376" s="18" t="str">
        <f ca="1">IF('Current Char Stats'!$A245="","",'Current Char Stats'!$X245)</f>
        <v/>
      </c>
      <c r="Z376" s="18" t="str">
        <f ca="1">IF('Current Char Stats'!$A245="","",'Current Char Stats'!$Y245)</f>
        <v/>
      </c>
      <c r="AA376" s="18" t="str">
        <f ca="1">IF('Current Char Stats'!$A245="","",'Current Char Stats'!$Z245)</f>
        <v/>
      </c>
      <c r="AB376" s="18" t="str">
        <f ca="1">IF('Current Char Stats'!$A245="","",'Current Char Stats'!$AA245)</f>
        <v/>
      </c>
      <c r="AC376" s="18" t="str">
        <f ca="1">IF('Current Char Stats'!$A245="","",'Current Char Stats'!$AB245)</f>
        <v/>
      </c>
      <c r="AD376" s="18" t="str">
        <f ca="1">IF('Current Char Stats'!$A245="","",'Current Char Stats'!$AC245)</f>
        <v/>
      </c>
      <c r="AE376" s="18" t="str">
        <f ca="1">IF('Current Char Stats'!$A245="","",'Current Char Stats'!$AD245)</f>
        <v/>
      </c>
      <c r="AF376" s="18" t="str">
        <f ca="1">IF('Current Char Stats'!$A245="","",'Current Char Stats'!$AE245)</f>
        <v/>
      </c>
    </row>
    <row r="377" spans="1:32">
      <c r="A377" s="18" t="str">
        <f ca="1">IF('Current Char Stats'!$A246="","",Settings!$B$2)</f>
        <v/>
      </c>
      <c r="B377" s="117" t="str">
        <f ca="1">IF('Current Char Stats'!$A246="","",'Current Char Stats'!$A246)</f>
        <v/>
      </c>
      <c r="C377" s="18" t="str">
        <f ca="1">IF('Current Char Stats'!$A246="","",'Current Char Stats'!$B246)</f>
        <v/>
      </c>
      <c r="D377" s="18" t="str">
        <f ca="1">IF('Current Char Stats'!$A246="","",'Current Char Stats'!$C246)</f>
        <v/>
      </c>
      <c r="E377" s="18" t="str">
        <f ca="1">IF('Current Char Stats'!$A246="","",'Current Char Stats'!$D246)</f>
        <v/>
      </c>
      <c r="F377" s="18" t="str">
        <f ca="1">IF('Current Char Stats'!$A246="","",'Current Char Stats'!$E246)</f>
        <v/>
      </c>
      <c r="G377" s="18" t="str">
        <f ca="1">IF('Current Char Stats'!$A246="","",'Current Char Stats'!$F246)</f>
        <v/>
      </c>
      <c r="H377" s="18" t="str">
        <f ca="1">IF('Current Char Stats'!$A246="","",'Current Char Stats'!$G246)</f>
        <v/>
      </c>
      <c r="I377" s="18" t="str">
        <f ca="1">IF('Current Char Stats'!$A246="","",'Current Char Stats'!$H246)</f>
        <v/>
      </c>
      <c r="J377" s="18" t="str">
        <f ca="1">IF('Current Char Stats'!$A246="","",'Current Char Stats'!$I246)</f>
        <v/>
      </c>
      <c r="K377" s="18" t="str">
        <f ca="1">IF('Current Char Stats'!$A246="","",'Current Char Stats'!$J246)</f>
        <v/>
      </c>
      <c r="L377" s="18" t="str">
        <f ca="1">IF('Current Char Stats'!$A246="","",'Current Char Stats'!$K246)</f>
        <v/>
      </c>
      <c r="M377" s="18" t="str">
        <f ca="1">IF('Current Char Stats'!$A246="","",'Current Char Stats'!$L246)</f>
        <v/>
      </c>
      <c r="N377" s="18" t="str">
        <f ca="1">IF('Current Char Stats'!$A246="","",'Current Char Stats'!$M246)</f>
        <v/>
      </c>
      <c r="O377" s="18" t="str">
        <f ca="1">IF('Current Char Stats'!$A246="","",'Current Char Stats'!$N246)</f>
        <v/>
      </c>
      <c r="P377" s="18" t="str">
        <f ca="1">IF('Current Char Stats'!$A246="","",'Current Char Stats'!$O246)</f>
        <v/>
      </c>
      <c r="Q377" s="18" t="str">
        <f ca="1">IF('Current Char Stats'!$A246="","",'Current Char Stats'!$P246)</f>
        <v/>
      </c>
      <c r="R377" s="18" t="str">
        <f ca="1">IF('Current Char Stats'!$A246="","",'Current Char Stats'!$Q246)</f>
        <v/>
      </c>
      <c r="S377" s="18" t="str">
        <f ca="1">IF('Current Char Stats'!$A246="","",'Current Char Stats'!$R246)</f>
        <v/>
      </c>
      <c r="T377" s="18" t="str">
        <f ca="1">IF('Current Char Stats'!$A246="","",'Current Char Stats'!$S246)</f>
        <v/>
      </c>
      <c r="U377" s="18" t="str">
        <f ca="1">IF('Current Char Stats'!$A246="","",'Current Char Stats'!$T246)</f>
        <v/>
      </c>
      <c r="V377" s="18" t="str">
        <f ca="1">IF('Current Char Stats'!$A246="","",'Current Char Stats'!$U246)</f>
        <v/>
      </c>
      <c r="W377" s="18" t="str">
        <f ca="1">IF('Current Char Stats'!$A246="","",'Current Char Stats'!$V246)</f>
        <v/>
      </c>
      <c r="X377" s="18" t="str">
        <f ca="1">IF('Current Char Stats'!$A246="","",'Current Char Stats'!$W246)</f>
        <v/>
      </c>
      <c r="Y377" s="18" t="str">
        <f ca="1">IF('Current Char Stats'!$A246="","",'Current Char Stats'!$X246)</f>
        <v/>
      </c>
      <c r="Z377" s="18" t="str">
        <f ca="1">IF('Current Char Stats'!$A246="","",'Current Char Stats'!$Y246)</f>
        <v/>
      </c>
      <c r="AA377" s="18" t="str">
        <f ca="1">IF('Current Char Stats'!$A246="","",'Current Char Stats'!$Z246)</f>
        <v/>
      </c>
      <c r="AB377" s="18" t="str">
        <f ca="1">IF('Current Char Stats'!$A246="","",'Current Char Stats'!$AA246)</f>
        <v/>
      </c>
      <c r="AC377" s="18" t="str">
        <f ca="1">IF('Current Char Stats'!$A246="","",'Current Char Stats'!$AB246)</f>
        <v/>
      </c>
      <c r="AD377" s="18" t="str">
        <f ca="1">IF('Current Char Stats'!$A246="","",'Current Char Stats'!$AC246)</f>
        <v/>
      </c>
      <c r="AE377" s="18" t="str">
        <f ca="1">IF('Current Char Stats'!$A246="","",'Current Char Stats'!$AD246)</f>
        <v/>
      </c>
      <c r="AF377" s="18" t="str">
        <f ca="1">IF('Current Char Stats'!$A246="","",'Current Char Stats'!$AE246)</f>
        <v/>
      </c>
    </row>
    <row r="378" spans="1:32">
      <c r="A378" s="18" t="str">
        <f ca="1">IF('Current Char Stats'!$A247="","",Settings!$B$2)</f>
        <v/>
      </c>
      <c r="B378" s="117" t="str">
        <f ca="1">IF('Current Char Stats'!$A247="","",'Current Char Stats'!$A247)</f>
        <v/>
      </c>
      <c r="C378" s="18" t="str">
        <f ca="1">IF('Current Char Stats'!$A247="","",'Current Char Stats'!$B247)</f>
        <v/>
      </c>
      <c r="D378" s="18" t="str">
        <f ca="1">IF('Current Char Stats'!$A247="","",'Current Char Stats'!$C247)</f>
        <v/>
      </c>
      <c r="E378" s="18" t="str">
        <f ca="1">IF('Current Char Stats'!$A247="","",'Current Char Stats'!$D247)</f>
        <v/>
      </c>
      <c r="F378" s="18" t="str">
        <f ca="1">IF('Current Char Stats'!$A247="","",'Current Char Stats'!$E247)</f>
        <v/>
      </c>
      <c r="G378" s="18" t="str">
        <f ca="1">IF('Current Char Stats'!$A247="","",'Current Char Stats'!$F247)</f>
        <v/>
      </c>
      <c r="H378" s="18" t="str">
        <f ca="1">IF('Current Char Stats'!$A247="","",'Current Char Stats'!$G247)</f>
        <v/>
      </c>
      <c r="I378" s="18" t="str">
        <f ca="1">IF('Current Char Stats'!$A247="","",'Current Char Stats'!$H247)</f>
        <v/>
      </c>
      <c r="J378" s="18" t="str">
        <f ca="1">IF('Current Char Stats'!$A247="","",'Current Char Stats'!$I247)</f>
        <v/>
      </c>
      <c r="K378" s="18" t="str">
        <f ca="1">IF('Current Char Stats'!$A247="","",'Current Char Stats'!$J247)</f>
        <v/>
      </c>
      <c r="L378" s="18" t="str">
        <f ca="1">IF('Current Char Stats'!$A247="","",'Current Char Stats'!$K247)</f>
        <v/>
      </c>
      <c r="M378" s="18" t="str">
        <f ca="1">IF('Current Char Stats'!$A247="","",'Current Char Stats'!$L247)</f>
        <v/>
      </c>
      <c r="N378" s="18" t="str">
        <f ca="1">IF('Current Char Stats'!$A247="","",'Current Char Stats'!$M247)</f>
        <v/>
      </c>
      <c r="O378" s="18" t="str">
        <f ca="1">IF('Current Char Stats'!$A247="","",'Current Char Stats'!$N247)</f>
        <v/>
      </c>
      <c r="P378" s="18" t="str">
        <f ca="1">IF('Current Char Stats'!$A247="","",'Current Char Stats'!$O247)</f>
        <v/>
      </c>
      <c r="Q378" s="18" t="str">
        <f ca="1">IF('Current Char Stats'!$A247="","",'Current Char Stats'!$P247)</f>
        <v/>
      </c>
      <c r="R378" s="18" t="str">
        <f ca="1">IF('Current Char Stats'!$A247="","",'Current Char Stats'!$Q247)</f>
        <v/>
      </c>
      <c r="S378" s="18" t="str">
        <f ca="1">IF('Current Char Stats'!$A247="","",'Current Char Stats'!$R247)</f>
        <v/>
      </c>
      <c r="T378" s="18" t="str">
        <f ca="1">IF('Current Char Stats'!$A247="","",'Current Char Stats'!$S247)</f>
        <v/>
      </c>
      <c r="U378" s="18" t="str">
        <f ca="1">IF('Current Char Stats'!$A247="","",'Current Char Stats'!$T247)</f>
        <v/>
      </c>
      <c r="V378" s="18" t="str">
        <f ca="1">IF('Current Char Stats'!$A247="","",'Current Char Stats'!$U247)</f>
        <v/>
      </c>
      <c r="W378" s="18" t="str">
        <f ca="1">IF('Current Char Stats'!$A247="","",'Current Char Stats'!$V247)</f>
        <v/>
      </c>
      <c r="X378" s="18" t="str">
        <f ca="1">IF('Current Char Stats'!$A247="","",'Current Char Stats'!$W247)</f>
        <v/>
      </c>
      <c r="Y378" s="18" t="str">
        <f ca="1">IF('Current Char Stats'!$A247="","",'Current Char Stats'!$X247)</f>
        <v/>
      </c>
      <c r="Z378" s="18" t="str">
        <f ca="1">IF('Current Char Stats'!$A247="","",'Current Char Stats'!$Y247)</f>
        <v/>
      </c>
      <c r="AA378" s="18" t="str">
        <f ca="1">IF('Current Char Stats'!$A247="","",'Current Char Stats'!$Z247)</f>
        <v/>
      </c>
      <c r="AB378" s="18" t="str">
        <f ca="1">IF('Current Char Stats'!$A247="","",'Current Char Stats'!$AA247)</f>
        <v/>
      </c>
      <c r="AC378" s="18" t="str">
        <f ca="1">IF('Current Char Stats'!$A247="","",'Current Char Stats'!$AB247)</f>
        <v/>
      </c>
      <c r="AD378" s="18" t="str">
        <f ca="1">IF('Current Char Stats'!$A247="","",'Current Char Stats'!$AC247)</f>
        <v/>
      </c>
      <c r="AE378" s="18" t="str">
        <f ca="1">IF('Current Char Stats'!$A247="","",'Current Char Stats'!$AD247)</f>
        <v/>
      </c>
      <c r="AF378" s="18" t="str">
        <f ca="1">IF('Current Char Stats'!$A247="","",'Current Char Stats'!$AE247)</f>
        <v/>
      </c>
    </row>
    <row r="379" spans="1:32">
      <c r="A379" s="18" t="str">
        <f ca="1">IF('Current Char Stats'!$A248="","",Settings!$B$2)</f>
        <v/>
      </c>
      <c r="B379" s="117" t="str">
        <f ca="1">IF('Current Char Stats'!$A248="","",'Current Char Stats'!$A248)</f>
        <v/>
      </c>
      <c r="C379" s="18" t="str">
        <f ca="1">IF('Current Char Stats'!$A248="","",'Current Char Stats'!$B248)</f>
        <v/>
      </c>
      <c r="D379" s="18" t="str">
        <f ca="1">IF('Current Char Stats'!$A248="","",'Current Char Stats'!$C248)</f>
        <v/>
      </c>
      <c r="E379" s="18" t="str">
        <f ca="1">IF('Current Char Stats'!$A248="","",'Current Char Stats'!$D248)</f>
        <v/>
      </c>
      <c r="F379" s="18" t="str">
        <f ca="1">IF('Current Char Stats'!$A248="","",'Current Char Stats'!$E248)</f>
        <v/>
      </c>
      <c r="G379" s="18" t="str">
        <f ca="1">IF('Current Char Stats'!$A248="","",'Current Char Stats'!$F248)</f>
        <v/>
      </c>
      <c r="H379" s="18" t="str">
        <f ca="1">IF('Current Char Stats'!$A248="","",'Current Char Stats'!$G248)</f>
        <v/>
      </c>
      <c r="I379" s="18" t="str">
        <f ca="1">IF('Current Char Stats'!$A248="","",'Current Char Stats'!$H248)</f>
        <v/>
      </c>
      <c r="J379" s="18" t="str">
        <f ca="1">IF('Current Char Stats'!$A248="","",'Current Char Stats'!$I248)</f>
        <v/>
      </c>
      <c r="K379" s="18" t="str">
        <f ca="1">IF('Current Char Stats'!$A248="","",'Current Char Stats'!$J248)</f>
        <v/>
      </c>
      <c r="L379" s="18" t="str">
        <f ca="1">IF('Current Char Stats'!$A248="","",'Current Char Stats'!$K248)</f>
        <v/>
      </c>
      <c r="M379" s="18" t="str">
        <f ca="1">IF('Current Char Stats'!$A248="","",'Current Char Stats'!$L248)</f>
        <v/>
      </c>
      <c r="N379" s="18" t="str">
        <f ca="1">IF('Current Char Stats'!$A248="","",'Current Char Stats'!$M248)</f>
        <v/>
      </c>
      <c r="O379" s="18" t="str">
        <f ca="1">IF('Current Char Stats'!$A248="","",'Current Char Stats'!$N248)</f>
        <v/>
      </c>
      <c r="P379" s="18" t="str">
        <f ca="1">IF('Current Char Stats'!$A248="","",'Current Char Stats'!$O248)</f>
        <v/>
      </c>
      <c r="Q379" s="18" t="str">
        <f ca="1">IF('Current Char Stats'!$A248="","",'Current Char Stats'!$P248)</f>
        <v/>
      </c>
      <c r="R379" s="18" t="str">
        <f ca="1">IF('Current Char Stats'!$A248="","",'Current Char Stats'!$Q248)</f>
        <v/>
      </c>
      <c r="S379" s="18" t="str">
        <f ca="1">IF('Current Char Stats'!$A248="","",'Current Char Stats'!$R248)</f>
        <v/>
      </c>
      <c r="T379" s="18" t="str">
        <f ca="1">IF('Current Char Stats'!$A248="","",'Current Char Stats'!$S248)</f>
        <v/>
      </c>
      <c r="U379" s="18" t="str">
        <f ca="1">IF('Current Char Stats'!$A248="","",'Current Char Stats'!$T248)</f>
        <v/>
      </c>
      <c r="V379" s="18" t="str">
        <f ca="1">IF('Current Char Stats'!$A248="","",'Current Char Stats'!$U248)</f>
        <v/>
      </c>
      <c r="W379" s="18" t="str">
        <f ca="1">IF('Current Char Stats'!$A248="","",'Current Char Stats'!$V248)</f>
        <v/>
      </c>
      <c r="X379" s="18" t="str">
        <f ca="1">IF('Current Char Stats'!$A248="","",'Current Char Stats'!$W248)</f>
        <v/>
      </c>
      <c r="Y379" s="18" t="str">
        <f ca="1">IF('Current Char Stats'!$A248="","",'Current Char Stats'!$X248)</f>
        <v/>
      </c>
      <c r="Z379" s="18" t="str">
        <f ca="1">IF('Current Char Stats'!$A248="","",'Current Char Stats'!$Y248)</f>
        <v/>
      </c>
      <c r="AA379" s="18" t="str">
        <f ca="1">IF('Current Char Stats'!$A248="","",'Current Char Stats'!$Z248)</f>
        <v/>
      </c>
      <c r="AB379" s="18" t="str">
        <f ca="1">IF('Current Char Stats'!$A248="","",'Current Char Stats'!$AA248)</f>
        <v/>
      </c>
      <c r="AC379" s="18" t="str">
        <f ca="1">IF('Current Char Stats'!$A248="","",'Current Char Stats'!$AB248)</f>
        <v/>
      </c>
      <c r="AD379" s="18" t="str">
        <f ca="1">IF('Current Char Stats'!$A248="","",'Current Char Stats'!$AC248)</f>
        <v/>
      </c>
      <c r="AE379" s="18" t="str">
        <f ca="1">IF('Current Char Stats'!$A248="","",'Current Char Stats'!$AD248)</f>
        <v/>
      </c>
      <c r="AF379" s="18" t="str">
        <f ca="1">IF('Current Char Stats'!$A248="","",'Current Char Stats'!$AE248)</f>
        <v/>
      </c>
    </row>
    <row r="380" spans="1:32">
      <c r="A380" s="18" t="str">
        <f ca="1">IF('Current Char Stats'!$A249="","",Settings!$B$2)</f>
        <v/>
      </c>
      <c r="B380" s="117" t="str">
        <f ca="1">IF('Current Char Stats'!$A249="","",'Current Char Stats'!$A249)</f>
        <v/>
      </c>
      <c r="C380" s="18" t="str">
        <f ca="1">IF('Current Char Stats'!$A249="","",'Current Char Stats'!$B249)</f>
        <v/>
      </c>
      <c r="D380" s="18" t="str">
        <f ca="1">IF('Current Char Stats'!$A249="","",'Current Char Stats'!$C249)</f>
        <v/>
      </c>
      <c r="E380" s="18" t="str">
        <f ca="1">IF('Current Char Stats'!$A249="","",'Current Char Stats'!$D249)</f>
        <v/>
      </c>
      <c r="F380" s="18" t="str">
        <f ca="1">IF('Current Char Stats'!$A249="","",'Current Char Stats'!$E249)</f>
        <v/>
      </c>
      <c r="G380" s="18" t="str">
        <f ca="1">IF('Current Char Stats'!$A249="","",'Current Char Stats'!$F249)</f>
        <v/>
      </c>
      <c r="H380" s="18" t="str">
        <f ca="1">IF('Current Char Stats'!$A249="","",'Current Char Stats'!$G249)</f>
        <v/>
      </c>
      <c r="I380" s="18" t="str">
        <f ca="1">IF('Current Char Stats'!$A249="","",'Current Char Stats'!$H249)</f>
        <v/>
      </c>
      <c r="J380" s="18" t="str">
        <f ca="1">IF('Current Char Stats'!$A249="","",'Current Char Stats'!$I249)</f>
        <v/>
      </c>
      <c r="K380" s="18" t="str">
        <f ca="1">IF('Current Char Stats'!$A249="","",'Current Char Stats'!$J249)</f>
        <v/>
      </c>
      <c r="L380" s="18" t="str">
        <f ca="1">IF('Current Char Stats'!$A249="","",'Current Char Stats'!$K249)</f>
        <v/>
      </c>
      <c r="M380" s="18" t="str">
        <f ca="1">IF('Current Char Stats'!$A249="","",'Current Char Stats'!$L249)</f>
        <v/>
      </c>
      <c r="N380" s="18" t="str">
        <f ca="1">IF('Current Char Stats'!$A249="","",'Current Char Stats'!$M249)</f>
        <v/>
      </c>
      <c r="O380" s="18" t="str">
        <f ca="1">IF('Current Char Stats'!$A249="","",'Current Char Stats'!$N249)</f>
        <v/>
      </c>
      <c r="P380" s="18" t="str">
        <f ca="1">IF('Current Char Stats'!$A249="","",'Current Char Stats'!$O249)</f>
        <v/>
      </c>
      <c r="Q380" s="18" t="str">
        <f ca="1">IF('Current Char Stats'!$A249="","",'Current Char Stats'!$P249)</f>
        <v/>
      </c>
      <c r="R380" s="18" t="str">
        <f ca="1">IF('Current Char Stats'!$A249="","",'Current Char Stats'!$Q249)</f>
        <v/>
      </c>
      <c r="S380" s="18" t="str">
        <f ca="1">IF('Current Char Stats'!$A249="","",'Current Char Stats'!$R249)</f>
        <v/>
      </c>
      <c r="T380" s="18" t="str">
        <f ca="1">IF('Current Char Stats'!$A249="","",'Current Char Stats'!$S249)</f>
        <v/>
      </c>
      <c r="U380" s="18" t="str">
        <f ca="1">IF('Current Char Stats'!$A249="","",'Current Char Stats'!$T249)</f>
        <v/>
      </c>
      <c r="V380" s="18" t="str">
        <f ca="1">IF('Current Char Stats'!$A249="","",'Current Char Stats'!$U249)</f>
        <v/>
      </c>
      <c r="W380" s="18" t="str">
        <f ca="1">IF('Current Char Stats'!$A249="","",'Current Char Stats'!$V249)</f>
        <v/>
      </c>
      <c r="X380" s="18" t="str">
        <f ca="1">IF('Current Char Stats'!$A249="","",'Current Char Stats'!$W249)</f>
        <v/>
      </c>
      <c r="Y380" s="18" t="str">
        <f ca="1">IF('Current Char Stats'!$A249="","",'Current Char Stats'!$X249)</f>
        <v/>
      </c>
      <c r="Z380" s="18" t="str">
        <f ca="1">IF('Current Char Stats'!$A249="","",'Current Char Stats'!$Y249)</f>
        <v/>
      </c>
      <c r="AA380" s="18" t="str">
        <f ca="1">IF('Current Char Stats'!$A249="","",'Current Char Stats'!$Z249)</f>
        <v/>
      </c>
      <c r="AB380" s="18" t="str">
        <f ca="1">IF('Current Char Stats'!$A249="","",'Current Char Stats'!$AA249)</f>
        <v/>
      </c>
      <c r="AC380" s="18" t="str">
        <f ca="1">IF('Current Char Stats'!$A249="","",'Current Char Stats'!$AB249)</f>
        <v/>
      </c>
      <c r="AD380" s="18" t="str">
        <f ca="1">IF('Current Char Stats'!$A249="","",'Current Char Stats'!$AC249)</f>
        <v/>
      </c>
      <c r="AE380" s="18" t="str">
        <f ca="1">IF('Current Char Stats'!$A249="","",'Current Char Stats'!$AD249)</f>
        <v/>
      </c>
      <c r="AF380" s="18" t="str">
        <f ca="1">IF('Current Char Stats'!$A249="","",'Current Char Stats'!$AE249)</f>
        <v/>
      </c>
    </row>
    <row r="381" spans="1:32">
      <c r="A381" s="18" t="str">
        <f ca="1">IF('Current Char Stats'!$A250="","",Settings!$B$2)</f>
        <v/>
      </c>
      <c r="B381" s="117" t="str">
        <f ca="1">IF('Current Char Stats'!$A250="","",'Current Char Stats'!$A250)</f>
        <v/>
      </c>
      <c r="C381" s="18" t="str">
        <f ca="1">IF('Current Char Stats'!$A250="","",'Current Char Stats'!$B250)</f>
        <v/>
      </c>
      <c r="D381" s="18" t="str">
        <f ca="1">IF('Current Char Stats'!$A250="","",'Current Char Stats'!$C250)</f>
        <v/>
      </c>
      <c r="E381" s="18" t="str">
        <f ca="1">IF('Current Char Stats'!$A250="","",'Current Char Stats'!$D250)</f>
        <v/>
      </c>
      <c r="F381" s="18" t="str">
        <f ca="1">IF('Current Char Stats'!$A250="","",'Current Char Stats'!$E250)</f>
        <v/>
      </c>
      <c r="G381" s="18" t="str">
        <f ca="1">IF('Current Char Stats'!$A250="","",'Current Char Stats'!$F250)</f>
        <v/>
      </c>
      <c r="H381" s="18" t="str">
        <f ca="1">IF('Current Char Stats'!$A250="","",'Current Char Stats'!$G250)</f>
        <v/>
      </c>
      <c r="I381" s="18" t="str">
        <f ca="1">IF('Current Char Stats'!$A250="","",'Current Char Stats'!$H250)</f>
        <v/>
      </c>
      <c r="J381" s="18" t="str">
        <f ca="1">IF('Current Char Stats'!$A250="","",'Current Char Stats'!$I250)</f>
        <v/>
      </c>
      <c r="K381" s="18" t="str">
        <f ca="1">IF('Current Char Stats'!$A250="","",'Current Char Stats'!$J250)</f>
        <v/>
      </c>
      <c r="L381" s="18" t="str">
        <f ca="1">IF('Current Char Stats'!$A250="","",'Current Char Stats'!$K250)</f>
        <v/>
      </c>
      <c r="M381" s="18" t="str">
        <f ca="1">IF('Current Char Stats'!$A250="","",'Current Char Stats'!$L250)</f>
        <v/>
      </c>
      <c r="N381" s="18" t="str">
        <f ca="1">IF('Current Char Stats'!$A250="","",'Current Char Stats'!$M250)</f>
        <v/>
      </c>
      <c r="O381" s="18" t="str">
        <f ca="1">IF('Current Char Stats'!$A250="","",'Current Char Stats'!$N250)</f>
        <v/>
      </c>
      <c r="P381" s="18" t="str">
        <f ca="1">IF('Current Char Stats'!$A250="","",'Current Char Stats'!$O250)</f>
        <v/>
      </c>
      <c r="Q381" s="18" t="str">
        <f ca="1">IF('Current Char Stats'!$A250="","",'Current Char Stats'!$P250)</f>
        <v/>
      </c>
      <c r="R381" s="18" t="str">
        <f ca="1">IF('Current Char Stats'!$A250="","",'Current Char Stats'!$Q250)</f>
        <v/>
      </c>
      <c r="S381" s="18" t="str">
        <f ca="1">IF('Current Char Stats'!$A250="","",'Current Char Stats'!$R250)</f>
        <v/>
      </c>
      <c r="T381" s="18" t="str">
        <f ca="1">IF('Current Char Stats'!$A250="","",'Current Char Stats'!$S250)</f>
        <v/>
      </c>
      <c r="U381" s="18" t="str">
        <f ca="1">IF('Current Char Stats'!$A250="","",'Current Char Stats'!$T250)</f>
        <v/>
      </c>
      <c r="V381" s="18" t="str">
        <f ca="1">IF('Current Char Stats'!$A250="","",'Current Char Stats'!$U250)</f>
        <v/>
      </c>
      <c r="W381" s="18" t="str">
        <f ca="1">IF('Current Char Stats'!$A250="","",'Current Char Stats'!$V250)</f>
        <v/>
      </c>
      <c r="X381" s="18" t="str">
        <f ca="1">IF('Current Char Stats'!$A250="","",'Current Char Stats'!$W250)</f>
        <v/>
      </c>
      <c r="Y381" s="18" t="str">
        <f ca="1">IF('Current Char Stats'!$A250="","",'Current Char Stats'!$X250)</f>
        <v/>
      </c>
      <c r="Z381" s="18" t="str">
        <f ca="1">IF('Current Char Stats'!$A250="","",'Current Char Stats'!$Y250)</f>
        <v/>
      </c>
      <c r="AA381" s="18" t="str">
        <f ca="1">IF('Current Char Stats'!$A250="","",'Current Char Stats'!$Z250)</f>
        <v/>
      </c>
      <c r="AB381" s="18" t="str">
        <f ca="1">IF('Current Char Stats'!$A250="","",'Current Char Stats'!$AA250)</f>
        <v/>
      </c>
      <c r="AC381" s="18" t="str">
        <f ca="1">IF('Current Char Stats'!$A250="","",'Current Char Stats'!$AB250)</f>
        <v/>
      </c>
      <c r="AD381" s="18" t="str">
        <f ca="1">IF('Current Char Stats'!$A250="","",'Current Char Stats'!$AC250)</f>
        <v/>
      </c>
      <c r="AE381" s="18" t="str">
        <f ca="1">IF('Current Char Stats'!$A250="","",'Current Char Stats'!$AD250)</f>
        <v/>
      </c>
      <c r="AF381" s="18" t="str">
        <f ca="1">IF('Current Char Stats'!$A250="","",'Current Char Stats'!$AE250)</f>
        <v/>
      </c>
    </row>
    <row r="382" spans="1:32">
      <c r="A382" s="18" t="str">
        <f ca="1">IF('Current Char Stats'!$A251="","",Settings!$B$2)</f>
        <v/>
      </c>
      <c r="B382" s="117" t="str">
        <f ca="1">IF('Current Char Stats'!$A251="","",'Current Char Stats'!$A251)</f>
        <v/>
      </c>
      <c r="C382" s="18" t="str">
        <f ca="1">IF('Current Char Stats'!$A251="","",'Current Char Stats'!$B251)</f>
        <v/>
      </c>
      <c r="D382" s="18" t="str">
        <f ca="1">IF('Current Char Stats'!$A251="","",'Current Char Stats'!$C251)</f>
        <v/>
      </c>
      <c r="E382" s="18" t="str">
        <f ca="1">IF('Current Char Stats'!$A251="","",'Current Char Stats'!$D251)</f>
        <v/>
      </c>
      <c r="F382" s="18" t="str">
        <f ca="1">IF('Current Char Stats'!$A251="","",'Current Char Stats'!$E251)</f>
        <v/>
      </c>
      <c r="G382" s="18" t="str">
        <f ca="1">IF('Current Char Stats'!$A251="","",'Current Char Stats'!$F251)</f>
        <v/>
      </c>
      <c r="H382" s="18" t="str">
        <f ca="1">IF('Current Char Stats'!$A251="","",'Current Char Stats'!$G251)</f>
        <v/>
      </c>
      <c r="I382" s="18" t="str">
        <f ca="1">IF('Current Char Stats'!$A251="","",'Current Char Stats'!$H251)</f>
        <v/>
      </c>
      <c r="J382" s="18" t="str">
        <f ca="1">IF('Current Char Stats'!$A251="","",'Current Char Stats'!$I251)</f>
        <v/>
      </c>
      <c r="K382" s="18" t="str">
        <f ca="1">IF('Current Char Stats'!$A251="","",'Current Char Stats'!$J251)</f>
        <v/>
      </c>
      <c r="L382" s="18" t="str">
        <f ca="1">IF('Current Char Stats'!$A251="","",'Current Char Stats'!$K251)</f>
        <v/>
      </c>
      <c r="M382" s="18" t="str">
        <f ca="1">IF('Current Char Stats'!$A251="","",'Current Char Stats'!$L251)</f>
        <v/>
      </c>
      <c r="N382" s="18" t="str">
        <f ca="1">IF('Current Char Stats'!$A251="","",'Current Char Stats'!$M251)</f>
        <v/>
      </c>
      <c r="O382" s="18" t="str">
        <f ca="1">IF('Current Char Stats'!$A251="","",'Current Char Stats'!$N251)</f>
        <v/>
      </c>
      <c r="P382" s="18" t="str">
        <f ca="1">IF('Current Char Stats'!$A251="","",'Current Char Stats'!$O251)</f>
        <v/>
      </c>
      <c r="Q382" s="18" t="str">
        <f ca="1">IF('Current Char Stats'!$A251="","",'Current Char Stats'!$P251)</f>
        <v/>
      </c>
      <c r="R382" s="18" t="str">
        <f ca="1">IF('Current Char Stats'!$A251="","",'Current Char Stats'!$Q251)</f>
        <v/>
      </c>
      <c r="S382" s="18" t="str">
        <f ca="1">IF('Current Char Stats'!$A251="","",'Current Char Stats'!$R251)</f>
        <v/>
      </c>
      <c r="T382" s="18" t="str">
        <f ca="1">IF('Current Char Stats'!$A251="","",'Current Char Stats'!$S251)</f>
        <v/>
      </c>
      <c r="U382" s="18" t="str">
        <f ca="1">IF('Current Char Stats'!$A251="","",'Current Char Stats'!$T251)</f>
        <v/>
      </c>
      <c r="V382" s="18" t="str">
        <f ca="1">IF('Current Char Stats'!$A251="","",'Current Char Stats'!$U251)</f>
        <v/>
      </c>
      <c r="W382" s="18" t="str">
        <f ca="1">IF('Current Char Stats'!$A251="","",'Current Char Stats'!$V251)</f>
        <v/>
      </c>
      <c r="X382" s="18" t="str">
        <f ca="1">IF('Current Char Stats'!$A251="","",'Current Char Stats'!$W251)</f>
        <v/>
      </c>
      <c r="Y382" s="18" t="str">
        <f ca="1">IF('Current Char Stats'!$A251="","",'Current Char Stats'!$X251)</f>
        <v/>
      </c>
      <c r="Z382" s="18" t="str">
        <f ca="1">IF('Current Char Stats'!$A251="","",'Current Char Stats'!$Y251)</f>
        <v/>
      </c>
      <c r="AA382" s="18" t="str">
        <f ca="1">IF('Current Char Stats'!$A251="","",'Current Char Stats'!$Z251)</f>
        <v/>
      </c>
      <c r="AB382" s="18" t="str">
        <f ca="1">IF('Current Char Stats'!$A251="","",'Current Char Stats'!$AA251)</f>
        <v/>
      </c>
      <c r="AC382" s="18" t="str">
        <f ca="1">IF('Current Char Stats'!$A251="","",'Current Char Stats'!$AB251)</f>
        <v/>
      </c>
      <c r="AD382" s="18" t="str">
        <f ca="1">IF('Current Char Stats'!$A251="","",'Current Char Stats'!$AC251)</f>
        <v/>
      </c>
      <c r="AE382" s="18" t="str">
        <f ca="1">IF('Current Char Stats'!$A251="","",'Current Char Stats'!$AD251)</f>
        <v/>
      </c>
      <c r="AF382" s="18" t="str">
        <f ca="1">IF('Current Char Stats'!$A251="","",'Current Char Stats'!$AE251)</f>
        <v/>
      </c>
    </row>
    <row r="383" spans="1:32">
      <c r="A383" s="18" t="str">
        <f ca="1">IF('Current Char Stats'!$A252="","",Settings!$B$2)</f>
        <v/>
      </c>
      <c r="B383" s="117" t="str">
        <f ca="1">IF('Current Char Stats'!$A252="","",'Current Char Stats'!$A252)</f>
        <v/>
      </c>
      <c r="C383" s="18" t="str">
        <f ca="1">IF('Current Char Stats'!$A252="","",'Current Char Stats'!$B252)</f>
        <v/>
      </c>
      <c r="D383" s="18" t="str">
        <f ca="1">IF('Current Char Stats'!$A252="","",'Current Char Stats'!$C252)</f>
        <v/>
      </c>
      <c r="E383" s="18" t="str">
        <f ca="1">IF('Current Char Stats'!$A252="","",'Current Char Stats'!$D252)</f>
        <v/>
      </c>
      <c r="F383" s="18" t="str">
        <f ca="1">IF('Current Char Stats'!$A252="","",'Current Char Stats'!$E252)</f>
        <v/>
      </c>
      <c r="G383" s="18" t="str">
        <f ca="1">IF('Current Char Stats'!$A252="","",'Current Char Stats'!$F252)</f>
        <v/>
      </c>
      <c r="H383" s="18" t="str">
        <f ca="1">IF('Current Char Stats'!$A252="","",'Current Char Stats'!$G252)</f>
        <v/>
      </c>
      <c r="I383" s="18" t="str">
        <f ca="1">IF('Current Char Stats'!$A252="","",'Current Char Stats'!$H252)</f>
        <v/>
      </c>
      <c r="J383" s="18" t="str">
        <f ca="1">IF('Current Char Stats'!$A252="","",'Current Char Stats'!$I252)</f>
        <v/>
      </c>
      <c r="K383" s="18" t="str">
        <f ca="1">IF('Current Char Stats'!$A252="","",'Current Char Stats'!$J252)</f>
        <v/>
      </c>
      <c r="L383" s="18" t="str">
        <f ca="1">IF('Current Char Stats'!$A252="","",'Current Char Stats'!$K252)</f>
        <v/>
      </c>
      <c r="M383" s="18" t="str">
        <f ca="1">IF('Current Char Stats'!$A252="","",'Current Char Stats'!$L252)</f>
        <v/>
      </c>
      <c r="N383" s="18" t="str">
        <f ca="1">IF('Current Char Stats'!$A252="","",'Current Char Stats'!$M252)</f>
        <v/>
      </c>
      <c r="O383" s="18" t="str">
        <f ca="1">IF('Current Char Stats'!$A252="","",'Current Char Stats'!$N252)</f>
        <v/>
      </c>
      <c r="P383" s="18" t="str">
        <f ca="1">IF('Current Char Stats'!$A252="","",'Current Char Stats'!$O252)</f>
        <v/>
      </c>
      <c r="Q383" s="18" t="str">
        <f ca="1">IF('Current Char Stats'!$A252="","",'Current Char Stats'!$P252)</f>
        <v/>
      </c>
      <c r="R383" s="18" t="str">
        <f ca="1">IF('Current Char Stats'!$A252="","",'Current Char Stats'!$Q252)</f>
        <v/>
      </c>
      <c r="S383" s="18" t="str">
        <f ca="1">IF('Current Char Stats'!$A252="","",'Current Char Stats'!$R252)</f>
        <v/>
      </c>
      <c r="T383" s="18" t="str">
        <f ca="1">IF('Current Char Stats'!$A252="","",'Current Char Stats'!$S252)</f>
        <v/>
      </c>
      <c r="U383" s="18" t="str">
        <f ca="1">IF('Current Char Stats'!$A252="","",'Current Char Stats'!$T252)</f>
        <v/>
      </c>
      <c r="V383" s="18" t="str">
        <f ca="1">IF('Current Char Stats'!$A252="","",'Current Char Stats'!$U252)</f>
        <v/>
      </c>
      <c r="W383" s="18" t="str">
        <f ca="1">IF('Current Char Stats'!$A252="","",'Current Char Stats'!$V252)</f>
        <v/>
      </c>
      <c r="X383" s="18" t="str">
        <f ca="1">IF('Current Char Stats'!$A252="","",'Current Char Stats'!$W252)</f>
        <v/>
      </c>
      <c r="Y383" s="18" t="str">
        <f ca="1">IF('Current Char Stats'!$A252="","",'Current Char Stats'!$X252)</f>
        <v/>
      </c>
      <c r="Z383" s="18" t="str">
        <f ca="1">IF('Current Char Stats'!$A252="","",'Current Char Stats'!$Y252)</f>
        <v/>
      </c>
      <c r="AA383" s="18" t="str">
        <f ca="1">IF('Current Char Stats'!$A252="","",'Current Char Stats'!$Z252)</f>
        <v/>
      </c>
      <c r="AB383" s="18" t="str">
        <f ca="1">IF('Current Char Stats'!$A252="","",'Current Char Stats'!$AA252)</f>
        <v/>
      </c>
      <c r="AC383" s="18" t="str">
        <f ca="1">IF('Current Char Stats'!$A252="","",'Current Char Stats'!$AB252)</f>
        <v/>
      </c>
      <c r="AD383" s="18" t="str">
        <f ca="1">IF('Current Char Stats'!$A252="","",'Current Char Stats'!$AC252)</f>
        <v/>
      </c>
      <c r="AE383" s="18" t="str">
        <f ca="1">IF('Current Char Stats'!$A252="","",'Current Char Stats'!$AD252)</f>
        <v/>
      </c>
      <c r="AF383" s="18" t="str">
        <f ca="1">IF('Current Char Stats'!$A252="","",'Current Char Stats'!$AE252)</f>
        <v/>
      </c>
    </row>
    <row r="384" spans="1:32">
      <c r="A384" s="18" t="str">
        <f ca="1">IF('Current Char Stats'!$A253="","",Settings!$B$2)</f>
        <v/>
      </c>
      <c r="B384" s="117" t="str">
        <f ca="1">IF('Current Char Stats'!$A253="","",'Current Char Stats'!$A253)</f>
        <v/>
      </c>
      <c r="C384" s="18" t="str">
        <f ca="1">IF('Current Char Stats'!$A253="","",'Current Char Stats'!$B253)</f>
        <v/>
      </c>
      <c r="D384" s="18" t="str">
        <f ca="1">IF('Current Char Stats'!$A253="","",'Current Char Stats'!$C253)</f>
        <v/>
      </c>
      <c r="E384" s="18" t="str">
        <f ca="1">IF('Current Char Stats'!$A253="","",'Current Char Stats'!$D253)</f>
        <v/>
      </c>
      <c r="F384" s="18" t="str">
        <f ca="1">IF('Current Char Stats'!$A253="","",'Current Char Stats'!$E253)</f>
        <v/>
      </c>
      <c r="G384" s="18" t="str">
        <f ca="1">IF('Current Char Stats'!$A253="","",'Current Char Stats'!$F253)</f>
        <v/>
      </c>
      <c r="H384" s="18" t="str">
        <f ca="1">IF('Current Char Stats'!$A253="","",'Current Char Stats'!$G253)</f>
        <v/>
      </c>
      <c r="I384" s="18" t="str">
        <f ca="1">IF('Current Char Stats'!$A253="","",'Current Char Stats'!$H253)</f>
        <v/>
      </c>
      <c r="J384" s="18" t="str">
        <f ca="1">IF('Current Char Stats'!$A253="","",'Current Char Stats'!$I253)</f>
        <v/>
      </c>
      <c r="K384" s="18" t="str">
        <f ca="1">IF('Current Char Stats'!$A253="","",'Current Char Stats'!$J253)</f>
        <v/>
      </c>
      <c r="L384" s="18" t="str">
        <f ca="1">IF('Current Char Stats'!$A253="","",'Current Char Stats'!$K253)</f>
        <v/>
      </c>
      <c r="M384" s="18" t="str">
        <f ca="1">IF('Current Char Stats'!$A253="","",'Current Char Stats'!$L253)</f>
        <v/>
      </c>
      <c r="N384" s="18" t="str">
        <f ca="1">IF('Current Char Stats'!$A253="","",'Current Char Stats'!$M253)</f>
        <v/>
      </c>
      <c r="O384" s="18" t="str">
        <f ca="1">IF('Current Char Stats'!$A253="","",'Current Char Stats'!$N253)</f>
        <v/>
      </c>
      <c r="P384" s="18" t="str">
        <f ca="1">IF('Current Char Stats'!$A253="","",'Current Char Stats'!$O253)</f>
        <v/>
      </c>
      <c r="Q384" s="18" t="str">
        <f ca="1">IF('Current Char Stats'!$A253="","",'Current Char Stats'!$P253)</f>
        <v/>
      </c>
      <c r="R384" s="18" t="str">
        <f ca="1">IF('Current Char Stats'!$A253="","",'Current Char Stats'!$Q253)</f>
        <v/>
      </c>
      <c r="S384" s="18" t="str">
        <f ca="1">IF('Current Char Stats'!$A253="","",'Current Char Stats'!$R253)</f>
        <v/>
      </c>
      <c r="T384" s="18" t="str">
        <f ca="1">IF('Current Char Stats'!$A253="","",'Current Char Stats'!$S253)</f>
        <v/>
      </c>
      <c r="U384" s="18" t="str">
        <f ca="1">IF('Current Char Stats'!$A253="","",'Current Char Stats'!$T253)</f>
        <v/>
      </c>
      <c r="V384" s="18" t="str">
        <f ca="1">IF('Current Char Stats'!$A253="","",'Current Char Stats'!$U253)</f>
        <v/>
      </c>
      <c r="W384" s="18" t="str">
        <f ca="1">IF('Current Char Stats'!$A253="","",'Current Char Stats'!$V253)</f>
        <v/>
      </c>
      <c r="X384" s="18" t="str">
        <f ca="1">IF('Current Char Stats'!$A253="","",'Current Char Stats'!$W253)</f>
        <v/>
      </c>
      <c r="Y384" s="18" t="str">
        <f ca="1">IF('Current Char Stats'!$A253="","",'Current Char Stats'!$X253)</f>
        <v/>
      </c>
      <c r="Z384" s="18" t="str">
        <f ca="1">IF('Current Char Stats'!$A253="","",'Current Char Stats'!$Y253)</f>
        <v/>
      </c>
      <c r="AA384" s="18" t="str">
        <f ca="1">IF('Current Char Stats'!$A253="","",'Current Char Stats'!$Z253)</f>
        <v/>
      </c>
      <c r="AB384" s="18" t="str">
        <f ca="1">IF('Current Char Stats'!$A253="","",'Current Char Stats'!$AA253)</f>
        <v/>
      </c>
      <c r="AC384" s="18" t="str">
        <f ca="1">IF('Current Char Stats'!$A253="","",'Current Char Stats'!$AB253)</f>
        <v/>
      </c>
      <c r="AD384" s="18" t="str">
        <f ca="1">IF('Current Char Stats'!$A253="","",'Current Char Stats'!$AC253)</f>
        <v/>
      </c>
      <c r="AE384" s="18" t="str">
        <f ca="1">IF('Current Char Stats'!$A253="","",'Current Char Stats'!$AD253)</f>
        <v/>
      </c>
      <c r="AF384" s="18" t="str">
        <f ca="1">IF('Current Char Stats'!$A253="","",'Current Char Stats'!$AE253)</f>
        <v/>
      </c>
    </row>
    <row r="385" spans="1:32">
      <c r="A385" s="18" t="str">
        <f ca="1">IF('Current Char Stats'!$A254="","",Settings!$B$2)</f>
        <v/>
      </c>
      <c r="B385" s="117" t="str">
        <f ca="1">IF('Current Char Stats'!$A254="","",'Current Char Stats'!$A254)</f>
        <v/>
      </c>
      <c r="C385" s="18" t="str">
        <f ca="1">IF('Current Char Stats'!$A254="","",'Current Char Stats'!$B254)</f>
        <v/>
      </c>
      <c r="D385" s="18" t="str">
        <f ca="1">IF('Current Char Stats'!$A254="","",'Current Char Stats'!$C254)</f>
        <v/>
      </c>
      <c r="E385" s="18" t="str">
        <f ca="1">IF('Current Char Stats'!$A254="","",'Current Char Stats'!$D254)</f>
        <v/>
      </c>
      <c r="F385" s="18" t="str">
        <f ca="1">IF('Current Char Stats'!$A254="","",'Current Char Stats'!$E254)</f>
        <v/>
      </c>
      <c r="G385" s="18" t="str">
        <f ca="1">IF('Current Char Stats'!$A254="","",'Current Char Stats'!$F254)</f>
        <v/>
      </c>
      <c r="H385" s="18" t="str">
        <f ca="1">IF('Current Char Stats'!$A254="","",'Current Char Stats'!$G254)</f>
        <v/>
      </c>
      <c r="I385" s="18" t="str">
        <f ca="1">IF('Current Char Stats'!$A254="","",'Current Char Stats'!$H254)</f>
        <v/>
      </c>
      <c r="J385" s="18" t="str">
        <f ca="1">IF('Current Char Stats'!$A254="","",'Current Char Stats'!$I254)</f>
        <v/>
      </c>
      <c r="K385" s="18" t="str">
        <f ca="1">IF('Current Char Stats'!$A254="","",'Current Char Stats'!$J254)</f>
        <v/>
      </c>
      <c r="L385" s="18" t="str">
        <f ca="1">IF('Current Char Stats'!$A254="","",'Current Char Stats'!$K254)</f>
        <v/>
      </c>
      <c r="M385" s="18" t="str">
        <f ca="1">IF('Current Char Stats'!$A254="","",'Current Char Stats'!$L254)</f>
        <v/>
      </c>
      <c r="N385" s="18" t="str">
        <f ca="1">IF('Current Char Stats'!$A254="","",'Current Char Stats'!$M254)</f>
        <v/>
      </c>
      <c r="O385" s="18" t="str">
        <f ca="1">IF('Current Char Stats'!$A254="","",'Current Char Stats'!$N254)</f>
        <v/>
      </c>
      <c r="P385" s="18" t="str">
        <f ca="1">IF('Current Char Stats'!$A254="","",'Current Char Stats'!$O254)</f>
        <v/>
      </c>
      <c r="Q385" s="18" t="str">
        <f ca="1">IF('Current Char Stats'!$A254="","",'Current Char Stats'!$P254)</f>
        <v/>
      </c>
      <c r="R385" s="18" t="str">
        <f ca="1">IF('Current Char Stats'!$A254="","",'Current Char Stats'!$Q254)</f>
        <v/>
      </c>
      <c r="S385" s="18" t="str">
        <f ca="1">IF('Current Char Stats'!$A254="","",'Current Char Stats'!$R254)</f>
        <v/>
      </c>
      <c r="T385" s="18" t="str">
        <f ca="1">IF('Current Char Stats'!$A254="","",'Current Char Stats'!$S254)</f>
        <v/>
      </c>
      <c r="U385" s="18" t="str">
        <f ca="1">IF('Current Char Stats'!$A254="","",'Current Char Stats'!$T254)</f>
        <v/>
      </c>
      <c r="V385" s="18" t="str">
        <f ca="1">IF('Current Char Stats'!$A254="","",'Current Char Stats'!$U254)</f>
        <v/>
      </c>
      <c r="W385" s="18" t="str">
        <f ca="1">IF('Current Char Stats'!$A254="","",'Current Char Stats'!$V254)</f>
        <v/>
      </c>
      <c r="X385" s="18" t="str">
        <f ca="1">IF('Current Char Stats'!$A254="","",'Current Char Stats'!$W254)</f>
        <v/>
      </c>
      <c r="Y385" s="18" t="str">
        <f ca="1">IF('Current Char Stats'!$A254="","",'Current Char Stats'!$X254)</f>
        <v/>
      </c>
      <c r="Z385" s="18" t="str">
        <f ca="1">IF('Current Char Stats'!$A254="","",'Current Char Stats'!$Y254)</f>
        <v/>
      </c>
      <c r="AA385" s="18" t="str">
        <f ca="1">IF('Current Char Stats'!$A254="","",'Current Char Stats'!$Z254)</f>
        <v/>
      </c>
      <c r="AB385" s="18" t="str">
        <f ca="1">IF('Current Char Stats'!$A254="","",'Current Char Stats'!$AA254)</f>
        <v/>
      </c>
      <c r="AC385" s="18" t="str">
        <f ca="1">IF('Current Char Stats'!$A254="","",'Current Char Stats'!$AB254)</f>
        <v/>
      </c>
      <c r="AD385" s="18" t="str">
        <f ca="1">IF('Current Char Stats'!$A254="","",'Current Char Stats'!$AC254)</f>
        <v/>
      </c>
      <c r="AE385" s="18" t="str">
        <f ca="1">IF('Current Char Stats'!$A254="","",'Current Char Stats'!$AD254)</f>
        <v/>
      </c>
      <c r="AF385" s="18" t="str">
        <f ca="1">IF('Current Char Stats'!$A254="","",'Current Char Stats'!$AE254)</f>
        <v/>
      </c>
    </row>
    <row r="386" spans="1:32">
      <c r="A386" s="18" t="str">
        <f ca="1">IF('Current Char Stats'!$A255="","",Settings!$B$2)</f>
        <v/>
      </c>
      <c r="B386" s="117" t="str">
        <f ca="1">IF('Current Char Stats'!$A255="","",'Current Char Stats'!$A255)</f>
        <v/>
      </c>
      <c r="C386" s="18" t="str">
        <f ca="1">IF('Current Char Stats'!$A255="","",'Current Char Stats'!$B255)</f>
        <v/>
      </c>
      <c r="D386" s="18" t="str">
        <f ca="1">IF('Current Char Stats'!$A255="","",'Current Char Stats'!$C255)</f>
        <v/>
      </c>
      <c r="E386" s="18" t="str">
        <f ca="1">IF('Current Char Stats'!$A255="","",'Current Char Stats'!$D255)</f>
        <v/>
      </c>
      <c r="F386" s="18" t="str">
        <f ca="1">IF('Current Char Stats'!$A255="","",'Current Char Stats'!$E255)</f>
        <v/>
      </c>
      <c r="G386" s="18" t="str">
        <f ca="1">IF('Current Char Stats'!$A255="","",'Current Char Stats'!$F255)</f>
        <v/>
      </c>
      <c r="H386" s="18" t="str">
        <f ca="1">IF('Current Char Stats'!$A255="","",'Current Char Stats'!$G255)</f>
        <v/>
      </c>
      <c r="I386" s="18" t="str">
        <f ca="1">IF('Current Char Stats'!$A255="","",'Current Char Stats'!$H255)</f>
        <v/>
      </c>
      <c r="J386" s="18" t="str">
        <f ca="1">IF('Current Char Stats'!$A255="","",'Current Char Stats'!$I255)</f>
        <v/>
      </c>
      <c r="K386" s="18" t="str">
        <f ca="1">IF('Current Char Stats'!$A255="","",'Current Char Stats'!$J255)</f>
        <v/>
      </c>
      <c r="L386" s="18" t="str">
        <f ca="1">IF('Current Char Stats'!$A255="","",'Current Char Stats'!$K255)</f>
        <v/>
      </c>
      <c r="M386" s="18" t="str">
        <f ca="1">IF('Current Char Stats'!$A255="","",'Current Char Stats'!$L255)</f>
        <v/>
      </c>
      <c r="N386" s="18" t="str">
        <f ca="1">IF('Current Char Stats'!$A255="","",'Current Char Stats'!$M255)</f>
        <v/>
      </c>
      <c r="O386" s="18" t="str">
        <f ca="1">IF('Current Char Stats'!$A255="","",'Current Char Stats'!$N255)</f>
        <v/>
      </c>
      <c r="P386" s="18" t="str">
        <f ca="1">IF('Current Char Stats'!$A255="","",'Current Char Stats'!$O255)</f>
        <v/>
      </c>
      <c r="Q386" s="18" t="str">
        <f ca="1">IF('Current Char Stats'!$A255="","",'Current Char Stats'!$P255)</f>
        <v/>
      </c>
      <c r="R386" s="18" t="str">
        <f ca="1">IF('Current Char Stats'!$A255="","",'Current Char Stats'!$Q255)</f>
        <v/>
      </c>
      <c r="S386" s="18" t="str">
        <f ca="1">IF('Current Char Stats'!$A255="","",'Current Char Stats'!$R255)</f>
        <v/>
      </c>
      <c r="T386" s="18" t="str">
        <f ca="1">IF('Current Char Stats'!$A255="","",'Current Char Stats'!$S255)</f>
        <v/>
      </c>
      <c r="U386" s="18" t="str">
        <f ca="1">IF('Current Char Stats'!$A255="","",'Current Char Stats'!$T255)</f>
        <v/>
      </c>
      <c r="V386" s="18" t="str">
        <f ca="1">IF('Current Char Stats'!$A255="","",'Current Char Stats'!$U255)</f>
        <v/>
      </c>
      <c r="W386" s="18" t="str">
        <f ca="1">IF('Current Char Stats'!$A255="","",'Current Char Stats'!$V255)</f>
        <v/>
      </c>
      <c r="X386" s="18" t="str">
        <f ca="1">IF('Current Char Stats'!$A255="","",'Current Char Stats'!$W255)</f>
        <v/>
      </c>
      <c r="Y386" s="18" t="str">
        <f ca="1">IF('Current Char Stats'!$A255="","",'Current Char Stats'!$X255)</f>
        <v/>
      </c>
      <c r="Z386" s="18" t="str">
        <f ca="1">IF('Current Char Stats'!$A255="","",'Current Char Stats'!$Y255)</f>
        <v/>
      </c>
      <c r="AA386" s="18" t="str">
        <f ca="1">IF('Current Char Stats'!$A255="","",'Current Char Stats'!$Z255)</f>
        <v/>
      </c>
      <c r="AB386" s="18" t="str">
        <f ca="1">IF('Current Char Stats'!$A255="","",'Current Char Stats'!$AA255)</f>
        <v/>
      </c>
      <c r="AC386" s="18" t="str">
        <f ca="1">IF('Current Char Stats'!$A255="","",'Current Char Stats'!$AB255)</f>
        <v/>
      </c>
      <c r="AD386" s="18" t="str">
        <f ca="1">IF('Current Char Stats'!$A255="","",'Current Char Stats'!$AC255)</f>
        <v/>
      </c>
      <c r="AE386" s="18" t="str">
        <f ca="1">IF('Current Char Stats'!$A255="","",'Current Char Stats'!$AD255)</f>
        <v/>
      </c>
      <c r="AF386" s="18" t="str">
        <f ca="1">IF('Current Char Stats'!$A255="","",'Current Char Stats'!$AE255)</f>
        <v/>
      </c>
    </row>
    <row r="387" spans="1:32">
      <c r="A387" s="18" t="str">
        <f ca="1">IF('Current Char Stats'!$A256="","",Settings!$B$2)</f>
        <v/>
      </c>
      <c r="B387" s="117" t="str">
        <f ca="1">IF('Current Char Stats'!$A256="","",'Current Char Stats'!$A256)</f>
        <v/>
      </c>
      <c r="C387" s="18" t="str">
        <f ca="1">IF('Current Char Stats'!$A256="","",'Current Char Stats'!$B256)</f>
        <v/>
      </c>
      <c r="D387" s="18" t="str">
        <f ca="1">IF('Current Char Stats'!$A256="","",'Current Char Stats'!$C256)</f>
        <v/>
      </c>
      <c r="E387" s="18" t="str">
        <f ca="1">IF('Current Char Stats'!$A256="","",'Current Char Stats'!$D256)</f>
        <v/>
      </c>
      <c r="F387" s="18" t="str">
        <f ca="1">IF('Current Char Stats'!$A256="","",'Current Char Stats'!$E256)</f>
        <v/>
      </c>
      <c r="G387" s="18" t="str">
        <f ca="1">IF('Current Char Stats'!$A256="","",'Current Char Stats'!$F256)</f>
        <v/>
      </c>
      <c r="H387" s="18" t="str">
        <f ca="1">IF('Current Char Stats'!$A256="","",'Current Char Stats'!$G256)</f>
        <v/>
      </c>
      <c r="I387" s="18" t="str">
        <f ca="1">IF('Current Char Stats'!$A256="","",'Current Char Stats'!$H256)</f>
        <v/>
      </c>
      <c r="J387" s="18" t="str">
        <f ca="1">IF('Current Char Stats'!$A256="","",'Current Char Stats'!$I256)</f>
        <v/>
      </c>
      <c r="K387" s="18" t="str">
        <f ca="1">IF('Current Char Stats'!$A256="","",'Current Char Stats'!$J256)</f>
        <v/>
      </c>
      <c r="L387" s="18" t="str">
        <f ca="1">IF('Current Char Stats'!$A256="","",'Current Char Stats'!$K256)</f>
        <v/>
      </c>
      <c r="M387" s="18" t="str">
        <f ca="1">IF('Current Char Stats'!$A256="","",'Current Char Stats'!$L256)</f>
        <v/>
      </c>
      <c r="N387" s="18" t="str">
        <f ca="1">IF('Current Char Stats'!$A256="","",'Current Char Stats'!$M256)</f>
        <v/>
      </c>
      <c r="O387" s="18" t="str">
        <f ca="1">IF('Current Char Stats'!$A256="","",'Current Char Stats'!$N256)</f>
        <v/>
      </c>
      <c r="P387" s="18" t="str">
        <f ca="1">IF('Current Char Stats'!$A256="","",'Current Char Stats'!$O256)</f>
        <v/>
      </c>
      <c r="Q387" s="18" t="str">
        <f ca="1">IF('Current Char Stats'!$A256="","",'Current Char Stats'!$P256)</f>
        <v/>
      </c>
      <c r="R387" s="18" t="str">
        <f ca="1">IF('Current Char Stats'!$A256="","",'Current Char Stats'!$Q256)</f>
        <v/>
      </c>
      <c r="S387" s="18" t="str">
        <f ca="1">IF('Current Char Stats'!$A256="","",'Current Char Stats'!$R256)</f>
        <v/>
      </c>
      <c r="T387" s="18" t="str">
        <f ca="1">IF('Current Char Stats'!$A256="","",'Current Char Stats'!$S256)</f>
        <v/>
      </c>
      <c r="U387" s="18" t="str">
        <f ca="1">IF('Current Char Stats'!$A256="","",'Current Char Stats'!$T256)</f>
        <v/>
      </c>
      <c r="V387" s="18" t="str">
        <f ca="1">IF('Current Char Stats'!$A256="","",'Current Char Stats'!$U256)</f>
        <v/>
      </c>
      <c r="W387" s="18" t="str">
        <f ca="1">IF('Current Char Stats'!$A256="","",'Current Char Stats'!$V256)</f>
        <v/>
      </c>
      <c r="X387" s="18" t="str">
        <f ca="1">IF('Current Char Stats'!$A256="","",'Current Char Stats'!$W256)</f>
        <v/>
      </c>
      <c r="Y387" s="18" t="str">
        <f ca="1">IF('Current Char Stats'!$A256="","",'Current Char Stats'!$X256)</f>
        <v/>
      </c>
      <c r="Z387" s="18" t="str">
        <f ca="1">IF('Current Char Stats'!$A256="","",'Current Char Stats'!$Y256)</f>
        <v/>
      </c>
      <c r="AA387" s="18" t="str">
        <f ca="1">IF('Current Char Stats'!$A256="","",'Current Char Stats'!$Z256)</f>
        <v/>
      </c>
      <c r="AB387" s="18" t="str">
        <f ca="1">IF('Current Char Stats'!$A256="","",'Current Char Stats'!$AA256)</f>
        <v/>
      </c>
      <c r="AC387" s="18" t="str">
        <f ca="1">IF('Current Char Stats'!$A256="","",'Current Char Stats'!$AB256)</f>
        <v/>
      </c>
      <c r="AD387" s="18" t="str">
        <f ca="1">IF('Current Char Stats'!$A256="","",'Current Char Stats'!$AC256)</f>
        <v/>
      </c>
      <c r="AE387" s="18" t="str">
        <f ca="1">IF('Current Char Stats'!$A256="","",'Current Char Stats'!$AD256)</f>
        <v/>
      </c>
      <c r="AF387" s="18" t="str">
        <f ca="1">IF('Current Char Stats'!$A256="","",'Current Char Stats'!$AE256)</f>
        <v/>
      </c>
    </row>
    <row r="388" spans="1:32">
      <c r="A388" s="18" t="str">
        <f ca="1">IF('Current Char Stats'!$A257="","",Settings!$B$2)</f>
        <v/>
      </c>
      <c r="B388" s="117" t="str">
        <f ca="1">IF('Current Char Stats'!$A257="","",'Current Char Stats'!$A257)</f>
        <v/>
      </c>
      <c r="C388" s="18" t="str">
        <f ca="1">IF('Current Char Stats'!$A257="","",'Current Char Stats'!$B257)</f>
        <v/>
      </c>
      <c r="D388" s="18" t="str">
        <f ca="1">IF('Current Char Stats'!$A257="","",'Current Char Stats'!$C257)</f>
        <v/>
      </c>
      <c r="E388" s="18" t="str">
        <f ca="1">IF('Current Char Stats'!$A257="","",'Current Char Stats'!$D257)</f>
        <v/>
      </c>
      <c r="F388" s="18" t="str">
        <f ca="1">IF('Current Char Stats'!$A257="","",'Current Char Stats'!$E257)</f>
        <v/>
      </c>
      <c r="G388" s="18" t="str">
        <f ca="1">IF('Current Char Stats'!$A257="","",'Current Char Stats'!$F257)</f>
        <v/>
      </c>
      <c r="H388" s="18" t="str">
        <f ca="1">IF('Current Char Stats'!$A257="","",'Current Char Stats'!$G257)</f>
        <v/>
      </c>
      <c r="I388" s="18" t="str">
        <f ca="1">IF('Current Char Stats'!$A257="","",'Current Char Stats'!$H257)</f>
        <v/>
      </c>
      <c r="J388" s="18" t="str">
        <f ca="1">IF('Current Char Stats'!$A257="","",'Current Char Stats'!$I257)</f>
        <v/>
      </c>
      <c r="K388" s="18" t="str">
        <f ca="1">IF('Current Char Stats'!$A257="","",'Current Char Stats'!$J257)</f>
        <v/>
      </c>
      <c r="L388" s="18" t="str">
        <f ca="1">IF('Current Char Stats'!$A257="","",'Current Char Stats'!$K257)</f>
        <v/>
      </c>
      <c r="M388" s="18" t="str">
        <f ca="1">IF('Current Char Stats'!$A257="","",'Current Char Stats'!$L257)</f>
        <v/>
      </c>
      <c r="N388" s="18" t="str">
        <f ca="1">IF('Current Char Stats'!$A257="","",'Current Char Stats'!$M257)</f>
        <v/>
      </c>
      <c r="O388" s="18" t="str">
        <f ca="1">IF('Current Char Stats'!$A257="","",'Current Char Stats'!$N257)</f>
        <v/>
      </c>
      <c r="P388" s="18" t="str">
        <f ca="1">IF('Current Char Stats'!$A257="","",'Current Char Stats'!$O257)</f>
        <v/>
      </c>
      <c r="Q388" s="18" t="str">
        <f ca="1">IF('Current Char Stats'!$A257="","",'Current Char Stats'!$P257)</f>
        <v/>
      </c>
      <c r="R388" s="18" t="str">
        <f ca="1">IF('Current Char Stats'!$A257="","",'Current Char Stats'!$Q257)</f>
        <v/>
      </c>
      <c r="S388" s="18" t="str">
        <f ca="1">IF('Current Char Stats'!$A257="","",'Current Char Stats'!$R257)</f>
        <v/>
      </c>
      <c r="T388" s="18" t="str">
        <f ca="1">IF('Current Char Stats'!$A257="","",'Current Char Stats'!$S257)</f>
        <v/>
      </c>
      <c r="U388" s="18" t="str">
        <f ca="1">IF('Current Char Stats'!$A257="","",'Current Char Stats'!$T257)</f>
        <v/>
      </c>
      <c r="V388" s="18" t="str">
        <f ca="1">IF('Current Char Stats'!$A257="","",'Current Char Stats'!$U257)</f>
        <v/>
      </c>
      <c r="W388" s="18" t="str">
        <f ca="1">IF('Current Char Stats'!$A257="","",'Current Char Stats'!$V257)</f>
        <v/>
      </c>
      <c r="X388" s="18" t="str">
        <f ca="1">IF('Current Char Stats'!$A257="","",'Current Char Stats'!$W257)</f>
        <v/>
      </c>
      <c r="Y388" s="18" t="str">
        <f ca="1">IF('Current Char Stats'!$A257="","",'Current Char Stats'!$X257)</f>
        <v/>
      </c>
      <c r="Z388" s="18" t="str">
        <f ca="1">IF('Current Char Stats'!$A257="","",'Current Char Stats'!$Y257)</f>
        <v/>
      </c>
      <c r="AA388" s="18" t="str">
        <f ca="1">IF('Current Char Stats'!$A257="","",'Current Char Stats'!$Z257)</f>
        <v/>
      </c>
      <c r="AB388" s="18" t="str">
        <f ca="1">IF('Current Char Stats'!$A257="","",'Current Char Stats'!$AA257)</f>
        <v/>
      </c>
      <c r="AC388" s="18" t="str">
        <f ca="1">IF('Current Char Stats'!$A257="","",'Current Char Stats'!$AB257)</f>
        <v/>
      </c>
      <c r="AD388" s="18" t="str">
        <f ca="1">IF('Current Char Stats'!$A257="","",'Current Char Stats'!$AC257)</f>
        <v/>
      </c>
      <c r="AE388" s="18" t="str">
        <f ca="1">IF('Current Char Stats'!$A257="","",'Current Char Stats'!$AD257)</f>
        <v/>
      </c>
      <c r="AF388" s="18" t="str">
        <f ca="1">IF('Current Char Stats'!$A257="","",'Current Char Stats'!$AE257)</f>
        <v/>
      </c>
    </row>
    <row r="389" spans="1:32">
      <c r="A389" s="18" t="str">
        <f ca="1">IF('Current Char Stats'!$A258="","",Settings!$B$2)</f>
        <v/>
      </c>
      <c r="B389" s="117" t="str">
        <f ca="1">IF('Current Char Stats'!$A258="","",'Current Char Stats'!$A258)</f>
        <v/>
      </c>
      <c r="C389" s="18" t="str">
        <f ca="1">IF('Current Char Stats'!$A258="","",'Current Char Stats'!$B258)</f>
        <v/>
      </c>
      <c r="D389" s="18" t="str">
        <f ca="1">IF('Current Char Stats'!$A258="","",'Current Char Stats'!$C258)</f>
        <v/>
      </c>
      <c r="E389" s="18" t="str">
        <f ca="1">IF('Current Char Stats'!$A258="","",'Current Char Stats'!$D258)</f>
        <v/>
      </c>
      <c r="F389" s="18" t="str">
        <f ca="1">IF('Current Char Stats'!$A258="","",'Current Char Stats'!$E258)</f>
        <v/>
      </c>
      <c r="G389" s="18" t="str">
        <f ca="1">IF('Current Char Stats'!$A258="","",'Current Char Stats'!$F258)</f>
        <v/>
      </c>
      <c r="H389" s="18" t="str">
        <f ca="1">IF('Current Char Stats'!$A258="","",'Current Char Stats'!$G258)</f>
        <v/>
      </c>
      <c r="I389" s="18" t="str">
        <f ca="1">IF('Current Char Stats'!$A258="","",'Current Char Stats'!$H258)</f>
        <v/>
      </c>
      <c r="J389" s="18" t="str">
        <f ca="1">IF('Current Char Stats'!$A258="","",'Current Char Stats'!$I258)</f>
        <v/>
      </c>
      <c r="K389" s="18" t="str">
        <f ca="1">IF('Current Char Stats'!$A258="","",'Current Char Stats'!$J258)</f>
        <v/>
      </c>
      <c r="L389" s="18" t="str">
        <f ca="1">IF('Current Char Stats'!$A258="","",'Current Char Stats'!$K258)</f>
        <v/>
      </c>
      <c r="M389" s="18" t="str">
        <f ca="1">IF('Current Char Stats'!$A258="","",'Current Char Stats'!$L258)</f>
        <v/>
      </c>
      <c r="N389" s="18" t="str">
        <f ca="1">IF('Current Char Stats'!$A258="","",'Current Char Stats'!$M258)</f>
        <v/>
      </c>
      <c r="O389" s="18" t="str">
        <f ca="1">IF('Current Char Stats'!$A258="","",'Current Char Stats'!$N258)</f>
        <v/>
      </c>
      <c r="P389" s="18" t="str">
        <f ca="1">IF('Current Char Stats'!$A258="","",'Current Char Stats'!$O258)</f>
        <v/>
      </c>
      <c r="Q389" s="18" t="str">
        <f ca="1">IF('Current Char Stats'!$A258="","",'Current Char Stats'!$P258)</f>
        <v/>
      </c>
      <c r="R389" s="18" t="str">
        <f ca="1">IF('Current Char Stats'!$A258="","",'Current Char Stats'!$Q258)</f>
        <v/>
      </c>
      <c r="S389" s="18" t="str">
        <f ca="1">IF('Current Char Stats'!$A258="","",'Current Char Stats'!$R258)</f>
        <v/>
      </c>
      <c r="T389" s="18" t="str">
        <f ca="1">IF('Current Char Stats'!$A258="","",'Current Char Stats'!$S258)</f>
        <v/>
      </c>
      <c r="U389" s="18" t="str">
        <f ca="1">IF('Current Char Stats'!$A258="","",'Current Char Stats'!$T258)</f>
        <v/>
      </c>
      <c r="V389" s="18" t="str">
        <f ca="1">IF('Current Char Stats'!$A258="","",'Current Char Stats'!$U258)</f>
        <v/>
      </c>
      <c r="W389" s="18" t="str">
        <f ca="1">IF('Current Char Stats'!$A258="","",'Current Char Stats'!$V258)</f>
        <v/>
      </c>
      <c r="X389" s="18" t="str">
        <f ca="1">IF('Current Char Stats'!$A258="","",'Current Char Stats'!$W258)</f>
        <v/>
      </c>
      <c r="Y389" s="18" t="str">
        <f ca="1">IF('Current Char Stats'!$A258="","",'Current Char Stats'!$X258)</f>
        <v/>
      </c>
      <c r="Z389" s="18" t="str">
        <f ca="1">IF('Current Char Stats'!$A258="","",'Current Char Stats'!$Y258)</f>
        <v/>
      </c>
      <c r="AA389" s="18" t="str">
        <f ca="1">IF('Current Char Stats'!$A258="","",'Current Char Stats'!$Z258)</f>
        <v/>
      </c>
      <c r="AB389" s="18" t="str">
        <f ca="1">IF('Current Char Stats'!$A258="","",'Current Char Stats'!$AA258)</f>
        <v/>
      </c>
      <c r="AC389" s="18" t="str">
        <f ca="1">IF('Current Char Stats'!$A258="","",'Current Char Stats'!$AB258)</f>
        <v/>
      </c>
      <c r="AD389" s="18" t="str">
        <f ca="1">IF('Current Char Stats'!$A258="","",'Current Char Stats'!$AC258)</f>
        <v/>
      </c>
      <c r="AE389" s="18" t="str">
        <f ca="1">IF('Current Char Stats'!$A258="","",'Current Char Stats'!$AD258)</f>
        <v/>
      </c>
      <c r="AF389" s="18" t="str">
        <f ca="1">IF('Current Char Stats'!$A258="","",'Current Char Stats'!$AE258)</f>
        <v/>
      </c>
    </row>
    <row r="390" spans="1:32">
      <c r="A390" s="18" t="str">
        <f ca="1">IF('Current Char Stats'!$A259="","",Settings!$B$2)</f>
        <v/>
      </c>
      <c r="B390" s="117" t="str">
        <f ca="1">IF('Current Char Stats'!$A259="","",'Current Char Stats'!$A259)</f>
        <v/>
      </c>
      <c r="C390" s="18" t="str">
        <f ca="1">IF('Current Char Stats'!$A259="","",'Current Char Stats'!$B259)</f>
        <v/>
      </c>
      <c r="D390" s="18" t="str">
        <f ca="1">IF('Current Char Stats'!$A259="","",'Current Char Stats'!$C259)</f>
        <v/>
      </c>
      <c r="E390" s="18" t="str">
        <f ca="1">IF('Current Char Stats'!$A259="","",'Current Char Stats'!$D259)</f>
        <v/>
      </c>
      <c r="F390" s="18" t="str">
        <f ca="1">IF('Current Char Stats'!$A259="","",'Current Char Stats'!$E259)</f>
        <v/>
      </c>
      <c r="G390" s="18" t="str">
        <f ca="1">IF('Current Char Stats'!$A259="","",'Current Char Stats'!$F259)</f>
        <v/>
      </c>
      <c r="H390" s="18" t="str">
        <f ca="1">IF('Current Char Stats'!$A259="","",'Current Char Stats'!$G259)</f>
        <v/>
      </c>
      <c r="I390" s="18" t="str">
        <f ca="1">IF('Current Char Stats'!$A259="","",'Current Char Stats'!$H259)</f>
        <v/>
      </c>
      <c r="J390" s="18" t="str">
        <f ca="1">IF('Current Char Stats'!$A259="","",'Current Char Stats'!$I259)</f>
        <v/>
      </c>
      <c r="K390" s="18" t="str">
        <f ca="1">IF('Current Char Stats'!$A259="","",'Current Char Stats'!$J259)</f>
        <v/>
      </c>
      <c r="L390" s="18" t="str">
        <f ca="1">IF('Current Char Stats'!$A259="","",'Current Char Stats'!$K259)</f>
        <v/>
      </c>
      <c r="M390" s="18" t="str">
        <f ca="1">IF('Current Char Stats'!$A259="","",'Current Char Stats'!$L259)</f>
        <v/>
      </c>
      <c r="N390" s="18" t="str">
        <f ca="1">IF('Current Char Stats'!$A259="","",'Current Char Stats'!$M259)</f>
        <v/>
      </c>
      <c r="O390" s="18" t="str">
        <f ca="1">IF('Current Char Stats'!$A259="","",'Current Char Stats'!$N259)</f>
        <v/>
      </c>
      <c r="P390" s="18" t="str">
        <f ca="1">IF('Current Char Stats'!$A259="","",'Current Char Stats'!$O259)</f>
        <v/>
      </c>
      <c r="Q390" s="18" t="str">
        <f ca="1">IF('Current Char Stats'!$A259="","",'Current Char Stats'!$P259)</f>
        <v/>
      </c>
      <c r="R390" s="18" t="str">
        <f ca="1">IF('Current Char Stats'!$A259="","",'Current Char Stats'!$Q259)</f>
        <v/>
      </c>
      <c r="S390" s="18" t="str">
        <f ca="1">IF('Current Char Stats'!$A259="","",'Current Char Stats'!$R259)</f>
        <v/>
      </c>
      <c r="T390" s="18" t="str">
        <f ca="1">IF('Current Char Stats'!$A259="","",'Current Char Stats'!$S259)</f>
        <v/>
      </c>
      <c r="U390" s="18" t="str">
        <f ca="1">IF('Current Char Stats'!$A259="","",'Current Char Stats'!$T259)</f>
        <v/>
      </c>
      <c r="V390" s="18" t="str">
        <f ca="1">IF('Current Char Stats'!$A259="","",'Current Char Stats'!$U259)</f>
        <v/>
      </c>
      <c r="W390" s="18" t="str">
        <f ca="1">IF('Current Char Stats'!$A259="","",'Current Char Stats'!$V259)</f>
        <v/>
      </c>
      <c r="X390" s="18" t="str">
        <f ca="1">IF('Current Char Stats'!$A259="","",'Current Char Stats'!$W259)</f>
        <v/>
      </c>
      <c r="Y390" s="18" t="str">
        <f ca="1">IF('Current Char Stats'!$A259="","",'Current Char Stats'!$X259)</f>
        <v/>
      </c>
      <c r="Z390" s="18" t="str">
        <f ca="1">IF('Current Char Stats'!$A259="","",'Current Char Stats'!$Y259)</f>
        <v/>
      </c>
      <c r="AA390" s="18" t="str">
        <f ca="1">IF('Current Char Stats'!$A259="","",'Current Char Stats'!$Z259)</f>
        <v/>
      </c>
      <c r="AB390" s="18" t="str">
        <f ca="1">IF('Current Char Stats'!$A259="","",'Current Char Stats'!$AA259)</f>
        <v/>
      </c>
      <c r="AC390" s="18" t="str">
        <f ca="1">IF('Current Char Stats'!$A259="","",'Current Char Stats'!$AB259)</f>
        <v/>
      </c>
      <c r="AD390" s="18" t="str">
        <f ca="1">IF('Current Char Stats'!$A259="","",'Current Char Stats'!$AC259)</f>
        <v/>
      </c>
      <c r="AE390" s="18" t="str">
        <f ca="1">IF('Current Char Stats'!$A259="","",'Current Char Stats'!$AD259)</f>
        <v/>
      </c>
      <c r="AF390" s="18" t="str">
        <f ca="1">IF('Current Char Stats'!$A259="","",'Current Char Stats'!$AE259)</f>
        <v/>
      </c>
    </row>
    <row r="391" spans="1:32">
      <c r="A391" s="18" t="str">
        <f ca="1">IF('Current Char Stats'!$A260="","",Settings!$B$2)</f>
        <v/>
      </c>
      <c r="B391" s="117" t="str">
        <f ca="1">IF('Current Char Stats'!$A260="","",'Current Char Stats'!$A260)</f>
        <v/>
      </c>
      <c r="C391" s="18" t="str">
        <f ca="1">IF('Current Char Stats'!$A260="","",'Current Char Stats'!$B260)</f>
        <v/>
      </c>
      <c r="D391" s="18" t="str">
        <f ca="1">IF('Current Char Stats'!$A260="","",'Current Char Stats'!$C260)</f>
        <v/>
      </c>
      <c r="E391" s="18" t="str">
        <f ca="1">IF('Current Char Stats'!$A260="","",'Current Char Stats'!$D260)</f>
        <v/>
      </c>
      <c r="F391" s="18" t="str">
        <f ca="1">IF('Current Char Stats'!$A260="","",'Current Char Stats'!$E260)</f>
        <v/>
      </c>
      <c r="G391" s="18" t="str">
        <f ca="1">IF('Current Char Stats'!$A260="","",'Current Char Stats'!$F260)</f>
        <v/>
      </c>
      <c r="H391" s="18" t="str">
        <f ca="1">IF('Current Char Stats'!$A260="","",'Current Char Stats'!$G260)</f>
        <v/>
      </c>
      <c r="I391" s="18" t="str">
        <f ca="1">IF('Current Char Stats'!$A260="","",'Current Char Stats'!$H260)</f>
        <v/>
      </c>
      <c r="J391" s="18" t="str">
        <f ca="1">IF('Current Char Stats'!$A260="","",'Current Char Stats'!$I260)</f>
        <v/>
      </c>
      <c r="K391" s="18" t="str">
        <f ca="1">IF('Current Char Stats'!$A260="","",'Current Char Stats'!$J260)</f>
        <v/>
      </c>
      <c r="L391" s="18" t="str">
        <f ca="1">IF('Current Char Stats'!$A260="","",'Current Char Stats'!$K260)</f>
        <v/>
      </c>
      <c r="M391" s="18" t="str">
        <f ca="1">IF('Current Char Stats'!$A260="","",'Current Char Stats'!$L260)</f>
        <v/>
      </c>
      <c r="N391" s="18" t="str">
        <f ca="1">IF('Current Char Stats'!$A260="","",'Current Char Stats'!$M260)</f>
        <v/>
      </c>
      <c r="O391" s="18" t="str">
        <f ca="1">IF('Current Char Stats'!$A260="","",'Current Char Stats'!$N260)</f>
        <v/>
      </c>
      <c r="P391" s="18" t="str">
        <f ca="1">IF('Current Char Stats'!$A260="","",'Current Char Stats'!$O260)</f>
        <v/>
      </c>
      <c r="Q391" s="18" t="str">
        <f ca="1">IF('Current Char Stats'!$A260="","",'Current Char Stats'!$P260)</f>
        <v/>
      </c>
      <c r="R391" s="18" t="str">
        <f ca="1">IF('Current Char Stats'!$A260="","",'Current Char Stats'!$Q260)</f>
        <v/>
      </c>
      <c r="S391" s="18" t="str">
        <f ca="1">IF('Current Char Stats'!$A260="","",'Current Char Stats'!$R260)</f>
        <v/>
      </c>
      <c r="T391" s="18" t="str">
        <f ca="1">IF('Current Char Stats'!$A260="","",'Current Char Stats'!$S260)</f>
        <v/>
      </c>
      <c r="U391" s="18" t="str">
        <f ca="1">IF('Current Char Stats'!$A260="","",'Current Char Stats'!$T260)</f>
        <v/>
      </c>
      <c r="V391" s="18" t="str">
        <f ca="1">IF('Current Char Stats'!$A260="","",'Current Char Stats'!$U260)</f>
        <v/>
      </c>
      <c r="W391" s="18" t="str">
        <f ca="1">IF('Current Char Stats'!$A260="","",'Current Char Stats'!$V260)</f>
        <v/>
      </c>
      <c r="X391" s="18" t="str">
        <f ca="1">IF('Current Char Stats'!$A260="","",'Current Char Stats'!$W260)</f>
        <v/>
      </c>
      <c r="Y391" s="18" t="str">
        <f ca="1">IF('Current Char Stats'!$A260="","",'Current Char Stats'!$X260)</f>
        <v/>
      </c>
      <c r="Z391" s="18" t="str">
        <f ca="1">IF('Current Char Stats'!$A260="","",'Current Char Stats'!$Y260)</f>
        <v/>
      </c>
      <c r="AA391" s="18" t="str">
        <f ca="1">IF('Current Char Stats'!$A260="","",'Current Char Stats'!$Z260)</f>
        <v/>
      </c>
      <c r="AB391" s="18" t="str">
        <f ca="1">IF('Current Char Stats'!$A260="","",'Current Char Stats'!$AA260)</f>
        <v/>
      </c>
      <c r="AC391" s="18" t="str">
        <f ca="1">IF('Current Char Stats'!$A260="","",'Current Char Stats'!$AB260)</f>
        <v/>
      </c>
      <c r="AD391" s="18" t="str">
        <f ca="1">IF('Current Char Stats'!$A260="","",'Current Char Stats'!$AC260)</f>
        <v/>
      </c>
      <c r="AE391" s="18" t="str">
        <f ca="1">IF('Current Char Stats'!$A260="","",'Current Char Stats'!$AD260)</f>
        <v/>
      </c>
      <c r="AF391" s="18" t="str">
        <f ca="1">IF('Current Char Stats'!$A260="","",'Current Char Stats'!$AE260)</f>
        <v/>
      </c>
    </row>
    <row r="392" spans="1:32">
      <c r="A392" s="18" t="str">
        <f ca="1">IF('Current Char Stats'!$A261="","",Settings!$B$2)</f>
        <v/>
      </c>
      <c r="B392" s="117" t="str">
        <f ca="1">IF('Current Char Stats'!$A261="","",'Current Char Stats'!$A261)</f>
        <v/>
      </c>
      <c r="C392" s="18" t="str">
        <f ca="1">IF('Current Char Stats'!$A261="","",'Current Char Stats'!$B261)</f>
        <v/>
      </c>
      <c r="D392" s="18" t="str">
        <f ca="1">IF('Current Char Stats'!$A261="","",'Current Char Stats'!$C261)</f>
        <v/>
      </c>
      <c r="E392" s="18" t="str">
        <f ca="1">IF('Current Char Stats'!$A261="","",'Current Char Stats'!$D261)</f>
        <v/>
      </c>
      <c r="F392" s="18" t="str">
        <f ca="1">IF('Current Char Stats'!$A261="","",'Current Char Stats'!$E261)</f>
        <v/>
      </c>
      <c r="G392" s="18" t="str">
        <f ca="1">IF('Current Char Stats'!$A261="","",'Current Char Stats'!$F261)</f>
        <v/>
      </c>
      <c r="H392" s="18" t="str">
        <f ca="1">IF('Current Char Stats'!$A261="","",'Current Char Stats'!$G261)</f>
        <v/>
      </c>
      <c r="I392" s="18" t="str">
        <f ca="1">IF('Current Char Stats'!$A261="","",'Current Char Stats'!$H261)</f>
        <v/>
      </c>
      <c r="J392" s="18" t="str">
        <f ca="1">IF('Current Char Stats'!$A261="","",'Current Char Stats'!$I261)</f>
        <v/>
      </c>
      <c r="K392" s="18" t="str">
        <f ca="1">IF('Current Char Stats'!$A261="","",'Current Char Stats'!$J261)</f>
        <v/>
      </c>
      <c r="L392" s="18" t="str">
        <f ca="1">IF('Current Char Stats'!$A261="","",'Current Char Stats'!$K261)</f>
        <v/>
      </c>
      <c r="M392" s="18" t="str">
        <f ca="1">IF('Current Char Stats'!$A261="","",'Current Char Stats'!$L261)</f>
        <v/>
      </c>
      <c r="N392" s="18" t="str">
        <f ca="1">IF('Current Char Stats'!$A261="","",'Current Char Stats'!$M261)</f>
        <v/>
      </c>
      <c r="O392" s="18" t="str">
        <f ca="1">IF('Current Char Stats'!$A261="","",'Current Char Stats'!$N261)</f>
        <v/>
      </c>
      <c r="P392" s="18" t="str">
        <f ca="1">IF('Current Char Stats'!$A261="","",'Current Char Stats'!$O261)</f>
        <v/>
      </c>
      <c r="Q392" s="18" t="str">
        <f ca="1">IF('Current Char Stats'!$A261="","",'Current Char Stats'!$P261)</f>
        <v/>
      </c>
      <c r="R392" s="18" t="str">
        <f ca="1">IF('Current Char Stats'!$A261="","",'Current Char Stats'!$Q261)</f>
        <v/>
      </c>
      <c r="S392" s="18" t="str">
        <f ca="1">IF('Current Char Stats'!$A261="","",'Current Char Stats'!$R261)</f>
        <v/>
      </c>
      <c r="T392" s="18" t="str">
        <f ca="1">IF('Current Char Stats'!$A261="","",'Current Char Stats'!$S261)</f>
        <v/>
      </c>
      <c r="U392" s="18" t="str">
        <f ca="1">IF('Current Char Stats'!$A261="","",'Current Char Stats'!$T261)</f>
        <v/>
      </c>
      <c r="V392" s="18" t="str">
        <f ca="1">IF('Current Char Stats'!$A261="","",'Current Char Stats'!$U261)</f>
        <v/>
      </c>
      <c r="W392" s="18" t="str">
        <f ca="1">IF('Current Char Stats'!$A261="","",'Current Char Stats'!$V261)</f>
        <v/>
      </c>
      <c r="X392" s="18" t="str">
        <f ca="1">IF('Current Char Stats'!$A261="","",'Current Char Stats'!$W261)</f>
        <v/>
      </c>
      <c r="Y392" s="18" t="str">
        <f ca="1">IF('Current Char Stats'!$A261="","",'Current Char Stats'!$X261)</f>
        <v/>
      </c>
      <c r="Z392" s="18" t="str">
        <f ca="1">IF('Current Char Stats'!$A261="","",'Current Char Stats'!$Y261)</f>
        <v/>
      </c>
      <c r="AA392" s="18" t="str">
        <f ca="1">IF('Current Char Stats'!$A261="","",'Current Char Stats'!$Z261)</f>
        <v/>
      </c>
      <c r="AB392" s="18" t="str">
        <f ca="1">IF('Current Char Stats'!$A261="","",'Current Char Stats'!$AA261)</f>
        <v/>
      </c>
      <c r="AC392" s="18" t="str">
        <f ca="1">IF('Current Char Stats'!$A261="","",'Current Char Stats'!$AB261)</f>
        <v/>
      </c>
      <c r="AD392" s="18" t="str">
        <f ca="1">IF('Current Char Stats'!$A261="","",'Current Char Stats'!$AC261)</f>
        <v/>
      </c>
      <c r="AE392" s="18" t="str">
        <f ca="1">IF('Current Char Stats'!$A261="","",'Current Char Stats'!$AD261)</f>
        <v/>
      </c>
      <c r="AF392" s="18" t="str">
        <f ca="1">IF('Current Char Stats'!$A261="","",'Current Char Stats'!$AE261)</f>
        <v/>
      </c>
    </row>
    <row r="393" spans="1:32">
      <c r="A393" s="18" t="str">
        <f ca="1">IF('Current Char Stats'!$A262="","",Settings!$B$2)</f>
        <v/>
      </c>
      <c r="B393" s="117" t="str">
        <f ca="1">IF('Current Char Stats'!$A262="","",'Current Char Stats'!$A262)</f>
        <v/>
      </c>
      <c r="C393" s="18" t="str">
        <f ca="1">IF('Current Char Stats'!$A262="","",'Current Char Stats'!$B262)</f>
        <v/>
      </c>
      <c r="D393" s="18" t="str">
        <f ca="1">IF('Current Char Stats'!$A262="","",'Current Char Stats'!$C262)</f>
        <v/>
      </c>
      <c r="E393" s="18" t="str">
        <f ca="1">IF('Current Char Stats'!$A262="","",'Current Char Stats'!$D262)</f>
        <v/>
      </c>
      <c r="F393" s="18" t="str">
        <f ca="1">IF('Current Char Stats'!$A262="","",'Current Char Stats'!$E262)</f>
        <v/>
      </c>
      <c r="G393" s="18" t="str">
        <f ca="1">IF('Current Char Stats'!$A262="","",'Current Char Stats'!$F262)</f>
        <v/>
      </c>
      <c r="H393" s="18" t="str">
        <f ca="1">IF('Current Char Stats'!$A262="","",'Current Char Stats'!$G262)</f>
        <v/>
      </c>
      <c r="I393" s="18" t="str">
        <f ca="1">IF('Current Char Stats'!$A262="","",'Current Char Stats'!$H262)</f>
        <v/>
      </c>
      <c r="J393" s="18" t="str">
        <f ca="1">IF('Current Char Stats'!$A262="","",'Current Char Stats'!$I262)</f>
        <v/>
      </c>
      <c r="K393" s="18" t="str">
        <f ca="1">IF('Current Char Stats'!$A262="","",'Current Char Stats'!$J262)</f>
        <v/>
      </c>
      <c r="L393" s="18" t="str">
        <f ca="1">IF('Current Char Stats'!$A262="","",'Current Char Stats'!$K262)</f>
        <v/>
      </c>
      <c r="M393" s="18" t="str">
        <f ca="1">IF('Current Char Stats'!$A262="","",'Current Char Stats'!$L262)</f>
        <v/>
      </c>
      <c r="N393" s="18" t="str">
        <f ca="1">IF('Current Char Stats'!$A262="","",'Current Char Stats'!$M262)</f>
        <v/>
      </c>
      <c r="O393" s="18" t="str">
        <f ca="1">IF('Current Char Stats'!$A262="","",'Current Char Stats'!$N262)</f>
        <v/>
      </c>
      <c r="P393" s="18" t="str">
        <f ca="1">IF('Current Char Stats'!$A262="","",'Current Char Stats'!$O262)</f>
        <v/>
      </c>
      <c r="Q393" s="18" t="str">
        <f ca="1">IF('Current Char Stats'!$A262="","",'Current Char Stats'!$P262)</f>
        <v/>
      </c>
      <c r="R393" s="18" t="str">
        <f ca="1">IF('Current Char Stats'!$A262="","",'Current Char Stats'!$Q262)</f>
        <v/>
      </c>
      <c r="S393" s="18" t="str">
        <f ca="1">IF('Current Char Stats'!$A262="","",'Current Char Stats'!$R262)</f>
        <v/>
      </c>
      <c r="T393" s="18" t="str">
        <f ca="1">IF('Current Char Stats'!$A262="","",'Current Char Stats'!$S262)</f>
        <v/>
      </c>
      <c r="U393" s="18" t="str">
        <f ca="1">IF('Current Char Stats'!$A262="","",'Current Char Stats'!$T262)</f>
        <v/>
      </c>
      <c r="V393" s="18" t="str">
        <f ca="1">IF('Current Char Stats'!$A262="","",'Current Char Stats'!$U262)</f>
        <v/>
      </c>
      <c r="W393" s="18" t="str">
        <f ca="1">IF('Current Char Stats'!$A262="","",'Current Char Stats'!$V262)</f>
        <v/>
      </c>
      <c r="X393" s="18" t="str">
        <f ca="1">IF('Current Char Stats'!$A262="","",'Current Char Stats'!$W262)</f>
        <v/>
      </c>
      <c r="Y393" s="18" t="str">
        <f ca="1">IF('Current Char Stats'!$A262="","",'Current Char Stats'!$X262)</f>
        <v/>
      </c>
      <c r="Z393" s="18" t="str">
        <f ca="1">IF('Current Char Stats'!$A262="","",'Current Char Stats'!$Y262)</f>
        <v/>
      </c>
      <c r="AA393" s="18" t="str">
        <f ca="1">IF('Current Char Stats'!$A262="","",'Current Char Stats'!$Z262)</f>
        <v/>
      </c>
      <c r="AB393" s="18" t="str">
        <f ca="1">IF('Current Char Stats'!$A262="","",'Current Char Stats'!$AA262)</f>
        <v/>
      </c>
      <c r="AC393" s="18" t="str">
        <f ca="1">IF('Current Char Stats'!$A262="","",'Current Char Stats'!$AB262)</f>
        <v/>
      </c>
      <c r="AD393" s="18" t="str">
        <f ca="1">IF('Current Char Stats'!$A262="","",'Current Char Stats'!$AC262)</f>
        <v/>
      </c>
      <c r="AE393" s="18" t="str">
        <f ca="1">IF('Current Char Stats'!$A262="","",'Current Char Stats'!$AD262)</f>
        <v/>
      </c>
      <c r="AF393" s="18" t="str">
        <f ca="1">IF('Current Char Stats'!$A262="","",'Current Char Stats'!$AE262)</f>
        <v/>
      </c>
    </row>
    <row r="394" spans="1:32">
      <c r="A394" s="18" t="str">
        <f ca="1">IF('Current Char Stats'!$A263="","",Settings!$B$2)</f>
        <v/>
      </c>
      <c r="B394" s="117" t="str">
        <f ca="1">IF('Current Char Stats'!$A263="","",'Current Char Stats'!$A263)</f>
        <v/>
      </c>
      <c r="C394" s="18" t="str">
        <f ca="1">IF('Current Char Stats'!$A263="","",'Current Char Stats'!$B263)</f>
        <v/>
      </c>
      <c r="D394" s="18" t="str">
        <f ca="1">IF('Current Char Stats'!$A263="","",'Current Char Stats'!$C263)</f>
        <v/>
      </c>
      <c r="E394" s="18" t="str">
        <f ca="1">IF('Current Char Stats'!$A263="","",'Current Char Stats'!$D263)</f>
        <v/>
      </c>
      <c r="F394" s="18" t="str">
        <f ca="1">IF('Current Char Stats'!$A263="","",'Current Char Stats'!$E263)</f>
        <v/>
      </c>
      <c r="G394" s="18" t="str">
        <f ca="1">IF('Current Char Stats'!$A263="","",'Current Char Stats'!$F263)</f>
        <v/>
      </c>
      <c r="H394" s="18" t="str">
        <f ca="1">IF('Current Char Stats'!$A263="","",'Current Char Stats'!$G263)</f>
        <v/>
      </c>
      <c r="I394" s="18" t="str">
        <f ca="1">IF('Current Char Stats'!$A263="","",'Current Char Stats'!$H263)</f>
        <v/>
      </c>
      <c r="J394" s="18" t="str">
        <f ca="1">IF('Current Char Stats'!$A263="","",'Current Char Stats'!$I263)</f>
        <v/>
      </c>
      <c r="K394" s="18" t="str">
        <f ca="1">IF('Current Char Stats'!$A263="","",'Current Char Stats'!$J263)</f>
        <v/>
      </c>
      <c r="L394" s="18" t="str">
        <f ca="1">IF('Current Char Stats'!$A263="","",'Current Char Stats'!$K263)</f>
        <v/>
      </c>
      <c r="M394" s="18" t="str">
        <f ca="1">IF('Current Char Stats'!$A263="","",'Current Char Stats'!$L263)</f>
        <v/>
      </c>
      <c r="N394" s="18" t="str">
        <f ca="1">IF('Current Char Stats'!$A263="","",'Current Char Stats'!$M263)</f>
        <v/>
      </c>
      <c r="O394" s="18" t="str">
        <f ca="1">IF('Current Char Stats'!$A263="","",'Current Char Stats'!$N263)</f>
        <v/>
      </c>
      <c r="P394" s="18" t="str">
        <f ca="1">IF('Current Char Stats'!$A263="","",'Current Char Stats'!$O263)</f>
        <v/>
      </c>
      <c r="Q394" s="18" t="str">
        <f ca="1">IF('Current Char Stats'!$A263="","",'Current Char Stats'!$P263)</f>
        <v/>
      </c>
      <c r="R394" s="18" t="str">
        <f ca="1">IF('Current Char Stats'!$A263="","",'Current Char Stats'!$Q263)</f>
        <v/>
      </c>
      <c r="S394" s="18" t="str">
        <f ca="1">IF('Current Char Stats'!$A263="","",'Current Char Stats'!$R263)</f>
        <v/>
      </c>
      <c r="T394" s="18" t="str">
        <f ca="1">IF('Current Char Stats'!$A263="","",'Current Char Stats'!$S263)</f>
        <v/>
      </c>
      <c r="U394" s="18" t="str">
        <f ca="1">IF('Current Char Stats'!$A263="","",'Current Char Stats'!$T263)</f>
        <v/>
      </c>
      <c r="V394" s="18" t="str">
        <f ca="1">IF('Current Char Stats'!$A263="","",'Current Char Stats'!$U263)</f>
        <v/>
      </c>
      <c r="W394" s="18" t="str">
        <f ca="1">IF('Current Char Stats'!$A263="","",'Current Char Stats'!$V263)</f>
        <v/>
      </c>
      <c r="X394" s="18" t="str">
        <f ca="1">IF('Current Char Stats'!$A263="","",'Current Char Stats'!$W263)</f>
        <v/>
      </c>
      <c r="Y394" s="18" t="str">
        <f ca="1">IF('Current Char Stats'!$A263="","",'Current Char Stats'!$X263)</f>
        <v/>
      </c>
      <c r="Z394" s="18" t="str">
        <f ca="1">IF('Current Char Stats'!$A263="","",'Current Char Stats'!$Y263)</f>
        <v/>
      </c>
      <c r="AA394" s="18" t="str">
        <f ca="1">IF('Current Char Stats'!$A263="","",'Current Char Stats'!$Z263)</f>
        <v/>
      </c>
      <c r="AB394" s="18" t="str">
        <f ca="1">IF('Current Char Stats'!$A263="","",'Current Char Stats'!$AA263)</f>
        <v/>
      </c>
      <c r="AC394" s="18" t="str">
        <f ca="1">IF('Current Char Stats'!$A263="","",'Current Char Stats'!$AB263)</f>
        <v/>
      </c>
      <c r="AD394" s="18" t="str">
        <f ca="1">IF('Current Char Stats'!$A263="","",'Current Char Stats'!$AC263)</f>
        <v/>
      </c>
      <c r="AE394" s="18" t="str">
        <f ca="1">IF('Current Char Stats'!$A263="","",'Current Char Stats'!$AD263)</f>
        <v/>
      </c>
      <c r="AF394" s="18" t="str">
        <f ca="1">IF('Current Char Stats'!$A263="","",'Current Char Stats'!$AE263)</f>
        <v/>
      </c>
    </row>
    <row r="395" spans="1:32">
      <c r="A395" s="18" t="str">
        <f ca="1">IF('Current Char Stats'!$A264="","",Settings!$B$2)</f>
        <v/>
      </c>
      <c r="B395" s="117" t="str">
        <f ca="1">IF('Current Char Stats'!$A264="","",'Current Char Stats'!$A264)</f>
        <v/>
      </c>
      <c r="C395" s="18" t="str">
        <f ca="1">IF('Current Char Stats'!$A264="","",'Current Char Stats'!$B264)</f>
        <v/>
      </c>
      <c r="D395" s="18" t="str">
        <f ca="1">IF('Current Char Stats'!$A264="","",'Current Char Stats'!$C264)</f>
        <v/>
      </c>
      <c r="E395" s="18" t="str">
        <f ca="1">IF('Current Char Stats'!$A264="","",'Current Char Stats'!$D264)</f>
        <v/>
      </c>
      <c r="F395" s="18" t="str">
        <f ca="1">IF('Current Char Stats'!$A264="","",'Current Char Stats'!$E264)</f>
        <v/>
      </c>
      <c r="G395" s="18" t="str">
        <f ca="1">IF('Current Char Stats'!$A264="","",'Current Char Stats'!$F264)</f>
        <v/>
      </c>
      <c r="H395" s="18" t="str">
        <f ca="1">IF('Current Char Stats'!$A264="","",'Current Char Stats'!$G264)</f>
        <v/>
      </c>
      <c r="I395" s="18" t="str">
        <f ca="1">IF('Current Char Stats'!$A264="","",'Current Char Stats'!$H264)</f>
        <v/>
      </c>
      <c r="J395" s="18" t="str">
        <f ca="1">IF('Current Char Stats'!$A264="","",'Current Char Stats'!$I264)</f>
        <v/>
      </c>
      <c r="K395" s="18" t="str">
        <f ca="1">IF('Current Char Stats'!$A264="","",'Current Char Stats'!$J264)</f>
        <v/>
      </c>
      <c r="L395" s="18" t="str">
        <f ca="1">IF('Current Char Stats'!$A264="","",'Current Char Stats'!$K264)</f>
        <v/>
      </c>
      <c r="M395" s="18" t="str">
        <f ca="1">IF('Current Char Stats'!$A264="","",'Current Char Stats'!$L264)</f>
        <v/>
      </c>
      <c r="N395" s="18" t="str">
        <f ca="1">IF('Current Char Stats'!$A264="","",'Current Char Stats'!$M264)</f>
        <v/>
      </c>
      <c r="O395" s="18" t="str">
        <f ca="1">IF('Current Char Stats'!$A264="","",'Current Char Stats'!$N264)</f>
        <v/>
      </c>
      <c r="P395" s="18" t="str">
        <f ca="1">IF('Current Char Stats'!$A264="","",'Current Char Stats'!$O264)</f>
        <v/>
      </c>
      <c r="Q395" s="18" t="str">
        <f ca="1">IF('Current Char Stats'!$A264="","",'Current Char Stats'!$P264)</f>
        <v/>
      </c>
      <c r="R395" s="18" t="str">
        <f ca="1">IF('Current Char Stats'!$A264="","",'Current Char Stats'!$Q264)</f>
        <v/>
      </c>
      <c r="S395" s="18" t="str">
        <f ca="1">IF('Current Char Stats'!$A264="","",'Current Char Stats'!$R264)</f>
        <v/>
      </c>
      <c r="T395" s="18" t="str">
        <f ca="1">IF('Current Char Stats'!$A264="","",'Current Char Stats'!$S264)</f>
        <v/>
      </c>
      <c r="U395" s="18" t="str">
        <f ca="1">IF('Current Char Stats'!$A264="","",'Current Char Stats'!$T264)</f>
        <v/>
      </c>
      <c r="V395" s="18" t="str">
        <f ca="1">IF('Current Char Stats'!$A264="","",'Current Char Stats'!$U264)</f>
        <v/>
      </c>
      <c r="W395" s="18" t="str">
        <f ca="1">IF('Current Char Stats'!$A264="","",'Current Char Stats'!$V264)</f>
        <v/>
      </c>
      <c r="X395" s="18" t="str">
        <f ca="1">IF('Current Char Stats'!$A264="","",'Current Char Stats'!$W264)</f>
        <v/>
      </c>
      <c r="Y395" s="18" t="str">
        <f ca="1">IF('Current Char Stats'!$A264="","",'Current Char Stats'!$X264)</f>
        <v/>
      </c>
      <c r="Z395" s="18" t="str">
        <f ca="1">IF('Current Char Stats'!$A264="","",'Current Char Stats'!$Y264)</f>
        <v/>
      </c>
      <c r="AA395" s="18" t="str">
        <f ca="1">IF('Current Char Stats'!$A264="","",'Current Char Stats'!$Z264)</f>
        <v/>
      </c>
      <c r="AB395" s="18" t="str">
        <f ca="1">IF('Current Char Stats'!$A264="","",'Current Char Stats'!$AA264)</f>
        <v/>
      </c>
      <c r="AC395" s="18" t="str">
        <f ca="1">IF('Current Char Stats'!$A264="","",'Current Char Stats'!$AB264)</f>
        <v/>
      </c>
      <c r="AD395" s="18" t="str">
        <f ca="1">IF('Current Char Stats'!$A264="","",'Current Char Stats'!$AC264)</f>
        <v/>
      </c>
      <c r="AE395" s="18" t="str">
        <f ca="1">IF('Current Char Stats'!$A264="","",'Current Char Stats'!$AD264)</f>
        <v/>
      </c>
      <c r="AF395" s="18" t="str">
        <f ca="1">IF('Current Char Stats'!$A264="","",'Current Char Stats'!$AE264)</f>
        <v/>
      </c>
    </row>
    <row r="396" spans="1:32">
      <c r="A396" s="18" t="str">
        <f ca="1">IF('Current Char Stats'!$A265="","",Settings!$B$2)</f>
        <v/>
      </c>
      <c r="B396" s="117" t="str">
        <f ca="1">IF('Current Char Stats'!$A265="","",'Current Char Stats'!$A265)</f>
        <v/>
      </c>
      <c r="C396" s="18" t="str">
        <f ca="1">IF('Current Char Stats'!$A265="","",'Current Char Stats'!$B265)</f>
        <v/>
      </c>
      <c r="D396" s="18" t="str">
        <f ca="1">IF('Current Char Stats'!$A265="","",'Current Char Stats'!$C265)</f>
        <v/>
      </c>
      <c r="E396" s="18" t="str">
        <f ca="1">IF('Current Char Stats'!$A265="","",'Current Char Stats'!$D265)</f>
        <v/>
      </c>
      <c r="F396" s="18" t="str">
        <f ca="1">IF('Current Char Stats'!$A265="","",'Current Char Stats'!$E265)</f>
        <v/>
      </c>
      <c r="G396" s="18" t="str">
        <f ca="1">IF('Current Char Stats'!$A265="","",'Current Char Stats'!$F265)</f>
        <v/>
      </c>
      <c r="H396" s="18" t="str">
        <f ca="1">IF('Current Char Stats'!$A265="","",'Current Char Stats'!$G265)</f>
        <v/>
      </c>
      <c r="I396" s="18" t="str">
        <f ca="1">IF('Current Char Stats'!$A265="","",'Current Char Stats'!$H265)</f>
        <v/>
      </c>
      <c r="J396" s="18" t="str">
        <f ca="1">IF('Current Char Stats'!$A265="","",'Current Char Stats'!$I265)</f>
        <v/>
      </c>
      <c r="K396" s="18" t="str">
        <f ca="1">IF('Current Char Stats'!$A265="","",'Current Char Stats'!$J265)</f>
        <v/>
      </c>
      <c r="L396" s="18" t="str">
        <f ca="1">IF('Current Char Stats'!$A265="","",'Current Char Stats'!$K265)</f>
        <v/>
      </c>
      <c r="M396" s="18" t="str">
        <f ca="1">IF('Current Char Stats'!$A265="","",'Current Char Stats'!$L265)</f>
        <v/>
      </c>
      <c r="N396" s="18" t="str">
        <f ca="1">IF('Current Char Stats'!$A265="","",'Current Char Stats'!$M265)</f>
        <v/>
      </c>
      <c r="O396" s="18" t="str">
        <f ca="1">IF('Current Char Stats'!$A265="","",'Current Char Stats'!$N265)</f>
        <v/>
      </c>
      <c r="P396" s="18" t="str">
        <f ca="1">IF('Current Char Stats'!$A265="","",'Current Char Stats'!$O265)</f>
        <v/>
      </c>
      <c r="Q396" s="18" t="str">
        <f ca="1">IF('Current Char Stats'!$A265="","",'Current Char Stats'!$P265)</f>
        <v/>
      </c>
      <c r="R396" s="18" t="str">
        <f ca="1">IF('Current Char Stats'!$A265="","",'Current Char Stats'!$Q265)</f>
        <v/>
      </c>
      <c r="S396" s="18" t="str">
        <f ca="1">IF('Current Char Stats'!$A265="","",'Current Char Stats'!$R265)</f>
        <v/>
      </c>
      <c r="T396" s="18" t="str">
        <f ca="1">IF('Current Char Stats'!$A265="","",'Current Char Stats'!$S265)</f>
        <v/>
      </c>
      <c r="U396" s="18" t="str">
        <f ca="1">IF('Current Char Stats'!$A265="","",'Current Char Stats'!$T265)</f>
        <v/>
      </c>
      <c r="V396" s="18" t="str">
        <f ca="1">IF('Current Char Stats'!$A265="","",'Current Char Stats'!$U265)</f>
        <v/>
      </c>
      <c r="W396" s="18" t="str">
        <f ca="1">IF('Current Char Stats'!$A265="","",'Current Char Stats'!$V265)</f>
        <v/>
      </c>
      <c r="X396" s="18" t="str">
        <f ca="1">IF('Current Char Stats'!$A265="","",'Current Char Stats'!$W265)</f>
        <v/>
      </c>
      <c r="Y396" s="18" t="str">
        <f ca="1">IF('Current Char Stats'!$A265="","",'Current Char Stats'!$X265)</f>
        <v/>
      </c>
      <c r="Z396" s="18" t="str">
        <f ca="1">IF('Current Char Stats'!$A265="","",'Current Char Stats'!$Y265)</f>
        <v/>
      </c>
      <c r="AA396" s="18" t="str">
        <f ca="1">IF('Current Char Stats'!$A265="","",'Current Char Stats'!$Z265)</f>
        <v/>
      </c>
      <c r="AB396" s="18" t="str">
        <f ca="1">IF('Current Char Stats'!$A265="","",'Current Char Stats'!$AA265)</f>
        <v/>
      </c>
      <c r="AC396" s="18" t="str">
        <f ca="1">IF('Current Char Stats'!$A265="","",'Current Char Stats'!$AB265)</f>
        <v/>
      </c>
      <c r="AD396" s="18" t="str">
        <f ca="1">IF('Current Char Stats'!$A265="","",'Current Char Stats'!$AC265)</f>
        <v/>
      </c>
      <c r="AE396" s="18" t="str">
        <f ca="1">IF('Current Char Stats'!$A265="","",'Current Char Stats'!$AD265)</f>
        <v/>
      </c>
      <c r="AF396" s="18" t="str">
        <f ca="1">IF('Current Char Stats'!$A265="","",'Current Char Stats'!$AE265)</f>
        <v/>
      </c>
    </row>
    <row r="397" spans="1:32">
      <c r="A397" s="18" t="str">
        <f ca="1">IF('Current Char Stats'!$A266="","",Settings!$B$2)</f>
        <v/>
      </c>
      <c r="B397" s="117" t="str">
        <f ca="1">IF('Current Char Stats'!$A266="","",'Current Char Stats'!$A266)</f>
        <v/>
      </c>
      <c r="C397" s="18" t="str">
        <f ca="1">IF('Current Char Stats'!$A266="","",'Current Char Stats'!$B266)</f>
        <v/>
      </c>
      <c r="D397" s="18" t="str">
        <f ca="1">IF('Current Char Stats'!$A266="","",'Current Char Stats'!$C266)</f>
        <v/>
      </c>
      <c r="E397" s="18" t="str">
        <f ca="1">IF('Current Char Stats'!$A266="","",'Current Char Stats'!$D266)</f>
        <v/>
      </c>
      <c r="F397" s="18" t="str">
        <f ca="1">IF('Current Char Stats'!$A266="","",'Current Char Stats'!$E266)</f>
        <v/>
      </c>
      <c r="G397" s="18" t="str">
        <f ca="1">IF('Current Char Stats'!$A266="","",'Current Char Stats'!$F266)</f>
        <v/>
      </c>
      <c r="H397" s="18" t="str">
        <f ca="1">IF('Current Char Stats'!$A266="","",'Current Char Stats'!$G266)</f>
        <v/>
      </c>
      <c r="I397" s="18" t="str">
        <f ca="1">IF('Current Char Stats'!$A266="","",'Current Char Stats'!$H266)</f>
        <v/>
      </c>
      <c r="J397" s="18" t="str">
        <f ca="1">IF('Current Char Stats'!$A266="","",'Current Char Stats'!$I266)</f>
        <v/>
      </c>
      <c r="K397" s="18" t="str">
        <f ca="1">IF('Current Char Stats'!$A266="","",'Current Char Stats'!$J266)</f>
        <v/>
      </c>
      <c r="L397" s="18" t="str">
        <f ca="1">IF('Current Char Stats'!$A266="","",'Current Char Stats'!$K266)</f>
        <v/>
      </c>
      <c r="M397" s="18" t="str">
        <f ca="1">IF('Current Char Stats'!$A266="","",'Current Char Stats'!$L266)</f>
        <v/>
      </c>
      <c r="N397" s="18" t="str">
        <f ca="1">IF('Current Char Stats'!$A266="","",'Current Char Stats'!$M266)</f>
        <v/>
      </c>
      <c r="O397" s="18" t="str">
        <f ca="1">IF('Current Char Stats'!$A266="","",'Current Char Stats'!$N266)</f>
        <v/>
      </c>
      <c r="P397" s="18" t="str">
        <f ca="1">IF('Current Char Stats'!$A266="","",'Current Char Stats'!$O266)</f>
        <v/>
      </c>
      <c r="Q397" s="18" t="str">
        <f ca="1">IF('Current Char Stats'!$A266="","",'Current Char Stats'!$P266)</f>
        <v/>
      </c>
      <c r="R397" s="18" t="str">
        <f ca="1">IF('Current Char Stats'!$A266="","",'Current Char Stats'!$Q266)</f>
        <v/>
      </c>
      <c r="S397" s="18" t="str">
        <f ca="1">IF('Current Char Stats'!$A266="","",'Current Char Stats'!$R266)</f>
        <v/>
      </c>
      <c r="T397" s="18" t="str">
        <f ca="1">IF('Current Char Stats'!$A266="","",'Current Char Stats'!$S266)</f>
        <v/>
      </c>
      <c r="U397" s="18" t="str">
        <f ca="1">IF('Current Char Stats'!$A266="","",'Current Char Stats'!$T266)</f>
        <v/>
      </c>
      <c r="V397" s="18" t="str">
        <f ca="1">IF('Current Char Stats'!$A266="","",'Current Char Stats'!$U266)</f>
        <v/>
      </c>
      <c r="W397" s="18" t="str">
        <f ca="1">IF('Current Char Stats'!$A266="","",'Current Char Stats'!$V266)</f>
        <v/>
      </c>
      <c r="X397" s="18" t="str">
        <f ca="1">IF('Current Char Stats'!$A266="","",'Current Char Stats'!$W266)</f>
        <v/>
      </c>
      <c r="Y397" s="18" t="str">
        <f ca="1">IF('Current Char Stats'!$A266="","",'Current Char Stats'!$X266)</f>
        <v/>
      </c>
      <c r="Z397" s="18" t="str">
        <f ca="1">IF('Current Char Stats'!$A266="","",'Current Char Stats'!$Y266)</f>
        <v/>
      </c>
      <c r="AA397" s="18" t="str">
        <f ca="1">IF('Current Char Stats'!$A266="","",'Current Char Stats'!$Z266)</f>
        <v/>
      </c>
      <c r="AB397" s="18" t="str">
        <f ca="1">IF('Current Char Stats'!$A266="","",'Current Char Stats'!$AA266)</f>
        <v/>
      </c>
      <c r="AC397" s="18" t="str">
        <f ca="1">IF('Current Char Stats'!$A266="","",'Current Char Stats'!$AB266)</f>
        <v/>
      </c>
      <c r="AD397" s="18" t="str">
        <f ca="1">IF('Current Char Stats'!$A266="","",'Current Char Stats'!$AC266)</f>
        <v/>
      </c>
      <c r="AE397" s="18" t="str">
        <f ca="1">IF('Current Char Stats'!$A266="","",'Current Char Stats'!$AD266)</f>
        <v/>
      </c>
      <c r="AF397" s="18" t="str">
        <f ca="1">IF('Current Char Stats'!$A266="","",'Current Char Stats'!$AE266)</f>
        <v/>
      </c>
    </row>
    <row r="398" spans="1:32">
      <c r="A398" s="18" t="str">
        <f ca="1">IF('Current Char Stats'!$A267="","",Settings!$B$2)</f>
        <v/>
      </c>
      <c r="B398" s="117" t="str">
        <f ca="1">IF('Current Char Stats'!$A267="","",'Current Char Stats'!$A267)</f>
        <v/>
      </c>
      <c r="C398" s="18" t="str">
        <f ca="1">IF('Current Char Stats'!$A267="","",'Current Char Stats'!$B267)</f>
        <v/>
      </c>
      <c r="D398" s="18" t="str">
        <f ca="1">IF('Current Char Stats'!$A267="","",'Current Char Stats'!$C267)</f>
        <v/>
      </c>
      <c r="E398" s="18" t="str">
        <f ca="1">IF('Current Char Stats'!$A267="","",'Current Char Stats'!$D267)</f>
        <v/>
      </c>
      <c r="F398" s="18" t="str">
        <f ca="1">IF('Current Char Stats'!$A267="","",'Current Char Stats'!$E267)</f>
        <v/>
      </c>
      <c r="G398" s="18" t="str">
        <f ca="1">IF('Current Char Stats'!$A267="","",'Current Char Stats'!$F267)</f>
        <v/>
      </c>
      <c r="H398" s="18" t="str">
        <f ca="1">IF('Current Char Stats'!$A267="","",'Current Char Stats'!$G267)</f>
        <v/>
      </c>
      <c r="I398" s="18" t="str">
        <f ca="1">IF('Current Char Stats'!$A267="","",'Current Char Stats'!$H267)</f>
        <v/>
      </c>
      <c r="J398" s="18" t="str">
        <f ca="1">IF('Current Char Stats'!$A267="","",'Current Char Stats'!$I267)</f>
        <v/>
      </c>
      <c r="K398" s="18" t="str">
        <f ca="1">IF('Current Char Stats'!$A267="","",'Current Char Stats'!$J267)</f>
        <v/>
      </c>
      <c r="L398" s="18" t="str">
        <f ca="1">IF('Current Char Stats'!$A267="","",'Current Char Stats'!$K267)</f>
        <v/>
      </c>
      <c r="M398" s="18" t="str">
        <f ca="1">IF('Current Char Stats'!$A267="","",'Current Char Stats'!$L267)</f>
        <v/>
      </c>
      <c r="N398" s="18" t="str">
        <f ca="1">IF('Current Char Stats'!$A267="","",'Current Char Stats'!$M267)</f>
        <v/>
      </c>
      <c r="O398" s="18" t="str">
        <f ca="1">IF('Current Char Stats'!$A267="","",'Current Char Stats'!$N267)</f>
        <v/>
      </c>
      <c r="P398" s="18" t="str">
        <f ca="1">IF('Current Char Stats'!$A267="","",'Current Char Stats'!$O267)</f>
        <v/>
      </c>
      <c r="Q398" s="18" t="str">
        <f ca="1">IF('Current Char Stats'!$A267="","",'Current Char Stats'!$P267)</f>
        <v/>
      </c>
      <c r="R398" s="18" t="str">
        <f ca="1">IF('Current Char Stats'!$A267="","",'Current Char Stats'!$Q267)</f>
        <v/>
      </c>
      <c r="S398" s="18" t="str">
        <f ca="1">IF('Current Char Stats'!$A267="","",'Current Char Stats'!$R267)</f>
        <v/>
      </c>
      <c r="T398" s="18" t="str">
        <f ca="1">IF('Current Char Stats'!$A267="","",'Current Char Stats'!$S267)</f>
        <v/>
      </c>
      <c r="U398" s="18" t="str">
        <f ca="1">IF('Current Char Stats'!$A267="","",'Current Char Stats'!$T267)</f>
        <v/>
      </c>
      <c r="V398" s="18" t="str">
        <f ca="1">IF('Current Char Stats'!$A267="","",'Current Char Stats'!$U267)</f>
        <v/>
      </c>
      <c r="W398" s="18" t="str">
        <f ca="1">IF('Current Char Stats'!$A267="","",'Current Char Stats'!$V267)</f>
        <v/>
      </c>
      <c r="X398" s="18" t="str">
        <f ca="1">IF('Current Char Stats'!$A267="","",'Current Char Stats'!$W267)</f>
        <v/>
      </c>
      <c r="Y398" s="18" t="str">
        <f ca="1">IF('Current Char Stats'!$A267="","",'Current Char Stats'!$X267)</f>
        <v/>
      </c>
      <c r="Z398" s="18" t="str">
        <f ca="1">IF('Current Char Stats'!$A267="","",'Current Char Stats'!$Y267)</f>
        <v/>
      </c>
      <c r="AA398" s="18" t="str">
        <f ca="1">IF('Current Char Stats'!$A267="","",'Current Char Stats'!$Z267)</f>
        <v/>
      </c>
      <c r="AB398" s="18" t="str">
        <f ca="1">IF('Current Char Stats'!$A267="","",'Current Char Stats'!$AA267)</f>
        <v/>
      </c>
      <c r="AC398" s="18" t="str">
        <f ca="1">IF('Current Char Stats'!$A267="","",'Current Char Stats'!$AB267)</f>
        <v/>
      </c>
      <c r="AD398" s="18" t="str">
        <f ca="1">IF('Current Char Stats'!$A267="","",'Current Char Stats'!$AC267)</f>
        <v/>
      </c>
      <c r="AE398" s="18" t="str">
        <f ca="1">IF('Current Char Stats'!$A267="","",'Current Char Stats'!$AD267)</f>
        <v/>
      </c>
      <c r="AF398" s="18" t="str">
        <f ca="1">IF('Current Char Stats'!$A267="","",'Current Char Stats'!$AE267)</f>
        <v/>
      </c>
    </row>
    <row r="399" spans="1:32">
      <c r="A399" s="18" t="str">
        <f ca="1">IF('Current Char Stats'!$A268="","",Settings!$B$2)</f>
        <v/>
      </c>
      <c r="B399" s="117" t="str">
        <f ca="1">IF('Current Char Stats'!$A268="","",'Current Char Stats'!$A268)</f>
        <v/>
      </c>
      <c r="C399" s="18" t="str">
        <f ca="1">IF('Current Char Stats'!$A268="","",'Current Char Stats'!$B268)</f>
        <v/>
      </c>
      <c r="D399" s="18" t="str">
        <f ca="1">IF('Current Char Stats'!$A268="","",'Current Char Stats'!$C268)</f>
        <v/>
      </c>
      <c r="E399" s="18" t="str">
        <f ca="1">IF('Current Char Stats'!$A268="","",'Current Char Stats'!$D268)</f>
        <v/>
      </c>
      <c r="F399" s="18" t="str">
        <f ca="1">IF('Current Char Stats'!$A268="","",'Current Char Stats'!$E268)</f>
        <v/>
      </c>
      <c r="G399" s="18" t="str">
        <f ca="1">IF('Current Char Stats'!$A268="","",'Current Char Stats'!$F268)</f>
        <v/>
      </c>
      <c r="H399" s="18" t="str">
        <f ca="1">IF('Current Char Stats'!$A268="","",'Current Char Stats'!$G268)</f>
        <v/>
      </c>
      <c r="I399" s="18" t="str">
        <f ca="1">IF('Current Char Stats'!$A268="","",'Current Char Stats'!$H268)</f>
        <v/>
      </c>
      <c r="J399" s="18" t="str">
        <f ca="1">IF('Current Char Stats'!$A268="","",'Current Char Stats'!$I268)</f>
        <v/>
      </c>
      <c r="K399" s="18" t="str">
        <f ca="1">IF('Current Char Stats'!$A268="","",'Current Char Stats'!$J268)</f>
        <v/>
      </c>
      <c r="L399" s="18" t="str">
        <f ca="1">IF('Current Char Stats'!$A268="","",'Current Char Stats'!$K268)</f>
        <v/>
      </c>
      <c r="M399" s="18" t="str">
        <f ca="1">IF('Current Char Stats'!$A268="","",'Current Char Stats'!$L268)</f>
        <v/>
      </c>
      <c r="N399" s="18" t="str">
        <f ca="1">IF('Current Char Stats'!$A268="","",'Current Char Stats'!$M268)</f>
        <v/>
      </c>
      <c r="O399" s="18" t="str">
        <f ca="1">IF('Current Char Stats'!$A268="","",'Current Char Stats'!$N268)</f>
        <v/>
      </c>
      <c r="P399" s="18" t="str">
        <f ca="1">IF('Current Char Stats'!$A268="","",'Current Char Stats'!$O268)</f>
        <v/>
      </c>
      <c r="Q399" s="18" t="str">
        <f ca="1">IF('Current Char Stats'!$A268="","",'Current Char Stats'!$P268)</f>
        <v/>
      </c>
      <c r="R399" s="18" t="str">
        <f ca="1">IF('Current Char Stats'!$A268="","",'Current Char Stats'!$Q268)</f>
        <v/>
      </c>
      <c r="S399" s="18" t="str">
        <f ca="1">IF('Current Char Stats'!$A268="","",'Current Char Stats'!$R268)</f>
        <v/>
      </c>
      <c r="T399" s="18" t="str">
        <f ca="1">IF('Current Char Stats'!$A268="","",'Current Char Stats'!$S268)</f>
        <v/>
      </c>
      <c r="U399" s="18" t="str">
        <f ca="1">IF('Current Char Stats'!$A268="","",'Current Char Stats'!$T268)</f>
        <v/>
      </c>
      <c r="V399" s="18" t="str">
        <f ca="1">IF('Current Char Stats'!$A268="","",'Current Char Stats'!$U268)</f>
        <v/>
      </c>
      <c r="W399" s="18" t="str">
        <f ca="1">IF('Current Char Stats'!$A268="","",'Current Char Stats'!$V268)</f>
        <v/>
      </c>
      <c r="X399" s="18" t="str">
        <f ca="1">IF('Current Char Stats'!$A268="","",'Current Char Stats'!$W268)</f>
        <v/>
      </c>
      <c r="Y399" s="18" t="str">
        <f ca="1">IF('Current Char Stats'!$A268="","",'Current Char Stats'!$X268)</f>
        <v/>
      </c>
      <c r="Z399" s="18" t="str">
        <f ca="1">IF('Current Char Stats'!$A268="","",'Current Char Stats'!$Y268)</f>
        <v/>
      </c>
      <c r="AA399" s="18" t="str">
        <f ca="1">IF('Current Char Stats'!$A268="","",'Current Char Stats'!$Z268)</f>
        <v/>
      </c>
      <c r="AB399" s="18" t="str">
        <f ca="1">IF('Current Char Stats'!$A268="","",'Current Char Stats'!$AA268)</f>
        <v/>
      </c>
      <c r="AC399" s="18" t="str">
        <f ca="1">IF('Current Char Stats'!$A268="","",'Current Char Stats'!$AB268)</f>
        <v/>
      </c>
      <c r="AD399" s="18" t="str">
        <f ca="1">IF('Current Char Stats'!$A268="","",'Current Char Stats'!$AC268)</f>
        <v/>
      </c>
      <c r="AE399" s="18" t="str">
        <f ca="1">IF('Current Char Stats'!$A268="","",'Current Char Stats'!$AD268)</f>
        <v/>
      </c>
      <c r="AF399" s="18" t="str">
        <f ca="1">IF('Current Char Stats'!$A268="","",'Current Char Stats'!$AE268)</f>
        <v/>
      </c>
    </row>
    <row r="400" spans="1:32">
      <c r="A400" s="18" t="str">
        <f ca="1">IF('Current Char Stats'!$A269="","",Settings!$B$2)</f>
        <v/>
      </c>
      <c r="B400" s="117" t="str">
        <f ca="1">IF('Current Char Stats'!$A269="","",'Current Char Stats'!$A269)</f>
        <v/>
      </c>
      <c r="C400" s="18" t="str">
        <f ca="1">IF('Current Char Stats'!$A269="","",'Current Char Stats'!$B269)</f>
        <v/>
      </c>
      <c r="D400" s="18" t="str">
        <f ca="1">IF('Current Char Stats'!$A269="","",'Current Char Stats'!$C269)</f>
        <v/>
      </c>
      <c r="E400" s="18" t="str">
        <f ca="1">IF('Current Char Stats'!$A269="","",'Current Char Stats'!$D269)</f>
        <v/>
      </c>
      <c r="F400" s="18" t="str">
        <f ca="1">IF('Current Char Stats'!$A269="","",'Current Char Stats'!$E269)</f>
        <v/>
      </c>
      <c r="G400" s="18" t="str">
        <f ca="1">IF('Current Char Stats'!$A269="","",'Current Char Stats'!$F269)</f>
        <v/>
      </c>
      <c r="H400" s="18" t="str">
        <f ca="1">IF('Current Char Stats'!$A269="","",'Current Char Stats'!$G269)</f>
        <v/>
      </c>
      <c r="I400" s="18" t="str">
        <f ca="1">IF('Current Char Stats'!$A269="","",'Current Char Stats'!$H269)</f>
        <v/>
      </c>
      <c r="J400" s="18" t="str">
        <f ca="1">IF('Current Char Stats'!$A269="","",'Current Char Stats'!$I269)</f>
        <v/>
      </c>
      <c r="K400" s="18" t="str">
        <f ca="1">IF('Current Char Stats'!$A269="","",'Current Char Stats'!$J269)</f>
        <v/>
      </c>
      <c r="L400" s="18" t="str">
        <f ca="1">IF('Current Char Stats'!$A269="","",'Current Char Stats'!$K269)</f>
        <v/>
      </c>
      <c r="M400" s="18" t="str">
        <f ca="1">IF('Current Char Stats'!$A269="","",'Current Char Stats'!$L269)</f>
        <v/>
      </c>
      <c r="N400" s="18" t="str">
        <f ca="1">IF('Current Char Stats'!$A269="","",'Current Char Stats'!$M269)</f>
        <v/>
      </c>
      <c r="O400" s="18" t="str">
        <f ca="1">IF('Current Char Stats'!$A269="","",'Current Char Stats'!$N269)</f>
        <v/>
      </c>
      <c r="P400" s="18" t="str">
        <f ca="1">IF('Current Char Stats'!$A269="","",'Current Char Stats'!$O269)</f>
        <v/>
      </c>
      <c r="Q400" s="18" t="str">
        <f ca="1">IF('Current Char Stats'!$A269="","",'Current Char Stats'!$P269)</f>
        <v/>
      </c>
      <c r="R400" s="18" t="str">
        <f ca="1">IF('Current Char Stats'!$A269="","",'Current Char Stats'!$Q269)</f>
        <v/>
      </c>
      <c r="S400" s="18" t="str">
        <f ca="1">IF('Current Char Stats'!$A269="","",'Current Char Stats'!$R269)</f>
        <v/>
      </c>
      <c r="T400" s="18" t="str">
        <f ca="1">IF('Current Char Stats'!$A269="","",'Current Char Stats'!$S269)</f>
        <v/>
      </c>
      <c r="U400" s="18" t="str">
        <f ca="1">IF('Current Char Stats'!$A269="","",'Current Char Stats'!$T269)</f>
        <v/>
      </c>
      <c r="V400" s="18" t="str">
        <f ca="1">IF('Current Char Stats'!$A269="","",'Current Char Stats'!$U269)</f>
        <v/>
      </c>
      <c r="W400" s="18" t="str">
        <f ca="1">IF('Current Char Stats'!$A269="","",'Current Char Stats'!$V269)</f>
        <v/>
      </c>
      <c r="X400" s="18" t="str">
        <f ca="1">IF('Current Char Stats'!$A269="","",'Current Char Stats'!$W269)</f>
        <v/>
      </c>
      <c r="Y400" s="18" t="str">
        <f ca="1">IF('Current Char Stats'!$A269="","",'Current Char Stats'!$X269)</f>
        <v/>
      </c>
      <c r="Z400" s="18" t="str">
        <f ca="1">IF('Current Char Stats'!$A269="","",'Current Char Stats'!$Y269)</f>
        <v/>
      </c>
      <c r="AA400" s="18" t="str">
        <f ca="1">IF('Current Char Stats'!$A269="","",'Current Char Stats'!$Z269)</f>
        <v/>
      </c>
      <c r="AB400" s="18" t="str">
        <f ca="1">IF('Current Char Stats'!$A269="","",'Current Char Stats'!$AA269)</f>
        <v/>
      </c>
      <c r="AC400" s="18" t="str">
        <f ca="1">IF('Current Char Stats'!$A269="","",'Current Char Stats'!$AB269)</f>
        <v/>
      </c>
      <c r="AD400" s="18" t="str">
        <f ca="1">IF('Current Char Stats'!$A269="","",'Current Char Stats'!$AC269)</f>
        <v/>
      </c>
      <c r="AE400" s="18" t="str">
        <f ca="1">IF('Current Char Stats'!$A269="","",'Current Char Stats'!$AD269)</f>
        <v/>
      </c>
      <c r="AF400" s="18" t="str">
        <f ca="1">IF('Current Char Stats'!$A269="","",'Current Char Stats'!$AE269)</f>
        <v/>
      </c>
    </row>
    <row r="401" spans="1:32">
      <c r="A401" s="18" t="str">
        <f ca="1">IF('Current Char Stats'!$A270="","",Settings!$B$2)</f>
        <v/>
      </c>
      <c r="B401" s="117" t="str">
        <f ca="1">IF('Current Char Stats'!$A270="","",'Current Char Stats'!$A270)</f>
        <v/>
      </c>
      <c r="C401" s="18" t="str">
        <f ca="1">IF('Current Char Stats'!$A270="","",'Current Char Stats'!$B270)</f>
        <v/>
      </c>
      <c r="D401" s="18" t="str">
        <f ca="1">IF('Current Char Stats'!$A270="","",'Current Char Stats'!$C270)</f>
        <v/>
      </c>
      <c r="E401" s="18" t="str">
        <f ca="1">IF('Current Char Stats'!$A270="","",'Current Char Stats'!$D270)</f>
        <v/>
      </c>
      <c r="F401" s="18" t="str">
        <f ca="1">IF('Current Char Stats'!$A270="","",'Current Char Stats'!$E270)</f>
        <v/>
      </c>
      <c r="G401" s="18" t="str">
        <f ca="1">IF('Current Char Stats'!$A270="","",'Current Char Stats'!$F270)</f>
        <v/>
      </c>
      <c r="H401" s="18" t="str">
        <f ca="1">IF('Current Char Stats'!$A270="","",'Current Char Stats'!$G270)</f>
        <v/>
      </c>
      <c r="I401" s="18" t="str">
        <f ca="1">IF('Current Char Stats'!$A270="","",'Current Char Stats'!$H270)</f>
        <v/>
      </c>
      <c r="J401" s="18" t="str">
        <f ca="1">IF('Current Char Stats'!$A270="","",'Current Char Stats'!$I270)</f>
        <v/>
      </c>
      <c r="K401" s="18" t="str">
        <f ca="1">IF('Current Char Stats'!$A270="","",'Current Char Stats'!$J270)</f>
        <v/>
      </c>
      <c r="L401" s="18" t="str">
        <f ca="1">IF('Current Char Stats'!$A270="","",'Current Char Stats'!$K270)</f>
        <v/>
      </c>
      <c r="M401" s="18" t="str">
        <f ca="1">IF('Current Char Stats'!$A270="","",'Current Char Stats'!$L270)</f>
        <v/>
      </c>
      <c r="N401" s="18" t="str">
        <f ca="1">IF('Current Char Stats'!$A270="","",'Current Char Stats'!$M270)</f>
        <v/>
      </c>
      <c r="O401" s="18" t="str">
        <f ca="1">IF('Current Char Stats'!$A270="","",'Current Char Stats'!$N270)</f>
        <v/>
      </c>
      <c r="P401" s="18" t="str">
        <f ca="1">IF('Current Char Stats'!$A270="","",'Current Char Stats'!$O270)</f>
        <v/>
      </c>
      <c r="Q401" s="18" t="str">
        <f ca="1">IF('Current Char Stats'!$A270="","",'Current Char Stats'!$P270)</f>
        <v/>
      </c>
      <c r="R401" s="18" t="str">
        <f ca="1">IF('Current Char Stats'!$A270="","",'Current Char Stats'!$Q270)</f>
        <v/>
      </c>
      <c r="S401" s="18" t="str">
        <f ca="1">IF('Current Char Stats'!$A270="","",'Current Char Stats'!$R270)</f>
        <v/>
      </c>
      <c r="T401" s="18" t="str">
        <f ca="1">IF('Current Char Stats'!$A270="","",'Current Char Stats'!$S270)</f>
        <v/>
      </c>
      <c r="U401" s="18" t="str">
        <f ca="1">IF('Current Char Stats'!$A270="","",'Current Char Stats'!$T270)</f>
        <v/>
      </c>
      <c r="V401" s="18" t="str">
        <f ca="1">IF('Current Char Stats'!$A270="","",'Current Char Stats'!$U270)</f>
        <v/>
      </c>
      <c r="W401" s="18" t="str">
        <f ca="1">IF('Current Char Stats'!$A270="","",'Current Char Stats'!$V270)</f>
        <v/>
      </c>
      <c r="X401" s="18" t="str">
        <f ca="1">IF('Current Char Stats'!$A270="","",'Current Char Stats'!$W270)</f>
        <v/>
      </c>
      <c r="Y401" s="18" t="str">
        <f ca="1">IF('Current Char Stats'!$A270="","",'Current Char Stats'!$X270)</f>
        <v/>
      </c>
      <c r="Z401" s="18" t="str">
        <f ca="1">IF('Current Char Stats'!$A270="","",'Current Char Stats'!$Y270)</f>
        <v/>
      </c>
      <c r="AA401" s="18" t="str">
        <f ca="1">IF('Current Char Stats'!$A270="","",'Current Char Stats'!$Z270)</f>
        <v/>
      </c>
      <c r="AB401" s="18" t="str">
        <f ca="1">IF('Current Char Stats'!$A270="","",'Current Char Stats'!$AA270)</f>
        <v/>
      </c>
      <c r="AC401" s="18" t="str">
        <f ca="1">IF('Current Char Stats'!$A270="","",'Current Char Stats'!$AB270)</f>
        <v/>
      </c>
      <c r="AD401" s="18" t="str">
        <f ca="1">IF('Current Char Stats'!$A270="","",'Current Char Stats'!$AC270)</f>
        <v/>
      </c>
      <c r="AE401" s="18" t="str">
        <f ca="1">IF('Current Char Stats'!$A270="","",'Current Char Stats'!$AD270)</f>
        <v/>
      </c>
      <c r="AF401" s="18" t="str">
        <f ca="1">IF('Current Char Stats'!$A270="","",'Current Char Stats'!$AE270)</f>
        <v/>
      </c>
    </row>
    <row r="402" spans="1:32">
      <c r="A402" s="18" t="str">
        <f ca="1">IF('Current Char Stats'!$A271="","",Settings!$B$2)</f>
        <v/>
      </c>
      <c r="B402" s="117" t="str">
        <f ca="1">IF('Current Char Stats'!$A271="","",'Current Char Stats'!$A271)</f>
        <v/>
      </c>
      <c r="C402" s="18" t="str">
        <f ca="1">IF('Current Char Stats'!$A271="","",'Current Char Stats'!$B271)</f>
        <v/>
      </c>
      <c r="D402" s="18" t="str">
        <f ca="1">IF('Current Char Stats'!$A271="","",'Current Char Stats'!$C271)</f>
        <v/>
      </c>
      <c r="E402" s="18" t="str">
        <f ca="1">IF('Current Char Stats'!$A271="","",'Current Char Stats'!$D271)</f>
        <v/>
      </c>
      <c r="F402" s="18" t="str">
        <f ca="1">IF('Current Char Stats'!$A271="","",'Current Char Stats'!$E271)</f>
        <v/>
      </c>
      <c r="G402" s="18" t="str">
        <f ca="1">IF('Current Char Stats'!$A271="","",'Current Char Stats'!$F271)</f>
        <v/>
      </c>
      <c r="H402" s="18" t="str">
        <f ca="1">IF('Current Char Stats'!$A271="","",'Current Char Stats'!$G271)</f>
        <v/>
      </c>
      <c r="I402" s="18" t="str">
        <f ca="1">IF('Current Char Stats'!$A271="","",'Current Char Stats'!$H271)</f>
        <v/>
      </c>
      <c r="J402" s="18" t="str">
        <f ca="1">IF('Current Char Stats'!$A271="","",'Current Char Stats'!$I271)</f>
        <v/>
      </c>
      <c r="K402" s="18" t="str">
        <f ca="1">IF('Current Char Stats'!$A271="","",'Current Char Stats'!$J271)</f>
        <v/>
      </c>
      <c r="L402" s="18" t="str">
        <f ca="1">IF('Current Char Stats'!$A271="","",'Current Char Stats'!$K271)</f>
        <v/>
      </c>
      <c r="M402" s="18" t="str">
        <f ca="1">IF('Current Char Stats'!$A271="","",'Current Char Stats'!$L271)</f>
        <v/>
      </c>
      <c r="N402" s="18" t="str">
        <f ca="1">IF('Current Char Stats'!$A271="","",'Current Char Stats'!$M271)</f>
        <v/>
      </c>
      <c r="O402" s="18" t="str">
        <f ca="1">IF('Current Char Stats'!$A271="","",'Current Char Stats'!$N271)</f>
        <v/>
      </c>
      <c r="P402" s="18" t="str">
        <f ca="1">IF('Current Char Stats'!$A271="","",'Current Char Stats'!$O271)</f>
        <v/>
      </c>
      <c r="Q402" s="18" t="str">
        <f ca="1">IF('Current Char Stats'!$A271="","",'Current Char Stats'!$P271)</f>
        <v/>
      </c>
      <c r="R402" s="18" t="str">
        <f ca="1">IF('Current Char Stats'!$A271="","",'Current Char Stats'!$Q271)</f>
        <v/>
      </c>
      <c r="S402" s="18" t="str">
        <f ca="1">IF('Current Char Stats'!$A271="","",'Current Char Stats'!$R271)</f>
        <v/>
      </c>
      <c r="T402" s="18" t="str">
        <f ca="1">IF('Current Char Stats'!$A271="","",'Current Char Stats'!$S271)</f>
        <v/>
      </c>
      <c r="U402" s="18" t="str">
        <f ca="1">IF('Current Char Stats'!$A271="","",'Current Char Stats'!$T271)</f>
        <v/>
      </c>
      <c r="V402" s="18" t="str">
        <f ca="1">IF('Current Char Stats'!$A271="","",'Current Char Stats'!$U271)</f>
        <v/>
      </c>
      <c r="W402" s="18" t="str">
        <f ca="1">IF('Current Char Stats'!$A271="","",'Current Char Stats'!$V271)</f>
        <v/>
      </c>
      <c r="X402" s="18" t="str">
        <f ca="1">IF('Current Char Stats'!$A271="","",'Current Char Stats'!$W271)</f>
        <v/>
      </c>
      <c r="Y402" s="18" t="str">
        <f ca="1">IF('Current Char Stats'!$A271="","",'Current Char Stats'!$X271)</f>
        <v/>
      </c>
      <c r="Z402" s="18" t="str">
        <f ca="1">IF('Current Char Stats'!$A271="","",'Current Char Stats'!$Y271)</f>
        <v/>
      </c>
      <c r="AA402" s="18" t="str">
        <f ca="1">IF('Current Char Stats'!$A271="","",'Current Char Stats'!$Z271)</f>
        <v/>
      </c>
      <c r="AB402" s="18" t="str">
        <f ca="1">IF('Current Char Stats'!$A271="","",'Current Char Stats'!$AA271)</f>
        <v/>
      </c>
      <c r="AC402" s="18" t="str">
        <f ca="1">IF('Current Char Stats'!$A271="","",'Current Char Stats'!$AB271)</f>
        <v/>
      </c>
      <c r="AD402" s="18" t="str">
        <f ca="1">IF('Current Char Stats'!$A271="","",'Current Char Stats'!$AC271)</f>
        <v/>
      </c>
      <c r="AE402" s="18" t="str">
        <f ca="1">IF('Current Char Stats'!$A271="","",'Current Char Stats'!$AD271)</f>
        <v/>
      </c>
      <c r="AF402" s="18" t="str">
        <f ca="1">IF('Current Char Stats'!$A271="","",'Current Char Stats'!$AE271)</f>
        <v/>
      </c>
    </row>
    <row r="403" spans="1:32">
      <c r="A403" s="18" t="str">
        <f ca="1">IF('Current Char Stats'!$A272="","",Settings!$B$2)</f>
        <v/>
      </c>
      <c r="B403" s="117" t="str">
        <f ca="1">IF('Current Char Stats'!$A272="","",'Current Char Stats'!$A272)</f>
        <v/>
      </c>
      <c r="C403" s="18" t="str">
        <f ca="1">IF('Current Char Stats'!$A272="","",'Current Char Stats'!$B272)</f>
        <v/>
      </c>
      <c r="D403" s="18" t="str">
        <f ca="1">IF('Current Char Stats'!$A272="","",'Current Char Stats'!$C272)</f>
        <v/>
      </c>
      <c r="E403" s="18" t="str">
        <f ca="1">IF('Current Char Stats'!$A272="","",'Current Char Stats'!$D272)</f>
        <v/>
      </c>
      <c r="F403" s="18" t="str">
        <f ca="1">IF('Current Char Stats'!$A272="","",'Current Char Stats'!$E272)</f>
        <v/>
      </c>
      <c r="G403" s="18" t="str">
        <f ca="1">IF('Current Char Stats'!$A272="","",'Current Char Stats'!$F272)</f>
        <v/>
      </c>
      <c r="H403" s="18" t="str">
        <f ca="1">IF('Current Char Stats'!$A272="","",'Current Char Stats'!$G272)</f>
        <v/>
      </c>
      <c r="I403" s="18" t="str">
        <f ca="1">IF('Current Char Stats'!$A272="","",'Current Char Stats'!$H272)</f>
        <v/>
      </c>
      <c r="J403" s="18" t="str">
        <f ca="1">IF('Current Char Stats'!$A272="","",'Current Char Stats'!$I272)</f>
        <v/>
      </c>
      <c r="K403" s="18" t="str">
        <f ca="1">IF('Current Char Stats'!$A272="","",'Current Char Stats'!$J272)</f>
        <v/>
      </c>
      <c r="L403" s="18" t="str">
        <f ca="1">IF('Current Char Stats'!$A272="","",'Current Char Stats'!$K272)</f>
        <v/>
      </c>
      <c r="M403" s="18" t="str">
        <f ca="1">IF('Current Char Stats'!$A272="","",'Current Char Stats'!$L272)</f>
        <v/>
      </c>
      <c r="N403" s="18" t="str">
        <f ca="1">IF('Current Char Stats'!$A272="","",'Current Char Stats'!$M272)</f>
        <v/>
      </c>
      <c r="O403" s="18" t="str">
        <f ca="1">IF('Current Char Stats'!$A272="","",'Current Char Stats'!$N272)</f>
        <v/>
      </c>
      <c r="P403" s="18" t="str">
        <f ca="1">IF('Current Char Stats'!$A272="","",'Current Char Stats'!$O272)</f>
        <v/>
      </c>
      <c r="Q403" s="18" t="str">
        <f ca="1">IF('Current Char Stats'!$A272="","",'Current Char Stats'!$P272)</f>
        <v/>
      </c>
      <c r="R403" s="18" t="str">
        <f ca="1">IF('Current Char Stats'!$A272="","",'Current Char Stats'!$Q272)</f>
        <v/>
      </c>
      <c r="S403" s="18" t="str">
        <f ca="1">IF('Current Char Stats'!$A272="","",'Current Char Stats'!$R272)</f>
        <v/>
      </c>
      <c r="T403" s="18" t="str">
        <f ca="1">IF('Current Char Stats'!$A272="","",'Current Char Stats'!$S272)</f>
        <v/>
      </c>
      <c r="U403" s="18" t="str">
        <f ca="1">IF('Current Char Stats'!$A272="","",'Current Char Stats'!$T272)</f>
        <v/>
      </c>
      <c r="V403" s="18" t="str">
        <f ca="1">IF('Current Char Stats'!$A272="","",'Current Char Stats'!$U272)</f>
        <v/>
      </c>
      <c r="W403" s="18" t="str">
        <f ca="1">IF('Current Char Stats'!$A272="","",'Current Char Stats'!$V272)</f>
        <v/>
      </c>
      <c r="X403" s="18" t="str">
        <f ca="1">IF('Current Char Stats'!$A272="","",'Current Char Stats'!$W272)</f>
        <v/>
      </c>
      <c r="Y403" s="18" t="str">
        <f ca="1">IF('Current Char Stats'!$A272="","",'Current Char Stats'!$X272)</f>
        <v/>
      </c>
      <c r="Z403" s="18" t="str">
        <f ca="1">IF('Current Char Stats'!$A272="","",'Current Char Stats'!$Y272)</f>
        <v/>
      </c>
      <c r="AA403" s="18" t="str">
        <f ca="1">IF('Current Char Stats'!$A272="","",'Current Char Stats'!$Z272)</f>
        <v/>
      </c>
      <c r="AB403" s="18" t="str">
        <f ca="1">IF('Current Char Stats'!$A272="","",'Current Char Stats'!$AA272)</f>
        <v/>
      </c>
      <c r="AC403" s="18" t="str">
        <f ca="1">IF('Current Char Stats'!$A272="","",'Current Char Stats'!$AB272)</f>
        <v/>
      </c>
      <c r="AD403" s="18" t="str">
        <f ca="1">IF('Current Char Stats'!$A272="","",'Current Char Stats'!$AC272)</f>
        <v/>
      </c>
      <c r="AE403" s="18" t="str">
        <f ca="1">IF('Current Char Stats'!$A272="","",'Current Char Stats'!$AD272)</f>
        <v/>
      </c>
      <c r="AF403" s="18" t="str">
        <f ca="1">IF('Current Char Stats'!$A272="","",'Current Char Stats'!$AE272)</f>
        <v/>
      </c>
    </row>
    <row r="404" spans="1:32">
      <c r="A404" s="18" t="str">
        <f ca="1">IF('Current Char Stats'!$A273="","",Settings!$B$2)</f>
        <v/>
      </c>
      <c r="B404" s="117" t="str">
        <f ca="1">IF('Current Char Stats'!$A273="","",'Current Char Stats'!$A273)</f>
        <v/>
      </c>
      <c r="C404" s="18" t="str">
        <f ca="1">IF('Current Char Stats'!$A273="","",'Current Char Stats'!$B273)</f>
        <v/>
      </c>
      <c r="D404" s="18" t="str">
        <f ca="1">IF('Current Char Stats'!$A273="","",'Current Char Stats'!$C273)</f>
        <v/>
      </c>
      <c r="E404" s="18" t="str">
        <f ca="1">IF('Current Char Stats'!$A273="","",'Current Char Stats'!$D273)</f>
        <v/>
      </c>
      <c r="F404" s="18" t="str">
        <f ca="1">IF('Current Char Stats'!$A273="","",'Current Char Stats'!$E273)</f>
        <v/>
      </c>
      <c r="G404" s="18" t="str">
        <f ca="1">IF('Current Char Stats'!$A273="","",'Current Char Stats'!$F273)</f>
        <v/>
      </c>
      <c r="H404" s="18" t="str">
        <f ca="1">IF('Current Char Stats'!$A273="","",'Current Char Stats'!$G273)</f>
        <v/>
      </c>
      <c r="I404" s="18" t="str">
        <f ca="1">IF('Current Char Stats'!$A273="","",'Current Char Stats'!$H273)</f>
        <v/>
      </c>
      <c r="J404" s="18" t="str">
        <f ca="1">IF('Current Char Stats'!$A273="","",'Current Char Stats'!$I273)</f>
        <v/>
      </c>
      <c r="K404" s="18" t="str">
        <f ca="1">IF('Current Char Stats'!$A273="","",'Current Char Stats'!$J273)</f>
        <v/>
      </c>
      <c r="L404" s="18" t="str">
        <f ca="1">IF('Current Char Stats'!$A273="","",'Current Char Stats'!$K273)</f>
        <v/>
      </c>
      <c r="M404" s="18" t="str">
        <f ca="1">IF('Current Char Stats'!$A273="","",'Current Char Stats'!$L273)</f>
        <v/>
      </c>
      <c r="N404" s="18" t="str">
        <f ca="1">IF('Current Char Stats'!$A273="","",'Current Char Stats'!$M273)</f>
        <v/>
      </c>
      <c r="O404" s="18" t="str">
        <f ca="1">IF('Current Char Stats'!$A273="","",'Current Char Stats'!$N273)</f>
        <v/>
      </c>
      <c r="P404" s="18" t="str">
        <f ca="1">IF('Current Char Stats'!$A273="","",'Current Char Stats'!$O273)</f>
        <v/>
      </c>
      <c r="Q404" s="18" t="str">
        <f ca="1">IF('Current Char Stats'!$A273="","",'Current Char Stats'!$P273)</f>
        <v/>
      </c>
      <c r="R404" s="18" t="str">
        <f ca="1">IF('Current Char Stats'!$A273="","",'Current Char Stats'!$Q273)</f>
        <v/>
      </c>
      <c r="S404" s="18" t="str">
        <f ca="1">IF('Current Char Stats'!$A273="","",'Current Char Stats'!$R273)</f>
        <v/>
      </c>
      <c r="T404" s="18" t="str">
        <f ca="1">IF('Current Char Stats'!$A273="","",'Current Char Stats'!$S273)</f>
        <v/>
      </c>
      <c r="U404" s="18" t="str">
        <f ca="1">IF('Current Char Stats'!$A273="","",'Current Char Stats'!$T273)</f>
        <v/>
      </c>
      <c r="V404" s="18" t="str">
        <f ca="1">IF('Current Char Stats'!$A273="","",'Current Char Stats'!$U273)</f>
        <v/>
      </c>
      <c r="W404" s="18" t="str">
        <f ca="1">IF('Current Char Stats'!$A273="","",'Current Char Stats'!$V273)</f>
        <v/>
      </c>
      <c r="X404" s="18" t="str">
        <f ca="1">IF('Current Char Stats'!$A273="","",'Current Char Stats'!$W273)</f>
        <v/>
      </c>
      <c r="Y404" s="18" t="str">
        <f ca="1">IF('Current Char Stats'!$A273="","",'Current Char Stats'!$X273)</f>
        <v/>
      </c>
      <c r="Z404" s="18" t="str">
        <f ca="1">IF('Current Char Stats'!$A273="","",'Current Char Stats'!$Y273)</f>
        <v/>
      </c>
      <c r="AA404" s="18" t="str">
        <f ca="1">IF('Current Char Stats'!$A273="","",'Current Char Stats'!$Z273)</f>
        <v/>
      </c>
      <c r="AB404" s="18" t="str">
        <f ca="1">IF('Current Char Stats'!$A273="","",'Current Char Stats'!$AA273)</f>
        <v/>
      </c>
      <c r="AC404" s="18" t="str">
        <f ca="1">IF('Current Char Stats'!$A273="","",'Current Char Stats'!$AB273)</f>
        <v/>
      </c>
      <c r="AD404" s="18" t="str">
        <f ca="1">IF('Current Char Stats'!$A273="","",'Current Char Stats'!$AC273)</f>
        <v/>
      </c>
      <c r="AE404" s="18" t="str">
        <f ca="1">IF('Current Char Stats'!$A273="","",'Current Char Stats'!$AD273)</f>
        <v/>
      </c>
      <c r="AF404" s="18" t="str">
        <f ca="1">IF('Current Char Stats'!$A273="","",'Current Char Stats'!$AE273)</f>
        <v/>
      </c>
    </row>
    <row r="408" spans="1:32">
      <c r="A408" s="57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</row>
    <row r="409" spans="1:32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</row>
    <row r="410" spans="1:32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73"/>
  <sheetViews>
    <sheetView zoomScaleNormal="100" zoomScaleSheetLayoutView="100" workbookViewId="0">
      <selection activeCell="H8" sqref="H8"/>
    </sheetView>
  </sheetViews>
  <sheetFormatPr defaultRowHeight="15"/>
  <cols>
    <col min="17" max="17" width="15.28515625" bestFit="1" customWidth="1"/>
  </cols>
  <sheetData>
    <row r="1" spans="1:34">
      <c r="A1" s="1" t="s">
        <v>39</v>
      </c>
      <c r="B1" s="1" t="s">
        <v>314</v>
      </c>
      <c r="C1" s="1" t="s">
        <v>315</v>
      </c>
      <c r="D1" s="1" t="s">
        <v>316</v>
      </c>
      <c r="E1" s="1" t="s">
        <v>317</v>
      </c>
      <c r="F1" s="18"/>
      <c r="G1" s="18"/>
      <c r="H1" s="18" t="s">
        <v>318</v>
      </c>
      <c r="I1" s="18"/>
      <c r="J1" s="33" t="s">
        <v>318</v>
      </c>
      <c r="K1" s="33" t="s">
        <v>319</v>
      </c>
      <c r="L1" s="33" t="s">
        <v>96</v>
      </c>
      <c r="M1" s="33" t="s">
        <v>320</v>
      </c>
      <c r="N1" s="33" t="s">
        <v>321</v>
      </c>
      <c r="O1" s="18"/>
      <c r="P1" s="18" t="s">
        <v>322</v>
      </c>
      <c r="Q1" s="18" t="s">
        <v>323</v>
      </c>
      <c r="R1" s="18" t="s">
        <v>175</v>
      </c>
      <c r="S1" s="18" t="s">
        <v>162</v>
      </c>
      <c r="T1" s="18" t="s">
        <v>176</v>
      </c>
      <c r="U1" s="18" t="s">
        <v>177</v>
      </c>
      <c r="V1" s="18" t="s">
        <v>178</v>
      </c>
      <c r="W1" s="18" t="s">
        <v>180</v>
      </c>
      <c r="X1" s="18" t="s">
        <v>181</v>
      </c>
      <c r="Y1" s="18" t="s">
        <v>182</v>
      </c>
      <c r="Z1" s="18" t="s">
        <v>183</v>
      </c>
      <c r="AA1" s="18" t="s">
        <v>184</v>
      </c>
      <c r="AB1" s="18" t="s">
        <v>324</v>
      </c>
      <c r="AC1" s="18" t="s">
        <v>325</v>
      </c>
      <c r="AD1" s="18" t="s">
        <v>326</v>
      </c>
      <c r="AE1" s="18" t="s">
        <v>327</v>
      </c>
      <c r="AF1" s="18" t="s">
        <v>328</v>
      </c>
      <c r="AG1" s="18" t="s">
        <v>329</v>
      </c>
      <c r="AH1" s="18" t="s">
        <v>330</v>
      </c>
    </row>
    <row r="2" spans="1:34">
      <c r="A2" s="18" t="s">
        <v>42</v>
      </c>
      <c r="B2" s="18">
        <v>7</v>
      </c>
      <c r="C2" s="18">
        <v>6</v>
      </c>
      <c r="D2" s="18">
        <v>8</v>
      </c>
      <c r="E2" s="18">
        <v>5</v>
      </c>
      <c r="F2" s="18"/>
      <c r="G2" s="18"/>
      <c r="H2" s="124" t="str">
        <f>IF(1&lt;=Settings!$B$3,Settings!$E$3,"")</f>
        <v>Aidan</v>
      </c>
      <c r="I2" s="18"/>
      <c r="J2" s="18">
        <v>4</v>
      </c>
      <c r="K2" s="18">
        <v>1</v>
      </c>
      <c r="L2" s="18" t="s">
        <v>331</v>
      </c>
      <c r="M2" s="18" t="s">
        <v>332</v>
      </c>
      <c r="N2" s="18" t="s">
        <v>333</v>
      </c>
      <c r="O2" s="18"/>
      <c r="P2" s="18" t="s">
        <v>188</v>
      </c>
      <c r="Q2" s="18" t="s">
        <v>334</v>
      </c>
      <c r="R2" s="18">
        <v>1</v>
      </c>
      <c r="S2" s="18">
        <v>1</v>
      </c>
      <c r="T2" s="18">
        <v>0</v>
      </c>
      <c r="U2" s="18">
        <v>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 t="s">
        <v>187</v>
      </c>
      <c r="AD2" s="18">
        <v>0</v>
      </c>
      <c r="AE2" s="18">
        <v>1</v>
      </c>
      <c r="AF2" s="18">
        <v>0</v>
      </c>
      <c r="AG2" s="18">
        <v>0</v>
      </c>
      <c r="AH2" s="18">
        <v>0</v>
      </c>
    </row>
    <row r="3" spans="1:34">
      <c r="A3" s="18" t="s">
        <v>48</v>
      </c>
      <c r="B3" s="18">
        <v>6</v>
      </c>
      <c r="C3" s="18">
        <v>6</v>
      </c>
      <c r="D3" s="18">
        <v>7</v>
      </c>
      <c r="E3" s="18">
        <v>7</v>
      </c>
      <c r="F3" s="18"/>
      <c r="G3" s="18"/>
      <c r="H3" s="125" t="str">
        <f>IF(2&lt;=Settings!$B$3,Settings!$E$4,"")</f>
        <v>Donovan</v>
      </c>
      <c r="I3" s="18"/>
      <c r="J3" s="18">
        <v>4</v>
      </c>
      <c r="K3" s="18">
        <v>2</v>
      </c>
      <c r="L3" s="18" t="s">
        <v>335</v>
      </c>
      <c r="M3" s="18" t="s">
        <v>336</v>
      </c>
      <c r="N3" s="18" t="s">
        <v>337</v>
      </c>
      <c r="O3" s="18"/>
      <c r="P3" s="18" t="s">
        <v>176</v>
      </c>
      <c r="Q3" s="18" t="s">
        <v>338</v>
      </c>
      <c r="R3" s="18">
        <v>1</v>
      </c>
      <c r="S3" s="18">
        <v>1</v>
      </c>
      <c r="T3" s="18">
        <v>1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 t="s">
        <v>191</v>
      </c>
      <c r="AD3" s="18">
        <v>1</v>
      </c>
      <c r="AE3" s="18">
        <v>0</v>
      </c>
      <c r="AF3" s="18">
        <v>1</v>
      </c>
      <c r="AG3" s="18">
        <v>1</v>
      </c>
      <c r="AH3" s="18">
        <v>0</v>
      </c>
    </row>
    <row r="4" spans="1:34">
      <c r="A4" s="18" t="s">
        <v>43</v>
      </c>
      <c r="B4" s="18">
        <v>6</v>
      </c>
      <c r="C4" s="18">
        <v>7</v>
      </c>
      <c r="D4" s="18">
        <v>6</v>
      </c>
      <c r="E4" s="18">
        <v>7</v>
      </c>
      <c r="F4" s="18"/>
      <c r="G4" s="18"/>
      <c r="H4" s="126" t="str">
        <f>IF(3&lt;=Settings!$B$3,Settings!$E$5,"")</f>
        <v>Jason</v>
      </c>
      <c r="I4" s="18"/>
      <c r="J4" s="18">
        <v>4</v>
      </c>
      <c r="K4" s="18">
        <v>3</v>
      </c>
      <c r="L4" s="18" t="s">
        <v>339</v>
      </c>
      <c r="M4" s="18" t="s">
        <v>340</v>
      </c>
      <c r="N4" s="18" t="s">
        <v>341</v>
      </c>
      <c r="O4" s="18"/>
      <c r="P4" s="18" t="s">
        <v>177</v>
      </c>
      <c r="Q4" s="18" t="s">
        <v>342</v>
      </c>
      <c r="R4" s="18">
        <v>1</v>
      </c>
      <c r="S4" s="18">
        <v>1</v>
      </c>
      <c r="T4" s="18">
        <v>0</v>
      </c>
      <c r="U4" s="18">
        <v>1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 t="s">
        <v>192</v>
      </c>
      <c r="AD4" s="18">
        <v>2</v>
      </c>
      <c r="AE4" s="18">
        <v>0</v>
      </c>
      <c r="AF4" s="18">
        <v>2</v>
      </c>
      <c r="AG4" s="18">
        <v>2</v>
      </c>
      <c r="AH4" s="18">
        <v>0</v>
      </c>
    </row>
    <row r="5" spans="1:34">
      <c r="A5" s="18" t="s">
        <v>47</v>
      </c>
      <c r="B5" s="18">
        <v>9</v>
      </c>
      <c r="C5" s="18">
        <v>4</v>
      </c>
      <c r="D5" s="18">
        <v>8</v>
      </c>
      <c r="E5" s="18">
        <v>5</v>
      </c>
      <c r="F5" s="18"/>
      <c r="G5" s="18"/>
      <c r="H5" s="127" t="str">
        <f>IF(4&lt;=Settings!$B$3,Settings!$E$6,"")</f>
        <v>Justin</v>
      </c>
      <c r="I5" s="18"/>
      <c r="J5" s="18">
        <v>4</v>
      </c>
      <c r="K5" s="18">
        <v>4</v>
      </c>
      <c r="L5" s="18" t="s">
        <v>343</v>
      </c>
      <c r="M5" s="18" t="s">
        <v>344</v>
      </c>
      <c r="N5" s="18" t="s">
        <v>345</v>
      </c>
      <c r="O5" s="18"/>
      <c r="P5" s="18" t="s">
        <v>178</v>
      </c>
      <c r="Q5" s="18" t="s">
        <v>346</v>
      </c>
      <c r="R5" s="18">
        <v>1</v>
      </c>
      <c r="S5" s="18">
        <v>1</v>
      </c>
      <c r="T5" s="18">
        <v>0</v>
      </c>
      <c r="U5" s="18">
        <v>0</v>
      </c>
      <c r="V5" s="18">
        <v>1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 t="s">
        <v>347</v>
      </c>
      <c r="AD5" s="18">
        <v>3</v>
      </c>
      <c r="AE5" s="18">
        <v>0</v>
      </c>
      <c r="AF5" s="18">
        <v>3</v>
      </c>
      <c r="AG5" s="18">
        <v>3</v>
      </c>
      <c r="AH5" s="18">
        <v>0</v>
      </c>
    </row>
    <row r="6" spans="1:34">
      <c r="A6" s="18" t="s">
        <v>50</v>
      </c>
      <c r="B6" s="18">
        <v>8</v>
      </c>
      <c r="C6" s="18">
        <v>4</v>
      </c>
      <c r="D6" s="18">
        <v>8</v>
      </c>
      <c r="E6" s="18">
        <v>5</v>
      </c>
      <c r="F6" s="18"/>
      <c r="G6" s="18"/>
      <c r="H6" s="128" t="str">
        <f>IF(5&lt;=Settings!$B$3,Settings!$E$7,"")</f>
        <v>May</v>
      </c>
      <c r="I6" s="18"/>
      <c r="J6" s="18">
        <v>4</v>
      </c>
      <c r="K6" s="18">
        <v>5</v>
      </c>
      <c r="L6" s="18" t="s">
        <v>348</v>
      </c>
      <c r="M6" s="18" t="s">
        <v>349</v>
      </c>
      <c r="N6" s="18" t="s">
        <v>350</v>
      </c>
      <c r="O6" s="18"/>
      <c r="P6" s="18" t="s">
        <v>180</v>
      </c>
      <c r="Q6" s="18" t="s">
        <v>351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1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 t="s">
        <v>190</v>
      </c>
      <c r="AD6" s="18">
        <v>1</v>
      </c>
      <c r="AE6" s="18">
        <v>1</v>
      </c>
      <c r="AF6" s="18">
        <v>1</v>
      </c>
      <c r="AG6" s="18">
        <v>1</v>
      </c>
      <c r="AH6" s="18">
        <v>0</v>
      </c>
    </row>
    <row r="7" spans="1:34">
      <c r="A7" s="18" t="s">
        <v>45</v>
      </c>
      <c r="B7" s="18">
        <v>4</v>
      </c>
      <c r="C7" s="18">
        <v>8</v>
      </c>
      <c r="D7" s="18">
        <v>7</v>
      </c>
      <c r="E7" s="18">
        <v>5</v>
      </c>
      <c r="F7" s="18"/>
      <c r="G7" s="18"/>
      <c r="H7" s="129" t="str">
        <f>IF(6&lt;=Settings!$B$3,Settings!$E$8,"")</f>
        <v>Nick</v>
      </c>
      <c r="I7" s="18"/>
      <c r="J7" s="18">
        <v>4</v>
      </c>
      <c r="K7" s="18">
        <v>6</v>
      </c>
      <c r="L7" s="18" t="s">
        <v>352</v>
      </c>
      <c r="M7" s="18" t="s">
        <v>353</v>
      </c>
      <c r="N7" s="18" t="s">
        <v>354</v>
      </c>
      <c r="O7" s="18"/>
      <c r="P7" s="18" t="s">
        <v>355</v>
      </c>
      <c r="Q7" s="18" t="s">
        <v>356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1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 t="s">
        <v>204</v>
      </c>
      <c r="AD7" s="18">
        <v>2</v>
      </c>
      <c r="AE7" s="18">
        <v>1</v>
      </c>
      <c r="AF7" s="18">
        <v>2</v>
      </c>
      <c r="AG7" s="18">
        <v>2</v>
      </c>
      <c r="AH7" s="18">
        <v>0</v>
      </c>
    </row>
    <row r="8" spans="1:34">
      <c r="A8" s="18" t="s">
        <v>49</v>
      </c>
      <c r="B8" s="18">
        <v>6</v>
      </c>
      <c r="C8" s="18">
        <v>6</v>
      </c>
      <c r="D8" s="18">
        <v>6</v>
      </c>
      <c r="E8" s="18">
        <v>6</v>
      </c>
      <c r="F8" s="18"/>
      <c r="G8" s="18"/>
      <c r="H8" s="8" t="str">
        <f>IF(7&lt;=Settings!$B$3,Settings!$E$9,"")</f>
        <v/>
      </c>
      <c r="I8" s="18"/>
      <c r="J8" s="18">
        <v>4</v>
      </c>
      <c r="K8" s="18">
        <v>7</v>
      </c>
      <c r="L8" s="18" t="s">
        <v>357</v>
      </c>
      <c r="M8" s="18" t="s">
        <v>358</v>
      </c>
      <c r="N8" s="18" t="s">
        <v>359</v>
      </c>
      <c r="O8" s="18"/>
      <c r="P8" s="18" t="s">
        <v>182</v>
      </c>
      <c r="Q8" s="18" t="s">
        <v>360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1</v>
      </c>
      <c r="Z8" s="18">
        <v>0</v>
      </c>
      <c r="AA8" s="18">
        <v>0</v>
      </c>
      <c r="AB8" s="18">
        <v>0</v>
      </c>
      <c r="AC8" s="18" t="s">
        <v>212</v>
      </c>
      <c r="AD8" s="18">
        <v>3</v>
      </c>
      <c r="AE8" s="18">
        <v>1</v>
      </c>
      <c r="AF8" s="18">
        <v>3</v>
      </c>
      <c r="AG8" s="18">
        <v>3</v>
      </c>
      <c r="AH8" s="18">
        <v>0</v>
      </c>
    </row>
    <row r="9" spans="1:34">
      <c r="A9" s="18" t="s">
        <v>40</v>
      </c>
      <c r="B9" s="18">
        <v>5</v>
      </c>
      <c r="C9" s="18">
        <v>7</v>
      </c>
      <c r="D9" s="18">
        <v>4</v>
      </c>
      <c r="E9" s="18">
        <v>7</v>
      </c>
      <c r="F9" s="18"/>
      <c r="G9" s="18"/>
      <c r="H9" s="8" t="str">
        <f>IF(8&lt;=Settings!$B$3,Settings!$E$10,"")</f>
        <v/>
      </c>
      <c r="I9" s="18"/>
      <c r="J9" s="18">
        <v>5</v>
      </c>
      <c r="K9" s="18">
        <v>1</v>
      </c>
      <c r="L9" s="18" t="s">
        <v>331</v>
      </c>
      <c r="M9" s="18" t="s">
        <v>333</v>
      </c>
      <c r="N9" s="18" t="s">
        <v>361</v>
      </c>
      <c r="O9" s="18"/>
      <c r="P9" s="18" t="s">
        <v>185</v>
      </c>
      <c r="Q9" s="18" t="s">
        <v>362</v>
      </c>
      <c r="R9" s="18">
        <v>1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1</v>
      </c>
      <c r="Y9" s="18">
        <v>0</v>
      </c>
      <c r="Z9" s="18">
        <v>0</v>
      </c>
      <c r="AA9" s="18">
        <v>0</v>
      </c>
      <c r="AB9" s="18">
        <v>1</v>
      </c>
      <c r="AC9" s="18" t="s">
        <v>215</v>
      </c>
      <c r="AD9" s="18">
        <v>4</v>
      </c>
      <c r="AE9" s="18">
        <v>1</v>
      </c>
      <c r="AF9" s="18">
        <v>4</v>
      </c>
      <c r="AG9" s="18">
        <v>4</v>
      </c>
      <c r="AH9" s="18">
        <v>1</v>
      </c>
    </row>
    <row r="10" spans="1:34">
      <c r="A10" s="18" t="s">
        <v>53</v>
      </c>
      <c r="B10" s="18">
        <v>5</v>
      </c>
      <c r="C10" s="18">
        <v>4</v>
      </c>
      <c r="D10" s="18">
        <v>8</v>
      </c>
      <c r="E10" s="18">
        <v>6</v>
      </c>
      <c r="F10" s="18"/>
      <c r="G10" s="18"/>
      <c r="H10" s="18"/>
      <c r="I10" s="18"/>
      <c r="J10" s="18">
        <v>5</v>
      </c>
      <c r="K10" s="18">
        <v>2</v>
      </c>
      <c r="L10" s="18" t="s">
        <v>363</v>
      </c>
      <c r="M10" s="18" t="s">
        <v>336</v>
      </c>
      <c r="N10" s="18" t="s">
        <v>337</v>
      </c>
      <c r="O10" s="18"/>
      <c r="P10" s="18" t="s">
        <v>186</v>
      </c>
      <c r="Q10" s="18" t="s">
        <v>364</v>
      </c>
      <c r="R10" s="18">
        <v>1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1</v>
      </c>
      <c r="AC10" s="18"/>
      <c r="AD10" s="18"/>
      <c r="AE10" s="18"/>
      <c r="AF10" s="18"/>
      <c r="AG10" s="18"/>
      <c r="AH10" s="18">
        <v>1</v>
      </c>
    </row>
    <row r="11" spans="1:34">
      <c r="A11" s="18" t="s">
        <v>57</v>
      </c>
      <c r="B11" s="18">
        <v>4</v>
      </c>
      <c r="C11" s="18">
        <v>4</v>
      </c>
      <c r="D11" s="18">
        <v>6</v>
      </c>
      <c r="E11" s="18">
        <v>9</v>
      </c>
      <c r="F11" s="18"/>
      <c r="G11" s="18"/>
      <c r="H11" s="18"/>
      <c r="I11" s="18"/>
      <c r="J11" s="18">
        <v>5</v>
      </c>
      <c r="K11" s="18">
        <v>3</v>
      </c>
      <c r="L11" s="18" t="s">
        <v>365</v>
      </c>
      <c r="M11" s="18" t="s">
        <v>332</v>
      </c>
      <c r="N11" s="18" t="s">
        <v>344</v>
      </c>
      <c r="O11" s="18"/>
      <c r="P11" s="18" t="s">
        <v>189</v>
      </c>
      <c r="Q11" s="18" t="s">
        <v>366</v>
      </c>
      <c r="R11" s="18">
        <v>1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1</v>
      </c>
      <c r="AC11" s="18"/>
      <c r="AD11" s="18"/>
      <c r="AE11" s="18"/>
      <c r="AF11" s="18"/>
      <c r="AG11" s="18"/>
      <c r="AH11" s="18">
        <v>1</v>
      </c>
    </row>
    <row r="12" spans="1:34">
      <c r="A12" s="18" t="s">
        <v>78</v>
      </c>
      <c r="B12" s="18">
        <v>5</v>
      </c>
      <c r="C12" s="18">
        <v>5</v>
      </c>
      <c r="D12" s="18">
        <v>7</v>
      </c>
      <c r="E12" s="18">
        <v>5</v>
      </c>
      <c r="F12" s="18"/>
      <c r="G12" s="18"/>
      <c r="H12" s="18"/>
      <c r="I12" s="18"/>
      <c r="J12" s="18">
        <v>5</v>
      </c>
      <c r="K12" s="18">
        <v>4</v>
      </c>
      <c r="L12" s="18" t="s">
        <v>339</v>
      </c>
      <c r="M12" s="18" t="s">
        <v>367</v>
      </c>
      <c r="N12" s="18" t="s">
        <v>340</v>
      </c>
      <c r="O12" s="18"/>
      <c r="P12" s="18" t="s">
        <v>193</v>
      </c>
      <c r="Q12" s="18" t="s">
        <v>368</v>
      </c>
      <c r="R12" s="18">
        <v>1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1</v>
      </c>
      <c r="AC12" s="18"/>
      <c r="AD12" s="18"/>
      <c r="AE12" s="18"/>
      <c r="AF12" s="18"/>
      <c r="AG12" s="18"/>
      <c r="AH12" s="18">
        <v>1</v>
      </c>
    </row>
    <row r="13" spans="1:34">
      <c r="A13" s="18" t="s">
        <v>63</v>
      </c>
      <c r="B13" s="18">
        <v>3</v>
      </c>
      <c r="C13" s="18">
        <v>6</v>
      </c>
      <c r="D13" s="18">
        <v>8</v>
      </c>
      <c r="E13" s="18">
        <v>4</v>
      </c>
      <c r="F13" s="18"/>
      <c r="G13" s="18"/>
      <c r="H13" s="18"/>
      <c r="I13" s="18"/>
      <c r="J13" s="18">
        <v>5</v>
      </c>
      <c r="K13" s="18">
        <v>5</v>
      </c>
      <c r="L13" s="18" t="s">
        <v>343</v>
      </c>
      <c r="M13" s="18" t="s">
        <v>369</v>
      </c>
      <c r="N13" s="18" t="s">
        <v>370</v>
      </c>
      <c r="O13" s="18"/>
      <c r="P13" s="18" t="s">
        <v>371</v>
      </c>
      <c r="Q13" s="18" t="s">
        <v>372</v>
      </c>
      <c r="R13" s="18">
        <v>1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1</v>
      </c>
      <c r="AC13" s="18"/>
      <c r="AD13" s="18"/>
      <c r="AE13" s="18"/>
      <c r="AF13" s="18"/>
      <c r="AG13" s="18"/>
      <c r="AH13" s="18">
        <v>1</v>
      </c>
    </row>
    <row r="14" spans="1:34">
      <c r="A14" s="18" t="s">
        <v>69</v>
      </c>
      <c r="B14" s="18">
        <v>6</v>
      </c>
      <c r="C14" s="18">
        <v>4</v>
      </c>
      <c r="D14" s="18">
        <v>5</v>
      </c>
      <c r="E14" s="18">
        <v>6</v>
      </c>
      <c r="F14" s="18"/>
      <c r="G14" s="18"/>
      <c r="H14" s="18"/>
      <c r="I14" s="18"/>
      <c r="J14" s="18">
        <v>5</v>
      </c>
      <c r="K14" s="18">
        <v>6</v>
      </c>
      <c r="L14" s="18" t="s">
        <v>373</v>
      </c>
      <c r="M14" s="18" t="s">
        <v>374</v>
      </c>
      <c r="N14" s="18" t="s">
        <v>350</v>
      </c>
      <c r="O14" s="18"/>
      <c r="P14" s="18" t="s">
        <v>207</v>
      </c>
      <c r="Q14" s="18" t="s">
        <v>375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1</v>
      </c>
      <c r="AC14" s="18"/>
      <c r="AD14" s="18"/>
      <c r="AE14" s="18"/>
      <c r="AF14" s="18"/>
      <c r="AG14" s="18"/>
      <c r="AH14" s="18">
        <v>1</v>
      </c>
    </row>
    <row r="15" spans="1:34">
      <c r="A15" s="18" t="s">
        <v>71</v>
      </c>
      <c r="B15" s="18">
        <v>8</v>
      </c>
      <c r="C15" s="18">
        <v>2</v>
      </c>
      <c r="D15" s="18">
        <v>5</v>
      </c>
      <c r="E15" s="18">
        <v>6</v>
      </c>
      <c r="F15" s="18"/>
      <c r="G15" s="18"/>
      <c r="H15" s="18"/>
      <c r="I15" s="18"/>
      <c r="J15" s="18">
        <v>5</v>
      </c>
      <c r="K15" s="18">
        <v>7</v>
      </c>
      <c r="L15" s="18" t="s">
        <v>348</v>
      </c>
      <c r="M15" s="18" t="s">
        <v>349</v>
      </c>
      <c r="N15" s="18" t="s">
        <v>376</v>
      </c>
      <c r="O15" s="18"/>
      <c r="P15" s="18" t="s">
        <v>377</v>
      </c>
      <c r="Q15" s="18" t="s">
        <v>378</v>
      </c>
      <c r="R15" s="18">
        <v>1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1</v>
      </c>
      <c r="AC15" s="18"/>
      <c r="AD15" s="18"/>
      <c r="AE15" s="18"/>
      <c r="AF15" s="18"/>
      <c r="AG15" s="18"/>
      <c r="AH15" s="18">
        <v>0</v>
      </c>
    </row>
    <row r="16" spans="1:34">
      <c r="A16" s="18" t="s">
        <v>84</v>
      </c>
      <c r="B16" s="18">
        <v>6</v>
      </c>
      <c r="C16" s="18">
        <v>4</v>
      </c>
      <c r="D16" s="18">
        <v>5</v>
      </c>
      <c r="E16" s="18">
        <v>6</v>
      </c>
      <c r="F16" s="18"/>
      <c r="G16" s="18"/>
      <c r="H16" s="18"/>
      <c r="I16" s="18"/>
      <c r="J16" s="18">
        <v>5</v>
      </c>
      <c r="K16" s="18">
        <v>8</v>
      </c>
      <c r="L16" s="18" t="s">
        <v>352</v>
      </c>
      <c r="M16" s="18" t="s">
        <v>353</v>
      </c>
      <c r="N16" s="18" t="s">
        <v>354</v>
      </c>
      <c r="O16" s="18"/>
      <c r="P16" s="18" t="s">
        <v>205</v>
      </c>
      <c r="Q16" s="18" t="s">
        <v>379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1</v>
      </c>
      <c r="AC16" s="18"/>
      <c r="AD16" s="18"/>
      <c r="AE16" s="18"/>
      <c r="AF16" s="18"/>
      <c r="AG16" s="18"/>
      <c r="AH16" s="18">
        <v>2</v>
      </c>
    </row>
    <row r="17" spans="1:34">
      <c r="A17" s="18" t="s">
        <v>85</v>
      </c>
      <c r="B17" s="18">
        <v>5</v>
      </c>
      <c r="C17" s="18">
        <v>6</v>
      </c>
      <c r="D17" s="18">
        <v>7</v>
      </c>
      <c r="E17" s="18">
        <v>3</v>
      </c>
      <c r="F17" s="18"/>
      <c r="G17" s="18"/>
      <c r="H17" s="18"/>
      <c r="I17" s="18"/>
      <c r="J17" s="18">
        <v>5</v>
      </c>
      <c r="K17" s="18">
        <v>9</v>
      </c>
      <c r="L17" s="18" t="s">
        <v>357</v>
      </c>
      <c r="M17" s="18" t="s">
        <v>358</v>
      </c>
      <c r="N17" s="18" t="s">
        <v>359</v>
      </c>
      <c r="O17" s="18"/>
      <c r="P17" s="18" t="s">
        <v>380</v>
      </c>
      <c r="Q17" s="18" t="s">
        <v>381</v>
      </c>
      <c r="R17" s="18">
        <v>1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2</v>
      </c>
      <c r="AC17" s="18"/>
      <c r="AD17" s="18"/>
      <c r="AE17" s="18"/>
      <c r="AF17" s="18"/>
      <c r="AG17" s="18"/>
      <c r="AH17" s="18">
        <v>3</v>
      </c>
    </row>
    <row r="18" spans="1:34">
      <c r="A18" s="18" t="s">
        <v>44</v>
      </c>
      <c r="B18" s="18">
        <v>5</v>
      </c>
      <c r="C18" s="18">
        <v>10</v>
      </c>
      <c r="D18" s="18">
        <v>3</v>
      </c>
      <c r="E18" s="18">
        <v>3</v>
      </c>
      <c r="F18" s="18"/>
      <c r="G18" s="18"/>
      <c r="H18" s="18"/>
      <c r="I18" s="18"/>
      <c r="J18" s="18">
        <v>6</v>
      </c>
      <c r="K18" s="18">
        <v>1</v>
      </c>
      <c r="L18" s="18" t="s">
        <v>331</v>
      </c>
      <c r="M18" s="18" t="s">
        <v>333</v>
      </c>
      <c r="N18" s="18" t="s">
        <v>361</v>
      </c>
      <c r="O18" s="18"/>
      <c r="P18" s="18" t="s">
        <v>183</v>
      </c>
      <c r="Q18" s="18" t="s">
        <v>382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1</v>
      </c>
      <c r="AA18" s="18">
        <v>0</v>
      </c>
      <c r="AB18" s="18">
        <v>3</v>
      </c>
      <c r="AC18" s="18"/>
      <c r="AD18" s="18"/>
      <c r="AE18" s="18"/>
      <c r="AF18" s="18"/>
      <c r="AG18" s="18"/>
      <c r="AH18" s="18">
        <v>1</v>
      </c>
    </row>
    <row r="19" spans="1:34">
      <c r="A19" s="18" t="s">
        <v>81</v>
      </c>
      <c r="B19" s="18">
        <v>3</v>
      </c>
      <c r="C19" s="18">
        <v>7</v>
      </c>
      <c r="D19" s="18">
        <v>7</v>
      </c>
      <c r="E19" s="18">
        <v>4</v>
      </c>
      <c r="F19" s="18"/>
      <c r="G19" s="18"/>
      <c r="H19" s="18"/>
      <c r="I19" s="18"/>
      <c r="J19" s="18">
        <v>6</v>
      </c>
      <c r="K19" s="18">
        <v>2</v>
      </c>
      <c r="L19" s="18" t="s">
        <v>335</v>
      </c>
      <c r="M19" s="18" t="s">
        <v>337</v>
      </c>
      <c r="N19" s="18" t="s">
        <v>383</v>
      </c>
      <c r="O19" s="18"/>
      <c r="P19" s="18" t="s">
        <v>184</v>
      </c>
      <c r="Q19" s="18" t="s">
        <v>384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1</v>
      </c>
      <c r="AB19" s="18">
        <v>1</v>
      </c>
      <c r="AC19" s="18"/>
      <c r="AD19" s="18"/>
      <c r="AE19" s="18"/>
      <c r="AF19" s="18"/>
      <c r="AG19" s="18"/>
      <c r="AH19" s="18">
        <v>1</v>
      </c>
    </row>
    <row r="20" spans="1:34">
      <c r="A20" s="18" t="s">
        <v>56</v>
      </c>
      <c r="B20" s="18">
        <v>5</v>
      </c>
      <c r="C20" s="18">
        <v>7</v>
      </c>
      <c r="D20" s="18">
        <v>4</v>
      </c>
      <c r="E20" s="18">
        <v>5</v>
      </c>
      <c r="F20" s="18"/>
      <c r="G20" s="18"/>
      <c r="H20" s="18"/>
      <c r="I20" s="18"/>
      <c r="J20" s="18">
        <v>6</v>
      </c>
      <c r="K20" s="18">
        <v>3</v>
      </c>
      <c r="L20" s="18" t="s">
        <v>363</v>
      </c>
      <c r="M20" s="18" t="s">
        <v>332</v>
      </c>
      <c r="N20" s="18" t="s">
        <v>344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>
        <v>1</v>
      </c>
      <c r="AC20" s="18"/>
      <c r="AD20" s="18"/>
      <c r="AE20" s="18"/>
      <c r="AF20" s="18"/>
      <c r="AG20" s="18"/>
      <c r="AH20" s="18"/>
    </row>
    <row r="21" spans="1:34">
      <c r="A21" s="18" t="s">
        <v>52</v>
      </c>
      <c r="B21" s="18">
        <v>4</v>
      </c>
      <c r="C21" s="18">
        <v>8</v>
      </c>
      <c r="D21" s="18">
        <v>6</v>
      </c>
      <c r="E21" s="18">
        <v>3</v>
      </c>
      <c r="F21" s="18"/>
      <c r="G21" s="18"/>
      <c r="H21" s="18"/>
      <c r="I21" s="18"/>
      <c r="J21" s="18">
        <v>6</v>
      </c>
      <c r="K21" s="18">
        <v>4</v>
      </c>
      <c r="L21" s="18" t="s">
        <v>365</v>
      </c>
      <c r="M21" s="18" t="s">
        <v>336</v>
      </c>
      <c r="N21" s="18" t="s">
        <v>345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</row>
    <row r="22" spans="1:34">
      <c r="A22" s="18" t="s">
        <v>58</v>
      </c>
      <c r="B22" s="18">
        <v>7</v>
      </c>
      <c r="C22" s="18">
        <v>7</v>
      </c>
      <c r="D22" s="18">
        <v>3</v>
      </c>
      <c r="E22" s="18">
        <v>4</v>
      </c>
      <c r="F22" s="18"/>
      <c r="G22" s="18"/>
      <c r="H22" s="18"/>
      <c r="I22" s="18"/>
      <c r="J22" s="18">
        <v>6</v>
      </c>
      <c r="K22" s="18">
        <v>5</v>
      </c>
      <c r="L22" s="18" t="s">
        <v>339</v>
      </c>
      <c r="M22" s="18" t="s">
        <v>367</v>
      </c>
      <c r="N22" s="18" t="s">
        <v>341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</row>
    <row r="23" spans="1:34">
      <c r="A23" s="18" t="s">
        <v>89</v>
      </c>
      <c r="B23" s="18">
        <v>4</v>
      </c>
      <c r="C23" s="18">
        <v>7</v>
      </c>
      <c r="D23" s="18">
        <v>7</v>
      </c>
      <c r="E23" s="18">
        <v>3</v>
      </c>
      <c r="F23" s="18"/>
      <c r="G23" s="18"/>
      <c r="H23" s="18"/>
      <c r="I23" s="18"/>
      <c r="J23" s="18">
        <v>6</v>
      </c>
      <c r="K23" s="18">
        <v>6</v>
      </c>
      <c r="L23" s="18" t="s">
        <v>385</v>
      </c>
      <c r="M23" s="18" t="s">
        <v>374</v>
      </c>
      <c r="N23" s="18" t="s">
        <v>340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</row>
    <row r="24" spans="1:34">
      <c r="A24" s="18" t="s">
        <v>90</v>
      </c>
      <c r="B24" s="18">
        <v>6</v>
      </c>
      <c r="C24" s="18">
        <v>3</v>
      </c>
      <c r="D24" s="18">
        <v>7</v>
      </c>
      <c r="E24" s="18">
        <v>5</v>
      </c>
      <c r="F24" s="18"/>
      <c r="G24" s="18"/>
      <c r="H24" s="18"/>
      <c r="I24" s="18"/>
      <c r="J24" s="18">
        <v>6</v>
      </c>
      <c r="K24" s="18">
        <v>7</v>
      </c>
      <c r="L24" s="18" t="s">
        <v>373</v>
      </c>
      <c r="M24" s="18" t="s">
        <v>350</v>
      </c>
      <c r="N24" s="18" t="s">
        <v>386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</row>
    <row r="25" spans="1:34">
      <c r="A25" s="18" t="s">
        <v>46</v>
      </c>
      <c r="B25" s="18">
        <v>4</v>
      </c>
      <c r="C25" s="18">
        <v>10</v>
      </c>
      <c r="D25" s="18">
        <v>5</v>
      </c>
      <c r="E25" s="18">
        <v>2</v>
      </c>
      <c r="F25" s="18"/>
      <c r="G25" s="18"/>
      <c r="H25" s="18"/>
      <c r="I25" s="18"/>
      <c r="J25" s="18">
        <v>6</v>
      </c>
      <c r="K25" s="18">
        <v>8</v>
      </c>
      <c r="L25" s="18" t="s">
        <v>343</v>
      </c>
      <c r="M25" s="18" t="s">
        <v>370</v>
      </c>
      <c r="N25" s="18" t="s">
        <v>369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</row>
    <row r="26" spans="1:34">
      <c r="A26" s="18" t="s">
        <v>59</v>
      </c>
      <c r="B26" s="18">
        <v>3</v>
      </c>
      <c r="C26" s="18">
        <v>8</v>
      </c>
      <c r="D26" s="18">
        <v>7</v>
      </c>
      <c r="E26" s="18">
        <v>3</v>
      </c>
      <c r="F26" s="18"/>
      <c r="G26" s="18"/>
      <c r="H26" s="18"/>
      <c r="I26" s="18"/>
      <c r="J26" s="18">
        <v>6</v>
      </c>
      <c r="K26" s="18">
        <v>9</v>
      </c>
      <c r="L26" s="18" t="s">
        <v>348</v>
      </c>
      <c r="M26" s="18" t="s">
        <v>349</v>
      </c>
      <c r="N26" s="18" t="s">
        <v>376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</row>
    <row r="27" spans="1:34">
      <c r="A27" s="18" t="s">
        <v>79</v>
      </c>
      <c r="B27" s="18">
        <v>3</v>
      </c>
      <c r="C27" s="18">
        <v>7</v>
      </c>
      <c r="D27" s="18">
        <v>4</v>
      </c>
      <c r="E27" s="18">
        <v>7</v>
      </c>
      <c r="F27" s="18"/>
      <c r="G27" s="18"/>
      <c r="H27" s="18"/>
      <c r="I27" s="18"/>
      <c r="J27" s="18">
        <v>6</v>
      </c>
      <c r="K27" s="18">
        <v>10</v>
      </c>
      <c r="L27" s="18" t="s">
        <v>352</v>
      </c>
      <c r="M27" s="18" t="s">
        <v>353</v>
      </c>
      <c r="N27" s="18" t="s">
        <v>354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</row>
    <row r="28" spans="1:34">
      <c r="A28" s="18" t="s">
        <v>77</v>
      </c>
      <c r="B28" s="18">
        <v>5</v>
      </c>
      <c r="C28" s="18">
        <v>2</v>
      </c>
      <c r="D28" s="18">
        <v>5</v>
      </c>
      <c r="E28" s="18">
        <v>8</v>
      </c>
      <c r="F28" s="18"/>
      <c r="G28" s="18"/>
      <c r="H28" s="18"/>
      <c r="I28" s="18"/>
      <c r="J28" s="18">
        <v>6</v>
      </c>
      <c r="K28" s="18">
        <v>11</v>
      </c>
      <c r="L28" s="18" t="s">
        <v>357</v>
      </c>
      <c r="M28" s="18" t="s">
        <v>358</v>
      </c>
      <c r="N28" s="18" t="s">
        <v>359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</row>
    <row r="29" spans="1:34">
      <c r="A29" s="18" t="s">
        <v>72</v>
      </c>
      <c r="B29" s="18">
        <v>5</v>
      </c>
      <c r="C29" s="18">
        <v>3</v>
      </c>
      <c r="D29" s="18">
        <v>4</v>
      </c>
      <c r="E29" s="18">
        <v>8</v>
      </c>
      <c r="F29" s="18"/>
      <c r="G29" s="18"/>
      <c r="H29" s="18"/>
      <c r="I29" s="18"/>
      <c r="J29" s="18">
        <v>7</v>
      </c>
      <c r="K29" s="18">
        <v>1</v>
      </c>
      <c r="L29" s="18" t="s">
        <v>331</v>
      </c>
      <c r="M29" s="18" t="s">
        <v>333</v>
      </c>
      <c r="N29" s="18" t="s">
        <v>361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</row>
    <row r="30" spans="1:34">
      <c r="A30" s="18" t="s">
        <v>92</v>
      </c>
      <c r="B30" s="18">
        <v>3</v>
      </c>
      <c r="C30" s="18">
        <v>7</v>
      </c>
      <c r="D30" s="18">
        <v>5</v>
      </c>
      <c r="E30" s="18">
        <v>5</v>
      </c>
      <c r="F30" s="18"/>
      <c r="G30" s="18"/>
      <c r="H30" s="18"/>
      <c r="I30" s="18"/>
      <c r="J30" s="18">
        <v>7</v>
      </c>
      <c r="K30" s="18">
        <v>2</v>
      </c>
      <c r="L30" s="18" t="s">
        <v>335</v>
      </c>
      <c r="M30" s="18" t="s">
        <v>336</v>
      </c>
      <c r="N30" s="18" t="s">
        <v>387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</row>
    <row r="31" spans="1:34">
      <c r="A31" s="18" t="s">
        <v>117</v>
      </c>
      <c r="B31" s="18">
        <v>5</v>
      </c>
      <c r="C31" s="18">
        <v>4</v>
      </c>
      <c r="D31" s="18">
        <v>4</v>
      </c>
      <c r="E31" s="18">
        <v>7</v>
      </c>
      <c r="F31" s="18"/>
      <c r="G31" s="18"/>
      <c r="H31" s="18"/>
      <c r="I31" s="18"/>
      <c r="J31" s="18">
        <v>7</v>
      </c>
      <c r="K31" s="18">
        <v>3</v>
      </c>
      <c r="L31" s="18" t="s">
        <v>388</v>
      </c>
      <c r="M31" s="18" t="s">
        <v>337</v>
      </c>
      <c r="N31" s="18" t="s">
        <v>383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</row>
    <row r="32" spans="1:34">
      <c r="A32" s="18" t="s">
        <v>118</v>
      </c>
      <c r="B32" s="18">
        <v>5</v>
      </c>
      <c r="C32" s="18">
        <v>4</v>
      </c>
      <c r="D32" s="18">
        <v>7</v>
      </c>
      <c r="E32" s="18">
        <v>4</v>
      </c>
      <c r="F32" s="18"/>
      <c r="G32" s="18"/>
      <c r="H32" s="18"/>
      <c r="I32" s="18"/>
      <c r="J32" s="18">
        <v>7</v>
      </c>
      <c r="K32" s="18">
        <v>4</v>
      </c>
      <c r="L32" s="18" t="s">
        <v>339</v>
      </c>
      <c r="M32" s="18" t="s">
        <v>341</v>
      </c>
      <c r="N32" s="18" t="s">
        <v>389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</row>
    <row r="33" spans="1:14">
      <c r="A33" s="18" t="s">
        <v>62</v>
      </c>
      <c r="B33" s="18">
        <v>4</v>
      </c>
      <c r="C33" s="18">
        <v>6</v>
      </c>
      <c r="D33" s="18">
        <v>3</v>
      </c>
      <c r="E33" s="18">
        <v>7</v>
      </c>
      <c r="F33" s="18"/>
      <c r="G33" s="18"/>
      <c r="H33" s="18"/>
      <c r="I33" s="18"/>
      <c r="J33" s="18">
        <v>7</v>
      </c>
      <c r="K33" s="18">
        <v>5</v>
      </c>
      <c r="L33" s="18" t="s">
        <v>363</v>
      </c>
      <c r="M33" s="18" t="s">
        <v>332</v>
      </c>
      <c r="N33" s="18" t="s">
        <v>344</v>
      </c>
    </row>
    <row r="34" spans="1:14">
      <c r="A34" s="18" t="s">
        <v>65</v>
      </c>
      <c r="B34" s="18">
        <v>4</v>
      </c>
      <c r="C34" s="18">
        <v>2</v>
      </c>
      <c r="D34" s="18">
        <v>6</v>
      </c>
      <c r="E34" s="18">
        <v>8</v>
      </c>
      <c r="F34" s="18"/>
      <c r="G34" s="18"/>
      <c r="H34" s="18"/>
      <c r="I34" s="18"/>
      <c r="J34" s="18">
        <v>7</v>
      </c>
      <c r="K34" s="18">
        <v>6</v>
      </c>
      <c r="L34" s="18" t="s">
        <v>365</v>
      </c>
      <c r="M34" s="18" t="s">
        <v>345</v>
      </c>
      <c r="N34" s="18" t="s">
        <v>390</v>
      </c>
    </row>
    <row r="35" spans="1:14">
      <c r="A35" s="18" t="s">
        <v>51</v>
      </c>
      <c r="B35" s="18">
        <v>9</v>
      </c>
      <c r="C35" s="18">
        <v>3</v>
      </c>
      <c r="D35" s="18">
        <v>3</v>
      </c>
      <c r="E35" s="18">
        <v>5</v>
      </c>
      <c r="F35" s="18"/>
      <c r="G35" s="18"/>
      <c r="H35" s="18"/>
      <c r="I35" s="18"/>
      <c r="J35" s="18">
        <v>7</v>
      </c>
      <c r="K35" s="18">
        <v>7</v>
      </c>
      <c r="L35" s="18" t="s">
        <v>373</v>
      </c>
      <c r="M35" s="18" t="s">
        <v>367</v>
      </c>
      <c r="N35" s="18" t="s">
        <v>350</v>
      </c>
    </row>
    <row r="36" spans="1:14">
      <c r="A36" s="18" t="s">
        <v>86</v>
      </c>
      <c r="B36" s="18">
        <v>5</v>
      </c>
      <c r="C36" s="18">
        <v>7</v>
      </c>
      <c r="D36" s="18">
        <v>5</v>
      </c>
      <c r="E36" s="18">
        <v>3</v>
      </c>
      <c r="F36" s="18"/>
      <c r="G36" s="18"/>
      <c r="H36" s="18"/>
      <c r="I36" s="18"/>
      <c r="J36" s="18">
        <v>7</v>
      </c>
      <c r="K36" s="18">
        <v>8</v>
      </c>
      <c r="L36" s="18" t="s">
        <v>391</v>
      </c>
      <c r="M36" s="18" t="s">
        <v>374</v>
      </c>
      <c r="N36" s="18" t="s">
        <v>340</v>
      </c>
    </row>
    <row r="37" spans="1:14">
      <c r="A37" s="18" t="s">
        <v>41</v>
      </c>
      <c r="B37" s="18">
        <v>6</v>
      </c>
      <c r="C37" s="18">
        <v>9</v>
      </c>
      <c r="D37" s="18">
        <v>3</v>
      </c>
      <c r="E37" s="18">
        <v>2</v>
      </c>
      <c r="F37" s="18"/>
      <c r="G37" s="18"/>
      <c r="H37" s="18"/>
      <c r="I37" s="18"/>
      <c r="J37" s="18">
        <v>7</v>
      </c>
      <c r="K37" s="18">
        <v>9</v>
      </c>
      <c r="L37" s="18" t="s">
        <v>392</v>
      </c>
      <c r="M37" s="18" t="s">
        <v>376</v>
      </c>
      <c r="N37" s="18" t="s">
        <v>393</v>
      </c>
    </row>
    <row r="38" spans="1:14">
      <c r="A38" s="18" t="s">
        <v>87</v>
      </c>
      <c r="B38" s="18">
        <v>4</v>
      </c>
      <c r="C38" s="18">
        <v>7</v>
      </c>
      <c r="D38" s="18">
        <v>4</v>
      </c>
      <c r="E38" s="18">
        <v>5</v>
      </c>
      <c r="F38" s="18"/>
      <c r="G38" s="18"/>
      <c r="H38" s="18"/>
      <c r="I38" s="18"/>
      <c r="J38" s="18">
        <v>7</v>
      </c>
      <c r="K38" s="18">
        <v>10</v>
      </c>
      <c r="L38" s="18" t="s">
        <v>343</v>
      </c>
      <c r="M38" s="18" t="s">
        <v>370</v>
      </c>
      <c r="N38" s="18" t="s">
        <v>369</v>
      </c>
    </row>
    <row r="39" spans="1:14">
      <c r="A39" s="18" t="s">
        <v>75</v>
      </c>
      <c r="B39" s="18">
        <v>3</v>
      </c>
      <c r="C39" s="18">
        <v>8</v>
      </c>
      <c r="D39" s="18">
        <v>6</v>
      </c>
      <c r="E39" s="18">
        <v>3</v>
      </c>
      <c r="F39" s="18"/>
      <c r="G39" s="18"/>
      <c r="H39" s="18"/>
      <c r="I39" s="18"/>
      <c r="J39" s="18">
        <v>7</v>
      </c>
      <c r="K39" s="18">
        <v>11</v>
      </c>
      <c r="L39" s="18" t="s">
        <v>348</v>
      </c>
      <c r="M39" s="18" t="s">
        <v>349</v>
      </c>
      <c r="N39" s="18" t="s">
        <v>394</v>
      </c>
    </row>
    <row r="40" spans="1:14">
      <c r="A40" s="18" t="s">
        <v>119</v>
      </c>
      <c r="B40" s="18">
        <v>4</v>
      </c>
      <c r="C40" s="18">
        <v>4</v>
      </c>
      <c r="D40" s="18">
        <v>8</v>
      </c>
      <c r="E40" s="18">
        <v>4</v>
      </c>
      <c r="F40" s="18"/>
      <c r="G40" s="18"/>
      <c r="H40" s="18"/>
      <c r="I40" s="18"/>
      <c r="J40" s="18">
        <v>7</v>
      </c>
      <c r="K40" s="18">
        <v>12</v>
      </c>
      <c r="L40" s="18" t="s">
        <v>352</v>
      </c>
      <c r="M40" s="18" t="s">
        <v>353</v>
      </c>
      <c r="N40" s="18" t="s">
        <v>354</v>
      </c>
    </row>
    <row r="41" spans="1:14">
      <c r="A41" s="18" t="s">
        <v>91</v>
      </c>
      <c r="B41" s="18">
        <v>3</v>
      </c>
      <c r="C41" s="18">
        <v>7</v>
      </c>
      <c r="D41" s="18">
        <v>4</v>
      </c>
      <c r="E41" s="18">
        <v>6</v>
      </c>
      <c r="F41" s="18"/>
      <c r="G41" s="18"/>
      <c r="H41" s="18"/>
      <c r="I41" s="18"/>
      <c r="J41" s="18">
        <v>7</v>
      </c>
      <c r="K41" s="18">
        <v>13</v>
      </c>
      <c r="L41" s="18" t="s">
        <v>357</v>
      </c>
      <c r="M41" s="18" t="s">
        <v>358</v>
      </c>
      <c r="N41" s="18" t="s">
        <v>359</v>
      </c>
    </row>
    <row r="42" spans="1:14">
      <c r="A42" s="18" t="s">
        <v>112</v>
      </c>
      <c r="B42" s="18">
        <v>4</v>
      </c>
      <c r="C42" s="18">
        <v>5</v>
      </c>
      <c r="D42" s="18">
        <v>4</v>
      </c>
      <c r="E42" s="18">
        <v>7</v>
      </c>
      <c r="F42" s="18"/>
      <c r="G42" s="18"/>
      <c r="H42" s="18"/>
      <c r="I42" s="18"/>
      <c r="J42" s="18">
        <v>8</v>
      </c>
      <c r="K42" s="18">
        <v>1</v>
      </c>
      <c r="L42" s="18" t="s">
        <v>331</v>
      </c>
      <c r="M42" s="18" t="s">
        <v>332</v>
      </c>
      <c r="N42" s="18" t="s">
        <v>395</v>
      </c>
    </row>
    <row r="43" spans="1:14">
      <c r="A43" s="18" t="s">
        <v>113</v>
      </c>
      <c r="B43" s="18">
        <v>3</v>
      </c>
      <c r="C43" s="18">
        <v>5</v>
      </c>
      <c r="D43" s="18">
        <v>7</v>
      </c>
      <c r="E43" s="18">
        <v>5</v>
      </c>
      <c r="F43" s="18"/>
      <c r="G43" s="18"/>
      <c r="H43" s="18"/>
      <c r="I43" s="18"/>
      <c r="J43" s="18">
        <v>8</v>
      </c>
      <c r="K43" s="18">
        <v>2</v>
      </c>
      <c r="L43" s="18" t="s">
        <v>335</v>
      </c>
      <c r="M43" s="18" t="s">
        <v>333</v>
      </c>
      <c r="N43" s="18" t="s">
        <v>361</v>
      </c>
    </row>
    <row r="44" spans="1:14">
      <c r="A44" s="18" t="s">
        <v>83</v>
      </c>
      <c r="B44" s="18">
        <v>3</v>
      </c>
      <c r="C44" s="18">
        <v>5</v>
      </c>
      <c r="D44" s="18">
        <v>7</v>
      </c>
      <c r="E44" s="18">
        <v>5</v>
      </c>
      <c r="F44" s="18"/>
      <c r="G44" s="18"/>
      <c r="H44" s="18"/>
      <c r="I44" s="18"/>
      <c r="J44" s="18">
        <v>8</v>
      </c>
      <c r="K44" s="18">
        <v>3</v>
      </c>
      <c r="L44" s="18" t="s">
        <v>388</v>
      </c>
      <c r="M44" s="18" t="s">
        <v>336</v>
      </c>
      <c r="N44" s="18" t="s">
        <v>387</v>
      </c>
    </row>
    <row r="45" spans="1:14">
      <c r="A45" s="18" t="s">
        <v>114</v>
      </c>
      <c r="B45" s="18">
        <v>4</v>
      </c>
      <c r="C45" s="18">
        <v>5</v>
      </c>
      <c r="D45" s="18">
        <v>4</v>
      </c>
      <c r="E45" s="18">
        <v>7</v>
      </c>
      <c r="F45" s="18"/>
      <c r="G45" s="18"/>
      <c r="H45" s="18"/>
      <c r="I45" s="18"/>
      <c r="J45" s="18">
        <v>8</v>
      </c>
      <c r="K45" s="18">
        <v>4</v>
      </c>
      <c r="L45" s="18" t="s">
        <v>396</v>
      </c>
      <c r="M45" s="18" t="s">
        <v>337</v>
      </c>
      <c r="N45" s="18" t="s">
        <v>383</v>
      </c>
    </row>
    <row r="46" spans="1:14">
      <c r="A46" s="18" t="s">
        <v>82</v>
      </c>
      <c r="B46" s="18">
        <v>4</v>
      </c>
      <c r="C46" s="18">
        <v>7</v>
      </c>
      <c r="D46" s="18">
        <v>6</v>
      </c>
      <c r="E46" s="18">
        <v>3</v>
      </c>
      <c r="F46" s="18"/>
      <c r="G46" s="18"/>
      <c r="H46" s="18"/>
      <c r="I46" s="18"/>
      <c r="J46" s="18">
        <v>8</v>
      </c>
      <c r="K46" s="18">
        <v>5</v>
      </c>
      <c r="L46" s="18" t="s">
        <v>339</v>
      </c>
      <c r="M46" s="18" t="s">
        <v>340</v>
      </c>
      <c r="N46" s="18" t="s">
        <v>341</v>
      </c>
    </row>
    <row r="47" spans="1:14">
      <c r="A47" s="18" t="s">
        <v>123</v>
      </c>
      <c r="B47" s="18">
        <v>3</v>
      </c>
      <c r="C47" s="18">
        <v>3</v>
      </c>
      <c r="D47" s="18">
        <v>6</v>
      </c>
      <c r="E47" s="18">
        <v>8</v>
      </c>
      <c r="F47" s="18"/>
      <c r="G47" s="18"/>
      <c r="H47" s="18"/>
      <c r="I47" s="18"/>
      <c r="J47" s="18">
        <v>8</v>
      </c>
      <c r="K47" s="18">
        <v>6</v>
      </c>
      <c r="L47" s="18" t="s">
        <v>385</v>
      </c>
      <c r="M47" s="18" t="s">
        <v>389</v>
      </c>
      <c r="N47" s="18" t="s">
        <v>397</v>
      </c>
    </row>
    <row r="48" spans="1:14">
      <c r="A48" s="18" t="s">
        <v>126</v>
      </c>
      <c r="B48" s="18">
        <v>8</v>
      </c>
      <c r="C48" s="18">
        <v>2</v>
      </c>
      <c r="D48" s="18">
        <v>8</v>
      </c>
      <c r="E48" s="18">
        <v>2</v>
      </c>
      <c r="F48" s="18"/>
      <c r="G48" s="18"/>
      <c r="H48" s="18"/>
      <c r="I48" s="18"/>
      <c r="J48" s="18">
        <v>8</v>
      </c>
      <c r="K48" s="18">
        <v>7</v>
      </c>
      <c r="L48" s="18" t="s">
        <v>363</v>
      </c>
      <c r="M48" s="18" t="s">
        <v>344</v>
      </c>
      <c r="N48" s="18" t="s">
        <v>345</v>
      </c>
    </row>
    <row r="49" spans="1:14">
      <c r="A49" s="18" t="s">
        <v>67</v>
      </c>
      <c r="B49" s="18">
        <v>4</v>
      </c>
      <c r="C49" s="18">
        <v>4</v>
      </c>
      <c r="D49" s="18">
        <v>5</v>
      </c>
      <c r="E49" s="18">
        <v>7</v>
      </c>
      <c r="F49" s="18"/>
      <c r="G49" s="18"/>
      <c r="H49" s="18"/>
      <c r="I49" s="18"/>
      <c r="J49" s="18">
        <v>8</v>
      </c>
      <c r="K49" s="18">
        <v>8</v>
      </c>
      <c r="L49" s="18" t="s">
        <v>365</v>
      </c>
      <c r="M49" s="18" t="s">
        <v>390</v>
      </c>
      <c r="N49" s="18" t="s">
        <v>398</v>
      </c>
    </row>
    <row r="50" spans="1:14">
      <c r="A50" s="18" t="s">
        <v>88</v>
      </c>
      <c r="B50" s="18">
        <v>4</v>
      </c>
      <c r="C50" s="18">
        <v>4</v>
      </c>
      <c r="D50" s="18">
        <v>7</v>
      </c>
      <c r="E50" s="18">
        <v>5</v>
      </c>
      <c r="F50" s="18"/>
      <c r="G50" s="18"/>
      <c r="H50" s="18"/>
      <c r="I50" s="18"/>
      <c r="J50" s="18">
        <v>8</v>
      </c>
      <c r="K50" s="18">
        <v>9</v>
      </c>
      <c r="L50" s="18" t="s">
        <v>373</v>
      </c>
      <c r="M50" s="18" t="s">
        <v>367</v>
      </c>
      <c r="N50" s="18" t="s">
        <v>386</v>
      </c>
    </row>
    <row r="51" spans="1:14">
      <c r="A51" s="18" t="s">
        <v>61</v>
      </c>
      <c r="B51" s="18">
        <v>2</v>
      </c>
      <c r="C51" s="18">
        <v>3</v>
      </c>
      <c r="D51" s="18">
        <v>6</v>
      </c>
      <c r="E51" s="18">
        <v>9</v>
      </c>
      <c r="F51" s="18"/>
      <c r="G51" s="18"/>
      <c r="H51" s="18"/>
      <c r="I51" s="18"/>
      <c r="J51" s="18">
        <v>8</v>
      </c>
      <c r="K51" s="18">
        <v>10</v>
      </c>
      <c r="L51" s="18" t="s">
        <v>391</v>
      </c>
      <c r="M51" s="18" t="s">
        <v>374</v>
      </c>
      <c r="N51" s="18" t="s">
        <v>350</v>
      </c>
    </row>
    <row r="52" spans="1:14">
      <c r="A52" s="18" t="s">
        <v>110</v>
      </c>
      <c r="B52" s="18">
        <v>5</v>
      </c>
      <c r="C52" s="18">
        <v>6</v>
      </c>
      <c r="D52" s="18">
        <v>2</v>
      </c>
      <c r="E52" s="18">
        <v>7</v>
      </c>
      <c r="F52" s="18"/>
      <c r="G52" s="18"/>
      <c r="H52" s="18"/>
      <c r="I52" s="18"/>
      <c r="J52" s="18">
        <v>8</v>
      </c>
      <c r="K52" s="18">
        <v>11</v>
      </c>
      <c r="L52" s="18" t="s">
        <v>392</v>
      </c>
      <c r="M52" s="18" t="s">
        <v>376</v>
      </c>
      <c r="N52" s="18" t="s">
        <v>393</v>
      </c>
    </row>
    <row r="53" spans="1:14">
      <c r="A53" s="18" t="s">
        <v>68</v>
      </c>
      <c r="B53" s="18">
        <v>8</v>
      </c>
      <c r="C53" s="18">
        <v>3</v>
      </c>
      <c r="D53" s="18">
        <v>8</v>
      </c>
      <c r="E53" s="18">
        <v>1</v>
      </c>
      <c r="F53" s="18"/>
      <c r="G53" s="18"/>
      <c r="H53" s="18"/>
      <c r="I53" s="18"/>
      <c r="J53" s="18">
        <v>8</v>
      </c>
      <c r="K53" s="18">
        <v>12</v>
      </c>
      <c r="L53" s="18" t="s">
        <v>343</v>
      </c>
      <c r="M53" s="18" t="s">
        <v>370</v>
      </c>
      <c r="N53" s="18" t="s">
        <v>369</v>
      </c>
    </row>
    <row r="54" spans="1:14">
      <c r="A54" s="18" t="s">
        <v>120</v>
      </c>
      <c r="B54" s="18">
        <v>4</v>
      </c>
      <c r="C54" s="18">
        <v>4</v>
      </c>
      <c r="D54" s="18">
        <v>5</v>
      </c>
      <c r="E54" s="18">
        <v>7</v>
      </c>
      <c r="F54" s="18"/>
      <c r="G54" s="18"/>
      <c r="H54" s="18"/>
      <c r="I54" s="18"/>
      <c r="J54" s="18">
        <v>8</v>
      </c>
      <c r="K54" s="18">
        <v>13</v>
      </c>
      <c r="L54" s="18" t="s">
        <v>348</v>
      </c>
      <c r="M54" s="18" t="s">
        <v>349</v>
      </c>
      <c r="N54" s="18" t="s">
        <v>394</v>
      </c>
    </row>
    <row r="55" spans="1:14">
      <c r="A55" s="18" t="s">
        <v>115</v>
      </c>
      <c r="B55" s="18">
        <v>5</v>
      </c>
      <c r="C55" s="18">
        <v>5</v>
      </c>
      <c r="D55" s="18">
        <v>3</v>
      </c>
      <c r="E55" s="18">
        <v>7</v>
      </c>
      <c r="F55" s="18"/>
      <c r="G55" s="18"/>
      <c r="H55" s="18"/>
      <c r="I55" s="18"/>
      <c r="J55" s="18">
        <v>8</v>
      </c>
      <c r="K55" s="18">
        <v>14</v>
      </c>
      <c r="L55" s="18" t="s">
        <v>352</v>
      </c>
      <c r="M55" s="18" t="s">
        <v>353</v>
      </c>
      <c r="N55" s="18" t="s">
        <v>354</v>
      </c>
    </row>
    <row r="56" spans="1:14">
      <c r="A56" s="18" t="s">
        <v>116</v>
      </c>
      <c r="B56" s="18">
        <v>4</v>
      </c>
      <c r="C56" s="18">
        <v>5</v>
      </c>
      <c r="D56" s="18">
        <v>7</v>
      </c>
      <c r="E56" s="18">
        <v>4</v>
      </c>
      <c r="F56" s="18"/>
      <c r="G56" s="18"/>
      <c r="H56" s="18"/>
      <c r="I56" s="18"/>
      <c r="J56" s="18">
        <v>8</v>
      </c>
      <c r="K56" s="18">
        <v>15</v>
      </c>
      <c r="L56" s="18" t="s">
        <v>357</v>
      </c>
      <c r="M56" s="18" t="s">
        <v>358</v>
      </c>
      <c r="N56" s="18" t="s">
        <v>359</v>
      </c>
    </row>
    <row r="57" spans="1:14">
      <c r="A57" s="18" t="s">
        <v>55</v>
      </c>
      <c r="B57" s="18">
        <v>5</v>
      </c>
      <c r="C57" s="18">
        <v>3</v>
      </c>
      <c r="D57" s="18">
        <v>4</v>
      </c>
      <c r="E57" s="18">
        <v>8</v>
      </c>
      <c r="F57" s="18"/>
      <c r="G57" s="18"/>
      <c r="H57" s="18"/>
      <c r="I57" s="18"/>
      <c r="J57" s="18"/>
      <c r="K57" s="18"/>
      <c r="L57" s="18"/>
      <c r="M57" s="18"/>
      <c r="N57" s="18"/>
    </row>
    <row r="58" spans="1:14">
      <c r="A58" s="18" t="s">
        <v>124</v>
      </c>
      <c r="B58" s="18">
        <v>7</v>
      </c>
      <c r="C58" s="18">
        <v>3</v>
      </c>
      <c r="D58" s="18">
        <v>7</v>
      </c>
      <c r="E58" s="18">
        <v>3</v>
      </c>
      <c r="F58" s="18"/>
      <c r="G58" s="18"/>
      <c r="H58" s="18"/>
      <c r="I58" s="18"/>
      <c r="J58" s="18"/>
      <c r="K58" s="18"/>
      <c r="L58" s="18"/>
      <c r="M58" s="18"/>
      <c r="N58" s="18"/>
    </row>
    <row r="59" spans="1:14">
      <c r="A59" s="18" t="s">
        <v>74</v>
      </c>
      <c r="B59" s="18">
        <v>5</v>
      </c>
      <c r="C59" s="18">
        <v>8</v>
      </c>
      <c r="D59" s="18">
        <v>3</v>
      </c>
      <c r="E59" s="18">
        <v>4</v>
      </c>
      <c r="F59" s="18"/>
      <c r="G59" s="18"/>
      <c r="H59" s="18"/>
      <c r="I59" s="18"/>
      <c r="J59" s="18"/>
      <c r="K59" s="18"/>
      <c r="L59" s="18"/>
      <c r="M59" s="18"/>
      <c r="N59" s="18"/>
    </row>
    <row r="60" spans="1:14">
      <c r="A60" s="18" t="s">
        <v>64</v>
      </c>
      <c r="B60" s="18">
        <v>7</v>
      </c>
      <c r="C60" s="18">
        <v>3</v>
      </c>
      <c r="D60" s="18">
        <v>8</v>
      </c>
      <c r="E60" s="18">
        <v>2</v>
      </c>
      <c r="F60" s="18"/>
      <c r="G60" s="18"/>
      <c r="H60" s="18"/>
      <c r="I60" s="18"/>
      <c r="J60" s="18"/>
      <c r="K60" s="18"/>
      <c r="L60" s="18"/>
      <c r="M60" s="18"/>
      <c r="N60" s="18"/>
    </row>
    <row r="61" spans="1:14">
      <c r="A61" s="18" t="s">
        <v>121</v>
      </c>
      <c r="B61" s="18">
        <v>4</v>
      </c>
      <c r="C61" s="18">
        <v>4</v>
      </c>
      <c r="D61" s="18">
        <v>7</v>
      </c>
      <c r="E61" s="18">
        <v>5</v>
      </c>
      <c r="F61" s="18"/>
      <c r="G61" s="18"/>
      <c r="H61" s="18"/>
      <c r="I61" s="18"/>
      <c r="J61" s="18"/>
      <c r="K61" s="18"/>
      <c r="L61" s="18"/>
      <c r="M61" s="18"/>
      <c r="N61" s="18"/>
    </row>
    <row r="62" spans="1:14">
      <c r="A62" s="18" t="s">
        <v>93</v>
      </c>
      <c r="B62" s="18">
        <v>3</v>
      </c>
      <c r="C62" s="18">
        <v>6</v>
      </c>
      <c r="D62" s="18">
        <v>4</v>
      </c>
      <c r="E62" s="18">
        <v>7</v>
      </c>
      <c r="F62" s="18"/>
      <c r="G62" s="18"/>
      <c r="H62" s="18"/>
      <c r="I62" s="18"/>
      <c r="J62" s="18"/>
      <c r="K62" s="18"/>
      <c r="L62" s="18"/>
      <c r="M62" s="18"/>
      <c r="N62" s="18"/>
    </row>
    <row r="63" spans="1:14">
      <c r="A63" s="18" t="s">
        <v>122</v>
      </c>
      <c r="B63" s="18">
        <v>3</v>
      </c>
      <c r="C63" s="18">
        <v>4</v>
      </c>
      <c r="D63" s="18">
        <v>6</v>
      </c>
      <c r="E63" s="18">
        <v>7</v>
      </c>
      <c r="F63" s="18"/>
      <c r="G63" s="18"/>
      <c r="H63" s="18"/>
      <c r="I63" s="18"/>
      <c r="J63" s="18"/>
      <c r="K63" s="18"/>
      <c r="L63" s="18"/>
      <c r="M63" s="18"/>
      <c r="N63" s="18"/>
    </row>
    <row r="64" spans="1:14">
      <c r="A64" s="18" t="s">
        <v>73</v>
      </c>
      <c r="B64" s="18">
        <v>5</v>
      </c>
      <c r="C64" s="18">
        <v>8</v>
      </c>
      <c r="D64" s="18">
        <v>4</v>
      </c>
      <c r="E64" s="18">
        <v>2</v>
      </c>
      <c r="F64" s="18"/>
      <c r="G64" s="18"/>
      <c r="H64" s="18"/>
      <c r="I64" s="18"/>
      <c r="J64" s="18"/>
      <c r="K64" s="18"/>
      <c r="L64" s="18"/>
      <c r="M64" s="18"/>
      <c r="N64" s="18"/>
    </row>
    <row r="65" spans="1:5">
      <c r="A65" s="18" t="s">
        <v>66</v>
      </c>
      <c r="B65" s="18">
        <v>2</v>
      </c>
      <c r="C65" s="18">
        <v>2</v>
      </c>
      <c r="D65" s="18">
        <v>8</v>
      </c>
      <c r="E65" s="18">
        <v>7</v>
      </c>
    </row>
    <row r="66" spans="1:5">
      <c r="A66" s="18" t="s">
        <v>125</v>
      </c>
      <c r="B66" s="18">
        <v>6</v>
      </c>
      <c r="C66" s="18">
        <v>3</v>
      </c>
      <c r="D66" s="18">
        <v>6</v>
      </c>
      <c r="E66" s="18">
        <v>4</v>
      </c>
    </row>
    <row r="67" spans="1:5">
      <c r="A67" s="18" t="s">
        <v>127</v>
      </c>
      <c r="B67" s="18">
        <v>7</v>
      </c>
      <c r="C67" s="18">
        <v>2</v>
      </c>
      <c r="D67" s="18">
        <v>8</v>
      </c>
      <c r="E67" s="18">
        <v>2</v>
      </c>
    </row>
    <row r="68" spans="1:5">
      <c r="A68" s="18" t="s">
        <v>60</v>
      </c>
      <c r="B68" s="18">
        <v>6</v>
      </c>
      <c r="C68" s="18">
        <v>10</v>
      </c>
      <c r="D68" s="18">
        <v>2</v>
      </c>
      <c r="E68" s="18">
        <v>1</v>
      </c>
    </row>
    <row r="69" spans="1:5">
      <c r="A69" s="18" t="s">
        <v>94</v>
      </c>
      <c r="B69" s="18">
        <v>3</v>
      </c>
      <c r="C69" s="18">
        <v>6</v>
      </c>
      <c r="D69" s="18">
        <v>4</v>
      </c>
      <c r="E69" s="18">
        <v>6</v>
      </c>
    </row>
    <row r="70" spans="1:5">
      <c r="A70" s="18" t="s">
        <v>111</v>
      </c>
      <c r="B70" s="18">
        <v>4</v>
      </c>
      <c r="C70" s="18">
        <v>6</v>
      </c>
      <c r="D70" s="18">
        <v>3</v>
      </c>
      <c r="E70" s="18">
        <v>6</v>
      </c>
    </row>
    <row r="71" spans="1:5">
      <c r="A71" s="18" t="s">
        <v>70</v>
      </c>
      <c r="B71" s="18">
        <v>3</v>
      </c>
      <c r="C71" s="18">
        <v>4</v>
      </c>
      <c r="D71" s="18">
        <v>4</v>
      </c>
      <c r="E71" s="18">
        <v>8</v>
      </c>
    </row>
    <row r="72" spans="1:5">
      <c r="A72" s="18" t="s">
        <v>76</v>
      </c>
      <c r="B72" s="18">
        <v>4</v>
      </c>
      <c r="C72" s="18">
        <v>8</v>
      </c>
      <c r="D72" s="18">
        <v>4</v>
      </c>
      <c r="E72" s="18">
        <v>2</v>
      </c>
    </row>
    <row r="73" spans="1:5">
      <c r="A73" s="18" t="s">
        <v>80</v>
      </c>
      <c r="B73" s="18">
        <v>4</v>
      </c>
      <c r="C73" s="18">
        <v>8</v>
      </c>
      <c r="D73" s="18">
        <v>4</v>
      </c>
      <c r="E73" s="18">
        <v>2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700-000000000000}">
  <dimension ref="A1:X23"/>
  <sheetViews>
    <sheetView showGridLines="0" workbookViewId="0">
      <selection activeCell="G14" sqref="G14"/>
    </sheetView>
  </sheetViews>
  <sheetFormatPr defaultRowHeight="15"/>
  <cols>
    <col min="10" max="13" width="11" customWidth="1"/>
    <col min="14" max="14" width="14.5703125" bestFit="1" customWidth="1"/>
    <col min="15" max="15" width="5.140625" bestFit="1" customWidth="1"/>
    <col min="16" max="17" width="3.140625" bestFit="1" customWidth="1"/>
    <col min="18" max="18" width="3.28515625" bestFit="1" customWidth="1"/>
    <col min="19" max="19" width="3.7109375" bestFit="1" customWidth="1"/>
    <col min="20" max="20" width="6.5703125" bestFit="1" customWidth="1"/>
    <col min="21" max="21" width="6.7109375" bestFit="1" customWidth="1"/>
    <col min="22" max="22" width="4.42578125" bestFit="1" customWidth="1"/>
    <col min="23" max="23" width="2.85546875" bestFit="1" customWidth="1"/>
    <col min="24" max="24" width="3.140625" bestFit="1" customWidth="1"/>
  </cols>
  <sheetData>
    <row r="1" spans="1:24">
      <c r="A1" s="214" t="s">
        <v>399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6"/>
      <c r="O1" s="18"/>
      <c r="P1" s="18"/>
      <c r="Q1" s="18"/>
      <c r="R1" s="18"/>
      <c r="S1" s="18"/>
      <c r="T1" s="18"/>
      <c r="U1" s="18"/>
      <c r="V1" s="18"/>
      <c r="W1" s="18"/>
      <c r="X1" s="18"/>
    </row>
    <row r="3" spans="1:24">
      <c r="A3" s="3" t="s">
        <v>129</v>
      </c>
      <c r="B3" s="3" t="s">
        <v>285</v>
      </c>
      <c r="C3" s="3" t="s">
        <v>198</v>
      </c>
      <c r="D3" s="3" t="s">
        <v>199</v>
      </c>
      <c r="E3" s="3" t="s">
        <v>266</v>
      </c>
      <c r="F3" s="3" t="s">
        <v>267</v>
      </c>
      <c r="G3" s="3" t="s">
        <v>286</v>
      </c>
      <c r="H3" s="3" t="s">
        <v>175</v>
      </c>
      <c r="I3" s="3" t="s">
        <v>162</v>
      </c>
      <c r="J3" s="3" t="s">
        <v>268</v>
      </c>
      <c r="K3" s="3" t="s">
        <v>269</v>
      </c>
      <c r="L3" s="3" t="s">
        <v>270</v>
      </c>
      <c r="M3" s="3" t="s">
        <v>271</v>
      </c>
      <c r="N3" s="3" t="s">
        <v>400</v>
      </c>
      <c r="O3" s="18" t="s">
        <v>161</v>
      </c>
      <c r="P3" s="18" t="s">
        <v>176</v>
      </c>
      <c r="Q3" s="18" t="s">
        <v>177</v>
      </c>
      <c r="R3" s="18" t="s">
        <v>178</v>
      </c>
      <c r="S3" s="18" t="s">
        <v>179</v>
      </c>
      <c r="T3" s="18" t="s">
        <v>275</v>
      </c>
      <c r="U3" s="18" t="s">
        <v>276</v>
      </c>
      <c r="V3" s="18" t="s">
        <v>182</v>
      </c>
      <c r="W3" s="18" t="s">
        <v>183</v>
      </c>
      <c r="X3" s="18" t="s">
        <v>184</v>
      </c>
    </row>
    <row r="4" spans="1:24">
      <c r="A4" s="88" t="str">
        <f>IF(1&lt;=Settings!$B$3,Settings!$E$3,"")</f>
        <v>Aidan</v>
      </c>
      <c r="B4" s="5">
        <f ca="1">IF($A4="","",COUNTIFS(Data!$J$4:$J$18,$A4)+COUNTIFS(Data!$K$4:$K$18,$A4))</f>
        <v>3</v>
      </c>
      <c r="C4" s="5">
        <f ca="1">IF($A4="","",COUNTIFS(Data!$L$4:$L$18,$A4))</f>
        <v>1</v>
      </c>
      <c r="D4" s="5">
        <f ca="1">IF($A4="","",COUNTIFS(Data!$M$4:$M$18,$A4))</f>
        <v>2</v>
      </c>
      <c r="E4" s="5">
        <f ca="1">IF($A4="","",SUMIFS(Data!$N$4:$N$18,Data!$J$4:$J$18,$A4)+SUMIFS(Data!$O$4:$O$18,Data!$K$4:$K$18,$A4))</f>
        <v>7</v>
      </c>
      <c r="F4" s="5">
        <f ca="1">IF($A4="","",SUMIFS(Data!$O$4:$O$18,Data!$J$4:$J$18,$A4)+SUMIFS(Data!$N$4:$N$18,Data!$K$4:$K$18,$A4))</f>
        <v>12</v>
      </c>
      <c r="G4" s="5">
        <f ca="1">IF($A4="","",E4-F4)</f>
        <v>-5</v>
      </c>
      <c r="H4" s="5">
        <f ca="1">IF($A4="","",SUMIFS(Data!$W$4:$W$273,Data!$T$4:$T$273,$A4))</f>
        <v>38</v>
      </c>
      <c r="I4" s="5">
        <f ca="1">IF($A4="","",SUMIFS(Data!$Y$4:$Y$273,Data!$T$4:$T$273,$A4))</f>
        <v>14</v>
      </c>
      <c r="J4" s="5">
        <f ca="1">IF($A4="","",IF(H4=0,0,I4/H4))</f>
        <v>0.3684210526315789</v>
      </c>
      <c r="K4" s="5">
        <f ca="1">IF($A4="","",IF((H4+SUMIFS(Data!$AD$4:$AD$273,Data!$T$4:$T$273,$A4)+SUMIFS(Data!$AF$4:$AF$273,Data!$T$4:$T$273,$A4)+SUMIFS(Data!$AG$4:$AG$273,Data!$T$4:$T$273,$A4))=0,0,(I4+SUMIFS(Data!$AD$4:$AD$273,Data!$T$4:$T$273,$A4)+SUMIFS(Data!$AF$4:$AF$273,Data!$T$4:$T$273,$A4))/(H4+SUMIFS(Data!$AD$4:$AD$273,Data!$T$4:$T$273,$A4)+SUMIFS(Data!$AF$4:$AF$273,Data!$T$4:$T$273,$A4)+SUMIFS(Data!$AG$4:$AG$273,Data!$T$4:$T$273,$A4))))</f>
        <v>0.3684210526315789</v>
      </c>
      <c r="L4" s="5">
        <f ca="1">IF($A4="","",IF(H4=0,0,((I4-SUMIFS(Data!$Z$4:$Z$273,Data!$T$4:$T$273,$A4)-SUMIFS(Data!$AA$4:$AA$273,Data!$T$4:$T$273,$A4)-SUMIFS(Data!$AB$4:$AB$273,Data!$T$4:$T$273,$A4))+2*SUMIFS(Data!$Z$4:$Z$273,Data!$T$4:$T$273,$A4)+3*SUMIFS(Data!$AA$4:$AA$273,Data!$T$4:$T$273,$A4)+4*SUMIFS(Data!$AB$4:$AB$273,Data!$T$4:$T$273,$A4))/H4))</f>
        <v>0.7894736842105263</v>
      </c>
      <c r="M4" s="5">
        <f ca="1">IF($A4="","",K4+L4)</f>
        <v>1.1578947368421053</v>
      </c>
      <c r="N4" s="5" t="str">
        <f ca="1">IF($A4="","",IF($A4=INDEX(Bracket!$B$18:$B$25,MATCH("1st",Bracket!$A$18:$A$25,0)),"Yes",""))</f>
        <v/>
      </c>
      <c r="O4" s="18">
        <f ca="1">IF($A4="","",SUMIFS('Current Player Stats'!$W$4:$W$33,'Current Player Stats'!$A$4:$A$33,$A4))</f>
        <v>8</v>
      </c>
      <c r="P4" s="18">
        <f ca="1">IF($A4="","",SUMIFS('Current Player Stats'!$X$4:$X$33,'Current Player Stats'!$A$4:$A$33,$A4))</f>
        <v>2</v>
      </c>
      <c r="Q4" s="18">
        <f ca="1">IF($A4="","",SUMIFS('Current Player Stats'!$Y$4:$Y$33,'Current Player Stats'!$A$4:$A$33,$A4))</f>
        <v>1</v>
      </c>
      <c r="R4" s="18">
        <f ca="1">IF($A4="","",SUMIFS('Current Player Stats'!$Z$4:$Z$33,'Current Player Stats'!$A$4:$A$33,$A4))</f>
        <v>4</v>
      </c>
      <c r="S4" s="18">
        <f ca="1">IF($A4="","",SUMIFS('Current Player Stats'!$AA$4:$AA$33,'Current Player Stats'!$A$4:$A$33,$A4))</f>
        <v>7</v>
      </c>
      <c r="T4" s="18">
        <f ca="1">IF($A4="","",SUMIFS('Current Player Stats'!$AB$4:$AB$33,'Current Player Stats'!$A$4:$A$33,$A4))</f>
        <v>0</v>
      </c>
      <c r="U4" s="18">
        <f ca="1">IF($A4="","",SUMIFS('Current Player Stats'!$AC$4:$AC$33,'Current Player Stats'!$A$4:$A$33,$A4))</f>
        <v>7</v>
      </c>
      <c r="V4" s="18">
        <f ca="1">IF($A4="","",SUMIFS('Current Player Stats'!$AD$4:$AD$33,'Current Player Stats'!$A$4:$A$33,$A4))</f>
        <v>0</v>
      </c>
      <c r="W4" s="18">
        <f ca="1">IF($A4="","",SUMIFS('Current Player Stats'!$AE$4:$AE$33,'Current Player Stats'!$A$4:$A$33,$A4))</f>
        <v>0</v>
      </c>
      <c r="X4" s="18">
        <f ca="1">IF($A4="","",SUMIFS('Current Player Stats'!$AF$4:$AF$33,'Current Player Stats'!$A$4:$A$33,$A4))</f>
        <v>0</v>
      </c>
    </row>
    <row r="5" spans="1:24">
      <c r="A5" s="89" t="str">
        <f>IF(2&lt;=Settings!$B$3,Settings!$E$4,"")</f>
        <v>Donovan</v>
      </c>
      <c r="B5" s="2">
        <f ca="1">IF($A5="","",COUNTIFS(Data!$J$4:$J$18,$A5)+COUNTIFS(Data!$K$4:$K$18,$A5))</f>
        <v>3</v>
      </c>
      <c r="C5" s="18">
        <f ca="1">IF($A5="","",COUNTIFS(Data!$L$4:$L$18,$A5))</f>
        <v>1</v>
      </c>
      <c r="D5" s="4">
        <f ca="1">IF($A5="","",COUNTIFS(Data!$M$4:$M$18,$A5))</f>
        <v>2</v>
      </c>
      <c r="E5" s="2">
        <f ca="1">IF($A5="","",SUMIFS(Data!$N$4:$N$18,Data!$J$4:$J$18,$A5)+SUMIFS(Data!$O$4:$O$18,Data!$K$4:$K$18,$A5))</f>
        <v>4</v>
      </c>
      <c r="F5" s="5">
        <f ca="1">IF($A5="","",SUMIFS(Data!$O$4:$O$18,Data!$J$4:$J$18,$A5)+SUMIFS(Data!$N$4:$N$18,Data!$K$4:$K$18,$A5))</f>
        <v>6</v>
      </c>
      <c r="G5" s="5">
        <f ca="1">IF($A5="","",E5-F5)</f>
        <v>-2</v>
      </c>
      <c r="H5" s="18">
        <f ca="1">IF($A5="","",SUMIFS(Data!$W$4:$W$273,Data!$T$4:$T$273,$A5))</f>
        <v>31</v>
      </c>
      <c r="I5" s="4">
        <f ca="1">IF($A5="","",SUMIFS(Data!$Y$4:$Y$273,Data!$T$4:$T$273,$A5))</f>
        <v>5</v>
      </c>
      <c r="J5" s="5">
        <f ca="1">IF($A5="","",IF(H5=0,0,I5/H5))</f>
        <v>0.16129032258064516</v>
      </c>
      <c r="K5" s="5">
        <f ca="1">IF($A5="","",IF((H5+SUMIFS(Data!$AD$4:$AD$273,Data!$T$4:$T$273,$A5)+SUMIFS(Data!$AF$4:$AF$273,Data!$T$4:$T$273,$A5)+SUMIFS(Data!$AG$4:$AG$273,Data!$T$4:$T$273,$A5))=0,0,(I5+SUMIFS(Data!$AD$4:$AD$273,Data!$T$4:$T$273,$A5)+SUMIFS(Data!$AF$4:$AF$273,Data!$T$4:$T$273,$A5))/(H5+SUMIFS(Data!$AD$4:$AD$273,Data!$T$4:$T$273,$A5)+SUMIFS(Data!$AF$4:$AF$273,Data!$T$4:$T$273,$A5)+SUMIFS(Data!$AG$4:$AG$273,Data!$T$4:$T$273,$A5))))</f>
        <v>0.16129032258064516</v>
      </c>
      <c r="L5" s="18">
        <f ca="1">IF($A5="","",IF(H5=0,0,((I5-SUMIFS(Data!$Z$4:$Z$273,Data!$T$4:$T$273,$A5)-SUMIFS(Data!$AA$4:$AA$273,Data!$T$4:$T$273,$A5)-SUMIFS(Data!$AB$4:$AB$273,Data!$T$4:$T$273,$A5))+2*SUMIFS(Data!$Z$4:$Z$273,Data!$T$4:$T$273,$A5)+3*SUMIFS(Data!$AA$4:$AA$273,Data!$T$4:$T$273,$A5)+4*SUMIFS(Data!$AB$4:$AB$273,Data!$T$4:$T$273,$A5))/H5))</f>
        <v>0.3870967741935484</v>
      </c>
      <c r="M5" s="4">
        <f ca="1">IF($A5="","",K5+L5)</f>
        <v>0.5483870967741935</v>
      </c>
      <c r="N5" s="5" t="str">
        <f ca="1">IF($A5="","",IF($A5=INDEX(Bracket!$B$18:$B$25,MATCH("1st",Bracket!$A$18:$A$25,0)),"Yes",""))</f>
        <v/>
      </c>
      <c r="O5" s="18">
        <f ca="1">IF($A5="","",SUMIFS('Current Player Stats'!$W$4:$W$33,'Current Player Stats'!$A$4:$A$33,$A5))</f>
        <v>4</v>
      </c>
      <c r="P5" s="18">
        <f ca="1">IF($A5="","",SUMIFS('Current Player Stats'!$X$4:$X$33,'Current Player Stats'!$A$4:$A$33,$A5))</f>
        <v>1</v>
      </c>
      <c r="Q5" s="18">
        <f ca="1">IF($A5="","",SUMIFS('Current Player Stats'!$Y$4:$Y$33,'Current Player Stats'!$A$4:$A$33,$A5))</f>
        <v>0</v>
      </c>
      <c r="R5" s="18">
        <f ca="1">IF($A5="","",SUMIFS('Current Player Stats'!$Z$4:$Z$33,'Current Player Stats'!$A$4:$A$33,$A5))</f>
        <v>2</v>
      </c>
      <c r="S5" s="18">
        <f ca="1">IF($A5="","",SUMIFS('Current Player Stats'!$AA$4:$AA$33,'Current Player Stats'!$A$4:$A$33,$A5))</f>
        <v>4</v>
      </c>
      <c r="T5" s="18">
        <f ca="1">IF($A5="","",SUMIFS('Current Player Stats'!$AB$4:$AB$33,'Current Player Stats'!$A$4:$A$33,$A5))</f>
        <v>0</v>
      </c>
      <c r="U5" s="18">
        <f ca="1">IF($A5="","",SUMIFS('Current Player Stats'!$AC$4:$AC$33,'Current Player Stats'!$A$4:$A$33,$A5))</f>
        <v>13</v>
      </c>
      <c r="V5" s="18">
        <f ca="1">IF($A5="","",SUMIFS('Current Player Stats'!$AD$4:$AD$33,'Current Player Stats'!$A$4:$A$33,$A5))</f>
        <v>0</v>
      </c>
      <c r="W5" s="18">
        <f ca="1">IF($A5="","",SUMIFS('Current Player Stats'!$AE$4:$AE$33,'Current Player Stats'!$A$4:$A$33,$A5))</f>
        <v>0</v>
      </c>
      <c r="X5" s="18">
        <f ca="1">IF($A5="","",SUMIFS('Current Player Stats'!$AF$4:$AF$33,'Current Player Stats'!$A$4:$A$33,$A5))</f>
        <v>0</v>
      </c>
    </row>
    <row r="6" spans="1:24">
      <c r="A6" s="90" t="str">
        <f>IF(3&lt;=Settings!$B$3,Settings!$E$5,"")</f>
        <v>Jason</v>
      </c>
      <c r="B6" s="2">
        <f ca="1">IF($A6="","",COUNTIFS(Data!$J$4:$J$18,$A6)+COUNTIFS(Data!$K$4:$K$18,$A6))</f>
        <v>4</v>
      </c>
      <c r="C6" s="18">
        <f ca="1">IF($A6="","",COUNTIFS(Data!$L$4:$L$18,$A6))</f>
        <v>3</v>
      </c>
      <c r="D6" s="4">
        <f ca="1">IF($A6="","",COUNTIFS(Data!$M$4:$M$18,$A6))</f>
        <v>1</v>
      </c>
      <c r="E6" s="2">
        <f ca="1">IF($A6="","",SUMIFS(Data!$N$4:$N$18,Data!$J$4:$J$18,$A6)+SUMIFS(Data!$O$4:$O$18,Data!$K$4:$K$18,$A6))</f>
        <v>14</v>
      </c>
      <c r="F6" s="5">
        <f ca="1">IF($A6="","",SUMIFS(Data!$O$4:$O$18,Data!$J$4:$J$18,$A6)+SUMIFS(Data!$N$4:$N$18,Data!$K$4:$K$18,$A6))</f>
        <v>9</v>
      </c>
      <c r="G6" s="5">
        <f ca="1">IF($A6="","",E6-F6)</f>
        <v>5</v>
      </c>
      <c r="H6" s="18">
        <f ca="1">IF($A6="","",SUMIFS(Data!$W$4:$W$273,Data!$T$4:$T$273,$A6))</f>
        <v>60</v>
      </c>
      <c r="I6" s="4">
        <f ca="1">IF($A6="","",SUMIFS(Data!$Y$4:$Y$273,Data!$T$4:$T$273,$A6))</f>
        <v>26</v>
      </c>
      <c r="J6" s="5">
        <f ca="1">IF($A6="","",IF(H6=0,0,I6/H6))</f>
        <v>0.43333333333333335</v>
      </c>
      <c r="K6" s="5">
        <f ca="1">IF($A6="","",IF((H6+SUMIFS(Data!$AD$4:$AD$273,Data!$T$4:$T$273,$A6)+SUMIFS(Data!$AF$4:$AF$273,Data!$T$4:$T$273,$A6)+SUMIFS(Data!$AG$4:$AG$273,Data!$T$4:$T$273,$A6))=0,0,(I6+SUMIFS(Data!$AD$4:$AD$273,Data!$T$4:$T$273,$A6)+SUMIFS(Data!$AF$4:$AF$273,Data!$T$4:$T$273,$A6))/(H6+SUMIFS(Data!$AD$4:$AD$273,Data!$T$4:$T$273,$A6)+SUMIFS(Data!$AF$4:$AF$273,Data!$T$4:$T$273,$A6)+SUMIFS(Data!$AG$4:$AG$273,Data!$T$4:$T$273,$A6))))</f>
        <v>0.4426229508196721</v>
      </c>
      <c r="L6" s="18">
        <f ca="1">IF($A6="","",IF(H6=0,0,((I6-SUMIFS(Data!$Z$4:$Z$273,Data!$T$4:$T$273,$A6)-SUMIFS(Data!$AA$4:$AA$273,Data!$T$4:$T$273,$A6)-SUMIFS(Data!$AB$4:$AB$273,Data!$T$4:$T$273,$A6))+2*SUMIFS(Data!$Z$4:$Z$273,Data!$T$4:$T$273,$A6)+3*SUMIFS(Data!$AA$4:$AA$273,Data!$T$4:$T$273,$A6)+4*SUMIFS(Data!$AB$4:$AB$273,Data!$T$4:$T$273,$A6))/H6))</f>
        <v>0.85</v>
      </c>
      <c r="M6" s="4">
        <f ca="1">IF($A6="","",K6+L6)</f>
        <v>1.292622950819672</v>
      </c>
      <c r="N6" s="5" t="str">
        <f ca="1">IF($A6="","",IF($A6=INDEX(Bracket!$B$18:$B$25,MATCH("1st",Bracket!$A$18:$A$25,0)),"Yes",""))</f>
        <v>Yes</v>
      </c>
      <c r="O6" s="18">
        <f ca="1">IF($A6="","",SUMIFS('Current Player Stats'!$W$4:$W$33,'Current Player Stats'!$A$4:$A$33,$A6))</f>
        <v>15</v>
      </c>
      <c r="P6" s="18">
        <f ca="1">IF($A6="","",SUMIFS('Current Player Stats'!$X$4:$X$33,'Current Player Stats'!$A$4:$A$33,$A6))</f>
        <v>1</v>
      </c>
      <c r="Q6" s="18">
        <f ca="1">IF($A6="","",SUMIFS('Current Player Stats'!$Y$4:$Y$33,'Current Player Stats'!$A$4:$A$33,$A6))</f>
        <v>0</v>
      </c>
      <c r="R6" s="18">
        <f ca="1">IF($A6="","",SUMIFS('Current Player Stats'!$Z$4:$Z$33,'Current Player Stats'!$A$4:$A$33,$A6))</f>
        <v>8</v>
      </c>
      <c r="S6" s="18">
        <f ca="1">IF($A6="","",SUMIFS('Current Player Stats'!$AA$4:$AA$33,'Current Player Stats'!$A$4:$A$33,$A6))</f>
        <v>14</v>
      </c>
      <c r="T6" s="18">
        <f ca="1">IF($A6="","",SUMIFS('Current Player Stats'!$AB$4:$AB$33,'Current Player Stats'!$A$4:$A$33,$A6))</f>
        <v>0</v>
      </c>
      <c r="U6" s="18">
        <f ca="1">IF($A6="","",SUMIFS('Current Player Stats'!$AC$4:$AC$33,'Current Player Stats'!$A$4:$A$33,$A6))</f>
        <v>7</v>
      </c>
      <c r="V6" s="18">
        <f ca="1">IF($A6="","",SUMIFS('Current Player Stats'!$AD$4:$AD$33,'Current Player Stats'!$A$4:$A$33,$A6))</f>
        <v>1</v>
      </c>
      <c r="W6" s="18">
        <f ca="1">IF($A6="","",SUMIFS('Current Player Stats'!$AE$4:$AE$33,'Current Player Stats'!$A$4:$A$33,$A6))</f>
        <v>0</v>
      </c>
      <c r="X6" s="18">
        <f ca="1">IF($A6="","",SUMIFS('Current Player Stats'!$AF$4:$AF$33,'Current Player Stats'!$A$4:$A$33,$A6))</f>
        <v>0</v>
      </c>
    </row>
    <row r="7" spans="1:24">
      <c r="A7" s="92" t="str">
        <f>IF(4&lt;=Settings!$B$3,Settings!$E$6,"")</f>
        <v>Justin</v>
      </c>
      <c r="B7" s="2">
        <f ca="1">IF($A7="","",COUNTIFS(Data!$J$4:$J$18,$A7)+COUNTIFS(Data!$K$4:$K$18,$A7))</f>
        <v>2</v>
      </c>
      <c r="C7" s="18">
        <f ca="1">IF($A7="","",COUNTIFS(Data!$L$4:$L$18,$A7))</f>
        <v>0</v>
      </c>
      <c r="D7" s="4">
        <f ca="1">IF($A7="","",COUNTIFS(Data!$M$4:$M$18,$A7))</f>
        <v>2</v>
      </c>
      <c r="E7" s="2">
        <f ca="1">IF($A7="","",SUMIFS(Data!$N$4:$N$18,Data!$J$4:$J$18,$A7)+SUMIFS(Data!$O$4:$O$18,Data!$K$4:$K$18,$A7))</f>
        <v>4</v>
      </c>
      <c r="F7" s="5">
        <f ca="1">IF($A7="","",SUMIFS(Data!$O$4:$O$18,Data!$J$4:$J$18,$A7)+SUMIFS(Data!$N$4:$N$18,Data!$K$4:$K$18,$A7))</f>
        <v>6</v>
      </c>
      <c r="G7" s="5">
        <f ca="1">IF($A7="","",E7-F7)</f>
        <v>-2</v>
      </c>
      <c r="H7" s="18">
        <f ca="1">IF($A7="","",SUMIFS(Data!$W$4:$W$273,Data!$T$4:$T$273,$A7))</f>
        <v>24</v>
      </c>
      <c r="I7" s="4">
        <f ca="1">IF($A7="","",SUMIFS(Data!$Y$4:$Y$273,Data!$T$4:$T$273,$A7))</f>
        <v>7</v>
      </c>
      <c r="J7" s="5">
        <f ca="1">IF($A7="","",IF(H7=0,0,I7/H7))</f>
        <v>0.2916666666666667</v>
      </c>
      <c r="K7" s="5">
        <f ca="1">IF($A7="","",IF((H7+SUMIFS(Data!$AD$4:$AD$273,Data!$T$4:$T$273,$A7)+SUMIFS(Data!$AF$4:$AF$273,Data!$T$4:$T$273,$A7)+SUMIFS(Data!$AG$4:$AG$273,Data!$T$4:$T$273,$A7))=0,0,(I7+SUMIFS(Data!$AD$4:$AD$273,Data!$T$4:$T$273,$A7)+SUMIFS(Data!$AF$4:$AF$273,Data!$T$4:$T$273,$A7))/(H7+SUMIFS(Data!$AD$4:$AD$273,Data!$T$4:$T$273,$A7)+SUMIFS(Data!$AF$4:$AF$273,Data!$T$4:$T$273,$A7)+SUMIFS(Data!$AG$4:$AG$273,Data!$T$4:$T$273,$A7))))</f>
        <v>0.28</v>
      </c>
      <c r="L7" s="18">
        <f ca="1">IF($A7="","",IF(H7=0,0,((I7-SUMIFS(Data!$Z$4:$Z$273,Data!$T$4:$T$273,$A7)-SUMIFS(Data!$AA$4:$AA$273,Data!$T$4:$T$273,$A7)-SUMIFS(Data!$AB$4:$AB$273,Data!$T$4:$T$273,$A7))+2*SUMIFS(Data!$Z$4:$Z$273,Data!$T$4:$T$273,$A7)+3*SUMIFS(Data!$AA$4:$AA$273,Data!$T$4:$T$273,$A7)+4*SUMIFS(Data!$AB$4:$AB$273,Data!$T$4:$T$273,$A7))/H7))</f>
        <v>0.875</v>
      </c>
      <c r="M7" s="4">
        <f ca="1">IF($A7="","",K7+L7)</f>
        <v>1.155</v>
      </c>
      <c r="N7" s="5" t="str">
        <f ca="1">IF($A7="","",IF($A7=INDEX(Bracket!$B$18:$B$25,MATCH("1st",Bracket!$A$18:$A$25,0)),"Yes",""))</f>
        <v/>
      </c>
      <c r="O7" s="18">
        <f ca="1">IF($A7="","",SUMIFS('Current Player Stats'!$W$4:$W$33,'Current Player Stats'!$A$4:$A$33,$A7))</f>
        <v>5</v>
      </c>
      <c r="P7" s="18">
        <f ca="1">IF($A7="","",SUMIFS('Current Player Stats'!$X$4:$X$33,'Current Player Stats'!$A$4:$A$33,$A7))</f>
        <v>1</v>
      </c>
      <c r="Q7" s="18">
        <f ca="1">IF($A7="","",SUMIFS('Current Player Stats'!$Y$4:$Y$33,'Current Player Stats'!$A$4:$A$33,$A7))</f>
        <v>2</v>
      </c>
      <c r="R7" s="18">
        <f ca="1">IF($A7="","",SUMIFS('Current Player Stats'!$Z$4:$Z$33,'Current Player Stats'!$A$4:$A$33,$A7))</f>
        <v>3</v>
      </c>
      <c r="S7" s="18">
        <f ca="1">IF($A7="","",SUMIFS('Current Player Stats'!$AA$4:$AA$33,'Current Player Stats'!$A$4:$A$33,$A7))</f>
        <v>4</v>
      </c>
      <c r="T7" s="18">
        <f ca="1">IF($A7="","",SUMIFS('Current Player Stats'!$AB$4:$AB$33,'Current Player Stats'!$A$4:$A$33,$A7))</f>
        <v>0</v>
      </c>
      <c r="U7" s="18">
        <f ca="1">IF($A7="","",SUMIFS('Current Player Stats'!$AC$4:$AC$33,'Current Player Stats'!$A$4:$A$33,$A7))</f>
        <v>7</v>
      </c>
      <c r="V7" s="18">
        <f ca="1">IF($A7="","",SUMIFS('Current Player Stats'!$AD$4:$AD$33,'Current Player Stats'!$A$4:$A$33,$A7))</f>
        <v>0</v>
      </c>
      <c r="W7" s="18">
        <f ca="1">IF($A7="","",SUMIFS('Current Player Stats'!$AE$4:$AE$33,'Current Player Stats'!$A$4:$A$33,$A7))</f>
        <v>1</v>
      </c>
      <c r="X7" s="18">
        <f ca="1">IF($A7="","",SUMIFS('Current Player Stats'!$AF$4:$AF$33,'Current Player Stats'!$A$4:$A$33,$A7))</f>
        <v>0</v>
      </c>
    </row>
    <row r="8" spans="1:24">
      <c r="A8" s="93" t="str">
        <f>IF(5&lt;=Settings!$B$3,Settings!$E$7,"")</f>
        <v>May</v>
      </c>
      <c r="B8" s="2">
        <f ca="1">IF($A8="","",COUNTIFS(Data!$J$4:$J$18,$A8)+COUNTIFS(Data!$K$4:$K$18,$A8))</f>
        <v>4</v>
      </c>
      <c r="C8" s="18">
        <f ca="1">IF($A8="","",COUNTIFS(Data!$L$4:$L$18,$A8))</f>
        <v>2</v>
      </c>
      <c r="D8" s="4">
        <f ca="1">IF($A8="","",COUNTIFS(Data!$M$4:$M$18,$A8))</f>
        <v>2</v>
      </c>
      <c r="E8" s="2">
        <f ca="1">IF($A8="","",SUMIFS(Data!$N$4:$N$18,Data!$J$4:$J$18,$A8)+SUMIFS(Data!$O$4:$O$18,Data!$K$4:$K$18,$A8))</f>
        <v>4</v>
      </c>
      <c r="F8" s="5">
        <f ca="1">IF($A8="","",SUMIFS(Data!$O$4:$O$18,Data!$J$4:$J$18,$A8)+SUMIFS(Data!$N$4:$N$18,Data!$K$4:$K$18,$A8))</f>
        <v>4</v>
      </c>
      <c r="G8" s="5">
        <f ca="1">IF($A8="","",E8-F8)</f>
        <v>0</v>
      </c>
      <c r="H8" s="18">
        <f ca="1">IF($A8="","",SUMIFS(Data!$W$4:$W$273,Data!$T$4:$T$273,$A8))</f>
        <v>43</v>
      </c>
      <c r="I8" s="4">
        <f ca="1">IF($A8="","",SUMIFS(Data!$Y$4:$Y$273,Data!$T$4:$T$273,$A8))</f>
        <v>11</v>
      </c>
      <c r="J8" s="5">
        <f ca="1">IF($A8="","",IF(H8=0,0,I8/H8))</f>
        <v>0.2558139534883721</v>
      </c>
      <c r="K8" s="5">
        <f ca="1">IF($A8="","",IF((H8+SUMIFS(Data!$AD$4:$AD$273,Data!$T$4:$T$273,$A8)+SUMIFS(Data!$AF$4:$AF$273,Data!$T$4:$T$273,$A8)+SUMIFS(Data!$AG$4:$AG$273,Data!$T$4:$T$273,$A8))=0,0,(I8+SUMIFS(Data!$AD$4:$AD$273,Data!$T$4:$T$273,$A8)+SUMIFS(Data!$AF$4:$AF$273,Data!$T$4:$T$273,$A8))/(H8+SUMIFS(Data!$AD$4:$AD$273,Data!$T$4:$T$273,$A8)+SUMIFS(Data!$AF$4:$AF$273,Data!$T$4:$T$273,$A8)+SUMIFS(Data!$AG$4:$AG$273,Data!$T$4:$T$273,$A8))))</f>
        <v>0.28888888888888886</v>
      </c>
      <c r="L8" s="18">
        <f ca="1">IF($A8="","",IF(H8=0,0,((I8-SUMIFS(Data!$Z$4:$Z$273,Data!$T$4:$T$273,$A8)-SUMIFS(Data!$AA$4:$AA$273,Data!$T$4:$T$273,$A8)-SUMIFS(Data!$AB$4:$AB$273,Data!$T$4:$T$273,$A8))+2*SUMIFS(Data!$Z$4:$Z$273,Data!$T$4:$T$273,$A8)+3*SUMIFS(Data!$AA$4:$AA$273,Data!$T$4:$T$273,$A8)+4*SUMIFS(Data!$AB$4:$AB$273,Data!$T$4:$T$273,$A8))/H8))</f>
        <v>0.4883720930232558</v>
      </c>
      <c r="M8" s="4">
        <f ca="1">IF($A8="","",K8+L8)</f>
        <v>0.7772609819121447</v>
      </c>
      <c r="N8" s="5" t="str">
        <f ca="1">IF($A8="","",IF($A8=INDEX(Bracket!$B$18:$B$25,MATCH("1st",Bracket!$A$18:$A$25,0)),"Yes",""))</f>
        <v/>
      </c>
      <c r="O8" s="18">
        <f ca="1">IF($A8="","",SUMIFS('Current Player Stats'!$W$4:$W$33,'Current Player Stats'!$A$4:$A$33,$A8))</f>
        <v>4</v>
      </c>
      <c r="P8" s="18">
        <f ca="1">IF($A8="","",SUMIFS('Current Player Stats'!$X$4:$X$33,'Current Player Stats'!$A$4:$A$33,$A8))</f>
        <v>1</v>
      </c>
      <c r="Q8" s="18">
        <f ca="1">IF($A8="","",SUMIFS('Current Player Stats'!$Y$4:$Y$33,'Current Player Stats'!$A$4:$A$33,$A8))</f>
        <v>0</v>
      </c>
      <c r="R8" s="18">
        <f ca="1">IF($A8="","",SUMIFS('Current Player Stats'!$Z$4:$Z$33,'Current Player Stats'!$A$4:$A$33,$A8))</f>
        <v>3</v>
      </c>
      <c r="S8" s="18">
        <f ca="1">IF($A8="","",SUMIFS('Current Player Stats'!$AA$4:$AA$33,'Current Player Stats'!$A$4:$A$33,$A8))</f>
        <v>4</v>
      </c>
      <c r="T8" s="18">
        <f ca="1">IF($A8="","",SUMIFS('Current Player Stats'!$AB$4:$AB$33,'Current Player Stats'!$A$4:$A$33,$A8))</f>
        <v>1</v>
      </c>
      <c r="U8" s="18">
        <f ca="1">IF($A8="","",SUMIFS('Current Player Stats'!$AC$4:$AC$33,'Current Player Stats'!$A$4:$A$33,$A8))</f>
        <v>4</v>
      </c>
      <c r="V8" s="18">
        <f ca="1">IF($A8="","",SUMIFS('Current Player Stats'!$AD$4:$AD$33,'Current Player Stats'!$A$4:$A$33,$A8))</f>
        <v>1</v>
      </c>
      <c r="W8" s="18">
        <f ca="1">IF($A8="","",SUMIFS('Current Player Stats'!$AE$4:$AE$33,'Current Player Stats'!$A$4:$A$33,$A8))</f>
        <v>0</v>
      </c>
      <c r="X8" s="18">
        <f ca="1">IF($A8="","",SUMIFS('Current Player Stats'!$AF$4:$AF$33,'Current Player Stats'!$A$4:$A$33,$A8))</f>
        <v>0</v>
      </c>
    </row>
    <row r="9" spans="1:24">
      <c r="A9" s="95" t="str">
        <f>IF(6&lt;=Settings!$B$3,Settings!$E$8,"")</f>
        <v>Nick</v>
      </c>
      <c r="B9" s="2">
        <f ca="1">IF($A9="","",COUNTIFS(Data!$J$4:$J$18,$A9)+COUNTIFS(Data!$K$4:$K$18,$A9))</f>
        <v>4</v>
      </c>
      <c r="C9" s="18">
        <f ca="1">IF($A9="","",COUNTIFS(Data!$L$4:$L$18,$A9))</f>
        <v>3</v>
      </c>
      <c r="D9" s="4">
        <f ca="1">IF($A9="","",COUNTIFS(Data!$M$4:$M$18,$A9))</f>
        <v>1</v>
      </c>
      <c r="E9" s="2">
        <f ca="1">IF($A9="","",SUMIFS(Data!$N$4:$N$18,Data!$J$4:$J$18,$A9)+SUMIFS(Data!$O$4:$O$18,Data!$K$4:$K$18,$A9))</f>
        <v>13</v>
      </c>
      <c r="F9" s="5">
        <f ca="1">IF($A9="","",SUMIFS(Data!$O$4:$O$18,Data!$J$4:$J$18,$A9)+SUMIFS(Data!$N$4:$N$18,Data!$K$4:$K$18,$A9))</f>
        <v>9</v>
      </c>
      <c r="G9" s="5">
        <f ca="1">IF($A9="","",E9-F9)</f>
        <v>4</v>
      </c>
      <c r="H9" s="18">
        <f ca="1">IF($A9="","",SUMIFS(Data!$W$4:$W$273,Data!$T$4:$T$273,$A9))</f>
        <v>62</v>
      </c>
      <c r="I9" s="4">
        <f ca="1">IF($A9="","",SUMIFS(Data!$Y$4:$Y$273,Data!$T$4:$T$273,$A9))</f>
        <v>23</v>
      </c>
      <c r="J9" s="5">
        <f ca="1">IF($A9="","",IF(H9=0,0,I9/H9))</f>
        <v>0.3709677419354839</v>
      </c>
      <c r="K9" s="5">
        <f ca="1">IF($A9="","",IF((H9+SUMIFS(Data!$AD$4:$AD$273,Data!$T$4:$T$273,$A9)+SUMIFS(Data!$AF$4:$AF$273,Data!$T$4:$T$273,$A9)+SUMIFS(Data!$AG$4:$AG$273,Data!$T$4:$T$273,$A9))=0,0,(I9+SUMIFS(Data!$AD$4:$AD$273,Data!$T$4:$T$273,$A9)+SUMIFS(Data!$AF$4:$AF$273,Data!$T$4:$T$273,$A9))/(H9+SUMIFS(Data!$AD$4:$AD$273,Data!$T$4:$T$273,$A9)+SUMIFS(Data!$AF$4:$AF$273,Data!$T$4:$T$273,$A9)+SUMIFS(Data!$AG$4:$AG$273,Data!$T$4:$T$273,$A9))))</f>
        <v>0.4090909090909091</v>
      </c>
      <c r="L9" s="18">
        <f ca="1">IF($A9="","",IF(H9=0,0,((I9-SUMIFS(Data!$Z$4:$Z$273,Data!$T$4:$T$273,$A9)-SUMIFS(Data!$AA$4:$AA$273,Data!$T$4:$T$273,$A9)-SUMIFS(Data!$AB$4:$AB$273,Data!$T$4:$T$273,$A9))+2*SUMIFS(Data!$Z$4:$Z$273,Data!$T$4:$T$273,$A9)+3*SUMIFS(Data!$AA$4:$AA$273,Data!$T$4:$T$273,$A9)+4*SUMIFS(Data!$AB$4:$AB$273,Data!$T$4:$T$273,$A9))/H9))</f>
        <v>0.6774193548387096</v>
      </c>
      <c r="M9" s="4">
        <f ca="1">IF($A9="","",K9+L9)</f>
        <v>1.0865102639296187</v>
      </c>
      <c r="N9" s="5" t="str">
        <f ca="1">IF($A9="","",IF($A9=INDEX(Bracket!$B$18:$B$25,MATCH("1st",Bracket!$A$18:$A$25,0)),"Yes",""))</f>
        <v/>
      </c>
      <c r="O9" s="18">
        <f ca="1">IF($A9="","",SUMIFS('Current Player Stats'!$W$4:$W$33,'Current Player Stats'!$A$4:$A$33,$A9))</f>
        <v>13</v>
      </c>
      <c r="P9" s="18">
        <f ca="1">IF($A9="","",SUMIFS('Current Player Stats'!$X$4:$X$33,'Current Player Stats'!$A$4:$A$33,$A9))</f>
        <v>6</v>
      </c>
      <c r="Q9" s="18">
        <f ca="1">IF($A9="","",SUMIFS('Current Player Stats'!$Y$4:$Y$33,'Current Player Stats'!$A$4:$A$33,$A9))</f>
        <v>2</v>
      </c>
      <c r="R9" s="18">
        <f ca="1">IF($A9="","",SUMIFS('Current Player Stats'!$Z$4:$Z$33,'Current Player Stats'!$A$4:$A$33,$A9))</f>
        <v>3</v>
      </c>
      <c r="S9" s="18">
        <f ca="1">IF($A9="","",SUMIFS('Current Player Stats'!$AA$4:$AA$33,'Current Player Stats'!$A$4:$A$33,$A9))</f>
        <v>13</v>
      </c>
      <c r="T9" s="18">
        <f ca="1">IF($A9="","",SUMIFS('Current Player Stats'!$AB$4:$AB$33,'Current Player Stats'!$A$4:$A$33,$A9))</f>
        <v>0</v>
      </c>
      <c r="U9" s="18">
        <f ca="1">IF($A9="","",SUMIFS('Current Player Stats'!$AC$4:$AC$33,'Current Player Stats'!$A$4:$A$33,$A9))</f>
        <v>12</v>
      </c>
      <c r="V9" s="18">
        <f ca="1">IF($A9="","",SUMIFS('Current Player Stats'!$AD$4:$AD$33,'Current Player Stats'!$A$4:$A$33,$A9))</f>
        <v>4</v>
      </c>
      <c r="W9" s="18">
        <f ca="1">IF($A9="","",SUMIFS('Current Player Stats'!$AE$4:$AE$33,'Current Player Stats'!$A$4:$A$33,$A9))</f>
        <v>0</v>
      </c>
      <c r="X9" s="18">
        <f ca="1">IF($A9="","",SUMIFS('Current Player Stats'!$AF$4:$AF$33,'Current Player Stats'!$A$4:$A$33,$A9))</f>
        <v>0</v>
      </c>
    </row>
    <row r="10" spans="1:24" hidden="1">
      <c r="A10" s="5" t="str">
        <f>IF(7&lt;=Settings!$B$3,Settings!$E$9,"")</f>
        <v/>
      </c>
      <c r="B10" s="2" t="str">
        <f ca="1">IF($A10="","",COUNTIFS(Data!$J$4:$J$18,$A10)+COUNTIFS(Data!$K$4:$K$18,$A10))</f>
        <v/>
      </c>
      <c r="C10" s="18" t="str">
        <f ca="1">IF($A10="","",COUNTIFS(Data!$L$4:$L$18,$A10))</f>
        <v/>
      </c>
      <c r="D10" s="4" t="str">
        <f ca="1">IF($A10="","",COUNTIFS(Data!$M$4:$M$18,$A10))</f>
        <v/>
      </c>
      <c r="E10" s="2" t="str">
        <f ca="1">IF($A10="","",SUMIFS(Data!$N$4:$N$18,Data!$J$4:$J$18,$A10)+SUMIFS(Data!$O$4:$O$18,Data!$K$4:$K$18,$A10))</f>
        <v/>
      </c>
      <c r="F10" s="5" t="str">
        <f ca="1">IF($A10="","",SUMIFS(Data!$O$4:$O$18,Data!$J$4:$J$18,$A10)+SUMIFS(Data!$N$4:$N$18,Data!$K$4:$K$18,$A10))</f>
        <v/>
      </c>
      <c r="G10" s="5" t="str">
        <f ca="1">IF($A10="","",E10-F10)</f>
        <v/>
      </c>
      <c r="H10" s="18" t="str">
        <f ca="1">IF($A10="","",SUMIFS(Data!$W$4:$W$273,Data!$T$4:$T$273,$A10))</f>
        <v/>
      </c>
      <c r="I10" s="4" t="str">
        <f ca="1">IF($A10="","",SUMIFS(Data!$Y$4:$Y$273,Data!$T$4:$T$273,$A10))</f>
        <v/>
      </c>
      <c r="J10" s="5" t="str">
        <f ca="1">IF($A10="","",IF(H10=0,0,I10/H10))</f>
        <v/>
      </c>
      <c r="K10" s="5" t="str">
        <f ca="1">IF($A10="","",IF((H10+SUMIFS(Data!$AD$4:$AD$273,Data!$T$4:$T$273,$A10)+SUMIFS(Data!$AF$4:$AF$273,Data!$T$4:$T$273,$A10)+SUMIFS(Data!$AG$4:$AG$273,Data!$T$4:$T$273,$A10))=0,0,(I10+SUMIFS(Data!$AD$4:$AD$273,Data!$T$4:$T$273,$A10)+SUMIFS(Data!$AF$4:$AF$273,Data!$T$4:$T$273,$A10))/(H10+SUMIFS(Data!$AD$4:$AD$273,Data!$T$4:$T$273,$A10)+SUMIFS(Data!$AF$4:$AF$273,Data!$T$4:$T$273,$A10)+SUMIFS(Data!$AG$4:$AG$273,Data!$T$4:$T$273,$A10))))</f>
        <v/>
      </c>
      <c r="L10" s="18" t="str">
        <f ca="1">IF($A10="","",IF(H10=0,0,((I10-SUMIFS(Data!$Z$4:$Z$273,Data!$T$4:$T$273,$A10)-SUMIFS(Data!$AA$4:$AA$273,Data!$T$4:$T$273,$A10)-SUMIFS(Data!$AB$4:$AB$273,Data!$T$4:$T$273,$A10))+2*SUMIFS(Data!$Z$4:$Z$273,Data!$T$4:$T$273,$A10)+3*SUMIFS(Data!$AA$4:$AA$273,Data!$T$4:$T$273,$A10)+4*SUMIFS(Data!$AB$4:$AB$273,Data!$T$4:$T$273,$A10))/H10))</f>
        <v/>
      </c>
      <c r="M10" s="4" t="str">
        <f ca="1">IF($A10="","",K10+L10)</f>
        <v/>
      </c>
      <c r="N10" s="5" t="str">
        <f ca="1">IF($A10="","",IF($A10=INDEX(Bracket!$B$18:$B$25,MATCH("1st",Bracket!$A$18:$A$25,0)),"Yes",""))</f>
        <v/>
      </c>
      <c r="O10" s="18" t="str">
        <f ca="1">IF($A10="","",SUMIFS('Current Player Stats'!$W$4:$W$33,'Current Player Stats'!$A$4:$A$33,$A10))</f>
        <v/>
      </c>
      <c r="P10" s="18" t="str">
        <f ca="1">IF($A10="","",SUMIFS('Current Player Stats'!$X$4:$X$33,'Current Player Stats'!$A$4:$A$33,$A10))</f>
        <v/>
      </c>
      <c r="Q10" s="18" t="str">
        <f ca="1">IF($A10="","",SUMIFS('Current Player Stats'!$Y$4:$Y$33,'Current Player Stats'!$A$4:$A$33,$A10))</f>
        <v/>
      </c>
      <c r="R10" s="18" t="str">
        <f ca="1">IF($A10="","",SUMIFS('Current Player Stats'!$Z$4:$Z$33,'Current Player Stats'!$A$4:$A$33,$A10))</f>
        <v/>
      </c>
      <c r="S10" s="18" t="str">
        <f ca="1">IF($A10="","",SUMIFS('Current Player Stats'!$AA$4:$AA$33,'Current Player Stats'!$A$4:$A$33,$A10))</f>
        <v/>
      </c>
      <c r="T10" s="18" t="str">
        <f ca="1">IF($A10="","",SUMIFS('Current Player Stats'!$AB$4:$AB$33,'Current Player Stats'!$A$4:$A$33,$A10))</f>
        <v/>
      </c>
      <c r="U10" s="18" t="str">
        <f ca="1">IF($A10="","",SUMIFS('Current Player Stats'!$AC$4:$AC$33,'Current Player Stats'!$A$4:$A$33,$A10))</f>
        <v/>
      </c>
      <c r="V10" s="18" t="str">
        <f ca="1">IF($A10="","",SUMIFS('Current Player Stats'!$AD$4:$AD$33,'Current Player Stats'!$A$4:$A$33,$A10))</f>
        <v/>
      </c>
      <c r="W10" s="18" t="str">
        <f ca="1">IF($A10="","",SUMIFS('Current Player Stats'!$AE$4:$AE$33,'Current Player Stats'!$A$4:$A$33,$A10))</f>
        <v/>
      </c>
      <c r="X10" s="18" t="str">
        <f ca="1">IF($A10="","",SUMIFS('Current Player Stats'!$AF$4:$AF$33,'Current Player Stats'!$A$4:$A$33,$A10))</f>
        <v/>
      </c>
    </row>
    <row r="11" spans="1:24" hidden="1">
      <c r="A11" s="5" t="str">
        <f>IF(8&lt;=Settings!$B$3,Settings!$E$10,"")</f>
        <v/>
      </c>
      <c r="B11" s="2" t="str">
        <f ca="1">IF($A11="","",COUNTIFS(Data!$J$4:$J$18,$A11)+COUNTIFS(Data!$K$4:$K$18,$A11))</f>
        <v/>
      </c>
      <c r="C11" s="18" t="str">
        <f ca="1">IF($A11="","",COUNTIFS(Data!$L$4:$L$18,$A11))</f>
        <v/>
      </c>
      <c r="D11" s="4" t="str">
        <f ca="1">IF($A11="","",COUNTIFS(Data!$M$4:$M$18,$A11))</f>
        <v/>
      </c>
      <c r="E11" s="2" t="str">
        <f ca="1">IF($A11="","",SUMIFS(Data!$N$4:$N$18,Data!$J$4:$J$18,$A11)+SUMIFS(Data!$O$4:$O$18,Data!$K$4:$K$18,$A11))</f>
        <v/>
      </c>
      <c r="F11" s="5" t="str">
        <f ca="1">IF($A11="","",SUMIFS(Data!$O$4:$O$18,Data!$J$4:$J$18,$A11)+SUMIFS(Data!$N$4:$N$18,Data!$K$4:$K$18,$A11))</f>
        <v/>
      </c>
      <c r="G11" s="5" t="str">
        <f ca="1">IF($A11="","",E11-F11)</f>
        <v/>
      </c>
      <c r="H11" s="18" t="str">
        <f ca="1">IF($A11="","",SUMIFS(Data!$W$4:$W$273,Data!$T$4:$T$273,$A11))</f>
        <v/>
      </c>
      <c r="I11" s="4" t="str">
        <f ca="1">IF($A11="","",SUMIFS(Data!$Y$4:$Y$273,Data!$T$4:$T$273,$A11))</f>
        <v/>
      </c>
      <c r="J11" s="5" t="str">
        <f ca="1">IF($A11="","",IF(H11=0,0,I11/H11))</f>
        <v/>
      </c>
      <c r="K11" s="5" t="str">
        <f ca="1">IF($A11="","",IF((H11+SUMIFS(Data!$AD$4:$AD$273,Data!$T$4:$T$273,$A11)+SUMIFS(Data!$AF$4:$AF$273,Data!$T$4:$T$273,$A11)+SUMIFS(Data!$AG$4:$AG$273,Data!$T$4:$T$273,$A11))=0,0,(I11+SUMIFS(Data!$AD$4:$AD$273,Data!$T$4:$T$273,$A11)+SUMIFS(Data!$AF$4:$AF$273,Data!$T$4:$T$273,$A11))/(H11+SUMIFS(Data!$AD$4:$AD$273,Data!$T$4:$T$273,$A11)+SUMIFS(Data!$AF$4:$AF$273,Data!$T$4:$T$273,$A11)+SUMIFS(Data!$AG$4:$AG$273,Data!$T$4:$T$273,$A11))))</f>
        <v/>
      </c>
      <c r="L11" s="18" t="str">
        <f ca="1">IF($A11="","",IF(H11=0,0,((I11-SUMIFS(Data!$Z$4:$Z$273,Data!$T$4:$T$273,$A11)-SUMIFS(Data!$AA$4:$AA$273,Data!$T$4:$T$273,$A11)-SUMIFS(Data!$AB$4:$AB$273,Data!$T$4:$T$273,$A11))+2*SUMIFS(Data!$Z$4:$Z$273,Data!$T$4:$T$273,$A11)+3*SUMIFS(Data!$AA$4:$AA$273,Data!$T$4:$T$273,$A11)+4*SUMIFS(Data!$AB$4:$AB$273,Data!$T$4:$T$273,$A11))/H11))</f>
        <v/>
      </c>
      <c r="M11" s="4" t="str">
        <f ca="1">IF($A11="","",K11+L11)</f>
        <v/>
      </c>
      <c r="N11" s="5" t="str">
        <f ca="1">IF($A11="","",IF($A11=INDEX(Bracket!$B$18:$B$25,MATCH("1st",Bracket!$A$18:$A$25,0)),"Yes",""))</f>
        <v/>
      </c>
      <c r="O11" s="18" t="str">
        <f ca="1">IF($A11="","",SUMIFS('Current Player Stats'!$W$4:$W$33,'Current Player Stats'!$A$4:$A$33,$A11))</f>
        <v/>
      </c>
      <c r="P11" s="18" t="str">
        <f ca="1">IF($A11="","",SUMIFS('Current Player Stats'!$X$4:$X$33,'Current Player Stats'!$A$4:$A$33,$A11))</f>
        <v/>
      </c>
      <c r="Q11" s="18" t="str">
        <f ca="1">IF($A11="","",SUMIFS('Current Player Stats'!$Y$4:$Y$33,'Current Player Stats'!$A$4:$A$33,$A11))</f>
        <v/>
      </c>
      <c r="R11" s="18" t="str">
        <f ca="1">IF($A11="","",SUMIFS('Current Player Stats'!$Z$4:$Z$33,'Current Player Stats'!$A$4:$A$33,$A11))</f>
        <v/>
      </c>
      <c r="S11" s="18" t="str">
        <f ca="1">IF($A11="","",SUMIFS('Current Player Stats'!$AA$4:$AA$33,'Current Player Stats'!$A$4:$A$33,$A11))</f>
        <v/>
      </c>
      <c r="T11" s="18" t="str">
        <f ca="1">IF($A11="","",SUMIFS('Current Player Stats'!$AB$4:$AB$33,'Current Player Stats'!$A$4:$A$33,$A11))</f>
        <v/>
      </c>
      <c r="U11" s="18" t="str">
        <f ca="1">IF($A11="","",SUMIFS('Current Player Stats'!$AC$4:$AC$33,'Current Player Stats'!$A$4:$A$33,$A11))</f>
        <v/>
      </c>
      <c r="V11" s="18" t="str">
        <f ca="1">IF($A11="","",SUMIFS('Current Player Stats'!$AD$4:$AD$33,'Current Player Stats'!$A$4:$A$33,$A11))</f>
        <v/>
      </c>
      <c r="W11" s="18" t="str">
        <f ca="1">IF($A11="","",SUMIFS('Current Player Stats'!$AE$4:$AE$33,'Current Player Stats'!$A$4:$A$33,$A11))</f>
        <v/>
      </c>
      <c r="X11" s="18" t="str">
        <f ca="1">IF($A11="","",SUMIFS('Current Player Stats'!$AF$4:$AF$33,'Current Player Stats'!$A$4:$A$33,$A11))</f>
        <v/>
      </c>
    </row>
    <row r="12" spans="1:24" collapsed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4" spans="1:24">
      <c r="A14" s="3" t="s">
        <v>129</v>
      </c>
      <c r="B14" s="3" t="s">
        <v>195</v>
      </c>
      <c r="C14" s="3" t="s">
        <v>272</v>
      </c>
      <c r="D14" s="3" t="s">
        <v>196</v>
      </c>
      <c r="E14" s="3" t="s">
        <v>180</v>
      </c>
      <c r="F14" s="3" t="s">
        <v>181</v>
      </c>
      <c r="G14" s="3" t="s">
        <v>273</v>
      </c>
      <c r="H14" s="3" t="s">
        <v>274</v>
      </c>
      <c r="I14" s="3" t="s">
        <v>198</v>
      </c>
      <c r="J14" s="3" t="s">
        <v>199</v>
      </c>
      <c r="K14" s="3" t="s">
        <v>200</v>
      </c>
      <c r="L14" s="3" t="s">
        <v>201</v>
      </c>
      <c r="M14" s="3" t="s">
        <v>202</v>
      </c>
      <c r="N14" s="18" t="s">
        <v>277</v>
      </c>
      <c r="O14" s="18" t="s">
        <v>197</v>
      </c>
      <c r="P14" s="18" t="s">
        <v>203</v>
      </c>
      <c r="Q14" s="18"/>
      <c r="R14" s="18"/>
      <c r="S14" s="18"/>
      <c r="T14" s="18"/>
      <c r="U14" s="18"/>
      <c r="V14" s="18"/>
      <c r="W14" s="18"/>
      <c r="X14" s="18"/>
    </row>
    <row r="15" spans="1:24">
      <c r="A15" s="88" t="str">
        <f>IF(1&lt;=Settings!$B$3,Settings!$E$3,"")</f>
        <v>Aidan</v>
      </c>
      <c r="B15" s="5">
        <f ca="1">IF($A15="","",INT(SUMIFS(Data!$AN$4:$AN$183,Data!$AL$4:$AL$183,$A15))+MOD(ROUND(SUMIFS(Data!$AN$4:$AN$183,Data!$AL$4:$AL$183,$A15)*3,0),3)/10)</f>
        <v>9</v>
      </c>
      <c r="C15" s="5">
        <f ca="1">IF($A15="","",SUMIFS(Data!$AO$4:$AO$183,Data!$AL$4:$AL$183,$A15))</f>
        <v>17</v>
      </c>
      <c r="D15" s="5">
        <f ca="1">IF($A15="","",SUMIFS(Data!$AQ$4:$AQ$183,Data!$AL$4:$AL$183,$A15))</f>
        <v>12</v>
      </c>
      <c r="E15" s="5">
        <f ca="1">IF($A15="","",SUMIFS(Data!$AR$4:$AR$183,Data!$AL$4:$AL$183,$A15))</f>
        <v>0</v>
      </c>
      <c r="F15" s="5">
        <f ca="1">IF($A15="","",SUMIFS(Data!$AS$4:$AS$183,Data!$AL$4:$AL$183,$A15))</f>
        <v>14</v>
      </c>
      <c r="G15" s="5">
        <f ca="1">IF($A15="","",IF(SUMIFS(Data!$AN$4:$AN$183,Data!$AL$4:$AL$183,$A15)=0,0,D15*3/SUMIFS(Data!$AN$4:$AN$183,Data!$AL$4:$AL$183,$A15)))</f>
        <v>4.0</v>
      </c>
      <c r="H15" s="5">
        <f ca="1">IF($A15="","",IF(SUMIFS(Data!$AN$4:$AN$183,Data!$AL$4:$AL$183,$A15)=0,0,(C15+E15)/SUMIFS(Data!$AN$4:$AN$183,Data!$AL$4:$AL$183,$A15)))</f>
        <v>1.8888888888888888</v>
      </c>
      <c r="I15" s="5">
        <f ca="1">IF($A15="","",SUMIFS(Data!$AU$4:$AU$183,Data!$AL$4:$AL$183,$A15))</f>
        <v>1</v>
      </c>
      <c r="J15" s="5">
        <f ca="1">IF($A15="","",SUMIFS(Data!$AV$4:$AV$183,Data!$AL$4:$AL$183,$A15))</f>
        <v>2</v>
      </c>
      <c r="K15" s="5">
        <f ca="1">IF($A15="","",SUMIFS(Data!$AW$4:$AW$183,Data!$AL$4:$AL$183,$A15))</f>
        <v>1</v>
      </c>
      <c r="L15" s="5">
        <f ca="1">IF($A15="","",SUMIFS(Data!$AX$4:$AX$183,Data!$AL$4:$AL$183,$A15))</f>
        <v>0</v>
      </c>
      <c r="M15" s="5">
        <f ca="1">IF($A15="","",SUMIFS(Data!$AY$4:$AY$183,Data!$AL$4:$AL$183,$A15))</f>
        <v>0</v>
      </c>
      <c r="N15" s="18">
        <f ca="1">IF($A15="","",SUMIFS('Current Player Stats'!$AG$4:$AG$33,'Current Player Stats'!$A$4:$A$33,$A15))</f>
        <v>12</v>
      </c>
      <c r="O15" s="18">
        <f ca="1">IF($A15="","",SUMIFS('Current Player Stats'!$AH$4:$AH$33,'Current Player Stats'!$A$4:$A$33,$A15))</f>
        <v>10</v>
      </c>
      <c r="P15" s="18">
        <f ca="1">IF($A15="","",SUMIFS('Current Player Stats'!$AI$4:$AI$33,'Current Player Stats'!$A$4:$A$33,$A15))</f>
        <v>44</v>
      </c>
      <c r="Q15" s="18"/>
      <c r="R15" s="18"/>
      <c r="S15" s="18"/>
      <c r="T15" s="18"/>
      <c r="U15" s="18"/>
      <c r="V15" s="18"/>
      <c r="W15" s="18"/>
      <c r="X15" s="18"/>
    </row>
    <row r="16" spans="1:24">
      <c r="A16" s="89" t="str">
        <f>IF(2&lt;=Settings!$B$3,Settings!$E$4,"")</f>
        <v>Donovan</v>
      </c>
      <c r="B16" s="5">
        <f ca="1">IF($A16="","",INT(SUMIFS(Data!$AN$4:$AN$183,Data!$AL$4:$AL$183,$A16))+MOD(ROUND(SUMIFS(Data!$AN$4:$AN$183,Data!$AL$4:$AL$183,$A16)*3,0),3)/10)</f>
        <v>8</v>
      </c>
      <c r="C16" s="5">
        <f ca="1">IF($A16="","",SUMIFS(Data!$AO$4:$AO$183,Data!$AL$4:$AL$183,$A16))</f>
        <v>10</v>
      </c>
      <c r="D16" s="5">
        <f ca="1">IF($A16="","",SUMIFS(Data!$AQ$4:$AQ$183,Data!$AL$4:$AL$183,$A16))</f>
        <v>6</v>
      </c>
      <c r="E16" s="5">
        <f ca="1">IF($A16="","",SUMIFS(Data!$AR$4:$AR$183,Data!$AL$4:$AL$183,$A16))</f>
        <v>0</v>
      </c>
      <c r="F16" s="5">
        <f ca="1">IF($A16="","",SUMIFS(Data!$AS$4:$AS$183,Data!$AL$4:$AL$183,$A16))</f>
        <v>7</v>
      </c>
      <c r="G16" s="5">
        <f ca="1">IF($A16="","",IF(SUMIFS(Data!$AN$4:$AN$183,Data!$AL$4:$AL$183,$A16)=0,0,D16*3/SUMIFS(Data!$AN$4:$AN$183,Data!$AL$4:$AL$183,$A16)))</f>
        <v>2.25</v>
      </c>
      <c r="H16" s="5">
        <f ca="1">IF($A16="","",IF(SUMIFS(Data!$AN$4:$AN$183,Data!$AL$4:$AL$183,$A16)=0,0,(C16+E16)/SUMIFS(Data!$AN$4:$AN$183,Data!$AL$4:$AL$183,$A16)))</f>
        <v>1.25</v>
      </c>
      <c r="I16" s="5">
        <f ca="1">IF($A16="","",SUMIFS(Data!$AU$4:$AU$183,Data!$AL$4:$AL$183,$A16))</f>
        <v>1</v>
      </c>
      <c r="J16" s="5">
        <f ca="1">IF($A16="","",SUMIFS(Data!$AV$4:$AV$183,Data!$AL$4:$AL$183,$A16))</f>
        <v>2</v>
      </c>
      <c r="K16" s="5">
        <f ca="1">IF($A16="","",SUMIFS(Data!$AW$4:$AW$183,Data!$AL$4:$AL$183,$A16))</f>
        <v>0</v>
      </c>
      <c r="L16" s="5">
        <f ca="1">IF($A16="","",SUMIFS(Data!$AX$4:$AX$183,Data!$AL$4:$AL$183,$A16))</f>
        <v>0</v>
      </c>
      <c r="M16" s="5">
        <f ca="1">IF($A16="","",SUMIFS(Data!$AY$4:$AY$183,Data!$AL$4:$AL$183,$A16))</f>
        <v>2</v>
      </c>
      <c r="N16" s="18">
        <f ca="1">IF($A16="","",SUMIFS('Current Player Stats'!$AG$4:$AG$33,'Current Player Stats'!$A$4:$A$33,$A16))</f>
        <v>6</v>
      </c>
      <c r="O16" s="18">
        <f ca="1">IF($A16="","",SUMIFS('Current Player Stats'!$AH$4:$AH$33,'Current Player Stats'!$A$4:$A$33,$A16))</f>
        <v>3</v>
      </c>
      <c r="P16" s="18">
        <f ca="1">IF($A16="","",SUMIFS('Current Player Stats'!$AI$4:$AI$33,'Current Player Stats'!$A$4:$A$33,$A16))</f>
        <v>35</v>
      </c>
      <c r="Q16" s="18"/>
      <c r="R16" s="18"/>
      <c r="S16" s="18"/>
      <c r="T16" s="18"/>
      <c r="U16" s="18"/>
      <c r="V16" s="18"/>
      <c r="W16" s="18"/>
      <c r="X16" s="18"/>
    </row>
    <row r="17" spans="1:17">
      <c r="A17" s="90" t="str">
        <f>IF(3&lt;=Settings!$B$3,Settings!$E$5,"")</f>
        <v>Jason</v>
      </c>
      <c r="B17" s="5">
        <f ca="1">IF($A17="","",INT(SUMIFS(Data!$AN$4:$AN$183,Data!$AL$4:$AL$183,$A17))+MOD(ROUND(SUMIFS(Data!$AN$4:$AN$183,Data!$AL$4:$AL$183,$A17)*3,0),3)/10)</f>
        <v>11</v>
      </c>
      <c r="C17" s="5">
        <f ca="1">IF($A17="","",SUMIFS(Data!$AO$4:$AO$183,Data!$AL$4:$AL$183,$A17))</f>
        <v>16</v>
      </c>
      <c r="D17" s="5">
        <f ca="1">IF($A17="","",SUMIFS(Data!$AQ$4:$AQ$183,Data!$AL$4:$AL$183,$A17))</f>
        <v>9</v>
      </c>
      <c r="E17" s="5">
        <f ca="1">IF($A17="","",SUMIFS(Data!$AR$4:$AR$183,Data!$AL$4:$AL$183,$A17))</f>
        <v>0</v>
      </c>
      <c r="F17" s="5">
        <f ca="1">IF($A17="","",SUMIFS(Data!$AS$4:$AS$183,Data!$AL$4:$AL$183,$A17))</f>
        <v>11</v>
      </c>
      <c r="G17" s="5">
        <f ca="1">IF($A17="","",IF(SUMIFS(Data!$AN$4:$AN$183,Data!$AL$4:$AL$183,$A17)=0,0,D17*3/SUMIFS(Data!$AN$4:$AN$183,Data!$AL$4:$AL$183,$A17)))</f>
        <v>2.4545454545454546</v>
      </c>
      <c r="H17" s="5">
        <f ca="1">IF($A17="","",IF(SUMIFS(Data!$AN$4:$AN$183,Data!$AL$4:$AL$183,$A17)=0,0,(C17+E17)/SUMIFS(Data!$AN$4:$AN$183,Data!$AL$4:$AL$183,$A17)))</f>
        <v>1.4545454545454546</v>
      </c>
      <c r="I17" s="5">
        <f ca="1">IF($A17="","",SUMIFS(Data!$AU$4:$AU$183,Data!$AL$4:$AL$183,$A17))</f>
        <v>3</v>
      </c>
      <c r="J17" s="5">
        <f ca="1">IF($A17="","",SUMIFS(Data!$AV$4:$AV$183,Data!$AL$4:$AL$183,$A17))</f>
        <v>1</v>
      </c>
      <c r="K17" s="5">
        <f ca="1">IF($A17="","",SUMIFS(Data!$AW$4:$AW$183,Data!$AL$4:$AL$183,$A17))</f>
        <v>1</v>
      </c>
      <c r="L17" s="5">
        <f ca="1">IF($A17="","",SUMIFS(Data!$AX$4:$AX$183,Data!$AL$4:$AL$183,$A17))</f>
        <v>1</v>
      </c>
      <c r="M17" s="5">
        <f ca="1">IF($A17="","",SUMIFS(Data!$AY$4:$AY$183,Data!$AL$4:$AL$183,$A17))</f>
        <v>1</v>
      </c>
      <c r="N17" s="18">
        <f ca="1">IF($A17="","",SUMIFS('Current Player Stats'!$AG$4:$AG$33,'Current Player Stats'!$A$4:$A$33,$A17))</f>
        <v>9</v>
      </c>
      <c r="O17" s="18">
        <f ca="1">IF($A17="","",SUMIFS('Current Player Stats'!$AH$4:$AH$33,'Current Player Stats'!$A$4:$A$33,$A17))</f>
        <v>2</v>
      </c>
      <c r="P17" s="18">
        <f ca="1">IF($A17="","",SUMIFS('Current Player Stats'!$AI$4:$AI$33,'Current Player Stats'!$A$4:$A$33,$A17))</f>
        <v>49</v>
      </c>
      <c r="Q17" s="18"/>
    </row>
    <row r="18" spans="1:17">
      <c r="A18" s="92" t="str">
        <f>IF(4&lt;=Settings!$B$3,Settings!$E$6,"")</f>
        <v>Justin</v>
      </c>
      <c r="B18" s="5">
        <f ca="1">IF($A18="","",INT(SUMIFS(Data!$AN$4:$AN$183,Data!$AL$4:$AL$183,$A18))+MOD(ROUND(SUMIFS(Data!$AN$4:$AN$183,Data!$AL$4:$AL$183,$A18)*3,0),3)/10)</f>
        <v>4.1</v>
      </c>
      <c r="C18" s="5">
        <f ca="1">IF($A18="","",SUMIFS(Data!$AO$4:$AO$183,Data!$AL$4:$AL$183,$A18))</f>
        <v>10</v>
      </c>
      <c r="D18" s="5">
        <f ca="1">IF($A18="","",SUMIFS(Data!$AQ$4:$AQ$183,Data!$AL$4:$AL$183,$A18))</f>
        <v>6</v>
      </c>
      <c r="E18" s="5">
        <f ca="1">IF($A18="","",SUMIFS(Data!$AR$4:$AR$183,Data!$AL$4:$AL$183,$A18))</f>
        <v>0</v>
      </c>
      <c r="F18" s="5">
        <f ca="1">IF($A18="","",SUMIFS(Data!$AS$4:$AS$183,Data!$AL$4:$AL$183,$A18))</f>
        <v>2</v>
      </c>
      <c r="G18" s="5">
        <f ca="1">IF($A18="","",IF(SUMIFS(Data!$AN$4:$AN$183,Data!$AL$4:$AL$183,$A18)=0,0,D18*3/SUMIFS(Data!$AN$4:$AN$183,Data!$AL$4:$AL$183,$A18)))</f>
        <v>4.153846153846154</v>
      </c>
      <c r="H18" s="5">
        <f ca="1">IF($A18="","",IF(SUMIFS(Data!$AN$4:$AN$183,Data!$AL$4:$AL$183,$A18)=0,0,(C18+E18)/SUMIFS(Data!$AN$4:$AN$183,Data!$AL$4:$AL$183,$A18)))</f>
        <v>2.307692307692308</v>
      </c>
      <c r="I18" s="5">
        <f ca="1">IF($A18="","",SUMIFS(Data!$AU$4:$AU$183,Data!$AL$4:$AL$183,$A18))</f>
        <v>0</v>
      </c>
      <c r="J18" s="5">
        <f ca="1">IF($A18="","",SUMIFS(Data!$AV$4:$AV$183,Data!$AL$4:$AL$183,$A18))</f>
        <v>2</v>
      </c>
      <c r="K18" s="5">
        <f ca="1">IF($A18="","",SUMIFS(Data!$AW$4:$AW$183,Data!$AL$4:$AL$183,$A18))</f>
        <v>0</v>
      </c>
      <c r="L18" s="5">
        <f ca="1">IF($A18="","",SUMIFS(Data!$AX$4:$AX$183,Data!$AL$4:$AL$183,$A18))</f>
        <v>0</v>
      </c>
      <c r="M18" s="5">
        <f ca="1">IF($A18="","",SUMIFS(Data!$AY$4:$AY$183,Data!$AL$4:$AL$183,$A18))</f>
        <v>2</v>
      </c>
      <c r="N18" s="18">
        <f ca="1">IF($A18="","",SUMIFS('Current Player Stats'!$AG$4:$AG$33,'Current Player Stats'!$A$4:$A$33,$A18))</f>
        <v>6</v>
      </c>
      <c r="O18" s="18">
        <f ca="1">IF($A18="","",SUMIFS('Current Player Stats'!$AH$4:$AH$33,'Current Player Stats'!$A$4:$A$33,$A18))</f>
        <v>4</v>
      </c>
      <c r="P18" s="18">
        <f ca="1">IF($A18="","",SUMIFS('Current Player Stats'!$AI$4:$AI$33,'Current Player Stats'!$A$4:$A$33,$A18))</f>
        <v>22</v>
      </c>
      <c r="Q18" s="18"/>
    </row>
    <row r="19" spans="1:17">
      <c r="A19" s="93" t="str">
        <f>IF(5&lt;=Settings!$B$3,Settings!$E$7,"")</f>
        <v>May</v>
      </c>
      <c r="B19" s="5">
        <f ca="1">IF($A19="","",INT(SUMIFS(Data!$AN$4:$AN$183,Data!$AL$4:$AL$183,$A19))+MOD(ROUND(SUMIFS(Data!$AN$4:$AN$183,Data!$AL$4:$AL$183,$A19)*3,0),3)/10)</f>
        <v>12</v>
      </c>
      <c r="C19" s="5">
        <f ca="1">IF($A19="","",SUMIFS(Data!$AO$4:$AO$183,Data!$AL$4:$AL$183,$A19))</f>
        <v>13</v>
      </c>
      <c r="D19" s="5">
        <f ca="1">IF($A19="","",SUMIFS(Data!$AQ$4:$AQ$183,Data!$AL$4:$AL$183,$A19))</f>
        <v>3</v>
      </c>
      <c r="E19" s="5">
        <f ca="1">IF($A19="","",SUMIFS(Data!$AR$4:$AR$183,Data!$AL$4:$AL$183,$A19))</f>
        <v>0</v>
      </c>
      <c r="F19" s="5">
        <f ca="1">IF($A19="","",SUMIFS(Data!$AS$4:$AS$183,Data!$AL$4:$AL$183,$A19))</f>
        <v>8</v>
      </c>
      <c r="G19" s="5">
        <f ca="1">IF($A19="","",IF(SUMIFS(Data!$AN$4:$AN$183,Data!$AL$4:$AL$183,$A19)=0,0,D19*3/SUMIFS(Data!$AN$4:$AN$183,Data!$AL$4:$AL$183,$A19)))</f>
        <v>0.75</v>
      </c>
      <c r="H19" s="5">
        <f ca="1">IF($A19="","",IF(SUMIFS(Data!$AN$4:$AN$183,Data!$AL$4:$AL$183,$A19)=0,0,(C19+E19)/SUMIFS(Data!$AN$4:$AN$183,Data!$AL$4:$AL$183,$A19)))</f>
        <v>1.0833333333333333</v>
      </c>
      <c r="I19" s="5">
        <f ca="1">IF($A19="","",SUMIFS(Data!$AU$4:$AU$183,Data!$AL$4:$AL$183,$A19))</f>
        <v>2</v>
      </c>
      <c r="J19" s="5">
        <f ca="1">IF($A19="","",SUMIFS(Data!$AV$4:$AV$183,Data!$AL$4:$AL$183,$A19))</f>
        <v>2</v>
      </c>
      <c r="K19" s="5">
        <f ca="1">IF($A19="","",SUMIFS(Data!$AW$4:$AW$183,Data!$AL$4:$AL$183,$A19))</f>
        <v>0</v>
      </c>
      <c r="L19" s="5">
        <f ca="1">IF($A19="","",SUMIFS(Data!$AX$4:$AX$183,Data!$AL$4:$AL$183,$A19))</f>
        <v>1</v>
      </c>
      <c r="M19" s="5">
        <f ca="1">IF($A19="","",SUMIFS(Data!$AY$4:$AY$183,Data!$AL$4:$AL$183,$A19))</f>
        <v>3</v>
      </c>
      <c r="N19" s="18">
        <f ca="1">IF($A19="","",SUMIFS('Current Player Stats'!$AG$4:$AG$33,'Current Player Stats'!$A$4:$A$33,$A19))</f>
        <v>3</v>
      </c>
      <c r="O19" s="18">
        <f ca="1">IF($A19="","",SUMIFS('Current Player Stats'!$AH$4:$AH$33,'Current Player Stats'!$A$4:$A$33,$A19))</f>
        <v>1</v>
      </c>
      <c r="P19" s="18">
        <f ca="1">IF($A19="","",SUMIFS('Current Player Stats'!$AI$4:$AI$33,'Current Player Stats'!$A$4:$A$33,$A19))</f>
        <v>48</v>
      </c>
      <c r="Q19" s="18"/>
    </row>
    <row r="20" spans="1:17">
      <c r="A20" s="95" t="str">
        <f>IF(6&lt;=Settings!$B$3,Settings!$E$8,"")</f>
        <v>Nick</v>
      </c>
      <c r="B20" s="5">
        <f ca="1">IF($A20="","",INT(SUMIFS(Data!$AN$4:$AN$183,Data!$AL$4:$AL$183,$A20))+MOD(ROUND(SUMIFS(Data!$AN$4:$AN$183,Data!$AL$4:$AL$183,$A20)*3,0),3)/10)</f>
        <v>13.1</v>
      </c>
      <c r="C20" s="5">
        <f ca="1">IF($A20="","",SUMIFS(Data!$AO$4:$AO$183,Data!$AL$4:$AL$183,$A20))</f>
        <v>18</v>
      </c>
      <c r="D20" s="5">
        <f ca="1">IF($A20="","",SUMIFS(Data!$AQ$4:$AQ$183,Data!$AL$4:$AL$183,$A20))</f>
        <v>9</v>
      </c>
      <c r="E20" s="5">
        <f ca="1">IF($A20="","",SUMIFS(Data!$AR$4:$AR$183,Data!$AL$4:$AL$183,$A20))</f>
        <v>1</v>
      </c>
      <c r="F20" s="5">
        <f ca="1">IF($A20="","",SUMIFS(Data!$AS$4:$AS$183,Data!$AL$4:$AL$183,$A20))</f>
        <v>7</v>
      </c>
      <c r="G20" s="5">
        <f ca="1">IF($A20="","",IF(SUMIFS(Data!$AN$4:$AN$183,Data!$AL$4:$AL$183,$A20)=0,0,D20*3/SUMIFS(Data!$AN$4:$AN$183,Data!$AL$4:$AL$183,$A20)))</f>
        <v>2.025</v>
      </c>
      <c r="H20" s="5">
        <f ca="1">IF($A20="","",IF(SUMIFS(Data!$AN$4:$AN$183,Data!$AL$4:$AL$183,$A20)=0,0,(C20+E20)/SUMIFS(Data!$AN$4:$AN$183,Data!$AL$4:$AL$183,$A20)))</f>
        <v>1.425</v>
      </c>
      <c r="I20" s="5">
        <f ca="1">IF($A20="","",SUMIFS(Data!$AU$4:$AU$183,Data!$AL$4:$AL$183,$A20))</f>
        <v>3</v>
      </c>
      <c r="J20" s="5">
        <f ca="1">IF($A20="","",SUMIFS(Data!$AV$4:$AV$183,Data!$AL$4:$AL$183,$A20))</f>
        <v>1</v>
      </c>
      <c r="K20" s="5">
        <f ca="1">IF($A20="","",SUMIFS(Data!$AW$4:$AW$183,Data!$AL$4:$AL$183,$A20))</f>
        <v>1</v>
      </c>
      <c r="L20" s="5">
        <f ca="1">IF($A20="","",SUMIFS(Data!$AX$4:$AX$183,Data!$AL$4:$AL$183,$A20))</f>
        <v>0</v>
      </c>
      <c r="M20" s="5">
        <f ca="1">IF($A20="","",SUMIFS(Data!$AY$4:$AY$183,Data!$AL$4:$AL$183,$A20))</f>
        <v>0</v>
      </c>
      <c r="N20" s="18">
        <f ca="1">IF($A20="","",SUMIFS('Current Player Stats'!$AG$4:$AG$33,'Current Player Stats'!$A$4:$A$33,$A20))</f>
        <v>9</v>
      </c>
      <c r="O20" s="18">
        <f ca="1">IF($A20="","",SUMIFS('Current Player Stats'!$AH$4:$AH$33,'Current Player Stats'!$A$4:$A$33,$A20))</f>
        <v>3</v>
      </c>
      <c r="P20" s="18">
        <f ca="1">IF($A20="","",SUMIFS('Current Player Stats'!$AI$4:$AI$33,'Current Player Stats'!$A$4:$A$33,$A20))</f>
        <v>58</v>
      </c>
      <c r="Q20" s="18"/>
    </row>
    <row r="21" spans="1:17" hidden="1">
      <c r="A21" s="5" t="str">
        <f>IF(7&lt;=Settings!$B$3,Settings!$E$9,"")</f>
        <v/>
      </c>
      <c r="B21" s="5" t="str">
        <f ca="1">IF($A21="","",INT(SUMIFS(Data!$AN$4:$AN$183,Data!$AL$4:$AL$183,$A21))+MOD(ROUND(SUMIFS(Data!$AN$4:$AN$183,Data!$AL$4:$AL$183,$A21)*3,0),3)/10)</f>
        <v/>
      </c>
      <c r="C21" s="5" t="str">
        <f ca="1">IF($A21="","",SUMIFS(Data!$AO$4:$AO$183,Data!$AL$4:$AL$183,$A21))</f>
        <v/>
      </c>
      <c r="D21" s="5" t="str">
        <f ca="1">IF($A21="","",SUMIFS(Data!$AQ$4:$AQ$183,Data!$AL$4:$AL$183,$A21))</f>
        <v/>
      </c>
      <c r="E21" s="5" t="str">
        <f ca="1">IF($A21="","",SUMIFS(Data!$AR$4:$AR$183,Data!$AL$4:$AL$183,$A21))</f>
        <v/>
      </c>
      <c r="F21" s="5" t="str">
        <f ca="1">IF($A21="","",SUMIFS(Data!$AS$4:$AS$183,Data!$AL$4:$AL$183,$A21))</f>
        <v/>
      </c>
      <c r="G21" s="5" t="str">
        <f ca="1">IF($A21="","",IF(SUMIFS(Data!$AN$4:$AN$183,Data!$AL$4:$AL$183,$A21)=0,0,D21*3/SUMIFS(Data!$AN$4:$AN$183,Data!$AL$4:$AL$183,$A21)))</f>
        <v/>
      </c>
      <c r="H21" s="5" t="str">
        <f ca="1">IF($A21="","",IF(SUMIFS(Data!$AN$4:$AN$183,Data!$AL$4:$AL$183,$A21)=0,0,(C21+E21)/SUMIFS(Data!$AN$4:$AN$183,Data!$AL$4:$AL$183,$A21)))</f>
        <v/>
      </c>
      <c r="I21" s="5" t="str">
        <f ca="1">IF($A21="","",SUMIFS(Data!$AU$4:$AU$183,Data!$AL$4:$AL$183,$A21))</f>
        <v/>
      </c>
      <c r="J21" s="5" t="str">
        <f ca="1">IF($A21="","",SUMIFS(Data!$AV$4:$AV$183,Data!$AL$4:$AL$183,$A21))</f>
        <v/>
      </c>
      <c r="K21" s="5" t="str">
        <f ca="1">IF($A21="","",SUMIFS(Data!$AW$4:$AW$183,Data!$AL$4:$AL$183,$A21))</f>
        <v/>
      </c>
      <c r="L21" s="5" t="str">
        <f ca="1">IF($A21="","",SUMIFS(Data!$AX$4:$AX$183,Data!$AL$4:$AL$183,$A21))</f>
        <v/>
      </c>
      <c r="M21" s="5" t="str">
        <f ca="1">IF($A21="","",SUMIFS(Data!$AY$4:$AY$183,Data!$AL$4:$AL$183,$A21))</f>
        <v/>
      </c>
      <c r="N21" s="18" t="str">
        <f ca="1">IF($A21="","",SUMIFS('Current Player Stats'!$AG$4:$AG$33,'Current Player Stats'!$A$4:$A$33,$A21))</f>
        <v/>
      </c>
      <c r="O21" s="18" t="str">
        <f ca="1">IF($A21="","",SUMIFS('Current Player Stats'!$AH$4:$AH$33,'Current Player Stats'!$A$4:$A$33,$A21))</f>
        <v/>
      </c>
      <c r="P21" s="18" t="str">
        <f ca="1">IF($A21="","",SUMIFS('Current Player Stats'!$AI$4:$AI$33,'Current Player Stats'!$A$4:$A$33,$A21))</f>
        <v/>
      </c>
      <c r="Q21" s="18"/>
    </row>
    <row r="22" spans="1:17" hidden="1">
      <c r="A22" s="5" t="str">
        <f>IF(8&lt;=Settings!$B$3,Settings!$E$10,"")</f>
        <v/>
      </c>
      <c r="B22" s="5" t="str">
        <f ca="1">IF($A22="","",INT(SUMIFS(Data!$AN$4:$AN$183,Data!$AL$4:$AL$183,$A22))+MOD(ROUND(SUMIFS(Data!$AN$4:$AN$183,Data!$AL$4:$AL$183,$A22)*3,0),3)/10)</f>
        <v/>
      </c>
      <c r="C22" s="5" t="str">
        <f ca="1">IF($A22="","",SUMIFS(Data!$AO$4:$AO$183,Data!$AL$4:$AL$183,$A22))</f>
        <v/>
      </c>
      <c r="D22" s="5" t="str">
        <f ca="1">IF($A22="","",SUMIFS(Data!$AQ$4:$AQ$183,Data!$AL$4:$AL$183,$A22))</f>
        <v/>
      </c>
      <c r="E22" s="5" t="str">
        <f ca="1">IF($A22="","",SUMIFS(Data!$AR$4:$AR$183,Data!$AL$4:$AL$183,$A22))</f>
        <v/>
      </c>
      <c r="F22" s="5" t="str">
        <f ca="1">IF($A22="","",SUMIFS(Data!$AS$4:$AS$183,Data!$AL$4:$AL$183,$A22))</f>
        <v/>
      </c>
      <c r="G22" s="5" t="str">
        <f ca="1">IF($A22="","",IF(SUMIFS(Data!$AN$4:$AN$183,Data!$AL$4:$AL$183,$A22)=0,0,D22*3/SUMIFS(Data!$AN$4:$AN$183,Data!$AL$4:$AL$183,$A22)))</f>
        <v/>
      </c>
      <c r="H22" s="5" t="str">
        <f ca="1">IF($A22="","",IF(SUMIFS(Data!$AN$4:$AN$183,Data!$AL$4:$AL$183,$A22)=0,0,(C22+E22)/SUMIFS(Data!$AN$4:$AN$183,Data!$AL$4:$AL$183,$A22)))</f>
        <v/>
      </c>
      <c r="I22" s="5" t="str">
        <f ca="1">IF($A22="","",SUMIFS(Data!$AU$4:$AU$183,Data!$AL$4:$AL$183,$A22))</f>
        <v/>
      </c>
      <c r="J22" s="5" t="str">
        <f ca="1">IF($A22="","",SUMIFS(Data!$AV$4:$AV$183,Data!$AL$4:$AL$183,$A22))</f>
        <v/>
      </c>
      <c r="K22" s="5" t="str">
        <f ca="1">IF($A22="","",SUMIFS(Data!$AW$4:$AW$183,Data!$AL$4:$AL$183,$A22))</f>
        <v/>
      </c>
      <c r="L22" s="5" t="str">
        <f ca="1">IF($A22="","",SUMIFS(Data!$AX$4:$AX$183,Data!$AL$4:$AL$183,$A22))</f>
        <v/>
      </c>
      <c r="M22" s="5" t="str">
        <f ca="1">IF($A22="","",SUMIFS(Data!$AY$4:$AY$183,Data!$AL$4:$AL$183,$A22))</f>
        <v/>
      </c>
      <c r="N22" s="18" t="str">
        <f ca="1">IF($A22="","",SUMIFS('Current Player Stats'!$AG$4:$AG$33,'Current Player Stats'!$A$4:$A$33,$A22))</f>
        <v/>
      </c>
      <c r="O22" s="18" t="str">
        <f ca="1">IF($A22="","",SUMIFS('Current Player Stats'!$AH$4:$AH$33,'Current Player Stats'!$A$4:$A$33,$A22))</f>
        <v/>
      </c>
      <c r="P22" s="18" t="str">
        <f ca="1">IF($A22="","",SUMIFS('Current Player Stats'!$AI$4:$AI$33,'Current Player Stats'!$A$4:$A$33,$A22))</f>
        <v/>
      </c>
      <c r="Q22" s="18"/>
    </row>
    <row r="23" spans="1:17" collapsed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</row>
  </sheetData>
  <mergeCells count="1">
    <mergeCell ref="A1:N1"/>
  </mergeCells>
  <conditionalFormatting sqref="A1:N22">
    <cfRule type="expression" dxfId="15" priority="1">
      <formula>COUNTIFS(ActivePlayers,A1,ActiveColors,"Blue")&gt;0</formula>
    </cfRule>
  </conditionalFormatting>
  <conditionalFormatting sqref="A1:N22">
    <cfRule type="expression" dxfId="14" priority="2">
      <formula>COUNTIFS(ActivePlayers,A1,ActiveColors,"Orange")&gt;0</formula>
    </cfRule>
  </conditionalFormatting>
  <conditionalFormatting sqref="A1:N22">
    <cfRule type="expression" dxfId="13" priority="3">
      <formula>COUNTIFS(ActivePlayers,A1,ActiveColors,"Green")&gt;0</formula>
    </cfRule>
  </conditionalFormatting>
  <conditionalFormatting sqref="A1:N22">
    <cfRule type="expression" dxfId="12" priority="4">
      <formula>COUNTIFS(ActivePlayers,A1,ActiveColors,"Red")&gt;0</formula>
    </cfRule>
  </conditionalFormatting>
  <conditionalFormatting sqref="A1:N22">
    <cfRule type="expression" dxfId="11" priority="5">
      <formula>COUNTIFS(ActivePlayers,A1,ActiveColors,"Purple")&gt;0</formula>
    </cfRule>
  </conditionalFormatting>
  <conditionalFormatting sqref="A1:N22">
    <cfRule type="expression" dxfId="10" priority="6">
      <formula>COUNTIFS(ActivePlayers,A1,ActiveColors,"Pink")&gt;0</formula>
    </cfRule>
  </conditionalFormatting>
  <conditionalFormatting sqref="A1:N22">
    <cfRule type="expression" dxfId="9" priority="7">
      <formula>COUNTIFS(ActivePlayers,A1,ActiveColors,"Gray")&gt;0</formula>
    </cfRule>
  </conditionalFormatting>
  <conditionalFormatting sqref="A1:N22">
    <cfRule type="expression" dxfId="8" priority="8">
      <formula>COUNTIFS(ActivePlayers,A1,ActiveColors,"Brown")&gt;0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800-000000000000}">
  <dimension ref="A1:AG152"/>
  <sheetViews>
    <sheetView showGridLines="0" topLeftCell="A5" workbookViewId="0">
      <selection activeCell="H26" sqref="H26"/>
    </sheetView>
  </sheetViews>
  <sheetFormatPr defaultRowHeight="15"/>
  <cols>
    <col min="1" max="1" width="16.85546875" bestFit="1" customWidth="1"/>
    <col min="2" max="2" width="16.42578125" bestFit="1" customWidth="1"/>
    <col min="9" max="9" width="22.140625" bestFit="1" customWidth="1"/>
    <col min="10" max="10" width="18.28515625" bestFit="1" customWidth="1"/>
    <col min="11" max="11" width="2" bestFit="1" customWidth="1"/>
    <col min="12" max="13" width="3.140625" bestFit="1" customWidth="1"/>
    <col min="14" max="14" width="6.5703125" bestFit="1" customWidth="1"/>
    <col min="15" max="15" width="6.7109375" bestFit="1" customWidth="1"/>
    <col min="16" max="16" width="4.42578125" bestFit="1" customWidth="1"/>
    <col min="17" max="17" width="5.85546875" bestFit="1" customWidth="1"/>
    <col min="18" max="18" width="8.85546875" bestFit="1" customWidth="1"/>
    <col min="19" max="19" width="9.7109375" bestFit="1" customWidth="1"/>
    <col min="20" max="20" width="9.5703125" bestFit="1" customWidth="1"/>
    <col min="21" max="21" width="10.7109375" bestFit="1" customWidth="1"/>
    <col min="22" max="22" width="8.140625" bestFit="1" customWidth="1"/>
    <col min="23" max="23" width="5.140625" bestFit="1" customWidth="1"/>
    <col min="24" max="24" width="9.7109375" bestFit="1" customWidth="1"/>
    <col min="25" max="25" width="9.5703125" bestFit="1" customWidth="1"/>
    <col min="26" max="26" width="10.7109375" bestFit="1" customWidth="1"/>
    <col min="27" max="27" width="8.140625" bestFit="1" customWidth="1"/>
    <col min="28" max="28" width="5.140625" bestFit="1" customWidth="1"/>
    <col min="29" max="29" width="3" bestFit="1" customWidth="1"/>
    <col min="30" max="30" width="4.5703125" bestFit="1" customWidth="1"/>
    <col min="31" max="31" width="3.28515625" bestFit="1" customWidth="1"/>
    <col min="32" max="32" width="5.7109375" bestFit="1" customWidth="1"/>
    <col min="33" max="33" width="3.140625" bestFit="1" customWidth="1"/>
  </cols>
  <sheetData>
    <row r="1" spans="1:33">
      <c r="A1" s="214" t="s">
        <v>401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6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3" spans="1:33">
      <c r="A3" s="3" t="s">
        <v>39</v>
      </c>
      <c r="B3" s="3" t="s">
        <v>288</v>
      </c>
      <c r="C3" s="3" t="s">
        <v>175</v>
      </c>
      <c r="D3" s="3" t="s">
        <v>162</v>
      </c>
      <c r="E3" s="3" t="s">
        <v>268</v>
      </c>
      <c r="F3" s="3" t="s">
        <v>178</v>
      </c>
      <c r="G3" s="3" t="s">
        <v>179</v>
      </c>
      <c r="H3" s="3" t="s">
        <v>289</v>
      </c>
      <c r="I3" s="3" t="s">
        <v>311</v>
      </c>
      <c r="J3" s="3" t="s">
        <v>291</v>
      </c>
      <c r="K3" s="18" t="s">
        <v>161</v>
      </c>
      <c r="L3" s="18" t="s">
        <v>176</v>
      </c>
      <c r="M3" s="18" t="s">
        <v>177</v>
      </c>
      <c r="N3" s="18" t="s">
        <v>275</v>
      </c>
      <c r="O3" s="18" t="s">
        <v>276</v>
      </c>
      <c r="P3" s="18" t="s">
        <v>182</v>
      </c>
      <c r="Q3" s="18" t="s">
        <v>292</v>
      </c>
      <c r="R3" s="18" t="s">
        <v>293</v>
      </c>
      <c r="S3" s="18" t="s">
        <v>183</v>
      </c>
      <c r="T3" s="18" t="s">
        <v>184</v>
      </c>
      <c r="U3" s="18" t="s">
        <v>195</v>
      </c>
      <c r="V3" s="18" t="s">
        <v>196</v>
      </c>
      <c r="W3" s="18" t="s">
        <v>273</v>
      </c>
      <c r="X3" s="18" t="s">
        <v>272</v>
      </c>
      <c r="Y3" s="18" t="s">
        <v>277</v>
      </c>
      <c r="Z3" s="18" t="s">
        <v>281</v>
      </c>
      <c r="AA3" s="18" t="s">
        <v>282</v>
      </c>
      <c r="AB3" s="18" t="s">
        <v>197</v>
      </c>
      <c r="AC3" s="18" t="s">
        <v>200</v>
      </c>
      <c r="AD3" s="18" t="s">
        <v>201</v>
      </c>
      <c r="AE3" s="18" t="s">
        <v>202</v>
      </c>
      <c r="AF3" s="18" t="s">
        <v>274</v>
      </c>
      <c r="AG3" s="18" t="s">
        <v>203</v>
      </c>
    </row>
    <row r="4" spans="1:33">
      <c r="A4" s="4" t="s">
        <v>42</v>
      </c>
      <c r="B4" s="5">
        <f>COUNTIF(Data!$D$4:$D$75,A4)</f>
        <v>1</v>
      </c>
      <c r="C4" s="5">
        <f ca="1">SUMIFS(Data!$W$4:$W$273,Data!$U$4:$U$273,A4)</f>
        <v>8</v>
      </c>
      <c r="D4" s="5">
        <f ca="1">SUMIFS(Data!$Y$4:$Y$273,Data!$U$4:$U$273,A4)</f>
        <v>5</v>
      </c>
      <c r="E4" s="5">
        <f ca="1">IF(C4=0,0,D4/C4)</f>
        <v>0.625</v>
      </c>
      <c r="F4" s="5">
        <f ca="1">SUMIFS(Data!$AB$4:$AB$273,Data!$U$4:$U$273,A4)</f>
        <v>0</v>
      </c>
      <c r="G4" s="5">
        <f ca="1">SUMIFS(Data!$AC$4:$AC$273,Data!$U$4:$U$273,A4)</f>
        <v>5</v>
      </c>
      <c r="H4" s="88" t="str">
        <f>IFERROR(_xlfn.SINGLE(_xlfn.XLOOKUP(A4, Data!$D$4:$D$75, Data!$C$4:$C$75, "")), "")</f>
        <v>Nick</v>
      </c>
      <c r="I4" s="5">
        <f ca="1">IF(H4 = "", "", IFERROR(_xlfn.SINGLE(_xlfn.XLOOKUP(H4, 'Current Player'!$A$4:$A$11, _xlfn.SINGLE('Current Player'!$C$4:$C$11) / _xlfn.SINGLE('Current Player'!$B$4:$B$11), 0)), 0))</f>
        <v>0</v>
      </c>
      <c r="J4" s="5" t="str">
        <f ca="1">IF(AND(H4&lt;&gt;"",H4=INDEX(Bracket!$B$18:$B$25,MATCH("1st",Bracket!$A$18:$A$25,0))),"Yes","")</f>
        <v/>
      </c>
      <c r="K4" s="18">
        <f ca="1">IF($A4="","",SUMIFS('Current Char Stats'!$N$4:$N$273,'Current Char Stats'!$B$4:$B$273,$A4))</f>
        <v>2</v>
      </c>
      <c r="L4" s="18">
        <f ca="1">IF($A4="","",SUMIFS('Current Char Stats'!$O$4:$O$273,'Current Char Stats'!$B$4:$B$273,$A4))</f>
        <v>3</v>
      </c>
      <c r="M4" s="18">
        <f ca="1">IF($A4="","",SUMIFS('Current Char Stats'!$P$4:$P$273,'Current Char Stats'!$B$4:$B$273,$A4))</f>
        <v>0</v>
      </c>
      <c r="N4" s="18">
        <f ca="1">IF($A4="","",SUMIFS('Current Char Stats'!$Q$4:$Q$273,'Current Char Stats'!$B$4:$B$273,$A4))</f>
        <v>0</v>
      </c>
      <c r="O4" s="18">
        <f ca="1">IF($A4="","",SUMIFS('Current Char Stats'!$R$4:$R$273,'Current Char Stats'!$B$4:$B$273,$A4))</f>
        <v>2</v>
      </c>
      <c r="P4" s="18">
        <f ca="1">IF($A4="","",SUMIFS('Current Char Stats'!$S$4:$S$273,'Current Char Stats'!$B$4:$B$273,$A4))</f>
        <v>0</v>
      </c>
      <c r="Q4" s="18">
        <f ca="1">COUNTIF(Bracket!$K$6:$K$20,A4)</f>
        <v>3</v>
      </c>
      <c r="R4" s="18">
        <f ca="1">COUNTIFS(Bracket!$K$6:$K$20,A4,Bracket!$G$6:$G$20,"CG-*")</f>
        <v>0</v>
      </c>
      <c r="S4" s="18">
        <f ca="1">IF($A4="","",SUMIFS('Current Char Stats'!$T$4:$T$273,'Current Char Stats'!$B$4:$B$273,$A4))</f>
        <v>0</v>
      </c>
      <c r="T4" s="18">
        <f ca="1">IF($A4="","",SUMIFS('Current Char Stats'!$U$4:$U$273,'Current Char Stats'!$B$4:$B$273,$A4))</f>
        <v>0</v>
      </c>
      <c r="U4" s="18" cm="1">
        <f t="array" aca="1" ref="U4" ca="1">IF($A4="","",_xlfn.LET(_xlpm.rawIP,SUMPRODUCT(--(Data!$AM$4:$AM$183=$A4),IFERROR(Data!$AN$4:$AN$183,0)),IF(_xlpm.rawIP=0,0,INT(_xlpm.rawIP)+MOD(ROUND(_xlpm.rawIP*3,0),3)/10)))</f>
        <v>8</v>
      </c>
      <c r="V4" s="18">
        <f ca="1">IF($A4="","",SUMIFS('Current Char Stats'!$J$4:$J$273,'Current Char Stats'!$B$4:$B$273,$A4))</f>
        <v>2</v>
      </c>
      <c r="W4" s="18" cm="1">
        <f t="array" aca="1" ref="W4" ca="1">IF($A4="","",_xlfn.LET(_xlpm.rawIP,SUMPRODUCT(--(Data!$AM$4:$AM$183=$A4),IFERROR(Data!$AN$4:$AN$183,0)),IF(_xlpm.rawIP=0,0,V4*3/_xlpm.rawIP)))</f>
        <v>0.75</v>
      </c>
      <c r="X4" s="18">
        <f ca="1">IF($A4="","",SUMIFS('Current Char Stats'!$V$4:$V$273,'Current Char Stats'!$B$4:$B$273,$A4))</f>
        <v>9</v>
      </c>
      <c r="Y4" s="18">
        <f ca="1">IF($A4="","",SUMIFS('Current Char Stats'!$W$4:$W$273,'Current Char Stats'!$B$4:$B$273,$A4))</f>
        <v>2</v>
      </c>
      <c r="Z4" s="18">
        <f ca="1">IF($A4="","",SUMIFS('Current Char Stats'!$X$4:$X$273,'Current Char Stats'!$B$4:$B$273,$A4))</f>
        <v>1</v>
      </c>
      <c r="AA4" s="18">
        <f ca="1">IF($A4="","",SUMIFS('Current Char Stats'!$Y$4:$Y$273,'Current Char Stats'!$B$4:$B$273,$A4))</f>
        <v>5</v>
      </c>
      <c r="AB4" s="18">
        <f ca="1">IF($A4="","",SUMIFS('Current Char Stats'!$Z$4:$Z$273,'Current Char Stats'!$B$4:$B$273,$A4))</f>
        <v>1</v>
      </c>
      <c r="AC4" s="18">
        <f ca="1">IF($A4="","",SUMIFS('Current Char Stats'!$AA$4:$AA$273,'Current Char Stats'!$B$4:$B$273,$A4))</f>
        <v>0</v>
      </c>
      <c r="AD4" s="18">
        <f ca="1">IF($A4="","",SUMIFS('Current Char Stats'!$AB$4:$AB$273,'Current Char Stats'!$B$4:$B$273,$A4))</f>
        <v>0</v>
      </c>
      <c r="AE4" s="18">
        <f ca="1">IF($A4="","",SUMIFS('Current Char Stats'!$AC$4:$AC$273,'Current Char Stats'!$B$4:$B$273,$A4))</f>
        <v>0</v>
      </c>
      <c r="AF4" s="18" cm="1">
        <f t="array" aca="1" ref="AF4" ca="1">IF($A4="","",_xlfn.LET(_xlpm.rawIP,SUMPRODUCT(--(Data!$AM$4:$AM$183=$A4),IFERROR(Data!$AN$4:$AN$183,0)),IF(_xlpm.rawIP=0,0,(X4+Z4)/_xlpm.rawIP)))</f>
        <v>1.25</v>
      </c>
      <c r="AG4" s="18">
        <f ca="1">IF($A4="","",SUMIFS('Current Char Stats'!$AE$4:$AE$273,'Current Char Stats'!$B$4:$B$273,$A4))</f>
        <v>33</v>
      </c>
    </row>
    <row r="5" spans="1:33">
      <c r="A5" s="4" t="s">
        <v>48</v>
      </c>
      <c r="B5" s="5">
        <f>COUNTIF(Data!$D$4:$D$75,A5)</f>
        <v>1</v>
      </c>
      <c r="C5" s="5">
        <f ca="1">SUMIFS(Data!$W$4:$W$273,Data!$U$4:$U$273,A5)</f>
        <v>5</v>
      </c>
      <c r="D5" s="5">
        <f ca="1">SUMIFS(Data!$Y$4:$Y$273,Data!$U$4:$U$273,A5)</f>
        <v>1</v>
      </c>
      <c r="E5" s="5">
        <f ca="1">IF(C5=0,0,D5/C5)</f>
        <v>0.2</v>
      </c>
      <c r="F5" s="5">
        <f ca="1">SUMIFS(Data!$AB$4:$AB$273,Data!$U$4:$U$273,A5)</f>
        <v>0</v>
      </c>
      <c r="G5" s="5">
        <f ca="1">SUMIFS(Data!$AC$4:$AC$273,Data!$U$4:$U$273,A5)</f>
        <v>1</v>
      </c>
      <c r="H5" s="89" t="str">
        <f>IFERROR(_xlfn.SINGLE(_xlfn.XLOOKUP(A5, Data!$D$4:$D$75, Data!$C$4:$C$75, "")), "")</f>
        <v>Aidan</v>
      </c>
      <c r="I5" s="5">
        <f ca="1">IF(H5 = "", "", IFERROR(_xlfn.SINGLE(_xlfn.XLOOKUP(H5, 'Current Player'!$A$4:$A$11, _xlfn.SINGLE('Current Player'!$C$4:$C$11) / _xlfn.SINGLE('Current Player'!$B$4:$B$11), 0)), 0))</f>
        <v>0</v>
      </c>
      <c r="J5" s="5" t="str">
        <f ca="1">IF(AND(H5&lt;&gt;"",H5=INDEX(Bracket!$B$18:$B$25,MATCH("1st",Bracket!$A$18:$A$25,0))),"Yes","")</f>
        <v/>
      </c>
      <c r="K5" s="18">
        <f ca="1">IF($A5="","",SUMIFS('Current Char Stats'!$N$4:$N$273,'Current Char Stats'!$B$4:$B$273,$A5))</f>
        <v>1</v>
      </c>
      <c r="L5" s="18">
        <f ca="1">IF($A5="","",SUMIFS('Current Char Stats'!$O$4:$O$273,'Current Char Stats'!$B$4:$B$273,$A5))</f>
        <v>0</v>
      </c>
      <c r="M5" s="18">
        <f ca="1">IF($A5="","",SUMIFS('Current Char Stats'!$P$4:$P$273,'Current Char Stats'!$B$4:$B$273,$A5))</f>
        <v>0</v>
      </c>
      <c r="N5" s="18">
        <f ca="1">IF($A5="","",SUMIFS('Current Char Stats'!$Q$4:$Q$273,'Current Char Stats'!$B$4:$B$273,$A5))</f>
        <v>0</v>
      </c>
      <c r="O5" s="18">
        <f ca="1">IF($A5="","",SUMIFS('Current Char Stats'!$R$4:$R$273,'Current Char Stats'!$B$4:$B$273,$A5))</f>
        <v>2</v>
      </c>
      <c r="P5" s="18">
        <f ca="1">IF($A5="","",SUMIFS('Current Char Stats'!$S$4:$S$273,'Current Char Stats'!$B$4:$B$273,$A5))</f>
        <v>0</v>
      </c>
      <c r="Q5" s="18">
        <f ca="1">COUNTIF(Bracket!$K$6:$K$20,A5)</f>
        <v>0</v>
      </c>
      <c r="R5" s="18">
        <f ca="1">COUNTIFS(Bracket!$K$6:$K$20,A5,Bracket!$G$6:$G$20,"CG-*")</f>
        <v>0</v>
      </c>
      <c r="S5" s="18">
        <f ca="1">IF($A5="","",SUMIFS('Current Char Stats'!$T$4:$T$273,'Current Char Stats'!$B$4:$B$273,$A5))</f>
        <v>0</v>
      </c>
      <c r="T5" s="18">
        <f ca="1">IF($A5="","",SUMIFS('Current Char Stats'!$U$4:$U$273,'Current Char Stats'!$B$4:$B$273,$A5))</f>
        <v>0</v>
      </c>
      <c r="U5" s="18" cm="1">
        <f t="array" aca="1" ref="U5" ca="1">IF($A5="","",_xlfn.LET(_xlpm.rawIP,SUMPRODUCT(--(Data!$AM$4:$AM$183=$A5),IFERROR(Data!$AN$4:$AN$183,0)),IF(_xlpm.rawIP=0,0,INT(_xlpm.rawIP)+MOD(ROUND(_xlpm.rawIP*3,0),3)/10)))</f>
        <v>0</v>
      </c>
      <c r="V5" s="18">
        <f ca="1">IF($A5="","",SUMIFS('Current Char Stats'!$J$4:$J$273,'Current Char Stats'!$B$4:$B$273,$A5))</f>
        <v>0</v>
      </c>
      <c r="W5" s="18" cm="1">
        <f t="array" aca="1" ref="W5" ca="1">IF($A5="","",_xlfn.LET(_xlpm.rawIP,SUMPRODUCT(--(Data!$AM$4:$AM$183=$A5),IFERROR(Data!$AN$4:$AN$183,0)),IF(_xlpm.rawIP=0,0,V5*3/_xlpm.rawIP)))</f>
        <v>0</v>
      </c>
      <c r="X5" s="18">
        <f ca="1">IF($A5="","",SUMIFS('Current Char Stats'!$V$4:$V$273,'Current Char Stats'!$B$4:$B$273,$A5))</f>
        <v>0</v>
      </c>
      <c r="Y5" s="18">
        <f ca="1">IF($A5="","",SUMIFS('Current Char Stats'!$W$4:$W$273,'Current Char Stats'!$B$4:$B$273,$A5))</f>
        <v>0</v>
      </c>
      <c r="Z5" s="18">
        <f ca="1">IF($A5="","",SUMIFS('Current Char Stats'!$X$4:$X$273,'Current Char Stats'!$B$4:$B$273,$A5))</f>
        <v>0</v>
      </c>
      <c r="AA5" s="18">
        <f ca="1">IF($A5="","",SUMIFS('Current Char Stats'!$Y$4:$Y$273,'Current Char Stats'!$B$4:$B$273,$A5))</f>
        <v>0</v>
      </c>
      <c r="AB5" s="18">
        <f ca="1">IF($A5="","",SUMIFS('Current Char Stats'!$Z$4:$Z$273,'Current Char Stats'!$B$4:$B$273,$A5))</f>
        <v>0</v>
      </c>
      <c r="AC5" s="18">
        <f ca="1">IF($A5="","",SUMIFS('Current Char Stats'!$AA$4:$AA$273,'Current Char Stats'!$B$4:$B$273,$A5))</f>
        <v>0</v>
      </c>
      <c r="AD5" s="18">
        <f ca="1">IF($A5="","",SUMIFS('Current Char Stats'!$AB$4:$AB$273,'Current Char Stats'!$B$4:$B$273,$A5))</f>
        <v>0</v>
      </c>
      <c r="AE5" s="18">
        <f ca="1">IF($A5="","",SUMIFS('Current Char Stats'!$AC$4:$AC$273,'Current Char Stats'!$B$4:$B$273,$A5))</f>
        <v>0</v>
      </c>
      <c r="AF5" s="18" cm="1">
        <f t="array" aca="1" ref="AF5" ca="1">IF($A5="","",_xlfn.LET(_xlpm.rawIP,SUMPRODUCT(--(Data!$AM$4:$AM$183=$A5),IFERROR(Data!$AN$4:$AN$183,0)),IF(_xlpm.rawIP=0,0,(X5+Z5)/_xlpm.rawIP)))</f>
        <v>0</v>
      </c>
      <c r="AG5" s="18">
        <f ca="1">IF($A5="","",SUMIFS('Current Char Stats'!$AE$4:$AE$273,'Current Char Stats'!$B$4:$B$273,$A5))</f>
        <v>0</v>
      </c>
    </row>
    <row r="6" spans="1:33">
      <c r="A6" s="4" t="s">
        <v>43</v>
      </c>
      <c r="B6" s="5">
        <f>COUNTIF(Data!$D$4:$D$75,A6)</f>
        <v>1</v>
      </c>
      <c r="C6" s="5">
        <f ca="1">SUMIFS(Data!$W$4:$W$273,Data!$U$4:$U$273,A6)</f>
        <v>6</v>
      </c>
      <c r="D6" s="5">
        <f ca="1">SUMIFS(Data!$Y$4:$Y$273,Data!$U$4:$U$273,A6)</f>
        <v>4</v>
      </c>
      <c r="E6" s="5">
        <f ca="1">IF(C6=0,0,D6/C6)</f>
        <v>0.6666666666666666</v>
      </c>
      <c r="F6" s="5">
        <f ca="1">SUMIFS(Data!$AB$4:$AB$273,Data!$U$4:$U$273,A6)</f>
        <v>0</v>
      </c>
      <c r="G6" s="5">
        <f ca="1">SUMIFS(Data!$AC$4:$AC$273,Data!$U$4:$U$273,A6)</f>
        <v>0</v>
      </c>
      <c r="H6" s="90" t="str">
        <f>IFERROR(_xlfn.SINGLE(_xlfn.XLOOKUP(A6, Data!$D$4:$D$75, Data!$C$4:$C$75, "")), "")</f>
        <v>Aidan</v>
      </c>
      <c r="I6" s="5">
        <f ca="1">IF(H6 = "", "", IFERROR(_xlfn.SINGLE(_xlfn.XLOOKUP(H6, 'Current Player'!$A$4:$A$11, _xlfn.SINGLE('Current Player'!$C$4:$C$11) / _xlfn.SINGLE('Current Player'!$B$4:$B$11), 0)), 0))</f>
        <v>0</v>
      </c>
      <c r="J6" s="5" t="str">
        <f ca="1">IF(AND(H6&lt;&gt;"",H6=INDEX(Bracket!$B$18:$B$25,MATCH("1st",Bracket!$A$18:$A$25,0))),"Yes","")</f>
        <v/>
      </c>
      <c r="K6" s="18">
        <f ca="1">IF($A6="","",SUMIFS('Current Char Stats'!$N$4:$N$273,'Current Char Stats'!$B$4:$B$273,$A6))</f>
        <v>1</v>
      </c>
      <c r="L6" s="18">
        <f ca="1">IF($A6="","",SUMIFS('Current Char Stats'!$O$4:$O$273,'Current Char Stats'!$B$4:$B$273,$A6))</f>
        <v>1</v>
      </c>
      <c r="M6" s="18">
        <f ca="1">IF($A6="","",SUMIFS('Current Char Stats'!$P$4:$P$273,'Current Char Stats'!$B$4:$B$273,$A6))</f>
        <v>0</v>
      </c>
      <c r="N6" s="18">
        <f ca="1">IF($A6="","",SUMIFS('Current Char Stats'!$Q$4:$Q$273,'Current Char Stats'!$B$4:$B$273,$A6))</f>
        <v>0</v>
      </c>
      <c r="O6" s="18">
        <f ca="1">IF($A6="","",SUMIFS('Current Char Stats'!$R$4:$R$273,'Current Char Stats'!$B$4:$B$273,$A6))</f>
        <v>1</v>
      </c>
      <c r="P6" s="18">
        <f ca="1">IF($A6="","",SUMIFS('Current Char Stats'!$S$4:$S$273,'Current Char Stats'!$B$4:$B$273,$A6))</f>
        <v>0</v>
      </c>
      <c r="Q6" s="18">
        <f ca="1">COUNTIF(Bracket!$K$6:$K$20,A6)</f>
        <v>0</v>
      </c>
      <c r="R6" s="18">
        <f ca="1">COUNTIFS(Bracket!$K$6:$K$20,A6,Bracket!$G$6:$G$20,"CG-*")</f>
        <v>0</v>
      </c>
      <c r="S6" s="18">
        <f ca="1">IF($A6="","",SUMIFS('Current Char Stats'!$T$4:$T$273,'Current Char Stats'!$B$4:$B$273,$A6))</f>
        <v>0</v>
      </c>
      <c r="T6" s="18">
        <f ca="1">IF($A6="","",SUMIFS('Current Char Stats'!$U$4:$U$273,'Current Char Stats'!$B$4:$B$273,$A6))</f>
        <v>0</v>
      </c>
      <c r="U6" s="18" cm="1">
        <f t="array" aca="1" ref="U6" ca="1">IF($A6="","",_xlfn.LET(_xlpm.rawIP,SUMPRODUCT(--(Data!$AM$4:$AM$183=$A6),IFERROR(Data!$AN$4:$AN$183,0)),IF(_xlpm.rawIP=0,0,INT(_xlpm.rawIP)+MOD(ROUND(_xlpm.rawIP*3,0),3)/10)))</f>
        <v>0</v>
      </c>
      <c r="V6" s="18">
        <f ca="1">IF($A6="","",SUMIFS('Current Char Stats'!$J$4:$J$273,'Current Char Stats'!$B$4:$B$273,$A6))</f>
        <v>0</v>
      </c>
      <c r="W6" s="18" cm="1">
        <f t="array" aca="1" ref="W6" ca="1">IF($A6="","",_xlfn.LET(_xlpm.rawIP,SUMPRODUCT(--(Data!$AM$4:$AM$183=$A6),IFERROR(Data!$AN$4:$AN$183,0)),IF(_xlpm.rawIP=0,0,V6*3/_xlpm.rawIP)))</f>
        <v>0</v>
      </c>
      <c r="X6" s="18">
        <f ca="1">IF($A6="","",SUMIFS('Current Char Stats'!$V$4:$V$273,'Current Char Stats'!$B$4:$B$273,$A6))</f>
        <v>0</v>
      </c>
      <c r="Y6" s="18">
        <f ca="1">IF($A6="","",SUMIFS('Current Char Stats'!$W$4:$W$273,'Current Char Stats'!$B$4:$B$273,$A6))</f>
        <v>0</v>
      </c>
      <c r="Z6" s="18">
        <f ca="1">IF($A6="","",SUMIFS('Current Char Stats'!$X$4:$X$273,'Current Char Stats'!$B$4:$B$273,$A6))</f>
        <v>0</v>
      </c>
      <c r="AA6" s="18">
        <f ca="1">IF($A6="","",SUMIFS('Current Char Stats'!$Y$4:$Y$273,'Current Char Stats'!$B$4:$B$273,$A6))</f>
        <v>0</v>
      </c>
      <c r="AB6" s="18">
        <f ca="1">IF($A6="","",SUMIFS('Current Char Stats'!$Z$4:$Z$273,'Current Char Stats'!$B$4:$B$273,$A6))</f>
        <v>0</v>
      </c>
      <c r="AC6" s="18">
        <f ca="1">IF($A6="","",SUMIFS('Current Char Stats'!$AA$4:$AA$273,'Current Char Stats'!$B$4:$B$273,$A6))</f>
        <v>0</v>
      </c>
      <c r="AD6" s="18">
        <f ca="1">IF($A6="","",SUMIFS('Current Char Stats'!$AB$4:$AB$273,'Current Char Stats'!$B$4:$B$273,$A6))</f>
        <v>0</v>
      </c>
      <c r="AE6" s="18">
        <f ca="1">IF($A6="","",SUMIFS('Current Char Stats'!$AC$4:$AC$273,'Current Char Stats'!$B$4:$B$273,$A6))</f>
        <v>0</v>
      </c>
      <c r="AF6" s="18" cm="1">
        <f t="array" aca="1" ref="AF6" ca="1">IF($A6="","",_xlfn.LET(_xlpm.rawIP,SUMPRODUCT(--(Data!$AM$4:$AM$183=$A6),IFERROR(Data!$AN$4:$AN$183,0)),IF(_xlpm.rawIP=0,0,(X6+Z6)/_xlpm.rawIP)))</f>
        <v>0</v>
      </c>
      <c r="AG6" s="18">
        <f ca="1">IF($A6="","",SUMIFS('Current Char Stats'!$AE$4:$AE$273,'Current Char Stats'!$B$4:$B$273,$A6))</f>
        <v>0</v>
      </c>
    </row>
    <row r="7" spans="1:33">
      <c r="A7" s="4" t="s">
        <v>47</v>
      </c>
      <c r="B7" s="5">
        <f>COUNTIF(Data!$D$4:$D$75,A7)</f>
        <v>1</v>
      </c>
      <c r="C7" s="5">
        <f ca="1">SUMIFS(Data!$W$4:$W$273,Data!$U$4:$U$273,A7)</f>
        <v>7</v>
      </c>
      <c r="D7" s="5">
        <f ca="1">SUMIFS(Data!$Y$4:$Y$273,Data!$U$4:$U$273,A7)</f>
        <v>4</v>
      </c>
      <c r="E7" s="5">
        <f ca="1">IF(C7=0,0,D7/C7)</f>
        <v>0.5714285714285714</v>
      </c>
      <c r="F7" s="5">
        <f ca="1">SUMIFS(Data!$AB$4:$AB$273,Data!$U$4:$U$273,A7)</f>
        <v>2</v>
      </c>
      <c r="G7" s="5">
        <f ca="1">SUMIFS(Data!$AC$4:$AC$273,Data!$U$4:$U$273,A7)</f>
        <v>3</v>
      </c>
      <c r="H7" s="92" t="str">
        <f>IFERROR(_xlfn.SINGLE(_xlfn.XLOOKUP(A7, Data!$D$4:$D$75, Data!$C$4:$C$75, "")), "")</f>
        <v>Jason</v>
      </c>
      <c r="I7" s="5">
        <f ca="1">IF(H7 = "", "", IFERROR(_xlfn.SINGLE(_xlfn.XLOOKUP(H7, 'Current Player'!$A$4:$A$11, _xlfn.SINGLE('Current Player'!$C$4:$C$11) / _xlfn.SINGLE('Current Player'!$B$4:$B$11), 0)), 0))</f>
        <v>0</v>
      </c>
      <c r="J7" s="5" t="str">
        <f ca="1">IF(AND(H7&lt;&gt;"",H7=INDEX(Bracket!$B$18:$B$25,MATCH("1st",Bracket!$A$18:$A$25,0))),"Yes","")</f>
        <v>Yes</v>
      </c>
      <c r="K7" s="18">
        <f ca="1">IF($A7="","",SUMIFS('Current Char Stats'!$N$4:$N$273,'Current Char Stats'!$B$4:$B$273,$A7))</f>
        <v>2</v>
      </c>
      <c r="L7" s="18">
        <f ca="1">IF($A7="","",SUMIFS('Current Char Stats'!$O$4:$O$273,'Current Char Stats'!$B$4:$B$273,$A7))</f>
        <v>0</v>
      </c>
      <c r="M7" s="18">
        <f ca="1">IF($A7="","",SUMIFS('Current Char Stats'!$P$4:$P$273,'Current Char Stats'!$B$4:$B$273,$A7))</f>
        <v>0</v>
      </c>
      <c r="N7" s="18">
        <f ca="1">IF($A7="","",SUMIFS('Current Char Stats'!$Q$4:$Q$273,'Current Char Stats'!$B$4:$B$273,$A7))</f>
        <v>0</v>
      </c>
      <c r="O7" s="18">
        <f ca="1">IF($A7="","",SUMIFS('Current Char Stats'!$R$4:$R$273,'Current Char Stats'!$B$4:$B$273,$A7))</f>
        <v>1</v>
      </c>
      <c r="P7" s="18">
        <f ca="1">IF($A7="","",SUMIFS('Current Char Stats'!$S$4:$S$273,'Current Char Stats'!$B$4:$B$273,$A7))</f>
        <v>0</v>
      </c>
      <c r="Q7" s="18">
        <f ca="1">COUNTIF(Bracket!$K$6:$K$20,A7)</f>
        <v>2</v>
      </c>
      <c r="R7" s="18">
        <f ca="1">COUNTIFS(Bracket!$K$6:$K$20,A7,Bracket!$G$6:$G$20,"CG-*")</f>
        <v>0</v>
      </c>
      <c r="S7" s="18">
        <f ca="1">IF($A7="","",SUMIFS('Current Char Stats'!$T$4:$T$273,'Current Char Stats'!$B$4:$B$273,$A7))</f>
        <v>0</v>
      </c>
      <c r="T7" s="18">
        <f ca="1">IF($A7="","",SUMIFS('Current Char Stats'!$U$4:$U$273,'Current Char Stats'!$B$4:$B$273,$A7))</f>
        <v>0</v>
      </c>
      <c r="U7" s="18" cm="1">
        <f t="array" aca="1" ref="U7" ca="1">IF($A7="","",_xlfn.LET(_xlpm.rawIP,SUMPRODUCT(--(Data!$AM$4:$AM$183=$A7),IFERROR(Data!$AN$4:$AN$183,0)),IF(_xlpm.rawIP=0,0,INT(_xlpm.rawIP)+MOD(ROUND(_xlpm.rawIP*3,0),3)/10)))</f>
        <v>7</v>
      </c>
      <c r="V7" s="18">
        <f ca="1">IF($A7="","",SUMIFS('Current Char Stats'!$J$4:$J$273,'Current Char Stats'!$B$4:$B$273,$A7))</f>
        <v>4</v>
      </c>
      <c r="W7" s="18" cm="1">
        <f t="array" aca="1" ref="W7" ca="1">IF($A7="","",_xlfn.LET(_xlpm.rawIP,SUMPRODUCT(--(Data!$AM$4:$AM$183=$A7),IFERROR(Data!$AN$4:$AN$183,0)),IF(_xlpm.rawIP=0,0,V7*3/_xlpm.rawIP)))</f>
        <v>1.7142857142857142</v>
      </c>
      <c r="X7" s="18">
        <f ca="1">IF($A7="","",SUMIFS('Current Char Stats'!$V$4:$V$273,'Current Char Stats'!$B$4:$B$273,$A7))</f>
        <v>10</v>
      </c>
      <c r="Y7" s="18">
        <f ca="1">IF($A7="","",SUMIFS('Current Char Stats'!$W$4:$W$273,'Current Char Stats'!$B$4:$B$273,$A7))</f>
        <v>4</v>
      </c>
      <c r="Z7" s="18">
        <f ca="1">IF($A7="","",SUMIFS('Current Char Stats'!$X$4:$X$273,'Current Char Stats'!$B$4:$B$273,$A7))</f>
        <v>0</v>
      </c>
      <c r="AA7" s="18">
        <f ca="1">IF($A7="","",SUMIFS('Current Char Stats'!$Y$4:$Y$273,'Current Char Stats'!$B$4:$B$273,$A7))</f>
        <v>8</v>
      </c>
      <c r="AB7" s="18">
        <f ca="1">IF($A7="","",SUMIFS('Current Char Stats'!$Z$4:$Z$273,'Current Char Stats'!$B$4:$B$273,$A7))</f>
        <v>1</v>
      </c>
      <c r="AC7" s="18">
        <f ca="1">IF($A7="","",SUMIFS('Current Char Stats'!$AA$4:$AA$273,'Current Char Stats'!$B$4:$B$273,$A7))</f>
        <v>0</v>
      </c>
      <c r="AD7" s="18">
        <f ca="1">IF($A7="","",SUMIFS('Current Char Stats'!$AB$4:$AB$273,'Current Char Stats'!$B$4:$B$273,$A7))</f>
        <v>1</v>
      </c>
      <c r="AE7" s="18">
        <f ca="1">IF($A7="","",SUMIFS('Current Char Stats'!$AC$4:$AC$273,'Current Char Stats'!$B$4:$B$273,$A7))</f>
        <v>1</v>
      </c>
      <c r="AF7" s="18" cm="1">
        <f t="array" aca="1" ref="AF7" ca="1">IF($A7="","",_xlfn.LET(_xlpm.rawIP,SUMPRODUCT(--(Data!$AM$4:$AM$183=$A7),IFERROR(Data!$AN$4:$AN$183,0)),IF(_xlpm.rawIP=0,0,(X7+Z7)/_xlpm.rawIP)))</f>
        <v>1.4285714285714286</v>
      </c>
      <c r="AG7" s="18">
        <f ca="1">IF($A7="","",SUMIFS('Current Char Stats'!$AE$4:$AE$273,'Current Char Stats'!$B$4:$B$273,$A7))</f>
        <v>31</v>
      </c>
    </row>
    <row r="8" spans="1:33">
      <c r="A8" s="4" t="s">
        <v>50</v>
      </c>
      <c r="B8" s="5">
        <f>COUNTIF(Data!$D$4:$D$75,A8)</f>
        <v>1</v>
      </c>
      <c r="C8" s="5">
        <f ca="1">SUMIFS(Data!$W$4:$W$273,Data!$U$4:$U$273,A8)</f>
        <v>4</v>
      </c>
      <c r="D8" s="5">
        <f ca="1">SUMIFS(Data!$Y$4:$Y$273,Data!$U$4:$U$273,A8)</f>
        <v>1</v>
      </c>
      <c r="E8" s="5">
        <f ca="1">IF(C8=0,0,D8/C8)</f>
        <v>0.25</v>
      </c>
      <c r="F8" s="5">
        <f ca="1">SUMIFS(Data!$AB$4:$AB$273,Data!$U$4:$U$273,A8)</f>
        <v>0</v>
      </c>
      <c r="G8" s="5">
        <f ca="1">SUMIFS(Data!$AC$4:$AC$273,Data!$U$4:$U$273,A8)</f>
        <v>0</v>
      </c>
      <c r="H8" s="93" t="str">
        <f>IFERROR(_xlfn.SINGLE(_xlfn.XLOOKUP(A8, Data!$D$4:$D$75, Data!$C$4:$C$75, "")), "")</f>
        <v>Donovan</v>
      </c>
      <c r="I8" s="5">
        <f ca="1">IF(H8 = "", "", IFERROR(_xlfn.SINGLE(_xlfn.XLOOKUP(H8, 'Current Player'!$A$4:$A$11, _xlfn.SINGLE('Current Player'!$C$4:$C$11) / _xlfn.SINGLE('Current Player'!$B$4:$B$11), 0)), 0))</f>
        <v>0</v>
      </c>
      <c r="J8" s="5" t="str">
        <f ca="1">IF(AND(H8&lt;&gt;"",H8=INDEX(Bracket!$B$18:$B$25,MATCH("1st",Bracket!$A$18:$A$25,0))),"Yes","")</f>
        <v/>
      </c>
      <c r="K8" s="18">
        <f ca="1">IF($A8="","",SUMIFS('Current Char Stats'!$N$4:$N$273,'Current Char Stats'!$B$4:$B$273,$A8))</f>
        <v>0</v>
      </c>
      <c r="L8" s="18">
        <f ca="1">IF($A8="","",SUMIFS('Current Char Stats'!$O$4:$O$273,'Current Char Stats'!$B$4:$B$273,$A8))</f>
        <v>0</v>
      </c>
      <c r="M8" s="18">
        <f ca="1">IF($A8="","",SUMIFS('Current Char Stats'!$P$4:$P$273,'Current Char Stats'!$B$4:$B$273,$A8))</f>
        <v>0</v>
      </c>
      <c r="N8" s="18">
        <f ca="1">IF($A8="","",SUMIFS('Current Char Stats'!$Q$4:$Q$273,'Current Char Stats'!$B$4:$B$273,$A8))</f>
        <v>0</v>
      </c>
      <c r="O8" s="18">
        <f ca="1">IF($A8="","",SUMIFS('Current Char Stats'!$R$4:$R$273,'Current Char Stats'!$B$4:$B$273,$A8))</f>
        <v>1</v>
      </c>
      <c r="P8" s="18">
        <f ca="1">IF($A8="","",SUMIFS('Current Char Stats'!$S$4:$S$273,'Current Char Stats'!$B$4:$B$273,$A8))</f>
        <v>0</v>
      </c>
      <c r="Q8" s="18">
        <f ca="1">COUNTIF(Bracket!$K$6:$K$20,A8)</f>
        <v>0</v>
      </c>
      <c r="R8" s="18">
        <f ca="1">COUNTIFS(Bracket!$K$6:$K$20,A8,Bracket!$G$6:$G$20,"CG-*")</f>
        <v>0</v>
      </c>
      <c r="S8" s="18">
        <f ca="1">IF($A8="","",SUMIFS('Current Char Stats'!$T$4:$T$273,'Current Char Stats'!$B$4:$B$273,$A8))</f>
        <v>0</v>
      </c>
      <c r="T8" s="18">
        <f ca="1">IF($A8="","",SUMIFS('Current Char Stats'!$U$4:$U$273,'Current Char Stats'!$B$4:$B$273,$A8))</f>
        <v>0</v>
      </c>
      <c r="U8" s="18" cm="1">
        <f t="array" aca="1" ref="U8" ca="1">IF($A8="","",_xlfn.LET(_xlpm.rawIP,SUMPRODUCT(--(Data!$AM$4:$AM$183=$A8),IFERROR(Data!$AN$4:$AN$183,0)),IF(_xlpm.rawIP=0,0,INT(_xlpm.rawIP)+MOD(ROUND(_xlpm.rawIP*3,0),3)/10)))</f>
        <v>7.2</v>
      </c>
      <c r="V8" s="18">
        <f ca="1">IF($A8="","",SUMIFS('Current Char Stats'!$J$4:$J$273,'Current Char Stats'!$B$4:$B$273,$A8))</f>
        <v>6</v>
      </c>
      <c r="W8" s="18" cm="1">
        <f t="array" aca="1" ref="W8" ca="1">IF($A8="","",_xlfn.LET(_xlpm.rawIP,SUMPRODUCT(--(Data!$AM$4:$AM$183=$A8),IFERROR(Data!$AN$4:$AN$183,0)),IF(_xlpm.rawIP=0,0,V8*3/_xlpm.rawIP)))</f>
        <v>2.3478260869565215</v>
      </c>
      <c r="X8" s="18">
        <f ca="1">IF($A8="","",SUMIFS('Current Char Stats'!$V$4:$V$273,'Current Char Stats'!$B$4:$B$273,$A8))</f>
        <v>8</v>
      </c>
      <c r="Y8" s="18">
        <f ca="1">IF($A8="","",SUMIFS('Current Char Stats'!$W$4:$W$273,'Current Char Stats'!$B$4:$B$273,$A8))</f>
        <v>6</v>
      </c>
      <c r="Z8" s="18">
        <f ca="1">IF($A8="","",SUMIFS('Current Char Stats'!$X$4:$X$273,'Current Char Stats'!$B$4:$B$273,$A8))</f>
        <v>0</v>
      </c>
      <c r="AA8" s="18">
        <f ca="1">IF($A8="","",SUMIFS('Current Char Stats'!$Y$4:$Y$273,'Current Char Stats'!$B$4:$B$273,$A8))</f>
        <v>7</v>
      </c>
      <c r="AB8" s="18">
        <f ca="1">IF($A8="","",SUMIFS('Current Char Stats'!$Z$4:$Z$273,'Current Char Stats'!$B$4:$B$273,$A8))</f>
        <v>3</v>
      </c>
      <c r="AC8" s="18">
        <f ca="1">IF($A8="","",SUMIFS('Current Char Stats'!$AA$4:$AA$273,'Current Char Stats'!$B$4:$B$273,$A8))</f>
        <v>0</v>
      </c>
      <c r="AD8" s="18">
        <f ca="1">IF($A8="","",SUMIFS('Current Char Stats'!$AB$4:$AB$273,'Current Char Stats'!$B$4:$B$273,$A8))</f>
        <v>0</v>
      </c>
      <c r="AE8" s="18">
        <f ca="1">IF($A8="","",SUMIFS('Current Char Stats'!$AC$4:$AC$273,'Current Char Stats'!$B$4:$B$273,$A8))</f>
        <v>2</v>
      </c>
      <c r="AF8" s="18" cm="1">
        <f t="array" aca="1" ref="AF8" ca="1">IF($A8="","",_xlfn.LET(_xlpm.rawIP,SUMPRODUCT(--(Data!$AM$4:$AM$183=$A8),IFERROR(Data!$AN$4:$AN$183,0)),IF(_xlpm.rawIP=0,0,(X8+Z8)/_xlpm.rawIP)))</f>
        <v>1.0434782608695652</v>
      </c>
      <c r="AG8" s="18">
        <f ca="1">IF($A8="","",SUMIFS('Current Char Stats'!$AE$4:$AE$273,'Current Char Stats'!$B$4:$B$273,$A8))</f>
        <v>32</v>
      </c>
    </row>
    <row r="9" spans="1:33">
      <c r="A9" s="4" t="s">
        <v>45</v>
      </c>
      <c r="B9" s="5">
        <f>COUNTIF(Data!$D$4:$D$75,A9)</f>
        <v>1</v>
      </c>
      <c r="C9" s="5">
        <f ca="1">SUMIFS(Data!$W$4:$W$273,Data!$U$4:$U$273,A9)</f>
        <v>6</v>
      </c>
      <c r="D9" s="5">
        <f ca="1">SUMIFS(Data!$Y$4:$Y$273,Data!$U$4:$U$273,A9)</f>
        <v>1</v>
      </c>
      <c r="E9" s="5">
        <f ca="1">IF(C9=0,0,D9/C9)</f>
        <v>0.16666666666666666</v>
      </c>
      <c r="F9" s="5">
        <f ca="1">SUMIFS(Data!$AB$4:$AB$273,Data!$U$4:$U$273,A9)</f>
        <v>0</v>
      </c>
      <c r="G9" s="5">
        <f ca="1">SUMIFS(Data!$AC$4:$AC$273,Data!$U$4:$U$273,A9)</f>
        <v>0</v>
      </c>
      <c r="H9" s="95" t="str">
        <f>IFERROR(_xlfn.SINGLE(_xlfn.XLOOKUP(A9, Data!$D$4:$D$75, Data!$C$4:$C$75, "")), "")</f>
        <v>May</v>
      </c>
      <c r="I9" s="5">
        <f ca="1">IF(H9 = "", "", IFERROR(_xlfn.SINGLE(_xlfn.XLOOKUP(H9, 'Current Player'!$A$4:$A$11, _xlfn.SINGLE('Current Player'!$C$4:$C$11) / _xlfn.SINGLE('Current Player'!$B$4:$B$11), 0)), 0))</f>
        <v>0</v>
      </c>
      <c r="J9" s="5" t="str">
        <f ca="1">IF(AND(H9&lt;&gt;"",H9=INDEX(Bracket!$B$18:$B$25,MATCH("1st",Bracket!$A$18:$A$25,0))),"Yes","")</f>
        <v/>
      </c>
      <c r="K9" s="18">
        <f ca="1">IF($A9="","",SUMIFS('Current Char Stats'!$N$4:$N$273,'Current Char Stats'!$B$4:$B$273,$A9))</f>
        <v>0</v>
      </c>
      <c r="L9" s="18">
        <f ca="1">IF($A9="","",SUMIFS('Current Char Stats'!$O$4:$O$273,'Current Char Stats'!$B$4:$B$273,$A9))</f>
        <v>0</v>
      </c>
      <c r="M9" s="18">
        <f ca="1">IF($A9="","",SUMIFS('Current Char Stats'!$P$4:$P$273,'Current Char Stats'!$B$4:$B$273,$A9))</f>
        <v>0</v>
      </c>
      <c r="N9" s="18">
        <f ca="1">IF($A9="","",SUMIFS('Current Char Stats'!$Q$4:$Q$273,'Current Char Stats'!$B$4:$B$273,$A9))</f>
        <v>0</v>
      </c>
      <c r="O9" s="18">
        <f ca="1">IF($A9="","",SUMIFS('Current Char Stats'!$R$4:$R$273,'Current Char Stats'!$B$4:$B$273,$A9))</f>
        <v>0</v>
      </c>
      <c r="P9" s="18">
        <f ca="1">IF($A9="","",SUMIFS('Current Char Stats'!$S$4:$S$273,'Current Char Stats'!$B$4:$B$273,$A9))</f>
        <v>0</v>
      </c>
      <c r="Q9" s="18">
        <f ca="1">COUNTIF(Bracket!$K$6:$K$20,A9)</f>
        <v>0</v>
      </c>
      <c r="R9" s="18">
        <f ca="1">COUNTIFS(Bracket!$K$6:$K$20,A9,Bracket!$G$6:$G$20,"CG-*")</f>
        <v>0</v>
      </c>
      <c r="S9" s="18">
        <f ca="1">IF($A9="","",SUMIFS('Current Char Stats'!$T$4:$T$273,'Current Char Stats'!$B$4:$B$273,$A9))</f>
        <v>0</v>
      </c>
      <c r="T9" s="18">
        <f ca="1">IF($A9="","",SUMIFS('Current Char Stats'!$U$4:$U$273,'Current Char Stats'!$B$4:$B$273,$A9))</f>
        <v>0</v>
      </c>
      <c r="U9" s="18" cm="1">
        <f t="array" aca="1" ref="U9" ca="1">IF($A9="","",_xlfn.LET(_xlpm.rawIP,SUMPRODUCT(--(Data!$AM$4:$AM$183=$A9),IFERROR(Data!$AN$4:$AN$183,0)),IF(_xlpm.rawIP=0,0,INT(_xlpm.rawIP)+MOD(ROUND(_xlpm.rawIP*3,0),3)/10)))</f>
        <v>0</v>
      </c>
      <c r="V9" s="18">
        <f ca="1">IF($A9="","",SUMIFS('Current Char Stats'!$J$4:$J$273,'Current Char Stats'!$B$4:$B$273,$A9))</f>
        <v>0</v>
      </c>
      <c r="W9" s="18" cm="1">
        <f t="array" aca="1" ref="W9" ca="1">IF($A9="","",_xlfn.LET(_xlpm.rawIP,SUMPRODUCT(--(Data!$AM$4:$AM$183=$A9),IFERROR(Data!$AN$4:$AN$183,0)),IF(_xlpm.rawIP=0,0,V9*3/_xlpm.rawIP)))</f>
        <v>0</v>
      </c>
      <c r="X9" s="18">
        <f ca="1">IF($A9="","",SUMIFS('Current Char Stats'!$V$4:$V$273,'Current Char Stats'!$B$4:$B$273,$A9))</f>
        <v>0</v>
      </c>
      <c r="Y9" s="18">
        <f ca="1">IF($A9="","",SUMIFS('Current Char Stats'!$W$4:$W$273,'Current Char Stats'!$B$4:$B$273,$A9))</f>
        <v>0</v>
      </c>
      <c r="Z9" s="18">
        <f ca="1">IF($A9="","",SUMIFS('Current Char Stats'!$X$4:$X$273,'Current Char Stats'!$B$4:$B$273,$A9))</f>
        <v>0</v>
      </c>
      <c r="AA9" s="18">
        <f ca="1">IF($A9="","",SUMIFS('Current Char Stats'!$Y$4:$Y$273,'Current Char Stats'!$B$4:$B$273,$A9))</f>
        <v>0</v>
      </c>
      <c r="AB9" s="18">
        <f ca="1">IF($A9="","",SUMIFS('Current Char Stats'!$Z$4:$Z$273,'Current Char Stats'!$B$4:$B$273,$A9))</f>
        <v>0</v>
      </c>
      <c r="AC9" s="18">
        <f ca="1">IF($A9="","",SUMIFS('Current Char Stats'!$AA$4:$AA$273,'Current Char Stats'!$B$4:$B$273,$A9))</f>
        <v>0</v>
      </c>
      <c r="AD9" s="18">
        <f ca="1">IF($A9="","",SUMIFS('Current Char Stats'!$AB$4:$AB$273,'Current Char Stats'!$B$4:$B$273,$A9))</f>
        <v>0</v>
      </c>
      <c r="AE9" s="18">
        <f ca="1">IF($A9="","",SUMIFS('Current Char Stats'!$AC$4:$AC$273,'Current Char Stats'!$B$4:$B$273,$A9))</f>
        <v>0</v>
      </c>
      <c r="AF9" s="18" cm="1">
        <f t="array" aca="1" ref="AF9" ca="1">IF($A9="","",_xlfn.LET(_xlpm.rawIP,SUMPRODUCT(--(Data!$AM$4:$AM$183=$A9),IFERROR(Data!$AN$4:$AN$183,0)),IF(_xlpm.rawIP=0,0,(X9+Z9)/_xlpm.rawIP)))</f>
        <v>0</v>
      </c>
      <c r="AG9" s="18">
        <f ca="1">IF($A9="","",SUMIFS('Current Char Stats'!$AE$4:$AE$273,'Current Char Stats'!$B$4:$B$273,$A9))</f>
        <v>0</v>
      </c>
    </row>
    <row r="10" spans="1:33">
      <c r="A10" s="4" t="s">
        <v>49</v>
      </c>
      <c r="B10" s="5">
        <f>COUNTIF(Data!$D$4:$D$75,A10)</f>
        <v>1</v>
      </c>
      <c r="C10" s="5">
        <f ca="1">SUMIFS(Data!$W$4:$W$273,Data!$U$4:$U$273,A10)</f>
        <v>6</v>
      </c>
      <c r="D10" s="5">
        <f ca="1">SUMIFS(Data!$Y$4:$Y$273,Data!$U$4:$U$273,A10)</f>
        <v>3</v>
      </c>
      <c r="E10" s="5">
        <f ca="1">IF(C10=0,0,D10/C10)</f>
        <v>0.5</v>
      </c>
      <c r="F10" s="5">
        <f ca="1">SUMIFS(Data!$AB$4:$AB$273,Data!$U$4:$U$273,A10)</f>
        <v>0</v>
      </c>
      <c r="G10" s="5">
        <f ca="1">SUMIFS(Data!$AC$4:$AC$273,Data!$U$4:$U$273,A10)</f>
        <v>1</v>
      </c>
      <c r="H10" s="95" t="str">
        <f>IFERROR(_xlfn.SINGLE(_xlfn.XLOOKUP(A10, Data!$D$4:$D$75, Data!$C$4:$C$75, "")), "")</f>
        <v>Nick</v>
      </c>
      <c r="I10" s="5">
        <f ca="1">IF(H10 = "", "", IFERROR(_xlfn.SINGLE(_xlfn.XLOOKUP(H10, 'Current Player'!$A$4:$A$11, _xlfn.SINGLE('Current Player'!$C$4:$C$11) / _xlfn.SINGLE('Current Player'!$B$4:$B$11), 0)), 0))</f>
        <v>0</v>
      </c>
      <c r="J10" s="5" t="str">
        <f ca="1">IF(AND(H10&lt;&gt;"",H10=INDEX(Bracket!$B$18:$B$25,MATCH("1st",Bracket!$A$18:$A$25,0))),"Yes","")</f>
        <v/>
      </c>
      <c r="K10" s="18">
        <f ca="1">IF($A10="","",SUMIFS('Current Char Stats'!$N$4:$N$273,'Current Char Stats'!$B$4:$B$273,$A10))</f>
        <v>1</v>
      </c>
      <c r="L10" s="18">
        <f ca="1">IF($A10="","",SUMIFS('Current Char Stats'!$O$4:$O$273,'Current Char Stats'!$B$4:$B$273,$A10))</f>
        <v>0</v>
      </c>
      <c r="M10" s="18">
        <f ca="1">IF($A10="","",SUMIFS('Current Char Stats'!$P$4:$P$273,'Current Char Stats'!$B$4:$B$273,$A10))</f>
        <v>0</v>
      </c>
      <c r="N10" s="18">
        <f ca="1">IF($A10="","",SUMIFS('Current Char Stats'!$Q$4:$Q$273,'Current Char Stats'!$B$4:$B$273,$A10))</f>
        <v>0</v>
      </c>
      <c r="O10" s="18">
        <f ca="1">IF($A10="","",SUMIFS('Current Char Stats'!$R$4:$R$273,'Current Char Stats'!$B$4:$B$273,$A10))</f>
        <v>2</v>
      </c>
      <c r="P10" s="18">
        <f ca="1">IF($A10="","",SUMIFS('Current Char Stats'!$S$4:$S$273,'Current Char Stats'!$B$4:$B$273,$A10))</f>
        <v>0</v>
      </c>
      <c r="Q10" s="18">
        <f ca="1">COUNTIF(Bracket!$K$6:$K$20,A10)</f>
        <v>0</v>
      </c>
      <c r="R10" s="18">
        <f ca="1">COUNTIFS(Bracket!$K$6:$K$20,A10,Bracket!$G$6:$G$20,"CG-*")</f>
        <v>0</v>
      </c>
      <c r="S10" s="18">
        <f ca="1">IF($A10="","",SUMIFS('Current Char Stats'!$T$4:$T$273,'Current Char Stats'!$B$4:$B$273,$A10))</f>
        <v>0</v>
      </c>
      <c r="T10" s="18">
        <f ca="1">IF($A10="","",SUMIFS('Current Char Stats'!$U$4:$U$273,'Current Char Stats'!$B$4:$B$273,$A10))</f>
        <v>0</v>
      </c>
      <c r="U10" s="18" cm="1">
        <f t="array" aca="1" ref="U10" ca="1">IF($A10="","",_xlfn.LET(_xlpm.rawIP,SUMPRODUCT(--(Data!$AM$4:$AM$183=$A10),IFERROR(Data!$AN$4:$AN$183,0)),IF(_xlpm.rawIP=0,0,INT(_xlpm.rawIP)+MOD(ROUND(_xlpm.rawIP*3,0),3)/10)))</f>
        <v>0</v>
      </c>
      <c r="V10" s="18">
        <f ca="1">IF($A10="","",SUMIFS('Current Char Stats'!$J$4:$J$273,'Current Char Stats'!$B$4:$B$273,$A10))</f>
        <v>0</v>
      </c>
      <c r="W10" s="18" cm="1">
        <f t="array" aca="1" ref="W10" ca="1">IF($A10="","",_xlfn.LET(_xlpm.rawIP,SUMPRODUCT(--(Data!$AM$4:$AM$183=$A10),IFERROR(Data!$AN$4:$AN$183,0)),IF(_xlpm.rawIP=0,0,V10*3/_xlpm.rawIP)))</f>
        <v>0</v>
      </c>
      <c r="X10" s="18">
        <f ca="1">IF($A10="","",SUMIFS('Current Char Stats'!$V$4:$V$273,'Current Char Stats'!$B$4:$B$273,$A10))</f>
        <v>0</v>
      </c>
      <c r="Y10" s="18">
        <f ca="1">IF($A10="","",SUMIFS('Current Char Stats'!$W$4:$W$273,'Current Char Stats'!$B$4:$B$273,$A10))</f>
        <v>0</v>
      </c>
      <c r="Z10" s="18">
        <f ca="1">IF($A10="","",SUMIFS('Current Char Stats'!$X$4:$X$273,'Current Char Stats'!$B$4:$B$273,$A10))</f>
        <v>0</v>
      </c>
      <c r="AA10" s="18">
        <f ca="1">IF($A10="","",SUMIFS('Current Char Stats'!$Y$4:$Y$273,'Current Char Stats'!$B$4:$B$273,$A10))</f>
        <v>0</v>
      </c>
      <c r="AB10" s="18">
        <f ca="1">IF($A10="","",SUMIFS('Current Char Stats'!$Z$4:$Z$273,'Current Char Stats'!$B$4:$B$273,$A10))</f>
        <v>0</v>
      </c>
      <c r="AC10" s="18">
        <f ca="1">IF($A10="","",SUMIFS('Current Char Stats'!$AA$4:$AA$273,'Current Char Stats'!$B$4:$B$273,$A10))</f>
        <v>0</v>
      </c>
      <c r="AD10" s="18">
        <f ca="1">IF($A10="","",SUMIFS('Current Char Stats'!$AB$4:$AB$273,'Current Char Stats'!$B$4:$B$273,$A10))</f>
        <v>0</v>
      </c>
      <c r="AE10" s="18">
        <f ca="1">IF($A10="","",SUMIFS('Current Char Stats'!$AC$4:$AC$273,'Current Char Stats'!$B$4:$B$273,$A10))</f>
        <v>0</v>
      </c>
      <c r="AF10" s="18" cm="1">
        <f t="array" aca="1" ref="AF10" ca="1">IF($A10="","",_xlfn.LET(_xlpm.rawIP,SUMPRODUCT(--(Data!$AM$4:$AM$183=$A10),IFERROR(Data!$AN$4:$AN$183,0)),IF(_xlpm.rawIP=0,0,(X10+Z10)/_xlpm.rawIP)))</f>
        <v>0</v>
      </c>
      <c r="AG10" s="18">
        <f ca="1">IF($A10="","",SUMIFS('Current Char Stats'!$AE$4:$AE$273,'Current Char Stats'!$B$4:$B$273,$A10))</f>
        <v>0</v>
      </c>
    </row>
    <row r="11" spans="1:33">
      <c r="A11" s="4" t="s">
        <v>40</v>
      </c>
      <c r="B11" s="5">
        <f>COUNTIF(Data!$D$4:$D$75,A11)</f>
        <v>1</v>
      </c>
      <c r="C11" s="5">
        <f ca="1">SUMIFS(Data!$W$4:$W$273,Data!$U$4:$U$273,A11)</f>
        <v>4</v>
      </c>
      <c r="D11" s="5">
        <f ca="1">SUMIFS(Data!$Y$4:$Y$273,Data!$U$4:$U$273,A11)</f>
        <v>1</v>
      </c>
      <c r="E11" s="5">
        <f ca="1">IF(C11=0,0,D11/C11)</f>
        <v>0.25</v>
      </c>
      <c r="F11" s="5">
        <f ca="1">SUMIFS(Data!$AB$4:$AB$273,Data!$U$4:$U$273,A11)</f>
        <v>0</v>
      </c>
      <c r="G11" s="5">
        <f ca="1">SUMIFS(Data!$AC$4:$AC$273,Data!$U$4:$U$273,A11)</f>
        <v>0</v>
      </c>
      <c r="H11" s="93" t="str">
        <f>IFERROR(_xlfn.SINGLE(_xlfn.XLOOKUP(A11, Data!$D$4:$D$75, Data!$C$4:$C$75, "")), "")</f>
        <v>Justin</v>
      </c>
      <c r="I11" s="5">
        <f ca="1">IF(H11 = "", "", IFERROR(_xlfn.SINGLE(_xlfn.XLOOKUP(H11, 'Current Player'!$A$4:$A$11, _xlfn.SINGLE('Current Player'!$C$4:$C$11) / _xlfn.SINGLE('Current Player'!$B$4:$B$11), 0)), 0))</f>
        <v>0</v>
      </c>
      <c r="J11" s="5" t="str">
        <f ca="1">IF(AND(H11&lt;&gt;"",H11=INDEX(Bracket!$B$18:$B$25,MATCH("1st",Bracket!$A$18:$A$25,0))),"Yes","")</f>
        <v/>
      </c>
      <c r="K11" s="18">
        <f ca="1">IF($A11="","",SUMIFS('Current Char Stats'!$N$4:$N$273,'Current Char Stats'!$B$4:$B$273,$A11))</f>
        <v>1</v>
      </c>
      <c r="L11" s="18">
        <f ca="1">IF($A11="","",SUMIFS('Current Char Stats'!$O$4:$O$273,'Current Char Stats'!$B$4:$B$273,$A11))</f>
        <v>1</v>
      </c>
      <c r="M11" s="18">
        <f ca="1">IF($A11="","",SUMIFS('Current Char Stats'!$P$4:$P$273,'Current Char Stats'!$B$4:$B$273,$A11))</f>
        <v>0</v>
      </c>
      <c r="N11" s="18">
        <f ca="1">IF($A11="","",SUMIFS('Current Char Stats'!$Q$4:$Q$273,'Current Char Stats'!$B$4:$B$273,$A11))</f>
        <v>0</v>
      </c>
      <c r="O11" s="18">
        <f ca="1">IF($A11="","",SUMIFS('Current Char Stats'!$R$4:$R$273,'Current Char Stats'!$B$4:$B$273,$A11))</f>
        <v>1</v>
      </c>
      <c r="P11" s="18">
        <f ca="1">IF($A11="","",SUMIFS('Current Char Stats'!$S$4:$S$273,'Current Char Stats'!$B$4:$B$273,$A11))</f>
        <v>0</v>
      </c>
      <c r="Q11" s="18">
        <f ca="1">COUNTIF(Bracket!$K$6:$K$20,A11)</f>
        <v>0</v>
      </c>
      <c r="R11" s="18">
        <f ca="1">COUNTIFS(Bracket!$K$6:$K$20,A11,Bracket!$G$6:$G$20,"CG-*")</f>
        <v>0</v>
      </c>
      <c r="S11" s="18">
        <f ca="1">IF($A11="","",SUMIFS('Current Char Stats'!$T$4:$T$273,'Current Char Stats'!$B$4:$B$273,$A11))</f>
        <v>0</v>
      </c>
      <c r="T11" s="18">
        <f ca="1">IF($A11="","",SUMIFS('Current Char Stats'!$U$4:$U$273,'Current Char Stats'!$B$4:$B$273,$A11))</f>
        <v>0</v>
      </c>
      <c r="U11" s="18" cm="1">
        <f t="array" aca="1" ref="U11" ca="1">IF($A11="","",_xlfn.LET(_xlpm.rawIP,SUMPRODUCT(--(Data!$AM$4:$AM$183=$A11),IFERROR(Data!$AN$4:$AN$183,0)),IF(_xlpm.rawIP=0,0,INT(_xlpm.rawIP)+MOD(ROUND(_xlpm.rawIP*3,0),3)/10)))</f>
        <v>0</v>
      </c>
      <c r="V11" s="18">
        <f ca="1">IF($A11="","",SUMIFS('Current Char Stats'!$J$4:$J$273,'Current Char Stats'!$B$4:$B$273,$A11))</f>
        <v>0</v>
      </c>
      <c r="W11" s="18" cm="1">
        <f t="array" aca="1" ref="W11" ca="1">IF($A11="","",_xlfn.LET(_xlpm.rawIP,SUMPRODUCT(--(Data!$AM$4:$AM$183=$A11),IFERROR(Data!$AN$4:$AN$183,0)),IF(_xlpm.rawIP=0,0,V11*3/_xlpm.rawIP)))</f>
        <v>0</v>
      </c>
      <c r="X11" s="18">
        <f ca="1">IF($A11="","",SUMIFS('Current Char Stats'!$V$4:$V$273,'Current Char Stats'!$B$4:$B$273,$A11))</f>
        <v>0</v>
      </c>
      <c r="Y11" s="18">
        <f ca="1">IF($A11="","",SUMIFS('Current Char Stats'!$W$4:$W$273,'Current Char Stats'!$B$4:$B$273,$A11))</f>
        <v>0</v>
      </c>
      <c r="Z11" s="18">
        <f ca="1">IF($A11="","",SUMIFS('Current Char Stats'!$X$4:$X$273,'Current Char Stats'!$B$4:$B$273,$A11))</f>
        <v>0</v>
      </c>
      <c r="AA11" s="18">
        <f ca="1">IF($A11="","",SUMIFS('Current Char Stats'!$Y$4:$Y$273,'Current Char Stats'!$B$4:$B$273,$A11))</f>
        <v>0</v>
      </c>
      <c r="AB11" s="18">
        <f ca="1">IF($A11="","",SUMIFS('Current Char Stats'!$Z$4:$Z$273,'Current Char Stats'!$B$4:$B$273,$A11))</f>
        <v>0</v>
      </c>
      <c r="AC11" s="18">
        <f ca="1">IF($A11="","",SUMIFS('Current Char Stats'!$AA$4:$AA$273,'Current Char Stats'!$B$4:$B$273,$A11))</f>
        <v>0</v>
      </c>
      <c r="AD11" s="18">
        <f ca="1">IF($A11="","",SUMIFS('Current Char Stats'!$AB$4:$AB$273,'Current Char Stats'!$B$4:$B$273,$A11))</f>
        <v>0</v>
      </c>
      <c r="AE11" s="18">
        <f ca="1">IF($A11="","",SUMIFS('Current Char Stats'!$AC$4:$AC$273,'Current Char Stats'!$B$4:$B$273,$A11))</f>
        <v>0</v>
      </c>
      <c r="AF11" s="18" cm="1">
        <f t="array" aca="1" ref="AF11" ca="1">IF($A11="","",_xlfn.LET(_xlpm.rawIP,SUMPRODUCT(--(Data!$AM$4:$AM$183=$A11),IFERROR(Data!$AN$4:$AN$183,0)),IF(_xlpm.rawIP=0,0,(X11+Z11)/_xlpm.rawIP)))</f>
        <v>0</v>
      </c>
      <c r="AG11" s="18">
        <f ca="1">IF($A11="","",SUMIFS('Current Char Stats'!$AE$4:$AE$273,'Current Char Stats'!$B$4:$B$273,$A11))</f>
        <v>0</v>
      </c>
    </row>
    <row r="12" spans="1:33">
      <c r="A12" s="4" t="s">
        <v>53</v>
      </c>
      <c r="B12" s="5">
        <f>COUNTIF(Data!$D$4:$D$75,A12)</f>
        <v>1</v>
      </c>
      <c r="C12" s="5">
        <f ca="1">SUMIFS(Data!$W$4:$W$273,Data!$U$4:$U$273,A12)</f>
        <v>4</v>
      </c>
      <c r="D12" s="5">
        <f ca="1">SUMIFS(Data!$Y$4:$Y$273,Data!$U$4:$U$273,A12)</f>
        <v>0</v>
      </c>
      <c r="E12" s="5">
        <f ca="1">IF(C12=0,0,D12/C12)</f>
        <v>0.0</v>
      </c>
      <c r="F12" s="5">
        <f ca="1">SUMIFS(Data!$AB$4:$AB$273,Data!$U$4:$U$273,A12)</f>
        <v>0</v>
      </c>
      <c r="G12" s="5">
        <f ca="1">SUMIFS(Data!$AC$4:$AC$273,Data!$U$4:$U$273,A12)</f>
        <v>0</v>
      </c>
      <c r="H12" s="92" t="str">
        <f>IFERROR(_xlfn.SINGLE(_xlfn.XLOOKUP(A12, Data!$D$4:$D$75, Data!$C$4:$C$75, "")), "")</f>
        <v>Donovan</v>
      </c>
      <c r="I12" s="5">
        <f ca="1">IF(H12 = "", "", IFERROR(_xlfn.SINGLE(_xlfn.XLOOKUP(H12, 'Current Player'!$A$4:$A$11, _xlfn.SINGLE('Current Player'!$C$4:$C$11) / _xlfn.SINGLE('Current Player'!$B$4:$B$11), 0)), 0))</f>
        <v>0</v>
      </c>
      <c r="J12" s="5" t="str">
        <f ca="1">IF(AND(H12&lt;&gt;"",H12=INDEX(Bracket!$B$18:$B$25,MATCH("1st",Bracket!$A$18:$A$25,0))),"Yes","")</f>
        <v/>
      </c>
      <c r="K12" s="18">
        <f ca="1">IF($A12="","",SUMIFS('Current Char Stats'!$N$4:$N$273,'Current Char Stats'!$B$4:$B$273,$A12))</f>
        <v>0</v>
      </c>
      <c r="L12" s="18">
        <f ca="1">IF($A12="","",SUMIFS('Current Char Stats'!$O$4:$O$273,'Current Char Stats'!$B$4:$B$273,$A12))</f>
        <v>0</v>
      </c>
      <c r="M12" s="18">
        <f ca="1">IF($A12="","",SUMIFS('Current Char Stats'!$P$4:$P$273,'Current Char Stats'!$B$4:$B$273,$A12))</f>
        <v>0</v>
      </c>
      <c r="N12" s="18">
        <f ca="1">IF($A12="","",SUMIFS('Current Char Stats'!$Q$4:$Q$273,'Current Char Stats'!$B$4:$B$273,$A12))</f>
        <v>0</v>
      </c>
      <c r="O12" s="18">
        <f ca="1">IF($A12="","",SUMIFS('Current Char Stats'!$R$4:$R$273,'Current Char Stats'!$B$4:$B$273,$A12))</f>
        <v>2</v>
      </c>
      <c r="P12" s="18">
        <f ca="1">IF($A12="","",SUMIFS('Current Char Stats'!$S$4:$S$273,'Current Char Stats'!$B$4:$B$273,$A12))</f>
        <v>0</v>
      </c>
      <c r="Q12" s="18">
        <f ca="1">COUNTIF(Bracket!$K$6:$K$20,A12)</f>
        <v>0</v>
      </c>
      <c r="R12" s="18">
        <f ca="1">COUNTIFS(Bracket!$K$6:$K$20,A12,Bracket!$G$6:$G$20,"CG-*")</f>
        <v>0</v>
      </c>
      <c r="S12" s="18">
        <f ca="1">IF($A12="","",SUMIFS('Current Char Stats'!$T$4:$T$273,'Current Char Stats'!$B$4:$B$273,$A12))</f>
        <v>0</v>
      </c>
      <c r="T12" s="18">
        <f ca="1">IF($A12="","",SUMIFS('Current Char Stats'!$U$4:$U$273,'Current Char Stats'!$B$4:$B$273,$A12))</f>
        <v>0</v>
      </c>
      <c r="U12" s="18" cm="1">
        <f t="array" aca="1" ref="U12" ca="1">IF($A12="","",_xlfn.LET(_xlpm.rawIP,SUMPRODUCT(--(Data!$AM$4:$AM$183=$A12),IFERROR(Data!$AN$4:$AN$183,0)),IF(_xlpm.rawIP=0,0,INT(_xlpm.rawIP)+MOD(ROUND(_xlpm.rawIP*3,0),3)/10)))</f>
        <v>0</v>
      </c>
      <c r="V12" s="18">
        <f ca="1">IF($A12="","",SUMIFS('Current Char Stats'!$J$4:$J$273,'Current Char Stats'!$B$4:$B$273,$A12))</f>
        <v>0</v>
      </c>
      <c r="W12" s="18" cm="1">
        <f t="array" aca="1" ref="W12" ca="1">IF($A12="","",_xlfn.LET(_xlpm.rawIP,SUMPRODUCT(--(Data!$AM$4:$AM$183=$A12),IFERROR(Data!$AN$4:$AN$183,0)),IF(_xlpm.rawIP=0,0,V12*3/_xlpm.rawIP)))</f>
        <v>0</v>
      </c>
      <c r="X12" s="18">
        <f ca="1">IF($A12="","",SUMIFS('Current Char Stats'!$V$4:$V$273,'Current Char Stats'!$B$4:$B$273,$A12))</f>
        <v>0</v>
      </c>
      <c r="Y12" s="18">
        <f ca="1">IF($A12="","",SUMIFS('Current Char Stats'!$W$4:$W$273,'Current Char Stats'!$B$4:$B$273,$A12))</f>
        <v>0</v>
      </c>
      <c r="Z12" s="18">
        <f ca="1">IF($A12="","",SUMIFS('Current Char Stats'!$X$4:$X$273,'Current Char Stats'!$B$4:$B$273,$A12))</f>
        <v>0</v>
      </c>
      <c r="AA12" s="18">
        <f ca="1">IF($A12="","",SUMIFS('Current Char Stats'!$Y$4:$Y$273,'Current Char Stats'!$B$4:$B$273,$A12))</f>
        <v>0</v>
      </c>
      <c r="AB12" s="18">
        <f ca="1">IF($A12="","",SUMIFS('Current Char Stats'!$Z$4:$Z$273,'Current Char Stats'!$B$4:$B$273,$A12))</f>
        <v>0</v>
      </c>
      <c r="AC12" s="18">
        <f ca="1">IF($A12="","",SUMIFS('Current Char Stats'!$AA$4:$AA$273,'Current Char Stats'!$B$4:$B$273,$A12))</f>
        <v>0</v>
      </c>
      <c r="AD12" s="18">
        <f ca="1">IF($A12="","",SUMIFS('Current Char Stats'!$AB$4:$AB$273,'Current Char Stats'!$B$4:$B$273,$A12))</f>
        <v>0</v>
      </c>
      <c r="AE12" s="18">
        <f ca="1">IF($A12="","",SUMIFS('Current Char Stats'!$AC$4:$AC$273,'Current Char Stats'!$B$4:$B$273,$A12))</f>
        <v>0</v>
      </c>
      <c r="AF12" s="18" cm="1">
        <f t="array" aca="1" ref="AF12" ca="1">IF($A12="","",_xlfn.LET(_xlpm.rawIP,SUMPRODUCT(--(Data!$AM$4:$AM$183=$A12),IFERROR(Data!$AN$4:$AN$183,0)),IF(_xlpm.rawIP=0,0,(X12+Z12)/_xlpm.rawIP)))</f>
        <v>0</v>
      </c>
      <c r="AG12" s="18">
        <f ca="1">IF($A12="","",SUMIFS('Current Char Stats'!$AE$4:$AE$273,'Current Char Stats'!$B$4:$B$273,$A12))</f>
        <v>0</v>
      </c>
    </row>
    <row r="13" spans="1:33">
      <c r="A13" s="4" t="s">
        <v>57</v>
      </c>
      <c r="B13" s="5">
        <f>COUNTIF(Data!$D$4:$D$75,A13)</f>
        <v>1</v>
      </c>
      <c r="C13" s="5">
        <f ca="1">SUMIFS(Data!$W$4:$W$273,Data!$U$4:$U$273,A13)</f>
        <v>8</v>
      </c>
      <c r="D13" s="5">
        <f ca="1">SUMIFS(Data!$Y$4:$Y$273,Data!$U$4:$U$273,A13)</f>
        <v>4</v>
      </c>
      <c r="E13" s="5">
        <f ca="1">IF(C13=0,0,D13/C13)</f>
        <v>0.5</v>
      </c>
      <c r="F13" s="5">
        <f ca="1">SUMIFS(Data!$AB$4:$AB$273,Data!$U$4:$U$273,A13)</f>
        <v>0</v>
      </c>
      <c r="G13" s="5">
        <f ca="1">SUMIFS(Data!$AC$4:$AC$273,Data!$U$4:$U$273,A13)</f>
        <v>0</v>
      </c>
      <c r="H13" s="90" t="str">
        <f>IFERROR(_xlfn.SINGLE(_xlfn.XLOOKUP(A13, Data!$D$4:$D$75, Data!$C$4:$C$75, "")), "")</f>
        <v>Jason</v>
      </c>
      <c r="I13" s="5">
        <f ca="1">IF(H13 = "", "", IFERROR(_xlfn.SINGLE(_xlfn.XLOOKUP(H13, 'Current Player'!$A$4:$A$11, _xlfn.SINGLE('Current Player'!$C$4:$C$11) / _xlfn.SINGLE('Current Player'!$B$4:$B$11), 0)), 0))</f>
        <v>0</v>
      </c>
      <c r="J13" s="5" t="str">
        <f ca="1">IF(AND(H13&lt;&gt;"",H13=INDEX(Bracket!$B$18:$B$25,MATCH("1st",Bracket!$A$18:$A$25,0))),"Yes","")</f>
        <v>Yes</v>
      </c>
      <c r="K13" s="18">
        <f ca="1">IF($A13="","",SUMIFS('Current Char Stats'!$N$4:$N$273,'Current Char Stats'!$B$4:$B$273,$A13))</f>
        <v>2</v>
      </c>
      <c r="L13" s="18">
        <f ca="1">IF($A13="","",SUMIFS('Current Char Stats'!$O$4:$O$273,'Current Char Stats'!$B$4:$B$273,$A13))</f>
        <v>0</v>
      </c>
      <c r="M13" s="18">
        <f ca="1">IF($A13="","",SUMIFS('Current Char Stats'!$P$4:$P$273,'Current Char Stats'!$B$4:$B$273,$A13))</f>
        <v>0</v>
      </c>
      <c r="N13" s="18">
        <f ca="1">IF($A13="","",SUMIFS('Current Char Stats'!$Q$4:$Q$273,'Current Char Stats'!$B$4:$B$273,$A13))</f>
        <v>0</v>
      </c>
      <c r="O13" s="18">
        <f ca="1">IF($A13="","",SUMIFS('Current Char Stats'!$R$4:$R$273,'Current Char Stats'!$B$4:$B$273,$A13))</f>
        <v>1</v>
      </c>
      <c r="P13" s="18">
        <f ca="1">IF($A13="","",SUMIFS('Current Char Stats'!$S$4:$S$273,'Current Char Stats'!$B$4:$B$273,$A13))</f>
        <v>0</v>
      </c>
      <c r="Q13" s="18">
        <f ca="1">COUNTIF(Bracket!$K$6:$K$20,A13)</f>
        <v>0</v>
      </c>
      <c r="R13" s="18">
        <f ca="1">COUNTIFS(Bracket!$K$6:$K$20,A13,Bracket!$G$6:$G$20,"CG-*")</f>
        <v>0</v>
      </c>
      <c r="S13" s="18">
        <f ca="1">IF($A13="","",SUMIFS('Current Char Stats'!$T$4:$T$273,'Current Char Stats'!$B$4:$B$273,$A13))</f>
        <v>0</v>
      </c>
      <c r="T13" s="18">
        <f ca="1">IF($A13="","",SUMIFS('Current Char Stats'!$U$4:$U$273,'Current Char Stats'!$B$4:$B$273,$A13))</f>
        <v>0</v>
      </c>
      <c r="U13" s="18" cm="1">
        <f t="array" aca="1" ref="U13" ca="1">IF($A13="","",_xlfn.LET(_xlpm.rawIP,SUMPRODUCT(--(Data!$AM$4:$AM$183=$A13),IFERROR(Data!$AN$4:$AN$183,0)),IF(_xlpm.rawIP=0,0,INT(_xlpm.rawIP)+MOD(ROUND(_xlpm.rawIP*3,0),3)/10)))</f>
        <v>0</v>
      </c>
      <c r="V13" s="18">
        <f ca="1">IF($A13="","",SUMIFS('Current Char Stats'!$J$4:$J$273,'Current Char Stats'!$B$4:$B$273,$A13))</f>
        <v>0</v>
      </c>
      <c r="W13" s="18" cm="1">
        <f t="array" aca="1" ref="W13" ca="1">IF($A13="","",_xlfn.LET(_xlpm.rawIP,SUMPRODUCT(--(Data!$AM$4:$AM$183=$A13),IFERROR(Data!$AN$4:$AN$183,0)),IF(_xlpm.rawIP=0,0,V13*3/_xlpm.rawIP)))</f>
        <v>0</v>
      </c>
      <c r="X13" s="18">
        <f ca="1">IF($A13="","",SUMIFS('Current Char Stats'!$V$4:$V$273,'Current Char Stats'!$B$4:$B$273,$A13))</f>
        <v>0</v>
      </c>
      <c r="Y13" s="18">
        <f ca="1">IF($A13="","",SUMIFS('Current Char Stats'!$W$4:$W$273,'Current Char Stats'!$B$4:$B$273,$A13))</f>
        <v>0</v>
      </c>
      <c r="Z13" s="18">
        <f ca="1">IF($A13="","",SUMIFS('Current Char Stats'!$X$4:$X$273,'Current Char Stats'!$B$4:$B$273,$A13))</f>
        <v>0</v>
      </c>
      <c r="AA13" s="18">
        <f ca="1">IF($A13="","",SUMIFS('Current Char Stats'!$Y$4:$Y$273,'Current Char Stats'!$B$4:$B$273,$A13))</f>
        <v>0</v>
      </c>
      <c r="AB13" s="18">
        <f ca="1">IF($A13="","",SUMIFS('Current Char Stats'!$Z$4:$Z$273,'Current Char Stats'!$B$4:$B$273,$A13))</f>
        <v>0</v>
      </c>
      <c r="AC13" s="18">
        <f ca="1">IF($A13="","",SUMIFS('Current Char Stats'!$AA$4:$AA$273,'Current Char Stats'!$B$4:$B$273,$A13))</f>
        <v>0</v>
      </c>
      <c r="AD13" s="18">
        <f ca="1">IF($A13="","",SUMIFS('Current Char Stats'!$AB$4:$AB$273,'Current Char Stats'!$B$4:$B$273,$A13))</f>
        <v>0</v>
      </c>
      <c r="AE13" s="18">
        <f ca="1">IF($A13="","",SUMIFS('Current Char Stats'!$AC$4:$AC$273,'Current Char Stats'!$B$4:$B$273,$A13))</f>
        <v>0</v>
      </c>
      <c r="AF13" s="18" cm="1">
        <f t="array" aca="1" ref="AF13" ca="1">IF($A13="","",_xlfn.LET(_xlpm.rawIP,SUMPRODUCT(--(Data!$AM$4:$AM$183=$A13),IFERROR(Data!$AN$4:$AN$183,0)),IF(_xlpm.rawIP=0,0,(X13+Z13)/_xlpm.rawIP)))</f>
        <v>0</v>
      </c>
      <c r="AG13" s="18">
        <f ca="1">IF($A13="","",SUMIFS('Current Char Stats'!$AE$4:$AE$273,'Current Char Stats'!$B$4:$B$273,$A13))</f>
        <v>0</v>
      </c>
    </row>
    <row r="14" spans="1:33">
      <c r="A14" s="4" t="s">
        <v>78</v>
      </c>
      <c r="B14" s="5">
        <f>COUNTIF(Data!$D$4:$D$75,A14)</f>
        <v>1</v>
      </c>
      <c r="C14" s="5">
        <f ca="1">SUMIFS(Data!$W$4:$W$273,Data!$U$4:$U$273,A14)</f>
        <v>3</v>
      </c>
      <c r="D14" s="5">
        <f ca="1">SUMIFS(Data!$Y$4:$Y$273,Data!$U$4:$U$273,A14)</f>
        <v>0</v>
      </c>
      <c r="E14" s="5">
        <f ca="1">IF(C14=0,0,D14/C14)</f>
        <v>0.0</v>
      </c>
      <c r="F14" s="5">
        <f ca="1">SUMIFS(Data!$AB$4:$AB$273,Data!$U$4:$U$273,A14)</f>
        <v>0</v>
      </c>
      <c r="G14" s="5">
        <f ca="1">SUMIFS(Data!$AC$4:$AC$273,Data!$U$4:$U$273,A14)</f>
        <v>0</v>
      </c>
      <c r="H14" s="89" t="str">
        <f>IFERROR(_xlfn.SINGLE(_xlfn.XLOOKUP(A14, Data!$D$4:$D$75, Data!$C$4:$C$75, "")), "")</f>
        <v>Donovan</v>
      </c>
      <c r="I14" s="5">
        <f ca="1">IF(H14 = "", "", IFERROR(_xlfn.SINGLE(_xlfn.XLOOKUP(H14, 'Current Player'!$A$4:$A$11, _xlfn.SINGLE('Current Player'!$C$4:$C$11) / _xlfn.SINGLE('Current Player'!$B$4:$B$11), 0)), 0))</f>
        <v>0</v>
      </c>
      <c r="J14" s="5" t="str">
        <f ca="1">IF(AND(H14&lt;&gt;"",H14=INDEX(Bracket!$B$18:$B$25,MATCH("1st",Bracket!$A$18:$A$25,0))),"Yes","")</f>
        <v/>
      </c>
      <c r="K14" s="18">
        <f ca="1">IF($A14="","",SUMIFS('Current Char Stats'!$N$4:$N$273,'Current Char Stats'!$B$4:$B$273,$A14))</f>
        <v>0</v>
      </c>
      <c r="L14" s="18">
        <f ca="1">IF($A14="","",SUMIFS('Current Char Stats'!$O$4:$O$273,'Current Char Stats'!$B$4:$B$273,$A14))</f>
        <v>0</v>
      </c>
      <c r="M14" s="18">
        <f ca="1">IF($A14="","",SUMIFS('Current Char Stats'!$P$4:$P$273,'Current Char Stats'!$B$4:$B$273,$A14))</f>
        <v>0</v>
      </c>
      <c r="N14" s="18">
        <f ca="1">IF($A14="","",SUMIFS('Current Char Stats'!$Q$4:$Q$273,'Current Char Stats'!$B$4:$B$273,$A14))</f>
        <v>0</v>
      </c>
      <c r="O14" s="18">
        <f ca="1">IF($A14="","",SUMIFS('Current Char Stats'!$R$4:$R$273,'Current Char Stats'!$B$4:$B$273,$A14))</f>
        <v>2</v>
      </c>
      <c r="P14" s="18">
        <f ca="1">IF($A14="","",SUMIFS('Current Char Stats'!$S$4:$S$273,'Current Char Stats'!$B$4:$B$273,$A14))</f>
        <v>0</v>
      </c>
      <c r="Q14" s="18">
        <f ca="1">COUNTIF(Bracket!$K$6:$K$20,A14)</f>
        <v>0</v>
      </c>
      <c r="R14" s="18">
        <f ca="1">COUNTIFS(Bracket!$K$6:$K$20,A14,Bracket!$G$6:$G$20,"CG-*")</f>
        <v>0</v>
      </c>
      <c r="S14" s="18">
        <f ca="1">IF($A14="","",SUMIFS('Current Char Stats'!$T$4:$T$273,'Current Char Stats'!$B$4:$B$273,$A14))</f>
        <v>0</v>
      </c>
      <c r="T14" s="18">
        <f ca="1">IF($A14="","",SUMIFS('Current Char Stats'!$U$4:$U$273,'Current Char Stats'!$B$4:$B$273,$A14))</f>
        <v>0</v>
      </c>
      <c r="U14" s="18" cm="1">
        <f t="array" aca="1" ref="U14" ca="1">IF($A14="","",_xlfn.LET(_xlpm.rawIP,SUMPRODUCT(--(Data!$AM$4:$AM$183=$A14),IFERROR(Data!$AN$4:$AN$183,0)),IF(_xlpm.rawIP=0,0,INT(_xlpm.rawIP)+MOD(ROUND(_xlpm.rawIP*3,0),3)/10)))</f>
        <v>0</v>
      </c>
      <c r="V14" s="18">
        <f ca="1">IF($A14="","",SUMIFS('Current Char Stats'!$J$4:$J$273,'Current Char Stats'!$B$4:$B$273,$A14))</f>
        <v>0</v>
      </c>
      <c r="W14" s="18" cm="1">
        <f t="array" aca="1" ref="W14" ca="1">IF($A14="","",_xlfn.LET(_xlpm.rawIP,SUMPRODUCT(--(Data!$AM$4:$AM$183=$A14),IFERROR(Data!$AN$4:$AN$183,0)),IF(_xlpm.rawIP=0,0,V14*3/_xlpm.rawIP)))</f>
        <v>0</v>
      </c>
      <c r="X14" s="18">
        <f ca="1">IF($A14="","",SUMIFS('Current Char Stats'!$V$4:$V$273,'Current Char Stats'!$B$4:$B$273,$A14))</f>
        <v>0</v>
      </c>
      <c r="Y14" s="18">
        <f ca="1">IF($A14="","",SUMIFS('Current Char Stats'!$W$4:$W$273,'Current Char Stats'!$B$4:$B$273,$A14))</f>
        <v>0</v>
      </c>
      <c r="Z14" s="18">
        <f ca="1">IF($A14="","",SUMIFS('Current Char Stats'!$X$4:$X$273,'Current Char Stats'!$B$4:$B$273,$A14))</f>
        <v>0</v>
      </c>
      <c r="AA14" s="18">
        <f ca="1">IF($A14="","",SUMIFS('Current Char Stats'!$Y$4:$Y$273,'Current Char Stats'!$B$4:$B$273,$A14))</f>
        <v>0</v>
      </c>
      <c r="AB14" s="18">
        <f ca="1">IF($A14="","",SUMIFS('Current Char Stats'!$Z$4:$Z$273,'Current Char Stats'!$B$4:$B$273,$A14))</f>
        <v>0</v>
      </c>
      <c r="AC14" s="18">
        <f ca="1">IF($A14="","",SUMIFS('Current Char Stats'!$AA$4:$AA$273,'Current Char Stats'!$B$4:$B$273,$A14))</f>
        <v>0</v>
      </c>
      <c r="AD14" s="18">
        <f ca="1">IF($A14="","",SUMIFS('Current Char Stats'!$AB$4:$AB$273,'Current Char Stats'!$B$4:$B$273,$A14))</f>
        <v>0</v>
      </c>
      <c r="AE14" s="18">
        <f ca="1">IF($A14="","",SUMIFS('Current Char Stats'!$AC$4:$AC$273,'Current Char Stats'!$B$4:$B$273,$A14))</f>
        <v>0</v>
      </c>
      <c r="AF14" s="18" cm="1">
        <f t="array" aca="1" ref="AF14" ca="1">IF($A14="","",_xlfn.LET(_xlpm.rawIP,SUMPRODUCT(--(Data!$AM$4:$AM$183=$A14),IFERROR(Data!$AN$4:$AN$183,0)),IF(_xlpm.rawIP=0,0,(X14+Z14)/_xlpm.rawIP)))</f>
        <v>0</v>
      </c>
      <c r="AG14" s="18">
        <f ca="1">IF($A14="","",SUMIFS('Current Char Stats'!$AE$4:$AE$273,'Current Char Stats'!$B$4:$B$273,$A14))</f>
        <v>0</v>
      </c>
    </row>
    <row r="15" spans="1:33">
      <c r="A15" s="4" t="s">
        <v>63</v>
      </c>
      <c r="B15" s="5">
        <f>COUNTIF(Data!$D$4:$D$75,A15)</f>
        <v>1</v>
      </c>
      <c r="C15" s="5">
        <f ca="1">SUMIFS(Data!$W$4:$W$273,Data!$U$4:$U$273,A15)</f>
        <v>3</v>
      </c>
      <c r="D15" s="5">
        <f ca="1">SUMIFS(Data!$Y$4:$Y$273,Data!$U$4:$U$273,A15)</f>
        <v>0</v>
      </c>
      <c r="E15" s="5">
        <f ca="1">IF(C15=0,0,D15/C15)</f>
        <v>0.0</v>
      </c>
      <c r="F15" s="5">
        <f ca="1">SUMIFS(Data!$AB$4:$AB$273,Data!$U$4:$U$273,A15)</f>
        <v>0</v>
      </c>
      <c r="G15" s="5">
        <f ca="1">SUMIFS(Data!$AC$4:$AC$273,Data!$U$4:$U$273,A15)</f>
        <v>0</v>
      </c>
      <c r="H15" s="88" t="str">
        <f>IFERROR(_xlfn.SINGLE(_xlfn.XLOOKUP(A15, Data!$D$4:$D$75, Data!$C$4:$C$75, "")), "")</f>
        <v>Donovan</v>
      </c>
      <c r="I15" s="5">
        <f ca="1">IF(H15 = "", "", IFERROR(_xlfn.SINGLE(_xlfn.XLOOKUP(H15, 'Current Player'!$A$4:$A$11, _xlfn.SINGLE('Current Player'!$C$4:$C$11) / _xlfn.SINGLE('Current Player'!$B$4:$B$11), 0)), 0))</f>
        <v>0</v>
      </c>
      <c r="J15" s="5" t="str">
        <f ca="1">IF(AND(H15&lt;&gt;"",H15=INDEX(Bracket!$B$18:$B$25,MATCH("1st",Bracket!$A$18:$A$25,0))),"Yes","")</f>
        <v/>
      </c>
      <c r="K15" s="18">
        <f ca="1">IF($A15="","",SUMIFS('Current Char Stats'!$N$4:$N$273,'Current Char Stats'!$B$4:$B$273,$A15))</f>
        <v>0</v>
      </c>
      <c r="L15" s="18">
        <f ca="1">IF($A15="","",SUMIFS('Current Char Stats'!$O$4:$O$273,'Current Char Stats'!$B$4:$B$273,$A15))</f>
        <v>0</v>
      </c>
      <c r="M15" s="18">
        <f ca="1">IF($A15="","",SUMIFS('Current Char Stats'!$P$4:$P$273,'Current Char Stats'!$B$4:$B$273,$A15))</f>
        <v>0</v>
      </c>
      <c r="N15" s="18">
        <f ca="1">IF($A15="","",SUMIFS('Current Char Stats'!$Q$4:$Q$273,'Current Char Stats'!$B$4:$B$273,$A15))</f>
        <v>0</v>
      </c>
      <c r="O15" s="18">
        <f ca="1">IF($A15="","",SUMIFS('Current Char Stats'!$R$4:$R$273,'Current Char Stats'!$B$4:$B$273,$A15))</f>
        <v>1</v>
      </c>
      <c r="P15" s="18">
        <f ca="1">IF($A15="","",SUMIFS('Current Char Stats'!$S$4:$S$273,'Current Char Stats'!$B$4:$B$273,$A15))</f>
        <v>0</v>
      </c>
      <c r="Q15" s="18">
        <f ca="1">COUNTIF(Bracket!$K$6:$K$20,A15)</f>
        <v>0</v>
      </c>
      <c r="R15" s="18">
        <f ca="1">COUNTIFS(Bracket!$K$6:$K$20,A15,Bracket!$G$6:$G$20,"CG-*")</f>
        <v>0</v>
      </c>
      <c r="S15" s="18">
        <f ca="1">IF($A15="","",SUMIFS('Current Char Stats'!$T$4:$T$273,'Current Char Stats'!$B$4:$B$273,$A15))</f>
        <v>0</v>
      </c>
      <c r="T15" s="18">
        <f ca="1">IF($A15="","",SUMIFS('Current Char Stats'!$U$4:$U$273,'Current Char Stats'!$B$4:$B$273,$A15))</f>
        <v>0</v>
      </c>
      <c r="U15" s="18" cm="1">
        <f t="array" aca="1" ref="U15" ca="1">IF($A15="","",_xlfn.LET(_xlpm.rawIP,SUMPRODUCT(--(Data!$AM$4:$AM$183=$A15),IFERROR(Data!$AN$4:$AN$183,0)),IF(_xlpm.rawIP=0,0,INT(_xlpm.rawIP)+MOD(ROUND(_xlpm.rawIP*3,0),3)/10)))</f>
        <v>0</v>
      </c>
      <c r="V15" s="18">
        <f ca="1">IF($A15="","",SUMIFS('Current Char Stats'!$J$4:$J$273,'Current Char Stats'!$B$4:$B$273,$A15))</f>
        <v>0</v>
      </c>
      <c r="W15" s="18" cm="1">
        <f t="array" aca="1" ref="W15" ca="1">IF($A15="","",_xlfn.LET(_xlpm.rawIP,SUMPRODUCT(--(Data!$AM$4:$AM$183=$A15),IFERROR(Data!$AN$4:$AN$183,0)),IF(_xlpm.rawIP=0,0,V15*3/_xlpm.rawIP)))</f>
        <v>0</v>
      </c>
      <c r="X15" s="18">
        <f ca="1">IF($A15="","",SUMIFS('Current Char Stats'!$V$4:$V$273,'Current Char Stats'!$B$4:$B$273,$A15))</f>
        <v>0</v>
      </c>
      <c r="Y15" s="18">
        <f ca="1">IF($A15="","",SUMIFS('Current Char Stats'!$W$4:$W$273,'Current Char Stats'!$B$4:$B$273,$A15))</f>
        <v>0</v>
      </c>
      <c r="Z15" s="18">
        <f ca="1">IF($A15="","",SUMIFS('Current Char Stats'!$X$4:$X$273,'Current Char Stats'!$B$4:$B$273,$A15))</f>
        <v>0</v>
      </c>
      <c r="AA15" s="18">
        <f ca="1">IF($A15="","",SUMIFS('Current Char Stats'!$Y$4:$Y$273,'Current Char Stats'!$B$4:$B$273,$A15))</f>
        <v>0</v>
      </c>
      <c r="AB15" s="18">
        <f ca="1">IF($A15="","",SUMIFS('Current Char Stats'!$Z$4:$Z$273,'Current Char Stats'!$B$4:$B$273,$A15))</f>
        <v>0</v>
      </c>
      <c r="AC15" s="18">
        <f ca="1">IF($A15="","",SUMIFS('Current Char Stats'!$AA$4:$AA$273,'Current Char Stats'!$B$4:$B$273,$A15))</f>
        <v>0</v>
      </c>
      <c r="AD15" s="18">
        <f ca="1">IF($A15="","",SUMIFS('Current Char Stats'!$AB$4:$AB$273,'Current Char Stats'!$B$4:$B$273,$A15))</f>
        <v>0</v>
      </c>
      <c r="AE15" s="18">
        <f ca="1">IF($A15="","",SUMIFS('Current Char Stats'!$AC$4:$AC$273,'Current Char Stats'!$B$4:$B$273,$A15))</f>
        <v>0</v>
      </c>
      <c r="AF15" s="18" cm="1">
        <f t="array" aca="1" ref="AF15" ca="1">IF($A15="","",_xlfn.LET(_xlpm.rawIP,SUMPRODUCT(--(Data!$AM$4:$AM$183=$A15),IFERROR(Data!$AN$4:$AN$183,0)),IF(_xlpm.rawIP=0,0,(X15+Z15)/_xlpm.rawIP)))</f>
        <v>0</v>
      </c>
      <c r="AG15" s="18">
        <f ca="1">IF($A15="","",SUMIFS('Current Char Stats'!$AE$4:$AE$273,'Current Char Stats'!$B$4:$B$273,$A15))</f>
        <v>0</v>
      </c>
    </row>
    <row r="16" spans="1:33">
      <c r="A16" s="4" t="s">
        <v>69</v>
      </c>
      <c r="B16" s="5">
        <f>COUNTIF(Data!$D$4:$D$75,A16)</f>
        <v>1</v>
      </c>
      <c r="C16" s="5">
        <f ca="1">SUMIFS(Data!$W$4:$W$273,Data!$U$4:$U$273,A16)</f>
        <v>4</v>
      </c>
      <c r="D16" s="5">
        <f ca="1">SUMIFS(Data!$Y$4:$Y$273,Data!$U$4:$U$273,A16)</f>
        <v>3</v>
      </c>
      <c r="E16" s="5">
        <f ca="1">IF(C16=0,0,D16/C16)</f>
        <v>0.75</v>
      </c>
      <c r="F16" s="5">
        <f ca="1">SUMIFS(Data!$AB$4:$AB$273,Data!$U$4:$U$273,A16)</f>
        <v>0</v>
      </c>
      <c r="G16" s="5">
        <f ca="1">SUMIFS(Data!$AC$4:$AC$273,Data!$U$4:$U$273,A16)</f>
        <v>0</v>
      </c>
      <c r="H16" s="88" t="str">
        <f>IFERROR(_xlfn.SINGLE(_xlfn.XLOOKUP(A16, Data!$D$4:$D$75, Data!$C$4:$C$75, "")), "")</f>
        <v>Jason</v>
      </c>
      <c r="I16" s="5">
        <f ca="1">IF(H16 = "", "", IFERROR(_xlfn.SINGLE(_xlfn.XLOOKUP(H16, 'Current Player'!$A$4:$A$11, _xlfn.SINGLE('Current Player'!$C$4:$C$11) / _xlfn.SINGLE('Current Player'!$B$4:$B$11), 0)), 0))</f>
        <v>0</v>
      </c>
      <c r="J16" s="5" t="str">
        <f ca="1">IF(AND(H16&lt;&gt;"",H16=INDEX(Bracket!$B$18:$B$25,MATCH("1st",Bracket!$A$18:$A$25,0))),"Yes","")</f>
        <v>Yes</v>
      </c>
      <c r="K16" s="18">
        <f ca="1">IF($A16="","",SUMIFS('Current Char Stats'!$N$4:$N$273,'Current Char Stats'!$B$4:$B$273,$A16))</f>
        <v>1</v>
      </c>
      <c r="L16" s="18">
        <f ca="1">IF($A16="","",SUMIFS('Current Char Stats'!$O$4:$O$273,'Current Char Stats'!$B$4:$B$273,$A16))</f>
        <v>1</v>
      </c>
      <c r="M16" s="18">
        <f ca="1">IF($A16="","",SUMIFS('Current Char Stats'!$P$4:$P$273,'Current Char Stats'!$B$4:$B$273,$A16))</f>
        <v>0</v>
      </c>
      <c r="N16" s="18">
        <f ca="1">IF($A16="","",SUMIFS('Current Char Stats'!$Q$4:$Q$273,'Current Char Stats'!$B$4:$B$273,$A16))</f>
        <v>0</v>
      </c>
      <c r="O16" s="18">
        <f ca="1">IF($A16="","",SUMIFS('Current Char Stats'!$R$4:$R$273,'Current Char Stats'!$B$4:$B$273,$A16))</f>
        <v>0</v>
      </c>
      <c r="P16" s="18">
        <f ca="1">IF($A16="","",SUMIFS('Current Char Stats'!$S$4:$S$273,'Current Char Stats'!$B$4:$B$273,$A16))</f>
        <v>0</v>
      </c>
      <c r="Q16" s="18">
        <f ca="1">COUNTIF(Bracket!$K$6:$K$20,A16)</f>
        <v>0</v>
      </c>
      <c r="R16" s="18">
        <f ca="1">COUNTIFS(Bracket!$K$6:$K$20,A16,Bracket!$G$6:$G$20,"CG-*")</f>
        <v>0</v>
      </c>
      <c r="S16" s="18">
        <f ca="1">IF($A16="","",SUMIFS('Current Char Stats'!$T$4:$T$273,'Current Char Stats'!$B$4:$B$273,$A16))</f>
        <v>0</v>
      </c>
      <c r="T16" s="18">
        <f ca="1">IF($A16="","",SUMIFS('Current Char Stats'!$U$4:$U$273,'Current Char Stats'!$B$4:$B$273,$A16))</f>
        <v>0</v>
      </c>
      <c r="U16" s="18" cm="1">
        <f t="array" aca="1" ref="U16" ca="1">IF($A16="","",_xlfn.LET(_xlpm.rawIP,SUMPRODUCT(--(Data!$AM$4:$AM$183=$A16),IFERROR(Data!$AN$4:$AN$183,0)),IF(_xlpm.rawIP=0,0,INT(_xlpm.rawIP)+MOD(ROUND(_xlpm.rawIP*3,0),3)/10)))</f>
        <v>0</v>
      </c>
      <c r="V16" s="18">
        <f ca="1">IF($A16="","",SUMIFS('Current Char Stats'!$J$4:$J$273,'Current Char Stats'!$B$4:$B$273,$A16))</f>
        <v>0</v>
      </c>
      <c r="W16" s="18" cm="1">
        <f t="array" aca="1" ref="W16" ca="1">IF($A16="","",_xlfn.LET(_xlpm.rawIP,SUMPRODUCT(--(Data!$AM$4:$AM$183=$A16),IFERROR(Data!$AN$4:$AN$183,0)),IF(_xlpm.rawIP=0,0,V16*3/_xlpm.rawIP)))</f>
        <v>0</v>
      </c>
      <c r="X16" s="18">
        <f ca="1">IF($A16="","",SUMIFS('Current Char Stats'!$V$4:$V$273,'Current Char Stats'!$B$4:$B$273,$A16))</f>
        <v>0</v>
      </c>
      <c r="Y16" s="18">
        <f ca="1">IF($A16="","",SUMIFS('Current Char Stats'!$W$4:$W$273,'Current Char Stats'!$B$4:$B$273,$A16))</f>
        <v>0</v>
      </c>
      <c r="Z16" s="18">
        <f ca="1">IF($A16="","",SUMIFS('Current Char Stats'!$X$4:$X$273,'Current Char Stats'!$B$4:$B$273,$A16))</f>
        <v>0</v>
      </c>
      <c r="AA16" s="18">
        <f ca="1">IF($A16="","",SUMIFS('Current Char Stats'!$Y$4:$Y$273,'Current Char Stats'!$B$4:$B$273,$A16))</f>
        <v>0</v>
      </c>
      <c r="AB16" s="18">
        <f ca="1">IF($A16="","",SUMIFS('Current Char Stats'!$Z$4:$Z$273,'Current Char Stats'!$B$4:$B$273,$A16))</f>
        <v>0</v>
      </c>
      <c r="AC16" s="18">
        <f ca="1">IF($A16="","",SUMIFS('Current Char Stats'!$AA$4:$AA$273,'Current Char Stats'!$B$4:$B$273,$A16))</f>
        <v>0</v>
      </c>
      <c r="AD16" s="18">
        <f ca="1">IF($A16="","",SUMIFS('Current Char Stats'!$AB$4:$AB$273,'Current Char Stats'!$B$4:$B$273,$A16))</f>
        <v>0</v>
      </c>
      <c r="AE16" s="18">
        <f ca="1">IF($A16="","",SUMIFS('Current Char Stats'!$AC$4:$AC$273,'Current Char Stats'!$B$4:$B$273,$A16))</f>
        <v>0</v>
      </c>
      <c r="AF16" s="18" cm="1">
        <f t="array" aca="1" ref="AF16" ca="1">IF($A16="","",_xlfn.LET(_xlpm.rawIP,SUMPRODUCT(--(Data!$AM$4:$AM$183=$A16),IFERROR(Data!$AN$4:$AN$183,0)),IF(_xlpm.rawIP=0,0,(X16+Z16)/_xlpm.rawIP)))</f>
        <v>0</v>
      </c>
      <c r="AG16" s="18">
        <f ca="1">IF($A16="","",SUMIFS('Current Char Stats'!$AE$4:$AE$273,'Current Char Stats'!$B$4:$B$273,$A16))</f>
        <v>0</v>
      </c>
    </row>
    <row r="17" spans="1:33">
      <c r="A17" s="4" t="s">
        <v>71</v>
      </c>
      <c r="B17" s="5">
        <f>COUNTIF(Data!$D$4:$D$75,A17)</f>
        <v>1</v>
      </c>
      <c r="C17" s="5">
        <f ca="1">SUMIFS(Data!$W$4:$W$273,Data!$U$4:$U$273,A17)</f>
        <v>4</v>
      </c>
      <c r="D17" s="5">
        <f ca="1">SUMIFS(Data!$Y$4:$Y$273,Data!$U$4:$U$273,A17)</f>
        <v>1</v>
      </c>
      <c r="E17" s="5">
        <f ca="1">IF(C17=0,0,D17/C17)</f>
        <v>0.25</v>
      </c>
      <c r="F17" s="5">
        <f ca="1">SUMIFS(Data!$AB$4:$AB$273,Data!$U$4:$U$273,A17)</f>
        <v>0</v>
      </c>
      <c r="G17" s="5">
        <f ca="1">SUMIFS(Data!$AC$4:$AC$273,Data!$U$4:$U$273,A17)</f>
        <v>1</v>
      </c>
      <c r="H17" s="89" t="str">
        <f>IFERROR(_xlfn.SINGLE(_xlfn.XLOOKUP(A17, Data!$D$4:$D$75, Data!$C$4:$C$75, "")), "")</f>
        <v>May</v>
      </c>
      <c r="I17" s="5">
        <f ca="1">IF(H17 = "", "", IFERROR(_xlfn.SINGLE(_xlfn.XLOOKUP(H17, 'Current Player'!$A$4:$A$11, _xlfn.SINGLE('Current Player'!$C$4:$C$11) / _xlfn.SINGLE('Current Player'!$B$4:$B$11), 0)), 0))</f>
        <v>0</v>
      </c>
      <c r="J17" s="5" t="str">
        <f ca="1">IF(AND(H17&lt;&gt;"",H17=INDEX(Bracket!$B$18:$B$25,MATCH("1st",Bracket!$A$18:$A$25,0))),"Yes","")</f>
        <v/>
      </c>
      <c r="K17" s="18">
        <f ca="1">IF($A17="","",SUMIFS('Current Char Stats'!$N$4:$N$273,'Current Char Stats'!$B$4:$B$273,$A17))</f>
        <v>0</v>
      </c>
      <c r="L17" s="18">
        <f ca="1">IF($A17="","",SUMIFS('Current Char Stats'!$O$4:$O$273,'Current Char Stats'!$B$4:$B$273,$A17))</f>
        <v>0</v>
      </c>
      <c r="M17" s="18">
        <f ca="1">IF($A17="","",SUMIFS('Current Char Stats'!$P$4:$P$273,'Current Char Stats'!$B$4:$B$273,$A17))</f>
        <v>0</v>
      </c>
      <c r="N17" s="18">
        <f ca="1">IF($A17="","",SUMIFS('Current Char Stats'!$Q$4:$Q$273,'Current Char Stats'!$B$4:$B$273,$A17))</f>
        <v>0</v>
      </c>
      <c r="O17" s="18">
        <f ca="1">IF($A17="","",SUMIFS('Current Char Stats'!$R$4:$R$273,'Current Char Stats'!$B$4:$B$273,$A17))</f>
        <v>1</v>
      </c>
      <c r="P17" s="18">
        <f ca="1">IF($A17="","",SUMIFS('Current Char Stats'!$S$4:$S$273,'Current Char Stats'!$B$4:$B$273,$A17))</f>
        <v>0</v>
      </c>
      <c r="Q17" s="18">
        <f ca="1">COUNTIF(Bracket!$K$6:$K$20,A17)</f>
        <v>0</v>
      </c>
      <c r="R17" s="18">
        <f ca="1">COUNTIFS(Bracket!$K$6:$K$20,A17,Bracket!$G$6:$G$20,"CG-*")</f>
        <v>0</v>
      </c>
      <c r="S17" s="18">
        <f ca="1">IF($A17="","",SUMIFS('Current Char Stats'!$T$4:$T$273,'Current Char Stats'!$B$4:$B$273,$A17))</f>
        <v>0</v>
      </c>
      <c r="T17" s="18">
        <f ca="1">IF($A17="","",SUMIFS('Current Char Stats'!$U$4:$U$273,'Current Char Stats'!$B$4:$B$273,$A17))</f>
        <v>0</v>
      </c>
      <c r="U17" s="18" cm="1">
        <f t="array" aca="1" ref="U17" ca="1">IF($A17="","",_xlfn.LET(_xlpm.rawIP,SUMPRODUCT(--(Data!$AM$4:$AM$183=$A17),IFERROR(Data!$AN$4:$AN$183,0)),IF(_xlpm.rawIP=0,0,INT(_xlpm.rawIP)+MOD(ROUND(_xlpm.rawIP*3,0),3)/10)))</f>
        <v>3</v>
      </c>
      <c r="V17" s="18">
        <f ca="1">IF($A17="","",SUMIFS('Current Char Stats'!$J$4:$J$273,'Current Char Stats'!$B$4:$B$273,$A17))</f>
        <v>1</v>
      </c>
      <c r="W17" s="18" cm="1">
        <f t="array" aca="1" ref="W17" ca="1">IF($A17="","",_xlfn.LET(_xlpm.rawIP,SUMPRODUCT(--(Data!$AM$4:$AM$183=$A17),IFERROR(Data!$AN$4:$AN$183,0)),IF(_xlpm.rawIP=0,0,V17*3/_xlpm.rawIP)))</f>
        <v>1.0</v>
      </c>
      <c r="X17" s="18">
        <f ca="1">IF($A17="","",SUMIFS('Current Char Stats'!$V$4:$V$273,'Current Char Stats'!$B$4:$B$273,$A17))</f>
        <v>3</v>
      </c>
      <c r="Y17" s="18">
        <f ca="1">IF($A17="","",SUMIFS('Current Char Stats'!$W$4:$W$273,'Current Char Stats'!$B$4:$B$273,$A17))</f>
        <v>1</v>
      </c>
      <c r="Z17" s="18">
        <f ca="1">IF($A17="","",SUMIFS('Current Char Stats'!$X$4:$X$273,'Current Char Stats'!$B$4:$B$273,$A17))</f>
        <v>0</v>
      </c>
      <c r="AA17" s="18">
        <f ca="1">IF($A17="","",SUMIFS('Current Char Stats'!$Y$4:$Y$273,'Current Char Stats'!$B$4:$B$273,$A17))</f>
        <v>1</v>
      </c>
      <c r="AB17" s="18">
        <f ca="1">IF($A17="","",SUMIFS('Current Char Stats'!$Z$4:$Z$273,'Current Char Stats'!$B$4:$B$273,$A17))</f>
        <v>0</v>
      </c>
      <c r="AC17" s="18">
        <f ca="1">IF($A17="","",SUMIFS('Current Char Stats'!$AA$4:$AA$273,'Current Char Stats'!$B$4:$B$273,$A17))</f>
        <v>0</v>
      </c>
      <c r="AD17" s="18">
        <f ca="1">IF($A17="","",SUMIFS('Current Char Stats'!$AB$4:$AB$273,'Current Char Stats'!$B$4:$B$273,$A17))</f>
        <v>0</v>
      </c>
      <c r="AE17" s="18">
        <f ca="1">IF($A17="","",SUMIFS('Current Char Stats'!$AC$4:$AC$273,'Current Char Stats'!$B$4:$B$273,$A17))</f>
        <v>0</v>
      </c>
      <c r="AF17" s="18" cm="1">
        <f t="array" aca="1" ref="AF17" ca="1">IF($A17="","",_xlfn.LET(_xlpm.rawIP,SUMPRODUCT(--(Data!$AM$4:$AM$183=$A17),IFERROR(Data!$AN$4:$AN$183,0)),IF(_xlpm.rawIP=0,0,(X17+Z17)/_xlpm.rawIP)))</f>
        <v>1.0</v>
      </c>
      <c r="AG17" s="18">
        <f ca="1">IF($A17="","",SUMIFS('Current Char Stats'!$AE$4:$AE$273,'Current Char Stats'!$B$4:$B$273,$A17))</f>
        <v>13</v>
      </c>
    </row>
    <row r="18" spans="1:33">
      <c r="A18" s="4" t="s">
        <v>84</v>
      </c>
      <c r="B18" s="5">
        <f>COUNTIF(Data!$D$4:$D$75,A18)</f>
        <v>1</v>
      </c>
      <c r="C18" s="5">
        <f ca="1">SUMIFS(Data!$W$4:$W$273,Data!$U$4:$U$273,A18)</f>
        <v>7</v>
      </c>
      <c r="D18" s="5">
        <f ca="1">SUMIFS(Data!$Y$4:$Y$273,Data!$U$4:$U$273,A18)</f>
        <v>5</v>
      </c>
      <c r="E18" s="5">
        <f ca="1">IF(C18=0,0,D18/C18)</f>
        <v>0.7142857142857143</v>
      </c>
      <c r="F18" s="5">
        <f ca="1">SUMIFS(Data!$AB$4:$AB$273,Data!$U$4:$U$273,A18)</f>
        <v>3</v>
      </c>
      <c r="G18" s="5">
        <f ca="1">SUMIFS(Data!$AC$4:$AC$273,Data!$U$4:$U$273,A18)</f>
        <v>4</v>
      </c>
      <c r="H18" s="90" t="str">
        <f>IFERROR(_xlfn.SINGLE(_xlfn.XLOOKUP(A18, Data!$D$4:$D$75, Data!$C$4:$C$75, "")), "")</f>
        <v>Jason</v>
      </c>
      <c r="I18" s="5">
        <f ca="1">IF(H18 = "", "", IFERROR(_xlfn.SINGLE(_xlfn.XLOOKUP(H18, 'Current Player'!$A$4:$A$11, _xlfn.SINGLE('Current Player'!$C$4:$C$11) / _xlfn.SINGLE('Current Player'!$B$4:$B$11), 0)), 0))</f>
        <v>0</v>
      </c>
      <c r="J18" s="5" t="str">
        <f ca="1">IF(AND(H18&lt;&gt;"",H18=INDEX(Bracket!$B$18:$B$25,MATCH("1st",Bracket!$A$18:$A$25,0))),"Yes","")</f>
        <v>Yes</v>
      </c>
      <c r="K18" s="18">
        <f ca="1">IF($A18="","",SUMIFS('Current Char Stats'!$N$4:$N$273,'Current Char Stats'!$B$4:$B$273,$A18))</f>
        <v>3</v>
      </c>
      <c r="L18" s="18">
        <f ca="1">IF($A18="","",SUMIFS('Current Char Stats'!$O$4:$O$273,'Current Char Stats'!$B$4:$B$273,$A18))</f>
        <v>0</v>
      </c>
      <c r="M18" s="18">
        <f ca="1">IF($A18="","",SUMIFS('Current Char Stats'!$P$4:$P$273,'Current Char Stats'!$B$4:$B$273,$A18))</f>
        <v>0</v>
      </c>
      <c r="N18" s="18">
        <f ca="1">IF($A18="","",SUMIFS('Current Char Stats'!$Q$4:$Q$273,'Current Char Stats'!$B$4:$B$273,$A18))</f>
        <v>0</v>
      </c>
      <c r="O18" s="18">
        <f ca="1">IF($A18="","",SUMIFS('Current Char Stats'!$R$4:$R$273,'Current Char Stats'!$B$4:$B$273,$A18))</f>
        <v>0</v>
      </c>
      <c r="P18" s="18">
        <f ca="1">IF($A18="","",SUMIFS('Current Char Stats'!$S$4:$S$273,'Current Char Stats'!$B$4:$B$273,$A18))</f>
        <v>0</v>
      </c>
      <c r="Q18" s="18">
        <f ca="1">COUNTIF(Bracket!$K$6:$K$20,A18)</f>
        <v>0</v>
      </c>
      <c r="R18" s="18">
        <f ca="1">COUNTIFS(Bracket!$K$6:$K$20,A18,Bracket!$G$6:$G$20,"CG-*")</f>
        <v>0</v>
      </c>
      <c r="S18" s="18">
        <f ca="1">IF($A18="","",SUMIFS('Current Char Stats'!$T$4:$T$273,'Current Char Stats'!$B$4:$B$273,$A18))</f>
        <v>0</v>
      </c>
      <c r="T18" s="18">
        <f ca="1">IF($A18="","",SUMIFS('Current Char Stats'!$U$4:$U$273,'Current Char Stats'!$B$4:$B$273,$A18))</f>
        <v>0</v>
      </c>
      <c r="U18" s="18" cm="1">
        <f t="array" aca="1" ref="U18" ca="1">IF($A18="","",_xlfn.LET(_xlpm.rawIP,SUMPRODUCT(--(Data!$AM$4:$AM$183=$A18),IFERROR(Data!$AN$4:$AN$183,0)),IF(_xlpm.rawIP=0,0,INT(_xlpm.rawIP)+MOD(ROUND(_xlpm.rawIP*3,0),3)/10)))</f>
        <v>0</v>
      </c>
      <c r="V18" s="18">
        <f ca="1">IF($A18="","",SUMIFS('Current Char Stats'!$J$4:$J$273,'Current Char Stats'!$B$4:$B$273,$A18))</f>
        <v>5</v>
      </c>
      <c r="W18" s="18" cm="1">
        <f t="array" aca="1" ref="W18" ca="1">IF($A18="","",_xlfn.LET(_xlpm.rawIP,SUMPRODUCT(--(Data!$AM$4:$AM$183=$A18),IFERROR(Data!$AN$4:$AN$183,0)),IF(_xlpm.rawIP=0,0,V18*3/_xlpm.rawIP)))</f>
        <v>0</v>
      </c>
      <c r="X18" s="18">
        <f ca="1">IF($A18="","",SUMIFS('Current Char Stats'!$V$4:$V$273,'Current Char Stats'!$B$4:$B$273,$A18))</f>
        <v>2</v>
      </c>
      <c r="Y18" s="18">
        <f ca="1">IF($A18="","",SUMIFS('Current Char Stats'!$W$4:$W$273,'Current Char Stats'!$B$4:$B$273,$A18))</f>
        <v>5</v>
      </c>
      <c r="Z18" s="18">
        <f ca="1">IF($A18="","",SUMIFS('Current Char Stats'!$X$4:$X$273,'Current Char Stats'!$B$4:$B$273,$A18))</f>
        <v>0</v>
      </c>
      <c r="AA18" s="18">
        <f ca="1">IF($A18="","",SUMIFS('Current Char Stats'!$Y$4:$Y$273,'Current Char Stats'!$B$4:$B$273,$A18))</f>
        <v>0</v>
      </c>
      <c r="AB18" s="18">
        <f ca="1">IF($A18="","",SUMIFS('Current Char Stats'!$Z$4:$Z$273,'Current Char Stats'!$B$4:$B$273,$A18))</f>
        <v>1</v>
      </c>
      <c r="AC18" s="18">
        <f ca="1">IF($A18="","",SUMIFS('Current Char Stats'!$AA$4:$AA$273,'Current Char Stats'!$B$4:$B$273,$A18))</f>
        <v>0</v>
      </c>
      <c r="AD18" s="18">
        <f ca="1">IF($A18="","",SUMIFS('Current Char Stats'!$AB$4:$AB$273,'Current Char Stats'!$B$4:$B$273,$A18))</f>
        <v>0</v>
      </c>
      <c r="AE18" s="18">
        <f ca="1">IF($A18="","",SUMIFS('Current Char Stats'!$AC$4:$AC$273,'Current Char Stats'!$B$4:$B$273,$A18))</f>
        <v>0</v>
      </c>
      <c r="AF18" s="18" cm="1">
        <f t="array" aca="1" ref="AF18" ca="1">IF($A18="","",_xlfn.LET(_xlpm.rawIP,SUMPRODUCT(--(Data!$AM$4:$AM$183=$A18),IFERROR(Data!$AN$4:$AN$183,0)),IF(_xlpm.rawIP=0,0,(X18+Z18)/_xlpm.rawIP)))</f>
        <v>0</v>
      </c>
      <c r="AG18" s="18">
        <f ca="1">IF($A18="","",SUMIFS('Current Char Stats'!$AE$4:$AE$273,'Current Char Stats'!$B$4:$B$273,$A18))</f>
        <v>3</v>
      </c>
    </row>
    <row r="19" spans="1:33">
      <c r="A19" s="4" t="s">
        <v>85</v>
      </c>
      <c r="B19" s="5">
        <f>COUNTIF(Data!$D$4:$D$75,A19)</f>
        <v>1</v>
      </c>
      <c r="C19" s="5">
        <f ca="1">SUMIFS(Data!$W$4:$W$273,Data!$U$4:$U$273,A19)</f>
        <v>4</v>
      </c>
      <c r="D19" s="5">
        <f ca="1">SUMIFS(Data!$Y$4:$Y$273,Data!$U$4:$U$273,A19)</f>
        <v>2</v>
      </c>
      <c r="E19" s="5">
        <f ca="1">IF(C19=0,0,D19/C19)</f>
        <v>0.5</v>
      </c>
      <c r="F19" s="5">
        <f ca="1">SUMIFS(Data!$AB$4:$AB$273,Data!$U$4:$U$273,A19)</f>
        <v>1</v>
      </c>
      <c r="G19" s="5">
        <f ca="1">SUMIFS(Data!$AC$4:$AC$273,Data!$U$4:$U$273,A19)</f>
        <v>1</v>
      </c>
      <c r="H19" s="92" t="str">
        <f>IFERROR(_xlfn.SINGLE(_xlfn.XLOOKUP(A19, Data!$D$4:$D$75, Data!$C$4:$C$75, "")), "")</f>
        <v>Aidan</v>
      </c>
      <c r="I19" s="5">
        <f ca="1">IF(H19 = "", "", IFERROR(_xlfn.SINGLE(_xlfn.XLOOKUP(H19, 'Current Player'!$A$4:$A$11, _xlfn.SINGLE('Current Player'!$C$4:$C$11) / _xlfn.SINGLE('Current Player'!$B$4:$B$11), 0)), 0))</f>
        <v>0</v>
      </c>
      <c r="J19" s="5" t="str">
        <f ca="1">IF(AND(H19&lt;&gt;"",H19=INDEX(Bracket!$B$18:$B$25,MATCH("1st",Bracket!$A$18:$A$25,0))),"Yes","")</f>
        <v/>
      </c>
      <c r="K19" s="18">
        <f ca="1">IF($A19="","",SUMIFS('Current Char Stats'!$N$4:$N$273,'Current Char Stats'!$B$4:$B$273,$A19))</f>
        <v>2</v>
      </c>
      <c r="L19" s="18">
        <f ca="1">IF($A19="","",SUMIFS('Current Char Stats'!$O$4:$O$273,'Current Char Stats'!$B$4:$B$273,$A19))</f>
        <v>0</v>
      </c>
      <c r="M19" s="18">
        <f ca="1">IF($A19="","",SUMIFS('Current Char Stats'!$P$4:$P$273,'Current Char Stats'!$B$4:$B$273,$A19))</f>
        <v>1</v>
      </c>
      <c r="N19" s="18">
        <f ca="1">IF($A19="","",SUMIFS('Current Char Stats'!$Q$4:$Q$273,'Current Char Stats'!$B$4:$B$273,$A19))</f>
        <v>0</v>
      </c>
      <c r="O19" s="18">
        <f ca="1">IF($A19="","",SUMIFS('Current Char Stats'!$R$4:$R$273,'Current Char Stats'!$B$4:$B$273,$A19))</f>
        <v>1</v>
      </c>
      <c r="P19" s="18">
        <f ca="1">IF($A19="","",SUMIFS('Current Char Stats'!$S$4:$S$273,'Current Char Stats'!$B$4:$B$273,$A19))</f>
        <v>0</v>
      </c>
      <c r="Q19" s="18">
        <f ca="1">COUNTIF(Bracket!$K$6:$K$20,A19)</f>
        <v>0</v>
      </c>
      <c r="R19" s="18">
        <f ca="1">COUNTIFS(Bracket!$K$6:$K$20,A19,Bracket!$G$6:$G$20,"CG-*")</f>
        <v>0</v>
      </c>
      <c r="S19" s="18">
        <f ca="1">IF($A19="","",SUMIFS('Current Char Stats'!$T$4:$T$273,'Current Char Stats'!$B$4:$B$273,$A19))</f>
        <v>0</v>
      </c>
      <c r="T19" s="18">
        <f ca="1">IF($A19="","",SUMIFS('Current Char Stats'!$U$4:$U$273,'Current Char Stats'!$B$4:$B$273,$A19))</f>
        <v>0</v>
      </c>
      <c r="U19" s="18" cm="1">
        <f t="array" aca="1" ref="U19" ca="1">IF($A19="","",_xlfn.LET(_xlpm.rawIP,SUMPRODUCT(--(Data!$AM$4:$AM$183=$A19),IFERROR(Data!$AN$4:$AN$183,0)),IF(_xlpm.rawIP=0,0,INT(_xlpm.rawIP)+MOD(ROUND(_xlpm.rawIP*3,0),3)/10)))</f>
        <v>4.1</v>
      </c>
      <c r="V19" s="18">
        <f ca="1">IF($A19="","",SUMIFS('Current Char Stats'!$J$4:$J$273,'Current Char Stats'!$B$4:$B$273,$A19))</f>
        <v>6</v>
      </c>
      <c r="W19" s="18" cm="1">
        <f t="array" aca="1" ref="W19" ca="1">IF($A19="","",_xlfn.LET(_xlpm.rawIP,SUMPRODUCT(--(Data!$AM$4:$AM$183=$A19),IFERROR(Data!$AN$4:$AN$183,0)),IF(_xlpm.rawIP=0,0,V19*3/_xlpm.rawIP)))</f>
        <v>4.153846153846154</v>
      </c>
      <c r="X19" s="18">
        <f ca="1">IF($A19="","",SUMIFS('Current Char Stats'!$V$4:$V$273,'Current Char Stats'!$B$4:$B$273,$A19))</f>
        <v>7</v>
      </c>
      <c r="Y19" s="18">
        <f ca="1">IF($A19="","",SUMIFS('Current Char Stats'!$W$4:$W$273,'Current Char Stats'!$B$4:$B$273,$A19))</f>
        <v>6</v>
      </c>
      <c r="Z19" s="18">
        <f ca="1">IF($A19="","",SUMIFS('Current Char Stats'!$X$4:$X$273,'Current Char Stats'!$B$4:$B$273,$A19))</f>
        <v>0</v>
      </c>
      <c r="AA19" s="18">
        <f ca="1">IF($A19="","",SUMIFS('Current Char Stats'!$Y$4:$Y$273,'Current Char Stats'!$B$4:$B$273,$A19))</f>
        <v>9</v>
      </c>
      <c r="AB19" s="18">
        <f ca="1">IF($A19="","",SUMIFS('Current Char Stats'!$Z$4:$Z$273,'Current Char Stats'!$B$4:$B$273,$A19))</f>
        <v>5</v>
      </c>
      <c r="AC19" s="18">
        <f ca="1">IF($A19="","",SUMIFS('Current Char Stats'!$AA$4:$AA$273,'Current Char Stats'!$B$4:$B$273,$A19))</f>
        <v>1</v>
      </c>
      <c r="AD19" s="18">
        <f ca="1">IF($A19="","",SUMIFS('Current Char Stats'!$AB$4:$AB$273,'Current Char Stats'!$B$4:$B$273,$A19))</f>
        <v>0</v>
      </c>
      <c r="AE19" s="18">
        <f ca="1">IF($A19="","",SUMIFS('Current Char Stats'!$AC$4:$AC$273,'Current Char Stats'!$B$4:$B$273,$A19))</f>
        <v>0</v>
      </c>
      <c r="AF19" s="18" cm="1">
        <f t="array" aca="1" ref="AF19" ca="1">IF($A19="","",_xlfn.LET(_xlpm.rawIP,SUMPRODUCT(--(Data!$AM$4:$AM$183=$A19),IFERROR(Data!$AN$4:$AN$183,0)),IF(_xlpm.rawIP=0,0,(X19+Z19)/_xlpm.rawIP)))</f>
        <v>1.6153846153846154</v>
      </c>
      <c r="AG19" s="18">
        <f ca="1">IF($A19="","",SUMIFS('Current Char Stats'!$AE$4:$AE$273,'Current Char Stats'!$B$4:$B$273,$A19))</f>
        <v>20</v>
      </c>
    </row>
    <row r="20" spans="1:33">
      <c r="A20" s="4" t="s">
        <v>44</v>
      </c>
      <c r="B20" s="5">
        <f>COUNTIF(Data!$D$4:$D$75,A20)</f>
        <v>1</v>
      </c>
      <c r="C20" s="5">
        <f ca="1">SUMIFS(Data!$W$4:$W$273,Data!$U$4:$U$273,A20)</f>
        <v>7</v>
      </c>
      <c r="D20" s="5">
        <f ca="1">SUMIFS(Data!$Y$4:$Y$273,Data!$U$4:$U$273,A20)</f>
        <v>4</v>
      </c>
      <c r="E20" s="5">
        <f ca="1">IF(C20=0,0,D20/C20)</f>
        <v>0.5714285714285714</v>
      </c>
      <c r="F20" s="5">
        <f ca="1">SUMIFS(Data!$AB$4:$AB$273,Data!$U$4:$U$273,A20)</f>
        <v>2</v>
      </c>
      <c r="G20" s="5">
        <f ca="1">SUMIFS(Data!$AC$4:$AC$273,Data!$U$4:$U$273,A20)</f>
        <v>5</v>
      </c>
      <c r="H20" s="93" t="str">
        <f>IFERROR(_xlfn.SINGLE(_xlfn.XLOOKUP(A20, Data!$D$4:$D$75, Data!$C$4:$C$75, "")), "")</f>
        <v>Jason</v>
      </c>
      <c r="I20" s="5">
        <f ca="1">IF(H20 = "", "", IFERROR(_xlfn.SINGLE(_xlfn.XLOOKUP(H20, 'Current Player'!$A$4:$A$11, _xlfn.SINGLE('Current Player'!$C$4:$C$11) / _xlfn.SINGLE('Current Player'!$B$4:$B$11), 0)), 0))</f>
        <v>0</v>
      </c>
      <c r="J20" s="5" t="str">
        <f ca="1">IF(AND(H20&lt;&gt;"",H20=INDEX(Bracket!$B$18:$B$25,MATCH("1st",Bracket!$A$18:$A$25,0))),"Yes","")</f>
        <v>Yes</v>
      </c>
      <c r="K20" s="18">
        <f ca="1">IF($A20="","",SUMIFS('Current Char Stats'!$N$4:$N$273,'Current Char Stats'!$B$4:$B$273,$A20))</f>
        <v>5</v>
      </c>
      <c r="L20" s="18">
        <f ca="1">IF($A20="","",SUMIFS('Current Char Stats'!$O$4:$O$273,'Current Char Stats'!$B$4:$B$273,$A20))</f>
        <v>0</v>
      </c>
      <c r="M20" s="18">
        <f ca="1">IF($A20="","",SUMIFS('Current Char Stats'!$P$4:$P$273,'Current Char Stats'!$B$4:$B$273,$A20))</f>
        <v>0</v>
      </c>
      <c r="N20" s="18">
        <f ca="1">IF($A20="","",SUMIFS('Current Char Stats'!$Q$4:$Q$273,'Current Char Stats'!$B$4:$B$273,$A20))</f>
        <v>0</v>
      </c>
      <c r="O20" s="18">
        <f ca="1">IF($A20="","",SUMIFS('Current Char Stats'!$R$4:$R$273,'Current Char Stats'!$B$4:$B$273,$A20))</f>
        <v>0</v>
      </c>
      <c r="P20" s="18">
        <f ca="1">IF($A20="","",SUMIFS('Current Char Stats'!$S$4:$S$273,'Current Char Stats'!$B$4:$B$273,$A20))</f>
        <v>0</v>
      </c>
      <c r="Q20" s="18">
        <f ca="1">COUNTIF(Bracket!$K$6:$K$20,A20)</f>
        <v>0</v>
      </c>
      <c r="R20" s="18">
        <f ca="1">COUNTIFS(Bracket!$K$6:$K$20,A20,Bracket!$G$6:$G$20,"CG-*")</f>
        <v>0</v>
      </c>
      <c r="S20" s="18">
        <f ca="1">IF($A20="","",SUMIFS('Current Char Stats'!$T$4:$T$273,'Current Char Stats'!$B$4:$B$273,$A20))</f>
        <v>0</v>
      </c>
      <c r="T20" s="18">
        <f ca="1">IF($A20="","",SUMIFS('Current Char Stats'!$U$4:$U$273,'Current Char Stats'!$B$4:$B$273,$A20))</f>
        <v>0</v>
      </c>
      <c r="U20" s="18" cm="1">
        <f t="array" aca="1" ref="U20" ca="1">IF($A20="","",_xlfn.LET(_xlpm.rawIP,SUMPRODUCT(--(Data!$AM$4:$AM$183=$A20),IFERROR(Data!$AN$4:$AN$183,0)),IF(_xlpm.rawIP=0,0,INT(_xlpm.rawIP)+MOD(ROUND(_xlpm.rawIP*3,0),3)/10)))</f>
        <v>0</v>
      </c>
      <c r="V20" s="18">
        <f ca="1">IF($A20="","",SUMIFS('Current Char Stats'!$J$4:$J$273,'Current Char Stats'!$B$4:$B$273,$A20))</f>
        <v>0</v>
      </c>
      <c r="W20" s="18" cm="1">
        <f t="array" aca="1" ref="W20" ca="1">IF($A20="","",_xlfn.LET(_xlpm.rawIP,SUMPRODUCT(--(Data!$AM$4:$AM$183=$A20),IFERROR(Data!$AN$4:$AN$183,0)),IF(_xlpm.rawIP=0,0,V20*3/_xlpm.rawIP)))</f>
        <v>0</v>
      </c>
      <c r="X20" s="18">
        <f ca="1">IF($A20="","",SUMIFS('Current Char Stats'!$V$4:$V$273,'Current Char Stats'!$B$4:$B$273,$A20))</f>
        <v>0</v>
      </c>
      <c r="Y20" s="18">
        <f ca="1">IF($A20="","",SUMIFS('Current Char Stats'!$W$4:$W$273,'Current Char Stats'!$B$4:$B$273,$A20))</f>
        <v>0</v>
      </c>
      <c r="Z20" s="18">
        <f ca="1">IF($A20="","",SUMIFS('Current Char Stats'!$X$4:$X$273,'Current Char Stats'!$B$4:$B$273,$A20))</f>
        <v>0</v>
      </c>
      <c r="AA20" s="18">
        <f ca="1">IF($A20="","",SUMIFS('Current Char Stats'!$Y$4:$Y$273,'Current Char Stats'!$B$4:$B$273,$A20))</f>
        <v>0</v>
      </c>
      <c r="AB20" s="18">
        <f ca="1">IF($A20="","",SUMIFS('Current Char Stats'!$Z$4:$Z$273,'Current Char Stats'!$B$4:$B$273,$A20))</f>
        <v>0</v>
      </c>
      <c r="AC20" s="18">
        <f ca="1">IF($A20="","",SUMIFS('Current Char Stats'!$AA$4:$AA$273,'Current Char Stats'!$B$4:$B$273,$A20))</f>
        <v>0</v>
      </c>
      <c r="AD20" s="18">
        <f ca="1">IF($A20="","",SUMIFS('Current Char Stats'!$AB$4:$AB$273,'Current Char Stats'!$B$4:$B$273,$A20))</f>
        <v>0</v>
      </c>
      <c r="AE20" s="18">
        <f ca="1">IF($A20="","",SUMIFS('Current Char Stats'!$AC$4:$AC$273,'Current Char Stats'!$B$4:$B$273,$A20))</f>
        <v>0</v>
      </c>
      <c r="AF20" s="18" cm="1">
        <f t="array" aca="1" ref="AF20" ca="1">IF($A20="","",_xlfn.LET(_xlpm.rawIP,SUMPRODUCT(--(Data!$AM$4:$AM$183=$A20),IFERROR(Data!$AN$4:$AN$183,0)),IF(_xlpm.rawIP=0,0,(X20+Z20)/_xlpm.rawIP)))</f>
        <v>0</v>
      </c>
      <c r="AG20" s="18">
        <f ca="1">IF($A20="","",SUMIFS('Current Char Stats'!$AE$4:$AE$273,'Current Char Stats'!$B$4:$B$273,$A20))</f>
        <v>0</v>
      </c>
    </row>
    <row r="21" spans="1:33">
      <c r="A21" s="4" t="s">
        <v>81</v>
      </c>
      <c r="B21" s="5">
        <f>COUNTIF(Data!$D$4:$D$75,A21)</f>
        <v>1</v>
      </c>
      <c r="C21" s="5">
        <f ca="1">SUMIFS(Data!$W$4:$W$273,Data!$U$4:$U$273,A21)</f>
        <v>7</v>
      </c>
      <c r="D21" s="5">
        <f ca="1">SUMIFS(Data!$Y$4:$Y$273,Data!$U$4:$U$273,A21)</f>
        <v>1</v>
      </c>
      <c r="E21" s="5">
        <f ca="1">IF(C21=0,0,D21/C21)</f>
        <v>0.14285714285714285</v>
      </c>
      <c r="F21" s="5">
        <f ca="1">SUMIFS(Data!$AB$4:$AB$273,Data!$U$4:$U$273,A21)</f>
        <v>0</v>
      </c>
      <c r="G21" s="5">
        <f ca="1">SUMIFS(Data!$AC$4:$AC$273,Data!$U$4:$U$273,A21)</f>
        <v>1</v>
      </c>
      <c r="H21" s="95" t="str">
        <f>IFERROR(_xlfn.SINGLE(_xlfn.XLOOKUP(A21, Data!$D$4:$D$75, Data!$C$4:$C$75, "")), "")</f>
        <v>Jason</v>
      </c>
      <c r="I21" s="5">
        <f ca="1">IF(H21 = "", "", IFERROR(_xlfn.SINGLE(_xlfn.XLOOKUP(H21, 'Current Player'!$A$4:$A$11, _xlfn.SINGLE('Current Player'!$C$4:$C$11) / _xlfn.SINGLE('Current Player'!$B$4:$B$11), 0)), 0))</f>
        <v>0</v>
      </c>
      <c r="J21" s="5" t="str">
        <f ca="1">IF(AND(H21&lt;&gt;"",H21=INDEX(Bracket!$B$18:$B$25,MATCH("1st",Bracket!$A$18:$A$25,0))),"Yes","")</f>
        <v>Yes</v>
      </c>
      <c r="K21" s="18">
        <f ca="1">IF($A21="","",SUMIFS('Current Char Stats'!$N$4:$N$273,'Current Char Stats'!$B$4:$B$273,$A21))</f>
        <v>0</v>
      </c>
      <c r="L21" s="18">
        <f ca="1">IF($A21="","",SUMIFS('Current Char Stats'!$O$4:$O$273,'Current Char Stats'!$B$4:$B$273,$A21))</f>
        <v>0</v>
      </c>
      <c r="M21" s="18">
        <f ca="1">IF($A21="","",SUMIFS('Current Char Stats'!$P$4:$P$273,'Current Char Stats'!$B$4:$B$273,$A21))</f>
        <v>0</v>
      </c>
      <c r="N21" s="18">
        <f ca="1">IF($A21="","",SUMIFS('Current Char Stats'!$Q$4:$Q$273,'Current Char Stats'!$B$4:$B$273,$A21))</f>
        <v>0</v>
      </c>
      <c r="O21" s="18">
        <f ca="1">IF($A21="","",SUMIFS('Current Char Stats'!$R$4:$R$273,'Current Char Stats'!$B$4:$B$273,$A21))</f>
        <v>1</v>
      </c>
      <c r="P21" s="18">
        <f ca="1">IF($A21="","",SUMIFS('Current Char Stats'!$S$4:$S$273,'Current Char Stats'!$B$4:$B$273,$A21))</f>
        <v>1</v>
      </c>
      <c r="Q21" s="18">
        <f ca="1">COUNTIF(Bracket!$K$6:$K$20,A21)</f>
        <v>0</v>
      </c>
      <c r="R21" s="18">
        <f ca="1">COUNTIFS(Bracket!$K$6:$K$20,A21,Bracket!$G$6:$G$20,"CG-*")</f>
        <v>0</v>
      </c>
      <c r="S21" s="18">
        <f ca="1">IF($A21="","",SUMIFS('Current Char Stats'!$T$4:$T$273,'Current Char Stats'!$B$4:$B$273,$A21))</f>
        <v>0</v>
      </c>
      <c r="T21" s="18">
        <f ca="1">IF($A21="","",SUMIFS('Current Char Stats'!$U$4:$U$273,'Current Char Stats'!$B$4:$B$273,$A21))</f>
        <v>0</v>
      </c>
      <c r="U21" s="18" cm="1">
        <f t="array" aca="1" ref="U21" ca="1">IF($A21="","",_xlfn.LET(_xlpm.rawIP,SUMPRODUCT(--(Data!$AM$4:$AM$183=$A21),IFERROR(Data!$AN$4:$AN$183,0)),IF(_xlpm.rawIP=0,0,INT(_xlpm.rawIP)+MOD(ROUND(_xlpm.rawIP*3,0),3)/10)))</f>
        <v>0</v>
      </c>
      <c r="V21" s="18">
        <f ca="1">IF($A21="","",SUMIFS('Current Char Stats'!$J$4:$J$273,'Current Char Stats'!$B$4:$B$273,$A21))</f>
        <v>0</v>
      </c>
      <c r="W21" s="18" cm="1">
        <f t="array" aca="1" ref="W21" ca="1">IF($A21="","",_xlfn.LET(_xlpm.rawIP,SUMPRODUCT(--(Data!$AM$4:$AM$183=$A21),IFERROR(Data!$AN$4:$AN$183,0)),IF(_xlpm.rawIP=0,0,V21*3/_xlpm.rawIP)))</f>
        <v>0</v>
      </c>
      <c r="X21" s="18">
        <f ca="1">IF($A21="","",SUMIFS('Current Char Stats'!$V$4:$V$273,'Current Char Stats'!$B$4:$B$273,$A21))</f>
        <v>0</v>
      </c>
      <c r="Y21" s="18">
        <f ca="1">IF($A21="","",SUMIFS('Current Char Stats'!$W$4:$W$273,'Current Char Stats'!$B$4:$B$273,$A21))</f>
        <v>0</v>
      </c>
      <c r="Z21" s="18">
        <f ca="1">IF($A21="","",SUMIFS('Current Char Stats'!$X$4:$X$273,'Current Char Stats'!$B$4:$B$273,$A21))</f>
        <v>0</v>
      </c>
      <c r="AA21" s="18">
        <f ca="1">IF($A21="","",SUMIFS('Current Char Stats'!$Y$4:$Y$273,'Current Char Stats'!$B$4:$B$273,$A21))</f>
        <v>0</v>
      </c>
      <c r="AB21" s="18">
        <f ca="1">IF($A21="","",SUMIFS('Current Char Stats'!$Z$4:$Z$273,'Current Char Stats'!$B$4:$B$273,$A21))</f>
        <v>0</v>
      </c>
      <c r="AC21" s="18">
        <f ca="1">IF($A21="","",SUMIFS('Current Char Stats'!$AA$4:$AA$273,'Current Char Stats'!$B$4:$B$273,$A21))</f>
        <v>0</v>
      </c>
      <c r="AD21" s="18">
        <f ca="1">IF($A21="","",SUMIFS('Current Char Stats'!$AB$4:$AB$273,'Current Char Stats'!$B$4:$B$273,$A21))</f>
        <v>0</v>
      </c>
      <c r="AE21" s="18">
        <f ca="1">IF($A21="","",SUMIFS('Current Char Stats'!$AC$4:$AC$273,'Current Char Stats'!$B$4:$B$273,$A21))</f>
        <v>0</v>
      </c>
      <c r="AF21" s="18" cm="1">
        <f t="array" aca="1" ref="AF21" ca="1">IF($A21="","",_xlfn.LET(_xlpm.rawIP,SUMPRODUCT(--(Data!$AM$4:$AM$183=$A21),IFERROR(Data!$AN$4:$AN$183,0)),IF(_xlpm.rawIP=0,0,(X21+Z21)/_xlpm.rawIP)))</f>
        <v>0</v>
      </c>
      <c r="AG21" s="18">
        <f ca="1">IF($A21="","",SUMIFS('Current Char Stats'!$AE$4:$AE$273,'Current Char Stats'!$B$4:$B$273,$A21))</f>
        <v>0</v>
      </c>
    </row>
    <row r="22" spans="1:33">
      <c r="A22" s="4" t="s">
        <v>56</v>
      </c>
      <c r="B22" s="5">
        <f>COUNTIF(Data!$D$4:$D$75,A22)</f>
        <v>1</v>
      </c>
      <c r="C22" s="5">
        <f ca="1">SUMIFS(Data!$W$4:$W$273,Data!$U$4:$U$273,A22)</f>
        <v>4</v>
      </c>
      <c r="D22" s="5">
        <f ca="1">SUMIFS(Data!$Y$4:$Y$273,Data!$U$4:$U$273,A22)</f>
        <v>1</v>
      </c>
      <c r="E22" s="5">
        <f ca="1">IF(C22=0,0,D22/C22)</f>
        <v>0.25</v>
      </c>
      <c r="F22" s="5">
        <f ca="1">SUMIFS(Data!$AB$4:$AB$273,Data!$U$4:$U$273,A22)</f>
        <v>1</v>
      </c>
      <c r="G22" s="5">
        <f ca="1">SUMIFS(Data!$AC$4:$AC$273,Data!$U$4:$U$273,A22)</f>
        <v>2</v>
      </c>
      <c r="H22" s="95" t="str">
        <f>IFERROR(_xlfn.SINGLE(_xlfn.XLOOKUP(A22, Data!$D$4:$D$75, Data!$C$4:$C$75, "")), "")</f>
        <v>Aidan</v>
      </c>
      <c r="I22" s="5">
        <f ca="1">IF(H22 = "", "", IFERROR(_xlfn.SINGLE(_xlfn.XLOOKUP(H22, 'Current Player'!$A$4:$A$11, _xlfn.SINGLE('Current Player'!$C$4:$C$11) / _xlfn.SINGLE('Current Player'!$B$4:$B$11), 0)), 0))</f>
        <v>0</v>
      </c>
      <c r="J22" s="5" t="str">
        <f ca="1">IF(AND(H22&lt;&gt;"",H22=INDEX(Bracket!$B$18:$B$25,MATCH("1st",Bracket!$A$18:$A$25,0))),"Yes","")</f>
        <v/>
      </c>
      <c r="K22" s="18">
        <f ca="1">IF($A22="","",SUMIFS('Current Char Stats'!$N$4:$N$273,'Current Char Stats'!$B$4:$B$273,$A22))</f>
        <v>1</v>
      </c>
      <c r="L22" s="18">
        <f ca="1">IF($A22="","",SUMIFS('Current Char Stats'!$O$4:$O$273,'Current Char Stats'!$B$4:$B$273,$A22))</f>
        <v>0</v>
      </c>
      <c r="M22" s="18">
        <f ca="1">IF($A22="","",SUMIFS('Current Char Stats'!$P$4:$P$273,'Current Char Stats'!$B$4:$B$273,$A22))</f>
        <v>0</v>
      </c>
      <c r="N22" s="18">
        <f ca="1">IF($A22="","",SUMIFS('Current Char Stats'!$Q$4:$Q$273,'Current Char Stats'!$B$4:$B$273,$A22))</f>
        <v>0</v>
      </c>
      <c r="O22" s="18">
        <f ca="1">IF($A22="","",SUMIFS('Current Char Stats'!$R$4:$R$273,'Current Char Stats'!$B$4:$B$273,$A22))</f>
        <v>0</v>
      </c>
      <c r="P22" s="18">
        <f ca="1">IF($A22="","",SUMIFS('Current Char Stats'!$S$4:$S$273,'Current Char Stats'!$B$4:$B$273,$A22))</f>
        <v>0</v>
      </c>
      <c r="Q22" s="18">
        <f ca="1">COUNTIF(Bracket!$K$6:$K$20,A22)</f>
        <v>0</v>
      </c>
      <c r="R22" s="18">
        <f ca="1">COUNTIFS(Bracket!$K$6:$K$20,A22,Bracket!$G$6:$G$20,"CG-*")</f>
        <v>0</v>
      </c>
      <c r="S22" s="18">
        <f ca="1">IF($A22="","",SUMIFS('Current Char Stats'!$T$4:$T$273,'Current Char Stats'!$B$4:$B$273,$A22))</f>
        <v>0</v>
      </c>
      <c r="T22" s="18">
        <f ca="1">IF($A22="","",SUMIFS('Current Char Stats'!$U$4:$U$273,'Current Char Stats'!$B$4:$B$273,$A22))</f>
        <v>0</v>
      </c>
      <c r="U22" s="18" cm="1">
        <f t="array" aca="1" ref="U22" ca="1">IF($A22="","",_xlfn.LET(_xlpm.rawIP,SUMPRODUCT(--(Data!$AM$4:$AM$183=$A22),IFERROR(Data!$AN$4:$AN$183,0)),IF(_xlpm.rawIP=0,0,INT(_xlpm.rawIP)+MOD(ROUND(_xlpm.rawIP*3,0),3)/10)))</f>
        <v>0</v>
      </c>
      <c r="V22" s="18">
        <f ca="1">IF($A22="","",SUMIFS('Current Char Stats'!$J$4:$J$273,'Current Char Stats'!$B$4:$B$273,$A22))</f>
        <v>0</v>
      </c>
      <c r="W22" s="18" cm="1">
        <f t="array" aca="1" ref="W22" ca="1">IF($A22="","",_xlfn.LET(_xlpm.rawIP,SUMPRODUCT(--(Data!$AM$4:$AM$183=$A22),IFERROR(Data!$AN$4:$AN$183,0)),IF(_xlpm.rawIP=0,0,V22*3/_xlpm.rawIP)))</f>
        <v>0</v>
      </c>
      <c r="X22" s="18">
        <f ca="1">IF($A22="","",SUMIFS('Current Char Stats'!$V$4:$V$273,'Current Char Stats'!$B$4:$B$273,$A22))</f>
        <v>0</v>
      </c>
      <c r="Y22" s="18">
        <f ca="1">IF($A22="","",SUMIFS('Current Char Stats'!$W$4:$W$273,'Current Char Stats'!$B$4:$B$273,$A22))</f>
        <v>0</v>
      </c>
      <c r="Z22" s="18">
        <f ca="1">IF($A22="","",SUMIFS('Current Char Stats'!$X$4:$X$273,'Current Char Stats'!$B$4:$B$273,$A22))</f>
        <v>0</v>
      </c>
      <c r="AA22" s="18">
        <f ca="1">IF($A22="","",SUMIFS('Current Char Stats'!$Y$4:$Y$273,'Current Char Stats'!$B$4:$B$273,$A22))</f>
        <v>0</v>
      </c>
      <c r="AB22" s="18">
        <f ca="1">IF($A22="","",SUMIFS('Current Char Stats'!$Z$4:$Z$273,'Current Char Stats'!$B$4:$B$273,$A22))</f>
        <v>0</v>
      </c>
      <c r="AC22" s="18">
        <f ca="1">IF($A22="","",SUMIFS('Current Char Stats'!$AA$4:$AA$273,'Current Char Stats'!$B$4:$B$273,$A22))</f>
        <v>0</v>
      </c>
      <c r="AD22" s="18">
        <f ca="1">IF($A22="","",SUMIFS('Current Char Stats'!$AB$4:$AB$273,'Current Char Stats'!$B$4:$B$273,$A22))</f>
        <v>0</v>
      </c>
      <c r="AE22" s="18">
        <f ca="1">IF($A22="","",SUMIFS('Current Char Stats'!$AC$4:$AC$273,'Current Char Stats'!$B$4:$B$273,$A22))</f>
        <v>0</v>
      </c>
      <c r="AF22" s="18" cm="1">
        <f t="array" aca="1" ref="AF22" ca="1">IF($A22="","",_xlfn.LET(_xlpm.rawIP,SUMPRODUCT(--(Data!$AM$4:$AM$183=$A22),IFERROR(Data!$AN$4:$AN$183,0)),IF(_xlpm.rawIP=0,0,(X22+Z22)/_xlpm.rawIP)))</f>
        <v>0</v>
      </c>
      <c r="AG22" s="18">
        <f ca="1">IF($A22="","",SUMIFS('Current Char Stats'!$AE$4:$AE$273,'Current Char Stats'!$B$4:$B$273,$A22))</f>
        <v>0</v>
      </c>
    </row>
    <row r="23" spans="1:33">
      <c r="A23" s="4" t="s">
        <v>52</v>
      </c>
      <c r="B23" s="5">
        <f>COUNTIF(Data!$D$4:$D$75,A23)</f>
        <v>1</v>
      </c>
      <c r="C23" s="5">
        <f ca="1">SUMIFS(Data!$W$4:$W$273,Data!$U$4:$U$273,A23)</f>
        <v>2</v>
      </c>
      <c r="D23" s="5">
        <f ca="1">SUMIFS(Data!$Y$4:$Y$273,Data!$U$4:$U$273,A23)</f>
        <v>1</v>
      </c>
      <c r="E23" s="5">
        <f ca="1">IF(C23=0,0,D23/C23)</f>
        <v>0.5</v>
      </c>
      <c r="F23" s="5">
        <f ca="1">SUMIFS(Data!$AB$4:$AB$273,Data!$U$4:$U$273,A23)</f>
        <v>1</v>
      </c>
      <c r="G23" s="5">
        <f ca="1">SUMIFS(Data!$AC$4:$AC$273,Data!$U$4:$U$273,A23)</f>
        <v>2</v>
      </c>
      <c r="H23" s="93" t="str">
        <f>IFERROR(_xlfn.SINGLE(_xlfn.XLOOKUP(A23, Data!$D$4:$D$75, Data!$C$4:$C$75, "")), "")</f>
        <v>Justin</v>
      </c>
      <c r="I23" s="5">
        <f ca="1">IF(H23 = "", "", IFERROR(_xlfn.SINGLE(_xlfn.XLOOKUP(H23, 'Current Player'!$A$4:$A$11, _xlfn.SINGLE('Current Player'!$C$4:$C$11) / _xlfn.SINGLE('Current Player'!$B$4:$B$11), 0)), 0))</f>
        <v>0</v>
      </c>
      <c r="J23" s="5" t="str">
        <f ca="1">IF(AND(H23&lt;&gt;"",H23=INDEX(Bracket!$B$18:$B$25,MATCH("1st",Bracket!$A$18:$A$25,0))),"Yes","")</f>
        <v/>
      </c>
      <c r="K23" s="18">
        <f ca="1">IF($A23="","",SUMIFS('Current Char Stats'!$N$4:$N$273,'Current Char Stats'!$B$4:$B$273,$A23))</f>
        <v>1</v>
      </c>
      <c r="L23" s="18">
        <f ca="1">IF($A23="","",SUMIFS('Current Char Stats'!$O$4:$O$273,'Current Char Stats'!$B$4:$B$273,$A23))</f>
        <v>0</v>
      </c>
      <c r="M23" s="18">
        <f ca="1">IF($A23="","",SUMIFS('Current Char Stats'!$P$4:$P$273,'Current Char Stats'!$B$4:$B$273,$A23))</f>
        <v>0</v>
      </c>
      <c r="N23" s="18">
        <f ca="1">IF($A23="","",SUMIFS('Current Char Stats'!$Q$4:$Q$273,'Current Char Stats'!$B$4:$B$273,$A23))</f>
        <v>0</v>
      </c>
      <c r="O23" s="18">
        <f ca="1">IF($A23="","",SUMIFS('Current Char Stats'!$R$4:$R$273,'Current Char Stats'!$B$4:$B$273,$A23))</f>
        <v>1</v>
      </c>
      <c r="P23" s="18">
        <f ca="1">IF($A23="","",SUMIFS('Current Char Stats'!$S$4:$S$273,'Current Char Stats'!$B$4:$B$273,$A23))</f>
        <v>0</v>
      </c>
      <c r="Q23" s="18">
        <f ca="1">COUNTIF(Bracket!$K$6:$K$20,A23)</f>
        <v>0</v>
      </c>
      <c r="R23" s="18">
        <f ca="1">COUNTIFS(Bracket!$K$6:$K$20,A23,Bracket!$G$6:$G$20,"CG-*")</f>
        <v>0</v>
      </c>
      <c r="S23" s="18">
        <f ca="1">IF($A23="","",SUMIFS('Current Char Stats'!$T$4:$T$273,'Current Char Stats'!$B$4:$B$273,$A23))</f>
        <v>1</v>
      </c>
      <c r="T23" s="18">
        <f ca="1">IF($A23="","",SUMIFS('Current Char Stats'!$U$4:$U$273,'Current Char Stats'!$B$4:$B$273,$A23))</f>
        <v>0</v>
      </c>
      <c r="U23" s="18" cm="1">
        <f t="array" aca="1" ref="U23" ca="1">IF($A23="","",_xlfn.LET(_xlpm.rawIP,SUMPRODUCT(--(Data!$AM$4:$AM$183=$A23),IFERROR(Data!$AN$4:$AN$183,0)),IF(_xlpm.rawIP=0,0,INT(_xlpm.rawIP)+MOD(ROUND(_xlpm.rawIP*3,0),3)/10)))</f>
        <v>0</v>
      </c>
      <c r="V23" s="18">
        <f ca="1">IF($A23="","",SUMIFS('Current Char Stats'!$J$4:$J$273,'Current Char Stats'!$B$4:$B$273,$A23))</f>
        <v>0</v>
      </c>
      <c r="W23" s="18" cm="1">
        <f t="array" aca="1" ref="W23" ca="1">IF($A23="","",_xlfn.LET(_xlpm.rawIP,SUMPRODUCT(--(Data!$AM$4:$AM$183=$A23),IFERROR(Data!$AN$4:$AN$183,0)),IF(_xlpm.rawIP=0,0,V23*3/_xlpm.rawIP)))</f>
        <v>0</v>
      </c>
      <c r="X23" s="18">
        <f ca="1">IF($A23="","",SUMIFS('Current Char Stats'!$V$4:$V$273,'Current Char Stats'!$B$4:$B$273,$A23))</f>
        <v>0</v>
      </c>
      <c r="Y23" s="18">
        <f ca="1">IF($A23="","",SUMIFS('Current Char Stats'!$W$4:$W$273,'Current Char Stats'!$B$4:$B$273,$A23))</f>
        <v>0</v>
      </c>
      <c r="Z23" s="18">
        <f ca="1">IF($A23="","",SUMIFS('Current Char Stats'!$X$4:$X$273,'Current Char Stats'!$B$4:$B$273,$A23))</f>
        <v>0</v>
      </c>
      <c r="AA23" s="18">
        <f ca="1">IF($A23="","",SUMIFS('Current Char Stats'!$Y$4:$Y$273,'Current Char Stats'!$B$4:$B$273,$A23))</f>
        <v>0</v>
      </c>
      <c r="AB23" s="18">
        <f ca="1">IF($A23="","",SUMIFS('Current Char Stats'!$Z$4:$Z$273,'Current Char Stats'!$B$4:$B$273,$A23))</f>
        <v>0</v>
      </c>
      <c r="AC23" s="18">
        <f ca="1">IF($A23="","",SUMIFS('Current Char Stats'!$AA$4:$AA$273,'Current Char Stats'!$B$4:$B$273,$A23))</f>
        <v>0</v>
      </c>
      <c r="AD23" s="18">
        <f ca="1">IF($A23="","",SUMIFS('Current Char Stats'!$AB$4:$AB$273,'Current Char Stats'!$B$4:$B$273,$A23))</f>
        <v>0</v>
      </c>
      <c r="AE23" s="18">
        <f ca="1">IF($A23="","",SUMIFS('Current Char Stats'!$AC$4:$AC$273,'Current Char Stats'!$B$4:$B$273,$A23))</f>
        <v>0</v>
      </c>
      <c r="AF23" s="18" cm="1">
        <f t="array" aca="1" ref="AF23" ca="1">IF($A23="","",_xlfn.LET(_xlpm.rawIP,SUMPRODUCT(--(Data!$AM$4:$AM$183=$A23),IFERROR(Data!$AN$4:$AN$183,0)),IF(_xlpm.rawIP=0,0,(X23+Z23)/_xlpm.rawIP)))</f>
        <v>0</v>
      </c>
      <c r="AG23" s="18">
        <f ca="1">IF($A23="","",SUMIFS('Current Char Stats'!$AE$4:$AE$273,'Current Char Stats'!$B$4:$B$273,$A23))</f>
        <v>0</v>
      </c>
    </row>
    <row r="24" spans="1:33">
      <c r="A24" s="4" t="s">
        <v>58</v>
      </c>
      <c r="B24" s="5">
        <f>COUNTIF(Data!$D$4:$D$75,A24)</f>
        <v>1</v>
      </c>
      <c r="C24" s="5">
        <f ca="1">SUMIFS(Data!$W$4:$W$273,Data!$U$4:$U$273,A24)</f>
        <v>5</v>
      </c>
      <c r="D24" s="5">
        <f ca="1">SUMIFS(Data!$Y$4:$Y$273,Data!$U$4:$U$273,A24)</f>
        <v>2</v>
      </c>
      <c r="E24" s="5">
        <f ca="1">IF(C24=0,0,D24/C24)</f>
        <v>0.4</v>
      </c>
      <c r="F24" s="5">
        <f ca="1">SUMIFS(Data!$AB$4:$AB$273,Data!$U$4:$U$273,A24)</f>
        <v>1</v>
      </c>
      <c r="G24" s="5">
        <f ca="1">SUMIFS(Data!$AC$4:$AC$273,Data!$U$4:$U$273,A24)</f>
        <v>1</v>
      </c>
      <c r="H24" s="92" t="str">
        <f>IFERROR(_xlfn.SINGLE(_xlfn.XLOOKUP(A24, Data!$D$4:$D$75, Data!$C$4:$C$75, "")), "")</f>
        <v>May</v>
      </c>
      <c r="I24" s="5">
        <f ca="1">IF(H24 = "", "", IFERROR(_xlfn.SINGLE(_xlfn.XLOOKUP(H24, 'Current Player'!$A$4:$A$11, _xlfn.SINGLE('Current Player'!$C$4:$C$11) / _xlfn.SINGLE('Current Player'!$B$4:$B$11), 0)), 0))</f>
        <v>0</v>
      </c>
      <c r="J24" s="5" t="str">
        <f ca="1">IF(AND(H24&lt;&gt;"",H24=INDEX(Bracket!$B$18:$B$25,MATCH("1st",Bracket!$A$18:$A$25,0))),"Yes","")</f>
        <v/>
      </c>
      <c r="K24" s="18">
        <f ca="1">IF($A24="","",SUMIFS('Current Char Stats'!$N$4:$N$273,'Current Char Stats'!$B$4:$B$273,$A24))</f>
        <v>1</v>
      </c>
      <c r="L24" s="18">
        <f ca="1">IF($A24="","",SUMIFS('Current Char Stats'!$O$4:$O$273,'Current Char Stats'!$B$4:$B$273,$A24))</f>
        <v>0</v>
      </c>
      <c r="M24" s="18">
        <f ca="1">IF($A24="","",SUMIFS('Current Char Stats'!$P$4:$P$273,'Current Char Stats'!$B$4:$B$273,$A24))</f>
        <v>0</v>
      </c>
      <c r="N24" s="18">
        <f ca="1">IF($A24="","",SUMIFS('Current Char Stats'!$Q$4:$Q$273,'Current Char Stats'!$B$4:$B$273,$A24))</f>
        <v>0</v>
      </c>
      <c r="O24" s="18">
        <f ca="1">IF($A24="","",SUMIFS('Current Char Stats'!$R$4:$R$273,'Current Char Stats'!$B$4:$B$273,$A24))</f>
        <v>0</v>
      </c>
      <c r="P24" s="18">
        <f ca="1">IF($A24="","",SUMIFS('Current Char Stats'!$S$4:$S$273,'Current Char Stats'!$B$4:$B$273,$A24))</f>
        <v>0</v>
      </c>
      <c r="Q24" s="18">
        <f ca="1">COUNTIF(Bracket!$K$6:$K$20,A24)</f>
        <v>1</v>
      </c>
      <c r="R24" s="18">
        <f ca="1">COUNTIFS(Bracket!$K$6:$K$20,A24,Bracket!$G$6:$G$20,"CG-*")</f>
        <v>0</v>
      </c>
      <c r="S24" s="18">
        <f ca="1">IF($A24="","",SUMIFS('Current Char Stats'!$T$4:$T$273,'Current Char Stats'!$B$4:$B$273,$A24))</f>
        <v>0</v>
      </c>
      <c r="T24" s="18">
        <f ca="1">IF($A24="","",SUMIFS('Current Char Stats'!$U$4:$U$273,'Current Char Stats'!$B$4:$B$273,$A24))</f>
        <v>0</v>
      </c>
      <c r="U24" s="18" cm="1">
        <f t="array" aca="1" ref="U24" ca="1">IF($A24="","",_xlfn.LET(_xlpm.rawIP,SUMPRODUCT(--(Data!$AM$4:$AM$183=$A24),IFERROR(Data!$AN$4:$AN$183,0)),IF(_xlpm.rawIP=0,0,INT(_xlpm.rawIP)+MOD(ROUND(_xlpm.rawIP*3,0),3)/10)))</f>
        <v>9</v>
      </c>
      <c r="V24" s="18">
        <f ca="1">IF($A24="","",SUMIFS('Current Char Stats'!$J$4:$J$273,'Current Char Stats'!$B$4:$B$273,$A24))</f>
        <v>2</v>
      </c>
      <c r="W24" s="18" cm="1">
        <f t="array" aca="1" ref="W24" ca="1">IF($A24="","",_xlfn.LET(_xlpm.rawIP,SUMPRODUCT(--(Data!$AM$4:$AM$183=$A24),IFERROR(Data!$AN$4:$AN$183,0)),IF(_xlpm.rawIP=0,0,V24*3/_xlpm.rawIP)))</f>
        <v>0.6666666666666666</v>
      </c>
      <c r="X24" s="18">
        <f ca="1">IF($A24="","",SUMIFS('Current Char Stats'!$V$4:$V$273,'Current Char Stats'!$B$4:$B$273,$A24))</f>
        <v>10</v>
      </c>
      <c r="Y24" s="18">
        <f ca="1">IF($A24="","",SUMIFS('Current Char Stats'!$W$4:$W$273,'Current Char Stats'!$B$4:$B$273,$A24))</f>
        <v>2</v>
      </c>
      <c r="Z24" s="18">
        <f ca="1">IF($A24="","",SUMIFS('Current Char Stats'!$X$4:$X$273,'Current Char Stats'!$B$4:$B$273,$A24))</f>
        <v>0</v>
      </c>
      <c r="AA24" s="18">
        <f ca="1">IF($A24="","",SUMIFS('Current Char Stats'!$Y$4:$Y$273,'Current Char Stats'!$B$4:$B$273,$A24))</f>
        <v>7</v>
      </c>
      <c r="AB24" s="18">
        <f ca="1">IF($A24="","",SUMIFS('Current Char Stats'!$Z$4:$Z$273,'Current Char Stats'!$B$4:$B$273,$A24))</f>
        <v>1</v>
      </c>
      <c r="AC24" s="18">
        <f ca="1">IF($A24="","",SUMIFS('Current Char Stats'!$AA$4:$AA$273,'Current Char Stats'!$B$4:$B$273,$A24))</f>
        <v>0</v>
      </c>
      <c r="AD24" s="18">
        <f ca="1">IF($A24="","",SUMIFS('Current Char Stats'!$AB$4:$AB$273,'Current Char Stats'!$B$4:$B$273,$A24))</f>
        <v>1</v>
      </c>
      <c r="AE24" s="18">
        <f ca="1">IF($A24="","",SUMIFS('Current Char Stats'!$AC$4:$AC$273,'Current Char Stats'!$B$4:$B$273,$A24))</f>
        <v>3</v>
      </c>
      <c r="AF24" s="18" cm="1">
        <f t="array" aca="1" ref="AF24" ca="1">IF($A24="","",_xlfn.LET(_xlpm.rawIP,SUMPRODUCT(--(Data!$AM$4:$AM$183=$A24),IFERROR(Data!$AN$4:$AN$183,0)),IF(_xlpm.rawIP=0,0,(X24+Z24)/_xlpm.rawIP)))</f>
        <v>1.1111111111111112</v>
      </c>
      <c r="AG24" s="18">
        <f ca="1">IF($A24="","",SUMIFS('Current Char Stats'!$AE$4:$AE$273,'Current Char Stats'!$B$4:$B$273,$A24))</f>
        <v>35</v>
      </c>
    </row>
    <row r="25" spans="1:33">
      <c r="A25" s="4" t="s">
        <v>89</v>
      </c>
      <c r="B25" s="5">
        <f>COUNTIF(Data!$D$4:$D$75,A25)</f>
        <v>1</v>
      </c>
      <c r="C25" s="5">
        <f ca="1">SUMIFS(Data!$W$4:$W$273,Data!$U$4:$U$273,A25)</f>
        <v>4</v>
      </c>
      <c r="D25" s="5">
        <f ca="1">SUMIFS(Data!$Y$4:$Y$273,Data!$U$4:$U$273,A25)</f>
        <v>1</v>
      </c>
      <c r="E25" s="5">
        <f ca="1">IF(C25=0,0,D25/C25)</f>
        <v>0.25</v>
      </c>
      <c r="F25" s="5">
        <f ca="1">SUMIFS(Data!$AB$4:$AB$273,Data!$U$4:$U$273,A25)</f>
        <v>0</v>
      </c>
      <c r="G25" s="5">
        <f ca="1">SUMIFS(Data!$AC$4:$AC$273,Data!$U$4:$U$273,A25)</f>
        <v>0</v>
      </c>
      <c r="H25" s="90" t="str">
        <f>IFERROR(_xlfn.SINGLE(_xlfn.XLOOKUP(A25, Data!$D$4:$D$75, Data!$C$4:$C$75, "")), "")</f>
        <v>Justin</v>
      </c>
      <c r="I25" s="5">
        <f ca="1">IF(H25 = "", "", IFERROR(_xlfn.SINGLE(_xlfn.XLOOKUP(H25, 'Current Player'!$A$4:$A$11, _xlfn.SINGLE('Current Player'!$C$4:$C$11) / _xlfn.SINGLE('Current Player'!$B$4:$B$11), 0)), 0))</f>
        <v>0</v>
      </c>
      <c r="J25" s="5" t="str">
        <f ca="1">IF(AND(H25&lt;&gt;"",H25=INDEX(Bracket!$B$18:$B$25,MATCH("1st",Bracket!$A$18:$A$25,0))),"Yes","")</f>
        <v/>
      </c>
      <c r="K25" s="18">
        <f ca="1">IF($A25="","",SUMIFS('Current Char Stats'!$N$4:$N$273,'Current Char Stats'!$B$4:$B$273,$A25))</f>
        <v>1</v>
      </c>
      <c r="L25" s="18">
        <f ca="1">IF($A25="","",SUMIFS('Current Char Stats'!$O$4:$O$273,'Current Char Stats'!$B$4:$B$273,$A25))</f>
        <v>0</v>
      </c>
      <c r="M25" s="18">
        <f ca="1">IF($A25="","",SUMIFS('Current Char Stats'!$P$4:$P$273,'Current Char Stats'!$B$4:$B$273,$A25))</f>
        <v>1</v>
      </c>
      <c r="N25" s="18">
        <f ca="1">IF($A25="","",SUMIFS('Current Char Stats'!$Q$4:$Q$273,'Current Char Stats'!$B$4:$B$273,$A25))</f>
        <v>0</v>
      </c>
      <c r="O25" s="18">
        <f ca="1">IF($A25="","",SUMIFS('Current Char Stats'!$R$4:$R$273,'Current Char Stats'!$B$4:$B$273,$A25))</f>
        <v>2</v>
      </c>
      <c r="P25" s="18">
        <f ca="1">IF($A25="","",SUMIFS('Current Char Stats'!$S$4:$S$273,'Current Char Stats'!$B$4:$B$273,$A25))</f>
        <v>0</v>
      </c>
      <c r="Q25" s="18">
        <f ca="1">COUNTIF(Bracket!$K$6:$K$20,A25)</f>
        <v>0</v>
      </c>
      <c r="R25" s="18">
        <f ca="1">COUNTIFS(Bracket!$K$6:$K$20,A25,Bracket!$G$6:$G$20,"CG-*")</f>
        <v>0</v>
      </c>
      <c r="S25" s="18">
        <f ca="1">IF($A25="","",SUMIFS('Current Char Stats'!$T$4:$T$273,'Current Char Stats'!$B$4:$B$273,$A25))</f>
        <v>0</v>
      </c>
      <c r="T25" s="18">
        <f ca="1">IF($A25="","",SUMIFS('Current Char Stats'!$U$4:$U$273,'Current Char Stats'!$B$4:$B$273,$A25))</f>
        <v>0</v>
      </c>
      <c r="U25" s="18" cm="1">
        <f t="array" aca="1" ref="U25" ca="1">IF($A25="","",_xlfn.LET(_xlpm.rawIP,SUMPRODUCT(--(Data!$AM$4:$AM$183=$A25),IFERROR(Data!$AN$4:$AN$183,0)),IF(_xlpm.rawIP=0,0,INT(_xlpm.rawIP)+MOD(ROUND(_xlpm.rawIP*3,0),3)/10)))</f>
        <v>0</v>
      </c>
      <c r="V25" s="18">
        <f ca="1">IF($A25="","",SUMIFS('Current Char Stats'!$J$4:$J$273,'Current Char Stats'!$B$4:$B$273,$A25))</f>
        <v>0</v>
      </c>
      <c r="W25" s="18" cm="1">
        <f t="array" aca="1" ref="W25" ca="1">IF($A25="","",_xlfn.LET(_xlpm.rawIP,SUMPRODUCT(--(Data!$AM$4:$AM$183=$A25),IFERROR(Data!$AN$4:$AN$183,0)),IF(_xlpm.rawIP=0,0,V25*3/_xlpm.rawIP)))</f>
        <v>0</v>
      </c>
      <c r="X25" s="18">
        <f ca="1">IF($A25="","",SUMIFS('Current Char Stats'!$V$4:$V$273,'Current Char Stats'!$B$4:$B$273,$A25))</f>
        <v>0</v>
      </c>
      <c r="Y25" s="18">
        <f ca="1">IF($A25="","",SUMIFS('Current Char Stats'!$W$4:$W$273,'Current Char Stats'!$B$4:$B$273,$A25))</f>
        <v>0</v>
      </c>
      <c r="Z25" s="18">
        <f ca="1">IF($A25="","",SUMIFS('Current Char Stats'!$X$4:$X$273,'Current Char Stats'!$B$4:$B$273,$A25))</f>
        <v>0</v>
      </c>
      <c r="AA25" s="18">
        <f ca="1">IF($A25="","",SUMIFS('Current Char Stats'!$Y$4:$Y$273,'Current Char Stats'!$B$4:$B$273,$A25))</f>
        <v>0</v>
      </c>
      <c r="AB25" s="18">
        <f ca="1">IF($A25="","",SUMIFS('Current Char Stats'!$Z$4:$Z$273,'Current Char Stats'!$B$4:$B$273,$A25))</f>
        <v>0</v>
      </c>
      <c r="AC25" s="18">
        <f ca="1">IF($A25="","",SUMIFS('Current Char Stats'!$AA$4:$AA$273,'Current Char Stats'!$B$4:$B$273,$A25))</f>
        <v>0</v>
      </c>
      <c r="AD25" s="18">
        <f ca="1">IF($A25="","",SUMIFS('Current Char Stats'!$AB$4:$AB$273,'Current Char Stats'!$B$4:$B$273,$A25))</f>
        <v>0</v>
      </c>
      <c r="AE25" s="18">
        <f ca="1">IF($A25="","",SUMIFS('Current Char Stats'!$AC$4:$AC$273,'Current Char Stats'!$B$4:$B$273,$A25))</f>
        <v>0</v>
      </c>
      <c r="AF25" s="18" cm="1">
        <f t="array" aca="1" ref="AF25" ca="1">IF($A25="","",_xlfn.LET(_xlpm.rawIP,SUMPRODUCT(--(Data!$AM$4:$AM$183=$A25),IFERROR(Data!$AN$4:$AN$183,0)),IF(_xlpm.rawIP=0,0,(X25+Z25)/_xlpm.rawIP)))</f>
        <v>0</v>
      </c>
      <c r="AG25" s="18">
        <f ca="1">IF($A25="","",SUMIFS('Current Char Stats'!$AE$4:$AE$273,'Current Char Stats'!$B$4:$B$273,$A25))</f>
        <v>0</v>
      </c>
    </row>
    <row r="26" spans="1:33">
      <c r="A26" s="4" t="s">
        <v>90</v>
      </c>
      <c r="B26" s="5">
        <f>COUNTIF(Data!$D$4:$D$75,A26)</f>
        <v>1</v>
      </c>
      <c r="C26" s="5">
        <f ca="1">SUMIFS(Data!$W$4:$W$273,Data!$U$4:$U$273,A26)</f>
        <v>3</v>
      </c>
      <c r="D26" s="5">
        <f ca="1">SUMIFS(Data!$Y$4:$Y$273,Data!$U$4:$U$273,A26)</f>
        <v>0</v>
      </c>
      <c r="E26" s="5">
        <f ca="1">IF(C26=0,0,D26/C26)</f>
        <v>0.0</v>
      </c>
      <c r="F26" s="5">
        <f ca="1">SUMIFS(Data!$AB$4:$AB$273,Data!$U$4:$U$273,A26)</f>
        <v>0</v>
      </c>
      <c r="G26" s="5">
        <f ca="1">SUMIFS(Data!$AC$4:$AC$273,Data!$U$4:$U$273,A26)</f>
        <v>0</v>
      </c>
      <c r="H26" s="89" t="str">
        <f>IFERROR(_xlfn.SINGLE(_xlfn.XLOOKUP(A26, Data!$D$4:$D$75, Data!$C$4:$C$75, "")), "")</f>
        <v>Donovan</v>
      </c>
      <c r="I26" s="5">
        <f ca="1">IF(H26 = "", "", IFERROR(_xlfn.SINGLE(_xlfn.XLOOKUP(H26, 'Current Player'!$A$4:$A$11, _xlfn.SINGLE('Current Player'!$C$4:$C$11) / _xlfn.SINGLE('Current Player'!$B$4:$B$11), 0)), 0))</f>
        <v>0</v>
      </c>
      <c r="J26" s="5" t="str">
        <f ca="1">IF(AND(H26&lt;&gt;"",H26=INDEX(Bracket!$B$18:$B$25,MATCH("1st",Bracket!$A$18:$A$25,0))),"Yes","")</f>
        <v/>
      </c>
      <c r="K26" s="18">
        <f ca="1">IF($A26="","",SUMIFS('Current Char Stats'!$N$4:$N$273,'Current Char Stats'!$B$4:$B$273,$A26))</f>
        <v>0</v>
      </c>
      <c r="L26" s="18">
        <f ca="1">IF($A26="","",SUMIFS('Current Char Stats'!$O$4:$O$273,'Current Char Stats'!$B$4:$B$273,$A26))</f>
        <v>0</v>
      </c>
      <c r="M26" s="18">
        <f ca="1">IF($A26="","",SUMIFS('Current Char Stats'!$P$4:$P$273,'Current Char Stats'!$B$4:$B$273,$A26))</f>
        <v>0</v>
      </c>
      <c r="N26" s="18">
        <f ca="1">IF($A26="","",SUMIFS('Current Char Stats'!$Q$4:$Q$273,'Current Char Stats'!$B$4:$B$273,$A26))</f>
        <v>0</v>
      </c>
      <c r="O26" s="18">
        <f ca="1">IF($A26="","",SUMIFS('Current Char Stats'!$R$4:$R$273,'Current Char Stats'!$B$4:$B$273,$A26))</f>
        <v>0</v>
      </c>
      <c r="P26" s="18">
        <f ca="1">IF($A26="","",SUMIFS('Current Char Stats'!$S$4:$S$273,'Current Char Stats'!$B$4:$B$273,$A26))</f>
        <v>0</v>
      </c>
      <c r="Q26" s="18">
        <f ca="1">COUNTIF(Bracket!$K$6:$K$20,A26)</f>
        <v>0</v>
      </c>
      <c r="R26" s="18">
        <f ca="1">COUNTIFS(Bracket!$K$6:$K$20,A26,Bracket!$G$6:$G$20,"CG-*")</f>
        <v>0</v>
      </c>
      <c r="S26" s="18">
        <f ca="1">IF($A26="","",SUMIFS('Current Char Stats'!$T$4:$T$273,'Current Char Stats'!$B$4:$B$273,$A26))</f>
        <v>0</v>
      </c>
      <c r="T26" s="18">
        <f ca="1">IF($A26="","",SUMIFS('Current Char Stats'!$U$4:$U$273,'Current Char Stats'!$B$4:$B$273,$A26))</f>
        <v>0</v>
      </c>
      <c r="U26" s="18" cm="1">
        <f t="array" aca="1" ref="U26" ca="1">IF($A26="","",_xlfn.LET(_xlpm.rawIP,SUMPRODUCT(--(Data!$AM$4:$AM$183=$A26),IFERROR(Data!$AN$4:$AN$183,0)),IF(_xlpm.rawIP=0,0,INT(_xlpm.rawIP)+MOD(ROUND(_xlpm.rawIP*3,0),3)/10)))</f>
        <v>0</v>
      </c>
      <c r="V26" s="18">
        <f ca="1">IF($A26="","",SUMIFS('Current Char Stats'!$J$4:$J$273,'Current Char Stats'!$B$4:$B$273,$A26))</f>
        <v>0</v>
      </c>
      <c r="W26" s="18" cm="1">
        <f t="array" aca="1" ref="W26" ca="1">IF($A26="","",_xlfn.LET(_xlpm.rawIP,SUMPRODUCT(--(Data!$AM$4:$AM$183=$A26),IFERROR(Data!$AN$4:$AN$183,0)),IF(_xlpm.rawIP=0,0,V26*3/_xlpm.rawIP)))</f>
        <v>0</v>
      </c>
      <c r="X26" s="18">
        <f ca="1">IF($A26="","",SUMIFS('Current Char Stats'!$V$4:$V$273,'Current Char Stats'!$B$4:$B$273,$A26))</f>
        <v>0</v>
      </c>
      <c r="Y26" s="18">
        <f ca="1">IF($A26="","",SUMIFS('Current Char Stats'!$W$4:$W$273,'Current Char Stats'!$B$4:$B$273,$A26))</f>
        <v>0</v>
      </c>
      <c r="Z26" s="18">
        <f ca="1">IF($A26="","",SUMIFS('Current Char Stats'!$X$4:$X$273,'Current Char Stats'!$B$4:$B$273,$A26))</f>
        <v>0</v>
      </c>
      <c r="AA26" s="18">
        <f ca="1">IF($A26="","",SUMIFS('Current Char Stats'!$Y$4:$Y$273,'Current Char Stats'!$B$4:$B$273,$A26))</f>
        <v>0</v>
      </c>
      <c r="AB26" s="18">
        <f ca="1">IF($A26="","",SUMIFS('Current Char Stats'!$Z$4:$Z$273,'Current Char Stats'!$B$4:$B$273,$A26))</f>
        <v>0</v>
      </c>
      <c r="AC26" s="18">
        <f ca="1">IF($A26="","",SUMIFS('Current Char Stats'!$AA$4:$AA$273,'Current Char Stats'!$B$4:$B$273,$A26))</f>
        <v>0</v>
      </c>
      <c r="AD26" s="18">
        <f ca="1">IF($A26="","",SUMIFS('Current Char Stats'!$AB$4:$AB$273,'Current Char Stats'!$B$4:$B$273,$A26))</f>
        <v>0</v>
      </c>
      <c r="AE26" s="18">
        <f ca="1">IF($A26="","",SUMIFS('Current Char Stats'!$AC$4:$AC$273,'Current Char Stats'!$B$4:$B$273,$A26))</f>
        <v>0</v>
      </c>
      <c r="AF26" s="18" cm="1">
        <f t="array" aca="1" ref="AF26" ca="1">IF($A26="","",_xlfn.LET(_xlpm.rawIP,SUMPRODUCT(--(Data!$AM$4:$AM$183=$A26),IFERROR(Data!$AN$4:$AN$183,0)),IF(_xlpm.rawIP=0,0,(X26+Z26)/_xlpm.rawIP)))</f>
        <v>0</v>
      </c>
      <c r="AG26" s="18">
        <f ca="1">IF($A26="","",SUMIFS('Current Char Stats'!$AE$4:$AE$273,'Current Char Stats'!$B$4:$B$273,$A26))</f>
        <v>0</v>
      </c>
    </row>
    <row r="27" spans="1:33">
      <c r="A27" s="4" t="s">
        <v>46</v>
      </c>
      <c r="B27" s="5">
        <f>COUNTIF(Data!$D$4:$D$75,A27)</f>
        <v>1</v>
      </c>
      <c r="C27" s="5">
        <f ca="1">SUMIFS(Data!$W$4:$W$273,Data!$U$4:$U$273,A27)</f>
        <v>5</v>
      </c>
      <c r="D27" s="5">
        <f ca="1">SUMIFS(Data!$Y$4:$Y$273,Data!$U$4:$U$273,A27)</f>
        <v>0</v>
      </c>
      <c r="E27" s="5">
        <f ca="1">IF(C27=0,0,D27/C27)</f>
        <v>0.0</v>
      </c>
      <c r="F27" s="5">
        <f ca="1">SUMIFS(Data!$AB$4:$AB$273,Data!$U$4:$U$273,A27)</f>
        <v>0</v>
      </c>
      <c r="G27" s="5">
        <f ca="1">SUMIFS(Data!$AC$4:$AC$273,Data!$U$4:$U$273,A27)</f>
        <v>0</v>
      </c>
      <c r="H27" s="88" t="str">
        <f>IFERROR(_xlfn.SINGLE(_xlfn.XLOOKUP(A27, Data!$D$4:$D$75, Data!$C$4:$C$75, "")), "")</f>
        <v>May</v>
      </c>
      <c r="I27" s="5">
        <f ca="1">IF(H27 = "", "", IFERROR(_xlfn.SINGLE(_xlfn.XLOOKUP(H27, 'Current Player'!$A$4:$A$11, _xlfn.SINGLE('Current Player'!$C$4:$C$11) / _xlfn.SINGLE('Current Player'!$B$4:$B$11), 0)), 0))</f>
        <v>0</v>
      </c>
      <c r="J27" s="5" t="str">
        <f ca="1">IF(AND(H27&lt;&gt;"",H27=INDEX(Bracket!$B$18:$B$25,MATCH("1st",Bracket!$A$18:$A$25,0))),"Yes","")</f>
        <v/>
      </c>
      <c r="K27" s="18">
        <f ca="1">IF($A27="","",SUMIFS('Current Char Stats'!$N$4:$N$273,'Current Char Stats'!$B$4:$B$273,$A27))</f>
        <v>0</v>
      </c>
      <c r="L27" s="18">
        <f ca="1">IF($A27="","",SUMIFS('Current Char Stats'!$O$4:$O$273,'Current Char Stats'!$B$4:$B$273,$A27))</f>
        <v>0</v>
      </c>
      <c r="M27" s="18">
        <f ca="1">IF($A27="","",SUMIFS('Current Char Stats'!$P$4:$P$273,'Current Char Stats'!$B$4:$B$273,$A27))</f>
        <v>0</v>
      </c>
      <c r="N27" s="18">
        <f ca="1">IF($A27="","",SUMIFS('Current Char Stats'!$Q$4:$Q$273,'Current Char Stats'!$B$4:$B$273,$A27))</f>
        <v>0</v>
      </c>
      <c r="O27" s="18">
        <f ca="1">IF($A27="","",SUMIFS('Current Char Stats'!$R$4:$R$273,'Current Char Stats'!$B$4:$B$273,$A27))</f>
        <v>0</v>
      </c>
      <c r="P27" s="18">
        <f ca="1">IF($A27="","",SUMIFS('Current Char Stats'!$S$4:$S$273,'Current Char Stats'!$B$4:$B$273,$A27))</f>
        <v>0</v>
      </c>
      <c r="Q27" s="18">
        <f ca="1">COUNTIF(Bracket!$K$6:$K$20,A27)</f>
        <v>0</v>
      </c>
      <c r="R27" s="18">
        <f ca="1">COUNTIFS(Bracket!$K$6:$K$20,A27,Bracket!$G$6:$G$20,"CG-*")</f>
        <v>0</v>
      </c>
      <c r="S27" s="18">
        <f ca="1">IF($A27="","",SUMIFS('Current Char Stats'!$T$4:$T$273,'Current Char Stats'!$B$4:$B$273,$A27))</f>
        <v>0</v>
      </c>
      <c r="T27" s="18">
        <f ca="1">IF($A27="","",SUMIFS('Current Char Stats'!$U$4:$U$273,'Current Char Stats'!$B$4:$B$273,$A27))</f>
        <v>0</v>
      </c>
      <c r="U27" s="18" cm="1">
        <f t="array" aca="1" ref="U27" ca="1">IF($A27="","",_xlfn.LET(_xlpm.rawIP,SUMPRODUCT(--(Data!$AM$4:$AM$183=$A27),IFERROR(Data!$AN$4:$AN$183,0)),IF(_xlpm.rawIP=0,0,INT(_xlpm.rawIP)+MOD(ROUND(_xlpm.rawIP*3,0),3)/10)))</f>
        <v>0</v>
      </c>
      <c r="V27" s="18">
        <f ca="1">IF($A27="","",SUMIFS('Current Char Stats'!$J$4:$J$273,'Current Char Stats'!$B$4:$B$273,$A27))</f>
        <v>0</v>
      </c>
      <c r="W27" s="18" cm="1">
        <f t="array" aca="1" ref="W27" ca="1">IF($A27="","",_xlfn.LET(_xlpm.rawIP,SUMPRODUCT(--(Data!$AM$4:$AM$183=$A27),IFERROR(Data!$AN$4:$AN$183,0)),IF(_xlpm.rawIP=0,0,V27*3/_xlpm.rawIP)))</f>
        <v>0</v>
      </c>
      <c r="X27" s="18">
        <f ca="1">IF($A27="","",SUMIFS('Current Char Stats'!$V$4:$V$273,'Current Char Stats'!$B$4:$B$273,$A27))</f>
        <v>0</v>
      </c>
      <c r="Y27" s="18">
        <f ca="1">IF($A27="","",SUMIFS('Current Char Stats'!$W$4:$W$273,'Current Char Stats'!$B$4:$B$273,$A27))</f>
        <v>0</v>
      </c>
      <c r="Z27" s="18">
        <f ca="1">IF($A27="","",SUMIFS('Current Char Stats'!$X$4:$X$273,'Current Char Stats'!$B$4:$B$273,$A27))</f>
        <v>0</v>
      </c>
      <c r="AA27" s="18">
        <f ca="1">IF($A27="","",SUMIFS('Current Char Stats'!$Y$4:$Y$273,'Current Char Stats'!$B$4:$B$273,$A27))</f>
        <v>0</v>
      </c>
      <c r="AB27" s="18">
        <f ca="1">IF($A27="","",SUMIFS('Current Char Stats'!$Z$4:$Z$273,'Current Char Stats'!$B$4:$B$273,$A27))</f>
        <v>0</v>
      </c>
      <c r="AC27" s="18">
        <f ca="1">IF($A27="","",SUMIFS('Current Char Stats'!$AA$4:$AA$273,'Current Char Stats'!$B$4:$B$273,$A27))</f>
        <v>0</v>
      </c>
      <c r="AD27" s="18">
        <f ca="1">IF($A27="","",SUMIFS('Current Char Stats'!$AB$4:$AB$273,'Current Char Stats'!$B$4:$B$273,$A27))</f>
        <v>0</v>
      </c>
      <c r="AE27" s="18">
        <f ca="1">IF($A27="","",SUMIFS('Current Char Stats'!$AC$4:$AC$273,'Current Char Stats'!$B$4:$B$273,$A27))</f>
        <v>0</v>
      </c>
      <c r="AF27" s="18" cm="1">
        <f t="array" aca="1" ref="AF27" ca="1">IF($A27="","",_xlfn.LET(_xlpm.rawIP,SUMPRODUCT(--(Data!$AM$4:$AM$183=$A27),IFERROR(Data!$AN$4:$AN$183,0)),IF(_xlpm.rawIP=0,0,(X27+Z27)/_xlpm.rawIP)))</f>
        <v>0</v>
      </c>
      <c r="AG27" s="18">
        <f ca="1">IF($A27="","",SUMIFS('Current Char Stats'!$AE$4:$AE$273,'Current Char Stats'!$B$4:$B$273,$A27))</f>
        <v>0</v>
      </c>
    </row>
    <row r="28" spans="1:33">
      <c r="A28" s="4" t="s">
        <v>59</v>
      </c>
      <c r="B28" s="5">
        <f>COUNTIF(Data!$D$4:$D$75,A28)</f>
        <v>1</v>
      </c>
      <c r="C28" s="5">
        <f ca="1">SUMIFS(Data!$W$4:$W$273,Data!$U$4:$U$273,A28)</f>
        <v>4</v>
      </c>
      <c r="D28" s="5">
        <f ca="1">SUMIFS(Data!$Y$4:$Y$273,Data!$U$4:$U$273,A28)</f>
        <v>1</v>
      </c>
      <c r="E28" s="5">
        <f ca="1">IF(C28=0,0,D28/C28)</f>
        <v>0.25</v>
      </c>
      <c r="F28" s="5">
        <f ca="1">SUMIFS(Data!$AB$4:$AB$273,Data!$U$4:$U$273,A28)</f>
        <v>1</v>
      </c>
      <c r="G28" s="5">
        <f ca="1">SUMIFS(Data!$AC$4:$AC$273,Data!$U$4:$U$273,A28)</f>
        <v>1</v>
      </c>
      <c r="H28" s="88" t="str">
        <f>IFERROR(_xlfn.SINGLE(_xlfn.XLOOKUP(A28, Data!$D$4:$D$75, Data!$C$4:$C$75, "")), "")</f>
        <v>May</v>
      </c>
      <c r="I28" s="5">
        <f ca="1">IF(H28 = "", "", IFERROR(_xlfn.SINGLE(_xlfn.XLOOKUP(H28, 'Current Player'!$A$4:$A$11, _xlfn.SINGLE('Current Player'!$C$4:$C$11) / _xlfn.SINGLE('Current Player'!$B$4:$B$11), 0)), 0))</f>
        <v>0</v>
      </c>
      <c r="J28" s="5" t="str">
        <f ca="1">IF(AND(H28&lt;&gt;"",H28=INDEX(Bracket!$B$18:$B$25,MATCH("1st",Bracket!$A$18:$A$25,0))),"Yes","")</f>
        <v/>
      </c>
      <c r="K28" s="18">
        <f ca="1">IF($A28="","",SUMIFS('Current Char Stats'!$N$4:$N$273,'Current Char Stats'!$B$4:$B$273,$A28))</f>
        <v>1</v>
      </c>
      <c r="L28" s="18">
        <f ca="1">IF($A28="","",SUMIFS('Current Char Stats'!$O$4:$O$273,'Current Char Stats'!$B$4:$B$273,$A28))</f>
        <v>0</v>
      </c>
      <c r="M28" s="18">
        <f ca="1">IF($A28="","",SUMIFS('Current Char Stats'!$P$4:$P$273,'Current Char Stats'!$B$4:$B$273,$A28))</f>
        <v>0</v>
      </c>
      <c r="N28" s="18">
        <f ca="1">IF($A28="","",SUMIFS('Current Char Stats'!$Q$4:$Q$273,'Current Char Stats'!$B$4:$B$273,$A28))</f>
        <v>1</v>
      </c>
      <c r="O28" s="18">
        <f ca="1">IF($A28="","",SUMIFS('Current Char Stats'!$R$4:$R$273,'Current Char Stats'!$B$4:$B$273,$A28))</f>
        <v>1</v>
      </c>
      <c r="P28" s="18">
        <f ca="1">IF($A28="","",SUMIFS('Current Char Stats'!$S$4:$S$273,'Current Char Stats'!$B$4:$B$273,$A28))</f>
        <v>0</v>
      </c>
      <c r="Q28" s="18">
        <f ca="1">COUNTIF(Bracket!$K$6:$K$20,A28)</f>
        <v>0</v>
      </c>
      <c r="R28" s="18">
        <f ca="1">COUNTIFS(Bracket!$K$6:$K$20,A28,Bracket!$G$6:$G$20,"CG-*")</f>
        <v>0</v>
      </c>
      <c r="S28" s="18">
        <f ca="1">IF($A28="","",SUMIFS('Current Char Stats'!$T$4:$T$273,'Current Char Stats'!$B$4:$B$273,$A28))</f>
        <v>0</v>
      </c>
      <c r="T28" s="18">
        <f ca="1">IF($A28="","",SUMIFS('Current Char Stats'!$U$4:$U$273,'Current Char Stats'!$B$4:$B$273,$A28))</f>
        <v>0</v>
      </c>
      <c r="U28" s="18" cm="1">
        <f t="array" aca="1" ref="U28" ca="1">IF($A28="","",_xlfn.LET(_xlpm.rawIP,SUMPRODUCT(--(Data!$AM$4:$AM$183=$A28),IFERROR(Data!$AN$4:$AN$183,0)),IF(_xlpm.rawIP=0,0,INT(_xlpm.rawIP)+MOD(ROUND(_xlpm.rawIP*3,0),3)/10)))</f>
        <v>0</v>
      </c>
      <c r="V28" s="18">
        <f ca="1">IF($A28="","",SUMIFS('Current Char Stats'!$J$4:$J$273,'Current Char Stats'!$B$4:$B$273,$A28))</f>
        <v>0</v>
      </c>
      <c r="W28" s="18" cm="1">
        <f t="array" aca="1" ref="W28" ca="1">IF($A28="","",_xlfn.LET(_xlpm.rawIP,SUMPRODUCT(--(Data!$AM$4:$AM$183=$A28),IFERROR(Data!$AN$4:$AN$183,0)),IF(_xlpm.rawIP=0,0,V28*3/_xlpm.rawIP)))</f>
        <v>0</v>
      </c>
      <c r="X28" s="18">
        <f ca="1">IF($A28="","",SUMIFS('Current Char Stats'!$V$4:$V$273,'Current Char Stats'!$B$4:$B$273,$A28))</f>
        <v>0</v>
      </c>
      <c r="Y28" s="18">
        <f ca="1">IF($A28="","",SUMIFS('Current Char Stats'!$W$4:$W$273,'Current Char Stats'!$B$4:$B$273,$A28))</f>
        <v>0</v>
      </c>
      <c r="Z28" s="18">
        <f ca="1">IF($A28="","",SUMIFS('Current Char Stats'!$X$4:$X$273,'Current Char Stats'!$B$4:$B$273,$A28))</f>
        <v>0</v>
      </c>
      <c r="AA28" s="18">
        <f ca="1">IF($A28="","",SUMIFS('Current Char Stats'!$Y$4:$Y$273,'Current Char Stats'!$B$4:$B$273,$A28))</f>
        <v>0</v>
      </c>
      <c r="AB28" s="18">
        <f ca="1">IF($A28="","",SUMIFS('Current Char Stats'!$Z$4:$Z$273,'Current Char Stats'!$B$4:$B$273,$A28))</f>
        <v>0</v>
      </c>
      <c r="AC28" s="18">
        <f ca="1">IF($A28="","",SUMIFS('Current Char Stats'!$AA$4:$AA$273,'Current Char Stats'!$B$4:$B$273,$A28))</f>
        <v>0</v>
      </c>
      <c r="AD28" s="18">
        <f ca="1">IF($A28="","",SUMIFS('Current Char Stats'!$AB$4:$AB$273,'Current Char Stats'!$B$4:$B$273,$A28))</f>
        <v>0</v>
      </c>
      <c r="AE28" s="18">
        <f ca="1">IF($A28="","",SUMIFS('Current Char Stats'!$AC$4:$AC$273,'Current Char Stats'!$B$4:$B$273,$A28))</f>
        <v>0</v>
      </c>
      <c r="AF28" s="18" cm="1">
        <f t="array" aca="1" ref="AF28" ca="1">IF($A28="","",_xlfn.LET(_xlpm.rawIP,SUMPRODUCT(--(Data!$AM$4:$AM$183=$A28),IFERROR(Data!$AN$4:$AN$183,0)),IF(_xlpm.rawIP=0,0,(X28+Z28)/_xlpm.rawIP)))</f>
        <v>0</v>
      </c>
      <c r="AG28" s="18">
        <f ca="1">IF($A28="","",SUMIFS('Current Char Stats'!$AE$4:$AE$273,'Current Char Stats'!$B$4:$B$273,$A28))</f>
        <v>0</v>
      </c>
    </row>
    <row r="29" spans="1:33">
      <c r="A29" s="4" t="s">
        <v>79</v>
      </c>
      <c r="B29" s="5">
        <f>COUNTIF(Data!$D$4:$D$75,A29)</f>
        <v>1</v>
      </c>
      <c r="C29" s="5">
        <f ca="1">SUMIFS(Data!$W$4:$W$273,Data!$U$4:$U$273,A29)</f>
        <v>7</v>
      </c>
      <c r="D29" s="5">
        <f ca="1">SUMIFS(Data!$Y$4:$Y$273,Data!$U$4:$U$273,A29)</f>
        <v>1</v>
      </c>
      <c r="E29" s="5">
        <f ca="1">IF(C29=0,0,D29/C29)</f>
        <v>0.14285714285714285</v>
      </c>
      <c r="F29" s="5">
        <f ca="1">SUMIFS(Data!$AB$4:$AB$273,Data!$U$4:$U$273,A29)</f>
        <v>1</v>
      </c>
      <c r="G29" s="5">
        <f ca="1">SUMIFS(Data!$AC$4:$AC$273,Data!$U$4:$U$273,A29)</f>
        <v>1</v>
      </c>
      <c r="H29" s="89" t="str">
        <f>IFERROR(_xlfn.SINGLE(_xlfn.XLOOKUP(A29, Data!$D$4:$D$75, Data!$C$4:$C$75, "")), "")</f>
        <v>Nick</v>
      </c>
      <c r="I29" s="5">
        <f ca="1">IF(H29 = "", "", IFERROR(_xlfn.SINGLE(_xlfn.XLOOKUP(H29, 'Current Player'!$A$4:$A$11, _xlfn.SINGLE('Current Player'!$C$4:$C$11) / _xlfn.SINGLE('Current Player'!$B$4:$B$11), 0)), 0))</f>
        <v>0</v>
      </c>
      <c r="J29" s="5" t="str">
        <f ca="1">IF(AND(H29&lt;&gt;"",H29=INDEX(Bracket!$B$18:$B$25,MATCH("1st",Bracket!$A$18:$A$25,0))),"Yes","")</f>
        <v/>
      </c>
      <c r="K29" s="18">
        <f ca="1">IF($A29="","",SUMIFS('Current Char Stats'!$N$4:$N$273,'Current Char Stats'!$B$4:$B$273,$A29))</f>
        <v>1</v>
      </c>
      <c r="L29" s="18">
        <f ca="1">IF($A29="","",SUMIFS('Current Char Stats'!$O$4:$O$273,'Current Char Stats'!$B$4:$B$273,$A29))</f>
        <v>0</v>
      </c>
      <c r="M29" s="18">
        <f ca="1">IF($A29="","",SUMIFS('Current Char Stats'!$P$4:$P$273,'Current Char Stats'!$B$4:$B$273,$A29))</f>
        <v>0</v>
      </c>
      <c r="N29" s="18">
        <f ca="1">IF($A29="","",SUMIFS('Current Char Stats'!$Q$4:$Q$273,'Current Char Stats'!$B$4:$B$273,$A29))</f>
        <v>0</v>
      </c>
      <c r="O29" s="18">
        <f ca="1">IF($A29="","",SUMIFS('Current Char Stats'!$R$4:$R$273,'Current Char Stats'!$B$4:$B$273,$A29))</f>
        <v>2</v>
      </c>
      <c r="P29" s="18">
        <f ca="1">IF($A29="","",SUMIFS('Current Char Stats'!$S$4:$S$273,'Current Char Stats'!$B$4:$B$273,$A29))</f>
        <v>0</v>
      </c>
      <c r="Q29" s="18">
        <f ca="1">COUNTIF(Bracket!$K$6:$K$20,A29)</f>
        <v>0</v>
      </c>
      <c r="R29" s="18">
        <f ca="1">COUNTIFS(Bracket!$K$6:$K$20,A29,Bracket!$G$6:$G$20,"CG-*")</f>
        <v>0</v>
      </c>
      <c r="S29" s="18">
        <f ca="1">IF($A29="","",SUMIFS('Current Char Stats'!$T$4:$T$273,'Current Char Stats'!$B$4:$B$273,$A29))</f>
        <v>0</v>
      </c>
      <c r="T29" s="18">
        <f ca="1">IF($A29="","",SUMIFS('Current Char Stats'!$U$4:$U$273,'Current Char Stats'!$B$4:$B$273,$A29))</f>
        <v>0</v>
      </c>
      <c r="U29" s="18" cm="1">
        <f t="array" aca="1" ref="U29" ca="1">IF($A29="","",_xlfn.LET(_xlpm.rawIP,SUMPRODUCT(--(Data!$AM$4:$AM$183=$A29),IFERROR(Data!$AN$4:$AN$183,0)),IF(_xlpm.rawIP=0,0,INT(_xlpm.rawIP)+MOD(ROUND(_xlpm.rawIP*3,0),3)/10)))</f>
        <v>1.1</v>
      </c>
      <c r="V29" s="18">
        <f ca="1">IF($A29="","",SUMIFS('Current Char Stats'!$J$4:$J$273,'Current Char Stats'!$B$4:$B$273,$A29))</f>
        <v>1</v>
      </c>
      <c r="W29" s="18" cm="1">
        <f t="array" aca="1" ref="W29" ca="1">IF($A29="","",_xlfn.LET(_xlpm.rawIP,SUMPRODUCT(--(Data!$AM$4:$AM$183=$A29),IFERROR(Data!$AN$4:$AN$183,0)),IF(_xlpm.rawIP=0,0,V29*3/_xlpm.rawIP)))</f>
        <v>2.25</v>
      </c>
      <c r="X29" s="18">
        <f ca="1">IF($A29="","",SUMIFS('Current Char Stats'!$V$4:$V$273,'Current Char Stats'!$B$4:$B$273,$A29))</f>
        <v>2</v>
      </c>
      <c r="Y29" s="18">
        <f ca="1">IF($A29="","",SUMIFS('Current Char Stats'!$W$4:$W$273,'Current Char Stats'!$B$4:$B$273,$A29))</f>
        <v>1</v>
      </c>
      <c r="Z29" s="18">
        <f ca="1">IF($A29="","",SUMIFS('Current Char Stats'!$X$4:$X$273,'Current Char Stats'!$B$4:$B$273,$A29))</f>
        <v>0</v>
      </c>
      <c r="AA29" s="18">
        <f ca="1">IF($A29="","",SUMIFS('Current Char Stats'!$Y$4:$Y$273,'Current Char Stats'!$B$4:$B$273,$A29))</f>
        <v>0</v>
      </c>
      <c r="AB29" s="18">
        <f ca="1">IF($A29="","",SUMIFS('Current Char Stats'!$Z$4:$Z$273,'Current Char Stats'!$B$4:$B$273,$A29))</f>
        <v>0</v>
      </c>
      <c r="AC29" s="18">
        <f ca="1">IF($A29="","",SUMIFS('Current Char Stats'!$AA$4:$AA$273,'Current Char Stats'!$B$4:$B$273,$A29))</f>
        <v>0</v>
      </c>
      <c r="AD29" s="18">
        <f ca="1">IF($A29="","",SUMIFS('Current Char Stats'!$AB$4:$AB$273,'Current Char Stats'!$B$4:$B$273,$A29))</f>
        <v>0</v>
      </c>
      <c r="AE29" s="18">
        <f ca="1">IF($A29="","",SUMIFS('Current Char Stats'!$AC$4:$AC$273,'Current Char Stats'!$B$4:$B$273,$A29))</f>
        <v>0</v>
      </c>
      <c r="AF29" s="18" cm="1">
        <f t="array" aca="1" ref="AF29" ca="1">IF($A29="","",_xlfn.LET(_xlpm.rawIP,SUMPRODUCT(--(Data!$AM$4:$AM$183=$A29),IFERROR(Data!$AN$4:$AN$183,0)),IF(_xlpm.rawIP=0,0,(X29+Z29)/_xlpm.rawIP)))</f>
        <v>1.5</v>
      </c>
      <c r="AG29" s="18">
        <f ca="1">IF($A29="","",SUMIFS('Current Char Stats'!$AE$4:$AE$273,'Current Char Stats'!$B$4:$B$273,$A29))</f>
        <v>6</v>
      </c>
    </row>
    <row r="30" spans="1:33">
      <c r="A30" s="4" t="s">
        <v>77</v>
      </c>
      <c r="B30" s="5">
        <f>COUNTIF(Data!$D$4:$D$75,A30)</f>
        <v>1</v>
      </c>
      <c r="C30" s="5">
        <f ca="1">SUMIFS(Data!$W$4:$W$273,Data!$U$4:$U$273,A30)</f>
        <v>2</v>
      </c>
      <c r="D30" s="5">
        <f ca="1">SUMIFS(Data!$Y$4:$Y$273,Data!$U$4:$U$273,A30)</f>
        <v>1</v>
      </c>
      <c r="E30" s="5">
        <f ca="1">IF(C30=0,0,D30/C30)</f>
        <v>0.5</v>
      </c>
      <c r="F30" s="5">
        <f ca="1">SUMIFS(Data!$AB$4:$AB$273,Data!$U$4:$U$273,A30)</f>
        <v>0</v>
      </c>
      <c r="G30" s="5">
        <f ca="1">SUMIFS(Data!$AC$4:$AC$273,Data!$U$4:$U$273,A30)</f>
        <v>0</v>
      </c>
      <c r="H30" s="90" t="str">
        <f>IFERROR(_xlfn.SINGLE(_xlfn.XLOOKUP(A30, Data!$D$4:$D$75, Data!$C$4:$C$75, "")), "")</f>
        <v>Justin</v>
      </c>
      <c r="I30" s="5">
        <f ca="1">IF(H30 = "", "", IFERROR(_xlfn.SINGLE(_xlfn.XLOOKUP(H30, 'Current Player'!$A$4:$A$11, _xlfn.SINGLE('Current Player'!$C$4:$C$11) / _xlfn.SINGLE('Current Player'!$B$4:$B$11), 0)), 0))</f>
        <v>0</v>
      </c>
      <c r="J30" s="5" t="str">
        <f ca="1">IF(AND(H30&lt;&gt;"",H30=INDEX(Bracket!$B$18:$B$25,MATCH("1st",Bracket!$A$18:$A$25,0))),"Yes","")</f>
        <v/>
      </c>
      <c r="K30" s="18">
        <f ca="1">IF($A30="","",SUMIFS('Current Char Stats'!$N$4:$N$273,'Current Char Stats'!$B$4:$B$273,$A30))</f>
        <v>0</v>
      </c>
      <c r="L30" s="18">
        <f ca="1">IF($A30="","",SUMIFS('Current Char Stats'!$O$4:$O$273,'Current Char Stats'!$B$4:$B$273,$A30))</f>
        <v>0</v>
      </c>
      <c r="M30" s="18">
        <f ca="1">IF($A30="","",SUMIFS('Current Char Stats'!$P$4:$P$273,'Current Char Stats'!$B$4:$B$273,$A30))</f>
        <v>0</v>
      </c>
      <c r="N30" s="18">
        <f ca="1">IF($A30="","",SUMIFS('Current Char Stats'!$Q$4:$Q$273,'Current Char Stats'!$B$4:$B$273,$A30))</f>
        <v>0</v>
      </c>
      <c r="O30" s="18">
        <f ca="1">IF($A30="","",SUMIFS('Current Char Stats'!$R$4:$R$273,'Current Char Stats'!$B$4:$B$273,$A30))</f>
        <v>0</v>
      </c>
      <c r="P30" s="18">
        <f ca="1">IF($A30="","",SUMIFS('Current Char Stats'!$S$4:$S$273,'Current Char Stats'!$B$4:$B$273,$A30))</f>
        <v>0</v>
      </c>
      <c r="Q30" s="18">
        <f ca="1">COUNTIF(Bracket!$K$6:$K$20,A30)</f>
        <v>0</v>
      </c>
      <c r="R30" s="18">
        <f ca="1">COUNTIFS(Bracket!$K$6:$K$20,A30,Bracket!$G$6:$G$20,"CG-*")</f>
        <v>0</v>
      </c>
      <c r="S30" s="18">
        <f ca="1">IF($A30="","",SUMIFS('Current Char Stats'!$T$4:$T$273,'Current Char Stats'!$B$4:$B$273,$A30))</f>
        <v>0</v>
      </c>
      <c r="T30" s="18">
        <f ca="1">IF($A30="","",SUMIFS('Current Char Stats'!$U$4:$U$273,'Current Char Stats'!$B$4:$B$273,$A30))</f>
        <v>0</v>
      </c>
      <c r="U30" s="18" cm="1">
        <f t="array" aca="1" ref="U30" ca="1">IF($A30="","",_xlfn.LET(_xlpm.rawIP,SUMPRODUCT(--(Data!$AM$4:$AM$183=$A30),IFERROR(Data!$AN$4:$AN$183,0)),IF(_xlpm.rawIP=0,0,INT(_xlpm.rawIP)+MOD(ROUND(_xlpm.rawIP*3,0),3)/10)))</f>
        <v>0</v>
      </c>
      <c r="V30" s="18">
        <f ca="1">IF($A30="","",SUMIFS('Current Char Stats'!$J$4:$J$273,'Current Char Stats'!$B$4:$B$273,$A30))</f>
        <v>0</v>
      </c>
      <c r="W30" s="18" cm="1">
        <f t="array" aca="1" ref="W30" ca="1">IF($A30="","",_xlfn.LET(_xlpm.rawIP,SUMPRODUCT(--(Data!$AM$4:$AM$183=$A30),IFERROR(Data!$AN$4:$AN$183,0)),IF(_xlpm.rawIP=0,0,V30*3/_xlpm.rawIP)))</f>
        <v>0</v>
      </c>
      <c r="X30" s="18">
        <f ca="1">IF($A30="","",SUMIFS('Current Char Stats'!$V$4:$V$273,'Current Char Stats'!$B$4:$B$273,$A30))</f>
        <v>0</v>
      </c>
      <c r="Y30" s="18">
        <f ca="1">IF($A30="","",SUMIFS('Current Char Stats'!$W$4:$W$273,'Current Char Stats'!$B$4:$B$273,$A30))</f>
        <v>0</v>
      </c>
      <c r="Z30" s="18">
        <f ca="1">IF($A30="","",SUMIFS('Current Char Stats'!$X$4:$X$273,'Current Char Stats'!$B$4:$B$273,$A30))</f>
        <v>0</v>
      </c>
      <c r="AA30" s="18">
        <f ca="1">IF($A30="","",SUMIFS('Current Char Stats'!$Y$4:$Y$273,'Current Char Stats'!$B$4:$B$273,$A30))</f>
        <v>0</v>
      </c>
      <c r="AB30" s="18">
        <f ca="1">IF($A30="","",SUMIFS('Current Char Stats'!$Z$4:$Z$273,'Current Char Stats'!$B$4:$B$273,$A30))</f>
        <v>0</v>
      </c>
      <c r="AC30" s="18">
        <f ca="1">IF($A30="","",SUMIFS('Current Char Stats'!$AA$4:$AA$273,'Current Char Stats'!$B$4:$B$273,$A30))</f>
        <v>0</v>
      </c>
      <c r="AD30" s="18">
        <f ca="1">IF($A30="","",SUMIFS('Current Char Stats'!$AB$4:$AB$273,'Current Char Stats'!$B$4:$B$273,$A30))</f>
        <v>0</v>
      </c>
      <c r="AE30" s="18">
        <f ca="1">IF($A30="","",SUMIFS('Current Char Stats'!$AC$4:$AC$273,'Current Char Stats'!$B$4:$B$273,$A30))</f>
        <v>0</v>
      </c>
      <c r="AF30" s="18" cm="1">
        <f t="array" aca="1" ref="AF30" ca="1">IF($A30="","",_xlfn.LET(_xlpm.rawIP,SUMPRODUCT(--(Data!$AM$4:$AM$183=$A30),IFERROR(Data!$AN$4:$AN$183,0)),IF(_xlpm.rawIP=0,0,(X30+Z30)/_xlpm.rawIP)))</f>
        <v>0</v>
      </c>
      <c r="AG30" s="18">
        <f ca="1">IF($A30="","",SUMIFS('Current Char Stats'!$AE$4:$AE$273,'Current Char Stats'!$B$4:$B$273,$A30))</f>
        <v>0</v>
      </c>
    </row>
    <row r="31" spans="1:33">
      <c r="A31" s="4" t="s">
        <v>72</v>
      </c>
      <c r="B31" s="5">
        <f>COUNTIF(Data!$D$4:$D$75,A31)</f>
        <v>1</v>
      </c>
      <c r="C31" s="5">
        <f ca="1">SUMIFS(Data!$W$4:$W$273,Data!$U$4:$U$273,A31)</f>
        <v>6</v>
      </c>
      <c r="D31" s="5">
        <f ca="1">SUMIFS(Data!$Y$4:$Y$273,Data!$U$4:$U$273,A31)</f>
        <v>1</v>
      </c>
      <c r="E31" s="5">
        <f ca="1">IF(C31=0,0,D31/C31)</f>
        <v>0.16666666666666666</v>
      </c>
      <c r="F31" s="5">
        <f ca="1">SUMIFS(Data!$AB$4:$AB$273,Data!$U$4:$U$273,A31)</f>
        <v>0</v>
      </c>
      <c r="G31" s="5">
        <f ca="1">SUMIFS(Data!$AC$4:$AC$273,Data!$U$4:$U$273,A31)</f>
        <v>0</v>
      </c>
      <c r="H31" s="92" t="str">
        <f>IFERROR(_xlfn.SINGLE(_xlfn.XLOOKUP(A31, Data!$D$4:$D$75, Data!$C$4:$C$75, "")), "")</f>
        <v>Jason</v>
      </c>
      <c r="I31" s="5">
        <f ca="1">IF(H31 = "", "", IFERROR(_xlfn.SINGLE(_xlfn.XLOOKUP(H31, 'Current Player'!$A$4:$A$11, _xlfn.SINGLE('Current Player'!$C$4:$C$11) / _xlfn.SINGLE('Current Player'!$B$4:$B$11), 0)), 0))</f>
        <v>0</v>
      </c>
      <c r="J31" s="5" t="str">
        <f ca="1">IF(AND(H31&lt;&gt;"",H31=INDEX(Bracket!$B$18:$B$25,MATCH("1st",Bracket!$A$18:$A$25,0))),"Yes","")</f>
        <v>Yes</v>
      </c>
      <c r="K31" s="18">
        <f ca="1">IF($A31="","",SUMIFS('Current Char Stats'!$N$4:$N$273,'Current Char Stats'!$B$4:$B$273,$A31))</f>
        <v>1</v>
      </c>
      <c r="L31" s="18">
        <f ca="1">IF($A31="","",SUMIFS('Current Char Stats'!$O$4:$O$273,'Current Char Stats'!$B$4:$B$273,$A31))</f>
        <v>0</v>
      </c>
      <c r="M31" s="18">
        <f ca="1">IF($A31="","",SUMIFS('Current Char Stats'!$P$4:$P$273,'Current Char Stats'!$B$4:$B$273,$A31))</f>
        <v>0</v>
      </c>
      <c r="N31" s="18">
        <f ca="1">IF($A31="","",SUMIFS('Current Char Stats'!$Q$4:$Q$273,'Current Char Stats'!$B$4:$B$273,$A31))</f>
        <v>0</v>
      </c>
      <c r="O31" s="18">
        <f ca="1">IF($A31="","",SUMIFS('Current Char Stats'!$R$4:$R$273,'Current Char Stats'!$B$4:$B$273,$A31))</f>
        <v>0</v>
      </c>
      <c r="P31" s="18">
        <f ca="1">IF($A31="","",SUMIFS('Current Char Stats'!$S$4:$S$273,'Current Char Stats'!$B$4:$B$273,$A31))</f>
        <v>0</v>
      </c>
      <c r="Q31" s="18">
        <f ca="1">COUNTIF(Bracket!$K$6:$K$20,A31)</f>
        <v>0</v>
      </c>
      <c r="R31" s="18">
        <f ca="1">COUNTIFS(Bracket!$K$6:$K$20,A31,Bracket!$G$6:$G$20,"CG-*")</f>
        <v>0</v>
      </c>
      <c r="S31" s="18">
        <f ca="1">IF($A31="","",SUMIFS('Current Char Stats'!$T$4:$T$273,'Current Char Stats'!$B$4:$B$273,$A31))</f>
        <v>0</v>
      </c>
      <c r="T31" s="18">
        <f ca="1">IF($A31="","",SUMIFS('Current Char Stats'!$U$4:$U$273,'Current Char Stats'!$B$4:$B$273,$A31))</f>
        <v>0</v>
      </c>
      <c r="U31" s="18" cm="1">
        <f t="array" aca="1" ref="U31" ca="1">IF($A31="","",_xlfn.LET(_xlpm.rawIP,SUMPRODUCT(--(Data!$AM$4:$AM$183=$A31),IFERROR(Data!$AN$4:$AN$183,0)),IF(_xlpm.rawIP=0,0,INT(_xlpm.rawIP)+MOD(ROUND(_xlpm.rawIP*3,0),3)/10)))</f>
        <v>0</v>
      </c>
      <c r="V31" s="18">
        <f ca="1">IF($A31="","",SUMIFS('Current Char Stats'!$J$4:$J$273,'Current Char Stats'!$B$4:$B$273,$A31))</f>
        <v>0</v>
      </c>
      <c r="W31" s="18" cm="1">
        <f t="array" aca="1" ref="W31" ca="1">IF($A31="","",_xlfn.LET(_xlpm.rawIP,SUMPRODUCT(--(Data!$AM$4:$AM$183=$A31),IFERROR(Data!$AN$4:$AN$183,0)),IF(_xlpm.rawIP=0,0,V31*3/_xlpm.rawIP)))</f>
        <v>0</v>
      </c>
      <c r="X31" s="18">
        <f ca="1">IF($A31="","",SUMIFS('Current Char Stats'!$V$4:$V$273,'Current Char Stats'!$B$4:$B$273,$A31))</f>
        <v>0</v>
      </c>
      <c r="Y31" s="18">
        <f ca="1">IF($A31="","",SUMIFS('Current Char Stats'!$W$4:$W$273,'Current Char Stats'!$B$4:$B$273,$A31))</f>
        <v>0</v>
      </c>
      <c r="Z31" s="18">
        <f ca="1">IF($A31="","",SUMIFS('Current Char Stats'!$X$4:$X$273,'Current Char Stats'!$B$4:$B$273,$A31))</f>
        <v>0</v>
      </c>
      <c r="AA31" s="18">
        <f ca="1">IF($A31="","",SUMIFS('Current Char Stats'!$Y$4:$Y$273,'Current Char Stats'!$B$4:$B$273,$A31))</f>
        <v>0</v>
      </c>
      <c r="AB31" s="18">
        <f ca="1">IF($A31="","",SUMIFS('Current Char Stats'!$Z$4:$Z$273,'Current Char Stats'!$B$4:$B$273,$A31))</f>
        <v>0</v>
      </c>
      <c r="AC31" s="18">
        <f ca="1">IF($A31="","",SUMIFS('Current Char Stats'!$AA$4:$AA$273,'Current Char Stats'!$B$4:$B$273,$A31))</f>
        <v>0</v>
      </c>
      <c r="AD31" s="18">
        <f ca="1">IF($A31="","",SUMIFS('Current Char Stats'!$AB$4:$AB$273,'Current Char Stats'!$B$4:$B$273,$A31))</f>
        <v>0</v>
      </c>
      <c r="AE31" s="18">
        <f ca="1">IF($A31="","",SUMIFS('Current Char Stats'!$AC$4:$AC$273,'Current Char Stats'!$B$4:$B$273,$A31))</f>
        <v>0</v>
      </c>
      <c r="AF31" s="18" cm="1">
        <f t="array" aca="1" ref="AF31" ca="1">IF($A31="","",_xlfn.LET(_xlpm.rawIP,SUMPRODUCT(--(Data!$AM$4:$AM$183=$A31),IFERROR(Data!$AN$4:$AN$183,0)),IF(_xlpm.rawIP=0,0,(X31+Z31)/_xlpm.rawIP)))</f>
        <v>0</v>
      </c>
      <c r="AG31" s="18">
        <f ca="1">IF($A31="","",SUMIFS('Current Char Stats'!$AE$4:$AE$273,'Current Char Stats'!$B$4:$B$273,$A31))</f>
        <v>0</v>
      </c>
    </row>
    <row r="32" spans="1:33">
      <c r="A32" s="4" t="s">
        <v>92</v>
      </c>
      <c r="B32" s="5">
        <f>COUNTIF(Data!$D$4:$D$75,A32)</f>
        <v>1</v>
      </c>
      <c r="C32" s="5">
        <f ca="1">SUMIFS(Data!$W$4:$W$273,Data!$U$4:$U$273,A32)</f>
        <v>3</v>
      </c>
      <c r="D32" s="5">
        <f ca="1">SUMIFS(Data!$Y$4:$Y$273,Data!$U$4:$U$273,A32)</f>
        <v>2</v>
      </c>
      <c r="E32" s="5">
        <f ca="1">IF(C32=0,0,D32/C32)</f>
        <v>0.6666666666666666</v>
      </c>
      <c r="F32" s="5">
        <f ca="1">SUMIFS(Data!$AB$4:$AB$273,Data!$U$4:$U$273,A32)</f>
        <v>1</v>
      </c>
      <c r="G32" s="5">
        <f ca="1">SUMIFS(Data!$AC$4:$AC$273,Data!$U$4:$U$273,A32)</f>
        <v>2</v>
      </c>
      <c r="H32" s="93" t="str">
        <f>IFERROR(_xlfn.SINGLE(_xlfn.XLOOKUP(A32, Data!$D$4:$D$75, Data!$C$4:$C$75, "")), "")</f>
        <v>Aidan</v>
      </c>
      <c r="I32" s="5">
        <f ca="1">IF(H32 = "", "", IFERROR(_xlfn.SINGLE(_xlfn.XLOOKUP(H32, 'Current Player'!$A$4:$A$11, _xlfn.SINGLE('Current Player'!$C$4:$C$11) / _xlfn.SINGLE('Current Player'!$B$4:$B$11), 0)), 0))</f>
        <v>0</v>
      </c>
      <c r="J32" s="5" t="str">
        <f ca="1">IF(AND(H32&lt;&gt;"",H32=INDEX(Bracket!$B$18:$B$25,MATCH("1st",Bracket!$A$18:$A$25,0))),"Yes","")</f>
        <v/>
      </c>
      <c r="K32" s="18">
        <f ca="1">IF($A32="","",SUMIFS('Current Char Stats'!$N$4:$N$273,'Current Char Stats'!$B$4:$B$273,$A32))</f>
        <v>1</v>
      </c>
      <c r="L32" s="18">
        <f ca="1">IF($A32="","",SUMIFS('Current Char Stats'!$O$4:$O$273,'Current Char Stats'!$B$4:$B$273,$A32))</f>
        <v>1</v>
      </c>
      <c r="M32" s="18">
        <f ca="1">IF($A32="","",SUMIFS('Current Char Stats'!$P$4:$P$273,'Current Char Stats'!$B$4:$B$273,$A32))</f>
        <v>0</v>
      </c>
      <c r="N32" s="18">
        <f ca="1">IF($A32="","",SUMIFS('Current Char Stats'!$Q$4:$Q$273,'Current Char Stats'!$B$4:$B$273,$A32))</f>
        <v>0</v>
      </c>
      <c r="O32" s="18">
        <f ca="1">IF($A32="","",SUMIFS('Current Char Stats'!$R$4:$R$273,'Current Char Stats'!$B$4:$B$273,$A32))</f>
        <v>0</v>
      </c>
      <c r="P32" s="18">
        <f ca="1">IF($A32="","",SUMIFS('Current Char Stats'!$S$4:$S$273,'Current Char Stats'!$B$4:$B$273,$A32))</f>
        <v>0</v>
      </c>
      <c r="Q32" s="18">
        <f ca="1">COUNTIF(Bracket!$K$6:$K$20,A32)</f>
        <v>0</v>
      </c>
      <c r="R32" s="18">
        <f ca="1">COUNTIFS(Bracket!$K$6:$K$20,A32,Bracket!$G$6:$G$20,"CG-*")</f>
        <v>0</v>
      </c>
      <c r="S32" s="18">
        <f ca="1">IF($A32="","",SUMIFS('Current Char Stats'!$T$4:$T$273,'Current Char Stats'!$B$4:$B$273,$A32))</f>
        <v>0</v>
      </c>
      <c r="T32" s="18">
        <f ca="1">IF($A32="","",SUMIFS('Current Char Stats'!$U$4:$U$273,'Current Char Stats'!$B$4:$B$273,$A32))</f>
        <v>0</v>
      </c>
      <c r="U32" s="18" cm="1">
        <f t="array" aca="1" ref="U32" ca="1">IF($A32="","",_xlfn.LET(_xlpm.rawIP,SUMPRODUCT(--(Data!$AM$4:$AM$183=$A32),IFERROR(Data!$AN$4:$AN$183,0)),IF(_xlpm.rawIP=0,0,INT(_xlpm.rawIP)+MOD(ROUND(_xlpm.rawIP*3,0),3)/10)))</f>
        <v>0</v>
      </c>
      <c r="V32" s="18">
        <f ca="1">IF($A32="","",SUMIFS('Current Char Stats'!$J$4:$J$273,'Current Char Stats'!$B$4:$B$273,$A32))</f>
        <v>0</v>
      </c>
      <c r="W32" s="18" cm="1">
        <f t="array" aca="1" ref="W32" ca="1">IF($A32="","",_xlfn.LET(_xlpm.rawIP,SUMPRODUCT(--(Data!$AM$4:$AM$183=$A32),IFERROR(Data!$AN$4:$AN$183,0)),IF(_xlpm.rawIP=0,0,V32*3/_xlpm.rawIP)))</f>
        <v>0</v>
      </c>
      <c r="X32" s="18">
        <f ca="1">IF($A32="","",SUMIFS('Current Char Stats'!$V$4:$V$273,'Current Char Stats'!$B$4:$B$273,$A32))</f>
        <v>0</v>
      </c>
      <c r="Y32" s="18">
        <f ca="1">IF($A32="","",SUMIFS('Current Char Stats'!$W$4:$W$273,'Current Char Stats'!$B$4:$B$273,$A32))</f>
        <v>0</v>
      </c>
      <c r="Z32" s="18">
        <f ca="1">IF($A32="","",SUMIFS('Current Char Stats'!$X$4:$X$273,'Current Char Stats'!$B$4:$B$273,$A32))</f>
        <v>0</v>
      </c>
      <c r="AA32" s="18">
        <f ca="1">IF($A32="","",SUMIFS('Current Char Stats'!$Y$4:$Y$273,'Current Char Stats'!$B$4:$B$273,$A32))</f>
        <v>0</v>
      </c>
      <c r="AB32" s="18">
        <f ca="1">IF($A32="","",SUMIFS('Current Char Stats'!$Z$4:$Z$273,'Current Char Stats'!$B$4:$B$273,$A32))</f>
        <v>0</v>
      </c>
      <c r="AC32" s="18">
        <f ca="1">IF($A32="","",SUMIFS('Current Char Stats'!$AA$4:$AA$273,'Current Char Stats'!$B$4:$B$273,$A32))</f>
        <v>0</v>
      </c>
      <c r="AD32" s="18">
        <f ca="1">IF($A32="","",SUMIFS('Current Char Stats'!$AB$4:$AB$273,'Current Char Stats'!$B$4:$B$273,$A32))</f>
        <v>0</v>
      </c>
      <c r="AE32" s="18">
        <f ca="1">IF($A32="","",SUMIFS('Current Char Stats'!$AC$4:$AC$273,'Current Char Stats'!$B$4:$B$273,$A32))</f>
        <v>0</v>
      </c>
      <c r="AF32" s="18" cm="1">
        <f t="array" aca="1" ref="AF32" ca="1">IF($A32="","",_xlfn.LET(_xlpm.rawIP,SUMPRODUCT(--(Data!$AM$4:$AM$183=$A32),IFERROR(Data!$AN$4:$AN$183,0)),IF(_xlpm.rawIP=0,0,(X32+Z32)/_xlpm.rawIP)))</f>
        <v>0</v>
      </c>
      <c r="AG32" s="18">
        <f ca="1">IF($A32="","",SUMIFS('Current Char Stats'!$AE$4:$AE$273,'Current Char Stats'!$B$4:$B$273,$A32))</f>
        <v>0</v>
      </c>
    </row>
    <row r="33" spans="1:33">
      <c r="A33" s="4" t="s">
        <v>117</v>
      </c>
      <c r="B33" s="5">
        <f>COUNTIF(Data!$D$4:$D$75,A33)</f>
        <v>0</v>
      </c>
      <c r="C33" s="5">
        <f ca="1">SUMIFS(Data!$W$4:$W$273,Data!$U$4:$U$273,A33)</f>
        <v>0</v>
      </c>
      <c r="D33" s="5">
        <f ca="1">SUMIFS(Data!$Y$4:$Y$273,Data!$U$4:$U$273,A33)</f>
        <v>0</v>
      </c>
      <c r="E33" s="5">
        <f ca="1">IF(C33=0,0,D33/C33)</f>
        <v>0</v>
      </c>
      <c r="F33" s="5">
        <f ca="1">SUMIFS(Data!$AB$4:$AB$273,Data!$U$4:$U$273,A33)</f>
        <v>0</v>
      </c>
      <c r="G33" s="5">
        <f ca="1">SUMIFS(Data!$AC$4:$AC$273,Data!$U$4:$U$273,A33)</f>
        <v>0</v>
      </c>
      <c r="H33" s="95" t="str">
        <f>IFERROR(_xlfn.SINGLE(_xlfn.XLOOKUP(A33, Data!$D$4:$D$75, Data!$C$4:$C$75, "")), "")</f>
        <v/>
      </c>
      <c r="I33" s="5" t="str">
        <f ca="1">IF(H33 = "", "", IFERROR(_xlfn.SINGLE(_xlfn.XLOOKUP(H33, 'Current Player'!$A$4:$A$11, _xlfn.SINGLE('Current Player'!$C$4:$C$11) / _xlfn.SINGLE('Current Player'!$B$4:$B$11), 0)), 0))</f>
        <v/>
      </c>
      <c r="J33" s="5" t="str">
        <f ca="1">IF(AND(H33&lt;&gt;"",H33=INDEX(Bracket!$B$18:$B$25,MATCH("1st",Bracket!$A$18:$A$25,0))),"Yes","")</f>
        <v/>
      </c>
      <c r="K33" s="18">
        <f ca="1">IF($A33="","",SUMIFS('Current Char Stats'!$N$4:$N$273,'Current Char Stats'!$B$4:$B$273,$A33))</f>
        <v>0</v>
      </c>
      <c r="L33" s="18">
        <f ca="1">IF($A33="","",SUMIFS('Current Char Stats'!$O$4:$O$273,'Current Char Stats'!$B$4:$B$273,$A33))</f>
        <v>0</v>
      </c>
      <c r="M33" s="18">
        <f ca="1">IF($A33="","",SUMIFS('Current Char Stats'!$P$4:$P$273,'Current Char Stats'!$B$4:$B$273,$A33))</f>
        <v>0</v>
      </c>
      <c r="N33" s="18">
        <f ca="1">IF($A33="","",SUMIFS('Current Char Stats'!$Q$4:$Q$273,'Current Char Stats'!$B$4:$B$273,$A33))</f>
        <v>0</v>
      </c>
      <c r="O33" s="18">
        <f ca="1">IF($A33="","",SUMIFS('Current Char Stats'!$R$4:$R$273,'Current Char Stats'!$B$4:$B$273,$A33))</f>
        <v>0</v>
      </c>
      <c r="P33" s="18">
        <f ca="1">IF($A33="","",SUMIFS('Current Char Stats'!$S$4:$S$273,'Current Char Stats'!$B$4:$B$273,$A33))</f>
        <v>0</v>
      </c>
      <c r="Q33" s="18">
        <f ca="1">COUNTIF(Bracket!$K$6:$K$20,A33)</f>
        <v>0</v>
      </c>
      <c r="R33" s="18">
        <f ca="1">COUNTIFS(Bracket!$K$6:$K$20,A33,Bracket!$G$6:$G$20,"CG-*")</f>
        <v>0</v>
      </c>
      <c r="S33" s="18">
        <f ca="1">IF($A33="","",SUMIFS('Current Char Stats'!$T$4:$T$273,'Current Char Stats'!$B$4:$B$273,$A33))</f>
        <v>0</v>
      </c>
      <c r="T33" s="18">
        <f ca="1">IF($A33="","",SUMIFS('Current Char Stats'!$U$4:$U$273,'Current Char Stats'!$B$4:$B$273,$A33))</f>
        <v>0</v>
      </c>
      <c r="U33" s="18" cm="1">
        <f t="array" aca="1" ref="U33" ca="1">IF($A33="","",_xlfn.LET(_xlpm.rawIP,SUMPRODUCT(--(Data!$AM$4:$AM$183=$A33),IFERROR(Data!$AN$4:$AN$183,0)),IF(_xlpm.rawIP=0,0,INT(_xlpm.rawIP)+MOD(ROUND(_xlpm.rawIP*3,0),3)/10)))</f>
        <v>0</v>
      </c>
      <c r="V33" s="18">
        <f ca="1">IF($A33="","",SUMIFS('Current Char Stats'!$J$4:$J$273,'Current Char Stats'!$B$4:$B$273,$A33))</f>
        <v>0</v>
      </c>
      <c r="W33" s="18" cm="1">
        <f t="array" aca="1" ref="W33" ca="1">IF($A33="","",_xlfn.LET(_xlpm.rawIP,SUMPRODUCT(--(Data!$AM$4:$AM$183=$A33),IFERROR(Data!$AN$4:$AN$183,0)),IF(_xlpm.rawIP=0,0,V33*3/_xlpm.rawIP)))</f>
        <v>0</v>
      </c>
      <c r="X33" s="18">
        <f ca="1">IF($A33="","",SUMIFS('Current Char Stats'!$V$4:$V$273,'Current Char Stats'!$B$4:$B$273,$A33))</f>
        <v>0</v>
      </c>
      <c r="Y33" s="18">
        <f ca="1">IF($A33="","",SUMIFS('Current Char Stats'!$W$4:$W$273,'Current Char Stats'!$B$4:$B$273,$A33))</f>
        <v>0</v>
      </c>
      <c r="Z33" s="18">
        <f ca="1">IF($A33="","",SUMIFS('Current Char Stats'!$X$4:$X$273,'Current Char Stats'!$B$4:$B$273,$A33))</f>
        <v>0</v>
      </c>
      <c r="AA33" s="18">
        <f ca="1">IF($A33="","",SUMIFS('Current Char Stats'!$Y$4:$Y$273,'Current Char Stats'!$B$4:$B$273,$A33))</f>
        <v>0</v>
      </c>
      <c r="AB33" s="18">
        <f ca="1">IF($A33="","",SUMIFS('Current Char Stats'!$Z$4:$Z$273,'Current Char Stats'!$B$4:$B$273,$A33))</f>
        <v>0</v>
      </c>
      <c r="AC33" s="18">
        <f ca="1">IF($A33="","",SUMIFS('Current Char Stats'!$AA$4:$AA$273,'Current Char Stats'!$B$4:$B$273,$A33))</f>
        <v>0</v>
      </c>
      <c r="AD33" s="18">
        <f ca="1">IF($A33="","",SUMIFS('Current Char Stats'!$AB$4:$AB$273,'Current Char Stats'!$B$4:$B$273,$A33))</f>
        <v>0</v>
      </c>
      <c r="AE33" s="18">
        <f ca="1">IF($A33="","",SUMIFS('Current Char Stats'!$AC$4:$AC$273,'Current Char Stats'!$B$4:$B$273,$A33))</f>
        <v>0</v>
      </c>
      <c r="AF33" s="18" cm="1">
        <f t="array" aca="1" ref="AF33" ca="1">IF($A33="","",_xlfn.LET(_xlpm.rawIP,SUMPRODUCT(--(Data!$AM$4:$AM$183=$A33),IFERROR(Data!$AN$4:$AN$183,0)),IF(_xlpm.rawIP=0,0,(X33+Z33)/_xlpm.rawIP)))</f>
        <v>0</v>
      </c>
      <c r="AG33" s="18">
        <f ca="1">IF($A33="","",SUMIFS('Current Char Stats'!$AE$4:$AE$273,'Current Char Stats'!$B$4:$B$273,$A33))</f>
        <v>0</v>
      </c>
    </row>
    <row r="34" spans="1:33">
      <c r="A34" s="4" t="s">
        <v>118</v>
      </c>
      <c r="B34" s="5">
        <f>COUNTIF(Data!$D$4:$D$75,A34)</f>
        <v>0</v>
      </c>
      <c r="C34" s="5">
        <f ca="1">SUMIFS(Data!$W$4:$W$273,Data!$U$4:$U$273,A34)</f>
        <v>0</v>
      </c>
      <c r="D34" s="5">
        <f ca="1">SUMIFS(Data!$Y$4:$Y$273,Data!$U$4:$U$273,A34)</f>
        <v>0</v>
      </c>
      <c r="E34" s="5">
        <f ca="1">IF(C34=0,0,D34/C34)</f>
        <v>0</v>
      </c>
      <c r="F34" s="5">
        <f ca="1">SUMIFS(Data!$AB$4:$AB$273,Data!$U$4:$U$273,A34)</f>
        <v>0</v>
      </c>
      <c r="G34" s="5">
        <f ca="1">SUMIFS(Data!$AC$4:$AC$273,Data!$U$4:$U$273,A34)</f>
        <v>0</v>
      </c>
      <c r="H34" s="95" t="str">
        <f>IFERROR(_xlfn.SINGLE(_xlfn.XLOOKUP(A34, Data!$D$4:$D$75, Data!$C$4:$C$75, "")), "")</f>
        <v/>
      </c>
      <c r="I34" s="5" t="str">
        <f ca="1">IF(H34 = "", "", IFERROR(_xlfn.SINGLE(_xlfn.XLOOKUP(H34, 'Current Player'!$A$4:$A$11, _xlfn.SINGLE('Current Player'!$C$4:$C$11) / _xlfn.SINGLE('Current Player'!$B$4:$B$11), 0)), 0))</f>
        <v/>
      </c>
      <c r="J34" s="5" t="str">
        <f ca="1">IF(AND(H34&lt;&gt;"",H34=INDEX(Bracket!$B$18:$B$25,MATCH("1st",Bracket!$A$18:$A$25,0))),"Yes","")</f>
        <v/>
      </c>
      <c r="K34" s="18">
        <f ca="1">IF($A34="","",SUMIFS('Current Char Stats'!$N$4:$N$273,'Current Char Stats'!$B$4:$B$273,$A34))</f>
        <v>0</v>
      </c>
      <c r="L34" s="18">
        <f ca="1">IF($A34="","",SUMIFS('Current Char Stats'!$O$4:$O$273,'Current Char Stats'!$B$4:$B$273,$A34))</f>
        <v>0</v>
      </c>
      <c r="M34" s="18">
        <f ca="1">IF($A34="","",SUMIFS('Current Char Stats'!$P$4:$P$273,'Current Char Stats'!$B$4:$B$273,$A34))</f>
        <v>0</v>
      </c>
      <c r="N34" s="18">
        <f ca="1">IF($A34="","",SUMIFS('Current Char Stats'!$Q$4:$Q$273,'Current Char Stats'!$B$4:$B$273,$A34))</f>
        <v>0</v>
      </c>
      <c r="O34" s="18">
        <f ca="1">IF($A34="","",SUMIFS('Current Char Stats'!$R$4:$R$273,'Current Char Stats'!$B$4:$B$273,$A34))</f>
        <v>0</v>
      </c>
      <c r="P34" s="18">
        <f ca="1">IF($A34="","",SUMIFS('Current Char Stats'!$S$4:$S$273,'Current Char Stats'!$B$4:$B$273,$A34))</f>
        <v>0</v>
      </c>
      <c r="Q34" s="18">
        <f ca="1">COUNTIF(Bracket!$K$6:$K$20,A34)</f>
        <v>0</v>
      </c>
      <c r="R34" s="18">
        <f ca="1">COUNTIFS(Bracket!$K$6:$K$20,A34,Bracket!$G$6:$G$20,"CG-*")</f>
        <v>0</v>
      </c>
      <c r="S34" s="18">
        <f ca="1">IF($A34="","",SUMIFS('Current Char Stats'!$T$4:$T$273,'Current Char Stats'!$B$4:$B$273,$A34))</f>
        <v>0</v>
      </c>
      <c r="T34" s="18">
        <f ca="1">IF($A34="","",SUMIFS('Current Char Stats'!$U$4:$U$273,'Current Char Stats'!$B$4:$B$273,$A34))</f>
        <v>0</v>
      </c>
      <c r="U34" s="18" cm="1">
        <f t="array" aca="1" ref="U34" ca="1">IF($A34="","",_xlfn.LET(_xlpm.rawIP,SUMPRODUCT(--(Data!$AM$4:$AM$183=$A34),IFERROR(Data!$AN$4:$AN$183,0)),IF(_xlpm.rawIP=0,0,INT(_xlpm.rawIP)+MOD(ROUND(_xlpm.rawIP*3,0),3)/10)))</f>
        <v>0</v>
      </c>
      <c r="V34" s="18">
        <f ca="1">IF($A34="","",SUMIFS('Current Char Stats'!$J$4:$J$273,'Current Char Stats'!$B$4:$B$273,$A34))</f>
        <v>0</v>
      </c>
      <c r="W34" s="18" cm="1">
        <f t="array" aca="1" ref="W34" ca="1">IF($A34="","",_xlfn.LET(_xlpm.rawIP,SUMPRODUCT(--(Data!$AM$4:$AM$183=$A34),IFERROR(Data!$AN$4:$AN$183,0)),IF(_xlpm.rawIP=0,0,V34*3/_xlpm.rawIP)))</f>
        <v>0</v>
      </c>
      <c r="X34" s="18">
        <f ca="1">IF($A34="","",SUMIFS('Current Char Stats'!$V$4:$V$273,'Current Char Stats'!$B$4:$B$273,$A34))</f>
        <v>0</v>
      </c>
      <c r="Y34" s="18">
        <f ca="1">IF($A34="","",SUMIFS('Current Char Stats'!$W$4:$W$273,'Current Char Stats'!$B$4:$B$273,$A34))</f>
        <v>0</v>
      </c>
      <c r="Z34" s="18">
        <f ca="1">IF($A34="","",SUMIFS('Current Char Stats'!$X$4:$X$273,'Current Char Stats'!$B$4:$B$273,$A34))</f>
        <v>0</v>
      </c>
      <c r="AA34" s="18">
        <f ca="1">IF($A34="","",SUMIFS('Current Char Stats'!$Y$4:$Y$273,'Current Char Stats'!$B$4:$B$273,$A34))</f>
        <v>0</v>
      </c>
      <c r="AB34" s="18">
        <f ca="1">IF($A34="","",SUMIFS('Current Char Stats'!$Z$4:$Z$273,'Current Char Stats'!$B$4:$B$273,$A34))</f>
        <v>0</v>
      </c>
      <c r="AC34" s="18">
        <f ca="1">IF($A34="","",SUMIFS('Current Char Stats'!$AA$4:$AA$273,'Current Char Stats'!$B$4:$B$273,$A34))</f>
        <v>0</v>
      </c>
      <c r="AD34" s="18">
        <f ca="1">IF($A34="","",SUMIFS('Current Char Stats'!$AB$4:$AB$273,'Current Char Stats'!$B$4:$B$273,$A34))</f>
        <v>0</v>
      </c>
      <c r="AE34" s="18">
        <f ca="1">IF($A34="","",SUMIFS('Current Char Stats'!$AC$4:$AC$273,'Current Char Stats'!$B$4:$B$273,$A34))</f>
        <v>0</v>
      </c>
      <c r="AF34" s="18" cm="1">
        <f t="array" aca="1" ref="AF34" ca="1">IF($A34="","",_xlfn.LET(_xlpm.rawIP,SUMPRODUCT(--(Data!$AM$4:$AM$183=$A34),IFERROR(Data!$AN$4:$AN$183,0)),IF(_xlpm.rawIP=0,0,(X34+Z34)/_xlpm.rawIP)))</f>
        <v>0</v>
      </c>
      <c r="AG34" s="18">
        <f ca="1">IF($A34="","",SUMIFS('Current Char Stats'!$AE$4:$AE$273,'Current Char Stats'!$B$4:$B$273,$A34))</f>
        <v>0</v>
      </c>
    </row>
    <row r="35" spans="1:33">
      <c r="A35" s="4" t="s">
        <v>62</v>
      </c>
      <c r="B35" s="5">
        <f>COUNTIF(Data!$D$4:$D$75,A35)</f>
        <v>1</v>
      </c>
      <c r="C35" s="5">
        <f ca="1">SUMIFS(Data!$W$4:$W$273,Data!$U$4:$U$273,A35)</f>
        <v>5</v>
      </c>
      <c r="D35" s="5">
        <f ca="1">SUMIFS(Data!$Y$4:$Y$273,Data!$U$4:$U$273,A35)</f>
        <v>2</v>
      </c>
      <c r="E35" s="5">
        <f ca="1">IF(C35=0,0,D35/C35)</f>
        <v>0.4</v>
      </c>
      <c r="F35" s="5">
        <f ca="1">SUMIFS(Data!$AB$4:$AB$273,Data!$U$4:$U$273,A35)</f>
        <v>1</v>
      </c>
      <c r="G35" s="5">
        <f ca="1">SUMIFS(Data!$AC$4:$AC$273,Data!$U$4:$U$273,A35)</f>
        <v>3</v>
      </c>
      <c r="H35" s="93" t="str">
        <f>IFERROR(_xlfn.SINGLE(_xlfn.XLOOKUP(A35, Data!$D$4:$D$75, Data!$C$4:$C$75, "")), "")</f>
        <v>Nick</v>
      </c>
      <c r="I35" s="5">
        <f ca="1">IF(H35 = "", "", IFERROR(_xlfn.SINGLE(_xlfn.XLOOKUP(H35, 'Current Player'!$A$4:$A$11, _xlfn.SINGLE('Current Player'!$C$4:$C$11) / _xlfn.SINGLE('Current Player'!$B$4:$B$11), 0)), 0))</f>
        <v>0</v>
      </c>
      <c r="J35" s="5" t="str">
        <f ca="1">IF(AND(H35&lt;&gt;"",H35=INDEX(Bracket!$B$18:$B$25,MATCH("1st",Bracket!$A$18:$A$25,0))),"Yes","")</f>
        <v/>
      </c>
      <c r="K35" s="18">
        <f ca="1">IF($A35="","",SUMIFS('Current Char Stats'!$N$4:$N$273,'Current Char Stats'!$B$4:$B$273,$A35))</f>
        <v>2</v>
      </c>
      <c r="L35" s="18">
        <f ca="1">IF($A35="","",SUMIFS('Current Char Stats'!$O$4:$O$273,'Current Char Stats'!$B$4:$B$273,$A35))</f>
        <v>0</v>
      </c>
      <c r="M35" s="18">
        <f ca="1">IF($A35="","",SUMIFS('Current Char Stats'!$P$4:$P$273,'Current Char Stats'!$B$4:$B$273,$A35))</f>
        <v>0</v>
      </c>
      <c r="N35" s="18">
        <f ca="1">IF($A35="","",SUMIFS('Current Char Stats'!$Q$4:$Q$273,'Current Char Stats'!$B$4:$B$273,$A35))</f>
        <v>0</v>
      </c>
      <c r="O35" s="18">
        <f ca="1">IF($A35="","",SUMIFS('Current Char Stats'!$R$4:$R$273,'Current Char Stats'!$B$4:$B$273,$A35))</f>
        <v>0</v>
      </c>
      <c r="P35" s="18">
        <f ca="1">IF($A35="","",SUMIFS('Current Char Stats'!$S$4:$S$273,'Current Char Stats'!$B$4:$B$273,$A35))</f>
        <v>1</v>
      </c>
      <c r="Q35" s="18">
        <f ca="1">COUNTIF(Bracket!$K$6:$K$20,A35)</f>
        <v>0</v>
      </c>
      <c r="R35" s="18">
        <f ca="1">COUNTIFS(Bracket!$K$6:$K$20,A35,Bracket!$G$6:$G$20,"CG-*")</f>
        <v>0</v>
      </c>
      <c r="S35" s="18">
        <f ca="1">IF($A35="","",SUMIFS('Current Char Stats'!$T$4:$T$273,'Current Char Stats'!$B$4:$B$273,$A35))</f>
        <v>0</v>
      </c>
      <c r="T35" s="18">
        <f ca="1">IF($A35="","",SUMIFS('Current Char Stats'!$U$4:$U$273,'Current Char Stats'!$B$4:$B$273,$A35))</f>
        <v>0</v>
      </c>
      <c r="U35" s="18" cm="1">
        <f t="array" aca="1" ref="U35" ca="1">IF($A35="","",_xlfn.LET(_xlpm.rawIP,SUMPRODUCT(--(Data!$AM$4:$AM$183=$A35),IFERROR(Data!$AN$4:$AN$183,0)),IF(_xlpm.rawIP=0,0,INT(_xlpm.rawIP)+MOD(ROUND(_xlpm.rawIP*3,0),3)/10)))</f>
        <v>0</v>
      </c>
      <c r="V35" s="18">
        <f ca="1">IF($A35="","",SUMIFS('Current Char Stats'!$J$4:$J$273,'Current Char Stats'!$B$4:$B$273,$A35))</f>
        <v>0</v>
      </c>
      <c r="W35" s="18" cm="1">
        <f t="array" aca="1" ref="W35" ca="1">IF($A35="","",_xlfn.LET(_xlpm.rawIP,SUMPRODUCT(--(Data!$AM$4:$AM$183=$A35),IFERROR(Data!$AN$4:$AN$183,0)),IF(_xlpm.rawIP=0,0,V35*3/_xlpm.rawIP)))</f>
        <v>0</v>
      </c>
      <c r="X35" s="18">
        <f ca="1">IF($A35="","",SUMIFS('Current Char Stats'!$V$4:$V$273,'Current Char Stats'!$B$4:$B$273,$A35))</f>
        <v>0</v>
      </c>
      <c r="Y35" s="18">
        <f ca="1">IF($A35="","",SUMIFS('Current Char Stats'!$W$4:$W$273,'Current Char Stats'!$B$4:$B$273,$A35))</f>
        <v>0</v>
      </c>
      <c r="Z35" s="18">
        <f ca="1">IF($A35="","",SUMIFS('Current Char Stats'!$X$4:$X$273,'Current Char Stats'!$B$4:$B$273,$A35))</f>
        <v>0</v>
      </c>
      <c r="AA35" s="18">
        <f ca="1">IF($A35="","",SUMIFS('Current Char Stats'!$Y$4:$Y$273,'Current Char Stats'!$B$4:$B$273,$A35))</f>
        <v>0</v>
      </c>
      <c r="AB35" s="18">
        <f ca="1">IF($A35="","",SUMIFS('Current Char Stats'!$Z$4:$Z$273,'Current Char Stats'!$B$4:$B$273,$A35))</f>
        <v>0</v>
      </c>
      <c r="AC35" s="18">
        <f ca="1">IF($A35="","",SUMIFS('Current Char Stats'!$AA$4:$AA$273,'Current Char Stats'!$B$4:$B$273,$A35))</f>
        <v>0</v>
      </c>
      <c r="AD35" s="18">
        <f ca="1">IF($A35="","",SUMIFS('Current Char Stats'!$AB$4:$AB$273,'Current Char Stats'!$B$4:$B$273,$A35))</f>
        <v>0</v>
      </c>
      <c r="AE35" s="18">
        <f ca="1">IF($A35="","",SUMIFS('Current Char Stats'!$AC$4:$AC$273,'Current Char Stats'!$B$4:$B$273,$A35))</f>
        <v>0</v>
      </c>
      <c r="AF35" s="18" cm="1">
        <f t="array" aca="1" ref="AF35" ca="1">IF($A35="","",_xlfn.LET(_xlpm.rawIP,SUMPRODUCT(--(Data!$AM$4:$AM$183=$A35),IFERROR(Data!$AN$4:$AN$183,0)),IF(_xlpm.rawIP=0,0,(X35+Z35)/_xlpm.rawIP)))</f>
        <v>0</v>
      </c>
      <c r="AG35" s="18">
        <f ca="1">IF($A35="","",SUMIFS('Current Char Stats'!$AE$4:$AE$273,'Current Char Stats'!$B$4:$B$273,$A35))</f>
        <v>0</v>
      </c>
    </row>
    <row r="36" spans="1:33">
      <c r="A36" s="4" t="s">
        <v>65</v>
      </c>
      <c r="B36" s="5">
        <f>COUNTIF(Data!$D$4:$D$75,A36)</f>
        <v>1</v>
      </c>
      <c r="C36" s="5">
        <f ca="1">SUMIFS(Data!$W$4:$W$273,Data!$U$4:$U$273,A36)</f>
        <v>3</v>
      </c>
      <c r="D36" s="5">
        <f ca="1">SUMIFS(Data!$Y$4:$Y$273,Data!$U$4:$U$273,A36)</f>
        <v>0</v>
      </c>
      <c r="E36" s="5">
        <f ca="1">IF(C36=0,0,D36/C36)</f>
        <v>0.0</v>
      </c>
      <c r="F36" s="5">
        <f ca="1">SUMIFS(Data!$AB$4:$AB$273,Data!$U$4:$U$273,A36)</f>
        <v>0</v>
      </c>
      <c r="G36" s="5">
        <f ca="1">SUMIFS(Data!$AC$4:$AC$273,Data!$U$4:$U$273,A36)</f>
        <v>0</v>
      </c>
      <c r="H36" s="92" t="str">
        <f>IFERROR(_xlfn.SINGLE(_xlfn.XLOOKUP(A36, Data!$D$4:$D$75, Data!$C$4:$C$75, "")), "")</f>
        <v>Justin</v>
      </c>
      <c r="I36" s="5">
        <f ca="1">IF(H36 = "", "", IFERROR(_xlfn.SINGLE(_xlfn.XLOOKUP(H36, 'Current Player'!$A$4:$A$11, _xlfn.SINGLE('Current Player'!$C$4:$C$11) / _xlfn.SINGLE('Current Player'!$B$4:$B$11), 0)), 0))</f>
        <v>0</v>
      </c>
      <c r="J36" s="5" t="str">
        <f ca="1">IF(AND(H36&lt;&gt;"",H36=INDEX(Bracket!$B$18:$B$25,MATCH("1st",Bracket!$A$18:$A$25,0))),"Yes","")</f>
        <v/>
      </c>
      <c r="K36" s="18">
        <f ca="1">IF($A36="","",SUMIFS('Current Char Stats'!$N$4:$N$273,'Current Char Stats'!$B$4:$B$273,$A36))</f>
        <v>0</v>
      </c>
      <c r="L36" s="18">
        <f ca="1">IF($A36="","",SUMIFS('Current Char Stats'!$O$4:$O$273,'Current Char Stats'!$B$4:$B$273,$A36))</f>
        <v>0</v>
      </c>
      <c r="M36" s="18">
        <f ca="1">IF($A36="","",SUMIFS('Current Char Stats'!$P$4:$P$273,'Current Char Stats'!$B$4:$B$273,$A36))</f>
        <v>0</v>
      </c>
      <c r="N36" s="18">
        <f ca="1">IF($A36="","",SUMIFS('Current Char Stats'!$Q$4:$Q$273,'Current Char Stats'!$B$4:$B$273,$A36))</f>
        <v>0</v>
      </c>
      <c r="O36" s="18">
        <f ca="1">IF($A36="","",SUMIFS('Current Char Stats'!$R$4:$R$273,'Current Char Stats'!$B$4:$B$273,$A36))</f>
        <v>0</v>
      </c>
      <c r="P36" s="18">
        <f ca="1">IF($A36="","",SUMIFS('Current Char Stats'!$S$4:$S$273,'Current Char Stats'!$B$4:$B$273,$A36))</f>
        <v>0</v>
      </c>
      <c r="Q36" s="18">
        <f ca="1">COUNTIF(Bracket!$K$6:$K$20,A36)</f>
        <v>0</v>
      </c>
      <c r="R36" s="18">
        <f ca="1">COUNTIFS(Bracket!$K$6:$K$20,A36,Bracket!$G$6:$G$20,"CG-*")</f>
        <v>0</v>
      </c>
      <c r="S36" s="18">
        <f ca="1">IF($A36="","",SUMIFS('Current Char Stats'!$T$4:$T$273,'Current Char Stats'!$B$4:$B$273,$A36))</f>
        <v>0</v>
      </c>
      <c r="T36" s="18">
        <f ca="1">IF($A36="","",SUMIFS('Current Char Stats'!$U$4:$U$273,'Current Char Stats'!$B$4:$B$273,$A36))</f>
        <v>0</v>
      </c>
      <c r="U36" s="18" cm="1">
        <f t="array" aca="1" ref="U36" ca="1">IF($A36="","",_xlfn.LET(_xlpm.rawIP,SUMPRODUCT(--(Data!$AM$4:$AM$183=$A36),IFERROR(Data!$AN$4:$AN$183,0)),IF(_xlpm.rawIP=0,0,INT(_xlpm.rawIP)+MOD(ROUND(_xlpm.rawIP*3,0),3)/10)))</f>
        <v>0</v>
      </c>
      <c r="V36" s="18">
        <f ca="1">IF($A36="","",SUMIFS('Current Char Stats'!$J$4:$J$273,'Current Char Stats'!$B$4:$B$273,$A36))</f>
        <v>0</v>
      </c>
      <c r="W36" s="18" cm="1">
        <f t="array" aca="1" ref="W36" ca="1">IF($A36="","",_xlfn.LET(_xlpm.rawIP,SUMPRODUCT(--(Data!$AM$4:$AM$183=$A36),IFERROR(Data!$AN$4:$AN$183,0)),IF(_xlpm.rawIP=0,0,V36*3/_xlpm.rawIP)))</f>
        <v>0</v>
      </c>
      <c r="X36" s="18">
        <f ca="1">IF($A36="","",SUMIFS('Current Char Stats'!$V$4:$V$273,'Current Char Stats'!$B$4:$B$273,$A36))</f>
        <v>0</v>
      </c>
      <c r="Y36" s="18">
        <f ca="1">IF($A36="","",SUMIFS('Current Char Stats'!$W$4:$W$273,'Current Char Stats'!$B$4:$B$273,$A36))</f>
        <v>0</v>
      </c>
      <c r="Z36" s="18">
        <f ca="1">IF($A36="","",SUMIFS('Current Char Stats'!$X$4:$X$273,'Current Char Stats'!$B$4:$B$273,$A36))</f>
        <v>0</v>
      </c>
      <c r="AA36" s="18">
        <f ca="1">IF($A36="","",SUMIFS('Current Char Stats'!$Y$4:$Y$273,'Current Char Stats'!$B$4:$B$273,$A36))</f>
        <v>0</v>
      </c>
      <c r="AB36" s="18">
        <f ca="1">IF($A36="","",SUMIFS('Current Char Stats'!$Z$4:$Z$273,'Current Char Stats'!$B$4:$B$273,$A36))</f>
        <v>0</v>
      </c>
      <c r="AC36" s="18">
        <f ca="1">IF($A36="","",SUMIFS('Current Char Stats'!$AA$4:$AA$273,'Current Char Stats'!$B$4:$B$273,$A36))</f>
        <v>0</v>
      </c>
      <c r="AD36" s="18">
        <f ca="1">IF($A36="","",SUMIFS('Current Char Stats'!$AB$4:$AB$273,'Current Char Stats'!$B$4:$B$273,$A36))</f>
        <v>0</v>
      </c>
      <c r="AE36" s="18">
        <f ca="1">IF($A36="","",SUMIFS('Current Char Stats'!$AC$4:$AC$273,'Current Char Stats'!$B$4:$B$273,$A36))</f>
        <v>0</v>
      </c>
      <c r="AF36" s="18" cm="1">
        <f t="array" aca="1" ref="AF36" ca="1">IF($A36="","",_xlfn.LET(_xlpm.rawIP,SUMPRODUCT(--(Data!$AM$4:$AM$183=$A36),IFERROR(Data!$AN$4:$AN$183,0)),IF(_xlpm.rawIP=0,0,(X36+Z36)/_xlpm.rawIP)))</f>
        <v>0</v>
      </c>
      <c r="AG36" s="18">
        <f ca="1">IF($A36="","",SUMIFS('Current Char Stats'!$AE$4:$AE$273,'Current Char Stats'!$B$4:$B$273,$A36))</f>
        <v>0</v>
      </c>
    </row>
    <row r="37" spans="1:33">
      <c r="A37" s="4" t="s">
        <v>51</v>
      </c>
      <c r="B37" s="5">
        <f>COUNTIF(Data!$D$4:$D$75,A37)</f>
        <v>1</v>
      </c>
      <c r="C37" s="5">
        <f ca="1">SUMIFS(Data!$W$4:$W$273,Data!$U$4:$U$273,A37)</f>
        <v>2</v>
      </c>
      <c r="D37" s="5">
        <f ca="1">SUMIFS(Data!$Y$4:$Y$273,Data!$U$4:$U$273,A37)</f>
        <v>1</v>
      </c>
      <c r="E37" s="5">
        <f ca="1">IF(C37=0,0,D37/C37)</f>
        <v>0.5</v>
      </c>
      <c r="F37" s="5">
        <f ca="1">SUMIFS(Data!$AB$4:$AB$273,Data!$U$4:$U$273,A37)</f>
        <v>1</v>
      </c>
      <c r="G37" s="5">
        <f ca="1">SUMIFS(Data!$AC$4:$AC$273,Data!$U$4:$U$273,A37)</f>
        <v>1</v>
      </c>
      <c r="H37" s="90" t="str">
        <f>IFERROR(_xlfn.SINGLE(_xlfn.XLOOKUP(A37, Data!$D$4:$D$75, Data!$C$4:$C$75, "")), "")</f>
        <v>Justin</v>
      </c>
      <c r="I37" s="5">
        <f ca="1">IF(H37 = "", "", IFERROR(_xlfn.SINGLE(_xlfn.XLOOKUP(H37, 'Current Player'!$A$4:$A$11, _xlfn.SINGLE('Current Player'!$C$4:$C$11) / _xlfn.SINGLE('Current Player'!$B$4:$B$11), 0)), 0))</f>
        <v>0</v>
      </c>
      <c r="J37" s="5" t="str">
        <f ca="1">IF(AND(H37&lt;&gt;"",H37=INDEX(Bracket!$B$18:$B$25,MATCH("1st",Bracket!$A$18:$A$25,0))),"Yes","")</f>
        <v/>
      </c>
      <c r="K37" s="18">
        <f ca="1">IF($A37="","",SUMIFS('Current Char Stats'!$N$4:$N$273,'Current Char Stats'!$B$4:$B$273,$A37))</f>
        <v>1</v>
      </c>
      <c r="L37" s="18">
        <f ca="1">IF($A37="","",SUMIFS('Current Char Stats'!$O$4:$O$273,'Current Char Stats'!$B$4:$B$273,$A37))</f>
        <v>0</v>
      </c>
      <c r="M37" s="18">
        <f ca="1">IF($A37="","",SUMIFS('Current Char Stats'!$P$4:$P$273,'Current Char Stats'!$B$4:$B$273,$A37))</f>
        <v>0</v>
      </c>
      <c r="N37" s="18">
        <f ca="1">IF($A37="","",SUMIFS('Current Char Stats'!$Q$4:$Q$273,'Current Char Stats'!$B$4:$B$273,$A37))</f>
        <v>0</v>
      </c>
      <c r="O37" s="18">
        <f ca="1">IF($A37="","",SUMIFS('Current Char Stats'!$R$4:$R$273,'Current Char Stats'!$B$4:$B$273,$A37))</f>
        <v>0</v>
      </c>
      <c r="P37" s="18">
        <f ca="1">IF($A37="","",SUMIFS('Current Char Stats'!$S$4:$S$273,'Current Char Stats'!$B$4:$B$273,$A37))</f>
        <v>0</v>
      </c>
      <c r="Q37" s="18">
        <f ca="1">COUNTIF(Bracket!$K$6:$K$20,A37)</f>
        <v>0</v>
      </c>
      <c r="R37" s="18">
        <f ca="1">COUNTIFS(Bracket!$K$6:$K$20,A37,Bracket!$G$6:$G$20,"CG-*")</f>
        <v>0</v>
      </c>
      <c r="S37" s="18">
        <f ca="1">IF($A37="","",SUMIFS('Current Char Stats'!$T$4:$T$273,'Current Char Stats'!$B$4:$B$273,$A37))</f>
        <v>0</v>
      </c>
      <c r="T37" s="18">
        <f ca="1">IF($A37="","",SUMIFS('Current Char Stats'!$U$4:$U$273,'Current Char Stats'!$B$4:$B$273,$A37))</f>
        <v>0</v>
      </c>
      <c r="U37" s="18" cm="1">
        <f t="array" aca="1" ref="U37" ca="1">IF($A37="","",_xlfn.LET(_xlpm.rawIP,SUMPRODUCT(--(Data!$AM$4:$AM$183=$A37),IFERROR(Data!$AN$4:$AN$183,0)),IF(_xlpm.rawIP=0,0,INT(_xlpm.rawIP)+MOD(ROUND(_xlpm.rawIP*3,0),3)/10)))</f>
        <v>4.1</v>
      </c>
      <c r="V37" s="18">
        <f ca="1">IF($A37="","",SUMIFS('Current Char Stats'!$J$4:$J$273,'Current Char Stats'!$B$4:$B$273,$A37))</f>
        <v>6</v>
      </c>
      <c r="W37" s="18" cm="1">
        <f t="array" aca="1" ref="W37" ca="1">IF($A37="","",_xlfn.LET(_xlpm.rawIP,SUMPRODUCT(--(Data!$AM$4:$AM$183=$A37),IFERROR(Data!$AN$4:$AN$183,0)),IF(_xlpm.rawIP=0,0,V37*3/_xlpm.rawIP)))</f>
        <v>4.153846153846154</v>
      </c>
      <c r="X37" s="18">
        <f ca="1">IF($A37="","",SUMIFS('Current Char Stats'!$V$4:$V$273,'Current Char Stats'!$B$4:$B$273,$A37))</f>
        <v>10</v>
      </c>
      <c r="Y37" s="18">
        <f ca="1">IF($A37="","",SUMIFS('Current Char Stats'!$W$4:$W$273,'Current Char Stats'!$B$4:$B$273,$A37))</f>
        <v>6</v>
      </c>
      <c r="Z37" s="18">
        <f ca="1">IF($A37="","",SUMIFS('Current Char Stats'!$X$4:$X$273,'Current Char Stats'!$B$4:$B$273,$A37))</f>
        <v>0</v>
      </c>
      <c r="AA37" s="18">
        <f ca="1">IF($A37="","",SUMIFS('Current Char Stats'!$Y$4:$Y$273,'Current Char Stats'!$B$4:$B$273,$A37))</f>
        <v>2</v>
      </c>
      <c r="AB37" s="18">
        <f ca="1">IF($A37="","",SUMIFS('Current Char Stats'!$Z$4:$Z$273,'Current Char Stats'!$B$4:$B$273,$A37))</f>
        <v>4</v>
      </c>
      <c r="AC37" s="18">
        <f ca="1">IF($A37="","",SUMIFS('Current Char Stats'!$AA$4:$AA$273,'Current Char Stats'!$B$4:$B$273,$A37))</f>
        <v>0</v>
      </c>
      <c r="AD37" s="18">
        <f ca="1">IF($A37="","",SUMIFS('Current Char Stats'!$AB$4:$AB$273,'Current Char Stats'!$B$4:$B$273,$A37))</f>
        <v>0</v>
      </c>
      <c r="AE37" s="18">
        <f ca="1">IF($A37="","",SUMIFS('Current Char Stats'!$AC$4:$AC$273,'Current Char Stats'!$B$4:$B$273,$A37))</f>
        <v>2</v>
      </c>
      <c r="AF37" s="18" cm="1">
        <f t="array" aca="1" ref="AF37" ca="1">IF($A37="","",_xlfn.LET(_xlpm.rawIP,SUMPRODUCT(--(Data!$AM$4:$AM$183=$A37),IFERROR(Data!$AN$4:$AN$183,0)),IF(_xlpm.rawIP=0,0,(X37+Z37)/_xlpm.rawIP)))</f>
        <v>2.307692307692308</v>
      </c>
      <c r="AG37" s="18">
        <f ca="1">IF($A37="","",SUMIFS('Current Char Stats'!$AE$4:$AE$273,'Current Char Stats'!$B$4:$B$273,$A37))</f>
        <v>22</v>
      </c>
    </row>
    <row r="38" spans="1:33">
      <c r="A38" s="4" t="s">
        <v>86</v>
      </c>
      <c r="B38" s="5">
        <f>COUNTIF(Data!$D$4:$D$75,A38)</f>
        <v>1</v>
      </c>
      <c r="C38" s="5">
        <f ca="1">SUMIFS(Data!$W$4:$W$273,Data!$U$4:$U$273,A38)</f>
        <v>6</v>
      </c>
      <c r="D38" s="5">
        <f ca="1">SUMIFS(Data!$Y$4:$Y$273,Data!$U$4:$U$273,A38)</f>
        <v>2</v>
      </c>
      <c r="E38" s="5">
        <f ca="1">IF(C38=0,0,D38/C38)</f>
        <v>0.3333333333333333</v>
      </c>
      <c r="F38" s="5">
        <f ca="1">SUMIFS(Data!$AB$4:$AB$273,Data!$U$4:$U$273,A38)</f>
        <v>0</v>
      </c>
      <c r="G38" s="5">
        <f ca="1">SUMIFS(Data!$AC$4:$AC$273,Data!$U$4:$U$273,A38)</f>
        <v>0</v>
      </c>
      <c r="H38" s="89" t="str">
        <f>IFERROR(_xlfn.SINGLE(_xlfn.XLOOKUP(A38, Data!$D$4:$D$75, Data!$C$4:$C$75, "")), "")</f>
        <v>Nick</v>
      </c>
      <c r="I38" s="5">
        <f ca="1">IF(H38 = "", "", IFERROR(_xlfn.SINGLE(_xlfn.XLOOKUP(H38, 'Current Player'!$A$4:$A$11, _xlfn.SINGLE('Current Player'!$C$4:$C$11) / _xlfn.SINGLE('Current Player'!$B$4:$B$11), 0)), 0))</f>
        <v>0</v>
      </c>
      <c r="J38" s="5" t="str">
        <f ca="1">IF(AND(H38&lt;&gt;"",H38=INDEX(Bracket!$B$18:$B$25,MATCH("1st",Bracket!$A$18:$A$25,0))),"Yes","")</f>
        <v/>
      </c>
      <c r="K38" s="18">
        <f ca="1">IF($A38="","",SUMIFS('Current Char Stats'!$N$4:$N$273,'Current Char Stats'!$B$4:$B$273,$A38))</f>
        <v>1</v>
      </c>
      <c r="L38" s="18">
        <f ca="1">IF($A38="","",SUMIFS('Current Char Stats'!$O$4:$O$273,'Current Char Stats'!$B$4:$B$273,$A38))</f>
        <v>0</v>
      </c>
      <c r="M38" s="18">
        <f ca="1">IF($A38="","",SUMIFS('Current Char Stats'!$P$4:$P$273,'Current Char Stats'!$B$4:$B$273,$A38))</f>
        <v>0</v>
      </c>
      <c r="N38" s="18">
        <f ca="1">IF($A38="","",SUMIFS('Current Char Stats'!$Q$4:$Q$273,'Current Char Stats'!$B$4:$B$273,$A38))</f>
        <v>0</v>
      </c>
      <c r="O38" s="18">
        <f ca="1">IF($A38="","",SUMIFS('Current Char Stats'!$R$4:$R$273,'Current Char Stats'!$B$4:$B$273,$A38))</f>
        <v>1</v>
      </c>
      <c r="P38" s="18">
        <f ca="1">IF($A38="","",SUMIFS('Current Char Stats'!$S$4:$S$273,'Current Char Stats'!$B$4:$B$273,$A38))</f>
        <v>1</v>
      </c>
      <c r="Q38" s="18">
        <f ca="1">COUNTIF(Bracket!$K$6:$K$20,A38)</f>
        <v>0</v>
      </c>
      <c r="R38" s="18">
        <f ca="1">COUNTIFS(Bracket!$K$6:$K$20,A38,Bracket!$G$6:$G$20,"CG-*")</f>
        <v>0</v>
      </c>
      <c r="S38" s="18">
        <f ca="1">IF($A38="","",SUMIFS('Current Char Stats'!$T$4:$T$273,'Current Char Stats'!$B$4:$B$273,$A38))</f>
        <v>0</v>
      </c>
      <c r="T38" s="18">
        <f ca="1">IF($A38="","",SUMIFS('Current Char Stats'!$U$4:$U$273,'Current Char Stats'!$B$4:$B$273,$A38))</f>
        <v>0</v>
      </c>
      <c r="U38" s="18" cm="1">
        <f t="array" aca="1" ref="U38" ca="1">IF($A38="","",_xlfn.LET(_xlpm.rawIP,SUMPRODUCT(--(Data!$AM$4:$AM$183=$A38),IFERROR(Data!$AN$4:$AN$183,0)),IF(_xlpm.rawIP=0,0,INT(_xlpm.rawIP)+MOD(ROUND(_xlpm.rawIP*3,0),3)/10)))</f>
        <v>3.2</v>
      </c>
      <c r="V38" s="18">
        <f ca="1">IF($A38="","",SUMIFS('Current Char Stats'!$J$4:$J$273,'Current Char Stats'!$B$4:$B$273,$A38))</f>
        <v>6</v>
      </c>
      <c r="W38" s="18" cm="1">
        <f t="array" aca="1" ref="W38" ca="1">IF($A38="","",_xlfn.LET(_xlpm.rawIP,SUMPRODUCT(--(Data!$AM$4:$AM$183=$A38),IFERROR(Data!$AN$4:$AN$183,0)),IF(_xlpm.rawIP=0,0,V38*3/_xlpm.rawIP)))</f>
        <v>4.909090909090909</v>
      </c>
      <c r="X38" s="18">
        <f ca="1">IF($A38="","",SUMIFS('Current Char Stats'!$V$4:$V$273,'Current Char Stats'!$B$4:$B$273,$A38))</f>
        <v>6</v>
      </c>
      <c r="Y38" s="18">
        <f ca="1">IF($A38="","",SUMIFS('Current Char Stats'!$W$4:$W$273,'Current Char Stats'!$B$4:$B$273,$A38))</f>
        <v>6</v>
      </c>
      <c r="Z38" s="18">
        <f ca="1">IF($A38="","",SUMIFS('Current Char Stats'!$X$4:$X$273,'Current Char Stats'!$B$4:$B$273,$A38))</f>
        <v>0</v>
      </c>
      <c r="AA38" s="18">
        <f ca="1">IF($A38="","",SUMIFS('Current Char Stats'!$Y$4:$Y$273,'Current Char Stats'!$B$4:$B$273,$A38))</f>
        <v>2</v>
      </c>
      <c r="AB38" s="18">
        <f ca="1">IF($A38="","",SUMIFS('Current Char Stats'!$Z$4:$Z$273,'Current Char Stats'!$B$4:$B$273,$A38))</f>
        <v>2</v>
      </c>
      <c r="AC38" s="18">
        <f ca="1">IF($A38="","",SUMIFS('Current Char Stats'!$AA$4:$AA$273,'Current Char Stats'!$B$4:$B$273,$A38))</f>
        <v>1</v>
      </c>
      <c r="AD38" s="18">
        <f ca="1">IF($A38="","",SUMIFS('Current Char Stats'!$AB$4:$AB$273,'Current Char Stats'!$B$4:$B$273,$A38))</f>
        <v>0</v>
      </c>
      <c r="AE38" s="18">
        <f ca="1">IF($A38="","",SUMIFS('Current Char Stats'!$AC$4:$AC$273,'Current Char Stats'!$B$4:$B$273,$A38))</f>
        <v>0</v>
      </c>
      <c r="AF38" s="18" cm="1">
        <f t="array" aca="1" ref="AF38" ca="1">IF($A38="","",_xlfn.LET(_xlpm.rawIP,SUMPRODUCT(--(Data!$AM$4:$AM$183=$A38),IFERROR(Data!$AN$4:$AN$183,0)),IF(_xlpm.rawIP=0,0,(X38+Z38)/_xlpm.rawIP)))</f>
        <v>1.6363636363636365</v>
      </c>
      <c r="AG38" s="18">
        <f ca="1">IF($A38="","",SUMIFS('Current Char Stats'!$AE$4:$AE$273,'Current Char Stats'!$B$4:$B$273,$A38))</f>
        <v>17</v>
      </c>
    </row>
    <row r="39" spans="1:33">
      <c r="A39" s="4" t="s">
        <v>41</v>
      </c>
      <c r="B39" s="5">
        <f>COUNTIF(Data!$D$4:$D$75,A39)</f>
        <v>1</v>
      </c>
      <c r="C39" s="5">
        <f ca="1">SUMIFS(Data!$W$4:$W$273,Data!$U$4:$U$273,A39)</f>
        <v>4</v>
      </c>
      <c r="D39" s="5">
        <f ca="1">SUMIFS(Data!$Y$4:$Y$273,Data!$U$4:$U$273,A39)</f>
        <v>2</v>
      </c>
      <c r="E39" s="5">
        <f ca="1">IF(C39=0,0,D39/C39)</f>
        <v>0.5</v>
      </c>
      <c r="F39" s="5">
        <f ca="1">SUMIFS(Data!$AB$4:$AB$273,Data!$U$4:$U$273,A39)</f>
        <v>0</v>
      </c>
      <c r="G39" s="5">
        <f ca="1">SUMIFS(Data!$AC$4:$AC$273,Data!$U$4:$U$273,A39)</f>
        <v>0</v>
      </c>
      <c r="H39" s="88" t="str">
        <f>IFERROR(_xlfn.SINGLE(_xlfn.XLOOKUP(A39, Data!$D$4:$D$75, Data!$C$4:$C$75, "")), "")</f>
        <v>Donovan</v>
      </c>
      <c r="I39" s="5">
        <f ca="1">IF(H39 = "", "", IFERROR(_xlfn.SINGLE(_xlfn.XLOOKUP(H39, 'Current Player'!$A$4:$A$11, _xlfn.SINGLE('Current Player'!$C$4:$C$11) / _xlfn.SINGLE('Current Player'!$B$4:$B$11), 0)), 0))</f>
        <v>0</v>
      </c>
      <c r="J39" s="5" t="str">
        <f ca="1">IF(AND(H39&lt;&gt;"",H39=INDEX(Bracket!$B$18:$B$25,MATCH("1st",Bracket!$A$18:$A$25,0))),"Yes","")</f>
        <v/>
      </c>
      <c r="K39" s="18">
        <f ca="1">IF($A39="","",SUMIFS('Current Char Stats'!$N$4:$N$273,'Current Char Stats'!$B$4:$B$273,$A39))</f>
        <v>2</v>
      </c>
      <c r="L39" s="18">
        <f ca="1">IF($A39="","",SUMIFS('Current Char Stats'!$O$4:$O$273,'Current Char Stats'!$B$4:$B$273,$A39))</f>
        <v>1</v>
      </c>
      <c r="M39" s="18">
        <f ca="1">IF($A39="","",SUMIFS('Current Char Stats'!$P$4:$P$273,'Current Char Stats'!$B$4:$B$273,$A39))</f>
        <v>0</v>
      </c>
      <c r="N39" s="18">
        <f ca="1">IF($A39="","",SUMIFS('Current Char Stats'!$Q$4:$Q$273,'Current Char Stats'!$B$4:$B$273,$A39))</f>
        <v>0</v>
      </c>
      <c r="O39" s="18">
        <f ca="1">IF($A39="","",SUMIFS('Current Char Stats'!$R$4:$R$273,'Current Char Stats'!$B$4:$B$273,$A39))</f>
        <v>1</v>
      </c>
      <c r="P39" s="18">
        <f ca="1">IF($A39="","",SUMIFS('Current Char Stats'!$S$4:$S$273,'Current Char Stats'!$B$4:$B$273,$A39))</f>
        <v>0</v>
      </c>
      <c r="Q39" s="18">
        <f ca="1">COUNTIF(Bracket!$K$6:$K$20,A39)</f>
        <v>0</v>
      </c>
      <c r="R39" s="18">
        <f ca="1">COUNTIFS(Bracket!$K$6:$K$20,A39,Bracket!$G$6:$G$20,"CG-*")</f>
        <v>0</v>
      </c>
      <c r="S39" s="18">
        <f ca="1">IF($A39="","",SUMIFS('Current Char Stats'!$T$4:$T$273,'Current Char Stats'!$B$4:$B$273,$A39))</f>
        <v>0</v>
      </c>
      <c r="T39" s="18">
        <f ca="1">IF($A39="","",SUMIFS('Current Char Stats'!$U$4:$U$273,'Current Char Stats'!$B$4:$B$273,$A39))</f>
        <v>0</v>
      </c>
      <c r="U39" s="18" cm="1">
        <f t="array" aca="1" ref="U39" ca="1">IF($A39="","",_xlfn.LET(_xlpm.rawIP,SUMPRODUCT(--(Data!$AM$4:$AM$183=$A39),IFERROR(Data!$AN$4:$AN$183,0)),IF(_xlpm.rawIP=0,0,INT(_xlpm.rawIP)+MOD(ROUND(_xlpm.rawIP*3,0),3)/10)))</f>
        <v>0.1</v>
      </c>
      <c r="V39" s="18">
        <f ca="1">IF($A39="","",SUMIFS('Current Char Stats'!$J$4:$J$273,'Current Char Stats'!$B$4:$B$273,$A39))</f>
        <v>0</v>
      </c>
      <c r="W39" s="18" cm="1">
        <f t="array" aca="1" ref="W39" ca="1">IF($A39="","",_xlfn.LET(_xlpm.rawIP,SUMPRODUCT(--(Data!$AM$4:$AM$183=$A39),IFERROR(Data!$AN$4:$AN$183,0)),IF(_xlpm.rawIP=0,0,V39*3/_xlpm.rawIP)))</f>
        <v>0.0</v>
      </c>
      <c r="X39" s="18">
        <f ca="1">IF($A39="","",SUMIFS('Current Char Stats'!$V$4:$V$273,'Current Char Stats'!$B$4:$B$273,$A39))</f>
        <v>2</v>
      </c>
      <c r="Y39" s="18">
        <f ca="1">IF($A39="","",SUMIFS('Current Char Stats'!$W$4:$W$273,'Current Char Stats'!$B$4:$B$273,$A39))</f>
        <v>0</v>
      </c>
      <c r="Z39" s="18">
        <f ca="1">IF($A39="","",SUMIFS('Current Char Stats'!$X$4:$X$273,'Current Char Stats'!$B$4:$B$273,$A39))</f>
        <v>0</v>
      </c>
      <c r="AA39" s="18">
        <f ca="1">IF($A39="","",SUMIFS('Current Char Stats'!$Y$4:$Y$273,'Current Char Stats'!$B$4:$B$273,$A39))</f>
        <v>0</v>
      </c>
      <c r="AB39" s="18">
        <f ca="1">IF($A39="","",SUMIFS('Current Char Stats'!$Z$4:$Z$273,'Current Char Stats'!$B$4:$B$273,$A39))</f>
        <v>0</v>
      </c>
      <c r="AC39" s="18">
        <f ca="1">IF($A39="","",SUMIFS('Current Char Stats'!$AA$4:$AA$273,'Current Char Stats'!$B$4:$B$273,$A39))</f>
        <v>0</v>
      </c>
      <c r="AD39" s="18">
        <f ca="1">IF($A39="","",SUMIFS('Current Char Stats'!$AB$4:$AB$273,'Current Char Stats'!$B$4:$B$273,$A39))</f>
        <v>0</v>
      </c>
      <c r="AE39" s="18">
        <f ca="1">IF($A39="","",SUMIFS('Current Char Stats'!$AC$4:$AC$273,'Current Char Stats'!$B$4:$B$273,$A39))</f>
        <v>0</v>
      </c>
      <c r="AF39" s="18" cm="1">
        <f t="array" aca="1" ref="AF39" ca="1">IF($A39="","",_xlfn.LET(_xlpm.rawIP,SUMPRODUCT(--(Data!$AM$4:$AM$183=$A39),IFERROR(Data!$AN$4:$AN$183,0)),IF(_xlpm.rawIP=0,0,(X39+Z39)/_xlpm.rawIP)))</f>
        <v>6.0</v>
      </c>
      <c r="AG39" s="18">
        <f ca="1">IF($A39="","",SUMIFS('Current Char Stats'!$AE$4:$AE$273,'Current Char Stats'!$B$4:$B$273,$A39))</f>
        <v>3</v>
      </c>
    </row>
    <row r="40" spans="1:33">
      <c r="A40" s="4" t="s">
        <v>87</v>
      </c>
      <c r="B40" s="5">
        <f>COUNTIF(Data!$D$4:$D$75,A40)</f>
        <v>1</v>
      </c>
      <c r="C40" s="5">
        <f ca="1">SUMIFS(Data!$W$4:$W$273,Data!$U$4:$U$273,A40)</f>
        <v>4</v>
      </c>
      <c r="D40" s="5">
        <f ca="1">SUMIFS(Data!$Y$4:$Y$273,Data!$U$4:$U$273,A40)</f>
        <v>2</v>
      </c>
      <c r="E40" s="5">
        <f ca="1">IF(C40=0,0,D40/C40)</f>
        <v>0.5</v>
      </c>
      <c r="F40" s="5">
        <f ca="1">SUMIFS(Data!$AB$4:$AB$273,Data!$U$4:$U$273,A40)</f>
        <v>2</v>
      </c>
      <c r="G40" s="5">
        <f ca="1">SUMIFS(Data!$AC$4:$AC$273,Data!$U$4:$U$273,A40)</f>
        <v>4</v>
      </c>
      <c r="H40" s="88" t="str">
        <f>IFERROR(_xlfn.SINGLE(_xlfn.XLOOKUP(A40, Data!$D$4:$D$75, Data!$C$4:$C$75, "")), "")</f>
        <v>Donovan</v>
      </c>
      <c r="I40" s="5">
        <f ca="1">IF(H40 = "", "", IFERROR(_xlfn.SINGLE(_xlfn.XLOOKUP(H40, 'Current Player'!$A$4:$A$11, _xlfn.SINGLE('Current Player'!$C$4:$C$11) / _xlfn.SINGLE('Current Player'!$B$4:$B$11), 0)), 0))</f>
        <v>0</v>
      </c>
      <c r="J40" s="5" t="str">
        <f ca="1">IF(AND(H40&lt;&gt;"",H40=INDEX(Bracket!$B$18:$B$25,MATCH("1st",Bracket!$A$18:$A$25,0))),"Yes","")</f>
        <v/>
      </c>
      <c r="K40" s="18">
        <f ca="1">IF($A40="","",SUMIFS('Current Char Stats'!$N$4:$N$273,'Current Char Stats'!$B$4:$B$273,$A40))</f>
        <v>2</v>
      </c>
      <c r="L40" s="18">
        <f ca="1">IF($A40="","",SUMIFS('Current Char Stats'!$O$4:$O$273,'Current Char Stats'!$B$4:$B$273,$A40))</f>
        <v>0</v>
      </c>
      <c r="M40" s="18">
        <f ca="1">IF($A40="","",SUMIFS('Current Char Stats'!$P$4:$P$273,'Current Char Stats'!$B$4:$B$273,$A40))</f>
        <v>0</v>
      </c>
      <c r="N40" s="18">
        <f ca="1">IF($A40="","",SUMIFS('Current Char Stats'!$Q$4:$Q$273,'Current Char Stats'!$B$4:$B$273,$A40))</f>
        <v>0</v>
      </c>
      <c r="O40" s="18">
        <f ca="1">IF($A40="","",SUMIFS('Current Char Stats'!$R$4:$R$273,'Current Char Stats'!$B$4:$B$273,$A40))</f>
        <v>1</v>
      </c>
      <c r="P40" s="18">
        <f ca="1">IF($A40="","",SUMIFS('Current Char Stats'!$S$4:$S$273,'Current Char Stats'!$B$4:$B$273,$A40))</f>
        <v>0</v>
      </c>
      <c r="Q40" s="18">
        <f ca="1">COUNTIF(Bracket!$K$6:$K$20,A40)</f>
        <v>1</v>
      </c>
      <c r="R40" s="18">
        <f ca="1">COUNTIFS(Bracket!$K$6:$K$20,A40,Bracket!$G$6:$G$20,"CG-*")</f>
        <v>0</v>
      </c>
      <c r="S40" s="18">
        <f ca="1">IF($A40="","",SUMIFS('Current Char Stats'!$T$4:$T$273,'Current Char Stats'!$B$4:$B$273,$A40))</f>
        <v>0</v>
      </c>
      <c r="T40" s="18">
        <f ca="1">IF($A40="","",SUMIFS('Current Char Stats'!$U$4:$U$273,'Current Char Stats'!$B$4:$B$273,$A40))</f>
        <v>0</v>
      </c>
      <c r="U40" s="18" cm="1">
        <f t="array" aca="1" ref="U40" ca="1">IF($A40="","",_xlfn.LET(_xlpm.rawIP,SUMPRODUCT(--(Data!$AM$4:$AM$183=$A40),IFERROR(Data!$AN$4:$AN$183,0)),IF(_xlpm.rawIP=0,0,INT(_xlpm.rawIP)+MOD(ROUND(_xlpm.rawIP*3,0),3)/10)))</f>
        <v>0</v>
      </c>
      <c r="V40" s="18">
        <f ca="1">IF($A40="","",SUMIFS('Current Char Stats'!$J$4:$J$273,'Current Char Stats'!$B$4:$B$273,$A40))</f>
        <v>0</v>
      </c>
      <c r="W40" s="18" cm="1">
        <f t="array" aca="1" ref="W40" ca="1">IF($A40="","",_xlfn.LET(_xlpm.rawIP,SUMPRODUCT(--(Data!$AM$4:$AM$183=$A40),IFERROR(Data!$AN$4:$AN$183,0)),IF(_xlpm.rawIP=0,0,V40*3/_xlpm.rawIP)))</f>
        <v>0</v>
      </c>
      <c r="X40" s="18">
        <f ca="1">IF($A40="","",SUMIFS('Current Char Stats'!$V$4:$V$273,'Current Char Stats'!$B$4:$B$273,$A40))</f>
        <v>0</v>
      </c>
      <c r="Y40" s="18">
        <f ca="1">IF($A40="","",SUMIFS('Current Char Stats'!$W$4:$W$273,'Current Char Stats'!$B$4:$B$273,$A40))</f>
        <v>0</v>
      </c>
      <c r="Z40" s="18">
        <f ca="1">IF($A40="","",SUMIFS('Current Char Stats'!$X$4:$X$273,'Current Char Stats'!$B$4:$B$273,$A40))</f>
        <v>0</v>
      </c>
      <c r="AA40" s="18">
        <f ca="1">IF($A40="","",SUMIFS('Current Char Stats'!$Y$4:$Y$273,'Current Char Stats'!$B$4:$B$273,$A40))</f>
        <v>0</v>
      </c>
      <c r="AB40" s="18">
        <f ca="1">IF($A40="","",SUMIFS('Current Char Stats'!$Z$4:$Z$273,'Current Char Stats'!$B$4:$B$273,$A40))</f>
        <v>0</v>
      </c>
      <c r="AC40" s="18">
        <f ca="1">IF($A40="","",SUMIFS('Current Char Stats'!$AA$4:$AA$273,'Current Char Stats'!$B$4:$B$273,$A40))</f>
        <v>0</v>
      </c>
      <c r="AD40" s="18">
        <f ca="1">IF($A40="","",SUMIFS('Current Char Stats'!$AB$4:$AB$273,'Current Char Stats'!$B$4:$B$273,$A40))</f>
        <v>0</v>
      </c>
      <c r="AE40" s="18">
        <f ca="1">IF($A40="","",SUMIFS('Current Char Stats'!$AC$4:$AC$273,'Current Char Stats'!$B$4:$B$273,$A40))</f>
        <v>0</v>
      </c>
      <c r="AF40" s="18" cm="1">
        <f t="array" aca="1" ref="AF40" ca="1">IF($A40="","",_xlfn.LET(_xlpm.rawIP,SUMPRODUCT(--(Data!$AM$4:$AM$183=$A40),IFERROR(Data!$AN$4:$AN$183,0)),IF(_xlpm.rawIP=0,0,(X40+Z40)/_xlpm.rawIP)))</f>
        <v>0</v>
      </c>
      <c r="AG40" s="18">
        <f ca="1">IF($A40="","",SUMIFS('Current Char Stats'!$AE$4:$AE$273,'Current Char Stats'!$B$4:$B$273,$A40))</f>
        <v>0</v>
      </c>
    </row>
    <row r="41" spans="1:33">
      <c r="A41" s="4" t="s">
        <v>75</v>
      </c>
      <c r="B41" s="5">
        <f>COUNTIF(Data!$D$4:$D$75,A41)</f>
        <v>1</v>
      </c>
      <c r="C41" s="5">
        <f ca="1">SUMIFS(Data!$W$4:$W$273,Data!$U$4:$U$273,A41)</f>
        <v>3</v>
      </c>
      <c r="D41" s="5">
        <f ca="1">SUMIFS(Data!$Y$4:$Y$273,Data!$U$4:$U$273,A41)</f>
        <v>0</v>
      </c>
      <c r="E41" s="5">
        <f ca="1">IF(C41=0,0,D41/C41)</f>
        <v>0.0</v>
      </c>
      <c r="F41" s="5">
        <f ca="1">SUMIFS(Data!$AB$4:$AB$273,Data!$U$4:$U$273,A41)</f>
        <v>0</v>
      </c>
      <c r="G41" s="5">
        <f ca="1">SUMIFS(Data!$AC$4:$AC$273,Data!$U$4:$U$273,A41)</f>
        <v>0</v>
      </c>
      <c r="H41" s="89" t="str">
        <f>IFERROR(_xlfn.SINGLE(_xlfn.XLOOKUP(A41, Data!$D$4:$D$75, Data!$C$4:$C$75, "")), "")</f>
        <v>Donovan</v>
      </c>
      <c r="I41" s="5">
        <f ca="1">IF(H41 = "", "", IFERROR(_xlfn.SINGLE(_xlfn.XLOOKUP(H41, 'Current Player'!$A$4:$A$11, _xlfn.SINGLE('Current Player'!$C$4:$C$11) / _xlfn.SINGLE('Current Player'!$B$4:$B$11), 0)), 0))</f>
        <v>0</v>
      </c>
      <c r="J41" s="5" t="str">
        <f ca="1">IF(AND(H41&lt;&gt;"",H41=INDEX(Bracket!$B$18:$B$25,MATCH("1st",Bracket!$A$18:$A$25,0))),"Yes","")</f>
        <v/>
      </c>
      <c r="K41" s="18">
        <f ca="1">IF($A41="","",SUMIFS('Current Char Stats'!$N$4:$N$273,'Current Char Stats'!$B$4:$B$273,$A41))</f>
        <v>0</v>
      </c>
      <c r="L41" s="18">
        <f ca="1">IF($A41="","",SUMIFS('Current Char Stats'!$O$4:$O$273,'Current Char Stats'!$B$4:$B$273,$A41))</f>
        <v>0</v>
      </c>
      <c r="M41" s="18">
        <f ca="1">IF($A41="","",SUMIFS('Current Char Stats'!$P$4:$P$273,'Current Char Stats'!$B$4:$B$273,$A41))</f>
        <v>0</v>
      </c>
      <c r="N41" s="18">
        <f ca="1">IF($A41="","",SUMIFS('Current Char Stats'!$Q$4:$Q$273,'Current Char Stats'!$B$4:$B$273,$A41))</f>
        <v>0</v>
      </c>
      <c r="O41" s="18">
        <f ca="1">IF($A41="","",SUMIFS('Current Char Stats'!$R$4:$R$273,'Current Char Stats'!$B$4:$B$273,$A41))</f>
        <v>3</v>
      </c>
      <c r="P41" s="18">
        <f ca="1">IF($A41="","",SUMIFS('Current Char Stats'!$S$4:$S$273,'Current Char Stats'!$B$4:$B$273,$A41))</f>
        <v>0</v>
      </c>
      <c r="Q41" s="18">
        <f ca="1">COUNTIF(Bracket!$K$6:$K$20,A41)</f>
        <v>0</v>
      </c>
      <c r="R41" s="18">
        <f ca="1">COUNTIFS(Bracket!$K$6:$K$20,A41,Bracket!$G$6:$G$20,"CG-*")</f>
        <v>0</v>
      </c>
      <c r="S41" s="18">
        <f ca="1">IF($A41="","",SUMIFS('Current Char Stats'!$T$4:$T$273,'Current Char Stats'!$B$4:$B$273,$A41))</f>
        <v>0</v>
      </c>
      <c r="T41" s="18">
        <f ca="1">IF($A41="","",SUMIFS('Current Char Stats'!$U$4:$U$273,'Current Char Stats'!$B$4:$B$273,$A41))</f>
        <v>0</v>
      </c>
      <c r="U41" s="18" cm="1">
        <f t="array" aca="1" ref="U41" ca="1">IF($A41="","",_xlfn.LET(_xlpm.rawIP,SUMPRODUCT(--(Data!$AM$4:$AM$183=$A41),IFERROR(Data!$AN$4:$AN$183,0)),IF(_xlpm.rawIP=0,0,INT(_xlpm.rawIP)+MOD(ROUND(_xlpm.rawIP*3,0),3)/10)))</f>
        <v>0</v>
      </c>
      <c r="V41" s="18">
        <f ca="1">IF($A41="","",SUMIFS('Current Char Stats'!$J$4:$J$273,'Current Char Stats'!$B$4:$B$273,$A41))</f>
        <v>0</v>
      </c>
      <c r="W41" s="18" cm="1">
        <f t="array" aca="1" ref="W41" ca="1">IF($A41="","",_xlfn.LET(_xlpm.rawIP,SUMPRODUCT(--(Data!$AM$4:$AM$183=$A41),IFERROR(Data!$AN$4:$AN$183,0)),IF(_xlpm.rawIP=0,0,V41*3/_xlpm.rawIP)))</f>
        <v>0</v>
      </c>
      <c r="X41" s="18">
        <f ca="1">IF($A41="","",SUMIFS('Current Char Stats'!$V$4:$V$273,'Current Char Stats'!$B$4:$B$273,$A41))</f>
        <v>0</v>
      </c>
      <c r="Y41" s="18">
        <f ca="1">IF($A41="","",SUMIFS('Current Char Stats'!$W$4:$W$273,'Current Char Stats'!$B$4:$B$273,$A41))</f>
        <v>0</v>
      </c>
      <c r="Z41" s="18">
        <f ca="1">IF($A41="","",SUMIFS('Current Char Stats'!$X$4:$X$273,'Current Char Stats'!$B$4:$B$273,$A41))</f>
        <v>0</v>
      </c>
      <c r="AA41" s="18">
        <f ca="1">IF($A41="","",SUMIFS('Current Char Stats'!$Y$4:$Y$273,'Current Char Stats'!$B$4:$B$273,$A41))</f>
        <v>0</v>
      </c>
      <c r="AB41" s="18">
        <f ca="1">IF($A41="","",SUMIFS('Current Char Stats'!$Z$4:$Z$273,'Current Char Stats'!$B$4:$B$273,$A41))</f>
        <v>0</v>
      </c>
      <c r="AC41" s="18">
        <f ca="1">IF($A41="","",SUMIFS('Current Char Stats'!$AA$4:$AA$273,'Current Char Stats'!$B$4:$B$273,$A41))</f>
        <v>0</v>
      </c>
      <c r="AD41" s="18">
        <f ca="1">IF($A41="","",SUMIFS('Current Char Stats'!$AB$4:$AB$273,'Current Char Stats'!$B$4:$B$273,$A41))</f>
        <v>0</v>
      </c>
      <c r="AE41" s="18">
        <f ca="1">IF($A41="","",SUMIFS('Current Char Stats'!$AC$4:$AC$273,'Current Char Stats'!$B$4:$B$273,$A41))</f>
        <v>0</v>
      </c>
      <c r="AF41" s="18" cm="1">
        <f t="array" aca="1" ref="AF41" ca="1">IF($A41="","",_xlfn.LET(_xlpm.rawIP,SUMPRODUCT(--(Data!$AM$4:$AM$183=$A41),IFERROR(Data!$AN$4:$AN$183,0)),IF(_xlpm.rawIP=0,0,(X41+Z41)/_xlpm.rawIP)))</f>
        <v>0</v>
      </c>
      <c r="AG41" s="18">
        <f ca="1">IF($A41="","",SUMIFS('Current Char Stats'!$AE$4:$AE$273,'Current Char Stats'!$B$4:$B$273,$A41))</f>
        <v>0</v>
      </c>
    </row>
    <row r="42" spans="1:33">
      <c r="A42" s="4" t="s">
        <v>119</v>
      </c>
      <c r="B42" s="5">
        <f>COUNTIF(Data!$D$4:$D$75,A42)</f>
        <v>0</v>
      </c>
      <c r="C42" s="5">
        <f ca="1">SUMIFS(Data!$W$4:$W$273,Data!$U$4:$U$273,A42)</f>
        <v>0</v>
      </c>
      <c r="D42" s="5">
        <f ca="1">SUMIFS(Data!$Y$4:$Y$273,Data!$U$4:$U$273,A42)</f>
        <v>0</v>
      </c>
      <c r="E42" s="5">
        <f ca="1">IF(C42=0,0,D42/C42)</f>
        <v>0</v>
      </c>
      <c r="F42" s="5">
        <f ca="1">SUMIFS(Data!$AB$4:$AB$273,Data!$U$4:$U$273,A42)</f>
        <v>0</v>
      </c>
      <c r="G42" s="5">
        <f ca="1">SUMIFS(Data!$AC$4:$AC$273,Data!$U$4:$U$273,A42)</f>
        <v>0</v>
      </c>
      <c r="H42" s="90" t="str">
        <f>IFERROR(_xlfn.SINGLE(_xlfn.XLOOKUP(A42, Data!$D$4:$D$75, Data!$C$4:$C$75, "")), "")</f>
        <v/>
      </c>
      <c r="I42" s="5" t="str">
        <f ca="1">IF(H42 = "", "", IFERROR(_xlfn.SINGLE(_xlfn.XLOOKUP(H42, 'Current Player'!$A$4:$A$11, _xlfn.SINGLE('Current Player'!$C$4:$C$11) / _xlfn.SINGLE('Current Player'!$B$4:$B$11), 0)), 0))</f>
        <v/>
      </c>
      <c r="J42" s="5" t="str">
        <f ca="1">IF(AND(H42&lt;&gt;"",H42=INDEX(Bracket!$B$18:$B$25,MATCH("1st",Bracket!$A$18:$A$25,0))),"Yes","")</f>
        <v/>
      </c>
      <c r="K42" s="18">
        <f ca="1">IF($A42="","",SUMIFS('Current Char Stats'!$N$4:$N$273,'Current Char Stats'!$B$4:$B$273,$A42))</f>
        <v>0</v>
      </c>
      <c r="L42" s="18">
        <f ca="1">IF($A42="","",SUMIFS('Current Char Stats'!$O$4:$O$273,'Current Char Stats'!$B$4:$B$273,$A42))</f>
        <v>0</v>
      </c>
      <c r="M42" s="18">
        <f ca="1">IF($A42="","",SUMIFS('Current Char Stats'!$P$4:$P$273,'Current Char Stats'!$B$4:$B$273,$A42))</f>
        <v>0</v>
      </c>
      <c r="N42" s="18">
        <f ca="1">IF($A42="","",SUMIFS('Current Char Stats'!$Q$4:$Q$273,'Current Char Stats'!$B$4:$B$273,$A42))</f>
        <v>0</v>
      </c>
      <c r="O42" s="18">
        <f ca="1">IF($A42="","",SUMIFS('Current Char Stats'!$R$4:$R$273,'Current Char Stats'!$B$4:$B$273,$A42))</f>
        <v>0</v>
      </c>
      <c r="P42" s="18">
        <f ca="1">IF($A42="","",SUMIFS('Current Char Stats'!$S$4:$S$273,'Current Char Stats'!$B$4:$B$273,$A42))</f>
        <v>0</v>
      </c>
      <c r="Q42" s="18">
        <f ca="1">COUNTIF(Bracket!$K$6:$K$20,A42)</f>
        <v>0</v>
      </c>
      <c r="R42" s="18">
        <f ca="1">COUNTIFS(Bracket!$K$6:$K$20,A42,Bracket!$G$6:$G$20,"CG-*")</f>
        <v>0</v>
      </c>
      <c r="S42" s="18">
        <f ca="1">IF($A42="","",SUMIFS('Current Char Stats'!$T$4:$T$273,'Current Char Stats'!$B$4:$B$273,$A42))</f>
        <v>0</v>
      </c>
      <c r="T42" s="18">
        <f ca="1">IF($A42="","",SUMIFS('Current Char Stats'!$U$4:$U$273,'Current Char Stats'!$B$4:$B$273,$A42))</f>
        <v>0</v>
      </c>
      <c r="U42" s="18" cm="1">
        <f t="array" aca="1" ref="U42" ca="1">IF($A42="","",_xlfn.LET(_xlpm.rawIP,SUMPRODUCT(--(Data!$AM$4:$AM$183=$A42),IFERROR(Data!$AN$4:$AN$183,0)),IF(_xlpm.rawIP=0,0,INT(_xlpm.rawIP)+MOD(ROUND(_xlpm.rawIP*3,0),3)/10)))</f>
        <v>0</v>
      </c>
      <c r="V42" s="18">
        <f ca="1">IF($A42="","",SUMIFS('Current Char Stats'!$J$4:$J$273,'Current Char Stats'!$B$4:$B$273,$A42))</f>
        <v>0</v>
      </c>
      <c r="W42" s="18" cm="1">
        <f t="array" aca="1" ref="W42" ca="1">IF($A42="","",_xlfn.LET(_xlpm.rawIP,SUMPRODUCT(--(Data!$AM$4:$AM$183=$A42),IFERROR(Data!$AN$4:$AN$183,0)),IF(_xlpm.rawIP=0,0,V42*3/_xlpm.rawIP)))</f>
        <v>0</v>
      </c>
      <c r="X42" s="18">
        <f ca="1">IF($A42="","",SUMIFS('Current Char Stats'!$V$4:$V$273,'Current Char Stats'!$B$4:$B$273,$A42))</f>
        <v>0</v>
      </c>
      <c r="Y42" s="18">
        <f ca="1">IF($A42="","",SUMIFS('Current Char Stats'!$W$4:$W$273,'Current Char Stats'!$B$4:$B$273,$A42))</f>
        <v>0</v>
      </c>
      <c r="Z42" s="18">
        <f ca="1">IF($A42="","",SUMIFS('Current Char Stats'!$X$4:$X$273,'Current Char Stats'!$B$4:$B$273,$A42))</f>
        <v>0</v>
      </c>
      <c r="AA42" s="18">
        <f ca="1">IF($A42="","",SUMIFS('Current Char Stats'!$Y$4:$Y$273,'Current Char Stats'!$B$4:$B$273,$A42))</f>
        <v>0</v>
      </c>
      <c r="AB42" s="18">
        <f ca="1">IF($A42="","",SUMIFS('Current Char Stats'!$Z$4:$Z$273,'Current Char Stats'!$B$4:$B$273,$A42))</f>
        <v>0</v>
      </c>
      <c r="AC42" s="18">
        <f ca="1">IF($A42="","",SUMIFS('Current Char Stats'!$AA$4:$AA$273,'Current Char Stats'!$B$4:$B$273,$A42))</f>
        <v>0</v>
      </c>
      <c r="AD42" s="18">
        <f ca="1">IF($A42="","",SUMIFS('Current Char Stats'!$AB$4:$AB$273,'Current Char Stats'!$B$4:$B$273,$A42))</f>
        <v>0</v>
      </c>
      <c r="AE42" s="18">
        <f ca="1">IF($A42="","",SUMIFS('Current Char Stats'!$AC$4:$AC$273,'Current Char Stats'!$B$4:$B$273,$A42))</f>
        <v>0</v>
      </c>
      <c r="AF42" s="18" cm="1">
        <f t="array" aca="1" ref="AF42" ca="1">IF($A42="","",_xlfn.LET(_xlpm.rawIP,SUMPRODUCT(--(Data!$AM$4:$AM$183=$A42),IFERROR(Data!$AN$4:$AN$183,0)),IF(_xlpm.rawIP=0,0,(X42+Z42)/_xlpm.rawIP)))</f>
        <v>0</v>
      </c>
      <c r="AG42" s="18">
        <f ca="1">IF($A42="","",SUMIFS('Current Char Stats'!$AE$4:$AE$273,'Current Char Stats'!$B$4:$B$273,$A42))</f>
        <v>0</v>
      </c>
    </row>
    <row r="43" spans="1:33">
      <c r="A43" s="4" t="s">
        <v>91</v>
      </c>
      <c r="B43" s="5">
        <f>COUNTIF(Data!$D$4:$D$75,A43)</f>
        <v>1</v>
      </c>
      <c r="C43" s="5">
        <f ca="1">SUMIFS(Data!$W$4:$W$273,Data!$U$4:$U$273,A43)</f>
        <v>8</v>
      </c>
      <c r="D43" s="5">
        <f ca="1">SUMIFS(Data!$Y$4:$Y$273,Data!$U$4:$U$273,A43)</f>
        <v>3</v>
      </c>
      <c r="E43" s="5">
        <f ca="1">IF(C43=0,0,D43/C43)</f>
        <v>0.375</v>
      </c>
      <c r="F43" s="5">
        <f ca="1">SUMIFS(Data!$AB$4:$AB$273,Data!$U$4:$U$273,A43)</f>
        <v>0</v>
      </c>
      <c r="G43" s="5">
        <f ca="1">SUMIFS(Data!$AC$4:$AC$273,Data!$U$4:$U$273,A43)</f>
        <v>0</v>
      </c>
      <c r="H43" s="92" t="str">
        <f>IFERROR(_xlfn.SINGLE(_xlfn.XLOOKUP(A43, Data!$D$4:$D$75, Data!$C$4:$C$75, "")), "")</f>
        <v>Nick</v>
      </c>
      <c r="I43" s="5">
        <f ca="1">IF(H43 = "", "", IFERROR(_xlfn.SINGLE(_xlfn.XLOOKUP(H43, 'Current Player'!$A$4:$A$11, _xlfn.SINGLE('Current Player'!$C$4:$C$11) / _xlfn.SINGLE('Current Player'!$B$4:$B$11), 0)), 0))</f>
        <v>0</v>
      </c>
      <c r="J43" s="5" t="str">
        <f ca="1">IF(AND(H43&lt;&gt;"",H43=INDEX(Bracket!$B$18:$B$25,MATCH("1st",Bracket!$A$18:$A$25,0))),"Yes","")</f>
        <v/>
      </c>
      <c r="K43" s="18">
        <f ca="1">IF($A43="","",SUMIFS('Current Char Stats'!$N$4:$N$273,'Current Char Stats'!$B$4:$B$273,$A43))</f>
        <v>2</v>
      </c>
      <c r="L43" s="18">
        <f ca="1">IF($A43="","",SUMIFS('Current Char Stats'!$O$4:$O$273,'Current Char Stats'!$B$4:$B$273,$A43))</f>
        <v>1</v>
      </c>
      <c r="M43" s="18">
        <f ca="1">IF($A43="","",SUMIFS('Current Char Stats'!$P$4:$P$273,'Current Char Stats'!$B$4:$B$273,$A43))</f>
        <v>1</v>
      </c>
      <c r="N43" s="18">
        <f ca="1">IF($A43="","",SUMIFS('Current Char Stats'!$Q$4:$Q$273,'Current Char Stats'!$B$4:$B$273,$A43))</f>
        <v>0</v>
      </c>
      <c r="O43" s="18">
        <f ca="1">IF($A43="","",SUMIFS('Current Char Stats'!$R$4:$R$273,'Current Char Stats'!$B$4:$B$273,$A43))</f>
        <v>1</v>
      </c>
      <c r="P43" s="18">
        <f ca="1">IF($A43="","",SUMIFS('Current Char Stats'!$S$4:$S$273,'Current Char Stats'!$B$4:$B$273,$A43))</f>
        <v>1</v>
      </c>
      <c r="Q43" s="18">
        <f ca="1">COUNTIF(Bracket!$K$6:$K$20,A43)</f>
        <v>0</v>
      </c>
      <c r="R43" s="18">
        <f ca="1">COUNTIFS(Bracket!$K$6:$K$20,A43,Bracket!$G$6:$G$20,"CG-*")</f>
        <v>0</v>
      </c>
      <c r="S43" s="18">
        <f ca="1">IF($A43="","",SUMIFS('Current Char Stats'!$T$4:$T$273,'Current Char Stats'!$B$4:$B$273,$A43))</f>
        <v>0</v>
      </c>
      <c r="T43" s="18">
        <f ca="1">IF($A43="","",SUMIFS('Current Char Stats'!$U$4:$U$273,'Current Char Stats'!$B$4:$B$273,$A43))</f>
        <v>0</v>
      </c>
      <c r="U43" s="18" cm="1">
        <f t="array" aca="1" ref="U43" ca="1">IF($A43="","",_xlfn.LET(_xlpm.rawIP,SUMPRODUCT(--(Data!$AM$4:$AM$183=$A43),IFERROR(Data!$AN$4:$AN$183,0)),IF(_xlpm.rawIP=0,0,INT(_xlpm.rawIP)+MOD(ROUND(_xlpm.rawIP*3,0),3)/10)))</f>
        <v>0</v>
      </c>
      <c r="V43" s="18">
        <f ca="1">IF($A43="","",SUMIFS('Current Char Stats'!$J$4:$J$273,'Current Char Stats'!$B$4:$B$273,$A43))</f>
        <v>0</v>
      </c>
      <c r="W43" s="18" cm="1">
        <f t="array" aca="1" ref="W43" ca="1">IF($A43="","",_xlfn.LET(_xlpm.rawIP,SUMPRODUCT(--(Data!$AM$4:$AM$183=$A43),IFERROR(Data!$AN$4:$AN$183,0)),IF(_xlpm.rawIP=0,0,V43*3/_xlpm.rawIP)))</f>
        <v>0</v>
      </c>
      <c r="X43" s="18">
        <f ca="1">IF($A43="","",SUMIFS('Current Char Stats'!$V$4:$V$273,'Current Char Stats'!$B$4:$B$273,$A43))</f>
        <v>0</v>
      </c>
      <c r="Y43" s="18">
        <f ca="1">IF($A43="","",SUMIFS('Current Char Stats'!$W$4:$W$273,'Current Char Stats'!$B$4:$B$273,$A43))</f>
        <v>0</v>
      </c>
      <c r="Z43" s="18">
        <f ca="1">IF($A43="","",SUMIFS('Current Char Stats'!$X$4:$X$273,'Current Char Stats'!$B$4:$B$273,$A43))</f>
        <v>0</v>
      </c>
      <c r="AA43" s="18">
        <f ca="1">IF($A43="","",SUMIFS('Current Char Stats'!$Y$4:$Y$273,'Current Char Stats'!$B$4:$B$273,$A43))</f>
        <v>0</v>
      </c>
      <c r="AB43" s="18">
        <f ca="1">IF($A43="","",SUMIFS('Current Char Stats'!$Z$4:$Z$273,'Current Char Stats'!$B$4:$B$273,$A43))</f>
        <v>0</v>
      </c>
      <c r="AC43" s="18">
        <f ca="1">IF($A43="","",SUMIFS('Current Char Stats'!$AA$4:$AA$273,'Current Char Stats'!$B$4:$B$273,$A43))</f>
        <v>0</v>
      </c>
      <c r="AD43" s="18">
        <f ca="1">IF($A43="","",SUMIFS('Current Char Stats'!$AB$4:$AB$273,'Current Char Stats'!$B$4:$B$273,$A43))</f>
        <v>0</v>
      </c>
      <c r="AE43" s="18">
        <f ca="1">IF($A43="","",SUMIFS('Current Char Stats'!$AC$4:$AC$273,'Current Char Stats'!$B$4:$B$273,$A43))</f>
        <v>0</v>
      </c>
      <c r="AF43" s="18" cm="1">
        <f t="array" aca="1" ref="AF43" ca="1">IF($A43="","",_xlfn.LET(_xlpm.rawIP,SUMPRODUCT(--(Data!$AM$4:$AM$183=$A43),IFERROR(Data!$AN$4:$AN$183,0)),IF(_xlpm.rawIP=0,0,(X43+Z43)/_xlpm.rawIP)))</f>
        <v>0</v>
      </c>
      <c r="AG43" s="18">
        <f ca="1">IF($A43="","",SUMIFS('Current Char Stats'!$AE$4:$AE$273,'Current Char Stats'!$B$4:$B$273,$A43))</f>
        <v>0</v>
      </c>
    </row>
    <row r="44" spans="1:33">
      <c r="A44" s="4" t="s">
        <v>112</v>
      </c>
      <c r="B44" s="5">
        <f>COUNTIF(Data!$D$4:$D$75,A44)</f>
        <v>0</v>
      </c>
      <c r="C44" s="5">
        <f ca="1">SUMIFS(Data!$W$4:$W$273,Data!$U$4:$U$273,A44)</f>
        <v>0</v>
      </c>
      <c r="D44" s="5">
        <f ca="1">SUMIFS(Data!$Y$4:$Y$273,Data!$U$4:$U$273,A44)</f>
        <v>0</v>
      </c>
      <c r="E44" s="5">
        <f ca="1">IF(C44=0,0,D44/C44)</f>
        <v>0</v>
      </c>
      <c r="F44" s="5">
        <f ca="1">SUMIFS(Data!$AB$4:$AB$273,Data!$U$4:$U$273,A44)</f>
        <v>0</v>
      </c>
      <c r="G44" s="5">
        <f ca="1">SUMIFS(Data!$AC$4:$AC$273,Data!$U$4:$U$273,A44)</f>
        <v>0</v>
      </c>
      <c r="H44" s="93" t="str">
        <f>IFERROR(_xlfn.SINGLE(_xlfn.XLOOKUP(A44, Data!$D$4:$D$75, Data!$C$4:$C$75, "")), "")</f>
        <v/>
      </c>
      <c r="I44" s="5" t="str">
        <f ca="1">IF(H44 = "", "", IFERROR(_xlfn.SINGLE(_xlfn.XLOOKUP(H44, 'Current Player'!$A$4:$A$11, _xlfn.SINGLE('Current Player'!$C$4:$C$11) / _xlfn.SINGLE('Current Player'!$B$4:$B$11), 0)), 0))</f>
        <v/>
      </c>
      <c r="J44" s="5" t="str">
        <f ca="1">IF(AND(H44&lt;&gt;"",H44=INDEX(Bracket!$B$18:$B$25,MATCH("1st",Bracket!$A$18:$A$25,0))),"Yes","")</f>
        <v/>
      </c>
      <c r="K44" s="18">
        <f ca="1">IF($A44="","",SUMIFS('Current Char Stats'!$N$4:$N$273,'Current Char Stats'!$B$4:$B$273,$A44))</f>
        <v>0</v>
      </c>
      <c r="L44" s="18">
        <f ca="1">IF($A44="","",SUMIFS('Current Char Stats'!$O$4:$O$273,'Current Char Stats'!$B$4:$B$273,$A44))</f>
        <v>0</v>
      </c>
      <c r="M44" s="18">
        <f ca="1">IF($A44="","",SUMIFS('Current Char Stats'!$P$4:$P$273,'Current Char Stats'!$B$4:$B$273,$A44))</f>
        <v>0</v>
      </c>
      <c r="N44" s="18">
        <f ca="1">IF($A44="","",SUMIFS('Current Char Stats'!$Q$4:$Q$273,'Current Char Stats'!$B$4:$B$273,$A44))</f>
        <v>0</v>
      </c>
      <c r="O44" s="18">
        <f ca="1">IF($A44="","",SUMIFS('Current Char Stats'!$R$4:$R$273,'Current Char Stats'!$B$4:$B$273,$A44))</f>
        <v>0</v>
      </c>
      <c r="P44" s="18">
        <f ca="1">IF($A44="","",SUMIFS('Current Char Stats'!$S$4:$S$273,'Current Char Stats'!$B$4:$B$273,$A44))</f>
        <v>0</v>
      </c>
      <c r="Q44" s="18">
        <f ca="1">COUNTIF(Bracket!$K$6:$K$20,A44)</f>
        <v>0</v>
      </c>
      <c r="R44" s="18">
        <f ca="1">COUNTIFS(Bracket!$K$6:$K$20,A44,Bracket!$G$6:$G$20,"CG-*")</f>
        <v>0</v>
      </c>
      <c r="S44" s="18">
        <f ca="1">IF($A44="","",SUMIFS('Current Char Stats'!$T$4:$T$273,'Current Char Stats'!$B$4:$B$273,$A44))</f>
        <v>0</v>
      </c>
      <c r="T44" s="18">
        <f ca="1">IF($A44="","",SUMIFS('Current Char Stats'!$U$4:$U$273,'Current Char Stats'!$B$4:$B$273,$A44))</f>
        <v>0</v>
      </c>
      <c r="U44" s="18" cm="1">
        <f t="array" aca="1" ref="U44" ca="1">IF($A44="","",_xlfn.LET(_xlpm.rawIP,SUMPRODUCT(--(Data!$AM$4:$AM$183=$A44),IFERROR(Data!$AN$4:$AN$183,0)),IF(_xlpm.rawIP=0,0,INT(_xlpm.rawIP)+MOD(ROUND(_xlpm.rawIP*3,0),3)/10)))</f>
        <v>0</v>
      </c>
      <c r="V44" s="18">
        <f ca="1">IF($A44="","",SUMIFS('Current Char Stats'!$J$4:$J$273,'Current Char Stats'!$B$4:$B$273,$A44))</f>
        <v>0</v>
      </c>
      <c r="W44" s="18" cm="1">
        <f t="array" aca="1" ref="W44" ca="1">IF($A44="","",_xlfn.LET(_xlpm.rawIP,SUMPRODUCT(--(Data!$AM$4:$AM$183=$A44),IFERROR(Data!$AN$4:$AN$183,0)),IF(_xlpm.rawIP=0,0,V44*3/_xlpm.rawIP)))</f>
        <v>0</v>
      </c>
      <c r="X44" s="18">
        <f ca="1">IF($A44="","",SUMIFS('Current Char Stats'!$V$4:$V$273,'Current Char Stats'!$B$4:$B$273,$A44))</f>
        <v>0</v>
      </c>
      <c r="Y44" s="18">
        <f ca="1">IF($A44="","",SUMIFS('Current Char Stats'!$W$4:$W$273,'Current Char Stats'!$B$4:$B$273,$A44))</f>
        <v>0</v>
      </c>
      <c r="Z44" s="18">
        <f ca="1">IF($A44="","",SUMIFS('Current Char Stats'!$X$4:$X$273,'Current Char Stats'!$B$4:$B$273,$A44))</f>
        <v>0</v>
      </c>
      <c r="AA44" s="18">
        <f ca="1">IF($A44="","",SUMIFS('Current Char Stats'!$Y$4:$Y$273,'Current Char Stats'!$B$4:$B$273,$A44))</f>
        <v>0</v>
      </c>
      <c r="AB44" s="18">
        <f ca="1">IF($A44="","",SUMIFS('Current Char Stats'!$Z$4:$Z$273,'Current Char Stats'!$B$4:$B$273,$A44))</f>
        <v>0</v>
      </c>
      <c r="AC44" s="18">
        <f ca="1">IF($A44="","",SUMIFS('Current Char Stats'!$AA$4:$AA$273,'Current Char Stats'!$B$4:$B$273,$A44))</f>
        <v>0</v>
      </c>
      <c r="AD44" s="18">
        <f ca="1">IF($A44="","",SUMIFS('Current Char Stats'!$AB$4:$AB$273,'Current Char Stats'!$B$4:$B$273,$A44))</f>
        <v>0</v>
      </c>
      <c r="AE44" s="18">
        <f ca="1">IF($A44="","",SUMIFS('Current Char Stats'!$AC$4:$AC$273,'Current Char Stats'!$B$4:$B$273,$A44))</f>
        <v>0</v>
      </c>
      <c r="AF44" s="18" cm="1">
        <f t="array" aca="1" ref="AF44" ca="1">IF($A44="","",_xlfn.LET(_xlpm.rawIP,SUMPRODUCT(--(Data!$AM$4:$AM$183=$A44),IFERROR(Data!$AN$4:$AN$183,0)),IF(_xlpm.rawIP=0,0,(X44+Z44)/_xlpm.rawIP)))</f>
        <v>0</v>
      </c>
      <c r="AG44" s="18">
        <f ca="1">IF($A44="","",SUMIFS('Current Char Stats'!$AE$4:$AE$273,'Current Char Stats'!$B$4:$B$273,$A44))</f>
        <v>0</v>
      </c>
    </row>
    <row r="45" spans="1:33">
      <c r="A45" s="4" t="s">
        <v>113</v>
      </c>
      <c r="B45" s="5">
        <f>COUNTIF(Data!$D$4:$D$75,A45)</f>
        <v>0</v>
      </c>
      <c r="C45" s="5">
        <f ca="1">SUMIFS(Data!$W$4:$W$273,Data!$U$4:$U$273,A45)</f>
        <v>0</v>
      </c>
      <c r="D45" s="5">
        <f ca="1">SUMIFS(Data!$Y$4:$Y$273,Data!$U$4:$U$273,A45)</f>
        <v>0</v>
      </c>
      <c r="E45" s="5">
        <f ca="1">IF(C45=0,0,D45/C45)</f>
        <v>0</v>
      </c>
      <c r="F45" s="5">
        <f ca="1">SUMIFS(Data!$AB$4:$AB$273,Data!$U$4:$U$273,A45)</f>
        <v>0</v>
      </c>
      <c r="G45" s="5">
        <f ca="1">SUMIFS(Data!$AC$4:$AC$273,Data!$U$4:$U$273,A45)</f>
        <v>0</v>
      </c>
      <c r="H45" s="95" t="str">
        <f>IFERROR(_xlfn.SINGLE(_xlfn.XLOOKUP(A45, Data!$D$4:$D$75, Data!$C$4:$C$75, "")), "")</f>
        <v/>
      </c>
      <c r="I45" s="5" t="str">
        <f ca="1">IF(H45 = "", "", IFERROR(_xlfn.SINGLE(_xlfn.XLOOKUP(H45, 'Current Player'!$A$4:$A$11, _xlfn.SINGLE('Current Player'!$C$4:$C$11) / _xlfn.SINGLE('Current Player'!$B$4:$B$11), 0)), 0))</f>
        <v/>
      </c>
      <c r="J45" s="5" t="str">
        <f ca="1">IF(AND(H45&lt;&gt;"",H45=INDEX(Bracket!$B$18:$B$25,MATCH("1st",Bracket!$A$18:$A$25,0))),"Yes","")</f>
        <v/>
      </c>
      <c r="K45" s="18">
        <f ca="1">IF($A45="","",SUMIFS('Current Char Stats'!$N$4:$N$273,'Current Char Stats'!$B$4:$B$273,$A45))</f>
        <v>0</v>
      </c>
      <c r="L45" s="18">
        <f ca="1">IF($A45="","",SUMIFS('Current Char Stats'!$O$4:$O$273,'Current Char Stats'!$B$4:$B$273,$A45))</f>
        <v>0</v>
      </c>
      <c r="M45" s="18">
        <f ca="1">IF($A45="","",SUMIFS('Current Char Stats'!$P$4:$P$273,'Current Char Stats'!$B$4:$B$273,$A45))</f>
        <v>0</v>
      </c>
      <c r="N45" s="18">
        <f ca="1">IF($A45="","",SUMIFS('Current Char Stats'!$Q$4:$Q$273,'Current Char Stats'!$B$4:$B$273,$A45))</f>
        <v>0</v>
      </c>
      <c r="O45" s="18">
        <f ca="1">IF($A45="","",SUMIFS('Current Char Stats'!$R$4:$R$273,'Current Char Stats'!$B$4:$B$273,$A45))</f>
        <v>0</v>
      </c>
      <c r="P45" s="18">
        <f ca="1">IF($A45="","",SUMIFS('Current Char Stats'!$S$4:$S$273,'Current Char Stats'!$B$4:$B$273,$A45))</f>
        <v>0</v>
      </c>
      <c r="Q45" s="18">
        <f ca="1">COUNTIF(Bracket!$K$6:$K$20,A45)</f>
        <v>0</v>
      </c>
      <c r="R45" s="18">
        <f ca="1">COUNTIFS(Bracket!$K$6:$K$20,A45,Bracket!$G$6:$G$20,"CG-*")</f>
        <v>0</v>
      </c>
      <c r="S45" s="18">
        <f ca="1">IF($A45="","",SUMIFS('Current Char Stats'!$T$4:$T$273,'Current Char Stats'!$B$4:$B$273,$A45))</f>
        <v>0</v>
      </c>
      <c r="T45" s="18">
        <f ca="1">IF($A45="","",SUMIFS('Current Char Stats'!$U$4:$U$273,'Current Char Stats'!$B$4:$B$273,$A45))</f>
        <v>0</v>
      </c>
      <c r="U45" s="18" cm="1">
        <f t="array" aca="1" ref="U45" ca="1">IF($A45="","",_xlfn.LET(_xlpm.rawIP,SUMPRODUCT(--(Data!$AM$4:$AM$183=$A45),IFERROR(Data!$AN$4:$AN$183,0)),IF(_xlpm.rawIP=0,0,INT(_xlpm.rawIP)+MOD(ROUND(_xlpm.rawIP*3,0),3)/10)))</f>
        <v>0</v>
      </c>
      <c r="V45" s="18">
        <f ca="1">IF($A45="","",SUMIFS('Current Char Stats'!$J$4:$J$273,'Current Char Stats'!$B$4:$B$273,$A45))</f>
        <v>0</v>
      </c>
      <c r="W45" s="18" cm="1">
        <f t="array" aca="1" ref="W45" ca="1">IF($A45="","",_xlfn.LET(_xlpm.rawIP,SUMPRODUCT(--(Data!$AM$4:$AM$183=$A45),IFERROR(Data!$AN$4:$AN$183,0)),IF(_xlpm.rawIP=0,0,V45*3/_xlpm.rawIP)))</f>
        <v>0</v>
      </c>
      <c r="X45" s="18">
        <f ca="1">IF($A45="","",SUMIFS('Current Char Stats'!$V$4:$V$273,'Current Char Stats'!$B$4:$B$273,$A45))</f>
        <v>0</v>
      </c>
      <c r="Y45" s="18">
        <f ca="1">IF($A45="","",SUMIFS('Current Char Stats'!$W$4:$W$273,'Current Char Stats'!$B$4:$B$273,$A45))</f>
        <v>0</v>
      </c>
      <c r="Z45" s="18">
        <f ca="1">IF($A45="","",SUMIFS('Current Char Stats'!$X$4:$X$273,'Current Char Stats'!$B$4:$B$273,$A45))</f>
        <v>0</v>
      </c>
      <c r="AA45" s="18">
        <f ca="1">IF($A45="","",SUMIFS('Current Char Stats'!$Y$4:$Y$273,'Current Char Stats'!$B$4:$B$273,$A45))</f>
        <v>0</v>
      </c>
      <c r="AB45" s="18">
        <f ca="1">IF($A45="","",SUMIFS('Current Char Stats'!$Z$4:$Z$273,'Current Char Stats'!$B$4:$B$273,$A45))</f>
        <v>0</v>
      </c>
      <c r="AC45" s="18">
        <f ca="1">IF($A45="","",SUMIFS('Current Char Stats'!$AA$4:$AA$273,'Current Char Stats'!$B$4:$B$273,$A45))</f>
        <v>0</v>
      </c>
      <c r="AD45" s="18">
        <f ca="1">IF($A45="","",SUMIFS('Current Char Stats'!$AB$4:$AB$273,'Current Char Stats'!$B$4:$B$273,$A45))</f>
        <v>0</v>
      </c>
      <c r="AE45" s="18">
        <f ca="1">IF($A45="","",SUMIFS('Current Char Stats'!$AC$4:$AC$273,'Current Char Stats'!$B$4:$B$273,$A45))</f>
        <v>0</v>
      </c>
      <c r="AF45" s="18" cm="1">
        <f t="array" aca="1" ref="AF45" ca="1">IF($A45="","",_xlfn.LET(_xlpm.rawIP,SUMPRODUCT(--(Data!$AM$4:$AM$183=$A45),IFERROR(Data!$AN$4:$AN$183,0)),IF(_xlpm.rawIP=0,0,(X45+Z45)/_xlpm.rawIP)))</f>
        <v>0</v>
      </c>
      <c r="AG45" s="18">
        <f ca="1">IF($A45="","",SUMIFS('Current Char Stats'!$AE$4:$AE$273,'Current Char Stats'!$B$4:$B$273,$A45))</f>
        <v>0</v>
      </c>
    </row>
    <row r="46" spans="1:33">
      <c r="A46" s="4" t="s">
        <v>83</v>
      </c>
      <c r="B46" s="5">
        <f>COUNTIF(Data!$D$4:$D$75,A46)</f>
        <v>1</v>
      </c>
      <c r="C46" s="5">
        <f ca="1">SUMIFS(Data!$W$4:$W$273,Data!$U$4:$U$273,A46)</f>
        <v>5</v>
      </c>
      <c r="D46" s="5">
        <f ca="1">SUMIFS(Data!$Y$4:$Y$273,Data!$U$4:$U$273,A46)</f>
        <v>1</v>
      </c>
      <c r="E46" s="5">
        <f ca="1">IF(C46=0,0,D46/C46)</f>
        <v>0.2</v>
      </c>
      <c r="F46" s="5">
        <f ca="1">SUMIFS(Data!$AB$4:$AB$273,Data!$U$4:$U$273,A46)</f>
        <v>0</v>
      </c>
      <c r="G46" s="5">
        <f ca="1">SUMIFS(Data!$AC$4:$AC$273,Data!$U$4:$U$273,A46)</f>
        <v>0</v>
      </c>
      <c r="H46" s="95" t="str">
        <f>IFERROR(_xlfn.SINGLE(_xlfn.XLOOKUP(A46, Data!$D$4:$D$75, Data!$C$4:$C$75, "")), "")</f>
        <v>May</v>
      </c>
      <c r="I46" s="5">
        <f ca="1">IF(H46 = "", "", IFERROR(_xlfn.SINGLE(_xlfn.XLOOKUP(H46, 'Current Player'!$A$4:$A$11, _xlfn.SINGLE('Current Player'!$C$4:$C$11) / _xlfn.SINGLE('Current Player'!$B$4:$B$11), 0)), 0))</f>
        <v>0</v>
      </c>
      <c r="J46" s="5" t="str">
        <f ca="1">IF(AND(H46&lt;&gt;"",H46=INDEX(Bracket!$B$18:$B$25,MATCH("1st",Bracket!$A$18:$A$25,0))),"Yes","")</f>
        <v/>
      </c>
      <c r="K46" s="18">
        <f ca="1">IF($A46="","",SUMIFS('Current Char Stats'!$N$4:$N$273,'Current Char Stats'!$B$4:$B$273,$A46))</f>
        <v>0</v>
      </c>
      <c r="L46" s="18">
        <f ca="1">IF($A46="","",SUMIFS('Current Char Stats'!$O$4:$O$273,'Current Char Stats'!$B$4:$B$273,$A46))</f>
        <v>0</v>
      </c>
      <c r="M46" s="18">
        <f ca="1">IF($A46="","",SUMIFS('Current Char Stats'!$P$4:$P$273,'Current Char Stats'!$B$4:$B$273,$A46))</f>
        <v>0</v>
      </c>
      <c r="N46" s="18">
        <f ca="1">IF($A46="","",SUMIFS('Current Char Stats'!$Q$4:$Q$273,'Current Char Stats'!$B$4:$B$273,$A46))</f>
        <v>0</v>
      </c>
      <c r="O46" s="18">
        <f ca="1">IF($A46="","",SUMIFS('Current Char Stats'!$R$4:$R$273,'Current Char Stats'!$B$4:$B$273,$A46))</f>
        <v>1</v>
      </c>
      <c r="P46" s="18">
        <f ca="1">IF($A46="","",SUMIFS('Current Char Stats'!$S$4:$S$273,'Current Char Stats'!$B$4:$B$273,$A46))</f>
        <v>0</v>
      </c>
      <c r="Q46" s="18">
        <f ca="1">COUNTIF(Bracket!$K$6:$K$20,A46)</f>
        <v>0</v>
      </c>
      <c r="R46" s="18">
        <f ca="1">COUNTIFS(Bracket!$K$6:$K$20,A46,Bracket!$G$6:$G$20,"CG-*")</f>
        <v>0</v>
      </c>
      <c r="S46" s="18">
        <f ca="1">IF($A46="","",SUMIFS('Current Char Stats'!$T$4:$T$273,'Current Char Stats'!$B$4:$B$273,$A46))</f>
        <v>0</v>
      </c>
      <c r="T46" s="18">
        <f ca="1">IF($A46="","",SUMIFS('Current Char Stats'!$U$4:$U$273,'Current Char Stats'!$B$4:$B$273,$A46))</f>
        <v>0</v>
      </c>
      <c r="U46" s="18" cm="1">
        <f t="array" aca="1" ref="U46" ca="1">IF($A46="","",_xlfn.LET(_xlpm.rawIP,SUMPRODUCT(--(Data!$AM$4:$AM$183=$A46),IFERROR(Data!$AN$4:$AN$183,0)),IF(_xlpm.rawIP=0,0,INT(_xlpm.rawIP)+MOD(ROUND(_xlpm.rawIP*3,0),3)/10)))</f>
        <v>0</v>
      </c>
      <c r="V46" s="18">
        <f ca="1">IF($A46="","",SUMIFS('Current Char Stats'!$J$4:$J$273,'Current Char Stats'!$B$4:$B$273,$A46))</f>
        <v>0</v>
      </c>
      <c r="W46" s="18" cm="1">
        <f t="array" aca="1" ref="W46" ca="1">IF($A46="","",_xlfn.LET(_xlpm.rawIP,SUMPRODUCT(--(Data!$AM$4:$AM$183=$A46),IFERROR(Data!$AN$4:$AN$183,0)),IF(_xlpm.rawIP=0,0,V46*3/_xlpm.rawIP)))</f>
        <v>0</v>
      </c>
      <c r="X46" s="18">
        <f ca="1">IF($A46="","",SUMIFS('Current Char Stats'!$V$4:$V$273,'Current Char Stats'!$B$4:$B$273,$A46))</f>
        <v>0</v>
      </c>
      <c r="Y46" s="18">
        <f ca="1">IF($A46="","",SUMIFS('Current Char Stats'!$W$4:$W$273,'Current Char Stats'!$B$4:$B$273,$A46))</f>
        <v>0</v>
      </c>
      <c r="Z46" s="18">
        <f ca="1">IF($A46="","",SUMIFS('Current Char Stats'!$X$4:$X$273,'Current Char Stats'!$B$4:$B$273,$A46))</f>
        <v>0</v>
      </c>
      <c r="AA46" s="18">
        <f ca="1">IF($A46="","",SUMIFS('Current Char Stats'!$Y$4:$Y$273,'Current Char Stats'!$B$4:$B$273,$A46))</f>
        <v>0</v>
      </c>
      <c r="AB46" s="18">
        <f ca="1">IF($A46="","",SUMIFS('Current Char Stats'!$Z$4:$Z$273,'Current Char Stats'!$B$4:$B$273,$A46))</f>
        <v>0</v>
      </c>
      <c r="AC46" s="18">
        <f ca="1">IF($A46="","",SUMIFS('Current Char Stats'!$AA$4:$AA$273,'Current Char Stats'!$B$4:$B$273,$A46))</f>
        <v>0</v>
      </c>
      <c r="AD46" s="18">
        <f ca="1">IF($A46="","",SUMIFS('Current Char Stats'!$AB$4:$AB$273,'Current Char Stats'!$B$4:$B$273,$A46))</f>
        <v>0</v>
      </c>
      <c r="AE46" s="18">
        <f ca="1">IF($A46="","",SUMIFS('Current Char Stats'!$AC$4:$AC$273,'Current Char Stats'!$B$4:$B$273,$A46))</f>
        <v>0</v>
      </c>
      <c r="AF46" s="18" cm="1">
        <f t="array" aca="1" ref="AF46" ca="1">IF($A46="","",_xlfn.LET(_xlpm.rawIP,SUMPRODUCT(--(Data!$AM$4:$AM$183=$A46),IFERROR(Data!$AN$4:$AN$183,0)),IF(_xlpm.rawIP=0,0,(X46+Z46)/_xlpm.rawIP)))</f>
        <v>0</v>
      </c>
      <c r="AG46" s="18">
        <f ca="1">IF($A46="","",SUMIFS('Current Char Stats'!$AE$4:$AE$273,'Current Char Stats'!$B$4:$B$273,$A46))</f>
        <v>0</v>
      </c>
    </row>
    <row r="47" spans="1:33">
      <c r="A47" s="4" t="s">
        <v>114</v>
      </c>
      <c r="B47" s="5">
        <f>COUNTIF(Data!$D$4:$D$75,A47)</f>
        <v>0</v>
      </c>
      <c r="C47" s="5">
        <f ca="1">SUMIFS(Data!$W$4:$W$273,Data!$U$4:$U$273,A47)</f>
        <v>0</v>
      </c>
      <c r="D47" s="5">
        <f ca="1">SUMIFS(Data!$Y$4:$Y$273,Data!$U$4:$U$273,A47)</f>
        <v>0</v>
      </c>
      <c r="E47" s="5">
        <f ca="1">IF(C47=0,0,D47/C47)</f>
        <v>0</v>
      </c>
      <c r="F47" s="5">
        <f ca="1">SUMIFS(Data!$AB$4:$AB$273,Data!$U$4:$U$273,A47)</f>
        <v>0</v>
      </c>
      <c r="G47" s="5">
        <f ca="1">SUMIFS(Data!$AC$4:$AC$273,Data!$U$4:$U$273,A47)</f>
        <v>0</v>
      </c>
      <c r="H47" s="93" t="str">
        <f>IFERROR(_xlfn.SINGLE(_xlfn.XLOOKUP(A47, Data!$D$4:$D$75, Data!$C$4:$C$75, "")), "")</f>
        <v/>
      </c>
      <c r="I47" s="5" t="str">
        <f ca="1">IF(H47 = "", "", IFERROR(_xlfn.SINGLE(_xlfn.XLOOKUP(H47, 'Current Player'!$A$4:$A$11, _xlfn.SINGLE('Current Player'!$C$4:$C$11) / _xlfn.SINGLE('Current Player'!$B$4:$B$11), 0)), 0))</f>
        <v/>
      </c>
      <c r="J47" s="5" t="str">
        <f ca="1">IF(AND(H47&lt;&gt;"",H47=INDEX(Bracket!$B$18:$B$25,MATCH("1st",Bracket!$A$18:$A$25,0))),"Yes","")</f>
        <v/>
      </c>
      <c r="K47" s="18">
        <f ca="1">IF($A47="","",SUMIFS('Current Char Stats'!$N$4:$N$273,'Current Char Stats'!$B$4:$B$273,$A47))</f>
        <v>0</v>
      </c>
      <c r="L47" s="18">
        <f ca="1">IF($A47="","",SUMIFS('Current Char Stats'!$O$4:$O$273,'Current Char Stats'!$B$4:$B$273,$A47))</f>
        <v>0</v>
      </c>
      <c r="M47" s="18">
        <f ca="1">IF($A47="","",SUMIFS('Current Char Stats'!$P$4:$P$273,'Current Char Stats'!$B$4:$B$273,$A47))</f>
        <v>0</v>
      </c>
      <c r="N47" s="18">
        <f ca="1">IF($A47="","",SUMIFS('Current Char Stats'!$Q$4:$Q$273,'Current Char Stats'!$B$4:$B$273,$A47))</f>
        <v>0</v>
      </c>
      <c r="O47" s="18">
        <f ca="1">IF($A47="","",SUMIFS('Current Char Stats'!$R$4:$R$273,'Current Char Stats'!$B$4:$B$273,$A47))</f>
        <v>0</v>
      </c>
      <c r="P47" s="18">
        <f ca="1">IF($A47="","",SUMIFS('Current Char Stats'!$S$4:$S$273,'Current Char Stats'!$B$4:$B$273,$A47))</f>
        <v>0</v>
      </c>
      <c r="Q47" s="18">
        <f ca="1">COUNTIF(Bracket!$K$6:$K$20,A47)</f>
        <v>0</v>
      </c>
      <c r="R47" s="18">
        <f ca="1">COUNTIFS(Bracket!$K$6:$K$20,A47,Bracket!$G$6:$G$20,"CG-*")</f>
        <v>0</v>
      </c>
      <c r="S47" s="18">
        <f ca="1">IF($A47="","",SUMIFS('Current Char Stats'!$T$4:$T$273,'Current Char Stats'!$B$4:$B$273,$A47))</f>
        <v>0</v>
      </c>
      <c r="T47" s="18">
        <f ca="1">IF($A47="","",SUMIFS('Current Char Stats'!$U$4:$U$273,'Current Char Stats'!$B$4:$B$273,$A47))</f>
        <v>0</v>
      </c>
      <c r="U47" s="18" cm="1">
        <f t="array" aca="1" ref="U47" ca="1">IF($A47="","",_xlfn.LET(_xlpm.rawIP,SUMPRODUCT(--(Data!$AM$4:$AM$183=$A47),IFERROR(Data!$AN$4:$AN$183,0)),IF(_xlpm.rawIP=0,0,INT(_xlpm.rawIP)+MOD(ROUND(_xlpm.rawIP*3,0),3)/10)))</f>
        <v>0</v>
      </c>
      <c r="V47" s="18">
        <f ca="1">IF($A47="","",SUMIFS('Current Char Stats'!$J$4:$J$273,'Current Char Stats'!$B$4:$B$273,$A47))</f>
        <v>0</v>
      </c>
      <c r="W47" s="18" cm="1">
        <f t="array" aca="1" ref="W47" ca="1">IF($A47="","",_xlfn.LET(_xlpm.rawIP,SUMPRODUCT(--(Data!$AM$4:$AM$183=$A47),IFERROR(Data!$AN$4:$AN$183,0)),IF(_xlpm.rawIP=0,0,V47*3/_xlpm.rawIP)))</f>
        <v>0</v>
      </c>
      <c r="X47" s="18">
        <f ca="1">IF($A47="","",SUMIFS('Current Char Stats'!$V$4:$V$273,'Current Char Stats'!$B$4:$B$273,$A47))</f>
        <v>0</v>
      </c>
      <c r="Y47" s="18">
        <f ca="1">IF($A47="","",SUMIFS('Current Char Stats'!$W$4:$W$273,'Current Char Stats'!$B$4:$B$273,$A47))</f>
        <v>0</v>
      </c>
      <c r="Z47" s="18">
        <f ca="1">IF($A47="","",SUMIFS('Current Char Stats'!$X$4:$X$273,'Current Char Stats'!$B$4:$B$273,$A47))</f>
        <v>0</v>
      </c>
      <c r="AA47" s="18">
        <f ca="1">IF($A47="","",SUMIFS('Current Char Stats'!$Y$4:$Y$273,'Current Char Stats'!$B$4:$B$273,$A47))</f>
        <v>0</v>
      </c>
      <c r="AB47" s="18">
        <f ca="1">IF($A47="","",SUMIFS('Current Char Stats'!$Z$4:$Z$273,'Current Char Stats'!$B$4:$B$273,$A47))</f>
        <v>0</v>
      </c>
      <c r="AC47" s="18">
        <f ca="1">IF($A47="","",SUMIFS('Current Char Stats'!$AA$4:$AA$273,'Current Char Stats'!$B$4:$B$273,$A47))</f>
        <v>0</v>
      </c>
      <c r="AD47" s="18">
        <f ca="1">IF($A47="","",SUMIFS('Current Char Stats'!$AB$4:$AB$273,'Current Char Stats'!$B$4:$B$273,$A47))</f>
        <v>0</v>
      </c>
      <c r="AE47" s="18">
        <f ca="1">IF($A47="","",SUMIFS('Current Char Stats'!$AC$4:$AC$273,'Current Char Stats'!$B$4:$B$273,$A47))</f>
        <v>0</v>
      </c>
      <c r="AF47" s="18" cm="1">
        <f t="array" aca="1" ref="AF47" ca="1">IF($A47="","",_xlfn.LET(_xlpm.rawIP,SUMPRODUCT(--(Data!$AM$4:$AM$183=$A47),IFERROR(Data!$AN$4:$AN$183,0)),IF(_xlpm.rawIP=0,0,(X47+Z47)/_xlpm.rawIP)))</f>
        <v>0</v>
      </c>
      <c r="AG47" s="18">
        <f ca="1">IF($A47="","",SUMIFS('Current Char Stats'!$AE$4:$AE$273,'Current Char Stats'!$B$4:$B$273,$A47))</f>
        <v>0</v>
      </c>
    </row>
    <row r="48" spans="1:33">
      <c r="A48" s="4" t="s">
        <v>82</v>
      </c>
      <c r="B48" s="5">
        <f>COUNTIF(Data!$D$4:$D$75,A48)</f>
        <v>1</v>
      </c>
      <c r="C48" s="5">
        <f ca="1">SUMIFS(Data!$W$4:$W$273,Data!$U$4:$U$273,A48)</f>
        <v>4</v>
      </c>
      <c r="D48" s="5">
        <f ca="1">SUMIFS(Data!$Y$4:$Y$273,Data!$U$4:$U$273,A48)</f>
        <v>1</v>
      </c>
      <c r="E48" s="5">
        <f ca="1">IF(C48=0,0,D48/C48)</f>
        <v>0.25</v>
      </c>
      <c r="F48" s="5">
        <f ca="1">SUMIFS(Data!$AB$4:$AB$273,Data!$U$4:$U$273,A48)</f>
        <v>1</v>
      </c>
      <c r="G48" s="5">
        <f ca="1">SUMIFS(Data!$AC$4:$AC$273,Data!$U$4:$U$273,A48)</f>
        <v>1</v>
      </c>
      <c r="H48" s="92" t="str">
        <f>IFERROR(_xlfn.SINGLE(_xlfn.XLOOKUP(A48, Data!$D$4:$D$75, Data!$C$4:$C$75, "")), "")</f>
        <v>May</v>
      </c>
      <c r="I48" s="5">
        <f ca="1">IF(H48 = "", "", IFERROR(_xlfn.SINGLE(_xlfn.XLOOKUP(H48, 'Current Player'!$A$4:$A$11, _xlfn.SINGLE('Current Player'!$C$4:$C$11) / _xlfn.SINGLE('Current Player'!$B$4:$B$11), 0)), 0))</f>
        <v>0</v>
      </c>
      <c r="J48" s="5" t="str">
        <f ca="1">IF(AND(H48&lt;&gt;"",H48=INDEX(Bracket!$B$18:$B$25,MATCH("1st",Bracket!$A$18:$A$25,0))),"Yes","")</f>
        <v/>
      </c>
      <c r="K48" s="18">
        <f ca="1">IF($A48="","",SUMIFS('Current Char Stats'!$N$4:$N$273,'Current Char Stats'!$B$4:$B$273,$A48))</f>
        <v>1</v>
      </c>
      <c r="L48" s="18">
        <f ca="1">IF($A48="","",SUMIFS('Current Char Stats'!$O$4:$O$273,'Current Char Stats'!$B$4:$B$273,$A48))</f>
        <v>0</v>
      </c>
      <c r="M48" s="18">
        <f ca="1">IF($A48="","",SUMIFS('Current Char Stats'!$P$4:$P$273,'Current Char Stats'!$B$4:$B$273,$A48))</f>
        <v>0</v>
      </c>
      <c r="N48" s="18">
        <f ca="1">IF($A48="","",SUMIFS('Current Char Stats'!$Q$4:$Q$273,'Current Char Stats'!$B$4:$B$273,$A48))</f>
        <v>0</v>
      </c>
      <c r="O48" s="18">
        <f ca="1">IF($A48="","",SUMIFS('Current Char Stats'!$R$4:$R$273,'Current Char Stats'!$B$4:$B$273,$A48))</f>
        <v>0</v>
      </c>
      <c r="P48" s="18">
        <f ca="1">IF($A48="","",SUMIFS('Current Char Stats'!$S$4:$S$273,'Current Char Stats'!$B$4:$B$273,$A48))</f>
        <v>1</v>
      </c>
      <c r="Q48" s="18">
        <f ca="1">COUNTIF(Bracket!$K$6:$K$20,A48)</f>
        <v>1</v>
      </c>
      <c r="R48" s="18">
        <f ca="1">COUNTIFS(Bracket!$K$6:$K$20,A48,Bracket!$G$6:$G$20,"CG-*")</f>
        <v>0</v>
      </c>
      <c r="S48" s="18">
        <f ca="1">IF($A48="","",SUMIFS('Current Char Stats'!$T$4:$T$273,'Current Char Stats'!$B$4:$B$273,$A48))</f>
        <v>0</v>
      </c>
      <c r="T48" s="18">
        <f ca="1">IF($A48="","",SUMIFS('Current Char Stats'!$U$4:$U$273,'Current Char Stats'!$B$4:$B$273,$A48))</f>
        <v>0</v>
      </c>
      <c r="U48" s="18" cm="1">
        <f t="array" aca="1" ref="U48" ca="1">IF($A48="","",_xlfn.LET(_xlpm.rawIP,SUMPRODUCT(--(Data!$AM$4:$AM$183=$A48),IFERROR(Data!$AN$4:$AN$183,0)),IF(_xlpm.rawIP=0,0,INT(_xlpm.rawIP)+MOD(ROUND(_xlpm.rawIP*3,0),3)/10)))</f>
        <v>0</v>
      </c>
      <c r="V48" s="18">
        <f ca="1">IF($A48="","",SUMIFS('Current Char Stats'!$J$4:$J$273,'Current Char Stats'!$B$4:$B$273,$A48))</f>
        <v>0</v>
      </c>
      <c r="W48" s="18" cm="1">
        <f t="array" aca="1" ref="W48" ca="1">IF($A48="","",_xlfn.LET(_xlpm.rawIP,SUMPRODUCT(--(Data!$AM$4:$AM$183=$A48),IFERROR(Data!$AN$4:$AN$183,0)),IF(_xlpm.rawIP=0,0,V48*3/_xlpm.rawIP)))</f>
        <v>0</v>
      </c>
      <c r="X48" s="18">
        <f ca="1">IF($A48="","",SUMIFS('Current Char Stats'!$V$4:$V$273,'Current Char Stats'!$B$4:$B$273,$A48))</f>
        <v>0</v>
      </c>
      <c r="Y48" s="18">
        <f ca="1">IF($A48="","",SUMIFS('Current Char Stats'!$W$4:$W$273,'Current Char Stats'!$B$4:$B$273,$A48))</f>
        <v>0</v>
      </c>
      <c r="Z48" s="18">
        <f ca="1">IF($A48="","",SUMIFS('Current Char Stats'!$X$4:$X$273,'Current Char Stats'!$B$4:$B$273,$A48))</f>
        <v>0</v>
      </c>
      <c r="AA48" s="18">
        <f ca="1">IF($A48="","",SUMIFS('Current Char Stats'!$Y$4:$Y$273,'Current Char Stats'!$B$4:$B$273,$A48))</f>
        <v>0</v>
      </c>
      <c r="AB48" s="18">
        <f ca="1">IF($A48="","",SUMIFS('Current Char Stats'!$Z$4:$Z$273,'Current Char Stats'!$B$4:$B$273,$A48))</f>
        <v>0</v>
      </c>
      <c r="AC48" s="18">
        <f ca="1">IF($A48="","",SUMIFS('Current Char Stats'!$AA$4:$AA$273,'Current Char Stats'!$B$4:$B$273,$A48))</f>
        <v>0</v>
      </c>
      <c r="AD48" s="18">
        <f ca="1">IF($A48="","",SUMIFS('Current Char Stats'!$AB$4:$AB$273,'Current Char Stats'!$B$4:$B$273,$A48))</f>
        <v>0</v>
      </c>
      <c r="AE48" s="18">
        <f ca="1">IF($A48="","",SUMIFS('Current Char Stats'!$AC$4:$AC$273,'Current Char Stats'!$B$4:$B$273,$A48))</f>
        <v>0</v>
      </c>
      <c r="AF48" s="18" cm="1">
        <f t="array" aca="1" ref="AF48" ca="1">IF($A48="","",_xlfn.LET(_xlpm.rawIP,SUMPRODUCT(--(Data!$AM$4:$AM$183=$A48),IFERROR(Data!$AN$4:$AN$183,0)),IF(_xlpm.rawIP=0,0,(X48+Z48)/_xlpm.rawIP)))</f>
        <v>0</v>
      </c>
      <c r="AG48" s="18">
        <f ca="1">IF($A48="","",SUMIFS('Current Char Stats'!$AE$4:$AE$273,'Current Char Stats'!$B$4:$B$273,$A48))</f>
        <v>0</v>
      </c>
    </row>
    <row r="49" spans="1:33">
      <c r="A49" s="4" t="s">
        <v>123</v>
      </c>
      <c r="B49" s="5">
        <f>COUNTIF(Data!$D$4:$D$75,A49)</f>
        <v>0</v>
      </c>
      <c r="C49" s="5">
        <f ca="1">SUMIFS(Data!$W$4:$W$273,Data!$U$4:$U$273,A49)</f>
        <v>0</v>
      </c>
      <c r="D49" s="5">
        <f ca="1">SUMIFS(Data!$Y$4:$Y$273,Data!$U$4:$U$273,A49)</f>
        <v>0</v>
      </c>
      <c r="E49" s="5">
        <f ca="1">IF(C49=0,0,D49/C49)</f>
        <v>0</v>
      </c>
      <c r="F49" s="5">
        <f ca="1">SUMIFS(Data!$AB$4:$AB$273,Data!$U$4:$U$273,A49)</f>
        <v>0</v>
      </c>
      <c r="G49" s="5">
        <f ca="1">SUMIFS(Data!$AC$4:$AC$273,Data!$U$4:$U$273,A49)</f>
        <v>0</v>
      </c>
      <c r="H49" s="90" t="str">
        <f>IFERROR(_xlfn.SINGLE(_xlfn.XLOOKUP(A49, Data!$D$4:$D$75, Data!$C$4:$C$75, "")), "")</f>
        <v/>
      </c>
      <c r="I49" s="5" t="str">
        <f ca="1">IF(H49 = "", "", IFERROR(_xlfn.SINGLE(_xlfn.XLOOKUP(H49, 'Current Player'!$A$4:$A$11, _xlfn.SINGLE('Current Player'!$C$4:$C$11) / _xlfn.SINGLE('Current Player'!$B$4:$B$11), 0)), 0))</f>
        <v/>
      </c>
      <c r="J49" s="5" t="str">
        <f ca="1">IF(AND(H49&lt;&gt;"",H49=INDEX(Bracket!$B$18:$B$25,MATCH("1st",Bracket!$A$18:$A$25,0))),"Yes","")</f>
        <v/>
      </c>
      <c r="K49" s="18">
        <f ca="1">IF($A49="","",SUMIFS('Current Char Stats'!$N$4:$N$273,'Current Char Stats'!$B$4:$B$273,$A49))</f>
        <v>0</v>
      </c>
      <c r="L49" s="18">
        <f ca="1">IF($A49="","",SUMIFS('Current Char Stats'!$O$4:$O$273,'Current Char Stats'!$B$4:$B$273,$A49))</f>
        <v>0</v>
      </c>
      <c r="M49" s="18">
        <f ca="1">IF($A49="","",SUMIFS('Current Char Stats'!$P$4:$P$273,'Current Char Stats'!$B$4:$B$273,$A49))</f>
        <v>0</v>
      </c>
      <c r="N49" s="18">
        <f ca="1">IF($A49="","",SUMIFS('Current Char Stats'!$Q$4:$Q$273,'Current Char Stats'!$B$4:$B$273,$A49))</f>
        <v>0</v>
      </c>
      <c r="O49" s="18">
        <f ca="1">IF($A49="","",SUMIFS('Current Char Stats'!$R$4:$R$273,'Current Char Stats'!$B$4:$B$273,$A49))</f>
        <v>0</v>
      </c>
      <c r="P49" s="18">
        <f ca="1">IF($A49="","",SUMIFS('Current Char Stats'!$S$4:$S$273,'Current Char Stats'!$B$4:$B$273,$A49))</f>
        <v>0</v>
      </c>
      <c r="Q49" s="18">
        <f ca="1">COUNTIF(Bracket!$K$6:$K$20,A49)</f>
        <v>0</v>
      </c>
      <c r="R49" s="18">
        <f ca="1">COUNTIFS(Bracket!$K$6:$K$20,A49,Bracket!$G$6:$G$20,"CG-*")</f>
        <v>0</v>
      </c>
      <c r="S49" s="18">
        <f ca="1">IF($A49="","",SUMIFS('Current Char Stats'!$T$4:$T$273,'Current Char Stats'!$B$4:$B$273,$A49))</f>
        <v>0</v>
      </c>
      <c r="T49" s="18">
        <f ca="1">IF($A49="","",SUMIFS('Current Char Stats'!$U$4:$U$273,'Current Char Stats'!$B$4:$B$273,$A49))</f>
        <v>0</v>
      </c>
      <c r="U49" s="18" cm="1">
        <f t="array" aca="1" ref="U49" ca="1">IF($A49="","",_xlfn.LET(_xlpm.rawIP,SUMPRODUCT(--(Data!$AM$4:$AM$183=$A49),IFERROR(Data!$AN$4:$AN$183,0)),IF(_xlpm.rawIP=0,0,INT(_xlpm.rawIP)+MOD(ROUND(_xlpm.rawIP*3,0),3)/10)))</f>
        <v>0</v>
      </c>
      <c r="V49" s="18">
        <f ca="1">IF($A49="","",SUMIFS('Current Char Stats'!$J$4:$J$273,'Current Char Stats'!$B$4:$B$273,$A49))</f>
        <v>0</v>
      </c>
      <c r="W49" s="18" cm="1">
        <f t="array" aca="1" ref="W49" ca="1">IF($A49="","",_xlfn.LET(_xlpm.rawIP,SUMPRODUCT(--(Data!$AM$4:$AM$183=$A49),IFERROR(Data!$AN$4:$AN$183,0)),IF(_xlpm.rawIP=0,0,V49*3/_xlpm.rawIP)))</f>
        <v>0</v>
      </c>
      <c r="X49" s="18">
        <f ca="1">IF($A49="","",SUMIFS('Current Char Stats'!$V$4:$V$273,'Current Char Stats'!$B$4:$B$273,$A49))</f>
        <v>0</v>
      </c>
      <c r="Y49" s="18">
        <f ca="1">IF($A49="","",SUMIFS('Current Char Stats'!$W$4:$W$273,'Current Char Stats'!$B$4:$B$273,$A49))</f>
        <v>0</v>
      </c>
      <c r="Z49" s="18">
        <f ca="1">IF($A49="","",SUMIFS('Current Char Stats'!$X$4:$X$273,'Current Char Stats'!$B$4:$B$273,$A49))</f>
        <v>0</v>
      </c>
      <c r="AA49" s="18">
        <f ca="1">IF($A49="","",SUMIFS('Current Char Stats'!$Y$4:$Y$273,'Current Char Stats'!$B$4:$B$273,$A49))</f>
        <v>0</v>
      </c>
      <c r="AB49" s="18">
        <f ca="1">IF($A49="","",SUMIFS('Current Char Stats'!$Z$4:$Z$273,'Current Char Stats'!$B$4:$B$273,$A49))</f>
        <v>0</v>
      </c>
      <c r="AC49" s="18">
        <f ca="1">IF($A49="","",SUMIFS('Current Char Stats'!$AA$4:$AA$273,'Current Char Stats'!$B$4:$B$273,$A49))</f>
        <v>0</v>
      </c>
      <c r="AD49" s="18">
        <f ca="1">IF($A49="","",SUMIFS('Current Char Stats'!$AB$4:$AB$273,'Current Char Stats'!$B$4:$B$273,$A49))</f>
        <v>0</v>
      </c>
      <c r="AE49" s="18">
        <f ca="1">IF($A49="","",SUMIFS('Current Char Stats'!$AC$4:$AC$273,'Current Char Stats'!$B$4:$B$273,$A49))</f>
        <v>0</v>
      </c>
      <c r="AF49" s="18" cm="1">
        <f t="array" aca="1" ref="AF49" ca="1">IF($A49="","",_xlfn.LET(_xlpm.rawIP,SUMPRODUCT(--(Data!$AM$4:$AM$183=$A49),IFERROR(Data!$AN$4:$AN$183,0)),IF(_xlpm.rawIP=0,0,(X49+Z49)/_xlpm.rawIP)))</f>
        <v>0</v>
      </c>
      <c r="AG49" s="18">
        <f ca="1">IF($A49="","",SUMIFS('Current Char Stats'!$AE$4:$AE$273,'Current Char Stats'!$B$4:$B$273,$A49))</f>
        <v>0</v>
      </c>
    </row>
    <row r="50" spans="1:33">
      <c r="A50" s="4" t="s">
        <v>126</v>
      </c>
      <c r="B50" s="5">
        <f>COUNTIF(Data!$D$4:$D$75,A50)</f>
        <v>0</v>
      </c>
      <c r="C50" s="5">
        <f ca="1">SUMIFS(Data!$W$4:$W$273,Data!$U$4:$U$273,A50)</f>
        <v>0</v>
      </c>
      <c r="D50" s="5">
        <f ca="1">SUMIFS(Data!$Y$4:$Y$273,Data!$U$4:$U$273,A50)</f>
        <v>0</v>
      </c>
      <c r="E50" s="5">
        <f ca="1">IF(C50=0,0,D50/C50)</f>
        <v>0</v>
      </c>
      <c r="F50" s="5">
        <f ca="1">SUMIFS(Data!$AB$4:$AB$273,Data!$U$4:$U$273,A50)</f>
        <v>0</v>
      </c>
      <c r="G50" s="5">
        <f ca="1">SUMIFS(Data!$AC$4:$AC$273,Data!$U$4:$U$273,A50)</f>
        <v>0</v>
      </c>
      <c r="H50" s="89" t="str">
        <f>IFERROR(_xlfn.SINGLE(_xlfn.XLOOKUP(A50, Data!$D$4:$D$75, Data!$C$4:$C$75, "")), "")</f>
        <v/>
      </c>
      <c r="I50" s="5" t="str">
        <f ca="1">IF(H50 = "", "", IFERROR(_xlfn.SINGLE(_xlfn.XLOOKUP(H50, 'Current Player'!$A$4:$A$11, _xlfn.SINGLE('Current Player'!$C$4:$C$11) / _xlfn.SINGLE('Current Player'!$B$4:$B$11), 0)), 0))</f>
        <v/>
      </c>
      <c r="J50" s="5" t="str">
        <f ca="1">IF(AND(H50&lt;&gt;"",H50=INDEX(Bracket!$B$18:$B$25,MATCH("1st",Bracket!$A$18:$A$25,0))),"Yes","")</f>
        <v/>
      </c>
      <c r="K50" s="18">
        <f ca="1">IF($A50="","",SUMIFS('Current Char Stats'!$N$4:$N$273,'Current Char Stats'!$B$4:$B$273,$A50))</f>
        <v>0</v>
      </c>
      <c r="L50" s="18">
        <f ca="1">IF($A50="","",SUMIFS('Current Char Stats'!$O$4:$O$273,'Current Char Stats'!$B$4:$B$273,$A50))</f>
        <v>0</v>
      </c>
      <c r="M50" s="18">
        <f ca="1">IF($A50="","",SUMIFS('Current Char Stats'!$P$4:$P$273,'Current Char Stats'!$B$4:$B$273,$A50))</f>
        <v>0</v>
      </c>
      <c r="N50" s="18">
        <f ca="1">IF($A50="","",SUMIFS('Current Char Stats'!$Q$4:$Q$273,'Current Char Stats'!$B$4:$B$273,$A50))</f>
        <v>0</v>
      </c>
      <c r="O50" s="18">
        <f ca="1">IF($A50="","",SUMIFS('Current Char Stats'!$R$4:$R$273,'Current Char Stats'!$B$4:$B$273,$A50))</f>
        <v>0</v>
      </c>
      <c r="P50" s="18">
        <f ca="1">IF($A50="","",SUMIFS('Current Char Stats'!$S$4:$S$273,'Current Char Stats'!$B$4:$B$273,$A50))</f>
        <v>0</v>
      </c>
      <c r="Q50" s="18">
        <f ca="1">COUNTIF(Bracket!$K$6:$K$20,A50)</f>
        <v>0</v>
      </c>
      <c r="R50" s="18">
        <f ca="1">COUNTIFS(Bracket!$K$6:$K$20,A50,Bracket!$G$6:$G$20,"CG-*")</f>
        <v>0</v>
      </c>
      <c r="S50" s="18">
        <f ca="1">IF($A50="","",SUMIFS('Current Char Stats'!$T$4:$T$273,'Current Char Stats'!$B$4:$B$273,$A50))</f>
        <v>0</v>
      </c>
      <c r="T50" s="18">
        <f ca="1">IF($A50="","",SUMIFS('Current Char Stats'!$U$4:$U$273,'Current Char Stats'!$B$4:$B$273,$A50))</f>
        <v>0</v>
      </c>
      <c r="U50" s="18" cm="1">
        <f t="array" aca="1" ref="U50" ca="1">IF($A50="","",_xlfn.LET(_xlpm.rawIP,SUMPRODUCT(--(Data!$AM$4:$AM$183=$A50),IFERROR(Data!$AN$4:$AN$183,0)),IF(_xlpm.rawIP=0,0,INT(_xlpm.rawIP)+MOD(ROUND(_xlpm.rawIP*3,0),3)/10)))</f>
        <v>0</v>
      </c>
      <c r="V50" s="18">
        <f ca="1">IF($A50="","",SUMIFS('Current Char Stats'!$J$4:$J$273,'Current Char Stats'!$B$4:$B$273,$A50))</f>
        <v>0</v>
      </c>
      <c r="W50" s="18" cm="1">
        <f t="array" aca="1" ref="W50" ca="1">IF($A50="","",_xlfn.LET(_xlpm.rawIP,SUMPRODUCT(--(Data!$AM$4:$AM$183=$A50),IFERROR(Data!$AN$4:$AN$183,0)),IF(_xlpm.rawIP=0,0,V50*3/_xlpm.rawIP)))</f>
        <v>0</v>
      </c>
      <c r="X50" s="18">
        <f ca="1">IF($A50="","",SUMIFS('Current Char Stats'!$V$4:$V$273,'Current Char Stats'!$B$4:$B$273,$A50))</f>
        <v>0</v>
      </c>
      <c r="Y50" s="18">
        <f ca="1">IF($A50="","",SUMIFS('Current Char Stats'!$W$4:$W$273,'Current Char Stats'!$B$4:$B$273,$A50))</f>
        <v>0</v>
      </c>
      <c r="Z50" s="18">
        <f ca="1">IF($A50="","",SUMIFS('Current Char Stats'!$X$4:$X$273,'Current Char Stats'!$B$4:$B$273,$A50))</f>
        <v>0</v>
      </c>
      <c r="AA50" s="18">
        <f ca="1">IF($A50="","",SUMIFS('Current Char Stats'!$Y$4:$Y$273,'Current Char Stats'!$B$4:$B$273,$A50))</f>
        <v>0</v>
      </c>
      <c r="AB50" s="18">
        <f ca="1">IF($A50="","",SUMIFS('Current Char Stats'!$Z$4:$Z$273,'Current Char Stats'!$B$4:$B$273,$A50))</f>
        <v>0</v>
      </c>
      <c r="AC50" s="18">
        <f ca="1">IF($A50="","",SUMIFS('Current Char Stats'!$AA$4:$AA$273,'Current Char Stats'!$B$4:$B$273,$A50))</f>
        <v>0</v>
      </c>
      <c r="AD50" s="18">
        <f ca="1">IF($A50="","",SUMIFS('Current Char Stats'!$AB$4:$AB$273,'Current Char Stats'!$B$4:$B$273,$A50))</f>
        <v>0</v>
      </c>
      <c r="AE50" s="18">
        <f ca="1">IF($A50="","",SUMIFS('Current Char Stats'!$AC$4:$AC$273,'Current Char Stats'!$B$4:$B$273,$A50))</f>
        <v>0</v>
      </c>
      <c r="AF50" s="18" cm="1">
        <f t="array" aca="1" ref="AF50" ca="1">IF($A50="","",_xlfn.LET(_xlpm.rawIP,SUMPRODUCT(--(Data!$AM$4:$AM$183=$A50),IFERROR(Data!$AN$4:$AN$183,0)),IF(_xlpm.rawIP=0,0,(X50+Z50)/_xlpm.rawIP)))</f>
        <v>0</v>
      </c>
      <c r="AG50" s="18">
        <f ca="1">IF($A50="","",SUMIFS('Current Char Stats'!$AE$4:$AE$273,'Current Char Stats'!$B$4:$B$273,$A50))</f>
        <v>0</v>
      </c>
    </row>
    <row r="51" spans="1:33">
      <c r="A51" s="4" t="s">
        <v>67</v>
      </c>
      <c r="B51" s="5">
        <f>COUNTIF(Data!$D$4:$D$75,A51)</f>
        <v>1</v>
      </c>
      <c r="C51" s="5">
        <f ca="1">SUMIFS(Data!$W$4:$W$273,Data!$U$4:$U$273,A51)</f>
        <v>9</v>
      </c>
      <c r="D51" s="5">
        <f ca="1">SUMIFS(Data!$Y$4:$Y$273,Data!$U$4:$U$273,A51)</f>
        <v>0</v>
      </c>
      <c r="E51" s="5">
        <f ca="1">IF(C51=0,0,D51/C51)</f>
        <v>0.0</v>
      </c>
      <c r="F51" s="5">
        <f ca="1">SUMIFS(Data!$AB$4:$AB$273,Data!$U$4:$U$273,A51)</f>
        <v>0</v>
      </c>
      <c r="G51" s="5">
        <f ca="1">SUMIFS(Data!$AC$4:$AC$273,Data!$U$4:$U$273,A51)</f>
        <v>0</v>
      </c>
      <c r="H51" s="88" t="str">
        <f>IFERROR(_xlfn.SINGLE(_xlfn.XLOOKUP(A51, Data!$D$4:$D$75, Data!$C$4:$C$75, "")), "")</f>
        <v>Nick</v>
      </c>
      <c r="I51" s="5">
        <f ca="1">IF(H51 = "", "", IFERROR(_xlfn.SINGLE(_xlfn.XLOOKUP(H51, 'Current Player'!$A$4:$A$11, _xlfn.SINGLE('Current Player'!$C$4:$C$11) / _xlfn.SINGLE('Current Player'!$B$4:$B$11), 0)), 0))</f>
        <v>0</v>
      </c>
      <c r="J51" s="5" t="str">
        <f ca="1">IF(AND(H51&lt;&gt;"",H51=INDEX(Bracket!$B$18:$B$25,MATCH("1st",Bracket!$A$18:$A$25,0))),"Yes","")</f>
        <v/>
      </c>
      <c r="K51" s="18">
        <f ca="1">IF($A51="","",SUMIFS('Current Char Stats'!$N$4:$N$273,'Current Char Stats'!$B$4:$B$273,$A51))</f>
        <v>0</v>
      </c>
      <c r="L51" s="18">
        <f ca="1">IF($A51="","",SUMIFS('Current Char Stats'!$O$4:$O$273,'Current Char Stats'!$B$4:$B$273,$A51))</f>
        <v>0</v>
      </c>
      <c r="M51" s="18">
        <f ca="1">IF($A51="","",SUMIFS('Current Char Stats'!$P$4:$P$273,'Current Char Stats'!$B$4:$B$273,$A51))</f>
        <v>0</v>
      </c>
      <c r="N51" s="18">
        <f ca="1">IF($A51="","",SUMIFS('Current Char Stats'!$Q$4:$Q$273,'Current Char Stats'!$B$4:$B$273,$A51))</f>
        <v>0</v>
      </c>
      <c r="O51" s="18">
        <f ca="1">IF($A51="","",SUMIFS('Current Char Stats'!$R$4:$R$273,'Current Char Stats'!$B$4:$B$273,$A51))</f>
        <v>3</v>
      </c>
      <c r="P51" s="18">
        <f ca="1">IF($A51="","",SUMIFS('Current Char Stats'!$S$4:$S$273,'Current Char Stats'!$B$4:$B$273,$A51))</f>
        <v>0</v>
      </c>
      <c r="Q51" s="18">
        <f ca="1">COUNTIF(Bracket!$K$6:$K$20,A51)</f>
        <v>0</v>
      </c>
      <c r="R51" s="18">
        <f ca="1">COUNTIFS(Bracket!$K$6:$K$20,A51,Bracket!$G$6:$G$20,"CG-*")</f>
        <v>0</v>
      </c>
      <c r="S51" s="18">
        <f ca="1">IF($A51="","",SUMIFS('Current Char Stats'!$T$4:$T$273,'Current Char Stats'!$B$4:$B$273,$A51))</f>
        <v>0</v>
      </c>
      <c r="T51" s="18">
        <f ca="1">IF($A51="","",SUMIFS('Current Char Stats'!$U$4:$U$273,'Current Char Stats'!$B$4:$B$273,$A51))</f>
        <v>0</v>
      </c>
      <c r="U51" s="18" cm="1">
        <f t="array" aca="1" ref="U51" ca="1">IF($A51="","",_xlfn.LET(_xlpm.rawIP,SUMPRODUCT(--(Data!$AM$4:$AM$183=$A51),IFERROR(Data!$AN$4:$AN$183,0)),IF(_xlpm.rawIP=0,0,INT(_xlpm.rawIP)+MOD(ROUND(_xlpm.rawIP*3,0),3)/10)))</f>
        <v>0</v>
      </c>
      <c r="V51" s="18">
        <f ca="1">IF($A51="","",SUMIFS('Current Char Stats'!$J$4:$J$273,'Current Char Stats'!$B$4:$B$273,$A51))</f>
        <v>0</v>
      </c>
      <c r="W51" s="18" cm="1">
        <f t="array" aca="1" ref="W51" ca="1">IF($A51="","",_xlfn.LET(_xlpm.rawIP,SUMPRODUCT(--(Data!$AM$4:$AM$183=$A51),IFERROR(Data!$AN$4:$AN$183,0)),IF(_xlpm.rawIP=0,0,V51*3/_xlpm.rawIP)))</f>
        <v>0</v>
      </c>
      <c r="X51" s="18">
        <f ca="1">IF($A51="","",SUMIFS('Current Char Stats'!$V$4:$V$273,'Current Char Stats'!$B$4:$B$273,$A51))</f>
        <v>0</v>
      </c>
      <c r="Y51" s="18">
        <f ca="1">IF($A51="","",SUMIFS('Current Char Stats'!$W$4:$W$273,'Current Char Stats'!$B$4:$B$273,$A51))</f>
        <v>0</v>
      </c>
      <c r="Z51" s="18">
        <f ca="1">IF($A51="","",SUMIFS('Current Char Stats'!$X$4:$X$273,'Current Char Stats'!$B$4:$B$273,$A51))</f>
        <v>0</v>
      </c>
      <c r="AA51" s="18">
        <f ca="1">IF($A51="","",SUMIFS('Current Char Stats'!$Y$4:$Y$273,'Current Char Stats'!$B$4:$B$273,$A51))</f>
        <v>0</v>
      </c>
      <c r="AB51" s="18">
        <f ca="1">IF($A51="","",SUMIFS('Current Char Stats'!$Z$4:$Z$273,'Current Char Stats'!$B$4:$B$273,$A51))</f>
        <v>0</v>
      </c>
      <c r="AC51" s="18">
        <f ca="1">IF($A51="","",SUMIFS('Current Char Stats'!$AA$4:$AA$273,'Current Char Stats'!$B$4:$B$273,$A51))</f>
        <v>0</v>
      </c>
      <c r="AD51" s="18">
        <f ca="1">IF($A51="","",SUMIFS('Current Char Stats'!$AB$4:$AB$273,'Current Char Stats'!$B$4:$B$273,$A51))</f>
        <v>0</v>
      </c>
      <c r="AE51" s="18">
        <f ca="1">IF($A51="","",SUMIFS('Current Char Stats'!$AC$4:$AC$273,'Current Char Stats'!$B$4:$B$273,$A51))</f>
        <v>0</v>
      </c>
      <c r="AF51" s="18" cm="1">
        <f t="array" aca="1" ref="AF51" ca="1">IF($A51="","",_xlfn.LET(_xlpm.rawIP,SUMPRODUCT(--(Data!$AM$4:$AM$183=$A51),IFERROR(Data!$AN$4:$AN$183,0)),IF(_xlpm.rawIP=0,0,(X51+Z51)/_xlpm.rawIP)))</f>
        <v>0</v>
      </c>
      <c r="AG51" s="18">
        <f ca="1">IF($A51="","",SUMIFS('Current Char Stats'!$AE$4:$AE$273,'Current Char Stats'!$B$4:$B$273,$A51))</f>
        <v>0</v>
      </c>
    </row>
    <row r="52" spans="1:33">
      <c r="A52" s="4" t="s">
        <v>88</v>
      </c>
      <c r="B52" s="5">
        <f>COUNTIF(Data!$D$4:$D$75,A52)</f>
        <v>1</v>
      </c>
      <c r="C52" s="5">
        <f ca="1">SUMIFS(Data!$W$4:$W$273,Data!$U$4:$U$273,A52)</f>
        <v>2</v>
      </c>
      <c r="D52" s="5">
        <f ca="1">SUMIFS(Data!$Y$4:$Y$273,Data!$U$4:$U$273,A52)</f>
        <v>0</v>
      </c>
      <c r="E52" s="5">
        <f ca="1">IF(C52=0,0,D52/C52)</f>
        <v>0.0</v>
      </c>
      <c r="F52" s="5">
        <f ca="1">SUMIFS(Data!$AB$4:$AB$273,Data!$U$4:$U$273,A52)</f>
        <v>0</v>
      </c>
      <c r="G52" s="5">
        <f ca="1">SUMIFS(Data!$AC$4:$AC$273,Data!$U$4:$U$273,A52)</f>
        <v>0</v>
      </c>
      <c r="H52" s="88" t="str">
        <f>IFERROR(_xlfn.SINGLE(_xlfn.XLOOKUP(A52, Data!$D$4:$D$75, Data!$C$4:$C$75, "")), "")</f>
        <v>Justin</v>
      </c>
      <c r="I52" s="5">
        <f ca="1">IF(H52 = "", "", IFERROR(_xlfn.SINGLE(_xlfn.XLOOKUP(H52, 'Current Player'!$A$4:$A$11, _xlfn.SINGLE('Current Player'!$C$4:$C$11) / _xlfn.SINGLE('Current Player'!$B$4:$B$11), 0)), 0))</f>
        <v>0</v>
      </c>
      <c r="J52" s="5" t="str">
        <f ca="1">IF(AND(H52&lt;&gt;"",H52=INDEX(Bracket!$B$18:$B$25,MATCH("1st",Bracket!$A$18:$A$25,0))),"Yes","")</f>
        <v/>
      </c>
      <c r="K52" s="18">
        <f ca="1">IF($A52="","",SUMIFS('Current Char Stats'!$N$4:$N$273,'Current Char Stats'!$B$4:$B$273,$A52))</f>
        <v>0</v>
      </c>
      <c r="L52" s="18">
        <f ca="1">IF($A52="","",SUMIFS('Current Char Stats'!$O$4:$O$273,'Current Char Stats'!$B$4:$B$273,$A52))</f>
        <v>0</v>
      </c>
      <c r="M52" s="18">
        <f ca="1">IF($A52="","",SUMIFS('Current Char Stats'!$P$4:$P$273,'Current Char Stats'!$B$4:$B$273,$A52))</f>
        <v>0</v>
      </c>
      <c r="N52" s="18">
        <f ca="1">IF($A52="","",SUMIFS('Current Char Stats'!$Q$4:$Q$273,'Current Char Stats'!$B$4:$B$273,$A52))</f>
        <v>0</v>
      </c>
      <c r="O52" s="18">
        <f ca="1">IF($A52="","",SUMIFS('Current Char Stats'!$R$4:$R$273,'Current Char Stats'!$B$4:$B$273,$A52))</f>
        <v>2</v>
      </c>
      <c r="P52" s="18">
        <f ca="1">IF($A52="","",SUMIFS('Current Char Stats'!$S$4:$S$273,'Current Char Stats'!$B$4:$B$273,$A52))</f>
        <v>0</v>
      </c>
      <c r="Q52" s="18">
        <f ca="1">COUNTIF(Bracket!$K$6:$K$20,A52)</f>
        <v>0</v>
      </c>
      <c r="R52" s="18">
        <f ca="1">COUNTIFS(Bracket!$K$6:$K$20,A52,Bracket!$G$6:$G$20,"CG-*")</f>
        <v>0</v>
      </c>
      <c r="S52" s="18">
        <f ca="1">IF($A52="","",SUMIFS('Current Char Stats'!$T$4:$T$273,'Current Char Stats'!$B$4:$B$273,$A52))</f>
        <v>0</v>
      </c>
      <c r="T52" s="18">
        <f ca="1">IF($A52="","",SUMIFS('Current Char Stats'!$U$4:$U$273,'Current Char Stats'!$B$4:$B$273,$A52))</f>
        <v>0</v>
      </c>
      <c r="U52" s="18" cm="1">
        <f t="array" aca="1" ref="U52" ca="1">IF($A52="","",_xlfn.LET(_xlpm.rawIP,SUMPRODUCT(--(Data!$AM$4:$AM$183=$A52),IFERROR(Data!$AN$4:$AN$183,0)),IF(_xlpm.rawIP=0,0,INT(_xlpm.rawIP)+MOD(ROUND(_xlpm.rawIP*3,0),3)/10)))</f>
        <v>0</v>
      </c>
      <c r="V52" s="18">
        <f ca="1">IF($A52="","",SUMIFS('Current Char Stats'!$J$4:$J$273,'Current Char Stats'!$B$4:$B$273,$A52))</f>
        <v>0</v>
      </c>
      <c r="W52" s="18" cm="1">
        <f t="array" aca="1" ref="W52" ca="1">IF($A52="","",_xlfn.LET(_xlpm.rawIP,SUMPRODUCT(--(Data!$AM$4:$AM$183=$A52),IFERROR(Data!$AN$4:$AN$183,0)),IF(_xlpm.rawIP=0,0,V52*3/_xlpm.rawIP)))</f>
        <v>0</v>
      </c>
      <c r="X52" s="18">
        <f ca="1">IF($A52="","",SUMIFS('Current Char Stats'!$V$4:$V$273,'Current Char Stats'!$B$4:$B$273,$A52))</f>
        <v>0</v>
      </c>
      <c r="Y52" s="18">
        <f ca="1">IF($A52="","",SUMIFS('Current Char Stats'!$W$4:$W$273,'Current Char Stats'!$B$4:$B$273,$A52))</f>
        <v>0</v>
      </c>
      <c r="Z52" s="18">
        <f ca="1">IF($A52="","",SUMIFS('Current Char Stats'!$X$4:$X$273,'Current Char Stats'!$B$4:$B$273,$A52))</f>
        <v>0</v>
      </c>
      <c r="AA52" s="18">
        <f ca="1">IF($A52="","",SUMIFS('Current Char Stats'!$Y$4:$Y$273,'Current Char Stats'!$B$4:$B$273,$A52))</f>
        <v>0</v>
      </c>
      <c r="AB52" s="18">
        <f ca="1">IF($A52="","",SUMIFS('Current Char Stats'!$Z$4:$Z$273,'Current Char Stats'!$B$4:$B$273,$A52))</f>
        <v>0</v>
      </c>
      <c r="AC52" s="18">
        <f ca="1">IF($A52="","",SUMIFS('Current Char Stats'!$AA$4:$AA$273,'Current Char Stats'!$B$4:$B$273,$A52))</f>
        <v>0</v>
      </c>
      <c r="AD52" s="18">
        <f ca="1">IF($A52="","",SUMIFS('Current Char Stats'!$AB$4:$AB$273,'Current Char Stats'!$B$4:$B$273,$A52))</f>
        <v>0</v>
      </c>
      <c r="AE52" s="18">
        <f ca="1">IF($A52="","",SUMIFS('Current Char Stats'!$AC$4:$AC$273,'Current Char Stats'!$B$4:$B$273,$A52))</f>
        <v>0</v>
      </c>
      <c r="AF52" s="18" cm="1">
        <f t="array" aca="1" ref="AF52" ca="1">IF($A52="","",_xlfn.LET(_xlpm.rawIP,SUMPRODUCT(--(Data!$AM$4:$AM$183=$A52),IFERROR(Data!$AN$4:$AN$183,0)),IF(_xlpm.rawIP=0,0,(X52+Z52)/_xlpm.rawIP)))</f>
        <v>0</v>
      </c>
      <c r="AG52" s="18">
        <f ca="1">IF($A52="","",SUMIFS('Current Char Stats'!$AE$4:$AE$273,'Current Char Stats'!$B$4:$B$273,$A52))</f>
        <v>0</v>
      </c>
    </row>
    <row r="53" spans="1:33">
      <c r="A53" s="4" t="s">
        <v>61</v>
      </c>
      <c r="B53" s="5">
        <f>COUNTIF(Data!$D$4:$D$75,A53)</f>
        <v>1</v>
      </c>
      <c r="C53" s="5">
        <f ca="1">SUMIFS(Data!$W$4:$W$273,Data!$U$4:$U$273,A53)</f>
        <v>3</v>
      </c>
      <c r="D53" s="5">
        <f ca="1">SUMIFS(Data!$Y$4:$Y$273,Data!$U$4:$U$273,A53)</f>
        <v>0</v>
      </c>
      <c r="E53" s="5">
        <f ca="1">IF(C53=0,0,D53/C53)</f>
        <v>0.0</v>
      </c>
      <c r="F53" s="5">
        <f ca="1">SUMIFS(Data!$AB$4:$AB$273,Data!$U$4:$U$273,A53)</f>
        <v>0</v>
      </c>
      <c r="G53" s="5">
        <f ca="1">SUMIFS(Data!$AC$4:$AC$273,Data!$U$4:$U$273,A53)</f>
        <v>0</v>
      </c>
      <c r="H53" s="89" t="str">
        <f>IFERROR(_xlfn.SINGLE(_xlfn.XLOOKUP(A53, Data!$D$4:$D$75, Data!$C$4:$C$75, "")), "")</f>
        <v>Aidan</v>
      </c>
      <c r="I53" s="5">
        <f ca="1">IF(H53 = "", "", IFERROR(_xlfn.SINGLE(_xlfn.XLOOKUP(H53, 'Current Player'!$A$4:$A$11, _xlfn.SINGLE('Current Player'!$C$4:$C$11) / _xlfn.SINGLE('Current Player'!$B$4:$B$11), 0)), 0))</f>
        <v>0</v>
      </c>
      <c r="J53" s="5" t="str">
        <f ca="1">IF(AND(H53&lt;&gt;"",H53=INDEX(Bracket!$B$18:$B$25,MATCH("1st",Bracket!$A$18:$A$25,0))),"Yes","")</f>
        <v/>
      </c>
      <c r="K53" s="18">
        <f ca="1">IF($A53="","",SUMIFS('Current Char Stats'!$N$4:$N$273,'Current Char Stats'!$B$4:$B$273,$A53))</f>
        <v>0</v>
      </c>
      <c r="L53" s="18">
        <f ca="1">IF($A53="","",SUMIFS('Current Char Stats'!$O$4:$O$273,'Current Char Stats'!$B$4:$B$273,$A53))</f>
        <v>0</v>
      </c>
      <c r="M53" s="18">
        <f ca="1">IF($A53="","",SUMIFS('Current Char Stats'!$P$4:$P$273,'Current Char Stats'!$B$4:$B$273,$A53))</f>
        <v>0</v>
      </c>
      <c r="N53" s="18">
        <f ca="1">IF($A53="","",SUMIFS('Current Char Stats'!$Q$4:$Q$273,'Current Char Stats'!$B$4:$B$273,$A53))</f>
        <v>0</v>
      </c>
      <c r="O53" s="18">
        <f ca="1">IF($A53="","",SUMIFS('Current Char Stats'!$R$4:$R$273,'Current Char Stats'!$B$4:$B$273,$A53))</f>
        <v>0</v>
      </c>
      <c r="P53" s="18">
        <f ca="1">IF($A53="","",SUMIFS('Current Char Stats'!$S$4:$S$273,'Current Char Stats'!$B$4:$B$273,$A53))</f>
        <v>0</v>
      </c>
      <c r="Q53" s="18">
        <f ca="1">COUNTIF(Bracket!$K$6:$K$20,A53)</f>
        <v>0</v>
      </c>
      <c r="R53" s="18">
        <f ca="1">COUNTIFS(Bracket!$K$6:$K$20,A53,Bracket!$G$6:$G$20,"CG-*")</f>
        <v>0</v>
      </c>
      <c r="S53" s="18">
        <f ca="1">IF($A53="","",SUMIFS('Current Char Stats'!$T$4:$T$273,'Current Char Stats'!$B$4:$B$273,$A53))</f>
        <v>0</v>
      </c>
      <c r="T53" s="18">
        <f ca="1">IF($A53="","",SUMIFS('Current Char Stats'!$U$4:$U$273,'Current Char Stats'!$B$4:$B$273,$A53))</f>
        <v>0</v>
      </c>
      <c r="U53" s="18" cm="1">
        <f t="array" aca="1" ref="U53" ca="1">IF($A53="","",_xlfn.LET(_xlpm.rawIP,SUMPRODUCT(--(Data!$AM$4:$AM$183=$A53),IFERROR(Data!$AN$4:$AN$183,0)),IF(_xlpm.rawIP=0,0,INT(_xlpm.rawIP)+MOD(ROUND(_xlpm.rawIP*3,0),3)/10)))</f>
        <v>0</v>
      </c>
      <c r="V53" s="18">
        <f ca="1">IF($A53="","",SUMIFS('Current Char Stats'!$J$4:$J$273,'Current Char Stats'!$B$4:$B$273,$A53))</f>
        <v>0</v>
      </c>
      <c r="W53" s="18" cm="1">
        <f t="array" aca="1" ref="W53" ca="1">IF($A53="","",_xlfn.LET(_xlpm.rawIP,SUMPRODUCT(--(Data!$AM$4:$AM$183=$A53),IFERROR(Data!$AN$4:$AN$183,0)),IF(_xlpm.rawIP=0,0,V53*3/_xlpm.rawIP)))</f>
        <v>0</v>
      </c>
      <c r="X53" s="18">
        <f ca="1">IF($A53="","",SUMIFS('Current Char Stats'!$V$4:$V$273,'Current Char Stats'!$B$4:$B$273,$A53))</f>
        <v>0</v>
      </c>
      <c r="Y53" s="18">
        <f ca="1">IF($A53="","",SUMIFS('Current Char Stats'!$W$4:$W$273,'Current Char Stats'!$B$4:$B$273,$A53))</f>
        <v>0</v>
      </c>
      <c r="Z53" s="18">
        <f ca="1">IF($A53="","",SUMIFS('Current Char Stats'!$X$4:$X$273,'Current Char Stats'!$B$4:$B$273,$A53))</f>
        <v>0</v>
      </c>
      <c r="AA53" s="18">
        <f ca="1">IF($A53="","",SUMIFS('Current Char Stats'!$Y$4:$Y$273,'Current Char Stats'!$B$4:$B$273,$A53))</f>
        <v>0</v>
      </c>
      <c r="AB53" s="18">
        <f ca="1">IF($A53="","",SUMIFS('Current Char Stats'!$Z$4:$Z$273,'Current Char Stats'!$B$4:$B$273,$A53))</f>
        <v>0</v>
      </c>
      <c r="AC53" s="18">
        <f ca="1">IF($A53="","",SUMIFS('Current Char Stats'!$AA$4:$AA$273,'Current Char Stats'!$B$4:$B$273,$A53))</f>
        <v>0</v>
      </c>
      <c r="AD53" s="18">
        <f ca="1">IF($A53="","",SUMIFS('Current Char Stats'!$AB$4:$AB$273,'Current Char Stats'!$B$4:$B$273,$A53))</f>
        <v>0</v>
      </c>
      <c r="AE53" s="18">
        <f ca="1">IF($A53="","",SUMIFS('Current Char Stats'!$AC$4:$AC$273,'Current Char Stats'!$B$4:$B$273,$A53))</f>
        <v>0</v>
      </c>
      <c r="AF53" s="18" cm="1">
        <f t="array" aca="1" ref="AF53" ca="1">IF($A53="","",_xlfn.LET(_xlpm.rawIP,SUMPRODUCT(--(Data!$AM$4:$AM$183=$A53),IFERROR(Data!$AN$4:$AN$183,0)),IF(_xlpm.rawIP=0,0,(X53+Z53)/_xlpm.rawIP)))</f>
        <v>0</v>
      </c>
      <c r="AG53" s="18">
        <f ca="1">IF($A53="","",SUMIFS('Current Char Stats'!$AE$4:$AE$273,'Current Char Stats'!$B$4:$B$273,$A53))</f>
        <v>0</v>
      </c>
    </row>
    <row r="54" spans="1:33">
      <c r="A54" s="4" t="s">
        <v>110</v>
      </c>
      <c r="B54" s="5">
        <f>COUNTIF(Data!$D$4:$D$75,A54)</f>
        <v>0</v>
      </c>
      <c r="C54" s="5">
        <f ca="1">SUMIFS(Data!$W$4:$W$273,Data!$U$4:$U$273,A54)</f>
        <v>0</v>
      </c>
      <c r="D54" s="5">
        <f ca="1">SUMIFS(Data!$Y$4:$Y$273,Data!$U$4:$U$273,A54)</f>
        <v>0</v>
      </c>
      <c r="E54" s="5">
        <f ca="1">IF(C54=0,0,D54/C54)</f>
        <v>0</v>
      </c>
      <c r="F54" s="5">
        <f ca="1">SUMIFS(Data!$AB$4:$AB$273,Data!$U$4:$U$273,A54)</f>
        <v>0</v>
      </c>
      <c r="G54" s="5">
        <f ca="1">SUMIFS(Data!$AC$4:$AC$273,Data!$U$4:$U$273,A54)</f>
        <v>0</v>
      </c>
      <c r="H54" s="90" t="str">
        <f>IFERROR(_xlfn.SINGLE(_xlfn.XLOOKUP(A54, Data!$D$4:$D$75, Data!$C$4:$C$75, "")), "")</f>
        <v/>
      </c>
      <c r="I54" s="5" t="str">
        <f ca="1">IF(H54 = "", "", IFERROR(_xlfn.SINGLE(_xlfn.XLOOKUP(H54, 'Current Player'!$A$4:$A$11, _xlfn.SINGLE('Current Player'!$C$4:$C$11) / _xlfn.SINGLE('Current Player'!$B$4:$B$11), 0)), 0))</f>
        <v/>
      </c>
      <c r="J54" s="5" t="str">
        <f ca="1">IF(AND(H54&lt;&gt;"",H54=INDEX(Bracket!$B$18:$B$25,MATCH("1st",Bracket!$A$18:$A$25,0))),"Yes","")</f>
        <v/>
      </c>
      <c r="K54" s="18">
        <f ca="1">IF($A54="","",SUMIFS('Current Char Stats'!$N$4:$N$273,'Current Char Stats'!$B$4:$B$273,$A54))</f>
        <v>0</v>
      </c>
      <c r="L54" s="18">
        <f ca="1">IF($A54="","",SUMIFS('Current Char Stats'!$O$4:$O$273,'Current Char Stats'!$B$4:$B$273,$A54))</f>
        <v>0</v>
      </c>
      <c r="M54" s="18">
        <f ca="1">IF($A54="","",SUMIFS('Current Char Stats'!$P$4:$P$273,'Current Char Stats'!$B$4:$B$273,$A54))</f>
        <v>0</v>
      </c>
      <c r="N54" s="18">
        <f ca="1">IF($A54="","",SUMIFS('Current Char Stats'!$Q$4:$Q$273,'Current Char Stats'!$B$4:$B$273,$A54))</f>
        <v>0</v>
      </c>
      <c r="O54" s="18">
        <f ca="1">IF($A54="","",SUMIFS('Current Char Stats'!$R$4:$R$273,'Current Char Stats'!$B$4:$B$273,$A54))</f>
        <v>0</v>
      </c>
      <c r="P54" s="18">
        <f ca="1">IF($A54="","",SUMIFS('Current Char Stats'!$S$4:$S$273,'Current Char Stats'!$B$4:$B$273,$A54))</f>
        <v>0</v>
      </c>
      <c r="Q54" s="18">
        <f ca="1">COUNTIF(Bracket!$K$6:$K$20,A54)</f>
        <v>0</v>
      </c>
      <c r="R54" s="18">
        <f ca="1">COUNTIFS(Bracket!$K$6:$K$20,A54,Bracket!$G$6:$G$20,"CG-*")</f>
        <v>0</v>
      </c>
      <c r="S54" s="18">
        <f ca="1">IF($A54="","",SUMIFS('Current Char Stats'!$T$4:$T$273,'Current Char Stats'!$B$4:$B$273,$A54))</f>
        <v>0</v>
      </c>
      <c r="T54" s="18">
        <f ca="1">IF($A54="","",SUMIFS('Current Char Stats'!$U$4:$U$273,'Current Char Stats'!$B$4:$B$273,$A54))</f>
        <v>0</v>
      </c>
      <c r="U54" s="18" cm="1">
        <f t="array" aca="1" ref="U54" ca="1">IF($A54="","",_xlfn.LET(_xlpm.rawIP,SUMPRODUCT(--(Data!$AM$4:$AM$183=$A54),IFERROR(Data!$AN$4:$AN$183,0)),IF(_xlpm.rawIP=0,0,INT(_xlpm.rawIP)+MOD(ROUND(_xlpm.rawIP*3,0),3)/10)))</f>
        <v>0</v>
      </c>
      <c r="V54" s="18">
        <f ca="1">IF($A54="","",SUMIFS('Current Char Stats'!$J$4:$J$273,'Current Char Stats'!$B$4:$B$273,$A54))</f>
        <v>0</v>
      </c>
      <c r="W54" s="18" cm="1">
        <f t="array" aca="1" ref="W54" ca="1">IF($A54="","",_xlfn.LET(_xlpm.rawIP,SUMPRODUCT(--(Data!$AM$4:$AM$183=$A54),IFERROR(Data!$AN$4:$AN$183,0)),IF(_xlpm.rawIP=0,0,V54*3/_xlpm.rawIP)))</f>
        <v>0</v>
      </c>
      <c r="X54" s="18">
        <f ca="1">IF($A54="","",SUMIFS('Current Char Stats'!$V$4:$V$273,'Current Char Stats'!$B$4:$B$273,$A54))</f>
        <v>0</v>
      </c>
      <c r="Y54" s="18">
        <f ca="1">IF($A54="","",SUMIFS('Current Char Stats'!$W$4:$W$273,'Current Char Stats'!$B$4:$B$273,$A54))</f>
        <v>0</v>
      </c>
      <c r="Z54" s="18">
        <f ca="1">IF($A54="","",SUMIFS('Current Char Stats'!$X$4:$X$273,'Current Char Stats'!$B$4:$B$273,$A54))</f>
        <v>0</v>
      </c>
      <c r="AA54" s="18">
        <f ca="1">IF($A54="","",SUMIFS('Current Char Stats'!$Y$4:$Y$273,'Current Char Stats'!$B$4:$B$273,$A54))</f>
        <v>0</v>
      </c>
      <c r="AB54" s="18">
        <f ca="1">IF($A54="","",SUMIFS('Current Char Stats'!$Z$4:$Z$273,'Current Char Stats'!$B$4:$B$273,$A54))</f>
        <v>0</v>
      </c>
      <c r="AC54" s="18">
        <f ca="1">IF($A54="","",SUMIFS('Current Char Stats'!$AA$4:$AA$273,'Current Char Stats'!$B$4:$B$273,$A54))</f>
        <v>0</v>
      </c>
      <c r="AD54" s="18">
        <f ca="1">IF($A54="","",SUMIFS('Current Char Stats'!$AB$4:$AB$273,'Current Char Stats'!$B$4:$B$273,$A54))</f>
        <v>0</v>
      </c>
      <c r="AE54" s="18">
        <f ca="1">IF($A54="","",SUMIFS('Current Char Stats'!$AC$4:$AC$273,'Current Char Stats'!$B$4:$B$273,$A54))</f>
        <v>0</v>
      </c>
      <c r="AF54" s="18" cm="1">
        <f t="array" aca="1" ref="AF54" ca="1">IF($A54="","",_xlfn.LET(_xlpm.rawIP,SUMPRODUCT(--(Data!$AM$4:$AM$183=$A54),IFERROR(Data!$AN$4:$AN$183,0)),IF(_xlpm.rawIP=0,0,(X54+Z54)/_xlpm.rawIP)))</f>
        <v>0</v>
      </c>
      <c r="AG54" s="18">
        <f ca="1">IF($A54="","",SUMIFS('Current Char Stats'!$AE$4:$AE$273,'Current Char Stats'!$B$4:$B$273,$A54))</f>
        <v>0</v>
      </c>
    </row>
    <row r="55" spans="1:33">
      <c r="A55" s="4" t="s">
        <v>68</v>
      </c>
      <c r="B55" s="5">
        <f>COUNTIF(Data!$D$4:$D$75,A55)</f>
        <v>1</v>
      </c>
      <c r="C55" s="5">
        <f ca="1">SUMIFS(Data!$W$4:$W$273,Data!$U$4:$U$273,A55)</f>
        <v>3</v>
      </c>
      <c r="D55" s="5">
        <f ca="1">SUMIFS(Data!$Y$4:$Y$273,Data!$U$4:$U$273,A55)</f>
        <v>1</v>
      </c>
      <c r="E55" s="5">
        <f ca="1">IF(C55=0,0,D55/C55)</f>
        <v>0.3333333333333333</v>
      </c>
      <c r="F55" s="5">
        <f ca="1">SUMIFS(Data!$AB$4:$AB$273,Data!$U$4:$U$273,A55)</f>
        <v>0</v>
      </c>
      <c r="G55" s="5">
        <f ca="1">SUMIFS(Data!$AC$4:$AC$273,Data!$U$4:$U$273,A55)</f>
        <v>0</v>
      </c>
      <c r="H55" s="92" t="str">
        <f>IFERROR(_xlfn.SINGLE(_xlfn.XLOOKUP(A55, Data!$D$4:$D$75, Data!$C$4:$C$75, "")), "")</f>
        <v>Aidan</v>
      </c>
      <c r="I55" s="5">
        <f ca="1">IF(H55 = "", "", IFERROR(_xlfn.SINGLE(_xlfn.XLOOKUP(H55, 'Current Player'!$A$4:$A$11, _xlfn.SINGLE('Current Player'!$C$4:$C$11) / _xlfn.SINGLE('Current Player'!$B$4:$B$11), 0)), 0))</f>
        <v>0</v>
      </c>
      <c r="J55" s="5" t="str">
        <f ca="1">IF(AND(H55&lt;&gt;"",H55=INDEX(Bracket!$B$18:$B$25,MATCH("1st",Bracket!$A$18:$A$25,0))),"Yes","")</f>
        <v/>
      </c>
      <c r="K55" s="18">
        <f ca="1">IF($A55="","",SUMIFS('Current Char Stats'!$N$4:$N$273,'Current Char Stats'!$B$4:$B$273,$A55))</f>
        <v>0</v>
      </c>
      <c r="L55" s="18">
        <f ca="1">IF($A55="","",SUMIFS('Current Char Stats'!$O$4:$O$273,'Current Char Stats'!$B$4:$B$273,$A55))</f>
        <v>0</v>
      </c>
      <c r="M55" s="18">
        <f ca="1">IF($A55="","",SUMIFS('Current Char Stats'!$P$4:$P$273,'Current Char Stats'!$B$4:$B$273,$A55))</f>
        <v>0</v>
      </c>
      <c r="N55" s="18">
        <f ca="1">IF($A55="","",SUMIFS('Current Char Stats'!$Q$4:$Q$273,'Current Char Stats'!$B$4:$B$273,$A55))</f>
        <v>0</v>
      </c>
      <c r="O55" s="18">
        <f ca="1">IF($A55="","",SUMIFS('Current Char Stats'!$R$4:$R$273,'Current Char Stats'!$B$4:$B$273,$A55))</f>
        <v>1</v>
      </c>
      <c r="P55" s="18">
        <f ca="1">IF($A55="","",SUMIFS('Current Char Stats'!$S$4:$S$273,'Current Char Stats'!$B$4:$B$273,$A55))</f>
        <v>0</v>
      </c>
      <c r="Q55" s="18">
        <f ca="1">COUNTIF(Bracket!$K$6:$K$20,A55)</f>
        <v>0</v>
      </c>
      <c r="R55" s="18">
        <f ca="1">COUNTIFS(Bracket!$K$6:$K$20,A55,Bracket!$G$6:$G$20,"CG-*")</f>
        <v>0</v>
      </c>
      <c r="S55" s="18">
        <f ca="1">IF($A55="","",SUMIFS('Current Char Stats'!$T$4:$T$273,'Current Char Stats'!$B$4:$B$273,$A55))</f>
        <v>0</v>
      </c>
      <c r="T55" s="18">
        <f ca="1">IF($A55="","",SUMIFS('Current Char Stats'!$U$4:$U$273,'Current Char Stats'!$B$4:$B$273,$A55))</f>
        <v>0</v>
      </c>
      <c r="U55" s="18" cm="1">
        <f t="array" aca="1" ref="U55" ca="1">IF($A55="","",_xlfn.LET(_xlpm.rawIP,SUMPRODUCT(--(Data!$AM$4:$AM$183=$A55),IFERROR(Data!$AN$4:$AN$183,0)),IF(_xlpm.rawIP=0,0,INT(_xlpm.rawIP)+MOD(ROUND(_xlpm.rawIP*3,0),3)/10)))</f>
        <v>4.2</v>
      </c>
      <c r="V55" s="18">
        <f ca="1">IF($A55="","",SUMIFS('Current Char Stats'!$J$4:$J$273,'Current Char Stats'!$B$4:$B$273,$A55))</f>
        <v>6</v>
      </c>
      <c r="W55" s="18" cm="1">
        <f t="array" aca="1" ref="W55" ca="1">IF($A55="","",_xlfn.LET(_xlpm.rawIP,SUMPRODUCT(--(Data!$AM$4:$AM$183=$A55),IFERROR(Data!$AN$4:$AN$183,0)),IF(_xlpm.rawIP=0,0,V55*3/_xlpm.rawIP)))</f>
        <v>3.8571428571428568</v>
      </c>
      <c r="X55" s="18">
        <f ca="1">IF($A55="","",SUMIFS('Current Char Stats'!$V$4:$V$273,'Current Char Stats'!$B$4:$B$273,$A55))</f>
        <v>10</v>
      </c>
      <c r="Y55" s="18">
        <f ca="1">IF($A55="","",SUMIFS('Current Char Stats'!$W$4:$W$273,'Current Char Stats'!$B$4:$B$273,$A55))</f>
        <v>6</v>
      </c>
      <c r="Z55" s="18">
        <f ca="1">IF($A55="","",SUMIFS('Current Char Stats'!$X$4:$X$273,'Current Char Stats'!$B$4:$B$273,$A55))</f>
        <v>0</v>
      </c>
      <c r="AA55" s="18">
        <f ca="1">IF($A55="","",SUMIFS('Current Char Stats'!$Y$4:$Y$273,'Current Char Stats'!$B$4:$B$273,$A55))</f>
        <v>5</v>
      </c>
      <c r="AB55" s="18">
        <f ca="1">IF($A55="","",SUMIFS('Current Char Stats'!$Z$4:$Z$273,'Current Char Stats'!$B$4:$B$273,$A55))</f>
        <v>5</v>
      </c>
      <c r="AC55" s="18">
        <f ca="1">IF($A55="","",SUMIFS('Current Char Stats'!$AA$4:$AA$273,'Current Char Stats'!$B$4:$B$273,$A55))</f>
        <v>0</v>
      </c>
      <c r="AD55" s="18">
        <f ca="1">IF($A55="","",SUMIFS('Current Char Stats'!$AB$4:$AB$273,'Current Char Stats'!$B$4:$B$273,$A55))</f>
        <v>0</v>
      </c>
      <c r="AE55" s="18">
        <f ca="1">IF($A55="","",SUMIFS('Current Char Stats'!$AC$4:$AC$273,'Current Char Stats'!$B$4:$B$273,$A55))</f>
        <v>0</v>
      </c>
      <c r="AF55" s="18" cm="1">
        <f t="array" aca="1" ref="AF55" ca="1">IF($A55="","",_xlfn.LET(_xlpm.rawIP,SUMPRODUCT(--(Data!$AM$4:$AM$183=$A55),IFERROR(Data!$AN$4:$AN$183,0)),IF(_xlpm.rawIP=0,0,(X55+Z55)/_xlpm.rawIP)))</f>
        <v>2.142857142857143</v>
      </c>
      <c r="AG55" s="18">
        <f ca="1">IF($A55="","",SUMIFS('Current Char Stats'!$AE$4:$AE$273,'Current Char Stats'!$B$4:$B$273,$A55))</f>
        <v>24</v>
      </c>
    </row>
    <row r="56" spans="1:33">
      <c r="A56" s="4" t="s">
        <v>120</v>
      </c>
      <c r="B56" s="5">
        <f>COUNTIF(Data!$D$4:$D$75,A56)</f>
        <v>0</v>
      </c>
      <c r="C56" s="5">
        <f ca="1">SUMIFS(Data!$W$4:$W$273,Data!$U$4:$U$273,A56)</f>
        <v>0</v>
      </c>
      <c r="D56" s="5">
        <f ca="1">SUMIFS(Data!$Y$4:$Y$273,Data!$U$4:$U$273,A56)</f>
        <v>0</v>
      </c>
      <c r="E56" s="5">
        <f ca="1">IF(C56=0,0,D56/C56)</f>
        <v>0</v>
      </c>
      <c r="F56" s="5">
        <f ca="1">SUMIFS(Data!$AB$4:$AB$273,Data!$U$4:$U$273,A56)</f>
        <v>0</v>
      </c>
      <c r="G56" s="5">
        <f ca="1">SUMIFS(Data!$AC$4:$AC$273,Data!$U$4:$U$273,A56)</f>
        <v>0</v>
      </c>
      <c r="H56" s="93" t="str">
        <f>IFERROR(_xlfn.SINGLE(_xlfn.XLOOKUP(A56, Data!$D$4:$D$75, Data!$C$4:$C$75, "")), "")</f>
        <v/>
      </c>
      <c r="I56" s="5" t="str">
        <f ca="1">IF(H56 = "", "", IFERROR(_xlfn.SINGLE(_xlfn.XLOOKUP(H56, 'Current Player'!$A$4:$A$11, _xlfn.SINGLE('Current Player'!$C$4:$C$11) / _xlfn.SINGLE('Current Player'!$B$4:$B$11), 0)), 0))</f>
        <v/>
      </c>
      <c r="J56" s="5" t="str">
        <f ca="1">IF(AND(H56&lt;&gt;"",H56=INDEX(Bracket!$B$18:$B$25,MATCH("1st",Bracket!$A$18:$A$25,0))),"Yes","")</f>
        <v/>
      </c>
      <c r="K56" s="18">
        <f ca="1">IF($A56="","",SUMIFS('Current Char Stats'!$N$4:$N$273,'Current Char Stats'!$B$4:$B$273,$A56))</f>
        <v>0</v>
      </c>
      <c r="L56" s="18">
        <f ca="1">IF($A56="","",SUMIFS('Current Char Stats'!$O$4:$O$273,'Current Char Stats'!$B$4:$B$273,$A56))</f>
        <v>0</v>
      </c>
      <c r="M56" s="18">
        <f ca="1">IF($A56="","",SUMIFS('Current Char Stats'!$P$4:$P$273,'Current Char Stats'!$B$4:$B$273,$A56))</f>
        <v>0</v>
      </c>
      <c r="N56" s="18">
        <f ca="1">IF($A56="","",SUMIFS('Current Char Stats'!$Q$4:$Q$273,'Current Char Stats'!$B$4:$B$273,$A56))</f>
        <v>0</v>
      </c>
      <c r="O56" s="18">
        <f ca="1">IF($A56="","",SUMIFS('Current Char Stats'!$R$4:$R$273,'Current Char Stats'!$B$4:$B$273,$A56))</f>
        <v>0</v>
      </c>
      <c r="P56" s="18">
        <f ca="1">IF($A56="","",SUMIFS('Current Char Stats'!$S$4:$S$273,'Current Char Stats'!$B$4:$B$273,$A56))</f>
        <v>0</v>
      </c>
      <c r="Q56" s="18">
        <f ca="1">COUNTIF(Bracket!$K$6:$K$20,A56)</f>
        <v>0</v>
      </c>
      <c r="R56" s="18">
        <f ca="1">COUNTIFS(Bracket!$K$6:$K$20,A56,Bracket!$G$6:$G$20,"CG-*")</f>
        <v>0</v>
      </c>
      <c r="S56" s="18">
        <f ca="1">IF($A56="","",SUMIFS('Current Char Stats'!$T$4:$T$273,'Current Char Stats'!$B$4:$B$273,$A56))</f>
        <v>0</v>
      </c>
      <c r="T56" s="18">
        <f ca="1">IF($A56="","",SUMIFS('Current Char Stats'!$U$4:$U$273,'Current Char Stats'!$B$4:$B$273,$A56))</f>
        <v>0</v>
      </c>
      <c r="U56" s="18" cm="1">
        <f t="array" aca="1" ref="U56" ca="1">IF($A56="","",_xlfn.LET(_xlpm.rawIP,SUMPRODUCT(--(Data!$AM$4:$AM$183=$A56),IFERROR(Data!$AN$4:$AN$183,0)),IF(_xlpm.rawIP=0,0,INT(_xlpm.rawIP)+MOD(ROUND(_xlpm.rawIP*3,0),3)/10)))</f>
        <v>0</v>
      </c>
      <c r="V56" s="18">
        <f ca="1">IF($A56="","",SUMIFS('Current Char Stats'!$J$4:$J$273,'Current Char Stats'!$B$4:$B$273,$A56))</f>
        <v>0</v>
      </c>
      <c r="W56" s="18" cm="1">
        <f t="array" aca="1" ref="W56" ca="1">IF($A56="","",_xlfn.LET(_xlpm.rawIP,SUMPRODUCT(--(Data!$AM$4:$AM$183=$A56),IFERROR(Data!$AN$4:$AN$183,0)),IF(_xlpm.rawIP=0,0,V56*3/_xlpm.rawIP)))</f>
        <v>0</v>
      </c>
      <c r="X56" s="18">
        <f ca="1">IF($A56="","",SUMIFS('Current Char Stats'!$V$4:$V$273,'Current Char Stats'!$B$4:$B$273,$A56))</f>
        <v>0</v>
      </c>
      <c r="Y56" s="18">
        <f ca="1">IF($A56="","",SUMIFS('Current Char Stats'!$W$4:$W$273,'Current Char Stats'!$B$4:$B$273,$A56))</f>
        <v>0</v>
      </c>
      <c r="Z56" s="18">
        <f ca="1">IF($A56="","",SUMIFS('Current Char Stats'!$X$4:$X$273,'Current Char Stats'!$B$4:$B$273,$A56))</f>
        <v>0</v>
      </c>
      <c r="AA56" s="18">
        <f ca="1">IF($A56="","",SUMIFS('Current Char Stats'!$Y$4:$Y$273,'Current Char Stats'!$B$4:$B$273,$A56))</f>
        <v>0</v>
      </c>
      <c r="AB56" s="18">
        <f ca="1">IF($A56="","",SUMIFS('Current Char Stats'!$Z$4:$Z$273,'Current Char Stats'!$B$4:$B$273,$A56))</f>
        <v>0</v>
      </c>
      <c r="AC56" s="18">
        <f ca="1">IF($A56="","",SUMIFS('Current Char Stats'!$AA$4:$AA$273,'Current Char Stats'!$B$4:$B$273,$A56))</f>
        <v>0</v>
      </c>
      <c r="AD56" s="18">
        <f ca="1">IF($A56="","",SUMIFS('Current Char Stats'!$AB$4:$AB$273,'Current Char Stats'!$B$4:$B$273,$A56))</f>
        <v>0</v>
      </c>
      <c r="AE56" s="18">
        <f ca="1">IF($A56="","",SUMIFS('Current Char Stats'!$AC$4:$AC$273,'Current Char Stats'!$B$4:$B$273,$A56))</f>
        <v>0</v>
      </c>
      <c r="AF56" s="18" cm="1">
        <f t="array" aca="1" ref="AF56" ca="1">IF($A56="","",_xlfn.LET(_xlpm.rawIP,SUMPRODUCT(--(Data!$AM$4:$AM$183=$A56),IFERROR(Data!$AN$4:$AN$183,0)),IF(_xlpm.rawIP=0,0,(X56+Z56)/_xlpm.rawIP)))</f>
        <v>0</v>
      </c>
      <c r="AG56" s="18">
        <f ca="1">IF($A56="","",SUMIFS('Current Char Stats'!$AE$4:$AE$273,'Current Char Stats'!$B$4:$B$273,$A56))</f>
        <v>0</v>
      </c>
    </row>
    <row r="57" spans="1:33">
      <c r="A57" s="4" t="s">
        <v>115</v>
      </c>
      <c r="B57" s="5">
        <f>COUNTIF(Data!$D$4:$D$75,A57)</f>
        <v>0</v>
      </c>
      <c r="C57" s="5">
        <f ca="1">SUMIFS(Data!$W$4:$W$273,Data!$U$4:$U$273,A57)</f>
        <v>0</v>
      </c>
      <c r="D57" s="5">
        <f ca="1">SUMIFS(Data!$Y$4:$Y$273,Data!$U$4:$U$273,A57)</f>
        <v>0</v>
      </c>
      <c r="E57" s="5">
        <f ca="1">IF(C57=0,0,D57/C57)</f>
        <v>0</v>
      </c>
      <c r="F57" s="5">
        <f ca="1">SUMIFS(Data!$AB$4:$AB$273,Data!$U$4:$U$273,A57)</f>
        <v>0</v>
      </c>
      <c r="G57" s="5">
        <f ca="1">SUMIFS(Data!$AC$4:$AC$273,Data!$U$4:$U$273,A57)</f>
        <v>0</v>
      </c>
      <c r="H57" s="95" t="str">
        <f>IFERROR(_xlfn.SINGLE(_xlfn.XLOOKUP(A57, Data!$D$4:$D$75, Data!$C$4:$C$75, "")), "")</f>
        <v/>
      </c>
      <c r="I57" s="5" t="str">
        <f ca="1">IF(H57 = "", "", IFERROR(_xlfn.SINGLE(_xlfn.XLOOKUP(H57, 'Current Player'!$A$4:$A$11, _xlfn.SINGLE('Current Player'!$C$4:$C$11) / _xlfn.SINGLE('Current Player'!$B$4:$B$11), 0)), 0))</f>
        <v/>
      </c>
      <c r="J57" s="5" t="str">
        <f ca="1">IF(AND(H57&lt;&gt;"",H57=INDEX(Bracket!$B$18:$B$25,MATCH("1st",Bracket!$A$18:$A$25,0))),"Yes","")</f>
        <v/>
      </c>
      <c r="K57" s="18">
        <f ca="1">IF($A57="","",SUMIFS('Current Char Stats'!$N$4:$N$273,'Current Char Stats'!$B$4:$B$273,$A57))</f>
        <v>0</v>
      </c>
      <c r="L57" s="18">
        <f ca="1">IF($A57="","",SUMIFS('Current Char Stats'!$O$4:$O$273,'Current Char Stats'!$B$4:$B$273,$A57))</f>
        <v>0</v>
      </c>
      <c r="M57" s="18">
        <f ca="1">IF($A57="","",SUMIFS('Current Char Stats'!$P$4:$P$273,'Current Char Stats'!$B$4:$B$273,$A57))</f>
        <v>0</v>
      </c>
      <c r="N57" s="18">
        <f ca="1">IF($A57="","",SUMIFS('Current Char Stats'!$Q$4:$Q$273,'Current Char Stats'!$B$4:$B$273,$A57))</f>
        <v>0</v>
      </c>
      <c r="O57" s="18">
        <f ca="1">IF($A57="","",SUMIFS('Current Char Stats'!$R$4:$R$273,'Current Char Stats'!$B$4:$B$273,$A57))</f>
        <v>0</v>
      </c>
      <c r="P57" s="18">
        <f ca="1">IF($A57="","",SUMIFS('Current Char Stats'!$S$4:$S$273,'Current Char Stats'!$B$4:$B$273,$A57))</f>
        <v>0</v>
      </c>
      <c r="Q57" s="18">
        <f ca="1">COUNTIF(Bracket!$K$6:$K$20,A57)</f>
        <v>0</v>
      </c>
      <c r="R57" s="18">
        <f ca="1">COUNTIFS(Bracket!$K$6:$K$20,A57,Bracket!$G$6:$G$20,"CG-*")</f>
        <v>0</v>
      </c>
      <c r="S57" s="18">
        <f ca="1">IF($A57="","",SUMIFS('Current Char Stats'!$T$4:$T$273,'Current Char Stats'!$B$4:$B$273,$A57))</f>
        <v>0</v>
      </c>
      <c r="T57" s="18">
        <f ca="1">IF($A57="","",SUMIFS('Current Char Stats'!$U$4:$U$273,'Current Char Stats'!$B$4:$B$273,$A57))</f>
        <v>0</v>
      </c>
      <c r="U57" s="18" cm="1">
        <f t="array" aca="1" ref="U57" ca="1">IF($A57="","",_xlfn.LET(_xlpm.rawIP,SUMPRODUCT(--(Data!$AM$4:$AM$183=$A57),IFERROR(Data!$AN$4:$AN$183,0)),IF(_xlpm.rawIP=0,0,INT(_xlpm.rawIP)+MOD(ROUND(_xlpm.rawIP*3,0),3)/10)))</f>
        <v>0</v>
      </c>
      <c r="V57" s="18">
        <f ca="1">IF($A57="","",SUMIFS('Current Char Stats'!$J$4:$J$273,'Current Char Stats'!$B$4:$B$273,$A57))</f>
        <v>0</v>
      </c>
      <c r="W57" s="18" cm="1">
        <f t="array" aca="1" ref="W57" ca="1">IF($A57="","",_xlfn.LET(_xlpm.rawIP,SUMPRODUCT(--(Data!$AM$4:$AM$183=$A57),IFERROR(Data!$AN$4:$AN$183,0)),IF(_xlpm.rawIP=0,0,V57*3/_xlpm.rawIP)))</f>
        <v>0</v>
      </c>
      <c r="X57" s="18">
        <f ca="1">IF($A57="","",SUMIFS('Current Char Stats'!$V$4:$V$273,'Current Char Stats'!$B$4:$B$273,$A57))</f>
        <v>0</v>
      </c>
      <c r="Y57" s="18">
        <f ca="1">IF($A57="","",SUMIFS('Current Char Stats'!$W$4:$W$273,'Current Char Stats'!$B$4:$B$273,$A57))</f>
        <v>0</v>
      </c>
      <c r="Z57" s="18">
        <f ca="1">IF($A57="","",SUMIFS('Current Char Stats'!$X$4:$X$273,'Current Char Stats'!$B$4:$B$273,$A57))</f>
        <v>0</v>
      </c>
      <c r="AA57" s="18">
        <f ca="1">IF($A57="","",SUMIFS('Current Char Stats'!$Y$4:$Y$273,'Current Char Stats'!$B$4:$B$273,$A57))</f>
        <v>0</v>
      </c>
      <c r="AB57" s="18">
        <f ca="1">IF($A57="","",SUMIFS('Current Char Stats'!$Z$4:$Z$273,'Current Char Stats'!$B$4:$B$273,$A57))</f>
        <v>0</v>
      </c>
      <c r="AC57" s="18">
        <f ca="1">IF($A57="","",SUMIFS('Current Char Stats'!$AA$4:$AA$273,'Current Char Stats'!$B$4:$B$273,$A57))</f>
        <v>0</v>
      </c>
      <c r="AD57" s="18">
        <f ca="1">IF($A57="","",SUMIFS('Current Char Stats'!$AB$4:$AB$273,'Current Char Stats'!$B$4:$B$273,$A57))</f>
        <v>0</v>
      </c>
      <c r="AE57" s="18">
        <f ca="1">IF($A57="","",SUMIFS('Current Char Stats'!$AC$4:$AC$273,'Current Char Stats'!$B$4:$B$273,$A57))</f>
        <v>0</v>
      </c>
      <c r="AF57" s="18" cm="1">
        <f t="array" aca="1" ref="AF57" ca="1">IF($A57="","",_xlfn.LET(_xlpm.rawIP,SUMPRODUCT(--(Data!$AM$4:$AM$183=$A57),IFERROR(Data!$AN$4:$AN$183,0)),IF(_xlpm.rawIP=0,0,(X57+Z57)/_xlpm.rawIP)))</f>
        <v>0</v>
      </c>
      <c r="AG57" s="18">
        <f ca="1">IF($A57="","",SUMIFS('Current Char Stats'!$AE$4:$AE$273,'Current Char Stats'!$B$4:$B$273,$A57))</f>
        <v>0</v>
      </c>
    </row>
    <row r="58" spans="1:33">
      <c r="A58" s="4" t="s">
        <v>116</v>
      </c>
      <c r="B58" s="5">
        <f>COUNTIF(Data!$D$4:$D$75,A58)</f>
        <v>0</v>
      </c>
      <c r="C58" s="5">
        <f ca="1">SUMIFS(Data!$W$4:$W$273,Data!$U$4:$U$273,A58)</f>
        <v>0</v>
      </c>
      <c r="D58" s="5">
        <f ca="1">SUMIFS(Data!$Y$4:$Y$273,Data!$U$4:$U$273,A58)</f>
        <v>0</v>
      </c>
      <c r="E58" s="5">
        <f ca="1">IF(C58=0,0,D58/C58)</f>
        <v>0</v>
      </c>
      <c r="F58" s="5">
        <f ca="1">SUMIFS(Data!$AB$4:$AB$273,Data!$U$4:$U$273,A58)</f>
        <v>0</v>
      </c>
      <c r="G58" s="5">
        <f ca="1">SUMIFS(Data!$AC$4:$AC$273,Data!$U$4:$U$273,A58)</f>
        <v>0</v>
      </c>
      <c r="H58" s="5" t="str">
        <f>IFERROR(_xlfn.SINGLE(_xlfn.XLOOKUP(A58, Data!$D$4:$D$75, Data!$C$4:$C$75, "")), "")</f>
        <v/>
      </c>
      <c r="I58" s="5" t="str">
        <f ca="1">IF(H58 = "", "", IFERROR(_xlfn.SINGLE(_xlfn.XLOOKUP(H58, 'Current Player'!$A$4:$A$11, _xlfn.SINGLE('Current Player'!$C$4:$C$11) / _xlfn.SINGLE('Current Player'!$B$4:$B$11), 0)), 0))</f>
        <v/>
      </c>
      <c r="J58" s="5" t="str">
        <f ca="1">IF(AND(H58&lt;&gt;"",H58=INDEX(Bracket!$B$18:$B$25,MATCH("1st",Bracket!$A$18:$A$25,0))),"Yes","")</f>
        <v/>
      </c>
      <c r="K58" s="18">
        <f ca="1">IF($A58="","",SUMIFS('Current Char Stats'!$N$4:$N$273,'Current Char Stats'!$B$4:$B$273,$A58))</f>
        <v>0</v>
      </c>
      <c r="L58" s="18">
        <f ca="1">IF($A58="","",SUMIFS('Current Char Stats'!$O$4:$O$273,'Current Char Stats'!$B$4:$B$273,$A58))</f>
        <v>0</v>
      </c>
      <c r="M58" s="18">
        <f ca="1">IF($A58="","",SUMIFS('Current Char Stats'!$P$4:$P$273,'Current Char Stats'!$B$4:$B$273,$A58))</f>
        <v>0</v>
      </c>
      <c r="N58" s="18">
        <f ca="1">IF($A58="","",SUMIFS('Current Char Stats'!$Q$4:$Q$273,'Current Char Stats'!$B$4:$B$273,$A58))</f>
        <v>0</v>
      </c>
      <c r="O58" s="18">
        <f ca="1">IF($A58="","",SUMIFS('Current Char Stats'!$R$4:$R$273,'Current Char Stats'!$B$4:$B$273,$A58))</f>
        <v>0</v>
      </c>
      <c r="P58" s="18">
        <f ca="1">IF($A58="","",SUMIFS('Current Char Stats'!$S$4:$S$273,'Current Char Stats'!$B$4:$B$273,$A58))</f>
        <v>0</v>
      </c>
      <c r="Q58" s="18">
        <f ca="1">COUNTIF(Bracket!$K$6:$K$20,A58)</f>
        <v>0</v>
      </c>
      <c r="R58" s="18">
        <f ca="1">COUNTIFS(Bracket!$K$6:$K$20,A58,Bracket!$G$6:$G$20,"CG-*")</f>
        <v>0</v>
      </c>
      <c r="S58" s="18">
        <f ca="1">IF($A58="","",SUMIFS('Current Char Stats'!$T$4:$T$273,'Current Char Stats'!$B$4:$B$273,$A58))</f>
        <v>0</v>
      </c>
      <c r="T58" s="18">
        <f ca="1">IF($A58="","",SUMIFS('Current Char Stats'!$U$4:$U$273,'Current Char Stats'!$B$4:$B$273,$A58))</f>
        <v>0</v>
      </c>
      <c r="U58" s="18" cm="1">
        <f t="array" aca="1" ref="U58" ca="1">IF($A58="","",_xlfn.LET(_xlpm.rawIP,SUMPRODUCT(--(Data!$AM$4:$AM$183=$A58),IFERROR(Data!$AN$4:$AN$183,0)),IF(_xlpm.rawIP=0,0,INT(_xlpm.rawIP)+MOD(ROUND(_xlpm.rawIP*3,0),3)/10)))</f>
        <v>0</v>
      </c>
      <c r="V58" s="18">
        <f ca="1">IF($A58="","",SUMIFS('Current Char Stats'!$J$4:$J$273,'Current Char Stats'!$B$4:$B$273,$A58))</f>
        <v>0</v>
      </c>
      <c r="W58" s="18" cm="1">
        <f t="array" aca="1" ref="W58" ca="1">IF($A58="","",_xlfn.LET(_xlpm.rawIP,SUMPRODUCT(--(Data!$AM$4:$AM$183=$A58),IFERROR(Data!$AN$4:$AN$183,0)),IF(_xlpm.rawIP=0,0,V58*3/_xlpm.rawIP)))</f>
        <v>0</v>
      </c>
      <c r="X58" s="18">
        <f ca="1">IF($A58="","",SUMIFS('Current Char Stats'!$V$4:$V$273,'Current Char Stats'!$B$4:$B$273,$A58))</f>
        <v>0</v>
      </c>
      <c r="Y58" s="18">
        <f ca="1">IF($A58="","",SUMIFS('Current Char Stats'!$W$4:$W$273,'Current Char Stats'!$B$4:$B$273,$A58))</f>
        <v>0</v>
      </c>
      <c r="Z58" s="18">
        <f ca="1">IF($A58="","",SUMIFS('Current Char Stats'!$X$4:$X$273,'Current Char Stats'!$B$4:$B$273,$A58))</f>
        <v>0</v>
      </c>
      <c r="AA58" s="18">
        <f ca="1">IF($A58="","",SUMIFS('Current Char Stats'!$Y$4:$Y$273,'Current Char Stats'!$B$4:$B$273,$A58))</f>
        <v>0</v>
      </c>
      <c r="AB58" s="18">
        <f ca="1">IF($A58="","",SUMIFS('Current Char Stats'!$Z$4:$Z$273,'Current Char Stats'!$B$4:$B$273,$A58))</f>
        <v>0</v>
      </c>
      <c r="AC58" s="18">
        <f ca="1">IF($A58="","",SUMIFS('Current Char Stats'!$AA$4:$AA$273,'Current Char Stats'!$B$4:$B$273,$A58))</f>
        <v>0</v>
      </c>
      <c r="AD58" s="18">
        <f ca="1">IF($A58="","",SUMIFS('Current Char Stats'!$AB$4:$AB$273,'Current Char Stats'!$B$4:$B$273,$A58))</f>
        <v>0</v>
      </c>
      <c r="AE58" s="18">
        <f ca="1">IF($A58="","",SUMIFS('Current Char Stats'!$AC$4:$AC$273,'Current Char Stats'!$B$4:$B$273,$A58))</f>
        <v>0</v>
      </c>
      <c r="AF58" s="18" cm="1">
        <f t="array" aca="1" ref="AF58" ca="1">IF($A58="","",_xlfn.LET(_xlpm.rawIP,SUMPRODUCT(--(Data!$AM$4:$AM$183=$A58),IFERROR(Data!$AN$4:$AN$183,0)),IF(_xlpm.rawIP=0,0,(X58+Z58)/_xlpm.rawIP)))</f>
        <v>0</v>
      </c>
      <c r="AG58" s="18">
        <f ca="1">IF($A58="","",SUMIFS('Current Char Stats'!$AE$4:$AE$273,'Current Char Stats'!$B$4:$B$273,$A58))</f>
        <v>0</v>
      </c>
    </row>
    <row r="59" spans="1:33">
      <c r="A59" s="4" t="s">
        <v>55</v>
      </c>
      <c r="B59" s="5">
        <f>COUNTIF(Data!$D$4:$D$75,A59)</f>
        <v>1</v>
      </c>
      <c r="C59" s="5">
        <f ca="1">SUMIFS(Data!$W$4:$W$273,Data!$U$4:$U$273,A59)</f>
        <v>5</v>
      </c>
      <c r="D59" s="5">
        <f ca="1">SUMIFS(Data!$Y$4:$Y$273,Data!$U$4:$U$273,A59)</f>
        <v>3</v>
      </c>
      <c r="E59" s="5">
        <f ca="1">IF(C59=0,0,D59/C59)</f>
        <v>0.6</v>
      </c>
      <c r="F59" s="5">
        <f ca="1">SUMIFS(Data!$AB$4:$AB$273,Data!$U$4:$U$273,A59)</f>
        <v>0</v>
      </c>
      <c r="G59" s="5">
        <f ca="1">SUMIFS(Data!$AC$4:$AC$273,Data!$U$4:$U$273,A59)</f>
        <v>0</v>
      </c>
      <c r="H59" s="5" t="str">
        <f>IFERROR(_xlfn.SINGLE(_xlfn.XLOOKUP(A59, Data!$D$4:$D$75, Data!$C$4:$C$75, "")), "")</f>
        <v>Nick</v>
      </c>
      <c r="I59" s="5">
        <f ca="1">IF(H59 = "", "", IFERROR(_xlfn.SINGLE(_xlfn.XLOOKUP(H59, 'Current Player'!$A$4:$A$11, _xlfn.SINGLE('Current Player'!$C$4:$C$11) / _xlfn.SINGLE('Current Player'!$B$4:$B$11), 0)), 0))</f>
        <v>0</v>
      </c>
      <c r="J59" s="5" t="str">
        <f ca="1">IF(AND(H59&lt;&gt;"",H59=INDEX(Bracket!$B$18:$B$25,MATCH("1st",Bracket!$A$18:$A$25,0))),"Yes","")</f>
        <v/>
      </c>
      <c r="K59" s="18">
        <f ca="1">IF($A59="","",SUMIFS('Current Char Stats'!$N$4:$N$273,'Current Char Stats'!$B$4:$B$273,$A59))</f>
        <v>2</v>
      </c>
      <c r="L59" s="18">
        <f ca="1">IF($A59="","",SUMIFS('Current Char Stats'!$O$4:$O$273,'Current Char Stats'!$B$4:$B$273,$A59))</f>
        <v>0</v>
      </c>
      <c r="M59" s="18">
        <f ca="1">IF($A59="","",SUMIFS('Current Char Stats'!$P$4:$P$273,'Current Char Stats'!$B$4:$B$273,$A59))</f>
        <v>0</v>
      </c>
      <c r="N59" s="18">
        <f ca="1">IF($A59="","",SUMIFS('Current Char Stats'!$Q$4:$Q$273,'Current Char Stats'!$B$4:$B$273,$A59))</f>
        <v>0</v>
      </c>
      <c r="O59" s="18">
        <f ca="1">IF($A59="","",SUMIFS('Current Char Stats'!$R$4:$R$273,'Current Char Stats'!$B$4:$B$273,$A59))</f>
        <v>0</v>
      </c>
      <c r="P59" s="18">
        <f ca="1">IF($A59="","",SUMIFS('Current Char Stats'!$S$4:$S$273,'Current Char Stats'!$B$4:$B$273,$A59))</f>
        <v>1</v>
      </c>
      <c r="Q59" s="18">
        <f ca="1">COUNTIF(Bracket!$K$6:$K$20,A59)</f>
        <v>0</v>
      </c>
      <c r="R59" s="18">
        <f ca="1">COUNTIFS(Bracket!$K$6:$K$20,A59,Bracket!$G$6:$G$20,"CG-*")</f>
        <v>0</v>
      </c>
      <c r="S59" s="18">
        <f ca="1">IF($A59="","",SUMIFS('Current Char Stats'!$T$4:$T$273,'Current Char Stats'!$B$4:$B$273,$A59))</f>
        <v>0</v>
      </c>
      <c r="T59" s="18">
        <f ca="1">IF($A59="","",SUMIFS('Current Char Stats'!$U$4:$U$273,'Current Char Stats'!$B$4:$B$273,$A59))</f>
        <v>0</v>
      </c>
      <c r="U59" s="18" cm="1">
        <f t="array" aca="1" ref="U59" ca="1">IF($A59="","",_xlfn.LET(_xlpm.rawIP,SUMPRODUCT(--(Data!$AM$4:$AM$183=$A59),IFERROR(Data!$AN$4:$AN$183,0)),IF(_xlpm.rawIP=0,0,INT(_xlpm.rawIP)+MOD(ROUND(_xlpm.rawIP*3,0),3)/10)))</f>
        <v>0</v>
      </c>
      <c r="V59" s="18">
        <f ca="1">IF($A59="","",SUMIFS('Current Char Stats'!$J$4:$J$273,'Current Char Stats'!$B$4:$B$273,$A59))</f>
        <v>0</v>
      </c>
      <c r="W59" s="18" cm="1">
        <f t="array" aca="1" ref="W59" ca="1">IF($A59="","",_xlfn.LET(_xlpm.rawIP,SUMPRODUCT(--(Data!$AM$4:$AM$183=$A59),IFERROR(Data!$AN$4:$AN$183,0)),IF(_xlpm.rawIP=0,0,V59*3/_xlpm.rawIP)))</f>
        <v>0</v>
      </c>
      <c r="X59" s="18">
        <f ca="1">IF($A59="","",SUMIFS('Current Char Stats'!$V$4:$V$273,'Current Char Stats'!$B$4:$B$273,$A59))</f>
        <v>0</v>
      </c>
      <c r="Y59" s="18">
        <f ca="1">IF($A59="","",SUMIFS('Current Char Stats'!$W$4:$W$273,'Current Char Stats'!$B$4:$B$273,$A59))</f>
        <v>0</v>
      </c>
      <c r="Z59" s="18">
        <f ca="1">IF($A59="","",SUMIFS('Current Char Stats'!$X$4:$X$273,'Current Char Stats'!$B$4:$B$273,$A59))</f>
        <v>0</v>
      </c>
      <c r="AA59" s="18">
        <f ca="1">IF($A59="","",SUMIFS('Current Char Stats'!$Y$4:$Y$273,'Current Char Stats'!$B$4:$B$273,$A59))</f>
        <v>0</v>
      </c>
      <c r="AB59" s="18">
        <f ca="1">IF($A59="","",SUMIFS('Current Char Stats'!$Z$4:$Z$273,'Current Char Stats'!$B$4:$B$273,$A59))</f>
        <v>0</v>
      </c>
      <c r="AC59" s="18">
        <f ca="1">IF($A59="","",SUMIFS('Current Char Stats'!$AA$4:$AA$273,'Current Char Stats'!$B$4:$B$273,$A59))</f>
        <v>0</v>
      </c>
      <c r="AD59" s="18">
        <f ca="1">IF($A59="","",SUMIFS('Current Char Stats'!$AB$4:$AB$273,'Current Char Stats'!$B$4:$B$273,$A59))</f>
        <v>0</v>
      </c>
      <c r="AE59" s="18">
        <f ca="1">IF($A59="","",SUMIFS('Current Char Stats'!$AC$4:$AC$273,'Current Char Stats'!$B$4:$B$273,$A59))</f>
        <v>0</v>
      </c>
      <c r="AF59" s="18" cm="1">
        <f t="array" aca="1" ref="AF59" ca="1">IF($A59="","",_xlfn.LET(_xlpm.rawIP,SUMPRODUCT(--(Data!$AM$4:$AM$183=$A59),IFERROR(Data!$AN$4:$AN$183,0)),IF(_xlpm.rawIP=0,0,(X59+Z59)/_xlpm.rawIP)))</f>
        <v>0</v>
      </c>
      <c r="AG59" s="18">
        <f ca="1">IF($A59="","",SUMIFS('Current Char Stats'!$AE$4:$AE$273,'Current Char Stats'!$B$4:$B$273,$A59))</f>
        <v>0</v>
      </c>
    </row>
    <row r="60" spans="1:33">
      <c r="A60" s="4" t="s">
        <v>124</v>
      </c>
      <c r="B60" s="5">
        <f>COUNTIF(Data!$D$4:$D$75,A60)</f>
        <v>0</v>
      </c>
      <c r="C60" s="5">
        <f ca="1">SUMIFS(Data!$W$4:$W$273,Data!$U$4:$U$273,A60)</f>
        <v>0</v>
      </c>
      <c r="D60" s="5">
        <f ca="1">SUMIFS(Data!$Y$4:$Y$273,Data!$U$4:$U$273,A60)</f>
        <v>0</v>
      </c>
      <c r="E60" s="5">
        <f ca="1">IF(C60=0,0,D60/C60)</f>
        <v>0</v>
      </c>
      <c r="F60" s="5">
        <f ca="1">SUMIFS(Data!$AB$4:$AB$273,Data!$U$4:$U$273,A60)</f>
        <v>0</v>
      </c>
      <c r="G60" s="5">
        <f ca="1">SUMIFS(Data!$AC$4:$AC$273,Data!$U$4:$U$273,A60)</f>
        <v>0</v>
      </c>
      <c r="H60" s="5" t="str">
        <f>IFERROR(_xlfn.SINGLE(_xlfn.XLOOKUP(A60, Data!$D$4:$D$75, Data!$C$4:$C$75, "")), "")</f>
        <v/>
      </c>
      <c r="I60" s="5" t="str">
        <f ca="1">IF(H60 = "", "", IFERROR(_xlfn.SINGLE(_xlfn.XLOOKUP(H60, 'Current Player'!$A$4:$A$11, _xlfn.SINGLE('Current Player'!$C$4:$C$11) / _xlfn.SINGLE('Current Player'!$B$4:$B$11), 0)), 0))</f>
        <v/>
      </c>
      <c r="J60" s="5" t="str">
        <f ca="1">IF(AND(H60&lt;&gt;"",H60=INDEX(Bracket!$B$18:$B$25,MATCH("1st",Bracket!$A$18:$A$25,0))),"Yes","")</f>
        <v/>
      </c>
      <c r="K60" s="18">
        <f ca="1">IF($A60="","",SUMIFS('Current Char Stats'!$N$4:$N$273,'Current Char Stats'!$B$4:$B$273,$A60))</f>
        <v>0</v>
      </c>
      <c r="L60" s="18">
        <f ca="1">IF($A60="","",SUMIFS('Current Char Stats'!$O$4:$O$273,'Current Char Stats'!$B$4:$B$273,$A60))</f>
        <v>0</v>
      </c>
      <c r="M60" s="18">
        <f ca="1">IF($A60="","",SUMIFS('Current Char Stats'!$P$4:$P$273,'Current Char Stats'!$B$4:$B$273,$A60))</f>
        <v>0</v>
      </c>
      <c r="N60" s="18">
        <f ca="1">IF($A60="","",SUMIFS('Current Char Stats'!$Q$4:$Q$273,'Current Char Stats'!$B$4:$B$273,$A60))</f>
        <v>0</v>
      </c>
      <c r="O60" s="18">
        <f ca="1">IF($A60="","",SUMIFS('Current Char Stats'!$R$4:$R$273,'Current Char Stats'!$B$4:$B$273,$A60))</f>
        <v>0</v>
      </c>
      <c r="P60" s="18">
        <f ca="1">IF($A60="","",SUMIFS('Current Char Stats'!$S$4:$S$273,'Current Char Stats'!$B$4:$B$273,$A60))</f>
        <v>0</v>
      </c>
      <c r="Q60" s="18">
        <f ca="1">COUNTIF(Bracket!$K$6:$K$20,A60)</f>
        <v>0</v>
      </c>
      <c r="R60" s="18">
        <f ca="1">COUNTIFS(Bracket!$K$6:$K$20,A60,Bracket!$G$6:$G$20,"CG-*")</f>
        <v>0</v>
      </c>
      <c r="S60" s="18">
        <f ca="1">IF($A60="","",SUMIFS('Current Char Stats'!$T$4:$T$273,'Current Char Stats'!$B$4:$B$273,$A60))</f>
        <v>0</v>
      </c>
      <c r="T60" s="18">
        <f ca="1">IF($A60="","",SUMIFS('Current Char Stats'!$U$4:$U$273,'Current Char Stats'!$B$4:$B$273,$A60))</f>
        <v>0</v>
      </c>
      <c r="U60" s="18" cm="1">
        <f t="array" aca="1" ref="U60" ca="1">IF($A60="","",_xlfn.LET(_xlpm.rawIP,SUMPRODUCT(--(Data!$AM$4:$AM$183=$A60),IFERROR(Data!$AN$4:$AN$183,0)),IF(_xlpm.rawIP=0,0,INT(_xlpm.rawIP)+MOD(ROUND(_xlpm.rawIP*3,0),3)/10)))</f>
        <v>0</v>
      </c>
      <c r="V60" s="18">
        <f ca="1">IF($A60="","",SUMIFS('Current Char Stats'!$J$4:$J$273,'Current Char Stats'!$B$4:$B$273,$A60))</f>
        <v>0</v>
      </c>
      <c r="W60" s="18" cm="1">
        <f t="array" aca="1" ref="W60" ca="1">IF($A60="","",_xlfn.LET(_xlpm.rawIP,SUMPRODUCT(--(Data!$AM$4:$AM$183=$A60),IFERROR(Data!$AN$4:$AN$183,0)),IF(_xlpm.rawIP=0,0,V60*3/_xlpm.rawIP)))</f>
        <v>0</v>
      </c>
      <c r="X60" s="18">
        <f ca="1">IF($A60="","",SUMIFS('Current Char Stats'!$V$4:$V$273,'Current Char Stats'!$B$4:$B$273,$A60))</f>
        <v>0</v>
      </c>
      <c r="Y60" s="18">
        <f ca="1">IF($A60="","",SUMIFS('Current Char Stats'!$W$4:$W$273,'Current Char Stats'!$B$4:$B$273,$A60))</f>
        <v>0</v>
      </c>
      <c r="Z60" s="18">
        <f ca="1">IF($A60="","",SUMIFS('Current Char Stats'!$X$4:$X$273,'Current Char Stats'!$B$4:$B$273,$A60))</f>
        <v>0</v>
      </c>
      <c r="AA60" s="18">
        <f ca="1">IF($A60="","",SUMIFS('Current Char Stats'!$Y$4:$Y$273,'Current Char Stats'!$B$4:$B$273,$A60))</f>
        <v>0</v>
      </c>
      <c r="AB60" s="18">
        <f ca="1">IF($A60="","",SUMIFS('Current Char Stats'!$Z$4:$Z$273,'Current Char Stats'!$B$4:$B$273,$A60))</f>
        <v>0</v>
      </c>
      <c r="AC60" s="18">
        <f ca="1">IF($A60="","",SUMIFS('Current Char Stats'!$AA$4:$AA$273,'Current Char Stats'!$B$4:$B$273,$A60))</f>
        <v>0</v>
      </c>
      <c r="AD60" s="18">
        <f ca="1">IF($A60="","",SUMIFS('Current Char Stats'!$AB$4:$AB$273,'Current Char Stats'!$B$4:$B$273,$A60))</f>
        <v>0</v>
      </c>
      <c r="AE60" s="18">
        <f ca="1">IF($A60="","",SUMIFS('Current Char Stats'!$AC$4:$AC$273,'Current Char Stats'!$B$4:$B$273,$A60))</f>
        <v>0</v>
      </c>
      <c r="AF60" s="18" cm="1">
        <f t="array" aca="1" ref="AF60" ca="1">IF($A60="","",_xlfn.LET(_xlpm.rawIP,SUMPRODUCT(--(Data!$AM$4:$AM$183=$A60),IFERROR(Data!$AN$4:$AN$183,0)),IF(_xlpm.rawIP=0,0,(X60+Z60)/_xlpm.rawIP)))</f>
        <v>0</v>
      </c>
      <c r="AG60" s="18">
        <f ca="1">IF($A60="","",SUMIFS('Current Char Stats'!$AE$4:$AE$273,'Current Char Stats'!$B$4:$B$273,$A60))</f>
        <v>0</v>
      </c>
    </row>
    <row r="61" spans="1:33">
      <c r="A61" s="4" t="s">
        <v>74</v>
      </c>
      <c r="B61" s="5">
        <f>COUNTIF(Data!$D$4:$D$75,A61)</f>
        <v>1</v>
      </c>
      <c r="C61" s="5">
        <f ca="1">SUMIFS(Data!$W$4:$W$273,Data!$U$4:$U$273,A61)</f>
        <v>8</v>
      </c>
      <c r="D61" s="5">
        <f ca="1">SUMIFS(Data!$Y$4:$Y$273,Data!$U$4:$U$273,A61)</f>
        <v>4</v>
      </c>
      <c r="E61" s="5">
        <f ca="1">IF(C61=0,0,D61/C61)</f>
        <v>0.5</v>
      </c>
      <c r="F61" s="5">
        <f ca="1">SUMIFS(Data!$AB$4:$AB$273,Data!$U$4:$U$273,A61)</f>
        <v>1</v>
      </c>
      <c r="G61" s="5">
        <f ca="1">SUMIFS(Data!$AC$4:$AC$273,Data!$U$4:$U$273,A61)</f>
        <v>3</v>
      </c>
      <c r="H61" s="5" t="str">
        <f>IFERROR(_xlfn.SINGLE(_xlfn.XLOOKUP(A61, Data!$D$4:$D$75, Data!$C$4:$C$75, "")), "")</f>
        <v>Nick</v>
      </c>
      <c r="I61" s="5">
        <f ca="1">IF(H61 = "", "", IFERROR(_xlfn.SINGLE(_xlfn.XLOOKUP(H61, 'Current Player'!$A$4:$A$11, _xlfn.SINGLE('Current Player'!$C$4:$C$11) / _xlfn.SINGLE('Current Player'!$B$4:$B$11), 0)), 0))</f>
        <v>0</v>
      </c>
      <c r="J61" s="5" t="str">
        <f ca="1">IF(AND(H61&lt;&gt;"",H61=INDEX(Bracket!$B$18:$B$25,MATCH("1st",Bracket!$A$18:$A$25,0))),"Yes","")</f>
        <v/>
      </c>
      <c r="K61" s="18">
        <f ca="1">IF($A61="","",SUMIFS('Current Char Stats'!$N$4:$N$273,'Current Char Stats'!$B$4:$B$273,$A61))</f>
        <v>2</v>
      </c>
      <c r="L61" s="18">
        <f ca="1">IF($A61="","",SUMIFS('Current Char Stats'!$O$4:$O$273,'Current Char Stats'!$B$4:$B$273,$A61))</f>
        <v>2</v>
      </c>
      <c r="M61" s="18">
        <f ca="1">IF($A61="","",SUMIFS('Current Char Stats'!$P$4:$P$273,'Current Char Stats'!$B$4:$B$273,$A61))</f>
        <v>1</v>
      </c>
      <c r="N61" s="18">
        <f ca="1">IF($A61="","",SUMIFS('Current Char Stats'!$Q$4:$Q$273,'Current Char Stats'!$B$4:$B$273,$A61))</f>
        <v>0</v>
      </c>
      <c r="O61" s="18">
        <f ca="1">IF($A61="","",SUMIFS('Current Char Stats'!$R$4:$R$273,'Current Char Stats'!$B$4:$B$273,$A61))</f>
        <v>1</v>
      </c>
      <c r="P61" s="18">
        <f ca="1">IF($A61="","",SUMIFS('Current Char Stats'!$S$4:$S$273,'Current Char Stats'!$B$4:$B$273,$A61))</f>
        <v>0</v>
      </c>
      <c r="Q61" s="18">
        <f ca="1">COUNTIF(Bracket!$K$6:$K$20,A61)</f>
        <v>0</v>
      </c>
      <c r="R61" s="18">
        <f ca="1">COUNTIFS(Bracket!$K$6:$K$20,A61,Bracket!$G$6:$G$20,"CG-*")</f>
        <v>0</v>
      </c>
      <c r="S61" s="18">
        <f ca="1">IF($A61="","",SUMIFS('Current Char Stats'!$T$4:$T$273,'Current Char Stats'!$B$4:$B$273,$A61))</f>
        <v>0</v>
      </c>
      <c r="T61" s="18">
        <f ca="1">IF($A61="","",SUMIFS('Current Char Stats'!$U$4:$U$273,'Current Char Stats'!$B$4:$B$273,$A61))</f>
        <v>0</v>
      </c>
      <c r="U61" s="18" cm="1">
        <f t="array" aca="1" ref="U61" ca="1">IF($A61="","",_xlfn.LET(_xlpm.rawIP,SUMPRODUCT(--(Data!$AM$4:$AM$183=$A61),IFERROR(Data!$AN$4:$AN$183,0)),IF(_xlpm.rawIP=0,0,INT(_xlpm.rawIP)+MOD(ROUND(_xlpm.rawIP*3,0),3)/10)))</f>
        <v>0.1</v>
      </c>
      <c r="V61" s="18">
        <f ca="1">IF($A61="","",SUMIFS('Current Char Stats'!$J$4:$J$273,'Current Char Stats'!$B$4:$B$273,$A61))</f>
        <v>0</v>
      </c>
      <c r="W61" s="18" cm="1">
        <f t="array" aca="1" ref="W61" ca="1">IF($A61="","",_xlfn.LET(_xlpm.rawIP,SUMPRODUCT(--(Data!$AM$4:$AM$183=$A61),IFERROR(Data!$AN$4:$AN$183,0)),IF(_xlpm.rawIP=0,0,V61*3/_xlpm.rawIP)))</f>
        <v>0.0</v>
      </c>
      <c r="X61" s="18">
        <f ca="1">IF($A61="","",SUMIFS('Current Char Stats'!$V$4:$V$273,'Current Char Stats'!$B$4:$B$273,$A61))</f>
        <v>1</v>
      </c>
      <c r="Y61" s="18">
        <f ca="1">IF($A61="","",SUMIFS('Current Char Stats'!$W$4:$W$273,'Current Char Stats'!$B$4:$B$273,$A61))</f>
        <v>0</v>
      </c>
      <c r="Z61" s="18">
        <f ca="1">IF($A61="","",SUMIFS('Current Char Stats'!$X$4:$X$273,'Current Char Stats'!$B$4:$B$273,$A61))</f>
        <v>0</v>
      </c>
      <c r="AA61" s="18">
        <f ca="1">IF($A61="","",SUMIFS('Current Char Stats'!$Y$4:$Y$273,'Current Char Stats'!$B$4:$B$273,$A61))</f>
        <v>0</v>
      </c>
      <c r="AB61" s="18">
        <f ca="1">IF($A61="","",SUMIFS('Current Char Stats'!$Z$4:$Z$273,'Current Char Stats'!$B$4:$B$273,$A61))</f>
        <v>0</v>
      </c>
      <c r="AC61" s="18">
        <f ca="1">IF($A61="","",SUMIFS('Current Char Stats'!$AA$4:$AA$273,'Current Char Stats'!$B$4:$B$273,$A61))</f>
        <v>0</v>
      </c>
      <c r="AD61" s="18">
        <f ca="1">IF($A61="","",SUMIFS('Current Char Stats'!$AB$4:$AB$273,'Current Char Stats'!$B$4:$B$273,$A61))</f>
        <v>0</v>
      </c>
      <c r="AE61" s="18">
        <f ca="1">IF($A61="","",SUMIFS('Current Char Stats'!$AC$4:$AC$273,'Current Char Stats'!$B$4:$B$273,$A61))</f>
        <v>0</v>
      </c>
      <c r="AF61" s="18" cm="1">
        <f t="array" aca="1" ref="AF61" ca="1">IF($A61="","",_xlfn.LET(_xlpm.rawIP,SUMPRODUCT(--(Data!$AM$4:$AM$183=$A61),IFERROR(Data!$AN$4:$AN$183,0)),IF(_xlpm.rawIP=0,0,(X61+Z61)/_xlpm.rawIP)))</f>
        <v>3.0</v>
      </c>
      <c r="AG61" s="18">
        <f ca="1">IF($A61="","",SUMIFS('Current Char Stats'!$AE$4:$AE$273,'Current Char Stats'!$B$4:$B$273,$A61))</f>
        <v>2</v>
      </c>
    </row>
    <row r="62" spans="1:33">
      <c r="A62" s="4" t="s">
        <v>64</v>
      </c>
      <c r="B62" s="5">
        <f>COUNTIF(Data!$D$4:$D$75,A62)</f>
        <v>1</v>
      </c>
      <c r="C62" s="5">
        <f ca="1">SUMIFS(Data!$W$4:$W$273,Data!$U$4:$U$273,A62)</f>
        <v>2</v>
      </c>
      <c r="D62" s="5">
        <f ca="1">SUMIFS(Data!$Y$4:$Y$273,Data!$U$4:$U$273,A62)</f>
        <v>2</v>
      </c>
      <c r="E62" s="5">
        <f ca="1">IF(C62=0,0,D62/C62)</f>
        <v>1.0</v>
      </c>
      <c r="F62" s="5">
        <f ca="1">SUMIFS(Data!$AB$4:$AB$273,Data!$U$4:$U$273,A62)</f>
        <v>1</v>
      </c>
      <c r="G62" s="5">
        <f ca="1">SUMIFS(Data!$AC$4:$AC$273,Data!$U$4:$U$273,A62)</f>
        <v>1</v>
      </c>
      <c r="H62" s="5" t="str">
        <f>IFERROR(_xlfn.SINGLE(_xlfn.XLOOKUP(A62, Data!$D$4:$D$75, Data!$C$4:$C$75, "")), "")</f>
        <v>Justin</v>
      </c>
      <c r="I62" s="5">
        <f ca="1">IF(H62 = "", "", IFERROR(_xlfn.SINGLE(_xlfn.XLOOKUP(H62, 'Current Player'!$A$4:$A$11, _xlfn.SINGLE('Current Player'!$C$4:$C$11) / _xlfn.SINGLE('Current Player'!$B$4:$B$11), 0)), 0))</f>
        <v>0</v>
      </c>
      <c r="J62" s="5" t="str">
        <f ca="1">IF(AND(H62&lt;&gt;"",H62=INDEX(Bracket!$B$18:$B$25,MATCH("1st",Bracket!$A$18:$A$25,0))),"Yes","")</f>
        <v/>
      </c>
      <c r="K62" s="18">
        <f ca="1">IF($A62="","",SUMIFS('Current Char Stats'!$N$4:$N$273,'Current Char Stats'!$B$4:$B$273,$A62))</f>
        <v>1</v>
      </c>
      <c r="L62" s="18">
        <f ca="1">IF($A62="","",SUMIFS('Current Char Stats'!$O$4:$O$273,'Current Char Stats'!$B$4:$B$273,$A62))</f>
        <v>0</v>
      </c>
      <c r="M62" s="18">
        <f ca="1">IF($A62="","",SUMIFS('Current Char Stats'!$P$4:$P$273,'Current Char Stats'!$B$4:$B$273,$A62))</f>
        <v>1</v>
      </c>
      <c r="N62" s="18">
        <f ca="1">IF($A62="","",SUMIFS('Current Char Stats'!$Q$4:$Q$273,'Current Char Stats'!$B$4:$B$273,$A62))</f>
        <v>0</v>
      </c>
      <c r="O62" s="18">
        <f ca="1">IF($A62="","",SUMIFS('Current Char Stats'!$R$4:$R$273,'Current Char Stats'!$B$4:$B$273,$A62))</f>
        <v>0</v>
      </c>
      <c r="P62" s="18">
        <f ca="1">IF($A62="","",SUMIFS('Current Char Stats'!$S$4:$S$273,'Current Char Stats'!$B$4:$B$273,$A62))</f>
        <v>0</v>
      </c>
      <c r="Q62" s="18">
        <f ca="1">COUNTIF(Bracket!$K$6:$K$20,A62)</f>
        <v>0</v>
      </c>
      <c r="R62" s="18">
        <f ca="1">COUNTIFS(Bracket!$K$6:$K$20,A62,Bracket!$G$6:$G$20,"CG-*")</f>
        <v>0</v>
      </c>
      <c r="S62" s="18">
        <f ca="1">IF($A62="","",SUMIFS('Current Char Stats'!$T$4:$T$273,'Current Char Stats'!$B$4:$B$273,$A62))</f>
        <v>0</v>
      </c>
      <c r="T62" s="18">
        <f ca="1">IF($A62="","",SUMIFS('Current Char Stats'!$U$4:$U$273,'Current Char Stats'!$B$4:$B$273,$A62))</f>
        <v>0</v>
      </c>
      <c r="U62" s="18" cm="1">
        <f t="array" aca="1" ref="U62" ca="1">IF($A62="","",_xlfn.LET(_xlpm.rawIP,SUMPRODUCT(--(Data!$AM$4:$AM$183=$A62),IFERROR(Data!$AN$4:$AN$183,0)),IF(_xlpm.rawIP=0,0,INT(_xlpm.rawIP)+MOD(ROUND(_xlpm.rawIP*3,0),3)/10)))</f>
        <v>0</v>
      </c>
      <c r="V62" s="18">
        <f ca="1">IF($A62="","",SUMIFS('Current Char Stats'!$J$4:$J$273,'Current Char Stats'!$B$4:$B$273,$A62))</f>
        <v>0</v>
      </c>
      <c r="W62" s="18" cm="1">
        <f t="array" aca="1" ref="W62" ca="1">IF($A62="","",_xlfn.LET(_xlpm.rawIP,SUMPRODUCT(--(Data!$AM$4:$AM$183=$A62),IFERROR(Data!$AN$4:$AN$183,0)),IF(_xlpm.rawIP=0,0,V62*3/_xlpm.rawIP)))</f>
        <v>0</v>
      </c>
      <c r="X62" s="18">
        <f ca="1">IF($A62="","",SUMIFS('Current Char Stats'!$V$4:$V$273,'Current Char Stats'!$B$4:$B$273,$A62))</f>
        <v>0</v>
      </c>
      <c r="Y62" s="18">
        <f ca="1">IF($A62="","",SUMIFS('Current Char Stats'!$W$4:$W$273,'Current Char Stats'!$B$4:$B$273,$A62))</f>
        <v>0</v>
      </c>
      <c r="Z62" s="18">
        <f ca="1">IF($A62="","",SUMIFS('Current Char Stats'!$X$4:$X$273,'Current Char Stats'!$B$4:$B$273,$A62))</f>
        <v>0</v>
      </c>
      <c r="AA62" s="18">
        <f ca="1">IF($A62="","",SUMIFS('Current Char Stats'!$Y$4:$Y$273,'Current Char Stats'!$B$4:$B$273,$A62))</f>
        <v>0</v>
      </c>
      <c r="AB62" s="18">
        <f ca="1">IF($A62="","",SUMIFS('Current Char Stats'!$Z$4:$Z$273,'Current Char Stats'!$B$4:$B$273,$A62))</f>
        <v>0</v>
      </c>
      <c r="AC62" s="18">
        <f ca="1">IF($A62="","",SUMIFS('Current Char Stats'!$AA$4:$AA$273,'Current Char Stats'!$B$4:$B$273,$A62))</f>
        <v>0</v>
      </c>
      <c r="AD62" s="18">
        <f ca="1">IF($A62="","",SUMIFS('Current Char Stats'!$AB$4:$AB$273,'Current Char Stats'!$B$4:$B$273,$A62))</f>
        <v>0</v>
      </c>
      <c r="AE62" s="18">
        <f ca="1">IF($A62="","",SUMIFS('Current Char Stats'!$AC$4:$AC$273,'Current Char Stats'!$B$4:$B$273,$A62))</f>
        <v>0</v>
      </c>
      <c r="AF62" s="18" cm="1">
        <f t="array" aca="1" ref="AF62" ca="1">IF($A62="","",_xlfn.LET(_xlpm.rawIP,SUMPRODUCT(--(Data!$AM$4:$AM$183=$A62),IFERROR(Data!$AN$4:$AN$183,0)),IF(_xlpm.rawIP=0,0,(X62+Z62)/_xlpm.rawIP)))</f>
        <v>0</v>
      </c>
      <c r="AG62" s="18">
        <f ca="1">IF($A62="","",SUMIFS('Current Char Stats'!$AE$4:$AE$273,'Current Char Stats'!$B$4:$B$273,$A62))</f>
        <v>0</v>
      </c>
    </row>
    <row r="63" spans="1:33">
      <c r="A63" s="4" t="s">
        <v>121</v>
      </c>
      <c r="B63" s="5">
        <f>COUNTIF(Data!$D$4:$D$75,A63)</f>
        <v>0</v>
      </c>
      <c r="C63" s="5">
        <f ca="1">SUMIFS(Data!$W$4:$W$273,Data!$U$4:$U$273,A63)</f>
        <v>0</v>
      </c>
      <c r="D63" s="5">
        <f ca="1">SUMIFS(Data!$Y$4:$Y$273,Data!$U$4:$U$273,A63)</f>
        <v>0</v>
      </c>
      <c r="E63" s="5">
        <f ca="1">IF(C63=0,0,D63/C63)</f>
        <v>0</v>
      </c>
      <c r="F63" s="5">
        <f ca="1">SUMIFS(Data!$AB$4:$AB$273,Data!$U$4:$U$273,A63)</f>
        <v>0</v>
      </c>
      <c r="G63" s="5">
        <f ca="1">SUMIFS(Data!$AC$4:$AC$273,Data!$U$4:$U$273,A63)</f>
        <v>0</v>
      </c>
      <c r="H63" s="5" t="str">
        <f>IFERROR(_xlfn.SINGLE(_xlfn.XLOOKUP(A63, Data!$D$4:$D$75, Data!$C$4:$C$75, "")), "")</f>
        <v/>
      </c>
      <c r="I63" s="5" t="str">
        <f ca="1">IF(H63 = "", "", IFERROR(_xlfn.SINGLE(_xlfn.XLOOKUP(H63, 'Current Player'!$A$4:$A$11, _xlfn.SINGLE('Current Player'!$C$4:$C$11) / _xlfn.SINGLE('Current Player'!$B$4:$B$11), 0)), 0))</f>
        <v/>
      </c>
      <c r="J63" s="5" t="str">
        <f ca="1">IF(AND(H63&lt;&gt;"",H63=INDEX(Bracket!$B$18:$B$25,MATCH("1st",Bracket!$A$18:$A$25,0))),"Yes","")</f>
        <v/>
      </c>
      <c r="K63" s="18">
        <f ca="1">IF($A63="","",SUMIFS('Current Char Stats'!$N$4:$N$273,'Current Char Stats'!$B$4:$B$273,$A63))</f>
        <v>0</v>
      </c>
      <c r="L63" s="18">
        <f ca="1">IF($A63="","",SUMIFS('Current Char Stats'!$O$4:$O$273,'Current Char Stats'!$B$4:$B$273,$A63))</f>
        <v>0</v>
      </c>
      <c r="M63" s="18">
        <f ca="1">IF($A63="","",SUMIFS('Current Char Stats'!$P$4:$P$273,'Current Char Stats'!$B$4:$B$273,$A63))</f>
        <v>0</v>
      </c>
      <c r="N63" s="18">
        <f ca="1">IF($A63="","",SUMIFS('Current Char Stats'!$Q$4:$Q$273,'Current Char Stats'!$B$4:$B$273,$A63))</f>
        <v>0</v>
      </c>
      <c r="O63" s="18">
        <f ca="1">IF($A63="","",SUMIFS('Current Char Stats'!$R$4:$R$273,'Current Char Stats'!$B$4:$B$273,$A63))</f>
        <v>0</v>
      </c>
      <c r="P63" s="18">
        <f ca="1">IF($A63="","",SUMIFS('Current Char Stats'!$S$4:$S$273,'Current Char Stats'!$B$4:$B$273,$A63))</f>
        <v>0</v>
      </c>
      <c r="Q63" s="18">
        <f ca="1">COUNTIF(Bracket!$K$6:$K$20,A63)</f>
        <v>0</v>
      </c>
      <c r="R63" s="18">
        <f ca="1">COUNTIFS(Bracket!$K$6:$K$20,A63,Bracket!$G$6:$G$20,"CG-*")</f>
        <v>0</v>
      </c>
      <c r="S63" s="18">
        <f ca="1">IF($A63="","",SUMIFS('Current Char Stats'!$T$4:$T$273,'Current Char Stats'!$B$4:$B$273,$A63))</f>
        <v>0</v>
      </c>
      <c r="T63" s="18">
        <f ca="1">IF($A63="","",SUMIFS('Current Char Stats'!$U$4:$U$273,'Current Char Stats'!$B$4:$B$273,$A63))</f>
        <v>0</v>
      </c>
      <c r="U63" s="18" cm="1">
        <f t="array" aca="1" ref="U63" ca="1">IF($A63="","",_xlfn.LET(_xlpm.rawIP,SUMPRODUCT(--(Data!$AM$4:$AM$183=$A63),IFERROR(Data!$AN$4:$AN$183,0)),IF(_xlpm.rawIP=0,0,INT(_xlpm.rawIP)+MOD(ROUND(_xlpm.rawIP*3,0),3)/10)))</f>
        <v>0</v>
      </c>
      <c r="V63" s="18">
        <f ca="1">IF($A63="","",SUMIFS('Current Char Stats'!$J$4:$J$273,'Current Char Stats'!$B$4:$B$273,$A63))</f>
        <v>0</v>
      </c>
      <c r="W63" s="18" cm="1">
        <f t="array" aca="1" ref="W63" ca="1">IF($A63="","",_xlfn.LET(_xlpm.rawIP,SUMPRODUCT(--(Data!$AM$4:$AM$183=$A63),IFERROR(Data!$AN$4:$AN$183,0)),IF(_xlpm.rawIP=0,0,V63*3/_xlpm.rawIP)))</f>
        <v>0</v>
      </c>
      <c r="X63" s="18">
        <f ca="1">IF($A63="","",SUMIFS('Current Char Stats'!$V$4:$V$273,'Current Char Stats'!$B$4:$B$273,$A63))</f>
        <v>0</v>
      </c>
      <c r="Y63" s="18">
        <f ca="1">IF($A63="","",SUMIFS('Current Char Stats'!$W$4:$W$273,'Current Char Stats'!$B$4:$B$273,$A63))</f>
        <v>0</v>
      </c>
      <c r="Z63" s="18">
        <f ca="1">IF($A63="","",SUMIFS('Current Char Stats'!$X$4:$X$273,'Current Char Stats'!$B$4:$B$273,$A63))</f>
        <v>0</v>
      </c>
      <c r="AA63" s="18">
        <f ca="1">IF($A63="","",SUMIFS('Current Char Stats'!$Y$4:$Y$273,'Current Char Stats'!$B$4:$B$273,$A63))</f>
        <v>0</v>
      </c>
      <c r="AB63" s="18">
        <f ca="1">IF($A63="","",SUMIFS('Current Char Stats'!$Z$4:$Z$273,'Current Char Stats'!$B$4:$B$273,$A63))</f>
        <v>0</v>
      </c>
      <c r="AC63" s="18">
        <f ca="1">IF($A63="","",SUMIFS('Current Char Stats'!$AA$4:$AA$273,'Current Char Stats'!$B$4:$B$273,$A63))</f>
        <v>0</v>
      </c>
      <c r="AD63" s="18">
        <f ca="1">IF($A63="","",SUMIFS('Current Char Stats'!$AB$4:$AB$273,'Current Char Stats'!$B$4:$B$273,$A63))</f>
        <v>0</v>
      </c>
      <c r="AE63" s="18">
        <f ca="1">IF($A63="","",SUMIFS('Current Char Stats'!$AC$4:$AC$273,'Current Char Stats'!$B$4:$B$273,$A63))</f>
        <v>0</v>
      </c>
      <c r="AF63" s="18" cm="1">
        <f t="array" aca="1" ref="AF63" ca="1">IF($A63="","",_xlfn.LET(_xlpm.rawIP,SUMPRODUCT(--(Data!$AM$4:$AM$183=$A63),IFERROR(Data!$AN$4:$AN$183,0)),IF(_xlpm.rawIP=0,0,(X63+Z63)/_xlpm.rawIP)))</f>
        <v>0</v>
      </c>
      <c r="AG63" s="18">
        <f ca="1">IF($A63="","",SUMIFS('Current Char Stats'!$AE$4:$AE$273,'Current Char Stats'!$B$4:$B$273,$A63))</f>
        <v>0</v>
      </c>
    </row>
    <row r="64" spans="1:33">
      <c r="A64" s="4" t="s">
        <v>93</v>
      </c>
      <c r="B64" s="5">
        <f>COUNTIF(Data!$D$4:$D$75,A64)</f>
        <v>1</v>
      </c>
      <c r="C64" s="5">
        <f ca="1">SUMIFS(Data!$W$4:$W$273,Data!$U$4:$U$273,A64)</f>
        <v>7</v>
      </c>
      <c r="D64" s="5">
        <f ca="1">SUMIFS(Data!$Y$4:$Y$273,Data!$U$4:$U$273,A64)</f>
        <v>2</v>
      </c>
      <c r="E64" s="5">
        <f ca="1">IF(C64=0,0,D64/C64)</f>
        <v>0.2857142857142857</v>
      </c>
      <c r="F64" s="5">
        <f ca="1">SUMIFS(Data!$AB$4:$AB$273,Data!$U$4:$U$273,A64)</f>
        <v>0</v>
      </c>
      <c r="G64" s="5">
        <f ca="1">SUMIFS(Data!$AC$4:$AC$273,Data!$U$4:$U$273,A64)</f>
        <v>0</v>
      </c>
      <c r="H64" s="5" t="str">
        <f>IFERROR(_xlfn.SINGLE(_xlfn.XLOOKUP(A64, Data!$D$4:$D$75, Data!$C$4:$C$75, "")), "")</f>
        <v>Jason</v>
      </c>
      <c r="I64" s="5">
        <f ca="1">IF(H64 = "", "", IFERROR(_xlfn.SINGLE(_xlfn.XLOOKUP(H64, 'Current Player'!$A$4:$A$11, _xlfn.SINGLE('Current Player'!$C$4:$C$11) / _xlfn.SINGLE('Current Player'!$B$4:$B$11), 0)), 0))</f>
        <v>0</v>
      </c>
      <c r="J64" s="5" t="str">
        <f ca="1">IF(AND(H64&lt;&gt;"",H64=INDEX(Bracket!$B$18:$B$25,MATCH("1st",Bracket!$A$18:$A$25,0))),"Yes","")</f>
        <v>Yes</v>
      </c>
      <c r="K64" s="18">
        <f ca="1">IF($A64="","",SUMIFS('Current Char Stats'!$N$4:$N$273,'Current Char Stats'!$B$4:$B$273,$A64))</f>
        <v>0</v>
      </c>
      <c r="L64" s="18">
        <f ca="1">IF($A64="","",SUMIFS('Current Char Stats'!$O$4:$O$273,'Current Char Stats'!$B$4:$B$273,$A64))</f>
        <v>0</v>
      </c>
      <c r="M64" s="18">
        <f ca="1">IF($A64="","",SUMIFS('Current Char Stats'!$P$4:$P$273,'Current Char Stats'!$B$4:$B$273,$A64))</f>
        <v>0</v>
      </c>
      <c r="N64" s="18">
        <f ca="1">IF($A64="","",SUMIFS('Current Char Stats'!$Q$4:$Q$273,'Current Char Stats'!$B$4:$B$273,$A64))</f>
        <v>0</v>
      </c>
      <c r="O64" s="18">
        <f ca="1">IF($A64="","",SUMIFS('Current Char Stats'!$R$4:$R$273,'Current Char Stats'!$B$4:$B$273,$A64))</f>
        <v>1</v>
      </c>
      <c r="P64" s="18">
        <f ca="1">IF($A64="","",SUMIFS('Current Char Stats'!$S$4:$S$273,'Current Char Stats'!$B$4:$B$273,$A64))</f>
        <v>0</v>
      </c>
      <c r="Q64" s="18">
        <f ca="1">COUNTIF(Bracket!$K$6:$K$20,A64)</f>
        <v>0</v>
      </c>
      <c r="R64" s="18">
        <f ca="1">COUNTIFS(Bracket!$K$6:$K$20,A64,Bracket!$G$6:$G$20,"CG-*")</f>
        <v>0</v>
      </c>
      <c r="S64" s="18">
        <f ca="1">IF($A64="","",SUMIFS('Current Char Stats'!$T$4:$T$273,'Current Char Stats'!$B$4:$B$273,$A64))</f>
        <v>0</v>
      </c>
      <c r="T64" s="18">
        <f ca="1">IF($A64="","",SUMIFS('Current Char Stats'!$U$4:$U$273,'Current Char Stats'!$B$4:$B$273,$A64))</f>
        <v>0</v>
      </c>
      <c r="U64" s="18" cm="1">
        <f t="array" aca="1" ref="U64" ca="1">IF($A64="","",_xlfn.LET(_xlpm.rawIP,SUMPRODUCT(--(Data!$AM$4:$AM$183=$A64),IFERROR(Data!$AN$4:$AN$183,0)),IF(_xlpm.rawIP=0,0,INT(_xlpm.rawIP)+MOD(ROUND(_xlpm.rawIP*3,0),3)/10)))</f>
        <v>0.2</v>
      </c>
      <c r="V64" s="18">
        <f ca="1">IF($A64="","",SUMIFS('Current Char Stats'!$J$4:$J$273,'Current Char Stats'!$B$4:$B$273,$A64))</f>
        <v>0</v>
      </c>
      <c r="W64" s="18" cm="1">
        <f t="array" aca="1" ref="W64" ca="1">IF($A64="","",_xlfn.LET(_xlpm.rawIP,SUMPRODUCT(--(Data!$AM$4:$AM$183=$A64),IFERROR(Data!$AN$4:$AN$183,0)),IF(_xlpm.rawIP=0,0,V64*3/_xlpm.rawIP)))</f>
        <v>0.0</v>
      </c>
      <c r="X64" s="18">
        <f ca="1">IF($A64="","",SUMIFS('Current Char Stats'!$V$4:$V$273,'Current Char Stats'!$B$4:$B$273,$A64))</f>
        <v>1</v>
      </c>
      <c r="Y64" s="18">
        <f ca="1">IF($A64="","",SUMIFS('Current Char Stats'!$W$4:$W$273,'Current Char Stats'!$B$4:$B$273,$A64))</f>
        <v>0</v>
      </c>
      <c r="Z64" s="18">
        <f ca="1">IF($A64="","",SUMIFS('Current Char Stats'!$X$4:$X$273,'Current Char Stats'!$B$4:$B$273,$A64))</f>
        <v>0</v>
      </c>
      <c r="AA64" s="18">
        <f ca="1">IF($A64="","",SUMIFS('Current Char Stats'!$Y$4:$Y$273,'Current Char Stats'!$B$4:$B$273,$A64))</f>
        <v>1</v>
      </c>
      <c r="AB64" s="18">
        <f ca="1">IF($A64="","",SUMIFS('Current Char Stats'!$Z$4:$Z$273,'Current Char Stats'!$B$4:$B$273,$A64))</f>
        <v>0</v>
      </c>
      <c r="AC64" s="18">
        <f ca="1">IF($A64="","",SUMIFS('Current Char Stats'!$AA$4:$AA$273,'Current Char Stats'!$B$4:$B$273,$A64))</f>
        <v>0</v>
      </c>
      <c r="AD64" s="18">
        <f ca="1">IF($A64="","",SUMIFS('Current Char Stats'!$AB$4:$AB$273,'Current Char Stats'!$B$4:$B$273,$A64))</f>
        <v>0</v>
      </c>
      <c r="AE64" s="18">
        <f ca="1">IF($A64="","",SUMIFS('Current Char Stats'!$AC$4:$AC$273,'Current Char Stats'!$B$4:$B$273,$A64))</f>
        <v>0</v>
      </c>
      <c r="AF64" s="18" cm="1">
        <f t="array" aca="1" ref="AF64" ca="1">IF($A64="","",_xlfn.LET(_xlpm.rawIP,SUMPRODUCT(--(Data!$AM$4:$AM$183=$A64),IFERROR(Data!$AN$4:$AN$183,0)),IF(_xlpm.rawIP=0,0,(X64+Z64)/_xlpm.rawIP)))</f>
        <v>1.5</v>
      </c>
      <c r="AG64" s="18">
        <f ca="1">IF($A64="","",SUMIFS('Current Char Stats'!$AE$4:$AE$273,'Current Char Stats'!$B$4:$B$273,$A64))</f>
        <v>3</v>
      </c>
    </row>
    <row r="65" spans="1:33">
      <c r="A65" s="4" t="s">
        <v>122</v>
      </c>
      <c r="B65" s="5">
        <f>COUNTIF(Data!$D$4:$D$75,A65)</f>
        <v>0</v>
      </c>
      <c r="C65" s="5">
        <f ca="1">SUMIFS(Data!$W$4:$W$273,Data!$U$4:$U$273,A65)</f>
        <v>0</v>
      </c>
      <c r="D65" s="5">
        <f ca="1">SUMIFS(Data!$Y$4:$Y$273,Data!$U$4:$U$273,A65)</f>
        <v>0</v>
      </c>
      <c r="E65" s="5">
        <f ca="1">IF(C65=0,0,D65/C65)</f>
        <v>0</v>
      </c>
      <c r="F65" s="5">
        <f ca="1">SUMIFS(Data!$AB$4:$AB$273,Data!$U$4:$U$273,A65)</f>
        <v>0</v>
      </c>
      <c r="G65" s="5">
        <f ca="1">SUMIFS(Data!$AC$4:$AC$273,Data!$U$4:$U$273,A65)</f>
        <v>0</v>
      </c>
      <c r="H65" s="5" t="str">
        <f>IFERROR(_xlfn.SINGLE(_xlfn.XLOOKUP(A65, Data!$D$4:$D$75, Data!$C$4:$C$75, "")), "")</f>
        <v/>
      </c>
      <c r="I65" s="5" t="str">
        <f ca="1">IF(H65 = "", "", IFERROR(_xlfn.SINGLE(_xlfn.XLOOKUP(H65, 'Current Player'!$A$4:$A$11, _xlfn.SINGLE('Current Player'!$C$4:$C$11) / _xlfn.SINGLE('Current Player'!$B$4:$B$11), 0)), 0))</f>
        <v/>
      </c>
      <c r="J65" s="5" t="str">
        <f ca="1">IF(AND(H65&lt;&gt;"",H65=INDEX(Bracket!$B$18:$B$25,MATCH("1st",Bracket!$A$18:$A$25,0))),"Yes","")</f>
        <v/>
      </c>
      <c r="K65" s="18">
        <f ca="1">IF($A65="","",SUMIFS('Current Char Stats'!$N$4:$N$273,'Current Char Stats'!$B$4:$B$273,$A65))</f>
        <v>0</v>
      </c>
      <c r="L65" s="18">
        <f ca="1">IF($A65="","",SUMIFS('Current Char Stats'!$O$4:$O$273,'Current Char Stats'!$B$4:$B$273,$A65))</f>
        <v>0</v>
      </c>
      <c r="M65" s="18">
        <f ca="1">IF($A65="","",SUMIFS('Current Char Stats'!$P$4:$P$273,'Current Char Stats'!$B$4:$B$273,$A65))</f>
        <v>0</v>
      </c>
      <c r="N65" s="18">
        <f ca="1">IF($A65="","",SUMIFS('Current Char Stats'!$Q$4:$Q$273,'Current Char Stats'!$B$4:$B$273,$A65))</f>
        <v>0</v>
      </c>
      <c r="O65" s="18">
        <f ca="1">IF($A65="","",SUMIFS('Current Char Stats'!$R$4:$R$273,'Current Char Stats'!$B$4:$B$273,$A65))</f>
        <v>0</v>
      </c>
      <c r="P65" s="18">
        <f ca="1">IF($A65="","",SUMIFS('Current Char Stats'!$S$4:$S$273,'Current Char Stats'!$B$4:$B$273,$A65))</f>
        <v>0</v>
      </c>
      <c r="Q65" s="18">
        <f ca="1">COUNTIF(Bracket!$K$6:$K$20,A65)</f>
        <v>0</v>
      </c>
      <c r="R65" s="18">
        <f ca="1">COUNTIFS(Bracket!$K$6:$K$20,A65,Bracket!$G$6:$G$20,"CG-*")</f>
        <v>0</v>
      </c>
      <c r="S65" s="18">
        <f ca="1">IF($A65="","",SUMIFS('Current Char Stats'!$T$4:$T$273,'Current Char Stats'!$B$4:$B$273,$A65))</f>
        <v>0</v>
      </c>
      <c r="T65" s="18">
        <f ca="1">IF($A65="","",SUMIFS('Current Char Stats'!$U$4:$U$273,'Current Char Stats'!$B$4:$B$273,$A65))</f>
        <v>0</v>
      </c>
      <c r="U65" s="18" cm="1">
        <f t="array" aca="1" ref="U65" ca="1">IF($A65="","",_xlfn.LET(_xlpm.rawIP,SUMPRODUCT(--(Data!$AM$4:$AM$183=$A65),IFERROR(Data!$AN$4:$AN$183,0)),IF(_xlpm.rawIP=0,0,INT(_xlpm.rawIP)+MOD(ROUND(_xlpm.rawIP*3,0),3)/10)))</f>
        <v>0</v>
      </c>
      <c r="V65" s="18">
        <f ca="1">IF($A65="","",SUMIFS('Current Char Stats'!$J$4:$J$273,'Current Char Stats'!$B$4:$B$273,$A65))</f>
        <v>0</v>
      </c>
      <c r="W65" s="18" cm="1">
        <f t="array" aca="1" ref="W65" ca="1">IF($A65="","",_xlfn.LET(_xlpm.rawIP,SUMPRODUCT(--(Data!$AM$4:$AM$183=$A65),IFERROR(Data!$AN$4:$AN$183,0)),IF(_xlpm.rawIP=0,0,V65*3/_xlpm.rawIP)))</f>
        <v>0</v>
      </c>
      <c r="X65" s="18">
        <f ca="1">IF($A65="","",SUMIFS('Current Char Stats'!$V$4:$V$273,'Current Char Stats'!$B$4:$B$273,$A65))</f>
        <v>0</v>
      </c>
      <c r="Y65" s="18">
        <f ca="1">IF($A65="","",SUMIFS('Current Char Stats'!$W$4:$W$273,'Current Char Stats'!$B$4:$B$273,$A65))</f>
        <v>0</v>
      </c>
      <c r="Z65" s="18">
        <f ca="1">IF($A65="","",SUMIFS('Current Char Stats'!$X$4:$X$273,'Current Char Stats'!$B$4:$B$273,$A65))</f>
        <v>0</v>
      </c>
      <c r="AA65" s="18">
        <f ca="1">IF($A65="","",SUMIFS('Current Char Stats'!$Y$4:$Y$273,'Current Char Stats'!$B$4:$B$273,$A65))</f>
        <v>0</v>
      </c>
      <c r="AB65" s="18">
        <f ca="1">IF($A65="","",SUMIFS('Current Char Stats'!$Z$4:$Z$273,'Current Char Stats'!$B$4:$B$273,$A65))</f>
        <v>0</v>
      </c>
      <c r="AC65" s="18">
        <f ca="1">IF($A65="","",SUMIFS('Current Char Stats'!$AA$4:$AA$273,'Current Char Stats'!$B$4:$B$273,$A65))</f>
        <v>0</v>
      </c>
      <c r="AD65" s="18">
        <f ca="1">IF($A65="","",SUMIFS('Current Char Stats'!$AB$4:$AB$273,'Current Char Stats'!$B$4:$B$273,$A65))</f>
        <v>0</v>
      </c>
      <c r="AE65" s="18">
        <f ca="1">IF($A65="","",SUMIFS('Current Char Stats'!$AC$4:$AC$273,'Current Char Stats'!$B$4:$B$273,$A65))</f>
        <v>0</v>
      </c>
      <c r="AF65" s="18" cm="1">
        <f t="array" aca="1" ref="AF65" ca="1">IF($A65="","",_xlfn.LET(_xlpm.rawIP,SUMPRODUCT(--(Data!$AM$4:$AM$183=$A65),IFERROR(Data!$AN$4:$AN$183,0)),IF(_xlpm.rawIP=0,0,(X65+Z65)/_xlpm.rawIP)))</f>
        <v>0</v>
      </c>
      <c r="AG65" s="18">
        <f ca="1">IF($A65="","",SUMIFS('Current Char Stats'!$AE$4:$AE$273,'Current Char Stats'!$B$4:$B$273,$A65))</f>
        <v>0</v>
      </c>
    </row>
    <row r="66" spans="1:33">
      <c r="A66" s="4" t="s">
        <v>73</v>
      </c>
      <c r="B66" s="5">
        <f>COUNTIF(Data!$D$4:$D$75,A66)</f>
        <v>1</v>
      </c>
      <c r="C66" s="5">
        <f ca="1">SUMIFS(Data!$W$4:$W$273,Data!$U$4:$U$273,A66)</f>
        <v>5</v>
      </c>
      <c r="D66" s="5">
        <f ca="1">SUMIFS(Data!$Y$4:$Y$273,Data!$U$4:$U$273,A66)</f>
        <v>1</v>
      </c>
      <c r="E66" s="5">
        <f ca="1">IF(C66=0,0,D66/C66)</f>
        <v>0.2</v>
      </c>
      <c r="F66" s="5">
        <f ca="1">SUMIFS(Data!$AB$4:$AB$273,Data!$U$4:$U$273,A66)</f>
        <v>0</v>
      </c>
      <c r="G66" s="5">
        <f ca="1">SUMIFS(Data!$AC$4:$AC$273,Data!$U$4:$U$273,A66)</f>
        <v>0</v>
      </c>
      <c r="H66" s="5" t="str">
        <f>IFERROR(_xlfn.SINGLE(_xlfn.XLOOKUP(A66, Data!$D$4:$D$75, Data!$C$4:$C$75, "")), "")</f>
        <v>Aidan</v>
      </c>
      <c r="I66" s="5">
        <f ca="1">IF(H66 = "", "", IFERROR(_xlfn.SINGLE(_xlfn.XLOOKUP(H66, 'Current Player'!$A$4:$A$11, _xlfn.SINGLE('Current Player'!$C$4:$C$11) / _xlfn.SINGLE('Current Player'!$B$4:$B$11), 0)), 0))</f>
        <v>0</v>
      </c>
      <c r="J66" s="5" t="str">
        <f ca="1">IF(AND(H66&lt;&gt;"",H66=INDEX(Bracket!$B$18:$B$25,MATCH("1st",Bracket!$A$18:$A$25,0))),"Yes","")</f>
        <v/>
      </c>
      <c r="K66" s="18">
        <f ca="1">IF($A66="","",SUMIFS('Current Char Stats'!$N$4:$N$273,'Current Char Stats'!$B$4:$B$273,$A66))</f>
        <v>1</v>
      </c>
      <c r="L66" s="18">
        <f ca="1">IF($A66="","",SUMIFS('Current Char Stats'!$O$4:$O$273,'Current Char Stats'!$B$4:$B$273,$A66))</f>
        <v>0</v>
      </c>
      <c r="M66" s="18">
        <f ca="1">IF($A66="","",SUMIFS('Current Char Stats'!$P$4:$P$273,'Current Char Stats'!$B$4:$B$273,$A66))</f>
        <v>0</v>
      </c>
      <c r="N66" s="18">
        <f ca="1">IF($A66="","",SUMIFS('Current Char Stats'!$Q$4:$Q$273,'Current Char Stats'!$B$4:$B$273,$A66))</f>
        <v>0</v>
      </c>
      <c r="O66" s="18">
        <f ca="1">IF($A66="","",SUMIFS('Current Char Stats'!$R$4:$R$273,'Current Char Stats'!$B$4:$B$273,$A66))</f>
        <v>2</v>
      </c>
      <c r="P66" s="18">
        <f ca="1">IF($A66="","",SUMIFS('Current Char Stats'!$S$4:$S$273,'Current Char Stats'!$B$4:$B$273,$A66))</f>
        <v>0</v>
      </c>
      <c r="Q66" s="18">
        <f ca="1">COUNTIF(Bracket!$K$6:$K$20,A66)</f>
        <v>0</v>
      </c>
      <c r="R66" s="18">
        <f ca="1">COUNTIFS(Bracket!$K$6:$K$20,A66,Bracket!$G$6:$G$20,"CG-*")</f>
        <v>0</v>
      </c>
      <c r="S66" s="18">
        <f ca="1">IF($A66="","",SUMIFS('Current Char Stats'!$T$4:$T$273,'Current Char Stats'!$B$4:$B$273,$A66))</f>
        <v>0</v>
      </c>
      <c r="T66" s="18">
        <f ca="1">IF($A66="","",SUMIFS('Current Char Stats'!$U$4:$U$273,'Current Char Stats'!$B$4:$B$273,$A66))</f>
        <v>0</v>
      </c>
      <c r="U66" s="18" cm="1">
        <f t="array" aca="1" ref="U66" ca="1">IF($A66="","",_xlfn.LET(_xlpm.rawIP,SUMPRODUCT(--(Data!$AM$4:$AM$183=$A66),IFERROR(Data!$AN$4:$AN$183,0)),IF(_xlpm.rawIP=0,0,INT(_xlpm.rawIP)+MOD(ROUND(_xlpm.rawIP*3,0),3)/10)))</f>
        <v>0</v>
      </c>
      <c r="V66" s="18">
        <f ca="1">IF($A66="","",SUMIFS('Current Char Stats'!$J$4:$J$273,'Current Char Stats'!$B$4:$B$273,$A66))</f>
        <v>0</v>
      </c>
      <c r="W66" s="18" cm="1">
        <f t="array" aca="1" ref="W66" ca="1">IF($A66="","",_xlfn.LET(_xlpm.rawIP,SUMPRODUCT(--(Data!$AM$4:$AM$183=$A66),IFERROR(Data!$AN$4:$AN$183,0)),IF(_xlpm.rawIP=0,0,V66*3/_xlpm.rawIP)))</f>
        <v>0</v>
      </c>
      <c r="X66" s="18">
        <f ca="1">IF($A66="","",SUMIFS('Current Char Stats'!$V$4:$V$273,'Current Char Stats'!$B$4:$B$273,$A66))</f>
        <v>0</v>
      </c>
      <c r="Y66" s="18">
        <f ca="1">IF($A66="","",SUMIFS('Current Char Stats'!$W$4:$W$273,'Current Char Stats'!$B$4:$B$273,$A66))</f>
        <v>0</v>
      </c>
      <c r="Z66" s="18">
        <f ca="1">IF($A66="","",SUMIFS('Current Char Stats'!$X$4:$X$273,'Current Char Stats'!$B$4:$B$273,$A66))</f>
        <v>0</v>
      </c>
      <c r="AA66" s="18">
        <f ca="1">IF($A66="","",SUMIFS('Current Char Stats'!$Y$4:$Y$273,'Current Char Stats'!$B$4:$B$273,$A66))</f>
        <v>0</v>
      </c>
      <c r="AB66" s="18">
        <f ca="1">IF($A66="","",SUMIFS('Current Char Stats'!$Z$4:$Z$273,'Current Char Stats'!$B$4:$B$273,$A66))</f>
        <v>0</v>
      </c>
      <c r="AC66" s="18">
        <f ca="1">IF($A66="","",SUMIFS('Current Char Stats'!$AA$4:$AA$273,'Current Char Stats'!$B$4:$B$273,$A66))</f>
        <v>0</v>
      </c>
      <c r="AD66" s="18">
        <f ca="1">IF($A66="","",SUMIFS('Current Char Stats'!$AB$4:$AB$273,'Current Char Stats'!$B$4:$B$273,$A66))</f>
        <v>0</v>
      </c>
      <c r="AE66" s="18">
        <f ca="1">IF($A66="","",SUMIFS('Current Char Stats'!$AC$4:$AC$273,'Current Char Stats'!$B$4:$B$273,$A66))</f>
        <v>0</v>
      </c>
      <c r="AF66" s="18" cm="1">
        <f t="array" aca="1" ref="AF66" ca="1">IF($A66="","",_xlfn.LET(_xlpm.rawIP,SUMPRODUCT(--(Data!$AM$4:$AM$183=$A66),IFERROR(Data!$AN$4:$AN$183,0)),IF(_xlpm.rawIP=0,0,(X66+Z66)/_xlpm.rawIP)))</f>
        <v>0</v>
      </c>
      <c r="AG66" s="18">
        <f ca="1">IF($A66="","",SUMIFS('Current Char Stats'!$AE$4:$AE$273,'Current Char Stats'!$B$4:$B$273,$A66))</f>
        <v>0</v>
      </c>
    </row>
    <row r="67" spans="1:33">
      <c r="A67" s="4" t="s">
        <v>66</v>
      </c>
      <c r="B67" s="5">
        <f>COUNTIF(Data!$D$4:$D$75,A67)</f>
        <v>1</v>
      </c>
      <c r="C67" s="5">
        <f ca="1">SUMIFS(Data!$W$4:$W$273,Data!$U$4:$U$273,A67)</f>
        <v>3</v>
      </c>
      <c r="D67" s="5">
        <f ca="1">SUMIFS(Data!$Y$4:$Y$273,Data!$U$4:$U$273,A67)</f>
        <v>0</v>
      </c>
      <c r="E67" s="5">
        <f ca="1">IF(C67=0,0,D67/C67)</f>
        <v>0.0</v>
      </c>
      <c r="F67" s="5">
        <f ca="1">SUMIFS(Data!$AB$4:$AB$273,Data!$U$4:$U$273,A67)</f>
        <v>0</v>
      </c>
      <c r="G67" s="5">
        <f ca="1">SUMIFS(Data!$AC$4:$AC$273,Data!$U$4:$U$273,A67)</f>
        <v>0</v>
      </c>
      <c r="H67" s="5" t="str">
        <f>IFERROR(_xlfn.SINGLE(_xlfn.XLOOKUP(A67, Data!$D$4:$D$75, Data!$C$4:$C$75, "")), "")</f>
        <v>Donovan</v>
      </c>
      <c r="I67" s="5">
        <f ca="1">IF(H67 = "", "", IFERROR(_xlfn.SINGLE(_xlfn.XLOOKUP(H67, 'Current Player'!$A$4:$A$11, _xlfn.SINGLE('Current Player'!$C$4:$C$11) / _xlfn.SINGLE('Current Player'!$B$4:$B$11), 0)), 0))</f>
        <v>0</v>
      </c>
      <c r="J67" s="5" t="str">
        <f ca="1">IF(AND(H67&lt;&gt;"",H67=INDEX(Bracket!$B$18:$B$25,MATCH("1st",Bracket!$A$18:$A$25,0))),"Yes","")</f>
        <v/>
      </c>
      <c r="K67" s="18">
        <f ca="1">IF($A67="","",SUMIFS('Current Char Stats'!$N$4:$N$273,'Current Char Stats'!$B$4:$B$273,$A67))</f>
        <v>0</v>
      </c>
      <c r="L67" s="18">
        <f ca="1">IF($A67="","",SUMIFS('Current Char Stats'!$O$4:$O$273,'Current Char Stats'!$B$4:$B$273,$A67))</f>
        <v>0</v>
      </c>
      <c r="M67" s="18">
        <f ca="1">IF($A67="","",SUMIFS('Current Char Stats'!$P$4:$P$273,'Current Char Stats'!$B$4:$B$273,$A67))</f>
        <v>0</v>
      </c>
      <c r="N67" s="18">
        <f ca="1">IF($A67="","",SUMIFS('Current Char Stats'!$Q$4:$Q$273,'Current Char Stats'!$B$4:$B$273,$A67))</f>
        <v>0</v>
      </c>
      <c r="O67" s="18">
        <f ca="1">IF($A67="","",SUMIFS('Current Char Stats'!$R$4:$R$273,'Current Char Stats'!$B$4:$B$273,$A67))</f>
        <v>2</v>
      </c>
      <c r="P67" s="18">
        <f ca="1">IF($A67="","",SUMIFS('Current Char Stats'!$S$4:$S$273,'Current Char Stats'!$B$4:$B$273,$A67))</f>
        <v>0</v>
      </c>
      <c r="Q67" s="18">
        <f ca="1">COUNTIF(Bracket!$K$6:$K$20,A67)</f>
        <v>0</v>
      </c>
      <c r="R67" s="18">
        <f ca="1">COUNTIFS(Bracket!$K$6:$K$20,A67,Bracket!$G$6:$G$20,"CG-*")</f>
        <v>0</v>
      </c>
      <c r="S67" s="18">
        <f ca="1">IF($A67="","",SUMIFS('Current Char Stats'!$T$4:$T$273,'Current Char Stats'!$B$4:$B$273,$A67))</f>
        <v>0</v>
      </c>
      <c r="T67" s="18">
        <f ca="1">IF($A67="","",SUMIFS('Current Char Stats'!$U$4:$U$273,'Current Char Stats'!$B$4:$B$273,$A67))</f>
        <v>0</v>
      </c>
      <c r="U67" s="18" cm="1">
        <f t="array" aca="1" ref="U67" ca="1">IF($A67="","",_xlfn.LET(_xlpm.rawIP,SUMPRODUCT(--(Data!$AM$4:$AM$183=$A67),IFERROR(Data!$AN$4:$AN$183,0)),IF(_xlpm.rawIP=0,0,INT(_xlpm.rawIP)+MOD(ROUND(_xlpm.rawIP*3,0),3)/10)))</f>
        <v>0</v>
      </c>
      <c r="V67" s="18">
        <f ca="1">IF($A67="","",SUMIFS('Current Char Stats'!$J$4:$J$273,'Current Char Stats'!$B$4:$B$273,$A67))</f>
        <v>0</v>
      </c>
      <c r="W67" s="18" cm="1">
        <f t="array" aca="1" ref="W67" ca="1">IF($A67="","",_xlfn.LET(_xlpm.rawIP,SUMPRODUCT(--(Data!$AM$4:$AM$183=$A67),IFERROR(Data!$AN$4:$AN$183,0)),IF(_xlpm.rawIP=0,0,V67*3/_xlpm.rawIP)))</f>
        <v>0</v>
      </c>
      <c r="X67" s="18">
        <f ca="1">IF($A67="","",SUMIFS('Current Char Stats'!$V$4:$V$273,'Current Char Stats'!$B$4:$B$273,$A67))</f>
        <v>0</v>
      </c>
      <c r="Y67" s="18">
        <f ca="1">IF($A67="","",SUMIFS('Current Char Stats'!$W$4:$W$273,'Current Char Stats'!$B$4:$B$273,$A67))</f>
        <v>0</v>
      </c>
      <c r="Z67" s="18">
        <f ca="1">IF($A67="","",SUMIFS('Current Char Stats'!$X$4:$X$273,'Current Char Stats'!$B$4:$B$273,$A67))</f>
        <v>0</v>
      </c>
      <c r="AA67" s="18">
        <f ca="1">IF($A67="","",SUMIFS('Current Char Stats'!$Y$4:$Y$273,'Current Char Stats'!$B$4:$B$273,$A67))</f>
        <v>0</v>
      </c>
      <c r="AB67" s="18">
        <f ca="1">IF($A67="","",SUMIFS('Current Char Stats'!$Z$4:$Z$273,'Current Char Stats'!$B$4:$B$273,$A67))</f>
        <v>0</v>
      </c>
      <c r="AC67" s="18">
        <f ca="1">IF($A67="","",SUMIFS('Current Char Stats'!$AA$4:$AA$273,'Current Char Stats'!$B$4:$B$273,$A67))</f>
        <v>0</v>
      </c>
      <c r="AD67" s="18">
        <f ca="1">IF($A67="","",SUMIFS('Current Char Stats'!$AB$4:$AB$273,'Current Char Stats'!$B$4:$B$273,$A67))</f>
        <v>0</v>
      </c>
      <c r="AE67" s="18">
        <f ca="1">IF($A67="","",SUMIFS('Current Char Stats'!$AC$4:$AC$273,'Current Char Stats'!$B$4:$B$273,$A67))</f>
        <v>0</v>
      </c>
      <c r="AF67" s="18" cm="1">
        <f t="array" aca="1" ref="AF67" ca="1">IF($A67="","",_xlfn.LET(_xlpm.rawIP,SUMPRODUCT(--(Data!$AM$4:$AM$183=$A67),IFERROR(Data!$AN$4:$AN$183,0)),IF(_xlpm.rawIP=0,0,(X67+Z67)/_xlpm.rawIP)))</f>
        <v>0</v>
      </c>
      <c r="AG67" s="18">
        <f ca="1">IF($A67="","",SUMIFS('Current Char Stats'!$AE$4:$AE$273,'Current Char Stats'!$B$4:$B$273,$A67))</f>
        <v>0</v>
      </c>
    </row>
    <row r="68" spans="1:33">
      <c r="A68" s="4" t="s">
        <v>125</v>
      </c>
      <c r="B68" s="5">
        <f>COUNTIF(Data!$D$4:$D$75,A68)</f>
        <v>0</v>
      </c>
      <c r="C68" s="5">
        <f ca="1">SUMIFS(Data!$W$4:$W$273,Data!$U$4:$U$273,A68)</f>
        <v>0</v>
      </c>
      <c r="D68" s="5">
        <f ca="1">SUMIFS(Data!$Y$4:$Y$273,Data!$U$4:$U$273,A68)</f>
        <v>0</v>
      </c>
      <c r="E68" s="5">
        <f ca="1">IF(C68=0,0,D68/C68)</f>
        <v>0</v>
      </c>
      <c r="F68" s="5">
        <f ca="1">SUMIFS(Data!$AB$4:$AB$273,Data!$U$4:$U$273,A68)</f>
        <v>0</v>
      </c>
      <c r="G68" s="5">
        <f ca="1">SUMIFS(Data!$AC$4:$AC$273,Data!$U$4:$U$273,A68)</f>
        <v>0</v>
      </c>
      <c r="H68" s="5" t="str">
        <f>IFERROR(_xlfn.SINGLE(_xlfn.XLOOKUP(A68, Data!$D$4:$D$75, Data!$C$4:$C$75, "")), "")</f>
        <v/>
      </c>
      <c r="I68" s="5" t="str">
        <f ca="1">IF(H68 = "", "", IFERROR(_xlfn.SINGLE(_xlfn.XLOOKUP(H68, 'Current Player'!$A$4:$A$11, _xlfn.SINGLE('Current Player'!$C$4:$C$11) / _xlfn.SINGLE('Current Player'!$B$4:$B$11), 0)), 0))</f>
        <v/>
      </c>
      <c r="J68" s="5" t="str">
        <f ca="1">IF(AND(H68&lt;&gt;"",H68=INDEX(Bracket!$B$18:$B$25,MATCH("1st",Bracket!$A$18:$A$25,0))),"Yes","")</f>
        <v/>
      </c>
      <c r="K68" s="18">
        <f ca="1">IF($A68="","",SUMIFS('Current Char Stats'!$N$4:$N$273,'Current Char Stats'!$B$4:$B$273,$A68))</f>
        <v>0</v>
      </c>
      <c r="L68" s="18">
        <f ca="1">IF($A68="","",SUMIFS('Current Char Stats'!$O$4:$O$273,'Current Char Stats'!$B$4:$B$273,$A68))</f>
        <v>0</v>
      </c>
      <c r="M68" s="18">
        <f ca="1">IF($A68="","",SUMIFS('Current Char Stats'!$P$4:$P$273,'Current Char Stats'!$B$4:$B$273,$A68))</f>
        <v>0</v>
      </c>
      <c r="N68" s="18">
        <f ca="1">IF($A68="","",SUMIFS('Current Char Stats'!$Q$4:$Q$273,'Current Char Stats'!$B$4:$B$273,$A68))</f>
        <v>0</v>
      </c>
      <c r="O68" s="18">
        <f ca="1">IF($A68="","",SUMIFS('Current Char Stats'!$R$4:$R$273,'Current Char Stats'!$B$4:$B$273,$A68))</f>
        <v>0</v>
      </c>
      <c r="P68" s="18">
        <f ca="1">IF($A68="","",SUMIFS('Current Char Stats'!$S$4:$S$273,'Current Char Stats'!$B$4:$B$273,$A68))</f>
        <v>0</v>
      </c>
      <c r="Q68" s="18">
        <f ca="1">COUNTIF(Bracket!$K$6:$K$20,A68)</f>
        <v>0</v>
      </c>
      <c r="R68" s="18">
        <f ca="1">COUNTIFS(Bracket!$K$6:$K$20,A68,Bracket!$G$6:$G$20,"CG-*")</f>
        <v>0</v>
      </c>
      <c r="S68" s="18">
        <f ca="1">IF($A68="","",SUMIFS('Current Char Stats'!$T$4:$T$273,'Current Char Stats'!$B$4:$B$273,$A68))</f>
        <v>0</v>
      </c>
      <c r="T68" s="18">
        <f ca="1">IF($A68="","",SUMIFS('Current Char Stats'!$U$4:$U$273,'Current Char Stats'!$B$4:$B$273,$A68))</f>
        <v>0</v>
      </c>
      <c r="U68" s="18" cm="1">
        <f t="array" aca="1" ref="U68" ca="1">IF($A68="","",_xlfn.LET(_xlpm.rawIP,SUMPRODUCT(--(Data!$AM$4:$AM$183=$A68),IFERROR(Data!$AN$4:$AN$183,0)),IF(_xlpm.rawIP=0,0,INT(_xlpm.rawIP)+MOD(ROUND(_xlpm.rawIP*3,0),3)/10)))</f>
        <v>0</v>
      </c>
      <c r="V68" s="18">
        <f ca="1">IF($A68="","",SUMIFS('Current Char Stats'!$J$4:$J$273,'Current Char Stats'!$B$4:$B$273,$A68))</f>
        <v>0</v>
      </c>
      <c r="W68" s="18" cm="1">
        <f t="array" aca="1" ref="W68" ca="1">IF($A68="","",_xlfn.LET(_xlpm.rawIP,SUMPRODUCT(--(Data!$AM$4:$AM$183=$A68),IFERROR(Data!$AN$4:$AN$183,0)),IF(_xlpm.rawIP=0,0,V68*3/_xlpm.rawIP)))</f>
        <v>0</v>
      </c>
      <c r="X68" s="18">
        <f ca="1">IF($A68="","",SUMIFS('Current Char Stats'!$V$4:$V$273,'Current Char Stats'!$B$4:$B$273,$A68))</f>
        <v>0</v>
      </c>
      <c r="Y68" s="18">
        <f ca="1">IF($A68="","",SUMIFS('Current Char Stats'!$W$4:$W$273,'Current Char Stats'!$B$4:$B$273,$A68))</f>
        <v>0</v>
      </c>
      <c r="Z68" s="18">
        <f ca="1">IF($A68="","",SUMIFS('Current Char Stats'!$X$4:$X$273,'Current Char Stats'!$B$4:$B$273,$A68))</f>
        <v>0</v>
      </c>
      <c r="AA68" s="18">
        <f ca="1">IF($A68="","",SUMIFS('Current Char Stats'!$Y$4:$Y$273,'Current Char Stats'!$B$4:$B$273,$A68))</f>
        <v>0</v>
      </c>
      <c r="AB68" s="18">
        <f ca="1">IF($A68="","",SUMIFS('Current Char Stats'!$Z$4:$Z$273,'Current Char Stats'!$B$4:$B$273,$A68))</f>
        <v>0</v>
      </c>
      <c r="AC68" s="18">
        <f ca="1">IF($A68="","",SUMIFS('Current Char Stats'!$AA$4:$AA$273,'Current Char Stats'!$B$4:$B$273,$A68))</f>
        <v>0</v>
      </c>
      <c r="AD68" s="18">
        <f ca="1">IF($A68="","",SUMIFS('Current Char Stats'!$AB$4:$AB$273,'Current Char Stats'!$B$4:$B$273,$A68))</f>
        <v>0</v>
      </c>
      <c r="AE68" s="18">
        <f ca="1">IF($A68="","",SUMIFS('Current Char Stats'!$AC$4:$AC$273,'Current Char Stats'!$B$4:$B$273,$A68))</f>
        <v>0</v>
      </c>
      <c r="AF68" s="18" cm="1">
        <f t="array" aca="1" ref="AF68" ca="1">IF($A68="","",_xlfn.LET(_xlpm.rawIP,SUMPRODUCT(--(Data!$AM$4:$AM$183=$A68),IFERROR(Data!$AN$4:$AN$183,0)),IF(_xlpm.rawIP=0,0,(X68+Z68)/_xlpm.rawIP)))</f>
        <v>0</v>
      </c>
      <c r="AG68" s="18">
        <f ca="1">IF($A68="","",SUMIFS('Current Char Stats'!$AE$4:$AE$273,'Current Char Stats'!$B$4:$B$273,$A68))</f>
        <v>0</v>
      </c>
    </row>
    <row r="69" spans="1:33">
      <c r="A69" s="4" t="s">
        <v>127</v>
      </c>
      <c r="B69" s="5">
        <f>COUNTIF(Data!$D$4:$D$75,A69)</f>
        <v>0</v>
      </c>
      <c r="C69" s="5">
        <f ca="1">SUMIFS(Data!$W$4:$W$273,Data!$U$4:$U$273,A69)</f>
        <v>0</v>
      </c>
      <c r="D69" s="5">
        <f ca="1">SUMIFS(Data!$Y$4:$Y$273,Data!$U$4:$U$273,A69)</f>
        <v>0</v>
      </c>
      <c r="E69" s="5">
        <f ca="1">IF(C69=0,0,D69/C69)</f>
        <v>0</v>
      </c>
      <c r="F69" s="5">
        <f ca="1">SUMIFS(Data!$AB$4:$AB$273,Data!$U$4:$U$273,A69)</f>
        <v>0</v>
      </c>
      <c r="G69" s="5">
        <f ca="1">SUMIFS(Data!$AC$4:$AC$273,Data!$U$4:$U$273,A69)</f>
        <v>0</v>
      </c>
      <c r="H69" s="5" t="str">
        <f>IFERROR(_xlfn.SINGLE(_xlfn.XLOOKUP(A69, Data!$D$4:$D$75, Data!$C$4:$C$75, "")), "")</f>
        <v/>
      </c>
      <c r="I69" s="5" t="str">
        <f ca="1">IF(H69 = "", "", IFERROR(_xlfn.SINGLE(_xlfn.XLOOKUP(H69, 'Current Player'!$A$4:$A$11, _xlfn.SINGLE('Current Player'!$C$4:$C$11) / _xlfn.SINGLE('Current Player'!$B$4:$B$11), 0)), 0))</f>
        <v/>
      </c>
      <c r="J69" s="5" t="str">
        <f ca="1">IF(AND(H69&lt;&gt;"",H69=INDEX(Bracket!$B$18:$B$25,MATCH("1st",Bracket!$A$18:$A$25,0))),"Yes","")</f>
        <v/>
      </c>
      <c r="K69" s="18">
        <f ca="1">IF($A69="","",SUMIFS('Current Char Stats'!$N$4:$N$273,'Current Char Stats'!$B$4:$B$273,$A69))</f>
        <v>0</v>
      </c>
      <c r="L69" s="18">
        <f ca="1">IF($A69="","",SUMIFS('Current Char Stats'!$O$4:$O$273,'Current Char Stats'!$B$4:$B$273,$A69))</f>
        <v>0</v>
      </c>
      <c r="M69" s="18">
        <f ca="1">IF($A69="","",SUMIFS('Current Char Stats'!$P$4:$P$273,'Current Char Stats'!$B$4:$B$273,$A69))</f>
        <v>0</v>
      </c>
      <c r="N69" s="18">
        <f ca="1">IF($A69="","",SUMIFS('Current Char Stats'!$Q$4:$Q$273,'Current Char Stats'!$B$4:$B$273,$A69))</f>
        <v>0</v>
      </c>
      <c r="O69" s="18">
        <f ca="1">IF($A69="","",SUMIFS('Current Char Stats'!$R$4:$R$273,'Current Char Stats'!$B$4:$B$273,$A69))</f>
        <v>0</v>
      </c>
      <c r="P69" s="18">
        <f ca="1">IF($A69="","",SUMIFS('Current Char Stats'!$S$4:$S$273,'Current Char Stats'!$B$4:$B$273,$A69))</f>
        <v>0</v>
      </c>
      <c r="Q69" s="18">
        <f ca="1">COUNTIF(Bracket!$K$6:$K$20,A69)</f>
        <v>0</v>
      </c>
      <c r="R69" s="18">
        <f ca="1">COUNTIFS(Bracket!$K$6:$K$20,A69,Bracket!$G$6:$G$20,"CG-*")</f>
        <v>0</v>
      </c>
      <c r="S69" s="18">
        <f ca="1">IF($A69="","",SUMIFS('Current Char Stats'!$T$4:$T$273,'Current Char Stats'!$B$4:$B$273,$A69))</f>
        <v>0</v>
      </c>
      <c r="T69" s="18">
        <f ca="1">IF($A69="","",SUMIFS('Current Char Stats'!$U$4:$U$273,'Current Char Stats'!$B$4:$B$273,$A69))</f>
        <v>0</v>
      </c>
      <c r="U69" s="18" cm="1">
        <f t="array" aca="1" ref="U69" ca="1">IF($A69="","",_xlfn.LET(_xlpm.rawIP,SUMPRODUCT(--(Data!$AM$4:$AM$183=$A69),IFERROR(Data!$AN$4:$AN$183,0)),IF(_xlpm.rawIP=0,0,INT(_xlpm.rawIP)+MOD(ROUND(_xlpm.rawIP*3,0),3)/10)))</f>
        <v>0</v>
      </c>
      <c r="V69" s="18">
        <f ca="1">IF($A69="","",SUMIFS('Current Char Stats'!$J$4:$J$273,'Current Char Stats'!$B$4:$B$273,$A69))</f>
        <v>0</v>
      </c>
      <c r="W69" s="18" cm="1">
        <f t="array" aca="1" ref="W69" ca="1">IF($A69="","",_xlfn.LET(_xlpm.rawIP,SUMPRODUCT(--(Data!$AM$4:$AM$183=$A69),IFERROR(Data!$AN$4:$AN$183,0)),IF(_xlpm.rawIP=0,0,V69*3/_xlpm.rawIP)))</f>
        <v>0</v>
      </c>
      <c r="X69" s="18">
        <f ca="1">IF($A69="","",SUMIFS('Current Char Stats'!$V$4:$V$273,'Current Char Stats'!$B$4:$B$273,$A69))</f>
        <v>0</v>
      </c>
      <c r="Y69" s="18">
        <f ca="1">IF($A69="","",SUMIFS('Current Char Stats'!$W$4:$W$273,'Current Char Stats'!$B$4:$B$273,$A69))</f>
        <v>0</v>
      </c>
      <c r="Z69" s="18">
        <f ca="1">IF($A69="","",SUMIFS('Current Char Stats'!$X$4:$X$273,'Current Char Stats'!$B$4:$B$273,$A69))</f>
        <v>0</v>
      </c>
      <c r="AA69" s="18">
        <f ca="1">IF($A69="","",SUMIFS('Current Char Stats'!$Y$4:$Y$273,'Current Char Stats'!$B$4:$B$273,$A69))</f>
        <v>0</v>
      </c>
      <c r="AB69" s="18">
        <f ca="1">IF($A69="","",SUMIFS('Current Char Stats'!$Z$4:$Z$273,'Current Char Stats'!$B$4:$B$273,$A69))</f>
        <v>0</v>
      </c>
      <c r="AC69" s="18">
        <f ca="1">IF($A69="","",SUMIFS('Current Char Stats'!$AA$4:$AA$273,'Current Char Stats'!$B$4:$B$273,$A69))</f>
        <v>0</v>
      </c>
      <c r="AD69" s="18">
        <f ca="1">IF($A69="","",SUMIFS('Current Char Stats'!$AB$4:$AB$273,'Current Char Stats'!$B$4:$B$273,$A69))</f>
        <v>0</v>
      </c>
      <c r="AE69" s="18">
        <f ca="1">IF($A69="","",SUMIFS('Current Char Stats'!$AC$4:$AC$273,'Current Char Stats'!$B$4:$B$273,$A69))</f>
        <v>0</v>
      </c>
      <c r="AF69" s="18" cm="1">
        <f t="array" aca="1" ref="AF69" ca="1">IF($A69="","",_xlfn.LET(_xlpm.rawIP,SUMPRODUCT(--(Data!$AM$4:$AM$183=$A69),IFERROR(Data!$AN$4:$AN$183,0)),IF(_xlpm.rawIP=0,0,(X69+Z69)/_xlpm.rawIP)))</f>
        <v>0</v>
      </c>
      <c r="AG69" s="18">
        <f ca="1">IF($A69="","",SUMIFS('Current Char Stats'!$AE$4:$AE$273,'Current Char Stats'!$B$4:$B$273,$A69))</f>
        <v>0</v>
      </c>
    </row>
    <row r="70" spans="1:33">
      <c r="A70" s="4" t="s">
        <v>60</v>
      </c>
      <c r="B70" s="5">
        <f>COUNTIF(Data!$D$4:$D$75,A70)</f>
        <v>1</v>
      </c>
      <c r="C70" s="5">
        <f ca="1">SUMIFS(Data!$W$4:$W$273,Data!$U$4:$U$273,A70)</f>
        <v>7</v>
      </c>
      <c r="D70" s="5">
        <f ca="1">SUMIFS(Data!$Y$4:$Y$273,Data!$U$4:$U$273,A70)</f>
        <v>2</v>
      </c>
      <c r="E70" s="5">
        <f ca="1">IF(C70=0,0,D70/C70)</f>
        <v>0.2857142857142857</v>
      </c>
      <c r="F70" s="5">
        <f ca="1">SUMIFS(Data!$AB$4:$AB$273,Data!$U$4:$U$273,A70)</f>
        <v>1</v>
      </c>
      <c r="G70" s="5">
        <f ca="1">SUMIFS(Data!$AC$4:$AC$273,Data!$U$4:$U$273,A70)</f>
        <v>1</v>
      </c>
      <c r="H70" s="5" t="str">
        <f>IFERROR(_xlfn.SINGLE(_xlfn.XLOOKUP(A70, Data!$D$4:$D$75, Data!$C$4:$C$75, "")), "")</f>
        <v>Jason</v>
      </c>
      <c r="I70" s="5">
        <f ca="1">IF(H70 = "", "", IFERROR(_xlfn.SINGLE(_xlfn.XLOOKUP(H70, 'Current Player'!$A$4:$A$11, _xlfn.SINGLE('Current Player'!$C$4:$C$11) / _xlfn.SINGLE('Current Player'!$B$4:$B$11), 0)), 0))</f>
        <v>0</v>
      </c>
      <c r="J70" s="5" t="str">
        <f ca="1">IF(AND(H70&lt;&gt;"",H70=INDEX(Bracket!$B$18:$B$25,MATCH("1st",Bracket!$A$18:$A$25,0))),"Yes","")</f>
        <v>Yes</v>
      </c>
      <c r="K70" s="18">
        <f ca="1">IF($A70="","",SUMIFS('Current Char Stats'!$N$4:$N$273,'Current Char Stats'!$B$4:$B$273,$A70))</f>
        <v>1</v>
      </c>
      <c r="L70" s="18">
        <f ca="1">IF($A70="","",SUMIFS('Current Char Stats'!$O$4:$O$273,'Current Char Stats'!$B$4:$B$273,$A70))</f>
        <v>0</v>
      </c>
      <c r="M70" s="18">
        <f ca="1">IF($A70="","",SUMIFS('Current Char Stats'!$P$4:$P$273,'Current Char Stats'!$B$4:$B$273,$A70))</f>
        <v>0</v>
      </c>
      <c r="N70" s="18">
        <f ca="1">IF($A70="","",SUMIFS('Current Char Stats'!$Q$4:$Q$273,'Current Char Stats'!$B$4:$B$273,$A70))</f>
        <v>0</v>
      </c>
      <c r="O70" s="18">
        <f ca="1">IF($A70="","",SUMIFS('Current Char Stats'!$R$4:$R$273,'Current Char Stats'!$B$4:$B$273,$A70))</f>
        <v>3</v>
      </c>
      <c r="P70" s="18">
        <f ca="1">IF($A70="","",SUMIFS('Current Char Stats'!$S$4:$S$273,'Current Char Stats'!$B$4:$B$273,$A70))</f>
        <v>0</v>
      </c>
      <c r="Q70" s="18">
        <f ca="1">COUNTIF(Bracket!$K$6:$K$20,A70)</f>
        <v>0</v>
      </c>
      <c r="R70" s="18">
        <f ca="1">COUNTIFS(Bracket!$K$6:$K$20,A70,Bracket!$G$6:$G$20,"CG-*")</f>
        <v>0</v>
      </c>
      <c r="S70" s="18">
        <f ca="1">IF($A70="","",SUMIFS('Current Char Stats'!$T$4:$T$273,'Current Char Stats'!$B$4:$B$273,$A70))</f>
        <v>0</v>
      </c>
      <c r="T70" s="18">
        <f ca="1">IF($A70="","",SUMIFS('Current Char Stats'!$U$4:$U$273,'Current Char Stats'!$B$4:$B$273,$A70))</f>
        <v>0</v>
      </c>
      <c r="U70" s="18" cm="1">
        <f t="array" aca="1" ref="U70" ca="1">IF($A70="","",_xlfn.LET(_xlpm.rawIP,SUMPRODUCT(--(Data!$AM$4:$AM$183=$A70),IFERROR(Data!$AN$4:$AN$183,0)),IF(_xlpm.rawIP=0,0,INT(_xlpm.rawIP)+MOD(ROUND(_xlpm.rawIP*3,0),3)/10)))</f>
        <v>3.1</v>
      </c>
      <c r="V70" s="18">
        <f ca="1">IF($A70="","",SUMIFS('Current Char Stats'!$J$4:$J$273,'Current Char Stats'!$B$4:$B$273,$A70))</f>
        <v>0</v>
      </c>
      <c r="W70" s="18" cm="1">
        <f t="array" aca="1" ref="W70" ca="1">IF($A70="","",_xlfn.LET(_xlpm.rawIP,SUMPRODUCT(--(Data!$AM$4:$AM$183=$A70),IFERROR(Data!$AN$4:$AN$183,0)),IF(_xlpm.rawIP=0,0,V70*3/_xlpm.rawIP)))</f>
        <v>0.0</v>
      </c>
      <c r="X70" s="18">
        <f ca="1">IF($A70="","",SUMIFS('Current Char Stats'!$V$4:$V$273,'Current Char Stats'!$B$4:$B$273,$A70))</f>
        <v>3</v>
      </c>
      <c r="Y70" s="18">
        <f ca="1">IF($A70="","",SUMIFS('Current Char Stats'!$W$4:$W$273,'Current Char Stats'!$B$4:$B$273,$A70))</f>
        <v>0</v>
      </c>
      <c r="Z70" s="18">
        <f ca="1">IF($A70="","",SUMIFS('Current Char Stats'!$X$4:$X$273,'Current Char Stats'!$B$4:$B$273,$A70))</f>
        <v>0</v>
      </c>
      <c r="AA70" s="18">
        <f ca="1">IF($A70="","",SUMIFS('Current Char Stats'!$Y$4:$Y$273,'Current Char Stats'!$B$4:$B$273,$A70))</f>
        <v>2</v>
      </c>
      <c r="AB70" s="18">
        <f ca="1">IF($A70="","",SUMIFS('Current Char Stats'!$Z$4:$Z$273,'Current Char Stats'!$B$4:$B$273,$A70))</f>
        <v>0</v>
      </c>
      <c r="AC70" s="18">
        <f ca="1">IF($A70="","",SUMIFS('Current Char Stats'!$AA$4:$AA$273,'Current Char Stats'!$B$4:$B$273,$A70))</f>
        <v>1</v>
      </c>
      <c r="AD70" s="18">
        <f ca="1">IF($A70="","",SUMIFS('Current Char Stats'!$AB$4:$AB$273,'Current Char Stats'!$B$4:$B$273,$A70))</f>
        <v>0</v>
      </c>
      <c r="AE70" s="18">
        <f ca="1">IF($A70="","",SUMIFS('Current Char Stats'!$AC$4:$AC$273,'Current Char Stats'!$B$4:$B$273,$A70))</f>
        <v>0</v>
      </c>
      <c r="AF70" s="18" cm="1">
        <f t="array" aca="1" ref="AF70" ca="1">IF($A70="","",_xlfn.LET(_xlpm.rawIP,SUMPRODUCT(--(Data!$AM$4:$AM$183=$A70),IFERROR(Data!$AN$4:$AN$183,0)),IF(_xlpm.rawIP=0,0,(X70+Z70)/_xlpm.rawIP)))</f>
        <v>0.8999999999999999</v>
      </c>
      <c r="AG70" s="18">
        <f ca="1">IF($A70="","",SUMIFS('Current Char Stats'!$AE$4:$AE$273,'Current Char Stats'!$B$4:$B$273,$A70))</f>
        <v>12</v>
      </c>
    </row>
    <row r="71" spans="1:33">
      <c r="A71" s="4" t="s">
        <v>94</v>
      </c>
      <c r="B71" s="5">
        <f>COUNTIF(Data!$D$4:$D$75,A71)</f>
        <v>1</v>
      </c>
      <c r="C71" s="5">
        <f ca="1">SUMIFS(Data!$W$4:$W$273,Data!$U$4:$U$273,A71)</f>
        <v>5</v>
      </c>
      <c r="D71" s="5">
        <f ca="1">SUMIFS(Data!$Y$4:$Y$273,Data!$U$4:$U$273,A71)</f>
        <v>1</v>
      </c>
      <c r="E71" s="5">
        <f ca="1">IF(C71=0,0,D71/C71)</f>
        <v>0.2</v>
      </c>
      <c r="F71" s="5">
        <f ca="1">SUMIFS(Data!$AB$4:$AB$273,Data!$U$4:$U$273,A71)</f>
        <v>0</v>
      </c>
      <c r="G71" s="5">
        <f ca="1">SUMIFS(Data!$AC$4:$AC$273,Data!$U$4:$U$273,A71)</f>
        <v>0</v>
      </c>
      <c r="H71" s="5" t="str">
        <f>IFERROR(_xlfn.SINGLE(_xlfn.XLOOKUP(A71, Data!$D$4:$D$75, Data!$C$4:$C$75, "")), "")</f>
        <v>May</v>
      </c>
      <c r="I71" s="5">
        <f ca="1">IF(H71 = "", "", IFERROR(_xlfn.SINGLE(_xlfn.XLOOKUP(H71, 'Current Player'!$A$4:$A$11, _xlfn.SINGLE('Current Player'!$C$4:$C$11) / _xlfn.SINGLE('Current Player'!$B$4:$B$11), 0)), 0))</f>
        <v>0</v>
      </c>
      <c r="J71" s="5" t="str">
        <f ca="1">IF(AND(H71&lt;&gt;"",H71=INDEX(Bracket!$B$18:$B$25,MATCH("1st",Bracket!$A$18:$A$25,0))),"Yes","")</f>
        <v/>
      </c>
      <c r="K71" s="18">
        <f ca="1">IF($A71="","",SUMIFS('Current Char Stats'!$N$4:$N$273,'Current Char Stats'!$B$4:$B$273,$A71))</f>
        <v>0</v>
      </c>
      <c r="L71" s="18">
        <f ca="1">IF($A71="","",SUMIFS('Current Char Stats'!$O$4:$O$273,'Current Char Stats'!$B$4:$B$273,$A71))</f>
        <v>0</v>
      </c>
      <c r="M71" s="18">
        <f ca="1">IF($A71="","",SUMIFS('Current Char Stats'!$P$4:$P$273,'Current Char Stats'!$B$4:$B$273,$A71))</f>
        <v>0</v>
      </c>
      <c r="N71" s="18">
        <f ca="1">IF($A71="","",SUMIFS('Current Char Stats'!$Q$4:$Q$273,'Current Char Stats'!$B$4:$B$273,$A71))</f>
        <v>0</v>
      </c>
      <c r="O71" s="18">
        <f ca="1">IF($A71="","",SUMIFS('Current Char Stats'!$R$4:$R$273,'Current Char Stats'!$B$4:$B$273,$A71))</f>
        <v>1</v>
      </c>
      <c r="P71" s="18">
        <f ca="1">IF($A71="","",SUMIFS('Current Char Stats'!$S$4:$S$273,'Current Char Stats'!$B$4:$B$273,$A71))</f>
        <v>0</v>
      </c>
      <c r="Q71" s="18">
        <f ca="1">COUNTIF(Bracket!$K$6:$K$20,A71)</f>
        <v>0</v>
      </c>
      <c r="R71" s="18">
        <f ca="1">COUNTIFS(Bracket!$K$6:$K$20,A71,Bracket!$G$6:$G$20,"CG-*")</f>
        <v>0</v>
      </c>
      <c r="S71" s="18">
        <f ca="1">IF($A71="","",SUMIFS('Current Char Stats'!$T$4:$T$273,'Current Char Stats'!$B$4:$B$273,$A71))</f>
        <v>0</v>
      </c>
      <c r="T71" s="18">
        <f ca="1">IF($A71="","",SUMIFS('Current Char Stats'!$U$4:$U$273,'Current Char Stats'!$B$4:$B$273,$A71))</f>
        <v>0</v>
      </c>
      <c r="U71" s="18" cm="1">
        <f t="array" aca="1" ref="U71" ca="1">IF($A71="","",_xlfn.LET(_xlpm.rawIP,SUMPRODUCT(--(Data!$AM$4:$AM$183=$A71),IFERROR(Data!$AN$4:$AN$183,0)),IF(_xlpm.rawIP=0,0,INT(_xlpm.rawIP)+MOD(ROUND(_xlpm.rawIP*3,0),3)/10)))</f>
        <v>0</v>
      </c>
      <c r="V71" s="18">
        <f ca="1">IF($A71="","",SUMIFS('Current Char Stats'!$J$4:$J$273,'Current Char Stats'!$B$4:$B$273,$A71))</f>
        <v>0</v>
      </c>
      <c r="W71" s="18" cm="1">
        <f t="array" aca="1" ref="W71" ca="1">IF($A71="","",_xlfn.LET(_xlpm.rawIP,SUMPRODUCT(--(Data!$AM$4:$AM$183=$A71),IFERROR(Data!$AN$4:$AN$183,0)),IF(_xlpm.rawIP=0,0,V71*3/_xlpm.rawIP)))</f>
        <v>0</v>
      </c>
      <c r="X71" s="18">
        <f ca="1">IF($A71="","",SUMIFS('Current Char Stats'!$V$4:$V$273,'Current Char Stats'!$B$4:$B$273,$A71))</f>
        <v>0</v>
      </c>
      <c r="Y71" s="18">
        <f ca="1">IF($A71="","",SUMIFS('Current Char Stats'!$W$4:$W$273,'Current Char Stats'!$B$4:$B$273,$A71))</f>
        <v>0</v>
      </c>
      <c r="Z71" s="18">
        <f ca="1">IF($A71="","",SUMIFS('Current Char Stats'!$X$4:$X$273,'Current Char Stats'!$B$4:$B$273,$A71))</f>
        <v>0</v>
      </c>
      <c r="AA71" s="18">
        <f ca="1">IF($A71="","",SUMIFS('Current Char Stats'!$Y$4:$Y$273,'Current Char Stats'!$B$4:$B$273,$A71))</f>
        <v>0</v>
      </c>
      <c r="AB71" s="18">
        <f ca="1">IF($A71="","",SUMIFS('Current Char Stats'!$Z$4:$Z$273,'Current Char Stats'!$B$4:$B$273,$A71))</f>
        <v>0</v>
      </c>
      <c r="AC71" s="18">
        <f ca="1">IF($A71="","",SUMIFS('Current Char Stats'!$AA$4:$AA$273,'Current Char Stats'!$B$4:$B$273,$A71))</f>
        <v>0</v>
      </c>
      <c r="AD71" s="18">
        <f ca="1">IF($A71="","",SUMIFS('Current Char Stats'!$AB$4:$AB$273,'Current Char Stats'!$B$4:$B$273,$A71))</f>
        <v>0</v>
      </c>
      <c r="AE71" s="18">
        <f ca="1">IF($A71="","",SUMIFS('Current Char Stats'!$AC$4:$AC$273,'Current Char Stats'!$B$4:$B$273,$A71))</f>
        <v>0</v>
      </c>
      <c r="AF71" s="18" cm="1">
        <f t="array" aca="1" ref="AF71" ca="1">IF($A71="","",_xlfn.LET(_xlpm.rawIP,SUMPRODUCT(--(Data!$AM$4:$AM$183=$A71),IFERROR(Data!$AN$4:$AN$183,0)),IF(_xlpm.rawIP=0,0,(X71+Z71)/_xlpm.rawIP)))</f>
        <v>0</v>
      </c>
      <c r="AG71" s="18">
        <f ca="1">IF($A71="","",SUMIFS('Current Char Stats'!$AE$4:$AE$273,'Current Char Stats'!$B$4:$B$273,$A71))</f>
        <v>0</v>
      </c>
    </row>
    <row r="72" spans="1:33">
      <c r="A72" s="4" t="s">
        <v>111</v>
      </c>
      <c r="B72" s="5">
        <f>COUNTIF(Data!$D$4:$D$75,A72)</f>
        <v>0</v>
      </c>
      <c r="C72" s="5">
        <f ca="1">SUMIFS(Data!$W$4:$W$273,Data!$U$4:$U$273,A72)</f>
        <v>0</v>
      </c>
      <c r="D72" s="5">
        <f ca="1">SUMIFS(Data!$Y$4:$Y$273,Data!$U$4:$U$273,A72)</f>
        <v>0</v>
      </c>
      <c r="E72" s="5">
        <f ca="1">IF(C72=0,0,D72/C72)</f>
        <v>0</v>
      </c>
      <c r="F72" s="5">
        <f ca="1">SUMIFS(Data!$AB$4:$AB$273,Data!$U$4:$U$273,A72)</f>
        <v>0</v>
      </c>
      <c r="G72" s="5">
        <f ca="1">SUMIFS(Data!$AC$4:$AC$273,Data!$U$4:$U$273,A72)</f>
        <v>0</v>
      </c>
      <c r="H72" s="5" t="str">
        <f>IFERROR(_xlfn.SINGLE(_xlfn.XLOOKUP(A72, Data!$D$4:$D$75, Data!$C$4:$C$75, "")), "")</f>
        <v/>
      </c>
      <c r="I72" s="5" t="str">
        <f ca="1">IF(H72 = "", "", IFERROR(_xlfn.SINGLE(_xlfn.XLOOKUP(H72, 'Current Player'!$A$4:$A$11, _xlfn.SINGLE('Current Player'!$C$4:$C$11) / _xlfn.SINGLE('Current Player'!$B$4:$B$11), 0)), 0))</f>
        <v/>
      </c>
      <c r="J72" s="5" t="str">
        <f ca="1">IF(AND(H72&lt;&gt;"",H72=INDEX(Bracket!$B$18:$B$25,MATCH("1st",Bracket!$A$18:$A$25,0))),"Yes","")</f>
        <v/>
      </c>
      <c r="K72" s="18">
        <f ca="1">IF($A72="","",SUMIFS('Current Char Stats'!$N$4:$N$273,'Current Char Stats'!$B$4:$B$273,$A72))</f>
        <v>0</v>
      </c>
      <c r="L72" s="18">
        <f ca="1">IF($A72="","",SUMIFS('Current Char Stats'!$O$4:$O$273,'Current Char Stats'!$B$4:$B$273,$A72))</f>
        <v>0</v>
      </c>
      <c r="M72" s="18">
        <f ca="1">IF($A72="","",SUMIFS('Current Char Stats'!$P$4:$P$273,'Current Char Stats'!$B$4:$B$273,$A72))</f>
        <v>0</v>
      </c>
      <c r="N72" s="18">
        <f ca="1">IF($A72="","",SUMIFS('Current Char Stats'!$Q$4:$Q$273,'Current Char Stats'!$B$4:$B$273,$A72))</f>
        <v>0</v>
      </c>
      <c r="O72" s="18">
        <f ca="1">IF($A72="","",SUMIFS('Current Char Stats'!$R$4:$R$273,'Current Char Stats'!$B$4:$B$273,$A72))</f>
        <v>0</v>
      </c>
      <c r="P72" s="18">
        <f ca="1">IF($A72="","",SUMIFS('Current Char Stats'!$S$4:$S$273,'Current Char Stats'!$B$4:$B$273,$A72))</f>
        <v>0</v>
      </c>
      <c r="Q72" s="18">
        <f ca="1">COUNTIF(Bracket!$K$6:$K$20,A72)</f>
        <v>0</v>
      </c>
      <c r="R72" s="18">
        <f ca="1">COUNTIFS(Bracket!$K$6:$K$20,A72,Bracket!$G$6:$G$20,"CG-*")</f>
        <v>0</v>
      </c>
      <c r="S72" s="18">
        <f ca="1">IF($A72="","",SUMIFS('Current Char Stats'!$T$4:$T$273,'Current Char Stats'!$B$4:$B$273,$A72))</f>
        <v>0</v>
      </c>
      <c r="T72" s="18">
        <f ca="1">IF($A72="","",SUMIFS('Current Char Stats'!$U$4:$U$273,'Current Char Stats'!$B$4:$B$273,$A72))</f>
        <v>0</v>
      </c>
      <c r="U72" s="18" cm="1">
        <f t="array" aca="1" ref="U72" ca="1">IF($A72="","",_xlfn.LET(_xlpm.rawIP,SUMPRODUCT(--(Data!$AM$4:$AM$183=$A72),IFERROR(Data!$AN$4:$AN$183,0)),IF(_xlpm.rawIP=0,0,INT(_xlpm.rawIP)+MOD(ROUND(_xlpm.rawIP*3,0),3)/10)))</f>
        <v>0</v>
      </c>
      <c r="V72" s="18">
        <f ca="1">IF($A72="","",SUMIFS('Current Char Stats'!$J$4:$J$273,'Current Char Stats'!$B$4:$B$273,$A72))</f>
        <v>0</v>
      </c>
      <c r="W72" s="18" cm="1">
        <f t="array" aca="1" ref="W72" ca="1">IF($A72="","",_xlfn.LET(_xlpm.rawIP,SUMPRODUCT(--(Data!$AM$4:$AM$183=$A72),IFERROR(Data!$AN$4:$AN$183,0)),IF(_xlpm.rawIP=0,0,V72*3/_xlpm.rawIP)))</f>
        <v>0</v>
      </c>
      <c r="X72" s="18">
        <f ca="1">IF($A72="","",SUMIFS('Current Char Stats'!$V$4:$V$273,'Current Char Stats'!$B$4:$B$273,$A72))</f>
        <v>0</v>
      </c>
      <c r="Y72" s="18">
        <f ca="1">IF($A72="","",SUMIFS('Current Char Stats'!$W$4:$W$273,'Current Char Stats'!$B$4:$B$273,$A72))</f>
        <v>0</v>
      </c>
      <c r="Z72" s="18">
        <f ca="1">IF($A72="","",SUMIFS('Current Char Stats'!$X$4:$X$273,'Current Char Stats'!$B$4:$B$273,$A72))</f>
        <v>0</v>
      </c>
      <c r="AA72" s="18">
        <f ca="1">IF($A72="","",SUMIFS('Current Char Stats'!$Y$4:$Y$273,'Current Char Stats'!$B$4:$B$273,$A72))</f>
        <v>0</v>
      </c>
      <c r="AB72" s="18">
        <f ca="1">IF($A72="","",SUMIFS('Current Char Stats'!$Z$4:$Z$273,'Current Char Stats'!$B$4:$B$273,$A72))</f>
        <v>0</v>
      </c>
      <c r="AC72" s="18">
        <f ca="1">IF($A72="","",SUMIFS('Current Char Stats'!$AA$4:$AA$273,'Current Char Stats'!$B$4:$B$273,$A72))</f>
        <v>0</v>
      </c>
      <c r="AD72" s="18">
        <f ca="1">IF($A72="","",SUMIFS('Current Char Stats'!$AB$4:$AB$273,'Current Char Stats'!$B$4:$B$273,$A72))</f>
        <v>0</v>
      </c>
      <c r="AE72" s="18">
        <f ca="1">IF($A72="","",SUMIFS('Current Char Stats'!$AC$4:$AC$273,'Current Char Stats'!$B$4:$B$273,$A72))</f>
        <v>0</v>
      </c>
      <c r="AF72" s="18" cm="1">
        <f t="array" aca="1" ref="AF72" ca="1">IF($A72="","",_xlfn.LET(_xlpm.rawIP,SUMPRODUCT(--(Data!$AM$4:$AM$183=$A72),IFERROR(Data!$AN$4:$AN$183,0)),IF(_xlpm.rawIP=0,0,(X72+Z72)/_xlpm.rawIP)))</f>
        <v>0</v>
      </c>
      <c r="AG72" s="18">
        <f ca="1">IF($A72="","",SUMIFS('Current Char Stats'!$AE$4:$AE$273,'Current Char Stats'!$B$4:$B$273,$A72))</f>
        <v>0</v>
      </c>
    </row>
    <row r="73" spans="1:33">
      <c r="A73" s="4" t="s">
        <v>70</v>
      </c>
      <c r="B73" s="5">
        <f>COUNTIF(Data!$D$4:$D$75,A73)</f>
        <v>1</v>
      </c>
      <c r="C73" s="5">
        <f ca="1">SUMIFS(Data!$W$4:$W$273,Data!$U$4:$U$273,A73)</f>
        <v>5</v>
      </c>
      <c r="D73" s="5">
        <f ca="1">SUMIFS(Data!$Y$4:$Y$273,Data!$U$4:$U$273,A73)</f>
        <v>3</v>
      </c>
      <c r="E73" s="5">
        <f ca="1">IF(C73=0,0,D73/C73)</f>
        <v>0.6</v>
      </c>
      <c r="F73" s="5">
        <f ca="1">SUMIFS(Data!$AB$4:$AB$273,Data!$U$4:$U$273,A73)</f>
        <v>0</v>
      </c>
      <c r="G73" s="5">
        <f ca="1">SUMIFS(Data!$AC$4:$AC$273,Data!$U$4:$U$273,A73)</f>
        <v>0</v>
      </c>
      <c r="H73" s="5" t="str">
        <f>IFERROR(_xlfn.SINGLE(_xlfn.XLOOKUP(A73, Data!$D$4:$D$75, Data!$C$4:$C$75, "")), "")</f>
        <v>May</v>
      </c>
      <c r="I73" s="5">
        <f ca="1">IF(H73 = "", "", IFERROR(_xlfn.SINGLE(_xlfn.XLOOKUP(H73, 'Current Player'!$A$4:$A$11, _xlfn.SINGLE('Current Player'!$C$4:$C$11) / _xlfn.SINGLE('Current Player'!$B$4:$B$11), 0)), 0))</f>
        <v>0</v>
      </c>
      <c r="J73" s="5" t="str">
        <f ca="1">IF(AND(H73&lt;&gt;"",H73=INDEX(Bracket!$B$18:$B$25,MATCH("1st",Bracket!$A$18:$A$25,0))),"Yes","")</f>
        <v/>
      </c>
      <c r="K73" s="18">
        <f ca="1">IF($A73="","",SUMIFS('Current Char Stats'!$N$4:$N$273,'Current Char Stats'!$B$4:$B$273,$A73))</f>
        <v>1</v>
      </c>
      <c r="L73" s="18">
        <f ca="1">IF($A73="","",SUMIFS('Current Char Stats'!$O$4:$O$273,'Current Char Stats'!$B$4:$B$273,$A73))</f>
        <v>1</v>
      </c>
      <c r="M73" s="18">
        <f ca="1">IF($A73="","",SUMIFS('Current Char Stats'!$P$4:$P$273,'Current Char Stats'!$B$4:$B$273,$A73))</f>
        <v>0</v>
      </c>
      <c r="N73" s="18">
        <f ca="1">IF($A73="","",SUMIFS('Current Char Stats'!$Q$4:$Q$273,'Current Char Stats'!$B$4:$B$273,$A73))</f>
        <v>0</v>
      </c>
      <c r="O73" s="18">
        <f ca="1">IF($A73="","",SUMIFS('Current Char Stats'!$R$4:$R$273,'Current Char Stats'!$B$4:$B$273,$A73))</f>
        <v>0</v>
      </c>
      <c r="P73" s="18">
        <f ca="1">IF($A73="","",SUMIFS('Current Char Stats'!$S$4:$S$273,'Current Char Stats'!$B$4:$B$273,$A73))</f>
        <v>0</v>
      </c>
      <c r="Q73" s="18">
        <f ca="1">COUNTIF(Bracket!$K$6:$K$20,A73)</f>
        <v>0</v>
      </c>
      <c r="R73" s="18">
        <f ca="1">COUNTIFS(Bracket!$K$6:$K$20,A73,Bracket!$G$6:$G$20,"CG-*")</f>
        <v>0</v>
      </c>
      <c r="S73" s="18">
        <f ca="1">IF($A73="","",SUMIFS('Current Char Stats'!$T$4:$T$273,'Current Char Stats'!$B$4:$B$273,$A73))</f>
        <v>0</v>
      </c>
      <c r="T73" s="18">
        <f ca="1">IF($A73="","",SUMIFS('Current Char Stats'!$U$4:$U$273,'Current Char Stats'!$B$4:$B$273,$A73))</f>
        <v>0</v>
      </c>
      <c r="U73" s="18" cm="1">
        <f t="array" aca="1" ref="U73" ca="1">IF($A73="","",_xlfn.LET(_xlpm.rawIP,SUMPRODUCT(--(Data!$AM$4:$AM$183=$A73),IFERROR(Data!$AN$4:$AN$183,0)),IF(_xlpm.rawIP=0,0,INT(_xlpm.rawIP)+MOD(ROUND(_xlpm.rawIP*3,0),3)/10)))</f>
        <v>0</v>
      </c>
      <c r="V73" s="18">
        <f ca="1">IF($A73="","",SUMIFS('Current Char Stats'!$J$4:$J$273,'Current Char Stats'!$B$4:$B$273,$A73))</f>
        <v>0</v>
      </c>
      <c r="W73" s="18" cm="1">
        <f t="array" aca="1" ref="W73" ca="1">IF($A73="","",_xlfn.LET(_xlpm.rawIP,SUMPRODUCT(--(Data!$AM$4:$AM$183=$A73),IFERROR(Data!$AN$4:$AN$183,0)),IF(_xlpm.rawIP=0,0,V73*3/_xlpm.rawIP)))</f>
        <v>0</v>
      </c>
      <c r="X73" s="18">
        <f ca="1">IF($A73="","",SUMIFS('Current Char Stats'!$V$4:$V$273,'Current Char Stats'!$B$4:$B$273,$A73))</f>
        <v>0</v>
      </c>
      <c r="Y73" s="18">
        <f ca="1">IF($A73="","",SUMIFS('Current Char Stats'!$W$4:$W$273,'Current Char Stats'!$B$4:$B$273,$A73))</f>
        <v>0</v>
      </c>
      <c r="Z73" s="18">
        <f ca="1">IF($A73="","",SUMIFS('Current Char Stats'!$X$4:$X$273,'Current Char Stats'!$B$4:$B$273,$A73))</f>
        <v>0</v>
      </c>
      <c r="AA73" s="18">
        <f ca="1">IF($A73="","",SUMIFS('Current Char Stats'!$Y$4:$Y$273,'Current Char Stats'!$B$4:$B$273,$A73))</f>
        <v>0</v>
      </c>
      <c r="AB73" s="18">
        <f ca="1">IF($A73="","",SUMIFS('Current Char Stats'!$Z$4:$Z$273,'Current Char Stats'!$B$4:$B$273,$A73))</f>
        <v>0</v>
      </c>
      <c r="AC73" s="18">
        <f ca="1">IF($A73="","",SUMIFS('Current Char Stats'!$AA$4:$AA$273,'Current Char Stats'!$B$4:$B$273,$A73))</f>
        <v>0</v>
      </c>
      <c r="AD73" s="18">
        <f ca="1">IF($A73="","",SUMIFS('Current Char Stats'!$AB$4:$AB$273,'Current Char Stats'!$B$4:$B$273,$A73))</f>
        <v>0</v>
      </c>
      <c r="AE73" s="18">
        <f ca="1">IF($A73="","",SUMIFS('Current Char Stats'!$AC$4:$AC$273,'Current Char Stats'!$B$4:$B$273,$A73))</f>
        <v>0</v>
      </c>
      <c r="AF73" s="18" cm="1">
        <f t="array" aca="1" ref="AF73" ca="1">IF($A73="","",_xlfn.LET(_xlpm.rawIP,SUMPRODUCT(--(Data!$AM$4:$AM$183=$A73),IFERROR(Data!$AN$4:$AN$183,0)),IF(_xlpm.rawIP=0,0,(X73+Z73)/_xlpm.rawIP)))</f>
        <v>0</v>
      </c>
      <c r="AG73" s="18">
        <f ca="1">IF($A73="","",SUMIFS('Current Char Stats'!$AE$4:$AE$273,'Current Char Stats'!$B$4:$B$273,$A73))</f>
        <v>0</v>
      </c>
    </row>
    <row r="74" spans="1:33">
      <c r="A74" s="4" t="s">
        <v>76</v>
      </c>
      <c r="B74" s="5">
        <f>COUNTIF(Data!$D$4:$D$75,A74)</f>
        <v>1</v>
      </c>
      <c r="C74" s="5">
        <f ca="1">SUMIFS(Data!$W$4:$W$273,Data!$U$4:$U$273,A74)</f>
        <v>3</v>
      </c>
      <c r="D74" s="5">
        <f ca="1">SUMIFS(Data!$Y$4:$Y$273,Data!$U$4:$U$273,A74)</f>
        <v>0</v>
      </c>
      <c r="E74" s="5">
        <f ca="1">IF(C74=0,0,D74/C74)</f>
        <v>0.0</v>
      </c>
      <c r="F74" s="5">
        <f ca="1">SUMIFS(Data!$AB$4:$AB$273,Data!$U$4:$U$273,A74)</f>
        <v>0</v>
      </c>
      <c r="G74" s="5">
        <f ca="1">SUMIFS(Data!$AC$4:$AC$273,Data!$U$4:$U$273,A74)</f>
        <v>0</v>
      </c>
      <c r="H74" s="5" t="str">
        <f>IFERROR(_xlfn.SINGLE(_xlfn.XLOOKUP(A74, Data!$D$4:$D$75, Data!$C$4:$C$75, "")), "")</f>
        <v>Justin</v>
      </c>
      <c r="I74" s="5">
        <f ca="1">IF(H74 = "", "", IFERROR(_xlfn.SINGLE(_xlfn.XLOOKUP(H74, 'Current Player'!$A$4:$A$11, _xlfn.SINGLE('Current Player'!$C$4:$C$11) / _xlfn.SINGLE('Current Player'!$B$4:$B$11), 0)), 0))</f>
        <v>0</v>
      </c>
      <c r="J74" s="5" t="str">
        <f ca="1">IF(AND(H74&lt;&gt;"",H74=INDEX(Bracket!$B$18:$B$25,MATCH("1st",Bracket!$A$18:$A$25,0))),"Yes","")</f>
        <v/>
      </c>
      <c r="K74" s="18">
        <f ca="1">IF($A74="","",SUMIFS('Current Char Stats'!$N$4:$N$273,'Current Char Stats'!$B$4:$B$273,$A74))</f>
        <v>0</v>
      </c>
      <c r="L74" s="18">
        <f ca="1">IF($A74="","",SUMIFS('Current Char Stats'!$O$4:$O$273,'Current Char Stats'!$B$4:$B$273,$A74))</f>
        <v>0</v>
      </c>
      <c r="M74" s="18">
        <f ca="1">IF($A74="","",SUMIFS('Current Char Stats'!$P$4:$P$273,'Current Char Stats'!$B$4:$B$273,$A74))</f>
        <v>0</v>
      </c>
      <c r="N74" s="18">
        <f ca="1">IF($A74="","",SUMIFS('Current Char Stats'!$Q$4:$Q$273,'Current Char Stats'!$B$4:$B$273,$A74))</f>
        <v>0</v>
      </c>
      <c r="O74" s="18">
        <f ca="1">IF($A74="","",SUMIFS('Current Char Stats'!$R$4:$R$273,'Current Char Stats'!$B$4:$B$273,$A74))</f>
        <v>1</v>
      </c>
      <c r="P74" s="18">
        <f ca="1">IF($A74="","",SUMIFS('Current Char Stats'!$S$4:$S$273,'Current Char Stats'!$B$4:$B$273,$A74))</f>
        <v>0</v>
      </c>
      <c r="Q74" s="18">
        <f ca="1">COUNTIF(Bracket!$K$6:$K$20,A74)</f>
        <v>0</v>
      </c>
      <c r="R74" s="18">
        <f ca="1">COUNTIFS(Bracket!$K$6:$K$20,A74,Bracket!$G$6:$G$20,"CG-*")</f>
        <v>0</v>
      </c>
      <c r="S74" s="18">
        <f ca="1">IF($A74="","",SUMIFS('Current Char Stats'!$T$4:$T$273,'Current Char Stats'!$B$4:$B$273,$A74))</f>
        <v>0</v>
      </c>
      <c r="T74" s="18">
        <f ca="1">IF($A74="","",SUMIFS('Current Char Stats'!$U$4:$U$273,'Current Char Stats'!$B$4:$B$273,$A74))</f>
        <v>0</v>
      </c>
      <c r="U74" s="18" cm="1">
        <f t="array" aca="1" ref="U74" ca="1">IF($A74="","",_xlfn.LET(_xlpm.rawIP,SUMPRODUCT(--(Data!$AM$4:$AM$183=$A74),IFERROR(Data!$AN$4:$AN$183,0)),IF(_xlpm.rawIP=0,0,INT(_xlpm.rawIP)+MOD(ROUND(_xlpm.rawIP*3,0),3)/10)))</f>
        <v>0</v>
      </c>
      <c r="V74" s="18">
        <f ca="1">IF($A74="","",SUMIFS('Current Char Stats'!$J$4:$J$273,'Current Char Stats'!$B$4:$B$273,$A74))</f>
        <v>0</v>
      </c>
      <c r="W74" s="18" cm="1">
        <f t="array" aca="1" ref="W74" ca="1">IF($A74="","",_xlfn.LET(_xlpm.rawIP,SUMPRODUCT(--(Data!$AM$4:$AM$183=$A74),IFERROR(Data!$AN$4:$AN$183,0)),IF(_xlpm.rawIP=0,0,V74*3/_xlpm.rawIP)))</f>
        <v>0</v>
      </c>
      <c r="X74" s="18">
        <f ca="1">IF($A74="","",SUMIFS('Current Char Stats'!$V$4:$V$273,'Current Char Stats'!$B$4:$B$273,$A74))</f>
        <v>0</v>
      </c>
      <c r="Y74" s="18">
        <f ca="1">IF($A74="","",SUMIFS('Current Char Stats'!$W$4:$W$273,'Current Char Stats'!$B$4:$B$273,$A74))</f>
        <v>0</v>
      </c>
      <c r="Z74" s="18">
        <f ca="1">IF($A74="","",SUMIFS('Current Char Stats'!$X$4:$X$273,'Current Char Stats'!$B$4:$B$273,$A74))</f>
        <v>0</v>
      </c>
      <c r="AA74" s="18">
        <f ca="1">IF($A74="","",SUMIFS('Current Char Stats'!$Y$4:$Y$273,'Current Char Stats'!$B$4:$B$273,$A74))</f>
        <v>0</v>
      </c>
      <c r="AB74" s="18">
        <f ca="1">IF($A74="","",SUMIFS('Current Char Stats'!$Z$4:$Z$273,'Current Char Stats'!$B$4:$B$273,$A74))</f>
        <v>0</v>
      </c>
      <c r="AC74" s="18">
        <f ca="1">IF($A74="","",SUMIFS('Current Char Stats'!$AA$4:$AA$273,'Current Char Stats'!$B$4:$B$273,$A74))</f>
        <v>0</v>
      </c>
      <c r="AD74" s="18">
        <f ca="1">IF($A74="","",SUMIFS('Current Char Stats'!$AB$4:$AB$273,'Current Char Stats'!$B$4:$B$273,$A74))</f>
        <v>0</v>
      </c>
      <c r="AE74" s="18">
        <f ca="1">IF($A74="","",SUMIFS('Current Char Stats'!$AC$4:$AC$273,'Current Char Stats'!$B$4:$B$273,$A74))</f>
        <v>0</v>
      </c>
      <c r="AF74" s="18" cm="1">
        <f t="array" aca="1" ref="AF74" ca="1">IF($A74="","",_xlfn.LET(_xlpm.rawIP,SUMPRODUCT(--(Data!$AM$4:$AM$183=$A74),IFERROR(Data!$AN$4:$AN$183,0)),IF(_xlpm.rawIP=0,0,(X74+Z74)/_xlpm.rawIP)))</f>
        <v>0</v>
      </c>
      <c r="AG74" s="18">
        <f ca="1">IF($A74="","",SUMIFS('Current Char Stats'!$AE$4:$AE$273,'Current Char Stats'!$B$4:$B$273,$A74))</f>
        <v>0</v>
      </c>
    </row>
    <row r="75" spans="1:33">
      <c r="A75" s="4" t="s">
        <v>80</v>
      </c>
      <c r="B75" s="5">
        <f>COUNTIF(Data!$D$4:$D$75,A75)</f>
        <v>1</v>
      </c>
      <c r="C75" s="5">
        <f ca="1">SUMIFS(Data!$W$4:$W$273,Data!$U$4:$U$273,A75)</f>
        <v>5</v>
      </c>
      <c r="D75" s="5">
        <f ca="1">SUMIFS(Data!$Y$4:$Y$273,Data!$U$4:$U$273,A75)</f>
        <v>2</v>
      </c>
      <c r="E75" s="5">
        <f ca="1">IF(C75=0,0,D75/C75)</f>
        <v>0.4</v>
      </c>
      <c r="F75" s="5">
        <f ca="1">SUMIFS(Data!$AB$4:$AB$273,Data!$U$4:$U$273,A75)</f>
        <v>1</v>
      </c>
      <c r="G75" s="5">
        <f ca="1">SUMIFS(Data!$AC$4:$AC$273,Data!$U$4:$U$273,A75)</f>
        <v>1</v>
      </c>
      <c r="H75" s="5" t="str">
        <f>IFERROR(_xlfn.SINGLE(_xlfn.XLOOKUP(A75, Data!$D$4:$D$75, Data!$C$4:$C$75, "")), "")</f>
        <v>Aidan</v>
      </c>
      <c r="I75" s="5">
        <f ca="1">IF(H75 = "", "", IFERROR(_xlfn.SINGLE(_xlfn.XLOOKUP(H75, 'Current Player'!$A$4:$A$11, _xlfn.SINGLE('Current Player'!$C$4:$C$11) / _xlfn.SINGLE('Current Player'!$B$4:$B$11), 0)), 0))</f>
        <v>0</v>
      </c>
      <c r="J75" s="5" t="str">
        <f ca="1">IF(AND(H75&lt;&gt;"",H75=INDEX(Bracket!$B$18:$B$25,MATCH("1st",Bracket!$A$18:$A$25,0))),"Yes","")</f>
        <v/>
      </c>
      <c r="K75" s="18">
        <f ca="1">IF($A75="","",SUMIFS('Current Char Stats'!$N$4:$N$273,'Current Char Stats'!$B$4:$B$273,$A75))</f>
        <v>1</v>
      </c>
      <c r="L75" s="18">
        <f ca="1">IF($A75="","",SUMIFS('Current Char Stats'!$O$4:$O$273,'Current Char Stats'!$B$4:$B$273,$A75))</f>
        <v>0</v>
      </c>
      <c r="M75" s="18">
        <f ca="1">IF($A75="","",SUMIFS('Current Char Stats'!$P$4:$P$273,'Current Char Stats'!$B$4:$B$273,$A75))</f>
        <v>0</v>
      </c>
      <c r="N75" s="18">
        <f ca="1">IF($A75="","",SUMIFS('Current Char Stats'!$Q$4:$Q$273,'Current Char Stats'!$B$4:$B$273,$A75))</f>
        <v>0</v>
      </c>
      <c r="O75" s="18">
        <f ca="1">IF($A75="","",SUMIFS('Current Char Stats'!$R$4:$R$273,'Current Char Stats'!$B$4:$B$273,$A75))</f>
        <v>0</v>
      </c>
      <c r="P75" s="18">
        <f ca="1">IF($A75="","",SUMIFS('Current Char Stats'!$S$4:$S$273,'Current Char Stats'!$B$4:$B$273,$A75))</f>
        <v>0</v>
      </c>
      <c r="Q75" s="18">
        <f ca="1">COUNTIF(Bracket!$K$6:$K$20,A75)</f>
        <v>1</v>
      </c>
      <c r="R75" s="18">
        <f ca="1">COUNTIFS(Bracket!$K$6:$K$20,A75,Bracket!$G$6:$G$20,"CG-*")</f>
        <v>0</v>
      </c>
      <c r="S75" s="18">
        <f ca="1">IF($A75="","",SUMIFS('Current Char Stats'!$T$4:$T$273,'Current Char Stats'!$B$4:$B$273,$A75))</f>
        <v>0</v>
      </c>
      <c r="T75" s="18">
        <f ca="1">IF($A75="","",SUMIFS('Current Char Stats'!$U$4:$U$273,'Current Char Stats'!$B$4:$B$273,$A75))</f>
        <v>0</v>
      </c>
      <c r="U75" s="18" cm="1">
        <f t="array" aca="1" ref="U75" ca="1">IF($A75="","",_xlfn.LET(_xlpm.rawIP,SUMPRODUCT(--(Data!$AM$4:$AM$183=$A75),IFERROR(Data!$AN$4:$AN$183,0)),IF(_xlpm.rawIP=0,0,INT(_xlpm.rawIP)+MOD(ROUND(_xlpm.rawIP*3,0),3)/10)))</f>
        <v>0</v>
      </c>
      <c r="V75" s="18">
        <f ca="1">IF($A75="","",SUMIFS('Current Char Stats'!$J$4:$J$273,'Current Char Stats'!$B$4:$B$273,$A75))</f>
        <v>0</v>
      </c>
      <c r="W75" s="18" cm="1">
        <f t="array" aca="1" ref="W75" ca="1">IF($A75="","",_xlfn.LET(_xlpm.rawIP,SUMPRODUCT(--(Data!$AM$4:$AM$183=$A75),IFERROR(Data!$AN$4:$AN$183,0)),IF(_xlpm.rawIP=0,0,V75*3/_xlpm.rawIP)))</f>
        <v>0</v>
      </c>
      <c r="X75" s="18">
        <f ca="1">IF($A75="","",SUMIFS('Current Char Stats'!$V$4:$V$273,'Current Char Stats'!$B$4:$B$273,$A75))</f>
        <v>0</v>
      </c>
      <c r="Y75" s="18">
        <f ca="1">IF($A75="","",SUMIFS('Current Char Stats'!$W$4:$W$273,'Current Char Stats'!$B$4:$B$273,$A75))</f>
        <v>0</v>
      </c>
      <c r="Z75" s="18">
        <f ca="1">IF($A75="","",SUMIFS('Current Char Stats'!$X$4:$X$273,'Current Char Stats'!$B$4:$B$273,$A75))</f>
        <v>0</v>
      </c>
      <c r="AA75" s="18">
        <f ca="1">IF($A75="","",SUMIFS('Current Char Stats'!$Y$4:$Y$273,'Current Char Stats'!$B$4:$B$273,$A75))</f>
        <v>0</v>
      </c>
      <c r="AB75" s="18">
        <f ca="1">IF($A75="","",SUMIFS('Current Char Stats'!$Z$4:$Z$273,'Current Char Stats'!$B$4:$B$273,$A75))</f>
        <v>0</v>
      </c>
      <c r="AC75" s="18">
        <f ca="1">IF($A75="","",SUMIFS('Current Char Stats'!$AA$4:$AA$273,'Current Char Stats'!$B$4:$B$273,$A75))</f>
        <v>0</v>
      </c>
      <c r="AD75" s="18">
        <f ca="1">IF($A75="","",SUMIFS('Current Char Stats'!$AB$4:$AB$273,'Current Char Stats'!$B$4:$B$273,$A75))</f>
        <v>0</v>
      </c>
      <c r="AE75" s="18">
        <f ca="1">IF($A75="","",SUMIFS('Current Char Stats'!$AC$4:$AC$273,'Current Char Stats'!$B$4:$B$273,$A75))</f>
        <v>0</v>
      </c>
      <c r="AF75" s="18" cm="1">
        <f t="array" aca="1" ref="AF75" ca="1">IF($A75="","",_xlfn.LET(_xlpm.rawIP,SUMPRODUCT(--(Data!$AM$4:$AM$183=$A75),IFERROR(Data!$AN$4:$AN$183,0)),IF(_xlpm.rawIP=0,0,(X75+Z75)/_xlpm.rawIP)))</f>
        <v>0</v>
      </c>
      <c r="AG75" s="18">
        <f ca="1">IF($A75="","",SUMIFS('Current Char Stats'!$AE$4:$AE$273,'Current Char Stats'!$B$4:$B$273,$A75))</f>
        <v>0</v>
      </c>
    </row>
    <row r="80" spans="1:33">
      <c r="A80" s="3" t="s">
        <v>230</v>
      </c>
      <c r="B80" s="3" t="s">
        <v>39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 t="s">
        <v>195</v>
      </c>
      <c r="I80" s="3" t="s">
        <v>196</v>
      </c>
      <c r="J80" s="3" t="s">
        <v>273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 t="s">
        <v>183</v>
      </c>
      <c r="R80" s="18" t="s">
        <v>184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</row>
    <row r="81" spans="1:28">
      <c r="A81" s="88" t="str">
        <f>Data!C4</f>
        <v>Justin</v>
      </c>
      <c r="B81" s="5" t="str">
        <f>Data!D4</f>
        <v>Bowser Jr.</v>
      </c>
      <c r="C81" s="5">
        <f ca="1">SUMIFS(Data!$W$4:$W$273,Data!$T$4:$T$273,A81,Data!$U$4:$U$273,B81)</f>
        <v>0</v>
      </c>
      <c r="D81" s="5">
        <f ca="1">SUMIFS(Data!$Y$4:$Y$273,Data!$T$4:$T$273,A81,Data!$U$4:$U$273,B81)</f>
        <v>0</v>
      </c>
      <c r="E81" s="5">
        <f ca="1">IF(C81=0,0,D81/C81)</f>
        <v>0</v>
      </c>
      <c r="F81" s="5">
        <f ca="1">SUMIFS(Data!$AB$4:$AB$273,Data!$T$4:$T$273,A81,Data!$U$4:$U$273,B81)</f>
        <v>0</v>
      </c>
      <c r="G81" s="5">
        <f ca="1">SUMIFS(Data!$AC$4:$AC$273,Data!$T$4:$T$273,A81,Data!$U$4:$U$273,B81)</f>
        <v>0</v>
      </c>
      <c r="H81" s="5">
        <f ca="1">IF($A81="","",INT(SUMIFS(Data!$AN$4:$AN$183,Data!$AL$4:$AL$183,$A81,Data!$AM$4:$AM$183,$B81))+MOD(ROUND(SUMIFS(Data!$AN$4:$AN$183,Data!$AL$4:$AL$183,$A81,Data!$AM$4:$AM$183,$B81)*3,0),3)/10)</f>
        <v>0</v>
      </c>
      <c r="I81" s="5">
        <f ca="1">SUMIFS(Data!$AQ$4:$AQ$183,Data!$AL$4:$AL$183,A81,Data!$AM$4:$AM$183,B81)</f>
        <v>0</v>
      </c>
      <c r="J81" s="5">
        <f ca="1">IF($A81="","",IF(SUMIFS(Data!$AN$4:$AN$183,Data!$AL$4:$AL$183,$A81,Data!$AM$4:$AM$183,$B81)=0,0,I81*3/SUMIFS(Data!$AN$4:$AN$183,Data!$AL$4:$AL$183,$A81,Data!$AM$4:$AM$183,$B81)))</f>
        <v>0</v>
      </c>
      <c r="K81" s="18">
        <f ca="1">IF($A81="","",SUMIFS('Current Char Stats'!$N$4:$N$273,'Current Char Stats'!$A$4:$A$273,$A81,'Current Char Stats'!$B$4:$B$273,$B81))</f>
        <v>0</v>
      </c>
      <c r="L81" s="18">
        <f ca="1">IF($A81="","",SUMIFS('Current Char Stats'!$O$4:$O$273,'Current Char Stats'!$A$4:$A$273,$A81,'Current Char Stats'!$B$4:$B$273,$B81))</f>
        <v>0</v>
      </c>
      <c r="M81" s="18">
        <f ca="1">IF($A81="","",SUMIFS('Current Char Stats'!$P$4:$P$273,'Current Char Stats'!$A$4:$A$273,$A81,'Current Char Stats'!$B$4:$B$273,$B81))</f>
        <v>0</v>
      </c>
      <c r="N81" s="18">
        <f ca="1">IF($A81="","",SUMIFS('Current Char Stats'!$Q$4:$Q$273,'Current Char Stats'!$A$4:$A$273,$A81,'Current Char Stats'!$B$4:$B$273,$B81))</f>
        <v>0</v>
      </c>
      <c r="O81" s="18">
        <f ca="1">IF($A81="","",SUMIFS('Current Char Stats'!$R$4:$R$273,'Current Char Stats'!$A$4:$A$273,$A81,'Current Char Stats'!$B$4:$B$273,$B81))</f>
        <v>0</v>
      </c>
      <c r="P81" s="18">
        <f ca="1">IF($A81="","",SUMIFS('Current Char Stats'!$S$4:$S$273,'Current Char Stats'!$A$4:$A$273,$A81,'Current Char Stats'!$B$4:$B$273,$B81))</f>
        <v>0</v>
      </c>
      <c r="Q81" s="18">
        <f ca="1">IF($A81="","",SUMIFS('Current Char Stats'!$T$4:$T$273,'Current Char Stats'!$A$4:$A$273,$A81,'Current Char Stats'!$B$4:$B$273,$B81))</f>
        <v>0</v>
      </c>
      <c r="R81" s="18">
        <f ca="1">IF($A81="","",SUMIFS('Current Char Stats'!$U$4:$U$273,'Current Char Stats'!$A$4:$A$273,$A81,'Current Char Stats'!$B$4:$B$273,$B81))</f>
        <v>0</v>
      </c>
      <c r="S81" s="18">
        <f ca="1">IF($A81="","",SUMIFS('Current Char Stats'!$V$4:$V$273,'Current Char Stats'!$A$4:$A$273,$A81,'Current Char Stats'!$B$4:$B$273,$B81))</f>
        <v>0</v>
      </c>
      <c r="T81" s="18">
        <f ca="1">IF($A81="","",SUMIFS('Current Char Stats'!$W$4:$W$273,'Current Char Stats'!$A$4:$A$273,$A81,'Current Char Stats'!$B$4:$B$273,$B81))</f>
        <v>0</v>
      </c>
      <c r="U81" s="18">
        <f ca="1">IF($A81="","",SUMIFS('Current Char Stats'!$X$4:$X$273,'Current Char Stats'!$A$4:$A$273,$A81,'Current Char Stats'!$B$4:$B$273,$B81))</f>
        <v>0</v>
      </c>
      <c r="V81" s="18">
        <f ca="1">IF($A81="","",SUMIFS('Current Char Stats'!$Y$4:$Y$273,'Current Char Stats'!$A$4:$A$273,$A81,'Current Char Stats'!$B$4:$B$273,$B81))</f>
        <v>0</v>
      </c>
      <c r="W81" s="18">
        <f ca="1">IF($A81="","",SUMIFS('Current Char Stats'!$Z$4:$Z$273,'Current Char Stats'!$A$4:$A$273,$A81,'Current Char Stats'!$B$4:$B$273,$B81))</f>
        <v>0</v>
      </c>
      <c r="X81" s="18">
        <f ca="1">IF($A81="","",SUMIFS('Current Char Stats'!$AA$4:$AA$273,'Current Char Stats'!$A$4:$A$273,$A81,'Current Char Stats'!$B$4:$B$273,$B81))</f>
        <v>0</v>
      </c>
      <c r="Y81" s="18">
        <f ca="1">IF($A81="","",SUMIFS('Current Char Stats'!$AB$4:$AB$273,'Current Char Stats'!$A$4:$A$273,$A81,'Current Char Stats'!$B$4:$B$273,$B81))</f>
        <v>0</v>
      </c>
      <c r="Z81" s="18">
        <f ca="1">IF($A81="","",SUMIFS('Current Char Stats'!$AC$4:$AC$273,'Current Char Stats'!$A$4:$A$273,$A81,'Current Char Stats'!$B$4:$B$273,$B81))</f>
        <v>0</v>
      </c>
      <c r="AA81" s="18" cm="1">
        <f t="array" aca="1" ref="AA81" ca="1">IF($A81="","",_xlfn.LET(_xlpm.rawIP,SUMPRODUCT(--(Data!$AL$4:$AL$183=$A81),--(Data!$AM$4:$AM$183=$B81),IFERROR(Data!$AN$4:$AN$183,0)),IF(_xlpm.rawIP=0,0,(S81+U81)/_xlpm.rawIP)))</f>
        <v>0</v>
      </c>
      <c r="AB81" s="18">
        <f ca="1">IF($A81="","",SUMIFS('Current Char Stats'!$AE$4:$AE$273,'Current Char Stats'!$A$4:$A$273,$A81,'Current Char Stats'!$B$4:$B$273,$B81))</f>
        <v>0</v>
      </c>
    </row>
    <row r="82" spans="1:28">
      <c r="A82" s="89" t="str">
        <f>Data!C5</f>
        <v>Donovan</v>
      </c>
      <c r="B82" s="5" t="str">
        <f>Data!D5</f>
        <v>Donkey Kong</v>
      </c>
      <c r="C82" s="5">
        <f ca="1">SUMIFS(Data!$W$4:$W$273,Data!$T$4:$T$273,A82,Data!$U$4:$U$273,B82)</f>
        <v>0</v>
      </c>
      <c r="D82" s="5">
        <f ca="1">SUMIFS(Data!$Y$4:$Y$273,Data!$T$4:$T$273,A82,Data!$U$4:$U$273,B82)</f>
        <v>0</v>
      </c>
      <c r="E82" s="5">
        <f ca="1">IF(C82=0,0,D82/C82)</f>
        <v>0</v>
      </c>
      <c r="F82" s="5">
        <f ca="1">SUMIFS(Data!$AB$4:$AB$273,Data!$T$4:$T$273,A82,Data!$U$4:$U$273,B82)</f>
        <v>0</v>
      </c>
      <c r="G82" s="5">
        <f ca="1">SUMIFS(Data!$AC$4:$AC$273,Data!$T$4:$T$273,A82,Data!$U$4:$U$273,B82)</f>
        <v>0</v>
      </c>
      <c r="H82" s="5">
        <f ca="1">IF($A82="","",INT(SUMIFS(Data!$AN$4:$AN$183,Data!$AL$4:$AL$183,$A82,Data!$AM$4:$AM$183,$B82))+MOD(ROUND(SUMIFS(Data!$AN$4:$AN$183,Data!$AL$4:$AL$183,$A82,Data!$AM$4:$AM$183,$B82)*3,0),3)/10)</f>
        <v>0.1</v>
      </c>
      <c r="I82" s="5">
        <f ca="1">SUMIFS(Data!$AQ$4:$AQ$183,Data!$AL$4:$AL$183,A82,Data!$AM$4:$AM$183,B82)</f>
        <v>0</v>
      </c>
      <c r="J82" s="5">
        <f ca="1">IF($A82="","",IF(SUMIFS(Data!$AN$4:$AN$183,Data!$AL$4:$AL$183,$A82,Data!$AM$4:$AM$183,$B82)=0,0,I82*3/SUMIFS(Data!$AN$4:$AN$183,Data!$AL$4:$AL$183,$A82,Data!$AM$4:$AM$183,$B82)))</f>
        <v>0</v>
      </c>
      <c r="K82" s="18">
        <f ca="1">IF($A82="","",SUMIFS('Current Char Stats'!$N$4:$N$273,'Current Char Stats'!$A$4:$A$273,$A82,'Current Char Stats'!$B$4:$B$273,$B82))</f>
        <v>0</v>
      </c>
      <c r="L82" s="18">
        <f ca="1">IF($A82="","",SUMIFS('Current Char Stats'!$O$4:$O$273,'Current Char Stats'!$A$4:$A$273,$A82,'Current Char Stats'!$B$4:$B$273,$B82))</f>
        <v>0</v>
      </c>
      <c r="M82" s="18">
        <f ca="1">IF($A82="","",SUMIFS('Current Char Stats'!$P$4:$P$273,'Current Char Stats'!$A$4:$A$273,$A82,'Current Char Stats'!$B$4:$B$273,$B82))</f>
        <v>0</v>
      </c>
      <c r="N82" s="18">
        <f ca="1">IF($A82="","",SUMIFS('Current Char Stats'!$Q$4:$Q$273,'Current Char Stats'!$A$4:$A$273,$A82,'Current Char Stats'!$B$4:$B$273,$B82))</f>
        <v>0</v>
      </c>
      <c r="O82" s="18">
        <f ca="1">IF($A82="","",SUMIFS('Current Char Stats'!$R$4:$R$273,'Current Char Stats'!$A$4:$A$273,$A82,'Current Char Stats'!$B$4:$B$273,$B82))</f>
        <v>0</v>
      </c>
      <c r="P82" s="18">
        <f ca="1">IF($A82="","",SUMIFS('Current Char Stats'!$S$4:$S$273,'Current Char Stats'!$A$4:$A$273,$A82,'Current Char Stats'!$B$4:$B$273,$B82))</f>
        <v>0</v>
      </c>
      <c r="Q82" s="18">
        <f ca="1">IF($A82="","",SUMIFS('Current Char Stats'!$T$4:$T$273,'Current Char Stats'!$A$4:$A$273,$A82,'Current Char Stats'!$B$4:$B$273,$B82))</f>
        <v>0</v>
      </c>
      <c r="R82" s="18">
        <f ca="1">IF($A82="","",SUMIFS('Current Char Stats'!$U$4:$U$273,'Current Char Stats'!$A$4:$A$273,$A82,'Current Char Stats'!$B$4:$B$273,$B82))</f>
        <v>0</v>
      </c>
      <c r="S82" s="18">
        <f ca="1">IF($A82="","",SUMIFS('Current Char Stats'!$V$4:$V$273,'Current Char Stats'!$A$4:$A$273,$A82,'Current Char Stats'!$B$4:$B$273,$B82))</f>
        <v>0</v>
      </c>
      <c r="T82" s="18">
        <f ca="1">IF($A82="","",SUMIFS('Current Char Stats'!$W$4:$W$273,'Current Char Stats'!$A$4:$A$273,$A82,'Current Char Stats'!$B$4:$B$273,$B82))</f>
        <v>0</v>
      </c>
      <c r="U82" s="18">
        <f ca="1">IF($A82="","",SUMIFS('Current Char Stats'!$X$4:$X$273,'Current Char Stats'!$A$4:$A$273,$A82,'Current Char Stats'!$B$4:$B$273,$B82))</f>
        <v>0</v>
      </c>
      <c r="V82" s="18">
        <f ca="1">IF($A82="","",SUMIFS('Current Char Stats'!$Y$4:$Y$273,'Current Char Stats'!$A$4:$A$273,$A82,'Current Char Stats'!$B$4:$B$273,$B82))</f>
        <v>0</v>
      </c>
      <c r="W82" s="18">
        <f ca="1">IF($A82="","",SUMIFS('Current Char Stats'!$Z$4:$Z$273,'Current Char Stats'!$A$4:$A$273,$A82,'Current Char Stats'!$B$4:$B$273,$B82))</f>
        <v>0</v>
      </c>
      <c r="X82" s="18">
        <f ca="1">IF($A82="","",SUMIFS('Current Char Stats'!$AA$4:$AA$273,'Current Char Stats'!$A$4:$A$273,$A82,'Current Char Stats'!$B$4:$B$273,$B82))</f>
        <v>0</v>
      </c>
      <c r="Y82" s="18">
        <f ca="1">IF($A82="","",SUMIFS('Current Char Stats'!$AB$4:$AB$273,'Current Char Stats'!$A$4:$A$273,$A82,'Current Char Stats'!$B$4:$B$273,$B82))</f>
        <v>0</v>
      </c>
      <c r="Z82" s="18">
        <f ca="1">IF($A82="","",SUMIFS('Current Char Stats'!$AC$4:$AC$273,'Current Char Stats'!$A$4:$A$273,$A82,'Current Char Stats'!$B$4:$B$273,$B82))</f>
        <v>0</v>
      </c>
      <c r="AA82" s="18" cm="1">
        <f t="array" aca="1" ref="AA82" ca="1">IF($A82="","",_xlfn.LET(_xlpm.rawIP,SUMPRODUCT(--(Data!$AL$4:$AL$183=$A82),--(Data!$AM$4:$AM$183=$B82),IFERROR(Data!$AN$4:$AN$183,0)),IF(_xlpm.rawIP=0,0,(S82+U82)/_xlpm.rawIP)))</f>
        <v>0</v>
      </c>
      <c r="AB82" s="18">
        <f ca="1">IF($A82="","",SUMIFS('Current Char Stats'!$AE$4:$AE$273,'Current Char Stats'!$A$4:$A$273,$A82,'Current Char Stats'!$B$4:$B$273,$B82))</f>
        <v>0</v>
      </c>
    </row>
    <row r="83" spans="1:28">
      <c r="A83" s="90" t="str">
        <f>Data!C6</f>
        <v>Nick</v>
      </c>
      <c r="B83" s="5" t="str">
        <f>Data!D6</f>
        <v>Daisy</v>
      </c>
      <c r="C83" s="5">
        <f ca="1">SUMIFS(Data!$W$4:$W$273,Data!$T$4:$T$273,A83,Data!$U$4:$U$273,B83)</f>
        <v>0</v>
      </c>
      <c r="D83" s="5">
        <f ca="1">SUMIFS(Data!$Y$4:$Y$273,Data!$T$4:$T$273,A83,Data!$U$4:$U$273,B83)</f>
        <v>0</v>
      </c>
      <c r="E83" s="5">
        <f ca="1">IF(C83=0,0,D83/C83)</f>
        <v>0</v>
      </c>
      <c r="F83" s="5">
        <f ca="1">SUMIFS(Data!$AB$4:$AB$273,Data!$T$4:$T$273,A83,Data!$U$4:$U$273,B83)</f>
        <v>0</v>
      </c>
      <c r="G83" s="5">
        <f ca="1">SUMIFS(Data!$AC$4:$AC$273,Data!$T$4:$T$273,A83,Data!$U$4:$U$273,B83)</f>
        <v>0</v>
      </c>
      <c r="H83" s="5">
        <f ca="1">IF($A83="","",INT(SUMIFS(Data!$AN$4:$AN$183,Data!$AL$4:$AL$183,$A83,Data!$AM$4:$AM$183,$B83))+MOD(ROUND(SUMIFS(Data!$AN$4:$AN$183,Data!$AL$4:$AL$183,$A83,Data!$AM$4:$AM$183,$B83)*3,0),3)/10)</f>
        <v>5.2</v>
      </c>
      <c r="I83" s="5">
        <f ca="1">SUMIFS(Data!$AQ$4:$AQ$183,Data!$AL$4:$AL$183,A83,Data!$AM$4:$AM$183,B83)</f>
        <v>0</v>
      </c>
      <c r="J83" s="5">
        <f ca="1">IF($A83="","",IF(SUMIFS(Data!$AN$4:$AN$183,Data!$AL$4:$AL$183,$A83,Data!$AM$4:$AM$183,$B83)=0,0,I83*3/SUMIFS(Data!$AN$4:$AN$183,Data!$AL$4:$AL$183,$A83,Data!$AM$4:$AM$183,$B83)))</f>
        <v>0</v>
      </c>
      <c r="K83" s="18">
        <f ca="1">IF($A83="","",SUMIFS('Current Char Stats'!$N$4:$N$273,'Current Char Stats'!$A$4:$A$273,$A83,'Current Char Stats'!$B$4:$B$273,$B83))</f>
        <v>0</v>
      </c>
      <c r="L83" s="18">
        <f ca="1">IF($A83="","",SUMIFS('Current Char Stats'!$O$4:$O$273,'Current Char Stats'!$A$4:$A$273,$A83,'Current Char Stats'!$B$4:$B$273,$B83))</f>
        <v>0</v>
      </c>
      <c r="M83" s="18">
        <f ca="1">IF($A83="","",SUMIFS('Current Char Stats'!$P$4:$P$273,'Current Char Stats'!$A$4:$A$273,$A83,'Current Char Stats'!$B$4:$B$273,$B83))</f>
        <v>0</v>
      </c>
      <c r="N83" s="18">
        <f ca="1">IF($A83="","",SUMIFS('Current Char Stats'!$Q$4:$Q$273,'Current Char Stats'!$A$4:$A$273,$A83,'Current Char Stats'!$B$4:$B$273,$B83))</f>
        <v>0</v>
      </c>
      <c r="O83" s="18">
        <f ca="1">IF($A83="","",SUMIFS('Current Char Stats'!$R$4:$R$273,'Current Char Stats'!$A$4:$A$273,$A83,'Current Char Stats'!$B$4:$B$273,$B83))</f>
        <v>0</v>
      </c>
      <c r="P83" s="18">
        <f ca="1">IF($A83="","",SUMIFS('Current Char Stats'!$S$4:$S$273,'Current Char Stats'!$A$4:$A$273,$A83,'Current Char Stats'!$B$4:$B$273,$B83))</f>
        <v>0</v>
      </c>
      <c r="Q83" s="18">
        <f ca="1">IF($A83="","",SUMIFS('Current Char Stats'!$T$4:$T$273,'Current Char Stats'!$A$4:$A$273,$A83,'Current Char Stats'!$B$4:$B$273,$B83))</f>
        <v>0</v>
      </c>
      <c r="R83" s="18">
        <f ca="1">IF($A83="","",SUMIFS('Current Char Stats'!$U$4:$U$273,'Current Char Stats'!$A$4:$A$273,$A83,'Current Char Stats'!$B$4:$B$273,$B83))</f>
        <v>0</v>
      </c>
      <c r="S83" s="18">
        <f ca="1">IF($A83="","",SUMIFS('Current Char Stats'!$V$4:$V$273,'Current Char Stats'!$A$4:$A$273,$A83,'Current Char Stats'!$B$4:$B$273,$B83))</f>
        <v>0</v>
      </c>
      <c r="T83" s="18">
        <f ca="1">IF($A83="","",SUMIFS('Current Char Stats'!$W$4:$W$273,'Current Char Stats'!$A$4:$A$273,$A83,'Current Char Stats'!$B$4:$B$273,$B83))</f>
        <v>0</v>
      </c>
      <c r="U83" s="18">
        <f ca="1">IF($A83="","",SUMIFS('Current Char Stats'!$X$4:$X$273,'Current Char Stats'!$A$4:$A$273,$A83,'Current Char Stats'!$B$4:$B$273,$B83))</f>
        <v>0</v>
      </c>
      <c r="V83" s="18">
        <f ca="1">IF($A83="","",SUMIFS('Current Char Stats'!$Y$4:$Y$273,'Current Char Stats'!$A$4:$A$273,$A83,'Current Char Stats'!$B$4:$B$273,$B83))</f>
        <v>0</v>
      </c>
      <c r="W83" s="18">
        <f ca="1">IF($A83="","",SUMIFS('Current Char Stats'!$Z$4:$Z$273,'Current Char Stats'!$A$4:$A$273,$A83,'Current Char Stats'!$B$4:$B$273,$B83))</f>
        <v>0</v>
      </c>
      <c r="X83" s="18">
        <f ca="1">IF($A83="","",SUMIFS('Current Char Stats'!$AA$4:$AA$273,'Current Char Stats'!$A$4:$A$273,$A83,'Current Char Stats'!$B$4:$B$273,$B83))</f>
        <v>0</v>
      </c>
      <c r="Y83" s="18">
        <f ca="1">IF($A83="","",SUMIFS('Current Char Stats'!$AB$4:$AB$273,'Current Char Stats'!$A$4:$A$273,$A83,'Current Char Stats'!$B$4:$B$273,$B83))</f>
        <v>0</v>
      </c>
      <c r="Z83" s="18">
        <f ca="1">IF($A83="","",SUMIFS('Current Char Stats'!$AC$4:$AC$273,'Current Char Stats'!$A$4:$A$273,$A83,'Current Char Stats'!$B$4:$B$273,$B83))</f>
        <v>0</v>
      </c>
      <c r="AA83" s="18" cm="1">
        <f t="array" aca="1" ref="AA83" ca="1">IF($A83="","",_xlfn.LET(_xlpm.rawIP,SUMPRODUCT(--(Data!$AL$4:$AL$183=$A83),--(Data!$AM$4:$AM$183=$B83),IFERROR(Data!$AN$4:$AN$183,0)),IF(_xlpm.rawIP=0,0,(S83+U83)/_xlpm.rawIP)))</f>
        <v>0</v>
      </c>
      <c r="AB83" s="18">
        <f ca="1">IF($A83="","",SUMIFS('Current Char Stats'!$AE$4:$AE$273,'Current Char Stats'!$A$4:$A$273,$A83,'Current Char Stats'!$B$4:$B$273,$B83))</f>
        <v>0</v>
      </c>
    </row>
    <row r="84" spans="1:28">
      <c r="A84" s="92" t="str">
        <f>Data!C7</f>
        <v>Aidan</v>
      </c>
      <c r="B84" s="5" t="str">
        <f>Data!D7</f>
        <v>Mario</v>
      </c>
      <c r="C84" s="5">
        <f ca="1">SUMIFS(Data!$W$4:$W$273,Data!$T$4:$T$273,A84,Data!$U$4:$U$273,B84)</f>
        <v>0</v>
      </c>
      <c r="D84" s="5">
        <f ca="1">SUMIFS(Data!$Y$4:$Y$273,Data!$T$4:$T$273,A84,Data!$U$4:$U$273,B84)</f>
        <v>0</v>
      </c>
      <c r="E84" s="5">
        <f ca="1">IF(C84=0,0,D84/C84)</f>
        <v>0</v>
      </c>
      <c r="F84" s="5">
        <f ca="1">SUMIFS(Data!$AB$4:$AB$273,Data!$T$4:$T$273,A84,Data!$U$4:$U$273,B84)</f>
        <v>0</v>
      </c>
      <c r="G84" s="5">
        <f ca="1">SUMIFS(Data!$AC$4:$AC$273,Data!$T$4:$T$273,A84,Data!$U$4:$U$273,B84)</f>
        <v>0</v>
      </c>
      <c r="H84" s="5">
        <f ca="1">IF($A84="","",INT(SUMIFS(Data!$AN$4:$AN$183,Data!$AL$4:$AL$183,$A84,Data!$AM$4:$AM$183,$B84))+MOD(ROUND(SUMIFS(Data!$AN$4:$AN$183,Data!$AL$4:$AL$183,$A84,Data!$AM$4:$AM$183,$B84)*3,0),3)/10)</f>
        <v>0</v>
      </c>
      <c r="I84" s="5">
        <f ca="1">SUMIFS(Data!$AQ$4:$AQ$183,Data!$AL$4:$AL$183,A84,Data!$AM$4:$AM$183,B84)</f>
        <v>0</v>
      </c>
      <c r="J84" s="5">
        <f ca="1">IF($A84="","",IF(SUMIFS(Data!$AN$4:$AN$183,Data!$AL$4:$AL$183,$A84,Data!$AM$4:$AM$183,$B84)=0,0,I84*3/SUMIFS(Data!$AN$4:$AN$183,Data!$AL$4:$AL$183,$A84,Data!$AM$4:$AM$183,$B84)))</f>
        <v>0</v>
      </c>
      <c r="K84" s="18">
        <f ca="1">IF($A84="","",SUMIFS('Current Char Stats'!$N$4:$N$273,'Current Char Stats'!$A$4:$A$273,$A84,'Current Char Stats'!$B$4:$B$273,$B84))</f>
        <v>0</v>
      </c>
      <c r="L84" s="18">
        <f ca="1">IF($A84="","",SUMIFS('Current Char Stats'!$O$4:$O$273,'Current Char Stats'!$A$4:$A$273,$A84,'Current Char Stats'!$B$4:$B$273,$B84))</f>
        <v>0</v>
      </c>
      <c r="M84" s="18">
        <f ca="1">IF($A84="","",SUMIFS('Current Char Stats'!$P$4:$P$273,'Current Char Stats'!$A$4:$A$273,$A84,'Current Char Stats'!$B$4:$B$273,$B84))</f>
        <v>0</v>
      </c>
      <c r="N84" s="18">
        <f ca="1">IF($A84="","",SUMIFS('Current Char Stats'!$Q$4:$Q$273,'Current Char Stats'!$A$4:$A$273,$A84,'Current Char Stats'!$B$4:$B$273,$B84))</f>
        <v>0</v>
      </c>
      <c r="O84" s="18">
        <f ca="1">IF($A84="","",SUMIFS('Current Char Stats'!$R$4:$R$273,'Current Char Stats'!$A$4:$A$273,$A84,'Current Char Stats'!$B$4:$B$273,$B84))</f>
        <v>0</v>
      </c>
      <c r="P84" s="18">
        <f ca="1">IF($A84="","",SUMIFS('Current Char Stats'!$S$4:$S$273,'Current Char Stats'!$A$4:$A$273,$A84,'Current Char Stats'!$B$4:$B$273,$B84))</f>
        <v>0</v>
      </c>
      <c r="Q84" s="18">
        <f ca="1">IF($A84="","",SUMIFS('Current Char Stats'!$T$4:$T$273,'Current Char Stats'!$A$4:$A$273,$A84,'Current Char Stats'!$B$4:$B$273,$B84))</f>
        <v>0</v>
      </c>
      <c r="R84" s="18">
        <f ca="1">IF($A84="","",SUMIFS('Current Char Stats'!$U$4:$U$273,'Current Char Stats'!$A$4:$A$273,$A84,'Current Char Stats'!$B$4:$B$273,$B84))</f>
        <v>0</v>
      </c>
      <c r="S84" s="18">
        <f ca="1">IF($A84="","",SUMIFS('Current Char Stats'!$V$4:$V$273,'Current Char Stats'!$A$4:$A$273,$A84,'Current Char Stats'!$B$4:$B$273,$B84))</f>
        <v>0</v>
      </c>
      <c r="T84" s="18">
        <f ca="1">IF($A84="","",SUMIFS('Current Char Stats'!$W$4:$W$273,'Current Char Stats'!$A$4:$A$273,$A84,'Current Char Stats'!$B$4:$B$273,$B84))</f>
        <v>0</v>
      </c>
      <c r="U84" s="18">
        <f ca="1">IF($A84="","",SUMIFS('Current Char Stats'!$X$4:$X$273,'Current Char Stats'!$A$4:$A$273,$A84,'Current Char Stats'!$B$4:$B$273,$B84))</f>
        <v>0</v>
      </c>
      <c r="V84" s="18">
        <f ca="1">IF($A84="","",SUMIFS('Current Char Stats'!$Y$4:$Y$273,'Current Char Stats'!$A$4:$A$273,$A84,'Current Char Stats'!$B$4:$B$273,$B84))</f>
        <v>0</v>
      </c>
      <c r="W84" s="18">
        <f ca="1">IF($A84="","",SUMIFS('Current Char Stats'!$Z$4:$Z$273,'Current Char Stats'!$A$4:$A$273,$A84,'Current Char Stats'!$B$4:$B$273,$B84))</f>
        <v>0</v>
      </c>
      <c r="X84" s="18">
        <f ca="1">IF($A84="","",SUMIFS('Current Char Stats'!$AA$4:$AA$273,'Current Char Stats'!$A$4:$A$273,$A84,'Current Char Stats'!$B$4:$B$273,$B84))</f>
        <v>0</v>
      </c>
      <c r="Y84" s="18">
        <f ca="1">IF($A84="","",SUMIFS('Current Char Stats'!$AB$4:$AB$273,'Current Char Stats'!$A$4:$A$273,$A84,'Current Char Stats'!$B$4:$B$273,$B84))</f>
        <v>0</v>
      </c>
      <c r="Z84" s="18">
        <f ca="1">IF($A84="","",SUMIFS('Current Char Stats'!$AC$4:$AC$273,'Current Char Stats'!$A$4:$A$273,$A84,'Current Char Stats'!$B$4:$B$273,$B84))</f>
        <v>0</v>
      </c>
      <c r="AA84" s="18" cm="1">
        <f t="array" aca="1" ref="AA84" ca="1">IF($A84="","",_xlfn.LET(_xlpm.rawIP,SUMPRODUCT(--(Data!$AL$4:$AL$183=$A84),--(Data!$AM$4:$AM$183=$B84),IFERROR(Data!$AN$4:$AN$183,0)),IF(_xlpm.rawIP=0,0,(S84+U84)/_xlpm.rawIP)))</f>
        <v>0</v>
      </c>
      <c r="AB84" s="18">
        <f ca="1">IF($A84="","",SUMIFS('Current Char Stats'!$AE$4:$AE$273,'Current Char Stats'!$A$4:$A$273,$A84,'Current Char Stats'!$B$4:$B$273,$B84))</f>
        <v>0</v>
      </c>
    </row>
    <row r="85" spans="1:28">
      <c r="A85" s="93" t="str">
        <f>Data!C8</f>
        <v>Jason</v>
      </c>
      <c r="B85" s="5" t="str">
        <f>Data!D8</f>
        <v>Bowser</v>
      </c>
      <c r="C85" s="5">
        <f ca="1">SUMIFS(Data!$W$4:$W$273,Data!$T$4:$T$273,A85,Data!$U$4:$U$273,B85)</f>
        <v>0</v>
      </c>
      <c r="D85" s="5">
        <f ca="1">SUMIFS(Data!$Y$4:$Y$273,Data!$T$4:$T$273,A85,Data!$U$4:$U$273,B85)</f>
        <v>0</v>
      </c>
      <c r="E85" s="5">
        <f ca="1">IF(C85=0,0,D85/C85)</f>
        <v>0</v>
      </c>
      <c r="F85" s="5">
        <f ca="1">SUMIFS(Data!$AB$4:$AB$273,Data!$T$4:$T$273,A85,Data!$U$4:$U$273,B85)</f>
        <v>0</v>
      </c>
      <c r="G85" s="5">
        <f ca="1">SUMIFS(Data!$AC$4:$AC$273,Data!$T$4:$T$273,A85,Data!$U$4:$U$273,B85)</f>
        <v>0</v>
      </c>
      <c r="H85" s="5">
        <f ca="1">IF($A85="","",INT(SUMIFS(Data!$AN$4:$AN$183,Data!$AL$4:$AL$183,$A85,Data!$AM$4:$AM$183,$B85))+MOD(ROUND(SUMIFS(Data!$AN$4:$AN$183,Data!$AL$4:$AL$183,$A85,Data!$AM$4:$AM$183,$B85)*3,0),3)/10)</f>
        <v>0</v>
      </c>
      <c r="I85" s="5">
        <f ca="1">SUMIFS(Data!$AQ$4:$AQ$183,Data!$AL$4:$AL$183,A85,Data!$AM$4:$AM$183,B85)</f>
        <v>0</v>
      </c>
      <c r="J85" s="5">
        <f ca="1">IF($A85="","",IF(SUMIFS(Data!$AN$4:$AN$183,Data!$AL$4:$AL$183,$A85,Data!$AM$4:$AM$183,$B85)=0,0,I85*3/SUMIFS(Data!$AN$4:$AN$183,Data!$AL$4:$AL$183,$A85,Data!$AM$4:$AM$183,$B85)))</f>
        <v>0</v>
      </c>
      <c r="K85" s="18">
        <f ca="1">IF($A85="","",SUMIFS('Current Char Stats'!$N$4:$N$273,'Current Char Stats'!$A$4:$A$273,$A85,'Current Char Stats'!$B$4:$B$273,$B85))</f>
        <v>0</v>
      </c>
      <c r="L85" s="18">
        <f ca="1">IF($A85="","",SUMIFS('Current Char Stats'!$O$4:$O$273,'Current Char Stats'!$A$4:$A$273,$A85,'Current Char Stats'!$B$4:$B$273,$B85))</f>
        <v>0</v>
      </c>
      <c r="M85" s="18">
        <f ca="1">IF($A85="","",SUMIFS('Current Char Stats'!$P$4:$P$273,'Current Char Stats'!$A$4:$A$273,$A85,'Current Char Stats'!$B$4:$B$273,$B85))</f>
        <v>0</v>
      </c>
      <c r="N85" s="18">
        <f ca="1">IF($A85="","",SUMIFS('Current Char Stats'!$Q$4:$Q$273,'Current Char Stats'!$A$4:$A$273,$A85,'Current Char Stats'!$B$4:$B$273,$B85))</f>
        <v>0</v>
      </c>
      <c r="O85" s="18">
        <f ca="1">IF($A85="","",SUMIFS('Current Char Stats'!$R$4:$R$273,'Current Char Stats'!$A$4:$A$273,$A85,'Current Char Stats'!$B$4:$B$273,$B85))</f>
        <v>0</v>
      </c>
      <c r="P85" s="18">
        <f ca="1">IF($A85="","",SUMIFS('Current Char Stats'!$S$4:$S$273,'Current Char Stats'!$A$4:$A$273,$A85,'Current Char Stats'!$B$4:$B$273,$B85))</f>
        <v>0</v>
      </c>
      <c r="Q85" s="18">
        <f ca="1">IF($A85="","",SUMIFS('Current Char Stats'!$T$4:$T$273,'Current Char Stats'!$A$4:$A$273,$A85,'Current Char Stats'!$B$4:$B$273,$B85))</f>
        <v>0</v>
      </c>
      <c r="R85" s="18">
        <f ca="1">IF($A85="","",SUMIFS('Current Char Stats'!$U$4:$U$273,'Current Char Stats'!$A$4:$A$273,$A85,'Current Char Stats'!$B$4:$B$273,$B85))</f>
        <v>0</v>
      </c>
      <c r="S85" s="18">
        <f ca="1">IF($A85="","",SUMIFS('Current Char Stats'!$V$4:$V$273,'Current Char Stats'!$A$4:$A$273,$A85,'Current Char Stats'!$B$4:$B$273,$B85))</f>
        <v>0</v>
      </c>
      <c r="T85" s="18">
        <f ca="1">IF($A85="","",SUMIFS('Current Char Stats'!$W$4:$W$273,'Current Char Stats'!$A$4:$A$273,$A85,'Current Char Stats'!$B$4:$B$273,$B85))</f>
        <v>0</v>
      </c>
      <c r="U85" s="18">
        <f ca="1">IF($A85="","",SUMIFS('Current Char Stats'!$X$4:$X$273,'Current Char Stats'!$A$4:$A$273,$A85,'Current Char Stats'!$B$4:$B$273,$B85))</f>
        <v>0</v>
      </c>
      <c r="V85" s="18">
        <f ca="1">IF($A85="","",SUMIFS('Current Char Stats'!$Y$4:$Y$273,'Current Char Stats'!$A$4:$A$273,$A85,'Current Char Stats'!$B$4:$B$273,$B85))</f>
        <v>0</v>
      </c>
      <c r="W85" s="18">
        <f ca="1">IF($A85="","",SUMIFS('Current Char Stats'!$Z$4:$Z$273,'Current Char Stats'!$A$4:$A$273,$A85,'Current Char Stats'!$B$4:$B$273,$B85))</f>
        <v>0</v>
      </c>
      <c r="X85" s="18">
        <f ca="1">IF($A85="","",SUMIFS('Current Char Stats'!$AA$4:$AA$273,'Current Char Stats'!$A$4:$A$273,$A85,'Current Char Stats'!$B$4:$B$273,$B85))</f>
        <v>0</v>
      </c>
      <c r="Y85" s="18">
        <f ca="1">IF($A85="","",SUMIFS('Current Char Stats'!$AB$4:$AB$273,'Current Char Stats'!$A$4:$A$273,$A85,'Current Char Stats'!$B$4:$B$273,$B85))</f>
        <v>0</v>
      </c>
      <c r="Z85" s="18">
        <f ca="1">IF($A85="","",SUMIFS('Current Char Stats'!$AC$4:$AC$273,'Current Char Stats'!$A$4:$A$273,$A85,'Current Char Stats'!$B$4:$B$273,$B85))</f>
        <v>0</v>
      </c>
      <c r="AA85" s="18" cm="1">
        <f t="array" aca="1" ref="AA85" ca="1">IF($A85="","",_xlfn.LET(_xlpm.rawIP,SUMPRODUCT(--(Data!$AL$4:$AL$183=$A85),--(Data!$AM$4:$AM$183=$B85),IFERROR(Data!$AN$4:$AN$183,0)),IF(_xlpm.rawIP=0,0,(S85+U85)/_xlpm.rawIP)))</f>
        <v>0</v>
      </c>
      <c r="AB85" s="18">
        <f ca="1">IF($A85="","",SUMIFS('Current Char Stats'!$AE$4:$AE$273,'Current Char Stats'!$A$4:$A$273,$A85,'Current Char Stats'!$B$4:$B$273,$B85))</f>
        <v>0</v>
      </c>
    </row>
    <row r="86" spans="1:28">
      <c r="A86" s="95" t="str">
        <f>Data!C9</f>
        <v>May</v>
      </c>
      <c r="B86" s="5" t="str">
        <f>Data!D9</f>
        <v>Birdo</v>
      </c>
      <c r="C86" s="5">
        <f ca="1">SUMIFS(Data!$W$4:$W$273,Data!$T$4:$T$273,A86,Data!$U$4:$U$273,B86)</f>
        <v>0</v>
      </c>
      <c r="D86" s="5">
        <f ca="1">SUMIFS(Data!$Y$4:$Y$273,Data!$T$4:$T$273,A86,Data!$U$4:$U$273,B86)</f>
        <v>0</v>
      </c>
      <c r="E86" s="5">
        <f ca="1">IF(C86=0,0,D86/C86)</f>
        <v>0</v>
      </c>
      <c r="F86" s="5">
        <f ca="1">SUMIFS(Data!$AB$4:$AB$273,Data!$T$4:$T$273,A86,Data!$U$4:$U$273,B86)</f>
        <v>0</v>
      </c>
      <c r="G86" s="5">
        <f ca="1">SUMIFS(Data!$AC$4:$AC$273,Data!$T$4:$T$273,A86,Data!$U$4:$U$273,B86)</f>
        <v>0</v>
      </c>
      <c r="H86" s="5">
        <f ca="1">IF($A86="","",INT(SUMIFS(Data!$AN$4:$AN$183,Data!$AL$4:$AL$183,$A86,Data!$AM$4:$AM$183,$B86))+MOD(ROUND(SUMIFS(Data!$AN$4:$AN$183,Data!$AL$4:$AL$183,$A86,Data!$AM$4:$AM$183,$B86)*3,0),3)/10)</f>
        <v>0</v>
      </c>
      <c r="I86" s="5">
        <f ca="1">SUMIFS(Data!$AQ$4:$AQ$183,Data!$AL$4:$AL$183,A86,Data!$AM$4:$AM$183,B86)</f>
        <v>0</v>
      </c>
      <c r="J86" s="5">
        <f ca="1">IF($A86="","",IF(SUMIFS(Data!$AN$4:$AN$183,Data!$AL$4:$AL$183,$A86,Data!$AM$4:$AM$183,$B86)=0,0,I86*3/SUMIFS(Data!$AN$4:$AN$183,Data!$AL$4:$AL$183,$A86,Data!$AM$4:$AM$183,$B86)))</f>
        <v>0</v>
      </c>
      <c r="K86" s="18">
        <f ca="1">IF($A86="","",SUMIFS('Current Char Stats'!$N$4:$N$273,'Current Char Stats'!$A$4:$A$273,$A86,'Current Char Stats'!$B$4:$B$273,$B86))</f>
        <v>0</v>
      </c>
      <c r="L86" s="18">
        <f ca="1">IF($A86="","",SUMIFS('Current Char Stats'!$O$4:$O$273,'Current Char Stats'!$A$4:$A$273,$A86,'Current Char Stats'!$B$4:$B$273,$B86))</f>
        <v>0</v>
      </c>
      <c r="M86" s="18">
        <f ca="1">IF($A86="","",SUMIFS('Current Char Stats'!$P$4:$P$273,'Current Char Stats'!$A$4:$A$273,$A86,'Current Char Stats'!$B$4:$B$273,$B86))</f>
        <v>0</v>
      </c>
      <c r="N86" s="18">
        <f ca="1">IF($A86="","",SUMIFS('Current Char Stats'!$Q$4:$Q$273,'Current Char Stats'!$A$4:$A$273,$A86,'Current Char Stats'!$B$4:$B$273,$B86))</f>
        <v>0</v>
      </c>
      <c r="O86" s="18">
        <f ca="1">IF($A86="","",SUMIFS('Current Char Stats'!$R$4:$R$273,'Current Char Stats'!$A$4:$A$273,$A86,'Current Char Stats'!$B$4:$B$273,$B86))</f>
        <v>0</v>
      </c>
      <c r="P86" s="18">
        <f ca="1">IF($A86="","",SUMIFS('Current Char Stats'!$S$4:$S$273,'Current Char Stats'!$A$4:$A$273,$A86,'Current Char Stats'!$B$4:$B$273,$B86))</f>
        <v>0</v>
      </c>
      <c r="Q86" s="18">
        <f ca="1">IF($A86="","",SUMIFS('Current Char Stats'!$T$4:$T$273,'Current Char Stats'!$A$4:$A$273,$A86,'Current Char Stats'!$B$4:$B$273,$B86))</f>
        <v>0</v>
      </c>
      <c r="R86" s="18">
        <f ca="1">IF($A86="","",SUMIFS('Current Char Stats'!$U$4:$U$273,'Current Char Stats'!$A$4:$A$273,$A86,'Current Char Stats'!$B$4:$B$273,$B86))</f>
        <v>0</v>
      </c>
      <c r="S86" s="18">
        <f ca="1">IF($A86="","",SUMIFS('Current Char Stats'!$V$4:$V$273,'Current Char Stats'!$A$4:$A$273,$A86,'Current Char Stats'!$B$4:$B$273,$B86))</f>
        <v>0</v>
      </c>
      <c r="T86" s="18">
        <f ca="1">IF($A86="","",SUMIFS('Current Char Stats'!$W$4:$W$273,'Current Char Stats'!$A$4:$A$273,$A86,'Current Char Stats'!$B$4:$B$273,$B86))</f>
        <v>0</v>
      </c>
      <c r="U86" s="18">
        <f ca="1">IF($A86="","",SUMIFS('Current Char Stats'!$X$4:$X$273,'Current Char Stats'!$A$4:$A$273,$A86,'Current Char Stats'!$B$4:$B$273,$B86))</f>
        <v>0</v>
      </c>
      <c r="V86" s="18">
        <f ca="1">IF($A86="","",SUMIFS('Current Char Stats'!$Y$4:$Y$273,'Current Char Stats'!$A$4:$A$273,$A86,'Current Char Stats'!$B$4:$B$273,$B86))</f>
        <v>0</v>
      </c>
      <c r="W86" s="18">
        <f ca="1">IF($A86="","",SUMIFS('Current Char Stats'!$Z$4:$Z$273,'Current Char Stats'!$A$4:$A$273,$A86,'Current Char Stats'!$B$4:$B$273,$B86))</f>
        <v>0</v>
      </c>
      <c r="X86" s="18">
        <f ca="1">IF($A86="","",SUMIFS('Current Char Stats'!$AA$4:$AA$273,'Current Char Stats'!$A$4:$A$273,$A86,'Current Char Stats'!$B$4:$B$273,$B86))</f>
        <v>0</v>
      </c>
      <c r="Y86" s="18">
        <f ca="1">IF($A86="","",SUMIFS('Current Char Stats'!$AB$4:$AB$273,'Current Char Stats'!$A$4:$A$273,$A86,'Current Char Stats'!$B$4:$B$273,$B86))</f>
        <v>0</v>
      </c>
      <c r="Z86" s="18">
        <f ca="1">IF($A86="","",SUMIFS('Current Char Stats'!$AC$4:$AC$273,'Current Char Stats'!$A$4:$A$273,$A86,'Current Char Stats'!$B$4:$B$273,$B86))</f>
        <v>0</v>
      </c>
      <c r="AA86" s="18" cm="1">
        <f t="array" aca="1" ref="AA86" ca="1">IF($A86="","",_xlfn.LET(_xlpm.rawIP,SUMPRODUCT(--(Data!$AL$4:$AL$183=$A86),--(Data!$AM$4:$AM$183=$B86),IFERROR(Data!$AN$4:$AN$183,0)),IF(_xlpm.rawIP=0,0,(S86+U86)/_xlpm.rawIP)))</f>
        <v>0</v>
      </c>
      <c r="AB86" s="18">
        <f ca="1">IF($A86="","",SUMIFS('Current Char Stats'!$AE$4:$AE$273,'Current Char Stats'!$A$4:$A$273,$A86,'Current Char Stats'!$B$4:$B$273,$B86))</f>
        <v>0</v>
      </c>
    </row>
    <row r="87" spans="1:28">
      <c r="A87" s="95" t="str">
        <f>Data!C10</f>
        <v>May</v>
      </c>
      <c r="B87" s="5" t="str">
        <f>Data!D10</f>
        <v>Petey Piranha</v>
      </c>
      <c r="C87" s="5">
        <f ca="1">SUMIFS(Data!$W$4:$W$273,Data!$T$4:$T$273,A87,Data!$U$4:$U$273,B87)</f>
        <v>0</v>
      </c>
      <c r="D87" s="5">
        <f ca="1">SUMIFS(Data!$Y$4:$Y$273,Data!$T$4:$T$273,A87,Data!$U$4:$U$273,B87)</f>
        <v>0</v>
      </c>
      <c r="E87" s="5">
        <f ca="1">IF(C87=0,0,D87/C87)</f>
        <v>0</v>
      </c>
      <c r="F87" s="5">
        <f ca="1">SUMIFS(Data!$AB$4:$AB$273,Data!$T$4:$T$273,A87,Data!$U$4:$U$273,B87)</f>
        <v>0</v>
      </c>
      <c r="G87" s="5">
        <f ca="1">SUMIFS(Data!$AC$4:$AC$273,Data!$T$4:$T$273,A87,Data!$U$4:$U$273,B87)</f>
        <v>0</v>
      </c>
      <c r="H87" s="5">
        <f ca="1">IF($A87="","",INT(SUMIFS(Data!$AN$4:$AN$183,Data!$AL$4:$AL$183,$A87,Data!$AM$4:$AM$183,$B87))+MOD(ROUND(SUMIFS(Data!$AN$4:$AN$183,Data!$AL$4:$AL$183,$A87,Data!$AM$4:$AM$183,$B87)*3,0),3)/10)</f>
        <v>0</v>
      </c>
      <c r="I87" s="5">
        <f ca="1">SUMIFS(Data!$AQ$4:$AQ$183,Data!$AL$4:$AL$183,A87,Data!$AM$4:$AM$183,B87)</f>
        <v>0</v>
      </c>
      <c r="J87" s="5">
        <f ca="1">IF($A87="","",IF(SUMIFS(Data!$AN$4:$AN$183,Data!$AL$4:$AL$183,$A87,Data!$AM$4:$AM$183,$B87)=0,0,I87*3/SUMIFS(Data!$AN$4:$AN$183,Data!$AL$4:$AL$183,$A87,Data!$AM$4:$AM$183,$B87)))</f>
        <v>0</v>
      </c>
      <c r="K87" s="18">
        <f ca="1">IF($A87="","",SUMIFS('Current Char Stats'!$N$4:$N$273,'Current Char Stats'!$A$4:$A$273,$A87,'Current Char Stats'!$B$4:$B$273,$B87))</f>
        <v>0</v>
      </c>
      <c r="L87" s="18">
        <f ca="1">IF($A87="","",SUMIFS('Current Char Stats'!$O$4:$O$273,'Current Char Stats'!$A$4:$A$273,$A87,'Current Char Stats'!$B$4:$B$273,$B87))</f>
        <v>0</v>
      </c>
      <c r="M87" s="18">
        <f ca="1">IF($A87="","",SUMIFS('Current Char Stats'!$P$4:$P$273,'Current Char Stats'!$A$4:$A$273,$A87,'Current Char Stats'!$B$4:$B$273,$B87))</f>
        <v>0</v>
      </c>
      <c r="N87" s="18">
        <f ca="1">IF($A87="","",SUMIFS('Current Char Stats'!$Q$4:$Q$273,'Current Char Stats'!$A$4:$A$273,$A87,'Current Char Stats'!$B$4:$B$273,$B87))</f>
        <v>0</v>
      </c>
      <c r="O87" s="18">
        <f ca="1">IF($A87="","",SUMIFS('Current Char Stats'!$R$4:$R$273,'Current Char Stats'!$A$4:$A$273,$A87,'Current Char Stats'!$B$4:$B$273,$B87))</f>
        <v>0</v>
      </c>
      <c r="P87" s="18">
        <f ca="1">IF($A87="","",SUMIFS('Current Char Stats'!$S$4:$S$273,'Current Char Stats'!$A$4:$A$273,$A87,'Current Char Stats'!$B$4:$B$273,$B87))</f>
        <v>0</v>
      </c>
      <c r="Q87" s="18">
        <f ca="1">IF($A87="","",SUMIFS('Current Char Stats'!$T$4:$T$273,'Current Char Stats'!$A$4:$A$273,$A87,'Current Char Stats'!$B$4:$B$273,$B87))</f>
        <v>0</v>
      </c>
      <c r="R87" s="18">
        <f ca="1">IF($A87="","",SUMIFS('Current Char Stats'!$U$4:$U$273,'Current Char Stats'!$A$4:$A$273,$A87,'Current Char Stats'!$B$4:$B$273,$B87))</f>
        <v>0</v>
      </c>
      <c r="S87" s="18">
        <f ca="1">IF($A87="","",SUMIFS('Current Char Stats'!$V$4:$V$273,'Current Char Stats'!$A$4:$A$273,$A87,'Current Char Stats'!$B$4:$B$273,$B87))</f>
        <v>0</v>
      </c>
      <c r="T87" s="18">
        <f ca="1">IF($A87="","",SUMIFS('Current Char Stats'!$W$4:$W$273,'Current Char Stats'!$A$4:$A$273,$A87,'Current Char Stats'!$B$4:$B$273,$B87))</f>
        <v>0</v>
      </c>
      <c r="U87" s="18">
        <f ca="1">IF($A87="","",SUMIFS('Current Char Stats'!$X$4:$X$273,'Current Char Stats'!$A$4:$A$273,$A87,'Current Char Stats'!$B$4:$B$273,$B87))</f>
        <v>0</v>
      </c>
      <c r="V87" s="18">
        <f ca="1">IF($A87="","",SUMIFS('Current Char Stats'!$Y$4:$Y$273,'Current Char Stats'!$A$4:$A$273,$A87,'Current Char Stats'!$B$4:$B$273,$B87))</f>
        <v>0</v>
      </c>
      <c r="W87" s="18">
        <f ca="1">IF($A87="","",SUMIFS('Current Char Stats'!$Z$4:$Z$273,'Current Char Stats'!$A$4:$A$273,$A87,'Current Char Stats'!$B$4:$B$273,$B87))</f>
        <v>0</v>
      </c>
      <c r="X87" s="18">
        <f ca="1">IF($A87="","",SUMIFS('Current Char Stats'!$AA$4:$AA$273,'Current Char Stats'!$A$4:$A$273,$A87,'Current Char Stats'!$B$4:$B$273,$B87))</f>
        <v>0</v>
      </c>
      <c r="Y87" s="18">
        <f ca="1">IF($A87="","",SUMIFS('Current Char Stats'!$AB$4:$AB$273,'Current Char Stats'!$A$4:$A$273,$A87,'Current Char Stats'!$B$4:$B$273,$B87))</f>
        <v>0</v>
      </c>
      <c r="Z87" s="18">
        <f ca="1">IF($A87="","",SUMIFS('Current Char Stats'!$AC$4:$AC$273,'Current Char Stats'!$A$4:$A$273,$A87,'Current Char Stats'!$B$4:$B$273,$B87))</f>
        <v>0</v>
      </c>
      <c r="AA87" s="18" cm="1">
        <f t="array" aca="1" ref="AA87" ca="1">IF($A87="","",_xlfn.LET(_xlpm.rawIP,SUMPRODUCT(--(Data!$AL$4:$AL$183=$A87),--(Data!$AM$4:$AM$183=$B87),IFERROR(Data!$AN$4:$AN$183,0)),IF(_xlpm.rawIP=0,0,(S87+U87)/_xlpm.rawIP)))</f>
        <v>0</v>
      </c>
      <c r="AB87" s="18">
        <f ca="1">IF($A87="","",SUMIFS('Current Char Stats'!$AE$4:$AE$273,'Current Char Stats'!$A$4:$A$273,$A87,'Current Char Stats'!$B$4:$B$273,$B87))</f>
        <v>0</v>
      </c>
    </row>
    <row r="88" spans="1:28">
      <c r="A88" s="93" t="str">
        <f>Data!C11</f>
        <v>Jason</v>
      </c>
      <c r="B88" s="5" t="str">
        <f>Data!D11</f>
        <v>Peach</v>
      </c>
      <c r="C88" s="5">
        <f ca="1">SUMIFS(Data!$W$4:$W$273,Data!$T$4:$T$273,A88,Data!$U$4:$U$273,B88)</f>
        <v>0</v>
      </c>
      <c r="D88" s="5">
        <f ca="1">SUMIFS(Data!$Y$4:$Y$273,Data!$T$4:$T$273,A88,Data!$U$4:$U$273,B88)</f>
        <v>0</v>
      </c>
      <c r="E88" s="5">
        <f ca="1">IF(C88=0,0,D88/C88)</f>
        <v>0</v>
      </c>
      <c r="F88" s="5">
        <f ca="1">SUMIFS(Data!$AB$4:$AB$273,Data!$T$4:$T$273,A88,Data!$U$4:$U$273,B88)</f>
        <v>0</v>
      </c>
      <c r="G88" s="5">
        <f ca="1">SUMIFS(Data!$AC$4:$AC$273,Data!$T$4:$T$273,A88,Data!$U$4:$U$273,B88)</f>
        <v>0</v>
      </c>
      <c r="H88" s="5">
        <f ca="1">IF($A88="","",INT(SUMIFS(Data!$AN$4:$AN$183,Data!$AL$4:$AL$183,$A88,Data!$AM$4:$AM$183,$B88))+MOD(ROUND(SUMIFS(Data!$AN$4:$AN$183,Data!$AL$4:$AL$183,$A88,Data!$AM$4:$AM$183,$B88)*3,0),3)/10)</f>
        <v>4</v>
      </c>
      <c r="I88" s="5">
        <f ca="1">SUMIFS(Data!$AQ$4:$AQ$183,Data!$AL$4:$AL$183,A88,Data!$AM$4:$AM$183,B88)</f>
        <v>2</v>
      </c>
      <c r="J88" s="5">
        <f ca="1">IF($A88="","",IF(SUMIFS(Data!$AN$4:$AN$183,Data!$AL$4:$AL$183,$A88,Data!$AM$4:$AM$183,$B88)=0,0,I88*3/SUMIFS(Data!$AN$4:$AN$183,Data!$AL$4:$AL$183,$A88,Data!$AM$4:$AM$183,$B88)))</f>
        <v>4.5</v>
      </c>
      <c r="K88" s="18">
        <f ca="1">IF($A88="","",SUMIFS('Current Char Stats'!$N$4:$N$273,'Current Char Stats'!$A$4:$A$273,$A88,'Current Char Stats'!$B$4:$B$273,$B88))</f>
        <v>0</v>
      </c>
      <c r="L88" s="18">
        <f ca="1">IF($A88="","",SUMIFS('Current Char Stats'!$O$4:$O$273,'Current Char Stats'!$A$4:$A$273,$A88,'Current Char Stats'!$B$4:$B$273,$B88))</f>
        <v>0</v>
      </c>
      <c r="M88" s="18">
        <f ca="1">IF($A88="","",SUMIFS('Current Char Stats'!$P$4:$P$273,'Current Char Stats'!$A$4:$A$273,$A88,'Current Char Stats'!$B$4:$B$273,$B88))</f>
        <v>0</v>
      </c>
      <c r="N88" s="18">
        <f ca="1">IF($A88="","",SUMIFS('Current Char Stats'!$Q$4:$Q$273,'Current Char Stats'!$A$4:$A$273,$A88,'Current Char Stats'!$B$4:$B$273,$B88))</f>
        <v>0</v>
      </c>
      <c r="O88" s="18">
        <f ca="1">IF($A88="","",SUMIFS('Current Char Stats'!$R$4:$R$273,'Current Char Stats'!$A$4:$A$273,$A88,'Current Char Stats'!$B$4:$B$273,$B88))</f>
        <v>0</v>
      </c>
      <c r="P88" s="18">
        <f ca="1">IF($A88="","",SUMIFS('Current Char Stats'!$S$4:$S$273,'Current Char Stats'!$A$4:$A$273,$A88,'Current Char Stats'!$B$4:$B$273,$B88))</f>
        <v>0</v>
      </c>
      <c r="Q88" s="18">
        <f ca="1">IF($A88="","",SUMIFS('Current Char Stats'!$T$4:$T$273,'Current Char Stats'!$A$4:$A$273,$A88,'Current Char Stats'!$B$4:$B$273,$B88))</f>
        <v>0</v>
      </c>
      <c r="R88" s="18">
        <f ca="1">IF($A88="","",SUMIFS('Current Char Stats'!$U$4:$U$273,'Current Char Stats'!$A$4:$A$273,$A88,'Current Char Stats'!$B$4:$B$273,$B88))</f>
        <v>0</v>
      </c>
      <c r="S88" s="18">
        <f ca="1">IF($A88="","",SUMIFS('Current Char Stats'!$V$4:$V$273,'Current Char Stats'!$A$4:$A$273,$A88,'Current Char Stats'!$B$4:$B$273,$B88))</f>
        <v>0</v>
      </c>
      <c r="T88" s="18">
        <f ca="1">IF($A88="","",SUMIFS('Current Char Stats'!$W$4:$W$273,'Current Char Stats'!$A$4:$A$273,$A88,'Current Char Stats'!$B$4:$B$273,$B88))</f>
        <v>0</v>
      </c>
      <c r="U88" s="18">
        <f ca="1">IF($A88="","",SUMIFS('Current Char Stats'!$X$4:$X$273,'Current Char Stats'!$A$4:$A$273,$A88,'Current Char Stats'!$B$4:$B$273,$B88))</f>
        <v>0</v>
      </c>
      <c r="V88" s="18">
        <f ca="1">IF($A88="","",SUMIFS('Current Char Stats'!$Y$4:$Y$273,'Current Char Stats'!$A$4:$A$273,$A88,'Current Char Stats'!$B$4:$B$273,$B88))</f>
        <v>0</v>
      </c>
      <c r="W88" s="18">
        <f ca="1">IF($A88="","",SUMIFS('Current Char Stats'!$Z$4:$Z$273,'Current Char Stats'!$A$4:$A$273,$A88,'Current Char Stats'!$B$4:$B$273,$B88))</f>
        <v>0</v>
      </c>
      <c r="X88" s="18">
        <f ca="1">IF($A88="","",SUMIFS('Current Char Stats'!$AA$4:$AA$273,'Current Char Stats'!$A$4:$A$273,$A88,'Current Char Stats'!$B$4:$B$273,$B88))</f>
        <v>0</v>
      </c>
      <c r="Y88" s="18">
        <f ca="1">IF($A88="","",SUMIFS('Current Char Stats'!$AB$4:$AB$273,'Current Char Stats'!$A$4:$A$273,$A88,'Current Char Stats'!$B$4:$B$273,$B88))</f>
        <v>0</v>
      </c>
      <c r="Z88" s="18">
        <f ca="1">IF($A88="","",SUMIFS('Current Char Stats'!$AC$4:$AC$273,'Current Char Stats'!$A$4:$A$273,$A88,'Current Char Stats'!$B$4:$B$273,$B88))</f>
        <v>0</v>
      </c>
      <c r="AA88" s="18" cm="1">
        <f t="array" aca="1" ref="AA88" ca="1">IF($A88="","",_xlfn.LET(_xlpm.rawIP,SUMPRODUCT(--(Data!$AL$4:$AL$183=$A88),--(Data!$AM$4:$AM$183=$B88),IFERROR(Data!$AN$4:$AN$183,0)),IF(_xlpm.rawIP=0,0,(S88+U88)/_xlpm.rawIP)))</f>
        <v>0</v>
      </c>
      <c r="AB88" s="18">
        <f ca="1">IF($A88="","",SUMIFS('Current Char Stats'!$AE$4:$AE$273,'Current Char Stats'!$A$4:$A$273,$A88,'Current Char Stats'!$B$4:$B$273,$B88))</f>
        <v>0</v>
      </c>
    </row>
    <row r="89" spans="1:28">
      <c r="A89" s="92" t="str">
        <f>Data!C12</f>
        <v>Aidan</v>
      </c>
      <c r="B89" s="5" t="str">
        <f>Data!D12</f>
        <v>Luigi</v>
      </c>
      <c r="C89" s="5">
        <f ca="1">SUMIFS(Data!$W$4:$W$273,Data!$T$4:$T$273,A89,Data!$U$4:$U$273,B89)</f>
        <v>0</v>
      </c>
      <c r="D89" s="5">
        <f ca="1">SUMIFS(Data!$Y$4:$Y$273,Data!$T$4:$T$273,A89,Data!$U$4:$U$273,B89)</f>
        <v>0</v>
      </c>
      <c r="E89" s="5">
        <f ca="1">IF(C89=0,0,D89/C89)</f>
        <v>0</v>
      </c>
      <c r="F89" s="5">
        <f ca="1">SUMIFS(Data!$AB$4:$AB$273,Data!$T$4:$T$273,A89,Data!$U$4:$U$273,B89)</f>
        <v>0</v>
      </c>
      <c r="G89" s="5">
        <f ca="1">SUMIFS(Data!$AC$4:$AC$273,Data!$T$4:$T$273,A89,Data!$U$4:$U$273,B89)</f>
        <v>0</v>
      </c>
      <c r="H89" s="5">
        <f ca="1">IF($A89="","",INT(SUMIFS(Data!$AN$4:$AN$183,Data!$AL$4:$AL$183,$A89,Data!$AM$4:$AM$183,$B89))+MOD(ROUND(SUMIFS(Data!$AN$4:$AN$183,Data!$AL$4:$AL$183,$A89,Data!$AM$4:$AM$183,$B89)*3,0),3)/10)</f>
        <v>0</v>
      </c>
      <c r="I89" s="5">
        <f ca="1">SUMIFS(Data!$AQ$4:$AQ$183,Data!$AL$4:$AL$183,A89,Data!$AM$4:$AM$183,B89)</f>
        <v>0</v>
      </c>
      <c r="J89" s="5">
        <f ca="1">IF($A89="","",IF(SUMIFS(Data!$AN$4:$AN$183,Data!$AL$4:$AL$183,$A89,Data!$AM$4:$AM$183,$B89)=0,0,I89*3/SUMIFS(Data!$AN$4:$AN$183,Data!$AL$4:$AL$183,$A89,Data!$AM$4:$AM$183,$B89)))</f>
        <v>0</v>
      </c>
      <c r="K89" s="18">
        <f ca="1">IF($A89="","",SUMIFS('Current Char Stats'!$N$4:$N$273,'Current Char Stats'!$A$4:$A$273,$A89,'Current Char Stats'!$B$4:$B$273,$B89))</f>
        <v>0</v>
      </c>
      <c r="L89" s="18">
        <f ca="1">IF($A89="","",SUMIFS('Current Char Stats'!$O$4:$O$273,'Current Char Stats'!$A$4:$A$273,$A89,'Current Char Stats'!$B$4:$B$273,$B89))</f>
        <v>0</v>
      </c>
      <c r="M89" s="18">
        <f ca="1">IF($A89="","",SUMIFS('Current Char Stats'!$P$4:$P$273,'Current Char Stats'!$A$4:$A$273,$A89,'Current Char Stats'!$B$4:$B$273,$B89))</f>
        <v>0</v>
      </c>
      <c r="N89" s="18">
        <f ca="1">IF($A89="","",SUMIFS('Current Char Stats'!$Q$4:$Q$273,'Current Char Stats'!$A$4:$A$273,$A89,'Current Char Stats'!$B$4:$B$273,$B89))</f>
        <v>0</v>
      </c>
      <c r="O89" s="18">
        <f ca="1">IF($A89="","",SUMIFS('Current Char Stats'!$R$4:$R$273,'Current Char Stats'!$A$4:$A$273,$A89,'Current Char Stats'!$B$4:$B$273,$B89))</f>
        <v>0</v>
      </c>
      <c r="P89" s="18">
        <f ca="1">IF($A89="","",SUMIFS('Current Char Stats'!$S$4:$S$273,'Current Char Stats'!$A$4:$A$273,$A89,'Current Char Stats'!$B$4:$B$273,$B89))</f>
        <v>0</v>
      </c>
      <c r="Q89" s="18">
        <f ca="1">IF($A89="","",SUMIFS('Current Char Stats'!$T$4:$T$273,'Current Char Stats'!$A$4:$A$273,$A89,'Current Char Stats'!$B$4:$B$273,$B89))</f>
        <v>0</v>
      </c>
      <c r="R89" s="18">
        <f ca="1">IF($A89="","",SUMIFS('Current Char Stats'!$U$4:$U$273,'Current Char Stats'!$A$4:$A$273,$A89,'Current Char Stats'!$B$4:$B$273,$B89))</f>
        <v>0</v>
      </c>
      <c r="S89" s="18">
        <f ca="1">IF($A89="","",SUMIFS('Current Char Stats'!$V$4:$V$273,'Current Char Stats'!$A$4:$A$273,$A89,'Current Char Stats'!$B$4:$B$273,$B89))</f>
        <v>0</v>
      </c>
      <c r="T89" s="18">
        <f ca="1">IF($A89="","",SUMIFS('Current Char Stats'!$W$4:$W$273,'Current Char Stats'!$A$4:$A$273,$A89,'Current Char Stats'!$B$4:$B$273,$B89))</f>
        <v>0</v>
      </c>
      <c r="U89" s="18">
        <f ca="1">IF($A89="","",SUMIFS('Current Char Stats'!$X$4:$X$273,'Current Char Stats'!$A$4:$A$273,$A89,'Current Char Stats'!$B$4:$B$273,$B89))</f>
        <v>0</v>
      </c>
      <c r="V89" s="18">
        <f ca="1">IF($A89="","",SUMIFS('Current Char Stats'!$Y$4:$Y$273,'Current Char Stats'!$A$4:$A$273,$A89,'Current Char Stats'!$B$4:$B$273,$B89))</f>
        <v>0</v>
      </c>
      <c r="W89" s="18">
        <f ca="1">IF($A89="","",SUMIFS('Current Char Stats'!$Z$4:$Z$273,'Current Char Stats'!$A$4:$A$273,$A89,'Current Char Stats'!$B$4:$B$273,$B89))</f>
        <v>0</v>
      </c>
      <c r="X89" s="18">
        <f ca="1">IF($A89="","",SUMIFS('Current Char Stats'!$AA$4:$AA$273,'Current Char Stats'!$A$4:$A$273,$A89,'Current Char Stats'!$B$4:$B$273,$B89))</f>
        <v>0</v>
      </c>
      <c r="Y89" s="18">
        <f ca="1">IF($A89="","",SUMIFS('Current Char Stats'!$AB$4:$AB$273,'Current Char Stats'!$A$4:$A$273,$A89,'Current Char Stats'!$B$4:$B$273,$B89))</f>
        <v>0</v>
      </c>
      <c r="Z89" s="18">
        <f ca="1">IF($A89="","",SUMIFS('Current Char Stats'!$AC$4:$AC$273,'Current Char Stats'!$A$4:$A$273,$A89,'Current Char Stats'!$B$4:$B$273,$B89))</f>
        <v>0</v>
      </c>
      <c r="AA89" s="18" cm="1">
        <f t="array" aca="1" ref="AA89" ca="1">IF($A89="","",_xlfn.LET(_xlpm.rawIP,SUMPRODUCT(--(Data!$AL$4:$AL$183=$A89),--(Data!$AM$4:$AM$183=$B89),IFERROR(Data!$AN$4:$AN$183,0)),IF(_xlpm.rawIP=0,0,(S89+U89)/_xlpm.rawIP)))</f>
        <v>0</v>
      </c>
      <c r="AB89" s="18">
        <f ca="1">IF($A89="","",SUMIFS('Current Char Stats'!$AE$4:$AE$273,'Current Char Stats'!$A$4:$A$273,$A89,'Current Char Stats'!$B$4:$B$273,$B89))</f>
        <v>0</v>
      </c>
    </row>
    <row r="90" spans="1:28">
      <c r="A90" s="90" t="str">
        <f>Data!C13</f>
        <v>Nick</v>
      </c>
      <c r="B90" s="5" t="str">
        <f>Data!D13</f>
        <v>Mii</v>
      </c>
      <c r="C90" s="5">
        <f ca="1">SUMIFS(Data!$W$4:$W$273,Data!$T$4:$T$273,A90,Data!$U$4:$U$273,B90)</f>
        <v>0</v>
      </c>
      <c r="D90" s="5">
        <f ca="1">SUMIFS(Data!$Y$4:$Y$273,Data!$T$4:$T$273,A90,Data!$U$4:$U$273,B90)</f>
        <v>0</v>
      </c>
      <c r="E90" s="5">
        <f ca="1">IF(C90=0,0,D90/C90)</f>
        <v>0</v>
      </c>
      <c r="F90" s="5">
        <f ca="1">SUMIFS(Data!$AB$4:$AB$273,Data!$T$4:$T$273,A90,Data!$U$4:$U$273,B90)</f>
        <v>0</v>
      </c>
      <c r="G90" s="5">
        <f ca="1">SUMIFS(Data!$AC$4:$AC$273,Data!$T$4:$T$273,A90,Data!$U$4:$U$273,B90)</f>
        <v>0</v>
      </c>
      <c r="H90" s="5">
        <f ca="1">IF($A90="","",INT(SUMIFS(Data!$AN$4:$AN$183,Data!$AL$4:$AL$183,$A90,Data!$AM$4:$AM$183,$B90))+MOD(ROUND(SUMIFS(Data!$AN$4:$AN$183,Data!$AL$4:$AL$183,$A90,Data!$AM$4:$AM$183,$B90)*3,0),3)/10)</f>
        <v>0</v>
      </c>
      <c r="I90" s="5">
        <f ca="1">SUMIFS(Data!$AQ$4:$AQ$183,Data!$AL$4:$AL$183,A90,Data!$AM$4:$AM$183,B90)</f>
        <v>0</v>
      </c>
      <c r="J90" s="5">
        <f ca="1">IF($A90="","",IF(SUMIFS(Data!$AN$4:$AN$183,Data!$AL$4:$AL$183,$A90,Data!$AM$4:$AM$183,$B90)=0,0,I90*3/SUMIFS(Data!$AN$4:$AN$183,Data!$AL$4:$AL$183,$A90,Data!$AM$4:$AM$183,$B90)))</f>
        <v>0</v>
      </c>
      <c r="K90" s="18">
        <f ca="1">IF($A90="","",SUMIFS('Current Char Stats'!$N$4:$N$273,'Current Char Stats'!$A$4:$A$273,$A90,'Current Char Stats'!$B$4:$B$273,$B90))</f>
        <v>0</v>
      </c>
      <c r="L90" s="18">
        <f ca="1">IF($A90="","",SUMIFS('Current Char Stats'!$O$4:$O$273,'Current Char Stats'!$A$4:$A$273,$A90,'Current Char Stats'!$B$4:$B$273,$B90))</f>
        <v>0</v>
      </c>
      <c r="M90" s="18">
        <f ca="1">IF($A90="","",SUMIFS('Current Char Stats'!$P$4:$P$273,'Current Char Stats'!$A$4:$A$273,$A90,'Current Char Stats'!$B$4:$B$273,$B90))</f>
        <v>0</v>
      </c>
      <c r="N90" s="18">
        <f ca="1">IF($A90="","",SUMIFS('Current Char Stats'!$Q$4:$Q$273,'Current Char Stats'!$A$4:$A$273,$A90,'Current Char Stats'!$B$4:$B$273,$B90))</f>
        <v>0</v>
      </c>
      <c r="O90" s="18">
        <f ca="1">IF($A90="","",SUMIFS('Current Char Stats'!$R$4:$R$273,'Current Char Stats'!$A$4:$A$273,$A90,'Current Char Stats'!$B$4:$B$273,$B90))</f>
        <v>0</v>
      </c>
      <c r="P90" s="18">
        <f ca="1">IF($A90="","",SUMIFS('Current Char Stats'!$S$4:$S$273,'Current Char Stats'!$A$4:$A$273,$A90,'Current Char Stats'!$B$4:$B$273,$B90))</f>
        <v>0</v>
      </c>
      <c r="Q90" s="18">
        <f ca="1">IF($A90="","",SUMIFS('Current Char Stats'!$T$4:$T$273,'Current Char Stats'!$A$4:$A$273,$A90,'Current Char Stats'!$B$4:$B$273,$B90))</f>
        <v>0</v>
      </c>
      <c r="R90" s="18">
        <f ca="1">IF($A90="","",SUMIFS('Current Char Stats'!$U$4:$U$273,'Current Char Stats'!$A$4:$A$273,$A90,'Current Char Stats'!$B$4:$B$273,$B90))</f>
        <v>0</v>
      </c>
      <c r="S90" s="18">
        <f ca="1">IF($A90="","",SUMIFS('Current Char Stats'!$V$4:$V$273,'Current Char Stats'!$A$4:$A$273,$A90,'Current Char Stats'!$B$4:$B$273,$B90))</f>
        <v>0</v>
      </c>
      <c r="T90" s="18">
        <f ca="1">IF($A90="","",SUMIFS('Current Char Stats'!$W$4:$W$273,'Current Char Stats'!$A$4:$A$273,$A90,'Current Char Stats'!$B$4:$B$273,$B90))</f>
        <v>0</v>
      </c>
      <c r="U90" s="18">
        <f ca="1">IF($A90="","",SUMIFS('Current Char Stats'!$X$4:$X$273,'Current Char Stats'!$A$4:$A$273,$A90,'Current Char Stats'!$B$4:$B$273,$B90))</f>
        <v>0</v>
      </c>
      <c r="V90" s="18">
        <f ca="1">IF($A90="","",SUMIFS('Current Char Stats'!$Y$4:$Y$273,'Current Char Stats'!$A$4:$A$273,$A90,'Current Char Stats'!$B$4:$B$273,$B90))</f>
        <v>0</v>
      </c>
      <c r="W90" s="18">
        <f ca="1">IF($A90="","",SUMIFS('Current Char Stats'!$Z$4:$Z$273,'Current Char Stats'!$A$4:$A$273,$A90,'Current Char Stats'!$B$4:$B$273,$B90))</f>
        <v>0</v>
      </c>
      <c r="X90" s="18">
        <f ca="1">IF($A90="","",SUMIFS('Current Char Stats'!$AA$4:$AA$273,'Current Char Stats'!$A$4:$A$273,$A90,'Current Char Stats'!$B$4:$B$273,$B90))</f>
        <v>0</v>
      </c>
      <c r="Y90" s="18">
        <f ca="1">IF($A90="","",SUMIFS('Current Char Stats'!$AB$4:$AB$273,'Current Char Stats'!$A$4:$A$273,$A90,'Current Char Stats'!$B$4:$B$273,$B90))</f>
        <v>0</v>
      </c>
      <c r="Z90" s="18">
        <f ca="1">IF($A90="","",SUMIFS('Current Char Stats'!$AC$4:$AC$273,'Current Char Stats'!$A$4:$A$273,$A90,'Current Char Stats'!$B$4:$B$273,$B90))</f>
        <v>0</v>
      </c>
      <c r="AA90" s="18" cm="1">
        <f t="array" aca="1" ref="AA90" ca="1">IF($A90="","",_xlfn.LET(_xlpm.rawIP,SUMPRODUCT(--(Data!$AL$4:$AL$183=$A90),--(Data!$AM$4:$AM$183=$B90),IFERROR(Data!$AN$4:$AN$183,0)),IF(_xlpm.rawIP=0,0,(S90+U90)/_xlpm.rawIP)))</f>
        <v>0</v>
      </c>
      <c r="AB90" s="18">
        <f ca="1">IF($A90="","",SUMIFS('Current Char Stats'!$AE$4:$AE$273,'Current Char Stats'!$A$4:$A$273,$A90,'Current Char Stats'!$B$4:$B$273,$B90))</f>
        <v>0</v>
      </c>
    </row>
    <row r="91" spans="1:28">
      <c r="A91" s="89" t="str">
        <f>Data!C14</f>
        <v>Donovan</v>
      </c>
      <c r="B91" s="5" t="str">
        <f>Data!D14</f>
        <v>Waluigi</v>
      </c>
      <c r="C91" s="5">
        <f ca="1">SUMIFS(Data!$W$4:$W$273,Data!$T$4:$T$273,A91,Data!$U$4:$U$273,B91)</f>
        <v>0</v>
      </c>
      <c r="D91" s="5">
        <f ca="1">SUMIFS(Data!$Y$4:$Y$273,Data!$T$4:$T$273,A91,Data!$U$4:$U$273,B91)</f>
        <v>0</v>
      </c>
      <c r="E91" s="5">
        <f ca="1">IF(C91=0,0,D91/C91)</f>
        <v>0</v>
      </c>
      <c r="F91" s="5">
        <f ca="1">SUMIFS(Data!$AB$4:$AB$273,Data!$T$4:$T$273,A91,Data!$U$4:$U$273,B91)</f>
        <v>0</v>
      </c>
      <c r="G91" s="5">
        <f ca="1">SUMIFS(Data!$AC$4:$AC$273,Data!$T$4:$T$273,A91,Data!$U$4:$U$273,B91)</f>
        <v>0</v>
      </c>
      <c r="H91" s="5">
        <f ca="1">IF($A91="","",INT(SUMIFS(Data!$AN$4:$AN$183,Data!$AL$4:$AL$183,$A91,Data!$AM$4:$AM$183,$B91))+MOD(ROUND(SUMIFS(Data!$AN$4:$AN$183,Data!$AL$4:$AL$183,$A91,Data!$AM$4:$AM$183,$B91)*3,0),3)/10)</f>
        <v>5.2</v>
      </c>
      <c r="I91" s="5">
        <f ca="1">SUMIFS(Data!$AQ$4:$AQ$183,Data!$AL$4:$AL$183,A91,Data!$AM$4:$AM$183,B91)</f>
        <v>5</v>
      </c>
      <c r="J91" s="5">
        <f ca="1">IF($A91="","",IF(SUMIFS(Data!$AN$4:$AN$183,Data!$AL$4:$AL$183,$A91,Data!$AM$4:$AM$183,$B91)=0,0,I91*3/SUMIFS(Data!$AN$4:$AN$183,Data!$AL$4:$AL$183,$A91,Data!$AM$4:$AM$183,$B91)))</f>
        <v>12</v>
      </c>
      <c r="K91" s="18">
        <f ca="1">IF($A91="","",SUMIFS('Current Char Stats'!$N$4:$N$273,'Current Char Stats'!$A$4:$A$273,$A91,'Current Char Stats'!$B$4:$B$273,$B91))</f>
        <v>0</v>
      </c>
      <c r="L91" s="18">
        <f ca="1">IF($A91="","",SUMIFS('Current Char Stats'!$O$4:$O$273,'Current Char Stats'!$A$4:$A$273,$A91,'Current Char Stats'!$B$4:$B$273,$B91))</f>
        <v>0</v>
      </c>
      <c r="M91" s="18">
        <f ca="1">IF($A91="","",SUMIFS('Current Char Stats'!$P$4:$P$273,'Current Char Stats'!$A$4:$A$273,$A91,'Current Char Stats'!$B$4:$B$273,$B91))</f>
        <v>0</v>
      </c>
      <c r="N91" s="18">
        <f ca="1">IF($A91="","",SUMIFS('Current Char Stats'!$Q$4:$Q$273,'Current Char Stats'!$A$4:$A$273,$A91,'Current Char Stats'!$B$4:$B$273,$B91))</f>
        <v>0</v>
      </c>
      <c r="O91" s="18">
        <f ca="1">IF($A91="","",SUMIFS('Current Char Stats'!$R$4:$R$273,'Current Char Stats'!$A$4:$A$273,$A91,'Current Char Stats'!$B$4:$B$273,$B91))</f>
        <v>0</v>
      </c>
      <c r="P91" s="18">
        <f ca="1">IF($A91="","",SUMIFS('Current Char Stats'!$S$4:$S$273,'Current Char Stats'!$A$4:$A$273,$A91,'Current Char Stats'!$B$4:$B$273,$B91))</f>
        <v>0</v>
      </c>
      <c r="Q91" s="18">
        <f ca="1">IF($A91="","",SUMIFS('Current Char Stats'!$T$4:$T$273,'Current Char Stats'!$A$4:$A$273,$A91,'Current Char Stats'!$B$4:$B$273,$B91))</f>
        <v>0</v>
      </c>
      <c r="R91" s="18">
        <f ca="1">IF($A91="","",SUMIFS('Current Char Stats'!$U$4:$U$273,'Current Char Stats'!$A$4:$A$273,$A91,'Current Char Stats'!$B$4:$B$273,$B91))</f>
        <v>0</v>
      </c>
      <c r="S91" s="18">
        <f ca="1">IF($A91="","",SUMIFS('Current Char Stats'!$V$4:$V$273,'Current Char Stats'!$A$4:$A$273,$A91,'Current Char Stats'!$B$4:$B$273,$B91))</f>
        <v>0</v>
      </c>
      <c r="T91" s="18">
        <f ca="1">IF($A91="","",SUMIFS('Current Char Stats'!$W$4:$W$273,'Current Char Stats'!$A$4:$A$273,$A91,'Current Char Stats'!$B$4:$B$273,$B91))</f>
        <v>0</v>
      </c>
      <c r="U91" s="18">
        <f ca="1">IF($A91="","",SUMIFS('Current Char Stats'!$X$4:$X$273,'Current Char Stats'!$A$4:$A$273,$A91,'Current Char Stats'!$B$4:$B$273,$B91))</f>
        <v>0</v>
      </c>
      <c r="V91" s="18">
        <f ca="1">IF($A91="","",SUMIFS('Current Char Stats'!$Y$4:$Y$273,'Current Char Stats'!$A$4:$A$273,$A91,'Current Char Stats'!$B$4:$B$273,$B91))</f>
        <v>0</v>
      </c>
      <c r="W91" s="18">
        <f ca="1">IF($A91="","",SUMIFS('Current Char Stats'!$Z$4:$Z$273,'Current Char Stats'!$A$4:$A$273,$A91,'Current Char Stats'!$B$4:$B$273,$B91))</f>
        <v>0</v>
      </c>
      <c r="X91" s="18">
        <f ca="1">IF($A91="","",SUMIFS('Current Char Stats'!$AA$4:$AA$273,'Current Char Stats'!$A$4:$A$273,$A91,'Current Char Stats'!$B$4:$B$273,$B91))</f>
        <v>0</v>
      </c>
      <c r="Y91" s="18">
        <f ca="1">IF($A91="","",SUMIFS('Current Char Stats'!$AB$4:$AB$273,'Current Char Stats'!$A$4:$A$273,$A91,'Current Char Stats'!$B$4:$B$273,$B91))</f>
        <v>0</v>
      </c>
      <c r="Z91" s="18">
        <f ca="1">IF($A91="","",SUMIFS('Current Char Stats'!$AC$4:$AC$273,'Current Char Stats'!$A$4:$A$273,$A91,'Current Char Stats'!$B$4:$B$273,$B91))</f>
        <v>0</v>
      </c>
      <c r="AA91" s="18" cm="1">
        <f t="array" aca="1" ref="AA91" ca="1">IF($A91="","",_xlfn.LET(_xlpm.rawIP,SUMPRODUCT(--(Data!$AL$4:$AL$183=$A91),--(Data!$AM$4:$AM$183=$B91),IFERROR(Data!$AN$4:$AN$183,0)),IF(_xlpm.rawIP=0,0,(S91+U91)/_xlpm.rawIP)))</f>
        <v>0</v>
      </c>
      <c r="AB91" s="18">
        <f ca="1">IF($A91="","",SUMIFS('Current Char Stats'!$AE$4:$AE$273,'Current Char Stats'!$A$4:$A$273,$A91,'Current Char Stats'!$B$4:$B$273,$B91))</f>
        <v>0</v>
      </c>
    </row>
    <row r="92" spans="1:28">
      <c r="A92" s="88" t="str">
        <f>Data!C15</f>
        <v>Justin</v>
      </c>
      <c r="B92" s="5" t="str">
        <f>Data!D15</f>
        <v>Boo</v>
      </c>
      <c r="C92" s="5">
        <f ca="1">SUMIFS(Data!$W$4:$W$273,Data!$T$4:$T$273,A92,Data!$U$4:$U$273,B92)</f>
        <v>0</v>
      </c>
      <c r="D92" s="5">
        <f ca="1">SUMIFS(Data!$Y$4:$Y$273,Data!$T$4:$T$273,A92,Data!$U$4:$U$273,B92)</f>
        <v>0</v>
      </c>
      <c r="E92" s="5">
        <f ca="1">IF(C92=0,0,D92/C92)</f>
        <v>0</v>
      </c>
      <c r="F92" s="5">
        <f ca="1">SUMIFS(Data!$AB$4:$AB$273,Data!$T$4:$T$273,A92,Data!$U$4:$U$273,B92)</f>
        <v>0</v>
      </c>
      <c r="G92" s="5">
        <f ca="1">SUMIFS(Data!$AC$4:$AC$273,Data!$T$4:$T$273,A92,Data!$U$4:$U$273,B92)</f>
        <v>0</v>
      </c>
      <c r="H92" s="5">
        <f ca="1">IF($A92="","",INT(SUMIFS(Data!$AN$4:$AN$183,Data!$AL$4:$AL$183,$A92,Data!$AM$4:$AM$183,$B92))+MOD(ROUND(SUMIFS(Data!$AN$4:$AN$183,Data!$AL$4:$AL$183,$A92,Data!$AM$4:$AM$183,$B92)*3,0),3)/10)</f>
        <v>4.0999999999999996</v>
      </c>
      <c r="I92" s="5">
        <f ca="1">SUMIFS(Data!$AQ$4:$AQ$183,Data!$AL$4:$AL$183,A92,Data!$AM$4:$AM$183,B92)</f>
        <v>6</v>
      </c>
      <c r="J92" s="5">
        <f ca="1">IF($A92="","",IF(SUMIFS(Data!$AN$4:$AN$183,Data!$AL$4:$AL$183,$A92,Data!$AM$4:$AM$183,$B92)=0,0,I92*3/SUMIFS(Data!$AN$4:$AN$183,Data!$AL$4:$AL$183,$A92,Data!$AM$4:$AM$183,$B92)))</f>
        <v>15.428571428571427</v>
      </c>
      <c r="K92" s="18">
        <f ca="1">IF($A92="","",SUMIFS('Current Char Stats'!$N$4:$N$273,'Current Char Stats'!$A$4:$A$273,$A92,'Current Char Stats'!$B$4:$B$273,$B92))</f>
        <v>0</v>
      </c>
      <c r="L92" s="18">
        <f ca="1">IF($A92="","",SUMIFS('Current Char Stats'!$O$4:$O$273,'Current Char Stats'!$A$4:$A$273,$A92,'Current Char Stats'!$B$4:$B$273,$B92))</f>
        <v>0</v>
      </c>
      <c r="M92" s="18">
        <f ca="1">IF($A92="","",SUMIFS('Current Char Stats'!$P$4:$P$273,'Current Char Stats'!$A$4:$A$273,$A92,'Current Char Stats'!$B$4:$B$273,$B92))</f>
        <v>0</v>
      </c>
      <c r="N92" s="18">
        <f ca="1">IF($A92="","",SUMIFS('Current Char Stats'!$Q$4:$Q$273,'Current Char Stats'!$A$4:$A$273,$A92,'Current Char Stats'!$B$4:$B$273,$B92))</f>
        <v>0</v>
      </c>
      <c r="O92" s="18">
        <f ca="1">IF($A92="","",SUMIFS('Current Char Stats'!$R$4:$R$273,'Current Char Stats'!$A$4:$A$273,$A92,'Current Char Stats'!$B$4:$B$273,$B92))</f>
        <v>0</v>
      </c>
      <c r="P92" s="18">
        <f ca="1">IF($A92="","",SUMIFS('Current Char Stats'!$S$4:$S$273,'Current Char Stats'!$A$4:$A$273,$A92,'Current Char Stats'!$B$4:$B$273,$B92))</f>
        <v>0</v>
      </c>
      <c r="Q92" s="18">
        <f ca="1">IF($A92="","",SUMIFS('Current Char Stats'!$T$4:$T$273,'Current Char Stats'!$A$4:$A$273,$A92,'Current Char Stats'!$B$4:$B$273,$B92))</f>
        <v>0</v>
      </c>
      <c r="R92" s="18">
        <f ca="1">IF($A92="","",SUMIFS('Current Char Stats'!$U$4:$U$273,'Current Char Stats'!$A$4:$A$273,$A92,'Current Char Stats'!$B$4:$B$273,$B92))</f>
        <v>0</v>
      </c>
      <c r="S92" s="18">
        <f ca="1">IF($A92="","",SUMIFS('Current Char Stats'!$V$4:$V$273,'Current Char Stats'!$A$4:$A$273,$A92,'Current Char Stats'!$B$4:$B$273,$B92))</f>
        <v>0</v>
      </c>
      <c r="T92" s="18">
        <f ca="1">IF($A92="","",SUMIFS('Current Char Stats'!$W$4:$W$273,'Current Char Stats'!$A$4:$A$273,$A92,'Current Char Stats'!$B$4:$B$273,$B92))</f>
        <v>0</v>
      </c>
      <c r="U92" s="18">
        <f ca="1">IF($A92="","",SUMIFS('Current Char Stats'!$X$4:$X$273,'Current Char Stats'!$A$4:$A$273,$A92,'Current Char Stats'!$B$4:$B$273,$B92))</f>
        <v>0</v>
      </c>
      <c r="V92" s="18">
        <f ca="1">IF($A92="","",SUMIFS('Current Char Stats'!$Y$4:$Y$273,'Current Char Stats'!$A$4:$A$273,$A92,'Current Char Stats'!$B$4:$B$273,$B92))</f>
        <v>0</v>
      </c>
      <c r="W92" s="18">
        <f ca="1">IF($A92="","",SUMIFS('Current Char Stats'!$Z$4:$Z$273,'Current Char Stats'!$A$4:$A$273,$A92,'Current Char Stats'!$B$4:$B$273,$B92))</f>
        <v>0</v>
      </c>
      <c r="X92" s="18">
        <f ca="1">IF($A92="","",SUMIFS('Current Char Stats'!$AA$4:$AA$273,'Current Char Stats'!$A$4:$A$273,$A92,'Current Char Stats'!$B$4:$B$273,$B92))</f>
        <v>0</v>
      </c>
      <c r="Y92" s="18">
        <f ca="1">IF($A92="","",SUMIFS('Current Char Stats'!$AB$4:$AB$273,'Current Char Stats'!$A$4:$A$273,$A92,'Current Char Stats'!$B$4:$B$273,$B92))</f>
        <v>0</v>
      </c>
      <c r="Z92" s="18">
        <f ca="1">IF($A92="","",SUMIFS('Current Char Stats'!$AC$4:$AC$273,'Current Char Stats'!$A$4:$A$273,$A92,'Current Char Stats'!$B$4:$B$273,$B92))</f>
        <v>0</v>
      </c>
      <c r="AA92" s="18" cm="1">
        <f t="array" aca="1" ref="AA92" ca="1">IF($A92="","",_xlfn.LET(_xlpm.rawIP,SUMPRODUCT(--(Data!$AL$4:$AL$183=$A92),--(Data!$AM$4:$AM$183=$B92),IFERROR(Data!$AN$4:$AN$183,0)),IF(_xlpm.rawIP=0,0,(S92+U92)/_xlpm.rawIP)))</f>
        <v>0</v>
      </c>
      <c r="AB92" s="18">
        <f ca="1">IF($A92="","",SUMIFS('Current Char Stats'!$AE$4:$AE$273,'Current Char Stats'!$A$4:$A$273,$A92,'Current Char Stats'!$B$4:$B$273,$B92))</f>
        <v>0</v>
      </c>
    </row>
    <row r="93" spans="1:28">
      <c r="A93" s="88" t="str">
        <f>Data!C16</f>
        <v>Justin</v>
      </c>
      <c r="B93" s="5" t="str">
        <f>Data!D16</f>
        <v>Funky Kong</v>
      </c>
      <c r="C93" s="5">
        <f ca="1">SUMIFS(Data!$W$4:$W$273,Data!$T$4:$T$273,A93,Data!$U$4:$U$273,B93)</f>
        <v>0</v>
      </c>
      <c r="D93" s="5">
        <f ca="1">SUMIFS(Data!$Y$4:$Y$273,Data!$T$4:$T$273,A93,Data!$U$4:$U$273,B93)</f>
        <v>0</v>
      </c>
      <c r="E93" s="5">
        <f ca="1">IF(C93=0,0,D93/C93)</f>
        <v>0</v>
      </c>
      <c r="F93" s="5">
        <f ca="1">SUMIFS(Data!$AB$4:$AB$273,Data!$T$4:$T$273,A93,Data!$U$4:$U$273,B93)</f>
        <v>0</v>
      </c>
      <c r="G93" s="5">
        <f ca="1">SUMIFS(Data!$AC$4:$AC$273,Data!$T$4:$T$273,A93,Data!$U$4:$U$273,B93)</f>
        <v>0</v>
      </c>
      <c r="H93" s="5">
        <f ca="1">IF($A93="","",INT(SUMIFS(Data!$AN$4:$AN$183,Data!$AL$4:$AL$183,$A93,Data!$AM$4:$AM$183,$B93))+MOD(ROUND(SUMIFS(Data!$AN$4:$AN$183,Data!$AL$4:$AL$183,$A93,Data!$AM$4:$AM$183,$B93)*3,0),3)/10)</f>
        <v>0</v>
      </c>
      <c r="I93" s="5">
        <f ca="1">SUMIFS(Data!$AQ$4:$AQ$183,Data!$AL$4:$AL$183,A93,Data!$AM$4:$AM$183,B93)</f>
        <v>0</v>
      </c>
      <c r="J93" s="5">
        <f ca="1">IF($A93="","",IF(SUMIFS(Data!$AN$4:$AN$183,Data!$AL$4:$AL$183,$A93,Data!$AM$4:$AM$183,$B93)=0,0,I93*3/SUMIFS(Data!$AN$4:$AN$183,Data!$AL$4:$AL$183,$A93,Data!$AM$4:$AM$183,$B93)))</f>
        <v>0</v>
      </c>
      <c r="K93" s="18">
        <f ca="1">IF($A93="","",SUMIFS('Current Char Stats'!$N$4:$N$273,'Current Char Stats'!$A$4:$A$273,$A93,'Current Char Stats'!$B$4:$B$273,$B93))</f>
        <v>0</v>
      </c>
      <c r="L93" s="18">
        <f ca="1">IF($A93="","",SUMIFS('Current Char Stats'!$O$4:$O$273,'Current Char Stats'!$A$4:$A$273,$A93,'Current Char Stats'!$B$4:$B$273,$B93))</f>
        <v>0</v>
      </c>
      <c r="M93" s="18">
        <f ca="1">IF($A93="","",SUMIFS('Current Char Stats'!$P$4:$P$273,'Current Char Stats'!$A$4:$A$273,$A93,'Current Char Stats'!$B$4:$B$273,$B93))</f>
        <v>0</v>
      </c>
      <c r="N93" s="18">
        <f ca="1">IF($A93="","",SUMIFS('Current Char Stats'!$Q$4:$Q$273,'Current Char Stats'!$A$4:$A$273,$A93,'Current Char Stats'!$B$4:$B$273,$B93))</f>
        <v>0</v>
      </c>
      <c r="O93" s="18">
        <f ca="1">IF($A93="","",SUMIFS('Current Char Stats'!$R$4:$R$273,'Current Char Stats'!$A$4:$A$273,$A93,'Current Char Stats'!$B$4:$B$273,$B93))</f>
        <v>0</v>
      </c>
      <c r="P93" s="18">
        <f ca="1">IF($A93="","",SUMIFS('Current Char Stats'!$S$4:$S$273,'Current Char Stats'!$A$4:$A$273,$A93,'Current Char Stats'!$B$4:$B$273,$B93))</f>
        <v>0</v>
      </c>
      <c r="Q93" s="18">
        <f ca="1">IF($A93="","",SUMIFS('Current Char Stats'!$T$4:$T$273,'Current Char Stats'!$A$4:$A$273,$A93,'Current Char Stats'!$B$4:$B$273,$B93))</f>
        <v>0</v>
      </c>
      <c r="R93" s="18">
        <f ca="1">IF($A93="","",SUMIFS('Current Char Stats'!$U$4:$U$273,'Current Char Stats'!$A$4:$A$273,$A93,'Current Char Stats'!$B$4:$B$273,$B93))</f>
        <v>0</v>
      </c>
      <c r="S93" s="18">
        <f ca="1">IF($A93="","",SUMIFS('Current Char Stats'!$V$4:$V$273,'Current Char Stats'!$A$4:$A$273,$A93,'Current Char Stats'!$B$4:$B$273,$B93))</f>
        <v>0</v>
      </c>
      <c r="T93" s="18">
        <f ca="1">IF($A93="","",SUMIFS('Current Char Stats'!$W$4:$W$273,'Current Char Stats'!$A$4:$A$273,$A93,'Current Char Stats'!$B$4:$B$273,$B93))</f>
        <v>0</v>
      </c>
      <c r="U93" s="18">
        <f ca="1">IF($A93="","",SUMIFS('Current Char Stats'!$X$4:$X$273,'Current Char Stats'!$A$4:$A$273,$A93,'Current Char Stats'!$B$4:$B$273,$B93))</f>
        <v>0</v>
      </c>
      <c r="V93" s="18">
        <f ca="1">IF($A93="","",SUMIFS('Current Char Stats'!$Y$4:$Y$273,'Current Char Stats'!$A$4:$A$273,$A93,'Current Char Stats'!$B$4:$B$273,$B93))</f>
        <v>0</v>
      </c>
      <c r="W93" s="18">
        <f ca="1">IF($A93="","",SUMIFS('Current Char Stats'!$Z$4:$Z$273,'Current Char Stats'!$A$4:$A$273,$A93,'Current Char Stats'!$B$4:$B$273,$B93))</f>
        <v>0</v>
      </c>
      <c r="X93" s="18">
        <f ca="1">IF($A93="","",SUMIFS('Current Char Stats'!$AA$4:$AA$273,'Current Char Stats'!$A$4:$A$273,$A93,'Current Char Stats'!$B$4:$B$273,$B93))</f>
        <v>0</v>
      </c>
      <c r="Y93" s="18">
        <f ca="1">IF($A93="","",SUMIFS('Current Char Stats'!$AB$4:$AB$273,'Current Char Stats'!$A$4:$A$273,$A93,'Current Char Stats'!$B$4:$B$273,$B93))</f>
        <v>0</v>
      </c>
      <c r="Z93" s="18">
        <f ca="1">IF($A93="","",SUMIFS('Current Char Stats'!$AC$4:$AC$273,'Current Char Stats'!$A$4:$A$273,$A93,'Current Char Stats'!$B$4:$B$273,$B93))</f>
        <v>0</v>
      </c>
      <c r="AA93" s="18" cm="1">
        <f t="array" aca="1" ref="AA93" ca="1">IF($A93="","",_xlfn.LET(_xlpm.rawIP,SUMPRODUCT(--(Data!$AL$4:$AL$183=$A93),--(Data!$AM$4:$AM$183=$B93),IFERROR(Data!$AN$4:$AN$183,0)),IF(_xlpm.rawIP=0,0,(S93+U93)/_xlpm.rawIP)))</f>
        <v>0</v>
      </c>
      <c r="AB93" s="18">
        <f ca="1">IF($A93="","",SUMIFS('Current Char Stats'!$AE$4:$AE$273,'Current Char Stats'!$A$4:$A$273,$A93,'Current Char Stats'!$B$4:$B$273,$B93))</f>
        <v>0</v>
      </c>
    </row>
    <row r="94" spans="1:28">
      <c r="A94" s="89" t="str">
        <f>Data!C17</f>
        <v>Donovan</v>
      </c>
      <c r="B94" s="5" t="str">
        <f>Data!D17</f>
        <v>Diddy Kong</v>
      </c>
      <c r="C94" s="5">
        <f ca="1">SUMIFS(Data!$W$4:$W$273,Data!$T$4:$T$273,A94,Data!$U$4:$U$273,B94)</f>
        <v>0</v>
      </c>
      <c r="D94" s="5">
        <f ca="1">SUMIFS(Data!$Y$4:$Y$273,Data!$T$4:$T$273,A94,Data!$U$4:$U$273,B94)</f>
        <v>0</v>
      </c>
      <c r="E94" s="5">
        <f ca="1">IF(C94=0,0,D94/C94)</f>
        <v>0</v>
      </c>
      <c r="F94" s="5">
        <f ca="1">SUMIFS(Data!$AB$4:$AB$273,Data!$T$4:$T$273,A94,Data!$U$4:$U$273,B94)</f>
        <v>0</v>
      </c>
      <c r="G94" s="5">
        <f ca="1">SUMIFS(Data!$AC$4:$AC$273,Data!$T$4:$T$273,A94,Data!$U$4:$U$273,B94)</f>
        <v>0</v>
      </c>
      <c r="H94" s="5">
        <f ca="1">IF($A94="","",INT(SUMIFS(Data!$AN$4:$AN$183,Data!$AL$4:$AL$183,$A94,Data!$AM$4:$AM$183,$B94))+MOD(ROUND(SUMIFS(Data!$AN$4:$AN$183,Data!$AL$4:$AL$183,$A94,Data!$AM$4:$AM$183,$B94)*3,0),3)/10)</f>
        <v>0</v>
      </c>
      <c r="I94" s="5">
        <f ca="1">SUMIFS(Data!$AQ$4:$AQ$183,Data!$AL$4:$AL$183,A94,Data!$AM$4:$AM$183,B94)</f>
        <v>0</v>
      </c>
      <c r="J94" s="5">
        <f ca="1">IF($A94="","",IF(SUMIFS(Data!$AN$4:$AN$183,Data!$AL$4:$AL$183,$A94,Data!$AM$4:$AM$183,$B94)=0,0,I94*3/SUMIFS(Data!$AN$4:$AN$183,Data!$AL$4:$AL$183,$A94,Data!$AM$4:$AM$183,$B94)))</f>
        <v>0</v>
      </c>
      <c r="K94" s="18">
        <f ca="1">IF($A94="","",SUMIFS('Current Char Stats'!$N$4:$N$273,'Current Char Stats'!$A$4:$A$273,$A94,'Current Char Stats'!$B$4:$B$273,$B94))</f>
        <v>0</v>
      </c>
      <c r="L94" s="18">
        <f ca="1">IF($A94="","",SUMIFS('Current Char Stats'!$O$4:$O$273,'Current Char Stats'!$A$4:$A$273,$A94,'Current Char Stats'!$B$4:$B$273,$B94))</f>
        <v>0</v>
      </c>
      <c r="M94" s="18">
        <f ca="1">IF($A94="","",SUMIFS('Current Char Stats'!$P$4:$P$273,'Current Char Stats'!$A$4:$A$273,$A94,'Current Char Stats'!$B$4:$B$273,$B94))</f>
        <v>0</v>
      </c>
      <c r="N94" s="18">
        <f ca="1">IF($A94="","",SUMIFS('Current Char Stats'!$Q$4:$Q$273,'Current Char Stats'!$A$4:$A$273,$A94,'Current Char Stats'!$B$4:$B$273,$B94))</f>
        <v>0</v>
      </c>
      <c r="O94" s="18">
        <f ca="1">IF($A94="","",SUMIFS('Current Char Stats'!$R$4:$R$273,'Current Char Stats'!$A$4:$A$273,$A94,'Current Char Stats'!$B$4:$B$273,$B94))</f>
        <v>0</v>
      </c>
      <c r="P94" s="18">
        <f ca="1">IF($A94="","",SUMIFS('Current Char Stats'!$S$4:$S$273,'Current Char Stats'!$A$4:$A$273,$A94,'Current Char Stats'!$B$4:$B$273,$B94))</f>
        <v>0</v>
      </c>
      <c r="Q94" s="18">
        <f ca="1">IF($A94="","",SUMIFS('Current Char Stats'!$T$4:$T$273,'Current Char Stats'!$A$4:$A$273,$A94,'Current Char Stats'!$B$4:$B$273,$B94))</f>
        <v>0</v>
      </c>
      <c r="R94" s="18">
        <f ca="1">IF($A94="","",SUMIFS('Current Char Stats'!$U$4:$U$273,'Current Char Stats'!$A$4:$A$273,$A94,'Current Char Stats'!$B$4:$B$273,$B94))</f>
        <v>0</v>
      </c>
      <c r="S94" s="18">
        <f ca="1">IF($A94="","",SUMIFS('Current Char Stats'!$V$4:$V$273,'Current Char Stats'!$A$4:$A$273,$A94,'Current Char Stats'!$B$4:$B$273,$B94))</f>
        <v>0</v>
      </c>
      <c r="T94" s="18">
        <f ca="1">IF($A94="","",SUMIFS('Current Char Stats'!$W$4:$W$273,'Current Char Stats'!$A$4:$A$273,$A94,'Current Char Stats'!$B$4:$B$273,$B94))</f>
        <v>0</v>
      </c>
      <c r="U94" s="18">
        <f ca="1">IF($A94="","",SUMIFS('Current Char Stats'!$X$4:$X$273,'Current Char Stats'!$A$4:$A$273,$A94,'Current Char Stats'!$B$4:$B$273,$B94))</f>
        <v>0</v>
      </c>
      <c r="V94" s="18">
        <f ca="1">IF($A94="","",SUMIFS('Current Char Stats'!$Y$4:$Y$273,'Current Char Stats'!$A$4:$A$273,$A94,'Current Char Stats'!$B$4:$B$273,$B94))</f>
        <v>0</v>
      </c>
      <c r="W94" s="18">
        <f ca="1">IF($A94="","",SUMIFS('Current Char Stats'!$Z$4:$Z$273,'Current Char Stats'!$A$4:$A$273,$A94,'Current Char Stats'!$B$4:$B$273,$B94))</f>
        <v>0</v>
      </c>
      <c r="X94" s="18">
        <f ca="1">IF($A94="","",SUMIFS('Current Char Stats'!$AA$4:$AA$273,'Current Char Stats'!$A$4:$A$273,$A94,'Current Char Stats'!$B$4:$B$273,$B94))</f>
        <v>0</v>
      </c>
      <c r="Y94" s="18">
        <f ca="1">IF($A94="","",SUMIFS('Current Char Stats'!$AB$4:$AB$273,'Current Char Stats'!$A$4:$A$273,$A94,'Current Char Stats'!$B$4:$B$273,$B94))</f>
        <v>0</v>
      </c>
      <c r="Z94" s="18">
        <f ca="1">IF($A94="","",SUMIFS('Current Char Stats'!$AC$4:$AC$273,'Current Char Stats'!$A$4:$A$273,$A94,'Current Char Stats'!$B$4:$B$273,$B94))</f>
        <v>0</v>
      </c>
      <c r="AA94" s="18" cm="1">
        <f t="array" aca="1" ref="AA94" ca="1">IF($A94="","",_xlfn.LET(_xlpm.rawIP,SUMPRODUCT(--(Data!$AL$4:$AL$183=$A94),--(Data!$AM$4:$AM$183=$B94),IFERROR(Data!$AN$4:$AN$183,0)),IF(_xlpm.rawIP=0,0,(S94+U94)/_xlpm.rawIP)))</f>
        <v>0</v>
      </c>
      <c r="AB94" s="18">
        <f ca="1">IF($A94="","",SUMIFS('Current Char Stats'!$AE$4:$AE$273,'Current Char Stats'!$A$4:$A$273,$A94,'Current Char Stats'!$B$4:$B$273,$B94))</f>
        <v>0</v>
      </c>
    </row>
    <row r="95" spans="1:28">
      <c r="A95" s="90" t="str">
        <f>Data!C18</f>
        <v>Nick</v>
      </c>
      <c r="B95" s="5" t="str">
        <f>Data!D18</f>
        <v>Toadette</v>
      </c>
      <c r="C95" s="5">
        <f ca="1">SUMIFS(Data!$W$4:$W$273,Data!$T$4:$T$273,A95,Data!$U$4:$U$273,B95)</f>
        <v>0</v>
      </c>
      <c r="D95" s="5">
        <f ca="1">SUMIFS(Data!$Y$4:$Y$273,Data!$T$4:$T$273,A95,Data!$U$4:$U$273,B95)</f>
        <v>0</v>
      </c>
      <c r="E95" s="5">
        <f ca="1">IF(C95=0,0,D95/C95)</f>
        <v>0</v>
      </c>
      <c r="F95" s="5">
        <f ca="1">SUMIFS(Data!$AB$4:$AB$273,Data!$T$4:$T$273,A95,Data!$U$4:$U$273,B95)</f>
        <v>0</v>
      </c>
      <c r="G95" s="5">
        <f ca="1">SUMIFS(Data!$AC$4:$AC$273,Data!$T$4:$T$273,A95,Data!$U$4:$U$273,B95)</f>
        <v>0</v>
      </c>
      <c r="H95" s="5">
        <f ca="1">IF($A95="","",INT(SUMIFS(Data!$AN$4:$AN$183,Data!$AL$4:$AL$183,$A95,Data!$AM$4:$AM$183,$B95))+MOD(ROUND(SUMIFS(Data!$AN$4:$AN$183,Data!$AL$4:$AL$183,$A95,Data!$AM$4:$AM$183,$B95)*3,0),3)/10)</f>
        <v>0</v>
      </c>
      <c r="I95" s="5">
        <f ca="1">SUMIFS(Data!$AQ$4:$AQ$183,Data!$AL$4:$AL$183,A95,Data!$AM$4:$AM$183,B95)</f>
        <v>0</v>
      </c>
      <c r="J95" s="5">
        <f ca="1">IF($A95="","",IF(SUMIFS(Data!$AN$4:$AN$183,Data!$AL$4:$AL$183,$A95,Data!$AM$4:$AM$183,$B95)=0,0,I95*3/SUMIFS(Data!$AN$4:$AN$183,Data!$AL$4:$AL$183,$A95,Data!$AM$4:$AM$183,$B95)))</f>
        <v>0</v>
      </c>
      <c r="K95" s="18">
        <f ca="1">IF($A95="","",SUMIFS('Current Char Stats'!$N$4:$N$273,'Current Char Stats'!$A$4:$A$273,$A95,'Current Char Stats'!$B$4:$B$273,$B95))</f>
        <v>0</v>
      </c>
      <c r="L95" s="18">
        <f ca="1">IF($A95="","",SUMIFS('Current Char Stats'!$O$4:$O$273,'Current Char Stats'!$A$4:$A$273,$A95,'Current Char Stats'!$B$4:$B$273,$B95))</f>
        <v>0</v>
      </c>
      <c r="M95" s="18">
        <f ca="1">IF($A95="","",SUMIFS('Current Char Stats'!$P$4:$P$273,'Current Char Stats'!$A$4:$A$273,$A95,'Current Char Stats'!$B$4:$B$273,$B95))</f>
        <v>0</v>
      </c>
      <c r="N95" s="18">
        <f ca="1">IF($A95="","",SUMIFS('Current Char Stats'!$Q$4:$Q$273,'Current Char Stats'!$A$4:$A$273,$A95,'Current Char Stats'!$B$4:$B$273,$B95))</f>
        <v>0</v>
      </c>
      <c r="O95" s="18">
        <f ca="1">IF($A95="","",SUMIFS('Current Char Stats'!$R$4:$R$273,'Current Char Stats'!$A$4:$A$273,$A95,'Current Char Stats'!$B$4:$B$273,$B95))</f>
        <v>0</v>
      </c>
      <c r="P95" s="18">
        <f ca="1">IF($A95="","",SUMIFS('Current Char Stats'!$S$4:$S$273,'Current Char Stats'!$A$4:$A$273,$A95,'Current Char Stats'!$B$4:$B$273,$B95))</f>
        <v>0</v>
      </c>
      <c r="Q95" s="18">
        <f ca="1">IF($A95="","",SUMIFS('Current Char Stats'!$T$4:$T$273,'Current Char Stats'!$A$4:$A$273,$A95,'Current Char Stats'!$B$4:$B$273,$B95))</f>
        <v>0</v>
      </c>
      <c r="R95" s="18">
        <f ca="1">IF($A95="","",SUMIFS('Current Char Stats'!$U$4:$U$273,'Current Char Stats'!$A$4:$A$273,$A95,'Current Char Stats'!$B$4:$B$273,$B95))</f>
        <v>0</v>
      </c>
      <c r="S95" s="18">
        <f ca="1">IF($A95="","",SUMIFS('Current Char Stats'!$V$4:$V$273,'Current Char Stats'!$A$4:$A$273,$A95,'Current Char Stats'!$B$4:$B$273,$B95))</f>
        <v>0</v>
      </c>
      <c r="T95" s="18">
        <f ca="1">IF($A95="","",SUMIFS('Current Char Stats'!$W$4:$W$273,'Current Char Stats'!$A$4:$A$273,$A95,'Current Char Stats'!$B$4:$B$273,$B95))</f>
        <v>0</v>
      </c>
      <c r="U95" s="18">
        <f ca="1">IF($A95="","",SUMIFS('Current Char Stats'!$X$4:$X$273,'Current Char Stats'!$A$4:$A$273,$A95,'Current Char Stats'!$B$4:$B$273,$B95))</f>
        <v>0</v>
      </c>
      <c r="V95" s="18">
        <f ca="1">IF($A95="","",SUMIFS('Current Char Stats'!$Y$4:$Y$273,'Current Char Stats'!$A$4:$A$273,$A95,'Current Char Stats'!$B$4:$B$273,$B95))</f>
        <v>0</v>
      </c>
      <c r="W95" s="18">
        <f ca="1">IF($A95="","",SUMIFS('Current Char Stats'!$Z$4:$Z$273,'Current Char Stats'!$A$4:$A$273,$A95,'Current Char Stats'!$B$4:$B$273,$B95))</f>
        <v>0</v>
      </c>
      <c r="X95" s="18">
        <f ca="1">IF($A95="","",SUMIFS('Current Char Stats'!$AA$4:$AA$273,'Current Char Stats'!$A$4:$A$273,$A95,'Current Char Stats'!$B$4:$B$273,$B95))</f>
        <v>0</v>
      </c>
      <c r="Y95" s="18">
        <f ca="1">IF($A95="","",SUMIFS('Current Char Stats'!$AB$4:$AB$273,'Current Char Stats'!$A$4:$A$273,$A95,'Current Char Stats'!$B$4:$B$273,$B95))</f>
        <v>0</v>
      </c>
      <c r="Z95" s="18">
        <f ca="1">IF($A95="","",SUMIFS('Current Char Stats'!$AC$4:$AC$273,'Current Char Stats'!$A$4:$A$273,$A95,'Current Char Stats'!$B$4:$B$273,$B95))</f>
        <v>0</v>
      </c>
      <c r="AA95" s="18" cm="1">
        <f t="array" aca="1" ref="AA95" ca="1">IF($A95="","",_xlfn.LET(_xlpm.rawIP,SUMPRODUCT(--(Data!$AL$4:$AL$183=$A95),--(Data!$AM$4:$AM$183=$B95),IFERROR(Data!$AN$4:$AN$183,0)),IF(_xlpm.rawIP=0,0,(S95+U95)/_xlpm.rawIP)))</f>
        <v>0</v>
      </c>
      <c r="AB95" s="18">
        <f ca="1">IF($A95="","",SUMIFS('Current Char Stats'!$AE$4:$AE$273,'Current Char Stats'!$A$4:$A$273,$A95,'Current Char Stats'!$B$4:$B$273,$B95))</f>
        <v>0</v>
      </c>
    </row>
    <row r="96" spans="1:28">
      <c r="A96" s="92" t="str">
        <f>Data!C19</f>
        <v>Aidan</v>
      </c>
      <c r="B96" s="5" t="str">
        <f>Data!D19</f>
        <v>Dark Bones</v>
      </c>
      <c r="C96" s="5">
        <f ca="1">SUMIFS(Data!$W$4:$W$273,Data!$T$4:$T$273,A96,Data!$U$4:$U$273,B96)</f>
        <v>0</v>
      </c>
      <c r="D96" s="5">
        <f ca="1">SUMIFS(Data!$Y$4:$Y$273,Data!$T$4:$T$273,A96,Data!$U$4:$U$273,B96)</f>
        <v>0</v>
      </c>
      <c r="E96" s="5">
        <f ca="1">IF(C96=0,0,D96/C96)</f>
        <v>0</v>
      </c>
      <c r="F96" s="5">
        <f ca="1">SUMIFS(Data!$AB$4:$AB$273,Data!$T$4:$T$273,A96,Data!$U$4:$U$273,B96)</f>
        <v>0</v>
      </c>
      <c r="G96" s="5">
        <f ca="1">SUMIFS(Data!$AC$4:$AC$273,Data!$T$4:$T$273,A96,Data!$U$4:$U$273,B96)</f>
        <v>0</v>
      </c>
      <c r="H96" s="5">
        <f ca="1">IF($A96="","",INT(SUMIFS(Data!$AN$4:$AN$183,Data!$AL$4:$AL$183,$A96,Data!$AM$4:$AM$183,$B96))+MOD(ROUND(SUMIFS(Data!$AN$4:$AN$183,Data!$AL$4:$AL$183,$A96,Data!$AM$4:$AM$183,$B96)*3,0),3)/10)</f>
        <v>0</v>
      </c>
      <c r="I96" s="5">
        <f ca="1">SUMIFS(Data!$AQ$4:$AQ$183,Data!$AL$4:$AL$183,A96,Data!$AM$4:$AM$183,B96)</f>
        <v>0</v>
      </c>
      <c r="J96" s="5">
        <f ca="1">IF($A96="","",IF(SUMIFS(Data!$AN$4:$AN$183,Data!$AL$4:$AL$183,$A96,Data!$AM$4:$AM$183,$B96)=0,0,I96*3/SUMIFS(Data!$AN$4:$AN$183,Data!$AL$4:$AL$183,$A96,Data!$AM$4:$AM$183,$B96)))</f>
        <v>0</v>
      </c>
      <c r="K96" s="18">
        <f ca="1">IF($A96="","",SUMIFS('Current Char Stats'!$N$4:$N$273,'Current Char Stats'!$A$4:$A$273,$A96,'Current Char Stats'!$B$4:$B$273,$B96))</f>
        <v>0</v>
      </c>
      <c r="L96" s="18">
        <f ca="1">IF($A96="","",SUMIFS('Current Char Stats'!$O$4:$O$273,'Current Char Stats'!$A$4:$A$273,$A96,'Current Char Stats'!$B$4:$B$273,$B96))</f>
        <v>0</v>
      </c>
      <c r="M96" s="18">
        <f ca="1">IF($A96="","",SUMIFS('Current Char Stats'!$P$4:$P$273,'Current Char Stats'!$A$4:$A$273,$A96,'Current Char Stats'!$B$4:$B$273,$B96))</f>
        <v>0</v>
      </c>
      <c r="N96" s="18">
        <f ca="1">IF($A96="","",SUMIFS('Current Char Stats'!$Q$4:$Q$273,'Current Char Stats'!$A$4:$A$273,$A96,'Current Char Stats'!$B$4:$B$273,$B96))</f>
        <v>0</v>
      </c>
      <c r="O96" s="18">
        <f ca="1">IF($A96="","",SUMIFS('Current Char Stats'!$R$4:$R$273,'Current Char Stats'!$A$4:$A$273,$A96,'Current Char Stats'!$B$4:$B$273,$B96))</f>
        <v>0</v>
      </c>
      <c r="P96" s="18">
        <f ca="1">IF($A96="","",SUMIFS('Current Char Stats'!$S$4:$S$273,'Current Char Stats'!$A$4:$A$273,$A96,'Current Char Stats'!$B$4:$B$273,$B96))</f>
        <v>0</v>
      </c>
      <c r="Q96" s="18">
        <f ca="1">IF($A96="","",SUMIFS('Current Char Stats'!$T$4:$T$273,'Current Char Stats'!$A$4:$A$273,$A96,'Current Char Stats'!$B$4:$B$273,$B96))</f>
        <v>0</v>
      </c>
      <c r="R96" s="18">
        <f ca="1">IF($A96="","",SUMIFS('Current Char Stats'!$U$4:$U$273,'Current Char Stats'!$A$4:$A$273,$A96,'Current Char Stats'!$B$4:$B$273,$B96))</f>
        <v>0</v>
      </c>
      <c r="S96" s="18">
        <f ca="1">IF($A96="","",SUMIFS('Current Char Stats'!$V$4:$V$273,'Current Char Stats'!$A$4:$A$273,$A96,'Current Char Stats'!$B$4:$B$273,$B96))</f>
        <v>0</v>
      </c>
      <c r="T96" s="18">
        <f ca="1">IF($A96="","",SUMIFS('Current Char Stats'!$W$4:$W$273,'Current Char Stats'!$A$4:$A$273,$A96,'Current Char Stats'!$B$4:$B$273,$B96))</f>
        <v>0</v>
      </c>
      <c r="U96" s="18">
        <f ca="1">IF($A96="","",SUMIFS('Current Char Stats'!$X$4:$X$273,'Current Char Stats'!$A$4:$A$273,$A96,'Current Char Stats'!$B$4:$B$273,$B96))</f>
        <v>0</v>
      </c>
      <c r="V96" s="18">
        <f ca="1">IF($A96="","",SUMIFS('Current Char Stats'!$Y$4:$Y$273,'Current Char Stats'!$A$4:$A$273,$A96,'Current Char Stats'!$B$4:$B$273,$B96))</f>
        <v>0</v>
      </c>
      <c r="W96" s="18">
        <f ca="1">IF($A96="","",SUMIFS('Current Char Stats'!$Z$4:$Z$273,'Current Char Stats'!$A$4:$A$273,$A96,'Current Char Stats'!$B$4:$B$273,$B96))</f>
        <v>0</v>
      </c>
      <c r="X96" s="18">
        <f ca="1">IF($A96="","",SUMIFS('Current Char Stats'!$AA$4:$AA$273,'Current Char Stats'!$A$4:$A$273,$A96,'Current Char Stats'!$B$4:$B$273,$B96))</f>
        <v>0</v>
      </c>
      <c r="Y96" s="18">
        <f ca="1">IF($A96="","",SUMIFS('Current Char Stats'!$AB$4:$AB$273,'Current Char Stats'!$A$4:$A$273,$A96,'Current Char Stats'!$B$4:$B$273,$B96))</f>
        <v>0</v>
      </c>
      <c r="Z96" s="18">
        <f ca="1">IF($A96="","",SUMIFS('Current Char Stats'!$AC$4:$AC$273,'Current Char Stats'!$A$4:$A$273,$A96,'Current Char Stats'!$B$4:$B$273,$B96))</f>
        <v>0</v>
      </c>
      <c r="AA96" s="18" cm="1">
        <f t="array" aca="1" ref="AA96" ca="1">IF($A96="","",_xlfn.LET(_xlpm.rawIP,SUMPRODUCT(--(Data!$AL$4:$AL$183=$A96),--(Data!$AM$4:$AM$183=$B96),IFERROR(Data!$AN$4:$AN$183,0)),IF(_xlpm.rawIP=0,0,(S96+U96)/_xlpm.rawIP)))</f>
        <v>0</v>
      </c>
      <c r="AB96" s="18">
        <f ca="1">IF($A96="","",SUMIFS('Current Char Stats'!$AE$4:$AE$273,'Current Char Stats'!$A$4:$A$273,$A96,'Current Char Stats'!$B$4:$B$273,$B96))</f>
        <v>0</v>
      </c>
    </row>
    <row r="97" spans="1:28">
      <c r="A97" s="93" t="str">
        <f>Data!C20</f>
        <v>Jason</v>
      </c>
      <c r="B97" s="5" t="str">
        <f>Data!D20</f>
        <v>Yoshi</v>
      </c>
      <c r="C97" s="5">
        <f ca="1">SUMIFS(Data!$W$4:$W$273,Data!$T$4:$T$273,A97,Data!$U$4:$U$273,B97)</f>
        <v>0</v>
      </c>
      <c r="D97" s="5">
        <f ca="1">SUMIFS(Data!$Y$4:$Y$273,Data!$T$4:$T$273,A97,Data!$U$4:$U$273,B97)</f>
        <v>0</v>
      </c>
      <c r="E97" s="5">
        <f ca="1">IF(C97=0,0,D97/C97)</f>
        <v>0</v>
      </c>
      <c r="F97" s="5">
        <f ca="1">SUMIFS(Data!$AB$4:$AB$273,Data!$T$4:$T$273,A97,Data!$U$4:$U$273,B97)</f>
        <v>0</v>
      </c>
      <c r="G97" s="5">
        <f ca="1">SUMIFS(Data!$AC$4:$AC$273,Data!$T$4:$T$273,A97,Data!$U$4:$U$273,B97)</f>
        <v>0</v>
      </c>
      <c r="H97" s="5">
        <f ca="1">IF($A97="","",INT(SUMIFS(Data!$AN$4:$AN$183,Data!$AL$4:$AL$183,$A97,Data!$AM$4:$AM$183,$B97))+MOD(ROUND(SUMIFS(Data!$AN$4:$AN$183,Data!$AL$4:$AL$183,$A97,Data!$AM$4:$AM$183,$B97)*3,0),3)/10)</f>
        <v>0</v>
      </c>
      <c r="I97" s="5">
        <f ca="1">SUMIFS(Data!$AQ$4:$AQ$183,Data!$AL$4:$AL$183,A97,Data!$AM$4:$AM$183,B97)</f>
        <v>0</v>
      </c>
      <c r="J97" s="5">
        <f ca="1">IF($A97="","",IF(SUMIFS(Data!$AN$4:$AN$183,Data!$AL$4:$AL$183,$A97,Data!$AM$4:$AM$183,$B97)=0,0,I97*3/SUMIFS(Data!$AN$4:$AN$183,Data!$AL$4:$AL$183,$A97,Data!$AM$4:$AM$183,$B97)))</f>
        <v>0</v>
      </c>
      <c r="K97" s="18">
        <f ca="1">IF($A97="","",SUMIFS('Current Char Stats'!$N$4:$N$273,'Current Char Stats'!$A$4:$A$273,$A97,'Current Char Stats'!$B$4:$B$273,$B97))</f>
        <v>0</v>
      </c>
      <c r="L97" s="18">
        <f ca="1">IF($A97="","",SUMIFS('Current Char Stats'!$O$4:$O$273,'Current Char Stats'!$A$4:$A$273,$A97,'Current Char Stats'!$B$4:$B$273,$B97))</f>
        <v>0</v>
      </c>
      <c r="M97" s="18">
        <f ca="1">IF($A97="","",SUMIFS('Current Char Stats'!$P$4:$P$273,'Current Char Stats'!$A$4:$A$273,$A97,'Current Char Stats'!$B$4:$B$273,$B97))</f>
        <v>0</v>
      </c>
      <c r="N97" s="18">
        <f ca="1">IF($A97="","",SUMIFS('Current Char Stats'!$Q$4:$Q$273,'Current Char Stats'!$A$4:$A$273,$A97,'Current Char Stats'!$B$4:$B$273,$B97))</f>
        <v>0</v>
      </c>
      <c r="O97" s="18">
        <f ca="1">IF($A97="","",SUMIFS('Current Char Stats'!$R$4:$R$273,'Current Char Stats'!$A$4:$A$273,$A97,'Current Char Stats'!$B$4:$B$273,$B97))</f>
        <v>0</v>
      </c>
      <c r="P97" s="18">
        <f ca="1">IF($A97="","",SUMIFS('Current Char Stats'!$S$4:$S$273,'Current Char Stats'!$A$4:$A$273,$A97,'Current Char Stats'!$B$4:$B$273,$B97))</f>
        <v>0</v>
      </c>
      <c r="Q97" s="18">
        <f ca="1">IF($A97="","",SUMIFS('Current Char Stats'!$T$4:$T$273,'Current Char Stats'!$A$4:$A$273,$A97,'Current Char Stats'!$B$4:$B$273,$B97))</f>
        <v>0</v>
      </c>
      <c r="R97" s="18">
        <f ca="1">IF($A97="","",SUMIFS('Current Char Stats'!$U$4:$U$273,'Current Char Stats'!$A$4:$A$273,$A97,'Current Char Stats'!$B$4:$B$273,$B97))</f>
        <v>0</v>
      </c>
      <c r="S97" s="18">
        <f ca="1">IF($A97="","",SUMIFS('Current Char Stats'!$V$4:$V$273,'Current Char Stats'!$A$4:$A$273,$A97,'Current Char Stats'!$B$4:$B$273,$B97))</f>
        <v>0</v>
      </c>
      <c r="T97" s="18">
        <f ca="1">IF($A97="","",SUMIFS('Current Char Stats'!$W$4:$W$273,'Current Char Stats'!$A$4:$A$273,$A97,'Current Char Stats'!$B$4:$B$273,$B97))</f>
        <v>0</v>
      </c>
      <c r="U97" s="18">
        <f ca="1">IF($A97="","",SUMIFS('Current Char Stats'!$X$4:$X$273,'Current Char Stats'!$A$4:$A$273,$A97,'Current Char Stats'!$B$4:$B$273,$B97))</f>
        <v>0</v>
      </c>
      <c r="V97" s="18">
        <f ca="1">IF($A97="","",SUMIFS('Current Char Stats'!$Y$4:$Y$273,'Current Char Stats'!$A$4:$A$273,$A97,'Current Char Stats'!$B$4:$B$273,$B97))</f>
        <v>0</v>
      </c>
      <c r="W97" s="18">
        <f ca="1">IF($A97="","",SUMIFS('Current Char Stats'!$Z$4:$Z$273,'Current Char Stats'!$A$4:$A$273,$A97,'Current Char Stats'!$B$4:$B$273,$B97))</f>
        <v>0</v>
      </c>
      <c r="X97" s="18">
        <f ca="1">IF($A97="","",SUMIFS('Current Char Stats'!$AA$4:$AA$273,'Current Char Stats'!$A$4:$A$273,$A97,'Current Char Stats'!$B$4:$B$273,$B97))</f>
        <v>0</v>
      </c>
      <c r="Y97" s="18">
        <f ca="1">IF($A97="","",SUMIFS('Current Char Stats'!$AB$4:$AB$273,'Current Char Stats'!$A$4:$A$273,$A97,'Current Char Stats'!$B$4:$B$273,$B97))</f>
        <v>0</v>
      </c>
      <c r="Z97" s="18">
        <f ca="1">IF($A97="","",SUMIFS('Current Char Stats'!$AC$4:$AC$273,'Current Char Stats'!$A$4:$A$273,$A97,'Current Char Stats'!$B$4:$B$273,$B97))</f>
        <v>0</v>
      </c>
      <c r="AA97" s="18" cm="1">
        <f t="array" aca="1" ref="AA97" ca="1">IF($A97="","",_xlfn.LET(_xlpm.rawIP,SUMPRODUCT(--(Data!$AL$4:$AL$183=$A97),--(Data!$AM$4:$AM$183=$B97),IFERROR(Data!$AN$4:$AN$183,0)),IF(_xlpm.rawIP=0,0,(S97+U97)/_xlpm.rawIP)))</f>
        <v>0</v>
      </c>
      <c r="AB97" s="18">
        <f ca="1">IF($A97="","",SUMIFS('Current Char Stats'!$AE$4:$AE$273,'Current Char Stats'!$A$4:$A$273,$A97,'Current Char Stats'!$B$4:$B$273,$B97))</f>
        <v>0</v>
      </c>
    </row>
    <row r="98" spans="1:28">
      <c r="A98" s="95" t="str">
        <f>Data!C21</f>
        <v>May</v>
      </c>
      <c r="B98" s="5" t="str">
        <f>Data!D21</f>
        <v>King Boo</v>
      </c>
      <c r="C98" s="5">
        <f ca="1">SUMIFS(Data!$W$4:$W$273,Data!$T$4:$T$273,A98,Data!$U$4:$U$273,B98)</f>
        <v>0</v>
      </c>
      <c r="D98" s="5">
        <f ca="1">SUMIFS(Data!$Y$4:$Y$273,Data!$T$4:$T$273,A98,Data!$U$4:$U$273,B98)</f>
        <v>0</v>
      </c>
      <c r="E98" s="5">
        <f ca="1">IF(C98=0,0,D98/C98)</f>
        <v>0</v>
      </c>
      <c r="F98" s="5">
        <f ca="1">SUMIFS(Data!$AB$4:$AB$273,Data!$T$4:$T$273,A98,Data!$U$4:$U$273,B98)</f>
        <v>0</v>
      </c>
      <c r="G98" s="5">
        <f ca="1">SUMIFS(Data!$AC$4:$AC$273,Data!$T$4:$T$273,A98,Data!$U$4:$U$273,B98)</f>
        <v>0</v>
      </c>
      <c r="H98" s="5">
        <f ca="1">IF($A98="","",INT(SUMIFS(Data!$AN$4:$AN$183,Data!$AL$4:$AL$183,$A98,Data!$AM$4:$AM$183,$B98))+MOD(ROUND(SUMIFS(Data!$AN$4:$AN$183,Data!$AL$4:$AL$183,$A98,Data!$AM$4:$AM$183,$B98)*3,0),3)/10)</f>
        <v>4</v>
      </c>
      <c r="I98" s="5">
        <f ca="1">SUMIFS(Data!$AQ$4:$AQ$183,Data!$AL$4:$AL$183,A98,Data!$AM$4:$AM$183,B98)</f>
        <v>2</v>
      </c>
      <c r="J98" s="5">
        <f ca="1">IF($A98="","",IF(SUMIFS(Data!$AN$4:$AN$183,Data!$AL$4:$AL$183,$A98,Data!$AM$4:$AM$183,$B98)=0,0,I98*3/SUMIFS(Data!$AN$4:$AN$183,Data!$AL$4:$AL$183,$A98,Data!$AM$4:$AM$183,$B98)))</f>
        <v>9</v>
      </c>
      <c r="K98" s="18">
        <f ca="1">IF($A98="","",SUMIFS('Current Char Stats'!$N$4:$N$273,'Current Char Stats'!$A$4:$A$273,$A98,'Current Char Stats'!$B$4:$B$273,$B98))</f>
        <v>0</v>
      </c>
      <c r="L98" s="18">
        <f ca="1">IF($A98="","",SUMIFS('Current Char Stats'!$O$4:$O$273,'Current Char Stats'!$A$4:$A$273,$A98,'Current Char Stats'!$B$4:$B$273,$B98))</f>
        <v>0</v>
      </c>
      <c r="M98" s="18">
        <f ca="1">IF($A98="","",SUMIFS('Current Char Stats'!$P$4:$P$273,'Current Char Stats'!$A$4:$A$273,$A98,'Current Char Stats'!$B$4:$B$273,$B98))</f>
        <v>0</v>
      </c>
      <c r="N98" s="18">
        <f ca="1">IF($A98="","",SUMIFS('Current Char Stats'!$Q$4:$Q$273,'Current Char Stats'!$A$4:$A$273,$A98,'Current Char Stats'!$B$4:$B$273,$B98))</f>
        <v>0</v>
      </c>
      <c r="O98" s="18">
        <f ca="1">IF($A98="","",SUMIFS('Current Char Stats'!$R$4:$R$273,'Current Char Stats'!$A$4:$A$273,$A98,'Current Char Stats'!$B$4:$B$273,$B98))</f>
        <v>0</v>
      </c>
      <c r="P98" s="18">
        <f ca="1">IF($A98="","",SUMIFS('Current Char Stats'!$S$4:$S$273,'Current Char Stats'!$A$4:$A$273,$A98,'Current Char Stats'!$B$4:$B$273,$B98))</f>
        <v>0</v>
      </c>
      <c r="Q98" s="18">
        <f ca="1">IF($A98="","",SUMIFS('Current Char Stats'!$T$4:$T$273,'Current Char Stats'!$A$4:$A$273,$A98,'Current Char Stats'!$B$4:$B$273,$B98))</f>
        <v>0</v>
      </c>
      <c r="R98" s="18">
        <f ca="1">IF($A98="","",SUMIFS('Current Char Stats'!$U$4:$U$273,'Current Char Stats'!$A$4:$A$273,$A98,'Current Char Stats'!$B$4:$B$273,$B98))</f>
        <v>0</v>
      </c>
      <c r="S98" s="18">
        <f ca="1">IF($A98="","",SUMIFS('Current Char Stats'!$V$4:$V$273,'Current Char Stats'!$A$4:$A$273,$A98,'Current Char Stats'!$B$4:$B$273,$B98))</f>
        <v>0</v>
      </c>
      <c r="T98" s="18">
        <f ca="1">IF($A98="","",SUMIFS('Current Char Stats'!$W$4:$W$273,'Current Char Stats'!$A$4:$A$273,$A98,'Current Char Stats'!$B$4:$B$273,$B98))</f>
        <v>0</v>
      </c>
      <c r="U98" s="18">
        <f ca="1">IF($A98="","",SUMIFS('Current Char Stats'!$X$4:$X$273,'Current Char Stats'!$A$4:$A$273,$A98,'Current Char Stats'!$B$4:$B$273,$B98))</f>
        <v>0</v>
      </c>
      <c r="V98" s="18">
        <f ca="1">IF($A98="","",SUMIFS('Current Char Stats'!$Y$4:$Y$273,'Current Char Stats'!$A$4:$A$273,$A98,'Current Char Stats'!$B$4:$B$273,$B98))</f>
        <v>0</v>
      </c>
      <c r="W98" s="18">
        <f ca="1">IF($A98="","",SUMIFS('Current Char Stats'!$Z$4:$Z$273,'Current Char Stats'!$A$4:$A$273,$A98,'Current Char Stats'!$B$4:$B$273,$B98))</f>
        <v>0</v>
      </c>
      <c r="X98" s="18">
        <f ca="1">IF($A98="","",SUMIFS('Current Char Stats'!$AA$4:$AA$273,'Current Char Stats'!$A$4:$A$273,$A98,'Current Char Stats'!$B$4:$B$273,$B98))</f>
        <v>0</v>
      </c>
      <c r="Y98" s="18">
        <f ca="1">IF($A98="","",SUMIFS('Current Char Stats'!$AB$4:$AB$273,'Current Char Stats'!$A$4:$A$273,$A98,'Current Char Stats'!$B$4:$B$273,$B98))</f>
        <v>0</v>
      </c>
      <c r="Z98" s="18">
        <f ca="1">IF($A98="","",SUMIFS('Current Char Stats'!$AC$4:$AC$273,'Current Char Stats'!$A$4:$A$273,$A98,'Current Char Stats'!$B$4:$B$273,$B98))</f>
        <v>0</v>
      </c>
      <c r="AA98" s="18" cm="1">
        <f t="array" aca="1" ref="AA98" ca="1">IF($A98="","",_xlfn.LET(_xlpm.rawIP,SUMPRODUCT(--(Data!$AL$4:$AL$183=$A98),--(Data!$AM$4:$AM$183=$B98),IFERROR(Data!$AN$4:$AN$183,0)),IF(_xlpm.rawIP=0,0,(S98+U98)/_xlpm.rawIP)))</f>
        <v>0</v>
      </c>
      <c r="AB98" s="18">
        <f ca="1">IF($A98="","",SUMIFS('Current Char Stats'!$AE$4:$AE$273,'Current Char Stats'!$A$4:$A$273,$A98,'Current Char Stats'!$B$4:$B$273,$B98))</f>
        <v>0</v>
      </c>
    </row>
    <row r="99" spans="1:28">
      <c r="A99" s="95" t="str">
        <f>Data!C22</f>
        <v>May</v>
      </c>
      <c r="B99" s="5" t="str">
        <f>Data!D22</f>
        <v>Red Kritter</v>
      </c>
      <c r="C99" s="5">
        <f ca="1">SUMIFS(Data!$W$4:$W$273,Data!$T$4:$T$273,A99,Data!$U$4:$U$273,B99)</f>
        <v>0</v>
      </c>
      <c r="D99" s="5">
        <f ca="1">SUMIFS(Data!$Y$4:$Y$273,Data!$T$4:$T$273,A99,Data!$U$4:$U$273,B99)</f>
        <v>0</v>
      </c>
      <c r="E99" s="5">
        <f ca="1">IF(C99=0,0,D99/C99)</f>
        <v>0</v>
      </c>
      <c r="F99" s="5">
        <f ca="1">SUMIFS(Data!$AB$4:$AB$273,Data!$T$4:$T$273,A99,Data!$U$4:$U$273,B99)</f>
        <v>0</v>
      </c>
      <c r="G99" s="5">
        <f ca="1">SUMIFS(Data!$AC$4:$AC$273,Data!$T$4:$T$273,A99,Data!$U$4:$U$273,B99)</f>
        <v>0</v>
      </c>
      <c r="H99" s="5">
        <f ca="1">IF($A99="","",INT(SUMIFS(Data!$AN$4:$AN$183,Data!$AL$4:$AL$183,$A99,Data!$AM$4:$AM$183,$B99))+MOD(ROUND(SUMIFS(Data!$AN$4:$AN$183,Data!$AL$4:$AL$183,$A99,Data!$AM$4:$AM$183,$B99)*3,0),3)/10)</f>
        <v>0</v>
      </c>
      <c r="I99" s="5">
        <f ca="1">SUMIFS(Data!$AQ$4:$AQ$183,Data!$AL$4:$AL$183,A99,Data!$AM$4:$AM$183,B99)</f>
        <v>0</v>
      </c>
      <c r="J99" s="5">
        <f ca="1">IF($A99="","",IF(SUMIFS(Data!$AN$4:$AN$183,Data!$AL$4:$AL$183,$A99,Data!$AM$4:$AM$183,$B99)=0,0,I99*3/SUMIFS(Data!$AN$4:$AN$183,Data!$AL$4:$AL$183,$A99,Data!$AM$4:$AM$183,$B99)))</f>
        <v>0</v>
      </c>
      <c r="K99" s="18">
        <f ca="1">IF($A99="","",SUMIFS('Current Char Stats'!$N$4:$N$273,'Current Char Stats'!$A$4:$A$273,$A99,'Current Char Stats'!$B$4:$B$273,$B99))</f>
        <v>0</v>
      </c>
      <c r="L99" s="18">
        <f ca="1">IF($A99="","",SUMIFS('Current Char Stats'!$O$4:$O$273,'Current Char Stats'!$A$4:$A$273,$A99,'Current Char Stats'!$B$4:$B$273,$B99))</f>
        <v>0</v>
      </c>
      <c r="M99" s="18">
        <f ca="1">IF($A99="","",SUMIFS('Current Char Stats'!$P$4:$P$273,'Current Char Stats'!$A$4:$A$273,$A99,'Current Char Stats'!$B$4:$B$273,$B99))</f>
        <v>0</v>
      </c>
      <c r="N99" s="18">
        <f ca="1">IF($A99="","",SUMIFS('Current Char Stats'!$Q$4:$Q$273,'Current Char Stats'!$A$4:$A$273,$A99,'Current Char Stats'!$B$4:$B$273,$B99))</f>
        <v>0</v>
      </c>
      <c r="O99" s="18">
        <f ca="1">IF($A99="","",SUMIFS('Current Char Stats'!$R$4:$R$273,'Current Char Stats'!$A$4:$A$273,$A99,'Current Char Stats'!$B$4:$B$273,$B99))</f>
        <v>0</v>
      </c>
      <c r="P99" s="18">
        <f ca="1">IF($A99="","",SUMIFS('Current Char Stats'!$S$4:$S$273,'Current Char Stats'!$A$4:$A$273,$A99,'Current Char Stats'!$B$4:$B$273,$B99))</f>
        <v>0</v>
      </c>
      <c r="Q99" s="18">
        <f ca="1">IF($A99="","",SUMIFS('Current Char Stats'!$T$4:$T$273,'Current Char Stats'!$A$4:$A$273,$A99,'Current Char Stats'!$B$4:$B$273,$B99))</f>
        <v>0</v>
      </c>
      <c r="R99" s="18">
        <f ca="1">IF($A99="","",SUMIFS('Current Char Stats'!$U$4:$U$273,'Current Char Stats'!$A$4:$A$273,$A99,'Current Char Stats'!$B$4:$B$273,$B99))</f>
        <v>0</v>
      </c>
      <c r="S99" s="18">
        <f ca="1">IF($A99="","",SUMIFS('Current Char Stats'!$V$4:$V$273,'Current Char Stats'!$A$4:$A$273,$A99,'Current Char Stats'!$B$4:$B$273,$B99))</f>
        <v>0</v>
      </c>
      <c r="T99" s="18">
        <f ca="1">IF($A99="","",SUMIFS('Current Char Stats'!$W$4:$W$273,'Current Char Stats'!$A$4:$A$273,$A99,'Current Char Stats'!$B$4:$B$273,$B99))</f>
        <v>0</v>
      </c>
      <c r="U99" s="18">
        <f ca="1">IF($A99="","",SUMIFS('Current Char Stats'!$X$4:$X$273,'Current Char Stats'!$A$4:$A$273,$A99,'Current Char Stats'!$B$4:$B$273,$B99))</f>
        <v>0</v>
      </c>
      <c r="V99" s="18">
        <f ca="1">IF($A99="","",SUMIFS('Current Char Stats'!$Y$4:$Y$273,'Current Char Stats'!$A$4:$A$273,$A99,'Current Char Stats'!$B$4:$B$273,$B99))</f>
        <v>0</v>
      </c>
      <c r="W99" s="18">
        <f ca="1">IF($A99="","",SUMIFS('Current Char Stats'!$Z$4:$Z$273,'Current Char Stats'!$A$4:$A$273,$A99,'Current Char Stats'!$B$4:$B$273,$B99))</f>
        <v>0</v>
      </c>
      <c r="X99" s="18">
        <f ca="1">IF($A99="","",SUMIFS('Current Char Stats'!$AA$4:$AA$273,'Current Char Stats'!$A$4:$A$273,$A99,'Current Char Stats'!$B$4:$B$273,$B99))</f>
        <v>0</v>
      </c>
      <c r="Y99" s="18">
        <f ca="1">IF($A99="","",SUMIFS('Current Char Stats'!$AB$4:$AB$273,'Current Char Stats'!$A$4:$A$273,$A99,'Current Char Stats'!$B$4:$B$273,$B99))</f>
        <v>0</v>
      </c>
      <c r="Z99" s="18">
        <f ca="1">IF($A99="","",SUMIFS('Current Char Stats'!$AC$4:$AC$273,'Current Char Stats'!$A$4:$A$273,$A99,'Current Char Stats'!$B$4:$B$273,$B99))</f>
        <v>0</v>
      </c>
      <c r="AA99" s="18" cm="1">
        <f t="array" aca="1" ref="AA99" ca="1">IF($A99="","",_xlfn.LET(_xlpm.rawIP,SUMPRODUCT(--(Data!$AL$4:$AL$183=$A99),--(Data!$AM$4:$AM$183=$B99),IFERROR(Data!$AN$4:$AN$183,0)),IF(_xlpm.rawIP=0,0,(S99+U99)/_xlpm.rawIP)))</f>
        <v>0</v>
      </c>
      <c r="AB99" s="18">
        <f ca="1">IF($A99="","",SUMIFS('Current Char Stats'!$AE$4:$AE$273,'Current Char Stats'!$A$4:$A$273,$A99,'Current Char Stats'!$B$4:$B$273,$B99))</f>
        <v>0</v>
      </c>
    </row>
    <row r="100" spans="1:28">
      <c r="A100" s="93" t="str">
        <f>Data!C23</f>
        <v>Jason</v>
      </c>
      <c r="B100" s="5" t="str">
        <f>Data!D23</f>
        <v>King K. Rool</v>
      </c>
      <c r="C100" s="5">
        <f ca="1">SUMIFS(Data!$W$4:$W$273,Data!$T$4:$T$273,A100,Data!$U$4:$U$273,B100)</f>
        <v>0</v>
      </c>
      <c r="D100" s="5">
        <f ca="1">SUMIFS(Data!$Y$4:$Y$273,Data!$T$4:$T$273,A100,Data!$U$4:$U$273,B100)</f>
        <v>0</v>
      </c>
      <c r="E100" s="5">
        <f ca="1">IF(C100=0,0,D100/C100)</f>
        <v>0</v>
      </c>
      <c r="F100" s="5">
        <f ca="1">SUMIFS(Data!$AB$4:$AB$273,Data!$T$4:$T$273,A100,Data!$U$4:$U$273,B100)</f>
        <v>0</v>
      </c>
      <c r="G100" s="5">
        <f ca="1">SUMIFS(Data!$AC$4:$AC$273,Data!$T$4:$T$273,A100,Data!$U$4:$U$273,B100)</f>
        <v>0</v>
      </c>
      <c r="H100" s="5">
        <f ca="1">IF($A100="","",INT(SUMIFS(Data!$AN$4:$AN$183,Data!$AL$4:$AL$183,$A100,Data!$AM$4:$AM$183,$B100))+MOD(ROUND(SUMIFS(Data!$AN$4:$AN$183,Data!$AL$4:$AL$183,$A100,Data!$AM$4:$AM$183,$B100)*3,0),3)/10)</f>
        <v>2</v>
      </c>
      <c r="I100" s="5">
        <f ca="1">SUMIFS(Data!$AQ$4:$AQ$183,Data!$AL$4:$AL$183,A100,Data!$AM$4:$AM$183,B100)</f>
        <v>0</v>
      </c>
      <c r="J100" s="5">
        <f ca="1">IF($A100="","",IF(SUMIFS(Data!$AN$4:$AN$183,Data!$AL$4:$AL$183,$A100,Data!$AM$4:$AM$183,$B100)=0,0,I100*3/SUMIFS(Data!$AN$4:$AN$183,Data!$AL$4:$AL$183,$A100,Data!$AM$4:$AM$183,$B100)))</f>
        <v>0</v>
      </c>
      <c r="K100" s="18">
        <f ca="1">IF($A100="","",SUMIFS('Current Char Stats'!$N$4:$N$273,'Current Char Stats'!$A$4:$A$273,$A100,'Current Char Stats'!$B$4:$B$273,$B100))</f>
        <v>0</v>
      </c>
      <c r="L100" s="18">
        <f ca="1">IF($A100="","",SUMIFS('Current Char Stats'!$O$4:$O$273,'Current Char Stats'!$A$4:$A$273,$A100,'Current Char Stats'!$B$4:$B$273,$B100))</f>
        <v>0</v>
      </c>
      <c r="M100" s="18">
        <f ca="1">IF($A100="","",SUMIFS('Current Char Stats'!$P$4:$P$273,'Current Char Stats'!$A$4:$A$273,$A100,'Current Char Stats'!$B$4:$B$273,$B100))</f>
        <v>0</v>
      </c>
      <c r="N100" s="18">
        <f ca="1">IF($A100="","",SUMIFS('Current Char Stats'!$Q$4:$Q$273,'Current Char Stats'!$A$4:$A$273,$A100,'Current Char Stats'!$B$4:$B$273,$B100))</f>
        <v>0</v>
      </c>
      <c r="O100" s="18">
        <f ca="1">IF($A100="","",SUMIFS('Current Char Stats'!$R$4:$R$273,'Current Char Stats'!$A$4:$A$273,$A100,'Current Char Stats'!$B$4:$B$273,$B100))</f>
        <v>0</v>
      </c>
      <c r="P100" s="18">
        <f ca="1">IF($A100="","",SUMIFS('Current Char Stats'!$S$4:$S$273,'Current Char Stats'!$A$4:$A$273,$A100,'Current Char Stats'!$B$4:$B$273,$B100))</f>
        <v>0</v>
      </c>
      <c r="Q100" s="18">
        <f ca="1">IF($A100="","",SUMIFS('Current Char Stats'!$T$4:$T$273,'Current Char Stats'!$A$4:$A$273,$A100,'Current Char Stats'!$B$4:$B$273,$B100))</f>
        <v>0</v>
      </c>
      <c r="R100" s="18">
        <f ca="1">IF($A100="","",SUMIFS('Current Char Stats'!$U$4:$U$273,'Current Char Stats'!$A$4:$A$273,$A100,'Current Char Stats'!$B$4:$B$273,$B100))</f>
        <v>0</v>
      </c>
      <c r="S100" s="18">
        <f ca="1">IF($A100="","",SUMIFS('Current Char Stats'!$V$4:$V$273,'Current Char Stats'!$A$4:$A$273,$A100,'Current Char Stats'!$B$4:$B$273,$B100))</f>
        <v>0</v>
      </c>
      <c r="T100" s="18">
        <f ca="1">IF($A100="","",SUMIFS('Current Char Stats'!$W$4:$W$273,'Current Char Stats'!$A$4:$A$273,$A100,'Current Char Stats'!$B$4:$B$273,$B100))</f>
        <v>0</v>
      </c>
      <c r="U100" s="18">
        <f ca="1">IF($A100="","",SUMIFS('Current Char Stats'!$X$4:$X$273,'Current Char Stats'!$A$4:$A$273,$A100,'Current Char Stats'!$B$4:$B$273,$B100))</f>
        <v>0</v>
      </c>
      <c r="V100" s="18">
        <f ca="1">IF($A100="","",SUMIFS('Current Char Stats'!$Y$4:$Y$273,'Current Char Stats'!$A$4:$A$273,$A100,'Current Char Stats'!$B$4:$B$273,$B100))</f>
        <v>0</v>
      </c>
      <c r="W100" s="18">
        <f ca="1">IF($A100="","",SUMIFS('Current Char Stats'!$Z$4:$Z$273,'Current Char Stats'!$A$4:$A$273,$A100,'Current Char Stats'!$B$4:$B$273,$B100))</f>
        <v>0</v>
      </c>
      <c r="X100" s="18">
        <f ca="1">IF($A100="","",SUMIFS('Current Char Stats'!$AA$4:$AA$273,'Current Char Stats'!$A$4:$A$273,$A100,'Current Char Stats'!$B$4:$B$273,$B100))</f>
        <v>0</v>
      </c>
      <c r="Y100" s="18">
        <f ca="1">IF($A100="","",SUMIFS('Current Char Stats'!$AB$4:$AB$273,'Current Char Stats'!$A$4:$A$273,$A100,'Current Char Stats'!$B$4:$B$273,$B100))</f>
        <v>0</v>
      </c>
      <c r="Z100" s="18">
        <f ca="1">IF($A100="","",SUMIFS('Current Char Stats'!$AC$4:$AC$273,'Current Char Stats'!$A$4:$A$273,$A100,'Current Char Stats'!$B$4:$B$273,$B100))</f>
        <v>0</v>
      </c>
      <c r="AA100" s="18" cm="1">
        <f t="array" aca="1" ref="AA100" ca="1">IF($A100="","",_xlfn.LET(_xlpm.rawIP,SUMPRODUCT(--(Data!$AL$4:$AL$183=$A100),--(Data!$AM$4:$AM$183=$B100),IFERROR(Data!$AN$4:$AN$183,0)),IF(_xlpm.rawIP=0,0,(S100+U100)/_xlpm.rawIP)))</f>
        <v>0</v>
      </c>
      <c r="AB100" s="18">
        <f ca="1">IF($A100="","",SUMIFS('Current Char Stats'!$AE$4:$AE$273,'Current Char Stats'!$A$4:$A$273,$A100,'Current Char Stats'!$B$4:$B$273,$B100))</f>
        <v>0</v>
      </c>
    </row>
    <row r="101" spans="1:28">
      <c r="A101" s="92" t="str">
        <f>Data!C24</f>
        <v>Aidan</v>
      </c>
      <c r="B101" s="5" t="str">
        <f>Data!D24</f>
        <v>Pink Yoshi</v>
      </c>
      <c r="C101" s="5">
        <f ca="1">SUMIFS(Data!$W$4:$W$273,Data!$T$4:$T$273,A101,Data!$U$4:$U$273,B101)</f>
        <v>0</v>
      </c>
      <c r="D101" s="5">
        <f ca="1">SUMIFS(Data!$Y$4:$Y$273,Data!$T$4:$T$273,A101,Data!$U$4:$U$273,B101)</f>
        <v>0</v>
      </c>
      <c r="E101" s="5">
        <f ca="1">IF(C101=0,0,D101/C101)</f>
        <v>0</v>
      </c>
      <c r="F101" s="5">
        <f ca="1">SUMIFS(Data!$AB$4:$AB$273,Data!$T$4:$T$273,A101,Data!$U$4:$U$273,B101)</f>
        <v>0</v>
      </c>
      <c r="G101" s="5">
        <f ca="1">SUMIFS(Data!$AC$4:$AC$273,Data!$T$4:$T$273,A101,Data!$U$4:$U$273,B101)</f>
        <v>0</v>
      </c>
      <c r="H101" s="5">
        <f ca="1">IF($A101="","",INT(SUMIFS(Data!$AN$4:$AN$183,Data!$AL$4:$AL$183,$A101,Data!$AM$4:$AM$183,$B101))+MOD(ROUND(SUMIFS(Data!$AN$4:$AN$183,Data!$AL$4:$AL$183,$A101,Data!$AM$4:$AM$183,$B101)*3,0),3)/10)</f>
        <v>0</v>
      </c>
      <c r="I101" s="5">
        <f ca="1">SUMIFS(Data!$AQ$4:$AQ$183,Data!$AL$4:$AL$183,A101,Data!$AM$4:$AM$183,B101)</f>
        <v>0</v>
      </c>
      <c r="J101" s="5">
        <f ca="1">IF($A101="","",IF(SUMIFS(Data!$AN$4:$AN$183,Data!$AL$4:$AL$183,$A101,Data!$AM$4:$AM$183,$B101)=0,0,I101*3/SUMIFS(Data!$AN$4:$AN$183,Data!$AL$4:$AL$183,$A101,Data!$AM$4:$AM$183,$B101)))</f>
        <v>0</v>
      </c>
      <c r="K101" s="18">
        <f ca="1">IF($A101="","",SUMIFS('Current Char Stats'!$N$4:$N$273,'Current Char Stats'!$A$4:$A$273,$A101,'Current Char Stats'!$B$4:$B$273,$B101))</f>
        <v>0</v>
      </c>
      <c r="L101" s="18">
        <f ca="1">IF($A101="","",SUMIFS('Current Char Stats'!$O$4:$O$273,'Current Char Stats'!$A$4:$A$273,$A101,'Current Char Stats'!$B$4:$B$273,$B101))</f>
        <v>0</v>
      </c>
      <c r="M101" s="18">
        <f ca="1">IF($A101="","",SUMIFS('Current Char Stats'!$P$4:$P$273,'Current Char Stats'!$A$4:$A$273,$A101,'Current Char Stats'!$B$4:$B$273,$B101))</f>
        <v>0</v>
      </c>
      <c r="N101" s="18">
        <f ca="1">IF($A101="","",SUMIFS('Current Char Stats'!$Q$4:$Q$273,'Current Char Stats'!$A$4:$A$273,$A101,'Current Char Stats'!$B$4:$B$273,$B101))</f>
        <v>0</v>
      </c>
      <c r="O101" s="18">
        <f ca="1">IF($A101="","",SUMIFS('Current Char Stats'!$R$4:$R$273,'Current Char Stats'!$A$4:$A$273,$A101,'Current Char Stats'!$B$4:$B$273,$B101))</f>
        <v>0</v>
      </c>
      <c r="P101" s="18">
        <f ca="1">IF($A101="","",SUMIFS('Current Char Stats'!$S$4:$S$273,'Current Char Stats'!$A$4:$A$273,$A101,'Current Char Stats'!$B$4:$B$273,$B101))</f>
        <v>0</v>
      </c>
      <c r="Q101" s="18">
        <f ca="1">IF($A101="","",SUMIFS('Current Char Stats'!$T$4:$T$273,'Current Char Stats'!$A$4:$A$273,$A101,'Current Char Stats'!$B$4:$B$273,$B101))</f>
        <v>0</v>
      </c>
      <c r="R101" s="18">
        <f ca="1">IF($A101="","",SUMIFS('Current Char Stats'!$U$4:$U$273,'Current Char Stats'!$A$4:$A$273,$A101,'Current Char Stats'!$B$4:$B$273,$B101))</f>
        <v>0</v>
      </c>
      <c r="S101" s="18">
        <f ca="1">IF($A101="","",SUMIFS('Current Char Stats'!$V$4:$V$273,'Current Char Stats'!$A$4:$A$273,$A101,'Current Char Stats'!$B$4:$B$273,$B101))</f>
        <v>0</v>
      </c>
      <c r="T101" s="18">
        <f ca="1">IF($A101="","",SUMIFS('Current Char Stats'!$W$4:$W$273,'Current Char Stats'!$A$4:$A$273,$A101,'Current Char Stats'!$B$4:$B$273,$B101))</f>
        <v>0</v>
      </c>
      <c r="U101" s="18">
        <f ca="1">IF($A101="","",SUMIFS('Current Char Stats'!$X$4:$X$273,'Current Char Stats'!$A$4:$A$273,$A101,'Current Char Stats'!$B$4:$B$273,$B101))</f>
        <v>0</v>
      </c>
      <c r="V101" s="18">
        <f ca="1">IF($A101="","",SUMIFS('Current Char Stats'!$Y$4:$Y$273,'Current Char Stats'!$A$4:$A$273,$A101,'Current Char Stats'!$B$4:$B$273,$B101))</f>
        <v>0</v>
      </c>
      <c r="W101" s="18">
        <f ca="1">IF($A101="","",SUMIFS('Current Char Stats'!$Z$4:$Z$273,'Current Char Stats'!$A$4:$A$273,$A101,'Current Char Stats'!$B$4:$B$273,$B101))</f>
        <v>0</v>
      </c>
      <c r="X101" s="18">
        <f ca="1">IF($A101="","",SUMIFS('Current Char Stats'!$AA$4:$AA$273,'Current Char Stats'!$A$4:$A$273,$A101,'Current Char Stats'!$B$4:$B$273,$B101))</f>
        <v>0</v>
      </c>
      <c r="Y101" s="18">
        <f ca="1">IF($A101="","",SUMIFS('Current Char Stats'!$AB$4:$AB$273,'Current Char Stats'!$A$4:$A$273,$A101,'Current Char Stats'!$B$4:$B$273,$B101))</f>
        <v>0</v>
      </c>
      <c r="Z101" s="18">
        <f ca="1">IF($A101="","",SUMIFS('Current Char Stats'!$AC$4:$AC$273,'Current Char Stats'!$A$4:$A$273,$A101,'Current Char Stats'!$B$4:$B$273,$B101))</f>
        <v>0</v>
      </c>
      <c r="AA101" s="18" cm="1">
        <f t="array" aca="1" ref="AA101" ca="1">IF($A101="","",_xlfn.LET(_xlpm.rawIP,SUMPRODUCT(--(Data!$AL$4:$AL$183=$A101),--(Data!$AM$4:$AM$183=$B101),IFERROR(Data!$AN$4:$AN$183,0)),IF(_xlpm.rawIP=0,0,(S101+U101)/_xlpm.rawIP)))</f>
        <v>0</v>
      </c>
      <c r="AB101" s="18">
        <f ca="1">IF($A101="","",SUMIFS('Current Char Stats'!$AE$4:$AE$273,'Current Char Stats'!$A$4:$A$273,$A101,'Current Char Stats'!$B$4:$B$273,$B101))</f>
        <v>0</v>
      </c>
    </row>
    <row r="102" spans="1:28">
      <c r="A102" s="90" t="str">
        <f>Data!C25</f>
        <v>Nick</v>
      </c>
      <c r="B102" s="5" t="str">
        <f>Data!D25</f>
        <v>Blue Toad</v>
      </c>
      <c r="C102" s="5">
        <f ca="1">SUMIFS(Data!$W$4:$W$273,Data!$T$4:$T$273,A102,Data!$U$4:$U$273,B102)</f>
        <v>0</v>
      </c>
      <c r="D102" s="5">
        <f ca="1">SUMIFS(Data!$Y$4:$Y$273,Data!$T$4:$T$273,A102,Data!$U$4:$U$273,B102)</f>
        <v>0</v>
      </c>
      <c r="E102" s="5">
        <f ca="1">IF(C102=0,0,D102/C102)</f>
        <v>0</v>
      </c>
      <c r="F102" s="5">
        <f ca="1">SUMIFS(Data!$AB$4:$AB$273,Data!$T$4:$T$273,A102,Data!$U$4:$U$273,B102)</f>
        <v>0</v>
      </c>
      <c r="G102" s="5">
        <f ca="1">SUMIFS(Data!$AC$4:$AC$273,Data!$T$4:$T$273,A102,Data!$U$4:$U$273,B102)</f>
        <v>0</v>
      </c>
      <c r="H102" s="5">
        <f ca="1">IF($A102="","",INT(SUMIFS(Data!$AN$4:$AN$183,Data!$AL$4:$AL$183,$A102,Data!$AM$4:$AM$183,$B102))+MOD(ROUND(SUMIFS(Data!$AN$4:$AN$183,Data!$AL$4:$AL$183,$A102,Data!$AM$4:$AM$183,$B102)*3,0),3)/10)</f>
        <v>0</v>
      </c>
      <c r="I102" s="5">
        <f ca="1">SUMIFS(Data!$AQ$4:$AQ$183,Data!$AL$4:$AL$183,A102,Data!$AM$4:$AM$183,B102)</f>
        <v>0</v>
      </c>
      <c r="J102" s="5">
        <f ca="1">IF($A102="","",IF(SUMIFS(Data!$AN$4:$AN$183,Data!$AL$4:$AL$183,$A102,Data!$AM$4:$AM$183,$B102)=0,0,I102*3/SUMIFS(Data!$AN$4:$AN$183,Data!$AL$4:$AL$183,$A102,Data!$AM$4:$AM$183,$B102)))</f>
        <v>0</v>
      </c>
      <c r="K102" s="18">
        <f ca="1">IF($A102="","",SUMIFS('Current Char Stats'!$N$4:$N$273,'Current Char Stats'!$A$4:$A$273,$A102,'Current Char Stats'!$B$4:$B$273,$B102))</f>
        <v>0</v>
      </c>
      <c r="L102" s="18">
        <f ca="1">IF($A102="","",SUMIFS('Current Char Stats'!$O$4:$O$273,'Current Char Stats'!$A$4:$A$273,$A102,'Current Char Stats'!$B$4:$B$273,$B102))</f>
        <v>0</v>
      </c>
      <c r="M102" s="18">
        <f ca="1">IF($A102="","",SUMIFS('Current Char Stats'!$P$4:$P$273,'Current Char Stats'!$A$4:$A$273,$A102,'Current Char Stats'!$B$4:$B$273,$B102))</f>
        <v>0</v>
      </c>
      <c r="N102" s="18">
        <f ca="1">IF($A102="","",SUMIFS('Current Char Stats'!$Q$4:$Q$273,'Current Char Stats'!$A$4:$A$273,$A102,'Current Char Stats'!$B$4:$B$273,$B102))</f>
        <v>0</v>
      </c>
      <c r="O102" s="18">
        <f ca="1">IF($A102="","",SUMIFS('Current Char Stats'!$R$4:$R$273,'Current Char Stats'!$A$4:$A$273,$A102,'Current Char Stats'!$B$4:$B$273,$B102))</f>
        <v>0</v>
      </c>
      <c r="P102" s="18">
        <f ca="1">IF($A102="","",SUMIFS('Current Char Stats'!$S$4:$S$273,'Current Char Stats'!$A$4:$A$273,$A102,'Current Char Stats'!$B$4:$B$273,$B102))</f>
        <v>0</v>
      </c>
      <c r="Q102" s="18">
        <f ca="1">IF($A102="","",SUMIFS('Current Char Stats'!$T$4:$T$273,'Current Char Stats'!$A$4:$A$273,$A102,'Current Char Stats'!$B$4:$B$273,$B102))</f>
        <v>0</v>
      </c>
      <c r="R102" s="18">
        <f ca="1">IF($A102="","",SUMIFS('Current Char Stats'!$U$4:$U$273,'Current Char Stats'!$A$4:$A$273,$A102,'Current Char Stats'!$B$4:$B$273,$B102))</f>
        <v>0</v>
      </c>
      <c r="S102" s="18">
        <f ca="1">IF($A102="","",SUMIFS('Current Char Stats'!$V$4:$V$273,'Current Char Stats'!$A$4:$A$273,$A102,'Current Char Stats'!$B$4:$B$273,$B102))</f>
        <v>0</v>
      </c>
      <c r="T102" s="18">
        <f ca="1">IF($A102="","",SUMIFS('Current Char Stats'!$W$4:$W$273,'Current Char Stats'!$A$4:$A$273,$A102,'Current Char Stats'!$B$4:$B$273,$B102))</f>
        <v>0</v>
      </c>
      <c r="U102" s="18">
        <f ca="1">IF($A102="","",SUMIFS('Current Char Stats'!$X$4:$X$273,'Current Char Stats'!$A$4:$A$273,$A102,'Current Char Stats'!$B$4:$B$273,$B102))</f>
        <v>0</v>
      </c>
      <c r="V102" s="18">
        <f ca="1">IF($A102="","",SUMIFS('Current Char Stats'!$Y$4:$Y$273,'Current Char Stats'!$A$4:$A$273,$A102,'Current Char Stats'!$B$4:$B$273,$B102))</f>
        <v>0</v>
      </c>
      <c r="W102" s="18">
        <f ca="1">IF($A102="","",SUMIFS('Current Char Stats'!$Z$4:$Z$273,'Current Char Stats'!$A$4:$A$273,$A102,'Current Char Stats'!$B$4:$B$273,$B102))</f>
        <v>0</v>
      </c>
      <c r="X102" s="18">
        <f ca="1">IF($A102="","",SUMIFS('Current Char Stats'!$AA$4:$AA$273,'Current Char Stats'!$A$4:$A$273,$A102,'Current Char Stats'!$B$4:$B$273,$B102))</f>
        <v>0</v>
      </c>
      <c r="Y102" s="18">
        <f ca="1">IF($A102="","",SUMIFS('Current Char Stats'!$AB$4:$AB$273,'Current Char Stats'!$A$4:$A$273,$A102,'Current Char Stats'!$B$4:$B$273,$B102))</f>
        <v>0</v>
      </c>
      <c r="Z102" s="18">
        <f ca="1">IF($A102="","",SUMIFS('Current Char Stats'!$AC$4:$AC$273,'Current Char Stats'!$A$4:$A$273,$A102,'Current Char Stats'!$B$4:$B$273,$B102))</f>
        <v>0</v>
      </c>
      <c r="AA102" s="18" cm="1">
        <f t="array" aca="1" ref="AA102" ca="1">IF($A102="","",_xlfn.LET(_xlpm.rawIP,SUMPRODUCT(--(Data!$AL$4:$AL$183=$A102),--(Data!$AM$4:$AM$183=$B102),IFERROR(Data!$AN$4:$AN$183,0)),IF(_xlpm.rawIP=0,0,(S102+U102)/_xlpm.rawIP)))</f>
        <v>0</v>
      </c>
      <c r="AB102" s="18">
        <f ca="1">IF($A102="","",SUMIFS('Current Char Stats'!$AE$4:$AE$273,'Current Char Stats'!$A$4:$A$273,$A102,'Current Char Stats'!$B$4:$B$273,$B102))</f>
        <v>0</v>
      </c>
    </row>
    <row r="103" spans="1:28">
      <c r="A103" s="89" t="str">
        <f>Data!C26</f>
        <v>Donovan</v>
      </c>
      <c r="B103" s="5" t="str">
        <f>Data!D26</f>
        <v>Baby DK</v>
      </c>
      <c r="C103" s="5">
        <f ca="1">SUMIFS(Data!$W$4:$W$273,Data!$T$4:$T$273,A103,Data!$U$4:$U$273,B103)</f>
        <v>0</v>
      </c>
      <c r="D103" s="5">
        <f ca="1">SUMIFS(Data!$Y$4:$Y$273,Data!$T$4:$T$273,A103,Data!$U$4:$U$273,B103)</f>
        <v>0</v>
      </c>
      <c r="E103" s="5">
        <f ca="1">IF(C103=0,0,D103/C103)</f>
        <v>0</v>
      </c>
      <c r="F103" s="5">
        <f ca="1">SUMIFS(Data!$AB$4:$AB$273,Data!$T$4:$T$273,A103,Data!$U$4:$U$273,B103)</f>
        <v>0</v>
      </c>
      <c r="G103" s="5">
        <f ca="1">SUMIFS(Data!$AC$4:$AC$273,Data!$T$4:$T$273,A103,Data!$U$4:$U$273,B103)</f>
        <v>0</v>
      </c>
      <c r="H103" s="5">
        <f ca="1">IF($A103="","",INT(SUMIFS(Data!$AN$4:$AN$183,Data!$AL$4:$AL$183,$A103,Data!$AM$4:$AM$183,$B103))+MOD(ROUND(SUMIFS(Data!$AN$4:$AN$183,Data!$AL$4:$AL$183,$A103,Data!$AM$4:$AM$183,$B103)*3,0),3)/10)</f>
        <v>0</v>
      </c>
      <c r="I103" s="5">
        <f ca="1">SUMIFS(Data!$AQ$4:$AQ$183,Data!$AL$4:$AL$183,A103,Data!$AM$4:$AM$183,B103)</f>
        <v>0</v>
      </c>
      <c r="J103" s="5">
        <f ca="1">IF($A103="","",IF(SUMIFS(Data!$AN$4:$AN$183,Data!$AL$4:$AL$183,$A103,Data!$AM$4:$AM$183,$B103)=0,0,I103*3/SUMIFS(Data!$AN$4:$AN$183,Data!$AL$4:$AL$183,$A103,Data!$AM$4:$AM$183,$B103)))</f>
        <v>0</v>
      </c>
      <c r="K103" s="18">
        <f ca="1">IF($A103="","",SUMIFS('Current Char Stats'!$N$4:$N$273,'Current Char Stats'!$A$4:$A$273,$A103,'Current Char Stats'!$B$4:$B$273,$B103))</f>
        <v>0</v>
      </c>
      <c r="L103" s="18">
        <f ca="1">IF($A103="","",SUMIFS('Current Char Stats'!$O$4:$O$273,'Current Char Stats'!$A$4:$A$273,$A103,'Current Char Stats'!$B$4:$B$273,$B103))</f>
        <v>0</v>
      </c>
      <c r="M103" s="18">
        <f ca="1">IF($A103="","",SUMIFS('Current Char Stats'!$P$4:$P$273,'Current Char Stats'!$A$4:$A$273,$A103,'Current Char Stats'!$B$4:$B$273,$B103))</f>
        <v>0</v>
      </c>
      <c r="N103" s="18">
        <f ca="1">IF($A103="","",SUMIFS('Current Char Stats'!$Q$4:$Q$273,'Current Char Stats'!$A$4:$A$273,$A103,'Current Char Stats'!$B$4:$B$273,$B103))</f>
        <v>0</v>
      </c>
      <c r="O103" s="18">
        <f ca="1">IF($A103="","",SUMIFS('Current Char Stats'!$R$4:$R$273,'Current Char Stats'!$A$4:$A$273,$A103,'Current Char Stats'!$B$4:$B$273,$B103))</f>
        <v>0</v>
      </c>
      <c r="P103" s="18">
        <f ca="1">IF($A103="","",SUMIFS('Current Char Stats'!$S$4:$S$273,'Current Char Stats'!$A$4:$A$273,$A103,'Current Char Stats'!$B$4:$B$273,$B103))</f>
        <v>0</v>
      </c>
      <c r="Q103" s="18">
        <f ca="1">IF($A103="","",SUMIFS('Current Char Stats'!$T$4:$T$273,'Current Char Stats'!$A$4:$A$273,$A103,'Current Char Stats'!$B$4:$B$273,$B103))</f>
        <v>0</v>
      </c>
      <c r="R103" s="18">
        <f ca="1">IF($A103="","",SUMIFS('Current Char Stats'!$U$4:$U$273,'Current Char Stats'!$A$4:$A$273,$A103,'Current Char Stats'!$B$4:$B$273,$B103))</f>
        <v>0</v>
      </c>
      <c r="S103" s="18">
        <f ca="1">IF($A103="","",SUMIFS('Current Char Stats'!$V$4:$V$273,'Current Char Stats'!$A$4:$A$273,$A103,'Current Char Stats'!$B$4:$B$273,$B103))</f>
        <v>0</v>
      </c>
      <c r="T103" s="18">
        <f ca="1">IF($A103="","",SUMIFS('Current Char Stats'!$W$4:$W$273,'Current Char Stats'!$A$4:$A$273,$A103,'Current Char Stats'!$B$4:$B$273,$B103))</f>
        <v>0</v>
      </c>
      <c r="U103" s="18">
        <f ca="1">IF($A103="","",SUMIFS('Current Char Stats'!$X$4:$X$273,'Current Char Stats'!$A$4:$A$273,$A103,'Current Char Stats'!$B$4:$B$273,$B103))</f>
        <v>0</v>
      </c>
      <c r="V103" s="18">
        <f ca="1">IF($A103="","",SUMIFS('Current Char Stats'!$Y$4:$Y$273,'Current Char Stats'!$A$4:$A$273,$A103,'Current Char Stats'!$B$4:$B$273,$B103))</f>
        <v>0</v>
      </c>
      <c r="W103" s="18">
        <f ca="1">IF($A103="","",SUMIFS('Current Char Stats'!$Z$4:$Z$273,'Current Char Stats'!$A$4:$A$273,$A103,'Current Char Stats'!$B$4:$B$273,$B103))</f>
        <v>0</v>
      </c>
      <c r="X103" s="18">
        <f ca="1">IF($A103="","",SUMIFS('Current Char Stats'!$AA$4:$AA$273,'Current Char Stats'!$A$4:$A$273,$A103,'Current Char Stats'!$B$4:$B$273,$B103))</f>
        <v>0</v>
      </c>
      <c r="Y103" s="18">
        <f ca="1">IF($A103="","",SUMIFS('Current Char Stats'!$AB$4:$AB$273,'Current Char Stats'!$A$4:$A$273,$A103,'Current Char Stats'!$B$4:$B$273,$B103))</f>
        <v>0</v>
      </c>
      <c r="Z103" s="18">
        <f ca="1">IF($A103="","",SUMIFS('Current Char Stats'!$AC$4:$AC$273,'Current Char Stats'!$A$4:$A$273,$A103,'Current Char Stats'!$B$4:$B$273,$B103))</f>
        <v>0</v>
      </c>
      <c r="AA103" s="18" cm="1">
        <f t="array" aca="1" ref="AA103" ca="1">IF($A103="","",_xlfn.LET(_xlpm.rawIP,SUMPRODUCT(--(Data!$AL$4:$AL$183=$A103),--(Data!$AM$4:$AM$183=$B103),IFERROR(Data!$AN$4:$AN$183,0)),IF(_xlpm.rawIP=0,0,(S103+U103)/_xlpm.rawIP)))</f>
        <v>0</v>
      </c>
      <c r="AB103" s="18">
        <f ca="1">IF($A103="","",SUMIFS('Current Char Stats'!$AE$4:$AE$273,'Current Char Stats'!$A$4:$A$273,$A103,'Current Char Stats'!$B$4:$B$273,$B103))</f>
        <v>0</v>
      </c>
    </row>
    <row r="104" spans="1:28">
      <c r="A104" s="88" t="str">
        <f>Data!C27</f>
        <v>Justin</v>
      </c>
      <c r="B104" s="5" t="str">
        <f>Data!D27</f>
        <v>Yellow Magikoopa</v>
      </c>
      <c r="C104" s="5">
        <f ca="1">SUMIFS(Data!$W$4:$W$273,Data!$T$4:$T$273,A104,Data!$U$4:$U$273,B104)</f>
        <v>0</v>
      </c>
      <c r="D104" s="5">
        <f ca="1">SUMIFS(Data!$Y$4:$Y$273,Data!$T$4:$T$273,A104,Data!$U$4:$U$273,B104)</f>
        <v>0</v>
      </c>
      <c r="E104" s="5">
        <f ca="1">IF(C104=0,0,D104/C104)</f>
        <v>0</v>
      </c>
      <c r="F104" s="5">
        <f ca="1">SUMIFS(Data!$AB$4:$AB$273,Data!$T$4:$T$273,A104,Data!$U$4:$U$273,B104)</f>
        <v>0</v>
      </c>
      <c r="G104" s="5">
        <f ca="1">SUMIFS(Data!$AC$4:$AC$273,Data!$T$4:$T$273,A104,Data!$U$4:$U$273,B104)</f>
        <v>0</v>
      </c>
      <c r="H104" s="5">
        <f ca="1">IF($A104="","",INT(SUMIFS(Data!$AN$4:$AN$183,Data!$AL$4:$AL$183,$A104,Data!$AM$4:$AM$183,$B104))+MOD(ROUND(SUMIFS(Data!$AN$4:$AN$183,Data!$AL$4:$AL$183,$A104,Data!$AM$4:$AM$183,$B104)*3,0),3)/10)</f>
        <v>0</v>
      </c>
      <c r="I104" s="5">
        <f ca="1">SUMIFS(Data!$AQ$4:$AQ$183,Data!$AL$4:$AL$183,A104,Data!$AM$4:$AM$183,B104)</f>
        <v>0</v>
      </c>
      <c r="J104" s="5">
        <f ca="1">IF($A104="","",IF(SUMIFS(Data!$AN$4:$AN$183,Data!$AL$4:$AL$183,$A104,Data!$AM$4:$AM$183,$B104)=0,0,I104*3/SUMIFS(Data!$AN$4:$AN$183,Data!$AL$4:$AL$183,$A104,Data!$AM$4:$AM$183,$B104)))</f>
        <v>0</v>
      </c>
      <c r="K104" s="18">
        <f ca="1">IF($A104="","",SUMIFS('Current Char Stats'!$N$4:$N$273,'Current Char Stats'!$A$4:$A$273,$A104,'Current Char Stats'!$B$4:$B$273,$B104))</f>
        <v>0</v>
      </c>
      <c r="L104" s="18">
        <f ca="1">IF($A104="","",SUMIFS('Current Char Stats'!$O$4:$O$273,'Current Char Stats'!$A$4:$A$273,$A104,'Current Char Stats'!$B$4:$B$273,$B104))</f>
        <v>0</v>
      </c>
      <c r="M104" s="18">
        <f ca="1">IF($A104="","",SUMIFS('Current Char Stats'!$P$4:$P$273,'Current Char Stats'!$A$4:$A$273,$A104,'Current Char Stats'!$B$4:$B$273,$B104))</f>
        <v>0</v>
      </c>
      <c r="N104" s="18">
        <f ca="1">IF($A104="","",SUMIFS('Current Char Stats'!$Q$4:$Q$273,'Current Char Stats'!$A$4:$A$273,$A104,'Current Char Stats'!$B$4:$B$273,$B104))</f>
        <v>0</v>
      </c>
      <c r="O104" s="18">
        <f ca="1">IF($A104="","",SUMIFS('Current Char Stats'!$R$4:$R$273,'Current Char Stats'!$A$4:$A$273,$A104,'Current Char Stats'!$B$4:$B$273,$B104))</f>
        <v>0</v>
      </c>
      <c r="P104" s="18">
        <f ca="1">IF($A104="","",SUMIFS('Current Char Stats'!$S$4:$S$273,'Current Char Stats'!$A$4:$A$273,$A104,'Current Char Stats'!$B$4:$B$273,$B104))</f>
        <v>0</v>
      </c>
      <c r="Q104" s="18">
        <f ca="1">IF($A104="","",SUMIFS('Current Char Stats'!$T$4:$T$273,'Current Char Stats'!$A$4:$A$273,$A104,'Current Char Stats'!$B$4:$B$273,$B104))</f>
        <v>0</v>
      </c>
      <c r="R104" s="18">
        <f ca="1">IF($A104="","",SUMIFS('Current Char Stats'!$U$4:$U$273,'Current Char Stats'!$A$4:$A$273,$A104,'Current Char Stats'!$B$4:$B$273,$B104))</f>
        <v>0</v>
      </c>
      <c r="S104" s="18">
        <f ca="1">IF($A104="","",SUMIFS('Current Char Stats'!$V$4:$V$273,'Current Char Stats'!$A$4:$A$273,$A104,'Current Char Stats'!$B$4:$B$273,$B104))</f>
        <v>0</v>
      </c>
      <c r="T104" s="18">
        <f ca="1">IF($A104="","",SUMIFS('Current Char Stats'!$W$4:$W$273,'Current Char Stats'!$A$4:$A$273,$A104,'Current Char Stats'!$B$4:$B$273,$B104))</f>
        <v>0</v>
      </c>
      <c r="U104" s="18">
        <f ca="1">IF($A104="","",SUMIFS('Current Char Stats'!$X$4:$X$273,'Current Char Stats'!$A$4:$A$273,$A104,'Current Char Stats'!$B$4:$B$273,$B104))</f>
        <v>0</v>
      </c>
      <c r="V104" s="18">
        <f ca="1">IF($A104="","",SUMIFS('Current Char Stats'!$Y$4:$Y$273,'Current Char Stats'!$A$4:$A$273,$A104,'Current Char Stats'!$B$4:$B$273,$B104))</f>
        <v>0</v>
      </c>
      <c r="W104" s="18">
        <f ca="1">IF($A104="","",SUMIFS('Current Char Stats'!$Z$4:$Z$273,'Current Char Stats'!$A$4:$A$273,$A104,'Current Char Stats'!$B$4:$B$273,$B104))</f>
        <v>0</v>
      </c>
      <c r="X104" s="18">
        <f ca="1">IF($A104="","",SUMIFS('Current Char Stats'!$AA$4:$AA$273,'Current Char Stats'!$A$4:$A$273,$A104,'Current Char Stats'!$B$4:$B$273,$B104))</f>
        <v>0</v>
      </c>
      <c r="Y104" s="18">
        <f ca="1">IF($A104="","",SUMIFS('Current Char Stats'!$AB$4:$AB$273,'Current Char Stats'!$A$4:$A$273,$A104,'Current Char Stats'!$B$4:$B$273,$B104))</f>
        <v>0</v>
      </c>
      <c r="Z104" s="18">
        <f ca="1">IF($A104="","",SUMIFS('Current Char Stats'!$AC$4:$AC$273,'Current Char Stats'!$A$4:$A$273,$A104,'Current Char Stats'!$B$4:$B$273,$B104))</f>
        <v>0</v>
      </c>
      <c r="AA104" s="18" cm="1">
        <f t="array" aca="1" ref="AA104" ca="1">IF($A104="","",_xlfn.LET(_xlpm.rawIP,SUMPRODUCT(--(Data!$AL$4:$AL$183=$A104),--(Data!$AM$4:$AM$183=$B104),IFERROR(Data!$AN$4:$AN$183,0)),IF(_xlpm.rawIP=0,0,(S104+U104)/_xlpm.rawIP)))</f>
        <v>0</v>
      </c>
      <c r="AB104" s="18">
        <f ca="1">IF($A104="","",SUMIFS('Current Char Stats'!$AE$4:$AE$273,'Current Char Stats'!$A$4:$A$273,$A104,'Current Char Stats'!$B$4:$B$273,$B104))</f>
        <v>0</v>
      </c>
    </row>
    <row r="105" spans="1:28">
      <c r="A105" s="88" t="str">
        <f>Data!C28</f>
        <v>Justin</v>
      </c>
      <c r="B105" s="5" t="str">
        <f>Data!D28</f>
        <v>Blue Yoshi</v>
      </c>
      <c r="C105" s="5">
        <f ca="1">SUMIFS(Data!$W$4:$W$273,Data!$T$4:$T$273,A105,Data!$U$4:$U$273,B105)</f>
        <v>0</v>
      </c>
      <c r="D105" s="5">
        <f ca="1">SUMIFS(Data!$Y$4:$Y$273,Data!$T$4:$T$273,A105,Data!$U$4:$U$273,B105)</f>
        <v>0</v>
      </c>
      <c r="E105" s="5">
        <f ca="1">IF(C105=0,0,D105/C105)</f>
        <v>0</v>
      </c>
      <c r="F105" s="5">
        <f ca="1">SUMIFS(Data!$AB$4:$AB$273,Data!$T$4:$T$273,A105,Data!$U$4:$U$273,B105)</f>
        <v>0</v>
      </c>
      <c r="G105" s="5">
        <f ca="1">SUMIFS(Data!$AC$4:$AC$273,Data!$T$4:$T$273,A105,Data!$U$4:$U$273,B105)</f>
        <v>0</v>
      </c>
      <c r="H105" s="5">
        <f ca="1">IF($A105="","",INT(SUMIFS(Data!$AN$4:$AN$183,Data!$AL$4:$AL$183,$A105,Data!$AM$4:$AM$183,$B105))+MOD(ROUND(SUMIFS(Data!$AN$4:$AN$183,Data!$AL$4:$AL$183,$A105,Data!$AM$4:$AM$183,$B105)*3,0),3)/10)</f>
        <v>0</v>
      </c>
      <c r="I105" s="5">
        <f ca="1">SUMIFS(Data!$AQ$4:$AQ$183,Data!$AL$4:$AL$183,A105,Data!$AM$4:$AM$183,B105)</f>
        <v>0</v>
      </c>
      <c r="J105" s="5">
        <f ca="1">IF($A105="","",IF(SUMIFS(Data!$AN$4:$AN$183,Data!$AL$4:$AL$183,$A105,Data!$AM$4:$AM$183,$B105)=0,0,I105*3/SUMIFS(Data!$AN$4:$AN$183,Data!$AL$4:$AL$183,$A105,Data!$AM$4:$AM$183,$B105)))</f>
        <v>0</v>
      </c>
      <c r="K105" s="18">
        <f ca="1">IF($A105="","",SUMIFS('Current Char Stats'!$N$4:$N$273,'Current Char Stats'!$A$4:$A$273,$A105,'Current Char Stats'!$B$4:$B$273,$B105))</f>
        <v>0</v>
      </c>
      <c r="L105" s="18">
        <f ca="1">IF($A105="","",SUMIFS('Current Char Stats'!$O$4:$O$273,'Current Char Stats'!$A$4:$A$273,$A105,'Current Char Stats'!$B$4:$B$273,$B105))</f>
        <v>0</v>
      </c>
      <c r="M105" s="18">
        <f ca="1">IF($A105="","",SUMIFS('Current Char Stats'!$P$4:$P$273,'Current Char Stats'!$A$4:$A$273,$A105,'Current Char Stats'!$B$4:$B$273,$B105))</f>
        <v>0</v>
      </c>
      <c r="N105" s="18">
        <f ca="1">IF($A105="","",SUMIFS('Current Char Stats'!$Q$4:$Q$273,'Current Char Stats'!$A$4:$A$273,$A105,'Current Char Stats'!$B$4:$B$273,$B105))</f>
        <v>0</v>
      </c>
      <c r="O105" s="18">
        <f ca="1">IF($A105="","",SUMIFS('Current Char Stats'!$R$4:$R$273,'Current Char Stats'!$A$4:$A$273,$A105,'Current Char Stats'!$B$4:$B$273,$B105))</f>
        <v>0</v>
      </c>
      <c r="P105" s="18">
        <f ca="1">IF($A105="","",SUMIFS('Current Char Stats'!$S$4:$S$273,'Current Char Stats'!$A$4:$A$273,$A105,'Current Char Stats'!$B$4:$B$273,$B105))</f>
        <v>0</v>
      </c>
      <c r="Q105" s="18">
        <f ca="1">IF($A105="","",SUMIFS('Current Char Stats'!$T$4:$T$273,'Current Char Stats'!$A$4:$A$273,$A105,'Current Char Stats'!$B$4:$B$273,$B105))</f>
        <v>0</v>
      </c>
      <c r="R105" s="18">
        <f ca="1">IF($A105="","",SUMIFS('Current Char Stats'!$U$4:$U$273,'Current Char Stats'!$A$4:$A$273,$A105,'Current Char Stats'!$B$4:$B$273,$B105))</f>
        <v>0</v>
      </c>
      <c r="S105" s="18">
        <f ca="1">IF($A105="","",SUMIFS('Current Char Stats'!$V$4:$V$273,'Current Char Stats'!$A$4:$A$273,$A105,'Current Char Stats'!$B$4:$B$273,$B105))</f>
        <v>0</v>
      </c>
      <c r="T105" s="18">
        <f ca="1">IF($A105="","",SUMIFS('Current Char Stats'!$W$4:$W$273,'Current Char Stats'!$A$4:$A$273,$A105,'Current Char Stats'!$B$4:$B$273,$B105))</f>
        <v>0</v>
      </c>
      <c r="U105" s="18">
        <f ca="1">IF($A105="","",SUMIFS('Current Char Stats'!$X$4:$X$273,'Current Char Stats'!$A$4:$A$273,$A105,'Current Char Stats'!$B$4:$B$273,$B105))</f>
        <v>0</v>
      </c>
      <c r="V105" s="18">
        <f ca="1">IF($A105="","",SUMIFS('Current Char Stats'!$Y$4:$Y$273,'Current Char Stats'!$A$4:$A$273,$A105,'Current Char Stats'!$B$4:$B$273,$B105))</f>
        <v>0</v>
      </c>
      <c r="W105" s="18">
        <f ca="1">IF($A105="","",SUMIFS('Current Char Stats'!$Z$4:$Z$273,'Current Char Stats'!$A$4:$A$273,$A105,'Current Char Stats'!$B$4:$B$273,$B105))</f>
        <v>0</v>
      </c>
      <c r="X105" s="18">
        <f ca="1">IF($A105="","",SUMIFS('Current Char Stats'!$AA$4:$AA$273,'Current Char Stats'!$A$4:$A$273,$A105,'Current Char Stats'!$B$4:$B$273,$B105))</f>
        <v>0</v>
      </c>
      <c r="Y105" s="18">
        <f ca="1">IF($A105="","",SUMIFS('Current Char Stats'!$AB$4:$AB$273,'Current Char Stats'!$A$4:$A$273,$A105,'Current Char Stats'!$B$4:$B$273,$B105))</f>
        <v>0</v>
      </c>
      <c r="Z105" s="18">
        <f ca="1">IF($A105="","",SUMIFS('Current Char Stats'!$AC$4:$AC$273,'Current Char Stats'!$A$4:$A$273,$A105,'Current Char Stats'!$B$4:$B$273,$B105))</f>
        <v>0</v>
      </c>
      <c r="AA105" s="18" cm="1">
        <f t="array" aca="1" ref="AA105" ca="1">IF($A105="","",_xlfn.LET(_xlpm.rawIP,SUMPRODUCT(--(Data!$AL$4:$AL$183=$A105),--(Data!$AM$4:$AM$183=$B105),IFERROR(Data!$AN$4:$AN$183,0)),IF(_xlpm.rawIP=0,0,(S105+U105)/_xlpm.rawIP)))</f>
        <v>0</v>
      </c>
      <c r="AB105" s="18">
        <f ca="1">IF($A105="","",SUMIFS('Current Char Stats'!$AE$4:$AE$273,'Current Char Stats'!$A$4:$A$273,$A105,'Current Char Stats'!$B$4:$B$273,$B105))</f>
        <v>0</v>
      </c>
    </row>
    <row r="106" spans="1:28">
      <c r="A106" s="89" t="str">
        <f>Data!C29</f>
        <v>Donovan</v>
      </c>
      <c r="B106" s="5" t="str">
        <f>Data!D29</f>
        <v>Dixie Kong</v>
      </c>
      <c r="C106" s="5">
        <f ca="1">SUMIFS(Data!$W$4:$W$273,Data!$T$4:$T$273,A106,Data!$U$4:$U$273,B106)</f>
        <v>0</v>
      </c>
      <c r="D106" s="5">
        <f ca="1">SUMIFS(Data!$Y$4:$Y$273,Data!$T$4:$T$273,A106,Data!$U$4:$U$273,B106)</f>
        <v>0</v>
      </c>
      <c r="E106" s="5">
        <f ca="1">IF(C106=0,0,D106/C106)</f>
        <v>0</v>
      </c>
      <c r="F106" s="5">
        <f ca="1">SUMIFS(Data!$AB$4:$AB$273,Data!$T$4:$T$273,A106,Data!$U$4:$U$273,B106)</f>
        <v>0</v>
      </c>
      <c r="G106" s="5">
        <f ca="1">SUMIFS(Data!$AC$4:$AC$273,Data!$T$4:$T$273,A106,Data!$U$4:$U$273,B106)</f>
        <v>0</v>
      </c>
      <c r="H106" s="5">
        <f ca="1">IF($A106="","",INT(SUMIFS(Data!$AN$4:$AN$183,Data!$AL$4:$AL$183,$A106,Data!$AM$4:$AM$183,$B106))+MOD(ROUND(SUMIFS(Data!$AN$4:$AN$183,Data!$AL$4:$AL$183,$A106,Data!$AM$4:$AM$183,$B106)*3,0),3)/10)</f>
        <v>0</v>
      </c>
      <c r="I106" s="5">
        <f ca="1">SUMIFS(Data!$AQ$4:$AQ$183,Data!$AL$4:$AL$183,A106,Data!$AM$4:$AM$183,B106)</f>
        <v>0</v>
      </c>
      <c r="J106" s="5">
        <f ca="1">IF($A106="","",IF(SUMIFS(Data!$AN$4:$AN$183,Data!$AL$4:$AL$183,$A106,Data!$AM$4:$AM$183,$B106)=0,0,I106*3/SUMIFS(Data!$AN$4:$AN$183,Data!$AL$4:$AL$183,$A106,Data!$AM$4:$AM$183,$B106)))</f>
        <v>0</v>
      </c>
      <c r="K106" s="18">
        <f ca="1">IF($A106="","",SUMIFS('Current Char Stats'!$N$4:$N$273,'Current Char Stats'!$A$4:$A$273,$A106,'Current Char Stats'!$B$4:$B$273,$B106))</f>
        <v>0</v>
      </c>
      <c r="L106" s="18">
        <f ca="1">IF($A106="","",SUMIFS('Current Char Stats'!$O$4:$O$273,'Current Char Stats'!$A$4:$A$273,$A106,'Current Char Stats'!$B$4:$B$273,$B106))</f>
        <v>0</v>
      </c>
      <c r="M106" s="18">
        <f ca="1">IF($A106="","",SUMIFS('Current Char Stats'!$P$4:$P$273,'Current Char Stats'!$A$4:$A$273,$A106,'Current Char Stats'!$B$4:$B$273,$B106))</f>
        <v>0</v>
      </c>
      <c r="N106" s="18">
        <f ca="1">IF($A106="","",SUMIFS('Current Char Stats'!$Q$4:$Q$273,'Current Char Stats'!$A$4:$A$273,$A106,'Current Char Stats'!$B$4:$B$273,$B106))</f>
        <v>0</v>
      </c>
      <c r="O106" s="18">
        <f ca="1">IF($A106="","",SUMIFS('Current Char Stats'!$R$4:$R$273,'Current Char Stats'!$A$4:$A$273,$A106,'Current Char Stats'!$B$4:$B$273,$B106))</f>
        <v>0</v>
      </c>
      <c r="P106" s="18">
        <f ca="1">IF($A106="","",SUMIFS('Current Char Stats'!$S$4:$S$273,'Current Char Stats'!$A$4:$A$273,$A106,'Current Char Stats'!$B$4:$B$273,$B106))</f>
        <v>0</v>
      </c>
      <c r="Q106" s="18">
        <f ca="1">IF($A106="","",SUMIFS('Current Char Stats'!$T$4:$T$273,'Current Char Stats'!$A$4:$A$273,$A106,'Current Char Stats'!$B$4:$B$273,$B106))</f>
        <v>0</v>
      </c>
      <c r="R106" s="18">
        <f ca="1">IF($A106="","",SUMIFS('Current Char Stats'!$U$4:$U$273,'Current Char Stats'!$A$4:$A$273,$A106,'Current Char Stats'!$B$4:$B$273,$B106))</f>
        <v>0</v>
      </c>
      <c r="S106" s="18">
        <f ca="1">IF($A106="","",SUMIFS('Current Char Stats'!$V$4:$V$273,'Current Char Stats'!$A$4:$A$273,$A106,'Current Char Stats'!$B$4:$B$273,$B106))</f>
        <v>0</v>
      </c>
      <c r="T106" s="18">
        <f ca="1">IF($A106="","",SUMIFS('Current Char Stats'!$W$4:$W$273,'Current Char Stats'!$A$4:$A$273,$A106,'Current Char Stats'!$B$4:$B$273,$B106))</f>
        <v>0</v>
      </c>
      <c r="U106" s="18">
        <f ca="1">IF($A106="","",SUMIFS('Current Char Stats'!$X$4:$X$273,'Current Char Stats'!$A$4:$A$273,$A106,'Current Char Stats'!$B$4:$B$273,$B106))</f>
        <v>0</v>
      </c>
      <c r="V106" s="18">
        <f ca="1">IF($A106="","",SUMIFS('Current Char Stats'!$Y$4:$Y$273,'Current Char Stats'!$A$4:$A$273,$A106,'Current Char Stats'!$B$4:$B$273,$B106))</f>
        <v>0</v>
      </c>
      <c r="W106" s="18">
        <f ca="1">IF($A106="","",SUMIFS('Current Char Stats'!$Z$4:$Z$273,'Current Char Stats'!$A$4:$A$273,$A106,'Current Char Stats'!$B$4:$B$273,$B106))</f>
        <v>0</v>
      </c>
      <c r="X106" s="18">
        <f ca="1">IF($A106="","",SUMIFS('Current Char Stats'!$AA$4:$AA$273,'Current Char Stats'!$A$4:$A$273,$A106,'Current Char Stats'!$B$4:$B$273,$B106))</f>
        <v>0</v>
      </c>
      <c r="Y106" s="18">
        <f ca="1">IF($A106="","",SUMIFS('Current Char Stats'!$AB$4:$AB$273,'Current Char Stats'!$A$4:$A$273,$A106,'Current Char Stats'!$B$4:$B$273,$B106))</f>
        <v>0</v>
      </c>
      <c r="Z106" s="18">
        <f ca="1">IF($A106="","",SUMIFS('Current Char Stats'!$AC$4:$AC$273,'Current Char Stats'!$A$4:$A$273,$A106,'Current Char Stats'!$B$4:$B$273,$B106))</f>
        <v>0</v>
      </c>
      <c r="AA106" s="18" cm="1">
        <f t="array" aca="1" ref="AA106" ca="1">IF($A106="","",_xlfn.LET(_xlpm.rawIP,SUMPRODUCT(--(Data!$AL$4:$AL$183=$A106),--(Data!$AM$4:$AM$183=$B106),IFERROR(Data!$AN$4:$AN$183,0)),IF(_xlpm.rawIP=0,0,(S106+U106)/_xlpm.rawIP)))</f>
        <v>0</v>
      </c>
      <c r="AB106" s="18">
        <f ca="1">IF($A106="","",SUMIFS('Current Char Stats'!$AE$4:$AE$273,'Current Char Stats'!$A$4:$A$273,$A106,'Current Char Stats'!$B$4:$B$273,$B106))</f>
        <v>0</v>
      </c>
    </row>
    <row r="107" spans="1:28">
      <c r="A107" s="90" t="str">
        <f>Data!C30</f>
        <v>Nick</v>
      </c>
      <c r="B107" s="5" t="str">
        <f>Data!D30</f>
        <v>Monty Mole</v>
      </c>
      <c r="C107" s="5">
        <f ca="1">SUMIFS(Data!$W$4:$W$273,Data!$T$4:$T$273,A107,Data!$U$4:$U$273,B107)</f>
        <v>0</v>
      </c>
      <c r="D107" s="5">
        <f ca="1">SUMIFS(Data!$Y$4:$Y$273,Data!$T$4:$T$273,A107,Data!$U$4:$U$273,B107)</f>
        <v>0</v>
      </c>
      <c r="E107" s="5">
        <f ca="1">IF(C107=0,0,D107/C107)</f>
        <v>0</v>
      </c>
      <c r="F107" s="5">
        <f ca="1">SUMIFS(Data!$AB$4:$AB$273,Data!$T$4:$T$273,A107,Data!$U$4:$U$273,B107)</f>
        <v>0</v>
      </c>
      <c r="G107" s="5">
        <f ca="1">SUMIFS(Data!$AC$4:$AC$273,Data!$T$4:$T$273,A107,Data!$U$4:$U$273,B107)</f>
        <v>0</v>
      </c>
      <c r="H107" s="5">
        <f ca="1">IF($A107="","",INT(SUMIFS(Data!$AN$4:$AN$183,Data!$AL$4:$AL$183,$A107,Data!$AM$4:$AM$183,$B107))+MOD(ROUND(SUMIFS(Data!$AN$4:$AN$183,Data!$AL$4:$AL$183,$A107,Data!$AM$4:$AM$183,$B107)*3,0),3)/10)</f>
        <v>0</v>
      </c>
      <c r="I107" s="5">
        <f ca="1">SUMIFS(Data!$AQ$4:$AQ$183,Data!$AL$4:$AL$183,A107,Data!$AM$4:$AM$183,B107)</f>
        <v>0</v>
      </c>
      <c r="J107" s="5">
        <f ca="1">IF($A107="","",IF(SUMIFS(Data!$AN$4:$AN$183,Data!$AL$4:$AL$183,$A107,Data!$AM$4:$AM$183,$B107)=0,0,I107*3/SUMIFS(Data!$AN$4:$AN$183,Data!$AL$4:$AL$183,$A107,Data!$AM$4:$AM$183,$B107)))</f>
        <v>0</v>
      </c>
      <c r="K107" s="18">
        <f ca="1">IF($A107="","",SUMIFS('Current Char Stats'!$N$4:$N$273,'Current Char Stats'!$A$4:$A$273,$A107,'Current Char Stats'!$B$4:$B$273,$B107))</f>
        <v>0</v>
      </c>
      <c r="L107" s="18">
        <f ca="1">IF($A107="","",SUMIFS('Current Char Stats'!$O$4:$O$273,'Current Char Stats'!$A$4:$A$273,$A107,'Current Char Stats'!$B$4:$B$273,$B107))</f>
        <v>0</v>
      </c>
      <c r="M107" s="18">
        <f ca="1">IF($A107="","",SUMIFS('Current Char Stats'!$P$4:$P$273,'Current Char Stats'!$A$4:$A$273,$A107,'Current Char Stats'!$B$4:$B$273,$B107))</f>
        <v>0</v>
      </c>
      <c r="N107" s="18">
        <f ca="1">IF($A107="","",SUMIFS('Current Char Stats'!$Q$4:$Q$273,'Current Char Stats'!$A$4:$A$273,$A107,'Current Char Stats'!$B$4:$B$273,$B107))</f>
        <v>0</v>
      </c>
      <c r="O107" s="18">
        <f ca="1">IF($A107="","",SUMIFS('Current Char Stats'!$R$4:$R$273,'Current Char Stats'!$A$4:$A$273,$A107,'Current Char Stats'!$B$4:$B$273,$B107))</f>
        <v>0</v>
      </c>
      <c r="P107" s="18">
        <f ca="1">IF($A107="","",SUMIFS('Current Char Stats'!$S$4:$S$273,'Current Char Stats'!$A$4:$A$273,$A107,'Current Char Stats'!$B$4:$B$273,$B107))</f>
        <v>0</v>
      </c>
      <c r="Q107" s="18">
        <f ca="1">IF($A107="","",SUMIFS('Current Char Stats'!$T$4:$T$273,'Current Char Stats'!$A$4:$A$273,$A107,'Current Char Stats'!$B$4:$B$273,$B107))</f>
        <v>0</v>
      </c>
      <c r="R107" s="18">
        <f ca="1">IF($A107="","",SUMIFS('Current Char Stats'!$U$4:$U$273,'Current Char Stats'!$A$4:$A$273,$A107,'Current Char Stats'!$B$4:$B$273,$B107))</f>
        <v>0</v>
      </c>
      <c r="S107" s="18">
        <f ca="1">IF($A107="","",SUMIFS('Current Char Stats'!$V$4:$V$273,'Current Char Stats'!$A$4:$A$273,$A107,'Current Char Stats'!$B$4:$B$273,$B107))</f>
        <v>0</v>
      </c>
      <c r="T107" s="18">
        <f ca="1">IF($A107="","",SUMIFS('Current Char Stats'!$W$4:$W$273,'Current Char Stats'!$A$4:$A$273,$A107,'Current Char Stats'!$B$4:$B$273,$B107))</f>
        <v>0</v>
      </c>
      <c r="U107" s="18">
        <f ca="1">IF($A107="","",SUMIFS('Current Char Stats'!$X$4:$X$273,'Current Char Stats'!$A$4:$A$273,$A107,'Current Char Stats'!$B$4:$B$273,$B107))</f>
        <v>0</v>
      </c>
      <c r="V107" s="18">
        <f ca="1">IF($A107="","",SUMIFS('Current Char Stats'!$Y$4:$Y$273,'Current Char Stats'!$A$4:$A$273,$A107,'Current Char Stats'!$B$4:$B$273,$B107))</f>
        <v>0</v>
      </c>
      <c r="W107" s="18">
        <f ca="1">IF($A107="","",SUMIFS('Current Char Stats'!$Z$4:$Z$273,'Current Char Stats'!$A$4:$A$273,$A107,'Current Char Stats'!$B$4:$B$273,$B107))</f>
        <v>0</v>
      </c>
      <c r="X107" s="18">
        <f ca="1">IF($A107="","",SUMIFS('Current Char Stats'!$AA$4:$AA$273,'Current Char Stats'!$A$4:$A$273,$A107,'Current Char Stats'!$B$4:$B$273,$B107))</f>
        <v>0</v>
      </c>
      <c r="Y107" s="18">
        <f ca="1">IF($A107="","",SUMIFS('Current Char Stats'!$AB$4:$AB$273,'Current Char Stats'!$A$4:$A$273,$A107,'Current Char Stats'!$B$4:$B$273,$B107))</f>
        <v>0</v>
      </c>
      <c r="Z107" s="18">
        <f ca="1">IF($A107="","",SUMIFS('Current Char Stats'!$AC$4:$AC$273,'Current Char Stats'!$A$4:$A$273,$A107,'Current Char Stats'!$B$4:$B$273,$B107))</f>
        <v>0</v>
      </c>
      <c r="AA107" s="18" cm="1">
        <f t="array" aca="1" ref="AA107" ca="1">IF($A107="","",_xlfn.LET(_xlpm.rawIP,SUMPRODUCT(--(Data!$AL$4:$AL$183=$A107),--(Data!$AM$4:$AM$183=$B107),IFERROR(Data!$AN$4:$AN$183,0)),IF(_xlpm.rawIP=0,0,(S107+U107)/_xlpm.rawIP)))</f>
        <v>0</v>
      </c>
      <c r="AB107" s="18">
        <f ca="1">IF($A107="","",SUMIFS('Current Char Stats'!$AE$4:$AE$273,'Current Char Stats'!$A$4:$A$273,$A107,'Current Char Stats'!$B$4:$B$273,$B107))</f>
        <v>0</v>
      </c>
    </row>
    <row r="108" spans="1:28">
      <c r="A108" s="92" t="str">
        <f>Data!C31</f>
        <v>Aidan</v>
      </c>
      <c r="B108" s="5" t="str">
        <f>Data!D31</f>
        <v>Red Magikoopa</v>
      </c>
      <c r="C108" s="5">
        <f ca="1">SUMIFS(Data!$W$4:$W$273,Data!$T$4:$T$273,A108,Data!$U$4:$U$273,B108)</f>
        <v>0</v>
      </c>
      <c r="D108" s="5">
        <f ca="1">SUMIFS(Data!$Y$4:$Y$273,Data!$T$4:$T$273,A108,Data!$U$4:$U$273,B108)</f>
        <v>0</v>
      </c>
      <c r="E108" s="5">
        <f ca="1">IF(C108=0,0,D108/C108)</f>
        <v>0</v>
      </c>
      <c r="F108" s="5">
        <f ca="1">SUMIFS(Data!$AB$4:$AB$273,Data!$T$4:$T$273,A108,Data!$U$4:$U$273,B108)</f>
        <v>0</v>
      </c>
      <c r="G108" s="5">
        <f ca="1">SUMIFS(Data!$AC$4:$AC$273,Data!$T$4:$T$273,A108,Data!$U$4:$U$273,B108)</f>
        <v>0</v>
      </c>
      <c r="H108" s="5">
        <f ca="1">IF($A108="","",INT(SUMIFS(Data!$AN$4:$AN$183,Data!$AL$4:$AL$183,$A108,Data!$AM$4:$AM$183,$B108))+MOD(ROUND(SUMIFS(Data!$AN$4:$AN$183,Data!$AL$4:$AL$183,$A108,Data!$AM$4:$AM$183,$B108)*3,0),3)/10)</f>
        <v>4.2</v>
      </c>
      <c r="I108" s="5">
        <f ca="1">SUMIFS(Data!$AQ$4:$AQ$183,Data!$AL$4:$AL$183,A108,Data!$AM$4:$AM$183,B108)</f>
        <v>6</v>
      </c>
      <c r="J108" s="5">
        <f ca="1">IF($A108="","",IF(SUMIFS(Data!$AN$4:$AN$183,Data!$AL$4:$AL$183,$A108,Data!$AM$4:$AM$183,$B108)=0,0,I108*3/SUMIFS(Data!$AN$4:$AN$183,Data!$AL$4:$AL$183,$A108,Data!$AM$4:$AM$183,$B108)))</f>
        <v>4.9090909090909092</v>
      </c>
      <c r="K108" s="18">
        <f ca="1">IF($A108="","",SUMIFS('Current Char Stats'!$N$4:$N$273,'Current Char Stats'!$A$4:$A$273,$A108,'Current Char Stats'!$B$4:$B$273,$B108))</f>
        <v>0</v>
      </c>
      <c r="L108" s="18">
        <f ca="1">IF($A108="","",SUMIFS('Current Char Stats'!$O$4:$O$273,'Current Char Stats'!$A$4:$A$273,$A108,'Current Char Stats'!$B$4:$B$273,$B108))</f>
        <v>0</v>
      </c>
      <c r="M108" s="18">
        <f ca="1">IF($A108="","",SUMIFS('Current Char Stats'!$P$4:$P$273,'Current Char Stats'!$A$4:$A$273,$A108,'Current Char Stats'!$B$4:$B$273,$B108))</f>
        <v>0</v>
      </c>
      <c r="N108" s="18">
        <f ca="1">IF($A108="","",SUMIFS('Current Char Stats'!$Q$4:$Q$273,'Current Char Stats'!$A$4:$A$273,$A108,'Current Char Stats'!$B$4:$B$273,$B108))</f>
        <v>0</v>
      </c>
      <c r="O108" s="18">
        <f ca="1">IF($A108="","",SUMIFS('Current Char Stats'!$R$4:$R$273,'Current Char Stats'!$A$4:$A$273,$A108,'Current Char Stats'!$B$4:$B$273,$B108))</f>
        <v>0</v>
      </c>
      <c r="P108" s="18">
        <f ca="1">IF($A108="","",SUMIFS('Current Char Stats'!$S$4:$S$273,'Current Char Stats'!$A$4:$A$273,$A108,'Current Char Stats'!$B$4:$B$273,$B108))</f>
        <v>0</v>
      </c>
      <c r="Q108" s="18">
        <f ca="1">IF($A108="","",SUMIFS('Current Char Stats'!$T$4:$T$273,'Current Char Stats'!$A$4:$A$273,$A108,'Current Char Stats'!$B$4:$B$273,$B108))</f>
        <v>0</v>
      </c>
      <c r="R108" s="18">
        <f ca="1">IF($A108="","",SUMIFS('Current Char Stats'!$U$4:$U$273,'Current Char Stats'!$A$4:$A$273,$A108,'Current Char Stats'!$B$4:$B$273,$B108))</f>
        <v>0</v>
      </c>
      <c r="S108" s="18">
        <f ca="1">IF($A108="","",SUMIFS('Current Char Stats'!$V$4:$V$273,'Current Char Stats'!$A$4:$A$273,$A108,'Current Char Stats'!$B$4:$B$273,$B108))</f>
        <v>0</v>
      </c>
      <c r="T108" s="18">
        <f ca="1">IF($A108="","",SUMIFS('Current Char Stats'!$W$4:$W$273,'Current Char Stats'!$A$4:$A$273,$A108,'Current Char Stats'!$B$4:$B$273,$B108))</f>
        <v>0</v>
      </c>
      <c r="U108" s="18">
        <f ca="1">IF($A108="","",SUMIFS('Current Char Stats'!$X$4:$X$273,'Current Char Stats'!$A$4:$A$273,$A108,'Current Char Stats'!$B$4:$B$273,$B108))</f>
        <v>0</v>
      </c>
      <c r="V108" s="18">
        <f ca="1">IF($A108="","",SUMIFS('Current Char Stats'!$Y$4:$Y$273,'Current Char Stats'!$A$4:$A$273,$A108,'Current Char Stats'!$B$4:$B$273,$B108))</f>
        <v>0</v>
      </c>
      <c r="W108" s="18">
        <f ca="1">IF($A108="","",SUMIFS('Current Char Stats'!$Z$4:$Z$273,'Current Char Stats'!$A$4:$A$273,$A108,'Current Char Stats'!$B$4:$B$273,$B108))</f>
        <v>0</v>
      </c>
      <c r="X108" s="18">
        <f ca="1">IF($A108="","",SUMIFS('Current Char Stats'!$AA$4:$AA$273,'Current Char Stats'!$A$4:$A$273,$A108,'Current Char Stats'!$B$4:$B$273,$B108))</f>
        <v>0</v>
      </c>
      <c r="Y108" s="18">
        <f ca="1">IF($A108="","",SUMIFS('Current Char Stats'!$AB$4:$AB$273,'Current Char Stats'!$A$4:$A$273,$A108,'Current Char Stats'!$B$4:$B$273,$B108))</f>
        <v>0</v>
      </c>
      <c r="Z108" s="18">
        <f ca="1">IF($A108="","",SUMIFS('Current Char Stats'!$AC$4:$AC$273,'Current Char Stats'!$A$4:$A$273,$A108,'Current Char Stats'!$B$4:$B$273,$B108))</f>
        <v>0</v>
      </c>
      <c r="AA108" s="18" cm="1">
        <f t="array" aca="1" ref="AA108" ca="1">IF($A108="","",_xlfn.LET(_xlpm.rawIP,SUMPRODUCT(--(Data!$AL$4:$AL$183=$A108),--(Data!$AM$4:$AM$183=$B108),IFERROR(Data!$AN$4:$AN$183,0)),IF(_xlpm.rawIP=0,0,(S108+U108)/_xlpm.rawIP)))</f>
        <v>0</v>
      </c>
      <c r="AB108" s="18">
        <f ca="1">IF($A108="","",SUMIFS('Current Char Stats'!$AE$4:$AE$273,'Current Char Stats'!$A$4:$A$273,$A108,'Current Char Stats'!$B$4:$B$273,$B108))</f>
        <v>0</v>
      </c>
    </row>
    <row r="109" spans="1:28">
      <c r="A109" s="93" t="str">
        <f>Data!C32</f>
        <v>Jason</v>
      </c>
      <c r="B109" s="5" t="str">
        <f>Data!D32</f>
        <v>Baby Daisy</v>
      </c>
      <c r="C109" s="5">
        <f ca="1">SUMIFS(Data!$W$4:$W$273,Data!$T$4:$T$273,A109,Data!$U$4:$U$273,B109)</f>
        <v>0</v>
      </c>
      <c r="D109" s="5">
        <f ca="1">SUMIFS(Data!$Y$4:$Y$273,Data!$T$4:$T$273,A109,Data!$U$4:$U$273,B109)</f>
        <v>0</v>
      </c>
      <c r="E109" s="5">
        <f ca="1">IF(C109=0,0,D109/C109)</f>
        <v>0</v>
      </c>
      <c r="F109" s="5">
        <f ca="1">SUMIFS(Data!$AB$4:$AB$273,Data!$T$4:$T$273,A109,Data!$U$4:$U$273,B109)</f>
        <v>0</v>
      </c>
      <c r="G109" s="5">
        <f ca="1">SUMIFS(Data!$AC$4:$AC$273,Data!$T$4:$T$273,A109,Data!$U$4:$U$273,B109)</f>
        <v>0</v>
      </c>
      <c r="H109" s="5">
        <f ca="1">IF($A109="","",INT(SUMIFS(Data!$AN$4:$AN$183,Data!$AL$4:$AL$183,$A109,Data!$AM$4:$AM$183,$B109))+MOD(ROUND(SUMIFS(Data!$AN$4:$AN$183,Data!$AL$4:$AL$183,$A109,Data!$AM$4:$AM$183,$B109)*3,0),3)/10)</f>
        <v>0</v>
      </c>
      <c r="I109" s="5">
        <f ca="1">SUMIFS(Data!$AQ$4:$AQ$183,Data!$AL$4:$AL$183,A109,Data!$AM$4:$AM$183,B109)</f>
        <v>0</v>
      </c>
      <c r="J109" s="5">
        <f ca="1">IF($A109="","",IF(SUMIFS(Data!$AN$4:$AN$183,Data!$AL$4:$AL$183,$A109,Data!$AM$4:$AM$183,$B109)=0,0,I109*3/SUMIFS(Data!$AN$4:$AN$183,Data!$AL$4:$AL$183,$A109,Data!$AM$4:$AM$183,$B109)))</f>
        <v>0</v>
      </c>
      <c r="K109" s="18">
        <f ca="1">IF($A109="","",SUMIFS('Current Char Stats'!$N$4:$N$273,'Current Char Stats'!$A$4:$A$273,$A109,'Current Char Stats'!$B$4:$B$273,$B109))</f>
        <v>0</v>
      </c>
      <c r="L109" s="18">
        <f ca="1">IF($A109="","",SUMIFS('Current Char Stats'!$O$4:$O$273,'Current Char Stats'!$A$4:$A$273,$A109,'Current Char Stats'!$B$4:$B$273,$B109))</f>
        <v>0</v>
      </c>
      <c r="M109" s="18">
        <f ca="1">IF($A109="","",SUMIFS('Current Char Stats'!$P$4:$P$273,'Current Char Stats'!$A$4:$A$273,$A109,'Current Char Stats'!$B$4:$B$273,$B109))</f>
        <v>0</v>
      </c>
      <c r="N109" s="18">
        <f ca="1">IF($A109="","",SUMIFS('Current Char Stats'!$Q$4:$Q$273,'Current Char Stats'!$A$4:$A$273,$A109,'Current Char Stats'!$B$4:$B$273,$B109))</f>
        <v>0</v>
      </c>
      <c r="O109" s="18">
        <f ca="1">IF($A109="","",SUMIFS('Current Char Stats'!$R$4:$R$273,'Current Char Stats'!$A$4:$A$273,$A109,'Current Char Stats'!$B$4:$B$273,$B109))</f>
        <v>0</v>
      </c>
      <c r="P109" s="18">
        <f ca="1">IF($A109="","",SUMIFS('Current Char Stats'!$S$4:$S$273,'Current Char Stats'!$A$4:$A$273,$A109,'Current Char Stats'!$B$4:$B$273,$B109))</f>
        <v>0</v>
      </c>
      <c r="Q109" s="18">
        <f ca="1">IF($A109="","",SUMIFS('Current Char Stats'!$T$4:$T$273,'Current Char Stats'!$A$4:$A$273,$A109,'Current Char Stats'!$B$4:$B$273,$B109))</f>
        <v>0</v>
      </c>
      <c r="R109" s="18">
        <f ca="1">IF($A109="","",SUMIFS('Current Char Stats'!$U$4:$U$273,'Current Char Stats'!$A$4:$A$273,$A109,'Current Char Stats'!$B$4:$B$273,$B109))</f>
        <v>0</v>
      </c>
      <c r="S109" s="18">
        <f ca="1">IF($A109="","",SUMIFS('Current Char Stats'!$V$4:$V$273,'Current Char Stats'!$A$4:$A$273,$A109,'Current Char Stats'!$B$4:$B$273,$B109))</f>
        <v>0</v>
      </c>
      <c r="T109" s="18">
        <f ca="1">IF($A109="","",SUMIFS('Current Char Stats'!$W$4:$W$273,'Current Char Stats'!$A$4:$A$273,$A109,'Current Char Stats'!$B$4:$B$273,$B109))</f>
        <v>0</v>
      </c>
      <c r="U109" s="18">
        <f ca="1">IF($A109="","",SUMIFS('Current Char Stats'!$X$4:$X$273,'Current Char Stats'!$A$4:$A$273,$A109,'Current Char Stats'!$B$4:$B$273,$B109))</f>
        <v>0</v>
      </c>
      <c r="V109" s="18">
        <f ca="1">IF($A109="","",SUMIFS('Current Char Stats'!$Y$4:$Y$273,'Current Char Stats'!$A$4:$A$273,$A109,'Current Char Stats'!$B$4:$B$273,$B109))</f>
        <v>0</v>
      </c>
      <c r="W109" s="18">
        <f ca="1">IF($A109="","",SUMIFS('Current Char Stats'!$Z$4:$Z$273,'Current Char Stats'!$A$4:$A$273,$A109,'Current Char Stats'!$B$4:$B$273,$B109))</f>
        <v>0</v>
      </c>
      <c r="X109" s="18">
        <f ca="1">IF($A109="","",SUMIFS('Current Char Stats'!$AA$4:$AA$273,'Current Char Stats'!$A$4:$A$273,$A109,'Current Char Stats'!$B$4:$B$273,$B109))</f>
        <v>0</v>
      </c>
      <c r="Y109" s="18">
        <f ca="1">IF($A109="","",SUMIFS('Current Char Stats'!$AB$4:$AB$273,'Current Char Stats'!$A$4:$A$273,$A109,'Current Char Stats'!$B$4:$B$273,$B109))</f>
        <v>0</v>
      </c>
      <c r="Z109" s="18">
        <f ca="1">IF($A109="","",SUMIFS('Current Char Stats'!$AC$4:$AC$273,'Current Char Stats'!$A$4:$A$273,$A109,'Current Char Stats'!$B$4:$B$273,$B109))</f>
        <v>0</v>
      </c>
      <c r="AA109" s="18" cm="1">
        <f t="array" aca="1" ref="AA109" ca="1">IF($A109="","",_xlfn.LET(_xlpm.rawIP,SUMPRODUCT(--(Data!$AL$4:$AL$183=$A109),--(Data!$AM$4:$AM$183=$B109),IFERROR(Data!$AN$4:$AN$183,0)),IF(_xlpm.rawIP=0,0,(S109+U109)/_xlpm.rawIP)))</f>
        <v>0</v>
      </c>
      <c r="AB109" s="18">
        <f ca="1">IF($A109="","",SUMIFS('Current Char Stats'!$AE$4:$AE$273,'Current Char Stats'!$A$4:$A$273,$A109,'Current Char Stats'!$B$4:$B$273,$B109))</f>
        <v>0</v>
      </c>
    </row>
    <row r="110" spans="1:28">
      <c r="A110" s="95" t="str">
        <f>Data!C33</f>
        <v>May</v>
      </c>
      <c r="B110" s="5" t="str">
        <f>Data!D33</f>
        <v>Red Yoshi</v>
      </c>
      <c r="C110" s="5">
        <f ca="1">SUMIFS(Data!$W$4:$W$273,Data!$T$4:$T$273,A110,Data!$U$4:$U$273,B110)</f>
        <v>0</v>
      </c>
      <c r="D110" s="5">
        <f ca="1">SUMIFS(Data!$Y$4:$Y$273,Data!$T$4:$T$273,A110,Data!$U$4:$U$273,B110)</f>
        <v>0</v>
      </c>
      <c r="E110" s="5">
        <f ca="1">IF(C110=0,0,D110/C110)</f>
        <v>0</v>
      </c>
      <c r="F110" s="5">
        <f ca="1">SUMIFS(Data!$AB$4:$AB$273,Data!$T$4:$T$273,A110,Data!$U$4:$U$273,B110)</f>
        <v>0</v>
      </c>
      <c r="G110" s="5">
        <f ca="1">SUMIFS(Data!$AC$4:$AC$273,Data!$T$4:$T$273,A110,Data!$U$4:$U$273,B110)</f>
        <v>0</v>
      </c>
      <c r="H110" s="5">
        <f ca="1">IF($A110="","",INT(SUMIFS(Data!$AN$4:$AN$183,Data!$AL$4:$AL$183,$A110,Data!$AM$4:$AM$183,$B110))+MOD(ROUND(SUMIFS(Data!$AN$4:$AN$183,Data!$AL$4:$AL$183,$A110,Data!$AM$4:$AM$183,$B110)*3,0),3)/10)</f>
        <v>0</v>
      </c>
      <c r="I110" s="5">
        <f ca="1">SUMIFS(Data!$AQ$4:$AQ$183,Data!$AL$4:$AL$183,A110,Data!$AM$4:$AM$183,B110)</f>
        <v>0</v>
      </c>
      <c r="J110" s="5">
        <f ca="1">IF($A110="","",IF(SUMIFS(Data!$AN$4:$AN$183,Data!$AL$4:$AL$183,$A110,Data!$AM$4:$AM$183,$B110)=0,0,I110*3/SUMIFS(Data!$AN$4:$AN$183,Data!$AL$4:$AL$183,$A110,Data!$AM$4:$AM$183,$B110)))</f>
        <v>0</v>
      </c>
      <c r="K110" s="18">
        <f ca="1">IF($A110="","",SUMIFS('Current Char Stats'!$N$4:$N$273,'Current Char Stats'!$A$4:$A$273,$A110,'Current Char Stats'!$B$4:$B$273,$B110))</f>
        <v>0</v>
      </c>
      <c r="L110" s="18">
        <f ca="1">IF($A110="","",SUMIFS('Current Char Stats'!$O$4:$O$273,'Current Char Stats'!$A$4:$A$273,$A110,'Current Char Stats'!$B$4:$B$273,$B110))</f>
        <v>0</v>
      </c>
      <c r="M110" s="18">
        <f ca="1">IF($A110="","",SUMIFS('Current Char Stats'!$P$4:$P$273,'Current Char Stats'!$A$4:$A$273,$A110,'Current Char Stats'!$B$4:$B$273,$B110))</f>
        <v>0</v>
      </c>
      <c r="N110" s="18">
        <f ca="1">IF($A110="","",SUMIFS('Current Char Stats'!$Q$4:$Q$273,'Current Char Stats'!$A$4:$A$273,$A110,'Current Char Stats'!$B$4:$B$273,$B110))</f>
        <v>0</v>
      </c>
      <c r="O110" s="18">
        <f ca="1">IF($A110="","",SUMIFS('Current Char Stats'!$R$4:$R$273,'Current Char Stats'!$A$4:$A$273,$A110,'Current Char Stats'!$B$4:$B$273,$B110))</f>
        <v>0</v>
      </c>
      <c r="P110" s="18">
        <f ca="1">IF($A110="","",SUMIFS('Current Char Stats'!$S$4:$S$273,'Current Char Stats'!$A$4:$A$273,$A110,'Current Char Stats'!$B$4:$B$273,$B110))</f>
        <v>0</v>
      </c>
      <c r="Q110" s="18">
        <f ca="1">IF($A110="","",SUMIFS('Current Char Stats'!$T$4:$T$273,'Current Char Stats'!$A$4:$A$273,$A110,'Current Char Stats'!$B$4:$B$273,$B110))</f>
        <v>0</v>
      </c>
      <c r="R110" s="18">
        <f ca="1">IF($A110="","",SUMIFS('Current Char Stats'!$U$4:$U$273,'Current Char Stats'!$A$4:$A$273,$A110,'Current Char Stats'!$B$4:$B$273,$B110))</f>
        <v>0</v>
      </c>
      <c r="S110" s="18">
        <f ca="1">IF($A110="","",SUMIFS('Current Char Stats'!$V$4:$V$273,'Current Char Stats'!$A$4:$A$273,$A110,'Current Char Stats'!$B$4:$B$273,$B110))</f>
        <v>0</v>
      </c>
      <c r="T110" s="18">
        <f ca="1">IF($A110="","",SUMIFS('Current Char Stats'!$W$4:$W$273,'Current Char Stats'!$A$4:$A$273,$A110,'Current Char Stats'!$B$4:$B$273,$B110))</f>
        <v>0</v>
      </c>
      <c r="U110" s="18">
        <f ca="1">IF($A110="","",SUMIFS('Current Char Stats'!$X$4:$X$273,'Current Char Stats'!$A$4:$A$273,$A110,'Current Char Stats'!$B$4:$B$273,$B110))</f>
        <v>0</v>
      </c>
      <c r="V110" s="18">
        <f ca="1">IF($A110="","",SUMIFS('Current Char Stats'!$Y$4:$Y$273,'Current Char Stats'!$A$4:$A$273,$A110,'Current Char Stats'!$B$4:$B$273,$B110))</f>
        <v>0</v>
      </c>
      <c r="W110" s="18">
        <f ca="1">IF($A110="","",SUMIFS('Current Char Stats'!$Z$4:$Z$273,'Current Char Stats'!$A$4:$A$273,$A110,'Current Char Stats'!$B$4:$B$273,$B110))</f>
        <v>0</v>
      </c>
      <c r="X110" s="18">
        <f ca="1">IF($A110="","",SUMIFS('Current Char Stats'!$AA$4:$AA$273,'Current Char Stats'!$A$4:$A$273,$A110,'Current Char Stats'!$B$4:$B$273,$B110))</f>
        <v>0</v>
      </c>
      <c r="Y110" s="18">
        <f ca="1">IF($A110="","",SUMIFS('Current Char Stats'!$AB$4:$AB$273,'Current Char Stats'!$A$4:$A$273,$A110,'Current Char Stats'!$B$4:$B$273,$B110))</f>
        <v>0</v>
      </c>
      <c r="Z110" s="18">
        <f ca="1">IF($A110="","",SUMIFS('Current Char Stats'!$AC$4:$AC$273,'Current Char Stats'!$A$4:$A$273,$A110,'Current Char Stats'!$B$4:$B$273,$B110))</f>
        <v>0</v>
      </c>
      <c r="AA110" s="18" cm="1">
        <f t="array" aca="1" ref="AA110" ca="1">IF($A110="","",_xlfn.LET(_xlpm.rawIP,SUMPRODUCT(--(Data!$AL$4:$AL$183=$A110),--(Data!$AM$4:$AM$183=$B110),IFERROR(Data!$AN$4:$AN$183,0)),IF(_xlpm.rawIP=0,0,(S110+U110)/_xlpm.rawIP)))</f>
        <v>0</v>
      </c>
      <c r="AB110" s="18">
        <f ca="1">IF($A110="","",SUMIFS('Current Char Stats'!$AE$4:$AE$273,'Current Char Stats'!$A$4:$A$273,$A110,'Current Char Stats'!$B$4:$B$273,$B110))</f>
        <v>0</v>
      </c>
    </row>
    <row r="111" spans="1:28">
      <c r="A111" s="95" t="str">
        <f>Data!C34</f>
        <v>May</v>
      </c>
      <c r="B111" s="5" t="str">
        <f>Data!D34</f>
        <v>Baby Peach</v>
      </c>
      <c r="C111" s="5">
        <f ca="1">SUMIFS(Data!$W$4:$W$273,Data!$T$4:$T$273,A111,Data!$U$4:$U$273,B111)</f>
        <v>0</v>
      </c>
      <c r="D111" s="5">
        <f ca="1">SUMIFS(Data!$Y$4:$Y$273,Data!$T$4:$T$273,A111,Data!$U$4:$U$273,B111)</f>
        <v>0</v>
      </c>
      <c r="E111" s="5">
        <f ca="1">IF(C111=0,0,D111/C111)</f>
        <v>0</v>
      </c>
      <c r="F111" s="5">
        <f ca="1">SUMIFS(Data!$AB$4:$AB$273,Data!$T$4:$T$273,A111,Data!$U$4:$U$273,B111)</f>
        <v>0</v>
      </c>
      <c r="G111" s="5">
        <f ca="1">SUMIFS(Data!$AC$4:$AC$273,Data!$T$4:$T$273,A111,Data!$U$4:$U$273,B111)</f>
        <v>0</v>
      </c>
      <c r="H111" s="5">
        <f ca="1">IF($A111="","",INT(SUMIFS(Data!$AN$4:$AN$183,Data!$AL$4:$AL$183,$A111,Data!$AM$4:$AM$183,$B111))+MOD(ROUND(SUMIFS(Data!$AN$4:$AN$183,Data!$AL$4:$AL$183,$A111,Data!$AM$4:$AM$183,$B111)*3,0),3)/10)</f>
        <v>3</v>
      </c>
      <c r="I111" s="5">
        <f ca="1">SUMIFS(Data!$AQ$4:$AQ$183,Data!$AL$4:$AL$183,A111,Data!$AM$4:$AM$183,B111)</f>
        <v>1</v>
      </c>
      <c r="J111" s="5">
        <f ca="1">IF($A111="","",IF(SUMIFS(Data!$AN$4:$AN$183,Data!$AL$4:$AL$183,$A111,Data!$AM$4:$AM$183,$B111)=0,0,I111*3/SUMIFS(Data!$AN$4:$AN$183,Data!$AL$4:$AL$183,$A111,Data!$AM$4:$AM$183,$B111)))</f>
        <v>3</v>
      </c>
      <c r="K111" s="18">
        <f ca="1">IF($A111="","",SUMIFS('Current Char Stats'!$N$4:$N$273,'Current Char Stats'!$A$4:$A$273,$A111,'Current Char Stats'!$B$4:$B$273,$B111))</f>
        <v>0</v>
      </c>
      <c r="L111" s="18">
        <f ca="1">IF($A111="","",SUMIFS('Current Char Stats'!$O$4:$O$273,'Current Char Stats'!$A$4:$A$273,$A111,'Current Char Stats'!$B$4:$B$273,$B111))</f>
        <v>0</v>
      </c>
      <c r="M111" s="18">
        <f ca="1">IF($A111="","",SUMIFS('Current Char Stats'!$P$4:$P$273,'Current Char Stats'!$A$4:$A$273,$A111,'Current Char Stats'!$B$4:$B$273,$B111))</f>
        <v>0</v>
      </c>
      <c r="N111" s="18">
        <f ca="1">IF($A111="","",SUMIFS('Current Char Stats'!$Q$4:$Q$273,'Current Char Stats'!$A$4:$A$273,$A111,'Current Char Stats'!$B$4:$B$273,$B111))</f>
        <v>0</v>
      </c>
      <c r="O111" s="18">
        <f ca="1">IF($A111="","",SUMIFS('Current Char Stats'!$R$4:$R$273,'Current Char Stats'!$A$4:$A$273,$A111,'Current Char Stats'!$B$4:$B$273,$B111))</f>
        <v>0</v>
      </c>
      <c r="P111" s="18">
        <f ca="1">IF($A111="","",SUMIFS('Current Char Stats'!$S$4:$S$273,'Current Char Stats'!$A$4:$A$273,$A111,'Current Char Stats'!$B$4:$B$273,$B111))</f>
        <v>0</v>
      </c>
      <c r="Q111" s="18">
        <f ca="1">IF($A111="","",SUMIFS('Current Char Stats'!$T$4:$T$273,'Current Char Stats'!$A$4:$A$273,$A111,'Current Char Stats'!$B$4:$B$273,$B111))</f>
        <v>0</v>
      </c>
      <c r="R111" s="18">
        <f ca="1">IF($A111="","",SUMIFS('Current Char Stats'!$U$4:$U$273,'Current Char Stats'!$A$4:$A$273,$A111,'Current Char Stats'!$B$4:$B$273,$B111))</f>
        <v>0</v>
      </c>
      <c r="S111" s="18">
        <f ca="1">IF($A111="","",SUMIFS('Current Char Stats'!$V$4:$V$273,'Current Char Stats'!$A$4:$A$273,$A111,'Current Char Stats'!$B$4:$B$273,$B111))</f>
        <v>0</v>
      </c>
      <c r="T111" s="18">
        <f ca="1">IF($A111="","",SUMIFS('Current Char Stats'!$W$4:$W$273,'Current Char Stats'!$A$4:$A$273,$A111,'Current Char Stats'!$B$4:$B$273,$B111))</f>
        <v>0</v>
      </c>
      <c r="U111" s="18">
        <f ca="1">IF($A111="","",SUMIFS('Current Char Stats'!$X$4:$X$273,'Current Char Stats'!$A$4:$A$273,$A111,'Current Char Stats'!$B$4:$B$273,$B111))</f>
        <v>0</v>
      </c>
      <c r="V111" s="18">
        <f ca="1">IF($A111="","",SUMIFS('Current Char Stats'!$Y$4:$Y$273,'Current Char Stats'!$A$4:$A$273,$A111,'Current Char Stats'!$B$4:$B$273,$B111))</f>
        <v>0</v>
      </c>
      <c r="W111" s="18">
        <f ca="1">IF($A111="","",SUMIFS('Current Char Stats'!$Z$4:$Z$273,'Current Char Stats'!$A$4:$A$273,$A111,'Current Char Stats'!$B$4:$B$273,$B111))</f>
        <v>0</v>
      </c>
      <c r="X111" s="18">
        <f ca="1">IF($A111="","",SUMIFS('Current Char Stats'!$AA$4:$AA$273,'Current Char Stats'!$A$4:$A$273,$A111,'Current Char Stats'!$B$4:$B$273,$B111))</f>
        <v>0</v>
      </c>
      <c r="Y111" s="18">
        <f ca="1">IF($A111="","",SUMIFS('Current Char Stats'!$AB$4:$AB$273,'Current Char Stats'!$A$4:$A$273,$A111,'Current Char Stats'!$B$4:$B$273,$B111))</f>
        <v>0</v>
      </c>
      <c r="Z111" s="18">
        <f ca="1">IF($A111="","",SUMIFS('Current Char Stats'!$AC$4:$AC$273,'Current Char Stats'!$A$4:$A$273,$A111,'Current Char Stats'!$B$4:$B$273,$B111))</f>
        <v>0</v>
      </c>
      <c r="AA111" s="18" cm="1">
        <f t="array" aca="1" ref="AA111" ca="1">IF($A111="","",_xlfn.LET(_xlpm.rawIP,SUMPRODUCT(--(Data!$AL$4:$AL$183=$A111),--(Data!$AM$4:$AM$183=$B111),IFERROR(Data!$AN$4:$AN$183,0)),IF(_xlpm.rawIP=0,0,(S111+U111)/_xlpm.rawIP)))</f>
        <v>0</v>
      </c>
      <c r="AB111" s="18">
        <f ca="1">IF($A111="","",SUMIFS('Current Char Stats'!$AE$4:$AE$273,'Current Char Stats'!$A$4:$A$273,$A111,'Current Char Stats'!$B$4:$B$273,$B111))</f>
        <v>0</v>
      </c>
    </row>
    <row r="112" spans="1:28">
      <c r="A112" s="93" t="str">
        <f>Data!C35</f>
        <v>Jason</v>
      </c>
      <c r="B112" s="5" t="str">
        <f>Data!D35</f>
        <v>Baby Mario</v>
      </c>
      <c r="C112" s="5">
        <f ca="1">SUMIFS(Data!$W$4:$W$273,Data!$T$4:$T$273,A112,Data!$U$4:$U$273,B112)</f>
        <v>0</v>
      </c>
      <c r="D112" s="5">
        <f ca="1">SUMIFS(Data!$Y$4:$Y$273,Data!$T$4:$T$273,A112,Data!$U$4:$U$273,B112)</f>
        <v>0</v>
      </c>
      <c r="E112" s="5">
        <f ca="1">IF(C112=0,0,D112/C112)</f>
        <v>0</v>
      </c>
      <c r="F112" s="5">
        <f ca="1">SUMIFS(Data!$AB$4:$AB$273,Data!$T$4:$T$273,A112,Data!$U$4:$U$273,B112)</f>
        <v>0</v>
      </c>
      <c r="G112" s="5">
        <f ca="1">SUMIFS(Data!$AC$4:$AC$273,Data!$T$4:$T$273,A112,Data!$U$4:$U$273,B112)</f>
        <v>0</v>
      </c>
      <c r="H112" s="5">
        <f ca="1">IF($A112="","",INT(SUMIFS(Data!$AN$4:$AN$183,Data!$AL$4:$AL$183,$A112,Data!$AM$4:$AM$183,$B112))+MOD(ROUND(SUMIFS(Data!$AN$4:$AN$183,Data!$AL$4:$AL$183,$A112,Data!$AM$4:$AM$183,$B112)*3,0),3)/10)</f>
        <v>0</v>
      </c>
      <c r="I112" s="5">
        <f ca="1">SUMIFS(Data!$AQ$4:$AQ$183,Data!$AL$4:$AL$183,A112,Data!$AM$4:$AM$183,B112)</f>
        <v>0</v>
      </c>
      <c r="J112" s="5">
        <f ca="1">IF($A112="","",IF(SUMIFS(Data!$AN$4:$AN$183,Data!$AL$4:$AL$183,$A112,Data!$AM$4:$AM$183,$B112)=0,0,I112*3/SUMIFS(Data!$AN$4:$AN$183,Data!$AL$4:$AL$183,$A112,Data!$AM$4:$AM$183,$B112)))</f>
        <v>0</v>
      </c>
      <c r="K112" s="18">
        <f ca="1">IF($A112="","",SUMIFS('Current Char Stats'!$N$4:$N$273,'Current Char Stats'!$A$4:$A$273,$A112,'Current Char Stats'!$B$4:$B$273,$B112))</f>
        <v>0</v>
      </c>
      <c r="L112" s="18">
        <f ca="1">IF($A112="","",SUMIFS('Current Char Stats'!$O$4:$O$273,'Current Char Stats'!$A$4:$A$273,$A112,'Current Char Stats'!$B$4:$B$273,$B112))</f>
        <v>0</v>
      </c>
      <c r="M112" s="18">
        <f ca="1">IF($A112="","",SUMIFS('Current Char Stats'!$P$4:$P$273,'Current Char Stats'!$A$4:$A$273,$A112,'Current Char Stats'!$B$4:$B$273,$B112))</f>
        <v>0</v>
      </c>
      <c r="N112" s="18">
        <f ca="1">IF($A112="","",SUMIFS('Current Char Stats'!$Q$4:$Q$273,'Current Char Stats'!$A$4:$A$273,$A112,'Current Char Stats'!$B$4:$B$273,$B112))</f>
        <v>0</v>
      </c>
      <c r="O112" s="18">
        <f ca="1">IF($A112="","",SUMIFS('Current Char Stats'!$R$4:$R$273,'Current Char Stats'!$A$4:$A$273,$A112,'Current Char Stats'!$B$4:$B$273,$B112))</f>
        <v>0</v>
      </c>
      <c r="P112" s="18">
        <f ca="1">IF($A112="","",SUMIFS('Current Char Stats'!$S$4:$S$273,'Current Char Stats'!$A$4:$A$273,$A112,'Current Char Stats'!$B$4:$B$273,$B112))</f>
        <v>0</v>
      </c>
      <c r="Q112" s="18">
        <f ca="1">IF($A112="","",SUMIFS('Current Char Stats'!$T$4:$T$273,'Current Char Stats'!$A$4:$A$273,$A112,'Current Char Stats'!$B$4:$B$273,$B112))</f>
        <v>0</v>
      </c>
      <c r="R112" s="18">
        <f ca="1">IF($A112="","",SUMIFS('Current Char Stats'!$U$4:$U$273,'Current Char Stats'!$A$4:$A$273,$A112,'Current Char Stats'!$B$4:$B$273,$B112))</f>
        <v>0</v>
      </c>
      <c r="S112" s="18">
        <f ca="1">IF($A112="","",SUMIFS('Current Char Stats'!$V$4:$V$273,'Current Char Stats'!$A$4:$A$273,$A112,'Current Char Stats'!$B$4:$B$273,$B112))</f>
        <v>0</v>
      </c>
      <c r="T112" s="18">
        <f ca="1">IF($A112="","",SUMIFS('Current Char Stats'!$W$4:$W$273,'Current Char Stats'!$A$4:$A$273,$A112,'Current Char Stats'!$B$4:$B$273,$B112))</f>
        <v>0</v>
      </c>
      <c r="U112" s="18">
        <f ca="1">IF($A112="","",SUMIFS('Current Char Stats'!$X$4:$X$273,'Current Char Stats'!$A$4:$A$273,$A112,'Current Char Stats'!$B$4:$B$273,$B112))</f>
        <v>0</v>
      </c>
      <c r="V112" s="18">
        <f ca="1">IF($A112="","",SUMIFS('Current Char Stats'!$Y$4:$Y$273,'Current Char Stats'!$A$4:$A$273,$A112,'Current Char Stats'!$B$4:$B$273,$B112))</f>
        <v>0</v>
      </c>
      <c r="W112" s="18">
        <f ca="1">IF($A112="","",SUMIFS('Current Char Stats'!$Z$4:$Z$273,'Current Char Stats'!$A$4:$A$273,$A112,'Current Char Stats'!$B$4:$B$273,$B112))</f>
        <v>0</v>
      </c>
      <c r="X112" s="18">
        <f ca="1">IF($A112="","",SUMIFS('Current Char Stats'!$AA$4:$AA$273,'Current Char Stats'!$A$4:$A$273,$A112,'Current Char Stats'!$B$4:$B$273,$B112))</f>
        <v>0</v>
      </c>
      <c r="Y112" s="18">
        <f ca="1">IF($A112="","",SUMIFS('Current Char Stats'!$AB$4:$AB$273,'Current Char Stats'!$A$4:$A$273,$A112,'Current Char Stats'!$B$4:$B$273,$B112))</f>
        <v>0</v>
      </c>
      <c r="Z112" s="18">
        <f ca="1">IF($A112="","",SUMIFS('Current Char Stats'!$AC$4:$AC$273,'Current Char Stats'!$A$4:$A$273,$A112,'Current Char Stats'!$B$4:$B$273,$B112))</f>
        <v>0</v>
      </c>
      <c r="AA112" s="18" cm="1">
        <f t="array" aca="1" ref="AA112" ca="1">IF($A112="","",_xlfn.LET(_xlpm.rawIP,SUMPRODUCT(--(Data!$AL$4:$AL$183=$A112),--(Data!$AM$4:$AM$183=$B112),IFERROR(Data!$AN$4:$AN$183,0)),IF(_xlpm.rawIP=0,0,(S112+U112)/_xlpm.rawIP)))</f>
        <v>0</v>
      </c>
      <c r="AB112" s="18">
        <f ca="1">IF($A112="","",SUMIFS('Current Char Stats'!$AE$4:$AE$273,'Current Char Stats'!$A$4:$A$273,$A112,'Current Char Stats'!$B$4:$B$273,$B112))</f>
        <v>0</v>
      </c>
    </row>
    <row r="113" spans="1:28">
      <c r="A113" s="92" t="str">
        <f>Data!C36</f>
        <v>Aidan</v>
      </c>
      <c r="B113" s="5" t="str">
        <f>Data!D36</f>
        <v>Blue Pianta</v>
      </c>
      <c r="C113" s="5">
        <f ca="1">SUMIFS(Data!$W$4:$W$273,Data!$T$4:$T$273,A113,Data!$U$4:$U$273,B113)</f>
        <v>0</v>
      </c>
      <c r="D113" s="5">
        <f ca="1">SUMIFS(Data!$Y$4:$Y$273,Data!$T$4:$T$273,A113,Data!$U$4:$U$273,B113)</f>
        <v>0</v>
      </c>
      <c r="E113" s="5">
        <f ca="1">IF(C113=0,0,D113/C113)</f>
        <v>0</v>
      </c>
      <c r="F113" s="5">
        <f ca="1">SUMIFS(Data!$AB$4:$AB$273,Data!$T$4:$T$273,A113,Data!$U$4:$U$273,B113)</f>
        <v>0</v>
      </c>
      <c r="G113" s="5">
        <f ca="1">SUMIFS(Data!$AC$4:$AC$273,Data!$T$4:$T$273,A113,Data!$U$4:$U$273,B113)</f>
        <v>0</v>
      </c>
      <c r="H113" s="5">
        <f ca="1">IF($A113="","",INT(SUMIFS(Data!$AN$4:$AN$183,Data!$AL$4:$AL$183,$A113,Data!$AM$4:$AM$183,$B113))+MOD(ROUND(SUMIFS(Data!$AN$4:$AN$183,Data!$AL$4:$AL$183,$A113,Data!$AM$4:$AM$183,$B113)*3,0),3)/10)</f>
        <v>0</v>
      </c>
      <c r="I113" s="5">
        <f ca="1">SUMIFS(Data!$AQ$4:$AQ$183,Data!$AL$4:$AL$183,A113,Data!$AM$4:$AM$183,B113)</f>
        <v>0</v>
      </c>
      <c r="J113" s="5">
        <f ca="1">IF($A113="","",IF(SUMIFS(Data!$AN$4:$AN$183,Data!$AL$4:$AL$183,$A113,Data!$AM$4:$AM$183,$B113)=0,0,I113*3/SUMIFS(Data!$AN$4:$AN$183,Data!$AL$4:$AL$183,$A113,Data!$AM$4:$AM$183,$B113)))</f>
        <v>0</v>
      </c>
      <c r="K113" s="18">
        <f ca="1">IF($A113="","",SUMIFS('Current Char Stats'!$N$4:$N$273,'Current Char Stats'!$A$4:$A$273,$A113,'Current Char Stats'!$B$4:$B$273,$B113))</f>
        <v>0</v>
      </c>
      <c r="L113" s="18">
        <f ca="1">IF($A113="","",SUMIFS('Current Char Stats'!$O$4:$O$273,'Current Char Stats'!$A$4:$A$273,$A113,'Current Char Stats'!$B$4:$B$273,$B113))</f>
        <v>0</v>
      </c>
      <c r="M113" s="18">
        <f ca="1">IF($A113="","",SUMIFS('Current Char Stats'!$P$4:$P$273,'Current Char Stats'!$A$4:$A$273,$A113,'Current Char Stats'!$B$4:$B$273,$B113))</f>
        <v>0</v>
      </c>
      <c r="N113" s="18">
        <f ca="1">IF($A113="","",SUMIFS('Current Char Stats'!$Q$4:$Q$273,'Current Char Stats'!$A$4:$A$273,$A113,'Current Char Stats'!$B$4:$B$273,$B113))</f>
        <v>0</v>
      </c>
      <c r="O113" s="18">
        <f ca="1">IF($A113="","",SUMIFS('Current Char Stats'!$R$4:$R$273,'Current Char Stats'!$A$4:$A$273,$A113,'Current Char Stats'!$B$4:$B$273,$B113))</f>
        <v>0</v>
      </c>
      <c r="P113" s="18">
        <f ca="1">IF($A113="","",SUMIFS('Current Char Stats'!$S$4:$S$273,'Current Char Stats'!$A$4:$A$273,$A113,'Current Char Stats'!$B$4:$B$273,$B113))</f>
        <v>0</v>
      </c>
      <c r="Q113" s="18">
        <f ca="1">IF($A113="","",SUMIFS('Current Char Stats'!$T$4:$T$273,'Current Char Stats'!$A$4:$A$273,$A113,'Current Char Stats'!$B$4:$B$273,$B113))</f>
        <v>0</v>
      </c>
      <c r="R113" s="18">
        <f ca="1">IF($A113="","",SUMIFS('Current Char Stats'!$U$4:$U$273,'Current Char Stats'!$A$4:$A$273,$A113,'Current Char Stats'!$B$4:$B$273,$B113))</f>
        <v>0</v>
      </c>
      <c r="S113" s="18">
        <f ca="1">IF($A113="","",SUMIFS('Current Char Stats'!$V$4:$V$273,'Current Char Stats'!$A$4:$A$273,$A113,'Current Char Stats'!$B$4:$B$273,$B113))</f>
        <v>0</v>
      </c>
      <c r="T113" s="18">
        <f ca="1">IF($A113="","",SUMIFS('Current Char Stats'!$W$4:$W$273,'Current Char Stats'!$A$4:$A$273,$A113,'Current Char Stats'!$B$4:$B$273,$B113))</f>
        <v>0</v>
      </c>
      <c r="U113" s="18">
        <f ca="1">IF($A113="","",SUMIFS('Current Char Stats'!$X$4:$X$273,'Current Char Stats'!$A$4:$A$273,$A113,'Current Char Stats'!$B$4:$B$273,$B113))</f>
        <v>0</v>
      </c>
      <c r="V113" s="18">
        <f ca="1">IF($A113="","",SUMIFS('Current Char Stats'!$Y$4:$Y$273,'Current Char Stats'!$A$4:$A$273,$A113,'Current Char Stats'!$B$4:$B$273,$B113))</f>
        <v>0</v>
      </c>
      <c r="W113" s="18">
        <f ca="1">IF($A113="","",SUMIFS('Current Char Stats'!$Z$4:$Z$273,'Current Char Stats'!$A$4:$A$273,$A113,'Current Char Stats'!$B$4:$B$273,$B113))</f>
        <v>0</v>
      </c>
      <c r="X113" s="18">
        <f ca="1">IF($A113="","",SUMIFS('Current Char Stats'!$AA$4:$AA$273,'Current Char Stats'!$A$4:$A$273,$A113,'Current Char Stats'!$B$4:$B$273,$B113))</f>
        <v>0</v>
      </c>
      <c r="Y113" s="18">
        <f ca="1">IF($A113="","",SUMIFS('Current Char Stats'!$AB$4:$AB$273,'Current Char Stats'!$A$4:$A$273,$A113,'Current Char Stats'!$B$4:$B$273,$B113))</f>
        <v>0</v>
      </c>
      <c r="Z113" s="18">
        <f ca="1">IF($A113="","",SUMIFS('Current Char Stats'!$AC$4:$AC$273,'Current Char Stats'!$A$4:$A$273,$A113,'Current Char Stats'!$B$4:$B$273,$B113))</f>
        <v>0</v>
      </c>
      <c r="AA113" s="18" cm="1">
        <f t="array" aca="1" ref="AA113" ca="1">IF($A113="","",_xlfn.LET(_xlpm.rawIP,SUMPRODUCT(--(Data!$AL$4:$AL$183=$A113),--(Data!$AM$4:$AM$183=$B113),IFERROR(Data!$AN$4:$AN$183,0)),IF(_xlpm.rawIP=0,0,(S113+U113)/_xlpm.rawIP)))</f>
        <v>0</v>
      </c>
      <c r="AB113" s="18">
        <f ca="1">IF($A113="","",SUMIFS('Current Char Stats'!$AE$4:$AE$273,'Current Char Stats'!$A$4:$A$273,$A113,'Current Char Stats'!$B$4:$B$273,$B113))</f>
        <v>0</v>
      </c>
    </row>
    <row r="114" spans="1:28">
      <c r="A114" s="90" t="str">
        <f>Data!C37</f>
        <v>Nick</v>
      </c>
      <c r="B114" s="5" t="str">
        <f>Data!D37</f>
        <v>Wario</v>
      </c>
      <c r="C114" s="5">
        <f ca="1">SUMIFS(Data!$W$4:$W$273,Data!$T$4:$T$273,A114,Data!$U$4:$U$273,B114)</f>
        <v>0</v>
      </c>
      <c r="D114" s="5">
        <f ca="1">SUMIFS(Data!$Y$4:$Y$273,Data!$T$4:$T$273,A114,Data!$U$4:$U$273,B114)</f>
        <v>0</v>
      </c>
      <c r="E114" s="5">
        <f ca="1">IF(C114=0,0,D114/C114)</f>
        <v>0</v>
      </c>
      <c r="F114" s="5">
        <f ca="1">SUMIFS(Data!$AB$4:$AB$273,Data!$T$4:$T$273,A114,Data!$U$4:$U$273,B114)</f>
        <v>0</v>
      </c>
      <c r="G114" s="5">
        <f ca="1">SUMIFS(Data!$AC$4:$AC$273,Data!$T$4:$T$273,A114,Data!$U$4:$U$273,B114)</f>
        <v>0</v>
      </c>
      <c r="H114" s="5">
        <f ca="1">IF($A114="","",INT(SUMIFS(Data!$AN$4:$AN$183,Data!$AL$4:$AL$183,$A114,Data!$AM$4:$AM$183,$B114))+MOD(ROUND(SUMIFS(Data!$AN$4:$AN$183,Data!$AL$4:$AL$183,$A114,Data!$AM$4:$AM$183,$B114)*3,0),3)/10)</f>
        <v>0.1</v>
      </c>
      <c r="I114" s="5">
        <f ca="1">SUMIFS(Data!$AQ$4:$AQ$183,Data!$AL$4:$AL$183,A114,Data!$AM$4:$AM$183,B114)</f>
        <v>0</v>
      </c>
      <c r="J114" s="5">
        <f ca="1">IF($A114="","",IF(SUMIFS(Data!$AN$4:$AN$183,Data!$AL$4:$AL$183,$A114,Data!$AM$4:$AM$183,$B114)=0,0,I114*3/SUMIFS(Data!$AN$4:$AN$183,Data!$AL$4:$AL$183,$A114,Data!$AM$4:$AM$183,$B114)))</f>
        <v>0</v>
      </c>
      <c r="K114" s="18">
        <f ca="1">IF($A114="","",SUMIFS('Current Char Stats'!$N$4:$N$273,'Current Char Stats'!$A$4:$A$273,$A114,'Current Char Stats'!$B$4:$B$273,$B114))</f>
        <v>0</v>
      </c>
      <c r="L114" s="18">
        <f ca="1">IF($A114="","",SUMIFS('Current Char Stats'!$O$4:$O$273,'Current Char Stats'!$A$4:$A$273,$A114,'Current Char Stats'!$B$4:$B$273,$B114))</f>
        <v>0</v>
      </c>
      <c r="M114" s="18">
        <f ca="1">IF($A114="","",SUMIFS('Current Char Stats'!$P$4:$P$273,'Current Char Stats'!$A$4:$A$273,$A114,'Current Char Stats'!$B$4:$B$273,$B114))</f>
        <v>0</v>
      </c>
      <c r="N114" s="18">
        <f ca="1">IF($A114="","",SUMIFS('Current Char Stats'!$Q$4:$Q$273,'Current Char Stats'!$A$4:$A$273,$A114,'Current Char Stats'!$B$4:$B$273,$B114))</f>
        <v>0</v>
      </c>
      <c r="O114" s="18">
        <f ca="1">IF($A114="","",SUMIFS('Current Char Stats'!$R$4:$R$273,'Current Char Stats'!$A$4:$A$273,$A114,'Current Char Stats'!$B$4:$B$273,$B114))</f>
        <v>0</v>
      </c>
      <c r="P114" s="18">
        <f ca="1">IF($A114="","",SUMIFS('Current Char Stats'!$S$4:$S$273,'Current Char Stats'!$A$4:$A$273,$A114,'Current Char Stats'!$B$4:$B$273,$B114))</f>
        <v>0</v>
      </c>
      <c r="Q114" s="18">
        <f ca="1">IF($A114="","",SUMIFS('Current Char Stats'!$T$4:$T$273,'Current Char Stats'!$A$4:$A$273,$A114,'Current Char Stats'!$B$4:$B$273,$B114))</f>
        <v>0</v>
      </c>
      <c r="R114" s="18">
        <f ca="1">IF($A114="","",SUMIFS('Current Char Stats'!$U$4:$U$273,'Current Char Stats'!$A$4:$A$273,$A114,'Current Char Stats'!$B$4:$B$273,$B114))</f>
        <v>0</v>
      </c>
      <c r="S114" s="18">
        <f ca="1">IF($A114="","",SUMIFS('Current Char Stats'!$V$4:$V$273,'Current Char Stats'!$A$4:$A$273,$A114,'Current Char Stats'!$B$4:$B$273,$B114))</f>
        <v>0</v>
      </c>
      <c r="T114" s="18">
        <f ca="1">IF($A114="","",SUMIFS('Current Char Stats'!$W$4:$W$273,'Current Char Stats'!$A$4:$A$273,$A114,'Current Char Stats'!$B$4:$B$273,$B114))</f>
        <v>0</v>
      </c>
      <c r="U114" s="18">
        <f ca="1">IF($A114="","",SUMIFS('Current Char Stats'!$X$4:$X$273,'Current Char Stats'!$A$4:$A$273,$A114,'Current Char Stats'!$B$4:$B$273,$B114))</f>
        <v>0</v>
      </c>
      <c r="V114" s="18">
        <f ca="1">IF($A114="","",SUMIFS('Current Char Stats'!$Y$4:$Y$273,'Current Char Stats'!$A$4:$A$273,$A114,'Current Char Stats'!$B$4:$B$273,$B114))</f>
        <v>0</v>
      </c>
      <c r="W114" s="18">
        <f ca="1">IF($A114="","",SUMIFS('Current Char Stats'!$Z$4:$Z$273,'Current Char Stats'!$A$4:$A$273,$A114,'Current Char Stats'!$B$4:$B$273,$B114))</f>
        <v>0</v>
      </c>
      <c r="X114" s="18">
        <f ca="1">IF($A114="","",SUMIFS('Current Char Stats'!$AA$4:$AA$273,'Current Char Stats'!$A$4:$A$273,$A114,'Current Char Stats'!$B$4:$B$273,$B114))</f>
        <v>0</v>
      </c>
      <c r="Y114" s="18">
        <f ca="1">IF($A114="","",SUMIFS('Current Char Stats'!$AB$4:$AB$273,'Current Char Stats'!$A$4:$A$273,$A114,'Current Char Stats'!$B$4:$B$273,$B114))</f>
        <v>0</v>
      </c>
      <c r="Z114" s="18">
        <f ca="1">IF($A114="","",SUMIFS('Current Char Stats'!$AC$4:$AC$273,'Current Char Stats'!$A$4:$A$273,$A114,'Current Char Stats'!$B$4:$B$273,$B114))</f>
        <v>0</v>
      </c>
      <c r="AA114" s="18" cm="1">
        <f t="array" aca="1" ref="AA114" ca="1">IF($A114="","",_xlfn.LET(_xlpm.rawIP,SUMPRODUCT(--(Data!$AL$4:$AL$183=$A114),--(Data!$AM$4:$AM$183=$B114),IFERROR(Data!$AN$4:$AN$183,0)),IF(_xlpm.rawIP=0,0,(S114+U114)/_xlpm.rawIP)))</f>
        <v>0</v>
      </c>
      <c r="AB114" s="18">
        <f ca="1">IF($A114="","",SUMIFS('Current Char Stats'!$AE$4:$AE$273,'Current Char Stats'!$A$4:$A$273,$A114,'Current Char Stats'!$B$4:$B$273,$B114))</f>
        <v>0</v>
      </c>
    </row>
    <row r="115" spans="1:28">
      <c r="A115" s="89" t="str">
        <f>Data!C38</f>
        <v>Donovan</v>
      </c>
      <c r="B115" s="5" t="str">
        <f>Data!D38</f>
        <v>Fire Bro</v>
      </c>
      <c r="C115" s="5">
        <f ca="1">SUMIFS(Data!$W$4:$W$273,Data!$T$4:$T$273,A115,Data!$U$4:$U$273,B115)</f>
        <v>0</v>
      </c>
      <c r="D115" s="5">
        <f ca="1">SUMIFS(Data!$Y$4:$Y$273,Data!$T$4:$T$273,A115,Data!$U$4:$U$273,B115)</f>
        <v>0</v>
      </c>
      <c r="E115" s="5">
        <f ca="1">IF(C115=0,0,D115/C115)</f>
        <v>0</v>
      </c>
      <c r="F115" s="5">
        <f ca="1">SUMIFS(Data!$AB$4:$AB$273,Data!$T$4:$T$273,A115,Data!$U$4:$U$273,B115)</f>
        <v>0</v>
      </c>
      <c r="G115" s="5">
        <f ca="1">SUMIFS(Data!$AC$4:$AC$273,Data!$T$4:$T$273,A115,Data!$U$4:$U$273,B115)</f>
        <v>0</v>
      </c>
      <c r="H115" s="5">
        <f ca="1">IF($A115="","",INT(SUMIFS(Data!$AN$4:$AN$183,Data!$AL$4:$AL$183,$A115,Data!$AM$4:$AM$183,$B115))+MOD(ROUND(SUMIFS(Data!$AN$4:$AN$183,Data!$AL$4:$AL$183,$A115,Data!$AM$4:$AM$183,$B115)*3,0),3)/10)</f>
        <v>0</v>
      </c>
      <c r="I115" s="5">
        <f ca="1">SUMIFS(Data!$AQ$4:$AQ$183,Data!$AL$4:$AL$183,A115,Data!$AM$4:$AM$183,B115)</f>
        <v>0</v>
      </c>
      <c r="J115" s="5">
        <f ca="1">IF($A115="","",IF(SUMIFS(Data!$AN$4:$AN$183,Data!$AL$4:$AL$183,$A115,Data!$AM$4:$AM$183,$B115)=0,0,I115*3/SUMIFS(Data!$AN$4:$AN$183,Data!$AL$4:$AL$183,$A115,Data!$AM$4:$AM$183,$B115)))</f>
        <v>0</v>
      </c>
      <c r="K115" s="18">
        <f ca="1">IF($A115="","",SUMIFS('Current Char Stats'!$N$4:$N$273,'Current Char Stats'!$A$4:$A$273,$A115,'Current Char Stats'!$B$4:$B$273,$B115))</f>
        <v>0</v>
      </c>
      <c r="L115" s="18">
        <f ca="1">IF($A115="","",SUMIFS('Current Char Stats'!$O$4:$O$273,'Current Char Stats'!$A$4:$A$273,$A115,'Current Char Stats'!$B$4:$B$273,$B115))</f>
        <v>0</v>
      </c>
      <c r="M115" s="18">
        <f ca="1">IF($A115="","",SUMIFS('Current Char Stats'!$P$4:$P$273,'Current Char Stats'!$A$4:$A$273,$A115,'Current Char Stats'!$B$4:$B$273,$B115))</f>
        <v>0</v>
      </c>
      <c r="N115" s="18">
        <f ca="1">IF($A115="","",SUMIFS('Current Char Stats'!$Q$4:$Q$273,'Current Char Stats'!$A$4:$A$273,$A115,'Current Char Stats'!$B$4:$B$273,$B115))</f>
        <v>0</v>
      </c>
      <c r="O115" s="18">
        <f ca="1">IF($A115="","",SUMIFS('Current Char Stats'!$R$4:$R$273,'Current Char Stats'!$A$4:$A$273,$A115,'Current Char Stats'!$B$4:$B$273,$B115))</f>
        <v>0</v>
      </c>
      <c r="P115" s="18">
        <f ca="1">IF($A115="","",SUMIFS('Current Char Stats'!$S$4:$S$273,'Current Char Stats'!$A$4:$A$273,$A115,'Current Char Stats'!$B$4:$B$273,$B115))</f>
        <v>0</v>
      </c>
      <c r="Q115" s="18">
        <f ca="1">IF($A115="","",SUMIFS('Current Char Stats'!$T$4:$T$273,'Current Char Stats'!$A$4:$A$273,$A115,'Current Char Stats'!$B$4:$B$273,$B115))</f>
        <v>0</v>
      </c>
      <c r="R115" s="18">
        <f ca="1">IF($A115="","",SUMIFS('Current Char Stats'!$U$4:$U$273,'Current Char Stats'!$A$4:$A$273,$A115,'Current Char Stats'!$B$4:$B$273,$B115))</f>
        <v>0</v>
      </c>
      <c r="S115" s="18">
        <f ca="1">IF($A115="","",SUMIFS('Current Char Stats'!$V$4:$V$273,'Current Char Stats'!$A$4:$A$273,$A115,'Current Char Stats'!$B$4:$B$273,$B115))</f>
        <v>0</v>
      </c>
      <c r="T115" s="18">
        <f ca="1">IF($A115="","",SUMIFS('Current Char Stats'!$W$4:$W$273,'Current Char Stats'!$A$4:$A$273,$A115,'Current Char Stats'!$B$4:$B$273,$B115))</f>
        <v>0</v>
      </c>
      <c r="U115" s="18">
        <f ca="1">IF($A115="","",SUMIFS('Current Char Stats'!$X$4:$X$273,'Current Char Stats'!$A$4:$A$273,$A115,'Current Char Stats'!$B$4:$B$273,$B115))</f>
        <v>0</v>
      </c>
      <c r="V115" s="18">
        <f ca="1">IF($A115="","",SUMIFS('Current Char Stats'!$Y$4:$Y$273,'Current Char Stats'!$A$4:$A$273,$A115,'Current Char Stats'!$B$4:$B$273,$B115))</f>
        <v>0</v>
      </c>
      <c r="W115" s="18">
        <f ca="1">IF($A115="","",SUMIFS('Current Char Stats'!$Z$4:$Z$273,'Current Char Stats'!$A$4:$A$273,$A115,'Current Char Stats'!$B$4:$B$273,$B115))</f>
        <v>0</v>
      </c>
      <c r="X115" s="18">
        <f ca="1">IF($A115="","",SUMIFS('Current Char Stats'!$AA$4:$AA$273,'Current Char Stats'!$A$4:$A$273,$A115,'Current Char Stats'!$B$4:$B$273,$B115))</f>
        <v>0</v>
      </c>
      <c r="Y115" s="18">
        <f ca="1">IF($A115="","",SUMIFS('Current Char Stats'!$AB$4:$AB$273,'Current Char Stats'!$A$4:$A$273,$A115,'Current Char Stats'!$B$4:$B$273,$B115))</f>
        <v>0</v>
      </c>
      <c r="Z115" s="18">
        <f ca="1">IF($A115="","",SUMIFS('Current Char Stats'!$AC$4:$AC$273,'Current Char Stats'!$A$4:$A$273,$A115,'Current Char Stats'!$B$4:$B$273,$B115))</f>
        <v>0</v>
      </c>
      <c r="AA115" s="18" cm="1">
        <f t="array" aca="1" ref="AA115" ca="1">IF($A115="","",_xlfn.LET(_xlpm.rawIP,SUMPRODUCT(--(Data!$AL$4:$AL$183=$A115),--(Data!$AM$4:$AM$183=$B115),IFERROR(Data!$AN$4:$AN$183,0)),IF(_xlpm.rawIP=0,0,(S115+U115)/_xlpm.rawIP)))</f>
        <v>0</v>
      </c>
      <c r="AB115" s="18">
        <f ca="1">IF($A115="","",SUMIFS('Current Char Stats'!$AE$4:$AE$273,'Current Char Stats'!$A$4:$A$273,$A115,'Current Char Stats'!$B$4:$B$273,$B115))</f>
        <v>0</v>
      </c>
    </row>
    <row r="116" spans="1:28">
      <c r="A116" s="88" t="str">
        <f>Data!C39</f>
        <v>Justin</v>
      </c>
      <c r="B116" s="5" t="str">
        <f>Data!D39</f>
        <v>Red Pianta</v>
      </c>
      <c r="C116" s="5">
        <f ca="1">SUMIFS(Data!$W$4:$W$273,Data!$T$4:$T$273,A116,Data!$U$4:$U$273,B116)</f>
        <v>0</v>
      </c>
      <c r="D116" s="5">
        <f ca="1">SUMIFS(Data!$Y$4:$Y$273,Data!$T$4:$T$273,A116,Data!$U$4:$U$273,B116)</f>
        <v>0</v>
      </c>
      <c r="E116" s="5">
        <f ca="1">IF(C116=0,0,D116/C116)</f>
        <v>0</v>
      </c>
      <c r="F116" s="5">
        <f ca="1">SUMIFS(Data!$AB$4:$AB$273,Data!$T$4:$T$273,A116,Data!$U$4:$U$273,B116)</f>
        <v>0</v>
      </c>
      <c r="G116" s="5">
        <f ca="1">SUMIFS(Data!$AC$4:$AC$273,Data!$T$4:$T$273,A116,Data!$U$4:$U$273,B116)</f>
        <v>0</v>
      </c>
      <c r="H116" s="5">
        <f ca="1">IF($A116="","",INT(SUMIFS(Data!$AN$4:$AN$183,Data!$AL$4:$AL$183,$A116,Data!$AM$4:$AM$183,$B116))+MOD(ROUND(SUMIFS(Data!$AN$4:$AN$183,Data!$AL$4:$AL$183,$A116,Data!$AM$4:$AM$183,$B116)*3,0),3)/10)</f>
        <v>0</v>
      </c>
      <c r="I116" s="5">
        <f ca="1">SUMIFS(Data!$AQ$4:$AQ$183,Data!$AL$4:$AL$183,A116,Data!$AM$4:$AM$183,B116)</f>
        <v>0</v>
      </c>
      <c r="J116" s="5">
        <f ca="1">IF($A116="","",IF(SUMIFS(Data!$AN$4:$AN$183,Data!$AL$4:$AL$183,$A116,Data!$AM$4:$AM$183,$B116)=0,0,I116*3/SUMIFS(Data!$AN$4:$AN$183,Data!$AL$4:$AL$183,$A116,Data!$AM$4:$AM$183,$B116)))</f>
        <v>0</v>
      </c>
      <c r="K116" s="18">
        <f ca="1">IF($A116="","",SUMIFS('Current Char Stats'!$N$4:$N$273,'Current Char Stats'!$A$4:$A$273,$A116,'Current Char Stats'!$B$4:$B$273,$B116))</f>
        <v>0</v>
      </c>
      <c r="L116" s="18">
        <f ca="1">IF($A116="","",SUMIFS('Current Char Stats'!$O$4:$O$273,'Current Char Stats'!$A$4:$A$273,$A116,'Current Char Stats'!$B$4:$B$273,$B116))</f>
        <v>0</v>
      </c>
      <c r="M116" s="18">
        <f ca="1">IF($A116="","",SUMIFS('Current Char Stats'!$P$4:$P$273,'Current Char Stats'!$A$4:$A$273,$A116,'Current Char Stats'!$B$4:$B$273,$B116))</f>
        <v>0</v>
      </c>
      <c r="N116" s="18">
        <f ca="1">IF($A116="","",SUMIFS('Current Char Stats'!$Q$4:$Q$273,'Current Char Stats'!$A$4:$A$273,$A116,'Current Char Stats'!$B$4:$B$273,$B116))</f>
        <v>0</v>
      </c>
      <c r="O116" s="18">
        <f ca="1">IF($A116="","",SUMIFS('Current Char Stats'!$R$4:$R$273,'Current Char Stats'!$A$4:$A$273,$A116,'Current Char Stats'!$B$4:$B$273,$B116))</f>
        <v>0</v>
      </c>
      <c r="P116" s="18">
        <f ca="1">IF($A116="","",SUMIFS('Current Char Stats'!$S$4:$S$273,'Current Char Stats'!$A$4:$A$273,$A116,'Current Char Stats'!$B$4:$B$273,$B116))</f>
        <v>0</v>
      </c>
      <c r="Q116" s="18">
        <f ca="1">IF($A116="","",SUMIFS('Current Char Stats'!$T$4:$T$273,'Current Char Stats'!$A$4:$A$273,$A116,'Current Char Stats'!$B$4:$B$273,$B116))</f>
        <v>0</v>
      </c>
      <c r="R116" s="18">
        <f ca="1">IF($A116="","",SUMIFS('Current Char Stats'!$U$4:$U$273,'Current Char Stats'!$A$4:$A$273,$A116,'Current Char Stats'!$B$4:$B$273,$B116))</f>
        <v>0</v>
      </c>
      <c r="S116" s="18">
        <f ca="1">IF($A116="","",SUMIFS('Current Char Stats'!$V$4:$V$273,'Current Char Stats'!$A$4:$A$273,$A116,'Current Char Stats'!$B$4:$B$273,$B116))</f>
        <v>0</v>
      </c>
      <c r="T116" s="18">
        <f ca="1">IF($A116="","",SUMIFS('Current Char Stats'!$W$4:$W$273,'Current Char Stats'!$A$4:$A$273,$A116,'Current Char Stats'!$B$4:$B$273,$B116))</f>
        <v>0</v>
      </c>
      <c r="U116" s="18">
        <f ca="1">IF($A116="","",SUMIFS('Current Char Stats'!$X$4:$X$273,'Current Char Stats'!$A$4:$A$273,$A116,'Current Char Stats'!$B$4:$B$273,$B116))</f>
        <v>0</v>
      </c>
      <c r="V116" s="18">
        <f ca="1">IF($A116="","",SUMIFS('Current Char Stats'!$Y$4:$Y$273,'Current Char Stats'!$A$4:$A$273,$A116,'Current Char Stats'!$B$4:$B$273,$B116))</f>
        <v>0</v>
      </c>
      <c r="W116" s="18">
        <f ca="1">IF($A116="","",SUMIFS('Current Char Stats'!$Z$4:$Z$273,'Current Char Stats'!$A$4:$A$273,$A116,'Current Char Stats'!$B$4:$B$273,$B116))</f>
        <v>0</v>
      </c>
      <c r="X116" s="18">
        <f ca="1">IF($A116="","",SUMIFS('Current Char Stats'!$AA$4:$AA$273,'Current Char Stats'!$A$4:$A$273,$A116,'Current Char Stats'!$B$4:$B$273,$B116))</f>
        <v>0</v>
      </c>
      <c r="Y116" s="18">
        <f ca="1">IF($A116="","",SUMIFS('Current Char Stats'!$AB$4:$AB$273,'Current Char Stats'!$A$4:$A$273,$A116,'Current Char Stats'!$B$4:$B$273,$B116))</f>
        <v>0</v>
      </c>
      <c r="Z116" s="18">
        <f ca="1">IF($A116="","",SUMIFS('Current Char Stats'!$AC$4:$AC$273,'Current Char Stats'!$A$4:$A$273,$A116,'Current Char Stats'!$B$4:$B$273,$B116))</f>
        <v>0</v>
      </c>
      <c r="AA116" s="18" cm="1">
        <f t="array" aca="1" ref="AA116" ca="1">IF($A116="","",_xlfn.LET(_xlpm.rawIP,SUMPRODUCT(--(Data!$AL$4:$AL$183=$A116),--(Data!$AM$4:$AM$183=$B116),IFERROR(Data!$AN$4:$AN$183,0)),IF(_xlpm.rawIP=0,0,(S116+U116)/_xlpm.rawIP)))</f>
        <v>0</v>
      </c>
      <c r="AB116" s="18">
        <f ca="1">IF($A116="","",SUMIFS('Current Char Stats'!$AE$4:$AE$273,'Current Char Stats'!$A$4:$A$273,$A116,'Current Char Stats'!$B$4:$B$273,$B116))</f>
        <v>0</v>
      </c>
    </row>
    <row r="117" spans="1:28">
      <c r="A117" s="88" t="str">
        <f>Data!C40</f>
        <v>Justin</v>
      </c>
      <c r="B117" s="5" t="str">
        <f>Data!D40</f>
        <v>Baby Luigi</v>
      </c>
      <c r="C117" s="5">
        <f ca="1">SUMIFS(Data!$W$4:$W$273,Data!$T$4:$T$273,A117,Data!$U$4:$U$273,B117)</f>
        <v>0</v>
      </c>
      <c r="D117" s="5">
        <f ca="1">SUMIFS(Data!$Y$4:$Y$273,Data!$T$4:$T$273,A117,Data!$U$4:$U$273,B117)</f>
        <v>0</v>
      </c>
      <c r="E117" s="5">
        <f ca="1">IF(C117=0,0,D117/C117)</f>
        <v>0</v>
      </c>
      <c r="F117" s="5">
        <f ca="1">SUMIFS(Data!$AB$4:$AB$273,Data!$T$4:$T$273,A117,Data!$U$4:$U$273,B117)</f>
        <v>0</v>
      </c>
      <c r="G117" s="5">
        <f ca="1">SUMIFS(Data!$AC$4:$AC$273,Data!$T$4:$T$273,A117,Data!$U$4:$U$273,B117)</f>
        <v>0</v>
      </c>
      <c r="H117" s="5">
        <f ca="1">IF($A117="","",INT(SUMIFS(Data!$AN$4:$AN$183,Data!$AL$4:$AL$183,$A117,Data!$AM$4:$AM$183,$B117))+MOD(ROUND(SUMIFS(Data!$AN$4:$AN$183,Data!$AL$4:$AL$183,$A117,Data!$AM$4:$AM$183,$B117)*3,0),3)/10)</f>
        <v>0</v>
      </c>
      <c r="I117" s="5">
        <f ca="1">SUMIFS(Data!$AQ$4:$AQ$183,Data!$AL$4:$AL$183,A117,Data!$AM$4:$AM$183,B117)</f>
        <v>0</v>
      </c>
      <c r="J117" s="5">
        <f ca="1">IF($A117="","",IF(SUMIFS(Data!$AN$4:$AN$183,Data!$AL$4:$AL$183,$A117,Data!$AM$4:$AM$183,$B117)=0,0,I117*3/SUMIFS(Data!$AN$4:$AN$183,Data!$AL$4:$AL$183,$A117,Data!$AM$4:$AM$183,$B117)))</f>
        <v>0</v>
      </c>
      <c r="K117" s="18">
        <f ca="1">IF($A117="","",SUMIFS('Current Char Stats'!$N$4:$N$273,'Current Char Stats'!$A$4:$A$273,$A117,'Current Char Stats'!$B$4:$B$273,$B117))</f>
        <v>0</v>
      </c>
      <c r="L117" s="18">
        <f ca="1">IF($A117="","",SUMIFS('Current Char Stats'!$O$4:$O$273,'Current Char Stats'!$A$4:$A$273,$A117,'Current Char Stats'!$B$4:$B$273,$B117))</f>
        <v>0</v>
      </c>
      <c r="M117" s="18">
        <f ca="1">IF($A117="","",SUMIFS('Current Char Stats'!$P$4:$P$273,'Current Char Stats'!$A$4:$A$273,$A117,'Current Char Stats'!$B$4:$B$273,$B117))</f>
        <v>0</v>
      </c>
      <c r="N117" s="18">
        <f ca="1">IF($A117="","",SUMIFS('Current Char Stats'!$Q$4:$Q$273,'Current Char Stats'!$A$4:$A$273,$A117,'Current Char Stats'!$B$4:$B$273,$B117))</f>
        <v>0</v>
      </c>
      <c r="O117" s="18">
        <f ca="1">IF($A117="","",SUMIFS('Current Char Stats'!$R$4:$R$273,'Current Char Stats'!$A$4:$A$273,$A117,'Current Char Stats'!$B$4:$B$273,$B117))</f>
        <v>0</v>
      </c>
      <c r="P117" s="18">
        <f ca="1">IF($A117="","",SUMIFS('Current Char Stats'!$S$4:$S$273,'Current Char Stats'!$A$4:$A$273,$A117,'Current Char Stats'!$B$4:$B$273,$B117))</f>
        <v>0</v>
      </c>
      <c r="Q117" s="18">
        <f ca="1">IF($A117="","",SUMIFS('Current Char Stats'!$T$4:$T$273,'Current Char Stats'!$A$4:$A$273,$A117,'Current Char Stats'!$B$4:$B$273,$B117))</f>
        <v>0</v>
      </c>
      <c r="R117" s="18">
        <f ca="1">IF($A117="","",SUMIFS('Current Char Stats'!$U$4:$U$273,'Current Char Stats'!$A$4:$A$273,$A117,'Current Char Stats'!$B$4:$B$273,$B117))</f>
        <v>0</v>
      </c>
      <c r="S117" s="18">
        <f ca="1">IF($A117="","",SUMIFS('Current Char Stats'!$V$4:$V$273,'Current Char Stats'!$A$4:$A$273,$A117,'Current Char Stats'!$B$4:$B$273,$B117))</f>
        <v>0</v>
      </c>
      <c r="T117" s="18">
        <f ca="1">IF($A117="","",SUMIFS('Current Char Stats'!$W$4:$W$273,'Current Char Stats'!$A$4:$A$273,$A117,'Current Char Stats'!$B$4:$B$273,$B117))</f>
        <v>0</v>
      </c>
      <c r="U117" s="18">
        <f ca="1">IF($A117="","",SUMIFS('Current Char Stats'!$X$4:$X$273,'Current Char Stats'!$A$4:$A$273,$A117,'Current Char Stats'!$B$4:$B$273,$B117))</f>
        <v>0</v>
      </c>
      <c r="V117" s="18">
        <f ca="1">IF($A117="","",SUMIFS('Current Char Stats'!$Y$4:$Y$273,'Current Char Stats'!$A$4:$A$273,$A117,'Current Char Stats'!$B$4:$B$273,$B117))</f>
        <v>0</v>
      </c>
      <c r="W117" s="18">
        <f ca="1">IF($A117="","",SUMIFS('Current Char Stats'!$Z$4:$Z$273,'Current Char Stats'!$A$4:$A$273,$A117,'Current Char Stats'!$B$4:$B$273,$B117))</f>
        <v>0</v>
      </c>
      <c r="X117" s="18">
        <f ca="1">IF($A117="","",SUMIFS('Current Char Stats'!$AA$4:$AA$273,'Current Char Stats'!$A$4:$A$273,$A117,'Current Char Stats'!$B$4:$B$273,$B117))</f>
        <v>0</v>
      </c>
      <c r="Y117" s="18">
        <f ca="1">IF($A117="","",SUMIFS('Current Char Stats'!$AB$4:$AB$273,'Current Char Stats'!$A$4:$A$273,$A117,'Current Char Stats'!$B$4:$B$273,$B117))</f>
        <v>0</v>
      </c>
      <c r="Z117" s="18">
        <f ca="1">IF($A117="","",SUMIFS('Current Char Stats'!$AC$4:$AC$273,'Current Char Stats'!$A$4:$A$273,$A117,'Current Char Stats'!$B$4:$B$273,$B117))</f>
        <v>0</v>
      </c>
      <c r="AA117" s="18" cm="1">
        <f t="array" aca="1" ref="AA117" ca="1">IF($A117="","",_xlfn.LET(_xlpm.rawIP,SUMPRODUCT(--(Data!$AL$4:$AL$183=$A117),--(Data!$AM$4:$AM$183=$B117),IFERROR(Data!$AN$4:$AN$183,0)),IF(_xlpm.rawIP=0,0,(S117+U117)/_xlpm.rawIP)))</f>
        <v>0</v>
      </c>
      <c r="AB117" s="18">
        <f ca="1">IF($A117="","",SUMIFS('Current Char Stats'!$AE$4:$AE$273,'Current Char Stats'!$A$4:$A$273,$A117,'Current Char Stats'!$B$4:$B$273,$B117))</f>
        <v>0</v>
      </c>
    </row>
    <row r="118" spans="1:28">
      <c r="A118" s="89" t="str">
        <f>Data!C41</f>
        <v>Donovan</v>
      </c>
      <c r="B118" s="5" t="str">
        <f>Data!D41</f>
        <v>Tiny Kong</v>
      </c>
      <c r="C118" s="5">
        <f ca="1">SUMIFS(Data!$W$4:$W$273,Data!$T$4:$T$273,A118,Data!$U$4:$U$273,B118)</f>
        <v>0</v>
      </c>
      <c r="D118" s="5">
        <f ca="1">SUMIFS(Data!$Y$4:$Y$273,Data!$T$4:$T$273,A118,Data!$U$4:$U$273,B118)</f>
        <v>0</v>
      </c>
      <c r="E118" s="5">
        <f ca="1">IF(C118=0,0,D118/C118)</f>
        <v>0</v>
      </c>
      <c r="F118" s="5">
        <f ca="1">SUMIFS(Data!$AB$4:$AB$273,Data!$T$4:$T$273,A118,Data!$U$4:$U$273,B118)</f>
        <v>0</v>
      </c>
      <c r="G118" s="5">
        <f ca="1">SUMIFS(Data!$AC$4:$AC$273,Data!$T$4:$T$273,A118,Data!$U$4:$U$273,B118)</f>
        <v>0</v>
      </c>
      <c r="H118" s="5">
        <f ca="1">IF($A118="","",INT(SUMIFS(Data!$AN$4:$AN$183,Data!$AL$4:$AL$183,$A118,Data!$AM$4:$AM$183,$B118))+MOD(ROUND(SUMIFS(Data!$AN$4:$AN$183,Data!$AL$4:$AL$183,$A118,Data!$AM$4:$AM$183,$B118)*3,0),3)/10)</f>
        <v>0</v>
      </c>
      <c r="I118" s="5">
        <f ca="1">SUMIFS(Data!$AQ$4:$AQ$183,Data!$AL$4:$AL$183,A118,Data!$AM$4:$AM$183,B118)</f>
        <v>0</v>
      </c>
      <c r="J118" s="5">
        <f ca="1">IF($A118="","",IF(SUMIFS(Data!$AN$4:$AN$183,Data!$AL$4:$AL$183,$A118,Data!$AM$4:$AM$183,$B118)=0,0,I118*3/SUMIFS(Data!$AN$4:$AN$183,Data!$AL$4:$AL$183,$A118,Data!$AM$4:$AM$183,$B118)))</f>
        <v>0</v>
      </c>
      <c r="K118" s="18">
        <f ca="1">IF($A118="","",SUMIFS('Current Char Stats'!$N$4:$N$273,'Current Char Stats'!$A$4:$A$273,$A118,'Current Char Stats'!$B$4:$B$273,$B118))</f>
        <v>0</v>
      </c>
      <c r="L118" s="18">
        <f ca="1">IF($A118="","",SUMIFS('Current Char Stats'!$O$4:$O$273,'Current Char Stats'!$A$4:$A$273,$A118,'Current Char Stats'!$B$4:$B$273,$B118))</f>
        <v>0</v>
      </c>
      <c r="M118" s="18">
        <f ca="1">IF($A118="","",SUMIFS('Current Char Stats'!$P$4:$P$273,'Current Char Stats'!$A$4:$A$273,$A118,'Current Char Stats'!$B$4:$B$273,$B118))</f>
        <v>0</v>
      </c>
      <c r="N118" s="18">
        <f ca="1">IF($A118="","",SUMIFS('Current Char Stats'!$Q$4:$Q$273,'Current Char Stats'!$A$4:$A$273,$A118,'Current Char Stats'!$B$4:$B$273,$B118))</f>
        <v>0</v>
      </c>
      <c r="O118" s="18">
        <f ca="1">IF($A118="","",SUMIFS('Current Char Stats'!$R$4:$R$273,'Current Char Stats'!$A$4:$A$273,$A118,'Current Char Stats'!$B$4:$B$273,$B118))</f>
        <v>0</v>
      </c>
      <c r="P118" s="18">
        <f ca="1">IF($A118="","",SUMIFS('Current Char Stats'!$S$4:$S$273,'Current Char Stats'!$A$4:$A$273,$A118,'Current Char Stats'!$B$4:$B$273,$B118))</f>
        <v>0</v>
      </c>
      <c r="Q118" s="18">
        <f ca="1">IF($A118="","",SUMIFS('Current Char Stats'!$T$4:$T$273,'Current Char Stats'!$A$4:$A$273,$A118,'Current Char Stats'!$B$4:$B$273,$B118))</f>
        <v>0</v>
      </c>
      <c r="R118" s="18">
        <f ca="1">IF($A118="","",SUMIFS('Current Char Stats'!$U$4:$U$273,'Current Char Stats'!$A$4:$A$273,$A118,'Current Char Stats'!$B$4:$B$273,$B118))</f>
        <v>0</v>
      </c>
      <c r="S118" s="18">
        <f ca="1">IF($A118="","",SUMIFS('Current Char Stats'!$V$4:$V$273,'Current Char Stats'!$A$4:$A$273,$A118,'Current Char Stats'!$B$4:$B$273,$B118))</f>
        <v>0</v>
      </c>
      <c r="T118" s="18">
        <f ca="1">IF($A118="","",SUMIFS('Current Char Stats'!$W$4:$W$273,'Current Char Stats'!$A$4:$A$273,$A118,'Current Char Stats'!$B$4:$B$273,$B118))</f>
        <v>0</v>
      </c>
      <c r="U118" s="18">
        <f ca="1">IF($A118="","",SUMIFS('Current Char Stats'!$X$4:$X$273,'Current Char Stats'!$A$4:$A$273,$A118,'Current Char Stats'!$B$4:$B$273,$B118))</f>
        <v>0</v>
      </c>
      <c r="V118" s="18">
        <f ca="1">IF($A118="","",SUMIFS('Current Char Stats'!$Y$4:$Y$273,'Current Char Stats'!$A$4:$A$273,$A118,'Current Char Stats'!$B$4:$B$273,$B118))</f>
        <v>0</v>
      </c>
      <c r="W118" s="18">
        <f ca="1">IF($A118="","",SUMIFS('Current Char Stats'!$Z$4:$Z$273,'Current Char Stats'!$A$4:$A$273,$A118,'Current Char Stats'!$B$4:$B$273,$B118))</f>
        <v>0</v>
      </c>
      <c r="X118" s="18">
        <f ca="1">IF($A118="","",SUMIFS('Current Char Stats'!$AA$4:$AA$273,'Current Char Stats'!$A$4:$A$273,$A118,'Current Char Stats'!$B$4:$B$273,$B118))</f>
        <v>0</v>
      </c>
      <c r="Y118" s="18">
        <f ca="1">IF($A118="","",SUMIFS('Current Char Stats'!$AB$4:$AB$273,'Current Char Stats'!$A$4:$A$273,$A118,'Current Char Stats'!$B$4:$B$273,$B118))</f>
        <v>0</v>
      </c>
      <c r="Z118" s="18">
        <f ca="1">IF($A118="","",SUMIFS('Current Char Stats'!$AC$4:$AC$273,'Current Char Stats'!$A$4:$A$273,$A118,'Current Char Stats'!$B$4:$B$273,$B118))</f>
        <v>0</v>
      </c>
      <c r="AA118" s="18" cm="1">
        <f t="array" aca="1" ref="AA118" ca="1">IF($A118="","",_xlfn.LET(_xlpm.rawIP,SUMPRODUCT(--(Data!$AL$4:$AL$183=$A118),--(Data!$AM$4:$AM$183=$B118),IFERROR(Data!$AN$4:$AN$183,0)),IF(_xlpm.rawIP=0,0,(S118+U118)/_xlpm.rawIP)))</f>
        <v>0</v>
      </c>
      <c r="AB118" s="18">
        <f ca="1">IF($A118="","",SUMIFS('Current Char Stats'!$AE$4:$AE$273,'Current Char Stats'!$A$4:$A$273,$A118,'Current Char Stats'!$B$4:$B$273,$B118))</f>
        <v>0</v>
      </c>
    </row>
    <row r="119" spans="1:28">
      <c r="A119" s="90" t="str">
        <f>Data!C42</f>
        <v>Nick</v>
      </c>
      <c r="B119" s="5" t="str">
        <f>Data!D42</f>
        <v>Wiggler</v>
      </c>
      <c r="C119" s="5">
        <f ca="1">SUMIFS(Data!$W$4:$W$273,Data!$T$4:$T$273,A119,Data!$U$4:$U$273,B119)</f>
        <v>0</v>
      </c>
      <c r="D119" s="5">
        <f ca="1">SUMIFS(Data!$Y$4:$Y$273,Data!$T$4:$T$273,A119,Data!$U$4:$U$273,B119)</f>
        <v>0</v>
      </c>
      <c r="E119" s="5">
        <f ca="1">IF(C119=0,0,D119/C119)</f>
        <v>0</v>
      </c>
      <c r="F119" s="5">
        <f ca="1">SUMIFS(Data!$AB$4:$AB$273,Data!$T$4:$T$273,A119,Data!$U$4:$U$273,B119)</f>
        <v>0</v>
      </c>
      <c r="G119" s="5">
        <f ca="1">SUMIFS(Data!$AC$4:$AC$273,Data!$T$4:$T$273,A119,Data!$U$4:$U$273,B119)</f>
        <v>0</v>
      </c>
      <c r="H119" s="5">
        <f ca="1">IF($A119="","",INT(SUMIFS(Data!$AN$4:$AN$183,Data!$AL$4:$AL$183,$A119,Data!$AM$4:$AM$183,$B119))+MOD(ROUND(SUMIFS(Data!$AN$4:$AN$183,Data!$AL$4:$AL$183,$A119,Data!$AM$4:$AM$183,$B119)*3,0),3)/10)</f>
        <v>1.1000000000000001</v>
      </c>
      <c r="I119" s="5">
        <f ca="1">SUMIFS(Data!$AQ$4:$AQ$183,Data!$AL$4:$AL$183,A119,Data!$AM$4:$AM$183,B119)</f>
        <v>1</v>
      </c>
      <c r="J119" s="5">
        <f ca="1">IF($A119="","",IF(SUMIFS(Data!$AN$4:$AN$183,Data!$AL$4:$AL$183,$A119,Data!$AM$4:$AM$183,$B119)=0,0,I119*3/SUMIFS(Data!$AN$4:$AN$183,Data!$AL$4:$AL$183,$A119,Data!$AM$4:$AM$183,$B119)))</f>
        <v>6.75</v>
      </c>
      <c r="K119" s="18">
        <f ca="1">IF($A119="","",SUMIFS('Current Char Stats'!$N$4:$N$273,'Current Char Stats'!$A$4:$A$273,$A119,'Current Char Stats'!$B$4:$B$273,$B119))</f>
        <v>0</v>
      </c>
      <c r="L119" s="18">
        <f ca="1">IF($A119="","",SUMIFS('Current Char Stats'!$O$4:$O$273,'Current Char Stats'!$A$4:$A$273,$A119,'Current Char Stats'!$B$4:$B$273,$B119))</f>
        <v>0</v>
      </c>
      <c r="M119" s="18">
        <f ca="1">IF($A119="","",SUMIFS('Current Char Stats'!$P$4:$P$273,'Current Char Stats'!$A$4:$A$273,$A119,'Current Char Stats'!$B$4:$B$273,$B119))</f>
        <v>0</v>
      </c>
      <c r="N119" s="18">
        <f ca="1">IF($A119="","",SUMIFS('Current Char Stats'!$Q$4:$Q$273,'Current Char Stats'!$A$4:$A$273,$A119,'Current Char Stats'!$B$4:$B$273,$B119))</f>
        <v>0</v>
      </c>
      <c r="O119" s="18">
        <f ca="1">IF($A119="","",SUMIFS('Current Char Stats'!$R$4:$R$273,'Current Char Stats'!$A$4:$A$273,$A119,'Current Char Stats'!$B$4:$B$273,$B119))</f>
        <v>0</v>
      </c>
      <c r="P119" s="18">
        <f ca="1">IF($A119="","",SUMIFS('Current Char Stats'!$S$4:$S$273,'Current Char Stats'!$A$4:$A$273,$A119,'Current Char Stats'!$B$4:$B$273,$B119))</f>
        <v>0</v>
      </c>
      <c r="Q119" s="18">
        <f ca="1">IF($A119="","",SUMIFS('Current Char Stats'!$T$4:$T$273,'Current Char Stats'!$A$4:$A$273,$A119,'Current Char Stats'!$B$4:$B$273,$B119))</f>
        <v>0</v>
      </c>
      <c r="R119" s="18">
        <f ca="1">IF($A119="","",SUMIFS('Current Char Stats'!$U$4:$U$273,'Current Char Stats'!$A$4:$A$273,$A119,'Current Char Stats'!$B$4:$B$273,$B119))</f>
        <v>0</v>
      </c>
      <c r="S119" s="18">
        <f ca="1">IF($A119="","",SUMIFS('Current Char Stats'!$V$4:$V$273,'Current Char Stats'!$A$4:$A$273,$A119,'Current Char Stats'!$B$4:$B$273,$B119))</f>
        <v>0</v>
      </c>
      <c r="T119" s="18">
        <f ca="1">IF($A119="","",SUMIFS('Current Char Stats'!$W$4:$W$273,'Current Char Stats'!$A$4:$A$273,$A119,'Current Char Stats'!$B$4:$B$273,$B119))</f>
        <v>0</v>
      </c>
      <c r="U119" s="18">
        <f ca="1">IF($A119="","",SUMIFS('Current Char Stats'!$X$4:$X$273,'Current Char Stats'!$A$4:$A$273,$A119,'Current Char Stats'!$B$4:$B$273,$B119))</f>
        <v>0</v>
      </c>
      <c r="V119" s="18">
        <f ca="1">IF($A119="","",SUMIFS('Current Char Stats'!$Y$4:$Y$273,'Current Char Stats'!$A$4:$A$273,$A119,'Current Char Stats'!$B$4:$B$273,$B119))</f>
        <v>0</v>
      </c>
      <c r="W119" s="18">
        <f ca="1">IF($A119="","",SUMIFS('Current Char Stats'!$Z$4:$Z$273,'Current Char Stats'!$A$4:$A$273,$A119,'Current Char Stats'!$B$4:$B$273,$B119))</f>
        <v>0</v>
      </c>
      <c r="X119" s="18">
        <f ca="1">IF($A119="","",SUMIFS('Current Char Stats'!$AA$4:$AA$273,'Current Char Stats'!$A$4:$A$273,$A119,'Current Char Stats'!$B$4:$B$273,$B119))</f>
        <v>0</v>
      </c>
      <c r="Y119" s="18">
        <f ca="1">IF($A119="","",SUMIFS('Current Char Stats'!$AB$4:$AB$273,'Current Char Stats'!$A$4:$A$273,$A119,'Current Char Stats'!$B$4:$B$273,$B119))</f>
        <v>0</v>
      </c>
      <c r="Z119" s="18">
        <f ca="1">IF($A119="","",SUMIFS('Current Char Stats'!$AC$4:$AC$273,'Current Char Stats'!$A$4:$A$273,$A119,'Current Char Stats'!$B$4:$B$273,$B119))</f>
        <v>0</v>
      </c>
      <c r="AA119" s="18" cm="1">
        <f t="array" aca="1" ref="AA119" ca="1">IF($A119="","",_xlfn.LET(_xlpm.rawIP,SUMPRODUCT(--(Data!$AL$4:$AL$183=$A119),--(Data!$AM$4:$AM$183=$B119),IFERROR(Data!$AN$4:$AN$183,0)),IF(_xlpm.rawIP=0,0,(S119+U119)/_xlpm.rawIP)))</f>
        <v>0</v>
      </c>
      <c r="AB119" s="18">
        <f ca="1">IF($A119="","",SUMIFS('Current Char Stats'!$AE$4:$AE$273,'Current Char Stats'!$A$4:$A$273,$A119,'Current Char Stats'!$B$4:$B$273,$B119))</f>
        <v>0</v>
      </c>
    </row>
    <row r="120" spans="1:28">
      <c r="A120" s="92" t="str">
        <f>Data!C43</f>
        <v>Aidan</v>
      </c>
      <c r="B120" s="5" t="str">
        <f>Data!D43</f>
        <v>Yellow Pianta</v>
      </c>
      <c r="C120" s="5">
        <f ca="1">SUMIFS(Data!$W$4:$W$273,Data!$T$4:$T$273,A120,Data!$U$4:$U$273,B120)</f>
        <v>0</v>
      </c>
      <c r="D120" s="5">
        <f ca="1">SUMIFS(Data!$Y$4:$Y$273,Data!$T$4:$T$273,A120,Data!$U$4:$U$273,B120)</f>
        <v>0</v>
      </c>
      <c r="E120" s="5">
        <f ca="1">IF(C120=0,0,D120/C120)</f>
        <v>0</v>
      </c>
      <c r="F120" s="5">
        <f ca="1">SUMIFS(Data!$AB$4:$AB$273,Data!$T$4:$T$273,A120,Data!$U$4:$U$273,B120)</f>
        <v>0</v>
      </c>
      <c r="G120" s="5">
        <f ca="1">SUMIFS(Data!$AC$4:$AC$273,Data!$T$4:$T$273,A120,Data!$U$4:$U$273,B120)</f>
        <v>0</v>
      </c>
      <c r="H120" s="5">
        <f ca="1">IF($A120="","",INT(SUMIFS(Data!$AN$4:$AN$183,Data!$AL$4:$AL$183,$A120,Data!$AM$4:$AM$183,$B120))+MOD(ROUND(SUMIFS(Data!$AN$4:$AN$183,Data!$AL$4:$AL$183,$A120,Data!$AM$4:$AM$183,$B120)*3,0),3)/10)</f>
        <v>0</v>
      </c>
      <c r="I120" s="5">
        <f ca="1">SUMIFS(Data!$AQ$4:$AQ$183,Data!$AL$4:$AL$183,A120,Data!$AM$4:$AM$183,B120)</f>
        <v>0</v>
      </c>
      <c r="J120" s="5">
        <f ca="1">IF($A120="","",IF(SUMIFS(Data!$AN$4:$AN$183,Data!$AL$4:$AL$183,$A120,Data!$AM$4:$AM$183,$B120)=0,0,I120*3/SUMIFS(Data!$AN$4:$AN$183,Data!$AL$4:$AL$183,$A120,Data!$AM$4:$AM$183,$B120)))</f>
        <v>0</v>
      </c>
      <c r="K120" s="18">
        <f ca="1">IF($A120="","",SUMIFS('Current Char Stats'!$N$4:$N$273,'Current Char Stats'!$A$4:$A$273,$A120,'Current Char Stats'!$B$4:$B$273,$B120))</f>
        <v>0</v>
      </c>
      <c r="L120" s="18">
        <f ca="1">IF($A120="","",SUMIFS('Current Char Stats'!$O$4:$O$273,'Current Char Stats'!$A$4:$A$273,$A120,'Current Char Stats'!$B$4:$B$273,$B120))</f>
        <v>0</v>
      </c>
      <c r="M120" s="18">
        <f ca="1">IF($A120="","",SUMIFS('Current Char Stats'!$P$4:$P$273,'Current Char Stats'!$A$4:$A$273,$A120,'Current Char Stats'!$B$4:$B$273,$B120))</f>
        <v>0</v>
      </c>
      <c r="N120" s="18">
        <f ca="1">IF($A120="","",SUMIFS('Current Char Stats'!$Q$4:$Q$273,'Current Char Stats'!$A$4:$A$273,$A120,'Current Char Stats'!$B$4:$B$273,$B120))</f>
        <v>0</v>
      </c>
      <c r="O120" s="18">
        <f ca="1">IF($A120="","",SUMIFS('Current Char Stats'!$R$4:$R$273,'Current Char Stats'!$A$4:$A$273,$A120,'Current Char Stats'!$B$4:$B$273,$B120))</f>
        <v>0</v>
      </c>
      <c r="P120" s="18">
        <f ca="1">IF($A120="","",SUMIFS('Current Char Stats'!$S$4:$S$273,'Current Char Stats'!$A$4:$A$273,$A120,'Current Char Stats'!$B$4:$B$273,$B120))</f>
        <v>0</v>
      </c>
      <c r="Q120" s="18">
        <f ca="1">IF($A120="","",SUMIFS('Current Char Stats'!$T$4:$T$273,'Current Char Stats'!$A$4:$A$273,$A120,'Current Char Stats'!$B$4:$B$273,$B120))</f>
        <v>0</v>
      </c>
      <c r="R120" s="18">
        <f ca="1">IF($A120="","",SUMIFS('Current Char Stats'!$U$4:$U$273,'Current Char Stats'!$A$4:$A$273,$A120,'Current Char Stats'!$B$4:$B$273,$B120))</f>
        <v>0</v>
      </c>
      <c r="S120" s="18">
        <f ca="1">IF($A120="","",SUMIFS('Current Char Stats'!$V$4:$V$273,'Current Char Stats'!$A$4:$A$273,$A120,'Current Char Stats'!$B$4:$B$273,$B120))</f>
        <v>0</v>
      </c>
      <c r="T120" s="18">
        <f ca="1">IF($A120="","",SUMIFS('Current Char Stats'!$W$4:$W$273,'Current Char Stats'!$A$4:$A$273,$A120,'Current Char Stats'!$B$4:$B$273,$B120))</f>
        <v>0</v>
      </c>
      <c r="U120" s="18">
        <f ca="1">IF($A120="","",SUMIFS('Current Char Stats'!$X$4:$X$273,'Current Char Stats'!$A$4:$A$273,$A120,'Current Char Stats'!$B$4:$B$273,$B120))</f>
        <v>0</v>
      </c>
      <c r="V120" s="18">
        <f ca="1">IF($A120="","",SUMIFS('Current Char Stats'!$Y$4:$Y$273,'Current Char Stats'!$A$4:$A$273,$A120,'Current Char Stats'!$B$4:$B$273,$B120))</f>
        <v>0</v>
      </c>
      <c r="W120" s="18">
        <f ca="1">IF($A120="","",SUMIFS('Current Char Stats'!$Z$4:$Z$273,'Current Char Stats'!$A$4:$A$273,$A120,'Current Char Stats'!$B$4:$B$273,$B120))</f>
        <v>0</v>
      </c>
      <c r="X120" s="18">
        <f ca="1">IF($A120="","",SUMIFS('Current Char Stats'!$AA$4:$AA$273,'Current Char Stats'!$A$4:$A$273,$A120,'Current Char Stats'!$B$4:$B$273,$B120))</f>
        <v>0</v>
      </c>
      <c r="Y120" s="18">
        <f ca="1">IF($A120="","",SUMIFS('Current Char Stats'!$AB$4:$AB$273,'Current Char Stats'!$A$4:$A$273,$A120,'Current Char Stats'!$B$4:$B$273,$B120))</f>
        <v>0</v>
      </c>
      <c r="Z120" s="18">
        <f ca="1">IF($A120="","",SUMIFS('Current Char Stats'!$AC$4:$AC$273,'Current Char Stats'!$A$4:$A$273,$A120,'Current Char Stats'!$B$4:$B$273,$B120))</f>
        <v>0</v>
      </c>
      <c r="AA120" s="18" cm="1">
        <f t="array" aca="1" ref="AA120" ca="1">IF($A120="","",_xlfn.LET(_xlpm.rawIP,SUMPRODUCT(--(Data!$AL$4:$AL$183=$A120),--(Data!$AM$4:$AM$183=$B120),IFERROR(Data!$AN$4:$AN$183,0)),IF(_xlpm.rawIP=0,0,(S120+U120)/_xlpm.rawIP)))</f>
        <v>0</v>
      </c>
      <c r="AB120" s="18">
        <f ca="1">IF($A120="","",SUMIFS('Current Char Stats'!$AE$4:$AE$273,'Current Char Stats'!$A$4:$A$273,$A120,'Current Char Stats'!$B$4:$B$273,$B120))</f>
        <v>0</v>
      </c>
    </row>
    <row r="121" spans="1:28">
      <c r="A121" s="93" t="str">
        <f>Data!C44</f>
        <v>Jason</v>
      </c>
      <c r="B121" s="5" t="str">
        <f>Data!D44</f>
        <v>Brown Kritter</v>
      </c>
      <c r="C121" s="5">
        <f ca="1">SUMIFS(Data!$W$4:$W$273,Data!$T$4:$T$273,A121,Data!$U$4:$U$273,B121)</f>
        <v>0</v>
      </c>
      <c r="D121" s="5">
        <f ca="1">SUMIFS(Data!$Y$4:$Y$273,Data!$T$4:$T$273,A121,Data!$U$4:$U$273,B121)</f>
        <v>0</v>
      </c>
      <c r="E121" s="5">
        <f ca="1">IF(C121=0,0,D121/C121)</f>
        <v>0</v>
      </c>
      <c r="F121" s="5">
        <f ca="1">SUMIFS(Data!$AB$4:$AB$273,Data!$T$4:$T$273,A121,Data!$U$4:$U$273,B121)</f>
        <v>0</v>
      </c>
      <c r="G121" s="5">
        <f ca="1">SUMIFS(Data!$AC$4:$AC$273,Data!$T$4:$T$273,A121,Data!$U$4:$U$273,B121)</f>
        <v>0</v>
      </c>
      <c r="H121" s="5">
        <f ca="1">IF($A121="","",INT(SUMIFS(Data!$AN$4:$AN$183,Data!$AL$4:$AL$183,$A121,Data!$AM$4:$AM$183,$B121))+MOD(ROUND(SUMIFS(Data!$AN$4:$AN$183,Data!$AL$4:$AL$183,$A121,Data!$AM$4:$AM$183,$B121)*3,0),3)/10)</f>
        <v>0</v>
      </c>
      <c r="I121" s="5">
        <f ca="1">SUMIFS(Data!$AQ$4:$AQ$183,Data!$AL$4:$AL$183,A121,Data!$AM$4:$AM$183,B121)</f>
        <v>0</v>
      </c>
      <c r="J121" s="5">
        <f ca="1">IF($A121="","",IF(SUMIFS(Data!$AN$4:$AN$183,Data!$AL$4:$AL$183,$A121,Data!$AM$4:$AM$183,$B121)=0,0,I121*3/SUMIFS(Data!$AN$4:$AN$183,Data!$AL$4:$AL$183,$A121,Data!$AM$4:$AM$183,$B121)))</f>
        <v>0</v>
      </c>
      <c r="K121" s="18">
        <f ca="1">IF($A121="","",SUMIFS('Current Char Stats'!$N$4:$N$273,'Current Char Stats'!$A$4:$A$273,$A121,'Current Char Stats'!$B$4:$B$273,$B121))</f>
        <v>0</v>
      </c>
      <c r="L121" s="18">
        <f ca="1">IF($A121="","",SUMIFS('Current Char Stats'!$O$4:$O$273,'Current Char Stats'!$A$4:$A$273,$A121,'Current Char Stats'!$B$4:$B$273,$B121))</f>
        <v>0</v>
      </c>
      <c r="M121" s="18">
        <f ca="1">IF($A121="","",SUMIFS('Current Char Stats'!$P$4:$P$273,'Current Char Stats'!$A$4:$A$273,$A121,'Current Char Stats'!$B$4:$B$273,$B121))</f>
        <v>0</v>
      </c>
      <c r="N121" s="18">
        <f ca="1">IF($A121="","",SUMIFS('Current Char Stats'!$Q$4:$Q$273,'Current Char Stats'!$A$4:$A$273,$A121,'Current Char Stats'!$B$4:$B$273,$B121))</f>
        <v>0</v>
      </c>
      <c r="O121" s="18">
        <f ca="1">IF($A121="","",SUMIFS('Current Char Stats'!$R$4:$R$273,'Current Char Stats'!$A$4:$A$273,$A121,'Current Char Stats'!$B$4:$B$273,$B121))</f>
        <v>0</v>
      </c>
      <c r="P121" s="18">
        <f ca="1">IF($A121="","",SUMIFS('Current Char Stats'!$S$4:$S$273,'Current Char Stats'!$A$4:$A$273,$A121,'Current Char Stats'!$B$4:$B$273,$B121))</f>
        <v>0</v>
      </c>
      <c r="Q121" s="18">
        <f ca="1">IF($A121="","",SUMIFS('Current Char Stats'!$T$4:$T$273,'Current Char Stats'!$A$4:$A$273,$A121,'Current Char Stats'!$B$4:$B$273,$B121))</f>
        <v>0</v>
      </c>
      <c r="R121" s="18">
        <f ca="1">IF($A121="","",SUMIFS('Current Char Stats'!$U$4:$U$273,'Current Char Stats'!$A$4:$A$273,$A121,'Current Char Stats'!$B$4:$B$273,$B121))</f>
        <v>0</v>
      </c>
      <c r="S121" s="18">
        <f ca="1">IF($A121="","",SUMIFS('Current Char Stats'!$V$4:$V$273,'Current Char Stats'!$A$4:$A$273,$A121,'Current Char Stats'!$B$4:$B$273,$B121))</f>
        <v>0</v>
      </c>
      <c r="T121" s="18">
        <f ca="1">IF($A121="","",SUMIFS('Current Char Stats'!$W$4:$W$273,'Current Char Stats'!$A$4:$A$273,$A121,'Current Char Stats'!$B$4:$B$273,$B121))</f>
        <v>0</v>
      </c>
      <c r="U121" s="18">
        <f ca="1">IF($A121="","",SUMIFS('Current Char Stats'!$X$4:$X$273,'Current Char Stats'!$A$4:$A$273,$A121,'Current Char Stats'!$B$4:$B$273,$B121))</f>
        <v>0</v>
      </c>
      <c r="V121" s="18">
        <f ca="1">IF($A121="","",SUMIFS('Current Char Stats'!$Y$4:$Y$273,'Current Char Stats'!$A$4:$A$273,$A121,'Current Char Stats'!$B$4:$B$273,$B121))</f>
        <v>0</v>
      </c>
      <c r="W121" s="18">
        <f ca="1">IF($A121="","",SUMIFS('Current Char Stats'!$Z$4:$Z$273,'Current Char Stats'!$A$4:$A$273,$A121,'Current Char Stats'!$B$4:$B$273,$B121))</f>
        <v>0</v>
      </c>
      <c r="X121" s="18">
        <f ca="1">IF($A121="","",SUMIFS('Current Char Stats'!$AA$4:$AA$273,'Current Char Stats'!$A$4:$A$273,$A121,'Current Char Stats'!$B$4:$B$273,$B121))</f>
        <v>0</v>
      </c>
      <c r="Y121" s="18">
        <f ca="1">IF($A121="","",SUMIFS('Current Char Stats'!$AB$4:$AB$273,'Current Char Stats'!$A$4:$A$273,$A121,'Current Char Stats'!$B$4:$B$273,$B121))</f>
        <v>0</v>
      </c>
      <c r="Z121" s="18">
        <f ca="1">IF($A121="","",SUMIFS('Current Char Stats'!$AC$4:$AC$273,'Current Char Stats'!$A$4:$A$273,$A121,'Current Char Stats'!$B$4:$B$273,$B121))</f>
        <v>0</v>
      </c>
      <c r="AA121" s="18" cm="1">
        <f t="array" aca="1" ref="AA121" ca="1">IF($A121="","",_xlfn.LET(_xlpm.rawIP,SUMPRODUCT(--(Data!$AL$4:$AL$183=$A121),--(Data!$AM$4:$AM$183=$B121),IFERROR(Data!$AN$4:$AN$183,0)),IF(_xlpm.rawIP=0,0,(S121+U121)/_xlpm.rawIP)))</f>
        <v>0</v>
      </c>
      <c r="AB121" s="18">
        <f ca="1">IF($A121="","",SUMIFS('Current Char Stats'!$AE$4:$AE$273,'Current Char Stats'!$A$4:$A$273,$A121,'Current Char Stats'!$B$4:$B$273,$B121))</f>
        <v>0</v>
      </c>
    </row>
    <row r="122" spans="1:28">
      <c r="A122" s="95" t="str">
        <f>Data!C45</f>
        <v>May</v>
      </c>
      <c r="B122" s="5" t="str">
        <f>Data!D45</f>
        <v>Hammer Bro</v>
      </c>
      <c r="C122" s="5">
        <f ca="1">SUMIFS(Data!$W$4:$W$273,Data!$T$4:$T$273,A122,Data!$U$4:$U$273,B122)</f>
        <v>0</v>
      </c>
      <c r="D122" s="5">
        <f ca="1">SUMIFS(Data!$Y$4:$Y$273,Data!$T$4:$T$273,A122,Data!$U$4:$U$273,B122)</f>
        <v>0</v>
      </c>
      <c r="E122" s="5">
        <f ca="1">IF(C122=0,0,D122/C122)</f>
        <v>0</v>
      </c>
      <c r="F122" s="5">
        <f ca="1">SUMIFS(Data!$AB$4:$AB$273,Data!$T$4:$T$273,A122,Data!$U$4:$U$273,B122)</f>
        <v>0</v>
      </c>
      <c r="G122" s="5">
        <f ca="1">SUMIFS(Data!$AC$4:$AC$273,Data!$T$4:$T$273,A122,Data!$U$4:$U$273,B122)</f>
        <v>0</v>
      </c>
      <c r="H122" s="5">
        <f ca="1">IF($A122="","",INT(SUMIFS(Data!$AN$4:$AN$183,Data!$AL$4:$AL$183,$A122,Data!$AM$4:$AM$183,$B122))+MOD(ROUND(SUMIFS(Data!$AN$4:$AN$183,Data!$AL$4:$AL$183,$A122,Data!$AM$4:$AM$183,$B122)*3,0),3)/10)</f>
        <v>0</v>
      </c>
      <c r="I122" s="5">
        <f ca="1">SUMIFS(Data!$AQ$4:$AQ$183,Data!$AL$4:$AL$183,A122,Data!$AM$4:$AM$183,B122)</f>
        <v>0</v>
      </c>
      <c r="J122" s="5">
        <f ca="1">IF($A122="","",IF(SUMIFS(Data!$AN$4:$AN$183,Data!$AL$4:$AL$183,$A122,Data!$AM$4:$AM$183,$B122)=0,0,I122*3/SUMIFS(Data!$AN$4:$AN$183,Data!$AL$4:$AL$183,$A122,Data!$AM$4:$AM$183,$B122)))</f>
        <v>0</v>
      </c>
      <c r="K122" s="18">
        <f ca="1">IF($A122="","",SUMIFS('Current Char Stats'!$N$4:$N$273,'Current Char Stats'!$A$4:$A$273,$A122,'Current Char Stats'!$B$4:$B$273,$B122))</f>
        <v>0</v>
      </c>
      <c r="L122" s="18">
        <f ca="1">IF($A122="","",SUMIFS('Current Char Stats'!$O$4:$O$273,'Current Char Stats'!$A$4:$A$273,$A122,'Current Char Stats'!$B$4:$B$273,$B122))</f>
        <v>0</v>
      </c>
      <c r="M122" s="18">
        <f ca="1">IF($A122="","",SUMIFS('Current Char Stats'!$P$4:$P$273,'Current Char Stats'!$A$4:$A$273,$A122,'Current Char Stats'!$B$4:$B$273,$B122))</f>
        <v>0</v>
      </c>
      <c r="N122" s="18">
        <f ca="1">IF($A122="","",SUMIFS('Current Char Stats'!$Q$4:$Q$273,'Current Char Stats'!$A$4:$A$273,$A122,'Current Char Stats'!$B$4:$B$273,$B122))</f>
        <v>0</v>
      </c>
      <c r="O122" s="18">
        <f ca="1">IF($A122="","",SUMIFS('Current Char Stats'!$R$4:$R$273,'Current Char Stats'!$A$4:$A$273,$A122,'Current Char Stats'!$B$4:$B$273,$B122))</f>
        <v>0</v>
      </c>
      <c r="P122" s="18">
        <f ca="1">IF($A122="","",SUMIFS('Current Char Stats'!$S$4:$S$273,'Current Char Stats'!$A$4:$A$273,$A122,'Current Char Stats'!$B$4:$B$273,$B122))</f>
        <v>0</v>
      </c>
      <c r="Q122" s="18">
        <f ca="1">IF($A122="","",SUMIFS('Current Char Stats'!$T$4:$T$273,'Current Char Stats'!$A$4:$A$273,$A122,'Current Char Stats'!$B$4:$B$273,$B122))</f>
        <v>0</v>
      </c>
      <c r="R122" s="18">
        <f ca="1">IF($A122="","",SUMIFS('Current Char Stats'!$U$4:$U$273,'Current Char Stats'!$A$4:$A$273,$A122,'Current Char Stats'!$B$4:$B$273,$B122))</f>
        <v>0</v>
      </c>
      <c r="S122" s="18">
        <f ca="1">IF($A122="","",SUMIFS('Current Char Stats'!$V$4:$V$273,'Current Char Stats'!$A$4:$A$273,$A122,'Current Char Stats'!$B$4:$B$273,$B122))</f>
        <v>0</v>
      </c>
      <c r="T122" s="18">
        <f ca="1">IF($A122="","",SUMIFS('Current Char Stats'!$W$4:$W$273,'Current Char Stats'!$A$4:$A$273,$A122,'Current Char Stats'!$B$4:$B$273,$B122))</f>
        <v>0</v>
      </c>
      <c r="U122" s="18">
        <f ca="1">IF($A122="","",SUMIFS('Current Char Stats'!$X$4:$X$273,'Current Char Stats'!$A$4:$A$273,$A122,'Current Char Stats'!$B$4:$B$273,$B122))</f>
        <v>0</v>
      </c>
      <c r="V122" s="18">
        <f ca="1">IF($A122="","",SUMIFS('Current Char Stats'!$Y$4:$Y$273,'Current Char Stats'!$A$4:$A$273,$A122,'Current Char Stats'!$B$4:$B$273,$B122))</f>
        <v>0</v>
      </c>
      <c r="W122" s="18">
        <f ca="1">IF($A122="","",SUMIFS('Current Char Stats'!$Z$4:$Z$273,'Current Char Stats'!$A$4:$A$273,$A122,'Current Char Stats'!$B$4:$B$273,$B122))</f>
        <v>0</v>
      </c>
      <c r="X122" s="18">
        <f ca="1">IF($A122="","",SUMIFS('Current Char Stats'!$AA$4:$AA$273,'Current Char Stats'!$A$4:$A$273,$A122,'Current Char Stats'!$B$4:$B$273,$B122))</f>
        <v>0</v>
      </c>
      <c r="Y122" s="18">
        <f ca="1">IF($A122="","",SUMIFS('Current Char Stats'!$AB$4:$AB$273,'Current Char Stats'!$A$4:$A$273,$A122,'Current Char Stats'!$B$4:$B$273,$B122))</f>
        <v>0</v>
      </c>
      <c r="Z122" s="18">
        <f ca="1">IF($A122="","",SUMIFS('Current Char Stats'!$AC$4:$AC$273,'Current Char Stats'!$A$4:$A$273,$A122,'Current Char Stats'!$B$4:$B$273,$B122))</f>
        <v>0</v>
      </c>
      <c r="AA122" s="18" cm="1">
        <f t="array" aca="1" ref="AA122" ca="1">IF($A122="","",_xlfn.LET(_xlpm.rawIP,SUMPRODUCT(--(Data!$AL$4:$AL$183=$A122),--(Data!$AM$4:$AM$183=$B122),IFERROR(Data!$AN$4:$AN$183,0)),IF(_xlpm.rawIP=0,0,(S122+U122)/_xlpm.rawIP)))</f>
        <v>0</v>
      </c>
      <c r="AB122" s="18">
        <f ca="1">IF($A122="","",SUMIFS('Current Char Stats'!$AE$4:$AE$273,'Current Char Stats'!$A$4:$A$273,$A122,'Current Char Stats'!$B$4:$B$273,$B122))</f>
        <v>0</v>
      </c>
    </row>
    <row r="123" spans="1:28">
      <c r="A123" s="95" t="str">
        <f>Data!C46</f>
        <v>May</v>
      </c>
      <c r="B123" s="5" t="str">
        <f>Data!D46</f>
        <v>Green Shy Guy</v>
      </c>
      <c r="C123" s="5">
        <f ca="1">SUMIFS(Data!$W$4:$W$273,Data!$T$4:$T$273,A123,Data!$U$4:$U$273,B123)</f>
        <v>0</v>
      </c>
      <c r="D123" s="5">
        <f ca="1">SUMIFS(Data!$Y$4:$Y$273,Data!$T$4:$T$273,A123,Data!$U$4:$U$273,B123)</f>
        <v>0</v>
      </c>
      <c r="E123" s="5">
        <f ca="1">IF(C123=0,0,D123/C123)</f>
        <v>0</v>
      </c>
      <c r="F123" s="5">
        <f ca="1">SUMIFS(Data!$AB$4:$AB$273,Data!$T$4:$T$273,A123,Data!$U$4:$U$273,B123)</f>
        <v>0</v>
      </c>
      <c r="G123" s="5">
        <f ca="1">SUMIFS(Data!$AC$4:$AC$273,Data!$T$4:$T$273,A123,Data!$U$4:$U$273,B123)</f>
        <v>0</v>
      </c>
      <c r="H123" s="5">
        <f ca="1">IF($A123="","",INT(SUMIFS(Data!$AN$4:$AN$183,Data!$AL$4:$AL$183,$A123,Data!$AM$4:$AM$183,$B123))+MOD(ROUND(SUMIFS(Data!$AN$4:$AN$183,Data!$AL$4:$AL$183,$A123,Data!$AM$4:$AM$183,$B123)*3,0),3)/10)</f>
        <v>0</v>
      </c>
      <c r="I123" s="5">
        <f ca="1">SUMIFS(Data!$AQ$4:$AQ$183,Data!$AL$4:$AL$183,A123,Data!$AM$4:$AM$183,B123)</f>
        <v>0</v>
      </c>
      <c r="J123" s="5">
        <f ca="1">IF($A123="","",IF(SUMIFS(Data!$AN$4:$AN$183,Data!$AL$4:$AL$183,$A123,Data!$AM$4:$AM$183,$B123)=0,0,I123*3/SUMIFS(Data!$AN$4:$AN$183,Data!$AL$4:$AL$183,$A123,Data!$AM$4:$AM$183,$B123)))</f>
        <v>0</v>
      </c>
      <c r="K123" s="18">
        <f ca="1">IF($A123="","",SUMIFS('Current Char Stats'!$N$4:$N$273,'Current Char Stats'!$A$4:$A$273,$A123,'Current Char Stats'!$B$4:$B$273,$B123))</f>
        <v>0</v>
      </c>
      <c r="L123" s="18">
        <f ca="1">IF($A123="","",SUMIFS('Current Char Stats'!$O$4:$O$273,'Current Char Stats'!$A$4:$A$273,$A123,'Current Char Stats'!$B$4:$B$273,$B123))</f>
        <v>0</v>
      </c>
      <c r="M123" s="18">
        <f ca="1">IF($A123="","",SUMIFS('Current Char Stats'!$P$4:$P$273,'Current Char Stats'!$A$4:$A$273,$A123,'Current Char Stats'!$B$4:$B$273,$B123))</f>
        <v>0</v>
      </c>
      <c r="N123" s="18">
        <f ca="1">IF($A123="","",SUMIFS('Current Char Stats'!$Q$4:$Q$273,'Current Char Stats'!$A$4:$A$273,$A123,'Current Char Stats'!$B$4:$B$273,$B123))</f>
        <v>0</v>
      </c>
      <c r="O123" s="18">
        <f ca="1">IF($A123="","",SUMIFS('Current Char Stats'!$R$4:$R$273,'Current Char Stats'!$A$4:$A$273,$A123,'Current Char Stats'!$B$4:$B$273,$B123))</f>
        <v>0</v>
      </c>
      <c r="P123" s="18">
        <f ca="1">IF($A123="","",SUMIFS('Current Char Stats'!$S$4:$S$273,'Current Char Stats'!$A$4:$A$273,$A123,'Current Char Stats'!$B$4:$B$273,$B123))</f>
        <v>0</v>
      </c>
      <c r="Q123" s="18">
        <f ca="1">IF($A123="","",SUMIFS('Current Char Stats'!$T$4:$T$273,'Current Char Stats'!$A$4:$A$273,$A123,'Current Char Stats'!$B$4:$B$273,$B123))</f>
        <v>0</v>
      </c>
      <c r="R123" s="18">
        <f ca="1">IF($A123="","",SUMIFS('Current Char Stats'!$U$4:$U$273,'Current Char Stats'!$A$4:$A$273,$A123,'Current Char Stats'!$B$4:$B$273,$B123))</f>
        <v>0</v>
      </c>
      <c r="S123" s="18">
        <f ca="1">IF($A123="","",SUMIFS('Current Char Stats'!$V$4:$V$273,'Current Char Stats'!$A$4:$A$273,$A123,'Current Char Stats'!$B$4:$B$273,$B123))</f>
        <v>0</v>
      </c>
      <c r="T123" s="18">
        <f ca="1">IF($A123="","",SUMIFS('Current Char Stats'!$W$4:$W$273,'Current Char Stats'!$A$4:$A$273,$A123,'Current Char Stats'!$B$4:$B$273,$B123))</f>
        <v>0</v>
      </c>
      <c r="U123" s="18">
        <f ca="1">IF($A123="","",SUMIFS('Current Char Stats'!$X$4:$X$273,'Current Char Stats'!$A$4:$A$273,$A123,'Current Char Stats'!$B$4:$B$273,$B123))</f>
        <v>0</v>
      </c>
      <c r="V123" s="18">
        <f ca="1">IF($A123="","",SUMIFS('Current Char Stats'!$Y$4:$Y$273,'Current Char Stats'!$A$4:$A$273,$A123,'Current Char Stats'!$B$4:$B$273,$B123))</f>
        <v>0</v>
      </c>
      <c r="W123" s="18">
        <f ca="1">IF($A123="","",SUMIFS('Current Char Stats'!$Z$4:$Z$273,'Current Char Stats'!$A$4:$A$273,$A123,'Current Char Stats'!$B$4:$B$273,$B123))</f>
        <v>0</v>
      </c>
      <c r="X123" s="18">
        <f ca="1">IF($A123="","",SUMIFS('Current Char Stats'!$AA$4:$AA$273,'Current Char Stats'!$A$4:$A$273,$A123,'Current Char Stats'!$B$4:$B$273,$B123))</f>
        <v>0</v>
      </c>
      <c r="Y123" s="18">
        <f ca="1">IF($A123="","",SUMIFS('Current Char Stats'!$AB$4:$AB$273,'Current Char Stats'!$A$4:$A$273,$A123,'Current Char Stats'!$B$4:$B$273,$B123))</f>
        <v>0</v>
      </c>
      <c r="Z123" s="18">
        <f ca="1">IF($A123="","",SUMIFS('Current Char Stats'!$AC$4:$AC$273,'Current Char Stats'!$A$4:$A$273,$A123,'Current Char Stats'!$B$4:$B$273,$B123))</f>
        <v>0</v>
      </c>
      <c r="AA123" s="18" cm="1">
        <f t="array" aca="1" ref="AA123" ca="1">IF($A123="","",_xlfn.LET(_xlpm.rawIP,SUMPRODUCT(--(Data!$AL$4:$AL$183=$A123),--(Data!$AM$4:$AM$183=$B123),IFERROR(Data!$AN$4:$AN$183,0)),IF(_xlpm.rawIP=0,0,(S123+U123)/_xlpm.rawIP)))</f>
        <v>0</v>
      </c>
      <c r="AB123" s="18">
        <f ca="1">IF($A123="","",SUMIFS('Current Char Stats'!$AE$4:$AE$273,'Current Char Stats'!$A$4:$A$273,$A123,'Current Char Stats'!$B$4:$B$273,$B123))</f>
        <v>0</v>
      </c>
    </row>
    <row r="124" spans="1:28">
      <c r="A124" s="93" t="str">
        <f>Data!C47</f>
        <v>Jason</v>
      </c>
      <c r="B124" s="5" t="str">
        <f>Data!D47</f>
        <v>Blooper</v>
      </c>
      <c r="C124" s="5">
        <f ca="1">SUMIFS(Data!$W$4:$W$273,Data!$T$4:$T$273,A124,Data!$U$4:$U$273,B124)</f>
        <v>0</v>
      </c>
      <c r="D124" s="5">
        <f ca="1">SUMIFS(Data!$Y$4:$Y$273,Data!$T$4:$T$273,A124,Data!$U$4:$U$273,B124)</f>
        <v>0</v>
      </c>
      <c r="E124" s="5">
        <f ca="1">IF(C124=0,0,D124/C124)</f>
        <v>0</v>
      </c>
      <c r="F124" s="5">
        <f ca="1">SUMIFS(Data!$AB$4:$AB$273,Data!$T$4:$T$273,A124,Data!$U$4:$U$273,B124)</f>
        <v>0</v>
      </c>
      <c r="G124" s="5">
        <f ca="1">SUMIFS(Data!$AC$4:$AC$273,Data!$T$4:$T$273,A124,Data!$U$4:$U$273,B124)</f>
        <v>0</v>
      </c>
      <c r="H124" s="5">
        <f ca="1">IF($A124="","",INT(SUMIFS(Data!$AN$4:$AN$183,Data!$AL$4:$AL$183,$A124,Data!$AM$4:$AM$183,$B124))+MOD(ROUND(SUMIFS(Data!$AN$4:$AN$183,Data!$AL$4:$AL$183,$A124,Data!$AM$4:$AM$183,$B124)*3,0),3)/10)</f>
        <v>0</v>
      </c>
      <c r="I124" s="5">
        <f ca="1">SUMIFS(Data!$AQ$4:$AQ$183,Data!$AL$4:$AL$183,A124,Data!$AM$4:$AM$183,B124)</f>
        <v>0</v>
      </c>
      <c r="J124" s="5">
        <f ca="1">IF($A124="","",IF(SUMIFS(Data!$AN$4:$AN$183,Data!$AL$4:$AL$183,$A124,Data!$AM$4:$AM$183,$B124)=0,0,I124*3/SUMIFS(Data!$AN$4:$AN$183,Data!$AL$4:$AL$183,$A124,Data!$AM$4:$AM$183,$B124)))</f>
        <v>0</v>
      </c>
      <c r="K124" s="18">
        <f ca="1">IF($A124="","",SUMIFS('Current Char Stats'!$N$4:$N$273,'Current Char Stats'!$A$4:$A$273,$A124,'Current Char Stats'!$B$4:$B$273,$B124))</f>
        <v>0</v>
      </c>
      <c r="L124" s="18">
        <f ca="1">IF($A124="","",SUMIFS('Current Char Stats'!$O$4:$O$273,'Current Char Stats'!$A$4:$A$273,$A124,'Current Char Stats'!$B$4:$B$273,$B124))</f>
        <v>0</v>
      </c>
      <c r="M124" s="18">
        <f ca="1">IF($A124="","",SUMIFS('Current Char Stats'!$P$4:$P$273,'Current Char Stats'!$A$4:$A$273,$A124,'Current Char Stats'!$B$4:$B$273,$B124))</f>
        <v>0</v>
      </c>
      <c r="N124" s="18">
        <f ca="1">IF($A124="","",SUMIFS('Current Char Stats'!$Q$4:$Q$273,'Current Char Stats'!$A$4:$A$273,$A124,'Current Char Stats'!$B$4:$B$273,$B124))</f>
        <v>0</v>
      </c>
      <c r="O124" s="18">
        <f ca="1">IF($A124="","",SUMIFS('Current Char Stats'!$R$4:$R$273,'Current Char Stats'!$A$4:$A$273,$A124,'Current Char Stats'!$B$4:$B$273,$B124))</f>
        <v>0</v>
      </c>
      <c r="P124" s="18">
        <f ca="1">IF($A124="","",SUMIFS('Current Char Stats'!$S$4:$S$273,'Current Char Stats'!$A$4:$A$273,$A124,'Current Char Stats'!$B$4:$B$273,$B124))</f>
        <v>0</v>
      </c>
      <c r="Q124" s="18">
        <f ca="1">IF($A124="","",SUMIFS('Current Char Stats'!$T$4:$T$273,'Current Char Stats'!$A$4:$A$273,$A124,'Current Char Stats'!$B$4:$B$273,$B124))</f>
        <v>0</v>
      </c>
      <c r="R124" s="18">
        <f ca="1">IF($A124="","",SUMIFS('Current Char Stats'!$U$4:$U$273,'Current Char Stats'!$A$4:$A$273,$A124,'Current Char Stats'!$B$4:$B$273,$B124))</f>
        <v>0</v>
      </c>
      <c r="S124" s="18">
        <f ca="1">IF($A124="","",SUMIFS('Current Char Stats'!$V$4:$V$273,'Current Char Stats'!$A$4:$A$273,$A124,'Current Char Stats'!$B$4:$B$273,$B124))</f>
        <v>0</v>
      </c>
      <c r="T124" s="18">
        <f ca="1">IF($A124="","",SUMIFS('Current Char Stats'!$W$4:$W$273,'Current Char Stats'!$A$4:$A$273,$A124,'Current Char Stats'!$B$4:$B$273,$B124))</f>
        <v>0</v>
      </c>
      <c r="U124" s="18">
        <f ca="1">IF($A124="","",SUMIFS('Current Char Stats'!$X$4:$X$273,'Current Char Stats'!$A$4:$A$273,$A124,'Current Char Stats'!$B$4:$B$273,$B124))</f>
        <v>0</v>
      </c>
      <c r="V124" s="18">
        <f ca="1">IF($A124="","",SUMIFS('Current Char Stats'!$Y$4:$Y$273,'Current Char Stats'!$A$4:$A$273,$A124,'Current Char Stats'!$B$4:$B$273,$B124))</f>
        <v>0</v>
      </c>
      <c r="W124" s="18">
        <f ca="1">IF($A124="","",SUMIFS('Current Char Stats'!$Z$4:$Z$273,'Current Char Stats'!$A$4:$A$273,$A124,'Current Char Stats'!$B$4:$B$273,$B124))</f>
        <v>0</v>
      </c>
      <c r="X124" s="18">
        <f ca="1">IF($A124="","",SUMIFS('Current Char Stats'!$AA$4:$AA$273,'Current Char Stats'!$A$4:$A$273,$A124,'Current Char Stats'!$B$4:$B$273,$B124))</f>
        <v>0</v>
      </c>
      <c r="Y124" s="18">
        <f ca="1">IF($A124="","",SUMIFS('Current Char Stats'!$AB$4:$AB$273,'Current Char Stats'!$A$4:$A$273,$A124,'Current Char Stats'!$B$4:$B$273,$B124))</f>
        <v>0</v>
      </c>
      <c r="Z124" s="18">
        <f ca="1">IF($A124="","",SUMIFS('Current Char Stats'!$AC$4:$AC$273,'Current Char Stats'!$A$4:$A$273,$A124,'Current Char Stats'!$B$4:$B$273,$B124))</f>
        <v>0</v>
      </c>
      <c r="AA124" s="18" cm="1">
        <f t="array" aca="1" ref="AA124" ca="1">IF($A124="","",_xlfn.LET(_xlpm.rawIP,SUMPRODUCT(--(Data!$AL$4:$AL$183=$A124),--(Data!$AM$4:$AM$183=$B124),IFERROR(Data!$AN$4:$AN$183,0)),IF(_xlpm.rawIP=0,0,(S124+U124)/_xlpm.rawIP)))</f>
        <v>0</v>
      </c>
      <c r="AB124" s="18">
        <f ca="1">IF($A124="","",SUMIFS('Current Char Stats'!$AE$4:$AE$273,'Current Char Stats'!$A$4:$A$273,$A124,'Current Char Stats'!$B$4:$B$273,$B124))</f>
        <v>0</v>
      </c>
    </row>
    <row r="125" spans="1:28">
      <c r="A125" s="92" t="str">
        <f>Data!C48</f>
        <v>Aidan</v>
      </c>
      <c r="B125" s="5" t="str">
        <f>Data!D48</f>
        <v>Blue Kritter</v>
      </c>
      <c r="C125" s="5">
        <f ca="1">SUMIFS(Data!$W$4:$W$273,Data!$T$4:$T$273,A125,Data!$U$4:$U$273,B125)</f>
        <v>0</v>
      </c>
      <c r="D125" s="5">
        <f ca="1">SUMIFS(Data!$Y$4:$Y$273,Data!$T$4:$T$273,A125,Data!$U$4:$U$273,B125)</f>
        <v>0</v>
      </c>
      <c r="E125" s="5">
        <f ca="1">IF(C125=0,0,D125/C125)</f>
        <v>0</v>
      </c>
      <c r="F125" s="5">
        <f ca="1">SUMIFS(Data!$AB$4:$AB$273,Data!$T$4:$T$273,A125,Data!$U$4:$U$273,B125)</f>
        <v>0</v>
      </c>
      <c r="G125" s="5">
        <f ca="1">SUMIFS(Data!$AC$4:$AC$273,Data!$T$4:$T$273,A125,Data!$U$4:$U$273,B125)</f>
        <v>0</v>
      </c>
      <c r="H125" s="5">
        <f ca="1">IF($A125="","",INT(SUMIFS(Data!$AN$4:$AN$183,Data!$AL$4:$AL$183,$A125,Data!$AM$4:$AM$183,$B125))+MOD(ROUND(SUMIFS(Data!$AN$4:$AN$183,Data!$AL$4:$AL$183,$A125,Data!$AM$4:$AM$183,$B125)*3,0),3)/10)</f>
        <v>4.0999999999999996</v>
      </c>
      <c r="I125" s="5">
        <f ca="1">SUMIFS(Data!$AQ$4:$AQ$183,Data!$AL$4:$AL$183,A125,Data!$AM$4:$AM$183,B125)</f>
        <v>6</v>
      </c>
      <c r="J125" s="5">
        <f ca="1">IF($A125="","",IF(SUMIFS(Data!$AN$4:$AN$183,Data!$AL$4:$AL$183,$A125,Data!$AM$4:$AM$183,$B125)=0,0,I125*3/SUMIFS(Data!$AN$4:$AN$183,Data!$AL$4:$AL$183,$A125,Data!$AM$4:$AM$183,$B125)))</f>
        <v>3.8571428571428577</v>
      </c>
      <c r="K125" s="18">
        <f ca="1">IF($A125="","",SUMIFS('Current Char Stats'!$N$4:$N$273,'Current Char Stats'!$A$4:$A$273,$A125,'Current Char Stats'!$B$4:$B$273,$B125))</f>
        <v>0</v>
      </c>
      <c r="L125" s="18">
        <f ca="1">IF($A125="","",SUMIFS('Current Char Stats'!$O$4:$O$273,'Current Char Stats'!$A$4:$A$273,$A125,'Current Char Stats'!$B$4:$B$273,$B125))</f>
        <v>0</v>
      </c>
      <c r="M125" s="18">
        <f ca="1">IF($A125="","",SUMIFS('Current Char Stats'!$P$4:$P$273,'Current Char Stats'!$A$4:$A$273,$A125,'Current Char Stats'!$B$4:$B$273,$B125))</f>
        <v>0</v>
      </c>
      <c r="N125" s="18">
        <f ca="1">IF($A125="","",SUMIFS('Current Char Stats'!$Q$4:$Q$273,'Current Char Stats'!$A$4:$A$273,$A125,'Current Char Stats'!$B$4:$B$273,$B125))</f>
        <v>0</v>
      </c>
      <c r="O125" s="18">
        <f ca="1">IF($A125="","",SUMIFS('Current Char Stats'!$R$4:$R$273,'Current Char Stats'!$A$4:$A$273,$A125,'Current Char Stats'!$B$4:$B$273,$B125))</f>
        <v>0</v>
      </c>
      <c r="P125" s="18">
        <f ca="1">IF($A125="","",SUMIFS('Current Char Stats'!$S$4:$S$273,'Current Char Stats'!$A$4:$A$273,$A125,'Current Char Stats'!$B$4:$B$273,$B125))</f>
        <v>0</v>
      </c>
      <c r="Q125" s="18">
        <f ca="1">IF($A125="","",SUMIFS('Current Char Stats'!$T$4:$T$273,'Current Char Stats'!$A$4:$A$273,$A125,'Current Char Stats'!$B$4:$B$273,$B125))</f>
        <v>0</v>
      </c>
      <c r="R125" s="18">
        <f ca="1">IF($A125="","",SUMIFS('Current Char Stats'!$U$4:$U$273,'Current Char Stats'!$A$4:$A$273,$A125,'Current Char Stats'!$B$4:$B$273,$B125))</f>
        <v>0</v>
      </c>
      <c r="S125" s="18">
        <f ca="1">IF($A125="","",SUMIFS('Current Char Stats'!$V$4:$V$273,'Current Char Stats'!$A$4:$A$273,$A125,'Current Char Stats'!$B$4:$B$273,$B125))</f>
        <v>0</v>
      </c>
      <c r="T125" s="18">
        <f ca="1">IF($A125="","",SUMIFS('Current Char Stats'!$W$4:$W$273,'Current Char Stats'!$A$4:$A$273,$A125,'Current Char Stats'!$B$4:$B$273,$B125))</f>
        <v>0</v>
      </c>
      <c r="U125" s="18">
        <f ca="1">IF($A125="","",SUMIFS('Current Char Stats'!$X$4:$X$273,'Current Char Stats'!$A$4:$A$273,$A125,'Current Char Stats'!$B$4:$B$273,$B125))</f>
        <v>0</v>
      </c>
      <c r="V125" s="18">
        <f ca="1">IF($A125="","",SUMIFS('Current Char Stats'!$Y$4:$Y$273,'Current Char Stats'!$A$4:$A$273,$A125,'Current Char Stats'!$B$4:$B$273,$B125))</f>
        <v>0</v>
      </c>
      <c r="W125" s="18">
        <f ca="1">IF($A125="","",SUMIFS('Current Char Stats'!$Z$4:$Z$273,'Current Char Stats'!$A$4:$A$273,$A125,'Current Char Stats'!$B$4:$B$273,$B125))</f>
        <v>0</v>
      </c>
      <c r="X125" s="18">
        <f ca="1">IF($A125="","",SUMIFS('Current Char Stats'!$AA$4:$AA$273,'Current Char Stats'!$A$4:$A$273,$A125,'Current Char Stats'!$B$4:$B$273,$B125))</f>
        <v>0</v>
      </c>
      <c r="Y125" s="18">
        <f ca="1">IF($A125="","",SUMIFS('Current Char Stats'!$AB$4:$AB$273,'Current Char Stats'!$A$4:$A$273,$A125,'Current Char Stats'!$B$4:$B$273,$B125))</f>
        <v>0</v>
      </c>
      <c r="Z125" s="18">
        <f ca="1">IF($A125="","",SUMIFS('Current Char Stats'!$AC$4:$AC$273,'Current Char Stats'!$A$4:$A$273,$A125,'Current Char Stats'!$B$4:$B$273,$B125))</f>
        <v>0</v>
      </c>
      <c r="AA125" s="18" cm="1">
        <f t="array" aca="1" ref="AA125" ca="1">IF($A125="","",_xlfn.LET(_xlpm.rawIP,SUMPRODUCT(--(Data!$AL$4:$AL$183=$A125),--(Data!$AM$4:$AM$183=$B125),IFERROR(Data!$AN$4:$AN$183,0)),IF(_xlpm.rawIP=0,0,(S125+U125)/_xlpm.rawIP)))</f>
        <v>0</v>
      </c>
      <c r="AB125" s="18">
        <f ca="1">IF($A125="","",SUMIFS('Current Char Stats'!$AE$4:$AE$273,'Current Char Stats'!$A$4:$A$273,$A125,'Current Char Stats'!$B$4:$B$273,$B125))</f>
        <v>0</v>
      </c>
    </row>
    <row r="126" spans="1:28">
      <c r="A126" s="90" t="str">
        <f>Data!C49</f>
        <v>Nick</v>
      </c>
      <c r="B126" s="5" t="str">
        <f>Data!D49</f>
        <v>Boomerang Bro</v>
      </c>
      <c r="C126" s="5">
        <f ca="1">SUMIFS(Data!$W$4:$W$273,Data!$T$4:$T$273,A126,Data!$U$4:$U$273,B126)</f>
        <v>0</v>
      </c>
      <c r="D126" s="5">
        <f ca="1">SUMIFS(Data!$Y$4:$Y$273,Data!$T$4:$T$273,A126,Data!$U$4:$U$273,B126)</f>
        <v>0</v>
      </c>
      <c r="E126" s="5">
        <f ca="1">IF(C126=0,0,D126/C126)</f>
        <v>0</v>
      </c>
      <c r="F126" s="5">
        <f ca="1">SUMIFS(Data!$AB$4:$AB$273,Data!$T$4:$T$273,A126,Data!$U$4:$U$273,B126)</f>
        <v>0</v>
      </c>
      <c r="G126" s="5">
        <f ca="1">SUMIFS(Data!$AC$4:$AC$273,Data!$T$4:$T$273,A126,Data!$U$4:$U$273,B126)</f>
        <v>0</v>
      </c>
      <c r="H126" s="5">
        <f ca="1">IF($A126="","",INT(SUMIFS(Data!$AN$4:$AN$183,Data!$AL$4:$AL$183,$A126,Data!$AM$4:$AM$183,$B126))+MOD(ROUND(SUMIFS(Data!$AN$4:$AN$183,Data!$AL$4:$AL$183,$A126,Data!$AM$4:$AM$183,$B126)*3,0),3)/10)</f>
        <v>2</v>
      </c>
      <c r="I126" s="5">
        <f ca="1">SUMIFS(Data!$AQ$4:$AQ$183,Data!$AL$4:$AL$183,A126,Data!$AM$4:$AM$183,B126)</f>
        <v>4</v>
      </c>
      <c r="J126" s="5">
        <f ca="1">IF($A126="","",IF(SUMIFS(Data!$AN$4:$AN$183,Data!$AL$4:$AL$183,$A126,Data!$AM$4:$AM$183,$B126)=0,0,I126*3/SUMIFS(Data!$AN$4:$AN$183,Data!$AL$4:$AL$183,$A126,Data!$AM$4:$AM$183,$B126)))</f>
        <v>0</v>
      </c>
      <c r="K126" s="18">
        <f ca="1">IF($A126="","",SUMIFS('Current Char Stats'!$N$4:$N$273,'Current Char Stats'!$A$4:$A$273,$A126,'Current Char Stats'!$B$4:$B$273,$B126))</f>
        <v>0</v>
      </c>
      <c r="L126" s="18">
        <f ca="1">IF($A126="","",SUMIFS('Current Char Stats'!$O$4:$O$273,'Current Char Stats'!$A$4:$A$273,$A126,'Current Char Stats'!$B$4:$B$273,$B126))</f>
        <v>0</v>
      </c>
      <c r="M126" s="18">
        <f ca="1">IF($A126="","",SUMIFS('Current Char Stats'!$P$4:$P$273,'Current Char Stats'!$A$4:$A$273,$A126,'Current Char Stats'!$B$4:$B$273,$B126))</f>
        <v>0</v>
      </c>
      <c r="N126" s="18">
        <f ca="1">IF($A126="","",SUMIFS('Current Char Stats'!$Q$4:$Q$273,'Current Char Stats'!$A$4:$A$273,$A126,'Current Char Stats'!$B$4:$B$273,$B126))</f>
        <v>0</v>
      </c>
      <c r="O126" s="18">
        <f ca="1">IF($A126="","",SUMIFS('Current Char Stats'!$R$4:$R$273,'Current Char Stats'!$A$4:$A$273,$A126,'Current Char Stats'!$B$4:$B$273,$B126))</f>
        <v>0</v>
      </c>
      <c r="P126" s="18">
        <f ca="1">IF($A126="","",SUMIFS('Current Char Stats'!$S$4:$S$273,'Current Char Stats'!$A$4:$A$273,$A126,'Current Char Stats'!$B$4:$B$273,$B126))</f>
        <v>0</v>
      </c>
      <c r="Q126" s="18">
        <f ca="1">IF($A126="","",SUMIFS('Current Char Stats'!$T$4:$T$273,'Current Char Stats'!$A$4:$A$273,$A126,'Current Char Stats'!$B$4:$B$273,$B126))</f>
        <v>0</v>
      </c>
      <c r="R126" s="18">
        <f ca="1">IF($A126="","",SUMIFS('Current Char Stats'!$U$4:$U$273,'Current Char Stats'!$A$4:$A$273,$A126,'Current Char Stats'!$B$4:$B$273,$B126))</f>
        <v>0</v>
      </c>
      <c r="S126" s="18">
        <f ca="1">IF($A126="","",SUMIFS('Current Char Stats'!$V$4:$V$273,'Current Char Stats'!$A$4:$A$273,$A126,'Current Char Stats'!$B$4:$B$273,$B126))</f>
        <v>0</v>
      </c>
      <c r="T126" s="18">
        <f ca="1">IF($A126="","",SUMIFS('Current Char Stats'!$W$4:$W$273,'Current Char Stats'!$A$4:$A$273,$A126,'Current Char Stats'!$B$4:$B$273,$B126))</f>
        <v>0</v>
      </c>
      <c r="U126" s="18">
        <f ca="1">IF($A126="","",SUMIFS('Current Char Stats'!$X$4:$X$273,'Current Char Stats'!$A$4:$A$273,$A126,'Current Char Stats'!$B$4:$B$273,$B126))</f>
        <v>0</v>
      </c>
      <c r="V126" s="18">
        <f ca="1">IF($A126="","",SUMIFS('Current Char Stats'!$Y$4:$Y$273,'Current Char Stats'!$A$4:$A$273,$A126,'Current Char Stats'!$B$4:$B$273,$B126))</f>
        <v>0</v>
      </c>
      <c r="W126" s="18">
        <f ca="1">IF($A126="","",SUMIFS('Current Char Stats'!$Z$4:$Z$273,'Current Char Stats'!$A$4:$A$273,$A126,'Current Char Stats'!$B$4:$B$273,$B126))</f>
        <v>0</v>
      </c>
      <c r="X126" s="18">
        <f ca="1">IF($A126="","",SUMIFS('Current Char Stats'!$AA$4:$AA$273,'Current Char Stats'!$A$4:$A$273,$A126,'Current Char Stats'!$B$4:$B$273,$B126))</f>
        <v>0</v>
      </c>
      <c r="Y126" s="18">
        <f ca="1">IF($A126="","",SUMIFS('Current Char Stats'!$AB$4:$AB$273,'Current Char Stats'!$A$4:$A$273,$A126,'Current Char Stats'!$B$4:$B$273,$B126))</f>
        <v>0</v>
      </c>
      <c r="Z126" s="18">
        <f ca="1">IF($A126="","",SUMIFS('Current Char Stats'!$AC$4:$AC$273,'Current Char Stats'!$A$4:$A$273,$A126,'Current Char Stats'!$B$4:$B$273,$B126))</f>
        <v>0</v>
      </c>
      <c r="AA126" s="18" cm="1">
        <f t="array" aca="1" ref="AA126" ca="1">IF($A126="","",_xlfn.LET(_xlpm.rawIP,SUMPRODUCT(--(Data!$AL$4:$AL$183=$A126),--(Data!$AM$4:$AM$183=$B126),IFERROR(Data!$AN$4:$AN$183,0)),IF(_xlpm.rawIP=0,0,(S126+U126)/_xlpm.rawIP)))</f>
        <v>0</v>
      </c>
      <c r="AB126" s="18">
        <f ca="1">IF($A126="","",SUMIFS('Current Char Stats'!$AE$4:$AE$273,'Current Char Stats'!$A$4:$A$273,$A126,'Current Char Stats'!$B$4:$B$273,$B126))</f>
        <v>0</v>
      </c>
    </row>
    <row r="127" spans="1:28">
      <c r="A127" s="89" t="str">
        <f>Data!C50</f>
        <v>Donovan</v>
      </c>
      <c r="B127" s="5" t="str">
        <f>Data!D50</f>
        <v>Dry Bones</v>
      </c>
      <c r="C127" s="5">
        <f ca="1">SUMIFS(Data!$W$4:$W$273,Data!$T$4:$T$273,A127,Data!$U$4:$U$273,B127)</f>
        <v>0</v>
      </c>
      <c r="D127" s="5">
        <f ca="1">SUMIFS(Data!$Y$4:$Y$273,Data!$T$4:$T$273,A127,Data!$U$4:$U$273,B127)</f>
        <v>0</v>
      </c>
      <c r="E127" s="5">
        <f ca="1">IF(C127=0,0,D127/C127)</f>
        <v>0</v>
      </c>
      <c r="F127" s="5">
        <f ca="1">SUMIFS(Data!$AB$4:$AB$273,Data!$T$4:$T$273,A127,Data!$U$4:$U$273,B127)</f>
        <v>0</v>
      </c>
      <c r="G127" s="5">
        <f ca="1">SUMIFS(Data!$AC$4:$AC$273,Data!$T$4:$T$273,A127,Data!$U$4:$U$273,B127)</f>
        <v>0</v>
      </c>
      <c r="H127" s="5">
        <f ca="1">IF($A127="","",INT(SUMIFS(Data!$AN$4:$AN$183,Data!$AL$4:$AL$183,$A127,Data!$AM$4:$AM$183,$B127))+MOD(ROUND(SUMIFS(Data!$AN$4:$AN$183,Data!$AL$4:$AL$183,$A127,Data!$AM$4:$AM$183,$B127)*3,0),3)/10)</f>
        <v>0</v>
      </c>
      <c r="I127" s="5">
        <f ca="1">SUMIFS(Data!$AQ$4:$AQ$183,Data!$AL$4:$AL$183,A127,Data!$AM$4:$AM$183,B127)</f>
        <v>0</v>
      </c>
      <c r="J127" s="5">
        <f ca="1">IF($A127="","",IF(SUMIFS(Data!$AN$4:$AN$183,Data!$AL$4:$AL$183,$A127,Data!$AM$4:$AM$183,$B127)=0,0,I127*3/SUMIFS(Data!$AN$4:$AN$183,Data!$AL$4:$AL$183,$A127,Data!$AM$4:$AM$183,$B127)))</f>
        <v>0</v>
      </c>
      <c r="K127" s="18">
        <f ca="1">IF($A127="","",SUMIFS('Current Char Stats'!$N$4:$N$273,'Current Char Stats'!$A$4:$A$273,$A127,'Current Char Stats'!$B$4:$B$273,$B127))</f>
        <v>0</v>
      </c>
      <c r="L127" s="18">
        <f ca="1">IF($A127="","",SUMIFS('Current Char Stats'!$O$4:$O$273,'Current Char Stats'!$A$4:$A$273,$A127,'Current Char Stats'!$B$4:$B$273,$B127))</f>
        <v>0</v>
      </c>
      <c r="M127" s="18">
        <f ca="1">IF($A127="","",SUMIFS('Current Char Stats'!$P$4:$P$273,'Current Char Stats'!$A$4:$A$273,$A127,'Current Char Stats'!$B$4:$B$273,$B127))</f>
        <v>0</v>
      </c>
      <c r="N127" s="18">
        <f ca="1">IF($A127="","",SUMIFS('Current Char Stats'!$Q$4:$Q$273,'Current Char Stats'!$A$4:$A$273,$A127,'Current Char Stats'!$B$4:$B$273,$B127))</f>
        <v>0</v>
      </c>
      <c r="O127" s="18">
        <f ca="1">IF($A127="","",SUMIFS('Current Char Stats'!$R$4:$R$273,'Current Char Stats'!$A$4:$A$273,$A127,'Current Char Stats'!$B$4:$B$273,$B127))</f>
        <v>0</v>
      </c>
      <c r="P127" s="18">
        <f ca="1">IF($A127="","",SUMIFS('Current Char Stats'!$S$4:$S$273,'Current Char Stats'!$A$4:$A$273,$A127,'Current Char Stats'!$B$4:$B$273,$B127))</f>
        <v>0</v>
      </c>
      <c r="Q127" s="18">
        <f ca="1">IF($A127="","",SUMIFS('Current Char Stats'!$T$4:$T$273,'Current Char Stats'!$A$4:$A$273,$A127,'Current Char Stats'!$B$4:$B$273,$B127))</f>
        <v>0</v>
      </c>
      <c r="R127" s="18">
        <f ca="1">IF($A127="","",SUMIFS('Current Char Stats'!$U$4:$U$273,'Current Char Stats'!$A$4:$A$273,$A127,'Current Char Stats'!$B$4:$B$273,$B127))</f>
        <v>0</v>
      </c>
      <c r="S127" s="18">
        <f ca="1">IF($A127="","",SUMIFS('Current Char Stats'!$V$4:$V$273,'Current Char Stats'!$A$4:$A$273,$A127,'Current Char Stats'!$B$4:$B$273,$B127))</f>
        <v>0</v>
      </c>
      <c r="T127" s="18">
        <f ca="1">IF($A127="","",SUMIFS('Current Char Stats'!$W$4:$W$273,'Current Char Stats'!$A$4:$A$273,$A127,'Current Char Stats'!$B$4:$B$273,$B127))</f>
        <v>0</v>
      </c>
      <c r="U127" s="18">
        <f ca="1">IF($A127="","",SUMIFS('Current Char Stats'!$X$4:$X$273,'Current Char Stats'!$A$4:$A$273,$A127,'Current Char Stats'!$B$4:$B$273,$B127))</f>
        <v>0</v>
      </c>
      <c r="V127" s="18">
        <f ca="1">IF($A127="","",SUMIFS('Current Char Stats'!$Y$4:$Y$273,'Current Char Stats'!$A$4:$A$273,$A127,'Current Char Stats'!$B$4:$B$273,$B127))</f>
        <v>0</v>
      </c>
      <c r="W127" s="18">
        <f ca="1">IF($A127="","",SUMIFS('Current Char Stats'!$Z$4:$Z$273,'Current Char Stats'!$A$4:$A$273,$A127,'Current Char Stats'!$B$4:$B$273,$B127))</f>
        <v>0</v>
      </c>
      <c r="X127" s="18">
        <f ca="1">IF($A127="","",SUMIFS('Current Char Stats'!$AA$4:$AA$273,'Current Char Stats'!$A$4:$A$273,$A127,'Current Char Stats'!$B$4:$B$273,$B127))</f>
        <v>0</v>
      </c>
      <c r="Y127" s="18">
        <f ca="1">IF($A127="","",SUMIFS('Current Char Stats'!$AB$4:$AB$273,'Current Char Stats'!$A$4:$A$273,$A127,'Current Char Stats'!$B$4:$B$273,$B127))</f>
        <v>0</v>
      </c>
      <c r="Z127" s="18">
        <f ca="1">IF($A127="","",SUMIFS('Current Char Stats'!$AC$4:$AC$273,'Current Char Stats'!$A$4:$A$273,$A127,'Current Char Stats'!$B$4:$B$273,$B127))</f>
        <v>0</v>
      </c>
      <c r="AA127" s="18" cm="1">
        <f t="array" aca="1" ref="AA127" ca="1">IF($A127="","",_xlfn.LET(_xlpm.rawIP,SUMPRODUCT(--(Data!$AL$4:$AL$183=$A127),--(Data!$AM$4:$AM$183=$B127),IFERROR(Data!$AN$4:$AN$183,0)),IF(_xlpm.rawIP=0,0,(S127+U127)/_xlpm.rawIP)))</f>
        <v>0</v>
      </c>
      <c r="AB127" s="18">
        <f ca="1">IF($A127="","",SUMIFS('Current Char Stats'!$AE$4:$AE$273,'Current Char Stats'!$A$4:$A$273,$A127,'Current Char Stats'!$B$4:$B$273,$B127))</f>
        <v>0</v>
      </c>
    </row>
    <row r="128" spans="1:28">
      <c r="A128" s="88" t="str">
        <f>Data!C51</f>
        <v>Justin</v>
      </c>
      <c r="B128" s="5" t="str">
        <f>Data!D51</f>
        <v>Paratroopa</v>
      </c>
      <c r="C128" s="5">
        <f ca="1">SUMIFS(Data!$W$4:$W$273,Data!$T$4:$T$273,A128,Data!$U$4:$U$273,B128)</f>
        <v>0</v>
      </c>
      <c r="D128" s="5">
        <f ca="1">SUMIFS(Data!$Y$4:$Y$273,Data!$T$4:$T$273,A128,Data!$U$4:$U$273,B128)</f>
        <v>0</v>
      </c>
      <c r="E128" s="5">
        <f ca="1">IF(C128=0,0,D128/C128)</f>
        <v>0</v>
      </c>
      <c r="F128" s="5">
        <f ca="1">SUMIFS(Data!$AB$4:$AB$273,Data!$T$4:$T$273,A128,Data!$U$4:$U$273,B128)</f>
        <v>0</v>
      </c>
      <c r="G128" s="5">
        <f ca="1">SUMIFS(Data!$AC$4:$AC$273,Data!$T$4:$T$273,A128,Data!$U$4:$U$273,B128)</f>
        <v>0</v>
      </c>
      <c r="H128" s="5">
        <f ca="1">IF($A128="","",INT(SUMIFS(Data!$AN$4:$AN$183,Data!$AL$4:$AL$183,$A128,Data!$AM$4:$AM$183,$B128))+MOD(ROUND(SUMIFS(Data!$AN$4:$AN$183,Data!$AL$4:$AL$183,$A128,Data!$AM$4:$AM$183,$B128)*3,0),3)/10)</f>
        <v>0</v>
      </c>
      <c r="I128" s="5">
        <f ca="1">SUMIFS(Data!$AQ$4:$AQ$183,Data!$AL$4:$AL$183,A128,Data!$AM$4:$AM$183,B128)</f>
        <v>0</v>
      </c>
      <c r="J128" s="5">
        <f ca="1">IF($A128="","",IF(SUMIFS(Data!$AN$4:$AN$183,Data!$AL$4:$AL$183,$A128,Data!$AM$4:$AM$183,$B128)=0,0,I128*3/SUMIFS(Data!$AN$4:$AN$183,Data!$AL$4:$AL$183,$A128,Data!$AM$4:$AM$183,$B128)))</f>
        <v>0</v>
      </c>
      <c r="K128" s="18">
        <f ca="1">IF($A128="","",SUMIFS('Current Char Stats'!$N$4:$N$273,'Current Char Stats'!$A$4:$A$273,$A128,'Current Char Stats'!$B$4:$B$273,$B128))</f>
        <v>0</v>
      </c>
      <c r="L128" s="18">
        <f ca="1">IF($A128="","",SUMIFS('Current Char Stats'!$O$4:$O$273,'Current Char Stats'!$A$4:$A$273,$A128,'Current Char Stats'!$B$4:$B$273,$B128))</f>
        <v>0</v>
      </c>
      <c r="M128" s="18">
        <f ca="1">IF($A128="","",SUMIFS('Current Char Stats'!$P$4:$P$273,'Current Char Stats'!$A$4:$A$273,$A128,'Current Char Stats'!$B$4:$B$273,$B128))</f>
        <v>0</v>
      </c>
      <c r="N128" s="18">
        <f ca="1">IF($A128="","",SUMIFS('Current Char Stats'!$Q$4:$Q$273,'Current Char Stats'!$A$4:$A$273,$A128,'Current Char Stats'!$B$4:$B$273,$B128))</f>
        <v>0</v>
      </c>
      <c r="O128" s="18">
        <f ca="1">IF($A128="","",SUMIFS('Current Char Stats'!$R$4:$R$273,'Current Char Stats'!$A$4:$A$273,$A128,'Current Char Stats'!$B$4:$B$273,$B128))</f>
        <v>0</v>
      </c>
      <c r="P128" s="18">
        <f ca="1">IF($A128="","",SUMIFS('Current Char Stats'!$S$4:$S$273,'Current Char Stats'!$A$4:$A$273,$A128,'Current Char Stats'!$B$4:$B$273,$B128))</f>
        <v>0</v>
      </c>
      <c r="Q128" s="18">
        <f ca="1">IF($A128="","",SUMIFS('Current Char Stats'!$T$4:$T$273,'Current Char Stats'!$A$4:$A$273,$A128,'Current Char Stats'!$B$4:$B$273,$B128))</f>
        <v>0</v>
      </c>
      <c r="R128" s="18">
        <f ca="1">IF($A128="","",SUMIFS('Current Char Stats'!$U$4:$U$273,'Current Char Stats'!$A$4:$A$273,$A128,'Current Char Stats'!$B$4:$B$273,$B128))</f>
        <v>0</v>
      </c>
      <c r="S128" s="18">
        <f ca="1">IF($A128="","",SUMIFS('Current Char Stats'!$V$4:$V$273,'Current Char Stats'!$A$4:$A$273,$A128,'Current Char Stats'!$B$4:$B$273,$B128))</f>
        <v>0</v>
      </c>
      <c r="T128" s="18">
        <f ca="1">IF($A128="","",SUMIFS('Current Char Stats'!$W$4:$W$273,'Current Char Stats'!$A$4:$A$273,$A128,'Current Char Stats'!$B$4:$B$273,$B128))</f>
        <v>0</v>
      </c>
      <c r="U128" s="18">
        <f ca="1">IF($A128="","",SUMIFS('Current Char Stats'!$X$4:$X$273,'Current Char Stats'!$A$4:$A$273,$A128,'Current Char Stats'!$B$4:$B$273,$B128))</f>
        <v>0</v>
      </c>
      <c r="V128" s="18">
        <f ca="1">IF($A128="","",SUMIFS('Current Char Stats'!$Y$4:$Y$273,'Current Char Stats'!$A$4:$A$273,$A128,'Current Char Stats'!$B$4:$B$273,$B128))</f>
        <v>0</v>
      </c>
      <c r="W128" s="18">
        <f ca="1">IF($A128="","",SUMIFS('Current Char Stats'!$Z$4:$Z$273,'Current Char Stats'!$A$4:$A$273,$A128,'Current Char Stats'!$B$4:$B$273,$B128))</f>
        <v>0</v>
      </c>
      <c r="X128" s="18">
        <f ca="1">IF($A128="","",SUMIFS('Current Char Stats'!$AA$4:$AA$273,'Current Char Stats'!$A$4:$A$273,$A128,'Current Char Stats'!$B$4:$B$273,$B128))</f>
        <v>0</v>
      </c>
      <c r="Y128" s="18">
        <f ca="1">IF($A128="","",SUMIFS('Current Char Stats'!$AB$4:$AB$273,'Current Char Stats'!$A$4:$A$273,$A128,'Current Char Stats'!$B$4:$B$273,$B128))</f>
        <v>0</v>
      </c>
      <c r="Z128" s="18">
        <f ca="1">IF($A128="","",SUMIFS('Current Char Stats'!$AC$4:$AC$273,'Current Char Stats'!$A$4:$A$273,$A128,'Current Char Stats'!$B$4:$B$273,$B128))</f>
        <v>0</v>
      </c>
      <c r="AA128" s="18" cm="1">
        <f t="array" aca="1" ref="AA128" ca="1">IF($A128="","",_xlfn.LET(_xlpm.rawIP,SUMPRODUCT(--(Data!$AL$4:$AL$183=$A128),--(Data!$AM$4:$AM$183=$B128),IFERROR(Data!$AN$4:$AN$183,0)),IF(_xlpm.rawIP=0,0,(S128+U128)/_xlpm.rawIP)))</f>
        <v>0</v>
      </c>
      <c r="AB128" s="18">
        <f ca="1">IF($A128="","",SUMIFS('Current Char Stats'!$AE$4:$AE$273,'Current Char Stats'!$A$4:$A$273,$A128,'Current Char Stats'!$B$4:$B$273,$B128))</f>
        <v>0</v>
      </c>
    </row>
    <row r="129" spans="1:28">
      <c r="A129" s="88" t="str">
        <f>Data!C52</f>
        <v>Justin</v>
      </c>
      <c r="B129" s="5" t="str">
        <f>Data!D52</f>
        <v>Kritter</v>
      </c>
      <c r="C129" s="5">
        <f ca="1">SUMIFS(Data!$W$4:$W$273,Data!$T$4:$T$273,A129,Data!$U$4:$U$273,B129)</f>
        <v>0</v>
      </c>
      <c r="D129" s="5">
        <f ca="1">SUMIFS(Data!$Y$4:$Y$273,Data!$T$4:$T$273,A129,Data!$U$4:$U$273,B129)</f>
        <v>0</v>
      </c>
      <c r="E129" s="5">
        <f ca="1">IF(C129=0,0,D129/C129)</f>
        <v>0</v>
      </c>
      <c r="F129" s="5">
        <f ca="1">SUMIFS(Data!$AB$4:$AB$273,Data!$T$4:$T$273,A129,Data!$U$4:$U$273,B129)</f>
        <v>0</v>
      </c>
      <c r="G129" s="5">
        <f ca="1">SUMIFS(Data!$AC$4:$AC$273,Data!$T$4:$T$273,A129,Data!$U$4:$U$273,B129)</f>
        <v>0</v>
      </c>
      <c r="H129" s="5">
        <f ca="1">IF($A129="","",INT(SUMIFS(Data!$AN$4:$AN$183,Data!$AL$4:$AL$183,$A129,Data!$AM$4:$AM$183,$B129))+MOD(ROUND(SUMIFS(Data!$AN$4:$AN$183,Data!$AL$4:$AL$183,$A129,Data!$AM$4:$AM$183,$B129)*3,0),3)/10)</f>
        <v>0</v>
      </c>
      <c r="I129" s="5">
        <f ca="1">SUMIFS(Data!$AQ$4:$AQ$183,Data!$AL$4:$AL$183,A129,Data!$AM$4:$AM$183,B129)</f>
        <v>0</v>
      </c>
      <c r="J129" s="5">
        <f ca="1">IF($A129="","",IF(SUMIFS(Data!$AN$4:$AN$183,Data!$AL$4:$AL$183,$A129,Data!$AM$4:$AM$183,$B129)=0,0,I129*3/SUMIFS(Data!$AN$4:$AN$183,Data!$AL$4:$AL$183,$A129,Data!$AM$4:$AM$183,$B129)))</f>
        <v>0</v>
      </c>
      <c r="K129" s="18">
        <f ca="1">IF($A129="","",SUMIFS('Current Char Stats'!$N$4:$N$273,'Current Char Stats'!$A$4:$A$273,$A129,'Current Char Stats'!$B$4:$B$273,$B129))</f>
        <v>0</v>
      </c>
      <c r="L129" s="18">
        <f ca="1">IF($A129="","",SUMIFS('Current Char Stats'!$O$4:$O$273,'Current Char Stats'!$A$4:$A$273,$A129,'Current Char Stats'!$B$4:$B$273,$B129))</f>
        <v>0</v>
      </c>
      <c r="M129" s="18">
        <f ca="1">IF($A129="","",SUMIFS('Current Char Stats'!$P$4:$P$273,'Current Char Stats'!$A$4:$A$273,$A129,'Current Char Stats'!$B$4:$B$273,$B129))</f>
        <v>0</v>
      </c>
      <c r="N129" s="18">
        <f ca="1">IF($A129="","",SUMIFS('Current Char Stats'!$Q$4:$Q$273,'Current Char Stats'!$A$4:$A$273,$A129,'Current Char Stats'!$B$4:$B$273,$B129))</f>
        <v>0</v>
      </c>
      <c r="O129" s="18">
        <f ca="1">IF($A129="","",SUMIFS('Current Char Stats'!$R$4:$R$273,'Current Char Stats'!$A$4:$A$273,$A129,'Current Char Stats'!$B$4:$B$273,$B129))</f>
        <v>0</v>
      </c>
      <c r="P129" s="18">
        <f ca="1">IF($A129="","",SUMIFS('Current Char Stats'!$S$4:$S$273,'Current Char Stats'!$A$4:$A$273,$A129,'Current Char Stats'!$B$4:$B$273,$B129))</f>
        <v>0</v>
      </c>
      <c r="Q129" s="18">
        <f ca="1">IF($A129="","",SUMIFS('Current Char Stats'!$T$4:$T$273,'Current Char Stats'!$A$4:$A$273,$A129,'Current Char Stats'!$B$4:$B$273,$B129))</f>
        <v>0</v>
      </c>
      <c r="R129" s="18">
        <f ca="1">IF($A129="","",SUMIFS('Current Char Stats'!$U$4:$U$273,'Current Char Stats'!$A$4:$A$273,$A129,'Current Char Stats'!$B$4:$B$273,$B129))</f>
        <v>0</v>
      </c>
      <c r="S129" s="18">
        <f ca="1">IF($A129="","",SUMIFS('Current Char Stats'!$V$4:$V$273,'Current Char Stats'!$A$4:$A$273,$A129,'Current Char Stats'!$B$4:$B$273,$B129))</f>
        <v>0</v>
      </c>
      <c r="T129" s="18">
        <f ca="1">IF($A129="","",SUMIFS('Current Char Stats'!$W$4:$W$273,'Current Char Stats'!$A$4:$A$273,$A129,'Current Char Stats'!$B$4:$B$273,$B129))</f>
        <v>0</v>
      </c>
      <c r="U129" s="18">
        <f ca="1">IF($A129="","",SUMIFS('Current Char Stats'!$X$4:$X$273,'Current Char Stats'!$A$4:$A$273,$A129,'Current Char Stats'!$B$4:$B$273,$B129))</f>
        <v>0</v>
      </c>
      <c r="V129" s="18">
        <f ca="1">IF($A129="","",SUMIFS('Current Char Stats'!$Y$4:$Y$273,'Current Char Stats'!$A$4:$A$273,$A129,'Current Char Stats'!$B$4:$B$273,$B129))</f>
        <v>0</v>
      </c>
      <c r="W129" s="18">
        <f ca="1">IF($A129="","",SUMIFS('Current Char Stats'!$Z$4:$Z$273,'Current Char Stats'!$A$4:$A$273,$A129,'Current Char Stats'!$B$4:$B$273,$B129))</f>
        <v>0</v>
      </c>
      <c r="X129" s="18">
        <f ca="1">IF($A129="","",SUMIFS('Current Char Stats'!$AA$4:$AA$273,'Current Char Stats'!$A$4:$A$273,$A129,'Current Char Stats'!$B$4:$B$273,$B129))</f>
        <v>0</v>
      </c>
      <c r="Y129" s="18">
        <f ca="1">IF($A129="","",SUMIFS('Current Char Stats'!$AB$4:$AB$273,'Current Char Stats'!$A$4:$A$273,$A129,'Current Char Stats'!$B$4:$B$273,$B129))</f>
        <v>0</v>
      </c>
      <c r="Z129" s="18">
        <f ca="1">IF($A129="","",SUMIFS('Current Char Stats'!$AC$4:$AC$273,'Current Char Stats'!$A$4:$A$273,$A129,'Current Char Stats'!$B$4:$B$273,$B129))</f>
        <v>0</v>
      </c>
      <c r="AA129" s="18" cm="1">
        <f t="array" aca="1" ref="AA129" ca="1">IF($A129="","",_xlfn.LET(_xlpm.rawIP,SUMPRODUCT(--(Data!$AL$4:$AL$183=$A129),--(Data!$AM$4:$AM$183=$B129),IFERROR(Data!$AN$4:$AN$183,0)),IF(_xlpm.rawIP=0,0,(S129+U129)/_xlpm.rawIP)))</f>
        <v>0</v>
      </c>
      <c r="AB129" s="18">
        <f ca="1">IF($A129="","",SUMIFS('Current Char Stats'!$AE$4:$AE$273,'Current Char Stats'!$A$4:$A$273,$A129,'Current Char Stats'!$B$4:$B$273,$B129))</f>
        <v>0</v>
      </c>
    </row>
    <row r="130" spans="1:28">
      <c r="A130" s="89" t="str">
        <f>Data!C53</f>
        <v>Donovan</v>
      </c>
      <c r="B130" s="5" t="str">
        <f>Data!D53</f>
        <v>Paragoomba</v>
      </c>
      <c r="C130" s="5">
        <f ca="1">SUMIFS(Data!$W$4:$W$273,Data!$T$4:$T$273,A130,Data!$U$4:$U$273,B130)</f>
        <v>0</v>
      </c>
      <c r="D130" s="5">
        <f ca="1">SUMIFS(Data!$Y$4:$Y$273,Data!$T$4:$T$273,A130,Data!$U$4:$U$273,B130)</f>
        <v>0</v>
      </c>
      <c r="E130" s="5">
        <f ca="1">IF(C130=0,0,D130/C130)</f>
        <v>0</v>
      </c>
      <c r="F130" s="5">
        <f ca="1">SUMIFS(Data!$AB$4:$AB$273,Data!$T$4:$T$273,A130,Data!$U$4:$U$273,B130)</f>
        <v>0</v>
      </c>
      <c r="G130" s="5">
        <f ca="1">SUMIFS(Data!$AC$4:$AC$273,Data!$T$4:$T$273,A130,Data!$U$4:$U$273,B130)</f>
        <v>0</v>
      </c>
      <c r="H130" s="5">
        <f ca="1">IF($A130="","",INT(SUMIFS(Data!$AN$4:$AN$183,Data!$AL$4:$AL$183,$A130,Data!$AM$4:$AM$183,$B130))+MOD(ROUND(SUMIFS(Data!$AN$4:$AN$183,Data!$AL$4:$AL$183,$A130,Data!$AM$4:$AM$183,$B130)*3,0),3)/10)</f>
        <v>0</v>
      </c>
      <c r="I130" s="5">
        <f ca="1">SUMIFS(Data!$AQ$4:$AQ$183,Data!$AL$4:$AL$183,A130,Data!$AM$4:$AM$183,B130)</f>
        <v>0</v>
      </c>
      <c r="J130" s="5">
        <f ca="1">IF($A130="","",IF(SUMIFS(Data!$AN$4:$AN$183,Data!$AL$4:$AL$183,$A130,Data!$AM$4:$AM$183,$B130)=0,0,I130*3/SUMIFS(Data!$AN$4:$AN$183,Data!$AL$4:$AL$183,$A130,Data!$AM$4:$AM$183,$B130)))</f>
        <v>0</v>
      </c>
      <c r="K130" s="18">
        <f ca="1">IF($A130="","",SUMIFS('Current Char Stats'!$N$4:$N$273,'Current Char Stats'!$A$4:$A$273,$A130,'Current Char Stats'!$B$4:$B$273,$B130))</f>
        <v>0</v>
      </c>
      <c r="L130" s="18">
        <f ca="1">IF($A130="","",SUMIFS('Current Char Stats'!$O$4:$O$273,'Current Char Stats'!$A$4:$A$273,$A130,'Current Char Stats'!$B$4:$B$273,$B130))</f>
        <v>0</v>
      </c>
      <c r="M130" s="18">
        <f ca="1">IF($A130="","",SUMIFS('Current Char Stats'!$P$4:$P$273,'Current Char Stats'!$A$4:$A$273,$A130,'Current Char Stats'!$B$4:$B$273,$B130))</f>
        <v>0</v>
      </c>
      <c r="N130" s="18">
        <f ca="1">IF($A130="","",SUMIFS('Current Char Stats'!$Q$4:$Q$273,'Current Char Stats'!$A$4:$A$273,$A130,'Current Char Stats'!$B$4:$B$273,$B130))</f>
        <v>0</v>
      </c>
      <c r="O130" s="18">
        <f ca="1">IF($A130="","",SUMIFS('Current Char Stats'!$R$4:$R$273,'Current Char Stats'!$A$4:$A$273,$A130,'Current Char Stats'!$B$4:$B$273,$B130))</f>
        <v>0</v>
      </c>
      <c r="P130" s="18">
        <f ca="1">IF($A130="","",SUMIFS('Current Char Stats'!$S$4:$S$273,'Current Char Stats'!$A$4:$A$273,$A130,'Current Char Stats'!$B$4:$B$273,$B130))</f>
        <v>0</v>
      </c>
      <c r="Q130" s="18">
        <f ca="1">IF($A130="","",SUMIFS('Current Char Stats'!$T$4:$T$273,'Current Char Stats'!$A$4:$A$273,$A130,'Current Char Stats'!$B$4:$B$273,$B130))</f>
        <v>0</v>
      </c>
      <c r="R130" s="18">
        <f ca="1">IF($A130="","",SUMIFS('Current Char Stats'!$U$4:$U$273,'Current Char Stats'!$A$4:$A$273,$A130,'Current Char Stats'!$B$4:$B$273,$B130))</f>
        <v>0</v>
      </c>
      <c r="S130" s="18">
        <f ca="1">IF($A130="","",SUMIFS('Current Char Stats'!$V$4:$V$273,'Current Char Stats'!$A$4:$A$273,$A130,'Current Char Stats'!$B$4:$B$273,$B130))</f>
        <v>0</v>
      </c>
      <c r="T130" s="18">
        <f ca="1">IF($A130="","",SUMIFS('Current Char Stats'!$W$4:$W$273,'Current Char Stats'!$A$4:$A$273,$A130,'Current Char Stats'!$B$4:$B$273,$B130))</f>
        <v>0</v>
      </c>
      <c r="U130" s="18">
        <f ca="1">IF($A130="","",SUMIFS('Current Char Stats'!$X$4:$X$273,'Current Char Stats'!$A$4:$A$273,$A130,'Current Char Stats'!$B$4:$B$273,$B130))</f>
        <v>0</v>
      </c>
      <c r="V130" s="18">
        <f ca="1">IF($A130="","",SUMIFS('Current Char Stats'!$Y$4:$Y$273,'Current Char Stats'!$A$4:$A$273,$A130,'Current Char Stats'!$B$4:$B$273,$B130))</f>
        <v>0</v>
      </c>
      <c r="W130" s="18">
        <f ca="1">IF($A130="","",SUMIFS('Current Char Stats'!$Z$4:$Z$273,'Current Char Stats'!$A$4:$A$273,$A130,'Current Char Stats'!$B$4:$B$273,$B130))</f>
        <v>0</v>
      </c>
      <c r="X130" s="18">
        <f ca="1">IF($A130="","",SUMIFS('Current Char Stats'!$AA$4:$AA$273,'Current Char Stats'!$A$4:$A$273,$A130,'Current Char Stats'!$B$4:$B$273,$B130))</f>
        <v>0</v>
      </c>
      <c r="Y130" s="18">
        <f ca="1">IF($A130="","",SUMIFS('Current Char Stats'!$AB$4:$AB$273,'Current Char Stats'!$A$4:$A$273,$A130,'Current Char Stats'!$B$4:$B$273,$B130))</f>
        <v>0</v>
      </c>
      <c r="Z130" s="18">
        <f ca="1">IF($A130="","",SUMIFS('Current Char Stats'!$AC$4:$AC$273,'Current Char Stats'!$A$4:$A$273,$A130,'Current Char Stats'!$B$4:$B$273,$B130))</f>
        <v>0</v>
      </c>
      <c r="AA130" s="18" cm="1">
        <f t="array" aca="1" ref="AA130" ca="1">IF($A130="","",_xlfn.LET(_xlpm.rawIP,SUMPRODUCT(--(Data!$AL$4:$AL$183=$A130),--(Data!$AM$4:$AM$183=$B130),IFERROR(Data!$AN$4:$AN$183,0)),IF(_xlpm.rawIP=0,0,(S130+U130)/_xlpm.rawIP)))</f>
        <v>0</v>
      </c>
      <c r="AB130" s="18">
        <f ca="1">IF($A130="","",SUMIFS('Current Char Stats'!$AE$4:$AE$273,'Current Char Stats'!$A$4:$A$273,$A130,'Current Char Stats'!$B$4:$B$273,$B130))</f>
        <v>0</v>
      </c>
    </row>
    <row r="131" spans="1:28">
      <c r="A131" s="90" t="str">
        <f>Data!C54</f>
        <v>Nick</v>
      </c>
      <c r="B131" s="5" t="str">
        <f>Data!D54</f>
        <v>Green Dry Bones</v>
      </c>
      <c r="C131" s="5">
        <f ca="1">SUMIFS(Data!$W$4:$W$273,Data!$T$4:$T$273,A131,Data!$U$4:$U$273,B131)</f>
        <v>0</v>
      </c>
      <c r="D131" s="5">
        <f ca="1">SUMIFS(Data!$Y$4:$Y$273,Data!$T$4:$T$273,A131,Data!$U$4:$U$273,B131)</f>
        <v>0</v>
      </c>
      <c r="E131" s="5">
        <f ca="1">IF(C131=0,0,D131/C131)</f>
        <v>0</v>
      </c>
      <c r="F131" s="5">
        <f ca="1">SUMIFS(Data!$AB$4:$AB$273,Data!$T$4:$T$273,A131,Data!$U$4:$U$273,B131)</f>
        <v>0</v>
      </c>
      <c r="G131" s="5">
        <f ca="1">SUMIFS(Data!$AC$4:$AC$273,Data!$T$4:$T$273,A131,Data!$U$4:$U$273,B131)</f>
        <v>0</v>
      </c>
      <c r="H131" s="5">
        <f ca="1">IF($A131="","",INT(SUMIFS(Data!$AN$4:$AN$183,Data!$AL$4:$AL$183,$A131,Data!$AM$4:$AM$183,$B131))+MOD(ROUND(SUMIFS(Data!$AN$4:$AN$183,Data!$AL$4:$AL$183,$A131,Data!$AM$4:$AM$183,$B131)*3,0),3)/10)</f>
        <v>0</v>
      </c>
      <c r="I131" s="5">
        <f ca="1">SUMIFS(Data!$AQ$4:$AQ$183,Data!$AL$4:$AL$183,A131,Data!$AM$4:$AM$183,B131)</f>
        <v>0</v>
      </c>
      <c r="J131" s="5">
        <f ca="1">IF($A131="","",IF(SUMIFS(Data!$AN$4:$AN$183,Data!$AL$4:$AL$183,$A131,Data!$AM$4:$AM$183,$B131)=0,0,I131*3/SUMIFS(Data!$AN$4:$AN$183,Data!$AL$4:$AL$183,$A131,Data!$AM$4:$AM$183,$B131)))</f>
        <v>0</v>
      </c>
      <c r="K131" s="18">
        <f ca="1">IF($A131="","",SUMIFS('Current Char Stats'!$N$4:$N$273,'Current Char Stats'!$A$4:$A$273,$A131,'Current Char Stats'!$B$4:$B$273,$B131))</f>
        <v>0</v>
      </c>
      <c r="L131" s="18">
        <f ca="1">IF($A131="","",SUMIFS('Current Char Stats'!$O$4:$O$273,'Current Char Stats'!$A$4:$A$273,$A131,'Current Char Stats'!$B$4:$B$273,$B131))</f>
        <v>0</v>
      </c>
      <c r="M131" s="18">
        <f ca="1">IF($A131="","",SUMIFS('Current Char Stats'!$P$4:$P$273,'Current Char Stats'!$A$4:$A$273,$A131,'Current Char Stats'!$B$4:$B$273,$B131))</f>
        <v>0</v>
      </c>
      <c r="N131" s="18">
        <f ca="1">IF($A131="","",SUMIFS('Current Char Stats'!$Q$4:$Q$273,'Current Char Stats'!$A$4:$A$273,$A131,'Current Char Stats'!$B$4:$B$273,$B131))</f>
        <v>0</v>
      </c>
      <c r="O131" s="18">
        <f ca="1">IF($A131="","",SUMIFS('Current Char Stats'!$R$4:$R$273,'Current Char Stats'!$A$4:$A$273,$A131,'Current Char Stats'!$B$4:$B$273,$B131))</f>
        <v>0</v>
      </c>
      <c r="P131" s="18">
        <f ca="1">IF($A131="","",SUMIFS('Current Char Stats'!$S$4:$S$273,'Current Char Stats'!$A$4:$A$273,$A131,'Current Char Stats'!$B$4:$B$273,$B131))</f>
        <v>0</v>
      </c>
      <c r="Q131" s="18">
        <f ca="1">IF($A131="","",SUMIFS('Current Char Stats'!$T$4:$T$273,'Current Char Stats'!$A$4:$A$273,$A131,'Current Char Stats'!$B$4:$B$273,$B131))</f>
        <v>0</v>
      </c>
      <c r="R131" s="18">
        <f ca="1">IF($A131="","",SUMIFS('Current Char Stats'!$U$4:$U$273,'Current Char Stats'!$A$4:$A$273,$A131,'Current Char Stats'!$B$4:$B$273,$B131))</f>
        <v>0</v>
      </c>
      <c r="S131" s="18">
        <f ca="1">IF($A131="","",SUMIFS('Current Char Stats'!$V$4:$V$273,'Current Char Stats'!$A$4:$A$273,$A131,'Current Char Stats'!$B$4:$B$273,$B131))</f>
        <v>0</v>
      </c>
      <c r="T131" s="18">
        <f ca="1">IF($A131="","",SUMIFS('Current Char Stats'!$W$4:$W$273,'Current Char Stats'!$A$4:$A$273,$A131,'Current Char Stats'!$B$4:$B$273,$B131))</f>
        <v>0</v>
      </c>
      <c r="U131" s="18">
        <f ca="1">IF($A131="","",SUMIFS('Current Char Stats'!$X$4:$X$273,'Current Char Stats'!$A$4:$A$273,$A131,'Current Char Stats'!$B$4:$B$273,$B131))</f>
        <v>0</v>
      </c>
      <c r="V131" s="18">
        <f ca="1">IF($A131="","",SUMIFS('Current Char Stats'!$Y$4:$Y$273,'Current Char Stats'!$A$4:$A$273,$A131,'Current Char Stats'!$B$4:$B$273,$B131))</f>
        <v>0</v>
      </c>
      <c r="W131" s="18">
        <f ca="1">IF($A131="","",SUMIFS('Current Char Stats'!$Z$4:$Z$273,'Current Char Stats'!$A$4:$A$273,$A131,'Current Char Stats'!$B$4:$B$273,$B131))</f>
        <v>0</v>
      </c>
      <c r="X131" s="18">
        <f ca="1">IF($A131="","",SUMIFS('Current Char Stats'!$AA$4:$AA$273,'Current Char Stats'!$A$4:$A$273,$A131,'Current Char Stats'!$B$4:$B$273,$B131))</f>
        <v>0</v>
      </c>
      <c r="Y131" s="18">
        <f ca="1">IF($A131="","",SUMIFS('Current Char Stats'!$AB$4:$AB$273,'Current Char Stats'!$A$4:$A$273,$A131,'Current Char Stats'!$B$4:$B$273,$B131))</f>
        <v>0</v>
      </c>
      <c r="Z131" s="18">
        <f ca="1">IF($A131="","",SUMIFS('Current Char Stats'!$AC$4:$AC$273,'Current Char Stats'!$A$4:$A$273,$A131,'Current Char Stats'!$B$4:$B$273,$B131))</f>
        <v>0</v>
      </c>
      <c r="AA131" s="18" cm="1">
        <f t="array" aca="1" ref="AA131" ca="1">IF($A131="","",_xlfn.LET(_xlpm.rawIP,SUMPRODUCT(--(Data!$AL$4:$AL$183=$A131),--(Data!$AM$4:$AM$183=$B131),IFERROR(Data!$AN$4:$AN$183,0)),IF(_xlpm.rawIP=0,0,(S131+U131)/_xlpm.rawIP)))</f>
        <v>0</v>
      </c>
      <c r="AB131" s="18">
        <f ca="1">IF($A131="","",SUMIFS('Current Char Stats'!$AE$4:$AE$273,'Current Char Stats'!$A$4:$A$273,$A131,'Current Char Stats'!$B$4:$B$273,$B131))</f>
        <v>0</v>
      </c>
    </row>
    <row r="132" spans="1:28">
      <c r="A132" s="92" t="str">
        <f>Data!C55</f>
        <v>Aidan</v>
      </c>
      <c r="B132" s="5" t="str">
        <f>Data!D55</f>
        <v>Blue Dry Bones</v>
      </c>
      <c r="C132" s="5">
        <f ca="1">SUMIFS(Data!$W$4:$W$273,Data!$T$4:$T$273,A132,Data!$U$4:$U$273,B132)</f>
        <v>0</v>
      </c>
      <c r="D132" s="5">
        <f ca="1">SUMIFS(Data!$Y$4:$Y$273,Data!$T$4:$T$273,A132,Data!$U$4:$U$273,B132)</f>
        <v>0</v>
      </c>
      <c r="E132" s="5">
        <f ca="1">IF(C132=0,0,D132/C132)</f>
        <v>0</v>
      </c>
      <c r="F132" s="5">
        <f ca="1">SUMIFS(Data!$AB$4:$AB$273,Data!$T$4:$T$273,A132,Data!$U$4:$U$273,B132)</f>
        <v>0</v>
      </c>
      <c r="G132" s="5">
        <f ca="1">SUMIFS(Data!$AC$4:$AC$273,Data!$T$4:$T$273,A132,Data!$U$4:$U$273,B132)</f>
        <v>0</v>
      </c>
      <c r="H132" s="5">
        <f ca="1">IF($A132="","",INT(SUMIFS(Data!$AN$4:$AN$183,Data!$AL$4:$AL$183,$A132,Data!$AM$4:$AM$183,$B132))+MOD(ROUND(SUMIFS(Data!$AN$4:$AN$183,Data!$AL$4:$AL$183,$A132,Data!$AM$4:$AM$183,$B132)*3,0),3)/10)</f>
        <v>0</v>
      </c>
      <c r="I132" s="5">
        <f ca="1">SUMIFS(Data!$AQ$4:$AQ$183,Data!$AL$4:$AL$183,A132,Data!$AM$4:$AM$183,B132)</f>
        <v>0</v>
      </c>
      <c r="J132" s="5">
        <f ca="1">IF($A132="","",IF(SUMIFS(Data!$AN$4:$AN$183,Data!$AL$4:$AL$183,$A132,Data!$AM$4:$AM$183,$B132)=0,0,I132*3/SUMIFS(Data!$AN$4:$AN$183,Data!$AL$4:$AL$183,$A132,Data!$AM$4:$AM$183,$B132)))</f>
        <v>0</v>
      </c>
      <c r="K132" s="18">
        <f ca="1">IF($A132="","",SUMIFS('Current Char Stats'!$N$4:$N$273,'Current Char Stats'!$A$4:$A$273,$A132,'Current Char Stats'!$B$4:$B$273,$B132))</f>
        <v>0</v>
      </c>
      <c r="L132" s="18">
        <f ca="1">IF($A132="","",SUMIFS('Current Char Stats'!$O$4:$O$273,'Current Char Stats'!$A$4:$A$273,$A132,'Current Char Stats'!$B$4:$B$273,$B132))</f>
        <v>0</v>
      </c>
      <c r="M132" s="18">
        <f ca="1">IF($A132="","",SUMIFS('Current Char Stats'!$P$4:$P$273,'Current Char Stats'!$A$4:$A$273,$A132,'Current Char Stats'!$B$4:$B$273,$B132))</f>
        <v>0</v>
      </c>
      <c r="N132" s="18">
        <f ca="1">IF($A132="","",SUMIFS('Current Char Stats'!$Q$4:$Q$273,'Current Char Stats'!$A$4:$A$273,$A132,'Current Char Stats'!$B$4:$B$273,$B132))</f>
        <v>0</v>
      </c>
      <c r="O132" s="18">
        <f ca="1">IF($A132="","",SUMIFS('Current Char Stats'!$R$4:$R$273,'Current Char Stats'!$A$4:$A$273,$A132,'Current Char Stats'!$B$4:$B$273,$B132))</f>
        <v>0</v>
      </c>
      <c r="P132" s="18">
        <f ca="1">IF($A132="","",SUMIFS('Current Char Stats'!$S$4:$S$273,'Current Char Stats'!$A$4:$A$273,$A132,'Current Char Stats'!$B$4:$B$273,$B132))</f>
        <v>0</v>
      </c>
      <c r="Q132" s="18">
        <f ca="1">IF($A132="","",SUMIFS('Current Char Stats'!$T$4:$T$273,'Current Char Stats'!$A$4:$A$273,$A132,'Current Char Stats'!$B$4:$B$273,$B132))</f>
        <v>0</v>
      </c>
      <c r="R132" s="18">
        <f ca="1">IF($A132="","",SUMIFS('Current Char Stats'!$U$4:$U$273,'Current Char Stats'!$A$4:$A$273,$A132,'Current Char Stats'!$B$4:$B$273,$B132))</f>
        <v>0</v>
      </c>
      <c r="S132" s="18">
        <f ca="1">IF($A132="","",SUMIFS('Current Char Stats'!$V$4:$V$273,'Current Char Stats'!$A$4:$A$273,$A132,'Current Char Stats'!$B$4:$B$273,$B132))</f>
        <v>0</v>
      </c>
      <c r="T132" s="18">
        <f ca="1">IF($A132="","",SUMIFS('Current Char Stats'!$W$4:$W$273,'Current Char Stats'!$A$4:$A$273,$A132,'Current Char Stats'!$B$4:$B$273,$B132))</f>
        <v>0</v>
      </c>
      <c r="U132" s="18">
        <f ca="1">IF($A132="","",SUMIFS('Current Char Stats'!$X$4:$X$273,'Current Char Stats'!$A$4:$A$273,$A132,'Current Char Stats'!$B$4:$B$273,$B132))</f>
        <v>0</v>
      </c>
      <c r="V132" s="18">
        <f ca="1">IF($A132="","",SUMIFS('Current Char Stats'!$Y$4:$Y$273,'Current Char Stats'!$A$4:$A$273,$A132,'Current Char Stats'!$B$4:$B$273,$B132))</f>
        <v>0</v>
      </c>
      <c r="W132" s="18">
        <f ca="1">IF($A132="","",SUMIFS('Current Char Stats'!$Z$4:$Z$273,'Current Char Stats'!$A$4:$A$273,$A132,'Current Char Stats'!$B$4:$B$273,$B132))</f>
        <v>0</v>
      </c>
      <c r="X132" s="18">
        <f ca="1">IF($A132="","",SUMIFS('Current Char Stats'!$AA$4:$AA$273,'Current Char Stats'!$A$4:$A$273,$A132,'Current Char Stats'!$B$4:$B$273,$B132))</f>
        <v>0</v>
      </c>
      <c r="Y132" s="18">
        <f ca="1">IF($A132="","",SUMIFS('Current Char Stats'!$AB$4:$AB$273,'Current Char Stats'!$A$4:$A$273,$A132,'Current Char Stats'!$B$4:$B$273,$B132))</f>
        <v>0</v>
      </c>
      <c r="Z132" s="18">
        <f ca="1">IF($A132="","",SUMIFS('Current Char Stats'!$AC$4:$AC$273,'Current Char Stats'!$A$4:$A$273,$A132,'Current Char Stats'!$B$4:$B$273,$B132))</f>
        <v>0</v>
      </c>
      <c r="AA132" s="18" cm="1">
        <f t="array" aca="1" ref="AA132" ca="1">IF($A132="","",_xlfn.LET(_xlpm.rawIP,SUMPRODUCT(--(Data!$AL$4:$AL$183=$A132),--(Data!$AM$4:$AM$183=$B132),IFERROR(Data!$AN$4:$AN$183,0)),IF(_xlpm.rawIP=0,0,(S132+U132)/_xlpm.rawIP)))</f>
        <v>0</v>
      </c>
      <c r="AB132" s="18">
        <f ca="1">IF($A132="","",SUMIFS('Current Char Stats'!$AE$4:$AE$273,'Current Char Stats'!$A$4:$A$273,$A132,'Current Char Stats'!$B$4:$B$273,$B132))</f>
        <v>0</v>
      </c>
    </row>
    <row r="133" spans="1:28">
      <c r="A133" s="93" t="str">
        <f>Data!C56</f>
        <v>Jason</v>
      </c>
      <c r="B133" s="5" t="str">
        <f>Data!D56</f>
        <v>Yellow Toad</v>
      </c>
      <c r="C133" s="5">
        <f ca="1">SUMIFS(Data!$W$4:$W$273,Data!$T$4:$T$273,A133,Data!$U$4:$U$273,B133)</f>
        <v>0</v>
      </c>
      <c r="D133" s="5">
        <f ca="1">SUMIFS(Data!$Y$4:$Y$273,Data!$T$4:$T$273,A133,Data!$U$4:$U$273,B133)</f>
        <v>0</v>
      </c>
      <c r="E133" s="5">
        <f ca="1">IF(C133=0,0,D133/C133)</f>
        <v>0</v>
      </c>
      <c r="F133" s="5">
        <f ca="1">SUMIFS(Data!$AB$4:$AB$273,Data!$T$4:$T$273,A133,Data!$U$4:$U$273,B133)</f>
        <v>0</v>
      </c>
      <c r="G133" s="5">
        <f ca="1">SUMIFS(Data!$AC$4:$AC$273,Data!$T$4:$T$273,A133,Data!$U$4:$U$273,B133)</f>
        <v>0</v>
      </c>
      <c r="H133" s="5">
        <f ca="1">IF($A133="","",INT(SUMIFS(Data!$AN$4:$AN$183,Data!$AL$4:$AL$183,$A133,Data!$AM$4:$AM$183,$B133))+MOD(ROUND(SUMIFS(Data!$AN$4:$AN$183,Data!$AL$4:$AL$183,$A133,Data!$AM$4:$AM$183,$B133)*3,0),3)/10)</f>
        <v>0</v>
      </c>
      <c r="I133" s="5">
        <f ca="1">SUMIFS(Data!$AQ$4:$AQ$183,Data!$AL$4:$AL$183,A133,Data!$AM$4:$AM$183,B133)</f>
        <v>0</v>
      </c>
      <c r="J133" s="5">
        <f ca="1">IF($A133="","",IF(SUMIFS(Data!$AN$4:$AN$183,Data!$AL$4:$AL$183,$A133,Data!$AM$4:$AM$183,$B133)=0,0,I133*3/SUMIFS(Data!$AN$4:$AN$183,Data!$AL$4:$AL$183,$A133,Data!$AM$4:$AM$183,$B133)))</f>
        <v>0</v>
      </c>
      <c r="K133" s="18">
        <f ca="1">IF($A133="","",SUMIFS('Current Char Stats'!$N$4:$N$273,'Current Char Stats'!$A$4:$A$273,$A133,'Current Char Stats'!$B$4:$B$273,$B133))</f>
        <v>0</v>
      </c>
      <c r="L133" s="18">
        <f ca="1">IF($A133="","",SUMIFS('Current Char Stats'!$O$4:$O$273,'Current Char Stats'!$A$4:$A$273,$A133,'Current Char Stats'!$B$4:$B$273,$B133))</f>
        <v>0</v>
      </c>
      <c r="M133" s="18">
        <f ca="1">IF($A133="","",SUMIFS('Current Char Stats'!$P$4:$P$273,'Current Char Stats'!$A$4:$A$273,$A133,'Current Char Stats'!$B$4:$B$273,$B133))</f>
        <v>0</v>
      </c>
      <c r="N133" s="18">
        <f ca="1">IF($A133="","",SUMIFS('Current Char Stats'!$Q$4:$Q$273,'Current Char Stats'!$A$4:$A$273,$A133,'Current Char Stats'!$B$4:$B$273,$B133))</f>
        <v>0</v>
      </c>
      <c r="O133" s="18">
        <f ca="1">IF($A133="","",SUMIFS('Current Char Stats'!$R$4:$R$273,'Current Char Stats'!$A$4:$A$273,$A133,'Current Char Stats'!$B$4:$B$273,$B133))</f>
        <v>0</v>
      </c>
      <c r="P133" s="18">
        <f ca="1">IF($A133="","",SUMIFS('Current Char Stats'!$S$4:$S$273,'Current Char Stats'!$A$4:$A$273,$A133,'Current Char Stats'!$B$4:$B$273,$B133))</f>
        <v>0</v>
      </c>
      <c r="Q133" s="18">
        <f ca="1">IF($A133="","",SUMIFS('Current Char Stats'!$T$4:$T$273,'Current Char Stats'!$A$4:$A$273,$A133,'Current Char Stats'!$B$4:$B$273,$B133))</f>
        <v>0</v>
      </c>
      <c r="R133" s="18">
        <f ca="1">IF($A133="","",SUMIFS('Current Char Stats'!$U$4:$U$273,'Current Char Stats'!$A$4:$A$273,$A133,'Current Char Stats'!$B$4:$B$273,$B133))</f>
        <v>0</v>
      </c>
      <c r="S133" s="18">
        <f ca="1">IF($A133="","",SUMIFS('Current Char Stats'!$V$4:$V$273,'Current Char Stats'!$A$4:$A$273,$A133,'Current Char Stats'!$B$4:$B$273,$B133))</f>
        <v>0</v>
      </c>
      <c r="T133" s="18">
        <f ca="1">IF($A133="","",SUMIFS('Current Char Stats'!$W$4:$W$273,'Current Char Stats'!$A$4:$A$273,$A133,'Current Char Stats'!$B$4:$B$273,$B133))</f>
        <v>0</v>
      </c>
      <c r="U133" s="18">
        <f ca="1">IF($A133="","",SUMIFS('Current Char Stats'!$X$4:$X$273,'Current Char Stats'!$A$4:$A$273,$A133,'Current Char Stats'!$B$4:$B$273,$B133))</f>
        <v>0</v>
      </c>
      <c r="V133" s="18">
        <f ca="1">IF($A133="","",SUMIFS('Current Char Stats'!$Y$4:$Y$273,'Current Char Stats'!$A$4:$A$273,$A133,'Current Char Stats'!$B$4:$B$273,$B133))</f>
        <v>0</v>
      </c>
      <c r="W133" s="18">
        <f ca="1">IF($A133="","",SUMIFS('Current Char Stats'!$Z$4:$Z$273,'Current Char Stats'!$A$4:$A$273,$A133,'Current Char Stats'!$B$4:$B$273,$B133))</f>
        <v>0</v>
      </c>
      <c r="X133" s="18">
        <f ca="1">IF($A133="","",SUMIFS('Current Char Stats'!$AA$4:$AA$273,'Current Char Stats'!$A$4:$A$273,$A133,'Current Char Stats'!$B$4:$B$273,$B133))</f>
        <v>0</v>
      </c>
      <c r="Y133" s="18">
        <f ca="1">IF($A133="","",SUMIFS('Current Char Stats'!$AB$4:$AB$273,'Current Char Stats'!$A$4:$A$273,$A133,'Current Char Stats'!$B$4:$B$273,$B133))</f>
        <v>0</v>
      </c>
      <c r="Z133" s="18">
        <f ca="1">IF($A133="","",SUMIFS('Current Char Stats'!$AC$4:$AC$273,'Current Char Stats'!$A$4:$A$273,$A133,'Current Char Stats'!$B$4:$B$273,$B133))</f>
        <v>0</v>
      </c>
      <c r="AA133" s="18" cm="1">
        <f t="array" aca="1" ref="AA133" ca="1">IF($A133="","",_xlfn.LET(_xlpm.rawIP,SUMPRODUCT(--(Data!$AL$4:$AL$183=$A133),--(Data!$AM$4:$AM$183=$B133),IFERROR(Data!$AN$4:$AN$183,0)),IF(_xlpm.rawIP=0,0,(S133+U133)/_xlpm.rawIP)))</f>
        <v>0</v>
      </c>
      <c r="AB133" s="18">
        <f ca="1">IF($A133="","",SUMIFS('Current Char Stats'!$AE$4:$AE$273,'Current Char Stats'!$A$4:$A$273,$A133,'Current Char Stats'!$B$4:$B$273,$B133))</f>
        <v>0</v>
      </c>
    </row>
    <row r="134" spans="1:28">
      <c r="A134" s="95" t="str">
        <f>Data!C57</f>
        <v>May</v>
      </c>
      <c r="B134" s="5" t="str">
        <f>Data!D57</f>
        <v>Koopa</v>
      </c>
      <c r="C134" s="5">
        <f ca="1">SUMIFS(Data!$W$4:$W$273,Data!$T$4:$T$273,A134,Data!$U$4:$U$273,B134)</f>
        <v>0</v>
      </c>
      <c r="D134" s="5">
        <f ca="1">SUMIFS(Data!$Y$4:$Y$273,Data!$T$4:$T$273,A134,Data!$U$4:$U$273,B134)</f>
        <v>0</v>
      </c>
      <c r="E134" s="5">
        <f ca="1">IF(C134=0,0,D134/C134)</f>
        <v>0</v>
      </c>
      <c r="F134" s="5">
        <f ca="1">SUMIFS(Data!$AB$4:$AB$273,Data!$T$4:$T$273,A134,Data!$U$4:$U$273,B134)</f>
        <v>0</v>
      </c>
      <c r="G134" s="5">
        <f ca="1">SUMIFS(Data!$AC$4:$AC$273,Data!$T$4:$T$273,A134,Data!$U$4:$U$273,B134)</f>
        <v>0</v>
      </c>
      <c r="H134" s="5">
        <f ca="1">IF($A134="","",INT(SUMIFS(Data!$AN$4:$AN$183,Data!$AL$4:$AL$183,$A134,Data!$AM$4:$AM$183,$B134))+MOD(ROUND(SUMIFS(Data!$AN$4:$AN$183,Data!$AL$4:$AL$183,$A134,Data!$AM$4:$AM$183,$B134)*3,0),3)/10)</f>
        <v>0</v>
      </c>
      <c r="I134" s="5">
        <f ca="1">SUMIFS(Data!$AQ$4:$AQ$183,Data!$AL$4:$AL$183,A134,Data!$AM$4:$AM$183,B134)</f>
        <v>0</v>
      </c>
      <c r="J134" s="5">
        <f ca="1">IF($A134="","",IF(SUMIFS(Data!$AN$4:$AN$183,Data!$AL$4:$AL$183,$A134,Data!$AM$4:$AM$183,$B134)=0,0,I134*3/SUMIFS(Data!$AN$4:$AN$183,Data!$AL$4:$AL$183,$A134,Data!$AM$4:$AM$183,$B134)))</f>
        <v>0</v>
      </c>
      <c r="K134" s="18">
        <f ca="1">IF($A134="","",SUMIFS('Current Char Stats'!$N$4:$N$273,'Current Char Stats'!$A$4:$A$273,$A134,'Current Char Stats'!$B$4:$B$273,$B134))</f>
        <v>0</v>
      </c>
      <c r="L134" s="18">
        <f ca="1">IF($A134="","",SUMIFS('Current Char Stats'!$O$4:$O$273,'Current Char Stats'!$A$4:$A$273,$A134,'Current Char Stats'!$B$4:$B$273,$B134))</f>
        <v>0</v>
      </c>
      <c r="M134" s="18">
        <f ca="1">IF($A134="","",SUMIFS('Current Char Stats'!$P$4:$P$273,'Current Char Stats'!$A$4:$A$273,$A134,'Current Char Stats'!$B$4:$B$273,$B134))</f>
        <v>0</v>
      </c>
      <c r="N134" s="18">
        <f ca="1">IF($A134="","",SUMIFS('Current Char Stats'!$Q$4:$Q$273,'Current Char Stats'!$A$4:$A$273,$A134,'Current Char Stats'!$B$4:$B$273,$B134))</f>
        <v>0</v>
      </c>
      <c r="O134" s="18">
        <f ca="1">IF($A134="","",SUMIFS('Current Char Stats'!$R$4:$R$273,'Current Char Stats'!$A$4:$A$273,$A134,'Current Char Stats'!$B$4:$B$273,$B134))</f>
        <v>0</v>
      </c>
      <c r="P134" s="18">
        <f ca="1">IF($A134="","",SUMIFS('Current Char Stats'!$S$4:$S$273,'Current Char Stats'!$A$4:$A$273,$A134,'Current Char Stats'!$B$4:$B$273,$B134))</f>
        <v>0</v>
      </c>
      <c r="Q134" s="18">
        <f ca="1">IF($A134="","",SUMIFS('Current Char Stats'!$T$4:$T$273,'Current Char Stats'!$A$4:$A$273,$A134,'Current Char Stats'!$B$4:$B$273,$B134))</f>
        <v>0</v>
      </c>
      <c r="R134" s="18">
        <f ca="1">IF($A134="","",SUMIFS('Current Char Stats'!$U$4:$U$273,'Current Char Stats'!$A$4:$A$273,$A134,'Current Char Stats'!$B$4:$B$273,$B134))</f>
        <v>0</v>
      </c>
      <c r="S134" s="18">
        <f ca="1">IF($A134="","",SUMIFS('Current Char Stats'!$V$4:$V$273,'Current Char Stats'!$A$4:$A$273,$A134,'Current Char Stats'!$B$4:$B$273,$B134))</f>
        <v>0</v>
      </c>
      <c r="T134" s="18">
        <f ca="1">IF($A134="","",SUMIFS('Current Char Stats'!$W$4:$W$273,'Current Char Stats'!$A$4:$A$273,$A134,'Current Char Stats'!$B$4:$B$273,$B134))</f>
        <v>0</v>
      </c>
      <c r="U134" s="18">
        <f ca="1">IF($A134="","",SUMIFS('Current Char Stats'!$X$4:$X$273,'Current Char Stats'!$A$4:$A$273,$A134,'Current Char Stats'!$B$4:$B$273,$B134))</f>
        <v>0</v>
      </c>
      <c r="V134" s="18">
        <f ca="1">IF($A134="","",SUMIFS('Current Char Stats'!$Y$4:$Y$273,'Current Char Stats'!$A$4:$A$273,$A134,'Current Char Stats'!$B$4:$B$273,$B134))</f>
        <v>0</v>
      </c>
      <c r="W134" s="18">
        <f ca="1">IF($A134="","",SUMIFS('Current Char Stats'!$Z$4:$Z$273,'Current Char Stats'!$A$4:$A$273,$A134,'Current Char Stats'!$B$4:$B$273,$B134))</f>
        <v>0</v>
      </c>
      <c r="X134" s="18">
        <f ca="1">IF($A134="","",SUMIFS('Current Char Stats'!$AA$4:$AA$273,'Current Char Stats'!$A$4:$A$273,$A134,'Current Char Stats'!$B$4:$B$273,$B134))</f>
        <v>0</v>
      </c>
      <c r="Y134" s="18">
        <f ca="1">IF($A134="","",SUMIFS('Current Char Stats'!$AB$4:$AB$273,'Current Char Stats'!$A$4:$A$273,$A134,'Current Char Stats'!$B$4:$B$273,$B134))</f>
        <v>0</v>
      </c>
      <c r="Z134" s="18">
        <f ca="1">IF($A134="","",SUMIFS('Current Char Stats'!$AC$4:$AC$273,'Current Char Stats'!$A$4:$A$273,$A134,'Current Char Stats'!$B$4:$B$273,$B134))</f>
        <v>0</v>
      </c>
      <c r="AA134" s="18" cm="1">
        <f t="array" aca="1" ref="AA134" ca="1">IF($A134="","",_xlfn.LET(_xlpm.rawIP,SUMPRODUCT(--(Data!$AL$4:$AL$183=$A134),--(Data!$AM$4:$AM$183=$B134),IFERROR(Data!$AN$4:$AN$183,0)),IF(_xlpm.rawIP=0,0,(S134+U134)/_xlpm.rawIP)))</f>
        <v>0</v>
      </c>
      <c r="AB134" s="18">
        <f ca="1">IF($A134="","",SUMIFS('Current Char Stats'!$AE$4:$AE$273,'Current Char Stats'!$A$4:$A$273,$A134,'Current Char Stats'!$B$4:$B$273,$B134))</f>
        <v>0</v>
      </c>
    </row>
    <row r="135" spans="1:28">
      <c r="A135" s="5" t="str">
        <f>Data!C58</f>
        <v/>
      </c>
      <c r="B135" s="5" t="str">
        <f>Data!D58</f>
        <v/>
      </c>
      <c r="C135" s="5">
        <f ca="1">SUMIFS(Data!$W$4:$W$273,Data!$T$4:$T$273,A135,Data!$U$4:$U$273,B135)</f>
        <v>0</v>
      </c>
      <c r="D135" s="5">
        <f ca="1">SUMIFS(Data!$Y$4:$Y$273,Data!$T$4:$T$273,A135,Data!$U$4:$U$273,B135)</f>
        <v>0</v>
      </c>
      <c r="E135" s="5">
        <f ca="1">IF(C135=0,0,D135/C135)</f>
        <v>0</v>
      </c>
      <c r="F135" s="5">
        <f ca="1">SUMIFS(Data!$AB$4:$AB$273,Data!$T$4:$T$273,A135,Data!$U$4:$U$273,B135)</f>
        <v>0</v>
      </c>
      <c r="G135" s="5">
        <f ca="1">SUMIFS(Data!$AC$4:$AC$273,Data!$T$4:$T$273,A135,Data!$U$4:$U$273,B135)</f>
        <v>0</v>
      </c>
      <c r="H135" s="5" t="str">
        <f ca="1">IF($A135="","",INT(SUMIFS(Data!$AN$4:$AN$183,Data!$AL$4:$AL$183,$A135,Data!$AM$4:$AM$183,$B135))+MOD(ROUND(SUMIFS(Data!$AN$4:$AN$183,Data!$AL$4:$AL$183,$A135,Data!$AM$4:$AM$183,$B135)*3,0),3)/10)</f>
        <v/>
      </c>
      <c r="I135" s="5">
        <f ca="1">SUMIFS(Data!$AQ$4:$AQ$183,Data!$AL$4:$AL$183,A135,Data!$AM$4:$AM$183,B135)</f>
        <v>0</v>
      </c>
      <c r="J135" s="5" t="str">
        <f ca="1">IF($A135="","",IF(SUMIFS(Data!$AN$4:$AN$183,Data!$AL$4:$AL$183,$A135,Data!$AM$4:$AM$183,$B135)=0,0,I135*3/SUMIFS(Data!$AN$4:$AN$183,Data!$AL$4:$AL$183,$A135,Data!$AM$4:$AM$183,$B135)))</f>
        <v/>
      </c>
      <c r="K135" s="18" t="str">
        <f ca="1">IF($A135="","",SUMIFS('Current Char Stats'!$N$4:$N$273,'Current Char Stats'!$A$4:$A$273,$A135,'Current Char Stats'!$B$4:$B$273,$B135))</f>
        <v/>
      </c>
      <c r="L135" s="18" t="str">
        <f ca="1">IF($A135="","",SUMIFS('Current Char Stats'!$O$4:$O$273,'Current Char Stats'!$A$4:$A$273,$A135,'Current Char Stats'!$B$4:$B$273,$B135))</f>
        <v/>
      </c>
      <c r="M135" s="18" t="str">
        <f ca="1">IF($A135="","",SUMIFS('Current Char Stats'!$P$4:$P$273,'Current Char Stats'!$A$4:$A$273,$A135,'Current Char Stats'!$B$4:$B$273,$B135))</f>
        <v/>
      </c>
      <c r="N135" s="18" t="str">
        <f ca="1">IF($A135="","",SUMIFS('Current Char Stats'!$Q$4:$Q$273,'Current Char Stats'!$A$4:$A$273,$A135,'Current Char Stats'!$B$4:$B$273,$B135))</f>
        <v/>
      </c>
      <c r="O135" s="18" t="str">
        <f ca="1">IF($A135="","",SUMIFS('Current Char Stats'!$R$4:$R$273,'Current Char Stats'!$A$4:$A$273,$A135,'Current Char Stats'!$B$4:$B$273,$B135))</f>
        <v/>
      </c>
      <c r="P135" s="18" t="str">
        <f ca="1">IF($A135="","",SUMIFS('Current Char Stats'!$S$4:$S$273,'Current Char Stats'!$A$4:$A$273,$A135,'Current Char Stats'!$B$4:$B$273,$B135))</f>
        <v/>
      </c>
      <c r="Q135" s="18" t="str">
        <f ca="1">IF($A135="","",SUMIFS('Current Char Stats'!$T$4:$T$273,'Current Char Stats'!$A$4:$A$273,$A135,'Current Char Stats'!$B$4:$B$273,$B135))</f>
        <v/>
      </c>
      <c r="R135" s="18" t="str">
        <f ca="1">IF($A135="","",SUMIFS('Current Char Stats'!$U$4:$U$273,'Current Char Stats'!$A$4:$A$273,$A135,'Current Char Stats'!$B$4:$B$273,$B135))</f>
        <v/>
      </c>
      <c r="S135" s="18" t="str">
        <f ca="1">IF($A135="","",SUMIFS('Current Char Stats'!$V$4:$V$273,'Current Char Stats'!$A$4:$A$273,$A135,'Current Char Stats'!$B$4:$B$273,$B135))</f>
        <v/>
      </c>
      <c r="T135" s="18" t="str">
        <f ca="1">IF($A135="","",SUMIFS('Current Char Stats'!$W$4:$W$273,'Current Char Stats'!$A$4:$A$273,$A135,'Current Char Stats'!$B$4:$B$273,$B135))</f>
        <v/>
      </c>
      <c r="U135" s="18" t="str">
        <f ca="1">IF($A135="","",SUMIFS('Current Char Stats'!$X$4:$X$273,'Current Char Stats'!$A$4:$A$273,$A135,'Current Char Stats'!$B$4:$B$273,$B135))</f>
        <v/>
      </c>
      <c r="V135" s="18" t="str">
        <f ca="1">IF($A135="","",SUMIFS('Current Char Stats'!$Y$4:$Y$273,'Current Char Stats'!$A$4:$A$273,$A135,'Current Char Stats'!$B$4:$B$273,$B135))</f>
        <v/>
      </c>
      <c r="W135" s="18" t="str">
        <f ca="1">IF($A135="","",SUMIFS('Current Char Stats'!$Z$4:$Z$273,'Current Char Stats'!$A$4:$A$273,$A135,'Current Char Stats'!$B$4:$B$273,$B135))</f>
        <v/>
      </c>
      <c r="X135" s="18" t="str">
        <f ca="1">IF($A135="","",SUMIFS('Current Char Stats'!$AA$4:$AA$273,'Current Char Stats'!$A$4:$A$273,$A135,'Current Char Stats'!$B$4:$B$273,$B135))</f>
        <v/>
      </c>
      <c r="Y135" s="18" t="str">
        <f ca="1">IF($A135="","",SUMIFS('Current Char Stats'!$AB$4:$AB$273,'Current Char Stats'!$A$4:$A$273,$A135,'Current Char Stats'!$B$4:$B$273,$B135))</f>
        <v/>
      </c>
      <c r="Z135" s="18" t="str">
        <f ca="1">IF($A135="","",SUMIFS('Current Char Stats'!$AC$4:$AC$273,'Current Char Stats'!$A$4:$A$273,$A135,'Current Char Stats'!$B$4:$B$273,$B135))</f>
        <v/>
      </c>
      <c r="AA135" s="18" t="str" cm="1">
        <f t="array" aca="1" ref="AA135" ca="1">IF($A135="","",_xlfn.LET(_xlpm.rawIP,SUMPRODUCT(--(Data!$AL$4:$AL$183=$A135),--(Data!$AM$4:$AM$183=$B135),IFERROR(Data!$AN$4:$AN$183,0)),IF(_xlpm.rawIP=0,0,(S135+U135)/_xlpm.rawIP)))</f>
        <v/>
      </c>
      <c r="AB135" s="18" t="str">
        <f ca="1">IF($A135="","",SUMIFS('Current Char Stats'!$AE$4:$AE$273,'Current Char Stats'!$A$4:$A$273,$A135,'Current Char Stats'!$B$4:$B$273,$B135))</f>
        <v/>
      </c>
    </row>
    <row r="136" spans="1:28">
      <c r="A136" s="5" t="str">
        <f>Data!C59</f>
        <v/>
      </c>
      <c r="B136" s="5" t="str">
        <f>Data!D59</f>
        <v/>
      </c>
      <c r="C136" s="5">
        <f ca="1">SUMIFS(Data!$W$4:$W$273,Data!$T$4:$T$273,A136,Data!$U$4:$U$273,B136)</f>
        <v>0</v>
      </c>
      <c r="D136" s="5">
        <f ca="1">SUMIFS(Data!$Y$4:$Y$273,Data!$T$4:$T$273,A136,Data!$U$4:$U$273,B136)</f>
        <v>0</v>
      </c>
      <c r="E136" s="5">
        <f ca="1">IF(C136=0,0,D136/C136)</f>
        <v>0</v>
      </c>
      <c r="F136" s="5">
        <f ca="1">SUMIFS(Data!$AB$4:$AB$273,Data!$T$4:$T$273,A136,Data!$U$4:$U$273,B136)</f>
        <v>0</v>
      </c>
      <c r="G136" s="5">
        <f ca="1">SUMIFS(Data!$AC$4:$AC$273,Data!$T$4:$T$273,A136,Data!$U$4:$U$273,B136)</f>
        <v>0</v>
      </c>
      <c r="H136" s="5" t="str">
        <f ca="1">IF($A136="","",INT(SUMIFS(Data!$AN$4:$AN$183,Data!$AL$4:$AL$183,$A136,Data!$AM$4:$AM$183,$B136))+MOD(ROUND(SUMIFS(Data!$AN$4:$AN$183,Data!$AL$4:$AL$183,$A136,Data!$AM$4:$AM$183,$B136)*3,0),3)/10)</f>
        <v/>
      </c>
      <c r="I136" s="5">
        <f ca="1">SUMIFS(Data!$AQ$4:$AQ$183,Data!$AL$4:$AL$183,A136,Data!$AM$4:$AM$183,B136)</f>
        <v>0</v>
      </c>
      <c r="J136" s="5" t="str">
        <f ca="1">IF($A136="","",IF(SUMIFS(Data!$AN$4:$AN$183,Data!$AL$4:$AL$183,$A136,Data!$AM$4:$AM$183,$B136)=0,0,I136*3/SUMIFS(Data!$AN$4:$AN$183,Data!$AL$4:$AL$183,$A136,Data!$AM$4:$AM$183,$B136)))</f>
        <v/>
      </c>
      <c r="K136" s="18" t="str">
        <f ca="1">IF($A136="","",SUMIFS('Current Char Stats'!$N$4:$N$273,'Current Char Stats'!$A$4:$A$273,$A136,'Current Char Stats'!$B$4:$B$273,$B136))</f>
        <v/>
      </c>
      <c r="L136" s="18" t="str">
        <f ca="1">IF($A136="","",SUMIFS('Current Char Stats'!$O$4:$O$273,'Current Char Stats'!$A$4:$A$273,$A136,'Current Char Stats'!$B$4:$B$273,$B136))</f>
        <v/>
      </c>
      <c r="M136" s="18" t="str">
        <f ca="1">IF($A136="","",SUMIFS('Current Char Stats'!$P$4:$P$273,'Current Char Stats'!$A$4:$A$273,$A136,'Current Char Stats'!$B$4:$B$273,$B136))</f>
        <v/>
      </c>
      <c r="N136" s="18" t="str">
        <f ca="1">IF($A136="","",SUMIFS('Current Char Stats'!$Q$4:$Q$273,'Current Char Stats'!$A$4:$A$273,$A136,'Current Char Stats'!$B$4:$B$273,$B136))</f>
        <v/>
      </c>
      <c r="O136" s="18" t="str">
        <f ca="1">IF($A136="","",SUMIFS('Current Char Stats'!$R$4:$R$273,'Current Char Stats'!$A$4:$A$273,$A136,'Current Char Stats'!$B$4:$B$273,$B136))</f>
        <v/>
      </c>
      <c r="P136" s="18" t="str">
        <f ca="1">IF($A136="","",SUMIFS('Current Char Stats'!$S$4:$S$273,'Current Char Stats'!$A$4:$A$273,$A136,'Current Char Stats'!$B$4:$B$273,$B136))</f>
        <v/>
      </c>
      <c r="Q136" s="18" t="str">
        <f ca="1">IF($A136="","",SUMIFS('Current Char Stats'!$T$4:$T$273,'Current Char Stats'!$A$4:$A$273,$A136,'Current Char Stats'!$B$4:$B$273,$B136))</f>
        <v/>
      </c>
      <c r="R136" s="18" t="str">
        <f ca="1">IF($A136="","",SUMIFS('Current Char Stats'!$U$4:$U$273,'Current Char Stats'!$A$4:$A$273,$A136,'Current Char Stats'!$B$4:$B$273,$B136))</f>
        <v/>
      </c>
      <c r="S136" s="18" t="str">
        <f ca="1">IF($A136="","",SUMIFS('Current Char Stats'!$V$4:$V$273,'Current Char Stats'!$A$4:$A$273,$A136,'Current Char Stats'!$B$4:$B$273,$B136))</f>
        <v/>
      </c>
      <c r="T136" s="18" t="str">
        <f ca="1">IF($A136="","",SUMIFS('Current Char Stats'!$W$4:$W$273,'Current Char Stats'!$A$4:$A$273,$A136,'Current Char Stats'!$B$4:$B$273,$B136))</f>
        <v/>
      </c>
      <c r="U136" s="18" t="str">
        <f ca="1">IF($A136="","",SUMIFS('Current Char Stats'!$X$4:$X$273,'Current Char Stats'!$A$4:$A$273,$A136,'Current Char Stats'!$B$4:$B$273,$B136))</f>
        <v/>
      </c>
      <c r="V136" s="18" t="str">
        <f ca="1">IF($A136="","",SUMIFS('Current Char Stats'!$Y$4:$Y$273,'Current Char Stats'!$A$4:$A$273,$A136,'Current Char Stats'!$B$4:$B$273,$B136))</f>
        <v/>
      </c>
      <c r="W136" s="18" t="str">
        <f ca="1">IF($A136="","",SUMIFS('Current Char Stats'!$Z$4:$Z$273,'Current Char Stats'!$A$4:$A$273,$A136,'Current Char Stats'!$B$4:$B$273,$B136))</f>
        <v/>
      </c>
      <c r="X136" s="18" t="str">
        <f ca="1">IF($A136="","",SUMIFS('Current Char Stats'!$AA$4:$AA$273,'Current Char Stats'!$A$4:$A$273,$A136,'Current Char Stats'!$B$4:$B$273,$B136))</f>
        <v/>
      </c>
      <c r="Y136" s="18" t="str">
        <f ca="1">IF($A136="","",SUMIFS('Current Char Stats'!$AB$4:$AB$273,'Current Char Stats'!$A$4:$A$273,$A136,'Current Char Stats'!$B$4:$B$273,$B136))</f>
        <v/>
      </c>
      <c r="Z136" s="18" t="str">
        <f ca="1">IF($A136="","",SUMIFS('Current Char Stats'!$AC$4:$AC$273,'Current Char Stats'!$A$4:$A$273,$A136,'Current Char Stats'!$B$4:$B$273,$B136))</f>
        <v/>
      </c>
      <c r="AA136" s="18" t="str" cm="1">
        <f t="array" aca="1" ref="AA136" ca="1">IF($A136="","",_xlfn.LET(_xlpm.rawIP,SUMPRODUCT(--(Data!$AL$4:$AL$183=$A136),--(Data!$AM$4:$AM$183=$B136),IFERROR(Data!$AN$4:$AN$183,0)),IF(_xlpm.rawIP=0,0,(S136+U136)/_xlpm.rawIP)))</f>
        <v/>
      </c>
      <c r="AB136" s="18" t="str">
        <f ca="1">IF($A136="","",SUMIFS('Current Char Stats'!$AE$4:$AE$273,'Current Char Stats'!$A$4:$A$273,$A136,'Current Char Stats'!$B$4:$B$273,$B136))</f>
        <v/>
      </c>
    </row>
    <row r="137" spans="1:28">
      <c r="A137" s="5" t="str">
        <f>Data!C60</f>
        <v/>
      </c>
      <c r="B137" s="5" t="str">
        <f>Data!D60</f>
        <v/>
      </c>
      <c r="C137" s="5">
        <f ca="1">SUMIFS(Data!$W$4:$W$273,Data!$T$4:$T$273,A137,Data!$U$4:$U$273,B137)</f>
        <v>0</v>
      </c>
      <c r="D137" s="5">
        <f ca="1">SUMIFS(Data!$Y$4:$Y$273,Data!$T$4:$T$273,A137,Data!$U$4:$U$273,B137)</f>
        <v>0</v>
      </c>
      <c r="E137" s="5">
        <f ca="1">IF(C137=0,0,D137/C137)</f>
        <v>0</v>
      </c>
      <c r="F137" s="5">
        <f ca="1">SUMIFS(Data!$AB$4:$AB$273,Data!$T$4:$T$273,A137,Data!$U$4:$U$273,B137)</f>
        <v>0</v>
      </c>
      <c r="G137" s="5">
        <f ca="1">SUMIFS(Data!$AC$4:$AC$273,Data!$T$4:$T$273,A137,Data!$U$4:$U$273,B137)</f>
        <v>0</v>
      </c>
      <c r="H137" s="5" t="str">
        <f ca="1">IF($A137="","",INT(SUMIFS(Data!$AN$4:$AN$183,Data!$AL$4:$AL$183,$A137,Data!$AM$4:$AM$183,$B137))+MOD(ROUND(SUMIFS(Data!$AN$4:$AN$183,Data!$AL$4:$AL$183,$A137,Data!$AM$4:$AM$183,$B137)*3,0),3)/10)</f>
        <v/>
      </c>
      <c r="I137" s="5">
        <f ca="1">SUMIFS(Data!$AQ$4:$AQ$183,Data!$AL$4:$AL$183,A137,Data!$AM$4:$AM$183,B137)</f>
        <v>0</v>
      </c>
      <c r="J137" s="5" t="str">
        <f ca="1">IF($A137="","",IF(SUMIFS(Data!$AN$4:$AN$183,Data!$AL$4:$AL$183,$A137,Data!$AM$4:$AM$183,$B137)=0,0,I137*3/SUMIFS(Data!$AN$4:$AN$183,Data!$AL$4:$AL$183,$A137,Data!$AM$4:$AM$183,$B137)))</f>
        <v/>
      </c>
      <c r="K137" s="18" t="str">
        <f ca="1">IF($A137="","",SUMIFS('Current Char Stats'!$N$4:$N$273,'Current Char Stats'!$A$4:$A$273,$A137,'Current Char Stats'!$B$4:$B$273,$B137))</f>
        <v/>
      </c>
      <c r="L137" s="18" t="str">
        <f ca="1">IF($A137="","",SUMIFS('Current Char Stats'!$O$4:$O$273,'Current Char Stats'!$A$4:$A$273,$A137,'Current Char Stats'!$B$4:$B$273,$B137))</f>
        <v/>
      </c>
      <c r="M137" s="18" t="str">
        <f ca="1">IF($A137="","",SUMIFS('Current Char Stats'!$P$4:$P$273,'Current Char Stats'!$A$4:$A$273,$A137,'Current Char Stats'!$B$4:$B$273,$B137))</f>
        <v/>
      </c>
      <c r="N137" s="18" t="str">
        <f ca="1">IF($A137="","",SUMIFS('Current Char Stats'!$Q$4:$Q$273,'Current Char Stats'!$A$4:$A$273,$A137,'Current Char Stats'!$B$4:$B$273,$B137))</f>
        <v/>
      </c>
      <c r="O137" s="18" t="str">
        <f ca="1">IF($A137="","",SUMIFS('Current Char Stats'!$R$4:$R$273,'Current Char Stats'!$A$4:$A$273,$A137,'Current Char Stats'!$B$4:$B$273,$B137))</f>
        <v/>
      </c>
      <c r="P137" s="18" t="str">
        <f ca="1">IF($A137="","",SUMIFS('Current Char Stats'!$S$4:$S$273,'Current Char Stats'!$A$4:$A$273,$A137,'Current Char Stats'!$B$4:$B$273,$B137))</f>
        <v/>
      </c>
      <c r="Q137" s="18" t="str">
        <f ca="1">IF($A137="","",SUMIFS('Current Char Stats'!$T$4:$T$273,'Current Char Stats'!$A$4:$A$273,$A137,'Current Char Stats'!$B$4:$B$273,$B137))</f>
        <v/>
      </c>
      <c r="R137" s="18" t="str">
        <f ca="1">IF($A137="","",SUMIFS('Current Char Stats'!$U$4:$U$273,'Current Char Stats'!$A$4:$A$273,$A137,'Current Char Stats'!$B$4:$B$273,$B137))</f>
        <v/>
      </c>
      <c r="S137" s="18" t="str">
        <f ca="1">IF($A137="","",SUMIFS('Current Char Stats'!$V$4:$V$273,'Current Char Stats'!$A$4:$A$273,$A137,'Current Char Stats'!$B$4:$B$273,$B137))</f>
        <v/>
      </c>
      <c r="T137" s="18" t="str">
        <f ca="1">IF($A137="","",SUMIFS('Current Char Stats'!$W$4:$W$273,'Current Char Stats'!$A$4:$A$273,$A137,'Current Char Stats'!$B$4:$B$273,$B137))</f>
        <v/>
      </c>
      <c r="U137" s="18" t="str">
        <f ca="1">IF($A137="","",SUMIFS('Current Char Stats'!$X$4:$X$273,'Current Char Stats'!$A$4:$A$273,$A137,'Current Char Stats'!$B$4:$B$273,$B137))</f>
        <v/>
      </c>
      <c r="V137" s="18" t="str">
        <f ca="1">IF($A137="","",SUMIFS('Current Char Stats'!$Y$4:$Y$273,'Current Char Stats'!$A$4:$A$273,$A137,'Current Char Stats'!$B$4:$B$273,$B137))</f>
        <v/>
      </c>
      <c r="W137" s="18" t="str">
        <f ca="1">IF($A137="","",SUMIFS('Current Char Stats'!$Z$4:$Z$273,'Current Char Stats'!$A$4:$A$273,$A137,'Current Char Stats'!$B$4:$B$273,$B137))</f>
        <v/>
      </c>
      <c r="X137" s="18" t="str">
        <f ca="1">IF($A137="","",SUMIFS('Current Char Stats'!$AA$4:$AA$273,'Current Char Stats'!$A$4:$A$273,$A137,'Current Char Stats'!$B$4:$B$273,$B137))</f>
        <v/>
      </c>
      <c r="Y137" s="18" t="str">
        <f ca="1">IF($A137="","",SUMIFS('Current Char Stats'!$AB$4:$AB$273,'Current Char Stats'!$A$4:$A$273,$A137,'Current Char Stats'!$B$4:$B$273,$B137))</f>
        <v/>
      </c>
      <c r="Z137" s="18" t="str">
        <f ca="1">IF($A137="","",SUMIFS('Current Char Stats'!$AC$4:$AC$273,'Current Char Stats'!$A$4:$A$273,$A137,'Current Char Stats'!$B$4:$B$273,$B137))</f>
        <v/>
      </c>
      <c r="AA137" s="18" t="str" cm="1">
        <f t="array" aca="1" ref="AA137" ca="1">IF($A137="","",_xlfn.LET(_xlpm.rawIP,SUMPRODUCT(--(Data!$AL$4:$AL$183=$A137),--(Data!$AM$4:$AM$183=$B137),IFERROR(Data!$AN$4:$AN$183,0)),IF(_xlpm.rawIP=0,0,(S137+U137)/_xlpm.rawIP)))</f>
        <v/>
      </c>
      <c r="AB137" s="18" t="str">
        <f ca="1">IF($A137="","",SUMIFS('Current Char Stats'!$AE$4:$AE$273,'Current Char Stats'!$A$4:$A$273,$A137,'Current Char Stats'!$B$4:$B$273,$B137))</f>
        <v/>
      </c>
    </row>
    <row r="138" spans="1:28">
      <c r="A138" s="5" t="str">
        <f>Data!C61</f>
        <v/>
      </c>
      <c r="B138" s="5" t="str">
        <f>Data!D61</f>
        <v/>
      </c>
      <c r="C138" s="5">
        <f ca="1">SUMIFS(Data!$W$4:$W$273,Data!$T$4:$T$273,A138,Data!$U$4:$U$273,B138)</f>
        <v>0</v>
      </c>
      <c r="D138" s="5">
        <f ca="1">SUMIFS(Data!$Y$4:$Y$273,Data!$T$4:$T$273,A138,Data!$U$4:$U$273,B138)</f>
        <v>0</v>
      </c>
      <c r="E138" s="5">
        <f ca="1">IF(C138=0,0,D138/C138)</f>
        <v>0</v>
      </c>
      <c r="F138" s="5">
        <f ca="1">SUMIFS(Data!$AB$4:$AB$273,Data!$T$4:$T$273,A138,Data!$U$4:$U$273,B138)</f>
        <v>0</v>
      </c>
      <c r="G138" s="5">
        <f ca="1">SUMIFS(Data!$AC$4:$AC$273,Data!$T$4:$T$273,A138,Data!$U$4:$U$273,B138)</f>
        <v>0</v>
      </c>
      <c r="H138" s="5" t="str">
        <f ca="1">IF($A138="","",INT(SUMIFS(Data!$AN$4:$AN$183,Data!$AL$4:$AL$183,$A138,Data!$AM$4:$AM$183,$B138))+MOD(ROUND(SUMIFS(Data!$AN$4:$AN$183,Data!$AL$4:$AL$183,$A138,Data!$AM$4:$AM$183,$B138)*3,0),3)/10)</f>
        <v/>
      </c>
      <c r="I138" s="5">
        <f ca="1">SUMIFS(Data!$AQ$4:$AQ$183,Data!$AL$4:$AL$183,A138,Data!$AM$4:$AM$183,B138)</f>
        <v>0</v>
      </c>
      <c r="J138" s="5" t="str">
        <f ca="1">IF($A138="","",IF(SUMIFS(Data!$AN$4:$AN$183,Data!$AL$4:$AL$183,$A138,Data!$AM$4:$AM$183,$B138)=0,0,I138*3/SUMIFS(Data!$AN$4:$AN$183,Data!$AL$4:$AL$183,$A138,Data!$AM$4:$AM$183,$B138)))</f>
        <v/>
      </c>
      <c r="K138" s="18" t="str">
        <f ca="1">IF($A138="","",SUMIFS('Current Char Stats'!$N$4:$N$273,'Current Char Stats'!$A$4:$A$273,$A138,'Current Char Stats'!$B$4:$B$273,$B138))</f>
        <v/>
      </c>
      <c r="L138" s="18" t="str">
        <f ca="1">IF($A138="","",SUMIFS('Current Char Stats'!$O$4:$O$273,'Current Char Stats'!$A$4:$A$273,$A138,'Current Char Stats'!$B$4:$B$273,$B138))</f>
        <v/>
      </c>
      <c r="M138" s="18" t="str">
        <f ca="1">IF($A138="","",SUMIFS('Current Char Stats'!$P$4:$P$273,'Current Char Stats'!$A$4:$A$273,$A138,'Current Char Stats'!$B$4:$B$273,$B138))</f>
        <v/>
      </c>
      <c r="N138" s="18" t="str">
        <f ca="1">IF($A138="","",SUMIFS('Current Char Stats'!$Q$4:$Q$273,'Current Char Stats'!$A$4:$A$273,$A138,'Current Char Stats'!$B$4:$B$273,$B138))</f>
        <v/>
      </c>
      <c r="O138" s="18" t="str">
        <f ca="1">IF($A138="","",SUMIFS('Current Char Stats'!$R$4:$R$273,'Current Char Stats'!$A$4:$A$273,$A138,'Current Char Stats'!$B$4:$B$273,$B138))</f>
        <v/>
      </c>
      <c r="P138" s="18" t="str">
        <f ca="1">IF($A138="","",SUMIFS('Current Char Stats'!$S$4:$S$273,'Current Char Stats'!$A$4:$A$273,$A138,'Current Char Stats'!$B$4:$B$273,$B138))</f>
        <v/>
      </c>
      <c r="Q138" s="18" t="str">
        <f ca="1">IF($A138="","",SUMIFS('Current Char Stats'!$T$4:$T$273,'Current Char Stats'!$A$4:$A$273,$A138,'Current Char Stats'!$B$4:$B$273,$B138))</f>
        <v/>
      </c>
      <c r="R138" s="18" t="str">
        <f ca="1">IF($A138="","",SUMIFS('Current Char Stats'!$U$4:$U$273,'Current Char Stats'!$A$4:$A$273,$A138,'Current Char Stats'!$B$4:$B$273,$B138))</f>
        <v/>
      </c>
      <c r="S138" s="18" t="str">
        <f ca="1">IF($A138="","",SUMIFS('Current Char Stats'!$V$4:$V$273,'Current Char Stats'!$A$4:$A$273,$A138,'Current Char Stats'!$B$4:$B$273,$B138))</f>
        <v/>
      </c>
      <c r="T138" s="18" t="str">
        <f ca="1">IF($A138="","",SUMIFS('Current Char Stats'!$W$4:$W$273,'Current Char Stats'!$A$4:$A$273,$A138,'Current Char Stats'!$B$4:$B$273,$B138))</f>
        <v/>
      </c>
      <c r="U138" s="18" t="str">
        <f ca="1">IF($A138="","",SUMIFS('Current Char Stats'!$X$4:$X$273,'Current Char Stats'!$A$4:$A$273,$A138,'Current Char Stats'!$B$4:$B$273,$B138))</f>
        <v/>
      </c>
      <c r="V138" s="18" t="str">
        <f ca="1">IF($A138="","",SUMIFS('Current Char Stats'!$Y$4:$Y$273,'Current Char Stats'!$A$4:$A$273,$A138,'Current Char Stats'!$B$4:$B$273,$B138))</f>
        <v/>
      </c>
      <c r="W138" s="18" t="str">
        <f ca="1">IF($A138="","",SUMIFS('Current Char Stats'!$Z$4:$Z$273,'Current Char Stats'!$A$4:$A$273,$A138,'Current Char Stats'!$B$4:$B$273,$B138))</f>
        <v/>
      </c>
      <c r="X138" s="18" t="str">
        <f ca="1">IF($A138="","",SUMIFS('Current Char Stats'!$AA$4:$AA$273,'Current Char Stats'!$A$4:$A$273,$A138,'Current Char Stats'!$B$4:$B$273,$B138))</f>
        <v/>
      </c>
      <c r="Y138" s="18" t="str">
        <f ca="1">IF($A138="","",SUMIFS('Current Char Stats'!$AB$4:$AB$273,'Current Char Stats'!$A$4:$A$273,$A138,'Current Char Stats'!$B$4:$B$273,$B138))</f>
        <v/>
      </c>
      <c r="Z138" s="18" t="str">
        <f ca="1">IF($A138="","",SUMIFS('Current Char Stats'!$AC$4:$AC$273,'Current Char Stats'!$A$4:$A$273,$A138,'Current Char Stats'!$B$4:$B$273,$B138))</f>
        <v/>
      </c>
      <c r="AA138" s="18" t="str" cm="1">
        <f t="array" aca="1" ref="AA138" ca="1">IF($A138="","",_xlfn.LET(_xlpm.rawIP,SUMPRODUCT(--(Data!$AL$4:$AL$183=$A138),--(Data!$AM$4:$AM$183=$B138),IFERROR(Data!$AN$4:$AN$183,0)),IF(_xlpm.rawIP=0,0,(S138+U138)/_xlpm.rawIP)))</f>
        <v/>
      </c>
      <c r="AB138" s="18" t="str">
        <f ca="1">IF($A138="","",SUMIFS('Current Char Stats'!$AE$4:$AE$273,'Current Char Stats'!$A$4:$A$273,$A138,'Current Char Stats'!$B$4:$B$273,$B138))</f>
        <v/>
      </c>
    </row>
    <row r="139" spans="1:28">
      <c r="A139" s="5" t="str">
        <f>Data!C62</f>
        <v/>
      </c>
      <c r="B139" s="5" t="str">
        <f>Data!D62</f>
        <v/>
      </c>
      <c r="C139" s="5">
        <f ca="1">SUMIFS(Data!$W$4:$W$273,Data!$T$4:$T$273,A139,Data!$U$4:$U$273,B139)</f>
        <v>0</v>
      </c>
      <c r="D139" s="5">
        <f ca="1">SUMIFS(Data!$Y$4:$Y$273,Data!$T$4:$T$273,A139,Data!$U$4:$U$273,B139)</f>
        <v>0</v>
      </c>
      <c r="E139" s="5">
        <f ca="1">IF(C139=0,0,D139/C139)</f>
        <v>0</v>
      </c>
      <c r="F139" s="5">
        <f ca="1">SUMIFS(Data!$AB$4:$AB$273,Data!$T$4:$T$273,A139,Data!$U$4:$U$273,B139)</f>
        <v>0</v>
      </c>
      <c r="G139" s="5">
        <f ca="1">SUMIFS(Data!$AC$4:$AC$273,Data!$T$4:$T$273,A139,Data!$U$4:$U$273,B139)</f>
        <v>0</v>
      </c>
      <c r="H139" s="5" t="str">
        <f ca="1">IF($A139="","",INT(SUMIFS(Data!$AN$4:$AN$183,Data!$AL$4:$AL$183,$A139,Data!$AM$4:$AM$183,$B139))+MOD(ROUND(SUMIFS(Data!$AN$4:$AN$183,Data!$AL$4:$AL$183,$A139,Data!$AM$4:$AM$183,$B139)*3,0),3)/10)</f>
        <v/>
      </c>
      <c r="I139" s="5">
        <f ca="1">SUMIFS(Data!$AQ$4:$AQ$183,Data!$AL$4:$AL$183,A139,Data!$AM$4:$AM$183,B139)</f>
        <v>0</v>
      </c>
      <c r="J139" s="5" t="str">
        <f ca="1">IF($A139="","",IF(SUMIFS(Data!$AN$4:$AN$183,Data!$AL$4:$AL$183,$A139,Data!$AM$4:$AM$183,$B139)=0,0,I139*3/SUMIFS(Data!$AN$4:$AN$183,Data!$AL$4:$AL$183,$A139,Data!$AM$4:$AM$183,$B139)))</f>
        <v/>
      </c>
      <c r="K139" s="18" t="str">
        <f ca="1">IF($A139="","",SUMIFS('Current Char Stats'!$N$4:$N$273,'Current Char Stats'!$A$4:$A$273,$A139,'Current Char Stats'!$B$4:$B$273,$B139))</f>
        <v/>
      </c>
      <c r="L139" s="18" t="str">
        <f ca="1">IF($A139="","",SUMIFS('Current Char Stats'!$O$4:$O$273,'Current Char Stats'!$A$4:$A$273,$A139,'Current Char Stats'!$B$4:$B$273,$B139))</f>
        <v/>
      </c>
      <c r="M139" s="18" t="str">
        <f ca="1">IF($A139="","",SUMIFS('Current Char Stats'!$P$4:$P$273,'Current Char Stats'!$A$4:$A$273,$A139,'Current Char Stats'!$B$4:$B$273,$B139))</f>
        <v/>
      </c>
      <c r="N139" s="18" t="str">
        <f ca="1">IF($A139="","",SUMIFS('Current Char Stats'!$Q$4:$Q$273,'Current Char Stats'!$A$4:$A$273,$A139,'Current Char Stats'!$B$4:$B$273,$B139))</f>
        <v/>
      </c>
      <c r="O139" s="18" t="str">
        <f ca="1">IF($A139="","",SUMIFS('Current Char Stats'!$R$4:$R$273,'Current Char Stats'!$A$4:$A$273,$A139,'Current Char Stats'!$B$4:$B$273,$B139))</f>
        <v/>
      </c>
      <c r="P139" s="18" t="str">
        <f ca="1">IF($A139="","",SUMIFS('Current Char Stats'!$S$4:$S$273,'Current Char Stats'!$A$4:$A$273,$A139,'Current Char Stats'!$B$4:$B$273,$B139))</f>
        <v/>
      </c>
      <c r="Q139" s="18" t="str">
        <f ca="1">IF($A139="","",SUMIFS('Current Char Stats'!$T$4:$T$273,'Current Char Stats'!$A$4:$A$273,$A139,'Current Char Stats'!$B$4:$B$273,$B139))</f>
        <v/>
      </c>
      <c r="R139" s="18" t="str">
        <f ca="1">IF($A139="","",SUMIFS('Current Char Stats'!$U$4:$U$273,'Current Char Stats'!$A$4:$A$273,$A139,'Current Char Stats'!$B$4:$B$273,$B139))</f>
        <v/>
      </c>
      <c r="S139" s="18" t="str">
        <f ca="1">IF($A139="","",SUMIFS('Current Char Stats'!$V$4:$V$273,'Current Char Stats'!$A$4:$A$273,$A139,'Current Char Stats'!$B$4:$B$273,$B139))</f>
        <v/>
      </c>
      <c r="T139" s="18" t="str">
        <f ca="1">IF($A139="","",SUMIFS('Current Char Stats'!$W$4:$W$273,'Current Char Stats'!$A$4:$A$273,$A139,'Current Char Stats'!$B$4:$B$273,$B139))</f>
        <v/>
      </c>
      <c r="U139" s="18" t="str">
        <f ca="1">IF($A139="","",SUMIFS('Current Char Stats'!$X$4:$X$273,'Current Char Stats'!$A$4:$A$273,$A139,'Current Char Stats'!$B$4:$B$273,$B139))</f>
        <v/>
      </c>
      <c r="V139" s="18" t="str">
        <f ca="1">IF($A139="","",SUMIFS('Current Char Stats'!$Y$4:$Y$273,'Current Char Stats'!$A$4:$A$273,$A139,'Current Char Stats'!$B$4:$B$273,$B139))</f>
        <v/>
      </c>
      <c r="W139" s="18" t="str">
        <f ca="1">IF($A139="","",SUMIFS('Current Char Stats'!$Z$4:$Z$273,'Current Char Stats'!$A$4:$A$273,$A139,'Current Char Stats'!$B$4:$B$273,$B139))</f>
        <v/>
      </c>
      <c r="X139" s="18" t="str">
        <f ca="1">IF($A139="","",SUMIFS('Current Char Stats'!$AA$4:$AA$273,'Current Char Stats'!$A$4:$A$273,$A139,'Current Char Stats'!$B$4:$B$273,$B139))</f>
        <v/>
      </c>
      <c r="Y139" s="18" t="str">
        <f ca="1">IF($A139="","",SUMIFS('Current Char Stats'!$AB$4:$AB$273,'Current Char Stats'!$A$4:$A$273,$A139,'Current Char Stats'!$B$4:$B$273,$B139))</f>
        <v/>
      </c>
      <c r="Z139" s="18" t="str">
        <f ca="1">IF($A139="","",SUMIFS('Current Char Stats'!$AC$4:$AC$273,'Current Char Stats'!$A$4:$A$273,$A139,'Current Char Stats'!$B$4:$B$273,$B139))</f>
        <v/>
      </c>
      <c r="AA139" s="18" t="str" cm="1">
        <f t="array" aca="1" ref="AA139" ca="1">IF($A139="","",_xlfn.LET(_xlpm.rawIP,SUMPRODUCT(--(Data!$AL$4:$AL$183=$A139),--(Data!$AM$4:$AM$183=$B139),IFERROR(Data!$AN$4:$AN$183,0)),IF(_xlpm.rawIP=0,0,(S139+U139)/_xlpm.rawIP)))</f>
        <v/>
      </c>
      <c r="AB139" s="18" t="str">
        <f ca="1">IF($A139="","",SUMIFS('Current Char Stats'!$AE$4:$AE$273,'Current Char Stats'!$A$4:$A$273,$A139,'Current Char Stats'!$B$4:$B$273,$B139))</f>
        <v/>
      </c>
    </row>
    <row r="140" spans="1:28">
      <c r="A140" s="5" t="str">
        <f>Data!C63</f>
        <v/>
      </c>
      <c r="B140" s="5" t="str">
        <f>Data!D63</f>
        <v/>
      </c>
      <c r="C140" s="5">
        <f ca="1">SUMIFS(Data!$W$4:$W$273,Data!$T$4:$T$273,A140,Data!$U$4:$U$273,B140)</f>
        <v>0</v>
      </c>
      <c r="D140" s="5">
        <f ca="1">SUMIFS(Data!$Y$4:$Y$273,Data!$T$4:$T$273,A140,Data!$U$4:$U$273,B140)</f>
        <v>0</v>
      </c>
      <c r="E140" s="5">
        <f ca="1">IF(C140=0,0,D140/C140)</f>
        <v>0</v>
      </c>
      <c r="F140" s="5">
        <f ca="1">SUMIFS(Data!$AB$4:$AB$273,Data!$T$4:$T$273,A140,Data!$U$4:$U$273,B140)</f>
        <v>0</v>
      </c>
      <c r="G140" s="5">
        <f ca="1">SUMIFS(Data!$AC$4:$AC$273,Data!$T$4:$T$273,A140,Data!$U$4:$U$273,B140)</f>
        <v>0</v>
      </c>
      <c r="H140" s="5" t="str">
        <f ca="1">IF($A140="","",INT(SUMIFS(Data!$AN$4:$AN$183,Data!$AL$4:$AL$183,$A140,Data!$AM$4:$AM$183,$B140))+MOD(ROUND(SUMIFS(Data!$AN$4:$AN$183,Data!$AL$4:$AL$183,$A140,Data!$AM$4:$AM$183,$B140)*3,0),3)/10)</f>
        <v/>
      </c>
      <c r="I140" s="5">
        <f ca="1">SUMIFS(Data!$AQ$4:$AQ$183,Data!$AL$4:$AL$183,A140,Data!$AM$4:$AM$183,B140)</f>
        <v>0</v>
      </c>
      <c r="J140" s="5" t="str">
        <f ca="1">IF($A140="","",IF(SUMIFS(Data!$AN$4:$AN$183,Data!$AL$4:$AL$183,$A140,Data!$AM$4:$AM$183,$B140)=0,0,I140*3/SUMIFS(Data!$AN$4:$AN$183,Data!$AL$4:$AL$183,$A140,Data!$AM$4:$AM$183,$B140)))</f>
        <v/>
      </c>
      <c r="K140" s="18" t="str">
        <f ca="1">IF($A140="","",SUMIFS('Current Char Stats'!$N$4:$N$273,'Current Char Stats'!$A$4:$A$273,$A140,'Current Char Stats'!$B$4:$B$273,$B140))</f>
        <v/>
      </c>
      <c r="L140" s="18" t="str">
        <f ca="1">IF($A140="","",SUMIFS('Current Char Stats'!$O$4:$O$273,'Current Char Stats'!$A$4:$A$273,$A140,'Current Char Stats'!$B$4:$B$273,$B140))</f>
        <v/>
      </c>
      <c r="M140" s="18" t="str">
        <f ca="1">IF($A140="","",SUMIFS('Current Char Stats'!$P$4:$P$273,'Current Char Stats'!$A$4:$A$273,$A140,'Current Char Stats'!$B$4:$B$273,$B140))</f>
        <v/>
      </c>
      <c r="N140" s="18" t="str">
        <f ca="1">IF($A140="","",SUMIFS('Current Char Stats'!$Q$4:$Q$273,'Current Char Stats'!$A$4:$A$273,$A140,'Current Char Stats'!$B$4:$B$273,$B140))</f>
        <v/>
      </c>
      <c r="O140" s="18" t="str">
        <f ca="1">IF($A140="","",SUMIFS('Current Char Stats'!$R$4:$R$273,'Current Char Stats'!$A$4:$A$273,$A140,'Current Char Stats'!$B$4:$B$273,$B140))</f>
        <v/>
      </c>
      <c r="P140" s="18" t="str">
        <f ca="1">IF($A140="","",SUMIFS('Current Char Stats'!$S$4:$S$273,'Current Char Stats'!$A$4:$A$273,$A140,'Current Char Stats'!$B$4:$B$273,$B140))</f>
        <v/>
      </c>
      <c r="Q140" s="18" t="str">
        <f ca="1">IF($A140="","",SUMIFS('Current Char Stats'!$T$4:$T$273,'Current Char Stats'!$A$4:$A$273,$A140,'Current Char Stats'!$B$4:$B$273,$B140))</f>
        <v/>
      </c>
      <c r="R140" s="18" t="str">
        <f ca="1">IF($A140="","",SUMIFS('Current Char Stats'!$U$4:$U$273,'Current Char Stats'!$A$4:$A$273,$A140,'Current Char Stats'!$B$4:$B$273,$B140))</f>
        <v/>
      </c>
      <c r="S140" s="18" t="str">
        <f ca="1">IF($A140="","",SUMIFS('Current Char Stats'!$V$4:$V$273,'Current Char Stats'!$A$4:$A$273,$A140,'Current Char Stats'!$B$4:$B$273,$B140))</f>
        <v/>
      </c>
      <c r="T140" s="18" t="str">
        <f ca="1">IF($A140="","",SUMIFS('Current Char Stats'!$W$4:$W$273,'Current Char Stats'!$A$4:$A$273,$A140,'Current Char Stats'!$B$4:$B$273,$B140))</f>
        <v/>
      </c>
      <c r="U140" s="18" t="str">
        <f ca="1">IF($A140="","",SUMIFS('Current Char Stats'!$X$4:$X$273,'Current Char Stats'!$A$4:$A$273,$A140,'Current Char Stats'!$B$4:$B$273,$B140))</f>
        <v/>
      </c>
      <c r="V140" s="18" t="str">
        <f ca="1">IF($A140="","",SUMIFS('Current Char Stats'!$Y$4:$Y$273,'Current Char Stats'!$A$4:$A$273,$A140,'Current Char Stats'!$B$4:$B$273,$B140))</f>
        <v/>
      </c>
      <c r="W140" s="18" t="str">
        <f ca="1">IF($A140="","",SUMIFS('Current Char Stats'!$Z$4:$Z$273,'Current Char Stats'!$A$4:$A$273,$A140,'Current Char Stats'!$B$4:$B$273,$B140))</f>
        <v/>
      </c>
      <c r="X140" s="18" t="str">
        <f ca="1">IF($A140="","",SUMIFS('Current Char Stats'!$AA$4:$AA$273,'Current Char Stats'!$A$4:$A$273,$A140,'Current Char Stats'!$B$4:$B$273,$B140))</f>
        <v/>
      </c>
      <c r="Y140" s="18" t="str">
        <f ca="1">IF($A140="","",SUMIFS('Current Char Stats'!$AB$4:$AB$273,'Current Char Stats'!$A$4:$A$273,$A140,'Current Char Stats'!$B$4:$B$273,$B140))</f>
        <v/>
      </c>
      <c r="Z140" s="18" t="str">
        <f ca="1">IF($A140="","",SUMIFS('Current Char Stats'!$AC$4:$AC$273,'Current Char Stats'!$A$4:$A$273,$A140,'Current Char Stats'!$B$4:$B$273,$B140))</f>
        <v/>
      </c>
      <c r="AA140" s="18" t="str" cm="1">
        <f t="array" aca="1" ref="AA140" ca="1">IF($A140="","",_xlfn.LET(_xlpm.rawIP,SUMPRODUCT(--(Data!$AL$4:$AL$183=$A140),--(Data!$AM$4:$AM$183=$B140),IFERROR(Data!$AN$4:$AN$183,0)),IF(_xlpm.rawIP=0,0,(S140+U140)/_xlpm.rawIP)))</f>
        <v/>
      </c>
      <c r="AB140" s="18" t="str">
        <f ca="1">IF($A140="","",SUMIFS('Current Char Stats'!$AE$4:$AE$273,'Current Char Stats'!$A$4:$A$273,$A140,'Current Char Stats'!$B$4:$B$273,$B140))</f>
        <v/>
      </c>
    </row>
    <row r="141" spans="1:28">
      <c r="A141" s="5" t="str">
        <f>Data!C64</f>
        <v/>
      </c>
      <c r="B141" s="5" t="str">
        <f>Data!D64</f>
        <v/>
      </c>
      <c r="C141" s="5">
        <f ca="1">SUMIFS(Data!$W$4:$W$273,Data!$T$4:$T$273,A141,Data!$U$4:$U$273,B141)</f>
        <v>0</v>
      </c>
      <c r="D141" s="5">
        <f ca="1">SUMIFS(Data!$Y$4:$Y$273,Data!$T$4:$T$273,A141,Data!$U$4:$U$273,B141)</f>
        <v>0</v>
      </c>
      <c r="E141" s="5">
        <f ca="1">IF(C141=0,0,D141/C141)</f>
        <v>0</v>
      </c>
      <c r="F141" s="5">
        <f ca="1">SUMIFS(Data!$AB$4:$AB$273,Data!$T$4:$T$273,A141,Data!$U$4:$U$273,B141)</f>
        <v>0</v>
      </c>
      <c r="G141" s="5">
        <f ca="1">SUMIFS(Data!$AC$4:$AC$273,Data!$T$4:$T$273,A141,Data!$U$4:$U$273,B141)</f>
        <v>0</v>
      </c>
      <c r="H141" s="5" t="str">
        <f ca="1">IF($A141="","",INT(SUMIFS(Data!$AN$4:$AN$183,Data!$AL$4:$AL$183,$A141,Data!$AM$4:$AM$183,$B141))+MOD(ROUND(SUMIFS(Data!$AN$4:$AN$183,Data!$AL$4:$AL$183,$A141,Data!$AM$4:$AM$183,$B141)*3,0),3)/10)</f>
        <v/>
      </c>
      <c r="I141" s="5">
        <f ca="1">SUMIFS(Data!$AQ$4:$AQ$183,Data!$AL$4:$AL$183,A141,Data!$AM$4:$AM$183,B141)</f>
        <v>0</v>
      </c>
      <c r="J141" s="5" t="str">
        <f ca="1">IF($A141="","",IF(SUMIFS(Data!$AN$4:$AN$183,Data!$AL$4:$AL$183,$A141,Data!$AM$4:$AM$183,$B141)=0,0,I141*3/SUMIFS(Data!$AN$4:$AN$183,Data!$AL$4:$AL$183,$A141,Data!$AM$4:$AM$183,$B141)))</f>
        <v/>
      </c>
      <c r="K141" s="18" t="str">
        <f ca="1">IF($A141="","",SUMIFS('Current Char Stats'!$N$4:$N$273,'Current Char Stats'!$A$4:$A$273,$A141,'Current Char Stats'!$B$4:$B$273,$B141))</f>
        <v/>
      </c>
      <c r="L141" s="18" t="str">
        <f ca="1">IF($A141="","",SUMIFS('Current Char Stats'!$O$4:$O$273,'Current Char Stats'!$A$4:$A$273,$A141,'Current Char Stats'!$B$4:$B$273,$B141))</f>
        <v/>
      </c>
      <c r="M141" s="18" t="str">
        <f ca="1">IF($A141="","",SUMIFS('Current Char Stats'!$P$4:$P$273,'Current Char Stats'!$A$4:$A$273,$A141,'Current Char Stats'!$B$4:$B$273,$B141))</f>
        <v/>
      </c>
      <c r="N141" s="18" t="str">
        <f ca="1">IF($A141="","",SUMIFS('Current Char Stats'!$Q$4:$Q$273,'Current Char Stats'!$A$4:$A$273,$A141,'Current Char Stats'!$B$4:$B$273,$B141))</f>
        <v/>
      </c>
      <c r="O141" s="18" t="str">
        <f ca="1">IF($A141="","",SUMIFS('Current Char Stats'!$R$4:$R$273,'Current Char Stats'!$A$4:$A$273,$A141,'Current Char Stats'!$B$4:$B$273,$B141))</f>
        <v/>
      </c>
      <c r="P141" s="18" t="str">
        <f ca="1">IF($A141="","",SUMIFS('Current Char Stats'!$S$4:$S$273,'Current Char Stats'!$A$4:$A$273,$A141,'Current Char Stats'!$B$4:$B$273,$B141))</f>
        <v/>
      </c>
      <c r="Q141" s="18" t="str">
        <f ca="1">IF($A141="","",SUMIFS('Current Char Stats'!$T$4:$T$273,'Current Char Stats'!$A$4:$A$273,$A141,'Current Char Stats'!$B$4:$B$273,$B141))</f>
        <v/>
      </c>
      <c r="R141" s="18" t="str">
        <f ca="1">IF($A141="","",SUMIFS('Current Char Stats'!$U$4:$U$273,'Current Char Stats'!$A$4:$A$273,$A141,'Current Char Stats'!$B$4:$B$273,$B141))</f>
        <v/>
      </c>
      <c r="S141" s="18" t="str">
        <f ca="1">IF($A141="","",SUMIFS('Current Char Stats'!$V$4:$V$273,'Current Char Stats'!$A$4:$A$273,$A141,'Current Char Stats'!$B$4:$B$273,$B141))</f>
        <v/>
      </c>
      <c r="T141" s="18" t="str">
        <f ca="1">IF($A141="","",SUMIFS('Current Char Stats'!$W$4:$W$273,'Current Char Stats'!$A$4:$A$273,$A141,'Current Char Stats'!$B$4:$B$273,$B141))</f>
        <v/>
      </c>
      <c r="U141" s="18" t="str">
        <f ca="1">IF($A141="","",SUMIFS('Current Char Stats'!$X$4:$X$273,'Current Char Stats'!$A$4:$A$273,$A141,'Current Char Stats'!$B$4:$B$273,$B141))</f>
        <v/>
      </c>
      <c r="V141" s="18" t="str">
        <f ca="1">IF($A141="","",SUMIFS('Current Char Stats'!$Y$4:$Y$273,'Current Char Stats'!$A$4:$A$273,$A141,'Current Char Stats'!$B$4:$B$273,$B141))</f>
        <v/>
      </c>
      <c r="W141" s="18" t="str">
        <f ca="1">IF($A141="","",SUMIFS('Current Char Stats'!$Z$4:$Z$273,'Current Char Stats'!$A$4:$A$273,$A141,'Current Char Stats'!$B$4:$B$273,$B141))</f>
        <v/>
      </c>
      <c r="X141" s="18" t="str">
        <f ca="1">IF($A141="","",SUMIFS('Current Char Stats'!$AA$4:$AA$273,'Current Char Stats'!$A$4:$A$273,$A141,'Current Char Stats'!$B$4:$B$273,$B141))</f>
        <v/>
      </c>
      <c r="Y141" s="18" t="str">
        <f ca="1">IF($A141="","",SUMIFS('Current Char Stats'!$AB$4:$AB$273,'Current Char Stats'!$A$4:$A$273,$A141,'Current Char Stats'!$B$4:$B$273,$B141))</f>
        <v/>
      </c>
      <c r="Z141" s="18" t="str">
        <f ca="1">IF($A141="","",SUMIFS('Current Char Stats'!$AC$4:$AC$273,'Current Char Stats'!$A$4:$A$273,$A141,'Current Char Stats'!$B$4:$B$273,$B141))</f>
        <v/>
      </c>
      <c r="AA141" s="18" t="str" cm="1">
        <f t="array" aca="1" ref="AA141" ca="1">IF($A141="","",_xlfn.LET(_xlpm.rawIP,SUMPRODUCT(--(Data!$AL$4:$AL$183=$A141),--(Data!$AM$4:$AM$183=$B141),IFERROR(Data!$AN$4:$AN$183,0)),IF(_xlpm.rawIP=0,0,(S141+U141)/_xlpm.rawIP)))</f>
        <v/>
      </c>
      <c r="AB141" s="18" t="str">
        <f ca="1">IF($A141="","",SUMIFS('Current Char Stats'!$AE$4:$AE$273,'Current Char Stats'!$A$4:$A$273,$A141,'Current Char Stats'!$B$4:$B$273,$B141))</f>
        <v/>
      </c>
    </row>
    <row r="142" spans="1:28">
      <c r="A142" s="5" t="str">
        <f>Data!C65</f>
        <v/>
      </c>
      <c r="B142" s="5" t="str">
        <f>Data!D65</f>
        <v/>
      </c>
      <c r="C142" s="5">
        <f ca="1">SUMIFS(Data!$W$4:$W$273,Data!$T$4:$T$273,A142,Data!$U$4:$U$273,B142)</f>
        <v>0</v>
      </c>
      <c r="D142" s="5">
        <f ca="1">SUMIFS(Data!$Y$4:$Y$273,Data!$T$4:$T$273,A142,Data!$U$4:$U$273,B142)</f>
        <v>0</v>
      </c>
      <c r="E142" s="5">
        <f ca="1">IF(C142=0,0,D142/C142)</f>
        <v>0</v>
      </c>
      <c r="F142" s="5">
        <f ca="1">SUMIFS(Data!$AB$4:$AB$273,Data!$T$4:$T$273,A142,Data!$U$4:$U$273,B142)</f>
        <v>0</v>
      </c>
      <c r="G142" s="5">
        <f ca="1">SUMIFS(Data!$AC$4:$AC$273,Data!$T$4:$T$273,A142,Data!$U$4:$U$273,B142)</f>
        <v>0</v>
      </c>
      <c r="H142" s="5" t="str">
        <f ca="1">IF($A142="","",INT(SUMIFS(Data!$AN$4:$AN$183,Data!$AL$4:$AL$183,$A142,Data!$AM$4:$AM$183,$B142))+MOD(ROUND(SUMIFS(Data!$AN$4:$AN$183,Data!$AL$4:$AL$183,$A142,Data!$AM$4:$AM$183,$B142)*3,0),3)/10)</f>
        <v/>
      </c>
      <c r="I142" s="5">
        <f ca="1">SUMIFS(Data!$AQ$4:$AQ$183,Data!$AL$4:$AL$183,A142,Data!$AM$4:$AM$183,B142)</f>
        <v>0</v>
      </c>
      <c r="J142" s="5" t="str">
        <f ca="1">IF($A142="","",IF(SUMIFS(Data!$AN$4:$AN$183,Data!$AL$4:$AL$183,$A142,Data!$AM$4:$AM$183,$B142)=0,0,I142*3/SUMIFS(Data!$AN$4:$AN$183,Data!$AL$4:$AL$183,$A142,Data!$AM$4:$AM$183,$B142)))</f>
        <v/>
      </c>
      <c r="K142" s="18" t="str">
        <f ca="1">IF($A142="","",SUMIFS('Current Char Stats'!$N$4:$N$273,'Current Char Stats'!$A$4:$A$273,$A142,'Current Char Stats'!$B$4:$B$273,$B142))</f>
        <v/>
      </c>
      <c r="L142" s="18" t="str">
        <f ca="1">IF($A142="","",SUMIFS('Current Char Stats'!$O$4:$O$273,'Current Char Stats'!$A$4:$A$273,$A142,'Current Char Stats'!$B$4:$B$273,$B142))</f>
        <v/>
      </c>
      <c r="M142" s="18" t="str">
        <f ca="1">IF($A142="","",SUMIFS('Current Char Stats'!$P$4:$P$273,'Current Char Stats'!$A$4:$A$273,$A142,'Current Char Stats'!$B$4:$B$273,$B142))</f>
        <v/>
      </c>
      <c r="N142" s="18" t="str">
        <f ca="1">IF($A142="","",SUMIFS('Current Char Stats'!$Q$4:$Q$273,'Current Char Stats'!$A$4:$A$273,$A142,'Current Char Stats'!$B$4:$B$273,$B142))</f>
        <v/>
      </c>
      <c r="O142" s="18" t="str">
        <f ca="1">IF($A142="","",SUMIFS('Current Char Stats'!$R$4:$R$273,'Current Char Stats'!$A$4:$A$273,$A142,'Current Char Stats'!$B$4:$B$273,$B142))</f>
        <v/>
      </c>
      <c r="P142" s="18" t="str">
        <f ca="1">IF($A142="","",SUMIFS('Current Char Stats'!$S$4:$S$273,'Current Char Stats'!$A$4:$A$273,$A142,'Current Char Stats'!$B$4:$B$273,$B142))</f>
        <v/>
      </c>
      <c r="Q142" s="18" t="str">
        <f ca="1">IF($A142="","",SUMIFS('Current Char Stats'!$T$4:$T$273,'Current Char Stats'!$A$4:$A$273,$A142,'Current Char Stats'!$B$4:$B$273,$B142))</f>
        <v/>
      </c>
      <c r="R142" s="18" t="str">
        <f ca="1">IF($A142="","",SUMIFS('Current Char Stats'!$U$4:$U$273,'Current Char Stats'!$A$4:$A$273,$A142,'Current Char Stats'!$B$4:$B$273,$B142))</f>
        <v/>
      </c>
      <c r="S142" s="18" t="str">
        <f ca="1">IF($A142="","",SUMIFS('Current Char Stats'!$V$4:$V$273,'Current Char Stats'!$A$4:$A$273,$A142,'Current Char Stats'!$B$4:$B$273,$B142))</f>
        <v/>
      </c>
      <c r="T142" s="18" t="str">
        <f ca="1">IF($A142="","",SUMIFS('Current Char Stats'!$W$4:$W$273,'Current Char Stats'!$A$4:$A$273,$A142,'Current Char Stats'!$B$4:$B$273,$B142))</f>
        <v/>
      </c>
      <c r="U142" s="18" t="str">
        <f ca="1">IF($A142="","",SUMIFS('Current Char Stats'!$X$4:$X$273,'Current Char Stats'!$A$4:$A$273,$A142,'Current Char Stats'!$B$4:$B$273,$B142))</f>
        <v/>
      </c>
      <c r="V142" s="18" t="str">
        <f ca="1">IF($A142="","",SUMIFS('Current Char Stats'!$Y$4:$Y$273,'Current Char Stats'!$A$4:$A$273,$A142,'Current Char Stats'!$B$4:$B$273,$B142))</f>
        <v/>
      </c>
      <c r="W142" s="18" t="str">
        <f ca="1">IF($A142="","",SUMIFS('Current Char Stats'!$Z$4:$Z$273,'Current Char Stats'!$A$4:$A$273,$A142,'Current Char Stats'!$B$4:$B$273,$B142))</f>
        <v/>
      </c>
      <c r="X142" s="18" t="str">
        <f ca="1">IF($A142="","",SUMIFS('Current Char Stats'!$AA$4:$AA$273,'Current Char Stats'!$A$4:$A$273,$A142,'Current Char Stats'!$B$4:$B$273,$B142))</f>
        <v/>
      </c>
      <c r="Y142" s="18" t="str">
        <f ca="1">IF($A142="","",SUMIFS('Current Char Stats'!$AB$4:$AB$273,'Current Char Stats'!$A$4:$A$273,$A142,'Current Char Stats'!$B$4:$B$273,$B142))</f>
        <v/>
      </c>
      <c r="Z142" s="18" t="str">
        <f ca="1">IF($A142="","",SUMIFS('Current Char Stats'!$AC$4:$AC$273,'Current Char Stats'!$A$4:$A$273,$A142,'Current Char Stats'!$B$4:$B$273,$B142))</f>
        <v/>
      </c>
      <c r="AA142" s="18" t="str" cm="1">
        <f t="array" aca="1" ref="AA142" ca="1">IF($A142="","",_xlfn.LET(_xlpm.rawIP,SUMPRODUCT(--(Data!$AL$4:$AL$183=$A142),--(Data!$AM$4:$AM$183=$B142),IFERROR(Data!$AN$4:$AN$183,0)),IF(_xlpm.rawIP=0,0,(S142+U142)/_xlpm.rawIP)))</f>
        <v/>
      </c>
      <c r="AB142" s="18" t="str">
        <f ca="1">IF($A142="","",SUMIFS('Current Char Stats'!$AE$4:$AE$273,'Current Char Stats'!$A$4:$A$273,$A142,'Current Char Stats'!$B$4:$B$273,$B142))</f>
        <v/>
      </c>
    </row>
    <row r="143" spans="1:28">
      <c r="A143" s="5" t="str">
        <f>Data!C66</f>
        <v/>
      </c>
      <c r="B143" s="5" t="str">
        <f>Data!D66</f>
        <v/>
      </c>
      <c r="C143" s="5">
        <f ca="1">SUMIFS(Data!$W$4:$W$273,Data!$T$4:$T$273,A143,Data!$U$4:$U$273,B143)</f>
        <v>0</v>
      </c>
      <c r="D143" s="5">
        <f ca="1">SUMIFS(Data!$Y$4:$Y$273,Data!$T$4:$T$273,A143,Data!$U$4:$U$273,B143)</f>
        <v>0</v>
      </c>
      <c r="E143" s="5">
        <f ca="1">IF(C143=0,0,D143/C143)</f>
        <v>0</v>
      </c>
      <c r="F143" s="5">
        <f ca="1">SUMIFS(Data!$AB$4:$AB$273,Data!$T$4:$T$273,A143,Data!$U$4:$U$273,B143)</f>
        <v>0</v>
      </c>
      <c r="G143" s="5">
        <f ca="1">SUMIFS(Data!$AC$4:$AC$273,Data!$T$4:$T$273,A143,Data!$U$4:$U$273,B143)</f>
        <v>0</v>
      </c>
      <c r="H143" s="5" t="str">
        <f ca="1">IF($A143="","",INT(SUMIFS(Data!$AN$4:$AN$183,Data!$AL$4:$AL$183,$A143,Data!$AM$4:$AM$183,$B143))+MOD(ROUND(SUMIFS(Data!$AN$4:$AN$183,Data!$AL$4:$AL$183,$A143,Data!$AM$4:$AM$183,$B143)*3,0),3)/10)</f>
        <v/>
      </c>
      <c r="I143" s="5">
        <f ca="1">SUMIFS(Data!$AQ$4:$AQ$183,Data!$AL$4:$AL$183,A143,Data!$AM$4:$AM$183,B143)</f>
        <v>0</v>
      </c>
      <c r="J143" s="5" t="str">
        <f ca="1">IF($A143="","",IF(SUMIFS(Data!$AN$4:$AN$183,Data!$AL$4:$AL$183,$A143,Data!$AM$4:$AM$183,$B143)=0,0,I143*3/SUMIFS(Data!$AN$4:$AN$183,Data!$AL$4:$AL$183,$A143,Data!$AM$4:$AM$183,$B143)))</f>
        <v/>
      </c>
      <c r="K143" s="18" t="str">
        <f ca="1">IF($A143="","",SUMIFS('Current Char Stats'!$N$4:$N$273,'Current Char Stats'!$A$4:$A$273,$A143,'Current Char Stats'!$B$4:$B$273,$B143))</f>
        <v/>
      </c>
      <c r="L143" s="18" t="str">
        <f ca="1">IF($A143="","",SUMIFS('Current Char Stats'!$O$4:$O$273,'Current Char Stats'!$A$4:$A$273,$A143,'Current Char Stats'!$B$4:$B$273,$B143))</f>
        <v/>
      </c>
      <c r="M143" s="18" t="str">
        <f ca="1">IF($A143="","",SUMIFS('Current Char Stats'!$P$4:$P$273,'Current Char Stats'!$A$4:$A$273,$A143,'Current Char Stats'!$B$4:$B$273,$B143))</f>
        <v/>
      </c>
      <c r="N143" s="18" t="str">
        <f ca="1">IF($A143="","",SUMIFS('Current Char Stats'!$Q$4:$Q$273,'Current Char Stats'!$A$4:$A$273,$A143,'Current Char Stats'!$B$4:$B$273,$B143))</f>
        <v/>
      </c>
      <c r="O143" s="18" t="str">
        <f ca="1">IF($A143="","",SUMIFS('Current Char Stats'!$R$4:$R$273,'Current Char Stats'!$A$4:$A$273,$A143,'Current Char Stats'!$B$4:$B$273,$B143))</f>
        <v/>
      </c>
      <c r="P143" s="18" t="str">
        <f ca="1">IF($A143="","",SUMIFS('Current Char Stats'!$S$4:$S$273,'Current Char Stats'!$A$4:$A$273,$A143,'Current Char Stats'!$B$4:$B$273,$B143))</f>
        <v/>
      </c>
      <c r="Q143" s="18" t="str">
        <f ca="1">IF($A143="","",SUMIFS('Current Char Stats'!$T$4:$T$273,'Current Char Stats'!$A$4:$A$273,$A143,'Current Char Stats'!$B$4:$B$273,$B143))</f>
        <v/>
      </c>
      <c r="R143" s="18" t="str">
        <f ca="1">IF($A143="","",SUMIFS('Current Char Stats'!$U$4:$U$273,'Current Char Stats'!$A$4:$A$273,$A143,'Current Char Stats'!$B$4:$B$273,$B143))</f>
        <v/>
      </c>
      <c r="S143" s="18" t="str">
        <f ca="1">IF($A143="","",SUMIFS('Current Char Stats'!$V$4:$V$273,'Current Char Stats'!$A$4:$A$273,$A143,'Current Char Stats'!$B$4:$B$273,$B143))</f>
        <v/>
      </c>
      <c r="T143" s="18" t="str">
        <f ca="1">IF($A143="","",SUMIFS('Current Char Stats'!$W$4:$W$273,'Current Char Stats'!$A$4:$A$273,$A143,'Current Char Stats'!$B$4:$B$273,$B143))</f>
        <v/>
      </c>
      <c r="U143" s="18" t="str">
        <f ca="1">IF($A143="","",SUMIFS('Current Char Stats'!$X$4:$X$273,'Current Char Stats'!$A$4:$A$273,$A143,'Current Char Stats'!$B$4:$B$273,$B143))</f>
        <v/>
      </c>
      <c r="V143" s="18" t="str">
        <f ca="1">IF($A143="","",SUMIFS('Current Char Stats'!$Y$4:$Y$273,'Current Char Stats'!$A$4:$A$273,$A143,'Current Char Stats'!$B$4:$B$273,$B143))</f>
        <v/>
      </c>
      <c r="W143" s="18" t="str">
        <f ca="1">IF($A143="","",SUMIFS('Current Char Stats'!$Z$4:$Z$273,'Current Char Stats'!$A$4:$A$273,$A143,'Current Char Stats'!$B$4:$B$273,$B143))</f>
        <v/>
      </c>
      <c r="X143" s="18" t="str">
        <f ca="1">IF($A143="","",SUMIFS('Current Char Stats'!$AA$4:$AA$273,'Current Char Stats'!$A$4:$A$273,$A143,'Current Char Stats'!$B$4:$B$273,$B143))</f>
        <v/>
      </c>
      <c r="Y143" s="18" t="str">
        <f ca="1">IF($A143="","",SUMIFS('Current Char Stats'!$AB$4:$AB$273,'Current Char Stats'!$A$4:$A$273,$A143,'Current Char Stats'!$B$4:$B$273,$B143))</f>
        <v/>
      </c>
      <c r="Z143" s="18" t="str">
        <f ca="1">IF($A143="","",SUMIFS('Current Char Stats'!$AC$4:$AC$273,'Current Char Stats'!$A$4:$A$273,$A143,'Current Char Stats'!$B$4:$B$273,$B143))</f>
        <v/>
      </c>
      <c r="AA143" s="18" t="str" cm="1">
        <f t="array" aca="1" ref="AA143" ca="1">IF($A143="","",_xlfn.LET(_xlpm.rawIP,SUMPRODUCT(--(Data!$AL$4:$AL$183=$A143),--(Data!$AM$4:$AM$183=$B143),IFERROR(Data!$AN$4:$AN$183,0)),IF(_xlpm.rawIP=0,0,(S143+U143)/_xlpm.rawIP)))</f>
        <v/>
      </c>
      <c r="AB143" s="18" t="str">
        <f ca="1">IF($A143="","",SUMIFS('Current Char Stats'!$AE$4:$AE$273,'Current Char Stats'!$A$4:$A$273,$A143,'Current Char Stats'!$B$4:$B$273,$B143))</f>
        <v/>
      </c>
    </row>
    <row r="144" spans="1:28">
      <c r="A144" s="5" t="str">
        <f>Data!C67</f>
        <v/>
      </c>
      <c r="B144" s="5" t="str">
        <f>Data!D67</f>
        <v/>
      </c>
      <c r="C144" s="5">
        <f ca="1">SUMIFS(Data!$W$4:$W$273,Data!$T$4:$T$273,A144,Data!$U$4:$U$273,B144)</f>
        <v>0</v>
      </c>
      <c r="D144" s="5">
        <f ca="1">SUMIFS(Data!$Y$4:$Y$273,Data!$T$4:$T$273,A144,Data!$U$4:$U$273,B144)</f>
        <v>0</v>
      </c>
      <c r="E144" s="5">
        <f ca="1">IF(C144=0,0,D144/C144)</f>
        <v>0</v>
      </c>
      <c r="F144" s="5">
        <f ca="1">SUMIFS(Data!$AB$4:$AB$273,Data!$T$4:$T$273,A144,Data!$U$4:$U$273,B144)</f>
        <v>0</v>
      </c>
      <c r="G144" s="5">
        <f ca="1">SUMIFS(Data!$AC$4:$AC$273,Data!$T$4:$T$273,A144,Data!$U$4:$U$273,B144)</f>
        <v>0</v>
      </c>
      <c r="H144" s="5" t="str">
        <f ca="1">IF($A144="","",INT(SUMIFS(Data!$AN$4:$AN$183,Data!$AL$4:$AL$183,$A144,Data!$AM$4:$AM$183,$B144))+MOD(ROUND(SUMIFS(Data!$AN$4:$AN$183,Data!$AL$4:$AL$183,$A144,Data!$AM$4:$AM$183,$B144)*3,0),3)/10)</f>
        <v/>
      </c>
      <c r="I144" s="5">
        <f ca="1">SUMIFS(Data!$AQ$4:$AQ$183,Data!$AL$4:$AL$183,A144,Data!$AM$4:$AM$183,B144)</f>
        <v>0</v>
      </c>
      <c r="J144" s="5" t="str">
        <f ca="1">IF($A144="","",IF(SUMIFS(Data!$AN$4:$AN$183,Data!$AL$4:$AL$183,$A144,Data!$AM$4:$AM$183,$B144)=0,0,I144*3/SUMIFS(Data!$AN$4:$AN$183,Data!$AL$4:$AL$183,$A144,Data!$AM$4:$AM$183,$B144)))</f>
        <v/>
      </c>
      <c r="K144" s="18" t="str">
        <f ca="1">IF($A144="","",SUMIFS('Current Char Stats'!$N$4:$N$273,'Current Char Stats'!$A$4:$A$273,$A144,'Current Char Stats'!$B$4:$B$273,$B144))</f>
        <v/>
      </c>
      <c r="L144" s="18" t="str">
        <f ca="1">IF($A144="","",SUMIFS('Current Char Stats'!$O$4:$O$273,'Current Char Stats'!$A$4:$A$273,$A144,'Current Char Stats'!$B$4:$B$273,$B144))</f>
        <v/>
      </c>
      <c r="M144" s="18" t="str">
        <f ca="1">IF($A144="","",SUMIFS('Current Char Stats'!$P$4:$P$273,'Current Char Stats'!$A$4:$A$273,$A144,'Current Char Stats'!$B$4:$B$273,$B144))</f>
        <v/>
      </c>
      <c r="N144" s="18" t="str">
        <f ca="1">IF($A144="","",SUMIFS('Current Char Stats'!$Q$4:$Q$273,'Current Char Stats'!$A$4:$A$273,$A144,'Current Char Stats'!$B$4:$B$273,$B144))</f>
        <v/>
      </c>
      <c r="O144" s="18" t="str">
        <f ca="1">IF($A144="","",SUMIFS('Current Char Stats'!$R$4:$R$273,'Current Char Stats'!$A$4:$A$273,$A144,'Current Char Stats'!$B$4:$B$273,$B144))</f>
        <v/>
      </c>
      <c r="P144" s="18" t="str">
        <f ca="1">IF($A144="","",SUMIFS('Current Char Stats'!$S$4:$S$273,'Current Char Stats'!$A$4:$A$273,$A144,'Current Char Stats'!$B$4:$B$273,$B144))</f>
        <v/>
      </c>
      <c r="Q144" s="18" t="str">
        <f ca="1">IF($A144="","",SUMIFS('Current Char Stats'!$T$4:$T$273,'Current Char Stats'!$A$4:$A$273,$A144,'Current Char Stats'!$B$4:$B$273,$B144))</f>
        <v/>
      </c>
      <c r="R144" s="18" t="str">
        <f ca="1">IF($A144="","",SUMIFS('Current Char Stats'!$U$4:$U$273,'Current Char Stats'!$A$4:$A$273,$A144,'Current Char Stats'!$B$4:$B$273,$B144))</f>
        <v/>
      </c>
      <c r="S144" s="18" t="str">
        <f ca="1">IF($A144="","",SUMIFS('Current Char Stats'!$V$4:$V$273,'Current Char Stats'!$A$4:$A$273,$A144,'Current Char Stats'!$B$4:$B$273,$B144))</f>
        <v/>
      </c>
      <c r="T144" s="18" t="str">
        <f ca="1">IF($A144="","",SUMIFS('Current Char Stats'!$W$4:$W$273,'Current Char Stats'!$A$4:$A$273,$A144,'Current Char Stats'!$B$4:$B$273,$B144))</f>
        <v/>
      </c>
      <c r="U144" s="18" t="str">
        <f ca="1">IF($A144="","",SUMIFS('Current Char Stats'!$X$4:$X$273,'Current Char Stats'!$A$4:$A$273,$A144,'Current Char Stats'!$B$4:$B$273,$B144))</f>
        <v/>
      </c>
      <c r="V144" s="18" t="str">
        <f ca="1">IF($A144="","",SUMIFS('Current Char Stats'!$Y$4:$Y$273,'Current Char Stats'!$A$4:$A$273,$A144,'Current Char Stats'!$B$4:$B$273,$B144))</f>
        <v/>
      </c>
      <c r="W144" s="18" t="str">
        <f ca="1">IF($A144="","",SUMIFS('Current Char Stats'!$Z$4:$Z$273,'Current Char Stats'!$A$4:$A$273,$A144,'Current Char Stats'!$B$4:$B$273,$B144))</f>
        <v/>
      </c>
      <c r="X144" s="18" t="str">
        <f ca="1">IF($A144="","",SUMIFS('Current Char Stats'!$AA$4:$AA$273,'Current Char Stats'!$A$4:$A$273,$A144,'Current Char Stats'!$B$4:$B$273,$B144))</f>
        <v/>
      </c>
      <c r="Y144" s="18" t="str">
        <f ca="1">IF($A144="","",SUMIFS('Current Char Stats'!$AB$4:$AB$273,'Current Char Stats'!$A$4:$A$273,$A144,'Current Char Stats'!$B$4:$B$273,$B144))</f>
        <v/>
      </c>
      <c r="Z144" s="18" t="str">
        <f ca="1">IF($A144="","",SUMIFS('Current Char Stats'!$AC$4:$AC$273,'Current Char Stats'!$A$4:$A$273,$A144,'Current Char Stats'!$B$4:$B$273,$B144))</f>
        <v/>
      </c>
      <c r="AA144" s="18" t="str" cm="1">
        <f t="array" aca="1" ref="AA144" ca="1">IF($A144="","",_xlfn.LET(_xlpm.rawIP,SUMPRODUCT(--(Data!$AL$4:$AL$183=$A144),--(Data!$AM$4:$AM$183=$B144),IFERROR(Data!$AN$4:$AN$183,0)),IF(_xlpm.rawIP=0,0,(S144+U144)/_xlpm.rawIP)))</f>
        <v/>
      </c>
      <c r="AB144" s="18" t="str">
        <f ca="1">IF($A144="","",SUMIFS('Current Char Stats'!$AE$4:$AE$273,'Current Char Stats'!$A$4:$A$273,$A144,'Current Char Stats'!$B$4:$B$273,$B144))</f>
        <v/>
      </c>
    </row>
    <row r="145" spans="1:28">
      <c r="A145" s="5" t="str">
        <f>Data!C68</f>
        <v/>
      </c>
      <c r="B145" s="5" t="str">
        <f>Data!D68</f>
        <v/>
      </c>
      <c r="C145" s="5">
        <f ca="1">SUMIFS(Data!$W$4:$W$273,Data!$T$4:$T$273,A145,Data!$U$4:$U$273,B145)</f>
        <v>0</v>
      </c>
      <c r="D145" s="5">
        <f ca="1">SUMIFS(Data!$Y$4:$Y$273,Data!$T$4:$T$273,A145,Data!$U$4:$U$273,B145)</f>
        <v>0</v>
      </c>
      <c r="E145" s="5">
        <f ca="1">IF(C145=0,0,D145/C145)</f>
        <v>0</v>
      </c>
      <c r="F145" s="5">
        <f ca="1">SUMIFS(Data!$AB$4:$AB$273,Data!$T$4:$T$273,A145,Data!$U$4:$U$273,B145)</f>
        <v>0</v>
      </c>
      <c r="G145" s="5">
        <f ca="1">SUMIFS(Data!$AC$4:$AC$273,Data!$T$4:$T$273,A145,Data!$U$4:$U$273,B145)</f>
        <v>0</v>
      </c>
      <c r="H145" s="5" t="str">
        <f ca="1">IF($A145="","",INT(SUMIFS(Data!$AN$4:$AN$183,Data!$AL$4:$AL$183,$A145,Data!$AM$4:$AM$183,$B145))+MOD(ROUND(SUMIFS(Data!$AN$4:$AN$183,Data!$AL$4:$AL$183,$A145,Data!$AM$4:$AM$183,$B145)*3,0),3)/10)</f>
        <v/>
      </c>
      <c r="I145" s="5">
        <f ca="1">SUMIFS(Data!$AQ$4:$AQ$183,Data!$AL$4:$AL$183,A145,Data!$AM$4:$AM$183,B145)</f>
        <v>0</v>
      </c>
      <c r="J145" s="5" t="str">
        <f ca="1">IF($A145="","",IF(SUMIFS(Data!$AN$4:$AN$183,Data!$AL$4:$AL$183,$A145,Data!$AM$4:$AM$183,$B145)=0,0,I145*3/SUMIFS(Data!$AN$4:$AN$183,Data!$AL$4:$AL$183,$A145,Data!$AM$4:$AM$183,$B145)))</f>
        <v/>
      </c>
      <c r="K145" s="18" t="str">
        <f ca="1">IF($A145="","",SUMIFS('Current Char Stats'!$N$4:$N$273,'Current Char Stats'!$A$4:$A$273,$A145,'Current Char Stats'!$B$4:$B$273,$B145))</f>
        <v/>
      </c>
      <c r="L145" s="18" t="str">
        <f ca="1">IF($A145="","",SUMIFS('Current Char Stats'!$O$4:$O$273,'Current Char Stats'!$A$4:$A$273,$A145,'Current Char Stats'!$B$4:$B$273,$B145))</f>
        <v/>
      </c>
      <c r="M145" s="18" t="str">
        <f ca="1">IF($A145="","",SUMIFS('Current Char Stats'!$P$4:$P$273,'Current Char Stats'!$A$4:$A$273,$A145,'Current Char Stats'!$B$4:$B$273,$B145))</f>
        <v/>
      </c>
      <c r="N145" s="18" t="str">
        <f ca="1">IF($A145="","",SUMIFS('Current Char Stats'!$Q$4:$Q$273,'Current Char Stats'!$A$4:$A$273,$A145,'Current Char Stats'!$B$4:$B$273,$B145))</f>
        <v/>
      </c>
      <c r="O145" s="18" t="str">
        <f ca="1">IF($A145="","",SUMIFS('Current Char Stats'!$R$4:$R$273,'Current Char Stats'!$A$4:$A$273,$A145,'Current Char Stats'!$B$4:$B$273,$B145))</f>
        <v/>
      </c>
      <c r="P145" s="18" t="str">
        <f ca="1">IF($A145="","",SUMIFS('Current Char Stats'!$S$4:$S$273,'Current Char Stats'!$A$4:$A$273,$A145,'Current Char Stats'!$B$4:$B$273,$B145))</f>
        <v/>
      </c>
      <c r="Q145" s="18" t="str">
        <f ca="1">IF($A145="","",SUMIFS('Current Char Stats'!$T$4:$T$273,'Current Char Stats'!$A$4:$A$273,$A145,'Current Char Stats'!$B$4:$B$273,$B145))</f>
        <v/>
      </c>
      <c r="R145" s="18" t="str">
        <f ca="1">IF($A145="","",SUMIFS('Current Char Stats'!$U$4:$U$273,'Current Char Stats'!$A$4:$A$273,$A145,'Current Char Stats'!$B$4:$B$273,$B145))</f>
        <v/>
      </c>
      <c r="S145" s="18" t="str">
        <f ca="1">IF($A145="","",SUMIFS('Current Char Stats'!$V$4:$V$273,'Current Char Stats'!$A$4:$A$273,$A145,'Current Char Stats'!$B$4:$B$273,$B145))</f>
        <v/>
      </c>
      <c r="T145" s="18" t="str">
        <f ca="1">IF($A145="","",SUMIFS('Current Char Stats'!$W$4:$W$273,'Current Char Stats'!$A$4:$A$273,$A145,'Current Char Stats'!$B$4:$B$273,$B145))</f>
        <v/>
      </c>
      <c r="U145" s="18" t="str">
        <f ca="1">IF($A145="","",SUMIFS('Current Char Stats'!$X$4:$X$273,'Current Char Stats'!$A$4:$A$273,$A145,'Current Char Stats'!$B$4:$B$273,$B145))</f>
        <v/>
      </c>
      <c r="V145" s="18" t="str">
        <f ca="1">IF($A145="","",SUMIFS('Current Char Stats'!$Y$4:$Y$273,'Current Char Stats'!$A$4:$A$273,$A145,'Current Char Stats'!$B$4:$B$273,$B145))</f>
        <v/>
      </c>
      <c r="W145" s="18" t="str">
        <f ca="1">IF($A145="","",SUMIFS('Current Char Stats'!$Z$4:$Z$273,'Current Char Stats'!$A$4:$A$273,$A145,'Current Char Stats'!$B$4:$B$273,$B145))</f>
        <v/>
      </c>
      <c r="X145" s="18" t="str">
        <f ca="1">IF($A145="","",SUMIFS('Current Char Stats'!$AA$4:$AA$273,'Current Char Stats'!$A$4:$A$273,$A145,'Current Char Stats'!$B$4:$B$273,$B145))</f>
        <v/>
      </c>
      <c r="Y145" s="18" t="str">
        <f ca="1">IF($A145="","",SUMIFS('Current Char Stats'!$AB$4:$AB$273,'Current Char Stats'!$A$4:$A$273,$A145,'Current Char Stats'!$B$4:$B$273,$B145))</f>
        <v/>
      </c>
      <c r="Z145" s="18" t="str">
        <f ca="1">IF($A145="","",SUMIFS('Current Char Stats'!$AC$4:$AC$273,'Current Char Stats'!$A$4:$A$273,$A145,'Current Char Stats'!$B$4:$B$273,$B145))</f>
        <v/>
      </c>
      <c r="AA145" s="18" t="str" cm="1">
        <f t="array" aca="1" ref="AA145" ca="1">IF($A145="","",_xlfn.LET(_xlpm.rawIP,SUMPRODUCT(--(Data!$AL$4:$AL$183=$A145),--(Data!$AM$4:$AM$183=$B145),IFERROR(Data!$AN$4:$AN$183,0)),IF(_xlpm.rawIP=0,0,(S145+U145)/_xlpm.rawIP)))</f>
        <v/>
      </c>
      <c r="AB145" s="18" t="str">
        <f ca="1">IF($A145="","",SUMIFS('Current Char Stats'!$AE$4:$AE$273,'Current Char Stats'!$A$4:$A$273,$A145,'Current Char Stats'!$B$4:$B$273,$B145))</f>
        <v/>
      </c>
    </row>
    <row r="146" spans="1:28">
      <c r="A146" s="5" t="str">
        <f>Data!C69</f>
        <v/>
      </c>
      <c r="B146" s="5" t="str">
        <f>Data!D69</f>
        <v/>
      </c>
      <c r="C146" s="5">
        <f ca="1">SUMIFS(Data!$W$4:$W$273,Data!$T$4:$T$273,A146,Data!$U$4:$U$273,B146)</f>
        <v>0</v>
      </c>
      <c r="D146" s="5">
        <f ca="1">SUMIFS(Data!$Y$4:$Y$273,Data!$T$4:$T$273,A146,Data!$U$4:$U$273,B146)</f>
        <v>0</v>
      </c>
      <c r="E146" s="5">
        <f ca="1">IF(C146=0,0,D146/C146)</f>
        <v>0</v>
      </c>
      <c r="F146" s="5">
        <f ca="1">SUMIFS(Data!$AB$4:$AB$273,Data!$T$4:$T$273,A146,Data!$U$4:$U$273,B146)</f>
        <v>0</v>
      </c>
      <c r="G146" s="5">
        <f ca="1">SUMIFS(Data!$AC$4:$AC$273,Data!$T$4:$T$273,A146,Data!$U$4:$U$273,B146)</f>
        <v>0</v>
      </c>
      <c r="H146" s="5" t="str">
        <f ca="1">IF($A146="","",INT(SUMIFS(Data!$AN$4:$AN$183,Data!$AL$4:$AL$183,$A146,Data!$AM$4:$AM$183,$B146))+MOD(ROUND(SUMIFS(Data!$AN$4:$AN$183,Data!$AL$4:$AL$183,$A146,Data!$AM$4:$AM$183,$B146)*3,0),3)/10)</f>
        <v/>
      </c>
      <c r="I146" s="5">
        <f ca="1">SUMIFS(Data!$AQ$4:$AQ$183,Data!$AL$4:$AL$183,A146,Data!$AM$4:$AM$183,B146)</f>
        <v>0</v>
      </c>
      <c r="J146" s="5" t="str">
        <f ca="1">IF($A146="","",IF(SUMIFS(Data!$AN$4:$AN$183,Data!$AL$4:$AL$183,$A146,Data!$AM$4:$AM$183,$B146)=0,0,I146*3/SUMIFS(Data!$AN$4:$AN$183,Data!$AL$4:$AL$183,$A146,Data!$AM$4:$AM$183,$B146)))</f>
        <v/>
      </c>
      <c r="K146" s="18" t="str">
        <f ca="1">IF($A146="","",SUMIFS('Current Char Stats'!$N$4:$N$273,'Current Char Stats'!$A$4:$A$273,$A146,'Current Char Stats'!$B$4:$B$273,$B146))</f>
        <v/>
      </c>
      <c r="L146" s="18" t="str">
        <f ca="1">IF($A146="","",SUMIFS('Current Char Stats'!$O$4:$O$273,'Current Char Stats'!$A$4:$A$273,$A146,'Current Char Stats'!$B$4:$B$273,$B146))</f>
        <v/>
      </c>
      <c r="M146" s="18" t="str">
        <f ca="1">IF($A146="","",SUMIFS('Current Char Stats'!$P$4:$P$273,'Current Char Stats'!$A$4:$A$273,$A146,'Current Char Stats'!$B$4:$B$273,$B146))</f>
        <v/>
      </c>
      <c r="N146" s="18" t="str">
        <f ca="1">IF($A146="","",SUMIFS('Current Char Stats'!$Q$4:$Q$273,'Current Char Stats'!$A$4:$A$273,$A146,'Current Char Stats'!$B$4:$B$273,$B146))</f>
        <v/>
      </c>
      <c r="O146" s="18" t="str">
        <f ca="1">IF($A146="","",SUMIFS('Current Char Stats'!$R$4:$R$273,'Current Char Stats'!$A$4:$A$273,$A146,'Current Char Stats'!$B$4:$B$273,$B146))</f>
        <v/>
      </c>
      <c r="P146" s="18" t="str">
        <f ca="1">IF($A146="","",SUMIFS('Current Char Stats'!$S$4:$S$273,'Current Char Stats'!$A$4:$A$273,$A146,'Current Char Stats'!$B$4:$B$273,$B146))</f>
        <v/>
      </c>
      <c r="Q146" s="18" t="str">
        <f ca="1">IF($A146="","",SUMIFS('Current Char Stats'!$T$4:$T$273,'Current Char Stats'!$A$4:$A$273,$A146,'Current Char Stats'!$B$4:$B$273,$B146))</f>
        <v/>
      </c>
      <c r="R146" s="18" t="str">
        <f ca="1">IF($A146="","",SUMIFS('Current Char Stats'!$U$4:$U$273,'Current Char Stats'!$A$4:$A$273,$A146,'Current Char Stats'!$B$4:$B$273,$B146))</f>
        <v/>
      </c>
      <c r="S146" s="18" t="str">
        <f ca="1">IF($A146="","",SUMIFS('Current Char Stats'!$V$4:$V$273,'Current Char Stats'!$A$4:$A$273,$A146,'Current Char Stats'!$B$4:$B$273,$B146))</f>
        <v/>
      </c>
      <c r="T146" s="18" t="str">
        <f ca="1">IF($A146="","",SUMIFS('Current Char Stats'!$W$4:$W$273,'Current Char Stats'!$A$4:$A$273,$A146,'Current Char Stats'!$B$4:$B$273,$B146))</f>
        <v/>
      </c>
      <c r="U146" s="18" t="str">
        <f ca="1">IF($A146="","",SUMIFS('Current Char Stats'!$X$4:$X$273,'Current Char Stats'!$A$4:$A$273,$A146,'Current Char Stats'!$B$4:$B$273,$B146))</f>
        <v/>
      </c>
      <c r="V146" s="18" t="str">
        <f ca="1">IF($A146="","",SUMIFS('Current Char Stats'!$Y$4:$Y$273,'Current Char Stats'!$A$4:$A$273,$A146,'Current Char Stats'!$B$4:$B$273,$B146))</f>
        <v/>
      </c>
      <c r="W146" s="18" t="str">
        <f ca="1">IF($A146="","",SUMIFS('Current Char Stats'!$Z$4:$Z$273,'Current Char Stats'!$A$4:$A$273,$A146,'Current Char Stats'!$B$4:$B$273,$B146))</f>
        <v/>
      </c>
      <c r="X146" s="18" t="str">
        <f ca="1">IF($A146="","",SUMIFS('Current Char Stats'!$AA$4:$AA$273,'Current Char Stats'!$A$4:$A$273,$A146,'Current Char Stats'!$B$4:$B$273,$B146))</f>
        <v/>
      </c>
      <c r="Y146" s="18" t="str">
        <f ca="1">IF($A146="","",SUMIFS('Current Char Stats'!$AB$4:$AB$273,'Current Char Stats'!$A$4:$A$273,$A146,'Current Char Stats'!$B$4:$B$273,$B146))</f>
        <v/>
      </c>
      <c r="Z146" s="18" t="str">
        <f ca="1">IF($A146="","",SUMIFS('Current Char Stats'!$AC$4:$AC$273,'Current Char Stats'!$A$4:$A$273,$A146,'Current Char Stats'!$B$4:$B$273,$B146))</f>
        <v/>
      </c>
      <c r="AA146" s="18" t="str" cm="1">
        <f t="array" aca="1" ref="AA146" ca="1">IF($A146="","",_xlfn.LET(_xlpm.rawIP,SUMPRODUCT(--(Data!$AL$4:$AL$183=$A146),--(Data!$AM$4:$AM$183=$B146),IFERROR(Data!$AN$4:$AN$183,0)),IF(_xlpm.rawIP=0,0,(S146+U146)/_xlpm.rawIP)))</f>
        <v/>
      </c>
      <c r="AB146" s="18" t="str">
        <f ca="1">IF($A146="","",SUMIFS('Current Char Stats'!$AE$4:$AE$273,'Current Char Stats'!$A$4:$A$273,$A146,'Current Char Stats'!$B$4:$B$273,$B146))</f>
        <v/>
      </c>
    </row>
    <row r="147" spans="1:28">
      <c r="A147" s="5" t="str">
        <f>Data!C70</f>
        <v/>
      </c>
      <c r="B147" s="5" t="str">
        <f>Data!D70</f>
        <v/>
      </c>
      <c r="C147" s="5">
        <f ca="1">SUMIFS(Data!$W$4:$W$273,Data!$T$4:$T$273,A147,Data!$U$4:$U$273,B147)</f>
        <v>0</v>
      </c>
      <c r="D147" s="5">
        <f ca="1">SUMIFS(Data!$Y$4:$Y$273,Data!$T$4:$T$273,A147,Data!$U$4:$U$273,B147)</f>
        <v>0</v>
      </c>
      <c r="E147" s="5">
        <f ca="1">IF(C147=0,0,D147/C147)</f>
        <v>0</v>
      </c>
      <c r="F147" s="5">
        <f ca="1">SUMIFS(Data!$AB$4:$AB$273,Data!$T$4:$T$273,A147,Data!$U$4:$U$273,B147)</f>
        <v>0</v>
      </c>
      <c r="G147" s="5">
        <f ca="1">SUMIFS(Data!$AC$4:$AC$273,Data!$T$4:$T$273,A147,Data!$U$4:$U$273,B147)</f>
        <v>0</v>
      </c>
      <c r="H147" s="5" t="str">
        <f ca="1">IF($A147="","",INT(SUMIFS(Data!$AN$4:$AN$183,Data!$AL$4:$AL$183,$A147,Data!$AM$4:$AM$183,$B147))+MOD(ROUND(SUMIFS(Data!$AN$4:$AN$183,Data!$AL$4:$AL$183,$A147,Data!$AM$4:$AM$183,$B147)*3,0),3)/10)</f>
        <v/>
      </c>
      <c r="I147" s="5">
        <f ca="1">SUMIFS(Data!$AQ$4:$AQ$183,Data!$AL$4:$AL$183,A147,Data!$AM$4:$AM$183,B147)</f>
        <v>0</v>
      </c>
      <c r="J147" s="5" t="str">
        <f ca="1">IF($A147="","",IF(SUMIFS(Data!$AN$4:$AN$183,Data!$AL$4:$AL$183,$A147,Data!$AM$4:$AM$183,$B147)=0,0,I147*3/SUMIFS(Data!$AN$4:$AN$183,Data!$AL$4:$AL$183,$A147,Data!$AM$4:$AM$183,$B147)))</f>
        <v/>
      </c>
      <c r="K147" s="18" t="str">
        <f ca="1">IF($A147="","",SUMIFS('Current Char Stats'!$N$4:$N$273,'Current Char Stats'!$A$4:$A$273,$A147,'Current Char Stats'!$B$4:$B$273,$B147))</f>
        <v/>
      </c>
      <c r="L147" s="18" t="str">
        <f ca="1">IF($A147="","",SUMIFS('Current Char Stats'!$O$4:$O$273,'Current Char Stats'!$A$4:$A$273,$A147,'Current Char Stats'!$B$4:$B$273,$B147))</f>
        <v/>
      </c>
      <c r="M147" s="18" t="str">
        <f ca="1">IF($A147="","",SUMIFS('Current Char Stats'!$P$4:$P$273,'Current Char Stats'!$A$4:$A$273,$A147,'Current Char Stats'!$B$4:$B$273,$B147))</f>
        <v/>
      </c>
      <c r="N147" s="18" t="str">
        <f ca="1">IF($A147="","",SUMIFS('Current Char Stats'!$Q$4:$Q$273,'Current Char Stats'!$A$4:$A$273,$A147,'Current Char Stats'!$B$4:$B$273,$B147))</f>
        <v/>
      </c>
      <c r="O147" s="18" t="str">
        <f ca="1">IF($A147="","",SUMIFS('Current Char Stats'!$R$4:$R$273,'Current Char Stats'!$A$4:$A$273,$A147,'Current Char Stats'!$B$4:$B$273,$B147))</f>
        <v/>
      </c>
      <c r="P147" s="18" t="str">
        <f ca="1">IF($A147="","",SUMIFS('Current Char Stats'!$S$4:$S$273,'Current Char Stats'!$A$4:$A$273,$A147,'Current Char Stats'!$B$4:$B$273,$B147))</f>
        <v/>
      </c>
      <c r="Q147" s="18" t="str">
        <f ca="1">IF($A147="","",SUMIFS('Current Char Stats'!$T$4:$T$273,'Current Char Stats'!$A$4:$A$273,$A147,'Current Char Stats'!$B$4:$B$273,$B147))</f>
        <v/>
      </c>
      <c r="R147" s="18" t="str">
        <f ca="1">IF($A147="","",SUMIFS('Current Char Stats'!$U$4:$U$273,'Current Char Stats'!$A$4:$A$273,$A147,'Current Char Stats'!$B$4:$B$273,$B147))</f>
        <v/>
      </c>
      <c r="S147" s="18" t="str">
        <f ca="1">IF($A147="","",SUMIFS('Current Char Stats'!$V$4:$V$273,'Current Char Stats'!$A$4:$A$273,$A147,'Current Char Stats'!$B$4:$B$273,$B147))</f>
        <v/>
      </c>
      <c r="T147" s="18" t="str">
        <f ca="1">IF($A147="","",SUMIFS('Current Char Stats'!$W$4:$W$273,'Current Char Stats'!$A$4:$A$273,$A147,'Current Char Stats'!$B$4:$B$273,$B147))</f>
        <v/>
      </c>
      <c r="U147" s="18" t="str">
        <f ca="1">IF($A147="","",SUMIFS('Current Char Stats'!$X$4:$X$273,'Current Char Stats'!$A$4:$A$273,$A147,'Current Char Stats'!$B$4:$B$273,$B147))</f>
        <v/>
      </c>
      <c r="V147" s="18" t="str">
        <f ca="1">IF($A147="","",SUMIFS('Current Char Stats'!$Y$4:$Y$273,'Current Char Stats'!$A$4:$A$273,$A147,'Current Char Stats'!$B$4:$B$273,$B147))</f>
        <v/>
      </c>
      <c r="W147" s="18" t="str">
        <f ca="1">IF($A147="","",SUMIFS('Current Char Stats'!$Z$4:$Z$273,'Current Char Stats'!$A$4:$A$273,$A147,'Current Char Stats'!$B$4:$B$273,$B147))</f>
        <v/>
      </c>
      <c r="X147" s="18" t="str">
        <f ca="1">IF($A147="","",SUMIFS('Current Char Stats'!$AA$4:$AA$273,'Current Char Stats'!$A$4:$A$273,$A147,'Current Char Stats'!$B$4:$B$273,$B147))</f>
        <v/>
      </c>
      <c r="Y147" s="18" t="str">
        <f ca="1">IF($A147="","",SUMIFS('Current Char Stats'!$AB$4:$AB$273,'Current Char Stats'!$A$4:$A$273,$A147,'Current Char Stats'!$B$4:$B$273,$B147))</f>
        <v/>
      </c>
      <c r="Z147" s="18" t="str">
        <f ca="1">IF($A147="","",SUMIFS('Current Char Stats'!$AC$4:$AC$273,'Current Char Stats'!$A$4:$A$273,$A147,'Current Char Stats'!$B$4:$B$273,$B147))</f>
        <v/>
      </c>
      <c r="AA147" s="18" t="str" cm="1">
        <f t="array" aca="1" ref="AA147" ca="1">IF($A147="","",_xlfn.LET(_xlpm.rawIP,SUMPRODUCT(--(Data!$AL$4:$AL$183=$A147),--(Data!$AM$4:$AM$183=$B147),IFERROR(Data!$AN$4:$AN$183,0)),IF(_xlpm.rawIP=0,0,(S147+U147)/_xlpm.rawIP)))</f>
        <v/>
      </c>
      <c r="AB147" s="18" t="str">
        <f ca="1">IF($A147="","",SUMIFS('Current Char Stats'!$AE$4:$AE$273,'Current Char Stats'!$A$4:$A$273,$A147,'Current Char Stats'!$B$4:$B$273,$B147))</f>
        <v/>
      </c>
    </row>
    <row r="148" spans="1:28">
      <c r="A148" s="5" t="str">
        <f>Data!C71</f>
        <v/>
      </c>
      <c r="B148" s="5" t="str">
        <f>Data!D71</f>
        <v/>
      </c>
      <c r="C148" s="5">
        <f ca="1">SUMIFS(Data!$W$4:$W$273,Data!$T$4:$T$273,A148,Data!$U$4:$U$273,B148)</f>
        <v>0</v>
      </c>
      <c r="D148" s="5">
        <f ca="1">SUMIFS(Data!$Y$4:$Y$273,Data!$T$4:$T$273,A148,Data!$U$4:$U$273,B148)</f>
        <v>0</v>
      </c>
      <c r="E148" s="5">
        <f ca="1">IF(C148=0,0,D148/C148)</f>
        <v>0</v>
      </c>
      <c r="F148" s="5">
        <f ca="1">SUMIFS(Data!$AB$4:$AB$273,Data!$T$4:$T$273,A148,Data!$U$4:$U$273,B148)</f>
        <v>0</v>
      </c>
      <c r="G148" s="5">
        <f ca="1">SUMIFS(Data!$AC$4:$AC$273,Data!$T$4:$T$273,A148,Data!$U$4:$U$273,B148)</f>
        <v>0</v>
      </c>
      <c r="H148" s="5" t="str">
        <f ca="1">IF($A148="","",INT(SUMIFS(Data!$AN$4:$AN$183,Data!$AL$4:$AL$183,$A148,Data!$AM$4:$AM$183,$B148))+MOD(ROUND(SUMIFS(Data!$AN$4:$AN$183,Data!$AL$4:$AL$183,$A148,Data!$AM$4:$AM$183,$B148)*3,0),3)/10)</f>
        <v/>
      </c>
      <c r="I148" s="5">
        <f ca="1">SUMIFS(Data!$AQ$4:$AQ$183,Data!$AL$4:$AL$183,A148,Data!$AM$4:$AM$183,B148)</f>
        <v>0</v>
      </c>
      <c r="J148" s="5" t="str">
        <f ca="1">IF($A148="","",IF(SUMIFS(Data!$AN$4:$AN$183,Data!$AL$4:$AL$183,$A148,Data!$AM$4:$AM$183,$B148)=0,0,I148*3/SUMIFS(Data!$AN$4:$AN$183,Data!$AL$4:$AL$183,$A148,Data!$AM$4:$AM$183,$B148)))</f>
        <v/>
      </c>
      <c r="K148" s="18" t="str">
        <f ca="1">IF($A148="","",SUMIFS('Current Char Stats'!$N$4:$N$273,'Current Char Stats'!$A$4:$A$273,$A148,'Current Char Stats'!$B$4:$B$273,$B148))</f>
        <v/>
      </c>
      <c r="L148" s="18" t="str">
        <f ca="1">IF($A148="","",SUMIFS('Current Char Stats'!$O$4:$O$273,'Current Char Stats'!$A$4:$A$273,$A148,'Current Char Stats'!$B$4:$B$273,$B148))</f>
        <v/>
      </c>
      <c r="M148" s="18" t="str">
        <f ca="1">IF($A148="","",SUMIFS('Current Char Stats'!$P$4:$P$273,'Current Char Stats'!$A$4:$A$273,$A148,'Current Char Stats'!$B$4:$B$273,$B148))</f>
        <v/>
      </c>
      <c r="N148" s="18" t="str">
        <f ca="1">IF($A148="","",SUMIFS('Current Char Stats'!$Q$4:$Q$273,'Current Char Stats'!$A$4:$A$273,$A148,'Current Char Stats'!$B$4:$B$273,$B148))</f>
        <v/>
      </c>
      <c r="O148" s="18" t="str">
        <f ca="1">IF($A148="","",SUMIFS('Current Char Stats'!$R$4:$R$273,'Current Char Stats'!$A$4:$A$273,$A148,'Current Char Stats'!$B$4:$B$273,$B148))</f>
        <v/>
      </c>
      <c r="P148" s="18" t="str">
        <f ca="1">IF($A148="","",SUMIFS('Current Char Stats'!$S$4:$S$273,'Current Char Stats'!$A$4:$A$273,$A148,'Current Char Stats'!$B$4:$B$273,$B148))</f>
        <v/>
      </c>
      <c r="Q148" s="18" t="str">
        <f ca="1">IF($A148="","",SUMIFS('Current Char Stats'!$T$4:$T$273,'Current Char Stats'!$A$4:$A$273,$A148,'Current Char Stats'!$B$4:$B$273,$B148))</f>
        <v/>
      </c>
      <c r="R148" s="18" t="str">
        <f ca="1">IF($A148="","",SUMIFS('Current Char Stats'!$U$4:$U$273,'Current Char Stats'!$A$4:$A$273,$A148,'Current Char Stats'!$B$4:$B$273,$B148))</f>
        <v/>
      </c>
      <c r="S148" s="18" t="str">
        <f ca="1">IF($A148="","",SUMIFS('Current Char Stats'!$V$4:$V$273,'Current Char Stats'!$A$4:$A$273,$A148,'Current Char Stats'!$B$4:$B$273,$B148))</f>
        <v/>
      </c>
      <c r="T148" s="18" t="str">
        <f ca="1">IF($A148="","",SUMIFS('Current Char Stats'!$W$4:$W$273,'Current Char Stats'!$A$4:$A$273,$A148,'Current Char Stats'!$B$4:$B$273,$B148))</f>
        <v/>
      </c>
      <c r="U148" s="18" t="str">
        <f ca="1">IF($A148="","",SUMIFS('Current Char Stats'!$X$4:$X$273,'Current Char Stats'!$A$4:$A$273,$A148,'Current Char Stats'!$B$4:$B$273,$B148))</f>
        <v/>
      </c>
      <c r="V148" s="18" t="str">
        <f ca="1">IF($A148="","",SUMIFS('Current Char Stats'!$Y$4:$Y$273,'Current Char Stats'!$A$4:$A$273,$A148,'Current Char Stats'!$B$4:$B$273,$B148))</f>
        <v/>
      </c>
      <c r="W148" s="18" t="str">
        <f ca="1">IF($A148="","",SUMIFS('Current Char Stats'!$Z$4:$Z$273,'Current Char Stats'!$A$4:$A$273,$A148,'Current Char Stats'!$B$4:$B$273,$B148))</f>
        <v/>
      </c>
      <c r="X148" s="18" t="str">
        <f ca="1">IF($A148="","",SUMIFS('Current Char Stats'!$AA$4:$AA$273,'Current Char Stats'!$A$4:$A$273,$A148,'Current Char Stats'!$B$4:$B$273,$B148))</f>
        <v/>
      </c>
      <c r="Y148" s="18" t="str">
        <f ca="1">IF($A148="","",SUMIFS('Current Char Stats'!$AB$4:$AB$273,'Current Char Stats'!$A$4:$A$273,$A148,'Current Char Stats'!$B$4:$B$273,$B148))</f>
        <v/>
      </c>
      <c r="Z148" s="18" t="str">
        <f ca="1">IF($A148="","",SUMIFS('Current Char Stats'!$AC$4:$AC$273,'Current Char Stats'!$A$4:$A$273,$A148,'Current Char Stats'!$B$4:$B$273,$B148))</f>
        <v/>
      </c>
      <c r="AA148" s="18" t="str" cm="1">
        <f t="array" aca="1" ref="AA148" ca="1">IF($A148="","",_xlfn.LET(_xlpm.rawIP,SUMPRODUCT(--(Data!$AL$4:$AL$183=$A148),--(Data!$AM$4:$AM$183=$B148),IFERROR(Data!$AN$4:$AN$183,0)),IF(_xlpm.rawIP=0,0,(S148+U148)/_xlpm.rawIP)))</f>
        <v/>
      </c>
      <c r="AB148" s="18" t="str">
        <f ca="1">IF($A148="","",SUMIFS('Current Char Stats'!$AE$4:$AE$273,'Current Char Stats'!$A$4:$A$273,$A148,'Current Char Stats'!$B$4:$B$273,$B148))</f>
        <v/>
      </c>
    </row>
    <row r="149" spans="1:28">
      <c r="A149" s="5" t="str">
        <f>Data!C72</f>
        <v/>
      </c>
      <c r="B149" s="5" t="str">
        <f>Data!D72</f>
        <v/>
      </c>
      <c r="C149" s="5">
        <f ca="1">SUMIFS(Data!$W$4:$W$273,Data!$T$4:$T$273,A149,Data!$U$4:$U$273,B149)</f>
        <v>0</v>
      </c>
      <c r="D149" s="5">
        <f ca="1">SUMIFS(Data!$Y$4:$Y$273,Data!$T$4:$T$273,A149,Data!$U$4:$U$273,B149)</f>
        <v>0</v>
      </c>
      <c r="E149" s="5">
        <f ca="1">IF(C149=0,0,D149/C149)</f>
        <v>0</v>
      </c>
      <c r="F149" s="5">
        <f ca="1">SUMIFS(Data!$AB$4:$AB$273,Data!$T$4:$T$273,A149,Data!$U$4:$U$273,B149)</f>
        <v>0</v>
      </c>
      <c r="G149" s="5">
        <f ca="1">SUMIFS(Data!$AC$4:$AC$273,Data!$T$4:$T$273,A149,Data!$U$4:$U$273,B149)</f>
        <v>0</v>
      </c>
      <c r="H149" s="5" t="str">
        <f ca="1">IF($A149="","",INT(SUMIFS(Data!$AN$4:$AN$183,Data!$AL$4:$AL$183,$A149,Data!$AM$4:$AM$183,$B149))+MOD(ROUND(SUMIFS(Data!$AN$4:$AN$183,Data!$AL$4:$AL$183,$A149,Data!$AM$4:$AM$183,$B149)*3,0),3)/10)</f>
        <v/>
      </c>
      <c r="I149" s="5">
        <f ca="1">SUMIFS(Data!$AQ$4:$AQ$183,Data!$AL$4:$AL$183,A149,Data!$AM$4:$AM$183,B149)</f>
        <v>0</v>
      </c>
      <c r="J149" s="5" t="str">
        <f ca="1">IF($A149="","",IF(SUMIFS(Data!$AN$4:$AN$183,Data!$AL$4:$AL$183,$A149,Data!$AM$4:$AM$183,$B149)=0,0,I149*3/SUMIFS(Data!$AN$4:$AN$183,Data!$AL$4:$AL$183,$A149,Data!$AM$4:$AM$183,$B149)))</f>
        <v/>
      </c>
      <c r="K149" s="18" t="str">
        <f ca="1">IF($A149="","",SUMIFS('Current Char Stats'!$N$4:$N$273,'Current Char Stats'!$A$4:$A$273,$A149,'Current Char Stats'!$B$4:$B$273,$B149))</f>
        <v/>
      </c>
      <c r="L149" s="18" t="str">
        <f ca="1">IF($A149="","",SUMIFS('Current Char Stats'!$O$4:$O$273,'Current Char Stats'!$A$4:$A$273,$A149,'Current Char Stats'!$B$4:$B$273,$B149))</f>
        <v/>
      </c>
      <c r="M149" s="18" t="str">
        <f ca="1">IF($A149="","",SUMIFS('Current Char Stats'!$P$4:$P$273,'Current Char Stats'!$A$4:$A$273,$A149,'Current Char Stats'!$B$4:$B$273,$B149))</f>
        <v/>
      </c>
      <c r="N149" s="18" t="str">
        <f ca="1">IF($A149="","",SUMIFS('Current Char Stats'!$Q$4:$Q$273,'Current Char Stats'!$A$4:$A$273,$A149,'Current Char Stats'!$B$4:$B$273,$B149))</f>
        <v/>
      </c>
      <c r="O149" s="18" t="str">
        <f ca="1">IF($A149="","",SUMIFS('Current Char Stats'!$R$4:$R$273,'Current Char Stats'!$A$4:$A$273,$A149,'Current Char Stats'!$B$4:$B$273,$B149))</f>
        <v/>
      </c>
      <c r="P149" s="18" t="str">
        <f ca="1">IF($A149="","",SUMIFS('Current Char Stats'!$S$4:$S$273,'Current Char Stats'!$A$4:$A$273,$A149,'Current Char Stats'!$B$4:$B$273,$B149))</f>
        <v/>
      </c>
      <c r="Q149" s="18" t="str">
        <f ca="1">IF($A149="","",SUMIFS('Current Char Stats'!$T$4:$T$273,'Current Char Stats'!$A$4:$A$273,$A149,'Current Char Stats'!$B$4:$B$273,$B149))</f>
        <v/>
      </c>
      <c r="R149" s="18" t="str">
        <f ca="1">IF($A149="","",SUMIFS('Current Char Stats'!$U$4:$U$273,'Current Char Stats'!$A$4:$A$273,$A149,'Current Char Stats'!$B$4:$B$273,$B149))</f>
        <v/>
      </c>
      <c r="S149" s="18" t="str">
        <f ca="1">IF($A149="","",SUMIFS('Current Char Stats'!$V$4:$V$273,'Current Char Stats'!$A$4:$A$273,$A149,'Current Char Stats'!$B$4:$B$273,$B149))</f>
        <v/>
      </c>
      <c r="T149" s="18" t="str">
        <f ca="1">IF($A149="","",SUMIFS('Current Char Stats'!$W$4:$W$273,'Current Char Stats'!$A$4:$A$273,$A149,'Current Char Stats'!$B$4:$B$273,$B149))</f>
        <v/>
      </c>
      <c r="U149" s="18" t="str">
        <f ca="1">IF($A149="","",SUMIFS('Current Char Stats'!$X$4:$X$273,'Current Char Stats'!$A$4:$A$273,$A149,'Current Char Stats'!$B$4:$B$273,$B149))</f>
        <v/>
      </c>
      <c r="V149" s="18" t="str">
        <f ca="1">IF($A149="","",SUMIFS('Current Char Stats'!$Y$4:$Y$273,'Current Char Stats'!$A$4:$A$273,$A149,'Current Char Stats'!$B$4:$B$273,$B149))</f>
        <v/>
      </c>
      <c r="W149" s="18" t="str">
        <f ca="1">IF($A149="","",SUMIFS('Current Char Stats'!$Z$4:$Z$273,'Current Char Stats'!$A$4:$A$273,$A149,'Current Char Stats'!$B$4:$B$273,$B149))</f>
        <v/>
      </c>
      <c r="X149" s="18" t="str">
        <f ca="1">IF($A149="","",SUMIFS('Current Char Stats'!$AA$4:$AA$273,'Current Char Stats'!$A$4:$A$273,$A149,'Current Char Stats'!$B$4:$B$273,$B149))</f>
        <v/>
      </c>
      <c r="Y149" s="18" t="str">
        <f ca="1">IF($A149="","",SUMIFS('Current Char Stats'!$AB$4:$AB$273,'Current Char Stats'!$A$4:$A$273,$A149,'Current Char Stats'!$B$4:$B$273,$B149))</f>
        <v/>
      </c>
      <c r="Z149" s="18" t="str">
        <f ca="1">IF($A149="","",SUMIFS('Current Char Stats'!$AC$4:$AC$273,'Current Char Stats'!$A$4:$A$273,$A149,'Current Char Stats'!$B$4:$B$273,$B149))</f>
        <v/>
      </c>
      <c r="AA149" s="18" t="str" cm="1">
        <f t="array" aca="1" ref="AA149" ca="1">IF($A149="","",_xlfn.LET(_xlpm.rawIP,SUMPRODUCT(--(Data!$AL$4:$AL$183=$A149),--(Data!$AM$4:$AM$183=$B149),IFERROR(Data!$AN$4:$AN$183,0)),IF(_xlpm.rawIP=0,0,(S149+U149)/_xlpm.rawIP)))</f>
        <v/>
      </c>
      <c r="AB149" s="18" t="str">
        <f ca="1">IF($A149="","",SUMIFS('Current Char Stats'!$AE$4:$AE$273,'Current Char Stats'!$A$4:$A$273,$A149,'Current Char Stats'!$B$4:$B$273,$B149))</f>
        <v/>
      </c>
    </row>
    <row r="150" spans="1:28">
      <c r="A150" s="5" t="str">
        <f>Data!C73</f>
        <v/>
      </c>
      <c r="B150" s="5" t="str">
        <f>Data!D73</f>
        <v/>
      </c>
      <c r="C150" s="5">
        <f ca="1">SUMIFS(Data!$W$4:$W$273,Data!$T$4:$T$273,A150,Data!$U$4:$U$273,B150)</f>
        <v>0</v>
      </c>
      <c r="D150" s="5">
        <f ca="1">SUMIFS(Data!$Y$4:$Y$273,Data!$T$4:$T$273,A150,Data!$U$4:$U$273,B150)</f>
        <v>0</v>
      </c>
      <c r="E150" s="5">
        <f ca="1">IF(C150=0,0,D150/C150)</f>
        <v>0</v>
      </c>
      <c r="F150" s="5">
        <f ca="1">SUMIFS(Data!$AB$4:$AB$273,Data!$T$4:$T$273,A150,Data!$U$4:$U$273,B150)</f>
        <v>0</v>
      </c>
      <c r="G150" s="5">
        <f ca="1">SUMIFS(Data!$AC$4:$AC$273,Data!$T$4:$T$273,A150,Data!$U$4:$U$273,B150)</f>
        <v>0</v>
      </c>
      <c r="H150" s="5" t="str">
        <f ca="1">IF($A150="","",INT(SUMIFS(Data!$AN$4:$AN$183,Data!$AL$4:$AL$183,$A150,Data!$AM$4:$AM$183,$B150))+MOD(ROUND(SUMIFS(Data!$AN$4:$AN$183,Data!$AL$4:$AL$183,$A150,Data!$AM$4:$AM$183,$B150)*3,0),3)/10)</f>
        <v/>
      </c>
      <c r="I150" s="5">
        <f ca="1">SUMIFS(Data!$AQ$4:$AQ$183,Data!$AL$4:$AL$183,A150,Data!$AM$4:$AM$183,B150)</f>
        <v>0</v>
      </c>
      <c r="J150" s="5" t="str">
        <f ca="1">IF($A150="","",IF(SUMIFS(Data!$AN$4:$AN$183,Data!$AL$4:$AL$183,$A150,Data!$AM$4:$AM$183,$B150)=0,0,I150*3/SUMIFS(Data!$AN$4:$AN$183,Data!$AL$4:$AL$183,$A150,Data!$AM$4:$AM$183,$B150)))</f>
        <v/>
      </c>
      <c r="K150" s="18" t="str">
        <f ca="1">IF($A150="","",SUMIFS('Current Char Stats'!$N$4:$N$273,'Current Char Stats'!$A$4:$A$273,$A150,'Current Char Stats'!$B$4:$B$273,$B150))</f>
        <v/>
      </c>
      <c r="L150" s="18" t="str">
        <f ca="1">IF($A150="","",SUMIFS('Current Char Stats'!$O$4:$O$273,'Current Char Stats'!$A$4:$A$273,$A150,'Current Char Stats'!$B$4:$B$273,$B150))</f>
        <v/>
      </c>
      <c r="M150" s="18" t="str">
        <f ca="1">IF($A150="","",SUMIFS('Current Char Stats'!$P$4:$P$273,'Current Char Stats'!$A$4:$A$273,$A150,'Current Char Stats'!$B$4:$B$273,$B150))</f>
        <v/>
      </c>
      <c r="N150" s="18" t="str">
        <f ca="1">IF($A150="","",SUMIFS('Current Char Stats'!$Q$4:$Q$273,'Current Char Stats'!$A$4:$A$273,$A150,'Current Char Stats'!$B$4:$B$273,$B150))</f>
        <v/>
      </c>
      <c r="O150" s="18" t="str">
        <f ca="1">IF($A150="","",SUMIFS('Current Char Stats'!$R$4:$R$273,'Current Char Stats'!$A$4:$A$273,$A150,'Current Char Stats'!$B$4:$B$273,$B150))</f>
        <v/>
      </c>
      <c r="P150" s="18" t="str">
        <f ca="1">IF($A150="","",SUMIFS('Current Char Stats'!$S$4:$S$273,'Current Char Stats'!$A$4:$A$273,$A150,'Current Char Stats'!$B$4:$B$273,$B150))</f>
        <v/>
      </c>
      <c r="Q150" s="18" t="str">
        <f ca="1">IF($A150="","",SUMIFS('Current Char Stats'!$T$4:$T$273,'Current Char Stats'!$A$4:$A$273,$A150,'Current Char Stats'!$B$4:$B$273,$B150))</f>
        <v/>
      </c>
      <c r="R150" s="18" t="str">
        <f ca="1">IF($A150="","",SUMIFS('Current Char Stats'!$U$4:$U$273,'Current Char Stats'!$A$4:$A$273,$A150,'Current Char Stats'!$B$4:$B$273,$B150))</f>
        <v/>
      </c>
      <c r="S150" s="18" t="str">
        <f ca="1">IF($A150="","",SUMIFS('Current Char Stats'!$V$4:$V$273,'Current Char Stats'!$A$4:$A$273,$A150,'Current Char Stats'!$B$4:$B$273,$B150))</f>
        <v/>
      </c>
      <c r="T150" s="18" t="str">
        <f ca="1">IF($A150="","",SUMIFS('Current Char Stats'!$W$4:$W$273,'Current Char Stats'!$A$4:$A$273,$A150,'Current Char Stats'!$B$4:$B$273,$B150))</f>
        <v/>
      </c>
      <c r="U150" s="18" t="str">
        <f ca="1">IF($A150="","",SUMIFS('Current Char Stats'!$X$4:$X$273,'Current Char Stats'!$A$4:$A$273,$A150,'Current Char Stats'!$B$4:$B$273,$B150))</f>
        <v/>
      </c>
      <c r="V150" s="18" t="str">
        <f ca="1">IF($A150="","",SUMIFS('Current Char Stats'!$Y$4:$Y$273,'Current Char Stats'!$A$4:$A$273,$A150,'Current Char Stats'!$B$4:$B$273,$B150))</f>
        <v/>
      </c>
      <c r="W150" s="18" t="str">
        <f ca="1">IF($A150="","",SUMIFS('Current Char Stats'!$Z$4:$Z$273,'Current Char Stats'!$A$4:$A$273,$A150,'Current Char Stats'!$B$4:$B$273,$B150))</f>
        <v/>
      </c>
      <c r="X150" s="18" t="str">
        <f ca="1">IF($A150="","",SUMIFS('Current Char Stats'!$AA$4:$AA$273,'Current Char Stats'!$A$4:$A$273,$A150,'Current Char Stats'!$B$4:$B$273,$B150))</f>
        <v/>
      </c>
      <c r="Y150" s="18" t="str">
        <f ca="1">IF($A150="","",SUMIFS('Current Char Stats'!$AB$4:$AB$273,'Current Char Stats'!$A$4:$A$273,$A150,'Current Char Stats'!$B$4:$B$273,$B150))</f>
        <v/>
      </c>
      <c r="Z150" s="18" t="str">
        <f ca="1">IF($A150="","",SUMIFS('Current Char Stats'!$AC$4:$AC$273,'Current Char Stats'!$A$4:$A$273,$A150,'Current Char Stats'!$B$4:$B$273,$B150))</f>
        <v/>
      </c>
      <c r="AA150" s="18" t="str" cm="1">
        <f t="array" aca="1" ref="AA150" ca="1">IF($A150="","",_xlfn.LET(_xlpm.rawIP,SUMPRODUCT(--(Data!$AL$4:$AL$183=$A150),--(Data!$AM$4:$AM$183=$B150),IFERROR(Data!$AN$4:$AN$183,0)),IF(_xlpm.rawIP=0,0,(S150+U150)/_xlpm.rawIP)))</f>
        <v/>
      </c>
      <c r="AB150" s="18" t="str">
        <f ca="1">IF($A150="","",SUMIFS('Current Char Stats'!$AE$4:$AE$273,'Current Char Stats'!$A$4:$A$273,$A150,'Current Char Stats'!$B$4:$B$273,$B150))</f>
        <v/>
      </c>
    </row>
    <row r="151" spans="1:28">
      <c r="A151" s="5" t="str">
        <f>Data!C74</f>
        <v/>
      </c>
      <c r="B151" s="5" t="str">
        <f>Data!D74</f>
        <v/>
      </c>
      <c r="C151" s="5">
        <f ca="1">SUMIFS(Data!$W$4:$W$273,Data!$T$4:$T$273,A151,Data!$U$4:$U$273,B151)</f>
        <v>0</v>
      </c>
      <c r="D151" s="5">
        <f ca="1">SUMIFS(Data!$Y$4:$Y$273,Data!$T$4:$T$273,A151,Data!$U$4:$U$273,B151)</f>
        <v>0</v>
      </c>
      <c r="E151" s="5">
        <f ca="1">IF(C151=0,0,D151/C151)</f>
        <v>0</v>
      </c>
      <c r="F151" s="5">
        <f ca="1">SUMIFS(Data!$AB$4:$AB$273,Data!$T$4:$T$273,A151,Data!$U$4:$U$273,B151)</f>
        <v>0</v>
      </c>
      <c r="G151" s="5">
        <f ca="1">SUMIFS(Data!$AC$4:$AC$273,Data!$T$4:$T$273,A151,Data!$U$4:$U$273,B151)</f>
        <v>0</v>
      </c>
      <c r="H151" s="5" t="str">
        <f ca="1">IF($A151="","",INT(SUMIFS(Data!$AN$4:$AN$183,Data!$AL$4:$AL$183,$A151,Data!$AM$4:$AM$183,$B151))+MOD(ROUND(SUMIFS(Data!$AN$4:$AN$183,Data!$AL$4:$AL$183,$A151,Data!$AM$4:$AM$183,$B151)*3,0),3)/10)</f>
        <v/>
      </c>
      <c r="I151" s="5">
        <f ca="1">SUMIFS(Data!$AQ$4:$AQ$183,Data!$AL$4:$AL$183,A151,Data!$AM$4:$AM$183,B151)</f>
        <v>0</v>
      </c>
      <c r="J151" s="5" t="str">
        <f ca="1">IF($A151="","",IF(SUMIFS(Data!$AN$4:$AN$183,Data!$AL$4:$AL$183,$A151,Data!$AM$4:$AM$183,$B151)=0,0,I151*3/SUMIFS(Data!$AN$4:$AN$183,Data!$AL$4:$AL$183,$A151,Data!$AM$4:$AM$183,$B151)))</f>
        <v/>
      </c>
      <c r="K151" s="18" t="str">
        <f ca="1">IF($A151="","",SUMIFS('Current Char Stats'!$N$4:$N$273,'Current Char Stats'!$A$4:$A$273,$A151,'Current Char Stats'!$B$4:$B$273,$B151))</f>
        <v/>
      </c>
      <c r="L151" s="18" t="str">
        <f ca="1">IF($A151="","",SUMIFS('Current Char Stats'!$O$4:$O$273,'Current Char Stats'!$A$4:$A$273,$A151,'Current Char Stats'!$B$4:$B$273,$B151))</f>
        <v/>
      </c>
      <c r="M151" s="18" t="str">
        <f ca="1">IF($A151="","",SUMIFS('Current Char Stats'!$P$4:$P$273,'Current Char Stats'!$A$4:$A$273,$A151,'Current Char Stats'!$B$4:$B$273,$B151))</f>
        <v/>
      </c>
      <c r="N151" s="18" t="str">
        <f ca="1">IF($A151="","",SUMIFS('Current Char Stats'!$Q$4:$Q$273,'Current Char Stats'!$A$4:$A$273,$A151,'Current Char Stats'!$B$4:$B$273,$B151))</f>
        <v/>
      </c>
      <c r="O151" s="18" t="str">
        <f ca="1">IF($A151="","",SUMIFS('Current Char Stats'!$R$4:$R$273,'Current Char Stats'!$A$4:$A$273,$A151,'Current Char Stats'!$B$4:$B$273,$B151))</f>
        <v/>
      </c>
      <c r="P151" s="18" t="str">
        <f ca="1">IF($A151="","",SUMIFS('Current Char Stats'!$S$4:$S$273,'Current Char Stats'!$A$4:$A$273,$A151,'Current Char Stats'!$B$4:$B$273,$B151))</f>
        <v/>
      </c>
      <c r="Q151" s="18" t="str">
        <f ca="1">IF($A151="","",SUMIFS('Current Char Stats'!$T$4:$T$273,'Current Char Stats'!$A$4:$A$273,$A151,'Current Char Stats'!$B$4:$B$273,$B151))</f>
        <v/>
      </c>
      <c r="R151" s="18" t="str">
        <f ca="1">IF($A151="","",SUMIFS('Current Char Stats'!$U$4:$U$273,'Current Char Stats'!$A$4:$A$273,$A151,'Current Char Stats'!$B$4:$B$273,$B151))</f>
        <v/>
      </c>
      <c r="S151" s="18" t="str">
        <f ca="1">IF($A151="","",SUMIFS('Current Char Stats'!$V$4:$V$273,'Current Char Stats'!$A$4:$A$273,$A151,'Current Char Stats'!$B$4:$B$273,$B151))</f>
        <v/>
      </c>
      <c r="T151" s="18" t="str">
        <f ca="1">IF($A151="","",SUMIFS('Current Char Stats'!$W$4:$W$273,'Current Char Stats'!$A$4:$A$273,$A151,'Current Char Stats'!$B$4:$B$273,$B151))</f>
        <v/>
      </c>
      <c r="U151" s="18" t="str">
        <f ca="1">IF($A151="","",SUMIFS('Current Char Stats'!$X$4:$X$273,'Current Char Stats'!$A$4:$A$273,$A151,'Current Char Stats'!$B$4:$B$273,$B151))</f>
        <v/>
      </c>
      <c r="V151" s="18" t="str">
        <f ca="1">IF($A151="","",SUMIFS('Current Char Stats'!$Y$4:$Y$273,'Current Char Stats'!$A$4:$A$273,$A151,'Current Char Stats'!$B$4:$B$273,$B151))</f>
        <v/>
      </c>
      <c r="W151" s="18" t="str">
        <f ca="1">IF($A151="","",SUMIFS('Current Char Stats'!$Z$4:$Z$273,'Current Char Stats'!$A$4:$A$273,$A151,'Current Char Stats'!$B$4:$B$273,$B151))</f>
        <v/>
      </c>
      <c r="X151" s="18" t="str">
        <f ca="1">IF($A151="","",SUMIFS('Current Char Stats'!$AA$4:$AA$273,'Current Char Stats'!$A$4:$A$273,$A151,'Current Char Stats'!$B$4:$B$273,$B151))</f>
        <v/>
      </c>
      <c r="Y151" s="18" t="str">
        <f ca="1">IF($A151="","",SUMIFS('Current Char Stats'!$AB$4:$AB$273,'Current Char Stats'!$A$4:$A$273,$A151,'Current Char Stats'!$B$4:$B$273,$B151))</f>
        <v/>
      </c>
      <c r="Z151" s="18" t="str">
        <f ca="1">IF($A151="","",SUMIFS('Current Char Stats'!$AC$4:$AC$273,'Current Char Stats'!$A$4:$A$273,$A151,'Current Char Stats'!$B$4:$B$273,$B151))</f>
        <v/>
      </c>
      <c r="AA151" s="18" t="str" cm="1">
        <f t="array" aca="1" ref="AA151" ca="1">IF($A151="","",_xlfn.LET(_xlpm.rawIP,SUMPRODUCT(--(Data!$AL$4:$AL$183=$A151),--(Data!$AM$4:$AM$183=$B151),IFERROR(Data!$AN$4:$AN$183,0)),IF(_xlpm.rawIP=0,0,(S151+U151)/_xlpm.rawIP)))</f>
        <v/>
      </c>
      <c r="AB151" s="18" t="str">
        <f ca="1">IF($A151="","",SUMIFS('Current Char Stats'!$AE$4:$AE$273,'Current Char Stats'!$A$4:$A$273,$A151,'Current Char Stats'!$B$4:$B$273,$B151))</f>
        <v/>
      </c>
    </row>
    <row r="152" spans="1:28">
      <c r="A152" s="5" t="str">
        <f>Data!C75</f>
        <v/>
      </c>
      <c r="B152" s="5" t="str">
        <f>Data!D75</f>
        <v/>
      </c>
      <c r="C152" s="5">
        <f ca="1">SUMIFS(Data!$W$4:$W$273,Data!$T$4:$T$273,A152,Data!$U$4:$U$273,B152)</f>
        <v>0</v>
      </c>
      <c r="D152" s="5">
        <f ca="1">SUMIFS(Data!$Y$4:$Y$273,Data!$T$4:$T$273,A152,Data!$U$4:$U$273,B152)</f>
        <v>0</v>
      </c>
      <c r="E152" s="5">
        <f ca="1">IF(C152=0,0,D152/C152)</f>
        <v>0</v>
      </c>
      <c r="F152" s="5">
        <f ca="1">SUMIFS(Data!$AB$4:$AB$273,Data!$T$4:$T$273,A152,Data!$U$4:$U$273,B152)</f>
        <v>0</v>
      </c>
      <c r="G152" s="5">
        <f ca="1">SUMIFS(Data!$AC$4:$AC$273,Data!$T$4:$T$273,A152,Data!$U$4:$U$273,B152)</f>
        <v>0</v>
      </c>
      <c r="H152" s="5" t="str">
        <f ca="1">IF($A152="","",INT(SUMIFS(Data!$AN$4:$AN$183,Data!$AL$4:$AL$183,$A152,Data!$AM$4:$AM$183,$B152))+MOD(ROUND(SUMIFS(Data!$AN$4:$AN$183,Data!$AL$4:$AL$183,$A152,Data!$AM$4:$AM$183,$B152)*3,0),3)/10)</f>
        <v/>
      </c>
      <c r="I152" s="5">
        <f ca="1">SUMIFS(Data!$AQ$4:$AQ$183,Data!$AL$4:$AL$183,A152,Data!$AM$4:$AM$183,B152)</f>
        <v>0</v>
      </c>
      <c r="J152" s="5" t="str">
        <f ca="1">IF($A152="","",IF(SUMIFS(Data!$AN$4:$AN$183,Data!$AL$4:$AL$183,$A152,Data!$AM$4:$AM$183,$B152)=0,0,I152*3/SUMIFS(Data!$AN$4:$AN$183,Data!$AL$4:$AL$183,$A152,Data!$AM$4:$AM$183,$B152)))</f>
        <v/>
      </c>
      <c r="K152" s="18" t="str">
        <f ca="1">IF($A152="","",SUMIFS('Current Char Stats'!$N$4:$N$273,'Current Char Stats'!$A$4:$A$273,$A152,'Current Char Stats'!$B$4:$B$273,$B152))</f>
        <v/>
      </c>
      <c r="L152" s="18" t="str">
        <f ca="1">IF($A152="","",SUMIFS('Current Char Stats'!$O$4:$O$273,'Current Char Stats'!$A$4:$A$273,$A152,'Current Char Stats'!$B$4:$B$273,$B152))</f>
        <v/>
      </c>
      <c r="M152" s="18" t="str">
        <f ca="1">IF($A152="","",SUMIFS('Current Char Stats'!$P$4:$P$273,'Current Char Stats'!$A$4:$A$273,$A152,'Current Char Stats'!$B$4:$B$273,$B152))</f>
        <v/>
      </c>
      <c r="N152" s="18" t="str">
        <f ca="1">IF($A152="","",SUMIFS('Current Char Stats'!$Q$4:$Q$273,'Current Char Stats'!$A$4:$A$273,$A152,'Current Char Stats'!$B$4:$B$273,$B152))</f>
        <v/>
      </c>
      <c r="O152" s="18" t="str">
        <f ca="1">IF($A152="","",SUMIFS('Current Char Stats'!$R$4:$R$273,'Current Char Stats'!$A$4:$A$273,$A152,'Current Char Stats'!$B$4:$B$273,$B152))</f>
        <v/>
      </c>
      <c r="P152" s="18" t="str">
        <f ca="1">IF($A152="","",SUMIFS('Current Char Stats'!$S$4:$S$273,'Current Char Stats'!$A$4:$A$273,$A152,'Current Char Stats'!$B$4:$B$273,$B152))</f>
        <v/>
      </c>
      <c r="Q152" s="18" t="str">
        <f ca="1">IF($A152="","",SUMIFS('Current Char Stats'!$T$4:$T$273,'Current Char Stats'!$A$4:$A$273,$A152,'Current Char Stats'!$B$4:$B$273,$B152))</f>
        <v/>
      </c>
      <c r="R152" s="18" t="str">
        <f ca="1">IF($A152="","",SUMIFS('Current Char Stats'!$U$4:$U$273,'Current Char Stats'!$A$4:$A$273,$A152,'Current Char Stats'!$B$4:$B$273,$B152))</f>
        <v/>
      </c>
      <c r="S152" s="18" t="str">
        <f ca="1">IF($A152="","",SUMIFS('Current Char Stats'!$V$4:$V$273,'Current Char Stats'!$A$4:$A$273,$A152,'Current Char Stats'!$B$4:$B$273,$B152))</f>
        <v/>
      </c>
      <c r="T152" s="18" t="str">
        <f ca="1">IF($A152="","",SUMIFS('Current Char Stats'!$W$4:$W$273,'Current Char Stats'!$A$4:$A$273,$A152,'Current Char Stats'!$B$4:$B$273,$B152))</f>
        <v/>
      </c>
      <c r="U152" s="18" t="str">
        <f ca="1">IF($A152="","",SUMIFS('Current Char Stats'!$X$4:$X$273,'Current Char Stats'!$A$4:$A$273,$A152,'Current Char Stats'!$B$4:$B$273,$B152))</f>
        <v/>
      </c>
      <c r="V152" s="18" t="str">
        <f ca="1">IF($A152="","",SUMIFS('Current Char Stats'!$Y$4:$Y$273,'Current Char Stats'!$A$4:$A$273,$A152,'Current Char Stats'!$B$4:$B$273,$B152))</f>
        <v/>
      </c>
      <c r="W152" s="18" t="str">
        <f ca="1">IF($A152="","",SUMIFS('Current Char Stats'!$Z$4:$Z$273,'Current Char Stats'!$A$4:$A$273,$A152,'Current Char Stats'!$B$4:$B$273,$B152))</f>
        <v/>
      </c>
      <c r="X152" s="18" t="str">
        <f ca="1">IF($A152="","",SUMIFS('Current Char Stats'!$AA$4:$AA$273,'Current Char Stats'!$A$4:$A$273,$A152,'Current Char Stats'!$B$4:$B$273,$B152))</f>
        <v/>
      </c>
      <c r="Y152" s="18" t="str">
        <f ca="1">IF($A152="","",SUMIFS('Current Char Stats'!$AB$4:$AB$273,'Current Char Stats'!$A$4:$A$273,$A152,'Current Char Stats'!$B$4:$B$273,$B152))</f>
        <v/>
      </c>
      <c r="Z152" s="18" t="str">
        <f ca="1">IF($A152="","",SUMIFS('Current Char Stats'!$AC$4:$AC$273,'Current Char Stats'!$A$4:$A$273,$A152,'Current Char Stats'!$B$4:$B$273,$B152))</f>
        <v/>
      </c>
      <c r="AA152" s="18" t="str" cm="1">
        <f t="array" aca="1" ref="AA152" ca="1">IF($A152="","",_xlfn.LET(_xlpm.rawIP,SUMPRODUCT(--(Data!$AL$4:$AL$183=$A152),--(Data!$AM$4:$AM$183=$B152),IFERROR(Data!$AN$4:$AN$183,0)),IF(_xlpm.rawIP=0,0,(S152+U152)/_xlpm.rawIP)))</f>
        <v/>
      </c>
      <c r="AB152" s="18" t="str">
        <f ca="1">IF($A152="","",SUMIFS('Current Char Stats'!$AE$4:$AE$273,'Current Char Stats'!$A$4:$A$273,$A152,'Current Char Stats'!$B$4:$B$273,$B152))</f>
        <v/>
      </c>
    </row>
  </sheetData>
  <mergeCells count="1">
    <mergeCell ref="A1:P1"/>
  </mergeCells>
  <conditionalFormatting sqref="A1:R152">
    <cfRule type="expression" dxfId="7" priority="1">
      <formula>COUNTIFS(ActivePlayers,A1,ActiveColors,"Blue")&gt;0</formula>
    </cfRule>
  </conditionalFormatting>
  <conditionalFormatting sqref="A1:R152">
    <cfRule type="expression" dxfId="6" priority="2">
      <formula>COUNTIFS(ActivePlayers,A1,ActiveColors,"Orange")&gt;0</formula>
    </cfRule>
  </conditionalFormatting>
  <conditionalFormatting sqref="A1:R152">
    <cfRule type="expression" dxfId="5" priority="3">
      <formula>COUNTIFS(ActivePlayers,A1,ActiveColors,"Green")&gt;0</formula>
    </cfRule>
  </conditionalFormatting>
  <conditionalFormatting sqref="A1:R152">
    <cfRule type="expression" dxfId="4" priority="4">
      <formula>COUNTIFS(ActivePlayers,A1,ActiveColors,"Red")&gt;0</formula>
    </cfRule>
  </conditionalFormatting>
  <conditionalFormatting sqref="A1:R152">
    <cfRule type="expression" dxfId="3" priority="5">
      <formula>COUNTIFS(ActivePlayers,A1,ActiveColors,"Purple")&gt;0</formula>
    </cfRule>
  </conditionalFormatting>
  <conditionalFormatting sqref="A1:R152">
    <cfRule type="expression" dxfId="2" priority="6">
      <formula>COUNTIFS(ActivePlayers,A1,ActiveColors,"Pink")&gt;0</formula>
    </cfRule>
  </conditionalFormatting>
  <conditionalFormatting sqref="A1:R152">
    <cfRule type="expression" dxfId="1" priority="7">
      <formula>COUNTIFS(ActivePlayers,A1,ActiveColors,"Gray")&gt;0</formula>
    </cfRule>
  </conditionalFormatting>
  <conditionalFormatting sqref="A1:R152">
    <cfRule type="expression" dxfId="0" priority="8">
      <formula>COUNTIFS(ActivePlayers,A1,ActiveColors,"Brown")&gt;0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Donofrio</dc:creator>
  <cp:keywords/>
  <dc:description/>
  <cp:lastModifiedBy>Jason Donofrio</cp:lastModifiedBy>
  <cp:revision/>
  <dcterms:created xsi:type="dcterms:W3CDTF">2026-04-16T17:25:46Z</dcterms:created>
  <dcterms:modified xsi:type="dcterms:W3CDTF">2026-04-18T06:25:14Z</dcterms:modified>
  <cp:category/>
  <cp:contentStatus/>
</cp:coreProperties>
</file>